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매출원본" sheetId="3" state="visible" r:id="rId3"/>
    <sheet xmlns:r="http://schemas.openxmlformats.org/officeDocument/2006/relationships" name="입금_은행1" sheetId="4" state="visible" r:id="rId4"/>
    <sheet xmlns:r="http://schemas.openxmlformats.org/officeDocument/2006/relationships" name="입금_은행2" sheetId="5" state="visible" r:id="rId5"/>
    <sheet xmlns:r="http://schemas.openxmlformats.org/officeDocument/2006/relationships" name="거래처설정" sheetId="6" state="visible" r:id="rId6"/>
    <sheet xmlns:r="http://schemas.openxmlformats.org/officeDocument/2006/relationships" name="거래처별" sheetId="7" state="visible" r:id="rId7"/>
    <sheet xmlns:r="http://schemas.openxmlformats.org/officeDocument/2006/relationships" name="연령분석" sheetId="8" state="visible" r:id="rId8"/>
    <sheet xmlns:r="http://schemas.openxmlformats.org/officeDocument/2006/relationships" name="독촉대상" sheetId="9" state="visible" r:id="rId9"/>
    <sheet xmlns:r="http://schemas.openxmlformats.org/officeDocument/2006/relationships" name="미매칭입금" sheetId="10" state="visible" r:id="rId10"/>
    <sheet xmlns:r="http://schemas.openxmlformats.org/officeDocument/2006/relationships" name="설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[Red]-#,##0"/>
  </numFmts>
  <fonts count="2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0000FF"/>
      <sz val="9"/>
    </font>
    <font>
      <name val="맑은 고딕"/>
      <b val="1"/>
      <sz val="10"/>
    </font>
    <font>
      <name val="맑은 고딕"/>
      <color rgb="000000FF"/>
      <sz val="11"/>
    </font>
    <font>
      <name val="맑은 고딕"/>
      <color rgb="00808080"/>
      <sz val="11"/>
    </font>
    <font>
      <name val="맑은 고딕"/>
      <color rgb="00808080"/>
      <sz val="9"/>
    </font>
    <font>
      <name val="맑은 고딕"/>
      <b val="1"/>
      <sz val="11"/>
    </font>
    <font>
      <name val="맑은 고딕"/>
      <sz val="10"/>
    </font>
    <font>
      <name val="맑은 고딕"/>
      <b val="1"/>
      <sz val="9"/>
    </font>
    <font>
      <name val="맑은 고딕"/>
      <color rgb="00808080"/>
      <sz val="8"/>
    </font>
    <font>
      <name val="맑은 고딕"/>
      <b val="1"/>
      <color rgb="00008000"/>
      <sz val="10"/>
    </font>
    <font>
      <name val="맑은 고딕"/>
      <b val="1"/>
      <color rgb="00FF0000"/>
      <sz val="10"/>
    </font>
    <font>
      <name val="맑은 고딕"/>
      <color rgb="000000FF"/>
      <sz val="10"/>
    </font>
    <font>
      <name val="맑은 고딕"/>
      <b val="1"/>
      <sz val="8"/>
    </font>
    <font>
      <name val="맑은 고딕"/>
      <sz val="9"/>
    </font>
    <font>
      <name val="맑은 고딕"/>
      <b val="1"/>
      <color rgb="00C00000"/>
      <sz val="10"/>
    </font>
    <font>
      <name val="맑은 고딕"/>
      <b val="1"/>
      <sz val="12"/>
    </font>
    <font>
      <name val="맑은 고딕"/>
      <color rgb="00008000"/>
      <sz val="10"/>
    </font>
    <font>
      <name val="맑은 고딕"/>
      <sz val="11"/>
    </font>
    <font>
      <name val="맑은 고딕"/>
      <color rgb="00808080"/>
      <sz val="10"/>
    </font>
    <font>
      <name val="맑은 고딕"/>
      <b val="1"/>
      <sz val="15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1" fillId="0" borderId="0" pivotButton="0" quotePrefix="0" xfId="0"/>
    <xf numFmtId="0" fontId="6" fillId="0" borderId="0" pivotButton="0" quotePrefix="0" xfId="0"/>
    <xf numFmtId="0" fontId="17" fillId="0" borderId="0" pivotButton="0" quotePrefix="0" xfId="0"/>
    <xf numFmtId="0" fontId="7" fillId="3" borderId="1" pivotButton="0" quotePrefix="0" xfId="0"/>
    <xf numFmtId="0" fontId="8" fillId="0" borderId="0" pivotButton="0" quotePrefix="0" xfId="0"/>
    <xf numFmtId="0" fontId="9" fillId="3" borderId="0" pivotButton="0" quotePrefix="0" xfId="0"/>
    <xf numFmtId="0" fontId="7" fillId="0" borderId="0" pivotButton="0" quotePrefix="0" xfId="0"/>
    <xf numFmtId="0" fontId="7" fillId="2" borderId="0" pivotButton="0" quotePrefix="0" xfId="0"/>
    <xf numFmtId="0" fontId="3" fillId="0" borderId="0" pivotButton="0" quotePrefix="0" xfId="0"/>
    <xf numFmtId="0" fontId="19" fillId="3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8" fillId="0" borderId="0" pivotButton="0" quotePrefix="0" xfId="0"/>
    <xf numFmtId="0" fontId="12" fillId="0" borderId="0" pivotButton="0" quotePrefix="0" xfId="0"/>
    <xf numFmtId="3" fontId="4" fillId="3" borderId="1" pivotButton="0" quotePrefix="0" xfId="0"/>
    <xf numFmtId="0" fontId="11" fillId="0" borderId="0" pivotButton="0" quotePrefix="0" xfId="0"/>
    <xf numFmtId="164" fontId="19" fillId="0" borderId="0" applyAlignment="1" pivotButton="0" quotePrefix="0" xfId="0">
      <alignment horizontal="right" vertical="center"/>
    </xf>
    <xf numFmtId="3" fontId="7" fillId="0" borderId="0" pivotButton="0" quotePrefix="0" xfId="0"/>
    <xf numFmtId="3" fontId="19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8" fillId="0" borderId="1" pivotButton="0" quotePrefix="0" xfId="0"/>
    <xf numFmtId="3" fontId="8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3" fontId="10" fillId="0" borderId="0" pivotButton="0" quotePrefix="0" xfId="0"/>
    <xf numFmtId="3" fontId="13" fillId="0" borderId="0" pivotButton="0" quotePrefix="0" xfId="0"/>
    <xf numFmtId="0" fontId="13" fillId="3" borderId="1" pivotButton="0" quotePrefix="0" xfId="0"/>
    <xf numFmtId="3" fontId="13" fillId="3" borderId="1" pivotButton="0" quotePrefix="0" xfId="0"/>
    <xf numFmtId="0" fontId="14" fillId="2" borderId="1" pivotButton="0" quotePrefix="0" xfId="0"/>
    <xf numFmtId="0" fontId="15" fillId="0" borderId="1" pivotButton="0" quotePrefix="0" xfId="0"/>
    <xf numFmtId="165" fontId="15" fillId="0" borderId="1" pivotButton="0" quotePrefix="0" xfId="0"/>
    <xf numFmtId="164" fontId="15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9" fontId="3" fillId="0" borderId="1" pivotButton="0" quotePrefix="0" xfId="0"/>
    <xf numFmtId="3" fontId="15" fillId="0" borderId="1" pivotButton="0" quotePrefix="0" xfId="0"/>
    <xf numFmtId="9" fontId="15" fillId="0" borderId="1" pivotButton="0" quotePrefix="0" xfId="0"/>
    <xf numFmtId="0" fontId="16" fillId="0" borderId="0" pivotButton="0" quotePrefix="0" xfId="0"/>
    <xf numFmtId="0" fontId="15" fillId="0" borderId="1" applyAlignment="1" pivotButton="0" quotePrefix="0" xfId="0">
      <alignment/>
    </xf>
    <xf numFmtId="0" fontId="3" fillId="2" borderId="1" pivotButton="0" quotePrefix="0" xfId="0"/>
    <xf numFmtId="164" fontId="4" fillId="3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50" customWidth="1" min="4" max="4"/>
    <col width="52" customWidth="1" min="5" max="5"/>
  </cols>
  <sheetData>
    <row r="1">
      <c r="A1" s="1" t="inlineStr">
        <is>
          <t>거래처 미수금 관리 양식 — 사용 안내</t>
        </is>
      </c>
    </row>
    <row r="2">
      <c r="A2" s="2" t="inlineStr">
        <is>
          <t>홈택스 매출 세금계산서 목록과 은행 입금내역 엑셀을 그대로 붙여넣으면, 거래처별 미수 잔액·30/60/90일 연령 분석·연락할 후보와 문구 초안이 자동으로 만들어집니다.</t>
        </is>
      </c>
    </row>
    <row r="4">
      <c r="A4" s="3" t="inlineStr">
        <is>
          <t>■ 작업 순서도</t>
        </is>
      </c>
    </row>
    <row r="5">
      <c r="B5" s="4" t="inlineStr">
        <is>
          <t>① 설정</t>
        </is>
      </c>
      <c r="C5" s="5" t="inlineStr">
        <is>
          <t>회사 이름·기준일(오늘)만 확인</t>
        </is>
      </c>
      <c r="D5" s="6" t="inlineStr">
        <is>
          <t>◀ 기준일은 비우면 오늘 날짜</t>
        </is>
      </c>
    </row>
    <row r="6">
      <c r="B6" s="7" t="inlineStr">
        <is>
          <t>▼</t>
        </is>
      </c>
    </row>
    <row r="7">
      <c r="B7" s="4" t="inlineStr">
        <is>
          <t>② 매출원본</t>
        </is>
      </c>
      <c r="C7" s="5" t="inlineStr">
        <is>
          <t>홈택스 매출 세금계산서 목록을 A8에 붙여넣기</t>
        </is>
      </c>
      <c r="D7" s="6" t="inlineStr">
        <is>
          <t>◀ 열 설정 노란 칸은 처음 한 번만 확인</t>
        </is>
      </c>
    </row>
    <row r="8">
      <c r="B8" s="7" t="inlineStr">
        <is>
          <t>▼</t>
        </is>
      </c>
    </row>
    <row r="9">
      <c r="B9" s="4" t="inlineStr">
        <is>
          <t>③ 입금_은행</t>
        </is>
      </c>
      <c r="C9" s="5" t="inlineStr">
        <is>
          <t>은행 입금내역 엑셀을 A8에 붙여넣기 (계좌 2개까지)</t>
        </is>
      </c>
      <c r="D9" s="6" t="inlineStr">
        <is>
          <t>◀ 보낸 분 이름이 거래처 이름과 맞으면 자동 매칭</t>
        </is>
      </c>
    </row>
    <row r="10">
      <c r="B10" s="7" t="inlineStr">
        <is>
          <t>▼</t>
        </is>
      </c>
    </row>
    <row r="11">
      <c r="B11" s="4" t="inlineStr">
        <is>
          <t>④ 요약</t>
        </is>
      </c>
      <c r="C11" s="5" t="inlineStr">
        <is>
          <t>✔가 떴는지, 총 미수 잔액과 구간별 금액 확인</t>
        </is>
      </c>
      <c r="D11" s="6" t="inlineStr">
        <is>
          <t>◀ 홈택스 합계와 대조하는 선택 칸</t>
        </is>
      </c>
    </row>
    <row r="12">
      <c r="B12" s="7" t="inlineStr">
        <is>
          <t>▼</t>
        </is>
      </c>
    </row>
    <row r="13">
      <c r="B13" s="4" t="inlineStr">
        <is>
          <t>⑤ 미매칭입금 → 거래처설정</t>
        </is>
      </c>
      <c r="C13" s="5" t="inlineStr">
        <is>
          <t>맞춰지지 않은 입금은 별칭 등록 (필요한 곳만)</t>
        </is>
      </c>
      <c r="D13" s="6" t="inlineStr">
        <is>
          <t>◀ 입금자명이 대표 이름 등으로 다를 때</t>
        </is>
      </c>
    </row>
    <row r="14">
      <c r="B14" s="7" t="inlineStr">
        <is>
          <t>▼</t>
        </is>
      </c>
    </row>
    <row r="15">
      <c r="B15" s="4" t="inlineStr">
        <is>
          <t>⑥ 연령분석 · 독촉대상</t>
        </is>
      </c>
      <c r="C15" s="5" t="inlineStr">
        <is>
          <t>(자동) 큰 순서 미수 목록과 연락 후보·문구 초안</t>
        </is>
      </c>
      <c r="D15" s="6" t="inlineStr">
        <is>
          <t>◀ 연락 결과는 [거래처설정]의 조치 상태에</t>
        </is>
      </c>
    </row>
    <row r="17">
      <c r="A17" s="3" t="inlineStr">
        <is>
          <t>■ 시트 안내 (탭 순서대로)</t>
        </is>
      </c>
    </row>
    <row r="18">
      <c r="A18" s="8" t="inlineStr">
        <is>
          <t>순서</t>
        </is>
      </c>
      <c r="B18" s="8" t="inlineStr">
        <is>
          <t>시트</t>
        </is>
      </c>
      <c r="C18" s="8" t="inlineStr">
        <is>
          <t>역할</t>
        </is>
      </c>
      <c r="D18" s="8" t="inlineStr">
        <is>
          <t>✍ 직접 입력</t>
        </is>
      </c>
      <c r="E18" s="8" t="inlineStr">
        <is>
          <t>⚙ 자동 처리</t>
        </is>
      </c>
    </row>
    <row r="19">
      <c r="A19" s="9" t="inlineStr">
        <is>
          <t>①</t>
        </is>
      </c>
      <c r="B19" s="9" t="inlineStr">
        <is>
          <t>설정</t>
        </is>
      </c>
      <c r="C19" s="5" t="inlineStr">
        <is>
          <t>회사 이름·기준일·구간</t>
        </is>
      </c>
      <c r="D19" s="5" t="inlineStr">
        <is>
          <t>회사 이름, 기준일(비우면 오늘), 30/60/90일, 최소 금액</t>
        </is>
      </c>
      <c r="E19" s="5" t="inlineStr">
        <is>
          <t>—</t>
        </is>
      </c>
    </row>
    <row r="20">
      <c r="A20" s="9" t="inlineStr">
        <is>
          <t>②</t>
        </is>
      </c>
      <c r="B20" s="9" t="inlineStr">
        <is>
          <t>매출원본</t>
        </is>
      </c>
      <c r="C20" s="5" t="inlineStr">
        <is>
          <t>홈택스 매출 목록 붙여넣는 곳</t>
        </is>
      </c>
      <c r="D20" s="5" t="inlineStr">
        <is>
          <t>A8 붙여넣기 + 5행 열 설정(처음 한 번)</t>
        </is>
      </c>
      <c r="E20" s="5" t="inlineStr">
        <is>
          <t>날짜·금액 변환, 거래처 묶기, 승인번호 중복 표시</t>
        </is>
      </c>
    </row>
    <row r="21">
      <c r="A21" s="9" t="inlineStr">
        <is>
          <t>③</t>
        </is>
      </c>
      <c r="B21" s="9" t="inlineStr">
        <is>
          <t>입금_은행1·2</t>
        </is>
      </c>
      <c r="C21" s="5" t="inlineStr">
        <is>
          <t>은행 입금내역 붙여넣는 곳</t>
        </is>
      </c>
      <c r="D21" s="5" t="inlineStr">
        <is>
          <t>A8 붙여넣기 + 5행 열 설정</t>
        </is>
      </c>
      <c r="E21" s="5" t="inlineStr">
        <is>
          <t>입금만 골라 이름으로 거래처에 맞춤</t>
        </is>
      </c>
    </row>
    <row r="22">
      <c r="A22" s="9" t="inlineStr">
        <is>
          <t>④</t>
        </is>
      </c>
      <c r="B22" s="9" t="inlineStr">
        <is>
          <t>요약</t>
        </is>
      </c>
      <c r="C22" s="5" t="inlineStr">
        <is>
          <t>핵심 결과</t>
        </is>
      </c>
      <c r="D22" s="5" t="inlineStr">
        <is>
          <t>홈택스 합계(선택)</t>
        </is>
      </c>
      <c r="E22" s="5" t="inlineStr">
        <is>
          <t>총 미수·구간별·연락 후보 수·미매칭 건수</t>
        </is>
      </c>
    </row>
    <row r="23">
      <c r="A23" s="9" t="inlineStr">
        <is>
          <t>⑤</t>
        </is>
      </c>
      <c r="B23" s="9" t="inlineStr">
        <is>
          <t>거래처별</t>
        </is>
      </c>
      <c r="C23" s="5" t="inlineStr">
        <is>
          <t>거래처별 계산 전체</t>
        </is>
      </c>
      <c r="D23" s="5" t="inlineStr">
        <is>
          <t>없음</t>
        </is>
      </c>
      <c r="E23" s="5" t="inlineStr">
        <is>
          <t>매출 누계 − 입금 누계, 경과일 구간, 판정, 점검 문구</t>
        </is>
      </c>
    </row>
    <row r="24">
      <c r="A24" s="9" t="inlineStr">
        <is>
          <t>⑥</t>
        </is>
      </c>
      <c r="B24" s="9" t="inlineStr">
        <is>
          <t>연령분석</t>
        </is>
      </c>
      <c r="C24" s="5" t="inlineStr">
        <is>
          <t>미수 큰 순서 목록</t>
        </is>
      </c>
      <c r="D24" s="5" t="inlineStr">
        <is>
          <t>없음</t>
        </is>
      </c>
      <c r="E24" s="5" t="inlineStr">
        <is>
          <t>최대 100곳을 잔액 큰 순으로 정렬</t>
        </is>
      </c>
    </row>
    <row r="25">
      <c r="A25" s="9" t="inlineStr">
        <is>
          <t>⑦</t>
        </is>
      </c>
      <c r="B25" s="9" t="inlineStr">
        <is>
          <t>독촉대상</t>
        </is>
      </c>
      <c r="C25" s="5" t="inlineStr">
        <is>
          <t>연락 후보와 문구</t>
        </is>
      </c>
      <c r="D25" s="5" t="inlineStr">
        <is>
          <t>없음 (조치 상태는 거래처설정에)</t>
        </is>
      </c>
      <c r="E25" s="5" t="inlineStr">
        <is>
          <t>오래된 잔액이 큰 순, 문구 초안</t>
        </is>
      </c>
    </row>
    <row r="26">
      <c r="A26" s="9" t="inlineStr">
        <is>
          <t>⑧</t>
        </is>
      </c>
      <c r="B26" s="9" t="inlineStr">
        <is>
          <t>미매칭입금</t>
        </is>
      </c>
      <c r="C26" s="5" t="inlineStr">
        <is>
          <t>거래처로 안 맞은 입금</t>
        </is>
      </c>
      <c r="D26" s="5" t="inlineStr">
        <is>
          <t>없음</t>
        </is>
      </c>
      <c r="E26" s="5" t="inlineStr">
        <is>
          <t>별칭 등록이 필요한 입금 찾기</t>
        </is>
      </c>
    </row>
    <row r="27">
      <c r="A27" s="9" t="inlineStr">
        <is>
          <t>⑨</t>
        </is>
      </c>
      <c r="B27" s="9" t="inlineStr">
        <is>
          <t>거래처설정</t>
        </is>
      </c>
      <c r="C27" s="5" t="inlineStr">
        <is>
          <t>별칭·기초 미수금·조치 상태</t>
        </is>
      </c>
      <c r="D27" s="5" t="inlineStr">
        <is>
          <t>필요한 거래처만 적기</t>
        </is>
      </c>
      <c r="E27" s="5" t="inlineStr">
        <is>
          <t>새로 붙여넣어도 유지됨</t>
        </is>
      </c>
    </row>
    <row r="29">
      <c r="A29" s="3" t="inlineStr">
        <is>
          <t>■ 붙여넣기, 이렇게 하면 됩니다</t>
        </is>
      </c>
    </row>
    <row r="30">
      <c r="A30" s="5" t="inlineStr">
        <is>
          <t>1. 홈택스 → 전자(세금)계산서 목록조회에서 매출·기간을 정해 조회한 뒤 엑셀로 내려받습니다. 외상 기간을 길게 보려면 최근 6개월~1년을 한 번에 조회하세요.</t>
        </is>
      </c>
    </row>
    <row r="31">
      <c r="A31" s="5" t="inlineStr">
        <is>
          <t xml:space="preserve">   · 내려받은 파일을 열었을 때 위에 노란 막대(보호된 보기)가 뜨면 [편집 사용]을 먼저 누르세요.</t>
        </is>
      </c>
    </row>
    <row r="32">
      <c r="A32" s="5" t="inlineStr">
        <is>
          <t>2. 파일에서 전체 복사(Ctrl+A → Ctrl+C) → [매출원본] A8 셀 클릭 → 붙여넣기(Ctrl+V). 처음 한 번은 8행 아래 예시를 먼저 지우세요 (8행 아래 전체 선택 → Delete).</t>
        </is>
      </c>
    </row>
    <row r="33">
      <c r="A33" s="5" t="inlineStr">
        <is>
          <t>3. 은행(인터넷뱅킹) 거래내역을 기간을 정해 엑셀로 내려받아 [입금_은행1] A8에 붙여넣습니다. 계좌가 둘이면 [입금_은행2]에도. 입금·출금이 섞인 파일 그대로 괜찮습니다.</t>
        </is>
      </c>
    </row>
    <row r="34">
      <c r="A34" s="5" t="inlineStr">
        <is>
          <t xml:space="preserve">   · 은행마다 열 순서가 다르니 처음 한 번 5행 노란 칸에 날짜·입금액·보낸 분(내용)이 있는 열 문자만 맞춰 주세요 (AA 같은 두 글자도 가능).</t>
        </is>
      </c>
    </row>
    <row r="35">
      <c r="A35" s="5" t="inlineStr">
        <is>
          <t>4. [요약]에서 ✔ 표시와 총 미수 잔액을 확인하고, [연령분석]과 [독촉대상]을 봅니다.</t>
        </is>
      </c>
    </row>
    <row r="36">
      <c r="A36" s="5" t="inlineStr">
        <is>
          <t>5. 입금자명이 거래처 이름과 달라 안 맞은 입금은 [미매칭입금]에서 찾아 [거래처설정]에 별칭으로 등록합니다. 한 번 등록하면 다음에도 유지됩니다.</t>
        </is>
      </c>
    </row>
    <row r="37">
      <c r="A37" s="5" t="inlineStr">
        <is>
          <t>6. 다음 달에는 두 원본 시트에 새 파일을 같은 자리에 덮어 붙여넣고(이전 내용은 먼저 지우기), 기준일만 확인하면 됩니다.</t>
        </is>
      </c>
    </row>
    <row r="39">
      <c r="A39" s="3" t="inlineStr">
        <is>
          <t>■ 알아두세요</t>
        </is>
      </c>
    </row>
    <row r="40">
      <c r="A40" s="5" t="inlineStr">
        <is>
          <t>· 입금은 오래된 세금계산서부터 갚은 것으로 계산합니다(선입선출). 이전 해에서 넘어온 미수금은 [거래처설정]의 '기초 미수금'에 적으세요.</t>
        </is>
      </c>
    </row>
    <row r="41">
      <c r="A41" s="5" t="inlineStr">
        <is>
          <t>· 경과일은 세금계산서 작성일자 기준입니다. 결제 약속일(월말 마감, 어음 등)은 반영하지 않으니 '약속 기한이 지난 금액'과는 다를 수 있습니다.</t>
        </is>
      </c>
    </row>
    <row r="42">
      <c r="A42" s="5" t="inlineStr">
        <is>
          <t>· 이 양식은 연락해 볼 후보를 좁혀 주는 도구입니다. 실제 연락 여부와 방법, 법적 조치는 사람이 판단하세요.</t>
        </is>
      </c>
    </row>
    <row r="43">
      <c r="A43" s="5" t="inlineStr">
        <is>
          <t>· 이름이 짧거나 서로 비슷한 거래처는 입금이 엉뚱한 곳에 맞을 수 있습니다. [거래처별]의 '점검' 문구와 별칭 기능으로 바로잡으세요.</t>
        </is>
      </c>
    </row>
    <row r="44">
      <c r="A44" s="5" t="inlineStr">
        <is>
          <t>· 카드·현금 결제나 세금계산서가 없는 거래는 보이지 않습니다. 장부의 외상매출금과 다를 수 있으니 점검용으로 쓰세요.</t>
        </is>
      </c>
    </row>
    <row r="46">
      <c r="A46" s="3" t="inlineStr">
        <is>
          <t>■ 색 안내</t>
        </is>
      </c>
    </row>
    <row r="47">
      <c r="B47" s="10" t="inlineStr">
        <is>
          <t>노란 칸</t>
        </is>
      </c>
      <c r="C47" s="5" t="inlineStr">
        <is>
          <t>직접 입력하는 곳 — 파란 글씨는 가상 예시값이니 지우고 실제 값을 넣으세요</t>
        </is>
      </c>
    </row>
    <row r="48">
      <c r="B48" s="2" t="inlineStr">
        <is>
          <t>회색 작은 글씨</t>
        </is>
      </c>
      <c r="C48" s="5" t="inlineStr">
        <is>
          <t>자동 계산 수식 — 수정 금지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30" customWidth="1" min="3" max="3"/>
    <col width="28" customWidth="1" min="4" max="4"/>
  </cols>
  <sheetData>
    <row r="1">
      <c r="A1" s="11" t="inlineStr">
        <is>
          <t>요약 — 거래처 미수금 한눈에 (자동)</t>
        </is>
      </c>
    </row>
    <row r="2">
      <c r="A2" s="12" t="inlineStr">
        <is>
          <t>✍ 직접 입력: 13~14행 노란 칸(홈택스 화면의 건수·합계금액)만 — 선택. ⚙ 나머지는 자동입니다.</t>
        </is>
      </c>
    </row>
    <row r="4">
      <c r="A4" s="3" t="inlineStr">
        <is>
          <t>■ 1. 붙여넣기가 잘 되었는지</t>
        </is>
      </c>
    </row>
    <row r="5">
      <c r="A5" s="9" t="inlineStr">
        <is>
          <t>매출 세금계산서</t>
        </is>
      </c>
      <c r="B5" s="13">
        <f>매출원본!H5</f>
        <v/>
      </c>
    </row>
    <row r="6">
      <c r="A6" s="9" t="inlineStr">
        <is>
          <t>입금 — 은행1</t>
        </is>
      </c>
      <c r="B6" s="13">
        <f>입금_은행1!H5</f>
        <v/>
      </c>
    </row>
    <row r="7">
      <c r="A7" s="9" t="inlineStr">
        <is>
          <t>입금 — 은행2</t>
        </is>
      </c>
      <c r="B7" s="13">
        <f>입금_은행2!H5</f>
        <v/>
      </c>
    </row>
    <row r="8">
      <c r="A8" s="9" t="inlineStr">
        <is>
          <t>확인 필요</t>
        </is>
      </c>
      <c r="B8" s="14">
        <f>TRIM(매출원본!H6&amp;" "&amp;입금_은행1!H6&amp;" "&amp;입금_은행2!H6&amp;IF(SUM(매출원본!$BA$8:$BA$2007)&gt;0," ⚠ 승인번호가 같은 세금계산서가 "&amp;SUM(매출원본!$BA$8:$BA$2007)&amp;"건 더 있습니다 — 같은 파일을 두 번 붙여넣지 않았는지 확인","")&amp;IF(MAX(매출원본!$AW$8:$AW$2007)&gt;300," ⚠ 거래처가 300곳을 넘어 일부가 빠집니다",""))</f>
        <v/>
      </c>
    </row>
    <row r="10">
      <c r="A10" s="3" t="inlineStr">
        <is>
          <t>■ 2. 홈택스 화면과 대조 (선택)</t>
        </is>
      </c>
    </row>
    <row r="11">
      <c r="A11" s="2" t="inlineStr">
        <is>
          <t>홈택스 매출 목록 화면의 합계(건수·합계금액)를 적으면 붙여넣은 파일과 같은지 자동 확인합니다.</t>
        </is>
      </c>
    </row>
    <row r="13">
      <c r="A13" s="9" t="inlineStr">
        <is>
          <t>홈택스 화면 건수</t>
        </is>
      </c>
      <c r="B13" s="15" t="n">
        <v>20</v>
      </c>
      <c r="C13" s="16">
        <f>IF($B$13="","(입력하면 자동 대조)",IF($B$13=COUNT(매출원본!$AS$8:$AS$2007),"✔ 홈택스와 일치","✖ 차이 "&amp;(COUNT(매출원본!$AS$8:$AS$2007)-$B$13)&amp;"건 — 기간·거래처 구분이 같은지 확인"))</f>
        <v/>
      </c>
    </row>
    <row r="14">
      <c r="A14" s="9" t="inlineStr">
        <is>
          <t>홈택스 화면 합계금액(원)</t>
        </is>
      </c>
      <c r="B14" s="15" t="n">
        <v>60170000</v>
      </c>
      <c r="C14" s="16">
        <f>IF($B$14="","(입력하면 자동 대조)",IF($B$14=SUM(매출원본!$AT$8:$AT$2007),"✔ 홈택스와 일치","✖ 차이 "&amp;TEXT(SUM(매출원본!$AT$8:$AT$2007)-$B$14,"#,##0")&amp;"원 — 기간·거래처 구분이 같은지 확인"))</f>
        <v/>
      </c>
    </row>
    <row r="16">
      <c r="A16" s="3" t="inlineStr">
        <is>
          <t>■ 3. 미수금 한눈에</t>
        </is>
      </c>
    </row>
    <row r="17">
      <c r="A17" s="9" t="inlineStr">
        <is>
          <t>기준일</t>
        </is>
      </c>
      <c r="B17" s="17">
        <f>설정!$B$5</f>
        <v/>
      </c>
    </row>
    <row r="18">
      <c r="A18" s="9" t="inlineStr">
        <is>
          <t>총 미수 잔액</t>
        </is>
      </c>
      <c r="B18" s="18">
        <f>연령분석!D5</f>
        <v/>
      </c>
      <c r="C18" s="5">
        <f>COUNT(거래처별!$R$8:$R$307)&amp;"곳"</f>
        <v/>
      </c>
    </row>
    <row r="19">
      <c r="A19" s="9">
        <f>거래처별!H7</f>
        <v/>
      </c>
      <c r="B19" s="19">
        <f>연령분석!E5</f>
        <v/>
      </c>
      <c r="C19" s="5">
        <f>IF($B$18=0,"",TEXT(B19/$B$18,"0%"))</f>
        <v/>
      </c>
    </row>
    <row r="20">
      <c r="A20" s="9">
        <f>거래처별!I7</f>
        <v/>
      </c>
      <c r="B20" s="19">
        <f>연령분석!F5</f>
        <v/>
      </c>
      <c r="C20" s="5">
        <f>IF($B$18=0,"",TEXT(B20/$B$18,"0%"))</f>
        <v/>
      </c>
    </row>
    <row r="21">
      <c r="A21" s="9">
        <f>거래처별!J7</f>
        <v/>
      </c>
      <c r="B21" s="19">
        <f>연령분석!G5</f>
        <v/>
      </c>
      <c r="C21" s="5">
        <f>IF($B$18=0,"",TEXT(B21/$B$18,"0%"))</f>
        <v/>
      </c>
    </row>
    <row r="22">
      <c r="A22" s="9">
        <f>거래처별!K7</f>
        <v/>
      </c>
      <c r="B22" s="19">
        <f>연령분석!H5</f>
        <v/>
      </c>
      <c r="C22" s="5">
        <f>IF($B$18=0,"",TEXT(B22/$B$18,"0%"))</f>
        <v/>
      </c>
    </row>
    <row r="23">
      <c r="A23" s="9" t="inlineStr">
        <is>
          <t>선수금·초과입금</t>
        </is>
      </c>
      <c r="B23" s="19">
        <f>-SUMIF(거래처별!$G$8:$G$307,"&lt;0")</f>
        <v/>
      </c>
      <c r="C23" s="5">
        <f>COUNTIF(거래처별!$G$8:$G$307,"&lt;0")&amp;"곳 — 확인 필요"</f>
        <v/>
      </c>
    </row>
    <row r="24">
      <c r="A24" s="9" t="inlineStr">
        <is>
          <t>연락 후보</t>
        </is>
      </c>
      <c r="B24" s="20">
        <f>"① "&amp;COUNTIF(거래처별!$O$8:$O$307,1)&amp;"곳 · ② "&amp;COUNTIF(거래처별!$O$8:$O$307,2)&amp;"곳 · ③ "&amp;COUNTIF(거래처별!$O$8:$O$307,3)&amp;"곳"</f>
        <v/>
      </c>
      <c r="C24" s="21" t="inlineStr">
        <is>
          <t>[독촉대상] 시트에서 문구 초안까지</t>
        </is>
      </c>
    </row>
    <row r="25">
      <c r="A25" s="9" t="inlineStr">
        <is>
          <t>미매칭 입금</t>
        </is>
      </c>
      <c r="B25" s="20">
        <f>(MAX(입금_은행1!$AD$8:$AD$2007)+MAX(입금_은행2!$AD$8:$AD$2007))&amp;"건"</f>
        <v/>
      </c>
      <c r="C25" s="21" t="inlineStr">
        <is>
          <t>[미매칭입금] 시트에서 거래처 입금이 있는지 확인</t>
        </is>
      </c>
    </row>
    <row r="27">
      <c r="A27" s="3" t="inlineStr">
        <is>
          <t>■ 4. 미수 잔액 상위 5곳</t>
        </is>
      </c>
    </row>
    <row r="28">
      <c r="A28" s="22" t="inlineStr">
        <is>
          <t>거래처</t>
        </is>
      </c>
      <c r="B28" s="22" t="inlineStr">
        <is>
          <t>미수 잔액</t>
        </is>
      </c>
      <c r="C28" s="22" t="inlineStr">
        <is>
          <t>경과 구간1 초과분</t>
        </is>
      </c>
      <c r="D28" s="22" t="inlineStr">
        <is>
          <t>판정</t>
        </is>
      </c>
    </row>
    <row r="29">
      <c r="A29" s="23">
        <f>IF(연령분석!B7="","",연령분석!B7)</f>
        <v/>
      </c>
      <c r="B29" s="24">
        <f>IF(연령분석!D7="","",연령분석!D7)</f>
        <v/>
      </c>
      <c r="C29" s="24">
        <f>IF(연령분석!D7="","",연령분석!F7+연령분석!G7+연령분석!H7)</f>
        <v/>
      </c>
      <c r="D29" s="23">
        <f>IF(연령분석!K7="","",연령분석!K7)</f>
        <v/>
      </c>
    </row>
    <row r="30">
      <c r="A30" s="23">
        <f>IF(연령분석!B8="","",연령분석!B8)</f>
        <v/>
      </c>
      <c r="B30" s="24">
        <f>IF(연령분석!D8="","",연령분석!D8)</f>
        <v/>
      </c>
      <c r="C30" s="24">
        <f>IF(연령분석!D8="","",연령분석!F8+연령분석!G8+연령분석!H8)</f>
        <v/>
      </c>
      <c r="D30" s="23">
        <f>IF(연령분석!K8="","",연령분석!K8)</f>
        <v/>
      </c>
    </row>
    <row r="31">
      <c r="A31" s="23">
        <f>IF(연령분석!B9="","",연령분석!B9)</f>
        <v/>
      </c>
      <c r="B31" s="24">
        <f>IF(연령분석!D9="","",연령분석!D9)</f>
        <v/>
      </c>
      <c r="C31" s="24">
        <f>IF(연령분석!D9="","",연령분석!F9+연령분석!G9+연령분석!H9)</f>
        <v/>
      </c>
      <c r="D31" s="23">
        <f>IF(연령분석!K9="","",연령분석!K9)</f>
        <v/>
      </c>
    </row>
    <row r="32">
      <c r="A32" s="23">
        <f>IF(연령분석!B10="","",연령분석!B10)</f>
        <v/>
      </c>
      <c r="B32" s="24">
        <f>IF(연령분석!D10="","",연령분석!D10)</f>
        <v/>
      </c>
      <c r="C32" s="24">
        <f>IF(연령분석!D10="","",연령분석!F10+연령분석!G10+연령분석!H10)</f>
        <v/>
      </c>
      <c r="D32" s="23">
        <f>IF(연령분석!K10="","",연령분석!K10)</f>
        <v/>
      </c>
    </row>
    <row r="33">
      <c r="A33" s="23">
        <f>IF(연령분석!B11="","",연령분석!B11)</f>
        <v/>
      </c>
      <c r="B33" s="24">
        <f>IF(연령분석!D11="","",연령분석!D11)</f>
        <v/>
      </c>
      <c r="C33" s="24">
        <f>IF(연령분석!D11="","",연령분석!F11+연령분석!G11+연령분석!H11)</f>
        <v/>
      </c>
      <c r="D33" s="23">
        <f>IF(연령분석!K11="","",연령분석!K11)</f>
        <v/>
      </c>
    </row>
    <row r="35">
      <c r="A35" s="2" t="inlineStr">
        <is>
          <t>※ 미수 잔액은 장부(회계프로그램)의 외상매출금과 다를 수 있습니다. 이 양식은 세금계산서와 은행 입금만 보고 계산하는 점검용입니다.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0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</cols>
  <sheetData>
    <row r="1">
      <c r="A1" s="11" t="inlineStr">
        <is>
          <t>매출원본 — 홈택스 매출 전자세금계산서 목록 붙여넣기</t>
        </is>
      </c>
    </row>
    <row r="2">
      <c r="A2" s="12" t="inlineStr">
        <is>
          <t>✍ 직접 입력: 홈택스에서 내려받은 매출 목록 엑셀을 A8 셀부터 통째로 붙여넣고('값' 붙여넣기 권장), 5행 노란 칸을 확인하세요. 거래처는 공급받는자 쪽입니다.</t>
        </is>
      </c>
    </row>
    <row r="3">
      <c r="A3" s="2" t="inlineStr">
        <is>
          <t>⚙ 자동 계산: AR~BA열 회색 수식이 날짜·금액·거래처를 정리합니다 — 수정 금지. 오른쪽 '인식 결과'에 ✔가 뜨면 성공. 처음 쓸 때: 8행 아래 예시를 전체 선택 → Delete 로 먼저 지우세요.</t>
        </is>
      </c>
    </row>
    <row r="4">
      <c r="A4" s="25" t="inlineStr">
        <is>
          <t>데이터 시작 행</t>
        </is>
      </c>
      <c r="B4" s="25" t="inlineStr">
        <is>
          <t>작성일자 열</t>
        </is>
      </c>
      <c r="C4" s="25" t="inlineStr">
        <is>
          <t>승인번호 열</t>
        </is>
      </c>
      <c r="D4" s="25" t="inlineStr">
        <is>
          <t>거래처 사업자번호 열</t>
        </is>
      </c>
      <c r="E4" s="25" t="inlineStr">
        <is>
          <t>거래처 상호 열</t>
        </is>
      </c>
      <c r="F4" s="25" t="inlineStr">
        <is>
          <t>합계금액 열</t>
        </is>
      </c>
      <c r="H4" s="26" t="inlineStr">
        <is>
          <t>인식 결과 (자동)</t>
        </is>
      </c>
    </row>
    <row r="5">
      <c r="A5" s="27" t="n">
        <v>14</v>
      </c>
      <c r="B5" s="27" t="inlineStr">
        <is>
          <t>A</t>
        </is>
      </c>
      <c r="C5" s="27" t="inlineStr">
        <is>
          <t>B</t>
        </is>
      </c>
      <c r="D5" s="27" t="inlineStr">
        <is>
          <t>J</t>
        </is>
      </c>
      <c r="E5" s="27" t="inlineStr">
        <is>
          <t>L</t>
        </is>
      </c>
      <c r="F5" s="27" t="inlineStr">
        <is>
          <t>O</t>
        </is>
      </c>
      <c r="H5" s="16">
        <f>IF(COUNT($AS$8:$AS$2007)=0,"아직 인식된 세금계산서가 없습니다 — 붙여넣기 위치와 열 설정을 확인하세요","✔ 세금계산서 "&amp;COUNT($AS$8:$AS$2007)&amp;"건 · 합계금액 "&amp;TEXT(SUM($AT$8:$AT$2007),"#,##0")&amp;"원 · 거래처 "&amp;MAX($AW$8:$AW$2007)&amp;"곳")</f>
        <v/>
      </c>
    </row>
    <row r="6">
      <c r="A6" s="28" t="inlineStr">
        <is>
          <t>▼ 8행(A8 셀)부터 붙여넣기</t>
        </is>
      </c>
      <c r="B6" s="29">
        <f>IF($B$5="","",IF(LEN(TRIM($B$5))=1,CODE(UPPER(TRIM($B$5)))-64,(CODE(UPPER(LEFT(TRIM($B$5),1)))-64)*26+CODE(UPPER(RIGHT(TRIM($B$5),1)))-64))</f>
        <v/>
      </c>
      <c r="C6" s="29">
        <f>IF($C$5="","",IF(LEN(TRIM($C$5))=1,CODE(UPPER(TRIM($C$5)))-64,(CODE(UPPER(LEFT(TRIM($C$5),1)))-64)*26+CODE(UPPER(RIGHT(TRIM($C$5),1)))-64))</f>
        <v/>
      </c>
      <c r="D6" s="29">
        <f>IF($D$5="","",IF(LEN(TRIM($D$5))=1,CODE(UPPER(TRIM($D$5)))-64,(CODE(UPPER(LEFT(TRIM($D$5),1)))-64)*26+CODE(UPPER(RIGHT(TRIM($D$5),1)))-64))</f>
        <v/>
      </c>
      <c r="E6" s="29">
        <f>IF($E$5="","",IF(LEN(TRIM($E$5))=1,CODE(UPPER(TRIM($E$5)))-64,(CODE(UPPER(LEFT(TRIM($E$5),1)))-64)*26+CODE(UPPER(RIGHT(TRIM($E$5),1)))-64))</f>
        <v/>
      </c>
      <c r="F6" s="29">
        <f>IF($F$5="","",IF(LEN(TRIM($F$5))=1,CODE(UPPER(TRIM($F$5)))-64,(CODE(UPPER(LEFT(TRIM($F$5),1)))-64)*26+CODE(UPPER(RIGHT(TRIM($F$5),1)))-64))</f>
        <v/>
      </c>
      <c r="H6" s="14">
        <f>IF(COUNTIF($AX$8:$AX$2007,"999-*")&gt;0,"⚠ 예시 데이터 "&amp;COUNTIF($AX$8:$AX$2007,"999-*")&amp;"줄이 남아 있습니다 — 지우고 쓰세요 (8행 아래 전체 선택 → Delete)","")</f>
        <v/>
      </c>
    </row>
    <row r="7">
      <c r="AR7" s="26" t="inlineStr">
        <is>
          <t>원본일자(자동)</t>
        </is>
      </c>
      <c r="AS7" s="26" t="inlineStr">
        <is>
          <t>작성일자(자동)</t>
        </is>
      </c>
      <c r="AT7" s="26" t="inlineStr">
        <is>
          <t>합계(자동)</t>
        </is>
      </c>
      <c r="AU7" s="26" t="inlineStr">
        <is>
          <t>거래처키(자동)</t>
        </is>
      </c>
      <c r="AV7" s="26" t="inlineStr">
        <is>
          <t>거래처 상호(자동)</t>
        </is>
      </c>
      <c r="AW7" s="26" t="inlineStr">
        <is>
          <t>거래처순번(자동)</t>
        </is>
      </c>
      <c r="AX7" s="26" t="inlineStr">
        <is>
          <t>원본 사업자번호(자동)</t>
        </is>
      </c>
      <c r="AY7" s="26" t="inlineStr">
        <is>
          <t>거래처번호(자동)</t>
        </is>
      </c>
      <c r="AZ7" s="26" t="inlineStr">
        <is>
          <t>승인번호(자동)</t>
        </is>
      </c>
      <c r="BA7" s="26" t="inlineStr">
        <is>
          <t>중복(자동)</t>
        </is>
      </c>
    </row>
    <row r="8">
      <c r="A8" s="30" t="inlineStr">
        <is>
          <t>매출 전자(세금)계산서 목록 (가상 예시)</t>
        </is>
      </c>
      <c r="AR8" s="31">
        <f>IF(OR($A$5="",$B$6="",ROW()&lt;$A$5),"",IF(INDEX($A:$AP,ROW(),$B$6)="","",INDEX($A:$AP,ROW(),$B$6)))</f>
        <v/>
      </c>
      <c r="AS8" s="32">
        <f>IF($AR8="","",IF(ISNUMBER($AR8),IF($AR8&gt;=10000000,IFERROR(DATE(INT($AR8/10000),MOD(INT($AR8/100),100),MOD($AR8,100)),""),INT($AR8)),IFERROR(DATE(--LEFT(LEFT(SUBSTITUTE(SUBSTITUTE(SUBSTITUTE(SUBSTITUTE(TRIM($AR8),"-",""),".",""),"/","")," ",""),8),4),--MID(LEFT(SUBSTITUTE(SUBSTITUTE(SUBSTITUTE(SUBSTITUTE(TRIM($AR8),"-",""),".",""),"/","")," ",""),8),5,2),--MID(LEFT(SUBSTITUTE(SUBSTITUTE(SUBSTITUTE(SUBSTITUTE(TRIM($AR8),"-",""),".",""),"/","")," ",""),8),7,2)),"")))</f>
        <v/>
      </c>
      <c r="AT8" s="33">
        <f>IF($AS8="","",IF($F$6="",0,IF(ISNUMBER(INDEX($A:$AP,ROW(),$F$6)),INDEX($A:$AP,ROW(),$F$6),IFERROR(--SUBSTITUTE(SUBSTITUTE(TRIM(INDEX($A:$AP,ROW(),$F$6)),",",""),"원",""),0))))</f>
        <v/>
      </c>
      <c r="AU8" s="31">
        <f>IF($AS8="","",IF($AX8&lt;&gt;"",SUBSTITUTE(SUBSTITUTE($AX8,"-","")," ",""),"N:"&amp;$AV8))</f>
        <v/>
      </c>
      <c r="AV8" s="31">
        <f>IF(OR($AS8="",$E$6=""),"",TRIM(INDEX($A:$AP,ROW(),$E$6)&amp;""))</f>
        <v/>
      </c>
      <c r="AW8" s="31">
        <f>IF($AU8="","",IF(MATCH($AU8,$AU$8:$AU$2007,0)=ROW()-7,MAX($AW$7:$AW7)+1,""))</f>
        <v/>
      </c>
      <c r="AX8" s="31">
        <f>IF(OR($AS8="",$D$6=""),"",TRIM(INDEX($A:$AP,ROW(),$D$6)&amp;""))</f>
        <v/>
      </c>
      <c r="AY8" s="31">
        <f>IF($AU8="","",INDEX($AW$8:$AW$2007,MATCH($AU8,$AU$8:$AU$2007,0)))</f>
        <v/>
      </c>
      <c r="AZ8" s="31">
        <f>IF(OR($AS8="",$C$6=""),"",TRIM(INDEX($A:$AP,ROW(),$C$6)&amp;""))</f>
        <v/>
      </c>
      <c r="BA8" s="31">
        <f>IF($AZ8="","",IF(COUNTIF($AZ$8:$AZ8,$AZ8)&gt;1,1,0))</f>
        <v/>
      </c>
    </row>
    <row r="9">
      <c r="AR9" s="31">
        <f>IF(OR($A$5="",$B$6="",ROW()&lt;$A$5),"",IF(INDEX($A:$AP,ROW(),$B$6)="","",INDEX($A:$AP,ROW(),$B$6)))</f>
        <v/>
      </c>
      <c r="AS9" s="32">
        <f>IF($AR9="","",IF(ISNUMBER($AR9),IF($AR9&gt;=10000000,IFERROR(DATE(INT($AR9/10000),MOD(INT($AR9/100),100),MOD($AR9,100)),""),INT($AR9)),IFERROR(DATE(--LEFT(LEFT(SUBSTITUTE(SUBSTITUTE(SUBSTITUTE(SUBSTITUTE(TRIM($AR9),"-",""),".",""),"/","")," ",""),8),4),--MID(LEFT(SUBSTITUTE(SUBSTITUTE(SUBSTITUTE(SUBSTITUTE(TRIM($AR9),"-",""),".",""),"/","")," ",""),8),5,2),--MID(LEFT(SUBSTITUTE(SUBSTITUTE(SUBSTITUTE(SUBSTITUTE(TRIM($AR9),"-",""),".",""),"/","")," ",""),8),7,2)),"")))</f>
        <v/>
      </c>
      <c r="AT9" s="33">
        <f>IF($AS9="","",IF($F$6="",0,IF(ISNUMBER(INDEX($A:$AP,ROW(),$F$6)),INDEX($A:$AP,ROW(),$F$6),IFERROR(--SUBSTITUTE(SUBSTITUTE(TRIM(INDEX($A:$AP,ROW(),$F$6)),",",""),"원",""),0))))</f>
        <v/>
      </c>
      <c r="AU9" s="31">
        <f>IF($AS9="","",IF($AX9&lt;&gt;"",SUBSTITUTE(SUBSTITUTE($AX9,"-","")," ",""),"N:"&amp;$AV9))</f>
        <v/>
      </c>
      <c r="AV9" s="31">
        <f>IF(OR($AS9="",$E$6=""),"",TRIM(INDEX($A:$AP,ROW(),$E$6)&amp;""))</f>
        <v/>
      </c>
      <c r="AW9" s="31">
        <f>IF($AU9="","",IF(MATCH($AU9,$AU$8:$AU$2007,0)=ROW()-7,MAX($AW$7:$AW8)+1,""))</f>
        <v/>
      </c>
      <c r="AX9" s="31">
        <f>IF(OR($AS9="",$D$6=""),"",TRIM(INDEX($A:$AP,ROW(),$D$6)&amp;""))</f>
        <v/>
      </c>
      <c r="AY9" s="31">
        <f>IF($AU9="","",INDEX($AW$8:$AW$2007,MATCH($AU9,$AU$8:$AU$2007,0)))</f>
        <v/>
      </c>
      <c r="AZ9" s="31">
        <f>IF(OR($AS9="",$C$6=""),"",TRIM(INDEX($A:$AP,ROW(),$C$6)&amp;""))</f>
        <v/>
      </c>
      <c r="BA9" s="31">
        <f>IF($AZ9="","",IF(COUNTIF($AZ$8:$AZ9,$AZ9)&gt;1,1,0))</f>
        <v/>
      </c>
    </row>
    <row r="10">
      <c r="A10" s="30" t="inlineStr">
        <is>
          <t>조회기간 : 2026-05 ~ 2026-10</t>
        </is>
      </c>
      <c r="AR10" s="31">
        <f>IF(OR($A$5="",$B$6="",ROW()&lt;$A$5),"",IF(INDEX($A:$AP,ROW(),$B$6)="","",INDEX($A:$AP,ROW(),$B$6)))</f>
        <v/>
      </c>
      <c r="AS10" s="32">
        <f>IF($AR10="","",IF(ISNUMBER($AR10),IF($AR10&gt;=10000000,IFERROR(DATE(INT($AR10/10000),MOD(INT($AR10/100),100),MOD($AR10,100)),""),INT($AR10)),IFERROR(DATE(--LEFT(LEFT(SUBSTITUTE(SUBSTITUTE(SUBSTITUTE(SUBSTITUTE(TRIM($AR10),"-",""),".",""),"/","")," ",""),8),4),--MID(LEFT(SUBSTITUTE(SUBSTITUTE(SUBSTITUTE(SUBSTITUTE(TRIM($AR10),"-",""),".",""),"/","")," ",""),8),5,2),--MID(LEFT(SUBSTITUTE(SUBSTITUTE(SUBSTITUTE(SUBSTITUTE(TRIM($AR10),"-",""),".",""),"/","")," ",""),8),7,2)),"")))</f>
        <v/>
      </c>
      <c r="AT10" s="33">
        <f>IF($AS10="","",IF($F$6="",0,IF(ISNUMBER(INDEX($A:$AP,ROW(),$F$6)),INDEX($A:$AP,ROW(),$F$6),IFERROR(--SUBSTITUTE(SUBSTITUTE(TRIM(INDEX($A:$AP,ROW(),$F$6)),",",""),"원",""),0))))</f>
        <v/>
      </c>
      <c r="AU10" s="31">
        <f>IF($AS10="","",IF($AX10&lt;&gt;"",SUBSTITUTE(SUBSTITUTE($AX10,"-","")," ",""),"N:"&amp;$AV10))</f>
        <v/>
      </c>
      <c r="AV10" s="31">
        <f>IF(OR($AS10="",$E$6=""),"",TRIM(INDEX($A:$AP,ROW(),$E$6)&amp;""))</f>
        <v/>
      </c>
      <c r="AW10" s="31">
        <f>IF($AU10="","",IF(MATCH($AU10,$AU$8:$AU$2007,0)=ROW()-7,MAX($AW$7:$AW9)+1,""))</f>
        <v/>
      </c>
      <c r="AX10" s="31">
        <f>IF(OR($AS10="",$D$6=""),"",TRIM(INDEX($A:$AP,ROW(),$D$6)&amp;""))</f>
        <v/>
      </c>
      <c r="AY10" s="31">
        <f>IF($AU10="","",INDEX($AW$8:$AW$2007,MATCH($AU10,$AU$8:$AU$2007,0)))</f>
        <v/>
      </c>
      <c r="AZ10" s="31">
        <f>IF(OR($AS10="",$C$6=""),"",TRIM(INDEX($A:$AP,ROW(),$C$6)&amp;""))</f>
        <v/>
      </c>
      <c r="BA10" s="31">
        <f>IF($AZ10="","",IF(COUNTIF($AZ$8:$AZ10,$AZ10)&gt;1,1,0))</f>
        <v/>
      </c>
    </row>
    <row r="11">
      <c r="A11" s="30" t="inlineStr">
        <is>
          <t>사업자등록번호 : 999-81-00001 (가상)</t>
        </is>
      </c>
      <c r="AR11" s="31">
        <f>IF(OR($A$5="",$B$6="",ROW()&lt;$A$5),"",IF(INDEX($A:$AP,ROW(),$B$6)="","",INDEX($A:$AP,ROW(),$B$6)))</f>
        <v/>
      </c>
      <c r="AS11" s="32">
        <f>IF($AR11="","",IF(ISNUMBER($AR11),IF($AR11&gt;=10000000,IFERROR(DATE(INT($AR11/10000),MOD(INT($AR11/100),100),MOD($AR11,100)),""),INT($AR11)),IFERROR(DATE(--LEFT(LEFT(SUBSTITUTE(SUBSTITUTE(SUBSTITUTE(SUBSTITUTE(TRIM($AR11),"-",""),".",""),"/","")," ",""),8),4),--MID(LEFT(SUBSTITUTE(SUBSTITUTE(SUBSTITUTE(SUBSTITUTE(TRIM($AR11),"-",""),".",""),"/","")," ",""),8),5,2),--MID(LEFT(SUBSTITUTE(SUBSTITUTE(SUBSTITUTE(SUBSTITUTE(TRIM($AR11),"-",""),".",""),"/","")," ",""),8),7,2)),"")))</f>
        <v/>
      </c>
      <c r="AT11" s="33">
        <f>IF($AS11="","",IF($F$6="",0,IF(ISNUMBER(INDEX($A:$AP,ROW(),$F$6)),INDEX($A:$AP,ROW(),$F$6),IFERROR(--SUBSTITUTE(SUBSTITUTE(TRIM(INDEX($A:$AP,ROW(),$F$6)),",",""),"원",""),0))))</f>
        <v/>
      </c>
      <c r="AU11" s="31">
        <f>IF($AS11="","",IF($AX11&lt;&gt;"",SUBSTITUTE(SUBSTITUTE($AX11,"-","")," ",""),"N:"&amp;$AV11))</f>
        <v/>
      </c>
      <c r="AV11" s="31">
        <f>IF(OR($AS11="",$E$6=""),"",TRIM(INDEX($A:$AP,ROW(),$E$6)&amp;""))</f>
        <v/>
      </c>
      <c r="AW11" s="31">
        <f>IF($AU11="","",IF(MATCH($AU11,$AU$8:$AU$2007,0)=ROW()-7,MAX($AW$7:$AW10)+1,""))</f>
        <v/>
      </c>
      <c r="AX11" s="31">
        <f>IF(OR($AS11="",$D$6=""),"",TRIM(INDEX($A:$AP,ROW(),$D$6)&amp;""))</f>
        <v/>
      </c>
      <c r="AY11" s="31">
        <f>IF($AU11="","",INDEX($AW$8:$AW$2007,MATCH($AU11,$AU$8:$AU$2007,0)))</f>
        <v/>
      </c>
      <c r="AZ11" s="31">
        <f>IF(OR($AS11="",$C$6=""),"",TRIM(INDEX($A:$AP,ROW(),$C$6)&amp;""))</f>
        <v/>
      </c>
      <c r="BA11" s="31">
        <f>IF($AZ11="","",IF(COUNTIF($AZ$8:$AZ11,$AZ11)&gt;1,1,0))</f>
        <v/>
      </c>
    </row>
    <row r="12">
      <c r="AR12" s="31">
        <f>IF(OR($A$5="",$B$6="",ROW()&lt;$A$5),"",IF(INDEX($A:$AP,ROW(),$B$6)="","",INDEX($A:$AP,ROW(),$B$6)))</f>
        <v/>
      </c>
      <c r="AS12" s="32">
        <f>IF($AR12="","",IF(ISNUMBER($AR12),IF($AR12&gt;=10000000,IFERROR(DATE(INT($AR12/10000),MOD(INT($AR12/100),100),MOD($AR12,100)),""),INT($AR12)),IFERROR(DATE(--LEFT(LEFT(SUBSTITUTE(SUBSTITUTE(SUBSTITUTE(SUBSTITUTE(TRIM($AR12),"-",""),".",""),"/","")," ",""),8),4),--MID(LEFT(SUBSTITUTE(SUBSTITUTE(SUBSTITUTE(SUBSTITUTE(TRIM($AR12),"-",""),".",""),"/","")," ",""),8),5,2),--MID(LEFT(SUBSTITUTE(SUBSTITUTE(SUBSTITUTE(SUBSTITUTE(TRIM($AR12),"-",""),".",""),"/","")," ",""),8),7,2)),"")))</f>
        <v/>
      </c>
      <c r="AT12" s="33">
        <f>IF($AS12="","",IF($F$6="",0,IF(ISNUMBER(INDEX($A:$AP,ROW(),$F$6)),INDEX($A:$AP,ROW(),$F$6),IFERROR(--SUBSTITUTE(SUBSTITUTE(TRIM(INDEX($A:$AP,ROW(),$F$6)),",",""),"원",""),0))))</f>
        <v/>
      </c>
      <c r="AU12" s="31">
        <f>IF($AS12="","",IF($AX12&lt;&gt;"",SUBSTITUTE(SUBSTITUTE($AX12,"-","")," ",""),"N:"&amp;$AV12))</f>
        <v/>
      </c>
      <c r="AV12" s="31">
        <f>IF(OR($AS12="",$E$6=""),"",TRIM(INDEX($A:$AP,ROW(),$E$6)&amp;""))</f>
        <v/>
      </c>
      <c r="AW12" s="31">
        <f>IF($AU12="","",IF(MATCH($AU12,$AU$8:$AU$2007,0)=ROW()-7,MAX($AW$7:$AW11)+1,""))</f>
        <v/>
      </c>
      <c r="AX12" s="31">
        <f>IF(OR($AS12="",$D$6=""),"",TRIM(INDEX($A:$AP,ROW(),$D$6)&amp;""))</f>
        <v/>
      </c>
      <c r="AY12" s="31">
        <f>IF($AU12="","",INDEX($AW$8:$AW$2007,MATCH($AU12,$AU$8:$AU$2007,0)))</f>
        <v/>
      </c>
      <c r="AZ12" s="31">
        <f>IF(OR($AS12="",$C$6=""),"",TRIM(INDEX($A:$AP,ROW(),$C$6)&amp;""))</f>
        <v/>
      </c>
      <c r="BA12" s="31">
        <f>IF($AZ12="","",IF(COUNTIF($AZ$8:$AZ12,$AZ12)&gt;1,1,0))</f>
        <v/>
      </c>
    </row>
    <row r="13">
      <c r="A13" s="30" t="inlineStr">
        <is>
          <t>작성일자</t>
        </is>
      </c>
      <c r="B13" s="30" t="inlineStr">
        <is>
          <t>승인번호</t>
        </is>
      </c>
      <c r="C13" s="30" t="inlineStr">
        <is>
          <t>발급일자</t>
        </is>
      </c>
      <c r="D13" s="30" t="inlineStr">
        <is>
          <t>전송일자</t>
        </is>
      </c>
      <c r="E13" s="30" t="inlineStr">
        <is>
          <t>공급자사업자등록번호</t>
        </is>
      </c>
      <c r="F13" s="30" t="inlineStr">
        <is>
          <t>종사업장번호</t>
        </is>
      </c>
      <c r="G13" s="30" t="inlineStr">
        <is>
          <t>상호</t>
        </is>
      </c>
      <c r="H13" s="30" t="inlineStr">
        <is>
          <t>대표자명</t>
        </is>
      </c>
      <c r="I13" s="30" t="inlineStr">
        <is>
          <t>주소</t>
        </is>
      </c>
      <c r="J13" s="30" t="inlineStr">
        <is>
          <t>공급받는자사업자등록번호</t>
        </is>
      </c>
      <c r="K13" s="30" t="inlineStr">
        <is>
          <t>종사업장번호</t>
        </is>
      </c>
      <c r="L13" s="30" t="inlineStr">
        <is>
          <t>상호</t>
        </is>
      </c>
      <c r="M13" s="30" t="inlineStr">
        <is>
          <t>대표자명</t>
        </is>
      </c>
      <c r="N13" s="30" t="inlineStr">
        <is>
          <t>주소</t>
        </is>
      </c>
      <c r="O13" s="30" t="inlineStr">
        <is>
          <t>합계금액</t>
        </is>
      </c>
      <c r="P13" s="30" t="inlineStr">
        <is>
          <t>공급가액</t>
        </is>
      </c>
      <c r="Q13" s="30" t="inlineStr">
        <is>
          <t>세액</t>
        </is>
      </c>
      <c r="R13" s="30" t="inlineStr">
        <is>
          <t>전자세금계산서분류</t>
        </is>
      </c>
      <c r="S13" s="30" t="inlineStr">
        <is>
          <t>전자세금계산서종류</t>
        </is>
      </c>
      <c r="T13" s="30" t="inlineStr">
        <is>
          <t>발급유형</t>
        </is>
      </c>
      <c r="AR13" s="31">
        <f>IF(OR($A$5="",$B$6="",ROW()&lt;$A$5),"",IF(INDEX($A:$AP,ROW(),$B$6)="","",INDEX($A:$AP,ROW(),$B$6)))</f>
        <v/>
      </c>
      <c r="AS13" s="32">
        <f>IF($AR13="","",IF(ISNUMBER($AR13),IF($AR13&gt;=10000000,IFERROR(DATE(INT($AR13/10000),MOD(INT($AR13/100),100),MOD($AR13,100)),""),INT($AR13)),IFERROR(DATE(--LEFT(LEFT(SUBSTITUTE(SUBSTITUTE(SUBSTITUTE(SUBSTITUTE(TRIM($AR13),"-",""),".",""),"/","")," ",""),8),4),--MID(LEFT(SUBSTITUTE(SUBSTITUTE(SUBSTITUTE(SUBSTITUTE(TRIM($AR13),"-",""),".",""),"/","")," ",""),8),5,2),--MID(LEFT(SUBSTITUTE(SUBSTITUTE(SUBSTITUTE(SUBSTITUTE(TRIM($AR13),"-",""),".",""),"/","")," ",""),8),7,2)),"")))</f>
        <v/>
      </c>
      <c r="AT13" s="33">
        <f>IF($AS13="","",IF($F$6="",0,IF(ISNUMBER(INDEX($A:$AP,ROW(),$F$6)),INDEX($A:$AP,ROW(),$F$6),IFERROR(--SUBSTITUTE(SUBSTITUTE(TRIM(INDEX($A:$AP,ROW(),$F$6)),",",""),"원",""),0))))</f>
        <v/>
      </c>
      <c r="AU13" s="31">
        <f>IF($AS13="","",IF($AX13&lt;&gt;"",SUBSTITUTE(SUBSTITUTE($AX13,"-","")," ",""),"N:"&amp;$AV13))</f>
        <v/>
      </c>
      <c r="AV13" s="31">
        <f>IF(OR($AS13="",$E$6=""),"",TRIM(INDEX($A:$AP,ROW(),$E$6)&amp;""))</f>
        <v/>
      </c>
      <c r="AW13" s="31">
        <f>IF($AU13="","",IF(MATCH($AU13,$AU$8:$AU$2007,0)=ROW()-7,MAX($AW$7:$AW12)+1,""))</f>
        <v/>
      </c>
      <c r="AX13" s="31">
        <f>IF(OR($AS13="",$D$6=""),"",TRIM(INDEX($A:$AP,ROW(),$D$6)&amp;""))</f>
        <v/>
      </c>
      <c r="AY13" s="31">
        <f>IF($AU13="","",INDEX($AW$8:$AW$2007,MATCH($AU13,$AU$8:$AU$2007,0)))</f>
        <v/>
      </c>
      <c r="AZ13" s="31">
        <f>IF(OR($AS13="",$C$6=""),"",TRIM(INDEX($A:$AP,ROW(),$C$6)&amp;""))</f>
        <v/>
      </c>
      <c r="BA13" s="31">
        <f>IF($AZ13="","",IF(COUNTIF($AZ$8:$AZ13,$AZ13)&gt;1,1,0))</f>
        <v/>
      </c>
    </row>
    <row r="14">
      <c r="A14" s="30" t="inlineStr">
        <is>
          <t>2026-05-10</t>
        </is>
      </c>
      <c r="B14" s="30" t="inlineStr">
        <is>
          <t>20260510-41000</t>
        </is>
      </c>
      <c r="C14" s="30" t="inlineStr">
        <is>
          <t>2026-05-10</t>
        </is>
      </c>
      <c r="D14" s="30" t="inlineStr">
        <is>
          <t>2026-05-10</t>
        </is>
      </c>
      <c r="E14" s="30" t="inlineStr">
        <is>
          <t>999-81-00001</t>
        </is>
      </c>
      <c r="F14" s="30" t="inlineStr"/>
      <c r="G14" s="30" t="inlineStr">
        <is>
          <t>(주)가온상사</t>
        </is>
      </c>
      <c r="H14" s="30" t="inlineStr">
        <is>
          <t>김가온</t>
        </is>
      </c>
      <c r="I14" s="30" t="inlineStr">
        <is>
          <t>가상 주소</t>
        </is>
      </c>
      <c r="J14" s="30" t="inlineStr">
        <is>
          <t>999-81-10007</t>
        </is>
      </c>
      <c r="K14" s="30" t="inlineStr"/>
      <c r="L14" s="30" t="inlineStr">
        <is>
          <t>한결건설(주)</t>
        </is>
      </c>
      <c r="M14" s="30" t="inlineStr">
        <is>
          <t>대표</t>
        </is>
      </c>
      <c r="N14" s="30" t="inlineStr">
        <is>
          <t>가상 주소</t>
        </is>
      </c>
      <c r="O14" s="34" t="n">
        <v>3300000</v>
      </c>
      <c r="P14" s="34" t="n">
        <v>3000000</v>
      </c>
      <c r="Q14" s="34" t="n">
        <v>300000</v>
      </c>
      <c r="R14" s="30" t="inlineStr">
        <is>
          <t>세금계산서</t>
        </is>
      </c>
      <c r="S14" s="30" t="inlineStr">
        <is>
          <t>일반</t>
        </is>
      </c>
      <c r="T14" s="30" t="inlineStr">
        <is>
          <t>직접발급</t>
        </is>
      </c>
      <c r="AR14" s="31">
        <f>IF(OR($A$5="",$B$6="",ROW()&lt;$A$5),"",IF(INDEX($A:$AP,ROW(),$B$6)="","",INDEX($A:$AP,ROW(),$B$6)))</f>
        <v/>
      </c>
      <c r="AS14" s="32">
        <f>IF($AR14="","",IF(ISNUMBER($AR14),IF($AR14&gt;=10000000,IFERROR(DATE(INT($AR14/10000),MOD(INT($AR14/100),100),MOD($AR14,100)),""),INT($AR14)),IFERROR(DATE(--LEFT(LEFT(SUBSTITUTE(SUBSTITUTE(SUBSTITUTE(SUBSTITUTE(TRIM($AR14),"-",""),".",""),"/","")," ",""),8),4),--MID(LEFT(SUBSTITUTE(SUBSTITUTE(SUBSTITUTE(SUBSTITUTE(TRIM($AR14),"-",""),".",""),"/","")," ",""),8),5,2),--MID(LEFT(SUBSTITUTE(SUBSTITUTE(SUBSTITUTE(SUBSTITUTE(TRIM($AR14),"-",""),".",""),"/","")," ",""),8),7,2)),"")))</f>
        <v/>
      </c>
      <c r="AT14" s="33">
        <f>IF($AS14="","",IF($F$6="",0,IF(ISNUMBER(INDEX($A:$AP,ROW(),$F$6)),INDEX($A:$AP,ROW(),$F$6),IFERROR(--SUBSTITUTE(SUBSTITUTE(TRIM(INDEX($A:$AP,ROW(),$F$6)),",",""),"원",""),0))))</f>
        <v/>
      </c>
      <c r="AU14" s="31">
        <f>IF($AS14="","",IF($AX14&lt;&gt;"",SUBSTITUTE(SUBSTITUTE($AX14,"-","")," ",""),"N:"&amp;$AV14))</f>
        <v/>
      </c>
      <c r="AV14" s="31">
        <f>IF(OR($AS14="",$E$6=""),"",TRIM(INDEX($A:$AP,ROW(),$E$6)&amp;""))</f>
        <v/>
      </c>
      <c r="AW14" s="31">
        <f>IF($AU14="","",IF(MATCH($AU14,$AU$8:$AU$2007,0)=ROW()-7,MAX($AW$7:$AW13)+1,""))</f>
        <v/>
      </c>
      <c r="AX14" s="31">
        <f>IF(OR($AS14="",$D$6=""),"",TRIM(INDEX($A:$AP,ROW(),$D$6)&amp;""))</f>
        <v/>
      </c>
      <c r="AY14" s="31">
        <f>IF($AU14="","",INDEX($AW$8:$AW$2007,MATCH($AU14,$AU$8:$AU$2007,0)))</f>
        <v/>
      </c>
      <c r="AZ14" s="31">
        <f>IF(OR($AS14="",$C$6=""),"",TRIM(INDEX($A:$AP,ROW(),$C$6)&amp;""))</f>
        <v/>
      </c>
      <c r="BA14" s="31">
        <f>IF($AZ14="","",IF(COUNTIF($AZ$8:$AZ14,$AZ14)&gt;1,1,0))</f>
        <v/>
      </c>
    </row>
    <row r="15">
      <c r="A15" s="30" t="inlineStr">
        <is>
          <t>2026-06-01</t>
        </is>
      </c>
      <c r="B15" s="30" t="inlineStr">
        <is>
          <t>20260601-41001</t>
        </is>
      </c>
      <c r="C15" s="30" t="inlineStr">
        <is>
          <t>2026-06-01</t>
        </is>
      </c>
      <c r="D15" s="30" t="inlineStr">
        <is>
          <t>2026-06-01</t>
        </is>
      </c>
      <c r="E15" s="30" t="inlineStr">
        <is>
          <t>999-81-00001</t>
        </is>
      </c>
      <c r="F15" s="30" t="inlineStr"/>
      <c r="G15" s="30" t="inlineStr">
        <is>
          <t>(주)가온상사</t>
        </is>
      </c>
      <c r="H15" s="30" t="inlineStr">
        <is>
          <t>김가온</t>
        </is>
      </c>
      <c r="I15" s="30" t="inlineStr">
        <is>
          <t>가상 주소</t>
        </is>
      </c>
      <c r="J15" s="30" t="inlineStr">
        <is>
          <t>999-81-10008</t>
        </is>
      </c>
      <c r="K15" s="30" t="inlineStr"/>
      <c r="L15" s="30" t="inlineStr">
        <is>
          <t>소나무상사</t>
        </is>
      </c>
      <c r="M15" s="30" t="inlineStr">
        <is>
          <t>대표</t>
        </is>
      </c>
      <c r="N15" s="30" t="inlineStr">
        <is>
          <t>가상 주소</t>
        </is>
      </c>
      <c r="O15" s="34" t="n">
        <v>440000</v>
      </c>
      <c r="P15" s="34" t="n">
        <v>400000</v>
      </c>
      <c r="Q15" s="34" t="n">
        <v>40000</v>
      </c>
      <c r="R15" s="30" t="inlineStr">
        <is>
          <t>세금계산서</t>
        </is>
      </c>
      <c r="S15" s="30" t="inlineStr">
        <is>
          <t>일반</t>
        </is>
      </c>
      <c r="T15" s="30" t="inlineStr">
        <is>
          <t>직접발급</t>
        </is>
      </c>
      <c r="AR15" s="31">
        <f>IF(OR($A$5="",$B$6="",ROW()&lt;$A$5),"",IF(INDEX($A:$AP,ROW(),$B$6)="","",INDEX($A:$AP,ROW(),$B$6)))</f>
        <v/>
      </c>
      <c r="AS15" s="32">
        <f>IF($AR15="","",IF(ISNUMBER($AR15),IF($AR15&gt;=10000000,IFERROR(DATE(INT($AR15/10000),MOD(INT($AR15/100),100),MOD($AR15,100)),""),INT($AR15)),IFERROR(DATE(--LEFT(LEFT(SUBSTITUTE(SUBSTITUTE(SUBSTITUTE(SUBSTITUTE(TRIM($AR15),"-",""),".",""),"/","")," ",""),8),4),--MID(LEFT(SUBSTITUTE(SUBSTITUTE(SUBSTITUTE(SUBSTITUTE(TRIM($AR15),"-",""),".",""),"/","")," ",""),8),5,2),--MID(LEFT(SUBSTITUTE(SUBSTITUTE(SUBSTITUTE(SUBSTITUTE(TRIM($AR15),"-",""),".",""),"/","")," ",""),8),7,2)),"")))</f>
        <v/>
      </c>
      <c r="AT15" s="33">
        <f>IF($AS15="","",IF($F$6="",0,IF(ISNUMBER(INDEX($A:$AP,ROW(),$F$6)),INDEX($A:$AP,ROW(),$F$6),IFERROR(--SUBSTITUTE(SUBSTITUTE(TRIM(INDEX($A:$AP,ROW(),$F$6)),",",""),"원",""),0))))</f>
        <v/>
      </c>
      <c r="AU15" s="31">
        <f>IF($AS15="","",IF($AX15&lt;&gt;"",SUBSTITUTE(SUBSTITUTE($AX15,"-","")," ",""),"N:"&amp;$AV15))</f>
        <v/>
      </c>
      <c r="AV15" s="31">
        <f>IF(OR($AS15="",$E$6=""),"",TRIM(INDEX($A:$AP,ROW(),$E$6)&amp;""))</f>
        <v/>
      </c>
      <c r="AW15" s="31">
        <f>IF($AU15="","",IF(MATCH($AU15,$AU$8:$AU$2007,0)=ROW()-7,MAX($AW$7:$AW14)+1,""))</f>
        <v/>
      </c>
      <c r="AX15" s="31">
        <f>IF(OR($AS15="",$D$6=""),"",TRIM(INDEX($A:$AP,ROW(),$D$6)&amp;""))</f>
        <v/>
      </c>
      <c r="AY15" s="31">
        <f>IF($AU15="","",INDEX($AW$8:$AW$2007,MATCH($AU15,$AU$8:$AU$2007,0)))</f>
        <v/>
      </c>
      <c r="AZ15" s="31">
        <f>IF(OR($AS15="",$C$6=""),"",TRIM(INDEX($A:$AP,ROW(),$C$6)&amp;""))</f>
        <v/>
      </c>
      <c r="BA15" s="31">
        <f>IF($AZ15="","",IF(COUNTIF($AZ$8:$AZ15,$AZ15)&gt;1,1,0))</f>
        <v/>
      </c>
    </row>
    <row r="16">
      <c r="A16" s="30" t="inlineStr">
        <is>
          <t>2026-06-30</t>
        </is>
      </c>
      <c r="B16" s="30" t="inlineStr">
        <is>
          <t>20260630-41002</t>
        </is>
      </c>
      <c r="C16" s="30" t="inlineStr">
        <is>
          <t>2026-06-30</t>
        </is>
      </c>
      <c r="D16" s="30" t="inlineStr">
        <is>
          <t>2026-06-30</t>
        </is>
      </c>
      <c r="E16" s="30" t="inlineStr">
        <is>
          <t>999-81-00001</t>
        </is>
      </c>
      <c r="F16" s="30" t="inlineStr"/>
      <c r="G16" s="30" t="inlineStr">
        <is>
          <t>(주)가온상사</t>
        </is>
      </c>
      <c r="H16" s="30" t="inlineStr">
        <is>
          <t>김가온</t>
        </is>
      </c>
      <c r="I16" s="30" t="inlineStr">
        <is>
          <t>가상 주소</t>
        </is>
      </c>
      <c r="J16" s="30" t="inlineStr">
        <is>
          <t>999-81-10001</t>
        </is>
      </c>
      <c r="K16" s="30" t="inlineStr"/>
      <c r="L16" s="30" t="inlineStr">
        <is>
          <t>(주)하늘정밀</t>
        </is>
      </c>
      <c r="M16" s="30" t="inlineStr">
        <is>
          <t>대표</t>
        </is>
      </c>
      <c r="N16" s="30" t="inlineStr">
        <is>
          <t>가상 주소</t>
        </is>
      </c>
      <c r="O16" s="34" t="n">
        <v>4620000</v>
      </c>
      <c r="P16" s="34" t="n">
        <v>4200000</v>
      </c>
      <c r="Q16" s="34" t="n">
        <v>420000</v>
      </c>
      <c r="R16" s="30" t="inlineStr">
        <is>
          <t>세금계산서</t>
        </is>
      </c>
      <c r="S16" s="30" t="inlineStr">
        <is>
          <t>일반</t>
        </is>
      </c>
      <c r="T16" s="30" t="inlineStr">
        <is>
          <t>직접발급</t>
        </is>
      </c>
      <c r="AR16" s="31">
        <f>IF(OR($A$5="",$B$6="",ROW()&lt;$A$5),"",IF(INDEX($A:$AP,ROW(),$B$6)="","",INDEX($A:$AP,ROW(),$B$6)))</f>
        <v/>
      </c>
      <c r="AS16" s="32">
        <f>IF($AR16="","",IF(ISNUMBER($AR16),IF($AR16&gt;=10000000,IFERROR(DATE(INT($AR16/10000),MOD(INT($AR16/100),100),MOD($AR16,100)),""),INT($AR16)),IFERROR(DATE(--LEFT(LEFT(SUBSTITUTE(SUBSTITUTE(SUBSTITUTE(SUBSTITUTE(TRIM($AR16),"-",""),".",""),"/","")," ",""),8),4),--MID(LEFT(SUBSTITUTE(SUBSTITUTE(SUBSTITUTE(SUBSTITUTE(TRIM($AR16),"-",""),".",""),"/","")," ",""),8),5,2),--MID(LEFT(SUBSTITUTE(SUBSTITUTE(SUBSTITUTE(SUBSTITUTE(TRIM($AR16),"-",""),".",""),"/","")," ",""),8),7,2)),"")))</f>
        <v/>
      </c>
      <c r="AT16" s="33">
        <f>IF($AS16="","",IF($F$6="",0,IF(ISNUMBER(INDEX($A:$AP,ROW(),$F$6)),INDEX($A:$AP,ROW(),$F$6),IFERROR(--SUBSTITUTE(SUBSTITUTE(TRIM(INDEX($A:$AP,ROW(),$F$6)),",",""),"원",""),0))))</f>
        <v/>
      </c>
      <c r="AU16" s="31">
        <f>IF($AS16="","",IF($AX16&lt;&gt;"",SUBSTITUTE(SUBSTITUTE($AX16,"-","")," ",""),"N:"&amp;$AV16))</f>
        <v/>
      </c>
      <c r="AV16" s="31">
        <f>IF(OR($AS16="",$E$6=""),"",TRIM(INDEX($A:$AP,ROW(),$E$6)&amp;""))</f>
        <v/>
      </c>
      <c r="AW16" s="31">
        <f>IF($AU16="","",IF(MATCH($AU16,$AU$8:$AU$2007,0)=ROW()-7,MAX($AW$7:$AW15)+1,""))</f>
        <v/>
      </c>
      <c r="AX16" s="31">
        <f>IF(OR($AS16="",$D$6=""),"",TRIM(INDEX($A:$AP,ROW(),$D$6)&amp;""))</f>
        <v/>
      </c>
      <c r="AY16" s="31">
        <f>IF($AU16="","",INDEX($AW$8:$AW$2007,MATCH($AU16,$AU$8:$AU$2007,0)))</f>
        <v/>
      </c>
      <c r="AZ16" s="31">
        <f>IF(OR($AS16="",$C$6=""),"",TRIM(INDEX($A:$AP,ROW(),$C$6)&amp;""))</f>
        <v/>
      </c>
      <c r="BA16" s="31">
        <f>IF($AZ16="","",IF(COUNTIF($AZ$8:$AZ16,$AZ16)&gt;1,1,0))</f>
        <v/>
      </c>
    </row>
    <row r="17">
      <c r="A17" s="30" t="inlineStr">
        <is>
          <t>2026-07-01</t>
        </is>
      </c>
      <c r="B17" s="30" t="inlineStr">
        <is>
          <t>20260701-41003</t>
        </is>
      </c>
      <c r="C17" s="30" t="inlineStr">
        <is>
          <t>2026-07-01</t>
        </is>
      </c>
      <c r="D17" s="30" t="inlineStr">
        <is>
          <t>2026-07-01</t>
        </is>
      </c>
      <c r="E17" s="30" t="inlineStr">
        <is>
          <t>999-81-00001</t>
        </is>
      </c>
      <c r="F17" s="30" t="inlineStr"/>
      <c r="G17" s="30" t="inlineStr">
        <is>
          <t>(주)가온상사</t>
        </is>
      </c>
      <c r="H17" s="30" t="inlineStr">
        <is>
          <t>김가온</t>
        </is>
      </c>
      <c r="I17" s="30" t="inlineStr">
        <is>
          <t>가상 주소</t>
        </is>
      </c>
      <c r="J17" s="30" t="inlineStr">
        <is>
          <t>999-81-10007</t>
        </is>
      </c>
      <c r="K17" s="30" t="inlineStr"/>
      <c r="L17" s="30" t="inlineStr">
        <is>
          <t>한결건설(주)</t>
        </is>
      </c>
      <c r="M17" s="30" t="inlineStr">
        <is>
          <t>대표</t>
        </is>
      </c>
      <c r="N17" s="30" t="inlineStr">
        <is>
          <t>가상 주소</t>
        </is>
      </c>
      <c r="O17" s="34" t="n">
        <v>4950000</v>
      </c>
      <c r="P17" s="34" t="n">
        <v>4500000</v>
      </c>
      <c r="Q17" s="34" t="n">
        <v>450000</v>
      </c>
      <c r="R17" s="30" t="inlineStr">
        <is>
          <t>세금계산서</t>
        </is>
      </c>
      <c r="S17" s="30" t="inlineStr">
        <is>
          <t>일반</t>
        </is>
      </c>
      <c r="T17" s="30" t="inlineStr">
        <is>
          <t>직접발급</t>
        </is>
      </c>
      <c r="AR17" s="31">
        <f>IF(OR($A$5="",$B$6="",ROW()&lt;$A$5),"",IF(INDEX($A:$AP,ROW(),$B$6)="","",INDEX($A:$AP,ROW(),$B$6)))</f>
        <v/>
      </c>
      <c r="AS17" s="32">
        <f>IF($AR17="","",IF(ISNUMBER($AR17),IF($AR17&gt;=10000000,IFERROR(DATE(INT($AR17/10000),MOD(INT($AR17/100),100),MOD($AR17,100)),""),INT($AR17)),IFERROR(DATE(--LEFT(LEFT(SUBSTITUTE(SUBSTITUTE(SUBSTITUTE(SUBSTITUTE(TRIM($AR17),"-",""),".",""),"/","")," ",""),8),4),--MID(LEFT(SUBSTITUTE(SUBSTITUTE(SUBSTITUTE(SUBSTITUTE(TRIM($AR17),"-",""),".",""),"/","")," ",""),8),5,2),--MID(LEFT(SUBSTITUTE(SUBSTITUTE(SUBSTITUTE(SUBSTITUTE(TRIM($AR17),"-",""),".",""),"/","")," ",""),8),7,2)),"")))</f>
        <v/>
      </c>
      <c r="AT17" s="33">
        <f>IF($AS17="","",IF($F$6="",0,IF(ISNUMBER(INDEX($A:$AP,ROW(),$F$6)),INDEX($A:$AP,ROW(),$F$6),IFERROR(--SUBSTITUTE(SUBSTITUTE(TRIM(INDEX($A:$AP,ROW(),$F$6)),",",""),"원",""),0))))</f>
        <v/>
      </c>
      <c r="AU17" s="31">
        <f>IF($AS17="","",IF($AX17&lt;&gt;"",SUBSTITUTE(SUBSTITUTE($AX17,"-","")," ",""),"N:"&amp;$AV17))</f>
        <v/>
      </c>
      <c r="AV17" s="31">
        <f>IF(OR($AS17="",$E$6=""),"",TRIM(INDEX($A:$AP,ROW(),$E$6)&amp;""))</f>
        <v/>
      </c>
      <c r="AW17" s="31">
        <f>IF($AU17="","",IF(MATCH($AU17,$AU$8:$AU$2007,0)=ROW()-7,MAX($AW$7:$AW16)+1,""))</f>
        <v/>
      </c>
      <c r="AX17" s="31">
        <f>IF(OR($AS17="",$D$6=""),"",TRIM(INDEX($A:$AP,ROW(),$D$6)&amp;""))</f>
        <v/>
      </c>
      <c r="AY17" s="31">
        <f>IF($AU17="","",INDEX($AW$8:$AW$2007,MATCH($AU17,$AU$8:$AU$2007,0)))</f>
        <v/>
      </c>
      <c r="AZ17" s="31">
        <f>IF(OR($AS17="",$C$6=""),"",TRIM(INDEX($A:$AP,ROW(),$C$6)&amp;""))</f>
        <v/>
      </c>
      <c r="BA17" s="31">
        <f>IF($AZ17="","",IF(COUNTIF($AZ$8:$AZ17,$AZ17)&gt;1,1,0))</f>
        <v/>
      </c>
    </row>
    <row r="18">
      <c r="A18" s="30" t="inlineStr">
        <is>
          <t>2026-07-03</t>
        </is>
      </c>
      <c r="B18" s="30" t="inlineStr">
        <is>
          <t>20260703-41004</t>
        </is>
      </c>
      <c r="C18" s="30" t="inlineStr">
        <is>
          <t>2026-07-03</t>
        </is>
      </c>
      <c r="D18" s="30" t="inlineStr">
        <is>
          <t>2026-07-03</t>
        </is>
      </c>
      <c r="E18" s="30" t="inlineStr">
        <is>
          <t>999-81-00001</t>
        </is>
      </c>
      <c r="F18" s="30" t="inlineStr"/>
      <c r="G18" s="30" t="inlineStr">
        <is>
          <t>(주)가온상사</t>
        </is>
      </c>
      <c r="H18" s="30" t="inlineStr">
        <is>
          <t>김가온</t>
        </is>
      </c>
      <c r="I18" s="30" t="inlineStr">
        <is>
          <t>가상 주소</t>
        </is>
      </c>
      <c r="J18" s="30" t="inlineStr">
        <is>
          <t>999-81-10003</t>
        </is>
      </c>
      <c r="K18" s="30" t="inlineStr"/>
      <c r="L18" s="30" t="inlineStr">
        <is>
          <t>새봄유통(주)</t>
        </is>
      </c>
      <c r="M18" s="30" t="inlineStr">
        <is>
          <t>대표</t>
        </is>
      </c>
      <c r="N18" s="30" t="inlineStr">
        <is>
          <t>가상 주소</t>
        </is>
      </c>
      <c r="O18" s="34" t="n">
        <v>6600000</v>
      </c>
      <c r="P18" s="34" t="n">
        <v>6000000</v>
      </c>
      <c r="Q18" s="34" t="n">
        <v>600000</v>
      </c>
      <c r="R18" s="30" t="inlineStr">
        <is>
          <t>세금계산서</t>
        </is>
      </c>
      <c r="S18" s="30" t="inlineStr">
        <is>
          <t>일반</t>
        </is>
      </c>
      <c r="T18" s="30" t="inlineStr">
        <is>
          <t>직접발급</t>
        </is>
      </c>
      <c r="AR18" s="31">
        <f>IF(OR($A$5="",$B$6="",ROW()&lt;$A$5),"",IF(INDEX($A:$AP,ROW(),$B$6)="","",INDEX($A:$AP,ROW(),$B$6)))</f>
        <v/>
      </c>
      <c r="AS18" s="32">
        <f>IF($AR18="","",IF(ISNUMBER($AR18),IF($AR18&gt;=10000000,IFERROR(DATE(INT($AR18/10000),MOD(INT($AR18/100),100),MOD($AR18,100)),""),INT($AR18)),IFERROR(DATE(--LEFT(LEFT(SUBSTITUTE(SUBSTITUTE(SUBSTITUTE(SUBSTITUTE(TRIM($AR18),"-",""),".",""),"/","")," ",""),8),4),--MID(LEFT(SUBSTITUTE(SUBSTITUTE(SUBSTITUTE(SUBSTITUTE(TRIM($AR18),"-",""),".",""),"/","")," ",""),8),5,2),--MID(LEFT(SUBSTITUTE(SUBSTITUTE(SUBSTITUTE(SUBSTITUTE(TRIM($AR18),"-",""),".",""),"/","")," ",""),8),7,2)),"")))</f>
        <v/>
      </c>
      <c r="AT18" s="33">
        <f>IF($AS18="","",IF($F$6="",0,IF(ISNUMBER(INDEX($A:$AP,ROW(),$F$6)),INDEX($A:$AP,ROW(),$F$6),IFERROR(--SUBSTITUTE(SUBSTITUTE(TRIM(INDEX($A:$AP,ROW(),$F$6)),",",""),"원",""),0))))</f>
        <v/>
      </c>
      <c r="AU18" s="31">
        <f>IF($AS18="","",IF($AX18&lt;&gt;"",SUBSTITUTE(SUBSTITUTE($AX18,"-","")," ",""),"N:"&amp;$AV18))</f>
        <v/>
      </c>
      <c r="AV18" s="31">
        <f>IF(OR($AS18="",$E$6=""),"",TRIM(INDEX($A:$AP,ROW(),$E$6)&amp;""))</f>
        <v/>
      </c>
      <c r="AW18" s="31">
        <f>IF($AU18="","",IF(MATCH($AU18,$AU$8:$AU$2007,0)=ROW()-7,MAX($AW$7:$AW17)+1,""))</f>
        <v/>
      </c>
      <c r="AX18" s="31">
        <f>IF(OR($AS18="",$D$6=""),"",TRIM(INDEX($A:$AP,ROW(),$D$6)&amp;""))</f>
        <v/>
      </c>
      <c r="AY18" s="31">
        <f>IF($AU18="","",INDEX($AW$8:$AW$2007,MATCH($AU18,$AU$8:$AU$2007,0)))</f>
        <v/>
      </c>
      <c r="AZ18" s="31">
        <f>IF(OR($AS18="",$C$6=""),"",TRIM(INDEX($A:$AP,ROW(),$C$6)&amp;""))</f>
        <v/>
      </c>
      <c r="BA18" s="31">
        <f>IF($AZ18="","",IF(COUNTIF($AZ$8:$AZ18,$AZ18)&gt;1,1,0))</f>
        <v/>
      </c>
    </row>
    <row r="19">
      <c r="A19" s="30" t="inlineStr">
        <is>
          <t>2026-07-15</t>
        </is>
      </c>
      <c r="B19" s="30" t="inlineStr">
        <is>
          <t>20260715-41005</t>
        </is>
      </c>
      <c r="C19" s="30" t="inlineStr">
        <is>
          <t>2026-07-15</t>
        </is>
      </c>
      <c r="D19" s="30" t="inlineStr">
        <is>
          <t>2026-07-15</t>
        </is>
      </c>
      <c r="E19" s="30" t="inlineStr">
        <is>
          <t>999-81-00001</t>
        </is>
      </c>
      <c r="F19" s="30" t="inlineStr"/>
      <c r="G19" s="30" t="inlineStr">
        <is>
          <t>(주)가온상사</t>
        </is>
      </c>
      <c r="H19" s="30" t="inlineStr">
        <is>
          <t>김가온</t>
        </is>
      </c>
      <c r="I19" s="30" t="inlineStr">
        <is>
          <t>가상 주소</t>
        </is>
      </c>
      <c r="J19" s="30" t="inlineStr">
        <is>
          <t>999-81-10002</t>
        </is>
      </c>
      <c r="K19" s="30" t="inlineStr"/>
      <c r="L19" s="30" t="inlineStr">
        <is>
          <t>(주)바람테크</t>
        </is>
      </c>
      <c r="M19" s="30" t="inlineStr">
        <is>
          <t>대표</t>
        </is>
      </c>
      <c r="N19" s="30" t="inlineStr">
        <is>
          <t>가상 주소</t>
        </is>
      </c>
      <c r="O19" s="34" t="n">
        <v>1650000</v>
      </c>
      <c r="P19" s="34" t="n">
        <v>1500000</v>
      </c>
      <c r="Q19" s="34" t="n">
        <v>150000</v>
      </c>
      <c r="R19" s="30" t="inlineStr">
        <is>
          <t>세금계산서</t>
        </is>
      </c>
      <c r="S19" s="30" t="inlineStr">
        <is>
          <t>일반</t>
        </is>
      </c>
      <c r="T19" s="30" t="inlineStr">
        <is>
          <t>직접발급</t>
        </is>
      </c>
      <c r="AR19" s="31">
        <f>IF(OR($A$5="",$B$6="",ROW()&lt;$A$5),"",IF(INDEX($A:$AP,ROW(),$B$6)="","",INDEX($A:$AP,ROW(),$B$6)))</f>
        <v/>
      </c>
      <c r="AS19" s="32">
        <f>IF($AR19="","",IF(ISNUMBER($AR19),IF($AR19&gt;=10000000,IFERROR(DATE(INT($AR19/10000),MOD(INT($AR19/100),100),MOD($AR19,100)),""),INT($AR19)),IFERROR(DATE(--LEFT(LEFT(SUBSTITUTE(SUBSTITUTE(SUBSTITUTE(SUBSTITUTE(TRIM($AR19),"-",""),".",""),"/","")," ",""),8),4),--MID(LEFT(SUBSTITUTE(SUBSTITUTE(SUBSTITUTE(SUBSTITUTE(TRIM($AR19),"-",""),".",""),"/","")," ",""),8),5,2),--MID(LEFT(SUBSTITUTE(SUBSTITUTE(SUBSTITUTE(SUBSTITUTE(TRIM($AR19),"-",""),".",""),"/","")," ",""),8),7,2)),"")))</f>
        <v/>
      </c>
      <c r="AT19" s="33">
        <f>IF($AS19="","",IF($F$6="",0,IF(ISNUMBER(INDEX($A:$AP,ROW(),$F$6)),INDEX($A:$AP,ROW(),$F$6),IFERROR(--SUBSTITUTE(SUBSTITUTE(TRIM(INDEX($A:$AP,ROW(),$F$6)),",",""),"원",""),0))))</f>
        <v/>
      </c>
      <c r="AU19" s="31">
        <f>IF($AS19="","",IF($AX19&lt;&gt;"",SUBSTITUTE(SUBSTITUTE($AX19,"-","")," ",""),"N:"&amp;$AV19))</f>
        <v/>
      </c>
      <c r="AV19" s="31">
        <f>IF(OR($AS19="",$E$6=""),"",TRIM(INDEX($A:$AP,ROW(),$E$6)&amp;""))</f>
        <v/>
      </c>
      <c r="AW19" s="31">
        <f>IF($AU19="","",IF(MATCH($AU19,$AU$8:$AU$2007,0)=ROW()-7,MAX($AW$7:$AW18)+1,""))</f>
        <v/>
      </c>
      <c r="AX19" s="31">
        <f>IF(OR($AS19="",$D$6=""),"",TRIM(INDEX($A:$AP,ROW(),$D$6)&amp;""))</f>
        <v/>
      </c>
      <c r="AY19" s="31">
        <f>IF($AU19="","",INDEX($AW$8:$AW$2007,MATCH($AU19,$AU$8:$AU$2007,0)))</f>
        <v/>
      </c>
      <c r="AZ19" s="31">
        <f>IF(OR($AS19="",$C$6=""),"",TRIM(INDEX($A:$AP,ROW(),$C$6)&amp;""))</f>
        <v/>
      </c>
      <c r="BA19" s="31">
        <f>IF($AZ19="","",IF(COUNTIF($AZ$8:$AZ19,$AZ19)&gt;1,1,0))</f>
        <v/>
      </c>
    </row>
    <row r="20">
      <c r="A20" s="30" t="inlineStr">
        <is>
          <t>2026-07-20</t>
        </is>
      </c>
      <c r="B20" s="30" t="inlineStr">
        <is>
          <t>20260720-41006</t>
        </is>
      </c>
      <c r="C20" s="30" t="inlineStr">
        <is>
          <t>2026-07-20</t>
        </is>
      </c>
      <c r="D20" s="30" t="inlineStr">
        <is>
          <t>2026-07-20</t>
        </is>
      </c>
      <c r="E20" s="30" t="inlineStr">
        <is>
          <t>999-81-00001</t>
        </is>
      </c>
      <c r="F20" s="30" t="inlineStr"/>
      <c r="G20" s="30" t="inlineStr">
        <is>
          <t>(주)가온상사</t>
        </is>
      </c>
      <c r="H20" s="30" t="inlineStr">
        <is>
          <t>김가온</t>
        </is>
      </c>
      <c r="I20" s="30" t="inlineStr">
        <is>
          <t>가상 주소</t>
        </is>
      </c>
      <c r="J20" s="30" t="inlineStr">
        <is>
          <t>999-81-10005</t>
        </is>
      </c>
      <c r="K20" s="30" t="inlineStr"/>
      <c r="L20" s="30" t="inlineStr">
        <is>
          <t>해솔물산</t>
        </is>
      </c>
      <c r="M20" s="30" t="inlineStr">
        <is>
          <t>대표</t>
        </is>
      </c>
      <c r="N20" s="30" t="inlineStr">
        <is>
          <t>가상 주소</t>
        </is>
      </c>
      <c r="O20" s="34" t="n">
        <v>1320000</v>
      </c>
      <c r="P20" s="34" t="n">
        <v>1200000</v>
      </c>
      <c r="Q20" s="34" t="n">
        <v>120000</v>
      </c>
      <c r="R20" s="30" t="inlineStr">
        <is>
          <t>세금계산서</t>
        </is>
      </c>
      <c r="S20" s="30" t="inlineStr">
        <is>
          <t>일반</t>
        </is>
      </c>
      <c r="T20" s="30" t="inlineStr">
        <is>
          <t>직접발급</t>
        </is>
      </c>
      <c r="AR20" s="31">
        <f>IF(OR($A$5="",$B$6="",ROW()&lt;$A$5),"",IF(INDEX($A:$AP,ROW(),$B$6)="","",INDEX($A:$AP,ROW(),$B$6)))</f>
        <v/>
      </c>
      <c r="AS20" s="32">
        <f>IF($AR20="","",IF(ISNUMBER($AR20),IF($AR20&gt;=10000000,IFERROR(DATE(INT($AR20/10000),MOD(INT($AR20/100),100),MOD($AR20,100)),""),INT($AR20)),IFERROR(DATE(--LEFT(LEFT(SUBSTITUTE(SUBSTITUTE(SUBSTITUTE(SUBSTITUTE(TRIM($AR20),"-",""),".",""),"/","")," ",""),8),4),--MID(LEFT(SUBSTITUTE(SUBSTITUTE(SUBSTITUTE(SUBSTITUTE(TRIM($AR20),"-",""),".",""),"/","")," ",""),8),5,2),--MID(LEFT(SUBSTITUTE(SUBSTITUTE(SUBSTITUTE(SUBSTITUTE(TRIM($AR20),"-",""),".",""),"/","")," ",""),8),7,2)),"")))</f>
        <v/>
      </c>
      <c r="AT20" s="33">
        <f>IF($AS20="","",IF($F$6="",0,IF(ISNUMBER(INDEX($A:$AP,ROW(),$F$6)),INDEX($A:$AP,ROW(),$F$6),IFERROR(--SUBSTITUTE(SUBSTITUTE(TRIM(INDEX($A:$AP,ROW(),$F$6)),",",""),"원",""),0))))</f>
        <v/>
      </c>
      <c r="AU20" s="31">
        <f>IF($AS20="","",IF($AX20&lt;&gt;"",SUBSTITUTE(SUBSTITUTE($AX20,"-","")," ",""),"N:"&amp;$AV20))</f>
        <v/>
      </c>
      <c r="AV20" s="31">
        <f>IF(OR($AS20="",$E$6=""),"",TRIM(INDEX($A:$AP,ROW(),$E$6)&amp;""))</f>
        <v/>
      </c>
      <c r="AW20" s="31">
        <f>IF($AU20="","",IF(MATCH($AU20,$AU$8:$AU$2007,0)=ROW()-7,MAX($AW$7:$AW19)+1,""))</f>
        <v/>
      </c>
      <c r="AX20" s="31">
        <f>IF(OR($AS20="",$D$6=""),"",TRIM(INDEX($A:$AP,ROW(),$D$6)&amp;""))</f>
        <v/>
      </c>
      <c r="AY20" s="31">
        <f>IF($AU20="","",INDEX($AW$8:$AW$2007,MATCH($AU20,$AU$8:$AU$2007,0)))</f>
        <v/>
      </c>
      <c r="AZ20" s="31">
        <f>IF(OR($AS20="",$C$6=""),"",TRIM(INDEX($A:$AP,ROW(),$C$6)&amp;""))</f>
        <v/>
      </c>
      <c r="BA20" s="31">
        <f>IF($AZ20="","",IF(COUNTIF($AZ$8:$AZ20,$AZ20)&gt;1,1,0))</f>
        <v/>
      </c>
    </row>
    <row r="21">
      <c r="A21" s="30" t="inlineStr">
        <is>
          <t>2026-08-05</t>
        </is>
      </c>
      <c r="B21" s="30" t="inlineStr">
        <is>
          <t>20260805-41007</t>
        </is>
      </c>
      <c r="C21" s="30" t="inlineStr">
        <is>
          <t>2026-08-05</t>
        </is>
      </c>
      <c r="D21" s="30" t="inlineStr">
        <is>
          <t>2026-08-05</t>
        </is>
      </c>
      <c r="E21" s="30" t="inlineStr">
        <is>
          <t>999-81-00001</t>
        </is>
      </c>
      <c r="F21" s="30" t="inlineStr"/>
      <c r="G21" s="30" t="inlineStr">
        <is>
          <t>(주)가온상사</t>
        </is>
      </c>
      <c r="H21" s="30" t="inlineStr">
        <is>
          <t>김가온</t>
        </is>
      </c>
      <c r="I21" s="30" t="inlineStr">
        <is>
          <t>가상 주소</t>
        </is>
      </c>
      <c r="J21" s="30" t="inlineStr">
        <is>
          <t>999-81-10004</t>
        </is>
      </c>
      <c r="K21" s="30" t="inlineStr"/>
      <c r="L21" s="30" t="inlineStr">
        <is>
          <t>(주)다온산업</t>
        </is>
      </c>
      <c r="M21" s="30" t="inlineStr">
        <is>
          <t>대표</t>
        </is>
      </c>
      <c r="N21" s="30" t="inlineStr">
        <is>
          <t>가상 주소</t>
        </is>
      </c>
      <c r="O21" s="34" t="n">
        <v>7700000</v>
      </c>
      <c r="P21" s="34" t="n">
        <v>7000000</v>
      </c>
      <c r="Q21" s="34" t="n">
        <v>700000</v>
      </c>
      <c r="R21" s="30" t="inlineStr">
        <is>
          <t>세금계산서</t>
        </is>
      </c>
      <c r="S21" s="30" t="inlineStr">
        <is>
          <t>일반</t>
        </is>
      </c>
      <c r="T21" s="30" t="inlineStr">
        <is>
          <t>직접발급</t>
        </is>
      </c>
      <c r="AR21" s="31">
        <f>IF(OR($A$5="",$B$6="",ROW()&lt;$A$5),"",IF(INDEX($A:$AP,ROW(),$B$6)="","",INDEX($A:$AP,ROW(),$B$6)))</f>
        <v/>
      </c>
      <c r="AS21" s="32">
        <f>IF($AR21="","",IF(ISNUMBER($AR21),IF($AR21&gt;=10000000,IFERROR(DATE(INT($AR21/10000),MOD(INT($AR21/100),100),MOD($AR21,100)),""),INT($AR21)),IFERROR(DATE(--LEFT(LEFT(SUBSTITUTE(SUBSTITUTE(SUBSTITUTE(SUBSTITUTE(TRIM($AR21),"-",""),".",""),"/","")," ",""),8),4),--MID(LEFT(SUBSTITUTE(SUBSTITUTE(SUBSTITUTE(SUBSTITUTE(TRIM($AR21),"-",""),".",""),"/","")," ",""),8),5,2),--MID(LEFT(SUBSTITUTE(SUBSTITUTE(SUBSTITUTE(SUBSTITUTE(TRIM($AR21),"-",""),".",""),"/","")," ",""),8),7,2)),"")))</f>
        <v/>
      </c>
      <c r="AT21" s="33">
        <f>IF($AS21="","",IF($F$6="",0,IF(ISNUMBER(INDEX($A:$AP,ROW(),$F$6)),INDEX($A:$AP,ROW(),$F$6),IFERROR(--SUBSTITUTE(SUBSTITUTE(TRIM(INDEX($A:$AP,ROW(),$F$6)),",",""),"원",""),0))))</f>
        <v/>
      </c>
      <c r="AU21" s="31">
        <f>IF($AS21="","",IF($AX21&lt;&gt;"",SUBSTITUTE(SUBSTITUTE($AX21,"-","")," ",""),"N:"&amp;$AV21))</f>
        <v/>
      </c>
      <c r="AV21" s="31">
        <f>IF(OR($AS21="",$E$6=""),"",TRIM(INDEX($A:$AP,ROW(),$E$6)&amp;""))</f>
        <v/>
      </c>
      <c r="AW21" s="31">
        <f>IF($AU21="","",IF(MATCH($AU21,$AU$8:$AU$2007,0)=ROW()-7,MAX($AW$7:$AW20)+1,""))</f>
        <v/>
      </c>
      <c r="AX21" s="31">
        <f>IF(OR($AS21="",$D$6=""),"",TRIM(INDEX($A:$AP,ROW(),$D$6)&amp;""))</f>
        <v/>
      </c>
      <c r="AY21" s="31">
        <f>IF($AU21="","",INDEX($AW$8:$AW$2007,MATCH($AU21,$AU$8:$AU$2007,0)))</f>
        <v/>
      </c>
      <c r="AZ21" s="31">
        <f>IF(OR($AS21="",$C$6=""),"",TRIM(INDEX($A:$AP,ROW(),$C$6)&amp;""))</f>
        <v/>
      </c>
      <c r="BA21" s="31">
        <f>IF($AZ21="","",IF(COUNTIF($AZ$8:$AZ21,$AZ21)&gt;1,1,0))</f>
        <v/>
      </c>
    </row>
    <row r="22">
      <c r="A22" s="30" t="inlineStr">
        <is>
          <t>2026-08-10</t>
        </is>
      </c>
      <c r="B22" s="30" t="inlineStr">
        <is>
          <t>20260810-41008</t>
        </is>
      </c>
      <c r="C22" s="30" t="inlineStr">
        <is>
          <t>2026-08-10</t>
        </is>
      </c>
      <c r="D22" s="30" t="inlineStr">
        <is>
          <t>2026-08-10</t>
        </is>
      </c>
      <c r="E22" s="30" t="inlineStr">
        <is>
          <t>999-81-00001</t>
        </is>
      </c>
      <c r="F22" s="30" t="inlineStr"/>
      <c r="G22" s="30" t="inlineStr">
        <is>
          <t>(주)가온상사</t>
        </is>
      </c>
      <c r="H22" s="30" t="inlineStr">
        <is>
          <t>김가온</t>
        </is>
      </c>
      <c r="I22" s="30" t="inlineStr">
        <is>
          <t>가상 주소</t>
        </is>
      </c>
      <c r="J22" s="30" t="inlineStr">
        <is>
          <t>999-81-10001</t>
        </is>
      </c>
      <c r="K22" s="30" t="inlineStr"/>
      <c r="L22" s="30" t="inlineStr">
        <is>
          <t>(주)하늘정밀</t>
        </is>
      </c>
      <c r="M22" s="30" t="inlineStr">
        <is>
          <t>대표</t>
        </is>
      </c>
      <c r="N22" s="30" t="inlineStr">
        <is>
          <t>가상 주소</t>
        </is>
      </c>
      <c r="O22" s="34" t="n">
        <v>3300000</v>
      </c>
      <c r="P22" s="34" t="n">
        <v>3000000</v>
      </c>
      <c r="Q22" s="34" t="n">
        <v>300000</v>
      </c>
      <c r="R22" s="30" t="inlineStr">
        <is>
          <t>세금계산서</t>
        </is>
      </c>
      <c r="S22" s="30" t="inlineStr">
        <is>
          <t>일반</t>
        </is>
      </c>
      <c r="T22" s="30" t="inlineStr">
        <is>
          <t>직접발급</t>
        </is>
      </c>
      <c r="AR22" s="31">
        <f>IF(OR($A$5="",$B$6="",ROW()&lt;$A$5),"",IF(INDEX($A:$AP,ROW(),$B$6)="","",INDEX($A:$AP,ROW(),$B$6)))</f>
        <v/>
      </c>
      <c r="AS22" s="32">
        <f>IF($AR22="","",IF(ISNUMBER($AR22),IF($AR22&gt;=10000000,IFERROR(DATE(INT($AR22/10000),MOD(INT($AR22/100),100),MOD($AR22,100)),""),INT($AR22)),IFERROR(DATE(--LEFT(LEFT(SUBSTITUTE(SUBSTITUTE(SUBSTITUTE(SUBSTITUTE(TRIM($AR22),"-",""),".",""),"/","")," ",""),8),4),--MID(LEFT(SUBSTITUTE(SUBSTITUTE(SUBSTITUTE(SUBSTITUTE(TRIM($AR22),"-",""),".",""),"/","")," ",""),8),5,2),--MID(LEFT(SUBSTITUTE(SUBSTITUTE(SUBSTITUTE(SUBSTITUTE(TRIM($AR22),"-",""),".",""),"/","")," ",""),8),7,2)),"")))</f>
        <v/>
      </c>
      <c r="AT22" s="33">
        <f>IF($AS22="","",IF($F$6="",0,IF(ISNUMBER(INDEX($A:$AP,ROW(),$F$6)),INDEX($A:$AP,ROW(),$F$6),IFERROR(--SUBSTITUTE(SUBSTITUTE(TRIM(INDEX($A:$AP,ROW(),$F$6)),",",""),"원",""),0))))</f>
        <v/>
      </c>
      <c r="AU22" s="31">
        <f>IF($AS22="","",IF($AX22&lt;&gt;"",SUBSTITUTE(SUBSTITUTE($AX22,"-","")," ",""),"N:"&amp;$AV22))</f>
        <v/>
      </c>
      <c r="AV22" s="31">
        <f>IF(OR($AS22="",$E$6=""),"",TRIM(INDEX($A:$AP,ROW(),$E$6)&amp;""))</f>
        <v/>
      </c>
      <c r="AW22" s="31">
        <f>IF($AU22="","",IF(MATCH($AU22,$AU$8:$AU$2007,0)=ROW()-7,MAX($AW$7:$AW21)+1,""))</f>
        <v/>
      </c>
      <c r="AX22" s="31">
        <f>IF(OR($AS22="",$D$6=""),"",TRIM(INDEX($A:$AP,ROW(),$D$6)&amp;""))</f>
        <v/>
      </c>
      <c r="AY22" s="31">
        <f>IF($AU22="","",INDEX($AW$8:$AW$2007,MATCH($AU22,$AU$8:$AU$2007,0)))</f>
        <v/>
      </c>
      <c r="AZ22" s="31">
        <f>IF(OR($AS22="",$C$6=""),"",TRIM(INDEX($A:$AP,ROW(),$C$6)&amp;""))</f>
        <v/>
      </c>
      <c r="BA22" s="31">
        <f>IF($AZ22="","",IF(COUNTIF($AZ$8:$AZ22,$AZ22)&gt;1,1,0))</f>
        <v/>
      </c>
    </row>
    <row r="23">
      <c r="A23" s="30" t="inlineStr">
        <is>
          <t>2026-08-20</t>
        </is>
      </c>
      <c r="B23" s="30" t="inlineStr">
        <is>
          <t>20260820-41009</t>
        </is>
      </c>
      <c r="C23" s="30" t="inlineStr">
        <is>
          <t>2026-08-20</t>
        </is>
      </c>
      <c r="D23" s="30" t="inlineStr">
        <is>
          <t>2026-08-20</t>
        </is>
      </c>
      <c r="E23" s="30" t="inlineStr">
        <is>
          <t>999-81-00001</t>
        </is>
      </c>
      <c r="F23" s="30" t="inlineStr"/>
      <c r="G23" s="30" t="inlineStr">
        <is>
          <t>(주)가온상사</t>
        </is>
      </c>
      <c r="H23" s="30" t="inlineStr">
        <is>
          <t>김가온</t>
        </is>
      </c>
      <c r="I23" s="30" t="inlineStr">
        <is>
          <t>가상 주소</t>
        </is>
      </c>
      <c r="J23" s="30" t="inlineStr">
        <is>
          <t>999-81-10003</t>
        </is>
      </c>
      <c r="K23" s="30" t="inlineStr"/>
      <c r="L23" s="30" t="inlineStr">
        <is>
          <t>새봄유통(주)</t>
        </is>
      </c>
      <c r="M23" s="30" t="inlineStr">
        <is>
          <t>대표</t>
        </is>
      </c>
      <c r="N23" s="30" t="inlineStr">
        <is>
          <t>가상 주소</t>
        </is>
      </c>
      <c r="O23" s="34" t="n">
        <v>4400000</v>
      </c>
      <c r="P23" s="34" t="n">
        <v>4000000</v>
      </c>
      <c r="Q23" s="34" t="n">
        <v>400000</v>
      </c>
      <c r="R23" s="30" t="inlineStr">
        <is>
          <t>세금계산서</t>
        </is>
      </c>
      <c r="S23" s="30" t="inlineStr">
        <is>
          <t>일반</t>
        </is>
      </c>
      <c r="T23" s="30" t="inlineStr">
        <is>
          <t>직접발급</t>
        </is>
      </c>
      <c r="AR23" s="31">
        <f>IF(OR($A$5="",$B$6="",ROW()&lt;$A$5),"",IF(INDEX($A:$AP,ROW(),$B$6)="","",INDEX($A:$AP,ROW(),$B$6)))</f>
        <v/>
      </c>
      <c r="AS23" s="32">
        <f>IF($AR23="","",IF(ISNUMBER($AR23),IF($AR23&gt;=10000000,IFERROR(DATE(INT($AR23/10000),MOD(INT($AR23/100),100),MOD($AR23,100)),""),INT($AR23)),IFERROR(DATE(--LEFT(LEFT(SUBSTITUTE(SUBSTITUTE(SUBSTITUTE(SUBSTITUTE(TRIM($AR23),"-",""),".",""),"/","")," ",""),8),4),--MID(LEFT(SUBSTITUTE(SUBSTITUTE(SUBSTITUTE(SUBSTITUTE(TRIM($AR23),"-",""),".",""),"/","")," ",""),8),5,2),--MID(LEFT(SUBSTITUTE(SUBSTITUTE(SUBSTITUTE(SUBSTITUTE(TRIM($AR23),"-",""),".",""),"/","")," ",""),8),7,2)),"")))</f>
        <v/>
      </c>
      <c r="AT23" s="33">
        <f>IF($AS23="","",IF($F$6="",0,IF(ISNUMBER(INDEX($A:$AP,ROW(),$F$6)),INDEX($A:$AP,ROW(),$F$6),IFERROR(--SUBSTITUTE(SUBSTITUTE(TRIM(INDEX($A:$AP,ROW(),$F$6)),",",""),"원",""),0))))</f>
        <v/>
      </c>
      <c r="AU23" s="31">
        <f>IF($AS23="","",IF($AX23&lt;&gt;"",SUBSTITUTE(SUBSTITUTE($AX23,"-","")," ",""),"N:"&amp;$AV23))</f>
        <v/>
      </c>
      <c r="AV23" s="31">
        <f>IF(OR($AS23="",$E$6=""),"",TRIM(INDEX($A:$AP,ROW(),$E$6)&amp;""))</f>
        <v/>
      </c>
      <c r="AW23" s="31">
        <f>IF($AU23="","",IF(MATCH($AU23,$AU$8:$AU$2007,0)=ROW()-7,MAX($AW$7:$AW22)+1,""))</f>
        <v/>
      </c>
      <c r="AX23" s="31">
        <f>IF(OR($AS23="",$D$6=""),"",TRIM(INDEX($A:$AP,ROW(),$D$6)&amp;""))</f>
        <v/>
      </c>
      <c r="AY23" s="31">
        <f>IF($AU23="","",INDEX($AW$8:$AW$2007,MATCH($AU23,$AU$8:$AU$2007,0)))</f>
        <v/>
      </c>
      <c r="AZ23" s="31">
        <f>IF(OR($AS23="",$C$6=""),"",TRIM(INDEX($A:$AP,ROW(),$C$6)&amp;""))</f>
        <v/>
      </c>
      <c r="BA23" s="31">
        <f>IF($AZ23="","",IF(COUNTIF($AZ$8:$AZ23,$AZ23)&gt;1,1,0))</f>
        <v/>
      </c>
    </row>
    <row r="24">
      <c r="A24" s="30" t="inlineStr">
        <is>
          <t>2026-09-01</t>
        </is>
      </c>
      <c r="B24" s="30" t="inlineStr">
        <is>
          <t>20260901-41010</t>
        </is>
      </c>
      <c r="C24" s="30" t="inlineStr">
        <is>
          <t>2026-09-01</t>
        </is>
      </c>
      <c r="D24" s="30" t="inlineStr">
        <is>
          <t>2026-09-01</t>
        </is>
      </c>
      <c r="E24" s="30" t="inlineStr">
        <is>
          <t>999-81-00001</t>
        </is>
      </c>
      <c r="F24" s="30" t="inlineStr"/>
      <c r="G24" s="30" t="inlineStr">
        <is>
          <t>(주)가온상사</t>
        </is>
      </c>
      <c r="H24" s="30" t="inlineStr">
        <is>
          <t>김가온</t>
        </is>
      </c>
      <c r="I24" s="30" t="inlineStr">
        <is>
          <t>가상 주소</t>
        </is>
      </c>
      <c r="J24" s="30" t="inlineStr">
        <is>
          <t>999-81-10005</t>
        </is>
      </c>
      <c r="K24" s="30" t="inlineStr"/>
      <c r="L24" s="30" t="inlineStr">
        <is>
          <t>해솔물산</t>
        </is>
      </c>
      <c r="M24" s="30" t="inlineStr">
        <is>
          <t>대표</t>
        </is>
      </c>
      <c r="N24" s="30" t="inlineStr">
        <is>
          <t>가상 주소</t>
        </is>
      </c>
      <c r="O24" s="34" t="n">
        <v>1320000</v>
      </c>
      <c r="P24" s="34" t="n">
        <v>1200000</v>
      </c>
      <c r="Q24" s="34" t="n">
        <v>120000</v>
      </c>
      <c r="R24" s="30" t="inlineStr">
        <is>
          <t>세금계산서</t>
        </is>
      </c>
      <c r="S24" s="30" t="inlineStr">
        <is>
          <t>일반</t>
        </is>
      </c>
      <c r="T24" s="30" t="inlineStr">
        <is>
          <t>직접발급</t>
        </is>
      </c>
      <c r="AR24" s="31">
        <f>IF(OR($A$5="",$B$6="",ROW()&lt;$A$5),"",IF(INDEX($A:$AP,ROW(),$B$6)="","",INDEX($A:$AP,ROW(),$B$6)))</f>
        <v/>
      </c>
      <c r="AS24" s="32">
        <f>IF($AR24="","",IF(ISNUMBER($AR24),IF($AR24&gt;=10000000,IFERROR(DATE(INT($AR24/10000),MOD(INT($AR24/100),100),MOD($AR24,100)),""),INT($AR24)),IFERROR(DATE(--LEFT(LEFT(SUBSTITUTE(SUBSTITUTE(SUBSTITUTE(SUBSTITUTE(TRIM($AR24),"-",""),".",""),"/","")," ",""),8),4),--MID(LEFT(SUBSTITUTE(SUBSTITUTE(SUBSTITUTE(SUBSTITUTE(TRIM($AR24),"-",""),".",""),"/","")," ",""),8),5,2),--MID(LEFT(SUBSTITUTE(SUBSTITUTE(SUBSTITUTE(SUBSTITUTE(TRIM($AR24),"-",""),".",""),"/","")," ",""),8),7,2)),"")))</f>
        <v/>
      </c>
      <c r="AT24" s="33">
        <f>IF($AS24="","",IF($F$6="",0,IF(ISNUMBER(INDEX($A:$AP,ROW(),$F$6)),INDEX($A:$AP,ROW(),$F$6),IFERROR(--SUBSTITUTE(SUBSTITUTE(TRIM(INDEX($A:$AP,ROW(),$F$6)),",",""),"원",""),0))))</f>
        <v/>
      </c>
      <c r="AU24" s="31">
        <f>IF($AS24="","",IF($AX24&lt;&gt;"",SUBSTITUTE(SUBSTITUTE($AX24,"-","")," ",""),"N:"&amp;$AV24))</f>
        <v/>
      </c>
      <c r="AV24" s="31">
        <f>IF(OR($AS24="",$E$6=""),"",TRIM(INDEX($A:$AP,ROW(),$E$6)&amp;""))</f>
        <v/>
      </c>
      <c r="AW24" s="31">
        <f>IF($AU24="","",IF(MATCH($AU24,$AU$8:$AU$2007,0)=ROW()-7,MAX($AW$7:$AW23)+1,""))</f>
        <v/>
      </c>
      <c r="AX24" s="31">
        <f>IF(OR($AS24="",$D$6=""),"",TRIM(INDEX($A:$AP,ROW(),$D$6)&amp;""))</f>
        <v/>
      </c>
      <c r="AY24" s="31">
        <f>IF($AU24="","",INDEX($AW$8:$AW$2007,MATCH($AU24,$AU$8:$AU$2007,0)))</f>
        <v/>
      </c>
      <c r="AZ24" s="31">
        <f>IF(OR($AS24="",$C$6=""),"",TRIM(INDEX($A:$AP,ROW(),$C$6)&amp;""))</f>
        <v/>
      </c>
      <c r="BA24" s="31">
        <f>IF($AZ24="","",IF(COUNTIF($AZ$8:$AZ24,$AZ24)&gt;1,1,0))</f>
        <v/>
      </c>
    </row>
    <row r="25">
      <c r="A25" s="30" t="inlineStr">
        <is>
          <t>2026-09-05</t>
        </is>
      </c>
      <c r="B25" s="30" t="inlineStr">
        <is>
          <t>20260905-41011</t>
        </is>
      </c>
      <c r="C25" s="30" t="inlineStr">
        <is>
          <t>2026-09-05</t>
        </is>
      </c>
      <c r="D25" s="30" t="inlineStr">
        <is>
          <t>2026-09-05</t>
        </is>
      </c>
      <c r="E25" s="30" t="inlineStr">
        <is>
          <t>999-81-00001</t>
        </is>
      </c>
      <c r="F25" s="30" t="inlineStr"/>
      <c r="G25" s="30" t="inlineStr">
        <is>
          <t>(주)가온상사</t>
        </is>
      </c>
      <c r="H25" s="30" t="inlineStr">
        <is>
          <t>김가온</t>
        </is>
      </c>
      <c r="I25" s="30" t="inlineStr">
        <is>
          <t>가상 주소</t>
        </is>
      </c>
      <c r="J25" s="30" t="inlineStr">
        <is>
          <t>999-81-10002</t>
        </is>
      </c>
      <c r="K25" s="30" t="inlineStr"/>
      <c r="L25" s="30" t="inlineStr">
        <is>
          <t>(주)바람테크</t>
        </is>
      </c>
      <c r="M25" s="30" t="inlineStr">
        <is>
          <t>대표</t>
        </is>
      </c>
      <c r="N25" s="30" t="inlineStr">
        <is>
          <t>가상 주소</t>
        </is>
      </c>
      <c r="O25" s="34" t="n">
        <v>2750000</v>
      </c>
      <c r="P25" s="34" t="n">
        <v>2500000</v>
      </c>
      <c r="Q25" s="34" t="n">
        <v>250000</v>
      </c>
      <c r="R25" s="30" t="inlineStr">
        <is>
          <t>세금계산서</t>
        </is>
      </c>
      <c r="S25" s="30" t="inlineStr">
        <is>
          <t>일반</t>
        </is>
      </c>
      <c r="T25" s="30" t="inlineStr">
        <is>
          <t>직접발급</t>
        </is>
      </c>
      <c r="AR25" s="31">
        <f>IF(OR($A$5="",$B$6="",ROW()&lt;$A$5),"",IF(INDEX($A:$AP,ROW(),$B$6)="","",INDEX($A:$AP,ROW(),$B$6)))</f>
        <v/>
      </c>
      <c r="AS25" s="32">
        <f>IF($AR25="","",IF(ISNUMBER($AR25),IF($AR25&gt;=10000000,IFERROR(DATE(INT($AR25/10000),MOD(INT($AR25/100),100),MOD($AR25,100)),""),INT($AR25)),IFERROR(DATE(--LEFT(LEFT(SUBSTITUTE(SUBSTITUTE(SUBSTITUTE(SUBSTITUTE(TRIM($AR25),"-",""),".",""),"/","")," ",""),8),4),--MID(LEFT(SUBSTITUTE(SUBSTITUTE(SUBSTITUTE(SUBSTITUTE(TRIM($AR25),"-",""),".",""),"/","")," ",""),8),5,2),--MID(LEFT(SUBSTITUTE(SUBSTITUTE(SUBSTITUTE(SUBSTITUTE(TRIM($AR25),"-",""),".",""),"/","")," ",""),8),7,2)),"")))</f>
        <v/>
      </c>
      <c r="AT25" s="33">
        <f>IF($AS25="","",IF($F$6="",0,IF(ISNUMBER(INDEX($A:$AP,ROW(),$F$6)),INDEX($A:$AP,ROW(),$F$6),IFERROR(--SUBSTITUTE(SUBSTITUTE(TRIM(INDEX($A:$AP,ROW(),$F$6)),",",""),"원",""),0))))</f>
        <v/>
      </c>
      <c r="AU25" s="31">
        <f>IF($AS25="","",IF($AX25&lt;&gt;"",SUBSTITUTE(SUBSTITUTE($AX25,"-","")," ",""),"N:"&amp;$AV25))</f>
        <v/>
      </c>
      <c r="AV25" s="31">
        <f>IF(OR($AS25="",$E$6=""),"",TRIM(INDEX($A:$AP,ROW(),$E$6)&amp;""))</f>
        <v/>
      </c>
      <c r="AW25" s="31">
        <f>IF($AU25="","",IF(MATCH($AU25,$AU$8:$AU$2007,0)=ROW()-7,MAX($AW$7:$AW24)+1,""))</f>
        <v/>
      </c>
      <c r="AX25" s="31">
        <f>IF(OR($AS25="",$D$6=""),"",TRIM(INDEX($A:$AP,ROW(),$D$6)&amp;""))</f>
        <v/>
      </c>
      <c r="AY25" s="31">
        <f>IF($AU25="","",INDEX($AW$8:$AW$2007,MATCH($AU25,$AU$8:$AU$2007,0)))</f>
        <v/>
      </c>
      <c r="AZ25" s="31">
        <f>IF(OR($AS25="",$C$6=""),"",TRIM(INDEX($A:$AP,ROW(),$C$6)&amp;""))</f>
        <v/>
      </c>
      <c r="BA25" s="31">
        <f>IF($AZ25="","",IF(COUNTIF($AZ$8:$AZ25,$AZ25)&gt;1,1,0))</f>
        <v/>
      </c>
    </row>
    <row r="26">
      <c r="A26" s="30" t="inlineStr">
        <is>
          <t>2026-09-10</t>
        </is>
      </c>
      <c r="B26" s="30" t="inlineStr">
        <is>
          <t>20260910-41012</t>
        </is>
      </c>
      <c r="C26" s="30" t="inlineStr">
        <is>
          <t>2026-09-10</t>
        </is>
      </c>
      <c r="D26" s="30" t="inlineStr">
        <is>
          <t>2026-09-10</t>
        </is>
      </c>
      <c r="E26" s="30" t="inlineStr">
        <is>
          <t>999-81-00001</t>
        </is>
      </c>
      <c r="F26" s="30" t="inlineStr"/>
      <c r="G26" s="30" t="inlineStr">
        <is>
          <t>(주)가온상사</t>
        </is>
      </c>
      <c r="H26" s="30" t="inlineStr">
        <is>
          <t>김가온</t>
        </is>
      </c>
      <c r="I26" s="30" t="inlineStr">
        <is>
          <t>가상 주소</t>
        </is>
      </c>
      <c r="J26" s="30" t="inlineStr">
        <is>
          <t>999-81-10004</t>
        </is>
      </c>
      <c r="K26" s="30" t="inlineStr"/>
      <c r="L26" s="30" t="inlineStr">
        <is>
          <t>(주)다온산업</t>
        </is>
      </c>
      <c r="M26" s="30" t="inlineStr">
        <is>
          <t>대표</t>
        </is>
      </c>
      <c r="N26" s="30" t="inlineStr">
        <is>
          <t>가상 주소</t>
        </is>
      </c>
      <c r="O26" s="34" t="n">
        <v>2200000</v>
      </c>
      <c r="P26" s="34" t="n">
        <v>2000000</v>
      </c>
      <c r="Q26" s="34" t="n">
        <v>200000</v>
      </c>
      <c r="R26" s="30" t="inlineStr">
        <is>
          <t>세금계산서</t>
        </is>
      </c>
      <c r="S26" s="30" t="inlineStr">
        <is>
          <t>일반</t>
        </is>
      </c>
      <c r="T26" s="30" t="inlineStr">
        <is>
          <t>직접발급</t>
        </is>
      </c>
      <c r="AR26" s="31">
        <f>IF(OR($A$5="",$B$6="",ROW()&lt;$A$5),"",IF(INDEX($A:$AP,ROW(),$B$6)="","",INDEX($A:$AP,ROW(),$B$6)))</f>
        <v/>
      </c>
      <c r="AS26" s="32">
        <f>IF($AR26="","",IF(ISNUMBER($AR26),IF($AR26&gt;=10000000,IFERROR(DATE(INT($AR26/10000),MOD(INT($AR26/100),100),MOD($AR26,100)),""),INT($AR26)),IFERROR(DATE(--LEFT(LEFT(SUBSTITUTE(SUBSTITUTE(SUBSTITUTE(SUBSTITUTE(TRIM($AR26),"-",""),".",""),"/","")," ",""),8),4),--MID(LEFT(SUBSTITUTE(SUBSTITUTE(SUBSTITUTE(SUBSTITUTE(TRIM($AR26),"-",""),".",""),"/","")," ",""),8),5,2),--MID(LEFT(SUBSTITUTE(SUBSTITUTE(SUBSTITUTE(SUBSTITUTE(TRIM($AR26),"-",""),".",""),"/","")," ",""),8),7,2)),"")))</f>
        <v/>
      </c>
      <c r="AT26" s="33">
        <f>IF($AS26="","",IF($F$6="",0,IF(ISNUMBER(INDEX($A:$AP,ROW(),$F$6)),INDEX($A:$AP,ROW(),$F$6),IFERROR(--SUBSTITUTE(SUBSTITUTE(TRIM(INDEX($A:$AP,ROW(),$F$6)),",",""),"원",""),0))))</f>
        <v/>
      </c>
      <c r="AU26" s="31">
        <f>IF($AS26="","",IF($AX26&lt;&gt;"",SUBSTITUTE(SUBSTITUTE($AX26,"-","")," ",""),"N:"&amp;$AV26))</f>
        <v/>
      </c>
      <c r="AV26" s="31">
        <f>IF(OR($AS26="",$E$6=""),"",TRIM(INDEX($A:$AP,ROW(),$E$6)&amp;""))</f>
        <v/>
      </c>
      <c r="AW26" s="31">
        <f>IF($AU26="","",IF(MATCH($AU26,$AU$8:$AU$2007,0)=ROW()-7,MAX($AW$7:$AW25)+1,""))</f>
        <v/>
      </c>
      <c r="AX26" s="31">
        <f>IF(OR($AS26="",$D$6=""),"",TRIM(INDEX($A:$AP,ROW(),$D$6)&amp;""))</f>
        <v/>
      </c>
      <c r="AY26" s="31">
        <f>IF($AU26="","",INDEX($AW$8:$AW$2007,MATCH($AU26,$AU$8:$AU$2007,0)))</f>
        <v/>
      </c>
      <c r="AZ26" s="31">
        <f>IF(OR($AS26="",$C$6=""),"",TRIM(INDEX($A:$AP,ROW(),$C$6)&amp;""))</f>
        <v/>
      </c>
      <c r="BA26" s="31">
        <f>IF($AZ26="","",IF(COUNTIF($AZ$8:$AZ26,$AZ26)&gt;1,1,0))</f>
        <v/>
      </c>
    </row>
    <row r="27">
      <c r="A27" s="30" t="inlineStr">
        <is>
          <t>2026-09-15</t>
        </is>
      </c>
      <c r="B27" s="30" t="inlineStr">
        <is>
          <t>20260915-41013</t>
        </is>
      </c>
      <c r="C27" s="30" t="inlineStr">
        <is>
          <t>2026-09-15</t>
        </is>
      </c>
      <c r="D27" s="30" t="inlineStr">
        <is>
          <t>2026-09-15</t>
        </is>
      </c>
      <c r="E27" s="30" t="inlineStr">
        <is>
          <t>999-81-00001</t>
        </is>
      </c>
      <c r="F27" s="30" t="inlineStr"/>
      <c r="G27" s="30" t="inlineStr">
        <is>
          <t>(주)가온상사</t>
        </is>
      </c>
      <c r="H27" s="30" t="inlineStr">
        <is>
          <t>김가온</t>
        </is>
      </c>
      <c r="I27" s="30" t="inlineStr">
        <is>
          <t>가상 주소</t>
        </is>
      </c>
      <c r="J27" s="30" t="inlineStr">
        <is>
          <t>999-81-10006</t>
        </is>
      </c>
      <c r="K27" s="30" t="inlineStr"/>
      <c r="L27" s="30" t="inlineStr">
        <is>
          <t>(주)누리소프트</t>
        </is>
      </c>
      <c r="M27" s="30" t="inlineStr">
        <is>
          <t>대표</t>
        </is>
      </c>
      <c r="N27" s="30" t="inlineStr">
        <is>
          <t>가상 주소</t>
        </is>
      </c>
      <c r="O27" s="34" t="n">
        <v>2200000</v>
      </c>
      <c r="P27" s="34" t="n">
        <v>2000000</v>
      </c>
      <c r="Q27" s="34" t="n">
        <v>200000</v>
      </c>
      <c r="R27" s="30" t="inlineStr">
        <is>
          <t>세금계산서</t>
        </is>
      </c>
      <c r="S27" s="30" t="inlineStr">
        <is>
          <t>일반</t>
        </is>
      </c>
      <c r="T27" s="30" t="inlineStr">
        <is>
          <t>직접발급</t>
        </is>
      </c>
      <c r="AR27" s="31">
        <f>IF(OR($A$5="",$B$6="",ROW()&lt;$A$5),"",IF(INDEX($A:$AP,ROW(),$B$6)="","",INDEX($A:$AP,ROW(),$B$6)))</f>
        <v/>
      </c>
      <c r="AS27" s="32">
        <f>IF($AR27="","",IF(ISNUMBER($AR27),IF($AR27&gt;=10000000,IFERROR(DATE(INT($AR27/10000),MOD(INT($AR27/100),100),MOD($AR27,100)),""),INT($AR27)),IFERROR(DATE(--LEFT(LEFT(SUBSTITUTE(SUBSTITUTE(SUBSTITUTE(SUBSTITUTE(TRIM($AR27),"-",""),".",""),"/","")," ",""),8),4),--MID(LEFT(SUBSTITUTE(SUBSTITUTE(SUBSTITUTE(SUBSTITUTE(TRIM($AR27),"-",""),".",""),"/","")," ",""),8),5,2),--MID(LEFT(SUBSTITUTE(SUBSTITUTE(SUBSTITUTE(SUBSTITUTE(TRIM($AR27),"-",""),".",""),"/","")," ",""),8),7,2)),"")))</f>
        <v/>
      </c>
      <c r="AT27" s="33">
        <f>IF($AS27="","",IF($F$6="",0,IF(ISNUMBER(INDEX($A:$AP,ROW(),$F$6)),INDEX($A:$AP,ROW(),$F$6),IFERROR(--SUBSTITUTE(SUBSTITUTE(TRIM(INDEX($A:$AP,ROW(),$F$6)),",",""),"원",""),0))))</f>
        <v/>
      </c>
      <c r="AU27" s="31">
        <f>IF($AS27="","",IF($AX27&lt;&gt;"",SUBSTITUTE(SUBSTITUTE($AX27,"-","")," ",""),"N:"&amp;$AV27))</f>
        <v/>
      </c>
      <c r="AV27" s="31">
        <f>IF(OR($AS27="",$E$6=""),"",TRIM(INDEX($A:$AP,ROW(),$E$6)&amp;""))</f>
        <v/>
      </c>
      <c r="AW27" s="31">
        <f>IF($AU27="","",IF(MATCH($AU27,$AU$8:$AU$2007,0)=ROW()-7,MAX($AW$7:$AW26)+1,""))</f>
        <v/>
      </c>
      <c r="AX27" s="31">
        <f>IF(OR($AS27="",$D$6=""),"",TRIM(INDEX($A:$AP,ROW(),$D$6)&amp;""))</f>
        <v/>
      </c>
      <c r="AY27" s="31">
        <f>IF($AU27="","",INDEX($AW$8:$AW$2007,MATCH($AU27,$AU$8:$AU$2007,0)))</f>
        <v/>
      </c>
      <c r="AZ27" s="31">
        <f>IF(OR($AS27="",$C$6=""),"",TRIM(INDEX($A:$AP,ROW(),$C$6)&amp;""))</f>
        <v/>
      </c>
      <c r="BA27" s="31">
        <f>IF($AZ27="","",IF(COUNTIF($AZ$8:$AZ27,$AZ27)&gt;1,1,0))</f>
        <v/>
      </c>
    </row>
    <row r="28">
      <c r="A28" s="30" t="inlineStr">
        <is>
          <t>2026-09-25</t>
        </is>
      </c>
      <c r="B28" s="30" t="inlineStr">
        <is>
          <t>20260925-41014</t>
        </is>
      </c>
      <c r="C28" s="30" t="inlineStr">
        <is>
          <t>2026-09-25</t>
        </is>
      </c>
      <c r="D28" s="30" t="inlineStr">
        <is>
          <t>2026-09-25</t>
        </is>
      </c>
      <c r="E28" s="30" t="inlineStr">
        <is>
          <t>999-81-00001</t>
        </is>
      </c>
      <c r="F28" s="30" t="inlineStr"/>
      <c r="G28" s="30" t="inlineStr">
        <is>
          <t>(주)가온상사</t>
        </is>
      </c>
      <c r="H28" s="30" t="inlineStr">
        <is>
          <t>김가온</t>
        </is>
      </c>
      <c r="I28" s="30" t="inlineStr">
        <is>
          <t>가상 주소</t>
        </is>
      </c>
      <c r="J28" s="30" t="inlineStr">
        <is>
          <t>999-81-10001</t>
        </is>
      </c>
      <c r="K28" s="30" t="inlineStr"/>
      <c r="L28" s="30" t="inlineStr">
        <is>
          <t>(주)하늘정밀</t>
        </is>
      </c>
      <c r="M28" s="30" t="inlineStr">
        <is>
          <t>대표</t>
        </is>
      </c>
      <c r="N28" s="30" t="inlineStr">
        <is>
          <t>가상 주소</t>
        </is>
      </c>
      <c r="O28" s="34" t="n">
        <v>5500000</v>
      </c>
      <c r="P28" s="34" t="n">
        <v>5000000</v>
      </c>
      <c r="Q28" s="34" t="n">
        <v>500000</v>
      </c>
      <c r="R28" s="30" t="inlineStr">
        <is>
          <t>세금계산서</t>
        </is>
      </c>
      <c r="S28" s="30" t="inlineStr">
        <is>
          <t>일반</t>
        </is>
      </c>
      <c r="T28" s="30" t="inlineStr">
        <is>
          <t>직접발급</t>
        </is>
      </c>
      <c r="AR28" s="31">
        <f>IF(OR($A$5="",$B$6="",ROW()&lt;$A$5),"",IF(INDEX($A:$AP,ROW(),$B$6)="","",INDEX($A:$AP,ROW(),$B$6)))</f>
        <v/>
      </c>
      <c r="AS28" s="32">
        <f>IF($AR28="","",IF(ISNUMBER($AR28),IF($AR28&gt;=10000000,IFERROR(DATE(INT($AR28/10000),MOD(INT($AR28/100),100),MOD($AR28,100)),""),INT($AR28)),IFERROR(DATE(--LEFT(LEFT(SUBSTITUTE(SUBSTITUTE(SUBSTITUTE(SUBSTITUTE(TRIM($AR28),"-",""),".",""),"/","")," ",""),8),4),--MID(LEFT(SUBSTITUTE(SUBSTITUTE(SUBSTITUTE(SUBSTITUTE(TRIM($AR28),"-",""),".",""),"/","")," ",""),8),5,2),--MID(LEFT(SUBSTITUTE(SUBSTITUTE(SUBSTITUTE(SUBSTITUTE(TRIM($AR28),"-",""),".",""),"/","")," ",""),8),7,2)),"")))</f>
        <v/>
      </c>
      <c r="AT28" s="33">
        <f>IF($AS28="","",IF($F$6="",0,IF(ISNUMBER(INDEX($A:$AP,ROW(),$F$6)),INDEX($A:$AP,ROW(),$F$6),IFERROR(--SUBSTITUTE(SUBSTITUTE(TRIM(INDEX($A:$AP,ROW(),$F$6)),",",""),"원",""),0))))</f>
        <v/>
      </c>
      <c r="AU28" s="31">
        <f>IF($AS28="","",IF($AX28&lt;&gt;"",SUBSTITUTE(SUBSTITUTE($AX28,"-","")," ",""),"N:"&amp;$AV28))</f>
        <v/>
      </c>
      <c r="AV28" s="31">
        <f>IF(OR($AS28="",$E$6=""),"",TRIM(INDEX($A:$AP,ROW(),$E$6)&amp;""))</f>
        <v/>
      </c>
      <c r="AW28" s="31">
        <f>IF($AU28="","",IF(MATCH($AU28,$AU$8:$AU$2007,0)=ROW()-7,MAX($AW$7:$AW27)+1,""))</f>
        <v/>
      </c>
      <c r="AX28" s="31">
        <f>IF(OR($AS28="",$D$6=""),"",TRIM(INDEX($A:$AP,ROW(),$D$6)&amp;""))</f>
        <v/>
      </c>
      <c r="AY28" s="31">
        <f>IF($AU28="","",INDEX($AW$8:$AW$2007,MATCH($AU28,$AU$8:$AU$2007,0)))</f>
        <v/>
      </c>
      <c r="AZ28" s="31">
        <f>IF(OR($AS28="",$C$6=""),"",TRIM(INDEX($A:$AP,ROW(),$C$6)&amp;""))</f>
        <v/>
      </c>
      <c r="BA28" s="31">
        <f>IF($AZ28="","",IF(COUNTIF($AZ$8:$AZ28,$AZ28)&gt;1,1,0))</f>
        <v/>
      </c>
    </row>
    <row r="29">
      <c r="A29" s="30" t="inlineStr">
        <is>
          <t>2026-10-01</t>
        </is>
      </c>
      <c r="B29" s="30" t="inlineStr">
        <is>
          <t>20261001-41015</t>
        </is>
      </c>
      <c r="C29" s="30" t="inlineStr">
        <is>
          <t>2026-10-01</t>
        </is>
      </c>
      <c r="D29" s="30" t="inlineStr">
        <is>
          <t>2026-10-01</t>
        </is>
      </c>
      <c r="E29" s="30" t="inlineStr">
        <is>
          <t>999-81-00001</t>
        </is>
      </c>
      <c r="F29" s="30" t="inlineStr"/>
      <c r="G29" s="30" t="inlineStr">
        <is>
          <t>(주)가온상사</t>
        </is>
      </c>
      <c r="H29" s="30" t="inlineStr">
        <is>
          <t>김가온</t>
        </is>
      </c>
      <c r="I29" s="30" t="inlineStr">
        <is>
          <t>가상 주소</t>
        </is>
      </c>
      <c r="J29" s="30" t="inlineStr">
        <is>
          <t>999-81-10003</t>
        </is>
      </c>
      <c r="K29" s="30" t="inlineStr"/>
      <c r="L29" s="30" t="inlineStr">
        <is>
          <t>새봄유통(주)</t>
        </is>
      </c>
      <c r="M29" s="30" t="inlineStr">
        <is>
          <t>대표</t>
        </is>
      </c>
      <c r="N29" s="30" t="inlineStr">
        <is>
          <t>가상 주소</t>
        </is>
      </c>
      <c r="O29" s="34" t="n">
        <v>3850000</v>
      </c>
      <c r="P29" s="34" t="n">
        <v>3500000</v>
      </c>
      <c r="Q29" s="34" t="n">
        <v>350000</v>
      </c>
      <c r="R29" s="30" t="inlineStr">
        <is>
          <t>세금계산서</t>
        </is>
      </c>
      <c r="S29" s="30" t="inlineStr">
        <is>
          <t>일반</t>
        </is>
      </c>
      <c r="T29" s="30" t="inlineStr">
        <is>
          <t>직접발급</t>
        </is>
      </c>
      <c r="AR29" s="31">
        <f>IF(OR($A$5="",$B$6="",ROW()&lt;$A$5),"",IF(INDEX($A:$AP,ROW(),$B$6)="","",INDEX($A:$AP,ROW(),$B$6)))</f>
        <v/>
      </c>
      <c r="AS29" s="32">
        <f>IF($AR29="","",IF(ISNUMBER($AR29),IF($AR29&gt;=10000000,IFERROR(DATE(INT($AR29/10000),MOD(INT($AR29/100),100),MOD($AR29,100)),""),INT($AR29)),IFERROR(DATE(--LEFT(LEFT(SUBSTITUTE(SUBSTITUTE(SUBSTITUTE(SUBSTITUTE(TRIM($AR29),"-",""),".",""),"/","")," ",""),8),4),--MID(LEFT(SUBSTITUTE(SUBSTITUTE(SUBSTITUTE(SUBSTITUTE(TRIM($AR29),"-",""),".",""),"/","")," ",""),8),5,2),--MID(LEFT(SUBSTITUTE(SUBSTITUTE(SUBSTITUTE(SUBSTITUTE(TRIM($AR29),"-",""),".",""),"/","")," ",""),8),7,2)),"")))</f>
        <v/>
      </c>
      <c r="AT29" s="33">
        <f>IF($AS29="","",IF($F$6="",0,IF(ISNUMBER(INDEX($A:$AP,ROW(),$F$6)),INDEX($A:$AP,ROW(),$F$6),IFERROR(--SUBSTITUTE(SUBSTITUTE(TRIM(INDEX($A:$AP,ROW(),$F$6)),",",""),"원",""),0))))</f>
        <v/>
      </c>
      <c r="AU29" s="31">
        <f>IF($AS29="","",IF($AX29&lt;&gt;"",SUBSTITUTE(SUBSTITUTE($AX29,"-","")," ",""),"N:"&amp;$AV29))</f>
        <v/>
      </c>
      <c r="AV29" s="31">
        <f>IF(OR($AS29="",$E$6=""),"",TRIM(INDEX($A:$AP,ROW(),$E$6)&amp;""))</f>
        <v/>
      </c>
      <c r="AW29" s="31">
        <f>IF($AU29="","",IF(MATCH($AU29,$AU$8:$AU$2007,0)=ROW()-7,MAX($AW$7:$AW28)+1,""))</f>
        <v/>
      </c>
      <c r="AX29" s="31">
        <f>IF(OR($AS29="",$D$6=""),"",TRIM(INDEX($A:$AP,ROW(),$D$6)&amp;""))</f>
        <v/>
      </c>
      <c r="AY29" s="31">
        <f>IF($AU29="","",INDEX($AW$8:$AW$2007,MATCH($AU29,$AU$8:$AU$2007,0)))</f>
        <v/>
      </c>
      <c r="AZ29" s="31">
        <f>IF(OR($AS29="",$C$6=""),"",TRIM(INDEX($A:$AP,ROW(),$C$6)&amp;""))</f>
        <v/>
      </c>
      <c r="BA29" s="31">
        <f>IF($AZ29="","",IF(COUNTIF($AZ$8:$AZ29,$AZ29)&gt;1,1,0))</f>
        <v/>
      </c>
    </row>
    <row r="30">
      <c r="A30" s="30" t="inlineStr">
        <is>
          <t>2026-10-05</t>
        </is>
      </c>
      <c r="B30" s="30" t="inlineStr">
        <is>
          <t>20261005-41016</t>
        </is>
      </c>
      <c r="C30" s="30" t="inlineStr">
        <is>
          <t>2026-10-05</t>
        </is>
      </c>
      <c r="D30" s="30" t="inlineStr">
        <is>
          <t>2026-10-05</t>
        </is>
      </c>
      <c r="E30" s="30" t="inlineStr">
        <is>
          <t>999-81-00001</t>
        </is>
      </c>
      <c r="F30" s="30" t="inlineStr"/>
      <c r="G30" s="30" t="inlineStr">
        <is>
          <t>(주)가온상사</t>
        </is>
      </c>
      <c r="H30" s="30" t="inlineStr">
        <is>
          <t>김가온</t>
        </is>
      </c>
      <c r="I30" s="30" t="inlineStr">
        <is>
          <t>가상 주소</t>
        </is>
      </c>
      <c r="J30" s="30" t="inlineStr">
        <is>
          <t>999-81-10002</t>
        </is>
      </c>
      <c r="K30" s="30" t="inlineStr"/>
      <c r="L30" s="30" t="inlineStr">
        <is>
          <t>(주)바람테크</t>
        </is>
      </c>
      <c r="M30" s="30" t="inlineStr">
        <is>
          <t>대표</t>
        </is>
      </c>
      <c r="N30" s="30" t="inlineStr">
        <is>
          <t>가상 주소</t>
        </is>
      </c>
      <c r="O30" s="34" t="n">
        <v>-330000</v>
      </c>
      <c r="P30" s="34" t="n">
        <v>-300000</v>
      </c>
      <c r="Q30" s="34" t="n">
        <v>-30000</v>
      </c>
      <c r="R30" s="30" t="inlineStr">
        <is>
          <t>세금계산서</t>
        </is>
      </c>
      <c r="S30" s="30" t="inlineStr">
        <is>
          <t>수정</t>
        </is>
      </c>
      <c r="T30" s="30" t="inlineStr">
        <is>
          <t>직접발급</t>
        </is>
      </c>
      <c r="AR30" s="31">
        <f>IF(OR($A$5="",$B$6="",ROW()&lt;$A$5),"",IF(INDEX($A:$AP,ROW(),$B$6)="","",INDEX($A:$AP,ROW(),$B$6)))</f>
        <v/>
      </c>
      <c r="AS30" s="32">
        <f>IF($AR30="","",IF(ISNUMBER($AR30),IF($AR30&gt;=10000000,IFERROR(DATE(INT($AR30/10000),MOD(INT($AR30/100),100),MOD($AR30,100)),""),INT($AR30)),IFERROR(DATE(--LEFT(LEFT(SUBSTITUTE(SUBSTITUTE(SUBSTITUTE(SUBSTITUTE(TRIM($AR30),"-",""),".",""),"/","")," ",""),8),4),--MID(LEFT(SUBSTITUTE(SUBSTITUTE(SUBSTITUTE(SUBSTITUTE(TRIM($AR30),"-",""),".",""),"/","")," ",""),8),5,2),--MID(LEFT(SUBSTITUTE(SUBSTITUTE(SUBSTITUTE(SUBSTITUTE(TRIM($AR30),"-",""),".",""),"/","")," ",""),8),7,2)),"")))</f>
        <v/>
      </c>
      <c r="AT30" s="33">
        <f>IF($AS30="","",IF($F$6="",0,IF(ISNUMBER(INDEX($A:$AP,ROW(),$F$6)),INDEX($A:$AP,ROW(),$F$6),IFERROR(--SUBSTITUTE(SUBSTITUTE(TRIM(INDEX($A:$AP,ROW(),$F$6)),",",""),"원",""),0))))</f>
        <v/>
      </c>
      <c r="AU30" s="31">
        <f>IF($AS30="","",IF($AX30&lt;&gt;"",SUBSTITUTE(SUBSTITUTE($AX30,"-","")," ",""),"N:"&amp;$AV30))</f>
        <v/>
      </c>
      <c r="AV30" s="31">
        <f>IF(OR($AS30="",$E$6=""),"",TRIM(INDEX($A:$AP,ROW(),$E$6)&amp;""))</f>
        <v/>
      </c>
      <c r="AW30" s="31">
        <f>IF($AU30="","",IF(MATCH($AU30,$AU$8:$AU$2007,0)=ROW()-7,MAX($AW$7:$AW29)+1,""))</f>
        <v/>
      </c>
      <c r="AX30" s="31">
        <f>IF(OR($AS30="",$D$6=""),"",TRIM(INDEX($A:$AP,ROW(),$D$6)&amp;""))</f>
        <v/>
      </c>
      <c r="AY30" s="31">
        <f>IF($AU30="","",INDEX($AW$8:$AW$2007,MATCH($AU30,$AU$8:$AU$2007,0)))</f>
        <v/>
      </c>
      <c r="AZ30" s="31">
        <f>IF(OR($AS30="",$C$6=""),"",TRIM(INDEX($A:$AP,ROW(),$C$6)&amp;""))</f>
        <v/>
      </c>
      <c r="BA30" s="31">
        <f>IF($AZ30="","",IF(COUNTIF($AZ$8:$AZ30,$AZ30)&gt;1,1,0))</f>
        <v/>
      </c>
    </row>
    <row r="31">
      <c r="A31" s="30" t="inlineStr">
        <is>
          <t>2026-10-12</t>
        </is>
      </c>
      <c r="B31" s="30" t="inlineStr">
        <is>
          <t>20261012-41017</t>
        </is>
      </c>
      <c r="C31" s="30" t="inlineStr">
        <is>
          <t>2026-10-12</t>
        </is>
      </c>
      <c r="D31" s="30" t="inlineStr">
        <is>
          <t>2026-10-12</t>
        </is>
      </c>
      <c r="E31" s="30" t="inlineStr">
        <is>
          <t>999-81-00001</t>
        </is>
      </c>
      <c r="F31" s="30" t="inlineStr"/>
      <c r="G31" s="30" t="inlineStr">
        <is>
          <t>(주)가온상사</t>
        </is>
      </c>
      <c r="H31" s="30" t="inlineStr">
        <is>
          <t>김가온</t>
        </is>
      </c>
      <c r="I31" s="30" t="inlineStr">
        <is>
          <t>가상 주소</t>
        </is>
      </c>
      <c r="J31" s="30" t="inlineStr">
        <is>
          <t>999-81-10001</t>
        </is>
      </c>
      <c r="K31" s="30" t="inlineStr"/>
      <c r="L31" s="30" t="inlineStr">
        <is>
          <t>(주)하늘정밀</t>
        </is>
      </c>
      <c r="M31" s="30" t="inlineStr">
        <is>
          <t>대표</t>
        </is>
      </c>
      <c r="N31" s="30" t="inlineStr">
        <is>
          <t>가상 주소</t>
        </is>
      </c>
      <c r="O31" s="34" t="n">
        <v>2200000</v>
      </c>
      <c r="P31" s="34" t="n">
        <v>2000000</v>
      </c>
      <c r="Q31" s="34" t="n">
        <v>200000</v>
      </c>
      <c r="R31" s="30" t="inlineStr">
        <is>
          <t>세금계산서</t>
        </is>
      </c>
      <c r="S31" s="30" t="inlineStr">
        <is>
          <t>일반</t>
        </is>
      </c>
      <c r="T31" s="30" t="inlineStr">
        <is>
          <t>직접발급</t>
        </is>
      </c>
      <c r="AR31" s="31">
        <f>IF(OR($A$5="",$B$6="",ROW()&lt;$A$5),"",IF(INDEX($A:$AP,ROW(),$B$6)="","",INDEX($A:$AP,ROW(),$B$6)))</f>
        <v/>
      </c>
      <c r="AS31" s="32">
        <f>IF($AR31="","",IF(ISNUMBER($AR31),IF($AR31&gt;=10000000,IFERROR(DATE(INT($AR31/10000),MOD(INT($AR31/100),100),MOD($AR31,100)),""),INT($AR31)),IFERROR(DATE(--LEFT(LEFT(SUBSTITUTE(SUBSTITUTE(SUBSTITUTE(SUBSTITUTE(TRIM($AR31),"-",""),".",""),"/","")," ",""),8),4),--MID(LEFT(SUBSTITUTE(SUBSTITUTE(SUBSTITUTE(SUBSTITUTE(TRIM($AR31),"-",""),".",""),"/","")," ",""),8),5,2),--MID(LEFT(SUBSTITUTE(SUBSTITUTE(SUBSTITUTE(SUBSTITUTE(TRIM($AR31),"-",""),".",""),"/","")," ",""),8),7,2)),"")))</f>
        <v/>
      </c>
      <c r="AT31" s="33">
        <f>IF($AS31="","",IF($F$6="",0,IF(ISNUMBER(INDEX($A:$AP,ROW(),$F$6)),INDEX($A:$AP,ROW(),$F$6),IFERROR(--SUBSTITUTE(SUBSTITUTE(TRIM(INDEX($A:$AP,ROW(),$F$6)),",",""),"원",""),0))))</f>
        <v/>
      </c>
      <c r="AU31" s="31">
        <f>IF($AS31="","",IF($AX31&lt;&gt;"",SUBSTITUTE(SUBSTITUTE($AX31,"-","")," ",""),"N:"&amp;$AV31))</f>
        <v/>
      </c>
      <c r="AV31" s="31">
        <f>IF(OR($AS31="",$E$6=""),"",TRIM(INDEX($A:$AP,ROW(),$E$6)&amp;""))</f>
        <v/>
      </c>
      <c r="AW31" s="31">
        <f>IF($AU31="","",IF(MATCH($AU31,$AU$8:$AU$2007,0)=ROW()-7,MAX($AW$7:$AW30)+1,""))</f>
        <v/>
      </c>
      <c r="AX31" s="31">
        <f>IF(OR($AS31="",$D$6=""),"",TRIM(INDEX($A:$AP,ROW(),$D$6)&amp;""))</f>
        <v/>
      </c>
      <c r="AY31" s="31">
        <f>IF($AU31="","",INDEX($AW$8:$AW$2007,MATCH($AU31,$AU$8:$AU$2007,0)))</f>
        <v/>
      </c>
      <c r="AZ31" s="31">
        <f>IF(OR($AS31="",$C$6=""),"",TRIM(INDEX($A:$AP,ROW(),$C$6)&amp;""))</f>
        <v/>
      </c>
      <c r="BA31" s="31">
        <f>IF($AZ31="","",IF(COUNTIF($AZ$8:$AZ31,$AZ31)&gt;1,1,0))</f>
        <v/>
      </c>
    </row>
    <row r="32">
      <c r="A32" s="30" t="inlineStr">
        <is>
          <t>2026-10-15</t>
        </is>
      </c>
      <c r="B32" s="30" t="inlineStr">
        <is>
          <t>20261015-41018</t>
        </is>
      </c>
      <c r="C32" s="30" t="inlineStr">
        <is>
          <t>2026-10-15</t>
        </is>
      </c>
      <c r="D32" s="30" t="inlineStr">
        <is>
          <t>2026-10-15</t>
        </is>
      </c>
      <c r="E32" s="30" t="inlineStr">
        <is>
          <t>999-81-00001</t>
        </is>
      </c>
      <c r="F32" s="30" t="inlineStr"/>
      <c r="G32" s="30" t="inlineStr">
        <is>
          <t>(주)가온상사</t>
        </is>
      </c>
      <c r="H32" s="30" t="inlineStr">
        <is>
          <t>김가온</t>
        </is>
      </c>
      <c r="I32" s="30" t="inlineStr">
        <is>
          <t>가상 주소</t>
        </is>
      </c>
      <c r="J32" s="30" t="inlineStr">
        <is>
          <t>999-81-10007</t>
        </is>
      </c>
      <c r="K32" s="30" t="inlineStr"/>
      <c r="L32" s="30" t="inlineStr">
        <is>
          <t>한결건설(주)</t>
        </is>
      </c>
      <c r="M32" s="30" t="inlineStr">
        <is>
          <t>대표</t>
        </is>
      </c>
      <c r="N32" s="30" t="inlineStr">
        <is>
          <t>가상 주소</t>
        </is>
      </c>
      <c r="O32" s="34" t="n">
        <v>1100000</v>
      </c>
      <c r="P32" s="34" t="n">
        <v>1000000</v>
      </c>
      <c r="Q32" s="34" t="n">
        <v>100000</v>
      </c>
      <c r="R32" s="30" t="inlineStr">
        <is>
          <t>세금계산서</t>
        </is>
      </c>
      <c r="S32" s="30" t="inlineStr">
        <is>
          <t>일반</t>
        </is>
      </c>
      <c r="T32" s="30" t="inlineStr">
        <is>
          <t>직접발급</t>
        </is>
      </c>
      <c r="AR32" s="31">
        <f>IF(OR($A$5="",$B$6="",ROW()&lt;$A$5),"",IF(INDEX($A:$AP,ROW(),$B$6)="","",INDEX($A:$AP,ROW(),$B$6)))</f>
        <v/>
      </c>
      <c r="AS32" s="32">
        <f>IF($AR32="","",IF(ISNUMBER($AR32),IF($AR32&gt;=10000000,IFERROR(DATE(INT($AR32/10000),MOD(INT($AR32/100),100),MOD($AR32,100)),""),INT($AR32)),IFERROR(DATE(--LEFT(LEFT(SUBSTITUTE(SUBSTITUTE(SUBSTITUTE(SUBSTITUTE(TRIM($AR32),"-",""),".",""),"/","")," ",""),8),4),--MID(LEFT(SUBSTITUTE(SUBSTITUTE(SUBSTITUTE(SUBSTITUTE(TRIM($AR32),"-",""),".",""),"/","")," ",""),8),5,2),--MID(LEFT(SUBSTITUTE(SUBSTITUTE(SUBSTITUTE(SUBSTITUTE(TRIM($AR32),"-",""),".",""),"/","")," ",""),8),7,2)),"")))</f>
        <v/>
      </c>
      <c r="AT32" s="33">
        <f>IF($AS32="","",IF($F$6="",0,IF(ISNUMBER(INDEX($A:$AP,ROW(),$F$6)),INDEX($A:$AP,ROW(),$F$6),IFERROR(--SUBSTITUTE(SUBSTITUTE(TRIM(INDEX($A:$AP,ROW(),$F$6)),",",""),"원",""),0))))</f>
        <v/>
      </c>
      <c r="AU32" s="31">
        <f>IF($AS32="","",IF($AX32&lt;&gt;"",SUBSTITUTE(SUBSTITUTE($AX32,"-","")," ",""),"N:"&amp;$AV32))</f>
        <v/>
      </c>
      <c r="AV32" s="31">
        <f>IF(OR($AS32="",$E$6=""),"",TRIM(INDEX($A:$AP,ROW(),$E$6)&amp;""))</f>
        <v/>
      </c>
      <c r="AW32" s="31">
        <f>IF($AU32="","",IF(MATCH($AU32,$AU$8:$AU$2007,0)=ROW()-7,MAX($AW$7:$AW31)+1,""))</f>
        <v/>
      </c>
      <c r="AX32" s="31">
        <f>IF(OR($AS32="",$D$6=""),"",TRIM(INDEX($A:$AP,ROW(),$D$6)&amp;""))</f>
        <v/>
      </c>
      <c r="AY32" s="31">
        <f>IF($AU32="","",INDEX($AW$8:$AW$2007,MATCH($AU32,$AU$8:$AU$2007,0)))</f>
        <v/>
      </c>
      <c r="AZ32" s="31">
        <f>IF(OR($AS32="",$C$6=""),"",TRIM(INDEX($A:$AP,ROW(),$C$6)&amp;""))</f>
        <v/>
      </c>
      <c r="BA32" s="31">
        <f>IF($AZ32="","",IF(COUNTIF($AZ$8:$AZ32,$AZ32)&gt;1,1,0))</f>
        <v/>
      </c>
    </row>
    <row r="33">
      <c r="A33" s="30" t="inlineStr">
        <is>
          <t>2026-10-20</t>
        </is>
      </c>
      <c r="B33" s="30" t="inlineStr">
        <is>
          <t>20261020-41019</t>
        </is>
      </c>
      <c r="C33" s="30" t="inlineStr">
        <is>
          <t>2026-10-20</t>
        </is>
      </c>
      <c r="D33" s="30" t="inlineStr">
        <is>
          <t>2026-10-20</t>
        </is>
      </c>
      <c r="E33" s="30" t="inlineStr">
        <is>
          <t>999-81-00001</t>
        </is>
      </c>
      <c r="F33" s="30" t="inlineStr"/>
      <c r="G33" s="30" t="inlineStr">
        <is>
          <t>(주)가온상사</t>
        </is>
      </c>
      <c r="H33" s="30" t="inlineStr">
        <is>
          <t>김가온</t>
        </is>
      </c>
      <c r="I33" s="30" t="inlineStr">
        <is>
          <t>가상 주소</t>
        </is>
      </c>
      <c r="J33" s="30" t="inlineStr">
        <is>
          <t>999-81-10002</t>
        </is>
      </c>
      <c r="K33" s="30" t="inlineStr"/>
      <c r="L33" s="30" t="inlineStr">
        <is>
          <t>(주)바람테크</t>
        </is>
      </c>
      <c r="M33" s="30" t="inlineStr">
        <is>
          <t>대표</t>
        </is>
      </c>
      <c r="N33" s="30" t="inlineStr">
        <is>
          <t>가상 주소</t>
        </is>
      </c>
      <c r="O33" s="34" t="n">
        <v>1100000</v>
      </c>
      <c r="P33" s="34" t="n">
        <v>1000000</v>
      </c>
      <c r="Q33" s="34" t="n">
        <v>100000</v>
      </c>
      <c r="R33" s="30" t="inlineStr">
        <is>
          <t>세금계산서</t>
        </is>
      </c>
      <c r="S33" s="30" t="inlineStr">
        <is>
          <t>일반</t>
        </is>
      </c>
      <c r="T33" s="30" t="inlineStr">
        <is>
          <t>직접발급</t>
        </is>
      </c>
      <c r="AR33" s="31">
        <f>IF(OR($A$5="",$B$6="",ROW()&lt;$A$5),"",IF(INDEX($A:$AP,ROW(),$B$6)="","",INDEX($A:$AP,ROW(),$B$6)))</f>
        <v/>
      </c>
      <c r="AS33" s="32">
        <f>IF($AR33="","",IF(ISNUMBER($AR33),IF($AR33&gt;=10000000,IFERROR(DATE(INT($AR33/10000),MOD(INT($AR33/100),100),MOD($AR33,100)),""),INT($AR33)),IFERROR(DATE(--LEFT(LEFT(SUBSTITUTE(SUBSTITUTE(SUBSTITUTE(SUBSTITUTE(TRIM($AR33),"-",""),".",""),"/","")," ",""),8),4),--MID(LEFT(SUBSTITUTE(SUBSTITUTE(SUBSTITUTE(SUBSTITUTE(TRIM($AR33),"-",""),".",""),"/","")," ",""),8),5,2),--MID(LEFT(SUBSTITUTE(SUBSTITUTE(SUBSTITUTE(SUBSTITUTE(TRIM($AR33),"-",""),".",""),"/","")," ",""),8),7,2)),"")))</f>
        <v/>
      </c>
      <c r="AT33" s="33">
        <f>IF($AS33="","",IF($F$6="",0,IF(ISNUMBER(INDEX($A:$AP,ROW(),$F$6)),INDEX($A:$AP,ROW(),$F$6),IFERROR(--SUBSTITUTE(SUBSTITUTE(TRIM(INDEX($A:$AP,ROW(),$F$6)),",",""),"원",""),0))))</f>
        <v/>
      </c>
      <c r="AU33" s="31">
        <f>IF($AS33="","",IF($AX33&lt;&gt;"",SUBSTITUTE(SUBSTITUTE($AX33,"-","")," ",""),"N:"&amp;$AV33))</f>
        <v/>
      </c>
      <c r="AV33" s="31">
        <f>IF(OR($AS33="",$E$6=""),"",TRIM(INDEX($A:$AP,ROW(),$E$6)&amp;""))</f>
        <v/>
      </c>
      <c r="AW33" s="31">
        <f>IF($AU33="","",IF(MATCH($AU33,$AU$8:$AU$2007,0)=ROW()-7,MAX($AW$7:$AW32)+1,""))</f>
        <v/>
      </c>
      <c r="AX33" s="31">
        <f>IF(OR($AS33="",$D$6=""),"",TRIM(INDEX($A:$AP,ROW(),$D$6)&amp;""))</f>
        <v/>
      </c>
      <c r="AY33" s="31">
        <f>IF($AU33="","",INDEX($AW$8:$AW$2007,MATCH($AU33,$AU$8:$AU$2007,0)))</f>
        <v/>
      </c>
      <c r="AZ33" s="31">
        <f>IF(OR($AS33="",$C$6=""),"",TRIM(INDEX($A:$AP,ROW(),$C$6)&amp;""))</f>
        <v/>
      </c>
      <c r="BA33" s="31">
        <f>IF($AZ33="","",IF(COUNTIF($AZ$8:$AZ33,$AZ33)&gt;1,1,0))</f>
        <v/>
      </c>
    </row>
    <row r="34">
      <c r="AR34" s="31">
        <f>IF(OR($A$5="",$B$6="",ROW()&lt;$A$5),"",IF(INDEX($A:$AP,ROW(),$B$6)="","",INDEX($A:$AP,ROW(),$B$6)))</f>
        <v/>
      </c>
      <c r="AS34" s="32">
        <f>IF($AR34="","",IF(ISNUMBER($AR34),IF($AR34&gt;=10000000,IFERROR(DATE(INT($AR34/10000),MOD(INT($AR34/100),100),MOD($AR34,100)),""),INT($AR34)),IFERROR(DATE(--LEFT(LEFT(SUBSTITUTE(SUBSTITUTE(SUBSTITUTE(SUBSTITUTE(TRIM($AR34),"-",""),".",""),"/","")," ",""),8),4),--MID(LEFT(SUBSTITUTE(SUBSTITUTE(SUBSTITUTE(SUBSTITUTE(TRIM($AR34),"-",""),".",""),"/","")," ",""),8),5,2),--MID(LEFT(SUBSTITUTE(SUBSTITUTE(SUBSTITUTE(SUBSTITUTE(TRIM($AR34),"-",""),".",""),"/","")," ",""),8),7,2)),"")))</f>
        <v/>
      </c>
      <c r="AT34" s="33">
        <f>IF($AS34="","",IF($F$6="",0,IF(ISNUMBER(INDEX($A:$AP,ROW(),$F$6)),INDEX($A:$AP,ROW(),$F$6),IFERROR(--SUBSTITUTE(SUBSTITUTE(TRIM(INDEX($A:$AP,ROW(),$F$6)),",",""),"원",""),0))))</f>
        <v/>
      </c>
      <c r="AU34" s="31">
        <f>IF($AS34="","",IF($AX34&lt;&gt;"",SUBSTITUTE(SUBSTITUTE($AX34,"-","")," ",""),"N:"&amp;$AV34))</f>
        <v/>
      </c>
      <c r="AV34" s="31">
        <f>IF(OR($AS34="",$E$6=""),"",TRIM(INDEX($A:$AP,ROW(),$E$6)&amp;""))</f>
        <v/>
      </c>
      <c r="AW34" s="31">
        <f>IF($AU34="","",IF(MATCH($AU34,$AU$8:$AU$2007,0)=ROW()-7,MAX($AW$7:$AW33)+1,""))</f>
        <v/>
      </c>
      <c r="AX34" s="31">
        <f>IF(OR($AS34="",$D$6=""),"",TRIM(INDEX($A:$AP,ROW(),$D$6)&amp;""))</f>
        <v/>
      </c>
      <c r="AY34" s="31">
        <f>IF($AU34="","",INDEX($AW$8:$AW$2007,MATCH($AU34,$AU$8:$AU$2007,0)))</f>
        <v/>
      </c>
      <c r="AZ34" s="31">
        <f>IF(OR($AS34="",$C$6=""),"",TRIM(INDEX($A:$AP,ROW(),$C$6)&amp;""))</f>
        <v/>
      </c>
      <c r="BA34" s="31">
        <f>IF($AZ34="","",IF(COUNTIF($AZ$8:$AZ34,$AZ34)&gt;1,1,0))</f>
        <v/>
      </c>
    </row>
    <row r="35">
      <c r="AR35" s="31">
        <f>IF(OR($A$5="",$B$6="",ROW()&lt;$A$5),"",IF(INDEX($A:$AP,ROW(),$B$6)="","",INDEX($A:$AP,ROW(),$B$6)))</f>
        <v/>
      </c>
      <c r="AS35" s="32">
        <f>IF($AR35="","",IF(ISNUMBER($AR35),IF($AR35&gt;=10000000,IFERROR(DATE(INT($AR35/10000),MOD(INT($AR35/100),100),MOD($AR35,100)),""),INT($AR35)),IFERROR(DATE(--LEFT(LEFT(SUBSTITUTE(SUBSTITUTE(SUBSTITUTE(SUBSTITUTE(TRIM($AR35),"-",""),".",""),"/","")," ",""),8),4),--MID(LEFT(SUBSTITUTE(SUBSTITUTE(SUBSTITUTE(SUBSTITUTE(TRIM($AR35),"-",""),".",""),"/","")," ",""),8),5,2),--MID(LEFT(SUBSTITUTE(SUBSTITUTE(SUBSTITUTE(SUBSTITUTE(TRIM($AR35),"-",""),".",""),"/","")," ",""),8),7,2)),"")))</f>
        <v/>
      </c>
      <c r="AT35" s="33">
        <f>IF($AS35="","",IF($F$6="",0,IF(ISNUMBER(INDEX($A:$AP,ROW(),$F$6)),INDEX($A:$AP,ROW(),$F$6),IFERROR(--SUBSTITUTE(SUBSTITUTE(TRIM(INDEX($A:$AP,ROW(),$F$6)),",",""),"원",""),0))))</f>
        <v/>
      </c>
      <c r="AU35" s="31">
        <f>IF($AS35="","",IF($AX35&lt;&gt;"",SUBSTITUTE(SUBSTITUTE($AX35,"-","")," ",""),"N:"&amp;$AV35))</f>
        <v/>
      </c>
      <c r="AV35" s="31">
        <f>IF(OR($AS35="",$E$6=""),"",TRIM(INDEX($A:$AP,ROW(),$E$6)&amp;""))</f>
        <v/>
      </c>
      <c r="AW35" s="31">
        <f>IF($AU35="","",IF(MATCH($AU35,$AU$8:$AU$2007,0)=ROW()-7,MAX($AW$7:$AW34)+1,""))</f>
        <v/>
      </c>
      <c r="AX35" s="31">
        <f>IF(OR($AS35="",$D$6=""),"",TRIM(INDEX($A:$AP,ROW(),$D$6)&amp;""))</f>
        <v/>
      </c>
      <c r="AY35" s="31">
        <f>IF($AU35="","",INDEX($AW$8:$AW$2007,MATCH($AU35,$AU$8:$AU$2007,0)))</f>
        <v/>
      </c>
      <c r="AZ35" s="31">
        <f>IF(OR($AS35="",$C$6=""),"",TRIM(INDEX($A:$AP,ROW(),$C$6)&amp;""))</f>
        <v/>
      </c>
      <c r="BA35" s="31">
        <f>IF($AZ35="","",IF(COUNTIF($AZ$8:$AZ35,$AZ35)&gt;1,1,0))</f>
        <v/>
      </c>
    </row>
    <row r="36">
      <c r="AR36" s="31">
        <f>IF(OR($A$5="",$B$6="",ROW()&lt;$A$5),"",IF(INDEX($A:$AP,ROW(),$B$6)="","",INDEX($A:$AP,ROW(),$B$6)))</f>
        <v/>
      </c>
      <c r="AS36" s="32">
        <f>IF($AR36="","",IF(ISNUMBER($AR36),IF($AR36&gt;=10000000,IFERROR(DATE(INT($AR36/10000),MOD(INT($AR36/100),100),MOD($AR36,100)),""),INT($AR36)),IFERROR(DATE(--LEFT(LEFT(SUBSTITUTE(SUBSTITUTE(SUBSTITUTE(SUBSTITUTE(TRIM($AR36),"-",""),".",""),"/","")," ",""),8),4),--MID(LEFT(SUBSTITUTE(SUBSTITUTE(SUBSTITUTE(SUBSTITUTE(TRIM($AR36),"-",""),".",""),"/","")," ",""),8),5,2),--MID(LEFT(SUBSTITUTE(SUBSTITUTE(SUBSTITUTE(SUBSTITUTE(TRIM($AR36),"-",""),".",""),"/","")," ",""),8),7,2)),"")))</f>
        <v/>
      </c>
      <c r="AT36" s="33">
        <f>IF($AS36="","",IF($F$6="",0,IF(ISNUMBER(INDEX($A:$AP,ROW(),$F$6)),INDEX($A:$AP,ROW(),$F$6),IFERROR(--SUBSTITUTE(SUBSTITUTE(TRIM(INDEX($A:$AP,ROW(),$F$6)),",",""),"원",""),0))))</f>
        <v/>
      </c>
      <c r="AU36" s="31">
        <f>IF($AS36="","",IF($AX36&lt;&gt;"",SUBSTITUTE(SUBSTITUTE($AX36,"-","")," ",""),"N:"&amp;$AV36))</f>
        <v/>
      </c>
      <c r="AV36" s="31">
        <f>IF(OR($AS36="",$E$6=""),"",TRIM(INDEX($A:$AP,ROW(),$E$6)&amp;""))</f>
        <v/>
      </c>
      <c r="AW36" s="31">
        <f>IF($AU36="","",IF(MATCH($AU36,$AU$8:$AU$2007,0)=ROW()-7,MAX($AW$7:$AW35)+1,""))</f>
        <v/>
      </c>
      <c r="AX36" s="31">
        <f>IF(OR($AS36="",$D$6=""),"",TRIM(INDEX($A:$AP,ROW(),$D$6)&amp;""))</f>
        <v/>
      </c>
      <c r="AY36" s="31">
        <f>IF($AU36="","",INDEX($AW$8:$AW$2007,MATCH($AU36,$AU$8:$AU$2007,0)))</f>
        <v/>
      </c>
      <c r="AZ36" s="31">
        <f>IF(OR($AS36="",$C$6=""),"",TRIM(INDEX($A:$AP,ROW(),$C$6)&amp;""))</f>
        <v/>
      </c>
      <c r="BA36" s="31">
        <f>IF($AZ36="","",IF(COUNTIF($AZ$8:$AZ36,$AZ36)&gt;1,1,0))</f>
        <v/>
      </c>
    </row>
    <row r="37">
      <c r="AR37" s="31">
        <f>IF(OR($A$5="",$B$6="",ROW()&lt;$A$5),"",IF(INDEX($A:$AP,ROW(),$B$6)="","",INDEX($A:$AP,ROW(),$B$6)))</f>
        <v/>
      </c>
      <c r="AS37" s="32">
        <f>IF($AR37="","",IF(ISNUMBER($AR37),IF($AR37&gt;=10000000,IFERROR(DATE(INT($AR37/10000),MOD(INT($AR37/100),100),MOD($AR37,100)),""),INT($AR37)),IFERROR(DATE(--LEFT(LEFT(SUBSTITUTE(SUBSTITUTE(SUBSTITUTE(SUBSTITUTE(TRIM($AR37),"-",""),".",""),"/","")," ",""),8),4),--MID(LEFT(SUBSTITUTE(SUBSTITUTE(SUBSTITUTE(SUBSTITUTE(TRIM($AR37),"-",""),".",""),"/","")," ",""),8),5,2),--MID(LEFT(SUBSTITUTE(SUBSTITUTE(SUBSTITUTE(SUBSTITUTE(TRIM($AR37),"-",""),".",""),"/","")," ",""),8),7,2)),"")))</f>
        <v/>
      </c>
      <c r="AT37" s="33">
        <f>IF($AS37="","",IF($F$6="",0,IF(ISNUMBER(INDEX($A:$AP,ROW(),$F$6)),INDEX($A:$AP,ROW(),$F$6),IFERROR(--SUBSTITUTE(SUBSTITUTE(TRIM(INDEX($A:$AP,ROW(),$F$6)),",",""),"원",""),0))))</f>
        <v/>
      </c>
      <c r="AU37" s="31">
        <f>IF($AS37="","",IF($AX37&lt;&gt;"",SUBSTITUTE(SUBSTITUTE($AX37,"-","")," ",""),"N:"&amp;$AV37))</f>
        <v/>
      </c>
      <c r="AV37" s="31">
        <f>IF(OR($AS37="",$E$6=""),"",TRIM(INDEX($A:$AP,ROW(),$E$6)&amp;""))</f>
        <v/>
      </c>
      <c r="AW37" s="31">
        <f>IF($AU37="","",IF(MATCH($AU37,$AU$8:$AU$2007,0)=ROW()-7,MAX($AW$7:$AW36)+1,""))</f>
        <v/>
      </c>
      <c r="AX37" s="31">
        <f>IF(OR($AS37="",$D$6=""),"",TRIM(INDEX($A:$AP,ROW(),$D$6)&amp;""))</f>
        <v/>
      </c>
      <c r="AY37" s="31">
        <f>IF($AU37="","",INDEX($AW$8:$AW$2007,MATCH($AU37,$AU$8:$AU$2007,0)))</f>
        <v/>
      </c>
      <c r="AZ37" s="31">
        <f>IF(OR($AS37="",$C$6=""),"",TRIM(INDEX($A:$AP,ROW(),$C$6)&amp;""))</f>
        <v/>
      </c>
      <c r="BA37" s="31">
        <f>IF($AZ37="","",IF(COUNTIF($AZ$8:$AZ37,$AZ37)&gt;1,1,0))</f>
        <v/>
      </c>
    </row>
    <row r="38">
      <c r="AR38" s="31">
        <f>IF(OR($A$5="",$B$6="",ROW()&lt;$A$5),"",IF(INDEX($A:$AP,ROW(),$B$6)="","",INDEX($A:$AP,ROW(),$B$6)))</f>
        <v/>
      </c>
      <c r="AS38" s="32">
        <f>IF($AR38="","",IF(ISNUMBER($AR38),IF($AR38&gt;=10000000,IFERROR(DATE(INT($AR38/10000),MOD(INT($AR38/100),100),MOD($AR38,100)),""),INT($AR38)),IFERROR(DATE(--LEFT(LEFT(SUBSTITUTE(SUBSTITUTE(SUBSTITUTE(SUBSTITUTE(TRIM($AR38),"-",""),".",""),"/","")," ",""),8),4),--MID(LEFT(SUBSTITUTE(SUBSTITUTE(SUBSTITUTE(SUBSTITUTE(TRIM($AR38),"-",""),".",""),"/","")," ",""),8),5,2),--MID(LEFT(SUBSTITUTE(SUBSTITUTE(SUBSTITUTE(SUBSTITUTE(TRIM($AR38),"-",""),".",""),"/","")," ",""),8),7,2)),"")))</f>
        <v/>
      </c>
      <c r="AT38" s="33">
        <f>IF($AS38="","",IF($F$6="",0,IF(ISNUMBER(INDEX($A:$AP,ROW(),$F$6)),INDEX($A:$AP,ROW(),$F$6),IFERROR(--SUBSTITUTE(SUBSTITUTE(TRIM(INDEX($A:$AP,ROW(),$F$6)),",",""),"원",""),0))))</f>
        <v/>
      </c>
      <c r="AU38" s="31">
        <f>IF($AS38="","",IF($AX38&lt;&gt;"",SUBSTITUTE(SUBSTITUTE($AX38,"-","")," ",""),"N:"&amp;$AV38))</f>
        <v/>
      </c>
      <c r="AV38" s="31">
        <f>IF(OR($AS38="",$E$6=""),"",TRIM(INDEX($A:$AP,ROW(),$E$6)&amp;""))</f>
        <v/>
      </c>
      <c r="AW38" s="31">
        <f>IF($AU38="","",IF(MATCH($AU38,$AU$8:$AU$2007,0)=ROW()-7,MAX($AW$7:$AW37)+1,""))</f>
        <v/>
      </c>
      <c r="AX38" s="31">
        <f>IF(OR($AS38="",$D$6=""),"",TRIM(INDEX($A:$AP,ROW(),$D$6)&amp;""))</f>
        <v/>
      </c>
      <c r="AY38" s="31">
        <f>IF($AU38="","",INDEX($AW$8:$AW$2007,MATCH($AU38,$AU$8:$AU$2007,0)))</f>
        <v/>
      </c>
      <c r="AZ38" s="31">
        <f>IF(OR($AS38="",$C$6=""),"",TRIM(INDEX($A:$AP,ROW(),$C$6)&amp;""))</f>
        <v/>
      </c>
      <c r="BA38" s="31">
        <f>IF($AZ38="","",IF(COUNTIF($AZ$8:$AZ38,$AZ38)&gt;1,1,0))</f>
        <v/>
      </c>
    </row>
    <row r="39">
      <c r="AR39" s="31">
        <f>IF(OR($A$5="",$B$6="",ROW()&lt;$A$5),"",IF(INDEX($A:$AP,ROW(),$B$6)="","",INDEX($A:$AP,ROW(),$B$6)))</f>
        <v/>
      </c>
      <c r="AS39" s="32">
        <f>IF($AR39="","",IF(ISNUMBER($AR39),IF($AR39&gt;=10000000,IFERROR(DATE(INT($AR39/10000),MOD(INT($AR39/100),100),MOD($AR39,100)),""),INT($AR39)),IFERROR(DATE(--LEFT(LEFT(SUBSTITUTE(SUBSTITUTE(SUBSTITUTE(SUBSTITUTE(TRIM($AR39),"-",""),".",""),"/","")," ",""),8),4),--MID(LEFT(SUBSTITUTE(SUBSTITUTE(SUBSTITUTE(SUBSTITUTE(TRIM($AR39),"-",""),".",""),"/","")," ",""),8),5,2),--MID(LEFT(SUBSTITUTE(SUBSTITUTE(SUBSTITUTE(SUBSTITUTE(TRIM($AR39),"-",""),".",""),"/","")," ",""),8),7,2)),"")))</f>
        <v/>
      </c>
      <c r="AT39" s="33">
        <f>IF($AS39="","",IF($F$6="",0,IF(ISNUMBER(INDEX($A:$AP,ROW(),$F$6)),INDEX($A:$AP,ROW(),$F$6),IFERROR(--SUBSTITUTE(SUBSTITUTE(TRIM(INDEX($A:$AP,ROW(),$F$6)),",",""),"원",""),0))))</f>
        <v/>
      </c>
      <c r="AU39" s="31">
        <f>IF($AS39="","",IF($AX39&lt;&gt;"",SUBSTITUTE(SUBSTITUTE($AX39,"-","")," ",""),"N:"&amp;$AV39))</f>
        <v/>
      </c>
      <c r="AV39" s="31">
        <f>IF(OR($AS39="",$E$6=""),"",TRIM(INDEX($A:$AP,ROW(),$E$6)&amp;""))</f>
        <v/>
      </c>
      <c r="AW39" s="31">
        <f>IF($AU39="","",IF(MATCH($AU39,$AU$8:$AU$2007,0)=ROW()-7,MAX($AW$7:$AW38)+1,""))</f>
        <v/>
      </c>
      <c r="AX39" s="31">
        <f>IF(OR($AS39="",$D$6=""),"",TRIM(INDEX($A:$AP,ROW(),$D$6)&amp;""))</f>
        <v/>
      </c>
      <c r="AY39" s="31">
        <f>IF($AU39="","",INDEX($AW$8:$AW$2007,MATCH($AU39,$AU$8:$AU$2007,0)))</f>
        <v/>
      </c>
      <c r="AZ39" s="31">
        <f>IF(OR($AS39="",$C$6=""),"",TRIM(INDEX($A:$AP,ROW(),$C$6)&amp;""))</f>
        <v/>
      </c>
      <c r="BA39" s="31">
        <f>IF($AZ39="","",IF(COUNTIF($AZ$8:$AZ39,$AZ39)&gt;1,1,0))</f>
        <v/>
      </c>
    </row>
    <row r="40">
      <c r="AR40" s="31">
        <f>IF(OR($A$5="",$B$6="",ROW()&lt;$A$5),"",IF(INDEX($A:$AP,ROW(),$B$6)="","",INDEX($A:$AP,ROW(),$B$6)))</f>
        <v/>
      </c>
      <c r="AS40" s="32">
        <f>IF($AR40="","",IF(ISNUMBER($AR40),IF($AR40&gt;=10000000,IFERROR(DATE(INT($AR40/10000),MOD(INT($AR40/100),100),MOD($AR40,100)),""),INT($AR40)),IFERROR(DATE(--LEFT(LEFT(SUBSTITUTE(SUBSTITUTE(SUBSTITUTE(SUBSTITUTE(TRIM($AR40),"-",""),".",""),"/","")," ",""),8),4),--MID(LEFT(SUBSTITUTE(SUBSTITUTE(SUBSTITUTE(SUBSTITUTE(TRIM($AR40),"-",""),".",""),"/","")," ",""),8),5,2),--MID(LEFT(SUBSTITUTE(SUBSTITUTE(SUBSTITUTE(SUBSTITUTE(TRIM($AR40),"-",""),".",""),"/","")," ",""),8),7,2)),"")))</f>
        <v/>
      </c>
      <c r="AT40" s="33">
        <f>IF($AS40="","",IF($F$6="",0,IF(ISNUMBER(INDEX($A:$AP,ROW(),$F$6)),INDEX($A:$AP,ROW(),$F$6),IFERROR(--SUBSTITUTE(SUBSTITUTE(TRIM(INDEX($A:$AP,ROW(),$F$6)),",",""),"원",""),0))))</f>
        <v/>
      </c>
      <c r="AU40" s="31">
        <f>IF($AS40="","",IF($AX40&lt;&gt;"",SUBSTITUTE(SUBSTITUTE($AX40,"-","")," ",""),"N:"&amp;$AV40))</f>
        <v/>
      </c>
      <c r="AV40" s="31">
        <f>IF(OR($AS40="",$E$6=""),"",TRIM(INDEX($A:$AP,ROW(),$E$6)&amp;""))</f>
        <v/>
      </c>
      <c r="AW40" s="31">
        <f>IF($AU40="","",IF(MATCH($AU40,$AU$8:$AU$2007,0)=ROW()-7,MAX($AW$7:$AW39)+1,""))</f>
        <v/>
      </c>
      <c r="AX40" s="31">
        <f>IF(OR($AS40="",$D$6=""),"",TRIM(INDEX($A:$AP,ROW(),$D$6)&amp;""))</f>
        <v/>
      </c>
      <c r="AY40" s="31">
        <f>IF($AU40="","",INDEX($AW$8:$AW$2007,MATCH($AU40,$AU$8:$AU$2007,0)))</f>
        <v/>
      </c>
      <c r="AZ40" s="31">
        <f>IF(OR($AS40="",$C$6=""),"",TRIM(INDEX($A:$AP,ROW(),$C$6)&amp;""))</f>
        <v/>
      </c>
      <c r="BA40" s="31">
        <f>IF($AZ40="","",IF(COUNTIF($AZ$8:$AZ40,$AZ40)&gt;1,1,0))</f>
        <v/>
      </c>
    </row>
    <row r="41">
      <c r="AR41" s="31">
        <f>IF(OR($A$5="",$B$6="",ROW()&lt;$A$5),"",IF(INDEX($A:$AP,ROW(),$B$6)="","",INDEX($A:$AP,ROW(),$B$6)))</f>
        <v/>
      </c>
      <c r="AS41" s="32">
        <f>IF($AR41="","",IF(ISNUMBER($AR41),IF($AR41&gt;=10000000,IFERROR(DATE(INT($AR41/10000),MOD(INT($AR41/100),100),MOD($AR41,100)),""),INT($AR41)),IFERROR(DATE(--LEFT(LEFT(SUBSTITUTE(SUBSTITUTE(SUBSTITUTE(SUBSTITUTE(TRIM($AR41),"-",""),".",""),"/","")," ",""),8),4),--MID(LEFT(SUBSTITUTE(SUBSTITUTE(SUBSTITUTE(SUBSTITUTE(TRIM($AR41),"-",""),".",""),"/","")," ",""),8),5,2),--MID(LEFT(SUBSTITUTE(SUBSTITUTE(SUBSTITUTE(SUBSTITUTE(TRIM($AR41),"-",""),".",""),"/","")," ",""),8),7,2)),"")))</f>
        <v/>
      </c>
      <c r="AT41" s="33">
        <f>IF($AS41="","",IF($F$6="",0,IF(ISNUMBER(INDEX($A:$AP,ROW(),$F$6)),INDEX($A:$AP,ROW(),$F$6),IFERROR(--SUBSTITUTE(SUBSTITUTE(TRIM(INDEX($A:$AP,ROW(),$F$6)),",",""),"원",""),0))))</f>
        <v/>
      </c>
      <c r="AU41" s="31">
        <f>IF($AS41="","",IF($AX41&lt;&gt;"",SUBSTITUTE(SUBSTITUTE($AX41,"-","")," ",""),"N:"&amp;$AV41))</f>
        <v/>
      </c>
      <c r="AV41" s="31">
        <f>IF(OR($AS41="",$E$6=""),"",TRIM(INDEX($A:$AP,ROW(),$E$6)&amp;""))</f>
        <v/>
      </c>
      <c r="AW41" s="31">
        <f>IF($AU41="","",IF(MATCH($AU41,$AU$8:$AU$2007,0)=ROW()-7,MAX($AW$7:$AW40)+1,""))</f>
        <v/>
      </c>
      <c r="AX41" s="31">
        <f>IF(OR($AS41="",$D$6=""),"",TRIM(INDEX($A:$AP,ROW(),$D$6)&amp;""))</f>
        <v/>
      </c>
      <c r="AY41" s="31">
        <f>IF($AU41="","",INDEX($AW$8:$AW$2007,MATCH($AU41,$AU$8:$AU$2007,0)))</f>
        <v/>
      </c>
      <c r="AZ41" s="31">
        <f>IF(OR($AS41="",$C$6=""),"",TRIM(INDEX($A:$AP,ROW(),$C$6)&amp;""))</f>
        <v/>
      </c>
      <c r="BA41" s="31">
        <f>IF($AZ41="","",IF(COUNTIF($AZ$8:$AZ41,$AZ41)&gt;1,1,0))</f>
        <v/>
      </c>
    </row>
    <row r="42">
      <c r="AR42" s="31">
        <f>IF(OR($A$5="",$B$6="",ROW()&lt;$A$5),"",IF(INDEX($A:$AP,ROW(),$B$6)="","",INDEX($A:$AP,ROW(),$B$6)))</f>
        <v/>
      </c>
      <c r="AS42" s="32">
        <f>IF($AR42="","",IF(ISNUMBER($AR42),IF($AR42&gt;=10000000,IFERROR(DATE(INT($AR42/10000),MOD(INT($AR42/100),100),MOD($AR42,100)),""),INT($AR42)),IFERROR(DATE(--LEFT(LEFT(SUBSTITUTE(SUBSTITUTE(SUBSTITUTE(SUBSTITUTE(TRIM($AR42),"-",""),".",""),"/","")," ",""),8),4),--MID(LEFT(SUBSTITUTE(SUBSTITUTE(SUBSTITUTE(SUBSTITUTE(TRIM($AR42),"-",""),".",""),"/","")," ",""),8),5,2),--MID(LEFT(SUBSTITUTE(SUBSTITUTE(SUBSTITUTE(SUBSTITUTE(TRIM($AR42),"-",""),".",""),"/","")," ",""),8),7,2)),"")))</f>
        <v/>
      </c>
      <c r="AT42" s="33">
        <f>IF($AS42="","",IF($F$6="",0,IF(ISNUMBER(INDEX($A:$AP,ROW(),$F$6)),INDEX($A:$AP,ROW(),$F$6),IFERROR(--SUBSTITUTE(SUBSTITUTE(TRIM(INDEX($A:$AP,ROW(),$F$6)),",",""),"원",""),0))))</f>
        <v/>
      </c>
      <c r="AU42" s="31">
        <f>IF($AS42="","",IF($AX42&lt;&gt;"",SUBSTITUTE(SUBSTITUTE($AX42,"-","")," ",""),"N:"&amp;$AV42))</f>
        <v/>
      </c>
      <c r="AV42" s="31">
        <f>IF(OR($AS42="",$E$6=""),"",TRIM(INDEX($A:$AP,ROW(),$E$6)&amp;""))</f>
        <v/>
      </c>
      <c r="AW42" s="31">
        <f>IF($AU42="","",IF(MATCH($AU42,$AU$8:$AU$2007,0)=ROW()-7,MAX($AW$7:$AW41)+1,""))</f>
        <v/>
      </c>
      <c r="AX42" s="31">
        <f>IF(OR($AS42="",$D$6=""),"",TRIM(INDEX($A:$AP,ROW(),$D$6)&amp;""))</f>
        <v/>
      </c>
      <c r="AY42" s="31">
        <f>IF($AU42="","",INDEX($AW$8:$AW$2007,MATCH($AU42,$AU$8:$AU$2007,0)))</f>
        <v/>
      </c>
      <c r="AZ42" s="31">
        <f>IF(OR($AS42="",$C$6=""),"",TRIM(INDEX($A:$AP,ROW(),$C$6)&amp;""))</f>
        <v/>
      </c>
      <c r="BA42" s="31">
        <f>IF($AZ42="","",IF(COUNTIF($AZ$8:$AZ42,$AZ42)&gt;1,1,0))</f>
        <v/>
      </c>
    </row>
    <row r="43">
      <c r="AR43" s="31">
        <f>IF(OR($A$5="",$B$6="",ROW()&lt;$A$5),"",IF(INDEX($A:$AP,ROW(),$B$6)="","",INDEX($A:$AP,ROW(),$B$6)))</f>
        <v/>
      </c>
      <c r="AS43" s="32">
        <f>IF($AR43="","",IF(ISNUMBER($AR43),IF($AR43&gt;=10000000,IFERROR(DATE(INT($AR43/10000),MOD(INT($AR43/100),100),MOD($AR43,100)),""),INT($AR43)),IFERROR(DATE(--LEFT(LEFT(SUBSTITUTE(SUBSTITUTE(SUBSTITUTE(SUBSTITUTE(TRIM($AR43),"-",""),".",""),"/","")," ",""),8),4),--MID(LEFT(SUBSTITUTE(SUBSTITUTE(SUBSTITUTE(SUBSTITUTE(TRIM($AR43),"-",""),".",""),"/","")," ",""),8),5,2),--MID(LEFT(SUBSTITUTE(SUBSTITUTE(SUBSTITUTE(SUBSTITUTE(TRIM($AR43),"-",""),".",""),"/","")," ",""),8),7,2)),"")))</f>
        <v/>
      </c>
      <c r="AT43" s="33">
        <f>IF($AS43="","",IF($F$6="",0,IF(ISNUMBER(INDEX($A:$AP,ROW(),$F$6)),INDEX($A:$AP,ROW(),$F$6),IFERROR(--SUBSTITUTE(SUBSTITUTE(TRIM(INDEX($A:$AP,ROW(),$F$6)),",",""),"원",""),0))))</f>
        <v/>
      </c>
      <c r="AU43" s="31">
        <f>IF($AS43="","",IF($AX43&lt;&gt;"",SUBSTITUTE(SUBSTITUTE($AX43,"-","")," ",""),"N:"&amp;$AV43))</f>
        <v/>
      </c>
      <c r="AV43" s="31">
        <f>IF(OR($AS43="",$E$6=""),"",TRIM(INDEX($A:$AP,ROW(),$E$6)&amp;""))</f>
        <v/>
      </c>
      <c r="AW43" s="31">
        <f>IF($AU43="","",IF(MATCH($AU43,$AU$8:$AU$2007,0)=ROW()-7,MAX($AW$7:$AW42)+1,""))</f>
        <v/>
      </c>
      <c r="AX43" s="31">
        <f>IF(OR($AS43="",$D$6=""),"",TRIM(INDEX($A:$AP,ROW(),$D$6)&amp;""))</f>
        <v/>
      </c>
      <c r="AY43" s="31">
        <f>IF($AU43="","",INDEX($AW$8:$AW$2007,MATCH($AU43,$AU$8:$AU$2007,0)))</f>
        <v/>
      </c>
      <c r="AZ43" s="31">
        <f>IF(OR($AS43="",$C$6=""),"",TRIM(INDEX($A:$AP,ROW(),$C$6)&amp;""))</f>
        <v/>
      </c>
      <c r="BA43" s="31">
        <f>IF($AZ43="","",IF(COUNTIF($AZ$8:$AZ43,$AZ43)&gt;1,1,0))</f>
        <v/>
      </c>
    </row>
    <row r="44">
      <c r="AR44" s="31">
        <f>IF(OR($A$5="",$B$6="",ROW()&lt;$A$5),"",IF(INDEX($A:$AP,ROW(),$B$6)="","",INDEX($A:$AP,ROW(),$B$6)))</f>
        <v/>
      </c>
      <c r="AS44" s="32">
        <f>IF($AR44="","",IF(ISNUMBER($AR44),IF($AR44&gt;=10000000,IFERROR(DATE(INT($AR44/10000),MOD(INT($AR44/100),100),MOD($AR44,100)),""),INT($AR44)),IFERROR(DATE(--LEFT(LEFT(SUBSTITUTE(SUBSTITUTE(SUBSTITUTE(SUBSTITUTE(TRIM($AR44),"-",""),".",""),"/","")," ",""),8),4),--MID(LEFT(SUBSTITUTE(SUBSTITUTE(SUBSTITUTE(SUBSTITUTE(TRIM($AR44),"-",""),".",""),"/","")," ",""),8),5,2),--MID(LEFT(SUBSTITUTE(SUBSTITUTE(SUBSTITUTE(SUBSTITUTE(TRIM($AR44),"-",""),".",""),"/","")," ",""),8),7,2)),"")))</f>
        <v/>
      </c>
      <c r="AT44" s="33">
        <f>IF($AS44="","",IF($F$6="",0,IF(ISNUMBER(INDEX($A:$AP,ROW(),$F$6)),INDEX($A:$AP,ROW(),$F$6),IFERROR(--SUBSTITUTE(SUBSTITUTE(TRIM(INDEX($A:$AP,ROW(),$F$6)),",",""),"원",""),0))))</f>
        <v/>
      </c>
      <c r="AU44" s="31">
        <f>IF($AS44="","",IF($AX44&lt;&gt;"",SUBSTITUTE(SUBSTITUTE($AX44,"-","")," ",""),"N:"&amp;$AV44))</f>
        <v/>
      </c>
      <c r="AV44" s="31">
        <f>IF(OR($AS44="",$E$6=""),"",TRIM(INDEX($A:$AP,ROW(),$E$6)&amp;""))</f>
        <v/>
      </c>
      <c r="AW44" s="31">
        <f>IF($AU44="","",IF(MATCH($AU44,$AU$8:$AU$2007,0)=ROW()-7,MAX($AW$7:$AW43)+1,""))</f>
        <v/>
      </c>
      <c r="AX44" s="31">
        <f>IF(OR($AS44="",$D$6=""),"",TRIM(INDEX($A:$AP,ROW(),$D$6)&amp;""))</f>
        <v/>
      </c>
      <c r="AY44" s="31">
        <f>IF($AU44="","",INDEX($AW$8:$AW$2007,MATCH($AU44,$AU$8:$AU$2007,0)))</f>
        <v/>
      </c>
      <c r="AZ44" s="31">
        <f>IF(OR($AS44="",$C$6=""),"",TRIM(INDEX($A:$AP,ROW(),$C$6)&amp;""))</f>
        <v/>
      </c>
      <c r="BA44" s="31">
        <f>IF($AZ44="","",IF(COUNTIF($AZ$8:$AZ44,$AZ44)&gt;1,1,0))</f>
        <v/>
      </c>
    </row>
    <row r="45">
      <c r="AR45" s="31">
        <f>IF(OR($A$5="",$B$6="",ROW()&lt;$A$5),"",IF(INDEX($A:$AP,ROW(),$B$6)="","",INDEX($A:$AP,ROW(),$B$6)))</f>
        <v/>
      </c>
      <c r="AS45" s="32">
        <f>IF($AR45="","",IF(ISNUMBER($AR45),IF($AR45&gt;=10000000,IFERROR(DATE(INT($AR45/10000),MOD(INT($AR45/100),100),MOD($AR45,100)),""),INT($AR45)),IFERROR(DATE(--LEFT(LEFT(SUBSTITUTE(SUBSTITUTE(SUBSTITUTE(SUBSTITUTE(TRIM($AR45),"-",""),".",""),"/","")," ",""),8),4),--MID(LEFT(SUBSTITUTE(SUBSTITUTE(SUBSTITUTE(SUBSTITUTE(TRIM($AR45),"-",""),".",""),"/","")," ",""),8),5,2),--MID(LEFT(SUBSTITUTE(SUBSTITUTE(SUBSTITUTE(SUBSTITUTE(TRIM($AR45),"-",""),".",""),"/","")," ",""),8),7,2)),"")))</f>
        <v/>
      </c>
      <c r="AT45" s="33">
        <f>IF($AS45="","",IF($F$6="",0,IF(ISNUMBER(INDEX($A:$AP,ROW(),$F$6)),INDEX($A:$AP,ROW(),$F$6),IFERROR(--SUBSTITUTE(SUBSTITUTE(TRIM(INDEX($A:$AP,ROW(),$F$6)),",",""),"원",""),0))))</f>
        <v/>
      </c>
      <c r="AU45" s="31">
        <f>IF($AS45="","",IF($AX45&lt;&gt;"",SUBSTITUTE(SUBSTITUTE($AX45,"-","")," ",""),"N:"&amp;$AV45))</f>
        <v/>
      </c>
      <c r="AV45" s="31">
        <f>IF(OR($AS45="",$E$6=""),"",TRIM(INDEX($A:$AP,ROW(),$E$6)&amp;""))</f>
        <v/>
      </c>
      <c r="AW45" s="31">
        <f>IF($AU45="","",IF(MATCH($AU45,$AU$8:$AU$2007,0)=ROW()-7,MAX($AW$7:$AW44)+1,""))</f>
        <v/>
      </c>
      <c r="AX45" s="31">
        <f>IF(OR($AS45="",$D$6=""),"",TRIM(INDEX($A:$AP,ROW(),$D$6)&amp;""))</f>
        <v/>
      </c>
      <c r="AY45" s="31">
        <f>IF($AU45="","",INDEX($AW$8:$AW$2007,MATCH($AU45,$AU$8:$AU$2007,0)))</f>
        <v/>
      </c>
      <c r="AZ45" s="31">
        <f>IF(OR($AS45="",$C$6=""),"",TRIM(INDEX($A:$AP,ROW(),$C$6)&amp;""))</f>
        <v/>
      </c>
      <c r="BA45" s="31">
        <f>IF($AZ45="","",IF(COUNTIF($AZ$8:$AZ45,$AZ45)&gt;1,1,0))</f>
        <v/>
      </c>
    </row>
    <row r="46">
      <c r="AR46" s="31">
        <f>IF(OR($A$5="",$B$6="",ROW()&lt;$A$5),"",IF(INDEX($A:$AP,ROW(),$B$6)="","",INDEX($A:$AP,ROW(),$B$6)))</f>
        <v/>
      </c>
      <c r="AS46" s="32">
        <f>IF($AR46="","",IF(ISNUMBER($AR46),IF($AR46&gt;=10000000,IFERROR(DATE(INT($AR46/10000),MOD(INT($AR46/100),100),MOD($AR46,100)),""),INT($AR46)),IFERROR(DATE(--LEFT(LEFT(SUBSTITUTE(SUBSTITUTE(SUBSTITUTE(SUBSTITUTE(TRIM($AR46),"-",""),".",""),"/","")," ",""),8),4),--MID(LEFT(SUBSTITUTE(SUBSTITUTE(SUBSTITUTE(SUBSTITUTE(TRIM($AR46),"-",""),".",""),"/","")," ",""),8),5,2),--MID(LEFT(SUBSTITUTE(SUBSTITUTE(SUBSTITUTE(SUBSTITUTE(TRIM($AR46),"-",""),".",""),"/","")," ",""),8),7,2)),"")))</f>
        <v/>
      </c>
      <c r="AT46" s="33">
        <f>IF($AS46="","",IF($F$6="",0,IF(ISNUMBER(INDEX($A:$AP,ROW(),$F$6)),INDEX($A:$AP,ROW(),$F$6),IFERROR(--SUBSTITUTE(SUBSTITUTE(TRIM(INDEX($A:$AP,ROW(),$F$6)),",",""),"원",""),0))))</f>
        <v/>
      </c>
      <c r="AU46" s="31">
        <f>IF($AS46="","",IF($AX46&lt;&gt;"",SUBSTITUTE(SUBSTITUTE($AX46,"-","")," ",""),"N:"&amp;$AV46))</f>
        <v/>
      </c>
      <c r="AV46" s="31">
        <f>IF(OR($AS46="",$E$6=""),"",TRIM(INDEX($A:$AP,ROW(),$E$6)&amp;""))</f>
        <v/>
      </c>
      <c r="AW46" s="31">
        <f>IF($AU46="","",IF(MATCH($AU46,$AU$8:$AU$2007,0)=ROW()-7,MAX($AW$7:$AW45)+1,""))</f>
        <v/>
      </c>
      <c r="AX46" s="31">
        <f>IF(OR($AS46="",$D$6=""),"",TRIM(INDEX($A:$AP,ROW(),$D$6)&amp;""))</f>
        <v/>
      </c>
      <c r="AY46" s="31">
        <f>IF($AU46="","",INDEX($AW$8:$AW$2007,MATCH($AU46,$AU$8:$AU$2007,0)))</f>
        <v/>
      </c>
      <c r="AZ46" s="31">
        <f>IF(OR($AS46="",$C$6=""),"",TRIM(INDEX($A:$AP,ROW(),$C$6)&amp;""))</f>
        <v/>
      </c>
      <c r="BA46" s="31">
        <f>IF($AZ46="","",IF(COUNTIF($AZ$8:$AZ46,$AZ46)&gt;1,1,0))</f>
        <v/>
      </c>
    </row>
    <row r="47">
      <c r="AR47" s="31">
        <f>IF(OR($A$5="",$B$6="",ROW()&lt;$A$5),"",IF(INDEX($A:$AP,ROW(),$B$6)="","",INDEX($A:$AP,ROW(),$B$6)))</f>
        <v/>
      </c>
      <c r="AS47" s="32">
        <f>IF($AR47="","",IF(ISNUMBER($AR47),IF($AR47&gt;=10000000,IFERROR(DATE(INT($AR47/10000),MOD(INT($AR47/100),100),MOD($AR47,100)),""),INT($AR47)),IFERROR(DATE(--LEFT(LEFT(SUBSTITUTE(SUBSTITUTE(SUBSTITUTE(SUBSTITUTE(TRIM($AR47),"-",""),".",""),"/","")," ",""),8),4),--MID(LEFT(SUBSTITUTE(SUBSTITUTE(SUBSTITUTE(SUBSTITUTE(TRIM($AR47),"-",""),".",""),"/","")," ",""),8),5,2),--MID(LEFT(SUBSTITUTE(SUBSTITUTE(SUBSTITUTE(SUBSTITUTE(TRIM($AR47),"-",""),".",""),"/","")," ",""),8),7,2)),"")))</f>
        <v/>
      </c>
      <c r="AT47" s="33">
        <f>IF($AS47="","",IF($F$6="",0,IF(ISNUMBER(INDEX($A:$AP,ROW(),$F$6)),INDEX($A:$AP,ROW(),$F$6),IFERROR(--SUBSTITUTE(SUBSTITUTE(TRIM(INDEX($A:$AP,ROW(),$F$6)),",",""),"원",""),0))))</f>
        <v/>
      </c>
      <c r="AU47" s="31">
        <f>IF($AS47="","",IF($AX47&lt;&gt;"",SUBSTITUTE(SUBSTITUTE($AX47,"-","")," ",""),"N:"&amp;$AV47))</f>
        <v/>
      </c>
      <c r="AV47" s="31">
        <f>IF(OR($AS47="",$E$6=""),"",TRIM(INDEX($A:$AP,ROW(),$E$6)&amp;""))</f>
        <v/>
      </c>
      <c r="AW47" s="31">
        <f>IF($AU47="","",IF(MATCH($AU47,$AU$8:$AU$2007,0)=ROW()-7,MAX($AW$7:$AW46)+1,""))</f>
        <v/>
      </c>
      <c r="AX47" s="31">
        <f>IF(OR($AS47="",$D$6=""),"",TRIM(INDEX($A:$AP,ROW(),$D$6)&amp;""))</f>
        <v/>
      </c>
      <c r="AY47" s="31">
        <f>IF($AU47="","",INDEX($AW$8:$AW$2007,MATCH($AU47,$AU$8:$AU$2007,0)))</f>
        <v/>
      </c>
      <c r="AZ47" s="31">
        <f>IF(OR($AS47="",$C$6=""),"",TRIM(INDEX($A:$AP,ROW(),$C$6)&amp;""))</f>
        <v/>
      </c>
      <c r="BA47" s="31">
        <f>IF($AZ47="","",IF(COUNTIF($AZ$8:$AZ47,$AZ47)&gt;1,1,0))</f>
        <v/>
      </c>
    </row>
    <row r="48">
      <c r="AR48" s="31">
        <f>IF(OR($A$5="",$B$6="",ROW()&lt;$A$5),"",IF(INDEX($A:$AP,ROW(),$B$6)="","",INDEX($A:$AP,ROW(),$B$6)))</f>
        <v/>
      </c>
      <c r="AS48" s="32">
        <f>IF($AR48="","",IF(ISNUMBER($AR48),IF($AR48&gt;=10000000,IFERROR(DATE(INT($AR48/10000),MOD(INT($AR48/100),100),MOD($AR48,100)),""),INT($AR48)),IFERROR(DATE(--LEFT(LEFT(SUBSTITUTE(SUBSTITUTE(SUBSTITUTE(SUBSTITUTE(TRIM($AR48),"-",""),".",""),"/","")," ",""),8),4),--MID(LEFT(SUBSTITUTE(SUBSTITUTE(SUBSTITUTE(SUBSTITUTE(TRIM($AR48),"-",""),".",""),"/","")," ",""),8),5,2),--MID(LEFT(SUBSTITUTE(SUBSTITUTE(SUBSTITUTE(SUBSTITUTE(TRIM($AR48),"-",""),".",""),"/","")," ",""),8),7,2)),"")))</f>
        <v/>
      </c>
      <c r="AT48" s="33">
        <f>IF($AS48="","",IF($F$6="",0,IF(ISNUMBER(INDEX($A:$AP,ROW(),$F$6)),INDEX($A:$AP,ROW(),$F$6),IFERROR(--SUBSTITUTE(SUBSTITUTE(TRIM(INDEX($A:$AP,ROW(),$F$6)),",",""),"원",""),0))))</f>
        <v/>
      </c>
      <c r="AU48" s="31">
        <f>IF($AS48="","",IF($AX48&lt;&gt;"",SUBSTITUTE(SUBSTITUTE($AX48,"-","")," ",""),"N:"&amp;$AV48))</f>
        <v/>
      </c>
      <c r="AV48" s="31">
        <f>IF(OR($AS48="",$E$6=""),"",TRIM(INDEX($A:$AP,ROW(),$E$6)&amp;""))</f>
        <v/>
      </c>
      <c r="AW48" s="31">
        <f>IF($AU48="","",IF(MATCH($AU48,$AU$8:$AU$2007,0)=ROW()-7,MAX($AW$7:$AW47)+1,""))</f>
        <v/>
      </c>
      <c r="AX48" s="31">
        <f>IF(OR($AS48="",$D$6=""),"",TRIM(INDEX($A:$AP,ROW(),$D$6)&amp;""))</f>
        <v/>
      </c>
      <c r="AY48" s="31">
        <f>IF($AU48="","",INDEX($AW$8:$AW$2007,MATCH($AU48,$AU$8:$AU$2007,0)))</f>
        <v/>
      </c>
      <c r="AZ48" s="31">
        <f>IF(OR($AS48="",$C$6=""),"",TRIM(INDEX($A:$AP,ROW(),$C$6)&amp;""))</f>
        <v/>
      </c>
      <c r="BA48" s="31">
        <f>IF($AZ48="","",IF(COUNTIF($AZ$8:$AZ48,$AZ48)&gt;1,1,0))</f>
        <v/>
      </c>
    </row>
    <row r="49">
      <c r="AR49" s="31">
        <f>IF(OR($A$5="",$B$6="",ROW()&lt;$A$5),"",IF(INDEX($A:$AP,ROW(),$B$6)="","",INDEX($A:$AP,ROW(),$B$6)))</f>
        <v/>
      </c>
      <c r="AS49" s="32">
        <f>IF($AR49="","",IF(ISNUMBER($AR49),IF($AR49&gt;=10000000,IFERROR(DATE(INT($AR49/10000),MOD(INT($AR49/100),100),MOD($AR49,100)),""),INT($AR49)),IFERROR(DATE(--LEFT(LEFT(SUBSTITUTE(SUBSTITUTE(SUBSTITUTE(SUBSTITUTE(TRIM($AR49),"-",""),".",""),"/","")," ",""),8),4),--MID(LEFT(SUBSTITUTE(SUBSTITUTE(SUBSTITUTE(SUBSTITUTE(TRIM($AR49),"-",""),".",""),"/","")," ",""),8),5,2),--MID(LEFT(SUBSTITUTE(SUBSTITUTE(SUBSTITUTE(SUBSTITUTE(TRIM($AR49),"-",""),".",""),"/","")," ",""),8),7,2)),"")))</f>
        <v/>
      </c>
      <c r="AT49" s="33">
        <f>IF($AS49="","",IF($F$6="",0,IF(ISNUMBER(INDEX($A:$AP,ROW(),$F$6)),INDEX($A:$AP,ROW(),$F$6),IFERROR(--SUBSTITUTE(SUBSTITUTE(TRIM(INDEX($A:$AP,ROW(),$F$6)),",",""),"원",""),0))))</f>
        <v/>
      </c>
      <c r="AU49" s="31">
        <f>IF($AS49="","",IF($AX49&lt;&gt;"",SUBSTITUTE(SUBSTITUTE($AX49,"-","")," ",""),"N:"&amp;$AV49))</f>
        <v/>
      </c>
      <c r="AV49" s="31">
        <f>IF(OR($AS49="",$E$6=""),"",TRIM(INDEX($A:$AP,ROW(),$E$6)&amp;""))</f>
        <v/>
      </c>
      <c r="AW49" s="31">
        <f>IF($AU49="","",IF(MATCH($AU49,$AU$8:$AU$2007,0)=ROW()-7,MAX($AW$7:$AW48)+1,""))</f>
        <v/>
      </c>
      <c r="AX49" s="31">
        <f>IF(OR($AS49="",$D$6=""),"",TRIM(INDEX($A:$AP,ROW(),$D$6)&amp;""))</f>
        <v/>
      </c>
      <c r="AY49" s="31">
        <f>IF($AU49="","",INDEX($AW$8:$AW$2007,MATCH($AU49,$AU$8:$AU$2007,0)))</f>
        <v/>
      </c>
      <c r="AZ49" s="31">
        <f>IF(OR($AS49="",$C$6=""),"",TRIM(INDEX($A:$AP,ROW(),$C$6)&amp;""))</f>
        <v/>
      </c>
      <c r="BA49" s="31">
        <f>IF($AZ49="","",IF(COUNTIF($AZ$8:$AZ49,$AZ49)&gt;1,1,0))</f>
        <v/>
      </c>
    </row>
    <row r="50">
      <c r="AR50" s="31">
        <f>IF(OR($A$5="",$B$6="",ROW()&lt;$A$5),"",IF(INDEX($A:$AP,ROW(),$B$6)="","",INDEX($A:$AP,ROW(),$B$6)))</f>
        <v/>
      </c>
      <c r="AS50" s="32">
        <f>IF($AR50="","",IF(ISNUMBER($AR50),IF($AR50&gt;=10000000,IFERROR(DATE(INT($AR50/10000),MOD(INT($AR50/100),100),MOD($AR50,100)),""),INT($AR50)),IFERROR(DATE(--LEFT(LEFT(SUBSTITUTE(SUBSTITUTE(SUBSTITUTE(SUBSTITUTE(TRIM($AR50),"-",""),".",""),"/","")," ",""),8),4),--MID(LEFT(SUBSTITUTE(SUBSTITUTE(SUBSTITUTE(SUBSTITUTE(TRIM($AR50),"-",""),".",""),"/","")," ",""),8),5,2),--MID(LEFT(SUBSTITUTE(SUBSTITUTE(SUBSTITUTE(SUBSTITUTE(TRIM($AR50),"-",""),".",""),"/","")," ",""),8),7,2)),"")))</f>
        <v/>
      </c>
      <c r="AT50" s="33">
        <f>IF($AS50="","",IF($F$6="",0,IF(ISNUMBER(INDEX($A:$AP,ROW(),$F$6)),INDEX($A:$AP,ROW(),$F$6),IFERROR(--SUBSTITUTE(SUBSTITUTE(TRIM(INDEX($A:$AP,ROW(),$F$6)),",",""),"원",""),0))))</f>
        <v/>
      </c>
      <c r="AU50" s="31">
        <f>IF($AS50="","",IF($AX50&lt;&gt;"",SUBSTITUTE(SUBSTITUTE($AX50,"-","")," ",""),"N:"&amp;$AV50))</f>
        <v/>
      </c>
      <c r="AV50" s="31">
        <f>IF(OR($AS50="",$E$6=""),"",TRIM(INDEX($A:$AP,ROW(),$E$6)&amp;""))</f>
        <v/>
      </c>
      <c r="AW50" s="31">
        <f>IF($AU50="","",IF(MATCH($AU50,$AU$8:$AU$2007,0)=ROW()-7,MAX($AW$7:$AW49)+1,""))</f>
        <v/>
      </c>
      <c r="AX50" s="31">
        <f>IF(OR($AS50="",$D$6=""),"",TRIM(INDEX($A:$AP,ROW(),$D$6)&amp;""))</f>
        <v/>
      </c>
      <c r="AY50" s="31">
        <f>IF($AU50="","",INDEX($AW$8:$AW$2007,MATCH($AU50,$AU$8:$AU$2007,0)))</f>
        <v/>
      </c>
      <c r="AZ50" s="31">
        <f>IF(OR($AS50="",$C$6=""),"",TRIM(INDEX($A:$AP,ROW(),$C$6)&amp;""))</f>
        <v/>
      </c>
      <c r="BA50" s="31">
        <f>IF($AZ50="","",IF(COUNTIF($AZ$8:$AZ50,$AZ50)&gt;1,1,0))</f>
        <v/>
      </c>
    </row>
    <row r="51">
      <c r="AR51" s="31">
        <f>IF(OR($A$5="",$B$6="",ROW()&lt;$A$5),"",IF(INDEX($A:$AP,ROW(),$B$6)="","",INDEX($A:$AP,ROW(),$B$6)))</f>
        <v/>
      </c>
      <c r="AS51" s="32">
        <f>IF($AR51="","",IF(ISNUMBER($AR51),IF($AR51&gt;=10000000,IFERROR(DATE(INT($AR51/10000),MOD(INT($AR51/100),100),MOD($AR51,100)),""),INT($AR51)),IFERROR(DATE(--LEFT(LEFT(SUBSTITUTE(SUBSTITUTE(SUBSTITUTE(SUBSTITUTE(TRIM($AR51),"-",""),".",""),"/","")," ",""),8),4),--MID(LEFT(SUBSTITUTE(SUBSTITUTE(SUBSTITUTE(SUBSTITUTE(TRIM($AR51),"-",""),".",""),"/","")," ",""),8),5,2),--MID(LEFT(SUBSTITUTE(SUBSTITUTE(SUBSTITUTE(SUBSTITUTE(TRIM($AR51),"-",""),".",""),"/","")," ",""),8),7,2)),"")))</f>
        <v/>
      </c>
      <c r="AT51" s="33">
        <f>IF($AS51="","",IF($F$6="",0,IF(ISNUMBER(INDEX($A:$AP,ROW(),$F$6)),INDEX($A:$AP,ROW(),$F$6),IFERROR(--SUBSTITUTE(SUBSTITUTE(TRIM(INDEX($A:$AP,ROW(),$F$6)),",",""),"원",""),0))))</f>
        <v/>
      </c>
      <c r="AU51" s="31">
        <f>IF($AS51="","",IF($AX51&lt;&gt;"",SUBSTITUTE(SUBSTITUTE($AX51,"-","")," ",""),"N:"&amp;$AV51))</f>
        <v/>
      </c>
      <c r="AV51" s="31">
        <f>IF(OR($AS51="",$E$6=""),"",TRIM(INDEX($A:$AP,ROW(),$E$6)&amp;""))</f>
        <v/>
      </c>
      <c r="AW51" s="31">
        <f>IF($AU51="","",IF(MATCH($AU51,$AU$8:$AU$2007,0)=ROW()-7,MAX($AW$7:$AW50)+1,""))</f>
        <v/>
      </c>
      <c r="AX51" s="31">
        <f>IF(OR($AS51="",$D$6=""),"",TRIM(INDEX($A:$AP,ROW(),$D$6)&amp;""))</f>
        <v/>
      </c>
      <c r="AY51" s="31">
        <f>IF($AU51="","",INDEX($AW$8:$AW$2007,MATCH($AU51,$AU$8:$AU$2007,0)))</f>
        <v/>
      </c>
      <c r="AZ51" s="31">
        <f>IF(OR($AS51="",$C$6=""),"",TRIM(INDEX($A:$AP,ROW(),$C$6)&amp;""))</f>
        <v/>
      </c>
      <c r="BA51" s="31">
        <f>IF($AZ51="","",IF(COUNTIF($AZ$8:$AZ51,$AZ51)&gt;1,1,0))</f>
        <v/>
      </c>
    </row>
    <row r="52">
      <c r="AR52" s="31">
        <f>IF(OR($A$5="",$B$6="",ROW()&lt;$A$5),"",IF(INDEX($A:$AP,ROW(),$B$6)="","",INDEX($A:$AP,ROW(),$B$6)))</f>
        <v/>
      </c>
      <c r="AS52" s="32">
        <f>IF($AR52="","",IF(ISNUMBER($AR52),IF($AR52&gt;=10000000,IFERROR(DATE(INT($AR52/10000),MOD(INT($AR52/100),100),MOD($AR52,100)),""),INT($AR52)),IFERROR(DATE(--LEFT(LEFT(SUBSTITUTE(SUBSTITUTE(SUBSTITUTE(SUBSTITUTE(TRIM($AR52),"-",""),".",""),"/","")," ",""),8),4),--MID(LEFT(SUBSTITUTE(SUBSTITUTE(SUBSTITUTE(SUBSTITUTE(TRIM($AR52),"-",""),".",""),"/","")," ",""),8),5,2),--MID(LEFT(SUBSTITUTE(SUBSTITUTE(SUBSTITUTE(SUBSTITUTE(TRIM($AR52),"-",""),".",""),"/","")," ",""),8),7,2)),"")))</f>
        <v/>
      </c>
      <c r="AT52" s="33">
        <f>IF($AS52="","",IF($F$6="",0,IF(ISNUMBER(INDEX($A:$AP,ROW(),$F$6)),INDEX($A:$AP,ROW(),$F$6),IFERROR(--SUBSTITUTE(SUBSTITUTE(TRIM(INDEX($A:$AP,ROW(),$F$6)),",",""),"원",""),0))))</f>
        <v/>
      </c>
      <c r="AU52" s="31">
        <f>IF($AS52="","",IF($AX52&lt;&gt;"",SUBSTITUTE(SUBSTITUTE($AX52,"-","")," ",""),"N:"&amp;$AV52))</f>
        <v/>
      </c>
      <c r="AV52" s="31">
        <f>IF(OR($AS52="",$E$6=""),"",TRIM(INDEX($A:$AP,ROW(),$E$6)&amp;""))</f>
        <v/>
      </c>
      <c r="AW52" s="31">
        <f>IF($AU52="","",IF(MATCH($AU52,$AU$8:$AU$2007,0)=ROW()-7,MAX($AW$7:$AW51)+1,""))</f>
        <v/>
      </c>
      <c r="AX52" s="31">
        <f>IF(OR($AS52="",$D$6=""),"",TRIM(INDEX($A:$AP,ROW(),$D$6)&amp;""))</f>
        <v/>
      </c>
      <c r="AY52" s="31">
        <f>IF($AU52="","",INDEX($AW$8:$AW$2007,MATCH($AU52,$AU$8:$AU$2007,0)))</f>
        <v/>
      </c>
      <c r="AZ52" s="31">
        <f>IF(OR($AS52="",$C$6=""),"",TRIM(INDEX($A:$AP,ROW(),$C$6)&amp;""))</f>
        <v/>
      </c>
      <c r="BA52" s="31">
        <f>IF($AZ52="","",IF(COUNTIF($AZ$8:$AZ52,$AZ52)&gt;1,1,0))</f>
        <v/>
      </c>
    </row>
    <row r="53">
      <c r="AR53" s="31">
        <f>IF(OR($A$5="",$B$6="",ROW()&lt;$A$5),"",IF(INDEX($A:$AP,ROW(),$B$6)="","",INDEX($A:$AP,ROW(),$B$6)))</f>
        <v/>
      </c>
      <c r="AS53" s="32">
        <f>IF($AR53="","",IF(ISNUMBER($AR53),IF($AR53&gt;=10000000,IFERROR(DATE(INT($AR53/10000),MOD(INT($AR53/100),100),MOD($AR53,100)),""),INT($AR53)),IFERROR(DATE(--LEFT(LEFT(SUBSTITUTE(SUBSTITUTE(SUBSTITUTE(SUBSTITUTE(TRIM($AR53),"-",""),".",""),"/","")," ",""),8),4),--MID(LEFT(SUBSTITUTE(SUBSTITUTE(SUBSTITUTE(SUBSTITUTE(TRIM($AR53),"-",""),".",""),"/","")," ",""),8),5,2),--MID(LEFT(SUBSTITUTE(SUBSTITUTE(SUBSTITUTE(SUBSTITUTE(TRIM($AR53),"-",""),".",""),"/","")," ",""),8),7,2)),"")))</f>
        <v/>
      </c>
      <c r="AT53" s="33">
        <f>IF($AS53="","",IF($F$6="",0,IF(ISNUMBER(INDEX($A:$AP,ROW(),$F$6)),INDEX($A:$AP,ROW(),$F$6),IFERROR(--SUBSTITUTE(SUBSTITUTE(TRIM(INDEX($A:$AP,ROW(),$F$6)),",",""),"원",""),0))))</f>
        <v/>
      </c>
      <c r="AU53" s="31">
        <f>IF($AS53="","",IF($AX53&lt;&gt;"",SUBSTITUTE(SUBSTITUTE($AX53,"-","")," ",""),"N:"&amp;$AV53))</f>
        <v/>
      </c>
      <c r="AV53" s="31">
        <f>IF(OR($AS53="",$E$6=""),"",TRIM(INDEX($A:$AP,ROW(),$E$6)&amp;""))</f>
        <v/>
      </c>
      <c r="AW53" s="31">
        <f>IF($AU53="","",IF(MATCH($AU53,$AU$8:$AU$2007,0)=ROW()-7,MAX($AW$7:$AW52)+1,""))</f>
        <v/>
      </c>
      <c r="AX53" s="31">
        <f>IF(OR($AS53="",$D$6=""),"",TRIM(INDEX($A:$AP,ROW(),$D$6)&amp;""))</f>
        <v/>
      </c>
      <c r="AY53" s="31">
        <f>IF($AU53="","",INDEX($AW$8:$AW$2007,MATCH($AU53,$AU$8:$AU$2007,0)))</f>
        <v/>
      </c>
      <c r="AZ53" s="31">
        <f>IF(OR($AS53="",$C$6=""),"",TRIM(INDEX($A:$AP,ROW(),$C$6)&amp;""))</f>
        <v/>
      </c>
      <c r="BA53" s="31">
        <f>IF($AZ53="","",IF(COUNTIF($AZ$8:$AZ53,$AZ53)&gt;1,1,0))</f>
        <v/>
      </c>
    </row>
    <row r="54">
      <c r="AR54" s="31">
        <f>IF(OR($A$5="",$B$6="",ROW()&lt;$A$5),"",IF(INDEX($A:$AP,ROW(),$B$6)="","",INDEX($A:$AP,ROW(),$B$6)))</f>
        <v/>
      </c>
      <c r="AS54" s="32">
        <f>IF($AR54="","",IF(ISNUMBER($AR54),IF($AR54&gt;=10000000,IFERROR(DATE(INT($AR54/10000),MOD(INT($AR54/100),100),MOD($AR54,100)),""),INT($AR54)),IFERROR(DATE(--LEFT(LEFT(SUBSTITUTE(SUBSTITUTE(SUBSTITUTE(SUBSTITUTE(TRIM($AR54),"-",""),".",""),"/","")," ",""),8),4),--MID(LEFT(SUBSTITUTE(SUBSTITUTE(SUBSTITUTE(SUBSTITUTE(TRIM($AR54),"-",""),".",""),"/","")," ",""),8),5,2),--MID(LEFT(SUBSTITUTE(SUBSTITUTE(SUBSTITUTE(SUBSTITUTE(TRIM($AR54),"-",""),".",""),"/","")," ",""),8),7,2)),"")))</f>
        <v/>
      </c>
      <c r="AT54" s="33">
        <f>IF($AS54="","",IF($F$6="",0,IF(ISNUMBER(INDEX($A:$AP,ROW(),$F$6)),INDEX($A:$AP,ROW(),$F$6),IFERROR(--SUBSTITUTE(SUBSTITUTE(TRIM(INDEX($A:$AP,ROW(),$F$6)),",",""),"원",""),0))))</f>
        <v/>
      </c>
      <c r="AU54" s="31">
        <f>IF($AS54="","",IF($AX54&lt;&gt;"",SUBSTITUTE(SUBSTITUTE($AX54,"-","")," ",""),"N:"&amp;$AV54))</f>
        <v/>
      </c>
      <c r="AV54" s="31">
        <f>IF(OR($AS54="",$E$6=""),"",TRIM(INDEX($A:$AP,ROW(),$E$6)&amp;""))</f>
        <v/>
      </c>
      <c r="AW54" s="31">
        <f>IF($AU54="","",IF(MATCH($AU54,$AU$8:$AU$2007,0)=ROW()-7,MAX($AW$7:$AW53)+1,""))</f>
        <v/>
      </c>
      <c r="AX54" s="31">
        <f>IF(OR($AS54="",$D$6=""),"",TRIM(INDEX($A:$AP,ROW(),$D$6)&amp;""))</f>
        <v/>
      </c>
      <c r="AY54" s="31">
        <f>IF($AU54="","",INDEX($AW$8:$AW$2007,MATCH($AU54,$AU$8:$AU$2007,0)))</f>
        <v/>
      </c>
      <c r="AZ54" s="31">
        <f>IF(OR($AS54="",$C$6=""),"",TRIM(INDEX($A:$AP,ROW(),$C$6)&amp;""))</f>
        <v/>
      </c>
      <c r="BA54" s="31">
        <f>IF($AZ54="","",IF(COUNTIF($AZ$8:$AZ54,$AZ54)&gt;1,1,0))</f>
        <v/>
      </c>
    </row>
    <row r="55">
      <c r="AR55" s="31">
        <f>IF(OR($A$5="",$B$6="",ROW()&lt;$A$5),"",IF(INDEX($A:$AP,ROW(),$B$6)="","",INDEX($A:$AP,ROW(),$B$6)))</f>
        <v/>
      </c>
      <c r="AS55" s="32">
        <f>IF($AR55="","",IF(ISNUMBER($AR55),IF($AR55&gt;=10000000,IFERROR(DATE(INT($AR55/10000),MOD(INT($AR55/100),100),MOD($AR55,100)),""),INT($AR55)),IFERROR(DATE(--LEFT(LEFT(SUBSTITUTE(SUBSTITUTE(SUBSTITUTE(SUBSTITUTE(TRIM($AR55),"-",""),".",""),"/","")," ",""),8),4),--MID(LEFT(SUBSTITUTE(SUBSTITUTE(SUBSTITUTE(SUBSTITUTE(TRIM($AR55),"-",""),".",""),"/","")," ",""),8),5,2),--MID(LEFT(SUBSTITUTE(SUBSTITUTE(SUBSTITUTE(SUBSTITUTE(TRIM($AR55),"-",""),".",""),"/","")," ",""),8),7,2)),"")))</f>
        <v/>
      </c>
      <c r="AT55" s="33">
        <f>IF($AS55="","",IF($F$6="",0,IF(ISNUMBER(INDEX($A:$AP,ROW(),$F$6)),INDEX($A:$AP,ROW(),$F$6),IFERROR(--SUBSTITUTE(SUBSTITUTE(TRIM(INDEX($A:$AP,ROW(),$F$6)),",",""),"원",""),0))))</f>
        <v/>
      </c>
      <c r="AU55" s="31">
        <f>IF($AS55="","",IF($AX55&lt;&gt;"",SUBSTITUTE(SUBSTITUTE($AX55,"-","")," ",""),"N:"&amp;$AV55))</f>
        <v/>
      </c>
      <c r="AV55" s="31">
        <f>IF(OR($AS55="",$E$6=""),"",TRIM(INDEX($A:$AP,ROW(),$E$6)&amp;""))</f>
        <v/>
      </c>
      <c r="AW55" s="31">
        <f>IF($AU55="","",IF(MATCH($AU55,$AU$8:$AU$2007,0)=ROW()-7,MAX($AW$7:$AW54)+1,""))</f>
        <v/>
      </c>
      <c r="AX55" s="31">
        <f>IF(OR($AS55="",$D$6=""),"",TRIM(INDEX($A:$AP,ROW(),$D$6)&amp;""))</f>
        <v/>
      </c>
      <c r="AY55" s="31">
        <f>IF($AU55="","",INDEX($AW$8:$AW$2007,MATCH($AU55,$AU$8:$AU$2007,0)))</f>
        <v/>
      </c>
      <c r="AZ55" s="31">
        <f>IF(OR($AS55="",$C$6=""),"",TRIM(INDEX($A:$AP,ROW(),$C$6)&amp;""))</f>
        <v/>
      </c>
      <c r="BA55" s="31">
        <f>IF($AZ55="","",IF(COUNTIF($AZ$8:$AZ55,$AZ55)&gt;1,1,0))</f>
        <v/>
      </c>
    </row>
    <row r="56">
      <c r="AR56" s="31">
        <f>IF(OR($A$5="",$B$6="",ROW()&lt;$A$5),"",IF(INDEX($A:$AP,ROW(),$B$6)="","",INDEX($A:$AP,ROW(),$B$6)))</f>
        <v/>
      </c>
      <c r="AS56" s="32">
        <f>IF($AR56="","",IF(ISNUMBER($AR56),IF($AR56&gt;=10000000,IFERROR(DATE(INT($AR56/10000),MOD(INT($AR56/100),100),MOD($AR56,100)),""),INT($AR56)),IFERROR(DATE(--LEFT(LEFT(SUBSTITUTE(SUBSTITUTE(SUBSTITUTE(SUBSTITUTE(TRIM($AR56),"-",""),".",""),"/","")," ",""),8),4),--MID(LEFT(SUBSTITUTE(SUBSTITUTE(SUBSTITUTE(SUBSTITUTE(TRIM($AR56),"-",""),".",""),"/","")," ",""),8),5,2),--MID(LEFT(SUBSTITUTE(SUBSTITUTE(SUBSTITUTE(SUBSTITUTE(TRIM($AR56),"-",""),".",""),"/","")," ",""),8),7,2)),"")))</f>
        <v/>
      </c>
      <c r="AT56" s="33">
        <f>IF($AS56="","",IF($F$6="",0,IF(ISNUMBER(INDEX($A:$AP,ROW(),$F$6)),INDEX($A:$AP,ROW(),$F$6),IFERROR(--SUBSTITUTE(SUBSTITUTE(TRIM(INDEX($A:$AP,ROW(),$F$6)),",",""),"원",""),0))))</f>
        <v/>
      </c>
      <c r="AU56" s="31">
        <f>IF($AS56="","",IF($AX56&lt;&gt;"",SUBSTITUTE(SUBSTITUTE($AX56,"-","")," ",""),"N:"&amp;$AV56))</f>
        <v/>
      </c>
      <c r="AV56" s="31">
        <f>IF(OR($AS56="",$E$6=""),"",TRIM(INDEX($A:$AP,ROW(),$E$6)&amp;""))</f>
        <v/>
      </c>
      <c r="AW56" s="31">
        <f>IF($AU56="","",IF(MATCH($AU56,$AU$8:$AU$2007,0)=ROW()-7,MAX($AW$7:$AW55)+1,""))</f>
        <v/>
      </c>
      <c r="AX56" s="31">
        <f>IF(OR($AS56="",$D$6=""),"",TRIM(INDEX($A:$AP,ROW(),$D$6)&amp;""))</f>
        <v/>
      </c>
      <c r="AY56" s="31">
        <f>IF($AU56="","",INDEX($AW$8:$AW$2007,MATCH($AU56,$AU$8:$AU$2007,0)))</f>
        <v/>
      </c>
      <c r="AZ56" s="31">
        <f>IF(OR($AS56="",$C$6=""),"",TRIM(INDEX($A:$AP,ROW(),$C$6)&amp;""))</f>
        <v/>
      </c>
      <c r="BA56" s="31">
        <f>IF($AZ56="","",IF(COUNTIF($AZ$8:$AZ56,$AZ56)&gt;1,1,0))</f>
        <v/>
      </c>
    </row>
    <row r="57">
      <c r="AR57" s="31">
        <f>IF(OR($A$5="",$B$6="",ROW()&lt;$A$5),"",IF(INDEX($A:$AP,ROW(),$B$6)="","",INDEX($A:$AP,ROW(),$B$6)))</f>
        <v/>
      </c>
      <c r="AS57" s="32">
        <f>IF($AR57="","",IF(ISNUMBER($AR57),IF($AR57&gt;=10000000,IFERROR(DATE(INT($AR57/10000),MOD(INT($AR57/100),100),MOD($AR57,100)),""),INT($AR57)),IFERROR(DATE(--LEFT(LEFT(SUBSTITUTE(SUBSTITUTE(SUBSTITUTE(SUBSTITUTE(TRIM($AR57),"-",""),".",""),"/","")," ",""),8),4),--MID(LEFT(SUBSTITUTE(SUBSTITUTE(SUBSTITUTE(SUBSTITUTE(TRIM($AR57),"-",""),".",""),"/","")," ",""),8),5,2),--MID(LEFT(SUBSTITUTE(SUBSTITUTE(SUBSTITUTE(SUBSTITUTE(TRIM($AR57),"-",""),".",""),"/","")," ",""),8),7,2)),"")))</f>
        <v/>
      </c>
      <c r="AT57" s="33">
        <f>IF($AS57="","",IF($F$6="",0,IF(ISNUMBER(INDEX($A:$AP,ROW(),$F$6)),INDEX($A:$AP,ROW(),$F$6),IFERROR(--SUBSTITUTE(SUBSTITUTE(TRIM(INDEX($A:$AP,ROW(),$F$6)),",",""),"원",""),0))))</f>
        <v/>
      </c>
      <c r="AU57" s="31">
        <f>IF($AS57="","",IF($AX57&lt;&gt;"",SUBSTITUTE(SUBSTITUTE($AX57,"-","")," ",""),"N:"&amp;$AV57))</f>
        <v/>
      </c>
      <c r="AV57" s="31">
        <f>IF(OR($AS57="",$E$6=""),"",TRIM(INDEX($A:$AP,ROW(),$E$6)&amp;""))</f>
        <v/>
      </c>
      <c r="AW57" s="31">
        <f>IF($AU57="","",IF(MATCH($AU57,$AU$8:$AU$2007,0)=ROW()-7,MAX($AW$7:$AW56)+1,""))</f>
        <v/>
      </c>
      <c r="AX57" s="31">
        <f>IF(OR($AS57="",$D$6=""),"",TRIM(INDEX($A:$AP,ROW(),$D$6)&amp;""))</f>
        <v/>
      </c>
      <c r="AY57" s="31">
        <f>IF($AU57="","",INDEX($AW$8:$AW$2007,MATCH($AU57,$AU$8:$AU$2007,0)))</f>
        <v/>
      </c>
      <c r="AZ57" s="31">
        <f>IF(OR($AS57="",$C$6=""),"",TRIM(INDEX($A:$AP,ROW(),$C$6)&amp;""))</f>
        <v/>
      </c>
      <c r="BA57" s="31">
        <f>IF($AZ57="","",IF(COUNTIF($AZ$8:$AZ57,$AZ57)&gt;1,1,0))</f>
        <v/>
      </c>
    </row>
    <row r="58">
      <c r="AR58" s="31">
        <f>IF(OR($A$5="",$B$6="",ROW()&lt;$A$5),"",IF(INDEX($A:$AP,ROW(),$B$6)="","",INDEX($A:$AP,ROW(),$B$6)))</f>
        <v/>
      </c>
      <c r="AS58" s="32">
        <f>IF($AR58="","",IF(ISNUMBER($AR58),IF($AR58&gt;=10000000,IFERROR(DATE(INT($AR58/10000),MOD(INT($AR58/100),100),MOD($AR58,100)),""),INT($AR58)),IFERROR(DATE(--LEFT(LEFT(SUBSTITUTE(SUBSTITUTE(SUBSTITUTE(SUBSTITUTE(TRIM($AR58),"-",""),".",""),"/","")," ",""),8),4),--MID(LEFT(SUBSTITUTE(SUBSTITUTE(SUBSTITUTE(SUBSTITUTE(TRIM($AR58),"-",""),".",""),"/","")," ",""),8),5,2),--MID(LEFT(SUBSTITUTE(SUBSTITUTE(SUBSTITUTE(SUBSTITUTE(TRIM($AR58),"-",""),".",""),"/","")," ",""),8),7,2)),"")))</f>
        <v/>
      </c>
      <c r="AT58" s="33">
        <f>IF($AS58="","",IF($F$6="",0,IF(ISNUMBER(INDEX($A:$AP,ROW(),$F$6)),INDEX($A:$AP,ROW(),$F$6),IFERROR(--SUBSTITUTE(SUBSTITUTE(TRIM(INDEX($A:$AP,ROW(),$F$6)),",",""),"원",""),0))))</f>
        <v/>
      </c>
      <c r="AU58" s="31">
        <f>IF($AS58="","",IF($AX58&lt;&gt;"",SUBSTITUTE(SUBSTITUTE($AX58,"-","")," ",""),"N:"&amp;$AV58))</f>
        <v/>
      </c>
      <c r="AV58" s="31">
        <f>IF(OR($AS58="",$E$6=""),"",TRIM(INDEX($A:$AP,ROW(),$E$6)&amp;""))</f>
        <v/>
      </c>
      <c r="AW58" s="31">
        <f>IF($AU58="","",IF(MATCH($AU58,$AU$8:$AU$2007,0)=ROW()-7,MAX($AW$7:$AW57)+1,""))</f>
        <v/>
      </c>
      <c r="AX58" s="31">
        <f>IF(OR($AS58="",$D$6=""),"",TRIM(INDEX($A:$AP,ROW(),$D$6)&amp;""))</f>
        <v/>
      </c>
      <c r="AY58" s="31">
        <f>IF($AU58="","",INDEX($AW$8:$AW$2007,MATCH($AU58,$AU$8:$AU$2007,0)))</f>
        <v/>
      </c>
      <c r="AZ58" s="31">
        <f>IF(OR($AS58="",$C$6=""),"",TRIM(INDEX($A:$AP,ROW(),$C$6)&amp;""))</f>
        <v/>
      </c>
      <c r="BA58" s="31">
        <f>IF($AZ58="","",IF(COUNTIF($AZ$8:$AZ58,$AZ58)&gt;1,1,0))</f>
        <v/>
      </c>
    </row>
    <row r="59">
      <c r="AR59" s="31">
        <f>IF(OR($A$5="",$B$6="",ROW()&lt;$A$5),"",IF(INDEX($A:$AP,ROW(),$B$6)="","",INDEX($A:$AP,ROW(),$B$6)))</f>
        <v/>
      </c>
      <c r="AS59" s="32">
        <f>IF($AR59="","",IF(ISNUMBER($AR59),IF($AR59&gt;=10000000,IFERROR(DATE(INT($AR59/10000),MOD(INT($AR59/100),100),MOD($AR59,100)),""),INT($AR59)),IFERROR(DATE(--LEFT(LEFT(SUBSTITUTE(SUBSTITUTE(SUBSTITUTE(SUBSTITUTE(TRIM($AR59),"-",""),".",""),"/","")," ",""),8),4),--MID(LEFT(SUBSTITUTE(SUBSTITUTE(SUBSTITUTE(SUBSTITUTE(TRIM($AR59),"-",""),".",""),"/","")," ",""),8),5,2),--MID(LEFT(SUBSTITUTE(SUBSTITUTE(SUBSTITUTE(SUBSTITUTE(TRIM($AR59),"-",""),".",""),"/","")," ",""),8),7,2)),"")))</f>
        <v/>
      </c>
      <c r="AT59" s="33">
        <f>IF($AS59="","",IF($F$6="",0,IF(ISNUMBER(INDEX($A:$AP,ROW(),$F$6)),INDEX($A:$AP,ROW(),$F$6),IFERROR(--SUBSTITUTE(SUBSTITUTE(TRIM(INDEX($A:$AP,ROW(),$F$6)),",",""),"원",""),0))))</f>
        <v/>
      </c>
      <c r="AU59" s="31">
        <f>IF($AS59="","",IF($AX59&lt;&gt;"",SUBSTITUTE(SUBSTITUTE($AX59,"-","")," ",""),"N:"&amp;$AV59))</f>
        <v/>
      </c>
      <c r="AV59" s="31">
        <f>IF(OR($AS59="",$E$6=""),"",TRIM(INDEX($A:$AP,ROW(),$E$6)&amp;""))</f>
        <v/>
      </c>
      <c r="AW59" s="31">
        <f>IF($AU59="","",IF(MATCH($AU59,$AU$8:$AU$2007,0)=ROW()-7,MAX($AW$7:$AW58)+1,""))</f>
        <v/>
      </c>
      <c r="AX59" s="31">
        <f>IF(OR($AS59="",$D$6=""),"",TRIM(INDEX($A:$AP,ROW(),$D$6)&amp;""))</f>
        <v/>
      </c>
      <c r="AY59" s="31">
        <f>IF($AU59="","",INDEX($AW$8:$AW$2007,MATCH($AU59,$AU$8:$AU$2007,0)))</f>
        <v/>
      </c>
      <c r="AZ59" s="31">
        <f>IF(OR($AS59="",$C$6=""),"",TRIM(INDEX($A:$AP,ROW(),$C$6)&amp;""))</f>
        <v/>
      </c>
      <c r="BA59" s="31">
        <f>IF($AZ59="","",IF(COUNTIF($AZ$8:$AZ59,$AZ59)&gt;1,1,0))</f>
        <v/>
      </c>
    </row>
    <row r="60">
      <c r="AR60" s="31">
        <f>IF(OR($A$5="",$B$6="",ROW()&lt;$A$5),"",IF(INDEX($A:$AP,ROW(),$B$6)="","",INDEX($A:$AP,ROW(),$B$6)))</f>
        <v/>
      </c>
      <c r="AS60" s="32">
        <f>IF($AR60="","",IF(ISNUMBER($AR60),IF($AR60&gt;=10000000,IFERROR(DATE(INT($AR60/10000),MOD(INT($AR60/100),100),MOD($AR60,100)),""),INT($AR60)),IFERROR(DATE(--LEFT(LEFT(SUBSTITUTE(SUBSTITUTE(SUBSTITUTE(SUBSTITUTE(TRIM($AR60),"-",""),".",""),"/","")," ",""),8),4),--MID(LEFT(SUBSTITUTE(SUBSTITUTE(SUBSTITUTE(SUBSTITUTE(TRIM($AR60),"-",""),".",""),"/","")," ",""),8),5,2),--MID(LEFT(SUBSTITUTE(SUBSTITUTE(SUBSTITUTE(SUBSTITUTE(TRIM($AR60),"-",""),".",""),"/","")," ",""),8),7,2)),"")))</f>
        <v/>
      </c>
      <c r="AT60" s="33">
        <f>IF($AS60="","",IF($F$6="",0,IF(ISNUMBER(INDEX($A:$AP,ROW(),$F$6)),INDEX($A:$AP,ROW(),$F$6),IFERROR(--SUBSTITUTE(SUBSTITUTE(TRIM(INDEX($A:$AP,ROW(),$F$6)),",",""),"원",""),0))))</f>
        <v/>
      </c>
      <c r="AU60" s="31">
        <f>IF($AS60="","",IF($AX60&lt;&gt;"",SUBSTITUTE(SUBSTITUTE($AX60,"-","")," ",""),"N:"&amp;$AV60))</f>
        <v/>
      </c>
      <c r="AV60" s="31">
        <f>IF(OR($AS60="",$E$6=""),"",TRIM(INDEX($A:$AP,ROW(),$E$6)&amp;""))</f>
        <v/>
      </c>
      <c r="AW60" s="31">
        <f>IF($AU60="","",IF(MATCH($AU60,$AU$8:$AU$2007,0)=ROW()-7,MAX($AW$7:$AW59)+1,""))</f>
        <v/>
      </c>
      <c r="AX60" s="31">
        <f>IF(OR($AS60="",$D$6=""),"",TRIM(INDEX($A:$AP,ROW(),$D$6)&amp;""))</f>
        <v/>
      </c>
      <c r="AY60" s="31">
        <f>IF($AU60="","",INDEX($AW$8:$AW$2007,MATCH($AU60,$AU$8:$AU$2007,0)))</f>
        <v/>
      </c>
      <c r="AZ60" s="31">
        <f>IF(OR($AS60="",$C$6=""),"",TRIM(INDEX($A:$AP,ROW(),$C$6)&amp;""))</f>
        <v/>
      </c>
      <c r="BA60" s="31">
        <f>IF($AZ60="","",IF(COUNTIF($AZ$8:$AZ60,$AZ60)&gt;1,1,0))</f>
        <v/>
      </c>
    </row>
    <row r="61">
      <c r="AR61" s="31">
        <f>IF(OR($A$5="",$B$6="",ROW()&lt;$A$5),"",IF(INDEX($A:$AP,ROW(),$B$6)="","",INDEX($A:$AP,ROW(),$B$6)))</f>
        <v/>
      </c>
      <c r="AS61" s="32">
        <f>IF($AR61="","",IF(ISNUMBER($AR61),IF($AR61&gt;=10000000,IFERROR(DATE(INT($AR61/10000),MOD(INT($AR61/100),100),MOD($AR61,100)),""),INT($AR61)),IFERROR(DATE(--LEFT(LEFT(SUBSTITUTE(SUBSTITUTE(SUBSTITUTE(SUBSTITUTE(TRIM($AR61),"-",""),".",""),"/","")," ",""),8),4),--MID(LEFT(SUBSTITUTE(SUBSTITUTE(SUBSTITUTE(SUBSTITUTE(TRIM($AR61),"-",""),".",""),"/","")," ",""),8),5,2),--MID(LEFT(SUBSTITUTE(SUBSTITUTE(SUBSTITUTE(SUBSTITUTE(TRIM($AR61),"-",""),".",""),"/","")," ",""),8),7,2)),"")))</f>
        <v/>
      </c>
      <c r="AT61" s="33">
        <f>IF($AS61="","",IF($F$6="",0,IF(ISNUMBER(INDEX($A:$AP,ROW(),$F$6)),INDEX($A:$AP,ROW(),$F$6),IFERROR(--SUBSTITUTE(SUBSTITUTE(TRIM(INDEX($A:$AP,ROW(),$F$6)),",",""),"원",""),0))))</f>
        <v/>
      </c>
      <c r="AU61" s="31">
        <f>IF($AS61="","",IF($AX61&lt;&gt;"",SUBSTITUTE(SUBSTITUTE($AX61,"-","")," ",""),"N:"&amp;$AV61))</f>
        <v/>
      </c>
      <c r="AV61" s="31">
        <f>IF(OR($AS61="",$E$6=""),"",TRIM(INDEX($A:$AP,ROW(),$E$6)&amp;""))</f>
        <v/>
      </c>
      <c r="AW61" s="31">
        <f>IF($AU61="","",IF(MATCH($AU61,$AU$8:$AU$2007,0)=ROW()-7,MAX($AW$7:$AW60)+1,""))</f>
        <v/>
      </c>
      <c r="AX61" s="31">
        <f>IF(OR($AS61="",$D$6=""),"",TRIM(INDEX($A:$AP,ROW(),$D$6)&amp;""))</f>
        <v/>
      </c>
      <c r="AY61" s="31">
        <f>IF($AU61="","",INDEX($AW$8:$AW$2007,MATCH($AU61,$AU$8:$AU$2007,0)))</f>
        <v/>
      </c>
      <c r="AZ61" s="31">
        <f>IF(OR($AS61="",$C$6=""),"",TRIM(INDEX($A:$AP,ROW(),$C$6)&amp;""))</f>
        <v/>
      </c>
      <c r="BA61" s="31">
        <f>IF($AZ61="","",IF(COUNTIF($AZ$8:$AZ61,$AZ61)&gt;1,1,0))</f>
        <v/>
      </c>
    </row>
    <row r="62">
      <c r="AR62" s="31">
        <f>IF(OR($A$5="",$B$6="",ROW()&lt;$A$5),"",IF(INDEX($A:$AP,ROW(),$B$6)="","",INDEX($A:$AP,ROW(),$B$6)))</f>
        <v/>
      </c>
      <c r="AS62" s="32">
        <f>IF($AR62="","",IF(ISNUMBER($AR62),IF($AR62&gt;=10000000,IFERROR(DATE(INT($AR62/10000),MOD(INT($AR62/100),100),MOD($AR62,100)),""),INT($AR62)),IFERROR(DATE(--LEFT(LEFT(SUBSTITUTE(SUBSTITUTE(SUBSTITUTE(SUBSTITUTE(TRIM($AR62),"-",""),".",""),"/","")," ",""),8),4),--MID(LEFT(SUBSTITUTE(SUBSTITUTE(SUBSTITUTE(SUBSTITUTE(TRIM($AR62),"-",""),".",""),"/","")," ",""),8),5,2),--MID(LEFT(SUBSTITUTE(SUBSTITUTE(SUBSTITUTE(SUBSTITUTE(TRIM($AR62),"-",""),".",""),"/","")," ",""),8),7,2)),"")))</f>
        <v/>
      </c>
      <c r="AT62" s="33">
        <f>IF($AS62="","",IF($F$6="",0,IF(ISNUMBER(INDEX($A:$AP,ROW(),$F$6)),INDEX($A:$AP,ROW(),$F$6),IFERROR(--SUBSTITUTE(SUBSTITUTE(TRIM(INDEX($A:$AP,ROW(),$F$6)),",",""),"원",""),0))))</f>
        <v/>
      </c>
      <c r="AU62" s="31">
        <f>IF($AS62="","",IF($AX62&lt;&gt;"",SUBSTITUTE(SUBSTITUTE($AX62,"-","")," ",""),"N:"&amp;$AV62))</f>
        <v/>
      </c>
      <c r="AV62" s="31">
        <f>IF(OR($AS62="",$E$6=""),"",TRIM(INDEX($A:$AP,ROW(),$E$6)&amp;""))</f>
        <v/>
      </c>
      <c r="AW62" s="31">
        <f>IF($AU62="","",IF(MATCH($AU62,$AU$8:$AU$2007,0)=ROW()-7,MAX($AW$7:$AW61)+1,""))</f>
        <v/>
      </c>
      <c r="AX62" s="31">
        <f>IF(OR($AS62="",$D$6=""),"",TRIM(INDEX($A:$AP,ROW(),$D$6)&amp;""))</f>
        <v/>
      </c>
      <c r="AY62" s="31">
        <f>IF($AU62="","",INDEX($AW$8:$AW$2007,MATCH($AU62,$AU$8:$AU$2007,0)))</f>
        <v/>
      </c>
      <c r="AZ62" s="31">
        <f>IF(OR($AS62="",$C$6=""),"",TRIM(INDEX($A:$AP,ROW(),$C$6)&amp;""))</f>
        <v/>
      </c>
      <c r="BA62" s="31">
        <f>IF($AZ62="","",IF(COUNTIF($AZ$8:$AZ62,$AZ62)&gt;1,1,0))</f>
        <v/>
      </c>
    </row>
    <row r="63">
      <c r="AR63" s="31">
        <f>IF(OR($A$5="",$B$6="",ROW()&lt;$A$5),"",IF(INDEX($A:$AP,ROW(),$B$6)="","",INDEX($A:$AP,ROW(),$B$6)))</f>
        <v/>
      </c>
      <c r="AS63" s="32">
        <f>IF($AR63="","",IF(ISNUMBER($AR63),IF($AR63&gt;=10000000,IFERROR(DATE(INT($AR63/10000),MOD(INT($AR63/100),100),MOD($AR63,100)),""),INT($AR63)),IFERROR(DATE(--LEFT(LEFT(SUBSTITUTE(SUBSTITUTE(SUBSTITUTE(SUBSTITUTE(TRIM($AR63),"-",""),".",""),"/","")," ",""),8),4),--MID(LEFT(SUBSTITUTE(SUBSTITUTE(SUBSTITUTE(SUBSTITUTE(TRIM($AR63),"-",""),".",""),"/","")," ",""),8),5,2),--MID(LEFT(SUBSTITUTE(SUBSTITUTE(SUBSTITUTE(SUBSTITUTE(TRIM($AR63),"-",""),".",""),"/","")," ",""),8),7,2)),"")))</f>
        <v/>
      </c>
      <c r="AT63" s="33">
        <f>IF($AS63="","",IF($F$6="",0,IF(ISNUMBER(INDEX($A:$AP,ROW(),$F$6)),INDEX($A:$AP,ROW(),$F$6),IFERROR(--SUBSTITUTE(SUBSTITUTE(TRIM(INDEX($A:$AP,ROW(),$F$6)),",",""),"원",""),0))))</f>
        <v/>
      </c>
      <c r="AU63" s="31">
        <f>IF($AS63="","",IF($AX63&lt;&gt;"",SUBSTITUTE(SUBSTITUTE($AX63,"-","")," ",""),"N:"&amp;$AV63))</f>
        <v/>
      </c>
      <c r="AV63" s="31">
        <f>IF(OR($AS63="",$E$6=""),"",TRIM(INDEX($A:$AP,ROW(),$E$6)&amp;""))</f>
        <v/>
      </c>
      <c r="AW63" s="31">
        <f>IF($AU63="","",IF(MATCH($AU63,$AU$8:$AU$2007,0)=ROW()-7,MAX($AW$7:$AW62)+1,""))</f>
        <v/>
      </c>
      <c r="AX63" s="31">
        <f>IF(OR($AS63="",$D$6=""),"",TRIM(INDEX($A:$AP,ROW(),$D$6)&amp;""))</f>
        <v/>
      </c>
      <c r="AY63" s="31">
        <f>IF($AU63="","",INDEX($AW$8:$AW$2007,MATCH($AU63,$AU$8:$AU$2007,0)))</f>
        <v/>
      </c>
      <c r="AZ63" s="31">
        <f>IF(OR($AS63="",$C$6=""),"",TRIM(INDEX($A:$AP,ROW(),$C$6)&amp;""))</f>
        <v/>
      </c>
      <c r="BA63" s="31">
        <f>IF($AZ63="","",IF(COUNTIF($AZ$8:$AZ63,$AZ63)&gt;1,1,0))</f>
        <v/>
      </c>
    </row>
    <row r="64">
      <c r="AR64" s="31">
        <f>IF(OR($A$5="",$B$6="",ROW()&lt;$A$5),"",IF(INDEX($A:$AP,ROW(),$B$6)="","",INDEX($A:$AP,ROW(),$B$6)))</f>
        <v/>
      </c>
      <c r="AS64" s="32">
        <f>IF($AR64="","",IF(ISNUMBER($AR64),IF($AR64&gt;=10000000,IFERROR(DATE(INT($AR64/10000),MOD(INT($AR64/100),100),MOD($AR64,100)),""),INT($AR64)),IFERROR(DATE(--LEFT(LEFT(SUBSTITUTE(SUBSTITUTE(SUBSTITUTE(SUBSTITUTE(TRIM($AR64),"-",""),".",""),"/","")," ",""),8),4),--MID(LEFT(SUBSTITUTE(SUBSTITUTE(SUBSTITUTE(SUBSTITUTE(TRIM($AR64),"-",""),".",""),"/","")," ",""),8),5,2),--MID(LEFT(SUBSTITUTE(SUBSTITUTE(SUBSTITUTE(SUBSTITUTE(TRIM($AR64),"-",""),".",""),"/","")," ",""),8),7,2)),"")))</f>
        <v/>
      </c>
      <c r="AT64" s="33">
        <f>IF($AS64="","",IF($F$6="",0,IF(ISNUMBER(INDEX($A:$AP,ROW(),$F$6)),INDEX($A:$AP,ROW(),$F$6),IFERROR(--SUBSTITUTE(SUBSTITUTE(TRIM(INDEX($A:$AP,ROW(),$F$6)),",",""),"원",""),0))))</f>
        <v/>
      </c>
      <c r="AU64" s="31">
        <f>IF($AS64="","",IF($AX64&lt;&gt;"",SUBSTITUTE(SUBSTITUTE($AX64,"-","")," ",""),"N:"&amp;$AV64))</f>
        <v/>
      </c>
      <c r="AV64" s="31">
        <f>IF(OR($AS64="",$E$6=""),"",TRIM(INDEX($A:$AP,ROW(),$E$6)&amp;""))</f>
        <v/>
      </c>
      <c r="AW64" s="31">
        <f>IF($AU64="","",IF(MATCH($AU64,$AU$8:$AU$2007,0)=ROW()-7,MAX($AW$7:$AW63)+1,""))</f>
        <v/>
      </c>
      <c r="AX64" s="31">
        <f>IF(OR($AS64="",$D$6=""),"",TRIM(INDEX($A:$AP,ROW(),$D$6)&amp;""))</f>
        <v/>
      </c>
      <c r="AY64" s="31">
        <f>IF($AU64="","",INDEX($AW$8:$AW$2007,MATCH($AU64,$AU$8:$AU$2007,0)))</f>
        <v/>
      </c>
      <c r="AZ64" s="31">
        <f>IF(OR($AS64="",$C$6=""),"",TRIM(INDEX($A:$AP,ROW(),$C$6)&amp;""))</f>
        <v/>
      </c>
      <c r="BA64" s="31">
        <f>IF($AZ64="","",IF(COUNTIF($AZ$8:$AZ64,$AZ64)&gt;1,1,0))</f>
        <v/>
      </c>
    </row>
    <row r="65">
      <c r="AR65" s="31">
        <f>IF(OR($A$5="",$B$6="",ROW()&lt;$A$5),"",IF(INDEX($A:$AP,ROW(),$B$6)="","",INDEX($A:$AP,ROW(),$B$6)))</f>
        <v/>
      </c>
      <c r="AS65" s="32">
        <f>IF($AR65="","",IF(ISNUMBER($AR65),IF($AR65&gt;=10000000,IFERROR(DATE(INT($AR65/10000),MOD(INT($AR65/100),100),MOD($AR65,100)),""),INT($AR65)),IFERROR(DATE(--LEFT(LEFT(SUBSTITUTE(SUBSTITUTE(SUBSTITUTE(SUBSTITUTE(TRIM($AR65),"-",""),".",""),"/","")," ",""),8),4),--MID(LEFT(SUBSTITUTE(SUBSTITUTE(SUBSTITUTE(SUBSTITUTE(TRIM($AR65),"-",""),".",""),"/","")," ",""),8),5,2),--MID(LEFT(SUBSTITUTE(SUBSTITUTE(SUBSTITUTE(SUBSTITUTE(TRIM($AR65),"-",""),".",""),"/","")," ",""),8),7,2)),"")))</f>
        <v/>
      </c>
      <c r="AT65" s="33">
        <f>IF($AS65="","",IF($F$6="",0,IF(ISNUMBER(INDEX($A:$AP,ROW(),$F$6)),INDEX($A:$AP,ROW(),$F$6),IFERROR(--SUBSTITUTE(SUBSTITUTE(TRIM(INDEX($A:$AP,ROW(),$F$6)),",",""),"원",""),0))))</f>
        <v/>
      </c>
      <c r="AU65" s="31">
        <f>IF($AS65="","",IF($AX65&lt;&gt;"",SUBSTITUTE(SUBSTITUTE($AX65,"-","")," ",""),"N:"&amp;$AV65))</f>
        <v/>
      </c>
      <c r="AV65" s="31">
        <f>IF(OR($AS65="",$E$6=""),"",TRIM(INDEX($A:$AP,ROW(),$E$6)&amp;""))</f>
        <v/>
      </c>
      <c r="AW65" s="31">
        <f>IF($AU65="","",IF(MATCH($AU65,$AU$8:$AU$2007,0)=ROW()-7,MAX($AW$7:$AW64)+1,""))</f>
        <v/>
      </c>
      <c r="AX65" s="31">
        <f>IF(OR($AS65="",$D$6=""),"",TRIM(INDEX($A:$AP,ROW(),$D$6)&amp;""))</f>
        <v/>
      </c>
      <c r="AY65" s="31">
        <f>IF($AU65="","",INDEX($AW$8:$AW$2007,MATCH($AU65,$AU$8:$AU$2007,0)))</f>
        <v/>
      </c>
      <c r="AZ65" s="31">
        <f>IF(OR($AS65="",$C$6=""),"",TRIM(INDEX($A:$AP,ROW(),$C$6)&amp;""))</f>
        <v/>
      </c>
      <c r="BA65" s="31">
        <f>IF($AZ65="","",IF(COUNTIF($AZ$8:$AZ65,$AZ65)&gt;1,1,0))</f>
        <v/>
      </c>
    </row>
    <row r="66">
      <c r="AR66" s="31">
        <f>IF(OR($A$5="",$B$6="",ROW()&lt;$A$5),"",IF(INDEX($A:$AP,ROW(),$B$6)="","",INDEX($A:$AP,ROW(),$B$6)))</f>
        <v/>
      </c>
      <c r="AS66" s="32">
        <f>IF($AR66="","",IF(ISNUMBER($AR66),IF($AR66&gt;=10000000,IFERROR(DATE(INT($AR66/10000),MOD(INT($AR66/100),100),MOD($AR66,100)),""),INT($AR66)),IFERROR(DATE(--LEFT(LEFT(SUBSTITUTE(SUBSTITUTE(SUBSTITUTE(SUBSTITUTE(TRIM($AR66),"-",""),".",""),"/","")," ",""),8),4),--MID(LEFT(SUBSTITUTE(SUBSTITUTE(SUBSTITUTE(SUBSTITUTE(TRIM($AR66),"-",""),".",""),"/","")," ",""),8),5,2),--MID(LEFT(SUBSTITUTE(SUBSTITUTE(SUBSTITUTE(SUBSTITUTE(TRIM($AR66),"-",""),".",""),"/","")," ",""),8),7,2)),"")))</f>
        <v/>
      </c>
      <c r="AT66" s="33">
        <f>IF($AS66="","",IF($F$6="",0,IF(ISNUMBER(INDEX($A:$AP,ROW(),$F$6)),INDEX($A:$AP,ROW(),$F$6),IFERROR(--SUBSTITUTE(SUBSTITUTE(TRIM(INDEX($A:$AP,ROW(),$F$6)),",",""),"원",""),0))))</f>
        <v/>
      </c>
      <c r="AU66" s="31">
        <f>IF($AS66="","",IF($AX66&lt;&gt;"",SUBSTITUTE(SUBSTITUTE($AX66,"-","")," ",""),"N:"&amp;$AV66))</f>
        <v/>
      </c>
      <c r="AV66" s="31">
        <f>IF(OR($AS66="",$E$6=""),"",TRIM(INDEX($A:$AP,ROW(),$E$6)&amp;""))</f>
        <v/>
      </c>
      <c r="AW66" s="31">
        <f>IF($AU66="","",IF(MATCH($AU66,$AU$8:$AU$2007,0)=ROW()-7,MAX($AW$7:$AW65)+1,""))</f>
        <v/>
      </c>
      <c r="AX66" s="31">
        <f>IF(OR($AS66="",$D$6=""),"",TRIM(INDEX($A:$AP,ROW(),$D$6)&amp;""))</f>
        <v/>
      </c>
      <c r="AY66" s="31">
        <f>IF($AU66="","",INDEX($AW$8:$AW$2007,MATCH($AU66,$AU$8:$AU$2007,0)))</f>
        <v/>
      </c>
      <c r="AZ66" s="31">
        <f>IF(OR($AS66="",$C$6=""),"",TRIM(INDEX($A:$AP,ROW(),$C$6)&amp;""))</f>
        <v/>
      </c>
      <c r="BA66" s="31">
        <f>IF($AZ66="","",IF(COUNTIF($AZ$8:$AZ66,$AZ66)&gt;1,1,0))</f>
        <v/>
      </c>
    </row>
    <row r="67">
      <c r="AR67" s="31">
        <f>IF(OR($A$5="",$B$6="",ROW()&lt;$A$5),"",IF(INDEX($A:$AP,ROW(),$B$6)="","",INDEX($A:$AP,ROW(),$B$6)))</f>
        <v/>
      </c>
      <c r="AS67" s="32">
        <f>IF($AR67="","",IF(ISNUMBER($AR67),IF($AR67&gt;=10000000,IFERROR(DATE(INT($AR67/10000),MOD(INT($AR67/100),100),MOD($AR67,100)),""),INT($AR67)),IFERROR(DATE(--LEFT(LEFT(SUBSTITUTE(SUBSTITUTE(SUBSTITUTE(SUBSTITUTE(TRIM($AR67),"-",""),".",""),"/","")," ",""),8),4),--MID(LEFT(SUBSTITUTE(SUBSTITUTE(SUBSTITUTE(SUBSTITUTE(TRIM($AR67),"-",""),".",""),"/","")," ",""),8),5,2),--MID(LEFT(SUBSTITUTE(SUBSTITUTE(SUBSTITUTE(SUBSTITUTE(TRIM($AR67),"-",""),".",""),"/","")," ",""),8),7,2)),"")))</f>
        <v/>
      </c>
      <c r="AT67" s="33">
        <f>IF($AS67="","",IF($F$6="",0,IF(ISNUMBER(INDEX($A:$AP,ROW(),$F$6)),INDEX($A:$AP,ROW(),$F$6),IFERROR(--SUBSTITUTE(SUBSTITUTE(TRIM(INDEX($A:$AP,ROW(),$F$6)),",",""),"원",""),0))))</f>
        <v/>
      </c>
      <c r="AU67" s="31">
        <f>IF($AS67="","",IF($AX67&lt;&gt;"",SUBSTITUTE(SUBSTITUTE($AX67,"-","")," ",""),"N:"&amp;$AV67))</f>
        <v/>
      </c>
      <c r="AV67" s="31">
        <f>IF(OR($AS67="",$E$6=""),"",TRIM(INDEX($A:$AP,ROW(),$E$6)&amp;""))</f>
        <v/>
      </c>
      <c r="AW67" s="31">
        <f>IF($AU67="","",IF(MATCH($AU67,$AU$8:$AU$2007,0)=ROW()-7,MAX($AW$7:$AW66)+1,""))</f>
        <v/>
      </c>
      <c r="AX67" s="31">
        <f>IF(OR($AS67="",$D$6=""),"",TRIM(INDEX($A:$AP,ROW(),$D$6)&amp;""))</f>
        <v/>
      </c>
      <c r="AY67" s="31">
        <f>IF($AU67="","",INDEX($AW$8:$AW$2007,MATCH($AU67,$AU$8:$AU$2007,0)))</f>
        <v/>
      </c>
      <c r="AZ67" s="31">
        <f>IF(OR($AS67="",$C$6=""),"",TRIM(INDEX($A:$AP,ROW(),$C$6)&amp;""))</f>
        <v/>
      </c>
      <c r="BA67" s="31">
        <f>IF($AZ67="","",IF(COUNTIF($AZ$8:$AZ67,$AZ67)&gt;1,1,0))</f>
        <v/>
      </c>
    </row>
    <row r="68">
      <c r="AR68" s="31">
        <f>IF(OR($A$5="",$B$6="",ROW()&lt;$A$5),"",IF(INDEX($A:$AP,ROW(),$B$6)="","",INDEX($A:$AP,ROW(),$B$6)))</f>
        <v/>
      </c>
      <c r="AS68" s="32">
        <f>IF($AR68="","",IF(ISNUMBER($AR68),IF($AR68&gt;=10000000,IFERROR(DATE(INT($AR68/10000),MOD(INT($AR68/100),100),MOD($AR68,100)),""),INT($AR68)),IFERROR(DATE(--LEFT(LEFT(SUBSTITUTE(SUBSTITUTE(SUBSTITUTE(SUBSTITUTE(TRIM($AR68),"-",""),".",""),"/","")," ",""),8),4),--MID(LEFT(SUBSTITUTE(SUBSTITUTE(SUBSTITUTE(SUBSTITUTE(TRIM($AR68),"-",""),".",""),"/","")," ",""),8),5,2),--MID(LEFT(SUBSTITUTE(SUBSTITUTE(SUBSTITUTE(SUBSTITUTE(TRIM($AR68),"-",""),".",""),"/","")," ",""),8),7,2)),"")))</f>
        <v/>
      </c>
      <c r="AT68" s="33">
        <f>IF($AS68="","",IF($F$6="",0,IF(ISNUMBER(INDEX($A:$AP,ROW(),$F$6)),INDEX($A:$AP,ROW(),$F$6),IFERROR(--SUBSTITUTE(SUBSTITUTE(TRIM(INDEX($A:$AP,ROW(),$F$6)),",",""),"원",""),0))))</f>
        <v/>
      </c>
      <c r="AU68" s="31">
        <f>IF($AS68="","",IF($AX68&lt;&gt;"",SUBSTITUTE(SUBSTITUTE($AX68,"-","")," ",""),"N:"&amp;$AV68))</f>
        <v/>
      </c>
      <c r="AV68" s="31">
        <f>IF(OR($AS68="",$E$6=""),"",TRIM(INDEX($A:$AP,ROW(),$E$6)&amp;""))</f>
        <v/>
      </c>
      <c r="AW68" s="31">
        <f>IF($AU68="","",IF(MATCH($AU68,$AU$8:$AU$2007,0)=ROW()-7,MAX($AW$7:$AW67)+1,""))</f>
        <v/>
      </c>
      <c r="AX68" s="31">
        <f>IF(OR($AS68="",$D$6=""),"",TRIM(INDEX($A:$AP,ROW(),$D$6)&amp;""))</f>
        <v/>
      </c>
      <c r="AY68" s="31">
        <f>IF($AU68="","",INDEX($AW$8:$AW$2007,MATCH($AU68,$AU$8:$AU$2007,0)))</f>
        <v/>
      </c>
      <c r="AZ68" s="31">
        <f>IF(OR($AS68="",$C$6=""),"",TRIM(INDEX($A:$AP,ROW(),$C$6)&amp;""))</f>
        <v/>
      </c>
      <c r="BA68" s="31">
        <f>IF($AZ68="","",IF(COUNTIF($AZ$8:$AZ68,$AZ68)&gt;1,1,0))</f>
        <v/>
      </c>
    </row>
    <row r="69">
      <c r="AR69" s="31">
        <f>IF(OR($A$5="",$B$6="",ROW()&lt;$A$5),"",IF(INDEX($A:$AP,ROW(),$B$6)="","",INDEX($A:$AP,ROW(),$B$6)))</f>
        <v/>
      </c>
      <c r="AS69" s="32">
        <f>IF($AR69="","",IF(ISNUMBER($AR69),IF($AR69&gt;=10000000,IFERROR(DATE(INT($AR69/10000),MOD(INT($AR69/100),100),MOD($AR69,100)),""),INT($AR69)),IFERROR(DATE(--LEFT(LEFT(SUBSTITUTE(SUBSTITUTE(SUBSTITUTE(SUBSTITUTE(TRIM($AR69),"-",""),".",""),"/","")," ",""),8),4),--MID(LEFT(SUBSTITUTE(SUBSTITUTE(SUBSTITUTE(SUBSTITUTE(TRIM($AR69),"-",""),".",""),"/","")," ",""),8),5,2),--MID(LEFT(SUBSTITUTE(SUBSTITUTE(SUBSTITUTE(SUBSTITUTE(TRIM($AR69),"-",""),".",""),"/","")," ",""),8),7,2)),"")))</f>
        <v/>
      </c>
      <c r="AT69" s="33">
        <f>IF($AS69="","",IF($F$6="",0,IF(ISNUMBER(INDEX($A:$AP,ROW(),$F$6)),INDEX($A:$AP,ROW(),$F$6),IFERROR(--SUBSTITUTE(SUBSTITUTE(TRIM(INDEX($A:$AP,ROW(),$F$6)),",",""),"원",""),0))))</f>
        <v/>
      </c>
      <c r="AU69" s="31">
        <f>IF($AS69="","",IF($AX69&lt;&gt;"",SUBSTITUTE(SUBSTITUTE($AX69,"-","")," ",""),"N:"&amp;$AV69))</f>
        <v/>
      </c>
      <c r="AV69" s="31">
        <f>IF(OR($AS69="",$E$6=""),"",TRIM(INDEX($A:$AP,ROW(),$E$6)&amp;""))</f>
        <v/>
      </c>
      <c r="AW69" s="31">
        <f>IF($AU69="","",IF(MATCH($AU69,$AU$8:$AU$2007,0)=ROW()-7,MAX($AW$7:$AW68)+1,""))</f>
        <v/>
      </c>
      <c r="AX69" s="31">
        <f>IF(OR($AS69="",$D$6=""),"",TRIM(INDEX($A:$AP,ROW(),$D$6)&amp;""))</f>
        <v/>
      </c>
      <c r="AY69" s="31">
        <f>IF($AU69="","",INDEX($AW$8:$AW$2007,MATCH($AU69,$AU$8:$AU$2007,0)))</f>
        <v/>
      </c>
      <c r="AZ69" s="31">
        <f>IF(OR($AS69="",$C$6=""),"",TRIM(INDEX($A:$AP,ROW(),$C$6)&amp;""))</f>
        <v/>
      </c>
      <c r="BA69" s="31">
        <f>IF($AZ69="","",IF(COUNTIF($AZ$8:$AZ69,$AZ69)&gt;1,1,0))</f>
        <v/>
      </c>
    </row>
    <row r="70">
      <c r="AR70" s="31">
        <f>IF(OR($A$5="",$B$6="",ROW()&lt;$A$5),"",IF(INDEX($A:$AP,ROW(),$B$6)="","",INDEX($A:$AP,ROW(),$B$6)))</f>
        <v/>
      </c>
      <c r="AS70" s="32">
        <f>IF($AR70="","",IF(ISNUMBER($AR70),IF($AR70&gt;=10000000,IFERROR(DATE(INT($AR70/10000),MOD(INT($AR70/100),100),MOD($AR70,100)),""),INT($AR70)),IFERROR(DATE(--LEFT(LEFT(SUBSTITUTE(SUBSTITUTE(SUBSTITUTE(SUBSTITUTE(TRIM($AR70),"-",""),".",""),"/","")," ",""),8),4),--MID(LEFT(SUBSTITUTE(SUBSTITUTE(SUBSTITUTE(SUBSTITUTE(TRIM($AR70),"-",""),".",""),"/","")," ",""),8),5,2),--MID(LEFT(SUBSTITUTE(SUBSTITUTE(SUBSTITUTE(SUBSTITUTE(TRIM($AR70),"-",""),".",""),"/","")," ",""),8),7,2)),"")))</f>
        <v/>
      </c>
      <c r="AT70" s="33">
        <f>IF($AS70="","",IF($F$6="",0,IF(ISNUMBER(INDEX($A:$AP,ROW(),$F$6)),INDEX($A:$AP,ROW(),$F$6),IFERROR(--SUBSTITUTE(SUBSTITUTE(TRIM(INDEX($A:$AP,ROW(),$F$6)),",",""),"원",""),0))))</f>
        <v/>
      </c>
      <c r="AU70" s="31">
        <f>IF($AS70="","",IF($AX70&lt;&gt;"",SUBSTITUTE(SUBSTITUTE($AX70,"-","")," ",""),"N:"&amp;$AV70))</f>
        <v/>
      </c>
      <c r="AV70" s="31">
        <f>IF(OR($AS70="",$E$6=""),"",TRIM(INDEX($A:$AP,ROW(),$E$6)&amp;""))</f>
        <v/>
      </c>
      <c r="AW70" s="31">
        <f>IF($AU70="","",IF(MATCH($AU70,$AU$8:$AU$2007,0)=ROW()-7,MAX($AW$7:$AW69)+1,""))</f>
        <v/>
      </c>
      <c r="AX70" s="31">
        <f>IF(OR($AS70="",$D$6=""),"",TRIM(INDEX($A:$AP,ROW(),$D$6)&amp;""))</f>
        <v/>
      </c>
      <c r="AY70" s="31">
        <f>IF($AU70="","",INDEX($AW$8:$AW$2007,MATCH($AU70,$AU$8:$AU$2007,0)))</f>
        <v/>
      </c>
      <c r="AZ70" s="31">
        <f>IF(OR($AS70="",$C$6=""),"",TRIM(INDEX($A:$AP,ROW(),$C$6)&amp;""))</f>
        <v/>
      </c>
      <c r="BA70" s="31">
        <f>IF($AZ70="","",IF(COUNTIF($AZ$8:$AZ70,$AZ70)&gt;1,1,0))</f>
        <v/>
      </c>
    </row>
    <row r="71">
      <c r="AR71" s="31">
        <f>IF(OR($A$5="",$B$6="",ROW()&lt;$A$5),"",IF(INDEX($A:$AP,ROW(),$B$6)="","",INDEX($A:$AP,ROW(),$B$6)))</f>
        <v/>
      </c>
      <c r="AS71" s="32">
        <f>IF($AR71="","",IF(ISNUMBER($AR71),IF($AR71&gt;=10000000,IFERROR(DATE(INT($AR71/10000),MOD(INT($AR71/100),100),MOD($AR71,100)),""),INT($AR71)),IFERROR(DATE(--LEFT(LEFT(SUBSTITUTE(SUBSTITUTE(SUBSTITUTE(SUBSTITUTE(TRIM($AR71),"-",""),".",""),"/","")," ",""),8),4),--MID(LEFT(SUBSTITUTE(SUBSTITUTE(SUBSTITUTE(SUBSTITUTE(TRIM($AR71),"-",""),".",""),"/","")," ",""),8),5,2),--MID(LEFT(SUBSTITUTE(SUBSTITUTE(SUBSTITUTE(SUBSTITUTE(TRIM($AR71),"-",""),".",""),"/","")," ",""),8),7,2)),"")))</f>
        <v/>
      </c>
      <c r="AT71" s="33">
        <f>IF($AS71="","",IF($F$6="",0,IF(ISNUMBER(INDEX($A:$AP,ROW(),$F$6)),INDEX($A:$AP,ROW(),$F$6),IFERROR(--SUBSTITUTE(SUBSTITUTE(TRIM(INDEX($A:$AP,ROW(),$F$6)),",",""),"원",""),0))))</f>
        <v/>
      </c>
      <c r="AU71" s="31">
        <f>IF($AS71="","",IF($AX71&lt;&gt;"",SUBSTITUTE(SUBSTITUTE($AX71,"-","")," ",""),"N:"&amp;$AV71))</f>
        <v/>
      </c>
      <c r="AV71" s="31">
        <f>IF(OR($AS71="",$E$6=""),"",TRIM(INDEX($A:$AP,ROW(),$E$6)&amp;""))</f>
        <v/>
      </c>
      <c r="AW71" s="31">
        <f>IF($AU71="","",IF(MATCH($AU71,$AU$8:$AU$2007,0)=ROW()-7,MAX($AW$7:$AW70)+1,""))</f>
        <v/>
      </c>
      <c r="AX71" s="31">
        <f>IF(OR($AS71="",$D$6=""),"",TRIM(INDEX($A:$AP,ROW(),$D$6)&amp;""))</f>
        <v/>
      </c>
      <c r="AY71" s="31">
        <f>IF($AU71="","",INDEX($AW$8:$AW$2007,MATCH($AU71,$AU$8:$AU$2007,0)))</f>
        <v/>
      </c>
      <c r="AZ71" s="31">
        <f>IF(OR($AS71="",$C$6=""),"",TRIM(INDEX($A:$AP,ROW(),$C$6)&amp;""))</f>
        <v/>
      </c>
      <c r="BA71" s="31">
        <f>IF($AZ71="","",IF(COUNTIF($AZ$8:$AZ71,$AZ71)&gt;1,1,0))</f>
        <v/>
      </c>
    </row>
    <row r="72">
      <c r="AR72" s="31">
        <f>IF(OR($A$5="",$B$6="",ROW()&lt;$A$5),"",IF(INDEX($A:$AP,ROW(),$B$6)="","",INDEX($A:$AP,ROW(),$B$6)))</f>
        <v/>
      </c>
      <c r="AS72" s="32">
        <f>IF($AR72="","",IF(ISNUMBER($AR72),IF($AR72&gt;=10000000,IFERROR(DATE(INT($AR72/10000),MOD(INT($AR72/100),100),MOD($AR72,100)),""),INT($AR72)),IFERROR(DATE(--LEFT(LEFT(SUBSTITUTE(SUBSTITUTE(SUBSTITUTE(SUBSTITUTE(TRIM($AR72),"-",""),".",""),"/","")," ",""),8),4),--MID(LEFT(SUBSTITUTE(SUBSTITUTE(SUBSTITUTE(SUBSTITUTE(TRIM($AR72),"-",""),".",""),"/","")," ",""),8),5,2),--MID(LEFT(SUBSTITUTE(SUBSTITUTE(SUBSTITUTE(SUBSTITUTE(TRIM($AR72),"-",""),".",""),"/","")," ",""),8),7,2)),"")))</f>
        <v/>
      </c>
      <c r="AT72" s="33">
        <f>IF($AS72="","",IF($F$6="",0,IF(ISNUMBER(INDEX($A:$AP,ROW(),$F$6)),INDEX($A:$AP,ROW(),$F$6),IFERROR(--SUBSTITUTE(SUBSTITUTE(TRIM(INDEX($A:$AP,ROW(),$F$6)),",",""),"원",""),0))))</f>
        <v/>
      </c>
      <c r="AU72" s="31">
        <f>IF($AS72="","",IF($AX72&lt;&gt;"",SUBSTITUTE(SUBSTITUTE($AX72,"-","")," ",""),"N:"&amp;$AV72))</f>
        <v/>
      </c>
      <c r="AV72" s="31">
        <f>IF(OR($AS72="",$E$6=""),"",TRIM(INDEX($A:$AP,ROW(),$E$6)&amp;""))</f>
        <v/>
      </c>
      <c r="AW72" s="31">
        <f>IF($AU72="","",IF(MATCH($AU72,$AU$8:$AU$2007,0)=ROW()-7,MAX($AW$7:$AW71)+1,""))</f>
        <v/>
      </c>
      <c r="AX72" s="31">
        <f>IF(OR($AS72="",$D$6=""),"",TRIM(INDEX($A:$AP,ROW(),$D$6)&amp;""))</f>
        <v/>
      </c>
      <c r="AY72" s="31">
        <f>IF($AU72="","",INDEX($AW$8:$AW$2007,MATCH($AU72,$AU$8:$AU$2007,0)))</f>
        <v/>
      </c>
      <c r="AZ72" s="31">
        <f>IF(OR($AS72="",$C$6=""),"",TRIM(INDEX($A:$AP,ROW(),$C$6)&amp;""))</f>
        <v/>
      </c>
      <c r="BA72" s="31">
        <f>IF($AZ72="","",IF(COUNTIF($AZ$8:$AZ72,$AZ72)&gt;1,1,0))</f>
        <v/>
      </c>
    </row>
    <row r="73">
      <c r="AR73" s="31">
        <f>IF(OR($A$5="",$B$6="",ROW()&lt;$A$5),"",IF(INDEX($A:$AP,ROW(),$B$6)="","",INDEX($A:$AP,ROW(),$B$6)))</f>
        <v/>
      </c>
      <c r="AS73" s="32">
        <f>IF($AR73="","",IF(ISNUMBER($AR73),IF($AR73&gt;=10000000,IFERROR(DATE(INT($AR73/10000),MOD(INT($AR73/100),100),MOD($AR73,100)),""),INT($AR73)),IFERROR(DATE(--LEFT(LEFT(SUBSTITUTE(SUBSTITUTE(SUBSTITUTE(SUBSTITUTE(TRIM($AR73),"-",""),".",""),"/","")," ",""),8),4),--MID(LEFT(SUBSTITUTE(SUBSTITUTE(SUBSTITUTE(SUBSTITUTE(TRIM($AR73),"-",""),".",""),"/","")," ",""),8),5,2),--MID(LEFT(SUBSTITUTE(SUBSTITUTE(SUBSTITUTE(SUBSTITUTE(TRIM($AR73),"-",""),".",""),"/","")," ",""),8),7,2)),"")))</f>
        <v/>
      </c>
      <c r="AT73" s="33">
        <f>IF($AS73="","",IF($F$6="",0,IF(ISNUMBER(INDEX($A:$AP,ROW(),$F$6)),INDEX($A:$AP,ROW(),$F$6),IFERROR(--SUBSTITUTE(SUBSTITUTE(TRIM(INDEX($A:$AP,ROW(),$F$6)),",",""),"원",""),0))))</f>
        <v/>
      </c>
      <c r="AU73" s="31">
        <f>IF($AS73="","",IF($AX73&lt;&gt;"",SUBSTITUTE(SUBSTITUTE($AX73,"-","")," ",""),"N:"&amp;$AV73))</f>
        <v/>
      </c>
      <c r="AV73" s="31">
        <f>IF(OR($AS73="",$E$6=""),"",TRIM(INDEX($A:$AP,ROW(),$E$6)&amp;""))</f>
        <v/>
      </c>
      <c r="AW73" s="31">
        <f>IF($AU73="","",IF(MATCH($AU73,$AU$8:$AU$2007,0)=ROW()-7,MAX($AW$7:$AW72)+1,""))</f>
        <v/>
      </c>
      <c r="AX73" s="31">
        <f>IF(OR($AS73="",$D$6=""),"",TRIM(INDEX($A:$AP,ROW(),$D$6)&amp;""))</f>
        <v/>
      </c>
      <c r="AY73" s="31">
        <f>IF($AU73="","",INDEX($AW$8:$AW$2007,MATCH($AU73,$AU$8:$AU$2007,0)))</f>
        <v/>
      </c>
      <c r="AZ73" s="31">
        <f>IF(OR($AS73="",$C$6=""),"",TRIM(INDEX($A:$AP,ROW(),$C$6)&amp;""))</f>
        <v/>
      </c>
      <c r="BA73" s="31">
        <f>IF($AZ73="","",IF(COUNTIF($AZ$8:$AZ73,$AZ73)&gt;1,1,0))</f>
        <v/>
      </c>
    </row>
    <row r="74">
      <c r="AR74" s="31">
        <f>IF(OR($A$5="",$B$6="",ROW()&lt;$A$5),"",IF(INDEX($A:$AP,ROW(),$B$6)="","",INDEX($A:$AP,ROW(),$B$6)))</f>
        <v/>
      </c>
      <c r="AS74" s="32">
        <f>IF($AR74="","",IF(ISNUMBER($AR74),IF($AR74&gt;=10000000,IFERROR(DATE(INT($AR74/10000),MOD(INT($AR74/100),100),MOD($AR74,100)),""),INT($AR74)),IFERROR(DATE(--LEFT(LEFT(SUBSTITUTE(SUBSTITUTE(SUBSTITUTE(SUBSTITUTE(TRIM($AR74),"-",""),".",""),"/","")," ",""),8),4),--MID(LEFT(SUBSTITUTE(SUBSTITUTE(SUBSTITUTE(SUBSTITUTE(TRIM($AR74),"-",""),".",""),"/","")," ",""),8),5,2),--MID(LEFT(SUBSTITUTE(SUBSTITUTE(SUBSTITUTE(SUBSTITUTE(TRIM($AR74),"-",""),".",""),"/","")," ",""),8),7,2)),"")))</f>
        <v/>
      </c>
      <c r="AT74" s="33">
        <f>IF($AS74="","",IF($F$6="",0,IF(ISNUMBER(INDEX($A:$AP,ROW(),$F$6)),INDEX($A:$AP,ROW(),$F$6),IFERROR(--SUBSTITUTE(SUBSTITUTE(TRIM(INDEX($A:$AP,ROW(),$F$6)),",",""),"원",""),0))))</f>
        <v/>
      </c>
      <c r="AU74" s="31">
        <f>IF($AS74="","",IF($AX74&lt;&gt;"",SUBSTITUTE(SUBSTITUTE($AX74,"-","")," ",""),"N:"&amp;$AV74))</f>
        <v/>
      </c>
      <c r="AV74" s="31">
        <f>IF(OR($AS74="",$E$6=""),"",TRIM(INDEX($A:$AP,ROW(),$E$6)&amp;""))</f>
        <v/>
      </c>
      <c r="AW74" s="31">
        <f>IF($AU74="","",IF(MATCH($AU74,$AU$8:$AU$2007,0)=ROW()-7,MAX($AW$7:$AW73)+1,""))</f>
        <v/>
      </c>
      <c r="AX74" s="31">
        <f>IF(OR($AS74="",$D$6=""),"",TRIM(INDEX($A:$AP,ROW(),$D$6)&amp;""))</f>
        <v/>
      </c>
      <c r="AY74" s="31">
        <f>IF($AU74="","",INDEX($AW$8:$AW$2007,MATCH($AU74,$AU$8:$AU$2007,0)))</f>
        <v/>
      </c>
      <c r="AZ74" s="31">
        <f>IF(OR($AS74="",$C$6=""),"",TRIM(INDEX($A:$AP,ROW(),$C$6)&amp;""))</f>
        <v/>
      </c>
      <c r="BA74" s="31">
        <f>IF($AZ74="","",IF(COUNTIF($AZ$8:$AZ74,$AZ74)&gt;1,1,0))</f>
        <v/>
      </c>
    </row>
    <row r="75">
      <c r="AR75" s="31">
        <f>IF(OR($A$5="",$B$6="",ROW()&lt;$A$5),"",IF(INDEX($A:$AP,ROW(),$B$6)="","",INDEX($A:$AP,ROW(),$B$6)))</f>
        <v/>
      </c>
      <c r="AS75" s="32">
        <f>IF($AR75="","",IF(ISNUMBER($AR75),IF($AR75&gt;=10000000,IFERROR(DATE(INT($AR75/10000),MOD(INT($AR75/100),100),MOD($AR75,100)),""),INT($AR75)),IFERROR(DATE(--LEFT(LEFT(SUBSTITUTE(SUBSTITUTE(SUBSTITUTE(SUBSTITUTE(TRIM($AR75),"-",""),".",""),"/","")," ",""),8),4),--MID(LEFT(SUBSTITUTE(SUBSTITUTE(SUBSTITUTE(SUBSTITUTE(TRIM($AR75),"-",""),".",""),"/","")," ",""),8),5,2),--MID(LEFT(SUBSTITUTE(SUBSTITUTE(SUBSTITUTE(SUBSTITUTE(TRIM($AR75),"-",""),".",""),"/","")," ",""),8),7,2)),"")))</f>
        <v/>
      </c>
      <c r="AT75" s="33">
        <f>IF($AS75="","",IF($F$6="",0,IF(ISNUMBER(INDEX($A:$AP,ROW(),$F$6)),INDEX($A:$AP,ROW(),$F$6),IFERROR(--SUBSTITUTE(SUBSTITUTE(TRIM(INDEX($A:$AP,ROW(),$F$6)),",",""),"원",""),0))))</f>
        <v/>
      </c>
      <c r="AU75" s="31">
        <f>IF($AS75="","",IF($AX75&lt;&gt;"",SUBSTITUTE(SUBSTITUTE($AX75,"-","")," ",""),"N:"&amp;$AV75))</f>
        <v/>
      </c>
      <c r="AV75" s="31">
        <f>IF(OR($AS75="",$E$6=""),"",TRIM(INDEX($A:$AP,ROW(),$E$6)&amp;""))</f>
        <v/>
      </c>
      <c r="AW75" s="31">
        <f>IF($AU75="","",IF(MATCH($AU75,$AU$8:$AU$2007,0)=ROW()-7,MAX($AW$7:$AW74)+1,""))</f>
        <v/>
      </c>
      <c r="AX75" s="31">
        <f>IF(OR($AS75="",$D$6=""),"",TRIM(INDEX($A:$AP,ROW(),$D$6)&amp;""))</f>
        <v/>
      </c>
      <c r="AY75" s="31">
        <f>IF($AU75="","",INDEX($AW$8:$AW$2007,MATCH($AU75,$AU$8:$AU$2007,0)))</f>
        <v/>
      </c>
      <c r="AZ75" s="31">
        <f>IF(OR($AS75="",$C$6=""),"",TRIM(INDEX($A:$AP,ROW(),$C$6)&amp;""))</f>
        <v/>
      </c>
      <c r="BA75" s="31">
        <f>IF($AZ75="","",IF(COUNTIF($AZ$8:$AZ75,$AZ75)&gt;1,1,0))</f>
        <v/>
      </c>
    </row>
    <row r="76">
      <c r="AR76" s="31">
        <f>IF(OR($A$5="",$B$6="",ROW()&lt;$A$5),"",IF(INDEX($A:$AP,ROW(),$B$6)="","",INDEX($A:$AP,ROW(),$B$6)))</f>
        <v/>
      </c>
      <c r="AS76" s="32">
        <f>IF($AR76="","",IF(ISNUMBER($AR76),IF($AR76&gt;=10000000,IFERROR(DATE(INT($AR76/10000),MOD(INT($AR76/100),100),MOD($AR76,100)),""),INT($AR76)),IFERROR(DATE(--LEFT(LEFT(SUBSTITUTE(SUBSTITUTE(SUBSTITUTE(SUBSTITUTE(TRIM($AR76),"-",""),".",""),"/","")," ",""),8),4),--MID(LEFT(SUBSTITUTE(SUBSTITUTE(SUBSTITUTE(SUBSTITUTE(TRIM($AR76),"-",""),".",""),"/","")," ",""),8),5,2),--MID(LEFT(SUBSTITUTE(SUBSTITUTE(SUBSTITUTE(SUBSTITUTE(TRIM($AR76),"-",""),".",""),"/","")," ",""),8),7,2)),"")))</f>
        <v/>
      </c>
      <c r="AT76" s="33">
        <f>IF($AS76="","",IF($F$6="",0,IF(ISNUMBER(INDEX($A:$AP,ROW(),$F$6)),INDEX($A:$AP,ROW(),$F$6),IFERROR(--SUBSTITUTE(SUBSTITUTE(TRIM(INDEX($A:$AP,ROW(),$F$6)),",",""),"원",""),0))))</f>
        <v/>
      </c>
      <c r="AU76" s="31">
        <f>IF($AS76="","",IF($AX76&lt;&gt;"",SUBSTITUTE(SUBSTITUTE($AX76,"-","")," ",""),"N:"&amp;$AV76))</f>
        <v/>
      </c>
      <c r="AV76" s="31">
        <f>IF(OR($AS76="",$E$6=""),"",TRIM(INDEX($A:$AP,ROW(),$E$6)&amp;""))</f>
        <v/>
      </c>
      <c r="AW76" s="31">
        <f>IF($AU76="","",IF(MATCH($AU76,$AU$8:$AU$2007,0)=ROW()-7,MAX($AW$7:$AW75)+1,""))</f>
        <v/>
      </c>
      <c r="AX76" s="31">
        <f>IF(OR($AS76="",$D$6=""),"",TRIM(INDEX($A:$AP,ROW(),$D$6)&amp;""))</f>
        <v/>
      </c>
      <c r="AY76" s="31">
        <f>IF($AU76="","",INDEX($AW$8:$AW$2007,MATCH($AU76,$AU$8:$AU$2007,0)))</f>
        <v/>
      </c>
      <c r="AZ76" s="31">
        <f>IF(OR($AS76="",$C$6=""),"",TRIM(INDEX($A:$AP,ROW(),$C$6)&amp;""))</f>
        <v/>
      </c>
      <c r="BA76" s="31">
        <f>IF($AZ76="","",IF(COUNTIF($AZ$8:$AZ76,$AZ76)&gt;1,1,0))</f>
        <v/>
      </c>
    </row>
    <row r="77">
      <c r="AR77" s="31">
        <f>IF(OR($A$5="",$B$6="",ROW()&lt;$A$5),"",IF(INDEX($A:$AP,ROW(),$B$6)="","",INDEX($A:$AP,ROW(),$B$6)))</f>
        <v/>
      </c>
      <c r="AS77" s="32">
        <f>IF($AR77="","",IF(ISNUMBER($AR77),IF($AR77&gt;=10000000,IFERROR(DATE(INT($AR77/10000),MOD(INT($AR77/100),100),MOD($AR77,100)),""),INT($AR77)),IFERROR(DATE(--LEFT(LEFT(SUBSTITUTE(SUBSTITUTE(SUBSTITUTE(SUBSTITUTE(TRIM($AR77),"-",""),".",""),"/","")," ",""),8),4),--MID(LEFT(SUBSTITUTE(SUBSTITUTE(SUBSTITUTE(SUBSTITUTE(TRIM($AR77),"-",""),".",""),"/","")," ",""),8),5,2),--MID(LEFT(SUBSTITUTE(SUBSTITUTE(SUBSTITUTE(SUBSTITUTE(TRIM($AR77),"-",""),".",""),"/","")," ",""),8),7,2)),"")))</f>
        <v/>
      </c>
      <c r="AT77" s="33">
        <f>IF($AS77="","",IF($F$6="",0,IF(ISNUMBER(INDEX($A:$AP,ROW(),$F$6)),INDEX($A:$AP,ROW(),$F$6),IFERROR(--SUBSTITUTE(SUBSTITUTE(TRIM(INDEX($A:$AP,ROW(),$F$6)),",",""),"원",""),0))))</f>
        <v/>
      </c>
      <c r="AU77" s="31">
        <f>IF($AS77="","",IF($AX77&lt;&gt;"",SUBSTITUTE(SUBSTITUTE($AX77,"-","")," ",""),"N:"&amp;$AV77))</f>
        <v/>
      </c>
      <c r="AV77" s="31">
        <f>IF(OR($AS77="",$E$6=""),"",TRIM(INDEX($A:$AP,ROW(),$E$6)&amp;""))</f>
        <v/>
      </c>
      <c r="AW77" s="31">
        <f>IF($AU77="","",IF(MATCH($AU77,$AU$8:$AU$2007,0)=ROW()-7,MAX($AW$7:$AW76)+1,""))</f>
        <v/>
      </c>
      <c r="AX77" s="31">
        <f>IF(OR($AS77="",$D$6=""),"",TRIM(INDEX($A:$AP,ROW(),$D$6)&amp;""))</f>
        <v/>
      </c>
      <c r="AY77" s="31">
        <f>IF($AU77="","",INDEX($AW$8:$AW$2007,MATCH($AU77,$AU$8:$AU$2007,0)))</f>
        <v/>
      </c>
      <c r="AZ77" s="31">
        <f>IF(OR($AS77="",$C$6=""),"",TRIM(INDEX($A:$AP,ROW(),$C$6)&amp;""))</f>
        <v/>
      </c>
      <c r="BA77" s="31">
        <f>IF($AZ77="","",IF(COUNTIF($AZ$8:$AZ77,$AZ77)&gt;1,1,0))</f>
        <v/>
      </c>
    </row>
    <row r="78">
      <c r="AR78" s="31">
        <f>IF(OR($A$5="",$B$6="",ROW()&lt;$A$5),"",IF(INDEX($A:$AP,ROW(),$B$6)="","",INDEX($A:$AP,ROW(),$B$6)))</f>
        <v/>
      </c>
      <c r="AS78" s="32">
        <f>IF($AR78="","",IF(ISNUMBER($AR78),IF($AR78&gt;=10000000,IFERROR(DATE(INT($AR78/10000),MOD(INT($AR78/100),100),MOD($AR78,100)),""),INT($AR78)),IFERROR(DATE(--LEFT(LEFT(SUBSTITUTE(SUBSTITUTE(SUBSTITUTE(SUBSTITUTE(TRIM($AR78),"-",""),".",""),"/","")," ",""),8),4),--MID(LEFT(SUBSTITUTE(SUBSTITUTE(SUBSTITUTE(SUBSTITUTE(TRIM($AR78),"-",""),".",""),"/","")," ",""),8),5,2),--MID(LEFT(SUBSTITUTE(SUBSTITUTE(SUBSTITUTE(SUBSTITUTE(TRIM($AR78),"-",""),".",""),"/","")," ",""),8),7,2)),"")))</f>
        <v/>
      </c>
      <c r="AT78" s="33">
        <f>IF($AS78="","",IF($F$6="",0,IF(ISNUMBER(INDEX($A:$AP,ROW(),$F$6)),INDEX($A:$AP,ROW(),$F$6),IFERROR(--SUBSTITUTE(SUBSTITUTE(TRIM(INDEX($A:$AP,ROW(),$F$6)),",",""),"원",""),0))))</f>
        <v/>
      </c>
      <c r="AU78" s="31">
        <f>IF($AS78="","",IF($AX78&lt;&gt;"",SUBSTITUTE(SUBSTITUTE($AX78,"-","")," ",""),"N:"&amp;$AV78))</f>
        <v/>
      </c>
      <c r="AV78" s="31">
        <f>IF(OR($AS78="",$E$6=""),"",TRIM(INDEX($A:$AP,ROW(),$E$6)&amp;""))</f>
        <v/>
      </c>
      <c r="AW78" s="31">
        <f>IF($AU78="","",IF(MATCH($AU78,$AU$8:$AU$2007,0)=ROW()-7,MAX($AW$7:$AW77)+1,""))</f>
        <v/>
      </c>
      <c r="AX78" s="31">
        <f>IF(OR($AS78="",$D$6=""),"",TRIM(INDEX($A:$AP,ROW(),$D$6)&amp;""))</f>
        <v/>
      </c>
      <c r="AY78" s="31">
        <f>IF($AU78="","",INDEX($AW$8:$AW$2007,MATCH($AU78,$AU$8:$AU$2007,0)))</f>
        <v/>
      </c>
      <c r="AZ78" s="31">
        <f>IF(OR($AS78="",$C$6=""),"",TRIM(INDEX($A:$AP,ROW(),$C$6)&amp;""))</f>
        <v/>
      </c>
      <c r="BA78" s="31">
        <f>IF($AZ78="","",IF(COUNTIF($AZ$8:$AZ78,$AZ78)&gt;1,1,0))</f>
        <v/>
      </c>
    </row>
    <row r="79">
      <c r="AR79" s="31">
        <f>IF(OR($A$5="",$B$6="",ROW()&lt;$A$5),"",IF(INDEX($A:$AP,ROW(),$B$6)="","",INDEX($A:$AP,ROW(),$B$6)))</f>
        <v/>
      </c>
      <c r="AS79" s="32">
        <f>IF($AR79="","",IF(ISNUMBER($AR79),IF($AR79&gt;=10000000,IFERROR(DATE(INT($AR79/10000),MOD(INT($AR79/100),100),MOD($AR79,100)),""),INT($AR79)),IFERROR(DATE(--LEFT(LEFT(SUBSTITUTE(SUBSTITUTE(SUBSTITUTE(SUBSTITUTE(TRIM($AR79),"-",""),".",""),"/","")," ",""),8),4),--MID(LEFT(SUBSTITUTE(SUBSTITUTE(SUBSTITUTE(SUBSTITUTE(TRIM($AR79),"-",""),".",""),"/","")," ",""),8),5,2),--MID(LEFT(SUBSTITUTE(SUBSTITUTE(SUBSTITUTE(SUBSTITUTE(TRIM($AR79),"-",""),".",""),"/","")," ",""),8),7,2)),"")))</f>
        <v/>
      </c>
      <c r="AT79" s="33">
        <f>IF($AS79="","",IF($F$6="",0,IF(ISNUMBER(INDEX($A:$AP,ROW(),$F$6)),INDEX($A:$AP,ROW(),$F$6),IFERROR(--SUBSTITUTE(SUBSTITUTE(TRIM(INDEX($A:$AP,ROW(),$F$6)),",",""),"원",""),0))))</f>
        <v/>
      </c>
      <c r="AU79" s="31">
        <f>IF($AS79="","",IF($AX79&lt;&gt;"",SUBSTITUTE(SUBSTITUTE($AX79,"-","")," ",""),"N:"&amp;$AV79))</f>
        <v/>
      </c>
      <c r="AV79" s="31">
        <f>IF(OR($AS79="",$E$6=""),"",TRIM(INDEX($A:$AP,ROW(),$E$6)&amp;""))</f>
        <v/>
      </c>
      <c r="AW79" s="31">
        <f>IF($AU79="","",IF(MATCH($AU79,$AU$8:$AU$2007,0)=ROW()-7,MAX($AW$7:$AW78)+1,""))</f>
        <v/>
      </c>
      <c r="AX79" s="31">
        <f>IF(OR($AS79="",$D$6=""),"",TRIM(INDEX($A:$AP,ROW(),$D$6)&amp;""))</f>
        <v/>
      </c>
      <c r="AY79" s="31">
        <f>IF($AU79="","",INDEX($AW$8:$AW$2007,MATCH($AU79,$AU$8:$AU$2007,0)))</f>
        <v/>
      </c>
      <c r="AZ79" s="31">
        <f>IF(OR($AS79="",$C$6=""),"",TRIM(INDEX($A:$AP,ROW(),$C$6)&amp;""))</f>
        <v/>
      </c>
      <c r="BA79" s="31">
        <f>IF($AZ79="","",IF(COUNTIF($AZ$8:$AZ79,$AZ79)&gt;1,1,0))</f>
        <v/>
      </c>
    </row>
    <row r="80">
      <c r="AR80" s="31">
        <f>IF(OR($A$5="",$B$6="",ROW()&lt;$A$5),"",IF(INDEX($A:$AP,ROW(),$B$6)="","",INDEX($A:$AP,ROW(),$B$6)))</f>
        <v/>
      </c>
      <c r="AS80" s="32">
        <f>IF($AR80="","",IF(ISNUMBER($AR80),IF($AR80&gt;=10000000,IFERROR(DATE(INT($AR80/10000),MOD(INT($AR80/100),100),MOD($AR80,100)),""),INT($AR80)),IFERROR(DATE(--LEFT(LEFT(SUBSTITUTE(SUBSTITUTE(SUBSTITUTE(SUBSTITUTE(TRIM($AR80),"-",""),".",""),"/","")," ",""),8),4),--MID(LEFT(SUBSTITUTE(SUBSTITUTE(SUBSTITUTE(SUBSTITUTE(TRIM($AR80),"-",""),".",""),"/","")," ",""),8),5,2),--MID(LEFT(SUBSTITUTE(SUBSTITUTE(SUBSTITUTE(SUBSTITUTE(TRIM($AR80),"-",""),".",""),"/","")," ",""),8),7,2)),"")))</f>
        <v/>
      </c>
      <c r="AT80" s="33">
        <f>IF($AS80="","",IF($F$6="",0,IF(ISNUMBER(INDEX($A:$AP,ROW(),$F$6)),INDEX($A:$AP,ROW(),$F$6),IFERROR(--SUBSTITUTE(SUBSTITUTE(TRIM(INDEX($A:$AP,ROW(),$F$6)),",",""),"원",""),0))))</f>
        <v/>
      </c>
      <c r="AU80" s="31">
        <f>IF($AS80="","",IF($AX80&lt;&gt;"",SUBSTITUTE(SUBSTITUTE($AX80,"-","")," ",""),"N:"&amp;$AV80))</f>
        <v/>
      </c>
      <c r="AV80" s="31">
        <f>IF(OR($AS80="",$E$6=""),"",TRIM(INDEX($A:$AP,ROW(),$E$6)&amp;""))</f>
        <v/>
      </c>
      <c r="AW80" s="31">
        <f>IF($AU80="","",IF(MATCH($AU80,$AU$8:$AU$2007,0)=ROW()-7,MAX($AW$7:$AW79)+1,""))</f>
        <v/>
      </c>
      <c r="AX80" s="31">
        <f>IF(OR($AS80="",$D$6=""),"",TRIM(INDEX($A:$AP,ROW(),$D$6)&amp;""))</f>
        <v/>
      </c>
      <c r="AY80" s="31">
        <f>IF($AU80="","",INDEX($AW$8:$AW$2007,MATCH($AU80,$AU$8:$AU$2007,0)))</f>
        <v/>
      </c>
      <c r="AZ80" s="31">
        <f>IF(OR($AS80="",$C$6=""),"",TRIM(INDEX($A:$AP,ROW(),$C$6)&amp;""))</f>
        <v/>
      </c>
      <c r="BA80" s="31">
        <f>IF($AZ80="","",IF(COUNTIF($AZ$8:$AZ80,$AZ80)&gt;1,1,0))</f>
        <v/>
      </c>
    </row>
    <row r="81">
      <c r="AR81" s="31">
        <f>IF(OR($A$5="",$B$6="",ROW()&lt;$A$5),"",IF(INDEX($A:$AP,ROW(),$B$6)="","",INDEX($A:$AP,ROW(),$B$6)))</f>
        <v/>
      </c>
      <c r="AS81" s="32">
        <f>IF($AR81="","",IF(ISNUMBER($AR81),IF($AR81&gt;=10000000,IFERROR(DATE(INT($AR81/10000),MOD(INT($AR81/100),100),MOD($AR81,100)),""),INT($AR81)),IFERROR(DATE(--LEFT(LEFT(SUBSTITUTE(SUBSTITUTE(SUBSTITUTE(SUBSTITUTE(TRIM($AR81),"-",""),".",""),"/","")," ",""),8),4),--MID(LEFT(SUBSTITUTE(SUBSTITUTE(SUBSTITUTE(SUBSTITUTE(TRIM($AR81),"-",""),".",""),"/","")," ",""),8),5,2),--MID(LEFT(SUBSTITUTE(SUBSTITUTE(SUBSTITUTE(SUBSTITUTE(TRIM($AR81),"-",""),".",""),"/","")," ",""),8),7,2)),"")))</f>
        <v/>
      </c>
      <c r="AT81" s="33">
        <f>IF($AS81="","",IF($F$6="",0,IF(ISNUMBER(INDEX($A:$AP,ROW(),$F$6)),INDEX($A:$AP,ROW(),$F$6),IFERROR(--SUBSTITUTE(SUBSTITUTE(TRIM(INDEX($A:$AP,ROW(),$F$6)),",",""),"원",""),0))))</f>
        <v/>
      </c>
      <c r="AU81" s="31">
        <f>IF($AS81="","",IF($AX81&lt;&gt;"",SUBSTITUTE(SUBSTITUTE($AX81,"-","")," ",""),"N:"&amp;$AV81))</f>
        <v/>
      </c>
      <c r="AV81" s="31">
        <f>IF(OR($AS81="",$E$6=""),"",TRIM(INDEX($A:$AP,ROW(),$E$6)&amp;""))</f>
        <v/>
      </c>
      <c r="AW81" s="31">
        <f>IF($AU81="","",IF(MATCH($AU81,$AU$8:$AU$2007,0)=ROW()-7,MAX($AW$7:$AW80)+1,""))</f>
        <v/>
      </c>
      <c r="AX81" s="31">
        <f>IF(OR($AS81="",$D$6=""),"",TRIM(INDEX($A:$AP,ROW(),$D$6)&amp;""))</f>
        <v/>
      </c>
      <c r="AY81" s="31">
        <f>IF($AU81="","",INDEX($AW$8:$AW$2007,MATCH($AU81,$AU$8:$AU$2007,0)))</f>
        <v/>
      </c>
      <c r="AZ81" s="31">
        <f>IF(OR($AS81="",$C$6=""),"",TRIM(INDEX($A:$AP,ROW(),$C$6)&amp;""))</f>
        <v/>
      </c>
      <c r="BA81" s="31">
        <f>IF($AZ81="","",IF(COUNTIF($AZ$8:$AZ81,$AZ81)&gt;1,1,0))</f>
        <v/>
      </c>
    </row>
    <row r="82">
      <c r="AR82" s="31">
        <f>IF(OR($A$5="",$B$6="",ROW()&lt;$A$5),"",IF(INDEX($A:$AP,ROW(),$B$6)="","",INDEX($A:$AP,ROW(),$B$6)))</f>
        <v/>
      </c>
      <c r="AS82" s="32">
        <f>IF($AR82="","",IF(ISNUMBER($AR82),IF($AR82&gt;=10000000,IFERROR(DATE(INT($AR82/10000),MOD(INT($AR82/100),100),MOD($AR82,100)),""),INT($AR82)),IFERROR(DATE(--LEFT(LEFT(SUBSTITUTE(SUBSTITUTE(SUBSTITUTE(SUBSTITUTE(TRIM($AR82),"-",""),".",""),"/","")," ",""),8),4),--MID(LEFT(SUBSTITUTE(SUBSTITUTE(SUBSTITUTE(SUBSTITUTE(TRIM($AR82),"-",""),".",""),"/","")," ",""),8),5,2),--MID(LEFT(SUBSTITUTE(SUBSTITUTE(SUBSTITUTE(SUBSTITUTE(TRIM($AR82),"-",""),".",""),"/","")," ",""),8),7,2)),"")))</f>
        <v/>
      </c>
      <c r="AT82" s="33">
        <f>IF($AS82="","",IF($F$6="",0,IF(ISNUMBER(INDEX($A:$AP,ROW(),$F$6)),INDEX($A:$AP,ROW(),$F$6),IFERROR(--SUBSTITUTE(SUBSTITUTE(TRIM(INDEX($A:$AP,ROW(),$F$6)),",",""),"원",""),0))))</f>
        <v/>
      </c>
      <c r="AU82" s="31">
        <f>IF($AS82="","",IF($AX82&lt;&gt;"",SUBSTITUTE(SUBSTITUTE($AX82,"-","")," ",""),"N:"&amp;$AV82))</f>
        <v/>
      </c>
      <c r="AV82" s="31">
        <f>IF(OR($AS82="",$E$6=""),"",TRIM(INDEX($A:$AP,ROW(),$E$6)&amp;""))</f>
        <v/>
      </c>
      <c r="AW82" s="31">
        <f>IF($AU82="","",IF(MATCH($AU82,$AU$8:$AU$2007,0)=ROW()-7,MAX($AW$7:$AW81)+1,""))</f>
        <v/>
      </c>
      <c r="AX82" s="31">
        <f>IF(OR($AS82="",$D$6=""),"",TRIM(INDEX($A:$AP,ROW(),$D$6)&amp;""))</f>
        <v/>
      </c>
      <c r="AY82" s="31">
        <f>IF($AU82="","",INDEX($AW$8:$AW$2007,MATCH($AU82,$AU$8:$AU$2007,0)))</f>
        <v/>
      </c>
      <c r="AZ82" s="31">
        <f>IF(OR($AS82="",$C$6=""),"",TRIM(INDEX($A:$AP,ROW(),$C$6)&amp;""))</f>
        <v/>
      </c>
      <c r="BA82" s="31">
        <f>IF($AZ82="","",IF(COUNTIF($AZ$8:$AZ82,$AZ82)&gt;1,1,0))</f>
        <v/>
      </c>
    </row>
    <row r="83">
      <c r="AR83" s="31">
        <f>IF(OR($A$5="",$B$6="",ROW()&lt;$A$5),"",IF(INDEX($A:$AP,ROW(),$B$6)="","",INDEX($A:$AP,ROW(),$B$6)))</f>
        <v/>
      </c>
      <c r="AS83" s="32">
        <f>IF($AR83="","",IF(ISNUMBER($AR83),IF($AR83&gt;=10000000,IFERROR(DATE(INT($AR83/10000),MOD(INT($AR83/100),100),MOD($AR83,100)),""),INT($AR83)),IFERROR(DATE(--LEFT(LEFT(SUBSTITUTE(SUBSTITUTE(SUBSTITUTE(SUBSTITUTE(TRIM($AR83),"-",""),".",""),"/","")," ",""),8),4),--MID(LEFT(SUBSTITUTE(SUBSTITUTE(SUBSTITUTE(SUBSTITUTE(TRIM($AR83),"-",""),".",""),"/","")," ",""),8),5,2),--MID(LEFT(SUBSTITUTE(SUBSTITUTE(SUBSTITUTE(SUBSTITUTE(TRIM($AR83),"-",""),".",""),"/","")," ",""),8),7,2)),"")))</f>
        <v/>
      </c>
      <c r="AT83" s="33">
        <f>IF($AS83="","",IF($F$6="",0,IF(ISNUMBER(INDEX($A:$AP,ROW(),$F$6)),INDEX($A:$AP,ROW(),$F$6),IFERROR(--SUBSTITUTE(SUBSTITUTE(TRIM(INDEX($A:$AP,ROW(),$F$6)),",",""),"원",""),0))))</f>
        <v/>
      </c>
      <c r="AU83" s="31">
        <f>IF($AS83="","",IF($AX83&lt;&gt;"",SUBSTITUTE(SUBSTITUTE($AX83,"-","")," ",""),"N:"&amp;$AV83))</f>
        <v/>
      </c>
      <c r="AV83" s="31">
        <f>IF(OR($AS83="",$E$6=""),"",TRIM(INDEX($A:$AP,ROW(),$E$6)&amp;""))</f>
        <v/>
      </c>
      <c r="AW83" s="31">
        <f>IF($AU83="","",IF(MATCH($AU83,$AU$8:$AU$2007,0)=ROW()-7,MAX($AW$7:$AW82)+1,""))</f>
        <v/>
      </c>
      <c r="AX83" s="31">
        <f>IF(OR($AS83="",$D$6=""),"",TRIM(INDEX($A:$AP,ROW(),$D$6)&amp;""))</f>
        <v/>
      </c>
      <c r="AY83" s="31">
        <f>IF($AU83="","",INDEX($AW$8:$AW$2007,MATCH($AU83,$AU$8:$AU$2007,0)))</f>
        <v/>
      </c>
      <c r="AZ83" s="31">
        <f>IF(OR($AS83="",$C$6=""),"",TRIM(INDEX($A:$AP,ROW(),$C$6)&amp;""))</f>
        <v/>
      </c>
      <c r="BA83" s="31">
        <f>IF($AZ83="","",IF(COUNTIF($AZ$8:$AZ83,$AZ83)&gt;1,1,0))</f>
        <v/>
      </c>
    </row>
    <row r="84">
      <c r="AR84" s="31">
        <f>IF(OR($A$5="",$B$6="",ROW()&lt;$A$5),"",IF(INDEX($A:$AP,ROW(),$B$6)="","",INDEX($A:$AP,ROW(),$B$6)))</f>
        <v/>
      </c>
      <c r="AS84" s="32">
        <f>IF($AR84="","",IF(ISNUMBER($AR84),IF($AR84&gt;=10000000,IFERROR(DATE(INT($AR84/10000),MOD(INT($AR84/100),100),MOD($AR84,100)),""),INT($AR84)),IFERROR(DATE(--LEFT(LEFT(SUBSTITUTE(SUBSTITUTE(SUBSTITUTE(SUBSTITUTE(TRIM($AR84),"-",""),".",""),"/","")," ",""),8),4),--MID(LEFT(SUBSTITUTE(SUBSTITUTE(SUBSTITUTE(SUBSTITUTE(TRIM($AR84),"-",""),".",""),"/","")," ",""),8),5,2),--MID(LEFT(SUBSTITUTE(SUBSTITUTE(SUBSTITUTE(SUBSTITUTE(TRIM($AR84),"-",""),".",""),"/","")," ",""),8),7,2)),"")))</f>
        <v/>
      </c>
      <c r="AT84" s="33">
        <f>IF($AS84="","",IF($F$6="",0,IF(ISNUMBER(INDEX($A:$AP,ROW(),$F$6)),INDEX($A:$AP,ROW(),$F$6),IFERROR(--SUBSTITUTE(SUBSTITUTE(TRIM(INDEX($A:$AP,ROW(),$F$6)),",",""),"원",""),0))))</f>
        <v/>
      </c>
      <c r="AU84" s="31">
        <f>IF($AS84="","",IF($AX84&lt;&gt;"",SUBSTITUTE(SUBSTITUTE($AX84,"-","")," ",""),"N:"&amp;$AV84))</f>
        <v/>
      </c>
      <c r="AV84" s="31">
        <f>IF(OR($AS84="",$E$6=""),"",TRIM(INDEX($A:$AP,ROW(),$E$6)&amp;""))</f>
        <v/>
      </c>
      <c r="AW84" s="31">
        <f>IF($AU84="","",IF(MATCH($AU84,$AU$8:$AU$2007,0)=ROW()-7,MAX($AW$7:$AW83)+1,""))</f>
        <v/>
      </c>
      <c r="AX84" s="31">
        <f>IF(OR($AS84="",$D$6=""),"",TRIM(INDEX($A:$AP,ROW(),$D$6)&amp;""))</f>
        <v/>
      </c>
      <c r="AY84" s="31">
        <f>IF($AU84="","",INDEX($AW$8:$AW$2007,MATCH($AU84,$AU$8:$AU$2007,0)))</f>
        <v/>
      </c>
      <c r="AZ84" s="31">
        <f>IF(OR($AS84="",$C$6=""),"",TRIM(INDEX($A:$AP,ROW(),$C$6)&amp;""))</f>
        <v/>
      </c>
      <c r="BA84" s="31">
        <f>IF($AZ84="","",IF(COUNTIF($AZ$8:$AZ84,$AZ84)&gt;1,1,0))</f>
        <v/>
      </c>
    </row>
    <row r="85">
      <c r="AR85" s="31">
        <f>IF(OR($A$5="",$B$6="",ROW()&lt;$A$5),"",IF(INDEX($A:$AP,ROW(),$B$6)="","",INDEX($A:$AP,ROW(),$B$6)))</f>
        <v/>
      </c>
      <c r="AS85" s="32">
        <f>IF($AR85="","",IF(ISNUMBER($AR85),IF($AR85&gt;=10000000,IFERROR(DATE(INT($AR85/10000),MOD(INT($AR85/100),100),MOD($AR85,100)),""),INT($AR85)),IFERROR(DATE(--LEFT(LEFT(SUBSTITUTE(SUBSTITUTE(SUBSTITUTE(SUBSTITUTE(TRIM($AR85),"-",""),".",""),"/","")," ",""),8),4),--MID(LEFT(SUBSTITUTE(SUBSTITUTE(SUBSTITUTE(SUBSTITUTE(TRIM($AR85),"-",""),".",""),"/","")," ",""),8),5,2),--MID(LEFT(SUBSTITUTE(SUBSTITUTE(SUBSTITUTE(SUBSTITUTE(TRIM($AR85),"-",""),".",""),"/","")," ",""),8),7,2)),"")))</f>
        <v/>
      </c>
      <c r="AT85" s="33">
        <f>IF($AS85="","",IF($F$6="",0,IF(ISNUMBER(INDEX($A:$AP,ROW(),$F$6)),INDEX($A:$AP,ROW(),$F$6),IFERROR(--SUBSTITUTE(SUBSTITUTE(TRIM(INDEX($A:$AP,ROW(),$F$6)),",",""),"원",""),0))))</f>
        <v/>
      </c>
      <c r="AU85" s="31">
        <f>IF($AS85="","",IF($AX85&lt;&gt;"",SUBSTITUTE(SUBSTITUTE($AX85,"-","")," ",""),"N:"&amp;$AV85))</f>
        <v/>
      </c>
      <c r="AV85" s="31">
        <f>IF(OR($AS85="",$E$6=""),"",TRIM(INDEX($A:$AP,ROW(),$E$6)&amp;""))</f>
        <v/>
      </c>
      <c r="AW85" s="31">
        <f>IF($AU85="","",IF(MATCH($AU85,$AU$8:$AU$2007,0)=ROW()-7,MAX($AW$7:$AW84)+1,""))</f>
        <v/>
      </c>
      <c r="AX85" s="31">
        <f>IF(OR($AS85="",$D$6=""),"",TRIM(INDEX($A:$AP,ROW(),$D$6)&amp;""))</f>
        <v/>
      </c>
      <c r="AY85" s="31">
        <f>IF($AU85="","",INDEX($AW$8:$AW$2007,MATCH($AU85,$AU$8:$AU$2007,0)))</f>
        <v/>
      </c>
      <c r="AZ85" s="31">
        <f>IF(OR($AS85="",$C$6=""),"",TRIM(INDEX($A:$AP,ROW(),$C$6)&amp;""))</f>
        <v/>
      </c>
      <c r="BA85" s="31">
        <f>IF($AZ85="","",IF(COUNTIF($AZ$8:$AZ85,$AZ85)&gt;1,1,0))</f>
        <v/>
      </c>
    </row>
    <row r="86">
      <c r="AR86" s="31">
        <f>IF(OR($A$5="",$B$6="",ROW()&lt;$A$5),"",IF(INDEX($A:$AP,ROW(),$B$6)="","",INDEX($A:$AP,ROW(),$B$6)))</f>
        <v/>
      </c>
      <c r="AS86" s="32">
        <f>IF($AR86="","",IF(ISNUMBER($AR86),IF($AR86&gt;=10000000,IFERROR(DATE(INT($AR86/10000),MOD(INT($AR86/100),100),MOD($AR86,100)),""),INT($AR86)),IFERROR(DATE(--LEFT(LEFT(SUBSTITUTE(SUBSTITUTE(SUBSTITUTE(SUBSTITUTE(TRIM($AR86),"-",""),".",""),"/","")," ",""),8),4),--MID(LEFT(SUBSTITUTE(SUBSTITUTE(SUBSTITUTE(SUBSTITUTE(TRIM($AR86),"-",""),".",""),"/","")," ",""),8),5,2),--MID(LEFT(SUBSTITUTE(SUBSTITUTE(SUBSTITUTE(SUBSTITUTE(TRIM($AR86),"-",""),".",""),"/","")," ",""),8),7,2)),"")))</f>
        <v/>
      </c>
      <c r="AT86" s="33">
        <f>IF($AS86="","",IF($F$6="",0,IF(ISNUMBER(INDEX($A:$AP,ROW(),$F$6)),INDEX($A:$AP,ROW(),$F$6),IFERROR(--SUBSTITUTE(SUBSTITUTE(TRIM(INDEX($A:$AP,ROW(),$F$6)),",",""),"원",""),0))))</f>
        <v/>
      </c>
      <c r="AU86" s="31">
        <f>IF($AS86="","",IF($AX86&lt;&gt;"",SUBSTITUTE(SUBSTITUTE($AX86,"-","")," ",""),"N:"&amp;$AV86))</f>
        <v/>
      </c>
      <c r="AV86" s="31">
        <f>IF(OR($AS86="",$E$6=""),"",TRIM(INDEX($A:$AP,ROW(),$E$6)&amp;""))</f>
        <v/>
      </c>
      <c r="AW86" s="31">
        <f>IF($AU86="","",IF(MATCH($AU86,$AU$8:$AU$2007,0)=ROW()-7,MAX($AW$7:$AW85)+1,""))</f>
        <v/>
      </c>
      <c r="AX86" s="31">
        <f>IF(OR($AS86="",$D$6=""),"",TRIM(INDEX($A:$AP,ROW(),$D$6)&amp;""))</f>
        <v/>
      </c>
      <c r="AY86" s="31">
        <f>IF($AU86="","",INDEX($AW$8:$AW$2007,MATCH($AU86,$AU$8:$AU$2007,0)))</f>
        <v/>
      </c>
      <c r="AZ86" s="31">
        <f>IF(OR($AS86="",$C$6=""),"",TRIM(INDEX($A:$AP,ROW(),$C$6)&amp;""))</f>
        <v/>
      </c>
      <c r="BA86" s="31">
        <f>IF($AZ86="","",IF(COUNTIF($AZ$8:$AZ86,$AZ86)&gt;1,1,0))</f>
        <v/>
      </c>
    </row>
    <row r="87">
      <c r="AR87" s="31">
        <f>IF(OR($A$5="",$B$6="",ROW()&lt;$A$5),"",IF(INDEX($A:$AP,ROW(),$B$6)="","",INDEX($A:$AP,ROW(),$B$6)))</f>
        <v/>
      </c>
      <c r="AS87" s="32">
        <f>IF($AR87="","",IF(ISNUMBER($AR87),IF($AR87&gt;=10000000,IFERROR(DATE(INT($AR87/10000),MOD(INT($AR87/100),100),MOD($AR87,100)),""),INT($AR87)),IFERROR(DATE(--LEFT(LEFT(SUBSTITUTE(SUBSTITUTE(SUBSTITUTE(SUBSTITUTE(TRIM($AR87),"-",""),".",""),"/","")," ",""),8),4),--MID(LEFT(SUBSTITUTE(SUBSTITUTE(SUBSTITUTE(SUBSTITUTE(TRIM($AR87),"-",""),".",""),"/","")," ",""),8),5,2),--MID(LEFT(SUBSTITUTE(SUBSTITUTE(SUBSTITUTE(SUBSTITUTE(TRIM($AR87),"-",""),".",""),"/","")," ",""),8),7,2)),"")))</f>
        <v/>
      </c>
      <c r="AT87" s="33">
        <f>IF($AS87="","",IF($F$6="",0,IF(ISNUMBER(INDEX($A:$AP,ROW(),$F$6)),INDEX($A:$AP,ROW(),$F$6),IFERROR(--SUBSTITUTE(SUBSTITUTE(TRIM(INDEX($A:$AP,ROW(),$F$6)),",",""),"원",""),0))))</f>
        <v/>
      </c>
      <c r="AU87" s="31">
        <f>IF($AS87="","",IF($AX87&lt;&gt;"",SUBSTITUTE(SUBSTITUTE($AX87,"-","")," ",""),"N:"&amp;$AV87))</f>
        <v/>
      </c>
      <c r="AV87" s="31">
        <f>IF(OR($AS87="",$E$6=""),"",TRIM(INDEX($A:$AP,ROW(),$E$6)&amp;""))</f>
        <v/>
      </c>
      <c r="AW87" s="31">
        <f>IF($AU87="","",IF(MATCH($AU87,$AU$8:$AU$2007,0)=ROW()-7,MAX($AW$7:$AW86)+1,""))</f>
        <v/>
      </c>
      <c r="AX87" s="31">
        <f>IF(OR($AS87="",$D$6=""),"",TRIM(INDEX($A:$AP,ROW(),$D$6)&amp;""))</f>
        <v/>
      </c>
      <c r="AY87" s="31">
        <f>IF($AU87="","",INDEX($AW$8:$AW$2007,MATCH($AU87,$AU$8:$AU$2007,0)))</f>
        <v/>
      </c>
      <c r="AZ87" s="31">
        <f>IF(OR($AS87="",$C$6=""),"",TRIM(INDEX($A:$AP,ROW(),$C$6)&amp;""))</f>
        <v/>
      </c>
      <c r="BA87" s="31">
        <f>IF($AZ87="","",IF(COUNTIF($AZ$8:$AZ87,$AZ87)&gt;1,1,0))</f>
        <v/>
      </c>
    </row>
    <row r="88">
      <c r="AR88" s="31">
        <f>IF(OR($A$5="",$B$6="",ROW()&lt;$A$5),"",IF(INDEX($A:$AP,ROW(),$B$6)="","",INDEX($A:$AP,ROW(),$B$6)))</f>
        <v/>
      </c>
      <c r="AS88" s="32">
        <f>IF($AR88="","",IF(ISNUMBER($AR88),IF($AR88&gt;=10000000,IFERROR(DATE(INT($AR88/10000),MOD(INT($AR88/100),100),MOD($AR88,100)),""),INT($AR88)),IFERROR(DATE(--LEFT(LEFT(SUBSTITUTE(SUBSTITUTE(SUBSTITUTE(SUBSTITUTE(TRIM($AR88),"-",""),".",""),"/","")," ",""),8),4),--MID(LEFT(SUBSTITUTE(SUBSTITUTE(SUBSTITUTE(SUBSTITUTE(TRIM($AR88),"-",""),".",""),"/","")," ",""),8),5,2),--MID(LEFT(SUBSTITUTE(SUBSTITUTE(SUBSTITUTE(SUBSTITUTE(TRIM($AR88),"-",""),".",""),"/","")," ",""),8),7,2)),"")))</f>
        <v/>
      </c>
      <c r="AT88" s="33">
        <f>IF($AS88="","",IF($F$6="",0,IF(ISNUMBER(INDEX($A:$AP,ROW(),$F$6)),INDEX($A:$AP,ROW(),$F$6),IFERROR(--SUBSTITUTE(SUBSTITUTE(TRIM(INDEX($A:$AP,ROW(),$F$6)),",",""),"원",""),0))))</f>
        <v/>
      </c>
      <c r="AU88" s="31">
        <f>IF($AS88="","",IF($AX88&lt;&gt;"",SUBSTITUTE(SUBSTITUTE($AX88,"-","")," ",""),"N:"&amp;$AV88))</f>
        <v/>
      </c>
      <c r="AV88" s="31">
        <f>IF(OR($AS88="",$E$6=""),"",TRIM(INDEX($A:$AP,ROW(),$E$6)&amp;""))</f>
        <v/>
      </c>
      <c r="AW88" s="31">
        <f>IF($AU88="","",IF(MATCH($AU88,$AU$8:$AU$2007,0)=ROW()-7,MAX($AW$7:$AW87)+1,""))</f>
        <v/>
      </c>
      <c r="AX88" s="31">
        <f>IF(OR($AS88="",$D$6=""),"",TRIM(INDEX($A:$AP,ROW(),$D$6)&amp;""))</f>
        <v/>
      </c>
      <c r="AY88" s="31">
        <f>IF($AU88="","",INDEX($AW$8:$AW$2007,MATCH($AU88,$AU$8:$AU$2007,0)))</f>
        <v/>
      </c>
      <c r="AZ88" s="31">
        <f>IF(OR($AS88="",$C$6=""),"",TRIM(INDEX($A:$AP,ROW(),$C$6)&amp;""))</f>
        <v/>
      </c>
      <c r="BA88" s="31">
        <f>IF($AZ88="","",IF(COUNTIF($AZ$8:$AZ88,$AZ88)&gt;1,1,0))</f>
        <v/>
      </c>
    </row>
    <row r="89">
      <c r="AR89" s="31">
        <f>IF(OR($A$5="",$B$6="",ROW()&lt;$A$5),"",IF(INDEX($A:$AP,ROW(),$B$6)="","",INDEX($A:$AP,ROW(),$B$6)))</f>
        <v/>
      </c>
      <c r="AS89" s="32">
        <f>IF($AR89="","",IF(ISNUMBER($AR89),IF($AR89&gt;=10000000,IFERROR(DATE(INT($AR89/10000),MOD(INT($AR89/100),100),MOD($AR89,100)),""),INT($AR89)),IFERROR(DATE(--LEFT(LEFT(SUBSTITUTE(SUBSTITUTE(SUBSTITUTE(SUBSTITUTE(TRIM($AR89),"-",""),".",""),"/","")," ",""),8),4),--MID(LEFT(SUBSTITUTE(SUBSTITUTE(SUBSTITUTE(SUBSTITUTE(TRIM($AR89),"-",""),".",""),"/","")," ",""),8),5,2),--MID(LEFT(SUBSTITUTE(SUBSTITUTE(SUBSTITUTE(SUBSTITUTE(TRIM($AR89),"-",""),".",""),"/","")," ",""),8),7,2)),"")))</f>
        <v/>
      </c>
      <c r="AT89" s="33">
        <f>IF($AS89="","",IF($F$6="",0,IF(ISNUMBER(INDEX($A:$AP,ROW(),$F$6)),INDEX($A:$AP,ROW(),$F$6),IFERROR(--SUBSTITUTE(SUBSTITUTE(TRIM(INDEX($A:$AP,ROW(),$F$6)),",",""),"원",""),0))))</f>
        <v/>
      </c>
      <c r="AU89" s="31">
        <f>IF($AS89="","",IF($AX89&lt;&gt;"",SUBSTITUTE(SUBSTITUTE($AX89,"-","")," ",""),"N:"&amp;$AV89))</f>
        <v/>
      </c>
      <c r="AV89" s="31">
        <f>IF(OR($AS89="",$E$6=""),"",TRIM(INDEX($A:$AP,ROW(),$E$6)&amp;""))</f>
        <v/>
      </c>
      <c r="AW89" s="31">
        <f>IF($AU89="","",IF(MATCH($AU89,$AU$8:$AU$2007,0)=ROW()-7,MAX($AW$7:$AW88)+1,""))</f>
        <v/>
      </c>
      <c r="AX89" s="31">
        <f>IF(OR($AS89="",$D$6=""),"",TRIM(INDEX($A:$AP,ROW(),$D$6)&amp;""))</f>
        <v/>
      </c>
      <c r="AY89" s="31">
        <f>IF($AU89="","",INDEX($AW$8:$AW$2007,MATCH($AU89,$AU$8:$AU$2007,0)))</f>
        <v/>
      </c>
      <c r="AZ89" s="31">
        <f>IF(OR($AS89="",$C$6=""),"",TRIM(INDEX($A:$AP,ROW(),$C$6)&amp;""))</f>
        <v/>
      </c>
      <c r="BA89" s="31">
        <f>IF($AZ89="","",IF(COUNTIF($AZ$8:$AZ89,$AZ89)&gt;1,1,0))</f>
        <v/>
      </c>
    </row>
    <row r="90">
      <c r="AR90" s="31">
        <f>IF(OR($A$5="",$B$6="",ROW()&lt;$A$5),"",IF(INDEX($A:$AP,ROW(),$B$6)="","",INDEX($A:$AP,ROW(),$B$6)))</f>
        <v/>
      </c>
      <c r="AS90" s="32">
        <f>IF($AR90="","",IF(ISNUMBER($AR90),IF($AR90&gt;=10000000,IFERROR(DATE(INT($AR90/10000),MOD(INT($AR90/100),100),MOD($AR90,100)),""),INT($AR90)),IFERROR(DATE(--LEFT(LEFT(SUBSTITUTE(SUBSTITUTE(SUBSTITUTE(SUBSTITUTE(TRIM($AR90),"-",""),".",""),"/","")," ",""),8),4),--MID(LEFT(SUBSTITUTE(SUBSTITUTE(SUBSTITUTE(SUBSTITUTE(TRIM($AR90),"-",""),".",""),"/","")," ",""),8),5,2),--MID(LEFT(SUBSTITUTE(SUBSTITUTE(SUBSTITUTE(SUBSTITUTE(TRIM($AR90),"-",""),".",""),"/","")," ",""),8),7,2)),"")))</f>
        <v/>
      </c>
      <c r="AT90" s="33">
        <f>IF($AS90="","",IF($F$6="",0,IF(ISNUMBER(INDEX($A:$AP,ROW(),$F$6)),INDEX($A:$AP,ROW(),$F$6),IFERROR(--SUBSTITUTE(SUBSTITUTE(TRIM(INDEX($A:$AP,ROW(),$F$6)),",",""),"원",""),0))))</f>
        <v/>
      </c>
      <c r="AU90" s="31">
        <f>IF($AS90="","",IF($AX90&lt;&gt;"",SUBSTITUTE(SUBSTITUTE($AX90,"-","")," ",""),"N:"&amp;$AV90))</f>
        <v/>
      </c>
      <c r="AV90" s="31">
        <f>IF(OR($AS90="",$E$6=""),"",TRIM(INDEX($A:$AP,ROW(),$E$6)&amp;""))</f>
        <v/>
      </c>
      <c r="AW90" s="31">
        <f>IF($AU90="","",IF(MATCH($AU90,$AU$8:$AU$2007,0)=ROW()-7,MAX($AW$7:$AW89)+1,""))</f>
        <v/>
      </c>
      <c r="AX90" s="31">
        <f>IF(OR($AS90="",$D$6=""),"",TRIM(INDEX($A:$AP,ROW(),$D$6)&amp;""))</f>
        <v/>
      </c>
      <c r="AY90" s="31">
        <f>IF($AU90="","",INDEX($AW$8:$AW$2007,MATCH($AU90,$AU$8:$AU$2007,0)))</f>
        <v/>
      </c>
      <c r="AZ90" s="31">
        <f>IF(OR($AS90="",$C$6=""),"",TRIM(INDEX($A:$AP,ROW(),$C$6)&amp;""))</f>
        <v/>
      </c>
      <c r="BA90" s="31">
        <f>IF($AZ90="","",IF(COUNTIF($AZ$8:$AZ90,$AZ90)&gt;1,1,0))</f>
        <v/>
      </c>
    </row>
    <row r="91">
      <c r="AR91" s="31">
        <f>IF(OR($A$5="",$B$6="",ROW()&lt;$A$5),"",IF(INDEX($A:$AP,ROW(),$B$6)="","",INDEX($A:$AP,ROW(),$B$6)))</f>
        <v/>
      </c>
      <c r="AS91" s="32">
        <f>IF($AR91="","",IF(ISNUMBER($AR91),IF($AR91&gt;=10000000,IFERROR(DATE(INT($AR91/10000),MOD(INT($AR91/100),100),MOD($AR91,100)),""),INT($AR91)),IFERROR(DATE(--LEFT(LEFT(SUBSTITUTE(SUBSTITUTE(SUBSTITUTE(SUBSTITUTE(TRIM($AR91),"-",""),".",""),"/","")," ",""),8),4),--MID(LEFT(SUBSTITUTE(SUBSTITUTE(SUBSTITUTE(SUBSTITUTE(TRIM($AR91),"-",""),".",""),"/","")," ",""),8),5,2),--MID(LEFT(SUBSTITUTE(SUBSTITUTE(SUBSTITUTE(SUBSTITUTE(TRIM($AR91),"-",""),".",""),"/","")," ",""),8),7,2)),"")))</f>
        <v/>
      </c>
      <c r="AT91" s="33">
        <f>IF($AS91="","",IF($F$6="",0,IF(ISNUMBER(INDEX($A:$AP,ROW(),$F$6)),INDEX($A:$AP,ROW(),$F$6),IFERROR(--SUBSTITUTE(SUBSTITUTE(TRIM(INDEX($A:$AP,ROW(),$F$6)),",",""),"원",""),0))))</f>
        <v/>
      </c>
      <c r="AU91" s="31">
        <f>IF($AS91="","",IF($AX91&lt;&gt;"",SUBSTITUTE(SUBSTITUTE($AX91,"-","")," ",""),"N:"&amp;$AV91))</f>
        <v/>
      </c>
      <c r="AV91" s="31">
        <f>IF(OR($AS91="",$E$6=""),"",TRIM(INDEX($A:$AP,ROW(),$E$6)&amp;""))</f>
        <v/>
      </c>
      <c r="AW91" s="31">
        <f>IF($AU91="","",IF(MATCH($AU91,$AU$8:$AU$2007,0)=ROW()-7,MAX($AW$7:$AW90)+1,""))</f>
        <v/>
      </c>
      <c r="AX91" s="31">
        <f>IF(OR($AS91="",$D$6=""),"",TRIM(INDEX($A:$AP,ROW(),$D$6)&amp;""))</f>
        <v/>
      </c>
      <c r="AY91" s="31">
        <f>IF($AU91="","",INDEX($AW$8:$AW$2007,MATCH($AU91,$AU$8:$AU$2007,0)))</f>
        <v/>
      </c>
      <c r="AZ91" s="31">
        <f>IF(OR($AS91="",$C$6=""),"",TRIM(INDEX($A:$AP,ROW(),$C$6)&amp;""))</f>
        <v/>
      </c>
      <c r="BA91" s="31">
        <f>IF($AZ91="","",IF(COUNTIF($AZ$8:$AZ91,$AZ91)&gt;1,1,0))</f>
        <v/>
      </c>
    </row>
    <row r="92">
      <c r="AR92" s="31">
        <f>IF(OR($A$5="",$B$6="",ROW()&lt;$A$5),"",IF(INDEX($A:$AP,ROW(),$B$6)="","",INDEX($A:$AP,ROW(),$B$6)))</f>
        <v/>
      </c>
      <c r="AS92" s="32">
        <f>IF($AR92="","",IF(ISNUMBER($AR92),IF($AR92&gt;=10000000,IFERROR(DATE(INT($AR92/10000),MOD(INT($AR92/100),100),MOD($AR92,100)),""),INT($AR92)),IFERROR(DATE(--LEFT(LEFT(SUBSTITUTE(SUBSTITUTE(SUBSTITUTE(SUBSTITUTE(TRIM($AR92),"-",""),".",""),"/","")," ",""),8),4),--MID(LEFT(SUBSTITUTE(SUBSTITUTE(SUBSTITUTE(SUBSTITUTE(TRIM($AR92),"-",""),".",""),"/","")," ",""),8),5,2),--MID(LEFT(SUBSTITUTE(SUBSTITUTE(SUBSTITUTE(SUBSTITUTE(TRIM($AR92),"-",""),".",""),"/","")," ",""),8),7,2)),"")))</f>
        <v/>
      </c>
      <c r="AT92" s="33">
        <f>IF($AS92="","",IF($F$6="",0,IF(ISNUMBER(INDEX($A:$AP,ROW(),$F$6)),INDEX($A:$AP,ROW(),$F$6),IFERROR(--SUBSTITUTE(SUBSTITUTE(TRIM(INDEX($A:$AP,ROW(),$F$6)),",",""),"원",""),0))))</f>
        <v/>
      </c>
      <c r="AU92" s="31">
        <f>IF($AS92="","",IF($AX92&lt;&gt;"",SUBSTITUTE(SUBSTITUTE($AX92,"-","")," ",""),"N:"&amp;$AV92))</f>
        <v/>
      </c>
      <c r="AV92" s="31">
        <f>IF(OR($AS92="",$E$6=""),"",TRIM(INDEX($A:$AP,ROW(),$E$6)&amp;""))</f>
        <v/>
      </c>
      <c r="AW92" s="31">
        <f>IF($AU92="","",IF(MATCH($AU92,$AU$8:$AU$2007,0)=ROW()-7,MAX($AW$7:$AW91)+1,""))</f>
        <v/>
      </c>
      <c r="AX92" s="31">
        <f>IF(OR($AS92="",$D$6=""),"",TRIM(INDEX($A:$AP,ROW(),$D$6)&amp;""))</f>
        <v/>
      </c>
      <c r="AY92" s="31">
        <f>IF($AU92="","",INDEX($AW$8:$AW$2007,MATCH($AU92,$AU$8:$AU$2007,0)))</f>
        <v/>
      </c>
      <c r="AZ92" s="31">
        <f>IF(OR($AS92="",$C$6=""),"",TRIM(INDEX($A:$AP,ROW(),$C$6)&amp;""))</f>
        <v/>
      </c>
      <c r="BA92" s="31">
        <f>IF($AZ92="","",IF(COUNTIF($AZ$8:$AZ92,$AZ92)&gt;1,1,0))</f>
        <v/>
      </c>
    </row>
    <row r="93">
      <c r="AR93" s="31">
        <f>IF(OR($A$5="",$B$6="",ROW()&lt;$A$5),"",IF(INDEX($A:$AP,ROW(),$B$6)="","",INDEX($A:$AP,ROW(),$B$6)))</f>
        <v/>
      </c>
      <c r="AS93" s="32">
        <f>IF($AR93="","",IF(ISNUMBER($AR93),IF($AR93&gt;=10000000,IFERROR(DATE(INT($AR93/10000),MOD(INT($AR93/100),100),MOD($AR93,100)),""),INT($AR93)),IFERROR(DATE(--LEFT(LEFT(SUBSTITUTE(SUBSTITUTE(SUBSTITUTE(SUBSTITUTE(TRIM($AR93),"-",""),".",""),"/","")," ",""),8),4),--MID(LEFT(SUBSTITUTE(SUBSTITUTE(SUBSTITUTE(SUBSTITUTE(TRIM($AR93),"-",""),".",""),"/","")," ",""),8),5,2),--MID(LEFT(SUBSTITUTE(SUBSTITUTE(SUBSTITUTE(SUBSTITUTE(TRIM($AR93),"-",""),".",""),"/","")," ",""),8),7,2)),"")))</f>
        <v/>
      </c>
      <c r="AT93" s="33">
        <f>IF($AS93="","",IF($F$6="",0,IF(ISNUMBER(INDEX($A:$AP,ROW(),$F$6)),INDEX($A:$AP,ROW(),$F$6),IFERROR(--SUBSTITUTE(SUBSTITUTE(TRIM(INDEX($A:$AP,ROW(),$F$6)),",",""),"원",""),0))))</f>
        <v/>
      </c>
      <c r="AU93" s="31">
        <f>IF($AS93="","",IF($AX93&lt;&gt;"",SUBSTITUTE(SUBSTITUTE($AX93,"-","")," ",""),"N:"&amp;$AV93))</f>
        <v/>
      </c>
      <c r="AV93" s="31">
        <f>IF(OR($AS93="",$E$6=""),"",TRIM(INDEX($A:$AP,ROW(),$E$6)&amp;""))</f>
        <v/>
      </c>
      <c r="AW93" s="31">
        <f>IF($AU93="","",IF(MATCH($AU93,$AU$8:$AU$2007,0)=ROW()-7,MAX($AW$7:$AW92)+1,""))</f>
        <v/>
      </c>
      <c r="AX93" s="31">
        <f>IF(OR($AS93="",$D$6=""),"",TRIM(INDEX($A:$AP,ROW(),$D$6)&amp;""))</f>
        <v/>
      </c>
      <c r="AY93" s="31">
        <f>IF($AU93="","",INDEX($AW$8:$AW$2007,MATCH($AU93,$AU$8:$AU$2007,0)))</f>
        <v/>
      </c>
      <c r="AZ93" s="31">
        <f>IF(OR($AS93="",$C$6=""),"",TRIM(INDEX($A:$AP,ROW(),$C$6)&amp;""))</f>
        <v/>
      </c>
      <c r="BA93" s="31">
        <f>IF($AZ93="","",IF(COUNTIF($AZ$8:$AZ93,$AZ93)&gt;1,1,0))</f>
        <v/>
      </c>
    </row>
    <row r="94">
      <c r="AR94" s="31">
        <f>IF(OR($A$5="",$B$6="",ROW()&lt;$A$5),"",IF(INDEX($A:$AP,ROW(),$B$6)="","",INDEX($A:$AP,ROW(),$B$6)))</f>
        <v/>
      </c>
      <c r="AS94" s="32">
        <f>IF($AR94="","",IF(ISNUMBER($AR94),IF($AR94&gt;=10000000,IFERROR(DATE(INT($AR94/10000),MOD(INT($AR94/100),100),MOD($AR94,100)),""),INT($AR94)),IFERROR(DATE(--LEFT(LEFT(SUBSTITUTE(SUBSTITUTE(SUBSTITUTE(SUBSTITUTE(TRIM($AR94),"-",""),".",""),"/","")," ",""),8),4),--MID(LEFT(SUBSTITUTE(SUBSTITUTE(SUBSTITUTE(SUBSTITUTE(TRIM($AR94),"-",""),".",""),"/","")," ",""),8),5,2),--MID(LEFT(SUBSTITUTE(SUBSTITUTE(SUBSTITUTE(SUBSTITUTE(TRIM($AR94),"-",""),".",""),"/","")," ",""),8),7,2)),"")))</f>
        <v/>
      </c>
      <c r="AT94" s="33">
        <f>IF($AS94="","",IF($F$6="",0,IF(ISNUMBER(INDEX($A:$AP,ROW(),$F$6)),INDEX($A:$AP,ROW(),$F$6),IFERROR(--SUBSTITUTE(SUBSTITUTE(TRIM(INDEX($A:$AP,ROW(),$F$6)),",",""),"원",""),0))))</f>
        <v/>
      </c>
      <c r="AU94" s="31">
        <f>IF($AS94="","",IF($AX94&lt;&gt;"",SUBSTITUTE(SUBSTITUTE($AX94,"-","")," ",""),"N:"&amp;$AV94))</f>
        <v/>
      </c>
      <c r="AV94" s="31">
        <f>IF(OR($AS94="",$E$6=""),"",TRIM(INDEX($A:$AP,ROW(),$E$6)&amp;""))</f>
        <v/>
      </c>
      <c r="AW94" s="31">
        <f>IF($AU94="","",IF(MATCH($AU94,$AU$8:$AU$2007,0)=ROW()-7,MAX($AW$7:$AW93)+1,""))</f>
        <v/>
      </c>
      <c r="AX94" s="31">
        <f>IF(OR($AS94="",$D$6=""),"",TRIM(INDEX($A:$AP,ROW(),$D$6)&amp;""))</f>
        <v/>
      </c>
      <c r="AY94" s="31">
        <f>IF($AU94="","",INDEX($AW$8:$AW$2007,MATCH($AU94,$AU$8:$AU$2007,0)))</f>
        <v/>
      </c>
      <c r="AZ94" s="31">
        <f>IF(OR($AS94="",$C$6=""),"",TRIM(INDEX($A:$AP,ROW(),$C$6)&amp;""))</f>
        <v/>
      </c>
      <c r="BA94" s="31">
        <f>IF($AZ94="","",IF(COUNTIF($AZ$8:$AZ94,$AZ94)&gt;1,1,0))</f>
        <v/>
      </c>
    </row>
    <row r="95">
      <c r="AR95" s="31">
        <f>IF(OR($A$5="",$B$6="",ROW()&lt;$A$5),"",IF(INDEX($A:$AP,ROW(),$B$6)="","",INDEX($A:$AP,ROW(),$B$6)))</f>
        <v/>
      </c>
      <c r="AS95" s="32">
        <f>IF($AR95="","",IF(ISNUMBER($AR95),IF($AR95&gt;=10000000,IFERROR(DATE(INT($AR95/10000),MOD(INT($AR95/100),100),MOD($AR95,100)),""),INT($AR95)),IFERROR(DATE(--LEFT(LEFT(SUBSTITUTE(SUBSTITUTE(SUBSTITUTE(SUBSTITUTE(TRIM($AR95),"-",""),".",""),"/","")," ",""),8),4),--MID(LEFT(SUBSTITUTE(SUBSTITUTE(SUBSTITUTE(SUBSTITUTE(TRIM($AR95),"-",""),".",""),"/","")," ",""),8),5,2),--MID(LEFT(SUBSTITUTE(SUBSTITUTE(SUBSTITUTE(SUBSTITUTE(TRIM($AR95),"-",""),".",""),"/","")," ",""),8),7,2)),"")))</f>
        <v/>
      </c>
      <c r="AT95" s="33">
        <f>IF($AS95="","",IF($F$6="",0,IF(ISNUMBER(INDEX($A:$AP,ROW(),$F$6)),INDEX($A:$AP,ROW(),$F$6),IFERROR(--SUBSTITUTE(SUBSTITUTE(TRIM(INDEX($A:$AP,ROW(),$F$6)),",",""),"원",""),0))))</f>
        <v/>
      </c>
      <c r="AU95" s="31">
        <f>IF($AS95="","",IF($AX95&lt;&gt;"",SUBSTITUTE(SUBSTITUTE($AX95,"-","")," ",""),"N:"&amp;$AV95))</f>
        <v/>
      </c>
      <c r="AV95" s="31">
        <f>IF(OR($AS95="",$E$6=""),"",TRIM(INDEX($A:$AP,ROW(),$E$6)&amp;""))</f>
        <v/>
      </c>
      <c r="AW95" s="31">
        <f>IF($AU95="","",IF(MATCH($AU95,$AU$8:$AU$2007,0)=ROW()-7,MAX($AW$7:$AW94)+1,""))</f>
        <v/>
      </c>
      <c r="AX95" s="31">
        <f>IF(OR($AS95="",$D$6=""),"",TRIM(INDEX($A:$AP,ROW(),$D$6)&amp;""))</f>
        <v/>
      </c>
      <c r="AY95" s="31">
        <f>IF($AU95="","",INDEX($AW$8:$AW$2007,MATCH($AU95,$AU$8:$AU$2007,0)))</f>
        <v/>
      </c>
      <c r="AZ95" s="31">
        <f>IF(OR($AS95="",$C$6=""),"",TRIM(INDEX($A:$AP,ROW(),$C$6)&amp;""))</f>
        <v/>
      </c>
      <c r="BA95" s="31">
        <f>IF($AZ95="","",IF(COUNTIF($AZ$8:$AZ95,$AZ95)&gt;1,1,0))</f>
        <v/>
      </c>
    </row>
    <row r="96">
      <c r="AR96" s="31">
        <f>IF(OR($A$5="",$B$6="",ROW()&lt;$A$5),"",IF(INDEX($A:$AP,ROW(),$B$6)="","",INDEX($A:$AP,ROW(),$B$6)))</f>
        <v/>
      </c>
      <c r="AS96" s="32">
        <f>IF($AR96="","",IF(ISNUMBER($AR96),IF($AR96&gt;=10000000,IFERROR(DATE(INT($AR96/10000),MOD(INT($AR96/100),100),MOD($AR96,100)),""),INT($AR96)),IFERROR(DATE(--LEFT(LEFT(SUBSTITUTE(SUBSTITUTE(SUBSTITUTE(SUBSTITUTE(TRIM($AR96),"-",""),".",""),"/","")," ",""),8),4),--MID(LEFT(SUBSTITUTE(SUBSTITUTE(SUBSTITUTE(SUBSTITUTE(TRIM($AR96),"-",""),".",""),"/","")," ",""),8),5,2),--MID(LEFT(SUBSTITUTE(SUBSTITUTE(SUBSTITUTE(SUBSTITUTE(TRIM($AR96),"-",""),".",""),"/","")," ",""),8),7,2)),"")))</f>
        <v/>
      </c>
      <c r="AT96" s="33">
        <f>IF($AS96="","",IF($F$6="",0,IF(ISNUMBER(INDEX($A:$AP,ROW(),$F$6)),INDEX($A:$AP,ROW(),$F$6),IFERROR(--SUBSTITUTE(SUBSTITUTE(TRIM(INDEX($A:$AP,ROW(),$F$6)),",",""),"원",""),0))))</f>
        <v/>
      </c>
      <c r="AU96" s="31">
        <f>IF($AS96="","",IF($AX96&lt;&gt;"",SUBSTITUTE(SUBSTITUTE($AX96,"-","")," ",""),"N:"&amp;$AV96))</f>
        <v/>
      </c>
      <c r="AV96" s="31">
        <f>IF(OR($AS96="",$E$6=""),"",TRIM(INDEX($A:$AP,ROW(),$E$6)&amp;""))</f>
        <v/>
      </c>
      <c r="AW96" s="31">
        <f>IF($AU96="","",IF(MATCH($AU96,$AU$8:$AU$2007,0)=ROW()-7,MAX($AW$7:$AW95)+1,""))</f>
        <v/>
      </c>
      <c r="AX96" s="31">
        <f>IF(OR($AS96="",$D$6=""),"",TRIM(INDEX($A:$AP,ROW(),$D$6)&amp;""))</f>
        <v/>
      </c>
      <c r="AY96" s="31">
        <f>IF($AU96="","",INDEX($AW$8:$AW$2007,MATCH($AU96,$AU$8:$AU$2007,0)))</f>
        <v/>
      </c>
      <c r="AZ96" s="31">
        <f>IF(OR($AS96="",$C$6=""),"",TRIM(INDEX($A:$AP,ROW(),$C$6)&amp;""))</f>
        <v/>
      </c>
      <c r="BA96" s="31">
        <f>IF($AZ96="","",IF(COUNTIF($AZ$8:$AZ96,$AZ96)&gt;1,1,0))</f>
        <v/>
      </c>
    </row>
    <row r="97">
      <c r="AR97" s="31">
        <f>IF(OR($A$5="",$B$6="",ROW()&lt;$A$5),"",IF(INDEX($A:$AP,ROW(),$B$6)="","",INDEX($A:$AP,ROW(),$B$6)))</f>
        <v/>
      </c>
      <c r="AS97" s="32">
        <f>IF($AR97="","",IF(ISNUMBER($AR97),IF($AR97&gt;=10000000,IFERROR(DATE(INT($AR97/10000),MOD(INT($AR97/100),100),MOD($AR97,100)),""),INT($AR97)),IFERROR(DATE(--LEFT(LEFT(SUBSTITUTE(SUBSTITUTE(SUBSTITUTE(SUBSTITUTE(TRIM($AR97),"-",""),".",""),"/","")," ",""),8),4),--MID(LEFT(SUBSTITUTE(SUBSTITUTE(SUBSTITUTE(SUBSTITUTE(TRIM($AR97),"-",""),".",""),"/","")," ",""),8),5,2),--MID(LEFT(SUBSTITUTE(SUBSTITUTE(SUBSTITUTE(SUBSTITUTE(TRIM($AR97),"-",""),".",""),"/","")," ",""),8),7,2)),"")))</f>
        <v/>
      </c>
      <c r="AT97" s="33">
        <f>IF($AS97="","",IF($F$6="",0,IF(ISNUMBER(INDEX($A:$AP,ROW(),$F$6)),INDEX($A:$AP,ROW(),$F$6),IFERROR(--SUBSTITUTE(SUBSTITUTE(TRIM(INDEX($A:$AP,ROW(),$F$6)),",",""),"원",""),0))))</f>
        <v/>
      </c>
      <c r="AU97" s="31">
        <f>IF($AS97="","",IF($AX97&lt;&gt;"",SUBSTITUTE(SUBSTITUTE($AX97,"-","")," ",""),"N:"&amp;$AV97))</f>
        <v/>
      </c>
      <c r="AV97" s="31">
        <f>IF(OR($AS97="",$E$6=""),"",TRIM(INDEX($A:$AP,ROW(),$E$6)&amp;""))</f>
        <v/>
      </c>
      <c r="AW97" s="31">
        <f>IF($AU97="","",IF(MATCH($AU97,$AU$8:$AU$2007,0)=ROW()-7,MAX($AW$7:$AW96)+1,""))</f>
        <v/>
      </c>
      <c r="AX97" s="31">
        <f>IF(OR($AS97="",$D$6=""),"",TRIM(INDEX($A:$AP,ROW(),$D$6)&amp;""))</f>
        <v/>
      </c>
      <c r="AY97" s="31">
        <f>IF($AU97="","",INDEX($AW$8:$AW$2007,MATCH($AU97,$AU$8:$AU$2007,0)))</f>
        <v/>
      </c>
      <c r="AZ97" s="31">
        <f>IF(OR($AS97="",$C$6=""),"",TRIM(INDEX($A:$AP,ROW(),$C$6)&amp;""))</f>
        <v/>
      </c>
      <c r="BA97" s="31">
        <f>IF($AZ97="","",IF(COUNTIF($AZ$8:$AZ97,$AZ97)&gt;1,1,0))</f>
        <v/>
      </c>
    </row>
    <row r="98">
      <c r="AR98" s="31">
        <f>IF(OR($A$5="",$B$6="",ROW()&lt;$A$5),"",IF(INDEX($A:$AP,ROW(),$B$6)="","",INDEX($A:$AP,ROW(),$B$6)))</f>
        <v/>
      </c>
      <c r="AS98" s="32">
        <f>IF($AR98="","",IF(ISNUMBER($AR98),IF($AR98&gt;=10000000,IFERROR(DATE(INT($AR98/10000),MOD(INT($AR98/100),100),MOD($AR98,100)),""),INT($AR98)),IFERROR(DATE(--LEFT(LEFT(SUBSTITUTE(SUBSTITUTE(SUBSTITUTE(SUBSTITUTE(TRIM($AR98),"-",""),".",""),"/","")," ",""),8),4),--MID(LEFT(SUBSTITUTE(SUBSTITUTE(SUBSTITUTE(SUBSTITUTE(TRIM($AR98),"-",""),".",""),"/","")," ",""),8),5,2),--MID(LEFT(SUBSTITUTE(SUBSTITUTE(SUBSTITUTE(SUBSTITUTE(TRIM($AR98),"-",""),".",""),"/","")," ",""),8),7,2)),"")))</f>
        <v/>
      </c>
      <c r="AT98" s="33">
        <f>IF($AS98="","",IF($F$6="",0,IF(ISNUMBER(INDEX($A:$AP,ROW(),$F$6)),INDEX($A:$AP,ROW(),$F$6),IFERROR(--SUBSTITUTE(SUBSTITUTE(TRIM(INDEX($A:$AP,ROW(),$F$6)),",",""),"원",""),0))))</f>
        <v/>
      </c>
      <c r="AU98" s="31">
        <f>IF($AS98="","",IF($AX98&lt;&gt;"",SUBSTITUTE(SUBSTITUTE($AX98,"-","")," ",""),"N:"&amp;$AV98))</f>
        <v/>
      </c>
      <c r="AV98" s="31">
        <f>IF(OR($AS98="",$E$6=""),"",TRIM(INDEX($A:$AP,ROW(),$E$6)&amp;""))</f>
        <v/>
      </c>
      <c r="AW98" s="31">
        <f>IF($AU98="","",IF(MATCH($AU98,$AU$8:$AU$2007,0)=ROW()-7,MAX($AW$7:$AW97)+1,""))</f>
        <v/>
      </c>
      <c r="AX98" s="31">
        <f>IF(OR($AS98="",$D$6=""),"",TRIM(INDEX($A:$AP,ROW(),$D$6)&amp;""))</f>
        <v/>
      </c>
      <c r="AY98" s="31">
        <f>IF($AU98="","",INDEX($AW$8:$AW$2007,MATCH($AU98,$AU$8:$AU$2007,0)))</f>
        <v/>
      </c>
      <c r="AZ98" s="31">
        <f>IF(OR($AS98="",$C$6=""),"",TRIM(INDEX($A:$AP,ROW(),$C$6)&amp;""))</f>
        <v/>
      </c>
      <c r="BA98" s="31">
        <f>IF($AZ98="","",IF(COUNTIF($AZ$8:$AZ98,$AZ98)&gt;1,1,0))</f>
        <v/>
      </c>
    </row>
    <row r="99">
      <c r="AR99" s="31">
        <f>IF(OR($A$5="",$B$6="",ROW()&lt;$A$5),"",IF(INDEX($A:$AP,ROW(),$B$6)="","",INDEX($A:$AP,ROW(),$B$6)))</f>
        <v/>
      </c>
      <c r="AS99" s="32">
        <f>IF($AR99="","",IF(ISNUMBER($AR99),IF($AR99&gt;=10000000,IFERROR(DATE(INT($AR99/10000),MOD(INT($AR99/100),100),MOD($AR99,100)),""),INT($AR99)),IFERROR(DATE(--LEFT(LEFT(SUBSTITUTE(SUBSTITUTE(SUBSTITUTE(SUBSTITUTE(TRIM($AR99),"-",""),".",""),"/","")," ",""),8),4),--MID(LEFT(SUBSTITUTE(SUBSTITUTE(SUBSTITUTE(SUBSTITUTE(TRIM($AR99),"-",""),".",""),"/","")," ",""),8),5,2),--MID(LEFT(SUBSTITUTE(SUBSTITUTE(SUBSTITUTE(SUBSTITUTE(TRIM($AR99),"-",""),".",""),"/","")," ",""),8),7,2)),"")))</f>
        <v/>
      </c>
      <c r="AT99" s="33">
        <f>IF($AS99="","",IF($F$6="",0,IF(ISNUMBER(INDEX($A:$AP,ROW(),$F$6)),INDEX($A:$AP,ROW(),$F$6),IFERROR(--SUBSTITUTE(SUBSTITUTE(TRIM(INDEX($A:$AP,ROW(),$F$6)),",",""),"원",""),0))))</f>
        <v/>
      </c>
      <c r="AU99" s="31">
        <f>IF($AS99="","",IF($AX99&lt;&gt;"",SUBSTITUTE(SUBSTITUTE($AX99,"-","")," ",""),"N:"&amp;$AV99))</f>
        <v/>
      </c>
      <c r="AV99" s="31">
        <f>IF(OR($AS99="",$E$6=""),"",TRIM(INDEX($A:$AP,ROW(),$E$6)&amp;""))</f>
        <v/>
      </c>
      <c r="AW99" s="31">
        <f>IF($AU99="","",IF(MATCH($AU99,$AU$8:$AU$2007,0)=ROW()-7,MAX($AW$7:$AW98)+1,""))</f>
        <v/>
      </c>
      <c r="AX99" s="31">
        <f>IF(OR($AS99="",$D$6=""),"",TRIM(INDEX($A:$AP,ROW(),$D$6)&amp;""))</f>
        <v/>
      </c>
      <c r="AY99" s="31">
        <f>IF($AU99="","",INDEX($AW$8:$AW$2007,MATCH($AU99,$AU$8:$AU$2007,0)))</f>
        <v/>
      </c>
      <c r="AZ99" s="31">
        <f>IF(OR($AS99="",$C$6=""),"",TRIM(INDEX($A:$AP,ROW(),$C$6)&amp;""))</f>
        <v/>
      </c>
      <c r="BA99" s="31">
        <f>IF($AZ99="","",IF(COUNTIF($AZ$8:$AZ99,$AZ99)&gt;1,1,0))</f>
        <v/>
      </c>
    </row>
    <row r="100">
      <c r="AR100" s="31">
        <f>IF(OR($A$5="",$B$6="",ROW()&lt;$A$5),"",IF(INDEX($A:$AP,ROW(),$B$6)="","",INDEX($A:$AP,ROW(),$B$6)))</f>
        <v/>
      </c>
      <c r="AS100" s="32">
        <f>IF($AR100="","",IF(ISNUMBER($AR100),IF($AR100&gt;=10000000,IFERROR(DATE(INT($AR100/10000),MOD(INT($AR100/100),100),MOD($AR100,100)),""),INT($AR100)),IFERROR(DATE(--LEFT(LEFT(SUBSTITUTE(SUBSTITUTE(SUBSTITUTE(SUBSTITUTE(TRIM($AR100),"-",""),".",""),"/","")," ",""),8),4),--MID(LEFT(SUBSTITUTE(SUBSTITUTE(SUBSTITUTE(SUBSTITUTE(TRIM($AR100),"-",""),".",""),"/","")," ",""),8),5,2),--MID(LEFT(SUBSTITUTE(SUBSTITUTE(SUBSTITUTE(SUBSTITUTE(TRIM($AR100),"-",""),".",""),"/","")," ",""),8),7,2)),"")))</f>
        <v/>
      </c>
      <c r="AT100" s="33">
        <f>IF($AS100="","",IF($F$6="",0,IF(ISNUMBER(INDEX($A:$AP,ROW(),$F$6)),INDEX($A:$AP,ROW(),$F$6),IFERROR(--SUBSTITUTE(SUBSTITUTE(TRIM(INDEX($A:$AP,ROW(),$F$6)),",",""),"원",""),0))))</f>
        <v/>
      </c>
      <c r="AU100" s="31">
        <f>IF($AS100="","",IF($AX100&lt;&gt;"",SUBSTITUTE(SUBSTITUTE($AX100,"-","")," ",""),"N:"&amp;$AV100))</f>
        <v/>
      </c>
      <c r="AV100" s="31">
        <f>IF(OR($AS100="",$E$6=""),"",TRIM(INDEX($A:$AP,ROW(),$E$6)&amp;""))</f>
        <v/>
      </c>
      <c r="AW100" s="31">
        <f>IF($AU100="","",IF(MATCH($AU100,$AU$8:$AU$2007,0)=ROW()-7,MAX($AW$7:$AW99)+1,""))</f>
        <v/>
      </c>
      <c r="AX100" s="31">
        <f>IF(OR($AS100="",$D$6=""),"",TRIM(INDEX($A:$AP,ROW(),$D$6)&amp;""))</f>
        <v/>
      </c>
      <c r="AY100" s="31">
        <f>IF($AU100="","",INDEX($AW$8:$AW$2007,MATCH($AU100,$AU$8:$AU$2007,0)))</f>
        <v/>
      </c>
      <c r="AZ100" s="31">
        <f>IF(OR($AS100="",$C$6=""),"",TRIM(INDEX($A:$AP,ROW(),$C$6)&amp;""))</f>
        <v/>
      </c>
      <c r="BA100" s="31">
        <f>IF($AZ100="","",IF(COUNTIF($AZ$8:$AZ100,$AZ100)&gt;1,1,0))</f>
        <v/>
      </c>
    </row>
    <row r="101">
      <c r="AR101" s="31">
        <f>IF(OR($A$5="",$B$6="",ROW()&lt;$A$5),"",IF(INDEX($A:$AP,ROW(),$B$6)="","",INDEX($A:$AP,ROW(),$B$6)))</f>
        <v/>
      </c>
      <c r="AS101" s="32">
        <f>IF($AR101="","",IF(ISNUMBER($AR101),IF($AR101&gt;=10000000,IFERROR(DATE(INT($AR101/10000),MOD(INT($AR101/100),100),MOD($AR101,100)),""),INT($AR101)),IFERROR(DATE(--LEFT(LEFT(SUBSTITUTE(SUBSTITUTE(SUBSTITUTE(SUBSTITUTE(TRIM($AR101),"-",""),".",""),"/","")," ",""),8),4),--MID(LEFT(SUBSTITUTE(SUBSTITUTE(SUBSTITUTE(SUBSTITUTE(TRIM($AR101),"-",""),".",""),"/","")," ",""),8),5,2),--MID(LEFT(SUBSTITUTE(SUBSTITUTE(SUBSTITUTE(SUBSTITUTE(TRIM($AR101),"-",""),".",""),"/","")," ",""),8),7,2)),"")))</f>
        <v/>
      </c>
      <c r="AT101" s="33">
        <f>IF($AS101="","",IF($F$6="",0,IF(ISNUMBER(INDEX($A:$AP,ROW(),$F$6)),INDEX($A:$AP,ROW(),$F$6),IFERROR(--SUBSTITUTE(SUBSTITUTE(TRIM(INDEX($A:$AP,ROW(),$F$6)),",",""),"원",""),0))))</f>
        <v/>
      </c>
      <c r="AU101" s="31">
        <f>IF($AS101="","",IF($AX101&lt;&gt;"",SUBSTITUTE(SUBSTITUTE($AX101,"-","")," ",""),"N:"&amp;$AV101))</f>
        <v/>
      </c>
      <c r="AV101" s="31">
        <f>IF(OR($AS101="",$E$6=""),"",TRIM(INDEX($A:$AP,ROW(),$E$6)&amp;""))</f>
        <v/>
      </c>
      <c r="AW101" s="31">
        <f>IF($AU101="","",IF(MATCH($AU101,$AU$8:$AU$2007,0)=ROW()-7,MAX($AW$7:$AW100)+1,""))</f>
        <v/>
      </c>
      <c r="AX101" s="31">
        <f>IF(OR($AS101="",$D$6=""),"",TRIM(INDEX($A:$AP,ROW(),$D$6)&amp;""))</f>
        <v/>
      </c>
      <c r="AY101" s="31">
        <f>IF($AU101="","",INDEX($AW$8:$AW$2007,MATCH($AU101,$AU$8:$AU$2007,0)))</f>
        <v/>
      </c>
      <c r="AZ101" s="31">
        <f>IF(OR($AS101="",$C$6=""),"",TRIM(INDEX($A:$AP,ROW(),$C$6)&amp;""))</f>
        <v/>
      </c>
      <c r="BA101" s="31">
        <f>IF($AZ101="","",IF(COUNTIF($AZ$8:$AZ101,$AZ101)&gt;1,1,0))</f>
        <v/>
      </c>
    </row>
    <row r="102">
      <c r="AR102" s="31">
        <f>IF(OR($A$5="",$B$6="",ROW()&lt;$A$5),"",IF(INDEX($A:$AP,ROW(),$B$6)="","",INDEX($A:$AP,ROW(),$B$6)))</f>
        <v/>
      </c>
      <c r="AS102" s="32">
        <f>IF($AR102="","",IF(ISNUMBER($AR102),IF($AR102&gt;=10000000,IFERROR(DATE(INT($AR102/10000),MOD(INT($AR102/100),100),MOD($AR102,100)),""),INT($AR102)),IFERROR(DATE(--LEFT(LEFT(SUBSTITUTE(SUBSTITUTE(SUBSTITUTE(SUBSTITUTE(TRIM($AR102),"-",""),".",""),"/","")," ",""),8),4),--MID(LEFT(SUBSTITUTE(SUBSTITUTE(SUBSTITUTE(SUBSTITUTE(TRIM($AR102),"-",""),".",""),"/","")," ",""),8),5,2),--MID(LEFT(SUBSTITUTE(SUBSTITUTE(SUBSTITUTE(SUBSTITUTE(TRIM($AR102),"-",""),".",""),"/","")," ",""),8),7,2)),"")))</f>
        <v/>
      </c>
      <c r="AT102" s="33">
        <f>IF($AS102="","",IF($F$6="",0,IF(ISNUMBER(INDEX($A:$AP,ROW(),$F$6)),INDEX($A:$AP,ROW(),$F$6),IFERROR(--SUBSTITUTE(SUBSTITUTE(TRIM(INDEX($A:$AP,ROW(),$F$6)),",",""),"원",""),0))))</f>
        <v/>
      </c>
      <c r="AU102" s="31">
        <f>IF($AS102="","",IF($AX102&lt;&gt;"",SUBSTITUTE(SUBSTITUTE($AX102,"-","")," ",""),"N:"&amp;$AV102))</f>
        <v/>
      </c>
      <c r="AV102" s="31">
        <f>IF(OR($AS102="",$E$6=""),"",TRIM(INDEX($A:$AP,ROW(),$E$6)&amp;""))</f>
        <v/>
      </c>
      <c r="AW102" s="31">
        <f>IF($AU102="","",IF(MATCH($AU102,$AU$8:$AU$2007,0)=ROW()-7,MAX($AW$7:$AW101)+1,""))</f>
        <v/>
      </c>
      <c r="AX102" s="31">
        <f>IF(OR($AS102="",$D$6=""),"",TRIM(INDEX($A:$AP,ROW(),$D$6)&amp;""))</f>
        <v/>
      </c>
      <c r="AY102" s="31">
        <f>IF($AU102="","",INDEX($AW$8:$AW$2007,MATCH($AU102,$AU$8:$AU$2007,0)))</f>
        <v/>
      </c>
      <c r="AZ102" s="31">
        <f>IF(OR($AS102="",$C$6=""),"",TRIM(INDEX($A:$AP,ROW(),$C$6)&amp;""))</f>
        <v/>
      </c>
      <c r="BA102" s="31">
        <f>IF($AZ102="","",IF(COUNTIF($AZ$8:$AZ102,$AZ102)&gt;1,1,0))</f>
        <v/>
      </c>
    </row>
    <row r="103">
      <c r="AR103" s="31">
        <f>IF(OR($A$5="",$B$6="",ROW()&lt;$A$5),"",IF(INDEX($A:$AP,ROW(),$B$6)="","",INDEX($A:$AP,ROW(),$B$6)))</f>
        <v/>
      </c>
      <c r="AS103" s="32">
        <f>IF($AR103="","",IF(ISNUMBER($AR103),IF($AR103&gt;=10000000,IFERROR(DATE(INT($AR103/10000),MOD(INT($AR103/100),100),MOD($AR103,100)),""),INT($AR103)),IFERROR(DATE(--LEFT(LEFT(SUBSTITUTE(SUBSTITUTE(SUBSTITUTE(SUBSTITUTE(TRIM($AR103),"-",""),".",""),"/","")," ",""),8),4),--MID(LEFT(SUBSTITUTE(SUBSTITUTE(SUBSTITUTE(SUBSTITUTE(TRIM($AR103),"-",""),".",""),"/","")," ",""),8),5,2),--MID(LEFT(SUBSTITUTE(SUBSTITUTE(SUBSTITUTE(SUBSTITUTE(TRIM($AR103),"-",""),".",""),"/","")," ",""),8),7,2)),"")))</f>
        <v/>
      </c>
      <c r="AT103" s="33">
        <f>IF($AS103="","",IF($F$6="",0,IF(ISNUMBER(INDEX($A:$AP,ROW(),$F$6)),INDEX($A:$AP,ROW(),$F$6),IFERROR(--SUBSTITUTE(SUBSTITUTE(TRIM(INDEX($A:$AP,ROW(),$F$6)),",",""),"원",""),0))))</f>
        <v/>
      </c>
      <c r="AU103" s="31">
        <f>IF($AS103="","",IF($AX103&lt;&gt;"",SUBSTITUTE(SUBSTITUTE($AX103,"-","")," ",""),"N:"&amp;$AV103))</f>
        <v/>
      </c>
      <c r="AV103" s="31">
        <f>IF(OR($AS103="",$E$6=""),"",TRIM(INDEX($A:$AP,ROW(),$E$6)&amp;""))</f>
        <v/>
      </c>
      <c r="AW103" s="31">
        <f>IF($AU103="","",IF(MATCH($AU103,$AU$8:$AU$2007,0)=ROW()-7,MAX($AW$7:$AW102)+1,""))</f>
        <v/>
      </c>
      <c r="AX103" s="31">
        <f>IF(OR($AS103="",$D$6=""),"",TRIM(INDEX($A:$AP,ROW(),$D$6)&amp;""))</f>
        <v/>
      </c>
      <c r="AY103" s="31">
        <f>IF($AU103="","",INDEX($AW$8:$AW$2007,MATCH($AU103,$AU$8:$AU$2007,0)))</f>
        <v/>
      </c>
      <c r="AZ103" s="31">
        <f>IF(OR($AS103="",$C$6=""),"",TRIM(INDEX($A:$AP,ROW(),$C$6)&amp;""))</f>
        <v/>
      </c>
      <c r="BA103" s="31">
        <f>IF($AZ103="","",IF(COUNTIF($AZ$8:$AZ103,$AZ103)&gt;1,1,0))</f>
        <v/>
      </c>
    </row>
    <row r="104">
      <c r="AR104" s="31">
        <f>IF(OR($A$5="",$B$6="",ROW()&lt;$A$5),"",IF(INDEX($A:$AP,ROW(),$B$6)="","",INDEX($A:$AP,ROW(),$B$6)))</f>
        <v/>
      </c>
      <c r="AS104" s="32">
        <f>IF($AR104="","",IF(ISNUMBER($AR104),IF($AR104&gt;=10000000,IFERROR(DATE(INT($AR104/10000),MOD(INT($AR104/100),100),MOD($AR104,100)),""),INT($AR104)),IFERROR(DATE(--LEFT(LEFT(SUBSTITUTE(SUBSTITUTE(SUBSTITUTE(SUBSTITUTE(TRIM($AR104),"-",""),".",""),"/","")," ",""),8),4),--MID(LEFT(SUBSTITUTE(SUBSTITUTE(SUBSTITUTE(SUBSTITUTE(TRIM($AR104),"-",""),".",""),"/","")," ",""),8),5,2),--MID(LEFT(SUBSTITUTE(SUBSTITUTE(SUBSTITUTE(SUBSTITUTE(TRIM($AR104),"-",""),".",""),"/","")," ",""),8),7,2)),"")))</f>
        <v/>
      </c>
      <c r="AT104" s="33">
        <f>IF($AS104="","",IF($F$6="",0,IF(ISNUMBER(INDEX($A:$AP,ROW(),$F$6)),INDEX($A:$AP,ROW(),$F$6),IFERROR(--SUBSTITUTE(SUBSTITUTE(TRIM(INDEX($A:$AP,ROW(),$F$6)),",",""),"원",""),0))))</f>
        <v/>
      </c>
      <c r="AU104" s="31">
        <f>IF($AS104="","",IF($AX104&lt;&gt;"",SUBSTITUTE(SUBSTITUTE($AX104,"-","")," ",""),"N:"&amp;$AV104))</f>
        <v/>
      </c>
      <c r="AV104" s="31">
        <f>IF(OR($AS104="",$E$6=""),"",TRIM(INDEX($A:$AP,ROW(),$E$6)&amp;""))</f>
        <v/>
      </c>
      <c r="AW104" s="31">
        <f>IF($AU104="","",IF(MATCH($AU104,$AU$8:$AU$2007,0)=ROW()-7,MAX($AW$7:$AW103)+1,""))</f>
        <v/>
      </c>
      <c r="AX104" s="31">
        <f>IF(OR($AS104="",$D$6=""),"",TRIM(INDEX($A:$AP,ROW(),$D$6)&amp;""))</f>
        <v/>
      </c>
      <c r="AY104" s="31">
        <f>IF($AU104="","",INDEX($AW$8:$AW$2007,MATCH($AU104,$AU$8:$AU$2007,0)))</f>
        <v/>
      </c>
      <c r="AZ104" s="31">
        <f>IF(OR($AS104="",$C$6=""),"",TRIM(INDEX($A:$AP,ROW(),$C$6)&amp;""))</f>
        <v/>
      </c>
      <c r="BA104" s="31">
        <f>IF($AZ104="","",IF(COUNTIF($AZ$8:$AZ104,$AZ104)&gt;1,1,0))</f>
        <v/>
      </c>
    </row>
    <row r="105">
      <c r="AR105" s="31">
        <f>IF(OR($A$5="",$B$6="",ROW()&lt;$A$5),"",IF(INDEX($A:$AP,ROW(),$B$6)="","",INDEX($A:$AP,ROW(),$B$6)))</f>
        <v/>
      </c>
      <c r="AS105" s="32">
        <f>IF($AR105="","",IF(ISNUMBER($AR105),IF($AR105&gt;=10000000,IFERROR(DATE(INT($AR105/10000),MOD(INT($AR105/100),100),MOD($AR105,100)),""),INT($AR105)),IFERROR(DATE(--LEFT(LEFT(SUBSTITUTE(SUBSTITUTE(SUBSTITUTE(SUBSTITUTE(TRIM($AR105),"-",""),".",""),"/","")," ",""),8),4),--MID(LEFT(SUBSTITUTE(SUBSTITUTE(SUBSTITUTE(SUBSTITUTE(TRIM($AR105),"-",""),".",""),"/","")," ",""),8),5,2),--MID(LEFT(SUBSTITUTE(SUBSTITUTE(SUBSTITUTE(SUBSTITUTE(TRIM($AR105),"-",""),".",""),"/","")," ",""),8),7,2)),"")))</f>
        <v/>
      </c>
      <c r="AT105" s="33">
        <f>IF($AS105="","",IF($F$6="",0,IF(ISNUMBER(INDEX($A:$AP,ROW(),$F$6)),INDEX($A:$AP,ROW(),$F$6),IFERROR(--SUBSTITUTE(SUBSTITUTE(TRIM(INDEX($A:$AP,ROW(),$F$6)),",",""),"원",""),0))))</f>
        <v/>
      </c>
      <c r="AU105" s="31">
        <f>IF($AS105="","",IF($AX105&lt;&gt;"",SUBSTITUTE(SUBSTITUTE($AX105,"-","")," ",""),"N:"&amp;$AV105))</f>
        <v/>
      </c>
      <c r="AV105" s="31">
        <f>IF(OR($AS105="",$E$6=""),"",TRIM(INDEX($A:$AP,ROW(),$E$6)&amp;""))</f>
        <v/>
      </c>
      <c r="AW105" s="31">
        <f>IF($AU105="","",IF(MATCH($AU105,$AU$8:$AU$2007,0)=ROW()-7,MAX($AW$7:$AW104)+1,""))</f>
        <v/>
      </c>
      <c r="AX105" s="31">
        <f>IF(OR($AS105="",$D$6=""),"",TRIM(INDEX($A:$AP,ROW(),$D$6)&amp;""))</f>
        <v/>
      </c>
      <c r="AY105" s="31">
        <f>IF($AU105="","",INDEX($AW$8:$AW$2007,MATCH($AU105,$AU$8:$AU$2007,0)))</f>
        <v/>
      </c>
      <c r="AZ105" s="31">
        <f>IF(OR($AS105="",$C$6=""),"",TRIM(INDEX($A:$AP,ROW(),$C$6)&amp;""))</f>
        <v/>
      </c>
      <c r="BA105" s="31">
        <f>IF($AZ105="","",IF(COUNTIF($AZ$8:$AZ105,$AZ105)&gt;1,1,0))</f>
        <v/>
      </c>
    </row>
    <row r="106">
      <c r="AR106" s="31">
        <f>IF(OR($A$5="",$B$6="",ROW()&lt;$A$5),"",IF(INDEX($A:$AP,ROW(),$B$6)="","",INDEX($A:$AP,ROW(),$B$6)))</f>
        <v/>
      </c>
      <c r="AS106" s="32">
        <f>IF($AR106="","",IF(ISNUMBER($AR106),IF($AR106&gt;=10000000,IFERROR(DATE(INT($AR106/10000),MOD(INT($AR106/100),100),MOD($AR106,100)),""),INT($AR106)),IFERROR(DATE(--LEFT(LEFT(SUBSTITUTE(SUBSTITUTE(SUBSTITUTE(SUBSTITUTE(TRIM($AR106),"-",""),".",""),"/","")," ",""),8),4),--MID(LEFT(SUBSTITUTE(SUBSTITUTE(SUBSTITUTE(SUBSTITUTE(TRIM($AR106),"-",""),".",""),"/","")," ",""),8),5,2),--MID(LEFT(SUBSTITUTE(SUBSTITUTE(SUBSTITUTE(SUBSTITUTE(TRIM($AR106),"-",""),".",""),"/","")," ",""),8),7,2)),"")))</f>
        <v/>
      </c>
      <c r="AT106" s="33">
        <f>IF($AS106="","",IF($F$6="",0,IF(ISNUMBER(INDEX($A:$AP,ROW(),$F$6)),INDEX($A:$AP,ROW(),$F$6),IFERROR(--SUBSTITUTE(SUBSTITUTE(TRIM(INDEX($A:$AP,ROW(),$F$6)),",",""),"원",""),0))))</f>
        <v/>
      </c>
      <c r="AU106" s="31">
        <f>IF($AS106="","",IF($AX106&lt;&gt;"",SUBSTITUTE(SUBSTITUTE($AX106,"-","")," ",""),"N:"&amp;$AV106))</f>
        <v/>
      </c>
      <c r="AV106" s="31">
        <f>IF(OR($AS106="",$E$6=""),"",TRIM(INDEX($A:$AP,ROW(),$E$6)&amp;""))</f>
        <v/>
      </c>
      <c r="AW106" s="31">
        <f>IF($AU106="","",IF(MATCH($AU106,$AU$8:$AU$2007,0)=ROW()-7,MAX($AW$7:$AW105)+1,""))</f>
        <v/>
      </c>
      <c r="AX106" s="31">
        <f>IF(OR($AS106="",$D$6=""),"",TRIM(INDEX($A:$AP,ROW(),$D$6)&amp;""))</f>
        <v/>
      </c>
      <c r="AY106" s="31">
        <f>IF($AU106="","",INDEX($AW$8:$AW$2007,MATCH($AU106,$AU$8:$AU$2007,0)))</f>
        <v/>
      </c>
      <c r="AZ106" s="31">
        <f>IF(OR($AS106="",$C$6=""),"",TRIM(INDEX($A:$AP,ROW(),$C$6)&amp;""))</f>
        <v/>
      </c>
      <c r="BA106" s="31">
        <f>IF($AZ106="","",IF(COUNTIF($AZ$8:$AZ106,$AZ106)&gt;1,1,0))</f>
        <v/>
      </c>
    </row>
    <row r="107">
      <c r="AR107" s="31">
        <f>IF(OR($A$5="",$B$6="",ROW()&lt;$A$5),"",IF(INDEX($A:$AP,ROW(),$B$6)="","",INDEX($A:$AP,ROW(),$B$6)))</f>
        <v/>
      </c>
      <c r="AS107" s="32">
        <f>IF($AR107="","",IF(ISNUMBER($AR107),IF($AR107&gt;=10000000,IFERROR(DATE(INT($AR107/10000),MOD(INT($AR107/100),100),MOD($AR107,100)),""),INT($AR107)),IFERROR(DATE(--LEFT(LEFT(SUBSTITUTE(SUBSTITUTE(SUBSTITUTE(SUBSTITUTE(TRIM($AR107),"-",""),".",""),"/","")," ",""),8),4),--MID(LEFT(SUBSTITUTE(SUBSTITUTE(SUBSTITUTE(SUBSTITUTE(TRIM($AR107),"-",""),".",""),"/","")," ",""),8),5,2),--MID(LEFT(SUBSTITUTE(SUBSTITUTE(SUBSTITUTE(SUBSTITUTE(TRIM($AR107),"-",""),".",""),"/","")," ",""),8),7,2)),"")))</f>
        <v/>
      </c>
      <c r="AT107" s="33">
        <f>IF($AS107="","",IF($F$6="",0,IF(ISNUMBER(INDEX($A:$AP,ROW(),$F$6)),INDEX($A:$AP,ROW(),$F$6),IFERROR(--SUBSTITUTE(SUBSTITUTE(TRIM(INDEX($A:$AP,ROW(),$F$6)),",",""),"원",""),0))))</f>
        <v/>
      </c>
      <c r="AU107" s="31">
        <f>IF($AS107="","",IF($AX107&lt;&gt;"",SUBSTITUTE(SUBSTITUTE($AX107,"-","")," ",""),"N:"&amp;$AV107))</f>
        <v/>
      </c>
      <c r="AV107" s="31">
        <f>IF(OR($AS107="",$E$6=""),"",TRIM(INDEX($A:$AP,ROW(),$E$6)&amp;""))</f>
        <v/>
      </c>
      <c r="AW107" s="31">
        <f>IF($AU107="","",IF(MATCH($AU107,$AU$8:$AU$2007,0)=ROW()-7,MAX($AW$7:$AW106)+1,""))</f>
        <v/>
      </c>
      <c r="AX107" s="31">
        <f>IF(OR($AS107="",$D$6=""),"",TRIM(INDEX($A:$AP,ROW(),$D$6)&amp;""))</f>
        <v/>
      </c>
      <c r="AY107" s="31">
        <f>IF($AU107="","",INDEX($AW$8:$AW$2007,MATCH($AU107,$AU$8:$AU$2007,0)))</f>
        <v/>
      </c>
      <c r="AZ107" s="31">
        <f>IF(OR($AS107="",$C$6=""),"",TRIM(INDEX($A:$AP,ROW(),$C$6)&amp;""))</f>
        <v/>
      </c>
      <c r="BA107" s="31">
        <f>IF($AZ107="","",IF(COUNTIF($AZ$8:$AZ107,$AZ107)&gt;1,1,0))</f>
        <v/>
      </c>
    </row>
    <row r="108">
      <c r="AR108" s="31">
        <f>IF(OR($A$5="",$B$6="",ROW()&lt;$A$5),"",IF(INDEX($A:$AP,ROW(),$B$6)="","",INDEX($A:$AP,ROW(),$B$6)))</f>
        <v/>
      </c>
      <c r="AS108" s="32">
        <f>IF($AR108="","",IF(ISNUMBER($AR108),IF($AR108&gt;=10000000,IFERROR(DATE(INT($AR108/10000),MOD(INT($AR108/100),100),MOD($AR108,100)),""),INT($AR108)),IFERROR(DATE(--LEFT(LEFT(SUBSTITUTE(SUBSTITUTE(SUBSTITUTE(SUBSTITUTE(TRIM($AR108),"-",""),".",""),"/","")," ",""),8),4),--MID(LEFT(SUBSTITUTE(SUBSTITUTE(SUBSTITUTE(SUBSTITUTE(TRIM($AR108),"-",""),".",""),"/","")," ",""),8),5,2),--MID(LEFT(SUBSTITUTE(SUBSTITUTE(SUBSTITUTE(SUBSTITUTE(TRIM($AR108),"-",""),".",""),"/","")," ",""),8),7,2)),"")))</f>
        <v/>
      </c>
      <c r="AT108" s="33">
        <f>IF($AS108="","",IF($F$6="",0,IF(ISNUMBER(INDEX($A:$AP,ROW(),$F$6)),INDEX($A:$AP,ROW(),$F$6),IFERROR(--SUBSTITUTE(SUBSTITUTE(TRIM(INDEX($A:$AP,ROW(),$F$6)),",",""),"원",""),0))))</f>
        <v/>
      </c>
      <c r="AU108" s="31">
        <f>IF($AS108="","",IF($AX108&lt;&gt;"",SUBSTITUTE(SUBSTITUTE($AX108,"-","")," ",""),"N:"&amp;$AV108))</f>
        <v/>
      </c>
      <c r="AV108" s="31">
        <f>IF(OR($AS108="",$E$6=""),"",TRIM(INDEX($A:$AP,ROW(),$E$6)&amp;""))</f>
        <v/>
      </c>
      <c r="AW108" s="31">
        <f>IF($AU108="","",IF(MATCH($AU108,$AU$8:$AU$2007,0)=ROW()-7,MAX($AW$7:$AW107)+1,""))</f>
        <v/>
      </c>
      <c r="AX108" s="31">
        <f>IF(OR($AS108="",$D$6=""),"",TRIM(INDEX($A:$AP,ROW(),$D$6)&amp;""))</f>
        <v/>
      </c>
      <c r="AY108" s="31">
        <f>IF($AU108="","",INDEX($AW$8:$AW$2007,MATCH($AU108,$AU$8:$AU$2007,0)))</f>
        <v/>
      </c>
      <c r="AZ108" s="31">
        <f>IF(OR($AS108="",$C$6=""),"",TRIM(INDEX($A:$AP,ROW(),$C$6)&amp;""))</f>
        <v/>
      </c>
      <c r="BA108" s="31">
        <f>IF($AZ108="","",IF(COUNTIF($AZ$8:$AZ108,$AZ108)&gt;1,1,0))</f>
        <v/>
      </c>
    </row>
    <row r="109">
      <c r="AR109" s="31">
        <f>IF(OR($A$5="",$B$6="",ROW()&lt;$A$5),"",IF(INDEX($A:$AP,ROW(),$B$6)="","",INDEX($A:$AP,ROW(),$B$6)))</f>
        <v/>
      </c>
      <c r="AS109" s="32">
        <f>IF($AR109="","",IF(ISNUMBER($AR109),IF($AR109&gt;=10000000,IFERROR(DATE(INT($AR109/10000),MOD(INT($AR109/100),100),MOD($AR109,100)),""),INT($AR109)),IFERROR(DATE(--LEFT(LEFT(SUBSTITUTE(SUBSTITUTE(SUBSTITUTE(SUBSTITUTE(TRIM($AR109),"-",""),".",""),"/","")," ",""),8),4),--MID(LEFT(SUBSTITUTE(SUBSTITUTE(SUBSTITUTE(SUBSTITUTE(TRIM($AR109),"-",""),".",""),"/","")," ",""),8),5,2),--MID(LEFT(SUBSTITUTE(SUBSTITUTE(SUBSTITUTE(SUBSTITUTE(TRIM($AR109),"-",""),".",""),"/","")," ",""),8),7,2)),"")))</f>
        <v/>
      </c>
      <c r="AT109" s="33">
        <f>IF($AS109="","",IF($F$6="",0,IF(ISNUMBER(INDEX($A:$AP,ROW(),$F$6)),INDEX($A:$AP,ROW(),$F$6),IFERROR(--SUBSTITUTE(SUBSTITUTE(TRIM(INDEX($A:$AP,ROW(),$F$6)),",",""),"원",""),0))))</f>
        <v/>
      </c>
      <c r="AU109" s="31">
        <f>IF($AS109="","",IF($AX109&lt;&gt;"",SUBSTITUTE(SUBSTITUTE($AX109,"-","")," ",""),"N:"&amp;$AV109))</f>
        <v/>
      </c>
      <c r="AV109" s="31">
        <f>IF(OR($AS109="",$E$6=""),"",TRIM(INDEX($A:$AP,ROW(),$E$6)&amp;""))</f>
        <v/>
      </c>
      <c r="AW109" s="31">
        <f>IF($AU109="","",IF(MATCH($AU109,$AU$8:$AU$2007,0)=ROW()-7,MAX($AW$7:$AW108)+1,""))</f>
        <v/>
      </c>
      <c r="AX109" s="31">
        <f>IF(OR($AS109="",$D$6=""),"",TRIM(INDEX($A:$AP,ROW(),$D$6)&amp;""))</f>
        <v/>
      </c>
      <c r="AY109" s="31">
        <f>IF($AU109="","",INDEX($AW$8:$AW$2007,MATCH($AU109,$AU$8:$AU$2007,0)))</f>
        <v/>
      </c>
      <c r="AZ109" s="31">
        <f>IF(OR($AS109="",$C$6=""),"",TRIM(INDEX($A:$AP,ROW(),$C$6)&amp;""))</f>
        <v/>
      </c>
      <c r="BA109" s="31">
        <f>IF($AZ109="","",IF(COUNTIF($AZ$8:$AZ109,$AZ109)&gt;1,1,0))</f>
        <v/>
      </c>
    </row>
    <row r="110">
      <c r="AR110" s="31">
        <f>IF(OR($A$5="",$B$6="",ROW()&lt;$A$5),"",IF(INDEX($A:$AP,ROW(),$B$6)="","",INDEX($A:$AP,ROW(),$B$6)))</f>
        <v/>
      </c>
      <c r="AS110" s="32">
        <f>IF($AR110="","",IF(ISNUMBER($AR110),IF($AR110&gt;=10000000,IFERROR(DATE(INT($AR110/10000),MOD(INT($AR110/100),100),MOD($AR110,100)),""),INT($AR110)),IFERROR(DATE(--LEFT(LEFT(SUBSTITUTE(SUBSTITUTE(SUBSTITUTE(SUBSTITUTE(TRIM($AR110),"-",""),".",""),"/","")," ",""),8),4),--MID(LEFT(SUBSTITUTE(SUBSTITUTE(SUBSTITUTE(SUBSTITUTE(TRIM($AR110),"-",""),".",""),"/","")," ",""),8),5,2),--MID(LEFT(SUBSTITUTE(SUBSTITUTE(SUBSTITUTE(SUBSTITUTE(TRIM($AR110),"-",""),".",""),"/","")," ",""),8),7,2)),"")))</f>
        <v/>
      </c>
      <c r="AT110" s="33">
        <f>IF($AS110="","",IF($F$6="",0,IF(ISNUMBER(INDEX($A:$AP,ROW(),$F$6)),INDEX($A:$AP,ROW(),$F$6),IFERROR(--SUBSTITUTE(SUBSTITUTE(TRIM(INDEX($A:$AP,ROW(),$F$6)),",",""),"원",""),0))))</f>
        <v/>
      </c>
      <c r="AU110" s="31">
        <f>IF($AS110="","",IF($AX110&lt;&gt;"",SUBSTITUTE(SUBSTITUTE($AX110,"-","")," ",""),"N:"&amp;$AV110))</f>
        <v/>
      </c>
      <c r="AV110" s="31">
        <f>IF(OR($AS110="",$E$6=""),"",TRIM(INDEX($A:$AP,ROW(),$E$6)&amp;""))</f>
        <v/>
      </c>
      <c r="AW110" s="31">
        <f>IF($AU110="","",IF(MATCH($AU110,$AU$8:$AU$2007,0)=ROW()-7,MAX($AW$7:$AW109)+1,""))</f>
        <v/>
      </c>
      <c r="AX110" s="31">
        <f>IF(OR($AS110="",$D$6=""),"",TRIM(INDEX($A:$AP,ROW(),$D$6)&amp;""))</f>
        <v/>
      </c>
      <c r="AY110" s="31">
        <f>IF($AU110="","",INDEX($AW$8:$AW$2007,MATCH($AU110,$AU$8:$AU$2007,0)))</f>
        <v/>
      </c>
      <c r="AZ110" s="31">
        <f>IF(OR($AS110="",$C$6=""),"",TRIM(INDEX($A:$AP,ROW(),$C$6)&amp;""))</f>
        <v/>
      </c>
      <c r="BA110" s="31">
        <f>IF($AZ110="","",IF(COUNTIF($AZ$8:$AZ110,$AZ110)&gt;1,1,0))</f>
        <v/>
      </c>
    </row>
    <row r="111">
      <c r="AR111" s="31">
        <f>IF(OR($A$5="",$B$6="",ROW()&lt;$A$5),"",IF(INDEX($A:$AP,ROW(),$B$6)="","",INDEX($A:$AP,ROW(),$B$6)))</f>
        <v/>
      </c>
      <c r="AS111" s="32">
        <f>IF($AR111="","",IF(ISNUMBER($AR111),IF($AR111&gt;=10000000,IFERROR(DATE(INT($AR111/10000),MOD(INT($AR111/100),100),MOD($AR111,100)),""),INT($AR111)),IFERROR(DATE(--LEFT(LEFT(SUBSTITUTE(SUBSTITUTE(SUBSTITUTE(SUBSTITUTE(TRIM($AR111),"-",""),".",""),"/","")," ",""),8),4),--MID(LEFT(SUBSTITUTE(SUBSTITUTE(SUBSTITUTE(SUBSTITUTE(TRIM($AR111),"-",""),".",""),"/","")," ",""),8),5,2),--MID(LEFT(SUBSTITUTE(SUBSTITUTE(SUBSTITUTE(SUBSTITUTE(TRIM($AR111),"-",""),".",""),"/","")," ",""),8),7,2)),"")))</f>
        <v/>
      </c>
      <c r="AT111" s="33">
        <f>IF($AS111="","",IF($F$6="",0,IF(ISNUMBER(INDEX($A:$AP,ROW(),$F$6)),INDEX($A:$AP,ROW(),$F$6),IFERROR(--SUBSTITUTE(SUBSTITUTE(TRIM(INDEX($A:$AP,ROW(),$F$6)),",",""),"원",""),0))))</f>
        <v/>
      </c>
      <c r="AU111" s="31">
        <f>IF($AS111="","",IF($AX111&lt;&gt;"",SUBSTITUTE(SUBSTITUTE($AX111,"-","")," ",""),"N:"&amp;$AV111))</f>
        <v/>
      </c>
      <c r="AV111" s="31">
        <f>IF(OR($AS111="",$E$6=""),"",TRIM(INDEX($A:$AP,ROW(),$E$6)&amp;""))</f>
        <v/>
      </c>
      <c r="AW111" s="31">
        <f>IF($AU111="","",IF(MATCH($AU111,$AU$8:$AU$2007,0)=ROW()-7,MAX($AW$7:$AW110)+1,""))</f>
        <v/>
      </c>
      <c r="AX111" s="31">
        <f>IF(OR($AS111="",$D$6=""),"",TRIM(INDEX($A:$AP,ROW(),$D$6)&amp;""))</f>
        <v/>
      </c>
      <c r="AY111" s="31">
        <f>IF($AU111="","",INDEX($AW$8:$AW$2007,MATCH($AU111,$AU$8:$AU$2007,0)))</f>
        <v/>
      </c>
      <c r="AZ111" s="31">
        <f>IF(OR($AS111="",$C$6=""),"",TRIM(INDEX($A:$AP,ROW(),$C$6)&amp;""))</f>
        <v/>
      </c>
      <c r="BA111" s="31">
        <f>IF($AZ111="","",IF(COUNTIF($AZ$8:$AZ111,$AZ111)&gt;1,1,0))</f>
        <v/>
      </c>
    </row>
    <row r="112">
      <c r="AR112" s="31">
        <f>IF(OR($A$5="",$B$6="",ROW()&lt;$A$5),"",IF(INDEX($A:$AP,ROW(),$B$6)="","",INDEX($A:$AP,ROW(),$B$6)))</f>
        <v/>
      </c>
      <c r="AS112" s="32">
        <f>IF($AR112="","",IF(ISNUMBER($AR112),IF($AR112&gt;=10000000,IFERROR(DATE(INT($AR112/10000),MOD(INT($AR112/100),100),MOD($AR112,100)),""),INT($AR112)),IFERROR(DATE(--LEFT(LEFT(SUBSTITUTE(SUBSTITUTE(SUBSTITUTE(SUBSTITUTE(TRIM($AR112),"-",""),".",""),"/","")," ",""),8),4),--MID(LEFT(SUBSTITUTE(SUBSTITUTE(SUBSTITUTE(SUBSTITUTE(TRIM($AR112),"-",""),".",""),"/","")," ",""),8),5,2),--MID(LEFT(SUBSTITUTE(SUBSTITUTE(SUBSTITUTE(SUBSTITUTE(TRIM($AR112),"-",""),".",""),"/","")," ",""),8),7,2)),"")))</f>
        <v/>
      </c>
      <c r="AT112" s="33">
        <f>IF($AS112="","",IF($F$6="",0,IF(ISNUMBER(INDEX($A:$AP,ROW(),$F$6)),INDEX($A:$AP,ROW(),$F$6),IFERROR(--SUBSTITUTE(SUBSTITUTE(TRIM(INDEX($A:$AP,ROW(),$F$6)),",",""),"원",""),0))))</f>
        <v/>
      </c>
      <c r="AU112" s="31">
        <f>IF($AS112="","",IF($AX112&lt;&gt;"",SUBSTITUTE(SUBSTITUTE($AX112,"-","")," ",""),"N:"&amp;$AV112))</f>
        <v/>
      </c>
      <c r="AV112" s="31">
        <f>IF(OR($AS112="",$E$6=""),"",TRIM(INDEX($A:$AP,ROW(),$E$6)&amp;""))</f>
        <v/>
      </c>
      <c r="AW112" s="31">
        <f>IF($AU112="","",IF(MATCH($AU112,$AU$8:$AU$2007,0)=ROW()-7,MAX($AW$7:$AW111)+1,""))</f>
        <v/>
      </c>
      <c r="AX112" s="31">
        <f>IF(OR($AS112="",$D$6=""),"",TRIM(INDEX($A:$AP,ROW(),$D$6)&amp;""))</f>
        <v/>
      </c>
      <c r="AY112" s="31">
        <f>IF($AU112="","",INDEX($AW$8:$AW$2007,MATCH($AU112,$AU$8:$AU$2007,0)))</f>
        <v/>
      </c>
      <c r="AZ112" s="31">
        <f>IF(OR($AS112="",$C$6=""),"",TRIM(INDEX($A:$AP,ROW(),$C$6)&amp;""))</f>
        <v/>
      </c>
      <c r="BA112" s="31">
        <f>IF($AZ112="","",IF(COUNTIF($AZ$8:$AZ112,$AZ112)&gt;1,1,0))</f>
        <v/>
      </c>
    </row>
    <row r="113">
      <c r="AR113" s="31">
        <f>IF(OR($A$5="",$B$6="",ROW()&lt;$A$5),"",IF(INDEX($A:$AP,ROW(),$B$6)="","",INDEX($A:$AP,ROW(),$B$6)))</f>
        <v/>
      </c>
      <c r="AS113" s="32">
        <f>IF($AR113="","",IF(ISNUMBER($AR113),IF($AR113&gt;=10000000,IFERROR(DATE(INT($AR113/10000),MOD(INT($AR113/100),100),MOD($AR113,100)),""),INT($AR113)),IFERROR(DATE(--LEFT(LEFT(SUBSTITUTE(SUBSTITUTE(SUBSTITUTE(SUBSTITUTE(TRIM($AR113),"-",""),".",""),"/","")," ",""),8),4),--MID(LEFT(SUBSTITUTE(SUBSTITUTE(SUBSTITUTE(SUBSTITUTE(TRIM($AR113),"-",""),".",""),"/","")," ",""),8),5,2),--MID(LEFT(SUBSTITUTE(SUBSTITUTE(SUBSTITUTE(SUBSTITUTE(TRIM($AR113),"-",""),".",""),"/","")," ",""),8),7,2)),"")))</f>
        <v/>
      </c>
      <c r="AT113" s="33">
        <f>IF($AS113="","",IF($F$6="",0,IF(ISNUMBER(INDEX($A:$AP,ROW(),$F$6)),INDEX($A:$AP,ROW(),$F$6),IFERROR(--SUBSTITUTE(SUBSTITUTE(TRIM(INDEX($A:$AP,ROW(),$F$6)),",",""),"원",""),0))))</f>
        <v/>
      </c>
      <c r="AU113" s="31">
        <f>IF($AS113="","",IF($AX113&lt;&gt;"",SUBSTITUTE(SUBSTITUTE($AX113,"-","")," ",""),"N:"&amp;$AV113))</f>
        <v/>
      </c>
      <c r="AV113" s="31">
        <f>IF(OR($AS113="",$E$6=""),"",TRIM(INDEX($A:$AP,ROW(),$E$6)&amp;""))</f>
        <v/>
      </c>
      <c r="AW113" s="31">
        <f>IF($AU113="","",IF(MATCH($AU113,$AU$8:$AU$2007,0)=ROW()-7,MAX($AW$7:$AW112)+1,""))</f>
        <v/>
      </c>
      <c r="AX113" s="31">
        <f>IF(OR($AS113="",$D$6=""),"",TRIM(INDEX($A:$AP,ROW(),$D$6)&amp;""))</f>
        <v/>
      </c>
      <c r="AY113" s="31">
        <f>IF($AU113="","",INDEX($AW$8:$AW$2007,MATCH($AU113,$AU$8:$AU$2007,0)))</f>
        <v/>
      </c>
      <c r="AZ113" s="31">
        <f>IF(OR($AS113="",$C$6=""),"",TRIM(INDEX($A:$AP,ROW(),$C$6)&amp;""))</f>
        <v/>
      </c>
      <c r="BA113" s="31">
        <f>IF($AZ113="","",IF(COUNTIF($AZ$8:$AZ113,$AZ113)&gt;1,1,0))</f>
        <v/>
      </c>
    </row>
    <row r="114">
      <c r="AR114" s="31">
        <f>IF(OR($A$5="",$B$6="",ROW()&lt;$A$5),"",IF(INDEX($A:$AP,ROW(),$B$6)="","",INDEX($A:$AP,ROW(),$B$6)))</f>
        <v/>
      </c>
      <c r="AS114" s="32">
        <f>IF($AR114="","",IF(ISNUMBER($AR114),IF($AR114&gt;=10000000,IFERROR(DATE(INT($AR114/10000),MOD(INT($AR114/100),100),MOD($AR114,100)),""),INT($AR114)),IFERROR(DATE(--LEFT(LEFT(SUBSTITUTE(SUBSTITUTE(SUBSTITUTE(SUBSTITUTE(TRIM($AR114),"-",""),".",""),"/","")," ",""),8),4),--MID(LEFT(SUBSTITUTE(SUBSTITUTE(SUBSTITUTE(SUBSTITUTE(TRIM($AR114),"-",""),".",""),"/","")," ",""),8),5,2),--MID(LEFT(SUBSTITUTE(SUBSTITUTE(SUBSTITUTE(SUBSTITUTE(TRIM($AR114),"-",""),".",""),"/","")," ",""),8),7,2)),"")))</f>
        <v/>
      </c>
      <c r="AT114" s="33">
        <f>IF($AS114="","",IF($F$6="",0,IF(ISNUMBER(INDEX($A:$AP,ROW(),$F$6)),INDEX($A:$AP,ROW(),$F$6),IFERROR(--SUBSTITUTE(SUBSTITUTE(TRIM(INDEX($A:$AP,ROW(),$F$6)),",",""),"원",""),0))))</f>
        <v/>
      </c>
      <c r="AU114" s="31">
        <f>IF($AS114="","",IF($AX114&lt;&gt;"",SUBSTITUTE(SUBSTITUTE($AX114,"-","")," ",""),"N:"&amp;$AV114))</f>
        <v/>
      </c>
      <c r="AV114" s="31">
        <f>IF(OR($AS114="",$E$6=""),"",TRIM(INDEX($A:$AP,ROW(),$E$6)&amp;""))</f>
        <v/>
      </c>
      <c r="AW114" s="31">
        <f>IF($AU114="","",IF(MATCH($AU114,$AU$8:$AU$2007,0)=ROW()-7,MAX($AW$7:$AW113)+1,""))</f>
        <v/>
      </c>
      <c r="AX114" s="31">
        <f>IF(OR($AS114="",$D$6=""),"",TRIM(INDEX($A:$AP,ROW(),$D$6)&amp;""))</f>
        <v/>
      </c>
      <c r="AY114" s="31">
        <f>IF($AU114="","",INDEX($AW$8:$AW$2007,MATCH($AU114,$AU$8:$AU$2007,0)))</f>
        <v/>
      </c>
      <c r="AZ114" s="31">
        <f>IF(OR($AS114="",$C$6=""),"",TRIM(INDEX($A:$AP,ROW(),$C$6)&amp;""))</f>
        <v/>
      </c>
      <c r="BA114" s="31">
        <f>IF($AZ114="","",IF(COUNTIF($AZ$8:$AZ114,$AZ114)&gt;1,1,0))</f>
        <v/>
      </c>
    </row>
    <row r="115">
      <c r="AR115" s="31">
        <f>IF(OR($A$5="",$B$6="",ROW()&lt;$A$5),"",IF(INDEX($A:$AP,ROW(),$B$6)="","",INDEX($A:$AP,ROW(),$B$6)))</f>
        <v/>
      </c>
      <c r="AS115" s="32">
        <f>IF($AR115="","",IF(ISNUMBER($AR115),IF($AR115&gt;=10000000,IFERROR(DATE(INT($AR115/10000),MOD(INT($AR115/100),100),MOD($AR115,100)),""),INT($AR115)),IFERROR(DATE(--LEFT(LEFT(SUBSTITUTE(SUBSTITUTE(SUBSTITUTE(SUBSTITUTE(TRIM($AR115),"-",""),".",""),"/","")," ",""),8),4),--MID(LEFT(SUBSTITUTE(SUBSTITUTE(SUBSTITUTE(SUBSTITUTE(TRIM($AR115),"-",""),".",""),"/","")," ",""),8),5,2),--MID(LEFT(SUBSTITUTE(SUBSTITUTE(SUBSTITUTE(SUBSTITUTE(TRIM($AR115),"-",""),".",""),"/","")," ",""),8),7,2)),"")))</f>
        <v/>
      </c>
      <c r="AT115" s="33">
        <f>IF($AS115="","",IF($F$6="",0,IF(ISNUMBER(INDEX($A:$AP,ROW(),$F$6)),INDEX($A:$AP,ROW(),$F$6),IFERROR(--SUBSTITUTE(SUBSTITUTE(TRIM(INDEX($A:$AP,ROW(),$F$6)),",",""),"원",""),0))))</f>
        <v/>
      </c>
      <c r="AU115" s="31">
        <f>IF($AS115="","",IF($AX115&lt;&gt;"",SUBSTITUTE(SUBSTITUTE($AX115,"-","")," ",""),"N:"&amp;$AV115))</f>
        <v/>
      </c>
      <c r="AV115" s="31">
        <f>IF(OR($AS115="",$E$6=""),"",TRIM(INDEX($A:$AP,ROW(),$E$6)&amp;""))</f>
        <v/>
      </c>
      <c r="AW115" s="31">
        <f>IF($AU115="","",IF(MATCH($AU115,$AU$8:$AU$2007,0)=ROW()-7,MAX($AW$7:$AW114)+1,""))</f>
        <v/>
      </c>
      <c r="AX115" s="31">
        <f>IF(OR($AS115="",$D$6=""),"",TRIM(INDEX($A:$AP,ROW(),$D$6)&amp;""))</f>
        <v/>
      </c>
      <c r="AY115" s="31">
        <f>IF($AU115="","",INDEX($AW$8:$AW$2007,MATCH($AU115,$AU$8:$AU$2007,0)))</f>
        <v/>
      </c>
      <c r="AZ115" s="31">
        <f>IF(OR($AS115="",$C$6=""),"",TRIM(INDEX($A:$AP,ROW(),$C$6)&amp;""))</f>
        <v/>
      </c>
      <c r="BA115" s="31">
        <f>IF($AZ115="","",IF(COUNTIF($AZ$8:$AZ115,$AZ115)&gt;1,1,0))</f>
        <v/>
      </c>
    </row>
    <row r="116">
      <c r="AR116" s="31">
        <f>IF(OR($A$5="",$B$6="",ROW()&lt;$A$5),"",IF(INDEX($A:$AP,ROW(),$B$6)="","",INDEX($A:$AP,ROW(),$B$6)))</f>
        <v/>
      </c>
      <c r="AS116" s="32">
        <f>IF($AR116="","",IF(ISNUMBER($AR116),IF($AR116&gt;=10000000,IFERROR(DATE(INT($AR116/10000),MOD(INT($AR116/100),100),MOD($AR116,100)),""),INT($AR116)),IFERROR(DATE(--LEFT(LEFT(SUBSTITUTE(SUBSTITUTE(SUBSTITUTE(SUBSTITUTE(TRIM($AR116),"-",""),".",""),"/","")," ",""),8),4),--MID(LEFT(SUBSTITUTE(SUBSTITUTE(SUBSTITUTE(SUBSTITUTE(TRIM($AR116),"-",""),".",""),"/","")," ",""),8),5,2),--MID(LEFT(SUBSTITUTE(SUBSTITUTE(SUBSTITUTE(SUBSTITUTE(TRIM($AR116),"-",""),".",""),"/","")," ",""),8),7,2)),"")))</f>
        <v/>
      </c>
      <c r="AT116" s="33">
        <f>IF($AS116="","",IF($F$6="",0,IF(ISNUMBER(INDEX($A:$AP,ROW(),$F$6)),INDEX($A:$AP,ROW(),$F$6),IFERROR(--SUBSTITUTE(SUBSTITUTE(TRIM(INDEX($A:$AP,ROW(),$F$6)),",",""),"원",""),0))))</f>
        <v/>
      </c>
      <c r="AU116" s="31">
        <f>IF($AS116="","",IF($AX116&lt;&gt;"",SUBSTITUTE(SUBSTITUTE($AX116,"-","")," ",""),"N:"&amp;$AV116))</f>
        <v/>
      </c>
      <c r="AV116" s="31">
        <f>IF(OR($AS116="",$E$6=""),"",TRIM(INDEX($A:$AP,ROW(),$E$6)&amp;""))</f>
        <v/>
      </c>
      <c r="AW116" s="31">
        <f>IF($AU116="","",IF(MATCH($AU116,$AU$8:$AU$2007,0)=ROW()-7,MAX($AW$7:$AW115)+1,""))</f>
        <v/>
      </c>
      <c r="AX116" s="31">
        <f>IF(OR($AS116="",$D$6=""),"",TRIM(INDEX($A:$AP,ROW(),$D$6)&amp;""))</f>
        <v/>
      </c>
      <c r="AY116" s="31">
        <f>IF($AU116="","",INDEX($AW$8:$AW$2007,MATCH($AU116,$AU$8:$AU$2007,0)))</f>
        <v/>
      </c>
      <c r="AZ116" s="31">
        <f>IF(OR($AS116="",$C$6=""),"",TRIM(INDEX($A:$AP,ROW(),$C$6)&amp;""))</f>
        <v/>
      </c>
      <c r="BA116" s="31">
        <f>IF($AZ116="","",IF(COUNTIF($AZ$8:$AZ116,$AZ116)&gt;1,1,0))</f>
        <v/>
      </c>
    </row>
    <row r="117">
      <c r="AR117" s="31">
        <f>IF(OR($A$5="",$B$6="",ROW()&lt;$A$5),"",IF(INDEX($A:$AP,ROW(),$B$6)="","",INDEX($A:$AP,ROW(),$B$6)))</f>
        <v/>
      </c>
      <c r="AS117" s="32">
        <f>IF($AR117="","",IF(ISNUMBER($AR117),IF($AR117&gt;=10000000,IFERROR(DATE(INT($AR117/10000),MOD(INT($AR117/100),100),MOD($AR117,100)),""),INT($AR117)),IFERROR(DATE(--LEFT(LEFT(SUBSTITUTE(SUBSTITUTE(SUBSTITUTE(SUBSTITUTE(TRIM($AR117),"-",""),".",""),"/","")," ",""),8),4),--MID(LEFT(SUBSTITUTE(SUBSTITUTE(SUBSTITUTE(SUBSTITUTE(TRIM($AR117),"-",""),".",""),"/","")," ",""),8),5,2),--MID(LEFT(SUBSTITUTE(SUBSTITUTE(SUBSTITUTE(SUBSTITUTE(TRIM($AR117),"-",""),".",""),"/","")," ",""),8),7,2)),"")))</f>
        <v/>
      </c>
      <c r="AT117" s="33">
        <f>IF($AS117="","",IF($F$6="",0,IF(ISNUMBER(INDEX($A:$AP,ROW(),$F$6)),INDEX($A:$AP,ROW(),$F$6),IFERROR(--SUBSTITUTE(SUBSTITUTE(TRIM(INDEX($A:$AP,ROW(),$F$6)),",",""),"원",""),0))))</f>
        <v/>
      </c>
      <c r="AU117" s="31">
        <f>IF($AS117="","",IF($AX117&lt;&gt;"",SUBSTITUTE(SUBSTITUTE($AX117,"-","")," ",""),"N:"&amp;$AV117))</f>
        <v/>
      </c>
      <c r="AV117" s="31">
        <f>IF(OR($AS117="",$E$6=""),"",TRIM(INDEX($A:$AP,ROW(),$E$6)&amp;""))</f>
        <v/>
      </c>
      <c r="AW117" s="31">
        <f>IF($AU117="","",IF(MATCH($AU117,$AU$8:$AU$2007,0)=ROW()-7,MAX($AW$7:$AW116)+1,""))</f>
        <v/>
      </c>
      <c r="AX117" s="31">
        <f>IF(OR($AS117="",$D$6=""),"",TRIM(INDEX($A:$AP,ROW(),$D$6)&amp;""))</f>
        <v/>
      </c>
      <c r="AY117" s="31">
        <f>IF($AU117="","",INDEX($AW$8:$AW$2007,MATCH($AU117,$AU$8:$AU$2007,0)))</f>
        <v/>
      </c>
      <c r="AZ117" s="31">
        <f>IF(OR($AS117="",$C$6=""),"",TRIM(INDEX($A:$AP,ROW(),$C$6)&amp;""))</f>
        <v/>
      </c>
      <c r="BA117" s="31">
        <f>IF($AZ117="","",IF(COUNTIF($AZ$8:$AZ117,$AZ117)&gt;1,1,0))</f>
        <v/>
      </c>
    </row>
    <row r="118">
      <c r="AR118" s="31">
        <f>IF(OR($A$5="",$B$6="",ROW()&lt;$A$5),"",IF(INDEX($A:$AP,ROW(),$B$6)="","",INDEX($A:$AP,ROW(),$B$6)))</f>
        <v/>
      </c>
      <c r="AS118" s="32">
        <f>IF($AR118="","",IF(ISNUMBER($AR118),IF($AR118&gt;=10000000,IFERROR(DATE(INT($AR118/10000),MOD(INT($AR118/100),100),MOD($AR118,100)),""),INT($AR118)),IFERROR(DATE(--LEFT(LEFT(SUBSTITUTE(SUBSTITUTE(SUBSTITUTE(SUBSTITUTE(TRIM($AR118),"-",""),".",""),"/","")," ",""),8),4),--MID(LEFT(SUBSTITUTE(SUBSTITUTE(SUBSTITUTE(SUBSTITUTE(TRIM($AR118),"-",""),".",""),"/","")," ",""),8),5,2),--MID(LEFT(SUBSTITUTE(SUBSTITUTE(SUBSTITUTE(SUBSTITUTE(TRIM($AR118),"-",""),".",""),"/","")," ",""),8),7,2)),"")))</f>
        <v/>
      </c>
      <c r="AT118" s="33">
        <f>IF($AS118="","",IF($F$6="",0,IF(ISNUMBER(INDEX($A:$AP,ROW(),$F$6)),INDEX($A:$AP,ROW(),$F$6),IFERROR(--SUBSTITUTE(SUBSTITUTE(TRIM(INDEX($A:$AP,ROW(),$F$6)),",",""),"원",""),0))))</f>
        <v/>
      </c>
      <c r="AU118" s="31">
        <f>IF($AS118="","",IF($AX118&lt;&gt;"",SUBSTITUTE(SUBSTITUTE($AX118,"-","")," ",""),"N:"&amp;$AV118))</f>
        <v/>
      </c>
      <c r="AV118" s="31">
        <f>IF(OR($AS118="",$E$6=""),"",TRIM(INDEX($A:$AP,ROW(),$E$6)&amp;""))</f>
        <v/>
      </c>
      <c r="AW118" s="31">
        <f>IF($AU118="","",IF(MATCH($AU118,$AU$8:$AU$2007,0)=ROW()-7,MAX($AW$7:$AW117)+1,""))</f>
        <v/>
      </c>
      <c r="AX118" s="31">
        <f>IF(OR($AS118="",$D$6=""),"",TRIM(INDEX($A:$AP,ROW(),$D$6)&amp;""))</f>
        <v/>
      </c>
      <c r="AY118" s="31">
        <f>IF($AU118="","",INDEX($AW$8:$AW$2007,MATCH($AU118,$AU$8:$AU$2007,0)))</f>
        <v/>
      </c>
      <c r="AZ118" s="31">
        <f>IF(OR($AS118="",$C$6=""),"",TRIM(INDEX($A:$AP,ROW(),$C$6)&amp;""))</f>
        <v/>
      </c>
      <c r="BA118" s="31">
        <f>IF($AZ118="","",IF(COUNTIF($AZ$8:$AZ118,$AZ118)&gt;1,1,0))</f>
        <v/>
      </c>
    </row>
    <row r="119">
      <c r="AR119" s="31">
        <f>IF(OR($A$5="",$B$6="",ROW()&lt;$A$5),"",IF(INDEX($A:$AP,ROW(),$B$6)="","",INDEX($A:$AP,ROW(),$B$6)))</f>
        <v/>
      </c>
      <c r="AS119" s="32">
        <f>IF($AR119="","",IF(ISNUMBER($AR119),IF($AR119&gt;=10000000,IFERROR(DATE(INT($AR119/10000),MOD(INT($AR119/100),100),MOD($AR119,100)),""),INT($AR119)),IFERROR(DATE(--LEFT(LEFT(SUBSTITUTE(SUBSTITUTE(SUBSTITUTE(SUBSTITUTE(TRIM($AR119),"-",""),".",""),"/","")," ",""),8),4),--MID(LEFT(SUBSTITUTE(SUBSTITUTE(SUBSTITUTE(SUBSTITUTE(TRIM($AR119),"-",""),".",""),"/","")," ",""),8),5,2),--MID(LEFT(SUBSTITUTE(SUBSTITUTE(SUBSTITUTE(SUBSTITUTE(TRIM($AR119),"-",""),".",""),"/","")," ",""),8),7,2)),"")))</f>
        <v/>
      </c>
      <c r="AT119" s="33">
        <f>IF($AS119="","",IF($F$6="",0,IF(ISNUMBER(INDEX($A:$AP,ROW(),$F$6)),INDEX($A:$AP,ROW(),$F$6),IFERROR(--SUBSTITUTE(SUBSTITUTE(TRIM(INDEX($A:$AP,ROW(),$F$6)),",",""),"원",""),0))))</f>
        <v/>
      </c>
      <c r="AU119" s="31">
        <f>IF($AS119="","",IF($AX119&lt;&gt;"",SUBSTITUTE(SUBSTITUTE($AX119,"-","")," ",""),"N:"&amp;$AV119))</f>
        <v/>
      </c>
      <c r="AV119" s="31">
        <f>IF(OR($AS119="",$E$6=""),"",TRIM(INDEX($A:$AP,ROW(),$E$6)&amp;""))</f>
        <v/>
      </c>
      <c r="AW119" s="31">
        <f>IF($AU119="","",IF(MATCH($AU119,$AU$8:$AU$2007,0)=ROW()-7,MAX($AW$7:$AW118)+1,""))</f>
        <v/>
      </c>
      <c r="AX119" s="31">
        <f>IF(OR($AS119="",$D$6=""),"",TRIM(INDEX($A:$AP,ROW(),$D$6)&amp;""))</f>
        <v/>
      </c>
      <c r="AY119" s="31">
        <f>IF($AU119="","",INDEX($AW$8:$AW$2007,MATCH($AU119,$AU$8:$AU$2007,0)))</f>
        <v/>
      </c>
      <c r="AZ119" s="31">
        <f>IF(OR($AS119="",$C$6=""),"",TRIM(INDEX($A:$AP,ROW(),$C$6)&amp;""))</f>
        <v/>
      </c>
      <c r="BA119" s="31">
        <f>IF($AZ119="","",IF(COUNTIF($AZ$8:$AZ119,$AZ119)&gt;1,1,0))</f>
        <v/>
      </c>
    </row>
    <row r="120">
      <c r="AR120" s="31">
        <f>IF(OR($A$5="",$B$6="",ROW()&lt;$A$5),"",IF(INDEX($A:$AP,ROW(),$B$6)="","",INDEX($A:$AP,ROW(),$B$6)))</f>
        <v/>
      </c>
      <c r="AS120" s="32">
        <f>IF($AR120="","",IF(ISNUMBER($AR120),IF($AR120&gt;=10000000,IFERROR(DATE(INT($AR120/10000),MOD(INT($AR120/100),100),MOD($AR120,100)),""),INT($AR120)),IFERROR(DATE(--LEFT(LEFT(SUBSTITUTE(SUBSTITUTE(SUBSTITUTE(SUBSTITUTE(TRIM($AR120),"-",""),".",""),"/","")," ",""),8),4),--MID(LEFT(SUBSTITUTE(SUBSTITUTE(SUBSTITUTE(SUBSTITUTE(TRIM($AR120),"-",""),".",""),"/","")," ",""),8),5,2),--MID(LEFT(SUBSTITUTE(SUBSTITUTE(SUBSTITUTE(SUBSTITUTE(TRIM($AR120),"-",""),".",""),"/","")," ",""),8),7,2)),"")))</f>
        <v/>
      </c>
      <c r="AT120" s="33">
        <f>IF($AS120="","",IF($F$6="",0,IF(ISNUMBER(INDEX($A:$AP,ROW(),$F$6)),INDEX($A:$AP,ROW(),$F$6),IFERROR(--SUBSTITUTE(SUBSTITUTE(TRIM(INDEX($A:$AP,ROW(),$F$6)),",",""),"원",""),0))))</f>
        <v/>
      </c>
      <c r="AU120" s="31">
        <f>IF($AS120="","",IF($AX120&lt;&gt;"",SUBSTITUTE(SUBSTITUTE($AX120,"-","")," ",""),"N:"&amp;$AV120))</f>
        <v/>
      </c>
      <c r="AV120" s="31">
        <f>IF(OR($AS120="",$E$6=""),"",TRIM(INDEX($A:$AP,ROW(),$E$6)&amp;""))</f>
        <v/>
      </c>
      <c r="AW120" s="31">
        <f>IF($AU120="","",IF(MATCH($AU120,$AU$8:$AU$2007,0)=ROW()-7,MAX($AW$7:$AW119)+1,""))</f>
        <v/>
      </c>
      <c r="AX120" s="31">
        <f>IF(OR($AS120="",$D$6=""),"",TRIM(INDEX($A:$AP,ROW(),$D$6)&amp;""))</f>
        <v/>
      </c>
      <c r="AY120" s="31">
        <f>IF($AU120="","",INDEX($AW$8:$AW$2007,MATCH($AU120,$AU$8:$AU$2007,0)))</f>
        <v/>
      </c>
      <c r="AZ120" s="31">
        <f>IF(OR($AS120="",$C$6=""),"",TRIM(INDEX($A:$AP,ROW(),$C$6)&amp;""))</f>
        <v/>
      </c>
      <c r="BA120" s="31">
        <f>IF($AZ120="","",IF(COUNTIF($AZ$8:$AZ120,$AZ120)&gt;1,1,0))</f>
        <v/>
      </c>
    </row>
    <row r="121">
      <c r="AR121" s="31">
        <f>IF(OR($A$5="",$B$6="",ROW()&lt;$A$5),"",IF(INDEX($A:$AP,ROW(),$B$6)="","",INDEX($A:$AP,ROW(),$B$6)))</f>
        <v/>
      </c>
      <c r="AS121" s="32">
        <f>IF($AR121="","",IF(ISNUMBER($AR121),IF($AR121&gt;=10000000,IFERROR(DATE(INT($AR121/10000),MOD(INT($AR121/100),100),MOD($AR121,100)),""),INT($AR121)),IFERROR(DATE(--LEFT(LEFT(SUBSTITUTE(SUBSTITUTE(SUBSTITUTE(SUBSTITUTE(TRIM($AR121),"-",""),".",""),"/","")," ",""),8),4),--MID(LEFT(SUBSTITUTE(SUBSTITUTE(SUBSTITUTE(SUBSTITUTE(TRIM($AR121),"-",""),".",""),"/","")," ",""),8),5,2),--MID(LEFT(SUBSTITUTE(SUBSTITUTE(SUBSTITUTE(SUBSTITUTE(TRIM($AR121),"-",""),".",""),"/","")," ",""),8),7,2)),"")))</f>
        <v/>
      </c>
      <c r="AT121" s="33">
        <f>IF($AS121="","",IF($F$6="",0,IF(ISNUMBER(INDEX($A:$AP,ROW(),$F$6)),INDEX($A:$AP,ROW(),$F$6),IFERROR(--SUBSTITUTE(SUBSTITUTE(TRIM(INDEX($A:$AP,ROW(),$F$6)),",",""),"원",""),0))))</f>
        <v/>
      </c>
      <c r="AU121" s="31">
        <f>IF($AS121="","",IF($AX121&lt;&gt;"",SUBSTITUTE(SUBSTITUTE($AX121,"-","")," ",""),"N:"&amp;$AV121))</f>
        <v/>
      </c>
      <c r="AV121" s="31">
        <f>IF(OR($AS121="",$E$6=""),"",TRIM(INDEX($A:$AP,ROW(),$E$6)&amp;""))</f>
        <v/>
      </c>
      <c r="AW121" s="31">
        <f>IF($AU121="","",IF(MATCH($AU121,$AU$8:$AU$2007,0)=ROW()-7,MAX($AW$7:$AW120)+1,""))</f>
        <v/>
      </c>
      <c r="AX121" s="31">
        <f>IF(OR($AS121="",$D$6=""),"",TRIM(INDEX($A:$AP,ROW(),$D$6)&amp;""))</f>
        <v/>
      </c>
      <c r="AY121" s="31">
        <f>IF($AU121="","",INDEX($AW$8:$AW$2007,MATCH($AU121,$AU$8:$AU$2007,0)))</f>
        <v/>
      </c>
      <c r="AZ121" s="31">
        <f>IF(OR($AS121="",$C$6=""),"",TRIM(INDEX($A:$AP,ROW(),$C$6)&amp;""))</f>
        <v/>
      </c>
      <c r="BA121" s="31">
        <f>IF($AZ121="","",IF(COUNTIF($AZ$8:$AZ121,$AZ121)&gt;1,1,0))</f>
        <v/>
      </c>
    </row>
    <row r="122">
      <c r="AR122" s="31">
        <f>IF(OR($A$5="",$B$6="",ROW()&lt;$A$5),"",IF(INDEX($A:$AP,ROW(),$B$6)="","",INDEX($A:$AP,ROW(),$B$6)))</f>
        <v/>
      </c>
      <c r="AS122" s="32">
        <f>IF($AR122="","",IF(ISNUMBER($AR122),IF($AR122&gt;=10000000,IFERROR(DATE(INT($AR122/10000),MOD(INT($AR122/100),100),MOD($AR122,100)),""),INT($AR122)),IFERROR(DATE(--LEFT(LEFT(SUBSTITUTE(SUBSTITUTE(SUBSTITUTE(SUBSTITUTE(TRIM($AR122),"-",""),".",""),"/","")," ",""),8),4),--MID(LEFT(SUBSTITUTE(SUBSTITUTE(SUBSTITUTE(SUBSTITUTE(TRIM($AR122),"-",""),".",""),"/","")," ",""),8),5,2),--MID(LEFT(SUBSTITUTE(SUBSTITUTE(SUBSTITUTE(SUBSTITUTE(TRIM($AR122),"-",""),".",""),"/","")," ",""),8),7,2)),"")))</f>
        <v/>
      </c>
      <c r="AT122" s="33">
        <f>IF($AS122="","",IF($F$6="",0,IF(ISNUMBER(INDEX($A:$AP,ROW(),$F$6)),INDEX($A:$AP,ROW(),$F$6),IFERROR(--SUBSTITUTE(SUBSTITUTE(TRIM(INDEX($A:$AP,ROW(),$F$6)),",",""),"원",""),0))))</f>
        <v/>
      </c>
      <c r="AU122" s="31">
        <f>IF($AS122="","",IF($AX122&lt;&gt;"",SUBSTITUTE(SUBSTITUTE($AX122,"-","")," ",""),"N:"&amp;$AV122))</f>
        <v/>
      </c>
      <c r="AV122" s="31">
        <f>IF(OR($AS122="",$E$6=""),"",TRIM(INDEX($A:$AP,ROW(),$E$6)&amp;""))</f>
        <v/>
      </c>
      <c r="AW122" s="31">
        <f>IF($AU122="","",IF(MATCH($AU122,$AU$8:$AU$2007,0)=ROW()-7,MAX($AW$7:$AW121)+1,""))</f>
        <v/>
      </c>
      <c r="AX122" s="31">
        <f>IF(OR($AS122="",$D$6=""),"",TRIM(INDEX($A:$AP,ROW(),$D$6)&amp;""))</f>
        <v/>
      </c>
      <c r="AY122" s="31">
        <f>IF($AU122="","",INDEX($AW$8:$AW$2007,MATCH($AU122,$AU$8:$AU$2007,0)))</f>
        <v/>
      </c>
      <c r="AZ122" s="31">
        <f>IF(OR($AS122="",$C$6=""),"",TRIM(INDEX($A:$AP,ROW(),$C$6)&amp;""))</f>
        <v/>
      </c>
      <c r="BA122" s="31">
        <f>IF($AZ122="","",IF(COUNTIF($AZ$8:$AZ122,$AZ122)&gt;1,1,0))</f>
        <v/>
      </c>
    </row>
    <row r="123">
      <c r="AR123" s="31">
        <f>IF(OR($A$5="",$B$6="",ROW()&lt;$A$5),"",IF(INDEX($A:$AP,ROW(),$B$6)="","",INDEX($A:$AP,ROW(),$B$6)))</f>
        <v/>
      </c>
      <c r="AS123" s="32">
        <f>IF($AR123="","",IF(ISNUMBER($AR123),IF($AR123&gt;=10000000,IFERROR(DATE(INT($AR123/10000),MOD(INT($AR123/100),100),MOD($AR123,100)),""),INT($AR123)),IFERROR(DATE(--LEFT(LEFT(SUBSTITUTE(SUBSTITUTE(SUBSTITUTE(SUBSTITUTE(TRIM($AR123),"-",""),".",""),"/","")," ",""),8),4),--MID(LEFT(SUBSTITUTE(SUBSTITUTE(SUBSTITUTE(SUBSTITUTE(TRIM($AR123),"-",""),".",""),"/","")," ",""),8),5,2),--MID(LEFT(SUBSTITUTE(SUBSTITUTE(SUBSTITUTE(SUBSTITUTE(TRIM($AR123),"-",""),".",""),"/","")," ",""),8),7,2)),"")))</f>
        <v/>
      </c>
      <c r="AT123" s="33">
        <f>IF($AS123="","",IF($F$6="",0,IF(ISNUMBER(INDEX($A:$AP,ROW(),$F$6)),INDEX($A:$AP,ROW(),$F$6),IFERROR(--SUBSTITUTE(SUBSTITUTE(TRIM(INDEX($A:$AP,ROW(),$F$6)),",",""),"원",""),0))))</f>
        <v/>
      </c>
      <c r="AU123" s="31">
        <f>IF($AS123="","",IF($AX123&lt;&gt;"",SUBSTITUTE(SUBSTITUTE($AX123,"-","")," ",""),"N:"&amp;$AV123))</f>
        <v/>
      </c>
      <c r="AV123" s="31">
        <f>IF(OR($AS123="",$E$6=""),"",TRIM(INDEX($A:$AP,ROW(),$E$6)&amp;""))</f>
        <v/>
      </c>
      <c r="AW123" s="31">
        <f>IF($AU123="","",IF(MATCH($AU123,$AU$8:$AU$2007,0)=ROW()-7,MAX($AW$7:$AW122)+1,""))</f>
        <v/>
      </c>
      <c r="AX123" s="31">
        <f>IF(OR($AS123="",$D$6=""),"",TRIM(INDEX($A:$AP,ROW(),$D$6)&amp;""))</f>
        <v/>
      </c>
      <c r="AY123" s="31">
        <f>IF($AU123="","",INDEX($AW$8:$AW$2007,MATCH($AU123,$AU$8:$AU$2007,0)))</f>
        <v/>
      </c>
      <c r="AZ123" s="31">
        <f>IF(OR($AS123="",$C$6=""),"",TRIM(INDEX($A:$AP,ROW(),$C$6)&amp;""))</f>
        <v/>
      </c>
      <c r="BA123" s="31">
        <f>IF($AZ123="","",IF(COUNTIF($AZ$8:$AZ123,$AZ123)&gt;1,1,0))</f>
        <v/>
      </c>
    </row>
    <row r="124">
      <c r="AR124" s="31">
        <f>IF(OR($A$5="",$B$6="",ROW()&lt;$A$5),"",IF(INDEX($A:$AP,ROW(),$B$6)="","",INDEX($A:$AP,ROW(),$B$6)))</f>
        <v/>
      </c>
      <c r="AS124" s="32">
        <f>IF($AR124="","",IF(ISNUMBER($AR124),IF($AR124&gt;=10000000,IFERROR(DATE(INT($AR124/10000),MOD(INT($AR124/100),100),MOD($AR124,100)),""),INT($AR124)),IFERROR(DATE(--LEFT(LEFT(SUBSTITUTE(SUBSTITUTE(SUBSTITUTE(SUBSTITUTE(TRIM($AR124),"-",""),".",""),"/","")," ",""),8),4),--MID(LEFT(SUBSTITUTE(SUBSTITUTE(SUBSTITUTE(SUBSTITUTE(TRIM($AR124),"-",""),".",""),"/","")," ",""),8),5,2),--MID(LEFT(SUBSTITUTE(SUBSTITUTE(SUBSTITUTE(SUBSTITUTE(TRIM($AR124),"-",""),".",""),"/","")," ",""),8),7,2)),"")))</f>
        <v/>
      </c>
      <c r="AT124" s="33">
        <f>IF($AS124="","",IF($F$6="",0,IF(ISNUMBER(INDEX($A:$AP,ROW(),$F$6)),INDEX($A:$AP,ROW(),$F$6),IFERROR(--SUBSTITUTE(SUBSTITUTE(TRIM(INDEX($A:$AP,ROW(),$F$6)),",",""),"원",""),0))))</f>
        <v/>
      </c>
      <c r="AU124" s="31">
        <f>IF($AS124="","",IF($AX124&lt;&gt;"",SUBSTITUTE(SUBSTITUTE($AX124,"-","")," ",""),"N:"&amp;$AV124))</f>
        <v/>
      </c>
      <c r="AV124" s="31">
        <f>IF(OR($AS124="",$E$6=""),"",TRIM(INDEX($A:$AP,ROW(),$E$6)&amp;""))</f>
        <v/>
      </c>
      <c r="AW124" s="31">
        <f>IF($AU124="","",IF(MATCH($AU124,$AU$8:$AU$2007,0)=ROW()-7,MAX($AW$7:$AW123)+1,""))</f>
        <v/>
      </c>
      <c r="AX124" s="31">
        <f>IF(OR($AS124="",$D$6=""),"",TRIM(INDEX($A:$AP,ROW(),$D$6)&amp;""))</f>
        <v/>
      </c>
      <c r="AY124" s="31">
        <f>IF($AU124="","",INDEX($AW$8:$AW$2007,MATCH($AU124,$AU$8:$AU$2007,0)))</f>
        <v/>
      </c>
      <c r="AZ124" s="31">
        <f>IF(OR($AS124="",$C$6=""),"",TRIM(INDEX($A:$AP,ROW(),$C$6)&amp;""))</f>
        <v/>
      </c>
      <c r="BA124" s="31">
        <f>IF($AZ124="","",IF(COUNTIF($AZ$8:$AZ124,$AZ124)&gt;1,1,0))</f>
        <v/>
      </c>
    </row>
    <row r="125">
      <c r="AR125" s="31">
        <f>IF(OR($A$5="",$B$6="",ROW()&lt;$A$5),"",IF(INDEX($A:$AP,ROW(),$B$6)="","",INDEX($A:$AP,ROW(),$B$6)))</f>
        <v/>
      </c>
      <c r="AS125" s="32">
        <f>IF($AR125="","",IF(ISNUMBER($AR125),IF($AR125&gt;=10000000,IFERROR(DATE(INT($AR125/10000),MOD(INT($AR125/100),100),MOD($AR125,100)),""),INT($AR125)),IFERROR(DATE(--LEFT(LEFT(SUBSTITUTE(SUBSTITUTE(SUBSTITUTE(SUBSTITUTE(TRIM($AR125),"-",""),".",""),"/","")," ",""),8),4),--MID(LEFT(SUBSTITUTE(SUBSTITUTE(SUBSTITUTE(SUBSTITUTE(TRIM($AR125),"-",""),".",""),"/","")," ",""),8),5,2),--MID(LEFT(SUBSTITUTE(SUBSTITUTE(SUBSTITUTE(SUBSTITUTE(TRIM($AR125),"-",""),".",""),"/","")," ",""),8),7,2)),"")))</f>
        <v/>
      </c>
      <c r="AT125" s="33">
        <f>IF($AS125="","",IF($F$6="",0,IF(ISNUMBER(INDEX($A:$AP,ROW(),$F$6)),INDEX($A:$AP,ROW(),$F$6),IFERROR(--SUBSTITUTE(SUBSTITUTE(TRIM(INDEX($A:$AP,ROW(),$F$6)),",",""),"원",""),0))))</f>
        <v/>
      </c>
      <c r="AU125" s="31">
        <f>IF($AS125="","",IF($AX125&lt;&gt;"",SUBSTITUTE(SUBSTITUTE($AX125,"-","")," ",""),"N:"&amp;$AV125))</f>
        <v/>
      </c>
      <c r="AV125" s="31">
        <f>IF(OR($AS125="",$E$6=""),"",TRIM(INDEX($A:$AP,ROW(),$E$6)&amp;""))</f>
        <v/>
      </c>
      <c r="AW125" s="31">
        <f>IF($AU125="","",IF(MATCH($AU125,$AU$8:$AU$2007,0)=ROW()-7,MAX($AW$7:$AW124)+1,""))</f>
        <v/>
      </c>
      <c r="AX125" s="31">
        <f>IF(OR($AS125="",$D$6=""),"",TRIM(INDEX($A:$AP,ROW(),$D$6)&amp;""))</f>
        <v/>
      </c>
      <c r="AY125" s="31">
        <f>IF($AU125="","",INDEX($AW$8:$AW$2007,MATCH($AU125,$AU$8:$AU$2007,0)))</f>
        <v/>
      </c>
      <c r="AZ125" s="31">
        <f>IF(OR($AS125="",$C$6=""),"",TRIM(INDEX($A:$AP,ROW(),$C$6)&amp;""))</f>
        <v/>
      </c>
      <c r="BA125" s="31">
        <f>IF($AZ125="","",IF(COUNTIF($AZ$8:$AZ125,$AZ125)&gt;1,1,0))</f>
        <v/>
      </c>
    </row>
    <row r="126">
      <c r="AR126" s="31">
        <f>IF(OR($A$5="",$B$6="",ROW()&lt;$A$5),"",IF(INDEX($A:$AP,ROW(),$B$6)="","",INDEX($A:$AP,ROW(),$B$6)))</f>
        <v/>
      </c>
      <c r="AS126" s="32">
        <f>IF($AR126="","",IF(ISNUMBER($AR126),IF($AR126&gt;=10000000,IFERROR(DATE(INT($AR126/10000),MOD(INT($AR126/100),100),MOD($AR126,100)),""),INT($AR126)),IFERROR(DATE(--LEFT(LEFT(SUBSTITUTE(SUBSTITUTE(SUBSTITUTE(SUBSTITUTE(TRIM($AR126),"-",""),".",""),"/","")," ",""),8),4),--MID(LEFT(SUBSTITUTE(SUBSTITUTE(SUBSTITUTE(SUBSTITUTE(TRIM($AR126),"-",""),".",""),"/","")," ",""),8),5,2),--MID(LEFT(SUBSTITUTE(SUBSTITUTE(SUBSTITUTE(SUBSTITUTE(TRIM($AR126),"-",""),".",""),"/","")," ",""),8),7,2)),"")))</f>
        <v/>
      </c>
      <c r="AT126" s="33">
        <f>IF($AS126="","",IF($F$6="",0,IF(ISNUMBER(INDEX($A:$AP,ROW(),$F$6)),INDEX($A:$AP,ROW(),$F$6),IFERROR(--SUBSTITUTE(SUBSTITUTE(TRIM(INDEX($A:$AP,ROW(),$F$6)),",",""),"원",""),0))))</f>
        <v/>
      </c>
      <c r="AU126" s="31">
        <f>IF($AS126="","",IF($AX126&lt;&gt;"",SUBSTITUTE(SUBSTITUTE($AX126,"-","")," ",""),"N:"&amp;$AV126))</f>
        <v/>
      </c>
      <c r="AV126" s="31">
        <f>IF(OR($AS126="",$E$6=""),"",TRIM(INDEX($A:$AP,ROW(),$E$6)&amp;""))</f>
        <v/>
      </c>
      <c r="AW126" s="31">
        <f>IF($AU126="","",IF(MATCH($AU126,$AU$8:$AU$2007,0)=ROW()-7,MAX($AW$7:$AW125)+1,""))</f>
        <v/>
      </c>
      <c r="AX126" s="31">
        <f>IF(OR($AS126="",$D$6=""),"",TRIM(INDEX($A:$AP,ROW(),$D$6)&amp;""))</f>
        <v/>
      </c>
      <c r="AY126" s="31">
        <f>IF($AU126="","",INDEX($AW$8:$AW$2007,MATCH($AU126,$AU$8:$AU$2007,0)))</f>
        <v/>
      </c>
      <c r="AZ126" s="31">
        <f>IF(OR($AS126="",$C$6=""),"",TRIM(INDEX($A:$AP,ROW(),$C$6)&amp;""))</f>
        <v/>
      </c>
      <c r="BA126" s="31">
        <f>IF($AZ126="","",IF(COUNTIF($AZ$8:$AZ126,$AZ126)&gt;1,1,0))</f>
        <v/>
      </c>
    </row>
    <row r="127">
      <c r="AR127" s="31">
        <f>IF(OR($A$5="",$B$6="",ROW()&lt;$A$5),"",IF(INDEX($A:$AP,ROW(),$B$6)="","",INDEX($A:$AP,ROW(),$B$6)))</f>
        <v/>
      </c>
      <c r="AS127" s="32">
        <f>IF($AR127="","",IF(ISNUMBER($AR127),IF($AR127&gt;=10000000,IFERROR(DATE(INT($AR127/10000),MOD(INT($AR127/100),100),MOD($AR127,100)),""),INT($AR127)),IFERROR(DATE(--LEFT(LEFT(SUBSTITUTE(SUBSTITUTE(SUBSTITUTE(SUBSTITUTE(TRIM($AR127),"-",""),".",""),"/","")," ",""),8),4),--MID(LEFT(SUBSTITUTE(SUBSTITUTE(SUBSTITUTE(SUBSTITUTE(TRIM($AR127),"-",""),".",""),"/","")," ",""),8),5,2),--MID(LEFT(SUBSTITUTE(SUBSTITUTE(SUBSTITUTE(SUBSTITUTE(TRIM($AR127),"-",""),".",""),"/","")," ",""),8),7,2)),"")))</f>
        <v/>
      </c>
      <c r="AT127" s="33">
        <f>IF($AS127="","",IF($F$6="",0,IF(ISNUMBER(INDEX($A:$AP,ROW(),$F$6)),INDEX($A:$AP,ROW(),$F$6),IFERROR(--SUBSTITUTE(SUBSTITUTE(TRIM(INDEX($A:$AP,ROW(),$F$6)),",",""),"원",""),0))))</f>
        <v/>
      </c>
      <c r="AU127" s="31">
        <f>IF($AS127="","",IF($AX127&lt;&gt;"",SUBSTITUTE(SUBSTITUTE($AX127,"-","")," ",""),"N:"&amp;$AV127))</f>
        <v/>
      </c>
      <c r="AV127" s="31">
        <f>IF(OR($AS127="",$E$6=""),"",TRIM(INDEX($A:$AP,ROW(),$E$6)&amp;""))</f>
        <v/>
      </c>
      <c r="AW127" s="31">
        <f>IF($AU127="","",IF(MATCH($AU127,$AU$8:$AU$2007,0)=ROW()-7,MAX($AW$7:$AW126)+1,""))</f>
        <v/>
      </c>
      <c r="AX127" s="31">
        <f>IF(OR($AS127="",$D$6=""),"",TRIM(INDEX($A:$AP,ROW(),$D$6)&amp;""))</f>
        <v/>
      </c>
      <c r="AY127" s="31">
        <f>IF($AU127="","",INDEX($AW$8:$AW$2007,MATCH($AU127,$AU$8:$AU$2007,0)))</f>
        <v/>
      </c>
      <c r="AZ127" s="31">
        <f>IF(OR($AS127="",$C$6=""),"",TRIM(INDEX($A:$AP,ROW(),$C$6)&amp;""))</f>
        <v/>
      </c>
      <c r="BA127" s="31">
        <f>IF($AZ127="","",IF(COUNTIF($AZ$8:$AZ127,$AZ127)&gt;1,1,0))</f>
        <v/>
      </c>
    </row>
    <row r="128">
      <c r="AR128" s="31">
        <f>IF(OR($A$5="",$B$6="",ROW()&lt;$A$5),"",IF(INDEX($A:$AP,ROW(),$B$6)="","",INDEX($A:$AP,ROW(),$B$6)))</f>
        <v/>
      </c>
      <c r="AS128" s="32">
        <f>IF($AR128="","",IF(ISNUMBER($AR128),IF($AR128&gt;=10000000,IFERROR(DATE(INT($AR128/10000),MOD(INT($AR128/100),100),MOD($AR128,100)),""),INT($AR128)),IFERROR(DATE(--LEFT(LEFT(SUBSTITUTE(SUBSTITUTE(SUBSTITUTE(SUBSTITUTE(TRIM($AR128),"-",""),".",""),"/","")," ",""),8),4),--MID(LEFT(SUBSTITUTE(SUBSTITUTE(SUBSTITUTE(SUBSTITUTE(TRIM($AR128),"-",""),".",""),"/","")," ",""),8),5,2),--MID(LEFT(SUBSTITUTE(SUBSTITUTE(SUBSTITUTE(SUBSTITUTE(TRIM($AR128),"-",""),".",""),"/","")," ",""),8),7,2)),"")))</f>
        <v/>
      </c>
      <c r="AT128" s="33">
        <f>IF($AS128="","",IF($F$6="",0,IF(ISNUMBER(INDEX($A:$AP,ROW(),$F$6)),INDEX($A:$AP,ROW(),$F$6),IFERROR(--SUBSTITUTE(SUBSTITUTE(TRIM(INDEX($A:$AP,ROW(),$F$6)),",",""),"원",""),0))))</f>
        <v/>
      </c>
      <c r="AU128" s="31">
        <f>IF($AS128="","",IF($AX128&lt;&gt;"",SUBSTITUTE(SUBSTITUTE($AX128,"-","")," ",""),"N:"&amp;$AV128))</f>
        <v/>
      </c>
      <c r="AV128" s="31">
        <f>IF(OR($AS128="",$E$6=""),"",TRIM(INDEX($A:$AP,ROW(),$E$6)&amp;""))</f>
        <v/>
      </c>
      <c r="AW128" s="31">
        <f>IF($AU128="","",IF(MATCH($AU128,$AU$8:$AU$2007,0)=ROW()-7,MAX($AW$7:$AW127)+1,""))</f>
        <v/>
      </c>
      <c r="AX128" s="31">
        <f>IF(OR($AS128="",$D$6=""),"",TRIM(INDEX($A:$AP,ROW(),$D$6)&amp;""))</f>
        <v/>
      </c>
      <c r="AY128" s="31">
        <f>IF($AU128="","",INDEX($AW$8:$AW$2007,MATCH($AU128,$AU$8:$AU$2007,0)))</f>
        <v/>
      </c>
      <c r="AZ128" s="31">
        <f>IF(OR($AS128="",$C$6=""),"",TRIM(INDEX($A:$AP,ROW(),$C$6)&amp;""))</f>
        <v/>
      </c>
      <c r="BA128" s="31">
        <f>IF($AZ128="","",IF(COUNTIF($AZ$8:$AZ128,$AZ128)&gt;1,1,0))</f>
        <v/>
      </c>
    </row>
    <row r="129">
      <c r="AR129" s="31">
        <f>IF(OR($A$5="",$B$6="",ROW()&lt;$A$5),"",IF(INDEX($A:$AP,ROW(),$B$6)="","",INDEX($A:$AP,ROW(),$B$6)))</f>
        <v/>
      </c>
      <c r="AS129" s="32">
        <f>IF($AR129="","",IF(ISNUMBER($AR129),IF($AR129&gt;=10000000,IFERROR(DATE(INT($AR129/10000),MOD(INT($AR129/100),100),MOD($AR129,100)),""),INT($AR129)),IFERROR(DATE(--LEFT(LEFT(SUBSTITUTE(SUBSTITUTE(SUBSTITUTE(SUBSTITUTE(TRIM($AR129),"-",""),".",""),"/","")," ",""),8),4),--MID(LEFT(SUBSTITUTE(SUBSTITUTE(SUBSTITUTE(SUBSTITUTE(TRIM($AR129),"-",""),".",""),"/","")," ",""),8),5,2),--MID(LEFT(SUBSTITUTE(SUBSTITUTE(SUBSTITUTE(SUBSTITUTE(TRIM($AR129),"-",""),".",""),"/","")," ",""),8),7,2)),"")))</f>
        <v/>
      </c>
      <c r="AT129" s="33">
        <f>IF($AS129="","",IF($F$6="",0,IF(ISNUMBER(INDEX($A:$AP,ROW(),$F$6)),INDEX($A:$AP,ROW(),$F$6),IFERROR(--SUBSTITUTE(SUBSTITUTE(TRIM(INDEX($A:$AP,ROW(),$F$6)),",",""),"원",""),0))))</f>
        <v/>
      </c>
      <c r="AU129" s="31">
        <f>IF($AS129="","",IF($AX129&lt;&gt;"",SUBSTITUTE(SUBSTITUTE($AX129,"-","")," ",""),"N:"&amp;$AV129))</f>
        <v/>
      </c>
      <c r="AV129" s="31">
        <f>IF(OR($AS129="",$E$6=""),"",TRIM(INDEX($A:$AP,ROW(),$E$6)&amp;""))</f>
        <v/>
      </c>
      <c r="AW129" s="31">
        <f>IF($AU129="","",IF(MATCH($AU129,$AU$8:$AU$2007,0)=ROW()-7,MAX($AW$7:$AW128)+1,""))</f>
        <v/>
      </c>
      <c r="AX129" s="31">
        <f>IF(OR($AS129="",$D$6=""),"",TRIM(INDEX($A:$AP,ROW(),$D$6)&amp;""))</f>
        <v/>
      </c>
      <c r="AY129" s="31">
        <f>IF($AU129="","",INDEX($AW$8:$AW$2007,MATCH($AU129,$AU$8:$AU$2007,0)))</f>
        <v/>
      </c>
      <c r="AZ129" s="31">
        <f>IF(OR($AS129="",$C$6=""),"",TRIM(INDEX($A:$AP,ROW(),$C$6)&amp;""))</f>
        <v/>
      </c>
      <c r="BA129" s="31">
        <f>IF($AZ129="","",IF(COUNTIF($AZ$8:$AZ129,$AZ129)&gt;1,1,0))</f>
        <v/>
      </c>
    </row>
    <row r="130">
      <c r="AR130" s="31">
        <f>IF(OR($A$5="",$B$6="",ROW()&lt;$A$5),"",IF(INDEX($A:$AP,ROW(),$B$6)="","",INDEX($A:$AP,ROW(),$B$6)))</f>
        <v/>
      </c>
      <c r="AS130" s="32">
        <f>IF($AR130="","",IF(ISNUMBER($AR130),IF($AR130&gt;=10000000,IFERROR(DATE(INT($AR130/10000),MOD(INT($AR130/100),100),MOD($AR130,100)),""),INT($AR130)),IFERROR(DATE(--LEFT(LEFT(SUBSTITUTE(SUBSTITUTE(SUBSTITUTE(SUBSTITUTE(TRIM($AR130),"-",""),".",""),"/","")," ",""),8),4),--MID(LEFT(SUBSTITUTE(SUBSTITUTE(SUBSTITUTE(SUBSTITUTE(TRIM($AR130),"-",""),".",""),"/","")," ",""),8),5,2),--MID(LEFT(SUBSTITUTE(SUBSTITUTE(SUBSTITUTE(SUBSTITUTE(TRIM($AR130),"-",""),".",""),"/","")," ",""),8),7,2)),"")))</f>
        <v/>
      </c>
      <c r="AT130" s="33">
        <f>IF($AS130="","",IF($F$6="",0,IF(ISNUMBER(INDEX($A:$AP,ROW(),$F$6)),INDEX($A:$AP,ROW(),$F$6),IFERROR(--SUBSTITUTE(SUBSTITUTE(TRIM(INDEX($A:$AP,ROW(),$F$6)),",",""),"원",""),0))))</f>
        <v/>
      </c>
      <c r="AU130" s="31">
        <f>IF($AS130="","",IF($AX130&lt;&gt;"",SUBSTITUTE(SUBSTITUTE($AX130,"-","")," ",""),"N:"&amp;$AV130))</f>
        <v/>
      </c>
      <c r="AV130" s="31">
        <f>IF(OR($AS130="",$E$6=""),"",TRIM(INDEX($A:$AP,ROW(),$E$6)&amp;""))</f>
        <v/>
      </c>
      <c r="AW130" s="31">
        <f>IF($AU130="","",IF(MATCH($AU130,$AU$8:$AU$2007,0)=ROW()-7,MAX($AW$7:$AW129)+1,""))</f>
        <v/>
      </c>
      <c r="AX130" s="31">
        <f>IF(OR($AS130="",$D$6=""),"",TRIM(INDEX($A:$AP,ROW(),$D$6)&amp;""))</f>
        <v/>
      </c>
      <c r="AY130" s="31">
        <f>IF($AU130="","",INDEX($AW$8:$AW$2007,MATCH($AU130,$AU$8:$AU$2007,0)))</f>
        <v/>
      </c>
      <c r="AZ130" s="31">
        <f>IF(OR($AS130="",$C$6=""),"",TRIM(INDEX($A:$AP,ROW(),$C$6)&amp;""))</f>
        <v/>
      </c>
      <c r="BA130" s="31">
        <f>IF($AZ130="","",IF(COUNTIF($AZ$8:$AZ130,$AZ130)&gt;1,1,0))</f>
        <v/>
      </c>
    </row>
    <row r="131">
      <c r="AR131" s="31">
        <f>IF(OR($A$5="",$B$6="",ROW()&lt;$A$5),"",IF(INDEX($A:$AP,ROW(),$B$6)="","",INDEX($A:$AP,ROW(),$B$6)))</f>
        <v/>
      </c>
      <c r="AS131" s="32">
        <f>IF($AR131="","",IF(ISNUMBER($AR131),IF($AR131&gt;=10000000,IFERROR(DATE(INT($AR131/10000),MOD(INT($AR131/100),100),MOD($AR131,100)),""),INT($AR131)),IFERROR(DATE(--LEFT(LEFT(SUBSTITUTE(SUBSTITUTE(SUBSTITUTE(SUBSTITUTE(TRIM($AR131),"-",""),".",""),"/","")," ",""),8),4),--MID(LEFT(SUBSTITUTE(SUBSTITUTE(SUBSTITUTE(SUBSTITUTE(TRIM($AR131),"-",""),".",""),"/","")," ",""),8),5,2),--MID(LEFT(SUBSTITUTE(SUBSTITUTE(SUBSTITUTE(SUBSTITUTE(TRIM($AR131),"-",""),".",""),"/","")," ",""),8),7,2)),"")))</f>
        <v/>
      </c>
      <c r="AT131" s="33">
        <f>IF($AS131="","",IF($F$6="",0,IF(ISNUMBER(INDEX($A:$AP,ROW(),$F$6)),INDEX($A:$AP,ROW(),$F$6),IFERROR(--SUBSTITUTE(SUBSTITUTE(TRIM(INDEX($A:$AP,ROW(),$F$6)),",",""),"원",""),0))))</f>
        <v/>
      </c>
      <c r="AU131" s="31">
        <f>IF($AS131="","",IF($AX131&lt;&gt;"",SUBSTITUTE(SUBSTITUTE($AX131,"-","")," ",""),"N:"&amp;$AV131))</f>
        <v/>
      </c>
      <c r="AV131" s="31">
        <f>IF(OR($AS131="",$E$6=""),"",TRIM(INDEX($A:$AP,ROW(),$E$6)&amp;""))</f>
        <v/>
      </c>
      <c r="AW131" s="31">
        <f>IF($AU131="","",IF(MATCH($AU131,$AU$8:$AU$2007,0)=ROW()-7,MAX($AW$7:$AW130)+1,""))</f>
        <v/>
      </c>
      <c r="AX131" s="31">
        <f>IF(OR($AS131="",$D$6=""),"",TRIM(INDEX($A:$AP,ROW(),$D$6)&amp;""))</f>
        <v/>
      </c>
      <c r="AY131" s="31">
        <f>IF($AU131="","",INDEX($AW$8:$AW$2007,MATCH($AU131,$AU$8:$AU$2007,0)))</f>
        <v/>
      </c>
      <c r="AZ131" s="31">
        <f>IF(OR($AS131="",$C$6=""),"",TRIM(INDEX($A:$AP,ROW(),$C$6)&amp;""))</f>
        <v/>
      </c>
      <c r="BA131" s="31">
        <f>IF($AZ131="","",IF(COUNTIF($AZ$8:$AZ131,$AZ131)&gt;1,1,0))</f>
        <v/>
      </c>
    </row>
    <row r="132">
      <c r="AR132" s="31">
        <f>IF(OR($A$5="",$B$6="",ROW()&lt;$A$5),"",IF(INDEX($A:$AP,ROW(),$B$6)="","",INDEX($A:$AP,ROW(),$B$6)))</f>
        <v/>
      </c>
      <c r="AS132" s="32">
        <f>IF($AR132="","",IF(ISNUMBER($AR132),IF($AR132&gt;=10000000,IFERROR(DATE(INT($AR132/10000),MOD(INT($AR132/100),100),MOD($AR132,100)),""),INT($AR132)),IFERROR(DATE(--LEFT(LEFT(SUBSTITUTE(SUBSTITUTE(SUBSTITUTE(SUBSTITUTE(TRIM($AR132),"-",""),".",""),"/","")," ",""),8),4),--MID(LEFT(SUBSTITUTE(SUBSTITUTE(SUBSTITUTE(SUBSTITUTE(TRIM($AR132),"-",""),".",""),"/","")," ",""),8),5,2),--MID(LEFT(SUBSTITUTE(SUBSTITUTE(SUBSTITUTE(SUBSTITUTE(TRIM($AR132),"-",""),".",""),"/","")," ",""),8),7,2)),"")))</f>
        <v/>
      </c>
      <c r="AT132" s="33">
        <f>IF($AS132="","",IF($F$6="",0,IF(ISNUMBER(INDEX($A:$AP,ROW(),$F$6)),INDEX($A:$AP,ROW(),$F$6),IFERROR(--SUBSTITUTE(SUBSTITUTE(TRIM(INDEX($A:$AP,ROW(),$F$6)),",",""),"원",""),0))))</f>
        <v/>
      </c>
      <c r="AU132" s="31">
        <f>IF($AS132="","",IF($AX132&lt;&gt;"",SUBSTITUTE(SUBSTITUTE($AX132,"-","")," ",""),"N:"&amp;$AV132))</f>
        <v/>
      </c>
      <c r="AV132" s="31">
        <f>IF(OR($AS132="",$E$6=""),"",TRIM(INDEX($A:$AP,ROW(),$E$6)&amp;""))</f>
        <v/>
      </c>
      <c r="AW132" s="31">
        <f>IF($AU132="","",IF(MATCH($AU132,$AU$8:$AU$2007,0)=ROW()-7,MAX($AW$7:$AW131)+1,""))</f>
        <v/>
      </c>
      <c r="AX132" s="31">
        <f>IF(OR($AS132="",$D$6=""),"",TRIM(INDEX($A:$AP,ROW(),$D$6)&amp;""))</f>
        <v/>
      </c>
      <c r="AY132" s="31">
        <f>IF($AU132="","",INDEX($AW$8:$AW$2007,MATCH($AU132,$AU$8:$AU$2007,0)))</f>
        <v/>
      </c>
      <c r="AZ132" s="31">
        <f>IF(OR($AS132="",$C$6=""),"",TRIM(INDEX($A:$AP,ROW(),$C$6)&amp;""))</f>
        <v/>
      </c>
      <c r="BA132" s="31">
        <f>IF($AZ132="","",IF(COUNTIF($AZ$8:$AZ132,$AZ132)&gt;1,1,0))</f>
        <v/>
      </c>
    </row>
    <row r="133">
      <c r="AR133" s="31">
        <f>IF(OR($A$5="",$B$6="",ROW()&lt;$A$5),"",IF(INDEX($A:$AP,ROW(),$B$6)="","",INDEX($A:$AP,ROW(),$B$6)))</f>
        <v/>
      </c>
      <c r="AS133" s="32">
        <f>IF($AR133="","",IF(ISNUMBER($AR133),IF($AR133&gt;=10000000,IFERROR(DATE(INT($AR133/10000),MOD(INT($AR133/100),100),MOD($AR133,100)),""),INT($AR133)),IFERROR(DATE(--LEFT(LEFT(SUBSTITUTE(SUBSTITUTE(SUBSTITUTE(SUBSTITUTE(TRIM($AR133),"-",""),".",""),"/","")," ",""),8),4),--MID(LEFT(SUBSTITUTE(SUBSTITUTE(SUBSTITUTE(SUBSTITUTE(TRIM($AR133),"-",""),".",""),"/","")," ",""),8),5,2),--MID(LEFT(SUBSTITUTE(SUBSTITUTE(SUBSTITUTE(SUBSTITUTE(TRIM($AR133),"-",""),".",""),"/","")," ",""),8),7,2)),"")))</f>
        <v/>
      </c>
      <c r="AT133" s="33">
        <f>IF($AS133="","",IF($F$6="",0,IF(ISNUMBER(INDEX($A:$AP,ROW(),$F$6)),INDEX($A:$AP,ROW(),$F$6),IFERROR(--SUBSTITUTE(SUBSTITUTE(TRIM(INDEX($A:$AP,ROW(),$F$6)),",",""),"원",""),0))))</f>
        <v/>
      </c>
      <c r="AU133" s="31">
        <f>IF($AS133="","",IF($AX133&lt;&gt;"",SUBSTITUTE(SUBSTITUTE($AX133,"-","")," ",""),"N:"&amp;$AV133))</f>
        <v/>
      </c>
      <c r="AV133" s="31">
        <f>IF(OR($AS133="",$E$6=""),"",TRIM(INDEX($A:$AP,ROW(),$E$6)&amp;""))</f>
        <v/>
      </c>
      <c r="AW133" s="31">
        <f>IF($AU133="","",IF(MATCH($AU133,$AU$8:$AU$2007,0)=ROW()-7,MAX($AW$7:$AW132)+1,""))</f>
        <v/>
      </c>
      <c r="AX133" s="31">
        <f>IF(OR($AS133="",$D$6=""),"",TRIM(INDEX($A:$AP,ROW(),$D$6)&amp;""))</f>
        <v/>
      </c>
      <c r="AY133" s="31">
        <f>IF($AU133="","",INDEX($AW$8:$AW$2007,MATCH($AU133,$AU$8:$AU$2007,0)))</f>
        <v/>
      </c>
      <c r="AZ133" s="31">
        <f>IF(OR($AS133="",$C$6=""),"",TRIM(INDEX($A:$AP,ROW(),$C$6)&amp;""))</f>
        <v/>
      </c>
      <c r="BA133" s="31">
        <f>IF($AZ133="","",IF(COUNTIF($AZ$8:$AZ133,$AZ133)&gt;1,1,0))</f>
        <v/>
      </c>
    </row>
    <row r="134">
      <c r="AR134" s="31">
        <f>IF(OR($A$5="",$B$6="",ROW()&lt;$A$5),"",IF(INDEX($A:$AP,ROW(),$B$6)="","",INDEX($A:$AP,ROW(),$B$6)))</f>
        <v/>
      </c>
      <c r="AS134" s="32">
        <f>IF($AR134="","",IF(ISNUMBER($AR134),IF($AR134&gt;=10000000,IFERROR(DATE(INT($AR134/10000),MOD(INT($AR134/100),100),MOD($AR134,100)),""),INT($AR134)),IFERROR(DATE(--LEFT(LEFT(SUBSTITUTE(SUBSTITUTE(SUBSTITUTE(SUBSTITUTE(TRIM($AR134),"-",""),".",""),"/","")," ",""),8),4),--MID(LEFT(SUBSTITUTE(SUBSTITUTE(SUBSTITUTE(SUBSTITUTE(TRIM($AR134),"-",""),".",""),"/","")," ",""),8),5,2),--MID(LEFT(SUBSTITUTE(SUBSTITUTE(SUBSTITUTE(SUBSTITUTE(TRIM($AR134),"-",""),".",""),"/","")," ",""),8),7,2)),"")))</f>
        <v/>
      </c>
      <c r="AT134" s="33">
        <f>IF($AS134="","",IF($F$6="",0,IF(ISNUMBER(INDEX($A:$AP,ROW(),$F$6)),INDEX($A:$AP,ROW(),$F$6),IFERROR(--SUBSTITUTE(SUBSTITUTE(TRIM(INDEX($A:$AP,ROW(),$F$6)),",",""),"원",""),0))))</f>
        <v/>
      </c>
      <c r="AU134" s="31">
        <f>IF($AS134="","",IF($AX134&lt;&gt;"",SUBSTITUTE(SUBSTITUTE($AX134,"-","")," ",""),"N:"&amp;$AV134))</f>
        <v/>
      </c>
      <c r="AV134" s="31">
        <f>IF(OR($AS134="",$E$6=""),"",TRIM(INDEX($A:$AP,ROW(),$E$6)&amp;""))</f>
        <v/>
      </c>
      <c r="AW134" s="31">
        <f>IF($AU134="","",IF(MATCH($AU134,$AU$8:$AU$2007,0)=ROW()-7,MAX($AW$7:$AW133)+1,""))</f>
        <v/>
      </c>
      <c r="AX134" s="31">
        <f>IF(OR($AS134="",$D$6=""),"",TRIM(INDEX($A:$AP,ROW(),$D$6)&amp;""))</f>
        <v/>
      </c>
      <c r="AY134" s="31">
        <f>IF($AU134="","",INDEX($AW$8:$AW$2007,MATCH($AU134,$AU$8:$AU$2007,0)))</f>
        <v/>
      </c>
      <c r="AZ134" s="31">
        <f>IF(OR($AS134="",$C$6=""),"",TRIM(INDEX($A:$AP,ROW(),$C$6)&amp;""))</f>
        <v/>
      </c>
      <c r="BA134" s="31">
        <f>IF($AZ134="","",IF(COUNTIF($AZ$8:$AZ134,$AZ134)&gt;1,1,0))</f>
        <v/>
      </c>
    </row>
    <row r="135">
      <c r="AR135" s="31">
        <f>IF(OR($A$5="",$B$6="",ROW()&lt;$A$5),"",IF(INDEX($A:$AP,ROW(),$B$6)="","",INDEX($A:$AP,ROW(),$B$6)))</f>
        <v/>
      </c>
      <c r="AS135" s="32">
        <f>IF($AR135="","",IF(ISNUMBER($AR135),IF($AR135&gt;=10000000,IFERROR(DATE(INT($AR135/10000),MOD(INT($AR135/100),100),MOD($AR135,100)),""),INT($AR135)),IFERROR(DATE(--LEFT(LEFT(SUBSTITUTE(SUBSTITUTE(SUBSTITUTE(SUBSTITUTE(TRIM($AR135),"-",""),".",""),"/","")," ",""),8),4),--MID(LEFT(SUBSTITUTE(SUBSTITUTE(SUBSTITUTE(SUBSTITUTE(TRIM($AR135),"-",""),".",""),"/","")," ",""),8),5,2),--MID(LEFT(SUBSTITUTE(SUBSTITUTE(SUBSTITUTE(SUBSTITUTE(TRIM($AR135),"-",""),".",""),"/","")," ",""),8),7,2)),"")))</f>
        <v/>
      </c>
      <c r="AT135" s="33">
        <f>IF($AS135="","",IF($F$6="",0,IF(ISNUMBER(INDEX($A:$AP,ROW(),$F$6)),INDEX($A:$AP,ROW(),$F$6),IFERROR(--SUBSTITUTE(SUBSTITUTE(TRIM(INDEX($A:$AP,ROW(),$F$6)),",",""),"원",""),0))))</f>
        <v/>
      </c>
      <c r="AU135" s="31">
        <f>IF($AS135="","",IF($AX135&lt;&gt;"",SUBSTITUTE(SUBSTITUTE($AX135,"-","")," ",""),"N:"&amp;$AV135))</f>
        <v/>
      </c>
      <c r="AV135" s="31">
        <f>IF(OR($AS135="",$E$6=""),"",TRIM(INDEX($A:$AP,ROW(),$E$6)&amp;""))</f>
        <v/>
      </c>
      <c r="AW135" s="31">
        <f>IF($AU135="","",IF(MATCH($AU135,$AU$8:$AU$2007,0)=ROW()-7,MAX($AW$7:$AW134)+1,""))</f>
        <v/>
      </c>
      <c r="AX135" s="31">
        <f>IF(OR($AS135="",$D$6=""),"",TRIM(INDEX($A:$AP,ROW(),$D$6)&amp;""))</f>
        <v/>
      </c>
      <c r="AY135" s="31">
        <f>IF($AU135="","",INDEX($AW$8:$AW$2007,MATCH($AU135,$AU$8:$AU$2007,0)))</f>
        <v/>
      </c>
      <c r="AZ135" s="31">
        <f>IF(OR($AS135="",$C$6=""),"",TRIM(INDEX($A:$AP,ROW(),$C$6)&amp;""))</f>
        <v/>
      </c>
      <c r="BA135" s="31">
        <f>IF($AZ135="","",IF(COUNTIF($AZ$8:$AZ135,$AZ135)&gt;1,1,0))</f>
        <v/>
      </c>
    </row>
    <row r="136">
      <c r="AR136" s="31">
        <f>IF(OR($A$5="",$B$6="",ROW()&lt;$A$5),"",IF(INDEX($A:$AP,ROW(),$B$6)="","",INDEX($A:$AP,ROW(),$B$6)))</f>
        <v/>
      </c>
      <c r="AS136" s="32">
        <f>IF($AR136="","",IF(ISNUMBER($AR136),IF($AR136&gt;=10000000,IFERROR(DATE(INT($AR136/10000),MOD(INT($AR136/100),100),MOD($AR136,100)),""),INT($AR136)),IFERROR(DATE(--LEFT(LEFT(SUBSTITUTE(SUBSTITUTE(SUBSTITUTE(SUBSTITUTE(TRIM($AR136),"-",""),".",""),"/","")," ",""),8),4),--MID(LEFT(SUBSTITUTE(SUBSTITUTE(SUBSTITUTE(SUBSTITUTE(TRIM($AR136),"-",""),".",""),"/","")," ",""),8),5,2),--MID(LEFT(SUBSTITUTE(SUBSTITUTE(SUBSTITUTE(SUBSTITUTE(TRIM($AR136),"-",""),".",""),"/","")," ",""),8),7,2)),"")))</f>
        <v/>
      </c>
      <c r="AT136" s="33">
        <f>IF($AS136="","",IF($F$6="",0,IF(ISNUMBER(INDEX($A:$AP,ROW(),$F$6)),INDEX($A:$AP,ROW(),$F$6),IFERROR(--SUBSTITUTE(SUBSTITUTE(TRIM(INDEX($A:$AP,ROW(),$F$6)),",",""),"원",""),0))))</f>
        <v/>
      </c>
      <c r="AU136" s="31">
        <f>IF($AS136="","",IF($AX136&lt;&gt;"",SUBSTITUTE(SUBSTITUTE($AX136,"-","")," ",""),"N:"&amp;$AV136))</f>
        <v/>
      </c>
      <c r="AV136" s="31">
        <f>IF(OR($AS136="",$E$6=""),"",TRIM(INDEX($A:$AP,ROW(),$E$6)&amp;""))</f>
        <v/>
      </c>
      <c r="AW136" s="31">
        <f>IF($AU136="","",IF(MATCH($AU136,$AU$8:$AU$2007,0)=ROW()-7,MAX($AW$7:$AW135)+1,""))</f>
        <v/>
      </c>
      <c r="AX136" s="31">
        <f>IF(OR($AS136="",$D$6=""),"",TRIM(INDEX($A:$AP,ROW(),$D$6)&amp;""))</f>
        <v/>
      </c>
      <c r="AY136" s="31">
        <f>IF($AU136="","",INDEX($AW$8:$AW$2007,MATCH($AU136,$AU$8:$AU$2007,0)))</f>
        <v/>
      </c>
      <c r="AZ136" s="31">
        <f>IF(OR($AS136="",$C$6=""),"",TRIM(INDEX($A:$AP,ROW(),$C$6)&amp;""))</f>
        <v/>
      </c>
      <c r="BA136" s="31">
        <f>IF($AZ136="","",IF(COUNTIF($AZ$8:$AZ136,$AZ136)&gt;1,1,0))</f>
        <v/>
      </c>
    </row>
    <row r="137">
      <c r="AR137" s="31">
        <f>IF(OR($A$5="",$B$6="",ROW()&lt;$A$5),"",IF(INDEX($A:$AP,ROW(),$B$6)="","",INDEX($A:$AP,ROW(),$B$6)))</f>
        <v/>
      </c>
      <c r="AS137" s="32">
        <f>IF($AR137="","",IF(ISNUMBER($AR137),IF($AR137&gt;=10000000,IFERROR(DATE(INT($AR137/10000),MOD(INT($AR137/100),100),MOD($AR137,100)),""),INT($AR137)),IFERROR(DATE(--LEFT(LEFT(SUBSTITUTE(SUBSTITUTE(SUBSTITUTE(SUBSTITUTE(TRIM($AR137),"-",""),".",""),"/","")," ",""),8),4),--MID(LEFT(SUBSTITUTE(SUBSTITUTE(SUBSTITUTE(SUBSTITUTE(TRIM($AR137),"-",""),".",""),"/","")," ",""),8),5,2),--MID(LEFT(SUBSTITUTE(SUBSTITUTE(SUBSTITUTE(SUBSTITUTE(TRIM($AR137),"-",""),".",""),"/","")," ",""),8),7,2)),"")))</f>
        <v/>
      </c>
      <c r="AT137" s="33">
        <f>IF($AS137="","",IF($F$6="",0,IF(ISNUMBER(INDEX($A:$AP,ROW(),$F$6)),INDEX($A:$AP,ROW(),$F$6),IFERROR(--SUBSTITUTE(SUBSTITUTE(TRIM(INDEX($A:$AP,ROW(),$F$6)),",",""),"원",""),0))))</f>
        <v/>
      </c>
      <c r="AU137" s="31">
        <f>IF($AS137="","",IF($AX137&lt;&gt;"",SUBSTITUTE(SUBSTITUTE($AX137,"-","")," ",""),"N:"&amp;$AV137))</f>
        <v/>
      </c>
      <c r="AV137" s="31">
        <f>IF(OR($AS137="",$E$6=""),"",TRIM(INDEX($A:$AP,ROW(),$E$6)&amp;""))</f>
        <v/>
      </c>
      <c r="AW137" s="31">
        <f>IF($AU137="","",IF(MATCH($AU137,$AU$8:$AU$2007,0)=ROW()-7,MAX($AW$7:$AW136)+1,""))</f>
        <v/>
      </c>
      <c r="AX137" s="31">
        <f>IF(OR($AS137="",$D$6=""),"",TRIM(INDEX($A:$AP,ROW(),$D$6)&amp;""))</f>
        <v/>
      </c>
      <c r="AY137" s="31">
        <f>IF($AU137="","",INDEX($AW$8:$AW$2007,MATCH($AU137,$AU$8:$AU$2007,0)))</f>
        <v/>
      </c>
      <c r="AZ137" s="31">
        <f>IF(OR($AS137="",$C$6=""),"",TRIM(INDEX($A:$AP,ROW(),$C$6)&amp;""))</f>
        <v/>
      </c>
      <c r="BA137" s="31">
        <f>IF($AZ137="","",IF(COUNTIF($AZ$8:$AZ137,$AZ137)&gt;1,1,0))</f>
        <v/>
      </c>
    </row>
    <row r="138">
      <c r="AR138" s="31">
        <f>IF(OR($A$5="",$B$6="",ROW()&lt;$A$5),"",IF(INDEX($A:$AP,ROW(),$B$6)="","",INDEX($A:$AP,ROW(),$B$6)))</f>
        <v/>
      </c>
      <c r="AS138" s="32">
        <f>IF($AR138="","",IF(ISNUMBER($AR138),IF($AR138&gt;=10000000,IFERROR(DATE(INT($AR138/10000),MOD(INT($AR138/100),100),MOD($AR138,100)),""),INT($AR138)),IFERROR(DATE(--LEFT(LEFT(SUBSTITUTE(SUBSTITUTE(SUBSTITUTE(SUBSTITUTE(TRIM($AR138),"-",""),".",""),"/","")," ",""),8),4),--MID(LEFT(SUBSTITUTE(SUBSTITUTE(SUBSTITUTE(SUBSTITUTE(TRIM($AR138),"-",""),".",""),"/","")," ",""),8),5,2),--MID(LEFT(SUBSTITUTE(SUBSTITUTE(SUBSTITUTE(SUBSTITUTE(TRIM($AR138),"-",""),".",""),"/","")," ",""),8),7,2)),"")))</f>
        <v/>
      </c>
      <c r="AT138" s="33">
        <f>IF($AS138="","",IF($F$6="",0,IF(ISNUMBER(INDEX($A:$AP,ROW(),$F$6)),INDEX($A:$AP,ROW(),$F$6),IFERROR(--SUBSTITUTE(SUBSTITUTE(TRIM(INDEX($A:$AP,ROW(),$F$6)),",",""),"원",""),0))))</f>
        <v/>
      </c>
      <c r="AU138" s="31">
        <f>IF($AS138="","",IF($AX138&lt;&gt;"",SUBSTITUTE(SUBSTITUTE($AX138,"-","")," ",""),"N:"&amp;$AV138))</f>
        <v/>
      </c>
      <c r="AV138" s="31">
        <f>IF(OR($AS138="",$E$6=""),"",TRIM(INDEX($A:$AP,ROW(),$E$6)&amp;""))</f>
        <v/>
      </c>
      <c r="AW138" s="31">
        <f>IF($AU138="","",IF(MATCH($AU138,$AU$8:$AU$2007,0)=ROW()-7,MAX($AW$7:$AW137)+1,""))</f>
        <v/>
      </c>
      <c r="AX138" s="31">
        <f>IF(OR($AS138="",$D$6=""),"",TRIM(INDEX($A:$AP,ROW(),$D$6)&amp;""))</f>
        <v/>
      </c>
      <c r="AY138" s="31">
        <f>IF($AU138="","",INDEX($AW$8:$AW$2007,MATCH($AU138,$AU$8:$AU$2007,0)))</f>
        <v/>
      </c>
      <c r="AZ138" s="31">
        <f>IF(OR($AS138="",$C$6=""),"",TRIM(INDEX($A:$AP,ROW(),$C$6)&amp;""))</f>
        <v/>
      </c>
      <c r="BA138" s="31">
        <f>IF($AZ138="","",IF(COUNTIF($AZ$8:$AZ138,$AZ138)&gt;1,1,0))</f>
        <v/>
      </c>
    </row>
    <row r="139">
      <c r="AR139" s="31">
        <f>IF(OR($A$5="",$B$6="",ROW()&lt;$A$5),"",IF(INDEX($A:$AP,ROW(),$B$6)="","",INDEX($A:$AP,ROW(),$B$6)))</f>
        <v/>
      </c>
      <c r="AS139" s="32">
        <f>IF($AR139="","",IF(ISNUMBER($AR139),IF($AR139&gt;=10000000,IFERROR(DATE(INT($AR139/10000),MOD(INT($AR139/100),100),MOD($AR139,100)),""),INT($AR139)),IFERROR(DATE(--LEFT(LEFT(SUBSTITUTE(SUBSTITUTE(SUBSTITUTE(SUBSTITUTE(TRIM($AR139),"-",""),".",""),"/","")," ",""),8),4),--MID(LEFT(SUBSTITUTE(SUBSTITUTE(SUBSTITUTE(SUBSTITUTE(TRIM($AR139),"-",""),".",""),"/","")," ",""),8),5,2),--MID(LEFT(SUBSTITUTE(SUBSTITUTE(SUBSTITUTE(SUBSTITUTE(TRIM($AR139),"-",""),".",""),"/","")," ",""),8),7,2)),"")))</f>
        <v/>
      </c>
      <c r="AT139" s="33">
        <f>IF($AS139="","",IF($F$6="",0,IF(ISNUMBER(INDEX($A:$AP,ROW(),$F$6)),INDEX($A:$AP,ROW(),$F$6),IFERROR(--SUBSTITUTE(SUBSTITUTE(TRIM(INDEX($A:$AP,ROW(),$F$6)),",",""),"원",""),0))))</f>
        <v/>
      </c>
      <c r="AU139" s="31">
        <f>IF($AS139="","",IF($AX139&lt;&gt;"",SUBSTITUTE(SUBSTITUTE($AX139,"-","")," ",""),"N:"&amp;$AV139))</f>
        <v/>
      </c>
      <c r="AV139" s="31">
        <f>IF(OR($AS139="",$E$6=""),"",TRIM(INDEX($A:$AP,ROW(),$E$6)&amp;""))</f>
        <v/>
      </c>
      <c r="AW139" s="31">
        <f>IF($AU139="","",IF(MATCH($AU139,$AU$8:$AU$2007,0)=ROW()-7,MAX($AW$7:$AW138)+1,""))</f>
        <v/>
      </c>
      <c r="AX139" s="31">
        <f>IF(OR($AS139="",$D$6=""),"",TRIM(INDEX($A:$AP,ROW(),$D$6)&amp;""))</f>
        <v/>
      </c>
      <c r="AY139" s="31">
        <f>IF($AU139="","",INDEX($AW$8:$AW$2007,MATCH($AU139,$AU$8:$AU$2007,0)))</f>
        <v/>
      </c>
      <c r="AZ139" s="31">
        <f>IF(OR($AS139="",$C$6=""),"",TRIM(INDEX($A:$AP,ROW(),$C$6)&amp;""))</f>
        <v/>
      </c>
      <c r="BA139" s="31">
        <f>IF($AZ139="","",IF(COUNTIF($AZ$8:$AZ139,$AZ139)&gt;1,1,0))</f>
        <v/>
      </c>
    </row>
    <row r="140">
      <c r="AR140" s="31">
        <f>IF(OR($A$5="",$B$6="",ROW()&lt;$A$5),"",IF(INDEX($A:$AP,ROW(),$B$6)="","",INDEX($A:$AP,ROW(),$B$6)))</f>
        <v/>
      </c>
      <c r="AS140" s="32">
        <f>IF($AR140="","",IF(ISNUMBER($AR140),IF($AR140&gt;=10000000,IFERROR(DATE(INT($AR140/10000),MOD(INT($AR140/100),100),MOD($AR140,100)),""),INT($AR140)),IFERROR(DATE(--LEFT(LEFT(SUBSTITUTE(SUBSTITUTE(SUBSTITUTE(SUBSTITUTE(TRIM($AR140),"-",""),".",""),"/","")," ",""),8),4),--MID(LEFT(SUBSTITUTE(SUBSTITUTE(SUBSTITUTE(SUBSTITUTE(TRIM($AR140),"-",""),".",""),"/","")," ",""),8),5,2),--MID(LEFT(SUBSTITUTE(SUBSTITUTE(SUBSTITUTE(SUBSTITUTE(TRIM($AR140),"-",""),".",""),"/","")," ",""),8),7,2)),"")))</f>
        <v/>
      </c>
      <c r="AT140" s="33">
        <f>IF($AS140="","",IF($F$6="",0,IF(ISNUMBER(INDEX($A:$AP,ROW(),$F$6)),INDEX($A:$AP,ROW(),$F$6),IFERROR(--SUBSTITUTE(SUBSTITUTE(TRIM(INDEX($A:$AP,ROW(),$F$6)),",",""),"원",""),0))))</f>
        <v/>
      </c>
      <c r="AU140" s="31">
        <f>IF($AS140="","",IF($AX140&lt;&gt;"",SUBSTITUTE(SUBSTITUTE($AX140,"-","")," ",""),"N:"&amp;$AV140))</f>
        <v/>
      </c>
      <c r="AV140" s="31">
        <f>IF(OR($AS140="",$E$6=""),"",TRIM(INDEX($A:$AP,ROW(),$E$6)&amp;""))</f>
        <v/>
      </c>
      <c r="AW140" s="31">
        <f>IF($AU140="","",IF(MATCH($AU140,$AU$8:$AU$2007,0)=ROW()-7,MAX($AW$7:$AW139)+1,""))</f>
        <v/>
      </c>
      <c r="AX140" s="31">
        <f>IF(OR($AS140="",$D$6=""),"",TRIM(INDEX($A:$AP,ROW(),$D$6)&amp;""))</f>
        <v/>
      </c>
      <c r="AY140" s="31">
        <f>IF($AU140="","",INDEX($AW$8:$AW$2007,MATCH($AU140,$AU$8:$AU$2007,0)))</f>
        <v/>
      </c>
      <c r="AZ140" s="31">
        <f>IF(OR($AS140="",$C$6=""),"",TRIM(INDEX($A:$AP,ROW(),$C$6)&amp;""))</f>
        <v/>
      </c>
      <c r="BA140" s="31">
        <f>IF($AZ140="","",IF(COUNTIF($AZ$8:$AZ140,$AZ140)&gt;1,1,0))</f>
        <v/>
      </c>
    </row>
    <row r="141">
      <c r="AR141" s="31">
        <f>IF(OR($A$5="",$B$6="",ROW()&lt;$A$5),"",IF(INDEX($A:$AP,ROW(),$B$6)="","",INDEX($A:$AP,ROW(),$B$6)))</f>
        <v/>
      </c>
      <c r="AS141" s="32">
        <f>IF($AR141="","",IF(ISNUMBER($AR141),IF($AR141&gt;=10000000,IFERROR(DATE(INT($AR141/10000),MOD(INT($AR141/100),100),MOD($AR141,100)),""),INT($AR141)),IFERROR(DATE(--LEFT(LEFT(SUBSTITUTE(SUBSTITUTE(SUBSTITUTE(SUBSTITUTE(TRIM($AR141),"-",""),".",""),"/","")," ",""),8),4),--MID(LEFT(SUBSTITUTE(SUBSTITUTE(SUBSTITUTE(SUBSTITUTE(TRIM($AR141),"-",""),".",""),"/","")," ",""),8),5,2),--MID(LEFT(SUBSTITUTE(SUBSTITUTE(SUBSTITUTE(SUBSTITUTE(TRIM($AR141),"-",""),".",""),"/","")," ",""),8),7,2)),"")))</f>
        <v/>
      </c>
      <c r="AT141" s="33">
        <f>IF($AS141="","",IF($F$6="",0,IF(ISNUMBER(INDEX($A:$AP,ROW(),$F$6)),INDEX($A:$AP,ROW(),$F$6),IFERROR(--SUBSTITUTE(SUBSTITUTE(TRIM(INDEX($A:$AP,ROW(),$F$6)),",",""),"원",""),0))))</f>
        <v/>
      </c>
      <c r="AU141" s="31">
        <f>IF($AS141="","",IF($AX141&lt;&gt;"",SUBSTITUTE(SUBSTITUTE($AX141,"-","")," ",""),"N:"&amp;$AV141))</f>
        <v/>
      </c>
      <c r="AV141" s="31">
        <f>IF(OR($AS141="",$E$6=""),"",TRIM(INDEX($A:$AP,ROW(),$E$6)&amp;""))</f>
        <v/>
      </c>
      <c r="AW141" s="31">
        <f>IF($AU141="","",IF(MATCH($AU141,$AU$8:$AU$2007,0)=ROW()-7,MAX($AW$7:$AW140)+1,""))</f>
        <v/>
      </c>
      <c r="AX141" s="31">
        <f>IF(OR($AS141="",$D$6=""),"",TRIM(INDEX($A:$AP,ROW(),$D$6)&amp;""))</f>
        <v/>
      </c>
      <c r="AY141" s="31">
        <f>IF($AU141="","",INDEX($AW$8:$AW$2007,MATCH($AU141,$AU$8:$AU$2007,0)))</f>
        <v/>
      </c>
      <c r="AZ141" s="31">
        <f>IF(OR($AS141="",$C$6=""),"",TRIM(INDEX($A:$AP,ROW(),$C$6)&amp;""))</f>
        <v/>
      </c>
      <c r="BA141" s="31">
        <f>IF($AZ141="","",IF(COUNTIF($AZ$8:$AZ141,$AZ141)&gt;1,1,0))</f>
        <v/>
      </c>
    </row>
    <row r="142">
      <c r="AR142" s="31">
        <f>IF(OR($A$5="",$B$6="",ROW()&lt;$A$5),"",IF(INDEX($A:$AP,ROW(),$B$6)="","",INDEX($A:$AP,ROW(),$B$6)))</f>
        <v/>
      </c>
      <c r="AS142" s="32">
        <f>IF($AR142="","",IF(ISNUMBER($AR142),IF($AR142&gt;=10000000,IFERROR(DATE(INT($AR142/10000),MOD(INT($AR142/100),100),MOD($AR142,100)),""),INT($AR142)),IFERROR(DATE(--LEFT(LEFT(SUBSTITUTE(SUBSTITUTE(SUBSTITUTE(SUBSTITUTE(TRIM($AR142),"-",""),".",""),"/","")," ",""),8),4),--MID(LEFT(SUBSTITUTE(SUBSTITUTE(SUBSTITUTE(SUBSTITUTE(TRIM($AR142),"-",""),".",""),"/","")," ",""),8),5,2),--MID(LEFT(SUBSTITUTE(SUBSTITUTE(SUBSTITUTE(SUBSTITUTE(TRIM($AR142),"-",""),".",""),"/","")," ",""),8),7,2)),"")))</f>
        <v/>
      </c>
      <c r="AT142" s="33">
        <f>IF($AS142="","",IF($F$6="",0,IF(ISNUMBER(INDEX($A:$AP,ROW(),$F$6)),INDEX($A:$AP,ROW(),$F$6),IFERROR(--SUBSTITUTE(SUBSTITUTE(TRIM(INDEX($A:$AP,ROW(),$F$6)),",",""),"원",""),0))))</f>
        <v/>
      </c>
      <c r="AU142" s="31">
        <f>IF($AS142="","",IF($AX142&lt;&gt;"",SUBSTITUTE(SUBSTITUTE($AX142,"-","")," ",""),"N:"&amp;$AV142))</f>
        <v/>
      </c>
      <c r="AV142" s="31">
        <f>IF(OR($AS142="",$E$6=""),"",TRIM(INDEX($A:$AP,ROW(),$E$6)&amp;""))</f>
        <v/>
      </c>
      <c r="AW142" s="31">
        <f>IF($AU142="","",IF(MATCH($AU142,$AU$8:$AU$2007,0)=ROW()-7,MAX($AW$7:$AW141)+1,""))</f>
        <v/>
      </c>
      <c r="AX142" s="31">
        <f>IF(OR($AS142="",$D$6=""),"",TRIM(INDEX($A:$AP,ROW(),$D$6)&amp;""))</f>
        <v/>
      </c>
      <c r="AY142" s="31">
        <f>IF($AU142="","",INDEX($AW$8:$AW$2007,MATCH($AU142,$AU$8:$AU$2007,0)))</f>
        <v/>
      </c>
      <c r="AZ142" s="31">
        <f>IF(OR($AS142="",$C$6=""),"",TRIM(INDEX($A:$AP,ROW(),$C$6)&amp;""))</f>
        <v/>
      </c>
      <c r="BA142" s="31">
        <f>IF($AZ142="","",IF(COUNTIF($AZ$8:$AZ142,$AZ142)&gt;1,1,0))</f>
        <v/>
      </c>
    </row>
    <row r="143">
      <c r="AR143" s="31">
        <f>IF(OR($A$5="",$B$6="",ROW()&lt;$A$5),"",IF(INDEX($A:$AP,ROW(),$B$6)="","",INDEX($A:$AP,ROW(),$B$6)))</f>
        <v/>
      </c>
      <c r="AS143" s="32">
        <f>IF($AR143="","",IF(ISNUMBER($AR143),IF($AR143&gt;=10000000,IFERROR(DATE(INT($AR143/10000),MOD(INT($AR143/100),100),MOD($AR143,100)),""),INT($AR143)),IFERROR(DATE(--LEFT(LEFT(SUBSTITUTE(SUBSTITUTE(SUBSTITUTE(SUBSTITUTE(TRIM($AR143),"-",""),".",""),"/","")," ",""),8),4),--MID(LEFT(SUBSTITUTE(SUBSTITUTE(SUBSTITUTE(SUBSTITUTE(TRIM($AR143),"-",""),".",""),"/","")," ",""),8),5,2),--MID(LEFT(SUBSTITUTE(SUBSTITUTE(SUBSTITUTE(SUBSTITUTE(TRIM($AR143),"-",""),".",""),"/","")," ",""),8),7,2)),"")))</f>
        <v/>
      </c>
      <c r="AT143" s="33">
        <f>IF($AS143="","",IF($F$6="",0,IF(ISNUMBER(INDEX($A:$AP,ROW(),$F$6)),INDEX($A:$AP,ROW(),$F$6),IFERROR(--SUBSTITUTE(SUBSTITUTE(TRIM(INDEX($A:$AP,ROW(),$F$6)),",",""),"원",""),0))))</f>
        <v/>
      </c>
      <c r="AU143" s="31">
        <f>IF($AS143="","",IF($AX143&lt;&gt;"",SUBSTITUTE(SUBSTITUTE($AX143,"-","")," ",""),"N:"&amp;$AV143))</f>
        <v/>
      </c>
      <c r="AV143" s="31">
        <f>IF(OR($AS143="",$E$6=""),"",TRIM(INDEX($A:$AP,ROW(),$E$6)&amp;""))</f>
        <v/>
      </c>
      <c r="AW143" s="31">
        <f>IF($AU143="","",IF(MATCH($AU143,$AU$8:$AU$2007,0)=ROW()-7,MAX($AW$7:$AW142)+1,""))</f>
        <v/>
      </c>
      <c r="AX143" s="31">
        <f>IF(OR($AS143="",$D$6=""),"",TRIM(INDEX($A:$AP,ROW(),$D$6)&amp;""))</f>
        <v/>
      </c>
      <c r="AY143" s="31">
        <f>IF($AU143="","",INDEX($AW$8:$AW$2007,MATCH($AU143,$AU$8:$AU$2007,0)))</f>
        <v/>
      </c>
      <c r="AZ143" s="31">
        <f>IF(OR($AS143="",$C$6=""),"",TRIM(INDEX($A:$AP,ROW(),$C$6)&amp;""))</f>
        <v/>
      </c>
      <c r="BA143" s="31">
        <f>IF($AZ143="","",IF(COUNTIF($AZ$8:$AZ143,$AZ143)&gt;1,1,0))</f>
        <v/>
      </c>
    </row>
    <row r="144">
      <c r="AR144" s="31">
        <f>IF(OR($A$5="",$B$6="",ROW()&lt;$A$5),"",IF(INDEX($A:$AP,ROW(),$B$6)="","",INDEX($A:$AP,ROW(),$B$6)))</f>
        <v/>
      </c>
      <c r="AS144" s="32">
        <f>IF($AR144="","",IF(ISNUMBER($AR144),IF($AR144&gt;=10000000,IFERROR(DATE(INT($AR144/10000),MOD(INT($AR144/100),100),MOD($AR144,100)),""),INT($AR144)),IFERROR(DATE(--LEFT(LEFT(SUBSTITUTE(SUBSTITUTE(SUBSTITUTE(SUBSTITUTE(TRIM($AR144),"-",""),".",""),"/","")," ",""),8),4),--MID(LEFT(SUBSTITUTE(SUBSTITUTE(SUBSTITUTE(SUBSTITUTE(TRIM($AR144),"-",""),".",""),"/","")," ",""),8),5,2),--MID(LEFT(SUBSTITUTE(SUBSTITUTE(SUBSTITUTE(SUBSTITUTE(TRIM($AR144),"-",""),".",""),"/","")," ",""),8),7,2)),"")))</f>
        <v/>
      </c>
      <c r="AT144" s="33">
        <f>IF($AS144="","",IF($F$6="",0,IF(ISNUMBER(INDEX($A:$AP,ROW(),$F$6)),INDEX($A:$AP,ROW(),$F$6),IFERROR(--SUBSTITUTE(SUBSTITUTE(TRIM(INDEX($A:$AP,ROW(),$F$6)),",",""),"원",""),0))))</f>
        <v/>
      </c>
      <c r="AU144" s="31">
        <f>IF($AS144="","",IF($AX144&lt;&gt;"",SUBSTITUTE(SUBSTITUTE($AX144,"-","")," ",""),"N:"&amp;$AV144))</f>
        <v/>
      </c>
      <c r="AV144" s="31">
        <f>IF(OR($AS144="",$E$6=""),"",TRIM(INDEX($A:$AP,ROW(),$E$6)&amp;""))</f>
        <v/>
      </c>
      <c r="AW144" s="31">
        <f>IF($AU144="","",IF(MATCH($AU144,$AU$8:$AU$2007,0)=ROW()-7,MAX($AW$7:$AW143)+1,""))</f>
        <v/>
      </c>
      <c r="AX144" s="31">
        <f>IF(OR($AS144="",$D$6=""),"",TRIM(INDEX($A:$AP,ROW(),$D$6)&amp;""))</f>
        <v/>
      </c>
      <c r="AY144" s="31">
        <f>IF($AU144="","",INDEX($AW$8:$AW$2007,MATCH($AU144,$AU$8:$AU$2007,0)))</f>
        <v/>
      </c>
      <c r="AZ144" s="31">
        <f>IF(OR($AS144="",$C$6=""),"",TRIM(INDEX($A:$AP,ROW(),$C$6)&amp;""))</f>
        <v/>
      </c>
      <c r="BA144" s="31">
        <f>IF($AZ144="","",IF(COUNTIF($AZ$8:$AZ144,$AZ144)&gt;1,1,0))</f>
        <v/>
      </c>
    </row>
    <row r="145">
      <c r="AR145" s="31">
        <f>IF(OR($A$5="",$B$6="",ROW()&lt;$A$5),"",IF(INDEX($A:$AP,ROW(),$B$6)="","",INDEX($A:$AP,ROW(),$B$6)))</f>
        <v/>
      </c>
      <c r="AS145" s="32">
        <f>IF($AR145="","",IF(ISNUMBER($AR145),IF($AR145&gt;=10000000,IFERROR(DATE(INT($AR145/10000),MOD(INT($AR145/100),100),MOD($AR145,100)),""),INT($AR145)),IFERROR(DATE(--LEFT(LEFT(SUBSTITUTE(SUBSTITUTE(SUBSTITUTE(SUBSTITUTE(TRIM($AR145),"-",""),".",""),"/","")," ",""),8),4),--MID(LEFT(SUBSTITUTE(SUBSTITUTE(SUBSTITUTE(SUBSTITUTE(TRIM($AR145),"-",""),".",""),"/","")," ",""),8),5,2),--MID(LEFT(SUBSTITUTE(SUBSTITUTE(SUBSTITUTE(SUBSTITUTE(TRIM($AR145),"-",""),".",""),"/","")," ",""),8),7,2)),"")))</f>
        <v/>
      </c>
      <c r="AT145" s="33">
        <f>IF($AS145="","",IF($F$6="",0,IF(ISNUMBER(INDEX($A:$AP,ROW(),$F$6)),INDEX($A:$AP,ROW(),$F$6),IFERROR(--SUBSTITUTE(SUBSTITUTE(TRIM(INDEX($A:$AP,ROW(),$F$6)),",",""),"원",""),0))))</f>
        <v/>
      </c>
      <c r="AU145" s="31">
        <f>IF($AS145="","",IF($AX145&lt;&gt;"",SUBSTITUTE(SUBSTITUTE($AX145,"-","")," ",""),"N:"&amp;$AV145))</f>
        <v/>
      </c>
      <c r="AV145" s="31">
        <f>IF(OR($AS145="",$E$6=""),"",TRIM(INDEX($A:$AP,ROW(),$E$6)&amp;""))</f>
        <v/>
      </c>
      <c r="AW145" s="31">
        <f>IF($AU145="","",IF(MATCH($AU145,$AU$8:$AU$2007,0)=ROW()-7,MAX($AW$7:$AW144)+1,""))</f>
        <v/>
      </c>
      <c r="AX145" s="31">
        <f>IF(OR($AS145="",$D$6=""),"",TRIM(INDEX($A:$AP,ROW(),$D$6)&amp;""))</f>
        <v/>
      </c>
      <c r="AY145" s="31">
        <f>IF($AU145="","",INDEX($AW$8:$AW$2007,MATCH($AU145,$AU$8:$AU$2007,0)))</f>
        <v/>
      </c>
      <c r="AZ145" s="31">
        <f>IF(OR($AS145="",$C$6=""),"",TRIM(INDEX($A:$AP,ROW(),$C$6)&amp;""))</f>
        <v/>
      </c>
      <c r="BA145" s="31">
        <f>IF($AZ145="","",IF(COUNTIF($AZ$8:$AZ145,$AZ145)&gt;1,1,0))</f>
        <v/>
      </c>
    </row>
    <row r="146">
      <c r="AR146" s="31">
        <f>IF(OR($A$5="",$B$6="",ROW()&lt;$A$5),"",IF(INDEX($A:$AP,ROW(),$B$6)="","",INDEX($A:$AP,ROW(),$B$6)))</f>
        <v/>
      </c>
      <c r="AS146" s="32">
        <f>IF($AR146="","",IF(ISNUMBER($AR146),IF($AR146&gt;=10000000,IFERROR(DATE(INT($AR146/10000),MOD(INT($AR146/100),100),MOD($AR146,100)),""),INT($AR146)),IFERROR(DATE(--LEFT(LEFT(SUBSTITUTE(SUBSTITUTE(SUBSTITUTE(SUBSTITUTE(TRIM($AR146),"-",""),".",""),"/","")," ",""),8),4),--MID(LEFT(SUBSTITUTE(SUBSTITUTE(SUBSTITUTE(SUBSTITUTE(TRIM($AR146),"-",""),".",""),"/","")," ",""),8),5,2),--MID(LEFT(SUBSTITUTE(SUBSTITUTE(SUBSTITUTE(SUBSTITUTE(TRIM($AR146),"-",""),".",""),"/","")," ",""),8),7,2)),"")))</f>
        <v/>
      </c>
      <c r="AT146" s="33">
        <f>IF($AS146="","",IF($F$6="",0,IF(ISNUMBER(INDEX($A:$AP,ROW(),$F$6)),INDEX($A:$AP,ROW(),$F$6),IFERROR(--SUBSTITUTE(SUBSTITUTE(TRIM(INDEX($A:$AP,ROW(),$F$6)),",",""),"원",""),0))))</f>
        <v/>
      </c>
      <c r="AU146" s="31">
        <f>IF($AS146="","",IF($AX146&lt;&gt;"",SUBSTITUTE(SUBSTITUTE($AX146,"-","")," ",""),"N:"&amp;$AV146))</f>
        <v/>
      </c>
      <c r="AV146" s="31">
        <f>IF(OR($AS146="",$E$6=""),"",TRIM(INDEX($A:$AP,ROW(),$E$6)&amp;""))</f>
        <v/>
      </c>
      <c r="AW146" s="31">
        <f>IF($AU146="","",IF(MATCH($AU146,$AU$8:$AU$2007,0)=ROW()-7,MAX($AW$7:$AW145)+1,""))</f>
        <v/>
      </c>
      <c r="AX146" s="31">
        <f>IF(OR($AS146="",$D$6=""),"",TRIM(INDEX($A:$AP,ROW(),$D$6)&amp;""))</f>
        <v/>
      </c>
      <c r="AY146" s="31">
        <f>IF($AU146="","",INDEX($AW$8:$AW$2007,MATCH($AU146,$AU$8:$AU$2007,0)))</f>
        <v/>
      </c>
      <c r="AZ146" s="31">
        <f>IF(OR($AS146="",$C$6=""),"",TRIM(INDEX($A:$AP,ROW(),$C$6)&amp;""))</f>
        <v/>
      </c>
      <c r="BA146" s="31">
        <f>IF($AZ146="","",IF(COUNTIF($AZ$8:$AZ146,$AZ146)&gt;1,1,0))</f>
        <v/>
      </c>
    </row>
    <row r="147">
      <c r="AR147" s="31">
        <f>IF(OR($A$5="",$B$6="",ROW()&lt;$A$5),"",IF(INDEX($A:$AP,ROW(),$B$6)="","",INDEX($A:$AP,ROW(),$B$6)))</f>
        <v/>
      </c>
      <c r="AS147" s="32">
        <f>IF($AR147="","",IF(ISNUMBER($AR147),IF($AR147&gt;=10000000,IFERROR(DATE(INT($AR147/10000),MOD(INT($AR147/100),100),MOD($AR147,100)),""),INT($AR147)),IFERROR(DATE(--LEFT(LEFT(SUBSTITUTE(SUBSTITUTE(SUBSTITUTE(SUBSTITUTE(TRIM($AR147),"-",""),".",""),"/","")," ",""),8),4),--MID(LEFT(SUBSTITUTE(SUBSTITUTE(SUBSTITUTE(SUBSTITUTE(TRIM($AR147),"-",""),".",""),"/","")," ",""),8),5,2),--MID(LEFT(SUBSTITUTE(SUBSTITUTE(SUBSTITUTE(SUBSTITUTE(TRIM($AR147),"-",""),".",""),"/","")," ",""),8),7,2)),"")))</f>
        <v/>
      </c>
      <c r="AT147" s="33">
        <f>IF($AS147="","",IF($F$6="",0,IF(ISNUMBER(INDEX($A:$AP,ROW(),$F$6)),INDEX($A:$AP,ROW(),$F$6),IFERROR(--SUBSTITUTE(SUBSTITUTE(TRIM(INDEX($A:$AP,ROW(),$F$6)),",",""),"원",""),0))))</f>
        <v/>
      </c>
      <c r="AU147" s="31">
        <f>IF($AS147="","",IF($AX147&lt;&gt;"",SUBSTITUTE(SUBSTITUTE($AX147,"-","")," ",""),"N:"&amp;$AV147))</f>
        <v/>
      </c>
      <c r="AV147" s="31">
        <f>IF(OR($AS147="",$E$6=""),"",TRIM(INDEX($A:$AP,ROW(),$E$6)&amp;""))</f>
        <v/>
      </c>
      <c r="AW147" s="31">
        <f>IF($AU147="","",IF(MATCH($AU147,$AU$8:$AU$2007,0)=ROW()-7,MAX($AW$7:$AW146)+1,""))</f>
        <v/>
      </c>
      <c r="AX147" s="31">
        <f>IF(OR($AS147="",$D$6=""),"",TRIM(INDEX($A:$AP,ROW(),$D$6)&amp;""))</f>
        <v/>
      </c>
      <c r="AY147" s="31">
        <f>IF($AU147="","",INDEX($AW$8:$AW$2007,MATCH($AU147,$AU$8:$AU$2007,0)))</f>
        <v/>
      </c>
      <c r="AZ147" s="31">
        <f>IF(OR($AS147="",$C$6=""),"",TRIM(INDEX($A:$AP,ROW(),$C$6)&amp;""))</f>
        <v/>
      </c>
      <c r="BA147" s="31">
        <f>IF($AZ147="","",IF(COUNTIF($AZ$8:$AZ147,$AZ147)&gt;1,1,0))</f>
        <v/>
      </c>
    </row>
    <row r="148">
      <c r="AR148" s="31">
        <f>IF(OR($A$5="",$B$6="",ROW()&lt;$A$5),"",IF(INDEX($A:$AP,ROW(),$B$6)="","",INDEX($A:$AP,ROW(),$B$6)))</f>
        <v/>
      </c>
      <c r="AS148" s="32">
        <f>IF($AR148="","",IF(ISNUMBER($AR148),IF($AR148&gt;=10000000,IFERROR(DATE(INT($AR148/10000),MOD(INT($AR148/100),100),MOD($AR148,100)),""),INT($AR148)),IFERROR(DATE(--LEFT(LEFT(SUBSTITUTE(SUBSTITUTE(SUBSTITUTE(SUBSTITUTE(TRIM($AR148),"-",""),".",""),"/","")," ",""),8),4),--MID(LEFT(SUBSTITUTE(SUBSTITUTE(SUBSTITUTE(SUBSTITUTE(TRIM($AR148),"-",""),".",""),"/","")," ",""),8),5,2),--MID(LEFT(SUBSTITUTE(SUBSTITUTE(SUBSTITUTE(SUBSTITUTE(TRIM($AR148),"-",""),".",""),"/","")," ",""),8),7,2)),"")))</f>
        <v/>
      </c>
      <c r="AT148" s="33">
        <f>IF($AS148="","",IF($F$6="",0,IF(ISNUMBER(INDEX($A:$AP,ROW(),$F$6)),INDEX($A:$AP,ROW(),$F$6),IFERROR(--SUBSTITUTE(SUBSTITUTE(TRIM(INDEX($A:$AP,ROW(),$F$6)),",",""),"원",""),0))))</f>
        <v/>
      </c>
      <c r="AU148" s="31">
        <f>IF($AS148="","",IF($AX148&lt;&gt;"",SUBSTITUTE(SUBSTITUTE($AX148,"-","")," ",""),"N:"&amp;$AV148))</f>
        <v/>
      </c>
      <c r="AV148" s="31">
        <f>IF(OR($AS148="",$E$6=""),"",TRIM(INDEX($A:$AP,ROW(),$E$6)&amp;""))</f>
        <v/>
      </c>
      <c r="AW148" s="31">
        <f>IF($AU148="","",IF(MATCH($AU148,$AU$8:$AU$2007,0)=ROW()-7,MAX($AW$7:$AW147)+1,""))</f>
        <v/>
      </c>
      <c r="AX148" s="31">
        <f>IF(OR($AS148="",$D$6=""),"",TRIM(INDEX($A:$AP,ROW(),$D$6)&amp;""))</f>
        <v/>
      </c>
      <c r="AY148" s="31">
        <f>IF($AU148="","",INDEX($AW$8:$AW$2007,MATCH($AU148,$AU$8:$AU$2007,0)))</f>
        <v/>
      </c>
      <c r="AZ148" s="31">
        <f>IF(OR($AS148="",$C$6=""),"",TRIM(INDEX($A:$AP,ROW(),$C$6)&amp;""))</f>
        <v/>
      </c>
      <c r="BA148" s="31">
        <f>IF($AZ148="","",IF(COUNTIF($AZ$8:$AZ148,$AZ148)&gt;1,1,0))</f>
        <v/>
      </c>
    </row>
    <row r="149">
      <c r="AR149" s="31">
        <f>IF(OR($A$5="",$B$6="",ROW()&lt;$A$5),"",IF(INDEX($A:$AP,ROW(),$B$6)="","",INDEX($A:$AP,ROW(),$B$6)))</f>
        <v/>
      </c>
      <c r="AS149" s="32">
        <f>IF($AR149="","",IF(ISNUMBER($AR149),IF($AR149&gt;=10000000,IFERROR(DATE(INT($AR149/10000),MOD(INT($AR149/100),100),MOD($AR149,100)),""),INT($AR149)),IFERROR(DATE(--LEFT(LEFT(SUBSTITUTE(SUBSTITUTE(SUBSTITUTE(SUBSTITUTE(TRIM($AR149),"-",""),".",""),"/","")," ",""),8),4),--MID(LEFT(SUBSTITUTE(SUBSTITUTE(SUBSTITUTE(SUBSTITUTE(TRIM($AR149),"-",""),".",""),"/","")," ",""),8),5,2),--MID(LEFT(SUBSTITUTE(SUBSTITUTE(SUBSTITUTE(SUBSTITUTE(TRIM($AR149),"-",""),".",""),"/","")," ",""),8),7,2)),"")))</f>
        <v/>
      </c>
      <c r="AT149" s="33">
        <f>IF($AS149="","",IF($F$6="",0,IF(ISNUMBER(INDEX($A:$AP,ROW(),$F$6)),INDEX($A:$AP,ROW(),$F$6),IFERROR(--SUBSTITUTE(SUBSTITUTE(TRIM(INDEX($A:$AP,ROW(),$F$6)),",",""),"원",""),0))))</f>
        <v/>
      </c>
      <c r="AU149" s="31">
        <f>IF($AS149="","",IF($AX149&lt;&gt;"",SUBSTITUTE(SUBSTITUTE($AX149,"-","")," ",""),"N:"&amp;$AV149))</f>
        <v/>
      </c>
      <c r="AV149" s="31">
        <f>IF(OR($AS149="",$E$6=""),"",TRIM(INDEX($A:$AP,ROW(),$E$6)&amp;""))</f>
        <v/>
      </c>
      <c r="AW149" s="31">
        <f>IF($AU149="","",IF(MATCH($AU149,$AU$8:$AU$2007,0)=ROW()-7,MAX($AW$7:$AW148)+1,""))</f>
        <v/>
      </c>
      <c r="AX149" s="31">
        <f>IF(OR($AS149="",$D$6=""),"",TRIM(INDEX($A:$AP,ROW(),$D$6)&amp;""))</f>
        <v/>
      </c>
      <c r="AY149" s="31">
        <f>IF($AU149="","",INDEX($AW$8:$AW$2007,MATCH($AU149,$AU$8:$AU$2007,0)))</f>
        <v/>
      </c>
      <c r="AZ149" s="31">
        <f>IF(OR($AS149="",$C$6=""),"",TRIM(INDEX($A:$AP,ROW(),$C$6)&amp;""))</f>
        <v/>
      </c>
      <c r="BA149" s="31">
        <f>IF($AZ149="","",IF(COUNTIF($AZ$8:$AZ149,$AZ149)&gt;1,1,0))</f>
        <v/>
      </c>
    </row>
    <row r="150">
      <c r="AR150" s="31">
        <f>IF(OR($A$5="",$B$6="",ROW()&lt;$A$5),"",IF(INDEX($A:$AP,ROW(),$B$6)="","",INDEX($A:$AP,ROW(),$B$6)))</f>
        <v/>
      </c>
      <c r="AS150" s="32">
        <f>IF($AR150="","",IF(ISNUMBER($AR150),IF($AR150&gt;=10000000,IFERROR(DATE(INT($AR150/10000),MOD(INT($AR150/100),100),MOD($AR150,100)),""),INT($AR150)),IFERROR(DATE(--LEFT(LEFT(SUBSTITUTE(SUBSTITUTE(SUBSTITUTE(SUBSTITUTE(TRIM($AR150),"-",""),".",""),"/","")," ",""),8),4),--MID(LEFT(SUBSTITUTE(SUBSTITUTE(SUBSTITUTE(SUBSTITUTE(TRIM($AR150),"-",""),".",""),"/","")," ",""),8),5,2),--MID(LEFT(SUBSTITUTE(SUBSTITUTE(SUBSTITUTE(SUBSTITUTE(TRIM($AR150),"-",""),".",""),"/","")," ",""),8),7,2)),"")))</f>
        <v/>
      </c>
      <c r="AT150" s="33">
        <f>IF($AS150="","",IF($F$6="",0,IF(ISNUMBER(INDEX($A:$AP,ROW(),$F$6)),INDEX($A:$AP,ROW(),$F$6),IFERROR(--SUBSTITUTE(SUBSTITUTE(TRIM(INDEX($A:$AP,ROW(),$F$6)),",",""),"원",""),0))))</f>
        <v/>
      </c>
      <c r="AU150" s="31">
        <f>IF($AS150="","",IF($AX150&lt;&gt;"",SUBSTITUTE(SUBSTITUTE($AX150,"-","")," ",""),"N:"&amp;$AV150))</f>
        <v/>
      </c>
      <c r="AV150" s="31">
        <f>IF(OR($AS150="",$E$6=""),"",TRIM(INDEX($A:$AP,ROW(),$E$6)&amp;""))</f>
        <v/>
      </c>
      <c r="AW150" s="31">
        <f>IF($AU150="","",IF(MATCH($AU150,$AU$8:$AU$2007,0)=ROW()-7,MAX($AW$7:$AW149)+1,""))</f>
        <v/>
      </c>
      <c r="AX150" s="31">
        <f>IF(OR($AS150="",$D$6=""),"",TRIM(INDEX($A:$AP,ROW(),$D$6)&amp;""))</f>
        <v/>
      </c>
      <c r="AY150" s="31">
        <f>IF($AU150="","",INDEX($AW$8:$AW$2007,MATCH($AU150,$AU$8:$AU$2007,0)))</f>
        <v/>
      </c>
      <c r="AZ150" s="31">
        <f>IF(OR($AS150="",$C$6=""),"",TRIM(INDEX($A:$AP,ROW(),$C$6)&amp;""))</f>
        <v/>
      </c>
      <c r="BA150" s="31">
        <f>IF($AZ150="","",IF(COUNTIF($AZ$8:$AZ150,$AZ150)&gt;1,1,0))</f>
        <v/>
      </c>
    </row>
    <row r="151">
      <c r="AR151" s="31">
        <f>IF(OR($A$5="",$B$6="",ROW()&lt;$A$5),"",IF(INDEX($A:$AP,ROW(),$B$6)="","",INDEX($A:$AP,ROW(),$B$6)))</f>
        <v/>
      </c>
      <c r="AS151" s="32">
        <f>IF($AR151="","",IF(ISNUMBER($AR151),IF($AR151&gt;=10000000,IFERROR(DATE(INT($AR151/10000),MOD(INT($AR151/100),100),MOD($AR151,100)),""),INT($AR151)),IFERROR(DATE(--LEFT(LEFT(SUBSTITUTE(SUBSTITUTE(SUBSTITUTE(SUBSTITUTE(TRIM($AR151),"-",""),".",""),"/","")," ",""),8),4),--MID(LEFT(SUBSTITUTE(SUBSTITUTE(SUBSTITUTE(SUBSTITUTE(TRIM($AR151),"-",""),".",""),"/","")," ",""),8),5,2),--MID(LEFT(SUBSTITUTE(SUBSTITUTE(SUBSTITUTE(SUBSTITUTE(TRIM($AR151),"-",""),".",""),"/","")," ",""),8),7,2)),"")))</f>
        <v/>
      </c>
      <c r="AT151" s="33">
        <f>IF($AS151="","",IF($F$6="",0,IF(ISNUMBER(INDEX($A:$AP,ROW(),$F$6)),INDEX($A:$AP,ROW(),$F$6),IFERROR(--SUBSTITUTE(SUBSTITUTE(TRIM(INDEX($A:$AP,ROW(),$F$6)),",",""),"원",""),0))))</f>
        <v/>
      </c>
      <c r="AU151" s="31">
        <f>IF($AS151="","",IF($AX151&lt;&gt;"",SUBSTITUTE(SUBSTITUTE($AX151,"-","")," ",""),"N:"&amp;$AV151))</f>
        <v/>
      </c>
      <c r="AV151" s="31">
        <f>IF(OR($AS151="",$E$6=""),"",TRIM(INDEX($A:$AP,ROW(),$E$6)&amp;""))</f>
        <v/>
      </c>
      <c r="AW151" s="31">
        <f>IF($AU151="","",IF(MATCH($AU151,$AU$8:$AU$2007,0)=ROW()-7,MAX($AW$7:$AW150)+1,""))</f>
        <v/>
      </c>
      <c r="AX151" s="31">
        <f>IF(OR($AS151="",$D$6=""),"",TRIM(INDEX($A:$AP,ROW(),$D$6)&amp;""))</f>
        <v/>
      </c>
      <c r="AY151" s="31">
        <f>IF($AU151="","",INDEX($AW$8:$AW$2007,MATCH($AU151,$AU$8:$AU$2007,0)))</f>
        <v/>
      </c>
      <c r="AZ151" s="31">
        <f>IF(OR($AS151="",$C$6=""),"",TRIM(INDEX($A:$AP,ROW(),$C$6)&amp;""))</f>
        <v/>
      </c>
      <c r="BA151" s="31">
        <f>IF($AZ151="","",IF(COUNTIF($AZ$8:$AZ151,$AZ151)&gt;1,1,0))</f>
        <v/>
      </c>
    </row>
    <row r="152">
      <c r="AR152" s="31">
        <f>IF(OR($A$5="",$B$6="",ROW()&lt;$A$5),"",IF(INDEX($A:$AP,ROW(),$B$6)="","",INDEX($A:$AP,ROW(),$B$6)))</f>
        <v/>
      </c>
      <c r="AS152" s="32">
        <f>IF($AR152="","",IF(ISNUMBER($AR152),IF($AR152&gt;=10000000,IFERROR(DATE(INT($AR152/10000),MOD(INT($AR152/100),100),MOD($AR152,100)),""),INT($AR152)),IFERROR(DATE(--LEFT(LEFT(SUBSTITUTE(SUBSTITUTE(SUBSTITUTE(SUBSTITUTE(TRIM($AR152),"-",""),".",""),"/","")," ",""),8),4),--MID(LEFT(SUBSTITUTE(SUBSTITUTE(SUBSTITUTE(SUBSTITUTE(TRIM($AR152),"-",""),".",""),"/","")," ",""),8),5,2),--MID(LEFT(SUBSTITUTE(SUBSTITUTE(SUBSTITUTE(SUBSTITUTE(TRIM($AR152),"-",""),".",""),"/","")," ",""),8),7,2)),"")))</f>
        <v/>
      </c>
      <c r="AT152" s="33">
        <f>IF($AS152="","",IF($F$6="",0,IF(ISNUMBER(INDEX($A:$AP,ROW(),$F$6)),INDEX($A:$AP,ROW(),$F$6),IFERROR(--SUBSTITUTE(SUBSTITUTE(TRIM(INDEX($A:$AP,ROW(),$F$6)),",",""),"원",""),0))))</f>
        <v/>
      </c>
      <c r="AU152" s="31">
        <f>IF($AS152="","",IF($AX152&lt;&gt;"",SUBSTITUTE(SUBSTITUTE($AX152,"-","")," ",""),"N:"&amp;$AV152))</f>
        <v/>
      </c>
      <c r="AV152" s="31">
        <f>IF(OR($AS152="",$E$6=""),"",TRIM(INDEX($A:$AP,ROW(),$E$6)&amp;""))</f>
        <v/>
      </c>
      <c r="AW152" s="31">
        <f>IF($AU152="","",IF(MATCH($AU152,$AU$8:$AU$2007,0)=ROW()-7,MAX($AW$7:$AW151)+1,""))</f>
        <v/>
      </c>
      <c r="AX152" s="31">
        <f>IF(OR($AS152="",$D$6=""),"",TRIM(INDEX($A:$AP,ROW(),$D$6)&amp;""))</f>
        <v/>
      </c>
      <c r="AY152" s="31">
        <f>IF($AU152="","",INDEX($AW$8:$AW$2007,MATCH($AU152,$AU$8:$AU$2007,0)))</f>
        <v/>
      </c>
      <c r="AZ152" s="31">
        <f>IF(OR($AS152="",$C$6=""),"",TRIM(INDEX($A:$AP,ROW(),$C$6)&amp;""))</f>
        <v/>
      </c>
      <c r="BA152" s="31">
        <f>IF($AZ152="","",IF(COUNTIF($AZ$8:$AZ152,$AZ152)&gt;1,1,0))</f>
        <v/>
      </c>
    </row>
    <row r="153">
      <c r="AR153" s="31">
        <f>IF(OR($A$5="",$B$6="",ROW()&lt;$A$5),"",IF(INDEX($A:$AP,ROW(),$B$6)="","",INDEX($A:$AP,ROW(),$B$6)))</f>
        <v/>
      </c>
      <c r="AS153" s="32">
        <f>IF($AR153="","",IF(ISNUMBER($AR153),IF($AR153&gt;=10000000,IFERROR(DATE(INT($AR153/10000),MOD(INT($AR153/100),100),MOD($AR153,100)),""),INT($AR153)),IFERROR(DATE(--LEFT(LEFT(SUBSTITUTE(SUBSTITUTE(SUBSTITUTE(SUBSTITUTE(TRIM($AR153),"-",""),".",""),"/","")," ",""),8),4),--MID(LEFT(SUBSTITUTE(SUBSTITUTE(SUBSTITUTE(SUBSTITUTE(TRIM($AR153),"-",""),".",""),"/","")," ",""),8),5,2),--MID(LEFT(SUBSTITUTE(SUBSTITUTE(SUBSTITUTE(SUBSTITUTE(TRIM($AR153),"-",""),".",""),"/","")," ",""),8),7,2)),"")))</f>
        <v/>
      </c>
      <c r="AT153" s="33">
        <f>IF($AS153="","",IF($F$6="",0,IF(ISNUMBER(INDEX($A:$AP,ROW(),$F$6)),INDEX($A:$AP,ROW(),$F$6),IFERROR(--SUBSTITUTE(SUBSTITUTE(TRIM(INDEX($A:$AP,ROW(),$F$6)),",",""),"원",""),0))))</f>
        <v/>
      </c>
      <c r="AU153" s="31">
        <f>IF($AS153="","",IF($AX153&lt;&gt;"",SUBSTITUTE(SUBSTITUTE($AX153,"-","")," ",""),"N:"&amp;$AV153))</f>
        <v/>
      </c>
      <c r="AV153" s="31">
        <f>IF(OR($AS153="",$E$6=""),"",TRIM(INDEX($A:$AP,ROW(),$E$6)&amp;""))</f>
        <v/>
      </c>
      <c r="AW153" s="31">
        <f>IF($AU153="","",IF(MATCH($AU153,$AU$8:$AU$2007,0)=ROW()-7,MAX($AW$7:$AW152)+1,""))</f>
        <v/>
      </c>
      <c r="AX153" s="31">
        <f>IF(OR($AS153="",$D$6=""),"",TRIM(INDEX($A:$AP,ROW(),$D$6)&amp;""))</f>
        <v/>
      </c>
      <c r="AY153" s="31">
        <f>IF($AU153="","",INDEX($AW$8:$AW$2007,MATCH($AU153,$AU$8:$AU$2007,0)))</f>
        <v/>
      </c>
      <c r="AZ153" s="31">
        <f>IF(OR($AS153="",$C$6=""),"",TRIM(INDEX($A:$AP,ROW(),$C$6)&amp;""))</f>
        <v/>
      </c>
      <c r="BA153" s="31">
        <f>IF($AZ153="","",IF(COUNTIF($AZ$8:$AZ153,$AZ153)&gt;1,1,0))</f>
        <v/>
      </c>
    </row>
    <row r="154">
      <c r="AR154" s="31">
        <f>IF(OR($A$5="",$B$6="",ROW()&lt;$A$5),"",IF(INDEX($A:$AP,ROW(),$B$6)="","",INDEX($A:$AP,ROW(),$B$6)))</f>
        <v/>
      </c>
      <c r="AS154" s="32">
        <f>IF($AR154="","",IF(ISNUMBER($AR154),IF($AR154&gt;=10000000,IFERROR(DATE(INT($AR154/10000),MOD(INT($AR154/100),100),MOD($AR154,100)),""),INT($AR154)),IFERROR(DATE(--LEFT(LEFT(SUBSTITUTE(SUBSTITUTE(SUBSTITUTE(SUBSTITUTE(TRIM($AR154),"-",""),".",""),"/","")," ",""),8),4),--MID(LEFT(SUBSTITUTE(SUBSTITUTE(SUBSTITUTE(SUBSTITUTE(TRIM($AR154),"-",""),".",""),"/","")," ",""),8),5,2),--MID(LEFT(SUBSTITUTE(SUBSTITUTE(SUBSTITUTE(SUBSTITUTE(TRIM($AR154),"-",""),".",""),"/","")," ",""),8),7,2)),"")))</f>
        <v/>
      </c>
      <c r="AT154" s="33">
        <f>IF($AS154="","",IF($F$6="",0,IF(ISNUMBER(INDEX($A:$AP,ROW(),$F$6)),INDEX($A:$AP,ROW(),$F$6),IFERROR(--SUBSTITUTE(SUBSTITUTE(TRIM(INDEX($A:$AP,ROW(),$F$6)),",",""),"원",""),0))))</f>
        <v/>
      </c>
      <c r="AU154" s="31">
        <f>IF($AS154="","",IF($AX154&lt;&gt;"",SUBSTITUTE(SUBSTITUTE($AX154,"-","")," ",""),"N:"&amp;$AV154))</f>
        <v/>
      </c>
      <c r="AV154" s="31">
        <f>IF(OR($AS154="",$E$6=""),"",TRIM(INDEX($A:$AP,ROW(),$E$6)&amp;""))</f>
        <v/>
      </c>
      <c r="AW154" s="31">
        <f>IF($AU154="","",IF(MATCH($AU154,$AU$8:$AU$2007,0)=ROW()-7,MAX($AW$7:$AW153)+1,""))</f>
        <v/>
      </c>
      <c r="AX154" s="31">
        <f>IF(OR($AS154="",$D$6=""),"",TRIM(INDEX($A:$AP,ROW(),$D$6)&amp;""))</f>
        <v/>
      </c>
      <c r="AY154" s="31">
        <f>IF($AU154="","",INDEX($AW$8:$AW$2007,MATCH($AU154,$AU$8:$AU$2007,0)))</f>
        <v/>
      </c>
      <c r="AZ154" s="31">
        <f>IF(OR($AS154="",$C$6=""),"",TRIM(INDEX($A:$AP,ROW(),$C$6)&amp;""))</f>
        <v/>
      </c>
      <c r="BA154" s="31">
        <f>IF($AZ154="","",IF(COUNTIF($AZ$8:$AZ154,$AZ154)&gt;1,1,0))</f>
        <v/>
      </c>
    </row>
    <row r="155">
      <c r="AR155" s="31">
        <f>IF(OR($A$5="",$B$6="",ROW()&lt;$A$5),"",IF(INDEX($A:$AP,ROW(),$B$6)="","",INDEX($A:$AP,ROW(),$B$6)))</f>
        <v/>
      </c>
      <c r="AS155" s="32">
        <f>IF($AR155="","",IF(ISNUMBER($AR155),IF($AR155&gt;=10000000,IFERROR(DATE(INT($AR155/10000),MOD(INT($AR155/100),100),MOD($AR155,100)),""),INT($AR155)),IFERROR(DATE(--LEFT(LEFT(SUBSTITUTE(SUBSTITUTE(SUBSTITUTE(SUBSTITUTE(TRIM($AR155),"-",""),".",""),"/","")," ",""),8),4),--MID(LEFT(SUBSTITUTE(SUBSTITUTE(SUBSTITUTE(SUBSTITUTE(TRIM($AR155),"-",""),".",""),"/","")," ",""),8),5,2),--MID(LEFT(SUBSTITUTE(SUBSTITUTE(SUBSTITUTE(SUBSTITUTE(TRIM($AR155),"-",""),".",""),"/","")," ",""),8),7,2)),"")))</f>
        <v/>
      </c>
      <c r="AT155" s="33">
        <f>IF($AS155="","",IF($F$6="",0,IF(ISNUMBER(INDEX($A:$AP,ROW(),$F$6)),INDEX($A:$AP,ROW(),$F$6),IFERROR(--SUBSTITUTE(SUBSTITUTE(TRIM(INDEX($A:$AP,ROW(),$F$6)),",",""),"원",""),0))))</f>
        <v/>
      </c>
      <c r="AU155" s="31">
        <f>IF($AS155="","",IF($AX155&lt;&gt;"",SUBSTITUTE(SUBSTITUTE($AX155,"-","")," ",""),"N:"&amp;$AV155))</f>
        <v/>
      </c>
      <c r="AV155" s="31">
        <f>IF(OR($AS155="",$E$6=""),"",TRIM(INDEX($A:$AP,ROW(),$E$6)&amp;""))</f>
        <v/>
      </c>
      <c r="AW155" s="31">
        <f>IF($AU155="","",IF(MATCH($AU155,$AU$8:$AU$2007,0)=ROW()-7,MAX($AW$7:$AW154)+1,""))</f>
        <v/>
      </c>
      <c r="AX155" s="31">
        <f>IF(OR($AS155="",$D$6=""),"",TRIM(INDEX($A:$AP,ROW(),$D$6)&amp;""))</f>
        <v/>
      </c>
      <c r="AY155" s="31">
        <f>IF($AU155="","",INDEX($AW$8:$AW$2007,MATCH($AU155,$AU$8:$AU$2007,0)))</f>
        <v/>
      </c>
      <c r="AZ155" s="31">
        <f>IF(OR($AS155="",$C$6=""),"",TRIM(INDEX($A:$AP,ROW(),$C$6)&amp;""))</f>
        <v/>
      </c>
      <c r="BA155" s="31">
        <f>IF($AZ155="","",IF(COUNTIF($AZ$8:$AZ155,$AZ155)&gt;1,1,0))</f>
        <v/>
      </c>
    </row>
    <row r="156">
      <c r="AR156" s="31">
        <f>IF(OR($A$5="",$B$6="",ROW()&lt;$A$5),"",IF(INDEX($A:$AP,ROW(),$B$6)="","",INDEX($A:$AP,ROW(),$B$6)))</f>
        <v/>
      </c>
      <c r="AS156" s="32">
        <f>IF($AR156="","",IF(ISNUMBER($AR156),IF($AR156&gt;=10000000,IFERROR(DATE(INT($AR156/10000),MOD(INT($AR156/100),100),MOD($AR156,100)),""),INT($AR156)),IFERROR(DATE(--LEFT(LEFT(SUBSTITUTE(SUBSTITUTE(SUBSTITUTE(SUBSTITUTE(TRIM($AR156),"-",""),".",""),"/","")," ",""),8),4),--MID(LEFT(SUBSTITUTE(SUBSTITUTE(SUBSTITUTE(SUBSTITUTE(TRIM($AR156),"-",""),".",""),"/","")," ",""),8),5,2),--MID(LEFT(SUBSTITUTE(SUBSTITUTE(SUBSTITUTE(SUBSTITUTE(TRIM($AR156),"-",""),".",""),"/","")," ",""),8),7,2)),"")))</f>
        <v/>
      </c>
      <c r="AT156" s="33">
        <f>IF($AS156="","",IF($F$6="",0,IF(ISNUMBER(INDEX($A:$AP,ROW(),$F$6)),INDEX($A:$AP,ROW(),$F$6),IFERROR(--SUBSTITUTE(SUBSTITUTE(TRIM(INDEX($A:$AP,ROW(),$F$6)),",",""),"원",""),0))))</f>
        <v/>
      </c>
      <c r="AU156" s="31">
        <f>IF($AS156="","",IF($AX156&lt;&gt;"",SUBSTITUTE(SUBSTITUTE($AX156,"-","")," ",""),"N:"&amp;$AV156))</f>
        <v/>
      </c>
      <c r="AV156" s="31">
        <f>IF(OR($AS156="",$E$6=""),"",TRIM(INDEX($A:$AP,ROW(),$E$6)&amp;""))</f>
        <v/>
      </c>
      <c r="AW156" s="31">
        <f>IF($AU156="","",IF(MATCH($AU156,$AU$8:$AU$2007,0)=ROW()-7,MAX($AW$7:$AW155)+1,""))</f>
        <v/>
      </c>
      <c r="AX156" s="31">
        <f>IF(OR($AS156="",$D$6=""),"",TRIM(INDEX($A:$AP,ROW(),$D$6)&amp;""))</f>
        <v/>
      </c>
      <c r="AY156" s="31">
        <f>IF($AU156="","",INDEX($AW$8:$AW$2007,MATCH($AU156,$AU$8:$AU$2007,0)))</f>
        <v/>
      </c>
      <c r="AZ156" s="31">
        <f>IF(OR($AS156="",$C$6=""),"",TRIM(INDEX($A:$AP,ROW(),$C$6)&amp;""))</f>
        <v/>
      </c>
      <c r="BA156" s="31">
        <f>IF($AZ156="","",IF(COUNTIF($AZ$8:$AZ156,$AZ156)&gt;1,1,0))</f>
        <v/>
      </c>
    </row>
    <row r="157">
      <c r="AR157" s="31">
        <f>IF(OR($A$5="",$B$6="",ROW()&lt;$A$5),"",IF(INDEX($A:$AP,ROW(),$B$6)="","",INDEX($A:$AP,ROW(),$B$6)))</f>
        <v/>
      </c>
      <c r="AS157" s="32">
        <f>IF($AR157="","",IF(ISNUMBER($AR157),IF($AR157&gt;=10000000,IFERROR(DATE(INT($AR157/10000),MOD(INT($AR157/100),100),MOD($AR157,100)),""),INT($AR157)),IFERROR(DATE(--LEFT(LEFT(SUBSTITUTE(SUBSTITUTE(SUBSTITUTE(SUBSTITUTE(TRIM($AR157),"-",""),".",""),"/","")," ",""),8),4),--MID(LEFT(SUBSTITUTE(SUBSTITUTE(SUBSTITUTE(SUBSTITUTE(TRIM($AR157),"-",""),".",""),"/","")," ",""),8),5,2),--MID(LEFT(SUBSTITUTE(SUBSTITUTE(SUBSTITUTE(SUBSTITUTE(TRIM($AR157),"-",""),".",""),"/","")," ",""),8),7,2)),"")))</f>
        <v/>
      </c>
      <c r="AT157" s="33">
        <f>IF($AS157="","",IF($F$6="",0,IF(ISNUMBER(INDEX($A:$AP,ROW(),$F$6)),INDEX($A:$AP,ROW(),$F$6),IFERROR(--SUBSTITUTE(SUBSTITUTE(TRIM(INDEX($A:$AP,ROW(),$F$6)),",",""),"원",""),0))))</f>
        <v/>
      </c>
      <c r="AU157" s="31">
        <f>IF($AS157="","",IF($AX157&lt;&gt;"",SUBSTITUTE(SUBSTITUTE($AX157,"-","")," ",""),"N:"&amp;$AV157))</f>
        <v/>
      </c>
      <c r="AV157" s="31">
        <f>IF(OR($AS157="",$E$6=""),"",TRIM(INDEX($A:$AP,ROW(),$E$6)&amp;""))</f>
        <v/>
      </c>
      <c r="AW157" s="31">
        <f>IF($AU157="","",IF(MATCH($AU157,$AU$8:$AU$2007,0)=ROW()-7,MAX($AW$7:$AW156)+1,""))</f>
        <v/>
      </c>
      <c r="AX157" s="31">
        <f>IF(OR($AS157="",$D$6=""),"",TRIM(INDEX($A:$AP,ROW(),$D$6)&amp;""))</f>
        <v/>
      </c>
      <c r="AY157" s="31">
        <f>IF($AU157="","",INDEX($AW$8:$AW$2007,MATCH($AU157,$AU$8:$AU$2007,0)))</f>
        <v/>
      </c>
      <c r="AZ157" s="31">
        <f>IF(OR($AS157="",$C$6=""),"",TRIM(INDEX($A:$AP,ROW(),$C$6)&amp;""))</f>
        <v/>
      </c>
      <c r="BA157" s="31">
        <f>IF($AZ157="","",IF(COUNTIF($AZ$8:$AZ157,$AZ157)&gt;1,1,0))</f>
        <v/>
      </c>
    </row>
    <row r="158">
      <c r="AR158" s="31">
        <f>IF(OR($A$5="",$B$6="",ROW()&lt;$A$5),"",IF(INDEX($A:$AP,ROW(),$B$6)="","",INDEX($A:$AP,ROW(),$B$6)))</f>
        <v/>
      </c>
      <c r="AS158" s="32">
        <f>IF($AR158="","",IF(ISNUMBER($AR158),IF($AR158&gt;=10000000,IFERROR(DATE(INT($AR158/10000),MOD(INT($AR158/100),100),MOD($AR158,100)),""),INT($AR158)),IFERROR(DATE(--LEFT(LEFT(SUBSTITUTE(SUBSTITUTE(SUBSTITUTE(SUBSTITUTE(TRIM($AR158),"-",""),".",""),"/","")," ",""),8),4),--MID(LEFT(SUBSTITUTE(SUBSTITUTE(SUBSTITUTE(SUBSTITUTE(TRIM($AR158),"-",""),".",""),"/","")," ",""),8),5,2),--MID(LEFT(SUBSTITUTE(SUBSTITUTE(SUBSTITUTE(SUBSTITUTE(TRIM($AR158),"-",""),".",""),"/","")," ",""),8),7,2)),"")))</f>
        <v/>
      </c>
      <c r="AT158" s="33">
        <f>IF($AS158="","",IF($F$6="",0,IF(ISNUMBER(INDEX($A:$AP,ROW(),$F$6)),INDEX($A:$AP,ROW(),$F$6),IFERROR(--SUBSTITUTE(SUBSTITUTE(TRIM(INDEX($A:$AP,ROW(),$F$6)),",",""),"원",""),0))))</f>
        <v/>
      </c>
      <c r="AU158" s="31">
        <f>IF($AS158="","",IF($AX158&lt;&gt;"",SUBSTITUTE(SUBSTITUTE($AX158,"-","")," ",""),"N:"&amp;$AV158))</f>
        <v/>
      </c>
      <c r="AV158" s="31">
        <f>IF(OR($AS158="",$E$6=""),"",TRIM(INDEX($A:$AP,ROW(),$E$6)&amp;""))</f>
        <v/>
      </c>
      <c r="AW158" s="31">
        <f>IF($AU158="","",IF(MATCH($AU158,$AU$8:$AU$2007,0)=ROW()-7,MAX($AW$7:$AW157)+1,""))</f>
        <v/>
      </c>
      <c r="AX158" s="31">
        <f>IF(OR($AS158="",$D$6=""),"",TRIM(INDEX($A:$AP,ROW(),$D$6)&amp;""))</f>
        <v/>
      </c>
      <c r="AY158" s="31">
        <f>IF($AU158="","",INDEX($AW$8:$AW$2007,MATCH($AU158,$AU$8:$AU$2007,0)))</f>
        <v/>
      </c>
      <c r="AZ158" s="31">
        <f>IF(OR($AS158="",$C$6=""),"",TRIM(INDEX($A:$AP,ROW(),$C$6)&amp;""))</f>
        <v/>
      </c>
      <c r="BA158" s="31">
        <f>IF($AZ158="","",IF(COUNTIF($AZ$8:$AZ158,$AZ158)&gt;1,1,0))</f>
        <v/>
      </c>
    </row>
    <row r="159">
      <c r="AR159" s="31">
        <f>IF(OR($A$5="",$B$6="",ROW()&lt;$A$5),"",IF(INDEX($A:$AP,ROW(),$B$6)="","",INDEX($A:$AP,ROW(),$B$6)))</f>
        <v/>
      </c>
      <c r="AS159" s="32">
        <f>IF($AR159="","",IF(ISNUMBER($AR159),IF($AR159&gt;=10000000,IFERROR(DATE(INT($AR159/10000),MOD(INT($AR159/100),100),MOD($AR159,100)),""),INT($AR159)),IFERROR(DATE(--LEFT(LEFT(SUBSTITUTE(SUBSTITUTE(SUBSTITUTE(SUBSTITUTE(TRIM($AR159),"-",""),".",""),"/","")," ",""),8),4),--MID(LEFT(SUBSTITUTE(SUBSTITUTE(SUBSTITUTE(SUBSTITUTE(TRIM($AR159),"-",""),".",""),"/","")," ",""),8),5,2),--MID(LEFT(SUBSTITUTE(SUBSTITUTE(SUBSTITUTE(SUBSTITUTE(TRIM($AR159),"-",""),".",""),"/","")," ",""),8),7,2)),"")))</f>
        <v/>
      </c>
      <c r="AT159" s="33">
        <f>IF($AS159="","",IF($F$6="",0,IF(ISNUMBER(INDEX($A:$AP,ROW(),$F$6)),INDEX($A:$AP,ROW(),$F$6),IFERROR(--SUBSTITUTE(SUBSTITUTE(TRIM(INDEX($A:$AP,ROW(),$F$6)),",",""),"원",""),0))))</f>
        <v/>
      </c>
      <c r="AU159" s="31">
        <f>IF($AS159="","",IF($AX159&lt;&gt;"",SUBSTITUTE(SUBSTITUTE($AX159,"-","")," ",""),"N:"&amp;$AV159))</f>
        <v/>
      </c>
      <c r="AV159" s="31">
        <f>IF(OR($AS159="",$E$6=""),"",TRIM(INDEX($A:$AP,ROW(),$E$6)&amp;""))</f>
        <v/>
      </c>
      <c r="AW159" s="31">
        <f>IF($AU159="","",IF(MATCH($AU159,$AU$8:$AU$2007,0)=ROW()-7,MAX($AW$7:$AW158)+1,""))</f>
        <v/>
      </c>
      <c r="AX159" s="31">
        <f>IF(OR($AS159="",$D$6=""),"",TRIM(INDEX($A:$AP,ROW(),$D$6)&amp;""))</f>
        <v/>
      </c>
      <c r="AY159" s="31">
        <f>IF($AU159="","",INDEX($AW$8:$AW$2007,MATCH($AU159,$AU$8:$AU$2007,0)))</f>
        <v/>
      </c>
      <c r="AZ159" s="31">
        <f>IF(OR($AS159="",$C$6=""),"",TRIM(INDEX($A:$AP,ROW(),$C$6)&amp;""))</f>
        <v/>
      </c>
      <c r="BA159" s="31">
        <f>IF($AZ159="","",IF(COUNTIF($AZ$8:$AZ159,$AZ159)&gt;1,1,0))</f>
        <v/>
      </c>
    </row>
    <row r="160">
      <c r="AR160" s="31">
        <f>IF(OR($A$5="",$B$6="",ROW()&lt;$A$5),"",IF(INDEX($A:$AP,ROW(),$B$6)="","",INDEX($A:$AP,ROW(),$B$6)))</f>
        <v/>
      </c>
      <c r="AS160" s="32">
        <f>IF($AR160="","",IF(ISNUMBER($AR160),IF($AR160&gt;=10000000,IFERROR(DATE(INT($AR160/10000),MOD(INT($AR160/100),100),MOD($AR160,100)),""),INT($AR160)),IFERROR(DATE(--LEFT(LEFT(SUBSTITUTE(SUBSTITUTE(SUBSTITUTE(SUBSTITUTE(TRIM($AR160),"-",""),".",""),"/","")," ",""),8),4),--MID(LEFT(SUBSTITUTE(SUBSTITUTE(SUBSTITUTE(SUBSTITUTE(TRIM($AR160),"-",""),".",""),"/","")," ",""),8),5,2),--MID(LEFT(SUBSTITUTE(SUBSTITUTE(SUBSTITUTE(SUBSTITUTE(TRIM($AR160),"-",""),".",""),"/","")," ",""),8),7,2)),"")))</f>
        <v/>
      </c>
      <c r="AT160" s="33">
        <f>IF($AS160="","",IF($F$6="",0,IF(ISNUMBER(INDEX($A:$AP,ROW(),$F$6)),INDEX($A:$AP,ROW(),$F$6),IFERROR(--SUBSTITUTE(SUBSTITUTE(TRIM(INDEX($A:$AP,ROW(),$F$6)),",",""),"원",""),0))))</f>
        <v/>
      </c>
      <c r="AU160" s="31">
        <f>IF($AS160="","",IF($AX160&lt;&gt;"",SUBSTITUTE(SUBSTITUTE($AX160,"-","")," ",""),"N:"&amp;$AV160))</f>
        <v/>
      </c>
      <c r="AV160" s="31">
        <f>IF(OR($AS160="",$E$6=""),"",TRIM(INDEX($A:$AP,ROW(),$E$6)&amp;""))</f>
        <v/>
      </c>
      <c r="AW160" s="31">
        <f>IF($AU160="","",IF(MATCH($AU160,$AU$8:$AU$2007,0)=ROW()-7,MAX($AW$7:$AW159)+1,""))</f>
        <v/>
      </c>
      <c r="AX160" s="31">
        <f>IF(OR($AS160="",$D$6=""),"",TRIM(INDEX($A:$AP,ROW(),$D$6)&amp;""))</f>
        <v/>
      </c>
      <c r="AY160" s="31">
        <f>IF($AU160="","",INDEX($AW$8:$AW$2007,MATCH($AU160,$AU$8:$AU$2007,0)))</f>
        <v/>
      </c>
      <c r="AZ160" s="31">
        <f>IF(OR($AS160="",$C$6=""),"",TRIM(INDEX($A:$AP,ROW(),$C$6)&amp;""))</f>
        <v/>
      </c>
      <c r="BA160" s="31">
        <f>IF($AZ160="","",IF(COUNTIF($AZ$8:$AZ160,$AZ160)&gt;1,1,0))</f>
        <v/>
      </c>
    </row>
    <row r="161">
      <c r="AR161" s="31">
        <f>IF(OR($A$5="",$B$6="",ROW()&lt;$A$5),"",IF(INDEX($A:$AP,ROW(),$B$6)="","",INDEX($A:$AP,ROW(),$B$6)))</f>
        <v/>
      </c>
      <c r="AS161" s="32">
        <f>IF($AR161="","",IF(ISNUMBER($AR161),IF($AR161&gt;=10000000,IFERROR(DATE(INT($AR161/10000),MOD(INT($AR161/100),100),MOD($AR161,100)),""),INT($AR161)),IFERROR(DATE(--LEFT(LEFT(SUBSTITUTE(SUBSTITUTE(SUBSTITUTE(SUBSTITUTE(TRIM($AR161),"-",""),".",""),"/","")," ",""),8),4),--MID(LEFT(SUBSTITUTE(SUBSTITUTE(SUBSTITUTE(SUBSTITUTE(TRIM($AR161),"-",""),".",""),"/","")," ",""),8),5,2),--MID(LEFT(SUBSTITUTE(SUBSTITUTE(SUBSTITUTE(SUBSTITUTE(TRIM($AR161),"-",""),".",""),"/","")," ",""),8),7,2)),"")))</f>
        <v/>
      </c>
      <c r="AT161" s="33">
        <f>IF($AS161="","",IF($F$6="",0,IF(ISNUMBER(INDEX($A:$AP,ROW(),$F$6)),INDEX($A:$AP,ROW(),$F$6),IFERROR(--SUBSTITUTE(SUBSTITUTE(TRIM(INDEX($A:$AP,ROW(),$F$6)),",",""),"원",""),0))))</f>
        <v/>
      </c>
      <c r="AU161" s="31">
        <f>IF($AS161="","",IF($AX161&lt;&gt;"",SUBSTITUTE(SUBSTITUTE($AX161,"-","")," ",""),"N:"&amp;$AV161))</f>
        <v/>
      </c>
      <c r="AV161" s="31">
        <f>IF(OR($AS161="",$E$6=""),"",TRIM(INDEX($A:$AP,ROW(),$E$6)&amp;""))</f>
        <v/>
      </c>
      <c r="AW161" s="31">
        <f>IF($AU161="","",IF(MATCH($AU161,$AU$8:$AU$2007,0)=ROW()-7,MAX($AW$7:$AW160)+1,""))</f>
        <v/>
      </c>
      <c r="AX161" s="31">
        <f>IF(OR($AS161="",$D$6=""),"",TRIM(INDEX($A:$AP,ROW(),$D$6)&amp;""))</f>
        <v/>
      </c>
      <c r="AY161" s="31">
        <f>IF($AU161="","",INDEX($AW$8:$AW$2007,MATCH($AU161,$AU$8:$AU$2007,0)))</f>
        <v/>
      </c>
      <c r="AZ161" s="31">
        <f>IF(OR($AS161="",$C$6=""),"",TRIM(INDEX($A:$AP,ROW(),$C$6)&amp;""))</f>
        <v/>
      </c>
      <c r="BA161" s="31">
        <f>IF($AZ161="","",IF(COUNTIF($AZ$8:$AZ161,$AZ161)&gt;1,1,0))</f>
        <v/>
      </c>
    </row>
    <row r="162">
      <c r="AR162" s="31">
        <f>IF(OR($A$5="",$B$6="",ROW()&lt;$A$5),"",IF(INDEX($A:$AP,ROW(),$B$6)="","",INDEX($A:$AP,ROW(),$B$6)))</f>
        <v/>
      </c>
      <c r="AS162" s="32">
        <f>IF($AR162="","",IF(ISNUMBER($AR162),IF($AR162&gt;=10000000,IFERROR(DATE(INT($AR162/10000),MOD(INT($AR162/100),100),MOD($AR162,100)),""),INT($AR162)),IFERROR(DATE(--LEFT(LEFT(SUBSTITUTE(SUBSTITUTE(SUBSTITUTE(SUBSTITUTE(TRIM($AR162),"-",""),".",""),"/","")," ",""),8),4),--MID(LEFT(SUBSTITUTE(SUBSTITUTE(SUBSTITUTE(SUBSTITUTE(TRIM($AR162),"-",""),".",""),"/","")," ",""),8),5,2),--MID(LEFT(SUBSTITUTE(SUBSTITUTE(SUBSTITUTE(SUBSTITUTE(TRIM($AR162),"-",""),".",""),"/","")," ",""),8),7,2)),"")))</f>
        <v/>
      </c>
      <c r="AT162" s="33">
        <f>IF($AS162="","",IF($F$6="",0,IF(ISNUMBER(INDEX($A:$AP,ROW(),$F$6)),INDEX($A:$AP,ROW(),$F$6),IFERROR(--SUBSTITUTE(SUBSTITUTE(TRIM(INDEX($A:$AP,ROW(),$F$6)),",",""),"원",""),0))))</f>
        <v/>
      </c>
      <c r="AU162" s="31">
        <f>IF($AS162="","",IF($AX162&lt;&gt;"",SUBSTITUTE(SUBSTITUTE($AX162,"-","")," ",""),"N:"&amp;$AV162))</f>
        <v/>
      </c>
      <c r="AV162" s="31">
        <f>IF(OR($AS162="",$E$6=""),"",TRIM(INDEX($A:$AP,ROW(),$E$6)&amp;""))</f>
        <v/>
      </c>
      <c r="AW162" s="31">
        <f>IF($AU162="","",IF(MATCH($AU162,$AU$8:$AU$2007,0)=ROW()-7,MAX($AW$7:$AW161)+1,""))</f>
        <v/>
      </c>
      <c r="AX162" s="31">
        <f>IF(OR($AS162="",$D$6=""),"",TRIM(INDEX($A:$AP,ROW(),$D$6)&amp;""))</f>
        <v/>
      </c>
      <c r="AY162" s="31">
        <f>IF($AU162="","",INDEX($AW$8:$AW$2007,MATCH($AU162,$AU$8:$AU$2007,0)))</f>
        <v/>
      </c>
      <c r="AZ162" s="31">
        <f>IF(OR($AS162="",$C$6=""),"",TRIM(INDEX($A:$AP,ROW(),$C$6)&amp;""))</f>
        <v/>
      </c>
      <c r="BA162" s="31">
        <f>IF($AZ162="","",IF(COUNTIF($AZ$8:$AZ162,$AZ162)&gt;1,1,0))</f>
        <v/>
      </c>
    </row>
    <row r="163">
      <c r="AR163" s="31">
        <f>IF(OR($A$5="",$B$6="",ROW()&lt;$A$5),"",IF(INDEX($A:$AP,ROW(),$B$6)="","",INDEX($A:$AP,ROW(),$B$6)))</f>
        <v/>
      </c>
      <c r="AS163" s="32">
        <f>IF($AR163="","",IF(ISNUMBER($AR163),IF($AR163&gt;=10000000,IFERROR(DATE(INT($AR163/10000),MOD(INT($AR163/100),100),MOD($AR163,100)),""),INT($AR163)),IFERROR(DATE(--LEFT(LEFT(SUBSTITUTE(SUBSTITUTE(SUBSTITUTE(SUBSTITUTE(TRIM($AR163),"-",""),".",""),"/","")," ",""),8),4),--MID(LEFT(SUBSTITUTE(SUBSTITUTE(SUBSTITUTE(SUBSTITUTE(TRIM($AR163),"-",""),".",""),"/","")," ",""),8),5,2),--MID(LEFT(SUBSTITUTE(SUBSTITUTE(SUBSTITUTE(SUBSTITUTE(TRIM($AR163),"-",""),".",""),"/","")," ",""),8),7,2)),"")))</f>
        <v/>
      </c>
      <c r="AT163" s="33">
        <f>IF($AS163="","",IF($F$6="",0,IF(ISNUMBER(INDEX($A:$AP,ROW(),$F$6)),INDEX($A:$AP,ROW(),$F$6),IFERROR(--SUBSTITUTE(SUBSTITUTE(TRIM(INDEX($A:$AP,ROW(),$F$6)),",",""),"원",""),0))))</f>
        <v/>
      </c>
      <c r="AU163" s="31">
        <f>IF($AS163="","",IF($AX163&lt;&gt;"",SUBSTITUTE(SUBSTITUTE($AX163,"-","")," ",""),"N:"&amp;$AV163))</f>
        <v/>
      </c>
      <c r="AV163" s="31">
        <f>IF(OR($AS163="",$E$6=""),"",TRIM(INDEX($A:$AP,ROW(),$E$6)&amp;""))</f>
        <v/>
      </c>
      <c r="AW163" s="31">
        <f>IF($AU163="","",IF(MATCH($AU163,$AU$8:$AU$2007,0)=ROW()-7,MAX($AW$7:$AW162)+1,""))</f>
        <v/>
      </c>
      <c r="AX163" s="31">
        <f>IF(OR($AS163="",$D$6=""),"",TRIM(INDEX($A:$AP,ROW(),$D$6)&amp;""))</f>
        <v/>
      </c>
      <c r="AY163" s="31">
        <f>IF($AU163="","",INDEX($AW$8:$AW$2007,MATCH($AU163,$AU$8:$AU$2007,0)))</f>
        <v/>
      </c>
      <c r="AZ163" s="31">
        <f>IF(OR($AS163="",$C$6=""),"",TRIM(INDEX($A:$AP,ROW(),$C$6)&amp;""))</f>
        <v/>
      </c>
      <c r="BA163" s="31">
        <f>IF($AZ163="","",IF(COUNTIF($AZ$8:$AZ163,$AZ163)&gt;1,1,0))</f>
        <v/>
      </c>
    </row>
    <row r="164">
      <c r="AR164" s="31">
        <f>IF(OR($A$5="",$B$6="",ROW()&lt;$A$5),"",IF(INDEX($A:$AP,ROW(),$B$6)="","",INDEX($A:$AP,ROW(),$B$6)))</f>
        <v/>
      </c>
      <c r="AS164" s="32">
        <f>IF($AR164="","",IF(ISNUMBER($AR164),IF($AR164&gt;=10000000,IFERROR(DATE(INT($AR164/10000),MOD(INT($AR164/100),100),MOD($AR164,100)),""),INT($AR164)),IFERROR(DATE(--LEFT(LEFT(SUBSTITUTE(SUBSTITUTE(SUBSTITUTE(SUBSTITUTE(TRIM($AR164),"-",""),".",""),"/","")," ",""),8),4),--MID(LEFT(SUBSTITUTE(SUBSTITUTE(SUBSTITUTE(SUBSTITUTE(TRIM($AR164),"-",""),".",""),"/","")," ",""),8),5,2),--MID(LEFT(SUBSTITUTE(SUBSTITUTE(SUBSTITUTE(SUBSTITUTE(TRIM($AR164),"-",""),".",""),"/","")," ",""),8),7,2)),"")))</f>
        <v/>
      </c>
      <c r="AT164" s="33">
        <f>IF($AS164="","",IF($F$6="",0,IF(ISNUMBER(INDEX($A:$AP,ROW(),$F$6)),INDEX($A:$AP,ROW(),$F$6),IFERROR(--SUBSTITUTE(SUBSTITUTE(TRIM(INDEX($A:$AP,ROW(),$F$6)),",",""),"원",""),0))))</f>
        <v/>
      </c>
      <c r="AU164" s="31">
        <f>IF($AS164="","",IF($AX164&lt;&gt;"",SUBSTITUTE(SUBSTITUTE($AX164,"-","")," ",""),"N:"&amp;$AV164))</f>
        <v/>
      </c>
      <c r="AV164" s="31">
        <f>IF(OR($AS164="",$E$6=""),"",TRIM(INDEX($A:$AP,ROW(),$E$6)&amp;""))</f>
        <v/>
      </c>
      <c r="AW164" s="31">
        <f>IF($AU164="","",IF(MATCH($AU164,$AU$8:$AU$2007,0)=ROW()-7,MAX($AW$7:$AW163)+1,""))</f>
        <v/>
      </c>
      <c r="AX164" s="31">
        <f>IF(OR($AS164="",$D$6=""),"",TRIM(INDEX($A:$AP,ROW(),$D$6)&amp;""))</f>
        <v/>
      </c>
      <c r="AY164" s="31">
        <f>IF($AU164="","",INDEX($AW$8:$AW$2007,MATCH($AU164,$AU$8:$AU$2007,0)))</f>
        <v/>
      </c>
      <c r="AZ164" s="31">
        <f>IF(OR($AS164="",$C$6=""),"",TRIM(INDEX($A:$AP,ROW(),$C$6)&amp;""))</f>
        <v/>
      </c>
      <c r="BA164" s="31">
        <f>IF($AZ164="","",IF(COUNTIF($AZ$8:$AZ164,$AZ164)&gt;1,1,0))</f>
        <v/>
      </c>
    </row>
    <row r="165">
      <c r="AR165" s="31">
        <f>IF(OR($A$5="",$B$6="",ROW()&lt;$A$5),"",IF(INDEX($A:$AP,ROW(),$B$6)="","",INDEX($A:$AP,ROW(),$B$6)))</f>
        <v/>
      </c>
      <c r="AS165" s="32">
        <f>IF($AR165="","",IF(ISNUMBER($AR165),IF($AR165&gt;=10000000,IFERROR(DATE(INT($AR165/10000),MOD(INT($AR165/100),100),MOD($AR165,100)),""),INT($AR165)),IFERROR(DATE(--LEFT(LEFT(SUBSTITUTE(SUBSTITUTE(SUBSTITUTE(SUBSTITUTE(TRIM($AR165),"-",""),".",""),"/","")," ",""),8),4),--MID(LEFT(SUBSTITUTE(SUBSTITUTE(SUBSTITUTE(SUBSTITUTE(TRIM($AR165),"-",""),".",""),"/","")," ",""),8),5,2),--MID(LEFT(SUBSTITUTE(SUBSTITUTE(SUBSTITUTE(SUBSTITUTE(TRIM($AR165),"-",""),".",""),"/","")," ",""),8),7,2)),"")))</f>
        <v/>
      </c>
      <c r="AT165" s="33">
        <f>IF($AS165="","",IF($F$6="",0,IF(ISNUMBER(INDEX($A:$AP,ROW(),$F$6)),INDEX($A:$AP,ROW(),$F$6),IFERROR(--SUBSTITUTE(SUBSTITUTE(TRIM(INDEX($A:$AP,ROW(),$F$6)),",",""),"원",""),0))))</f>
        <v/>
      </c>
      <c r="AU165" s="31">
        <f>IF($AS165="","",IF($AX165&lt;&gt;"",SUBSTITUTE(SUBSTITUTE($AX165,"-","")," ",""),"N:"&amp;$AV165))</f>
        <v/>
      </c>
      <c r="AV165" s="31">
        <f>IF(OR($AS165="",$E$6=""),"",TRIM(INDEX($A:$AP,ROW(),$E$6)&amp;""))</f>
        <v/>
      </c>
      <c r="AW165" s="31">
        <f>IF($AU165="","",IF(MATCH($AU165,$AU$8:$AU$2007,0)=ROW()-7,MAX($AW$7:$AW164)+1,""))</f>
        <v/>
      </c>
      <c r="AX165" s="31">
        <f>IF(OR($AS165="",$D$6=""),"",TRIM(INDEX($A:$AP,ROW(),$D$6)&amp;""))</f>
        <v/>
      </c>
      <c r="AY165" s="31">
        <f>IF($AU165="","",INDEX($AW$8:$AW$2007,MATCH($AU165,$AU$8:$AU$2007,0)))</f>
        <v/>
      </c>
      <c r="AZ165" s="31">
        <f>IF(OR($AS165="",$C$6=""),"",TRIM(INDEX($A:$AP,ROW(),$C$6)&amp;""))</f>
        <v/>
      </c>
      <c r="BA165" s="31">
        <f>IF($AZ165="","",IF(COUNTIF($AZ$8:$AZ165,$AZ165)&gt;1,1,0))</f>
        <v/>
      </c>
    </row>
    <row r="166">
      <c r="AR166" s="31">
        <f>IF(OR($A$5="",$B$6="",ROW()&lt;$A$5),"",IF(INDEX($A:$AP,ROW(),$B$6)="","",INDEX($A:$AP,ROW(),$B$6)))</f>
        <v/>
      </c>
      <c r="AS166" s="32">
        <f>IF($AR166="","",IF(ISNUMBER($AR166),IF($AR166&gt;=10000000,IFERROR(DATE(INT($AR166/10000),MOD(INT($AR166/100),100),MOD($AR166,100)),""),INT($AR166)),IFERROR(DATE(--LEFT(LEFT(SUBSTITUTE(SUBSTITUTE(SUBSTITUTE(SUBSTITUTE(TRIM($AR166),"-",""),".",""),"/","")," ",""),8),4),--MID(LEFT(SUBSTITUTE(SUBSTITUTE(SUBSTITUTE(SUBSTITUTE(TRIM($AR166),"-",""),".",""),"/","")," ",""),8),5,2),--MID(LEFT(SUBSTITUTE(SUBSTITUTE(SUBSTITUTE(SUBSTITUTE(TRIM($AR166),"-",""),".",""),"/","")," ",""),8),7,2)),"")))</f>
        <v/>
      </c>
      <c r="AT166" s="33">
        <f>IF($AS166="","",IF($F$6="",0,IF(ISNUMBER(INDEX($A:$AP,ROW(),$F$6)),INDEX($A:$AP,ROW(),$F$6),IFERROR(--SUBSTITUTE(SUBSTITUTE(TRIM(INDEX($A:$AP,ROW(),$F$6)),",",""),"원",""),0))))</f>
        <v/>
      </c>
      <c r="AU166" s="31">
        <f>IF($AS166="","",IF($AX166&lt;&gt;"",SUBSTITUTE(SUBSTITUTE($AX166,"-","")," ",""),"N:"&amp;$AV166))</f>
        <v/>
      </c>
      <c r="AV166" s="31">
        <f>IF(OR($AS166="",$E$6=""),"",TRIM(INDEX($A:$AP,ROW(),$E$6)&amp;""))</f>
        <v/>
      </c>
      <c r="AW166" s="31">
        <f>IF($AU166="","",IF(MATCH($AU166,$AU$8:$AU$2007,0)=ROW()-7,MAX($AW$7:$AW165)+1,""))</f>
        <v/>
      </c>
      <c r="AX166" s="31">
        <f>IF(OR($AS166="",$D$6=""),"",TRIM(INDEX($A:$AP,ROW(),$D$6)&amp;""))</f>
        <v/>
      </c>
      <c r="AY166" s="31">
        <f>IF($AU166="","",INDEX($AW$8:$AW$2007,MATCH($AU166,$AU$8:$AU$2007,0)))</f>
        <v/>
      </c>
      <c r="AZ166" s="31">
        <f>IF(OR($AS166="",$C$6=""),"",TRIM(INDEX($A:$AP,ROW(),$C$6)&amp;""))</f>
        <v/>
      </c>
      <c r="BA166" s="31">
        <f>IF($AZ166="","",IF(COUNTIF($AZ$8:$AZ166,$AZ166)&gt;1,1,0))</f>
        <v/>
      </c>
    </row>
    <row r="167">
      <c r="AR167" s="31">
        <f>IF(OR($A$5="",$B$6="",ROW()&lt;$A$5),"",IF(INDEX($A:$AP,ROW(),$B$6)="","",INDEX($A:$AP,ROW(),$B$6)))</f>
        <v/>
      </c>
      <c r="AS167" s="32">
        <f>IF($AR167="","",IF(ISNUMBER($AR167),IF($AR167&gt;=10000000,IFERROR(DATE(INT($AR167/10000),MOD(INT($AR167/100),100),MOD($AR167,100)),""),INT($AR167)),IFERROR(DATE(--LEFT(LEFT(SUBSTITUTE(SUBSTITUTE(SUBSTITUTE(SUBSTITUTE(TRIM($AR167),"-",""),".",""),"/","")," ",""),8),4),--MID(LEFT(SUBSTITUTE(SUBSTITUTE(SUBSTITUTE(SUBSTITUTE(TRIM($AR167),"-",""),".",""),"/","")," ",""),8),5,2),--MID(LEFT(SUBSTITUTE(SUBSTITUTE(SUBSTITUTE(SUBSTITUTE(TRIM($AR167),"-",""),".",""),"/","")," ",""),8),7,2)),"")))</f>
        <v/>
      </c>
      <c r="AT167" s="33">
        <f>IF($AS167="","",IF($F$6="",0,IF(ISNUMBER(INDEX($A:$AP,ROW(),$F$6)),INDEX($A:$AP,ROW(),$F$6),IFERROR(--SUBSTITUTE(SUBSTITUTE(TRIM(INDEX($A:$AP,ROW(),$F$6)),",",""),"원",""),0))))</f>
        <v/>
      </c>
      <c r="AU167" s="31">
        <f>IF($AS167="","",IF($AX167&lt;&gt;"",SUBSTITUTE(SUBSTITUTE($AX167,"-","")," ",""),"N:"&amp;$AV167))</f>
        <v/>
      </c>
      <c r="AV167" s="31">
        <f>IF(OR($AS167="",$E$6=""),"",TRIM(INDEX($A:$AP,ROW(),$E$6)&amp;""))</f>
        <v/>
      </c>
      <c r="AW167" s="31">
        <f>IF($AU167="","",IF(MATCH($AU167,$AU$8:$AU$2007,0)=ROW()-7,MAX($AW$7:$AW166)+1,""))</f>
        <v/>
      </c>
      <c r="AX167" s="31">
        <f>IF(OR($AS167="",$D$6=""),"",TRIM(INDEX($A:$AP,ROW(),$D$6)&amp;""))</f>
        <v/>
      </c>
      <c r="AY167" s="31">
        <f>IF($AU167="","",INDEX($AW$8:$AW$2007,MATCH($AU167,$AU$8:$AU$2007,0)))</f>
        <v/>
      </c>
      <c r="AZ167" s="31">
        <f>IF(OR($AS167="",$C$6=""),"",TRIM(INDEX($A:$AP,ROW(),$C$6)&amp;""))</f>
        <v/>
      </c>
      <c r="BA167" s="31">
        <f>IF($AZ167="","",IF(COUNTIF($AZ$8:$AZ167,$AZ167)&gt;1,1,0))</f>
        <v/>
      </c>
    </row>
    <row r="168">
      <c r="AR168" s="31">
        <f>IF(OR($A$5="",$B$6="",ROW()&lt;$A$5),"",IF(INDEX($A:$AP,ROW(),$B$6)="","",INDEX($A:$AP,ROW(),$B$6)))</f>
        <v/>
      </c>
      <c r="AS168" s="32">
        <f>IF($AR168="","",IF(ISNUMBER($AR168),IF($AR168&gt;=10000000,IFERROR(DATE(INT($AR168/10000),MOD(INT($AR168/100),100),MOD($AR168,100)),""),INT($AR168)),IFERROR(DATE(--LEFT(LEFT(SUBSTITUTE(SUBSTITUTE(SUBSTITUTE(SUBSTITUTE(TRIM($AR168),"-",""),".",""),"/","")," ",""),8),4),--MID(LEFT(SUBSTITUTE(SUBSTITUTE(SUBSTITUTE(SUBSTITUTE(TRIM($AR168),"-",""),".",""),"/","")," ",""),8),5,2),--MID(LEFT(SUBSTITUTE(SUBSTITUTE(SUBSTITUTE(SUBSTITUTE(TRIM($AR168),"-",""),".",""),"/","")," ",""),8),7,2)),"")))</f>
        <v/>
      </c>
      <c r="AT168" s="33">
        <f>IF($AS168="","",IF($F$6="",0,IF(ISNUMBER(INDEX($A:$AP,ROW(),$F$6)),INDEX($A:$AP,ROW(),$F$6),IFERROR(--SUBSTITUTE(SUBSTITUTE(TRIM(INDEX($A:$AP,ROW(),$F$6)),",",""),"원",""),0))))</f>
        <v/>
      </c>
      <c r="AU168" s="31">
        <f>IF($AS168="","",IF($AX168&lt;&gt;"",SUBSTITUTE(SUBSTITUTE($AX168,"-","")," ",""),"N:"&amp;$AV168))</f>
        <v/>
      </c>
      <c r="AV168" s="31">
        <f>IF(OR($AS168="",$E$6=""),"",TRIM(INDEX($A:$AP,ROW(),$E$6)&amp;""))</f>
        <v/>
      </c>
      <c r="AW168" s="31">
        <f>IF($AU168="","",IF(MATCH($AU168,$AU$8:$AU$2007,0)=ROW()-7,MAX($AW$7:$AW167)+1,""))</f>
        <v/>
      </c>
      <c r="AX168" s="31">
        <f>IF(OR($AS168="",$D$6=""),"",TRIM(INDEX($A:$AP,ROW(),$D$6)&amp;""))</f>
        <v/>
      </c>
      <c r="AY168" s="31">
        <f>IF($AU168="","",INDEX($AW$8:$AW$2007,MATCH($AU168,$AU$8:$AU$2007,0)))</f>
        <v/>
      </c>
      <c r="AZ168" s="31">
        <f>IF(OR($AS168="",$C$6=""),"",TRIM(INDEX($A:$AP,ROW(),$C$6)&amp;""))</f>
        <v/>
      </c>
      <c r="BA168" s="31">
        <f>IF($AZ168="","",IF(COUNTIF($AZ$8:$AZ168,$AZ168)&gt;1,1,0))</f>
        <v/>
      </c>
    </row>
    <row r="169">
      <c r="AR169" s="31">
        <f>IF(OR($A$5="",$B$6="",ROW()&lt;$A$5),"",IF(INDEX($A:$AP,ROW(),$B$6)="","",INDEX($A:$AP,ROW(),$B$6)))</f>
        <v/>
      </c>
      <c r="AS169" s="32">
        <f>IF($AR169="","",IF(ISNUMBER($AR169),IF($AR169&gt;=10000000,IFERROR(DATE(INT($AR169/10000),MOD(INT($AR169/100),100),MOD($AR169,100)),""),INT($AR169)),IFERROR(DATE(--LEFT(LEFT(SUBSTITUTE(SUBSTITUTE(SUBSTITUTE(SUBSTITUTE(TRIM($AR169),"-",""),".",""),"/","")," ",""),8),4),--MID(LEFT(SUBSTITUTE(SUBSTITUTE(SUBSTITUTE(SUBSTITUTE(TRIM($AR169),"-",""),".",""),"/","")," ",""),8),5,2),--MID(LEFT(SUBSTITUTE(SUBSTITUTE(SUBSTITUTE(SUBSTITUTE(TRIM($AR169),"-",""),".",""),"/","")," ",""),8),7,2)),"")))</f>
        <v/>
      </c>
      <c r="AT169" s="33">
        <f>IF($AS169="","",IF($F$6="",0,IF(ISNUMBER(INDEX($A:$AP,ROW(),$F$6)),INDEX($A:$AP,ROW(),$F$6),IFERROR(--SUBSTITUTE(SUBSTITUTE(TRIM(INDEX($A:$AP,ROW(),$F$6)),",",""),"원",""),0))))</f>
        <v/>
      </c>
      <c r="AU169" s="31">
        <f>IF($AS169="","",IF($AX169&lt;&gt;"",SUBSTITUTE(SUBSTITUTE($AX169,"-","")," ",""),"N:"&amp;$AV169))</f>
        <v/>
      </c>
      <c r="AV169" s="31">
        <f>IF(OR($AS169="",$E$6=""),"",TRIM(INDEX($A:$AP,ROW(),$E$6)&amp;""))</f>
        <v/>
      </c>
      <c r="AW169" s="31">
        <f>IF($AU169="","",IF(MATCH($AU169,$AU$8:$AU$2007,0)=ROW()-7,MAX($AW$7:$AW168)+1,""))</f>
        <v/>
      </c>
      <c r="AX169" s="31">
        <f>IF(OR($AS169="",$D$6=""),"",TRIM(INDEX($A:$AP,ROW(),$D$6)&amp;""))</f>
        <v/>
      </c>
      <c r="AY169" s="31">
        <f>IF($AU169="","",INDEX($AW$8:$AW$2007,MATCH($AU169,$AU$8:$AU$2007,0)))</f>
        <v/>
      </c>
      <c r="AZ169" s="31">
        <f>IF(OR($AS169="",$C$6=""),"",TRIM(INDEX($A:$AP,ROW(),$C$6)&amp;""))</f>
        <v/>
      </c>
      <c r="BA169" s="31">
        <f>IF($AZ169="","",IF(COUNTIF($AZ$8:$AZ169,$AZ169)&gt;1,1,0))</f>
        <v/>
      </c>
    </row>
    <row r="170">
      <c r="AR170" s="31">
        <f>IF(OR($A$5="",$B$6="",ROW()&lt;$A$5),"",IF(INDEX($A:$AP,ROW(),$B$6)="","",INDEX($A:$AP,ROW(),$B$6)))</f>
        <v/>
      </c>
      <c r="AS170" s="32">
        <f>IF($AR170="","",IF(ISNUMBER($AR170),IF($AR170&gt;=10000000,IFERROR(DATE(INT($AR170/10000),MOD(INT($AR170/100),100),MOD($AR170,100)),""),INT($AR170)),IFERROR(DATE(--LEFT(LEFT(SUBSTITUTE(SUBSTITUTE(SUBSTITUTE(SUBSTITUTE(TRIM($AR170),"-",""),".",""),"/","")," ",""),8),4),--MID(LEFT(SUBSTITUTE(SUBSTITUTE(SUBSTITUTE(SUBSTITUTE(TRIM($AR170),"-",""),".",""),"/","")," ",""),8),5,2),--MID(LEFT(SUBSTITUTE(SUBSTITUTE(SUBSTITUTE(SUBSTITUTE(TRIM($AR170),"-",""),".",""),"/","")," ",""),8),7,2)),"")))</f>
        <v/>
      </c>
      <c r="AT170" s="33">
        <f>IF($AS170="","",IF($F$6="",0,IF(ISNUMBER(INDEX($A:$AP,ROW(),$F$6)),INDEX($A:$AP,ROW(),$F$6),IFERROR(--SUBSTITUTE(SUBSTITUTE(TRIM(INDEX($A:$AP,ROW(),$F$6)),",",""),"원",""),0))))</f>
        <v/>
      </c>
      <c r="AU170" s="31">
        <f>IF($AS170="","",IF($AX170&lt;&gt;"",SUBSTITUTE(SUBSTITUTE($AX170,"-","")," ",""),"N:"&amp;$AV170))</f>
        <v/>
      </c>
      <c r="AV170" s="31">
        <f>IF(OR($AS170="",$E$6=""),"",TRIM(INDEX($A:$AP,ROW(),$E$6)&amp;""))</f>
        <v/>
      </c>
      <c r="AW170" s="31">
        <f>IF($AU170="","",IF(MATCH($AU170,$AU$8:$AU$2007,0)=ROW()-7,MAX($AW$7:$AW169)+1,""))</f>
        <v/>
      </c>
      <c r="AX170" s="31">
        <f>IF(OR($AS170="",$D$6=""),"",TRIM(INDEX($A:$AP,ROW(),$D$6)&amp;""))</f>
        <v/>
      </c>
      <c r="AY170" s="31">
        <f>IF($AU170="","",INDEX($AW$8:$AW$2007,MATCH($AU170,$AU$8:$AU$2007,0)))</f>
        <v/>
      </c>
      <c r="AZ170" s="31">
        <f>IF(OR($AS170="",$C$6=""),"",TRIM(INDEX($A:$AP,ROW(),$C$6)&amp;""))</f>
        <v/>
      </c>
      <c r="BA170" s="31">
        <f>IF($AZ170="","",IF(COUNTIF($AZ$8:$AZ170,$AZ170)&gt;1,1,0))</f>
        <v/>
      </c>
    </row>
    <row r="171">
      <c r="AR171" s="31">
        <f>IF(OR($A$5="",$B$6="",ROW()&lt;$A$5),"",IF(INDEX($A:$AP,ROW(),$B$6)="","",INDEX($A:$AP,ROW(),$B$6)))</f>
        <v/>
      </c>
      <c r="AS171" s="32">
        <f>IF($AR171="","",IF(ISNUMBER($AR171),IF($AR171&gt;=10000000,IFERROR(DATE(INT($AR171/10000),MOD(INT($AR171/100),100),MOD($AR171,100)),""),INT($AR171)),IFERROR(DATE(--LEFT(LEFT(SUBSTITUTE(SUBSTITUTE(SUBSTITUTE(SUBSTITUTE(TRIM($AR171),"-",""),".",""),"/","")," ",""),8),4),--MID(LEFT(SUBSTITUTE(SUBSTITUTE(SUBSTITUTE(SUBSTITUTE(TRIM($AR171),"-",""),".",""),"/","")," ",""),8),5,2),--MID(LEFT(SUBSTITUTE(SUBSTITUTE(SUBSTITUTE(SUBSTITUTE(TRIM($AR171),"-",""),".",""),"/","")," ",""),8),7,2)),"")))</f>
        <v/>
      </c>
      <c r="AT171" s="33">
        <f>IF($AS171="","",IF($F$6="",0,IF(ISNUMBER(INDEX($A:$AP,ROW(),$F$6)),INDEX($A:$AP,ROW(),$F$6),IFERROR(--SUBSTITUTE(SUBSTITUTE(TRIM(INDEX($A:$AP,ROW(),$F$6)),",",""),"원",""),0))))</f>
        <v/>
      </c>
      <c r="AU171" s="31">
        <f>IF($AS171="","",IF($AX171&lt;&gt;"",SUBSTITUTE(SUBSTITUTE($AX171,"-","")," ",""),"N:"&amp;$AV171))</f>
        <v/>
      </c>
      <c r="AV171" s="31">
        <f>IF(OR($AS171="",$E$6=""),"",TRIM(INDEX($A:$AP,ROW(),$E$6)&amp;""))</f>
        <v/>
      </c>
      <c r="AW171" s="31">
        <f>IF($AU171="","",IF(MATCH($AU171,$AU$8:$AU$2007,0)=ROW()-7,MAX($AW$7:$AW170)+1,""))</f>
        <v/>
      </c>
      <c r="AX171" s="31">
        <f>IF(OR($AS171="",$D$6=""),"",TRIM(INDEX($A:$AP,ROW(),$D$6)&amp;""))</f>
        <v/>
      </c>
      <c r="AY171" s="31">
        <f>IF($AU171="","",INDEX($AW$8:$AW$2007,MATCH($AU171,$AU$8:$AU$2007,0)))</f>
        <v/>
      </c>
      <c r="AZ171" s="31">
        <f>IF(OR($AS171="",$C$6=""),"",TRIM(INDEX($A:$AP,ROW(),$C$6)&amp;""))</f>
        <v/>
      </c>
      <c r="BA171" s="31">
        <f>IF($AZ171="","",IF(COUNTIF($AZ$8:$AZ171,$AZ171)&gt;1,1,0))</f>
        <v/>
      </c>
    </row>
    <row r="172">
      <c r="AR172" s="31">
        <f>IF(OR($A$5="",$B$6="",ROW()&lt;$A$5),"",IF(INDEX($A:$AP,ROW(),$B$6)="","",INDEX($A:$AP,ROW(),$B$6)))</f>
        <v/>
      </c>
      <c r="AS172" s="32">
        <f>IF($AR172="","",IF(ISNUMBER($AR172),IF($AR172&gt;=10000000,IFERROR(DATE(INT($AR172/10000),MOD(INT($AR172/100),100),MOD($AR172,100)),""),INT($AR172)),IFERROR(DATE(--LEFT(LEFT(SUBSTITUTE(SUBSTITUTE(SUBSTITUTE(SUBSTITUTE(TRIM($AR172),"-",""),".",""),"/","")," ",""),8),4),--MID(LEFT(SUBSTITUTE(SUBSTITUTE(SUBSTITUTE(SUBSTITUTE(TRIM($AR172),"-",""),".",""),"/","")," ",""),8),5,2),--MID(LEFT(SUBSTITUTE(SUBSTITUTE(SUBSTITUTE(SUBSTITUTE(TRIM($AR172),"-",""),".",""),"/","")," ",""),8),7,2)),"")))</f>
        <v/>
      </c>
      <c r="AT172" s="33">
        <f>IF($AS172="","",IF($F$6="",0,IF(ISNUMBER(INDEX($A:$AP,ROW(),$F$6)),INDEX($A:$AP,ROW(),$F$6),IFERROR(--SUBSTITUTE(SUBSTITUTE(TRIM(INDEX($A:$AP,ROW(),$F$6)),",",""),"원",""),0))))</f>
        <v/>
      </c>
      <c r="AU172" s="31">
        <f>IF($AS172="","",IF($AX172&lt;&gt;"",SUBSTITUTE(SUBSTITUTE($AX172,"-","")," ",""),"N:"&amp;$AV172))</f>
        <v/>
      </c>
      <c r="AV172" s="31">
        <f>IF(OR($AS172="",$E$6=""),"",TRIM(INDEX($A:$AP,ROW(),$E$6)&amp;""))</f>
        <v/>
      </c>
      <c r="AW172" s="31">
        <f>IF($AU172="","",IF(MATCH($AU172,$AU$8:$AU$2007,0)=ROW()-7,MAX($AW$7:$AW171)+1,""))</f>
        <v/>
      </c>
      <c r="AX172" s="31">
        <f>IF(OR($AS172="",$D$6=""),"",TRIM(INDEX($A:$AP,ROW(),$D$6)&amp;""))</f>
        <v/>
      </c>
      <c r="AY172" s="31">
        <f>IF($AU172="","",INDEX($AW$8:$AW$2007,MATCH($AU172,$AU$8:$AU$2007,0)))</f>
        <v/>
      </c>
      <c r="AZ172" s="31">
        <f>IF(OR($AS172="",$C$6=""),"",TRIM(INDEX($A:$AP,ROW(),$C$6)&amp;""))</f>
        <v/>
      </c>
      <c r="BA172" s="31">
        <f>IF($AZ172="","",IF(COUNTIF($AZ$8:$AZ172,$AZ172)&gt;1,1,0))</f>
        <v/>
      </c>
    </row>
    <row r="173">
      <c r="AR173" s="31">
        <f>IF(OR($A$5="",$B$6="",ROW()&lt;$A$5),"",IF(INDEX($A:$AP,ROW(),$B$6)="","",INDEX($A:$AP,ROW(),$B$6)))</f>
        <v/>
      </c>
      <c r="AS173" s="32">
        <f>IF($AR173="","",IF(ISNUMBER($AR173),IF($AR173&gt;=10000000,IFERROR(DATE(INT($AR173/10000),MOD(INT($AR173/100),100),MOD($AR173,100)),""),INT($AR173)),IFERROR(DATE(--LEFT(LEFT(SUBSTITUTE(SUBSTITUTE(SUBSTITUTE(SUBSTITUTE(TRIM($AR173),"-",""),".",""),"/","")," ",""),8),4),--MID(LEFT(SUBSTITUTE(SUBSTITUTE(SUBSTITUTE(SUBSTITUTE(TRIM($AR173),"-",""),".",""),"/","")," ",""),8),5,2),--MID(LEFT(SUBSTITUTE(SUBSTITUTE(SUBSTITUTE(SUBSTITUTE(TRIM($AR173),"-",""),".",""),"/","")," ",""),8),7,2)),"")))</f>
        <v/>
      </c>
      <c r="AT173" s="33">
        <f>IF($AS173="","",IF($F$6="",0,IF(ISNUMBER(INDEX($A:$AP,ROW(),$F$6)),INDEX($A:$AP,ROW(),$F$6),IFERROR(--SUBSTITUTE(SUBSTITUTE(TRIM(INDEX($A:$AP,ROW(),$F$6)),",",""),"원",""),0))))</f>
        <v/>
      </c>
      <c r="AU173" s="31">
        <f>IF($AS173="","",IF($AX173&lt;&gt;"",SUBSTITUTE(SUBSTITUTE($AX173,"-","")," ",""),"N:"&amp;$AV173))</f>
        <v/>
      </c>
      <c r="AV173" s="31">
        <f>IF(OR($AS173="",$E$6=""),"",TRIM(INDEX($A:$AP,ROW(),$E$6)&amp;""))</f>
        <v/>
      </c>
      <c r="AW173" s="31">
        <f>IF($AU173="","",IF(MATCH($AU173,$AU$8:$AU$2007,0)=ROW()-7,MAX($AW$7:$AW172)+1,""))</f>
        <v/>
      </c>
      <c r="AX173" s="31">
        <f>IF(OR($AS173="",$D$6=""),"",TRIM(INDEX($A:$AP,ROW(),$D$6)&amp;""))</f>
        <v/>
      </c>
      <c r="AY173" s="31">
        <f>IF($AU173="","",INDEX($AW$8:$AW$2007,MATCH($AU173,$AU$8:$AU$2007,0)))</f>
        <v/>
      </c>
      <c r="AZ173" s="31">
        <f>IF(OR($AS173="",$C$6=""),"",TRIM(INDEX($A:$AP,ROW(),$C$6)&amp;""))</f>
        <v/>
      </c>
      <c r="BA173" s="31">
        <f>IF($AZ173="","",IF(COUNTIF($AZ$8:$AZ173,$AZ173)&gt;1,1,0))</f>
        <v/>
      </c>
    </row>
    <row r="174">
      <c r="AR174" s="31">
        <f>IF(OR($A$5="",$B$6="",ROW()&lt;$A$5),"",IF(INDEX($A:$AP,ROW(),$B$6)="","",INDEX($A:$AP,ROW(),$B$6)))</f>
        <v/>
      </c>
      <c r="AS174" s="32">
        <f>IF($AR174="","",IF(ISNUMBER($AR174),IF($AR174&gt;=10000000,IFERROR(DATE(INT($AR174/10000),MOD(INT($AR174/100),100),MOD($AR174,100)),""),INT($AR174)),IFERROR(DATE(--LEFT(LEFT(SUBSTITUTE(SUBSTITUTE(SUBSTITUTE(SUBSTITUTE(TRIM($AR174),"-",""),".",""),"/","")," ",""),8),4),--MID(LEFT(SUBSTITUTE(SUBSTITUTE(SUBSTITUTE(SUBSTITUTE(TRIM($AR174),"-",""),".",""),"/","")," ",""),8),5,2),--MID(LEFT(SUBSTITUTE(SUBSTITUTE(SUBSTITUTE(SUBSTITUTE(TRIM($AR174),"-",""),".",""),"/","")," ",""),8),7,2)),"")))</f>
        <v/>
      </c>
      <c r="AT174" s="33">
        <f>IF($AS174="","",IF($F$6="",0,IF(ISNUMBER(INDEX($A:$AP,ROW(),$F$6)),INDEX($A:$AP,ROW(),$F$6),IFERROR(--SUBSTITUTE(SUBSTITUTE(TRIM(INDEX($A:$AP,ROW(),$F$6)),",",""),"원",""),0))))</f>
        <v/>
      </c>
      <c r="AU174" s="31">
        <f>IF($AS174="","",IF($AX174&lt;&gt;"",SUBSTITUTE(SUBSTITUTE($AX174,"-","")," ",""),"N:"&amp;$AV174))</f>
        <v/>
      </c>
      <c r="AV174" s="31">
        <f>IF(OR($AS174="",$E$6=""),"",TRIM(INDEX($A:$AP,ROW(),$E$6)&amp;""))</f>
        <v/>
      </c>
      <c r="AW174" s="31">
        <f>IF($AU174="","",IF(MATCH($AU174,$AU$8:$AU$2007,0)=ROW()-7,MAX($AW$7:$AW173)+1,""))</f>
        <v/>
      </c>
      <c r="AX174" s="31">
        <f>IF(OR($AS174="",$D$6=""),"",TRIM(INDEX($A:$AP,ROW(),$D$6)&amp;""))</f>
        <v/>
      </c>
      <c r="AY174" s="31">
        <f>IF($AU174="","",INDEX($AW$8:$AW$2007,MATCH($AU174,$AU$8:$AU$2007,0)))</f>
        <v/>
      </c>
      <c r="AZ174" s="31">
        <f>IF(OR($AS174="",$C$6=""),"",TRIM(INDEX($A:$AP,ROW(),$C$6)&amp;""))</f>
        <v/>
      </c>
      <c r="BA174" s="31">
        <f>IF($AZ174="","",IF(COUNTIF($AZ$8:$AZ174,$AZ174)&gt;1,1,0))</f>
        <v/>
      </c>
    </row>
    <row r="175">
      <c r="AR175" s="31">
        <f>IF(OR($A$5="",$B$6="",ROW()&lt;$A$5),"",IF(INDEX($A:$AP,ROW(),$B$6)="","",INDEX($A:$AP,ROW(),$B$6)))</f>
        <v/>
      </c>
      <c r="AS175" s="32">
        <f>IF($AR175="","",IF(ISNUMBER($AR175),IF($AR175&gt;=10000000,IFERROR(DATE(INT($AR175/10000),MOD(INT($AR175/100),100),MOD($AR175,100)),""),INT($AR175)),IFERROR(DATE(--LEFT(LEFT(SUBSTITUTE(SUBSTITUTE(SUBSTITUTE(SUBSTITUTE(TRIM($AR175),"-",""),".",""),"/","")," ",""),8),4),--MID(LEFT(SUBSTITUTE(SUBSTITUTE(SUBSTITUTE(SUBSTITUTE(TRIM($AR175),"-",""),".",""),"/","")," ",""),8),5,2),--MID(LEFT(SUBSTITUTE(SUBSTITUTE(SUBSTITUTE(SUBSTITUTE(TRIM($AR175),"-",""),".",""),"/","")," ",""),8),7,2)),"")))</f>
        <v/>
      </c>
      <c r="AT175" s="33">
        <f>IF($AS175="","",IF($F$6="",0,IF(ISNUMBER(INDEX($A:$AP,ROW(),$F$6)),INDEX($A:$AP,ROW(),$F$6),IFERROR(--SUBSTITUTE(SUBSTITUTE(TRIM(INDEX($A:$AP,ROW(),$F$6)),",",""),"원",""),0))))</f>
        <v/>
      </c>
      <c r="AU175" s="31">
        <f>IF($AS175="","",IF($AX175&lt;&gt;"",SUBSTITUTE(SUBSTITUTE($AX175,"-","")," ",""),"N:"&amp;$AV175))</f>
        <v/>
      </c>
      <c r="AV175" s="31">
        <f>IF(OR($AS175="",$E$6=""),"",TRIM(INDEX($A:$AP,ROW(),$E$6)&amp;""))</f>
        <v/>
      </c>
      <c r="AW175" s="31">
        <f>IF($AU175="","",IF(MATCH($AU175,$AU$8:$AU$2007,0)=ROW()-7,MAX($AW$7:$AW174)+1,""))</f>
        <v/>
      </c>
      <c r="AX175" s="31">
        <f>IF(OR($AS175="",$D$6=""),"",TRIM(INDEX($A:$AP,ROW(),$D$6)&amp;""))</f>
        <v/>
      </c>
      <c r="AY175" s="31">
        <f>IF($AU175="","",INDEX($AW$8:$AW$2007,MATCH($AU175,$AU$8:$AU$2007,0)))</f>
        <v/>
      </c>
      <c r="AZ175" s="31">
        <f>IF(OR($AS175="",$C$6=""),"",TRIM(INDEX($A:$AP,ROW(),$C$6)&amp;""))</f>
        <v/>
      </c>
      <c r="BA175" s="31">
        <f>IF($AZ175="","",IF(COUNTIF($AZ$8:$AZ175,$AZ175)&gt;1,1,0))</f>
        <v/>
      </c>
    </row>
    <row r="176">
      <c r="AR176" s="31">
        <f>IF(OR($A$5="",$B$6="",ROW()&lt;$A$5),"",IF(INDEX($A:$AP,ROW(),$B$6)="","",INDEX($A:$AP,ROW(),$B$6)))</f>
        <v/>
      </c>
      <c r="AS176" s="32">
        <f>IF($AR176="","",IF(ISNUMBER($AR176),IF($AR176&gt;=10000000,IFERROR(DATE(INT($AR176/10000),MOD(INT($AR176/100),100),MOD($AR176,100)),""),INT($AR176)),IFERROR(DATE(--LEFT(LEFT(SUBSTITUTE(SUBSTITUTE(SUBSTITUTE(SUBSTITUTE(TRIM($AR176),"-",""),".",""),"/","")," ",""),8),4),--MID(LEFT(SUBSTITUTE(SUBSTITUTE(SUBSTITUTE(SUBSTITUTE(TRIM($AR176),"-",""),".",""),"/","")," ",""),8),5,2),--MID(LEFT(SUBSTITUTE(SUBSTITUTE(SUBSTITUTE(SUBSTITUTE(TRIM($AR176),"-",""),".",""),"/","")," ",""),8),7,2)),"")))</f>
        <v/>
      </c>
      <c r="AT176" s="33">
        <f>IF($AS176="","",IF($F$6="",0,IF(ISNUMBER(INDEX($A:$AP,ROW(),$F$6)),INDEX($A:$AP,ROW(),$F$6),IFERROR(--SUBSTITUTE(SUBSTITUTE(TRIM(INDEX($A:$AP,ROW(),$F$6)),",",""),"원",""),0))))</f>
        <v/>
      </c>
      <c r="AU176" s="31">
        <f>IF($AS176="","",IF($AX176&lt;&gt;"",SUBSTITUTE(SUBSTITUTE($AX176,"-","")," ",""),"N:"&amp;$AV176))</f>
        <v/>
      </c>
      <c r="AV176" s="31">
        <f>IF(OR($AS176="",$E$6=""),"",TRIM(INDEX($A:$AP,ROW(),$E$6)&amp;""))</f>
        <v/>
      </c>
      <c r="AW176" s="31">
        <f>IF($AU176="","",IF(MATCH($AU176,$AU$8:$AU$2007,0)=ROW()-7,MAX($AW$7:$AW175)+1,""))</f>
        <v/>
      </c>
      <c r="AX176" s="31">
        <f>IF(OR($AS176="",$D$6=""),"",TRIM(INDEX($A:$AP,ROW(),$D$6)&amp;""))</f>
        <v/>
      </c>
      <c r="AY176" s="31">
        <f>IF($AU176="","",INDEX($AW$8:$AW$2007,MATCH($AU176,$AU$8:$AU$2007,0)))</f>
        <v/>
      </c>
      <c r="AZ176" s="31">
        <f>IF(OR($AS176="",$C$6=""),"",TRIM(INDEX($A:$AP,ROW(),$C$6)&amp;""))</f>
        <v/>
      </c>
      <c r="BA176" s="31">
        <f>IF($AZ176="","",IF(COUNTIF($AZ$8:$AZ176,$AZ176)&gt;1,1,0))</f>
        <v/>
      </c>
    </row>
    <row r="177">
      <c r="AR177" s="31">
        <f>IF(OR($A$5="",$B$6="",ROW()&lt;$A$5),"",IF(INDEX($A:$AP,ROW(),$B$6)="","",INDEX($A:$AP,ROW(),$B$6)))</f>
        <v/>
      </c>
      <c r="AS177" s="32">
        <f>IF($AR177="","",IF(ISNUMBER($AR177),IF($AR177&gt;=10000000,IFERROR(DATE(INT($AR177/10000),MOD(INT($AR177/100),100),MOD($AR177,100)),""),INT($AR177)),IFERROR(DATE(--LEFT(LEFT(SUBSTITUTE(SUBSTITUTE(SUBSTITUTE(SUBSTITUTE(TRIM($AR177),"-",""),".",""),"/","")," ",""),8),4),--MID(LEFT(SUBSTITUTE(SUBSTITUTE(SUBSTITUTE(SUBSTITUTE(TRIM($AR177),"-",""),".",""),"/","")," ",""),8),5,2),--MID(LEFT(SUBSTITUTE(SUBSTITUTE(SUBSTITUTE(SUBSTITUTE(TRIM($AR177),"-",""),".",""),"/","")," ",""),8),7,2)),"")))</f>
        <v/>
      </c>
      <c r="AT177" s="33">
        <f>IF($AS177="","",IF($F$6="",0,IF(ISNUMBER(INDEX($A:$AP,ROW(),$F$6)),INDEX($A:$AP,ROW(),$F$6),IFERROR(--SUBSTITUTE(SUBSTITUTE(TRIM(INDEX($A:$AP,ROW(),$F$6)),",",""),"원",""),0))))</f>
        <v/>
      </c>
      <c r="AU177" s="31">
        <f>IF($AS177="","",IF($AX177&lt;&gt;"",SUBSTITUTE(SUBSTITUTE($AX177,"-","")," ",""),"N:"&amp;$AV177))</f>
        <v/>
      </c>
      <c r="AV177" s="31">
        <f>IF(OR($AS177="",$E$6=""),"",TRIM(INDEX($A:$AP,ROW(),$E$6)&amp;""))</f>
        <v/>
      </c>
      <c r="AW177" s="31">
        <f>IF($AU177="","",IF(MATCH($AU177,$AU$8:$AU$2007,0)=ROW()-7,MAX($AW$7:$AW176)+1,""))</f>
        <v/>
      </c>
      <c r="AX177" s="31">
        <f>IF(OR($AS177="",$D$6=""),"",TRIM(INDEX($A:$AP,ROW(),$D$6)&amp;""))</f>
        <v/>
      </c>
      <c r="AY177" s="31">
        <f>IF($AU177="","",INDEX($AW$8:$AW$2007,MATCH($AU177,$AU$8:$AU$2007,0)))</f>
        <v/>
      </c>
      <c r="AZ177" s="31">
        <f>IF(OR($AS177="",$C$6=""),"",TRIM(INDEX($A:$AP,ROW(),$C$6)&amp;""))</f>
        <v/>
      </c>
      <c r="BA177" s="31">
        <f>IF($AZ177="","",IF(COUNTIF($AZ$8:$AZ177,$AZ177)&gt;1,1,0))</f>
        <v/>
      </c>
    </row>
    <row r="178">
      <c r="AR178" s="31">
        <f>IF(OR($A$5="",$B$6="",ROW()&lt;$A$5),"",IF(INDEX($A:$AP,ROW(),$B$6)="","",INDEX($A:$AP,ROW(),$B$6)))</f>
        <v/>
      </c>
      <c r="AS178" s="32">
        <f>IF($AR178="","",IF(ISNUMBER($AR178),IF($AR178&gt;=10000000,IFERROR(DATE(INT($AR178/10000),MOD(INT($AR178/100),100),MOD($AR178,100)),""),INT($AR178)),IFERROR(DATE(--LEFT(LEFT(SUBSTITUTE(SUBSTITUTE(SUBSTITUTE(SUBSTITUTE(TRIM($AR178),"-",""),".",""),"/","")," ",""),8),4),--MID(LEFT(SUBSTITUTE(SUBSTITUTE(SUBSTITUTE(SUBSTITUTE(TRIM($AR178),"-",""),".",""),"/","")," ",""),8),5,2),--MID(LEFT(SUBSTITUTE(SUBSTITUTE(SUBSTITUTE(SUBSTITUTE(TRIM($AR178),"-",""),".",""),"/","")," ",""),8),7,2)),"")))</f>
        <v/>
      </c>
      <c r="AT178" s="33">
        <f>IF($AS178="","",IF($F$6="",0,IF(ISNUMBER(INDEX($A:$AP,ROW(),$F$6)),INDEX($A:$AP,ROW(),$F$6),IFERROR(--SUBSTITUTE(SUBSTITUTE(TRIM(INDEX($A:$AP,ROW(),$F$6)),",",""),"원",""),0))))</f>
        <v/>
      </c>
      <c r="AU178" s="31">
        <f>IF($AS178="","",IF($AX178&lt;&gt;"",SUBSTITUTE(SUBSTITUTE($AX178,"-","")," ",""),"N:"&amp;$AV178))</f>
        <v/>
      </c>
      <c r="AV178" s="31">
        <f>IF(OR($AS178="",$E$6=""),"",TRIM(INDEX($A:$AP,ROW(),$E$6)&amp;""))</f>
        <v/>
      </c>
      <c r="AW178" s="31">
        <f>IF($AU178="","",IF(MATCH($AU178,$AU$8:$AU$2007,0)=ROW()-7,MAX($AW$7:$AW177)+1,""))</f>
        <v/>
      </c>
      <c r="AX178" s="31">
        <f>IF(OR($AS178="",$D$6=""),"",TRIM(INDEX($A:$AP,ROW(),$D$6)&amp;""))</f>
        <v/>
      </c>
      <c r="AY178" s="31">
        <f>IF($AU178="","",INDEX($AW$8:$AW$2007,MATCH($AU178,$AU$8:$AU$2007,0)))</f>
        <v/>
      </c>
      <c r="AZ178" s="31">
        <f>IF(OR($AS178="",$C$6=""),"",TRIM(INDEX($A:$AP,ROW(),$C$6)&amp;""))</f>
        <v/>
      </c>
      <c r="BA178" s="31">
        <f>IF($AZ178="","",IF(COUNTIF($AZ$8:$AZ178,$AZ178)&gt;1,1,0))</f>
        <v/>
      </c>
    </row>
    <row r="179">
      <c r="AR179" s="31">
        <f>IF(OR($A$5="",$B$6="",ROW()&lt;$A$5),"",IF(INDEX($A:$AP,ROW(),$B$6)="","",INDEX($A:$AP,ROW(),$B$6)))</f>
        <v/>
      </c>
      <c r="AS179" s="32">
        <f>IF($AR179="","",IF(ISNUMBER($AR179),IF($AR179&gt;=10000000,IFERROR(DATE(INT($AR179/10000),MOD(INT($AR179/100),100),MOD($AR179,100)),""),INT($AR179)),IFERROR(DATE(--LEFT(LEFT(SUBSTITUTE(SUBSTITUTE(SUBSTITUTE(SUBSTITUTE(TRIM($AR179),"-",""),".",""),"/","")," ",""),8),4),--MID(LEFT(SUBSTITUTE(SUBSTITUTE(SUBSTITUTE(SUBSTITUTE(TRIM($AR179),"-",""),".",""),"/","")," ",""),8),5,2),--MID(LEFT(SUBSTITUTE(SUBSTITUTE(SUBSTITUTE(SUBSTITUTE(TRIM($AR179),"-",""),".",""),"/","")," ",""),8),7,2)),"")))</f>
        <v/>
      </c>
      <c r="AT179" s="33">
        <f>IF($AS179="","",IF($F$6="",0,IF(ISNUMBER(INDEX($A:$AP,ROW(),$F$6)),INDEX($A:$AP,ROW(),$F$6),IFERROR(--SUBSTITUTE(SUBSTITUTE(TRIM(INDEX($A:$AP,ROW(),$F$6)),",",""),"원",""),0))))</f>
        <v/>
      </c>
      <c r="AU179" s="31">
        <f>IF($AS179="","",IF($AX179&lt;&gt;"",SUBSTITUTE(SUBSTITUTE($AX179,"-","")," ",""),"N:"&amp;$AV179))</f>
        <v/>
      </c>
      <c r="AV179" s="31">
        <f>IF(OR($AS179="",$E$6=""),"",TRIM(INDEX($A:$AP,ROW(),$E$6)&amp;""))</f>
        <v/>
      </c>
      <c r="AW179" s="31">
        <f>IF($AU179="","",IF(MATCH($AU179,$AU$8:$AU$2007,0)=ROW()-7,MAX($AW$7:$AW178)+1,""))</f>
        <v/>
      </c>
      <c r="AX179" s="31">
        <f>IF(OR($AS179="",$D$6=""),"",TRIM(INDEX($A:$AP,ROW(),$D$6)&amp;""))</f>
        <v/>
      </c>
      <c r="AY179" s="31">
        <f>IF($AU179="","",INDEX($AW$8:$AW$2007,MATCH($AU179,$AU$8:$AU$2007,0)))</f>
        <v/>
      </c>
      <c r="AZ179" s="31">
        <f>IF(OR($AS179="",$C$6=""),"",TRIM(INDEX($A:$AP,ROW(),$C$6)&amp;""))</f>
        <v/>
      </c>
      <c r="BA179" s="31">
        <f>IF($AZ179="","",IF(COUNTIF($AZ$8:$AZ179,$AZ179)&gt;1,1,0))</f>
        <v/>
      </c>
    </row>
    <row r="180">
      <c r="AR180" s="31">
        <f>IF(OR($A$5="",$B$6="",ROW()&lt;$A$5),"",IF(INDEX($A:$AP,ROW(),$B$6)="","",INDEX($A:$AP,ROW(),$B$6)))</f>
        <v/>
      </c>
      <c r="AS180" s="32">
        <f>IF($AR180="","",IF(ISNUMBER($AR180),IF($AR180&gt;=10000000,IFERROR(DATE(INT($AR180/10000),MOD(INT($AR180/100),100),MOD($AR180,100)),""),INT($AR180)),IFERROR(DATE(--LEFT(LEFT(SUBSTITUTE(SUBSTITUTE(SUBSTITUTE(SUBSTITUTE(TRIM($AR180),"-",""),".",""),"/","")," ",""),8),4),--MID(LEFT(SUBSTITUTE(SUBSTITUTE(SUBSTITUTE(SUBSTITUTE(TRIM($AR180),"-",""),".",""),"/","")," ",""),8),5,2),--MID(LEFT(SUBSTITUTE(SUBSTITUTE(SUBSTITUTE(SUBSTITUTE(TRIM($AR180),"-",""),".",""),"/","")," ",""),8),7,2)),"")))</f>
        <v/>
      </c>
      <c r="AT180" s="33">
        <f>IF($AS180="","",IF($F$6="",0,IF(ISNUMBER(INDEX($A:$AP,ROW(),$F$6)),INDEX($A:$AP,ROW(),$F$6),IFERROR(--SUBSTITUTE(SUBSTITUTE(TRIM(INDEX($A:$AP,ROW(),$F$6)),",",""),"원",""),0))))</f>
        <v/>
      </c>
      <c r="AU180" s="31">
        <f>IF($AS180="","",IF($AX180&lt;&gt;"",SUBSTITUTE(SUBSTITUTE($AX180,"-","")," ",""),"N:"&amp;$AV180))</f>
        <v/>
      </c>
      <c r="AV180" s="31">
        <f>IF(OR($AS180="",$E$6=""),"",TRIM(INDEX($A:$AP,ROW(),$E$6)&amp;""))</f>
        <v/>
      </c>
      <c r="AW180" s="31">
        <f>IF($AU180="","",IF(MATCH($AU180,$AU$8:$AU$2007,0)=ROW()-7,MAX($AW$7:$AW179)+1,""))</f>
        <v/>
      </c>
      <c r="AX180" s="31">
        <f>IF(OR($AS180="",$D$6=""),"",TRIM(INDEX($A:$AP,ROW(),$D$6)&amp;""))</f>
        <v/>
      </c>
      <c r="AY180" s="31">
        <f>IF($AU180="","",INDEX($AW$8:$AW$2007,MATCH($AU180,$AU$8:$AU$2007,0)))</f>
        <v/>
      </c>
      <c r="AZ180" s="31">
        <f>IF(OR($AS180="",$C$6=""),"",TRIM(INDEX($A:$AP,ROW(),$C$6)&amp;""))</f>
        <v/>
      </c>
      <c r="BA180" s="31">
        <f>IF($AZ180="","",IF(COUNTIF($AZ$8:$AZ180,$AZ180)&gt;1,1,0))</f>
        <v/>
      </c>
    </row>
    <row r="181">
      <c r="AR181" s="31">
        <f>IF(OR($A$5="",$B$6="",ROW()&lt;$A$5),"",IF(INDEX($A:$AP,ROW(),$B$6)="","",INDEX($A:$AP,ROW(),$B$6)))</f>
        <v/>
      </c>
      <c r="AS181" s="32">
        <f>IF($AR181="","",IF(ISNUMBER($AR181),IF($AR181&gt;=10000000,IFERROR(DATE(INT($AR181/10000),MOD(INT($AR181/100),100),MOD($AR181,100)),""),INT($AR181)),IFERROR(DATE(--LEFT(LEFT(SUBSTITUTE(SUBSTITUTE(SUBSTITUTE(SUBSTITUTE(TRIM($AR181),"-",""),".",""),"/","")," ",""),8),4),--MID(LEFT(SUBSTITUTE(SUBSTITUTE(SUBSTITUTE(SUBSTITUTE(TRIM($AR181),"-",""),".",""),"/","")," ",""),8),5,2),--MID(LEFT(SUBSTITUTE(SUBSTITUTE(SUBSTITUTE(SUBSTITUTE(TRIM($AR181),"-",""),".",""),"/","")," ",""),8),7,2)),"")))</f>
        <v/>
      </c>
      <c r="AT181" s="33">
        <f>IF($AS181="","",IF($F$6="",0,IF(ISNUMBER(INDEX($A:$AP,ROW(),$F$6)),INDEX($A:$AP,ROW(),$F$6),IFERROR(--SUBSTITUTE(SUBSTITUTE(TRIM(INDEX($A:$AP,ROW(),$F$6)),",",""),"원",""),0))))</f>
        <v/>
      </c>
      <c r="AU181" s="31">
        <f>IF($AS181="","",IF($AX181&lt;&gt;"",SUBSTITUTE(SUBSTITUTE($AX181,"-","")," ",""),"N:"&amp;$AV181))</f>
        <v/>
      </c>
      <c r="AV181" s="31">
        <f>IF(OR($AS181="",$E$6=""),"",TRIM(INDEX($A:$AP,ROW(),$E$6)&amp;""))</f>
        <v/>
      </c>
      <c r="AW181" s="31">
        <f>IF($AU181="","",IF(MATCH($AU181,$AU$8:$AU$2007,0)=ROW()-7,MAX($AW$7:$AW180)+1,""))</f>
        <v/>
      </c>
      <c r="AX181" s="31">
        <f>IF(OR($AS181="",$D$6=""),"",TRIM(INDEX($A:$AP,ROW(),$D$6)&amp;""))</f>
        <v/>
      </c>
      <c r="AY181" s="31">
        <f>IF($AU181="","",INDEX($AW$8:$AW$2007,MATCH($AU181,$AU$8:$AU$2007,0)))</f>
        <v/>
      </c>
      <c r="AZ181" s="31">
        <f>IF(OR($AS181="",$C$6=""),"",TRIM(INDEX($A:$AP,ROW(),$C$6)&amp;""))</f>
        <v/>
      </c>
      <c r="BA181" s="31">
        <f>IF($AZ181="","",IF(COUNTIF($AZ$8:$AZ181,$AZ181)&gt;1,1,0))</f>
        <v/>
      </c>
    </row>
    <row r="182">
      <c r="AR182" s="31">
        <f>IF(OR($A$5="",$B$6="",ROW()&lt;$A$5),"",IF(INDEX($A:$AP,ROW(),$B$6)="","",INDEX($A:$AP,ROW(),$B$6)))</f>
        <v/>
      </c>
      <c r="AS182" s="32">
        <f>IF($AR182="","",IF(ISNUMBER($AR182),IF($AR182&gt;=10000000,IFERROR(DATE(INT($AR182/10000),MOD(INT($AR182/100),100),MOD($AR182,100)),""),INT($AR182)),IFERROR(DATE(--LEFT(LEFT(SUBSTITUTE(SUBSTITUTE(SUBSTITUTE(SUBSTITUTE(TRIM($AR182),"-",""),".",""),"/","")," ",""),8),4),--MID(LEFT(SUBSTITUTE(SUBSTITUTE(SUBSTITUTE(SUBSTITUTE(TRIM($AR182),"-",""),".",""),"/","")," ",""),8),5,2),--MID(LEFT(SUBSTITUTE(SUBSTITUTE(SUBSTITUTE(SUBSTITUTE(TRIM($AR182),"-",""),".",""),"/","")," ",""),8),7,2)),"")))</f>
        <v/>
      </c>
      <c r="AT182" s="33">
        <f>IF($AS182="","",IF($F$6="",0,IF(ISNUMBER(INDEX($A:$AP,ROW(),$F$6)),INDEX($A:$AP,ROW(),$F$6),IFERROR(--SUBSTITUTE(SUBSTITUTE(TRIM(INDEX($A:$AP,ROW(),$F$6)),",",""),"원",""),0))))</f>
        <v/>
      </c>
      <c r="AU182" s="31">
        <f>IF($AS182="","",IF($AX182&lt;&gt;"",SUBSTITUTE(SUBSTITUTE($AX182,"-","")," ",""),"N:"&amp;$AV182))</f>
        <v/>
      </c>
      <c r="AV182" s="31">
        <f>IF(OR($AS182="",$E$6=""),"",TRIM(INDEX($A:$AP,ROW(),$E$6)&amp;""))</f>
        <v/>
      </c>
      <c r="AW182" s="31">
        <f>IF($AU182="","",IF(MATCH($AU182,$AU$8:$AU$2007,0)=ROW()-7,MAX($AW$7:$AW181)+1,""))</f>
        <v/>
      </c>
      <c r="AX182" s="31">
        <f>IF(OR($AS182="",$D$6=""),"",TRIM(INDEX($A:$AP,ROW(),$D$6)&amp;""))</f>
        <v/>
      </c>
      <c r="AY182" s="31">
        <f>IF($AU182="","",INDEX($AW$8:$AW$2007,MATCH($AU182,$AU$8:$AU$2007,0)))</f>
        <v/>
      </c>
      <c r="AZ182" s="31">
        <f>IF(OR($AS182="",$C$6=""),"",TRIM(INDEX($A:$AP,ROW(),$C$6)&amp;""))</f>
        <v/>
      </c>
      <c r="BA182" s="31">
        <f>IF($AZ182="","",IF(COUNTIF($AZ$8:$AZ182,$AZ182)&gt;1,1,0))</f>
        <v/>
      </c>
    </row>
    <row r="183">
      <c r="AR183" s="31">
        <f>IF(OR($A$5="",$B$6="",ROW()&lt;$A$5),"",IF(INDEX($A:$AP,ROW(),$B$6)="","",INDEX($A:$AP,ROW(),$B$6)))</f>
        <v/>
      </c>
      <c r="AS183" s="32">
        <f>IF($AR183="","",IF(ISNUMBER($AR183),IF($AR183&gt;=10000000,IFERROR(DATE(INT($AR183/10000),MOD(INT($AR183/100),100),MOD($AR183,100)),""),INT($AR183)),IFERROR(DATE(--LEFT(LEFT(SUBSTITUTE(SUBSTITUTE(SUBSTITUTE(SUBSTITUTE(TRIM($AR183),"-",""),".",""),"/","")," ",""),8),4),--MID(LEFT(SUBSTITUTE(SUBSTITUTE(SUBSTITUTE(SUBSTITUTE(TRIM($AR183),"-",""),".",""),"/","")," ",""),8),5,2),--MID(LEFT(SUBSTITUTE(SUBSTITUTE(SUBSTITUTE(SUBSTITUTE(TRIM($AR183),"-",""),".",""),"/","")," ",""),8),7,2)),"")))</f>
        <v/>
      </c>
      <c r="AT183" s="33">
        <f>IF($AS183="","",IF($F$6="",0,IF(ISNUMBER(INDEX($A:$AP,ROW(),$F$6)),INDEX($A:$AP,ROW(),$F$6),IFERROR(--SUBSTITUTE(SUBSTITUTE(TRIM(INDEX($A:$AP,ROW(),$F$6)),",",""),"원",""),0))))</f>
        <v/>
      </c>
      <c r="AU183" s="31">
        <f>IF($AS183="","",IF($AX183&lt;&gt;"",SUBSTITUTE(SUBSTITUTE($AX183,"-","")," ",""),"N:"&amp;$AV183))</f>
        <v/>
      </c>
      <c r="AV183" s="31">
        <f>IF(OR($AS183="",$E$6=""),"",TRIM(INDEX($A:$AP,ROW(),$E$6)&amp;""))</f>
        <v/>
      </c>
      <c r="AW183" s="31">
        <f>IF($AU183="","",IF(MATCH($AU183,$AU$8:$AU$2007,0)=ROW()-7,MAX($AW$7:$AW182)+1,""))</f>
        <v/>
      </c>
      <c r="AX183" s="31">
        <f>IF(OR($AS183="",$D$6=""),"",TRIM(INDEX($A:$AP,ROW(),$D$6)&amp;""))</f>
        <v/>
      </c>
      <c r="AY183" s="31">
        <f>IF($AU183="","",INDEX($AW$8:$AW$2007,MATCH($AU183,$AU$8:$AU$2007,0)))</f>
        <v/>
      </c>
      <c r="AZ183" s="31">
        <f>IF(OR($AS183="",$C$6=""),"",TRIM(INDEX($A:$AP,ROW(),$C$6)&amp;""))</f>
        <v/>
      </c>
      <c r="BA183" s="31">
        <f>IF($AZ183="","",IF(COUNTIF($AZ$8:$AZ183,$AZ183)&gt;1,1,0))</f>
        <v/>
      </c>
    </row>
    <row r="184">
      <c r="AR184" s="31">
        <f>IF(OR($A$5="",$B$6="",ROW()&lt;$A$5),"",IF(INDEX($A:$AP,ROW(),$B$6)="","",INDEX($A:$AP,ROW(),$B$6)))</f>
        <v/>
      </c>
      <c r="AS184" s="32">
        <f>IF($AR184="","",IF(ISNUMBER($AR184),IF($AR184&gt;=10000000,IFERROR(DATE(INT($AR184/10000),MOD(INT($AR184/100),100),MOD($AR184,100)),""),INT($AR184)),IFERROR(DATE(--LEFT(LEFT(SUBSTITUTE(SUBSTITUTE(SUBSTITUTE(SUBSTITUTE(TRIM($AR184),"-",""),".",""),"/","")," ",""),8),4),--MID(LEFT(SUBSTITUTE(SUBSTITUTE(SUBSTITUTE(SUBSTITUTE(TRIM($AR184),"-",""),".",""),"/","")," ",""),8),5,2),--MID(LEFT(SUBSTITUTE(SUBSTITUTE(SUBSTITUTE(SUBSTITUTE(TRIM($AR184),"-",""),".",""),"/","")," ",""),8),7,2)),"")))</f>
        <v/>
      </c>
      <c r="AT184" s="33">
        <f>IF($AS184="","",IF($F$6="",0,IF(ISNUMBER(INDEX($A:$AP,ROW(),$F$6)),INDEX($A:$AP,ROW(),$F$6),IFERROR(--SUBSTITUTE(SUBSTITUTE(TRIM(INDEX($A:$AP,ROW(),$F$6)),",",""),"원",""),0))))</f>
        <v/>
      </c>
      <c r="AU184" s="31">
        <f>IF($AS184="","",IF($AX184&lt;&gt;"",SUBSTITUTE(SUBSTITUTE($AX184,"-","")," ",""),"N:"&amp;$AV184))</f>
        <v/>
      </c>
      <c r="AV184" s="31">
        <f>IF(OR($AS184="",$E$6=""),"",TRIM(INDEX($A:$AP,ROW(),$E$6)&amp;""))</f>
        <v/>
      </c>
      <c r="AW184" s="31">
        <f>IF($AU184="","",IF(MATCH($AU184,$AU$8:$AU$2007,0)=ROW()-7,MAX($AW$7:$AW183)+1,""))</f>
        <v/>
      </c>
      <c r="AX184" s="31">
        <f>IF(OR($AS184="",$D$6=""),"",TRIM(INDEX($A:$AP,ROW(),$D$6)&amp;""))</f>
        <v/>
      </c>
      <c r="AY184" s="31">
        <f>IF($AU184="","",INDEX($AW$8:$AW$2007,MATCH($AU184,$AU$8:$AU$2007,0)))</f>
        <v/>
      </c>
      <c r="AZ184" s="31">
        <f>IF(OR($AS184="",$C$6=""),"",TRIM(INDEX($A:$AP,ROW(),$C$6)&amp;""))</f>
        <v/>
      </c>
      <c r="BA184" s="31">
        <f>IF($AZ184="","",IF(COUNTIF($AZ$8:$AZ184,$AZ184)&gt;1,1,0))</f>
        <v/>
      </c>
    </row>
    <row r="185">
      <c r="AR185" s="31">
        <f>IF(OR($A$5="",$B$6="",ROW()&lt;$A$5),"",IF(INDEX($A:$AP,ROW(),$B$6)="","",INDEX($A:$AP,ROW(),$B$6)))</f>
        <v/>
      </c>
      <c r="AS185" s="32">
        <f>IF($AR185="","",IF(ISNUMBER($AR185),IF($AR185&gt;=10000000,IFERROR(DATE(INT($AR185/10000),MOD(INT($AR185/100),100),MOD($AR185,100)),""),INT($AR185)),IFERROR(DATE(--LEFT(LEFT(SUBSTITUTE(SUBSTITUTE(SUBSTITUTE(SUBSTITUTE(TRIM($AR185),"-",""),".",""),"/","")," ",""),8),4),--MID(LEFT(SUBSTITUTE(SUBSTITUTE(SUBSTITUTE(SUBSTITUTE(TRIM($AR185),"-",""),".",""),"/","")," ",""),8),5,2),--MID(LEFT(SUBSTITUTE(SUBSTITUTE(SUBSTITUTE(SUBSTITUTE(TRIM($AR185),"-",""),".",""),"/","")," ",""),8),7,2)),"")))</f>
        <v/>
      </c>
      <c r="AT185" s="33">
        <f>IF($AS185="","",IF($F$6="",0,IF(ISNUMBER(INDEX($A:$AP,ROW(),$F$6)),INDEX($A:$AP,ROW(),$F$6),IFERROR(--SUBSTITUTE(SUBSTITUTE(TRIM(INDEX($A:$AP,ROW(),$F$6)),",",""),"원",""),0))))</f>
        <v/>
      </c>
      <c r="AU185" s="31">
        <f>IF($AS185="","",IF($AX185&lt;&gt;"",SUBSTITUTE(SUBSTITUTE($AX185,"-","")," ",""),"N:"&amp;$AV185))</f>
        <v/>
      </c>
      <c r="AV185" s="31">
        <f>IF(OR($AS185="",$E$6=""),"",TRIM(INDEX($A:$AP,ROW(),$E$6)&amp;""))</f>
        <v/>
      </c>
      <c r="AW185" s="31">
        <f>IF($AU185="","",IF(MATCH($AU185,$AU$8:$AU$2007,0)=ROW()-7,MAX($AW$7:$AW184)+1,""))</f>
        <v/>
      </c>
      <c r="AX185" s="31">
        <f>IF(OR($AS185="",$D$6=""),"",TRIM(INDEX($A:$AP,ROW(),$D$6)&amp;""))</f>
        <v/>
      </c>
      <c r="AY185" s="31">
        <f>IF($AU185="","",INDEX($AW$8:$AW$2007,MATCH($AU185,$AU$8:$AU$2007,0)))</f>
        <v/>
      </c>
      <c r="AZ185" s="31">
        <f>IF(OR($AS185="",$C$6=""),"",TRIM(INDEX($A:$AP,ROW(),$C$6)&amp;""))</f>
        <v/>
      </c>
      <c r="BA185" s="31">
        <f>IF($AZ185="","",IF(COUNTIF($AZ$8:$AZ185,$AZ185)&gt;1,1,0))</f>
        <v/>
      </c>
    </row>
    <row r="186">
      <c r="AR186" s="31">
        <f>IF(OR($A$5="",$B$6="",ROW()&lt;$A$5),"",IF(INDEX($A:$AP,ROW(),$B$6)="","",INDEX($A:$AP,ROW(),$B$6)))</f>
        <v/>
      </c>
      <c r="AS186" s="32">
        <f>IF($AR186="","",IF(ISNUMBER($AR186),IF($AR186&gt;=10000000,IFERROR(DATE(INT($AR186/10000),MOD(INT($AR186/100),100),MOD($AR186,100)),""),INT($AR186)),IFERROR(DATE(--LEFT(LEFT(SUBSTITUTE(SUBSTITUTE(SUBSTITUTE(SUBSTITUTE(TRIM($AR186),"-",""),".",""),"/","")," ",""),8),4),--MID(LEFT(SUBSTITUTE(SUBSTITUTE(SUBSTITUTE(SUBSTITUTE(TRIM($AR186),"-",""),".",""),"/","")," ",""),8),5,2),--MID(LEFT(SUBSTITUTE(SUBSTITUTE(SUBSTITUTE(SUBSTITUTE(TRIM($AR186),"-",""),".",""),"/","")," ",""),8),7,2)),"")))</f>
        <v/>
      </c>
      <c r="AT186" s="33">
        <f>IF($AS186="","",IF($F$6="",0,IF(ISNUMBER(INDEX($A:$AP,ROW(),$F$6)),INDEX($A:$AP,ROW(),$F$6),IFERROR(--SUBSTITUTE(SUBSTITUTE(TRIM(INDEX($A:$AP,ROW(),$F$6)),",",""),"원",""),0))))</f>
        <v/>
      </c>
      <c r="AU186" s="31">
        <f>IF($AS186="","",IF($AX186&lt;&gt;"",SUBSTITUTE(SUBSTITUTE($AX186,"-","")," ",""),"N:"&amp;$AV186))</f>
        <v/>
      </c>
      <c r="AV186" s="31">
        <f>IF(OR($AS186="",$E$6=""),"",TRIM(INDEX($A:$AP,ROW(),$E$6)&amp;""))</f>
        <v/>
      </c>
      <c r="AW186" s="31">
        <f>IF($AU186="","",IF(MATCH($AU186,$AU$8:$AU$2007,0)=ROW()-7,MAX($AW$7:$AW185)+1,""))</f>
        <v/>
      </c>
      <c r="AX186" s="31">
        <f>IF(OR($AS186="",$D$6=""),"",TRIM(INDEX($A:$AP,ROW(),$D$6)&amp;""))</f>
        <v/>
      </c>
      <c r="AY186" s="31">
        <f>IF($AU186="","",INDEX($AW$8:$AW$2007,MATCH($AU186,$AU$8:$AU$2007,0)))</f>
        <v/>
      </c>
      <c r="AZ186" s="31">
        <f>IF(OR($AS186="",$C$6=""),"",TRIM(INDEX($A:$AP,ROW(),$C$6)&amp;""))</f>
        <v/>
      </c>
      <c r="BA186" s="31">
        <f>IF($AZ186="","",IF(COUNTIF($AZ$8:$AZ186,$AZ186)&gt;1,1,0))</f>
        <v/>
      </c>
    </row>
    <row r="187">
      <c r="AR187" s="31">
        <f>IF(OR($A$5="",$B$6="",ROW()&lt;$A$5),"",IF(INDEX($A:$AP,ROW(),$B$6)="","",INDEX($A:$AP,ROW(),$B$6)))</f>
        <v/>
      </c>
      <c r="AS187" s="32">
        <f>IF($AR187="","",IF(ISNUMBER($AR187),IF($AR187&gt;=10000000,IFERROR(DATE(INT($AR187/10000),MOD(INT($AR187/100),100),MOD($AR187,100)),""),INT($AR187)),IFERROR(DATE(--LEFT(LEFT(SUBSTITUTE(SUBSTITUTE(SUBSTITUTE(SUBSTITUTE(TRIM($AR187),"-",""),".",""),"/","")," ",""),8),4),--MID(LEFT(SUBSTITUTE(SUBSTITUTE(SUBSTITUTE(SUBSTITUTE(TRIM($AR187),"-",""),".",""),"/","")," ",""),8),5,2),--MID(LEFT(SUBSTITUTE(SUBSTITUTE(SUBSTITUTE(SUBSTITUTE(TRIM($AR187),"-",""),".",""),"/","")," ",""),8),7,2)),"")))</f>
        <v/>
      </c>
      <c r="AT187" s="33">
        <f>IF($AS187="","",IF($F$6="",0,IF(ISNUMBER(INDEX($A:$AP,ROW(),$F$6)),INDEX($A:$AP,ROW(),$F$6),IFERROR(--SUBSTITUTE(SUBSTITUTE(TRIM(INDEX($A:$AP,ROW(),$F$6)),",",""),"원",""),0))))</f>
        <v/>
      </c>
      <c r="AU187" s="31">
        <f>IF($AS187="","",IF($AX187&lt;&gt;"",SUBSTITUTE(SUBSTITUTE($AX187,"-","")," ",""),"N:"&amp;$AV187))</f>
        <v/>
      </c>
      <c r="AV187" s="31">
        <f>IF(OR($AS187="",$E$6=""),"",TRIM(INDEX($A:$AP,ROW(),$E$6)&amp;""))</f>
        <v/>
      </c>
      <c r="AW187" s="31">
        <f>IF($AU187="","",IF(MATCH($AU187,$AU$8:$AU$2007,0)=ROW()-7,MAX($AW$7:$AW186)+1,""))</f>
        <v/>
      </c>
      <c r="AX187" s="31">
        <f>IF(OR($AS187="",$D$6=""),"",TRIM(INDEX($A:$AP,ROW(),$D$6)&amp;""))</f>
        <v/>
      </c>
      <c r="AY187" s="31">
        <f>IF($AU187="","",INDEX($AW$8:$AW$2007,MATCH($AU187,$AU$8:$AU$2007,0)))</f>
        <v/>
      </c>
      <c r="AZ187" s="31">
        <f>IF(OR($AS187="",$C$6=""),"",TRIM(INDEX($A:$AP,ROW(),$C$6)&amp;""))</f>
        <v/>
      </c>
      <c r="BA187" s="31">
        <f>IF($AZ187="","",IF(COUNTIF($AZ$8:$AZ187,$AZ187)&gt;1,1,0))</f>
        <v/>
      </c>
    </row>
    <row r="188">
      <c r="AR188" s="31">
        <f>IF(OR($A$5="",$B$6="",ROW()&lt;$A$5),"",IF(INDEX($A:$AP,ROW(),$B$6)="","",INDEX($A:$AP,ROW(),$B$6)))</f>
        <v/>
      </c>
      <c r="AS188" s="32">
        <f>IF($AR188="","",IF(ISNUMBER($AR188),IF($AR188&gt;=10000000,IFERROR(DATE(INT($AR188/10000),MOD(INT($AR188/100),100),MOD($AR188,100)),""),INT($AR188)),IFERROR(DATE(--LEFT(LEFT(SUBSTITUTE(SUBSTITUTE(SUBSTITUTE(SUBSTITUTE(TRIM($AR188),"-",""),".",""),"/","")," ",""),8),4),--MID(LEFT(SUBSTITUTE(SUBSTITUTE(SUBSTITUTE(SUBSTITUTE(TRIM($AR188),"-",""),".",""),"/","")," ",""),8),5,2),--MID(LEFT(SUBSTITUTE(SUBSTITUTE(SUBSTITUTE(SUBSTITUTE(TRIM($AR188),"-",""),".",""),"/","")," ",""),8),7,2)),"")))</f>
        <v/>
      </c>
      <c r="AT188" s="33">
        <f>IF($AS188="","",IF($F$6="",0,IF(ISNUMBER(INDEX($A:$AP,ROW(),$F$6)),INDEX($A:$AP,ROW(),$F$6),IFERROR(--SUBSTITUTE(SUBSTITUTE(TRIM(INDEX($A:$AP,ROW(),$F$6)),",",""),"원",""),0))))</f>
        <v/>
      </c>
      <c r="AU188" s="31">
        <f>IF($AS188="","",IF($AX188&lt;&gt;"",SUBSTITUTE(SUBSTITUTE($AX188,"-","")," ",""),"N:"&amp;$AV188))</f>
        <v/>
      </c>
      <c r="AV188" s="31">
        <f>IF(OR($AS188="",$E$6=""),"",TRIM(INDEX($A:$AP,ROW(),$E$6)&amp;""))</f>
        <v/>
      </c>
      <c r="AW188" s="31">
        <f>IF($AU188="","",IF(MATCH($AU188,$AU$8:$AU$2007,0)=ROW()-7,MAX($AW$7:$AW187)+1,""))</f>
        <v/>
      </c>
      <c r="AX188" s="31">
        <f>IF(OR($AS188="",$D$6=""),"",TRIM(INDEX($A:$AP,ROW(),$D$6)&amp;""))</f>
        <v/>
      </c>
      <c r="AY188" s="31">
        <f>IF($AU188="","",INDEX($AW$8:$AW$2007,MATCH($AU188,$AU$8:$AU$2007,0)))</f>
        <v/>
      </c>
      <c r="AZ188" s="31">
        <f>IF(OR($AS188="",$C$6=""),"",TRIM(INDEX($A:$AP,ROW(),$C$6)&amp;""))</f>
        <v/>
      </c>
      <c r="BA188" s="31">
        <f>IF($AZ188="","",IF(COUNTIF($AZ$8:$AZ188,$AZ188)&gt;1,1,0))</f>
        <v/>
      </c>
    </row>
    <row r="189">
      <c r="AR189" s="31">
        <f>IF(OR($A$5="",$B$6="",ROW()&lt;$A$5),"",IF(INDEX($A:$AP,ROW(),$B$6)="","",INDEX($A:$AP,ROW(),$B$6)))</f>
        <v/>
      </c>
      <c r="AS189" s="32">
        <f>IF($AR189="","",IF(ISNUMBER($AR189),IF($AR189&gt;=10000000,IFERROR(DATE(INT($AR189/10000),MOD(INT($AR189/100),100),MOD($AR189,100)),""),INT($AR189)),IFERROR(DATE(--LEFT(LEFT(SUBSTITUTE(SUBSTITUTE(SUBSTITUTE(SUBSTITUTE(TRIM($AR189),"-",""),".",""),"/","")," ",""),8),4),--MID(LEFT(SUBSTITUTE(SUBSTITUTE(SUBSTITUTE(SUBSTITUTE(TRIM($AR189),"-",""),".",""),"/","")," ",""),8),5,2),--MID(LEFT(SUBSTITUTE(SUBSTITUTE(SUBSTITUTE(SUBSTITUTE(TRIM($AR189),"-",""),".",""),"/","")," ",""),8),7,2)),"")))</f>
        <v/>
      </c>
      <c r="AT189" s="33">
        <f>IF($AS189="","",IF($F$6="",0,IF(ISNUMBER(INDEX($A:$AP,ROW(),$F$6)),INDEX($A:$AP,ROW(),$F$6),IFERROR(--SUBSTITUTE(SUBSTITUTE(TRIM(INDEX($A:$AP,ROW(),$F$6)),",",""),"원",""),0))))</f>
        <v/>
      </c>
      <c r="AU189" s="31">
        <f>IF($AS189="","",IF($AX189&lt;&gt;"",SUBSTITUTE(SUBSTITUTE($AX189,"-","")," ",""),"N:"&amp;$AV189))</f>
        <v/>
      </c>
      <c r="AV189" s="31">
        <f>IF(OR($AS189="",$E$6=""),"",TRIM(INDEX($A:$AP,ROW(),$E$6)&amp;""))</f>
        <v/>
      </c>
      <c r="AW189" s="31">
        <f>IF($AU189="","",IF(MATCH($AU189,$AU$8:$AU$2007,0)=ROW()-7,MAX($AW$7:$AW188)+1,""))</f>
        <v/>
      </c>
      <c r="AX189" s="31">
        <f>IF(OR($AS189="",$D$6=""),"",TRIM(INDEX($A:$AP,ROW(),$D$6)&amp;""))</f>
        <v/>
      </c>
      <c r="AY189" s="31">
        <f>IF($AU189="","",INDEX($AW$8:$AW$2007,MATCH($AU189,$AU$8:$AU$2007,0)))</f>
        <v/>
      </c>
      <c r="AZ189" s="31">
        <f>IF(OR($AS189="",$C$6=""),"",TRIM(INDEX($A:$AP,ROW(),$C$6)&amp;""))</f>
        <v/>
      </c>
      <c r="BA189" s="31">
        <f>IF($AZ189="","",IF(COUNTIF($AZ$8:$AZ189,$AZ189)&gt;1,1,0))</f>
        <v/>
      </c>
    </row>
    <row r="190">
      <c r="AR190" s="31">
        <f>IF(OR($A$5="",$B$6="",ROW()&lt;$A$5),"",IF(INDEX($A:$AP,ROW(),$B$6)="","",INDEX($A:$AP,ROW(),$B$6)))</f>
        <v/>
      </c>
      <c r="AS190" s="32">
        <f>IF($AR190="","",IF(ISNUMBER($AR190),IF($AR190&gt;=10000000,IFERROR(DATE(INT($AR190/10000),MOD(INT($AR190/100),100),MOD($AR190,100)),""),INT($AR190)),IFERROR(DATE(--LEFT(LEFT(SUBSTITUTE(SUBSTITUTE(SUBSTITUTE(SUBSTITUTE(TRIM($AR190),"-",""),".",""),"/","")," ",""),8),4),--MID(LEFT(SUBSTITUTE(SUBSTITUTE(SUBSTITUTE(SUBSTITUTE(TRIM($AR190),"-",""),".",""),"/","")," ",""),8),5,2),--MID(LEFT(SUBSTITUTE(SUBSTITUTE(SUBSTITUTE(SUBSTITUTE(TRIM($AR190),"-",""),".",""),"/","")," ",""),8),7,2)),"")))</f>
        <v/>
      </c>
      <c r="AT190" s="33">
        <f>IF($AS190="","",IF($F$6="",0,IF(ISNUMBER(INDEX($A:$AP,ROW(),$F$6)),INDEX($A:$AP,ROW(),$F$6),IFERROR(--SUBSTITUTE(SUBSTITUTE(TRIM(INDEX($A:$AP,ROW(),$F$6)),",",""),"원",""),0))))</f>
        <v/>
      </c>
      <c r="AU190" s="31">
        <f>IF($AS190="","",IF($AX190&lt;&gt;"",SUBSTITUTE(SUBSTITUTE($AX190,"-","")," ",""),"N:"&amp;$AV190))</f>
        <v/>
      </c>
      <c r="AV190" s="31">
        <f>IF(OR($AS190="",$E$6=""),"",TRIM(INDEX($A:$AP,ROW(),$E$6)&amp;""))</f>
        <v/>
      </c>
      <c r="AW190" s="31">
        <f>IF($AU190="","",IF(MATCH($AU190,$AU$8:$AU$2007,0)=ROW()-7,MAX($AW$7:$AW189)+1,""))</f>
        <v/>
      </c>
      <c r="AX190" s="31">
        <f>IF(OR($AS190="",$D$6=""),"",TRIM(INDEX($A:$AP,ROW(),$D$6)&amp;""))</f>
        <v/>
      </c>
      <c r="AY190" s="31">
        <f>IF($AU190="","",INDEX($AW$8:$AW$2007,MATCH($AU190,$AU$8:$AU$2007,0)))</f>
        <v/>
      </c>
      <c r="AZ190" s="31">
        <f>IF(OR($AS190="",$C$6=""),"",TRIM(INDEX($A:$AP,ROW(),$C$6)&amp;""))</f>
        <v/>
      </c>
      <c r="BA190" s="31">
        <f>IF($AZ190="","",IF(COUNTIF($AZ$8:$AZ190,$AZ190)&gt;1,1,0))</f>
        <v/>
      </c>
    </row>
    <row r="191">
      <c r="AR191" s="31">
        <f>IF(OR($A$5="",$B$6="",ROW()&lt;$A$5),"",IF(INDEX($A:$AP,ROW(),$B$6)="","",INDEX($A:$AP,ROW(),$B$6)))</f>
        <v/>
      </c>
      <c r="AS191" s="32">
        <f>IF($AR191="","",IF(ISNUMBER($AR191),IF($AR191&gt;=10000000,IFERROR(DATE(INT($AR191/10000),MOD(INT($AR191/100),100),MOD($AR191,100)),""),INT($AR191)),IFERROR(DATE(--LEFT(LEFT(SUBSTITUTE(SUBSTITUTE(SUBSTITUTE(SUBSTITUTE(TRIM($AR191),"-",""),".",""),"/","")," ",""),8),4),--MID(LEFT(SUBSTITUTE(SUBSTITUTE(SUBSTITUTE(SUBSTITUTE(TRIM($AR191),"-",""),".",""),"/","")," ",""),8),5,2),--MID(LEFT(SUBSTITUTE(SUBSTITUTE(SUBSTITUTE(SUBSTITUTE(TRIM($AR191),"-",""),".",""),"/","")," ",""),8),7,2)),"")))</f>
        <v/>
      </c>
      <c r="AT191" s="33">
        <f>IF($AS191="","",IF($F$6="",0,IF(ISNUMBER(INDEX($A:$AP,ROW(),$F$6)),INDEX($A:$AP,ROW(),$F$6),IFERROR(--SUBSTITUTE(SUBSTITUTE(TRIM(INDEX($A:$AP,ROW(),$F$6)),",",""),"원",""),0))))</f>
        <v/>
      </c>
      <c r="AU191" s="31">
        <f>IF($AS191="","",IF($AX191&lt;&gt;"",SUBSTITUTE(SUBSTITUTE($AX191,"-","")," ",""),"N:"&amp;$AV191))</f>
        <v/>
      </c>
      <c r="AV191" s="31">
        <f>IF(OR($AS191="",$E$6=""),"",TRIM(INDEX($A:$AP,ROW(),$E$6)&amp;""))</f>
        <v/>
      </c>
      <c r="AW191" s="31">
        <f>IF($AU191="","",IF(MATCH($AU191,$AU$8:$AU$2007,0)=ROW()-7,MAX($AW$7:$AW190)+1,""))</f>
        <v/>
      </c>
      <c r="AX191" s="31">
        <f>IF(OR($AS191="",$D$6=""),"",TRIM(INDEX($A:$AP,ROW(),$D$6)&amp;""))</f>
        <v/>
      </c>
      <c r="AY191" s="31">
        <f>IF($AU191="","",INDEX($AW$8:$AW$2007,MATCH($AU191,$AU$8:$AU$2007,0)))</f>
        <v/>
      </c>
      <c r="AZ191" s="31">
        <f>IF(OR($AS191="",$C$6=""),"",TRIM(INDEX($A:$AP,ROW(),$C$6)&amp;""))</f>
        <v/>
      </c>
      <c r="BA191" s="31">
        <f>IF($AZ191="","",IF(COUNTIF($AZ$8:$AZ191,$AZ191)&gt;1,1,0))</f>
        <v/>
      </c>
    </row>
    <row r="192">
      <c r="AR192" s="31">
        <f>IF(OR($A$5="",$B$6="",ROW()&lt;$A$5),"",IF(INDEX($A:$AP,ROW(),$B$6)="","",INDEX($A:$AP,ROW(),$B$6)))</f>
        <v/>
      </c>
      <c r="AS192" s="32">
        <f>IF($AR192="","",IF(ISNUMBER($AR192),IF($AR192&gt;=10000000,IFERROR(DATE(INT($AR192/10000),MOD(INT($AR192/100),100),MOD($AR192,100)),""),INT($AR192)),IFERROR(DATE(--LEFT(LEFT(SUBSTITUTE(SUBSTITUTE(SUBSTITUTE(SUBSTITUTE(TRIM($AR192),"-",""),".",""),"/","")," ",""),8),4),--MID(LEFT(SUBSTITUTE(SUBSTITUTE(SUBSTITUTE(SUBSTITUTE(TRIM($AR192),"-",""),".",""),"/","")," ",""),8),5,2),--MID(LEFT(SUBSTITUTE(SUBSTITUTE(SUBSTITUTE(SUBSTITUTE(TRIM($AR192),"-",""),".",""),"/","")," ",""),8),7,2)),"")))</f>
        <v/>
      </c>
      <c r="AT192" s="33">
        <f>IF($AS192="","",IF($F$6="",0,IF(ISNUMBER(INDEX($A:$AP,ROW(),$F$6)),INDEX($A:$AP,ROW(),$F$6),IFERROR(--SUBSTITUTE(SUBSTITUTE(TRIM(INDEX($A:$AP,ROW(),$F$6)),",",""),"원",""),0))))</f>
        <v/>
      </c>
      <c r="AU192" s="31">
        <f>IF($AS192="","",IF($AX192&lt;&gt;"",SUBSTITUTE(SUBSTITUTE($AX192,"-","")," ",""),"N:"&amp;$AV192))</f>
        <v/>
      </c>
      <c r="AV192" s="31">
        <f>IF(OR($AS192="",$E$6=""),"",TRIM(INDEX($A:$AP,ROW(),$E$6)&amp;""))</f>
        <v/>
      </c>
      <c r="AW192" s="31">
        <f>IF($AU192="","",IF(MATCH($AU192,$AU$8:$AU$2007,0)=ROW()-7,MAX($AW$7:$AW191)+1,""))</f>
        <v/>
      </c>
      <c r="AX192" s="31">
        <f>IF(OR($AS192="",$D$6=""),"",TRIM(INDEX($A:$AP,ROW(),$D$6)&amp;""))</f>
        <v/>
      </c>
      <c r="AY192" s="31">
        <f>IF($AU192="","",INDEX($AW$8:$AW$2007,MATCH($AU192,$AU$8:$AU$2007,0)))</f>
        <v/>
      </c>
      <c r="AZ192" s="31">
        <f>IF(OR($AS192="",$C$6=""),"",TRIM(INDEX($A:$AP,ROW(),$C$6)&amp;""))</f>
        <v/>
      </c>
      <c r="BA192" s="31">
        <f>IF($AZ192="","",IF(COUNTIF($AZ$8:$AZ192,$AZ192)&gt;1,1,0))</f>
        <v/>
      </c>
    </row>
    <row r="193">
      <c r="AR193" s="31">
        <f>IF(OR($A$5="",$B$6="",ROW()&lt;$A$5),"",IF(INDEX($A:$AP,ROW(),$B$6)="","",INDEX($A:$AP,ROW(),$B$6)))</f>
        <v/>
      </c>
      <c r="AS193" s="32">
        <f>IF($AR193="","",IF(ISNUMBER($AR193),IF($AR193&gt;=10000000,IFERROR(DATE(INT($AR193/10000),MOD(INT($AR193/100),100),MOD($AR193,100)),""),INT($AR193)),IFERROR(DATE(--LEFT(LEFT(SUBSTITUTE(SUBSTITUTE(SUBSTITUTE(SUBSTITUTE(TRIM($AR193),"-",""),".",""),"/","")," ",""),8),4),--MID(LEFT(SUBSTITUTE(SUBSTITUTE(SUBSTITUTE(SUBSTITUTE(TRIM($AR193),"-",""),".",""),"/","")," ",""),8),5,2),--MID(LEFT(SUBSTITUTE(SUBSTITUTE(SUBSTITUTE(SUBSTITUTE(TRIM($AR193),"-",""),".",""),"/","")," ",""),8),7,2)),"")))</f>
        <v/>
      </c>
      <c r="AT193" s="33">
        <f>IF($AS193="","",IF($F$6="",0,IF(ISNUMBER(INDEX($A:$AP,ROW(),$F$6)),INDEX($A:$AP,ROW(),$F$6),IFERROR(--SUBSTITUTE(SUBSTITUTE(TRIM(INDEX($A:$AP,ROW(),$F$6)),",",""),"원",""),0))))</f>
        <v/>
      </c>
      <c r="AU193" s="31">
        <f>IF($AS193="","",IF($AX193&lt;&gt;"",SUBSTITUTE(SUBSTITUTE($AX193,"-","")," ",""),"N:"&amp;$AV193))</f>
        <v/>
      </c>
      <c r="AV193" s="31">
        <f>IF(OR($AS193="",$E$6=""),"",TRIM(INDEX($A:$AP,ROW(),$E$6)&amp;""))</f>
        <v/>
      </c>
      <c r="AW193" s="31">
        <f>IF($AU193="","",IF(MATCH($AU193,$AU$8:$AU$2007,0)=ROW()-7,MAX($AW$7:$AW192)+1,""))</f>
        <v/>
      </c>
      <c r="AX193" s="31">
        <f>IF(OR($AS193="",$D$6=""),"",TRIM(INDEX($A:$AP,ROW(),$D$6)&amp;""))</f>
        <v/>
      </c>
      <c r="AY193" s="31">
        <f>IF($AU193="","",INDEX($AW$8:$AW$2007,MATCH($AU193,$AU$8:$AU$2007,0)))</f>
        <v/>
      </c>
      <c r="AZ193" s="31">
        <f>IF(OR($AS193="",$C$6=""),"",TRIM(INDEX($A:$AP,ROW(),$C$6)&amp;""))</f>
        <v/>
      </c>
      <c r="BA193" s="31">
        <f>IF($AZ193="","",IF(COUNTIF($AZ$8:$AZ193,$AZ193)&gt;1,1,0))</f>
        <v/>
      </c>
    </row>
    <row r="194">
      <c r="AR194" s="31">
        <f>IF(OR($A$5="",$B$6="",ROW()&lt;$A$5),"",IF(INDEX($A:$AP,ROW(),$B$6)="","",INDEX($A:$AP,ROW(),$B$6)))</f>
        <v/>
      </c>
      <c r="AS194" s="32">
        <f>IF($AR194="","",IF(ISNUMBER($AR194),IF($AR194&gt;=10000000,IFERROR(DATE(INT($AR194/10000),MOD(INT($AR194/100),100),MOD($AR194,100)),""),INT($AR194)),IFERROR(DATE(--LEFT(LEFT(SUBSTITUTE(SUBSTITUTE(SUBSTITUTE(SUBSTITUTE(TRIM($AR194),"-",""),".",""),"/","")," ",""),8),4),--MID(LEFT(SUBSTITUTE(SUBSTITUTE(SUBSTITUTE(SUBSTITUTE(TRIM($AR194),"-",""),".",""),"/","")," ",""),8),5,2),--MID(LEFT(SUBSTITUTE(SUBSTITUTE(SUBSTITUTE(SUBSTITUTE(TRIM($AR194),"-",""),".",""),"/","")," ",""),8),7,2)),"")))</f>
        <v/>
      </c>
      <c r="AT194" s="33">
        <f>IF($AS194="","",IF($F$6="",0,IF(ISNUMBER(INDEX($A:$AP,ROW(),$F$6)),INDEX($A:$AP,ROW(),$F$6),IFERROR(--SUBSTITUTE(SUBSTITUTE(TRIM(INDEX($A:$AP,ROW(),$F$6)),",",""),"원",""),0))))</f>
        <v/>
      </c>
      <c r="AU194" s="31">
        <f>IF($AS194="","",IF($AX194&lt;&gt;"",SUBSTITUTE(SUBSTITUTE($AX194,"-","")," ",""),"N:"&amp;$AV194))</f>
        <v/>
      </c>
      <c r="AV194" s="31">
        <f>IF(OR($AS194="",$E$6=""),"",TRIM(INDEX($A:$AP,ROW(),$E$6)&amp;""))</f>
        <v/>
      </c>
      <c r="AW194" s="31">
        <f>IF($AU194="","",IF(MATCH($AU194,$AU$8:$AU$2007,0)=ROW()-7,MAX($AW$7:$AW193)+1,""))</f>
        <v/>
      </c>
      <c r="AX194" s="31">
        <f>IF(OR($AS194="",$D$6=""),"",TRIM(INDEX($A:$AP,ROW(),$D$6)&amp;""))</f>
        <v/>
      </c>
      <c r="AY194" s="31">
        <f>IF($AU194="","",INDEX($AW$8:$AW$2007,MATCH($AU194,$AU$8:$AU$2007,0)))</f>
        <v/>
      </c>
      <c r="AZ194" s="31">
        <f>IF(OR($AS194="",$C$6=""),"",TRIM(INDEX($A:$AP,ROW(),$C$6)&amp;""))</f>
        <v/>
      </c>
      <c r="BA194" s="31">
        <f>IF($AZ194="","",IF(COUNTIF($AZ$8:$AZ194,$AZ194)&gt;1,1,0))</f>
        <v/>
      </c>
    </row>
    <row r="195">
      <c r="AR195" s="31">
        <f>IF(OR($A$5="",$B$6="",ROW()&lt;$A$5),"",IF(INDEX($A:$AP,ROW(),$B$6)="","",INDEX($A:$AP,ROW(),$B$6)))</f>
        <v/>
      </c>
      <c r="AS195" s="32">
        <f>IF($AR195="","",IF(ISNUMBER($AR195),IF($AR195&gt;=10000000,IFERROR(DATE(INT($AR195/10000),MOD(INT($AR195/100),100),MOD($AR195,100)),""),INT($AR195)),IFERROR(DATE(--LEFT(LEFT(SUBSTITUTE(SUBSTITUTE(SUBSTITUTE(SUBSTITUTE(TRIM($AR195),"-",""),".",""),"/","")," ",""),8),4),--MID(LEFT(SUBSTITUTE(SUBSTITUTE(SUBSTITUTE(SUBSTITUTE(TRIM($AR195),"-",""),".",""),"/","")," ",""),8),5,2),--MID(LEFT(SUBSTITUTE(SUBSTITUTE(SUBSTITUTE(SUBSTITUTE(TRIM($AR195),"-",""),".",""),"/","")," ",""),8),7,2)),"")))</f>
        <v/>
      </c>
      <c r="AT195" s="33">
        <f>IF($AS195="","",IF($F$6="",0,IF(ISNUMBER(INDEX($A:$AP,ROW(),$F$6)),INDEX($A:$AP,ROW(),$F$6),IFERROR(--SUBSTITUTE(SUBSTITUTE(TRIM(INDEX($A:$AP,ROW(),$F$6)),",",""),"원",""),0))))</f>
        <v/>
      </c>
      <c r="AU195" s="31">
        <f>IF($AS195="","",IF($AX195&lt;&gt;"",SUBSTITUTE(SUBSTITUTE($AX195,"-","")," ",""),"N:"&amp;$AV195))</f>
        <v/>
      </c>
      <c r="AV195" s="31">
        <f>IF(OR($AS195="",$E$6=""),"",TRIM(INDEX($A:$AP,ROW(),$E$6)&amp;""))</f>
        <v/>
      </c>
      <c r="AW195" s="31">
        <f>IF($AU195="","",IF(MATCH($AU195,$AU$8:$AU$2007,0)=ROW()-7,MAX($AW$7:$AW194)+1,""))</f>
        <v/>
      </c>
      <c r="AX195" s="31">
        <f>IF(OR($AS195="",$D$6=""),"",TRIM(INDEX($A:$AP,ROW(),$D$6)&amp;""))</f>
        <v/>
      </c>
      <c r="AY195" s="31">
        <f>IF($AU195="","",INDEX($AW$8:$AW$2007,MATCH($AU195,$AU$8:$AU$2007,0)))</f>
        <v/>
      </c>
      <c r="AZ195" s="31">
        <f>IF(OR($AS195="",$C$6=""),"",TRIM(INDEX($A:$AP,ROW(),$C$6)&amp;""))</f>
        <v/>
      </c>
      <c r="BA195" s="31">
        <f>IF($AZ195="","",IF(COUNTIF($AZ$8:$AZ195,$AZ195)&gt;1,1,0))</f>
        <v/>
      </c>
    </row>
    <row r="196">
      <c r="AR196" s="31">
        <f>IF(OR($A$5="",$B$6="",ROW()&lt;$A$5),"",IF(INDEX($A:$AP,ROW(),$B$6)="","",INDEX($A:$AP,ROW(),$B$6)))</f>
        <v/>
      </c>
      <c r="AS196" s="32">
        <f>IF($AR196="","",IF(ISNUMBER($AR196),IF($AR196&gt;=10000000,IFERROR(DATE(INT($AR196/10000),MOD(INT($AR196/100),100),MOD($AR196,100)),""),INT($AR196)),IFERROR(DATE(--LEFT(LEFT(SUBSTITUTE(SUBSTITUTE(SUBSTITUTE(SUBSTITUTE(TRIM($AR196),"-",""),".",""),"/","")," ",""),8),4),--MID(LEFT(SUBSTITUTE(SUBSTITUTE(SUBSTITUTE(SUBSTITUTE(TRIM($AR196),"-",""),".",""),"/","")," ",""),8),5,2),--MID(LEFT(SUBSTITUTE(SUBSTITUTE(SUBSTITUTE(SUBSTITUTE(TRIM($AR196),"-",""),".",""),"/","")," ",""),8),7,2)),"")))</f>
        <v/>
      </c>
      <c r="AT196" s="33">
        <f>IF($AS196="","",IF($F$6="",0,IF(ISNUMBER(INDEX($A:$AP,ROW(),$F$6)),INDEX($A:$AP,ROW(),$F$6),IFERROR(--SUBSTITUTE(SUBSTITUTE(TRIM(INDEX($A:$AP,ROW(),$F$6)),",",""),"원",""),0))))</f>
        <v/>
      </c>
      <c r="AU196" s="31">
        <f>IF($AS196="","",IF($AX196&lt;&gt;"",SUBSTITUTE(SUBSTITUTE($AX196,"-","")," ",""),"N:"&amp;$AV196))</f>
        <v/>
      </c>
      <c r="AV196" s="31">
        <f>IF(OR($AS196="",$E$6=""),"",TRIM(INDEX($A:$AP,ROW(),$E$6)&amp;""))</f>
        <v/>
      </c>
      <c r="AW196" s="31">
        <f>IF($AU196="","",IF(MATCH($AU196,$AU$8:$AU$2007,0)=ROW()-7,MAX($AW$7:$AW195)+1,""))</f>
        <v/>
      </c>
      <c r="AX196" s="31">
        <f>IF(OR($AS196="",$D$6=""),"",TRIM(INDEX($A:$AP,ROW(),$D$6)&amp;""))</f>
        <v/>
      </c>
      <c r="AY196" s="31">
        <f>IF($AU196="","",INDEX($AW$8:$AW$2007,MATCH($AU196,$AU$8:$AU$2007,0)))</f>
        <v/>
      </c>
      <c r="AZ196" s="31">
        <f>IF(OR($AS196="",$C$6=""),"",TRIM(INDEX($A:$AP,ROW(),$C$6)&amp;""))</f>
        <v/>
      </c>
      <c r="BA196" s="31">
        <f>IF($AZ196="","",IF(COUNTIF($AZ$8:$AZ196,$AZ196)&gt;1,1,0))</f>
        <v/>
      </c>
    </row>
    <row r="197">
      <c r="AR197" s="31">
        <f>IF(OR($A$5="",$B$6="",ROW()&lt;$A$5),"",IF(INDEX($A:$AP,ROW(),$B$6)="","",INDEX($A:$AP,ROW(),$B$6)))</f>
        <v/>
      </c>
      <c r="AS197" s="32">
        <f>IF($AR197="","",IF(ISNUMBER($AR197),IF($AR197&gt;=10000000,IFERROR(DATE(INT($AR197/10000),MOD(INT($AR197/100),100),MOD($AR197,100)),""),INT($AR197)),IFERROR(DATE(--LEFT(LEFT(SUBSTITUTE(SUBSTITUTE(SUBSTITUTE(SUBSTITUTE(TRIM($AR197),"-",""),".",""),"/","")," ",""),8),4),--MID(LEFT(SUBSTITUTE(SUBSTITUTE(SUBSTITUTE(SUBSTITUTE(TRIM($AR197),"-",""),".",""),"/","")," ",""),8),5,2),--MID(LEFT(SUBSTITUTE(SUBSTITUTE(SUBSTITUTE(SUBSTITUTE(TRIM($AR197),"-",""),".",""),"/","")," ",""),8),7,2)),"")))</f>
        <v/>
      </c>
      <c r="AT197" s="33">
        <f>IF($AS197="","",IF($F$6="",0,IF(ISNUMBER(INDEX($A:$AP,ROW(),$F$6)),INDEX($A:$AP,ROW(),$F$6),IFERROR(--SUBSTITUTE(SUBSTITUTE(TRIM(INDEX($A:$AP,ROW(),$F$6)),",",""),"원",""),0))))</f>
        <v/>
      </c>
      <c r="AU197" s="31">
        <f>IF($AS197="","",IF($AX197&lt;&gt;"",SUBSTITUTE(SUBSTITUTE($AX197,"-","")," ",""),"N:"&amp;$AV197))</f>
        <v/>
      </c>
      <c r="AV197" s="31">
        <f>IF(OR($AS197="",$E$6=""),"",TRIM(INDEX($A:$AP,ROW(),$E$6)&amp;""))</f>
        <v/>
      </c>
      <c r="AW197" s="31">
        <f>IF($AU197="","",IF(MATCH($AU197,$AU$8:$AU$2007,0)=ROW()-7,MAX($AW$7:$AW196)+1,""))</f>
        <v/>
      </c>
      <c r="AX197" s="31">
        <f>IF(OR($AS197="",$D$6=""),"",TRIM(INDEX($A:$AP,ROW(),$D$6)&amp;""))</f>
        <v/>
      </c>
      <c r="AY197" s="31">
        <f>IF($AU197="","",INDEX($AW$8:$AW$2007,MATCH($AU197,$AU$8:$AU$2007,0)))</f>
        <v/>
      </c>
      <c r="AZ197" s="31">
        <f>IF(OR($AS197="",$C$6=""),"",TRIM(INDEX($A:$AP,ROW(),$C$6)&amp;""))</f>
        <v/>
      </c>
      <c r="BA197" s="31">
        <f>IF($AZ197="","",IF(COUNTIF($AZ$8:$AZ197,$AZ197)&gt;1,1,0))</f>
        <v/>
      </c>
    </row>
    <row r="198">
      <c r="AR198" s="31">
        <f>IF(OR($A$5="",$B$6="",ROW()&lt;$A$5),"",IF(INDEX($A:$AP,ROW(),$B$6)="","",INDEX($A:$AP,ROW(),$B$6)))</f>
        <v/>
      </c>
      <c r="AS198" s="32">
        <f>IF($AR198="","",IF(ISNUMBER($AR198),IF($AR198&gt;=10000000,IFERROR(DATE(INT($AR198/10000),MOD(INT($AR198/100),100),MOD($AR198,100)),""),INT($AR198)),IFERROR(DATE(--LEFT(LEFT(SUBSTITUTE(SUBSTITUTE(SUBSTITUTE(SUBSTITUTE(TRIM($AR198),"-",""),".",""),"/","")," ",""),8),4),--MID(LEFT(SUBSTITUTE(SUBSTITUTE(SUBSTITUTE(SUBSTITUTE(TRIM($AR198),"-",""),".",""),"/","")," ",""),8),5,2),--MID(LEFT(SUBSTITUTE(SUBSTITUTE(SUBSTITUTE(SUBSTITUTE(TRIM($AR198),"-",""),".",""),"/","")," ",""),8),7,2)),"")))</f>
        <v/>
      </c>
      <c r="AT198" s="33">
        <f>IF($AS198="","",IF($F$6="",0,IF(ISNUMBER(INDEX($A:$AP,ROW(),$F$6)),INDEX($A:$AP,ROW(),$F$6),IFERROR(--SUBSTITUTE(SUBSTITUTE(TRIM(INDEX($A:$AP,ROW(),$F$6)),",",""),"원",""),0))))</f>
        <v/>
      </c>
      <c r="AU198" s="31">
        <f>IF($AS198="","",IF($AX198&lt;&gt;"",SUBSTITUTE(SUBSTITUTE($AX198,"-","")," ",""),"N:"&amp;$AV198))</f>
        <v/>
      </c>
      <c r="AV198" s="31">
        <f>IF(OR($AS198="",$E$6=""),"",TRIM(INDEX($A:$AP,ROW(),$E$6)&amp;""))</f>
        <v/>
      </c>
      <c r="AW198" s="31">
        <f>IF($AU198="","",IF(MATCH($AU198,$AU$8:$AU$2007,0)=ROW()-7,MAX($AW$7:$AW197)+1,""))</f>
        <v/>
      </c>
      <c r="AX198" s="31">
        <f>IF(OR($AS198="",$D$6=""),"",TRIM(INDEX($A:$AP,ROW(),$D$6)&amp;""))</f>
        <v/>
      </c>
      <c r="AY198" s="31">
        <f>IF($AU198="","",INDEX($AW$8:$AW$2007,MATCH($AU198,$AU$8:$AU$2007,0)))</f>
        <v/>
      </c>
      <c r="AZ198" s="31">
        <f>IF(OR($AS198="",$C$6=""),"",TRIM(INDEX($A:$AP,ROW(),$C$6)&amp;""))</f>
        <v/>
      </c>
      <c r="BA198" s="31">
        <f>IF($AZ198="","",IF(COUNTIF($AZ$8:$AZ198,$AZ198)&gt;1,1,0))</f>
        <v/>
      </c>
    </row>
    <row r="199">
      <c r="AR199" s="31">
        <f>IF(OR($A$5="",$B$6="",ROW()&lt;$A$5),"",IF(INDEX($A:$AP,ROW(),$B$6)="","",INDEX($A:$AP,ROW(),$B$6)))</f>
        <v/>
      </c>
      <c r="AS199" s="32">
        <f>IF($AR199="","",IF(ISNUMBER($AR199),IF($AR199&gt;=10000000,IFERROR(DATE(INT($AR199/10000),MOD(INT($AR199/100),100),MOD($AR199,100)),""),INT($AR199)),IFERROR(DATE(--LEFT(LEFT(SUBSTITUTE(SUBSTITUTE(SUBSTITUTE(SUBSTITUTE(TRIM($AR199),"-",""),".",""),"/","")," ",""),8),4),--MID(LEFT(SUBSTITUTE(SUBSTITUTE(SUBSTITUTE(SUBSTITUTE(TRIM($AR199),"-",""),".",""),"/","")," ",""),8),5,2),--MID(LEFT(SUBSTITUTE(SUBSTITUTE(SUBSTITUTE(SUBSTITUTE(TRIM($AR199),"-",""),".",""),"/","")," ",""),8),7,2)),"")))</f>
        <v/>
      </c>
      <c r="AT199" s="33">
        <f>IF($AS199="","",IF($F$6="",0,IF(ISNUMBER(INDEX($A:$AP,ROW(),$F$6)),INDEX($A:$AP,ROW(),$F$6),IFERROR(--SUBSTITUTE(SUBSTITUTE(TRIM(INDEX($A:$AP,ROW(),$F$6)),",",""),"원",""),0))))</f>
        <v/>
      </c>
      <c r="AU199" s="31">
        <f>IF($AS199="","",IF($AX199&lt;&gt;"",SUBSTITUTE(SUBSTITUTE($AX199,"-","")," ",""),"N:"&amp;$AV199))</f>
        <v/>
      </c>
      <c r="AV199" s="31">
        <f>IF(OR($AS199="",$E$6=""),"",TRIM(INDEX($A:$AP,ROW(),$E$6)&amp;""))</f>
        <v/>
      </c>
      <c r="AW199" s="31">
        <f>IF($AU199="","",IF(MATCH($AU199,$AU$8:$AU$2007,0)=ROW()-7,MAX($AW$7:$AW198)+1,""))</f>
        <v/>
      </c>
      <c r="AX199" s="31">
        <f>IF(OR($AS199="",$D$6=""),"",TRIM(INDEX($A:$AP,ROW(),$D$6)&amp;""))</f>
        <v/>
      </c>
      <c r="AY199" s="31">
        <f>IF($AU199="","",INDEX($AW$8:$AW$2007,MATCH($AU199,$AU$8:$AU$2007,0)))</f>
        <v/>
      </c>
      <c r="AZ199" s="31">
        <f>IF(OR($AS199="",$C$6=""),"",TRIM(INDEX($A:$AP,ROW(),$C$6)&amp;""))</f>
        <v/>
      </c>
      <c r="BA199" s="31">
        <f>IF($AZ199="","",IF(COUNTIF($AZ$8:$AZ199,$AZ199)&gt;1,1,0))</f>
        <v/>
      </c>
    </row>
    <row r="200">
      <c r="AR200" s="31">
        <f>IF(OR($A$5="",$B$6="",ROW()&lt;$A$5),"",IF(INDEX($A:$AP,ROW(),$B$6)="","",INDEX($A:$AP,ROW(),$B$6)))</f>
        <v/>
      </c>
      <c r="AS200" s="32">
        <f>IF($AR200="","",IF(ISNUMBER($AR200),IF($AR200&gt;=10000000,IFERROR(DATE(INT($AR200/10000),MOD(INT($AR200/100),100),MOD($AR200,100)),""),INT($AR200)),IFERROR(DATE(--LEFT(LEFT(SUBSTITUTE(SUBSTITUTE(SUBSTITUTE(SUBSTITUTE(TRIM($AR200),"-",""),".",""),"/","")," ",""),8),4),--MID(LEFT(SUBSTITUTE(SUBSTITUTE(SUBSTITUTE(SUBSTITUTE(TRIM($AR200),"-",""),".",""),"/","")," ",""),8),5,2),--MID(LEFT(SUBSTITUTE(SUBSTITUTE(SUBSTITUTE(SUBSTITUTE(TRIM($AR200),"-",""),".",""),"/","")," ",""),8),7,2)),"")))</f>
        <v/>
      </c>
      <c r="AT200" s="33">
        <f>IF($AS200="","",IF($F$6="",0,IF(ISNUMBER(INDEX($A:$AP,ROW(),$F$6)),INDEX($A:$AP,ROW(),$F$6),IFERROR(--SUBSTITUTE(SUBSTITUTE(TRIM(INDEX($A:$AP,ROW(),$F$6)),",",""),"원",""),0))))</f>
        <v/>
      </c>
      <c r="AU200" s="31">
        <f>IF($AS200="","",IF($AX200&lt;&gt;"",SUBSTITUTE(SUBSTITUTE($AX200,"-","")," ",""),"N:"&amp;$AV200))</f>
        <v/>
      </c>
      <c r="AV200" s="31">
        <f>IF(OR($AS200="",$E$6=""),"",TRIM(INDEX($A:$AP,ROW(),$E$6)&amp;""))</f>
        <v/>
      </c>
      <c r="AW200" s="31">
        <f>IF($AU200="","",IF(MATCH($AU200,$AU$8:$AU$2007,0)=ROW()-7,MAX($AW$7:$AW199)+1,""))</f>
        <v/>
      </c>
      <c r="AX200" s="31">
        <f>IF(OR($AS200="",$D$6=""),"",TRIM(INDEX($A:$AP,ROW(),$D$6)&amp;""))</f>
        <v/>
      </c>
      <c r="AY200" s="31">
        <f>IF($AU200="","",INDEX($AW$8:$AW$2007,MATCH($AU200,$AU$8:$AU$2007,0)))</f>
        <v/>
      </c>
      <c r="AZ200" s="31">
        <f>IF(OR($AS200="",$C$6=""),"",TRIM(INDEX($A:$AP,ROW(),$C$6)&amp;""))</f>
        <v/>
      </c>
      <c r="BA200" s="31">
        <f>IF($AZ200="","",IF(COUNTIF($AZ$8:$AZ200,$AZ200)&gt;1,1,0))</f>
        <v/>
      </c>
    </row>
    <row r="201">
      <c r="AR201" s="31">
        <f>IF(OR($A$5="",$B$6="",ROW()&lt;$A$5),"",IF(INDEX($A:$AP,ROW(),$B$6)="","",INDEX($A:$AP,ROW(),$B$6)))</f>
        <v/>
      </c>
      <c r="AS201" s="32">
        <f>IF($AR201="","",IF(ISNUMBER($AR201),IF($AR201&gt;=10000000,IFERROR(DATE(INT($AR201/10000),MOD(INT($AR201/100),100),MOD($AR201,100)),""),INT($AR201)),IFERROR(DATE(--LEFT(LEFT(SUBSTITUTE(SUBSTITUTE(SUBSTITUTE(SUBSTITUTE(TRIM($AR201),"-",""),".",""),"/","")," ",""),8),4),--MID(LEFT(SUBSTITUTE(SUBSTITUTE(SUBSTITUTE(SUBSTITUTE(TRIM($AR201),"-",""),".",""),"/","")," ",""),8),5,2),--MID(LEFT(SUBSTITUTE(SUBSTITUTE(SUBSTITUTE(SUBSTITUTE(TRIM($AR201),"-",""),".",""),"/","")," ",""),8),7,2)),"")))</f>
        <v/>
      </c>
      <c r="AT201" s="33">
        <f>IF($AS201="","",IF($F$6="",0,IF(ISNUMBER(INDEX($A:$AP,ROW(),$F$6)),INDEX($A:$AP,ROW(),$F$6),IFERROR(--SUBSTITUTE(SUBSTITUTE(TRIM(INDEX($A:$AP,ROW(),$F$6)),",",""),"원",""),0))))</f>
        <v/>
      </c>
      <c r="AU201" s="31">
        <f>IF($AS201="","",IF($AX201&lt;&gt;"",SUBSTITUTE(SUBSTITUTE($AX201,"-","")," ",""),"N:"&amp;$AV201))</f>
        <v/>
      </c>
      <c r="AV201" s="31">
        <f>IF(OR($AS201="",$E$6=""),"",TRIM(INDEX($A:$AP,ROW(),$E$6)&amp;""))</f>
        <v/>
      </c>
      <c r="AW201" s="31">
        <f>IF($AU201="","",IF(MATCH($AU201,$AU$8:$AU$2007,0)=ROW()-7,MAX($AW$7:$AW200)+1,""))</f>
        <v/>
      </c>
      <c r="AX201" s="31">
        <f>IF(OR($AS201="",$D$6=""),"",TRIM(INDEX($A:$AP,ROW(),$D$6)&amp;""))</f>
        <v/>
      </c>
      <c r="AY201" s="31">
        <f>IF($AU201="","",INDEX($AW$8:$AW$2007,MATCH($AU201,$AU$8:$AU$2007,0)))</f>
        <v/>
      </c>
      <c r="AZ201" s="31">
        <f>IF(OR($AS201="",$C$6=""),"",TRIM(INDEX($A:$AP,ROW(),$C$6)&amp;""))</f>
        <v/>
      </c>
      <c r="BA201" s="31">
        <f>IF($AZ201="","",IF(COUNTIF($AZ$8:$AZ201,$AZ201)&gt;1,1,0))</f>
        <v/>
      </c>
    </row>
    <row r="202">
      <c r="AR202" s="31">
        <f>IF(OR($A$5="",$B$6="",ROW()&lt;$A$5),"",IF(INDEX($A:$AP,ROW(),$B$6)="","",INDEX($A:$AP,ROW(),$B$6)))</f>
        <v/>
      </c>
      <c r="AS202" s="32">
        <f>IF($AR202="","",IF(ISNUMBER($AR202),IF($AR202&gt;=10000000,IFERROR(DATE(INT($AR202/10000),MOD(INT($AR202/100),100),MOD($AR202,100)),""),INT($AR202)),IFERROR(DATE(--LEFT(LEFT(SUBSTITUTE(SUBSTITUTE(SUBSTITUTE(SUBSTITUTE(TRIM($AR202),"-",""),".",""),"/","")," ",""),8),4),--MID(LEFT(SUBSTITUTE(SUBSTITUTE(SUBSTITUTE(SUBSTITUTE(TRIM($AR202),"-",""),".",""),"/","")," ",""),8),5,2),--MID(LEFT(SUBSTITUTE(SUBSTITUTE(SUBSTITUTE(SUBSTITUTE(TRIM($AR202),"-",""),".",""),"/","")," ",""),8),7,2)),"")))</f>
        <v/>
      </c>
      <c r="AT202" s="33">
        <f>IF($AS202="","",IF($F$6="",0,IF(ISNUMBER(INDEX($A:$AP,ROW(),$F$6)),INDEX($A:$AP,ROW(),$F$6),IFERROR(--SUBSTITUTE(SUBSTITUTE(TRIM(INDEX($A:$AP,ROW(),$F$6)),",",""),"원",""),0))))</f>
        <v/>
      </c>
      <c r="AU202" s="31">
        <f>IF($AS202="","",IF($AX202&lt;&gt;"",SUBSTITUTE(SUBSTITUTE($AX202,"-","")," ",""),"N:"&amp;$AV202))</f>
        <v/>
      </c>
      <c r="AV202" s="31">
        <f>IF(OR($AS202="",$E$6=""),"",TRIM(INDEX($A:$AP,ROW(),$E$6)&amp;""))</f>
        <v/>
      </c>
      <c r="AW202" s="31">
        <f>IF($AU202="","",IF(MATCH($AU202,$AU$8:$AU$2007,0)=ROW()-7,MAX($AW$7:$AW201)+1,""))</f>
        <v/>
      </c>
      <c r="AX202" s="31">
        <f>IF(OR($AS202="",$D$6=""),"",TRIM(INDEX($A:$AP,ROW(),$D$6)&amp;""))</f>
        <v/>
      </c>
      <c r="AY202" s="31">
        <f>IF($AU202="","",INDEX($AW$8:$AW$2007,MATCH($AU202,$AU$8:$AU$2007,0)))</f>
        <v/>
      </c>
      <c r="AZ202" s="31">
        <f>IF(OR($AS202="",$C$6=""),"",TRIM(INDEX($A:$AP,ROW(),$C$6)&amp;""))</f>
        <v/>
      </c>
      <c r="BA202" s="31">
        <f>IF($AZ202="","",IF(COUNTIF($AZ$8:$AZ202,$AZ202)&gt;1,1,0))</f>
        <v/>
      </c>
    </row>
    <row r="203">
      <c r="AR203" s="31">
        <f>IF(OR($A$5="",$B$6="",ROW()&lt;$A$5),"",IF(INDEX($A:$AP,ROW(),$B$6)="","",INDEX($A:$AP,ROW(),$B$6)))</f>
        <v/>
      </c>
      <c r="AS203" s="32">
        <f>IF($AR203="","",IF(ISNUMBER($AR203),IF($AR203&gt;=10000000,IFERROR(DATE(INT($AR203/10000),MOD(INT($AR203/100),100),MOD($AR203,100)),""),INT($AR203)),IFERROR(DATE(--LEFT(LEFT(SUBSTITUTE(SUBSTITUTE(SUBSTITUTE(SUBSTITUTE(TRIM($AR203),"-",""),".",""),"/","")," ",""),8),4),--MID(LEFT(SUBSTITUTE(SUBSTITUTE(SUBSTITUTE(SUBSTITUTE(TRIM($AR203),"-",""),".",""),"/","")," ",""),8),5,2),--MID(LEFT(SUBSTITUTE(SUBSTITUTE(SUBSTITUTE(SUBSTITUTE(TRIM($AR203),"-",""),".",""),"/","")," ",""),8),7,2)),"")))</f>
        <v/>
      </c>
      <c r="AT203" s="33">
        <f>IF($AS203="","",IF($F$6="",0,IF(ISNUMBER(INDEX($A:$AP,ROW(),$F$6)),INDEX($A:$AP,ROW(),$F$6),IFERROR(--SUBSTITUTE(SUBSTITUTE(TRIM(INDEX($A:$AP,ROW(),$F$6)),",",""),"원",""),0))))</f>
        <v/>
      </c>
      <c r="AU203" s="31">
        <f>IF($AS203="","",IF($AX203&lt;&gt;"",SUBSTITUTE(SUBSTITUTE($AX203,"-","")," ",""),"N:"&amp;$AV203))</f>
        <v/>
      </c>
      <c r="AV203" s="31">
        <f>IF(OR($AS203="",$E$6=""),"",TRIM(INDEX($A:$AP,ROW(),$E$6)&amp;""))</f>
        <v/>
      </c>
      <c r="AW203" s="31">
        <f>IF($AU203="","",IF(MATCH($AU203,$AU$8:$AU$2007,0)=ROW()-7,MAX($AW$7:$AW202)+1,""))</f>
        <v/>
      </c>
      <c r="AX203" s="31">
        <f>IF(OR($AS203="",$D$6=""),"",TRIM(INDEX($A:$AP,ROW(),$D$6)&amp;""))</f>
        <v/>
      </c>
      <c r="AY203" s="31">
        <f>IF($AU203="","",INDEX($AW$8:$AW$2007,MATCH($AU203,$AU$8:$AU$2007,0)))</f>
        <v/>
      </c>
      <c r="AZ203" s="31">
        <f>IF(OR($AS203="",$C$6=""),"",TRIM(INDEX($A:$AP,ROW(),$C$6)&amp;""))</f>
        <v/>
      </c>
      <c r="BA203" s="31">
        <f>IF($AZ203="","",IF(COUNTIF($AZ$8:$AZ203,$AZ203)&gt;1,1,0))</f>
        <v/>
      </c>
    </row>
    <row r="204">
      <c r="AR204" s="31">
        <f>IF(OR($A$5="",$B$6="",ROW()&lt;$A$5),"",IF(INDEX($A:$AP,ROW(),$B$6)="","",INDEX($A:$AP,ROW(),$B$6)))</f>
        <v/>
      </c>
      <c r="AS204" s="32">
        <f>IF($AR204="","",IF(ISNUMBER($AR204),IF($AR204&gt;=10000000,IFERROR(DATE(INT($AR204/10000),MOD(INT($AR204/100),100),MOD($AR204,100)),""),INT($AR204)),IFERROR(DATE(--LEFT(LEFT(SUBSTITUTE(SUBSTITUTE(SUBSTITUTE(SUBSTITUTE(TRIM($AR204),"-",""),".",""),"/","")," ",""),8),4),--MID(LEFT(SUBSTITUTE(SUBSTITUTE(SUBSTITUTE(SUBSTITUTE(TRIM($AR204),"-",""),".",""),"/","")," ",""),8),5,2),--MID(LEFT(SUBSTITUTE(SUBSTITUTE(SUBSTITUTE(SUBSTITUTE(TRIM($AR204),"-",""),".",""),"/","")," ",""),8),7,2)),"")))</f>
        <v/>
      </c>
      <c r="AT204" s="33">
        <f>IF($AS204="","",IF($F$6="",0,IF(ISNUMBER(INDEX($A:$AP,ROW(),$F$6)),INDEX($A:$AP,ROW(),$F$6),IFERROR(--SUBSTITUTE(SUBSTITUTE(TRIM(INDEX($A:$AP,ROW(),$F$6)),",",""),"원",""),0))))</f>
        <v/>
      </c>
      <c r="AU204" s="31">
        <f>IF($AS204="","",IF($AX204&lt;&gt;"",SUBSTITUTE(SUBSTITUTE($AX204,"-","")," ",""),"N:"&amp;$AV204))</f>
        <v/>
      </c>
      <c r="AV204" s="31">
        <f>IF(OR($AS204="",$E$6=""),"",TRIM(INDEX($A:$AP,ROW(),$E$6)&amp;""))</f>
        <v/>
      </c>
      <c r="AW204" s="31">
        <f>IF($AU204="","",IF(MATCH($AU204,$AU$8:$AU$2007,0)=ROW()-7,MAX($AW$7:$AW203)+1,""))</f>
        <v/>
      </c>
      <c r="AX204" s="31">
        <f>IF(OR($AS204="",$D$6=""),"",TRIM(INDEX($A:$AP,ROW(),$D$6)&amp;""))</f>
        <v/>
      </c>
      <c r="AY204" s="31">
        <f>IF($AU204="","",INDEX($AW$8:$AW$2007,MATCH($AU204,$AU$8:$AU$2007,0)))</f>
        <v/>
      </c>
      <c r="AZ204" s="31">
        <f>IF(OR($AS204="",$C$6=""),"",TRIM(INDEX($A:$AP,ROW(),$C$6)&amp;""))</f>
        <v/>
      </c>
      <c r="BA204" s="31">
        <f>IF($AZ204="","",IF(COUNTIF($AZ$8:$AZ204,$AZ204)&gt;1,1,0))</f>
        <v/>
      </c>
    </row>
    <row r="205">
      <c r="AR205" s="31">
        <f>IF(OR($A$5="",$B$6="",ROW()&lt;$A$5),"",IF(INDEX($A:$AP,ROW(),$B$6)="","",INDEX($A:$AP,ROW(),$B$6)))</f>
        <v/>
      </c>
      <c r="AS205" s="32">
        <f>IF($AR205="","",IF(ISNUMBER($AR205),IF($AR205&gt;=10000000,IFERROR(DATE(INT($AR205/10000),MOD(INT($AR205/100),100),MOD($AR205,100)),""),INT($AR205)),IFERROR(DATE(--LEFT(LEFT(SUBSTITUTE(SUBSTITUTE(SUBSTITUTE(SUBSTITUTE(TRIM($AR205),"-",""),".",""),"/","")," ",""),8),4),--MID(LEFT(SUBSTITUTE(SUBSTITUTE(SUBSTITUTE(SUBSTITUTE(TRIM($AR205),"-",""),".",""),"/","")," ",""),8),5,2),--MID(LEFT(SUBSTITUTE(SUBSTITUTE(SUBSTITUTE(SUBSTITUTE(TRIM($AR205),"-",""),".",""),"/","")," ",""),8),7,2)),"")))</f>
        <v/>
      </c>
      <c r="AT205" s="33">
        <f>IF($AS205="","",IF($F$6="",0,IF(ISNUMBER(INDEX($A:$AP,ROW(),$F$6)),INDEX($A:$AP,ROW(),$F$6),IFERROR(--SUBSTITUTE(SUBSTITUTE(TRIM(INDEX($A:$AP,ROW(),$F$6)),",",""),"원",""),0))))</f>
        <v/>
      </c>
      <c r="AU205" s="31">
        <f>IF($AS205="","",IF($AX205&lt;&gt;"",SUBSTITUTE(SUBSTITUTE($AX205,"-","")," ",""),"N:"&amp;$AV205))</f>
        <v/>
      </c>
      <c r="AV205" s="31">
        <f>IF(OR($AS205="",$E$6=""),"",TRIM(INDEX($A:$AP,ROW(),$E$6)&amp;""))</f>
        <v/>
      </c>
      <c r="AW205" s="31">
        <f>IF($AU205="","",IF(MATCH($AU205,$AU$8:$AU$2007,0)=ROW()-7,MAX($AW$7:$AW204)+1,""))</f>
        <v/>
      </c>
      <c r="AX205" s="31">
        <f>IF(OR($AS205="",$D$6=""),"",TRIM(INDEX($A:$AP,ROW(),$D$6)&amp;""))</f>
        <v/>
      </c>
      <c r="AY205" s="31">
        <f>IF($AU205="","",INDEX($AW$8:$AW$2007,MATCH($AU205,$AU$8:$AU$2007,0)))</f>
        <v/>
      </c>
      <c r="AZ205" s="31">
        <f>IF(OR($AS205="",$C$6=""),"",TRIM(INDEX($A:$AP,ROW(),$C$6)&amp;""))</f>
        <v/>
      </c>
      <c r="BA205" s="31">
        <f>IF($AZ205="","",IF(COUNTIF($AZ$8:$AZ205,$AZ205)&gt;1,1,0))</f>
        <v/>
      </c>
    </row>
    <row r="206">
      <c r="AR206" s="31">
        <f>IF(OR($A$5="",$B$6="",ROW()&lt;$A$5),"",IF(INDEX($A:$AP,ROW(),$B$6)="","",INDEX($A:$AP,ROW(),$B$6)))</f>
        <v/>
      </c>
      <c r="AS206" s="32">
        <f>IF($AR206="","",IF(ISNUMBER($AR206),IF($AR206&gt;=10000000,IFERROR(DATE(INT($AR206/10000),MOD(INT($AR206/100),100),MOD($AR206,100)),""),INT($AR206)),IFERROR(DATE(--LEFT(LEFT(SUBSTITUTE(SUBSTITUTE(SUBSTITUTE(SUBSTITUTE(TRIM($AR206),"-",""),".",""),"/","")," ",""),8),4),--MID(LEFT(SUBSTITUTE(SUBSTITUTE(SUBSTITUTE(SUBSTITUTE(TRIM($AR206),"-",""),".",""),"/","")," ",""),8),5,2),--MID(LEFT(SUBSTITUTE(SUBSTITUTE(SUBSTITUTE(SUBSTITUTE(TRIM($AR206),"-",""),".",""),"/","")," ",""),8),7,2)),"")))</f>
        <v/>
      </c>
      <c r="AT206" s="33">
        <f>IF($AS206="","",IF($F$6="",0,IF(ISNUMBER(INDEX($A:$AP,ROW(),$F$6)),INDEX($A:$AP,ROW(),$F$6),IFERROR(--SUBSTITUTE(SUBSTITUTE(TRIM(INDEX($A:$AP,ROW(),$F$6)),",",""),"원",""),0))))</f>
        <v/>
      </c>
      <c r="AU206" s="31">
        <f>IF($AS206="","",IF($AX206&lt;&gt;"",SUBSTITUTE(SUBSTITUTE($AX206,"-","")," ",""),"N:"&amp;$AV206))</f>
        <v/>
      </c>
      <c r="AV206" s="31">
        <f>IF(OR($AS206="",$E$6=""),"",TRIM(INDEX($A:$AP,ROW(),$E$6)&amp;""))</f>
        <v/>
      </c>
      <c r="AW206" s="31">
        <f>IF($AU206="","",IF(MATCH($AU206,$AU$8:$AU$2007,0)=ROW()-7,MAX($AW$7:$AW205)+1,""))</f>
        <v/>
      </c>
      <c r="AX206" s="31">
        <f>IF(OR($AS206="",$D$6=""),"",TRIM(INDEX($A:$AP,ROW(),$D$6)&amp;""))</f>
        <v/>
      </c>
      <c r="AY206" s="31">
        <f>IF($AU206="","",INDEX($AW$8:$AW$2007,MATCH($AU206,$AU$8:$AU$2007,0)))</f>
        <v/>
      </c>
      <c r="AZ206" s="31">
        <f>IF(OR($AS206="",$C$6=""),"",TRIM(INDEX($A:$AP,ROW(),$C$6)&amp;""))</f>
        <v/>
      </c>
      <c r="BA206" s="31">
        <f>IF($AZ206="","",IF(COUNTIF($AZ$8:$AZ206,$AZ206)&gt;1,1,0))</f>
        <v/>
      </c>
    </row>
    <row r="207">
      <c r="AR207" s="31">
        <f>IF(OR($A$5="",$B$6="",ROW()&lt;$A$5),"",IF(INDEX($A:$AP,ROW(),$B$6)="","",INDEX($A:$AP,ROW(),$B$6)))</f>
        <v/>
      </c>
      <c r="AS207" s="32">
        <f>IF($AR207="","",IF(ISNUMBER($AR207),IF($AR207&gt;=10000000,IFERROR(DATE(INT($AR207/10000),MOD(INT($AR207/100),100),MOD($AR207,100)),""),INT($AR207)),IFERROR(DATE(--LEFT(LEFT(SUBSTITUTE(SUBSTITUTE(SUBSTITUTE(SUBSTITUTE(TRIM($AR207),"-",""),".",""),"/","")," ",""),8),4),--MID(LEFT(SUBSTITUTE(SUBSTITUTE(SUBSTITUTE(SUBSTITUTE(TRIM($AR207),"-",""),".",""),"/","")," ",""),8),5,2),--MID(LEFT(SUBSTITUTE(SUBSTITUTE(SUBSTITUTE(SUBSTITUTE(TRIM($AR207),"-",""),".",""),"/","")," ",""),8),7,2)),"")))</f>
        <v/>
      </c>
      <c r="AT207" s="33">
        <f>IF($AS207="","",IF($F$6="",0,IF(ISNUMBER(INDEX($A:$AP,ROW(),$F$6)),INDEX($A:$AP,ROW(),$F$6),IFERROR(--SUBSTITUTE(SUBSTITUTE(TRIM(INDEX($A:$AP,ROW(),$F$6)),",",""),"원",""),0))))</f>
        <v/>
      </c>
      <c r="AU207" s="31">
        <f>IF($AS207="","",IF($AX207&lt;&gt;"",SUBSTITUTE(SUBSTITUTE($AX207,"-","")," ",""),"N:"&amp;$AV207))</f>
        <v/>
      </c>
      <c r="AV207" s="31">
        <f>IF(OR($AS207="",$E$6=""),"",TRIM(INDEX($A:$AP,ROW(),$E$6)&amp;""))</f>
        <v/>
      </c>
      <c r="AW207" s="31">
        <f>IF($AU207="","",IF(MATCH($AU207,$AU$8:$AU$2007,0)=ROW()-7,MAX($AW$7:$AW206)+1,""))</f>
        <v/>
      </c>
      <c r="AX207" s="31">
        <f>IF(OR($AS207="",$D$6=""),"",TRIM(INDEX($A:$AP,ROW(),$D$6)&amp;""))</f>
        <v/>
      </c>
      <c r="AY207" s="31">
        <f>IF($AU207="","",INDEX($AW$8:$AW$2007,MATCH($AU207,$AU$8:$AU$2007,0)))</f>
        <v/>
      </c>
      <c r="AZ207" s="31">
        <f>IF(OR($AS207="",$C$6=""),"",TRIM(INDEX($A:$AP,ROW(),$C$6)&amp;""))</f>
        <v/>
      </c>
      <c r="BA207" s="31">
        <f>IF($AZ207="","",IF(COUNTIF($AZ$8:$AZ207,$AZ207)&gt;1,1,0))</f>
        <v/>
      </c>
    </row>
    <row r="208">
      <c r="AR208" s="31">
        <f>IF(OR($A$5="",$B$6="",ROW()&lt;$A$5),"",IF(INDEX($A:$AP,ROW(),$B$6)="","",INDEX($A:$AP,ROW(),$B$6)))</f>
        <v/>
      </c>
      <c r="AS208" s="32">
        <f>IF($AR208="","",IF(ISNUMBER($AR208),IF($AR208&gt;=10000000,IFERROR(DATE(INT($AR208/10000),MOD(INT($AR208/100),100),MOD($AR208,100)),""),INT($AR208)),IFERROR(DATE(--LEFT(LEFT(SUBSTITUTE(SUBSTITUTE(SUBSTITUTE(SUBSTITUTE(TRIM($AR208),"-",""),".",""),"/","")," ",""),8),4),--MID(LEFT(SUBSTITUTE(SUBSTITUTE(SUBSTITUTE(SUBSTITUTE(TRIM($AR208),"-",""),".",""),"/","")," ",""),8),5,2),--MID(LEFT(SUBSTITUTE(SUBSTITUTE(SUBSTITUTE(SUBSTITUTE(TRIM($AR208),"-",""),".",""),"/","")," ",""),8),7,2)),"")))</f>
        <v/>
      </c>
      <c r="AT208" s="33">
        <f>IF($AS208="","",IF($F$6="",0,IF(ISNUMBER(INDEX($A:$AP,ROW(),$F$6)),INDEX($A:$AP,ROW(),$F$6),IFERROR(--SUBSTITUTE(SUBSTITUTE(TRIM(INDEX($A:$AP,ROW(),$F$6)),",",""),"원",""),0))))</f>
        <v/>
      </c>
      <c r="AU208" s="31">
        <f>IF($AS208="","",IF($AX208&lt;&gt;"",SUBSTITUTE(SUBSTITUTE($AX208,"-","")," ",""),"N:"&amp;$AV208))</f>
        <v/>
      </c>
      <c r="AV208" s="31">
        <f>IF(OR($AS208="",$E$6=""),"",TRIM(INDEX($A:$AP,ROW(),$E$6)&amp;""))</f>
        <v/>
      </c>
      <c r="AW208" s="31">
        <f>IF($AU208="","",IF(MATCH($AU208,$AU$8:$AU$2007,0)=ROW()-7,MAX($AW$7:$AW207)+1,""))</f>
        <v/>
      </c>
      <c r="AX208" s="31">
        <f>IF(OR($AS208="",$D$6=""),"",TRIM(INDEX($A:$AP,ROW(),$D$6)&amp;""))</f>
        <v/>
      </c>
      <c r="AY208" s="31">
        <f>IF($AU208="","",INDEX($AW$8:$AW$2007,MATCH($AU208,$AU$8:$AU$2007,0)))</f>
        <v/>
      </c>
      <c r="AZ208" s="31">
        <f>IF(OR($AS208="",$C$6=""),"",TRIM(INDEX($A:$AP,ROW(),$C$6)&amp;""))</f>
        <v/>
      </c>
      <c r="BA208" s="31">
        <f>IF($AZ208="","",IF(COUNTIF($AZ$8:$AZ208,$AZ208)&gt;1,1,0))</f>
        <v/>
      </c>
    </row>
    <row r="209">
      <c r="AR209" s="31">
        <f>IF(OR($A$5="",$B$6="",ROW()&lt;$A$5),"",IF(INDEX($A:$AP,ROW(),$B$6)="","",INDEX($A:$AP,ROW(),$B$6)))</f>
        <v/>
      </c>
      <c r="AS209" s="32">
        <f>IF($AR209="","",IF(ISNUMBER($AR209),IF($AR209&gt;=10000000,IFERROR(DATE(INT($AR209/10000),MOD(INT($AR209/100),100),MOD($AR209,100)),""),INT($AR209)),IFERROR(DATE(--LEFT(LEFT(SUBSTITUTE(SUBSTITUTE(SUBSTITUTE(SUBSTITUTE(TRIM($AR209),"-",""),".",""),"/","")," ",""),8),4),--MID(LEFT(SUBSTITUTE(SUBSTITUTE(SUBSTITUTE(SUBSTITUTE(TRIM($AR209),"-",""),".",""),"/","")," ",""),8),5,2),--MID(LEFT(SUBSTITUTE(SUBSTITUTE(SUBSTITUTE(SUBSTITUTE(TRIM($AR209),"-",""),".",""),"/","")," ",""),8),7,2)),"")))</f>
        <v/>
      </c>
      <c r="AT209" s="33">
        <f>IF($AS209="","",IF($F$6="",0,IF(ISNUMBER(INDEX($A:$AP,ROW(),$F$6)),INDEX($A:$AP,ROW(),$F$6),IFERROR(--SUBSTITUTE(SUBSTITUTE(TRIM(INDEX($A:$AP,ROW(),$F$6)),",",""),"원",""),0))))</f>
        <v/>
      </c>
      <c r="AU209" s="31">
        <f>IF($AS209="","",IF($AX209&lt;&gt;"",SUBSTITUTE(SUBSTITUTE($AX209,"-","")," ",""),"N:"&amp;$AV209))</f>
        <v/>
      </c>
      <c r="AV209" s="31">
        <f>IF(OR($AS209="",$E$6=""),"",TRIM(INDEX($A:$AP,ROW(),$E$6)&amp;""))</f>
        <v/>
      </c>
      <c r="AW209" s="31">
        <f>IF($AU209="","",IF(MATCH($AU209,$AU$8:$AU$2007,0)=ROW()-7,MAX($AW$7:$AW208)+1,""))</f>
        <v/>
      </c>
      <c r="AX209" s="31">
        <f>IF(OR($AS209="",$D$6=""),"",TRIM(INDEX($A:$AP,ROW(),$D$6)&amp;""))</f>
        <v/>
      </c>
      <c r="AY209" s="31">
        <f>IF($AU209="","",INDEX($AW$8:$AW$2007,MATCH($AU209,$AU$8:$AU$2007,0)))</f>
        <v/>
      </c>
      <c r="AZ209" s="31">
        <f>IF(OR($AS209="",$C$6=""),"",TRIM(INDEX($A:$AP,ROW(),$C$6)&amp;""))</f>
        <v/>
      </c>
      <c r="BA209" s="31">
        <f>IF($AZ209="","",IF(COUNTIF($AZ$8:$AZ209,$AZ209)&gt;1,1,0))</f>
        <v/>
      </c>
    </row>
    <row r="210">
      <c r="AR210" s="31">
        <f>IF(OR($A$5="",$B$6="",ROW()&lt;$A$5),"",IF(INDEX($A:$AP,ROW(),$B$6)="","",INDEX($A:$AP,ROW(),$B$6)))</f>
        <v/>
      </c>
      <c r="AS210" s="32">
        <f>IF($AR210="","",IF(ISNUMBER($AR210),IF($AR210&gt;=10000000,IFERROR(DATE(INT($AR210/10000),MOD(INT($AR210/100),100),MOD($AR210,100)),""),INT($AR210)),IFERROR(DATE(--LEFT(LEFT(SUBSTITUTE(SUBSTITUTE(SUBSTITUTE(SUBSTITUTE(TRIM($AR210),"-",""),".",""),"/","")," ",""),8),4),--MID(LEFT(SUBSTITUTE(SUBSTITUTE(SUBSTITUTE(SUBSTITUTE(TRIM($AR210),"-",""),".",""),"/","")," ",""),8),5,2),--MID(LEFT(SUBSTITUTE(SUBSTITUTE(SUBSTITUTE(SUBSTITUTE(TRIM($AR210),"-",""),".",""),"/","")," ",""),8),7,2)),"")))</f>
        <v/>
      </c>
      <c r="AT210" s="33">
        <f>IF($AS210="","",IF($F$6="",0,IF(ISNUMBER(INDEX($A:$AP,ROW(),$F$6)),INDEX($A:$AP,ROW(),$F$6),IFERROR(--SUBSTITUTE(SUBSTITUTE(TRIM(INDEX($A:$AP,ROW(),$F$6)),",",""),"원",""),0))))</f>
        <v/>
      </c>
      <c r="AU210" s="31">
        <f>IF($AS210="","",IF($AX210&lt;&gt;"",SUBSTITUTE(SUBSTITUTE($AX210,"-","")," ",""),"N:"&amp;$AV210))</f>
        <v/>
      </c>
      <c r="AV210" s="31">
        <f>IF(OR($AS210="",$E$6=""),"",TRIM(INDEX($A:$AP,ROW(),$E$6)&amp;""))</f>
        <v/>
      </c>
      <c r="AW210" s="31">
        <f>IF($AU210="","",IF(MATCH($AU210,$AU$8:$AU$2007,0)=ROW()-7,MAX($AW$7:$AW209)+1,""))</f>
        <v/>
      </c>
      <c r="AX210" s="31">
        <f>IF(OR($AS210="",$D$6=""),"",TRIM(INDEX($A:$AP,ROW(),$D$6)&amp;""))</f>
        <v/>
      </c>
      <c r="AY210" s="31">
        <f>IF($AU210="","",INDEX($AW$8:$AW$2007,MATCH($AU210,$AU$8:$AU$2007,0)))</f>
        <v/>
      </c>
      <c r="AZ210" s="31">
        <f>IF(OR($AS210="",$C$6=""),"",TRIM(INDEX($A:$AP,ROW(),$C$6)&amp;""))</f>
        <v/>
      </c>
      <c r="BA210" s="31">
        <f>IF($AZ210="","",IF(COUNTIF($AZ$8:$AZ210,$AZ210)&gt;1,1,0))</f>
        <v/>
      </c>
    </row>
    <row r="211">
      <c r="AR211" s="31">
        <f>IF(OR($A$5="",$B$6="",ROW()&lt;$A$5),"",IF(INDEX($A:$AP,ROW(),$B$6)="","",INDEX($A:$AP,ROW(),$B$6)))</f>
        <v/>
      </c>
      <c r="AS211" s="32">
        <f>IF($AR211="","",IF(ISNUMBER($AR211),IF($AR211&gt;=10000000,IFERROR(DATE(INT($AR211/10000),MOD(INT($AR211/100),100),MOD($AR211,100)),""),INT($AR211)),IFERROR(DATE(--LEFT(LEFT(SUBSTITUTE(SUBSTITUTE(SUBSTITUTE(SUBSTITUTE(TRIM($AR211),"-",""),".",""),"/","")," ",""),8),4),--MID(LEFT(SUBSTITUTE(SUBSTITUTE(SUBSTITUTE(SUBSTITUTE(TRIM($AR211),"-",""),".",""),"/","")," ",""),8),5,2),--MID(LEFT(SUBSTITUTE(SUBSTITUTE(SUBSTITUTE(SUBSTITUTE(TRIM($AR211),"-",""),".",""),"/","")," ",""),8),7,2)),"")))</f>
        <v/>
      </c>
      <c r="AT211" s="33">
        <f>IF($AS211="","",IF($F$6="",0,IF(ISNUMBER(INDEX($A:$AP,ROW(),$F$6)),INDEX($A:$AP,ROW(),$F$6),IFERROR(--SUBSTITUTE(SUBSTITUTE(TRIM(INDEX($A:$AP,ROW(),$F$6)),",",""),"원",""),0))))</f>
        <v/>
      </c>
      <c r="AU211" s="31">
        <f>IF($AS211="","",IF($AX211&lt;&gt;"",SUBSTITUTE(SUBSTITUTE($AX211,"-","")," ",""),"N:"&amp;$AV211))</f>
        <v/>
      </c>
      <c r="AV211" s="31">
        <f>IF(OR($AS211="",$E$6=""),"",TRIM(INDEX($A:$AP,ROW(),$E$6)&amp;""))</f>
        <v/>
      </c>
      <c r="AW211" s="31">
        <f>IF($AU211="","",IF(MATCH($AU211,$AU$8:$AU$2007,0)=ROW()-7,MAX($AW$7:$AW210)+1,""))</f>
        <v/>
      </c>
      <c r="AX211" s="31">
        <f>IF(OR($AS211="",$D$6=""),"",TRIM(INDEX($A:$AP,ROW(),$D$6)&amp;""))</f>
        <v/>
      </c>
      <c r="AY211" s="31">
        <f>IF($AU211="","",INDEX($AW$8:$AW$2007,MATCH($AU211,$AU$8:$AU$2007,0)))</f>
        <v/>
      </c>
      <c r="AZ211" s="31">
        <f>IF(OR($AS211="",$C$6=""),"",TRIM(INDEX($A:$AP,ROW(),$C$6)&amp;""))</f>
        <v/>
      </c>
      <c r="BA211" s="31">
        <f>IF($AZ211="","",IF(COUNTIF($AZ$8:$AZ211,$AZ211)&gt;1,1,0))</f>
        <v/>
      </c>
    </row>
    <row r="212">
      <c r="AR212" s="31">
        <f>IF(OR($A$5="",$B$6="",ROW()&lt;$A$5),"",IF(INDEX($A:$AP,ROW(),$B$6)="","",INDEX($A:$AP,ROW(),$B$6)))</f>
        <v/>
      </c>
      <c r="AS212" s="32">
        <f>IF($AR212="","",IF(ISNUMBER($AR212),IF($AR212&gt;=10000000,IFERROR(DATE(INT($AR212/10000),MOD(INT($AR212/100),100),MOD($AR212,100)),""),INT($AR212)),IFERROR(DATE(--LEFT(LEFT(SUBSTITUTE(SUBSTITUTE(SUBSTITUTE(SUBSTITUTE(TRIM($AR212),"-",""),".",""),"/","")," ",""),8),4),--MID(LEFT(SUBSTITUTE(SUBSTITUTE(SUBSTITUTE(SUBSTITUTE(TRIM($AR212),"-",""),".",""),"/","")," ",""),8),5,2),--MID(LEFT(SUBSTITUTE(SUBSTITUTE(SUBSTITUTE(SUBSTITUTE(TRIM($AR212),"-",""),".",""),"/","")," ",""),8),7,2)),"")))</f>
        <v/>
      </c>
      <c r="AT212" s="33">
        <f>IF($AS212="","",IF($F$6="",0,IF(ISNUMBER(INDEX($A:$AP,ROW(),$F$6)),INDEX($A:$AP,ROW(),$F$6),IFERROR(--SUBSTITUTE(SUBSTITUTE(TRIM(INDEX($A:$AP,ROW(),$F$6)),",",""),"원",""),0))))</f>
        <v/>
      </c>
      <c r="AU212" s="31">
        <f>IF($AS212="","",IF($AX212&lt;&gt;"",SUBSTITUTE(SUBSTITUTE($AX212,"-","")," ",""),"N:"&amp;$AV212))</f>
        <v/>
      </c>
      <c r="AV212" s="31">
        <f>IF(OR($AS212="",$E$6=""),"",TRIM(INDEX($A:$AP,ROW(),$E$6)&amp;""))</f>
        <v/>
      </c>
      <c r="AW212" s="31">
        <f>IF($AU212="","",IF(MATCH($AU212,$AU$8:$AU$2007,0)=ROW()-7,MAX($AW$7:$AW211)+1,""))</f>
        <v/>
      </c>
      <c r="AX212" s="31">
        <f>IF(OR($AS212="",$D$6=""),"",TRIM(INDEX($A:$AP,ROW(),$D$6)&amp;""))</f>
        <v/>
      </c>
      <c r="AY212" s="31">
        <f>IF($AU212="","",INDEX($AW$8:$AW$2007,MATCH($AU212,$AU$8:$AU$2007,0)))</f>
        <v/>
      </c>
      <c r="AZ212" s="31">
        <f>IF(OR($AS212="",$C$6=""),"",TRIM(INDEX($A:$AP,ROW(),$C$6)&amp;""))</f>
        <v/>
      </c>
      <c r="BA212" s="31">
        <f>IF($AZ212="","",IF(COUNTIF($AZ$8:$AZ212,$AZ212)&gt;1,1,0))</f>
        <v/>
      </c>
    </row>
    <row r="213">
      <c r="AR213" s="31">
        <f>IF(OR($A$5="",$B$6="",ROW()&lt;$A$5),"",IF(INDEX($A:$AP,ROW(),$B$6)="","",INDEX($A:$AP,ROW(),$B$6)))</f>
        <v/>
      </c>
      <c r="AS213" s="32">
        <f>IF($AR213="","",IF(ISNUMBER($AR213),IF($AR213&gt;=10000000,IFERROR(DATE(INT($AR213/10000),MOD(INT($AR213/100),100),MOD($AR213,100)),""),INT($AR213)),IFERROR(DATE(--LEFT(LEFT(SUBSTITUTE(SUBSTITUTE(SUBSTITUTE(SUBSTITUTE(TRIM($AR213),"-",""),".",""),"/","")," ",""),8),4),--MID(LEFT(SUBSTITUTE(SUBSTITUTE(SUBSTITUTE(SUBSTITUTE(TRIM($AR213),"-",""),".",""),"/","")," ",""),8),5,2),--MID(LEFT(SUBSTITUTE(SUBSTITUTE(SUBSTITUTE(SUBSTITUTE(TRIM($AR213),"-",""),".",""),"/","")," ",""),8),7,2)),"")))</f>
        <v/>
      </c>
      <c r="AT213" s="33">
        <f>IF($AS213="","",IF($F$6="",0,IF(ISNUMBER(INDEX($A:$AP,ROW(),$F$6)),INDEX($A:$AP,ROW(),$F$6),IFERROR(--SUBSTITUTE(SUBSTITUTE(TRIM(INDEX($A:$AP,ROW(),$F$6)),",",""),"원",""),0))))</f>
        <v/>
      </c>
      <c r="AU213" s="31">
        <f>IF($AS213="","",IF($AX213&lt;&gt;"",SUBSTITUTE(SUBSTITUTE($AX213,"-","")," ",""),"N:"&amp;$AV213))</f>
        <v/>
      </c>
      <c r="AV213" s="31">
        <f>IF(OR($AS213="",$E$6=""),"",TRIM(INDEX($A:$AP,ROW(),$E$6)&amp;""))</f>
        <v/>
      </c>
      <c r="AW213" s="31">
        <f>IF($AU213="","",IF(MATCH($AU213,$AU$8:$AU$2007,0)=ROW()-7,MAX($AW$7:$AW212)+1,""))</f>
        <v/>
      </c>
      <c r="AX213" s="31">
        <f>IF(OR($AS213="",$D$6=""),"",TRIM(INDEX($A:$AP,ROW(),$D$6)&amp;""))</f>
        <v/>
      </c>
      <c r="AY213" s="31">
        <f>IF($AU213="","",INDEX($AW$8:$AW$2007,MATCH($AU213,$AU$8:$AU$2007,0)))</f>
        <v/>
      </c>
      <c r="AZ213" s="31">
        <f>IF(OR($AS213="",$C$6=""),"",TRIM(INDEX($A:$AP,ROW(),$C$6)&amp;""))</f>
        <v/>
      </c>
      <c r="BA213" s="31">
        <f>IF($AZ213="","",IF(COUNTIF($AZ$8:$AZ213,$AZ213)&gt;1,1,0))</f>
        <v/>
      </c>
    </row>
    <row r="214">
      <c r="AR214" s="31">
        <f>IF(OR($A$5="",$B$6="",ROW()&lt;$A$5),"",IF(INDEX($A:$AP,ROW(),$B$6)="","",INDEX($A:$AP,ROW(),$B$6)))</f>
        <v/>
      </c>
      <c r="AS214" s="32">
        <f>IF($AR214="","",IF(ISNUMBER($AR214),IF($AR214&gt;=10000000,IFERROR(DATE(INT($AR214/10000),MOD(INT($AR214/100),100),MOD($AR214,100)),""),INT($AR214)),IFERROR(DATE(--LEFT(LEFT(SUBSTITUTE(SUBSTITUTE(SUBSTITUTE(SUBSTITUTE(TRIM($AR214),"-",""),".",""),"/","")," ",""),8),4),--MID(LEFT(SUBSTITUTE(SUBSTITUTE(SUBSTITUTE(SUBSTITUTE(TRIM($AR214),"-",""),".",""),"/","")," ",""),8),5,2),--MID(LEFT(SUBSTITUTE(SUBSTITUTE(SUBSTITUTE(SUBSTITUTE(TRIM($AR214),"-",""),".",""),"/","")," ",""),8),7,2)),"")))</f>
        <v/>
      </c>
      <c r="AT214" s="33">
        <f>IF($AS214="","",IF($F$6="",0,IF(ISNUMBER(INDEX($A:$AP,ROW(),$F$6)),INDEX($A:$AP,ROW(),$F$6),IFERROR(--SUBSTITUTE(SUBSTITUTE(TRIM(INDEX($A:$AP,ROW(),$F$6)),",",""),"원",""),0))))</f>
        <v/>
      </c>
      <c r="AU214" s="31">
        <f>IF($AS214="","",IF($AX214&lt;&gt;"",SUBSTITUTE(SUBSTITUTE($AX214,"-","")," ",""),"N:"&amp;$AV214))</f>
        <v/>
      </c>
      <c r="AV214" s="31">
        <f>IF(OR($AS214="",$E$6=""),"",TRIM(INDEX($A:$AP,ROW(),$E$6)&amp;""))</f>
        <v/>
      </c>
      <c r="AW214" s="31">
        <f>IF($AU214="","",IF(MATCH($AU214,$AU$8:$AU$2007,0)=ROW()-7,MAX($AW$7:$AW213)+1,""))</f>
        <v/>
      </c>
      <c r="AX214" s="31">
        <f>IF(OR($AS214="",$D$6=""),"",TRIM(INDEX($A:$AP,ROW(),$D$6)&amp;""))</f>
        <v/>
      </c>
      <c r="AY214" s="31">
        <f>IF($AU214="","",INDEX($AW$8:$AW$2007,MATCH($AU214,$AU$8:$AU$2007,0)))</f>
        <v/>
      </c>
      <c r="AZ214" s="31">
        <f>IF(OR($AS214="",$C$6=""),"",TRIM(INDEX($A:$AP,ROW(),$C$6)&amp;""))</f>
        <v/>
      </c>
      <c r="BA214" s="31">
        <f>IF($AZ214="","",IF(COUNTIF($AZ$8:$AZ214,$AZ214)&gt;1,1,0))</f>
        <v/>
      </c>
    </row>
    <row r="215">
      <c r="AR215" s="31">
        <f>IF(OR($A$5="",$B$6="",ROW()&lt;$A$5),"",IF(INDEX($A:$AP,ROW(),$B$6)="","",INDEX($A:$AP,ROW(),$B$6)))</f>
        <v/>
      </c>
      <c r="AS215" s="32">
        <f>IF($AR215="","",IF(ISNUMBER($AR215),IF($AR215&gt;=10000000,IFERROR(DATE(INT($AR215/10000),MOD(INT($AR215/100),100),MOD($AR215,100)),""),INT($AR215)),IFERROR(DATE(--LEFT(LEFT(SUBSTITUTE(SUBSTITUTE(SUBSTITUTE(SUBSTITUTE(TRIM($AR215),"-",""),".",""),"/","")," ",""),8),4),--MID(LEFT(SUBSTITUTE(SUBSTITUTE(SUBSTITUTE(SUBSTITUTE(TRIM($AR215),"-",""),".",""),"/","")," ",""),8),5,2),--MID(LEFT(SUBSTITUTE(SUBSTITUTE(SUBSTITUTE(SUBSTITUTE(TRIM($AR215),"-",""),".",""),"/","")," ",""),8),7,2)),"")))</f>
        <v/>
      </c>
      <c r="AT215" s="33">
        <f>IF($AS215="","",IF($F$6="",0,IF(ISNUMBER(INDEX($A:$AP,ROW(),$F$6)),INDEX($A:$AP,ROW(),$F$6),IFERROR(--SUBSTITUTE(SUBSTITUTE(TRIM(INDEX($A:$AP,ROW(),$F$6)),",",""),"원",""),0))))</f>
        <v/>
      </c>
      <c r="AU215" s="31">
        <f>IF($AS215="","",IF($AX215&lt;&gt;"",SUBSTITUTE(SUBSTITUTE($AX215,"-","")," ",""),"N:"&amp;$AV215))</f>
        <v/>
      </c>
      <c r="AV215" s="31">
        <f>IF(OR($AS215="",$E$6=""),"",TRIM(INDEX($A:$AP,ROW(),$E$6)&amp;""))</f>
        <v/>
      </c>
      <c r="AW215" s="31">
        <f>IF($AU215="","",IF(MATCH($AU215,$AU$8:$AU$2007,0)=ROW()-7,MAX($AW$7:$AW214)+1,""))</f>
        <v/>
      </c>
      <c r="AX215" s="31">
        <f>IF(OR($AS215="",$D$6=""),"",TRIM(INDEX($A:$AP,ROW(),$D$6)&amp;""))</f>
        <v/>
      </c>
      <c r="AY215" s="31">
        <f>IF($AU215="","",INDEX($AW$8:$AW$2007,MATCH($AU215,$AU$8:$AU$2007,0)))</f>
        <v/>
      </c>
      <c r="AZ215" s="31">
        <f>IF(OR($AS215="",$C$6=""),"",TRIM(INDEX($A:$AP,ROW(),$C$6)&amp;""))</f>
        <v/>
      </c>
      <c r="BA215" s="31">
        <f>IF($AZ215="","",IF(COUNTIF($AZ$8:$AZ215,$AZ215)&gt;1,1,0))</f>
        <v/>
      </c>
    </row>
    <row r="216">
      <c r="AR216" s="31">
        <f>IF(OR($A$5="",$B$6="",ROW()&lt;$A$5),"",IF(INDEX($A:$AP,ROW(),$B$6)="","",INDEX($A:$AP,ROW(),$B$6)))</f>
        <v/>
      </c>
      <c r="AS216" s="32">
        <f>IF($AR216="","",IF(ISNUMBER($AR216),IF($AR216&gt;=10000000,IFERROR(DATE(INT($AR216/10000),MOD(INT($AR216/100),100),MOD($AR216,100)),""),INT($AR216)),IFERROR(DATE(--LEFT(LEFT(SUBSTITUTE(SUBSTITUTE(SUBSTITUTE(SUBSTITUTE(TRIM($AR216),"-",""),".",""),"/","")," ",""),8),4),--MID(LEFT(SUBSTITUTE(SUBSTITUTE(SUBSTITUTE(SUBSTITUTE(TRIM($AR216),"-",""),".",""),"/","")," ",""),8),5,2),--MID(LEFT(SUBSTITUTE(SUBSTITUTE(SUBSTITUTE(SUBSTITUTE(TRIM($AR216),"-",""),".",""),"/","")," ",""),8),7,2)),"")))</f>
        <v/>
      </c>
      <c r="AT216" s="33">
        <f>IF($AS216="","",IF($F$6="",0,IF(ISNUMBER(INDEX($A:$AP,ROW(),$F$6)),INDEX($A:$AP,ROW(),$F$6),IFERROR(--SUBSTITUTE(SUBSTITUTE(TRIM(INDEX($A:$AP,ROW(),$F$6)),",",""),"원",""),0))))</f>
        <v/>
      </c>
      <c r="AU216" s="31">
        <f>IF($AS216="","",IF($AX216&lt;&gt;"",SUBSTITUTE(SUBSTITUTE($AX216,"-","")," ",""),"N:"&amp;$AV216))</f>
        <v/>
      </c>
      <c r="AV216" s="31">
        <f>IF(OR($AS216="",$E$6=""),"",TRIM(INDEX($A:$AP,ROW(),$E$6)&amp;""))</f>
        <v/>
      </c>
      <c r="AW216" s="31">
        <f>IF($AU216="","",IF(MATCH($AU216,$AU$8:$AU$2007,0)=ROW()-7,MAX($AW$7:$AW215)+1,""))</f>
        <v/>
      </c>
      <c r="AX216" s="31">
        <f>IF(OR($AS216="",$D$6=""),"",TRIM(INDEX($A:$AP,ROW(),$D$6)&amp;""))</f>
        <v/>
      </c>
      <c r="AY216" s="31">
        <f>IF($AU216="","",INDEX($AW$8:$AW$2007,MATCH($AU216,$AU$8:$AU$2007,0)))</f>
        <v/>
      </c>
      <c r="AZ216" s="31">
        <f>IF(OR($AS216="",$C$6=""),"",TRIM(INDEX($A:$AP,ROW(),$C$6)&amp;""))</f>
        <v/>
      </c>
      <c r="BA216" s="31">
        <f>IF($AZ216="","",IF(COUNTIF($AZ$8:$AZ216,$AZ216)&gt;1,1,0))</f>
        <v/>
      </c>
    </row>
    <row r="217">
      <c r="AR217" s="31">
        <f>IF(OR($A$5="",$B$6="",ROW()&lt;$A$5),"",IF(INDEX($A:$AP,ROW(),$B$6)="","",INDEX($A:$AP,ROW(),$B$6)))</f>
        <v/>
      </c>
      <c r="AS217" s="32">
        <f>IF($AR217="","",IF(ISNUMBER($AR217),IF($AR217&gt;=10000000,IFERROR(DATE(INT($AR217/10000),MOD(INT($AR217/100),100),MOD($AR217,100)),""),INT($AR217)),IFERROR(DATE(--LEFT(LEFT(SUBSTITUTE(SUBSTITUTE(SUBSTITUTE(SUBSTITUTE(TRIM($AR217),"-",""),".",""),"/","")," ",""),8),4),--MID(LEFT(SUBSTITUTE(SUBSTITUTE(SUBSTITUTE(SUBSTITUTE(TRIM($AR217),"-",""),".",""),"/","")," ",""),8),5,2),--MID(LEFT(SUBSTITUTE(SUBSTITUTE(SUBSTITUTE(SUBSTITUTE(TRIM($AR217),"-",""),".",""),"/","")," ",""),8),7,2)),"")))</f>
        <v/>
      </c>
      <c r="AT217" s="33">
        <f>IF($AS217="","",IF($F$6="",0,IF(ISNUMBER(INDEX($A:$AP,ROW(),$F$6)),INDEX($A:$AP,ROW(),$F$6),IFERROR(--SUBSTITUTE(SUBSTITUTE(TRIM(INDEX($A:$AP,ROW(),$F$6)),",",""),"원",""),0))))</f>
        <v/>
      </c>
      <c r="AU217" s="31">
        <f>IF($AS217="","",IF($AX217&lt;&gt;"",SUBSTITUTE(SUBSTITUTE($AX217,"-","")," ",""),"N:"&amp;$AV217))</f>
        <v/>
      </c>
      <c r="AV217" s="31">
        <f>IF(OR($AS217="",$E$6=""),"",TRIM(INDEX($A:$AP,ROW(),$E$6)&amp;""))</f>
        <v/>
      </c>
      <c r="AW217" s="31">
        <f>IF($AU217="","",IF(MATCH($AU217,$AU$8:$AU$2007,0)=ROW()-7,MAX($AW$7:$AW216)+1,""))</f>
        <v/>
      </c>
      <c r="AX217" s="31">
        <f>IF(OR($AS217="",$D$6=""),"",TRIM(INDEX($A:$AP,ROW(),$D$6)&amp;""))</f>
        <v/>
      </c>
      <c r="AY217" s="31">
        <f>IF($AU217="","",INDEX($AW$8:$AW$2007,MATCH($AU217,$AU$8:$AU$2007,0)))</f>
        <v/>
      </c>
      <c r="AZ217" s="31">
        <f>IF(OR($AS217="",$C$6=""),"",TRIM(INDEX($A:$AP,ROW(),$C$6)&amp;""))</f>
        <v/>
      </c>
      <c r="BA217" s="31">
        <f>IF($AZ217="","",IF(COUNTIF($AZ$8:$AZ217,$AZ217)&gt;1,1,0))</f>
        <v/>
      </c>
    </row>
    <row r="218">
      <c r="AR218" s="31">
        <f>IF(OR($A$5="",$B$6="",ROW()&lt;$A$5),"",IF(INDEX($A:$AP,ROW(),$B$6)="","",INDEX($A:$AP,ROW(),$B$6)))</f>
        <v/>
      </c>
      <c r="AS218" s="32">
        <f>IF($AR218="","",IF(ISNUMBER($AR218),IF($AR218&gt;=10000000,IFERROR(DATE(INT($AR218/10000),MOD(INT($AR218/100),100),MOD($AR218,100)),""),INT($AR218)),IFERROR(DATE(--LEFT(LEFT(SUBSTITUTE(SUBSTITUTE(SUBSTITUTE(SUBSTITUTE(TRIM($AR218),"-",""),".",""),"/","")," ",""),8),4),--MID(LEFT(SUBSTITUTE(SUBSTITUTE(SUBSTITUTE(SUBSTITUTE(TRIM($AR218),"-",""),".",""),"/","")," ",""),8),5,2),--MID(LEFT(SUBSTITUTE(SUBSTITUTE(SUBSTITUTE(SUBSTITUTE(TRIM($AR218),"-",""),".",""),"/","")," ",""),8),7,2)),"")))</f>
        <v/>
      </c>
      <c r="AT218" s="33">
        <f>IF($AS218="","",IF($F$6="",0,IF(ISNUMBER(INDEX($A:$AP,ROW(),$F$6)),INDEX($A:$AP,ROW(),$F$6),IFERROR(--SUBSTITUTE(SUBSTITUTE(TRIM(INDEX($A:$AP,ROW(),$F$6)),",",""),"원",""),0))))</f>
        <v/>
      </c>
      <c r="AU218" s="31">
        <f>IF($AS218="","",IF($AX218&lt;&gt;"",SUBSTITUTE(SUBSTITUTE($AX218,"-","")," ",""),"N:"&amp;$AV218))</f>
        <v/>
      </c>
      <c r="AV218" s="31">
        <f>IF(OR($AS218="",$E$6=""),"",TRIM(INDEX($A:$AP,ROW(),$E$6)&amp;""))</f>
        <v/>
      </c>
      <c r="AW218" s="31">
        <f>IF($AU218="","",IF(MATCH($AU218,$AU$8:$AU$2007,0)=ROW()-7,MAX($AW$7:$AW217)+1,""))</f>
        <v/>
      </c>
      <c r="AX218" s="31">
        <f>IF(OR($AS218="",$D$6=""),"",TRIM(INDEX($A:$AP,ROW(),$D$6)&amp;""))</f>
        <v/>
      </c>
      <c r="AY218" s="31">
        <f>IF($AU218="","",INDEX($AW$8:$AW$2007,MATCH($AU218,$AU$8:$AU$2007,0)))</f>
        <v/>
      </c>
      <c r="AZ218" s="31">
        <f>IF(OR($AS218="",$C$6=""),"",TRIM(INDEX($A:$AP,ROW(),$C$6)&amp;""))</f>
        <v/>
      </c>
      <c r="BA218" s="31">
        <f>IF($AZ218="","",IF(COUNTIF($AZ$8:$AZ218,$AZ218)&gt;1,1,0))</f>
        <v/>
      </c>
    </row>
    <row r="219">
      <c r="AR219" s="31">
        <f>IF(OR($A$5="",$B$6="",ROW()&lt;$A$5),"",IF(INDEX($A:$AP,ROW(),$B$6)="","",INDEX($A:$AP,ROW(),$B$6)))</f>
        <v/>
      </c>
      <c r="AS219" s="32">
        <f>IF($AR219="","",IF(ISNUMBER($AR219),IF($AR219&gt;=10000000,IFERROR(DATE(INT($AR219/10000),MOD(INT($AR219/100),100),MOD($AR219,100)),""),INT($AR219)),IFERROR(DATE(--LEFT(LEFT(SUBSTITUTE(SUBSTITUTE(SUBSTITUTE(SUBSTITUTE(TRIM($AR219),"-",""),".",""),"/","")," ",""),8),4),--MID(LEFT(SUBSTITUTE(SUBSTITUTE(SUBSTITUTE(SUBSTITUTE(TRIM($AR219),"-",""),".",""),"/","")," ",""),8),5,2),--MID(LEFT(SUBSTITUTE(SUBSTITUTE(SUBSTITUTE(SUBSTITUTE(TRIM($AR219),"-",""),".",""),"/","")," ",""),8),7,2)),"")))</f>
        <v/>
      </c>
      <c r="AT219" s="33">
        <f>IF($AS219="","",IF($F$6="",0,IF(ISNUMBER(INDEX($A:$AP,ROW(),$F$6)),INDEX($A:$AP,ROW(),$F$6),IFERROR(--SUBSTITUTE(SUBSTITUTE(TRIM(INDEX($A:$AP,ROW(),$F$6)),",",""),"원",""),0))))</f>
        <v/>
      </c>
      <c r="AU219" s="31">
        <f>IF($AS219="","",IF($AX219&lt;&gt;"",SUBSTITUTE(SUBSTITUTE($AX219,"-","")," ",""),"N:"&amp;$AV219))</f>
        <v/>
      </c>
      <c r="AV219" s="31">
        <f>IF(OR($AS219="",$E$6=""),"",TRIM(INDEX($A:$AP,ROW(),$E$6)&amp;""))</f>
        <v/>
      </c>
      <c r="AW219" s="31">
        <f>IF($AU219="","",IF(MATCH($AU219,$AU$8:$AU$2007,0)=ROW()-7,MAX($AW$7:$AW218)+1,""))</f>
        <v/>
      </c>
      <c r="AX219" s="31">
        <f>IF(OR($AS219="",$D$6=""),"",TRIM(INDEX($A:$AP,ROW(),$D$6)&amp;""))</f>
        <v/>
      </c>
      <c r="AY219" s="31">
        <f>IF($AU219="","",INDEX($AW$8:$AW$2007,MATCH($AU219,$AU$8:$AU$2007,0)))</f>
        <v/>
      </c>
      <c r="AZ219" s="31">
        <f>IF(OR($AS219="",$C$6=""),"",TRIM(INDEX($A:$AP,ROW(),$C$6)&amp;""))</f>
        <v/>
      </c>
      <c r="BA219" s="31">
        <f>IF($AZ219="","",IF(COUNTIF($AZ$8:$AZ219,$AZ219)&gt;1,1,0))</f>
        <v/>
      </c>
    </row>
    <row r="220">
      <c r="AR220" s="31">
        <f>IF(OR($A$5="",$B$6="",ROW()&lt;$A$5),"",IF(INDEX($A:$AP,ROW(),$B$6)="","",INDEX($A:$AP,ROW(),$B$6)))</f>
        <v/>
      </c>
      <c r="AS220" s="32">
        <f>IF($AR220="","",IF(ISNUMBER($AR220),IF($AR220&gt;=10000000,IFERROR(DATE(INT($AR220/10000),MOD(INT($AR220/100),100),MOD($AR220,100)),""),INT($AR220)),IFERROR(DATE(--LEFT(LEFT(SUBSTITUTE(SUBSTITUTE(SUBSTITUTE(SUBSTITUTE(TRIM($AR220),"-",""),".",""),"/","")," ",""),8),4),--MID(LEFT(SUBSTITUTE(SUBSTITUTE(SUBSTITUTE(SUBSTITUTE(TRIM($AR220),"-",""),".",""),"/","")," ",""),8),5,2),--MID(LEFT(SUBSTITUTE(SUBSTITUTE(SUBSTITUTE(SUBSTITUTE(TRIM($AR220),"-",""),".",""),"/","")," ",""),8),7,2)),"")))</f>
        <v/>
      </c>
      <c r="AT220" s="33">
        <f>IF($AS220="","",IF($F$6="",0,IF(ISNUMBER(INDEX($A:$AP,ROW(),$F$6)),INDEX($A:$AP,ROW(),$F$6),IFERROR(--SUBSTITUTE(SUBSTITUTE(TRIM(INDEX($A:$AP,ROW(),$F$6)),",",""),"원",""),0))))</f>
        <v/>
      </c>
      <c r="AU220" s="31">
        <f>IF($AS220="","",IF($AX220&lt;&gt;"",SUBSTITUTE(SUBSTITUTE($AX220,"-","")," ",""),"N:"&amp;$AV220))</f>
        <v/>
      </c>
      <c r="AV220" s="31">
        <f>IF(OR($AS220="",$E$6=""),"",TRIM(INDEX($A:$AP,ROW(),$E$6)&amp;""))</f>
        <v/>
      </c>
      <c r="AW220" s="31">
        <f>IF($AU220="","",IF(MATCH($AU220,$AU$8:$AU$2007,0)=ROW()-7,MAX($AW$7:$AW219)+1,""))</f>
        <v/>
      </c>
      <c r="AX220" s="31">
        <f>IF(OR($AS220="",$D$6=""),"",TRIM(INDEX($A:$AP,ROW(),$D$6)&amp;""))</f>
        <v/>
      </c>
      <c r="AY220" s="31">
        <f>IF($AU220="","",INDEX($AW$8:$AW$2007,MATCH($AU220,$AU$8:$AU$2007,0)))</f>
        <v/>
      </c>
      <c r="AZ220" s="31">
        <f>IF(OR($AS220="",$C$6=""),"",TRIM(INDEX($A:$AP,ROW(),$C$6)&amp;""))</f>
        <v/>
      </c>
      <c r="BA220" s="31">
        <f>IF($AZ220="","",IF(COUNTIF($AZ$8:$AZ220,$AZ220)&gt;1,1,0))</f>
        <v/>
      </c>
    </row>
    <row r="221">
      <c r="AR221" s="31">
        <f>IF(OR($A$5="",$B$6="",ROW()&lt;$A$5),"",IF(INDEX($A:$AP,ROW(),$B$6)="","",INDEX($A:$AP,ROW(),$B$6)))</f>
        <v/>
      </c>
      <c r="AS221" s="32">
        <f>IF($AR221="","",IF(ISNUMBER($AR221),IF($AR221&gt;=10000000,IFERROR(DATE(INT($AR221/10000),MOD(INT($AR221/100),100),MOD($AR221,100)),""),INT($AR221)),IFERROR(DATE(--LEFT(LEFT(SUBSTITUTE(SUBSTITUTE(SUBSTITUTE(SUBSTITUTE(TRIM($AR221),"-",""),".",""),"/","")," ",""),8),4),--MID(LEFT(SUBSTITUTE(SUBSTITUTE(SUBSTITUTE(SUBSTITUTE(TRIM($AR221),"-",""),".",""),"/","")," ",""),8),5,2),--MID(LEFT(SUBSTITUTE(SUBSTITUTE(SUBSTITUTE(SUBSTITUTE(TRIM($AR221),"-",""),".",""),"/","")," ",""),8),7,2)),"")))</f>
        <v/>
      </c>
      <c r="AT221" s="33">
        <f>IF($AS221="","",IF($F$6="",0,IF(ISNUMBER(INDEX($A:$AP,ROW(),$F$6)),INDEX($A:$AP,ROW(),$F$6),IFERROR(--SUBSTITUTE(SUBSTITUTE(TRIM(INDEX($A:$AP,ROW(),$F$6)),",",""),"원",""),0))))</f>
        <v/>
      </c>
      <c r="AU221" s="31">
        <f>IF($AS221="","",IF($AX221&lt;&gt;"",SUBSTITUTE(SUBSTITUTE($AX221,"-","")," ",""),"N:"&amp;$AV221))</f>
        <v/>
      </c>
      <c r="AV221" s="31">
        <f>IF(OR($AS221="",$E$6=""),"",TRIM(INDEX($A:$AP,ROW(),$E$6)&amp;""))</f>
        <v/>
      </c>
      <c r="AW221" s="31">
        <f>IF($AU221="","",IF(MATCH($AU221,$AU$8:$AU$2007,0)=ROW()-7,MAX($AW$7:$AW220)+1,""))</f>
        <v/>
      </c>
      <c r="AX221" s="31">
        <f>IF(OR($AS221="",$D$6=""),"",TRIM(INDEX($A:$AP,ROW(),$D$6)&amp;""))</f>
        <v/>
      </c>
      <c r="AY221" s="31">
        <f>IF($AU221="","",INDEX($AW$8:$AW$2007,MATCH($AU221,$AU$8:$AU$2007,0)))</f>
        <v/>
      </c>
      <c r="AZ221" s="31">
        <f>IF(OR($AS221="",$C$6=""),"",TRIM(INDEX($A:$AP,ROW(),$C$6)&amp;""))</f>
        <v/>
      </c>
      <c r="BA221" s="31">
        <f>IF($AZ221="","",IF(COUNTIF($AZ$8:$AZ221,$AZ221)&gt;1,1,0))</f>
        <v/>
      </c>
    </row>
    <row r="222">
      <c r="AR222" s="31">
        <f>IF(OR($A$5="",$B$6="",ROW()&lt;$A$5),"",IF(INDEX($A:$AP,ROW(),$B$6)="","",INDEX($A:$AP,ROW(),$B$6)))</f>
        <v/>
      </c>
      <c r="AS222" s="32">
        <f>IF($AR222="","",IF(ISNUMBER($AR222),IF($AR222&gt;=10000000,IFERROR(DATE(INT($AR222/10000),MOD(INT($AR222/100),100),MOD($AR222,100)),""),INT($AR222)),IFERROR(DATE(--LEFT(LEFT(SUBSTITUTE(SUBSTITUTE(SUBSTITUTE(SUBSTITUTE(TRIM($AR222),"-",""),".",""),"/","")," ",""),8),4),--MID(LEFT(SUBSTITUTE(SUBSTITUTE(SUBSTITUTE(SUBSTITUTE(TRIM($AR222),"-",""),".",""),"/","")," ",""),8),5,2),--MID(LEFT(SUBSTITUTE(SUBSTITUTE(SUBSTITUTE(SUBSTITUTE(TRIM($AR222),"-",""),".",""),"/","")," ",""),8),7,2)),"")))</f>
        <v/>
      </c>
      <c r="AT222" s="33">
        <f>IF($AS222="","",IF($F$6="",0,IF(ISNUMBER(INDEX($A:$AP,ROW(),$F$6)),INDEX($A:$AP,ROW(),$F$6),IFERROR(--SUBSTITUTE(SUBSTITUTE(TRIM(INDEX($A:$AP,ROW(),$F$6)),",",""),"원",""),0))))</f>
        <v/>
      </c>
      <c r="AU222" s="31">
        <f>IF($AS222="","",IF($AX222&lt;&gt;"",SUBSTITUTE(SUBSTITUTE($AX222,"-","")," ",""),"N:"&amp;$AV222))</f>
        <v/>
      </c>
      <c r="AV222" s="31">
        <f>IF(OR($AS222="",$E$6=""),"",TRIM(INDEX($A:$AP,ROW(),$E$6)&amp;""))</f>
        <v/>
      </c>
      <c r="AW222" s="31">
        <f>IF($AU222="","",IF(MATCH($AU222,$AU$8:$AU$2007,0)=ROW()-7,MAX($AW$7:$AW221)+1,""))</f>
        <v/>
      </c>
      <c r="AX222" s="31">
        <f>IF(OR($AS222="",$D$6=""),"",TRIM(INDEX($A:$AP,ROW(),$D$6)&amp;""))</f>
        <v/>
      </c>
      <c r="AY222" s="31">
        <f>IF($AU222="","",INDEX($AW$8:$AW$2007,MATCH($AU222,$AU$8:$AU$2007,0)))</f>
        <v/>
      </c>
      <c r="AZ222" s="31">
        <f>IF(OR($AS222="",$C$6=""),"",TRIM(INDEX($A:$AP,ROW(),$C$6)&amp;""))</f>
        <v/>
      </c>
      <c r="BA222" s="31">
        <f>IF($AZ222="","",IF(COUNTIF($AZ$8:$AZ222,$AZ222)&gt;1,1,0))</f>
        <v/>
      </c>
    </row>
    <row r="223">
      <c r="AR223" s="31">
        <f>IF(OR($A$5="",$B$6="",ROW()&lt;$A$5),"",IF(INDEX($A:$AP,ROW(),$B$6)="","",INDEX($A:$AP,ROW(),$B$6)))</f>
        <v/>
      </c>
      <c r="AS223" s="32">
        <f>IF($AR223="","",IF(ISNUMBER($AR223),IF($AR223&gt;=10000000,IFERROR(DATE(INT($AR223/10000),MOD(INT($AR223/100),100),MOD($AR223,100)),""),INT($AR223)),IFERROR(DATE(--LEFT(LEFT(SUBSTITUTE(SUBSTITUTE(SUBSTITUTE(SUBSTITUTE(TRIM($AR223),"-",""),".",""),"/","")," ",""),8),4),--MID(LEFT(SUBSTITUTE(SUBSTITUTE(SUBSTITUTE(SUBSTITUTE(TRIM($AR223),"-",""),".",""),"/","")," ",""),8),5,2),--MID(LEFT(SUBSTITUTE(SUBSTITUTE(SUBSTITUTE(SUBSTITUTE(TRIM($AR223),"-",""),".",""),"/","")," ",""),8),7,2)),"")))</f>
        <v/>
      </c>
      <c r="AT223" s="33">
        <f>IF($AS223="","",IF($F$6="",0,IF(ISNUMBER(INDEX($A:$AP,ROW(),$F$6)),INDEX($A:$AP,ROW(),$F$6),IFERROR(--SUBSTITUTE(SUBSTITUTE(TRIM(INDEX($A:$AP,ROW(),$F$6)),",",""),"원",""),0))))</f>
        <v/>
      </c>
      <c r="AU223" s="31">
        <f>IF($AS223="","",IF($AX223&lt;&gt;"",SUBSTITUTE(SUBSTITUTE($AX223,"-","")," ",""),"N:"&amp;$AV223))</f>
        <v/>
      </c>
      <c r="AV223" s="31">
        <f>IF(OR($AS223="",$E$6=""),"",TRIM(INDEX($A:$AP,ROW(),$E$6)&amp;""))</f>
        <v/>
      </c>
      <c r="AW223" s="31">
        <f>IF($AU223="","",IF(MATCH($AU223,$AU$8:$AU$2007,0)=ROW()-7,MAX($AW$7:$AW222)+1,""))</f>
        <v/>
      </c>
      <c r="AX223" s="31">
        <f>IF(OR($AS223="",$D$6=""),"",TRIM(INDEX($A:$AP,ROW(),$D$6)&amp;""))</f>
        <v/>
      </c>
      <c r="AY223" s="31">
        <f>IF($AU223="","",INDEX($AW$8:$AW$2007,MATCH($AU223,$AU$8:$AU$2007,0)))</f>
        <v/>
      </c>
      <c r="AZ223" s="31">
        <f>IF(OR($AS223="",$C$6=""),"",TRIM(INDEX($A:$AP,ROW(),$C$6)&amp;""))</f>
        <v/>
      </c>
      <c r="BA223" s="31">
        <f>IF($AZ223="","",IF(COUNTIF($AZ$8:$AZ223,$AZ223)&gt;1,1,0))</f>
        <v/>
      </c>
    </row>
    <row r="224">
      <c r="AR224" s="31">
        <f>IF(OR($A$5="",$B$6="",ROW()&lt;$A$5),"",IF(INDEX($A:$AP,ROW(),$B$6)="","",INDEX($A:$AP,ROW(),$B$6)))</f>
        <v/>
      </c>
      <c r="AS224" s="32">
        <f>IF($AR224="","",IF(ISNUMBER($AR224),IF($AR224&gt;=10000000,IFERROR(DATE(INT($AR224/10000),MOD(INT($AR224/100),100),MOD($AR224,100)),""),INT($AR224)),IFERROR(DATE(--LEFT(LEFT(SUBSTITUTE(SUBSTITUTE(SUBSTITUTE(SUBSTITUTE(TRIM($AR224),"-",""),".",""),"/","")," ",""),8),4),--MID(LEFT(SUBSTITUTE(SUBSTITUTE(SUBSTITUTE(SUBSTITUTE(TRIM($AR224),"-",""),".",""),"/","")," ",""),8),5,2),--MID(LEFT(SUBSTITUTE(SUBSTITUTE(SUBSTITUTE(SUBSTITUTE(TRIM($AR224),"-",""),".",""),"/","")," ",""),8),7,2)),"")))</f>
        <v/>
      </c>
      <c r="AT224" s="33">
        <f>IF($AS224="","",IF($F$6="",0,IF(ISNUMBER(INDEX($A:$AP,ROW(),$F$6)),INDEX($A:$AP,ROW(),$F$6),IFERROR(--SUBSTITUTE(SUBSTITUTE(TRIM(INDEX($A:$AP,ROW(),$F$6)),",",""),"원",""),0))))</f>
        <v/>
      </c>
      <c r="AU224" s="31">
        <f>IF($AS224="","",IF($AX224&lt;&gt;"",SUBSTITUTE(SUBSTITUTE($AX224,"-","")," ",""),"N:"&amp;$AV224))</f>
        <v/>
      </c>
      <c r="AV224" s="31">
        <f>IF(OR($AS224="",$E$6=""),"",TRIM(INDEX($A:$AP,ROW(),$E$6)&amp;""))</f>
        <v/>
      </c>
      <c r="AW224" s="31">
        <f>IF($AU224="","",IF(MATCH($AU224,$AU$8:$AU$2007,0)=ROW()-7,MAX($AW$7:$AW223)+1,""))</f>
        <v/>
      </c>
      <c r="AX224" s="31">
        <f>IF(OR($AS224="",$D$6=""),"",TRIM(INDEX($A:$AP,ROW(),$D$6)&amp;""))</f>
        <v/>
      </c>
      <c r="AY224" s="31">
        <f>IF($AU224="","",INDEX($AW$8:$AW$2007,MATCH($AU224,$AU$8:$AU$2007,0)))</f>
        <v/>
      </c>
      <c r="AZ224" s="31">
        <f>IF(OR($AS224="",$C$6=""),"",TRIM(INDEX($A:$AP,ROW(),$C$6)&amp;""))</f>
        <v/>
      </c>
      <c r="BA224" s="31">
        <f>IF($AZ224="","",IF(COUNTIF($AZ$8:$AZ224,$AZ224)&gt;1,1,0))</f>
        <v/>
      </c>
    </row>
    <row r="225">
      <c r="AR225" s="31">
        <f>IF(OR($A$5="",$B$6="",ROW()&lt;$A$5),"",IF(INDEX($A:$AP,ROW(),$B$6)="","",INDEX($A:$AP,ROW(),$B$6)))</f>
        <v/>
      </c>
      <c r="AS225" s="32">
        <f>IF($AR225="","",IF(ISNUMBER($AR225),IF($AR225&gt;=10000000,IFERROR(DATE(INT($AR225/10000),MOD(INT($AR225/100),100),MOD($AR225,100)),""),INT($AR225)),IFERROR(DATE(--LEFT(LEFT(SUBSTITUTE(SUBSTITUTE(SUBSTITUTE(SUBSTITUTE(TRIM($AR225),"-",""),".",""),"/","")," ",""),8),4),--MID(LEFT(SUBSTITUTE(SUBSTITUTE(SUBSTITUTE(SUBSTITUTE(TRIM($AR225),"-",""),".",""),"/","")," ",""),8),5,2),--MID(LEFT(SUBSTITUTE(SUBSTITUTE(SUBSTITUTE(SUBSTITUTE(TRIM($AR225),"-",""),".",""),"/","")," ",""),8),7,2)),"")))</f>
        <v/>
      </c>
      <c r="AT225" s="33">
        <f>IF($AS225="","",IF($F$6="",0,IF(ISNUMBER(INDEX($A:$AP,ROW(),$F$6)),INDEX($A:$AP,ROW(),$F$6),IFERROR(--SUBSTITUTE(SUBSTITUTE(TRIM(INDEX($A:$AP,ROW(),$F$6)),",",""),"원",""),0))))</f>
        <v/>
      </c>
      <c r="AU225" s="31">
        <f>IF($AS225="","",IF($AX225&lt;&gt;"",SUBSTITUTE(SUBSTITUTE($AX225,"-","")," ",""),"N:"&amp;$AV225))</f>
        <v/>
      </c>
      <c r="AV225" s="31">
        <f>IF(OR($AS225="",$E$6=""),"",TRIM(INDEX($A:$AP,ROW(),$E$6)&amp;""))</f>
        <v/>
      </c>
      <c r="AW225" s="31">
        <f>IF($AU225="","",IF(MATCH($AU225,$AU$8:$AU$2007,0)=ROW()-7,MAX($AW$7:$AW224)+1,""))</f>
        <v/>
      </c>
      <c r="AX225" s="31">
        <f>IF(OR($AS225="",$D$6=""),"",TRIM(INDEX($A:$AP,ROW(),$D$6)&amp;""))</f>
        <v/>
      </c>
      <c r="AY225" s="31">
        <f>IF($AU225="","",INDEX($AW$8:$AW$2007,MATCH($AU225,$AU$8:$AU$2007,0)))</f>
        <v/>
      </c>
      <c r="AZ225" s="31">
        <f>IF(OR($AS225="",$C$6=""),"",TRIM(INDEX($A:$AP,ROW(),$C$6)&amp;""))</f>
        <v/>
      </c>
      <c r="BA225" s="31">
        <f>IF($AZ225="","",IF(COUNTIF($AZ$8:$AZ225,$AZ225)&gt;1,1,0))</f>
        <v/>
      </c>
    </row>
    <row r="226">
      <c r="AR226" s="31">
        <f>IF(OR($A$5="",$B$6="",ROW()&lt;$A$5),"",IF(INDEX($A:$AP,ROW(),$B$6)="","",INDEX($A:$AP,ROW(),$B$6)))</f>
        <v/>
      </c>
      <c r="AS226" s="32">
        <f>IF($AR226="","",IF(ISNUMBER($AR226),IF($AR226&gt;=10000000,IFERROR(DATE(INT($AR226/10000),MOD(INT($AR226/100),100),MOD($AR226,100)),""),INT($AR226)),IFERROR(DATE(--LEFT(LEFT(SUBSTITUTE(SUBSTITUTE(SUBSTITUTE(SUBSTITUTE(TRIM($AR226),"-",""),".",""),"/","")," ",""),8),4),--MID(LEFT(SUBSTITUTE(SUBSTITUTE(SUBSTITUTE(SUBSTITUTE(TRIM($AR226),"-",""),".",""),"/","")," ",""),8),5,2),--MID(LEFT(SUBSTITUTE(SUBSTITUTE(SUBSTITUTE(SUBSTITUTE(TRIM($AR226),"-",""),".",""),"/","")," ",""),8),7,2)),"")))</f>
        <v/>
      </c>
      <c r="AT226" s="33">
        <f>IF($AS226="","",IF($F$6="",0,IF(ISNUMBER(INDEX($A:$AP,ROW(),$F$6)),INDEX($A:$AP,ROW(),$F$6),IFERROR(--SUBSTITUTE(SUBSTITUTE(TRIM(INDEX($A:$AP,ROW(),$F$6)),",",""),"원",""),0))))</f>
        <v/>
      </c>
      <c r="AU226" s="31">
        <f>IF($AS226="","",IF($AX226&lt;&gt;"",SUBSTITUTE(SUBSTITUTE($AX226,"-","")," ",""),"N:"&amp;$AV226))</f>
        <v/>
      </c>
      <c r="AV226" s="31">
        <f>IF(OR($AS226="",$E$6=""),"",TRIM(INDEX($A:$AP,ROW(),$E$6)&amp;""))</f>
        <v/>
      </c>
      <c r="AW226" s="31">
        <f>IF($AU226="","",IF(MATCH($AU226,$AU$8:$AU$2007,0)=ROW()-7,MAX($AW$7:$AW225)+1,""))</f>
        <v/>
      </c>
      <c r="AX226" s="31">
        <f>IF(OR($AS226="",$D$6=""),"",TRIM(INDEX($A:$AP,ROW(),$D$6)&amp;""))</f>
        <v/>
      </c>
      <c r="AY226" s="31">
        <f>IF($AU226="","",INDEX($AW$8:$AW$2007,MATCH($AU226,$AU$8:$AU$2007,0)))</f>
        <v/>
      </c>
      <c r="AZ226" s="31">
        <f>IF(OR($AS226="",$C$6=""),"",TRIM(INDEX($A:$AP,ROW(),$C$6)&amp;""))</f>
        <v/>
      </c>
      <c r="BA226" s="31">
        <f>IF($AZ226="","",IF(COUNTIF($AZ$8:$AZ226,$AZ226)&gt;1,1,0))</f>
        <v/>
      </c>
    </row>
    <row r="227">
      <c r="AR227" s="31">
        <f>IF(OR($A$5="",$B$6="",ROW()&lt;$A$5),"",IF(INDEX($A:$AP,ROW(),$B$6)="","",INDEX($A:$AP,ROW(),$B$6)))</f>
        <v/>
      </c>
      <c r="AS227" s="32">
        <f>IF($AR227="","",IF(ISNUMBER($AR227),IF($AR227&gt;=10000000,IFERROR(DATE(INT($AR227/10000),MOD(INT($AR227/100),100),MOD($AR227,100)),""),INT($AR227)),IFERROR(DATE(--LEFT(LEFT(SUBSTITUTE(SUBSTITUTE(SUBSTITUTE(SUBSTITUTE(TRIM($AR227),"-",""),".",""),"/","")," ",""),8),4),--MID(LEFT(SUBSTITUTE(SUBSTITUTE(SUBSTITUTE(SUBSTITUTE(TRIM($AR227),"-",""),".",""),"/","")," ",""),8),5,2),--MID(LEFT(SUBSTITUTE(SUBSTITUTE(SUBSTITUTE(SUBSTITUTE(TRIM($AR227),"-",""),".",""),"/","")," ",""),8),7,2)),"")))</f>
        <v/>
      </c>
      <c r="AT227" s="33">
        <f>IF($AS227="","",IF($F$6="",0,IF(ISNUMBER(INDEX($A:$AP,ROW(),$F$6)),INDEX($A:$AP,ROW(),$F$6),IFERROR(--SUBSTITUTE(SUBSTITUTE(TRIM(INDEX($A:$AP,ROW(),$F$6)),",",""),"원",""),0))))</f>
        <v/>
      </c>
      <c r="AU227" s="31">
        <f>IF($AS227="","",IF($AX227&lt;&gt;"",SUBSTITUTE(SUBSTITUTE($AX227,"-","")," ",""),"N:"&amp;$AV227))</f>
        <v/>
      </c>
      <c r="AV227" s="31">
        <f>IF(OR($AS227="",$E$6=""),"",TRIM(INDEX($A:$AP,ROW(),$E$6)&amp;""))</f>
        <v/>
      </c>
      <c r="AW227" s="31">
        <f>IF($AU227="","",IF(MATCH($AU227,$AU$8:$AU$2007,0)=ROW()-7,MAX($AW$7:$AW226)+1,""))</f>
        <v/>
      </c>
      <c r="AX227" s="31">
        <f>IF(OR($AS227="",$D$6=""),"",TRIM(INDEX($A:$AP,ROW(),$D$6)&amp;""))</f>
        <v/>
      </c>
      <c r="AY227" s="31">
        <f>IF($AU227="","",INDEX($AW$8:$AW$2007,MATCH($AU227,$AU$8:$AU$2007,0)))</f>
        <v/>
      </c>
      <c r="AZ227" s="31">
        <f>IF(OR($AS227="",$C$6=""),"",TRIM(INDEX($A:$AP,ROW(),$C$6)&amp;""))</f>
        <v/>
      </c>
      <c r="BA227" s="31">
        <f>IF($AZ227="","",IF(COUNTIF($AZ$8:$AZ227,$AZ227)&gt;1,1,0))</f>
        <v/>
      </c>
    </row>
    <row r="228">
      <c r="AR228" s="31">
        <f>IF(OR($A$5="",$B$6="",ROW()&lt;$A$5),"",IF(INDEX($A:$AP,ROW(),$B$6)="","",INDEX($A:$AP,ROW(),$B$6)))</f>
        <v/>
      </c>
      <c r="AS228" s="32">
        <f>IF($AR228="","",IF(ISNUMBER($AR228),IF($AR228&gt;=10000000,IFERROR(DATE(INT($AR228/10000),MOD(INT($AR228/100),100),MOD($AR228,100)),""),INT($AR228)),IFERROR(DATE(--LEFT(LEFT(SUBSTITUTE(SUBSTITUTE(SUBSTITUTE(SUBSTITUTE(TRIM($AR228),"-",""),".",""),"/","")," ",""),8),4),--MID(LEFT(SUBSTITUTE(SUBSTITUTE(SUBSTITUTE(SUBSTITUTE(TRIM($AR228),"-",""),".",""),"/","")," ",""),8),5,2),--MID(LEFT(SUBSTITUTE(SUBSTITUTE(SUBSTITUTE(SUBSTITUTE(TRIM($AR228),"-",""),".",""),"/","")," ",""),8),7,2)),"")))</f>
        <v/>
      </c>
      <c r="AT228" s="33">
        <f>IF($AS228="","",IF($F$6="",0,IF(ISNUMBER(INDEX($A:$AP,ROW(),$F$6)),INDEX($A:$AP,ROW(),$F$6),IFERROR(--SUBSTITUTE(SUBSTITUTE(TRIM(INDEX($A:$AP,ROW(),$F$6)),",",""),"원",""),0))))</f>
        <v/>
      </c>
      <c r="AU228" s="31">
        <f>IF($AS228="","",IF($AX228&lt;&gt;"",SUBSTITUTE(SUBSTITUTE($AX228,"-","")," ",""),"N:"&amp;$AV228))</f>
        <v/>
      </c>
      <c r="AV228" s="31">
        <f>IF(OR($AS228="",$E$6=""),"",TRIM(INDEX($A:$AP,ROW(),$E$6)&amp;""))</f>
        <v/>
      </c>
      <c r="AW228" s="31">
        <f>IF($AU228="","",IF(MATCH($AU228,$AU$8:$AU$2007,0)=ROW()-7,MAX($AW$7:$AW227)+1,""))</f>
        <v/>
      </c>
      <c r="AX228" s="31">
        <f>IF(OR($AS228="",$D$6=""),"",TRIM(INDEX($A:$AP,ROW(),$D$6)&amp;""))</f>
        <v/>
      </c>
      <c r="AY228" s="31">
        <f>IF($AU228="","",INDEX($AW$8:$AW$2007,MATCH($AU228,$AU$8:$AU$2007,0)))</f>
        <v/>
      </c>
      <c r="AZ228" s="31">
        <f>IF(OR($AS228="",$C$6=""),"",TRIM(INDEX($A:$AP,ROW(),$C$6)&amp;""))</f>
        <v/>
      </c>
      <c r="BA228" s="31">
        <f>IF($AZ228="","",IF(COUNTIF($AZ$8:$AZ228,$AZ228)&gt;1,1,0))</f>
        <v/>
      </c>
    </row>
    <row r="229">
      <c r="AR229" s="31">
        <f>IF(OR($A$5="",$B$6="",ROW()&lt;$A$5),"",IF(INDEX($A:$AP,ROW(),$B$6)="","",INDEX($A:$AP,ROW(),$B$6)))</f>
        <v/>
      </c>
      <c r="AS229" s="32">
        <f>IF($AR229="","",IF(ISNUMBER($AR229),IF($AR229&gt;=10000000,IFERROR(DATE(INT($AR229/10000),MOD(INT($AR229/100),100),MOD($AR229,100)),""),INT($AR229)),IFERROR(DATE(--LEFT(LEFT(SUBSTITUTE(SUBSTITUTE(SUBSTITUTE(SUBSTITUTE(TRIM($AR229),"-",""),".",""),"/","")," ",""),8),4),--MID(LEFT(SUBSTITUTE(SUBSTITUTE(SUBSTITUTE(SUBSTITUTE(TRIM($AR229),"-",""),".",""),"/","")," ",""),8),5,2),--MID(LEFT(SUBSTITUTE(SUBSTITUTE(SUBSTITUTE(SUBSTITUTE(TRIM($AR229),"-",""),".",""),"/","")," ",""),8),7,2)),"")))</f>
        <v/>
      </c>
      <c r="AT229" s="33">
        <f>IF($AS229="","",IF($F$6="",0,IF(ISNUMBER(INDEX($A:$AP,ROW(),$F$6)),INDEX($A:$AP,ROW(),$F$6),IFERROR(--SUBSTITUTE(SUBSTITUTE(TRIM(INDEX($A:$AP,ROW(),$F$6)),",",""),"원",""),0))))</f>
        <v/>
      </c>
      <c r="AU229" s="31">
        <f>IF($AS229="","",IF($AX229&lt;&gt;"",SUBSTITUTE(SUBSTITUTE($AX229,"-","")," ",""),"N:"&amp;$AV229))</f>
        <v/>
      </c>
      <c r="AV229" s="31">
        <f>IF(OR($AS229="",$E$6=""),"",TRIM(INDEX($A:$AP,ROW(),$E$6)&amp;""))</f>
        <v/>
      </c>
      <c r="AW229" s="31">
        <f>IF($AU229="","",IF(MATCH($AU229,$AU$8:$AU$2007,0)=ROW()-7,MAX($AW$7:$AW228)+1,""))</f>
        <v/>
      </c>
      <c r="AX229" s="31">
        <f>IF(OR($AS229="",$D$6=""),"",TRIM(INDEX($A:$AP,ROW(),$D$6)&amp;""))</f>
        <v/>
      </c>
      <c r="AY229" s="31">
        <f>IF($AU229="","",INDEX($AW$8:$AW$2007,MATCH($AU229,$AU$8:$AU$2007,0)))</f>
        <v/>
      </c>
      <c r="AZ229" s="31">
        <f>IF(OR($AS229="",$C$6=""),"",TRIM(INDEX($A:$AP,ROW(),$C$6)&amp;""))</f>
        <v/>
      </c>
      <c r="BA229" s="31">
        <f>IF($AZ229="","",IF(COUNTIF($AZ$8:$AZ229,$AZ229)&gt;1,1,0))</f>
        <v/>
      </c>
    </row>
    <row r="230">
      <c r="AR230" s="31">
        <f>IF(OR($A$5="",$B$6="",ROW()&lt;$A$5),"",IF(INDEX($A:$AP,ROW(),$B$6)="","",INDEX($A:$AP,ROW(),$B$6)))</f>
        <v/>
      </c>
      <c r="AS230" s="32">
        <f>IF($AR230="","",IF(ISNUMBER($AR230),IF($AR230&gt;=10000000,IFERROR(DATE(INT($AR230/10000),MOD(INT($AR230/100),100),MOD($AR230,100)),""),INT($AR230)),IFERROR(DATE(--LEFT(LEFT(SUBSTITUTE(SUBSTITUTE(SUBSTITUTE(SUBSTITUTE(TRIM($AR230),"-",""),".",""),"/","")," ",""),8),4),--MID(LEFT(SUBSTITUTE(SUBSTITUTE(SUBSTITUTE(SUBSTITUTE(TRIM($AR230),"-",""),".",""),"/","")," ",""),8),5,2),--MID(LEFT(SUBSTITUTE(SUBSTITUTE(SUBSTITUTE(SUBSTITUTE(TRIM($AR230),"-",""),".",""),"/","")," ",""),8),7,2)),"")))</f>
        <v/>
      </c>
      <c r="AT230" s="33">
        <f>IF($AS230="","",IF($F$6="",0,IF(ISNUMBER(INDEX($A:$AP,ROW(),$F$6)),INDEX($A:$AP,ROW(),$F$6),IFERROR(--SUBSTITUTE(SUBSTITUTE(TRIM(INDEX($A:$AP,ROW(),$F$6)),",",""),"원",""),0))))</f>
        <v/>
      </c>
      <c r="AU230" s="31">
        <f>IF($AS230="","",IF($AX230&lt;&gt;"",SUBSTITUTE(SUBSTITUTE($AX230,"-","")," ",""),"N:"&amp;$AV230))</f>
        <v/>
      </c>
      <c r="AV230" s="31">
        <f>IF(OR($AS230="",$E$6=""),"",TRIM(INDEX($A:$AP,ROW(),$E$6)&amp;""))</f>
        <v/>
      </c>
      <c r="AW230" s="31">
        <f>IF($AU230="","",IF(MATCH($AU230,$AU$8:$AU$2007,0)=ROW()-7,MAX($AW$7:$AW229)+1,""))</f>
        <v/>
      </c>
      <c r="AX230" s="31">
        <f>IF(OR($AS230="",$D$6=""),"",TRIM(INDEX($A:$AP,ROW(),$D$6)&amp;""))</f>
        <v/>
      </c>
      <c r="AY230" s="31">
        <f>IF($AU230="","",INDEX($AW$8:$AW$2007,MATCH($AU230,$AU$8:$AU$2007,0)))</f>
        <v/>
      </c>
      <c r="AZ230" s="31">
        <f>IF(OR($AS230="",$C$6=""),"",TRIM(INDEX($A:$AP,ROW(),$C$6)&amp;""))</f>
        <v/>
      </c>
      <c r="BA230" s="31">
        <f>IF($AZ230="","",IF(COUNTIF($AZ$8:$AZ230,$AZ230)&gt;1,1,0))</f>
        <v/>
      </c>
    </row>
    <row r="231">
      <c r="AR231" s="31">
        <f>IF(OR($A$5="",$B$6="",ROW()&lt;$A$5),"",IF(INDEX($A:$AP,ROW(),$B$6)="","",INDEX($A:$AP,ROW(),$B$6)))</f>
        <v/>
      </c>
      <c r="AS231" s="32">
        <f>IF($AR231="","",IF(ISNUMBER($AR231),IF($AR231&gt;=10000000,IFERROR(DATE(INT($AR231/10000),MOD(INT($AR231/100),100),MOD($AR231,100)),""),INT($AR231)),IFERROR(DATE(--LEFT(LEFT(SUBSTITUTE(SUBSTITUTE(SUBSTITUTE(SUBSTITUTE(TRIM($AR231),"-",""),".",""),"/","")," ",""),8),4),--MID(LEFT(SUBSTITUTE(SUBSTITUTE(SUBSTITUTE(SUBSTITUTE(TRIM($AR231),"-",""),".",""),"/","")," ",""),8),5,2),--MID(LEFT(SUBSTITUTE(SUBSTITUTE(SUBSTITUTE(SUBSTITUTE(TRIM($AR231),"-",""),".",""),"/","")," ",""),8),7,2)),"")))</f>
        <v/>
      </c>
      <c r="AT231" s="33">
        <f>IF($AS231="","",IF($F$6="",0,IF(ISNUMBER(INDEX($A:$AP,ROW(),$F$6)),INDEX($A:$AP,ROW(),$F$6),IFERROR(--SUBSTITUTE(SUBSTITUTE(TRIM(INDEX($A:$AP,ROW(),$F$6)),",",""),"원",""),0))))</f>
        <v/>
      </c>
      <c r="AU231" s="31">
        <f>IF($AS231="","",IF($AX231&lt;&gt;"",SUBSTITUTE(SUBSTITUTE($AX231,"-","")," ",""),"N:"&amp;$AV231))</f>
        <v/>
      </c>
      <c r="AV231" s="31">
        <f>IF(OR($AS231="",$E$6=""),"",TRIM(INDEX($A:$AP,ROW(),$E$6)&amp;""))</f>
        <v/>
      </c>
      <c r="AW231" s="31">
        <f>IF($AU231="","",IF(MATCH($AU231,$AU$8:$AU$2007,0)=ROW()-7,MAX($AW$7:$AW230)+1,""))</f>
        <v/>
      </c>
      <c r="AX231" s="31">
        <f>IF(OR($AS231="",$D$6=""),"",TRIM(INDEX($A:$AP,ROW(),$D$6)&amp;""))</f>
        <v/>
      </c>
      <c r="AY231" s="31">
        <f>IF($AU231="","",INDEX($AW$8:$AW$2007,MATCH($AU231,$AU$8:$AU$2007,0)))</f>
        <v/>
      </c>
      <c r="AZ231" s="31">
        <f>IF(OR($AS231="",$C$6=""),"",TRIM(INDEX($A:$AP,ROW(),$C$6)&amp;""))</f>
        <v/>
      </c>
      <c r="BA231" s="31">
        <f>IF($AZ231="","",IF(COUNTIF($AZ$8:$AZ231,$AZ231)&gt;1,1,0))</f>
        <v/>
      </c>
    </row>
    <row r="232">
      <c r="AR232" s="31">
        <f>IF(OR($A$5="",$B$6="",ROW()&lt;$A$5),"",IF(INDEX($A:$AP,ROW(),$B$6)="","",INDEX($A:$AP,ROW(),$B$6)))</f>
        <v/>
      </c>
      <c r="AS232" s="32">
        <f>IF($AR232="","",IF(ISNUMBER($AR232),IF($AR232&gt;=10000000,IFERROR(DATE(INT($AR232/10000),MOD(INT($AR232/100),100),MOD($AR232,100)),""),INT($AR232)),IFERROR(DATE(--LEFT(LEFT(SUBSTITUTE(SUBSTITUTE(SUBSTITUTE(SUBSTITUTE(TRIM($AR232),"-",""),".",""),"/","")," ",""),8),4),--MID(LEFT(SUBSTITUTE(SUBSTITUTE(SUBSTITUTE(SUBSTITUTE(TRIM($AR232),"-",""),".",""),"/","")," ",""),8),5,2),--MID(LEFT(SUBSTITUTE(SUBSTITUTE(SUBSTITUTE(SUBSTITUTE(TRIM($AR232),"-",""),".",""),"/","")," ",""),8),7,2)),"")))</f>
        <v/>
      </c>
      <c r="AT232" s="33">
        <f>IF($AS232="","",IF($F$6="",0,IF(ISNUMBER(INDEX($A:$AP,ROW(),$F$6)),INDEX($A:$AP,ROW(),$F$6),IFERROR(--SUBSTITUTE(SUBSTITUTE(TRIM(INDEX($A:$AP,ROW(),$F$6)),",",""),"원",""),0))))</f>
        <v/>
      </c>
      <c r="AU232" s="31">
        <f>IF($AS232="","",IF($AX232&lt;&gt;"",SUBSTITUTE(SUBSTITUTE($AX232,"-","")," ",""),"N:"&amp;$AV232))</f>
        <v/>
      </c>
      <c r="AV232" s="31">
        <f>IF(OR($AS232="",$E$6=""),"",TRIM(INDEX($A:$AP,ROW(),$E$6)&amp;""))</f>
        <v/>
      </c>
      <c r="AW232" s="31">
        <f>IF($AU232="","",IF(MATCH($AU232,$AU$8:$AU$2007,0)=ROW()-7,MAX($AW$7:$AW231)+1,""))</f>
        <v/>
      </c>
      <c r="AX232" s="31">
        <f>IF(OR($AS232="",$D$6=""),"",TRIM(INDEX($A:$AP,ROW(),$D$6)&amp;""))</f>
        <v/>
      </c>
      <c r="AY232" s="31">
        <f>IF($AU232="","",INDEX($AW$8:$AW$2007,MATCH($AU232,$AU$8:$AU$2007,0)))</f>
        <v/>
      </c>
      <c r="AZ232" s="31">
        <f>IF(OR($AS232="",$C$6=""),"",TRIM(INDEX($A:$AP,ROW(),$C$6)&amp;""))</f>
        <v/>
      </c>
      <c r="BA232" s="31">
        <f>IF($AZ232="","",IF(COUNTIF($AZ$8:$AZ232,$AZ232)&gt;1,1,0))</f>
        <v/>
      </c>
    </row>
    <row r="233">
      <c r="AR233" s="31">
        <f>IF(OR($A$5="",$B$6="",ROW()&lt;$A$5),"",IF(INDEX($A:$AP,ROW(),$B$6)="","",INDEX($A:$AP,ROW(),$B$6)))</f>
        <v/>
      </c>
      <c r="AS233" s="32">
        <f>IF($AR233="","",IF(ISNUMBER($AR233),IF($AR233&gt;=10000000,IFERROR(DATE(INT($AR233/10000),MOD(INT($AR233/100),100),MOD($AR233,100)),""),INT($AR233)),IFERROR(DATE(--LEFT(LEFT(SUBSTITUTE(SUBSTITUTE(SUBSTITUTE(SUBSTITUTE(TRIM($AR233),"-",""),".",""),"/","")," ",""),8),4),--MID(LEFT(SUBSTITUTE(SUBSTITUTE(SUBSTITUTE(SUBSTITUTE(TRIM($AR233),"-",""),".",""),"/","")," ",""),8),5,2),--MID(LEFT(SUBSTITUTE(SUBSTITUTE(SUBSTITUTE(SUBSTITUTE(TRIM($AR233),"-",""),".",""),"/","")," ",""),8),7,2)),"")))</f>
        <v/>
      </c>
      <c r="AT233" s="33">
        <f>IF($AS233="","",IF($F$6="",0,IF(ISNUMBER(INDEX($A:$AP,ROW(),$F$6)),INDEX($A:$AP,ROW(),$F$6),IFERROR(--SUBSTITUTE(SUBSTITUTE(TRIM(INDEX($A:$AP,ROW(),$F$6)),",",""),"원",""),0))))</f>
        <v/>
      </c>
      <c r="AU233" s="31">
        <f>IF($AS233="","",IF($AX233&lt;&gt;"",SUBSTITUTE(SUBSTITUTE($AX233,"-","")," ",""),"N:"&amp;$AV233))</f>
        <v/>
      </c>
      <c r="AV233" s="31">
        <f>IF(OR($AS233="",$E$6=""),"",TRIM(INDEX($A:$AP,ROW(),$E$6)&amp;""))</f>
        <v/>
      </c>
      <c r="AW233" s="31">
        <f>IF($AU233="","",IF(MATCH($AU233,$AU$8:$AU$2007,0)=ROW()-7,MAX($AW$7:$AW232)+1,""))</f>
        <v/>
      </c>
      <c r="AX233" s="31">
        <f>IF(OR($AS233="",$D$6=""),"",TRIM(INDEX($A:$AP,ROW(),$D$6)&amp;""))</f>
        <v/>
      </c>
      <c r="AY233" s="31">
        <f>IF($AU233="","",INDEX($AW$8:$AW$2007,MATCH($AU233,$AU$8:$AU$2007,0)))</f>
        <v/>
      </c>
      <c r="AZ233" s="31">
        <f>IF(OR($AS233="",$C$6=""),"",TRIM(INDEX($A:$AP,ROW(),$C$6)&amp;""))</f>
        <v/>
      </c>
      <c r="BA233" s="31">
        <f>IF($AZ233="","",IF(COUNTIF($AZ$8:$AZ233,$AZ233)&gt;1,1,0))</f>
        <v/>
      </c>
    </row>
    <row r="234">
      <c r="AR234" s="31">
        <f>IF(OR($A$5="",$B$6="",ROW()&lt;$A$5),"",IF(INDEX($A:$AP,ROW(),$B$6)="","",INDEX($A:$AP,ROW(),$B$6)))</f>
        <v/>
      </c>
      <c r="AS234" s="32">
        <f>IF($AR234="","",IF(ISNUMBER($AR234),IF($AR234&gt;=10000000,IFERROR(DATE(INT($AR234/10000),MOD(INT($AR234/100),100),MOD($AR234,100)),""),INT($AR234)),IFERROR(DATE(--LEFT(LEFT(SUBSTITUTE(SUBSTITUTE(SUBSTITUTE(SUBSTITUTE(TRIM($AR234),"-",""),".",""),"/","")," ",""),8),4),--MID(LEFT(SUBSTITUTE(SUBSTITUTE(SUBSTITUTE(SUBSTITUTE(TRIM($AR234),"-",""),".",""),"/","")," ",""),8),5,2),--MID(LEFT(SUBSTITUTE(SUBSTITUTE(SUBSTITUTE(SUBSTITUTE(TRIM($AR234),"-",""),".",""),"/","")," ",""),8),7,2)),"")))</f>
        <v/>
      </c>
      <c r="AT234" s="33">
        <f>IF($AS234="","",IF($F$6="",0,IF(ISNUMBER(INDEX($A:$AP,ROW(),$F$6)),INDEX($A:$AP,ROW(),$F$6),IFERROR(--SUBSTITUTE(SUBSTITUTE(TRIM(INDEX($A:$AP,ROW(),$F$6)),",",""),"원",""),0))))</f>
        <v/>
      </c>
      <c r="AU234" s="31">
        <f>IF($AS234="","",IF($AX234&lt;&gt;"",SUBSTITUTE(SUBSTITUTE($AX234,"-","")," ",""),"N:"&amp;$AV234))</f>
        <v/>
      </c>
      <c r="AV234" s="31">
        <f>IF(OR($AS234="",$E$6=""),"",TRIM(INDEX($A:$AP,ROW(),$E$6)&amp;""))</f>
        <v/>
      </c>
      <c r="AW234" s="31">
        <f>IF($AU234="","",IF(MATCH($AU234,$AU$8:$AU$2007,0)=ROW()-7,MAX($AW$7:$AW233)+1,""))</f>
        <v/>
      </c>
      <c r="AX234" s="31">
        <f>IF(OR($AS234="",$D$6=""),"",TRIM(INDEX($A:$AP,ROW(),$D$6)&amp;""))</f>
        <v/>
      </c>
      <c r="AY234" s="31">
        <f>IF($AU234="","",INDEX($AW$8:$AW$2007,MATCH($AU234,$AU$8:$AU$2007,0)))</f>
        <v/>
      </c>
      <c r="AZ234" s="31">
        <f>IF(OR($AS234="",$C$6=""),"",TRIM(INDEX($A:$AP,ROW(),$C$6)&amp;""))</f>
        <v/>
      </c>
      <c r="BA234" s="31">
        <f>IF($AZ234="","",IF(COUNTIF($AZ$8:$AZ234,$AZ234)&gt;1,1,0))</f>
        <v/>
      </c>
    </row>
    <row r="235">
      <c r="AR235" s="31">
        <f>IF(OR($A$5="",$B$6="",ROW()&lt;$A$5),"",IF(INDEX($A:$AP,ROW(),$B$6)="","",INDEX($A:$AP,ROW(),$B$6)))</f>
        <v/>
      </c>
      <c r="AS235" s="32">
        <f>IF($AR235="","",IF(ISNUMBER($AR235),IF($AR235&gt;=10000000,IFERROR(DATE(INT($AR235/10000),MOD(INT($AR235/100),100),MOD($AR235,100)),""),INT($AR235)),IFERROR(DATE(--LEFT(LEFT(SUBSTITUTE(SUBSTITUTE(SUBSTITUTE(SUBSTITUTE(TRIM($AR235),"-",""),".",""),"/","")," ",""),8),4),--MID(LEFT(SUBSTITUTE(SUBSTITUTE(SUBSTITUTE(SUBSTITUTE(TRIM($AR235),"-",""),".",""),"/","")," ",""),8),5,2),--MID(LEFT(SUBSTITUTE(SUBSTITUTE(SUBSTITUTE(SUBSTITUTE(TRIM($AR235),"-",""),".",""),"/","")," ",""),8),7,2)),"")))</f>
        <v/>
      </c>
      <c r="AT235" s="33">
        <f>IF($AS235="","",IF($F$6="",0,IF(ISNUMBER(INDEX($A:$AP,ROW(),$F$6)),INDEX($A:$AP,ROW(),$F$6),IFERROR(--SUBSTITUTE(SUBSTITUTE(TRIM(INDEX($A:$AP,ROW(),$F$6)),",",""),"원",""),0))))</f>
        <v/>
      </c>
      <c r="AU235" s="31">
        <f>IF($AS235="","",IF($AX235&lt;&gt;"",SUBSTITUTE(SUBSTITUTE($AX235,"-","")," ",""),"N:"&amp;$AV235))</f>
        <v/>
      </c>
      <c r="AV235" s="31">
        <f>IF(OR($AS235="",$E$6=""),"",TRIM(INDEX($A:$AP,ROW(),$E$6)&amp;""))</f>
        <v/>
      </c>
      <c r="AW235" s="31">
        <f>IF($AU235="","",IF(MATCH($AU235,$AU$8:$AU$2007,0)=ROW()-7,MAX($AW$7:$AW234)+1,""))</f>
        <v/>
      </c>
      <c r="AX235" s="31">
        <f>IF(OR($AS235="",$D$6=""),"",TRIM(INDEX($A:$AP,ROW(),$D$6)&amp;""))</f>
        <v/>
      </c>
      <c r="AY235" s="31">
        <f>IF($AU235="","",INDEX($AW$8:$AW$2007,MATCH($AU235,$AU$8:$AU$2007,0)))</f>
        <v/>
      </c>
      <c r="AZ235" s="31">
        <f>IF(OR($AS235="",$C$6=""),"",TRIM(INDEX($A:$AP,ROW(),$C$6)&amp;""))</f>
        <v/>
      </c>
      <c r="BA235" s="31">
        <f>IF($AZ235="","",IF(COUNTIF($AZ$8:$AZ235,$AZ235)&gt;1,1,0))</f>
        <v/>
      </c>
    </row>
    <row r="236">
      <c r="AR236" s="31">
        <f>IF(OR($A$5="",$B$6="",ROW()&lt;$A$5),"",IF(INDEX($A:$AP,ROW(),$B$6)="","",INDEX($A:$AP,ROW(),$B$6)))</f>
        <v/>
      </c>
      <c r="AS236" s="32">
        <f>IF($AR236="","",IF(ISNUMBER($AR236),IF($AR236&gt;=10000000,IFERROR(DATE(INT($AR236/10000),MOD(INT($AR236/100),100),MOD($AR236,100)),""),INT($AR236)),IFERROR(DATE(--LEFT(LEFT(SUBSTITUTE(SUBSTITUTE(SUBSTITUTE(SUBSTITUTE(TRIM($AR236),"-",""),".",""),"/","")," ",""),8),4),--MID(LEFT(SUBSTITUTE(SUBSTITUTE(SUBSTITUTE(SUBSTITUTE(TRIM($AR236),"-",""),".",""),"/","")," ",""),8),5,2),--MID(LEFT(SUBSTITUTE(SUBSTITUTE(SUBSTITUTE(SUBSTITUTE(TRIM($AR236),"-",""),".",""),"/","")," ",""),8),7,2)),"")))</f>
        <v/>
      </c>
      <c r="AT236" s="33">
        <f>IF($AS236="","",IF($F$6="",0,IF(ISNUMBER(INDEX($A:$AP,ROW(),$F$6)),INDEX($A:$AP,ROW(),$F$6),IFERROR(--SUBSTITUTE(SUBSTITUTE(TRIM(INDEX($A:$AP,ROW(),$F$6)),",",""),"원",""),0))))</f>
        <v/>
      </c>
      <c r="AU236" s="31">
        <f>IF($AS236="","",IF($AX236&lt;&gt;"",SUBSTITUTE(SUBSTITUTE($AX236,"-","")," ",""),"N:"&amp;$AV236))</f>
        <v/>
      </c>
      <c r="AV236" s="31">
        <f>IF(OR($AS236="",$E$6=""),"",TRIM(INDEX($A:$AP,ROW(),$E$6)&amp;""))</f>
        <v/>
      </c>
      <c r="AW236" s="31">
        <f>IF($AU236="","",IF(MATCH($AU236,$AU$8:$AU$2007,0)=ROW()-7,MAX($AW$7:$AW235)+1,""))</f>
        <v/>
      </c>
      <c r="AX236" s="31">
        <f>IF(OR($AS236="",$D$6=""),"",TRIM(INDEX($A:$AP,ROW(),$D$6)&amp;""))</f>
        <v/>
      </c>
      <c r="AY236" s="31">
        <f>IF($AU236="","",INDEX($AW$8:$AW$2007,MATCH($AU236,$AU$8:$AU$2007,0)))</f>
        <v/>
      </c>
      <c r="AZ236" s="31">
        <f>IF(OR($AS236="",$C$6=""),"",TRIM(INDEX($A:$AP,ROW(),$C$6)&amp;""))</f>
        <v/>
      </c>
      <c r="BA236" s="31">
        <f>IF($AZ236="","",IF(COUNTIF($AZ$8:$AZ236,$AZ236)&gt;1,1,0))</f>
        <v/>
      </c>
    </row>
    <row r="237">
      <c r="AR237" s="31">
        <f>IF(OR($A$5="",$B$6="",ROW()&lt;$A$5),"",IF(INDEX($A:$AP,ROW(),$B$6)="","",INDEX($A:$AP,ROW(),$B$6)))</f>
        <v/>
      </c>
      <c r="AS237" s="32">
        <f>IF($AR237="","",IF(ISNUMBER($AR237),IF($AR237&gt;=10000000,IFERROR(DATE(INT($AR237/10000),MOD(INT($AR237/100),100),MOD($AR237,100)),""),INT($AR237)),IFERROR(DATE(--LEFT(LEFT(SUBSTITUTE(SUBSTITUTE(SUBSTITUTE(SUBSTITUTE(TRIM($AR237),"-",""),".",""),"/","")," ",""),8),4),--MID(LEFT(SUBSTITUTE(SUBSTITUTE(SUBSTITUTE(SUBSTITUTE(TRIM($AR237),"-",""),".",""),"/","")," ",""),8),5,2),--MID(LEFT(SUBSTITUTE(SUBSTITUTE(SUBSTITUTE(SUBSTITUTE(TRIM($AR237),"-",""),".",""),"/","")," ",""),8),7,2)),"")))</f>
        <v/>
      </c>
      <c r="AT237" s="33">
        <f>IF($AS237="","",IF($F$6="",0,IF(ISNUMBER(INDEX($A:$AP,ROW(),$F$6)),INDEX($A:$AP,ROW(),$F$6),IFERROR(--SUBSTITUTE(SUBSTITUTE(TRIM(INDEX($A:$AP,ROW(),$F$6)),",",""),"원",""),0))))</f>
        <v/>
      </c>
      <c r="AU237" s="31">
        <f>IF($AS237="","",IF($AX237&lt;&gt;"",SUBSTITUTE(SUBSTITUTE($AX237,"-","")," ",""),"N:"&amp;$AV237))</f>
        <v/>
      </c>
      <c r="AV237" s="31">
        <f>IF(OR($AS237="",$E$6=""),"",TRIM(INDEX($A:$AP,ROW(),$E$6)&amp;""))</f>
        <v/>
      </c>
      <c r="AW237" s="31">
        <f>IF($AU237="","",IF(MATCH($AU237,$AU$8:$AU$2007,0)=ROW()-7,MAX($AW$7:$AW236)+1,""))</f>
        <v/>
      </c>
      <c r="AX237" s="31">
        <f>IF(OR($AS237="",$D$6=""),"",TRIM(INDEX($A:$AP,ROW(),$D$6)&amp;""))</f>
        <v/>
      </c>
      <c r="AY237" s="31">
        <f>IF($AU237="","",INDEX($AW$8:$AW$2007,MATCH($AU237,$AU$8:$AU$2007,0)))</f>
        <v/>
      </c>
      <c r="AZ237" s="31">
        <f>IF(OR($AS237="",$C$6=""),"",TRIM(INDEX($A:$AP,ROW(),$C$6)&amp;""))</f>
        <v/>
      </c>
      <c r="BA237" s="31">
        <f>IF($AZ237="","",IF(COUNTIF($AZ$8:$AZ237,$AZ237)&gt;1,1,0))</f>
        <v/>
      </c>
    </row>
    <row r="238">
      <c r="AR238" s="31">
        <f>IF(OR($A$5="",$B$6="",ROW()&lt;$A$5),"",IF(INDEX($A:$AP,ROW(),$B$6)="","",INDEX($A:$AP,ROW(),$B$6)))</f>
        <v/>
      </c>
      <c r="AS238" s="32">
        <f>IF($AR238="","",IF(ISNUMBER($AR238),IF($AR238&gt;=10000000,IFERROR(DATE(INT($AR238/10000),MOD(INT($AR238/100),100),MOD($AR238,100)),""),INT($AR238)),IFERROR(DATE(--LEFT(LEFT(SUBSTITUTE(SUBSTITUTE(SUBSTITUTE(SUBSTITUTE(TRIM($AR238),"-",""),".",""),"/","")," ",""),8),4),--MID(LEFT(SUBSTITUTE(SUBSTITUTE(SUBSTITUTE(SUBSTITUTE(TRIM($AR238),"-",""),".",""),"/","")," ",""),8),5,2),--MID(LEFT(SUBSTITUTE(SUBSTITUTE(SUBSTITUTE(SUBSTITUTE(TRIM($AR238),"-",""),".",""),"/","")," ",""),8),7,2)),"")))</f>
        <v/>
      </c>
      <c r="AT238" s="33">
        <f>IF($AS238="","",IF($F$6="",0,IF(ISNUMBER(INDEX($A:$AP,ROW(),$F$6)),INDEX($A:$AP,ROW(),$F$6),IFERROR(--SUBSTITUTE(SUBSTITUTE(TRIM(INDEX($A:$AP,ROW(),$F$6)),",",""),"원",""),0))))</f>
        <v/>
      </c>
      <c r="AU238" s="31">
        <f>IF($AS238="","",IF($AX238&lt;&gt;"",SUBSTITUTE(SUBSTITUTE($AX238,"-","")," ",""),"N:"&amp;$AV238))</f>
        <v/>
      </c>
      <c r="AV238" s="31">
        <f>IF(OR($AS238="",$E$6=""),"",TRIM(INDEX($A:$AP,ROW(),$E$6)&amp;""))</f>
        <v/>
      </c>
      <c r="AW238" s="31">
        <f>IF($AU238="","",IF(MATCH($AU238,$AU$8:$AU$2007,0)=ROW()-7,MAX($AW$7:$AW237)+1,""))</f>
        <v/>
      </c>
      <c r="AX238" s="31">
        <f>IF(OR($AS238="",$D$6=""),"",TRIM(INDEX($A:$AP,ROW(),$D$6)&amp;""))</f>
        <v/>
      </c>
      <c r="AY238" s="31">
        <f>IF($AU238="","",INDEX($AW$8:$AW$2007,MATCH($AU238,$AU$8:$AU$2007,0)))</f>
        <v/>
      </c>
      <c r="AZ238" s="31">
        <f>IF(OR($AS238="",$C$6=""),"",TRIM(INDEX($A:$AP,ROW(),$C$6)&amp;""))</f>
        <v/>
      </c>
      <c r="BA238" s="31">
        <f>IF($AZ238="","",IF(COUNTIF($AZ$8:$AZ238,$AZ238)&gt;1,1,0))</f>
        <v/>
      </c>
    </row>
    <row r="239">
      <c r="AR239" s="31">
        <f>IF(OR($A$5="",$B$6="",ROW()&lt;$A$5),"",IF(INDEX($A:$AP,ROW(),$B$6)="","",INDEX($A:$AP,ROW(),$B$6)))</f>
        <v/>
      </c>
      <c r="AS239" s="32">
        <f>IF($AR239="","",IF(ISNUMBER($AR239),IF($AR239&gt;=10000000,IFERROR(DATE(INT($AR239/10000),MOD(INT($AR239/100),100),MOD($AR239,100)),""),INT($AR239)),IFERROR(DATE(--LEFT(LEFT(SUBSTITUTE(SUBSTITUTE(SUBSTITUTE(SUBSTITUTE(TRIM($AR239),"-",""),".",""),"/","")," ",""),8),4),--MID(LEFT(SUBSTITUTE(SUBSTITUTE(SUBSTITUTE(SUBSTITUTE(TRIM($AR239),"-",""),".",""),"/","")," ",""),8),5,2),--MID(LEFT(SUBSTITUTE(SUBSTITUTE(SUBSTITUTE(SUBSTITUTE(TRIM($AR239),"-",""),".",""),"/","")," ",""),8),7,2)),"")))</f>
        <v/>
      </c>
      <c r="AT239" s="33">
        <f>IF($AS239="","",IF($F$6="",0,IF(ISNUMBER(INDEX($A:$AP,ROW(),$F$6)),INDEX($A:$AP,ROW(),$F$6),IFERROR(--SUBSTITUTE(SUBSTITUTE(TRIM(INDEX($A:$AP,ROW(),$F$6)),",",""),"원",""),0))))</f>
        <v/>
      </c>
      <c r="AU239" s="31">
        <f>IF($AS239="","",IF($AX239&lt;&gt;"",SUBSTITUTE(SUBSTITUTE($AX239,"-","")," ",""),"N:"&amp;$AV239))</f>
        <v/>
      </c>
      <c r="AV239" s="31">
        <f>IF(OR($AS239="",$E$6=""),"",TRIM(INDEX($A:$AP,ROW(),$E$6)&amp;""))</f>
        <v/>
      </c>
      <c r="AW239" s="31">
        <f>IF($AU239="","",IF(MATCH($AU239,$AU$8:$AU$2007,0)=ROW()-7,MAX($AW$7:$AW238)+1,""))</f>
        <v/>
      </c>
      <c r="AX239" s="31">
        <f>IF(OR($AS239="",$D$6=""),"",TRIM(INDEX($A:$AP,ROW(),$D$6)&amp;""))</f>
        <v/>
      </c>
      <c r="AY239" s="31">
        <f>IF($AU239="","",INDEX($AW$8:$AW$2007,MATCH($AU239,$AU$8:$AU$2007,0)))</f>
        <v/>
      </c>
      <c r="AZ239" s="31">
        <f>IF(OR($AS239="",$C$6=""),"",TRIM(INDEX($A:$AP,ROW(),$C$6)&amp;""))</f>
        <v/>
      </c>
      <c r="BA239" s="31">
        <f>IF($AZ239="","",IF(COUNTIF($AZ$8:$AZ239,$AZ239)&gt;1,1,0))</f>
        <v/>
      </c>
    </row>
    <row r="240">
      <c r="AR240" s="31">
        <f>IF(OR($A$5="",$B$6="",ROW()&lt;$A$5),"",IF(INDEX($A:$AP,ROW(),$B$6)="","",INDEX($A:$AP,ROW(),$B$6)))</f>
        <v/>
      </c>
      <c r="AS240" s="32">
        <f>IF($AR240="","",IF(ISNUMBER($AR240),IF($AR240&gt;=10000000,IFERROR(DATE(INT($AR240/10000),MOD(INT($AR240/100),100),MOD($AR240,100)),""),INT($AR240)),IFERROR(DATE(--LEFT(LEFT(SUBSTITUTE(SUBSTITUTE(SUBSTITUTE(SUBSTITUTE(TRIM($AR240),"-",""),".",""),"/","")," ",""),8),4),--MID(LEFT(SUBSTITUTE(SUBSTITUTE(SUBSTITUTE(SUBSTITUTE(TRIM($AR240),"-",""),".",""),"/","")," ",""),8),5,2),--MID(LEFT(SUBSTITUTE(SUBSTITUTE(SUBSTITUTE(SUBSTITUTE(TRIM($AR240),"-",""),".",""),"/","")," ",""),8),7,2)),"")))</f>
        <v/>
      </c>
      <c r="AT240" s="33">
        <f>IF($AS240="","",IF($F$6="",0,IF(ISNUMBER(INDEX($A:$AP,ROW(),$F$6)),INDEX($A:$AP,ROW(),$F$6),IFERROR(--SUBSTITUTE(SUBSTITUTE(TRIM(INDEX($A:$AP,ROW(),$F$6)),",",""),"원",""),0))))</f>
        <v/>
      </c>
      <c r="AU240" s="31">
        <f>IF($AS240="","",IF($AX240&lt;&gt;"",SUBSTITUTE(SUBSTITUTE($AX240,"-","")," ",""),"N:"&amp;$AV240))</f>
        <v/>
      </c>
      <c r="AV240" s="31">
        <f>IF(OR($AS240="",$E$6=""),"",TRIM(INDEX($A:$AP,ROW(),$E$6)&amp;""))</f>
        <v/>
      </c>
      <c r="AW240" s="31">
        <f>IF($AU240="","",IF(MATCH($AU240,$AU$8:$AU$2007,0)=ROW()-7,MAX($AW$7:$AW239)+1,""))</f>
        <v/>
      </c>
      <c r="AX240" s="31">
        <f>IF(OR($AS240="",$D$6=""),"",TRIM(INDEX($A:$AP,ROW(),$D$6)&amp;""))</f>
        <v/>
      </c>
      <c r="AY240" s="31">
        <f>IF($AU240="","",INDEX($AW$8:$AW$2007,MATCH($AU240,$AU$8:$AU$2007,0)))</f>
        <v/>
      </c>
      <c r="AZ240" s="31">
        <f>IF(OR($AS240="",$C$6=""),"",TRIM(INDEX($A:$AP,ROW(),$C$6)&amp;""))</f>
        <v/>
      </c>
      <c r="BA240" s="31">
        <f>IF($AZ240="","",IF(COUNTIF($AZ$8:$AZ240,$AZ240)&gt;1,1,0))</f>
        <v/>
      </c>
    </row>
    <row r="241">
      <c r="AR241" s="31">
        <f>IF(OR($A$5="",$B$6="",ROW()&lt;$A$5),"",IF(INDEX($A:$AP,ROW(),$B$6)="","",INDEX($A:$AP,ROW(),$B$6)))</f>
        <v/>
      </c>
      <c r="AS241" s="32">
        <f>IF($AR241="","",IF(ISNUMBER($AR241),IF($AR241&gt;=10000000,IFERROR(DATE(INT($AR241/10000),MOD(INT($AR241/100),100),MOD($AR241,100)),""),INT($AR241)),IFERROR(DATE(--LEFT(LEFT(SUBSTITUTE(SUBSTITUTE(SUBSTITUTE(SUBSTITUTE(TRIM($AR241),"-",""),".",""),"/","")," ",""),8),4),--MID(LEFT(SUBSTITUTE(SUBSTITUTE(SUBSTITUTE(SUBSTITUTE(TRIM($AR241),"-",""),".",""),"/","")," ",""),8),5,2),--MID(LEFT(SUBSTITUTE(SUBSTITUTE(SUBSTITUTE(SUBSTITUTE(TRIM($AR241),"-",""),".",""),"/","")," ",""),8),7,2)),"")))</f>
        <v/>
      </c>
      <c r="AT241" s="33">
        <f>IF($AS241="","",IF($F$6="",0,IF(ISNUMBER(INDEX($A:$AP,ROW(),$F$6)),INDEX($A:$AP,ROW(),$F$6),IFERROR(--SUBSTITUTE(SUBSTITUTE(TRIM(INDEX($A:$AP,ROW(),$F$6)),",",""),"원",""),0))))</f>
        <v/>
      </c>
      <c r="AU241" s="31">
        <f>IF($AS241="","",IF($AX241&lt;&gt;"",SUBSTITUTE(SUBSTITUTE($AX241,"-","")," ",""),"N:"&amp;$AV241))</f>
        <v/>
      </c>
      <c r="AV241" s="31">
        <f>IF(OR($AS241="",$E$6=""),"",TRIM(INDEX($A:$AP,ROW(),$E$6)&amp;""))</f>
        <v/>
      </c>
      <c r="AW241" s="31">
        <f>IF($AU241="","",IF(MATCH($AU241,$AU$8:$AU$2007,0)=ROW()-7,MAX($AW$7:$AW240)+1,""))</f>
        <v/>
      </c>
      <c r="AX241" s="31">
        <f>IF(OR($AS241="",$D$6=""),"",TRIM(INDEX($A:$AP,ROW(),$D$6)&amp;""))</f>
        <v/>
      </c>
      <c r="AY241" s="31">
        <f>IF($AU241="","",INDEX($AW$8:$AW$2007,MATCH($AU241,$AU$8:$AU$2007,0)))</f>
        <v/>
      </c>
      <c r="AZ241" s="31">
        <f>IF(OR($AS241="",$C$6=""),"",TRIM(INDEX($A:$AP,ROW(),$C$6)&amp;""))</f>
        <v/>
      </c>
      <c r="BA241" s="31">
        <f>IF($AZ241="","",IF(COUNTIF($AZ$8:$AZ241,$AZ241)&gt;1,1,0))</f>
        <v/>
      </c>
    </row>
    <row r="242">
      <c r="AR242" s="31">
        <f>IF(OR($A$5="",$B$6="",ROW()&lt;$A$5),"",IF(INDEX($A:$AP,ROW(),$B$6)="","",INDEX($A:$AP,ROW(),$B$6)))</f>
        <v/>
      </c>
      <c r="AS242" s="32">
        <f>IF($AR242="","",IF(ISNUMBER($AR242),IF($AR242&gt;=10000000,IFERROR(DATE(INT($AR242/10000),MOD(INT($AR242/100),100),MOD($AR242,100)),""),INT($AR242)),IFERROR(DATE(--LEFT(LEFT(SUBSTITUTE(SUBSTITUTE(SUBSTITUTE(SUBSTITUTE(TRIM($AR242),"-",""),".",""),"/","")," ",""),8),4),--MID(LEFT(SUBSTITUTE(SUBSTITUTE(SUBSTITUTE(SUBSTITUTE(TRIM($AR242),"-",""),".",""),"/","")," ",""),8),5,2),--MID(LEFT(SUBSTITUTE(SUBSTITUTE(SUBSTITUTE(SUBSTITUTE(TRIM($AR242),"-",""),".",""),"/","")," ",""),8),7,2)),"")))</f>
        <v/>
      </c>
      <c r="AT242" s="33">
        <f>IF($AS242="","",IF($F$6="",0,IF(ISNUMBER(INDEX($A:$AP,ROW(),$F$6)),INDEX($A:$AP,ROW(),$F$6),IFERROR(--SUBSTITUTE(SUBSTITUTE(TRIM(INDEX($A:$AP,ROW(),$F$6)),",",""),"원",""),0))))</f>
        <v/>
      </c>
      <c r="AU242" s="31">
        <f>IF($AS242="","",IF($AX242&lt;&gt;"",SUBSTITUTE(SUBSTITUTE($AX242,"-","")," ",""),"N:"&amp;$AV242))</f>
        <v/>
      </c>
      <c r="AV242" s="31">
        <f>IF(OR($AS242="",$E$6=""),"",TRIM(INDEX($A:$AP,ROW(),$E$6)&amp;""))</f>
        <v/>
      </c>
      <c r="AW242" s="31">
        <f>IF($AU242="","",IF(MATCH($AU242,$AU$8:$AU$2007,0)=ROW()-7,MAX($AW$7:$AW241)+1,""))</f>
        <v/>
      </c>
      <c r="AX242" s="31">
        <f>IF(OR($AS242="",$D$6=""),"",TRIM(INDEX($A:$AP,ROW(),$D$6)&amp;""))</f>
        <v/>
      </c>
      <c r="AY242" s="31">
        <f>IF($AU242="","",INDEX($AW$8:$AW$2007,MATCH($AU242,$AU$8:$AU$2007,0)))</f>
        <v/>
      </c>
      <c r="AZ242" s="31">
        <f>IF(OR($AS242="",$C$6=""),"",TRIM(INDEX($A:$AP,ROW(),$C$6)&amp;""))</f>
        <v/>
      </c>
      <c r="BA242" s="31">
        <f>IF($AZ242="","",IF(COUNTIF($AZ$8:$AZ242,$AZ242)&gt;1,1,0))</f>
        <v/>
      </c>
    </row>
    <row r="243">
      <c r="AR243" s="31">
        <f>IF(OR($A$5="",$B$6="",ROW()&lt;$A$5),"",IF(INDEX($A:$AP,ROW(),$B$6)="","",INDEX($A:$AP,ROW(),$B$6)))</f>
        <v/>
      </c>
      <c r="AS243" s="32">
        <f>IF($AR243="","",IF(ISNUMBER($AR243),IF($AR243&gt;=10000000,IFERROR(DATE(INT($AR243/10000),MOD(INT($AR243/100),100),MOD($AR243,100)),""),INT($AR243)),IFERROR(DATE(--LEFT(LEFT(SUBSTITUTE(SUBSTITUTE(SUBSTITUTE(SUBSTITUTE(TRIM($AR243),"-",""),".",""),"/","")," ",""),8),4),--MID(LEFT(SUBSTITUTE(SUBSTITUTE(SUBSTITUTE(SUBSTITUTE(TRIM($AR243),"-",""),".",""),"/","")," ",""),8),5,2),--MID(LEFT(SUBSTITUTE(SUBSTITUTE(SUBSTITUTE(SUBSTITUTE(TRIM($AR243),"-",""),".",""),"/","")," ",""),8),7,2)),"")))</f>
        <v/>
      </c>
      <c r="AT243" s="33">
        <f>IF($AS243="","",IF($F$6="",0,IF(ISNUMBER(INDEX($A:$AP,ROW(),$F$6)),INDEX($A:$AP,ROW(),$F$6),IFERROR(--SUBSTITUTE(SUBSTITUTE(TRIM(INDEX($A:$AP,ROW(),$F$6)),",",""),"원",""),0))))</f>
        <v/>
      </c>
      <c r="AU243" s="31">
        <f>IF($AS243="","",IF($AX243&lt;&gt;"",SUBSTITUTE(SUBSTITUTE($AX243,"-","")," ",""),"N:"&amp;$AV243))</f>
        <v/>
      </c>
      <c r="AV243" s="31">
        <f>IF(OR($AS243="",$E$6=""),"",TRIM(INDEX($A:$AP,ROW(),$E$6)&amp;""))</f>
        <v/>
      </c>
      <c r="AW243" s="31">
        <f>IF($AU243="","",IF(MATCH($AU243,$AU$8:$AU$2007,0)=ROW()-7,MAX($AW$7:$AW242)+1,""))</f>
        <v/>
      </c>
      <c r="AX243" s="31">
        <f>IF(OR($AS243="",$D$6=""),"",TRIM(INDEX($A:$AP,ROW(),$D$6)&amp;""))</f>
        <v/>
      </c>
      <c r="AY243" s="31">
        <f>IF($AU243="","",INDEX($AW$8:$AW$2007,MATCH($AU243,$AU$8:$AU$2007,0)))</f>
        <v/>
      </c>
      <c r="AZ243" s="31">
        <f>IF(OR($AS243="",$C$6=""),"",TRIM(INDEX($A:$AP,ROW(),$C$6)&amp;""))</f>
        <v/>
      </c>
      <c r="BA243" s="31">
        <f>IF($AZ243="","",IF(COUNTIF($AZ$8:$AZ243,$AZ243)&gt;1,1,0))</f>
        <v/>
      </c>
    </row>
    <row r="244">
      <c r="AR244" s="31">
        <f>IF(OR($A$5="",$B$6="",ROW()&lt;$A$5),"",IF(INDEX($A:$AP,ROW(),$B$6)="","",INDEX($A:$AP,ROW(),$B$6)))</f>
        <v/>
      </c>
      <c r="AS244" s="32">
        <f>IF($AR244="","",IF(ISNUMBER($AR244),IF($AR244&gt;=10000000,IFERROR(DATE(INT($AR244/10000),MOD(INT($AR244/100),100),MOD($AR244,100)),""),INT($AR244)),IFERROR(DATE(--LEFT(LEFT(SUBSTITUTE(SUBSTITUTE(SUBSTITUTE(SUBSTITUTE(TRIM($AR244),"-",""),".",""),"/","")," ",""),8),4),--MID(LEFT(SUBSTITUTE(SUBSTITUTE(SUBSTITUTE(SUBSTITUTE(TRIM($AR244),"-",""),".",""),"/","")," ",""),8),5,2),--MID(LEFT(SUBSTITUTE(SUBSTITUTE(SUBSTITUTE(SUBSTITUTE(TRIM($AR244),"-",""),".",""),"/","")," ",""),8),7,2)),"")))</f>
        <v/>
      </c>
      <c r="AT244" s="33">
        <f>IF($AS244="","",IF($F$6="",0,IF(ISNUMBER(INDEX($A:$AP,ROW(),$F$6)),INDEX($A:$AP,ROW(),$F$6),IFERROR(--SUBSTITUTE(SUBSTITUTE(TRIM(INDEX($A:$AP,ROW(),$F$6)),",",""),"원",""),0))))</f>
        <v/>
      </c>
      <c r="AU244" s="31">
        <f>IF($AS244="","",IF($AX244&lt;&gt;"",SUBSTITUTE(SUBSTITUTE($AX244,"-","")," ",""),"N:"&amp;$AV244))</f>
        <v/>
      </c>
      <c r="AV244" s="31">
        <f>IF(OR($AS244="",$E$6=""),"",TRIM(INDEX($A:$AP,ROW(),$E$6)&amp;""))</f>
        <v/>
      </c>
      <c r="AW244" s="31">
        <f>IF($AU244="","",IF(MATCH($AU244,$AU$8:$AU$2007,0)=ROW()-7,MAX($AW$7:$AW243)+1,""))</f>
        <v/>
      </c>
      <c r="AX244" s="31">
        <f>IF(OR($AS244="",$D$6=""),"",TRIM(INDEX($A:$AP,ROW(),$D$6)&amp;""))</f>
        <v/>
      </c>
      <c r="AY244" s="31">
        <f>IF($AU244="","",INDEX($AW$8:$AW$2007,MATCH($AU244,$AU$8:$AU$2007,0)))</f>
        <v/>
      </c>
      <c r="AZ244" s="31">
        <f>IF(OR($AS244="",$C$6=""),"",TRIM(INDEX($A:$AP,ROW(),$C$6)&amp;""))</f>
        <v/>
      </c>
      <c r="BA244" s="31">
        <f>IF($AZ244="","",IF(COUNTIF($AZ$8:$AZ244,$AZ244)&gt;1,1,0))</f>
        <v/>
      </c>
    </row>
    <row r="245">
      <c r="AR245" s="31">
        <f>IF(OR($A$5="",$B$6="",ROW()&lt;$A$5),"",IF(INDEX($A:$AP,ROW(),$B$6)="","",INDEX($A:$AP,ROW(),$B$6)))</f>
        <v/>
      </c>
      <c r="AS245" s="32">
        <f>IF($AR245="","",IF(ISNUMBER($AR245),IF($AR245&gt;=10000000,IFERROR(DATE(INT($AR245/10000),MOD(INT($AR245/100),100),MOD($AR245,100)),""),INT($AR245)),IFERROR(DATE(--LEFT(LEFT(SUBSTITUTE(SUBSTITUTE(SUBSTITUTE(SUBSTITUTE(TRIM($AR245),"-",""),".",""),"/","")," ",""),8),4),--MID(LEFT(SUBSTITUTE(SUBSTITUTE(SUBSTITUTE(SUBSTITUTE(TRIM($AR245),"-",""),".",""),"/","")," ",""),8),5,2),--MID(LEFT(SUBSTITUTE(SUBSTITUTE(SUBSTITUTE(SUBSTITUTE(TRIM($AR245),"-",""),".",""),"/","")," ",""),8),7,2)),"")))</f>
        <v/>
      </c>
      <c r="AT245" s="33">
        <f>IF($AS245="","",IF($F$6="",0,IF(ISNUMBER(INDEX($A:$AP,ROW(),$F$6)),INDEX($A:$AP,ROW(),$F$6),IFERROR(--SUBSTITUTE(SUBSTITUTE(TRIM(INDEX($A:$AP,ROW(),$F$6)),",",""),"원",""),0))))</f>
        <v/>
      </c>
      <c r="AU245" s="31">
        <f>IF($AS245="","",IF($AX245&lt;&gt;"",SUBSTITUTE(SUBSTITUTE($AX245,"-","")," ",""),"N:"&amp;$AV245))</f>
        <v/>
      </c>
      <c r="AV245" s="31">
        <f>IF(OR($AS245="",$E$6=""),"",TRIM(INDEX($A:$AP,ROW(),$E$6)&amp;""))</f>
        <v/>
      </c>
      <c r="AW245" s="31">
        <f>IF($AU245="","",IF(MATCH($AU245,$AU$8:$AU$2007,0)=ROW()-7,MAX($AW$7:$AW244)+1,""))</f>
        <v/>
      </c>
      <c r="AX245" s="31">
        <f>IF(OR($AS245="",$D$6=""),"",TRIM(INDEX($A:$AP,ROW(),$D$6)&amp;""))</f>
        <v/>
      </c>
      <c r="AY245" s="31">
        <f>IF($AU245="","",INDEX($AW$8:$AW$2007,MATCH($AU245,$AU$8:$AU$2007,0)))</f>
        <v/>
      </c>
      <c r="AZ245" s="31">
        <f>IF(OR($AS245="",$C$6=""),"",TRIM(INDEX($A:$AP,ROW(),$C$6)&amp;""))</f>
        <v/>
      </c>
      <c r="BA245" s="31">
        <f>IF($AZ245="","",IF(COUNTIF($AZ$8:$AZ245,$AZ245)&gt;1,1,0))</f>
        <v/>
      </c>
    </row>
    <row r="246">
      <c r="AR246" s="31">
        <f>IF(OR($A$5="",$B$6="",ROW()&lt;$A$5),"",IF(INDEX($A:$AP,ROW(),$B$6)="","",INDEX($A:$AP,ROW(),$B$6)))</f>
        <v/>
      </c>
      <c r="AS246" s="32">
        <f>IF($AR246="","",IF(ISNUMBER($AR246),IF($AR246&gt;=10000000,IFERROR(DATE(INT($AR246/10000),MOD(INT($AR246/100),100),MOD($AR246,100)),""),INT($AR246)),IFERROR(DATE(--LEFT(LEFT(SUBSTITUTE(SUBSTITUTE(SUBSTITUTE(SUBSTITUTE(TRIM($AR246),"-",""),".",""),"/","")," ",""),8),4),--MID(LEFT(SUBSTITUTE(SUBSTITUTE(SUBSTITUTE(SUBSTITUTE(TRIM($AR246),"-",""),".",""),"/","")," ",""),8),5,2),--MID(LEFT(SUBSTITUTE(SUBSTITUTE(SUBSTITUTE(SUBSTITUTE(TRIM($AR246),"-",""),".",""),"/","")," ",""),8),7,2)),"")))</f>
        <v/>
      </c>
      <c r="AT246" s="33">
        <f>IF($AS246="","",IF($F$6="",0,IF(ISNUMBER(INDEX($A:$AP,ROW(),$F$6)),INDEX($A:$AP,ROW(),$F$6),IFERROR(--SUBSTITUTE(SUBSTITUTE(TRIM(INDEX($A:$AP,ROW(),$F$6)),",",""),"원",""),0))))</f>
        <v/>
      </c>
      <c r="AU246" s="31">
        <f>IF($AS246="","",IF($AX246&lt;&gt;"",SUBSTITUTE(SUBSTITUTE($AX246,"-","")," ",""),"N:"&amp;$AV246))</f>
        <v/>
      </c>
      <c r="AV246" s="31">
        <f>IF(OR($AS246="",$E$6=""),"",TRIM(INDEX($A:$AP,ROW(),$E$6)&amp;""))</f>
        <v/>
      </c>
      <c r="AW246" s="31">
        <f>IF($AU246="","",IF(MATCH($AU246,$AU$8:$AU$2007,0)=ROW()-7,MAX($AW$7:$AW245)+1,""))</f>
        <v/>
      </c>
      <c r="AX246" s="31">
        <f>IF(OR($AS246="",$D$6=""),"",TRIM(INDEX($A:$AP,ROW(),$D$6)&amp;""))</f>
        <v/>
      </c>
      <c r="AY246" s="31">
        <f>IF($AU246="","",INDEX($AW$8:$AW$2007,MATCH($AU246,$AU$8:$AU$2007,0)))</f>
        <v/>
      </c>
      <c r="AZ246" s="31">
        <f>IF(OR($AS246="",$C$6=""),"",TRIM(INDEX($A:$AP,ROW(),$C$6)&amp;""))</f>
        <v/>
      </c>
      <c r="BA246" s="31">
        <f>IF($AZ246="","",IF(COUNTIF($AZ$8:$AZ246,$AZ246)&gt;1,1,0))</f>
        <v/>
      </c>
    </row>
    <row r="247">
      <c r="AR247" s="31">
        <f>IF(OR($A$5="",$B$6="",ROW()&lt;$A$5),"",IF(INDEX($A:$AP,ROW(),$B$6)="","",INDEX($A:$AP,ROW(),$B$6)))</f>
        <v/>
      </c>
      <c r="AS247" s="32">
        <f>IF($AR247="","",IF(ISNUMBER($AR247),IF($AR247&gt;=10000000,IFERROR(DATE(INT($AR247/10000),MOD(INT($AR247/100),100),MOD($AR247,100)),""),INT($AR247)),IFERROR(DATE(--LEFT(LEFT(SUBSTITUTE(SUBSTITUTE(SUBSTITUTE(SUBSTITUTE(TRIM($AR247),"-",""),".",""),"/","")," ",""),8),4),--MID(LEFT(SUBSTITUTE(SUBSTITUTE(SUBSTITUTE(SUBSTITUTE(TRIM($AR247),"-",""),".",""),"/","")," ",""),8),5,2),--MID(LEFT(SUBSTITUTE(SUBSTITUTE(SUBSTITUTE(SUBSTITUTE(TRIM($AR247),"-",""),".",""),"/","")," ",""),8),7,2)),"")))</f>
        <v/>
      </c>
      <c r="AT247" s="33">
        <f>IF($AS247="","",IF($F$6="",0,IF(ISNUMBER(INDEX($A:$AP,ROW(),$F$6)),INDEX($A:$AP,ROW(),$F$6),IFERROR(--SUBSTITUTE(SUBSTITUTE(TRIM(INDEX($A:$AP,ROW(),$F$6)),",",""),"원",""),0))))</f>
        <v/>
      </c>
      <c r="AU247" s="31">
        <f>IF($AS247="","",IF($AX247&lt;&gt;"",SUBSTITUTE(SUBSTITUTE($AX247,"-","")," ",""),"N:"&amp;$AV247))</f>
        <v/>
      </c>
      <c r="AV247" s="31">
        <f>IF(OR($AS247="",$E$6=""),"",TRIM(INDEX($A:$AP,ROW(),$E$6)&amp;""))</f>
        <v/>
      </c>
      <c r="AW247" s="31">
        <f>IF($AU247="","",IF(MATCH($AU247,$AU$8:$AU$2007,0)=ROW()-7,MAX($AW$7:$AW246)+1,""))</f>
        <v/>
      </c>
      <c r="AX247" s="31">
        <f>IF(OR($AS247="",$D$6=""),"",TRIM(INDEX($A:$AP,ROW(),$D$6)&amp;""))</f>
        <v/>
      </c>
      <c r="AY247" s="31">
        <f>IF($AU247="","",INDEX($AW$8:$AW$2007,MATCH($AU247,$AU$8:$AU$2007,0)))</f>
        <v/>
      </c>
      <c r="AZ247" s="31">
        <f>IF(OR($AS247="",$C$6=""),"",TRIM(INDEX($A:$AP,ROW(),$C$6)&amp;""))</f>
        <v/>
      </c>
      <c r="BA247" s="31">
        <f>IF($AZ247="","",IF(COUNTIF($AZ$8:$AZ247,$AZ247)&gt;1,1,0))</f>
        <v/>
      </c>
    </row>
    <row r="248">
      <c r="AR248" s="31">
        <f>IF(OR($A$5="",$B$6="",ROW()&lt;$A$5),"",IF(INDEX($A:$AP,ROW(),$B$6)="","",INDEX($A:$AP,ROW(),$B$6)))</f>
        <v/>
      </c>
      <c r="AS248" s="32">
        <f>IF($AR248="","",IF(ISNUMBER($AR248),IF($AR248&gt;=10000000,IFERROR(DATE(INT($AR248/10000),MOD(INT($AR248/100),100),MOD($AR248,100)),""),INT($AR248)),IFERROR(DATE(--LEFT(LEFT(SUBSTITUTE(SUBSTITUTE(SUBSTITUTE(SUBSTITUTE(TRIM($AR248),"-",""),".",""),"/","")," ",""),8),4),--MID(LEFT(SUBSTITUTE(SUBSTITUTE(SUBSTITUTE(SUBSTITUTE(TRIM($AR248),"-",""),".",""),"/","")," ",""),8),5,2),--MID(LEFT(SUBSTITUTE(SUBSTITUTE(SUBSTITUTE(SUBSTITUTE(TRIM($AR248),"-",""),".",""),"/","")," ",""),8),7,2)),"")))</f>
        <v/>
      </c>
      <c r="AT248" s="33">
        <f>IF($AS248="","",IF($F$6="",0,IF(ISNUMBER(INDEX($A:$AP,ROW(),$F$6)),INDEX($A:$AP,ROW(),$F$6),IFERROR(--SUBSTITUTE(SUBSTITUTE(TRIM(INDEX($A:$AP,ROW(),$F$6)),",",""),"원",""),0))))</f>
        <v/>
      </c>
      <c r="AU248" s="31">
        <f>IF($AS248="","",IF($AX248&lt;&gt;"",SUBSTITUTE(SUBSTITUTE($AX248,"-","")," ",""),"N:"&amp;$AV248))</f>
        <v/>
      </c>
      <c r="AV248" s="31">
        <f>IF(OR($AS248="",$E$6=""),"",TRIM(INDEX($A:$AP,ROW(),$E$6)&amp;""))</f>
        <v/>
      </c>
      <c r="AW248" s="31">
        <f>IF($AU248="","",IF(MATCH($AU248,$AU$8:$AU$2007,0)=ROW()-7,MAX($AW$7:$AW247)+1,""))</f>
        <v/>
      </c>
      <c r="AX248" s="31">
        <f>IF(OR($AS248="",$D$6=""),"",TRIM(INDEX($A:$AP,ROW(),$D$6)&amp;""))</f>
        <v/>
      </c>
      <c r="AY248" s="31">
        <f>IF($AU248="","",INDEX($AW$8:$AW$2007,MATCH($AU248,$AU$8:$AU$2007,0)))</f>
        <v/>
      </c>
      <c r="AZ248" s="31">
        <f>IF(OR($AS248="",$C$6=""),"",TRIM(INDEX($A:$AP,ROW(),$C$6)&amp;""))</f>
        <v/>
      </c>
      <c r="BA248" s="31">
        <f>IF($AZ248="","",IF(COUNTIF($AZ$8:$AZ248,$AZ248)&gt;1,1,0))</f>
        <v/>
      </c>
    </row>
    <row r="249">
      <c r="AR249" s="31">
        <f>IF(OR($A$5="",$B$6="",ROW()&lt;$A$5),"",IF(INDEX($A:$AP,ROW(),$B$6)="","",INDEX($A:$AP,ROW(),$B$6)))</f>
        <v/>
      </c>
      <c r="AS249" s="32">
        <f>IF($AR249="","",IF(ISNUMBER($AR249),IF($AR249&gt;=10000000,IFERROR(DATE(INT($AR249/10000),MOD(INT($AR249/100),100),MOD($AR249,100)),""),INT($AR249)),IFERROR(DATE(--LEFT(LEFT(SUBSTITUTE(SUBSTITUTE(SUBSTITUTE(SUBSTITUTE(TRIM($AR249),"-",""),".",""),"/","")," ",""),8),4),--MID(LEFT(SUBSTITUTE(SUBSTITUTE(SUBSTITUTE(SUBSTITUTE(TRIM($AR249),"-",""),".",""),"/","")," ",""),8),5,2),--MID(LEFT(SUBSTITUTE(SUBSTITUTE(SUBSTITUTE(SUBSTITUTE(TRIM($AR249),"-",""),".",""),"/","")," ",""),8),7,2)),"")))</f>
        <v/>
      </c>
      <c r="AT249" s="33">
        <f>IF($AS249="","",IF($F$6="",0,IF(ISNUMBER(INDEX($A:$AP,ROW(),$F$6)),INDEX($A:$AP,ROW(),$F$6),IFERROR(--SUBSTITUTE(SUBSTITUTE(TRIM(INDEX($A:$AP,ROW(),$F$6)),",",""),"원",""),0))))</f>
        <v/>
      </c>
      <c r="AU249" s="31">
        <f>IF($AS249="","",IF($AX249&lt;&gt;"",SUBSTITUTE(SUBSTITUTE($AX249,"-","")," ",""),"N:"&amp;$AV249))</f>
        <v/>
      </c>
      <c r="AV249" s="31">
        <f>IF(OR($AS249="",$E$6=""),"",TRIM(INDEX($A:$AP,ROW(),$E$6)&amp;""))</f>
        <v/>
      </c>
      <c r="AW249" s="31">
        <f>IF($AU249="","",IF(MATCH($AU249,$AU$8:$AU$2007,0)=ROW()-7,MAX($AW$7:$AW248)+1,""))</f>
        <v/>
      </c>
      <c r="AX249" s="31">
        <f>IF(OR($AS249="",$D$6=""),"",TRIM(INDEX($A:$AP,ROW(),$D$6)&amp;""))</f>
        <v/>
      </c>
      <c r="AY249" s="31">
        <f>IF($AU249="","",INDEX($AW$8:$AW$2007,MATCH($AU249,$AU$8:$AU$2007,0)))</f>
        <v/>
      </c>
      <c r="AZ249" s="31">
        <f>IF(OR($AS249="",$C$6=""),"",TRIM(INDEX($A:$AP,ROW(),$C$6)&amp;""))</f>
        <v/>
      </c>
      <c r="BA249" s="31">
        <f>IF($AZ249="","",IF(COUNTIF($AZ$8:$AZ249,$AZ249)&gt;1,1,0))</f>
        <v/>
      </c>
    </row>
    <row r="250">
      <c r="AR250" s="31">
        <f>IF(OR($A$5="",$B$6="",ROW()&lt;$A$5),"",IF(INDEX($A:$AP,ROW(),$B$6)="","",INDEX($A:$AP,ROW(),$B$6)))</f>
        <v/>
      </c>
      <c r="AS250" s="32">
        <f>IF($AR250="","",IF(ISNUMBER($AR250),IF($AR250&gt;=10000000,IFERROR(DATE(INT($AR250/10000),MOD(INT($AR250/100),100),MOD($AR250,100)),""),INT($AR250)),IFERROR(DATE(--LEFT(LEFT(SUBSTITUTE(SUBSTITUTE(SUBSTITUTE(SUBSTITUTE(TRIM($AR250),"-",""),".",""),"/","")," ",""),8),4),--MID(LEFT(SUBSTITUTE(SUBSTITUTE(SUBSTITUTE(SUBSTITUTE(TRIM($AR250),"-",""),".",""),"/","")," ",""),8),5,2),--MID(LEFT(SUBSTITUTE(SUBSTITUTE(SUBSTITUTE(SUBSTITUTE(TRIM($AR250),"-",""),".",""),"/","")," ",""),8),7,2)),"")))</f>
        <v/>
      </c>
      <c r="AT250" s="33">
        <f>IF($AS250="","",IF($F$6="",0,IF(ISNUMBER(INDEX($A:$AP,ROW(),$F$6)),INDEX($A:$AP,ROW(),$F$6),IFERROR(--SUBSTITUTE(SUBSTITUTE(TRIM(INDEX($A:$AP,ROW(),$F$6)),",",""),"원",""),0))))</f>
        <v/>
      </c>
      <c r="AU250" s="31">
        <f>IF($AS250="","",IF($AX250&lt;&gt;"",SUBSTITUTE(SUBSTITUTE($AX250,"-","")," ",""),"N:"&amp;$AV250))</f>
        <v/>
      </c>
      <c r="AV250" s="31">
        <f>IF(OR($AS250="",$E$6=""),"",TRIM(INDEX($A:$AP,ROW(),$E$6)&amp;""))</f>
        <v/>
      </c>
      <c r="AW250" s="31">
        <f>IF($AU250="","",IF(MATCH($AU250,$AU$8:$AU$2007,0)=ROW()-7,MAX($AW$7:$AW249)+1,""))</f>
        <v/>
      </c>
      <c r="AX250" s="31">
        <f>IF(OR($AS250="",$D$6=""),"",TRIM(INDEX($A:$AP,ROW(),$D$6)&amp;""))</f>
        <v/>
      </c>
      <c r="AY250" s="31">
        <f>IF($AU250="","",INDEX($AW$8:$AW$2007,MATCH($AU250,$AU$8:$AU$2007,0)))</f>
        <v/>
      </c>
      <c r="AZ250" s="31">
        <f>IF(OR($AS250="",$C$6=""),"",TRIM(INDEX($A:$AP,ROW(),$C$6)&amp;""))</f>
        <v/>
      </c>
      <c r="BA250" s="31">
        <f>IF($AZ250="","",IF(COUNTIF($AZ$8:$AZ250,$AZ250)&gt;1,1,0))</f>
        <v/>
      </c>
    </row>
    <row r="251">
      <c r="AR251" s="31">
        <f>IF(OR($A$5="",$B$6="",ROW()&lt;$A$5),"",IF(INDEX($A:$AP,ROW(),$B$6)="","",INDEX($A:$AP,ROW(),$B$6)))</f>
        <v/>
      </c>
      <c r="AS251" s="32">
        <f>IF($AR251="","",IF(ISNUMBER($AR251),IF($AR251&gt;=10000000,IFERROR(DATE(INT($AR251/10000),MOD(INT($AR251/100),100),MOD($AR251,100)),""),INT($AR251)),IFERROR(DATE(--LEFT(LEFT(SUBSTITUTE(SUBSTITUTE(SUBSTITUTE(SUBSTITUTE(TRIM($AR251),"-",""),".",""),"/","")," ",""),8),4),--MID(LEFT(SUBSTITUTE(SUBSTITUTE(SUBSTITUTE(SUBSTITUTE(TRIM($AR251),"-",""),".",""),"/","")," ",""),8),5,2),--MID(LEFT(SUBSTITUTE(SUBSTITUTE(SUBSTITUTE(SUBSTITUTE(TRIM($AR251),"-",""),".",""),"/","")," ",""),8),7,2)),"")))</f>
        <v/>
      </c>
      <c r="AT251" s="33">
        <f>IF($AS251="","",IF($F$6="",0,IF(ISNUMBER(INDEX($A:$AP,ROW(),$F$6)),INDEX($A:$AP,ROW(),$F$6),IFERROR(--SUBSTITUTE(SUBSTITUTE(TRIM(INDEX($A:$AP,ROW(),$F$6)),",",""),"원",""),0))))</f>
        <v/>
      </c>
      <c r="AU251" s="31">
        <f>IF($AS251="","",IF($AX251&lt;&gt;"",SUBSTITUTE(SUBSTITUTE($AX251,"-","")," ",""),"N:"&amp;$AV251))</f>
        <v/>
      </c>
      <c r="AV251" s="31">
        <f>IF(OR($AS251="",$E$6=""),"",TRIM(INDEX($A:$AP,ROW(),$E$6)&amp;""))</f>
        <v/>
      </c>
      <c r="AW251" s="31">
        <f>IF($AU251="","",IF(MATCH($AU251,$AU$8:$AU$2007,0)=ROW()-7,MAX($AW$7:$AW250)+1,""))</f>
        <v/>
      </c>
      <c r="AX251" s="31">
        <f>IF(OR($AS251="",$D$6=""),"",TRIM(INDEX($A:$AP,ROW(),$D$6)&amp;""))</f>
        <v/>
      </c>
      <c r="AY251" s="31">
        <f>IF($AU251="","",INDEX($AW$8:$AW$2007,MATCH($AU251,$AU$8:$AU$2007,0)))</f>
        <v/>
      </c>
      <c r="AZ251" s="31">
        <f>IF(OR($AS251="",$C$6=""),"",TRIM(INDEX($A:$AP,ROW(),$C$6)&amp;""))</f>
        <v/>
      </c>
      <c r="BA251" s="31">
        <f>IF($AZ251="","",IF(COUNTIF($AZ$8:$AZ251,$AZ251)&gt;1,1,0))</f>
        <v/>
      </c>
    </row>
    <row r="252">
      <c r="AR252" s="31">
        <f>IF(OR($A$5="",$B$6="",ROW()&lt;$A$5),"",IF(INDEX($A:$AP,ROW(),$B$6)="","",INDEX($A:$AP,ROW(),$B$6)))</f>
        <v/>
      </c>
      <c r="AS252" s="32">
        <f>IF($AR252="","",IF(ISNUMBER($AR252),IF($AR252&gt;=10000000,IFERROR(DATE(INT($AR252/10000),MOD(INT($AR252/100),100),MOD($AR252,100)),""),INT($AR252)),IFERROR(DATE(--LEFT(LEFT(SUBSTITUTE(SUBSTITUTE(SUBSTITUTE(SUBSTITUTE(TRIM($AR252),"-",""),".",""),"/","")," ",""),8),4),--MID(LEFT(SUBSTITUTE(SUBSTITUTE(SUBSTITUTE(SUBSTITUTE(TRIM($AR252),"-",""),".",""),"/","")," ",""),8),5,2),--MID(LEFT(SUBSTITUTE(SUBSTITUTE(SUBSTITUTE(SUBSTITUTE(TRIM($AR252),"-",""),".",""),"/","")," ",""),8),7,2)),"")))</f>
        <v/>
      </c>
      <c r="AT252" s="33">
        <f>IF($AS252="","",IF($F$6="",0,IF(ISNUMBER(INDEX($A:$AP,ROW(),$F$6)),INDEX($A:$AP,ROW(),$F$6),IFERROR(--SUBSTITUTE(SUBSTITUTE(TRIM(INDEX($A:$AP,ROW(),$F$6)),",",""),"원",""),0))))</f>
        <v/>
      </c>
      <c r="AU252" s="31">
        <f>IF($AS252="","",IF($AX252&lt;&gt;"",SUBSTITUTE(SUBSTITUTE($AX252,"-","")," ",""),"N:"&amp;$AV252))</f>
        <v/>
      </c>
      <c r="AV252" s="31">
        <f>IF(OR($AS252="",$E$6=""),"",TRIM(INDEX($A:$AP,ROW(),$E$6)&amp;""))</f>
        <v/>
      </c>
      <c r="AW252" s="31">
        <f>IF($AU252="","",IF(MATCH($AU252,$AU$8:$AU$2007,0)=ROW()-7,MAX($AW$7:$AW251)+1,""))</f>
        <v/>
      </c>
      <c r="AX252" s="31">
        <f>IF(OR($AS252="",$D$6=""),"",TRIM(INDEX($A:$AP,ROW(),$D$6)&amp;""))</f>
        <v/>
      </c>
      <c r="AY252" s="31">
        <f>IF($AU252="","",INDEX($AW$8:$AW$2007,MATCH($AU252,$AU$8:$AU$2007,0)))</f>
        <v/>
      </c>
      <c r="AZ252" s="31">
        <f>IF(OR($AS252="",$C$6=""),"",TRIM(INDEX($A:$AP,ROW(),$C$6)&amp;""))</f>
        <v/>
      </c>
      <c r="BA252" s="31">
        <f>IF($AZ252="","",IF(COUNTIF($AZ$8:$AZ252,$AZ252)&gt;1,1,0))</f>
        <v/>
      </c>
    </row>
    <row r="253">
      <c r="AR253" s="31">
        <f>IF(OR($A$5="",$B$6="",ROW()&lt;$A$5),"",IF(INDEX($A:$AP,ROW(),$B$6)="","",INDEX($A:$AP,ROW(),$B$6)))</f>
        <v/>
      </c>
      <c r="AS253" s="32">
        <f>IF($AR253="","",IF(ISNUMBER($AR253),IF($AR253&gt;=10000000,IFERROR(DATE(INT($AR253/10000),MOD(INT($AR253/100),100),MOD($AR253,100)),""),INT($AR253)),IFERROR(DATE(--LEFT(LEFT(SUBSTITUTE(SUBSTITUTE(SUBSTITUTE(SUBSTITUTE(TRIM($AR253),"-",""),".",""),"/","")," ",""),8),4),--MID(LEFT(SUBSTITUTE(SUBSTITUTE(SUBSTITUTE(SUBSTITUTE(TRIM($AR253),"-",""),".",""),"/","")," ",""),8),5,2),--MID(LEFT(SUBSTITUTE(SUBSTITUTE(SUBSTITUTE(SUBSTITUTE(TRIM($AR253),"-",""),".",""),"/","")," ",""),8),7,2)),"")))</f>
        <v/>
      </c>
      <c r="AT253" s="33">
        <f>IF($AS253="","",IF($F$6="",0,IF(ISNUMBER(INDEX($A:$AP,ROW(),$F$6)),INDEX($A:$AP,ROW(),$F$6),IFERROR(--SUBSTITUTE(SUBSTITUTE(TRIM(INDEX($A:$AP,ROW(),$F$6)),",",""),"원",""),0))))</f>
        <v/>
      </c>
      <c r="AU253" s="31">
        <f>IF($AS253="","",IF($AX253&lt;&gt;"",SUBSTITUTE(SUBSTITUTE($AX253,"-","")," ",""),"N:"&amp;$AV253))</f>
        <v/>
      </c>
      <c r="AV253" s="31">
        <f>IF(OR($AS253="",$E$6=""),"",TRIM(INDEX($A:$AP,ROW(),$E$6)&amp;""))</f>
        <v/>
      </c>
      <c r="AW253" s="31">
        <f>IF($AU253="","",IF(MATCH($AU253,$AU$8:$AU$2007,0)=ROW()-7,MAX($AW$7:$AW252)+1,""))</f>
        <v/>
      </c>
      <c r="AX253" s="31">
        <f>IF(OR($AS253="",$D$6=""),"",TRIM(INDEX($A:$AP,ROW(),$D$6)&amp;""))</f>
        <v/>
      </c>
      <c r="AY253" s="31">
        <f>IF($AU253="","",INDEX($AW$8:$AW$2007,MATCH($AU253,$AU$8:$AU$2007,0)))</f>
        <v/>
      </c>
      <c r="AZ253" s="31">
        <f>IF(OR($AS253="",$C$6=""),"",TRIM(INDEX($A:$AP,ROW(),$C$6)&amp;""))</f>
        <v/>
      </c>
      <c r="BA253" s="31">
        <f>IF($AZ253="","",IF(COUNTIF($AZ$8:$AZ253,$AZ253)&gt;1,1,0))</f>
        <v/>
      </c>
    </row>
    <row r="254">
      <c r="AR254" s="31">
        <f>IF(OR($A$5="",$B$6="",ROW()&lt;$A$5),"",IF(INDEX($A:$AP,ROW(),$B$6)="","",INDEX($A:$AP,ROW(),$B$6)))</f>
        <v/>
      </c>
      <c r="AS254" s="32">
        <f>IF($AR254="","",IF(ISNUMBER($AR254),IF($AR254&gt;=10000000,IFERROR(DATE(INT($AR254/10000),MOD(INT($AR254/100),100),MOD($AR254,100)),""),INT($AR254)),IFERROR(DATE(--LEFT(LEFT(SUBSTITUTE(SUBSTITUTE(SUBSTITUTE(SUBSTITUTE(TRIM($AR254),"-",""),".",""),"/","")," ",""),8),4),--MID(LEFT(SUBSTITUTE(SUBSTITUTE(SUBSTITUTE(SUBSTITUTE(TRIM($AR254),"-",""),".",""),"/","")," ",""),8),5,2),--MID(LEFT(SUBSTITUTE(SUBSTITUTE(SUBSTITUTE(SUBSTITUTE(TRIM($AR254),"-",""),".",""),"/","")," ",""),8),7,2)),"")))</f>
        <v/>
      </c>
      <c r="AT254" s="33">
        <f>IF($AS254="","",IF($F$6="",0,IF(ISNUMBER(INDEX($A:$AP,ROW(),$F$6)),INDEX($A:$AP,ROW(),$F$6),IFERROR(--SUBSTITUTE(SUBSTITUTE(TRIM(INDEX($A:$AP,ROW(),$F$6)),",",""),"원",""),0))))</f>
        <v/>
      </c>
      <c r="AU254" s="31">
        <f>IF($AS254="","",IF($AX254&lt;&gt;"",SUBSTITUTE(SUBSTITUTE($AX254,"-","")," ",""),"N:"&amp;$AV254))</f>
        <v/>
      </c>
      <c r="AV254" s="31">
        <f>IF(OR($AS254="",$E$6=""),"",TRIM(INDEX($A:$AP,ROW(),$E$6)&amp;""))</f>
        <v/>
      </c>
      <c r="AW254" s="31">
        <f>IF($AU254="","",IF(MATCH($AU254,$AU$8:$AU$2007,0)=ROW()-7,MAX($AW$7:$AW253)+1,""))</f>
        <v/>
      </c>
      <c r="AX254" s="31">
        <f>IF(OR($AS254="",$D$6=""),"",TRIM(INDEX($A:$AP,ROW(),$D$6)&amp;""))</f>
        <v/>
      </c>
      <c r="AY254" s="31">
        <f>IF($AU254="","",INDEX($AW$8:$AW$2007,MATCH($AU254,$AU$8:$AU$2007,0)))</f>
        <v/>
      </c>
      <c r="AZ254" s="31">
        <f>IF(OR($AS254="",$C$6=""),"",TRIM(INDEX($A:$AP,ROW(),$C$6)&amp;""))</f>
        <v/>
      </c>
      <c r="BA254" s="31">
        <f>IF($AZ254="","",IF(COUNTIF($AZ$8:$AZ254,$AZ254)&gt;1,1,0))</f>
        <v/>
      </c>
    </row>
    <row r="255">
      <c r="AR255" s="31">
        <f>IF(OR($A$5="",$B$6="",ROW()&lt;$A$5),"",IF(INDEX($A:$AP,ROW(),$B$6)="","",INDEX($A:$AP,ROW(),$B$6)))</f>
        <v/>
      </c>
      <c r="AS255" s="32">
        <f>IF($AR255="","",IF(ISNUMBER($AR255),IF($AR255&gt;=10000000,IFERROR(DATE(INT($AR255/10000),MOD(INT($AR255/100),100),MOD($AR255,100)),""),INT($AR255)),IFERROR(DATE(--LEFT(LEFT(SUBSTITUTE(SUBSTITUTE(SUBSTITUTE(SUBSTITUTE(TRIM($AR255),"-",""),".",""),"/","")," ",""),8),4),--MID(LEFT(SUBSTITUTE(SUBSTITUTE(SUBSTITUTE(SUBSTITUTE(TRIM($AR255),"-",""),".",""),"/","")," ",""),8),5,2),--MID(LEFT(SUBSTITUTE(SUBSTITUTE(SUBSTITUTE(SUBSTITUTE(TRIM($AR255),"-",""),".",""),"/","")," ",""),8),7,2)),"")))</f>
        <v/>
      </c>
      <c r="AT255" s="33">
        <f>IF($AS255="","",IF($F$6="",0,IF(ISNUMBER(INDEX($A:$AP,ROW(),$F$6)),INDEX($A:$AP,ROW(),$F$6),IFERROR(--SUBSTITUTE(SUBSTITUTE(TRIM(INDEX($A:$AP,ROW(),$F$6)),",",""),"원",""),0))))</f>
        <v/>
      </c>
      <c r="AU255" s="31">
        <f>IF($AS255="","",IF($AX255&lt;&gt;"",SUBSTITUTE(SUBSTITUTE($AX255,"-","")," ",""),"N:"&amp;$AV255))</f>
        <v/>
      </c>
      <c r="AV255" s="31">
        <f>IF(OR($AS255="",$E$6=""),"",TRIM(INDEX($A:$AP,ROW(),$E$6)&amp;""))</f>
        <v/>
      </c>
      <c r="AW255" s="31">
        <f>IF($AU255="","",IF(MATCH($AU255,$AU$8:$AU$2007,0)=ROW()-7,MAX($AW$7:$AW254)+1,""))</f>
        <v/>
      </c>
      <c r="AX255" s="31">
        <f>IF(OR($AS255="",$D$6=""),"",TRIM(INDEX($A:$AP,ROW(),$D$6)&amp;""))</f>
        <v/>
      </c>
      <c r="AY255" s="31">
        <f>IF($AU255="","",INDEX($AW$8:$AW$2007,MATCH($AU255,$AU$8:$AU$2007,0)))</f>
        <v/>
      </c>
      <c r="AZ255" s="31">
        <f>IF(OR($AS255="",$C$6=""),"",TRIM(INDEX($A:$AP,ROW(),$C$6)&amp;""))</f>
        <v/>
      </c>
      <c r="BA255" s="31">
        <f>IF($AZ255="","",IF(COUNTIF($AZ$8:$AZ255,$AZ255)&gt;1,1,0))</f>
        <v/>
      </c>
    </row>
    <row r="256">
      <c r="AR256" s="31">
        <f>IF(OR($A$5="",$B$6="",ROW()&lt;$A$5),"",IF(INDEX($A:$AP,ROW(),$B$6)="","",INDEX($A:$AP,ROW(),$B$6)))</f>
        <v/>
      </c>
      <c r="AS256" s="32">
        <f>IF($AR256="","",IF(ISNUMBER($AR256),IF($AR256&gt;=10000000,IFERROR(DATE(INT($AR256/10000),MOD(INT($AR256/100),100),MOD($AR256,100)),""),INT($AR256)),IFERROR(DATE(--LEFT(LEFT(SUBSTITUTE(SUBSTITUTE(SUBSTITUTE(SUBSTITUTE(TRIM($AR256),"-",""),".",""),"/","")," ",""),8),4),--MID(LEFT(SUBSTITUTE(SUBSTITUTE(SUBSTITUTE(SUBSTITUTE(TRIM($AR256),"-",""),".",""),"/","")," ",""),8),5,2),--MID(LEFT(SUBSTITUTE(SUBSTITUTE(SUBSTITUTE(SUBSTITUTE(TRIM($AR256),"-",""),".",""),"/","")," ",""),8),7,2)),"")))</f>
        <v/>
      </c>
      <c r="AT256" s="33">
        <f>IF($AS256="","",IF($F$6="",0,IF(ISNUMBER(INDEX($A:$AP,ROW(),$F$6)),INDEX($A:$AP,ROW(),$F$6),IFERROR(--SUBSTITUTE(SUBSTITUTE(TRIM(INDEX($A:$AP,ROW(),$F$6)),",",""),"원",""),0))))</f>
        <v/>
      </c>
      <c r="AU256" s="31">
        <f>IF($AS256="","",IF($AX256&lt;&gt;"",SUBSTITUTE(SUBSTITUTE($AX256,"-","")," ",""),"N:"&amp;$AV256))</f>
        <v/>
      </c>
      <c r="AV256" s="31">
        <f>IF(OR($AS256="",$E$6=""),"",TRIM(INDEX($A:$AP,ROW(),$E$6)&amp;""))</f>
        <v/>
      </c>
      <c r="AW256" s="31">
        <f>IF($AU256="","",IF(MATCH($AU256,$AU$8:$AU$2007,0)=ROW()-7,MAX($AW$7:$AW255)+1,""))</f>
        <v/>
      </c>
      <c r="AX256" s="31">
        <f>IF(OR($AS256="",$D$6=""),"",TRIM(INDEX($A:$AP,ROW(),$D$6)&amp;""))</f>
        <v/>
      </c>
      <c r="AY256" s="31">
        <f>IF($AU256="","",INDEX($AW$8:$AW$2007,MATCH($AU256,$AU$8:$AU$2007,0)))</f>
        <v/>
      </c>
      <c r="AZ256" s="31">
        <f>IF(OR($AS256="",$C$6=""),"",TRIM(INDEX($A:$AP,ROW(),$C$6)&amp;""))</f>
        <v/>
      </c>
      <c r="BA256" s="31">
        <f>IF($AZ256="","",IF(COUNTIF($AZ$8:$AZ256,$AZ256)&gt;1,1,0))</f>
        <v/>
      </c>
    </row>
    <row r="257">
      <c r="AR257" s="31">
        <f>IF(OR($A$5="",$B$6="",ROW()&lt;$A$5),"",IF(INDEX($A:$AP,ROW(),$B$6)="","",INDEX($A:$AP,ROW(),$B$6)))</f>
        <v/>
      </c>
      <c r="AS257" s="32">
        <f>IF($AR257="","",IF(ISNUMBER($AR257),IF($AR257&gt;=10000000,IFERROR(DATE(INT($AR257/10000),MOD(INT($AR257/100),100),MOD($AR257,100)),""),INT($AR257)),IFERROR(DATE(--LEFT(LEFT(SUBSTITUTE(SUBSTITUTE(SUBSTITUTE(SUBSTITUTE(TRIM($AR257),"-",""),".",""),"/","")," ",""),8),4),--MID(LEFT(SUBSTITUTE(SUBSTITUTE(SUBSTITUTE(SUBSTITUTE(TRIM($AR257),"-",""),".",""),"/","")," ",""),8),5,2),--MID(LEFT(SUBSTITUTE(SUBSTITUTE(SUBSTITUTE(SUBSTITUTE(TRIM($AR257),"-",""),".",""),"/","")," ",""),8),7,2)),"")))</f>
        <v/>
      </c>
      <c r="AT257" s="33">
        <f>IF($AS257="","",IF($F$6="",0,IF(ISNUMBER(INDEX($A:$AP,ROW(),$F$6)),INDEX($A:$AP,ROW(),$F$6),IFERROR(--SUBSTITUTE(SUBSTITUTE(TRIM(INDEX($A:$AP,ROW(),$F$6)),",",""),"원",""),0))))</f>
        <v/>
      </c>
      <c r="AU257" s="31">
        <f>IF($AS257="","",IF($AX257&lt;&gt;"",SUBSTITUTE(SUBSTITUTE($AX257,"-","")," ",""),"N:"&amp;$AV257))</f>
        <v/>
      </c>
      <c r="AV257" s="31">
        <f>IF(OR($AS257="",$E$6=""),"",TRIM(INDEX($A:$AP,ROW(),$E$6)&amp;""))</f>
        <v/>
      </c>
      <c r="AW257" s="31">
        <f>IF($AU257="","",IF(MATCH($AU257,$AU$8:$AU$2007,0)=ROW()-7,MAX($AW$7:$AW256)+1,""))</f>
        <v/>
      </c>
      <c r="AX257" s="31">
        <f>IF(OR($AS257="",$D$6=""),"",TRIM(INDEX($A:$AP,ROW(),$D$6)&amp;""))</f>
        <v/>
      </c>
      <c r="AY257" s="31">
        <f>IF($AU257="","",INDEX($AW$8:$AW$2007,MATCH($AU257,$AU$8:$AU$2007,0)))</f>
        <v/>
      </c>
      <c r="AZ257" s="31">
        <f>IF(OR($AS257="",$C$6=""),"",TRIM(INDEX($A:$AP,ROW(),$C$6)&amp;""))</f>
        <v/>
      </c>
      <c r="BA257" s="31">
        <f>IF($AZ257="","",IF(COUNTIF($AZ$8:$AZ257,$AZ257)&gt;1,1,0))</f>
        <v/>
      </c>
    </row>
    <row r="258">
      <c r="AR258" s="31">
        <f>IF(OR($A$5="",$B$6="",ROW()&lt;$A$5),"",IF(INDEX($A:$AP,ROW(),$B$6)="","",INDEX($A:$AP,ROW(),$B$6)))</f>
        <v/>
      </c>
      <c r="AS258" s="32">
        <f>IF($AR258="","",IF(ISNUMBER($AR258),IF($AR258&gt;=10000000,IFERROR(DATE(INT($AR258/10000),MOD(INT($AR258/100),100),MOD($AR258,100)),""),INT($AR258)),IFERROR(DATE(--LEFT(LEFT(SUBSTITUTE(SUBSTITUTE(SUBSTITUTE(SUBSTITUTE(TRIM($AR258),"-",""),".",""),"/","")," ",""),8),4),--MID(LEFT(SUBSTITUTE(SUBSTITUTE(SUBSTITUTE(SUBSTITUTE(TRIM($AR258),"-",""),".",""),"/","")," ",""),8),5,2),--MID(LEFT(SUBSTITUTE(SUBSTITUTE(SUBSTITUTE(SUBSTITUTE(TRIM($AR258),"-",""),".",""),"/","")," ",""),8),7,2)),"")))</f>
        <v/>
      </c>
      <c r="AT258" s="33">
        <f>IF($AS258="","",IF($F$6="",0,IF(ISNUMBER(INDEX($A:$AP,ROW(),$F$6)),INDEX($A:$AP,ROW(),$F$6),IFERROR(--SUBSTITUTE(SUBSTITUTE(TRIM(INDEX($A:$AP,ROW(),$F$6)),",",""),"원",""),0))))</f>
        <v/>
      </c>
      <c r="AU258" s="31">
        <f>IF($AS258="","",IF($AX258&lt;&gt;"",SUBSTITUTE(SUBSTITUTE($AX258,"-","")," ",""),"N:"&amp;$AV258))</f>
        <v/>
      </c>
      <c r="AV258" s="31">
        <f>IF(OR($AS258="",$E$6=""),"",TRIM(INDEX($A:$AP,ROW(),$E$6)&amp;""))</f>
        <v/>
      </c>
      <c r="AW258" s="31">
        <f>IF($AU258="","",IF(MATCH($AU258,$AU$8:$AU$2007,0)=ROW()-7,MAX($AW$7:$AW257)+1,""))</f>
        <v/>
      </c>
      <c r="AX258" s="31">
        <f>IF(OR($AS258="",$D$6=""),"",TRIM(INDEX($A:$AP,ROW(),$D$6)&amp;""))</f>
        <v/>
      </c>
      <c r="AY258" s="31">
        <f>IF($AU258="","",INDEX($AW$8:$AW$2007,MATCH($AU258,$AU$8:$AU$2007,0)))</f>
        <v/>
      </c>
      <c r="AZ258" s="31">
        <f>IF(OR($AS258="",$C$6=""),"",TRIM(INDEX($A:$AP,ROW(),$C$6)&amp;""))</f>
        <v/>
      </c>
      <c r="BA258" s="31">
        <f>IF($AZ258="","",IF(COUNTIF($AZ$8:$AZ258,$AZ258)&gt;1,1,0))</f>
        <v/>
      </c>
    </row>
    <row r="259">
      <c r="AR259" s="31">
        <f>IF(OR($A$5="",$B$6="",ROW()&lt;$A$5),"",IF(INDEX($A:$AP,ROW(),$B$6)="","",INDEX($A:$AP,ROW(),$B$6)))</f>
        <v/>
      </c>
      <c r="AS259" s="32">
        <f>IF($AR259="","",IF(ISNUMBER($AR259),IF($AR259&gt;=10000000,IFERROR(DATE(INT($AR259/10000),MOD(INT($AR259/100),100),MOD($AR259,100)),""),INT($AR259)),IFERROR(DATE(--LEFT(LEFT(SUBSTITUTE(SUBSTITUTE(SUBSTITUTE(SUBSTITUTE(TRIM($AR259),"-",""),".",""),"/","")," ",""),8),4),--MID(LEFT(SUBSTITUTE(SUBSTITUTE(SUBSTITUTE(SUBSTITUTE(TRIM($AR259),"-",""),".",""),"/","")," ",""),8),5,2),--MID(LEFT(SUBSTITUTE(SUBSTITUTE(SUBSTITUTE(SUBSTITUTE(TRIM($AR259),"-",""),".",""),"/","")," ",""),8),7,2)),"")))</f>
        <v/>
      </c>
      <c r="AT259" s="33">
        <f>IF($AS259="","",IF($F$6="",0,IF(ISNUMBER(INDEX($A:$AP,ROW(),$F$6)),INDEX($A:$AP,ROW(),$F$6),IFERROR(--SUBSTITUTE(SUBSTITUTE(TRIM(INDEX($A:$AP,ROW(),$F$6)),",",""),"원",""),0))))</f>
        <v/>
      </c>
      <c r="AU259" s="31">
        <f>IF($AS259="","",IF($AX259&lt;&gt;"",SUBSTITUTE(SUBSTITUTE($AX259,"-","")," ",""),"N:"&amp;$AV259))</f>
        <v/>
      </c>
      <c r="AV259" s="31">
        <f>IF(OR($AS259="",$E$6=""),"",TRIM(INDEX($A:$AP,ROW(),$E$6)&amp;""))</f>
        <v/>
      </c>
      <c r="AW259" s="31">
        <f>IF($AU259="","",IF(MATCH($AU259,$AU$8:$AU$2007,0)=ROW()-7,MAX($AW$7:$AW258)+1,""))</f>
        <v/>
      </c>
      <c r="AX259" s="31">
        <f>IF(OR($AS259="",$D$6=""),"",TRIM(INDEX($A:$AP,ROW(),$D$6)&amp;""))</f>
        <v/>
      </c>
      <c r="AY259" s="31">
        <f>IF($AU259="","",INDEX($AW$8:$AW$2007,MATCH($AU259,$AU$8:$AU$2007,0)))</f>
        <v/>
      </c>
      <c r="AZ259" s="31">
        <f>IF(OR($AS259="",$C$6=""),"",TRIM(INDEX($A:$AP,ROW(),$C$6)&amp;""))</f>
        <v/>
      </c>
      <c r="BA259" s="31">
        <f>IF($AZ259="","",IF(COUNTIF($AZ$8:$AZ259,$AZ259)&gt;1,1,0))</f>
        <v/>
      </c>
    </row>
    <row r="260">
      <c r="AR260" s="31">
        <f>IF(OR($A$5="",$B$6="",ROW()&lt;$A$5),"",IF(INDEX($A:$AP,ROW(),$B$6)="","",INDEX($A:$AP,ROW(),$B$6)))</f>
        <v/>
      </c>
      <c r="AS260" s="32">
        <f>IF($AR260="","",IF(ISNUMBER($AR260),IF($AR260&gt;=10000000,IFERROR(DATE(INT($AR260/10000),MOD(INT($AR260/100),100),MOD($AR260,100)),""),INT($AR260)),IFERROR(DATE(--LEFT(LEFT(SUBSTITUTE(SUBSTITUTE(SUBSTITUTE(SUBSTITUTE(TRIM($AR260),"-",""),".",""),"/","")," ",""),8),4),--MID(LEFT(SUBSTITUTE(SUBSTITUTE(SUBSTITUTE(SUBSTITUTE(TRIM($AR260),"-",""),".",""),"/","")," ",""),8),5,2),--MID(LEFT(SUBSTITUTE(SUBSTITUTE(SUBSTITUTE(SUBSTITUTE(TRIM($AR260),"-",""),".",""),"/","")," ",""),8),7,2)),"")))</f>
        <v/>
      </c>
      <c r="AT260" s="33">
        <f>IF($AS260="","",IF($F$6="",0,IF(ISNUMBER(INDEX($A:$AP,ROW(),$F$6)),INDEX($A:$AP,ROW(),$F$6),IFERROR(--SUBSTITUTE(SUBSTITUTE(TRIM(INDEX($A:$AP,ROW(),$F$6)),",",""),"원",""),0))))</f>
        <v/>
      </c>
      <c r="AU260" s="31">
        <f>IF($AS260="","",IF($AX260&lt;&gt;"",SUBSTITUTE(SUBSTITUTE($AX260,"-","")," ",""),"N:"&amp;$AV260))</f>
        <v/>
      </c>
      <c r="AV260" s="31">
        <f>IF(OR($AS260="",$E$6=""),"",TRIM(INDEX($A:$AP,ROW(),$E$6)&amp;""))</f>
        <v/>
      </c>
      <c r="AW260" s="31">
        <f>IF($AU260="","",IF(MATCH($AU260,$AU$8:$AU$2007,0)=ROW()-7,MAX($AW$7:$AW259)+1,""))</f>
        <v/>
      </c>
      <c r="AX260" s="31">
        <f>IF(OR($AS260="",$D$6=""),"",TRIM(INDEX($A:$AP,ROW(),$D$6)&amp;""))</f>
        <v/>
      </c>
      <c r="AY260" s="31">
        <f>IF($AU260="","",INDEX($AW$8:$AW$2007,MATCH($AU260,$AU$8:$AU$2007,0)))</f>
        <v/>
      </c>
      <c r="AZ260" s="31">
        <f>IF(OR($AS260="",$C$6=""),"",TRIM(INDEX($A:$AP,ROW(),$C$6)&amp;""))</f>
        <v/>
      </c>
      <c r="BA260" s="31">
        <f>IF($AZ260="","",IF(COUNTIF($AZ$8:$AZ260,$AZ260)&gt;1,1,0))</f>
        <v/>
      </c>
    </row>
    <row r="261">
      <c r="AR261" s="31">
        <f>IF(OR($A$5="",$B$6="",ROW()&lt;$A$5),"",IF(INDEX($A:$AP,ROW(),$B$6)="","",INDEX($A:$AP,ROW(),$B$6)))</f>
        <v/>
      </c>
      <c r="AS261" s="32">
        <f>IF($AR261="","",IF(ISNUMBER($AR261),IF($AR261&gt;=10000000,IFERROR(DATE(INT($AR261/10000),MOD(INT($AR261/100),100),MOD($AR261,100)),""),INT($AR261)),IFERROR(DATE(--LEFT(LEFT(SUBSTITUTE(SUBSTITUTE(SUBSTITUTE(SUBSTITUTE(TRIM($AR261),"-",""),".",""),"/","")," ",""),8),4),--MID(LEFT(SUBSTITUTE(SUBSTITUTE(SUBSTITUTE(SUBSTITUTE(TRIM($AR261),"-",""),".",""),"/","")," ",""),8),5,2),--MID(LEFT(SUBSTITUTE(SUBSTITUTE(SUBSTITUTE(SUBSTITUTE(TRIM($AR261),"-",""),".",""),"/","")," ",""),8),7,2)),"")))</f>
        <v/>
      </c>
      <c r="AT261" s="33">
        <f>IF($AS261="","",IF($F$6="",0,IF(ISNUMBER(INDEX($A:$AP,ROW(),$F$6)),INDEX($A:$AP,ROW(),$F$6),IFERROR(--SUBSTITUTE(SUBSTITUTE(TRIM(INDEX($A:$AP,ROW(),$F$6)),",",""),"원",""),0))))</f>
        <v/>
      </c>
      <c r="AU261" s="31">
        <f>IF($AS261="","",IF($AX261&lt;&gt;"",SUBSTITUTE(SUBSTITUTE($AX261,"-","")," ",""),"N:"&amp;$AV261))</f>
        <v/>
      </c>
      <c r="AV261" s="31">
        <f>IF(OR($AS261="",$E$6=""),"",TRIM(INDEX($A:$AP,ROW(),$E$6)&amp;""))</f>
        <v/>
      </c>
      <c r="AW261" s="31">
        <f>IF($AU261="","",IF(MATCH($AU261,$AU$8:$AU$2007,0)=ROW()-7,MAX($AW$7:$AW260)+1,""))</f>
        <v/>
      </c>
      <c r="AX261" s="31">
        <f>IF(OR($AS261="",$D$6=""),"",TRIM(INDEX($A:$AP,ROW(),$D$6)&amp;""))</f>
        <v/>
      </c>
      <c r="AY261" s="31">
        <f>IF($AU261="","",INDEX($AW$8:$AW$2007,MATCH($AU261,$AU$8:$AU$2007,0)))</f>
        <v/>
      </c>
      <c r="AZ261" s="31">
        <f>IF(OR($AS261="",$C$6=""),"",TRIM(INDEX($A:$AP,ROW(),$C$6)&amp;""))</f>
        <v/>
      </c>
      <c r="BA261" s="31">
        <f>IF($AZ261="","",IF(COUNTIF($AZ$8:$AZ261,$AZ261)&gt;1,1,0))</f>
        <v/>
      </c>
    </row>
    <row r="262">
      <c r="AR262" s="31">
        <f>IF(OR($A$5="",$B$6="",ROW()&lt;$A$5),"",IF(INDEX($A:$AP,ROW(),$B$6)="","",INDEX($A:$AP,ROW(),$B$6)))</f>
        <v/>
      </c>
      <c r="AS262" s="32">
        <f>IF($AR262="","",IF(ISNUMBER($AR262),IF($AR262&gt;=10000000,IFERROR(DATE(INT($AR262/10000),MOD(INT($AR262/100),100),MOD($AR262,100)),""),INT($AR262)),IFERROR(DATE(--LEFT(LEFT(SUBSTITUTE(SUBSTITUTE(SUBSTITUTE(SUBSTITUTE(TRIM($AR262),"-",""),".",""),"/","")," ",""),8),4),--MID(LEFT(SUBSTITUTE(SUBSTITUTE(SUBSTITUTE(SUBSTITUTE(TRIM($AR262),"-",""),".",""),"/","")," ",""),8),5,2),--MID(LEFT(SUBSTITUTE(SUBSTITUTE(SUBSTITUTE(SUBSTITUTE(TRIM($AR262),"-",""),".",""),"/","")," ",""),8),7,2)),"")))</f>
        <v/>
      </c>
      <c r="AT262" s="33">
        <f>IF($AS262="","",IF($F$6="",0,IF(ISNUMBER(INDEX($A:$AP,ROW(),$F$6)),INDEX($A:$AP,ROW(),$F$6),IFERROR(--SUBSTITUTE(SUBSTITUTE(TRIM(INDEX($A:$AP,ROW(),$F$6)),",",""),"원",""),0))))</f>
        <v/>
      </c>
      <c r="AU262" s="31">
        <f>IF($AS262="","",IF($AX262&lt;&gt;"",SUBSTITUTE(SUBSTITUTE($AX262,"-","")," ",""),"N:"&amp;$AV262))</f>
        <v/>
      </c>
      <c r="AV262" s="31">
        <f>IF(OR($AS262="",$E$6=""),"",TRIM(INDEX($A:$AP,ROW(),$E$6)&amp;""))</f>
        <v/>
      </c>
      <c r="AW262" s="31">
        <f>IF($AU262="","",IF(MATCH($AU262,$AU$8:$AU$2007,0)=ROW()-7,MAX($AW$7:$AW261)+1,""))</f>
        <v/>
      </c>
      <c r="AX262" s="31">
        <f>IF(OR($AS262="",$D$6=""),"",TRIM(INDEX($A:$AP,ROW(),$D$6)&amp;""))</f>
        <v/>
      </c>
      <c r="AY262" s="31">
        <f>IF($AU262="","",INDEX($AW$8:$AW$2007,MATCH($AU262,$AU$8:$AU$2007,0)))</f>
        <v/>
      </c>
      <c r="AZ262" s="31">
        <f>IF(OR($AS262="",$C$6=""),"",TRIM(INDEX($A:$AP,ROW(),$C$6)&amp;""))</f>
        <v/>
      </c>
      <c r="BA262" s="31">
        <f>IF($AZ262="","",IF(COUNTIF($AZ$8:$AZ262,$AZ262)&gt;1,1,0))</f>
        <v/>
      </c>
    </row>
    <row r="263">
      <c r="AR263" s="31">
        <f>IF(OR($A$5="",$B$6="",ROW()&lt;$A$5),"",IF(INDEX($A:$AP,ROW(),$B$6)="","",INDEX($A:$AP,ROW(),$B$6)))</f>
        <v/>
      </c>
      <c r="AS263" s="32">
        <f>IF($AR263="","",IF(ISNUMBER($AR263),IF($AR263&gt;=10000000,IFERROR(DATE(INT($AR263/10000),MOD(INT($AR263/100),100),MOD($AR263,100)),""),INT($AR263)),IFERROR(DATE(--LEFT(LEFT(SUBSTITUTE(SUBSTITUTE(SUBSTITUTE(SUBSTITUTE(TRIM($AR263),"-",""),".",""),"/","")," ",""),8),4),--MID(LEFT(SUBSTITUTE(SUBSTITUTE(SUBSTITUTE(SUBSTITUTE(TRIM($AR263),"-",""),".",""),"/","")," ",""),8),5,2),--MID(LEFT(SUBSTITUTE(SUBSTITUTE(SUBSTITUTE(SUBSTITUTE(TRIM($AR263),"-",""),".",""),"/","")," ",""),8),7,2)),"")))</f>
        <v/>
      </c>
      <c r="AT263" s="33">
        <f>IF($AS263="","",IF($F$6="",0,IF(ISNUMBER(INDEX($A:$AP,ROW(),$F$6)),INDEX($A:$AP,ROW(),$F$6),IFERROR(--SUBSTITUTE(SUBSTITUTE(TRIM(INDEX($A:$AP,ROW(),$F$6)),",",""),"원",""),0))))</f>
        <v/>
      </c>
      <c r="AU263" s="31">
        <f>IF($AS263="","",IF($AX263&lt;&gt;"",SUBSTITUTE(SUBSTITUTE($AX263,"-","")," ",""),"N:"&amp;$AV263))</f>
        <v/>
      </c>
      <c r="AV263" s="31">
        <f>IF(OR($AS263="",$E$6=""),"",TRIM(INDEX($A:$AP,ROW(),$E$6)&amp;""))</f>
        <v/>
      </c>
      <c r="AW263" s="31">
        <f>IF($AU263="","",IF(MATCH($AU263,$AU$8:$AU$2007,0)=ROW()-7,MAX($AW$7:$AW262)+1,""))</f>
        <v/>
      </c>
      <c r="AX263" s="31">
        <f>IF(OR($AS263="",$D$6=""),"",TRIM(INDEX($A:$AP,ROW(),$D$6)&amp;""))</f>
        <v/>
      </c>
      <c r="AY263" s="31">
        <f>IF($AU263="","",INDEX($AW$8:$AW$2007,MATCH($AU263,$AU$8:$AU$2007,0)))</f>
        <v/>
      </c>
      <c r="AZ263" s="31">
        <f>IF(OR($AS263="",$C$6=""),"",TRIM(INDEX($A:$AP,ROW(),$C$6)&amp;""))</f>
        <v/>
      </c>
      <c r="BA263" s="31">
        <f>IF($AZ263="","",IF(COUNTIF($AZ$8:$AZ263,$AZ263)&gt;1,1,0))</f>
        <v/>
      </c>
    </row>
    <row r="264">
      <c r="AR264" s="31">
        <f>IF(OR($A$5="",$B$6="",ROW()&lt;$A$5),"",IF(INDEX($A:$AP,ROW(),$B$6)="","",INDEX($A:$AP,ROW(),$B$6)))</f>
        <v/>
      </c>
      <c r="AS264" s="32">
        <f>IF($AR264="","",IF(ISNUMBER($AR264),IF($AR264&gt;=10000000,IFERROR(DATE(INT($AR264/10000),MOD(INT($AR264/100),100),MOD($AR264,100)),""),INT($AR264)),IFERROR(DATE(--LEFT(LEFT(SUBSTITUTE(SUBSTITUTE(SUBSTITUTE(SUBSTITUTE(TRIM($AR264),"-",""),".",""),"/","")," ",""),8),4),--MID(LEFT(SUBSTITUTE(SUBSTITUTE(SUBSTITUTE(SUBSTITUTE(TRIM($AR264),"-",""),".",""),"/","")," ",""),8),5,2),--MID(LEFT(SUBSTITUTE(SUBSTITUTE(SUBSTITUTE(SUBSTITUTE(TRIM($AR264),"-",""),".",""),"/","")," ",""),8),7,2)),"")))</f>
        <v/>
      </c>
      <c r="AT264" s="33">
        <f>IF($AS264="","",IF($F$6="",0,IF(ISNUMBER(INDEX($A:$AP,ROW(),$F$6)),INDEX($A:$AP,ROW(),$F$6),IFERROR(--SUBSTITUTE(SUBSTITUTE(TRIM(INDEX($A:$AP,ROW(),$F$6)),",",""),"원",""),0))))</f>
        <v/>
      </c>
      <c r="AU264" s="31">
        <f>IF($AS264="","",IF($AX264&lt;&gt;"",SUBSTITUTE(SUBSTITUTE($AX264,"-","")," ",""),"N:"&amp;$AV264))</f>
        <v/>
      </c>
      <c r="AV264" s="31">
        <f>IF(OR($AS264="",$E$6=""),"",TRIM(INDEX($A:$AP,ROW(),$E$6)&amp;""))</f>
        <v/>
      </c>
      <c r="AW264" s="31">
        <f>IF($AU264="","",IF(MATCH($AU264,$AU$8:$AU$2007,0)=ROW()-7,MAX($AW$7:$AW263)+1,""))</f>
        <v/>
      </c>
      <c r="AX264" s="31">
        <f>IF(OR($AS264="",$D$6=""),"",TRIM(INDEX($A:$AP,ROW(),$D$6)&amp;""))</f>
        <v/>
      </c>
      <c r="AY264" s="31">
        <f>IF($AU264="","",INDEX($AW$8:$AW$2007,MATCH($AU264,$AU$8:$AU$2007,0)))</f>
        <v/>
      </c>
      <c r="AZ264" s="31">
        <f>IF(OR($AS264="",$C$6=""),"",TRIM(INDEX($A:$AP,ROW(),$C$6)&amp;""))</f>
        <v/>
      </c>
      <c r="BA264" s="31">
        <f>IF($AZ264="","",IF(COUNTIF($AZ$8:$AZ264,$AZ264)&gt;1,1,0))</f>
        <v/>
      </c>
    </row>
    <row r="265">
      <c r="AR265" s="31">
        <f>IF(OR($A$5="",$B$6="",ROW()&lt;$A$5),"",IF(INDEX($A:$AP,ROW(),$B$6)="","",INDEX($A:$AP,ROW(),$B$6)))</f>
        <v/>
      </c>
      <c r="AS265" s="32">
        <f>IF($AR265="","",IF(ISNUMBER($AR265),IF($AR265&gt;=10000000,IFERROR(DATE(INT($AR265/10000),MOD(INT($AR265/100),100),MOD($AR265,100)),""),INT($AR265)),IFERROR(DATE(--LEFT(LEFT(SUBSTITUTE(SUBSTITUTE(SUBSTITUTE(SUBSTITUTE(TRIM($AR265),"-",""),".",""),"/","")," ",""),8),4),--MID(LEFT(SUBSTITUTE(SUBSTITUTE(SUBSTITUTE(SUBSTITUTE(TRIM($AR265),"-",""),".",""),"/","")," ",""),8),5,2),--MID(LEFT(SUBSTITUTE(SUBSTITUTE(SUBSTITUTE(SUBSTITUTE(TRIM($AR265),"-",""),".",""),"/","")," ",""),8),7,2)),"")))</f>
        <v/>
      </c>
      <c r="AT265" s="33">
        <f>IF($AS265="","",IF($F$6="",0,IF(ISNUMBER(INDEX($A:$AP,ROW(),$F$6)),INDEX($A:$AP,ROW(),$F$6),IFERROR(--SUBSTITUTE(SUBSTITUTE(TRIM(INDEX($A:$AP,ROW(),$F$6)),",",""),"원",""),0))))</f>
        <v/>
      </c>
      <c r="AU265" s="31">
        <f>IF($AS265="","",IF($AX265&lt;&gt;"",SUBSTITUTE(SUBSTITUTE($AX265,"-","")," ",""),"N:"&amp;$AV265))</f>
        <v/>
      </c>
      <c r="AV265" s="31">
        <f>IF(OR($AS265="",$E$6=""),"",TRIM(INDEX($A:$AP,ROW(),$E$6)&amp;""))</f>
        <v/>
      </c>
      <c r="AW265" s="31">
        <f>IF($AU265="","",IF(MATCH($AU265,$AU$8:$AU$2007,0)=ROW()-7,MAX($AW$7:$AW264)+1,""))</f>
        <v/>
      </c>
      <c r="AX265" s="31">
        <f>IF(OR($AS265="",$D$6=""),"",TRIM(INDEX($A:$AP,ROW(),$D$6)&amp;""))</f>
        <v/>
      </c>
      <c r="AY265" s="31">
        <f>IF($AU265="","",INDEX($AW$8:$AW$2007,MATCH($AU265,$AU$8:$AU$2007,0)))</f>
        <v/>
      </c>
      <c r="AZ265" s="31">
        <f>IF(OR($AS265="",$C$6=""),"",TRIM(INDEX($A:$AP,ROW(),$C$6)&amp;""))</f>
        <v/>
      </c>
      <c r="BA265" s="31">
        <f>IF($AZ265="","",IF(COUNTIF($AZ$8:$AZ265,$AZ265)&gt;1,1,0))</f>
        <v/>
      </c>
    </row>
    <row r="266">
      <c r="AR266" s="31">
        <f>IF(OR($A$5="",$B$6="",ROW()&lt;$A$5),"",IF(INDEX($A:$AP,ROW(),$B$6)="","",INDEX($A:$AP,ROW(),$B$6)))</f>
        <v/>
      </c>
      <c r="AS266" s="32">
        <f>IF($AR266="","",IF(ISNUMBER($AR266),IF($AR266&gt;=10000000,IFERROR(DATE(INT($AR266/10000),MOD(INT($AR266/100),100),MOD($AR266,100)),""),INT($AR266)),IFERROR(DATE(--LEFT(LEFT(SUBSTITUTE(SUBSTITUTE(SUBSTITUTE(SUBSTITUTE(TRIM($AR266),"-",""),".",""),"/","")," ",""),8),4),--MID(LEFT(SUBSTITUTE(SUBSTITUTE(SUBSTITUTE(SUBSTITUTE(TRIM($AR266),"-",""),".",""),"/","")," ",""),8),5,2),--MID(LEFT(SUBSTITUTE(SUBSTITUTE(SUBSTITUTE(SUBSTITUTE(TRIM($AR266),"-",""),".",""),"/","")," ",""),8),7,2)),"")))</f>
        <v/>
      </c>
      <c r="AT266" s="33">
        <f>IF($AS266="","",IF($F$6="",0,IF(ISNUMBER(INDEX($A:$AP,ROW(),$F$6)),INDEX($A:$AP,ROW(),$F$6),IFERROR(--SUBSTITUTE(SUBSTITUTE(TRIM(INDEX($A:$AP,ROW(),$F$6)),",",""),"원",""),0))))</f>
        <v/>
      </c>
      <c r="AU266" s="31">
        <f>IF($AS266="","",IF($AX266&lt;&gt;"",SUBSTITUTE(SUBSTITUTE($AX266,"-","")," ",""),"N:"&amp;$AV266))</f>
        <v/>
      </c>
      <c r="AV266" s="31">
        <f>IF(OR($AS266="",$E$6=""),"",TRIM(INDEX($A:$AP,ROW(),$E$6)&amp;""))</f>
        <v/>
      </c>
      <c r="AW266" s="31">
        <f>IF($AU266="","",IF(MATCH($AU266,$AU$8:$AU$2007,0)=ROW()-7,MAX($AW$7:$AW265)+1,""))</f>
        <v/>
      </c>
      <c r="AX266" s="31">
        <f>IF(OR($AS266="",$D$6=""),"",TRIM(INDEX($A:$AP,ROW(),$D$6)&amp;""))</f>
        <v/>
      </c>
      <c r="AY266" s="31">
        <f>IF($AU266="","",INDEX($AW$8:$AW$2007,MATCH($AU266,$AU$8:$AU$2007,0)))</f>
        <v/>
      </c>
      <c r="AZ266" s="31">
        <f>IF(OR($AS266="",$C$6=""),"",TRIM(INDEX($A:$AP,ROW(),$C$6)&amp;""))</f>
        <v/>
      </c>
      <c r="BA266" s="31">
        <f>IF($AZ266="","",IF(COUNTIF($AZ$8:$AZ266,$AZ266)&gt;1,1,0))</f>
        <v/>
      </c>
    </row>
    <row r="267">
      <c r="AR267" s="31">
        <f>IF(OR($A$5="",$B$6="",ROW()&lt;$A$5),"",IF(INDEX($A:$AP,ROW(),$B$6)="","",INDEX($A:$AP,ROW(),$B$6)))</f>
        <v/>
      </c>
      <c r="AS267" s="32">
        <f>IF($AR267="","",IF(ISNUMBER($AR267),IF($AR267&gt;=10000000,IFERROR(DATE(INT($AR267/10000),MOD(INT($AR267/100),100),MOD($AR267,100)),""),INT($AR267)),IFERROR(DATE(--LEFT(LEFT(SUBSTITUTE(SUBSTITUTE(SUBSTITUTE(SUBSTITUTE(TRIM($AR267),"-",""),".",""),"/","")," ",""),8),4),--MID(LEFT(SUBSTITUTE(SUBSTITUTE(SUBSTITUTE(SUBSTITUTE(TRIM($AR267),"-",""),".",""),"/","")," ",""),8),5,2),--MID(LEFT(SUBSTITUTE(SUBSTITUTE(SUBSTITUTE(SUBSTITUTE(TRIM($AR267),"-",""),".",""),"/","")," ",""),8),7,2)),"")))</f>
        <v/>
      </c>
      <c r="AT267" s="33">
        <f>IF($AS267="","",IF($F$6="",0,IF(ISNUMBER(INDEX($A:$AP,ROW(),$F$6)),INDEX($A:$AP,ROW(),$F$6),IFERROR(--SUBSTITUTE(SUBSTITUTE(TRIM(INDEX($A:$AP,ROW(),$F$6)),",",""),"원",""),0))))</f>
        <v/>
      </c>
      <c r="AU267" s="31">
        <f>IF($AS267="","",IF($AX267&lt;&gt;"",SUBSTITUTE(SUBSTITUTE($AX267,"-","")," ",""),"N:"&amp;$AV267))</f>
        <v/>
      </c>
      <c r="AV267" s="31">
        <f>IF(OR($AS267="",$E$6=""),"",TRIM(INDEX($A:$AP,ROW(),$E$6)&amp;""))</f>
        <v/>
      </c>
      <c r="AW267" s="31">
        <f>IF($AU267="","",IF(MATCH($AU267,$AU$8:$AU$2007,0)=ROW()-7,MAX($AW$7:$AW266)+1,""))</f>
        <v/>
      </c>
      <c r="AX267" s="31">
        <f>IF(OR($AS267="",$D$6=""),"",TRIM(INDEX($A:$AP,ROW(),$D$6)&amp;""))</f>
        <v/>
      </c>
      <c r="AY267" s="31">
        <f>IF($AU267="","",INDEX($AW$8:$AW$2007,MATCH($AU267,$AU$8:$AU$2007,0)))</f>
        <v/>
      </c>
      <c r="AZ267" s="31">
        <f>IF(OR($AS267="",$C$6=""),"",TRIM(INDEX($A:$AP,ROW(),$C$6)&amp;""))</f>
        <v/>
      </c>
      <c r="BA267" s="31">
        <f>IF($AZ267="","",IF(COUNTIF($AZ$8:$AZ267,$AZ267)&gt;1,1,0))</f>
        <v/>
      </c>
    </row>
    <row r="268">
      <c r="AR268" s="31">
        <f>IF(OR($A$5="",$B$6="",ROW()&lt;$A$5),"",IF(INDEX($A:$AP,ROW(),$B$6)="","",INDEX($A:$AP,ROW(),$B$6)))</f>
        <v/>
      </c>
      <c r="AS268" s="32">
        <f>IF($AR268="","",IF(ISNUMBER($AR268),IF($AR268&gt;=10000000,IFERROR(DATE(INT($AR268/10000),MOD(INT($AR268/100),100),MOD($AR268,100)),""),INT($AR268)),IFERROR(DATE(--LEFT(LEFT(SUBSTITUTE(SUBSTITUTE(SUBSTITUTE(SUBSTITUTE(TRIM($AR268),"-",""),".",""),"/","")," ",""),8),4),--MID(LEFT(SUBSTITUTE(SUBSTITUTE(SUBSTITUTE(SUBSTITUTE(TRIM($AR268),"-",""),".",""),"/","")," ",""),8),5,2),--MID(LEFT(SUBSTITUTE(SUBSTITUTE(SUBSTITUTE(SUBSTITUTE(TRIM($AR268),"-",""),".",""),"/","")," ",""),8),7,2)),"")))</f>
        <v/>
      </c>
      <c r="AT268" s="33">
        <f>IF($AS268="","",IF($F$6="",0,IF(ISNUMBER(INDEX($A:$AP,ROW(),$F$6)),INDEX($A:$AP,ROW(),$F$6),IFERROR(--SUBSTITUTE(SUBSTITUTE(TRIM(INDEX($A:$AP,ROW(),$F$6)),",",""),"원",""),0))))</f>
        <v/>
      </c>
      <c r="AU268" s="31">
        <f>IF($AS268="","",IF($AX268&lt;&gt;"",SUBSTITUTE(SUBSTITUTE($AX268,"-","")," ",""),"N:"&amp;$AV268))</f>
        <v/>
      </c>
      <c r="AV268" s="31">
        <f>IF(OR($AS268="",$E$6=""),"",TRIM(INDEX($A:$AP,ROW(),$E$6)&amp;""))</f>
        <v/>
      </c>
      <c r="AW268" s="31">
        <f>IF($AU268="","",IF(MATCH($AU268,$AU$8:$AU$2007,0)=ROW()-7,MAX($AW$7:$AW267)+1,""))</f>
        <v/>
      </c>
      <c r="AX268" s="31">
        <f>IF(OR($AS268="",$D$6=""),"",TRIM(INDEX($A:$AP,ROW(),$D$6)&amp;""))</f>
        <v/>
      </c>
      <c r="AY268" s="31">
        <f>IF($AU268="","",INDEX($AW$8:$AW$2007,MATCH($AU268,$AU$8:$AU$2007,0)))</f>
        <v/>
      </c>
      <c r="AZ268" s="31">
        <f>IF(OR($AS268="",$C$6=""),"",TRIM(INDEX($A:$AP,ROW(),$C$6)&amp;""))</f>
        <v/>
      </c>
      <c r="BA268" s="31">
        <f>IF($AZ268="","",IF(COUNTIF($AZ$8:$AZ268,$AZ268)&gt;1,1,0))</f>
        <v/>
      </c>
    </row>
    <row r="269">
      <c r="AR269" s="31">
        <f>IF(OR($A$5="",$B$6="",ROW()&lt;$A$5),"",IF(INDEX($A:$AP,ROW(),$B$6)="","",INDEX($A:$AP,ROW(),$B$6)))</f>
        <v/>
      </c>
      <c r="AS269" s="32">
        <f>IF($AR269="","",IF(ISNUMBER($AR269),IF($AR269&gt;=10000000,IFERROR(DATE(INT($AR269/10000),MOD(INT($AR269/100),100),MOD($AR269,100)),""),INT($AR269)),IFERROR(DATE(--LEFT(LEFT(SUBSTITUTE(SUBSTITUTE(SUBSTITUTE(SUBSTITUTE(TRIM($AR269),"-",""),".",""),"/","")," ",""),8),4),--MID(LEFT(SUBSTITUTE(SUBSTITUTE(SUBSTITUTE(SUBSTITUTE(TRIM($AR269),"-",""),".",""),"/","")," ",""),8),5,2),--MID(LEFT(SUBSTITUTE(SUBSTITUTE(SUBSTITUTE(SUBSTITUTE(TRIM($AR269),"-",""),".",""),"/","")," ",""),8),7,2)),"")))</f>
        <v/>
      </c>
      <c r="AT269" s="33">
        <f>IF($AS269="","",IF($F$6="",0,IF(ISNUMBER(INDEX($A:$AP,ROW(),$F$6)),INDEX($A:$AP,ROW(),$F$6),IFERROR(--SUBSTITUTE(SUBSTITUTE(TRIM(INDEX($A:$AP,ROW(),$F$6)),",",""),"원",""),0))))</f>
        <v/>
      </c>
      <c r="AU269" s="31">
        <f>IF($AS269="","",IF($AX269&lt;&gt;"",SUBSTITUTE(SUBSTITUTE($AX269,"-","")," ",""),"N:"&amp;$AV269))</f>
        <v/>
      </c>
      <c r="AV269" s="31">
        <f>IF(OR($AS269="",$E$6=""),"",TRIM(INDEX($A:$AP,ROW(),$E$6)&amp;""))</f>
        <v/>
      </c>
      <c r="AW269" s="31">
        <f>IF($AU269="","",IF(MATCH($AU269,$AU$8:$AU$2007,0)=ROW()-7,MAX($AW$7:$AW268)+1,""))</f>
        <v/>
      </c>
      <c r="AX269" s="31">
        <f>IF(OR($AS269="",$D$6=""),"",TRIM(INDEX($A:$AP,ROW(),$D$6)&amp;""))</f>
        <v/>
      </c>
      <c r="AY269" s="31">
        <f>IF($AU269="","",INDEX($AW$8:$AW$2007,MATCH($AU269,$AU$8:$AU$2007,0)))</f>
        <v/>
      </c>
      <c r="AZ269" s="31">
        <f>IF(OR($AS269="",$C$6=""),"",TRIM(INDEX($A:$AP,ROW(),$C$6)&amp;""))</f>
        <v/>
      </c>
      <c r="BA269" s="31">
        <f>IF($AZ269="","",IF(COUNTIF($AZ$8:$AZ269,$AZ269)&gt;1,1,0))</f>
        <v/>
      </c>
    </row>
    <row r="270">
      <c r="AR270" s="31">
        <f>IF(OR($A$5="",$B$6="",ROW()&lt;$A$5),"",IF(INDEX($A:$AP,ROW(),$B$6)="","",INDEX($A:$AP,ROW(),$B$6)))</f>
        <v/>
      </c>
      <c r="AS270" s="32">
        <f>IF($AR270="","",IF(ISNUMBER($AR270),IF($AR270&gt;=10000000,IFERROR(DATE(INT($AR270/10000),MOD(INT($AR270/100),100),MOD($AR270,100)),""),INT($AR270)),IFERROR(DATE(--LEFT(LEFT(SUBSTITUTE(SUBSTITUTE(SUBSTITUTE(SUBSTITUTE(TRIM($AR270),"-",""),".",""),"/","")," ",""),8),4),--MID(LEFT(SUBSTITUTE(SUBSTITUTE(SUBSTITUTE(SUBSTITUTE(TRIM($AR270),"-",""),".",""),"/","")," ",""),8),5,2),--MID(LEFT(SUBSTITUTE(SUBSTITUTE(SUBSTITUTE(SUBSTITUTE(TRIM($AR270),"-",""),".",""),"/","")," ",""),8),7,2)),"")))</f>
        <v/>
      </c>
      <c r="AT270" s="33">
        <f>IF($AS270="","",IF($F$6="",0,IF(ISNUMBER(INDEX($A:$AP,ROW(),$F$6)),INDEX($A:$AP,ROW(),$F$6),IFERROR(--SUBSTITUTE(SUBSTITUTE(TRIM(INDEX($A:$AP,ROW(),$F$6)),",",""),"원",""),0))))</f>
        <v/>
      </c>
      <c r="AU270" s="31">
        <f>IF($AS270="","",IF($AX270&lt;&gt;"",SUBSTITUTE(SUBSTITUTE($AX270,"-","")," ",""),"N:"&amp;$AV270))</f>
        <v/>
      </c>
      <c r="AV270" s="31">
        <f>IF(OR($AS270="",$E$6=""),"",TRIM(INDEX($A:$AP,ROW(),$E$6)&amp;""))</f>
        <v/>
      </c>
      <c r="AW270" s="31">
        <f>IF($AU270="","",IF(MATCH($AU270,$AU$8:$AU$2007,0)=ROW()-7,MAX($AW$7:$AW269)+1,""))</f>
        <v/>
      </c>
      <c r="AX270" s="31">
        <f>IF(OR($AS270="",$D$6=""),"",TRIM(INDEX($A:$AP,ROW(),$D$6)&amp;""))</f>
        <v/>
      </c>
      <c r="AY270" s="31">
        <f>IF($AU270="","",INDEX($AW$8:$AW$2007,MATCH($AU270,$AU$8:$AU$2007,0)))</f>
        <v/>
      </c>
      <c r="AZ270" s="31">
        <f>IF(OR($AS270="",$C$6=""),"",TRIM(INDEX($A:$AP,ROW(),$C$6)&amp;""))</f>
        <v/>
      </c>
      <c r="BA270" s="31">
        <f>IF($AZ270="","",IF(COUNTIF($AZ$8:$AZ270,$AZ270)&gt;1,1,0))</f>
        <v/>
      </c>
    </row>
    <row r="271">
      <c r="AR271" s="31">
        <f>IF(OR($A$5="",$B$6="",ROW()&lt;$A$5),"",IF(INDEX($A:$AP,ROW(),$B$6)="","",INDEX($A:$AP,ROW(),$B$6)))</f>
        <v/>
      </c>
      <c r="AS271" s="32">
        <f>IF($AR271="","",IF(ISNUMBER($AR271),IF($AR271&gt;=10000000,IFERROR(DATE(INT($AR271/10000),MOD(INT($AR271/100),100),MOD($AR271,100)),""),INT($AR271)),IFERROR(DATE(--LEFT(LEFT(SUBSTITUTE(SUBSTITUTE(SUBSTITUTE(SUBSTITUTE(TRIM($AR271),"-",""),".",""),"/","")," ",""),8),4),--MID(LEFT(SUBSTITUTE(SUBSTITUTE(SUBSTITUTE(SUBSTITUTE(TRIM($AR271),"-",""),".",""),"/","")," ",""),8),5,2),--MID(LEFT(SUBSTITUTE(SUBSTITUTE(SUBSTITUTE(SUBSTITUTE(TRIM($AR271),"-",""),".",""),"/","")," ",""),8),7,2)),"")))</f>
        <v/>
      </c>
      <c r="AT271" s="33">
        <f>IF($AS271="","",IF($F$6="",0,IF(ISNUMBER(INDEX($A:$AP,ROW(),$F$6)),INDEX($A:$AP,ROW(),$F$6),IFERROR(--SUBSTITUTE(SUBSTITUTE(TRIM(INDEX($A:$AP,ROW(),$F$6)),",",""),"원",""),0))))</f>
        <v/>
      </c>
      <c r="AU271" s="31">
        <f>IF($AS271="","",IF($AX271&lt;&gt;"",SUBSTITUTE(SUBSTITUTE($AX271,"-","")," ",""),"N:"&amp;$AV271))</f>
        <v/>
      </c>
      <c r="AV271" s="31">
        <f>IF(OR($AS271="",$E$6=""),"",TRIM(INDEX($A:$AP,ROW(),$E$6)&amp;""))</f>
        <v/>
      </c>
      <c r="AW271" s="31">
        <f>IF($AU271="","",IF(MATCH($AU271,$AU$8:$AU$2007,0)=ROW()-7,MAX($AW$7:$AW270)+1,""))</f>
        <v/>
      </c>
      <c r="AX271" s="31">
        <f>IF(OR($AS271="",$D$6=""),"",TRIM(INDEX($A:$AP,ROW(),$D$6)&amp;""))</f>
        <v/>
      </c>
      <c r="AY271" s="31">
        <f>IF($AU271="","",INDEX($AW$8:$AW$2007,MATCH($AU271,$AU$8:$AU$2007,0)))</f>
        <v/>
      </c>
      <c r="AZ271" s="31">
        <f>IF(OR($AS271="",$C$6=""),"",TRIM(INDEX($A:$AP,ROW(),$C$6)&amp;""))</f>
        <v/>
      </c>
      <c r="BA271" s="31">
        <f>IF($AZ271="","",IF(COUNTIF($AZ$8:$AZ271,$AZ271)&gt;1,1,0))</f>
        <v/>
      </c>
    </row>
    <row r="272">
      <c r="AR272" s="31">
        <f>IF(OR($A$5="",$B$6="",ROW()&lt;$A$5),"",IF(INDEX($A:$AP,ROW(),$B$6)="","",INDEX($A:$AP,ROW(),$B$6)))</f>
        <v/>
      </c>
      <c r="AS272" s="32">
        <f>IF($AR272="","",IF(ISNUMBER($AR272),IF($AR272&gt;=10000000,IFERROR(DATE(INT($AR272/10000),MOD(INT($AR272/100),100),MOD($AR272,100)),""),INT($AR272)),IFERROR(DATE(--LEFT(LEFT(SUBSTITUTE(SUBSTITUTE(SUBSTITUTE(SUBSTITUTE(TRIM($AR272),"-",""),".",""),"/","")," ",""),8),4),--MID(LEFT(SUBSTITUTE(SUBSTITUTE(SUBSTITUTE(SUBSTITUTE(TRIM($AR272),"-",""),".",""),"/","")," ",""),8),5,2),--MID(LEFT(SUBSTITUTE(SUBSTITUTE(SUBSTITUTE(SUBSTITUTE(TRIM($AR272),"-",""),".",""),"/","")," ",""),8),7,2)),"")))</f>
        <v/>
      </c>
      <c r="AT272" s="33">
        <f>IF($AS272="","",IF($F$6="",0,IF(ISNUMBER(INDEX($A:$AP,ROW(),$F$6)),INDEX($A:$AP,ROW(),$F$6),IFERROR(--SUBSTITUTE(SUBSTITUTE(TRIM(INDEX($A:$AP,ROW(),$F$6)),",",""),"원",""),0))))</f>
        <v/>
      </c>
      <c r="AU272" s="31">
        <f>IF($AS272="","",IF($AX272&lt;&gt;"",SUBSTITUTE(SUBSTITUTE($AX272,"-","")," ",""),"N:"&amp;$AV272))</f>
        <v/>
      </c>
      <c r="AV272" s="31">
        <f>IF(OR($AS272="",$E$6=""),"",TRIM(INDEX($A:$AP,ROW(),$E$6)&amp;""))</f>
        <v/>
      </c>
      <c r="AW272" s="31">
        <f>IF($AU272="","",IF(MATCH($AU272,$AU$8:$AU$2007,0)=ROW()-7,MAX($AW$7:$AW271)+1,""))</f>
        <v/>
      </c>
      <c r="AX272" s="31">
        <f>IF(OR($AS272="",$D$6=""),"",TRIM(INDEX($A:$AP,ROW(),$D$6)&amp;""))</f>
        <v/>
      </c>
      <c r="AY272" s="31">
        <f>IF($AU272="","",INDEX($AW$8:$AW$2007,MATCH($AU272,$AU$8:$AU$2007,0)))</f>
        <v/>
      </c>
      <c r="AZ272" s="31">
        <f>IF(OR($AS272="",$C$6=""),"",TRIM(INDEX($A:$AP,ROW(),$C$6)&amp;""))</f>
        <v/>
      </c>
      <c r="BA272" s="31">
        <f>IF($AZ272="","",IF(COUNTIF($AZ$8:$AZ272,$AZ272)&gt;1,1,0))</f>
        <v/>
      </c>
    </row>
    <row r="273">
      <c r="AR273" s="31">
        <f>IF(OR($A$5="",$B$6="",ROW()&lt;$A$5),"",IF(INDEX($A:$AP,ROW(),$B$6)="","",INDEX($A:$AP,ROW(),$B$6)))</f>
        <v/>
      </c>
      <c r="AS273" s="32">
        <f>IF($AR273="","",IF(ISNUMBER($AR273),IF($AR273&gt;=10000000,IFERROR(DATE(INT($AR273/10000),MOD(INT($AR273/100),100),MOD($AR273,100)),""),INT($AR273)),IFERROR(DATE(--LEFT(LEFT(SUBSTITUTE(SUBSTITUTE(SUBSTITUTE(SUBSTITUTE(TRIM($AR273),"-",""),".",""),"/","")," ",""),8),4),--MID(LEFT(SUBSTITUTE(SUBSTITUTE(SUBSTITUTE(SUBSTITUTE(TRIM($AR273),"-",""),".",""),"/","")," ",""),8),5,2),--MID(LEFT(SUBSTITUTE(SUBSTITUTE(SUBSTITUTE(SUBSTITUTE(TRIM($AR273),"-",""),".",""),"/","")," ",""),8),7,2)),"")))</f>
        <v/>
      </c>
      <c r="AT273" s="33">
        <f>IF($AS273="","",IF($F$6="",0,IF(ISNUMBER(INDEX($A:$AP,ROW(),$F$6)),INDEX($A:$AP,ROW(),$F$6),IFERROR(--SUBSTITUTE(SUBSTITUTE(TRIM(INDEX($A:$AP,ROW(),$F$6)),",",""),"원",""),0))))</f>
        <v/>
      </c>
      <c r="AU273" s="31">
        <f>IF($AS273="","",IF($AX273&lt;&gt;"",SUBSTITUTE(SUBSTITUTE($AX273,"-","")," ",""),"N:"&amp;$AV273))</f>
        <v/>
      </c>
      <c r="AV273" s="31">
        <f>IF(OR($AS273="",$E$6=""),"",TRIM(INDEX($A:$AP,ROW(),$E$6)&amp;""))</f>
        <v/>
      </c>
      <c r="AW273" s="31">
        <f>IF($AU273="","",IF(MATCH($AU273,$AU$8:$AU$2007,0)=ROW()-7,MAX($AW$7:$AW272)+1,""))</f>
        <v/>
      </c>
      <c r="AX273" s="31">
        <f>IF(OR($AS273="",$D$6=""),"",TRIM(INDEX($A:$AP,ROW(),$D$6)&amp;""))</f>
        <v/>
      </c>
      <c r="AY273" s="31">
        <f>IF($AU273="","",INDEX($AW$8:$AW$2007,MATCH($AU273,$AU$8:$AU$2007,0)))</f>
        <v/>
      </c>
      <c r="AZ273" s="31">
        <f>IF(OR($AS273="",$C$6=""),"",TRIM(INDEX($A:$AP,ROW(),$C$6)&amp;""))</f>
        <v/>
      </c>
      <c r="BA273" s="31">
        <f>IF($AZ273="","",IF(COUNTIF($AZ$8:$AZ273,$AZ273)&gt;1,1,0))</f>
        <v/>
      </c>
    </row>
    <row r="274">
      <c r="AR274" s="31">
        <f>IF(OR($A$5="",$B$6="",ROW()&lt;$A$5),"",IF(INDEX($A:$AP,ROW(),$B$6)="","",INDEX($A:$AP,ROW(),$B$6)))</f>
        <v/>
      </c>
      <c r="AS274" s="32">
        <f>IF($AR274="","",IF(ISNUMBER($AR274),IF($AR274&gt;=10000000,IFERROR(DATE(INT($AR274/10000),MOD(INT($AR274/100),100),MOD($AR274,100)),""),INT($AR274)),IFERROR(DATE(--LEFT(LEFT(SUBSTITUTE(SUBSTITUTE(SUBSTITUTE(SUBSTITUTE(TRIM($AR274),"-",""),".",""),"/","")," ",""),8),4),--MID(LEFT(SUBSTITUTE(SUBSTITUTE(SUBSTITUTE(SUBSTITUTE(TRIM($AR274),"-",""),".",""),"/","")," ",""),8),5,2),--MID(LEFT(SUBSTITUTE(SUBSTITUTE(SUBSTITUTE(SUBSTITUTE(TRIM($AR274),"-",""),".",""),"/","")," ",""),8),7,2)),"")))</f>
        <v/>
      </c>
      <c r="AT274" s="33">
        <f>IF($AS274="","",IF($F$6="",0,IF(ISNUMBER(INDEX($A:$AP,ROW(),$F$6)),INDEX($A:$AP,ROW(),$F$6),IFERROR(--SUBSTITUTE(SUBSTITUTE(TRIM(INDEX($A:$AP,ROW(),$F$6)),",",""),"원",""),0))))</f>
        <v/>
      </c>
      <c r="AU274" s="31">
        <f>IF($AS274="","",IF($AX274&lt;&gt;"",SUBSTITUTE(SUBSTITUTE($AX274,"-","")," ",""),"N:"&amp;$AV274))</f>
        <v/>
      </c>
      <c r="AV274" s="31">
        <f>IF(OR($AS274="",$E$6=""),"",TRIM(INDEX($A:$AP,ROW(),$E$6)&amp;""))</f>
        <v/>
      </c>
      <c r="AW274" s="31">
        <f>IF($AU274="","",IF(MATCH($AU274,$AU$8:$AU$2007,0)=ROW()-7,MAX($AW$7:$AW273)+1,""))</f>
        <v/>
      </c>
      <c r="AX274" s="31">
        <f>IF(OR($AS274="",$D$6=""),"",TRIM(INDEX($A:$AP,ROW(),$D$6)&amp;""))</f>
        <v/>
      </c>
      <c r="AY274" s="31">
        <f>IF($AU274="","",INDEX($AW$8:$AW$2007,MATCH($AU274,$AU$8:$AU$2007,0)))</f>
        <v/>
      </c>
      <c r="AZ274" s="31">
        <f>IF(OR($AS274="",$C$6=""),"",TRIM(INDEX($A:$AP,ROW(),$C$6)&amp;""))</f>
        <v/>
      </c>
      <c r="BA274" s="31">
        <f>IF($AZ274="","",IF(COUNTIF($AZ$8:$AZ274,$AZ274)&gt;1,1,0))</f>
        <v/>
      </c>
    </row>
    <row r="275">
      <c r="AR275" s="31">
        <f>IF(OR($A$5="",$B$6="",ROW()&lt;$A$5),"",IF(INDEX($A:$AP,ROW(),$B$6)="","",INDEX($A:$AP,ROW(),$B$6)))</f>
        <v/>
      </c>
      <c r="AS275" s="32">
        <f>IF($AR275="","",IF(ISNUMBER($AR275),IF($AR275&gt;=10000000,IFERROR(DATE(INT($AR275/10000),MOD(INT($AR275/100),100),MOD($AR275,100)),""),INT($AR275)),IFERROR(DATE(--LEFT(LEFT(SUBSTITUTE(SUBSTITUTE(SUBSTITUTE(SUBSTITUTE(TRIM($AR275),"-",""),".",""),"/","")," ",""),8),4),--MID(LEFT(SUBSTITUTE(SUBSTITUTE(SUBSTITUTE(SUBSTITUTE(TRIM($AR275),"-",""),".",""),"/","")," ",""),8),5,2),--MID(LEFT(SUBSTITUTE(SUBSTITUTE(SUBSTITUTE(SUBSTITUTE(TRIM($AR275),"-",""),".",""),"/","")," ",""),8),7,2)),"")))</f>
        <v/>
      </c>
      <c r="AT275" s="33">
        <f>IF($AS275="","",IF($F$6="",0,IF(ISNUMBER(INDEX($A:$AP,ROW(),$F$6)),INDEX($A:$AP,ROW(),$F$6),IFERROR(--SUBSTITUTE(SUBSTITUTE(TRIM(INDEX($A:$AP,ROW(),$F$6)),",",""),"원",""),0))))</f>
        <v/>
      </c>
      <c r="AU275" s="31">
        <f>IF($AS275="","",IF($AX275&lt;&gt;"",SUBSTITUTE(SUBSTITUTE($AX275,"-","")," ",""),"N:"&amp;$AV275))</f>
        <v/>
      </c>
      <c r="AV275" s="31">
        <f>IF(OR($AS275="",$E$6=""),"",TRIM(INDEX($A:$AP,ROW(),$E$6)&amp;""))</f>
        <v/>
      </c>
      <c r="AW275" s="31">
        <f>IF($AU275="","",IF(MATCH($AU275,$AU$8:$AU$2007,0)=ROW()-7,MAX($AW$7:$AW274)+1,""))</f>
        <v/>
      </c>
      <c r="AX275" s="31">
        <f>IF(OR($AS275="",$D$6=""),"",TRIM(INDEX($A:$AP,ROW(),$D$6)&amp;""))</f>
        <v/>
      </c>
      <c r="AY275" s="31">
        <f>IF($AU275="","",INDEX($AW$8:$AW$2007,MATCH($AU275,$AU$8:$AU$2007,0)))</f>
        <v/>
      </c>
      <c r="AZ275" s="31">
        <f>IF(OR($AS275="",$C$6=""),"",TRIM(INDEX($A:$AP,ROW(),$C$6)&amp;""))</f>
        <v/>
      </c>
      <c r="BA275" s="31">
        <f>IF($AZ275="","",IF(COUNTIF($AZ$8:$AZ275,$AZ275)&gt;1,1,0))</f>
        <v/>
      </c>
    </row>
    <row r="276">
      <c r="AR276" s="31">
        <f>IF(OR($A$5="",$B$6="",ROW()&lt;$A$5),"",IF(INDEX($A:$AP,ROW(),$B$6)="","",INDEX($A:$AP,ROW(),$B$6)))</f>
        <v/>
      </c>
      <c r="AS276" s="32">
        <f>IF($AR276="","",IF(ISNUMBER($AR276),IF($AR276&gt;=10000000,IFERROR(DATE(INT($AR276/10000),MOD(INT($AR276/100),100),MOD($AR276,100)),""),INT($AR276)),IFERROR(DATE(--LEFT(LEFT(SUBSTITUTE(SUBSTITUTE(SUBSTITUTE(SUBSTITUTE(TRIM($AR276),"-",""),".",""),"/","")," ",""),8),4),--MID(LEFT(SUBSTITUTE(SUBSTITUTE(SUBSTITUTE(SUBSTITUTE(TRIM($AR276),"-",""),".",""),"/","")," ",""),8),5,2),--MID(LEFT(SUBSTITUTE(SUBSTITUTE(SUBSTITUTE(SUBSTITUTE(TRIM($AR276),"-",""),".",""),"/","")," ",""),8),7,2)),"")))</f>
        <v/>
      </c>
      <c r="AT276" s="33">
        <f>IF($AS276="","",IF($F$6="",0,IF(ISNUMBER(INDEX($A:$AP,ROW(),$F$6)),INDEX($A:$AP,ROW(),$F$6),IFERROR(--SUBSTITUTE(SUBSTITUTE(TRIM(INDEX($A:$AP,ROW(),$F$6)),",",""),"원",""),0))))</f>
        <v/>
      </c>
      <c r="AU276" s="31">
        <f>IF($AS276="","",IF($AX276&lt;&gt;"",SUBSTITUTE(SUBSTITUTE($AX276,"-","")," ",""),"N:"&amp;$AV276))</f>
        <v/>
      </c>
      <c r="AV276" s="31">
        <f>IF(OR($AS276="",$E$6=""),"",TRIM(INDEX($A:$AP,ROW(),$E$6)&amp;""))</f>
        <v/>
      </c>
      <c r="AW276" s="31">
        <f>IF($AU276="","",IF(MATCH($AU276,$AU$8:$AU$2007,0)=ROW()-7,MAX($AW$7:$AW275)+1,""))</f>
        <v/>
      </c>
      <c r="AX276" s="31">
        <f>IF(OR($AS276="",$D$6=""),"",TRIM(INDEX($A:$AP,ROW(),$D$6)&amp;""))</f>
        <v/>
      </c>
      <c r="AY276" s="31">
        <f>IF($AU276="","",INDEX($AW$8:$AW$2007,MATCH($AU276,$AU$8:$AU$2007,0)))</f>
        <v/>
      </c>
      <c r="AZ276" s="31">
        <f>IF(OR($AS276="",$C$6=""),"",TRIM(INDEX($A:$AP,ROW(),$C$6)&amp;""))</f>
        <v/>
      </c>
      <c r="BA276" s="31">
        <f>IF($AZ276="","",IF(COUNTIF($AZ$8:$AZ276,$AZ276)&gt;1,1,0))</f>
        <v/>
      </c>
    </row>
    <row r="277">
      <c r="AR277" s="31">
        <f>IF(OR($A$5="",$B$6="",ROW()&lt;$A$5),"",IF(INDEX($A:$AP,ROW(),$B$6)="","",INDEX($A:$AP,ROW(),$B$6)))</f>
        <v/>
      </c>
      <c r="AS277" s="32">
        <f>IF($AR277="","",IF(ISNUMBER($AR277),IF($AR277&gt;=10000000,IFERROR(DATE(INT($AR277/10000),MOD(INT($AR277/100),100),MOD($AR277,100)),""),INT($AR277)),IFERROR(DATE(--LEFT(LEFT(SUBSTITUTE(SUBSTITUTE(SUBSTITUTE(SUBSTITUTE(TRIM($AR277),"-",""),".",""),"/","")," ",""),8),4),--MID(LEFT(SUBSTITUTE(SUBSTITUTE(SUBSTITUTE(SUBSTITUTE(TRIM($AR277),"-",""),".",""),"/","")," ",""),8),5,2),--MID(LEFT(SUBSTITUTE(SUBSTITUTE(SUBSTITUTE(SUBSTITUTE(TRIM($AR277),"-",""),".",""),"/","")," ",""),8),7,2)),"")))</f>
        <v/>
      </c>
      <c r="AT277" s="33">
        <f>IF($AS277="","",IF($F$6="",0,IF(ISNUMBER(INDEX($A:$AP,ROW(),$F$6)),INDEX($A:$AP,ROW(),$F$6),IFERROR(--SUBSTITUTE(SUBSTITUTE(TRIM(INDEX($A:$AP,ROW(),$F$6)),",",""),"원",""),0))))</f>
        <v/>
      </c>
      <c r="AU277" s="31">
        <f>IF($AS277="","",IF($AX277&lt;&gt;"",SUBSTITUTE(SUBSTITUTE($AX277,"-","")," ",""),"N:"&amp;$AV277))</f>
        <v/>
      </c>
      <c r="AV277" s="31">
        <f>IF(OR($AS277="",$E$6=""),"",TRIM(INDEX($A:$AP,ROW(),$E$6)&amp;""))</f>
        <v/>
      </c>
      <c r="AW277" s="31">
        <f>IF($AU277="","",IF(MATCH($AU277,$AU$8:$AU$2007,0)=ROW()-7,MAX($AW$7:$AW276)+1,""))</f>
        <v/>
      </c>
      <c r="AX277" s="31">
        <f>IF(OR($AS277="",$D$6=""),"",TRIM(INDEX($A:$AP,ROW(),$D$6)&amp;""))</f>
        <v/>
      </c>
      <c r="AY277" s="31">
        <f>IF($AU277="","",INDEX($AW$8:$AW$2007,MATCH($AU277,$AU$8:$AU$2007,0)))</f>
        <v/>
      </c>
      <c r="AZ277" s="31">
        <f>IF(OR($AS277="",$C$6=""),"",TRIM(INDEX($A:$AP,ROW(),$C$6)&amp;""))</f>
        <v/>
      </c>
      <c r="BA277" s="31">
        <f>IF($AZ277="","",IF(COUNTIF($AZ$8:$AZ277,$AZ277)&gt;1,1,0))</f>
        <v/>
      </c>
    </row>
    <row r="278">
      <c r="AR278" s="31">
        <f>IF(OR($A$5="",$B$6="",ROW()&lt;$A$5),"",IF(INDEX($A:$AP,ROW(),$B$6)="","",INDEX($A:$AP,ROW(),$B$6)))</f>
        <v/>
      </c>
      <c r="AS278" s="32">
        <f>IF($AR278="","",IF(ISNUMBER($AR278),IF($AR278&gt;=10000000,IFERROR(DATE(INT($AR278/10000),MOD(INT($AR278/100),100),MOD($AR278,100)),""),INT($AR278)),IFERROR(DATE(--LEFT(LEFT(SUBSTITUTE(SUBSTITUTE(SUBSTITUTE(SUBSTITUTE(TRIM($AR278),"-",""),".",""),"/","")," ",""),8),4),--MID(LEFT(SUBSTITUTE(SUBSTITUTE(SUBSTITUTE(SUBSTITUTE(TRIM($AR278),"-",""),".",""),"/","")," ",""),8),5,2),--MID(LEFT(SUBSTITUTE(SUBSTITUTE(SUBSTITUTE(SUBSTITUTE(TRIM($AR278),"-",""),".",""),"/","")," ",""),8),7,2)),"")))</f>
        <v/>
      </c>
      <c r="AT278" s="33">
        <f>IF($AS278="","",IF($F$6="",0,IF(ISNUMBER(INDEX($A:$AP,ROW(),$F$6)),INDEX($A:$AP,ROW(),$F$6),IFERROR(--SUBSTITUTE(SUBSTITUTE(TRIM(INDEX($A:$AP,ROW(),$F$6)),",",""),"원",""),0))))</f>
        <v/>
      </c>
      <c r="AU278" s="31">
        <f>IF($AS278="","",IF($AX278&lt;&gt;"",SUBSTITUTE(SUBSTITUTE($AX278,"-","")," ",""),"N:"&amp;$AV278))</f>
        <v/>
      </c>
      <c r="AV278" s="31">
        <f>IF(OR($AS278="",$E$6=""),"",TRIM(INDEX($A:$AP,ROW(),$E$6)&amp;""))</f>
        <v/>
      </c>
      <c r="AW278" s="31">
        <f>IF($AU278="","",IF(MATCH($AU278,$AU$8:$AU$2007,0)=ROW()-7,MAX($AW$7:$AW277)+1,""))</f>
        <v/>
      </c>
      <c r="AX278" s="31">
        <f>IF(OR($AS278="",$D$6=""),"",TRIM(INDEX($A:$AP,ROW(),$D$6)&amp;""))</f>
        <v/>
      </c>
      <c r="AY278" s="31">
        <f>IF($AU278="","",INDEX($AW$8:$AW$2007,MATCH($AU278,$AU$8:$AU$2007,0)))</f>
        <v/>
      </c>
      <c r="AZ278" s="31">
        <f>IF(OR($AS278="",$C$6=""),"",TRIM(INDEX($A:$AP,ROW(),$C$6)&amp;""))</f>
        <v/>
      </c>
      <c r="BA278" s="31">
        <f>IF($AZ278="","",IF(COUNTIF($AZ$8:$AZ278,$AZ278)&gt;1,1,0))</f>
        <v/>
      </c>
    </row>
    <row r="279">
      <c r="AR279" s="31">
        <f>IF(OR($A$5="",$B$6="",ROW()&lt;$A$5),"",IF(INDEX($A:$AP,ROW(),$B$6)="","",INDEX($A:$AP,ROW(),$B$6)))</f>
        <v/>
      </c>
      <c r="AS279" s="32">
        <f>IF($AR279="","",IF(ISNUMBER($AR279),IF($AR279&gt;=10000000,IFERROR(DATE(INT($AR279/10000),MOD(INT($AR279/100),100),MOD($AR279,100)),""),INT($AR279)),IFERROR(DATE(--LEFT(LEFT(SUBSTITUTE(SUBSTITUTE(SUBSTITUTE(SUBSTITUTE(TRIM($AR279),"-",""),".",""),"/","")," ",""),8),4),--MID(LEFT(SUBSTITUTE(SUBSTITUTE(SUBSTITUTE(SUBSTITUTE(TRIM($AR279),"-",""),".",""),"/","")," ",""),8),5,2),--MID(LEFT(SUBSTITUTE(SUBSTITUTE(SUBSTITUTE(SUBSTITUTE(TRIM($AR279),"-",""),".",""),"/","")," ",""),8),7,2)),"")))</f>
        <v/>
      </c>
      <c r="AT279" s="33">
        <f>IF($AS279="","",IF($F$6="",0,IF(ISNUMBER(INDEX($A:$AP,ROW(),$F$6)),INDEX($A:$AP,ROW(),$F$6),IFERROR(--SUBSTITUTE(SUBSTITUTE(TRIM(INDEX($A:$AP,ROW(),$F$6)),",",""),"원",""),0))))</f>
        <v/>
      </c>
      <c r="AU279" s="31">
        <f>IF($AS279="","",IF($AX279&lt;&gt;"",SUBSTITUTE(SUBSTITUTE($AX279,"-","")," ",""),"N:"&amp;$AV279))</f>
        <v/>
      </c>
      <c r="AV279" s="31">
        <f>IF(OR($AS279="",$E$6=""),"",TRIM(INDEX($A:$AP,ROW(),$E$6)&amp;""))</f>
        <v/>
      </c>
      <c r="AW279" s="31">
        <f>IF($AU279="","",IF(MATCH($AU279,$AU$8:$AU$2007,0)=ROW()-7,MAX($AW$7:$AW278)+1,""))</f>
        <v/>
      </c>
      <c r="AX279" s="31">
        <f>IF(OR($AS279="",$D$6=""),"",TRIM(INDEX($A:$AP,ROW(),$D$6)&amp;""))</f>
        <v/>
      </c>
      <c r="AY279" s="31">
        <f>IF($AU279="","",INDEX($AW$8:$AW$2007,MATCH($AU279,$AU$8:$AU$2007,0)))</f>
        <v/>
      </c>
      <c r="AZ279" s="31">
        <f>IF(OR($AS279="",$C$6=""),"",TRIM(INDEX($A:$AP,ROW(),$C$6)&amp;""))</f>
        <v/>
      </c>
      <c r="BA279" s="31">
        <f>IF($AZ279="","",IF(COUNTIF($AZ$8:$AZ279,$AZ279)&gt;1,1,0))</f>
        <v/>
      </c>
    </row>
    <row r="280">
      <c r="AR280" s="31">
        <f>IF(OR($A$5="",$B$6="",ROW()&lt;$A$5),"",IF(INDEX($A:$AP,ROW(),$B$6)="","",INDEX($A:$AP,ROW(),$B$6)))</f>
        <v/>
      </c>
      <c r="AS280" s="32">
        <f>IF($AR280="","",IF(ISNUMBER($AR280),IF($AR280&gt;=10000000,IFERROR(DATE(INT($AR280/10000),MOD(INT($AR280/100),100),MOD($AR280,100)),""),INT($AR280)),IFERROR(DATE(--LEFT(LEFT(SUBSTITUTE(SUBSTITUTE(SUBSTITUTE(SUBSTITUTE(TRIM($AR280),"-",""),".",""),"/","")," ",""),8),4),--MID(LEFT(SUBSTITUTE(SUBSTITUTE(SUBSTITUTE(SUBSTITUTE(TRIM($AR280),"-",""),".",""),"/","")," ",""),8),5,2),--MID(LEFT(SUBSTITUTE(SUBSTITUTE(SUBSTITUTE(SUBSTITUTE(TRIM($AR280),"-",""),".",""),"/","")," ",""),8),7,2)),"")))</f>
        <v/>
      </c>
      <c r="AT280" s="33">
        <f>IF($AS280="","",IF($F$6="",0,IF(ISNUMBER(INDEX($A:$AP,ROW(),$F$6)),INDEX($A:$AP,ROW(),$F$6),IFERROR(--SUBSTITUTE(SUBSTITUTE(TRIM(INDEX($A:$AP,ROW(),$F$6)),",",""),"원",""),0))))</f>
        <v/>
      </c>
      <c r="AU280" s="31">
        <f>IF($AS280="","",IF($AX280&lt;&gt;"",SUBSTITUTE(SUBSTITUTE($AX280,"-","")," ",""),"N:"&amp;$AV280))</f>
        <v/>
      </c>
      <c r="AV280" s="31">
        <f>IF(OR($AS280="",$E$6=""),"",TRIM(INDEX($A:$AP,ROW(),$E$6)&amp;""))</f>
        <v/>
      </c>
      <c r="AW280" s="31">
        <f>IF($AU280="","",IF(MATCH($AU280,$AU$8:$AU$2007,0)=ROW()-7,MAX($AW$7:$AW279)+1,""))</f>
        <v/>
      </c>
      <c r="AX280" s="31">
        <f>IF(OR($AS280="",$D$6=""),"",TRIM(INDEX($A:$AP,ROW(),$D$6)&amp;""))</f>
        <v/>
      </c>
      <c r="AY280" s="31">
        <f>IF($AU280="","",INDEX($AW$8:$AW$2007,MATCH($AU280,$AU$8:$AU$2007,0)))</f>
        <v/>
      </c>
      <c r="AZ280" s="31">
        <f>IF(OR($AS280="",$C$6=""),"",TRIM(INDEX($A:$AP,ROW(),$C$6)&amp;""))</f>
        <v/>
      </c>
      <c r="BA280" s="31">
        <f>IF($AZ280="","",IF(COUNTIF($AZ$8:$AZ280,$AZ280)&gt;1,1,0))</f>
        <v/>
      </c>
    </row>
    <row r="281">
      <c r="AR281" s="31">
        <f>IF(OR($A$5="",$B$6="",ROW()&lt;$A$5),"",IF(INDEX($A:$AP,ROW(),$B$6)="","",INDEX($A:$AP,ROW(),$B$6)))</f>
        <v/>
      </c>
      <c r="AS281" s="32">
        <f>IF($AR281="","",IF(ISNUMBER($AR281),IF($AR281&gt;=10000000,IFERROR(DATE(INT($AR281/10000),MOD(INT($AR281/100),100),MOD($AR281,100)),""),INT($AR281)),IFERROR(DATE(--LEFT(LEFT(SUBSTITUTE(SUBSTITUTE(SUBSTITUTE(SUBSTITUTE(TRIM($AR281),"-",""),".",""),"/","")," ",""),8),4),--MID(LEFT(SUBSTITUTE(SUBSTITUTE(SUBSTITUTE(SUBSTITUTE(TRIM($AR281),"-",""),".",""),"/","")," ",""),8),5,2),--MID(LEFT(SUBSTITUTE(SUBSTITUTE(SUBSTITUTE(SUBSTITUTE(TRIM($AR281),"-",""),".",""),"/","")," ",""),8),7,2)),"")))</f>
        <v/>
      </c>
      <c r="AT281" s="33">
        <f>IF($AS281="","",IF($F$6="",0,IF(ISNUMBER(INDEX($A:$AP,ROW(),$F$6)),INDEX($A:$AP,ROW(),$F$6),IFERROR(--SUBSTITUTE(SUBSTITUTE(TRIM(INDEX($A:$AP,ROW(),$F$6)),",",""),"원",""),0))))</f>
        <v/>
      </c>
      <c r="AU281" s="31">
        <f>IF($AS281="","",IF($AX281&lt;&gt;"",SUBSTITUTE(SUBSTITUTE($AX281,"-","")," ",""),"N:"&amp;$AV281))</f>
        <v/>
      </c>
      <c r="AV281" s="31">
        <f>IF(OR($AS281="",$E$6=""),"",TRIM(INDEX($A:$AP,ROW(),$E$6)&amp;""))</f>
        <v/>
      </c>
      <c r="AW281" s="31">
        <f>IF($AU281="","",IF(MATCH($AU281,$AU$8:$AU$2007,0)=ROW()-7,MAX($AW$7:$AW280)+1,""))</f>
        <v/>
      </c>
      <c r="AX281" s="31">
        <f>IF(OR($AS281="",$D$6=""),"",TRIM(INDEX($A:$AP,ROW(),$D$6)&amp;""))</f>
        <v/>
      </c>
      <c r="AY281" s="31">
        <f>IF($AU281="","",INDEX($AW$8:$AW$2007,MATCH($AU281,$AU$8:$AU$2007,0)))</f>
        <v/>
      </c>
      <c r="AZ281" s="31">
        <f>IF(OR($AS281="",$C$6=""),"",TRIM(INDEX($A:$AP,ROW(),$C$6)&amp;""))</f>
        <v/>
      </c>
      <c r="BA281" s="31">
        <f>IF($AZ281="","",IF(COUNTIF($AZ$8:$AZ281,$AZ281)&gt;1,1,0))</f>
        <v/>
      </c>
    </row>
    <row r="282">
      <c r="AR282" s="31">
        <f>IF(OR($A$5="",$B$6="",ROW()&lt;$A$5),"",IF(INDEX($A:$AP,ROW(),$B$6)="","",INDEX($A:$AP,ROW(),$B$6)))</f>
        <v/>
      </c>
      <c r="AS282" s="32">
        <f>IF($AR282="","",IF(ISNUMBER($AR282),IF($AR282&gt;=10000000,IFERROR(DATE(INT($AR282/10000),MOD(INT($AR282/100),100),MOD($AR282,100)),""),INT($AR282)),IFERROR(DATE(--LEFT(LEFT(SUBSTITUTE(SUBSTITUTE(SUBSTITUTE(SUBSTITUTE(TRIM($AR282),"-",""),".",""),"/","")," ",""),8),4),--MID(LEFT(SUBSTITUTE(SUBSTITUTE(SUBSTITUTE(SUBSTITUTE(TRIM($AR282),"-",""),".",""),"/","")," ",""),8),5,2),--MID(LEFT(SUBSTITUTE(SUBSTITUTE(SUBSTITUTE(SUBSTITUTE(TRIM($AR282),"-",""),".",""),"/","")," ",""),8),7,2)),"")))</f>
        <v/>
      </c>
      <c r="AT282" s="33">
        <f>IF($AS282="","",IF($F$6="",0,IF(ISNUMBER(INDEX($A:$AP,ROW(),$F$6)),INDEX($A:$AP,ROW(),$F$6),IFERROR(--SUBSTITUTE(SUBSTITUTE(TRIM(INDEX($A:$AP,ROW(),$F$6)),",",""),"원",""),0))))</f>
        <v/>
      </c>
      <c r="AU282" s="31">
        <f>IF($AS282="","",IF($AX282&lt;&gt;"",SUBSTITUTE(SUBSTITUTE($AX282,"-","")," ",""),"N:"&amp;$AV282))</f>
        <v/>
      </c>
      <c r="AV282" s="31">
        <f>IF(OR($AS282="",$E$6=""),"",TRIM(INDEX($A:$AP,ROW(),$E$6)&amp;""))</f>
        <v/>
      </c>
      <c r="AW282" s="31">
        <f>IF($AU282="","",IF(MATCH($AU282,$AU$8:$AU$2007,0)=ROW()-7,MAX($AW$7:$AW281)+1,""))</f>
        <v/>
      </c>
      <c r="AX282" s="31">
        <f>IF(OR($AS282="",$D$6=""),"",TRIM(INDEX($A:$AP,ROW(),$D$6)&amp;""))</f>
        <v/>
      </c>
      <c r="AY282" s="31">
        <f>IF($AU282="","",INDEX($AW$8:$AW$2007,MATCH($AU282,$AU$8:$AU$2007,0)))</f>
        <v/>
      </c>
      <c r="AZ282" s="31">
        <f>IF(OR($AS282="",$C$6=""),"",TRIM(INDEX($A:$AP,ROW(),$C$6)&amp;""))</f>
        <v/>
      </c>
      <c r="BA282" s="31">
        <f>IF($AZ282="","",IF(COUNTIF($AZ$8:$AZ282,$AZ282)&gt;1,1,0))</f>
        <v/>
      </c>
    </row>
    <row r="283">
      <c r="AR283" s="31">
        <f>IF(OR($A$5="",$B$6="",ROW()&lt;$A$5),"",IF(INDEX($A:$AP,ROW(),$B$6)="","",INDEX($A:$AP,ROW(),$B$6)))</f>
        <v/>
      </c>
      <c r="AS283" s="32">
        <f>IF($AR283="","",IF(ISNUMBER($AR283),IF($AR283&gt;=10000000,IFERROR(DATE(INT($AR283/10000),MOD(INT($AR283/100),100),MOD($AR283,100)),""),INT($AR283)),IFERROR(DATE(--LEFT(LEFT(SUBSTITUTE(SUBSTITUTE(SUBSTITUTE(SUBSTITUTE(TRIM($AR283),"-",""),".",""),"/","")," ",""),8),4),--MID(LEFT(SUBSTITUTE(SUBSTITUTE(SUBSTITUTE(SUBSTITUTE(TRIM($AR283),"-",""),".",""),"/","")," ",""),8),5,2),--MID(LEFT(SUBSTITUTE(SUBSTITUTE(SUBSTITUTE(SUBSTITUTE(TRIM($AR283),"-",""),".",""),"/","")," ",""),8),7,2)),"")))</f>
        <v/>
      </c>
      <c r="AT283" s="33">
        <f>IF($AS283="","",IF($F$6="",0,IF(ISNUMBER(INDEX($A:$AP,ROW(),$F$6)),INDEX($A:$AP,ROW(),$F$6),IFERROR(--SUBSTITUTE(SUBSTITUTE(TRIM(INDEX($A:$AP,ROW(),$F$6)),",",""),"원",""),0))))</f>
        <v/>
      </c>
      <c r="AU283" s="31">
        <f>IF($AS283="","",IF($AX283&lt;&gt;"",SUBSTITUTE(SUBSTITUTE($AX283,"-","")," ",""),"N:"&amp;$AV283))</f>
        <v/>
      </c>
      <c r="AV283" s="31">
        <f>IF(OR($AS283="",$E$6=""),"",TRIM(INDEX($A:$AP,ROW(),$E$6)&amp;""))</f>
        <v/>
      </c>
      <c r="AW283" s="31">
        <f>IF($AU283="","",IF(MATCH($AU283,$AU$8:$AU$2007,0)=ROW()-7,MAX($AW$7:$AW282)+1,""))</f>
        <v/>
      </c>
      <c r="AX283" s="31">
        <f>IF(OR($AS283="",$D$6=""),"",TRIM(INDEX($A:$AP,ROW(),$D$6)&amp;""))</f>
        <v/>
      </c>
      <c r="AY283" s="31">
        <f>IF($AU283="","",INDEX($AW$8:$AW$2007,MATCH($AU283,$AU$8:$AU$2007,0)))</f>
        <v/>
      </c>
      <c r="AZ283" s="31">
        <f>IF(OR($AS283="",$C$6=""),"",TRIM(INDEX($A:$AP,ROW(),$C$6)&amp;""))</f>
        <v/>
      </c>
      <c r="BA283" s="31">
        <f>IF($AZ283="","",IF(COUNTIF($AZ$8:$AZ283,$AZ283)&gt;1,1,0))</f>
        <v/>
      </c>
    </row>
    <row r="284">
      <c r="AR284" s="31">
        <f>IF(OR($A$5="",$B$6="",ROW()&lt;$A$5),"",IF(INDEX($A:$AP,ROW(),$B$6)="","",INDEX($A:$AP,ROW(),$B$6)))</f>
        <v/>
      </c>
      <c r="AS284" s="32">
        <f>IF($AR284="","",IF(ISNUMBER($AR284),IF($AR284&gt;=10000000,IFERROR(DATE(INT($AR284/10000),MOD(INT($AR284/100),100),MOD($AR284,100)),""),INT($AR284)),IFERROR(DATE(--LEFT(LEFT(SUBSTITUTE(SUBSTITUTE(SUBSTITUTE(SUBSTITUTE(TRIM($AR284),"-",""),".",""),"/","")," ",""),8),4),--MID(LEFT(SUBSTITUTE(SUBSTITUTE(SUBSTITUTE(SUBSTITUTE(TRIM($AR284),"-",""),".",""),"/","")," ",""),8),5,2),--MID(LEFT(SUBSTITUTE(SUBSTITUTE(SUBSTITUTE(SUBSTITUTE(TRIM($AR284),"-",""),".",""),"/","")," ",""),8),7,2)),"")))</f>
        <v/>
      </c>
      <c r="AT284" s="33">
        <f>IF($AS284="","",IF($F$6="",0,IF(ISNUMBER(INDEX($A:$AP,ROW(),$F$6)),INDEX($A:$AP,ROW(),$F$6),IFERROR(--SUBSTITUTE(SUBSTITUTE(TRIM(INDEX($A:$AP,ROW(),$F$6)),",",""),"원",""),0))))</f>
        <v/>
      </c>
      <c r="AU284" s="31">
        <f>IF($AS284="","",IF($AX284&lt;&gt;"",SUBSTITUTE(SUBSTITUTE($AX284,"-","")," ",""),"N:"&amp;$AV284))</f>
        <v/>
      </c>
      <c r="AV284" s="31">
        <f>IF(OR($AS284="",$E$6=""),"",TRIM(INDEX($A:$AP,ROW(),$E$6)&amp;""))</f>
        <v/>
      </c>
      <c r="AW284" s="31">
        <f>IF($AU284="","",IF(MATCH($AU284,$AU$8:$AU$2007,0)=ROW()-7,MAX($AW$7:$AW283)+1,""))</f>
        <v/>
      </c>
      <c r="AX284" s="31">
        <f>IF(OR($AS284="",$D$6=""),"",TRIM(INDEX($A:$AP,ROW(),$D$6)&amp;""))</f>
        <v/>
      </c>
      <c r="AY284" s="31">
        <f>IF($AU284="","",INDEX($AW$8:$AW$2007,MATCH($AU284,$AU$8:$AU$2007,0)))</f>
        <v/>
      </c>
      <c r="AZ284" s="31">
        <f>IF(OR($AS284="",$C$6=""),"",TRIM(INDEX($A:$AP,ROW(),$C$6)&amp;""))</f>
        <v/>
      </c>
      <c r="BA284" s="31">
        <f>IF($AZ284="","",IF(COUNTIF($AZ$8:$AZ284,$AZ284)&gt;1,1,0))</f>
        <v/>
      </c>
    </row>
    <row r="285">
      <c r="AR285" s="31">
        <f>IF(OR($A$5="",$B$6="",ROW()&lt;$A$5),"",IF(INDEX($A:$AP,ROW(),$B$6)="","",INDEX($A:$AP,ROW(),$B$6)))</f>
        <v/>
      </c>
      <c r="AS285" s="32">
        <f>IF($AR285="","",IF(ISNUMBER($AR285),IF($AR285&gt;=10000000,IFERROR(DATE(INT($AR285/10000),MOD(INT($AR285/100),100),MOD($AR285,100)),""),INT($AR285)),IFERROR(DATE(--LEFT(LEFT(SUBSTITUTE(SUBSTITUTE(SUBSTITUTE(SUBSTITUTE(TRIM($AR285),"-",""),".",""),"/","")," ",""),8),4),--MID(LEFT(SUBSTITUTE(SUBSTITUTE(SUBSTITUTE(SUBSTITUTE(TRIM($AR285),"-",""),".",""),"/","")," ",""),8),5,2),--MID(LEFT(SUBSTITUTE(SUBSTITUTE(SUBSTITUTE(SUBSTITUTE(TRIM($AR285),"-",""),".",""),"/","")," ",""),8),7,2)),"")))</f>
        <v/>
      </c>
      <c r="AT285" s="33">
        <f>IF($AS285="","",IF($F$6="",0,IF(ISNUMBER(INDEX($A:$AP,ROW(),$F$6)),INDEX($A:$AP,ROW(),$F$6),IFERROR(--SUBSTITUTE(SUBSTITUTE(TRIM(INDEX($A:$AP,ROW(),$F$6)),",",""),"원",""),0))))</f>
        <v/>
      </c>
      <c r="AU285" s="31">
        <f>IF($AS285="","",IF($AX285&lt;&gt;"",SUBSTITUTE(SUBSTITUTE($AX285,"-","")," ",""),"N:"&amp;$AV285))</f>
        <v/>
      </c>
      <c r="AV285" s="31">
        <f>IF(OR($AS285="",$E$6=""),"",TRIM(INDEX($A:$AP,ROW(),$E$6)&amp;""))</f>
        <v/>
      </c>
      <c r="AW285" s="31">
        <f>IF($AU285="","",IF(MATCH($AU285,$AU$8:$AU$2007,0)=ROW()-7,MAX($AW$7:$AW284)+1,""))</f>
        <v/>
      </c>
      <c r="AX285" s="31">
        <f>IF(OR($AS285="",$D$6=""),"",TRIM(INDEX($A:$AP,ROW(),$D$6)&amp;""))</f>
        <v/>
      </c>
      <c r="AY285" s="31">
        <f>IF($AU285="","",INDEX($AW$8:$AW$2007,MATCH($AU285,$AU$8:$AU$2007,0)))</f>
        <v/>
      </c>
      <c r="AZ285" s="31">
        <f>IF(OR($AS285="",$C$6=""),"",TRIM(INDEX($A:$AP,ROW(),$C$6)&amp;""))</f>
        <v/>
      </c>
      <c r="BA285" s="31">
        <f>IF($AZ285="","",IF(COUNTIF($AZ$8:$AZ285,$AZ285)&gt;1,1,0))</f>
        <v/>
      </c>
    </row>
    <row r="286">
      <c r="AR286" s="31">
        <f>IF(OR($A$5="",$B$6="",ROW()&lt;$A$5),"",IF(INDEX($A:$AP,ROW(),$B$6)="","",INDEX($A:$AP,ROW(),$B$6)))</f>
        <v/>
      </c>
      <c r="AS286" s="32">
        <f>IF($AR286="","",IF(ISNUMBER($AR286),IF($AR286&gt;=10000000,IFERROR(DATE(INT($AR286/10000),MOD(INT($AR286/100),100),MOD($AR286,100)),""),INT($AR286)),IFERROR(DATE(--LEFT(LEFT(SUBSTITUTE(SUBSTITUTE(SUBSTITUTE(SUBSTITUTE(TRIM($AR286),"-",""),".",""),"/","")," ",""),8),4),--MID(LEFT(SUBSTITUTE(SUBSTITUTE(SUBSTITUTE(SUBSTITUTE(TRIM($AR286),"-",""),".",""),"/","")," ",""),8),5,2),--MID(LEFT(SUBSTITUTE(SUBSTITUTE(SUBSTITUTE(SUBSTITUTE(TRIM($AR286),"-",""),".",""),"/","")," ",""),8),7,2)),"")))</f>
        <v/>
      </c>
      <c r="AT286" s="33">
        <f>IF($AS286="","",IF($F$6="",0,IF(ISNUMBER(INDEX($A:$AP,ROW(),$F$6)),INDEX($A:$AP,ROW(),$F$6),IFERROR(--SUBSTITUTE(SUBSTITUTE(TRIM(INDEX($A:$AP,ROW(),$F$6)),",",""),"원",""),0))))</f>
        <v/>
      </c>
      <c r="AU286" s="31">
        <f>IF($AS286="","",IF($AX286&lt;&gt;"",SUBSTITUTE(SUBSTITUTE($AX286,"-","")," ",""),"N:"&amp;$AV286))</f>
        <v/>
      </c>
      <c r="AV286" s="31">
        <f>IF(OR($AS286="",$E$6=""),"",TRIM(INDEX($A:$AP,ROW(),$E$6)&amp;""))</f>
        <v/>
      </c>
      <c r="AW286" s="31">
        <f>IF($AU286="","",IF(MATCH($AU286,$AU$8:$AU$2007,0)=ROW()-7,MAX($AW$7:$AW285)+1,""))</f>
        <v/>
      </c>
      <c r="AX286" s="31">
        <f>IF(OR($AS286="",$D$6=""),"",TRIM(INDEX($A:$AP,ROW(),$D$6)&amp;""))</f>
        <v/>
      </c>
      <c r="AY286" s="31">
        <f>IF($AU286="","",INDEX($AW$8:$AW$2007,MATCH($AU286,$AU$8:$AU$2007,0)))</f>
        <v/>
      </c>
      <c r="AZ286" s="31">
        <f>IF(OR($AS286="",$C$6=""),"",TRIM(INDEX($A:$AP,ROW(),$C$6)&amp;""))</f>
        <v/>
      </c>
      <c r="BA286" s="31">
        <f>IF($AZ286="","",IF(COUNTIF($AZ$8:$AZ286,$AZ286)&gt;1,1,0))</f>
        <v/>
      </c>
    </row>
    <row r="287">
      <c r="AR287" s="31">
        <f>IF(OR($A$5="",$B$6="",ROW()&lt;$A$5),"",IF(INDEX($A:$AP,ROW(),$B$6)="","",INDEX($A:$AP,ROW(),$B$6)))</f>
        <v/>
      </c>
      <c r="AS287" s="32">
        <f>IF($AR287="","",IF(ISNUMBER($AR287),IF($AR287&gt;=10000000,IFERROR(DATE(INT($AR287/10000),MOD(INT($AR287/100),100),MOD($AR287,100)),""),INT($AR287)),IFERROR(DATE(--LEFT(LEFT(SUBSTITUTE(SUBSTITUTE(SUBSTITUTE(SUBSTITUTE(TRIM($AR287),"-",""),".",""),"/","")," ",""),8),4),--MID(LEFT(SUBSTITUTE(SUBSTITUTE(SUBSTITUTE(SUBSTITUTE(TRIM($AR287),"-",""),".",""),"/","")," ",""),8),5,2),--MID(LEFT(SUBSTITUTE(SUBSTITUTE(SUBSTITUTE(SUBSTITUTE(TRIM($AR287),"-",""),".",""),"/","")," ",""),8),7,2)),"")))</f>
        <v/>
      </c>
      <c r="AT287" s="33">
        <f>IF($AS287="","",IF($F$6="",0,IF(ISNUMBER(INDEX($A:$AP,ROW(),$F$6)),INDEX($A:$AP,ROW(),$F$6),IFERROR(--SUBSTITUTE(SUBSTITUTE(TRIM(INDEX($A:$AP,ROW(),$F$6)),",",""),"원",""),0))))</f>
        <v/>
      </c>
      <c r="AU287" s="31">
        <f>IF($AS287="","",IF($AX287&lt;&gt;"",SUBSTITUTE(SUBSTITUTE($AX287,"-","")," ",""),"N:"&amp;$AV287))</f>
        <v/>
      </c>
      <c r="AV287" s="31">
        <f>IF(OR($AS287="",$E$6=""),"",TRIM(INDEX($A:$AP,ROW(),$E$6)&amp;""))</f>
        <v/>
      </c>
      <c r="AW287" s="31">
        <f>IF($AU287="","",IF(MATCH($AU287,$AU$8:$AU$2007,0)=ROW()-7,MAX($AW$7:$AW286)+1,""))</f>
        <v/>
      </c>
      <c r="AX287" s="31">
        <f>IF(OR($AS287="",$D$6=""),"",TRIM(INDEX($A:$AP,ROW(),$D$6)&amp;""))</f>
        <v/>
      </c>
      <c r="AY287" s="31">
        <f>IF($AU287="","",INDEX($AW$8:$AW$2007,MATCH($AU287,$AU$8:$AU$2007,0)))</f>
        <v/>
      </c>
      <c r="AZ287" s="31">
        <f>IF(OR($AS287="",$C$6=""),"",TRIM(INDEX($A:$AP,ROW(),$C$6)&amp;""))</f>
        <v/>
      </c>
      <c r="BA287" s="31">
        <f>IF($AZ287="","",IF(COUNTIF($AZ$8:$AZ287,$AZ287)&gt;1,1,0))</f>
        <v/>
      </c>
    </row>
    <row r="288">
      <c r="AR288" s="31">
        <f>IF(OR($A$5="",$B$6="",ROW()&lt;$A$5),"",IF(INDEX($A:$AP,ROW(),$B$6)="","",INDEX($A:$AP,ROW(),$B$6)))</f>
        <v/>
      </c>
      <c r="AS288" s="32">
        <f>IF($AR288="","",IF(ISNUMBER($AR288),IF($AR288&gt;=10000000,IFERROR(DATE(INT($AR288/10000),MOD(INT($AR288/100),100),MOD($AR288,100)),""),INT($AR288)),IFERROR(DATE(--LEFT(LEFT(SUBSTITUTE(SUBSTITUTE(SUBSTITUTE(SUBSTITUTE(TRIM($AR288),"-",""),".",""),"/","")," ",""),8),4),--MID(LEFT(SUBSTITUTE(SUBSTITUTE(SUBSTITUTE(SUBSTITUTE(TRIM($AR288),"-",""),".",""),"/","")," ",""),8),5,2),--MID(LEFT(SUBSTITUTE(SUBSTITUTE(SUBSTITUTE(SUBSTITUTE(TRIM($AR288),"-",""),".",""),"/","")," ",""),8),7,2)),"")))</f>
        <v/>
      </c>
      <c r="AT288" s="33">
        <f>IF($AS288="","",IF($F$6="",0,IF(ISNUMBER(INDEX($A:$AP,ROW(),$F$6)),INDEX($A:$AP,ROW(),$F$6),IFERROR(--SUBSTITUTE(SUBSTITUTE(TRIM(INDEX($A:$AP,ROW(),$F$6)),",",""),"원",""),0))))</f>
        <v/>
      </c>
      <c r="AU288" s="31">
        <f>IF($AS288="","",IF($AX288&lt;&gt;"",SUBSTITUTE(SUBSTITUTE($AX288,"-","")," ",""),"N:"&amp;$AV288))</f>
        <v/>
      </c>
      <c r="AV288" s="31">
        <f>IF(OR($AS288="",$E$6=""),"",TRIM(INDEX($A:$AP,ROW(),$E$6)&amp;""))</f>
        <v/>
      </c>
      <c r="AW288" s="31">
        <f>IF($AU288="","",IF(MATCH($AU288,$AU$8:$AU$2007,0)=ROW()-7,MAX($AW$7:$AW287)+1,""))</f>
        <v/>
      </c>
      <c r="AX288" s="31">
        <f>IF(OR($AS288="",$D$6=""),"",TRIM(INDEX($A:$AP,ROW(),$D$6)&amp;""))</f>
        <v/>
      </c>
      <c r="AY288" s="31">
        <f>IF($AU288="","",INDEX($AW$8:$AW$2007,MATCH($AU288,$AU$8:$AU$2007,0)))</f>
        <v/>
      </c>
      <c r="AZ288" s="31">
        <f>IF(OR($AS288="",$C$6=""),"",TRIM(INDEX($A:$AP,ROW(),$C$6)&amp;""))</f>
        <v/>
      </c>
      <c r="BA288" s="31">
        <f>IF($AZ288="","",IF(COUNTIF($AZ$8:$AZ288,$AZ288)&gt;1,1,0))</f>
        <v/>
      </c>
    </row>
    <row r="289">
      <c r="AR289" s="31">
        <f>IF(OR($A$5="",$B$6="",ROW()&lt;$A$5),"",IF(INDEX($A:$AP,ROW(),$B$6)="","",INDEX($A:$AP,ROW(),$B$6)))</f>
        <v/>
      </c>
      <c r="AS289" s="32">
        <f>IF($AR289="","",IF(ISNUMBER($AR289),IF($AR289&gt;=10000000,IFERROR(DATE(INT($AR289/10000),MOD(INT($AR289/100),100),MOD($AR289,100)),""),INT($AR289)),IFERROR(DATE(--LEFT(LEFT(SUBSTITUTE(SUBSTITUTE(SUBSTITUTE(SUBSTITUTE(TRIM($AR289),"-",""),".",""),"/","")," ",""),8),4),--MID(LEFT(SUBSTITUTE(SUBSTITUTE(SUBSTITUTE(SUBSTITUTE(TRIM($AR289),"-",""),".",""),"/","")," ",""),8),5,2),--MID(LEFT(SUBSTITUTE(SUBSTITUTE(SUBSTITUTE(SUBSTITUTE(TRIM($AR289),"-",""),".",""),"/","")," ",""),8),7,2)),"")))</f>
        <v/>
      </c>
      <c r="AT289" s="33">
        <f>IF($AS289="","",IF($F$6="",0,IF(ISNUMBER(INDEX($A:$AP,ROW(),$F$6)),INDEX($A:$AP,ROW(),$F$6),IFERROR(--SUBSTITUTE(SUBSTITUTE(TRIM(INDEX($A:$AP,ROW(),$F$6)),",",""),"원",""),0))))</f>
        <v/>
      </c>
      <c r="AU289" s="31">
        <f>IF($AS289="","",IF($AX289&lt;&gt;"",SUBSTITUTE(SUBSTITUTE($AX289,"-","")," ",""),"N:"&amp;$AV289))</f>
        <v/>
      </c>
      <c r="AV289" s="31">
        <f>IF(OR($AS289="",$E$6=""),"",TRIM(INDEX($A:$AP,ROW(),$E$6)&amp;""))</f>
        <v/>
      </c>
      <c r="AW289" s="31">
        <f>IF($AU289="","",IF(MATCH($AU289,$AU$8:$AU$2007,0)=ROW()-7,MAX($AW$7:$AW288)+1,""))</f>
        <v/>
      </c>
      <c r="AX289" s="31">
        <f>IF(OR($AS289="",$D$6=""),"",TRIM(INDEX($A:$AP,ROW(),$D$6)&amp;""))</f>
        <v/>
      </c>
      <c r="AY289" s="31">
        <f>IF($AU289="","",INDEX($AW$8:$AW$2007,MATCH($AU289,$AU$8:$AU$2007,0)))</f>
        <v/>
      </c>
      <c r="AZ289" s="31">
        <f>IF(OR($AS289="",$C$6=""),"",TRIM(INDEX($A:$AP,ROW(),$C$6)&amp;""))</f>
        <v/>
      </c>
      <c r="BA289" s="31">
        <f>IF($AZ289="","",IF(COUNTIF($AZ$8:$AZ289,$AZ289)&gt;1,1,0))</f>
        <v/>
      </c>
    </row>
    <row r="290">
      <c r="AR290" s="31">
        <f>IF(OR($A$5="",$B$6="",ROW()&lt;$A$5),"",IF(INDEX($A:$AP,ROW(),$B$6)="","",INDEX($A:$AP,ROW(),$B$6)))</f>
        <v/>
      </c>
      <c r="AS290" s="32">
        <f>IF($AR290="","",IF(ISNUMBER($AR290),IF($AR290&gt;=10000000,IFERROR(DATE(INT($AR290/10000),MOD(INT($AR290/100),100),MOD($AR290,100)),""),INT($AR290)),IFERROR(DATE(--LEFT(LEFT(SUBSTITUTE(SUBSTITUTE(SUBSTITUTE(SUBSTITUTE(TRIM($AR290),"-",""),".",""),"/","")," ",""),8),4),--MID(LEFT(SUBSTITUTE(SUBSTITUTE(SUBSTITUTE(SUBSTITUTE(TRIM($AR290),"-",""),".",""),"/","")," ",""),8),5,2),--MID(LEFT(SUBSTITUTE(SUBSTITUTE(SUBSTITUTE(SUBSTITUTE(TRIM($AR290),"-",""),".",""),"/","")," ",""),8),7,2)),"")))</f>
        <v/>
      </c>
      <c r="AT290" s="33">
        <f>IF($AS290="","",IF($F$6="",0,IF(ISNUMBER(INDEX($A:$AP,ROW(),$F$6)),INDEX($A:$AP,ROW(),$F$6),IFERROR(--SUBSTITUTE(SUBSTITUTE(TRIM(INDEX($A:$AP,ROW(),$F$6)),",",""),"원",""),0))))</f>
        <v/>
      </c>
      <c r="AU290" s="31">
        <f>IF($AS290="","",IF($AX290&lt;&gt;"",SUBSTITUTE(SUBSTITUTE($AX290,"-","")," ",""),"N:"&amp;$AV290))</f>
        <v/>
      </c>
      <c r="AV290" s="31">
        <f>IF(OR($AS290="",$E$6=""),"",TRIM(INDEX($A:$AP,ROW(),$E$6)&amp;""))</f>
        <v/>
      </c>
      <c r="AW290" s="31">
        <f>IF($AU290="","",IF(MATCH($AU290,$AU$8:$AU$2007,0)=ROW()-7,MAX($AW$7:$AW289)+1,""))</f>
        <v/>
      </c>
      <c r="AX290" s="31">
        <f>IF(OR($AS290="",$D$6=""),"",TRIM(INDEX($A:$AP,ROW(),$D$6)&amp;""))</f>
        <v/>
      </c>
      <c r="AY290" s="31">
        <f>IF($AU290="","",INDEX($AW$8:$AW$2007,MATCH($AU290,$AU$8:$AU$2007,0)))</f>
        <v/>
      </c>
      <c r="AZ290" s="31">
        <f>IF(OR($AS290="",$C$6=""),"",TRIM(INDEX($A:$AP,ROW(),$C$6)&amp;""))</f>
        <v/>
      </c>
      <c r="BA290" s="31">
        <f>IF($AZ290="","",IF(COUNTIF($AZ$8:$AZ290,$AZ290)&gt;1,1,0))</f>
        <v/>
      </c>
    </row>
    <row r="291">
      <c r="AR291" s="31">
        <f>IF(OR($A$5="",$B$6="",ROW()&lt;$A$5),"",IF(INDEX($A:$AP,ROW(),$B$6)="","",INDEX($A:$AP,ROW(),$B$6)))</f>
        <v/>
      </c>
      <c r="AS291" s="32">
        <f>IF($AR291="","",IF(ISNUMBER($AR291),IF($AR291&gt;=10000000,IFERROR(DATE(INT($AR291/10000),MOD(INT($AR291/100),100),MOD($AR291,100)),""),INT($AR291)),IFERROR(DATE(--LEFT(LEFT(SUBSTITUTE(SUBSTITUTE(SUBSTITUTE(SUBSTITUTE(TRIM($AR291),"-",""),".",""),"/","")," ",""),8),4),--MID(LEFT(SUBSTITUTE(SUBSTITUTE(SUBSTITUTE(SUBSTITUTE(TRIM($AR291),"-",""),".",""),"/","")," ",""),8),5,2),--MID(LEFT(SUBSTITUTE(SUBSTITUTE(SUBSTITUTE(SUBSTITUTE(TRIM($AR291),"-",""),".",""),"/","")," ",""),8),7,2)),"")))</f>
        <v/>
      </c>
      <c r="AT291" s="33">
        <f>IF($AS291="","",IF($F$6="",0,IF(ISNUMBER(INDEX($A:$AP,ROW(),$F$6)),INDEX($A:$AP,ROW(),$F$6),IFERROR(--SUBSTITUTE(SUBSTITUTE(TRIM(INDEX($A:$AP,ROW(),$F$6)),",",""),"원",""),0))))</f>
        <v/>
      </c>
      <c r="AU291" s="31">
        <f>IF($AS291="","",IF($AX291&lt;&gt;"",SUBSTITUTE(SUBSTITUTE($AX291,"-","")," ",""),"N:"&amp;$AV291))</f>
        <v/>
      </c>
      <c r="AV291" s="31">
        <f>IF(OR($AS291="",$E$6=""),"",TRIM(INDEX($A:$AP,ROW(),$E$6)&amp;""))</f>
        <v/>
      </c>
      <c r="AW291" s="31">
        <f>IF($AU291="","",IF(MATCH($AU291,$AU$8:$AU$2007,0)=ROW()-7,MAX($AW$7:$AW290)+1,""))</f>
        <v/>
      </c>
      <c r="AX291" s="31">
        <f>IF(OR($AS291="",$D$6=""),"",TRIM(INDEX($A:$AP,ROW(),$D$6)&amp;""))</f>
        <v/>
      </c>
      <c r="AY291" s="31">
        <f>IF($AU291="","",INDEX($AW$8:$AW$2007,MATCH($AU291,$AU$8:$AU$2007,0)))</f>
        <v/>
      </c>
      <c r="AZ291" s="31">
        <f>IF(OR($AS291="",$C$6=""),"",TRIM(INDEX($A:$AP,ROW(),$C$6)&amp;""))</f>
        <v/>
      </c>
      <c r="BA291" s="31">
        <f>IF($AZ291="","",IF(COUNTIF($AZ$8:$AZ291,$AZ291)&gt;1,1,0))</f>
        <v/>
      </c>
    </row>
    <row r="292">
      <c r="AR292" s="31">
        <f>IF(OR($A$5="",$B$6="",ROW()&lt;$A$5),"",IF(INDEX($A:$AP,ROW(),$B$6)="","",INDEX($A:$AP,ROW(),$B$6)))</f>
        <v/>
      </c>
      <c r="AS292" s="32">
        <f>IF($AR292="","",IF(ISNUMBER($AR292),IF($AR292&gt;=10000000,IFERROR(DATE(INT($AR292/10000),MOD(INT($AR292/100),100),MOD($AR292,100)),""),INT($AR292)),IFERROR(DATE(--LEFT(LEFT(SUBSTITUTE(SUBSTITUTE(SUBSTITUTE(SUBSTITUTE(TRIM($AR292),"-",""),".",""),"/","")," ",""),8),4),--MID(LEFT(SUBSTITUTE(SUBSTITUTE(SUBSTITUTE(SUBSTITUTE(TRIM($AR292),"-",""),".",""),"/","")," ",""),8),5,2),--MID(LEFT(SUBSTITUTE(SUBSTITUTE(SUBSTITUTE(SUBSTITUTE(TRIM($AR292),"-",""),".",""),"/","")," ",""),8),7,2)),"")))</f>
        <v/>
      </c>
      <c r="AT292" s="33">
        <f>IF($AS292="","",IF($F$6="",0,IF(ISNUMBER(INDEX($A:$AP,ROW(),$F$6)),INDEX($A:$AP,ROW(),$F$6),IFERROR(--SUBSTITUTE(SUBSTITUTE(TRIM(INDEX($A:$AP,ROW(),$F$6)),",",""),"원",""),0))))</f>
        <v/>
      </c>
      <c r="AU292" s="31">
        <f>IF($AS292="","",IF($AX292&lt;&gt;"",SUBSTITUTE(SUBSTITUTE($AX292,"-","")," ",""),"N:"&amp;$AV292))</f>
        <v/>
      </c>
      <c r="AV292" s="31">
        <f>IF(OR($AS292="",$E$6=""),"",TRIM(INDEX($A:$AP,ROW(),$E$6)&amp;""))</f>
        <v/>
      </c>
      <c r="AW292" s="31">
        <f>IF($AU292="","",IF(MATCH($AU292,$AU$8:$AU$2007,0)=ROW()-7,MAX($AW$7:$AW291)+1,""))</f>
        <v/>
      </c>
      <c r="AX292" s="31">
        <f>IF(OR($AS292="",$D$6=""),"",TRIM(INDEX($A:$AP,ROW(),$D$6)&amp;""))</f>
        <v/>
      </c>
      <c r="AY292" s="31">
        <f>IF($AU292="","",INDEX($AW$8:$AW$2007,MATCH($AU292,$AU$8:$AU$2007,0)))</f>
        <v/>
      </c>
      <c r="AZ292" s="31">
        <f>IF(OR($AS292="",$C$6=""),"",TRIM(INDEX($A:$AP,ROW(),$C$6)&amp;""))</f>
        <v/>
      </c>
      <c r="BA292" s="31">
        <f>IF($AZ292="","",IF(COUNTIF($AZ$8:$AZ292,$AZ292)&gt;1,1,0))</f>
        <v/>
      </c>
    </row>
    <row r="293">
      <c r="AR293" s="31">
        <f>IF(OR($A$5="",$B$6="",ROW()&lt;$A$5),"",IF(INDEX($A:$AP,ROW(),$B$6)="","",INDEX($A:$AP,ROW(),$B$6)))</f>
        <v/>
      </c>
      <c r="AS293" s="32">
        <f>IF($AR293="","",IF(ISNUMBER($AR293),IF($AR293&gt;=10000000,IFERROR(DATE(INT($AR293/10000),MOD(INT($AR293/100),100),MOD($AR293,100)),""),INT($AR293)),IFERROR(DATE(--LEFT(LEFT(SUBSTITUTE(SUBSTITUTE(SUBSTITUTE(SUBSTITUTE(TRIM($AR293),"-",""),".",""),"/","")," ",""),8),4),--MID(LEFT(SUBSTITUTE(SUBSTITUTE(SUBSTITUTE(SUBSTITUTE(TRIM($AR293),"-",""),".",""),"/","")," ",""),8),5,2),--MID(LEFT(SUBSTITUTE(SUBSTITUTE(SUBSTITUTE(SUBSTITUTE(TRIM($AR293),"-",""),".",""),"/","")," ",""),8),7,2)),"")))</f>
        <v/>
      </c>
      <c r="AT293" s="33">
        <f>IF($AS293="","",IF($F$6="",0,IF(ISNUMBER(INDEX($A:$AP,ROW(),$F$6)),INDEX($A:$AP,ROW(),$F$6),IFERROR(--SUBSTITUTE(SUBSTITUTE(TRIM(INDEX($A:$AP,ROW(),$F$6)),",",""),"원",""),0))))</f>
        <v/>
      </c>
      <c r="AU293" s="31">
        <f>IF($AS293="","",IF($AX293&lt;&gt;"",SUBSTITUTE(SUBSTITUTE($AX293,"-","")," ",""),"N:"&amp;$AV293))</f>
        <v/>
      </c>
      <c r="AV293" s="31">
        <f>IF(OR($AS293="",$E$6=""),"",TRIM(INDEX($A:$AP,ROW(),$E$6)&amp;""))</f>
        <v/>
      </c>
      <c r="AW293" s="31">
        <f>IF($AU293="","",IF(MATCH($AU293,$AU$8:$AU$2007,0)=ROW()-7,MAX($AW$7:$AW292)+1,""))</f>
        <v/>
      </c>
      <c r="AX293" s="31">
        <f>IF(OR($AS293="",$D$6=""),"",TRIM(INDEX($A:$AP,ROW(),$D$6)&amp;""))</f>
        <v/>
      </c>
      <c r="AY293" s="31">
        <f>IF($AU293="","",INDEX($AW$8:$AW$2007,MATCH($AU293,$AU$8:$AU$2007,0)))</f>
        <v/>
      </c>
      <c r="AZ293" s="31">
        <f>IF(OR($AS293="",$C$6=""),"",TRIM(INDEX($A:$AP,ROW(),$C$6)&amp;""))</f>
        <v/>
      </c>
      <c r="BA293" s="31">
        <f>IF($AZ293="","",IF(COUNTIF($AZ$8:$AZ293,$AZ293)&gt;1,1,0))</f>
        <v/>
      </c>
    </row>
    <row r="294">
      <c r="AR294" s="31">
        <f>IF(OR($A$5="",$B$6="",ROW()&lt;$A$5),"",IF(INDEX($A:$AP,ROW(),$B$6)="","",INDEX($A:$AP,ROW(),$B$6)))</f>
        <v/>
      </c>
      <c r="AS294" s="32">
        <f>IF($AR294="","",IF(ISNUMBER($AR294),IF($AR294&gt;=10000000,IFERROR(DATE(INT($AR294/10000),MOD(INT($AR294/100),100),MOD($AR294,100)),""),INT($AR294)),IFERROR(DATE(--LEFT(LEFT(SUBSTITUTE(SUBSTITUTE(SUBSTITUTE(SUBSTITUTE(TRIM($AR294),"-",""),".",""),"/","")," ",""),8),4),--MID(LEFT(SUBSTITUTE(SUBSTITUTE(SUBSTITUTE(SUBSTITUTE(TRIM($AR294),"-",""),".",""),"/","")," ",""),8),5,2),--MID(LEFT(SUBSTITUTE(SUBSTITUTE(SUBSTITUTE(SUBSTITUTE(TRIM($AR294),"-",""),".",""),"/","")," ",""),8),7,2)),"")))</f>
        <v/>
      </c>
      <c r="AT294" s="33">
        <f>IF($AS294="","",IF($F$6="",0,IF(ISNUMBER(INDEX($A:$AP,ROW(),$F$6)),INDEX($A:$AP,ROW(),$F$6),IFERROR(--SUBSTITUTE(SUBSTITUTE(TRIM(INDEX($A:$AP,ROW(),$F$6)),",",""),"원",""),0))))</f>
        <v/>
      </c>
      <c r="AU294" s="31">
        <f>IF($AS294="","",IF($AX294&lt;&gt;"",SUBSTITUTE(SUBSTITUTE($AX294,"-","")," ",""),"N:"&amp;$AV294))</f>
        <v/>
      </c>
      <c r="AV294" s="31">
        <f>IF(OR($AS294="",$E$6=""),"",TRIM(INDEX($A:$AP,ROW(),$E$6)&amp;""))</f>
        <v/>
      </c>
      <c r="AW294" s="31">
        <f>IF($AU294="","",IF(MATCH($AU294,$AU$8:$AU$2007,0)=ROW()-7,MAX($AW$7:$AW293)+1,""))</f>
        <v/>
      </c>
      <c r="AX294" s="31">
        <f>IF(OR($AS294="",$D$6=""),"",TRIM(INDEX($A:$AP,ROW(),$D$6)&amp;""))</f>
        <v/>
      </c>
      <c r="AY294" s="31">
        <f>IF($AU294="","",INDEX($AW$8:$AW$2007,MATCH($AU294,$AU$8:$AU$2007,0)))</f>
        <v/>
      </c>
      <c r="AZ294" s="31">
        <f>IF(OR($AS294="",$C$6=""),"",TRIM(INDEX($A:$AP,ROW(),$C$6)&amp;""))</f>
        <v/>
      </c>
      <c r="BA294" s="31">
        <f>IF($AZ294="","",IF(COUNTIF($AZ$8:$AZ294,$AZ294)&gt;1,1,0))</f>
        <v/>
      </c>
    </row>
    <row r="295">
      <c r="AR295" s="31">
        <f>IF(OR($A$5="",$B$6="",ROW()&lt;$A$5),"",IF(INDEX($A:$AP,ROW(),$B$6)="","",INDEX($A:$AP,ROW(),$B$6)))</f>
        <v/>
      </c>
      <c r="AS295" s="32">
        <f>IF($AR295="","",IF(ISNUMBER($AR295),IF($AR295&gt;=10000000,IFERROR(DATE(INT($AR295/10000),MOD(INT($AR295/100),100),MOD($AR295,100)),""),INT($AR295)),IFERROR(DATE(--LEFT(LEFT(SUBSTITUTE(SUBSTITUTE(SUBSTITUTE(SUBSTITUTE(TRIM($AR295),"-",""),".",""),"/","")," ",""),8),4),--MID(LEFT(SUBSTITUTE(SUBSTITUTE(SUBSTITUTE(SUBSTITUTE(TRIM($AR295),"-",""),".",""),"/","")," ",""),8),5,2),--MID(LEFT(SUBSTITUTE(SUBSTITUTE(SUBSTITUTE(SUBSTITUTE(TRIM($AR295),"-",""),".",""),"/","")," ",""),8),7,2)),"")))</f>
        <v/>
      </c>
      <c r="AT295" s="33">
        <f>IF($AS295="","",IF($F$6="",0,IF(ISNUMBER(INDEX($A:$AP,ROW(),$F$6)),INDEX($A:$AP,ROW(),$F$6),IFERROR(--SUBSTITUTE(SUBSTITUTE(TRIM(INDEX($A:$AP,ROW(),$F$6)),",",""),"원",""),0))))</f>
        <v/>
      </c>
      <c r="AU295" s="31">
        <f>IF($AS295="","",IF($AX295&lt;&gt;"",SUBSTITUTE(SUBSTITUTE($AX295,"-","")," ",""),"N:"&amp;$AV295))</f>
        <v/>
      </c>
      <c r="AV295" s="31">
        <f>IF(OR($AS295="",$E$6=""),"",TRIM(INDEX($A:$AP,ROW(),$E$6)&amp;""))</f>
        <v/>
      </c>
      <c r="AW295" s="31">
        <f>IF($AU295="","",IF(MATCH($AU295,$AU$8:$AU$2007,0)=ROW()-7,MAX($AW$7:$AW294)+1,""))</f>
        <v/>
      </c>
      <c r="AX295" s="31">
        <f>IF(OR($AS295="",$D$6=""),"",TRIM(INDEX($A:$AP,ROW(),$D$6)&amp;""))</f>
        <v/>
      </c>
      <c r="AY295" s="31">
        <f>IF($AU295="","",INDEX($AW$8:$AW$2007,MATCH($AU295,$AU$8:$AU$2007,0)))</f>
        <v/>
      </c>
      <c r="AZ295" s="31">
        <f>IF(OR($AS295="",$C$6=""),"",TRIM(INDEX($A:$AP,ROW(),$C$6)&amp;""))</f>
        <v/>
      </c>
      <c r="BA295" s="31">
        <f>IF($AZ295="","",IF(COUNTIF($AZ$8:$AZ295,$AZ295)&gt;1,1,0))</f>
        <v/>
      </c>
    </row>
    <row r="296">
      <c r="AR296" s="31">
        <f>IF(OR($A$5="",$B$6="",ROW()&lt;$A$5),"",IF(INDEX($A:$AP,ROW(),$B$6)="","",INDEX($A:$AP,ROW(),$B$6)))</f>
        <v/>
      </c>
      <c r="AS296" s="32">
        <f>IF($AR296="","",IF(ISNUMBER($AR296),IF($AR296&gt;=10000000,IFERROR(DATE(INT($AR296/10000),MOD(INT($AR296/100),100),MOD($AR296,100)),""),INT($AR296)),IFERROR(DATE(--LEFT(LEFT(SUBSTITUTE(SUBSTITUTE(SUBSTITUTE(SUBSTITUTE(TRIM($AR296),"-",""),".",""),"/","")," ",""),8),4),--MID(LEFT(SUBSTITUTE(SUBSTITUTE(SUBSTITUTE(SUBSTITUTE(TRIM($AR296),"-",""),".",""),"/","")," ",""),8),5,2),--MID(LEFT(SUBSTITUTE(SUBSTITUTE(SUBSTITUTE(SUBSTITUTE(TRIM($AR296),"-",""),".",""),"/","")," ",""),8),7,2)),"")))</f>
        <v/>
      </c>
      <c r="AT296" s="33">
        <f>IF($AS296="","",IF($F$6="",0,IF(ISNUMBER(INDEX($A:$AP,ROW(),$F$6)),INDEX($A:$AP,ROW(),$F$6),IFERROR(--SUBSTITUTE(SUBSTITUTE(TRIM(INDEX($A:$AP,ROW(),$F$6)),",",""),"원",""),0))))</f>
        <v/>
      </c>
      <c r="AU296" s="31">
        <f>IF($AS296="","",IF($AX296&lt;&gt;"",SUBSTITUTE(SUBSTITUTE($AX296,"-","")," ",""),"N:"&amp;$AV296))</f>
        <v/>
      </c>
      <c r="AV296" s="31">
        <f>IF(OR($AS296="",$E$6=""),"",TRIM(INDEX($A:$AP,ROW(),$E$6)&amp;""))</f>
        <v/>
      </c>
      <c r="AW296" s="31">
        <f>IF($AU296="","",IF(MATCH($AU296,$AU$8:$AU$2007,0)=ROW()-7,MAX($AW$7:$AW295)+1,""))</f>
        <v/>
      </c>
      <c r="AX296" s="31">
        <f>IF(OR($AS296="",$D$6=""),"",TRIM(INDEX($A:$AP,ROW(),$D$6)&amp;""))</f>
        <v/>
      </c>
      <c r="AY296" s="31">
        <f>IF($AU296="","",INDEX($AW$8:$AW$2007,MATCH($AU296,$AU$8:$AU$2007,0)))</f>
        <v/>
      </c>
      <c r="AZ296" s="31">
        <f>IF(OR($AS296="",$C$6=""),"",TRIM(INDEX($A:$AP,ROW(),$C$6)&amp;""))</f>
        <v/>
      </c>
      <c r="BA296" s="31">
        <f>IF($AZ296="","",IF(COUNTIF($AZ$8:$AZ296,$AZ296)&gt;1,1,0))</f>
        <v/>
      </c>
    </row>
    <row r="297">
      <c r="AR297" s="31">
        <f>IF(OR($A$5="",$B$6="",ROW()&lt;$A$5),"",IF(INDEX($A:$AP,ROW(),$B$6)="","",INDEX($A:$AP,ROW(),$B$6)))</f>
        <v/>
      </c>
      <c r="AS297" s="32">
        <f>IF($AR297="","",IF(ISNUMBER($AR297),IF($AR297&gt;=10000000,IFERROR(DATE(INT($AR297/10000),MOD(INT($AR297/100),100),MOD($AR297,100)),""),INT($AR297)),IFERROR(DATE(--LEFT(LEFT(SUBSTITUTE(SUBSTITUTE(SUBSTITUTE(SUBSTITUTE(TRIM($AR297),"-",""),".",""),"/","")," ",""),8),4),--MID(LEFT(SUBSTITUTE(SUBSTITUTE(SUBSTITUTE(SUBSTITUTE(TRIM($AR297),"-",""),".",""),"/","")," ",""),8),5,2),--MID(LEFT(SUBSTITUTE(SUBSTITUTE(SUBSTITUTE(SUBSTITUTE(TRIM($AR297),"-",""),".",""),"/","")," ",""),8),7,2)),"")))</f>
        <v/>
      </c>
      <c r="AT297" s="33">
        <f>IF($AS297="","",IF($F$6="",0,IF(ISNUMBER(INDEX($A:$AP,ROW(),$F$6)),INDEX($A:$AP,ROW(),$F$6),IFERROR(--SUBSTITUTE(SUBSTITUTE(TRIM(INDEX($A:$AP,ROW(),$F$6)),",",""),"원",""),0))))</f>
        <v/>
      </c>
      <c r="AU297" s="31">
        <f>IF($AS297="","",IF($AX297&lt;&gt;"",SUBSTITUTE(SUBSTITUTE($AX297,"-","")," ",""),"N:"&amp;$AV297))</f>
        <v/>
      </c>
      <c r="AV297" s="31">
        <f>IF(OR($AS297="",$E$6=""),"",TRIM(INDEX($A:$AP,ROW(),$E$6)&amp;""))</f>
        <v/>
      </c>
      <c r="AW297" s="31">
        <f>IF($AU297="","",IF(MATCH($AU297,$AU$8:$AU$2007,0)=ROW()-7,MAX($AW$7:$AW296)+1,""))</f>
        <v/>
      </c>
      <c r="AX297" s="31">
        <f>IF(OR($AS297="",$D$6=""),"",TRIM(INDEX($A:$AP,ROW(),$D$6)&amp;""))</f>
        <v/>
      </c>
      <c r="AY297" s="31">
        <f>IF($AU297="","",INDEX($AW$8:$AW$2007,MATCH($AU297,$AU$8:$AU$2007,0)))</f>
        <v/>
      </c>
      <c r="AZ297" s="31">
        <f>IF(OR($AS297="",$C$6=""),"",TRIM(INDEX($A:$AP,ROW(),$C$6)&amp;""))</f>
        <v/>
      </c>
      <c r="BA297" s="31">
        <f>IF($AZ297="","",IF(COUNTIF($AZ$8:$AZ297,$AZ297)&gt;1,1,0))</f>
        <v/>
      </c>
    </row>
    <row r="298">
      <c r="AR298" s="31">
        <f>IF(OR($A$5="",$B$6="",ROW()&lt;$A$5),"",IF(INDEX($A:$AP,ROW(),$B$6)="","",INDEX($A:$AP,ROW(),$B$6)))</f>
        <v/>
      </c>
      <c r="AS298" s="32">
        <f>IF($AR298="","",IF(ISNUMBER($AR298),IF($AR298&gt;=10000000,IFERROR(DATE(INT($AR298/10000),MOD(INT($AR298/100),100),MOD($AR298,100)),""),INT($AR298)),IFERROR(DATE(--LEFT(LEFT(SUBSTITUTE(SUBSTITUTE(SUBSTITUTE(SUBSTITUTE(TRIM($AR298),"-",""),".",""),"/","")," ",""),8),4),--MID(LEFT(SUBSTITUTE(SUBSTITUTE(SUBSTITUTE(SUBSTITUTE(TRIM($AR298),"-",""),".",""),"/","")," ",""),8),5,2),--MID(LEFT(SUBSTITUTE(SUBSTITUTE(SUBSTITUTE(SUBSTITUTE(TRIM($AR298),"-",""),".",""),"/","")," ",""),8),7,2)),"")))</f>
        <v/>
      </c>
      <c r="AT298" s="33">
        <f>IF($AS298="","",IF($F$6="",0,IF(ISNUMBER(INDEX($A:$AP,ROW(),$F$6)),INDEX($A:$AP,ROW(),$F$6),IFERROR(--SUBSTITUTE(SUBSTITUTE(TRIM(INDEX($A:$AP,ROW(),$F$6)),",",""),"원",""),0))))</f>
        <v/>
      </c>
      <c r="AU298" s="31">
        <f>IF($AS298="","",IF($AX298&lt;&gt;"",SUBSTITUTE(SUBSTITUTE($AX298,"-","")," ",""),"N:"&amp;$AV298))</f>
        <v/>
      </c>
      <c r="AV298" s="31">
        <f>IF(OR($AS298="",$E$6=""),"",TRIM(INDEX($A:$AP,ROW(),$E$6)&amp;""))</f>
        <v/>
      </c>
      <c r="AW298" s="31">
        <f>IF($AU298="","",IF(MATCH($AU298,$AU$8:$AU$2007,0)=ROW()-7,MAX($AW$7:$AW297)+1,""))</f>
        <v/>
      </c>
      <c r="AX298" s="31">
        <f>IF(OR($AS298="",$D$6=""),"",TRIM(INDEX($A:$AP,ROW(),$D$6)&amp;""))</f>
        <v/>
      </c>
      <c r="AY298" s="31">
        <f>IF($AU298="","",INDEX($AW$8:$AW$2007,MATCH($AU298,$AU$8:$AU$2007,0)))</f>
        <v/>
      </c>
      <c r="AZ298" s="31">
        <f>IF(OR($AS298="",$C$6=""),"",TRIM(INDEX($A:$AP,ROW(),$C$6)&amp;""))</f>
        <v/>
      </c>
      <c r="BA298" s="31">
        <f>IF($AZ298="","",IF(COUNTIF($AZ$8:$AZ298,$AZ298)&gt;1,1,0))</f>
        <v/>
      </c>
    </row>
    <row r="299">
      <c r="AR299" s="31">
        <f>IF(OR($A$5="",$B$6="",ROW()&lt;$A$5),"",IF(INDEX($A:$AP,ROW(),$B$6)="","",INDEX($A:$AP,ROW(),$B$6)))</f>
        <v/>
      </c>
      <c r="AS299" s="32">
        <f>IF($AR299="","",IF(ISNUMBER($AR299),IF($AR299&gt;=10000000,IFERROR(DATE(INT($AR299/10000),MOD(INT($AR299/100),100),MOD($AR299,100)),""),INT($AR299)),IFERROR(DATE(--LEFT(LEFT(SUBSTITUTE(SUBSTITUTE(SUBSTITUTE(SUBSTITUTE(TRIM($AR299),"-",""),".",""),"/","")," ",""),8),4),--MID(LEFT(SUBSTITUTE(SUBSTITUTE(SUBSTITUTE(SUBSTITUTE(TRIM($AR299),"-",""),".",""),"/","")," ",""),8),5,2),--MID(LEFT(SUBSTITUTE(SUBSTITUTE(SUBSTITUTE(SUBSTITUTE(TRIM($AR299),"-",""),".",""),"/","")," ",""),8),7,2)),"")))</f>
        <v/>
      </c>
      <c r="AT299" s="33">
        <f>IF($AS299="","",IF($F$6="",0,IF(ISNUMBER(INDEX($A:$AP,ROW(),$F$6)),INDEX($A:$AP,ROW(),$F$6),IFERROR(--SUBSTITUTE(SUBSTITUTE(TRIM(INDEX($A:$AP,ROW(),$F$6)),",",""),"원",""),0))))</f>
        <v/>
      </c>
      <c r="AU299" s="31">
        <f>IF($AS299="","",IF($AX299&lt;&gt;"",SUBSTITUTE(SUBSTITUTE($AX299,"-","")," ",""),"N:"&amp;$AV299))</f>
        <v/>
      </c>
      <c r="AV299" s="31">
        <f>IF(OR($AS299="",$E$6=""),"",TRIM(INDEX($A:$AP,ROW(),$E$6)&amp;""))</f>
        <v/>
      </c>
      <c r="AW299" s="31">
        <f>IF($AU299="","",IF(MATCH($AU299,$AU$8:$AU$2007,0)=ROW()-7,MAX($AW$7:$AW298)+1,""))</f>
        <v/>
      </c>
      <c r="AX299" s="31">
        <f>IF(OR($AS299="",$D$6=""),"",TRIM(INDEX($A:$AP,ROW(),$D$6)&amp;""))</f>
        <v/>
      </c>
      <c r="AY299" s="31">
        <f>IF($AU299="","",INDEX($AW$8:$AW$2007,MATCH($AU299,$AU$8:$AU$2007,0)))</f>
        <v/>
      </c>
      <c r="AZ299" s="31">
        <f>IF(OR($AS299="",$C$6=""),"",TRIM(INDEX($A:$AP,ROW(),$C$6)&amp;""))</f>
        <v/>
      </c>
      <c r="BA299" s="31">
        <f>IF($AZ299="","",IF(COUNTIF($AZ$8:$AZ299,$AZ299)&gt;1,1,0))</f>
        <v/>
      </c>
    </row>
    <row r="300">
      <c r="AR300" s="31">
        <f>IF(OR($A$5="",$B$6="",ROW()&lt;$A$5),"",IF(INDEX($A:$AP,ROW(),$B$6)="","",INDEX($A:$AP,ROW(),$B$6)))</f>
        <v/>
      </c>
      <c r="AS300" s="32">
        <f>IF($AR300="","",IF(ISNUMBER($AR300),IF($AR300&gt;=10000000,IFERROR(DATE(INT($AR300/10000),MOD(INT($AR300/100),100),MOD($AR300,100)),""),INT($AR300)),IFERROR(DATE(--LEFT(LEFT(SUBSTITUTE(SUBSTITUTE(SUBSTITUTE(SUBSTITUTE(TRIM($AR300),"-",""),".",""),"/","")," ",""),8),4),--MID(LEFT(SUBSTITUTE(SUBSTITUTE(SUBSTITUTE(SUBSTITUTE(TRIM($AR300),"-",""),".",""),"/","")," ",""),8),5,2),--MID(LEFT(SUBSTITUTE(SUBSTITUTE(SUBSTITUTE(SUBSTITUTE(TRIM($AR300),"-",""),".",""),"/","")," ",""),8),7,2)),"")))</f>
        <v/>
      </c>
      <c r="AT300" s="33">
        <f>IF($AS300="","",IF($F$6="",0,IF(ISNUMBER(INDEX($A:$AP,ROW(),$F$6)),INDEX($A:$AP,ROW(),$F$6),IFERROR(--SUBSTITUTE(SUBSTITUTE(TRIM(INDEX($A:$AP,ROW(),$F$6)),",",""),"원",""),0))))</f>
        <v/>
      </c>
      <c r="AU300" s="31">
        <f>IF($AS300="","",IF($AX300&lt;&gt;"",SUBSTITUTE(SUBSTITUTE($AX300,"-","")," ",""),"N:"&amp;$AV300))</f>
        <v/>
      </c>
      <c r="AV300" s="31">
        <f>IF(OR($AS300="",$E$6=""),"",TRIM(INDEX($A:$AP,ROW(),$E$6)&amp;""))</f>
        <v/>
      </c>
      <c r="AW300" s="31">
        <f>IF($AU300="","",IF(MATCH($AU300,$AU$8:$AU$2007,0)=ROW()-7,MAX($AW$7:$AW299)+1,""))</f>
        <v/>
      </c>
      <c r="AX300" s="31">
        <f>IF(OR($AS300="",$D$6=""),"",TRIM(INDEX($A:$AP,ROW(),$D$6)&amp;""))</f>
        <v/>
      </c>
      <c r="AY300" s="31">
        <f>IF($AU300="","",INDEX($AW$8:$AW$2007,MATCH($AU300,$AU$8:$AU$2007,0)))</f>
        <v/>
      </c>
      <c r="AZ300" s="31">
        <f>IF(OR($AS300="",$C$6=""),"",TRIM(INDEX($A:$AP,ROW(),$C$6)&amp;""))</f>
        <v/>
      </c>
      <c r="BA300" s="31">
        <f>IF($AZ300="","",IF(COUNTIF($AZ$8:$AZ300,$AZ300)&gt;1,1,0))</f>
        <v/>
      </c>
    </row>
    <row r="301">
      <c r="AR301" s="31">
        <f>IF(OR($A$5="",$B$6="",ROW()&lt;$A$5),"",IF(INDEX($A:$AP,ROW(),$B$6)="","",INDEX($A:$AP,ROW(),$B$6)))</f>
        <v/>
      </c>
      <c r="AS301" s="32">
        <f>IF($AR301="","",IF(ISNUMBER($AR301),IF($AR301&gt;=10000000,IFERROR(DATE(INT($AR301/10000),MOD(INT($AR301/100),100),MOD($AR301,100)),""),INT($AR301)),IFERROR(DATE(--LEFT(LEFT(SUBSTITUTE(SUBSTITUTE(SUBSTITUTE(SUBSTITUTE(TRIM($AR301),"-",""),".",""),"/","")," ",""),8),4),--MID(LEFT(SUBSTITUTE(SUBSTITUTE(SUBSTITUTE(SUBSTITUTE(TRIM($AR301),"-",""),".",""),"/","")," ",""),8),5,2),--MID(LEFT(SUBSTITUTE(SUBSTITUTE(SUBSTITUTE(SUBSTITUTE(TRIM($AR301),"-",""),".",""),"/","")," ",""),8),7,2)),"")))</f>
        <v/>
      </c>
      <c r="AT301" s="33">
        <f>IF($AS301="","",IF($F$6="",0,IF(ISNUMBER(INDEX($A:$AP,ROW(),$F$6)),INDEX($A:$AP,ROW(),$F$6),IFERROR(--SUBSTITUTE(SUBSTITUTE(TRIM(INDEX($A:$AP,ROW(),$F$6)),",",""),"원",""),0))))</f>
        <v/>
      </c>
      <c r="AU301" s="31">
        <f>IF($AS301="","",IF($AX301&lt;&gt;"",SUBSTITUTE(SUBSTITUTE($AX301,"-","")," ",""),"N:"&amp;$AV301))</f>
        <v/>
      </c>
      <c r="AV301" s="31">
        <f>IF(OR($AS301="",$E$6=""),"",TRIM(INDEX($A:$AP,ROW(),$E$6)&amp;""))</f>
        <v/>
      </c>
      <c r="AW301" s="31">
        <f>IF($AU301="","",IF(MATCH($AU301,$AU$8:$AU$2007,0)=ROW()-7,MAX($AW$7:$AW300)+1,""))</f>
        <v/>
      </c>
      <c r="AX301" s="31">
        <f>IF(OR($AS301="",$D$6=""),"",TRIM(INDEX($A:$AP,ROW(),$D$6)&amp;""))</f>
        <v/>
      </c>
      <c r="AY301" s="31">
        <f>IF($AU301="","",INDEX($AW$8:$AW$2007,MATCH($AU301,$AU$8:$AU$2007,0)))</f>
        <v/>
      </c>
      <c r="AZ301" s="31">
        <f>IF(OR($AS301="",$C$6=""),"",TRIM(INDEX($A:$AP,ROW(),$C$6)&amp;""))</f>
        <v/>
      </c>
      <c r="BA301" s="31">
        <f>IF($AZ301="","",IF(COUNTIF($AZ$8:$AZ301,$AZ301)&gt;1,1,0))</f>
        <v/>
      </c>
    </row>
    <row r="302">
      <c r="AR302" s="31">
        <f>IF(OR($A$5="",$B$6="",ROW()&lt;$A$5),"",IF(INDEX($A:$AP,ROW(),$B$6)="","",INDEX($A:$AP,ROW(),$B$6)))</f>
        <v/>
      </c>
      <c r="AS302" s="32">
        <f>IF($AR302="","",IF(ISNUMBER($AR302),IF($AR302&gt;=10000000,IFERROR(DATE(INT($AR302/10000),MOD(INT($AR302/100),100),MOD($AR302,100)),""),INT($AR302)),IFERROR(DATE(--LEFT(LEFT(SUBSTITUTE(SUBSTITUTE(SUBSTITUTE(SUBSTITUTE(TRIM($AR302),"-",""),".",""),"/","")," ",""),8),4),--MID(LEFT(SUBSTITUTE(SUBSTITUTE(SUBSTITUTE(SUBSTITUTE(TRIM($AR302),"-",""),".",""),"/","")," ",""),8),5,2),--MID(LEFT(SUBSTITUTE(SUBSTITUTE(SUBSTITUTE(SUBSTITUTE(TRIM($AR302),"-",""),".",""),"/","")," ",""),8),7,2)),"")))</f>
        <v/>
      </c>
      <c r="AT302" s="33">
        <f>IF($AS302="","",IF($F$6="",0,IF(ISNUMBER(INDEX($A:$AP,ROW(),$F$6)),INDEX($A:$AP,ROW(),$F$6),IFERROR(--SUBSTITUTE(SUBSTITUTE(TRIM(INDEX($A:$AP,ROW(),$F$6)),",",""),"원",""),0))))</f>
        <v/>
      </c>
      <c r="AU302" s="31">
        <f>IF($AS302="","",IF($AX302&lt;&gt;"",SUBSTITUTE(SUBSTITUTE($AX302,"-","")," ",""),"N:"&amp;$AV302))</f>
        <v/>
      </c>
      <c r="AV302" s="31">
        <f>IF(OR($AS302="",$E$6=""),"",TRIM(INDEX($A:$AP,ROW(),$E$6)&amp;""))</f>
        <v/>
      </c>
      <c r="AW302" s="31">
        <f>IF($AU302="","",IF(MATCH($AU302,$AU$8:$AU$2007,0)=ROW()-7,MAX($AW$7:$AW301)+1,""))</f>
        <v/>
      </c>
      <c r="AX302" s="31">
        <f>IF(OR($AS302="",$D$6=""),"",TRIM(INDEX($A:$AP,ROW(),$D$6)&amp;""))</f>
        <v/>
      </c>
      <c r="AY302" s="31">
        <f>IF($AU302="","",INDEX($AW$8:$AW$2007,MATCH($AU302,$AU$8:$AU$2007,0)))</f>
        <v/>
      </c>
      <c r="AZ302" s="31">
        <f>IF(OR($AS302="",$C$6=""),"",TRIM(INDEX($A:$AP,ROW(),$C$6)&amp;""))</f>
        <v/>
      </c>
      <c r="BA302" s="31">
        <f>IF($AZ302="","",IF(COUNTIF($AZ$8:$AZ302,$AZ302)&gt;1,1,0))</f>
        <v/>
      </c>
    </row>
    <row r="303">
      <c r="AR303" s="31">
        <f>IF(OR($A$5="",$B$6="",ROW()&lt;$A$5),"",IF(INDEX($A:$AP,ROW(),$B$6)="","",INDEX($A:$AP,ROW(),$B$6)))</f>
        <v/>
      </c>
      <c r="AS303" s="32">
        <f>IF($AR303="","",IF(ISNUMBER($AR303),IF($AR303&gt;=10000000,IFERROR(DATE(INT($AR303/10000),MOD(INT($AR303/100),100),MOD($AR303,100)),""),INT($AR303)),IFERROR(DATE(--LEFT(LEFT(SUBSTITUTE(SUBSTITUTE(SUBSTITUTE(SUBSTITUTE(TRIM($AR303),"-",""),".",""),"/","")," ",""),8),4),--MID(LEFT(SUBSTITUTE(SUBSTITUTE(SUBSTITUTE(SUBSTITUTE(TRIM($AR303),"-",""),".",""),"/","")," ",""),8),5,2),--MID(LEFT(SUBSTITUTE(SUBSTITUTE(SUBSTITUTE(SUBSTITUTE(TRIM($AR303),"-",""),".",""),"/","")," ",""),8),7,2)),"")))</f>
        <v/>
      </c>
      <c r="AT303" s="33">
        <f>IF($AS303="","",IF($F$6="",0,IF(ISNUMBER(INDEX($A:$AP,ROW(),$F$6)),INDEX($A:$AP,ROW(),$F$6),IFERROR(--SUBSTITUTE(SUBSTITUTE(TRIM(INDEX($A:$AP,ROW(),$F$6)),",",""),"원",""),0))))</f>
        <v/>
      </c>
      <c r="AU303" s="31">
        <f>IF($AS303="","",IF($AX303&lt;&gt;"",SUBSTITUTE(SUBSTITUTE($AX303,"-","")," ",""),"N:"&amp;$AV303))</f>
        <v/>
      </c>
      <c r="AV303" s="31">
        <f>IF(OR($AS303="",$E$6=""),"",TRIM(INDEX($A:$AP,ROW(),$E$6)&amp;""))</f>
        <v/>
      </c>
      <c r="AW303" s="31">
        <f>IF($AU303="","",IF(MATCH($AU303,$AU$8:$AU$2007,0)=ROW()-7,MAX($AW$7:$AW302)+1,""))</f>
        <v/>
      </c>
      <c r="AX303" s="31">
        <f>IF(OR($AS303="",$D$6=""),"",TRIM(INDEX($A:$AP,ROW(),$D$6)&amp;""))</f>
        <v/>
      </c>
      <c r="AY303" s="31">
        <f>IF($AU303="","",INDEX($AW$8:$AW$2007,MATCH($AU303,$AU$8:$AU$2007,0)))</f>
        <v/>
      </c>
      <c r="AZ303" s="31">
        <f>IF(OR($AS303="",$C$6=""),"",TRIM(INDEX($A:$AP,ROW(),$C$6)&amp;""))</f>
        <v/>
      </c>
      <c r="BA303" s="31">
        <f>IF($AZ303="","",IF(COUNTIF($AZ$8:$AZ303,$AZ303)&gt;1,1,0))</f>
        <v/>
      </c>
    </row>
    <row r="304">
      <c r="AR304" s="31">
        <f>IF(OR($A$5="",$B$6="",ROW()&lt;$A$5),"",IF(INDEX($A:$AP,ROW(),$B$6)="","",INDEX($A:$AP,ROW(),$B$6)))</f>
        <v/>
      </c>
      <c r="AS304" s="32">
        <f>IF($AR304="","",IF(ISNUMBER($AR304),IF($AR304&gt;=10000000,IFERROR(DATE(INT($AR304/10000),MOD(INT($AR304/100),100),MOD($AR304,100)),""),INT($AR304)),IFERROR(DATE(--LEFT(LEFT(SUBSTITUTE(SUBSTITUTE(SUBSTITUTE(SUBSTITUTE(TRIM($AR304),"-",""),".",""),"/","")," ",""),8),4),--MID(LEFT(SUBSTITUTE(SUBSTITUTE(SUBSTITUTE(SUBSTITUTE(TRIM($AR304),"-",""),".",""),"/","")," ",""),8),5,2),--MID(LEFT(SUBSTITUTE(SUBSTITUTE(SUBSTITUTE(SUBSTITUTE(TRIM($AR304),"-",""),".",""),"/","")," ",""),8),7,2)),"")))</f>
        <v/>
      </c>
      <c r="AT304" s="33">
        <f>IF($AS304="","",IF($F$6="",0,IF(ISNUMBER(INDEX($A:$AP,ROW(),$F$6)),INDEX($A:$AP,ROW(),$F$6),IFERROR(--SUBSTITUTE(SUBSTITUTE(TRIM(INDEX($A:$AP,ROW(),$F$6)),",",""),"원",""),0))))</f>
        <v/>
      </c>
      <c r="AU304" s="31">
        <f>IF($AS304="","",IF($AX304&lt;&gt;"",SUBSTITUTE(SUBSTITUTE($AX304,"-","")," ",""),"N:"&amp;$AV304))</f>
        <v/>
      </c>
      <c r="AV304" s="31">
        <f>IF(OR($AS304="",$E$6=""),"",TRIM(INDEX($A:$AP,ROW(),$E$6)&amp;""))</f>
        <v/>
      </c>
      <c r="AW304" s="31">
        <f>IF($AU304="","",IF(MATCH($AU304,$AU$8:$AU$2007,0)=ROW()-7,MAX($AW$7:$AW303)+1,""))</f>
        <v/>
      </c>
      <c r="AX304" s="31">
        <f>IF(OR($AS304="",$D$6=""),"",TRIM(INDEX($A:$AP,ROW(),$D$6)&amp;""))</f>
        <v/>
      </c>
      <c r="AY304" s="31">
        <f>IF($AU304="","",INDEX($AW$8:$AW$2007,MATCH($AU304,$AU$8:$AU$2007,0)))</f>
        <v/>
      </c>
      <c r="AZ304" s="31">
        <f>IF(OR($AS304="",$C$6=""),"",TRIM(INDEX($A:$AP,ROW(),$C$6)&amp;""))</f>
        <v/>
      </c>
      <c r="BA304" s="31">
        <f>IF($AZ304="","",IF(COUNTIF($AZ$8:$AZ304,$AZ304)&gt;1,1,0))</f>
        <v/>
      </c>
    </row>
    <row r="305">
      <c r="AR305" s="31">
        <f>IF(OR($A$5="",$B$6="",ROW()&lt;$A$5),"",IF(INDEX($A:$AP,ROW(),$B$6)="","",INDEX($A:$AP,ROW(),$B$6)))</f>
        <v/>
      </c>
      <c r="AS305" s="32">
        <f>IF($AR305="","",IF(ISNUMBER($AR305),IF($AR305&gt;=10000000,IFERROR(DATE(INT($AR305/10000),MOD(INT($AR305/100),100),MOD($AR305,100)),""),INT($AR305)),IFERROR(DATE(--LEFT(LEFT(SUBSTITUTE(SUBSTITUTE(SUBSTITUTE(SUBSTITUTE(TRIM($AR305),"-",""),".",""),"/","")," ",""),8),4),--MID(LEFT(SUBSTITUTE(SUBSTITUTE(SUBSTITUTE(SUBSTITUTE(TRIM($AR305),"-",""),".",""),"/","")," ",""),8),5,2),--MID(LEFT(SUBSTITUTE(SUBSTITUTE(SUBSTITUTE(SUBSTITUTE(TRIM($AR305),"-",""),".",""),"/","")," ",""),8),7,2)),"")))</f>
        <v/>
      </c>
      <c r="AT305" s="33">
        <f>IF($AS305="","",IF($F$6="",0,IF(ISNUMBER(INDEX($A:$AP,ROW(),$F$6)),INDEX($A:$AP,ROW(),$F$6),IFERROR(--SUBSTITUTE(SUBSTITUTE(TRIM(INDEX($A:$AP,ROW(),$F$6)),",",""),"원",""),0))))</f>
        <v/>
      </c>
      <c r="AU305" s="31">
        <f>IF($AS305="","",IF($AX305&lt;&gt;"",SUBSTITUTE(SUBSTITUTE($AX305,"-","")," ",""),"N:"&amp;$AV305))</f>
        <v/>
      </c>
      <c r="AV305" s="31">
        <f>IF(OR($AS305="",$E$6=""),"",TRIM(INDEX($A:$AP,ROW(),$E$6)&amp;""))</f>
        <v/>
      </c>
      <c r="AW305" s="31">
        <f>IF($AU305="","",IF(MATCH($AU305,$AU$8:$AU$2007,0)=ROW()-7,MAX($AW$7:$AW304)+1,""))</f>
        <v/>
      </c>
      <c r="AX305" s="31">
        <f>IF(OR($AS305="",$D$6=""),"",TRIM(INDEX($A:$AP,ROW(),$D$6)&amp;""))</f>
        <v/>
      </c>
      <c r="AY305" s="31">
        <f>IF($AU305="","",INDEX($AW$8:$AW$2007,MATCH($AU305,$AU$8:$AU$2007,0)))</f>
        <v/>
      </c>
      <c r="AZ305" s="31">
        <f>IF(OR($AS305="",$C$6=""),"",TRIM(INDEX($A:$AP,ROW(),$C$6)&amp;""))</f>
        <v/>
      </c>
      <c r="BA305" s="31">
        <f>IF($AZ305="","",IF(COUNTIF($AZ$8:$AZ305,$AZ305)&gt;1,1,0))</f>
        <v/>
      </c>
    </row>
    <row r="306">
      <c r="AR306" s="31">
        <f>IF(OR($A$5="",$B$6="",ROW()&lt;$A$5),"",IF(INDEX($A:$AP,ROW(),$B$6)="","",INDEX($A:$AP,ROW(),$B$6)))</f>
        <v/>
      </c>
      <c r="AS306" s="32">
        <f>IF($AR306="","",IF(ISNUMBER($AR306),IF($AR306&gt;=10000000,IFERROR(DATE(INT($AR306/10000),MOD(INT($AR306/100),100),MOD($AR306,100)),""),INT($AR306)),IFERROR(DATE(--LEFT(LEFT(SUBSTITUTE(SUBSTITUTE(SUBSTITUTE(SUBSTITUTE(TRIM($AR306),"-",""),".",""),"/","")," ",""),8),4),--MID(LEFT(SUBSTITUTE(SUBSTITUTE(SUBSTITUTE(SUBSTITUTE(TRIM($AR306),"-",""),".",""),"/","")," ",""),8),5,2),--MID(LEFT(SUBSTITUTE(SUBSTITUTE(SUBSTITUTE(SUBSTITUTE(TRIM($AR306),"-",""),".",""),"/","")," ",""),8),7,2)),"")))</f>
        <v/>
      </c>
      <c r="AT306" s="33">
        <f>IF($AS306="","",IF($F$6="",0,IF(ISNUMBER(INDEX($A:$AP,ROW(),$F$6)),INDEX($A:$AP,ROW(),$F$6),IFERROR(--SUBSTITUTE(SUBSTITUTE(TRIM(INDEX($A:$AP,ROW(),$F$6)),",",""),"원",""),0))))</f>
        <v/>
      </c>
      <c r="AU306" s="31">
        <f>IF($AS306="","",IF($AX306&lt;&gt;"",SUBSTITUTE(SUBSTITUTE($AX306,"-","")," ",""),"N:"&amp;$AV306))</f>
        <v/>
      </c>
      <c r="AV306" s="31">
        <f>IF(OR($AS306="",$E$6=""),"",TRIM(INDEX($A:$AP,ROW(),$E$6)&amp;""))</f>
        <v/>
      </c>
      <c r="AW306" s="31">
        <f>IF($AU306="","",IF(MATCH($AU306,$AU$8:$AU$2007,0)=ROW()-7,MAX($AW$7:$AW305)+1,""))</f>
        <v/>
      </c>
      <c r="AX306" s="31">
        <f>IF(OR($AS306="",$D$6=""),"",TRIM(INDEX($A:$AP,ROW(),$D$6)&amp;""))</f>
        <v/>
      </c>
      <c r="AY306" s="31">
        <f>IF($AU306="","",INDEX($AW$8:$AW$2007,MATCH($AU306,$AU$8:$AU$2007,0)))</f>
        <v/>
      </c>
      <c r="AZ306" s="31">
        <f>IF(OR($AS306="",$C$6=""),"",TRIM(INDEX($A:$AP,ROW(),$C$6)&amp;""))</f>
        <v/>
      </c>
      <c r="BA306" s="31">
        <f>IF($AZ306="","",IF(COUNTIF($AZ$8:$AZ306,$AZ306)&gt;1,1,0))</f>
        <v/>
      </c>
    </row>
    <row r="307">
      <c r="AR307" s="31">
        <f>IF(OR($A$5="",$B$6="",ROW()&lt;$A$5),"",IF(INDEX($A:$AP,ROW(),$B$6)="","",INDEX($A:$AP,ROW(),$B$6)))</f>
        <v/>
      </c>
      <c r="AS307" s="32">
        <f>IF($AR307="","",IF(ISNUMBER($AR307),IF($AR307&gt;=10000000,IFERROR(DATE(INT($AR307/10000),MOD(INT($AR307/100),100),MOD($AR307,100)),""),INT($AR307)),IFERROR(DATE(--LEFT(LEFT(SUBSTITUTE(SUBSTITUTE(SUBSTITUTE(SUBSTITUTE(TRIM($AR307),"-",""),".",""),"/","")," ",""),8),4),--MID(LEFT(SUBSTITUTE(SUBSTITUTE(SUBSTITUTE(SUBSTITUTE(TRIM($AR307),"-",""),".",""),"/","")," ",""),8),5,2),--MID(LEFT(SUBSTITUTE(SUBSTITUTE(SUBSTITUTE(SUBSTITUTE(TRIM($AR307),"-",""),".",""),"/","")," ",""),8),7,2)),"")))</f>
        <v/>
      </c>
      <c r="AT307" s="33">
        <f>IF($AS307="","",IF($F$6="",0,IF(ISNUMBER(INDEX($A:$AP,ROW(),$F$6)),INDEX($A:$AP,ROW(),$F$6),IFERROR(--SUBSTITUTE(SUBSTITUTE(TRIM(INDEX($A:$AP,ROW(),$F$6)),",",""),"원",""),0))))</f>
        <v/>
      </c>
      <c r="AU307" s="31">
        <f>IF($AS307="","",IF($AX307&lt;&gt;"",SUBSTITUTE(SUBSTITUTE($AX307,"-","")," ",""),"N:"&amp;$AV307))</f>
        <v/>
      </c>
      <c r="AV307" s="31">
        <f>IF(OR($AS307="",$E$6=""),"",TRIM(INDEX($A:$AP,ROW(),$E$6)&amp;""))</f>
        <v/>
      </c>
      <c r="AW307" s="31">
        <f>IF($AU307="","",IF(MATCH($AU307,$AU$8:$AU$2007,0)=ROW()-7,MAX($AW$7:$AW306)+1,""))</f>
        <v/>
      </c>
      <c r="AX307" s="31">
        <f>IF(OR($AS307="",$D$6=""),"",TRIM(INDEX($A:$AP,ROW(),$D$6)&amp;""))</f>
        <v/>
      </c>
      <c r="AY307" s="31">
        <f>IF($AU307="","",INDEX($AW$8:$AW$2007,MATCH($AU307,$AU$8:$AU$2007,0)))</f>
        <v/>
      </c>
      <c r="AZ307" s="31">
        <f>IF(OR($AS307="",$C$6=""),"",TRIM(INDEX($A:$AP,ROW(),$C$6)&amp;""))</f>
        <v/>
      </c>
      <c r="BA307" s="31">
        <f>IF($AZ307="","",IF(COUNTIF($AZ$8:$AZ307,$AZ307)&gt;1,1,0))</f>
        <v/>
      </c>
    </row>
    <row r="308">
      <c r="AR308" s="31">
        <f>IF(OR($A$5="",$B$6="",ROW()&lt;$A$5),"",IF(INDEX($A:$AP,ROW(),$B$6)="","",INDEX($A:$AP,ROW(),$B$6)))</f>
        <v/>
      </c>
      <c r="AS308" s="32">
        <f>IF($AR308="","",IF(ISNUMBER($AR308),IF($AR308&gt;=10000000,IFERROR(DATE(INT($AR308/10000),MOD(INT($AR308/100),100),MOD($AR308,100)),""),INT($AR308)),IFERROR(DATE(--LEFT(LEFT(SUBSTITUTE(SUBSTITUTE(SUBSTITUTE(SUBSTITUTE(TRIM($AR308),"-",""),".",""),"/","")," ",""),8),4),--MID(LEFT(SUBSTITUTE(SUBSTITUTE(SUBSTITUTE(SUBSTITUTE(TRIM($AR308),"-",""),".",""),"/","")," ",""),8),5,2),--MID(LEFT(SUBSTITUTE(SUBSTITUTE(SUBSTITUTE(SUBSTITUTE(TRIM($AR308),"-",""),".",""),"/","")," ",""),8),7,2)),"")))</f>
        <v/>
      </c>
      <c r="AT308" s="33">
        <f>IF($AS308="","",IF($F$6="",0,IF(ISNUMBER(INDEX($A:$AP,ROW(),$F$6)),INDEX($A:$AP,ROW(),$F$6),IFERROR(--SUBSTITUTE(SUBSTITUTE(TRIM(INDEX($A:$AP,ROW(),$F$6)),",",""),"원",""),0))))</f>
        <v/>
      </c>
      <c r="AU308" s="31">
        <f>IF($AS308="","",IF($AX308&lt;&gt;"",SUBSTITUTE(SUBSTITUTE($AX308,"-","")," ",""),"N:"&amp;$AV308))</f>
        <v/>
      </c>
      <c r="AV308" s="31">
        <f>IF(OR($AS308="",$E$6=""),"",TRIM(INDEX($A:$AP,ROW(),$E$6)&amp;""))</f>
        <v/>
      </c>
      <c r="AW308" s="31">
        <f>IF($AU308="","",IF(MATCH($AU308,$AU$8:$AU$2007,0)=ROW()-7,MAX($AW$7:$AW307)+1,""))</f>
        <v/>
      </c>
      <c r="AX308" s="31">
        <f>IF(OR($AS308="",$D$6=""),"",TRIM(INDEX($A:$AP,ROW(),$D$6)&amp;""))</f>
        <v/>
      </c>
      <c r="AY308" s="31">
        <f>IF($AU308="","",INDEX($AW$8:$AW$2007,MATCH($AU308,$AU$8:$AU$2007,0)))</f>
        <v/>
      </c>
      <c r="AZ308" s="31">
        <f>IF(OR($AS308="",$C$6=""),"",TRIM(INDEX($A:$AP,ROW(),$C$6)&amp;""))</f>
        <v/>
      </c>
      <c r="BA308" s="31">
        <f>IF($AZ308="","",IF(COUNTIF($AZ$8:$AZ308,$AZ308)&gt;1,1,0))</f>
        <v/>
      </c>
    </row>
    <row r="309">
      <c r="AR309" s="31">
        <f>IF(OR($A$5="",$B$6="",ROW()&lt;$A$5),"",IF(INDEX($A:$AP,ROW(),$B$6)="","",INDEX($A:$AP,ROW(),$B$6)))</f>
        <v/>
      </c>
      <c r="AS309" s="32">
        <f>IF($AR309="","",IF(ISNUMBER($AR309),IF($AR309&gt;=10000000,IFERROR(DATE(INT($AR309/10000),MOD(INT($AR309/100),100),MOD($AR309,100)),""),INT($AR309)),IFERROR(DATE(--LEFT(LEFT(SUBSTITUTE(SUBSTITUTE(SUBSTITUTE(SUBSTITUTE(TRIM($AR309),"-",""),".",""),"/","")," ",""),8),4),--MID(LEFT(SUBSTITUTE(SUBSTITUTE(SUBSTITUTE(SUBSTITUTE(TRIM($AR309),"-",""),".",""),"/","")," ",""),8),5,2),--MID(LEFT(SUBSTITUTE(SUBSTITUTE(SUBSTITUTE(SUBSTITUTE(TRIM($AR309),"-",""),".",""),"/","")," ",""),8),7,2)),"")))</f>
        <v/>
      </c>
      <c r="AT309" s="33">
        <f>IF($AS309="","",IF($F$6="",0,IF(ISNUMBER(INDEX($A:$AP,ROW(),$F$6)),INDEX($A:$AP,ROW(),$F$6),IFERROR(--SUBSTITUTE(SUBSTITUTE(TRIM(INDEX($A:$AP,ROW(),$F$6)),",",""),"원",""),0))))</f>
        <v/>
      </c>
      <c r="AU309" s="31">
        <f>IF($AS309="","",IF($AX309&lt;&gt;"",SUBSTITUTE(SUBSTITUTE($AX309,"-","")," ",""),"N:"&amp;$AV309))</f>
        <v/>
      </c>
      <c r="AV309" s="31">
        <f>IF(OR($AS309="",$E$6=""),"",TRIM(INDEX($A:$AP,ROW(),$E$6)&amp;""))</f>
        <v/>
      </c>
      <c r="AW309" s="31">
        <f>IF($AU309="","",IF(MATCH($AU309,$AU$8:$AU$2007,0)=ROW()-7,MAX($AW$7:$AW308)+1,""))</f>
        <v/>
      </c>
      <c r="AX309" s="31">
        <f>IF(OR($AS309="",$D$6=""),"",TRIM(INDEX($A:$AP,ROW(),$D$6)&amp;""))</f>
        <v/>
      </c>
      <c r="AY309" s="31">
        <f>IF($AU309="","",INDEX($AW$8:$AW$2007,MATCH($AU309,$AU$8:$AU$2007,0)))</f>
        <v/>
      </c>
      <c r="AZ309" s="31">
        <f>IF(OR($AS309="",$C$6=""),"",TRIM(INDEX($A:$AP,ROW(),$C$6)&amp;""))</f>
        <v/>
      </c>
      <c r="BA309" s="31">
        <f>IF($AZ309="","",IF(COUNTIF($AZ$8:$AZ309,$AZ309)&gt;1,1,0))</f>
        <v/>
      </c>
    </row>
    <row r="310">
      <c r="AR310" s="31">
        <f>IF(OR($A$5="",$B$6="",ROW()&lt;$A$5),"",IF(INDEX($A:$AP,ROW(),$B$6)="","",INDEX($A:$AP,ROW(),$B$6)))</f>
        <v/>
      </c>
      <c r="AS310" s="32">
        <f>IF($AR310="","",IF(ISNUMBER($AR310),IF($AR310&gt;=10000000,IFERROR(DATE(INT($AR310/10000),MOD(INT($AR310/100),100),MOD($AR310,100)),""),INT($AR310)),IFERROR(DATE(--LEFT(LEFT(SUBSTITUTE(SUBSTITUTE(SUBSTITUTE(SUBSTITUTE(TRIM($AR310),"-",""),".",""),"/","")," ",""),8),4),--MID(LEFT(SUBSTITUTE(SUBSTITUTE(SUBSTITUTE(SUBSTITUTE(TRIM($AR310),"-",""),".",""),"/","")," ",""),8),5,2),--MID(LEFT(SUBSTITUTE(SUBSTITUTE(SUBSTITUTE(SUBSTITUTE(TRIM($AR310),"-",""),".",""),"/","")," ",""),8),7,2)),"")))</f>
        <v/>
      </c>
      <c r="AT310" s="33">
        <f>IF($AS310="","",IF($F$6="",0,IF(ISNUMBER(INDEX($A:$AP,ROW(),$F$6)),INDEX($A:$AP,ROW(),$F$6),IFERROR(--SUBSTITUTE(SUBSTITUTE(TRIM(INDEX($A:$AP,ROW(),$F$6)),",",""),"원",""),0))))</f>
        <v/>
      </c>
      <c r="AU310" s="31">
        <f>IF($AS310="","",IF($AX310&lt;&gt;"",SUBSTITUTE(SUBSTITUTE($AX310,"-","")," ",""),"N:"&amp;$AV310))</f>
        <v/>
      </c>
      <c r="AV310" s="31">
        <f>IF(OR($AS310="",$E$6=""),"",TRIM(INDEX($A:$AP,ROW(),$E$6)&amp;""))</f>
        <v/>
      </c>
      <c r="AW310" s="31">
        <f>IF($AU310="","",IF(MATCH($AU310,$AU$8:$AU$2007,0)=ROW()-7,MAX($AW$7:$AW309)+1,""))</f>
        <v/>
      </c>
      <c r="AX310" s="31">
        <f>IF(OR($AS310="",$D$6=""),"",TRIM(INDEX($A:$AP,ROW(),$D$6)&amp;""))</f>
        <v/>
      </c>
      <c r="AY310" s="31">
        <f>IF($AU310="","",INDEX($AW$8:$AW$2007,MATCH($AU310,$AU$8:$AU$2007,0)))</f>
        <v/>
      </c>
      <c r="AZ310" s="31">
        <f>IF(OR($AS310="",$C$6=""),"",TRIM(INDEX($A:$AP,ROW(),$C$6)&amp;""))</f>
        <v/>
      </c>
      <c r="BA310" s="31">
        <f>IF($AZ310="","",IF(COUNTIF($AZ$8:$AZ310,$AZ310)&gt;1,1,0))</f>
        <v/>
      </c>
    </row>
    <row r="311">
      <c r="AR311" s="31">
        <f>IF(OR($A$5="",$B$6="",ROW()&lt;$A$5),"",IF(INDEX($A:$AP,ROW(),$B$6)="","",INDEX($A:$AP,ROW(),$B$6)))</f>
        <v/>
      </c>
      <c r="AS311" s="32">
        <f>IF($AR311="","",IF(ISNUMBER($AR311),IF($AR311&gt;=10000000,IFERROR(DATE(INT($AR311/10000),MOD(INT($AR311/100),100),MOD($AR311,100)),""),INT($AR311)),IFERROR(DATE(--LEFT(LEFT(SUBSTITUTE(SUBSTITUTE(SUBSTITUTE(SUBSTITUTE(TRIM($AR311),"-",""),".",""),"/","")," ",""),8),4),--MID(LEFT(SUBSTITUTE(SUBSTITUTE(SUBSTITUTE(SUBSTITUTE(TRIM($AR311),"-",""),".",""),"/","")," ",""),8),5,2),--MID(LEFT(SUBSTITUTE(SUBSTITUTE(SUBSTITUTE(SUBSTITUTE(TRIM($AR311),"-",""),".",""),"/","")," ",""),8),7,2)),"")))</f>
        <v/>
      </c>
      <c r="AT311" s="33">
        <f>IF($AS311="","",IF($F$6="",0,IF(ISNUMBER(INDEX($A:$AP,ROW(),$F$6)),INDEX($A:$AP,ROW(),$F$6),IFERROR(--SUBSTITUTE(SUBSTITUTE(TRIM(INDEX($A:$AP,ROW(),$F$6)),",",""),"원",""),0))))</f>
        <v/>
      </c>
      <c r="AU311" s="31">
        <f>IF($AS311="","",IF($AX311&lt;&gt;"",SUBSTITUTE(SUBSTITUTE($AX311,"-","")," ",""),"N:"&amp;$AV311))</f>
        <v/>
      </c>
      <c r="AV311" s="31">
        <f>IF(OR($AS311="",$E$6=""),"",TRIM(INDEX($A:$AP,ROW(),$E$6)&amp;""))</f>
        <v/>
      </c>
      <c r="AW311" s="31">
        <f>IF($AU311="","",IF(MATCH($AU311,$AU$8:$AU$2007,0)=ROW()-7,MAX($AW$7:$AW310)+1,""))</f>
        <v/>
      </c>
      <c r="AX311" s="31">
        <f>IF(OR($AS311="",$D$6=""),"",TRIM(INDEX($A:$AP,ROW(),$D$6)&amp;""))</f>
        <v/>
      </c>
      <c r="AY311" s="31">
        <f>IF($AU311="","",INDEX($AW$8:$AW$2007,MATCH($AU311,$AU$8:$AU$2007,0)))</f>
        <v/>
      </c>
      <c r="AZ311" s="31">
        <f>IF(OR($AS311="",$C$6=""),"",TRIM(INDEX($A:$AP,ROW(),$C$6)&amp;""))</f>
        <v/>
      </c>
      <c r="BA311" s="31">
        <f>IF($AZ311="","",IF(COUNTIF($AZ$8:$AZ311,$AZ311)&gt;1,1,0))</f>
        <v/>
      </c>
    </row>
    <row r="312">
      <c r="AR312" s="31">
        <f>IF(OR($A$5="",$B$6="",ROW()&lt;$A$5),"",IF(INDEX($A:$AP,ROW(),$B$6)="","",INDEX($A:$AP,ROW(),$B$6)))</f>
        <v/>
      </c>
      <c r="AS312" s="32">
        <f>IF($AR312="","",IF(ISNUMBER($AR312),IF($AR312&gt;=10000000,IFERROR(DATE(INT($AR312/10000),MOD(INT($AR312/100),100),MOD($AR312,100)),""),INT($AR312)),IFERROR(DATE(--LEFT(LEFT(SUBSTITUTE(SUBSTITUTE(SUBSTITUTE(SUBSTITUTE(TRIM($AR312),"-",""),".",""),"/","")," ",""),8),4),--MID(LEFT(SUBSTITUTE(SUBSTITUTE(SUBSTITUTE(SUBSTITUTE(TRIM($AR312),"-",""),".",""),"/","")," ",""),8),5,2),--MID(LEFT(SUBSTITUTE(SUBSTITUTE(SUBSTITUTE(SUBSTITUTE(TRIM($AR312),"-",""),".",""),"/","")," ",""),8),7,2)),"")))</f>
        <v/>
      </c>
      <c r="AT312" s="33">
        <f>IF($AS312="","",IF($F$6="",0,IF(ISNUMBER(INDEX($A:$AP,ROW(),$F$6)),INDEX($A:$AP,ROW(),$F$6),IFERROR(--SUBSTITUTE(SUBSTITUTE(TRIM(INDEX($A:$AP,ROW(),$F$6)),",",""),"원",""),0))))</f>
        <v/>
      </c>
      <c r="AU312" s="31">
        <f>IF($AS312="","",IF($AX312&lt;&gt;"",SUBSTITUTE(SUBSTITUTE($AX312,"-","")," ",""),"N:"&amp;$AV312))</f>
        <v/>
      </c>
      <c r="AV312" s="31">
        <f>IF(OR($AS312="",$E$6=""),"",TRIM(INDEX($A:$AP,ROW(),$E$6)&amp;""))</f>
        <v/>
      </c>
      <c r="AW312" s="31">
        <f>IF($AU312="","",IF(MATCH($AU312,$AU$8:$AU$2007,0)=ROW()-7,MAX($AW$7:$AW311)+1,""))</f>
        <v/>
      </c>
      <c r="AX312" s="31">
        <f>IF(OR($AS312="",$D$6=""),"",TRIM(INDEX($A:$AP,ROW(),$D$6)&amp;""))</f>
        <v/>
      </c>
      <c r="AY312" s="31">
        <f>IF($AU312="","",INDEX($AW$8:$AW$2007,MATCH($AU312,$AU$8:$AU$2007,0)))</f>
        <v/>
      </c>
      <c r="AZ312" s="31">
        <f>IF(OR($AS312="",$C$6=""),"",TRIM(INDEX($A:$AP,ROW(),$C$6)&amp;""))</f>
        <v/>
      </c>
      <c r="BA312" s="31">
        <f>IF($AZ312="","",IF(COUNTIF($AZ$8:$AZ312,$AZ312)&gt;1,1,0))</f>
        <v/>
      </c>
    </row>
    <row r="313">
      <c r="AR313" s="31">
        <f>IF(OR($A$5="",$B$6="",ROW()&lt;$A$5),"",IF(INDEX($A:$AP,ROW(),$B$6)="","",INDEX($A:$AP,ROW(),$B$6)))</f>
        <v/>
      </c>
      <c r="AS313" s="32">
        <f>IF($AR313="","",IF(ISNUMBER($AR313),IF($AR313&gt;=10000000,IFERROR(DATE(INT($AR313/10000),MOD(INT($AR313/100),100),MOD($AR313,100)),""),INT($AR313)),IFERROR(DATE(--LEFT(LEFT(SUBSTITUTE(SUBSTITUTE(SUBSTITUTE(SUBSTITUTE(TRIM($AR313),"-",""),".",""),"/","")," ",""),8),4),--MID(LEFT(SUBSTITUTE(SUBSTITUTE(SUBSTITUTE(SUBSTITUTE(TRIM($AR313),"-",""),".",""),"/","")," ",""),8),5,2),--MID(LEFT(SUBSTITUTE(SUBSTITUTE(SUBSTITUTE(SUBSTITUTE(TRIM($AR313),"-",""),".",""),"/","")," ",""),8),7,2)),"")))</f>
        <v/>
      </c>
      <c r="AT313" s="33">
        <f>IF($AS313="","",IF($F$6="",0,IF(ISNUMBER(INDEX($A:$AP,ROW(),$F$6)),INDEX($A:$AP,ROW(),$F$6),IFERROR(--SUBSTITUTE(SUBSTITUTE(TRIM(INDEX($A:$AP,ROW(),$F$6)),",",""),"원",""),0))))</f>
        <v/>
      </c>
      <c r="AU313" s="31">
        <f>IF($AS313="","",IF($AX313&lt;&gt;"",SUBSTITUTE(SUBSTITUTE($AX313,"-","")," ",""),"N:"&amp;$AV313))</f>
        <v/>
      </c>
      <c r="AV313" s="31">
        <f>IF(OR($AS313="",$E$6=""),"",TRIM(INDEX($A:$AP,ROW(),$E$6)&amp;""))</f>
        <v/>
      </c>
      <c r="AW313" s="31">
        <f>IF($AU313="","",IF(MATCH($AU313,$AU$8:$AU$2007,0)=ROW()-7,MAX($AW$7:$AW312)+1,""))</f>
        <v/>
      </c>
      <c r="AX313" s="31">
        <f>IF(OR($AS313="",$D$6=""),"",TRIM(INDEX($A:$AP,ROW(),$D$6)&amp;""))</f>
        <v/>
      </c>
      <c r="AY313" s="31">
        <f>IF($AU313="","",INDEX($AW$8:$AW$2007,MATCH($AU313,$AU$8:$AU$2007,0)))</f>
        <v/>
      </c>
      <c r="AZ313" s="31">
        <f>IF(OR($AS313="",$C$6=""),"",TRIM(INDEX($A:$AP,ROW(),$C$6)&amp;""))</f>
        <v/>
      </c>
      <c r="BA313" s="31">
        <f>IF($AZ313="","",IF(COUNTIF($AZ$8:$AZ313,$AZ313)&gt;1,1,0))</f>
        <v/>
      </c>
    </row>
    <row r="314">
      <c r="AR314" s="31">
        <f>IF(OR($A$5="",$B$6="",ROW()&lt;$A$5),"",IF(INDEX($A:$AP,ROW(),$B$6)="","",INDEX($A:$AP,ROW(),$B$6)))</f>
        <v/>
      </c>
      <c r="AS314" s="32">
        <f>IF($AR314="","",IF(ISNUMBER($AR314),IF($AR314&gt;=10000000,IFERROR(DATE(INT($AR314/10000),MOD(INT($AR314/100),100),MOD($AR314,100)),""),INT($AR314)),IFERROR(DATE(--LEFT(LEFT(SUBSTITUTE(SUBSTITUTE(SUBSTITUTE(SUBSTITUTE(TRIM($AR314),"-",""),".",""),"/","")," ",""),8),4),--MID(LEFT(SUBSTITUTE(SUBSTITUTE(SUBSTITUTE(SUBSTITUTE(TRIM($AR314),"-",""),".",""),"/","")," ",""),8),5,2),--MID(LEFT(SUBSTITUTE(SUBSTITUTE(SUBSTITUTE(SUBSTITUTE(TRIM($AR314),"-",""),".",""),"/","")," ",""),8),7,2)),"")))</f>
        <v/>
      </c>
      <c r="AT314" s="33">
        <f>IF($AS314="","",IF($F$6="",0,IF(ISNUMBER(INDEX($A:$AP,ROW(),$F$6)),INDEX($A:$AP,ROW(),$F$6),IFERROR(--SUBSTITUTE(SUBSTITUTE(TRIM(INDEX($A:$AP,ROW(),$F$6)),",",""),"원",""),0))))</f>
        <v/>
      </c>
      <c r="AU314" s="31">
        <f>IF($AS314="","",IF($AX314&lt;&gt;"",SUBSTITUTE(SUBSTITUTE($AX314,"-","")," ",""),"N:"&amp;$AV314))</f>
        <v/>
      </c>
      <c r="AV314" s="31">
        <f>IF(OR($AS314="",$E$6=""),"",TRIM(INDEX($A:$AP,ROW(),$E$6)&amp;""))</f>
        <v/>
      </c>
      <c r="AW314" s="31">
        <f>IF($AU314="","",IF(MATCH($AU314,$AU$8:$AU$2007,0)=ROW()-7,MAX($AW$7:$AW313)+1,""))</f>
        <v/>
      </c>
      <c r="AX314" s="31">
        <f>IF(OR($AS314="",$D$6=""),"",TRIM(INDEX($A:$AP,ROW(),$D$6)&amp;""))</f>
        <v/>
      </c>
      <c r="AY314" s="31">
        <f>IF($AU314="","",INDEX($AW$8:$AW$2007,MATCH($AU314,$AU$8:$AU$2007,0)))</f>
        <v/>
      </c>
      <c r="AZ314" s="31">
        <f>IF(OR($AS314="",$C$6=""),"",TRIM(INDEX($A:$AP,ROW(),$C$6)&amp;""))</f>
        <v/>
      </c>
      <c r="BA314" s="31">
        <f>IF($AZ314="","",IF(COUNTIF($AZ$8:$AZ314,$AZ314)&gt;1,1,0))</f>
        <v/>
      </c>
    </row>
    <row r="315">
      <c r="AR315" s="31">
        <f>IF(OR($A$5="",$B$6="",ROW()&lt;$A$5),"",IF(INDEX($A:$AP,ROW(),$B$6)="","",INDEX($A:$AP,ROW(),$B$6)))</f>
        <v/>
      </c>
      <c r="AS315" s="32">
        <f>IF($AR315="","",IF(ISNUMBER($AR315),IF($AR315&gt;=10000000,IFERROR(DATE(INT($AR315/10000),MOD(INT($AR315/100),100),MOD($AR315,100)),""),INT($AR315)),IFERROR(DATE(--LEFT(LEFT(SUBSTITUTE(SUBSTITUTE(SUBSTITUTE(SUBSTITUTE(TRIM($AR315),"-",""),".",""),"/","")," ",""),8),4),--MID(LEFT(SUBSTITUTE(SUBSTITUTE(SUBSTITUTE(SUBSTITUTE(TRIM($AR315),"-",""),".",""),"/","")," ",""),8),5,2),--MID(LEFT(SUBSTITUTE(SUBSTITUTE(SUBSTITUTE(SUBSTITUTE(TRIM($AR315),"-",""),".",""),"/","")," ",""),8),7,2)),"")))</f>
        <v/>
      </c>
      <c r="AT315" s="33">
        <f>IF($AS315="","",IF($F$6="",0,IF(ISNUMBER(INDEX($A:$AP,ROW(),$F$6)),INDEX($A:$AP,ROW(),$F$6),IFERROR(--SUBSTITUTE(SUBSTITUTE(TRIM(INDEX($A:$AP,ROW(),$F$6)),",",""),"원",""),0))))</f>
        <v/>
      </c>
      <c r="AU315" s="31">
        <f>IF($AS315="","",IF($AX315&lt;&gt;"",SUBSTITUTE(SUBSTITUTE($AX315,"-","")," ",""),"N:"&amp;$AV315))</f>
        <v/>
      </c>
      <c r="AV315" s="31">
        <f>IF(OR($AS315="",$E$6=""),"",TRIM(INDEX($A:$AP,ROW(),$E$6)&amp;""))</f>
        <v/>
      </c>
      <c r="AW315" s="31">
        <f>IF($AU315="","",IF(MATCH($AU315,$AU$8:$AU$2007,0)=ROW()-7,MAX($AW$7:$AW314)+1,""))</f>
        <v/>
      </c>
      <c r="AX315" s="31">
        <f>IF(OR($AS315="",$D$6=""),"",TRIM(INDEX($A:$AP,ROW(),$D$6)&amp;""))</f>
        <v/>
      </c>
      <c r="AY315" s="31">
        <f>IF($AU315="","",INDEX($AW$8:$AW$2007,MATCH($AU315,$AU$8:$AU$2007,0)))</f>
        <v/>
      </c>
      <c r="AZ315" s="31">
        <f>IF(OR($AS315="",$C$6=""),"",TRIM(INDEX($A:$AP,ROW(),$C$6)&amp;""))</f>
        <v/>
      </c>
      <c r="BA315" s="31">
        <f>IF($AZ315="","",IF(COUNTIF($AZ$8:$AZ315,$AZ315)&gt;1,1,0))</f>
        <v/>
      </c>
    </row>
    <row r="316">
      <c r="AR316" s="31">
        <f>IF(OR($A$5="",$B$6="",ROW()&lt;$A$5),"",IF(INDEX($A:$AP,ROW(),$B$6)="","",INDEX($A:$AP,ROW(),$B$6)))</f>
        <v/>
      </c>
      <c r="AS316" s="32">
        <f>IF($AR316="","",IF(ISNUMBER($AR316),IF($AR316&gt;=10000000,IFERROR(DATE(INT($AR316/10000),MOD(INT($AR316/100),100),MOD($AR316,100)),""),INT($AR316)),IFERROR(DATE(--LEFT(LEFT(SUBSTITUTE(SUBSTITUTE(SUBSTITUTE(SUBSTITUTE(TRIM($AR316),"-",""),".",""),"/","")," ",""),8),4),--MID(LEFT(SUBSTITUTE(SUBSTITUTE(SUBSTITUTE(SUBSTITUTE(TRIM($AR316),"-",""),".",""),"/","")," ",""),8),5,2),--MID(LEFT(SUBSTITUTE(SUBSTITUTE(SUBSTITUTE(SUBSTITUTE(TRIM($AR316),"-",""),".",""),"/","")," ",""),8),7,2)),"")))</f>
        <v/>
      </c>
      <c r="AT316" s="33">
        <f>IF($AS316="","",IF($F$6="",0,IF(ISNUMBER(INDEX($A:$AP,ROW(),$F$6)),INDEX($A:$AP,ROW(),$F$6),IFERROR(--SUBSTITUTE(SUBSTITUTE(TRIM(INDEX($A:$AP,ROW(),$F$6)),",",""),"원",""),0))))</f>
        <v/>
      </c>
      <c r="AU316" s="31">
        <f>IF($AS316="","",IF($AX316&lt;&gt;"",SUBSTITUTE(SUBSTITUTE($AX316,"-","")," ",""),"N:"&amp;$AV316))</f>
        <v/>
      </c>
      <c r="AV316" s="31">
        <f>IF(OR($AS316="",$E$6=""),"",TRIM(INDEX($A:$AP,ROW(),$E$6)&amp;""))</f>
        <v/>
      </c>
      <c r="AW316" s="31">
        <f>IF($AU316="","",IF(MATCH($AU316,$AU$8:$AU$2007,0)=ROW()-7,MAX($AW$7:$AW315)+1,""))</f>
        <v/>
      </c>
      <c r="AX316" s="31">
        <f>IF(OR($AS316="",$D$6=""),"",TRIM(INDEX($A:$AP,ROW(),$D$6)&amp;""))</f>
        <v/>
      </c>
      <c r="AY316" s="31">
        <f>IF($AU316="","",INDEX($AW$8:$AW$2007,MATCH($AU316,$AU$8:$AU$2007,0)))</f>
        <v/>
      </c>
      <c r="AZ316" s="31">
        <f>IF(OR($AS316="",$C$6=""),"",TRIM(INDEX($A:$AP,ROW(),$C$6)&amp;""))</f>
        <v/>
      </c>
      <c r="BA316" s="31">
        <f>IF($AZ316="","",IF(COUNTIF($AZ$8:$AZ316,$AZ316)&gt;1,1,0))</f>
        <v/>
      </c>
    </row>
    <row r="317">
      <c r="AR317" s="31">
        <f>IF(OR($A$5="",$B$6="",ROW()&lt;$A$5),"",IF(INDEX($A:$AP,ROW(),$B$6)="","",INDEX($A:$AP,ROW(),$B$6)))</f>
        <v/>
      </c>
      <c r="AS317" s="32">
        <f>IF($AR317="","",IF(ISNUMBER($AR317),IF($AR317&gt;=10000000,IFERROR(DATE(INT($AR317/10000),MOD(INT($AR317/100),100),MOD($AR317,100)),""),INT($AR317)),IFERROR(DATE(--LEFT(LEFT(SUBSTITUTE(SUBSTITUTE(SUBSTITUTE(SUBSTITUTE(TRIM($AR317),"-",""),".",""),"/","")," ",""),8),4),--MID(LEFT(SUBSTITUTE(SUBSTITUTE(SUBSTITUTE(SUBSTITUTE(TRIM($AR317),"-",""),".",""),"/","")," ",""),8),5,2),--MID(LEFT(SUBSTITUTE(SUBSTITUTE(SUBSTITUTE(SUBSTITUTE(TRIM($AR317),"-",""),".",""),"/","")," ",""),8),7,2)),"")))</f>
        <v/>
      </c>
      <c r="AT317" s="33">
        <f>IF($AS317="","",IF($F$6="",0,IF(ISNUMBER(INDEX($A:$AP,ROW(),$F$6)),INDEX($A:$AP,ROW(),$F$6),IFERROR(--SUBSTITUTE(SUBSTITUTE(TRIM(INDEX($A:$AP,ROW(),$F$6)),",",""),"원",""),0))))</f>
        <v/>
      </c>
      <c r="AU317" s="31">
        <f>IF($AS317="","",IF($AX317&lt;&gt;"",SUBSTITUTE(SUBSTITUTE($AX317,"-","")," ",""),"N:"&amp;$AV317))</f>
        <v/>
      </c>
      <c r="AV317" s="31">
        <f>IF(OR($AS317="",$E$6=""),"",TRIM(INDEX($A:$AP,ROW(),$E$6)&amp;""))</f>
        <v/>
      </c>
      <c r="AW317" s="31">
        <f>IF($AU317="","",IF(MATCH($AU317,$AU$8:$AU$2007,0)=ROW()-7,MAX($AW$7:$AW316)+1,""))</f>
        <v/>
      </c>
      <c r="AX317" s="31">
        <f>IF(OR($AS317="",$D$6=""),"",TRIM(INDEX($A:$AP,ROW(),$D$6)&amp;""))</f>
        <v/>
      </c>
      <c r="AY317" s="31">
        <f>IF($AU317="","",INDEX($AW$8:$AW$2007,MATCH($AU317,$AU$8:$AU$2007,0)))</f>
        <v/>
      </c>
      <c r="AZ317" s="31">
        <f>IF(OR($AS317="",$C$6=""),"",TRIM(INDEX($A:$AP,ROW(),$C$6)&amp;""))</f>
        <v/>
      </c>
      <c r="BA317" s="31">
        <f>IF($AZ317="","",IF(COUNTIF($AZ$8:$AZ317,$AZ317)&gt;1,1,0))</f>
        <v/>
      </c>
    </row>
    <row r="318">
      <c r="AR318" s="31">
        <f>IF(OR($A$5="",$B$6="",ROW()&lt;$A$5),"",IF(INDEX($A:$AP,ROW(),$B$6)="","",INDEX($A:$AP,ROW(),$B$6)))</f>
        <v/>
      </c>
      <c r="AS318" s="32">
        <f>IF($AR318="","",IF(ISNUMBER($AR318),IF($AR318&gt;=10000000,IFERROR(DATE(INT($AR318/10000),MOD(INT($AR318/100),100),MOD($AR318,100)),""),INT($AR318)),IFERROR(DATE(--LEFT(LEFT(SUBSTITUTE(SUBSTITUTE(SUBSTITUTE(SUBSTITUTE(TRIM($AR318),"-",""),".",""),"/","")," ",""),8),4),--MID(LEFT(SUBSTITUTE(SUBSTITUTE(SUBSTITUTE(SUBSTITUTE(TRIM($AR318),"-",""),".",""),"/","")," ",""),8),5,2),--MID(LEFT(SUBSTITUTE(SUBSTITUTE(SUBSTITUTE(SUBSTITUTE(TRIM($AR318),"-",""),".",""),"/","")," ",""),8),7,2)),"")))</f>
        <v/>
      </c>
      <c r="AT318" s="33">
        <f>IF($AS318="","",IF($F$6="",0,IF(ISNUMBER(INDEX($A:$AP,ROW(),$F$6)),INDEX($A:$AP,ROW(),$F$6),IFERROR(--SUBSTITUTE(SUBSTITUTE(TRIM(INDEX($A:$AP,ROW(),$F$6)),",",""),"원",""),0))))</f>
        <v/>
      </c>
      <c r="AU318" s="31">
        <f>IF($AS318="","",IF($AX318&lt;&gt;"",SUBSTITUTE(SUBSTITUTE($AX318,"-","")," ",""),"N:"&amp;$AV318))</f>
        <v/>
      </c>
      <c r="AV318" s="31">
        <f>IF(OR($AS318="",$E$6=""),"",TRIM(INDEX($A:$AP,ROW(),$E$6)&amp;""))</f>
        <v/>
      </c>
      <c r="AW318" s="31">
        <f>IF($AU318="","",IF(MATCH($AU318,$AU$8:$AU$2007,0)=ROW()-7,MAX($AW$7:$AW317)+1,""))</f>
        <v/>
      </c>
      <c r="AX318" s="31">
        <f>IF(OR($AS318="",$D$6=""),"",TRIM(INDEX($A:$AP,ROW(),$D$6)&amp;""))</f>
        <v/>
      </c>
      <c r="AY318" s="31">
        <f>IF($AU318="","",INDEX($AW$8:$AW$2007,MATCH($AU318,$AU$8:$AU$2007,0)))</f>
        <v/>
      </c>
      <c r="AZ318" s="31">
        <f>IF(OR($AS318="",$C$6=""),"",TRIM(INDEX($A:$AP,ROW(),$C$6)&amp;""))</f>
        <v/>
      </c>
      <c r="BA318" s="31">
        <f>IF($AZ318="","",IF(COUNTIF($AZ$8:$AZ318,$AZ318)&gt;1,1,0))</f>
        <v/>
      </c>
    </row>
    <row r="319">
      <c r="AR319" s="31">
        <f>IF(OR($A$5="",$B$6="",ROW()&lt;$A$5),"",IF(INDEX($A:$AP,ROW(),$B$6)="","",INDEX($A:$AP,ROW(),$B$6)))</f>
        <v/>
      </c>
      <c r="AS319" s="32">
        <f>IF($AR319="","",IF(ISNUMBER($AR319),IF($AR319&gt;=10000000,IFERROR(DATE(INT($AR319/10000),MOD(INT($AR319/100),100),MOD($AR319,100)),""),INT($AR319)),IFERROR(DATE(--LEFT(LEFT(SUBSTITUTE(SUBSTITUTE(SUBSTITUTE(SUBSTITUTE(TRIM($AR319),"-",""),".",""),"/","")," ",""),8),4),--MID(LEFT(SUBSTITUTE(SUBSTITUTE(SUBSTITUTE(SUBSTITUTE(TRIM($AR319),"-",""),".",""),"/","")," ",""),8),5,2),--MID(LEFT(SUBSTITUTE(SUBSTITUTE(SUBSTITUTE(SUBSTITUTE(TRIM($AR319),"-",""),".",""),"/","")," ",""),8),7,2)),"")))</f>
        <v/>
      </c>
      <c r="AT319" s="33">
        <f>IF($AS319="","",IF($F$6="",0,IF(ISNUMBER(INDEX($A:$AP,ROW(),$F$6)),INDEX($A:$AP,ROW(),$F$6),IFERROR(--SUBSTITUTE(SUBSTITUTE(TRIM(INDEX($A:$AP,ROW(),$F$6)),",",""),"원",""),0))))</f>
        <v/>
      </c>
      <c r="AU319" s="31">
        <f>IF($AS319="","",IF($AX319&lt;&gt;"",SUBSTITUTE(SUBSTITUTE($AX319,"-","")," ",""),"N:"&amp;$AV319))</f>
        <v/>
      </c>
      <c r="AV319" s="31">
        <f>IF(OR($AS319="",$E$6=""),"",TRIM(INDEX($A:$AP,ROW(),$E$6)&amp;""))</f>
        <v/>
      </c>
      <c r="AW319" s="31">
        <f>IF($AU319="","",IF(MATCH($AU319,$AU$8:$AU$2007,0)=ROW()-7,MAX($AW$7:$AW318)+1,""))</f>
        <v/>
      </c>
      <c r="AX319" s="31">
        <f>IF(OR($AS319="",$D$6=""),"",TRIM(INDEX($A:$AP,ROW(),$D$6)&amp;""))</f>
        <v/>
      </c>
      <c r="AY319" s="31">
        <f>IF($AU319="","",INDEX($AW$8:$AW$2007,MATCH($AU319,$AU$8:$AU$2007,0)))</f>
        <v/>
      </c>
      <c r="AZ319" s="31">
        <f>IF(OR($AS319="",$C$6=""),"",TRIM(INDEX($A:$AP,ROW(),$C$6)&amp;""))</f>
        <v/>
      </c>
      <c r="BA319" s="31">
        <f>IF($AZ319="","",IF(COUNTIF($AZ$8:$AZ319,$AZ319)&gt;1,1,0))</f>
        <v/>
      </c>
    </row>
    <row r="320">
      <c r="AR320" s="31">
        <f>IF(OR($A$5="",$B$6="",ROW()&lt;$A$5),"",IF(INDEX($A:$AP,ROW(),$B$6)="","",INDEX($A:$AP,ROW(),$B$6)))</f>
        <v/>
      </c>
      <c r="AS320" s="32">
        <f>IF($AR320="","",IF(ISNUMBER($AR320),IF($AR320&gt;=10000000,IFERROR(DATE(INT($AR320/10000),MOD(INT($AR320/100),100),MOD($AR320,100)),""),INT($AR320)),IFERROR(DATE(--LEFT(LEFT(SUBSTITUTE(SUBSTITUTE(SUBSTITUTE(SUBSTITUTE(TRIM($AR320),"-",""),".",""),"/","")," ",""),8),4),--MID(LEFT(SUBSTITUTE(SUBSTITUTE(SUBSTITUTE(SUBSTITUTE(TRIM($AR320),"-",""),".",""),"/","")," ",""),8),5,2),--MID(LEFT(SUBSTITUTE(SUBSTITUTE(SUBSTITUTE(SUBSTITUTE(TRIM($AR320),"-",""),".",""),"/","")," ",""),8),7,2)),"")))</f>
        <v/>
      </c>
      <c r="AT320" s="33">
        <f>IF($AS320="","",IF($F$6="",0,IF(ISNUMBER(INDEX($A:$AP,ROW(),$F$6)),INDEX($A:$AP,ROW(),$F$6),IFERROR(--SUBSTITUTE(SUBSTITUTE(TRIM(INDEX($A:$AP,ROW(),$F$6)),",",""),"원",""),0))))</f>
        <v/>
      </c>
      <c r="AU320" s="31">
        <f>IF($AS320="","",IF($AX320&lt;&gt;"",SUBSTITUTE(SUBSTITUTE($AX320,"-","")," ",""),"N:"&amp;$AV320))</f>
        <v/>
      </c>
      <c r="AV320" s="31">
        <f>IF(OR($AS320="",$E$6=""),"",TRIM(INDEX($A:$AP,ROW(),$E$6)&amp;""))</f>
        <v/>
      </c>
      <c r="AW320" s="31">
        <f>IF($AU320="","",IF(MATCH($AU320,$AU$8:$AU$2007,0)=ROW()-7,MAX($AW$7:$AW319)+1,""))</f>
        <v/>
      </c>
      <c r="AX320" s="31">
        <f>IF(OR($AS320="",$D$6=""),"",TRIM(INDEX($A:$AP,ROW(),$D$6)&amp;""))</f>
        <v/>
      </c>
      <c r="AY320" s="31">
        <f>IF($AU320="","",INDEX($AW$8:$AW$2007,MATCH($AU320,$AU$8:$AU$2007,0)))</f>
        <v/>
      </c>
      <c r="AZ320" s="31">
        <f>IF(OR($AS320="",$C$6=""),"",TRIM(INDEX($A:$AP,ROW(),$C$6)&amp;""))</f>
        <v/>
      </c>
      <c r="BA320" s="31">
        <f>IF($AZ320="","",IF(COUNTIF($AZ$8:$AZ320,$AZ320)&gt;1,1,0))</f>
        <v/>
      </c>
    </row>
    <row r="321">
      <c r="AR321" s="31">
        <f>IF(OR($A$5="",$B$6="",ROW()&lt;$A$5),"",IF(INDEX($A:$AP,ROW(),$B$6)="","",INDEX($A:$AP,ROW(),$B$6)))</f>
        <v/>
      </c>
      <c r="AS321" s="32">
        <f>IF($AR321="","",IF(ISNUMBER($AR321),IF($AR321&gt;=10000000,IFERROR(DATE(INT($AR321/10000),MOD(INT($AR321/100),100),MOD($AR321,100)),""),INT($AR321)),IFERROR(DATE(--LEFT(LEFT(SUBSTITUTE(SUBSTITUTE(SUBSTITUTE(SUBSTITUTE(TRIM($AR321),"-",""),".",""),"/","")," ",""),8),4),--MID(LEFT(SUBSTITUTE(SUBSTITUTE(SUBSTITUTE(SUBSTITUTE(TRIM($AR321),"-",""),".",""),"/","")," ",""),8),5,2),--MID(LEFT(SUBSTITUTE(SUBSTITUTE(SUBSTITUTE(SUBSTITUTE(TRIM($AR321),"-",""),".",""),"/","")," ",""),8),7,2)),"")))</f>
        <v/>
      </c>
      <c r="AT321" s="33">
        <f>IF($AS321="","",IF($F$6="",0,IF(ISNUMBER(INDEX($A:$AP,ROW(),$F$6)),INDEX($A:$AP,ROW(),$F$6),IFERROR(--SUBSTITUTE(SUBSTITUTE(TRIM(INDEX($A:$AP,ROW(),$F$6)),",",""),"원",""),0))))</f>
        <v/>
      </c>
      <c r="AU321" s="31">
        <f>IF($AS321="","",IF($AX321&lt;&gt;"",SUBSTITUTE(SUBSTITUTE($AX321,"-","")," ",""),"N:"&amp;$AV321))</f>
        <v/>
      </c>
      <c r="AV321" s="31">
        <f>IF(OR($AS321="",$E$6=""),"",TRIM(INDEX($A:$AP,ROW(),$E$6)&amp;""))</f>
        <v/>
      </c>
      <c r="AW321" s="31">
        <f>IF($AU321="","",IF(MATCH($AU321,$AU$8:$AU$2007,0)=ROW()-7,MAX($AW$7:$AW320)+1,""))</f>
        <v/>
      </c>
      <c r="AX321" s="31">
        <f>IF(OR($AS321="",$D$6=""),"",TRIM(INDEX($A:$AP,ROW(),$D$6)&amp;""))</f>
        <v/>
      </c>
      <c r="AY321" s="31">
        <f>IF($AU321="","",INDEX($AW$8:$AW$2007,MATCH($AU321,$AU$8:$AU$2007,0)))</f>
        <v/>
      </c>
      <c r="AZ321" s="31">
        <f>IF(OR($AS321="",$C$6=""),"",TRIM(INDEX($A:$AP,ROW(),$C$6)&amp;""))</f>
        <v/>
      </c>
      <c r="BA321" s="31">
        <f>IF($AZ321="","",IF(COUNTIF($AZ$8:$AZ321,$AZ321)&gt;1,1,0))</f>
        <v/>
      </c>
    </row>
    <row r="322">
      <c r="AR322" s="31">
        <f>IF(OR($A$5="",$B$6="",ROW()&lt;$A$5),"",IF(INDEX($A:$AP,ROW(),$B$6)="","",INDEX($A:$AP,ROW(),$B$6)))</f>
        <v/>
      </c>
      <c r="AS322" s="32">
        <f>IF($AR322="","",IF(ISNUMBER($AR322),IF($AR322&gt;=10000000,IFERROR(DATE(INT($AR322/10000),MOD(INT($AR322/100),100),MOD($AR322,100)),""),INT($AR322)),IFERROR(DATE(--LEFT(LEFT(SUBSTITUTE(SUBSTITUTE(SUBSTITUTE(SUBSTITUTE(TRIM($AR322),"-",""),".",""),"/","")," ",""),8),4),--MID(LEFT(SUBSTITUTE(SUBSTITUTE(SUBSTITUTE(SUBSTITUTE(TRIM($AR322),"-",""),".",""),"/","")," ",""),8),5,2),--MID(LEFT(SUBSTITUTE(SUBSTITUTE(SUBSTITUTE(SUBSTITUTE(TRIM($AR322),"-",""),".",""),"/","")," ",""),8),7,2)),"")))</f>
        <v/>
      </c>
      <c r="AT322" s="33">
        <f>IF($AS322="","",IF($F$6="",0,IF(ISNUMBER(INDEX($A:$AP,ROW(),$F$6)),INDEX($A:$AP,ROW(),$F$6),IFERROR(--SUBSTITUTE(SUBSTITUTE(TRIM(INDEX($A:$AP,ROW(),$F$6)),",",""),"원",""),0))))</f>
        <v/>
      </c>
      <c r="AU322" s="31">
        <f>IF($AS322="","",IF($AX322&lt;&gt;"",SUBSTITUTE(SUBSTITUTE($AX322,"-","")," ",""),"N:"&amp;$AV322))</f>
        <v/>
      </c>
      <c r="AV322" s="31">
        <f>IF(OR($AS322="",$E$6=""),"",TRIM(INDEX($A:$AP,ROW(),$E$6)&amp;""))</f>
        <v/>
      </c>
      <c r="AW322" s="31">
        <f>IF($AU322="","",IF(MATCH($AU322,$AU$8:$AU$2007,0)=ROW()-7,MAX($AW$7:$AW321)+1,""))</f>
        <v/>
      </c>
      <c r="AX322" s="31">
        <f>IF(OR($AS322="",$D$6=""),"",TRIM(INDEX($A:$AP,ROW(),$D$6)&amp;""))</f>
        <v/>
      </c>
      <c r="AY322" s="31">
        <f>IF($AU322="","",INDEX($AW$8:$AW$2007,MATCH($AU322,$AU$8:$AU$2007,0)))</f>
        <v/>
      </c>
      <c r="AZ322" s="31">
        <f>IF(OR($AS322="",$C$6=""),"",TRIM(INDEX($A:$AP,ROW(),$C$6)&amp;""))</f>
        <v/>
      </c>
      <c r="BA322" s="31">
        <f>IF($AZ322="","",IF(COUNTIF($AZ$8:$AZ322,$AZ322)&gt;1,1,0))</f>
        <v/>
      </c>
    </row>
    <row r="323">
      <c r="AR323" s="31">
        <f>IF(OR($A$5="",$B$6="",ROW()&lt;$A$5),"",IF(INDEX($A:$AP,ROW(),$B$6)="","",INDEX($A:$AP,ROW(),$B$6)))</f>
        <v/>
      </c>
      <c r="AS323" s="32">
        <f>IF($AR323="","",IF(ISNUMBER($AR323),IF($AR323&gt;=10000000,IFERROR(DATE(INT($AR323/10000),MOD(INT($AR323/100),100),MOD($AR323,100)),""),INT($AR323)),IFERROR(DATE(--LEFT(LEFT(SUBSTITUTE(SUBSTITUTE(SUBSTITUTE(SUBSTITUTE(TRIM($AR323),"-",""),".",""),"/","")," ",""),8),4),--MID(LEFT(SUBSTITUTE(SUBSTITUTE(SUBSTITUTE(SUBSTITUTE(TRIM($AR323),"-",""),".",""),"/","")," ",""),8),5,2),--MID(LEFT(SUBSTITUTE(SUBSTITUTE(SUBSTITUTE(SUBSTITUTE(TRIM($AR323),"-",""),".",""),"/","")," ",""),8),7,2)),"")))</f>
        <v/>
      </c>
      <c r="AT323" s="33">
        <f>IF($AS323="","",IF($F$6="",0,IF(ISNUMBER(INDEX($A:$AP,ROW(),$F$6)),INDEX($A:$AP,ROW(),$F$6),IFERROR(--SUBSTITUTE(SUBSTITUTE(TRIM(INDEX($A:$AP,ROW(),$F$6)),",",""),"원",""),0))))</f>
        <v/>
      </c>
      <c r="AU323" s="31">
        <f>IF($AS323="","",IF($AX323&lt;&gt;"",SUBSTITUTE(SUBSTITUTE($AX323,"-","")," ",""),"N:"&amp;$AV323))</f>
        <v/>
      </c>
      <c r="AV323" s="31">
        <f>IF(OR($AS323="",$E$6=""),"",TRIM(INDEX($A:$AP,ROW(),$E$6)&amp;""))</f>
        <v/>
      </c>
      <c r="AW323" s="31">
        <f>IF($AU323="","",IF(MATCH($AU323,$AU$8:$AU$2007,0)=ROW()-7,MAX($AW$7:$AW322)+1,""))</f>
        <v/>
      </c>
      <c r="AX323" s="31">
        <f>IF(OR($AS323="",$D$6=""),"",TRIM(INDEX($A:$AP,ROW(),$D$6)&amp;""))</f>
        <v/>
      </c>
      <c r="AY323" s="31">
        <f>IF($AU323="","",INDEX($AW$8:$AW$2007,MATCH($AU323,$AU$8:$AU$2007,0)))</f>
        <v/>
      </c>
      <c r="AZ323" s="31">
        <f>IF(OR($AS323="",$C$6=""),"",TRIM(INDEX($A:$AP,ROW(),$C$6)&amp;""))</f>
        <v/>
      </c>
      <c r="BA323" s="31">
        <f>IF($AZ323="","",IF(COUNTIF($AZ$8:$AZ323,$AZ323)&gt;1,1,0))</f>
        <v/>
      </c>
    </row>
    <row r="324">
      <c r="AR324" s="31">
        <f>IF(OR($A$5="",$B$6="",ROW()&lt;$A$5),"",IF(INDEX($A:$AP,ROW(),$B$6)="","",INDEX($A:$AP,ROW(),$B$6)))</f>
        <v/>
      </c>
      <c r="AS324" s="32">
        <f>IF($AR324="","",IF(ISNUMBER($AR324),IF($AR324&gt;=10000000,IFERROR(DATE(INT($AR324/10000),MOD(INT($AR324/100),100),MOD($AR324,100)),""),INT($AR324)),IFERROR(DATE(--LEFT(LEFT(SUBSTITUTE(SUBSTITUTE(SUBSTITUTE(SUBSTITUTE(TRIM($AR324),"-",""),".",""),"/","")," ",""),8),4),--MID(LEFT(SUBSTITUTE(SUBSTITUTE(SUBSTITUTE(SUBSTITUTE(TRIM($AR324),"-",""),".",""),"/","")," ",""),8),5,2),--MID(LEFT(SUBSTITUTE(SUBSTITUTE(SUBSTITUTE(SUBSTITUTE(TRIM($AR324),"-",""),".",""),"/","")," ",""),8),7,2)),"")))</f>
        <v/>
      </c>
      <c r="AT324" s="33">
        <f>IF($AS324="","",IF($F$6="",0,IF(ISNUMBER(INDEX($A:$AP,ROW(),$F$6)),INDEX($A:$AP,ROW(),$F$6),IFERROR(--SUBSTITUTE(SUBSTITUTE(TRIM(INDEX($A:$AP,ROW(),$F$6)),",",""),"원",""),0))))</f>
        <v/>
      </c>
      <c r="AU324" s="31">
        <f>IF($AS324="","",IF($AX324&lt;&gt;"",SUBSTITUTE(SUBSTITUTE($AX324,"-","")," ",""),"N:"&amp;$AV324))</f>
        <v/>
      </c>
      <c r="AV324" s="31">
        <f>IF(OR($AS324="",$E$6=""),"",TRIM(INDEX($A:$AP,ROW(),$E$6)&amp;""))</f>
        <v/>
      </c>
      <c r="AW324" s="31">
        <f>IF($AU324="","",IF(MATCH($AU324,$AU$8:$AU$2007,0)=ROW()-7,MAX($AW$7:$AW323)+1,""))</f>
        <v/>
      </c>
      <c r="AX324" s="31">
        <f>IF(OR($AS324="",$D$6=""),"",TRIM(INDEX($A:$AP,ROW(),$D$6)&amp;""))</f>
        <v/>
      </c>
      <c r="AY324" s="31">
        <f>IF($AU324="","",INDEX($AW$8:$AW$2007,MATCH($AU324,$AU$8:$AU$2007,0)))</f>
        <v/>
      </c>
      <c r="AZ324" s="31">
        <f>IF(OR($AS324="",$C$6=""),"",TRIM(INDEX($A:$AP,ROW(),$C$6)&amp;""))</f>
        <v/>
      </c>
      <c r="BA324" s="31">
        <f>IF($AZ324="","",IF(COUNTIF($AZ$8:$AZ324,$AZ324)&gt;1,1,0))</f>
        <v/>
      </c>
    </row>
    <row r="325">
      <c r="AR325" s="31">
        <f>IF(OR($A$5="",$B$6="",ROW()&lt;$A$5),"",IF(INDEX($A:$AP,ROW(),$B$6)="","",INDEX($A:$AP,ROW(),$B$6)))</f>
        <v/>
      </c>
      <c r="AS325" s="32">
        <f>IF($AR325="","",IF(ISNUMBER($AR325),IF($AR325&gt;=10000000,IFERROR(DATE(INT($AR325/10000),MOD(INT($AR325/100),100),MOD($AR325,100)),""),INT($AR325)),IFERROR(DATE(--LEFT(LEFT(SUBSTITUTE(SUBSTITUTE(SUBSTITUTE(SUBSTITUTE(TRIM($AR325),"-",""),".",""),"/","")," ",""),8),4),--MID(LEFT(SUBSTITUTE(SUBSTITUTE(SUBSTITUTE(SUBSTITUTE(TRIM($AR325),"-",""),".",""),"/","")," ",""),8),5,2),--MID(LEFT(SUBSTITUTE(SUBSTITUTE(SUBSTITUTE(SUBSTITUTE(TRIM($AR325),"-",""),".",""),"/","")," ",""),8),7,2)),"")))</f>
        <v/>
      </c>
      <c r="AT325" s="33">
        <f>IF($AS325="","",IF($F$6="",0,IF(ISNUMBER(INDEX($A:$AP,ROW(),$F$6)),INDEX($A:$AP,ROW(),$F$6),IFERROR(--SUBSTITUTE(SUBSTITUTE(TRIM(INDEX($A:$AP,ROW(),$F$6)),",",""),"원",""),0))))</f>
        <v/>
      </c>
      <c r="AU325" s="31">
        <f>IF($AS325="","",IF($AX325&lt;&gt;"",SUBSTITUTE(SUBSTITUTE($AX325,"-","")," ",""),"N:"&amp;$AV325))</f>
        <v/>
      </c>
      <c r="AV325" s="31">
        <f>IF(OR($AS325="",$E$6=""),"",TRIM(INDEX($A:$AP,ROW(),$E$6)&amp;""))</f>
        <v/>
      </c>
      <c r="AW325" s="31">
        <f>IF($AU325="","",IF(MATCH($AU325,$AU$8:$AU$2007,0)=ROW()-7,MAX($AW$7:$AW324)+1,""))</f>
        <v/>
      </c>
      <c r="AX325" s="31">
        <f>IF(OR($AS325="",$D$6=""),"",TRIM(INDEX($A:$AP,ROW(),$D$6)&amp;""))</f>
        <v/>
      </c>
      <c r="AY325" s="31">
        <f>IF($AU325="","",INDEX($AW$8:$AW$2007,MATCH($AU325,$AU$8:$AU$2007,0)))</f>
        <v/>
      </c>
      <c r="AZ325" s="31">
        <f>IF(OR($AS325="",$C$6=""),"",TRIM(INDEX($A:$AP,ROW(),$C$6)&amp;""))</f>
        <v/>
      </c>
      <c r="BA325" s="31">
        <f>IF($AZ325="","",IF(COUNTIF($AZ$8:$AZ325,$AZ325)&gt;1,1,0))</f>
        <v/>
      </c>
    </row>
    <row r="326">
      <c r="AR326" s="31">
        <f>IF(OR($A$5="",$B$6="",ROW()&lt;$A$5),"",IF(INDEX($A:$AP,ROW(),$B$6)="","",INDEX($A:$AP,ROW(),$B$6)))</f>
        <v/>
      </c>
      <c r="AS326" s="32">
        <f>IF($AR326="","",IF(ISNUMBER($AR326),IF($AR326&gt;=10000000,IFERROR(DATE(INT($AR326/10000),MOD(INT($AR326/100),100),MOD($AR326,100)),""),INT($AR326)),IFERROR(DATE(--LEFT(LEFT(SUBSTITUTE(SUBSTITUTE(SUBSTITUTE(SUBSTITUTE(TRIM($AR326),"-",""),".",""),"/","")," ",""),8),4),--MID(LEFT(SUBSTITUTE(SUBSTITUTE(SUBSTITUTE(SUBSTITUTE(TRIM($AR326),"-",""),".",""),"/","")," ",""),8),5,2),--MID(LEFT(SUBSTITUTE(SUBSTITUTE(SUBSTITUTE(SUBSTITUTE(TRIM($AR326),"-",""),".",""),"/","")," ",""),8),7,2)),"")))</f>
        <v/>
      </c>
      <c r="AT326" s="33">
        <f>IF($AS326="","",IF($F$6="",0,IF(ISNUMBER(INDEX($A:$AP,ROW(),$F$6)),INDEX($A:$AP,ROW(),$F$6),IFERROR(--SUBSTITUTE(SUBSTITUTE(TRIM(INDEX($A:$AP,ROW(),$F$6)),",",""),"원",""),0))))</f>
        <v/>
      </c>
      <c r="AU326" s="31">
        <f>IF($AS326="","",IF($AX326&lt;&gt;"",SUBSTITUTE(SUBSTITUTE($AX326,"-","")," ",""),"N:"&amp;$AV326))</f>
        <v/>
      </c>
      <c r="AV326" s="31">
        <f>IF(OR($AS326="",$E$6=""),"",TRIM(INDEX($A:$AP,ROW(),$E$6)&amp;""))</f>
        <v/>
      </c>
      <c r="AW326" s="31">
        <f>IF($AU326="","",IF(MATCH($AU326,$AU$8:$AU$2007,0)=ROW()-7,MAX($AW$7:$AW325)+1,""))</f>
        <v/>
      </c>
      <c r="AX326" s="31">
        <f>IF(OR($AS326="",$D$6=""),"",TRIM(INDEX($A:$AP,ROW(),$D$6)&amp;""))</f>
        <v/>
      </c>
      <c r="AY326" s="31">
        <f>IF($AU326="","",INDEX($AW$8:$AW$2007,MATCH($AU326,$AU$8:$AU$2007,0)))</f>
        <v/>
      </c>
      <c r="AZ326" s="31">
        <f>IF(OR($AS326="",$C$6=""),"",TRIM(INDEX($A:$AP,ROW(),$C$6)&amp;""))</f>
        <v/>
      </c>
      <c r="BA326" s="31">
        <f>IF($AZ326="","",IF(COUNTIF($AZ$8:$AZ326,$AZ326)&gt;1,1,0))</f>
        <v/>
      </c>
    </row>
    <row r="327">
      <c r="AR327" s="31">
        <f>IF(OR($A$5="",$B$6="",ROW()&lt;$A$5),"",IF(INDEX($A:$AP,ROW(),$B$6)="","",INDEX($A:$AP,ROW(),$B$6)))</f>
        <v/>
      </c>
      <c r="AS327" s="32">
        <f>IF($AR327="","",IF(ISNUMBER($AR327),IF($AR327&gt;=10000000,IFERROR(DATE(INT($AR327/10000),MOD(INT($AR327/100),100),MOD($AR327,100)),""),INT($AR327)),IFERROR(DATE(--LEFT(LEFT(SUBSTITUTE(SUBSTITUTE(SUBSTITUTE(SUBSTITUTE(TRIM($AR327),"-",""),".",""),"/","")," ",""),8),4),--MID(LEFT(SUBSTITUTE(SUBSTITUTE(SUBSTITUTE(SUBSTITUTE(TRIM($AR327),"-",""),".",""),"/","")," ",""),8),5,2),--MID(LEFT(SUBSTITUTE(SUBSTITUTE(SUBSTITUTE(SUBSTITUTE(TRIM($AR327),"-",""),".",""),"/","")," ",""),8),7,2)),"")))</f>
        <v/>
      </c>
      <c r="AT327" s="33">
        <f>IF($AS327="","",IF($F$6="",0,IF(ISNUMBER(INDEX($A:$AP,ROW(),$F$6)),INDEX($A:$AP,ROW(),$F$6),IFERROR(--SUBSTITUTE(SUBSTITUTE(TRIM(INDEX($A:$AP,ROW(),$F$6)),",",""),"원",""),0))))</f>
        <v/>
      </c>
      <c r="AU327" s="31">
        <f>IF($AS327="","",IF($AX327&lt;&gt;"",SUBSTITUTE(SUBSTITUTE($AX327,"-","")," ",""),"N:"&amp;$AV327))</f>
        <v/>
      </c>
      <c r="AV327" s="31">
        <f>IF(OR($AS327="",$E$6=""),"",TRIM(INDEX($A:$AP,ROW(),$E$6)&amp;""))</f>
        <v/>
      </c>
      <c r="AW327" s="31">
        <f>IF($AU327="","",IF(MATCH($AU327,$AU$8:$AU$2007,0)=ROW()-7,MAX($AW$7:$AW326)+1,""))</f>
        <v/>
      </c>
      <c r="AX327" s="31">
        <f>IF(OR($AS327="",$D$6=""),"",TRIM(INDEX($A:$AP,ROW(),$D$6)&amp;""))</f>
        <v/>
      </c>
      <c r="AY327" s="31">
        <f>IF($AU327="","",INDEX($AW$8:$AW$2007,MATCH($AU327,$AU$8:$AU$2007,0)))</f>
        <v/>
      </c>
      <c r="AZ327" s="31">
        <f>IF(OR($AS327="",$C$6=""),"",TRIM(INDEX($A:$AP,ROW(),$C$6)&amp;""))</f>
        <v/>
      </c>
      <c r="BA327" s="31">
        <f>IF($AZ327="","",IF(COUNTIF($AZ$8:$AZ327,$AZ327)&gt;1,1,0))</f>
        <v/>
      </c>
    </row>
    <row r="328">
      <c r="AR328" s="31">
        <f>IF(OR($A$5="",$B$6="",ROW()&lt;$A$5),"",IF(INDEX($A:$AP,ROW(),$B$6)="","",INDEX($A:$AP,ROW(),$B$6)))</f>
        <v/>
      </c>
      <c r="AS328" s="32">
        <f>IF($AR328="","",IF(ISNUMBER($AR328),IF($AR328&gt;=10000000,IFERROR(DATE(INT($AR328/10000),MOD(INT($AR328/100),100),MOD($AR328,100)),""),INT($AR328)),IFERROR(DATE(--LEFT(LEFT(SUBSTITUTE(SUBSTITUTE(SUBSTITUTE(SUBSTITUTE(TRIM($AR328),"-",""),".",""),"/","")," ",""),8),4),--MID(LEFT(SUBSTITUTE(SUBSTITUTE(SUBSTITUTE(SUBSTITUTE(TRIM($AR328),"-",""),".",""),"/","")," ",""),8),5,2),--MID(LEFT(SUBSTITUTE(SUBSTITUTE(SUBSTITUTE(SUBSTITUTE(TRIM($AR328),"-",""),".",""),"/","")," ",""),8),7,2)),"")))</f>
        <v/>
      </c>
      <c r="AT328" s="33">
        <f>IF($AS328="","",IF($F$6="",0,IF(ISNUMBER(INDEX($A:$AP,ROW(),$F$6)),INDEX($A:$AP,ROW(),$F$6),IFERROR(--SUBSTITUTE(SUBSTITUTE(TRIM(INDEX($A:$AP,ROW(),$F$6)),",",""),"원",""),0))))</f>
        <v/>
      </c>
      <c r="AU328" s="31">
        <f>IF($AS328="","",IF($AX328&lt;&gt;"",SUBSTITUTE(SUBSTITUTE($AX328,"-","")," ",""),"N:"&amp;$AV328))</f>
        <v/>
      </c>
      <c r="AV328" s="31">
        <f>IF(OR($AS328="",$E$6=""),"",TRIM(INDEX($A:$AP,ROW(),$E$6)&amp;""))</f>
        <v/>
      </c>
      <c r="AW328" s="31">
        <f>IF($AU328="","",IF(MATCH($AU328,$AU$8:$AU$2007,0)=ROW()-7,MAX($AW$7:$AW327)+1,""))</f>
        <v/>
      </c>
      <c r="AX328" s="31">
        <f>IF(OR($AS328="",$D$6=""),"",TRIM(INDEX($A:$AP,ROW(),$D$6)&amp;""))</f>
        <v/>
      </c>
      <c r="AY328" s="31">
        <f>IF($AU328="","",INDEX($AW$8:$AW$2007,MATCH($AU328,$AU$8:$AU$2007,0)))</f>
        <v/>
      </c>
      <c r="AZ328" s="31">
        <f>IF(OR($AS328="",$C$6=""),"",TRIM(INDEX($A:$AP,ROW(),$C$6)&amp;""))</f>
        <v/>
      </c>
      <c r="BA328" s="31">
        <f>IF($AZ328="","",IF(COUNTIF($AZ$8:$AZ328,$AZ328)&gt;1,1,0))</f>
        <v/>
      </c>
    </row>
    <row r="329">
      <c r="AR329" s="31">
        <f>IF(OR($A$5="",$B$6="",ROW()&lt;$A$5),"",IF(INDEX($A:$AP,ROW(),$B$6)="","",INDEX($A:$AP,ROW(),$B$6)))</f>
        <v/>
      </c>
      <c r="AS329" s="32">
        <f>IF($AR329="","",IF(ISNUMBER($AR329),IF($AR329&gt;=10000000,IFERROR(DATE(INT($AR329/10000),MOD(INT($AR329/100),100),MOD($AR329,100)),""),INT($AR329)),IFERROR(DATE(--LEFT(LEFT(SUBSTITUTE(SUBSTITUTE(SUBSTITUTE(SUBSTITUTE(TRIM($AR329),"-",""),".",""),"/","")," ",""),8),4),--MID(LEFT(SUBSTITUTE(SUBSTITUTE(SUBSTITUTE(SUBSTITUTE(TRIM($AR329),"-",""),".",""),"/","")," ",""),8),5,2),--MID(LEFT(SUBSTITUTE(SUBSTITUTE(SUBSTITUTE(SUBSTITUTE(TRIM($AR329),"-",""),".",""),"/","")," ",""),8),7,2)),"")))</f>
        <v/>
      </c>
      <c r="AT329" s="33">
        <f>IF($AS329="","",IF($F$6="",0,IF(ISNUMBER(INDEX($A:$AP,ROW(),$F$6)),INDEX($A:$AP,ROW(),$F$6),IFERROR(--SUBSTITUTE(SUBSTITUTE(TRIM(INDEX($A:$AP,ROW(),$F$6)),",",""),"원",""),0))))</f>
        <v/>
      </c>
      <c r="AU329" s="31">
        <f>IF($AS329="","",IF($AX329&lt;&gt;"",SUBSTITUTE(SUBSTITUTE($AX329,"-","")," ",""),"N:"&amp;$AV329))</f>
        <v/>
      </c>
      <c r="AV329" s="31">
        <f>IF(OR($AS329="",$E$6=""),"",TRIM(INDEX($A:$AP,ROW(),$E$6)&amp;""))</f>
        <v/>
      </c>
      <c r="AW329" s="31">
        <f>IF($AU329="","",IF(MATCH($AU329,$AU$8:$AU$2007,0)=ROW()-7,MAX($AW$7:$AW328)+1,""))</f>
        <v/>
      </c>
      <c r="AX329" s="31">
        <f>IF(OR($AS329="",$D$6=""),"",TRIM(INDEX($A:$AP,ROW(),$D$6)&amp;""))</f>
        <v/>
      </c>
      <c r="AY329" s="31">
        <f>IF($AU329="","",INDEX($AW$8:$AW$2007,MATCH($AU329,$AU$8:$AU$2007,0)))</f>
        <v/>
      </c>
      <c r="AZ329" s="31">
        <f>IF(OR($AS329="",$C$6=""),"",TRIM(INDEX($A:$AP,ROW(),$C$6)&amp;""))</f>
        <v/>
      </c>
      <c r="BA329" s="31">
        <f>IF($AZ329="","",IF(COUNTIF($AZ$8:$AZ329,$AZ329)&gt;1,1,0))</f>
        <v/>
      </c>
    </row>
    <row r="330">
      <c r="AR330" s="31">
        <f>IF(OR($A$5="",$B$6="",ROW()&lt;$A$5),"",IF(INDEX($A:$AP,ROW(),$B$6)="","",INDEX($A:$AP,ROW(),$B$6)))</f>
        <v/>
      </c>
      <c r="AS330" s="32">
        <f>IF($AR330="","",IF(ISNUMBER($AR330),IF($AR330&gt;=10000000,IFERROR(DATE(INT($AR330/10000),MOD(INT($AR330/100),100),MOD($AR330,100)),""),INT($AR330)),IFERROR(DATE(--LEFT(LEFT(SUBSTITUTE(SUBSTITUTE(SUBSTITUTE(SUBSTITUTE(TRIM($AR330),"-",""),".",""),"/","")," ",""),8),4),--MID(LEFT(SUBSTITUTE(SUBSTITUTE(SUBSTITUTE(SUBSTITUTE(TRIM($AR330),"-",""),".",""),"/","")," ",""),8),5,2),--MID(LEFT(SUBSTITUTE(SUBSTITUTE(SUBSTITUTE(SUBSTITUTE(TRIM($AR330),"-",""),".",""),"/","")," ",""),8),7,2)),"")))</f>
        <v/>
      </c>
      <c r="AT330" s="33">
        <f>IF($AS330="","",IF($F$6="",0,IF(ISNUMBER(INDEX($A:$AP,ROW(),$F$6)),INDEX($A:$AP,ROW(),$F$6),IFERROR(--SUBSTITUTE(SUBSTITUTE(TRIM(INDEX($A:$AP,ROW(),$F$6)),",",""),"원",""),0))))</f>
        <v/>
      </c>
      <c r="AU330" s="31">
        <f>IF($AS330="","",IF($AX330&lt;&gt;"",SUBSTITUTE(SUBSTITUTE($AX330,"-","")," ",""),"N:"&amp;$AV330))</f>
        <v/>
      </c>
      <c r="AV330" s="31">
        <f>IF(OR($AS330="",$E$6=""),"",TRIM(INDEX($A:$AP,ROW(),$E$6)&amp;""))</f>
        <v/>
      </c>
      <c r="AW330" s="31">
        <f>IF($AU330="","",IF(MATCH($AU330,$AU$8:$AU$2007,0)=ROW()-7,MAX($AW$7:$AW329)+1,""))</f>
        <v/>
      </c>
      <c r="AX330" s="31">
        <f>IF(OR($AS330="",$D$6=""),"",TRIM(INDEX($A:$AP,ROW(),$D$6)&amp;""))</f>
        <v/>
      </c>
      <c r="AY330" s="31">
        <f>IF($AU330="","",INDEX($AW$8:$AW$2007,MATCH($AU330,$AU$8:$AU$2007,0)))</f>
        <v/>
      </c>
      <c r="AZ330" s="31">
        <f>IF(OR($AS330="",$C$6=""),"",TRIM(INDEX($A:$AP,ROW(),$C$6)&amp;""))</f>
        <v/>
      </c>
      <c r="BA330" s="31">
        <f>IF($AZ330="","",IF(COUNTIF($AZ$8:$AZ330,$AZ330)&gt;1,1,0))</f>
        <v/>
      </c>
    </row>
    <row r="331">
      <c r="AR331" s="31">
        <f>IF(OR($A$5="",$B$6="",ROW()&lt;$A$5),"",IF(INDEX($A:$AP,ROW(),$B$6)="","",INDEX($A:$AP,ROW(),$B$6)))</f>
        <v/>
      </c>
      <c r="AS331" s="32">
        <f>IF($AR331="","",IF(ISNUMBER($AR331),IF($AR331&gt;=10000000,IFERROR(DATE(INT($AR331/10000),MOD(INT($AR331/100),100),MOD($AR331,100)),""),INT($AR331)),IFERROR(DATE(--LEFT(LEFT(SUBSTITUTE(SUBSTITUTE(SUBSTITUTE(SUBSTITUTE(TRIM($AR331),"-",""),".",""),"/","")," ",""),8),4),--MID(LEFT(SUBSTITUTE(SUBSTITUTE(SUBSTITUTE(SUBSTITUTE(TRIM($AR331),"-",""),".",""),"/","")," ",""),8),5,2),--MID(LEFT(SUBSTITUTE(SUBSTITUTE(SUBSTITUTE(SUBSTITUTE(TRIM($AR331),"-",""),".",""),"/","")," ",""),8),7,2)),"")))</f>
        <v/>
      </c>
      <c r="AT331" s="33">
        <f>IF($AS331="","",IF($F$6="",0,IF(ISNUMBER(INDEX($A:$AP,ROW(),$F$6)),INDEX($A:$AP,ROW(),$F$6),IFERROR(--SUBSTITUTE(SUBSTITUTE(TRIM(INDEX($A:$AP,ROW(),$F$6)),",",""),"원",""),0))))</f>
        <v/>
      </c>
      <c r="AU331" s="31">
        <f>IF($AS331="","",IF($AX331&lt;&gt;"",SUBSTITUTE(SUBSTITUTE($AX331,"-","")," ",""),"N:"&amp;$AV331))</f>
        <v/>
      </c>
      <c r="AV331" s="31">
        <f>IF(OR($AS331="",$E$6=""),"",TRIM(INDEX($A:$AP,ROW(),$E$6)&amp;""))</f>
        <v/>
      </c>
      <c r="AW331" s="31">
        <f>IF($AU331="","",IF(MATCH($AU331,$AU$8:$AU$2007,0)=ROW()-7,MAX($AW$7:$AW330)+1,""))</f>
        <v/>
      </c>
      <c r="AX331" s="31">
        <f>IF(OR($AS331="",$D$6=""),"",TRIM(INDEX($A:$AP,ROW(),$D$6)&amp;""))</f>
        <v/>
      </c>
      <c r="AY331" s="31">
        <f>IF($AU331="","",INDEX($AW$8:$AW$2007,MATCH($AU331,$AU$8:$AU$2007,0)))</f>
        <v/>
      </c>
      <c r="AZ331" s="31">
        <f>IF(OR($AS331="",$C$6=""),"",TRIM(INDEX($A:$AP,ROW(),$C$6)&amp;""))</f>
        <v/>
      </c>
      <c r="BA331" s="31">
        <f>IF($AZ331="","",IF(COUNTIF($AZ$8:$AZ331,$AZ331)&gt;1,1,0))</f>
        <v/>
      </c>
    </row>
    <row r="332">
      <c r="AR332" s="31">
        <f>IF(OR($A$5="",$B$6="",ROW()&lt;$A$5),"",IF(INDEX($A:$AP,ROW(),$B$6)="","",INDEX($A:$AP,ROW(),$B$6)))</f>
        <v/>
      </c>
      <c r="AS332" s="32">
        <f>IF($AR332="","",IF(ISNUMBER($AR332),IF($AR332&gt;=10000000,IFERROR(DATE(INT($AR332/10000),MOD(INT($AR332/100),100),MOD($AR332,100)),""),INT($AR332)),IFERROR(DATE(--LEFT(LEFT(SUBSTITUTE(SUBSTITUTE(SUBSTITUTE(SUBSTITUTE(TRIM($AR332),"-",""),".",""),"/","")," ",""),8),4),--MID(LEFT(SUBSTITUTE(SUBSTITUTE(SUBSTITUTE(SUBSTITUTE(TRIM($AR332),"-",""),".",""),"/","")," ",""),8),5,2),--MID(LEFT(SUBSTITUTE(SUBSTITUTE(SUBSTITUTE(SUBSTITUTE(TRIM($AR332),"-",""),".",""),"/","")," ",""),8),7,2)),"")))</f>
        <v/>
      </c>
      <c r="AT332" s="33">
        <f>IF($AS332="","",IF($F$6="",0,IF(ISNUMBER(INDEX($A:$AP,ROW(),$F$6)),INDEX($A:$AP,ROW(),$F$6),IFERROR(--SUBSTITUTE(SUBSTITUTE(TRIM(INDEX($A:$AP,ROW(),$F$6)),",",""),"원",""),0))))</f>
        <v/>
      </c>
      <c r="AU332" s="31">
        <f>IF($AS332="","",IF($AX332&lt;&gt;"",SUBSTITUTE(SUBSTITUTE($AX332,"-","")," ",""),"N:"&amp;$AV332))</f>
        <v/>
      </c>
      <c r="AV332" s="31">
        <f>IF(OR($AS332="",$E$6=""),"",TRIM(INDEX($A:$AP,ROW(),$E$6)&amp;""))</f>
        <v/>
      </c>
      <c r="AW332" s="31">
        <f>IF($AU332="","",IF(MATCH($AU332,$AU$8:$AU$2007,0)=ROW()-7,MAX($AW$7:$AW331)+1,""))</f>
        <v/>
      </c>
      <c r="AX332" s="31">
        <f>IF(OR($AS332="",$D$6=""),"",TRIM(INDEX($A:$AP,ROW(),$D$6)&amp;""))</f>
        <v/>
      </c>
      <c r="AY332" s="31">
        <f>IF($AU332="","",INDEX($AW$8:$AW$2007,MATCH($AU332,$AU$8:$AU$2007,0)))</f>
        <v/>
      </c>
      <c r="AZ332" s="31">
        <f>IF(OR($AS332="",$C$6=""),"",TRIM(INDEX($A:$AP,ROW(),$C$6)&amp;""))</f>
        <v/>
      </c>
      <c r="BA332" s="31">
        <f>IF($AZ332="","",IF(COUNTIF($AZ$8:$AZ332,$AZ332)&gt;1,1,0))</f>
        <v/>
      </c>
    </row>
    <row r="333">
      <c r="AR333" s="31">
        <f>IF(OR($A$5="",$B$6="",ROW()&lt;$A$5),"",IF(INDEX($A:$AP,ROW(),$B$6)="","",INDEX($A:$AP,ROW(),$B$6)))</f>
        <v/>
      </c>
      <c r="AS333" s="32">
        <f>IF($AR333="","",IF(ISNUMBER($AR333),IF($AR333&gt;=10000000,IFERROR(DATE(INT($AR333/10000),MOD(INT($AR333/100),100),MOD($AR333,100)),""),INT($AR333)),IFERROR(DATE(--LEFT(LEFT(SUBSTITUTE(SUBSTITUTE(SUBSTITUTE(SUBSTITUTE(TRIM($AR333),"-",""),".",""),"/","")," ",""),8),4),--MID(LEFT(SUBSTITUTE(SUBSTITUTE(SUBSTITUTE(SUBSTITUTE(TRIM($AR333),"-",""),".",""),"/","")," ",""),8),5,2),--MID(LEFT(SUBSTITUTE(SUBSTITUTE(SUBSTITUTE(SUBSTITUTE(TRIM($AR333),"-",""),".",""),"/","")," ",""),8),7,2)),"")))</f>
        <v/>
      </c>
      <c r="AT333" s="33">
        <f>IF($AS333="","",IF($F$6="",0,IF(ISNUMBER(INDEX($A:$AP,ROW(),$F$6)),INDEX($A:$AP,ROW(),$F$6),IFERROR(--SUBSTITUTE(SUBSTITUTE(TRIM(INDEX($A:$AP,ROW(),$F$6)),",",""),"원",""),0))))</f>
        <v/>
      </c>
      <c r="AU333" s="31">
        <f>IF($AS333="","",IF($AX333&lt;&gt;"",SUBSTITUTE(SUBSTITUTE($AX333,"-","")," ",""),"N:"&amp;$AV333))</f>
        <v/>
      </c>
      <c r="AV333" s="31">
        <f>IF(OR($AS333="",$E$6=""),"",TRIM(INDEX($A:$AP,ROW(),$E$6)&amp;""))</f>
        <v/>
      </c>
      <c r="AW333" s="31">
        <f>IF($AU333="","",IF(MATCH($AU333,$AU$8:$AU$2007,0)=ROW()-7,MAX($AW$7:$AW332)+1,""))</f>
        <v/>
      </c>
      <c r="AX333" s="31">
        <f>IF(OR($AS333="",$D$6=""),"",TRIM(INDEX($A:$AP,ROW(),$D$6)&amp;""))</f>
        <v/>
      </c>
      <c r="AY333" s="31">
        <f>IF($AU333="","",INDEX($AW$8:$AW$2007,MATCH($AU333,$AU$8:$AU$2007,0)))</f>
        <v/>
      </c>
      <c r="AZ333" s="31">
        <f>IF(OR($AS333="",$C$6=""),"",TRIM(INDEX($A:$AP,ROW(),$C$6)&amp;""))</f>
        <v/>
      </c>
      <c r="BA333" s="31">
        <f>IF($AZ333="","",IF(COUNTIF($AZ$8:$AZ333,$AZ333)&gt;1,1,0))</f>
        <v/>
      </c>
    </row>
    <row r="334">
      <c r="AR334" s="31">
        <f>IF(OR($A$5="",$B$6="",ROW()&lt;$A$5),"",IF(INDEX($A:$AP,ROW(),$B$6)="","",INDEX($A:$AP,ROW(),$B$6)))</f>
        <v/>
      </c>
      <c r="AS334" s="32">
        <f>IF($AR334="","",IF(ISNUMBER($AR334),IF($AR334&gt;=10000000,IFERROR(DATE(INT($AR334/10000),MOD(INT($AR334/100),100),MOD($AR334,100)),""),INT($AR334)),IFERROR(DATE(--LEFT(LEFT(SUBSTITUTE(SUBSTITUTE(SUBSTITUTE(SUBSTITUTE(TRIM($AR334),"-",""),".",""),"/","")," ",""),8),4),--MID(LEFT(SUBSTITUTE(SUBSTITUTE(SUBSTITUTE(SUBSTITUTE(TRIM($AR334),"-",""),".",""),"/","")," ",""),8),5,2),--MID(LEFT(SUBSTITUTE(SUBSTITUTE(SUBSTITUTE(SUBSTITUTE(TRIM($AR334),"-",""),".",""),"/","")," ",""),8),7,2)),"")))</f>
        <v/>
      </c>
      <c r="AT334" s="33">
        <f>IF($AS334="","",IF($F$6="",0,IF(ISNUMBER(INDEX($A:$AP,ROW(),$F$6)),INDEX($A:$AP,ROW(),$F$6),IFERROR(--SUBSTITUTE(SUBSTITUTE(TRIM(INDEX($A:$AP,ROW(),$F$6)),",",""),"원",""),0))))</f>
        <v/>
      </c>
      <c r="AU334" s="31">
        <f>IF($AS334="","",IF($AX334&lt;&gt;"",SUBSTITUTE(SUBSTITUTE($AX334,"-","")," ",""),"N:"&amp;$AV334))</f>
        <v/>
      </c>
      <c r="AV334" s="31">
        <f>IF(OR($AS334="",$E$6=""),"",TRIM(INDEX($A:$AP,ROW(),$E$6)&amp;""))</f>
        <v/>
      </c>
      <c r="AW334" s="31">
        <f>IF($AU334="","",IF(MATCH($AU334,$AU$8:$AU$2007,0)=ROW()-7,MAX($AW$7:$AW333)+1,""))</f>
        <v/>
      </c>
      <c r="AX334" s="31">
        <f>IF(OR($AS334="",$D$6=""),"",TRIM(INDEX($A:$AP,ROW(),$D$6)&amp;""))</f>
        <v/>
      </c>
      <c r="AY334" s="31">
        <f>IF($AU334="","",INDEX($AW$8:$AW$2007,MATCH($AU334,$AU$8:$AU$2007,0)))</f>
        <v/>
      </c>
      <c r="AZ334" s="31">
        <f>IF(OR($AS334="",$C$6=""),"",TRIM(INDEX($A:$AP,ROW(),$C$6)&amp;""))</f>
        <v/>
      </c>
      <c r="BA334" s="31">
        <f>IF($AZ334="","",IF(COUNTIF($AZ$8:$AZ334,$AZ334)&gt;1,1,0))</f>
        <v/>
      </c>
    </row>
    <row r="335">
      <c r="AR335" s="31">
        <f>IF(OR($A$5="",$B$6="",ROW()&lt;$A$5),"",IF(INDEX($A:$AP,ROW(),$B$6)="","",INDEX($A:$AP,ROW(),$B$6)))</f>
        <v/>
      </c>
      <c r="AS335" s="32">
        <f>IF($AR335="","",IF(ISNUMBER($AR335),IF($AR335&gt;=10000000,IFERROR(DATE(INT($AR335/10000),MOD(INT($AR335/100),100),MOD($AR335,100)),""),INT($AR335)),IFERROR(DATE(--LEFT(LEFT(SUBSTITUTE(SUBSTITUTE(SUBSTITUTE(SUBSTITUTE(TRIM($AR335),"-",""),".",""),"/","")," ",""),8),4),--MID(LEFT(SUBSTITUTE(SUBSTITUTE(SUBSTITUTE(SUBSTITUTE(TRIM($AR335),"-",""),".",""),"/","")," ",""),8),5,2),--MID(LEFT(SUBSTITUTE(SUBSTITUTE(SUBSTITUTE(SUBSTITUTE(TRIM($AR335),"-",""),".",""),"/","")," ",""),8),7,2)),"")))</f>
        <v/>
      </c>
      <c r="AT335" s="33">
        <f>IF($AS335="","",IF($F$6="",0,IF(ISNUMBER(INDEX($A:$AP,ROW(),$F$6)),INDEX($A:$AP,ROW(),$F$6),IFERROR(--SUBSTITUTE(SUBSTITUTE(TRIM(INDEX($A:$AP,ROW(),$F$6)),",",""),"원",""),0))))</f>
        <v/>
      </c>
      <c r="AU335" s="31">
        <f>IF($AS335="","",IF($AX335&lt;&gt;"",SUBSTITUTE(SUBSTITUTE($AX335,"-","")," ",""),"N:"&amp;$AV335))</f>
        <v/>
      </c>
      <c r="AV335" s="31">
        <f>IF(OR($AS335="",$E$6=""),"",TRIM(INDEX($A:$AP,ROW(),$E$6)&amp;""))</f>
        <v/>
      </c>
      <c r="AW335" s="31">
        <f>IF($AU335="","",IF(MATCH($AU335,$AU$8:$AU$2007,0)=ROW()-7,MAX($AW$7:$AW334)+1,""))</f>
        <v/>
      </c>
      <c r="AX335" s="31">
        <f>IF(OR($AS335="",$D$6=""),"",TRIM(INDEX($A:$AP,ROW(),$D$6)&amp;""))</f>
        <v/>
      </c>
      <c r="AY335" s="31">
        <f>IF($AU335="","",INDEX($AW$8:$AW$2007,MATCH($AU335,$AU$8:$AU$2007,0)))</f>
        <v/>
      </c>
      <c r="AZ335" s="31">
        <f>IF(OR($AS335="",$C$6=""),"",TRIM(INDEX($A:$AP,ROW(),$C$6)&amp;""))</f>
        <v/>
      </c>
      <c r="BA335" s="31">
        <f>IF($AZ335="","",IF(COUNTIF($AZ$8:$AZ335,$AZ335)&gt;1,1,0))</f>
        <v/>
      </c>
    </row>
    <row r="336">
      <c r="AR336" s="31">
        <f>IF(OR($A$5="",$B$6="",ROW()&lt;$A$5),"",IF(INDEX($A:$AP,ROW(),$B$6)="","",INDEX($A:$AP,ROW(),$B$6)))</f>
        <v/>
      </c>
      <c r="AS336" s="32">
        <f>IF($AR336="","",IF(ISNUMBER($AR336),IF($AR336&gt;=10000000,IFERROR(DATE(INT($AR336/10000),MOD(INT($AR336/100),100),MOD($AR336,100)),""),INT($AR336)),IFERROR(DATE(--LEFT(LEFT(SUBSTITUTE(SUBSTITUTE(SUBSTITUTE(SUBSTITUTE(TRIM($AR336),"-",""),".",""),"/","")," ",""),8),4),--MID(LEFT(SUBSTITUTE(SUBSTITUTE(SUBSTITUTE(SUBSTITUTE(TRIM($AR336),"-",""),".",""),"/","")," ",""),8),5,2),--MID(LEFT(SUBSTITUTE(SUBSTITUTE(SUBSTITUTE(SUBSTITUTE(TRIM($AR336),"-",""),".",""),"/","")," ",""),8),7,2)),"")))</f>
        <v/>
      </c>
      <c r="AT336" s="33">
        <f>IF($AS336="","",IF($F$6="",0,IF(ISNUMBER(INDEX($A:$AP,ROW(),$F$6)),INDEX($A:$AP,ROW(),$F$6),IFERROR(--SUBSTITUTE(SUBSTITUTE(TRIM(INDEX($A:$AP,ROW(),$F$6)),",",""),"원",""),0))))</f>
        <v/>
      </c>
      <c r="AU336" s="31">
        <f>IF($AS336="","",IF($AX336&lt;&gt;"",SUBSTITUTE(SUBSTITUTE($AX336,"-","")," ",""),"N:"&amp;$AV336))</f>
        <v/>
      </c>
      <c r="AV336" s="31">
        <f>IF(OR($AS336="",$E$6=""),"",TRIM(INDEX($A:$AP,ROW(),$E$6)&amp;""))</f>
        <v/>
      </c>
      <c r="AW336" s="31">
        <f>IF($AU336="","",IF(MATCH($AU336,$AU$8:$AU$2007,0)=ROW()-7,MAX($AW$7:$AW335)+1,""))</f>
        <v/>
      </c>
      <c r="AX336" s="31">
        <f>IF(OR($AS336="",$D$6=""),"",TRIM(INDEX($A:$AP,ROW(),$D$6)&amp;""))</f>
        <v/>
      </c>
      <c r="AY336" s="31">
        <f>IF($AU336="","",INDEX($AW$8:$AW$2007,MATCH($AU336,$AU$8:$AU$2007,0)))</f>
        <v/>
      </c>
      <c r="AZ336" s="31">
        <f>IF(OR($AS336="",$C$6=""),"",TRIM(INDEX($A:$AP,ROW(),$C$6)&amp;""))</f>
        <v/>
      </c>
      <c r="BA336" s="31">
        <f>IF($AZ336="","",IF(COUNTIF($AZ$8:$AZ336,$AZ336)&gt;1,1,0))</f>
        <v/>
      </c>
    </row>
    <row r="337">
      <c r="AR337" s="31">
        <f>IF(OR($A$5="",$B$6="",ROW()&lt;$A$5),"",IF(INDEX($A:$AP,ROW(),$B$6)="","",INDEX($A:$AP,ROW(),$B$6)))</f>
        <v/>
      </c>
      <c r="AS337" s="32">
        <f>IF($AR337="","",IF(ISNUMBER($AR337),IF($AR337&gt;=10000000,IFERROR(DATE(INT($AR337/10000),MOD(INT($AR337/100),100),MOD($AR337,100)),""),INT($AR337)),IFERROR(DATE(--LEFT(LEFT(SUBSTITUTE(SUBSTITUTE(SUBSTITUTE(SUBSTITUTE(TRIM($AR337),"-",""),".",""),"/","")," ",""),8),4),--MID(LEFT(SUBSTITUTE(SUBSTITUTE(SUBSTITUTE(SUBSTITUTE(TRIM($AR337),"-",""),".",""),"/","")," ",""),8),5,2),--MID(LEFT(SUBSTITUTE(SUBSTITUTE(SUBSTITUTE(SUBSTITUTE(TRIM($AR337),"-",""),".",""),"/","")," ",""),8),7,2)),"")))</f>
        <v/>
      </c>
      <c r="AT337" s="33">
        <f>IF($AS337="","",IF($F$6="",0,IF(ISNUMBER(INDEX($A:$AP,ROW(),$F$6)),INDEX($A:$AP,ROW(),$F$6),IFERROR(--SUBSTITUTE(SUBSTITUTE(TRIM(INDEX($A:$AP,ROW(),$F$6)),",",""),"원",""),0))))</f>
        <v/>
      </c>
      <c r="AU337" s="31">
        <f>IF($AS337="","",IF($AX337&lt;&gt;"",SUBSTITUTE(SUBSTITUTE($AX337,"-","")," ",""),"N:"&amp;$AV337))</f>
        <v/>
      </c>
      <c r="AV337" s="31">
        <f>IF(OR($AS337="",$E$6=""),"",TRIM(INDEX($A:$AP,ROW(),$E$6)&amp;""))</f>
        <v/>
      </c>
      <c r="AW337" s="31">
        <f>IF($AU337="","",IF(MATCH($AU337,$AU$8:$AU$2007,0)=ROW()-7,MAX($AW$7:$AW336)+1,""))</f>
        <v/>
      </c>
      <c r="AX337" s="31">
        <f>IF(OR($AS337="",$D$6=""),"",TRIM(INDEX($A:$AP,ROW(),$D$6)&amp;""))</f>
        <v/>
      </c>
      <c r="AY337" s="31">
        <f>IF($AU337="","",INDEX($AW$8:$AW$2007,MATCH($AU337,$AU$8:$AU$2007,0)))</f>
        <v/>
      </c>
      <c r="AZ337" s="31">
        <f>IF(OR($AS337="",$C$6=""),"",TRIM(INDEX($A:$AP,ROW(),$C$6)&amp;""))</f>
        <v/>
      </c>
      <c r="BA337" s="31">
        <f>IF($AZ337="","",IF(COUNTIF($AZ$8:$AZ337,$AZ337)&gt;1,1,0))</f>
        <v/>
      </c>
    </row>
    <row r="338">
      <c r="AR338" s="31">
        <f>IF(OR($A$5="",$B$6="",ROW()&lt;$A$5),"",IF(INDEX($A:$AP,ROW(),$B$6)="","",INDEX($A:$AP,ROW(),$B$6)))</f>
        <v/>
      </c>
      <c r="AS338" s="32">
        <f>IF($AR338="","",IF(ISNUMBER($AR338),IF($AR338&gt;=10000000,IFERROR(DATE(INT($AR338/10000),MOD(INT($AR338/100),100),MOD($AR338,100)),""),INT($AR338)),IFERROR(DATE(--LEFT(LEFT(SUBSTITUTE(SUBSTITUTE(SUBSTITUTE(SUBSTITUTE(TRIM($AR338),"-",""),".",""),"/","")," ",""),8),4),--MID(LEFT(SUBSTITUTE(SUBSTITUTE(SUBSTITUTE(SUBSTITUTE(TRIM($AR338),"-",""),".",""),"/","")," ",""),8),5,2),--MID(LEFT(SUBSTITUTE(SUBSTITUTE(SUBSTITUTE(SUBSTITUTE(TRIM($AR338),"-",""),".",""),"/","")," ",""),8),7,2)),"")))</f>
        <v/>
      </c>
      <c r="AT338" s="33">
        <f>IF($AS338="","",IF($F$6="",0,IF(ISNUMBER(INDEX($A:$AP,ROW(),$F$6)),INDEX($A:$AP,ROW(),$F$6),IFERROR(--SUBSTITUTE(SUBSTITUTE(TRIM(INDEX($A:$AP,ROW(),$F$6)),",",""),"원",""),0))))</f>
        <v/>
      </c>
      <c r="AU338" s="31">
        <f>IF($AS338="","",IF($AX338&lt;&gt;"",SUBSTITUTE(SUBSTITUTE($AX338,"-","")," ",""),"N:"&amp;$AV338))</f>
        <v/>
      </c>
      <c r="AV338" s="31">
        <f>IF(OR($AS338="",$E$6=""),"",TRIM(INDEX($A:$AP,ROW(),$E$6)&amp;""))</f>
        <v/>
      </c>
      <c r="AW338" s="31">
        <f>IF($AU338="","",IF(MATCH($AU338,$AU$8:$AU$2007,0)=ROW()-7,MAX($AW$7:$AW337)+1,""))</f>
        <v/>
      </c>
      <c r="AX338" s="31">
        <f>IF(OR($AS338="",$D$6=""),"",TRIM(INDEX($A:$AP,ROW(),$D$6)&amp;""))</f>
        <v/>
      </c>
      <c r="AY338" s="31">
        <f>IF($AU338="","",INDEX($AW$8:$AW$2007,MATCH($AU338,$AU$8:$AU$2007,0)))</f>
        <v/>
      </c>
      <c r="AZ338" s="31">
        <f>IF(OR($AS338="",$C$6=""),"",TRIM(INDEX($A:$AP,ROW(),$C$6)&amp;""))</f>
        <v/>
      </c>
      <c r="BA338" s="31">
        <f>IF($AZ338="","",IF(COUNTIF($AZ$8:$AZ338,$AZ338)&gt;1,1,0))</f>
        <v/>
      </c>
    </row>
    <row r="339">
      <c r="AR339" s="31">
        <f>IF(OR($A$5="",$B$6="",ROW()&lt;$A$5),"",IF(INDEX($A:$AP,ROW(),$B$6)="","",INDEX($A:$AP,ROW(),$B$6)))</f>
        <v/>
      </c>
      <c r="AS339" s="32">
        <f>IF($AR339="","",IF(ISNUMBER($AR339),IF($AR339&gt;=10000000,IFERROR(DATE(INT($AR339/10000),MOD(INT($AR339/100),100),MOD($AR339,100)),""),INT($AR339)),IFERROR(DATE(--LEFT(LEFT(SUBSTITUTE(SUBSTITUTE(SUBSTITUTE(SUBSTITUTE(TRIM($AR339),"-",""),".",""),"/","")," ",""),8),4),--MID(LEFT(SUBSTITUTE(SUBSTITUTE(SUBSTITUTE(SUBSTITUTE(TRIM($AR339),"-",""),".",""),"/","")," ",""),8),5,2),--MID(LEFT(SUBSTITUTE(SUBSTITUTE(SUBSTITUTE(SUBSTITUTE(TRIM($AR339),"-",""),".",""),"/","")," ",""),8),7,2)),"")))</f>
        <v/>
      </c>
      <c r="AT339" s="33">
        <f>IF($AS339="","",IF($F$6="",0,IF(ISNUMBER(INDEX($A:$AP,ROW(),$F$6)),INDEX($A:$AP,ROW(),$F$6),IFERROR(--SUBSTITUTE(SUBSTITUTE(TRIM(INDEX($A:$AP,ROW(),$F$6)),",",""),"원",""),0))))</f>
        <v/>
      </c>
      <c r="AU339" s="31">
        <f>IF($AS339="","",IF($AX339&lt;&gt;"",SUBSTITUTE(SUBSTITUTE($AX339,"-","")," ",""),"N:"&amp;$AV339))</f>
        <v/>
      </c>
      <c r="AV339" s="31">
        <f>IF(OR($AS339="",$E$6=""),"",TRIM(INDEX($A:$AP,ROW(),$E$6)&amp;""))</f>
        <v/>
      </c>
      <c r="AW339" s="31">
        <f>IF($AU339="","",IF(MATCH($AU339,$AU$8:$AU$2007,0)=ROW()-7,MAX($AW$7:$AW338)+1,""))</f>
        <v/>
      </c>
      <c r="AX339" s="31">
        <f>IF(OR($AS339="",$D$6=""),"",TRIM(INDEX($A:$AP,ROW(),$D$6)&amp;""))</f>
        <v/>
      </c>
      <c r="AY339" s="31">
        <f>IF($AU339="","",INDEX($AW$8:$AW$2007,MATCH($AU339,$AU$8:$AU$2007,0)))</f>
        <v/>
      </c>
      <c r="AZ339" s="31">
        <f>IF(OR($AS339="",$C$6=""),"",TRIM(INDEX($A:$AP,ROW(),$C$6)&amp;""))</f>
        <v/>
      </c>
      <c r="BA339" s="31">
        <f>IF($AZ339="","",IF(COUNTIF($AZ$8:$AZ339,$AZ339)&gt;1,1,0))</f>
        <v/>
      </c>
    </row>
    <row r="340">
      <c r="AR340" s="31">
        <f>IF(OR($A$5="",$B$6="",ROW()&lt;$A$5),"",IF(INDEX($A:$AP,ROW(),$B$6)="","",INDEX($A:$AP,ROW(),$B$6)))</f>
        <v/>
      </c>
      <c r="AS340" s="32">
        <f>IF($AR340="","",IF(ISNUMBER($AR340),IF($AR340&gt;=10000000,IFERROR(DATE(INT($AR340/10000),MOD(INT($AR340/100),100),MOD($AR340,100)),""),INT($AR340)),IFERROR(DATE(--LEFT(LEFT(SUBSTITUTE(SUBSTITUTE(SUBSTITUTE(SUBSTITUTE(TRIM($AR340),"-",""),".",""),"/","")," ",""),8),4),--MID(LEFT(SUBSTITUTE(SUBSTITUTE(SUBSTITUTE(SUBSTITUTE(TRIM($AR340),"-",""),".",""),"/","")," ",""),8),5,2),--MID(LEFT(SUBSTITUTE(SUBSTITUTE(SUBSTITUTE(SUBSTITUTE(TRIM($AR340),"-",""),".",""),"/","")," ",""),8),7,2)),"")))</f>
        <v/>
      </c>
      <c r="AT340" s="33">
        <f>IF($AS340="","",IF($F$6="",0,IF(ISNUMBER(INDEX($A:$AP,ROW(),$F$6)),INDEX($A:$AP,ROW(),$F$6),IFERROR(--SUBSTITUTE(SUBSTITUTE(TRIM(INDEX($A:$AP,ROW(),$F$6)),",",""),"원",""),0))))</f>
        <v/>
      </c>
      <c r="AU340" s="31">
        <f>IF($AS340="","",IF($AX340&lt;&gt;"",SUBSTITUTE(SUBSTITUTE($AX340,"-","")," ",""),"N:"&amp;$AV340))</f>
        <v/>
      </c>
      <c r="AV340" s="31">
        <f>IF(OR($AS340="",$E$6=""),"",TRIM(INDEX($A:$AP,ROW(),$E$6)&amp;""))</f>
        <v/>
      </c>
      <c r="AW340" s="31">
        <f>IF($AU340="","",IF(MATCH($AU340,$AU$8:$AU$2007,0)=ROW()-7,MAX($AW$7:$AW339)+1,""))</f>
        <v/>
      </c>
      <c r="AX340" s="31">
        <f>IF(OR($AS340="",$D$6=""),"",TRIM(INDEX($A:$AP,ROW(),$D$6)&amp;""))</f>
        <v/>
      </c>
      <c r="AY340" s="31">
        <f>IF($AU340="","",INDEX($AW$8:$AW$2007,MATCH($AU340,$AU$8:$AU$2007,0)))</f>
        <v/>
      </c>
      <c r="AZ340" s="31">
        <f>IF(OR($AS340="",$C$6=""),"",TRIM(INDEX($A:$AP,ROW(),$C$6)&amp;""))</f>
        <v/>
      </c>
      <c r="BA340" s="31">
        <f>IF($AZ340="","",IF(COUNTIF($AZ$8:$AZ340,$AZ340)&gt;1,1,0))</f>
        <v/>
      </c>
    </row>
    <row r="341">
      <c r="AR341" s="31">
        <f>IF(OR($A$5="",$B$6="",ROW()&lt;$A$5),"",IF(INDEX($A:$AP,ROW(),$B$6)="","",INDEX($A:$AP,ROW(),$B$6)))</f>
        <v/>
      </c>
      <c r="AS341" s="32">
        <f>IF($AR341="","",IF(ISNUMBER($AR341),IF($AR341&gt;=10000000,IFERROR(DATE(INT($AR341/10000),MOD(INT($AR341/100),100),MOD($AR341,100)),""),INT($AR341)),IFERROR(DATE(--LEFT(LEFT(SUBSTITUTE(SUBSTITUTE(SUBSTITUTE(SUBSTITUTE(TRIM($AR341),"-",""),".",""),"/","")," ",""),8),4),--MID(LEFT(SUBSTITUTE(SUBSTITUTE(SUBSTITUTE(SUBSTITUTE(TRIM($AR341),"-",""),".",""),"/","")," ",""),8),5,2),--MID(LEFT(SUBSTITUTE(SUBSTITUTE(SUBSTITUTE(SUBSTITUTE(TRIM($AR341),"-",""),".",""),"/","")," ",""),8),7,2)),"")))</f>
        <v/>
      </c>
      <c r="AT341" s="33">
        <f>IF($AS341="","",IF($F$6="",0,IF(ISNUMBER(INDEX($A:$AP,ROW(),$F$6)),INDEX($A:$AP,ROW(),$F$6),IFERROR(--SUBSTITUTE(SUBSTITUTE(TRIM(INDEX($A:$AP,ROW(),$F$6)),",",""),"원",""),0))))</f>
        <v/>
      </c>
      <c r="AU341" s="31">
        <f>IF($AS341="","",IF($AX341&lt;&gt;"",SUBSTITUTE(SUBSTITUTE($AX341,"-","")," ",""),"N:"&amp;$AV341))</f>
        <v/>
      </c>
      <c r="AV341" s="31">
        <f>IF(OR($AS341="",$E$6=""),"",TRIM(INDEX($A:$AP,ROW(),$E$6)&amp;""))</f>
        <v/>
      </c>
      <c r="AW341" s="31">
        <f>IF($AU341="","",IF(MATCH($AU341,$AU$8:$AU$2007,0)=ROW()-7,MAX($AW$7:$AW340)+1,""))</f>
        <v/>
      </c>
      <c r="AX341" s="31">
        <f>IF(OR($AS341="",$D$6=""),"",TRIM(INDEX($A:$AP,ROW(),$D$6)&amp;""))</f>
        <v/>
      </c>
      <c r="AY341" s="31">
        <f>IF($AU341="","",INDEX($AW$8:$AW$2007,MATCH($AU341,$AU$8:$AU$2007,0)))</f>
        <v/>
      </c>
      <c r="AZ341" s="31">
        <f>IF(OR($AS341="",$C$6=""),"",TRIM(INDEX($A:$AP,ROW(),$C$6)&amp;""))</f>
        <v/>
      </c>
      <c r="BA341" s="31">
        <f>IF($AZ341="","",IF(COUNTIF($AZ$8:$AZ341,$AZ341)&gt;1,1,0))</f>
        <v/>
      </c>
    </row>
    <row r="342">
      <c r="AR342" s="31">
        <f>IF(OR($A$5="",$B$6="",ROW()&lt;$A$5),"",IF(INDEX($A:$AP,ROW(),$B$6)="","",INDEX($A:$AP,ROW(),$B$6)))</f>
        <v/>
      </c>
      <c r="AS342" s="32">
        <f>IF($AR342="","",IF(ISNUMBER($AR342),IF($AR342&gt;=10000000,IFERROR(DATE(INT($AR342/10000),MOD(INT($AR342/100),100),MOD($AR342,100)),""),INT($AR342)),IFERROR(DATE(--LEFT(LEFT(SUBSTITUTE(SUBSTITUTE(SUBSTITUTE(SUBSTITUTE(TRIM($AR342),"-",""),".",""),"/","")," ",""),8),4),--MID(LEFT(SUBSTITUTE(SUBSTITUTE(SUBSTITUTE(SUBSTITUTE(TRIM($AR342),"-",""),".",""),"/","")," ",""),8),5,2),--MID(LEFT(SUBSTITUTE(SUBSTITUTE(SUBSTITUTE(SUBSTITUTE(TRIM($AR342),"-",""),".",""),"/","")," ",""),8),7,2)),"")))</f>
        <v/>
      </c>
      <c r="AT342" s="33">
        <f>IF($AS342="","",IF($F$6="",0,IF(ISNUMBER(INDEX($A:$AP,ROW(),$F$6)),INDEX($A:$AP,ROW(),$F$6),IFERROR(--SUBSTITUTE(SUBSTITUTE(TRIM(INDEX($A:$AP,ROW(),$F$6)),",",""),"원",""),0))))</f>
        <v/>
      </c>
      <c r="AU342" s="31">
        <f>IF($AS342="","",IF($AX342&lt;&gt;"",SUBSTITUTE(SUBSTITUTE($AX342,"-","")," ",""),"N:"&amp;$AV342))</f>
        <v/>
      </c>
      <c r="AV342" s="31">
        <f>IF(OR($AS342="",$E$6=""),"",TRIM(INDEX($A:$AP,ROW(),$E$6)&amp;""))</f>
        <v/>
      </c>
      <c r="AW342" s="31">
        <f>IF($AU342="","",IF(MATCH($AU342,$AU$8:$AU$2007,0)=ROW()-7,MAX($AW$7:$AW341)+1,""))</f>
        <v/>
      </c>
      <c r="AX342" s="31">
        <f>IF(OR($AS342="",$D$6=""),"",TRIM(INDEX($A:$AP,ROW(),$D$6)&amp;""))</f>
        <v/>
      </c>
      <c r="AY342" s="31">
        <f>IF($AU342="","",INDEX($AW$8:$AW$2007,MATCH($AU342,$AU$8:$AU$2007,0)))</f>
        <v/>
      </c>
      <c r="AZ342" s="31">
        <f>IF(OR($AS342="",$C$6=""),"",TRIM(INDEX($A:$AP,ROW(),$C$6)&amp;""))</f>
        <v/>
      </c>
      <c r="BA342" s="31">
        <f>IF($AZ342="","",IF(COUNTIF($AZ$8:$AZ342,$AZ342)&gt;1,1,0))</f>
        <v/>
      </c>
    </row>
    <row r="343">
      <c r="AR343" s="31">
        <f>IF(OR($A$5="",$B$6="",ROW()&lt;$A$5),"",IF(INDEX($A:$AP,ROW(),$B$6)="","",INDEX($A:$AP,ROW(),$B$6)))</f>
        <v/>
      </c>
      <c r="AS343" s="32">
        <f>IF($AR343="","",IF(ISNUMBER($AR343),IF($AR343&gt;=10000000,IFERROR(DATE(INT($AR343/10000),MOD(INT($AR343/100),100),MOD($AR343,100)),""),INT($AR343)),IFERROR(DATE(--LEFT(LEFT(SUBSTITUTE(SUBSTITUTE(SUBSTITUTE(SUBSTITUTE(TRIM($AR343),"-",""),".",""),"/","")," ",""),8),4),--MID(LEFT(SUBSTITUTE(SUBSTITUTE(SUBSTITUTE(SUBSTITUTE(TRIM($AR343),"-",""),".",""),"/","")," ",""),8),5,2),--MID(LEFT(SUBSTITUTE(SUBSTITUTE(SUBSTITUTE(SUBSTITUTE(TRIM($AR343),"-",""),".",""),"/","")," ",""),8),7,2)),"")))</f>
        <v/>
      </c>
      <c r="AT343" s="33">
        <f>IF($AS343="","",IF($F$6="",0,IF(ISNUMBER(INDEX($A:$AP,ROW(),$F$6)),INDEX($A:$AP,ROW(),$F$6),IFERROR(--SUBSTITUTE(SUBSTITUTE(TRIM(INDEX($A:$AP,ROW(),$F$6)),",",""),"원",""),0))))</f>
        <v/>
      </c>
      <c r="AU343" s="31">
        <f>IF($AS343="","",IF($AX343&lt;&gt;"",SUBSTITUTE(SUBSTITUTE($AX343,"-","")," ",""),"N:"&amp;$AV343))</f>
        <v/>
      </c>
      <c r="AV343" s="31">
        <f>IF(OR($AS343="",$E$6=""),"",TRIM(INDEX($A:$AP,ROW(),$E$6)&amp;""))</f>
        <v/>
      </c>
      <c r="AW343" s="31">
        <f>IF($AU343="","",IF(MATCH($AU343,$AU$8:$AU$2007,0)=ROW()-7,MAX($AW$7:$AW342)+1,""))</f>
        <v/>
      </c>
      <c r="AX343" s="31">
        <f>IF(OR($AS343="",$D$6=""),"",TRIM(INDEX($A:$AP,ROW(),$D$6)&amp;""))</f>
        <v/>
      </c>
      <c r="AY343" s="31">
        <f>IF($AU343="","",INDEX($AW$8:$AW$2007,MATCH($AU343,$AU$8:$AU$2007,0)))</f>
        <v/>
      </c>
      <c r="AZ343" s="31">
        <f>IF(OR($AS343="",$C$6=""),"",TRIM(INDEX($A:$AP,ROW(),$C$6)&amp;""))</f>
        <v/>
      </c>
      <c r="BA343" s="31">
        <f>IF($AZ343="","",IF(COUNTIF($AZ$8:$AZ343,$AZ343)&gt;1,1,0))</f>
        <v/>
      </c>
    </row>
    <row r="344">
      <c r="AR344" s="31">
        <f>IF(OR($A$5="",$B$6="",ROW()&lt;$A$5),"",IF(INDEX($A:$AP,ROW(),$B$6)="","",INDEX($A:$AP,ROW(),$B$6)))</f>
        <v/>
      </c>
      <c r="AS344" s="32">
        <f>IF($AR344="","",IF(ISNUMBER($AR344),IF($AR344&gt;=10000000,IFERROR(DATE(INT($AR344/10000),MOD(INT($AR344/100),100),MOD($AR344,100)),""),INT($AR344)),IFERROR(DATE(--LEFT(LEFT(SUBSTITUTE(SUBSTITUTE(SUBSTITUTE(SUBSTITUTE(TRIM($AR344),"-",""),".",""),"/","")," ",""),8),4),--MID(LEFT(SUBSTITUTE(SUBSTITUTE(SUBSTITUTE(SUBSTITUTE(TRIM($AR344),"-",""),".",""),"/","")," ",""),8),5,2),--MID(LEFT(SUBSTITUTE(SUBSTITUTE(SUBSTITUTE(SUBSTITUTE(TRIM($AR344),"-",""),".",""),"/","")," ",""),8),7,2)),"")))</f>
        <v/>
      </c>
      <c r="AT344" s="33">
        <f>IF($AS344="","",IF($F$6="",0,IF(ISNUMBER(INDEX($A:$AP,ROW(),$F$6)),INDEX($A:$AP,ROW(),$F$6),IFERROR(--SUBSTITUTE(SUBSTITUTE(TRIM(INDEX($A:$AP,ROW(),$F$6)),",",""),"원",""),0))))</f>
        <v/>
      </c>
      <c r="AU344" s="31">
        <f>IF($AS344="","",IF($AX344&lt;&gt;"",SUBSTITUTE(SUBSTITUTE($AX344,"-","")," ",""),"N:"&amp;$AV344))</f>
        <v/>
      </c>
      <c r="AV344" s="31">
        <f>IF(OR($AS344="",$E$6=""),"",TRIM(INDEX($A:$AP,ROW(),$E$6)&amp;""))</f>
        <v/>
      </c>
      <c r="AW344" s="31">
        <f>IF($AU344="","",IF(MATCH($AU344,$AU$8:$AU$2007,0)=ROW()-7,MAX($AW$7:$AW343)+1,""))</f>
        <v/>
      </c>
      <c r="AX344" s="31">
        <f>IF(OR($AS344="",$D$6=""),"",TRIM(INDEX($A:$AP,ROW(),$D$6)&amp;""))</f>
        <v/>
      </c>
      <c r="AY344" s="31">
        <f>IF($AU344="","",INDEX($AW$8:$AW$2007,MATCH($AU344,$AU$8:$AU$2007,0)))</f>
        <v/>
      </c>
      <c r="AZ344" s="31">
        <f>IF(OR($AS344="",$C$6=""),"",TRIM(INDEX($A:$AP,ROW(),$C$6)&amp;""))</f>
        <v/>
      </c>
      <c r="BA344" s="31">
        <f>IF($AZ344="","",IF(COUNTIF($AZ$8:$AZ344,$AZ344)&gt;1,1,0))</f>
        <v/>
      </c>
    </row>
    <row r="345">
      <c r="AR345" s="31">
        <f>IF(OR($A$5="",$B$6="",ROW()&lt;$A$5),"",IF(INDEX($A:$AP,ROW(),$B$6)="","",INDEX($A:$AP,ROW(),$B$6)))</f>
        <v/>
      </c>
      <c r="AS345" s="32">
        <f>IF($AR345="","",IF(ISNUMBER($AR345),IF($AR345&gt;=10000000,IFERROR(DATE(INT($AR345/10000),MOD(INT($AR345/100),100),MOD($AR345,100)),""),INT($AR345)),IFERROR(DATE(--LEFT(LEFT(SUBSTITUTE(SUBSTITUTE(SUBSTITUTE(SUBSTITUTE(TRIM($AR345),"-",""),".",""),"/","")," ",""),8),4),--MID(LEFT(SUBSTITUTE(SUBSTITUTE(SUBSTITUTE(SUBSTITUTE(TRIM($AR345),"-",""),".",""),"/","")," ",""),8),5,2),--MID(LEFT(SUBSTITUTE(SUBSTITUTE(SUBSTITUTE(SUBSTITUTE(TRIM($AR345),"-",""),".",""),"/","")," ",""),8),7,2)),"")))</f>
        <v/>
      </c>
      <c r="AT345" s="33">
        <f>IF($AS345="","",IF($F$6="",0,IF(ISNUMBER(INDEX($A:$AP,ROW(),$F$6)),INDEX($A:$AP,ROW(),$F$6),IFERROR(--SUBSTITUTE(SUBSTITUTE(TRIM(INDEX($A:$AP,ROW(),$F$6)),",",""),"원",""),0))))</f>
        <v/>
      </c>
      <c r="AU345" s="31">
        <f>IF($AS345="","",IF($AX345&lt;&gt;"",SUBSTITUTE(SUBSTITUTE($AX345,"-","")," ",""),"N:"&amp;$AV345))</f>
        <v/>
      </c>
      <c r="AV345" s="31">
        <f>IF(OR($AS345="",$E$6=""),"",TRIM(INDEX($A:$AP,ROW(),$E$6)&amp;""))</f>
        <v/>
      </c>
      <c r="AW345" s="31">
        <f>IF($AU345="","",IF(MATCH($AU345,$AU$8:$AU$2007,0)=ROW()-7,MAX($AW$7:$AW344)+1,""))</f>
        <v/>
      </c>
      <c r="AX345" s="31">
        <f>IF(OR($AS345="",$D$6=""),"",TRIM(INDEX($A:$AP,ROW(),$D$6)&amp;""))</f>
        <v/>
      </c>
      <c r="AY345" s="31">
        <f>IF($AU345="","",INDEX($AW$8:$AW$2007,MATCH($AU345,$AU$8:$AU$2007,0)))</f>
        <v/>
      </c>
      <c r="AZ345" s="31">
        <f>IF(OR($AS345="",$C$6=""),"",TRIM(INDEX($A:$AP,ROW(),$C$6)&amp;""))</f>
        <v/>
      </c>
      <c r="BA345" s="31">
        <f>IF($AZ345="","",IF(COUNTIF($AZ$8:$AZ345,$AZ345)&gt;1,1,0))</f>
        <v/>
      </c>
    </row>
    <row r="346">
      <c r="AR346" s="31">
        <f>IF(OR($A$5="",$B$6="",ROW()&lt;$A$5),"",IF(INDEX($A:$AP,ROW(),$B$6)="","",INDEX($A:$AP,ROW(),$B$6)))</f>
        <v/>
      </c>
      <c r="AS346" s="32">
        <f>IF($AR346="","",IF(ISNUMBER($AR346),IF($AR346&gt;=10000000,IFERROR(DATE(INT($AR346/10000),MOD(INT($AR346/100),100),MOD($AR346,100)),""),INT($AR346)),IFERROR(DATE(--LEFT(LEFT(SUBSTITUTE(SUBSTITUTE(SUBSTITUTE(SUBSTITUTE(TRIM($AR346),"-",""),".",""),"/","")," ",""),8),4),--MID(LEFT(SUBSTITUTE(SUBSTITUTE(SUBSTITUTE(SUBSTITUTE(TRIM($AR346),"-",""),".",""),"/","")," ",""),8),5,2),--MID(LEFT(SUBSTITUTE(SUBSTITUTE(SUBSTITUTE(SUBSTITUTE(TRIM($AR346),"-",""),".",""),"/","")," ",""),8),7,2)),"")))</f>
        <v/>
      </c>
      <c r="AT346" s="33">
        <f>IF($AS346="","",IF($F$6="",0,IF(ISNUMBER(INDEX($A:$AP,ROW(),$F$6)),INDEX($A:$AP,ROW(),$F$6),IFERROR(--SUBSTITUTE(SUBSTITUTE(TRIM(INDEX($A:$AP,ROW(),$F$6)),",",""),"원",""),0))))</f>
        <v/>
      </c>
      <c r="AU346" s="31">
        <f>IF($AS346="","",IF($AX346&lt;&gt;"",SUBSTITUTE(SUBSTITUTE($AX346,"-","")," ",""),"N:"&amp;$AV346))</f>
        <v/>
      </c>
      <c r="AV346" s="31">
        <f>IF(OR($AS346="",$E$6=""),"",TRIM(INDEX($A:$AP,ROW(),$E$6)&amp;""))</f>
        <v/>
      </c>
      <c r="AW346" s="31">
        <f>IF($AU346="","",IF(MATCH($AU346,$AU$8:$AU$2007,0)=ROW()-7,MAX($AW$7:$AW345)+1,""))</f>
        <v/>
      </c>
      <c r="AX346" s="31">
        <f>IF(OR($AS346="",$D$6=""),"",TRIM(INDEX($A:$AP,ROW(),$D$6)&amp;""))</f>
        <v/>
      </c>
      <c r="AY346" s="31">
        <f>IF($AU346="","",INDEX($AW$8:$AW$2007,MATCH($AU346,$AU$8:$AU$2007,0)))</f>
        <v/>
      </c>
      <c r="AZ346" s="31">
        <f>IF(OR($AS346="",$C$6=""),"",TRIM(INDEX($A:$AP,ROW(),$C$6)&amp;""))</f>
        <v/>
      </c>
      <c r="BA346" s="31">
        <f>IF($AZ346="","",IF(COUNTIF($AZ$8:$AZ346,$AZ346)&gt;1,1,0))</f>
        <v/>
      </c>
    </row>
    <row r="347">
      <c r="AR347" s="31">
        <f>IF(OR($A$5="",$B$6="",ROW()&lt;$A$5),"",IF(INDEX($A:$AP,ROW(),$B$6)="","",INDEX($A:$AP,ROW(),$B$6)))</f>
        <v/>
      </c>
      <c r="AS347" s="32">
        <f>IF($AR347="","",IF(ISNUMBER($AR347),IF($AR347&gt;=10000000,IFERROR(DATE(INT($AR347/10000),MOD(INT($AR347/100),100),MOD($AR347,100)),""),INT($AR347)),IFERROR(DATE(--LEFT(LEFT(SUBSTITUTE(SUBSTITUTE(SUBSTITUTE(SUBSTITUTE(TRIM($AR347),"-",""),".",""),"/","")," ",""),8),4),--MID(LEFT(SUBSTITUTE(SUBSTITUTE(SUBSTITUTE(SUBSTITUTE(TRIM($AR347),"-",""),".",""),"/","")," ",""),8),5,2),--MID(LEFT(SUBSTITUTE(SUBSTITUTE(SUBSTITUTE(SUBSTITUTE(TRIM($AR347),"-",""),".",""),"/","")," ",""),8),7,2)),"")))</f>
        <v/>
      </c>
      <c r="AT347" s="33">
        <f>IF($AS347="","",IF($F$6="",0,IF(ISNUMBER(INDEX($A:$AP,ROW(),$F$6)),INDEX($A:$AP,ROW(),$F$6),IFERROR(--SUBSTITUTE(SUBSTITUTE(TRIM(INDEX($A:$AP,ROW(),$F$6)),",",""),"원",""),0))))</f>
        <v/>
      </c>
      <c r="AU347" s="31">
        <f>IF($AS347="","",IF($AX347&lt;&gt;"",SUBSTITUTE(SUBSTITUTE($AX347,"-","")," ",""),"N:"&amp;$AV347))</f>
        <v/>
      </c>
      <c r="AV347" s="31">
        <f>IF(OR($AS347="",$E$6=""),"",TRIM(INDEX($A:$AP,ROW(),$E$6)&amp;""))</f>
        <v/>
      </c>
      <c r="AW347" s="31">
        <f>IF($AU347="","",IF(MATCH($AU347,$AU$8:$AU$2007,0)=ROW()-7,MAX($AW$7:$AW346)+1,""))</f>
        <v/>
      </c>
      <c r="AX347" s="31">
        <f>IF(OR($AS347="",$D$6=""),"",TRIM(INDEX($A:$AP,ROW(),$D$6)&amp;""))</f>
        <v/>
      </c>
      <c r="AY347" s="31">
        <f>IF($AU347="","",INDEX($AW$8:$AW$2007,MATCH($AU347,$AU$8:$AU$2007,0)))</f>
        <v/>
      </c>
      <c r="AZ347" s="31">
        <f>IF(OR($AS347="",$C$6=""),"",TRIM(INDEX($A:$AP,ROW(),$C$6)&amp;""))</f>
        <v/>
      </c>
      <c r="BA347" s="31">
        <f>IF($AZ347="","",IF(COUNTIF($AZ$8:$AZ347,$AZ347)&gt;1,1,0))</f>
        <v/>
      </c>
    </row>
    <row r="348">
      <c r="AR348" s="31">
        <f>IF(OR($A$5="",$B$6="",ROW()&lt;$A$5),"",IF(INDEX($A:$AP,ROW(),$B$6)="","",INDEX($A:$AP,ROW(),$B$6)))</f>
        <v/>
      </c>
      <c r="AS348" s="32">
        <f>IF($AR348="","",IF(ISNUMBER($AR348),IF($AR348&gt;=10000000,IFERROR(DATE(INT($AR348/10000),MOD(INT($AR348/100),100),MOD($AR348,100)),""),INT($AR348)),IFERROR(DATE(--LEFT(LEFT(SUBSTITUTE(SUBSTITUTE(SUBSTITUTE(SUBSTITUTE(TRIM($AR348),"-",""),".",""),"/","")," ",""),8),4),--MID(LEFT(SUBSTITUTE(SUBSTITUTE(SUBSTITUTE(SUBSTITUTE(TRIM($AR348),"-",""),".",""),"/","")," ",""),8),5,2),--MID(LEFT(SUBSTITUTE(SUBSTITUTE(SUBSTITUTE(SUBSTITUTE(TRIM($AR348),"-",""),".",""),"/","")," ",""),8),7,2)),"")))</f>
        <v/>
      </c>
      <c r="AT348" s="33">
        <f>IF($AS348="","",IF($F$6="",0,IF(ISNUMBER(INDEX($A:$AP,ROW(),$F$6)),INDEX($A:$AP,ROW(),$F$6),IFERROR(--SUBSTITUTE(SUBSTITUTE(TRIM(INDEX($A:$AP,ROW(),$F$6)),",",""),"원",""),0))))</f>
        <v/>
      </c>
      <c r="AU348" s="31">
        <f>IF($AS348="","",IF($AX348&lt;&gt;"",SUBSTITUTE(SUBSTITUTE($AX348,"-","")," ",""),"N:"&amp;$AV348))</f>
        <v/>
      </c>
      <c r="AV348" s="31">
        <f>IF(OR($AS348="",$E$6=""),"",TRIM(INDEX($A:$AP,ROW(),$E$6)&amp;""))</f>
        <v/>
      </c>
      <c r="AW348" s="31">
        <f>IF($AU348="","",IF(MATCH($AU348,$AU$8:$AU$2007,0)=ROW()-7,MAX($AW$7:$AW347)+1,""))</f>
        <v/>
      </c>
      <c r="AX348" s="31">
        <f>IF(OR($AS348="",$D$6=""),"",TRIM(INDEX($A:$AP,ROW(),$D$6)&amp;""))</f>
        <v/>
      </c>
      <c r="AY348" s="31">
        <f>IF($AU348="","",INDEX($AW$8:$AW$2007,MATCH($AU348,$AU$8:$AU$2007,0)))</f>
        <v/>
      </c>
      <c r="AZ348" s="31">
        <f>IF(OR($AS348="",$C$6=""),"",TRIM(INDEX($A:$AP,ROW(),$C$6)&amp;""))</f>
        <v/>
      </c>
      <c r="BA348" s="31">
        <f>IF($AZ348="","",IF(COUNTIF($AZ$8:$AZ348,$AZ348)&gt;1,1,0))</f>
        <v/>
      </c>
    </row>
    <row r="349">
      <c r="AR349" s="31">
        <f>IF(OR($A$5="",$B$6="",ROW()&lt;$A$5),"",IF(INDEX($A:$AP,ROW(),$B$6)="","",INDEX($A:$AP,ROW(),$B$6)))</f>
        <v/>
      </c>
      <c r="AS349" s="32">
        <f>IF($AR349="","",IF(ISNUMBER($AR349),IF($AR349&gt;=10000000,IFERROR(DATE(INT($AR349/10000),MOD(INT($AR349/100),100),MOD($AR349,100)),""),INT($AR349)),IFERROR(DATE(--LEFT(LEFT(SUBSTITUTE(SUBSTITUTE(SUBSTITUTE(SUBSTITUTE(TRIM($AR349),"-",""),".",""),"/","")," ",""),8),4),--MID(LEFT(SUBSTITUTE(SUBSTITUTE(SUBSTITUTE(SUBSTITUTE(TRIM($AR349),"-",""),".",""),"/","")," ",""),8),5,2),--MID(LEFT(SUBSTITUTE(SUBSTITUTE(SUBSTITUTE(SUBSTITUTE(TRIM($AR349),"-",""),".",""),"/","")," ",""),8),7,2)),"")))</f>
        <v/>
      </c>
      <c r="AT349" s="33">
        <f>IF($AS349="","",IF($F$6="",0,IF(ISNUMBER(INDEX($A:$AP,ROW(),$F$6)),INDEX($A:$AP,ROW(),$F$6),IFERROR(--SUBSTITUTE(SUBSTITUTE(TRIM(INDEX($A:$AP,ROW(),$F$6)),",",""),"원",""),0))))</f>
        <v/>
      </c>
      <c r="AU349" s="31">
        <f>IF($AS349="","",IF($AX349&lt;&gt;"",SUBSTITUTE(SUBSTITUTE($AX349,"-","")," ",""),"N:"&amp;$AV349))</f>
        <v/>
      </c>
      <c r="AV349" s="31">
        <f>IF(OR($AS349="",$E$6=""),"",TRIM(INDEX($A:$AP,ROW(),$E$6)&amp;""))</f>
        <v/>
      </c>
      <c r="AW349" s="31">
        <f>IF($AU349="","",IF(MATCH($AU349,$AU$8:$AU$2007,0)=ROW()-7,MAX($AW$7:$AW348)+1,""))</f>
        <v/>
      </c>
      <c r="AX349" s="31">
        <f>IF(OR($AS349="",$D$6=""),"",TRIM(INDEX($A:$AP,ROW(),$D$6)&amp;""))</f>
        <v/>
      </c>
      <c r="AY349" s="31">
        <f>IF($AU349="","",INDEX($AW$8:$AW$2007,MATCH($AU349,$AU$8:$AU$2007,0)))</f>
        <v/>
      </c>
      <c r="AZ349" s="31">
        <f>IF(OR($AS349="",$C$6=""),"",TRIM(INDEX($A:$AP,ROW(),$C$6)&amp;""))</f>
        <v/>
      </c>
      <c r="BA349" s="31">
        <f>IF($AZ349="","",IF(COUNTIF($AZ$8:$AZ349,$AZ349)&gt;1,1,0))</f>
        <v/>
      </c>
    </row>
    <row r="350">
      <c r="AR350" s="31">
        <f>IF(OR($A$5="",$B$6="",ROW()&lt;$A$5),"",IF(INDEX($A:$AP,ROW(),$B$6)="","",INDEX($A:$AP,ROW(),$B$6)))</f>
        <v/>
      </c>
      <c r="AS350" s="32">
        <f>IF($AR350="","",IF(ISNUMBER($AR350),IF($AR350&gt;=10000000,IFERROR(DATE(INT($AR350/10000),MOD(INT($AR350/100),100),MOD($AR350,100)),""),INT($AR350)),IFERROR(DATE(--LEFT(LEFT(SUBSTITUTE(SUBSTITUTE(SUBSTITUTE(SUBSTITUTE(TRIM($AR350),"-",""),".",""),"/","")," ",""),8),4),--MID(LEFT(SUBSTITUTE(SUBSTITUTE(SUBSTITUTE(SUBSTITUTE(TRIM($AR350),"-",""),".",""),"/","")," ",""),8),5,2),--MID(LEFT(SUBSTITUTE(SUBSTITUTE(SUBSTITUTE(SUBSTITUTE(TRIM($AR350),"-",""),".",""),"/","")," ",""),8),7,2)),"")))</f>
        <v/>
      </c>
      <c r="AT350" s="33">
        <f>IF($AS350="","",IF($F$6="",0,IF(ISNUMBER(INDEX($A:$AP,ROW(),$F$6)),INDEX($A:$AP,ROW(),$F$6),IFERROR(--SUBSTITUTE(SUBSTITUTE(TRIM(INDEX($A:$AP,ROW(),$F$6)),",",""),"원",""),0))))</f>
        <v/>
      </c>
      <c r="AU350" s="31">
        <f>IF($AS350="","",IF($AX350&lt;&gt;"",SUBSTITUTE(SUBSTITUTE($AX350,"-","")," ",""),"N:"&amp;$AV350))</f>
        <v/>
      </c>
      <c r="AV350" s="31">
        <f>IF(OR($AS350="",$E$6=""),"",TRIM(INDEX($A:$AP,ROW(),$E$6)&amp;""))</f>
        <v/>
      </c>
      <c r="AW350" s="31">
        <f>IF($AU350="","",IF(MATCH($AU350,$AU$8:$AU$2007,0)=ROW()-7,MAX($AW$7:$AW349)+1,""))</f>
        <v/>
      </c>
      <c r="AX350" s="31">
        <f>IF(OR($AS350="",$D$6=""),"",TRIM(INDEX($A:$AP,ROW(),$D$6)&amp;""))</f>
        <v/>
      </c>
      <c r="AY350" s="31">
        <f>IF($AU350="","",INDEX($AW$8:$AW$2007,MATCH($AU350,$AU$8:$AU$2007,0)))</f>
        <v/>
      </c>
      <c r="AZ350" s="31">
        <f>IF(OR($AS350="",$C$6=""),"",TRIM(INDEX($A:$AP,ROW(),$C$6)&amp;""))</f>
        <v/>
      </c>
      <c r="BA350" s="31">
        <f>IF($AZ350="","",IF(COUNTIF($AZ$8:$AZ350,$AZ350)&gt;1,1,0))</f>
        <v/>
      </c>
    </row>
    <row r="351">
      <c r="AR351" s="31">
        <f>IF(OR($A$5="",$B$6="",ROW()&lt;$A$5),"",IF(INDEX($A:$AP,ROW(),$B$6)="","",INDEX($A:$AP,ROW(),$B$6)))</f>
        <v/>
      </c>
      <c r="AS351" s="32">
        <f>IF($AR351="","",IF(ISNUMBER($AR351),IF($AR351&gt;=10000000,IFERROR(DATE(INT($AR351/10000),MOD(INT($AR351/100),100),MOD($AR351,100)),""),INT($AR351)),IFERROR(DATE(--LEFT(LEFT(SUBSTITUTE(SUBSTITUTE(SUBSTITUTE(SUBSTITUTE(TRIM($AR351),"-",""),".",""),"/","")," ",""),8),4),--MID(LEFT(SUBSTITUTE(SUBSTITUTE(SUBSTITUTE(SUBSTITUTE(TRIM($AR351),"-",""),".",""),"/","")," ",""),8),5,2),--MID(LEFT(SUBSTITUTE(SUBSTITUTE(SUBSTITUTE(SUBSTITUTE(TRIM($AR351),"-",""),".",""),"/","")," ",""),8),7,2)),"")))</f>
        <v/>
      </c>
      <c r="AT351" s="33">
        <f>IF($AS351="","",IF($F$6="",0,IF(ISNUMBER(INDEX($A:$AP,ROW(),$F$6)),INDEX($A:$AP,ROW(),$F$6),IFERROR(--SUBSTITUTE(SUBSTITUTE(TRIM(INDEX($A:$AP,ROW(),$F$6)),",",""),"원",""),0))))</f>
        <v/>
      </c>
      <c r="AU351" s="31">
        <f>IF($AS351="","",IF($AX351&lt;&gt;"",SUBSTITUTE(SUBSTITUTE($AX351,"-","")," ",""),"N:"&amp;$AV351))</f>
        <v/>
      </c>
      <c r="AV351" s="31">
        <f>IF(OR($AS351="",$E$6=""),"",TRIM(INDEX($A:$AP,ROW(),$E$6)&amp;""))</f>
        <v/>
      </c>
      <c r="AW351" s="31">
        <f>IF($AU351="","",IF(MATCH($AU351,$AU$8:$AU$2007,0)=ROW()-7,MAX($AW$7:$AW350)+1,""))</f>
        <v/>
      </c>
      <c r="AX351" s="31">
        <f>IF(OR($AS351="",$D$6=""),"",TRIM(INDEX($A:$AP,ROW(),$D$6)&amp;""))</f>
        <v/>
      </c>
      <c r="AY351" s="31">
        <f>IF($AU351="","",INDEX($AW$8:$AW$2007,MATCH($AU351,$AU$8:$AU$2007,0)))</f>
        <v/>
      </c>
      <c r="AZ351" s="31">
        <f>IF(OR($AS351="",$C$6=""),"",TRIM(INDEX($A:$AP,ROW(),$C$6)&amp;""))</f>
        <v/>
      </c>
      <c r="BA351" s="31">
        <f>IF($AZ351="","",IF(COUNTIF($AZ$8:$AZ351,$AZ351)&gt;1,1,0))</f>
        <v/>
      </c>
    </row>
    <row r="352">
      <c r="AR352" s="31">
        <f>IF(OR($A$5="",$B$6="",ROW()&lt;$A$5),"",IF(INDEX($A:$AP,ROW(),$B$6)="","",INDEX($A:$AP,ROW(),$B$6)))</f>
        <v/>
      </c>
      <c r="AS352" s="32">
        <f>IF($AR352="","",IF(ISNUMBER($AR352),IF($AR352&gt;=10000000,IFERROR(DATE(INT($AR352/10000),MOD(INT($AR352/100),100),MOD($AR352,100)),""),INT($AR352)),IFERROR(DATE(--LEFT(LEFT(SUBSTITUTE(SUBSTITUTE(SUBSTITUTE(SUBSTITUTE(TRIM($AR352),"-",""),".",""),"/","")," ",""),8),4),--MID(LEFT(SUBSTITUTE(SUBSTITUTE(SUBSTITUTE(SUBSTITUTE(TRIM($AR352),"-",""),".",""),"/","")," ",""),8),5,2),--MID(LEFT(SUBSTITUTE(SUBSTITUTE(SUBSTITUTE(SUBSTITUTE(TRIM($AR352),"-",""),".",""),"/","")," ",""),8),7,2)),"")))</f>
        <v/>
      </c>
      <c r="AT352" s="33">
        <f>IF($AS352="","",IF($F$6="",0,IF(ISNUMBER(INDEX($A:$AP,ROW(),$F$6)),INDEX($A:$AP,ROW(),$F$6),IFERROR(--SUBSTITUTE(SUBSTITUTE(TRIM(INDEX($A:$AP,ROW(),$F$6)),",",""),"원",""),0))))</f>
        <v/>
      </c>
      <c r="AU352" s="31">
        <f>IF($AS352="","",IF($AX352&lt;&gt;"",SUBSTITUTE(SUBSTITUTE($AX352,"-","")," ",""),"N:"&amp;$AV352))</f>
        <v/>
      </c>
      <c r="AV352" s="31">
        <f>IF(OR($AS352="",$E$6=""),"",TRIM(INDEX($A:$AP,ROW(),$E$6)&amp;""))</f>
        <v/>
      </c>
      <c r="AW352" s="31">
        <f>IF($AU352="","",IF(MATCH($AU352,$AU$8:$AU$2007,0)=ROW()-7,MAX($AW$7:$AW351)+1,""))</f>
        <v/>
      </c>
      <c r="AX352" s="31">
        <f>IF(OR($AS352="",$D$6=""),"",TRIM(INDEX($A:$AP,ROW(),$D$6)&amp;""))</f>
        <v/>
      </c>
      <c r="AY352" s="31">
        <f>IF($AU352="","",INDEX($AW$8:$AW$2007,MATCH($AU352,$AU$8:$AU$2007,0)))</f>
        <v/>
      </c>
      <c r="AZ352" s="31">
        <f>IF(OR($AS352="",$C$6=""),"",TRIM(INDEX($A:$AP,ROW(),$C$6)&amp;""))</f>
        <v/>
      </c>
      <c r="BA352" s="31">
        <f>IF($AZ352="","",IF(COUNTIF($AZ$8:$AZ352,$AZ352)&gt;1,1,0))</f>
        <v/>
      </c>
    </row>
    <row r="353">
      <c r="AR353" s="31">
        <f>IF(OR($A$5="",$B$6="",ROW()&lt;$A$5),"",IF(INDEX($A:$AP,ROW(),$B$6)="","",INDEX($A:$AP,ROW(),$B$6)))</f>
        <v/>
      </c>
      <c r="AS353" s="32">
        <f>IF($AR353="","",IF(ISNUMBER($AR353),IF($AR353&gt;=10000000,IFERROR(DATE(INT($AR353/10000),MOD(INT($AR353/100),100),MOD($AR353,100)),""),INT($AR353)),IFERROR(DATE(--LEFT(LEFT(SUBSTITUTE(SUBSTITUTE(SUBSTITUTE(SUBSTITUTE(TRIM($AR353),"-",""),".",""),"/","")," ",""),8),4),--MID(LEFT(SUBSTITUTE(SUBSTITUTE(SUBSTITUTE(SUBSTITUTE(TRIM($AR353),"-",""),".",""),"/","")," ",""),8),5,2),--MID(LEFT(SUBSTITUTE(SUBSTITUTE(SUBSTITUTE(SUBSTITUTE(TRIM($AR353),"-",""),".",""),"/","")," ",""),8),7,2)),"")))</f>
        <v/>
      </c>
      <c r="AT353" s="33">
        <f>IF($AS353="","",IF($F$6="",0,IF(ISNUMBER(INDEX($A:$AP,ROW(),$F$6)),INDEX($A:$AP,ROW(),$F$6),IFERROR(--SUBSTITUTE(SUBSTITUTE(TRIM(INDEX($A:$AP,ROW(),$F$6)),",",""),"원",""),0))))</f>
        <v/>
      </c>
      <c r="AU353" s="31">
        <f>IF($AS353="","",IF($AX353&lt;&gt;"",SUBSTITUTE(SUBSTITUTE($AX353,"-","")," ",""),"N:"&amp;$AV353))</f>
        <v/>
      </c>
      <c r="AV353" s="31">
        <f>IF(OR($AS353="",$E$6=""),"",TRIM(INDEX($A:$AP,ROW(),$E$6)&amp;""))</f>
        <v/>
      </c>
      <c r="AW353" s="31">
        <f>IF($AU353="","",IF(MATCH($AU353,$AU$8:$AU$2007,0)=ROW()-7,MAX($AW$7:$AW352)+1,""))</f>
        <v/>
      </c>
      <c r="AX353" s="31">
        <f>IF(OR($AS353="",$D$6=""),"",TRIM(INDEX($A:$AP,ROW(),$D$6)&amp;""))</f>
        <v/>
      </c>
      <c r="AY353" s="31">
        <f>IF($AU353="","",INDEX($AW$8:$AW$2007,MATCH($AU353,$AU$8:$AU$2007,0)))</f>
        <v/>
      </c>
      <c r="AZ353" s="31">
        <f>IF(OR($AS353="",$C$6=""),"",TRIM(INDEX($A:$AP,ROW(),$C$6)&amp;""))</f>
        <v/>
      </c>
      <c r="BA353" s="31">
        <f>IF($AZ353="","",IF(COUNTIF($AZ$8:$AZ353,$AZ353)&gt;1,1,0))</f>
        <v/>
      </c>
    </row>
    <row r="354">
      <c r="AR354" s="31">
        <f>IF(OR($A$5="",$B$6="",ROW()&lt;$A$5),"",IF(INDEX($A:$AP,ROW(),$B$6)="","",INDEX($A:$AP,ROW(),$B$6)))</f>
        <v/>
      </c>
      <c r="AS354" s="32">
        <f>IF($AR354="","",IF(ISNUMBER($AR354),IF($AR354&gt;=10000000,IFERROR(DATE(INT($AR354/10000),MOD(INT($AR354/100),100),MOD($AR354,100)),""),INT($AR354)),IFERROR(DATE(--LEFT(LEFT(SUBSTITUTE(SUBSTITUTE(SUBSTITUTE(SUBSTITUTE(TRIM($AR354),"-",""),".",""),"/","")," ",""),8),4),--MID(LEFT(SUBSTITUTE(SUBSTITUTE(SUBSTITUTE(SUBSTITUTE(TRIM($AR354),"-",""),".",""),"/","")," ",""),8),5,2),--MID(LEFT(SUBSTITUTE(SUBSTITUTE(SUBSTITUTE(SUBSTITUTE(TRIM($AR354),"-",""),".",""),"/","")," ",""),8),7,2)),"")))</f>
        <v/>
      </c>
      <c r="AT354" s="33">
        <f>IF($AS354="","",IF($F$6="",0,IF(ISNUMBER(INDEX($A:$AP,ROW(),$F$6)),INDEX($A:$AP,ROW(),$F$6),IFERROR(--SUBSTITUTE(SUBSTITUTE(TRIM(INDEX($A:$AP,ROW(),$F$6)),",",""),"원",""),0))))</f>
        <v/>
      </c>
      <c r="AU354" s="31">
        <f>IF($AS354="","",IF($AX354&lt;&gt;"",SUBSTITUTE(SUBSTITUTE($AX354,"-","")," ",""),"N:"&amp;$AV354))</f>
        <v/>
      </c>
      <c r="AV354" s="31">
        <f>IF(OR($AS354="",$E$6=""),"",TRIM(INDEX($A:$AP,ROW(),$E$6)&amp;""))</f>
        <v/>
      </c>
      <c r="AW354" s="31">
        <f>IF($AU354="","",IF(MATCH($AU354,$AU$8:$AU$2007,0)=ROW()-7,MAX($AW$7:$AW353)+1,""))</f>
        <v/>
      </c>
      <c r="AX354" s="31">
        <f>IF(OR($AS354="",$D$6=""),"",TRIM(INDEX($A:$AP,ROW(),$D$6)&amp;""))</f>
        <v/>
      </c>
      <c r="AY354" s="31">
        <f>IF($AU354="","",INDEX($AW$8:$AW$2007,MATCH($AU354,$AU$8:$AU$2007,0)))</f>
        <v/>
      </c>
      <c r="AZ354" s="31">
        <f>IF(OR($AS354="",$C$6=""),"",TRIM(INDEX($A:$AP,ROW(),$C$6)&amp;""))</f>
        <v/>
      </c>
      <c r="BA354" s="31">
        <f>IF($AZ354="","",IF(COUNTIF($AZ$8:$AZ354,$AZ354)&gt;1,1,0))</f>
        <v/>
      </c>
    </row>
    <row r="355">
      <c r="AR355" s="31">
        <f>IF(OR($A$5="",$B$6="",ROW()&lt;$A$5),"",IF(INDEX($A:$AP,ROW(),$B$6)="","",INDEX($A:$AP,ROW(),$B$6)))</f>
        <v/>
      </c>
      <c r="AS355" s="32">
        <f>IF($AR355="","",IF(ISNUMBER($AR355),IF($AR355&gt;=10000000,IFERROR(DATE(INT($AR355/10000),MOD(INT($AR355/100),100),MOD($AR355,100)),""),INT($AR355)),IFERROR(DATE(--LEFT(LEFT(SUBSTITUTE(SUBSTITUTE(SUBSTITUTE(SUBSTITUTE(TRIM($AR355),"-",""),".",""),"/","")," ",""),8),4),--MID(LEFT(SUBSTITUTE(SUBSTITUTE(SUBSTITUTE(SUBSTITUTE(TRIM($AR355),"-",""),".",""),"/","")," ",""),8),5,2),--MID(LEFT(SUBSTITUTE(SUBSTITUTE(SUBSTITUTE(SUBSTITUTE(TRIM($AR355),"-",""),".",""),"/","")," ",""),8),7,2)),"")))</f>
        <v/>
      </c>
      <c r="AT355" s="33">
        <f>IF($AS355="","",IF($F$6="",0,IF(ISNUMBER(INDEX($A:$AP,ROW(),$F$6)),INDEX($A:$AP,ROW(),$F$6),IFERROR(--SUBSTITUTE(SUBSTITUTE(TRIM(INDEX($A:$AP,ROW(),$F$6)),",",""),"원",""),0))))</f>
        <v/>
      </c>
      <c r="AU355" s="31">
        <f>IF($AS355="","",IF($AX355&lt;&gt;"",SUBSTITUTE(SUBSTITUTE($AX355,"-","")," ",""),"N:"&amp;$AV355))</f>
        <v/>
      </c>
      <c r="AV355" s="31">
        <f>IF(OR($AS355="",$E$6=""),"",TRIM(INDEX($A:$AP,ROW(),$E$6)&amp;""))</f>
        <v/>
      </c>
      <c r="AW355" s="31">
        <f>IF($AU355="","",IF(MATCH($AU355,$AU$8:$AU$2007,0)=ROW()-7,MAX($AW$7:$AW354)+1,""))</f>
        <v/>
      </c>
      <c r="AX355" s="31">
        <f>IF(OR($AS355="",$D$6=""),"",TRIM(INDEX($A:$AP,ROW(),$D$6)&amp;""))</f>
        <v/>
      </c>
      <c r="AY355" s="31">
        <f>IF($AU355="","",INDEX($AW$8:$AW$2007,MATCH($AU355,$AU$8:$AU$2007,0)))</f>
        <v/>
      </c>
      <c r="AZ355" s="31">
        <f>IF(OR($AS355="",$C$6=""),"",TRIM(INDEX($A:$AP,ROW(),$C$6)&amp;""))</f>
        <v/>
      </c>
      <c r="BA355" s="31">
        <f>IF($AZ355="","",IF(COUNTIF($AZ$8:$AZ355,$AZ355)&gt;1,1,0))</f>
        <v/>
      </c>
    </row>
    <row r="356">
      <c r="AR356" s="31">
        <f>IF(OR($A$5="",$B$6="",ROW()&lt;$A$5),"",IF(INDEX($A:$AP,ROW(),$B$6)="","",INDEX($A:$AP,ROW(),$B$6)))</f>
        <v/>
      </c>
      <c r="AS356" s="32">
        <f>IF($AR356="","",IF(ISNUMBER($AR356),IF($AR356&gt;=10000000,IFERROR(DATE(INT($AR356/10000),MOD(INT($AR356/100),100),MOD($AR356,100)),""),INT($AR356)),IFERROR(DATE(--LEFT(LEFT(SUBSTITUTE(SUBSTITUTE(SUBSTITUTE(SUBSTITUTE(TRIM($AR356),"-",""),".",""),"/","")," ",""),8),4),--MID(LEFT(SUBSTITUTE(SUBSTITUTE(SUBSTITUTE(SUBSTITUTE(TRIM($AR356),"-",""),".",""),"/","")," ",""),8),5,2),--MID(LEFT(SUBSTITUTE(SUBSTITUTE(SUBSTITUTE(SUBSTITUTE(TRIM($AR356),"-",""),".",""),"/","")," ",""),8),7,2)),"")))</f>
        <v/>
      </c>
      <c r="AT356" s="33">
        <f>IF($AS356="","",IF($F$6="",0,IF(ISNUMBER(INDEX($A:$AP,ROW(),$F$6)),INDEX($A:$AP,ROW(),$F$6),IFERROR(--SUBSTITUTE(SUBSTITUTE(TRIM(INDEX($A:$AP,ROW(),$F$6)),",",""),"원",""),0))))</f>
        <v/>
      </c>
      <c r="AU356" s="31">
        <f>IF($AS356="","",IF($AX356&lt;&gt;"",SUBSTITUTE(SUBSTITUTE($AX356,"-","")," ",""),"N:"&amp;$AV356))</f>
        <v/>
      </c>
      <c r="AV356" s="31">
        <f>IF(OR($AS356="",$E$6=""),"",TRIM(INDEX($A:$AP,ROW(),$E$6)&amp;""))</f>
        <v/>
      </c>
      <c r="AW356" s="31">
        <f>IF($AU356="","",IF(MATCH($AU356,$AU$8:$AU$2007,0)=ROW()-7,MAX($AW$7:$AW355)+1,""))</f>
        <v/>
      </c>
      <c r="AX356" s="31">
        <f>IF(OR($AS356="",$D$6=""),"",TRIM(INDEX($A:$AP,ROW(),$D$6)&amp;""))</f>
        <v/>
      </c>
      <c r="AY356" s="31">
        <f>IF($AU356="","",INDEX($AW$8:$AW$2007,MATCH($AU356,$AU$8:$AU$2007,0)))</f>
        <v/>
      </c>
      <c r="AZ356" s="31">
        <f>IF(OR($AS356="",$C$6=""),"",TRIM(INDEX($A:$AP,ROW(),$C$6)&amp;""))</f>
        <v/>
      </c>
      <c r="BA356" s="31">
        <f>IF($AZ356="","",IF(COUNTIF($AZ$8:$AZ356,$AZ356)&gt;1,1,0))</f>
        <v/>
      </c>
    </row>
    <row r="357">
      <c r="AR357" s="31">
        <f>IF(OR($A$5="",$B$6="",ROW()&lt;$A$5),"",IF(INDEX($A:$AP,ROW(),$B$6)="","",INDEX($A:$AP,ROW(),$B$6)))</f>
        <v/>
      </c>
      <c r="AS357" s="32">
        <f>IF($AR357="","",IF(ISNUMBER($AR357),IF($AR357&gt;=10000000,IFERROR(DATE(INT($AR357/10000),MOD(INT($AR357/100),100),MOD($AR357,100)),""),INT($AR357)),IFERROR(DATE(--LEFT(LEFT(SUBSTITUTE(SUBSTITUTE(SUBSTITUTE(SUBSTITUTE(TRIM($AR357),"-",""),".",""),"/","")," ",""),8),4),--MID(LEFT(SUBSTITUTE(SUBSTITUTE(SUBSTITUTE(SUBSTITUTE(TRIM($AR357),"-",""),".",""),"/","")," ",""),8),5,2),--MID(LEFT(SUBSTITUTE(SUBSTITUTE(SUBSTITUTE(SUBSTITUTE(TRIM($AR357),"-",""),".",""),"/","")," ",""),8),7,2)),"")))</f>
        <v/>
      </c>
      <c r="AT357" s="33">
        <f>IF($AS357="","",IF($F$6="",0,IF(ISNUMBER(INDEX($A:$AP,ROW(),$F$6)),INDEX($A:$AP,ROW(),$F$6),IFERROR(--SUBSTITUTE(SUBSTITUTE(TRIM(INDEX($A:$AP,ROW(),$F$6)),",",""),"원",""),0))))</f>
        <v/>
      </c>
      <c r="AU357" s="31">
        <f>IF($AS357="","",IF($AX357&lt;&gt;"",SUBSTITUTE(SUBSTITUTE($AX357,"-","")," ",""),"N:"&amp;$AV357))</f>
        <v/>
      </c>
      <c r="AV357" s="31">
        <f>IF(OR($AS357="",$E$6=""),"",TRIM(INDEX($A:$AP,ROW(),$E$6)&amp;""))</f>
        <v/>
      </c>
      <c r="AW357" s="31">
        <f>IF($AU357="","",IF(MATCH($AU357,$AU$8:$AU$2007,0)=ROW()-7,MAX($AW$7:$AW356)+1,""))</f>
        <v/>
      </c>
      <c r="AX357" s="31">
        <f>IF(OR($AS357="",$D$6=""),"",TRIM(INDEX($A:$AP,ROW(),$D$6)&amp;""))</f>
        <v/>
      </c>
      <c r="AY357" s="31">
        <f>IF($AU357="","",INDEX($AW$8:$AW$2007,MATCH($AU357,$AU$8:$AU$2007,0)))</f>
        <v/>
      </c>
      <c r="AZ357" s="31">
        <f>IF(OR($AS357="",$C$6=""),"",TRIM(INDEX($A:$AP,ROW(),$C$6)&amp;""))</f>
        <v/>
      </c>
      <c r="BA357" s="31">
        <f>IF($AZ357="","",IF(COUNTIF($AZ$8:$AZ357,$AZ357)&gt;1,1,0))</f>
        <v/>
      </c>
    </row>
    <row r="358">
      <c r="AR358" s="31">
        <f>IF(OR($A$5="",$B$6="",ROW()&lt;$A$5),"",IF(INDEX($A:$AP,ROW(),$B$6)="","",INDEX($A:$AP,ROW(),$B$6)))</f>
        <v/>
      </c>
      <c r="AS358" s="32">
        <f>IF($AR358="","",IF(ISNUMBER($AR358),IF($AR358&gt;=10000000,IFERROR(DATE(INT($AR358/10000),MOD(INT($AR358/100),100),MOD($AR358,100)),""),INT($AR358)),IFERROR(DATE(--LEFT(LEFT(SUBSTITUTE(SUBSTITUTE(SUBSTITUTE(SUBSTITUTE(TRIM($AR358),"-",""),".",""),"/","")," ",""),8),4),--MID(LEFT(SUBSTITUTE(SUBSTITUTE(SUBSTITUTE(SUBSTITUTE(TRIM($AR358),"-",""),".",""),"/","")," ",""),8),5,2),--MID(LEFT(SUBSTITUTE(SUBSTITUTE(SUBSTITUTE(SUBSTITUTE(TRIM($AR358),"-",""),".",""),"/","")," ",""),8),7,2)),"")))</f>
        <v/>
      </c>
      <c r="AT358" s="33">
        <f>IF($AS358="","",IF($F$6="",0,IF(ISNUMBER(INDEX($A:$AP,ROW(),$F$6)),INDEX($A:$AP,ROW(),$F$6),IFERROR(--SUBSTITUTE(SUBSTITUTE(TRIM(INDEX($A:$AP,ROW(),$F$6)),",",""),"원",""),0))))</f>
        <v/>
      </c>
      <c r="AU358" s="31">
        <f>IF($AS358="","",IF($AX358&lt;&gt;"",SUBSTITUTE(SUBSTITUTE($AX358,"-","")," ",""),"N:"&amp;$AV358))</f>
        <v/>
      </c>
      <c r="AV358" s="31">
        <f>IF(OR($AS358="",$E$6=""),"",TRIM(INDEX($A:$AP,ROW(),$E$6)&amp;""))</f>
        <v/>
      </c>
      <c r="AW358" s="31">
        <f>IF($AU358="","",IF(MATCH($AU358,$AU$8:$AU$2007,0)=ROW()-7,MAX($AW$7:$AW357)+1,""))</f>
        <v/>
      </c>
      <c r="AX358" s="31">
        <f>IF(OR($AS358="",$D$6=""),"",TRIM(INDEX($A:$AP,ROW(),$D$6)&amp;""))</f>
        <v/>
      </c>
      <c r="AY358" s="31">
        <f>IF($AU358="","",INDEX($AW$8:$AW$2007,MATCH($AU358,$AU$8:$AU$2007,0)))</f>
        <v/>
      </c>
      <c r="AZ358" s="31">
        <f>IF(OR($AS358="",$C$6=""),"",TRIM(INDEX($A:$AP,ROW(),$C$6)&amp;""))</f>
        <v/>
      </c>
      <c r="BA358" s="31">
        <f>IF($AZ358="","",IF(COUNTIF($AZ$8:$AZ358,$AZ358)&gt;1,1,0))</f>
        <v/>
      </c>
    </row>
    <row r="359">
      <c r="AR359" s="31">
        <f>IF(OR($A$5="",$B$6="",ROW()&lt;$A$5),"",IF(INDEX($A:$AP,ROW(),$B$6)="","",INDEX($A:$AP,ROW(),$B$6)))</f>
        <v/>
      </c>
      <c r="AS359" s="32">
        <f>IF($AR359="","",IF(ISNUMBER($AR359),IF($AR359&gt;=10000000,IFERROR(DATE(INT($AR359/10000),MOD(INT($AR359/100),100),MOD($AR359,100)),""),INT($AR359)),IFERROR(DATE(--LEFT(LEFT(SUBSTITUTE(SUBSTITUTE(SUBSTITUTE(SUBSTITUTE(TRIM($AR359),"-",""),".",""),"/","")," ",""),8),4),--MID(LEFT(SUBSTITUTE(SUBSTITUTE(SUBSTITUTE(SUBSTITUTE(TRIM($AR359),"-",""),".",""),"/","")," ",""),8),5,2),--MID(LEFT(SUBSTITUTE(SUBSTITUTE(SUBSTITUTE(SUBSTITUTE(TRIM($AR359),"-",""),".",""),"/","")," ",""),8),7,2)),"")))</f>
        <v/>
      </c>
      <c r="AT359" s="33">
        <f>IF($AS359="","",IF($F$6="",0,IF(ISNUMBER(INDEX($A:$AP,ROW(),$F$6)),INDEX($A:$AP,ROW(),$F$6),IFERROR(--SUBSTITUTE(SUBSTITUTE(TRIM(INDEX($A:$AP,ROW(),$F$6)),",",""),"원",""),0))))</f>
        <v/>
      </c>
      <c r="AU359" s="31">
        <f>IF($AS359="","",IF($AX359&lt;&gt;"",SUBSTITUTE(SUBSTITUTE($AX359,"-","")," ",""),"N:"&amp;$AV359))</f>
        <v/>
      </c>
      <c r="AV359" s="31">
        <f>IF(OR($AS359="",$E$6=""),"",TRIM(INDEX($A:$AP,ROW(),$E$6)&amp;""))</f>
        <v/>
      </c>
      <c r="AW359" s="31">
        <f>IF($AU359="","",IF(MATCH($AU359,$AU$8:$AU$2007,0)=ROW()-7,MAX($AW$7:$AW358)+1,""))</f>
        <v/>
      </c>
      <c r="AX359" s="31">
        <f>IF(OR($AS359="",$D$6=""),"",TRIM(INDEX($A:$AP,ROW(),$D$6)&amp;""))</f>
        <v/>
      </c>
      <c r="AY359" s="31">
        <f>IF($AU359="","",INDEX($AW$8:$AW$2007,MATCH($AU359,$AU$8:$AU$2007,0)))</f>
        <v/>
      </c>
      <c r="AZ359" s="31">
        <f>IF(OR($AS359="",$C$6=""),"",TRIM(INDEX($A:$AP,ROW(),$C$6)&amp;""))</f>
        <v/>
      </c>
      <c r="BA359" s="31">
        <f>IF($AZ359="","",IF(COUNTIF($AZ$8:$AZ359,$AZ359)&gt;1,1,0))</f>
        <v/>
      </c>
    </row>
    <row r="360">
      <c r="AR360" s="31">
        <f>IF(OR($A$5="",$B$6="",ROW()&lt;$A$5),"",IF(INDEX($A:$AP,ROW(),$B$6)="","",INDEX($A:$AP,ROW(),$B$6)))</f>
        <v/>
      </c>
      <c r="AS360" s="32">
        <f>IF($AR360="","",IF(ISNUMBER($AR360),IF($AR360&gt;=10000000,IFERROR(DATE(INT($AR360/10000),MOD(INT($AR360/100),100),MOD($AR360,100)),""),INT($AR360)),IFERROR(DATE(--LEFT(LEFT(SUBSTITUTE(SUBSTITUTE(SUBSTITUTE(SUBSTITUTE(TRIM($AR360),"-",""),".",""),"/","")," ",""),8),4),--MID(LEFT(SUBSTITUTE(SUBSTITUTE(SUBSTITUTE(SUBSTITUTE(TRIM($AR360),"-",""),".",""),"/","")," ",""),8),5,2),--MID(LEFT(SUBSTITUTE(SUBSTITUTE(SUBSTITUTE(SUBSTITUTE(TRIM($AR360),"-",""),".",""),"/","")," ",""),8),7,2)),"")))</f>
        <v/>
      </c>
      <c r="AT360" s="33">
        <f>IF($AS360="","",IF($F$6="",0,IF(ISNUMBER(INDEX($A:$AP,ROW(),$F$6)),INDEX($A:$AP,ROW(),$F$6),IFERROR(--SUBSTITUTE(SUBSTITUTE(TRIM(INDEX($A:$AP,ROW(),$F$6)),",",""),"원",""),0))))</f>
        <v/>
      </c>
      <c r="AU360" s="31">
        <f>IF($AS360="","",IF($AX360&lt;&gt;"",SUBSTITUTE(SUBSTITUTE($AX360,"-","")," ",""),"N:"&amp;$AV360))</f>
        <v/>
      </c>
      <c r="AV360" s="31">
        <f>IF(OR($AS360="",$E$6=""),"",TRIM(INDEX($A:$AP,ROW(),$E$6)&amp;""))</f>
        <v/>
      </c>
      <c r="AW360" s="31">
        <f>IF($AU360="","",IF(MATCH($AU360,$AU$8:$AU$2007,0)=ROW()-7,MAX($AW$7:$AW359)+1,""))</f>
        <v/>
      </c>
      <c r="AX360" s="31">
        <f>IF(OR($AS360="",$D$6=""),"",TRIM(INDEX($A:$AP,ROW(),$D$6)&amp;""))</f>
        <v/>
      </c>
      <c r="AY360" s="31">
        <f>IF($AU360="","",INDEX($AW$8:$AW$2007,MATCH($AU360,$AU$8:$AU$2007,0)))</f>
        <v/>
      </c>
      <c r="AZ360" s="31">
        <f>IF(OR($AS360="",$C$6=""),"",TRIM(INDEX($A:$AP,ROW(),$C$6)&amp;""))</f>
        <v/>
      </c>
      <c r="BA360" s="31">
        <f>IF($AZ360="","",IF(COUNTIF($AZ$8:$AZ360,$AZ360)&gt;1,1,0))</f>
        <v/>
      </c>
    </row>
    <row r="361">
      <c r="AR361" s="31">
        <f>IF(OR($A$5="",$B$6="",ROW()&lt;$A$5),"",IF(INDEX($A:$AP,ROW(),$B$6)="","",INDEX($A:$AP,ROW(),$B$6)))</f>
        <v/>
      </c>
      <c r="AS361" s="32">
        <f>IF($AR361="","",IF(ISNUMBER($AR361),IF($AR361&gt;=10000000,IFERROR(DATE(INT($AR361/10000),MOD(INT($AR361/100),100),MOD($AR361,100)),""),INT($AR361)),IFERROR(DATE(--LEFT(LEFT(SUBSTITUTE(SUBSTITUTE(SUBSTITUTE(SUBSTITUTE(TRIM($AR361),"-",""),".",""),"/","")," ",""),8),4),--MID(LEFT(SUBSTITUTE(SUBSTITUTE(SUBSTITUTE(SUBSTITUTE(TRIM($AR361),"-",""),".",""),"/","")," ",""),8),5,2),--MID(LEFT(SUBSTITUTE(SUBSTITUTE(SUBSTITUTE(SUBSTITUTE(TRIM($AR361),"-",""),".",""),"/","")," ",""),8),7,2)),"")))</f>
        <v/>
      </c>
      <c r="AT361" s="33">
        <f>IF($AS361="","",IF($F$6="",0,IF(ISNUMBER(INDEX($A:$AP,ROW(),$F$6)),INDEX($A:$AP,ROW(),$F$6),IFERROR(--SUBSTITUTE(SUBSTITUTE(TRIM(INDEX($A:$AP,ROW(),$F$6)),",",""),"원",""),0))))</f>
        <v/>
      </c>
      <c r="AU361" s="31">
        <f>IF($AS361="","",IF($AX361&lt;&gt;"",SUBSTITUTE(SUBSTITUTE($AX361,"-","")," ",""),"N:"&amp;$AV361))</f>
        <v/>
      </c>
      <c r="AV361" s="31">
        <f>IF(OR($AS361="",$E$6=""),"",TRIM(INDEX($A:$AP,ROW(),$E$6)&amp;""))</f>
        <v/>
      </c>
      <c r="AW361" s="31">
        <f>IF($AU361="","",IF(MATCH($AU361,$AU$8:$AU$2007,0)=ROW()-7,MAX($AW$7:$AW360)+1,""))</f>
        <v/>
      </c>
      <c r="AX361" s="31">
        <f>IF(OR($AS361="",$D$6=""),"",TRIM(INDEX($A:$AP,ROW(),$D$6)&amp;""))</f>
        <v/>
      </c>
      <c r="AY361" s="31">
        <f>IF($AU361="","",INDEX($AW$8:$AW$2007,MATCH($AU361,$AU$8:$AU$2007,0)))</f>
        <v/>
      </c>
      <c r="AZ361" s="31">
        <f>IF(OR($AS361="",$C$6=""),"",TRIM(INDEX($A:$AP,ROW(),$C$6)&amp;""))</f>
        <v/>
      </c>
      <c r="BA361" s="31">
        <f>IF($AZ361="","",IF(COUNTIF($AZ$8:$AZ361,$AZ361)&gt;1,1,0))</f>
        <v/>
      </c>
    </row>
    <row r="362">
      <c r="AR362" s="31">
        <f>IF(OR($A$5="",$B$6="",ROW()&lt;$A$5),"",IF(INDEX($A:$AP,ROW(),$B$6)="","",INDEX($A:$AP,ROW(),$B$6)))</f>
        <v/>
      </c>
      <c r="AS362" s="32">
        <f>IF($AR362="","",IF(ISNUMBER($AR362),IF($AR362&gt;=10000000,IFERROR(DATE(INT($AR362/10000),MOD(INT($AR362/100),100),MOD($AR362,100)),""),INT($AR362)),IFERROR(DATE(--LEFT(LEFT(SUBSTITUTE(SUBSTITUTE(SUBSTITUTE(SUBSTITUTE(TRIM($AR362),"-",""),".",""),"/","")," ",""),8),4),--MID(LEFT(SUBSTITUTE(SUBSTITUTE(SUBSTITUTE(SUBSTITUTE(TRIM($AR362),"-",""),".",""),"/","")," ",""),8),5,2),--MID(LEFT(SUBSTITUTE(SUBSTITUTE(SUBSTITUTE(SUBSTITUTE(TRIM($AR362),"-",""),".",""),"/","")," ",""),8),7,2)),"")))</f>
        <v/>
      </c>
      <c r="AT362" s="33">
        <f>IF($AS362="","",IF($F$6="",0,IF(ISNUMBER(INDEX($A:$AP,ROW(),$F$6)),INDEX($A:$AP,ROW(),$F$6),IFERROR(--SUBSTITUTE(SUBSTITUTE(TRIM(INDEX($A:$AP,ROW(),$F$6)),",",""),"원",""),0))))</f>
        <v/>
      </c>
      <c r="AU362" s="31">
        <f>IF($AS362="","",IF($AX362&lt;&gt;"",SUBSTITUTE(SUBSTITUTE($AX362,"-","")," ",""),"N:"&amp;$AV362))</f>
        <v/>
      </c>
      <c r="AV362" s="31">
        <f>IF(OR($AS362="",$E$6=""),"",TRIM(INDEX($A:$AP,ROW(),$E$6)&amp;""))</f>
        <v/>
      </c>
      <c r="AW362" s="31">
        <f>IF($AU362="","",IF(MATCH($AU362,$AU$8:$AU$2007,0)=ROW()-7,MAX($AW$7:$AW361)+1,""))</f>
        <v/>
      </c>
      <c r="AX362" s="31">
        <f>IF(OR($AS362="",$D$6=""),"",TRIM(INDEX($A:$AP,ROW(),$D$6)&amp;""))</f>
        <v/>
      </c>
      <c r="AY362" s="31">
        <f>IF($AU362="","",INDEX($AW$8:$AW$2007,MATCH($AU362,$AU$8:$AU$2007,0)))</f>
        <v/>
      </c>
      <c r="AZ362" s="31">
        <f>IF(OR($AS362="",$C$6=""),"",TRIM(INDEX($A:$AP,ROW(),$C$6)&amp;""))</f>
        <v/>
      </c>
      <c r="BA362" s="31">
        <f>IF($AZ362="","",IF(COUNTIF($AZ$8:$AZ362,$AZ362)&gt;1,1,0))</f>
        <v/>
      </c>
    </row>
    <row r="363">
      <c r="AR363" s="31">
        <f>IF(OR($A$5="",$B$6="",ROW()&lt;$A$5),"",IF(INDEX($A:$AP,ROW(),$B$6)="","",INDEX($A:$AP,ROW(),$B$6)))</f>
        <v/>
      </c>
      <c r="AS363" s="32">
        <f>IF($AR363="","",IF(ISNUMBER($AR363),IF($AR363&gt;=10000000,IFERROR(DATE(INT($AR363/10000),MOD(INT($AR363/100),100),MOD($AR363,100)),""),INT($AR363)),IFERROR(DATE(--LEFT(LEFT(SUBSTITUTE(SUBSTITUTE(SUBSTITUTE(SUBSTITUTE(TRIM($AR363),"-",""),".",""),"/","")," ",""),8),4),--MID(LEFT(SUBSTITUTE(SUBSTITUTE(SUBSTITUTE(SUBSTITUTE(TRIM($AR363),"-",""),".",""),"/","")," ",""),8),5,2),--MID(LEFT(SUBSTITUTE(SUBSTITUTE(SUBSTITUTE(SUBSTITUTE(TRIM($AR363),"-",""),".",""),"/","")," ",""),8),7,2)),"")))</f>
        <v/>
      </c>
      <c r="AT363" s="33">
        <f>IF($AS363="","",IF($F$6="",0,IF(ISNUMBER(INDEX($A:$AP,ROW(),$F$6)),INDEX($A:$AP,ROW(),$F$6),IFERROR(--SUBSTITUTE(SUBSTITUTE(TRIM(INDEX($A:$AP,ROW(),$F$6)),",",""),"원",""),0))))</f>
        <v/>
      </c>
      <c r="AU363" s="31">
        <f>IF($AS363="","",IF($AX363&lt;&gt;"",SUBSTITUTE(SUBSTITUTE($AX363,"-","")," ",""),"N:"&amp;$AV363))</f>
        <v/>
      </c>
      <c r="AV363" s="31">
        <f>IF(OR($AS363="",$E$6=""),"",TRIM(INDEX($A:$AP,ROW(),$E$6)&amp;""))</f>
        <v/>
      </c>
      <c r="AW363" s="31">
        <f>IF($AU363="","",IF(MATCH($AU363,$AU$8:$AU$2007,0)=ROW()-7,MAX($AW$7:$AW362)+1,""))</f>
        <v/>
      </c>
      <c r="AX363" s="31">
        <f>IF(OR($AS363="",$D$6=""),"",TRIM(INDEX($A:$AP,ROW(),$D$6)&amp;""))</f>
        <v/>
      </c>
      <c r="AY363" s="31">
        <f>IF($AU363="","",INDEX($AW$8:$AW$2007,MATCH($AU363,$AU$8:$AU$2007,0)))</f>
        <v/>
      </c>
      <c r="AZ363" s="31">
        <f>IF(OR($AS363="",$C$6=""),"",TRIM(INDEX($A:$AP,ROW(),$C$6)&amp;""))</f>
        <v/>
      </c>
      <c r="BA363" s="31">
        <f>IF($AZ363="","",IF(COUNTIF($AZ$8:$AZ363,$AZ363)&gt;1,1,0))</f>
        <v/>
      </c>
    </row>
    <row r="364">
      <c r="AR364" s="31">
        <f>IF(OR($A$5="",$B$6="",ROW()&lt;$A$5),"",IF(INDEX($A:$AP,ROW(),$B$6)="","",INDEX($A:$AP,ROW(),$B$6)))</f>
        <v/>
      </c>
      <c r="AS364" s="32">
        <f>IF($AR364="","",IF(ISNUMBER($AR364),IF($AR364&gt;=10000000,IFERROR(DATE(INT($AR364/10000),MOD(INT($AR364/100),100),MOD($AR364,100)),""),INT($AR364)),IFERROR(DATE(--LEFT(LEFT(SUBSTITUTE(SUBSTITUTE(SUBSTITUTE(SUBSTITUTE(TRIM($AR364),"-",""),".",""),"/","")," ",""),8),4),--MID(LEFT(SUBSTITUTE(SUBSTITUTE(SUBSTITUTE(SUBSTITUTE(TRIM($AR364),"-",""),".",""),"/","")," ",""),8),5,2),--MID(LEFT(SUBSTITUTE(SUBSTITUTE(SUBSTITUTE(SUBSTITUTE(TRIM($AR364),"-",""),".",""),"/","")," ",""),8),7,2)),"")))</f>
        <v/>
      </c>
      <c r="AT364" s="33">
        <f>IF($AS364="","",IF($F$6="",0,IF(ISNUMBER(INDEX($A:$AP,ROW(),$F$6)),INDEX($A:$AP,ROW(),$F$6),IFERROR(--SUBSTITUTE(SUBSTITUTE(TRIM(INDEX($A:$AP,ROW(),$F$6)),",",""),"원",""),0))))</f>
        <v/>
      </c>
      <c r="AU364" s="31">
        <f>IF($AS364="","",IF($AX364&lt;&gt;"",SUBSTITUTE(SUBSTITUTE($AX364,"-","")," ",""),"N:"&amp;$AV364))</f>
        <v/>
      </c>
      <c r="AV364" s="31">
        <f>IF(OR($AS364="",$E$6=""),"",TRIM(INDEX($A:$AP,ROW(),$E$6)&amp;""))</f>
        <v/>
      </c>
      <c r="AW364" s="31">
        <f>IF($AU364="","",IF(MATCH($AU364,$AU$8:$AU$2007,0)=ROW()-7,MAX($AW$7:$AW363)+1,""))</f>
        <v/>
      </c>
      <c r="AX364" s="31">
        <f>IF(OR($AS364="",$D$6=""),"",TRIM(INDEX($A:$AP,ROW(),$D$6)&amp;""))</f>
        <v/>
      </c>
      <c r="AY364" s="31">
        <f>IF($AU364="","",INDEX($AW$8:$AW$2007,MATCH($AU364,$AU$8:$AU$2007,0)))</f>
        <v/>
      </c>
      <c r="AZ364" s="31">
        <f>IF(OR($AS364="",$C$6=""),"",TRIM(INDEX($A:$AP,ROW(),$C$6)&amp;""))</f>
        <v/>
      </c>
      <c r="BA364" s="31">
        <f>IF($AZ364="","",IF(COUNTIF($AZ$8:$AZ364,$AZ364)&gt;1,1,0))</f>
        <v/>
      </c>
    </row>
    <row r="365">
      <c r="AR365" s="31">
        <f>IF(OR($A$5="",$B$6="",ROW()&lt;$A$5),"",IF(INDEX($A:$AP,ROW(),$B$6)="","",INDEX($A:$AP,ROW(),$B$6)))</f>
        <v/>
      </c>
      <c r="AS365" s="32">
        <f>IF($AR365="","",IF(ISNUMBER($AR365),IF($AR365&gt;=10000000,IFERROR(DATE(INT($AR365/10000),MOD(INT($AR365/100),100),MOD($AR365,100)),""),INT($AR365)),IFERROR(DATE(--LEFT(LEFT(SUBSTITUTE(SUBSTITUTE(SUBSTITUTE(SUBSTITUTE(TRIM($AR365),"-",""),".",""),"/","")," ",""),8),4),--MID(LEFT(SUBSTITUTE(SUBSTITUTE(SUBSTITUTE(SUBSTITUTE(TRIM($AR365),"-",""),".",""),"/","")," ",""),8),5,2),--MID(LEFT(SUBSTITUTE(SUBSTITUTE(SUBSTITUTE(SUBSTITUTE(TRIM($AR365),"-",""),".",""),"/","")," ",""),8),7,2)),"")))</f>
        <v/>
      </c>
      <c r="AT365" s="33">
        <f>IF($AS365="","",IF($F$6="",0,IF(ISNUMBER(INDEX($A:$AP,ROW(),$F$6)),INDEX($A:$AP,ROW(),$F$6),IFERROR(--SUBSTITUTE(SUBSTITUTE(TRIM(INDEX($A:$AP,ROW(),$F$6)),",",""),"원",""),0))))</f>
        <v/>
      </c>
      <c r="AU365" s="31">
        <f>IF($AS365="","",IF($AX365&lt;&gt;"",SUBSTITUTE(SUBSTITUTE($AX365,"-","")," ",""),"N:"&amp;$AV365))</f>
        <v/>
      </c>
      <c r="AV365" s="31">
        <f>IF(OR($AS365="",$E$6=""),"",TRIM(INDEX($A:$AP,ROW(),$E$6)&amp;""))</f>
        <v/>
      </c>
      <c r="AW365" s="31">
        <f>IF($AU365="","",IF(MATCH($AU365,$AU$8:$AU$2007,0)=ROW()-7,MAX($AW$7:$AW364)+1,""))</f>
        <v/>
      </c>
      <c r="AX365" s="31">
        <f>IF(OR($AS365="",$D$6=""),"",TRIM(INDEX($A:$AP,ROW(),$D$6)&amp;""))</f>
        <v/>
      </c>
      <c r="AY365" s="31">
        <f>IF($AU365="","",INDEX($AW$8:$AW$2007,MATCH($AU365,$AU$8:$AU$2007,0)))</f>
        <v/>
      </c>
      <c r="AZ365" s="31">
        <f>IF(OR($AS365="",$C$6=""),"",TRIM(INDEX($A:$AP,ROW(),$C$6)&amp;""))</f>
        <v/>
      </c>
      <c r="BA365" s="31">
        <f>IF($AZ365="","",IF(COUNTIF($AZ$8:$AZ365,$AZ365)&gt;1,1,0))</f>
        <v/>
      </c>
    </row>
    <row r="366">
      <c r="AR366" s="31">
        <f>IF(OR($A$5="",$B$6="",ROW()&lt;$A$5),"",IF(INDEX($A:$AP,ROW(),$B$6)="","",INDEX($A:$AP,ROW(),$B$6)))</f>
        <v/>
      </c>
      <c r="AS366" s="32">
        <f>IF($AR366="","",IF(ISNUMBER($AR366),IF($AR366&gt;=10000000,IFERROR(DATE(INT($AR366/10000),MOD(INT($AR366/100),100),MOD($AR366,100)),""),INT($AR366)),IFERROR(DATE(--LEFT(LEFT(SUBSTITUTE(SUBSTITUTE(SUBSTITUTE(SUBSTITUTE(TRIM($AR366),"-",""),".",""),"/","")," ",""),8),4),--MID(LEFT(SUBSTITUTE(SUBSTITUTE(SUBSTITUTE(SUBSTITUTE(TRIM($AR366),"-",""),".",""),"/","")," ",""),8),5,2),--MID(LEFT(SUBSTITUTE(SUBSTITUTE(SUBSTITUTE(SUBSTITUTE(TRIM($AR366),"-",""),".",""),"/","")," ",""),8),7,2)),"")))</f>
        <v/>
      </c>
      <c r="AT366" s="33">
        <f>IF($AS366="","",IF($F$6="",0,IF(ISNUMBER(INDEX($A:$AP,ROW(),$F$6)),INDEX($A:$AP,ROW(),$F$6),IFERROR(--SUBSTITUTE(SUBSTITUTE(TRIM(INDEX($A:$AP,ROW(),$F$6)),",",""),"원",""),0))))</f>
        <v/>
      </c>
      <c r="AU366" s="31">
        <f>IF($AS366="","",IF($AX366&lt;&gt;"",SUBSTITUTE(SUBSTITUTE($AX366,"-","")," ",""),"N:"&amp;$AV366))</f>
        <v/>
      </c>
      <c r="AV366" s="31">
        <f>IF(OR($AS366="",$E$6=""),"",TRIM(INDEX($A:$AP,ROW(),$E$6)&amp;""))</f>
        <v/>
      </c>
      <c r="AW366" s="31">
        <f>IF($AU366="","",IF(MATCH($AU366,$AU$8:$AU$2007,0)=ROW()-7,MAX($AW$7:$AW365)+1,""))</f>
        <v/>
      </c>
      <c r="AX366" s="31">
        <f>IF(OR($AS366="",$D$6=""),"",TRIM(INDEX($A:$AP,ROW(),$D$6)&amp;""))</f>
        <v/>
      </c>
      <c r="AY366" s="31">
        <f>IF($AU366="","",INDEX($AW$8:$AW$2007,MATCH($AU366,$AU$8:$AU$2007,0)))</f>
        <v/>
      </c>
      <c r="AZ366" s="31">
        <f>IF(OR($AS366="",$C$6=""),"",TRIM(INDEX($A:$AP,ROW(),$C$6)&amp;""))</f>
        <v/>
      </c>
      <c r="BA366" s="31">
        <f>IF($AZ366="","",IF(COUNTIF($AZ$8:$AZ366,$AZ366)&gt;1,1,0))</f>
        <v/>
      </c>
    </row>
    <row r="367">
      <c r="AR367" s="31">
        <f>IF(OR($A$5="",$B$6="",ROW()&lt;$A$5),"",IF(INDEX($A:$AP,ROW(),$B$6)="","",INDEX($A:$AP,ROW(),$B$6)))</f>
        <v/>
      </c>
      <c r="AS367" s="32">
        <f>IF($AR367="","",IF(ISNUMBER($AR367),IF($AR367&gt;=10000000,IFERROR(DATE(INT($AR367/10000),MOD(INT($AR367/100),100),MOD($AR367,100)),""),INT($AR367)),IFERROR(DATE(--LEFT(LEFT(SUBSTITUTE(SUBSTITUTE(SUBSTITUTE(SUBSTITUTE(TRIM($AR367),"-",""),".",""),"/","")," ",""),8),4),--MID(LEFT(SUBSTITUTE(SUBSTITUTE(SUBSTITUTE(SUBSTITUTE(TRIM($AR367),"-",""),".",""),"/","")," ",""),8),5,2),--MID(LEFT(SUBSTITUTE(SUBSTITUTE(SUBSTITUTE(SUBSTITUTE(TRIM($AR367),"-",""),".",""),"/","")," ",""),8),7,2)),"")))</f>
        <v/>
      </c>
      <c r="AT367" s="33">
        <f>IF($AS367="","",IF($F$6="",0,IF(ISNUMBER(INDEX($A:$AP,ROW(),$F$6)),INDEX($A:$AP,ROW(),$F$6),IFERROR(--SUBSTITUTE(SUBSTITUTE(TRIM(INDEX($A:$AP,ROW(),$F$6)),",",""),"원",""),0))))</f>
        <v/>
      </c>
      <c r="AU367" s="31">
        <f>IF($AS367="","",IF($AX367&lt;&gt;"",SUBSTITUTE(SUBSTITUTE($AX367,"-","")," ",""),"N:"&amp;$AV367))</f>
        <v/>
      </c>
      <c r="AV367" s="31">
        <f>IF(OR($AS367="",$E$6=""),"",TRIM(INDEX($A:$AP,ROW(),$E$6)&amp;""))</f>
        <v/>
      </c>
      <c r="AW367" s="31">
        <f>IF($AU367="","",IF(MATCH($AU367,$AU$8:$AU$2007,0)=ROW()-7,MAX($AW$7:$AW366)+1,""))</f>
        <v/>
      </c>
      <c r="AX367" s="31">
        <f>IF(OR($AS367="",$D$6=""),"",TRIM(INDEX($A:$AP,ROW(),$D$6)&amp;""))</f>
        <v/>
      </c>
      <c r="AY367" s="31">
        <f>IF($AU367="","",INDEX($AW$8:$AW$2007,MATCH($AU367,$AU$8:$AU$2007,0)))</f>
        <v/>
      </c>
      <c r="AZ367" s="31">
        <f>IF(OR($AS367="",$C$6=""),"",TRIM(INDEX($A:$AP,ROW(),$C$6)&amp;""))</f>
        <v/>
      </c>
      <c r="BA367" s="31">
        <f>IF($AZ367="","",IF(COUNTIF($AZ$8:$AZ367,$AZ367)&gt;1,1,0))</f>
        <v/>
      </c>
    </row>
    <row r="368">
      <c r="AR368" s="31">
        <f>IF(OR($A$5="",$B$6="",ROW()&lt;$A$5),"",IF(INDEX($A:$AP,ROW(),$B$6)="","",INDEX($A:$AP,ROW(),$B$6)))</f>
        <v/>
      </c>
      <c r="AS368" s="32">
        <f>IF($AR368="","",IF(ISNUMBER($AR368),IF($AR368&gt;=10000000,IFERROR(DATE(INT($AR368/10000),MOD(INT($AR368/100),100),MOD($AR368,100)),""),INT($AR368)),IFERROR(DATE(--LEFT(LEFT(SUBSTITUTE(SUBSTITUTE(SUBSTITUTE(SUBSTITUTE(TRIM($AR368),"-",""),".",""),"/","")," ",""),8),4),--MID(LEFT(SUBSTITUTE(SUBSTITUTE(SUBSTITUTE(SUBSTITUTE(TRIM($AR368),"-",""),".",""),"/","")," ",""),8),5,2),--MID(LEFT(SUBSTITUTE(SUBSTITUTE(SUBSTITUTE(SUBSTITUTE(TRIM($AR368),"-",""),".",""),"/","")," ",""),8),7,2)),"")))</f>
        <v/>
      </c>
      <c r="AT368" s="33">
        <f>IF($AS368="","",IF($F$6="",0,IF(ISNUMBER(INDEX($A:$AP,ROW(),$F$6)),INDEX($A:$AP,ROW(),$F$6),IFERROR(--SUBSTITUTE(SUBSTITUTE(TRIM(INDEX($A:$AP,ROW(),$F$6)),",",""),"원",""),0))))</f>
        <v/>
      </c>
      <c r="AU368" s="31">
        <f>IF($AS368="","",IF($AX368&lt;&gt;"",SUBSTITUTE(SUBSTITUTE($AX368,"-","")," ",""),"N:"&amp;$AV368))</f>
        <v/>
      </c>
      <c r="AV368" s="31">
        <f>IF(OR($AS368="",$E$6=""),"",TRIM(INDEX($A:$AP,ROW(),$E$6)&amp;""))</f>
        <v/>
      </c>
      <c r="AW368" s="31">
        <f>IF($AU368="","",IF(MATCH($AU368,$AU$8:$AU$2007,0)=ROW()-7,MAX($AW$7:$AW367)+1,""))</f>
        <v/>
      </c>
      <c r="AX368" s="31">
        <f>IF(OR($AS368="",$D$6=""),"",TRIM(INDEX($A:$AP,ROW(),$D$6)&amp;""))</f>
        <v/>
      </c>
      <c r="AY368" s="31">
        <f>IF($AU368="","",INDEX($AW$8:$AW$2007,MATCH($AU368,$AU$8:$AU$2007,0)))</f>
        <v/>
      </c>
      <c r="AZ368" s="31">
        <f>IF(OR($AS368="",$C$6=""),"",TRIM(INDEX($A:$AP,ROW(),$C$6)&amp;""))</f>
        <v/>
      </c>
      <c r="BA368" s="31">
        <f>IF($AZ368="","",IF(COUNTIF($AZ$8:$AZ368,$AZ368)&gt;1,1,0))</f>
        <v/>
      </c>
    </row>
    <row r="369">
      <c r="AR369" s="31">
        <f>IF(OR($A$5="",$B$6="",ROW()&lt;$A$5),"",IF(INDEX($A:$AP,ROW(),$B$6)="","",INDEX($A:$AP,ROW(),$B$6)))</f>
        <v/>
      </c>
      <c r="AS369" s="32">
        <f>IF($AR369="","",IF(ISNUMBER($AR369),IF($AR369&gt;=10000000,IFERROR(DATE(INT($AR369/10000),MOD(INT($AR369/100),100),MOD($AR369,100)),""),INT($AR369)),IFERROR(DATE(--LEFT(LEFT(SUBSTITUTE(SUBSTITUTE(SUBSTITUTE(SUBSTITUTE(TRIM($AR369),"-",""),".",""),"/","")," ",""),8),4),--MID(LEFT(SUBSTITUTE(SUBSTITUTE(SUBSTITUTE(SUBSTITUTE(TRIM($AR369),"-",""),".",""),"/","")," ",""),8),5,2),--MID(LEFT(SUBSTITUTE(SUBSTITUTE(SUBSTITUTE(SUBSTITUTE(TRIM($AR369),"-",""),".",""),"/","")," ",""),8),7,2)),"")))</f>
        <v/>
      </c>
      <c r="AT369" s="33">
        <f>IF($AS369="","",IF($F$6="",0,IF(ISNUMBER(INDEX($A:$AP,ROW(),$F$6)),INDEX($A:$AP,ROW(),$F$6),IFERROR(--SUBSTITUTE(SUBSTITUTE(TRIM(INDEX($A:$AP,ROW(),$F$6)),",",""),"원",""),0))))</f>
        <v/>
      </c>
      <c r="AU369" s="31">
        <f>IF($AS369="","",IF($AX369&lt;&gt;"",SUBSTITUTE(SUBSTITUTE($AX369,"-","")," ",""),"N:"&amp;$AV369))</f>
        <v/>
      </c>
      <c r="AV369" s="31">
        <f>IF(OR($AS369="",$E$6=""),"",TRIM(INDEX($A:$AP,ROW(),$E$6)&amp;""))</f>
        <v/>
      </c>
      <c r="AW369" s="31">
        <f>IF($AU369="","",IF(MATCH($AU369,$AU$8:$AU$2007,0)=ROW()-7,MAX($AW$7:$AW368)+1,""))</f>
        <v/>
      </c>
      <c r="AX369" s="31">
        <f>IF(OR($AS369="",$D$6=""),"",TRIM(INDEX($A:$AP,ROW(),$D$6)&amp;""))</f>
        <v/>
      </c>
      <c r="AY369" s="31">
        <f>IF($AU369="","",INDEX($AW$8:$AW$2007,MATCH($AU369,$AU$8:$AU$2007,0)))</f>
        <v/>
      </c>
      <c r="AZ369" s="31">
        <f>IF(OR($AS369="",$C$6=""),"",TRIM(INDEX($A:$AP,ROW(),$C$6)&amp;""))</f>
        <v/>
      </c>
      <c r="BA369" s="31">
        <f>IF($AZ369="","",IF(COUNTIF($AZ$8:$AZ369,$AZ369)&gt;1,1,0))</f>
        <v/>
      </c>
    </row>
    <row r="370">
      <c r="AR370" s="31">
        <f>IF(OR($A$5="",$B$6="",ROW()&lt;$A$5),"",IF(INDEX($A:$AP,ROW(),$B$6)="","",INDEX($A:$AP,ROW(),$B$6)))</f>
        <v/>
      </c>
      <c r="AS370" s="32">
        <f>IF($AR370="","",IF(ISNUMBER($AR370),IF($AR370&gt;=10000000,IFERROR(DATE(INT($AR370/10000),MOD(INT($AR370/100),100),MOD($AR370,100)),""),INT($AR370)),IFERROR(DATE(--LEFT(LEFT(SUBSTITUTE(SUBSTITUTE(SUBSTITUTE(SUBSTITUTE(TRIM($AR370),"-",""),".",""),"/","")," ",""),8),4),--MID(LEFT(SUBSTITUTE(SUBSTITUTE(SUBSTITUTE(SUBSTITUTE(TRIM($AR370),"-",""),".",""),"/","")," ",""),8),5,2),--MID(LEFT(SUBSTITUTE(SUBSTITUTE(SUBSTITUTE(SUBSTITUTE(TRIM($AR370),"-",""),".",""),"/","")," ",""),8),7,2)),"")))</f>
        <v/>
      </c>
      <c r="AT370" s="33">
        <f>IF($AS370="","",IF($F$6="",0,IF(ISNUMBER(INDEX($A:$AP,ROW(),$F$6)),INDEX($A:$AP,ROW(),$F$6),IFERROR(--SUBSTITUTE(SUBSTITUTE(TRIM(INDEX($A:$AP,ROW(),$F$6)),",",""),"원",""),0))))</f>
        <v/>
      </c>
      <c r="AU370" s="31">
        <f>IF($AS370="","",IF($AX370&lt;&gt;"",SUBSTITUTE(SUBSTITUTE($AX370,"-","")," ",""),"N:"&amp;$AV370))</f>
        <v/>
      </c>
      <c r="AV370" s="31">
        <f>IF(OR($AS370="",$E$6=""),"",TRIM(INDEX($A:$AP,ROW(),$E$6)&amp;""))</f>
        <v/>
      </c>
      <c r="AW370" s="31">
        <f>IF($AU370="","",IF(MATCH($AU370,$AU$8:$AU$2007,0)=ROW()-7,MAX($AW$7:$AW369)+1,""))</f>
        <v/>
      </c>
      <c r="AX370" s="31">
        <f>IF(OR($AS370="",$D$6=""),"",TRIM(INDEX($A:$AP,ROW(),$D$6)&amp;""))</f>
        <v/>
      </c>
      <c r="AY370" s="31">
        <f>IF($AU370="","",INDEX($AW$8:$AW$2007,MATCH($AU370,$AU$8:$AU$2007,0)))</f>
        <v/>
      </c>
      <c r="AZ370" s="31">
        <f>IF(OR($AS370="",$C$6=""),"",TRIM(INDEX($A:$AP,ROW(),$C$6)&amp;""))</f>
        <v/>
      </c>
      <c r="BA370" s="31">
        <f>IF($AZ370="","",IF(COUNTIF($AZ$8:$AZ370,$AZ370)&gt;1,1,0))</f>
        <v/>
      </c>
    </row>
    <row r="371">
      <c r="AR371" s="31">
        <f>IF(OR($A$5="",$B$6="",ROW()&lt;$A$5),"",IF(INDEX($A:$AP,ROW(),$B$6)="","",INDEX($A:$AP,ROW(),$B$6)))</f>
        <v/>
      </c>
      <c r="AS371" s="32">
        <f>IF($AR371="","",IF(ISNUMBER($AR371),IF($AR371&gt;=10000000,IFERROR(DATE(INT($AR371/10000),MOD(INT($AR371/100),100),MOD($AR371,100)),""),INT($AR371)),IFERROR(DATE(--LEFT(LEFT(SUBSTITUTE(SUBSTITUTE(SUBSTITUTE(SUBSTITUTE(TRIM($AR371),"-",""),".",""),"/","")," ",""),8),4),--MID(LEFT(SUBSTITUTE(SUBSTITUTE(SUBSTITUTE(SUBSTITUTE(TRIM($AR371),"-",""),".",""),"/","")," ",""),8),5,2),--MID(LEFT(SUBSTITUTE(SUBSTITUTE(SUBSTITUTE(SUBSTITUTE(TRIM($AR371),"-",""),".",""),"/","")," ",""),8),7,2)),"")))</f>
        <v/>
      </c>
      <c r="AT371" s="33">
        <f>IF($AS371="","",IF($F$6="",0,IF(ISNUMBER(INDEX($A:$AP,ROW(),$F$6)),INDEX($A:$AP,ROW(),$F$6),IFERROR(--SUBSTITUTE(SUBSTITUTE(TRIM(INDEX($A:$AP,ROW(),$F$6)),",",""),"원",""),0))))</f>
        <v/>
      </c>
      <c r="AU371" s="31">
        <f>IF($AS371="","",IF($AX371&lt;&gt;"",SUBSTITUTE(SUBSTITUTE($AX371,"-","")," ",""),"N:"&amp;$AV371))</f>
        <v/>
      </c>
      <c r="AV371" s="31">
        <f>IF(OR($AS371="",$E$6=""),"",TRIM(INDEX($A:$AP,ROW(),$E$6)&amp;""))</f>
        <v/>
      </c>
      <c r="AW371" s="31">
        <f>IF($AU371="","",IF(MATCH($AU371,$AU$8:$AU$2007,0)=ROW()-7,MAX($AW$7:$AW370)+1,""))</f>
        <v/>
      </c>
      <c r="AX371" s="31">
        <f>IF(OR($AS371="",$D$6=""),"",TRIM(INDEX($A:$AP,ROW(),$D$6)&amp;""))</f>
        <v/>
      </c>
      <c r="AY371" s="31">
        <f>IF($AU371="","",INDEX($AW$8:$AW$2007,MATCH($AU371,$AU$8:$AU$2007,0)))</f>
        <v/>
      </c>
      <c r="AZ371" s="31">
        <f>IF(OR($AS371="",$C$6=""),"",TRIM(INDEX($A:$AP,ROW(),$C$6)&amp;""))</f>
        <v/>
      </c>
      <c r="BA371" s="31">
        <f>IF($AZ371="","",IF(COUNTIF($AZ$8:$AZ371,$AZ371)&gt;1,1,0))</f>
        <v/>
      </c>
    </row>
    <row r="372">
      <c r="AR372" s="31">
        <f>IF(OR($A$5="",$B$6="",ROW()&lt;$A$5),"",IF(INDEX($A:$AP,ROW(),$B$6)="","",INDEX($A:$AP,ROW(),$B$6)))</f>
        <v/>
      </c>
      <c r="AS372" s="32">
        <f>IF($AR372="","",IF(ISNUMBER($AR372),IF($AR372&gt;=10000000,IFERROR(DATE(INT($AR372/10000),MOD(INT($AR372/100),100),MOD($AR372,100)),""),INT($AR372)),IFERROR(DATE(--LEFT(LEFT(SUBSTITUTE(SUBSTITUTE(SUBSTITUTE(SUBSTITUTE(TRIM($AR372),"-",""),".",""),"/","")," ",""),8),4),--MID(LEFT(SUBSTITUTE(SUBSTITUTE(SUBSTITUTE(SUBSTITUTE(TRIM($AR372),"-",""),".",""),"/","")," ",""),8),5,2),--MID(LEFT(SUBSTITUTE(SUBSTITUTE(SUBSTITUTE(SUBSTITUTE(TRIM($AR372),"-",""),".",""),"/","")," ",""),8),7,2)),"")))</f>
        <v/>
      </c>
      <c r="AT372" s="33">
        <f>IF($AS372="","",IF($F$6="",0,IF(ISNUMBER(INDEX($A:$AP,ROW(),$F$6)),INDEX($A:$AP,ROW(),$F$6),IFERROR(--SUBSTITUTE(SUBSTITUTE(TRIM(INDEX($A:$AP,ROW(),$F$6)),",",""),"원",""),0))))</f>
        <v/>
      </c>
      <c r="AU372" s="31">
        <f>IF($AS372="","",IF($AX372&lt;&gt;"",SUBSTITUTE(SUBSTITUTE($AX372,"-","")," ",""),"N:"&amp;$AV372))</f>
        <v/>
      </c>
      <c r="AV372" s="31">
        <f>IF(OR($AS372="",$E$6=""),"",TRIM(INDEX($A:$AP,ROW(),$E$6)&amp;""))</f>
        <v/>
      </c>
      <c r="AW372" s="31">
        <f>IF($AU372="","",IF(MATCH($AU372,$AU$8:$AU$2007,0)=ROW()-7,MAX($AW$7:$AW371)+1,""))</f>
        <v/>
      </c>
      <c r="AX372" s="31">
        <f>IF(OR($AS372="",$D$6=""),"",TRIM(INDEX($A:$AP,ROW(),$D$6)&amp;""))</f>
        <v/>
      </c>
      <c r="AY372" s="31">
        <f>IF($AU372="","",INDEX($AW$8:$AW$2007,MATCH($AU372,$AU$8:$AU$2007,0)))</f>
        <v/>
      </c>
      <c r="AZ372" s="31">
        <f>IF(OR($AS372="",$C$6=""),"",TRIM(INDEX($A:$AP,ROW(),$C$6)&amp;""))</f>
        <v/>
      </c>
      <c r="BA372" s="31">
        <f>IF($AZ372="","",IF(COUNTIF($AZ$8:$AZ372,$AZ372)&gt;1,1,0))</f>
        <v/>
      </c>
    </row>
    <row r="373">
      <c r="AR373" s="31">
        <f>IF(OR($A$5="",$B$6="",ROW()&lt;$A$5),"",IF(INDEX($A:$AP,ROW(),$B$6)="","",INDEX($A:$AP,ROW(),$B$6)))</f>
        <v/>
      </c>
      <c r="AS373" s="32">
        <f>IF($AR373="","",IF(ISNUMBER($AR373),IF($AR373&gt;=10000000,IFERROR(DATE(INT($AR373/10000),MOD(INT($AR373/100),100),MOD($AR373,100)),""),INT($AR373)),IFERROR(DATE(--LEFT(LEFT(SUBSTITUTE(SUBSTITUTE(SUBSTITUTE(SUBSTITUTE(TRIM($AR373),"-",""),".",""),"/","")," ",""),8),4),--MID(LEFT(SUBSTITUTE(SUBSTITUTE(SUBSTITUTE(SUBSTITUTE(TRIM($AR373),"-",""),".",""),"/","")," ",""),8),5,2),--MID(LEFT(SUBSTITUTE(SUBSTITUTE(SUBSTITUTE(SUBSTITUTE(TRIM($AR373),"-",""),".",""),"/","")," ",""),8),7,2)),"")))</f>
        <v/>
      </c>
      <c r="AT373" s="33">
        <f>IF($AS373="","",IF($F$6="",0,IF(ISNUMBER(INDEX($A:$AP,ROW(),$F$6)),INDEX($A:$AP,ROW(),$F$6),IFERROR(--SUBSTITUTE(SUBSTITUTE(TRIM(INDEX($A:$AP,ROW(),$F$6)),",",""),"원",""),0))))</f>
        <v/>
      </c>
      <c r="AU373" s="31">
        <f>IF($AS373="","",IF($AX373&lt;&gt;"",SUBSTITUTE(SUBSTITUTE($AX373,"-","")," ",""),"N:"&amp;$AV373))</f>
        <v/>
      </c>
      <c r="AV373" s="31">
        <f>IF(OR($AS373="",$E$6=""),"",TRIM(INDEX($A:$AP,ROW(),$E$6)&amp;""))</f>
        <v/>
      </c>
      <c r="AW373" s="31">
        <f>IF($AU373="","",IF(MATCH($AU373,$AU$8:$AU$2007,0)=ROW()-7,MAX($AW$7:$AW372)+1,""))</f>
        <v/>
      </c>
      <c r="AX373" s="31">
        <f>IF(OR($AS373="",$D$6=""),"",TRIM(INDEX($A:$AP,ROW(),$D$6)&amp;""))</f>
        <v/>
      </c>
      <c r="AY373" s="31">
        <f>IF($AU373="","",INDEX($AW$8:$AW$2007,MATCH($AU373,$AU$8:$AU$2007,0)))</f>
        <v/>
      </c>
      <c r="AZ373" s="31">
        <f>IF(OR($AS373="",$C$6=""),"",TRIM(INDEX($A:$AP,ROW(),$C$6)&amp;""))</f>
        <v/>
      </c>
      <c r="BA373" s="31">
        <f>IF($AZ373="","",IF(COUNTIF($AZ$8:$AZ373,$AZ373)&gt;1,1,0))</f>
        <v/>
      </c>
    </row>
    <row r="374">
      <c r="AR374" s="31">
        <f>IF(OR($A$5="",$B$6="",ROW()&lt;$A$5),"",IF(INDEX($A:$AP,ROW(),$B$6)="","",INDEX($A:$AP,ROW(),$B$6)))</f>
        <v/>
      </c>
      <c r="AS374" s="32">
        <f>IF($AR374="","",IF(ISNUMBER($AR374),IF($AR374&gt;=10000000,IFERROR(DATE(INT($AR374/10000),MOD(INT($AR374/100),100),MOD($AR374,100)),""),INT($AR374)),IFERROR(DATE(--LEFT(LEFT(SUBSTITUTE(SUBSTITUTE(SUBSTITUTE(SUBSTITUTE(TRIM($AR374),"-",""),".",""),"/","")," ",""),8),4),--MID(LEFT(SUBSTITUTE(SUBSTITUTE(SUBSTITUTE(SUBSTITUTE(TRIM($AR374),"-",""),".",""),"/","")," ",""),8),5,2),--MID(LEFT(SUBSTITUTE(SUBSTITUTE(SUBSTITUTE(SUBSTITUTE(TRIM($AR374),"-",""),".",""),"/","")," ",""),8),7,2)),"")))</f>
        <v/>
      </c>
      <c r="AT374" s="33">
        <f>IF($AS374="","",IF($F$6="",0,IF(ISNUMBER(INDEX($A:$AP,ROW(),$F$6)),INDEX($A:$AP,ROW(),$F$6),IFERROR(--SUBSTITUTE(SUBSTITUTE(TRIM(INDEX($A:$AP,ROW(),$F$6)),",",""),"원",""),0))))</f>
        <v/>
      </c>
      <c r="AU374" s="31">
        <f>IF($AS374="","",IF($AX374&lt;&gt;"",SUBSTITUTE(SUBSTITUTE($AX374,"-","")," ",""),"N:"&amp;$AV374))</f>
        <v/>
      </c>
      <c r="AV374" s="31">
        <f>IF(OR($AS374="",$E$6=""),"",TRIM(INDEX($A:$AP,ROW(),$E$6)&amp;""))</f>
        <v/>
      </c>
      <c r="AW374" s="31">
        <f>IF($AU374="","",IF(MATCH($AU374,$AU$8:$AU$2007,0)=ROW()-7,MAX($AW$7:$AW373)+1,""))</f>
        <v/>
      </c>
      <c r="AX374" s="31">
        <f>IF(OR($AS374="",$D$6=""),"",TRIM(INDEX($A:$AP,ROW(),$D$6)&amp;""))</f>
        <v/>
      </c>
      <c r="AY374" s="31">
        <f>IF($AU374="","",INDEX($AW$8:$AW$2007,MATCH($AU374,$AU$8:$AU$2007,0)))</f>
        <v/>
      </c>
      <c r="AZ374" s="31">
        <f>IF(OR($AS374="",$C$6=""),"",TRIM(INDEX($A:$AP,ROW(),$C$6)&amp;""))</f>
        <v/>
      </c>
      <c r="BA374" s="31">
        <f>IF($AZ374="","",IF(COUNTIF($AZ$8:$AZ374,$AZ374)&gt;1,1,0))</f>
        <v/>
      </c>
    </row>
    <row r="375">
      <c r="AR375" s="31">
        <f>IF(OR($A$5="",$B$6="",ROW()&lt;$A$5),"",IF(INDEX($A:$AP,ROW(),$B$6)="","",INDEX($A:$AP,ROW(),$B$6)))</f>
        <v/>
      </c>
      <c r="AS375" s="32">
        <f>IF($AR375="","",IF(ISNUMBER($AR375),IF($AR375&gt;=10000000,IFERROR(DATE(INT($AR375/10000),MOD(INT($AR375/100),100),MOD($AR375,100)),""),INT($AR375)),IFERROR(DATE(--LEFT(LEFT(SUBSTITUTE(SUBSTITUTE(SUBSTITUTE(SUBSTITUTE(TRIM($AR375),"-",""),".",""),"/","")," ",""),8),4),--MID(LEFT(SUBSTITUTE(SUBSTITUTE(SUBSTITUTE(SUBSTITUTE(TRIM($AR375),"-",""),".",""),"/","")," ",""),8),5,2),--MID(LEFT(SUBSTITUTE(SUBSTITUTE(SUBSTITUTE(SUBSTITUTE(TRIM($AR375),"-",""),".",""),"/","")," ",""),8),7,2)),"")))</f>
        <v/>
      </c>
      <c r="AT375" s="33">
        <f>IF($AS375="","",IF($F$6="",0,IF(ISNUMBER(INDEX($A:$AP,ROW(),$F$6)),INDEX($A:$AP,ROW(),$F$6),IFERROR(--SUBSTITUTE(SUBSTITUTE(TRIM(INDEX($A:$AP,ROW(),$F$6)),",",""),"원",""),0))))</f>
        <v/>
      </c>
      <c r="AU375" s="31">
        <f>IF($AS375="","",IF($AX375&lt;&gt;"",SUBSTITUTE(SUBSTITUTE($AX375,"-","")," ",""),"N:"&amp;$AV375))</f>
        <v/>
      </c>
      <c r="AV375" s="31">
        <f>IF(OR($AS375="",$E$6=""),"",TRIM(INDEX($A:$AP,ROW(),$E$6)&amp;""))</f>
        <v/>
      </c>
      <c r="AW375" s="31">
        <f>IF($AU375="","",IF(MATCH($AU375,$AU$8:$AU$2007,0)=ROW()-7,MAX($AW$7:$AW374)+1,""))</f>
        <v/>
      </c>
      <c r="AX375" s="31">
        <f>IF(OR($AS375="",$D$6=""),"",TRIM(INDEX($A:$AP,ROW(),$D$6)&amp;""))</f>
        <v/>
      </c>
      <c r="AY375" s="31">
        <f>IF($AU375="","",INDEX($AW$8:$AW$2007,MATCH($AU375,$AU$8:$AU$2007,0)))</f>
        <v/>
      </c>
      <c r="AZ375" s="31">
        <f>IF(OR($AS375="",$C$6=""),"",TRIM(INDEX($A:$AP,ROW(),$C$6)&amp;""))</f>
        <v/>
      </c>
      <c r="BA375" s="31">
        <f>IF($AZ375="","",IF(COUNTIF($AZ$8:$AZ375,$AZ375)&gt;1,1,0))</f>
        <v/>
      </c>
    </row>
    <row r="376">
      <c r="AR376" s="31">
        <f>IF(OR($A$5="",$B$6="",ROW()&lt;$A$5),"",IF(INDEX($A:$AP,ROW(),$B$6)="","",INDEX($A:$AP,ROW(),$B$6)))</f>
        <v/>
      </c>
      <c r="AS376" s="32">
        <f>IF($AR376="","",IF(ISNUMBER($AR376),IF($AR376&gt;=10000000,IFERROR(DATE(INT($AR376/10000),MOD(INT($AR376/100),100),MOD($AR376,100)),""),INT($AR376)),IFERROR(DATE(--LEFT(LEFT(SUBSTITUTE(SUBSTITUTE(SUBSTITUTE(SUBSTITUTE(TRIM($AR376),"-",""),".",""),"/","")," ",""),8),4),--MID(LEFT(SUBSTITUTE(SUBSTITUTE(SUBSTITUTE(SUBSTITUTE(TRIM($AR376),"-",""),".",""),"/","")," ",""),8),5,2),--MID(LEFT(SUBSTITUTE(SUBSTITUTE(SUBSTITUTE(SUBSTITUTE(TRIM($AR376),"-",""),".",""),"/","")," ",""),8),7,2)),"")))</f>
        <v/>
      </c>
      <c r="AT376" s="33">
        <f>IF($AS376="","",IF($F$6="",0,IF(ISNUMBER(INDEX($A:$AP,ROW(),$F$6)),INDEX($A:$AP,ROW(),$F$6),IFERROR(--SUBSTITUTE(SUBSTITUTE(TRIM(INDEX($A:$AP,ROW(),$F$6)),",",""),"원",""),0))))</f>
        <v/>
      </c>
      <c r="AU376" s="31">
        <f>IF($AS376="","",IF($AX376&lt;&gt;"",SUBSTITUTE(SUBSTITUTE($AX376,"-","")," ",""),"N:"&amp;$AV376))</f>
        <v/>
      </c>
      <c r="AV376" s="31">
        <f>IF(OR($AS376="",$E$6=""),"",TRIM(INDEX($A:$AP,ROW(),$E$6)&amp;""))</f>
        <v/>
      </c>
      <c r="AW376" s="31">
        <f>IF($AU376="","",IF(MATCH($AU376,$AU$8:$AU$2007,0)=ROW()-7,MAX($AW$7:$AW375)+1,""))</f>
        <v/>
      </c>
      <c r="AX376" s="31">
        <f>IF(OR($AS376="",$D$6=""),"",TRIM(INDEX($A:$AP,ROW(),$D$6)&amp;""))</f>
        <v/>
      </c>
      <c r="AY376" s="31">
        <f>IF($AU376="","",INDEX($AW$8:$AW$2007,MATCH($AU376,$AU$8:$AU$2007,0)))</f>
        <v/>
      </c>
      <c r="AZ376" s="31">
        <f>IF(OR($AS376="",$C$6=""),"",TRIM(INDEX($A:$AP,ROW(),$C$6)&amp;""))</f>
        <v/>
      </c>
      <c r="BA376" s="31">
        <f>IF($AZ376="","",IF(COUNTIF($AZ$8:$AZ376,$AZ376)&gt;1,1,0))</f>
        <v/>
      </c>
    </row>
    <row r="377">
      <c r="AR377" s="31">
        <f>IF(OR($A$5="",$B$6="",ROW()&lt;$A$5),"",IF(INDEX($A:$AP,ROW(),$B$6)="","",INDEX($A:$AP,ROW(),$B$6)))</f>
        <v/>
      </c>
      <c r="AS377" s="32">
        <f>IF($AR377="","",IF(ISNUMBER($AR377),IF($AR377&gt;=10000000,IFERROR(DATE(INT($AR377/10000),MOD(INT($AR377/100),100),MOD($AR377,100)),""),INT($AR377)),IFERROR(DATE(--LEFT(LEFT(SUBSTITUTE(SUBSTITUTE(SUBSTITUTE(SUBSTITUTE(TRIM($AR377),"-",""),".",""),"/","")," ",""),8),4),--MID(LEFT(SUBSTITUTE(SUBSTITUTE(SUBSTITUTE(SUBSTITUTE(TRIM($AR377),"-",""),".",""),"/","")," ",""),8),5,2),--MID(LEFT(SUBSTITUTE(SUBSTITUTE(SUBSTITUTE(SUBSTITUTE(TRIM($AR377),"-",""),".",""),"/","")," ",""),8),7,2)),"")))</f>
        <v/>
      </c>
      <c r="AT377" s="33">
        <f>IF($AS377="","",IF($F$6="",0,IF(ISNUMBER(INDEX($A:$AP,ROW(),$F$6)),INDEX($A:$AP,ROW(),$F$6),IFERROR(--SUBSTITUTE(SUBSTITUTE(TRIM(INDEX($A:$AP,ROW(),$F$6)),",",""),"원",""),0))))</f>
        <v/>
      </c>
      <c r="AU377" s="31">
        <f>IF($AS377="","",IF($AX377&lt;&gt;"",SUBSTITUTE(SUBSTITUTE($AX377,"-","")," ",""),"N:"&amp;$AV377))</f>
        <v/>
      </c>
      <c r="AV377" s="31">
        <f>IF(OR($AS377="",$E$6=""),"",TRIM(INDEX($A:$AP,ROW(),$E$6)&amp;""))</f>
        <v/>
      </c>
      <c r="AW377" s="31">
        <f>IF($AU377="","",IF(MATCH($AU377,$AU$8:$AU$2007,0)=ROW()-7,MAX($AW$7:$AW376)+1,""))</f>
        <v/>
      </c>
      <c r="AX377" s="31">
        <f>IF(OR($AS377="",$D$6=""),"",TRIM(INDEX($A:$AP,ROW(),$D$6)&amp;""))</f>
        <v/>
      </c>
      <c r="AY377" s="31">
        <f>IF($AU377="","",INDEX($AW$8:$AW$2007,MATCH($AU377,$AU$8:$AU$2007,0)))</f>
        <v/>
      </c>
      <c r="AZ377" s="31">
        <f>IF(OR($AS377="",$C$6=""),"",TRIM(INDEX($A:$AP,ROW(),$C$6)&amp;""))</f>
        <v/>
      </c>
      <c r="BA377" s="31">
        <f>IF($AZ377="","",IF(COUNTIF($AZ$8:$AZ377,$AZ377)&gt;1,1,0))</f>
        <v/>
      </c>
    </row>
    <row r="378">
      <c r="AR378" s="31">
        <f>IF(OR($A$5="",$B$6="",ROW()&lt;$A$5),"",IF(INDEX($A:$AP,ROW(),$B$6)="","",INDEX($A:$AP,ROW(),$B$6)))</f>
        <v/>
      </c>
      <c r="AS378" s="32">
        <f>IF($AR378="","",IF(ISNUMBER($AR378),IF($AR378&gt;=10000000,IFERROR(DATE(INT($AR378/10000),MOD(INT($AR378/100),100),MOD($AR378,100)),""),INT($AR378)),IFERROR(DATE(--LEFT(LEFT(SUBSTITUTE(SUBSTITUTE(SUBSTITUTE(SUBSTITUTE(TRIM($AR378),"-",""),".",""),"/","")," ",""),8),4),--MID(LEFT(SUBSTITUTE(SUBSTITUTE(SUBSTITUTE(SUBSTITUTE(TRIM($AR378),"-",""),".",""),"/","")," ",""),8),5,2),--MID(LEFT(SUBSTITUTE(SUBSTITUTE(SUBSTITUTE(SUBSTITUTE(TRIM($AR378),"-",""),".",""),"/","")," ",""),8),7,2)),"")))</f>
        <v/>
      </c>
      <c r="AT378" s="33">
        <f>IF($AS378="","",IF($F$6="",0,IF(ISNUMBER(INDEX($A:$AP,ROW(),$F$6)),INDEX($A:$AP,ROW(),$F$6),IFERROR(--SUBSTITUTE(SUBSTITUTE(TRIM(INDEX($A:$AP,ROW(),$F$6)),",",""),"원",""),0))))</f>
        <v/>
      </c>
      <c r="AU378" s="31">
        <f>IF($AS378="","",IF($AX378&lt;&gt;"",SUBSTITUTE(SUBSTITUTE($AX378,"-","")," ",""),"N:"&amp;$AV378))</f>
        <v/>
      </c>
      <c r="AV378" s="31">
        <f>IF(OR($AS378="",$E$6=""),"",TRIM(INDEX($A:$AP,ROW(),$E$6)&amp;""))</f>
        <v/>
      </c>
      <c r="AW378" s="31">
        <f>IF($AU378="","",IF(MATCH($AU378,$AU$8:$AU$2007,0)=ROW()-7,MAX($AW$7:$AW377)+1,""))</f>
        <v/>
      </c>
      <c r="AX378" s="31">
        <f>IF(OR($AS378="",$D$6=""),"",TRIM(INDEX($A:$AP,ROW(),$D$6)&amp;""))</f>
        <v/>
      </c>
      <c r="AY378" s="31">
        <f>IF($AU378="","",INDEX($AW$8:$AW$2007,MATCH($AU378,$AU$8:$AU$2007,0)))</f>
        <v/>
      </c>
      <c r="AZ378" s="31">
        <f>IF(OR($AS378="",$C$6=""),"",TRIM(INDEX($A:$AP,ROW(),$C$6)&amp;""))</f>
        <v/>
      </c>
      <c r="BA378" s="31">
        <f>IF($AZ378="","",IF(COUNTIF($AZ$8:$AZ378,$AZ378)&gt;1,1,0))</f>
        <v/>
      </c>
    </row>
    <row r="379">
      <c r="AR379" s="31">
        <f>IF(OR($A$5="",$B$6="",ROW()&lt;$A$5),"",IF(INDEX($A:$AP,ROW(),$B$6)="","",INDEX($A:$AP,ROW(),$B$6)))</f>
        <v/>
      </c>
      <c r="AS379" s="32">
        <f>IF($AR379="","",IF(ISNUMBER($AR379),IF($AR379&gt;=10000000,IFERROR(DATE(INT($AR379/10000),MOD(INT($AR379/100),100),MOD($AR379,100)),""),INT($AR379)),IFERROR(DATE(--LEFT(LEFT(SUBSTITUTE(SUBSTITUTE(SUBSTITUTE(SUBSTITUTE(TRIM($AR379),"-",""),".",""),"/","")," ",""),8),4),--MID(LEFT(SUBSTITUTE(SUBSTITUTE(SUBSTITUTE(SUBSTITUTE(TRIM($AR379),"-",""),".",""),"/","")," ",""),8),5,2),--MID(LEFT(SUBSTITUTE(SUBSTITUTE(SUBSTITUTE(SUBSTITUTE(TRIM($AR379),"-",""),".",""),"/","")," ",""),8),7,2)),"")))</f>
        <v/>
      </c>
      <c r="AT379" s="33">
        <f>IF($AS379="","",IF($F$6="",0,IF(ISNUMBER(INDEX($A:$AP,ROW(),$F$6)),INDEX($A:$AP,ROW(),$F$6),IFERROR(--SUBSTITUTE(SUBSTITUTE(TRIM(INDEX($A:$AP,ROW(),$F$6)),",",""),"원",""),0))))</f>
        <v/>
      </c>
      <c r="AU379" s="31">
        <f>IF($AS379="","",IF($AX379&lt;&gt;"",SUBSTITUTE(SUBSTITUTE($AX379,"-","")," ",""),"N:"&amp;$AV379))</f>
        <v/>
      </c>
      <c r="AV379" s="31">
        <f>IF(OR($AS379="",$E$6=""),"",TRIM(INDEX($A:$AP,ROW(),$E$6)&amp;""))</f>
        <v/>
      </c>
      <c r="AW379" s="31">
        <f>IF($AU379="","",IF(MATCH($AU379,$AU$8:$AU$2007,0)=ROW()-7,MAX($AW$7:$AW378)+1,""))</f>
        <v/>
      </c>
      <c r="AX379" s="31">
        <f>IF(OR($AS379="",$D$6=""),"",TRIM(INDEX($A:$AP,ROW(),$D$6)&amp;""))</f>
        <v/>
      </c>
      <c r="AY379" s="31">
        <f>IF($AU379="","",INDEX($AW$8:$AW$2007,MATCH($AU379,$AU$8:$AU$2007,0)))</f>
        <v/>
      </c>
      <c r="AZ379" s="31">
        <f>IF(OR($AS379="",$C$6=""),"",TRIM(INDEX($A:$AP,ROW(),$C$6)&amp;""))</f>
        <v/>
      </c>
      <c r="BA379" s="31">
        <f>IF($AZ379="","",IF(COUNTIF($AZ$8:$AZ379,$AZ379)&gt;1,1,0))</f>
        <v/>
      </c>
    </row>
    <row r="380">
      <c r="AR380" s="31">
        <f>IF(OR($A$5="",$B$6="",ROW()&lt;$A$5),"",IF(INDEX($A:$AP,ROW(),$B$6)="","",INDEX($A:$AP,ROW(),$B$6)))</f>
        <v/>
      </c>
      <c r="AS380" s="32">
        <f>IF($AR380="","",IF(ISNUMBER($AR380),IF($AR380&gt;=10000000,IFERROR(DATE(INT($AR380/10000),MOD(INT($AR380/100),100),MOD($AR380,100)),""),INT($AR380)),IFERROR(DATE(--LEFT(LEFT(SUBSTITUTE(SUBSTITUTE(SUBSTITUTE(SUBSTITUTE(TRIM($AR380),"-",""),".",""),"/","")," ",""),8),4),--MID(LEFT(SUBSTITUTE(SUBSTITUTE(SUBSTITUTE(SUBSTITUTE(TRIM($AR380),"-",""),".",""),"/","")," ",""),8),5,2),--MID(LEFT(SUBSTITUTE(SUBSTITUTE(SUBSTITUTE(SUBSTITUTE(TRIM($AR380),"-",""),".",""),"/","")," ",""),8),7,2)),"")))</f>
        <v/>
      </c>
      <c r="AT380" s="33">
        <f>IF($AS380="","",IF($F$6="",0,IF(ISNUMBER(INDEX($A:$AP,ROW(),$F$6)),INDEX($A:$AP,ROW(),$F$6),IFERROR(--SUBSTITUTE(SUBSTITUTE(TRIM(INDEX($A:$AP,ROW(),$F$6)),",",""),"원",""),0))))</f>
        <v/>
      </c>
      <c r="AU380" s="31">
        <f>IF($AS380="","",IF($AX380&lt;&gt;"",SUBSTITUTE(SUBSTITUTE($AX380,"-","")," ",""),"N:"&amp;$AV380))</f>
        <v/>
      </c>
      <c r="AV380" s="31">
        <f>IF(OR($AS380="",$E$6=""),"",TRIM(INDEX($A:$AP,ROW(),$E$6)&amp;""))</f>
        <v/>
      </c>
      <c r="AW380" s="31">
        <f>IF($AU380="","",IF(MATCH($AU380,$AU$8:$AU$2007,0)=ROW()-7,MAX($AW$7:$AW379)+1,""))</f>
        <v/>
      </c>
      <c r="AX380" s="31">
        <f>IF(OR($AS380="",$D$6=""),"",TRIM(INDEX($A:$AP,ROW(),$D$6)&amp;""))</f>
        <v/>
      </c>
      <c r="AY380" s="31">
        <f>IF($AU380="","",INDEX($AW$8:$AW$2007,MATCH($AU380,$AU$8:$AU$2007,0)))</f>
        <v/>
      </c>
      <c r="AZ380" s="31">
        <f>IF(OR($AS380="",$C$6=""),"",TRIM(INDEX($A:$AP,ROW(),$C$6)&amp;""))</f>
        <v/>
      </c>
      <c r="BA380" s="31">
        <f>IF($AZ380="","",IF(COUNTIF($AZ$8:$AZ380,$AZ380)&gt;1,1,0))</f>
        <v/>
      </c>
    </row>
    <row r="381">
      <c r="AR381" s="31">
        <f>IF(OR($A$5="",$B$6="",ROW()&lt;$A$5),"",IF(INDEX($A:$AP,ROW(),$B$6)="","",INDEX($A:$AP,ROW(),$B$6)))</f>
        <v/>
      </c>
      <c r="AS381" s="32">
        <f>IF($AR381="","",IF(ISNUMBER($AR381),IF($AR381&gt;=10000000,IFERROR(DATE(INT($AR381/10000),MOD(INT($AR381/100),100),MOD($AR381,100)),""),INT($AR381)),IFERROR(DATE(--LEFT(LEFT(SUBSTITUTE(SUBSTITUTE(SUBSTITUTE(SUBSTITUTE(TRIM($AR381),"-",""),".",""),"/","")," ",""),8),4),--MID(LEFT(SUBSTITUTE(SUBSTITUTE(SUBSTITUTE(SUBSTITUTE(TRIM($AR381),"-",""),".",""),"/","")," ",""),8),5,2),--MID(LEFT(SUBSTITUTE(SUBSTITUTE(SUBSTITUTE(SUBSTITUTE(TRIM($AR381),"-",""),".",""),"/","")," ",""),8),7,2)),"")))</f>
        <v/>
      </c>
      <c r="AT381" s="33">
        <f>IF($AS381="","",IF($F$6="",0,IF(ISNUMBER(INDEX($A:$AP,ROW(),$F$6)),INDEX($A:$AP,ROW(),$F$6),IFERROR(--SUBSTITUTE(SUBSTITUTE(TRIM(INDEX($A:$AP,ROW(),$F$6)),",",""),"원",""),0))))</f>
        <v/>
      </c>
      <c r="AU381" s="31">
        <f>IF($AS381="","",IF($AX381&lt;&gt;"",SUBSTITUTE(SUBSTITUTE($AX381,"-","")," ",""),"N:"&amp;$AV381))</f>
        <v/>
      </c>
      <c r="AV381" s="31">
        <f>IF(OR($AS381="",$E$6=""),"",TRIM(INDEX($A:$AP,ROW(),$E$6)&amp;""))</f>
        <v/>
      </c>
      <c r="AW381" s="31">
        <f>IF($AU381="","",IF(MATCH($AU381,$AU$8:$AU$2007,0)=ROW()-7,MAX($AW$7:$AW380)+1,""))</f>
        <v/>
      </c>
      <c r="AX381" s="31">
        <f>IF(OR($AS381="",$D$6=""),"",TRIM(INDEX($A:$AP,ROW(),$D$6)&amp;""))</f>
        <v/>
      </c>
      <c r="AY381" s="31">
        <f>IF($AU381="","",INDEX($AW$8:$AW$2007,MATCH($AU381,$AU$8:$AU$2007,0)))</f>
        <v/>
      </c>
      <c r="AZ381" s="31">
        <f>IF(OR($AS381="",$C$6=""),"",TRIM(INDEX($A:$AP,ROW(),$C$6)&amp;""))</f>
        <v/>
      </c>
      <c r="BA381" s="31">
        <f>IF($AZ381="","",IF(COUNTIF($AZ$8:$AZ381,$AZ381)&gt;1,1,0))</f>
        <v/>
      </c>
    </row>
    <row r="382">
      <c r="AR382" s="31">
        <f>IF(OR($A$5="",$B$6="",ROW()&lt;$A$5),"",IF(INDEX($A:$AP,ROW(),$B$6)="","",INDEX($A:$AP,ROW(),$B$6)))</f>
        <v/>
      </c>
      <c r="AS382" s="32">
        <f>IF($AR382="","",IF(ISNUMBER($AR382),IF($AR382&gt;=10000000,IFERROR(DATE(INT($AR382/10000),MOD(INT($AR382/100),100),MOD($AR382,100)),""),INT($AR382)),IFERROR(DATE(--LEFT(LEFT(SUBSTITUTE(SUBSTITUTE(SUBSTITUTE(SUBSTITUTE(TRIM($AR382),"-",""),".",""),"/","")," ",""),8),4),--MID(LEFT(SUBSTITUTE(SUBSTITUTE(SUBSTITUTE(SUBSTITUTE(TRIM($AR382),"-",""),".",""),"/","")," ",""),8),5,2),--MID(LEFT(SUBSTITUTE(SUBSTITUTE(SUBSTITUTE(SUBSTITUTE(TRIM($AR382),"-",""),".",""),"/","")," ",""),8),7,2)),"")))</f>
        <v/>
      </c>
      <c r="AT382" s="33">
        <f>IF($AS382="","",IF($F$6="",0,IF(ISNUMBER(INDEX($A:$AP,ROW(),$F$6)),INDEX($A:$AP,ROW(),$F$6),IFERROR(--SUBSTITUTE(SUBSTITUTE(TRIM(INDEX($A:$AP,ROW(),$F$6)),",",""),"원",""),0))))</f>
        <v/>
      </c>
      <c r="AU382" s="31">
        <f>IF($AS382="","",IF($AX382&lt;&gt;"",SUBSTITUTE(SUBSTITUTE($AX382,"-","")," ",""),"N:"&amp;$AV382))</f>
        <v/>
      </c>
      <c r="AV382" s="31">
        <f>IF(OR($AS382="",$E$6=""),"",TRIM(INDEX($A:$AP,ROW(),$E$6)&amp;""))</f>
        <v/>
      </c>
      <c r="AW382" s="31">
        <f>IF($AU382="","",IF(MATCH($AU382,$AU$8:$AU$2007,0)=ROW()-7,MAX($AW$7:$AW381)+1,""))</f>
        <v/>
      </c>
      <c r="AX382" s="31">
        <f>IF(OR($AS382="",$D$6=""),"",TRIM(INDEX($A:$AP,ROW(),$D$6)&amp;""))</f>
        <v/>
      </c>
      <c r="AY382" s="31">
        <f>IF($AU382="","",INDEX($AW$8:$AW$2007,MATCH($AU382,$AU$8:$AU$2007,0)))</f>
        <v/>
      </c>
      <c r="AZ382" s="31">
        <f>IF(OR($AS382="",$C$6=""),"",TRIM(INDEX($A:$AP,ROW(),$C$6)&amp;""))</f>
        <v/>
      </c>
      <c r="BA382" s="31">
        <f>IF($AZ382="","",IF(COUNTIF($AZ$8:$AZ382,$AZ382)&gt;1,1,0))</f>
        <v/>
      </c>
    </row>
    <row r="383">
      <c r="AR383" s="31">
        <f>IF(OR($A$5="",$B$6="",ROW()&lt;$A$5),"",IF(INDEX($A:$AP,ROW(),$B$6)="","",INDEX($A:$AP,ROW(),$B$6)))</f>
        <v/>
      </c>
      <c r="AS383" s="32">
        <f>IF($AR383="","",IF(ISNUMBER($AR383),IF($AR383&gt;=10000000,IFERROR(DATE(INT($AR383/10000),MOD(INT($AR383/100),100),MOD($AR383,100)),""),INT($AR383)),IFERROR(DATE(--LEFT(LEFT(SUBSTITUTE(SUBSTITUTE(SUBSTITUTE(SUBSTITUTE(TRIM($AR383),"-",""),".",""),"/","")," ",""),8),4),--MID(LEFT(SUBSTITUTE(SUBSTITUTE(SUBSTITUTE(SUBSTITUTE(TRIM($AR383),"-",""),".",""),"/","")," ",""),8),5,2),--MID(LEFT(SUBSTITUTE(SUBSTITUTE(SUBSTITUTE(SUBSTITUTE(TRIM($AR383),"-",""),".",""),"/","")," ",""),8),7,2)),"")))</f>
        <v/>
      </c>
      <c r="AT383" s="33">
        <f>IF($AS383="","",IF($F$6="",0,IF(ISNUMBER(INDEX($A:$AP,ROW(),$F$6)),INDEX($A:$AP,ROW(),$F$6),IFERROR(--SUBSTITUTE(SUBSTITUTE(TRIM(INDEX($A:$AP,ROW(),$F$6)),",",""),"원",""),0))))</f>
        <v/>
      </c>
      <c r="AU383" s="31">
        <f>IF($AS383="","",IF($AX383&lt;&gt;"",SUBSTITUTE(SUBSTITUTE($AX383,"-","")," ",""),"N:"&amp;$AV383))</f>
        <v/>
      </c>
      <c r="AV383" s="31">
        <f>IF(OR($AS383="",$E$6=""),"",TRIM(INDEX($A:$AP,ROW(),$E$6)&amp;""))</f>
        <v/>
      </c>
      <c r="AW383" s="31">
        <f>IF($AU383="","",IF(MATCH($AU383,$AU$8:$AU$2007,0)=ROW()-7,MAX($AW$7:$AW382)+1,""))</f>
        <v/>
      </c>
      <c r="AX383" s="31">
        <f>IF(OR($AS383="",$D$6=""),"",TRIM(INDEX($A:$AP,ROW(),$D$6)&amp;""))</f>
        <v/>
      </c>
      <c r="AY383" s="31">
        <f>IF($AU383="","",INDEX($AW$8:$AW$2007,MATCH($AU383,$AU$8:$AU$2007,0)))</f>
        <v/>
      </c>
      <c r="AZ383" s="31">
        <f>IF(OR($AS383="",$C$6=""),"",TRIM(INDEX($A:$AP,ROW(),$C$6)&amp;""))</f>
        <v/>
      </c>
      <c r="BA383" s="31">
        <f>IF($AZ383="","",IF(COUNTIF($AZ$8:$AZ383,$AZ383)&gt;1,1,0))</f>
        <v/>
      </c>
    </row>
    <row r="384">
      <c r="AR384" s="31">
        <f>IF(OR($A$5="",$B$6="",ROW()&lt;$A$5),"",IF(INDEX($A:$AP,ROW(),$B$6)="","",INDEX($A:$AP,ROW(),$B$6)))</f>
        <v/>
      </c>
      <c r="AS384" s="32">
        <f>IF($AR384="","",IF(ISNUMBER($AR384),IF($AR384&gt;=10000000,IFERROR(DATE(INT($AR384/10000),MOD(INT($AR384/100),100),MOD($AR384,100)),""),INT($AR384)),IFERROR(DATE(--LEFT(LEFT(SUBSTITUTE(SUBSTITUTE(SUBSTITUTE(SUBSTITUTE(TRIM($AR384),"-",""),".",""),"/","")," ",""),8),4),--MID(LEFT(SUBSTITUTE(SUBSTITUTE(SUBSTITUTE(SUBSTITUTE(TRIM($AR384),"-",""),".",""),"/","")," ",""),8),5,2),--MID(LEFT(SUBSTITUTE(SUBSTITUTE(SUBSTITUTE(SUBSTITUTE(TRIM($AR384),"-",""),".",""),"/","")," ",""),8),7,2)),"")))</f>
        <v/>
      </c>
      <c r="AT384" s="33">
        <f>IF($AS384="","",IF($F$6="",0,IF(ISNUMBER(INDEX($A:$AP,ROW(),$F$6)),INDEX($A:$AP,ROW(),$F$6),IFERROR(--SUBSTITUTE(SUBSTITUTE(TRIM(INDEX($A:$AP,ROW(),$F$6)),",",""),"원",""),0))))</f>
        <v/>
      </c>
      <c r="AU384" s="31">
        <f>IF($AS384="","",IF($AX384&lt;&gt;"",SUBSTITUTE(SUBSTITUTE($AX384,"-","")," ",""),"N:"&amp;$AV384))</f>
        <v/>
      </c>
      <c r="AV384" s="31">
        <f>IF(OR($AS384="",$E$6=""),"",TRIM(INDEX($A:$AP,ROW(),$E$6)&amp;""))</f>
        <v/>
      </c>
      <c r="AW384" s="31">
        <f>IF($AU384="","",IF(MATCH($AU384,$AU$8:$AU$2007,0)=ROW()-7,MAX($AW$7:$AW383)+1,""))</f>
        <v/>
      </c>
      <c r="AX384" s="31">
        <f>IF(OR($AS384="",$D$6=""),"",TRIM(INDEX($A:$AP,ROW(),$D$6)&amp;""))</f>
        <v/>
      </c>
      <c r="AY384" s="31">
        <f>IF($AU384="","",INDEX($AW$8:$AW$2007,MATCH($AU384,$AU$8:$AU$2007,0)))</f>
        <v/>
      </c>
      <c r="AZ384" s="31">
        <f>IF(OR($AS384="",$C$6=""),"",TRIM(INDEX($A:$AP,ROW(),$C$6)&amp;""))</f>
        <v/>
      </c>
      <c r="BA384" s="31">
        <f>IF($AZ384="","",IF(COUNTIF($AZ$8:$AZ384,$AZ384)&gt;1,1,0))</f>
        <v/>
      </c>
    </row>
    <row r="385">
      <c r="AR385" s="31">
        <f>IF(OR($A$5="",$B$6="",ROW()&lt;$A$5),"",IF(INDEX($A:$AP,ROW(),$B$6)="","",INDEX($A:$AP,ROW(),$B$6)))</f>
        <v/>
      </c>
      <c r="AS385" s="32">
        <f>IF($AR385="","",IF(ISNUMBER($AR385),IF($AR385&gt;=10000000,IFERROR(DATE(INT($AR385/10000),MOD(INT($AR385/100),100),MOD($AR385,100)),""),INT($AR385)),IFERROR(DATE(--LEFT(LEFT(SUBSTITUTE(SUBSTITUTE(SUBSTITUTE(SUBSTITUTE(TRIM($AR385),"-",""),".",""),"/","")," ",""),8),4),--MID(LEFT(SUBSTITUTE(SUBSTITUTE(SUBSTITUTE(SUBSTITUTE(TRIM($AR385),"-",""),".",""),"/","")," ",""),8),5,2),--MID(LEFT(SUBSTITUTE(SUBSTITUTE(SUBSTITUTE(SUBSTITUTE(TRIM($AR385),"-",""),".",""),"/","")," ",""),8),7,2)),"")))</f>
        <v/>
      </c>
      <c r="AT385" s="33">
        <f>IF($AS385="","",IF($F$6="",0,IF(ISNUMBER(INDEX($A:$AP,ROW(),$F$6)),INDEX($A:$AP,ROW(),$F$6),IFERROR(--SUBSTITUTE(SUBSTITUTE(TRIM(INDEX($A:$AP,ROW(),$F$6)),",",""),"원",""),0))))</f>
        <v/>
      </c>
      <c r="AU385" s="31">
        <f>IF($AS385="","",IF($AX385&lt;&gt;"",SUBSTITUTE(SUBSTITUTE($AX385,"-","")," ",""),"N:"&amp;$AV385))</f>
        <v/>
      </c>
      <c r="AV385" s="31">
        <f>IF(OR($AS385="",$E$6=""),"",TRIM(INDEX($A:$AP,ROW(),$E$6)&amp;""))</f>
        <v/>
      </c>
      <c r="AW385" s="31">
        <f>IF($AU385="","",IF(MATCH($AU385,$AU$8:$AU$2007,0)=ROW()-7,MAX($AW$7:$AW384)+1,""))</f>
        <v/>
      </c>
      <c r="AX385" s="31">
        <f>IF(OR($AS385="",$D$6=""),"",TRIM(INDEX($A:$AP,ROW(),$D$6)&amp;""))</f>
        <v/>
      </c>
      <c r="AY385" s="31">
        <f>IF($AU385="","",INDEX($AW$8:$AW$2007,MATCH($AU385,$AU$8:$AU$2007,0)))</f>
        <v/>
      </c>
      <c r="AZ385" s="31">
        <f>IF(OR($AS385="",$C$6=""),"",TRIM(INDEX($A:$AP,ROW(),$C$6)&amp;""))</f>
        <v/>
      </c>
      <c r="BA385" s="31">
        <f>IF($AZ385="","",IF(COUNTIF($AZ$8:$AZ385,$AZ385)&gt;1,1,0))</f>
        <v/>
      </c>
    </row>
    <row r="386">
      <c r="AR386" s="31">
        <f>IF(OR($A$5="",$B$6="",ROW()&lt;$A$5),"",IF(INDEX($A:$AP,ROW(),$B$6)="","",INDEX($A:$AP,ROW(),$B$6)))</f>
        <v/>
      </c>
      <c r="AS386" s="32">
        <f>IF($AR386="","",IF(ISNUMBER($AR386),IF($AR386&gt;=10000000,IFERROR(DATE(INT($AR386/10000),MOD(INT($AR386/100),100),MOD($AR386,100)),""),INT($AR386)),IFERROR(DATE(--LEFT(LEFT(SUBSTITUTE(SUBSTITUTE(SUBSTITUTE(SUBSTITUTE(TRIM($AR386),"-",""),".",""),"/","")," ",""),8),4),--MID(LEFT(SUBSTITUTE(SUBSTITUTE(SUBSTITUTE(SUBSTITUTE(TRIM($AR386),"-",""),".",""),"/","")," ",""),8),5,2),--MID(LEFT(SUBSTITUTE(SUBSTITUTE(SUBSTITUTE(SUBSTITUTE(TRIM($AR386),"-",""),".",""),"/","")," ",""),8),7,2)),"")))</f>
        <v/>
      </c>
      <c r="AT386" s="33">
        <f>IF($AS386="","",IF($F$6="",0,IF(ISNUMBER(INDEX($A:$AP,ROW(),$F$6)),INDEX($A:$AP,ROW(),$F$6),IFERROR(--SUBSTITUTE(SUBSTITUTE(TRIM(INDEX($A:$AP,ROW(),$F$6)),",",""),"원",""),0))))</f>
        <v/>
      </c>
      <c r="AU386" s="31">
        <f>IF($AS386="","",IF($AX386&lt;&gt;"",SUBSTITUTE(SUBSTITUTE($AX386,"-","")," ",""),"N:"&amp;$AV386))</f>
        <v/>
      </c>
      <c r="AV386" s="31">
        <f>IF(OR($AS386="",$E$6=""),"",TRIM(INDEX($A:$AP,ROW(),$E$6)&amp;""))</f>
        <v/>
      </c>
      <c r="AW386" s="31">
        <f>IF($AU386="","",IF(MATCH($AU386,$AU$8:$AU$2007,0)=ROW()-7,MAX($AW$7:$AW385)+1,""))</f>
        <v/>
      </c>
      <c r="AX386" s="31">
        <f>IF(OR($AS386="",$D$6=""),"",TRIM(INDEX($A:$AP,ROW(),$D$6)&amp;""))</f>
        <v/>
      </c>
      <c r="AY386" s="31">
        <f>IF($AU386="","",INDEX($AW$8:$AW$2007,MATCH($AU386,$AU$8:$AU$2007,0)))</f>
        <v/>
      </c>
      <c r="AZ386" s="31">
        <f>IF(OR($AS386="",$C$6=""),"",TRIM(INDEX($A:$AP,ROW(),$C$6)&amp;""))</f>
        <v/>
      </c>
      <c r="BA386" s="31">
        <f>IF($AZ386="","",IF(COUNTIF($AZ$8:$AZ386,$AZ386)&gt;1,1,0))</f>
        <v/>
      </c>
    </row>
    <row r="387">
      <c r="AR387" s="31">
        <f>IF(OR($A$5="",$B$6="",ROW()&lt;$A$5),"",IF(INDEX($A:$AP,ROW(),$B$6)="","",INDEX($A:$AP,ROW(),$B$6)))</f>
        <v/>
      </c>
      <c r="AS387" s="32">
        <f>IF($AR387="","",IF(ISNUMBER($AR387),IF($AR387&gt;=10000000,IFERROR(DATE(INT($AR387/10000),MOD(INT($AR387/100),100),MOD($AR387,100)),""),INT($AR387)),IFERROR(DATE(--LEFT(LEFT(SUBSTITUTE(SUBSTITUTE(SUBSTITUTE(SUBSTITUTE(TRIM($AR387),"-",""),".",""),"/","")," ",""),8),4),--MID(LEFT(SUBSTITUTE(SUBSTITUTE(SUBSTITUTE(SUBSTITUTE(TRIM($AR387),"-",""),".",""),"/","")," ",""),8),5,2),--MID(LEFT(SUBSTITUTE(SUBSTITUTE(SUBSTITUTE(SUBSTITUTE(TRIM($AR387),"-",""),".",""),"/","")," ",""),8),7,2)),"")))</f>
        <v/>
      </c>
      <c r="AT387" s="33">
        <f>IF($AS387="","",IF($F$6="",0,IF(ISNUMBER(INDEX($A:$AP,ROW(),$F$6)),INDEX($A:$AP,ROW(),$F$6),IFERROR(--SUBSTITUTE(SUBSTITUTE(TRIM(INDEX($A:$AP,ROW(),$F$6)),",",""),"원",""),0))))</f>
        <v/>
      </c>
      <c r="AU387" s="31">
        <f>IF($AS387="","",IF($AX387&lt;&gt;"",SUBSTITUTE(SUBSTITUTE($AX387,"-","")," ",""),"N:"&amp;$AV387))</f>
        <v/>
      </c>
      <c r="AV387" s="31">
        <f>IF(OR($AS387="",$E$6=""),"",TRIM(INDEX($A:$AP,ROW(),$E$6)&amp;""))</f>
        <v/>
      </c>
      <c r="AW387" s="31">
        <f>IF($AU387="","",IF(MATCH($AU387,$AU$8:$AU$2007,0)=ROW()-7,MAX($AW$7:$AW386)+1,""))</f>
        <v/>
      </c>
      <c r="AX387" s="31">
        <f>IF(OR($AS387="",$D$6=""),"",TRIM(INDEX($A:$AP,ROW(),$D$6)&amp;""))</f>
        <v/>
      </c>
      <c r="AY387" s="31">
        <f>IF($AU387="","",INDEX($AW$8:$AW$2007,MATCH($AU387,$AU$8:$AU$2007,0)))</f>
        <v/>
      </c>
      <c r="AZ387" s="31">
        <f>IF(OR($AS387="",$C$6=""),"",TRIM(INDEX($A:$AP,ROW(),$C$6)&amp;""))</f>
        <v/>
      </c>
      <c r="BA387" s="31">
        <f>IF($AZ387="","",IF(COUNTIF($AZ$8:$AZ387,$AZ387)&gt;1,1,0))</f>
        <v/>
      </c>
    </row>
    <row r="388">
      <c r="AR388" s="31">
        <f>IF(OR($A$5="",$B$6="",ROW()&lt;$A$5),"",IF(INDEX($A:$AP,ROW(),$B$6)="","",INDEX($A:$AP,ROW(),$B$6)))</f>
        <v/>
      </c>
      <c r="AS388" s="32">
        <f>IF($AR388="","",IF(ISNUMBER($AR388),IF($AR388&gt;=10000000,IFERROR(DATE(INT($AR388/10000),MOD(INT($AR388/100),100),MOD($AR388,100)),""),INT($AR388)),IFERROR(DATE(--LEFT(LEFT(SUBSTITUTE(SUBSTITUTE(SUBSTITUTE(SUBSTITUTE(TRIM($AR388),"-",""),".",""),"/","")," ",""),8),4),--MID(LEFT(SUBSTITUTE(SUBSTITUTE(SUBSTITUTE(SUBSTITUTE(TRIM($AR388),"-",""),".",""),"/","")," ",""),8),5,2),--MID(LEFT(SUBSTITUTE(SUBSTITUTE(SUBSTITUTE(SUBSTITUTE(TRIM($AR388),"-",""),".",""),"/","")," ",""),8),7,2)),"")))</f>
        <v/>
      </c>
      <c r="AT388" s="33">
        <f>IF($AS388="","",IF($F$6="",0,IF(ISNUMBER(INDEX($A:$AP,ROW(),$F$6)),INDEX($A:$AP,ROW(),$F$6),IFERROR(--SUBSTITUTE(SUBSTITUTE(TRIM(INDEX($A:$AP,ROW(),$F$6)),",",""),"원",""),0))))</f>
        <v/>
      </c>
      <c r="AU388" s="31">
        <f>IF($AS388="","",IF($AX388&lt;&gt;"",SUBSTITUTE(SUBSTITUTE($AX388,"-","")," ",""),"N:"&amp;$AV388))</f>
        <v/>
      </c>
      <c r="AV388" s="31">
        <f>IF(OR($AS388="",$E$6=""),"",TRIM(INDEX($A:$AP,ROW(),$E$6)&amp;""))</f>
        <v/>
      </c>
      <c r="AW388" s="31">
        <f>IF($AU388="","",IF(MATCH($AU388,$AU$8:$AU$2007,0)=ROW()-7,MAX($AW$7:$AW387)+1,""))</f>
        <v/>
      </c>
      <c r="AX388" s="31">
        <f>IF(OR($AS388="",$D$6=""),"",TRIM(INDEX($A:$AP,ROW(),$D$6)&amp;""))</f>
        <v/>
      </c>
      <c r="AY388" s="31">
        <f>IF($AU388="","",INDEX($AW$8:$AW$2007,MATCH($AU388,$AU$8:$AU$2007,0)))</f>
        <v/>
      </c>
      <c r="AZ388" s="31">
        <f>IF(OR($AS388="",$C$6=""),"",TRIM(INDEX($A:$AP,ROW(),$C$6)&amp;""))</f>
        <v/>
      </c>
      <c r="BA388" s="31">
        <f>IF($AZ388="","",IF(COUNTIF($AZ$8:$AZ388,$AZ388)&gt;1,1,0))</f>
        <v/>
      </c>
    </row>
    <row r="389">
      <c r="AR389" s="31">
        <f>IF(OR($A$5="",$B$6="",ROW()&lt;$A$5),"",IF(INDEX($A:$AP,ROW(),$B$6)="","",INDEX($A:$AP,ROW(),$B$6)))</f>
        <v/>
      </c>
      <c r="AS389" s="32">
        <f>IF($AR389="","",IF(ISNUMBER($AR389),IF($AR389&gt;=10000000,IFERROR(DATE(INT($AR389/10000),MOD(INT($AR389/100),100),MOD($AR389,100)),""),INT($AR389)),IFERROR(DATE(--LEFT(LEFT(SUBSTITUTE(SUBSTITUTE(SUBSTITUTE(SUBSTITUTE(TRIM($AR389),"-",""),".",""),"/","")," ",""),8),4),--MID(LEFT(SUBSTITUTE(SUBSTITUTE(SUBSTITUTE(SUBSTITUTE(TRIM($AR389),"-",""),".",""),"/","")," ",""),8),5,2),--MID(LEFT(SUBSTITUTE(SUBSTITUTE(SUBSTITUTE(SUBSTITUTE(TRIM($AR389),"-",""),".",""),"/","")," ",""),8),7,2)),"")))</f>
        <v/>
      </c>
      <c r="AT389" s="33">
        <f>IF($AS389="","",IF($F$6="",0,IF(ISNUMBER(INDEX($A:$AP,ROW(),$F$6)),INDEX($A:$AP,ROW(),$F$6),IFERROR(--SUBSTITUTE(SUBSTITUTE(TRIM(INDEX($A:$AP,ROW(),$F$6)),",",""),"원",""),0))))</f>
        <v/>
      </c>
      <c r="AU389" s="31">
        <f>IF($AS389="","",IF($AX389&lt;&gt;"",SUBSTITUTE(SUBSTITUTE($AX389,"-","")," ",""),"N:"&amp;$AV389))</f>
        <v/>
      </c>
      <c r="AV389" s="31">
        <f>IF(OR($AS389="",$E$6=""),"",TRIM(INDEX($A:$AP,ROW(),$E$6)&amp;""))</f>
        <v/>
      </c>
      <c r="AW389" s="31">
        <f>IF($AU389="","",IF(MATCH($AU389,$AU$8:$AU$2007,0)=ROW()-7,MAX($AW$7:$AW388)+1,""))</f>
        <v/>
      </c>
      <c r="AX389" s="31">
        <f>IF(OR($AS389="",$D$6=""),"",TRIM(INDEX($A:$AP,ROW(),$D$6)&amp;""))</f>
        <v/>
      </c>
      <c r="AY389" s="31">
        <f>IF($AU389="","",INDEX($AW$8:$AW$2007,MATCH($AU389,$AU$8:$AU$2007,0)))</f>
        <v/>
      </c>
      <c r="AZ389" s="31">
        <f>IF(OR($AS389="",$C$6=""),"",TRIM(INDEX($A:$AP,ROW(),$C$6)&amp;""))</f>
        <v/>
      </c>
      <c r="BA389" s="31">
        <f>IF($AZ389="","",IF(COUNTIF($AZ$8:$AZ389,$AZ389)&gt;1,1,0))</f>
        <v/>
      </c>
    </row>
    <row r="390">
      <c r="AR390" s="31">
        <f>IF(OR($A$5="",$B$6="",ROW()&lt;$A$5),"",IF(INDEX($A:$AP,ROW(),$B$6)="","",INDEX($A:$AP,ROW(),$B$6)))</f>
        <v/>
      </c>
      <c r="AS390" s="32">
        <f>IF($AR390="","",IF(ISNUMBER($AR390),IF($AR390&gt;=10000000,IFERROR(DATE(INT($AR390/10000),MOD(INT($AR390/100),100),MOD($AR390,100)),""),INT($AR390)),IFERROR(DATE(--LEFT(LEFT(SUBSTITUTE(SUBSTITUTE(SUBSTITUTE(SUBSTITUTE(TRIM($AR390),"-",""),".",""),"/","")," ",""),8),4),--MID(LEFT(SUBSTITUTE(SUBSTITUTE(SUBSTITUTE(SUBSTITUTE(TRIM($AR390),"-",""),".",""),"/","")," ",""),8),5,2),--MID(LEFT(SUBSTITUTE(SUBSTITUTE(SUBSTITUTE(SUBSTITUTE(TRIM($AR390),"-",""),".",""),"/","")," ",""),8),7,2)),"")))</f>
        <v/>
      </c>
      <c r="AT390" s="33">
        <f>IF($AS390="","",IF($F$6="",0,IF(ISNUMBER(INDEX($A:$AP,ROW(),$F$6)),INDEX($A:$AP,ROW(),$F$6),IFERROR(--SUBSTITUTE(SUBSTITUTE(TRIM(INDEX($A:$AP,ROW(),$F$6)),",",""),"원",""),0))))</f>
        <v/>
      </c>
      <c r="AU390" s="31">
        <f>IF($AS390="","",IF($AX390&lt;&gt;"",SUBSTITUTE(SUBSTITUTE($AX390,"-","")," ",""),"N:"&amp;$AV390))</f>
        <v/>
      </c>
      <c r="AV390" s="31">
        <f>IF(OR($AS390="",$E$6=""),"",TRIM(INDEX($A:$AP,ROW(),$E$6)&amp;""))</f>
        <v/>
      </c>
      <c r="AW390" s="31">
        <f>IF($AU390="","",IF(MATCH($AU390,$AU$8:$AU$2007,0)=ROW()-7,MAX($AW$7:$AW389)+1,""))</f>
        <v/>
      </c>
      <c r="AX390" s="31">
        <f>IF(OR($AS390="",$D$6=""),"",TRIM(INDEX($A:$AP,ROW(),$D$6)&amp;""))</f>
        <v/>
      </c>
      <c r="AY390" s="31">
        <f>IF($AU390="","",INDEX($AW$8:$AW$2007,MATCH($AU390,$AU$8:$AU$2007,0)))</f>
        <v/>
      </c>
      <c r="AZ390" s="31">
        <f>IF(OR($AS390="",$C$6=""),"",TRIM(INDEX($A:$AP,ROW(),$C$6)&amp;""))</f>
        <v/>
      </c>
      <c r="BA390" s="31">
        <f>IF($AZ390="","",IF(COUNTIF($AZ$8:$AZ390,$AZ390)&gt;1,1,0))</f>
        <v/>
      </c>
    </row>
    <row r="391">
      <c r="AR391" s="31">
        <f>IF(OR($A$5="",$B$6="",ROW()&lt;$A$5),"",IF(INDEX($A:$AP,ROW(),$B$6)="","",INDEX($A:$AP,ROW(),$B$6)))</f>
        <v/>
      </c>
      <c r="AS391" s="32">
        <f>IF($AR391="","",IF(ISNUMBER($AR391),IF($AR391&gt;=10000000,IFERROR(DATE(INT($AR391/10000),MOD(INT($AR391/100),100),MOD($AR391,100)),""),INT($AR391)),IFERROR(DATE(--LEFT(LEFT(SUBSTITUTE(SUBSTITUTE(SUBSTITUTE(SUBSTITUTE(TRIM($AR391),"-",""),".",""),"/","")," ",""),8),4),--MID(LEFT(SUBSTITUTE(SUBSTITUTE(SUBSTITUTE(SUBSTITUTE(TRIM($AR391),"-",""),".",""),"/","")," ",""),8),5,2),--MID(LEFT(SUBSTITUTE(SUBSTITUTE(SUBSTITUTE(SUBSTITUTE(TRIM($AR391),"-",""),".",""),"/","")," ",""),8),7,2)),"")))</f>
        <v/>
      </c>
      <c r="AT391" s="33">
        <f>IF($AS391="","",IF($F$6="",0,IF(ISNUMBER(INDEX($A:$AP,ROW(),$F$6)),INDEX($A:$AP,ROW(),$F$6),IFERROR(--SUBSTITUTE(SUBSTITUTE(TRIM(INDEX($A:$AP,ROW(),$F$6)),",",""),"원",""),0))))</f>
        <v/>
      </c>
      <c r="AU391" s="31">
        <f>IF($AS391="","",IF($AX391&lt;&gt;"",SUBSTITUTE(SUBSTITUTE($AX391,"-","")," ",""),"N:"&amp;$AV391))</f>
        <v/>
      </c>
      <c r="AV391" s="31">
        <f>IF(OR($AS391="",$E$6=""),"",TRIM(INDEX($A:$AP,ROW(),$E$6)&amp;""))</f>
        <v/>
      </c>
      <c r="AW391" s="31">
        <f>IF($AU391="","",IF(MATCH($AU391,$AU$8:$AU$2007,0)=ROW()-7,MAX($AW$7:$AW390)+1,""))</f>
        <v/>
      </c>
      <c r="AX391" s="31">
        <f>IF(OR($AS391="",$D$6=""),"",TRIM(INDEX($A:$AP,ROW(),$D$6)&amp;""))</f>
        <v/>
      </c>
      <c r="AY391" s="31">
        <f>IF($AU391="","",INDEX($AW$8:$AW$2007,MATCH($AU391,$AU$8:$AU$2007,0)))</f>
        <v/>
      </c>
      <c r="AZ391" s="31">
        <f>IF(OR($AS391="",$C$6=""),"",TRIM(INDEX($A:$AP,ROW(),$C$6)&amp;""))</f>
        <v/>
      </c>
      <c r="BA391" s="31">
        <f>IF($AZ391="","",IF(COUNTIF($AZ$8:$AZ391,$AZ391)&gt;1,1,0))</f>
        <v/>
      </c>
    </row>
    <row r="392">
      <c r="AR392" s="31">
        <f>IF(OR($A$5="",$B$6="",ROW()&lt;$A$5),"",IF(INDEX($A:$AP,ROW(),$B$6)="","",INDEX($A:$AP,ROW(),$B$6)))</f>
        <v/>
      </c>
      <c r="AS392" s="32">
        <f>IF($AR392="","",IF(ISNUMBER($AR392),IF($AR392&gt;=10000000,IFERROR(DATE(INT($AR392/10000),MOD(INT($AR392/100),100),MOD($AR392,100)),""),INT($AR392)),IFERROR(DATE(--LEFT(LEFT(SUBSTITUTE(SUBSTITUTE(SUBSTITUTE(SUBSTITUTE(TRIM($AR392),"-",""),".",""),"/","")," ",""),8),4),--MID(LEFT(SUBSTITUTE(SUBSTITUTE(SUBSTITUTE(SUBSTITUTE(TRIM($AR392),"-",""),".",""),"/","")," ",""),8),5,2),--MID(LEFT(SUBSTITUTE(SUBSTITUTE(SUBSTITUTE(SUBSTITUTE(TRIM($AR392),"-",""),".",""),"/","")," ",""),8),7,2)),"")))</f>
        <v/>
      </c>
      <c r="AT392" s="33">
        <f>IF($AS392="","",IF($F$6="",0,IF(ISNUMBER(INDEX($A:$AP,ROW(),$F$6)),INDEX($A:$AP,ROW(),$F$6),IFERROR(--SUBSTITUTE(SUBSTITUTE(TRIM(INDEX($A:$AP,ROW(),$F$6)),",",""),"원",""),0))))</f>
        <v/>
      </c>
      <c r="AU392" s="31">
        <f>IF($AS392="","",IF($AX392&lt;&gt;"",SUBSTITUTE(SUBSTITUTE($AX392,"-","")," ",""),"N:"&amp;$AV392))</f>
        <v/>
      </c>
      <c r="AV392" s="31">
        <f>IF(OR($AS392="",$E$6=""),"",TRIM(INDEX($A:$AP,ROW(),$E$6)&amp;""))</f>
        <v/>
      </c>
      <c r="AW392" s="31">
        <f>IF($AU392="","",IF(MATCH($AU392,$AU$8:$AU$2007,0)=ROW()-7,MAX($AW$7:$AW391)+1,""))</f>
        <v/>
      </c>
      <c r="AX392" s="31">
        <f>IF(OR($AS392="",$D$6=""),"",TRIM(INDEX($A:$AP,ROW(),$D$6)&amp;""))</f>
        <v/>
      </c>
      <c r="AY392" s="31">
        <f>IF($AU392="","",INDEX($AW$8:$AW$2007,MATCH($AU392,$AU$8:$AU$2007,0)))</f>
        <v/>
      </c>
      <c r="AZ392" s="31">
        <f>IF(OR($AS392="",$C$6=""),"",TRIM(INDEX($A:$AP,ROW(),$C$6)&amp;""))</f>
        <v/>
      </c>
      <c r="BA392" s="31">
        <f>IF($AZ392="","",IF(COUNTIF($AZ$8:$AZ392,$AZ392)&gt;1,1,0))</f>
        <v/>
      </c>
    </row>
    <row r="393">
      <c r="AR393" s="31">
        <f>IF(OR($A$5="",$B$6="",ROW()&lt;$A$5),"",IF(INDEX($A:$AP,ROW(),$B$6)="","",INDEX($A:$AP,ROW(),$B$6)))</f>
        <v/>
      </c>
      <c r="AS393" s="32">
        <f>IF($AR393="","",IF(ISNUMBER($AR393),IF($AR393&gt;=10000000,IFERROR(DATE(INT($AR393/10000),MOD(INT($AR393/100),100),MOD($AR393,100)),""),INT($AR393)),IFERROR(DATE(--LEFT(LEFT(SUBSTITUTE(SUBSTITUTE(SUBSTITUTE(SUBSTITUTE(TRIM($AR393),"-",""),".",""),"/","")," ",""),8),4),--MID(LEFT(SUBSTITUTE(SUBSTITUTE(SUBSTITUTE(SUBSTITUTE(TRIM($AR393),"-",""),".",""),"/","")," ",""),8),5,2),--MID(LEFT(SUBSTITUTE(SUBSTITUTE(SUBSTITUTE(SUBSTITUTE(TRIM($AR393),"-",""),".",""),"/","")," ",""),8),7,2)),"")))</f>
        <v/>
      </c>
      <c r="AT393" s="33">
        <f>IF($AS393="","",IF($F$6="",0,IF(ISNUMBER(INDEX($A:$AP,ROW(),$F$6)),INDEX($A:$AP,ROW(),$F$6),IFERROR(--SUBSTITUTE(SUBSTITUTE(TRIM(INDEX($A:$AP,ROW(),$F$6)),",",""),"원",""),0))))</f>
        <v/>
      </c>
      <c r="AU393" s="31">
        <f>IF($AS393="","",IF($AX393&lt;&gt;"",SUBSTITUTE(SUBSTITUTE($AX393,"-","")," ",""),"N:"&amp;$AV393))</f>
        <v/>
      </c>
      <c r="AV393" s="31">
        <f>IF(OR($AS393="",$E$6=""),"",TRIM(INDEX($A:$AP,ROW(),$E$6)&amp;""))</f>
        <v/>
      </c>
      <c r="AW393" s="31">
        <f>IF($AU393="","",IF(MATCH($AU393,$AU$8:$AU$2007,0)=ROW()-7,MAX($AW$7:$AW392)+1,""))</f>
        <v/>
      </c>
      <c r="AX393" s="31">
        <f>IF(OR($AS393="",$D$6=""),"",TRIM(INDEX($A:$AP,ROW(),$D$6)&amp;""))</f>
        <v/>
      </c>
      <c r="AY393" s="31">
        <f>IF($AU393="","",INDEX($AW$8:$AW$2007,MATCH($AU393,$AU$8:$AU$2007,0)))</f>
        <v/>
      </c>
      <c r="AZ393" s="31">
        <f>IF(OR($AS393="",$C$6=""),"",TRIM(INDEX($A:$AP,ROW(),$C$6)&amp;""))</f>
        <v/>
      </c>
      <c r="BA393" s="31">
        <f>IF($AZ393="","",IF(COUNTIF($AZ$8:$AZ393,$AZ393)&gt;1,1,0))</f>
        <v/>
      </c>
    </row>
    <row r="394">
      <c r="AR394" s="31">
        <f>IF(OR($A$5="",$B$6="",ROW()&lt;$A$5),"",IF(INDEX($A:$AP,ROW(),$B$6)="","",INDEX($A:$AP,ROW(),$B$6)))</f>
        <v/>
      </c>
      <c r="AS394" s="32">
        <f>IF($AR394="","",IF(ISNUMBER($AR394),IF($AR394&gt;=10000000,IFERROR(DATE(INT($AR394/10000),MOD(INT($AR394/100),100),MOD($AR394,100)),""),INT($AR394)),IFERROR(DATE(--LEFT(LEFT(SUBSTITUTE(SUBSTITUTE(SUBSTITUTE(SUBSTITUTE(TRIM($AR394),"-",""),".",""),"/","")," ",""),8),4),--MID(LEFT(SUBSTITUTE(SUBSTITUTE(SUBSTITUTE(SUBSTITUTE(TRIM($AR394),"-",""),".",""),"/","")," ",""),8),5,2),--MID(LEFT(SUBSTITUTE(SUBSTITUTE(SUBSTITUTE(SUBSTITUTE(TRIM($AR394),"-",""),".",""),"/","")," ",""),8),7,2)),"")))</f>
        <v/>
      </c>
      <c r="AT394" s="33">
        <f>IF($AS394="","",IF($F$6="",0,IF(ISNUMBER(INDEX($A:$AP,ROW(),$F$6)),INDEX($A:$AP,ROW(),$F$6),IFERROR(--SUBSTITUTE(SUBSTITUTE(TRIM(INDEX($A:$AP,ROW(),$F$6)),",",""),"원",""),0))))</f>
        <v/>
      </c>
      <c r="AU394" s="31">
        <f>IF($AS394="","",IF($AX394&lt;&gt;"",SUBSTITUTE(SUBSTITUTE($AX394,"-","")," ",""),"N:"&amp;$AV394))</f>
        <v/>
      </c>
      <c r="AV394" s="31">
        <f>IF(OR($AS394="",$E$6=""),"",TRIM(INDEX($A:$AP,ROW(),$E$6)&amp;""))</f>
        <v/>
      </c>
      <c r="AW394" s="31">
        <f>IF($AU394="","",IF(MATCH($AU394,$AU$8:$AU$2007,0)=ROW()-7,MAX($AW$7:$AW393)+1,""))</f>
        <v/>
      </c>
      <c r="AX394" s="31">
        <f>IF(OR($AS394="",$D$6=""),"",TRIM(INDEX($A:$AP,ROW(),$D$6)&amp;""))</f>
        <v/>
      </c>
      <c r="AY394" s="31">
        <f>IF($AU394="","",INDEX($AW$8:$AW$2007,MATCH($AU394,$AU$8:$AU$2007,0)))</f>
        <v/>
      </c>
      <c r="AZ394" s="31">
        <f>IF(OR($AS394="",$C$6=""),"",TRIM(INDEX($A:$AP,ROW(),$C$6)&amp;""))</f>
        <v/>
      </c>
      <c r="BA394" s="31">
        <f>IF($AZ394="","",IF(COUNTIF($AZ$8:$AZ394,$AZ394)&gt;1,1,0))</f>
        <v/>
      </c>
    </row>
    <row r="395">
      <c r="AR395" s="31">
        <f>IF(OR($A$5="",$B$6="",ROW()&lt;$A$5),"",IF(INDEX($A:$AP,ROW(),$B$6)="","",INDEX($A:$AP,ROW(),$B$6)))</f>
        <v/>
      </c>
      <c r="AS395" s="32">
        <f>IF($AR395="","",IF(ISNUMBER($AR395),IF($AR395&gt;=10000000,IFERROR(DATE(INT($AR395/10000),MOD(INT($AR395/100),100),MOD($AR395,100)),""),INT($AR395)),IFERROR(DATE(--LEFT(LEFT(SUBSTITUTE(SUBSTITUTE(SUBSTITUTE(SUBSTITUTE(TRIM($AR395),"-",""),".",""),"/","")," ",""),8),4),--MID(LEFT(SUBSTITUTE(SUBSTITUTE(SUBSTITUTE(SUBSTITUTE(TRIM($AR395),"-",""),".",""),"/","")," ",""),8),5,2),--MID(LEFT(SUBSTITUTE(SUBSTITUTE(SUBSTITUTE(SUBSTITUTE(TRIM($AR395),"-",""),".",""),"/","")," ",""),8),7,2)),"")))</f>
        <v/>
      </c>
      <c r="AT395" s="33">
        <f>IF($AS395="","",IF($F$6="",0,IF(ISNUMBER(INDEX($A:$AP,ROW(),$F$6)),INDEX($A:$AP,ROW(),$F$6),IFERROR(--SUBSTITUTE(SUBSTITUTE(TRIM(INDEX($A:$AP,ROW(),$F$6)),",",""),"원",""),0))))</f>
        <v/>
      </c>
      <c r="AU395" s="31">
        <f>IF($AS395="","",IF($AX395&lt;&gt;"",SUBSTITUTE(SUBSTITUTE($AX395,"-","")," ",""),"N:"&amp;$AV395))</f>
        <v/>
      </c>
      <c r="AV395" s="31">
        <f>IF(OR($AS395="",$E$6=""),"",TRIM(INDEX($A:$AP,ROW(),$E$6)&amp;""))</f>
        <v/>
      </c>
      <c r="AW395" s="31">
        <f>IF($AU395="","",IF(MATCH($AU395,$AU$8:$AU$2007,0)=ROW()-7,MAX($AW$7:$AW394)+1,""))</f>
        <v/>
      </c>
      <c r="AX395" s="31">
        <f>IF(OR($AS395="",$D$6=""),"",TRIM(INDEX($A:$AP,ROW(),$D$6)&amp;""))</f>
        <v/>
      </c>
      <c r="AY395" s="31">
        <f>IF($AU395="","",INDEX($AW$8:$AW$2007,MATCH($AU395,$AU$8:$AU$2007,0)))</f>
        <v/>
      </c>
      <c r="AZ395" s="31">
        <f>IF(OR($AS395="",$C$6=""),"",TRIM(INDEX($A:$AP,ROW(),$C$6)&amp;""))</f>
        <v/>
      </c>
      <c r="BA395" s="31">
        <f>IF($AZ395="","",IF(COUNTIF($AZ$8:$AZ395,$AZ395)&gt;1,1,0))</f>
        <v/>
      </c>
    </row>
    <row r="396">
      <c r="AR396" s="31">
        <f>IF(OR($A$5="",$B$6="",ROW()&lt;$A$5),"",IF(INDEX($A:$AP,ROW(),$B$6)="","",INDEX($A:$AP,ROW(),$B$6)))</f>
        <v/>
      </c>
      <c r="AS396" s="32">
        <f>IF($AR396="","",IF(ISNUMBER($AR396),IF($AR396&gt;=10000000,IFERROR(DATE(INT($AR396/10000),MOD(INT($AR396/100),100),MOD($AR396,100)),""),INT($AR396)),IFERROR(DATE(--LEFT(LEFT(SUBSTITUTE(SUBSTITUTE(SUBSTITUTE(SUBSTITUTE(TRIM($AR396),"-",""),".",""),"/","")," ",""),8),4),--MID(LEFT(SUBSTITUTE(SUBSTITUTE(SUBSTITUTE(SUBSTITUTE(TRIM($AR396),"-",""),".",""),"/","")," ",""),8),5,2),--MID(LEFT(SUBSTITUTE(SUBSTITUTE(SUBSTITUTE(SUBSTITUTE(TRIM($AR396),"-",""),".",""),"/","")," ",""),8),7,2)),"")))</f>
        <v/>
      </c>
      <c r="AT396" s="33">
        <f>IF($AS396="","",IF($F$6="",0,IF(ISNUMBER(INDEX($A:$AP,ROW(),$F$6)),INDEX($A:$AP,ROW(),$F$6),IFERROR(--SUBSTITUTE(SUBSTITUTE(TRIM(INDEX($A:$AP,ROW(),$F$6)),",",""),"원",""),0))))</f>
        <v/>
      </c>
      <c r="AU396" s="31">
        <f>IF($AS396="","",IF($AX396&lt;&gt;"",SUBSTITUTE(SUBSTITUTE($AX396,"-","")," ",""),"N:"&amp;$AV396))</f>
        <v/>
      </c>
      <c r="AV396" s="31">
        <f>IF(OR($AS396="",$E$6=""),"",TRIM(INDEX($A:$AP,ROW(),$E$6)&amp;""))</f>
        <v/>
      </c>
      <c r="AW396" s="31">
        <f>IF($AU396="","",IF(MATCH($AU396,$AU$8:$AU$2007,0)=ROW()-7,MAX($AW$7:$AW395)+1,""))</f>
        <v/>
      </c>
      <c r="AX396" s="31">
        <f>IF(OR($AS396="",$D$6=""),"",TRIM(INDEX($A:$AP,ROW(),$D$6)&amp;""))</f>
        <v/>
      </c>
      <c r="AY396" s="31">
        <f>IF($AU396="","",INDEX($AW$8:$AW$2007,MATCH($AU396,$AU$8:$AU$2007,0)))</f>
        <v/>
      </c>
      <c r="AZ396" s="31">
        <f>IF(OR($AS396="",$C$6=""),"",TRIM(INDEX($A:$AP,ROW(),$C$6)&amp;""))</f>
        <v/>
      </c>
      <c r="BA396" s="31">
        <f>IF($AZ396="","",IF(COUNTIF($AZ$8:$AZ396,$AZ396)&gt;1,1,0))</f>
        <v/>
      </c>
    </row>
    <row r="397">
      <c r="AR397" s="31">
        <f>IF(OR($A$5="",$B$6="",ROW()&lt;$A$5),"",IF(INDEX($A:$AP,ROW(),$B$6)="","",INDEX($A:$AP,ROW(),$B$6)))</f>
        <v/>
      </c>
      <c r="AS397" s="32">
        <f>IF($AR397="","",IF(ISNUMBER($AR397),IF($AR397&gt;=10000000,IFERROR(DATE(INT($AR397/10000),MOD(INT($AR397/100),100),MOD($AR397,100)),""),INT($AR397)),IFERROR(DATE(--LEFT(LEFT(SUBSTITUTE(SUBSTITUTE(SUBSTITUTE(SUBSTITUTE(TRIM($AR397),"-",""),".",""),"/","")," ",""),8),4),--MID(LEFT(SUBSTITUTE(SUBSTITUTE(SUBSTITUTE(SUBSTITUTE(TRIM($AR397),"-",""),".",""),"/","")," ",""),8),5,2),--MID(LEFT(SUBSTITUTE(SUBSTITUTE(SUBSTITUTE(SUBSTITUTE(TRIM($AR397),"-",""),".",""),"/","")," ",""),8),7,2)),"")))</f>
        <v/>
      </c>
      <c r="AT397" s="33">
        <f>IF($AS397="","",IF($F$6="",0,IF(ISNUMBER(INDEX($A:$AP,ROW(),$F$6)),INDEX($A:$AP,ROW(),$F$6),IFERROR(--SUBSTITUTE(SUBSTITUTE(TRIM(INDEX($A:$AP,ROW(),$F$6)),",",""),"원",""),0))))</f>
        <v/>
      </c>
      <c r="AU397" s="31">
        <f>IF($AS397="","",IF($AX397&lt;&gt;"",SUBSTITUTE(SUBSTITUTE($AX397,"-","")," ",""),"N:"&amp;$AV397))</f>
        <v/>
      </c>
      <c r="AV397" s="31">
        <f>IF(OR($AS397="",$E$6=""),"",TRIM(INDEX($A:$AP,ROW(),$E$6)&amp;""))</f>
        <v/>
      </c>
      <c r="AW397" s="31">
        <f>IF($AU397="","",IF(MATCH($AU397,$AU$8:$AU$2007,0)=ROW()-7,MAX($AW$7:$AW396)+1,""))</f>
        <v/>
      </c>
      <c r="AX397" s="31">
        <f>IF(OR($AS397="",$D$6=""),"",TRIM(INDEX($A:$AP,ROW(),$D$6)&amp;""))</f>
        <v/>
      </c>
      <c r="AY397" s="31">
        <f>IF($AU397="","",INDEX($AW$8:$AW$2007,MATCH($AU397,$AU$8:$AU$2007,0)))</f>
        <v/>
      </c>
      <c r="AZ397" s="31">
        <f>IF(OR($AS397="",$C$6=""),"",TRIM(INDEX($A:$AP,ROW(),$C$6)&amp;""))</f>
        <v/>
      </c>
      <c r="BA397" s="31">
        <f>IF($AZ397="","",IF(COUNTIF($AZ$8:$AZ397,$AZ397)&gt;1,1,0))</f>
        <v/>
      </c>
    </row>
    <row r="398">
      <c r="AR398" s="31">
        <f>IF(OR($A$5="",$B$6="",ROW()&lt;$A$5),"",IF(INDEX($A:$AP,ROW(),$B$6)="","",INDEX($A:$AP,ROW(),$B$6)))</f>
        <v/>
      </c>
      <c r="AS398" s="32">
        <f>IF($AR398="","",IF(ISNUMBER($AR398),IF($AR398&gt;=10000000,IFERROR(DATE(INT($AR398/10000),MOD(INT($AR398/100),100),MOD($AR398,100)),""),INT($AR398)),IFERROR(DATE(--LEFT(LEFT(SUBSTITUTE(SUBSTITUTE(SUBSTITUTE(SUBSTITUTE(TRIM($AR398),"-",""),".",""),"/","")," ",""),8),4),--MID(LEFT(SUBSTITUTE(SUBSTITUTE(SUBSTITUTE(SUBSTITUTE(TRIM($AR398),"-",""),".",""),"/","")," ",""),8),5,2),--MID(LEFT(SUBSTITUTE(SUBSTITUTE(SUBSTITUTE(SUBSTITUTE(TRIM($AR398),"-",""),".",""),"/","")," ",""),8),7,2)),"")))</f>
        <v/>
      </c>
      <c r="AT398" s="33">
        <f>IF($AS398="","",IF($F$6="",0,IF(ISNUMBER(INDEX($A:$AP,ROW(),$F$6)),INDEX($A:$AP,ROW(),$F$6),IFERROR(--SUBSTITUTE(SUBSTITUTE(TRIM(INDEX($A:$AP,ROW(),$F$6)),",",""),"원",""),0))))</f>
        <v/>
      </c>
      <c r="AU398" s="31">
        <f>IF($AS398="","",IF($AX398&lt;&gt;"",SUBSTITUTE(SUBSTITUTE($AX398,"-","")," ",""),"N:"&amp;$AV398))</f>
        <v/>
      </c>
      <c r="AV398" s="31">
        <f>IF(OR($AS398="",$E$6=""),"",TRIM(INDEX($A:$AP,ROW(),$E$6)&amp;""))</f>
        <v/>
      </c>
      <c r="AW398" s="31">
        <f>IF($AU398="","",IF(MATCH($AU398,$AU$8:$AU$2007,0)=ROW()-7,MAX($AW$7:$AW397)+1,""))</f>
        <v/>
      </c>
      <c r="AX398" s="31">
        <f>IF(OR($AS398="",$D$6=""),"",TRIM(INDEX($A:$AP,ROW(),$D$6)&amp;""))</f>
        <v/>
      </c>
      <c r="AY398" s="31">
        <f>IF($AU398="","",INDEX($AW$8:$AW$2007,MATCH($AU398,$AU$8:$AU$2007,0)))</f>
        <v/>
      </c>
      <c r="AZ398" s="31">
        <f>IF(OR($AS398="",$C$6=""),"",TRIM(INDEX($A:$AP,ROW(),$C$6)&amp;""))</f>
        <v/>
      </c>
      <c r="BA398" s="31">
        <f>IF($AZ398="","",IF(COUNTIF($AZ$8:$AZ398,$AZ398)&gt;1,1,0))</f>
        <v/>
      </c>
    </row>
    <row r="399">
      <c r="AR399" s="31">
        <f>IF(OR($A$5="",$B$6="",ROW()&lt;$A$5),"",IF(INDEX($A:$AP,ROW(),$B$6)="","",INDEX($A:$AP,ROW(),$B$6)))</f>
        <v/>
      </c>
      <c r="AS399" s="32">
        <f>IF($AR399="","",IF(ISNUMBER($AR399),IF($AR399&gt;=10000000,IFERROR(DATE(INT($AR399/10000),MOD(INT($AR399/100),100),MOD($AR399,100)),""),INT($AR399)),IFERROR(DATE(--LEFT(LEFT(SUBSTITUTE(SUBSTITUTE(SUBSTITUTE(SUBSTITUTE(TRIM($AR399),"-",""),".",""),"/","")," ",""),8),4),--MID(LEFT(SUBSTITUTE(SUBSTITUTE(SUBSTITUTE(SUBSTITUTE(TRIM($AR399),"-",""),".",""),"/","")," ",""),8),5,2),--MID(LEFT(SUBSTITUTE(SUBSTITUTE(SUBSTITUTE(SUBSTITUTE(TRIM($AR399),"-",""),".",""),"/","")," ",""),8),7,2)),"")))</f>
        <v/>
      </c>
      <c r="AT399" s="33">
        <f>IF($AS399="","",IF($F$6="",0,IF(ISNUMBER(INDEX($A:$AP,ROW(),$F$6)),INDEX($A:$AP,ROW(),$F$6),IFERROR(--SUBSTITUTE(SUBSTITUTE(TRIM(INDEX($A:$AP,ROW(),$F$6)),",",""),"원",""),0))))</f>
        <v/>
      </c>
      <c r="AU399" s="31">
        <f>IF($AS399="","",IF($AX399&lt;&gt;"",SUBSTITUTE(SUBSTITUTE($AX399,"-","")," ",""),"N:"&amp;$AV399))</f>
        <v/>
      </c>
      <c r="AV399" s="31">
        <f>IF(OR($AS399="",$E$6=""),"",TRIM(INDEX($A:$AP,ROW(),$E$6)&amp;""))</f>
        <v/>
      </c>
      <c r="AW399" s="31">
        <f>IF($AU399="","",IF(MATCH($AU399,$AU$8:$AU$2007,0)=ROW()-7,MAX($AW$7:$AW398)+1,""))</f>
        <v/>
      </c>
      <c r="AX399" s="31">
        <f>IF(OR($AS399="",$D$6=""),"",TRIM(INDEX($A:$AP,ROW(),$D$6)&amp;""))</f>
        <v/>
      </c>
      <c r="AY399" s="31">
        <f>IF($AU399="","",INDEX($AW$8:$AW$2007,MATCH($AU399,$AU$8:$AU$2007,0)))</f>
        <v/>
      </c>
      <c r="AZ399" s="31">
        <f>IF(OR($AS399="",$C$6=""),"",TRIM(INDEX($A:$AP,ROW(),$C$6)&amp;""))</f>
        <v/>
      </c>
      <c r="BA399" s="31">
        <f>IF($AZ399="","",IF(COUNTIF($AZ$8:$AZ399,$AZ399)&gt;1,1,0))</f>
        <v/>
      </c>
    </row>
    <row r="400">
      <c r="AR400" s="31">
        <f>IF(OR($A$5="",$B$6="",ROW()&lt;$A$5),"",IF(INDEX($A:$AP,ROW(),$B$6)="","",INDEX($A:$AP,ROW(),$B$6)))</f>
        <v/>
      </c>
      <c r="AS400" s="32">
        <f>IF($AR400="","",IF(ISNUMBER($AR400),IF($AR400&gt;=10000000,IFERROR(DATE(INT($AR400/10000),MOD(INT($AR400/100),100),MOD($AR400,100)),""),INT($AR400)),IFERROR(DATE(--LEFT(LEFT(SUBSTITUTE(SUBSTITUTE(SUBSTITUTE(SUBSTITUTE(TRIM($AR400),"-",""),".",""),"/","")," ",""),8),4),--MID(LEFT(SUBSTITUTE(SUBSTITUTE(SUBSTITUTE(SUBSTITUTE(TRIM($AR400),"-",""),".",""),"/","")," ",""),8),5,2),--MID(LEFT(SUBSTITUTE(SUBSTITUTE(SUBSTITUTE(SUBSTITUTE(TRIM($AR400),"-",""),".",""),"/","")," ",""),8),7,2)),"")))</f>
        <v/>
      </c>
      <c r="AT400" s="33">
        <f>IF($AS400="","",IF($F$6="",0,IF(ISNUMBER(INDEX($A:$AP,ROW(),$F$6)),INDEX($A:$AP,ROW(),$F$6),IFERROR(--SUBSTITUTE(SUBSTITUTE(TRIM(INDEX($A:$AP,ROW(),$F$6)),",",""),"원",""),0))))</f>
        <v/>
      </c>
      <c r="AU400" s="31">
        <f>IF($AS400="","",IF($AX400&lt;&gt;"",SUBSTITUTE(SUBSTITUTE($AX400,"-","")," ",""),"N:"&amp;$AV400))</f>
        <v/>
      </c>
      <c r="AV400" s="31">
        <f>IF(OR($AS400="",$E$6=""),"",TRIM(INDEX($A:$AP,ROW(),$E$6)&amp;""))</f>
        <v/>
      </c>
      <c r="AW400" s="31">
        <f>IF($AU400="","",IF(MATCH($AU400,$AU$8:$AU$2007,0)=ROW()-7,MAX($AW$7:$AW399)+1,""))</f>
        <v/>
      </c>
      <c r="AX400" s="31">
        <f>IF(OR($AS400="",$D$6=""),"",TRIM(INDEX($A:$AP,ROW(),$D$6)&amp;""))</f>
        <v/>
      </c>
      <c r="AY400" s="31">
        <f>IF($AU400="","",INDEX($AW$8:$AW$2007,MATCH($AU400,$AU$8:$AU$2007,0)))</f>
        <v/>
      </c>
      <c r="AZ400" s="31">
        <f>IF(OR($AS400="",$C$6=""),"",TRIM(INDEX($A:$AP,ROW(),$C$6)&amp;""))</f>
        <v/>
      </c>
      <c r="BA400" s="31">
        <f>IF($AZ400="","",IF(COUNTIF($AZ$8:$AZ400,$AZ400)&gt;1,1,0))</f>
        <v/>
      </c>
    </row>
    <row r="401">
      <c r="AR401" s="31">
        <f>IF(OR($A$5="",$B$6="",ROW()&lt;$A$5),"",IF(INDEX($A:$AP,ROW(),$B$6)="","",INDEX($A:$AP,ROW(),$B$6)))</f>
        <v/>
      </c>
      <c r="AS401" s="32">
        <f>IF($AR401="","",IF(ISNUMBER($AR401),IF($AR401&gt;=10000000,IFERROR(DATE(INT($AR401/10000),MOD(INT($AR401/100),100),MOD($AR401,100)),""),INT($AR401)),IFERROR(DATE(--LEFT(LEFT(SUBSTITUTE(SUBSTITUTE(SUBSTITUTE(SUBSTITUTE(TRIM($AR401),"-",""),".",""),"/","")," ",""),8),4),--MID(LEFT(SUBSTITUTE(SUBSTITUTE(SUBSTITUTE(SUBSTITUTE(TRIM($AR401),"-",""),".",""),"/","")," ",""),8),5,2),--MID(LEFT(SUBSTITUTE(SUBSTITUTE(SUBSTITUTE(SUBSTITUTE(TRIM($AR401),"-",""),".",""),"/","")," ",""),8),7,2)),"")))</f>
        <v/>
      </c>
      <c r="AT401" s="33">
        <f>IF($AS401="","",IF($F$6="",0,IF(ISNUMBER(INDEX($A:$AP,ROW(),$F$6)),INDEX($A:$AP,ROW(),$F$6),IFERROR(--SUBSTITUTE(SUBSTITUTE(TRIM(INDEX($A:$AP,ROW(),$F$6)),",",""),"원",""),0))))</f>
        <v/>
      </c>
      <c r="AU401" s="31">
        <f>IF($AS401="","",IF($AX401&lt;&gt;"",SUBSTITUTE(SUBSTITUTE($AX401,"-","")," ",""),"N:"&amp;$AV401))</f>
        <v/>
      </c>
      <c r="AV401" s="31">
        <f>IF(OR($AS401="",$E$6=""),"",TRIM(INDEX($A:$AP,ROW(),$E$6)&amp;""))</f>
        <v/>
      </c>
      <c r="AW401" s="31">
        <f>IF($AU401="","",IF(MATCH($AU401,$AU$8:$AU$2007,0)=ROW()-7,MAX($AW$7:$AW400)+1,""))</f>
        <v/>
      </c>
      <c r="AX401" s="31">
        <f>IF(OR($AS401="",$D$6=""),"",TRIM(INDEX($A:$AP,ROW(),$D$6)&amp;""))</f>
        <v/>
      </c>
      <c r="AY401" s="31">
        <f>IF($AU401="","",INDEX($AW$8:$AW$2007,MATCH($AU401,$AU$8:$AU$2007,0)))</f>
        <v/>
      </c>
      <c r="AZ401" s="31">
        <f>IF(OR($AS401="",$C$6=""),"",TRIM(INDEX($A:$AP,ROW(),$C$6)&amp;""))</f>
        <v/>
      </c>
      <c r="BA401" s="31">
        <f>IF($AZ401="","",IF(COUNTIF($AZ$8:$AZ401,$AZ401)&gt;1,1,0))</f>
        <v/>
      </c>
    </row>
    <row r="402">
      <c r="AR402" s="31">
        <f>IF(OR($A$5="",$B$6="",ROW()&lt;$A$5),"",IF(INDEX($A:$AP,ROW(),$B$6)="","",INDEX($A:$AP,ROW(),$B$6)))</f>
        <v/>
      </c>
      <c r="AS402" s="32">
        <f>IF($AR402="","",IF(ISNUMBER($AR402),IF($AR402&gt;=10000000,IFERROR(DATE(INT($AR402/10000),MOD(INT($AR402/100),100),MOD($AR402,100)),""),INT($AR402)),IFERROR(DATE(--LEFT(LEFT(SUBSTITUTE(SUBSTITUTE(SUBSTITUTE(SUBSTITUTE(TRIM($AR402),"-",""),".",""),"/","")," ",""),8),4),--MID(LEFT(SUBSTITUTE(SUBSTITUTE(SUBSTITUTE(SUBSTITUTE(TRIM($AR402),"-",""),".",""),"/","")," ",""),8),5,2),--MID(LEFT(SUBSTITUTE(SUBSTITUTE(SUBSTITUTE(SUBSTITUTE(TRIM($AR402),"-",""),".",""),"/","")," ",""),8),7,2)),"")))</f>
        <v/>
      </c>
      <c r="AT402" s="33">
        <f>IF($AS402="","",IF($F$6="",0,IF(ISNUMBER(INDEX($A:$AP,ROW(),$F$6)),INDEX($A:$AP,ROW(),$F$6),IFERROR(--SUBSTITUTE(SUBSTITUTE(TRIM(INDEX($A:$AP,ROW(),$F$6)),",",""),"원",""),0))))</f>
        <v/>
      </c>
      <c r="AU402" s="31">
        <f>IF($AS402="","",IF($AX402&lt;&gt;"",SUBSTITUTE(SUBSTITUTE($AX402,"-","")," ",""),"N:"&amp;$AV402))</f>
        <v/>
      </c>
      <c r="AV402" s="31">
        <f>IF(OR($AS402="",$E$6=""),"",TRIM(INDEX($A:$AP,ROW(),$E$6)&amp;""))</f>
        <v/>
      </c>
      <c r="AW402" s="31">
        <f>IF($AU402="","",IF(MATCH($AU402,$AU$8:$AU$2007,0)=ROW()-7,MAX($AW$7:$AW401)+1,""))</f>
        <v/>
      </c>
      <c r="AX402" s="31">
        <f>IF(OR($AS402="",$D$6=""),"",TRIM(INDEX($A:$AP,ROW(),$D$6)&amp;""))</f>
        <v/>
      </c>
      <c r="AY402" s="31">
        <f>IF($AU402="","",INDEX($AW$8:$AW$2007,MATCH($AU402,$AU$8:$AU$2007,0)))</f>
        <v/>
      </c>
      <c r="AZ402" s="31">
        <f>IF(OR($AS402="",$C$6=""),"",TRIM(INDEX($A:$AP,ROW(),$C$6)&amp;""))</f>
        <v/>
      </c>
      <c r="BA402" s="31">
        <f>IF($AZ402="","",IF(COUNTIF($AZ$8:$AZ402,$AZ402)&gt;1,1,0))</f>
        <v/>
      </c>
    </row>
    <row r="403">
      <c r="AR403" s="31">
        <f>IF(OR($A$5="",$B$6="",ROW()&lt;$A$5),"",IF(INDEX($A:$AP,ROW(),$B$6)="","",INDEX($A:$AP,ROW(),$B$6)))</f>
        <v/>
      </c>
      <c r="AS403" s="32">
        <f>IF($AR403="","",IF(ISNUMBER($AR403),IF($AR403&gt;=10000000,IFERROR(DATE(INT($AR403/10000),MOD(INT($AR403/100),100),MOD($AR403,100)),""),INT($AR403)),IFERROR(DATE(--LEFT(LEFT(SUBSTITUTE(SUBSTITUTE(SUBSTITUTE(SUBSTITUTE(TRIM($AR403),"-",""),".",""),"/","")," ",""),8),4),--MID(LEFT(SUBSTITUTE(SUBSTITUTE(SUBSTITUTE(SUBSTITUTE(TRIM($AR403),"-",""),".",""),"/","")," ",""),8),5,2),--MID(LEFT(SUBSTITUTE(SUBSTITUTE(SUBSTITUTE(SUBSTITUTE(TRIM($AR403),"-",""),".",""),"/","")," ",""),8),7,2)),"")))</f>
        <v/>
      </c>
      <c r="AT403" s="33">
        <f>IF($AS403="","",IF($F$6="",0,IF(ISNUMBER(INDEX($A:$AP,ROW(),$F$6)),INDEX($A:$AP,ROW(),$F$6),IFERROR(--SUBSTITUTE(SUBSTITUTE(TRIM(INDEX($A:$AP,ROW(),$F$6)),",",""),"원",""),0))))</f>
        <v/>
      </c>
      <c r="AU403" s="31">
        <f>IF($AS403="","",IF($AX403&lt;&gt;"",SUBSTITUTE(SUBSTITUTE($AX403,"-","")," ",""),"N:"&amp;$AV403))</f>
        <v/>
      </c>
      <c r="AV403" s="31">
        <f>IF(OR($AS403="",$E$6=""),"",TRIM(INDEX($A:$AP,ROW(),$E$6)&amp;""))</f>
        <v/>
      </c>
      <c r="AW403" s="31">
        <f>IF($AU403="","",IF(MATCH($AU403,$AU$8:$AU$2007,0)=ROW()-7,MAX($AW$7:$AW402)+1,""))</f>
        <v/>
      </c>
      <c r="AX403" s="31">
        <f>IF(OR($AS403="",$D$6=""),"",TRIM(INDEX($A:$AP,ROW(),$D$6)&amp;""))</f>
        <v/>
      </c>
      <c r="AY403" s="31">
        <f>IF($AU403="","",INDEX($AW$8:$AW$2007,MATCH($AU403,$AU$8:$AU$2007,0)))</f>
        <v/>
      </c>
      <c r="AZ403" s="31">
        <f>IF(OR($AS403="",$C$6=""),"",TRIM(INDEX($A:$AP,ROW(),$C$6)&amp;""))</f>
        <v/>
      </c>
      <c r="BA403" s="31">
        <f>IF($AZ403="","",IF(COUNTIF($AZ$8:$AZ403,$AZ403)&gt;1,1,0))</f>
        <v/>
      </c>
    </row>
    <row r="404">
      <c r="AR404" s="31">
        <f>IF(OR($A$5="",$B$6="",ROW()&lt;$A$5),"",IF(INDEX($A:$AP,ROW(),$B$6)="","",INDEX($A:$AP,ROW(),$B$6)))</f>
        <v/>
      </c>
      <c r="AS404" s="32">
        <f>IF($AR404="","",IF(ISNUMBER($AR404),IF($AR404&gt;=10000000,IFERROR(DATE(INT($AR404/10000),MOD(INT($AR404/100),100),MOD($AR404,100)),""),INT($AR404)),IFERROR(DATE(--LEFT(LEFT(SUBSTITUTE(SUBSTITUTE(SUBSTITUTE(SUBSTITUTE(TRIM($AR404),"-",""),".",""),"/","")," ",""),8),4),--MID(LEFT(SUBSTITUTE(SUBSTITUTE(SUBSTITUTE(SUBSTITUTE(TRIM($AR404),"-",""),".",""),"/","")," ",""),8),5,2),--MID(LEFT(SUBSTITUTE(SUBSTITUTE(SUBSTITUTE(SUBSTITUTE(TRIM($AR404),"-",""),".",""),"/","")," ",""),8),7,2)),"")))</f>
        <v/>
      </c>
      <c r="AT404" s="33">
        <f>IF($AS404="","",IF($F$6="",0,IF(ISNUMBER(INDEX($A:$AP,ROW(),$F$6)),INDEX($A:$AP,ROW(),$F$6),IFERROR(--SUBSTITUTE(SUBSTITUTE(TRIM(INDEX($A:$AP,ROW(),$F$6)),",",""),"원",""),0))))</f>
        <v/>
      </c>
      <c r="AU404" s="31">
        <f>IF($AS404="","",IF($AX404&lt;&gt;"",SUBSTITUTE(SUBSTITUTE($AX404,"-","")," ",""),"N:"&amp;$AV404))</f>
        <v/>
      </c>
      <c r="AV404" s="31">
        <f>IF(OR($AS404="",$E$6=""),"",TRIM(INDEX($A:$AP,ROW(),$E$6)&amp;""))</f>
        <v/>
      </c>
      <c r="AW404" s="31">
        <f>IF($AU404="","",IF(MATCH($AU404,$AU$8:$AU$2007,0)=ROW()-7,MAX($AW$7:$AW403)+1,""))</f>
        <v/>
      </c>
      <c r="AX404" s="31">
        <f>IF(OR($AS404="",$D$6=""),"",TRIM(INDEX($A:$AP,ROW(),$D$6)&amp;""))</f>
        <v/>
      </c>
      <c r="AY404" s="31">
        <f>IF($AU404="","",INDEX($AW$8:$AW$2007,MATCH($AU404,$AU$8:$AU$2007,0)))</f>
        <v/>
      </c>
      <c r="AZ404" s="31">
        <f>IF(OR($AS404="",$C$6=""),"",TRIM(INDEX($A:$AP,ROW(),$C$6)&amp;""))</f>
        <v/>
      </c>
      <c r="BA404" s="31">
        <f>IF($AZ404="","",IF(COUNTIF($AZ$8:$AZ404,$AZ404)&gt;1,1,0))</f>
        <v/>
      </c>
    </row>
    <row r="405">
      <c r="AR405" s="31">
        <f>IF(OR($A$5="",$B$6="",ROW()&lt;$A$5),"",IF(INDEX($A:$AP,ROW(),$B$6)="","",INDEX($A:$AP,ROW(),$B$6)))</f>
        <v/>
      </c>
      <c r="AS405" s="32">
        <f>IF($AR405="","",IF(ISNUMBER($AR405),IF($AR405&gt;=10000000,IFERROR(DATE(INT($AR405/10000),MOD(INT($AR405/100),100),MOD($AR405,100)),""),INT($AR405)),IFERROR(DATE(--LEFT(LEFT(SUBSTITUTE(SUBSTITUTE(SUBSTITUTE(SUBSTITUTE(TRIM($AR405),"-",""),".",""),"/","")," ",""),8),4),--MID(LEFT(SUBSTITUTE(SUBSTITUTE(SUBSTITUTE(SUBSTITUTE(TRIM($AR405),"-",""),".",""),"/","")," ",""),8),5,2),--MID(LEFT(SUBSTITUTE(SUBSTITUTE(SUBSTITUTE(SUBSTITUTE(TRIM($AR405),"-",""),".",""),"/","")," ",""),8),7,2)),"")))</f>
        <v/>
      </c>
      <c r="AT405" s="33">
        <f>IF($AS405="","",IF($F$6="",0,IF(ISNUMBER(INDEX($A:$AP,ROW(),$F$6)),INDEX($A:$AP,ROW(),$F$6),IFERROR(--SUBSTITUTE(SUBSTITUTE(TRIM(INDEX($A:$AP,ROW(),$F$6)),",",""),"원",""),0))))</f>
        <v/>
      </c>
      <c r="AU405" s="31">
        <f>IF($AS405="","",IF($AX405&lt;&gt;"",SUBSTITUTE(SUBSTITUTE($AX405,"-","")," ",""),"N:"&amp;$AV405))</f>
        <v/>
      </c>
      <c r="AV405" s="31">
        <f>IF(OR($AS405="",$E$6=""),"",TRIM(INDEX($A:$AP,ROW(),$E$6)&amp;""))</f>
        <v/>
      </c>
      <c r="AW405" s="31">
        <f>IF($AU405="","",IF(MATCH($AU405,$AU$8:$AU$2007,0)=ROW()-7,MAX($AW$7:$AW404)+1,""))</f>
        <v/>
      </c>
      <c r="AX405" s="31">
        <f>IF(OR($AS405="",$D$6=""),"",TRIM(INDEX($A:$AP,ROW(),$D$6)&amp;""))</f>
        <v/>
      </c>
      <c r="AY405" s="31">
        <f>IF($AU405="","",INDEX($AW$8:$AW$2007,MATCH($AU405,$AU$8:$AU$2007,0)))</f>
        <v/>
      </c>
      <c r="AZ405" s="31">
        <f>IF(OR($AS405="",$C$6=""),"",TRIM(INDEX($A:$AP,ROW(),$C$6)&amp;""))</f>
        <v/>
      </c>
      <c r="BA405" s="31">
        <f>IF($AZ405="","",IF(COUNTIF($AZ$8:$AZ405,$AZ405)&gt;1,1,0))</f>
        <v/>
      </c>
    </row>
    <row r="406">
      <c r="AR406" s="31">
        <f>IF(OR($A$5="",$B$6="",ROW()&lt;$A$5),"",IF(INDEX($A:$AP,ROW(),$B$6)="","",INDEX($A:$AP,ROW(),$B$6)))</f>
        <v/>
      </c>
      <c r="AS406" s="32">
        <f>IF($AR406="","",IF(ISNUMBER($AR406),IF($AR406&gt;=10000000,IFERROR(DATE(INT($AR406/10000),MOD(INT($AR406/100),100),MOD($AR406,100)),""),INT($AR406)),IFERROR(DATE(--LEFT(LEFT(SUBSTITUTE(SUBSTITUTE(SUBSTITUTE(SUBSTITUTE(TRIM($AR406),"-",""),".",""),"/","")," ",""),8),4),--MID(LEFT(SUBSTITUTE(SUBSTITUTE(SUBSTITUTE(SUBSTITUTE(TRIM($AR406),"-",""),".",""),"/","")," ",""),8),5,2),--MID(LEFT(SUBSTITUTE(SUBSTITUTE(SUBSTITUTE(SUBSTITUTE(TRIM($AR406),"-",""),".",""),"/","")," ",""),8),7,2)),"")))</f>
        <v/>
      </c>
      <c r="AT406" s="33">
        <f>IF($AS406="","",IF($F$6="",0,IF(ISNUMBER(INDEX($A:$AP,ROW(),$F$6)),INDEX($A:$AP,ROW(),$F$6),IFERROR(--SUBSTITUTE(SUBSTITUTE(TRIM(INDEX($A:$AP,ROW(),$F$6)),",",""),"원",""),0))))</f>
        <v/>
      </c>
      <c r="AU406" s="31">
        <f>IF($AS406="","",IF($AX406&lt;&gt;"",SUBSTITUTE(SUBSTITUTE($AX406,"-","")," ",""),"N:"&amp;$AV406))</f>
        <v/>
      </c>
      <c r="AV406" s="31">
        <f>IF(OR($AS406="",$E$6=""),"",TRIM(INDEX($A:$AP,ROW(),$E$6)&amp;""))</f>
        <v/>
      </c>
      <c r="AW406" s="31">
        <f>IF($AU406="","",IF(MATCH($AU406,$AU$8:$AU$2007,0)=ROW()-7,MAX($AW$7:$AW405)+1,""))</f>
        <v/>
      </c>
      <c r="AX406" s="31">
        <f>IF(OR($AS406="",$D$6=""),"",TRIM(INDEX($A:$AP,ROW(),$D$6)&amp;""))</f>
        <v/>
      </c>
      <c r="AY406" s="31">
        <f>IF($AU406="","",INDEX($AW$8:$AW$2007,MATCH($AU406,$AU$8:$AU$2007,0)))</f>
        <v/>
      </c>
      <c r="AZ406" s="31">
        <f>IF(OR($AS406="",$C$6=""),"",TRIM(INDEX($A:$AP,ROW(),$C$6)&amp;""))</f>
        <v/>
      </c>
      <c r="BA406" s="31">
        <f>IF($AZ406="","",IF(COUNTIF($AZ$8:$AZ406,$AZ406)&gt;1,1,0))</f>
        <v/>
      </c>
    </row>
    <row r="407">
      <c r="AR407" s="31">
        <f>IF(OR($A$5="",$B$6="",ROW()&lt;$A$5),"",IF(INDEX($A:$AP,ROW(),$B$6)="","",INDEX($A:$AP,ROW(),$B$6)))</f>
        <v/>
      </c>
      <c r="AS407" s="32">
        <f>IF($AR407="","",IF(ISNUMBER($AR407),IF($AR407&gt;=10000000,IFERROR(DATE(INT($AR407/10000),MOD(INT($AR407/100),100),MOD($AR407,100)),""),INT($AR407)),IFERROR(DATE(--LEFT(LEFT(SUBSTITUTE(SUBSTITUTE(SUBSTITUTE(SUBSTITUTE(TRIM($AR407),"-",""),".",""),"/","")," ",""),8),4),--MID(LEFT(SUBSTITUTE(SUBSTITUTE(SUBSTITUTE(SUBSTITUTE(TRIM($AR407),"-",""),".",""),"/","")," ",""),8),5,2),--MID(LEFT(SUBSTITUTE(SUBSTITUTE(SUBSTITUTE(SUBSTITUTE(TRIM($AR407),"-",""),".",""),"/","")," ",""),8),7,2)),"")))</f>
        <v/>
      </c>
      <c r="AT407" s="33">
        <f>IF($AS407="","",IF($F$6="",0,IF(ISNUMBER(INDEX($A:$AP,ROW(),$F$6)),INDEX($A:$AP,ROW(),$F$6),IFERROR(--SUBSTITUTE(SUBSTITUTE(TRIM(INDEX($A:$AP,ROW(),$F$6)),",",""),"원",""),0))))</f>
        <v/>
      </c>
      <c r="AU407" s="31">
        <f>IF($AS407="","",IF($AX407&lt;&gt;"",SUBSTITUTE(SUBSTITUTE($AX407,"-","")," ",""),"N:"&amp;$AV407))</f>
        <v/>
      </c>
      <c r="AV407" s="31">
        <f>IF(OR($AS407="",$E$6=""),"",TRIM(INDEX($A:$AP,ROW(),$E$6)&amp;""))</f>
        <v/>
      </c>
      <c r="AW407" s="31">
        <f>IF($AU407="","",IF(MATCH($AU407,$AU$8:$AU$2007,0)=ROW()-7,MAX($AW$7:$AW406)+1,""))</f>
        <v/>
      </c>
      <c r="AX407" s="31">
        <f>IF(OR($AS407="",$D$6=""),"",TRIM(INDEX($A:$AP,ROW(),$D$6)&amp;""))</f>
        <v/>
      </c>
      <c r="AY407" s="31">
        <f>IF($AU407="","",INDEX($AW$8:$AW$2007,MATCH($AU407,$AU$8:$AU$2007,0)))</f>
        <v/>
      </c>
      <c r="AZ407" s="31">
        <f>IF(OR($AS407="",$C$6=""),"",TRIM(INDEX($A:$AP,ROW(),$C$6)&amp;""))</f>
        <v/>
      </c>
      <c r="BA407" s="31">
        <f>IF($AZ407="","",IF(COUNTIF($AZ$8:$AZ407,$AZ407)&gt;1,1,0))</f>
        <v/>
      </c>
    </row>
    <row r="408">
      <c r="AR408" s="31">
        <f>IF(OR($A$5="",$B$6="",ROW()&lt;$A$5),"",IF(INDEX($A:$AP,ROW(),$B$6)="","",INDEX($A:$AP,ROW(),$B$6)))</f>
        <v/>
      </c>
      <c r="AS408" s="32">
        <f>IF($AR408="","",IF(ISNUMBER($AR408),IF($AR408&gt;=10000000,IFERROR(DATE(INT($AR408/10000),MOD(INT($AR408/100),100),MOD($AR408,100)),""),INT($AR408)),IFERROR(DATE(--LEFT(LEFT(SUBSTITUTE(SUBSTITUTE(SUBSTITUTE(SUBSTITUTE(TRIM($AR408),"-",""),".",""),"/","")," ",""),8),4),--MID(LEFT(SUBSTITUTE(SUBSTITUTE(SUBSTITUTE(SUBSTITUTE(TRIM($AR408),"-",""),".",""),"/","")," ",""),8),5,2),--MID(LEFT(SUBSTITUTE(SUBSTITUTE(SUBSTITUTE(SUBSTITUTE(TRIM($AR408),"-",""),".",""),"/","")," ",""),8),7,2)),"")))</f>
        <v/>
      </c>
      <c r="AT408" s="33">
        <f>IF($AS408="","",IF($F$6="",0,IF(ISNUMBER(INDEX($A:$AP,ROW(),$F$6)),INDEX($A:$AP,ROW(),$F$6),IFERROR(--SUBSTITUTE(SUBSTITUTE(TRIM(INDEX($A:$AP,ROW(),$F$6)),",",""),"원",""),0))))</f>
        <v/>
      </c>
      <c r="AU408" s="31">
        <f>IF($AS408="","",IF($AX408&lt;&gt;"",SUBSTITUTE(SUBSTITUTE($AX408,"-","")," ",""),"N:"&amp;$AV408))</f>
        <v/>
      </c>
      <c r="AV408" s="31">
        <f>IF(OR($AS408="",$E$6=""),"",TRIM(INDEX($A:$AP,ROW(),$E$6)&amp;""))</f>
        <v/>
      </c>
      <c r="AW408" s="31">
        <f>IF($AU408="","",IF(MATCH($AU408,$AU$8:$AU$2007,0)=ROW()-7,MAX($AW$7:$AW407)+1,""))</f>
        <v/>
      </c>
      <c r="AX408" s="31">
        <f>IF(OR($AS408="",$D$6=""),"",TRIM(INDEX($A:$AP,ROW(),$D$6)&amp;""))</f>
        <v/>
      </c>
      <c r="AY408" s="31">
        <f>IF($AU408="","",INDEX($AW$8:$AW$2007,MATCH($AU408,$AU$8:$AU$2007,0)))</f>
        <v/>
      </c>
      <c r="AZ408" s="31">
        <f>IF(OR($AS408="",$C$6=""),"",TRIM(INDEX($A:$AP,ROW(),$C$6)&amp;""))</f>
        <v/>
      </c>
      <c r="BA408" s="31">
        <f>IF($AZ408="","",IF(COUNTIF($AZ$8:$AZ408,$AZ408)&gt;1,1,0))</f>
        <v/>
      </c>
    </row>
    <row r="409">
      <c r="AR409" s="31">
        <f>IF(OR($A$5="",$B$6="",ROW()&lt;$A$5),"",IF(INDEX($A:$AP,ROW(),$B$6)="","",INDEX($A:$AP,ROW(),$B$6)))</f>
        <v/>
      </c>
      <c r="AS409" s="32">
        <f>IF($AR409="","",IF(ISNUMBER($AR409),IF($AR409&gt;=10000000,IFERROR(DATE(INT($AR409/10000),MOD(INT($AR409/100),100),MOD($AR409,100)),""),INT($AR409)),IFERROR(DATE(--LEFT(LEFT(SUBSTITUTE(SUBSTITUTE(SUBSTITUTE(SUBSTITUTE(TRIM($AR409),"-",""),".",""),"/","")," ",""),8),4),--MID(LEFT(SUBSTITUTE(SUBSTITUTE(SUBSTITUTE(SUBSTITUTE(TRIM($AR409),"-",""),".",""),"/","")," ",""),8),5,2),--MID(LEFT(SUBSTITUTE(SUBSTITUTE(SUBSTITUTE(SUBSTITUTE(TRIM($AR409),"-",""),".",""),"/","")," ",""),8),7,2)),"")))</f>
        <v/>
      </c>
      <c r="AT409" s="33">
        <f>IF($AS409="","",IF($F$6="",0,IF(ISNUMBER(INDEX($A:$AP,ROW(),$F$6)),INDEX($A:$AP,ROW(),$F$6),IFERROR(--SUBSTITUTE(SUBSTITUTE(TRIM(INDEX($A:$AP,ROW(),$F$6)),",",""),"원",""),0))))</f>
        <v/>
      </c>
      <c r="AU409" s="31">
        <f>IF($AS409="","",IF($AX409&lt;&gt;"",SUBSTITUTE(SUBSTITUTE($AX409,"-","")," ",""),"N:"&amp;$AV409))</f>
        <v/>
      </c>
      <c r="AV409" s="31">
        <f>IF(OR($AS409="",$E$6=""),"",TRIM(INDEX($A:$AP,ROW(),$E$6)&amp;""))</f>
        <v/>
      </c>
      <c r="AW409" s="31">
        <f>IF($AU409="","",IF(MATCH($AU409,$AU$8:$AU$2007,0)=ROW()-7,MAX($AW$7:$AW408)+1,""))</f>
        <v/>
      </c>
      <c r="AX409" s="31">
        <f>IF(OR($AS409="",$D$6=""),"",TRIM(INDEX($A:$AP,ROW(),$D$6)&amp;""))</f>
        <v/>
      </c>
      <c r="AY409" s="31">
        <f>IF($AU409="","",INDEX($AW$8:$AW$2007,MATCH($AU409,$AU$8:$AU$2007,0)))</f>
        <v/>
      </c>
      <c r="AZ409" s="31">
        <f>IF(OR($AS409="",$C$6=""),"",TRIM(INDEX($A:$AP,ROW(),$C$6)&amp;""))</f>
        <v/>
      </c>
      <c r="BA409" s="31">
        <f>IF($AZ409="","",IF(COUNTIF($AZ$8:$AZ409,$AZ409)&gt;1,1,0))</f>
        <v/>
      </c>
    </row>
    <row r="410">
      <c r="AR410" s="31">
        <f>IF(OR($A$5="",$B$6="",ROW()&lt;$A$5),"",IF(INDEX($A:$AP,ROW(),$B$6)="","",INDEX($A:$AP,ROW(),$B$6)))</f>
        <v/>
      </c>
      <c r="AS410" s="32">
        <f>IF($AR410="","",IF(ISNUMBER($AR410),IF($AR410&gt;=10000000,IFERROR(DATE(INT($AR410/10000),MOD(INT($AR410/100),100),MOD($AR410,100)),""),INT($AR410)),IFERROR(DATE(--LEFT(LEFT(SUBSTITUTE(SUBSTITUTE(SUBSTITUTE(SUBSTITUTE(TRIM($AR410),"-",""),".",""),"/","")," ",""),8),4),--MID(LEFT(SUBSTITUTE(SUBSTITUTE(SUBSTITUTE(SUBSTITUTE(TRIM($AR410),"-",""),".",""),"/","")," ",""),8),5,2),--MID(LEFT(SUBSTITUTE(SUBSTITUTE(SUBSTITUTE(SUBSTITUTE(TRIM($AR410),"-",""),".",""),"/","")," ",""),8),7,2)),"")))</f>
        <v/>
      </c>
      <c r="AT410" s="33">
        <f>IF($AS410="","",IF($F$6="",0,IF(ISNUMBER(INDEX($A:$AP,ROW(),$F$6)),INDEX($A:$AP,ROW(),$F$6),IFERROR(--SUBSTITUTE(SUBSTITUTE(TRIM(INDEX($A:$AP,ROW(),$F$6)),",",""),"원",""),0))))</f>
        <v/>
      </c>
      <c r="AU410" s="31">
        <f>IF($AS410="","",IF($AX410&lt;&gt;"",SUBSTITUTE(SUBSTITUTE($AX410,"-","")," ",""),"N:"&amp;$AV410))</f>
        <v/>
      </c>
      <c r="AV410" s="31">
        <f>IF(OR($AS410="",$E$6=""),"",TRIM(INDEX($A:$AP,ROW(),$E$6)&amp;""))</f>
        <v/>
      </c>
      <c r="AW410" s="31">
        <f>IF($AU410="","",IF(MATCH($AU410,$AU$8:$AU$2007,0)=ROW()-7,MAX($AW$7:$AW409)+1,""))</f>
        <v/>
      </c>
      <c r="AX410" s="31">
        <f>IF(OR($AS410="",$D$6=""),"",TRIM(INDEX($A:$AP,ROW(),$D$6)&amp;""))</f>
        <v/>
      </c>
      <c r="AY410" s="31">
        <f>IF($AU410="","",INDEX($AW$8:$AW$2007,MATCH($AU410,$AU$8:$AU$2007,0)))</f>
        <v/>
      </c>
      <c r="AZ410" s="31">
        <f>IF(OR($AS410="",$C$6=""),"",TRIM(INDEX($A:$AP,ROW(),$C$6)&amp;""))</f>
        <v/>
      </c>
      <c r="BA410" s="31">
        <f>IF($AZ410="","",IF(COUNTIF($AZ$8:$AZ410,$AZ410)&gt;1,1,0))</f>
        <v/>
      </c>
    </row>
    <row r="411">
      <c r="AR411" s="31">
        <f>IF(OR($A$5="",$B$6="",ROW()&lt;$A$5),"",IF(INDEX($A:$AP,ROW(),$B$6)="","",INDEX($A:$AP,ROW(),$B$6)))</f>
        <v/>
      </c>
      <c r="AS411" s="32">
        <f>IF($AR411="","",IF(ISNUMBER($AR411),IF($AR411&gt;=10000000,IFERROR(DATE(INT($AR411/10000),MOD(INT($AR411/100),100),MOD($AR411,100)),""),INT($AR411)),IFERROR(DATE(--LEFT(LEFT(SUBSTITUTE(SUBSTITUTE(SUBSTITUTE(SUBSTITUTE(TRIM($AR411),"-",""),".",""),"/","")," ",""),8),4),--MID(LEFT(SUBSTITUTE(SUBSTITUTE(SUBSTITUTE(SUBSTITUTE(TRIM($AR411),"-",""),".",""),"/","")," ",""),8),5,2),--MID(LEFT(SUBSTITUTE(SUBSTITUTE(SUBSTITUTE(SUBSTITUTE(TRIM($AR411),"-",""),".",""),"/","")," ",""),8),7,2)),"")))</f>
        <v/>
      </c>
      <c r="AT411" s="33">
        <f>IF($AS411="","",IF($F$6="",0,IF(ISNUMBER(INDEX($A:$AP,ROW(),$F$6)),INDEX($A:$AP,ROW(),$F$6),IFERROR(--SUBSTITUTE(SUBSTITUTE(TRIM(INDEX($A:$AP,ROW(),$F$6)),",",""),"원",""),0))))</f>
        <v/>
      </c>
      <c r="AU411" s="31">
        <f>IF($AS411="","",IF($AX411&lt;&gt;"",SUBSTITUTE(SUBSTITUTE($AX411,"-","")," ",""),"N:"&amp;$AV411))</f>
        <v/>
      </c>
      <c r="AV411" s="31">
        <f>IF(OR($AS411="",$E$6=""),"",TRIM(INDEX($A:$AP,ROW(),$E$6)&amp;""))</f>
        <v/>
      </c>
      <c r="AW411" s="31">
        <f>IF($AU411="","",IF(MATCH($AU411,$AU$8:$AU$2007,0)=ROW()-7,MAX($AW$7:$AW410)+1,""))</f>
        <v/>
      </c>
      <c r="AX411" s="31">
        <f>IF(OR($AS411="",$D$6=""),"",TRIM(INDEX($A:$AP,ROW(),$D$6)&amp;""))</f>
        <v/>
      </c>
      <c r="AY411" s="31">
        <f>IF($AU411="","",INDEX($AW$8:$AW$2007,MATCH($AU411,$AU$8:$AU$2007,0)))</f>
        <v/>
      </c>
      <c r="AZ411" s="31">
        <f>IF(OR($AS411="",$C$6=""),"",TRIM(INDEX($A:$AP,ROW(),$C$6)&amp;""))</f>
        <v/>
      </c>
      <c r="BA411" s="31">
        <f>IF($AZ411="","",IF(COUNTIF($AZ$8:$AZ411,$AZ411)&gt;1,1,0))</f>
        <v/>
      </c>
    </row>
    <row r="412">
      <c r="AR412" s="31">
        <f>IF(OR($A$5="",$B$6="",ROW()&lt;$A$5),"",IF(INDEX($A:$AP,ROW(),$B$6)="","",INDEX($A:$AP,ROW(),$B$6)))</f>
        <v/>
      </c>
      <c r="AS412" s="32">
        <f>IF($AR412="","",IF(ISNUMBER($AR412),IF($AR412&gt;=10000000,IFERROR(DATE(INT($AR412/10000),MOD(INT($AR412/100),100),MOD($AR412,100)),""),INT($AR412)),IFERROR(DATE(--LEFT(LEFT(SUBSTITUTE(SUBSTITUTE(SUBSTITUTE(SUBSTITUTE(TRIM($AR412),"-",""),".",""),"/","")," ",""),8),4),--MID(LEFT(SUBSTITUTE(SUBSTITUTE(SUBSTITUTE(SUBSTITUTE(TRIM($AR412),"-",""),".",""),"/","")," ",""),8),5,2),--MID(LEFT(SUBSTITUTE(SUBSTITUTE(SUBSTITUTE(SUBSTITUTE(TRIM($AR412),"-",""),".",""),"/","")," ",""),8),7,2)),"")))</f>
        <v/>
      </c>
      <c r="AT412" s="33">
        <f>IF($AS412="","",IF($F$6="",0,IF(ISNUMBER(INDEX($A:$AP,ROW(),$F$6)),INDEX($A:$AP,ROW(),$F$6),IFERROR(--SUBSTITUTE(SUBSTITUTE(TRIM(INDEX($A:$AP,ROW(),$F$6)),",",""),"원",""),0))))</f>
        <v/>
      </c>
      <c r="AU412" s="31">
        <f>IF($AS412="","",IF($AX412&lt;&gt;"",SUBSTITUTE(SUBSTITUTE($AX412,"-","")," ",""),"N:"&amp;$AV412))</f>
        <v/>
      </c>
      <c r="AV412" s="31">
        <f>IF(OR($AS412="",$E$6=""),"",TRIM(INDEX($A:$AP,ROW(),$E$6)&amp;""))</f>
        <v/>
      </c>
      <c r="AW412" s="31">
        <f>IF($AU412="","",IF(MATCH($AU412,$AU$8:$AU$2007,0)=ROW()-7,MAX($AW$7:$AW411)+1,""))</f>
        <v/>
      </c>
      <c r="AX412" s="31">
        <f>IF(OR($AS412="",$D$6=""),"",TRIM(INDEX($A:$AP,ROW(),$D$6)&amp;""))</f>
        <v/>
      </c>
      <c r="AY412" s="31">
        <f>IF($AU412="","",INDEX($AW$8:$AW$2007,MATCH($AU412,$AU$8:$AU$2007,0)))</f>
        <v/>
      </c>
      <c r="AZ412" s="31">
        <f>IF(OR($AS412="",$C$6=""),"",TRIM(INDEX($A:$AP,ROW(),$C$6)&amp;""))</f>
        <v/>
      </c>
      <c r="BA412" s="31">
        <f>IF($AZ412="","",IF(COUNTIF($AZ$8:$AZ412,$AZ412)&gt;1,1,0))</f>
        <v/>
      </c>
    </row>
    <row r="413">
      <c r="AR413" s="31">
        <f>IF(OR($A$5="",$B$6="",ROW()&lt;$A$5),"",IF(INDEX($A:$AP,ROW(),$B$6)="","",INDEX($A:$AP,ROW(),$B$6)))</f>
        <v/>
      </c>
      <c r="AS413" s="32">
        <f>IF($AR413="","",IF(ISNUMBER($AR413),IF($AR413&gt;=10000000,IFERROR(DATE(INT($AR413/10000),MOD(INT($AR413/100),100),MOD($AR413,100)),""),INT($AR413)),IFERROR(DATE(--LEFT(LEFT(SUBSTITUTE(SUBSTITUTE(SUBSTITUTE(SUBSTITUTE(TRIM($AR413),"-",""),".",""),"/","")," ",""),8),4),--MID(LEFT(SUBSTITUTE(SUBSTITUTE(SUBSTITUTE(SUBSTITUTE(TRIM($AR413),"-",""),".",""),"/","")," ",""),8),5,2),--MID(LEFT(SUBSTITUTE(SUBSTITUTE(SUBSTITUTE(SUBSTITUTE(TRIM($AR413),"-",""),".",""),"/","")," ",""),8),7,2)),"")))</f>
        <v/>
      </c>
      <c r="AT413" s="33">
        <f>IF($AS413="","",IF($F$6="",0,IF(ISNUMBER(INDEX($A:$AP,ROW(),$F$6)),INDEX($A:$AP,ROW(),$F$6),IFERROR(--SUBSTITUTE(SUBSTITUTE(TRIM(INDEX($A:$AP,ROW(),$F$6)),",",""),"원",""),0))))</f>
        <v/>
      </c>
      <c r="AU413" s="31">
        <f>IF($AS413="","",IF($AX413&lt;&gt;"",SUBSTITUTE(SUBSTITUTE($AX413,"-","")," ",""),"N:"&amp;$AV413))</f>
        <v/>
      </c>
      <c r="AV413" s="31">
        <f>IF(OR($AS413="",$E$6=""),"",TRIM(INDEX($A:$AP,ROW(),$E$6)&amp;""))</f>
        <v/>
      </c>
      <c r="AW413" s="31">
        <f>IF($AU413="","",IF(MATCH($AU413,$AU$8:$AU$2007,0)=ROW()-7,MAX($AW$7:$AW412)+1,""))</f>
        <v/>
      </c>
      <c r="AX413" s="31">
        <f>IF(OR($AS413="",$D$6=""),"",TRIM(INDEX($A:$AP,ROW(),$D$6)&amp;""))</f>
        <v/>
      </c>
      <c r="AY413" s="31">
        <f>IF($AU413="","",INDEX($AW$8:$AW$2007,MATCH($AU413,$AU$8:$AU$2007,0)))</f>
        <v/>
      </c>
      <c r="AZ413" s="31">
        <f>IF(OR($AS413="",$C$6=""),"",TRIM(INDEX($A:$AP,ROW(),$C$6)&amp;""))</f>
        <v/>
      </c>
      <c r="BA413" s="31">
        <f>IF($AZ413="","",IF(COUNTIF($AZ$8:$AZ413,$AZ413)&gt;1,1,0))</f>
        <v/>
      </c>
    </row>
    <row r="414">
      <c r="AR414" s="31">
        <f>IF(OR($A$5="",$B$6="",ROW()&lt;$A$5),"",IF(INDEX($A:$AP,ROW(),$B$6)="","",INDEX($A:$AP,ROW(),$B$6)))</f>
        <v/>
      </c>
      <c r="AS414" s="32">
        <f>IF($AR414="","",IF(ISNUMBER($AR414),IF($AR414&gt;=10000000,IFERROR(DATE(INT($AR414/10000),MOD(INT($AR414/100),100),MOD($AR414,100)),""),INT($AR414)),IFERROR(DATE(--LEFT(LEFT(SUBSTITUTE(SUBSTITUTE(SUBSTITUTE(SUBSTITUTE(TRIM($AR414),"-",""),".",""),"/","")," ",""),8),4),--MID(LEFT(SUBSTITUTE(SUBSTITUTE(SUBSTITUTE(SUBSTITUTE(TRIM($AR414),"-",""),".",""),"/","")," ",""),8),5,2),--MID(LEFT(SUBSTITUTE(SUBSTITUTE(SUBSTITUTE(SUBSTITUTE(TRIM($AR414),"-",""),".",""),"/","")," ",""),8),7,2)),"")))</f>
        <v/>
      </c>
      <c r="AT414" s="33">
        <f>IF($AS414="","",IF($F$6="",0,IF(ISNUMBER(INDEX($A:$AP,ROW(),$F$6)),INDEX($A:$AP,ROW(),$F$6),IFERROR(--SUBSTITUTE(SUBSTITUTE(TRIM(INDEX($A:$AP,ROW(),$F$6)),",",""),"원",""),0))))</f>
        <v/>
      </c>
      <c r="AU414" s="31">
        <f>IF($AS414="","",IF($AX414&lt;&gt;"",SUBSTITUTE(SUBSTITUTE($AX414,"-","")," ",""),"N:"&amp;$AV414))</f>
        <v/>
      </c>
      <c r="AV414" s="31">
        <f>IF(OR($AS414="",$E$6=""),"",TRIM(INDEX($A:$AP,ROW(),$E$6)&amp;""))</f>
        <v/>
      </c>
      <c r="AW414" s="31">
        <f>IF($AU414="","",IF(MATCH($AU414,$AU$8:$AU$2007,0)=ROW()-7,MAX($AW$7:$AW413)+1,""))</f>
        <v/>
      </c>
      <c r="AX414" s="31">
        <f>IF(OR($AS414="",$D$6=""),"",TRIM(INDEX($A:$AP,ROW(),$D$6)&amp;""))</f>
        <v/>
      </c>
      <c r="AY414" s="31">
        <f>IF($AU414="","",INDEX($AW$8:$AW$2007,MATCH($AU414,$AU$8:$AU$2007,0)))</f>
        <v/>
      </c>
      <c r="AZ414" s="31">
        <f>IF(OR($AS414="",$C$6=""),"",TRIM(INDEX($A:$AP,ROW(),$C$6)&amp;""))</f>
        <v/>
      </c>
      <c r="BA414" s="31">
        <f>IF($AZ414="","",IF(COUNTIF($AZ$8:$AZ414,$AZ414)&gt;1,1,0))</f>
        <v/>
      </c>
    </row>
    <row r="415">
      <c r="AR415" s="31">
        <f>IF(OR($A$5="",$B$6="",ROW()&lt;$A$5),"",IF(INDEX($A:$AP,ROW(),$B$6)="","",INDEX($A:$AP,ROW(),$B$6)))</f>
        <v/>
      </c>
      <c r="AS415" s="32">
        <f>IF($AR415="","",IF(ISNUMBER($AR415),IF($AR415&gt;=10000000,IFERROR(DATE(INT($AR415/10000),MOD(INT($AR415/100),100),MOD($AR415,100)),""),INT($AR415)),IFERROR(DATE(--LEFT(LEFT(SUBSTITUTE(SUBSTITUTE(SUBSTITUTE(SUBSTITUTE(TRIM($AR415),"-",""),".",""),"/","")," ",""),8),4),--MID(LEFT(SUBSTITUTE(SUBSTITUTE(SUBSTITUTE(SUBSTITUTE(TRIM($AR415),"-",""),".",""),"/","")," ",""),8),5,2),--MID(LEFT(SUBSTITUTE(SUBSTITUTE(SUBSTITUTE(SUBSTITUTE(TRIM($AR415),"-",""),".",""),"/","")," ",""),8),7,2)),"")))</f>
        <v/>
      </c>
      <c r="AT415" s="33">
        <f>IF($AS415="","",IF($F$6="",0,IF(ISNUMBER(INDEX($A:$AP,ROW(),$F$6)),INDEX($A:$AP,ROW(),$F$6),IFERROR(--SUBSTITUTE(SUBSTITUTE(TRIM(INDEX($A:$AP,ROW(),$F$6)),",",""),"원",""),0))))</f>
        <v/>
      </c>
      <c r="AU415" s="31">
        <f>IF($AS415="","",IF($AX415&lt;&gt;"",SUBSTITUTE(SUBSTITUTE($AX415,"-","")," ",""),"N:"&amp;$AV415))</f>
        <v/>
      </c>
      <c r="AV415" s="31">
        <f>IF(OR($AS415="",$E$6=""),"",TRIM(INDEX($A:$AP,ROW(),$E$6)&amp;""))</f>
        <v/>
      </c>
      <c r="AW415" s="31">
        <f>IF($AU415="","",IF(MATCH($AU415,$AU$8:$AU$2007,0)=ROW()-7,MAX($AW$7:$AW414)+1,""))</f>
        <v/>
      </c>
      <c r="AX415" s="31">
        <f>IF(OR($AS415="",$D$6=""),"",TRIM(INDEX($A:$AP,ROW(),$D$6)&amp;""))</f>
        <v/>
      </c>
      <c r="AY415" s="31">
        <f>IF($AU415="","",INDEX($AW$8:$AW$2007,MATCH($AU415,$AU$8:$AU$2007,0)))</f>
        <v/>
      </c>
      <c r="AZ415" s="31">
        <f>IF(OR($AS415="",$C$6=""),"",TRIM(INDEX($A:$AP,ROW(),$C$6)&amp;""))</f>
        <v/>
      </c>
      <c r="BA415" s="31">
        <f>IF($AZ415="","",IF(COUNTIF($AZ$8:$AZ415,$AZ415)&gt;1,1,0))</f>
        <v/>
      </c>
    </row>
    <row r="416">
      <c r="AR416" s="31">
        <f>IF(OR($A$5="",$B$6="",ROW()&lt;$A$5),"",IF(INDEX($A:$AP,ROW(),$B$6)="","",INDEX($A:$AP,ROW(),$B$6)))</f>
        <v/>
      </c>
      <c r="AS416" s="32">
        <f>IF($AR416="","",IF(ISNUMBER($AR416),IF($AR416&gt;=10000000,IFERROR(DATE(INT($AR416/10000),MOD(INT($AR416/100),100),MOD($AR416,100)),""),INT($AR416)),IFERROR(DATE(--LEFT(LEFT(SUBSTITUTE(SUBSTITUTE(SUBSTITUTE(SUBSTITUTE(TRIM($AR416),"-",""),".",""),"/","")," ",""),8),4),--MID(LEFT(SUBSTITUTE(SUBSTITUTE(SUBSTITUTE(SUBSTITUTE(TRIM($AR416),"-",""),".",""),"/","")," ",""),8),5,2),--MID(LEFT(SUBSTITUTE(SUBSTITUTE(SUBSTITUTE(SUBSTITUTE(TRIM($AR416),"-",""),".",""),"/","")," ",""),8),7,2)),"")))</f>
        <v/>
      </c>
      <c r="AT416" s="33">
        <f>IF($AS416="","",IF($F$6="",0,IF(ISNUMBER(INDEX($A:$AP,ROW(),$F$6)),INDEX($A:$AP,ROW(),$F$6),IFERROR(--SUBSTITUTE(SUBSTITUTE(TRIM(INDEX($A:$AP,ROW(),$F$6)),",",""),"원",""),0))))</f>
        <v/>
      </c>
      <c r="AU416" s="31">
        <f>IF($AS416="","",IF($AX416&lt;&gt;"",SUBSTITUTE(SUBSTITUTE($AX416,"-","")," ",""),"N:"&amp;$AV416))</f>
        <v/>
      </c>
      <c r="AV416" s="31">
        <f>IF(OR($AS416="",$E$6=""),"",TRIM(INDEX($A:$AP,ROW(),$E$6)&amp;""))</f>
        <v/>
      </c>
      <c r="AW416" s="31">
        <f>IF($AU416="","",IF(MATCH($AU416,$AU$8:$AU$2007,0)=ROW()-7,MAX($AW$7:$AW415)+1,""))</f>
        <v/>
      </c>
      <c r="AX416" s="31">
        <f>IF(OR($AS416="",$D$6=""),"",TRIM(INDEX($A:$AP,ROW(),$D$6)&amp;""))</f>
        <v/>
      </c>
      <c r="AY416" s="31">
        <f>IF($AU416="","",INDEX($AW$8:$AW$2007,MATCH($AU416,$AU$8:$AU$2007,0)))</f>
        <v/>
      </c>
      <c r="AZ416" s="31">
        <f>IF(OR($AS416="",$C$6=""),"",TRIM(INDEX($A:$AP,ROW(),$C$6)&amp;""))</f>
        <v/>
      </c>
      <c r="BA416" s="31">
        <f>IF($AZ416="","",IF(COUNTIF($AZ$8:$AZ416,$AZ416)&gt;1,1,0))</f>
        <v/>
      </c>
    </row>
    <row r="417">
      <c r="AR417" s="31">
        <f>IF(OR($A$5="",$B$6="",ROW()&lt;$A$5),"",IF(INDEX($A:$AP,ROW(),$B$6)="","",INDEX($A:$AP,ROW(),$B$6)))</f>
        <v/>
      </c>
      <c r="AS417" s="32">
        <f>IF($AR417="","",IF(ISNUMBER($AR417),IF($AR417&gt;=10000000,IFERROR(DATE(INT($AR417/10000),MOD(INT($AR417/100),100),MOD($AR417,100)),""),INT($AR417)),IFERROR(DATE(--LEFT(LEFT(SUBSTITUTE(SUBSTITUTE(SUBSTITUTE(SUBSTITUTE(TRIM($AR417),"-",""),".",""),"/","")," ",""),8),4),--MID(LEFT(SUBSTITUTE(SUBSTITUTE(SUBSTITUTE(SUBSTITUTE(TRIM($AR417),"-",""),".",""),"/","")," ",""),8),5,2),--MID(LEFT(SUBSTITUTE(SUBSTITUTE(SUBSTITUTE(SUBSTITUTE(TRIM($AR417),"-",""),".",""),"/","")," ",""),8),7,2)),"")))</f>
        <v/>
      </c>
      <c r="AT417" s="33">
        <f>IF($AS417="","",IF($F$6="",0,IF(ISNUMBER(INDEX($A:$AP,ROW(),$F$6)),INDEX($A:$AP,ROW(),$F$6),IFERROR(--SUBSTITUTE(SUBSTITUTE(TRIM(INDEX($A:$AP,ROW(),$F$6)),",",""),"원",""),0))))</f>
        <v/>
      </c>
      <c r="AU417" s="31">
        <f>IF($AS417="","",IF($AX417&lt;&gt;"",SUBSTITUTE(SUBSTITUTE($AX417,"-","")," ",""),"N:"&amp;$AV417))</f>
        <v/>
      </c>
      <c r="AV417" s="31">
        <f>IF(OR($AS417="",$E$6=""),"",TRIM(INDEX($A:$AP,ROW(),$E$6)&amp;""))</f>
        <v/>
      </c>
      <c r="AW417" s="31">
        <f>IF($AU417="","",IF(MATCH($AU417,$AU$8:$AU$2007,0)=ROW()-7,MAX($AW$7:$AW416)+1,""))</f>
        <v/>
      </c>
      <c r="AX417" s="31">
        <f>IF(OR($AS417="",$D$6=""),"",TRIM(INDEX($A:$AP,ROW(),$D$6)&amp;""))</f>
        <v/>
      </c>
      <c r="AY417" s="31">
        <f>IF($AU417="","",INDEX($AW$8:$AW$2007,MATCH($AU417,$AU$8:$AU$2007,0)))</f>
        <v/>
      </c>
      <c r="AZ417" s="31">
        <f>IF(OR($AS417="",$C$6=""),"",TRIM(INDEX($A:$AP,ROW(),$C$6)&amp;""))</f>
        <v/>
      </c>
      <c r="BA417" s="31">
        <f>IF($AZ417="","",IF(COUNTIF($AZ$8:$AZ417,$AZ417)&gt;1,1,0))</f>
        <v/>
      </c>
    </row>
    <row r="418">
      <c r="AR418" s="31">
        <f>IF(OR($A$5="",$B$6="",ROW()&lt;$A$5),"",IF(INDEX($A:$AP,ROW(),$B$6)="","",INDEX($A:$AP,ROW(),$B$6)))</f>
        <v/>
      </c>
      <c r="AS418" s="32">
        <f>IF($AR418="","",IF(ISNUMBER($AR418),IF($AR418&gt;=10000000,IFERROR(DATE(INT($AR418/10000),MOD(INT($AR418/100),100),MOD($AR418,100)),""),INT($AR418)),IFERROR(DATE(--LEFT(LEFT(SUBSTITUTE(SUBSTITUTE(SUBSTITUTE(SUBSTITUTE(TRIM($AR418),"-",""),".",""),"/","")," ",""),8),4),--MID(LEFT(SUBSTITUTE(SUBSTITUTE(SUBSTITUTE(SUBSTITUTE(TRIM($AR418),"-",""),".",""),"/","")," ",""),8),5,2),--MID(LEFT(SUBSTITUTE(SUBSTITUTE(SUBSTITUTE(SUBSTITUTE(TRIM($AR418),"-",""),".",""),"/","")," ",""),8),7,2)),"")))</f>
        <v/>
      </c>
      <c r="AT418" s="33">
        <f>IF($AS418="","",IF($F$6="",0,IF(ISNUMBER(INDEX($A:$AP,ROW(),$F$6)),INDEX($A:$AP,ROW(),$F$6),IFERROR(--SUBSTITUTE(SUBSTITUTE(TRIM(INDEX($A:$AP,ROW(),$F$6)),",",""),"원",""),0))))</f>
        <v/>
      </c>
      <c r="AU418" s="31">
        <f>IF($AS418="","",IF($AX418&lt;&gt;"",SUBSTITUTE(SUBSTITUTE($AX418,"-","")," ",""),"N:"&amp;$AV418))</f>
        <v/>
      </c>
      <c r="AV418" s="31">
        <f>IF(OR($AS418="",$E$6=""),"",TRIM(INDEX($A:$AP,ROW(),$E$6)&amp;""))</f>
        <v/>
      </c>
      <c r="AW418" s="31">
        <f>IF($AU418="","",IF(MATCH($AU418,$AU$8:$AU$2007,0)=ROW()-7,MAX($AW$7:$AW417)+1,""))</f>
        <v/>
      </c>
      <c r="AX418" s="31">
        <f>IF(OR($AS418="",$D$6=""),"",TRIM(INDEX($A:$AP,ROW(),$D$6)&amp;""))</f>
        <v/>
      </c>
      <c r="AY418" s="31">
        <f>IF($AU418="","",INDEX($AW$8:$AW$2007,MATCH($AU418,$AU$8:$AU$2007,0)))</f>
        <v/>
      </c>
      <c r="AZ418" s="31">
        <f>IF(OR($AS418="",$C$6=""),"",TRIM(INDEX($A:$AP,ROW(),$C$6)&amp;""))</f>
        <v/>
      </c>
      <c r="BA418" s="31">
        <f>IF($AZ418="","",IF(COUNTIF($AZ$8:$AZ418,$AZ418)&gt;1,1,0))</f>
        <v/>
      </c>
    </row>
    <row r="419">
      <c r="AR419" s="31">
        <f>IF(OR($A$5="",$B$6="",ROW()&lt;$A$5),"",IF(INDEX($A:$AP,ROW(),$B$6)="","",INDEX($A:$AP,ROW(),$B$6)))</f>
        <v/>
      </c>
      <c r="AS419" s="32">
        <f>IF($AR419="","",IF(ISNUMBER($AR419),IF($AR419&gt;=10000000,IFERROR(DATE(INT($AR419/10000),MOD(INT($AR419/100),100),MOD($AR419,100)),""),INT($AR419)),IFERROR(DATE(--LEFT(LEFT(SUBSTITUTE(SUBSTITUTE(SUBSTITUTE(SUBSTITUTE(TRIM($AR419),"-",""),".",""),"/","")," ",""),8),4),--MID(LEFT(SUBSTITUTE(SUBSTITUTE(SUBSTITUTE(SUBSTITUTE(TRIM($AR419),"-",""),".",""),"/","")," ",""),8),5,2),--MID(LEFT(SUBSTITUTE(SUBSTITUTE(SUBSTITUTE(SUBSTITUTE(TRIM($AR419),"-",""),".",""),"/","")," ",""),8),7,2)),"")))</f>
        <v/>
      </c>
      <c r="AT419" s="33">
        <f>IF($AS419="","",IF($F$6="",0,IF(ISNUMBER(INDEX($A:$AP,ROW(),$F$6)),INDEX($A:$AP,ROW(),$F$6),IFERROR(--SUBSTITUTE(SUBSTITUTE(TRIM(INDEX($A:$AP,ROW(),$F$6)),",",""),"원",""),0))))</f>
        <v/>
      </c>
      <c r="AU419" s="31">
        <f>IF($AS419="","",IF($AX419&lt;&gt;"",SUBSTITUTE(SUBSTITUTE($AX419,"-","")," ",""),"N:"&amp;$AV419))</f>
        <v/>
      </c>
      <c r="AV419" s="31">
        <f>IF(OR($AS419="",$E$6=""),"",TRIM(INDEX($A:$AP,ROW(),$E$6)&amp;""))</f>
        <v/>
      </c>
      <c r="AW419" s="31">
        <f>IF($AU419="","",IF(MATCH($AU419,$AU$8:$AU$2007,0)=ROW()-7,MAX($AW$7:$AW418)+1,""))</f>
        <v/>
      </c>
      <c r="AX419" s="31">
        <f>IF(OR($AS419="",$D$6=""),"",TRIM(INDEX($A:$AP,ROW(),$D$6)&amp;""))</f>
        <v/>
      </c>
      <c r="AY419" s="31">
        <f>IF($AU419="","",INDEX($AW$8:$AW$2007,MATCH($AU419,$AU$8:$AU$2007,0)))</f>
        <v/>
      </c>
      <c r="AZ419" s="31">
        <f>IF(OR($AS419="",$C$6=""),"",TRIM(INDEX($A:$AP,ROW(),$C$6)&amp;""))</f>
        <v/>
      </c>
      <c r="BA419" s="31">
        <f>IF($AZ419="","",IF(COUNTIF($AZ$8:$AZ419,$AZ419)&gt;1,1,0))</f>
        <v/>
      </c>
    </row>
    <row r="420">
      <c r="AR420" s="31">
        <f>IF(OR($A$5="",$B$6="",ROW()&lt;$A$5),"",IF(INDEX($A:$AP,ROW(),$B$6)="","",INDEX($A:$AP,ROW(),$B$6)))</f>
        <v/>
      </c>
      <c r="AS420" s="32">
        <f>IF($AR420="","",IF(ISNUMBER($AR420),IF($AR420&gt;=10000000,IFERROR(DATE(INT($AR420/10000),MOD(INT($AR420/100),100),MOD($AR420,100)),""),INT($AR420)),IFERROR(DATE(--LEFT(LEFT(SUBSTITUTE(SUBSTITUTE(SUBSTITUTE(SUBSTITUTE(TRIM($AR420),"-",""),".",""),"/","")," ",""),8),4),--MID(LEFT(SUBSTITUTE(SUBSTITUTE(SUBSTITUTE(SUBSTITUTE(TRIM($AR420),"-",""),".",""),"/","")," ",""),8),5,2),--MID(LEFT(SUBSTITUTE(SUBSTITUTE(SUBSTITUTE(SUBSTITUTE(TRIM($AR420),"-",""),".",""),"/","")," ",""),8),7,2)),"")))</f>
        <v/>
      </c>
      <c r="AT420" s="33">
        <f>IF($AS420="","",IF($F$6="",0,IF(ISNUMBER(INDEX($A:$AP,ROW(),$F$6)),INDEX($A:$AP,ROW(),$F$6),IFERROR(--SUBSTITUTE(SUBSTITUTE(TRIM(INDEX($A:$AP,ROW(),$F$6)),",",""),"원",""),0))))</f>
        <v/>
      </c>
      <c r="AU420" s="31">
        <f>IF($AS420="","",IF($AX420&lt;&gt;"",SUBSTITUTE(SUBSTITUTE($AX420,"-","")," ",""),"N:"&amp;$AV420))</f>
        <v/>
      </c>
      <c r="AV420" s="31">
        <f>IF(OR($AS420="",$E$6=""),"",TRIM(INDEX($A:$AP,ROW(),$E$6)&amp;""))</f>
        <v/>
      </c>
      <c r="AW420" s="31">
        <f>IF($AU420="","",IF(MATCH($AU420,$AU$8:$AU$2007,0)=ROW()-7,MAX($AW$7:$AW419)+1,""))</f>
        <v/>
      </c>
      <c r="AX420" s="31">
        <f>IF(OR($AS420="",$D$6=""),"",TRIM(INDEX($A:$AP,ROW(),$D$6)&amp;""))</f>
        <v/>
      </c>
      <c r="AY420" s="31">
        <f>IF($AU420="","",INDEX($AW$8:$AW$2007,MATCH($AU420,$AU$8:$AU$2007,0)))</f>
        <v/>
      </c>
      <c r="AZ420" s="31">
        <f>IF(OR($AS420="",$C$6=""),"",TRIM(INDEX($A:$AP,ROW(),$C$6)&amp;""))</f>
        <v/>
      </c>
      <c r="BA420" s="31">
        <f>IF($AZ420="","",IF(COUNTIF($AZ$8:$AZ420,$AZ420)&gt;1,1,0))</f>
        <v/>
      </c>
    </row>
    <row r="421">
      <c r="AR421" s="31">
        <f>IF(OR($A$5="",$B$6="",ROW()&lt;$A$5),"",IF(INDEX($A:$AP,ROW(),$B$6)="","",INDEX($A:$AP,ROW(),$B$6)))</f>
        <v/>
      </c>
      <c r="AS421" s="32">
        <f>IF($AR421="","",IF(ISNUMBER($AR421),IF($AR421&gt;=10000000,IFERROR(DATE(INT($AR421/10000),MOD(INT($AR421/100),100),MOD($AR421,100)),""),INT($AR421)),IFERROR(DATE(--LEFT(LEFT(SUBSTITUTE(SUBSTITUTE(SUBSTITUTE(SUBSTITUTE(TRIM($AR421),"-",""),".",""),"/","")," ",""),8),4),--MID(LEFT(SUBSTITUTE(SUBSTITUTE(SUBSTITUTE(SUBSTITUTE(TRIM($AR421),"-",""),".",""),"/","")," ",""),8),5,2),--MID(LEFT(SUBSTITUTE(SUBSTITUTE(SUBSTITUTE(SUBSTITUTE(TRIM($AR421),"-",""),".",""),"/","")," ",""),8),7,2)),"")))</f>
        <v/>
      </c>
      <c r="AT421" s="33">
        <f>IF($AS421="","",IF($F$6="",0,IF(ISNUMBER(INDEX($A:$AP,ROW(),$F$6)),INDEX($A:$AP,ROW(),$F$6),IFERROR(--SUBSTITUTE(SUBSTITUTE(TRIM(INDEX($A:$AP,ROW(),$F$6)),",",""),"원",""),0))))</f>
        <v/>
      </c>
      <c r="AU421" s="31">
        <f>IF($AS421="","",IF($AX421&lt;&gt;"",SUBSTITUTE(SUBSTITUTE($AX421,"-","")," ",""),"N:"&amp;$AV421))</f>
        <v/>
      </c>
      <c r="AV421" s="31">
        <f>IF(OR($AS421="",$E$6=""),"",TRIM(INDEX($A:$AP,ROW(),$E$6)&amp;""))</f>
        <v/>
      </c>
      <c r="AW421" s="31">
        <f>IF($AU421="","",IF(MATCH($AU421,$AU$8:$AU$2007,0)=ROW()-7,MAX($AW$7:$AW420)+1,""))</f>
        <v/>
      </c>
      <c r="AX421" s="31">
        <f>IF(OR($AS421="",$D$6=""),"",TRIM(INDEX($A:$AP,ROW(),$D$6)&amp;""))</f>
        <v/>
      </c>
      <c r="AY421" s="31">
        <f>IF($AU421="","",INDEX($AW$8:$AW$2007,MATCH($AU421,$AU$8:$AU$2007,0)))</f>
        <v/>
      </c>
      <c r="AZ421" s="31">
        <f>IF(OR($AS421="",$C$6=""),"",TRIM(INDEX($A:$AP,ROW(),$C$6)&amp;""))</f>
        <v/>
      </c>
      <c r="BA421" s="31">
        <f>IF($AZ421="","",IF(COUNTIF($AZ$8:$AZ421,$AZ421)&gt;1,1,0))</f>
        <v/>
      </c>
    </row>
    <row r="422">
      <c r="AR422" s="31">
        <f>IF(OR($A$5="",$B$6="",ROW()&lt;$A$5),"",IF(INDEX($A:$AP,ROW(),$B$6)="","",INDEX($A:$AP,ROW(),$B$6)))</f>
        <v/>
      </c>
      <c r="AS422" s="32">
        <f>IF($AR422="","",IF(ISNUMBER($AR422),IF($AR422&gt;=10000000,IFERROR(DATE(INT($AR422/10000),MOD(INT($AR422/100),100),MOD($AR422,100)),""),INT($AR422)),IFERROR(DATE(--LEFT(LEFT(SUBSTITUTE(SUBSTITUTE(SUBSTITUTE(SUBSTITUTE(TRIM($AR422),"-",""),".",""),"/","")," ",""),8),4),--MID(LEFT(SUBSTITUTE(SUBSTITUTE(SUBSTITUTE(SUBSTITUTE(TRIM($AR422),"-",""),".",""),"/","")," ",""),8),5,2),--MID(LEFT(SUBSTITUTE(SUBSTITUTE(SUBSTITUTE(SUBSTITUTE(TRIM($AR422),"-",""),".",""),"/","")," ",""),8),7,2)),"")))</f>
        <v/>
      </c>
      <c r="AT422" s="33">
        <f>IF($AS422="","",IF($F$6="",0,IF(ISNUMBER(INDEX($A:$AP,ROW(),$F$6)),INDEX($A:$AP,ROW(),$F$6),IFERROR(--SUBSTITUTE(SUBSTITUTE(TRIM(INDEX($A:$AP,ROW(),$F$6)),",",""),"원",""),0))))</f>
        <v/>
      </c>
      <c r="AU422" s="31">
        <f>IF($AS422="","",IF($AX422&lt;&gt;"",SUBSTITUTE(SUBSTITUTE($AX422,"-","")," ",""),"N:"&amp;$AV422))</f>
        <v/>
      </c>
      <c r="AV422" s="31">
        <f>IF(OR($AS422="",$E$6=""),"",TRIM(INDEX($A:$AP,ROW(),$E$6)&amp;""))</f>
        <v/>
      </c>
      <c r="AW422" s="31">
        <f>IF($AU422="","",IF(MATCH($AU422,$AU$8:$AU$2007,0)=ROW()-7,MAX($AW$7:$AW421)+1,""))</f>
        <v/>
      </c>
      <c r="AX422" s="31">
        <f>IF(OR($AS422="",$D$6=""),"",TRIM(INDEX($A:$AP,ROW(),$D$6)&amp;""))</f>
        <v/>
      </c>
      <c r="AY422" s="31">
        <f>IF($AU422="","",INDEX($AW$8:$AW$2007,MATCH($AU422,$AU$8:$AU$2007,0)))</f>
        <v/>
      </c>
      <c r="AZ422" s="31">
        <f>IF(OR($AS422="",$C$6=""),"",TRIM(INDEX($A:$AP,ROW(),$C$6)&amp;""))</f>
        <v/>
      </c>
      <c r="BA422" s="31">
        <f>IF($AZ422="","",IF(COUNTIF($AZ$8:$AZ422,$AZ422)&gt;1,1,0))</f>
        <v/>
      </c>
    </row>
    <row r="423">
      <c r="AR423" s="31">
        <f>IF(OR($A$5="",$B$6="",ROW()&lt;$A$5),"",IF(INDEX($A:$AP,ROW(),$B$6)="","",INDEX($A:$AP,ROW(),$B$6)))</f>
        <v/>
      </c>
      <c r="AS423" s="32">
        <f>IF($AR423="","",IF(ISNUMBER($AR423),IF($AR423&gt;=10000000,IFERROR(DATE(INT($AR423/10000),MOD(INT($AR423/100),100),MOD($AR423,100)),""),INT($AR423)),IFERROR(DATE(--LEFT(LEFT(SUBSTITUTE(SUBSTITUTE(SUBSTITUTE(SUBSTITUTE(TRIM($AR423),"-",""),".",""),"/","")," ",""),8),4),--MID(LEFT(SUBSTITUTE(SUBSTITUTE(SUBSTITUTE(SUBSTITUTE(TRIM($AR423),"-",""),".",""),"/","")," ",""),8),5,2),--MID(LEFT(SUBSTITUTE(SUBSTITUTE(SUBSTITUTE(SUBSTITUTE(TRIM($AR423),"-",""),".",""),"/","")," ",""),8),7,2)),"")))</f>
        <v/>
      </c>
      <c r="AT423" s="33">
        <f>IF($AS423="","",IF($F$6="",0,IF(ISNUMBER(INDEX($A:$AP,ROW(),$F$6)),INDEX($A:$AP,ROW(),$F$6),IFERROR(--SUBSTITUTE(SUBSTITUTE(TRIM(INDEX($A:$AP,ROW(),$F$6)),",",""),"원",""),0))))</f>
        <v/>
      </c>
      <c r="AU423" s="31">
        <f>IF($AS423="","",IF($AX423&lt;&gt;"",SUBSTITUTE(SUBSTITUTE($AX423,"-","")," ",""),"N:"&amp;$AV423))</f>
        <v/>
      </c>
      <c r="AV423" s="31">
        <f>IF(OR($AS423="",$E$6=""),"",TRIM(INDEX($A:$AP,ROW(),$E$6)&amp;""))</f>
        <v/>
      </c>
      <c r="AW423" s="31">
        <f>IF($AU423="","",IF(MATCH($AU423,$AU$8:$AU$2007,0)=ROW()-7,MAX($AW$7:$AW422)+1,""))</f>
        <v/>
      </c>
      <c r="AX423" s="31">
        <f>IF(OR($AS423="",$D$6=""),"",TRIM(INDEX($A:$AP,ROW(),$D$6)&amp;""))</f>
        <v/>
      </c>
      <c r="AY423" s="31">
        <f>IF($AU423="","",INDEX($AW$8:$AW$2007,MATCH($AU423,$AU$8:$AU$2007,0)))</f>
        <v/>
      </c>
      <c r="AZ423" s="31">
        <f>IF(OR($AS423="",$C$6=""),"",TRIM(INDEX($A:$AP,ROW(),$C$6)&amp;""))</f>
        <v/>
      </c>
      <c r="BA423" s="31">
        <f>IF($AZ423="","",IF(COUNTIF($AZ$8:$AZ423,$AZ423)&gt;1,1,0))</f>
        <v/>
      </c>
    </row>
    <row r="424">
      <c r="AR424" s="31">
        <f>IF(OR($A$5="",$B$6="",ROW()&lt;$A$5),"",IF(INDEX($A:$AP,ROW(),$B$6)="","",INDEX($A:$AP,ROW(),$B$6)))</f>
        <v/>
      </c>
      <c r="AS424" s="32">
        <f>IF($AR424="","",IF(ISNUMBER($AR424),IF($AR424&gt;=10000000,IFERROR(DATE(INT($AR424/10000),MOD(INT($AR424/100),100),MOD($AR424,100)),""),INT($AR424)),IFERROR(DATE(--LEFT(LEFT(SUBSTITUTE(SUBSTITUTE(SUBSTITUTE(SUBSTITUTE(TRIM($AR424),"-",""),".",""),"/","")," ",""),8),4),--MID(LEFT(SUBSTITUTE(SUBSTITUTE(SUBSTITUTE(SUBSTITUTE(TRIM($AR424),"-",""),".",""),"/","")," ",""),8),5,2),--MID(LEFT(SUBSTITUTE(SUBSTITUTE(SUBSTITUTE(SUBSTITUTE(TRIM($AR424),"-",""),".",""),"/","")," ",""),8),7,2)),"")))</f>
        <v/>
      </c>
      <c r="AT424" s="33">
        <f>IF($AS424="","",IF($F$6="",0,IF(ISNUMBER(INDEX($A:$AP,ROW(),$F$6)),INDEX($A:$AP,ROW(),$F$6),IFERROR(--SUBSTITUTE(SUBSTITUTE(TRIM(INDEX($A:$AP,ROW(),$F$6)),",",""),"원",""),0))))</f>
        <v/>
      </c>
      <c r="AU424" s="31">
        <f>IF($AS424="","",IF($AX424&lt;&gt;"",SUBSTITUTE(SUBSTITUTE($AX424,"-","")," ",""),"N:"&amp;$AV424))</f>
        <v/>
      </c>
      <c r="AV424" s="31">
        <f>IF(OR($AS424="",$E$6=""),"",TRIM(INDEX($A:$AP,ROW(),$E$6)&amp;""))</f>
        <v/>
      </c>
      <c r="AW424" s="31">
        <f>IF($AU424="","",IF(MATCH($AU424,$AU$8:$AU$2007,0)=ROW()-7,MAX($AW$7:$AW423)+1,""))</f>
        <v/>
      </c>
      <c r="AX424" s="31">
        <f>IF(OR($AS424="",$D$6=""),"",TRIM(INDEX($A:$AP,ROW(),$D$6)&amp;""))</f>
        <v/>
      </c>
      <c r="AY424" s="31">
        <f>IF($AU424="","",INDEX($AW$8:$AW$2007,MATCH($AU424,$AU$8:$AU$2007,0)))</f>
        <v/>
      </c>
      <c r="AZ424" s="31">
        <f>IF(OR($AS424="",$C$6=""),"",TRIM(INDEX($A:$AP,ROW(),$C$6)&amp;""))</f>
        <v/>
      </c>
      <c r="BA424" s="31">
        <f>IF($AZ424="","",IF(COUNTIF($AZ$8:$AZ424,$AZ424)&gt;1,1,0))</f>
        <v/>
      </c>
    </row>
    <row r="425">
      <c r="AR425" s="31">
        <f>IF(OR($A$5="",$B$6="",ROW()&lt;$A$5),"",IF(INDEX($A:$AP,ROW(),$B$6)="","",INDEX($A:$AP,ROW(),$B$6)))</f>
        <v/>
      </c>
      <c r="AS425" s="32">
        <f>IF($AR425="","",IF(ISNUMBER($AR425),IF($AR425&gt;=10000000,IFERROR(DATE(INT($AR425/10000),MOD(INT($AR425/100),100),MOD($AR425,100)),""),INT($AR425)),IFERROR(DATE(--LEFT(LEFT(SUBSTITUTE(SUBSTITUTE(SUBSTITUTE(SUBSTITUTE(TRIM($AR425),"-",""),".",""),"/","")," ",""),8),4),--MID(LEFT(SUBSTITUTE(SUBSTITUTE(SUBSTITUTE(SUBSTITUTE(TRIM($AR425),"-",""),".",""),"/","")," ",""),8),5,2),--MID(LEFT(SUBSTITUTE(SUBSTITUTE(SUBSTITUTE(SUBSTITUTE(TRIM($AR425),"-",""),".",""),"/","")," ",""),8),7,2)),"")))</f>
        <v/>
      </c>
      <c r="AT425" s="33">
        <f>IF($AS425="","",IF($F$6="",0,IF(ISNUMBER(INDEX($A:$AP,ROW(),$F$6)),INDEX($A:$AP,ROW(),$F$6),IFERROR(--SUBSTITUTE(SUBSTITUTE(TRIM(INDEX($A:$AP,ROW(),$F$6)),",",""),"원",""),0))))</f>
        <v/>
      </c>
      <c r="AU425" s="31">
        <f>IF($AS425="","",IF($AX425&lt;&gt;"",SUBSTITUTE(SUBSTITUTE($AX425,"-","")," ",""),"N:"&amp;$AV425))</f>
        <v/>
      </c>
      <c r="AV425" s="31">
        <f>IF(OR($AS425="",$E$6=""),"",TRIM(INDEX($A:$AP,ROW(),$E$6)&amp;""))</f>
        <v/>
      </c>
      <c r="AW425" s="31">
        <f>IF($AU425="","",IF(MATCH($AU425,$AU$8:$AU$2007,0)=ROW()-7,MAX($AW$7:$AW424)+1,""))</f>
        <v/>
      </c>
      <c r="AX425" s="31">
        <f>IF(OR($AS425="",$D$6=""),"",TRIM(INDEX($A:$AP,ROW(),$D$6)&amp;""))</f>
        <v/>
      </c>
      <c r="AY425" s="31">
        <f>IF($AU425="","",INDEX($AW$8:$AW$2007,MATCH($AU425,$AU$8:$AU$2007,0)))</f>
        <v/>
      </c>
      <c r="AZ425" s="31">
        <f>IF(OR($AS425="",$C$6=""),"",TRIM(INDEX($A:$AP,ROW(),$C$6)&amp;""))</f>
        <v/>
      </c>
      <c r="BA425" s="31">
        <f>IF($AZ425="","",IF(COUNTIF($AZ$8:$AZ425,$AZ425)&gt;1,1,0))</f>
        <v/>
      </c>
    </row>
    <row r="426">
      <c r="AR426" s="31">
        <f>IF(OR($A$5="",$B$6="",ROW()&lt;$A$5),"",IF(INDEX($A:$AP,ROW(),$B$6)="","",INDEX($A:$AP,ROW(),$B$6)))</f>
        <v/>
      </c>
      <c r="AS426" s="32">
        <f>IF($AR426="","",IF(ISNUMBER($AR426),IF($AR426&gt;=10000000,IFERROR(DATE(INT($AR426/10000),MOD(INT($AR426/100),100),MOD($AR426,100)),""),INT($AR426)),IFERROR(DATE(--LEFT(LEFT(SUBSTITUTE(SUBSTITUTE(SUBSTITUTE(SUBSTITUTE(TRIM($AR426),"-",""),".",""),"/","")," ",""),8),4),--MID(LEFT(SUBSTITUTE(SUBSTITUTE(SUBSTITUTE(SUBSTITUTE(TRIM($AR426),"-",""),".",""),"/","")," ",""),8),5,2),--MID(LEFT(SUBSTITUTE(SUBSTITUTE(SUBSTITUTE(SUBSTITUTE(TRIM($AR426),"-",""),".",""),"/","")," ",""),8),7,2)),"")))</f>
        <v/>
      </c>
      <c r="AT426" s="33">
        <f>IF($AS426="","",IF($F$6="",0,IF(ISNUMBER(INDEX($A:$AP,ROW(),$F$6)),INDEX($A:$AP,ROW(),$F$6),IFERROR(--SUBSTITUTE(SUBSTITUTE(TRIM(INDEX($A:$AP,ROW(),$F$6)),",",""),"원",""),0))))</f>
        <v/>
      </c>
      <c r="AU426" s="31">
        <f>IF($AS426="","",IF($AX426&lt;&gt;"",SUBSTITUTE(SUBSTITUTE($AX426,"-","")," ",""),"N:"&amp;$AV426))</f>
        <v/>
      </c>
      <c r="AV426" s="31">
        <f>IF(OR($AS426="",$E$6=""),"",TRIM(INDEX($A:$AP,ROW(),$E$6)&amp;""))</f>
        <v/>
      </c>
      <c r="AW426" s="31">
        <f>IF($AU426="","",IF(MATCH($AU426,$AU$8:$AU$2007,0)=ROW()-7,MAX($AW$7:$AW425)+1,""))</f>
        <v/>
      </c>
      <c r="AX426" s="31">
        <f>IF(OR($AS426="",$D$6=""),"",TRIM(INDEX($A:$AP,ROW(),$D$6)&amp;""))</f>
        <v/>
      </c>
      <c r="AY426" s="31">
        <f>IF($AU426="","",INDEX($AW$8:$AW$2007,MATCH($AU426,$AU$8:$AU$2007,0)))</f>
        <v/>
      </c>
      <c r="AZ426" s="31">
        <f>IF(OR($AS426="",$C$6=""),"",TRIM(INDEX($A:$AP,ROW(),$C$6)&amp;""))</f>
        <v/>
      </c>
      <c r="BA426" s="31">
        <f>IF($AZ426="","",IF(COUNTIF($AZ$8:$AZ426,$AZ426)&gt;1,1,0))</f>
        <v/>
      </c>
    </row>
    <row r="427">
      <c r="AR427" s="31">
        <f>IF(OR($A$5="",$B$6="",ROW()&lt;$A$5),"",IF(INDEX($A:$AP,ROW(),$B$6)="","",INDEX($A:$AP,ROW(),$B$6)))</f>
        <v/>
      </c>
      <c r="AS427" s="32">
        <f>IF($AR427="","",IF(ISNUMBER($AR427),IF($AR427&gt;=10000000,IFERROR(DATE(INT($AR427/10000),MOD(INT($AR427/100),100),MOD($AR427,100)),""),INT($AR427)),IFERROR(DATE(--LEFT(LEFT(SUBSTITUTE(SUBSTITUTE(SUBSTITUTE(SUBSTITUTE(TRIM($AR427),"-",""),".",""),"/","")," ",""),8),4),--MID(LEFT(SUBSTITUTE(SUBSTITUTE(SUBSTITUTE(SUBSTITUTE(TRIM($AR427),"-",""),".",""),"/","")," ",""),8),5,2),--MID(LEFT(SUBSTITUTE(SUBSTITUTE(SUBSTITUTE(SUBSTITUTE(TRIM($AR427),"-",""),".",""),"/","")," ",""),8),7,2)),"")))</f>
        <v/>
      </c>
      <c r="AT427" s="33">
        <f>IF($AS427="","",IF($F$6="",0,IF(ISNUMBER(INDEX($A:$AP,ROW(),$F$6)),INDEX($A:$AP,ROW(),$F$6),IFERROR(--SUBSTITUTE(SUBSTITUTE(TRIM(INDEX($A:$AP,ROW(),$F$6)),",",""),"원",""),0))))</f>
        <v/>
      </c>
      <c r="AU427" s="31">
        <f>IF($AS427="","",IF($AX427&lt;&gt;"",SUBSTITUTE(SUBSTITUTE($AX427,"-","")," ",""),"N:"&amp;$AV427))</f>
        <v/>
      </c>
      <c r="AV427" s="31">
        <f>IF(OR($AS427="",$E$6=""),"",TRIM(INDEX($A:$AP,ROW(),$E$6)&amp;""))</f>
        <v/>
      </c>
      <c r="AW427" s="31">
        <f>IF($AU427="","",IF(MATCH($AU427,$AU$8:$AU$2007,0)=ROW()-7,MAX($AW$7:$AW426)+1,""))</f>
        <v/>
      </c>
      <c r="AX427" s="31">
        <f>IF(OR($AS427="",$D$6=""),"",TRIM(INDEX($A:$AP,ROW(),$D$6)&amp;""))</f>
        <v/>
      </c>
      <c r="AY427" s="31">
        <f>IF($AU427="","",INDEX($AW$8:$AW$2007,MATCH($AU427,$AU$8:$AU$2007,0)))</f>
        <v/>
      </c>
      <c r="AZ427" s="31">
        <f>IF(OR($AS427="",$C$6=""),"",TRIM(INDEX($A:$AP,ROW(),$C$6)&amp;""))</f>
        <v/>
      </c>
      <c r="BA427" s="31">
        <f>IF($AZ427="","",IF(COUNTIF($AZ$8:$AZ427,$AZ427)&gt;1,1,0))</f>
        <v/>
      </c>
    </row>
    <row r="428">
      <c r="AR428" s="31">
        <f>IF(OR($A$5="",$B$6="",ROW()&lt;$A$5),"",IF(INDEX($A:$AP,ROW(),$B$6)="","",INDEX($A:$AP,ROW(),$B$6)))</f>
        <v/>
      </c>
      <c r="AS428" s="32">
        <f>IF($AR428="","",IF(ISNUMBER($AR428),IF($AR428&gt;=10000000,IFERROR(DATE(INT($AR428/10000),MOD(INT($AR428/100),100),MOD($AR428,100)),""),INT($AR428)),IFERROR(DATE(--LEFT(LEFT(SUBSTITUTE(SUBSTITUTE(SUBSTITUTE(SUBSTITUTE(TRIM($AR428),"-",""),".",""),"/","")," ",""),8),4),--MID(LEFT(SUBSTITUTE(SUBSTITUTE(SUBSTITUTE(SUBSTITUTE(TRIM($AR428),"-",""),".",""),"/","")," ",""),8),5,2),--MID(LEFT(SUBSTITUTE(SUBSTITUTE(SUBSTITUTE(SUBSTITUTE(TRIM($AR428),"-",""),".",""),"/","")," ",""),8),7,2)),"")))</f>
        <v/>
      </c>
      <c r="AT428" s="33">
        <f>IF($AS428="","",IF($F$6="",0,IF(ISNUMBER(INDEX($A:$AP,ROW(),$F$6)),INDEX($A:$AP,ROW(),$F$6),IFERROR(--SUBSTITUTE(SUBSTITUTE(TRIM(INDEX($A:$AP,ROW(),$F$6)),",",""),"원",""),0))))</f>
        <v/>
      </c>
      <c r="AU428" s="31">
        <f>IF($AS428="","",IF($AX428&lt;&gt;"",SUBSTITUTE(SUBSTITUTE($AX428,"-","")," ",""),"N:"&amp;$AV428))</f>
        <v/>
      </c>
      <c r="AV428" s="31">
        <f>IF(OR($AS428="",$E$6=""),"",TRIM(INDEX($A:$AP,ROW(),$E$6)&amp;""))</f>
        <v/>
      </c>
      <c r="AW428" s="31">
        <f>IF($AU428="","",IF(MATCH($AU428,$AU$8:$AU$2007,0)=ROW()-7,MAX($AW$7:$AW427)+1,""))</f>
        <v/>
      </c>
      <c r="AX428" s="31">
        <f>IF(OR($AS428="",$D$6=""),"",TRIM(INDEX($A:$AP,ROW(),$D$6)&amp;""))</f>
        <v/>
      </c>
      <c r="AY428" s="31">
        <f>IF($AU428="","",INDEX($AW$8:$AW$2007,MATCH($AU428,$AU$8:$AU$2007,0)))</f>
        <v/>
      </c>
      <c r="AZ428" s="31">
        <f>IF(OR($AS428="",$C$6=""),"",TRIM(INDEX($A:$AP,ROW(),$C$6)&amp;""))</f>
        <v/>
      </c>
      <c r="BA428" s="31">
        <f>IF($AZ428="","",IF(COUNTIF($AZ$8:$AZ428,$AZ428)&gt;1,1,0))</f>
        <v/>
      </c>
    </row>
    <row r="429">
      <c r="AR429" s="31">
        <f>IF(OR($A$5="",$B$6="",ROW()&lt;$A$5),"",IF(INDEX($A:$AP,ROW(),$B$6)="","",INDEX($A:$AP,ROW(),$B$6)))</f>
        <v/>
      </c>
      <c r="AS429" s="32">
        <f>IF($AR429="","",IF(ISNUMBER($AR429),IF($AR429&gt;=10000000,IFERROR(DATE(INT($AR429/10000),MOD(INT($AR429/100),100),MOD($AR429,100)),""),INT($AR429)),IFERROR(DATE(--LEFT(LEFT(SUBSTITUTE(SUBSTITUTE(SUBSTITUTE(SUBSTITUTE(TRIM($AR429),"-",""),".",""),"/","")," ",""),8),4),--MID(LEFT(SUBSTITUTE(SUBSTITUTE(SUBSTITUTE(SUBSTITUTE(TRIM($AR429),"-",""),".",""),"/","")," ",""),8),5,2),--MID(LEFT(SUBSTITUTE(SUBSTITUTE(SUBSTITUTE(SUBSTITUTE(TRIM($AR429),"-",""),".",""),"/","")," ",""),8),7,2)),"")))</f>
        <v/>
      </c>
      <c r="AT429" s="33">
        <f>IF($AS429="","",IF($F$6="",0,IF(ISNUMBER(INDEX($A:$AP,ROW(),$F$6)),INDEX($A:$AP,ROW(),$F$6),IFERROR(--SUBSTITUTE(SUBSTITUTE(TRIM(INDEX($A:$AP,ROW(),$F$6)),",",""),"원",""),0))))</f>
        <v/>
      </c>
      <c r="AU429" s="31">
        <f>IF($AS429="","",IF($AX429&lt;&gt;"",SUBSTITUTE(SUBSTITUTE($AX429,"-","")," ",""),"N:"&amp;$AV429))</f>
        <v/>
      </c>
      <c r="AV429" s="31">
        <f>IF(OR($AS429="",$E$6=""),"",TRIM(INDEX($A:$AP,ROW(),$E$6)&amp;""))</f>
        <v/>
      </c>
      <c r="AW429" s="31">
        <f>IF($AU429="","",IF(MATCH($AU429,$AU$8:$AU$2007,0)=ROW()-7,MAX($AW$7:$AW428)+1,""))</f>
        <v/>
      </c>
      <c r="AX429" s="31">
        <f>IF(OR($AS429="",$D$6=""),"",TRIM(INDEX($A:$AP,ROW(),$D$6)&amp;""))</f>
        <v/>
      </c>
      <c r="AY429" s="31">
        <f>IF($AU429="","",INDEX($AW$8:$AW$2007,MATCH($AU429,$AU$8:$AU$2007,0)))</f>
        <v/>
      </c>
      <c r="AZ429" s="31">
        <f>IF(OR($AS429="",$C$6=""),"",TRIM(INDEX($A:$AP,ROW(),$C$6)&amp;""))</f>
        <v/>
      </c>
      <c r="BA429" s="31">
        <f>IF($AZ429="","",IF(COUNTIF($AZ$8:$AZ429,$AZ429)&gt;1,1,0))</f>
        <v/>
      </c>
    </row>
    <row r="430">
      <c r="AR430" s="31">
        <f>IF(OR($A$5="",$B$6="",ROW()&lt;$A$5),"",IF(INDEX($A:$AP,ROW(),$B$6)="","",INDEX($A:$AP,ROW(),$B$6)))</f>
        <v/>
      </c>
      <c r="AS430" s="32">
        <f>IF($AR430="","",IF(ISNUMBER($AR430),IF($AR430&gt;=10000000,IFERROR(DATE(INT($AR430/10000),MOD(INT($AR430/100),100),MOD($AR430,100)),""),INT($AR430)),IFERROR(DATE(--LEFT(LEFT(SUBSTITUTE(SUBSTITUTE(SUBSTITUTE(SUBSTITUTE(TRIM($AR430),"-",""),".",""),"/","")," ",""),8),4),--MID(LEFT(SUBSTITUTE(SUBSTITUTE(SUBSTITUTE(SUBSTITUTE(TRIM($AR430),"-",""),".",""),"/","")," ",""),8),5,2),--MID(LEFT(SUBSTITUTE(SUBSTITUTE(SUBSTITUTE(SUBSTITUTE(TRIM($AR430),"-",""),".",""),"/","")," ",""),8),7,2)),"")))</f>
        <v/>
      </c>
      <c r="AT430" s="33">
        <f>IF($AS430="","",IF($F$6="",0,IF(ISNUMBER(INDEX($A:$AP,ROW(),$F$6)),INDEX($A:$AP,ROW(),$F$6),IFERROR(--SUBSTITUTE(SUBSTITUTE(TRIM(INDEX($A:$AP,ROW(),$F$6)),",",""),"원",""),0))))</f>
        <v/>
      </c>
      <c r="AU430" s="31">
        <f>IF($AS430="","",IF($AX430&lt;&gt;"",SUBSTITUTE(SUBSTITUTE($AX430,"-","")," ",""),"N:"&amp;$AV430))</f>
        <v/>
      </c>
      <c r="AV430" s="31">
        <f>IF(OR($AS430="",$E$6=""),"",TRIM(INDEX($A:$AP,ROW(),$E$6)&amp;""))</f>
        <v/>
      </c>
      <c r="AW430" s="31">
        <f>IF($AU430="","",IF(MATCH($AU430,$AU$8:$AU$2007,0)=ROW()-7,MAX($AW$7:$AW429)+1,""))</f>
        <v/>
      </c>
      <c r="AX430" s="31">
        <f>IF(OR($AS430="",$D$6=""),"",TRIM(INDEX($A:$AP,ROW(),$D$6)&amp;""))</f>
        <v/>
      </c>
      <c r="AY430" s="31">
        <f>IF($AU430="","",INDEX($AW$8:$AW$2007,MATCH($AU430,$AU$8:$AU$2007,0)))</f>
        <v/>
      </c>
      <c r="AZ430" s="31">
        <f>IF(OR($AS430="",$C$6=""),"",TRIM(INDEX($A:$AP,ROW(),$C$6)&amp;""))</f>
        <v/>
      </c>
      <c r="BA430" s="31">
        <f>IF($AZ430="","",IF(COUNTIF($AZ$8:$AZ430,$AZ430)&gt;1,1,0))</f>
        <v/>
      </c>
    </row>
    <row r="431">
      <c r="AR431" s="31">
        <f>IF(OR($A$5="",$B$6="",ROW()&lt;$A$5),"",IF(INDEX($A:$AP,ROW(),$B$6)="","",INDEX($A:$AP,ROW(),$B$6)))</f>
        <v/>
      </c>
      <c r="AS431" s="32">
        <f>IF($AR431="","",IF(ISNUMBER($AR431),IF($AR431&gt;=10000000,IFERROR(DATE(INT($AR431/10000),MOD(INT($AR431/100),100),MOD($AR431,100)),""),INT($AR431)),IFERROR(DATE(--LEFT(LEFT(SUBSTITUTE(SUBSTITUTE(SUBSTITUTE(SUBSTITUTE(TRIM($AR431),"-",""),".",""),"/","")," ",""),8),4),--MID(LEFT(SUBSTITUTE(SUBSTITUTE(SUBSTITUTE(SUBSTITUTE(TRIM($AR431),"-",""),".",""),"/","")," ",""),8),5,2),--MID(LEFT(SUBSTITUTE(SUBSTITUTE(SUBSTITUTE(SUBSTITUTE(TRIM($AR431),"-",""),".",""),"/","")," ",""),8),7,2)),"")))</f>
        <v/>
      </c>
      <c r="AT431" s="33">
        <f>IF($AS431="","",IF($F$6="",0,IF(ISNUMBER(INDEX($A:$AP,ROW(),$F$6)),INDEX($A:$AP,ROW(),$F$6),IFERROR(--SUBSTITUTE(SUBSTITUTE(TRIM(INDEX($A:$AP,ROW(),$F$6)),",",""),"원",""),0))))</f>
        <v/>
      </c>
      <c r="AU431" s="31">
        <f>IF($AS431="","",IF($AX431&lt;&gt;"",SUBSTITUTE(SUBSTITUTE($AX431,"-","")," ",""),"N:"&amp;$AV431))</f>
        <v/>
      </c>
      <c r="AV431" s="31">
        <f>IF(OR($AS431="",$E$6=""),"",TRIM(INDEX($A:$AP,ROW(),$E$6)&amp;""))</f>
        <v/>
      </c>
      <c r="AW431" s="31">
        <f>IF($AU431="","",IF(MATCH($AU431,$AU$8:$AU$2007,0)=ROW()-7,MAX($AW$7:$AW430)+1,""))</f>
        <v/>
      </c>
      <c r="AX431" s="31">
        <f>IF(OR($AS431="",$D$6=""),"",TRIM(INDEX($A:$AP,ROW(),$D$6)&amp;""))</f>
        <v/>
      </c>
      <c r="AY431" s="31">
        <f>IF($AU431="","",INDEX($AW$8:$AW$2007,MATCH($AU431,$AU$8:$AU$2007,0)))</f>
        <v/>
      </c>
      <c r="AZ431" s="31">
        <f>IF(OR($AS431="",$C$6=""),"",TRIM(INDEX($A:$AP,ROW(),$C$6)&amp;""))</f>
        <v/>
      </c>
      <c r="BA431" s="31">
        <f>IF($AZ431="","",IF(COUNTIF($AZ$8:$AZ431,$AZ431)&gt;1,1,0))</f>
        <v/>
      </c>
    </row>
    <row r="432">
      <c r="AR432" s="31">
        <f>IF(OR($A$5="",$B$6="",ROW()&lt;$A$5),"",IF(INDEX($A:$AP,ROW(),$B$6)="","",INDEX($A:$AP,ROW(),$B$6)))</f>
        <v/>
      </c>
      <c r="AS432" s="32">
        <f>IF($AR432="","",IF(ISNUMBER($AR432),IF($AR432&gt;=10000000,IFERROR(DATE(INT($AR432/10000),MOD(INT($AR432/100),100),MOD($AR432,100)),""),INT($AR432)),IFERROR(DATE(--LEFT(LEFT(SUBSTITUTE(SUBSTITUTE(SUBSTITUTE(SUBSTITUTE(TRIM($AR432),"-",""),".",""),"/","")," ",""),8),4),--MID(LEFT(SUBSTITUTE(SUBSTITUTE(SUBSTITUTE(SUBSTITUTE(TRIM($AR432),"-",""),".",""),"/","")," ",""),8),5,2),--MID(LEFT(SUBSTITUTE(SUBSTITUTE(SUBSTITUTE(SUBSTITUTE(TRIM($AR432),"-",""),".",""),"/","")," ",""),8),7,2)),"")))</f>
        <v/>
      </c>
      <c r="AT432" s="33">
        <f>IF($AS432="","",IF($F$6="",0,IF(ISNUMBER(INDEX($A:$AP,ROW(),$F$6)),INDEX($A:$AP,ROW(),$F$6),IFERROR(--SUBSTITUTE(SUBSTITUTE(TRIM(INDEX($A:$AP,ROW(),$F$6)),",",""),"원",""),0))))</f>
        <v/>
      </c>
      <c r="AU432" s="31">
        <f>IF($AS432="","",IF($AX432&lt;&gt;"",SUBSTITUTE(SUBSTITUTE($AX432,"-","")," ",""),"N:"&amp;$AV432))</f>
        <v/>
      </c>
      <c r="AV432" s="31">
        <f>IF(OR($AS432="",$E$6=""),"",TRIM(INDEX($A:$AP,ROW(),$E$6)&amp;""))</f>
        <v/>
      </c>
      <c r="AW432" s="31">
        <f>IF($AU432="","",IF(MATCH($AU432,$AU$8:$AU$2007,0)=ROW()-7,MAX($AW$7:$AW431)+1,""))</f>
        <v/>
      </c>
      <c r="AX432" s="31">
        <f>IF(OR($AS432="",$D$6=""),"",TRIM(INDEX($A:$AP,ROW(),$D$6)&amp;""))</f>
        <v/>
      </c>
      <c r="AY432" s="31">
        <f>IF($AU432="","",INDEX($AW$8:$AW$2007,MATCH($AU432,$AU$8:$AU$2007,0)))</f>
        <v/>
      </c>
      <c r="AZ432" s="31">
        <f>IF(OR($AS432="",$C$6=""),"",TRIM(INDEX($A:$AP,ROW(),$C$6)&amp;""))</f>
        <v/>
      </c>
      <c r="BA432" s="31">
        <f>IF($AZ432="","",IF(COUNTIF($AZ$8:$AZ432,$AZ432)&gt;1,1,0))</f>
        <v/>
      </c>
    </row>
    <row r="433">
      <c r="AR433" s="31">
        <f>IF(OR($A$5="",$B$6="",ROW()&lt;$A$5),"",IF(INDEX($A:$AP,ROW(),$B$6)="","",INDEX($A:$AP,ROW(),$B$6)))</f>
        <v/>
      </c>
      <c r="AS433" s="32">
        <f>IF($AR433="","",IF(ISNUMBER($AR433),IF($AR433&gt;=10000000,IFERROR(DATE(INT($AR433/10000),MOD(INT($AR433/100),100),MOD($AR433,100)),""),INT($AR433)),IFERROR(DATE(--LEFT(LEFT(SUBSTITUTE(SUBSTITUTE(SUBSTITUTE(SUBSTITUTE(TRIM($AR433),"-",""),".",""),"/","")," ",""),8),4),--MID(LEFT(SUBSTITUTE(SUBSTITUTE(SUBSTITUTE(SUBSTITUTE(TRIM($AR433),"-",""),".",""),"/","")," ",""),8),5,2),--MID(LEFT(SUBSTITUTE(SUBSTITUTE(SUBSTITUTE(SUBSTITUTE(TRIM($AR433),"-",""),".",""),"/","")," ",""),8),7,2)),"")))</f>
        <v/>
      </c>
      <c r="AT433" s="33">
        <f>IF($AS433="","",IF($F$6="",0,IF(ISNUMBER(INDEX($A:$AP,ROW(),$F$6)),INDEX($A:$AP,ROW(),$F$6),IFERROR(--SUBSTITUTE(SUBSTITUTE(TRIM(INDEX($A:$AP,ROW(),$F$6)),",",""),"원",""),0))))</f>
        <v/>
      </c>
      <c r="AU433" s="31">
        <f>IF($AS433="","",IF($AX433&lt;&gt;"",SUBSTITUTE(SUBSTITUTE($AX433,"-","")," ",""),"N:"&amp;$AV433))</f>
        <v/>
      </c>
      <c r="AV433" s="31">
        <f>IF(OR($AS433="",$E$6=""),"",TRIM(INDEX($A:$AP,ROW(),$E$6)&amp;""))</f>
        <v/>
      </c>
      <c r="AW433" s="31">
        <f>IF($AU433="","",IF(MATCH($AU433,$AU$8:$AU$2007,0)=ROW()-7,MAX($AW$7:$AW432)+1,""))</f>
        <v/>
      </c>
      <c r="AX433" s="31">
        <f>IF(OR($AS433="",$D$6=""),"",TRIM(INDEX($A:$AP,ROW(),$D$6)&amp;""))</f>
        <v/>
      </c>
      <c r="AY433" s="31">
        <f>IF($AU433="","",INDEX($AW$8:$AW$2007,MATCH($AU433,$AU$8:$AU$2007,0)))</f>
        <v/>
      </c>
      <c r="AZ433" s="31">
        <f>IF(OR($AS433="",$C$6=""),"",TRIM(INDEX($A:$AP,ROW(),$C$6)&amp;""))</f>
        <v/>
      </c>
      <c r="BA433" s="31">
        <f>IF($AZ433="","",IF(COUNTIF($AZ$8:$AZ433,$AZ433)&gt;1,1,0))</f>
        <v/>
      </c>
    </row>
    <row r="434">
      <c r="AR434" s="31">
        <f>IF(OR($A$5="",$B$6="",ROW()&lt;$A$5),"",IF(INDEX($A:$AP,ROW(),$B$6)="","",INDEX($A:$AP,ROW(),$B$6)))</f>
        <v/>
      </c>
      <c r="AS434" s="32">
        <f>IF($AR434="","",IF(ISNUMBER($AR434),IF($AR434&gt;=10000000,IFERROR(DATE(INT($AR434/10000),MOD(INT($AR434/100),100),MOD($AR434,100)),""),INT($AR434)),IFERROR(DATE(--LEFT(LEFT(SUBSTITUTE(SUBSTITUTE(SUBSTITUTE(SUBSTITUTE(TRIM($AR434),"-",""),".",""),"/","")," ",""),8),4),--MID(LEFT(SUBSTITUTE(SUBSTITUTE(SUBSTITUTE(SUBSTITUTE(TRIM($AR434),"-",""),".",""),"/","")," ",""),8),5,2),--MID(LEFT(SUBSTITUTE(SUBSTITUTE(SUBSTITUTE(SUBSTITUTE(TRIM($AR434),"-",""),".",""),"/","")," ",""),8),7,2)),"")))</f>
        <v/>
      </c>
      <c r="AT434" s="33">
        <f>IF($AS434="","",IF($F$6="",0,IF(ISNUMBER(INDEX($A:$AP,ROW(),$F$6)),INDEX($A:$AP,ROW(),$F$6),IFERROR(--SUBSTITUTE(SUBSTITUTE(TRIM(INDEX($A:$AP,ROW(),$F$6)),",",""),"원",""),0))))</f>
        <v/>
      </c>
      <c r="AU434" s="31">
        <f>IF($AS434="","",IF($AX434&lt;&gt;"",SUBSTITUTE(SUBSTITUTE($AX434,"-","")," ",""),"N:"&amp;$AV434))</f>
        <v/>
      </c>
      <c r="AV434" s="31">
        <f>IF(OR($AS434="",$E$6=""),"",TRIM(INDEX($A:$AP,ROW(),$E$6)&amp;""))</f>
        <v/>
      </c>
      <c r="AW434" s="31">
        <f>IF($AU434="","",IF(MATCH($AU434,$AU$8:$AU$2007,0)=ROW()-7,MAX($AW$7:$AW433)+1,""))</f>
        <v/>
      </c>
      <c r="AX434" s="31">
        <f>IF(OR($AS434="",$D$6=""),"",TRIM(INDEX($A:$AP,ROW(),$D$6)&amp;""))</f>
        <v/>
      </c>
      <c r="AY434" s="31">
        <f>IF($AU434="","",INDEX($AW$8:$AW$2007,MATCH($AU434,$AU$8:$AU$2007,0)))</f>
        <v/>
      </c>
      <c r="AZ434" s="31">
        <f>IF(OR($AS434="",$C$6=""),"",TRIM(INDEX($A:$AP,ROW(),$C$6)&amp;""))</f>
        <v/>
      </c>
      <c r="BA434" s="31">
        <f>IF($AZ434="","",IF(COUNTIF($AZ$8:$AZ434,$AZ434)&gt;1,1,0))</f>
        <v/>
      </c>
    </row>
    <row r="435">
      <c r="AR435" s="31">
        <f>IF(OR($A$5="",$B$6="",ROW()&lt;$A$5),"",IF(INDEX($A:$AP,ROW(),$B$6)="","",INDEX($A:$AP,ROW(),$B$6)))</f>
        <v/>
      </c>
      <c r="AS435" s="32">
        <f>IF($AR435="","",IF(ISNUMBER($AR435),IF($AR435&gt;=10000000,IFERROR(DATE(INT($AR435/10000),MOD(INT($AR435/100),100),MOD($AR435,100)),""),INT($AR435)),IFERROR(DATE(--LEFT(LEFT(SUBSTITUTE(SUBSTITUTE(SUBSTITUTE(SUBSTITUTE(TRIM($AR435),"-",""),".",""),"/","")," ",""),8),4),--MID(LEFT(SUBSTITUTE(SUBSTITUTE(SUBSTITUTE(SUBSTITUTE(TRIM($AR435),"-",""),".",""),"/","")," ",""),8),5,2),--MID(LEFT(SUBSTITUTE(SUBSTITUTE(SUBSTITUTE(SUBSTITUTE(TRIM($AR435),"-",""),".",""),"/","")," ",""),8),7,2)),"")))</f>
        <v/>
      </c>
      <c r="AT435" s="33">
        <f>IF($AS435="","",IF($F$6="",0,IF(ISNUMBER(INDEX($A:$AP,ROW(),$F$6)),INDEX($A:$AP,ROW(),$F$6),IFERROR(--SUBSTITUTE(SUBSTITUTE(TRIM(INDEX($A:$AP,ROW(),$F$6)),",",""),"원",""),0))))</f>
        <v/>
      </c>
      <c r="AU435" s="31">
        <f>IF($AS435="","",IF($AX435&lt;&gt;"",SUBSTITUTE(SUBSTITUTE($AX435,"-","")," ",""),"N:"&amp;$AV435))</f>
        <v/>
      </c>
      <c r="AV435" s="31">
        <f>IF(OR($AS435="",$E$6=""),"",TRIM(INDEX($A:$AP,ROW(),$E$6)&amp;""))</f>
        <v/>
      </c>
      <c r="AW435" s="31">
        <f>IF($AU435="","",IF(MATCH($AU435,$AU$8:$AU$2007,0)=ROW()-7,MAX($AW$7:$AW434)+1,""))</f>
        <v/>
      </c>
      <c r="AX435" s="31">
        <f>IF(OR($AS435="",$D$6=""),"",TRIM(INDEX($A:$AP,ROW(),$D$6)&amp;""))</f>
        <v/>
      </c>
      <c r="AY435" s="31">
        <f>IF($AU435="","",INDEX($AW$8:$AW$2007,MATCH($AU435,$AU$8:$AU$2007,0)))</f>
        <v/>
      </c>
      <c r="AZ435" s="31">
        <f>IF(OR($AS435="",$C$6=""),"",TRIM(INDEX($A:$AP,ROW(),$C$6)&amp;""))</f>
        <v/>
      </c>
      <c r="BA435" s="31">
        <f>IF($AZ435="","",IF(COUNTIF($AZ$8:$AZ435,$AZ435)&gt;1,1,0))</f>
        <v/>
      </c>
    </row>
    <row r="436">
      <c r="AR436" s="31">
        <f>IF(OR($A$5="",$B$6="",ROW()&lt;$A$5),"",IF(INDEX($A:$AP,ROW(),$B$6)="","",INDEX($A:$AP,ROW(),$B$6)))</f>
        <v/>
      </c>
      <c r="AS436" s="32">
        <f>IF($AR436="","",IF(ISNUMBER($AR436),IF($AR436&gt;=10000000,IFERROR(DATE(INT($AR436/10000),MOD(INT($AR436/100),100),MOD($AR436,100)),""),INT($AR436)),IFERROR(DATE(--LEFT(LEFT(SUBSTITUTE(SUBSTITUTE(SUBSTITUTE(SUBSTITUTE(TRIM($AR436),"-",""),".",""),"/","")," ",""),8),4),--MID(LEFT(SUBSTITUTE(SUBSTITUTE(SUBSTITUTE(SUBSTITUTE(TRIM($AR436),"-",""),".",""),"/","")," ",""),8),5,2),--MID(LEFT(SUBSTITUTE(SUBSTITUTE(SUBSTITUTE(SUBSTITUTE(TRIM($AR436),"-",""),".",""),"/","")," ",""),8),7,2)),"")))</f>
        <v/>
      </c>
      <c r="AT436" s="33">
        <f>IF($AS436="","",IF($F$6="",0,IF(ISNUMBER(INDEX($A:$AP,ROW(),$F$6)),INDEX($A:$AP,ROW(),$F$6),IFERROR(--SUBSTITUTE(SUBSTITUTE(TRIM(INDEX($A:$AP,ROW(),$F$6)),",",""),"원",""),0))))</f>
        <v/>
      </c>
      <c r="AU436" s="31">
        <f>IF($AS436="","",IF($AX436&lt;&gt;"",SUBSTITUTE(SUBSTITUTE($AX436,"-","")," ",""),"N:"&amp;$AV436))</f>
        <v/>
      </c>
      <c r="AV436" s="31">
        <f>IF(OR($AS436="",$E$6=""),"",TRIM(INDEX($A:$AP,ROW(),$E$6)&amp;""))</f>
        <v/>
      </c>
      <c r="AW436" s="31">
        <f>IF($AU436="","",IF(MATCH($AU436,$AU$8:$AU$2007,0)=ROW()-7,MAX($AW$7:$AW435)+1,""))</f>
        <v/>
      </c>
      <c r="AX436" s="31">
        <f>IF(OR($AS436="",$D$6=""),"",TRIM(INDEX($A:$AP,ROW(),$D$6)&amp;""))</f>
        <v/>
      </c>
      <c r="AY436" s="31">
        <f>IF($AU436="","",INDEX($AW$8:$AW$2007,MATCH($AU436,$AU$8:$AU$2007,0)))</f>
        <v/>
      </c>
      <c r="AZ436" s="31">
        <f>IF(OR($AS436="",$C$6=""),"",TRIM(INDEX($A:$AP,ROW(),$C$6)&amp;""))</f>
        <v/>
      </c>
      <c r="BA436" s="31">
        <f>IF($AZ436="","",IF(COUNTIF($AZ$8:$AZ436,$AZ436)&gt;1,1,0))</f>
        <v/>
      </c>
    </row>
    <row r="437">
      <c r="AR437" s="31">
        <f>IF(OR($A$5="",$B$6="",ROW()&lt;$A$5),"",IF(INDEX($A:$AP,ROW(),$B$6)="","",INDEX($A:$AP,ROW(),$B$6)))</f>
        <v/>
      </c>
      <c r="AS437" s="32">
        <f>IF($AR437="","",IF(ISNUMBER($AR437),IF($AR437&gt;=10000000,IFERROR(DATE(INT($AR437/10000),MOD(INT($AR437/100),100),MOD($AR437,100)),""),INT($AR437)),IFERROR(DATE(--LEFT(LEFT(SUBSTITUTE(SUBSTITUTE(SUBSTITUTE(SUBSTITUTE(TRIM($AR437),"-",""),".",""),"/","")," ",""),8),4),--MID(LEFT(SUBSTITUTE(SUBSTITUTE(SUBSTITUTE(SUBSTITUTE(TRIM($AR437),"-",""),".",""),"/","")," ",""),8),5,2),--MID(LEFT(SUBSTITUTE(SUBSTITUTE(SUBSTITUTE(SUBSTITUTE(TRIM($AR437),"-",""),".",""),"/","")," ",""),8),7,2)),"")))</f>
        <v/>
      </c>
      <c r="AT437" s="33">
        <f>IF($AS437="","",IF($F$6="",0,IF(ISNUMBER(INDEX($A:$AP,ROW(),$F$6)),INDEX($A:$AP,ROW(),$F$6),IFERROR(--SUBSTITUTE(SUBSTITUTE(TRIM(INDEX($A:$AP,ROW(),$F$6)),",",""),"원",""),0))))</f>
        <v/>
      </c>
      <c r="AU437" s="31">
        <f>IF($AS437="","",IF($AX437&lt;&gt;"",SUBSTITUTE(SUBSTITUTE($AX437,"-","")," ",""),"N:"&amp;$AV437))</f>
        <v/>
      </c>
      <c r="AV437" s="31">
        <f>IF(OR($AS437="",$E$6=""),"",TRIM(INDEX($A:$AP,ROW(),$E$6)&amp;""))</f>
        <v/>
      </c>
      <c r="AW437" s="31">
        <f>IF($AU437="","",IF(MATCH($AU437,$AU$8:$AU$2007,0)=ROW()-7,MAX($AW$7:$AW436)+1,""))</f>
        <v/>
      </c>
      <c r="AX437" s="31">
        <f>IF(OR($AS437="",$D$6=""),"",TRIM(INDEX($A:$AP,ROW(),$D$6)&amp;""))</f>
        <v/>
      </c>
      <c r="AY437" s="31">
        <f>IF($AU437="","",INDEX($AW$8:$AW$2007,MATCH($AU437,$AU$8:$AU$2007,0)))</f>
        <v/>
      </c>
      <c r="AZ437" s="31">
        <f>IF(OR($AS437="",$C$6=""),"",TRIM(INDEX($A:$AP,ROW(),$C$6)&amp;""))</f>
        <v/>
      </c>
      <c r="BA437" s="31">
        <f>IF($AZ437="","",IF(COUNTIF($AZ$8:$AZ437,$AZ437)&gt;1,1,0))</f>
        <v/>
      </c>
    </row>
    <row r="438">
      <c r="AR438" s="31">
        <f>IF(OR($A$5="",$B$6="",ROW()&lt;$A$5),"",IF(INDEX($A:$AP,ROW(),$B$6)="","",INDEX($A:$AP,ROW(),$B$6)))</f>
        <v/>
      </c>
      <c r="AS438" s="32">
        <f>IF($AR438="","",IF(ISNUMBER($AR438),IF($AR438&gt;=10000000,IFERROR(DATE(INT($AR438/10000),MOD(INT($AR438/100),100),MOD($AR438,100)),""),INT($AR438)),IFERROR(DATE(--LEFT(LEFT(SUBSTITUTE(SUBSTITUTE(SUBSTITUTE(SUBSTITUTE(TRIM($AR438),"-",""),".",""),"/","")," ",""),8),4),--MID(LEFT(SUBSTITUTE(SUBSTITUTE(SUBSTITUTE(SUBSTITUTE(TRIM($AR438),"-",""),".",""),"/","")," ",""),8),5,2),--MID(LEFT(SUBSTITUTE(SUBSTITUTE(SUBSTITUTE(SUBSTITUTE(TRIM($AR438),"-",""),".",""),"/","")," ",""),8),7,2)),"")))</f>
        <v/>
      </c>
      <c r="AT438" s="33">
        <f>IF($AS438="","",IF($F$6="",0,IF(ISNUMBER(INDEX($A:$AP,ROW(),$F$6)),INDEX($A:$AP,ROW(),$F$6),IFERROR(--SUBSTITUTE(SUBSTITUTE(TRIM(INDEX($A:$AP,ROW(),$F$6)),",",""),"원",""),0))))</f>
        <v/>
      </c>
      <c r="AU438" s="31">
        <f>IF($AS438="","",IF($AX438&lt;&gt;"",SUBSTITUTE(SUBSTITUTE($AX438,"-","")," ",""),"N:"&amp;$AV438))</f>
        <v/>
      </c>
      <c r="AV438" s="31">
        <f>IF(OR($AS438="",$E$6=""),"",TRIM(INDEX($A:$AP,ROW(),$E$6)&amp;""))</f>
        <v/>
      </c>
      <c r="AW438" s="31">
        <f>IF($AU438="","",IF(MATCH($AU438,$AU$8:$AU$2007,0)=ROW()-7,MAX($AW$7:$AW437)+1,""))</f>
        <v/>
      </c>
      <c r="AX438" s="31">
        <f>IF(OR($AS438="",$D$6=""),"",TRIM(INDEX($A:$AP,ROW(),$D$6)&amp;""))</f>
        <v/>
      </c>
      <c r="AY438" s="31">
        <f>IF($AU438="","",INDEX($AW$8:$AW$2007,MATCH($AU438,$AU$8:$AU$2007,0)))</f>
        <v/>
      </c>
      <c r="AZ438" s="31">
        <f>IF(OR($AS438="",$C$6=""),"",TRIM(INDEX($A:$AP,ROW(),$C$6)&amp;""))</f>
        <v/>
      </c>
      <c r="BA438" s="31">
        <f>IF($AZ438="","",IF(COUNTIF($AZ$8:$AZ438,$AZ438)&gt;1,1,0))</f>
        <v/>
      </c>
    </row>
    <row r="439">
      <c r="AR439" s="31">
        <f>IF(OR($A$5="",$B$6="",ROW()&lt;$A$5),"",IF(INDEX($A:$AP,ROW(),$B$6)="","",INDEX($A:$AP,ROW(),$B$6)))</f>
        <v/>
      </c>
      <c r="AS439" s="32">
        <f>IF($AR439="","",IF(ISNUMBER($AR439),IF($AR439&gt;=10000000,IFERROR(DATE(INT($AR439/10000),MOD(INT($AR439/100),100),MOD($AR439,100)),""),INT($AR439)),IFERROR(DATE(--LEFT(LEFT(SUBSTITUTE(SUBSTITUTE(SUBSTITUTE(SUBSTITUTE(TRIM($AR439),"-",""),".",""),"/","")," ",""),8),4),--MID(LEFT(SUBSTITUTE(SUBSTITUTE(SUBSTITUTE(SUBSTITUTE(TRIM($AR439),"-",""),".",""),"/","")," ",""),8),5,2),--MID(LEFT(SUBSTITUTE(SUBSTITUTE(SUBSTITUTE(SUBSTITUTE(TRIM($AR439),"-",""),".",""),"/","")," ",""),8),7,2)),"")))</f>
        <v/>
      </c>
      <c r="AT439" s="33">
        <f>IF($AS439="","",IF($F$6="",0,IF(ISNUMBER(INDEX($A:$AP,ROW(),$F$6)),INDEX($A:$AP,ROW(),$F$6),IFERROR(--SUBSTITUTE(SUBSTITUTE(TRIM(INDEX($A:$AP,ROW(),$F$6)),",",""),"원",""),0))))</f>
        <v/>
      </c>
      <c r="AU439" s="31">
        <f>IF($AS439="","",IF($AX439&lt;&gt;"",SUBSTITUTE(SUBSTITUTE($AX439,"-","")," ",""),"N:"&amp;$AV439))</f>
        <v/>
      </c>
      <c r="AV439" s="31">
        <f>IF(OR($AS439="",$E$6=""),"",TRIM(INDEX($A:$AP,ROW(),$E$6)&amp;""))</f>
        <v/>
      </c>
      <c r="AW439" s="31">
        <f>IF($AU439="","",IF(MATCH($AU439,$AU$8:$AU$2007,0)=ROW()-7,MAX($AW$7:$AW438)+1,""))</f>
        <v/>
      </c>
      <c r="AX439" s="31">
        <f>IF(OR($AS439="",$D$6=""),"",TRIM(INDEX($A:$AP,ROW(),$D$6)&amp;""))</f>
        <v/>
      </c>
      <c r="AY439" s="31">
        <f>IF($AU439="","",INDEX($AW$8:$AW$2007,MATCH($AU439,$AU$8:$AU$2007,0)))</f>
        <v/>
      </c>
      <c r="AZ439" s="31">
        <f>IF(OR($AS439="",$C$6=""),"",TRIM(INDEX($A:$AP,ROW(),$C$6)&amp;""))</f>
        <v/>
      </c>
      <c r="BA439" s="31">
        <f>IF($AZ439="","",IF(COUNTIF($AZ$8:$AZ439,$AZ439)&gt;1,1,0))</f>
        <v/>
      </c>
    </row>
    <row r="440">
      <c r="AR440" s="31">
        <f>IF(OR($A$5="",$B$6="",ROW()&lt;$A$5),"",IF(INDEX($A:$AP,ROW(),$B$6)="","",INDEX($A:$AP,ROW(),$B$6)))</f>
        <v/>
      </c>
      <c r="AS440" s="32">
        <f>IF($AR440="","",IF(ISNUMBER($AR440),IF($AR440&gt;=10000000,IFERROR(DATE(INT($AR440/10000),MOD(INT($AR440/100),100),MOD($AR440,100)),""),INT($AR440)),IFERROR(DATE(--LEFT(LEFT(SUBSTITUTE(SUBSTITUTE(SUBSTITUTE(SUBSTITUTE(TRIM($AR440),"-",""),".",""),"/","")," ",""),8),4),--MID(LEFT(SUBSTITUTE(SUBSTITUTE(SUBSTITUTE(SUBSTITUTE(TRIM($AR440),"-",""),".",""),"/","")," ",""),8),5,2),--MID(LEFT(SUBSTITUTE(SUBSTITUTE(SUBSTITUTE(SUBSTITUTE(TRIM($AR440),"-",""),".",""),"/","")," ",""),8),7,2)),"")))</f>
        <v/>
      </c>
      <c r="AT440" s="33">
        <f>IF($AS440="","",IF($F$6="",0,IF(ISNUMBER(INDEX($A:$AP,ROW(),$F$6)),INDEX($A:$AP,ROW(),$F$6),IFERROR(--SUBSTITUTE(SUBSTITUTE(TRIM(INDEX($A:$AP,ROW(),$F$6)),",",""),"원",""),0))))</f>
        <v/>
      </c>
      <c r="AU440" s="31">
        <f>IF($AS440="","",IF($AX440&lt;&gt;"",SUBSTITUTE(SUBSTITUTE($AX440,"-","")," ",""),"N:"&amp;$AV440))</f>
        <v/>
      </c>
      <c r="AV440" s="31">
        <f>IF(OR($AS440="",$E$6=""),"",TRIM(INDEX($A:$AP,ROW(),$E$6)&amp;""))</f>
        <v/>
      </c>
      <c r="AW440" s="31">
        <f>IF($AU440="","",IF(MATCH($AU440,$AU$8:$AU$2007,0)=ROW()-7,MAX($AW$7:$AW439)+1,""))</f>
        <v/>
      </c>
      <c r="AX440" s="31">
        <f>IF(OR($AS440="",$D$6=""),"",TRIM(INDEX($A:$AP,ROW(),$D$6)&amp;""))</f>
        <v/>
      </c>
      <c r="AY440" s="31">
        <f>IF($AU440="","",INDEX($AW$8:$AW$2007,MATCH($AU440,$AU$8:$AU$2007,0)))</f>
        <v/>
      </c>
      <c r="AZ440" s="31">
        <f>IF(OR($AS440="",$C$6=""),"",TRIM(INDEX($A:$AP,ROW(),$C$6)&amp;""))</f>
        <v/>
      </c>
      <c r="BA440" s="31">
        <f>IF($AZ440="","",IF(COUNTIF($AZ$8:$AZ440,$AZ440)&gt;1,1,0))</f>
        <v/>
      </c>
    </row>
    <row r="441">
      <c r="AR441" s="31">
        <f>IF(OR($A$5="",$B$6="",ROW()&lt;$A$5),"",IF(INDEX($A:$AP,ROW(),$B$6)="","",INDEX($A:$AP,ROW(),$B$6)))</f>
        <v/>
      </c>
      <c r="AS441" s="32">
        <f>IF($AR441="","",IF(ISNUMBER($AR441),IF($AR441&gt;=10000000,IFERROR(DATE(INT($AR441/10000),MOD(INT($AR441/100),100),MOD($AR441,100)),""),INT($AR441)),IFERROR(DATE(--LEFT(LEFT(SUBSTITUTE(SUBSTITUTE(SUBSTITUTE(SUBSTITUTE(TRIM($AR441),"-",""),".",""),"/","")," ",""),8),4),--MID(LEFT(SUBSTITUTE(SUBSTITUTE(SUBSTITUTE(SUBSTITUTE(TRIM($AR441),"-",""),".",""),"/","")," ",""),8),5,2),--MID(LEFT(SUBSTITUTE(SUBSTITUTE(SUBSTITUTE(SUBSTITUTE(TRIM($AR441),"-",""),".",""),"/","")," ",""),8),7,2)),"")))</f>
        <v/>
      </c>
      <c r="AT441" s="33">
        <f>IF($AS441="","",IF($F$6="",0,IF(ISNUMBER(INDEX($A:$AP,ROW(),$F$6)),INDEX($A:$AP,ROW(),$F$6),IFERROR(--SUBSTITUTE(SUBSTITUTE(TRIM(INDEX($A:$AP,ROW(),$F$6)),",",""),"원",""),0))))</f>
        <v/>
      </c>
      <c r="AU441" s="31">
        <f>IF($AS441="","",IF($AX441&lt;&gt;"",SUBSTITUTE(SUBSTITUTE($AX441,"-","")," ",""),"N:"&amp;$AV441))</f>
        <v/>
      </c>
      <c r="AV441" s="31">
        <f>IF(OR($AS441="",$E$6=""),"",TRIM(INDEX($A:$AP,ROW(),$E$6)&amp;""))</f>
        <v/>
      </c>
      <c r="AW441" s="31">
        <f>IF($AU441="","",IF(MATCH($AU441,$AU$8:$AU$2007,0)=ROW()-7,MAX($AW$7:$AW440)+1,""))</f>
        <v/>
      </c>
      <c r="AX441" s="31">
        <f>IF(OR($AS441="",$D$6=""),"",TRIM(INDEX($A:$AP,ROW(),$D$6)&amp;""))</f>
        <v/>
      </c>
      <c r="AY441" s="31">
        <f>IF($AU441="","",INDEX($AW$8:$AW$2007,MATCH($AU441,$AU$8:$AU$2007,0)))</f>
        <v/>
      </c>
      <c r="AZ441" s="31">
        <f>IF(OR($AS441="",$C$6=""),"",TRIM(INDEX($A:$AP,ROW(),$C$6)&amp;""))</f>
        <v/>
      </c>
      <c r="BA441" s="31">
        <f>IF($AZ441="","",IF(COUNTIF($AZ$8:$AZ441,$AZ441)&gt;1,1,0))</f>
        <v/>
      </c>
    </row>
    <row r="442">
      <c r="AR442" s="31">
        <f>IF(OR($A$5="",$B$6="",ROW()&lt;$A$5),"",IF(INDEX($A:$AP,ROW(),$B$6)="","",INDEX($A:$AP,ROW(),$B$6)))</f>
        <v/>
      </c>
      <c r="AS442" s="32">
        <f>IF($AR442="","",IF(ISNUMBER($AR442),IF($AR442&gt;=10000000,IFERROR(DATE(INT($AR442/10000),MOD(INT($AR442/100),100),MOD($AR442,100)),""),INT($AR442)),IFERROR(DATE(--LEFT(LEFT(SUBSTITUTE(SUBSTITUTE(SUBSTITUTE(SUBSTITUTE(TRIM($AR442),"-",""),".",""),"/","")," ",""),8),4),--MID(LEFT(SUBSTITUTE(SUBSTITUTE(SUBSTITUTE(SUBSTITUTE(TRIM($AR442),"-",""),".",""),"/","")," ",""),8),5,2),--MID(LEFT(SUBSTITUTE(SUBSTITUTE(SUBSTITUTE(SUBSTITUTE(TRIM($AR442),"-",""),".",""),"/","")," ",""),8),7,2)),"")))</f>
        <v/>
      </c>
      <c r="AT442" s="33">
        <f>IF($AS442="","",IF($F$6="",0,IF(ISNUMBER(INDEX($A:$AP,ROW(),$F$6)),INDEX($A:$AP,ROW(),$F$6),IFERROR(--SUBSTITUTE(SUBSTITUTE(TRIM(INDEX($A:$AP,ROW(),$F$6)),",",""),"원",""),0))))</f>
        <v/>
      </c>
      <c r="AU442" s="31">
        <f>IF($AS442="","",IF($AX442&lt;&gt;"",SUBSTITUTE(SUBSTITUTE($AX442,"-","")," ",""),"N:"&amp;$AV442))</f>
        <v/>
      </c>
      <c r="AV442" s="31">
        <f>IF(OR($AS442="",$E$6=""),"",TRIM(INDEX($A:$AP,ROW(),$E$6)&amp;""))</f>
        <v/>
      </c>
      <c r="AW442" s="31">
        <f>IF($AU442="","",IF(MATCH($AU442,$AU$8:$AU$2007,0)=ROW()-7,MAX($AW$7:$AW441)+1,""))</f>
        <v/>
      </c>
      <c r="AX442" s="31">
        <f>IF(OR($AS442="",$D$6=""),"",TRIM(INDEX($A:$AP,ROW(),$D$6)&amp;""))</f>
        <v/>
      </c>
      <c r="AY442" s="31">
        <f>IF($AU442="","",INDEX($AW$8:$AW$2007,MATCH($AU442,$AU$8:$AU$2007,0)))</f>
        <v/>
      </c>
      <c r="AZ442" s="31">
        <f>IF(OR($AS442="",$C$6=""),"",TRIM(INDEX($A:$AP,ROW(),$C$6)&amp;""))</f>
        <v/>
      </c>
      <c r="BA442" s="31">
        <f>IF($AZ442="","",IF(COUNTIF($AZ$8:$AZ442,$AZ442)&gt;1,1,0))</f>
        <v/>
      </c>
    </row>
    <row r="443">
      <c r="AR443" s="31">
        <f>IF(OR($A$5="",$B$6="",ROW()&lt;$A$5),"",IF(INDEX($A:$AP,ROW(),$B$6)="","",INDEX($A:$AP,ROW(),$B$6)))</f>
        <v/>
      </c>
      <c r="AS443" s="32">
        <f>IF($AR443="","",IF(ISNUMBER($AR443),IF($AR443&gt;=10000000,IFERROR(DATE(INT($AR443/10000),MOD(INT($AR443/100),100),MOD($AR443,100)),""),INT($AR443)),IFERROR(DATE(--LEFT(LEFT(SUBSTITUTE(SUBSTITUTE(SUBSTITUTE(SUBSTITUTE(TRIM($AR443),"-",""),".",""),"/","")," ",""),8),4),--MID(LEFT(SUBSTITUTE(SUBSTITUTE(SUBSTITUTE(SUBSTITUTE(TRIM($AR443),"-",""),".",""),"/","")," ",""),8),5,2),--MID(LEFT(SUBSTITUTE(SUBSTITUTE(SUBSTITUTE(SUBSTITUTE(TRIM($AR443),"-",""),".",""),"/","")," ",""),8),7,2)),"")))</f>
        <v/>
      </c>
      <c r="AT443" s="33">
        <f>IF($AS443="","",IF($F$6="",0,IF(ISNUMBER(INDEX($A:$AP,ROW(),$F$6)),INDEX($A:$AP,ROW(),$F$6),IFERROR(--SUBSTITUTE(SUBSTITUTE(TRIM(INDEX($A:$AP,ROW(),$F$6)),",",""),"원",""),0))))</f>
        <v/>
      </c>
      <c r="AU443" s="31">
        <f>IF($AS443="","",IF($AX443&lt;&gt;"",SUBSTITUTE(SUBSTITUTE($AX443,"-","")," ",""),"N:"&amp;$AV443))</f>
        <v/>
      </c>
      <c r="AV443" s="31">
        <f>IF(OR($AS443="",$E$6=""),"",TRIM(INDEX($A:$AP,ROW(),$E$6)&amp;""))</f>
        <v/>
      </c>
      <c r="AW443" s="31">
        <f>IF($AU443="","",IF(MATCH($AU443,$AU$8:$AU$2007,0)=ROW()-7,MAX($AW$7:$AW442)+1,""))</f>
        <v/>
      </c>
      <c r="AX443" s="31">
        <f>IF(OR($AS443="",$D$6=""),"",TRIM(INDEX($A:$AP,ROW(),$D$6)&amp;""))</f>
        <v/>
      </c>
      <c r="AY443" s="31">
        <f>IF($AU443="","",INDEX($AW$8:$AW$2007,MATCH($AU443,$AU$8:$AU$2007,0)))</f>
        <v/>
      </c>
      <c r="AZ443" s="31">
        <f>IF(OR($AS443="",$C$6=""),"",TRIM(INDEX($A:$AP,ROW(),$C$6)&amp;""))</f>
        <v/>
      </c>
      <c r="BA443" s="31">
        <f>IF($AZ443="","",IF(COUNTIF($AZ$8:$AZ443,$AZ443)&gt;1,1,0))</f>
        <v/>
      </c>
    </row>
    <row r="444">
      <c r="AR444" s="31">
        <f>IF(OR($A$5="",$B$6="",ROW()&lt;$A$5),"",IF(INDEX($A:$AP,ROW(),$B$6)="","",INDEX($A:$AP,ROW(),$B$6)))</f>
        <v/>
      </c>
      <c r="AS444" s="32">
        <f>IF($AR444="","",IF(ISNUMBER($AR444),IF($AR444&gt;=10000000,IFERROR(DATE(INT($AR444/10000),MOD(INT($AR444/100),100),MOD($AR444,100)),""),INT($AR444)),IFERROR(DATE(--LEFT(LEFT(SUBSTITUTE(SUBSTITUTE(SUBSTITUTE(SUBSTITUTE(TRIM($AR444),"-",""),".",""),"/","")," ",""),8),4),--MID(LEFT(SUBSTITUTE(SUBSTITUTE(SUBSTITUTE(SUBSTITUTE(TRIM($AR444),"-",""),".",""),"/","")," ",""),8),5,2),--MID(LEFT(SUBSTITUTE(SUBSTITUTE(SUBSTITUTE(SUBSTITUTE(TRIM($AR444),"-",""),".",""),"/","")," ",""),8),7,2)),"")))</f>
        <v/>
      </c>
      <c r="AT444" s="33">
        <f>IF($AS444="","",IF($F$6="",0,IF(ISNUMBER(INDEX($A:$AP,ROW(),$F$6)),INDEX($A:$AP,ROW(),$F$6),IFERROR(--SUBSTITUTE(SUBSTITUTE(TRIM(INDEX($A:$AP,ROW(),$F$6)),",",""),"원",""),0))))</f>
        <v/>
      </c>
      <c r="AU444" s="31">
        <f>IF($AS444="","",IF($AX444&lt;&gt;"",SUBSTITUTE(SUBSTITUTE($AX444,"-","")," ",""),"N:"&amp;$AV444))</f>
        <v/>
      </c>
      <c r="AV444" s="31">
        <f>IF(OR($AS444="",$E$6=""),"",TRIM(INDEX($A:$AP,ROW(),$E$6)&amp;""))</f>
        <v/>
      </c>
      <c r="AW444" s="31">
        <f>IF($AU444="","",IF(MATCH($AU444,$AU$8:$AU$2007,0)=ROW()-7,MAX($AW$7:$AW443)+1,""))</f>
        <v/>
      </c>
      <c r="AX444" s="31">
        <f>IF(OR($AS444="",$D$6=""),"",TRIM(INDEX($A:$AP,ROW(),$D$6)&amp;""))</f>
        <v/>
      </c>
      <c r="AY444" s="31">
        <f>IF($AU444="","",INDEX($AW$8:$AW$2007,MATCH($AU444,$AU$8:$AU$2007,0)))</f>
        <v/>
      </c>
      <c r="AZ444" s="31">
        <f>IF(OR($AS444="",$C$6=""),"",TRIM(INDEX($A:$AP,ROW(),$C$6)&amp;""))</f>
        <v/>
      </c>
      <c r="BA444" s="31">
        <f>IF($AZ444="","",IF(COUNTIF($AZ$8:$AZ444,$AZ444)&gt;1,1,0))</f>
        <v/>
      </c>
    </row>
    <row r="445">
      <c r="AR445" s="31">
        <f>IF(OR($A$5="",$B$6="",ROW()&lt;$A$5),"",IF(INDEX($A:$AP,ROW(),$B$6)="","",INDEX($A:$AP,ROW(),$B$6)))</f>
        <v/>
      </c>
      <c r="AS445" s="32">
        <f>IF($AR445="","",IF(ISNUMBER($AR445),IF($AR445&gt;=10000000,IFERROR(DATE(INT($AR445/10000),MOD(INT($AR445/100),100),MOD($AR445,100)),""),INT($AR445)),IFERROR(DATE(--LEFT(LEFT(SUBSTITUTE(SUBSTITUTE(SUBSTITUTE(SUBSTITUTE(TRIM($AR445),"-",""),".",""),"/","")," ",""),8),4),--MID(LEFT(SUBSTITUTE(SUBSTITUTE(SUBSTITUTE(SUBSTITUTE(TRIM($AR445),"-",""),".",""),"/","")," ",""),8),5,2),--MID(LEFT(SUBSTITUTE(SUBSTITUTE(SUBSTITUTE(SUBSTITUTE(TRIM($AR445),"-",""),".",""),"/","")," ",""),8),7,2)),"")))</f>
        <v/>
      </c>
      <c r="AT445" s="33">
        <f>IF($AS445="","",IF($F$6="",0,IF(ISNUMBER(INDEX($A:$AP,ROW(),$F$6)),INDEX($A:$AP,ROW(),$F$6),IFERROR(--SUBSTITUTE(SUBSTITUTE(TRIM(INDEX($A:$AP,ROW(),$F$6)),",",""),"원",""),0))))</f>
        <v/>
      </c>
      <c r="AU445" s="31">
        <f>IF($AS445="","",IF($AX445&lt;&gt;"",SUBSTITUTE(SUBSTITUTE($AX445,"-","")," ",""),"N:"&amp;$AV445))</f>
        <v/>
      </c>
      <c r="AV445" s="31">
        <f>IF(OR($AS445="",$E$6=""),"",TRIM(INDEX($A:$AP,ROW(),$E$6)&amp;""))</f>
        <v/>
      </c>
      <c r="AW445" s="31">
        <f>IF($AU445="","",IF(MATCH($AU445,$AU$8:$AU$2007,0)=ROW()-7,MAX($AW$7:$AW444)+1,""))</f>
        <v/>
      </c>
      <c r="AX445" s="31">
        <f>IF(OR($AS445="",$D$6=""),"",TRIM(INDEX($A:$AP,ROW(),$D$6)&amp;""))</f>
        <v/>
      </c>
      <c r="AY445" s="31">
        <f>IF($AU445="","",INDEX($AW$8:$AW$2007,MATCH($AU445,$AU$8:$AU$2007,0)))</f>
        <v/>
      </c>
      <c r="AZ445" s="31">
        <f>IF(OR($AS445="",$C$6=""),"",TRIM(INDEX($A:$AP,ROW(),$C$6)&amp;""))</f>
        <v/>
      </c>
      <c r="BA445" s="31">
        <f>IF($AZ445="","",IF(COUNTIF($AZ$8:$AZ445,$AZ445)&gt;1,1,0))</f>
        <v/>
      </c>
    </row>
    <row r="446">
      <c r="AR446" s="31">
        <f>IF(OR($A$5="",$B$6="",ROW()&lt;$A$5),"",IF(INDEX($A:$AP,ROW(),$B$6)="","",INDEX($A:$AP,ROW(),$B$6)))</f>
        <v/>
      </c>
      <c r="AS446" s="32">
        <f>IF($AR446="","",IF(ISNUMBER($AR446),IF($AR446&gt;=10000000,IFERROR(DATE(INT($AR446/10000),MOD(INT($AR446/100),100),MOD($AR446,100)),""),INT($AR446)),IFERROR(DATE(--LEFT(LEFT(SUBSTITUTE(SUBSTITUTE(SUBSTITUTE(SUBSTITUTE(TRIM($AR446),"-",""),".",""),"/","")," ",""),8),4),--MID(LEFT(SUBSTITUTE(SUBSTITUTE(SUBSTITUTE(SUBSTITUTE(TRIM($AR446),"-",""),".",""),"/","")," ",""),8),5,2),--MID(LEFT(SUBSTITUTE(SUBSTITUTE(SUBSTITUTE(SUBSTITUTE(TRIM($AR446),"-",""),".",""),"/","")," ",""),8),7,2)),"")))</f>
        <v/>
      </c>
      <c r="AT446" s="33">
        <f>IF($AS446="","",IF($F$6="",0,IF(ISNUMBER(INDEX($A:$AP,ROW(),$F$6)),INDEX($A:$AP,ROW(),$F$6),IFERROR(--SUBSTITUTE(SUBSTITUTE(TRIM(INDEX($A:$AP,ROW(),$F$6)),",",""),"원",""),0))))</f>
        <v/>
      </c>
      <c r="AU446" s="31">
        <f>IF($AS446="","",IF($AX446&lt;&gt;"",SUBSTITUTE(SUBSTITUTE($AX446,"-","")," ",""),"N:"&amp;$AV446))</f>
        <v/>
      </c>
      <c r="AV446" s="31">
        <f>IF(OR($AS446="",$E$6=""),"",TRIM(INDEX($A:$AP,ROW(),$E$6)&amp;""))</f>
        <v/>
      </c>
      <c r="AW446" s="31">
        <f>IF($AU446="","",IF(MATCH($AU446,$AU$8:$AU$2007,0)=ROW()-7,MAX($AW$7:$AW445)+1,""))</f>
        <v/>
      </c>
      <c r="AX446" s="31">
        <f>IF(OR($AS446="",$D$6=""),"",TRIM(INDEX($A:$AP,ROW(),$D$6)&amp;""))</f>
        <v/>
      </c>
      <c r="AY446" s="31">
        <f>IF($AU446="","",INDEX($AW$8:$AW$2007,MATCH($AU446,$AU$8:$AU$2007,0)))</f>
        <v/>
      </c>
      <c r="AZ446" s="31">
        <f>IF(OR($AS446="",$C$6=""),"",TRIM(INDEX($A:$AP,ROW(),$C$6)&amp;""))</f>
        <v/>
      </c>
      <c r="BA446" s="31">
        <f>IF($AZ446="","",IF(COUNTIF($AZ$8:$AZ446,$AZ446)&gt;1,1,0))</f>
        <v/>
      </c>
    </row>
    <row r="447">
      <c r="AR447" s="31">
        <f>IF(OR($A$5="",$B$6="",ROW()&lt;$A$5),"",IF(INDEX($A:$AP,ROW(),$B$6)="","",INDEX($A:$AP,ROW(),$B$6)))</f>
        <v/>
      </c>
      <c r="AS447" s="32">
        <f>IF($AR447="","",IF(ISNUMBER($AR447),IF($AR447&gt;=10000000,IFERROR(DATE(INT($AR447/10000),MOD(INT($AR447/100),100),MOD($AR447,100)),""),INT($AR447)),IFERROR(DATE(--LEFT(LEFT(SUBSTITUTE(SUBSTITUTE(SUBSTITUTE(SUBSTITUTE(TRIM($AR447),"-",""),".",""),"/","")," ",""),8),4),--MID(LEFT(SUBSTITUTE(SUBSTITUTE(SUBSTITUTE(SUBSTITUTE(TRIM($AR447),"-",""),".",""),"/","")," ",""),8),5,2),--MID(LEFT(SUBSTITUTE(SUBSTITUTE(SUBSTITUTE(SUBSTITUTE(TRIM($AR447),"-",""),".",""),"/","")," ",""),8),7,2)),"")))</f>
        <v/>
      </c>
      <c r="AT447" s="33">
        <f>IF($AS447="","",IF($F$6="",0,IF(ISNUMBER(INDEX($A:$AP,ROW(),$F$6)),INDEX($A:$AP,ROW(),$F$6),IFERROR(--SUBSTITUTE(SUBSTITUTE(TRIM(INDEX($A:$AP,ROW(),$F$6)),",",""),"원",""),0))))</f>
        <v/>
      </c>
      <c r="AU447" s="31">
        <f>IF($AS447="","",IF($AX447&lt;&gt;"",SUBSTITUTE(SUBSTITUTE($AX447,"-","")," ",""),"N:"&amp;$AV447))</f>
        <v/>
      </c>
      <c r="AV447" s="31">
        <f>IF(OR($AS447="",$E$6=""),"",TRIM(INDEX($A:$AP,ROW(),$E$6)&amp;""))</f>
        <v/>
      </c>
      <c r="AW447" s="31">
        <f>IF($AU447="","",IF(MATCH($AU447,$AU$8:$AU$2007,0)=ROW()-7,MAX($AW$7:$AW446)+1,""))</f>
        <v/>
      </c>
      <c r="AX447" s="31">
        <f>IF(OR($AS447="",$D$6=""),"",TRIM(INDEX($A:$AP,ROW(),$D$6)&amp;""))</f>
        <v/>
      </c>
      <c r="AY447" s="31">
        <f>IF($AU447="","",INDEX($AW$8:$AW$2007,MATCH($AU447,$AU$8:$AU$2007,0)))</f>
        <v/>
      </c>
      <c r="AZ447" s="31">
        <f>IF(OR($AS447="",$C$6=""),"",TRIM(INDEX($A:$AP,ROW(),$C$6)&amp;""))</f>
        <v/>
      </c>
      <c r="BA447" s="31">
        <f>IF($AZ447="","",IF(COUNTIF($AZ$8:$AZ447,$AZ447)&gt;1,1,0))</f>
        <v/>
      </c>
    </row>
    <row r="448">
      <c r="AR448" s="31">
        <f>IF(OR($A$5="",$B$6="",ROW()&lt;$A$5),"",IF(INDEX($A:$AP,ROW(),$B$6)="","",INDEX($A:$AP,ROW(),$B$6)))</f>
        <v/>
      </c>
      <c r="AS448" s="32">
        <f>IF($AR448="","",IF(ISNUMBER($AR448),IF($AR448&gt;=10000000,IFERROR(DATE(INT($AR448/10000),MOD(INT($AR448/100),100),MOD($AR448,100)),""),INT($AR448)),IFERROR(DATE(--LEFT(LEFT(SUBSTITUTE(SUBSTITUTE(SUBSTITUTE(SUBSTITUTE(TRIM($AR448),"-",""),".",""),"/","")," ",""),8),4),--MID(LEFT(SUBSTITUTE(SUBSTITUTE(SUBSTITUTE(SUBSTITUTE(TRIM($AR448),"-",""),".",""),"/","")," ",""),8),5,2),--MID(LEFT(SUBSTITUTE(SUBSTITUTE(SUBSTITUTE(SUBSTITUTE(TRIM($AR448),"-",""),".",""),"/","")," ",""),8),7,2)),"")))</f>
        <v/>
      </c>
      <c r="AT448" s="33">
        <f>IF($AS448="","",IF($F$6="",0,IF(ISNUMBER(INDEX($A:$AP,ROW(),$F$6)),INDEX($A:$AP,ROW(),$F$6),IFERROR(--SUBSTITUTE(SUBSTITUTE(TRIM(INDEX($A:$AP,ROW(),$F$6)),",",""),"원",""),0))))</f>
        <v/>
      </c>
      <c r="AU448" s="31">
        <f>IF($AS448="","",IF($AX448&lt;&gt;"",SUBSTITUTE(SUBSTITUTE($AX448,"-","")," ",""),"N:"&amp;$AV448))</f>
        <v/>
      </c>
      <c r="AV448" s="31">
        <f>IF(OR($AS448="",$E$6=""),"",TRIM(INDEX($A:$AP,ROW(),$E$6)&amp;""))</f>
        <v/>
      </c>
      <c r="AW448" s="31">
        <f>IF($AU448="","",IF(MATCH($AU448,$AU$8:$AU$2007,0)=ROW()-7,MAX($AW$7:$AW447)+1,""))</f>
        <v/>
      </c>
      <c r="AX448" s="31">
        <f>IF(OR($AS448="",$D$6=""),"",TRIM(INDEX($A:$AP,ROW(),$D$6)&amp;""))</f>
        <v/>
      </c>
      <c r="AY448" s="31">
        <f>IF($AU448="","",INDEX($AW$8:$AW$2007,MATCH($AU448,$AU$8:$AU$2007,0)))</f>
        <v/>
      </c>
      <c r="AZ448" s="31">
        <f>IF(OR($AS448="",$C$6=""),"",TRIM(INDEX($A:$AP,ROW(),$C$6)&amp;""))</f>
        <v/>
      </c>
      <c r="BA448" s="31">
        <f>IF($AZ448="","",IF(COUNTIF($AZ$8:$AZ448,$AZ448)&gt;1,1,0))</f>
        <v/>
      </c>
    </row>
    <row r="449">
      <c r="AR449" s="31">
        <f>IF(OR($A$5="",$B$6="",ROW()&lt;$A$5),"",IF(INDEX($A:$AP,ROW(),$B$6)="","",INDEX($A:$AP,ROW(),$B$6)))</f>
        <v/>
      </c>
      <c r="AS449" s="32">
        <f>IF($AR449="","",IF(ISNUMBER($AR449),IF($AR449&gt;=10000000,IFERROR(DATE(INT($AR449/10000),MOD(INT($AR449/100),100),MOD($AR449,100)),""),INT($AR449)),IFERROR(DATE(--LEFT(LEFT(SUBSTITUTE(SUBSTITUTE(SUBSTITUTE(SUBSTITUTE(TRIM($AR449),"-",""),".",""),"/","")," ",""),8),4),--MID(LEFT(SUBSTITUTE(SUBSTITUTE(SUBSTITUTE(SUBSTITUTE(TRIM($AR449),"-",""),".",""),"/","")," ",""),8),5,2),--MID(LEFT(SUBSTITUTE(SUBSTITUTE(SUBSTITUTE(SUBSTITUTE(TRIM($AR449),"-",""),".",""),"/","")," ",""),8),7,2)),"")))</f>
        <v/>
      </c>
      <c r="AT449" s="33">
        <f>IF($AS449="","",IF($F$6="",0,IF(ISNUMBER(INDEX($A:$AP,ROW(),$F$6)),INDEX($A:$AP,ROW(),$F$6),IFERROR(--SUBSTITUTE(SUBSTITUTE(TRIM(INDEX($A:$AP,ROW(),$F$6)),",",""),"원",""),0))))</f>
        <v/>
      </c>
      <c r="AU449" s="31">
        <f>IF($AS449="","",IF($AX449&lt;&gt;"",SUBSTITUTE(SUBSTITUTE($AX449,"-","")," ",""),"N:"&amp;$AV449))</f>
        <v/>
      </c>
      <c r="AV449" s="31">
        <f>IF(OR($AS449="",$E$6=""),"",TRIM(INDEX($A:$AP,ROW(),$E$6)&amp;""))</f>
        <v/>
      </c>
      <c r="AW449" s="31">
        <f>IF($AU449="","",IF(MATCH($AU449,$AU$8:$AU$2007,0)=ROW()-7,MAX($AW$7:$AW448)+1,""))</f>
        <v/>
      </c>
      <c r="AX449" s="31">
        <f>IF(OR($AS449="",$D$6=""),"",TRIM(INDEX($A:$AP,ROW(),$D$6)&amp;""))</f>
        <v/>
      </c>
      <c r="AY449" s="31">
        <f>IF($AU449="","",INDEX($AW$8:$AW$2007,MATCH($AU449,$AU$8:$AU$2007,0)))</f>
        <v/>
      </c>
      <c r="AZ449" s="31">
        <f>IF(OR($AS449="",$C$6=""),"",TRIM(INDEX($A:$AP,ROW(),$C$6)&amp;""))</f>
        <v/>
      </c>
      <c r="BA449" s="31">
        <f>IF($AZ449="","",IF(COUNTIF($AZ$8:$AZ449,$AZ449)&gt;1,1,0))</f>
        <v/>
      </c>
    </row>
    <row r="450">
      <c r="AR450" s="31">
        <f>IF(OR($A$5="",$B$6="",ROW()&lt;$A$5),"",IF(INDEX($A:$AP,ROW(),$B$6)="","",INDEX($A:$AP,ROW(),$B$6)))</f>
        <v/>
      </c>
      <c r="AS450" s="32">
        <f>IF($AR450="","",IF(ISNUMBER($AR450),IF($AR450&gt;=10000000,IFERROR(DATE(INT($AR450/10000),MOD(INT($AR450/100),100),MOD($AR450,100)),""),INT($AR450)),IFERROR(DATE(--LEFT(LEFT(SUBSTITUTE(SUBSTITUTE(SUBSTITUTE(SUBSTITUTE(TRIM($AR450),"-",""),".",""),"/","")," ",""),8),4),--MID(LEFT(SUBSTITUTE(SUBSTITUTE(SUBSTITUTE(SUBSTITUTE(TRIM($AR450),"-",""),".",""),"/","")," ",""),8),5,2),--MID(LEFT(SUBSTITUTE(SUBSTITUTE(SUBSTITUTE(SUBSTITUTE(TRIM($AR450),"-",""),".",""),"/","")," ",""),8),7,2)),"")))</f>
        <v/>
      </c>
      <c r="AT450" s="33">
        <f>IF($AS450="","",IF($F$6="",0,IF(ISNUMBER(INDEX($A:$AP,ROW(),$F$6)),INDEX($A:$AP,ROW(),$F$6),IFERROR(--SUBSTITUTE(SUBSTITUTE(TRIM(INDEX($A:$AP,ROW(),$F$6)),",",""),"원",""),0))))</f>
        <v/>
      </c>
      <c r="AU450" s="31">
        <f>IF($AS450="","",IF($AX450&lt;&gt;"",SUBSTITUTE(SUBSTITUTE($AX450,"-","")," ",""),"N:"&amp;$AV450))</f>
        <v/>
      </c>
      <c r="AV450" s="31">
        <f>IF(OR($AS450="",$E$6=""),"",TRIM(INDEX($A:$AP,ROW(),$E$6)&amp;""))</f>
        <v/>
      </c>
      <c r="AW450" s="31">
        <f>IF($AU450="","",IF(MATCH($AU450,$AU$8:$AU$2007,0)=ROW()-7,MAX($AW$7:$AW449)+1,""))</f>
        <v/>
      </c>
      <c r="AX450" s="31">
        <f>IF(OR($AS450="",$D$6=""),"",TRIM(INDEX($A:$AP,ROW(),$D$6)&amp;""))</f>
        <v/>
      </c>
      <c r="AY450" s="31">
        <f>IF($AU450="","",INDEX($AW$8:$AW$2007,MATCH($AU450,$AU$8:$AU$2007,0)))</f>
        <v/>
      </c>
      <c r="AZ450" s="31">
        <f>IF(OR($AS450="",$C$6=""),"",TRIM(INDEX($A:$AP,ROW(),$C$6)&amp;""))</f>
        <v/>
      </c>
      <c r="BA450" s="31">
        <f>IF($AZ450="","",IF(COUNTIF($AZ$8:$AZ450,$AZ450)&gt;1,1,0))</f>
        <v/>
      </c>
    </row>
    <row r="451">
      <c r="AR451" s="31">
        <f>IF(OR($A$5="",$B$6="",ROW()&lt;$A$5),"",IF(INDEX($A:$AP,ROW(),$B$6)="","",INDEX($A:$AP,ROW(),$B$6)))</f>
        <v/>
      </c>
      <c r="AS451" s="32">
        <f>IF($AR451="","",IF(ISNUMBER($AR451),IF($AR451&gt;=10000000,IFERROR(DATE(INT($AR451/10000),MOD(INT($AR451/100),100),MOD($AR451,100)),""),INT($AR451)),IFERROR(DATE(--LEFT(LEFT(SUBSTITUTE(SUBSTITUTE(SUBSTITUTE(SUBSTITUTE(TRIM($AR451),"-",""),".",""),"/","")," ",""),8),4),--MID(LEFT(SUBSTITUTE(SUBSTITUTE(SUBSTITUTE(SUBSTITUTE(TRIM($AR451),"-",""),".",""),"/","")," ",""),8),5,2),--MID(LEFT(SUBSTITUTE(SUBSTITUTE(SUBSTITUTE(SUBSTITUTE(TRIM($AR451),"-",""),".",""),"/","")," ",""),8),7,2)),"")))</f>
        <v/>
      </c>
      <c r="AT451" s="33">
        <f>IF($AS451="","",IF($F$6="",0,IF(ISNUMBER(INDEX($A:$AP,ROW(),$F$6)),INDEX($A:$AP,ROW(),$F$6),IFERROR(--SUBSTITUTE(SUBSTITUTE(TRIM(INDEX($A:$AP,ROW(),$F$6)),",",""),"원",""),0))))</f>
        <v/>
      </c>
      <c r="AU451" s="31">
        <f>IF($AS451="","",IF($AX451&lt;&gt;"",SUBSTITUTE(SUBSTITUTE($AX451,"-","")," ",""),"N:"&amp;$AV451))</f>
        <v/>
      </c>
      <c r="AV451" s="31">
        <f>IF(OR($AS451="",$E$6=""),"",TRIM(INDEX($A:$AP,ROW(),$E$6)&amp;""))</f>
        <v/>
      </c>
      <c r="AW451" s="31">
        <f>IF($AU451="","",IF(MATCH($AU451,$AU$8:$AU$2007,0)=ROW()-7,MAX($AW$7:$AW450)+1,""))</f>
        <v/>
      </c>
      <c r="AX451" s="31">
        <f>IF(OR($AS451="",$D$6=""),"",TRIM(INDEX($A:$AP,ROW(),$D$6)&amp;""))</f>
        <v/>
      </c>
      <c r="AY451" s="31">
        <f>IF($AU451="","",INDEX($AW$8:$AW$2007,MATCH($AU451,$AU$8:$AU$2007,0)))</f>
        <v/>
      </c>
      <c r="AZ451" s="31">
        <f>IF(OR($AS451="",$C$6=""),"",TRIM(INDEX($A:$AP,ROW(),$C$6)&amp;""))</f>
        <v/>
      </c>
      <c r="BA451" s="31">
        <f>IF($AZ451="","",IF(COUNTIF($AZ$8:$AZ451,$AZ451)&gt;1,1,0))</f>
        <v/>
      </c>
    </row>
    <row r="452">
      <c r="AR452" s="31">
        <f>IF(OR($A$5="",$B$6="",ROW()&lt;$A$5),"",IF(INDEX($A:$AP,ROW(),$B$6)="","",INDEX($A:$AP,ROW(),$B$6)))</f>
        <v/>
      </c>
      <c r="AS452" s="32">
        <f>IF($AR452="","",IF(ISNUMBER($AR452),IF($AR452&gt;=10000000,IFERROR(DATE(INT($AR452/10000),MOD(INT($AR452/100),100),MOD($AR452,100)),""),INT($AR452)),IFERROR(DATE(--LEFT(LEFT(SUBSTITUTE(SUBSTITUTE(SUBSTITUTE(SUBSTITUTE(TRIM($AR452),"-",""),".",""),"/","")," ",""),8),4),--MID(LEFT(SUBSTITUTE(SUBSTITUTE(SUBSTITUTE(SUBSTITUTE(TRIM($AR452),"-",""),".",""),"/","")," ",""),8),5,2),--MID(LEFT(SUBSTITUTE(SUBSTITUTE(SUBSTITUTE(SUBSTITUTE(TRIM($AR452),"-",""),".",""),"/","")," ",""),8),7,2)),"")))</f>
        <v/>
      </c>
      <c r="AT452" s="33">
        <f>IF($AS452="","",IF($F$6="",0,IF(ISNUMBER(INDEX($A:$AP,ROW(),$F$6)),INDEX($A:$AP,ROW(),$F$6),IFERROR(--SUBSTITUTE(SUBSTITUTE(TRIM(INDEX($A:$AP,ROW(),$F$6)),",",""),"원",""),0))))</f>
        <v/>
      </c>
      <c r="AU452" s="31">
        <f>IF($AS452="","",IF($AX452&lt;&gt;"",SUBSTITUTE(SUBSTITUTE($AX452,"-","")," ",""),"N:"&amp;$AV452))</f>
        <v/>
      </c>
      <c r="AV452" s="31">
        <f>IF(OR($AS452="",$E$6=""),"",TRIM(INDEX($A:$AP,ROW(),$E$6)&amp;""))</f>
        <v/>
      </c>
      <c r="AW452" s="31">
        <f>IF($AU452="","",IF(MATCH($AU452,$AU$8:$AU$2007,0)=ROW()-7,MAX($AW$7:$AW451)+1,""))</f>
        <v/>
      </c>
      <c r="AX452" s="31">
        <f>IF(OR($AS452="",$D$6=""),"",TRIM(INDEX($A:$AP,ROW(),$D$6)&amp;""))</f>
        <v/>
      </c>
      <c r="AY452" s="31">
        <f>IF($AU452="","",INDEX($AW$8:$AW$2007,MATCH($AU452,$AU$8:$AU$2007,0)))</f>
        <v/>
      </c>
      <c r="AZ452" s="31">
        <f>IF(OR($AS452="",$C$6=""),"",TRIM(INDEX($A:$AP,ROW(),$C$6)&amp;""))</f>
        <v/>
      </c>
      <c r="BA452" s="31">
        <f>IF($AZ452="","",IF(COUNTIF($AZ$8:$AZ452,$AZ452)&gt;1,1,0))</f>
        <v/>
      </c>
    </row>
    <row r="453">
      <c r="AR453" s="31">
        <f>IF(OR($A$5="",$B$6="",ROW()&lt;$A$5),"",IF(INDEX($A:$AP,ROW(),$B$6)="","",INDEX($A:$AP,ROW(),$B$6)))</f>
        <v/>
      </c>
      <c r="AS453" s="32">
        <f>IF($AR453="","",IF(ISNUMBER($AR453),IF($AR453&gt;=10000000,IFERROR(DATE(INT($AR453/10000),MOD(INT($AR453/100),100),MOD($AR453,100)),""),INT($AR453)),IFERROR(DATE(--LEFT(LEFT(SUBSTITUTE(SUBSTITUTE(SUBSTITUTE(SUBSTITUTE(TRIM($AR453),"-",""),".",""),"/","")," ",""),8),4),--MID(LEFT(SUBSTITUTE(SUBSTITUTE(SUBSTITUTE(SUBSTITUTE(TRIM($AR453),"-",""),".",""),"/","")," ",""),8),5,2),--MID(LEFT(SUBSTITUTE(SUBSTITUTE(SUBSTITUTE(SUBSTITUTE(TRIM($AR453),"-",""),".",""),"/","")," ",""),8),7,2)),"")))</f>
        <v/>
      </c>
      <c r="AT453" s="33">
        <f>IF($AS453="","",IF($F$6="",0,IF(ISNUMBER(INDEX($A:$AP,ROW(),$F$6)),INDEX($A:$AP,ROW(),$F$6),IFERROR(--SUBSTITUTE(SUBSTITUTE(TRIM(INDEX($A:$AP,ROW(),$F$6)),",",""),"원",""),0))))</f>
        <v/>
      </c>
      <c r="AU453" s="31">
        <f>IF($AS453="","",IF($AX453&lt;&gt;"",SUBSTITUTE(SUBSTITUTE($AX453,"-","")," ",""),"N:"&amp;$AV453))</f>
        <v/>
      </c>
      <c r="AV453" s="31">
        <f>IF(OR($AS453="",$E$6=""),"",TRIM(INDEX($A:$AP,ROW(),$E$6)&amp;""))</f>
        <v/>
      </c>
      <c r="AW453" s="31">
        <f>IF($AU453="","",IF(MATCH($AU453,$AU$8:$AU$2007,0)=ROW()-7,MAX($AW$7:$AW452)+1,""))</f>
        <v/>
      </c>
      <c r="AX453" s="31">
        <f>IF(OR($AS453="",$D$6=""),"",TRIM(INDEX($A:$AP,ROW(),$D$6)&amp;""))</f>
        <v/>
      </c>
      <c r="AY453" s="31">
        <f>IF($AU453="","",INDEX($AW$8:$AW$2007,MATCH($AU453,$AU$8:$AU$2007,0)))</f>
        <v/>
      </c>
      <c r="AZ453" s="31">
        <f>IF(OR($AS453="",$C$6=""),"",TRIM(INDEX($A:$AP,ROW(),$C$6)&amp;""))</f>
        <v/>
      </c>
      <c r="BA453" s="31">
        <f>IF($AZ453="","",IF(COUNTIF($AZ$8:$AZ453,$AZ453)&gt;1,1,0))</f>
        <v/>
      </c>
    </row>
    <row r="454">
      <c r="AR454" s="31">
        <f>IF(OR($A$5="",$B$6="",ROW()&lt;$A$5),"",IF(INDEX($A:$AP,ROW(),$B$6)="","",INDEX($A:$AP,ROW(),$B$6)))</f>
        <v/>
      </c>
      <c r="AS454" s="32">
        <f>IF($AR454="","",IF(ISNUMBER($AR454),IF($AR454&gt;=10000000,IFERROR(DATE(INT($AR454/10000),MOD(INT($AR454/100),100),MOD($AR454,100)),""),INT($AR454)),IFERROR(DATE(--LEFT(LEFT(SUBSTITUTE(SUBSTITUTE(SUBSTITUTE(SUBSTITUTE(TRIM($AR454),"-",""),".",""),"/","")," ",""),8),4),--MID(LEFT(SUBSTITUTE(SUBSTITUTE(SUBSTITUTE(SUBSTITUTE(TRIM($AR454),"-",""),".",""),"/","")," ",""),8),5,2),--MID(LEFT(SUBSTITUTE(SUBSTITUTE(SUBSTITUTE(SUBSTITUTE(TRIM($AR454),"-",""),".",""),"/","")," ",""),8),7,2)),"")))</f>
        <v/>
      </c>
      <c r="AT454" s="33">
        <f>IF($AS454="","",IF($F$6="",0,IF(ISNUMBER(INDEX($A:$AP,ROW(),$F$6)),INDEX($A:$AP,ROW(),$F$6),IFERROR(--SUBSTITUTE(SUBSTITUTE(TRIM(INDEX($A:$AP,ROW(),$F$6)),",",""),"원",""),0))))</f>
        <v/>
      </c>
      <c r="AU454" s="31">
        <f>IF($AS454="","",IF($AX454&lt;&gt;"",SUBSTITUTE(SUBSTITUTE($AX454,"-","")," ",""),"N:"&amp;$AV454))</f>
        <v/>
      </c>
      <c r="AV454" s="31">
        <f>IF(OR($AS454="",$E$6=""),"",TRIM(INDEX($A:$AP,ROW(),$E$6)&amp;""))</f>
        <v/>
      </c>
      <c r="AW454" s="31">
        <f>IF($AU454="","",IF(MATCH($AU454,$AU$8:$AU$2007,0)=ROW()-7,MAX($AW$7:$AW453)+1,""))</f>
        <v/>
      </c>
      <c r="AX454" s="31">
        <f>IF(OR($AS454="",$D$6=""),"",TRIM(INDEX($A:$AP,ROW(),$D$6)&amp;""))</f>
        <v/>
      </c>
      <c r="AY454" s="31">
        <f>IF($AU454="","",INDEX($AW$8:$AW$2007,MATCH($AU454,$AU$8:$AU$2007,0)))</f>
        <v/>
      </c>
      <c r="AZ454" s="31">
        <f>IF(OR($AS454="",$C$6=""),"",TRIM(INDEX($A:$AP,ROW(),$C$6)&amp;""))</f>
        <v/>
      </c>
      <c r="BA454" s="31">
        <f>IF($AZ454="","",IF(COUNTIF($AZ$8:$AZ454,$AZ454)&gt;1,1,0))</f>
        <v/>
      </c>
    </row>
    <row r="455">
      <c r="AR455" s="31">
        <f>IF(OR($A$5="",$B$6="",ROW()&lt;$A$5),"",IF(INDEX($A:$AP,ROW(),$B$6)="","",INDEX($A:$AP,ROW(),$B$6)))</f>
        <v/>
      </c>
      <c r="AS455" s="32">
        <f>IF($AR455="","",IF(ISNUMBER($AR455),IF($AR455&gt;=10000000,IFERROR(DATE(INT($AR455/10000),MOD(INT($AR455/100),100),MOD($AR455,100)),""),INT($AR455)),IFERROR(DATE(--LEFT(LEFT(SUBSTITUTE(SUBSTITUTE(SUBSTITUTE(SUBSTITUTE(TRIM($AR455),"-",""),".",""),"/","")," ",""),8),4),--MID(LEFT(SUBSTITUTE(SUBSTITUTE(SUBSTITUTE(SUBSTITUTE(TRIM($AR455),"-",""),".",""),"/","")," ",""),8),5,2),--MID(LEFT(SUBSTITUTE(SUBSTITUTE(SUBSTITUTE(SUBSTITUTE(TRIM($AR455),"-",""),".",""),"/","")," ",""),8),7,2)),"")))</f>
        <v/>
      </c>
      <c r="AT455" s="33">
        <f>IF($AS455="","",IF($F$6="",0,IF(ISNUMBER(INDEX($A:$AP,ROW(),$F$6)),INDEX($A:$AP,ROW(),$F$6),IFERROR(--SUBSTITUTE(SUBSTITUTE(TRIM(INDEX($A:$AP,ROW(),$F$6)),",",""),"원",""),0))))</f>
        <v/>
      </c>
      <c r="AU455" s="31">
        <f>IF($AS455="","",IF($AX455&lt;&gt;"",SUBSTITUTE(SUBSTITUTE($AX455,"-","")," ",""),"N:"&amp;$AV455))</f>
        <v/>
      </c>
      <c r="AV455" s="31">
        <f>IF(OR($AS455="",$E$6=""),"",TRIM(INDEX($A:$AP,ROW(),$E$6)&amp;""))</f>
        <v/>
      </c>
      <c r="AW455" s="31">
        <f>IF($AU455="","",IF(MATCH($AU455,$AU$8:$AU$2007,0)=ROW()-7,MAX($AW$7:$AW454)+1,""))</f>
        <v/>
      </c>
      <c r="AX455" s="31">
        <f>IF(OR($AS455="",$D$6=""),"",TRIM(INDEX($A:$AP,ROW(),$D$6)&amp;""))</f>
        <v/>
      </c>
      <c r="AY455" s="31">
        <f>IF($AU455="","",INDEX($AW$8:$AW$2007,MATCH($AU455,$AU$8:$AU$2007,0)))</f>
        <v/>
      </c>
      <c r="AZ455" s="31">
        <f>IF(OR($AS455="",$C$6=""),"",TRIM(INDEX($A:$AP,ROW(),$C$6)&amp;""))</f>
        <v/>
      </c>
      <c r="BA455" s="31">
        <f>IF($AZ455="","",IF(COUNTIF($AZ$8:$AZ455,$AZ455)&gt;1,1,0))</f>
        <v/>
      </c>
    </row>
    <row r="456">
      <c r="AR456" s="31">
        <f>IF(OR($A$5="",$B$6="",ROW()&lt;$A$5),"",IF(INDEX($A:$AP,ROW(),$B$6)="","",INDEX($A:$AP,ROW(),$B$6)))</f>
        <v/>
      </c>
      <c r="AS456" s="32">
        <f>IF($AR456="","",IF(ISNUMBER($AR456),IF($AR456&gt;=10000000,IFERROR(DATE(INT($AR456/10000),MOD(INT($AR456/100),100),MOD($AR456,100)),""),INT($AR456)),IFERROR(DATE(--LEFT(LEFT(SUBSTITUTE(SUBSTITUTE(SUBSTITUTE(SUBSTITUTE(TRIM($AR456),"-",""),".",""),"/","")," ",""),8),4),--MID(LEFT(SUBSTITUTE(SUBSTITUTE(SUBSTITUTE(SUBSTITUTE(TRIM($AR456),"-",""),".",""),"/","")," ",""),8),5,2),--MID(LEFT(SUBSTITUTE(SUBSTITUTE(SUBSTITUTE(SUBSTITUTE(TRIM($AR456),"-",""),".",""),"/","")," ",""),8),7,2)),"")))</f>
        <v/>
      </c>
      <c r="AT456" s="33">
        <f>IF($AS456="","",IF($F$6="",0,IF(ISNUMBER(INDEX($A:$AP,ROW(),$F$6)),INDEX($A:$AP,ROW(),$F$6),IFERROR(--SUBSTITUTE(SUBSTITUTE(TRIM(INDEX($A:$AP,ROW(),$F$6)),",",""),"원",""),0))))</f>
        <v/>
      </c>
      <c r="AU456" s="31">
        <f>IF($AS456="","",IF($AX456&lt;&gt;"",SUBSTITUTE(SUBSTITUTE($AX456,"-","")," ",""),"N:"&amp;$AV456))</f>
        <v/>
      </c>
      <c r="AV456" s="31">
        <f>IF(OR($AS456="",$E$6=""),"",TRIM(INDEX($A:$AP,ROW(),$E$6)&amp;""))</f>
        <v/>
      </c>
      <c r="AW456" s="31">
        <f>IF($AU456="","",IF(MATCH($AU456,$AU$8:$AU$2007,0)=ROW()-7,MAX($AW$7:$AW455)+1,""))</f>
        <v/>
      </c>
      <c r="AX456" s="31">
        <f>IF(OR($AS456="",$D$6=""),"",TRIM(INDEX($A:$AP,ROW(),$D$6)&amp;""))</f>
        <v/>
      </c>
      <c r="AY456" s="31">
        <f>IF($AU456="","",INDEX($AW$8:$AW$2007,MATCH($AU456,$AU$8:$AU$2007,0)))</f>
        <v/>
      </c>
      <c r="AZ456" s="31">
        <f>IF(OR($AS456="",$C$6=""),"",TRIM(INDEX($A:$AP,ROW(),$C$6)&amp;""))</f>
        <v/>
      </c>
      <c r="BA456" s="31">
        <f>IF($AZ456="","",IF(COUNTIF($AZ$8:$AZ456,$AZ456)&gt;1,1,0))</f>
        <v/>
      </c>
    </row>
    <row r="457">
      <c r="AR457" s="31">
        <f>IF(OR($A$5="",$B$6="",ROW()&lt;$A$5),"",IF(INDEX($A:$AP,ROW(),$B$6)="","",INDEX($A:$AP,ROW(),$B$6)))</f>
        <v/>
      </c>
      <c r="AS457" s="32">
        <f>IF($AR457="","",IF(ISNUMBER($AR457),IF($AR457&gt;=10000000,IFERROR(DATE(INT($AR457/10000),MOD(INT($AR457/100),100),MOD($AR457,100)),""),INT($AR457)),IFERROR(DATE(--LEFT(LEFT(SUBSTITUTE(SUBSTITUTE(SUBSTITUTE(SUBSTITUTE(TRIM($AR457),"-",""),".",""),"/","")," ",""),8),4),--MID(LEFT(SUBSTITUTE(SUBSTITUTE(SUBSTITUTE(SUBSTITUTE(TRIM($AR457),"-",""),".",""),"/","")," ",""),8),5,2),--MID(LEFT(SUBSTITUTE(SUBSTITUTE(SUBSTITUTE(SUBSTITUTE(TRIM($AR457),"-",""),".",""),"/","")," ",""),8),7,2)),"")))</f>
        <v/>
      </c>
      <c r="AT457" s="33">
        <f>IF($AS457="","",IF($F$6="",0,IF(ISNUMBER(INDEX($A:$AP,ROW(),$F$6)),INDEX($A:$AP,ROW(),$F$6),IFERROR(--SUBSTITUTE(SUBSTITUTE(TRIM(INDEX($A:$AP,ROW(),$F$6)),",",""),"원",""),0))))</f>
        <v/>
      </c>
      <c r="AU457" s="31">
        <f>IF($AS457="","",IF($AX457&lt;&gt;"",SUBSTITUTE(SUBSTITUTE($AX457,"-","")," ",""),"N:"&amp;$AV457))</f>
        <v/>
      </c>
      <c r="AV457" s="31">
        <f>IF(OR($AS457="",$E$6=""),"",TRIM(INDEX($A:$AP,ROW(),$E$6)&amp;""))</f>
        <v/>
      </c>
      <c r="AW457" s="31">
        <f>IF($AU457="","",IF(MATCH($AU457,$AU$8:$AU$2007,0)=ROW()-7,MAX($AW$7:$AW456)+1,""))</f>
        <v/>
      </c>
      <c r="AX457" s="31">
        <f>IF(OR($AS457="",$D$6=""),"",TRIM(INDEX($A:$AP,ROW(),$D$6)&amp;""))</f>
        <v/>
      </c>
      <c r="AY457" s="31">
        <f>IF($AU457="","",INDEX($AW$8:$AW$2007,MATCH($AU457,$AU$8:$AU$2007,0)))</f>
        <v/>
      </c>
      <c r="AZ457" s="31">
        <f>IF(OR($AS457="",$C$6=""),"",TRIM(INDEX($A:$AP,ROW(),$C$6)&amp;""))</f>
        <v/>
      </c>
      <c r="BA457" s="31">
        <f>IF($AZ457="","",IF(COUNTIF($AZ$8:$AZ457,$AZ457)&gt;1,1,0))</f>
        <v/>
      </c>
    </row>
    <row r="458">
      <c r="AR458" s="31">
        <f>IF(OR($A$5="",$B$6="",ROW()&lt;$A$5),"",IF(INDEX($A:$AP,ROW(),$B$6)="","",INDEX($A:$AP,ROW(),$B$6)))</f>
        <v/>
      </c>
      <c r="AS458" s="32">
        <f>IF($AR458="","",IF(ISNUMBER($AR458),IF($AR458&gt;=10000000,IFERROR(DATE(INT($AR458/10000),MOD(INT($AR458/100),100),MOD($AR458,100)),""),INT($AR458)),IFERROR(DATE(--LEFT(LEFT(SUBSTITUTE(SUBSTITUTE(SUBSTITUTE(SUBSTITUTE(TRIM($AR458),"-",""),".",""),"/","")," ",""),8),4),--MID(LEFT(SUBSTITUTE(SUBSTITUTE(SUBSTITUTE(SUBSTITUTE(TRIM($AR458),"-",""),".",""),"/","")," ",""),8),5,2),--MID(LEFT(SUBSTITUTE(SUBSTITUTE(SUBSTITUTE(SUBSTITUTE(TRIM($AR458),"-",""),".",""),"/","")," ",""),8),7,2)),"")))</f>
        <v/>
      </c>
      <c r="AT458" s="33">
        <f>IF($AS458="","",IF($F$6="",0,IF(ISNUMBER(INDEX($A:$AP,ROW(),$F$6)),INDEX($A:$AP,ROW(),$F$6),IFERROR(--SUBSTITUTE(SUBSTITUTE(TRIM(INDEX($A:$AP,ROW(),$F$6)),",",""),"원",""),0))))</f>
        <v/>
      </c>
      <c r="AU458" s="31">
        <f>IF($AS458="","",IF($AX458&lt;&gt;"",SUBSTITUTE(SUBSTITUTE($AX458,"-","")," ",""),"N:"&amp;$AV458))</f>
        <v/>
      </c>
      <c r="AV458" s="31">
        <f>IF(OR($AS458="",$E$6=""),"",TRIM(INDEX($A:$AP,ROW(),$E$6)&amp;""))</f>
        <v/>
      </c>
      <c r="AW458" s="31">
        <f>IF($AU458="","",IF(MATCH($AU458,$AU$8:$AU$2007,0)=ROW()-7,MAX($AW$7:$AW457)+1,""))</f>
        <v/>
      </c>
      <c r="AX458" s="31">
        <f>IF(OR($AS458="",$D$6=""),"",TRIM(INDEX($A:$AP,ROW(),$D$6)&amp;""))</f>
        <v/>
      </c>
      <c r="AY458" s="31">
        <f>IF($AU458="","",INDEX($AW$8:$AW$2007,MATCH($AU458,$AU$8:$AU$2007,0)))</f>
        <v/>
      </c>
      <c r="AZ458" s="31">
        <f>IF(OR($AS458="",$C$6=""),"",TRIM(INDEX($A:$AP,ROW(),$C$6)&amp;""))</f>
        <v/>
      </c>
      <c r="BA458" s="31">
        <f>IF($AZ458="","",IF(COUNTIF($AZ$8:$AZ458,$AZ458)&gt;1,1,0))</f>
        <v/>
      </c>
    </row>
    <row r="459">
      <c r="AR459" s="31">
        <f>IF(OR($A$5="",$B$6="",ROW()&lt;$A$5),"",IF(INDEX($A:$AP,ROW(),$B$6)="","",INDEX($A:$AP,ROW(),$B$6)))</f>
        <v/>
      </c>
      <c r="AS459" s="32">
        <f>IF($AR459="","",IF(ISNUMBER($AR459),IF($AR459&gt;=10000000,IFERROR(DATE(INT($AR459/10000),MOD(INT($AR459/100),100),MOD($AR459,100)),""),INT($AR459)),IFERROR(DATE(--LEFT(LEFT(SUBSTITUTE(SUBSTITUTE(SUBSTITUTE(SUBSTITUTE(TRIM($AR459),"-",""),".",""),"/","")," ",""),8),4),--MID(LEFT(SUBSTITUTE(SUBSTITUTE(SUBSTITUTE(SUBSTITUTE(TRIM($AR459),"-",""),".",""),"/","")," ",""),8),5,2),--MID(LEFT(SUBSTITUTE(SUBSTITUTE(SUBSTITUTE(SUBSTITUTE(TRIM($AR459),"-",""),".",""),"/","")," ",""),8),7,2)),"")))</f>
        <v/>
      </c>
      <c r="AT459" s="33">
        <f>IF($AS459="","",IF($F$6="",0,IF(ISNUMBER(INDEX($A:$AP,ROW(),$F$6)),INDEX($A:$AP,ROW(),$F$6),IFERROR(--SUBSTITUTE(SUBSTITUTE(TRIM(INDEX($A:$AP,ROW(),$F$6)),",",""),"원",""),0))))</f>
        <v/>
      </c>
      <c r="AU459" s="31">
        <f>IF($AS459="","",IF($AX459&lt;&gt;"",SUBSTITUTE(SUBSTITUTE($AX459,"-","")," ",""),"N:"&amp;$AV459))</f>
        <v/>
      </c>
      <c r="AV459" s="31">
        <f>IF(OR($AS459="",$E$6=""),"",TRIM(INDEX($A:$AP,ROW(),$E$6)&amp;""))</f>
        <v/>
      </c>
      <c r="AW459" s="31">
        <f>IF($AU459="","",IF(MATCH($AU459,$AU$8:$AU$2007,0)=ROW()-7,MAX($AW$7:$AW458)+1,""))</f>
        <v/>
      </c>
      <c r="AX459" s="31">
        <f>IF(OR($AS459="",$D$6=""),"",TRIM(INDEX($A:$AP,ROW(),$D$6)&amp;""))</f>
        <v/>
      </c>
      <c r="AY459" s="31">
        <f>IF($AU459="","",INDEX($AW$8:$AW$2007,MATCH($AU459,$AU$8:$AU$2007,0)))</f>
        <v/>
      </c>
      <c r="AZ459" s="31">
        <f>IF(OR($AS459="",$C$6=""),"",TRIM(INDEX($A:$AP,ROW(),$C$6)&amp;""))</f>
        <v/>
      </c>
      <c r="BA459" s="31">
        <f>IF($AZ459="","",IF(COUNTIF($AZ$8:$AZ459,$AZ459)&gt;1,1,0))</f>
        <v/>
      </c>
    </row>
    <row r="460">
      <c r="AR460" s="31">
        <f>IF(OR($A$5="",$B$6="",ROW()&lt;$A$5),"",IF(INDEX($A:$AP,ROW(),$B$6)="","",INDEX($A:$AP,ROW(),$B$6)))</f>
        <v/>
      </c>
      <c r="AS460" s="32">
        <f>IF($AR460="","",IF(ISNUMBER($AR460),IF($AR460&gt;=10000000,IFERROR(DATE(INT($AR460/10000),MOD(INT($AR460/100),100),MOD($AR460,100)),""),INT($AR460)),IFERROR(DATE(--LEFT(LEFT(SUBSTITUTE(SUBSTITUTE(SUBSTITUTE(SUBSTITUTE(TRIM($AR460),"-",""),".",""),"/","")," ",""),8),4),--MID(LEFT(SUBSTITUTE(SUBSTITUTE(SUBSTITUTE(SUBSTITUTE(TRIM($AR460),"-",""),".",""),"/","")," ",""),8),5,2),--MID(LEFT(SUBSTITUTE(SUBSTITUTE(SUBSTITUTE(SUBSTITUTE(TRIM($AR460),"-",""),".",""),"/","")," ",""),8),7,2)),"")))</f>
        <v/>
      </c>
      <c r="AT460" s="33">
        <f>IF($AS460="","",IF($F$6="",0,IF(ISNUMBER(INDEX($A:$AP,ROW(),$F$6)),INDEX($A:$AP,ROW(),$F$6),IFERROR(--SUBSTITUTE(SUBSTITUTE(TRIM(INDEX($A:$AP,ROW(),$F$6)),",",""),"원",""),0))))</f>
        <v/>
      </c>
      <c r="AU460" s="31">
        <f>IF($AS460="","",IF($AX460&lt;&gt;"",SUBSTITUTE(SUBSTITUTE($AX460,"-","")," ",""),"N:"&amp;$AV460))</f>
        <v/>
      </c>
      <c r="AV460" s="31">
        <f>IF(OR($AS460="",$E$6=""),"",TRIM(INDEX($A:$AP,ROW(),$E$6)&amp;""))</f>
        <v/>
      </c>
      <c r="AW460" s="31">
        <f>IF($AU460="","",IF(MATCH($AU460,$AU$8:$AU$2007,0)=ROW()-7,MAX($AW$7:$AW459)+1,""))</f>
        <v/>
      </c>
      <c r="AX460" s="31">
        <f>IF(OR($AS460="",$D$6=""),"",TRIM(INDEX($A:$AP,ROW(),$D$6)&amp;""))</f>
        <v/>
      </c>
      <c r="AY460" s="31">
        <f>IF($AU460="","",INDEX($AW$8:$AW$2007,MATCH($AU460,$AU$8:$AU$2007,0)))</f>
        <v/>
      </c>
      <c r="AZ460" s="31">
        <f>IF(OR($AS460="",$C$6=""),"",TRIM(INDEX($A:$AP,ROW(),$C$6)&amp;""))</f>
        <v/>
      </c>
      <c r="BA460" s="31">
        <f>IF($AZ460="","",IF(COUNTIF($AZ$8:$AZ460,$AZ460)&gt;1,1,0))</f>
        <v/>
      </c>
    </row>
    <row r="461">
      <c r="AR461" s="31">
        <f>IF(OR($A$5="",$B$6="",ROW()&lt;$A$5),"",IF(INDEX($A:$AP,ROW(),$B$6)="","",INDEX($A:$AP,ROW(),$B$6)))</f>
        <v/>
      </c>
      <c r="AS461" s="32">
        <f>IF($AR461="","",IF(ISNUMBER($AR461),IF($AR461&gt;=10000000,IFERROR(DATE(INT($AR461/10000),MOD(INT($AR461/100),100),MOD($AR461,100)),""),INT($AR461)),IFERROR(DATE(--LEFT(LEFT(SUBSTITUTE(SUBSTITUTE(SUBSTITUTE(SUBSTITUTE(TRIM($AR461),"-",""),".",""),"/","")," ",""),8),4),--MID(LEFT(SUBSTITUTE(SUBSTITUTE(SUBSTITUTE(SUBSTITUTE(TRIM($AR461),"-",""),".",""),"/","")," ",""),8),5,2),--MID(LEFT(SUBSTITUTE(SUBSTITUTE(SUBSTITUTE(SUBSTITUTE(TRIM($AR461),"-",""),".",""),"/","")," ",""),8),7,2)),"")))</f>
        <v/>
      </c>
      <c r="AT461" s="33">
        <f>IF($AS461="","",IF($F$6="",0,IF(ISNUMBER(INDEX($A:$AP,ROW(),$F$6)),INDEX($A:$AP,ROW(),$F$6),IFERROR(--SUBSTITUTE(SUBSTITUTE(TRIM(INDEX($A:$AP,ROW(),$F$6)),",",""),"원",""),0))))</f>
        <v/>
      </c>
      <c r="AU461" s="31">
        <f>IF($AS461="","",IF($AX461&lt;&gt;"",SUBSTITUTE(SUBSTITUTE($AX461,"-","")," ",""),"N:"&amp;$AV461))</f>
        <v/>
      </c>
      <c r="AV461" s="31">
        <f>IF(OR($AS461="",$E$6=""),"",TRIM(INDEX($A:$AP,ROW(),$E$6)&amp;""))</f>
        <v/>
      </c>
      <c r="AW461" s="31">
        <f>IF($AU461="","",IF(MATCH($AU461,$AU$8:$AU$2007,0)=ROW()-7,MAX($AW$7:$AW460)+1,""))</f>
        <v/>
      </c>
      <c r="AX461" s="31">
        <f>IF(OR($AS461="",$D$6=""),"",TRIM(INDEX($A:$AP,ROW(),$D$6)&amp;""))</f>
        <v/>
      </c>
      <c r="AY461" s="31">
        <f>IF($AU461="","",INDEX($AW$8:$AW$2007,MATCH($AU461,$AU$8:$AU$2007,0)))</f>
        <v/>
      </c>
      <c r="AZ461" s="31">
        <f>IF(OR($AS461="",$C$6=""),"",TRIM(INDEX($A:$AP,ROW(),$C$6)&amp;""))</f>
        <v/>
      </c>
      <c r="BA461" s="31">
        <f>IF($AZ461="","",IF(COUNTIF($AZ$8:$AZ461,$AZ461)&gt;1,1,0))</f>
        <v/>
      </c>
    </row>
    <row r="462">
      <c r="AR462" s="31">
        <f>IF(OR($A$5="",$B$6="",ROW()&lt;$A$5),"",IF(INDEX($A:$AP,ROW(),$B$6)="","",INDEX($A:$AP,ROW(),$B$6)))</f>
        <v/>
      </c>
      <c r="AS462" s="32">
        <f>IF($AR462="","",IF(ISNUMBER($AR462),IF($AR462&gt;=10000000,IFERROR(DATE(INT($AR462/10000),MOD(INT($AR462/100),100),MOD($AR462,100)),""),INT($AR462)),IFERROR(DATE(--LEFT(LEFT(SUBSTITUTE(SUBSTITUTE(SUBSTITUTE(SUBSTITUTE(TRIM($AR462),"-",""),".",""),"/","")," ",""),8),4),--MID(LEFT(SUBSTITUTE(SUBSTITUTE(SUBSTITUTE(SUBSTITUTE(TRIM($AR462),"-",""),".",""),"/","")," ",""),8),5,2),--MID(LEFT(SUBSTITUTE(SUBSTITUTE(SUBSTITUTE(SUBSTITUTE(TRIM($AR462),"-",""),".",""),"/","")," ",""),8),7,2)),"")))</f>
        <v/>
      </c>
      <c r="AT462" s="33">
        <f>IF($AS462="","",IF($F$6="",0,IF(ISNUMBER(INDEX($A:$AP,ROW(),$F$6)),INDEX($A:$AP,ROW(),$F$6),IFERROR(--SUBSTITUTE(SUBSTITUTE(TRIM(INDEX($A:$AP,ROW(),$F$6)),",",""),"원",""),0))))</f>
        <v/>
      </c>
      <c r="AU462" s="31">
        <f>IF($AS462="","",IF($AX462&lt;&gt;"",SUBSTITUTE(SUBSTITUTE($AX462,"-","")," ",""),"N:"&amp;$AV462))</f>
        <v/>
      </c>
      <c r="AV462" s="31">
        <f>IF(OR($AS462="",$E$6=""),"",TRIM(INDEX($A:$AP,ROW(),$E$6)&amp;""))</f>
        <v/>
      </c>
      <c r="AW462" s="31">
        <f>IF($AU462="","",IF(MATCH($AU462,$AU$8:$AU$2007,0)=ROW()-7,MAX($AW$7:$AW461)+1,""))</f>
        <v/>
      </c>
      <c r="AX462" s="31">
        <f>IF(OR($AS462="",$D$6=""),"",TRIM(INDEX($A:$AP,ROW(),$D$6)&amp;""))</f>
        <v/>
      </c>
      <c r="AY462" s="31">
        <f>IF($AU462="","",INDEX($AW$8:$AW$2007,MATCH($AU462,$AU$8:$AU$2007,0)))</f>
        <v/>
      </c>
      <c r="AZ462" s="31">
        <f>IF(OR($AS462="",$C$6=""),"",TRIM(INDEX($A:$AP,ROW(),$C$6)&amp;""))</f>
        <v/>
      </c>
      <c r="BA462" s="31">
        <f>IF($AZ462="","",IF(COUNTIF($AZ$8:$AZ462,$AZ462)&gt;1,1,0))</f>
        <v/>
      </c>
    </row>
    <row r="463">
      <c r="AR463" s="31">
        <f>IF(OR($A$5="",$B$6="",ROW()&lt;$A$5),"",IF(INDEX($A:$AP,ROW(),$B$6)="","",INDEX($A:$AP,ROW(),$B$6)))</f>
        <v/>
      </c>
      <c r="AS463" s="32">
        <f>IF($AR463="","",IF(ISNUMBER($AR463),IF($AR463&gt;=10000000,IFERROR(DATE(INT($AR463/10000),MOD(INT($AR463/100),100),MOD($AR463,100)),""),INT($AR463)),IFERROR(DATE(--LEFT(LEFT(SUBSTITUTE(SUBSTITUTE(SUBSTITUTE(SUBSTITUTE(TRIM($AR463),"-",""),".",""),"/","")," ",""),8),4),--MID(LEFT(SUBSTITUTE(SUBSTITUTE(SUBSTITUTE(SUBSTITUTE(TRIM($AR463),"-",""),".",""),"/","")," ",""),8),5,2),--MID(LEFT(SUBSTITUTE(SUBSTITUTE(SUBSTITUTE(SUBSTITUTE(TRIM($AR463),"-",""),".",""),"/","")," ",""),8),7,2)),"")))</f>
        <v/>
      </c>
      <c r="AT463" s="33">
        <f>IF($AS463="","",IF($F$6="",0,IF(ISNUMBER(INDEX($A:$AP,ROW(),$F$6)),INDEX($A:$AP,ROW(),$F$6),IFERROR(--SUBSTITUTE(SUBSTITUTE(TRIM(INDEX($A:$AP,ROW(),$F$6)),",",""),"원",""),0))))</f>
        <v/>
      </c>
      <c r="AU463" s="31">
        <f>IF($AS463="","",IF($AX463&lt;&gt;"",SUBSTITUTE(SUBSTITUTE($AX463,"-","")," ",""),"N:"&amp;$AV463))</f>
        <v/>
      </c>
      <c r="AV463" s="31">
        <f>IF(OR($AS463="",$E$6=""),"",TRIM(INDEX($A:$AP,ROW(),$E$6)&amp;""))</f>
        <v/>
      </c>
      <c r="AW463" s="31">
        <f>IF($AU463="","",IF(MATCH($AU463,$AU$8:$AU$2007,0)=ROW()-7,MAX($AW$7:$AW462)+1,""))</f>
        <v/>
      </c>
      <c r="AX463" s="31">
        <f>IF(OR($AS463="",$D$6=""),"",TRIM(INDEX($A:$AP,ROW(),$D$6)&amp;""))</f>
        <v/>
      </c>
      <c r="AY463" s="31">
        <f>IF($AU463="","",INDEX($AW$8:$AW$2007,MATCH($AU463,$AU$8:$AU$2007,0)))</f>
        <v/>
      </c>
      <c r="AZ463" s="31">
        <f>IF(OR($AS463="",$C$6=""),"",TRIM(INDEX($A:$AP,ROW(),$C$6)&amp;""))</f>
        <v/>
      </c>
      <c r="BA463" s="31">
        <f>IF($AZ463="","",IF(COUNTIF($AZ$8:$AZ463,$AZ463)&gt;1,1,0))</f>
        <v/>
      </c>
    </row>
    <row r="464">
      <c r="AR464" s="31">
        <f>IF(OR($A$5="",$B$6="",ROW()&lt;$A$5),"",IF(INDEX($A:$AP,ROW(),$B$6)="","",INDEX($A:$AP,ROW(),$B$6)))</f>
        <v/>
      </c>
      <c r="AS464" s="32">
        <f>IF($AR464="","",IF(ISNUMBER($AR464),IF($AR464&gt;=10000000,IFERROR(DATE(INT($AR464/10000),MOD(INT($AR464/100),100),MOD($AR464,100)),""),INT($AR464)),IFERROR(DATE(--LEFT(LEFT(SUBSTITUTE(SUBSTITUTE(SUBSTITUTE(SUBSTITUTE(TRIM($AR464),"-",""),".",""),"/","")," ",""),8),4),--MID(LEFT(SUBSTITUTE(SUBSTITUTE(SUBSTITUTE(SUBSTITUTE(TRIM($AR464),"-",""),".",""),"/","")," ",""),8),5,2),--MID(LEFT(SUBSTITUTE(SUBSTITUTE(SUBSTITUTE(SUBSTITUTE(TRIM($AR464),"-",""),".",""),"/","")," ",""),8),7,2)),"")))</f>
        <v/>
      </c>
      <c r="AT464" s="33">
        <f>IF($AS464="","",IF($F$6="",0,IF(ISNUMBER(INDEX($A:$AP,ROW(),$F$6)),INDEX($A:$AP,ROW(),$F$6),IFERROR(--SUBSTITUTE(SUBSTITUTE(TRIM(INDEX($A:$AP,ROW(),$F$6)),",",""),"원",""),0))))</f>
        <v/>
      </c>
      <c r="AU464" s="31">
        <f>IF($AS464="","",IF($AX464&lt;&gt;"",SUBSTITUTE(SUBSTITUTE($AX464,"-","")," ",""),"N:"&amp;$AV464))</f>
        <v/>
      </c>
      <c r="AV464" s="31">
        <f>IF(OR($AS464="",$E$6=""),"",TRIM(INDEX($A:$AP,ROW(),$E$6)&amp;""))</f>
        <v/>
      </c>
      <c r="AW464" s="31">
        <f>IF($AU464="","",IF(MATCH($AU464,$AU$8:$AU$2007,0)=ROW()-7,MAX($AW$7:$AW463)+1,""))</f>
        <v/>
      </c>
      <c r="AX464" s="31">
        <f>IF(OR($AS464="",$D$6=""),"",TRIM(INDEX($A:$AP,ROW(),$D$6)&amp;""))</f>
        <v/>
      </c>
      <c r="AY464" s="31">
        <f>IF($AU464="","",INDEX($AW$8:$AW$2007,MATCH($AU464,$AU$8:$AU$2007,0)))</f>
        <v/>
      </c>
      <c r="AZ464" s="31">
        <f>IF(OR($AS464="",$C$6=""),"",TRIM(INDEX($A:$AP,ROW(),$C$6)&amp;""))</f>
        <v/>
      </c>
      <c r="BA464" s="31">
        <f>IF($AZ464="","",IF(COUNTIF($AZ$8:$AZ464,$AZ464)&gt;1,1,0))</f>
        <v/>
      </c>
    </row>
    <row r="465">
      <c r="AR465" s="31">
        <f>IF(OR($A$5="",$B$6="",ROW()&lt;$A$5),"",IF(INDEX($A:$AP,ROW(),$B$6)="","",INDEX($A:$AP,ROW(),$B$6)))</f>
        <v/>
      </c>
      <c r="AS465" s="32">
        <f>IF($AR465="","",IF(ISNUMBER($AR465),IF($AR465&gt;=10000000,IFERROR(DATE(INT($AR465/10000),MOD(INT($AR465/100),100),MOD($AR465,100)),""),INT($AR465)),IFERROR(DATE(--LEFT(LEFT(SUBSTITUTE(SUBSTITUTE(SUBSTITUTE(SUBSTITUTE(TRIM($AR465),"-",""),".",""),"/","")," ",""),8),4),--MID(LEFT(SUBSTITUTE(SUBSTITUTE(SUBSTITUTE(SUBSTITUTE(TRIM($AR465),"-",""),".",""),"/","")," ",""),8),5,2),--MID(LEFT(SUBSTITUTE(SUBSTITUTE(SUBSTITUTE(SUBSTITUTE(TRIM($AR465),"-",""),".",""),"/","")," ",""),8),7,2)),"")))</f>
        <v/>
      </c>
      <c r="AT465" s="33">
        <f>IF($AS465="","",IF($F$6="",0,IF(ISNUMBER(INDEX($A:$AP,ROW(),$F$6)),INDEX($A:$AP,ROW(),$F$6),IFERROR(--SUBSTITUTE(SUBSTITUTE(TRIM(INDEX($A:$AP,ROW(),$F$6)),",",""),"원",""),0))))</f>
        <v/>
      </c>
      <c r="AU465" s="31">
        <f>IF($AS465="","",IF($AX465&lt;&gt;"",SUBSTITUTE(SUBSTITUTE($AX465,"-","")," ",""),"N:"&amp;$AV465))</f>
        <v/>
      </c>
      <c r="AV465" s="31">
        <f>IF(OR($AS465="",$E$6=""),"",TRIM(INDEX($A:$AP,ROW(),$E$6)&amp;""))</f>
        <v/>
      </c>
      <c r="AW465" s="31">
        <f>IF($AU465="","",IF(MATCH($AU465,$AU$8:$AU$2007,0)=ROW()-7,MAX($AW$7:$AW464)+1,""))</f>
        <v/>
      </c>
      <c r="AX465" s="31">
        <f>IF(OR($AS465="",$D$6=""),"",TRIM(INDEX($A:$AP,ROW(),$D$6)&amp;""))</f>
        <v/>
      </c>
      <c r="AY465" s="31">
        <f>IF($AU465="","",INDEX($AW$8:$AW$2007,MATCH($AU465,$AU$8:$AU$2007,0)))</f>
        <v/>
      </c>
      <c r="AZ465" s="31">
        <f>IF(OR($AS465="",$C$6=""),"",TRIM(INDEX($A:$AP,ROW(),$C$6)&amp;""))</f>
        <v/>
      </c>
      <c r="BA465" s="31">
        <f>IF($AZ465="","",IF(COUNTIF($AZ$8:$AZ465,$AZ465)&gt;1,1,0))</f>
        <v/>
      </c>
    </row>
    <row r="466">
      <c r="AR466" s="31">
        <f>IF(OR($A$5="",$B$6="",ROW()&lt;$A$5),"",IF(INDEX($A:$AP,ROW(),$B$6)="","",INDEX($A:$AP,ROW(),$B$6)))</f>
        <v/>
      </c>
      <c r="AS466" s="32">
        <f>IF($AR466="","",IF(ISNUMBER($AR466),IF($AR466&gt;=10000000,IFERROR(DATE(INT($AR466/10000),MOD(INT($AR466/100),100),MOD($AR466,100)),""),INT($AR466)),IFERROR(DATE(--LEFT(LEFT(SUBSTITUTE(SUBSTITUTE(SUBSTITUTE(SUBSTITUTE(TRIM($AR466),"-",""),".",""),"/","")," ",""),8),4),--MID(LEFT(SUBSTITUTE(SUBSTITUTE(SUBSTITUTE(SUBSTITUTE(TRIM($AR466),"-",""),".",""),"/","")," ",""),8),5,2),--MID(LEFT(SUBSTITUTE(SUBSTITUTE(SUBSTITUTE(SUBSTITUTE(TRIM($AR466),"-",""),".",""),"/","")," ",""),8),7,2)),"")))</f>
        <v/>
      </c>
      <c r="AT466" s="33">
        <f>IF($AS466="","",IF($F$6="",0,IF(ISNUMBER(INDEX($A:$AP,ROW(),$F$6)),INDEX($A:$AP,ROW(),$F$6),IFERROR(--SUBSTITUTE(SUBSTITUTE(TRIM(INDEX($A:$AP,ROW(),$F$6)),",",""),"원",""),0))))</f>
        <v/>
      </c>
      <c r="AU466" s="31">
        <f>IF($AS466="","",IF($AX466&lt;&gt;"",SUBSTITUTE(SUBSTITUTE($AX466,"-","")," ",""),"N:"&amp;$AV466))</f>
        <v/>
      </c>
      <c r="AV466" s="31">
        <f>IF(OR($AS466="",$E$6=""),"",TRIM(INDEX($A:$AP,ROW(),$E$6)&amp;""))</f>
        <v/>
      </c>
      <c r="AW466" s="31">
        <f>IF($AU466="","",IF(MATCH($AU466,$AU$8:$AU$2007,0)=ROW()-7,MAX($AW$7:$AW465)+1,""))</f>
        <v/>
      </c>
      <c r="AX466" s="31">
        <f>IF(OR($AS466="",$D$6=""),"",TRIM(INDEX($A:$AP,ROW(),$D$6)&amp;""))</f>
        <v/>
      </c>
      <c r="AY466" s="31">
        <f>IF($AU466="","",INDEX($AW$8:$AW$2007,MATCH($AU466,$AU$8:$AU$2007,0)))</f>
        <v/>
      </c>
      <c r="AZ466" s="31">
        <f>IF(OR($AS466="",$C$6=""),"",TRIM(INDEX($A:$AP,ROW(),$C$6)&amp;""))</f>
        <v/>
      </c>
      <c r="BA466" s="31">
        <f>IF($AZ466="","",IF(COUNTIF($AZ$8:$AZ466,$AZ466)&gt;1,1,0))</f>
        <v/>
      </c>
    </row>
    <row r="467">
      <c r="AR467" s="31">
        <f>IF(OR($A$5="",$B$6="",ROW()&lt;$A$5),"",IF(INDEX($A:$AP,ROW(),$B$6)="","",INDEX($A:$AP,ROW(),$B$6)))</f>
        <v/>
      </c>
      <c r="AS467" s="32">
        <f>IF($AR467="","",IF(ISNUMBER($AR467),IF($AR467&gt;=10000000,IFERROR(DATE(INT($AR467/10000),MOD(INT($AR467/100),100),MOD($AR467,100)),""),INT($AR467)),IFERROR(DATE(--LEFT(LEFT(SUBSTITUTE(SUBSTITUTE(SUBSTITUTE(SUBSTITUTE(TRIM($AR467),"-",""),".",""),"/","")," ",""),8),4),--MID(LEFT(SUBSTITUTE(SUBSTITUTE(SUBSTITUTE(SUBSTITUTE(TRIM($AR467),"-",""),".",""),"/","")," ",""),8),5,2),--MID(LEFT(SUBSTITUTE(SUBSTITUTE(SUBSTITUTE(SUBSTITUTE(TRIM($AR467),"-",""),".",""),"/","")," ",""),8),7,2)),"")))</f>
        <v/>
      </c>
      <c r="AT467" s="33">
        <f>IF($AS467="","",IF($F$6="",0,IF(ISNUMBER(INDEX($A:$AP,ROW(),$F$6)),INDEX($A:$AP,ROW(),$F$6),IFERROR(--SUBSTITUTE(SUBSTITUTE(TRIM(INDEX($A:$AP,ROW(),$F$6)),",",""),"원",""),0))))</f>
        <v/>
      </c>
      <c r="AU467" s="31">
        <f>IF($AS467="","",IF($AX467&lt;&gt;"",SUBSTITUTE(SUBSTITUTE($AX467,"-","")," ",""),"N:"&amp;$AV467))</f>
        <v/>
      </c>
      <c r="AV467" s="31">
        <f>IF(OR($AS467="",$E$6=""),"",TRIM(INDEX($A:$AP,ROW(),$E$6)&amp;""))</f>
        <v/>
      </c>
      <c r="AW467" s="31">
        <f>IF($AU467="","",IF(MATCH($AU467,$AU$8:$AU$2007,0)=ROW()-7,MAX($AW$7:$AW466)+1,""))</f>
        <v/>
      </c>
      <c r="AX467" s="31">
        <f>IF(OR($AS467="",$D$6=""),"",TRIM(INDEX($A:$AP,ROW(),$D$6)&amp;""))</f>
        <v/>
      </c>
      <c r="AY467" s="31">
        <f>IF($AU467="","",INDEX($AW$8:$AW$2007,MATCH($AU467,$AU$8:$AU$2007,0)))</f>
        <v/>
      </c>
      <c r="AZ467" s="31">
        <f>IF(OR($AS467="",$C$6=""),"",TRIM(INDEX($A:$AP,ROW(),$C$6)&amp;""))</f>
        <v/>
      </c>
      <c r="BA467" s="31">
        <f>IF($AZ467="","",IF(COUNTIF($AZ$8:$AZ467,$AZ467)&gt;1,1,0))</f>
        <v/>
      </c>
    </row>
    <row r="468">
      <c r="AR468" s="31">
        <f>IF(OR($A$5="",$B$6="",ROW()&lt;$A$5),"",IF(INDEX($A:$AP,ROW(),$B$6)="","",INDEX($A:$AP,ROW(),$B$6)))</f>
        <v/>
      </c>
      <c r="AS468" s="32">
        <f>IF($AR468="","",IF(ISNUMBER($AR468),IF($AR468&gt;=10000000,IFERROR(DATE(INT($AR468/10000),MOD(INT($AR468/100),100),MOD($AR468,100)),""),INT($AR468)),IFERROR(DATE(--LEFT(LEFT(SUBSTITUTE(SUBSTITUTE(SUBSTITUTE(SUBSTITUTE(TRIM($AR468),"-",""),".",""),"/","")," ",""),8),4),--MID(LEFT(SUBSTITUTE(SUBSTITUTE(SUBSTITUTE(SUBSTITUTE(TRIM($AR468),"-",""),".",""),"/","")," ",""),8),5,2),--MID(LEFT(SUBSTITUTE(SUBSTITUTE(SUBSTITUTE(SUBSTITUTE(TRIM($AR468),"-",""),".",""),"/","")," ",""),8),7,2)),"")))</f>
        <v/>
      </c>
      <c r="AT468" s="33">
        <f>IF($AS468="","",IF($F$6="",0,IF(ISNUMBER(INDEX($A:$AP,ROW(),$F$6)),INDEX($A:$AP,ROW(),$F$6),IFERROR(--SUBSTITUTE(SUBSTITUTE(TRIM(INDEX($A:$AP,ROW(),$F$6)),",",""),"원",""),0))))</f>
        <v/>
      </c>
      <c r="AU468" s="31">
        <f>IF($AS468="","",IF($AX468&lt;&gt;"",SUBSTITUTE(SUBSTITUTE($AX468,"-","")," ",""),"N:"&amp;$AV468))</f>
        <v/>
      </c>
      <c r="AV468" s="31">
        <f>IF(OR($AS468="",$E$6=""),"",TRIM(INDEX($A:$AP,ROW(),$E$6)&amp;""))</f>
        <v/>
      </c>
      <c r="AW468" s="31">
        <f>IF($AU468="","",IF(MATCH($AU468,$AU$8:$AU$2007,0)=ROW()-7,MAX($AW$7:$AW467)+1,""))</f>
        <v/>
      </c>
      <c r="AX468" s="31">
        <f>IF(OR($AS468="",$D$6=""),"",TRIM(INDEX($A:$AP,ROW(),$D$6)&amp;""))</f>
        <v/>
      </c>
      <c r="AY468" s="31">
        <f>IF($AU468="","",INDEX($AW$8:$AW$2007,MATCH($AU468,$AU$8:$AU$2007,0)))</f>
        <v/>
      </c>
      <c r="AZ468" s="31">
        <f>IF(OR($AS468="",$C$6=""),"",TRIM(INDEX($A:$AP,ROW(),$C$6)&amp;""))</f>
        <v/>
      </c>
      <c r="BA468" s="31">
        <f>IF($AZ468="","",IF(COUNTIF($AZ$8:$AZ468,$AZ468)&gt;1,1,0))</f>
        <v/>
      </c>
    </row>
    <row r="469">
      <c r="AR469" s="31">
        <f>IF(OR($A$5="",$B$6="",ROW()&lt;$A$5),"",IF(INDEX($A:$AP,ROW(),$B$6)="","",INDEX($A:$AP,ROW(),$B$6)))</f>
        <v/>
      </c>
      <c r="AS469" s="32">
        <f>IF($AR469="","",IF(ISNUMBER($AR469),IF($AR469&gt;=10000000,IFERROR(DATE(INT($AR469/10000),MOD(INT($AR469/100),100),MOD($AR469,100)),""),INT($AR469)),IFERROR(DATE(--LEFT(LEFT(SUBSTITUTE(SUBSTITUTE(SUBSTITUTE(SUBSTITUTE(TRIM($AR469),"-",""),".",""),"/","")," ",""),8),4),--MID(LEFT(SUBSTITUTE(SUBSTITUTE(SUBSTITUTE(SUBSTITUTE(TRIM($AR469),"-",""),".",""),"/","")," ",""),8),5,2),--MID(LEFT(SUBSTITUTE(SUBSTITUTE(SUBSTITUTE(SUBSTITUTE(TRIM($AR469),"-",""),".",""),"/","")," ",""),8),7,2)),"")))</f>
        <v/>
      </c>
      <c r="AT469" s="33">
        <f>IF($AS469="","",IF($F$6="",0,IF(ISNUMBER(INDEX($A:$AP,ROW(),$F$6)),INDEX($A:$AP,ROW(),$F$6),IFERROR(--SUBSTITUTE(SUBSTITUTE(TRIM(INDEX($A:$AP,ROW(),$F$6)),",",""),"원",""),0))))</f>
        <v/>
      </c>
      <c r="AU469" s="31">
        <f>IF($AS469="","",IF($AX469&lt;&gt;"",SUBSTITUTE(SUBSTITUTE($AX469,"-","")," ",""),"N:"&amp;$AV469))</f>
        <v/>
      </c>
      <c r="AV469" s="31">
        <f>IF(OR($AS469="",$E$6=""),"",TRIM(INDEX($A:$AP,ROW(),$E$6)&amp;""))</f>
        <v/>
      </c>
      <c r="AW469" s="31">
        <f>IF($AU469="","",IF(MATCH($AU469,$AU$8:$AU$2007,0)=ROW()-7,MAX($AW$7:$AW468)+1,""))</f>
        <v/>
      </c>
      <c r="AX469" s="31">
        <f>IF(OR($AS469="",$D$6=""),"",TRIM(INDEX($A:$AP,ROW(),$D$6)&amp;""))</f>
        <v/>
      </c>
      <c r="AY469" s="31">
        <f>IF($AU469="","",INDEX($AW$8:$AW$2007,MATCH($AU469,$AU$8:$AU$2007,0)))</f>
        <v/>
      </c>
      <c r="AZ469" s="31">
        <f>IF(OR($AS469="",$C$6=""),"",TRIM(INDEX($A:$AP,ROW(),$C$6)&amp;""))</f>
        <v/>
      </c>
      <c r="BA469" s="31">
        <f>IF($AZ469="","",IF(COUNTIF($AZ$8:$AZ469,$AZ469)&gt;1,1,0))</f>
        <v/>
      </c>
    </row>
    <row r="470">
      <c r="AR470" s="31">
        <f>IF(OR($A$5="",$B$6="",ROW()&lt;$A$5),"",IF(INDEX($A:$AP,ROW(),$B$6)="","",INDEX($A:$AP,ROW(),$B$6)))</f>
        <v/>
      </c>
      <c r="AS470" s="32">
        <f>IF($AR470="","",IF(ISNUMBER($AR470),IF($AR470&gt;=10000000,IFERROR(DATE(INT($AR470/10000),MOD(INT($AR470/100),100),MOD($AR470,100)),""),INT($AR470)),IFERROR(DATE(--LEFT(LEFT(SUBSTITUTE(SUBSTITUTE(SUBSTITUTE(SUBSTITUTE(TRIM($AR470),"-",""),".",""),"/","")," ",""),8),4),--MID(LEFT(SUBSTITUTE(SUBSTITUTE(SUBSTITUTE(SUBSTITUTE(TRIM($AR470),"-",""),".",""),"/","")," ",""),8),5,2),--MID(LEFT(SUBSTITUTE(SUBSTITUTE(SUBSTITUTE(SUBSTITUTE(TRIM($AR470),"-",""),".",""),"/","")," ",""),8),7,2)),"")))</f>
        <v/>
      </c>
      <c r="AT470" s="33">
        <f>IF($AS470="","",IF($F$6="",0,IF(ISNUMBER(INDEX($A:$AP,ROW(),$F$6)),INDEX($A:$AP,ROW(),$F$6),IFERROR(--SUBSTITUTE(SUBSTITUTE(TRIM(INDEX($A:$AP,ROW(),$F$6)),",",""),"원",""),0))))</f>
        <v/>
      </c>
      <c r="AU470" s="31">
        <f>IF($AS470="","",IF($AX470&lt;&gt;"",SUBSTITUTE(SUBSTITUTE($AX470,"-","")," ",""),"N:"&amp;$AV470))</f>
        <v/>
      </c>
      <c r="AV470" s="31">
        <f>IF(OR($AS470="",$E$6=""),"",TRIM(INDEX($A:$AP,ROW(),$E$6)&amp;""))</f>
        <v/>
      </c>
      <c r="AW470" s="31">
        <f>IF($AU470="","",IF(MATCH($AU470,$AU$8:$AU$2007,0)=ROW()-7,MAX($AW$7:$AW469)+1,""))</f>
        <v/>
      </c>
      <c r="AX470" s="31">
        <f>IF(OR($AS470="",$D$6=""),"",TRIM(INDEX($A:$AP,ROW(),$D$6)&amp;""))</f>
        <v/>
      </c>
      <c r="AY470" s="31">
        <f>IF($AU470="","",INDEX($AW$8:$AW$2007,MATCH($AU470,$AU$8:$AU$2007,0)))</f>
        <v/>
      </c>
      <c r="AZ470" s="31">
        <f>IF(OR($AS470="",$C$6=""),"",TRIM(INDEX($A:$AP,ROW(),$C$6)&amp;""))</f>
        <v/>
      </c>
      <c r="BA470" s="31">
        <f>IF($AZ470="","",IF(COUNTIF($AZ$8:$AZ470,$AZ470)&gt;1,1,0))</f>
        <v/>
      </c>
    </row>
    <row r="471">
      <c r="AR471" s="31">
        <f>IF(OR($A$5="",$B$6="",ROW()&lt;$A$5),"",IF(INDEX($A:$AP,ROW(),$B$6)="","",INDEX($A:$AP,ROW(),$B$6)))</f>
        <v/>
      </c>
      <c r="AS471" s="32">
        <f>IF($AR471="","",IF(ISNUMBER($AR471),IF($AR471&gt;=10000000,IFERROR(DATE(INT($AR471/10000),MOD(INT($AR471/100),100),MOD($AR471,100)),""),INT($AR471)),IFERROR(DATE(--LEFT(LEFT(SUBSTITUTE(SUBSTITUTE(SUBSTITUTE(SUBSTITUTE(TRIM($AR471),"-",""),".",""),"/","")," ",""),8),4),--MID(LEFT(SUBSTITUTE(SUBSTITUTE(SUBSTITUTE(SUBSTITUTE(TRIM($AR471),"-",""),".",""),"/","")," ",""),8),5,2),--MID(LEFT(SUBSTITUTE(SUBSTITUTE(SUBSTITUTE(SUBSTITUTE(TRIM($AR471),"-",""),".",""),"/","")," ",""),8),7,2)),"")))</f>
        <v/>
      </c>
      <c r="AT471" s="33">
        <f>IF($AS471="","",IF($F$6="",0,IF(ISNUMBER(INDEX($A:$AP,ROW(),$F$6)),INDEX($A:$AP,ROW(),$F$6),IFERROR(--SUBSTITUTE(SUBSTITUTE(TRIM(INDEX($A:$AP,ROW(),$F$6)),",",""),"원",""),0))))</f>
        <v/>
      </c>
      <c r="AU471" s="31">
        <f>IF($AS471="","",IF($AX471&lt;&gt;"",SUBSTITUTE(SUBSTITUTE($AX471,"-","")," ",""),"N:"&amp;$AV471))</f>
        <v/>
      </c>
      <c r="AV471" s="31">
        <f>IF(OR($AS471="",$E$6=""),"",TRIM(INDEX($A:$AP,ROW(),$E$6)&amp;""))</f>
        <v/>
      </c>
      <c r="AW471" s="31">
        <f>IF($AU471="","",IF(MATCH($AU471,$AU$8:$AU$2007,0)=ROW()-7,MAX($AW$7:$AW470)+1,""))</f>
        <v/>
      </c>
      <c r="AX471" s="31">
        <f>IF(OR($AS471="",$D$6=""),"",TRIM(INDEX($A:$AP,ROW(),$D$6)&amp;""))</f>
        <v/>
      </c>
      <c r="AY471" s="31">
        <f>IF($AU471="","",INDEX($AW$8:$AW$2007,MATCH($AU471,$AU$8:$AU$2007,0)))</f>
        <v/>
      </c>
      <c r="AZ471" s="31">
        <f>IF(OR($AS471="",$C$6=""),"",TRIM(INDEX($A:$AP,ROW(),$C$6)&amp;""))</f>
        <v/>
      </c>
      <c r="BA471" s="31">
        <f>IF($AZ471="","",IF(COUNTIF($AZ$8:$AZ471,$AZ471)&gt;1,1,0))</f>
        <v/>
      </c>
    </row>
    <row r="472">
      <c r="AR472" s="31">
        <f>IF(OR($A$5="",$B$6="",ROW()&lt;$A$5),"",IF(INDEX($A:$AP,ROW(),$B$6)="","",INDEX($A:$AP,ROW(),$B$6)))</f>
        <v/>
      </c>
      <c r="AS472" s="32">
        <f>IF($AR472="","",IF(ISNUMBER($AR472),IF($AR472&gt;=10000000,IFERROR(DATE(INT($AR472/10000),MOD(INT($AR472/100),100),MOD($AR472,100)),""),INT($AR472)),IFERROR(DATE(--LEFT(LEFT(SUBSTITUTE(SUBSTITUTE(SUBSTITUTE(SUBSTITUTE(TRIM($AR472),"-",""),".",""),"/","")," ",""),8),4),--MID(LEFT(SUBSTITUTE(SUBSTITUTE(SUBSTITUTE(SUBSTITUTE(TRIM($AR472),"-",""),".",""),"/","")," ",""),8),5,2),--MID(LEFT(SUBSTITUTE(SUBSTITUTE(SUBSTITUTE(SUBSTITUTE(TRIM($AR472),"-",""),".",""),"/","")," ",""),8),7,2)),"")))</f>
        <v/>
      </c>
      <c r="AT472" s="33">
        <f>IF($AS472="","",IF($F$6="",0,IF(ISNUMBER(INDEX($A:$AP,ROW(),$F$6)),INDEX($A:$AP,ROW(),$F$6),IFERROR(--SUBSTITUTE(SUBSTITUTE(TRIM(INDEX($A:$AP,ROW(),$F$6)),",",""),"원",""),0))))</f>
        <v/>
      </c>
      <c r="AU472" s="31">
        <f>IF($AS472="","",IF($AX472&lt;&gt;"",SUBSTITUTE(SUBSTITUTE($AX472,"-","")," ",""),"N:"&amp;$AV472))</f>
        <v/>
      </c>
      <c r="AV472" s="31">
        <f>IF(OR($AS472="",$E$6=""),"",TRIM(INDEX($A:$AP,ROW(),$E$6)&amp;""))</f>
        <v/>
      </c>
      <c r="AW472" s="31">
        <f>IF($AU472="","",IF(MATCH($AU472,$AU$8:$AU$2007,0)=ROW()-7,MAX($AW$7:$AW471)+1,""))</f>
        <v/>
      </c>
      <c r="AX472" s="31">
        <f>IF(OR($AS472="",$D$6=""),"",TRIM(INDEX($A:$AP,ROW(),$D$6)&amp;""))</f>
        <v/>
      </c>
      <c r="AY472" s="31">
        <f>IF($AU472="","",INDEX($AW$8:$AW$2007,MATCH($AU472,$AU$8:$AU$2007,0)))</f>
        <v/>
      </c>
      <c r="AZ472" s="31">
        <f>IF(OR($AS472="",$C$6=""),"",TRIM(INDEX($A:$AP,ROW(),$C$6)&amp;""))</f>
        <v/>
      </c>
      <c r="BA472" s="31">
        <f>IF($AZ472="","",IF(COUNTIF($AZ$8:$AZ472,$AZ472)&gt;1,1,0))</f>
        <v/>
      </c>
    </row>
    <row r="473">
      <c r="AR473" s="31">
        <f>IF(OR($A$5="",$B$6="",ROW()&lt;$A$5),"",IF(INDEX($A:$AP,ROW(),$B$6)="","",INDEX($A:$AP,ROW(),$B$6)))</f>
        <v/>
      </c>
      <c r="AS473" s="32">
        <f>IF($AR473="","",IF(ISNUMBER($AR473),IF($AR473&gt;=10000000,IFERROR(DATE(INT($AR473/10000),MOD(INT($AR473/100),100),MOD($AR473,100)),""),INT($AR473)),IFERROR(DATE(--LEFT(LEFT(SUBSTITUTE(SUBSTITUTE(SUBSTITUTE(SUBSTITUTE(TRIM($AR473),"-",""),".",""),"/","")," ",""),8),4),--MID(LEFT(SUBSTITUTE(SUBSTITUTE(SUBSTITUTE(SUBSTITUTE(TRIM($AR473),"-",""),".",""),"/","")," ",""),8),5,2),--MID(LEFT(SUBSTITUTE(SUBSTITUTE(SUBSTITUTE(SUBSTITUTE(TRIM($AR473),"-",""),".",""),"/","")," ",""),8),7,2)),"")))</f>
        <v/>
      </c>
      <c r="AT473" s="33">
        <f>IF($AS473="","",IF($F$6="",0,IF(ISNUMBER(INDEX($A:$AP,ROW(),$F$6)),INDEX($A:$AP,ROW(),$F$6),IFERROR(--SUBSTITUTE(SUBSTITUTE(TRIM(INDEX($A:$AP,ROW(),$F$6)),",",""),"원",""),0))))</f>
        <v/>
      </c>
      <c r="AU473" s="31">
        <f>IF($AS473="","",IF($AX473&lt;&gt;"",SUBSTITUTE(SUBSTITUTE($AX473,"-","")," ",""),"N:"&amp;$AV473))</f>
        <v/>
      </c>
      <c r="AV473" s="31">
        <f>IF(OR($AS473="",$E$6=""),"",TRIM(INDEX($A:$AP,ROW(),$E$6)&amp;""))</f>
        <v/>
      </c>
      <c r="AW473" s="31">
        <f>IF($AU473="","",IF(MATCH($AU473,$AU$8:$AU$2007,0)=ROW()-7,MAX($AW$7:$AW472)+1,""))</f>
        <v/>
      </c>
      <c r="AX473" s="31">
        <f>IF(OR($AS473="",$D$6=""),"",TRIM(INDEX($A:$AP,ROW(),$D$6)&amp;""))</f>
        <v/>
      </c>
      <c r="AY473" s="31">
        <f>IF($AU473="","",INDEX($AW$8:$AW$2007,MATCH($AU473,$AU$8:$AU$2007,0)))</f>
        <v/>
      </c>
      <c r="AZ473" s="31">
        <f>IF(OR($AS473="",$C$6=""),"",TRIM(INDEX($A:$AP,ROW(),$C$6)&amp;""))</f>
        <v/>
      </c>
      <c r="BA473" s="31">
        <f>IF($AZ473="","",IF(COUNTIF($AZ$8:$AZ473,$AZ473)&gt;1,1,0))</f>
        <v/>
      </c>
    </row>
    <row r="474">
      <c r="AR474" s="31">
        <f>IF(OR($A$5="",$B$6="",ROW()&lt;$A$5),"",IF(INDEX($A:$AP,ROW(),$B$6)="","",INDEX($A:$AP,ROW(),$B$6)))</f>
        <v/>
      </c>
      <c r="AS474" s="32">
        <f>IF($AR474="","",IF(ISNUMBER($AR474),IF($AR474&gt;=10000000,IFERROR(DATE(INT($AR474/10000),MOD(INT($AR474/100),100),MOD($AR474,100)),""),INT($AR474)),IFERROR(DATE(--LEFT(LEFT(SUBSTITUTE(SUBSTITUTE(SUBSTITUTE(SUBSTITUTE(TRIM($AR474),"-",""),".",""),"/","")," ",""),8),4),--MID(LEFT(SUBSTITUTE(SUBSTITUTE(SUBSTITUTE(SUBSTITUTE(TRIM($AR474),"-",""),".",""),"/","")," ",""),8),5,2),--MID(LEFT(SUBSTITUTE(SUBSTITUTE(SUBSTITUTE(SUBSTITUTE(TRIM($AR474),"-",""),".",""),"/","")," ",""),8),7,2)),"")))</f>
        <v/>
      </c>
      <c r="AT474" s="33">
        <f>IF($AS474="","",IF($F$6="",0,IF(ISNUMBER(INDEX($A:$AP,ROW(),$F$6)),INDEX($A:$AP,ROW(),$F$6),IFERROR(--SUBSTITUTE(SUBSTITUTE(TRIM(INDEX($A:$AP,ROW(),$F$6)),",",""),"원",""),0))))</f>
        <v/>
      </c>
      <c r="AU474" s="31">
        <f>IF($AS474="","",IF($AX474&lt;&gt;"",SUBSTITUTE(SUBSTITUTE($AX474,"-","")," ",""),"N:"&amp;$AV474))</f>
        <v/>
      </c>
      <c r="AV474" s="31">
        <f>IF(OR($AS474="",$E$6=""),"",TRIM(INDEX($A:$AP,ROW(),$E$6)&amp;""))</f>
        <v/>
      </c>
      <c r="AW474" s="31">
        <f>IF($AU474="","",IF(MATCH($AU474,$AU$8:$AU$2007,0)=ROW()-7,MAX($AW$7:$AW473)+1,""))</f>
        <v/>
      </c>
      <c r="AX474" s="31">
        <f>IF(OR($AS474="",$D$6=""),"",TRIM(INDEX($A:$AP,ROW(),$D$6)&amp;""))</f>
        <v/>
      </c>
      <c r="AY474" s="31">
        <f>IF($AU474="","",INDEX($AW$8:$AW$2007,MATCH($AU474,$AU$8:$AU$2007,0)))</f>
        <v/>
      </c>
      <c r="AZ474" s="31">
        <f>IF(OR($AS474="",$C$6=""),"",TRIM(INDEX($A:$AP,ROW(),$C$6)&amp;""))</f>
        <v/>
      </c>
      <c r="BA474" s="31">
        <f>IF($AZ474="","",IF(COUNTIF($AZ$8:$AZ474,$AZ474)&gt;1,1,0))</f>
        <v/>
      </c>
    </row>
    <row r="475">
      <c r="AR475" s="31">
        <f>IF(OR($A$5="",$B$6="",ROW()&lt;$A$5),"",IF(INDEX($A:$AP,ROW(),$B$6)="","",INDEX($A:$AP,ROW(),$B$6)))</f>
        <v/>
      </c>
      <c r="AS475" s="32">
        <f>IF($AR475="","",IF(ISNUMBER($AR475),IF($AR475&gt;=10000000,IFERROR(DATE(INT($AR475/10000),MOD(INT($AR475/100),100),MOD($AR475,100)),""),INT($AR475)),IFERROR(DATE(--LEFT(LEFT(SUBSTITUTE(SUBSTITUTE(SUBSTITUTE(SUBSTITUTE(TRIM($AR475),"-",""),".",""),"/","")," ",""),8),4),--MID(LEFT(SUBSTITUTE(SUBSTITUTE(SUBSTITUTE(SUBSTITUTE(TRIM($AR475),"-",""),".",""),"/","")," ",""),8),5,2),--MID(LEFT(SUBSTITUTE(SUBSTITUTE(SUBSTITUTE(SUBSTITUTE(TRIM($AR475),"-",""),".",""),"/","")," ",""),8),7,2)),"")))</f>
        <v/>
      </c>
      <c r="AT475" s="33">
        <f>IF($AS475="","",IF($F$6="",0,IF(ISNUMBER(INDEX($A:$AP,ROW(),$F$6)),INDEX($A:$AP,ROW(),$F$6),IFERROR(--SUBSTITUTE(SUBSTITUTE(TRIM(INDEX($A:$AP,ROW(),$F$6)),",",""),"원",""),0))))</f>
        <v/>
      </c>
      <c r="AU475" s="31">
        <f>IF($AS475="","",IF($AX475&lt;&gt;"",SUBSTITUTE(SUBSTITUTE($AX475,"-","")," ",""),"N:"&amp;$AV475))</f>
        <v/>
      </c>
      <c r="AV475" s="31">
        <f>IF(OR($AS475="",$E$6=""),"",TRIM(INDEX($A:$AP,ROW(),$E$6)&amp;""))</f>
        <v/>
      </c>
      <c r="AW475" s="31">
        <f>IF($AU475="","",IF(MATCH($AU475,$AU$8:$AU$2007,0)=ROW()-7,MAX($AW$7:$AW474)+1,""))</f>
        <v/>
      </c>
      <c r="AX475" s="31">
        <f>IF(OR($AS475="",$D$6=""),"",TRIM(INDEX($A:$AP,ROW(),$D$6)&amp;""))</f>
        <v/>
      </c>
      <c r="AY475" s="31">
        <f>IF($AU475="","",INDEX($AW$8:$AW$2007,MATCH($AU475,$AU$8:$AU$2007,0)))</f>
        <v/>
      </c>
      <c r="AZ475" s="31">
        <f>IF(OR($AS475="",$C$6=""),"",TRIM(INDEX($A:$AP,ROW(),$C$6)&amp;""))</f>
        <v/>
      </c>
      <c r="BA475" s="31">
        <f>IF($AZ475="","",IF(COUNTIF($AZ$8:$AZ475,$AZ475)&gt;1,1,0))</f>
        <v/>
      </c>
    </row>
    <row r="476">
      <c r="AR476" s="31">
        <f>IF(OR($A$5="",$B$6="",ROW()&lt;$A$5),"",IF(INDEX($A:$AP,ROW(),$B$6)="","",INDEX($A:$AP,ROW(),$B$6)))</f>
        <v/>
      </c>
      <c r="AS476" s="32">
        <f>IF($AR476="","",IF(ISNUMBER($AR476),IF($AR476&gt;=10000000,IFERROR(DATE(INT($AR476/10000),MOD(INT($AR476/100),100),MOD($AR476,100)),""),INT($AR476)),IFERROR(DATE(--LEFT(LEFT(SUBSTITUTE(SUBSTITUTE(SUBSTITUTE(SUBSTITUTE(TRIM($AR476),"-",""),".",""),"/","")," ",""),8),4),--MID(LEFT(SUBSTITUTE(SUBSTITUTE(SUBSTITUTE(SUBSTITUTE(TRIM($AR476),"-",""),".",""),"/","")," ",""),8),5,2),--MID(LEFT(SUBSTITUTE(SUBSTITUTE(SUBSTITUTE(SUBSTITUTE(TRIM($AR476),"-",""),".",""),"/","")," ",""),8),7,2)),"")))</f>
        <v/>
      </c>
      <c r="AT476" s="33">
        <f>IF($AS476="","",IF($F$6="",0,IF(ISNUMBER(INDEX($A:$AP,ROW(),$F$6)),INDEX($A:$AP,ROW(),$F$6),IFERROR(--SUBSTITUTE(SUBSTITUTE(TRIM(INDEX($A:$AP,ROW(),$F$6)),",",""),"원",""),0))))</f>
        <v/>
      </c>
      <c r="AU476" s="31">
        <f>IF($AS476="","",IF($AX476&lt;&gt;"",SUBSTITUTE(SUBSTITUTE($AX476,"-","")," ",""),"N:"&amp;$AV476))</f>
        <v/>
      </c>
      <c r="AV476" s="31">
        <f>IF(OR($AS476="",$E$6=""),"",TRIM(INDEX($A:$AP,ROW(),$E$6)&amp;""))</f>
        <v/>
      </c>
      <c r="AW476" s="31">
        <f>IF($AU476="","",IF(MATCH($AU476,$AU$8:$AU$2007,0)=ROW()-7,MAX($AW$7:$AW475)+1,""))</f>
        <v/>
      </c>
      <c r="AX476" s="31">
        <f>IF(OR($AS476="",$D$6=""),"",TRIM(INDEX($A:$AP,ROW(),$D$6)&amp;""))</f>
        <v/>
      </c>
      <c r="AY476" s="31">
        <f>IF($AU476="","",INDEX($AW$8:$AW$2007,MATCH($AU476,$AU$8:$AU$2007,0)))</f>
        <v/>
      </c>
      <c r="AZ476" s="31">
        <f>IF(OR($AS476="",$C$6=""),"",TRIM(INDEX($A:$AP,ROW(),$C$6)&amp;""))</f>
        <v/>
      </c>
      <c r="BA476" s="31">
        <f>IF($AZ476="","",IF(COUNTIF($AZ$8:$AZ476,$AZ476)&gt;1,1,0))</f>
        <v/>
      </c>
    </row>
    <row r="477">
      <c r="AR477" s="31">
        <f>IF(OR($A$5="",$B$6="",ROW()&lt;$A$5),"",IF(INDEX($A:$AP,ROW(),$B$6)="","",INDEX($A:$AP,ROW(),$B$6)))</f>
        <v/>
      </c>
      <c r="AS477" s="32">
        <f>IF($AR477="","",IF(ISNUMBER($AR477),IF($AR477&gt;=10000000,IFERROR(DATE(INT($AR477/10000),MOD(INT($AR477/100),100),MOD($AR477,100)),""),INT($AR477)),IFERROR(DATE(--LEFT(LEFT(SUBSTITUTE(SUBSTITUTE(SUBSTITUTE(SUBSTITUTE(TRIM($AR477),"-",""),".",""),"/","")," ",""),8),4),--MID(LEFT(SUBSTITUTE(SUBSTITUTE(SUBSTITUTE(SUBSTITUTE(TRIM($AR477),"-",""),".",""),"/","")," ",""),8),5,2),--MID(LEFT(SUBSTITUTE(SUBSTITUTE(SUBSTITUTE(SUBSTITUTE(TRIM($AR477),"-",""),".",""),"/","")," ",""),8),7,2)),"")))</f>
        <v/>
      </c>
      <c r="AT477" s="33">
        <f>IF($AS477="","",IF($F$6="",0,IF(ISNUMBER(INDEX($A:$AP,ROW(),$F$6)),INDEX($A:$AP,ROW(),$F$6),IFERROR(--SUBSTITUTE(SUBSTITUTE(TRIM(INDEX($A:$AP,ROW(),$F$6)),",",""),"원",""),0))))</f>
        <v/>
      </c>
      <c r="AU477" s="31">
        <f>IF($AS477="","",IF($AX477&lt;&gt;"",SUBSTITUTE(SUBSTITUTE($AX477,"-","")," ",""),"N:"&amp;$AV477))</f>
        <v/>
      </c>
      <c r="AV477" s="31">
        <f>IF(OR($AS477="",$E$6=""),"",TRIM(INDEX($A:$AP,ROW(),$E$6)&amp;""))</f>
        <v/>
      </c>
      <c r="AW477" s="31">
        <f>IF($AU477="","",IF(MATCH($AU477,$AU$8:$AU$2007,0)=ROW()-7,MAX($AW$7:$AW476)+1,""))</f>
        <v/>
      </c>
      <c r="AX477" s="31">
        <f>IF(OR($AS477="",$D$6=""),"",TRIM(INDEX($A:$AP,ROW(),$D$6)&amp;""))</f>
        <v/>
      </c>
      <c r="AY477" s="31">
        <f>IF($AU477="","",INDEX($AW$8:$AW$2007,MATCH($AU477,$AU$8:$AU$2007,0)))</f>
        <v/>
      </c>
      <c r="AZ477" s="31">
        <f>IF(OR($AS477="",$C$6=""),"",TRIM(INDEX($A:$AP,ROW(),$C$6)&amp;""))</f>
        <v/>
      </c>
      <c r="BA477" s="31">
        <f>IF($AZ477="","",IF(COUNTIF($AZ$8:$AZ477,$AZ477)&gt;1,1,0))</f>
        <v/>
      </c>
    </row>
    <row r="478">
      <c r="AR478" s="31">
        <f>IF(OR($A$5="",$B$6="",ROW()&lt;$A$5),"",IF(INDEX($A:$AP,ROW(),$B$6)="","",INDEX($A:$AP,ROW(),$B$6)))</f>
        <v/>
      </c>
      <c r="AS478" s="32">
        <f>IF($AR478="","",IF(ISNUMBER($AR478),IF($AR478&gt;=10000000,IFERROR(DATE(INT($AR478/10000),MOD(INT($AR478/100),100),MOD($AR478,100)),""),INT($AR478)),IFERROR(DATE(--LEFT(LEFT(SUBSTITUTE(SUBSTITUTE(SUBSTITUTE(SUBSTITUTE(TRIM($AR478),"-",""),".",""),"/","")," ",""),8),4),--MID(LEFT(SUBSTITUTE(SUBSTITUTE(SUBSTITUTE(SUBSTITUTE(TRIM($AR478),"-",""),".",""),"/","")," ",""),8),5,2),--MID(LEFT(SUBSTITUTE(SUBSTITUTE(SUBSTITUTE(SUBSTITUTE(TRIM($AR478),"-",""),".",""),"/","")," ",""),8),7,2)),"")))</f>
        <v/>
      </c>
      <c r="AT478" s="33">
        <f>IF($AS478="","",IF($F$6="",0,IF(ISNUMBER(INDEX($A:$AP,ROW(),$F$6)),INDEX($A:$AP,ROW(),$F$6),IFERROR(--SUBSTITUTE(SUBSTITUTE(TRIM(INDEX($A:$AP,ROW(),$F$6)),",",""),"원",""),0))))</f>
        <v/>
      </c>
      <c r="AU478" s="31">
        <f>IF($AS478="","",IF($AX478&lt;&gt;"",SUBSTITUTE(SUBSTITUTE($AX478,"-","")," ",""),"N:"&amp;$AV478))</f>
        <v/>
      </c>
      <c r="AV478" s="31">
        <f>IF(OR($AS478="",$E$6=""),"",TRIM(INDEX($A:$AP,ROW(),$E$6)&amp;""))</f>
        <v/>
      </c>
      <c r="AW478" s="31">
        <f>IF($AU478="","",IF(MATCH($AU478,$AU$8:$AU$2007,0)=ROW()-7,MAX($AW$7:$AW477)+1,""))</f>
        <v/>
      </c>
      <c r="AX478" s="31">
        <f>IF(OR($AS478="",$D$6=""),"",TRIM(INDEX($A:$AP,ROW(),$D$6)&amp;""))</f>
        <v/>
      </c>
      <c r="AY478" s="31">
        <f>IF($AU478="","",INDEX($AW$8:$AW$2007,MATCH($AU478,$AU$8:$AU$2007,0)))</f>
        <v/>
      </c>
      <c r="AZ478" s="31">
        <f>IF(OR($AS478="",$C$6=""),"",TRIM(INDEX($A:$AP,ROW(),$C$6)&amp;""))</f>
        <v/>
      </c>
      <c r="BA478" s="31">
        <f>IF($AZ478="","",IF(COUNTIF($AZ$8:$AZ478,$AZ478)&gt;1,1,0))</f>
        <v/>
      </c>
    </row>
    <row r="479">
      <c r="AR479" s="31">
        <f>IF(OR($A$5="",$B$6="",ROW()&lt;$A$5),"",IF(INDEX($A:$AP,ROW(),$B$6)="","",INDEX($A:$AP,ROW(),$B$6)))</f>
        <v/>
      </c>
      <c r="AS479" s="32">
        <f>IF($AR479="","",IF(ISNUMBER($AR479),IF($AR479&gt;=10000000,IFERROR(DATE(INT($AR479/10000),MOD(INT($AR479/100),100),MOD($AR479,100)),""),INT($AR479)),IFERROR(DATE(--LEFT(LEFT(SUBSTITUTE(SUBSTITUTE(SUBSTITUTE(SUBSTITUTE(TRIM($AR479),"-",""),".",""),"/","")," ",""),8),4),--MID(LEFT(SUBSTITUTE(SUBSTITUTE(SUBSTITUTE(SUBSTITUTE(TRIM($AR479),"-",""),".",""),"/","")," ",""),8),5,2),--MID(LEFT(SUBSTITUTE(SUBSTITUTE(SUBSTITUTE(SUBSTITUTE(TRIM($AR479),"-",""),".",""),"/","")," ",""),8),7,2)),"")))</f>
        <v/>
      </c>
      <c r="AT479" s="33">
        <f>IF($AS479="","",IF($F$6="",0,IF(ISNUMBER(INDEX($A:$AP,ROW(),$F$6)),INDEX($A:$AP,ROW(),$F$6),IFERROR(--SUBSTITUTE(SUBSTITUTE(TRIM(INDEX($A:$AP,ROW(),$F$6)),",",""),"원",""),0))))</f>
        <v/>
      </c>
      <c r="AU479" s="31">
        <f>IF($AS479="","",IF($AX479&lt;&gt;"",SUBSTITUTE(SUBSTITUTE($AX479,"-","")," ",""),"N:"&amp;$AV479))</f>
        <v/>
      </c>
      <c r="AV479" s="31">
        <f>IF(OR($AS479="",$E$6=""),"",TRIM(INDEX($A:$AP,ROW(),$E$6)&amp;""))</f>
        <v/>
      </c>
      <c r="AW479" s="31">
        <f>IF($AU479="","",IF(MATCH($AU479,$AU$8:$AU$2007,0)=ROW()-7,MAX($AW$7:$AW478)+1,""))</f>
        <v/>
      </c>
      <c r="AX479" s="31">
        <f>IF(OR($AS479="",$D$6=""),"",TRIM(INDEX($A:$AP,ROW(),$D$6)&amp;""))</f>
        <v/>
      </c>
      <c r="AY479" s="31">
        <f>IF($AU479="","",INDEX($AW$8:$AW$2007,MATCH($AU479,$AU$8:$AU$2007,0)))</f>
        <v/>
      </c>
      <c r="AZ479" s="31">
        <f>IF(OR($AS479="",$C$6=""),"",TRIM(INDEX($A:$AP,ROW(),$C$6)&amp;""))</f>
        <v/>
      </c>
      <c r="BA479" s="31">
        <f>IF($AZ479="","",IF(COUNTIF($AZ$8:$AZ479,$AZ479)&gt;1,1,0))</f>
        <v/>
      </c>
    </row>
    <row r="480">
      <c r="AR480" s="31">
        <f>IF(OR($A$5="",$B$6="",ROW()&lt;$A$5),"",IF(INDEX($A:$AP,ROW(),$B$6)="","",INDEX($A:$AP,ROW(),$B$6)))</f>
        <v/>
      </c>
      <c r="AS480" s="32">
        <f>IF($AR480="","",IF(ISNUMBER($AR480),IF($AR480&gt;=10000000,IFERROR(DATE(INT($AR480/10000),MOD(INT($AR480/100),100),MOD($AR480,100)),""),INT($AR480)),IFERROR(DATE(--LEFT(LEFT(SUBSTITUTE(SUBSTITUTE(SUBSTITUTE(SUBSTITUTE(TRIM($AR480),"-",""),".",""),"/","")," ",""),8),4),--MID(LEFT(SUBSTITUTE(SUBSTITUTE(SUBSTITUTE(SUBSTITUTE(TRIM($AR480),"-",""),".",""),"/","")," ",""),8),5,2),--MID(LEFT(SUBSTITUTE(SUBSTITUTE(SUBSTITUTE(SUBSTITUTE(TRIM($AR480),"-",""),".",""),"/","")," ",""),8),7,2)),"")))</f>
        <v/>
      </c>
      <c r="AT480" s="33">
        <f>IF($AS480="","",IF($F$6="",0,IF(ISNUMBER(INDEX($A:$AP,ROW(),$F$6)),INDEX($A:$AP,ROW(),$F$6),IFERROR(--SUBSTITUTE(SUBSTITUTE(TRIM(INDEX($A:$AP,ROW(),$F$6)),",",""),"원",""),0))))</f>
        <v/>
      </c>
      <c r="AU480" s="31">
        <f>IF($AS480="","",IF($AX480&lt;&gt;"",SUBSTITUTE(SUBSTITUTE($AX480,"-","")," ",""),"N:"&amp;$AV480))</f>
        <v/>
      </c>
      <c r="AV480" s="31">
        <f>IF(OR($AS480="",$E$6=""),"",TRIM(INDEX($A:$AP,ROW(),$E$6)&amp;""))</f>
        <v/>
      </c>
      <c r="AW480" s="31">
        <f>IF($AU480="","",IF(MATCH($AU480,$AU$8:$AU$2007,0)=ROW()-7,MAX($AW$7:$AW479)+1,""))</f>
        <v/>
      </c>
      <c r="AX480" s="31">
        <f>IF(OR($AS480="",$D$6=""),"",TRIM(INDEX($A:$AP,ROW(),$D$6)&amp;""))</f>
        <v/>
      </c>
      <c r="AY480" s="31">
        <f>IF($AU480="","",INDEX($AW$8:$AW$2007,MATCH($AU480,$AU$8:$AU$2007,0)))</f>
        <v/>
      </c>
      <c r="AZ480" s="31">
        <f>IF(OR($AS480="",$C$6=""),"",TRIM(INDEX($A:$AP,ROW(),$C$6)&amp;""))</f>
        <v/>
      </c>
      <c r="BA480" s="31">
        <f>IF($AZ480="","",IF(COUNTIF($AZ$8:$AZ480,$AZ480)&gt;1,1,0))</f>
        <v/>
      </c>
    </row>
    <row r="481">
      <c r="AR481" s="31">
        <f>IF(OR($A$5="",$B$6="",ROW()&lt;$A$5),"",IF(INDEX($A:$AP,ROW(),$B$6)="","",INDEX($A:$AP,ROW(),$B$6)))</f>
        <v/>
      </c>
      <c r="AS481" s="32">
        <f>IF($AR481="","",IF(ISNUMBER($AR481),IF($AR481&gt;=10000000,IFERROR(DATE(INT($AR481/10000),MOD(INT($AR481/100),100),MOD($AR481,100)),""),INT($AR481)),IFERROR(DATE(--LEFT(LEFT(SUBSTITUTE(SUBSTITUTE(SUBSTITUTE(SUBSTITUTE(TRIM($AR481),"-",""),".",""),"/","")," ",""),8),4),--MID(LEFT(SUBSTITUTE(SUBSTITUTE(SUBSTITUTE(SUBSTITUTE(TRIM($AR481),"-",""),".",""),"/","")," ",""),8),5,2),--MID(LEFT(SUBSTITUTE(SUBSTITUTE(SUBSTITUTE(SUBSTITUTE(TRIM($AR481),"-",""),".",""),"/","")," ",""),8),7,2)),"")))</f>
        <v/>
      </c>
      <c r="AT481" s="33">
        <f>IF($AS481="","",IF($F$6="",0,IF(ISNUMBER(INDEX($A:$AP,ROW(),$F$6)),INDEX($A:$AP,ROW(),$F$6),IFERROR(--SUBSTITUTE(SUBSTITUTE(TRIM(INDEX($A:$AP,ROW(),$F$6)),",",""),"원",""),0))))</f>
        <v/>
      </c>
      <c r="AU481" s="31">
        <f>IF($AS481="","",IF($AX481&lt;&gt;"",SUBSTITUTE(SUBSTITUTE($AX481,"-","")," ",""),"N:"&amp;$AV481))</f>
        <v/>
      </c>
      <c r="AV481" s="31">
        <f>IF(OR($AS481="",$E$6=""),"",TRIM(INDEX($A:$AP,ROW(),$E$6)&amp;""))</f>
        <v/>
      </c>
      <c r="AW481" s="31">
        <f>IF($AU481="","",IF(MATCH($AU481,$AU$8:$AU$2007,0)=ROW()-7,MAX($AW$7:$AW480)+1,""))</f>
        <v/>
      </c>
      <c r="AX481" s="31">
        <f>IF(OR($AS481="",$D$6=""),"",TRIM(INDEX($A:$AP,ROW(),$D$6)&amp;""))</f>
        <v/>
      </c>
      <c r="AY481" s="31">
        <f>IF($AU481="","",INDEX($AW$8:$AW$2007,MATCH($AU481,$AU$8:$AU$2007,0)))</f>
        <v/>
      </c>
      <c r="AZ481" s="31">
        <f>IF(OR($AS481="",$C$6=""),"",TRIM(INDEX($A:$AP,ROW(),$C$6)&amp;""))</f>
        <v/>
      </c>
      <c r="BA481" s="31">
        <f>IF($AZ481="","",IF(COUNTIF($AZ$8:$AZ481,$AZ481)&gt;1,1,0))</f>
        <v/>
      </c>
    </row>
    <row r="482">
      <c r="AR482" s="31">
        <f>IF(OR($A$5="",$B$6="",ROW()&lt;$A$5),"",IF(INDEX($A:$AP,ROW(),$B$6)="","",INDEX($A:$AP,ROW(),$B$6)))</f>
        <v/>
      </c>
      <c r="AS482" s="32">
        <f>IF($AR482="","",IF(ISNUMBER($AR482),IF($AR482&gt;=10000000,IFERROR(DATE(INT($AR482/10000),MOD(INT($AR482/100),100),MOD($AR482,100)),""),INT($AR482)),IFERROR(DATE(--LEFT(LEFT(SUBSTITUTE(SUBSTITUTE(SUBSTITUTE(SUBSTITUTE(TRIM($AR482),"-",""),".",""),"/","")," ",""),8),4),--MID(LEFT(SUBSTITUTE(SUBSTITUTE(SUBSTITUTE(SUBSTITUTE(TRIM($AR482),"-",""),".",""),"/","")," ",""),8),5,2),--MID(LEFT(SUBSTITUTE(SUBSTITUTE(SUBSTITUTE(SUBSTITUTE(TRIM($AR482),"-",""),".",""),"/","")," ",""),8),7,2)),"")))</f>
        <v/>
      </c>
      <c r="AT482" s="33">
        <f>IF($AS482="","",IF($F$6="",0,IF(ISNUMBER(INDEX($A:$AP,ROW(),$F$6)),INDEX($A:$AP,ROW(),$F$6),IFERROR(--SUBSTITUTE(SUBSTITUTE(TRIM(INDEX($A:$AP,ROW(),$F$6)),",",""),"원",""),0))))</f>
        <v/>
      </c>
      <c r="AU482" s="31">
        <f>IF($AS482="","",IF($AX482&lt;&gt;"",SUBSTITUTE(SUBSTITUTE($AX482,"-","")," ",""),"N:"&amp;$AV482))</f>
        <v/>
      </c>
      <c r="AV482" s="31">
        <f>IF(OR($AS482="",$E$6=""),"",TRIM(INDEX($A:$AP,ROW(),$E$6)&amp;""))</f>
        <v/>
      </c>
      <c r="AW482" s="31">
        <f>IF($AU482="","",IF(MATCH($AU482,$AU$8:$AU$2007,0)=ROW()-7,MAX($AW$7:$AW481)+1,""))</f>
        <v/>
      </c>
      <c r="AX482" s="31">
        <f>IF(OR($AS482="",$D$6=""),"",TRIM(INDEX($A:$AP,ROW(),$D$6)&amp;""))</f>
        <v/>
      </c>
      <c r="AY482" s="31">
        <f>IF($AU482="","",INDEX($AW$8:$AW$2007,MATCH($AU482,$AU$8:$AU$2007,0)))</f>
        <v/>
      </c>
      <c r="AZ482" s="31">
        <f>IF(OR($AS482="",$C$6=""),"",TRIM(INDEX($A:$AP,ROW(),$C$6)&amp;""))</f>
        <v/>
      </c>
      <c r="BA482" s="31">
        <f>IF($AZ482="","",IF(COUNTIF($AZ$8:$AZ482,$AZ482)&gt;1,1,0))</f>
        <v/>
      </c>
    </row>
    <row r="483">
      <c r="AR483" s="31">
        <f>IF(OR($A$5="",$B$6="",ROW()&lt;$A$5),"",IF(INDEX($A:$AP,ROW(),$B$6)="","",INDEX($A:$AP,ROW(),$B$6)))</f>
        <v/>
      </c>
      <c r="AS483" s="32">
        <f>IF($AR483="","",IF(ISNUMBER($AR483),IF($AR483&gt;=10000000,IFERROR(DATE(INT($AR483/10000),MOD(INT($AR483/100),100),MOD($AR483,100)),""),INT($AR483)),IFERROR(DATE(--LEFT(LEFT(SUBSTITUTE(SUBSTITUTE(SUBSTITUTE(SUBSTITUTE(TRIM($AR483),"-",""),".",""),"/","")," ",""),8),4),--MID(LEFT(SUBSTITUTE(SUBSTITUTE(SUBSTITUTE(SUBSTITUTE(TRIM($AR483),"-",""),".",""),"/","")," ",""),8),5,2),--MID(LEFT(SUBSTITUTE(SUBSTITUTE(SUBSTITUTE(SUBSTITUTE(TRIM($AR483),"-",""),".",""),"/","")," ",""),8),7,2)),"")))</f>
        <v/>
      </c>
      <c r="AT483" s="33">
        <f>IF($AS483="","",IF($F$6="",0,IF(ISNUMBER(INDEX($A:$AP,ROW(),$F$6)),INDEX($A:$AP,ROW(),$F$6),IFERROR(--SUBSTITUTE(SUBSTITUTE(TRIM(INDEX($A:$AP,ROW(),$F$6)),",",""),"원",""),0))))</f>
        <v/>
      </c>
      <c r="AU483" s="31">
        <f>IF($AS483="","",IF($AX483&lt;&gt;"",SUBSTITUTE(SUBSTITUTE($AX483,"-","")," ",""),"N:"&amp;$AV483))</f>
        <v/>
      </c>
      <c r="AV483" s="31">
        <f>IF(OR($AS483="",$E$6=""),"",TRIM(INDEX($A:$AP,ROW(),$E$6)&amp;""))</f>
        <v/>
      </c>
      <c r="AW483" s="31">
        <f>IF($AU483="","",IF(MATCH($AU483,$AU$8:$AU$2007,0)=ROW()-7,MAX($AW$7:$AW482)+1,""))</f>
        <v/>
      </c>
      <c r="AX483" s="31">
        <f>IF(OR($AS483="",$D$6=""),"",TRIM(INDEX($A:$AP,ROW(),$D$6)&amp;""))</f>
        <v/>
      </c>
      <c r="AY483" s="31">
        <f>IF($AU483="","",INDEX($AW$8:$AW$2007,MATCH($AU483,$AU$8:$AU$2007,0)))</f>
        <v/>
      </c>
      <c r="AZ483" s="31">
        <f>IF(OR($AS483="",$C$6=""),"",TRIM(INDEX($A:$AP,ROW(),$C$6)&amp;""))</f>
        <v/>
      </c>
      <c r="BA483" s="31">
        <f>IF($AZ483="","",IF(COUNTIF($AZ$8:$AZ483,$AZ483)&gt;1,1,0))</f>
        <v/>
      </c>
    </row>
    <row r="484">
      <c r="AR484" s="31">
        <f>IF(OR($A$5="",$B$6="",ROW()&lt;$A$5),"",IF(INDEX($A:$AP,ROW(),$B$6)="","",INDEX($A:$AP,ROW(),$B$6)))</f>
        <v/>
      </c>
      <c r="AS484" s="32">
        <f>IF($AR484="","",IF(ISNUMBER($AR484),IF($AR484&gt;=10000000,IFERROR(DATE(INT($AR484/10000),MOD(INT($AR484/100),100),MOD($AR484,100)),""),INT($AR484)),IFERROR(DATE(--LEFT(LEFT(SUBSTITUTE(SUBSTITUTE(SUBSTITUTE(SUBSTITUTE(TRIM($AR484),"-",""),".",""),"/","")," ",""),8),4),--MID(LEFT(SUBSTITUTE(SUBSTITUTE(SUBSTITUTE(SUBSTITUTE(TRIM($AR484),"-",""),".",""),"/","")," ",""),8),5,2),--MID(LEFT(SUBSTITUTE(SUBSTITUTE(SUBSTITUTE(SUBSTITUTE(TRIM($AR484),"-",""),".",""),"/","")," ",""),8),7,2)),"")))</f>
        <v/>
      </c>
      <c r="AT484" s="33">
        <f>IF($AS484="","",IF($F$6="",0,IF(ISNUMBER(INDEX($A:$AP,ROW(),$F$6)),INDEX($A:$AP,ROW(),$F$6),IFERROR(--SUBSTITUTE(SUBSTITUTE(TRIM(INDEX($A:$AP,ROW(),$F$6)),",",""),"원",""),0))))</f>
        <v/>
      </c>
      <c r="AU484" s="31">
        <f>IF($AS484="","",IF($AX484&lt;&gt;"",SUBSTITUTE(SUBSTITUTE($AX484,"-","")," ",""),"N:"&amp;$AV484))</f>
        <v/>
      </c>
      <c r="AV484" s="31">
        <f>IF(OR($AS484="",$E$6=""),"",TRIM(INDEX($A:$AP,ROW(),$E$6)&amp;""))</f>
        <v/>
      </c>
      <c r="AW484" s="31">
        <f>IF($AU484="","",IF(MATCH($AU484,$AU$8:$AU$2007,0)=ROW()-7,MAX($AW$7:$AW483)+1,""))</f>
        <v/>
      </c>
      <c r="AX484" s="31">
        <f>IF(OR($AS484="",$D$6=""),"",TRIM(INDEX($A:$AP,ROW(),$D$6)&amp;""))</f>
        <v/>
      </c>
      <c r="AY484" s="31">
        <f>IF($AU484="","",INDEX($AW$8:$AW$2007,MATCH($AU484,$AU$8:$AU$2007,0)))</f>
        <v/>
      </c>
      <c r="AZ484" s="31">
        <f>IF(OR($AS484="",$C$6=""),"",TRIM(INDEX($A:$AP,ROW(),$C$6)&amp;""))</f>
        <v/>
      </c>
      <c r="BA484" s="31">
        <f>IF($AZ484="","",IF(COUNTIF($AZ$8:$AZ484,$AZ484)&gt;1,1,0))</f>
        <v/>
      </c>
    </row>
    <row r="485">
      <c r="AR485" s="31">
        <f>IF(OR($A$5="",$B$6="",ROW()&lt;$A$5),"",IF(INDEX($A:$AP,ROW(),$B$6)="","",INDEX($A:$AP,ROW(),$B$6)))</f>
        <v/>
      </c>
      <c r="AS485" s="32">
        <f>IF($AR485="","",IF(ISNUMBER($AR485),IF($AR485&gt;=10000000,IFERROR(DATE(INT($AR485/10000),MOD(INT($AR485/100),100),MOD($AR485,100)),""),INT($AR485)),IFERROR(DATE(--LEFT(LEFT(SUBSTITUTE(SUBSTITUTE(SUBSTITUTE(SUBSTITUTE(TRIM($AR485),"-",""),".",""),"/","")," ",""),8),4),--MID(LEFT(SUBSTITUTE(SUBSTITUTE(SUBSTITUTE(SUBSTITUTE(TRIM($AR485),"-",""),".",""),"/","")," ",""),8),5,2),--MID(LEFT(SUBSTITUTE(SUBSTITUTE(SUBSTITUTE(SUBSTITUTE(TRIM($AR485),"-",""),".",""),"/","")," ",""),8),7,2)),"")))</f>
        <v/>
      </c>
      <c r="AT485" s="33">
        <f>IF($AS485="","",IF($F$6="",0,IF(ISNUMBER(INDEX($A:$AP,ROW(),$F$6)),INDEX($A:$AP,ROW(),$F$6),IFERROR(--SUBSTITUTE(SUBSTITUTE(TRIM(INDEX($A:$AP,ROW(),$F$6)),",",""),"원",""),0))))</f>
        <v/>
      </c>
      <c r="AU485" s="31">
        <f>IF($AS485="","",IF($AX485&lt;&gt;"",SUBSTITUTE(SUBSTITUTE($AX485,"-","")," ",""),"N:"&amp;$AV485))</f>
        <v/>
      </c>
      <c r="AV485" s="31">
        <f>IF(OR($AS485="",$E$6=""),"",TRIM(INDEX($A:$AP,ROW(),$E$6)&amp;""))</f>
        <v/>
      </c>
      <c r="AW485" s="31">
        <f>IF($AU485="","",IF(MATCH($AU485,$AU$8:$AU$2007,0)=ROW()-7,MAX($AW$7:$AW484)+1,""))</f>
        <v/>
      </c>
      <c r="AX485" s="31">
        <f>IF(OR($AS485="",$D$6=""),"",TRIM(INDEX($A:$AP,ROW(),$D$6)&amp;""))</f>
        <v/>
      </c>
      <c r="AY485" s="31">
        <f>IF($AU485="","",INDEX($AW$8:$AW$2007,MATCH($AU485,$AU$8:$AU$2007,0)))</f>
        <v/>
      </c>
      <c r="AZ485" s="31">
        <f>IF(OR($AS485="",$C$6=""),"",TRIM(INDEX($A:$AP,ROW(),$C$6)&amp;""))</f>
        <v/>
      </c>
      <c r="BA485" s="31">
        <f>IF($AZ485="","",IF(COUNTIF($AZ$8:$AZ485,$AZ485)&gt;1,1,0))</f>
        <v/>
      </c>
    </row>
    <row r="486">
      <c r="AR486" s="31">
        <f>IF(OR($A$5="",$B$6="",ROW()&lt;$A$5),"",IF(INDEX($A:$AP,ROW(),$B$6)="","",INDEX($A:$AP,ROW(),$B$6)))</f>
        <v/>
      </c>
      <c r="AS486" s="32">
        <f>IF($AR486="","",IF(ISNUMBER($AR486),IF($AR486&gt;=10000000,IFERROR(DATE(INT($AR486/10000),MOD(INT($AR486/100),100),MOD($AR486,100)),""),INT($AR486)),IFERROR(DATE(--LEFT(LEFT(SUBSTITUTE(SUBSTITUTE(SUBSTITUTE(SUBSTITUTE(TRIM($AR486),"-",""),".",""),"/","")," ",""),8),4),--MID(LEFT(SUBSTITUTE(SUBSTITUTE(SUBSTITUTE(SUBSTITUTE(TRIM($AR486),"-",""),".",""),"/","")," ",""),8),5,2),--MID(LEFT(SUBSTITUTE(SUBSTITUTE(SUBSTITUTE(SUBSTITUTE(TRIM($AR486),"-",""),".",""),"/","")," ",""),8),7,2)),"")))</f>
        <v/>
      </c>
      <c r="AT486" s="33">
        <f>IF($AS486="","",IF($F$6="",0,IF(ISNUMBER(INDEX($A:$AP,ROW(),$F$6)),INDEX($A:$AP,ROW(),$F$6),IFERROR(--SUBSTITUTE(SUBSTITUTE(TRIM(INDEX($A:$AP,ROW(),$F$6)),",",""),"원",""),0))))</f>
        <v/>
      </c>
      <c r="AU486" s="31">
        <f>IF($AS486="","",IF($AX486&lt;&gt;"",SUBSTITUTE(SUBSTITUTE($AX486,"-","")," ",""),"N:"&amp;$AV486))</f>
        <v/>
      </c>
      <c r="AV486" s="31">
        <f>IF(OR($AS486="",$E$6=""),"",TRIM(INDEX($A:$AP,ROW(),$E$6)&amp;""))</f>
        <v/>
      </c>
      <c r="AW486" s="31">
        <f>IF($AU486="","",IF(MATCH($AU486,$AU$8:$AU$2007,0)=ROW()-7,MAX($AW$7:$AW485)+1,""))</f>
        <v/>
      </c>
      <c r="AX486" s="31">
        <f>IF(OR($AS486="",$D$6=""),"",TRIM(INDEX($A:$AP,ROW(),$D$6)&amp;""))</f>
        <v/>
      </c>
      <c r="AY486" s="31">
        <f>IF($AU486="","",INDEX($AW$8:$AW$2007,MATCH($AU486,$AU$8:$AU$2007,0)))</f>
        <v/>
      </c>
      <c r="AZ486" s="31">
        <f>IF(OR($AS486="",$C$6=""),"",TRIM(INDEX($A:$AP,ROW(),$C$6)&amp;""))</f>
        <v/>
      </c>
      <c r="BA486" s="31">
        <f>IF($AZ486="","",IF(COUNTIF($AZ$8:$AZ486,$AZ486)&gt;1,1,0))</f>
        <v/>
      </c>
    </row>
    <row r="487">
      <c r="AR487" s="31">
        <f>IF(OR($A$5="",$B$6="",ROW()&lt;$A$5),"",IF(INDEX($A:$AP,ROW(),$B$6)="","",INDEX($A:$AP,ROW(),$B$6)))</f>
        <v/>
      </c>
      <c r="AS487" s="32">
        <f>IF($AR487="","",IF(ISNUMBER($AR487),IF($AR487&gt;=10000000,IFERROR(DATE(INT($AR487/10000),MOD(INT($AR487/100),100),MOD($AR487,100)),""),INT($AR487)),IFERROR(DATE(--LEFT(LEFT(SUBSTITUTE(SUBSTITUTE(SUBSTITUTE(SUBSTITUTE(TRIM($AR487),"-",""),".",""),"/","")," ",""),8),4),--MID(LEFT(SUBSTITUTE(SUBSTITUTE(SUBSTITUTE(SUBSTITUTE(TRIM($AR487),"-",""),".",""),"/","")," ",""),8),5,2),--MID(LEFT(SUBSTITUTE(SUBSTITUTE(SUBSTITUTE(SUBSTITUTE(TRIM($AR487),"-",""),".",""),"/","")," ",""),8),7,2)),"")))</f>
        <v/>
      </c>
      <c r="AT487" s="33">
        <f>IF($AS487="","",IF($F$6="",0,IF(ISNUMBER(INDEX($A:$AP,ROW(),$F$6)),INDEX($A:$AP,ROW(),$F$6),IFERROR(--SUBSTITUTE(SUBSTITUTE(TRIM(INDEX($A:$AP,ROW(),$F$6)),",",""),"원",""),0))))</f>
        <v/>
      </c>
      <c r="AU487" s="31">
        <f>IF($AS487="","",IF($AX487&lt;&gt;"",SUBSTITUTE(SUBSTITUTE($AX487,"-","")," ",""),"N:"&amp;$AV487))</f>
        <v/>
      </c>
      <c r="AV487" s="31">
        <f>IF(OR($AS487="",$E$6=""),"",TRIM(INDEX($A:$AP,ROW(),$E$6)&amp;""))</f>
        <v/>
      </c>
      <c r="AW487" s="31">
        <f>IF($AU487="","",IF(MATCH($AU487,$AU$8:$AU$2007,0)=ROW()-7,MAX($AW$7:$AW486)+1,""))</f>
        <v/>
      </c>
      <c r="AX487" s="31">
        <f>IF(OR($AS487="",$D$6=""),"",TRIM(INDEX($A:$AP,ROW(),$D$6)&amp;""))</f>
        <v/>
      </c>
      <c r="AY487" s="31">
        <f>IF($AU487="","",INDEX($AW$8:$AW$2007,MATCH($AU487,$AU$8:$AU$2007,0)))</f>
        <v/>
      </c>
      <c r="AZ487" s="31">
        <f>IF(OR($AS487="",$C$6=""),"",TRIM(INDEX($A:$AP,ROW(),$C$6)&amp;""))</f>
        <v/>
      </c>
      <c r="BA487" s="31">
        <f>IF($AZ487="","",IF(COUNTIF($AZ$8:$AZ487,$AZ487)&gt;1,1,0))</f>
        <v/>
      </c>
    </row>
    <row r="488">
      <c r="AR488" s="31">
        <f>IF(OR($A$5="",$B$6="",ROW()&lt;$A$5),"",IF(INDEX($A:$AP,ROW(),$B$6)="","",INDEX($A:$AP,ROW(),$B$6)))</f>
        <v/>
      </c>
      <c r="AS488" s="32">
        <f>IF($AR488="","",IF(ISNUMBER($AR488),IF($AR488&gt;=10000000,IFERROR(DATE(INT($AR488/10000),MOD(INT($AR488/100),100),MOD($AR488,100)),""),INT($AR488)),IFERROR(DATE(--LEFT(LEFT(SUBSTITUTE(SUBSTITUTE(SUBSTITUTE(SUBSTITUTE(TRIM($AR488),"-",""),".",""),"/","")," ",""),8),4),--MID(LEFT(SUBSTITUTE(SUBSTITUTE(SUBSTITUTE(SUBSTITUTE(TRIM($AR488),"-",""),".",""),"/","")," ",""),8),5,2),--MID(LEFT(SUBSTITUTE(SUBSTITUTE(SUBSTITUTE(SUBSTITUTE(TRIM($AR488),"-",""),".",""),"/","")," ",""),8),7,2)),"")))</f>
        <v/>
      </c>
      <c r="AT488" s="33">
        <f>IF($AS488="","",IF($F$6="",0,IF(ISNUMBER(INDEX($A:$AP,ROW(),$F$6)),INDEX($A:$AP,ROW(),$F$6),IFERROR(--SUBSTITUTE(SUBSTITUTE(TRIM(INDEX($A:$AP,ROW(),$F$6)),",",""),"원",""),0))))</f>
        <v/>
      </c>
      <c r="AU488" s="31">
        <f>IF($AS488="","",IF($AX488&lt;&gt;"",SUBSTITUTE(SUBSTITUTE($AX488,"-","")," ",""),"N:"&amp;$AV488))</f>
        <v/>
      </c>
      <c r="AV488" s="31">
        <f>IF(OR($AS488="",$E$6=""),"",TRIM(INDEX($A:$AP,ROW(),$E$6)&amp;""))</f>
        <v/>
      </c>
      <c r="AW488" s="31">
        <f>IF($AU488="","",IF(MATCH($AU488,$AU$8:$AU$2007,0)=ROW()-7,MAX($AW$7:$AW487)+1,""))</f>
        <v/>
      </c>
      <c r="AX488" s="31">
        <f>IF(OR($AS488="",$D$6=""),"",TRIM(INDEX($A:$AP,ROW(),$D$6)&amp;""))</f>
        <v/>
      </c>
      <c r="AY488" s="31">
        <f>IF($AU488="","",INDEX($AW$8:$AW$2007,MATCH($AU488,$AU$8:$AU$2007,0)))</f>
        <v/>
      </c>
      <c r="AZ488" s="31">
        <f>IF(OR($AS488="",$C$6=""),"",TRIM(INDEX($A:$AP,ROW(),$C$6)&amp;""))</f>
        <v/>
      </c>
      <c r="BA488" s="31">
        <f>IF($AZ488="","",IF(COUNTIF($AZ$8:$AZ488,$AZ488)&gt;1,1,0))</f>
        <v/>
      </c>
    </row>
    <row r="489">
      <c r="AR489" s="31">
        <f>IF(OR($A$5="",$B$6="",ROW()&lt;$A$5),"",IF(INDEX($A:$AP,ROW(),$B$6)="","",INDEX($A:$AP,ROW(),$B$6)))</f>
        <v/>
      </c>
      <c r="AS489" s="32">
        <f>IF($AR489="","",IF(ISNUMBER($AR489),IF($AR489&gt;=10000000,IFERROR(DATE(INT($AR489/10000),MOD(INT($AR489/100),100),MOD($AR489,100)),""),INT($AR489)),IFERROR(DATE(--LEFT(LEFT(SUBSTITUTE(SUBSTITUTE(SUBSTITUTE(SUBSTITUTE(TRIM($AR489),"-",""),".",""),"/","")," ",""),8),4),--MID(LEFT(SUBSTITUTE(SUBSTITUTE(SUBSTITUTE(SUBSTITUTE(TRIM($AR489),"-",""),".",""),"/","")," ",""),8),5,2),--MID(LEFT(SUBSTITUTE(SUBSTITUTE(SUBSTITUTE(SUBSTITUTE(TRIM($AR489),"-",""),".",""),"/","")," ",""),8),7,2)),"")))</f>
        <v/>
      </c>
      <c r="AT489" s="33">
        <f>IF($AS489="","",IF($F$6="",0,IF(ISNUMBER(INDEX($A:$AP,ROW(),$F$6)),INDEX($A:$AP,ROW(),$F$6),IFERROR(--SUBSTITUTE(SUBSTITUTE(TRIM(INDEX($A:$AP,ROW(),$F$6)),",",""),"원",""),0))))</f>
        <v/>
      </c>
      <c r="AU489" s="31">
        <f>IF($AS489="","",IF($AX489&lt;&gt;"",SUBSTITUTE(SUBSTITUTE($AX489,"-","")," ",""),"N:"&amp;$AV489))</f>
        <v/>
      </c>
      <c r="AV489" s="31">
        <f>IF(OR($AS489="",$E$6=""),"",TRIM(INDEX($A:$AP,ROW(),$E$6)&amp;""))</f>
        <v/>
      </c>
      <c r="AW489" s="31">
        <f>IF($AU489="","",IF(MATCH($AU489,$AU$8:$AU$2007,0)=ROW()-7,MAX($AW$7:$AW488)+1,""))</f>
        <v/>
      </c>
      <c r="AX489" s="31">
        <f>IF(OR($AS489="",$D$6=""),"",TRIM(INDEX($A:$AP,ROW(),$D$6)&amp;""))</f>
        <v/>
      </c>
      <c r="AY489" s="31">
        <f>IF($AU489="","",INDEX($AW$8:$AW$2007,MATCH($AU489,$AU$8:$AU$2007,0)))</f>
        <v/>
      </c>
      <c r="AZ489" s="31">
        <f>IF(OR($AS489="",$C$6=""),"",TRIM(INDEX($A:$AP,ROW(),$C$6)&amp;""))</f>
        <v/>
      </c>
      <c r="BA489" s="31">
        <f>IF($AZ489="","",IF(COUNTIF($AZ$8:$AZ489,$AZ489)&gt;1,1,0))</f>
        <v/>
      </c>
    </row>
    <row r="490">
      <c r="AR490" s="31">
        <f>IF(OR($A$5="",$B$6="",ROW()&lt;$A$5),"",IF(INDEX($A:$AP,ROW(),$B$6)="","",INDEX($A:$AP,ROW(),$B$6)))</f>
        <v/>
      </c>
      <c r="AS490" s="32">
        <f>IF($AR490="","",IF(ISNUMBER($AR490),IF($AR490&gt;=10000000,IFERROR(DATE(INT($AR490/10000),MOD(INT($AR490/100),100),MOD($AR490,100)),""),INT($AR490)),IFERROR(DATE(--LEFT(LEFT(SUBSTITUTE(SUBSTITUTE(SUBSTITUTE(SUBSTITUTE(TRIM($AR490),"-",""),".",""),"/","")," ",""),8),4),--MID(LEFT(SUBSTITUTE(SUBSTITUTE(SUBSTITUTE(SUBSTITUTE(TRIM($AR490),"-",""),".",""),"/","")," ",""),8),5,2),--MID(LEFT(SUBSTITUTE(SUBSTITUTE(SUBSTITUTE(SUBSTITUTE(TRIM($AR490),"-",""),".",""),"/","")," ",""),8),7,2)),"")))</f>
        <v/>
      </c>
      <c r="AT490" s="33">
        <f>IF($AS490="","",IF($F$6="",0,IF(ISNUMBER(INDEX($A:$AP,ROW(),$F$6)),INDEX($A:$AP,ROW(),$F$6),IFERROR(--SUBSTITUTE(SUBSTITUTE(TRIM(INDEX($A:$AP,ROW(),$F$6)),",",""),"원",""),0))))</f>
        <v/>
      </c>
      <c r="AU490" s="31">
        <f>IF($AS490="","",IF($AX490&lt;&gt;"",SUBSTITUTE(SUBSTITUTE($AX490,"-","")," ",""),"N:"&amp;$AV490))</f>
        <v/>
      </c>
      <c r="AV490" s="31">
        <f>IF(OR($AS490="",$E$6=""),"",TRIM(INDEX($A:$AP,ROW(),$E$6)&amp;""))</f>
        <v/>
      </c>
      <c r="AW490" s="31">
        <f>IF($AU490="","",IF(MATCH($AU490,$AU$8:$AU$2007,0)=ROW()-7,MAX($AW$7:$AW489)+1,""))</f>
        <v/>
      </c>
      <c r="AX490" s="31">
        <f>IF(OR($AS490="",$D$6=""),"",TRIM(INDEX($A:$AP,ROW(),$D$6)&amp;""))</f>
        <v/>
      </c>
      <c r="AY490" s="31">
        <f>IF($AU490="","",INDEX($AW$8:$AW$2007,MATCH($AU490,$AU$8:$AU$2007,0)))</f>
        <v/>
      </c>
      <c r="AZ490" s="31">
        <f>IF(OR($AS490="",$C$6=""),"",TRIM(INDEX($A:$AP,ROW(),$C$6)&amp;""))</f>
        <v/>
      </c>
      <c r="BA490" s="31">
        <f>IF($AZ490="","",IF(COUNTIF($AZ$8:$AZ490,$AZ490)&gt;1,1,0))</f>
        <v/>
      </c>
    </row>
    <row r="491">
      <c r="AR491" s="31">
        <f>IF(OR($A$5="",$B$6="",ROW()&lt;$A$5),"",IF(INDEX($A:$AP,ROW(),$B$6)="","",INDEX($A:$AP,ROW(),$B$6)))</f>
        <v/>
      </c>
      <c r="AS491" s="32">
        <f>IF($AR491="","",IF(ISNUMBER($AR491),IF($AR491&gt;=10000000,IFERROR(DATE(INT($AR491/10000),MOD(INT($AR491/100),100),MOD($AR491,100)),""),INT($AR491)),IFERROR(DATE(--LEFT(LEFT(SUBSTITUTE(SUBSTITUTE(SUBSTITUTE(SUBSTITUTE(TRIM($AR491),"-",""),".",""),"/","")," ",""),8),4),--MID(LEFT(SUBSTITUTE(SUBSTITUTE(SUBSTITUTE(SUBSTITUTE(TRIM($AR491),"-",""),".",""),"/","")," ",""),8),5,2),--MID(LEFT(SUBSTITUTE(SUBSTITUTE(SUBSTITUTE(SUBSTITUTE(TRIM($AR491),"-",""),".",""),"/","")," ",""),8),7,2)),"")))</f>
        <v/>
      </c>
      <c r="AT491" s="33">
        <f>IF($AS491="","",IF($F$6="",0,IF(ISNUMBER(INDEX($A:$AP,ROW(),$F$6)),INDEX($A:$AP,ROW(),$F$6),IFERROR(--SUBSTITUTE(SUBSTITUTE(TRIM(INDEX($A:$AP,ROW(),$F$6)),",",""),"원",""),0))))</f>
        <v/>
      </c>
      <c r="AU491" s="31">
        <f>IF($AS491="","",IF($AX491&lt;&gt;"",SUBSTITUTE(SUBSTITUTE($AX491,"-","")," ",""),"N:"&amp;$AV491))</f>
        <v/>
      </c>
      <c r="AV491" s="31">
        <f>IF(OR($AS491="",$E$6=""),"",TRIM(INDEX($A:$AP,ROW(),$E$6)&amp;""))</f>
        <v/>
      </c>
      <c r="AW491" s="31">
        <f>IF($AU491="","",IF(MATCH($AU491,$AU$8:$AU$2007,0)=ROW()-7,MAX($AW$7:$AW490)+1,""))</f>
        <v/>
      </c>
      <c r="AX491" s="31">
        <f>IF(OR($AS491="",$D$6=""),"",TRIM(INDEX($A:$AP,ROW(),$D$6)&amp;""))</f>
        <v/>
      </c>
      <c r="AY491" s="31">
        <f>IF($AU491="","",INDEX($AW$8:$AW$2007,MATCH($AU491,$AU$8:$AU$2007,0)))</f>
        <v/>
      </c>
      <c r="AZ491" s="31">
        <f>IF(OR($AS491="",$C$6=""),"",TRIM(INDEX($A:$AP,ROW(),$C$6)&amp;""))</f>
        <v/>
      </c>
      <c r="BA491" s="31">
        <f>IF($AZ491="","",IF(COUNTIF($AZ$8:$AZ491,$AZ491)&gt;1,1,0))</f>
        <v/>
      </c>
    </row>
    <row r="492">
      <c r="AR492" s="31">
        <f>IF(OR($A$5="",$B$6="",ROW()&lt;$A$5),"",IF(INDEX($A:$AP,ROW(),$B$6)="","",INDEX($A:$AP,ROW(),$B$6)))</f>
        <v/>
      </c>
      <c r="AS492" s="32">
        <f>IF($AR492="","",IF(ISNUMBER($AR492),IF($AR492&gt;=10000000,IFERROR(DATE(INT($AR492/10000),MOD(INT($AR492/100),100),MOD($AR492,100)),""),INT($AR492)),IFERROR(DATE(--LEFT(LEFT(SUBSTITUTE(SUBSTITUTE(SUBSTITUTE(SUBSTITUTE(TRIM($AR492),"-",""),".",""),"/","")," ",""),8),4),--MID(LEFT(SUBSTITUTE(SUBSTITUTE(SUBSTITUTE(SUBSTITUTE(TRIM($AR492),"-",""),".",""),"/","")," ",""),8),5,2),--MID(LEFT(SUBSTITUTE(SUBSTITUTE(SUBSTITUTE(SUBSTITUTE(TRIM($AR492),"-",""),".",""),"/","")," ",""),8),7,2)),"")))</f>
        <v/>
      </c>
      <c r="AT492" s="33">
        <f>IF($AS492="","",IF($F$6="",0,IF(ISNUMBER(INDEX($A:$AP,ROW(),$F$6)),INDEX($A:$AP,ROW(),$F$6),IFERROR(--SUBSTITUTE(SUBSTITUTE(TRIM(INDEX($A:$AP,ROW(),$F$6)),",",""),"원",""),0))))</f>
        <v/>
      </c>
      <c r="AU492" s="31">
        <f>IF($AS492="","",IF($AX492&lt;&gt;"",SUBSTITUTE(SUBSTITUTE($AX492,"-","")," ",""),"N:"&amp;$AV492))</f>
        <v/>
      </c>
      <c r="AV492" s="31">
        <f>IF(OR($AS492="",$E$6=""),"",TRIM(INDEX($A:$AP,ROW(),$E$6)&amp;""))</f>
        <v/>
      </c>
      <c r="AW492" s="31">
        <f>IF($AU492="","",IF(MATCH($AU492,$AU$8:$AU$2007,0)=ROW()-7,MAX($AW$7:$AW491)+1,""))</f>
        <v/>
      </c>
      <c r="AX492" s="31">
        <f>IF(OR($AS492="",$D$6=""),"",TRIM(INDEX($A:$AP,ROW(),$D$6)&amp;""))</f>
        <v/>
      </c>
      <c r="AY492" s="31">
        <f>IF($AU492="","",INDEX($AW$8:$AW$2007,MATCH($AU492,$AU$8:$AU$2007,0)))</f>
        <v/>
      </c>
      <c r="AZ492" s="31">
        <f>IF(OR($AS492="",$C$6=""),"",TRIM(INDEX($A:$AP,ROW(),$C$6)&amp;""))</f>
        <v/>
      </c>
      <c r="BA492" s="31">
        <f>IF($AZ492="","",IF(COUNTIF($AZ$8:$AZ492,$AZ492)&gt;1,1,0))</f>
        <v/>
      </c>
    </row>
    <row r="493">
      <c r="AR493" s="31">
        <f>IF(OR($A$5="",$B$6="",ROW()&lt;$A$5),"",IF(INDEX($A:$AP,ROW(),$B$6)="","",INDEX($A:$AP,ROW(),$B$6)))</f>
        <v/>
      </c>
      <c r="AS493" s="32">
        <f>IF($AR493="","",IF(ISNUMBER($AR493),IF($AR493&gt;=10000000,IFERROR(DATE(INT($AR493/10000),MOD(INT($AR493/100),100),MOD($AR493,100)),""),INT($AR493)),IFERROR(DATE(--LEFT(LEFT(SUBSTITUTE(SUBSTITUTE(SUBSTITUTE(SUBSTITUTE(TRIM($AR493),"-",""),".",""),"/","")," ",""),8),4),--MID(LEFT(SUBSTITUTE(SUBSTITUTE(SUBSTITUTE(SUBSTITUTE(TRIM($AR493),"-",""),".",""),"/","")," ",""),8),5,2),--MID(LEFT(SUBSTITUTE(SUBSTITUTE(SUBSTITUTE(SUBSTITUTE(TRIM($AR493),"-",""),".",""),"/","")," ",""),8),7,2)),"")))</f>
        <v/>
      </c>
      <c r="AT493" s="33">
        <f>IF($AS493="","",IF($F$6="",0,IF(ISNUMBER(INDEX($A:$AP,ROW(),$F$6)),INDEX($A:$AP,ROW(),$F$6),IFERROR(--SUBSTITUTE(SUBSTITUTE(TRIM(INDEX($A:$AP,ROW(),$F$6)),",",""),"원",""),0))))</f>
        <v/>
      </c>
      <c r="AU493" s="31">
        <f>IF($AS493="","",IF($AX493&lt;&gt;"",SUBSTITUTE(SUBSTITUTE($AX493,"-","")," ",""),"N:"&amp;$AV493))</f>
        <v/>
      </c>
      <c r="AV493" s="31">
        <f>IF(OR($AS493="",$E$6=""),"",TRIM(INDEX($A:$AP,ROW(),$E$6)&amp;""))</f>
        <v/>
      </c>
      <c r="AW493" s="31">
        <f>IF($AU493="","",IF(MATCH($AU493,$AU$8:$AU$2007,0)=ROW()-7,MAX($AW$7:$AW492)+1,""))</f>
        <v/>
      </c>
      <c r="AX493" s="31">
        <f>IF(OR($AS493="",$D$6=""),"",TRIM(INDEX($A:$AP,ROW(),$D$6)&amp;""))</f>
        <v/>
      </c>
      <c r="AY493" s="31">
        <f>IF($AU493="","",INDEX($AW$8:$AW$2007,MATCH($AU493,$AU$8:$AU$2007,0)))</f>
        <v/>
      </c>
      <c r="AZ493" s="31">
        <f>IF(OR($AS493="",$C$6=""),"",TRIM(INDEX($A:$AP,ROW(),$C$6)&amp;""))</f>
        <v/>
      </c>
      <c r="BA493" s="31">
        <f>IF($AZ493="","",IF(COUNTIF($AZ$8:$AZ493,$AZ493)&gt;1,1,0))</f>
        <v/>
      </c>
    </row>
    <row r="494">
      <c r="AR494" s="31">
        <f>IF(OR($A$5="",$B$6="",ROW()&lt;$A$5),"",IF(INDEX($A:$AP,ROW(),$B$6)="","",INDEX($A:$AP,ROW(),$B$6)))</f>
        <v/>
      </c>
      <c r="AS494" s="32">
        <f>IF($AR494="","",IF(ISNUMBER($AR494),IF($AR494&gt;=10000000,IFERROR(DATE(INT($AR494/10000),MOD(INT($AR494/100),100),MOD($AR494,100)),""),INT($AR494)),IFERROR(DATE(--LEFT(LEFT(SUBSTITUTE(SUBSTITUTE(SUBSTITUTE(SUBSTITUTE(TRIM($AR494),"-",""),".",""),"/","")," ",""),8),4),--MID(LEFT(SUBSTITUTE(SUBSTITUTE(SUBSTITUTE(SUBSTITUTE(TRIM($AR494),"-",""),".",""),"/","")," ",""),8),5,2),--MID(LEFT(SUBSTITUTE(SUBSTITUTE(SUBSTITUTE(SUBSTITUTE(TRIM($AR494),"-",""),".",""),"/","")," ",""),8),7,2)),"")))</f>
        <v/>
      </c>
      <c r="AT494" s="33">
        <f>IF($AS494="","",IF($F$6="",0,IF(ISNUMBER(INDEX($A:$AP,ROW(),$F$6)),INDEX($A:$AP,ROW(),$F$6),IFERROR(--SUBSTITUTE(SUBSTITUTE(TRIM(INDEX($A:$AP,ROW(),$F$6)),",",""),"원",""),0))))</f>
        <v/>
      </c>
      <c r="AU494" s="31">
        <f>IF($AS494="","",IF($AX494&lt;&gt;"",SUBSTITUTE(SUBSTITUTE($AX494,"-","")," ",""),"N:"&amp;$AV494))</f>
        <v/>
      </c>
      <c r="AV494" s="31">
        <f>IF(OR($AS494="",$E$6=""),"",TRIM(INDEX($A:$AP,ROW(),$E$6)&amp;""))</f>
        <v/>
      </c>
      <c r="AW494" s="31">
        <f>IF($AU494="","",IF(MATCH($AU494,$AU$8:$AU$2007,0)=ROW()-7,MAX($AW$7:$AW493)+1,""))</f>
        <v/>
      </c>
      <c r="AX494" s="31">
        <f>IF(OR($AS494="",$D$6=""),"",TRIM(INDEX($A:$AP,ROW(),$D$6)&amp;""))</f>
        <v/>
      </c>
      <c r="AY494" s="31">
        <f>IF($AU494="","",INDEX($AW$8:$AW$2007,MATCH($AU494,$AU$8:$AU$2007,0)))</f>
        <v/>
      </c>
      <c r="AZ494" s="31">
        <f>IF(OR($AS494="",$C$6=""),"",TRIM(INDEX($A:$AP,ROW(),$C$6)&amp;""))</f>
        <v/>
      </c>
      <c r="BA494" s="31">
        <f>IF($AZ494="","",IF(COUNTIF($AZ$8:$AZ494,$AZ494)&gt;1,1,0))</f>
        <v/>
      </c>
    </row>
    <row r="495">
      <c r="AR495" s="31">
        <f>IF(OR($A$5="",$B$6="",ROW()&lt;$A$5),"",IF(INDEX($A:$AP,ROW(),$B$6)="","",INDEX($A:$AP,ROW(),$B$6)))</f>
        <v/>
      </c>
      <c r="AS495" s="32">
        <f>IF($AR495="","",IF(ISNUMBER($AR495),IF($AR495&gt;=10000000,IFERROR(DATE(INT($AR495/10000),MOD(INT($AR495/100),100),MOD($AR495,100)),""),INT($AR495)),IFERROR(DATE(--LEFT(LEFT(SUBSTITUTE(SUBSTITUTE(SUBSTITUTE(SUBSTITUTE(TRIM($AR495),"-",""),".",""),"/","")," ",""),8),4),--MID(LEFT(SUBSTITUTE(SUBSTITUTE(SUBSTITUTE(SUBSTITUTE(TRIM($AR495),"-",""),".",""),"/","")," ",""),8),5,2),--MID(LEFT(SUBSTITUTE(SUBSTITUTE(SUBSTITUTE(SUBSTITUTE(TRIM($AR495),"-",""),".",""),"/","")," ",""),8),7,2)),"")))</f>
        <v/>
      </c>
      <c r="AT495" s="33">
        <f>IF($AS495="","",IF($F$6="",0,IF(ISNUMBER(INDEX($A:$AP,ROW(),$F$6)),INDEX($A:$AP,ROW(),$F$6),IFERROR(--SUBSTITUTE(SUBSTITUTE(TRIM(INDEX($A:$AP,ROW(),$F$6)),",",""),"원",""),0))))</f>
        <v/>
      </c>
      <c r="AU495" s="31">
        <f>IF($AS495="","",IF($AX495&lt;&gt;"",SUBSTITUTE(SUBSTITUTE($AX495,"-","")," ",""),"N:"&amp;$AV495))</f>
        <v/>
      </c>
      <c r="AV495" s="31">
        <f>IF(OR($AS495="",$E$6=""),"",TRIM(INDEX($A:$AP,ROW(),$E$6)&amp;""))</f>
        <v/>
      </c>
      <c r="AW495" s="31">
        <f>IF($AU495="","",IF(MATCH($AU495,$AU$8:$AU$2007,0)=ROW()-7,MAX($AW$7:$AW494)+1,""))</f>
        <v/>
      </c>
      <c r="AX495" s="31">
        <f>IF(OR($AS495="",$D$6=""),"",TRIM(INDEX($A:$AP,ROW(),$D$6)&amp;""))</f>
        <v/>
      </c>
      <c r="AY495" s="31">
        <f>IF($AU495="","",INDEX($AW$8:$AW$2007,MATCH($AU495,$AU$8:$AU$2007,0)))</f>
        <v/>
      </c>
      <c r="AZ495" s="31">
        <f>IF(OR($AS495="",$C$6=""),"",TRIM(INDEX($A:$AP,ROW(),$C$6)&amp;""))</f>
        <v/>
      </c>
      <c r="BA495" s="31">
        <f>IF($AZ495="","",IF(COUNTIF($AZ$8:$AZ495,$AZ495)&gt;1,1,0))</f>
        <v/>
      </c>
    </row>
    <row r="496">
      <c r="AR496" s="31">
        <f>IF(OR($A$5="",$B$6="",ROW()&lt;$A$5),"",IF(INDEX($A:$AP,ROW(),$B$6)="","",INDEX($A:$AP,ROW(),$B$6)))</f>
        <v/>
      </c>
      <c r="AS496" s="32">
        <f>IF($AR496="","",IF(ISNUMBER($AR496),IF($AR496&gt;=10000000,IFERROR(DATE(INT($AR496/10000),MOD(INT($AR496/100),100),MOD($AR496,100)),""),INT($AR496)),IFERROR(DATE(--LEFT(LEFT(SUBSTITUTE(SUBSTITUTE(SUBSTITUTE(SUBSTITUTE(TRIM($AR496),"-",""),".",""),"/","")," ",""),8),4),--MID(LEFT(SUBSTITUTE(SUBSTITUTE(SUBSTITUTE(SUBSTITUTE(TRIM($AR496),"-",""),".",""),"/","")," ",""),8),5,2),--MID(LEFT(SUBSTITUTE(SUBSTITUTE(SUBSTITUTE(SUBSTITUTE(TRIM($AR496),"-",""),".",""),"/","")," ",""),8),7,2)),"")))</f>
        <v/>
      </c>
      <c r="AT496" s="33">
        <f>IF($AS496="","",IF($F$6="",0,IF(ISNUMBER(INDEX($A:$AP,ROW(),$F$6)),INDEX($A:$AP,ROW(),$F$6),IFERROR(--SUBSTITUTE(SUBSTITUTE(TRIM(INDEX($A:$AP,ROW(),$F$6)),",",""),"원",""),0))))</f>
        <v/>
      </c>
      <c r="AU496" s="31">
        <f>IF($AS496="","",IF($AX496&lt;&gt;"",SUBSTITUTE(SUBSTITUTE($AX496,"-","")," ",""),"N:"&amp;$AV496))</f>
        <v/>
      </c>
      <c r="AV496" s="31">
        <f>IF(OR($AS496="",$E$6=""),"",TRIM(INDEX($A:$AP,ROW(),$E$6)&amp;""))</f>
        <v/>
      </c>
      <c r="AW496" s="31">
        <f>IF($AU496="","",IF(MATCH($AU496,$AU$8:$AU$2007,0)=ROW()-7,MAX($AW$7:$AW495)+1,""))</f>
        <v/>
      </c>
      <c r="AX496" s="31">
        <f>IF(OR($AS496="",$D$6=""),"",TRIM(INDEX($A:$AP,ROW(),$D$6)&amp;""))</f>
        <v/>
      </c>
      <c r="AY496" s="31">
        <f>IF($AU496="","",INDEX($AW$8:$AW$2007,MATCH($AU496,$AU$8:$AU$2007,0)))</f>
        <v/>
      </c>
      <c r="AZ496" s="31">
        <f>IF(OR($AS496="",$C$6=""),"",TRIM(INDEX($A:$AP,ROW(),$C$6)&amp;""))</f>
        <v/>
      </c>
      <c r="BA496" s="31">
        <f>IF($AZ496="","",IF(COUNTIF($AZ$8:$AZ496,$AZ496)&gt;1,1,0))</f>
        <v/>
      </c>
    </row>
    <row r="497">
      <c r="AR497" s="31">
        <f>IF(OR($A$5="",$B$6="",ROW()&lt;$A$5),"",IF(INDEX($A:$AP,ROW(),$B$6)="","",INDEX($A:$AP,ROW(),$B$6)))</f>
        <v/>
      </c>
      <c r="AS497" s="32">
        <f>IF($AR497="","",IF(ISNUMBER($AR497),IF($AR497&gt;=10000000,IFERROR(DATE(INT($AR497/10000),MOD(INT($AR497/100),100),MOD($AR497,100)),""),INT($AR497)),IFERROR(DATE(--LEFT(LEFT(SUBSTITUTE(SUBSTITUTE(SUBSTITUTE(SUBSTITUTE(TRIM($AR497),"-",""),".",""),"/","")," ",""),8),4),--MID(LEFT(SUBSTITUTE(SUBSTITUTE(SUBSTITUTE(SUBSTITUTE(TRIM($AR497),"-",""),".",""),"/","")," ",""),8),5,2),--MID(LEFT(SUBSTITUTE(SUBSTITUTE(SUBSTITUTE(SUBSTITUTE(TRIM($AR497),"-",""),".",""),"/","")," ",""),8),7,2)),"")))</f>
        <v/>
      </c>
      <c r="AT497" s="33">
        <f>IF($AS497="","",IF($F$6="",0,IF(ISNUMBER(INDEX($A:$AP,ROW(),$F$6)),INDEX($A:$AP,ROW(),$F$6),IFERROR(--SUBSTITUTE(SUBSTITUTE(TRIM(INDEX($A:$AP,ROW(),$F$6)),",",""),"원",""),0))))</f>
        <v/>
      </c>
      <c r="AU497" s="31">
        <f>IF($AS497="","",IF($AX497&lt;&gt;"",SUBSTITUTE(SUBSTITUTE($AX497,"-","")," ",""),"N:"&amp;$AV497))</f>
        <v/>
      </c>
      <c r="AV497" s="31">
        <f>IF(OR($AS497="",$E$6=""),"",TRIM(INDEX($A:$AP,ROW(),$E$6)&amp;""))</f>
        <v/>
      </c>
      <c r="AW497" s="31">
        <f>IF($AU497="","",IF(MATCH($AU497,$AU$8:$AU$2007,0)=ROW()-7,MAX($AW$7:$AW496)+1,""))</f>
        <v/>
      </c>
      <c r="AX497" s="31">
        <f>IF(OR($AS497="",$D$6=""),"",TRIM(INDEX($A:$AP,ROW(),$D$6)&amp;""))</f>
        <v/>
      </c>
      <c r="AY497" s="31">
        <f>IF($AU497="","",INDEX($AW$8:$AW$2007,MATCH($AU497,$AU$8:$AU$2007,0)))</f>
        <v/>
      </c>
      <c r="AZ497" s="31">
        <f>IF(OR($AS497="",$C$6=""),"",TRIM(INDEX($A:$AP,ROW(),$C$6)&amp;""))</f>
        <v/>
      </c>
      <c r="BA497" s="31">
        <f>IF($AZ497="","",IF(COUNTIF($AZ$8:$AZ497,$AZ497)&gt;1,1,0))</f>
        <v/>
      </c>
    </row>
    <row r="498">
      <c r="AR498" s="31">
        <f>IF(OR($A$5="",$B$6="",ROW()&lt;$A$5),"",IF(INDEX($A:$AP,ROW(),$B$6)="","",INDEX($A:$AP,ROW(),$B$6)))</f>
        <v/>
      </c>
      <c r="AS498" s="32">
        <f>IF($AR498="","",IF(ISNUMBER($AR498),IF($AR498&gt;=10000000,IFERROR(DATE(INT($AR498/10000),MOD(INT($AR498/100),100),MOD($AR498,100)),""),INT($AR498)),IFERROR(DATE(--LEFT(LEFT(SUBSTITUTE(SUBSTITUTE(SUBSTITUTE(SUBSTITUTE(TRIM($AR498),"-",""),".",""),"/","")," ",""),8),4),--MID(LEFT(SUBSTITUTE(SUBSTITUTE(SUBSTITUTE(SUBSTITUTE(TRIM($AR498),"-",""),".",""),"/","")," ",""),8),5,2),--MID(LEFT(SUBSTITUTE(SUBSTITUTE(SUBSTITUTE(SUBSTITUTE(TRIM($AR498),"-",""),".",""),"/","")," ",""),8),7,2)),"")))</f>
        <v/>
      </c>
      <c r="AT498" s="33">
        <f>IF($AS498="","",IF($F$6="",0,IF(ISNUMBER(INDEX($A:$AP,ROW(),$F$6)),INDEX($A:$AP,ROW(),$F$6),IFERROR(--SUBSTITUTE(SUBSTITUTE(TRIM(INDEX($A:$AP,ROW(),$F$6)),",",""),"원",""),0))))</f>
        <v/>
      </c>
      <c r="AU498" s="31">
        <f>IF($AS498="","",IF($AX498&lt;&gt;"",SUBSTITUTE(SUBSTITUTE($AX498,"-","")," ",""),"N:"&amp;$AV498))</f>
        <v/>
      </c>
      <c r="AV498" s="31">
        <f>IF(OR($AS498="",$E$6=""),"",TRIM(INDEX($A:$AP,ROW(),$E$6)&amp;""))</f>
        <v/>
      </c>
      <c r="AW498" s="31">
        <f>IF($AU498="","",IF(MATCH($AU498,$AU$8:$AU$2007,0)=ROW()-7,MAX($AW$7:$AW497)+1,""))</f>
        <v/>
      </c>
      <c r="AX498" s="31">
        <f>IF(OR($AS498="",$D$6=""),"",TRIM(INDEX($A:$AP,ROW(),$D$6)&amp;""))</f>
        <v/>
      </c>
      <c r="AY498" s="31">
        <f>IF($AU498="","",INDEX($AW$8:$AW$2007,MATCH($AU498,$AU$8:$AU$2007,0)))</f>
        <v/>
      </c>
      <c r="AZ498" s="31">
        <f>IF(OR($AS498="",$C$6=""),"",TRIM(INDEX($A:$AP,ROW(),$C$6)&amp;""))</f>
        <v/>
      </c>
      <c r="BA498" s="31">
        <f>IF($AZ498="","",IF(COUNTIF($AZ$8:$AZ498,$AZ498)&gt;1,1,0))</f>
        <v/>
      </c>
    </row>
    <row r="499">
      <c r="AR499" s="31">
        <f>IF(OR($A$5="",$B$6="",ROW()&lt;$A$5),"",IF(INDEX($A:$AP,ROW(),$B$6)="","",INDEX($A:$AP,ROW(),$B$6)))</f>
        <v/>
      </c>
      <c r="AS499" s="32">
        <f>IF($AR499="","",IF(ISNUMBER($AR499),IF($AR499&gt;=10000000,IFERROR(DATE(INT($AR499/10000),MOD(INT($AR499/100),100),MOD($AR499,100)),""),INT($AR499)),IFERROR(DATE(--LEFT(LEFT(SUBSTITUTE(SUBSTITUTE(SUBSTITUTE(SUBSTITUTE(TRIM($AR499),"-",""),".",""),"/","")," ",""),8),4),--MID(LEFT(SUBSTITUTE(SUBSTITUTE(SUBSTITUTE(SUBSTITUTE(TRIM($AR499),"-",""),".",""),"/","")," ",""),8),5,2),--MID(LEFT(SUBSTITUTE(SUBSTITUTE(SUBSTITUTE(SUBSTITUTE(TRIM($AR499),"-",""),".",""),"/","")," ",""),8),7,2)),"")))</f>
        <v/>
      </c>
      <c r="AT499" s="33">
        <f>IF($AS499="","",IF($F$6="",0,IF(ISNUMBER(INDEX($A:$AP,ROW(),$F$6)),INDEX($A:$AP,ROW(),$F$6),IFERROR(--SUBSTITUTE(SUBSTITUTE(TRIM(INDEX($A:$AP,ROW(),$F$6)),",",""),"원",""),0))))</f>
        <v/>
      </c>
      <c r="AU499" s="31">
        <f>IF($AS499="","",IF($AX499&lt;&gt;"",SUBSTITUTE(SUBSTITUTE($AX499,"-","")," ",""),"N:"&amp;$AV499))</f>
        <v/>
      </c>
      <c r="AV499" s="31">
        <f>IF(OR($AS499="",$E$6=""),"",TRIM(INDEX($A:$AP,ROW(),$E$6)&amp;""))</f>
        <v/>
      </c>
      <c r="AW499" s="31">
        <f>IF($AU499="","",IF(MATCH($AU499,$AU$8:$AU$2007,0)=ROW()-7,MAX($AW$7:$AW498)+1,""))</f>
        <v/>
      </c>
      <c r="AX499" s="31">
        <f>IF(OR($AS499="",$D$6=""),"",TRIM(INDEX($A:$AP,ROW(),$D$6)&amp;""))</f>
        <v/>
      </c>
      <c r="AY499" s="31">
        <f>IF($AU499="","",INDEX($AW$8:$AW$2007,MATCH($AU499,$AU$8:$AU$2007,0)))</f>
        <v/>
      </c>
      <c r="AZ499" s="31">
        <f>IF(OR($AS499="",$C$6=""),"",TRIM(INDEX($A:$AP,ROW(),$C$6)&amp;""))</f>
        <v/>
      </c>
      <c r="BA499" s="31">
        <f>IF($AZ499="","",IF(COUNTIF($AZ$8:$AZ499,$AZ499)&gt;1,1,0))</f>
        <v/>
      </c>
    </row>
    <row r="500">
      <c r="AR500" s="31">
        <f>IF(OR($A$5="",$B$6="",ROW()&lt;$A$5),"",IF(INDEX($A:$AP,ROW(),$B$6)="","",INDEX($A:$AP,ROW(),$B$6)))</f>
        <v/>
      </c>
      <c r="AS500" s="32">
        <f>IF($AR500="","",IF(ISNUMBER($AR500),IF($AR500&gt;=10000000,IFERROR(DATE(INT($AR500/10000),MOD(INT($AR500/100),100),MOD($AR500,100)),""),INT($AR500)),IFERROR(DATE(--LEFT(LEFT(SUBSTITUTE(SUBSTITUTE(SUBSTITUTE(SUBSTITUTE(TRIM($AR500),"-",""),".",""),"/","")," ",""),8),4),--MID(LEFT(SUBSTITUTE(SUBSTITUTE(SUBSTITUTE(SUBSTITUTE(TRIM($AR500),"-",""),".",""),"/","")," ",""),8),5,2),--MID(LEFT(SUBSTITUTE(SUBSTITUTE(SUBSTITUTE(SUBSTITUTE(TRIM($AR500),"-",""),".",""),"/","")," ",""),8),7,2)),"")))</f>
        <v/>
      </c>
      <c r="AT500" s="33">
        <f>IF($AS500="","",IF($F$6="",0,IF(ISNUMBER(INDEX($A:$AP,ROW(),$F$6)),INDEX($A:$AP,ROW(),$F$6),IFERROR(--SUBSTITUTE(SUBSTITUTE(TRIM(INDEX($A:$AP,ROW(),$F$6)),",",""),"원",""),0))))</f>
        <v/>
      </c>
      <c r="AU500" s="31">
        <f>IF($AS500="","",IF($AX500&lt;&gt;"",SUBSTITUTE(SUBSTITUTE($AX500,"-","")," ",""),"N:"&amp;$AV500))</f>
        <v/>
      </c>
      <c r="AV500" s="31">
        <f>IF(OR($AS500="",$E$6=""),"",TRIM(INDEX($A:$AP,ROW(),$E$6)&amp;""))</f>
        <v/>
      </c>
      <c r="AW500" s="31">
        <f>IF($AU500="","",IF(MATCH($AU500,$AU$8:$AU$2007,0)=ROW()-7,MAX($AW$7:$AW499)+1,""))</f>
        <v/>
      </c>
      <c r="AX500" s="31">
        <f>IF(OR($AS500="",$D$6=""),"",TRIM(INDEX($A:$AP,ROW(),$D$6)&amp;""))</f>
        <v/>
      </c>
      <c r="AY500" s="31">
        <f>IF($AU500="","",INDEX($AW$8:$AW$2007,MATCH($AU500,$AU$8:$AU$2007,0)))</f>
        <v/>
      </c>
      <c r="AZ500" s="31">
        <f>IF(OR($AS500="",$C$6=""),"",TRIM(INDEX($A:$AP,ROW(),$C$6)&amp;""))</f>
        <v/>
      </c>
      <c r="BA500" s="31">
        <f>IF($AZ500="","",IF(COUNTIF($AZ$8:$AZ500,$AZ500)&gt;1,1,0))</f>
        <v/>
      </c>
    </row>
    <row r="501">
      <c r="AR501" s="31">
        <f>IF(OR($A$5="",$B$6="",ROW()&lt;$A$5),"",IF(INDEX($A:$AP,ROW(),$B$6)="","",INDEX($A:$AP,ROW(),$B$6)))</f>
        <v/>
      </c>
      <c r="AS501" s="32">
        <f>IF($AR501="","",IF(ISNUMBER($AR501),IF($AR501&gt;=10000000,IFERROR(DATE(INT($AR501/10000),MOD(INT($AR501/100),100),MOD($AR501,100)),""),INT($AR501)),IFERROR(DATE(--LEFT(LEFT(SUBSTITUTE(SUBSTITUTE(SUBSTITUTE(SUBSTITUTE(TRIM($AR501),"-",""),".",""),"/","")," ",""),8),4),--MID(LEFT(SUBSTITUTE(SUBSTITUTE(SUBSTITUTE(SUBSTITUTE(TRIM($AR501),"-",""),".",""),"/","")," ",""),8),5,2),--MID(LEFT(SUBSTITUTE(SUBSTITUTE(SUBSTITUTE(SUBSTITUTE(TRIM($AR501),"-",""),".",""),"/","")," ",""),8),7,2)),"")))</f>
        <v/>
      </c>
      <c r="AT501" s="33">
        <f>IF($AS501="","",IF($F$6="",0,IF(ISNUMBER(INDEX($A:$AP,ROW(),$F$6)),INDEX($A:$AP,ROW(),$F$6),IFERROR(--SUBSTITUTE(SUBSTITUTE(TRIM(INDEX($A:$AP,ROW(),$F$6)),",",""),"원",""),0))))</f>
        <v/>
      </c>
      <c r="AU501" s="31">
        <f>IF($AS501="","",IF($AX501&lt;&gt;"",SUBSTITUTE(SUBSTITUTE($AX501,"-","")," ",""),"N:"&amp;$AV501))</f>
        <v/>
      </c>
      <c r="AV501" s="31">
        <f>IF(OR($AS501="",$E$6=""),"",TRIM(INDEX($A:$AP,ROW(),$E$6)&amp;""))</f>
        <v/>
      </c>
      <c r="AW501" s="31">
        <f>IF($AU501="","",IF(MATCH($AU501,$AU$8:$AU$2007,0)=ROW()-7,MAX($AW$7:$AW500)+1,""))</f>
        <v/>
      </c>
      <c r="AX501" s="31">
        <f>IF(OR($AS501="",$D$6=""),"",TRIM(INDEX($A:$AP,ROW(),$D$6)&amp;""))</f>
        <v/>
      </c>
      <c r="AY501" s="31">
        <f>IF($AU501="","",INDEX($AW$8:$AW$2007,MATCH($AU501,$AU$8:$AU$2007,0)))</f>
        <v/>
      </c>
      <c r="AZ501" s="31">
        <f>IF(OR($AS501="",$C$6=""),"",TRIM(INDEX($A:$AP,ROW(),$C$6)&amp;""))</f>
        <v/>
      </c>
      <c r="BA501" s="31">
        <f>IF($AZ501="","",IF(COUNTIF($AZ$8:$AZ501,$AZ501)&gt;1,1,0))</f>
        <v/>
      </c>
    </row>
    <row r="502">
      <c r="AR502" s="31">
        <f>IF(OR($A$5="",$B$6="",ROW()&lt;$A$5),"",IF(INDEX($A:$AP,ROW(),$B$6)="","",INDEX($A:$AP,ROW(),$B$6)))</f>
        <v/>
      </c>
      <c r="AS502" s="32">
        <f>IF($AR502="","",IF(ISNUMBER($AR502),IF($AR502&gt;=10000000,IFERROR(DATE(INT($AR502/10000),MOD(INT($AR502/100),100),MOD($AR502,100)),""),INT($AR502)),IFERROR(DATE(--LEFT(LEFT(SUBSTITUTE(SUBSTITUTE(SUBSTITUTE(SUBSTITUTE(TRIM($AR502),"-",""),".",""),"/","")," ",""),8),4),--MID(LEFT(SUBSTITUTE(SUBSTITUTE(SUBSTITUTE(SUBSTITUTE(TRIM($AR502),"-",""),".",""),"/","")," ",""),8),5,2),--MID(LEFT(SUBSTITUTE(SUBSTITUTE(SUBSTITUTE(SUBSTITUTE(TRIM($AR502),"-",""),".",""),"/","")," ",""),8),7,2)),"")))</f>
        <v/>
      </c>
      <c r="AT502" s="33">
        <f>IF($AS502="","",IF($F$6="",0,IF(ISNUMBER(INDEX($A:$AP,ROW(),$F$6)),INDEX($A:$AP,ROW(),$F$6),IFERROR(--SUBSTITUTE(SUBSTITUTE(TRIM(INDEX($A:$AP,ROW(),$F$6)),",",""),"원",""),0))))</f>
        <v/>
      </c>
      <c r="AU502" s="31">
        <f>IF($AS502="","",IF($AX502&lt;&gt;"",SUBSTITUTE(SUBSTITUTE($AX502,"-","")," ",""),"N:"&amp;$AV502))</f>
        <v/>
      </c>
      <c r="AV502" s="31">
        <f>IF(OR($AS502="",$E$6=""),"",TRIM(INDEX($A:$AP,ROW(),$E$6)&amp;""))</f>
        <v/>
      </c>
      <c r="AW502" s="31">
        <f>IF($AU502="","",IF(MATCH($AU502,$AU$8:$AU$2007,0)=ROW()-7,MAX($AW$7:$AW501)+1,""))</f>
        <v/>
      </c>
      <c r="AX502" s="31">
        <f>IF(OR($AS502="",$D$6=""),"",TRIM(INDEX($A:$AP,ROW(),$D$6)&amp;""))</f>
        <v/>
      </c>
      <c r="AY502" s="31">
        <f>IF($AU502="","",INDEX($AW$8:$AW$2007,MATCH($AU502,$AU$8:$AU$2007,0)))</f>
        <v/>
      </c>
      <c r="AZ502" s="31">
        <f>IF(OR($AS502="",$C$6=""),"",TRIM(INDEX($A:$AP,ROW(),$C$6)&amp;""))</f>
        <v/>
      </c>
      <c r="BA502" s="31">
        <f>IF($AZ502="","",IF(COUNTIF($AZ$8:$AZ502,$AZ502)&gt;1,1,0))</f>
        <v/>
      </c>
    </row>
    <row r="503">
      <c r="AR503" s="31">
        <f>IF(OR($A$5="",$B$6="",ROW()&lt;$A$5),"",IF(INDEX($A:$AP,ROW(),$B$6)="","",INDEX($A:$AP,ROW(),$B$6)))</f>
        <v/>
      </c>
      <c r="AS503" s="32">
        <f>IF($AR503="","",IF(ISNUMBER($AR503),IF($AR503&gt;=10000000,IFERROR(DATE(INT($AR503/10000),MOD(INT($AR503/100),100),MOD($AR503,100)),""),INT($AR503)),IFERROR(DATE(--LEFT(LEFT(SUBSTITUTE(SUBSTITUTE(SUBSTITUTE(SUBSTITUTE(TRIM($AR503),"-",""),".",""),"/","")," ",""),8),4),--MID(LEFT(SUBSTITUTE(SUBSTITUTE(SUBSTITUTE(SUBSTITUTE(TRIM($AR503),"-",""),".",""),"/","")," ",""),8),5,2),--MID(LEFT(SUBSTITUTE(SUBSTITUTE(SUBSTITUTE(SUBSTITUTE(TRIM($AR503),"-",""),".",""),"/","")," ",""),8),7,2)),"")))</f>
        <v/>
      </c>
      <c r="AT503" s="33">
        <f>IF($AS503="","",IF($F$6="",0,IF(ISNUMBER(INDEX($A:$AP,ROW(),$F$6)),INDEX($A:$AP,ROW(),$F$6),IFERROR(--SUBSTITUTE(SUBSTITUTE(TRIM(INDEX($A:$AP,ROW(),$F$6)),",",""),"원",""),0))))</f>
        <v/>
      </c>
      <c r="AU503" s="31">
        <f>IF($AS503="","",IF($AX503&lt;&gt;"",SUBSTITUTE(SUBSTITUTE($AX503,"-","")," ",""),"N:"&amp;$AV503))</f>
        <v/>
      </c>
      <c r="AV503" s="31">
        <f>IF(OR($AS503="",$E$6=""),"",TRIM(INDEX($A:$AP,ROW(),$E$6)&amp;""))</f>
        <v/>
      </c>
      <c r="AW503" s="31">
        <f>IF($AU503="","",IF(MATCH($AU503,$AU$8:$AU$2007,0)=ROW()-7,MAX($AW$7:$AW502)+1,""))</f>
        <v/>
      </c>
      <c r="AX503" s="31">
        <f>IF(OR($AS503="",$D$6=""),"",TRIM(INDEX($A:$AP,ROW(),$D$6)&amp;""))</f>
        <v/>
      </c>
      <c r="AY503" s="31">
        <f>IF($AU503="","",INDEX($AW$8:$AW$2007,MATCH($AU503,$AU$8:$AU$2007,0)))</f>
        <v/>
      </c>
      <c r="AZ503" s="31">
        <f>IF(OR($AS503="",$C$6=""),"",TRIM(INDEX($A:$AP,ROW(),$C$6)&amp;""))</f>
        <v/>
      </c>
      <c r="BA503" s="31">
        <f>IF($AZ503="","",IF(COUNTIF($AZ$8:$AZ503,$AZ503)&gt;1,1,0))</f>
        <v/>
      </c>
    </row>
    <row r="504">
      <c r="AR504" s="31">
        <f>IF(OR($A$5="",$B$6="",ROW()&lt;$A$5),"",IF(INDEX($A:$AP,ROW(),$B$6)="","",INDEX($A:$AP,ROW(),$B$6)))</f>
        <v/>
      </c>
      <c r="AS504" s="32">
        <f>IF($AR504="","",IF(ISNUMBER($AR504),IF($AR504&gt;=10000000,IFERROR(DATE(INT($AR504/10000),MOD(INT($AR504/100),100),MOD($AR504,100)),""),INT($AR504)),IFERROR(DATE(--LEFT(LEFT(SUBSTITUTE(SUBSTITUTE(SUBSTITUTE(SUBSTITUTE(TRIM($AR504),"-",""),".",""),"/","")," ",""),8),4),--MID(LEFT(SUBSTITUTE(SUBSTITUTE(SUBSTITUTE(SUBSTITUTE(TRIM($AR504),"-",""),".",""),"/","")," ",""),8),5,2),--MID(LEFT(SUBSTITUTE(SUBSTITUTE(SUBSTITUTE(SUBSTITUTE(TRIM($AR504),"-",""),".",""),"/","")," ",""),8),7,2)),"")))</f>
        <v/>
      </c>
      <c r="AT504" s="33">
        <f>IF($AS504="","",IF($F$6="",0,IF(ISNUMBER(INDEX($A:$AP,ROW(),$F$6)),INDEX($A:$AP,ROW(),$F$6),IFERROR(--SUBSTITUTE(SUBSTITUTE(TRIM(INDEX($A:$AP,ROW(),$F$6)),",",""),"원",""),0))))</f>
        <v/>
      </c>
      <c r="AU504" s="31">
        <f>IF($AS504="","",IF($AX504&lt;&gt;"",SUBSTITUTE(SUBSTITUTE($AX504,"-","")," ",""),"N:"&amp;$AV504))</f>
        <v/>
      </c>
      <c r="AV504" s="31">
        <f>IF(OR($AS504="",$E$6=""),"",TRIM(INDEX($A:$AP,ROW(),$E$6)&amp;""))</f>
        <v/>
      </c>
      <c r="AW504" s="31">
        <f>IF($AU504="","",IF(MATCH($AU504,$AU$8:$AU$2007,0)=ROW()-7,MAX($AW$7:$AW503)+1,""))</f>
        <v/>
      </c>
      <c r="AX504" s="31">
        <f>IF(OR($AS504="",$D$6=""),"",TRIM(INDEX($A:$AP,ROW(),$D$6)&amp;""))</f>
        <v/>
      </c>
      <c r="AY504" s="31">
        <f>IF($AU504="","",INDEX($AW$8:$AW$2007,MATCH($AU504,$AU$8:$AU$2007,0)))</f>
        <v/>
      </c>
      <c r="AZ504" s="31">
        <f>IF(OR($AS504="",$C$6=""),"",TRIM(INDEX($A:$AP,ROW(),$C$6)&amp;""))</f>
        <v/>
      </c>
      <c r="BA504" s="31">
        <f>IF($AZ504="","",IF(COUNTIF($AZ$8:$AZ504,$AZ504)&gt;1,1,0))</f>
        <v/>
      </c>
    </row>
    <row r="505">
      <c r="AR505" s="31">
        <f>IF(OR($A$5="",$B$6="",ROW()&lt;$A$5),"",IF(INDEX($A:$AP,ROW(),$B$6)="","",INDEX($A:$AP,ROW(),$B$6)))</f>
        <v/>
      </c>
      <c r="AS505" s="32">
        <f>IF($AR505="","",IF(ISNUMBER($AR505),IF($AR505&gt;=10000000,IFERROR(DATE(INT($AR505/10000),MOD(INT($AR505/100),100),MOD($AR505,100)),""),INT($AR505)),IFERROR(DATE(--LEFT(LEFT(SUBSTITUTE(SUBSTITUTE(SUBSTITUTE(SUBSTITUTE(TRIM($AR505),"-",""),".",""),"/","")," ",""),8),4),--MID(LEFT(SUBSTITUTE(SUBSTITUTE(SUBSTITUTE(SUBSTITUTE(TRIM($AR505),"-",""),".",""),"/","")," ",""),8),5,2),--MID(LEFT(SUBSTITUTE(SUBSTITUTE(SUBSTITUTE(SUBSTITUTE(TRIM($AR505),"-",""),".",""),"/","")," ",""),8),7,2)),"")))</f>
        <v/>
      </c>
      <c r="AT505" s="33">
        <f>IF($AS505="","",IF($F$6="",0,IF(ISNUMBER(INDEX($A:$AP,ROW(),$F$6)),INDEX($A:$AP,ROW(),$F$6),IFERROR(--SUBSTITUTE(SUBSTITUTE(TRIM(INDEX($A:$AP,ROW(),$F$6)),",",""),"원",""),0))))</f>
        <v/>
      </c>
      <c r="AU505" s="31">
        <f>IF($AS505="","",IF($AX505&lt;&gt;"",SUBSTITUTE(SUBSTITUTE($AX505,"-","")," ",""),"N:"&amp;$AV505))</f>
        <v/>
      </c>
      <c r="AV505" s="31">
        <f>IF(OR($AS505="",$E$6=""),"",TRIM(INDEX($A:$AP,ROW(),$E$6)&amp;""))</f>
        <v/>
      </c>
      <c r="AW505" s="31">
        <f>IF($AU505="","",IF(MATCH($AU505,$AU$8:$AU$2007,0)=ROW()-7,MAX($AW$7:$AW504)+1,""))</f>
        <v/>
      </c>
      <c r="AX505" s="31">
        <f>IF(OR($AS505="",$D$6=""),"",TRIM(INDEX($A:$AP,ROW(),$D$6)&amp;""))</f>
        <v/>
      </c>
      <c r="AY505" s="31">
        <f>IF($AU505="","",INDEX($AW$8:$AW$2007,MATCH($AU505,$AU$8:$AU$2007,0)))</f>
        <v/>
      </c>
      <c r="AZ505" s="31">
        <f>IF(OR($AS505="",$C$6=""),"",TRIM(INDEX($A:$AP,ROW(),$C$6)&amp;""))</f>
        <v/>
      </c>
      <c r="BA505" s="31">
        <f>IF($AZ505="","",IF(COUNTIF($AZ$8:$AZ505,$AZ505)&gt;1,1,0))</f>
        <v/>
      </c>
    </row>
    <row r="506">
      <c r="AR506" s="31">
        <f>IF(OR($A$5="",$B$6="",ROW()&lt;$A$5),"",IF(INDEX($A:$AP,ROW(),$B$6)="","",INDEX($A:$AP,ROW(),$B$6)))</f>
        <v/>
      </c>
      <c r="AS506" s="32">
        <f>IF($AR506="","",IF(ISNUMBER($AR506),IF($AR506&gt;=10000000,IFERROR(DATE(INT($AR506/10000),MOD(INT($AR506/100),100),MOD($AR506,100)),""),INT($AR506)),IFERROR(DATE(--LEFT(LEFT(SUBSTITUTE(SUBSTITUTE(SUBSTITUTE(SUBSTITUTE(TRIM($AR506),"-",""),".",""),"/","")," ",""),8),4),--MID(LEFT(SUBSTITUTE(SUBSTITUTE(SUBSTITUTE(SUBSTITUTE(TRIM($AR506),"-",""),".",""),"/","")," ",""),8),5,2),--MID(LEFT(SUBSTITUTE(SUBSTITUTE(SUBSTITUTE(SUBSTITUTE(TRIM($AR506),"-",""),".",""),"/","")," ",""),8),7,2)),"")))</f>
        <v/>
      </c>
      <c r="AT506" s="33">
        <f>IF($AS506="","",IF($F$6="",0,IF(ISNUMBER(INDEX($A:$AP,ROW(),$F$6)),INDEX($A:$AP,ROW(),$F$6),IFERROR(--SUBSTITUTE(SUBSTITUTE(TRIM(INDEX($A:$AP,ROW(),$F$6)),",",""),"원",""),0))))</f>
        <v/>
      </c>
      <c r="AU506" s="31">
        <f>IF($AS506="","",IF($AX506&lt;&gt;"",SUBSTITUTE(SUBSTITUTE($AX506,"-","")," ",""),"N:"&amp;$AV506))</f>
        <v/>
      </c>
      <c r="AV506" s="31">
        <f>IF(OR($AS506="",$E$6=""),"",TRIM(INDEX($A:$AP,ROW(),$E$6)&amp;""))</f>
        <v/>
      </c>
      <c r="AW506" s="31">
        <f>IF($AU506="","",IF(MATCH($AU506,$AU$8:$AU$2007,0)=ROW()-7,MAX($AW$7:$AW505)+1,""))</f>
        <v/>
      </c>
      <c r="AX506" s="31">
        <f>IF(OR($AS506="",$D$6=""),"",TRIM(INDEX($A:$AP,ROW(),$D$6)&amp;""))</f>
        <v/>
      </c>
      <c r="AY506" s="31">
        <f>IF($AU506="","",INDEX($AW$8:$AW$2007,MATCH($AU506,$AU$8:$AU$2007,0)))</f>
        <v/>
      </c>
      <c r="AZ506" s="31">
        <f>IF(OR($AS506="",$C$6=""),"",TRIM(INDEX($A:$AP,ROW(),$C$6)&amp;""))</f>
        <v/>
      </c>
      <c r="BA506" s="31">
        <f>IF($AZ506="","",IF(COUNTIF($AZ$8:$AZ506,$AZ506)&gt;1,1,0))</f>
        <v/>
      </c>
    </row>
    <row r="507">
      <c r="AR507" s="31">
        <f>IF(OR($A$5="",$B$6="",ROW()&lt;$A$5),"",IF(INDEX($A:$AP,ROW(),$B$6)="","",INDEX($A:$AP,ROW(),$B$6)))</f>
        <v/>
      </c>
      <c r="AS507" s="32">
        <f>IF($AR507="","",IF(ISNUMBER($AR507),IF($AR507&gt;=10000000,IFERROR(DATE(INT($AR507/10000),MOD(INT($AR507/100),100),MOD($AR507,100)),""),INT($AR507)),IFERROR(DATE(--LEFT(LEFT(SUBSTITUTE(SUBSTITUTE(SUBSTITUTE(SUBSTITUTE(TRIM($AR507),"-",""),".",""),"/","")," ",""),8),4),--MID(LEFT(SUBSTITUTE(SUBSTITUTE(SUBSTITUTE(SUBSTITUTE(TRIM($AR507),"-",""),".",""),"/","")," ",""),8),5,2),--MID(LEFT(SUBSTITUTE(SUBSTITUTE(SUBSTITUTE(SUBSTITUTE(TRIM($AR507),"-",""),".",""),"/","")," ",""),8),7,2)),"")))</f>
        <v/>
      </c>
      <c r="AT507" s="33">
        <f>IF($AS507="","",IF($F$6="",0,IF(ISNUMBER(INDEX($A:$AP,ROW(),$F$6)),INDEX($A:$AP,ROW(),$F$6),IFERROR(--SUBSTITUTE(SUBSTITUTE(TRIM(INDEX($A:$AP,ROW(),$F$6)),",",""),"원",""),0))))</f>
        <v/>
      </c>
      <c r="AU507" s="31">
        <f>IF($AS507="","",IF($AX507&lt;&gt;"",SUBSTITUTE(SUBSTITUTE($AX507,"-","")," ",""),"N:"&amp;$AV507))</f>
        <v/>
      </c>
      <c r="AV507" s="31">
        <f>IF(OR($AS507="",$E$6=""),"",TRIM(INDEX($A:$AP,ROW(),$E$6)&amp;""))</f>
        <v/>
      </c>
      <c r="AW507" s="31">
        <f>IF($AU507="","",IF(MATCH($AU507,$AU$8:$AU$2007,0)=ROW()-7,MAX($AW$7:$AW506)+1,""))</f>
        <v/>
      </c>
      <c r="AX507" s="31">
        <f>IF(OR($AS507="",$D$6=""),"",TRIM(INDEX($A:$AP,ROW(),$D$6)&amp;""))</f>
        <v/>
      </c>
      <c r="AY507" s="31">
        <f>IF($AU507="","",INDEX($AW$8:$AW$2007,MATCH($AU507,$AU$8:$AU$2007,0)))</f>
        <v/>
      </c>
      <c r="AZ507" s="31">
        <f>IF(OR($AS507="",$C$6=""),"",TRIM(INDEX($A:$AP,ROW(),$C$6)&amp;""))</f>
        <v/>
      </c>
      <c r="BA507" s="31">
        <f>IF($AZ507="","",IF(COUNTIF($AZ$8:$AZ507,$AZ507)&gt;1,1,0))</f>
        <v/>
      </c>
    </row>
    <row r="508">
      <c r="AR508" s="31">
        <f>IF(OR($A$5="",$B$6="",ROW()&lt;$A$5),"",IF(INDEX($A:$AP,ROW(),$B$6)="","",INDEX($A:$AP,ROW(),$B$6)))</f>
        <v/>
      </c>
      <c r="AS508" s="32">
        <f>IF($AR508="","",IF(ISNUMBER($AR508),IF($AR508&gt;=10000000,IFERROR(DATE(INT($AR508/10000),MOD(INT($AR508/100),100),MOD($AR508,100)),""),INT($AR508)),IFERROR(DATE(--LEFT(LEFT(SUBSTITUTE(SUBSTITUTE(SUBSTITUTE(SUBSTITUTE(TRIM($AR508),"-",""),".",""),"/","")," ",""),8),4),--MID(LEFT(SUBSTITUTE(SUBSTITUTE(SUBSTITUTE(SUBSTITUTE(TRIM($AR508),"-",""),".",""),"/","")," ",""),8),5,2),--MID(LEFT(SUBSTITUTE(SUBSTITUTE(SUBSTITUTE(SUBSTITUTE(TRIM($AR508),"-",""),".",""),"/","")," ",""),8),7,2)),"")))</f>
        <v/>
      </c>
      <c r="AT508" s="33">
        <f>IF($AS508="","",IF($F$6="",0,IF(ISNUMBER(INDEX($A:$AP,ROW(),$F$6)),INDEX($A:$AP,ROW(),$F$6),IFERROR(--SUBSTITUTE(SUBSTITUTE(TRIM(INDEX($A:$AP,ROW(),$F$6)),",",""),"원",""),0))))</f>
        <v/>
      </c>
      <c r="AU508" s="31">
        <f>IF($AS508="","",IF($AX508&lt;&gt;"",SUBSTITUTE(SUBSTITUTE($AX508,"-","")," ",""),"N:"&amp;$AV508))</f>
        <v/>
      </c>
      <c r="AV508" s="31">
        <f>IF(OR($AS508="",$E$6=""),"",TRIM(INDEX($A:$AP,ROW(),$E$6)&amp;""))</f>
        <v/>
      </c>
      <c r="AW508" s="31">
        <f>IF($AU508="","",IF(MATCH($AU508,$AU$8:$AU$2007,0)=ROW()-7,MAX($AW$7:$AW507)+1,""))</f>
        <v/>
      </c>
      <c r="AX508" s="31">
        <f>IF(OR($AS508="",$D$6=""),"",TRIM(INDEX($A:$AP,ROW(),$D$6)&amp;""))</f>
        <v/>
      </c>
      <c r="AY508" s="31">
        <f>IF($AU508="","",INDEX($AW$8:$AW$2007,MATCH($AU508,$AU$8:$AU$2007,0)))</f>
        <v/>
      </c>
      <c r="AZ508" s="31">
        <f>IF(OR($AS508="",$C$6=""),"",TRIM(INDEX($A:$AP,ROW(),$C$6)&amp;""))</f>
        <v/>
      </c>
      <c r="BA508" s="31">
        <f>IF($AZ508="","",IF(COUNTIF($AZ$8:$AZ508,$AZ508)&gt;1,1,0))</f>
        <v/>
      </c>
    </row>
    <row r="509">
      <c r="AR509" s="31">
        <f>IF(OR($A$5="",$B$6="",ROW()&lt;$A$5),"",IF(INDEX($A:$AP,ROW(),$B$6)="","",INDEX($A:$AP,ROW(),$B$6)))</f>
        <v/>
      </c>
      <c r="AS509" s="32">
        <f>IF($AR509="","",IF(ISNUMBER($AR509),IF($AR509&gt;=10000000,IFERROR(DATE(INT($AR509/10000),MOD(INT($AR509/100),100),MOD($AR509,100)),""),INT($AR509)),IFERROR(DATE(--LEFT(LEFT(SUBSTITUTE(SUBSTITUTE(SUBSTITUTE(SUBSTITUTE(TRIM($AR509),"-",""),".",""),"/","")," ",""),8),4),--MID(LEFT(SUBSTITUTE(SUBSTITUTE(SUBSTITUTE(SUBSTITUTE(TRIM($AR509),"-",""),".",""),"/","")," ",""),8),5,2),--MID(LEFT(SUBSTITUTE(SUBSTITUTE(SUBSTITUTE(SUBSTITUTE(TRIM($AR509),"-",""),".",""),"/","")," ",""),8),7,2)),"")))</f>
        <v/>
      </c>
      <c r="AT509" s="33">
        <f>IF($AS509="","",IF($F$6="",0,IF(ISNUMBER(INDEX($A:$AP,ROW(),$F$6)),INDEX($A:$AP,ROW(),$F$6),IFERROR(--SUBSTITUTE(SUBSTITUTE(TRIM(INDEX($A:$AP,ROW(),$F$6)),",",""),"원",""),0))))</f>
        <v/>
      </c>
      <c r="AU509" s="31">
        <f>IF($AS509="","",IF($AX509&lt;&gt;"",SUBSTITUTE(SUBSTITUTE($AX509,"-","")," ",""),"N:"&amp;$AV509))</f>
        <v/>
      </c>
      <c r="AV509" s="31">
        <f>IF(OR($AS509="",$E$6=""),"",TRIM(INDEX($A:$AP,ROW(),$E$6)&amp;""))</f>
        <v/>
      </c>
      <c r="AW509" s="31">
        <f>IF($AU509="","",IF(MATCH($AU509,$AU$8:$AU$2007,0)=ROW()-7,MAX($AW$7:$AW508)+1,""))</f>
        <v/>
      </c>
      <c r="AX509" s="31">
        <f>IF(OR($AS509="",$D$6=""),"",TRIM(INDEX($A:$AP,ROW(),$D$6)&amp;""))</f>
        <v/>
      </c>
      <c r="AY509" s="31">
        <f>IF($AU509="","",INDEX($AW$8:$AW$2007,MATCH($AU509,$AU$8:$AU$2007,0)))</f>
        <v/>
      </c>
      <c r="AZ509" s="31">
        <f>IF(OR($AS509="",$C$6=""),"",TRIM(INDEX($A:$AP,ROW(),$C$6)&amp;""))</f>
        <v/>
      </c>
      <c r="BA509" s="31">
        <f>IF($AZ509="","",IF(COUNTIF($AZ$8:$AZ509,$AZ509)&gt;1,1,0))</f>
        <v/>
      </c>
    </row>
    <row r="510">
      <c r="AR510" s="31">
        <f>IF(OR($A$5="",$B$6="",ROW()&lt;$A$5),"",IF(INDEX($A:$AP,ROW(),$B$6)="","",INDEX($A:$AP,ROW(),$B$6)))</f>
        <v/>
      </c>
      <c r="AS510" s="32">
        <f>IF($AR510="","",IF(ISNUMBER($AR510),IF($AR510&gt;=10000000,IFERROR(DATE(INT($AR510/10000),MOD(INT($AR510/100),100),MOD($AR510,100)),""),INT($AR510)),IFERROR(DATE(--LEFT(LEFT(SUBSTITUTE(SUBSTITUTE(SUBSTITUTE(SUBSTITUTE(TRIM($AR510),"-",""),".",""),"/","")," ",""),8),4),--MID(LEFT(SUBSTITUTE(SUBSTITUTE(SUBSTITUTE(SUBSTITUTE(TRIM($AR510),"-",""),".",""),"/","")," ",""),8),5,2),--MID(LEFT(SUBSTITUTE(SUBSTITUTE(SUBSTITUTE(SUBSTITUTE(TRIM($AR510),"-",""),".",""),"/","")," ",""),8),7,2)),"")))</f>
        <v/>
      </c>
      <c r="AT510" s="33">
        <f>IF($AS510="","",IF($F$6="",0,IF(ISNUMBER(INDEX($A:$AP,ROW(),$F$6)),INDEX($A:$AP,ROW(),$F$6),IFERROR(--SUBSTITUTE(SUBSTITUTE(TRIM(INDEX($A:$AP,ROW(),$F$6)),",",""),"원",""),0))))</f>
        <v/>
      </c>
      <c r="AU510" s="31">
        <f>IF($AS510="","",IF($AX510&lt;&gt;"",SUBSTITUTE(SUBSTITUTE($AX510,"-","")," ",""),"N:"&amp;$AV510))</f>
        <v/>
      </c>
      <c r="AV510" s="31">
        <f>IF(OR($AS510="",$E$6=""),"",TRIM(INDEX($A:$AP,ROW(),$E$6)&amp;""))</f>
        <v/>
      </c>
      <c r="AW510" s="31">
        <f>IF($AU510="","",IF(MATCH($AU510,$AU$8:$AU$2007,0)=ROW()-7,MAX($AW$7:$AW509)+1,""))</f>
        <v/>
      </c>
      <c r="AX510" s="31">
        <f>IF(OR($AS510="",$D$6=""),"",TRIM(INDEX($A:$AP,ROW(),$D$6)&amp;""))</f>
        <v/>
      </c>
      <c r="AY510" s="31">
        <f>IF($AU510="","",INDEX($AW$8:$AW$2007,MATCH($AU510,$AU$8:$AU$2007,0)))</f>
        <v/>
      </c>
      <c r="AZ510" s="31">
        <f>IF(OR($AS510="",$C$6=""),"",TRIM(INDEX($A:$AP,ROW(),$C$6)&amp;""))</f>
        <v/>
      </c>
      <c r="BA510" s="31">
        <f>IF($AZ510="","",IF(COUNTIF($AZ$8:$AZ510,$AZ510)&gt;1,1,0))</f>
        <v/>
      </c>
    </row>
    <row r="511">
      <c r="AR511" s="31">
        <f>IF(OR($A$5="",$B$6="",ROW()&lt;$A$5),"",IF(INDEX($A:$AP,ROW(),$B$6)="","",INDEX($A:$AP,ROW(),$B$6)))</f>
        <v/>
      </c>
      <c r="AS511" s="32">
        <f>IF($AR511="","",IF(ISNUMBER($AR511),IF($AR511&gt;=10000000,IFERROR(DATE(INT($AR511/10000),MOD(INT($AR511/100),100),MOD($AR511,100)),""),INT($AR511)),IFERROR(DATE(--LEFT(LEFT(SUBSTITUTE(SUBSTITUTE(SUBSTITUTE(SUBSTITUTE(TRIM($AR511),"-",""),".",""),"/","")," ",""),8),4),--MID(LEFT(SUBSTITUTE(SUBSTITUTE(SUBSTITUTE(SUBSTITUTE(TRIM($AR511),"-",""),".",""),"/","")," ",""),8),5,2),--MID(LEFT(SUBSTITUTE(SUBSTITUTE(SUBSTITUTE(SUBSTITUTE(TRIM($AR511),"-",""),".",""),"/","")," ",""),8),7,2)),"")))</f>
        <v/>
      </c>
      <c r="AT511" s="33">
        <f>IF($AS511="","",IF($F$6="",0,IF(ISNUMBER(INDEX($A:$AP,ROW(),$F$6)),INDEX($A:$AP,ROW(),$F$6),IFERROR(--SUBSTITUTE(SUBSTITUTE(TRIM(INDEX($A:$AP,ROW(),$F$6)),",",""),"원",""),0))))</f>
        <v/>
      </c>
      <c r="AU511" s="31">
        <f>IF($AS511="","",IF($AX511&lt;&gt;"",SUBSTITUTE(SUBSTITUTE($AX511,"-","")," ",""),"N:"&amp;$AV511))</f>
        <v/>
      </c>
      <c r="AV511" s="31">
        <f>IF(OR($AS511="",$E$6=""),"",TRIM(INDEX($A:$AP,ROW(),$E$6)&amp;""))</f>
        <v/>
      </c>
      <c r="AW511" s="31">
        <f>IF($AU511="","",IF(MATCH($AU511,$AU$8:$AU$2007,0)=ROW()-7,MAX($AW$7:$AW510)+1,""))</f>
        <v/>
      </c>
      <c r="AX511" s="31">
        <f>IF(OR($AS511="",$D$6=""),"",TRIM(INDEX($A:$AP,ROW(),$D$6)&amp;""))</f>
        <v/>
      </c>
      <c r="AY511" s="31">
        <f>IF($AU511="","",INDEX($AW$8:$AW$2007,MATCH($AU511,$AU$8:$AU$2007,0)))</f>
        <v/>
      </c>
      <c r="AZ511" s="31">
        <f>IF(OR($AS511="",$C$6=""),"",TRIM(INDEX($A:$AP,ROW(),$C$6)&amp;""))</f>
        <v/>
      </c>
      <c r="BA511" s="31">
        <f>IF($AZ511="","",IF(COUNTIF($AZ$8:$AZ511,$AZ511)&gt;1,1,0))</f>
        <v/>
      </c>
    </row>
    <row r="512">
      <c r="AR512" s="31">
        <f>IF(OR($A$5="",$B$6="",ROW()&lt;$A$5),"",IF(INDEX($A:$AP,ROW(),$B$6)="","",INDEX($A:$AP,ROW(),$B$6)))</f>
        <v/>
      </c>
      <c r="AS512" s="32">
        <f>IF($AR512="","",IF(ISNUMBER($AR512),IF($AR512&gt;=10000000,IFERROR(DATE(INT($AR512/10000),MOD(INT($AR512/100),100),MOD($AR512,100)),""),INT($AR512)),IFERROR(DATE(--LEFT(LEFT(SUBSTITUTE(SUBSTITUTE(SUBSTITUTE(SUBSTITUTE(TRIM($AR512),"-",""),".",""),"/","")," ",""),8),4),--MID(LEFT(SUBSTITUTE(SUBSTITUTE(SUBSTITUTE(SUBSTITUTE(TRIM($AR512),"-",""),".",""),"/","")," ",""),8),5,2),--MID(LEFT(SUBSTITUTE(SUBSTITUTE(SUBSTITUTE(SUBSTITUTE(TRIM($AR512),"-",""),".",""),"/","")," ",""),8),7,2)),"")))</f>
        <v/>
      </c>
      <c r="AT512" s="33">
        <f>IF($AS512="","",IF($F$6="",0,IF(ISNUMBER(INDEX($A:$AP,ROW(),$F$6)),INDEX($A:$AP,ROW(),$F$6),IFERROR(--SUBSTITUTE(SUBSTITUTE(TRIM(INDEX($A:$AP,ROW(),$F$6)),",",""),"원",""),0))))</f>
        <v/>
      </c>
      <c r="AU512" s="31">
        <f>IF($AS512="","",IF($AX512&lt;&gt;"",SUBSTITUTE(SUBSTITUTE($AX512,"-","")," ",""),"N:"&amp;$AV512))</f>
        <v/>
      </c>
      <c r="AV512" s="31">
        <f>IF(OR($AS512="",$E$6=""),"",TRIM(INDEX($A:$AP,ROW(),$E$6)&amp;""))</f>
        <v/>
      </c>
      <c r="AW512" s="31">
        <f>IF($AU512="","",IF(MATCH($AU512,$AU$8:$AU$2007,0)=ROW()-7,MAX($AW$7:$AW511)+1,""))</f>
        <v/>
      </c>
      <c r="AX512" s="31">
        <f>IF(OR($AS512="",$D$6=""),"",TRIM(INDEX($A:$AP,ROW(),$D$6)&amp;""))</f>
        <v/>
      </c>
      <c r="AY512" s="31">
        <f>IF($AU512="","",INDEX($AW$8:$AW$2007,MATCH($AU512,$AU$8:$AU$2007,0)))</f>
        <v/>
      </c>
      <c r="AZ512" s="31">
        <f>IF(OR($AS512="",$C$6=""),"",TRIM(INDEX($A:$AP,ROW(),$C$6)&amp;""))</f>
        <v/>
      </c>
      <c r="BA512" s="31">
        <f>IF($AZ512="","",IF(COUNTIF($AZ$8:$AZ512,$AZ512)&gt;1,1,0))</f>
        <v/>
      </c>
    </row>
    <row r="513">
      <c r="AR513" s="31">
        <f>IF(OR($A$5="",$B$6="",ROW()&lt;$A$5),"",IF(INDEX($A:$AP,ROW(),$B$6)="","",INDEX($A:$AP,ROW(),$B$6)))</f>
        <v/>
      </c>
      <c r="AS513" s="32">
        <f>IF($AR513="","",IF(ISNUMBER($AR513),IF($AR513&gt;=10000000,IFERROR(DATE(INT($AR513/10000),MOD(INT($AR513/100),100),MOD($AR513,100)),""),INT($AR513)),IFERROR(DATE(--LEFT(LEFT(SUBSTITUTE(SUBSTITUTE(SUBSTITUTE(SUBSTITUTE(TRIM($AR513),"-",""),".",""),"/","")," ",""),8),4),--MID(LEFT(SUBSTITUTE(SUBSTITUTE(SUBSTITUTE(SUBSTITUTE(TRIM($AR513),"-",""),".",""),"/","")," ",""),8),5,2),--MID(LEFT(SUBSTITUTE(SUBSTITUTE(SUBSTITUTE(SUBSTITUTE(TRIM($AR513),"-",""),".",""),"/","")," ",""),8),7,2)),"")))</f>
        <v/>
      </c>
      <c r="AT513" s="33">
        <f>IF($AS513="","",IF($F$6="",0,IF(ISNUMBER(INDEX($A:$AP,ROW(),$F$6)),INDEX($A:$AP,ROW(),$F$6),IFERROR(--SUBSTITUTE(SUBSTITUTE(TRIM(INDEX($A:$AP,ROW(),$F$6)),",",""),"원",""),0))))</f>
        <v/>
      </c>
      <c r="AU513" s="31">
        <f>IF($AS513="","",IF($AX513&lt;&gt;"",SUBSTITUTE(SUBSTITUTE($AX513,"-","")," ",""),"N:"&amp;$AV513))</f>
        <v/>
      </c>
      <c r="AV513" s="31">
        <f>IF(OR($AS513="",$E$6=""),"",TRIM(INDEX($A:$AP,ROW(),$E$6)&amp;""))</f>
        <v/>
      </c>
      <c r="AW513" s="31">
        <f>IF($AU513="","",IF(MATCH($AU513,$AU$8:$AU$2007,0)=ROW()-7,MAX($AW$7:$AW512)+1,""))</f>
        <v/>
      </c>
      <c r="AX513" s="31">
        <f>IF(OR($AS513="",$D$6=""),"",TRIM(INDEX($A:$AP,ROW(),$D$6)&amp;""))</f>
        <v/>
      </c>
      <c r="AY513" s="31">
        <f>IF($AU513="","",INDEX($AW$8:$AW$2007,MATCH($AU513,$AU$8:$AU$2007,0)))</f>
        <v/>
      </c>
      <c r="AZ513" s="31">
        <f>IF(OR($AS513="",$C$6=""),"",TRIM(INDEX($A:$AP,ROW(),$C$6)&amp;""))</f>
        <v/>
      </c>
      <c r="BA513" s="31">
        <f>IF($AZ513="","",IF(COUNTIF($AZ$8:$AZ513,$AZ513)&gt;1,1,0))</f>
        <v/>
      </c>
    </row>
    <row r="514">
      <c r="AR514" s="31">
        <f>IF(OR($A$5="",$B$6="",ROW()&lt;$A$5),"",IF(INDEX($A:$AP,ROW(),$B$6)="","",INDEX($A:$AP,ROW(),$B$6)))</f>
        <v/>
      </c>
      <c r="AS514" s="32">
        <f>IF($AR514="","",IF(ISNUMBER($AR514),IF($AR514&gt;=10000000,IFERROR(DATE(INT($AR514/10000),MOD(INT($AR514/100),100),MOD($AR514,100)),""),INT($AR514)),IFERROR(DATE(--LEFT(LEFT(SUBSTITUTE(SUBSTITUTE(SUBSTITUTE(SUBSTITUTE(TRIM($AR514),"-",""),".",""),"/","")," ",""),8),4),--MID(LEFT(SUBSTITUTE(SUBSTITUTE(SUBSTITUTE(SUBSTITUTE(TRIM($AR514),"-",""),".",""),"/","")," ",""),8),5,2),--MID(LEFT(SUBSTITUTE(SUBSTITUTE(SUBSTITUTE(SUBSTITUTE(TRIM($AR514),"-",""),".",""),"/","")," ",""),8),7,2)),"")))</f>
        <v/>
      </c>
      <c r="AT514" s="33">
        <f>IF($AS514="","",IF($F$6="",0,IF(ISNUMBER(INDEX($A:$AP,ROW(),$F$6)),INDEX($A:$AP,ROW(),$F$6),IFERROR(--SUBSTITUTE(SUBSTITUTE(TRIM(INDEX($A:$AP,ROW(),$F$6)),",",""),"원",""),0))))</f>
        <v/>
      </c>
      <c r="AU514" s="31">
        <f>IF($AS514="","",IF($AX514&lt;&gt;"",SUBSTITUTE(SUBSTITUTE($AX514,"-","")," ",""),"N:"&amp;$AV514))</f>
        <v/>
      </c>
      <c r="AV514" s="31">
        <f>IF(OR($AS514="",$E$6=""),"",TRIM(INDEX($A:$AP,ROW(),$E$6)&amp;""))</f>
        <v/>
      </c>
      <c r="AW514" s="31">
        <f>IF($AU514="","",IF(MATCH($AU514,$AU$8:$AU$2007,0)=ROW()-7,MAX($AW$7:$AW513)+1,""))</f>
        <v/>
      </c>
      <c r="AX514" s="31">
        <f>IF(OR($AS514="",$D$6=""),"",TRIM(INDEX($A:$AP,ROW(),$D$6)&amp;""))</f>
        <v/>
      </c>
      <c r="AY514" s="31">
        <f>IF($AU514="","",INDEX($AW$8:$AW$2007,MATCH($AU514,$AU$8:$AU$2007,0)))</f>
        <v/>
      </c>
      <c r="AZ514" s="31">
        <f>IF(OR($AS514="",$C$6=""),"",TRIM(INDEX($A:$AP,ROW(),$C$6)&amp;""))</f>
        <v/>
      </c>
      <c r="BA514" s="31">
        <f>IF($AZ514="","",IF(COUNTIF($AZ$8:$AZ514,$AZ514)&gt;1,1,0))</f>
        <v/>
      </c>
    </row>
    <row r="515">
      <c r="AR515" s="31">
        <f>IF(OR($A$5="",$B$6="",ROW()&lt;$A$5),"",IF(INDEX($A:$AP,ROW(),$B$6)="","",INDEX($A:$AP,ROW(),$B$6)))</f>
        <v/>
      </c>
      <c r="AS515" s="32">
        <f>IF($AR515="","",IF(ISNUMBER($AR515),IF($AR515&gt;=10000000,IFERROR(DATE(INT($AR515/10000),MOD(INT($AR515/100),100),MOD($AR515,100)),""),INT($AR515)),IFERROR(DATE(--LEFT(LEFT(SUBSTITUTE(SUBSTITUTE(SUBSTITUTE(SUBSTITUTE(TRIM($AR515),"-",""),".",""),"/","")," ",""),8),4),--MID(LEFT(SUBSTITUTE(SUBSTITUTE(SUBSTITUTE(SUBSTITUTE(TRIM($AR515),"-",""),".",""),"/","")," ",""),8),5,2),--MID(LEFT(SUBSTITUTE(SUBSTITUTE(SUBSTITUTE(SUBSTITUTE(TRIM($AR515),"-",""),".",""),"/","")," ",""),8),7,2)),"")))</f>
        <v/>
      </c>
      <c r="AT515" s="33">
        <f>IF($AS515="","",IF($F$6="",0,IF(ISNUMBER(INDEX($A:$AP,ROW(),$F$6)),INDEX($A:$AP,ROW(),$F$6),IFERROR(--SUBSTITUTE(SUBSTITUTE(TRIM(INDEX($A:$AP,ROW(),$F$6)),",",""),"원",""),0))))</f>
        <v/>
      </c>
      <c r="AU515" s="31">
        <f>IF($AS515="","",IF($AX515&lt;&gt;"",SUBSTITUTE(SUBSTITUTE($AX515,"-","")," ",""),"N:"&amp;$AV515))</f>
        <v/>
      </c>
      <c r="AV515" s="31">
        <f>IF(OR($AS515="",$E$6=""),"",TRIM(INDEX($A:$AP,ROW(),$E$6)&amp;""))</f>
        <v/>
      </c>
      <c r="AW515" s="31">
        <f>IF($AU515="","",IF(MATCH($AU515,$AU$8:$AU$2007,0)=ROW()-7,MAX($AW$7:$AW514)+1,""))</f>
        <v/>
      </c>
      <c r="AX515" s="31">
        <f>IF(OR($AS515="",$D$6=""),"",TRIM(INDEX($A:$AP,ROW(),$D$6)&amp;""))</f>
        <v/>
      </c>
      <c r="AY515" s="31">
        <f>IF($AU515="","",INDEX($AW$8:$AW$2007,MATCH($AU515,$AU$8:$AU$2007,0)))</f>
        <v/>
      </c>
      <c r="AZ515" s="31">
        <f>IF(OR($AS515="",$C$6=""),"",TRIM(INDEX($A:$AP,ROW(),$C$6)&amp;""))</f>
        <v/>
      </c>
      <c r="BA515" s="31">
        <f>IF($AZ515="","",IF(COUNTIF($AZ$8:$AZ515,$AZ515)&gt;1,1,0))</f>
        <v/>
      </c>
    </row>
    <row r="516">
      <c r="AR516" s="31">
        <f>IF(OR($A$5="",$B$6="",ROW()&lt;$A$5),"",IF(INDEX($A:$AP,ROW(),$B$6)="","",INDEX($A:$AP,ROW(),$B$6)))</f>
        <v/>
      </c>
      <c r="AS516" s="32">
        <f>IF($AR516="","",IF(ISNUMBER($AR516),IF($AR516&gt;=10000000,IFERROR(DATE(INT($AR516/10000),MOD(INT($AR516/100),100),MOD($AR516,100)),""),INT($AR516)),IFERROR(DATE(--LEFT(LEFT(SUBSTITUTE(SUBSTITUTE(SUBSTITUTE(SUBSTITUTE(TRIM($AR516),"-",""),".",""),"/","")," ",""),8),4),--MID(LEFT(SUBSTITUTE(SUBSTITUTE(SUBSTITUTE(SUBSTITUTE(TRIM($AR516),"-",""),".",""),"/","")," ",""),8),5,2),--MID(LEFT(SUBSTITUTE(SUBSTITUTE(SUBSTITUTE(SUBSTITUTE(TRIM($AR516),"-",""),".",""),"/","")," ",""),8),7,2)),"")))</f>
        <v/>
      </c>
      <c r="AT516" s="33">
        <f>IF($AS516="","",IF($F$6="",0,IF(ISNUMBER(INDEX($A:$AP,ROW(),$F$6)),INDEX($A:$AP,ROW(),$F$6),IFERROR(--SUBSTITUTE(SUBSTITUTE(TRIM(INDEX($A:$AP,ROW(),$F$6)),",",""),"원",""),0))))</f>
        <v/>
      </c>
      <c r="AU516" s="31">
        <f>IF($AS516="","",IF($AX516&lt;&gt;"",SUBSTITUTE(SUBSTITUTE($AX516,"-","")," ",""),"N:"&amp;$AV516))</f>
        <v/>
      </c>
      <c r="AV516" s="31">
        <f>IF(OR($AS516="",$E$6=""),"",TRIM(INDEX($A:$AP,ROW(),$E$6)&amp;""))</f>
        <v/>
      </c>
      <c r="AW516" s="31">
        <f>IF($AU516="","",IF(MATCH($AU516,$AU$8:$AU$2007,0)=ROW()-7,MAX($AW$7:$AW515)+1,""))</f>
        <v/>
      </c>
      <c r="AX516" s="31">
        <f>IF(OR($AS516="",$D$6=""),"",TRIM(INDEX($A:$AP,ROW(),$D$6)&amp;""))</f>
        <v/>
      </c>
      <c r="AY516" s="31">
        <f>IF($AU516="","",INDEX($AW$8:$AW$2007,MATCH($AU516,$AU$8:$AU$2007,0)))</f>
        <v/>
      </c>
      <c r="AZ516" s="31">
        <f>IF(OR($AS516="",$C$6=""),"",TRIM(INDEX($A:$AP,ROW(),$C$6)&amp;""))</f>
        <v/>
      </c>
      <c r="BA516" s="31">
        <f>IF($AZ516="","",IF(COUNTIF($AZ$8:$AZ516,$AZ516)&gt;1,1,0))</f>
        <v/>
      </c>
    </row>
    <row r="517">
      <c r="AR517" s="31">
        <f>IF(OR($A$5="",$B$6="",ROW()&lt;$A$5),"",IF(INDEX($A:$AP,ROW(),$B$6)="","",INDEX($A:$AP,ROW(),$B$6)))</f>
        <v/>
      </c>
      <c r="AS517" s="32">
        <f>IF($AR517="","",IF(ISNUMBER($AR517),IF($AR517&gt;=10000000,IFERROR(DATE(INT($AR517/10000),MOD(INT($AR517/100),100),MOD($AR517,100)),""),INT($AR517)),IFERROR(DATE(--LEFT(LEFT(SUBSTITUTE(SUBSTITUTE(SUBSTITUTE(SUBSTITUTE(TRIM($AR517),"-",""),".",""),"/","")," ",""),8),4),--MID(LEFT(SUBSTITUTE(SUBSTITUTE(SUBSTITUTE(SUBSTITUTE(TRIM($AR517),"-",""),".",""),"/","")," ",""),8),5,2),--MID(LEFT(SUBSTITUTE(SUBSTITUTE(SUBSTITUTE(SUBSTITUTE(TRIM($AR517),"-",""),".",""),"/","")," ",""),8),7,2)),"")))</f>
        <v/>
      </c>
      <c r="AT517" s="33">
        <f>IF($AS517="","",IF($F$6="",0,IF(ISNUMBER(INDEX($A:$AP,ROW(),$F$6)),INDEX($A:$AP,ROW(),$F$6),IFERROR(--SUBSTITUTE(SUBSTITUTE(TRIM(INDEX($A:$AP,ROW(),$F$6)),",",""),"원",""),0))))</f>
        <v/>
      </c>
      <c r="AU517" s="31">
        <f>IF($AS517="","",IF($AX517&lt;&gt;"",SUBSTITUTE(SUBSTITUTE($AX517,"-","")," ",""),"N:"&amp;$AV517))</f>
        <v/>
      </c>
      <c r="AV517" s="31">
        <f>IF(OR($AS517="",$E$6=""),"",TRIM(INDEX($A:$AP,ROW(),$E$6)&amp;""))</f>
        <v/>
      </c>
      <c r="AW517" s="31">
        <f>IF($AU517="","",IF(MATCH($AU517,$AU$8:$AU$2007,0)=ROW()-7,MAX($AW$7:$AW516)+1,""))</f>
        <v/>
      </c>
      <c r="AX517" s="31">
        <f>IF(OR($AS517="",$D$6=""),"",TRIM(INDEX($A:$AP,ROW(),$D$6)&amp;""))</f>
        <v/>
      </c>
      <c r="AY517" s="31">
        <f>IF($AU517="","",INDEX($AW$8:$AW$2007,MATCH($AU517,$AU$8:$AU$2007,0)))</f>
        <v/>
      </c>
      <c r="AZ517" s="31">
        <f>IF(OR($AS517="",$C$6=""),"",TRIM(INDEX($A:$AP,ROW(),$C$6)&amp;""))</f>
        <v/>
      </c>
      <c r="BA517" s="31">
        <f>IF($AZ517="","",IF(COUNTIF($AZ$8:$AZ517,$AZ517)&gt;1,1,0))</f>
        <v/>
      </c>
    </row>
    <row r="518">
      <c r="AR518" s="31">
        <f>IF(OR($A$5="",$B$6="",ROW()&lt;$A$5),"",IF(INDEX($A:$AP,ROW(),$B$6)="","",INDEX($A:$AP,ROW(),$B$6)))</f>
        <v/>
      </c>
      <c r="AS518" s="32">
        <f>IF($AR518="","",IF(ISNUMBER($AR518),IF($AR518&gt;=10000000,IFERROR(DATE(INT($AR518/10000),MOD(INT($AR518/100),100),MOD($AR518,100)),""),INT($AR518)),IFERROR(DATE(--LEFT(LEFT(SUBSTITUTE(SUBSTITUTE(SUBSTITUTE(SUBSTITUTE(TRIM($AR518),"-",""),".",""),"/","")," ",""),8),4),--MID(LEFT(SUBSTITUTE(SUBSTITUTE(SUBSTITUTE(SUBSTITUTE(TRIM($AR518),"-",""),".",""),"/","")," ",""),8),5,2),--MID(LEFT(SUBSTITUTE(SUBSTITUTE(SUBSTITUTE(SUBSTITUTE(TRIM($AR518),"-",""),".",""),"/","")," ",""),8),7,2)),"")))</f>
        <v/>
      </c>
      <c r="AT518" s="33">
        <f>IF($AS518="","",IF($F$6="",0,IF(ISNUMBER(INDEX($A:$AP,ROW(),$F$6)),INDEX($A:$AP,ROW(),$F$6),IFERROR(--SUBSTITUTE(SUBSTITUTE(TRIM(INDEX($A:$AP,ROW(),$F$6)),",",""),"원",""),0))))</f>
        <v/>
      </c>
      <c r="AU518" s="31">
        <f>IF($AS518="","",IF($AX518&lt;&gt;"",SUBSTITUTE(SUBSTITUTE($AX518,"-","")," ",""),"N:"&amp;$AV518))</f>
        <v/>
      </c>
      <c r="AV518" s="31">
        <f>IF(OR($AS518="",$E$6=""),"",TRIM(INDEX($A:$AP,ROW(),$E$6)&amp;""))</f>
        <v/>
      </c>
      <c r="AW518" s="31">
        <f>IF($AU518="","",IF(MATCH($AU518,$AU$8:$AU$2007,0)=ROW()-7,MAX($AW$7:$AW517)+1,""))</f>
        <v/>
      </c>
      <c r="AX518" s="31">
        <f>IF(OR($AS518="",$D$6=""),"",TRIM(INDEX($A:$AP,ROW(),$D$6)&amp;""))</f>
        <v/>
      </c>
      <c r="AY518" s="31">
        <f>IF($AU518="","",INDEX($AW$8:$AW$2007,MATCH($AU518,$AU$8:$AU$2007,0)))</f>
        <v/>
      </c>
      <c r="AZ518" s="31">
        <f>IF(OR($AS518="",$C$6=""),"",TRIM(INDEX($A:$AP,ROW(),$C$6)&amp;""))</f>
        <v/>
      </c>
      <c r="BA518" s="31">
        <f>IF($AZ518="","",IF(COUNTIF($AZ$8:$AZ518,$AZ518)&gt;1,1,0))</f>
        <v/>
      </c>
    </row>
    <row r="519">
      <c r="AR519" s="31">
        <f>IF(OR($A$5="",$B$6="",ROW()&lt;$A$5),"",IF(INDEX($A:$AP,ROW(),$B$6)="","",INDEX($A:$AP,ROW(),$B$6)))</f>
        <v/>
      </c>
      <c r="AS519" s="32">
        <f>IF($AR519="","",IF(ISNUMBER($AR519),IF($AR519&gt;=10000000,IFERROR(DATE(INT($AR519/10000),MOD(INT($AR519/100),100),MOD($AR519,100)),""),INT($AR519)),IFERROR(DATE(--LEFT(LEFT(SUBSTITUTE(SUBSTITUTE(SUBSTITUTE(SUBSTITUTE(TRIM($AR519),"-",""),".",""),"/","")," ",""),8),4),--MID(LEFT(SUBSTITUTE(SUBSTITUTE(SUBSTITUTE(SUBSTITUTE(TRIM($AR519),"-",""),".",""),"/","")," ",""),8),5,2),--MID(LEFT(SUBSTITUTE(SUBSTITUTE(SUBSTITUTE(SUBSTITUTE(TRIM($AR519),"-",""),".",""),"/","")," ",""),8),7,2)),"")))</f>
        <v/>
      </c>
      <c r="AT519" s="33">
        <f>IF($AS519="","",IF($F$6="",0,IF(ISNUMBER(INDEX($A:$AP,ROW(),$F$6)),INDEX($A:$AP,ROW(),$F$6),IFERROR(--SUBSTITUTE(SUBSTITUTE(TRIM(INDEX($A:$AP,ROW(),$F$6)),",",""),"원",""),0))))</f>
        <v/>
      </c>
      <c r="AU519" s="31">
        <f>IF($AS519="","",IF($AX519&lt;&gt;"",SUBSTITUTE(SUBSTITUTE($AX519,"-","")," ",""),"N:"&amp;$AV519))</f>
        <v/>
      </c>
      <c r="AV519" s="31">
        <f>IF(OR($AS519="",$E$6=""),"",TRIM(INDEX($A:$AP,ROW(),$E$6)&amp;""))</f>
        <v/>
      </c>
      <c r="AW519" s="31">
        <f>IF($AU519="","",IF(MATCH($AU519,$AU$8:$AU$2007,0)=ROW()-7,MAX($AW$7:$AW518)+1,""))</f>
        <v/>
      </c>
      <c r="AX519" s="31">
        <f>IF(OR($AS519="",$D$6=""),"",TRIM(INDEX($A:$AP,ROW(),$D$6)&amp;""))</f>
        <v/>
      </c>
      <c r="AY519" s="31">
        <f>IF($AU519="","",INDEX($AW$8:$AW$2007,MATCH($AU519,$AU$8:$AU$2007,0)))</f>
        <v/>
      </c>
      <c r="AZ519" s="31">
        <f>IF(OR($AS519="",$C$6=""),"",TRIM(INDEX($A:$AP,ROW(),$C$6)&amp;""))</f>
        <v/>
      </c>
      <c r="BA519" s="31">
        <f>IF($AZ519="","",IF(COUNTIF($AZ$8:$AZ519,$AZ519)&gt;1,1,0))</f>
        <v/>
      </c>
    </row>
    <row r="520">
      <c r="AR520" s="31">
        <f>IF(OR($A$5="",$B$6="",ROW()&lt;$A$5),"",IF(INDEX($A:$AP,ROW(),$B$6)="","",INDEX($A:$AP,ROW(),$B$6)))</f>
        <v/>
      </c>
      <c r="AS520" s="32">
        <f>IF($AR520="","",IF(ISNUMBER($AR520),IF($AR520&gt;=10000000,IFERROR(DATE(INT($AR520/10000),MOD(INT($AR520/100),100),MOD($AR520,100)),""),INT($AR520)),IFERROR(DATE(--LEFT(LEFT(SUBSTITUTE(SUBSTITUTE(SUBSTITUTE(SUBSTITUTE(TRIM($AR520),"-",""),".",""),"/","")," ",""),8),4),--MID(LEFT(SUBSTITUTE(SUBSTITUTE(SUBSTITUTE(SUBSTITUTE(TRIM($AR520),"-",""),".",""),"/","")," ",""),8),5,2),--MID(LEFT(SUBSTITUTE(SUBSTITUTE(SUBSTITUTE(SUBSTITUTE(TRIM($AR520),"-",""),".",""),"/","")," ",""),8),7,2)),"")))</f>
        <v/>
      </c>
      <c r="AT520" s="33">
        <f>IF($AS520="","",IF($F$6="",0,IF(ISNUMBER(INDEX($A:$AP,ROW(),$F$6)),INDEX($A:$AP,ROW(),$F$6),IFERROR(--SUBSTITUTE(SUBSTITUTE(TRIM(INDEX($A:$AP,ROW(),$F$6)),",",""),"원",""),0))))</f>
        <v/>
      </c>
      <c r="AU520" s="31">
        <f>IF($AS520="","",IF($AX520&lt;&gt;"",SUBSTITUTE(SUBSTITUTE($AX520,"-","")," ",""),"N:"&amp;$AV520))</f>
        <v/>
      </c>
      <c r="AV520" s="31">
        <f>IF(OR($AS520="",$E$6=""),"",TRIM(INDEX($A:$AP,ROW(),$E$6)&amp;""))</f>
        <v/>
      </c>
      <c r="AW520" s="31">
        <f>IF($AU520="","",IF(MATCH($AU520,$AU$8:$AU$2007,0)=ROW()-7,MAX($AW$7:$AW519)+1,""))</f>
        <v/>
      </c>
      <c r="AX520" s="31">
        <f>IF(OR($AS520="",$D$6=""),"",TRIM(INDEX($A:$AP,ROW(),$D$6)&amp;""))</f>
        <v/>
      </c>
      <c r="AY520" s="31">
        <f>IF($AU520="","",INDEX($AW$8:$AW$2007,MATCH($AU520,$AU$8:$AU$2007,0)))</f>
        <v/>
      </c>
      <c r="AZ520" s="31">
        <f>IF(OR($AS520="",$C$6=""),"",TRIM(INDEX($A:$AP,ROW(),$C$6)&amp;""))</f>
        <v/>
      </c>
      <c r="BA520" s="31">
        <f>IF($AZ520="","",IF(COUNTIF($AZ$8:$AZ520,$AZ520)&gt;1,1,0))</f>
        <v/>
      </c>
    </row>
    <row r="521">
      <c r="AR521" s="31">
        <f>IF(OR($A$5="",$B$6="",ROW()&lt;$A$5),"",IF(INDEX($A:$AP,ROW(),$B$6)="","",INDEX($A:$AP,ROW(),$B$6)))</f>
        <v/>
      </c>
      <c r="AS521" s="32">
        <f>IF($AR521="","",IF(ISNUMBER($AR521),IF($AR521&gt;=10000000,IFERROR(DATE(INT($AR521/10000),MOD(INT($AR521/100),100),MOD($AR521,100)),""),INT($AR521)),IFERROR(DATE(--LEFT(LEFT(SUBSTITUTE(SUBSTITUTE(SUBSTITUTE(SUBSTITUTE(TRIM($AR521),"-",""),".",""),"/","")," ",""),8),4),--MID(LEFT(SUBSTITUTE(SUBSTITUTE(SUBSTITUTE(SUBSTITUTE(TRIM($AR521),"-",""),".",""),"/","")," ",""),8),5,2),--MID(LEFT(SUBSTITUTE(SUBSTITUTE(SUBSTITUTE(SUBSTITUTE(TRIM($AR521),"-",""),".",""),"/","")," ",""),8),7,2)),"")))</f>
        <v/>
      </c>
      <c r="AT521" s="33">
        <f>IF($AS521="","",IF($F$6="",0,IF(ISNUMBER(INDEX($A:$AP,ROW(),$F$6)),INDEX($A:$AP,ROW(),$F$6),IFERROR(--SUBSTITUTE(SUBSTITUTE(TRIM(INDEX($A:$AP,ROW(),$F$6)),",",""),"원",""),0))))</f>
        <v/>
      </c>
      <c r="AU521" s="31">
        <f>IF($AS521="","",IF($AX521&lt;&gt;"",SUBSTITUTE(SUBSTITUTE($AX521,"-","")," ",""),"N:"&amp;$AV521))</f>
        <v/>
      </c>
      <c r="AV521" s="31">
        <f>IF(OR($AS521="",$E$6=""),"",TRIM(INDEX($A:$AP,ROW(),$E$6)&amp;""))</f>
        <v/>
      </c>
      <c r="AW521" s="31">
        <f>IF($AU521="","",IF(MATCH($AU521,$AU$8:$AU$2007,0)=ROW()-7,MAX($AW$7:$AW520)+1,""))</f>
        <v/>
      </c>
      <c r="AX521" s="31">
        <f>IF(OR($AS521="",$D$6=""),"",TRIM(INDEX($A:$AP,ROW(),$D$6)&amp;""))</f>
        <v/>
      </c>
      <c r="AY521" s="31">
        <f>IF($AU521="","",INDEX($AW$8:$AW$2007,MATCH($AU521,$AU$8:$AU$2007,0)))</f>
        <v/>
      </c>
      <c r="AZ521" s="31">
        <f>IF(OR($AS521="",$C$6=""),"",TRIM(INDEX($A:$AP,ROW(),$C$6)&amp;""))</f>
        <v/>
      </c>
      <c r="BA521" s="31">
        <f>IF($AZ521="","",IF(COUNTIF($AZ$8:$AZ521,$AZ521)&gt;1,1,0))</f>
        <v/>
      </c>
    </row>
    <row r="522">
      <c r="AR522" s="31">
        <f>IF(OR($A$5="",$B$6="",ROW()&lt;$A$5),"",IF(INDEX($A:$AP,ROW(),$B$6)="","",INDEX($A:$AP,ROW(),$B$6)))</f>
        <v/>
      </c>
      <c r="AS522" s="32">
        <f>IF($AR522="","",IF(ISNUMBER($AR522),IF($AR522&gt;=10000000,IFERROR(DATE(INT($AR522/10000),MOD(INT($AR522/100),100),MOD($AR522,100)),""),INT($AR522)),IFERROR(DATE(--LEFT(LEFT(SUBSTITUTE(SUBSTITUTE(SUBSTITUTE(SUBSTITUTE(TRIM($AR522),"-",""),".",""),"/","")," ",""),8),4),--MID(LEFT(SUBSTITUTE(SUBSTITUTE(SUBSTITUTE(SUBSTITUTE(TRIM($AR522),"-",""),".",""),"/","")," ",""),8),5,2),--MID(LEFT(SUBSTITUTE(SUBSTITUTE(SUBSTITUTE(SUBSTITUTE(TRIM($AR522),"-",""),".",""),"/","")," ",""),8),7,2)),"")))</f>
        <v/>
      </c>
      <c r="AT522" s="33">
        <f>IF($AS522="","",IF($F$6="",0,IF(ISNUMBER(INDEX($A:$AP,ROW(),$F$6)),INDEX($A:$AP,ROW(),$F$6),IFERROR(--SUBSTITUTE(SUBSTITUTE(TRIM(INDEX($A:$AP,ROW(),$F$6)),",",""),"원",""),0))))</f>
        <v/>
      </c>
      <c r="AU522" s="31">
        <f>IF($AS522="","",IF($AX522&lt;&gt;"",SUBSTITUTE(SUBSTITUTE($AX522,"-","")," ",""),"N:"&amp;$AV522))</f>
        <v/>
      </c>
      <c r="AV522" s="31">
        <f>IF(OR($AS522="",$E$6=""),"",TRIM(INDEX($A:$AP,ROW(),$E$6)&amp;""))</f>
        <v/>
      </c>
      <c r="AW522" s="31">
        <f>IF($AU522="","",IF(MATCH($AU522,$AU$8:$AU$2007,0)=ROW()-7,MAX($AW$7:$AW521)+1,""))</f>
        <v/>
      </c>
      <c r="AX522" s="31">
        <f>IF(OR($AS522="",$D$6=""),"",TRIM(INDEX($A:$AP,ROW(),$D$6)&amp;""))</f>
        <v/>
      </c>
      <c r="AY522" s="31">
        <f>IF($AU522="","",INDEX($AW$8:$AW$2007,MATCH($AU522,$AU$8:$AU$2007,0)))</f>
        <v/>
      </c>
      <c r="AZ522" s="31">
        <f>IF(OR($AS522="",$C$6=""),"",TRIM(INDEX($A:$AP,ROW(),$C$6)&amp;""))</f>
        <v/>
      </c>
      <c r="BA522" s="31">
        <f>IF($AZ522="","",IF(COUNTIF($AZ$8:$AZ522,$AZ522)&gt;1,1,0))</f>
        <v/>
      </c>
    </row>
    <row r="523">
      <c r="AR523" s="31">
        <f>IF(OR($A$5="",$B$6="",ROW()&lt;$A$5),"",IF(INDEX($A:$AP,ROW(),$B$6)="","",INDEX($A:$AP,ROW(),$B$6)))</f>
        <v/>
      </c>
      <c r="AS523" s="32">
        <f>IF($AR523="","",IF(ISNUMBER($AR523),IF($AR523&gt;=10000000,IFERROR(DATE(INT($AR523/10000),MOD(INT($AR523/100),100),MOD($AR523,100)),""),INT($AR523)),IFERROR(DATE(--LEFT(LEFT(SUBSTITUTE(SUBSTITUTE(SUBSTITUTE(SUBSTITUTE(TRIM($AR523),"-",""),".",""),"/","")," ",""),8),4),--MID(LEFT(SUBSTITUTE(SUBSTITUTE(SUBSTITUTE(SUBSTITUTE(TRIM($AR523),"-",""),".",""),"/","")," ",""),8),5,2),--MID(LEFT(SUBSTITUTE(SUBSTITUTE(SUBSTITUTE(SUBSTITUTE(TRIM($AR523),"-",""),".",""),"/","")," ",""),8),7,2)),"")))</f>
        <v/>
      </c>
      <c r="AT523" s="33">
        <f>IF($AS523="","",IF($F$6="",0,IF(ISNUMBER(INDEX($A:$AP,ROW(),$F$6)),INDEX($A:$AP,ROW(),$F$6),IFERROR(--SUBSTITUTE(SUBSTITUTE(TRIM(INDEX($A:$AP,ROW(),$F$6)),",",""),"원",""),0))))</f>
        <v/>
      </c>
      <c r="AU523" s="31">
        <f>IF($AS523="","",IF($AX523&lt;&gt;"",SUBSTITUTE(SUBSTITUTE($AX523,"-","")," ",""),"N:"&amp;$AV523))</f>
        <v/>
      </c>
      <c r="AV523" s="31">
        <f>IF(OR($AS523="",$E$6=""),"",TRIM(INDEX($A:$AP,ROW(),$E$6)&amp;""))</f>
        <v/>
      </c>
      <c r="AW523" s="31">
        <f>IF($AU523="","",IF(MATCH($AU523,$AU$8:$AU$2007,0)=ROW()-7,MAX($AW$7:$AW522)+1,""))</f>
        <v/>
      </c>
      <c r="AX523" s="31">
        <f>IF(OR($AS523="",$D$6=""),"",TRIM(INDEX($A:$AP,ROW(),$D$6)&amp;""))</f>
        <v/>
      </c>
      <c r="AY523" s="31">
        <f>IF($AU523="","",INDEX($AW$8:$AW$2007,MATCH($AU523,$AU$8:$AU$2007,0)))</f>
        <v/>
      </c>
      <c r="AZ523" s="31">
        <f>IF(OR($AS523="",$C$6=""),"",TRIM(INDEX($A:$AP,ROW(),$C$6)&amp;""))</f>
        <v/>
      </c>
      <c r="BA523" s="31">
        <f>IF($AZ523="","",IF(COUNTIF($AZ$8:$AZ523,$AZ523)&gt;1,1,0))</f>
        <v/>
      </c>
    </row>
    <row r="524">
      <c r="AR524" s="31">
        <f>IF(OR($A$5="",$B$6="",ROW()&lt;$A$5),"",IF(INDEX($A:$AP,ROW(),$B$6)="","",INDEX($A:$AP,ROW(),$B$6)))</f>
        <v/>
      </c>
      <c r="AS524" s="32">
        <f>IF($AR524="","",IF(ISNUMBER($AR524),IF($AR524&gt;=10000000,IFERROR(DATE(INT($AR524/10000),MOD(INT($AR524/100),100),MOD($AR524,100)),""),INT($AR524)),IFERROR(DATE(--LEFT(LEFT(SUBSTITUTE(SUBSTITUTE(SUBSTITUTE(SUBSTITUTE(TRIM($AR524),"-",""),".",""),"/","")," ",""),8),4),--MID(LEFT(SUBSTITUTE(SUBSTITUTE(SUBSTITUTE(SUBSTITUTE(TRIM($AR524),"-",""),".",""),"/","")," ",""),8),5,2),--MID(LEFT(SUBSTITUTE(SUBSTITUTE(SUBSTITUTE(SUBSTITUTE(TRIM($AR524),"-",""),".",""),"/","")," ",""),8),7,2)),"")))</f>
        <v/>
      </c>
      <c r="AT524" s="33">
        <f>IF($AS524="","",IF($F$6="",0,IF(ISNUMBER(INDEX($A:$AP,ROW(),$F$6)),INDEX($A:$AP,ROW(),$F$6),IFERROR(--SUBSTITUTE(SUBSTITUTE(TRIM(INDEX($A:$AP,ROW(),$F$6)),",",""),"원",""),0))))</f>
        <v/>
      </c>
      <c r="AU524" s="31">
        <f>IF($AS524="","",IF($AX524&lt;&gt;"",SUBSTITUTE(SUBSTITUTE($AX524,"-","")," ",""),"N:"&amp;$AV524))</f>
        <v/>
      </c>
      <c r="AV524" s="31">
        <f>IF(OR($AS524="",$E$6=""),"",TRIM(INDEX($A:$AP,ROW(),$E$6)&amp;""))</f>
        <v/>
      </c>
      <c r="AW524" s="31">
        <f>IF($AU524="","",IF(MATCH($AU524,$AU$8:$AU$2007,0)=ROW()-7,MAX($AW$7:$AW523)+1,""))</f>
        <v/>
      </c>
      <c r="AX524" s="31">
        <f>IF(OR($AS524="",$D$6=""),"",TRIM(INDEX($A:$AP,ROW(),$D$6)&amp;""))</f>
        <v/>
      </c>
      <c r="AY524" s="31">
        <f>IF($AU524="","",INDEX($AW$8:$AW$2007,MATCH($AU524,$AU$8:$AU$2007,0)))</f>
        <v/>
      </c>
      <c r="AZ524" s="31">
        <f>IF(OR($AS524="",$C$6=""),"",TRIM(INDEX($A:$AP,ROW(),$C$6)&amp;""))</f>
        <v/>
      </c>
      <c r="BA524" s="31">
        <f>IF($AZ524="","",IF(COUNTIF($AZ$8:$AZ524,$AZ524)&gt;1,1,0))</f>
        <v/>
      </c>
    </row>
    <row r="525">
      <c r="AR525" s="31">
        <f>IF(OR($A$5="",$B$6="",ROW()&lt;$A$5),"",IF(INDEX($A:$AP,ROW(),$B$6)="","",INDEX($A:$AP,ROW(),$B$6)))</f>
        <v/>
      </c>
      <c r="AS525" s="32">
        <f>IF($AR525="","",IF(ISNUMBER($AR525),IF($AR525&gt;=10000000,IFERROR(DATE(INT($AR525/10000),MOD(INT($AR525/100),100),MOD($AR525,100)),""),INT($AR525)),IFERROR(DATE(--LEFT(LEFT(SUBSTITUTE(SUBSTITUTE(SUBSTITUTE(SUBSTITUTE(TRIM($AR525),"-",""),".",""),"/","")," ",""),8),4),--MID(LEFT(SUBSTITUTE(SUBSTITUTE(SUBSTITUTE(SUBSTITUTE(TRIM($AR525),"-",""),".",""),"/","")," ",""),8),5,2),--MID(LEFT(SUBSTITUTE(SUBSTITUTE(SUBSTITUTE(SUBSTITUTE(TRIM($AR525),"-",""),".",""),"/","")," ",""),8),7,2)),"")))</f>
        <v/>
      </c>
      <c r="AT525" s="33">
        <f>IF($AS525="","",IF($F$6="",0,IF(ISNUMBER(INDEX($A:$AP,ROW(),$F$6)),INDEX($A:$AP,ROW(),$F$6),IFERROR(--SUBSTITUTE(SUBSTITUTE(TRIM(INDEX($A:$AP,ROW(),$F$6)),",",""),"원",""),0))))</f>
        <v/>
      </c>
      <c r="AU525" s="31">
        <f>IF($AS525="","",IF($AX525&lt;&gt;"",SUBSTITUTE(SUBSTITUTE($AX525,"-","")," ",""),"N:"&amp;$AV525))</f>
        <v/>
      </c>
      <c r="AV525" s="31">
        <f>IF(OR($AS525="",$E$6=""),"",TRIM(INDEX($A:$AP,ROW(),$E$6)&amp;""))</f>
        <v/>
      </c>
      <c r="AW525" s="31">
        <f>IF($AU525="","",IF(MATCH($AU525,$AU$8:$AU$2007,0)=ROW()-7,MAX($AW$7:$AW524)+1,""))</f>
        <v/>
      </c>
      <c r="AX525" s="31">
        <f>IF(OR($AS525="",$D$6=""),"",TRIM(INDEX($A:$AP,ROW(),$D$6)&amp;""))</f>
        <v/>
      </c>
      <c r="AY525" s="31">
        <f>IF($AU525="","",INDEX($AW$8:$AW$2007,MATCH($AU525,$AU$8:$AU$2007,0)))</f>
        <v/>
      </c>
      <c r="AZ525" s="31">
        <f>IF(OR($AS525="",$C$6=""),"",TRIM(INDEX($A:$AP,ROW(),$C$6)&amp;""))</f>
        <v/>
      </c>
      <c r="BA525" s="31">
        <f>IF($AZ525="","",IF(COUNTIF($AZ$8:$AZ525,$AZ525)&gt;1,1,0))</f>
        <v/>
      </c>
    </row>
    <row r="526">
      <c r="AR526" s="31">
        <f>IF(OR($A$5="",$B$6="",ROW()&lt;$A$5),"",IF(INDEX($A:$AP,ROW(),$B$6)="","",INDEX($A:$AP,ROW(),$B$6)))</f>
        <v/>
      </c>
      <c r="AS526" s="32">
        <f>IF($AR526="","",IF(ISNUMBER($AR526),IF($AR526&gt;=10000000,IFERROR(DATE(INT($AR526/10000),MOD(INT($AR526/100),100),MOD($AR526,100)),""),INT($AR526)),IFERROR(DATE(--LEFT(LEFT(SUBSTITUTE(SUBSTITUTE(SUBSTITUTE(SUBSTITUTE(TRIM($AR526),"-",""),".",""),"/","")," ",""),8),4),--MID(LEFT(SUBSTITUTE(SUBSTITUTE(SUBSTITUTE(SUBSTITUTE(TRIM($AR526),"-",""),".",""),"/","")," ",""),8),5,2),--MID(LEFT(SUBSTITUTE(SUBSTITUTE(SUBSTITUTE(SUBSTITUTE(TRIM($AR526),"-",""),".",""),"/","")," ",""),8),7,2)),"")))</f>
        <v/>
      </c>
      <c r="AT526" s="33">
        <f>IF($AS526="","",IF($F$6="",0,IF(ISNUMBER(INDEX($A:$AP,ROW(),$F$6)),INDEX($A:$AP,ROW(),$F$6),IFERROR(--SUBSTITUTE(SUBSTITUTE(TRIM(INDEX($A:$AP,ROW(),$F$6)),",",""),"원",""),0))))</f>
        <v/>
      </c>
      <c r="AU526" s="31">
        <f>IF($AS526="","",IF($AX526&lt;&gt;"",SUBSTITUTE(SUBSTITUTE($AX526,"-","")," ",""),"N:"&amp;$AV526))</f>
        <v/>
      </c>
      <c r="AV526" s="31">
        <f>IF(OR($AS526="",$E$6=""),"",TRIM(INDEX($A:$AP,ROW(),$E$6)&amp;""))</f>
        <v/>
      </c>
      <c r="AW526" s="31">
        <f>IF($AU526="","",IF(MATCH($AU526,$AU$8:$AU$2007,0)=ROW()-7,MAX($AW$7:$AW525)+1,""))</f>
        <v/>
      </c>
      <c r="AX526" s="31">
        <f>IF(OR($AS526="",$D$6=""),"",TRIM(INDEX($A:$AP,ROW(),$D$6)&amp;""))</f>
        <v/>
      </c>
      <c r="AY526" s="31">
        <f>IF($AU526="","",INDEX($AW$8:$AW$2007,MATCH($AU526,$AU$8:$AU$2007,0)))</f>
        <v/>
      </c>
      <c r="AZ526" s="31">
        <f>IF(OR($AS526="",$C$6=""),"",TRIM(INDEX($A:$AP,ROW(),$C$6)&amp;""))</f>
        <v/>
      </c>
      <c r="BA526" s="31">
        <f>IF($AZ526="","",IF(COUNTIF($AZ$8:$AZ526,$AZ526)&gt;1,1,0))</f>
        <v/>
      </c>
    </row>
    <row r="527">
      <c r="AR527" s="31">
        <f>IF(OR($A$5="",$B$6="",ROW()&lt;$A$5),"",IF(INDEX($A:$AP,ROW(),$B$6)="","",INDEX($A:$AP,ROW(),$B$6)))</f>
        <v/>
      </c>
      <c r="AS527" s="32">
        <f>IF($AR527="","",IF(ISNUMBER($AR527),IF($AR527&gt;=10000000,IFERROR(DATE(INT($AR527/10000),MOD(INT($AR527/100),100),MOD($AR527,100)),""),INT($AR527)),IFERROR(DATE(--LEFT(LEFT(SUBSTITUTE(SUBSTITUTE(SUBSTITUTE(SUBSTITUTE(TRIM($AR527),"-",""),".",""),"/","")," ",""),8),4),--MID(LEFT(SUBSTITUTE(SUBSTITUTE(SUBSTITUTE(SUBSTITUTE(TRIM($AR527),"-",""),".",""),"/","")," ",""),8),5,2),--MID(LEFT(SUBSTITUTE(SUBSTITUTE(SUBSTITUTE(SUBSTITUTE(TRIM($AR527),"-",""),".",""),"/","")," ",""),8),7,2)),"")))</f>
        <v/>
      </c>
      <c r="AT527" s="33">
        <f>IF($AS527="","",IF($F$6="",0,IF(ISNUMBER(INDEX($A:$AP,ROW(),$F$6)),INDEX($A:$AP,ROW(),$F$6),IFERROR(--SUBSTITUTE(SUBSTITUTE(TRIM(INDEX($A:$AP,ROW(),$F$6)),",",""),"원",""),0))))</f>
        <v/>
      </c>
      <c r="AU527" s="31">
        <f>IF($AS527="","",IF($AX527&lt;&gt;"",SUBSTITUTE(SUBSTITUTE($AX527,"-","")," ",""),"N:"&amp;$AV527))</f>
        <v/>
      </c>
      <c r="AV527" s="31">
        <f>IF(OR($AS527="",$E$6=""),"",TRIM(INDEX($A:$AP,ROW(),$E$6)&amp;""))</f>
        <v/>
      </c>
      <c r="AW527" s="31">
        <f>IF($AU527="","",IF(MATCH($AU527,$AU$8:$AU$2007,0)=ROW()-7,MAX($AW$7:$AW526)+1,""))</f>
        <v/>
      </c>
      <c r="AX527" s="31">
        <f>IF(OR($AS527="",$D$6=""),"",TRIM(INDEX($A:$AP,ROW(),$D$6)&amp;""))</f>
        <v/>
      </c>
      <c r="AY527" s="31">
        <f>IF($AU527="","",INDEX($AW$8:$AW$2007,MATCH($AU527,$AU$8:$AU$2007,0)))</f>
        <v/>
      </c>
      <c r="AZ527" s="31">
        <f>IF(OR($AS527="",$C$6=""),"",TRIM(INDEX($A:$AP,ROW(),$C$6)&amp;""))</f>
        <v/>
      </c>
      <c r="BA527" s="31">
        <f>IF($AZ527="","",IF(COUNTIF($AZ$8:$AZ527,$AZ527)&gt;1,1,0))</f>
        <v/>
      </c>
    </row>
    <row r="528">
      <c r="AR528" s="31">
        <f>IF(OR($A$5="",$B$6="",ROW()&lt;$A$5),"",IF(INDEX($A:$AP,ROW(),$B$6)="","",INDEX($A:$AP,ROW(),$B$6)))</f>
        <v/>
      </c>
      <c r="AS528" s="32">
        <f>IF($AR528="","",IF(ISNUMBER($AR528),IF($AR528&gt;=10000000,IFERROR(DATE(INT($AR528/10000),MOD(INT($AR528/100),100),MOD($AR528,100)),""),INT($AR528)),IFERROR(DATE(--LEFT(LEFT(SUBSTITUTE(SUBSTITUTE(SUBSTITUTE(SUBSTITUTE(TRIM($AR528),"-",""),".",""),"/","")," ",""),8),4),--MID(LEFT(SUBSTITUTE(SUBSTITUTE(SUBSTITUTE(SUBSTITUTE(TRIM($AR528),"-",""),".",""),"/","")," ",""),8),5,2),--MID(LEFT(SUBSTITUTE(SUBSTITUTE(SUBSTITUTE(SUBSTITUTE(TRIM($AR528),"-",""),".",""),"/","")," ",""),8),7,2)),"")))</f>
        <v/>
      </c>
      <c r="AT528" s="33">
        <f>IF($AS528="","",IF($F$6="",0,IF(ISNUMBER(INDEX($A:$AP,ROW(),$F$6)),INDEX($A:$AP,ROW(),$F$6),IFERROR(--SUBSTITUTE(SUBSTITUTE(TRIM(INDEX($A:$AP,ROW(),$F$6)),",",""),"원",""),0))))</f>
        <v/>
      </c>
      <c r="AU528" s="31">
        <f>IF($AS528="","",IF($AX528&lt;&gt;"",SUBSTITUTE(SUBSTITUTE($AX528,"-","")," ",""),"N:"&amp;$AV528))</f>
        <v/>
      </c>
      <c r="AV528" s="31">
        <f>IF(OR($AS528="",$E$6=""),"",TRIM(INDEX($A:$AP,ROW(),$E$6)&amp;""))</f>
        <v/>
      </c>
      <c r="AW528" s="31">
        <f>IF($AU528="","",IF(MATCH($AU528,$AU$8:$AU$2007,0)=ROW()-7,MAX($AW$7:$AW527)+1,""))</f>
        <v/>
      </c>
      <c r="AX528" s="31">
        <f>IF(OR($AS528="",$D$6=""),"",TRIM(INDEX($A:$AP,ROW(),$D$6)&amp;""))</f>
        <v/>
      </c>
      <c r="AY528" s="31">
        <f>IF($AU528="","",INDEX($AW$8:$AW$2007,MATCH($AU528,$AU$8:$AU$2007,0)))</f>
        <v/>
      </c>
      <c r="AZ528" s="31">
        <f>IF(OR($AS528="",$C$6=""),"",TRIM(INDEX($A:$AP,ROW(),$C$6)&amp;""))</f>
        <v/>
      </c>
      <c r="BA528" s="31">
        <f>IF($AZ528="","",IF(COUNTIF($AZ$8:$AZ528,$AZ528)&gt;1,1,0))</f>
        <v/>
      </c>
    </row>
    <row r="529">
      <c r="AR529" s="31">
        <f>IF(OR($A$5="",$B$6="",ROW()&lt;$A$5),"",IF(INDEX($A:$AP,ROW(),$B$6)="","",INDEX($A:$AP,ROW(),$B$6)))</f>
        <v/>
      </c>
      <c r="AS529" s="32">
        <f>IF($AR529="","",IF(ISNUMBER($AR529),IF($AR529&gt;=10000000,IFERROR(DATE(INT($AR529/10000),MOD(INT($AR529/100),100),MOD($AR529,100)),""),INT($AR529)),IFERROR(DATE(--LEFT(LEFT(SUBSTITUTE(SUBSTITUTE(SUBSTITUTE(SUBSTITUTE(TRIM($AR529),"-",""),".",""),"/","")," ",""),8),4),--MID(LEFT(SUBSTITUTE(SUBSTITUTE(SUBSTITUTE(SUBSTITUTE(TRIM($AR529),"-",""),".",""),"/","")," ",""),8),5,2),--MID(LEFT(SUBSTITUTE(SUBSTITUTE(SUBSTITUTE(SUBSTITUTE(TRIM($AR529),"-",""),".",""),"/","")," ",""),8),7,2)),"")))</f>
        <v/>
      </c>
      <c r="AT529" s="33">
        <f>IF($AS529="","",IF($F$6="",0,IF(ISNUMBER(INDEX($A:$AP,ROW(),$F$6)),INDEX($A:$AP,ROW(),$F$6),IFERROR(--SUBSTITUTE(SUBSTITUTE(TRIM(INDEX($A:$AP,ROW(),$F$6)),",",""),"원",""),0))))</f>
        <v/>
      </c>
      <c r="AU529" s="31">
        <f>IF($AS529="","",IF($AX529&lt;&gt;"",SUBSTITUTE(SUBSTITUTE($AX529,"-","")," ",""),"N:"&amp;$AV529))</f>
        <v/>
      </c>
      <c r="AV529" s="31">
        <f>IF(OR($AS529="",$E$6=""),"",TRIM(INDEX($A:$AP,ROW(),$E$6)&amp;""))</f>
        <v/>
      </c>
      <c r="AW529" s="31">
        <f>IF($AU529="","",IF(MATCH($AU529,$AU$8:$AU$2007,0)=ROW()-7,MAX($AW$7:$AW528)+1,""))</f>
        <v/>
      </c>
      <c r="AX529" s="31">
        <f>IF(OR($AS529="",$D$6=""),"",TRIM(INDEX($A:$AP,ROW(),$D$6)&amp;""))</f>
        <v/>
      </c>
      <c r="AY529" s="31">
        <f>IF($AU529="","",INDEX($AW$8:$AW$2007,MATCH($AU529,$AU$8:$AU$2007,0)))</f>
        <v/>
      </c>
      <c r="AZ529" s="31">
        <f>IF(OR($AS529="",$C$6=""),"",TRIM(INDEX($A:$AP,ROW(),$C$6)&amp;""))</f>
        <v/>
      </c>
      <c r="BA529" s="31">
        <f>IF($AZ529="","",IF(COUNTIF($AZ$8:$AZ529,$AZ529)&gt;1,1,0))</f>
        <v/>
      </c>
    </row>
    <row r="530">
      <c r="AR530" s="31">
        <f>IF(OR($A$5="",$B$6="",ROW()&lt;$A$5),"",IF(INDEX($A:$AP,ROW(),$B$6)="","",INDEX($A:$AP,ROW(),$B$6)))</f>
        <v/>
      </c>
      <c r="AS530" s="32">
        <f>IF($AR530="","",IF(ISNUMBER($AR530),IF($AR530&gt;=10000000,IFERROR(DATE(INT($AR530/10000),MOD(INT($AR530/100),100),MOD($AR530,100)),""),INT($AR530)),IFERROR(DATE(--LEFT(LEFT(SUBSTITUTE(SUBSTITUTE(SUBSTITUTE(SUBSTITUTE(TRIM($AR530),"-",""),".",""),"/","")," ",""),8),4),--MID(LEFT(SUBSTITUTE(SUBSTITUTE(SUBSTITUTE(SUBSTITUTE(TRIM($AR530),"-",""),".",""),"/","")," ",""),8),5,2),--MID(LEFT(SUBSTITUTE(SUBSTITUTE(SUBSTITUTE(SUBSTITUTE(TRIM($AR530),"-",""),".",""),"/","")," ",""),8),7,2)),"")))</f>
        <v/>
      </c>
      <c r="AT530" s="33">
        <f>IF($AS530="","",IF($F$6="",0,IF(ISNUMBER(INDEX($A:$AP,ROW(),$F$6)),INDEX($A:$AP,ROW(),$F$6),IFERROR(--SUBSTITUTE(SUBSTITUTE(TRIM(INDEX($A:$AP,ROW(),$F$6)),",",""),"원",""),0))))</f>
        <v/>
      </c>
      <c r="AU530" s="31">
        <f>IF($AS530="","",IF($AX530&lt;&gt;"",SUBSTITUTE(SUBSTITUTE($AX530,"-","")," ",""),"N:"&amp;$AV530))</f>
        <v/>
      </c>
      <c r="AV530" s="31">
        <f>IF(OR($AS530="",$E$6=""),"",TRIM(INDEX($A:$AP,ROW(),$E$6)&amp;""))</f>
        <v/>
      </c>
      <c r="AW530" s="31">
        <f>IF($AU530="","",IF(MATCH($AU530,$AU$8:$AU$2007,0)=ROW()-7,MAX($AW$7:$AW529)+1,""))</f>
        <v/>
      </c>
      <c r="AX530" s="31">
        <f>IF(OR($AS530="",$D$6=""),"",TRIM(INDEX($A:$AP,ROW(),$D$6)&amp;""))</f>
        <v/>
      </c>
      <c r="AY530" s="31">
        <f>IF($AU530="","",INDEX($AW$8:$AW$2007,MATCH($AU530,$AU$8:$AU$2007,0)))</f>
        <v/>
      </c>
      <c r="AZ530" s="31">
        <f>IF(OR($AS530="",$C$6=""),"",TRIM(INDEX($A:$AP,ROW(),$C$6)&amp;""))</f>
        <v/>
      </c>
      <c r="BA530" s="31">
        <f>IF($AZ530="","",IF(COUNTIF($AZ$8:$AZ530,$AZ530)&gt;1,1,0))</f>
        <v/>
      </c>
    </row>
    <row r="531">
      <c r="AR531" s="31">
        <f>IF(OR($A$5="",$B$6="",ROW()&lt;$A$5),"",IF(INDEX($A:$AP,ROW(),$B$6)="","",INDEX($A:$AP,ROW(),$B$6)))</f>
        <v/>
      </c>
      <c r="AS531" s="32">
        <f>IF($AR531="","",IF(ISNUMBER($AR531),IF($AR531&gt;=10000000,IFERROR(DATE(INT($AR531/10000),MOD(INT($AR531/100),100),MOD($AR531,100)),""),INT($AR531)),IFERROR(DATE(--LEFT(LEFT(SUBSTITUTE(SUBSTITUTE(SUBSTITUTE(SUBSTITUTE(TRIM($AR531),"-",""),".",""),"/","")," ",""),8),4),--MID(LEFT(SUBSTITUTE(SUBSTITUTE(SUBSTITUTE(SUBSTITUTE(TRIM($AR531),"-",""),".",""),"/","")," ",""),8),5,2),--MID(LEFT(SUBSTITUTE(SUBSTITUTE(SUBSTITUTE(SUBSTITUTE(TRIM($AR531),"-",""),".",""),"/","")," ",""),8),7,2)),"")))</f>
        <v/>
      </c>
      <c r="AT531" s="33">
        <f>IF($AS531="","",IF($F$6="",0,IF(ISNUMBER(INDEX($A:$AP,ROW(),$F$6)),INDEX($A:$AP,ROW(),$F$6),IFERROR(--SUBSTITUTE(SUBSTITUTE(TRIM(INDEX($A:$AP,ROW(),$F$6)),",",""),"원",""),0))))</f>
        <v/>
      </c>
      <c r="AU531" s="31">
        <f>IF($AS531="","",IF($AX531&lt;&gt;"",SUBSTITUTE(SUBSTITUTE($AX531,"-","")," ",""),"N:"&amp;$AV531))</f>
        <v/>
      </c>
      <c r="AV531" s="31">
        <f>IF(OR($AS531="",$E$6=""),"",TRIM(INDEX($A:$AP,ROW(),$E$6)&amp;""))</f>
        <v/>
      </c>
      <c r="AW531" s="31">
        <f>IF($AU531="","",IF(MATCH($AU531,$AU$8:$AU$2007,0)=ROW()-7,MAX($AW$7:$AW530)+1,""))</f>
        <v/>
      </c>
      <c r="AX531" s="31">
        <f>IF(OR($AS531="",$D$6=""),"",TRIM(INDEX($A:$AP,ROW(),$D$6)&amp;""))</f>
        <v/>
      </c>
      <c r="AY531" s="31">
        <f>IF($AU531="","",INDEX($AW$8:$AW$2007,MATCH($AU531,$AU$8:$AU$2007,0)))</f>
        <v/>
      </c>
      <c r="AZ531" s="31">
        <f>IF(OR($AS531="",$C$6=""),"",TRIM(INDEX($A:$AP,ROW(),$C$6)&amp;""))</f>
        <v/>
      </c>
      <c r="BA531" s="31">
        <f>IF($AZ531="","",IF(COUNTIF($AZ$8:$AZ531,$AZ531)&gt;1,1,0))</f>
        <v/>
      </c>
    </row>
    <row r="532">
      <c r="AR532" s="31">
        <f>IF(OR($A$5="",$B$6="",ROW()&lt;$A$5),"",IF(INDEX($A:$AP,ROW(),$B$6)="","",INDEX($A:$AP,ROW(),$B$6)))</f>
        <v/>
      </c>
      <c r="AS532" s="32">
        <f>IF($AR532="","",IF(ISNUMBER($AR532),IF($AR532&gt;=10000000,IFERROR(DATE(INT($AR532/10000),MOD(INT($AR532/100),100),MOD($AR532,100)),""),INT($AR532)),IFERROR(DATE(--LEFT(LEFT(SUBSTITUTE(SUBSTITUTE(SUBSTITUTE(SUBSTITUTE(TRIM($AR532),"-",""),".",""),"/","")," ",""),8),4),--MID(LEFT(SUBSTITUTE(SUBSTITUTE(SUBSTITUTE(SUBSTITUTE(TRIM($AR532),"-",""),".",""),"/","")," ",""),8),5,2),--MID(LEFT(SUBSTITUTE(SUBSTITUTE(SUBSTITUTE(SUBSTITUTE(TRIM($AR532),"-",""),".",""),"/","")," ",""),8),7,2)),"")))</f>
        <v/>
      </c>
      <c r="AT532" s="33">
        <f>IF($AS532="","",IF($F$6="",0,IF(ISNUMBER(INDEX($A:$AP,ROW(),$F$6)),INDEX($A:$AP,ROW(),$F$6),IFERROR(--SUBSTITUTE(SUBSTITUTE(TRIM(INDEX($A:$AP,ROW(),$F$6)),",",""),"원",""),0))))</f>
        <v/>
      </c>
      <c r="AU532" s="31">
        <f>IF($AS532="","",IF($AX532&lt;&gt;"",SUBSTITUTE(SUBSTITUTE($AX532,"-","")," ",""),"N:"&amp;$AV532))</f>
        <v/>
      </c>
      <c r="AV532" s="31">
        <f>IF(OR($AS532="",$E$6=""),"",TRIM(INDEX($A:$AP,ROW(),$E$6)&amp;""))</f>
        <v/>
      </c>
      <c r="AW532" s="31">
        <f>IF($AU532="","",IF(MATCH($AU532,$AU$8:$AU$2007,0)=ROW()-7,MAX($AW$7:$AW531)+1,""))</f>
        <v/>
      </c>
      <c r="AX532" s="31">
        <f>IF(OR($AS532="",$D$6=""),"",TRIM(INDEX($A:$AP,ROW(),$D$6)&amp;""))</f>
        <v/>
      </c>
      <c r="AY532" s="31">
        <f>IF($AU532="","",INDEX($AW$8:$AW$2007,MATCH($AU532,$AU$8:$AU$2007,0)))</f>
        <v/>
      </c>
      <c r="AZ532" s="31">
        <f>IF(OR($AS532="",$C$6=""),"",TRIM(INDEX($A:$AP,ROW(),$C$6)&amp;""))</f>
        <v/>
      </c>
      <c r="BA532" s="31">
        <f>IF($AZ532="","",IF(COUNTIF($AZ$8:$AZ532,$AZ532)&gt;1,1,0))</f>
        <v/>
      </c>
    </row>
    <row r="533">
      <c r="AR533" s="31">
        <f>IF(OR($A$5="",$B$6="",ROW()&lt;$A$5),"",IF(INDEX($A:$AP,ROW(),$B$6)="","",INDEX($A:$AP,ROW(),$B$6)))</f>
        <v/>
      </c>
      <c r="AS533" s="32">
        <f>IF($AR533="","",IF(ISNUMBER($AR533),IF($AR533&gt;=10000000,IFERROR(DATE(INT($AR533/10000),MOD(INT($AR533/100),100),MOD($AR533,100)),""),INT($AR533)),IFERROR(DATE(--LEFT(LEFT(SUBSTITUTE(SUBSTITUTE(SUBSTITUTE(SUBSTITUTE(TRIM($AR533),"-",""),".",""),"/","")," ",""),8),4),--MID(LEFT(SUBSTITUTE(SUBSTITUTE(SUBSTITUTE(SUBSTITUTE(TRIM($AR533),"-",""),".",""),"/","")," ",""),8),5,2),--MID(LEFT(SUBSTITUTE(SUBSTITUTE(SUBSTITUTE(SUBSTITUTE(TRIM($AR533),"-",""),".",""),"/","")," ",""),8),7,2)),"")))</f>
        <v/>
      </c>
      <c r="AT533" s="33">
        <f>IF($AS533="","",IF($F$6="",0,IF(ISNUMBER(INDEX($A:$AP,ROW(),$F$6)),INDEX($A:$AP,ROW(),$F$6),IFERROR(--SUBSTITUTE(SUBSTITUTE(TRIM(INDEX($A:$AP,ROW(),$F$6)),",",""),"원",""),0))))</f>
        <v/>
      </c>
      <c r="AU533" s="31">
        <f>IF($AS533="","",IF($AX533&lt;&gt;"",SUBSTITUTE(SUBSTITUTE($AX533,"-","")," ",""),"N:"&amp;$AV533))</f>
        <v/>
      </c>
      <c r="AV533" s="31">
        <f>IF(OR($AS533="",$E$6=""),"",TRIM(INDEX($A:$AP,ROW(),$E$6)&amp;""))</f>
        <v/>
      </c>
      <c r="AW533" s="31">
        <f>IF($AU533="","",IF(MATCH($AU533,$AU$8:$AU$2007,0)=ROW()-7,MAX($AW$7:$AW532)+1,""))</f>
        <v/>
      </c>
      <c r="AX533" s="31">
        <f>IF(OR($AS533="",$D$6=""),"",TRIM(INDEX($A:$AP,ROW(),$D$6)&amp;""))</f>
        <v/>
      </c>
      <c r="AY533" s="31">
        <f>IF($AU533="","",INDEX($AW$8:$AW$2007,MATCH($AU533,$AU$8:$AU$2007,0)))</f>
        <v/>
      </c>
      <c r="AZ533" s="31">
        <f>IF(OR($AS533="",$C$6=""),"",TRIM(INDEX($A:$AP,ROW(),$C$6)&amp;""))</f>
        <v/>
      </c>
      <c r="BA533" s="31">
        <f>IF($AZ533="","",IF(COUNTIF($AZ$8:$AZ533,$AZ533)&gt;1,1,0))</f>
        <v/>
      </c>
    </row>
    <row r="534">
      <c r="AR534" s="31">
        <f>IF(OR($A$5="",$B$6="",ROW()&lt;$A$5),"",IF(INDEX($A:$AP,ROW(),$B$6)="","",INDEX($A:$AP,ROW(),$B$6)))</f>
        <v/>
      </c>
      <c r="AS534" s="32">
        <f>IF($AR534="","",IF(ISNUMBER($AR534),IF($AR534&gt;=10000000,IFERROR(DATE(INT($AR534/10000),MOD(INT($AR534/100),100),MOD($AR534,100)),""),INT($AR534)),IFERROR(DATE(--LEFT(LEFT(SUBSTITUTE(SUBSTITUTE(SUBSTITUTE(SUBSTITUTE(TRIM($AR534),"-",""),".",""),"/","")," ",""),8),4),--MID(LEFT(SUBSTITUTE(SUBSTITUTE(SUBSTITUTE(SUBSTITUTE(TRIM($AR534),"-",""),".",""),"/","")," ",""),8),5,2),--MID(LEFT(SUBSTITUTE(SUBSTITUTE(SUBSTITUTE(SUBSTITUTE(TRIM($AR534),"-",""),".",""),"/","")," ",""),8),7,2)),"")))</f>
        <v/>
      </c>
      <c r="AT534" s="33">
        <f>IF($AS534="","",IF($F$6="",0,IF(ISNUMBER(INDEX($A:$AP,ROW(),$F$6)),INDEX($A:$AP,ROW(),$F$6),IFERROR(--SUBSTITUTE(SUBSTITUTE(TRIM(INDEX($A:$AP,ROW(),$F$6)),",",""),"원",""),0))))</f>
        <v/>
      </c>
      <c r="AU534" s="31">
        <f>IF($AS534="","",IF($AX534&lt;&gt;"",SUBSTITUTE(SUBSTITUTE($AX534,"-","")," ",""),"N:"&amp;$AV534))</f>
        <v/>
      </c>
      <c r="AV534" s="31">
        <f>IF(OR($AS534="",$E$6=""),"",TRIM(INDEX($A:$AP,ROW(),$E$6)&amp;""))</f>
        <v/>
      </c>
      <c r="AW534" s="31">
        <f>IF($AU534="","",IF(MATCH($AU534,$AU$8:$AU$2007,0)=ROW()-7,MAX($AW$7:$AW533)+1,""))</f>
        <v/>
      </c>
      <c r="AX534" s="31">
        <f>IF(OR($AS534="",$D$6=""),"",TRIM(INDEX($A:$AP,ROW(),$D$6)&amp;""))</f>
        <v/>
      </c>
      <c r="AY534" s="31">
        <f>IF($AU534="","",INDEX($AW$8:$AW$2007,MATCH($AU534,$AU$8:$AU$2007,0)))</f>
        <v/>
      </c>
      <c r="AZ534" s="31">
        <f>IF(OR($AS534="",$C$6=""),"",TRIM(INDEX($A:$AP,ROW(),$C$6)&amp;""))</f>
        <v/>
      </c>
      <c r="BA534" s="31">
        <f>IF($AZ534="","",IF(COUNTIF($AZ$8:$AZ534,$AZ534)&gt;1,1,0))</f>
        <v/>
      </c>
    </row>
    <row r="535">
      <c r="AR535" s="31">
        <f>IF(OR($A$5="",$B$6="",ROW()&lt;$A$5),"",IF(INDEX($A:$AP,ROW(),$B$6)="","",INDEX($A:$AP,ROW(),$B$6)))</f>
        <v/>
      </c>
      <c r="AS535" s="32">
        <f>IF($AR535="","",IF(ISNUMBER($AR535),IF($AR535&gt;=10000000,IFERROR(DATE(INT($AR535/10000),MOD(INT($AR535/100),100),MOD($AR535,100)),""),INT($AR535)),IFERROR(DATE(--LEFT(LEFT(SUBSTITUTE(SUBSTITUTE(SUBSTITUTE(SUBSTITUTE(TRIM($AR535),"-",""),".",""),"/","")," ",""),8),4),--MID(LEFT(SUBSTITUTE(SUBSTITUTE(SUBSTITUTE(SUBSTITUTE(TRIM($AR535),"-",""),".",""),"/","")," ",""),8),5,2),--MID(LEFT(SUBSTITUTE(SUBSTITUTE(SUBSTITUTE(SUBSTITUTE(TRIM($AR535),"-",""),".",""),"/","")," ",""),8),7,2)),"")))</f>
        <v/>
      </c>
      <c r="AT535" s="33">
        <f>IF($AS535="","",IF($F$6="",0,IF(ISNUMBER(INDEX($A:$AP,ROW(),$F$6)),INDEX($A:$AP,ROW(),$F$6),IFERROR(--SUBSTITUTE(SUBSTITUTE(TRIM(INDEX($A:$AP,ROW(),$F$6)),",",""),"원",""),0))))</f>
        <v/>
      </c>
      <c r="AU535" s="31">
        <f>IF($AS535="","",IF($AX535&lt;&gt;"",SUBSTITUTE(SUBSTITUTE($AX535,"-","")," ",""),"N:"&amp;$AV535))</f>
        <v/>
      </c>
      <c r="AV535" s="31">
        <f>IF(OR($AS535="",$E$6=""),"",TRIM(INDEX($A:$AP,ROW(),$E$6)&amp;""))</f>
        <v/>
      </c>
      <c r="AW535" s="31">
        <f>IF($AU535="","",IF(MATCH($AU535,$AU$8:$AU$2007,0)=ROW()-7,MAX($AW$7:$AW534)+1,""))</f>
        <v/>
      </c>
      <c r="AX535" s="31">
        <f>IF(OR($AS535="",$D$6=""),"",TRIM(INDEX($A:$AP,ROW(),$D$6)&amp;""))</f>
        <v/>
      </c>
      <c r="AY535" s="31">
        <f>IF($AU535="","",INDEX($AW$8:$AW$2007,MATCH($AU535,$AU$8:$AU$2007,0)))</f>
        <v/>
      </c>
      <c r="AZ535" s="31">
        <f>IF(OR($AS535="",$C$6=""),"",TRIM(INDEX($A:$AP,ROW(),$C$6)&amp;""))</f>
        <v/>
      </c>
      <c r="BA535" s="31">
        <f>IF($AZ535="","",IF(COUNTIF($AZ$8:$AZ535,$AZ535)&gt;1,1,0))</f>
        <v/>
      </c>
    </row>
    <row r="536">
      <c r="AR536" s="31">
        <f>IF(OR($A$5="",$B$6="",ROW()&lt;$A$5),"",IF(INDEX($A:$AP,ROW(),$B$6)="","",INDEX($A:$AP,ROW(),$B$6)))</f>
        <v/>
      </c>
      <c r="AS536" s="32">
        <f>IF($AR536="","",IF(ISNUMBER($AR536),IF($AR536&gt;=10000000,IFERROR(DATE(INT($AR536/10000),MOD(INT($AR536/100),100),MOD($AR536,100)),""),INT($AR536)),IFERROR(DATE(--LEFT(LEFT(SUBSTITUTE(SUBSTITUTE(SUBSTITUTE(SUBSTITUTE(TRIM($AR536),"-",""),".",""),"/","")," ",""),8),4),--MID(LEFT(SUBSTITUTE(SUBSTITUTE(SUBSTITUTE(SUBSTITUTE(TRIM($AR536),"-",""),".",""),"/","")," ",""),8),5,2),--MID(LEFT(SUBSTITUTE(SUBSTITUTE(SUBSTITUTE(SUBSTITUTE(TRIM($AR536),"-",""),".",""),"/","")," ",""),8),7,2)),"")))</f>
        <v/>
      </c>
      <c r="AT536" s="33">
        <f>IF($AS536="","",IF($F$6="",0,IF(ISNUMBER(INDEX($A:$AP,ROW(),$F$6)),INDEX($A:$AP,ROW(),$F$6),IFERROR(--SUBSTITUTE(SUBSTITUTE(TRIM(INDEX($A:$AP,ROW(),$F$6)),",",""),"원",""),0))))</f>
        <v/>
      </c>
      <c r="AU536" s="31">
        <f>IF($AS536="","",IF($AX536&lt;&gt;"",SUBSTITUTE(SUBSTITUTE($AX536,"-","")," ",""),"N:"&amp;$AV536))</f>
        <v/>
      </c>
      <c r="AV536" s="31">
        <f>IF(OR($AS536="",$E$6=""),"",TRIM(INDEX($A:$AP,ROW(),$E$6)&amp;""))</f>
        <v/>
      </c>
      <c r="AW536" s="31">
        <f>IF($AU536="","",IF(MATCH($AU536,$AU$8:$AU$2007,0)=ROW()-7,MAX($AW$7:$AW535)+1,""))</f>
        <v/>
      </c>
      <c r="AX536" s="31">
        <f>IF(OR($AS536="",$D$6=""),"",TRIM(INDEX($A:$AP,ROW(),$D$6)&amp;""))</f>
        <v/>
      </c>
      <c r="AY536" s="31">
        <f>IF($AU536="","",INDEX($AW$8:$AW$2007,MATCH($AU536,$AU$8:$AU$2007,0)))</f>
        <v/>
      </c>
      <c r="AZ536" s="31">
        <f>IF(OR($AS536="",$C$6=""),"",TRIM(INDEX($A:$AP,ROW(),$C$6)&amp;""))</f>
        <v/>
      </c>
      <c r="BA536" s="31">
        <f>IF($AZ536="","",IF(COUNTIF($AZ$8:$AZ536,$AZ536)&gt;1,1,0))</f>
        <v/>
      </c>
    </row>
    <row r="537">
      <c r="AR537" s="31">
        <f>IF(OR($A$5="",$B$6="",ROW()&lt;$A$5),"",IF(INDEX($A:$AP,ROW(),$B$6)="","",INDEX($A:$AP,ROW(),$B$6)))</f>
        <v/>
      </c>
      <c r="AS537" s="32">
        <f>IF($AR537="","",IF(ISNUMBER($AR537),IF($AR537&gt;=10000000,IFERROR(DATE(INT($AR537/10000),MOD(INT($AR537/100),100),MOD($AR537,100)),""),INT($AR537)),IFERROR(DATE(--LEFT(LEFT(SUBSTITUTE(SUBSTITUTE(SUBSTITUTE(SUBSTITUTE(TRIM($AR537),"-",""),".",""),"/","")," ",""),8),4),--MID(LEFT(SUBSTITUTE(SUBSTITUTE(SUBSTITUTE(SUBSTITUTE(TRIM($AR537),"-",""),".",""),"/","")," ",""),8),5,2),--MID(LEFT(SUBSTITUTE(SUBSTITUTE(SUBSTITUTE(SUBSTITUTE(TRIM($AR537),"-",""),".",""),"/","")," ",""),8),7,2)),"")))</f>
        <v/>
      </c>
      <c r="AT537" s="33">
        <f>IF($AS537="","",IF($F$6="",0,IF(ISNUMBER(INDEX($A:$AP,ROW(),$F$6)),INDEX($A:$AP,ROW(),$F$6),IFERROR(--SUBSTITUTE(SUBSTITUTE(TRIM(INDEX($A:$AP,ROW(),$F$6)),",",""),"원",""),0))))</f>
        <v/>
      </c>
      <c r="AU537" s="31">
        <f>IF($AS537="","",IF($AX537&lt;&gt;"",SUBSTITUTE(SUBSTITUTE($AX537,"-","")," ",""),"N:"&amp;$AV537))</f>
        <v/>
      </c>
      <c r="AV537" s="31">
        <f>IF(OR($AS537="",$E$6=""),"",TRIM(INDEX($A:$AP,ROW(),$E$6)&amp;""))</f>
        <v/>
      </c>
      <c r="AW537" s="31">
        <f>IF($AU537="","",IF(MATCH($AU537,$AU$8:$AU$2007,0)=ROW()-7,MAX($AW$7:$AW536)+1,""))</f>
        <v/>
      </c>
      <c r="AX537" s="31">
        <f>IF(OR($AS537="",$D$6=""),"",TRIM(INDEX($A:$AP,ROW(),$D$6)&amp;""))</f>
        <v/>
      </c>
      <c r="AY537" s="31">
        <f>IF($AU537="","",INDEX($AW$8:$AW$2007,MATCH($AU537,$AU$8:$AU$2007,0)))</f>
        <v/>
      </c>
      <c r="AZ537" s="31">
        <f>IF(OR($AS537="",$C$6=""),"",TRIM(INDEX($A:$AP,ROW(),$C$6)&amp;""))</f>
        <v/>
      </c>
      <c r="BA537" s="31">
        <f>IF($AZ537="","",IF(COUNTIF($AZ$8:$AZ537,$AZ537)&gt;1,1,0))</f>
        <v/>
      </c>
    </row>
    <row r="538">
      <c r="AR538" s="31">
        <f>IF(OR($A$5="",$B$6="",ROW()&lt;$A$5),"",IF(INDEX($A:$AP,ROW(),$B$6)="","",INDEX($A:$AP,ROW(),$B$6)))</f>
        <v/>
      </c>
      <c r="AS538" s="32">
        <f>IF($AR538="","",IF(ISNUMBER($AR538),IF($AR538&gt;=10000000,IFERROR(DATE(INT($AR538/10000),MOD(INT($AR538/100),100),MOD($AR538,100)),""),INT($AR538)),IFERROR(DATE(--LEFT(LEFT(SUBSTITUTE(SUBSTITUTE(SUBSTITUTE(SUBSTITUTE(TRIM($AR538),"-",""),".",""),"/","")," ",""),8),4),--MID(LEFT(SUBSTITUTE(SUBSTITUTE(SUBSTITUTE(SUBSTITUTE(TRIM($AR538),"-",""),".",""),"/","")," ",""),8),5,2),--MID(LEFT(SUBSTITUTE(SUBSTITUTE(SUBSTITUTE(SUBSTITUTE(TRIM($AR538),"-",""),".",""),"/","")," ",""),8),7,2)),"")))</f>
        <v/>
      </c>
      <c r="AT538" s="33">
        <f>IF($AS538="","",IF($F$6="",0,IF(ISNUMBER(INDEX($A:$AP,ROW(),$F$6)),INDEX($A:$AP,ROW(),$F$6),IFERROR(--SUBSTITUTE(SUBSTITUTE(TRIM(INDEX($A:$AP,ROW(),$F$6)),",",""),"원",""),0))))</f>
        <v/>
      </c>
      <c r="AU538" s="31">
        <f>IF($AS538="","",IF($AX538&lt;&gt;"",SUBSTITUTE(SUBSTITUTE($AX538,"-","")," ",""),"N:"&amp;$AV538))</f>
        <v/>
      </c>
      <c r="AV538" s="31">
        <f>IF(OR($AS538="",$E$6=""),"",TRIM(INDEX($A:$AP,ROW(),$E$6)&amp;""))</f>
        <v/>
      </c>
      <c r="AW538" s="31">
        <f>IF($AU538="","",IF(MATCH($AU538,$AU$8:$AU$2007,0)=ROW()-7,MAX($AW$7:$AW537)+1,""))</f>
        <v/>
      </c>
      <c r="AX538" s="31">
        <f>IF(OR($AS538="",$D$6=""),"",TRIM(INDEX($A:$AP,ROW(),$D$6)&amp;""))</f>
        <v/>
      </c>
      <c r="AY538" s="31">
        <f>IF($AU538="","",INDEX($AW$8:$AW$2007,MATCH($AU538,$AU$8:$AU$2007,0)))</f>
        <v/>
      </c>
      <c r="AZ538" s="31">
        <f>IF(OR($AS538="",$C$6=""),"",TRIM(INDEX($A:$AP,ROW(),$C$6)&amp;""))</f>
        <v/>
      </c>
      <c r="BA538" s="31">
        <f>IF($AZ538="","",IF(COUNTIF($AZ$8:$AZ538,$AZ538)&gt;1,1,0))</f>
        <v/>
      </c>
    </row>
    <row r="539">
      <c r="AR539" s="31">
        <f>IF(OR($A$5="",$B$6="",ROW()&lt;$A$5),"",IF(INDEX($A:$AP,ROW(),$B$6)="","",INDEX($A:$AP,ROW(),$B$6)))</f>
        <v/>
      </c>
      <c r="AS539" s="32">
        <f>IF($AR539="","",IF(ISNUMBER($AR539),IF($AR539&gt;=10000000,IFERROR(DATE(INT($AR539/10000),MOD(INT($AR539/100),100),MOD($AR539,100)),""),INT($AR539)),IFERROR(DATE(--LEFT(LEFT(SUBSTITUTE(SUBSTITUTE(SUBSTITUTE(SUBSTITUTE(TRIM($AR539),"-",""),".",""),"/","")," ",""),8),4),--MID(LEFT(SUBSTITUTE(SUBSTITUTE(SUBSTITUTE(SUBSTITUTE(TRIM($AR539),"-",""),".",""),"/","")," ",""),8),5,2),--MID(LEFT(SUBSTITUTE(SUBSTITUTE(SUBSTITUTE(SUBSTITUTE(TRIM($AR539),"-",""),".",""),"/","")," ",""),8),7,2)),"")))</f>
        <v/>
      </c>
      <c r="AT539" s="33">
        <f>IF($AS539="","",IF($F$6="",0,IF(ISNUMBER(INDEX($A:$AP,ROW(),$F$6)),INDEX($A:$AP,ROW(),$F$6),IFERROR(--SUBSTITUTE(SUBSTITUTE(TRIM(INDEX($A:$AP,ROW(),$F$6)),",",""),"원",""),0))))</f>
        <v/>
      </c>
      <c r="AU539" s="31">
        <f>IF($AS539="","",IF($AX539&lt;&gt;"",SUBSTITUTE(SUBSTITUTE($AX539,"-","")," ",""),"N:"&amp;$AV539))</f>
        <v/>
      </c>
      <c r="AV539" s="31">
        <f>IF(OR($AS539="",$E$6=""),"",TRIM(INDEX($A:$AP,ROW(),$E$6)&amp;""))</f>
        <v/>
      </c>
      <c r="AW539" s="31">
        <f>IF($AU539="","",IF(MATCH($AU539,$AU$8:$AU$2007,0)=ROW()-7,MAX($AW$7:$AW538)+1,""))</f>
        <v/>
      </c>
      <c r="AX539" s="31">
        <f>IF(OR($AS539="",$D$6=""),"",TRIM(INDEX($A:$AP,ROW(),$D$6)&amp;""))</f>
        <v/>
      </c>
      <c r="AY539" s="31">
        <f>IF($AU539="","",INDEX($AW$8:$AW$2007,MATCH($AU539,$AU$8:$AU$2007,0)))</f>
        <v/>
      </c>
      <c r="AZ539" s="31">
        <f>IF(OR($AS539="",$C$6=""),"",TRIM(INDEX($A:$AP,ROW(),$C$6)&amp;""))</f>
        <v/>
      </c>
      <c r="BA539" s="31">
        <f>IF($AZ539="","",IF(COUNTIF($AZ$8:$AZ539,$AZ539)&gt;1,1,0))</f>
        <v/>
      </c>
    </row>
    <row r="540">
      <c r="AR540" s="31">
        <f>IF(OR($A$5="",$B$6="",ROW()&lt;$A$5),"",IF(INDEX($A:$AP,ROW(),$B$6)="","",INDEX($A:$AP,ROW(),$B$6)))</f>
        <v/>
      </c>
      <c r="AS540" s="32">
        <f>IF($AR540="","",IF(ISNUMBER($AR540),IF($AR540&gt;=10000000,IFERROR(DATE(INT($AR540/10000),MOD(INT($AR540/100),100),MOD($AR540,100)),""),INT($AR540)),IFERROR(DATE(--LEFT(LEFT(SUBSTITUTE(SUBSTITUTE(SUBSTITUTE(SUBSTITUTE(TRIM($AR540),"-",""),".",""),"/","")," ",""),8),4),--MID(LEFT(SUBSTITUTE(SUBSTITUTE(SUBSTITUTE(SUBSTITUTE(TRIM($AR540),"-",""),".",""),"/","")," ",""),8),5,2),--MID(LEFT(SUBSTITUTE(SUBSTITUTE(SUBSTITUTE(SUBSTITUTE(TRIM($AR540),"-",""),".",""),"/","")," ",""),8),7,2)),"")))</f>
        <v/>
      </c>
      <c r="AT540" s="33">
        <f>IF($AS540="","",IF($F$6="",0,IF(ISNUMBER(INDEX($A:$AP,ROW(),$F$6)),INDEX($A:$AP,ROW(),$F$6),IFERROR(--SUBSTITUTE(SUBSTITUTE(TRIM(INDEX($A:$AP,ROW(),$F$6)),",",""),"원",""),0))))</f>
        <v/>
      </c>
      <c r="AU540" s="31">
        <f>IF($AS540="","",IF($AX540&lt;&gt;"",SUBSTITUTE(SUBSTITUTE($AX540,"-","")," ",""),"N:"&amp;$AV540))</f>
        <v/>
      </c>
      <c r="AV540" s="31">
        <f>IF(OR($AS540="",$E$6=""),"",TRIM(INDEX($A:$AP,ROW(),$E$6)&amp;""))</f>
        <v/>
      </c>
      <c r="AW540" s="31">
        <f>IF($AU540="","",IF(MATCH($AU540,$AU$8:$AU$2007,0)=ROW()-7,MAX($AW$7:$AW539)+1,""))</f>
        <v/>
      </c>
      <c r="AX540" s="31">
        <f>IF(OR($AS540="",$D$6=""),"",TRIM(INDEX($A:$AP,ROW(),$D$6)&amp;""))</f>
        <v/>
      </c>
      <c r="AY540" s="31">
        <f>IF($AU540="","",INDEX($AW$8:$AW$2007,MATCH($AU540,$AU$8:$AU$2007,0)))</f>
        <v/>
      </c>
      <c r="AZ540" s="31">
        <f>IF(OR($AS540="",$C$6=""),"",TRIM(INDEX($A:$AP,ROW(),$C$6)&amp;""))</f>
        <v/>
      </c>
      <c r="BA540" s="31">
        <f>IF($AZ540="","",IF(COUNTIF($AZ$8:$AZ540,$AZ540)&gt;1,1,0))</f>
        <v/>
      </c>
    </row>
    <row r="541">
      <c r="AR541" s="31">
        <f>IF(OR($A$5="",$B$6="",ROW()&lt;$A$5),"",IF(INDEX($A:$AP,ROW(),$B$6)="","",INDEX($A:$AP,ROW(),$B$6)))</f>
        <v/>
      </c>
      <c r="AS541" s="32">
        <f>IF($AR541="","",IF(ISNUMBER($AR541),IF($AR541&gt;=10000000,IFERROR(DATE(INT($AR541/10000),MOD(INT($AR541/100),100),MOD($AR541,100)),""),INT($AR541)),IFERROR(DATE(--LEFT(LEFT(SUBSTITUTE(SUBSTITUTE(SUBSTITUTE(SUBSTITUTE(TRIM($AR541),"-",""),".",""),"/","")," ",""),8),4),--MID(LEFT(SUBSTITUTE(SUBSTITUTE(SUBSTITUTE(SUBSTITUTE(TRIM($AR541),"-",""),".",""),"/","")," ",""),8),5,2),--MID(LEFT(SUBSTITUTE(SUBSTITUTE(SUBSTITUTE(SUBSTITUTE(TRIM($AR541),"-",""),".",""),"/","")," ",""),8),7,2)),"")))</f>
        <v/>
      </c>
      <c r="AT541" s="33">
        <f>IF($AS541="","",IF($F$6="",0,IF(ISNUMBER(INDEX($A:$AP,ROW(),$F$6)),INDEX($A:$AP,ROW(),$F$6),IFERROR(--SUBSTITUTE(SUBSTITUTE(TRIM(INDEX($A:$AP,ROW(),$F$6)),",",""),"원",""),0))))</f>
        <v/>
      </c>
      <c r="AU541" s="31">
        <f>IF($AS541="","",IF($AX541&lt;&gt;"",SUBSTITUTE(SUBSTITUTE($AX541,"-","")," ",""),"N:"&amp;$AV541))</f>
        <v/>
      </c>
      <c r="AV541" s="31">
        <f>IF(OR($AS541="",$E$6=""),"",TRIM(INDEX($A:$AP,ROW(),$E$6)&amp;""))</f>
        <v/>
      </c>
      <c r="AW541" s="31">
        <f>IF($AU541="","",IF(MATCH($AU541,$AU$8:$AU$2007,0)=ROW()-7,MAX($AW$7:$AW540)+1,""))</f>
        <v/>
      </c>
      <c r="AX541" s="31">
        <f>IF(OR($AS541="",$D$6=""),"",TRIM(INDEX($A:$AP,ROW(),$D$6)&amp;""))</f>
        <v/>
      </c>
      <c r="AY541" s="31">
        <f>IF($AU541="","",INDEX($AW$8:$AW$2007,MATCH($AU541,$AU$8:$AU$2007,0)))</f>
        <v/>
      </c>
      <c r="AZ541" s="31">
        <f>IF(OR($AS541="",$C$6=""),"",TRIM(INDEX($A:$AP,ROW(),$C$6)&amp;""))</f>
        <v/>
      </c>
      <c r="BA541" s="31">
        <f>IF($AZ541="","",IF(COUNTIF($AZ$8:$AZ541,$AZ541)&gt;1,1,0))</f>
        <v/>
      </c>
    </row>
    <row r="542">
      <c r="AR542" s="31">
        <f>IF(OR($A$5="",$B$6="",ROW()&lt;$A$5),"",IF(INDEX($A:$AP,ROW(),$B$6)="","",INDEX($A:$AP,ROW(),$B$6)))</f>
        <v/>
      </c>
      <c r="AS542" s="32">
        <f>IF($AR542="","",IF(ISNUMBER($AR542),IF($AR542&gt;=10000000,IFERROR(DATE(INT($AR542/10000),MOD(INT($AR542/100),100),MOD($AR542,100)),""),INT($AR542)),IFERROR(DATE(--LEFT(LEFT(SUBSTITUTE(SUBSTITUTE(SUBSTITUTE(SUBSTITUTE(TRIM($AR542),"-",""),".",""),"/","")," ",""),8),4),--MID(LEFT(SUBSTITUTE(SUBSTITUTE(SUBSTITUTE(SUBSTITUTE(TRIM($AR542),"-",""),".",""),"/","")," ",""),8),5,2),--MID(LEFT(SUBSTITUTE(SUBSTITUTE(SUBSTITUTE(SUBSTITUTE(TRIM($AR542),"-",""),".",""),"/","")," ",""),8),7,2)),"")))</f>
        <v/>
      </c>
      <c r="AT542" s="33">
        <f>IF($AS542="","",IF($F$6="",0,IF(ISNUMBER(INDEX($A:$AP,ROW(),$F$6)),INDEX($A:$AP,ROW(),$F$6),IFERROR(--SUBSTITUTE(SUBSTITUTE(TRIM(INDEX($A:$AP,ROW(),$F$6)),",",""),"원",""),0))))</f>
        <v/>
      </c>
      <c r="AU542" s="31">
        <f>IF($AS542="","",IF($AX542&lt;&gt;"",SUBSTITUTE(SUBSTITUTE($AX542,"-","")," ",""),"N:"&amp;$AV542))</f>
        <v/>
      </c>
      <c r="AV542" s="31">
        <f>IF(OR($AS542="",$E$6=""),"",TRIM(INDEX($A:$AP,ROW(),$E$6)&amp;""))</f>
        <v/>
      </c>
      <c r="AW542" s="31">
        <f>IF($AU542="","",IF(MATCH($AU542,$AU$8:$AU$2007,0)=ROW()-7,MAX($AW$7:$AW541)+1,""))</f>
        <v/>
      </c>
      <c r="AX542" s="31">
        <f>IF(OR($AS542="",$D$6=""),"",TRIM(INDEX($A:$AP,ROW(),$D$6)&amp;""))</f>
        <v/>
      </c>
      <c r="AY542" s="31">
        <f>IF($AU542="","",INDEX($AW$8:$AW$2007,MATCH($AU542,$AU$8:$AU$2007,0)))</f>
        <v/>
      </c>
      <c r="AZ542" s="31">
        <f>IF(OR($AS542="",$C$6=""),"",TRIM(INDEX($A:$AP,ROW(),$C$6)&amp;""))</f>
        <v/>
      </c>
      <c r="BA542" s="31">
        <f>IF($AZ542="","",IF(COUNTIF($AZ$8:$AZ542,$AZ542)&gt;1,1,0))</f>
        <v/>
      </c>
    </row>
    <row r="543">
      <c r="AR543" s="31">
        <f>IF(OR($A$5="",$B$6="",ROW()&lt;$A$5),"",IF(INDEX($A:$AP,ROW(),$B$6)="","",INDEX($A:$AP,ROW(),$B$6)))</f>
        <v/>
      </c>
      <c r="AS543" s="32">
        <f>IF($AR543="","",IF(ISNUMBER($AR543),IF($AR543&gt;=10000000,IFERROR(DATE(INT($AR543/10000),MOD(INT($AR543/100),100),MOD($AR543,100)),""),INT($AR543)),IFERROR(DATE(--LEFT(LEFT(SUBSTITUTE(SUBSTITUTE(SUBSTITUTE(SUBSTITUTE(TRIM($AR543),"-",""),".",""),"/","")," ",""),8),4),--MID(LEFT(SUBSTITUTE(SUBSTITUTE(SUBSTITUTE(SUBSTITUTE(TRIM($AR543),"-",""),".",""),"/","")," ",""),8),5,2),--MID(LEFT(SUBSTITUTE(SUBSTITUTE(SUBSTITUTE(SUBSTITUTE(TRIM($AR543),"-",""),".",""),"/","")," ",""),8),7,2)),"")))</f>
        <v/>
      </c>
      <c r="AT543" s="33">
        <f>IF($AS543="","",IF($F$6="",0,IF(ISNUMBER(INDEX($A:$AP,ROW(),$F$6)),INDEX($A:$AP,ROW(),$F$6),IFERROR(--SUBSTITUTE(SUBSTITUTE(TRIM(INDEX($A:$AP,ROW(),$F$6)),",",""),"원",""),0))))</f>
        <v/>
      </c>
      <c r="AU543" s="31">
        <f>IF($AS543="","",IF($AX543&lt;&gt;"",SUBSTITUTE(SUBSTITUTE($AX543,"-","")," ",""),"N:"&amp;$AV543))</f>
        <v/>
      </c>
      <c r="AV543" s="31">
        <f>IF(OR($AS543="",$E$6=""),"",TRIM(INDEX($A:$AP,ROW(),$E$6)&amp;""))</f>
        <v/>
      </c>
      <c r="AW543" s="31">
        <f>IF($AU543="","",IF(MATCH($AU543,$AU$8:$AU$2007,0)=ROW()-7,MAX($AW$7:$AW542)+1,""))</f>
        <v/>
      </c>
      <c r="AX543" s="31">
        <f>IF(OR($AS543="",$D$6=""),"",TRIM(INDEX($A:$AP,ROW(),$D$6)&amp;""))</f>
        <v/>
      </c>
      <c r="AY543" s="31">
        <f>IF($AU543="","",INDEX($AW$8:$AW$2007,MATCH($AU543,$AU$8:$AU$2007,0)))</f>
        <v/>
      </c>
      <c r="AZ543" s="31">
        <f>IF(OR($AS543="",$C$6=""),"",TRIM(INDEX($A:$AP,ROW(),$C$6)&amp;""))</f>
        <v/>
      </c>
      <c r="BA543" s="31">
        <f>IF($AZ543="","",IF(COUNTIF($AZ$8:$AZ543,$AZ543)&gt;1,1,0))</f>
        <v/>
      </c>
    </row>
    <row r="544">
      <c r="AR544" s="31">
        <f>IF(OR($A$5="",$B$6="",ROW()&lt;$A$5),"",IF(INDEX($A:$AP,ROW(),$B$6)="","",INDEX($A:$AP,ROW(),$B$6)))</f>
        <v/>
      </c>
      <c r="AS544" s="32">
        <f>IF($AR544="","",IF(ISNUMBER($AR544),IF($AR544&gt;=10000000,IFERROR(DATE(INT($AR544/10000),MOD(INT($AR544/100),100),MOD($AR544,100)),""),INT($AR544)),IFERROR(DATE(--LEFT(LEFT(SUBSTITUTE(SUBSTITUTE(SUBSTITUTE(SUBSTITUTE(TRIM($AR544),"-",""),".",""),"/","")," ",""),8),4),--MID(LEFT(SUBSTITUTE(SUBSTITUTE(SUBSTITUTE(SUBSTITUTE(TRIM($AR544),"-",""),".",""),"/","")," ",""),8),5,2),--MID(LEFT(SUBSTITUTE(SUBSTITUTE(SUBSTITUTE(SUBSTITUTE(TRIM($AR544),"-",""),".",""),"/","")," ",""),8),7,2)),"")))</f>
        <v/>
      </c>
      <c r="AT544" s="33">
        <f>IF($AS544="","",IF($F$6="",0,IF(ISNUMBER(INDEX($A:$AP,ROW(),$F$6)),INDEX($A:$AP,ROW(),$F$6),IFERROR(--SUBSTITUTE(SUBSTITUTE(TRIM(INDEX($A:$AP,ROW(),$F$6)),",",""),"원",""),0))))</f>
        <v/>
      </c>
      <c r="AU544" s="31">
        <f>IF($AS544="","",IF($AX544&lt;&gt;"",SUBSTITUTE(SUBSTITUTE($AX544,"-","")," ",""),"N:"&amp;$AV544))</f>
        <v/>
      </c>
      <c r="AV544" s="31">
        <f>IF(OR($AS544="",$E$6=""),"",TRIM(INDEX($A:$AP,ROW(),$E$6)&amp;""))</f>
        <v/>
      </c>
      <c r="AW544" s="31">
        <f>IF($AU544="","",IF(MATCH($AU544,$AU$8:$AU$2007,0)=ROW()-7,MAX($AW$7:$AW543)+1,""))</f>
        <v/>
      </c>
      <c r="AX544" s="31">
        <f>IF(OR($AS544="",$D$6=""),"",TRIM(INDEX($A:$AP,ROW(),$D$6)&amp;""))</f>
        <v/>
      </c>
      <c r="AY544" s="31">
        <f>IF($AU544="","",INDEX($AW$8:$AW$2007,MATCH($AU544,$AU$8:$AU$2007,0)))</f>
        <v/>
      </c>
      <c r="AZ544" s="31">
        <f>IF(OR($AS544="",$C$6=""),"",TRIM(INDEX($A:$AP,ROW(),$C$6)&amp;""))</f>
        <v/>
      </c>
      <c r="BA544" s="31">
        <f>IF($AZ544="","",IF(COUNTIF($AZ$8:$AZ544,$AZ544)&gt;1,1,0))</f>
        <v/>
      </c>
    </row>
    <row r="545">
      <c r="AR545" s="31">
        <f>IF(OR($A$5="",$B$6="",ROW()&lt;$A$5),"",IF(INDEX($A:$AP,ROW(),$B$6)="","",INDEX($A:$AP,ROW(),$B$6)))</f>
        <v/>
      </c>
      <c r="AS545" s="32">
        <f>IF($AR545="","",IF(ISNUMBER($AR545),IF($AR545&gt;=10000000,IFERROR(DATE(INT($AR545/10000),MOD(INT($AR545/100),100),MOD($AR545,100)),""),INT($AR545)),IFERROR(DATE(--LEFT(LEFT(SUBSTITUTE(SUBSTITUTE(SUBSTITUTE(SUBSTITUTE(TRIM($AR545),"-",""),".",""),"/","")," ",""),8),4),--MID(LEFT(SUBSTITUTE(SUBSTITUTE(SUBSTITUTE(SUBSTITUTE(TRIM($AR545),"-",""),".",""),"/","")," ",""),8),5,2),--MID(LEFT(SUBSTITUTE(SUBSTITUTE(SUBSTITUTE(SUBSTITUTE(TRIM($AR545),"-",""),".",""),"/","")," ",""),8),7,2)),"")))</f>
        <v/>
      </c>
      <c r="AT545" s="33">
        <f>IF($AS545="","",IF($F$6="",0,IF(ISNUMBER(INDEX($A:$AP,ROW(),$F$6)),INDEX($A:$AP,ROW(),$F$6),IFERROR(--SUBSTITUTE(SUBSTITUTE(TRIM(INDEX($A:$AP,ROW(),$F$6)),",",""),"원",""),0))))</f>
        <v/>
      </c>
      <c r="AU545" s="31">
        <f>IF($AS545="","",IF($AX545&lt;&gt;"",SUBSTITUTE(SUBSTITUTE($AX545,"-","")," ",""),"N:"&amp;$AV545))</f>
        <v/>
      </c>
      <c r="AV545" s="31">
        <f>IF(OR($AS545="",$E$6=""),"",TRIM(INDEX($A:$AP,ROW(),$E$6)&amp;""))</f>
        <v/>
      </c>
      <c r="AW545" s="31">
        <f>IF($AU545="","",IF(MATCH($AU545,$AU$8:$AU$2007,0)=ROW()-7,MAX($AW$7:$AW544)+1,""))</f>
        <v/>
      </c>
      <c r="AX545" s="31">
        <f>IF(OR($AS545="",$D$6=""),"",TRIM(INDEX($A:$AP,ROW(),$D$6)&amp;""))</f>
        <v/>
      </c>
      <c r="AY545" s="31">
        <f>IF($AU545="","",INDEX($AW$8:$AW$2007,MATCH($AU545,$AU$8:$AU$2007,0)))</f>
        <v/>
      </c>
      <c r="AZ545" s="31">
        <f>IF(OR($AS545="",$C$6=""),"",TRIM(INDEX($A:$AP,ROW(),$C$6)&amp;""))</f>
        <v/>
      </c>
      <c r="BA545" s="31">
        <f>IF($AZ545="","",IF(COUNTIF($AZ$8:$AZ545,$AZ545)&gt;1,1,0))</f>
        <v/>
      </c>
    </row>
    <row r="546">
      <c r="AR546" s="31">
        <f>IF(OR($A$5="",$B$6="",ROW()&lt;$A$5),"",IF(INDEX($A:$AP,ROW(),$B$6)="","",INDEX($A:$AP,ROW(),$B$6)))</f>
        <v/>
      </c>
      <c r="AS546" s="32">
        <f>IF($AR546="","",IF(ISNUMBER($AR546),IF($AR546&gt;=10000000,IFERROR(DATE(INT($AR546/10000),MOD(INT($AR546/100),100),MOD($AR546,100)),""),INT($AR546)),IFERROR(DATE(--LEFT(LEFT(SUBSTITUTE(SUBSTITUTE(SUBSTITUTE(SUBSTITUTE(TRIM($AR546),"-",""),".",""),"/","")," ",""),8),4),--MID(LEFT(SUBSTITUTE(SUBSTITUTE(SUBSTITUTE(SUBSTITUTE(TRIM($AR546),"-",""),".",""),"/","")," ",""),8),5,2),--MID(LEFT(SUBSTITUTE(SUBSTITUTE(SUBSTITUTE(SUBSTITUTE(TRIM($AR546),"-",""),".",""),"/","")," ",""),8),7,2)),"")))</f>
        <v/>
      </c>
      <c r="AT546" s="33">
        <f>IF($AS546="","",IF($F$6="",0,IF(ISNUMBER(INDEX($A:$AP,ROW(),$F$6)),INDEX($A:$AP,ROW(),$F$6),IFERROR(--SUBSTITUTE(SUBSTITUTE(TRIM(INDEX($A:$AP,ROW(),$F$6)),",",""),"원",""),0))))</f>
        <v/>
      </c>
      <c r="AU546" s="31">
        <f>IF($AS546="","",IF($AX546&lt;&gt;"",SUBSTITUTE(SUBSTITUTE($AX546,"-","")," ",""),"N:"&amp;$AV546))</f>
        <v/>
      </c>
      <c r="AV546" s="31">
        <f>IF(OR($AS546="",$E$6=""),"",TRIM(INDEX($A:$AP,ROW(),$E$6)&amp;""))</f>
        <v/>
      </c>
      <c r="AW546" s="31">
        <f>IF($AU546="","",IF(MATCH($AU546,$AU$8:$AU$2007,0)=ROW()-7,MAX($AW$7:$AW545)+1,""))</f>
        <v/>
      </c>
      <c r="AX546" s="31">
        <f>IF(OR($AS546="",$D$6=""),"",TRIM(INDEX($A:$AP,ROW(),$D$6)&amp;""))</f>
        <v/>
      </c>
      <c r="AY546" s="31">
        <f>IF($AU546="","",INDEX($AW$8:$AW$2007,MATCH($AU546,$AU$8:$AU$2007,0)))</f>
        <v/>
      </c>
      <c r="AZ546" s="31">
        <f>IF(OR($AS546="",$C$6=""),"",TRIM(INDEX($A:$AP,ROW(),$C$6)&amp;""))</f>
        <v/>
      </c>
      <c r="BA546" s="31">
        <f>IF($AZ546="","",IF(COUNTIF($AZ$8:$AZ546,$AZ546)&gt;1,1,0))</f>
        <v/>
      </c>
    </row>
    <row r="547">
      <c r="AR547" s="31">
        <f>IF(OR($A$5="",$B$6="",ROW()&lt;$A$5),"",IF(INDEX($A:$AP,ROW(),$B$6)="","",INDEX($A:$AP,ROW(),$B$6)))</f>
        <v/>
      </c>
      <c r="AS547" s="32">
        <f>IF($AR547="","",IF(ISNUMBER($AR547),IF($AR547&gt;=10000000,IFERROR(DATE(INT($AR547/10000),MOD(INT($AR547/100),100),MOD($AR547,100)),""),INT($AR547)),IFERROR(DATE(--LEFT(LEFT(SUBSTITUTE(SUBSTITUTE(SUBSTITUTE(SUBSTITUTE(TRIM($AR547),"-",""),".",""),"/","")," ",""),8),4),--MID(LEFT(SUBSTITUTE(SUBSTITUTE(SUBSTITUTE(SUBSTITUTE(TRIM($AR547),"-",""),".",""),"/","")," ",""),8),5,2),--MID(LEFT(SUBSTITUTE(SUBSTITUTE(SUBSTITUTE(SUBSTITUTE(TRIM($AR547),"-",""),".",""),"/","")," ",""),8),7,2)),"")))</f>
        <v/>
      </c>
      <c r="AT547" s="33">
        <f>IF($AS547="","",IF($F$6="",0,IF(ISNUMBER(INDEX($A:$AP,ROW(),$F$6)),INDEX($A:$AP,ROW(),$F$6),IFERROR(--SUBSTITUTE(SUBSTITUTE(TRIM(INDEX($A:$AP,ROW(),$F$6)),",",""),"원",""),0))))</f>
        <v/>
      </c>
      <c r="AU547" s="31">
        <f>IF($AS547="","",IF($AX547&lt;&gt;"",SUBSTITUTE(SUBSTITUTE($AX547,"-","")," ",""),"N:"&amp;$AV547))</f>
        <v/>
      </c>
      <c r="AV547" s="31">
        <f>IF(OR($AS547="",$E$6=""),"",TRIM(INDEX($A:$AP,ROW(),$E$6)&amp;""))</f>
        <v/>
      </c>
      <c r="AW547" s="31">
        <f>IF($AU547="","",IF(MATCH($AU547,$AU$8:$AU$2007,0)=ROW()-7,MAX($AW$7:$AW546)+1,""))</f>
        <v/>
      </c>
      <c r="AX547" s="31">
        <f>IF(OR($AS547="",$D$6=""),"",TRIM(INDEX($A:$AP,ROW(),$D$6)&amp;""))</f>
        <v/>
      </c>
      <c r="AY547" s="31">
        <f>IF($AU547="","",INDEX($AW$8:$AW$2007,MATCH($AU547,$AU$8:$AU$2007,0)))</f>
        <v/>
      </c>
      <c r="AZ547" s="31">
        <f>IF(OR($AS547="",$C$6=""),"",TRIM(INDEX($A:$AP,ROW(),$C$6)&amp;""))</f>
        <v/>
      </c>
      <c r="BA547" s="31">
        <f>IF($AZ547="","",IF(COUNTIF($AZ$8:$AZ547,$AZ547)&gt;1,1,0))</f>
        <v/>
      </c>
    </row>
    <row r="548">
      <c r="AR548" s="31">
        <f>IF(OR($A$5="",$B$6="",ROW()&lt;$A$5),"",IF(INDEX($A:$AP,ROW(),$B$6)="","",INDEX($A:$AP,ROW(),$B$6)))</f>
        <v/>
      </c>
      <c r="AS548" s="32">
        <f>IF($AR548="","",IF(ISNUMBER($AR548),IF($AR548&gt;=10000000,IFERROR(DATE(INT($AR548/10000),MOD(INT($AR548/100),100),MOD($AR548,100)),""),INT($AR548)),IFERROR(DATE(--LEFT(LEFT(SUBSTITUTE(SUBSTITUTE(SUBSTITUTE(SUBSTITUTE(TRIM($AR548),"-",""),".",""),"/","")," ",""),8),4),--MID(LEFT(SUBSTITUTE(SUBSTITUTE(SUBSTITUTE(SUBSTITUTE(TRIM($AR548),"-",""),".",""),"/","")," ",""),8),5,2),--MID(LEFT(SUBSTITUTE(SUBSTITUTE(SUBSTITUTE(SUBSTITUTE(TRIM($AR548),"-",""),".",""),"/","")," ",""),8),7,2)),"")))</f>
        <v/>
      </c>
      <c r="AT548" s="33">
        <f>IF($AS548="","",IF($F$6="",0,IF(ISNUMBER(INDEX($A:$AP,ROW(),$F$6)),INDEX($A:$AP,ROW(),$F$6),IFERROR(--SUBSTITUTE(SUBSTITUTE(TRIM(INDEX($A:$AP,ROW(),$F$6)),",",""),"원",""),0))))</f>
        <v/>
      </c>
      <c r="AU548" s="31">
        <f>IF($AS548="","",IF($AX548&lt;&gt;"",SUBSTITUTE(SUBSTITUTE($AX548,"-","")," ",""),"N:"&amp;$AV548))</f>
        <v/>
      </c>
      <c r="AV548" s="31">
        <f>IF(OR($AS548="",$E$6=""),"",TRIM(INDEX($A:$AP,ROW(),$E$6)&amp;""))</f>
        <v/>
      </c>
      <c r="AW548" s="31">
        <f>IF($AU548="","",IF(MATCH($AU548,$AU$8:$AU$2007,0)=ROW()-7,MAX($AW$7:$AW547)+1,""))</f>
        <v/>
      </c>
      <c r="AX548" s="31">
        <f>IF(OR($AS548="",$D$6=""),"",TRIM(INDEX($A:$AP,ROW(),$D$6)&amp;""))</f>
        <v/>
      </c>
      <c r="AY548" s="31">
        <f>IF($AU548="","",INDEX($AW$8:$AW$2007,MATCH($AU548,$AU$8:$AU$2007,0)))</f>
        <v/>
      </c>
      <c r="AZ548" s="31">
        <f>IF(OR($AS548="",$C$6=""),"",TRIM(INDEX($A:$AP,ROW(),$C$6)&amp;""))</f>
        <v/>
      </c>
      <c r="BA548" s="31">
        <f>IF($AZ548="","",IF(COUNTIF($AZ$8:$AZ548,$AZ548)&gt;1,1,0))</f>
        <v/>
      </c>
    </row>
    <row r="549">
      <c r="AR549" s="31">
        <f>IF(OR($A$5="",$B$6="",ROW()&lt;$A$5),"",IF(INDEX($A:$AP,ROW(),$B$6)="","",INDEX($A:$AP,ROW(),$B$6)))</f>
        <v/>
      </c>
      <c r="AS549" s="32">
        <f>IF($AR549="","",IF(ISNUMBER($AR549),IF($AR549&gt;=10000000,IFERROR(DATE(INT($AR549/10000),MOD(INT($AR549/100),100),MOD($AR549,100)),""),INT($AR549)),IFERROR(DATE(--LEFT(LEFT(SUBSTITUTE(SUBSTITUTE(SUBSTITUTE(SUBSTITUTE(TRIM($AR549),"-",""),".",""),"/","")," ",""),8),4),--MID(LEFT(SUBSTITUTE(SUBSTITUTE(SUBSTITUTE(SUBSTITUTE(TRIM($AR549),"-",""),".",""),"/","")," ",""),8),5,2),--MID(LEFT(SUBSTITUTE(SUBSTITUTE(SUBSTITUTE(SUBSTITUTE(TRIM($AR549),"-",""),".",""),"/","")," ",""),8),7,2)),"")))</f>
        <v/>
      </c>
      <c r="AT549" s="33">
        <f>IF($AS549="","",IF($F$6="",0,IF(ISNUMBER(INDEX($A:$AP,ROW(),$F$6)),INDEX($A:$AP,ROW(),$F$6),IFERROR(--SUBSTITUTE(SUBSTITUTE(TRIM(INDEX($A:$AP,ROW(),$F$6)),",",""),"원",""),0))))</f>
        <v/>
      </c>
      <c r="AU549" s="31">
        <f>IF($AS549="","",IF($AX549&lt;&gt;"",SUBSTITUTE(SUBSTITUTE($AX549,"-","")," ",""),"N:"&amp;$AV549))</f>
        <v/>
      </c>
      <c r="AV549" s="31">
        <f>IF(OR($AS549="",$E$6=""),"",TRIM(INDEX($A:$AP,ROW(),$E$6)&amp;""))</f>
        <v/>
      </c>
      <c r="AW549" s="31">
        <f>IF($AU549="","",IF(MATCH($AU549,$AU$8:$AU$2007,0)=ROW()-7,MAX($AW$7:$AW548)+1,""))</f>
        <v/>
      </c>
      <c r="AX549" s="31">
        <f>IF(OR($AS549="",$D$6=""),"",TRIM(INDEX($A:$AP,ROW(),$D$6)&amp;""))</f>
        <v/>
      </c>
      <c r="AY549" s="31">
        <f>IF($AU549="","",INDEX($AW$8:$AW$2007,MATCH($AU549,$AU$8:$AU$2007,0)))</f>
        <v/>
      </c>
      <c r="AZ549" s="31">
        <f>IF(OR($AS549="",$C$6=""),"",TRIM(INDEX($A:$AP,ROW(),$C$6)&amp;""))</f>
        <v/>
      </c>
      <c r="BA549" s="31">
        <f>IF($AZ549="","",IF(COUNTIF($AZ$8:$AZ549,$AZ549)&gt;1,1,0))</f>
        <v/>
      </c>
    </row>
    <row r="550">
      <c r="AR550" s="31">
        <f>IF(OR($A$5="",$B$6="",ROW()&lt;$A$5),"",IF(INDEX($A:$AP,ROW(),$B$6)="","",INDEX($A:$AP,ROW(),$B$6)))</f>
        <v/>
      </c>
      <c r="AS550" s="32">
        <f>IF($AR550="","",IF(ISNUMBER($AR550),IF($AR550&gt;=10000000,IFERROR(DATE(INT($AR550/10000),MOD(INT($AR550/100),100),MOD($AR550,100)),""),INT($AR550)),IFERROR(DATE(--LEFT(LEFT(SUBSTITUTE(SUBSTITUTE(SUBSTITUTE(SUBSTITUTE(TRIM($AR550),"-",""),".",""),"/","")," ",""),8),4),--MID(LEFT(SUBSTITUTE(SUBSTITUTE(SUBSTITUTE(SUBSTITUTE(TRIM($AR550),"-",""),".",""),"/","")," ",""),8),5,2),--MID(LEFT(SUBSTITUTE(SUBSTITUTE(SUBSTITUTE(SUBSTITUTE(TRIM($AR550),"-",""),".",""),"/","")," ",""),8),7,2)),"")))</f>
        <v/>
      </c>
      <c r="AT550" s="33">
        <f>IF($AS550="","",IF($F$6="",0,IF(ISNUMBER(INDEX($A:$AP,ROW(),$F$6)),INDEX($A:$AP,ROW(),$F$6),IFERROR(--SUBSTITUTE(SUBSTITUTE(TRIM(INDEX($A:$AP,ROW(),$F$6)),",",""),"원",""),0))))</f>
        <v/>
      </c>
      <c r="AU550" s="31">
        <f>IF($AS550="","",IF($AX550&lt;&gt;"",SUBSTITUTE(SUBSTITUTE($AX550,"-","")," ",""),"N:"&amp;$AV550))</f>
        <v/>
      </c>
      <c r="AV550" s="31">
        <f>IF(OR($AS550="",$E$6=""),"",TRIM(INDEX($A:$AP,ROW(),$E$6)&amp;""))</f>
        <v/>
      </c>
      <c r="AW550" s="31">
        <f>IF($AU550="","",IF(MATCH($AU550,$AU$8:$AU$2007,0)=ROW()-7,MAX($AW$7:$AW549)+1,""))</f>
        <v/>
      </c>
      <c r="AX550" s="31">
        <f>IF(OR($AS550="",$D$6=""),"",TRIM(INDEX($A:$AP,ROW(),$D$6)&amp;""))</f>
        <v/>
      </c>
      <c r="AY550" s="31">
        <f>IF($AU550="","",INDEX($AW$8:$AW$2007,MATCH($AU550,$AU$8:$AU$2007,0)))</f>
        <v/>
      </c>
      <c r="AZ550" s="31">
        <f>IF(OR($AS550="",$C$6=""),"",TRIM(INDEX($A:$AP,ROW(),$C$6)&amp;""))</f>
        <v/>
      </c>
      <c r="BA550" s="31">
        <f>IF($AZ550="","",IF(COUNTIF($AZ$8:$AZ550,$AZ550)&gt;1,1,0))</f>
        <v/>
      </c>
    </row>
    <row r="551">
      <c r="AR551" s="31">
        <f>IF(OR($A$5="",$B$6="",ROW()&lt;$A$5),"",IF(INDEX($A:$AP,ROW(),$B$6)="","",INDEX($A:$AP,ROW(),$B$6)))</f>
        <v/>
      </c>
      <c r="AS551" s="32">
        <f>IF($AR551="","",IF(ISNUMBER($AR551),IF($AR551&gt;=10000000,IFERROR(DATE(INT($AR551/10000),MOD(INT($AR551/100),100),MOD($AR551,100)),""),INT($AR551)),IFERROR(DATE(--LEFT(LEFT(SUBSTITUTE(SUBSTITUTE(SUBSTITUTE(SUBSTITUTE(TRIM($AR551),"-",""),".",""),"/","")," ",""),8),4),--MID(LEFT(SUBSTITUTE(SUBSTITUTE(SUBSTITUTE(SUBSTITUTE(TRIM($AR551),"-",""),".",""),"/","")," ",""),8),5,2),--MID(LEFT(SUBSTITUTE(SUBSTITUTE(SUBSTITUTE(SUBSTITUTE(TRIM($AR551),"-",""),".",""),"/","")," ",""),8),7,2)),"")))</f>
        <v/>
      </c>
      <c r="AT551" s="33">
        <f>IF($AS551="","",IF($F$6="",0,IF(ISNUMBER(INDEX($A:$AP,ROW(),$F$6)),INDEX($A:$AP,ROW(),$F$6),IFERROR(--SUBSTITUTE(SUBSTITUTE(TRIM(INDEX($A:$AP,ROW(),$F$6)),",",""),"원",""),0))))</f>
        <v/>
      </c>
      <c r="AU551" s="31">
        <f>IF($AS551="","",IF($AX551&lt;&gt;"",SUBSTITUTE(SUBSTITUTE($AX551,"-","")," ",""),"N:"&amp;$AV551))</f>
        <v/>
      </c>
      <c r="AV551" s="31">
        <f>IF(OR($AS551="",$E$6=""),"",TRIM(INDEX($A:$AP,ROW(),$E$6)&amp;""))</f>
        <v/>
      </c>
      <c r="AW551" s="31">
        <f>IF($AU551="","",IF(MATCH($AU551,$AU$8:$AU$2007,0)=ROW()-7,MAX($AW$7:$AW550)+1,""))</f>
        <v/>
      </c>
      <c r="AX551" s="31">
        <f>IF(OR($AS551="",$D$6=""),"",TRIM(INDEX($A:$AP,ROW(),$D$6)&amp;""))</f>
        <v/>
      </c>
      <c r="AY551" s="31">
        <f>IF($AU551="","",INDEX($AW$8:$AW$2007,MATCH($AU551,$AU$8:$AU$2007,0)))</f>
        <v/>
      </c>
      <c r="AZ551" s="31">
        <f>IF(OR($AS551="",$C$6=""),"",TRIM(INDEX($A:$AP,ROW(),$C$6)&amp;""))</f>
        <v/>
      </c>
      <c r="BA551" s="31">
        <f>IF($AZ551="","",IF(COUNTIF($AZ$8:$AZ551,$AZ551)&gt;1,1,0))</f>
        <v/>
      </c>
    </row>
    <row r="552">
      <c r="AR552" s="31">
        <f>IF(OR($A$5="",$B$6="",ROW()&lt;$A$5),"",IF(INDEX($A:$AP,ROW(),$B$6)="","",INDEX($A:$AP,ROW(),$B$6)))</f>
        <v/>
      </c>
      <c r="AS552" s="32">
        <f>IF($AR552="","",IF(ISNUMBER($AR552),IF($AR552&gt;=10000000,IFERROR(DATE(INT($AR552/10000),MOD(INT($AR552/100),100),MOD($AR552,100)),""),INT($AR552)),IFERROR(DATE(--LEFT(LEFT(SUBSTITUTE(SUBSTITUTE(SUBSTITUTE(SUBSTITUTE(TRIM($AR552),"-",""),".",""),"/","")," ",""),8),4),--MID(LEFT(SUBSTITUTE(SUBSTITUTE(SUBSTITUTE(SUBSTITUTE(TRIM($AR552),"-",""),".",""),"/","")," ",""),8),5,2),--MID(LEFT(SUBSTITUTE(SUBSTITUTE(SUBSTITUTE(SUBSTITUTE(TRIM($AR552),"-",""),".",""),"/","")," ",""),8),7,2)),"")))</f>
        <v/>
      </c>
      <c r="AT552" s="33">
        <f>IF($AS552="","",IF($F$6="",0,IF(ISNUMBER(INDEX($A:$AP,ROW(),$F$6)),INDEX($A:$AP,ROW(),$F$6),IFERROR(--SUBSTITUTE(SUBSTITUTE(TRIM(INDEX($A:$AP,ROW(),$F$6)),",",""),"원",""),0))))</f>
        <v/>
      </c>
      <c r="AU552" s="31">
        <f>IF($AS552="","",IF($AX552&lt;&gt;"",SUBSTITUTE(SUBSTITUTE($AX552,"-","")," ",""),"N:"&amp;$AV552))</f>
        <v/>
      </c>
      <c r="AV552" s="31">
        <f>IF(OR($AS552="",$E$6=""),"",TRIM(INDEX($A:$AP,ROW(),$E$6)&amp;""))</f>
        <v/>
      </c>
      <c r="AW552" s="31">
        <f>IF($AU552="","",IF(MATCH($AU552,$AU$8:$AU$2007,0)=ROW()-7,MAX($AW$7:$AW551)+1,""))</f>
        <v/>
      </c>
      <c r="AX552" s="31">
        <f>IF(OR($AS552="",$D$6=""),"",TRIM(INDEX($A:$AP,ROW(),$D$6)&amp;""))</f>
        <v/>
      </c>
      <c r="AY552" s="31">
        <f>IF($AU552="","",INDEX($AW$8:$AW$2007,MATCH($AU552,$AU$8:$AU$2007,0)))</f>
        <v/>
      </c>
      <c r="AZ552" s="31">
        <f>IF(OR($AS552="",$C$6=""),"",TRIM(INDEX($A:$AP,ROW(),$C$6)&amp;""))</f>
        <v/>
      </c>
      <c r="BA552" s="31">
        <f>IF($AZ552="","",IF(COUNTIF($AZ$8:$AZ552,$AZ552)&gt;1,1,0))</f>
        <v/>
      </c>
    </row>
    <row r="553">
      <c r="AR553" s="31">
        <f>IF(OR($A$5="",$B$6="",ROW()&lt;$A$5),"",IF(INDEX($A:$AP,ROW(),$B$6)="","",INDEX($A:$AP,ROW(),$B$6)))</f>
        <v/>
      </c>
      <c r="AS553" s="32">
        <f>IF($AR553="","",IF(ISNUMBER($AR553),IF($AR553&gt;=10000000,IFERROR(DATE(INT($AR553/10000),MOD(INT($AR553/100),100),MOD($AR553,100)),""),INT($AR553)),IFERROR(DATE(--LEFT(LEFT(SUBSTITUTE(SUBSTITUTE(SUBSTITUTE(SUBSTITUTE(TRIM($AR553),"-",""),".",""),"/","")," ",""),8),4),--MID(LEFT(SUBSTITUTE(SUBSTITUTE(SUBSTITUTE(SUBSTITUTE(TRIM($AR553),"-",""),".",""),"/","")," ",""),8),5,2),--MID(LEFT(SUBSTITUTE(SUBSTITUTE(SUBSTITUTE(SUBSTITUTE(TRIM($AR553),"-",""),".",""),"/","")," ",""),8),7,2)),"")))</f>
        <v/>
      </c>
      <c r="AT553" s="33">
        <f>IF($AS553="","",IF($F$6="",0,IF(ISNUMBER(INDEX($A:$AP,ROW(),$F$6)),INDEX($A:$AP,ROW(),$F$6),IFERROR(--SUBSTITUTE(SUBSTITUTE(TRIM(INDEX($A:$AP,ROW(),$F$6)),",",""),"원",""),0))))</f>
        <v/>
      </c>
      <c r="AU553" s="31">
        <f>IF($AS553="","",IF($AX553&lt;&gt;"",SUBSTITUTE(SUBSTITUTE($AX553,"-","")," ",""),"N:"&amp;$AV553))</f>
        <v/>
      </c>
      <c r="AV553" s="31">
        <f>IF(OR($AS553="",$E$6=""),"",TRIM(INDEX($A:$AP,ROW(),$E$6)&amp;""))</f>
        <v/>
      </c>
      <c r="AW553" s="31">
        <f>IF($AU553="","",IF(MATCH($AU553,$AU$8:$AU$2007,0)=ROW()-7,MAX($AW$7:$AW552)+1,""))</f>
        <v/>
      </c>
      <c r="AX553" s="31">
        <f>IF(OR($AS553="",$D$6=""),"",TRIM(INDEX($A:$AP,ROW(),$D$6)&amp;""))</f>
        <v/>
      </c>
      <c r="AY553" s="31">
        <f>IF($AU553="","",INDEX($AW$8:$AW$2007,MATCH($AU553,$AU$8:$AU$2007,0)))</f>
        <v/>
      </c>
      <c r="AZ553" s="31">
        <f>IF(OR($AS553="",$C$6=""),"",TRIM(INDEX($A:$AP,ROW(),$C$6)&amp;""))</f>
        <v/>
      </c>
      <c r="BA553" s="31">
        <f>IF($AZ553="","",IF(COUNTIF($AZ$8:$AZ553,$AZ553)&gt;1,1,0))</f>
        <v/>
      </c>
    </row>
    <row r="554">
      <c r="AR554" s="31">
        <f>IF(OR($A$5="",$B$6="",ROW()&lt;$A$5),"",IF(INDEX($A:$AP,ROW(),$B$6)="","",INDEX($A:$AP,ROW(),$B$6)))</f>
        <v/>
      </c>
      <c r="AS554" s="32">
        <f>IF($AR554="","",IF(ISNUMBER($AR554),IF($AR554&gt;=10000000,IFERROR(DATE(INT($AR554/10000),MOD(INT($AR554/100),100),MOD($AR554,100)),""),INT($AR554)),IFERROR(DATE(--LEFT(LEFT(SUBSTITUTE(SUBSTITUTE(SUBSTITUTE(SUBSTITUTE(TRIM($AR554),"-",""),".",""),"/","")," ",""),8),4),--MID(LEFT(SUBSTITUTE(SUBSTITUTE(SUBSTITUTE(SUBSTITUTE(TRIM($AR554),"-",""),".",""),"/","")," ",""),8),5,2),--MID(LEFT(SUBSTITUTE(SUBSTITUTE(SUBSTITUTE(SUBSTITUTE(TRIM($AR554),"-",""),".",""),"/","")," ",""),8),7,2)),"")))</f>
        <v/>
      </c>
      <c r="AT554" s="33">
        <f>IF($AS554="","",IF($F$6="",0,IF(ISNUMBER(INDEX($A:$AP,ROW(),$F$6)),INDEX($A:$AP,ROW(),$F$6),IFERROR(--SUBSTITUTE(SUBSTITUTE(TRIM(INDEX($A:$AP,ROW(),$F$6)),",",""),"원",""),0))))</f>
        <v/>
      </c>
      <c r="AU554" s="31">
        <f>IF($AS554="","",IF($AX554&lt;&gt;"",SUBSTITUTE(SUBSTITUTE($AX554,"-","")," ",""),"N:"&amp;$AV554))</f>
        <v/>
      </c>
      <c r="AV554" s="31">
        <f>IF(OR($AS554="",$E$6=""),"",TRIM(INDEX($A:$AP,ROW(),$E$6)&amp;""))</f>
        <v/>
      </c>
      <c r="AW554" s="31">
        <f>IF($AU554="","",IF(MATCH($AU554,$AU$8:$AU$2007,0)=ROW()-7,MAX($AW$7:$AW553)+1,""))</f>
        <v/>
      </c>
      <c r="AX554" s="31">
        <f>IF(OR($AS554="",$D$6=""),"",TRIM(INDEX($A:$AP,ROW(),$D$6)&amp;""))</f>
        <v/>
      </c>
      <c r="AY554" s="31">
        <f>IF($AU554="","",INDEX($AW$8:$AW$2007,MATCH($AU554,$AU$8:$AU$2007,0)))</f>
        <v/>
      </c>
      <c r="AZ554" s="31">
        <f>IF(OR($AS554="",$C$6=""),"",TRIM(INDEX($A:$AP,ROW(),$C$6)&amp;""))</f>
        <v/>
      </c>
      <c r="BA554" s="31">
        <f>IF($AZ554="","",IF(COUNTIF($AZ$8:$AZ554,$AZ554)&gt;1,1,0))</f>
        <v/>
      </c>
    </row>
    <row r="555">
      <c r="AR555" s="31">
        <f>IF(OR($A$5="",$B$6="",ROW()&lt;$A$5),"",IF(INDEX($A:$AP,ROW(),$B$6)="","",INDEX($A:$AP,ROW(),$B$6)))</f>
        <v/>
      </c>
      <c r="AS555" s="32">
        <f>IF($AR555="","",IF(ISNUMBER($AR555),IF($AR555&gt;=10000000,IFERROR(DATE(INT($AR555/10000),MOD(INT($AR555/100),100),MOD($AR555,100)),""),INT($AR555)),IFERROR(DATE(--LEFT(LEFT(SUBSTITUTE(SUBSTITUTE(SUBSTITUTE(SUBSTITUTE(TRIM($AR555),"-",""),".",""),"/","")," ",""),8),4),--MID(LEFT(SUBSTITUTE(SUBSTITUTE(SUBSTITUTE(SUBSTITUTE(TRIM($AR555),"-",""),".",""),"/","")," ",""),8),5,2),--MID(LEFT(SUBSTITUTE(SUBSTITUTE(SUBSTITUTE(SUBSTITUTE(TRIM($AR555),"-",""),".",""),"/","")," ",""),8),7,2)),"")))</f>
        <v/>
      </c>
      <c r="AT555" s="33">
        <f>IF($AS555="","",IF($F$6="",0,IF(ISNUMBER(INDEX($A:$AP,ROW(),$F$6)),INDEX($A:$AP,ROW(),$F$6),IFERROR(--SUBSTITUTE(SUBSTITUTE(TRIM(INDEX($A:$AP,ROW(),$F$6)),",",""),"원",""),0))))</f>
        <v/>
      </c>
      <c r="AU555" s="31">
        <f>IF($AS555="","",IF($AX555&lt;&gt;"",SUBSTITUTE(SUBSTITUTE($AX555,"-","")," ",""),"N:"&amp;$AV555))</f>
        <v/>
      </c>
      <c r="AV555" s="31">
        <f>IF(OR($AS555="",$E$6=""),"",TRIM(INDEX($A:$AP,ROW(),$E$6)&amp;""))</f>
        <v/>
      </c>
      <c r="AW555" s="31">
        <f>IF($AU555="","",IF(MATCH($AU555,$AU$8:$AU$2007,0)=ROW()-7,MAX($AW$7:$AW554)+1,""))</f>
        <v/>
      </c>
      <c r="AX555" s="31">
        <f>IF(OR($AS555="",$D$6=""),"",TRIM(INDEX($A:$AP,ROW(),$D$6)&amp;""))</f>
        <v/>
      </c>
      <c r="AY555" s="31">
        <f>IF($AU555="","",INDEX($AW$8:$AW$2007,MATCH($AU555,$AU$8:$AU$2007,0)))</f>
        <v/>
      </c>
      <c r="AZ555" s="31">
        <f>IF(OR($AS555="",$C$6=""),"",TRIM(INDEX($A:$AP,ROW(),$C$6)&amp;""))</f>
        <v/>
      </c>
      <c r="BA555" s="31">
        <f>IF($AZ555="","",IF(COUNTIF($AZ$8:$AZ555,$AZ555)&gt;1,1,0))</f>
        <v/>
      </c>
    </row>
    <row r="556">
      <c r="AR556" s="31">
        <f>IF(OR($A$5="",$B$6="",ROW()&lt;$A$5),"",IF(INDEX($A:$AP,ROW(),$B$6)="","",INDEX($A:$AP,ROW(),$B$6)))</f>
        <v/>
      </c>
      <c r="AS556" s="32">
        <f>IF($AR556="","",IF(ISNUMBER($AR556),IF($AR556&gt;=10000000,IFERROR(DATE(INT($AR556/10000),MOD(INT($AR556/100),100),MOD($AR556,100)),""),INT($AR556)),IFERROR(DATE(--LEFT(LEFT(SUBSTITUTE(SUBSTITUTE(SUBSTITUTE(SUBSTITUTE(TRIM($AR556),"-",""),".",""),"/","")," ",""),8),4),--MID(LEFT(SUBSTITUTE(SUBSTITUTE(SUBSTITUTE(SUBSTITUTE(TRIM($AR556),"-",""),".",""),"/","")," ",""),8),5,2),--MID(LEFT(SUBSTITUTE(SUBSTITUTE(SUBSTITUTE(SUBSTITUTE(TRIM($AR556),"-",""),".",""),"/","")," ",""),8),7,2)),"")))</f>
        <v/>
      </c>
      <c r="AT556" s="33">
        <f>IF($AS556="","",IF($F$6="",0,IF(ISNUMBER(INDEX($A:$AP,ROW(),$F$6)),INDEX($A:$AP,ROW(),$F$6),IFERROR(--SUBSTITUTE(SUBSTITUTE(TRIM(INDEX($A:$AP,ROW(),$F$6)),",",""),"원",""),0))))</f>
        <v/>
      </c>
      <c r="AU556" s="31">
        <f>IF($AS556="","",IF($AX556&lt;&gt;"",SUBSTITUTE(SUBSTITUTE($AX556,"-","")," ",""),"N:"&amp;$AV556))</f>
        <v/>
      </c>
      <c r="AV556" s="31">
        <f>IF(OR($AS556="",$E$6=""),"",TRIM(INDEX($A:$AP,ROW(),$E$6)&amp;""))</f>
        <v/>
      </c>
      <c r="AW556" s="31">
        <f>IF($AU556="","",IF(MATCH($AU556,$AU$8:$AU$2007,0)=ROW()-7,MAX($AW$7:$AW555)+1,""))</f>
        <v/>
      </c>
      <c r="AX556" s="31">
        <f>IF(OR($AS556="",$D$6=""),"",TRIM(INDEX($A:$AP,ROW(),$D$6)&amp;""))</f>
        <v/>
      </c>
      <c r="AY556" s="31">
        <f>IF($AU556="","",INDEX($AW$8:$AW$2007,MATCH($AU556,$AU$8:$AU$2007,0)))</f>
        <v/>
      </c>
      <c r="AZ556" s="31">
        <f>IF(OR($AS556="",$C$6=""),"",TRIM(INDEX($A:$AP,ROW(),$C$6)&amp;""))</f>
        <v/>
      </c>
      <c r="BA556" s="31">
        <f>IF($AZ556="","",IF(COUNTIF($AZ$8:$AZ556,$AZ556)&gt;1,1,0))</f>
        <v/>
      </c>
    </row>
    <row r="557">
      <c r="AR557" s="31">
        <f>IF(OR($A$5="",$B$6="",ROW()&lt;$A$5),"",IF(INDEX($A:$AP,ROW(),$B$6)="","",INDEX($A:$AP,ROW(),$B$6)))</f>
        <v/>
      </c>
      <c r="AS557" s="32">
        <f>IF($AR557="","",IF(ISNUMBER($AR557),IF($AR557&gt;=10000000,IFERROR(DATE(INT($AR557/10000),MOD(INT($AR557/100),100),MOD($AR557,100)),""),INT($AR557)),IFERROR(DATE(--LEFT(LEFT(SUBSTITUTE(SUBSTITUTE(SUBSTITUTE(SUBSTITUTE(TRIM($AR557),"-",""),".",""),"/","")," ",""),8),4),--MID(LEFT(SUBSTITUTE(SUBSTITUTE(SUBSTITUTE(SUBSTITUTE(TRIM($AR557),"-",""),".",""),"/","")," ",""),8),5,2),--MID(LEFT(SUBSTITUTE(SUBSTITUTE(SUBSTITUTE(SUBSTITUTE(TRIM($AR557),"-",""),".",""),"/","")," ",""),8),7,2)),"")))</f>
        <v/>
      </c>
      <c r="AT557" s="33">
        <f>IF($AS557="","",IF($F$6="",0,IF(ISNUMBER(INDEX($A:$AP,ROW(),$F$6)),INDEX($A:$AP,ROW(),$F$6),IFERROR(--SUBSTITUTE(SUBSTITUTE(TRIM(INDEX($A:$AP,ROW(),$F$6)),",",""),"원",""),0))))</f>
        <v/>
      </c>
      <c r="AU557" s="31">
        <f>IF($AS557="","",IF($AX557&lt;&gt;"",SUBSTITUTE(SUBSTITUTE($AX557,"-","")," ",""),"N:"&amp;$AV557))</f>
        <v/>
      </c>
      <c r="AV557" s="31">
        <f>IF(OR($AS557="",$E$6=""),"",TRIM(INDEX($A:$AP,ROW(),$E$6)&amp;""))</f>
        <v/>
      </c>
      <c r="AW557" s="31">
        <f>IF($AU557="","",IF(MATCH($AU557,$AU$8:$AU$2007,0)=ROW()-7,MAX($AW$7:$AW556)+1,""))</f>
        <v/>
      </c>
      <c r="AX557" s="31">
        <f>IF(OR($AS557="",$D$6=""),"",TRIM(INDEX($A:$AP,ROW(),$D$6)&amp;""))</f>
        <v/>
      </c>
      <c r="AY557" s="31">
        <f>IF($AU557="","",INDEX($AW$8:$AW$2007,MATCH($AU557,$AU$8:$AU$2007,0)))</f>
        <v/>
      </c>
      <c r="AZ557" s="31">
        <f>IF(OR($AS557="",$C$6=""),"",TRIM(INDEX($A:$AP,ROW(),$C$6)&amp;""))</f>
        <v/>
      </c>
      <c r="BA557" s="31">
        <f>IF($AZ557="","",IF(COUNTIF($AZ$8:$AZ557,$AZ557)&gt;1,1,0))</f>
        <v/>
      </c>
    </row>
    <row r="558">
      <c r="AR558" s="31">
        <f>IF(OR($A$5="",$B$6="",ROW()&lt;$A$5),"",IF(INDEX($A:$AP,ROW(),$B$6)="","",INDEX($A:$AP,ROW(),$B$6)))</f>
        <v/>
      </c>
      <c r="AS558" s="32">
        <f>IF($AR558="","",IF(ISNUMBER($AR558),IF($AR558&gt;=10000000,IFERROR(DATE(INT($AR558/10000),MOD(INT($AR558/100),100),MOD($AR558,100)),""),INT($AR558)),IFERROR(DATE(--LEFT(LEFT(SUBSTITUTE(SUBSTITUTE(SUBSTITUTE(SUBSTITUTE(TRIM($AR558),"-",""),".",""),"/","")," ",""),8),4),--MID(LEFT(SUBSTITUTE(SUBSTITUTE(SUBSTITUTE(SUBSTITUTE(TRIM($AR558),"-",""),".",""),"/","")," ",""),8),5,2),--MID(LEFT(SUBSTITUTE(SUBSTITUTE(SUBSTITUTE(SUBSTITUTE(TRIM($AR558),"-",""),".",""),"/","")," ",""),8),7,2)),"")))</f>
        <v/>
      </c>
      <c r="AT558" s="33">
        <f>IF($AS558="","",IF($F$6="",0,IF(ISNUMBER(INDEX($A:$AP,ROW(),$F$6)),INDEX($A:$AP,ROW(),$F$6),IFERROR(--SUBSTITUTE(SUBSTITUTE(TRIM(INDEX($A:$AP,ROW(),$F$6)),",",""),"원",""),0))))</f>
        <v/>
      </c>
      <c r="AU558" s="31">
        <f>IF($AS558="","",IF($AX558&lt;&gt;"",SUBSTITUTE(SUBSTITUTE($AX558,"-","")," ",""),"N:"&amp;$AV558))</f>
        <v/>
      </c>
      <c r="AV558" s="31">
        <f>IF(OR($AS558="",$E$6=""),"",TRIM(INDEX($A:$AP,ROW(),$E$6)&amp;""))</f>
        <v/>
      </c>
      <c r="AW558" s="31">
        <f>IF($AU558="","",IF(MATCH($AU558,$AU$8:$AU$2007,0)=ROW()-7,MAX($AW$7:$AW557)+1,""))</f>
        <v/>
      </c>
      <c r="AX558" s="31">
        <f>IF(OR($AS558="",$D$6=""),"",TRIM(INDEX($A:$AP,ROW(),$D$6)&amp;""))</f>
        <v/>
      </c>
      <c r="AY558" s="31">
        <f>IF($AU558="","",INDEX($AW$8:$AW$2007,MATCH($AU558,$AU$8:$AU$2007,0)))</f>
        <v/>
      </c>
      <c r="AZ558" s="31">
        <f>IF(OR($AS558="",$C$6=""),"",TRIM(INDEX($A:$AP,ROW(),$C$6)&amp;""))</f>
        <v/>
      </c>
      <c r="BA558" s="31">
        <f>IF($AZ558="","",IF(COUNTIF($AZ$8:$AZ558,$AZ558)&gt;1,1,0))</f>
        <v/>
      </c>
    </row>
    <row r="559">
      <c r="AR559" s="31">
        <f>IF(OR($A$5="",$B$6="",ROW()&lt;$A$5),"",IF(INDEX($A:$AP,ROW(),$B$6)="","",INDEX($A:$AP,ROW(),$B$6)))</f>
        <v/>
      </c>
      <c r="AS559" s="32">
        <f>IF($AR559="","",IF(ISNUMBER($AR559),IF($AR559&gt;=10000000,IFERROR(DATE(INT($AR559/10000),MOD(INT($AR559/100),100),MOD($AR559,100)),""),INT($AR559)),IFERROR(DATE(--LEFT(LEFT(SUBSTITUTE(SUBSTITUTE(SUBSTITUTE(SUBSTITUTE(TRIM($AR559),"-",""),".",""),"/","")," ",""),8),4),--MID(LEFT(SUBSTITUTE(SUBSTITUTE(SUBSTITUTE(SUBSTITUTE(TRIM($AR559),"-",""),".",""),"/","")," ",""),8),5,2),--MID(LEFT(SUBSTITUTE(SUBSTITUTE(SUBSTITUTE(SUBSTITUTE(TRIM($AR559),"-",""),".",""),"/","")," ",""),8),7,2)),"")))</f>
        <v/>
      </c>
      <c r="AT559" s="33">
        <f>IF($AS559="","",IF($F$6="",0,IF(ISNUMBER(INDEX($A:$AP,ROW(),$F$6)),INDEX($A:$AP,ROW(),$F$6),IFERROR(--SUBSTITUTE(SUBSTITUTE(TRIM(INDEX($A:$AP,ROW(),$F$6)),",",""),"원",""),0))))</f>
        <v/>
      </c>
      <c r="AU559" s="31">
        <f>IF($AS559="","",IF($AX559&lt;&gt;"",SUBSTITUTE(SUBSTITUTE($AX559,"-","")," ",""),"N:"&amp;$AV559))</f>
        <v/>
      </c>
      <c r="AV559" s="31">
        <f>IF(OR($AS559="",$E$6=""),"",TRIM(INDEX($A:$AP,ROW(),$E$6)&amp;""))</f>
        <v/>
      </c>
      <c r="AW559" s="31">
        <f>IF($AU559="","",IF(MATCH($AU559,$AU$8:$AU$2007,0)=ROW()-7,MAX($AW$7:$AW558)+1,""))</f>
        <v/>
      </c>
      <c r="AX559" s="31">
        <f>IF(OR($AS559="",$D$6=""),"",TRIM(INDEX($A:$AP,ROW(),$D$6)&amp;""))</f>
        <v/>
      </c>
      <c r="AY559" s="31">
        <f>IF($AU559="","",INDEX($AW$8:$AW$2007,MATCH($AU559,$AU$8:$AU$2007,0)))</f>
        <v/>
      </c>
      <c r="AZ559" s="31">
        <f>IF(OR($AS559="",$C$6=""),"",TRIM(INDEX($A:$AP,ROW(),$C$6)&amp;""))</f>
        <v/>
      </c>
      <c r="BA559" s="31">
        <f>IF($AZ559="","",IF(COUNTIF($AZ$8:$AZ559,$AZ559)&gt;1,1,0))</f>
        <v/>
      </c>
    </row>
    <row r="560">
      <c r="AR560" s="31">
        <f>IF(OR($A$5="",$B$6="",ROW()&lt;$A$5),"",IF(INDEX($A:$AP,ROW(),$B$6)="","",INDEX($A:$AP,ROW(),$B$6)))</f>
        <v/>
      </c>
      <c r="AS560" s="32">
        <f>IF($AR560="","",IF(ISNUMBER($AR560),IF($AR560&gt;=10000000,IFERROR(DATE(INT($AR560/10000),MOD(INT($AR560/100),100),MOD($AR560,100)),""),INT($AR560)),IFERROR(DATE(--LEFT(LEFT(SUBSTITUTE(SUBSTITUTE(SUBSTITUTE(SUBSTITUTE(TRIM($AR560),"-",""),".",""),"/","")," ",""),8),4),--MID(LEFT(SUBSTITUTE(SUBSTITUTE(SUBSTITUTE(SUBSTITUTE(TRIM($AR560),"-",""),".",""),"/","")," ",""),8),5,2),--MID(LEFT(SUBSTITUTE(SUBSTITUTE(SUBSTITUTE(SUBSTITUTE(TRIM($AR560),"-",""),".",""),"/","")," ",""),8),7,2)),"")))</f>
        <v/>
      </c>
      <c r="AT560" s="33">
        <f>IF($AS560="","",IF($F$6="",0,IF(ISNUMBER(INDEX($A:$AP,ROW(),$F$6)),INDEX($A:$AP,ROW(),$F$6),IFERROR(--SUBSTITUTE(SUBSTITUTE(TRIM(INDEX($A:$AP,ROW(),$F$6)),",",""),"원",""),0))))</f>
        <v/>
      </c>
      <c r="AU560" s="31">
        <f>IF($AS560="","",IF($AX560&lt;&gt;"",SUBSTITUTE(SUBSTITUTE($AX560,"-","")," ",""),"N:"&amp;$AV560))</f>
        <v/>
      </c>
      <c r="AV560" s="31">
        <f>IF(OR($AS560="",$E$6=""),"",TRIM(INDEX($A:$AP,ROW(),$E$6)&amp;""))</f>
        <v/>
      </c>
      <c r="AW560" s="31">
        <f>IF($AU560="","",IF(MATCH($AU560,$AU$8:$AU$2007,0)=ROW()-7,MAX($AW$7:$AW559)+1,""))</f>
        <v/>
      </c>
      <c r="AX560" s="31">
        <f>IF(OR($AS560="",$D$6=""),"",TRIM(INDEX($A:$AP,ROW(),$D$6)&amp;""))</f>
        <v/>
      </c>
      <c r="AY560" s="31">
        <f>IF($AU560="","",INDEX($AW$8:$AW$2007,MATCH($AU560,$AU$8:$AU$2007,0)))</f>
        <v/>
      </c>
      <c r="AZ560" s="31">
        <f>IF(OR($AS560="",$C$6=""),"",TRIM(INDEX($A:$AP,ROW(),$C$6)&amp;""))</f>
        <v/>
      </c>
      <c r="BA560" s="31">
        <f>IF($AZ560="","",IF(COUNTIF($AZ$8:$AZ560,$AZ560)&gt;1,1,0))</f>
        <v/>
      </c>
    </row>
    <row r="561">
      <c r="AR561" s="31">
        <f>IF(OR($A$5="",$B$6="",ROW()&lt;$A$5),"",IF(INDEX($A:$AP,ROW(),$B$6)="","",INDEX($A:$AP,ROW(),$B$6)))</f>
        <v/>
      </c>
      <c r="AS561" s="32">
        <f>IF($AR561="","",IF(ISNUMBER($AR561),IF($AR561&gt;=10000000,IFERROR(DATE(INT($AR561/10000),MOD(INT($AR561/100),100),MOD($AR561,100)),""),INT($AR561)),IFERROR(DATE(--LEFT(LEFT(SUBSTITUTE(SUBSTITUTE(SUBSTITUTE(SUBSTITUTE(TRIM($AR561),"-",""),".",""),"/","")," ",""),8),4),--MID(LEFT(SUBSTITUTE(SUBSTITUTE(SUBSTITUTE(SUBSTITUTE(TRIM($AR561),"-",""),".",""),"/","")," ",""),8),5,2),--MID(LEFT(SUBSTITUTE(SUBSTITUTE(SUBSTITUTE(SUBSTITUTE(TRIM($AR561),"-",""),".",""),"/","")," ",""),8),7,2)),"")))</f>
        <v/>
      </c>
      <c r="AT561" s="33">
        <f>IF($AS561="","",IF($F$6="",0,IF(ISNUMBER(INDEX($A:$AP,ROW(),$F$6)),INDEX($A:$AP,ROW(),$F$6),IFERROR(--SUBSTITUTE(SUBSTITUTE(TRIM(INDEX($A:$AP,ROW(),$F$6)),",",""),"원",""),0))))</f>
        <v/>
      </c>
      <c r="AU561" s="31">
        <f>IF($AS561="","",IF($AX561&lt;&gt;"",SUBSTITUTE(SUBSTITUTE($AX561,"-","")," ",""),"N:"&amp;$AV561))</f>
        <v/>
      </c>
      <c r="AV561" s="31">
        <f>IF(OR($AS561="",$E$6=""),"",TRIM(INDEX($A:$AP,ROW(),$E$6)&amp;""))</f>
        <v/>
      </c>
      <c r="AW561" s="31">
        <f>IF($AU561="","",IF(MATCH($AU561,$AU$8:$AU$2007,0)=ROW()-7,MAX($AW$7:$AW560)+1,""))</f>
        <v/>
      </c>
      <c r="AX561" s="31">
        <f>IF(OR($AS561="",$D$6=""),"",TRIM(INDEX($A:$AP,ROW(),$D$6)&amp;""))</f>
        <v/>
      </c>
      <c r="AY561" s="31">
        <f>IF($AU561="","",INDEX($AW$8:$AW$2007,MATCH($AU561,$AU$8:$AU$2007,0)))</f>
        <v/>
      </c>
      <c r="AZ561" s="31">
        <f>IF(OR($AS561="",$C$6=""),"",TRIM(INDEX($A:$AP,ROW(),$C$6)&amp;""))</f>
        <v/>
      </c>
      <c r="BA561" s="31">
        <f>IF($AZ561="","",IF(COUNTIF($AZ$8:$AZ561,$AZ561)&gt;1,1,0))</f>
        <v/>
      </c>
    </row>
    <row r="562">
      <c r="AR562" s="31">
        <f>IF(OR($A$5="",$B$6="",ROW()&lt;$A$5),"",IF(INDEX($A:$AP,ROW(),$B$6)="","",INDEX($A:$AP,ROW(),$B$6)))</f>
        <v/>
      </c>
      <c r="AS562" s="32">
        <f>IF($AR562="","",IF(ISNUMBER($AR562),IF($AR562&gt;=10000000,IFERROR(DATE(INT($AR562/10000),MOD(INT($AR562/100),100),MOD($AR562,100)),""),INT($AR562)),IFERROR(DATE(--LEFT(LEFT(SUBSTITUTE(SUBSTITUTE(SUBSTITUTE(SUBSTITUTE(TRIM($AR562),"-",""),".",""),"/","")," ",""),8),4),--MID(LEFT(SUBSTITUTE(SUBSTITUTE(SUBSTITUTE(SUBSTITUTE(TRIM($AR562),"-",""),".",""),"/","")," ",""),8),5,2),--MID(LEFT(SUBSTITUTE(SUBSTITUTE(SUBSTITUTE(SUBSTITUTE(TRIM($AR562),"-",""),".",""),"/","")," ",""),8),7,2)),"")))</f>
        <v/>
      </c>
      <c r="AT562" s="33">
        <f>IF($AS562="","",IF($F$6="",0,IF(ISNUMBER(INDEX($A:$AP,ROW(),$F$6)),INDEX($A:$AP,ROW(),$F$6),IFERROR(--SUBSTITUTE(SUBSTITUTE(TRIM(INDEX($A:$AP,ROW(),$F$6)),",",""),"원",""),0))))</f>
        <v/>
      </c>
      <c r="AU562" s="31">
        <f>IF($AS562="","",IF($AX562&lt;&gt;"",SUBSTITUTE(SUBSTITUTE($AX562,"-","")," ",""),"N:"&amp;$AV562))</f>
        <v/>
      </c>
      <c r="AV562" s="31">
        <f>IF(OR($AS562="",$E$6=""),"",TRIM(INDEX($A:$AP,ROW(),$E$6)&amp;""))</f>
        <v/>
      </c>
      <c r="AW562" s="31">
        <f>IF($AU562="","",IF(MATCH($AU562,$AU$8:$AU$2007,0)=ROW()-7,MAX($AW$7:$AW561)+1,""))</f>
        <v/>
      </c>
      <c r="AX562" s="31">
        <f>IF(OR($AS562="",$D$6=""),"",TRIM(INDEX($A:$AP,ROW(),$D$6)&amp;""))</f>
        <v/>
      </c>
      <c r="AY562" s="31">
        <f>IF($AU562="","",INDEX($AW$8:$AW$2007,MATCH($AU562,$AU$8:$AU$2007,0)))</f>
        <v/>
      </c>
      <c r="AZ562" s="31">
        <f>IF(OR($AS562="",$C$6=""),"",TRIM(INDEX($A:$AP,ROW(),$C$6)&amp;""))</f>
        <v/>
      </c>
      <c r="BA562" s="31">
        <f>IF($AZ562="","",IF(COUNTIF($AZ$8:$AZ562,$AZ562)&gt;1,1,0))</f>
        <v/>
      </c>
    </row>
    <row r="563">
      <c r="AR563" s="31">
        <f>IF(OR($A$5="",$B$6="",ROW()&lt;$A$5),"",IF(INDEX($A:$AP,ROW(),$B$6)="","",INDEX($A:$AP,ROW(),$B$6)))</f>
        <v/>
      </c>
      <c r="AS563" s="32">
        <f>IF($AR563="","",IF(ISNUMBER($AR563),IF($AR563&gt;=10000000,IFERROR(DATE(INT($AR563/10000),MOD(INT($AR563/100),100),MOD($AR563,100)),""),INT($AR563)),IFERROR(DATE(--LEFT(LEFT(SUBSTITUTE(SUBSTITUTE(SUBSTITUTE(SUBSTITUTE(TRIM($AR563),"-",""),".",""),"/","")," ",""),8),4),--MID(LEFT(SUBSTITUTE(SUBSTITUTE(SUBSTITUTE(SUBSTITUTE(TRIM($AR563),"-",""),".",""),"/","")," ",""),8),5,2),--MID(LEFT(SUBSTITUTE(SUBSTITUTE(SUBSTITUTE(SUBSTITUTE(TRIM($AR563),"-",""),".",""),"/","")," ",""),8),7,2)),"")))</f>
        <v/>
      </c>
      <c r="AT563" s="33">
        <f>IF($AS563="","",IF($F$6="",0,IF(ISNUMBER(INDEX($A:$AP,ROW(),$F$6)),INDEX($A:$AP,ROW(),$F$6),IFERROR(--SUBSTITUTE(SUBSTITUTE(TRIM(INDEX($A:$AP,ROW(),$F$6)),",",""),"원",""),0))))</f>
        <v/>
      </c>
      <c r="AU563" s="31">
        <f>IF($AS563="","",IF($AX563&lt;&gt;"",SUBSTITUTE(SUBSTITUTE($AX563,"-","")," ",""),"N:"&amp;$AV563))</f>
        <v/>
      </c>
      <c r="AV563" s="31">
        <f>IF(OR($AS563="",$E$6=""),"",TRIM(INDEX($A:$AP,ROW(),$E$6)&amp;""))</f>
        <v/>
      </c>
      <c r="AW563" s="31">
        <f>IF($AU563="","",IF(MATCH($AU563,$AU$8:$AU$2007,0)=ROW()-7,MAX($AW$7:$AW562)+1,""))</f>
        <v/>
      </c>
      <c r="AX563" s="31">
        <f>IF(OR($AS563="",$D$6=""),"",TRIM(INDEX($A:$AP,ROW(),$D$6)&amp;""))</f>
        <v/>
      </c>
      <c r="AY563" s="31">
        <f>IF($AU563="","",INDEX($AW$8:$AW$2007,MATCH($AU563,$AU$8:$AU$2007,0)))</f>
        <v/>
      </c>
      <c r="AZ563" s="31">
        <f>IF(OR($AS563="",$C$6=""),"",TRIM(INDEX($A:$AP,ROW(),$C$6)&amp;""))</f>
        <v/>
      </c>
      <c r="BA563" s="31">
        <f>IF($AZ563="","",IF(COUNTIF($AZ$8:$AZ563,$AZ563)&gt;1,1,0))</f>
        <v/>
      </c>
    </row>
    <row r="564">
      <c r="AR564" s="31">
        <f>IF(OR($A$5="",$B$6="",ROW()&lt;$A$5),"",IF(INDEX($A:$AP,ROW(),$B$6)="","",INDEX($A:$AP,ROW(),$B$6)))</f>
        <v/>
      </c>
      <c r="AS564" s="32">
        <f>IF($AR564="","",IF(ISNUMBER($AR564),IF($AR564&gt;=10000000,IFERROR(DATE(INT($AR564/10000),MOD(INT($AR564/100),100),MOD($AR564,100)),""),INT($AR564)),IFERROR(DATE(--LEFT(LEFT(SUBSTITUTE(SUBSTITUTE(SUBSTITUTE(SUBSTITUTE(TRIM($AR564),"-",""),".",""),"/","")," ",""),8),4),--MID(LEFT(SUBSTITUTE(SUBSTITUTE(SUBSTITUTE(SUBSTITUTE(TRIM($AR564),"-",""),".",""),"/","")," ",""),8),5,2),--MID(LEFT(SUBSTITUTE(SUBSTITUTE(SUBSTITUTE(SUBSTITUTE(TRIM($AR564),"-",""),".",""),"/","")," ",""),8),7,2)),"")))</f>
        <v/>
      </c>
      <c r="AT564" s="33">
        <f>IF($AS564="","",IF($F$6="",0,IF(ISNUMBER(INDEX($A:$AP,ROW(),$F$6)),INDEX($A:$AP,ROW(),$F$6),IFERROR(--SUBSTITUTE(SUBSTITUTE(TRIM(INDEX($A:$AP,ROW(),$F$6)),",",""),"원",""),0))))</f>
        <v/>
      </c>
      <c r="AU564" s="31">
        <f>IF($AS564="","",IF($AX564&lt;&gt;"",SUBSTITUTE(SUBSTITUTE($AX564,"-","")," ",""),"N:"&amp;$AV564))</f>
        <v/>
      </c>
      <c r="AV564" s="31">
        <f>IF(OR($AS564="",$E$6=""),"",TRIM(INDEX($A:$AP,ROW(),$E$6)&amp;""))</f>
        <v/>
      </c>
      <c r="AW564" s="31">
        <f>IF($AU564="","",IF(MATCH($AU564,$AU$8:$AU$2007,0)=ROW()-7,MAX($AW$7:$AW563)+1,""))</f>
        <v/>
      </c>
      <c r="AX564" s="31">
        <f>IF(OR($AS564="",$D$6=""),"",TRIM(INDEX($A:$AP,ROW(),$D$6)&amp;""))</f>
        <v/>
      </c>
      <c r="AY564" s="31">
        <f>IF($AU564="","",INDEX($AW$8:$AW$2007,MATCH($AU564,$AU$8:$AU$2007,0)))</f>
        <v/>
      </c>
      <c r="AZ564" s="31">
        <f>IF(OR($AS564="",$C$6=""),"",TRIM(INDEX($A:$AP,ROW(),$C$6)&amp;""))</f>
        <v/>
      </c>
      <c r="BA564" s="31">
        <f>IF($AZ564="","",IF(COUNTIF($AZ$8:$AZ564,$AZ564)&gt;1,1,0))</f>
        <v/>
      </c>
    </row>
    <row r="565">
      <c r="AR565" s="31">
        <f>IF(OR($A$5="",$B$6="",ROW()&lt;$A$5),"",IF(INDEX($A:$AP,ROW(),$B$6)="","",INDEX($A:$AP,ROW(),$B$6)))</f>
        <v/>
      </c>
      <c r="AS565" s="32">
        <f>IF($AR565="","",IF(ISNUMBER($AR565),IF($AR565&gt;=10000000,IFERROR(DATE(INT($AR565/10000),MOD(INT($AR565/100),100),MOD($AR565,100)),""),INT($AR565)),IFERROR(DATE(--LEFT(LEFT(SUBSTITUTE(SUBSTITUTE(SUBSTITUTE(SUBSTITUTE(TRIM($AR565),"-",""),".",""),"/","")," ",""),8),4),--MID(LEFT(SUBSTITUTE(SUBSTITUTE(SUBSTITUTE(SUBSTITUTE(TRIM($AR565),"-",""),".",""),"/","")," ",""),8),5,2),--MID(LEFT(SUBSTITUTE(SUBSTITUTE(SUBSTITUTE(SUBSTITUTE(TRIM($AR565),"-",""),".",""),"/","")," ",""),8),7,2)),"")))</f>
        <v/>
      </c>
      <c r="AT565" s="33">
        <f>IF($AS565="","",IF($F$6="",0,IF(ISNUMBER(INDEX($A:$AP,ROW(),$F$6)),INDEX($A:$AP,ROW(),$F$6),IFERROR(--SUBSTITUTE(SUBSTITUTE(TRIM(INDEX($A:$AP,ROW(),$F$6)),",",""),"원",""),0))))</f>
        <v/>
      </c>
      <c r="AU565" s="31">
        <f>IF($AS565="","",IF($AX565&lt;&gt;"",SUBSTITUTE(SUBSTITUTE($AX565,"-","")," ",""),"N:"&amp;$AV565))</f>
        <v/>
      </c>
      <c r="AV565" s="31">
        <f>IF(OR($AS565="",$E$6=""),"",TRIM(INDEX($A:$AP,ROW(),$E$6)&amp;""))</f>
        <v/>
      </c>
      <c r="AW565" s="31">
        <f>IF($AU565="","",IF(MATCH($AU565,$AU$8:$AU$2007,0)=ROW()-7,MAX($AW$7:$AW564)+1,""))</f>
        <v/>
      </c>
      <c r="AX565" s="31">
        <f>IF(OR($AS565="",$D$6=""),"",TRIM(INDEX($A:$AP,ROW(),$D$6)&amp;""))</f>
        <v/>
      </c>
      <c r="AY565" s="31">
        <f>IF($AU565="","",INDEX($AW$8:$AW$2007,MATCH($AU565,$AU$8:$AU$2007,0)))</f>
        <v/>
      </c>
      <c r="AZ565" s="31">
        <f>IF(OR($AS565="",$C$6=""),"",TRIM(INDEX($A:$AP,ROW(),$C$6)&amp;""))</f>
        <v/>
      </c>
      <c r="BA565" s="31">
        <f>IF($AZ565="","",IF(COUNTIF($AZ$8:$AZ565,$AZ565)&gt;1,1,0))</f>
        <v/>
      </c>
    </row>
    <row r="566">
      <c r="AR566" s="31">
        <f>IF(OR($A$5="",$B$6="",ROW()&lt;$A$5),"",IF(INDEX($A:$AP,ROW(),$B$6)="","",INDEX($A:$AP,ROW(),$B$6)))</f>
        <v/>
      </c>
      <c r="AS566" s="32">
        <f>IF($AR566="","",IF(ISNUMBER($AR566),IF($AR566&gt;=10000000,IFERROR(DATE(INT($AR566/10000),MOD(INT($AR566/100),100),MOD($AR566,100)),""),INT($AR566)),IFERROR(DATE(--LEFT(LEFT(SUBSTITUTE(SUBSTITUTE(SUBSTITUTE(SUBSTITUTE(TRIM($AR566),"-",""),".",""),"/","")," ",""),8),4),--MID(LEFT(SUBSTITUTE(SUBSTITUTE(SUBSTITUTE(SUBSTITUTE(TRIM($AR566),"-",""),".",""),"/","")," ",""),8),5,2),--MID(LEFT(SUBSTITUTE(SUBSTITUTE(SUBSTITUTE(SUBSTITUTE(TRIM($AR566),"-",""),".",""),"/","")," ",""),8),7,2)),"")))</f>
        <v/>
      </c>
      <c r="AT566" s="33">
        <f>IF($AS566="","",IF($F$6="",0,IF(ISNUMBER(INDEX($A:$AP,ROW(),$F$6)),INDEX($A:$AP,ROW(),$F$6),IFERROR(--SUBSTITUTE(SUBSTITUTE(TRIM(INDEX($A:$AP,ROW(),$F$6)),",",""),"원",""),0))))</f>
        <v/>
      </c>
      <c r="AU566" s="31">
        <f>IF($AS566="","",IF($AX566&lt;&gt;"",SUBSTITUTE(SUBSTITUTE($AX566,"-","")," ",""),"N:"&amp;$AV566))</f>
        <v/>
      </c>
      <c r="AV566" s="31">
        <f>IF(OR($AS566="",$E$6=""),"",TRIM(INDEX($A:$AP,ROW(),$E$6)&amp;""))</f>
        <v/>
      </c>
      <c r="AW566" s="31">
        <f>IF($AU566="","",IF(MATCH($AU566,$AU$8:$AU$2007,0)=ROW()-7,MAX($AW$7:$AW565)+1,""))</f>
        <v/>
      </c>
      <c r="AX566" s="31">
        <f>IF(OR($AS566="",$D$6=""),"",TRIM(INDEX($A:$AP,ROW(),$D$6)&amp;""))</f>
        <v/>
      </c>
      <c r="AY566" s="31">
        <f>IF($AU566="","",INDEX($AW$8:$AW$2007,MATCH($AU566,$AU$8:$AU$2007,0)))</f>
        <v/>
      </c>
      <c r="AZ566" s="31">
        <f>IF(OR($AS566="",$C$6=""),"",TRIM(INDEX($A:$AP,ROW(),$C$6)&amp;""))</f>
        <v/>
      </c>
      <c r="BA566" s="31">
        <f>IF($AZ566="","",IF(COUNTIF($AZ$8:$AZ566,$AZ566)&gt;1,1,0))</f>
        <v/>
      </c>
    </row>
    <row r="567">
      <c r="AR567" s="31">
        <f>IF(OR($A$5="",$B$6="",ROW()&lt;$A$5),"",IF(INDEX($A:$AP,ROW(),$B$6)="","",INDEX($A:$AP,ROW(),$B$6)))</f>
        <v/>
      </c>
      <c r="AS567" s="32">
        <f>IF($AR567="","",IF(ISNUMBER($AR567),IF($AR567&gt;=10000000,IFERROR(DATE(INT($AR567/10000),MOD(INT($AR567/100),100),MOD($AR567,100)),""),INT($AR567)),IFERROR(DATE(--LEFT(LEFT(SUBSTITUTE(SUBSTITUTE(SUBSTITUTE(SUBSTITUTE(TRIM($AR567),"-",""),".",""),"/","")," ",""),8),4),--MID(LEFT(SUBSTITUTE(SUBSTITUTE(SUBSTITUTE(SUBSTITUTE(TRIM($AR567),"-",""),".",""),"/","")," ",""),8),5,2),--MID(LEFT(SUBSTITUTE(SUBSTITUTE(SUBSTITUTE(SUBSTITUTE(TRIM($AR567),"-",""),".",""),"/","")," ",""),8),7,2)),"")))</f>
        <v/>
      </c>
      <c r="AT567" s="33">
        <f>IF($AS567="","",IF($F$6="",0,IF(ISNUMBER(INDEX($A:$AP,ROW(),$F$6)),INDEX($A:$AP,ROW(),$F$6),IFERROR(--SUBSTITUTE(SUBSTITUTE(TRIM(INDEX($A:$AP,ROW(),$F$6)),",",""),"원",""),0))))</f>
        <v/>
      </c>
      <c r="AU567" s="31">
        <f>IF($AS567="","",IF($AX567&lt;&gt;"",SUBSTITUTE(SUBSTITUTE($AX567,"-","")," ",""),"N:"&amp;$AV567))</f>
        <v/>
      </c>
      <c r="AV567" s="31">
        <f>IF(OR($AS567="",$E$6=""),"",TRIM(INDEX($A:$AP,ROW(),$E$6)&amp;""))</f>
        <v/>
      </c>
      <c r="AW567" s="31">
        <f>IF($AU567="","",IF(MATCH($AU567,$AU$8:$AU$2007,0)=ROW()-7,MAX($AW$7:$AW566)+1,""))</f>
        <v/>
      </c>
      <c r="AX567" s="31">
        <f>IF(OR($AS567="",$D$6=""),"",TRIM(INDEX($A:$AP,ROW(),$D$6)&amp;""))</f>
        <v/>
      </c>
      <c r="AY567" s="31">
        <f>IF($AU567="","",INDEX($AW$8:$AW$2007,MATCH($AU567,$AU$8:$AU$2007,0)))</f>
        <v/>
      </c>
      <c r="AZ567" s="31">
        <f>IF(OR($AS567="",$C$6=""),"",TRIM(INDEX($A:$AP,ROW(),$C$6)&amp;""))</f>
        <v/>
      </c>
      <c r="BA567" s="31">
        <f>IF($AZ567="","",IF(COUNTIF($AZ$8:$AZ567,$AZ567)&gt;1,1,0))</f>
        <v/>
      </c>
    </row>
    <row r="568">
      <c r="AR568" s="31">
        <f>IF(OR($A$5="",$B$6="",ROW()&lt;$A$5),"",IF(INDEX($A:$AP,ROW(),$B$6)="","",INDEX($A:$AP,ROW(),$B$6)))</f>
        <v/>
      </c>
      <c r="AS568" s="32">
        <f>IF($AR568="","",IF(ISNUMBER($AR568),IF($AR568&gt;=10000000,IFERROR(DATE(INT($AR568/10000),MOD(INT($AR568/100),100),MOD($AR568,100)),""),INT($AR568)),IFERROR(DATE(--LEFT(LEFT(SUBSTITUTE(SUBSTITUTE(SUBSTITUTE(SUBSTITUTE(TRIM($AR568),"-",""),".",""),"/","")," ",""),8),4),--MID(LEFT(SUBSTITUTE(SUBSTITUTE(SUBSTITUTE(SUBSTITUTE(TRIM($AR568),"-",""),".",""),"/","")," ",""),8),5,2),--MID(LEFT(SUBSTITUTE(SUBSTITUTE(SUBSTITUTE(SUBSTITUTE(TRIM($AR568),"-",""),".",""),"/","")," ",""),8),7,2)),"")))</f>
        <v/>
      </c>
      <c r="AT568" s="33">
        <f>IF($AS568="","",IF($F$6="",0,IF(ISNUMBER(INDEX($A:$AP,ROW(),$F$6)),INDEX($A:$AP,ROW(),$F$6),IFERROR(--SUBSTITUTE(SUBSTITUTE(TRIM(INDEX($A:$AP,ROW(),$F$6)),",",""),"원",""),0))))</f>
        <v/>
      </c>
      <c r="AU568" s="31">
        <f>IF($AS568="","",IF($AX568&lt;&gt;"",SUBSTITUTE(SUBSTITUTE($AX568,"-","")," ",""),"N:"&amp;$AV568))</f>
        <v/>
      </c>
      <c r="AV568" s="31">
        <f>IF(OR($AS568="",$E$6=""),"",TRIM(INDEX($A:$AP,ROW(),$E$6)&amp;""))</f>
        <v/>
      </c>
      <c r="AW568" s="31">
        <f>IF($AU568="","",IF(MATCH($AU568,$AU$8:$AU$2007,0)=ROW()-7,MAX($AW$7:$AW567)+1,""))</f>
        <v/>
      </c>
      <c r="AX568" s="31">
        <f>IF(OR($AS568="",$D$6=""),"",TRIM(INDEX($A:$AP,ROW(),$D$6)&amp;""))</f>
        <v/>
      </c>
      <c r="AY568" s="31">
        <f>IF($AU568="","",INDEX($AW$8:$AW$2007,MATCH($AU568,$AU$8:$AU$2007,0)))</f>
        <v/>
      </c>
      <c r="AZ568" s="31">
        <f>IF(OR($AS568="",$C$6=""),"",TRIM(INDEX($A:$AP,ROW(),$C$6)&amp;""))</f>
        <v/>
      </c>
      <c r="BA568" s="31">
        <f>IF($AZ568="","",IF(COUNTIF($AZ$8:$AZ568,$AZ568)&gt;1,1,0))</f>
        <v/>
      </c>
    </row>
    <row r="569">
      <c r="AR569" s="31">
        <f>IF(OR($A$5="",$B$6="",ROW()&lt;$A$5),"",IF(INDEX($A:$AP,ROW(),$B$6)="","",INDEX($A:$AP,ROW(),$B$6)))</f>
        <v/>
      </c>
      <c r="AS569" s="32">
        <f>IF($AR569="","",IF(ISNUMBER($AR569),IF($AR569&gt;=10000000,IFERROR(DATE(INT($AR569/10000),MOD(INT($AR569/100),100),MOD($AR569,100)),""),INT($AR569)),IFERROR(DATE(--LEFT(LEFT(SUBSTITUTE(SUBSTITUTE(SUBSTITUTE(SUBSTITUTE(TRIM($AR569),"-",""),".",""),"/","")," ",""),8),4),--MID(LEFT(SUBSTITUTE(SUBSTITUTE(SUBSTITUTE(SUBSTITUTE(TRIM($AR569),"-",""),".",""),"/","")," ",""),8),5,2),--MID(LEFT(SUBSTITUTE(SUBSTITUTE(SUBSTITUTE(SUBSTITUTE(TRIM($AR569),"-",""),".",""),"/","")," ",""),8),7,2)),"")))</f>
        <v/>
      </c>
      <c r="AT569" s="33">
        <f>IF($AS569="","",IF($F$6="",0,IF(ISNUMBER(INDEX($A:$AP,ROW(),$F$6)),INDEX($A:$AP,ROW(),$F$6),IFERROR(--SUBSTITUTE(SUBSTITUTE(TRIM(INDEX($A:$AP,ROW(),$F$6)),",",""),"원",""),0))))</f>
        <v/>
      </c>
      <c r="AU569" s="31">
        <f>IF($AS569="","",IF($AX569&lt;&gt;"",SUBSTITUTE(SUBSTITUTE($AX569,"-","")," ",""),"N:"&amp;$AV569))</f>
        <v/>
      </c>
      <c r="AV569" s="31">
        <f>IF(OR($AS569="",$E$6=""),"",TRIM(INDEX($A:$AP,ROW(),$E$6)&amp;""))</f>
        <v/>
      </c>
      <c r="AW569" s="31">
        <f>IF($AU569="","",IF(MATCH($AU569,$AU$8:$AU$2007,0)=ROW()-7,MAX($AW$7:$AW568)+1,""))</f>
        <v/>
      </c>
      <c r="AX569" s="31">
        <f>IF(OR($AS569="",$D$6=""),"",TRIM(INDEX($A:$AP,ROW(),$D$6)&amp;""))</f>
        <v/>
      </c>
      <c r="AY569" s="31">
        <f>IF($AU569="","",INDEX($AW$8:$AW$2007,MATCH($AU569,$AU$8:$AU$2007,0)))</f>
        <v/>
      </c>
      <c r="AZ569" s="31">
        <f>IF(OR($AS569="",$C$6=""),"",TRIM(INDEX($A:$AP,ROW(),$C$6)&amp;""))</f>
        <v/>
      </c>
      <c r="BA569" s="31">
        <f>IF($AZ569="","",IF(COUNTIF($AZ$8:$AZ569,$AZ569)&gt;1,1,0))</f>
        <v/>
      </c>
    </row>
    <row r="570">
      <c r="AR570" s="31">
        <f>IF(OR($A$5="",$B$6="",ROW()&lt;$A$5),"",IF(INDEX($A:$AP,ROW(),$B$6)="","",INDEX($A:$AP,ROW(),$B$6)))</f>
        <v/>
      </c>
      <c r="AS570" s="32">
        <f>IF($AR570="","",IF(ISNUMBER($AR570),IF($AR570&gt;=10000000,IFERROR(DATE(INT($AR570/10000),MOD(INT($AR570/100),100),MOD($AR570,100)),""),INT($AR570)),IFERROR(DATE(--LEFT(LEFT(SUBSTITUTE(SUBSTITUTE(SUBSTITUTE(SUBSTITUTE(TRIM($AR570),"-",""),".",""),"/","")," ",""),8),4),--MID(LEFT(SUBSTITUTE(SUBSTITUTE(SUBSTITUTE(SUBSTITUTE(TRIM($AR570),"-",""),".",""),"/","")," ",""),8),5,2),--MID(LEFT(SUBSTITUTE(SUBSTITUTE(SUBSTITUTE(SUBSTITUTE(TRIM($AR570),"-",""),".",""),"/","")," ",""),8),7,2)),"")))</f>
        <v/>
      </c>
      <c r="AT570" s="33">
        <f>IF($AS570="","",IF($F$6="",0,IF(ISNUMBER(INDEX($A:$AP,ROW(),$F$6)),INDEX($A:$AP,ROW(),$F$6),IFERROR(--SUBSTITUTE(SUBSTITUTE(TRIM(INDEX($A:$AP,ROW(),$F$6)),",",""),"원",""),0))))</f>
        <v/>
      </c>
      <c r="AU570" s="31">
        <f>IF($AS570="","",IF($AX570&lt;&gt;"",SUBSTITUTE(SUBSTITUTE($AX570,"-","")," ",""),"N:"&amp;$AV570))</f>
        <v/>
      </c>
      <c r="AV570" s="31">
        <f>IF(OR($AS570="",$E$6=""),"",TRIM(INDEX($A:$AP,ROW(),$E$6)&amp;""))</f>
        <v/>
      </c>
      <c r="AW570" s="31">
        <f>IF($AU570="","",IF(MATCH($AU570,$AU$8:$AU$2007,0)=ROW()-7,MAX($AW$7:$AW569)+1,""))</f>
        <v/>
      </c>
      <c r="AX570" s="31">
        <f>IF(OR($AS570="",$D$6=""),"",TRIM(INDEX($A:$AP,ROW(),$D$6)&amp;""))</f>
        <v/>
      </c>
      <c r="AY570" s="31">
        <f>IF($AU570="","",INDEX($AW$8:$AW$2007,MATCH($AU570,$AU$8:$AU$2007,0)))</f>
        <v/>
      </c>
      <c r="AZ570" s="31">
        <f>IF(OR($AS570="",$C$6=""),"",TRIM(INDEX($A:$AP,ROW(),$C$6)&amp;""))</f>
        <v/>
      </c>
      <c r="BA570" s="31">
        <f>IF($AZ570="","",IF(COUNTIF($AZ$8:$AZ570,$AZ570)&gt;1,1,0))</f>
        <v/>
      </c>
    </row>
    <row r="571">
      <c r="AR571" s="31">
        <f>IF(OR($A$5="",$B$6="",ROW()&lt;$A$5),"",IF(INDEX($A:$AP,ROW(),$B$6)="","",INDEX($A:$AP,ROW(),$B$6)))</f>
        <v/>
      </c>
      <c r="AS571" s="32">
        <f>IF($AR571="","",IF(ISNUMBER($AR571),IF($AR571&gt;=10000000,IFERROR(DATE(INT($AR571/10000),MOD(INT($AR571/100),100),MOD($AR571,100)),""),INT($AR571)),IFERROR(DATE(--LEFT(LEFT(SUBSTITUTE(SUBSTITUTE(SUBSTITUTE(SUBSTITUTE(TRIM($AR571),"-",""),".",""),"/","")," ",""),8),4),--MID(LEFT(SUBSTITUTE(SUBSTITUTE(SUBSTITUTE(SUBSTITUTE(TRIM($AR571),"-",""),".",""),"/","")," ",""),8),5,2),--MID(LEFT(SUBSTITUTE(SUBSTITUTE(SUBSTITUTE(SUBSTITUTE(TRIM($AR571),"-",""),".",""),"/","")," ",""),8),7,2)),"")))</f>
        <v/>
      </c>
      <c r="AT571" s="33">
        <f>IF($AS571="","",IF($F$6="",0,IF(ISNUMBER(INDEX($A:$AP,ROW(),$F$6)),INDEX($A:$AP,ROW(),$F$6),IFERROR(--SUBSTITUTE(SUBSTITUTE(TRIM(INDEX($A:$AP,ROW(),$F$6)),",",""),"원",""),0))))</f>
        <v/>
      </c>
      <c r="AU571" s="31">
        <f>IF($AS571="","",IF($AX571&lt;&gt;"",SUBSTITUTE(SUBSTITUTE($AX571,"-","")," ",""),"N:"&amp;$AV571))</f>
        <v/>
      </c>
      <c r="AV571" s="31">
        <f>IF(OR($AS571="",$E$6=""),"",TRIM(INDEX($A:$AP,ROW(),$E$6)&amp;""))</f>
        <v/>
      </c>
      <c r="AW571" s="31">
        <f>IF($AU571="","",IF(MATCH($AU571,$AU$8:$AU$2007,0)=ROW()-7,MAX($AW$7:$AW570)+1,""))</f>
        <v/>
      </c>
      <c r="AX571" s="31">
        <f>IF(OR($AS571="",$D$6=""),"",TRIM(INDEX($A:$AP,ROW(),$D$6)&amp;""))</f>
        <v/>
      </c>
      <c r="AY571" s="31">
        <f>IF($AU571="","",INDEX($AW$8:$AW$2007,MATCH($AU571,$AU$8:$AU$2007,0)))</f>
        <v/>
      </c>
      <c r="AZ571" s="31">
        <f>IF(OR($AS571="",$C$6=""),"",TRIM(INDEX($A:$AP,ROW(),$C$6)&amp;""))</f>
        <v/>
      </c>
      <c r="BA571" s="31">
        <f>IF($AZ571="","",IF(COUNTIF($AZ$8:$AZ571,$AZ571)&gt;1,1,0))</f>
        <v/>
      </c>
    </row>
    <row r="572">
      <c r="AR572" s="31">
        <f>IF(OR($A$5="",$B$6="",ROW()&lt;$A$5),"",IF(INDEX($A:$AP,ROW(),$B$6)="","",INDEX($A:$AP,ROW(),$B$6)))</f>
        <v/>
      </c>
      <c r="AS572" s="32">
        <f>IF($AR572="","",IF(ISNUMBER($AR572),IF($AR572&gt;=10000000,IFERROR(DATE(INT($AR572/10000),MOD(INT($AR572/100),100),MOD($AR572,100)),""),INT($AR572)),IFERROR(DATE(--LEFT(LEFT(SUBSTITUTE(SUBSTITUTE(SUBSTITUTE(SUBSTITUTE(TRIM($AR572),"-",""),".",""),"/","")," ",""),8),4),--MID(LEFT(SUBSTITUTE(SUBSTITUTE(SUBSTITUTE(SUBSTITUTE(TRIM($AR572),"-",""),".",""),"/","")," ",""),8),5,2),--MID(LEFT(SUBSTITUTE(SUBSTITUTE(SUBSTITUTE(SUBSTITUTE(TRIM($AR572),"-",""),".",""),"/","")," ",""),8),7,2)),"")))</f>
        <v/>
      </c>
      <c r="AT572" s="33">
        <f>IF($AS572="","",IF($F$6="",0,IF(ISNUMBER(INDEX($A:$AP,ROW(),$F$6)),INDEX($A:$AP,ROW(),$F$6),IFERROR(--SUBSTITUTE(SUBSTITUTE(TRIM(INDEX($A:$AP,ROW(),$F$6)),",",""),"원",""),0))))</f>
        <v/>
      </c>
      <c r="AU572" s="31">
        <f>IF($AS572="","",IF($AX572&lt;&gt;"",SUBSTITUTE(SUBSTITUTE($AX572,"-","")," ",""),"N:"&amp;$AV572))</f>
        <v/>
      </c>
      <c r="AV572" s="31">
        <f>IF(OR($AS572="",$E$6=""),"",TRIM(INDEX($A:$AP,ROW(),$E$6)&amp;""))</f>
        <v/>
      </c>
      <c r="AW572" s="31">
        <f>IF($AU572="","",IF(MATCH($AU572,$AU$8:$AU$2007,0)=ROW()-7,MAX($AW$7:$AW571)+1,""))</f>
        <v/>
      </c>
      <c r="AX572" s="31">
        <f>IF(OR($AS572="",$D$6=""),"",TRIM(INDEX($A:$AP,ROW(),$D$6)&amp;""))</f>
        <v/>
      </c>
      <c r="AY572" s="31">
        <f>IF($AU572="","",INDEX($AW$8:$AW$2007,MATCH($AU572,$AU$8:$AU$2007,0)))</f>
        <v/>
      </c>
      <c r="AZ572" s="31">
        <f>IF(OR($AS572="",$C$6=""),"",TRIM(INDEX($A:$AP,ROW(),$C$6)&amp;""))</f>
        <v/>
      </c>
      <c r="BA572" s="31">
        <f>IF($AZ572="","",IF(COUNTIF($AZ$8:$AZ572,$AZ572)&gt;1,1,0))</f>
        <v/>
      </c>
    </row>
    <row r="573">
      <c r="AR573" s="31">
        <f>IF(OR($A$5="",$B$6="",ROW()&lt;$A$5),"",IF(INDEX($A:$AP,ROW(),$B$6)="","",INDEX($A:$AP,ROW(),$B$6)))</f>
        <v/>
      </c>
      <c r="AS573" s="32">
        <f>IF($AR573="","",IF(ISNUMBER($AR573),IF($AR573&gt;=10000000,IFERROR(DATE(INT($AR573/10000),MOD(INT($AR573/100),100),MOD($AR573,100)),""),INT($AR573)),IFERROR(DATE(--LEFT(LEFT(SUBSTITUTE(SUBSTITUTE(SUBSTITUTE(SUBSTITUTE(TRIM($AR573),"-",""),".",""),"/","")," ",""),8),4),--MID(LEFT(SUBSTITUTE(SUBSTITUTE(SUBSTITUTE(SUBSTITUTE(TRIM($AR573),"-",""),".",""),"/","")," ",""),8),5,2),--MID(LEFT(SUBSTITUTE(SUBSTITUTE(SUBSTITUTE(SUBSTITUTE(TRIM($AR573),"-",""),".",""),"/","")," ",""),8),7,2)),"")))</f>
        <v/>
      </c>
      <c r="AT573" s="33">
        <f>IF($AS573="","",IF($F$6="",0,IF(ISNUMBER(INDEX($A:$AP,ROW(),$F$6)),INDEX($A:$AP,ROW(),$F$6),IFERROR(--SUBSTITUTE(SUBSTITUTE(TRIM(INDEX($A:$AP,ROW(),$F$6)),",",""),"원",""),0))))</f>
        <v/>
      </c>
      <c r="AU573" s="31">
        <f>IF($AS573="","",IF($AX573&lt;&gt;"",SUBSTITUTE(SUBSTITUTE($AX573,"-","")," ",""),"N:"&amp;$AV573))</f>
        <v/>
      </c>
      <c r="AV573" s="31">
        <f>IF(OR($AS573="",$E$6=""),"",TRIM(INDEX($A:$AP,ROW(),$E$6)&amp;""))</f>
        <v/>
      </c>
      <c r="AW573" s="31">
        <f>IF($AU573="","",IF(MATCH($AU573,$AU$8:$AU$2007,0)=ROW()-7,MAX($AW$7:$AW572)+1,""))</f>
        <v/>
      </c>
      <c r="AX573" s="31">
        <f>IF(OR($AS573="",$D$6=""),"",TRIM(INDEX($A:$AP,ROW(),$D$6)&amp;""))</f>
        <v/>
      </c>
      <c r="AY573" s="31">
        <f>IF($AU573="","",INDEX($AW$8:$AW$2007,MATCH($AU573,$AU$8:$AU$2007,0)))</f>
        <v/>
      </c>
      <c r="AZ573" s="31">
        <f>IF(OR($AS573="",$C$6=""),"",TRIM(INDEX($A:$AP,ROW(),$C$6)&amp;""))</f>
        <v/>
      </c>
      <c r="BA573" s="31">
        <f>IF($AZ573="","",IF(COUNTIF($AZ$8:$AZ573,$AZ573)&gt;1,1,0))</f>
        <v/>
      </c>
    </row>
    <row r="574">
      <c r="AR574" s="31">
        <f>IF(OR($A$5="",$B$6="",ROW()&lt;$A$5),"",IF(INDEX($A:$AP,ROW(),$B$6)="","",INDEX($A:$AP,ROW(),$B$6)))</f>
        <v/>
      </c>
      <c r="AS574" s="32">
        <f>IF($AR574="","",IF(ISNUMBER($AR574),IF($AR574&gt;=10000000,IFERROR(DATE(INT($AR574/10000),MOD(INT($AR574/100),100),MOD($AR574,100)),""),INT($AR574)),IFERROR(DATE(--LEFT(LEFT(SUBSTITUTE(SUBSTITUTE(SUBSTITUTE(SUBSTITUTE(TRIM($AR574),"-",""),".",""),"/","")," ",""),8),4),--MID(LEFT(SUBSTITUTE(SUBSTITUTE(SUBSTITUTE(SUBSTITUTE(TRIM($AR574),"-",""),".",""),"/","")," ",""),8),5,2),--MID(LEFT(SUBSTITUTE(SUBSTITUTE(SUBSTITUTE(SUBSTITUTE(TRIM($AR574),"-",""),".",""),"/","")," ",""),8),7,2)),"")))</f>
        <v/>
      </c>
      <c r="AT574" s="33">
        <f>IF($AS574="","",IF($F$6="",0,IF(ISNUMBER(INDEX($A:$AP,ROW(),$F$6)),INDEX($A:$AP,ROW(),$F$6),IFERROR(--SUBSTITUTE(SUBSTITUTE(TRIM(INDEX($A:$AP,ROW(),$F$6)),",",""),"원",""),0))))</f>
        <v/>
      </c>
      <c r="AU574" s="31">
        <f>IF($AS574="","",IF($AX574&lt;&gt;"",SUBSTITUTE(SUBSTITUTE($AX574,"-","")," ",""),"N:"&amp;$AV574))</f>
        <v/>
      </c>
      <c r="AV574" s="31">
        <f>IF(OR($AS574="",$E$6=""),"",TRIM(INDEX($A:$AP,ROW(),$E$6)&amp;""))</f>
        <v/>
      </c>
      <c r="AW574" s="31">
        <f>IF($AU574="","",IF(MATCH($AU574,$AU$8:$AU$2007,0)=ROW()-7,MAX($AW$7:$AW573)+1,""))</f>
        <v/>
      </c>
      <c r="AX574" s="31">
        <f>IF(OR($AS574="",$D$6=""),"",TRIM(INDEX($A:$AP,ROW(),$D$6)&amp;""))</f>
        <v/>
      </c>
      <c r="AY574" s="31">
        <f>IF($AU574="","",INDEX($AW$8:$AW$2007,MATCH($AU574,$AU$8:$AU$2007,0)))</f>
        <v/>
      </c>
      <c r="AZ574" s="31">
        <f>IF(OR($AS574="",$C$6=""),"",TRIM(INDEX($A:$AP,ROW(),$C$6)&amp;""))</f>
        <v/>
      </c>
      <c r="BA574" s="31">
        <f>IF($AZ574="","",IF(COUNTIF($AZ$8:$AZ574,$AZ574)&gt;1,1,0))</f>
        <v/>
      </c>
    </row>
    <row r="575">
      <c r="AR575" s="31">
        <f>IF(OR($A$5="",$B$6="",ROW()&lt;$A$5),"",IF(INDEX($A:$AP,ROW(),$B$6)="","",INDEX($A:$AP,ROW(),$B$6)))</f>
        <v/>
      </c>
      <c r="AS575" s="32">
        <f>IF($AR575="","",IF(ISNUMBER($AR575),IF($AR575&gt;=10000000,IFERROR(DATE(INT($AR575/10000),MOD(INT($AR575/100),100),MOD($AR575,100)),""),INT($AR575)),IFERROR(DATE(--LEFT(LEFT(SUBSTITUTE(SUBSTITUTE(SUBSTITUTE(SUBSTITUTE(TRIM($AR575),"-",""),".",""),"/","")," ",""),8),4),--MID(LEFT(SUBSTITUTE(SUBSTITUTE(SUBSTITUTE(SUBSTITUTE(TRIM($AR575),"-",""),".",""),"/","")," ",""),8),5,2),--MID(LEFT(SUBSTITUTE(SUBSTITUTE(SUBSTITUTE(SUBSTITUTE(TRIM($AR575),"-",""),".",""),"/","")," ",""),8),7,2)),"")))</f>
        <v/>
      </c>
      <c r="AT575" s="33">
        <f>IF($AS575="","",IF($F$6="",0,IF(ISNUMBER(INDEX($A:$AP,ROW(),$F$6)),INDEX($A:$AP,ROW(),$F$6),IFERROR(--SUBSTITUTE(SUBSTITUTE(TRIM(INDEX($A:$AP,ROW(),$F$6)),",",""),"원",""),0))))</f>
        <v/>
      </c>
      <c r="AU575" s="31">
        <f>IF($AS575="","",IF($AX575&lt;&gt;"",SUBSTITUTE(SUBSTITUTE($AX575,"-","")," ",""),"N:"&amp;$AV575))</f>
        <v/>
      </c>
      <c r="AV575" s="31">
        <f>IF(OR($AS575="",$E$6=""),"",TRIM(INDEX($A:$AP,ROW(),$E$6)&amp;""))</f>
        <v/>
      </c>
      <c r="AW575" s="31">
        <f>IF($AU575="","",IF(MATCH($AU575,$AU$8:$AU$2007,0)=ROW()-7,MAX($AW$7:$AW574)+1,""))</f>
        <v/>
      </c>
      <c r="AX575" s="31">
        <f>IF(OR($AS575="",$D$6=""),"",TRIM(INDEX($A:$AP,ROW(),$D$6)&amp;""))</f>
        <v/>
      </c>
      <c r="AY575" s="31">
        <f>IF($AU575="","",INDEX($AW$8:$AW$2007,MATCH($AU575,$AU$8:$AU$2007,0)))</f>
        <v/>
      </c>
      <c r="AZ575" s="31">
        <f>IF(OR($AS575="",$C$6=""),"",TRIM(INDEX($A:$AP,ROW(),$C$6)&amp;""))</f>
        <v/>
      </c>
      <c r="BA575" s="31">
        <f>IF($AZ575="","",IF(COUNTIF($AZ$8:$AZ575,$AZ575)&gt;1,1,0))</f>
        <v/>
      </c>
    </row>
    <row r="576">
      <c r="AR576" s="31">
        <f>IF(OR($A$5="",$B$6="",ROW()&lt;$A$5),"",IF(INDEX($A:$AP,ROW(),$B$6)="","",INDEX($A:$AP,ROW(),$B$6)))</f>
        <v/>
      </c>
      <c r="AS576" s="32">
        <f>IF($AR576="","",IF(ISNUMBER($AR576),IF($AR576&gt;=10000000,IFERROR(DATE(INT($AR576/10000),MOD(INT($AR576/100),100),MOD($AR576,100)),""),INT($AR576)),IFERROR(DATE(--LEFT(LEFT(SUBSTITUTE(SUBSTITUTE(SUBSTITUTE(SUBSTITUTE(TRIM($AR576),"-",""),".",""),"/","")," ",""),8),4),--MID(LEFT(SUBSTITUTE(SUBSTITUTE(SUBSTITUTE(SUBSTITUTE(TRIM($AR576),"-",""),".",""),"/","")," ",""),8),5,2),--MID(LEFT(SUBSTITUTE(SUBSTITUTE(SUBSTITUTE(SUBSTITUTE(TRIM($AR576),"-",""),".",""),"/","")," ",""),8),7,2)),"")))</f>
        <v/>
      </c>
      <c r="AT576" s="33">
        <f>IF($AS576="","",IF($F$6="",0,IF(ISNUMBER(INDEX($A:$AP,ROW(),$F$6)),INDEX($A:$AP,ROW(),$F$6),IFERROR(--SUBSTITUTE(SUBSTITUTE(TRIM(INDEX($A:$AP,ROW(),$F$6)),",",""),"원",""),0))))</f>
        <v/>
      </c>
      <c r="AU576" s="31">
        <f>IF($AS576="","",IF($AX576&lt;&gt;"",SUBSTITUTE(SUBSTITUTE($AX576,"-","")," ",""),"N:"&amp;$AV576))</f>
        <v/>
      </c>
      <c r="AV576" s="31">
        <f>IF(OR($AS576="",$E$6=""),"",TRIM(INDEX($A:$AP,ROW(),$E$6)&amp;""))</f>
        <v/>
      </c>
      <c r="AW576" s="31">
        <f>IF($AU576="","",IF(MATCH($AU576,$AU$8:$AU$2007,0)=ROW()-7,MAX($AW$7:$AW575)+1,""))</f>
        <v/>
      </c>
      <c r="AX576" s="31">
        <f>IF(OR($AS576="",$D$6=""),"",TRIM(INDEX($A:$AP,ROW(),$D$6)&amp;""))</f>
        <v/>
      </c>
      <c r="AY576" s="31">
        <f>IF($AU576="","",INDEX($AW$8:$AW$2007,MATCH($AU576,$AU$8:$AU$2007,0)))</f>
        <v/>
      </c>
      <c r="AZ576" s="31">
        <f>IF(OR($AS576="",$C$6=""),"",TRIM(INDEX($A:$AP,ROW(),$C$6)&amp;""))</f>
        <v/>
      </c>
      <c r="BA576" s="31">
        <f>IF($AZ576="","",IF(COUNTIF($AZ$8:$AZ576,$AZ576)&gt;1,1,0))</f>
        <v/>
      </c>
    </row>
    <row r="577">
      <c r="AR577" s="31">
        <f>IF(OR($A$5="",$B$6="",ROW()&lt;$A$5),"",IF(INDEX($A:$AP,ROW(),$B$6)="","",INDEX($A:$AP,ROW(),$B$6)))</f>
        <v/>
      </c>
      <c r="AS577" s="32">
        <f>IF($AR577="","",IF(ISNUMBER($AR577),IF($AR577&gt;=10000000,IFERROR(DATE(INT($AR577/10000),MOD(INT($AR577/100),100),MOD($AR577,100)),""),INT($AR577)),IFERROR(DATE(--LEFT(LEFT(SUBSTITUTE(SUBSTITUTE(SUBSTITUTE(SUBSTITUTE(TRIM($AR577),"-",""),".",""),"/","")," ",""),8),4),--MID(LEFT(SUBSTITUTE(SUBSTITUTE(SUBSTITUTE(SUBSTITUTE(TRIM($AR577),"-",""),".",""),"/","")," ",""),8),5,2),--MID(LEFT(SUBSTITUTE(SUBSTITUTE(SUBSTITUTE(SUBSTITUTE(TRIM($AR577),"-",""),".",""),"/","")," ",""),8),7,2)),"")))</f>
        <v/>
      </c>
      <c r="AT577" s="33">
        <f>IF($AS577="","",IF($F$6="",0,IF(ISNUMBER(INDEX($A:$AP,ROW(),$F$6)),INDEX($A:$AP,ROW(),$F$6),IFERROR(--SUBSTITUTE(SUBSTITUTE(TRIM(INDEX($A:$AP,ROW(),$F$6)),",",""),"원",""),0))))</f>
        <v/>
      </c>
      <c r="AU577" s="31">
        <f>IF($AS577="","",IF($AX577&lt;&gt;"",SUBSTITUTE(SUBSTITUTE($AX577,"-","")," ",""),"N:"&amp;$AV577))</f>
        <v/>
      </c>
      <c r="AV577" s="31">
        <f>IF(OR($AS577="",$E$6=""),"",TRIM(INDEX($A:$AP,ROW(),$E$6)&amp;""))</f>
        <v/>
      </c>
      <c r="AW577" s="31">
        <f>IF($AU577="","",IF(MATCH($AU577,$AU$8:$AU$2007,0)=ROW()-7,MAX($AW$7:$AW576)+1,""))</f>
        <v/>
      </c>
      <c r="AX577" s="31">
        <f>IF(OR($AS577="",$D$6=""),"",TRIM(INDEX($A:$AP,ROW(),$D$6)&amp;""))</f>
        <v/>
      </c>
      <c r="AY577" s="31">
        <f>IF($AU577="","",INDEX($AW$8:$AW$2007,MATCH($AU577,$AU$8:$AU$2007,0)))</f>
        <v/>
      </c>
      <c r="AZ577" s="31">
        <f>IF(OR($AS577="",$C$6=""),"",TRIM(INDEX($A:$AP,ROW(),$C$6)&amp;""))</f>
        <v/>
      </c>
      <c r="BA577" s="31">
        <f>IF($AZ577="","",IF(COUNTIF($AZ$8:$AZ577,$AZ577)&gt;1,1,0))</f>
        <v/>
      </c>
    </row>
    <row r="578">
      <c r="AR578" s="31">
        <f>IF(OR($A$5="",$B$6="",ROW()&lt;$A$5),"",IF(INDEX($A:$AP,ROW(),$B$6)="","",INDEX($A:$AP,ROW(),$B$6)))</f>
        <v/>
      </c>
      <c r="AS578" s="32">
        <f>IF($AR578="","",IF(ISNUMBER($AR578),IF($AR578&gt;=10000000,IFERROR(DATE(INT($AR578/10000),MOD(INT($AR578/100),100),MOD($AR578,100)),""),INT($AR578)),IFERROR(DATE(--LEFT(LEFT(SUBSTITUTE(SUBSTITUTE(SUBSTITUTE(SUBSTITUTE(TRIM($AR578),"-",""),".",""),"/","")," ",""),8),4),--MID(LEFT(SUBSTITUTE(SUBSTITUTE(SUBSTITUTE(SUBSTITUTE(TRIM($AR578),"-",""),".",""),"/","")," ",""),8),5,2),--MID(LEFT(SUBSTITUTE(SUBSTITUTE(SUBSTITUTE(SUBSTITUTE(TRIM($AR578),"-",""),".",""),"/","")," ",""),8),7,2)),"")))</f>
        <v/>
      </c>
      <c r="AT578" s="33">
        <f>IF($AS578="","",IF($F$6="",0,IF(ISNUMBER(INDEX($A:$AP,ROW(),$F$6)),INDEX($A:$AP,ROW(),$F$6),IFERROR(--SUBSTITUTE(SUBSTITUTE(TRIM(INDEX($A:$AP,ROW(),$F$6)),",",""),"원",""),0))))</f>
        <v/>
      </c>
      <c r="AU578" s="31">
        <f>IF($AS578="","",IF($AX578&lt;&gt;"",SUBSTITUTE(SUBSTITUTE($AX578,"-","")," ",""),"N:"&amp;$AV578))</f>
        <v/>
      </c>
      <c r="AV578" s="31">
        <f>IF(OR($AS578="",$E$6=""),"",TRIM(INDEX($A:$AP,ROW(),$E$6)&amp;""))</f>
        <v/>
      </c>
      <c r="AW578" s="31">
        <f>IF($AU578="","",IF(MATCH($AU578,$AU$8:$AU$2007,0)=ROW()-7,MAX($AW$7:$AW577)+1,""))</f>
        <v/>
      </c>
      <c r="AX578" s="31">
        <f>IF(OR($AS578="",$D$6=""),"",TRIM(INDEX($A:$AP,ROW(),$D$6)&amp;""))</f>
        <v/>
      </c>
      <c r="AY578" s="31">
        <f>IF($AU578="","",INDEX($AW$8:$AW$2007,MATCH($AU578,$AU$8:$AU$2007,0)))</f>
        <v/>
      </c>
      <c r="AZ578" s="31">
        <f>IF(OR($AS578="",$C$6=""),"",TRIM(INDEX($A:$AP,ROW(),$C$6)&amp;""))</f>
        <v/>
      </c>
      <c r="BA578" s="31">
        <f>IF($AZ578="","",IF(COUNTIF($AZ$8:$AZ578,$AZ578)&gt;1,1,0))</f>
        <v/>
      </c>
    </row>
    <row r="579">
      <c r="AR579" s="31">
        <f>IF(OR($A$5="",$B$6="",ROW()&lt;$A$5),"",IF(INDEX($A:$AP,ROW(),$B$6)="","",INDEX($A:$AP,ROW(),$B$6)))</f>
        <v/>
      </c>
      <c r="AS579" s="32">
        <f>IF($AR579="","",IF(ISNUMBER($AR579),IF($AR579&gt;=10000000,IFERROR(DATE(INT($AR579/10000),MOD(INT($AR579/100),100),MOD($AR579,100)),""),INT($AR579)),IFERROR(DATE(--LEFT(LEFT(SUBSTITUTE(SUBSTITUTE(SUBSTITUTE(SUBSTITUTE(TRIM($AR579),"-",""),".",""),"/","")," ",""),8),4),--MID(LEFT(SUBSTITUTE(SUBSTITUTE(SUBSTITUTE(SUBSTITUTE(TRIM($AR579),"-",""),".",""),"/","")," ",""),8),5,2),--MID(LEFT(SUBSTITUTE(SUBSTITUTE(SUBSTITUTE(SUBSTITUTE(TRIM($AR579),"-",""),".",""),"/","")," ",""),8),7,2)),"")))</f>
        <v/>
      </c>
      <c r="AT579" s="33">
        <f>IF($AS579="","",IF($F$6="",0,IF(ISNUMBER(INDEX($A:$AP,ROW(),$F$6)),INDEX($A:$AP,ROW(),$F$6),IFERROR(--SUBSTITUTE(SUBSTITUTE(TRIM(INDEX($A:$AP,ROW(),$F$6)),",",""),"원",""),0))))</f>
        <v/>
      </c>
      <c r="AU579" s="31">
        <f>IF($AS579="","",IF($AX579&lt;&gt;"",SUBSTITUTE(SUBSTITUTE($AX579,"-","")," ",""),"N:"&amp;$AV579))</f>
        <v/>
      </c>
      <c r="AV579" s="31">
        <f>IF(OR($AS579="",$E$6=""),"",TRIM(INDEX($A:$AP,ROW(),$E$6)&amp;""))</f>
        <v/>
      </c>
      <c r="AW579" s="31">
        <f>IF($AU579="","",IF(MATCH($AU579,$AU$8:$AU$2007,0)=ROW()-7,MAX($AW$7:$AW578)+1,""))</f>
        <v/>
      </c>
      <c r="AX579" s="31">
        <f>IF(OR($AS579="",$D$6=""),"",TRIM(INDEX($A:$AP,ROW(),$D$6)&amp;""))</f>
        <v/>
      </c>
      <c r="AY579" s="31">
        <f>IF($AU579="","",INDEX($AW$8:$AW$2007,MATCH($AU579,$AU$8:$AU$2007,0)))</f>
        <v/>
      </c>
      <c r="AZ579" s="31">
        <f>IF(OR($AS579="",$C$6=""),"",TRIM(INDEX($A:$AP,ROW(),$C$6)&amp;""))</f>
        <v/>
      </c>
      <c r="BA579" s="31">
        <f>IF($AZ579="","",IF(COUNTIF($AZ$8:$AZ579,$AZ579)&gt;1,1,0))</f>
        <v/>
      </c>
    </row>
    <row r="580">
      <c r="AR580" s="31">
        <f>IF(OR($A$5="",$B$6="",ROW()&lt;$A$5),"",IF(INDEX($A:$AP,ROW(),$B$6)="","",INDEX($A:$AP,ROW(),$B$6)))</f>
        <v/>
      </c>
      <c r="AS580" s="32">
        <f>IF($AR580="","",IF(ISNUMBER($AR580),IF($AR580&gt;=10000000,IFERROR(DATE(INT($AR580/10000),MOD(INT($AR580/100),100),MOD($AR580,100)),""),INT($AR580)),IFERROR(DATE(--LEFT(LEFT(SUBSTITUTE(SUBSTITUTE(SUBSTITUTE(SUBSTITUTE(TRIM($AR580),"-",""),".",""),"/","")," ",""),8),4),--MID(LEFT(SUBSTITUTE(SUBSTITUTE(SUBSTITUTE(SUBSTITUTE(TRIM($AR580),"-",""),".",""),"/","")," ",""),8),5,2),--MID(LEFT(SUBSTITUTE(SUBSTITUTE(SUBSTITUTE(SUBSTITUTE(TRIM($AR580),"-",""),".",""),"/","")," ",""),8),7,2)),"")))</f>
        <v/>
      </c>
      <c r="AT580" s="33">
        <f>IF($AS580="","",IF($F$6="",0,IF(ISNUMBER(INDEX($A:$AP,ROW(),$F$6)),INDEX($A:$AP,ROW(),$F$6),IFERROR(--SUBSTITUTE(SUBSTITUTE(TRIM(INDEX($A:$AP,ROW(),$F$6)),",",""),"원",""),0))))</f>
        <v/>
      </c>
      <c r="AU580" s="31">
        <f>IF($AS580="","",IF($AX580&lt;&gt;"",SUBSTITUTE(SUBSTITUTE($AX580,"-","")," ",""),"N:"&amp;$AV580))</f>
        <v/>
      </c>
      <c r="AV580" s="31">
        <f>IF(OR($AS580="",$E$6=""),"",TRIM(INDEX($A:$AP,ROW(),$E$6)&amp;""))</f>
        <v/>
      </c>
      <c r="AW580" s="31">
        <f>IF($AU580="","",IF(MATCH($AU580,$AU$8:$AU$2007,0)=ROW()-7,MAX($AW$7:$AW579)+1,""))</f>
        <v/>
      </c>
      <c r="AX580" s="31">
        <f>IF(OR($AS580="",$D$6=""),"",TRIM(INDEX($A:$AP,ROW(),$D$6)&amp;""))</f>
        <v/>
      </c>
      <c r="AY580" s="31">
        <f>IF($AU580="","",INDEX($AW$8:$AW$2007,MATCH($AU580,$AU$8:$AU$2007,0)))</f>
        <v/>
      </c>
      <c r="AZ580" s="31">
        <f>IF(OR($AS580="",$C$6=""),"",TRIM(INDEX($A:$AP,ROW(),$C$6)&amp;""))</f>
        <v/>
      </c>
      <c r="BA580" s="31">
        <f>IF($AZ580="","",IF(COUNTIF($AZ$8:$AZ580,$AZ580)&gt;1,1,0))</f>
        <v/>
      </c>
    </row>
    <row r="581">
      <c r="AR581" s="31">
        <f>IF(OR($A$5="",$B$6="",ROW()&lt;$A$5),"",IF(INDEX($A:$AP,ROW(),$B$6)="","",INDEX($A:$AP,ROW(),$B$6)))</f>
        <v/>
      </c>
      <c r="AS581" s="32">
        <f>IF($AR581="","",IF(ISNUMBER($AR581),IF($AR581&gt;=10000000,IFERROR(DATE(INT($AR581/10000),MOD(INT($AR581/100),100),MOD($AR581,100)),""),INT($AR581)),IFERROR(DATE(--LEFT(LEFT(SUBSTITUTE(SUBSTITUTE(SUBSTITUTE(SUBSTITUTE(TRIM($AR581),"-",""),".",""),"/","")," ",""),8),4),--MID(LEFT(SUBSTITUTE(SUBSTITUTE(SUBSTITUTE(SUBSTITUTE(TRIM($AR581),"-",""),".",""),"/","")," ",""),8),5,2),--MID(LEFT(SUBSTITUTE(SUBSTITUTE(SUBSTITUTE(SUBSTITUTE(TRIM($AR581),"-",""),".",""),"/","")," ",""),8),7,2)),"")))</f>
        <v/>
      </c>
      <c r="AT581" s="33">
        <f>IF($AS581="","",IF($F$6="",0,IF(ISNUMBER(INDEX($A:$AP,ROW(),$F$6)),INDEX($A:$AP,ROW(),$F$6),IFERROR(--SUBSTITUTE(SUBSTITUTE(TRIM(INDEX($A:$AP,ROW(),$F$6)),",",""),"원",""),0))))</f>
        <v/>
      </c>
      <c r="AU581" s="31">
        <f>IF($AS581="","",IF($AX581&lt;&gt;"",SUBSTITUTE(SUBSTITUTE($AX581,"-","")," ",""),"N:"&amp;$AV581))</f>
        <v/>
      </c>
      <c r="AV581" s="31">
        <f>IF(OR($AS581="",$E$6=""),"",TRIM(INDEX($A:$AP,ROW(),$E$6)&amp;""))</f>
        <v/>
      </c>
      <c r="AW581" s="31">
        <f>IF($AU581="","",IF(MATCH($AU581,$AU$8:$AU$2007,0)=ROW()-7,MAX($AW$7:$AW580)+1,""))</f>
        <v/>
      </c>
      <c r="AX581" s="31">
        <f>IF(OR($AS581="",$D$6=""),"",TRIM(INDEX($A:$AP,ROW(),$D$6)&amp;""))</f>
        <v/>
      </c>
      <c r="AY581" s="31">
        <f>IF($AU581="","",INDEX($AW$8:$AW$2007,MATCH($AU581,$AU$8:$AU$2007,0)))</f>
        <v/>
      </c>
      <c r="AZ581" s="31">
        <f>IF(OR($AS581="",$C$6=""),"",TRIM(INDEX($A:$AP,ROW(),$C$6)&amp;""))</f>
        <v/>
      </c>
      <c r="BA581" s="31">
        <f>IF($AZ581="","",IF(COUNTIF($AZ$8:$AZ581,$AZ581)&gt;1,1,0))</f>
        <v/>
      </c>
    </row>
    <row r="582">
      <c r="AR582" s="31">
        <f>IF(OR($A$5="",$B$6="",ROW()&lt;$A$5),"",IF(INDEX($A:$AP,ROW(),$B$6)="","",INDEX($A:$AP,ROW(),$B$6)))</f>
        <v/>
      </c>
      <c r="AS582" s="32">
        <f>IF($AR582="","",IF(ISNUMBER($AR582),IF($AR582&gt;=10000000,IFERROR(DATE(INT($AR582/10000),MOD(INT($AR582/100),100),MOD($AR582,100)),""),INT($AR582)),IFERROR(DATE(--LEFT(LEFT(SUBSTITUTE(SUBSTITUTE(SUBSTITUTE(SUBSTITUTE(TRIM($AR582),"-",""),".",""),"/","")," ",""),8),4),--MID(LEFT(SUBSTITUTE(SUBSTITUTE(SUBSTITUTE(SUBSTITUTE(TRIM($AR582),"-",""),".",""),"/","")," ",""),8),5,2),--MID(LEFT(SUBSTITUTE(SUBSTITUTE(SUBSTITUTE(SUBSTITUTE(TRIM($AR582),"-",""),".",""),"/","")," ",""),8),7,2)),"")))</f>
        <v/>
      </c>
      <c r="AT582" s="33">
        <f>IF($AS582="","",IF($F$6="",0,IF(ISNUMBER(INDEX($A:$AP,ROW(),$F$6)),INDEX($A:$AP,ROW(),$F$6),IFERROR(--SUBSTITUTE(SUBSTITUTE(TRIM(INDEX($A:$AP,ROW(),$F$6)),",",""),"원",""),0))))</f>
        <v/>
      </c>
      <c r="AU582" s="31">
        <f>IF($AS582="","",IF($AX582&lt;&gt;"",SUBSTITUTE(SUBSTITUTE($AX582,"-","")," ",""),"N:"&amp;$AV582))</f>
        <v/>
      </c>
      <c r="AV582" s="31">
        <f>IF(OR($AS582="",$E$6=""),"",TRIM(INDEX($A:$AP,ROW(),$E$6)&amp;""))</f>
        <v/>
      </c>
      <c r="AW582" s="31">
        <f>IF($AU582="","",IF(MATCH($AU582,$AU$8:$AU$2007,0)=ROW()-7,MAX($AW$7:$AW581)+1,""))</f>
        <v/>
      </c>
      <c r="AX582" s="31">
        <f>IF(OR($AS582="",$D$6=""),"",TRIM(INDEX($A:$AP,ROW(),$D$6)&amp;""))</f>
        <v/>
      </c>
      <c r="AY582" s="31">
        <f>IF($AU582="","",INDEX($AW$8:$AW$2007,MATCH($AU582,$AU$8:$AU$2007,0)))</f>
        <v/>
      </c>
      <c r="AZ582" s="31">
        <f>IF(OR($AS582="",$C$6=""),"",TRIM(INDEX($A:$AP,ROW(),$C$6)&amp;""))</f>
        <v/>
      </c>
      <c r="BA582" s="31">
        <f>IF($AZ582="","",IF(COUNTIF($AZ$8:$AZ582,$AZ582)&gt;1,1,0))</f>
        <v/>
      </c>
    </row>
    <row r="583">
      <c r="AR583" s="31">
        <f>IF(OR($A$5="",$B$6="",ROW()&lt;$A$5),"",IF(INDEX($A:$AP,ROW(),$B$6)="","",INDEX($A:$AP,ROW(),$B$6)))</f>
        <v/>
      </c>
      <c r="AS583" s="32">
        <f>IF($AR583="","",IF(ISNUMBER($AR583),IF($AR583&gt;=10000000,IFERROR(DATE(INT($AR583/10000),MOD(INT($AR583/100),100),MOD($AR583,100)),""),INT($AR583)),IFERROR(DATE(--LEFT(LEFT(SUBSTITUTE(SUBSTITUTE(SUBSTITUTE(SUBSTITUTE(TRIM($AR583),"-",""),".",""),"/","")," ",""),8),4),--MID(LEFT(SUBSTITUTE(SUBSTITUTE(SUBSTITUTE(SUBSTITUTE(TRIM($AR583),"-",""),".",""),"/","")," ",""),8),5,2),--MID(LEFT(SUBSTITUTE(SUBSTITUTE(SUBSTITUTE(SUBSTITUTE(TRIM($AR583),"-",""),".",""),"/","")," ",""),8),7,2)),"")))</f>
        <v/>
      </c>
      <c r="AT583" s="33">
        <f>IF($AS583="","",IF($F$6="",0,IF(ISNUMBER(INDEX($A:$AP,ROW(),$F$6)),INDEX($A:$AP,ROW(),$F$6),IFERROR(--SUBSTITUTE(SUBSTITUTE(TRIM(INDEX($A:$AP,ROW(),$F$6)),",",""),"원",""),0))))</f>
        <v/>
      </c>
      <c r="AU583" s="31">
        <f>IF($AS583="","",IF($AX583&lt;&gt;"",SUBSTITUTE(SUBSTITUTE($AX583,"-","")," ",""),"N:"&amp;$AV583))</f>
        <v/>
      </c>
      <c r="AV583" s="31">
        <f>IF(OR($AS583="",$E$6=""),"",TRIM(INDEX($A:$AP,ROW(),$E$6)&amp;""))</f>
        <v/>
      </c>
      <c r="AW583" s="31">
        <f>IF($AU583="","",IF(MATCH($AU583,$AU$8:$AU$2007,0)=ROW()-7,MAX($AW$7:$AW582)+1,""))</f>
        <v/>
      </c>
      <c r="AX583" s="31">
        <f>IF(OR($AS583="",$D$6=""),"",TRIM(INDEX($A:$AP,ROW(),$D$6)&amp;""))</f>
        <v/>
      </c>
      <c r="AY583" s="31">
        <f>IF($AU583="","",INDEX($AW$8:$AW$2007,MATCH($AU583,$AU$8:$AU$2007,0)))</f>
        <v/>
      </c>
      <c r="AZ583" s="31">
        <f>IF(OR($AS583="",$C$6=""),"",TRIM(INDEX($A:$AP,ROW(),$C$6)&amp;""))</f>
        <v/>
      </c>
      <c r="BA583" s="31">
        <f>IF($AZ583="","",IF(COUNTIF($AZ$8:$AZ583,$AZ583)&gt;1,1,0))</f>
        <v/>
      </c>
    </row>
    <row r="584">
      <c r="AR584" s="31">
        <f>IF(OR($A$5="",$B$6="",ROW()&lt;$A$5),"",IF(INDEX($A:$AP,ROW(),$B$6)="","",INDEX($A:$AP,ROW(),$B$6)))</f>
        <v/>
      </c>
      <c r="AS584" s="32">
        <f>IF($AR584="","",IF(ISNUMBER($AR584),IF($AR584&gt;=10000000,IFERROR(DATE(INT($AR584/10000),MOD(INT($AR584/100),100),MOD($AR584,100)),""),INT($AR584)),IFERROR(DATE(--LEFT(LEFT(SUBSTITUTE(SUBSTITUTE(SUBSTITUTE(SUBSTITUTE(TRIM($AR584),"-",""),".",""),"/","")," ",""),8),4),--MID(LEFT(SUBSTITUTE(SUBSTITUTE(SUBSTITUTE(SUBSTITUTE(TRIM($AR584),"-",""),".",""),"/","")," ",""),8),5,2),--MID(LEFT(SUBSTITUTE(SUBSTITUTE(SUBSTITUTE(SUBSTITUTE(TRIM($AR584),"-",""),".",""),"/","")," ",""),8),7,2)),"")))</f>
        <v/>
      </c>
      <c r="AT584" s="33">
        <f>IF($AS584="","",IF($F$6="",0,IF(ISNUMBER(INDEX($A:$AP,ROW(),$F$6)),INDEX($A:$AP,ROW(),$F$6),IFERROR(--SUBSTITUTE(SUBSTITUTE(TRIM(INDEX($A:$AP,ROW(),$F$6)),",",""),"원",""),0))))</f>
        <v/>
      </c>
      <c r="AU584" s="31">
        <f>IF($AS584="","",IF($AX584&lt;&gt;"",SUBSTITUTE(SUBSTITUTE($AX584,"-","")," ",""),"N:"&amp;$AV584))</f>
        <v/>
      </c>
      <c r="AV584" s="31">
        <f>IF(OR($AS584="",$E$6=""),"",TRIM(INDEX($A:$AP,ROW(),$E$6)&amp;""))</f>
        <v/>
      </c>
      <c r="AW584" s="31">
        <f>IF($AU584="","",IF(MATCH($AU584,$AU$8:$AU$2007,0)=ROW()-7,MAX($AW$7:$AW583)+1,""))</f>
        <v/>
      </c>
      <c r="AX584" s="31">
        <f>IF(OR($AS584="",$D$6=""),"",TRIM(INDEX($A:$AP,ROW(),$D$6)&amp;""))</f>
        <v/>
      </c>
      <c r="AY584" s="31">
        <f>IF($AU584="","",INDEX($AW$8:$AW$2007,MATCH($AU584,$AU$8:$AU$2007,0)))</f>
        <v/>
      </c>
      <c r="AZ584" s="31">
        <f>IF(OR($AS584="",$C$6=""),"",TRIM(INDEX($A:$AP,ROW(),$C$6)&amp;""))</f>
        <v/>
      </c>
      <c r="BA584" s="31">
        <f>IF($AZ584="","",IF(COUNTIF($AZ$8:$AZ584,$AZ584)&gt;1,1,0))</f>
        <v/>
      </c>
    </row>
    <row r="585">
      <c r="AR585" s="31">
        <f>IF(OR($A$5="",$B$6="",ROW()&lt;$A$5),"",IF(INDEX($A:$AP,ROW(),$B$6)="","",INDEX($A:$AP,ROW(),$B$6)))</f>
        <v/>
      </c>
      <c r="AS585" s="32">
        <f>IF($AR585="","",IF(ISNUMBER($AR585),IF($AR585&gt;=10000000,IFERROR(DATE(INT($AR585/10000),MOD(INT($AR585/100),100),MOD($AR585,100)),""),INT($AR585)),IFERROR(DATE(--LEFT(LEFT(SUBSTITUTE(SUBSTITUTE(SUBSTITUTE(SUBSTITUTE(TRIM($AR585),"-",""),".",""),"/","")," ",""),8),4),--MID(LEFT(SUBSTITUTE(SUBSTITUTE(SUBSTITUTE(SUBSTITUTE(TRIM($AR585),"-",""),".",""),"/","")," ",""),8),5,2),--MID(LEFT(SUBSTITUTE(SUBSTITUTE(SUBSTITUTE(SUBSTITUTE(TRIM($AR585),"-",""),".",""),"/","")," ",""),8),7,2)),"")))</f>
        <v/>
      </c>
      <c r="AT585" s="33">
        <f>IF($AS585="","",IF($F$6="",0,IF(ISNUMBER(INDEX($A:$AP,ROW(),$F$6)),INDEX($A:$AP,ROW(),$F$6),IFERROR(--SUBSTITUTE(SUBSTITUTE(TRIM(INDEX($A:$AP,ROW(),$F$6)),",",""),"원",""),0))))</f>
        <v/>
      </c>
      <c r="AU585" s="31">
        <f>IF($AS585="","",IF($AX585&lt;&gt;"",SUBSTITUTE(SUBSTITUTE($AX585,"-","")," ",""),"N:"&amp;$AV585))</f>
        <v/>
      </c>
      <c r="AV585" s="31">
        <f>IF(OR($AS585="",$E$6=""),"",TRIM(INDEX($A:$AP,ROW(),$E$6)&amp;""))</f>
        <v/>
      </c>
      <c r="AW585" s="31">
        <f>IF($AU585="","",IF(MATCH($AU585,$AU$8:$AU$2007,0)=ROW()-7,MAX($AW$7:$AW584)+1,""))</f>
        <v/>
      </c>
      <c r="AX585" s="31">
        <f>IF(OR($AS585="",$D$6=""),"",TRIM(INDEX($A:$AP,ROW(),$D$6)&amp;""))</f>
        <v/>
      </c>
      <c r="AY585" s="31">
        <f>IF($AU585="","",INDEX($AW$8:$AW$2007,MATCH($AU585,$AU$8:$AU$2007,0)))</f>
        <v/>
      </c>
      <c r="AZ585" s="31">
        <f>IF(OR($AS585="",$C$6=""),"",TRIM(INDEX($A:$AP,ROW(),$C$6)&amp;""))</f>
        <v/>
      </c>
      <c r="BA585" s="31">
        <f>IF($AZ585="","",IF(COUNTIF($AZ$8:$AZ585,$AZ585)&gt;1,1,0))</f>
        <v/>
      </c>
    </row>
    <row r="586">
      <c r="AR586" s="31">
        <f>IF(OR($A$5="",$B$6="",ROW()&lt;$A$5),"",IF(INDEX($A:$AP,ROW(),$B$6)="","",INDEX($A:$AP,ROW(),$B$6)))</f>
        <v/>
      </c>
      <c r="AS586" s="32">
        <f>IF($AR586="","",IF(ISNUMBER($AR586),IF($AR586&gt;=10000000,IFERROR(DATE(INT($AR586/10000),MOD(INT($AR586/100),100),MOD($AR586,100)),""),INT($AR586)),IFERROR(DATE(--LEFT(LEFT(SUBSTITUTE(SUBSTITUTE(SUBSTITUTE(SUBSTITUTE(TRIM($AR586),"-",""),".",""),"/","")," ",""),8),4),--MID(LEFT(SUBSTITUTE(SUBSTITUTE(SUBSTITUTE(SUBSTITUTE(TRIM($AR586),"-",""),".",""),"/","")," ",""),8),5,2),--MID(LEFT(SUBSTITUTE(SUBSTITUTE(SUBSTITUTE(SUBSTITUTE(TRIM($AR586),"-",""),".",""),"/","")," ",""),8),7,2)),"")))</f>
        <v/>
      </c>
      <c r="AT586" s="33">
        <f>IF($AS586="","",IF($F$6="",0,IF(ISNUMBER(INDEX($A:$AP,ROW(),$F$6)),INDEX($A:$AP,ROW(),$F$6),IFERROR(--SUBSTITUTE(SUBSTITUTE(TRIM(INDEX($A:$AP,ROW(),$F$6)),",",""),"원",""),0))))</f>
        <v/>
      </c>
      <c r="AU586" s="31">
        <f>IF($AS586="","",IF($AX586&lt;&gt;"",SUBSTITUTE(SUBSTITUTE($AX586,"-","")," ",""),"N:"&amp;$AV586))</f>
        <v/>
      </c>
      <c r="AV586" s="31">
        <f>IF(OR($AS586="",$E$6=""),"",TRIM(INDEX($A:$AP,ROW(),$E$6)&amp;""))</f>
        <v/>
      </c>
      <c r="AW586" s="31">
        <f>IF($AU586="","",IF(MATCH($AU586,$AU$8:$AU$2007,0)=ROW()-7,MAX($AW$7:$AW585)+1,""))</f>
        <v/>
      </c>
      <c r="AX586" s="31">
        <f>IF(OR($AS586="",$D$6=""),"",TRIM(INDEX($A:$AP,ROW(),$D$6)&amp;""))</f>
        <v/>
      </c>
      <c r="AY586" s="31">
        <f>IF($AU586="","",INDEX($AW$8:$AW$2007,MATCH($AU586,$AU$8:$AU$2007,0)))</f>
        <v/>
      </c>
      <c r="AZ586" s="31">
        <f>IF(OR($AS586="",$C$6=""),"",TRIM(INDEX($A:$AP,ROW(),$C$6)&amp;""))</f>
        <v/>
      </c>
      <c r="BA586" s="31">
        <f>IF($AZ586="","",IF(COUNTIF($AZ$8:$AZ586,$AZ586)&gt;1,1,0))</f>
        <v/>
      </c>
    </row>
    <row r="587">
      <c r="AR587" s="31">
        <f>IF(OR($A$5="",$B$6="",ROW()&lt;$A$5),"",IF(INDEX($A:$AP,ROW(),$B$6)="","",INDEX($A:$AP,ROW(),$B$6)))</f>
        <v/>
      </c>
      <c r="AS587" s="32">
        <f>IF($AR587="","",IF(ISNUMBER($AR587),IF($AR587&gt;=10000000,IFERROR(DATE(INT($AR587/10000),MOD(INT($AR587/100),100),MOD($AR587,100)),""),INT($AR587)),IFERROR(DATE(--LEFT(LEFT(SUBSTITUTE(SUBSTITUTE(SUBSTITUTE(SUBSTITUTE(TRIM($AR587),"-",""),".",""),"/","")," ",""),8),4),--MID(LEFT(SUBSTITUTE(SUBSTITUTE(SUBSTITUTE(SUBSTITUTE(TRIM($AR587),"-",""),".",""),"/","")," ",""),8),5,2),--MID(LEFT(SUBSTITUTE(SUBSTITUTE(SUBSTITUTE(SUBSTITUTE(TRIM($AR587),"-",""),".",""),"/","")," ",""),8),7,2)),"")))</f>
        <v/>
      </c>
      <c r="AT587" s="33">
        <f>IF($AS587="","",IF($F$6="",0,IF(ISNUMBER(INDEX($A:$AP,ROW(),$F$6)),INDEX($A:$AP,ROW(),$F$6),IFERROR(--SUBSTITUTE(SUBSTITUTE(TRIM(INDEX($A:$AP,ROW(),$F$6)),",",""),"원",""),0))))</f>
        <v/>
      </c>
      <c r="AU587" s="31">
        <f>IF($AS587="","",IF($AX587&lt;&gt;"",SUBSTITUTE(SUBSTITUTE($AX587,"-","")," ",""),"N:"&amp;$AV587))</f>
        <v/>
      </c>
      <c r="AV587" s="31">
        <f>IF(OR($AS587="",$E$6=""),"",TRIM(INDEX($A:$AP,ROW(),$E$6)&amp;""))</f>
        <v/>
      </c>
      <c r="AW587" s="31">
        <f>IF($AU587="","",IF(MATCH($AU587,$AU$8:$AU$2007,0)=ROW()-7,MAX($AW$7:$AW586)+1,""))</f>
        <v/>
      </c>
      <c r="AX587" s="31">
        <f>IF(OR($AS587="",$D$6=""),"",TRIM(INDEX($A:$AP,ROW(),$D$6)&amp;""))</f>
        <v/>
      </c>
      <c r="AY587" s="31">
        <f>IF($AU587="","",INDEX($AW$8:$AW$2007,MATCH($AU587,$AU$8:$AU$2007,0)))</f>
        <v/>
      </c>
      <c r="AZ587" s="31">
        <f>IF(OR($AS587="",$C$6=""),"",TRIM(INDEX($A:$AP,ROW(),$C$6)&amp;""))</f>
        <v/>
      </c>
      <c r="BA587" s="31">
        <f>IF($AZ587="","",IF(COUNTIF($AZ$8:$AZ587,$AZ587)&gt;1,1,0))</f>
        <v/>
      </c>
    </row>
    <row r="588">
      <c r="AR588" s="31">
        <f>IF(OR($A$5="",$B$6="",ROW()&lt;$A$5),"",IF(INDEX($A:$AP,ROW(),$B$6)="","",INDEX($A:$AP,ROW(),$B$6)))</f>
        <v/>
      </c>
      <c r="AS588" s="32">
        <f>IF($AR588="","",IF(ISNUMBER($AR588),IF($AR588&gt;=10000000,IFERROR(DATE(INT($AR588/10000),MOD(INT($AR588/100),100),MOD($AR588,100)),""),INT($AR588)),IFERROR(DATE(--LEFT(LEFT(SUBSTITUTE(SUBSTITUTE(SUBSTITUTE(SUBSTITUTE(TRIM($AR588),"-",""),".",""),"/","")," ",""),8),4),--MID(LEFT(SUBSTITUTE(SUBSTITUTE(SUBSTITUTE(SUBSTITUTE(TRIM($AR588),"-",""),".",""),"/","")," ",""),8),5,2),--MID(LEFT(SUBSTITUTE(SUBSTITUTE(SUBSTITUTE(SUBSTITUTE(TRIM($AR588),"-",""),".",""),"/","")," ",""),8),7,2)),"")))</f>
        <v/>
      </c>
      <c r="AT588" s="33">
        <f>IF($AS588="","",IF($F$6="",0,IF(ISNUMBER(INDEX($A:$AP,ROW(),$F$6)),INDEX($A:$AP,ROW(),$F$6),IFERROR(--SUBSTITUTE(SUBSTITUTE(TRIM(INDEX($A:$AP,ROW(),$F$6)),",",""),"원",""),0))))</f>
        <v/>
      </c>
      <c r="AU588" s="31">
        <f>IF($AS588="","",IF($AX588&lt;&gt;"",SUBSTITUTE(SUBSTITUTE($AX588,"-","")," ",""),"N:"&amp;$AV588))</f>
        <v/>
      </c>
      <c r="AV588" s="31">
        <f>IF(OR($AS588="",$E$6=""),"",TRIM(INDEX($A:$AP,ROW(),$E$6)&amp;""))</f>
        <v/>
      </c>
      <c r="AW588" s="31">
        <f>IF($AU588="","",IF(MATCH($AU588,$AU$8:$AU$2007,0)=ROW()-7,MAX($AW$7:$AW587)+1,""))</f>
        <v/>
      </c>
      <c r="AX588" s="31">
        <f>IF(OR($AS588="",$D$6=""),"",TRIM(INDEX($A:$AP,ROW(),$D$6)&amp;""))</f>
        <v/>
      </c>
      <c r="AY588" s="31">
        <f>IF($AU588="","",INDEX($AW$8:$AW$2007,MATCH($AU588,$AU$8:$AU$2007,0)))</f>
        <v/>
      </c>
      <c r="AZ588" s="31">
        <f>IF(OR($AS588="",$C$6=""),"",TRIM(INDEX($A:$AP,ROW(),$C$6)&amp;""))</f>
        <v/>
      </c>
      <c r="BA588" s="31">
        <f>IF($AZ588="","",IF(COUNTIF($AZ$8:$AZ588,$AZ588)&gt;1,1,0))</f>
        <v/>
      </c>
    </row>
    <row r="589">
      <c r="AR589" s="31">
        <f>IF(OR($A$5="",$B$6="",ROW()&lt;$A$5),"",IF(INDEX($A:$AP,ROW(),$B$6)="","",INDEX($A:$AP,ROW(),$B$6)))</f>
        <v/>
      </c>
      <c r="AS589" s="32">
        <f>IF($AR589="","",IF(ISNUMBER($AR589),IF($AR589&gt;=10000000,IFERROR(DATE(INT($AR589/10000),MOD(INT($AR589/100),100),MOD($AR589,100)),""),INT($AR589)),IFERROR(DATE(--LEFT(LEFT(SUBSTITUTE(SUBSTITUTE(SUBSTITUTE(SUBSTITUTE(TRIM($AR589),"-",""),".",""),"/","")," ",""),8),4),--MID(LEFT(SUBSTITUTE(SUBSTITUTE(SUBSTITUTE(SUBSTITUTE(TRIM($AR589),"-",""),".",""),"/","")," ",""),8),5,2),--MID(LEFT(SUBSTITUTE(SUBSTITUTE(SUBSTITUTE(SUBSTITUTE(TRIM($AR589),"-",""),".",""),"/","")," ",""),8),7,2)),"")))</f>
        <v/>
      </c>
      <c r="AT589" s="33">
        <f>IF($AS589="","",IF($F$6="",0,IF(ISNUMBER(INDEX($A:$AP,ROW(),$F$6)),INDEX($A:$AP,ROW(),$F$6),IFERROR(--SUBSTITUTE(SUBSTITUTE(TRIM(INDEX($A:$AP,ROW(),$F$6)),",",""),"원",""),0))))</f>
        <v/>
      </c>
      <c r="AU589" s="31">
        <f>IF($AS589="","",IF($AX589&lt;&gt;"",SUBSTITUTE(SUBSTITUTE($AX589,"-","")," ",""),"N:"&amp;$AV589))</f>
        <v/>
      </c>
      <c r="AV589" s="31">
        <f>IF(OR($AS589="",$E$6=""),"",TRIM(INDEX($A:$AP,ROW(),$E$6)&amp;""))</f>
        <v/>
      </c>
      <c r="AW589" s="31">
        <f>IF($AU589="","",IF(MATCH($AU589,$AU$8:$AU$2007,0)=ROW()-7,MAX($AW$7:$AW588)+1,""))</f>
        <v/>
      </c>
      <c r="AX589" s="31">
        <f>IF(OR($AS589="",$D$6=""),"",TRIM(INDEX($A:$AP,ROW(),$D$6)&amp;""))</f>
        <v/>
      </c>
      <c r="AY589" s="31">
        <f>IF($AU589="","",INDEX($AW$8:$AW$2007,MATCH($AU589,$AU$8:$AU$2007,0)))</f>
        <v/>
      </c>
      <c r="AZ589" s="31">
        <f>IF(OR($AS589="",$C$6=""),"",TRIM(INDEX($A:$AP,ROW(),$C$6)&amp;""))</f>
        <v/>
      </c>
      <c r="BA589" s="31">
        <f>IF($AZ589="","",IF(COUNTIF($AZ$8:$AZ589,$AZ589)&gt;1,1,0))</f>
        <v/>
      </c>
    </row>
    <row r="590">
      <c r="AR590" s="31">
        <f>IF(OR($A$5="",$B$6="",ROW()&lt;$A$5),"",IF(INDEX($A:$AP,ROW(),$B$6)="","",INDEX($A:$AP,ROW(),$B$6)))</f>
        <v/>
      </c>
      <c r="AS590" s="32">
        <f>IF($AR590="","",IF(ISNUMBER($AR590),IF($AR590&gt;=10000000,IFERROR(DATE(INT($AR590/10000),MOD(INT($AR590/100),100),MOD($AR590,100)),""),INT($AR590)),IFERROR(DATE(--LEFT(LEFT(SUBSTITUTE(SUBSTITUTE(SUBSTITUTE(SUBSTITUTE(TRIM($AR590),"-",""),".",""),"/","")," ",""),8),4),--MID(LEFT(SUBSTITUTE(SUBSTITUTE(SUBSTITUTE(SUBSTITUTE(TRIM($AR590),"-",""),".",""),"/","")," ",""),8),5,2),--MID(LEFT(SUBSTITUTE(SUBSTITUTE(SUBSTITUTE(SUBSTITUTE(TRIM($AR590),"-",""),".",""),"/","")," ",""),8),7,2)),"")))</f>
        <v/>
      </c>
      <c r="AT590" s="33">
        <f>IF($AS590="","",IF($F$6="",0,IF(ISNUMBER(INDEX($A:$AP,ROW(),$F$6)),INDEX($A:$AP,ROW(),$F$6),IFERROR(--SUBSTITUTE(SUBSTITUTE(TRIM(INDEX($A:$AP,ROW(),$F$6)),",",""),"원",""),0))))</f>
        <v/>
      </c>
      <c r="AU590" s="31">
        <f>IF($AS590="","",IF($AX590&lt;&gt;"",SUBSTITUTE(SUBSTITUTE($AX590,"-","")," ",""),"N:"&amp;$AV590))</f>
        <v/>
      </c>
      <c r="AV590" s="31">
        <f>IF(OR($AS590="",$E$6=""),"",TRIM(INDEX($A:$AP,ROW(),$E$6)&amp;""))</f>
        <v/>
      </c>
      <c r="AW590" s="31">
        <f>IF($AU590="","",IF(MATCH($AU590,$AU$8:$AU$2007,0)=ROW()-7,MAX($AW$7:$AW589)+1,""))</f>
        <v/>
      </c>
      <c r="AX590" s="31">
        <f>IF(OR($AS590="",$D$6=""),"",TRIM(INDEX($A:$AP,ROW(),$D$6)&amp;""))</f>
        <v/>
      </c>
      <c r="AY590" s="31">
        <f>IF($AU590="","",INDEX($AW$8:$AW$2007,MATCH($AU590,$AU$8:$AU$2007,0)))</f>
        <v/>
      </c>
      <c r="AZ590" s="31">
        <f>IF(OR($AS590="",$C$6=""),"",TRIM(INDEX($A:$AP,ROW(),$C$6)&amp;""))</f>
        <v/>
      </c>
      <c r="BA590" s="31">
        <f>IF($AZ590="","",IF(COUNTIF($AZ$8:$AZ590,$AZ590)&gt;1,1,0))</f>
        <v/>
      </c>
    </row>
    <row r="591">
      <c r="AR591" s="31">
        <f>IF(OR($A$5="",$B$6="",ROW()&lt;$A$5),"",IF(INDEX($A:$AP,ROW(),$B$6)="","",INDEX($A:$AP,ROW(),$B$6)))</f>
        <v/>
      </c>
      <c r="AS591" s="32">
        <f>IF($AR591="","",IF(ISNUMBER($AR591),IF($AR591&gt;=10000000,IFERROR(DATE(INT($AR591/10000),MOD(INT($AR591/100),100),MOD($AR591,100)),""),INT($AR591)),IFERROR(DATE(--LEFT(LEFT(SUBSTITUTE(SUBSTITUTE(SUBSTITUTE(SUBSTITUTE(TRIM($AR591),"-",""),".",""),"/","")," ",""),8),4),--MID(LEFT(SUBSTITUTE(SUBSTITUTE(SUBSTITUTE(SUBSTITUTE(TRIM($AR591),"-",""),".",""),"/","")," ",""),8),5,2),--MID(LEFT(SUBSTITUTE(SUBSTITUTE(SUBSTITUTE(SUBSTITUTE(TRIM($AR591),"-",""),".",""),"/","")," ",""),8),7,2)),"")))</f>
        <v/>
      </c>
      <c r="AT591" s="33">
        <f>IF($AS591="","",IF($F$6="",0,IF(ISNUMBER(INDEX($A:$AP,ROW(),$F$6)),INDEX($A:$AP,ROW(),$F$6),IFERROR(--SUBSTITUTE(SUBSTITUTE(TRIM(INDEX($A:$AP,ROW(),$F$6)),",",""),"원",""),0))))</f>
        <v/>
      </c>
      <c r="AU591" s="31">
        <f>IF($AS591="","",IF($AX591&lt;&gt;"",SUBSTITUTE(SUBSTITUTE($AX591,"-","")," ",""),"N:"&amp;$AV591))</f>
        <v/>
      </c>
      <c r="AV591" s="31">
        <f>IF(OR($AS591="",$E$6=""),"",TRIM(INDEX($A:$AP,ROW(),$E$6)&amp;""))</f>
        <v/>
      </c>
      <c r="AW591" s="31">
        <f>IF($AU591="","",IF(MATCH($AU591,$AU$8:$AU$2007,0)=ROW()-7,MAX($AW$7:$AW590)+1,""))</f>
        <v/>
      </c>
      <c r="AX591" s="31">
        <f>IF(OR($AS591="",$D$6=""),"",TRIM(INDEX($A:$AP,ROW(),$D$6)&amp;""))</f>
        <v/>
      </c>
      <c r="AY591" s="31">
        <f>IF($AU591="","",INDEX($AW$8:$AW$2007,MATCH($AU591,$AU$8:$AU$2007,0)))</f>
        <v/>
      </c>
      <c r="AZ591" s="31">
        <f>IF(OR($AS591="",$C$6=""),"",TRIM(INDEX($A:$AP,ROW(),$C$6)&amp;""))</f>
        <v/>
      </c>
      <c r="BA591" s="31">
        <f>IF($AZ591="","",IF(COUNTIF($AZ$8:$AZ591,$AZ591)&gt;1,1,0))</f>
        <v/>
      </c>
    </row>
    <row r="592">
      <c r="AR592" s="31">
        <f>IF(OR($A$5="",$B$6="",ROW()&lt;$A$5),"",IF(INDEX($A:$AP,ROW(),$B$6)="","",INDEX($A:$AP,ROW(),$B$6)))</f>
        <v/>
      </c>
      <c r="AS592" s="32">
        <f>IF($AR592="","",IF(ISNUMBER($AR592),IF($AR592&gt;=10000000,IFERROR(DATE(INT($AR592/10000),MOD(INT($AR592/100),100),MOD($AR592,100)),""),INT($AR592)),IFERROR(DATE(--LEFT(LEFT(SUBSTITUTE(SUBSTITUTE(SUBSTITUTE(SUBSTITUTE(TRIM($AR592),"-",""),".",""),"/","")," ",""),8),4),--MID(LEFT(SUBSTITUTE(SUBSTITUTE(SUBSTITUTE(SUBSTITUTE(TRIM($AR592),"-",""),".",""),"/","")," ",""),8),5,2),--MID(LEFT(SUBSTITUTE(SUBSTITUTE(SUBSTITUTE(SUBSTITUTE(TRIM($AR592),"-",""),".",""),"/","")," ",""),8),7,2)),"")))</f>
        <v/>
      </c>
      <c r="AT592" s="33">
        <f>IF($AS592="","",IF($F$6="",0,IF(ISNUMBER(INDEX($A:$AP,ROW(),$F$6)),INDEX($A:$AP,ROW(),$F$6),IFERROR(--SUBSTITUTE(SUBSTITUTE(TRIM(INDEX($A:$AP,ROW(),$F$6)),",",""),"원",""),0))))</f>
        <v/>
      </c>
      <c r="AU592" s="31">
        <f>IF($AS592="","",IF($AX592&lt;&gt;"",SUBSTITUTE(SUBSTITUTE($AX592,"-","")," ",""),"N:"&amp;$AV592))</f>
        <v/>
      </c>
      <c r="AV592" s="31">
        <f>IF(OR($AS592="",$E$6=""),"",TRIM(INDEX($A:$AP,ROW(),$E$6)&amp;""))</f>
        <v/>
      </c>
      <c r="AW592" s="31">
        <f>IF($AU592="","",IF(MATCH($AU592,$AU$8:$AU$2007,0)=ROW()-7,MAX($AW$7:$AW591)+1,""))</f>
        <v/>
      </c>
      <c r="AX592" s="31">
        <f>IF(OR($AS592="",$D$6=""),"",TRIM(INDEX($A:$AP,ROW(),$D$6)&amp;""))</f>
        <v/>
      </c>
      <c r="AY592" s="31">
        <f>IF($AU592="","",INDEX($AW$8:$AW$2007,MATCH($AU592,$AU$8:$AU$2007,0)))</f>
        <v/>
      </c>
      <c r="AZ592" s="31">
        <f>IF(OR($AS592="",$C$6=""),"",TRIM(INDEX($A:$AP,ROW(),$C$6)&amp;""))</f>
        <v/>
      </c>
      <c r="BA592" s="31">
        <f>IF($AZ592="","",IF(COUNTIF($AZ$8:$AZ592,$AZ592)&gt;1,1,0))</f>
        <v/>
      </c>
    </row>
    <row r="593">
      <c r="AR593" s="31">
        <f>IF(OR($A$5="",$B$6="",ROW()&lt;$A$5),"",IF(INDEX($A:$AP,ROW(),$B$6)="","",INDEX($A:$AP,ROW(),$B$6)))</f>
        <v/>
      </c>
      <c r="AS593" s="32">
        <f>IF($AR593="","",IF(ISNUMBER($AR593),IF($AR593&gt;=10000000,IFERROR(DATE(INT($AR593/10000),MOD(INT($AR593/100),100),MOD($AR593,100)),""),INT($AR593)),IFERROR(DATE(--LEFT(LEFT(SUBSTITUTE(SUBSTITUTE(SUBSTITUTE(SUBSTITUTE(TRIM($AR593),"-",""),".",""),"/","")," ",""),8),4),--MID(LEFT(SUBSTITUTE(SUBSTITUTE(SUBSTITUTE(SUBSTITUTE(TRIM($AR593),"-",""),".",""),"/","")," ",""),8),5,2),--MID(LEFT(SUBSTITUTE(SUBSTITUTE(SUBSTITUTE(SUBSTITUTE(TRIM($AR593),"-",""),".",""),"/","")," ",""),8),7,2)),"")))</f>
        <v/>
      </c>
      <c r="AT593" s="33">
        <f>IF($AS593="","",IF($F$6="",0,IF(ISNUMBER(INDEX($A:$AP,ROW(),$F$6)),INDEX($A:$AP,ROW(),$F$6),IFERROR(--SUBSTITUTE(SUBSTITUTE(TRIM(INDEX($A:$AP,ROW(),$F$6)),",",""),"원",""),0))))</f>
        <v/>
      </c>
      <c r="AU593" s="31">
        <f>IF($AS593="","",IF($AX593&lt;&gt;"",SUBSTITUTE(SUBSTITUTE($AX593,"-","")," ",""),"N:"&amp;$AV593))</f>
        <v/>
      </c>
      <c r="AV593" s="31">
        <f>IF(OR($AS593="",$E$6=""),"",TRIM(INDEX($A:$AP,ROW(),$E$6)&amp;""))</f>
        <v/>
      </c>
      <c r="AW593" s="31">
        <f>IF($AU593="","",IF(MATCH($AU593,$AU$8:$AU$2007,0)=ROW()-7,MAX($AW$7:$AW592)+1,""))</f>
        <v/>
      </c>
      <c r="AX593" s="31">
        <f>IF(OR($AS593="",$D$6=""),"",TRIM(INDEX($A:$AP,ROW(),$D$6)&amp;""))</f>
        <v/>
      </c>
      <c r="AY593" s="31">
        <f>IF($AU593="","",INDEX($AW$8:$AW$2007,MATCH($AU593,$AU$8:$AU$2007,0)))</f>
        <v/>
      </c>
      <c r="AZ593" s="31">
        <f>IF(OR($AS593="",$C$6=""),"",TRIM(INDEX($A:$AP,ROW(),$C$6)&amp;""))</f>
        <v/>
      </c>
      <c r="BA593" s="31">
        <f>IF($AZ593="","",IF(COUNTIF($AZ$8:$AZ593,$AZ593)&gt;1,1,0))</f>
        <v/>
      </c>
    </row>
    <row r="594">
      <c r="AR594" s="31">
        <f>IF(OR($A$5="",$B$6="",ROW()&lt;$A$5),"",IF(INDEX($A:$AP,ROW(),$B$6)="","",INDEX($A:$AP,ROW(),$B$6)))</f>
        <v/>
      </c>
      <c r="AS594" s="32">
        <f>IF($AR594="","",IF(ISNUMBER($AR594),IF($AR594&gt;=10000000,IFERROR(DATE(INT($AR594/10000),MOD(INT($AR594/100),100),MOD($AR594,100)),""),INT($AR594)),IFERROR(DATE(--LEFT(LEFT(SUBSTITUTE(SUBSTITUTE(SUBSTITUTE(SUBSTITUTE(TRIM($AR594),"-",""),".",""),"/","")," ",""),8),4),--MID(LEFT(SUBSTITUTE(SUBSTITUTE(SUBSTITUTE(SUBSTITUTE(TRIM($AR594),"-",""),".",""),"/","")," ",""),8),5,2),--MID(LEFT(SUBSTITUTE(SUBSTITUTE(SUBSTITUTE(SUBSTITUTE(TRIM($AR594),"-",""),".",""),"/","")," ",""),8),7,2)),"")))</f>
        <v/>
      </c>
      <c r="AT594" s="33">
        <f>IF($AS594="","",IF($F$6="",0,IF(ISNUMBER(INDEX($A:$AP,ROW(),$F$6)),INDEX($A:$AP,ROW(),$F$6),IFERROR(--SUBSTITUTE(SUBSTITUTE(TRIM(INDEX($A:$AP,ROW(),$F$6)),",",""),"원",""),0))))</f>
        <v/>
      </c>
      <c r="AU594" s="31">
        <f>IF($AS594="","",IF($AX594&lt;&gt;"",SUBSTITUTE(SUBSTITUTE($AX594,"-","")," ",""),"N:"&amp;$AV594))</f>
        <v/>
      </c>
      <c r="AV594" s="31">
        <f>IF(OR($AS594="",$E$6=""),"",TRIM(INDEX($A:$AP,ROW(),$E$6)&amp;""))</f>
        <v/>
      </c>
      <c r="AW594" s="31">
        <f>IF($AU594="","",IF(MATCH($AU594,$AU$8:$AU$2007,0)=ROW()-7,MAX($AW$7:$AW593)+1,""))</f>
        <v/>
      </c>
      <c r="AX594" s="31">
        <f>IF(OR($AS594="",$D$6=""),"",TRIM(INDEX($A:$AP,ROW(),$D$6)&amp;""))</f>
        <v/>
      </c>
      <c r="AY594" s="31">
        <f>IF($AU594="","",INDEX($AW$8:$AW$2007,MATCH($AU594,$AU$8:$AU$2007,0)))</f>
        <v/>
      </c>
      <c r="AZ594" s="31">
        <f>IF(OR($AS594="",$C$6=""),"",TRIM(INDEX($A:$AP,ROW(),$C$6)&amp;""))</f>
        <v/>
      </c>
      <c r="BA594" s="31">
        <f>IF($AZ594="","",IF(COUNTIF($AZ$8:$AZ594,$AZ594)&gt;1,1,0))</f>
        <v/>
      </c>
    </row>
    <row r="595">
      <c r="AR595" s="31">
        <f>IF(OR($A$5="",$B$6="",ROW()&lt;$A$5),"",IF(INDEX($A:$AP,ROW(),$B$6)="","",INDEX($A:$AP,ROW(),$B$6)))</f>
        <v/>
      </c>
      <c r="AS595" s="32">
        <f>IF($AR595="","",IF(ISNUMBER($AR595),IF($AR595&gt;=10000000,IFERROR(DATE(INT($AR595/10000),MOD(INT($AR595/100),100),MOD($AR595,100)),""),INT($AR595)),IFERROR(DATE(--LEFT(LEFT(SUBSTITUTE(SUBSTITUTE(SUBSTITUTE(SUBSTITUTE(TRIM($AR595),"-",""),".",""),"/","")," ",""),8),4),--MID(LEFT(SUBSTITUTE(SUBSTITUTE(SUBSTITUTE(SUBSTITUTE(TRIM($AR595),"-",""),".",""),"/","")," ",""),8),5,2),--MID(LEFT(SUBSTITUTE(SUBSTITUTE(SUBSTITUTE(SUBSTITUTE(TRIM($AR595),"-",""),".",""),"/","")," ",""),8),7,2)),"")))</f>
        <v/>
      </c>
      <c r="AT595" s="33">
        <f>IF($AS595="","",IF($F$6="",0,IF(ISNUMBER(INDEX($A:$AP,ROW(),$F$6)),INDEX($A:$AP,ROW(),$F$6),IFERROR(--SUBSTITUTE(SUBSTITUTE(TRIM(INDEX($A:$AP,ROW(),$F$6)),",",""),"원",""),0))))</f>
        <v/>
      </c>
      <c r="AU595" s="31">
        <f>IF($AS595="","",IF($AX595&lt;&gt;"",SUBSTITUTE(SUBSTITUTE($AX595,"-","")," ",""),"N:"&amp;$AV595))</f>
        <v/>
      </c>
      <c r="AV595" s="31">
        <f>IF(OR($AS595="",$E$6=""),"",TRIM(INDEX($A:$AP,ROW(),$E$6)&amp;""))</f>
        <v/>
      </c>
      <c r="AW595" s="31">
        <f>IF($AU595="","",IF(MATCH($AU595,$AU$8:$AU$2007,0)=ROW()-7,MAX($AW$7:$AW594)+1,""))</f>
        <v/>
      </c>
      <c r="AX595" s="31">
        <f>IF(OR($AS595="",$D$6=""),"",TRIM(INDEX($A:$AP,ROW(),$D$6)&amp;""))</f>
        <v/>
      </c>
      <c r="AY595" s="31">
        <f>IF($AU595="","",INDEX($AW$8:$AW$2007,MATCH($AU595,$AU$8:$AU$2007,0)))</f>
        <v/>
      </c>
      <c r="AZ595" s="31">
        <f>IF(OR($AS595="",$C$6=""),"",TRIM(INDEX($A:$AP,ROW(),$C$6)&amp;""))</f>
        <v/>
      </c>
      <c r="BA595" s="31">
        <f>IF($AZ595="","",IF(COUNTIF($AZ$8:$AZ595,$AZ595)&gt;1,1,0))</f>
        <v/>
      </c>
    </row>
    <row r="596">
      <c r="AR596" s="31">
        <f>IF(OR($A$5="",$B$6="",ROW()&lt;$A$5),"",IF(INDEX($A:$AP,ROW(),$B$6)="","",INDEX($A:$AP,ROW(),$B$6)))</f>
        <v/>
      </c>
      <c r="AS596" s="32">
        <f>IF($AR596="","",IF(ISNUMBER($AR596),IF($AR596&gt;=10000000,IFERROR(DATE(INT($AR596/10000),MOD(INT($AR596/100),100),MOD($AR596,100)),""),INT($AR596)),IFERROR(DATE(--LEFT(LEFT(SUBSTITUTE(SUBSTITUTE(SUBSTITUTE(SUBSTITUTE(TRIM($AR596),"-",""),".",""),"/","")," ",""),8),4),--MID(LEFT(SUBSTITUTE(SUBSTITUTE(SUBSTITUTE(SUBSTITUTE(TRIM($AR596),"-",""),".",""),"/","")," ",""),8),5,2),--MID(LEFT(SUBSTITUTE(SUBSTITUTE(SUBSTITUTE(SUBSTITUTE(TRIM($AR596),"-",""),".",""),"/","")," ",""),8),7,2)),"")))</f>
        <v/>
      </c>
      <c r="AT596" s="33">
        <f>IF($AS596="","",IF($F$6="",0,IF(ISNUMBER(INDEX($A:$AP,ROW(),$F$6)),INDEX($A:$AP,ROW(),$F$6),IFERROR(--SUBSTITUTE(SUBSTITUTE(TRIM(INDEX($A:$AP,ROW(),$F$6)),",",""),"원",""),0))))</f>
        <v/>
      </c>
      <c r="AU596" s="31">
        <f>IF($AS596="","",IF($AX596&lt;&gt;"",SUBSTITUTE(SUBSTITUTE($AX596,"-","")," ",""),"N:"&amp;$AV596))</f>
        <v/>
      </c>
      <c r="AV596" s="31">
        <f>IF(OR($AS596="",$E$6=""),"",TRIM(INDEX($A:$AP,ROW(),$E$6)&amp;""))</f>
        <v/>
      </c>
      <c r="AW596" s="31">
        <f>IF($AU596="","",IF(MATCH($AU596,$AU$8:$AU$2007,0)=ROW()-7,MAX($AW$7:$AW595)+1,""))</f>
        <v/>
      </c>
      <c r="AX596" s="31">
        <f>IF(OR($AS596="",$D$6=""),"",TRIM(INDEX($A:$AP,ROW(),$D$6)&amp;""))</f>
        <v/>
      </c>
      <c r="AY596" s="31">
        <f>IF($AU596="","",INDEX($AW$8:$AW$2007,MATCH($AU596,$AU$8:$AU$2007,0)))</f>
        <v/>
      </c>
      <c r="AZ596" s="31">
        <f>IF(OR($AS596="",$C$6=""),"",TRIM(INDEX($A:$AP,ROW(),$C$6)&amp;""))</f>
        <v/>
      </c>
      <c r="BA596" s="31">
        <f>IF($AZ596="","",IF(COUNTIF($AZ$8:$AZ596,$AZ596)&gt;1,1,0))</f>
        <v/>
      </c>
    </row>
    <row r="597">
      <c r="AR597" s="31">
        <f>IF(OR($A$5="",$B$6="",ROW()&lt;$A$5),"",IF(INDEX($A:$AP,ROW(),$B$6)="","",INDEX($A:$AP,ROW(),$B$6)))</f>
        <v/>
      </c>
      <c r="AS597" s="32">
        <f>IF($AR597="","",IF(ISNUMBER($AR597),IF($AR597&gt;=10000000,IFERROR(DATE(INT($AR597/10000),MOD(INT($AR597/100),100),MOD($AR597,100)),""),INT($AR597)),IFERROR(DATE(--LEFT(LEFT(SUBSTITUTE(SUBSTITUTE(SUBSTITUTE(SUBSTITUTE(TRIM($AR597),"-",""),".",""),"/","")," ",""),8),4),--MID(LEFT(SUBSTITUTE(SUBSTITUTE(SUBSTITUTE(SUBSTITUTE(TRIM($AR597),"-",""),".",""),"/","")," ",""),8),5,2),--MID(LEFT(SUBSTITUTE(SUBSTITUTE(SUBSTITUTE(SUBSTITUTE(TRIM($AR597),"-",""),".",""),"/","")," ",""),8),7,2)),"")))</f>
        <v/>
      </c>
      <c r="AT597" s="33">
        <f>IF($AS597="","",IF($F$6="",0,IF(ISNUMBER(INDEX($A:$AP,ROW(),$F$6)),INDEX($A:$AP,ROW(),$F$6),IFERROR(--SUBSTITUTE(SUBSTITUTE(TRIM(INDEX($A:$AP,ROW(),$F$6)),",",""),"원",""),0))))</f>
        <v/>
      </c>
      <c r="AU597" s="31">
        <f>IF($AS597="","",IF($AX597&lt;&gt;"",SUBSTITUTE(SUBSTITUTE($AX597,"-","")," ",""),"N:"&amp;$AV597))</f>
        <v/>
      </c>
      <c r="AV597" s="31">
        <f>IF(OR($AS597="",$E$6=""),"",TRIM(INDEX($A:$AP,ROW(),$E$6)&amp;""))</f>
        <v/>
      </c>
      <c r="AW597" s="31">
        <f>IF($AU597="","",IF(MATCH($AU597,$AU$8:$AU$2007,0)=ROW()-7,MAX($AW$7:$AW596)+1,""))</f>
        <v/>
      </c>
      <c r="AX597" s="31">
        <f>IF(OR($AS597="",$D$6=""),"",TRIM(INDEX($A:$AP,ROW(),$D$6)&amp;""))</f>
        <v/>
      </c>
      <c r="AY597" s="31">
        <f>IF($AU597="","",INDEX($AW$8:$AW$2007,MATCH($AU597,$AU$8:$AU$2007,0)))</f>
        <v/>
      </c>
      <c r="AZ597" s="31">
        <f>IF(OR($AS597="",$C$6=""),"",TRIM(INDEX($A:$AP,ROW(),$C$6)&amp;""))</f>
        <v/>
      </c>
      <c r="BA597" s="31">
        <f>IF($AZ597="","",IF(COUNTIF($AZ$8:$AZ597,$AZ597)&gt;1,1,0))</f>
        <v/>
      </c>
    </row>
    <row r="598">
      <c r="AR598" s="31">
        <f>IF(OR($A$5="",$B$6="",ROW()&lt;$A$5),"",IF(INDEX($A:$AP,ROW(),$B$6)="","",INDEX($A:$AP,ROW(),$B$6)))</f>
        <v/>
      </c>
      <c r="AS598" s="32">
        <f>IF($AR598="","",IF(ISNUMBER($AR598),IF($AR598&gt;=10000000,IFERROR(DATE(INT($AR598/10000),MOD(INT($AR598/100),100),MOD($AR598,100)),""),INT($AR598)),IFERROR(DATE(--LEFT(LEFT(SUBSTITUTE(SUBSTITUTE(SUBSTITUTE(SUBSTITUTE(TRIM($AR598),"-",""),".",""),"/","")," ",""),8),4),--MID(LEFT(SUBSTITUTE(SUBSTITUTE(SUBSTITUTE(SUBSTITUTE(TRIM($AR598),"-",""),".",""),"/","")," ",""),8),5,2),--MID(LEFT(SUBSTITUTE(SUBSTITUTE(SUBSTITUTE(SUBSTITUTE(TRIM($AR598),"-",""),".",""),"/","")," ",""),8),7,2)),"")))</f>
        <v/>
      </c>
      <c r="AT598" s="33">
        <f>IF($AS598="","",IF($F$6="",0,IF(ISNUMBER(INDEX($A:$AP,ROW(),$F$6)),INDEX($A:$AP,ROW(),$F$6),IFERROR(--SUBSTITUTE(SUBSTITUTE(TRIM(INDEX($A:$AP,ROW(),$F$6)),",",""),"원",""),0))))</f>
        <v/>
      </c>
      <c r="AU598" s="31">
        <f>IF($AS598="","",IF($AX598&lt;&gt;"",SUBSTITUTE(SUBSTITUTE($AX598,"-","")," ",""),"N:"&amp;$AV598))</f>
        <v/>
      </c>
      <c r="AV598" s="31">
        <f>IF(OR($AS598="",$E$6=""),"",TRIM(INDEX($A:$AP,ROW(),$E$6)&amp;""))</f>
        <v/>
      </c>
      <c r="AW598" s="31">
        <f>IF($AU598="","",IF(MATCH($AU598,$AU$8:$AU$2007,0)=ROW()-7,MAX($AW$7:$AW597)+1,""))</f>
        <v/>
      </c>
      <c r="AX598" s="31">
        <f>IF(OR($AS598="",$D$6=""),"",TRIM(INDEX($A:$AP,ROW(),$D$6)&amp;""))</f>
        <v/>
      </c>
      <c r="AY598" s="31">
        <f>IF($AU598="","",INDEX($AW$8:$AW$2007,MATCH($AU598,$AU$8:$AU$2007,0)))</f>
        <v/>
      </c>
      <c r="AZ598" s="31">
        <f>IF(OR($AS598="",$C$6=""),"",TRIM(INDEX($A:$AP,ROW(),$C$6)&amp;""))</f>
        <v/>
      </c>
      <c r="BA598" s="31">
        <f>IF($AZ598="","",IF(COUNTIF($AZ$8:$AZ598,$AZ598)&gt;1,1,0))</f>
        <v/>
      </c>
    </row>
    <row r="599">
      <c r="AR599" s="31">
        <f>IF(OR($A$5="",$B$6="",ROW()&lt;$A$5),"",IF(INDEX($A:$AP,ROW(),$B$6)="","",INDEX($A:$AP,ROW(),$B$6)))</f>
        <v/>
      </c>
      <c r="AS599" s="32">
        <f>IF($AR599="","",IF(ISNUMBER($AR599),IF($AR599&gt;=10000000,IFERROR(DATE(INT($AR599/10000),MOD(INT($AR599/100),100),MOD($AR599,100)),""),INT($AR599)),IFERROR(DATE(--LEFT(LEFT(SUBSTITUTE(SUBSTITUTE(SUBSTITUTE(SUBSTITUTE(TRIM($AR599),"-",""),".",""),"/","")," ",""),8),4),--MID(LEFT(SUBSTITUTE(SUBSTITUTE(SUBSTITUTE(SUBSTITUTE(TRIM($AR599),"-",""),".",""),"/","")," ",""),8),5,2),--MID(LEFT(SUBSTITUTE(SUBSTITUTE(SUBSTITUTE(SUBSTITUTE(TRIM($AR599),"-",""),".",""),"/","")," ",""),8),7,2)),"")))</f>
        <v/>
      </c>
      <c r="AT599" s="33">
        <f>IF($AS599="","",IF($F$6="",0,IF(ISNUMBER(INDEX($A:$AP,ROW(),$F$6)),INDEX($A:$AP,ROW(),$F$6),IFERROR(--SUBSTITUTE(SUBSTITUTE(TRIM(INDEX($A:$AP,ROW(),$F$6)),",",""),"원",""),0))))</f>
        <v/>
      </c>
      <c r="AU599" s="31">
        <f>IF($AS599="","",IF($AX599&lt;&gt;"",SUBSTITUTE(SUBSTITUTE($AX599,"-","")," ",""),"N:"&amp;$AV599))</f>
        <v/>
      </c>
      <c r="AV599" s="31">
        <f>IF(OR($AS599="",$E$6=""),"",TRIM(INDEX($A:$AP,ROW(),$E$6)&amp;""))</f>
        <v/>
      </c>
      <c r="AW599" s="31">
        <f>IF($AU599="","",IF(MATCH($AU599,$AU$8:$AU$2007,0)=ROW()-7,MAX($AW$7:$AW598)+1,""))</f>
        <v/>
      </c>
      <c r="AX599" s="31">
        <f>IF(OR($AS599="",$D$6=""),"",TRIM(INDEX($A:$AP,ROW(),$D$6)&amp;""))</f>
        <v/>
      </c>
      <c r="AY599" s="31">
        <f>IF($AU599="","",INDEX($AW$8:$AW$2007,MATCH($AU599,$AU$8:$AU$2007,0)))</f>
        <v/>
      </c>
      <c r="AZ599" s="31">
        <f>IF(OR($AS599="",$C$6=""),"",TRIM(INDEX($A:$AP,ROW(),$C$6)&amp;""))</f>
        <v/>
      </c>
      <c r="BA599" s="31">
        <f>IF($AZ599="","",IF(COUNTIF($AZ$8:$AZ599,$AZ599)&gt;1,1,0))</f>
        <v/>
      </c>
    </row>
    <row r="600">
      <c r="AR600" s="31">
        <f>IF(OR($A$5="",$B$6="",ROW()&lt;$A$5),"",IF(INDEX($A:$AP,ROW(),$B$6)="","",INDEX($A:$AP,ROW(),$B$6)))</f>
        <v/>
      </c>
      <c r="AS600" s="32">
        <f>IF($AR600="","",IF(ISNUMBER($AR600),IF($AR600&gt;=10000000,IFERROR(DATE(INT($AR600/10000),MOD(INT($AR600/100),100),MOD($AR600,100)),""),INT($AR600)),IFERROR(DATE(--LEFT(LEFT(SUBSTITUTE(SUBSTITUTE(SUBSTITUTE(SUBSTITUTE(TRIM($AR600),"-",""),".",""),"/","")," ",""),8),4),--MID(LEFT(SUBSTITUTE(SUBSTITUTE(SUBSTITUTE(SUBSTITUTE(TRIM($AR600),"-",""),".",""),"/","")," ",""),8),5,2),--MID(LEFT(SUBSTITUTE(SUBSTITUTE(SUBSTITUTE(SUBSTITUTE(TRIM($AR600),"-",""),".",""),"/","")," ",""),8),7,2)),"")))</f>
        <v/>
      </c>
      <c r="AT600" s="33">
        <f>IF($AS600="","",IF($F$6="",0,IF(ISNUMBER(INDEX($A:$AP,ROW(),$F$6)),INDEX($A:$AP,ROW(),$F$6),IFERROR(--SUBSTITUTE(SUBSTITUTE(TRIM(INDEX($A:$AP,ROW(),$F$6)),",",""),"원",""),0))))</f>
        <v/>
      </c>
      <c r="AU600" s="31">
        <f>IF($AS600="","",IF($AX600&lt;&gt;"",SUBSTITUTE(SUBSTITUTE($AX600,"-","")," ",""),"N:"&amp;$AV600))</f>
        <v/>
      </c>
      <c r="AV600" s="31">
        <f>IF(OR($AS600="",$E$6=""),"",TRIM(INDEX($A:$AP,ROW(),$E$6)&amp;""))</f>
        <v/>
      </c>
      <c r="AW600" s="31">
        <f>IF($AU600="","",IF(MATCH($AU600,$AU$8:$AU$2007,0)=ROW()-7,MAX($AW$7:$AW599)+1,""))</f>
        <v/>
      </c>
      <c r="AX600" s="31">
        <f>IF(OR($AS600="",$D$6=""),"",TRIM(INDEX($A:$AP,ROW(),$D$6)&amp;""))</f>
        <v/>
      </c>
      <c r="AY600" s="31">
        <f>IF($AU600="","",INDEX($AW$8:$AW$2007,MATCH($AU600,$AU$8:$AU$2007,0)))</f>
        <v/>
      </c>
      <c r="AZ600" s="31">
        <f>IF(OR($AS600="",$C$6=""),"",TRIM(INDEX($A:$AP,ROW(),$C$6)&amp;""))</f>
        <v/>
      </c>
      <c r="BA600" s="31">
        <f>IF($AZ600="","",IF(COUNTIF($AZ$8:$AZ600,$AZ600)&gt;1,1,0))</f>
        <v/>
      </c>
    </row>
    <row r="601">
      <c r="AR601" s="31">
        <f>IF(OR($A$5="",$B$6="",ROW()&lt;$A$5),"",IF(INDEX($A:$AP,ROW(),$B$6)="","",INDEX($A:$AP,ROW(),$B$6)))</f>
        <v/>
      </c>
      <c r="AS601" s="32">
        <f>IF($AR601="","",IF(ISNUMBER($AR601),IF($AR601&gt;=10000000,IFERROR(DATE(INT($AR601/10000),MOD(INT($AR601/100),100),MOD($AR601,100)),""),INT($AR601)),IFERROR(DATE(--LEFT(LEFT(SUBSTITUTE(SUBSTITUTE(SUBSTITUTE(SUBSTITUTE(TRIM($AR601),"-",""),".",""),"/","")," ",""),8),4),--MID(LEFT(SUBSTITUTE(SUBSTITUTE(SUBSTITUTE(SUBSTITUTE(TRIM($AR601),"-",""),".",""),"/","")," ",""),8),5,2),--MID(LEFT(SUBSTITUTE(SUBSTITUTE(SUBSTITUTE(SUBSTITUTE(TRIM($AR601),"-",""),".",""),"/","")," ",""),8),7,2)),"")))</f>
        <v/>
      </c>
      <c r="AT601" s="33">
        <f>IF($AS601="","",IF($F$6="",0,IF(ISNUMBER(INDEX($A:$AP,ROW(),$F$6)),INDEX($A:$AP,ROW(),$F$6),IFERROR(--SUBSTITUTE(SUBSTITUTE(TRIM(INDEX($A:$AP,ROW(),$F$6)),",",""),"원",""),0))))</f>
        <v/>
      </c>
      <c r="AU601" s="31">
        <f>IF($AS601="","",IF($AX601&lt;&gt;"",SUBSTITUTE(SUBSTITUTE($AX601,"-","")," ",""),"N:"&amp;$AV601))</f>
        <v/>
      </c>
      <c r="AV601" s="31">
        <f>IF(OR($AS601="",$E$6=""),"",TRIM(INDEX($A:$AP,ROW(),$E$6)&amp;""))</f>
        <v/>
      </c>
      <c r="AW601" s="31">
        <f>IF($AU601="","",IF(MATCH($AU601,$AU$8:$AU$2007,0)=ROW()-7,MAX($AW$7:$AW600)+1,""))</f>
        <v/>
      </c>
      <c r="AX601" s="31">
        <f>IF(OR($AS601="",$D$6=""),"",TRIM(INDEX($A:$AP,ROW(),$D$6)&amp;""))</f>
        <v/>
      </c>
      <c r="AY601" s="31">
        <f>IF($AU601="","",INDEX($AW$8:$AW$2007,MATCH($AU601,$AU$8:$AU$2007,0)))</f>
        <v/>
      </c>
      <c r="AZ601" s="31">
        <f>IF(OR($AS601="",$C$6=""),"",TRIM(INDEX($A:$AP,ROW(),$C$6)&amp;""))</f>
        <v/>
      </c>
      <c r="BA601" s="31">
        <f>IF($AZ601="","",IF(COUNTIF($AZ$8:$AZ601,$AZ601)&gt;1,1,0))</f>
        <v/>
      </c>
    </row>
    <row r="602">
      <c r="AR602" s="31">
        <f>IF(OR($A$5="",$B$6="",ROW()&lt;$A$5),"",IF(INDEX($A:$AP,ROW(),$B$6)="","",INDEX($A:$AP,ROW(),$B$6)))</f>
        <v/>
      </c>
      <c r="AS602" s="32">
        <f>IF($AR602="","",IF(ISNUMBER($AR602),IF($AR602&gt;=10000000,IFERROR(DATE(INT($AR602/10000),MOD(INT($AR602/100),100),MOD($AR602,100)),""),INT($AR602)),IFERROR(DATE(--LEFT(LEFT(SUBSTITUTE(SUBSTITUTE(SUBSTITUTE(SUBSTITUTE(TRIM($AR602),"-",""),".",""),"/","")," ",""),8),4),--MID(LEFT(SUBSTITUTE(SUBSTITUTE(SUBSTITUTE(SUBSTITUTE(TRIM($AR602),"-",""),".",""),"/","")," ",""),8),5,2),--MID(LEFT(SUBSTITUTE(SUBSTITUTE(SUBSTITUTE(SUBSTITUTE(TRIM($AR602),"-",""),".",""),"/","")," ",""),8),7,2)),"")))</f>
        <v/>
      </c>
      <c r="AT602" s="33">
        <f>IF($AS602="","",IF($F$6="",0,IF(ISNUMBER(INDEX($A:$AP,ROW(),$F$6)),INDEX($A:$AP,ROW(),$F$6),IFERROR(--SUBSTITUTE(SUBSTITUTE(TRIM(INDEX($A:$AP,ROW(),$F$6)),",",""),"원",""),0))))</f>
        <v/>
      </c>
      <c r="AU602" s="31">
        <f>IF($AS602="","",IF($AX602&lt;&gt;"",SUBSTITUTE(SUBSTITUTE($AX602,"-","")," ",""),"N:"&amp;$AV602))</f>
        <v/>
      </c>
      <c r="AV602" s="31">
        <f>IF(OR($AS602="",$E$6=""),"",TRIM(INDEX($A:$AP,ROW(),$E$6)&amp;""))</f>
        <v/>
      </c>
      <c r="AW602" s="31">
        <f>IF($AU602="","",IF(MATCH($AU602,$AU$8:$AU$2007,0)=ROW()-7,MAX($AW$7:$AW601)+1,""))</f>
        <v/>
      </c>
      <c r="AX602" s="31">
        <f>IF(OR($AS602="",$D$6=""),"",TRIM(INDEX($A:$AP,ROW(),$D$6)&amp;""))</f>
        <v/>
      </c>
      <c r="AY602" s="31">
        <f>IF($AU602="","",INDEX($AW$8:$AW$2007,MATCH($AU602,$AU$8:$AU$2007,0)))</f>
        <v/>
      </c>
      <c r="AZ602" s="31">
        <f>IF(OR($AS602="",$C$6=""),"",TRIM(INDEX($A:$AP,ROW(),$C$6)&amp;""))</f>
        <v/>
      </c>
      <c r="BA602" s="31">
        <f>IF($AZ602="","",IF(COUNTIF($AZ$8:$AZ602,$AZ602)&gt;1,1,0))</f>
        <v/>
      </c>
    </row>
    <row r="603">
      <c r="AR603" s="31">
        <f>IF(OR($A$5="",$B$6="",ROW()&lt;$A$5),"",IF(INDEX($A:$AP,ROW(),$B$6)="","",INDEX($A:$AP,ROW(),$B$6)))</f>
        <v/>
      </c>
      <c r="AS603" s="32">
        <f>IF($AR603="","",IF(ISNUMBER($AR603),IF($AR603&gt;=10000000,IFERROR(DATE(INT($AR603/10000),MOD(INT($AR603/100),100),MOD($AR603,100)),""),INT($AR603)),IFERROR(DATE(--LEFT(LEFT(SUBSTITUTE(SUBSTITUTE(SUBSTITUTE(SUBSTITUTE(TRIM($AR603),"-",""),".",""),"/","")," ",""),8),4),--MID(LEFT(SUBSTITUTE(SUBSTITUTE(SUBSTITUTE(SUBSTITUTE(TRIM($AR603),"-",""),".",""),"/","")," ",""),8),5,2),--MID(LEFT(SUBSTITUTE(SUBSTITUTE(SUBSTITUTE(SUBSTITUTE(TRIM($AR603),"-",""),".",""),"/","")," ",""),8),7,2)),"")))</f>
        <v/>
      </c>
      <c r="AT603" s="33">
        <f>IF($AS603="","",IF($F$6="",0,IF(ISNUMBER(INDEX($A:$AP,ROW(),$F$6)),INDEX($A:$AP,ROW(),$F$6),IFERROR(--SUBSTITUTE(SUBSTITUTE(TRIM(INDEX($A:$AP,ROW(),$F$6)),",",""),"원",""),0))))</f>
        <v/>
      </c>
      <c r="AU603" s="31">
        <f>IF($AS603="","",IF($AX603&lt;&gt;"",SUBSTITUTE(SUBSTITUTE($AX603,"-","")," ",""),"N:"&amp;$AV603))</f>
        <v/>
      </c>
      <c r="AV603" s="31">
        <f>IF(OR($AS603="",$E$6=""),"",TRIM(INDEX($A:$AP,ROW(),$E$6)&amp;""))</f>
        <v/>
      </c>
      <c r="AW603" s="31">
        <f>IF($AU603="","",IF(MATCH($AU603,$AU$8:$AU$2007,0)=ROW()-7,MAX($AW$7:$AW602)+1,""))</f>
        <v/>
      </c>
      <c r="AX603" s="31">
        <f>IF(OR($AS603="",$D$6=""),"",TRIM(INDEX($A:$AP,ROW(),$D$6)&amp;""))</f>
        <v/>
      </c>
      <c r="AY603" s="31">
        <f>IF($AU603="","",INDEX($AW$8:$AW$2007,MATCH($AU603,$AU$8:$AU$2007,0)))</f>
        <v/>
      </c>
      <c r="AZ603" s="31">
        <f>IF(OR($AS603="",$C$6=""),"",TRIM(INDEX($A:$AP,ROW(),$C$6)&amp;""))</f>
        <v/>
      </c>
      <c r="BA603" s="31">
        <f>IF($AZ603="","",IF(COUNTIF($AZ$8:$AZ603,$AZ603)&gt;1,1,0))</f>
        <v/>
      </c>
    </row>
    <row r="604">
      <c r="AR604" s="31">
        <f>IF(OR($A$5="",$B$6="",ROW()&lt;$A$5),"",IF(INDEX($A:$AP,ROW(),$B$6)="","",INDEX($A:$AP,ROW(),$B$6)))</f>
        <v/>
      </c>
      <c r="AS604" s="32">
        <f>IF($AR604="","",IF(ISNUMBER($AR604),IF($AR604&gt;=10000000,IFERROR(DATE(INT($AR604/10000),MOD(INT($AR604/100),100),MOD($AR604,100)),""),INT($AR604)),IFERROR(DATE(--LEFT(LEFT(SUBSTITUTE(SUBSTITUTE(SUBSTITUTE(SUBSTITUTE(TRIM($AR604),"-",""),".",""),"/","")," ",""),8),4),--MID(LEFT(SUBSTITUTE(SUBSTITUTE(SUBSTITUTE(SUBSTITUTE(TRIM($AR604),"-",""),".",""),"/","")," ",""),8),5,2),--MID(LEFT(SUBSTITUTE(SUBSTITUTE(SUBSTITUTE(SUBSTITUTE(TRIM($AR604),"-",""),".",""),"/","")," ",""),8),7,2)),"")))</f>
        <v/>
      </c>
      <c r="AT604" s="33">
        <f>IF($AS604="","",IF($F$6="",0,IF(ISNUMBER(INDEX($A:$AP,ROW(),$F$6)),INDEX($A:$AP,ROW(),$F$6),IFERROR(--SUBSTITUTE(SUBSTITUTE(TRIM(INDEX($A:$AP,ROW(),$F$6)),",",""),"원",""),0))))</f>
        <v/>
      </c>
      <c r="AU604" s="31">
        <f>IF($AS604="","",IF($AX604&lt;&gt;"",SUBSTITUTE(SUBSTITUTE($AX604,"-","")," ",""),"N:"&amp;$AV604))</f>
        <v/>
      </c>
      <c r="AV604" s="31">
        <f>IF(OR($AS604="",$E$6=""),"",TRIM(INDEX($A:$AP,ROW(),$E$6)&amp;""))</f>
        <v/>
      </c>
      <c r="AW604" s="31">
        <f>IF($AU604="","",IF(MATCH($AU604,$AU$8:$AU$2007,0)=ROW()-7,MAX($AW$7:$AW603)+1,""))</f>
        <v/>
      </c>
      <c r="AX604" s="31">
        <f>IF(OR($AS604="",$D$6=""),"",TRIM(INDEX($A:$AP,ROW(),$D$6)&amp;""))</f>
        <v/>
      </c>
      <c r="AY604" s="31">
        <f>IF($AU604="","",INDEX($AW$8:$AW$2007,MATCH($AU604,$AU$8:$AU$2007,0)))</f>
        <v/>
      </c>
      <c r="AZ604" s="31">
        <f>IF(OR($AS604="",$C$6=""),"",TRIM(INDEX($A:$AP,ROW(),$C$6)&amp;""))</f>
        <v/>
      </c>
      <c r="BA604" s="31">
        <f>IF($AZ604="","",IF(COUNTIF($AZ$8:$AZ604,$AZ604)&gt;1,1,0))</f>
        <v/>
      </c>
    </row>
    <row r="605">
      <c r="AR605" s="31">
        <f>IF(OR($A$5="",$B$6="",ROW()&lt;$A$5),"",IF(INDEX($A:$AP,ROW(),$B$6)="","",INDEX($A:$AP,ROW(),$B$6)))</f>
        <v/>
      </c>
      <c r="AS605" s="32">
        <f>IF($AR605="","",IF(ISNUMBER($AR605),IF($AR605&gt;=10000000,IFERROR(DATE(INT($AR605/10000),MOD(INT($AR605/100),100),MOD($AR605,100)),""),INT($AR605)),IFERROR(DATE(--LEFT(LEFT(SUBSTITUTE(SUBSTITUTE(SUBSTITUTE(SUBSTITUTE(TRIM($AR605),"-",""),".",""),"/","")," ",""),8),4),--MID(LEFT(SUBSTITUTE(SUBSTITUTE(SUBSTITUTE(SUBSTITUTE(TRIM($AR605),"-",""),".",""),"/","")," ",""),8),5,2),--MID(LEFT(SUBSTITUTE(SUBSTITUTE(SUBSTITUTE(SUBSTITUTE(TRIM($AR605),"-",""),".",""),"/","")," ",""),8),7,2)),"")))</f>
        <v/>
      </c>
      <c r="AT605" s="33">
        <f>IF($AS605="","",IF($F$6="",0,IF(ISNUMBER(INDEX($A:$AP,ROW(),$F$6)),INDEX($A:$AP,ROW(),$F$6),IFERROR(--SUBSTITUTE(SUBSTITUTE(TRIM(INDEX($A:$AP,ROW(),$F$6)),",",""),"원",""),0))))</f>
        <v/>
      </c>
      <c r="AU605" s="31">
        <f>IF($AS605="","",IF($AX605&lt;&gt;"",SUBSTITUTE(SUBSTITUTE($AX605,"-","")," ",""),"N:"&amp;$AV605))</f>
        <v/>
      </c>
      <c r="AV605" s="31">
        <f>IF(OR($AS605="",$E$6=""),"",TRIM(INDEX($A:$AP,ROW(),$E$6)&amp;""))</f>
        <v/>
      </c>
      <c r="AW605" s="31">
        <f>IF($AU605="","",IF(MATCH($AU605,$AU$8:$AU$2007,0)=ROW()-7,MAX($AW$7:$AW604)+1,""))</f>
        <v/>
      </c>
      <c r="AX605" s="31">
        <f>IF(OR($AS605="",$D$6=""),"",TRIM(INDEX($A:$AP,ROW(),$D$6)&amp;""))</f>
        <v/>
      </c>
      <c r="AY605" s="31">
        <f>IF($AU605="","",INDEX($AW$8:$AW$2007,MATCH($AU605,$AU$8:$AU$2007,0)))</f>
        <v/>
      </c>
      <c r="AZ605" s="31">
        <f>IF(OR($AS605="",$C$6=""),"",TRIM(INDEX($A:$AP,ROW(),$C$6)&amp;""))</f>
        <v/>
      </c>
      <c r="BA605" s="31">
        <f>IF($AZ605="","",IF(COUNTIF($AZ$8:$AZ605,$AZ605)&gt;1,1,0))</f>
        <v/>
      </c>
    </row>
    <row r="606">
      <c r="AR606" s="31">
        <f>IF(OR($A$5="",$B$6="",ROW()&lt;$A$5),"",IF(INDEX($A:$AP,ROW(),$B$6)="","",INDEX($A:$AP,ROW(),$B$6)))</f>
        <v/>
      </c>
      <c r="AS606" s="32">
        <f>IF($AR606="","",IF(ISNUMBER($AR606),IF($AR606&gt;=10000000,IFERROR(DATE(INT($AR606/10000),MOD(INT($AR606/100),100),MOD($AR606,100)),""),INT($AR606)),IFERROR(DATE(--LEFT(LEFT(SUBSTITUTE(SUBSTITUTE(SUBSTITUTE(SUBSTITUTE(TRIM($AR606),"-",""),".",""),"/","")," ",""),8),4),--MID(LEFT(SUBSTITUTE(SUBSTITUTE(SUBSTITUTE(SUBSTITUTE(TRIM($AR606),"-",""),".",""),"/","")," ",""),8),5,2),--MID(LEFT(SUBSTITUTE(SUBSTITUTE(SUBSTITUTE(SUBSTITUTE(TRIM($AR606),"-",""),".",""),"/","")," ",""),8),7,2)),"")))</f>
        <v/>
      </c>
      <c r="AT606" s="33">
        <f>IF($AS606="","",IF($F$6="",0,IF(ISNUMBER(INDEX($A:$AP,ROW(),$F$6)),INDEX($A:$AP,ROW(),$F$6),IFERROR(--SUBSTITUTE(SUBSTITUTE(TRIM(INDEX($A:$AP,ROW(),$F$6)),",",""),"원",""),0))))</f>
        <v/>
      </c>
      <c r="AU606" s="31">
        <f>IF($AS606="","",IF($AX606&lt;&gt;"",SUBSTITUTE(SUBSTITUTE($AX606,"-","")," ",""),"N:"&amp;$AV606))</f>
        <v/>
      </c>
      <c r="AV606" s="31">
        <f>IF(OR($AS606="",$E$6=""),"",TRIM(INDEX($A:$AP,ROW(),$E$6)&amp;""))</f>
        <v/>
      </c>
      <c r="AW606" s="31">
        <f>IF($AU606="","",IF(MATCH($AU606,$AU$8:$AU$2007,0)=ROW()-7,MAX($AW$7:$AW605)+1,""))</f>
        <v/>
      </c>
      <c r="AX606" s="31">
        <f>IF(OR($AS606="",$D$6=""),"",TRIM(INDEX($A:$AP,ROW(),$D$6)&amp;""))</f>
        <v/>
      </c>
      <c r="AY606" s="31">
        <f>IF($AU606="","",INDEX($AW$8:$AW$2007,MATCH($AU606,$AU$8:$AU$2007,0)))</f>
        <v/>
      </c>
      <c r="AZ606" s="31">
        <f>IF(OR($AS606="",$C$6=""),"",TRIM(INDEX($A:$AP,ROW(),$C$6)&amp;""))</f>
        <v/>
      </c>
      <c r="BA606" s="31">
        <f>IF($AZ606="","",IF(COUNTIF($AZ$8:$AZ606,$AZ606)&gt;1,1,0))</f>
        <v/>
      </c>
    </row>
    <row r="607">
      <c r="AR607" s="31">
        <f>IF(OR($A$5="",$B$6="",ROW()&lt;$A$5),"",IF(INDEX($A:$AP,ROW(),$B$6)="","",INDEX($A:$AP,ROW(),$B$6)))</f>
        <v/>
      </c>
      <c r="AS607" s="32">
        <f>IF($AR607="","",IF(ISNUMBER($AR607),IF($AR607&gt;=10000000,IFERROR(DATE(INT($AR607/10000),MOD(INT($AR607/100),100),MOD($AR607,100)),""),INT($AR607)),IFERROR(DATE(--LEFT(LEFT(SUBSTITUTE(SUBSTITUTE(SUBSTITUTE(SUBSTITUTE(TRIM($AR607),"-",""),".",""),"/","")," ",""),8),4),--MID(LEFT(SUBSTITUTE(SUBSTITUTE(SUBSTITUTE(SUBSTITUTE(TRIM($AR607),"-",""),".",""),"/","")," ",""),8),5,2),--MID(LEFT(SUBSTITUTE(SUBSTITUTE(SUBSTITUTE(SUBSTITUTE(TRIM($AR607),"-",""),".",""),"/","")," ",""),8),7,2)),"")))</f>
        <v/>
      </c>
      <c r="AT607" s="33">
        <f>IF($AS607="","",IF($F$6="",0,IF(ISNUMBER(INDEX($A:$AP,ROW(),$F$6)),INDEX($A:$AP,ROW(),$F$6),IFERROR(--SUBSTITUTE(SUBSTITUTE(TRIM(INDEX($A:$AP,ROW(),$F$6)),",",""),"원",""),0))))</f>
        <v/>
      </c>
      <c r="AU607" s="31">
        <f>IF($AS607="","",IF($AX607&lt;&gt;"",SUBSTITUTE(SUBSTITUTE($AX607,"-","")," ",""),"N:"&amp;$AV607))</f>
        <v/>
      </c>
      <c r="AV607" s="31">
        <f>IF(OR($AS607="",$E$6=""),"",TRIM(INDEX($A:$AP,ROW(),$E$6)&amp;""))</f>
        <v/>
      </c>
      <c r="AW607" s="31">
        <f>IF($AU607="","",IF(MATCH($AU607,$AU$8:$AU$2007,0)=ROW()-7,MAX($AW$7:$AW606)+1,""))</f>
        <v/>
      </c>
      <c r="AX607" s="31">
        <f>IF(OR($AS607="",$D$6=""),"",TRIM(INDEX($A:$AP,ROW(),$D$6)&amp;""))</f>
        <v/>
      </c>
      <c r="AY607" s="31">
        <f>IF($AU607="","",INDEX($AW$8:$AW$2007,MATCH($AU607,$AU$8:$AU$2007,0)))</f>
        <v/>
      </c>
      <c r="AZ607" s="31">
        <f>IF(OR($AS607="",$C$6=""),"",TRIM(INDEX($A:$AP,ROW(),$C$6)&amp;""))</f>
        <v/>
      </c>
      <c r="BA607" s="31">
        <f>IF($AZ607="","",IF(COUNTIF($AZ$8:$AZ607,$AZ607)&gt;1,1,0))</f>
        <v/>
      </c>
    </row>
    <row r="608">
      <c r="AR608" s="31">
        <f>IF(OR($A$5="",$B$6="",ROW()&lt;$A$5),"",IF(INDEX($A:$AP,ROW(),$B$6)="","",INDEX($A:$AP,ROW(),$B$6)))</f>
        <v/>
      </c>
      <c r="AS608" s="32">
        <f>IF($AR608="","",IF(ISNUMBER($AR608),IF($AR608&gt;=10000000,IFERROR(DATE(INT($AR608/10000),MOD(INT($AR608/100),100),MOD($AR608,100)),""),INT($AR608)),IFERROR(DATE(--LEFT(LEFT(SUBSTITUTE(SUBSTITUTE(SUBSTITUTE(SUBSTITUTE(TRIM($AR608),"-",""),".",""),"/","")," ",""),8),4),--MID(LEFT(SUBSTITUTE(SUBSTITUTE(SUBSTITUTE(SUBSTITUTE(TRIM($AR608),"-",""),".",""),"/","")," ",""),8),5,2),--MID(LEFT(SUBSTITUTE(SUBSTITUTE(SUBSTITUTE(SUBSTITUTE(TRIM($AR608),"-",""),".",""),"/","")," ",""),8),7,2)),"")))</f>
        <v/>
      </c>
      <c r="AT608" s="33">
        <f>IF($AS608="","",IF($F$6="",0,IF(ISNUMBER(INDEX($A:$AP,ROW(),$F$6)),INDEX($A:$AP,ROW(),$F$6),IFERROR(--SUBSTITUTE(SUBSTITUTE(TRIM(INDEX($A:$AP,ROW(),$F$6)),",",""),"원",""),0))))</f>
        <v/>
      </c>
      <c r="AU608" s="31">
        <f>IF($AS608="","",IF($AX608&lt;&gt;"",SUBSTITUTE(SUBSTITUTE($AX608,"-","")," ",""),"N:"&amp;$AV608))</f>
        <v/>
      </c>
      <c r="AV608" s="31">
        <f>IF(OR($AS608="",$E$6=""),"",TRIM(INDEX($A:$AP,ROW(),$E$6)&amp;""))</f>
        <v/>
      </c>
      <c r="AW608" s="31">
        <f>IF($AU608="","",IF(MATCH($AU608,$AU$8:$AU$2007,0)=ROW()-7,MAX($AW$7:$AW607)+1,""))</f>
        <v/>
      </c>
      <c r="AX608" s="31">
        <f>IF(OR($AS608="",$D$6=""),"",TRIM(INDEX($A:$AP,ROW(),$D$6)&amp;""))</f>
        <v/>
      </c>
      <c r="AY608" s="31">
        <f>IF($AU608="","",INDEX($AW$8:$AW$2007,MATCH($AU608,$AU$8:$AU$2007,0)))</f>
        <v/>
      </c>
      <c r="AZ608" s="31">
        <f>IF(OR($AS608="",$C$6=""),"",TRIM(INDEX($A:$AP,ROW(),$C$6)&amp;""))</f>
        <v/>
      </c>
      <c r="BA608" s="31">
        <f>IF($AZ608="","",IF(COUNTIF($AZ$8:$AZ608,$AZ608)&gt;1,1,0))</f>
        <v/>
      </c>
    </row>
    <row r="609">
      <c r="AR609" s="31">
        <f>IF(OR($A$5="",$B$6="",ROW()&lt;$A$5),"",IF(INDEX($A:$AP,ROW(),$B$6)="","",INDEX($A:$AP,ROW(),$B$6)))</f>
        <v/>
      </c>
      <c r="AS609" s="32">
        <f>IF($AR609="","",IF(ISNUMBER($AR609),IF($AR609&gt;=10000000,IFERROR(DATE(INT($AR609/10000),MOD(INT($AR609/100),100),MOD($AR609,100)),""),INT($AR609)),IFERROR(DATE(--LEFT(LEFT(SUBSTITUTE(SUBSTITUTE(SUBSTITUTE(SUBSTITUTE(TRIM($AR609),"-",""),".",""),"/","")," ",""),8),4),--MID(LEFT(SUBSTITUTE(SUBSTITUTE(SUBSTITUTE(SUBSTITUTE(TRIM($AR609),"-",""),".",""),"/","")," ",""),8),5,2),--MID(LEFT(SUBSTITUTE(SUBSTITUTE(SUBSTITUTE(SUBSTITUTE(TRIM($AR609),"-",""),".",""),"/","")," ",""),8),7,2)),"")))</f>
        <v/>
      </c>
      <c r="AT609" s="33">
        <f>IF($AS609="","",IF($F$6="",0,IF(ISNUMBER(INDEX($A:$AP,ROW(),$F$6)),INDEX($A:$AP,ROW(),$F$6),IFERROR(--SUBSTITUTE(SUBSTITUTE(TRIM(INDEX($A:$AP,ROW(),$F$6)),",",""),"원",""),0))))</f>
        <v/>
      </c>
      <c r="AU609" s="31">
        <f>IF($AS609="","",IF($AX609&lt;&gt;"",SUBSTITUTE(SUBSTITUTE($AX609,"-","")," ",""),"N:"&amp;$AV609))</f>
        <v/>
      </c>
      <c r="AV609" s="31">
        <f>IF(OR($AS609="",$E$6=""),"",TRIM(INDEX($A:$AP,ROW(),$E$6)&amp;""))</f>
        <v/>
      </c>
      <c r="AW609" s="31">
        <f>IF($AU609="","",IF(MATCH($AU609,$AU$8:$AU$2007,0)=ROW()-7,MAX($AW$7:$AW608)+1,""))</f>
        <v/>
      </c>
      <c r="AX609" s="31">
        <f>IF(OR($AS609="",$D$6=""),"",TRIM(INDEX($A:$AP,ROW(),$D$6)&amp;""))</f>
        <v/>
      </c>
      <c r="AY609" s="31">
        <f>IF($AU609="","",INDEX($AW$8:$AW$2007,MATCH($AU609,$AU$8:$AU$2007,0)))</f>
        <v/>
      </c>
      <c r="AZ609" s="31">
        <f>IF(OR($AS609="",$C$6=""),"",TRIM(INDEX($A:$AP,ROW(),$C$6)&amp;""))</f>
        <v/>
      </c>
      <c r="BA609" s="31">
        <f>IF($AZ609="","",IF(COUNTIF($AZ$8:$AZ609,$AZ609)&gt;1,1,0))</f>
        <v/>
      </c>
    </row>
    <row r="610">
      <c r="AR610" s="31">
        <f>IF(OR($A$5="",$B$6="",ROW()&lt;$A$5),"",IF(INDEX($A:$AP,ROW(),$B$6)="","",INDEX($A:$AP,ROW(),$B$6)))</f>
        <v/>
      </c>
      <c r="AS610" s="32">
        <f>IF($AR610="","",IF(ISNUMBER($AR610),IF($AR610&gt;=10000000,IFERROR(DATE(INT($AR610/10000),MOD(INT($AR610/100),100),MOD($AR610,100)),""),INT($AR610)),IFERROR(DATE(--LEFT(LEFT(SUBSTITUTE(SUBSTITUTE(SUBSTITUTE(SUBSTITUTE(TRIM($AR610),"-",""),".",""),"/","")," ",""),8),4),--MID(LEFT(SUBSTITUTE(SUBSTITUTE(SUBSTITUTE(SUBSTITUTE(TRIM($AR610),"-",""),".",""),"/","")," ",""),8),5,2),--MID(LEFT(SUBSTITUTE(SUBSTITUTE(SUBSTITUTE(SUBSTITUTE(TRIM($AR610),"-",""),".",""),"/","")," ",""),8),7,2)),"")))</f>
        <v/>
      </c>
      <c r="AT610" s="33">
        <f>IF($AS610="","",IF($F$6="",0,IF(ISNUMBER(INDEX($A:$AP,ROW(),$F$6)),INDEX($A:$AP,ROW(),$F$6),IFERROR(--SUBSTITUTE(SUBSTITUTE(TRIM(INDEX($A:$AP,ROW(),$F$6)),",",""),"원",""),0))))</f>
        <v/>
      </c>
      <c r="AU610" s="31">
        <f>IF($AS610="","",IF($AX610&lt;&gt;"",SUBSTITUTE(SUBSTITUTE($AX610,"-","")," ",""),"N:"&amp;$AV610))</f>
        <v/>
      </c>
      <c r="AV610" s="31">
        <f>IF(OR($AS610="",$E$6=""),"",TRIM(INDEX($A:$AP,ROW(),$E$6)&amp;""))</f>
        <v/>
      </c>
      <c r="AW610" s="31">
        <f>IF($AU610="","",IF(MATCH($AU610,$AU$8:$AU$2007,0)=ROW()-7,MAX($AW$7:$AW609)+1,""))</f>
        <v/>
      </c>
      <c r="AX610" s="31">
        <f>IF(OR($AS610="",$D$6=""),"",TRIM(INDEX($A:$AP,ROW(),$D$6)&amp;""))</f>
        <v/>
      </c>
      <c r="AY610" s="31">
        <f>IF($AU610="","",INDEX($AW$8:$AW$2007,MATCH($AU610,$AU$8:$AU$2007,0)))</f>
        <v/>
      </c>
      <c r="AZ610" s="31">
        <f>IF(OR($AS610="",$C$6=""),"",TRIM(INDEX($A:$AP,ROW(),$C$6)&amp;""))</f>
        <v/>
      </c>
      <c r="BA610" s="31">
        <f>IF($AZ610="","",IF(COUNTIF($AZ$8:$AZ610,$AZ610)&gt;1,1,0))</f>
        <v/>
      </c>
    </row>
    <row r="611">
      <c r="AR611" s="31">
        <f>IF(OR($A$5="",$B$6="",ROW()&lt;$A$5),"",IF(INDEX($A:$AP,ROW(),$B$6)="","",INDEX($A:$AP,ROW(),$B$6)))</f>
        <v/>
      </c>
      <c r="AS611" s="32">
        <f>IF($AR611="","",IF(ISNUMBER($AR611),IF($AR611&gt;=10000000,IFERROR(DATE(INT($AR611/10000),MOD(INT($AR611/100),100),MOD($AR611,100)),""),INT($AR611)),IFERROR(DATE(--LEFT(LEFT(SUBSTITUTE(SUBSTITUTE(SUBSTITUTE(SUBSTITUTE(TRIM($AR611),"-",""),".",""),"/","")," ",""),8),4),--MID(LEFT(SUBSTITUTE(SUBSTITUTE(SUBSTITUTE(SUBSTITUTE(TRIM($AR611),"-",""),".",""),"/","")," ",""),8),5,2),--MID(LEFT(SUBSTITUTE(SUBSTITUTE(SUBSTITUTE(SUBSTITUTE(TRIM($AR611),"-",""),".",""),"/","")," ",""),8),7,2)),"")))</f>
        <v/>
      </c>
      <c r="AT611" s="33">
        <f>IF($AS611="","",IF($F$6="",0,IF(ISNUMBER(INDEX($A:$AP,ROW(),$F$6)),INDEX($A:$AP,ROW(),$F$6),IFERROR(--SUBSTITUTE(SUBSTITUTE(TRIM(INDEX($A:$AP,ROW(),$F$6)),",",""),"원",""),0))))</f>
        <v/>
      </c>
      <c r="AU611" s="31">
        <f>IF($AS611="","",IF($AX611&lt;&gt;"",SUBSTITUTE(SUBSTITUTE($AX611,"-","")," ",""),"N:"&amp;$AV611))</f>
        <v/>
      </c>
      <c r="AV611" s="31">
        <f>IF(OR($AS611="",$E$6=""),"",TRIM(INDEX($A:$AP,ROW(),$E$6)&amp;""))</f>
        <v/>
      </c>
      <c r="AW611" s="31">
        <f>IF($AU611="","",IF(MATCH($AU611,$AU$8:$AU$2007,0)=ROW()-7,MAX($AW$7:$AW610)+1,""))</f>
        <v/>
      </c>
      <c r="AX611" s="31">
        <f>IF(OR($AS611="",$D$6=""),"",TRIM(INDEX($A:$AP,ROW(),$D$6)&amp;""))</f>
        <v/>
      </c>
      <c r="AY611" s="31">
        <f>IF($AU611="","",INDEX($AW$8:$AW$2007,MATCH($AU611,$AU$8:$AU$2007,0)))</f>
        <v/>
      </c>
      <c r="AZ611" s="31">
        <f>IF(OR($AS611="",$C$6=""),"",TRIM(INDEX($A:$AP,ROW(),$C$6)&amp;""))</f>
        <v/>
      </c>
      <c r="BA611" s="31">
        <f>IF($AZ611="","",IF(COUNTIF($AZ$8:$AZ611,$AZ611)&gt;1,1,0))</f>
        <v/>
      </c>
    </row>
    <row r="612">
      <c r="AR612" s="31">
        <f>IF(OR($A$5="",$B$6="",ROW()&lt;$A$5),"",IF(INDEX($A:$AP,ROW(),$B$6)="","",INDEX($A:$AP,ROW(),$B$6)))</f>
        <v/>
      </c>
      <c r="AS612" s="32">
        <f>IF($AR612="","",IF(ISNUMBER($AR612),IF($AR612&gt;=10000000,IFERROR(DATE(INT($AR612/10000),MOD(INT($AR612/100),100),MOD($AR612,100)),""),INT($AR612)),IFERROR(DATE(--LEFT(LEFT(SUBSTITUTE(SUBSTITUTE(SUBSTITUTE(SUBSTITUTE(TRIM($AR612),"-",""),".",""),"/","")," ",""),8),4),--MID(LEFT(SUBSTITUTE(SUBSTITUTE(SUBSTITUTE(SUBSTITUTE(TRIM($AR612),"-",""),".",""),"/","")," ",""),8),5,2),--MID(LEFT(SUBSTITUTE(SUBSTITUTE(SUBSTITUTE(SUBSTITUTE(TRIM($AR612),"-",""),".",""),"/","")," ",""),8),7,2)),"")))</f>
        <v/>
      </c>
      <c r="AT612" s="33">
        <f>IF($AS612="","",IF($F$6="",0,IF(ISNUMBER(INDEX($A:$AP,ROW(),$F$6)),INDEX($A:$AP,ROW(),$F$6),IFERROR(--SUBSTITUTE(SUBSTITUTE(TRIM(INDEX($A:$AP,ROW(),$F$6)),",",""),"원",""),0))))</f>
        <v/>
      </c>
      <c r="AU612" s="31">
        <f>IF($AS612="","",IF($AX612&lt;&gt;"",SUBSTITUTE(SUBSTITUTE($AX612,"-","")," ",""),"N:"&amp;$AV612))</f>
        <v/>
      </c>
      <c r="AV612" s="31">
        <f>IF(OR($AS612="",$E$6=""),"",TRIM(INDEX($A:$AP,ROW(),$E$6)&amp;""))</f>
        <v/>
      </c>
      <c r="AW612" s="31">
        <f>IF($AU612="","",IF(MATCH($AU612,$AU$8:$AU$2007,0)=ROW()-7,MAX($AW$7:$AW611)+1,""))</f>
        <v/>
      </c>
      <c r="AX612" s="31">
        <f>IF(OR($AS612="",$D$6=""),"",TRIM(INDEX($A:$AP,ROW(),$D$6)&amp;""))</f>
        <v/>
      </c>
      <c r="AY612" s="31">
        <f>IF($AU612="","",INDEX($AW$8:$AW$2007,MATCH($AU612,$AU$8:$AU$2007,0)))</f>
        <v/>
      </c>
      <c r="AZ612" s="31">
        <f>IF(OR($AS612="",$C$6=""),"",TRIM(INDEX($A:$AP,ROW(),$C$6)&amp;""))</f>
        <v/>
      </c>
      <c r="BA612" s="31">
        <f>IF($AZ612="","",IF(COUNTIF($AZ$8:$AZ612,$AZ612)&gt;1,1,0))</f>
        <v/>
      </c>
    </row>
    <row r="613">
      <c r="AR613" s="31">
        <f>IF(OR($A$5="",$B$6="",ROW()&lt;$A$5),"",IF(INDEX($A:$AP,ROW(),$B$6)="","",INDEX($A:$AP,ROW(),$B$6)))</f>
        <v/>
      </c>
      <c r="AS613" s="32">
        <f>IF($AR613="","",IF(ISNUMBER($AR613),IF($AR613&gt;=10000000,IFERROR(DATE(INT($AR613/10000),MOD(INT($AR613/100),100),MOD($AR613,100)),""),INT($AR613)),IFERROR(DATE(--LEFT(LEFT(SUBSTITUTE(SUBSTITUTE(SUBSTITUTE(SUBSTITUTE(TRIM($AR613),"-",""),".",""),"/","")," ",""),8),4),--MID(LEFT(SUBSTITUTE(SUBSTITUTE(SUBSTITUTE(SUBSTITUTE(TRIM($AR613),"-",""),".",""),"/","")," ",""),8),5,2),--MID(LEFT(SUBSTITUTE(SUBSTITUTE(SUBSTITUTE(SUBSTITUTE(TRIM($AR613),"-",""),".",""),"/","")," ",""),8),7,2)),"")))</f>
        <v/>
      </c>
      <c r="AT613" s="33">
        <f>IF($AS613="","",IF($F$6="",0,IF(ISNUMBER(INDEX($A:$AP,ROW(),$F$6)),INDEX($A:$AP,ROW(),$F$6),IFERROR(--SUBSTITUTE(SUBSTITUTE(TRIM(INDEX($A:$AP,ROW(),$F$6)),",",""),"원",""),0))))</f>
        <v/>
      </c>
      <c r="AU613" s="31">
        <f>IF($AS613="","",IF($AX613&lt;&gt;"",SUBSTITUTE(SUBSTITUTE($AX613,"-","")," ",""),"N:"&amp;$AV613))</f>
        <v/>
      </c>
      <c r="AV613" s="31">
        <f>IF(OR($AS613="",$E$6=""),"",TRIM(INDEX($A:$AP,ROW(),$E$6)&amp;""))</f>
        <v/>
      </c>
      <c r="AW613" s="31">
        <f>IF($AU613="","",IF(MATCH($AU613,$AU$8:$AU$2007,0)=ROW()-7,MAX($AW$7:$AW612)+1,""))</f>
        <v/>
      </c>
      <c r="AX613" s="31">
        <f>IF(OR($AS613="",$D$6=""),"",TRIM(INDEX($A:$AP,ROW(),$D$6)&amp;""))</f>
        <v/>
      </c>
      <c r="AY613" s="31">
        <f>IF($AU613="","",INDEX($AW$8:$AW$2007,MATCH($AU613,$AU$8:$AU$2007,0)))</f>
        <v/>
      </c>
      <c r="AZ613" s="31">
        <f>IF(OR($AS613="",$C$6=""),"",TRIM(INDEX($A:$AP,ROW(),$C$6)&amp;""))</f>
        <v/>
      </c>
      <c r="BA613" s="31">
        <f>IF($AZ613="","",IF(COUNTIF($AZ$8:$AZ613,$AZ613)&gt;1,1,0))</f>
        <v/>
      </c>
    </row>
    <row r="614">
      <c r="AR614" s="31">
        <f>IF(OR($A$5="",$B$6="",ROW()&lt;$A$5),"",IF(INDEX($A:$AP,ROW(),$B$6)="","",INDEX($A:$AP,ROW(),$B$6)))</f>
        <v/>
      </c>
      <c r="AS614" s="32">
        <f>IF($AR614="","",IF(ISNUMBER($AR614),IF($AR614&gt;=10000000,IFERROR(DATE(INT($AR614/10000),MOD(INT($AR614/100),100),MOD($AR614,100)),""),INT($AR614)),IFERROR(DATE(--LEFT(LEFT(SUBSTITUTE(SUBSTITUTE(SUBSTITUTE(SUBSTITUTE(TRIM($AR614),"-",""),".",""),"/","")," ",""),8),4),--MID(LEFT(SUBSTITUTE(SUBSTITUTE(SUBSTITUTE(SUBSTITUTE(TRIM($AR614),"-",""),".",""),"/","")," ",""),8),5,2),--MID(LEFT(SUBSTITUTE(SUBSTITUTE(SUBSTITUTE(SUBSTITUTE(TRIM($AR614),"-",""),".",""),"/","")," ",""),8),7,2)),"")))</f>
        <v/>
      </c>
      <c r="AT614" s="33">
        <f>IF($AS614="","",IF($F$6="",0,IF(ISNUMBER(INDEX($A:$AP,ROW(),$F$6)),INDEX($A:$AP,ROW(),$F$6),IFERROR(--SUBSTITUTE(SUBSTITUTE(TRIM(INDEX($A:$AP,ROW(),$F$6)),",",""),"원",""),0))))</f>
        <v/>
      </c>
      <c r="AU614" s="31">
        <f>IF($AS614="","",IF($AX614&lt;&gt;"",SUBSTITUTE(SUBSTITUTE($AX614,"-","")," ",""),"N:"&amp;$AV614))</f>
        <v/>
      </c>
      <c r="AV614" s="31">
        <f>IF(OR($AS614="",$E$6=""),"",TRIM(INDEX($A:$AP,ROW(),$E$6)&amp;""))</f>
        <v/>
      </c>
      <c r="AW614" s="31">
        <f>IF($AU614="","",IF(MATCH($AU614,$AU$8:$AU$2007,0)=ROW()-7,MAX($AW$7:$AW613)+1,""))</f>
        <v/>
      </c>
      <c r="AX614" s="31">
        <f>IF(OR($AS614="",$D$6=""),"",TRIM(INDEX($A:$AP,ROW(),$D$6)&amp;""))</f>
        <v/>
      </c>
      <c r="AY614" s="31">
        <f>IF($AU614="","",INDEX($AW$8:$AW$2007,MATCH($AU614,$AU$8:$AU$2007,0)))</f>
        <v/>
      </c>
      <c r="AZ614" s="31">
        <f>IF(OR($AS614="",$C$6=""),"",TRIM(INDEX($A:$AP,ROW(),$C$6)&amp;""))</f>
        <v/>
      </c>
      <c r="BA614" s="31">
        <f>IF($AZ614="","",IF(COUNTIF($AZ$8:$AZ614,$AZ614)&gt;1,1,0))</f>
        <v/>
      </c>
    </row>
    <row r="615">
      <c r="AR615" s="31">
        <f>IF(OR($A$5="",$B$6="",ROW()&lt;$A$5),"",IF(INDEX($A:$AP,ROW(),$B$6)="","",INDEX($A:$AP,ROW(),$B$6)))</f>
        <v/>
      </c>
      <c r="AS615" s="32">
        <f>IF($AR615="","",IF(ISNUMBER($AR615),IF($AR615&gt;=10000000,IFERROR(DATE(INT($AR615/10000),MOD(INT($AR615/100),100),MOD($AR615,100)),""),INT($AR615)),IFERROR(DATE(--LEFT(LEFT(SUBSTITUTE(SUBSTITUTE(SUBSTITUTE(SUBSTITUTE(TRIM($AR615),"-",""),".",""),"/","")," ",""),8),4),--MID(LEFT(SUBSTITUTE(SUBSTITUTE(SUBSTITUTE(SUBSTITUTE(TRIM($AR615),"-",""),".",""),"/","")," ",""),8),5,2),--MID(LEFT(SUBSTITUTE(SUBSTITUTE(SUBSTITUTE(SUBSTITUTE(TRIM($AR615),"-",""),".",""),"/","")," ",""),8),7,2)),"")))</f>
        <v/>
      </c>
      <c r="AT615" s="33">
        <f>IF($AS615="","",IF($F$6="",0,IF(ISNUMBER(INDEX($A:$AP,ROW(),$F$6)),INDEX($A:$AP,ROW(),$F$6),IFERROR(--SUBSTITUTE(SUBSTITUTE(TRIM(INDEX($A:$AP,ROW(),$F$6)),",",""),"원",""),0))))</f>
        <v/>
      </c>
      <c r="AU615" s="31">
        <f>IF($AS615="","",IF($AX615&lt;&gt;"",SUBSTITUTE(SUBSTITUTE($AX615,"-","")," ",""),"N:"&amp;$AV615))</f>
        <v/>
      </c>
      <c r="AV615" s="31">
        <f>IF(OR($AS615="",$E$6=""),"",TRIM(INDEX($A:$AP,ROW(),$E$6)&amp;""))</f>
        <v/>
      </c>
      <c r="AW615" s="31">
        <f>IF($AU615="","",IF(MATCH($AU615,$AU$8:$AU$2007,0)=ROW()-7,MAX($AW$7:$AW614)+1,""))</f>
        <v/>
      </c>
      <c r="AX615" s="31">
        <f>IF(OR($AS615="",$D$6=""),"",TRIM(INDEX($A:$AP,ROW(),$D$6)&amp;""))</f>
        <v/>
      </c>
      <c r="AY615" s="31">
        <f>IF($AU615="","",INDEX($AW$8:$AW$2007,MATCH($AU615,$AU$8:$AU$2007,0)))</f>
        <v/>
      </c>
      <c r="AZ615" s="31">
        <f>IF(OR($AS615="",$C$6=""),"",TRIM(INDEX($A:$AP,ROW(),$C$6)&amp;""))</f>
        <v/>
      </c>
      <c r="BA615" s="31">
        <f>IF($AZ615="","",IF(COUNTIF($AZ$8:$AZ615,$AZ615)&gt;1,1,0))</f>
        <v/>
      </c>
    </row>
    <row r="616">
      <c r="AR616" s="31">
        <f>IF(OR($A$5="",$B$6="",ROW()&lt;$A$5),"",IF(INDEX($A:$AP,ROW(),$B$6)="","",INDEX($A:$AP,ROW(),$B$6)))</f>
        <v/>
      </c>
      <c r="AS616" s="32">
        <f>IF($AR616="","",IF(ISNUMBER($AR616),IF($AR616&gt;=10000000,IFERROR(DATE(INT($AR616/10000),MOD(INT($AR616/100),100),MOD($AR616,100)),""),INT($AR616)),IFERROR(DATE(--LEFT(LEFT(SUBSTITUTE(SUBSTITUTE(SUBSTITUTE(SUBSTITUTE(TRIM($AR616),"-",""),".",""),"/","")," ",""),8),4),--MID(LEFT(SUBSTITUTE(SUBSTITUTE(SUBSTITUTE(SUBSTITUTE(TRIM($AR616),"-",""),".",""),"/","")," ",""),8),5,2),--MID(LEFT(SUBSTITUTE(SUBSTITUTE(SUBSTITUTE(SUBSTITUTE(TRIM($AR616),"-",""),".",""),"/","")," ",""),8),7,2)),"")))</f>
        <v/>
      </c>
      <c r="AT616" s="33">
        <f>IF($AS616="","",IF($F$6="",0,IF(ISNUMBER(INDEX($A:$AP,ROW(),$F$6)),INDEX($A:$AP,ROW(),$F$6),IFERROR(--SUBSTITUTE(SUBSTITUTE(TRIM(INDEX($A:$AP,ROW(),$F$6)),",",""),"원",""),0))))</f>
        <v/>
      </c>
      <c r="AU616" s="31">
        <f>IF($AS616="","",IF($AX616&lt;&gt;"",SUBSTITUTE(SUBSTITUTE($AX616,"-","")," ",""),"N:"&amp;$AV616))</f>
        <v/>
      </c>
      <c r="AV616" s="31">
        <f>IF(OR($AS616="",$E$6=""),"",TRIM(INDEX($A:$AP,ROW(),$E$6)&amp;""))</f>
        <v/>
      </c>
      <c r="AW616" s="31">
        <f>IF($AU616="","",IF(MATCH($AU616,$AU$8:$AU$2007,0)=ROW()-7,MAX($AW$7:$AW615)+1,""))</f>
        <v/>
      </c>
      <c r="AX616" s="31">
        <f>IF(OR($AS616="",$D$6=""),"",TRIM(INDEX($A:$AP,ROW(),$D$6)&amp;""))</f>
        <v/>
      </c>
      <c r="AY616" s="31">
        <f>IF($AU616="","",INDEX($AW$8:$AW$2007,MATCH($AU616,$AU$8:$AU$2007,0)))</f>
        <v/>
      </c>
      <c r="AZ616" s="31">
        <f>IF(OR($AS616="",$C$6=""),"",TRIM(INDEX($A:$AP,ROW(),$C$6)&amp;""))</f>
        <v/>
      </c>
      <c r="BA616" s="31">
        <f>IF($AZ616="","",IF(COUNTIF($AZ$8:$AZ616,$AZ616)&gt;1,1,0))</f>
        <v/>
      </c>
    </row>
    <row r="617">
      <c r="AR617" s="31">
        <f>IF(OR($A$5="",$B$6="",ROW()&lt;$A$5),"",IF(INDEX($A:$AP,ROW(),$B$6)="","",INDEX($A:$AP,ROW(),$B$6)))</f>
        <v/>
      </c>
      <c r="AS617" s="32">
        <f>IF($AR617="","",IF(ISNUMBER($AR617),IF($AR617&gt;=10000000,IFERROR(DATE(INT($AR617/10000),MOD(INT($AR617/100),100),MOD($AR617,100)),""),INT($AR617)),IFERROR(DATE(--LEFT(LEFT(SUBSTITUTE(SUBSTITUTE(SUBSTITUTE(SUBSTITUTE(TRIM($AR617),"-",""),".",""),"/","")," ",""),8),4),--MID(LEFT(SUBSTITUTE(SUBSTITUTE(SUBSTITUTE(SUBSTITUTE(TRIM($AR617),"-",""),".",""),"/","")," ",""),8),5,2),--MID(LEFT(SUBSTITUTE(SUBSTITUTE(SUBSTITUTE(SUBSTITUTE(TRIM($AR617),"-",""),".",""),"/","")," ",""),8),7,2)),"")))</f>
        <v/>
      </c>
      <c r="AT617" s="33">
        <f>IF($AS617="","",IF($F$6="",0,IF(ISNUMBER(INDEX($A:$AP,ROW(),$F$6)),INDEX($A:$AP,ROW(),$F$6),IFERROR(--SUBSTITUTE(SUBSTITUTE(TRIM(INDEX($A:$AP,ROW(),$F$6)),",",""),"원",""),0))))</f>
        <v/>
      </c>
      <c r="AU617" s="31">
        <f>IF($AS617="","",IF($AX617&lt;&gt;"",SUBSTITUTE(SUBSTITUTE($AX617,"-","")," ",""),"N:"&amp;$AV617))</f>
        <v/>
      </c>
      <c r="AV617" s="31">
        <f>IF(OR($AS617="",$E$6=""),"",TRIM(INDEX($A:$AP,ROW(),$E$6)&amp;""))</f>
        <v/>
      </c>
      <c r="AW617" s="31">
        <f>IF($AU617="","",IF(MATCH($AU617,$AU$8:$AU$2007,0)=ROW()-7,MAX($AW$7:$AW616)+1,""))</f>
        <v/>
      </c>
      <c r="AX617" s="31">
        <f>IF(OR($AS617="",$D$6=""),"",TRIM(INDEX($A:$AP,ROW(),$D$6)&amp;""))</f>
        <v/>
      </c>
      <c r="AY617" s="31">
        <f>IF($AU617="","",INDEX($AW$8:$AW$2007,MATCH($AU617,$AU$8:$AU$2007,0)))</f>
        <v/>
      </c>
      <c r="AZ617" s="31">
        <f>IF(OR($AS617="",$C$6=""),"",TRIM(INDEX($A:$AP,ROW(),$C$6)&amp;""))</f>
        <v/>
      </c>
      <c r="BA617" s="31">
        <f>IF($AZ617="","",IF(COUNTIF($AZ$8:$AZ617,$AZ617)&gt;1,1,0))</f>
        <v/>
      </c>
    </row>
    <row r="618">
      <c r="AR618" s="31">
        <f>IF(OR($A$5="",$B$6="",ROW()&lt;$A$5),"",IF(INDEX($A:$AP,ROW(),$B$6)="","",INDEX($A:$AP,ROW(),$B$6)))</f>
        <v/>
      </c>
      <c r="AS618" s="32">
        <f>IF($AR618="","",IF(ISNUMBER($AR618),IF($AR618&gt;=10000000,IFERROR(DATE(INT($AR618/10000),MOD(INT($AR618/100),100),MOD($AR618,100)),""),INT($AR618)),IFERROR(DATE(--LEFT(LEFT(SUBSTITUTE(SUBSTITUTE(SUBSTITUTE(SUBSTITUTE(TRIM($AR618),"-",""),".",""),"/","")," ",""),8),4),--MID(LEFT(SUBSTITUTE(SUBSTITUTE(SUBSTITUTE(SUBSTITUTE(TRIM($AR618),"-",""),".",""),"/","")," ",""),8),5,2),--MID(LEFT(SUBSTITUTE(SUBSTITUTE(SUBSTITUTE(SUBSTITUTE(TRIM($AR618),"-",""),".",""),"/","")," ",""),8),7,2)),"")))</f>
        <v/>
      </c>
      <c r="AT618" s="33">
        <f>IF($AS618="","",IF($F$6="",0,IF(ISNUMBER(INDEX($A:$AP,ROW(),$F$6)),INDEX($A:$AP,ROW(),$F$6),IFERROR(--SUBSTITUTE(SUBSTITUTE(TRIM(INDEX($A:$AP,ROW(),$F$6)),",",""),"원",""),0))))</f>
        <v/>
      </c>
      <c r="AU618" s="31">
        <f>IF($AS618="","",IF($AX618&lt;&gt;"",SUBSTITUTE(SUBSTITUTE($AX618,"-","")," ",""),"N:"&amp;$AV618))</f>
        <v/>
      </c>
      <c r="AV618" s="31">
        <f>IF(OR($AS618="",$E$6=""),"",TRIM(INDEX($A:$AP,ROW(),$E$6)&amp;""))</f>
        <v/>
      </c>
      <c r="AW618" s="31">
        <f>IF($AU618="","",IF(MATCH($AU618,$AU$8:$AU$2007,0)=ROW()-7,MAX($AW$7:$AW617)+1,""))</f>
        <v/>
      </c>
      <c r="AX618" s="31">
        <f>IF(OR($AS618="",$D$6=""),"",TRIM(INDEX($A:$AP,ROW(),$D$6)&amp;""))</f>
        <v/>
      </c>
      <c r="AY618" s="31">
        <f>IF($AU618="","",INDEX($AW$8:$AW$2007,MATCH($AU618,$AU$8:$AU$2007,0)))</f>
        <v/>
      </c>
      <c r="AZ618" s="31">
        <f>IF(OR($AS618="",$C$6=""),"",TRIM(INDEX($A:$AP,ROW(),$C$6)&amp;""))</f>
        <v/>
      </c>
      <c r="BA618" s="31">
        <f>IF($AZ618="","",IF(COUNTIF($AZ$8:$AZ618,$AZ618)&gt;1,1,0))</f>
        <v/>
      </c>
    </row>
    <row r="619">
      <c r="AR619" s="31">
        <f>IF(OR($A$5="",$B$6="",ROW()&lt;$A$5),"",IF(INDEX($A:$AP,ROW(),$B$6)="","",INDEX($A:$AP,ROW(),$B$6)))</f>
        <v/>
      </c>
      <c r="AS619" s="32">
        <f>IF($AR619="","",IF(ISNUMBER($AR619),IF($AR619&gt;=10000000,IFERROR(DATE(INT($AR619/10000),MOD(INT($AR619/100),100),MOD($AR619,100)),""),INT($AR619)),IFERROR(DATE(--LEFT(LEFT(SUBSTITUTE(SUBSTITUTE(SUBSTITUTE(SUBSTITUTE(TRIM($AR619),"-",""),".",""),"/","")," ",""),8),4),--MID(LEFT(SUBSTITUTE(SUBSTITUTE(SUBSTITUTE(SUBSTITUTE(TRIM($AR619),"-",""),".",""),"/","")," ",""),8),5,2),--MID(LEFT(SUBSTITUTE(SUBSTITUTE(SUBSTITUTE(SUBSTITUTE(TRIM($AR619),"-",""),".",""),"/","")," ",""),8),7,2)),"")))</f>
        <v/>
      </c>
      <c r="AT619" s="33">
        <f>IF($AS619="","",IF($F$6="",0,IF(ISNUMBER(INDEX($A:$AP,ROW(),$F$6)),INDEX($A:$AP,ROW(),$F$6),IFERROR(--SUBSTITUTE(SUBSTITUTE(TRIM(INDEX($A:$AP,ROW(),$F$6)),",",""),"원",""),0))))</f>
        <v/>
      </c>
      <c r="AU619" s="31">
        <f>IF($AS619="","",IF($AX619&lt;&gt;"",SUBSTITUTE(SUBSTITUTE($AX619,"-","")," ",""),"N:"&amp;$AV619))</f>
        <v/>
      </c>
      <c r="AV619" s="31">
        <f>IF(OR($AS619="",$E$6=""),"",TRIM(INDEX($A:$AP,ROW(),$E$6)&amp;""))</f>
        <v/>
      </c>
      <c r="AW619" s="31">
        <f>IF($AU619="","",IF(MATCH($AU619,$AU$8:$AU$2007,0)=ROW()-7,MAX($AW$7:$AW618)+1,""))</f>
        <v/>
      </c>
      <c r="AX619" s="31">
        <f>IF(OR($AS619="",$D$6=""),"",TRIM(INDEX($A:$AP,ROW(),$D$6)&amp;""))</f>
        <v/>
      </c>
      <c r="AY619" s="31">
        <f>IF($AU619="","",INDEX($AW$8:$AW$2007,MATCH($AU619,$AU$8:$AU$2007,0)))</f>
        <v/>
      </c>
      <c r="AZ619" s="31">
        <f>IF(OR($AS619="",$C$6=""),"",TRIM(INDEX($A:$AP,ROW(),$C$6)&amp;""))</f>
        <v/>
      </c>
      <c r="BA619" s="31">
        <f>IF($AZ619="","",IF(COUNTIF($AZ$8:$AZ619,$AZ619)&gt;1,1,0))</f>
        <v/>
      </c>
    </row>
    <row r="620">
      <c r="AR620" s="31">
        <f>IF(OR($A$5="",$B$6="",ROW()&lt;$A$5),"",IF(INDEX($A:$AP,ROW(),$B$6)="","",INDEX($A:$AP,ROW(),$B$6)))</f>
        <v/>
      </c>
      <c r="AS620" s="32">
        <f>IF($AR620="","",IF(ISNUMBER($AR620),IF($AR620&gt;=10000000,IFERROR(DATE(INT($AR620/10000),MOD(INT($AR620/100),100),MOD($AR620,100)),""),INT($AR620)),IFERROR(DATE(--LEFT(LEFT(SUBSTITUTE(SUBSTITUTE(SUBSTITUTE(SUBSTITUTE(TRIM($AR620),"-",""),".",""),"/","")," ",""),8),4),--MID(LEFT(SUBSTITUTE(SUBSTITUTE(SUBSTITUTE(SUBSTITUTE(TRIM($AR620),"-",""),".",""),"/","")," ",""),8),5,2),--MID(LEFT(SUBSTITUTE(SUBSTITUTE(SUBSTITUTE(SUBSTITUTE(TRIM($AR620),"-",""),".",""),"/","")," ",""),8),7,2)),"")))</f>
        <v/>
      </c>
      <c r="AT620" s="33">
        <f>IF($AS620="","",IF($F$6="",0,IF(ISNUMBER(INDEX($A:$AP,ROW(),$F$6)),INDEX($A:$AP,ROW(),$F$6),IFERROR(--SUBSTITUTE(SUBSTITUTE(TRIM(INDEX($A:$AP,ROW(),$F$6)),",",""),"원",""),0))))</f>
        <v/>
      </c>
      <c r="AU620" s="31">
        <f>IF($AS620="","",IF($AX620&lt;&gt;"",SUBSTITUTE(SUBSTITUTE($AX620,"-","")," ",""),"N:"&amp;$AV620))</f>
        <v/>
      </c>
      <c r="AV620" s="31">
        <f>IF(OR($AS620="",$E$6=""),"",TRIM(INDEX($A:$AP,ROW(),$E$6)&amp;""))</f>
        <v/>
      </c>
      <c r="AW620" s="31">
        <f>IF($AU620="","",IF(MATCH($AU620,$AU$8:$AU$2007,0)=ROW()-7,MAX($AW$7:$AW619)+1,""))</f>
        <v/>
      </c>
      <c r="AX620" s="31">
        <f>IF(OR($AS620="",$D$6=""),"",TRIM(INDEX($A:$AP,ROW(),$D$6)&amp;""))</f>
        <v/>
      </c>
      <c r="AY620" s="31">
        <f>IF($AU620="","",INDEX($AW$8:$AW$2007,MATCH($AU620,$AU$8:$AU$2007,0)))</f>
        <v/>
      </c>
      <c r="AZ620" s="31">
        <f>IF(OR($AS620="",$C$6=""),"",TRIM(INDEX($A:$AP,ROW(),$C$6)&amp;""))</f>
        <v/>
      </c>
      <c r="BA620" s="31">
        <f>IF($AZ620="","",IF(COUNTIF($AZ$8:$AZ620,$AZ620)&gt;1,1,0))</f>
        <v/>
      </c>
    </row>
    <row r="621">
      <c r="AR621" s="31">
        <f>IF(OR($A$5="",$B$6="",ROW()&lt;$A$5),"",IF(INDEX($A:$AP,ROW(),$B$6)="","",INDEX($A:$AP,ROW(),$B$6)))</f>
        <v/>
      </c>
      <c r="AS621" s="32">
        <f>IF($AR621="","",IF(ISNUMBER($AR621),IF($AR621&gt;=10000000,IFERROR(DATE(INT($AR621/10000),MOD(INT($AR621/100),100),MOD($AR621,100)),""),INT($AR621)),IFERROR(DATE(--LEFT(LEFT(SUBSTITUTE(SUBSTITUTE(SUBSTITUTE(SUBSTITUTE(TRIM($AR621),"-",""),".",""),"/","")," ",""),8),4),--MID(LEFT(SUBSTITUTE(SUBSTITUTE(SUBSTITUTE(SUBSTITUTE(TRIM($AR621),"-",""),".",""),"/","")," ",""),8),5,2),--MID(LEFT(SUBSTITUTE(SUBSTITUTE(SUBSTITUTE(SUBSTITUTE(TRIM($AR621),"-",""),".",""),"/","")," ",""),8),7,2)),"")))</f>
        <v/>
      </c>
      <c r="AT621" s="33">
        <f>IF($AS621="","",IF($F$6="",0,IF(ISNUMBER(INDEX($A:$AP,ROW(),$F$6)),INDEX($A:$AP,ROW(),$F$6),IFERROR(--SUBSTITUTE(SUBSTITUTE(TRIM(INDEX($A:$AP,ROW(),$F$6)),",",""),"원",""),0))))</f>
        <v/>
      </c>
      <c r="AU621" s="31">
        <f>IF($AS621="","",IF($AX621&lt;&gt;"",SUBSTITUTE(SUBSTITUTE($AX621,"-","")," ",""),"N:"&amp;$AV621))</f>
        <v/>
      </c>
      <c r="AV621" s="31">
        <f>IF(OR($AS621="",$E$6=""),"",TRIM(INDEX($A:$AP,ROW(),$E$6)&amp;""))</f>
        <v/>
      </c>
      <c r="AW621" s="31">
        <f>IF($AU621="","",IF(MATCH($AU621,$AU$8:$AU$2007,0)=ROW()-7,MAX($AW$7:$AW620)+1,""))</f>
        <v/>
      </c>
      <c r="AX621" s="31">
        <f>IF(OR($AS621="",$D$6=""),"",TRIM(INDEX($A:$AP,ROW(),$D$6)&amp;""))</f>
        <v/>
      </c>
      <c r="AY621" s="31">
        <f>IF($AU621="","",INDEX($AW$8:$AW$2007,MATCH($AU621,$AU$8:$AU$2007,0)))</f>
        <v/>
      </c>
      <c r="AZ621" s="31">
        <f>IF(OR($AS621="",$C$6=""),"",TRIM(INDEX($A:$AP,ROW(),$C$6)&amp;""))</f>
        <v/>
      </c>
      <c r="BA621" s="31">
        <f>IF($AZ621="","",IF(COUNTIF($AZ$8:$AZ621,$AZ621)&gt;1,1,0))</f>
        <v/>
      </c>
    </row>
    <row r="622">
      <c r="AR622" s="31">
        <f>IF(OR($A$5="",$B$6="",ROW()&lt;$A$5),"",IF(INDEX($A:$AP,ROW(),$B$6)="","",INDEX($A:$AP,ROW(),$B$6)))</f>
        <v/>
      </c>
      <c r="AS622" s="32">
        <f>IF($AR622="","",IF(ISNUMBER($AR622),IF($AR622&gt;=10000000,IFERROR(DATE(INT($AR622/10000),MOD(INT($AR622/100),100),MOD($AR622,100)),""),INT($AR622)),IFERROR(DATE(--LEFT(LEFT(SUBSTITUTE(SUBSTITUTE(SUBSTITUTE(SUBSTITUTE(TRIM($AR622),"-",""),".",""),"/","")," ",""),8),4),--MID(LEFT(SUBSTITUTE(SUBSTITUTE(SUBSTITUTE(SUBSTITUTE(TRIM($AR622),"-",""),".",""),"/","")," ",""),8),5,2),--MID(LEFT(SUBSTITUTE(SUBSTITUTE(SUBSTITUTE(SUBSTITUTE(TRIM($AR622),"-",""),".",""),"/","")," ",""),8),7,2)),"")))</f>
        <v/>
      </c>
      <c r="AT622" s="33">
        <f>IF($AS622="","",IF($F$6="",0,IF(ISNUMBER(INDEX($A:$AP,ROW(),$F$6)),INDEX($A:$AP,ROW(),$F$6),IFERROR(--SUBSTITUTE(SUBSTITUTE(TRIM(INDEX($A:$AP,ROW(),$F$6)),",",""),"원",""),0))))</f>
        <v/>
      </c>
      <c r="AU622" s="31">
        <f>IF($AS622="","",IF($AX622&lt;&gt;"",SUBSTITUTE(SUBSTITUTE($AX622,"-","")," ",""),"N:"&amp;$AV622))</f>
        <v/>
      </c>
      <c r="AV622" s="31">
        <f>IF(OR($AS622="",$E$6=""),"",TRIM(INDEX($A:$AP,ROW(),$E$6)&amp;""))</f>
        <v/>
      </c>
      <c r="AW622" s="31">
        <f>IF($AU622="","",IF(MATCH($AU622,$AU$8:$AU$2007,0)=ROW()-7,MAX($AW$7:$AW621)+1,""))</f>
        <v/>
      </c>
      <c r="AX622" s="31">
        <f>IF(OR($AS622="",$D$6=""),"",TRIM(INDEX($A:$AP,ROW(),$D$6)&amp;""))</f>
        <v/>
      </c>
      <c r="AY622" s="31">
        <f>IF($AU622="","",INDEX($AW$8:$AW$2007,MATCH($AU622,$AU$8:$AU$2007,0)))</f>
        <v/>
      </c>
      <c r="AZ622" s="31">
        <f>IF(OR($AS622="",$C$6=""),"",TRIM(INDEX($A:$AP,ROW(),$C$6)&amp;""))</f>
        <v/>
      </c>
      <c r="BA622" s="31">
        <f>IF($AZ622="","",IF(COUNTIF($AZ$8:$AZ622,$AZ622)&gt;1,1,0))</f>
        <v/>
      </c>
    </row>
    <row r="623">
      <c r="AR623" s="31">
        <f>IF(OR($A$5="",$B$6="",ROW()&lt;$A$5),"",IF(INDEX($A:$AP,ROW(),$B$6)="","",INDEX($A:$AP,ROW(),$B$6)))</f>
        <v/>
      </c>
      <c r="AS623" s="32">
        <f>IF($AR623="","",IF(ISNUMBER($AR623),IF($AR623&gt;=10000000,IFERROR(DATE(INT($AR623/10000),MOD(INT($AR623/100),100),MOD($AR623,100)),""),INT($AR623)),IFERROR(DATE(--LEFT(LEFT(SUBSTITUTE(SUBSTITUTE(SUBSTITUTE(SUBSTITUTE(TRIM($AR623),"-",""),".",""),"/","")," ",""),8),4),--MID(LEFT(SUBSTITUTE(SUBSTITUTE(SUBSTITUTE(SUBSTITUTE(TRIM($AR623),"-",""),".",""),"/","")," ",""),8),5,2),--MID(LEFT(SUBSTITUTE(SUBSTITUTE(SUBSTITUTE(SUBSTITUTE(TRIM($AR623),"-",""),".",""),"/","")," ",""),8),7,2)),"")))</f>
        <v/>
      </c>
      <c r="AT623" s="33">
        <f>IF($AS623="","",IF($F$6="",0,IF(ISNUMBER(INDEX($A:$AP,ROW(),$F$6)),INDEX($A:$AP,ROW(),$F$6),IFERROR(--SUBSTITUTE(SUBSTITUTE(TRIM(INDEX($A:$AP,ROW(),$F$6)),",",""),"원",""),0))))</f>
        <v/>
      </c>
      <c r="AU623" s="31">
        <f>IF($AS623="","",IF($AX623&lt;&gt;"",SUBSTITUTE(SUBSTITUTE($AX623,"-","")," ",""),"N:"&amp;$AV623))</f>
        <v/>
      </c>
      <c r="AV623" s="31">
        <f>IF(OR($AS623="",$E$6=""),"",TRIM(INDEX($A:$AP,ROW(),$E$6)&amp;""))</f>
        <v/>
      </c>
      <c r="AW623" s="31">
        <f>IF($AU623="","",IF(MATCH($AU623,$AU$8:$AU$2007,0)=ROW()-7,MAX($AW$7:$AW622)+1,""))</f>
        <v/>
      </c>
      <c r="AX623" s="31">
        <f>IF(OR($AS623="",$D$6=""),"",TRIM(INDEX($A:$AP,ROW(),$D$6)&amp;""))</f>
        <v/>
      </c>
      <c r="AY623" s="31">
        <f>IF($AU623="","",INDEX($AW$8:$AW$2007,MATCH($AU623,$AU$8:$AU$2007,0)))</f>
        <v/>
      </c>
      <c r="AZ623" s="31">
        <f>IF(OR($AS623="",$C$6=""),"",TRIM(INDEX($A:$AP,ROW(),$C$6)&amp;""))</f>
        <v/>
      </c>
      <c r="BA623" s="31">
        <f>IF($AZ623="","",IF(COUNTIF($AZ$8:$AZ623,$AZ623)&gt;1,1,0))</f>
        <v/>
      </c>
    </row>
    <row r="624">
      <c r="AR624" s="31">
        <f>IF(OR($A$5="",$B$6="",ROW()&lt;$A$5),"",IF(INDEX($A:$AP,ROW(),$B$6)="","",INDEX($A:$AP,ROW(),$B$6)))</f>
        <v/>
      </c>
      <c r="AS624" s="32">
        <f>IF($AR624="","",IF(ISNUMBER($AR624),IF($AR624&gt;=10000000,IFERROR(DATE(INT($AR624/10000),MOD(INT($AR624/100),100),MOD($AR624,100)),""),INT($AR624)),IFERROR(DATE(--LEFT(LEFT(SUBSTITUTE(SUBSTITUTE(SUBSTITUTE(SUBSTITUTE(TRIM($AR624),"-",""),".",""),"/","")," ",""),8),4),--MID(LEFT(SUBSTITUTE(SUBSTITUTE(SUBSTITUTE(SUBSTITUTE(TRIM($AR624),"-",""),".",""),"/","")," ",""),8),5,2),--MID(LEFT(SUBSTITUTE(SUBSTITUTE(SUBSTITUTE(SUBSTITUTE(TRIM($AR624),"-",""),".",""),"/","")," ",""),8),7,2)),"")))</f>
        <v/>
      </c>
      <c r="AT624" s="33">
        <f>IF($AS624="","",IF($F$6="",0,IF(ISNUMBER(INDEX($A:$AP,ROW(),$F$6)),INDEX($A:$AP,ROW(),$F$6),IFERROR(--SUBSTITUTE(SUBSTITUTE(TRIM(INDEX($A:$AP,ROW(),$F$6)),",",""),"원",""),0))))</f>
        <v/>
      </c>
      <c r="AU624" s="31">
        <f>IF($AS624="","",IF($AX624&lt;&gt;"",SUBSTITUTE(SUBSTITUTE($AX624,"-","")," ",""),"N:"&amp;$AV624))</f>
        <v/>
      </c>
      <c r="AV624" s="31">
        <f>IF(OR($AS624="",$E$6=""),"",TRIM(INDEX($A:$AP,ROW(),$E$6)&amp;""))</f>
        <v/>
      </c>
      <c r="AW624" s="31">
        <f>IF($AU624="","",IF(MATCH($AU624,$AU$8:$AU$2007,0)=ROW()-7,MAX($AW$7:$AW623)+1,""))</f>
        <v/>
      </c>
      <c r="AX624" s="31">
        <f>IF(OR($AS624="",$D$6=""),"",TRIM(INDEX($A:$AP,ROW(),$D$6)&amp;""))</f>
        <v/>
      </c>
      <c r="AY624" s="31">
        <f>IF($AU624="","",INDEX($AW$8:$AW$2007,MATCH($AU624,$AU$8:$AU$2007,0)))</f>
        <v/>
      </c>
      <c r="AZ624" s="31">
        <f>IF(OR($AS624="",$C$6=""),"",TRIM(INDEX($A:$AP,ROW(),$C$6)&amp;""))</f>
        <v/>
      </c>
      <c r="BA624" s="31">
        <f>IF($AZ624="","",IF(COUNTIF($AZ$8:$AZ624,$AZ624)&gt;1,1,0))</f>
        <v/>
      </c>
    </row>
    <row r="625">
      <c r="AR625" s="31">
        <f>IF(OR($A$5="",$B$6="",ROW()&lt;$A$5),"",IF(INDEX($A:$AP,ROW(),$B$6)="","",INDEX($A:$AP,ROW(),$B$6)))</f>
        <v/>
      </c>
      <c r="AS625" s="32">
        <f>IF($AR625="","",IF(ISNUMBER($AR625),IF($AR625&gt;=10000000,IFERROR(DATE(INT($AR625/10000),MOD(INT($AR625/100),100),MOD($AR625,100)),""),INT($AR625)),IFERROR(DATE(--LEFT(LEFT(SUBSTITUTE(SUBSTITUTE(SUBSTITUTE(SUBSTITUTE(TRIM($AR625),"-",""),".",""),"/","")," ",""),8),4),--MID(LEFT(SUBSTITUTE(SUBSTITUTE(SUBSTITUTE(SUBSTITUTE(TRIM($AR625),"-",""),".",""),"/","")," ",""),8),5,2),--MID(LEFT(SUBSTITUTE(SUBSTITUTE(SUBSTITUTE(SUBSTITUTE(TRIM($AR625),"-",""),".",""),"/","")," ",""),8),7,2)),"")))</f>
        <v/>
      </c>
      <c r="AT625" s="33">
        <f>IF($AS625="","",IF($F$6="",0,IF(ISNUMBER(INDEX($A:$AP,ROW(),$F$6)),INDEX($A:$AP,ROW(),$F$6),IFERROR(--SUBSTITUTE(SUBSTITUTE(TRIM(INDEX($A:$AP,ROW(),$F$6)),",",""),"원",""),0))))</f>
        <v/>
      </c>
      <c r="AU625" s="31">
        <f>IF($AS625="","",IF($AX625&lt;&gt;"",SUBSTITUTE(SUBSTITUTE($AX625,"-","")," ",""),"N:"&amp;$AV625))</f>
        <v/>
      </c>
      <c r="AV625" s="31">
        <f>IF(OR($AS625="",$E$6=""),"",TRIM(INDEX($A:$AP,ROW(),$E$6)&amp;""))</f>
        <v/>
      </c>
      <c r="AW625" s="31">
        <f>IF($AU625="","",IF(MATCH($AU625,$AU$8:$AU$2007,0)=ROW()-7,MAX($AW$7:$AW624)+1,""))</f>
        <v/>
      </c>
      <c r="AX625" s="31">
        <f>IF(OR($AS625="",$D$6=""),"",TRIM(INDEX($A:$AP,ROW(),$D$6)&amp;""))</f>
        <v/>
      </c>
      <c r="AY625" s="31">
        <f>IF($AU625="","",INDEX($AW$8:$AW$2007,MATCH($AU625,$AU$8:$AU$2007,0)))</f>
        <v/>
      </c>
      <c r="AZ625" s="31">
        <f>IF(OR($AS625="",$C$6=""),"",TRIM(INDEX($A:$AP,ROW(),$C$6)&amp;""))</f>
        <v/>
      </c>
      <c r="BA625" s="31">
        <f>IF($AZ625="","",IF(COUNTIF($AZ$8:$AZ625,$AZ625)&gt;1,1,0))</f>
        <v/>
      </c>
    </row>
    <row r="626">
      <c r="AR626" s="31">
        <f>IF(OR($A$5="",$B$6="",ROW()&lt;$A$5),"",IF(INDEX($A:$AP,ROW(),$B$6)="","",INDEX($A:$AP,ROW(),$B$6)))</f>
        <v/>
      </c>
      <c r="AS626" s="32">
        <f>IF($AR626="","",IF(ISNUMBER($AR626),IF($AR626&gt;=10000000,IFERROR(DATE(INT($AR626/10000),MOD(INT($AR626/100),100),MOD($AR626,100)),""),INT($AR626)),IFERROR(DATE(--LEFT(LEFT(SUBSTITUTE(SUBSTITUTE(SUBSTITUTE(SUBSTITUTE(TRIM($AR626),"-",""),".",""),"/","")," ",""),8),4),--MID(LEFT(SUBSTITUTE(SUBSTITUTE(SUBSTITUTE(SUBSTITUTE(TRIM($AR626),"-",""),".",""),"/","")," ",""),8),5,2),--MID(LEFT(SUBSTITUTE(SUBSTITUTE(SUBSTITUTE(SUBSTITUTE(TRIM($AR626),"-",""),".",""),"/","")," ",""),8),7,2)),"")))</f>
        <v/>
      </c>
      <c r="AT626" s="33">
        <f>IF($AS626="","",IF($F$6="",0,IF(ISNUMBER(INDEX($A:$AP,ROW(),$F$6)),INDEX($A:$AP,ROW(),$F$6),IFERROR(--SUBSTITUTE(SUBSTITUTE(TRIM(INDEX($A:$AP,ROW(),$F$6)),",",""),"원",""),0))))</f>
        <v/>
      </c>
      <c r="AU626" s="31">
        <f>IF($AS626="","",IF($AX626&lt;&gt;"",SUBSTITUTE(SUBSTITUTE($AX626,"-","")," ",""),"N:"&amp;$AV626))</f>
        <v/>
      </c>
      <c r="AV626" s="31">
        <f>IF(OR($AS626="",$E$6=""),"",TRIM(INDEX($A:$AP,ROW(),$E$6)&amp;""))</f>
        <v/>
      </c>
      <c r="AW626" s="31">
        <f>IF($AU626="","",IF(MATCH($AU626,$AU$8:$AU$2007,0)=ROW()-7,MAX($AW$7:$AW625)+1,""))</f>
        <v/>
      </c>
      <c r="AX626" s="31">
        <f>IF(OR($AS626="",$D$6=""),"",TRIM(INDEX($A:$AP,ROW(),$D$6)&amp;""))</f>
        <v/>
      </c>
      <c r="AY626" s="31">
        <f>IF($AU626="","",INDEX($AW$8:$AW$2007,MATCH($AU626,$AU$8:$AU$2007,0)))</f>
        <v/>
      </c>
      <c r="AZ626" s="31">
        <f>IF(OR($AS626="",$C$6=""),"",TRIM(INDEX($A:$AP,ROW(),$C$6)&amp;""))</f>
        <v/>
      </c>
      <c r="BA626" s="31">
        <f>IF($AZ626="","",IF(COUNTIF($AZ$8:$AZ626,$AZ626)&gt;1,1,0))</f>
        <v/>
      </c>
    </row>
    <row r="627">
      <c r="AR627" s="31">
        <f>IF(OR($A$5="",$B$6="",ROW()&lt;$A$5),"",IF(INDEX($A:$AP,ROW(),$B$6)="","",INDEX($A:$AP,ROW(),$B$6)))</f>
        <v/>
      </c>
      <c r="AS627" s="32">
        <f>IF($AR627="","",IF(ISNUMBER($AR627),IF($AR627&gt;=10000000,IFERROR(DATE(INT($AR627/10000),MOD(INT($AR627/100),100),MOD($AR627,100)),""),INT($AR627)),IFERROR(DATE(--LEFT(LEFT(SUBSTITUTE(SUBSTITUTE(SUBSTITUTE(SUBSTITUTE(TRIM($AR627),"-",""),".",""),"/","")," ",""),8),4),--MID(LEFT(SUBSTITUTE(SUBSTITUTE(SUBSTITUTE(SUBSTITUTE(TRIM($AR627),"-",""),".",""),"/","")," ",""),8),5,2),--MID(LEFT(SUBSTITUTE(SUBSTITUTE(SUBSTITUTE(SUBSTITUTE(TRIM($AR627),"-",""),".",""),"/","")," ",""),8),7,2)),"")))</f>
        <v/>
      </c>
      <c r="AT627" s="33">
        <f>IF($AS627="","",IF($F$6="",0,IF(ISNUMBER(INDEX($A:$AP,ROW(),$F$6)),INDEX($A:$AP,ROW(),$F$6),IFERROR(--SUBSTITUTE(SUBSTITUTE(TRIM(INDEX($A:$AP,ROW(),$F$6)),",",""),"원",""),0))))</f>
        <v/>
      </c>
      <c r="AU627" s="31">
        <f>IF($AS627="","",IF($AX627&lt;&gt;"",SUBSTITUTE(SUBSTITUTE($AX627,"-","")," ",""),"N:"&amp;$AV627))</f>
        <v/>
      </c>
      <c r="AV627" s="31">
        <f>IF(OR($AS627="",$E$6=""),"",TRIM(INDEX($A:$AP,ROW(),$E$6)&amp;""))</f>
        <v/>
      </c>
      <c r="AW627" s="31">
        <f>IF($AU627="","",IF(MATCH($AU627,$AU$8:$AU$2007,0)=ROW()-7,MAX($AW$7:$AW626)+1,""))</f>
        <v/>
      </c>
      <c r="AX627" s="31">
        <f>IF(OR($AS627="",$D$6=""),"",TRIM(INDEX($A:$AP,ROW(),$D$6)&amp;""))</f>
        <v/>
      </c>
      <c r="AY627" s="31">
        <f>IF($AU627="","",INDEX($AW$8:$AW$2007,MATCH($AU627,$AU$8:$AU$2007,0)))</f>
        <v/>
      </c>
      <c r="AZ627" s="31">
        <f>IF(OR($AS627="",$C$6=""),"",TRIM(INDEX($A:$AP,ROW(),$C$6)&amp;""))</f>
        <v/>
      </c>
      <c r="BA627" s="31">
        <f>IF($AZ627="","",IF(COUNTIF($AZ$8:$AZ627,$AZ627)&gt;1,1,0))</f>
        <v/>
      </c>
    </row>
    <row r="628">
      <c r="AR628" s="31">
        <f>IF(OR($A$5="",$B$6="",ROW()&lt;$A$5),"",IF(INDEX($A:$AP,ROW(),$B$6)="","",INDEX($A:$AP,ROW(),$B$6)))</f>
        <v/>
      </c>
      <c r="AS628" s="32">
        <f>IF($AR628="","",IF(ISNUMBER($AR628),IF($AR628&gt;=10000000,IFERROR(DATE(INT($AR628/10000),MOD(INT($AR628/100),100),MOD($AR628,100)),""),INT($AR628)),IFERROR(DATE(--LEFT(LEFT(SUBSTITUTE(SUBSTITUTE(SUBSTITUTE(SUBSTITUTE(TRIM($AR628),"-",""),".",""),"/","")," ",""),8),4),--MID(LEFT(SUBSTITUTE(SUBSTITUTE(SUBSTITUTE(SUBSTITUTE(TRIM($AR628),"-",""),".",""),"/","")," ",""),8),5,2),--MID(LEFT(SUBSTITUTE(SUBSTITUTE(SUBSTITUTE(SUBSTITUTE(TRIM($AR628),"-",""),".",""),"/","")," ",""),8),7,2)),"")))</f>
        <v/>
      </c>
      <c r="AT628" s="33">
        <f>IF($AS628="","",IF($F$6="",0,IF(ISNUMBER(INDEX($A:$AP,ROW(),$F$6)),INDEX($A:$AP,ROW(),$F$6),IFERROR(--SUBSTITUTE(SUBSTITUTE(TRIM(INDEX($A:$AP,ROW(),$F$6)),",",""),"원",""),0))))</f>
        <v/>
      </c>
      <c r="AU628" s="31">
        <f>IF($AS628="","",IF($AX628&lt;&gt;"",SUBSTITUTE(SUBSTITUTE($AX628,"-","")," ",""),"N:"&amp;$AV628))</f>
        <v/>
      </c>
      <c r="AV628" s="31">
        <f>IF(OR($AS628="",$E$6=""),"",TRIM(INDEX($A:$AP,ROW(),$E$6)&amp;""))</f>
        <v/>
      </c>
      <c r="AW628" s="31">
        <f>IF($AU628="","",IF(MATCH($AU628,$AU$8:$AU$2007,0)=ROW()-7,MAX($AW$7:$AW627)+1,""))</f>
        <v/>
      </c>
      <c r="AX628" s="31">
        <f>IF(OR($AS628="",$D$6=""),"",TRIM(INDEX($A:$AP,ROW(),$D$6)&amp;""))</f>
        <v/>
      </c>
      <c r="AY628" s="31">
        <f>IF($AU628="","",INDEX($AW$8:$AW$2007,MATCH($AU628,$AU$8:$AU$2007,0)))</f>
        <v/>
      </c>
      <c r="AZ628" s="31">
        <f>IF(OR($AS628="",$C$6=""),"",TRIM(INDEX($A:$AP,ROW(),$C$6)&amp;""))</f>
        <v/>
      </c>
      <c r="BA628" s="31">
        <f>IF($AZ628="","",IF(COUNTIF($AZ$8:$AZ628,$AZ628)&gt;1,1,0))</f>
        <v/>
      </c>
    </row>
    <row r="629">
      <c r="AR629" s="31">
        <f>IF(OR($A$5="",$B$6="",ROW()&lt;$A$5),"",IF(INDEX($A:$AP,ROW(),$B$6)="","",INDEX($A:$AP,ROW(),$B$6)))</f>
        <v/>
      </c>
      <c r="AS629" s="32">
        <f>IF($AR629="","",IF(ISNUMBER($AR629),IF($AR629&gt;=10000000,IFERROR(DATE(INT($AR629/10000),MOD(INT($AR629/100),100),MOD($AR629,100)),""),INT($AR629)),IFERROR(DATE(--LEFT(LEFT(SUBSTITUTE(SUBSTITUTE(SUBSTITUTE(SUBSTITUTE(TRIM($AR629),"-",""),".",""),"/","")," ",""),8),4),--MID(LEFT(SUBSTITUTE(SUBSTITUTE(SUBSTITUTE(SUBSTITUTE(TRIM($AR629),"-",""),".",""),"/","")," ",""),8),5,2),--MID(LEFT(SUBSTITUTE(SUBSTITUTE(SUBSTITUTE(SUBSTITUTE(TRIM($AR629),"-",""),".",""),"/","")," ",""),8),7,2)),"")))</f>
        <v/>
      </c>
      <c r="AT629" s="33">
        <f>IF($AS629="","",IF($F$6="",0,IF(ISNUMBER(INDEX($A:$AP,ROW(),$F$6)),INDEX($A:$AP,ROW(),$F$6),IFERROR(--SUBSTITUTE(SUBSTITUTE(TRIM(INDEX($A:$AP,ROW(),$F$6)),",",""),"원",""),0))))</f>
        <v/>
      </c>
      <c r="AU629" s="31">
        <f>IF($AS629="","",IF($AX629&lt;&gt;"",SUBSTITUTE(SUBSTITUTE($AX629,"-","")," ",""),"N:"&amp;$AV629))</f>
        <v/>
      </c>
      <c r="AV629" s="31">
        <f>IF(OR($AS629="",$E$6=""),"",TRIM(INDEX($A:$AP,ROW(),$E$6)&amp;""))</f>
        <v/>
      </c>
      <c r="AW629" s="31">
        <f>IF($AU629="","",IF(MATCH($AU629,$AU$8:$AU$2007,0)=ROW()-7,MAX($AW$7:$AW628)+1,""))</f>
        <v/>
      </c>
      <c r="AX629" s="31">
        <f>IF(OR($AS629="",$D$6=""),"",TRIM(INDEX($A:$AP,ROW(),$D$6)&amp;""))</f>
        <v/>
      </c>
      <c r="AY629" s="31">
        <f>IF($AU629="","",INDEX($AW$8:$AW$2007,MATCH($AU629,$AU$8:$AU$2007,0)))</f>
        <v/>
      </c>
      <c r="AZ629" s="31">
        <f>IF(OR($AS629="",$C$6=""),"",TRIM(INDEX($A:$AP,ROW(),$C$6)&amp;""))</f>
        <v/>
      </c>
      <c r="BA629" s="31">
        <f>IF($AZ629="","",IF(COUNTIF($AZ$8:$AZ629,$AZ629)&gt;1,1,0))</f>
        <v/>
      </c>
    </row>
    <row r="630">
      <c r="AR630" s="31">
        <f>IF(OR($A$5="",$B$6="",ROW()&lt;$A$5),"",IF(INDEX($A:$AP,ROW(),$B$6)="","",INDEX($A:$AP,ROW(),$B$6)))</f>
        <v/>
      </c>
      <c r="AS630" s="32">
        <f>IF($AR630="","",IF(ISNUMBER($AR630),IF($AR630&gt;=10000000,IFERROR(DATE(INT($AR630/10000),MOD(INT($AR630/100),100),MOD($AR630,100)),""),INT($AR630)),IFERROR(DATE(--LEFT(LEFT(SUBSTITUTE(SUBSTITUTE(SUBSTITUTE(SUBSTITUTE(TRIM($AR630),"-",""),".",""),"/","")," ",""),8),4),--MID(LEFT(SUBSTITUTE(SUBSTITUTE(SUBSTITUTE(SUBSTITUTE(TRIM($AR630),"-",""),".",""),"/","")," ",""),8),5,2),--MID(LEFT(SUBSTITUTE(SUBSTITUTE(SUBSTITUTE(SUBSTITUTE(TRIM($AR630),"-",""),".",""),"/","")," ",""),8),7,2)),"")))</f>
        <v/>
      </c>
      <c r="AT630" s="33">
        <f>IF($AS630="","",IF($F$6="",0,IF(ISNUMBER(INDEX($A:$AP,ROW(),$F$6)),INDEX($A:$AP,ROW(),$F$6),IFERROR(--SUBSTITUTE(SUBSTITUTE(TRIM(INDEX($A:$AP,ROW(),$F$6)),",",""),"원",""),0))))</f>
        <v/>
      </c>
      <c r="AU630" s="31">
        <f>IF($AS630="","",IF($AX630&lt;&gt;"",SUBSTITUTE(SUBSTITUTE($AX630,"-","")," ",""),"N:"&amp;$AV630))</f>
        <v/>
      </c>
      <c r="AV630" s="31">
        <f>IF(OR($AS630="",$E$6=""),"",TRIM(INDEX($A:$AP,ROW(),$E$6)&amp;""))</f>
        <v/>
      </c>
      <c r="AW630" s="31">
        <f>IF($AU630="","",IF(MATCH($AU630,$AU$8:$AU$2007,0)=ROW()-7,MAX($AW$7:$AW629)+1,""))</f>
        <v/>
      </c>
      <c r="AX630" s="31">
        <f>IF(OR($AS630="",$D$6=""),"",TRIM(INDEX($A:$AP,ROW(),$D$6)&amp;""))</f>
        <v/>
      </c>
      <c r="AY630" s="31">
        <f>IF($AU630="","",INDEX($AW$8:$AW$2007,MATCH($AU630,$AU$8:$AU$2007,0)))</f>
        <v/>
      </c>
      <c r="AZ630" s="31">
        <f>IF(OR($AS630="",$C$6=""),"",TRIM(INDEX($A:$AP,ROW(),$C$6)&amp;""))</f>
        <v/>
      </c>
      <c r="BA630" s="31">
        <f>IF($AZ630="","",IF(COUNTIF($AZ$8:$AZ630,$AZ630)&gt;1,1,0))</f>
        <v/>
      </c>
    </row>
    <row r="631">
      <c r="AR631" s="31">
        <f>IF(OR($A$5="",$B$6="",ROW()&lt;$A$5),"",IF(INDEX($A:$AP,ROW(),$B$6)="","",INDEX($A:$AP,ROW(),$B$6)))</f>
        <v/>
      </c>
      <c r="AS631" s="32">
        <f>IF($AR631="","",IF(ISNUMBER($AR631),IF($AR631&gt;=10000000,IFERROR(DATE(INT($AR631/10000),MOD(INT($AR631/100),100),MOD($AR631,100)),""),INT($AR631)),IFERROR(DATE(--LEFT(LEFT(SUBSTITUTE(SUBSTITUTE(SUBSTITUTE(SUBSTITUTE(TRIM($AR631),"-",""),".",""),"/","")," ",""),8),4),--MID(LEFT(SUBSTITUTE(SUBSTITUTE(SUBSTITUTE(SUBSTITUTE(TRIM($AR631),"-",""),".",""),"/","")," ",""),8),5,2),--MID(LEFT(SUBSTITUTE(SUBSTITUTE(SUBSTITUTE(SUBSTITUTE(TRIM($AR631),"-",""),".",""),"/","")," ",""),8),7,2)),"")))</f>
        <v/>
      </c>
      <c r="AT631" s="33">
        <f>IF($AS631="","",IF($F$6="",0,IF(ISNUMBER(INDEX($A:$AP,ROW(),$F$6)),INDEX($A:$AP,ROW(),$F$6),IFERROR(--SUBSTITUTE(SUBSTITUTE(TRIM(INDEX($A:$AP,ROW(),$F$6)),",",""),"원",""),0))))</f>
        <v/>
      </c>
      <c r="AU631" s="31">
        <f>IF($AS631="","",IF($AX631&lt;&gt;"",SUBSTITUTE(SUBSTITUTE($AX631,"-","")," ",""),"N:"&amp;$AV631))</f>
        <v/>
      </c>
      <c r="AV631" s="31">
        <f>IF(OR($AS631="",$E$6=""),"",TRIM(INDEX($A:$AP,ROW(),$E$6)&amp;""))</f>
        <v/>
      </c>
      <c r="AW631" s="31">
        <f>IF($AU631="","",IF(MATCH($AU631,$AU$8:$AU$2007,0)=ROW()-7,MAX($AW$7:$AW630)+1,""))</f>
        <v/>
      </c>
      <c r="AX631" s="31">
        <f>IF(OR($AS631="",$D$6=""),"",TRIM(INDEX($A:$AP,ROW(),$D$6)&amp;""))</f>
        <v/>
      </c>
      <c r="AY631" s="31">
        <f>IF($AU631="","",INDEX($AW$8:$AW$2007,MATCH($AU631,$AU$8:$AU$2007,0)))</f>
        <v/>
      </c>
      <c r="AZ631" s="31">
        <f>IF(OR($AS631="",$C$6=""),"",TRIM(INDEX($A:$AP,ROW(),$C$6)&amp;""))</f>
        <v/>
      </c>
      <c r="BA631" s="31">
        <f>IF($AZ631="","",IF(COUNTIF($AZ$8:$AZ631,$AZ631)&gt;1,1,0))</f>
        <v/>
      </c>
    </row>
    <row r="632">
      <c r="AR632" s="31">
        <f>IF(OR($A$5="",$B$6="",ROW()&lt;$A$5),"",IF(INDEX($A:$AP,ROW(),$B$6)="","",INDEX($A:$AP,ROW(),$B$6)))</f>
        <v/>
      </c>
      <c r="AS632" s="32">
        <f>IF($AR632="","",IF(ISNUMBER($AR632),IF($AR632&gt;=10000000,IFERROR(DATE(INT($AR632/10000),MOD(INT($AR632/100),100),MOD($AR632,100)),""),INT($AR632)),IFERROR(DATE(--LEFT(LEFT(SUBSTITUTE(SUBSTITUTE(SUBSTITUTE(SUBSTITUTE(TRIM($AR632),"-",""),".",""),"/","")," ",""),8),4),--MID(LEFT(SUBSTITUTE(SUBSTITUTE(SUBSTITUTE(SUBSTITUTE(TRIM($AR632),"-",""),".",""),"/","")," ",""),8),5,2),--MID(LEFT(SUBSTITUTE(SUBSTITUTE(SUBSTITUTE(SUBSTITUTE(TRIM($AR632),"-",""),".",""),"/","")," ",""),8),7,2)),"")))</f>
        <v/>
      </c>
      <c r="AT632" s="33">
        <f>IF($AS632="","",IF($F$6="",0,IF(ISNUMBER(INDEX($A:$AP,ROW(),$F$6)),INDEX($A:$AP,ROW(),$F$6),IFERROR(--SUBSTITUTE(SUBSTITUTE(TRIM(INDEX($A:$AP,ROW(),$F$6)),",",""),"원",""),0))))</f>
        <v/>
      </c>
      <c r="AU632" s="31">
        <f>IF($AS632="","",IF($AX632&lt;&gt;"",SUBSTITUTE(SUBSTITUTE($AX632,"-","")," ",""),"N:"&amp;$AV632))</f>
        <v/>
      </c>
      <c r="AV632" s="31">
        <f>IF(OR($AS632="",$E$6=""),"",TRIM(INDEX($A:$AP,ROW(),$E$6)&amp;""))</f>
        <v/>
      </c>
      <c r="AW632" s="31">
        <f>IF($AU632="","",IF(MATCH($AU632,$AU$8:$AU$2007,0)=ROW()-7,MAX($AW$7:$AW631)+1,""))</f>
        <v/>
      </c>
      <c r="AX632" s="31">
        <f>IF(OR($AS632="",$D$6=""),"",TRIM(INDEX($A:$AP,ROW(),$D$6)&amp;""))</f>
        <v/>
      </c>
      <c r="AY632" s="31">
        <f>IF($AU632="","",INDEX($AW$8:$AW$2007,MATCH($AU632,$AU$8:$AU$2007,0)))</f>
        <v/>
      </c>
      <c r="AZ632" s="31">
        <f>IF(OR($AS632="",$C$6=""),"",TRIM(INDEX($A:$AP,ROW(),$C$6)&amp;""))</f>
        <v/>
      </c>
      <c r="BA632" s="31">
        <f>IF($AZ632="","",IF(COUNTIF($AZ$8:$AZ632,$AZ632)&gt;1,1,0))</f>
        <v/>
      </c>
    </row>
    <row r="633">
      <c r="AR633" s="31">
        <f>IF(OR($A$5="",$B$6="",ROW()&lt;$A$5),"",IF(INDEX($A:$AP,ROW(),$B$6)="","",INDEX($A:$AP,ROW(),$B$6)))</f>
        <v/>
      </c>
      <c r="AS633" s="32">
        <f>IF($AR633="","",IF(ISNUMBER($AR633),IF($AR633&gt;=10000000,IFERROR(DATE(INT($AR633/10000),MOD(INT($AR633/100),100),MOD($AR633,100)),""),INT($AR633)),IFERROR(DATE(--LEFT(LEFT(SUBSTITUTE(SUBSTITUTE(SUBSTITUTE(SUBSTITUTE(TRIM($AR633),"-",""),".",""),"/","")," ",""),8),4),--MID(LEFT(SUBSTITUTE(SUBSTITUTE(SUBSTITUTE(SUBSTITUTE(TRIM($AR633),"-",""),".",""),"/","")," ",""),8),5,2),--MID(LEFT(SUBSTITUTE(SUBSTITUTE(SUBSTITUTE(SUBSTITUTE(TRIM($AR633),"-",""),".",""),"/","")," ",""),8),7,2)),"")))</f>
        <v/>
      </c>
      <c r="AT633" s="33">
        <f>IF($AS633="","",IF($F$6="",0,IF(ISNUMBER(INDEX($A:$AP,ROW(),$F$6)),INDEX($A:$AP,ROW(),$F$6),IFERROR(--SUBSTITUTE(SUBSTITUTE(TRIM(INDEX($A:$AP,ROW(),$F$6)),",",""),"원",""),0))))</f>
        <v/>
      </c>
      <c r="AU633" s="31">
        <f>IF($AS633="","",IF($AX633&lt;&gt;"",SUBSTITUTE(SUBSTITUTE($AX633,"-","")," ",""),"N:"&amp;$AV633))</f>
        <v/>
      </c>
      <c r="AV633" s="31">
        <f>IF(OR($AS633="",$E$6=""),"",TRIM(INDEX($A:$AP,ROW(),$E$6)&amp;""))</f>
        <v/>
      </c>
      <c r="AW633" s="31">
        <f>IF($AU633="","",IF(MATCH($AU633,$AU$8:$AU$2007,0)=ROW()-7,MAX($AW$7:$AW632)+1,""))</f>
        <v/>
      </c>
      <c r="AX633" s="31">
        <f>IF(OR($AS633="",$D$6=""),"",TRIM(INDEX($A:$AP,ROW(),$D$6)&amp;""))</f>
        <v/>
      </c>
      <c r="AY633" s="31">
        <f>IF($AU633="","",INDEX($AW$8:$AW$2007,MATCH($AU633,$AU$8:$AU$2007,0)))</f>
        <v/>
      </c>
      <c r="AZ633" s="31">
        <f>IF(OR($AS633="",$C$6=""),"",TRIM(INDEX($A:$AP,ROW(),$C$6)&amp;""))</f>
        <v/>
      </c>
      <c r="BA633" s="31">
        <f>IF($AZ633="","",IF(COUNTIF($AZ$8:$AZ633,$AZ633)&gt;1,1,0))</f>
        <v/>
      </c>
    </row>
    <row r="634">
      <c r="AR634" s="31">
        <f>IF(OR($A$5="",$B$6="",ROW()&lt;$A$5),"",IF(INDEX($A:$AP,ROW(),$B$6)="","",INDEX($A:$AP,ROW(),$B$6)))</f>
        <v/>
      </c>
      <c r="AS634" s="32">
        <f>IF($AR634="","",IF(ISNUMBER($AR634),IF($AR634&gt;=10000000,IFERROR(DATE(INT($AR634/10000),MOD(INT($AR634/100),100),MOD($AR634,100)),""),INT($AR634)),IFERROR(DATE(--LEFT(LEFT(SUBSTITUTE(SUBSTITUTE(SUBSTITUTE(SUBSTITUTE(TRIM($AR634),"-",""),".",""),"/","")," ",""),8),4),--MID(LEFT(SUBSTITUTE(SUBSTITUTE(SUBSTITUTE(SUBSTITUTE(TRIM($AR634),"-",""),".",""),"/","")," ",""),8),5,2),--MID(LEFT(SUBSTITUTE(SUBSTITUTE(SUBSTITUTE(SUBSTITUTE(TRIM($AR634),"-",""),".",""),"/","")," ",""),8),7,2)),"")))</f>
        <v/>
      </c>
      <c r="AT634" s="33">
        <f>IF($AS634="","",IF($F$6="",0,IF(ISNUMBER(INDEX($A:$AP,ROW(),$F$6)),INDEX($A:$AP,ROW(),$F$6),IFERROR(--SUBSTITUTE(SUBSTITUTE(TRIM(INDEX($A:$AP,ROW(),$F$6)),",",""),"원",""),0))))</f>
        <v/>
      </c>
      <c r="AU634" s="31">
        <f>IF($AS634="","",IF($AX634&lt;&gt;"",SUBSTITUTE(SUBSTITUTE($AX634,"-","")," ",""),"N:"&amp;$AV634))</f>
        <v/>
      </c>
      <c r="AV634" s="31">
        <f>IF(OR($AS634="",$E$6=""),"",TRIM(INDEX($A:$AP,ROW(),$E$6)&amp;""))</f>
        <v/>
      </c>
      <c r="AW634" s="31">
        <f>IF($AU634="","",IF(MATCH($AU634,$AU$8:$AU$2007,0)=ROW()-7,MAX($AW$7:$AW633)+1,""))</f>
        <v/>
      </c>
      <c r="AX634" s="31">
        <f>IF(OR($AS634="",$D$6=""),"",TRIM(INDEX($A:$AP,ROW(),$D$6)&amp;""))</f>
        <v/>
      </c>
      <c r="AY634" s="31">
        <f>IF($AU634="","",INDEX($AW$8:$AW$2007,MATCH($AU634,$AU$8:$AU$2007,0)))</f>
        <v/>
      </c>
      <c r="AZ634" s="31">
        <f>IF(OR($AS634="",$C$6=""),"",TRIM(INDEX($A:$AP,ROW(),$C$6)&amp;""))</f>
        <v/>
      </c>
      <c r="BA634" s="31">
        <f>IF($AZ634="","",IF(COUNTIF($AZ$8:$AZ634,$AZ634)&gt;1,1,0))</f>
        <v/>
      </c>
    </row>
    <row r="635">
      <c r="AR635" s="31">
        <f>IF(OR($A$5="",$B$6="",ROW()&lt;$A$5),"",IF(INDEX($A:$AP,ROW(),$B$6)="","",INDEX($A:$AP,ROW(),$B$6)))</f>
        <v/>
      </c>
      <c r="AS635" s="32">
        <f>IF($AR635="","",IF(ISNUMBER($AR635),IF($AR635&gt;=10000000,IFERROR(DATE(INT($AR635/10000),MOD(INT($AR635/100),100),MOD($AR635,100)),""),INT($AR635)),IFERROR(DATE(--LEFT(LEFT(SUBSTITUTE(SUBSTITUTE(SUBSTITUTE(SUBSTITUTE(TRIM($AR635),"-",""),".",""),"/","")," ",""),8),4),--MID(LEFT(SUBSTITUTE(SUBSTITUTE(SUBSTITUTE(SUBSTITUTE(TRIM($AR635),"-",""),".",""),"/","")," ",""),8),5,2),--MID(LEFT(SUBSTITUTE(SUBSTITUTE(SUBSTITUTE(SUBSTITUTE(TRIM($AR635),"-",""),".",""),"/","")," ",""),8),7,2)),"")))</f>
        <v/>
      </c>
      <c r="AT635" s="33">
        <f>IF($AS635="","",IF($F$6="",0,IF(ISNUMBER(INDEX($A:$AP,ROW(),$F$6)),INDEX($A:$AP,ROW(),$F$6),IFERROR(--SUBSTITUTE(SUBSTITUTE(TRIM(INDEX($A:$AP,ROW(),$F$6)),",",""),"원",""),0))))</f>
        <v/>
      </c>
      <c r="AU635" s="31">
        <f>IF($AS635="","",IF($AX635&lt;&gt;"",SUBSTITUTE(SUBSTITUTE($AX635,"-","")," ",""),"N:"&amp;$AV635))</f>
        <v/>
      </c>
      <c r="AV635" s="31">
        <f>IF(OR($AS635="",$E$6=""),"",TRIM(INDEX($A:$AP,ROW(),$E$6)&amp;""))</f>
        <v/>
      </c>
      <c r="AW635" s="31">
        <f>IF($AU635="","",IF(MATCH($AU635,$AU$8:$AU$2007,0)=ROW()-7,MAX($AW$7:$AW634)+1,""))</f>
        <v/>
      </c>
      <c r="AX635" s="31">
        <f>IF(OR($AS635="",$D$6=""),"",TRIM(INDEX($A:$AP,ROW(),$D$6)&amp;""))</f>
        <v/>
      </c>
      <c r="AY635" s="31">
        <f>IF($AU635="","",INDEX($AW$8:$AW$2007,MATCH($AU635,$AU$8:$AU$2007,0)))</f>
        <v/>
      </c>
      <c r="AZ635" s="31">
        <f>IF(OR($AS635="",$C$6=""),"",TRIM(INDEX($A:$AP,ROW(),$C$6)&amp;""))</f>
        <v/>
      </c>
      <c r="BA635" s="31">
        <f>IF($AZ635="","",IF(COUNTIF($AZ$8:$AZ635,$AZ635)&gt;1,1,0))</f>
        <v/>
      </c>
    </row>
    <row r="636">
      <c r="AR636" s="31">
        <f>IF(OR($A$5="",$B$6="",ROW()&lt;$A$5),"",IF(INDEX($A:$AP,ROW(),$B$6)="","",INDEX($A:$AP,ROW(),$B$6)))</f>
        <v/>
      </c>
      <c r="AS636" s="32">
        <f>IF($AR636="","",IF(ISNUMBER($AR636),IF($AR636&gt;=10000000,IFERROR(DATE(INT($AR636/10000),MOD(INT($AR636/100),100),MOD($AR636,100)),""),INT($AR636)),IFERROR(DATE(--LEFT(LEFT(SUBSTITUTE(SUBSTITUTE(SUBSTITUTE(SUBSTITUTE(TRIM($AR636),"-",""),".",""),"/","")," ",""),8),4),--MID(LEFT(SUBSTITUTE(SUBSTITUTE(SUBSTITUTE(SUBSTITUTE(TRIM($AR636),"-",""),".",""),"/","")," ",""),8),5,2),--MID(LEFT(SUBSTITUTE(SUBSTITUTE(SUBSTITUTE(SUBSTITUTE(TRIM($AR636),"-",""),".",""),"/","")," ",""),8),7,2)),"")))</f>
        <v/>
      </c>
      <c r="AT636" s="33">
        <f>IF($AS636="","",IF($F$6="",0,IF(ISNUMBER(INDEX($A:$AP,ROW(),$F$6)),INDEX($A:$AP,ROW(),$F$6),IFERROR(--SUBSTITUTE(SUBSTITUTE(TRIM(INDEX($A:$AP,ROW(),$F$6)),",",""),"원",""),0))))</f>
        <v/>
      </c>
      <c r="AU636" s="31">
        <f>IF($AS636="","",IF($AX636&lt;&gt;"",SUBSTITUTE(SUBSTITUTE($AX636,"-","")," ",""),"N:"&amp;$AV636))</f>
        <v/>
      </c>
      <c r="AV636" s="31">
        <f>IF(OR($AS636="",$E$6=""),"",TRIM(INDEX($A:$AP,ROW(),$E$6)&amp;""))</f>
        <v/>
      </c>
      <c r="AW636" s="31">
        <f>IF($AU636="","",IF(MATCH($AU636,$AU$8:$AU$2007,0)=ROW()-7,MAX($AW$7:$AW635)+1,""))</f>
        <v/>
      </c>
      <c r="AX636" s="31">
        <f>IF(OR($AS636="",$D$6=""),"",TRIM(INDEX($A:$AP,ROW(),$D$6)&amp;""))</f>
        <v/>
      </c>
      <c r="AY636" s="31">
        <f>IF($AU636="","",INDEX($AW$8:$AW$2007,MATCH($AU636,$AU$8:$AU$2007,0)))</f>
        <v/>
      </c>
      <c r="AZ636" s="31">
        <f>IF(OR($AS636="",$C$6=""),"",TRIM(INDEX($A:$AP,ROW(),$C$6)&amp;""))</f>
        <v/>
      </c>
      <c r="BA636" s="31">
        <f>IF($AZ636="","",IF(COUNTIF($AZ$8:$AZ636,$AZ636)&gt;1,1,0))</f>
        <v/>
      </c>
    </row>
    <row r="637">
      <c r="AR637" s="31">
        <f>IF(OR($A$5="",$B$6="",ROW()&lt;$A$5),"",IF(INDEX($A:$AP,ROW(),$B$6)="","",INDEX($A:$AP,ROW(),$B$6)))</f>
        <v/>
      </c>
      <c r="AS637" s="32">
        <f>IF($AR637="","",IF(ISNUMBER($AR637),IF($AR637&gt;=10000000,IFERROR(DATE(INT($AR637/10000),MOD(INT($AR637/100),100),MOD($AR637,100)),""),INT($AR637)),IFERROR(DATE(--LEFT(LEFT(SUBSTITUTE(SUBSTITUTE(SUBSTITUTE(SUBSTITUTE(TRIM($AR637),"-",""),".",""),"/","")," ",""),8),4),--MID(LEFT(SUBSTITUTE(SUBSTITUTE(SUBSTITUTE(SUBSTITUTE(TRIM($AR637),"-",""),".",""),"/","")," ",""),8),5,2),--MID(LEFT(SUBSTITUTE(SUBSTITUTE(SUBSTITUTE(SUBSTITUTE(TRIM($AR637),"-",""),".",""),"/","")," ",""),8),7,2)),"")))</f>
        <v/>
      </c>
      <c r="AT637" s="33">
        <f>IF($AS637="","",IF($F$6="",0,IF(ISNUMBER(INDEX($A:$AP,ROW(),$F$6)),INDEX($A:$AP,ROW(),$F$6),IFERROR(--SUBSTITUTE(SUBSTITUTE(TRIM(INDEX($A:$AP,ROW(),$F$6)),",",""),"원",""),0))))</f>
        <v/>
      </c>
      <c r="AU637" s="31">
        <f>IF($AS637="","",IF($AX637&lt;&gt;"",SUBSTITUTE(SUBSTITUTE($AX637,"-","")," ",""),"N:"&amp;$AV637))</f>
        <v/>
      </c>
      <c r="AV637" s="31">
        <f>IF(OR($AS637="",$E$6=""),"",TRIM(INDEX($A:$AP,ROW(),$E$6)&amp;""))</f>
        <v/>
      </c>
      <c r="AW637" s="31">
        <f>IF($AU637="","",IF(MATCH($AU637,$AU$8:$AU$2007,0)=ROW()-7,MAX($AW$7:$AW636)+1,""))</f>
        <v/>
      </c>
      <c r="AX637" s="31">
        <f>IF(OR($AS637="",$D$6=""),"",TRIM(INDEX($A:$AP,ROW(),$D$6)&amp;""))</f>
        <v/>
      </c>
      <c r="AY637" s="31">
        <f>IF($AU637="","",INDEX($AW$8:$AW$2007,MATCH($AU637,$AU$8:$AU$2007,0)))</f>
        <v/>
      </c>
      <c r="AZ637" s="31">
        <f>IF(OR($AS637="",$C$6=""),"",TRIM(INDEX($A:$AP,ROW(),$C$6)&amp;""))</f>
        <v/>
      </c>
      <c r="BA637" s="31">
        <f>IF($AZ637="","",IF(COUNTIF($AZ$8:$AZ637,$AZ637)&gt;1,1,0))</f>
        <v/>
      </c>
    </row>
    <row r="638">
      <c r="AR638" s="31">
        <f>IF(OR($A$5="",$B$6="",ROW()&lt;$A$5),"",IF(INDEX($A:$AP,ROW(),$B$6)="","",INDEX($A:$AP,ROW(),$B$6)))</f>
        <v/>
      </c>
      <c r="AS638" s="32">
        <f>IF($AR638="","",IF(ISNUMBER($AR638),IF($AR638&gt;=10000000,IFERROR(DATE(INT($AR638/10000),MOD(INT($AR638/100),100),MOD($AR638,100)),""),INT($AR638)),IFERROR(DATE(--LEFT(LEFT(SUBSTITUTE(SUBSTITUTE(SUBSTITUTE(SUBSTITUTE(TRIM($AR638),"-",""),".",""),"/","")," ",""),8),4),--MID(LEFT(SUBSTITUTE(SUBSTITUTE(SUBSTITUTE(SUBSTITUTE(TRIM($AR638),"-",""),".",""),"/","")," ",""),8),5,2),--MID(LEFT(SUBSTITUTE(SUBSTITUTE(SUBSTITUTE(SUBSTITUTE(TRIM($AR638),"-",""),".",""),"/","")," ",""),8),7,2)),"")))</f>
        <v/>
      </c>
      <c r="AT638" s="33">
        <f>IF($AS638="","",IF($F$6="",0,IF(ISNUMBER(INDEX($A:$AP,ROW(),$F$6)),INDEX($A:$AP,ROW(),$F$6),IFERROR(--SUBSTITUTE(SUBSTITUTE(TRIM(INDEX($A:$AP,ROW(),$F$6)),",",""),"원",""),0))))</f>
        <v/>
      </c>
      <c r="AU638" s="31">
        <f>IF($AS638="","",IF($AX638&lt;&gt;"",SUBSTITUTE(SUBSTITUTE($AX638,"-","")," ",""),"N:"&amp;$AV638))</f>
        <v/>
      </c>
      <c r="AV638" s="31">
        <f>IF(OR($AS638="",$E$6=""),"",TRIM(INDEX($A:$AP,ROW(),$E$6)&amp;""))</f>
        <v/>
      </c>
      <c r="AW638" s="31">
        <f>IF($AU638="","",IF(MATCH($AU638,$AU$8:$AU$2007,0)=ROW()-7,MAX($AW$7:$AW637)+1,""))</f>
        <v/>
      </c>
      <c r="AX638" s="31">
        <f>IF(OR($AS638="",$D$6=""),"",TRIM(INDEX($A:$AP,ROW(),$D$6)&amp;""))</f>
        <v/>
      </c>
      <c r="AY638" s="31">
        <f>IF($AU638="","",INDEX($AW$8:$AW$2007,MATCH($AU638,$AU$8:$AU$2007,0)))</f>
        <v/>
      </c>
      <c r="AZ638" s="31">
        <f>IF(OR($AS638="",$C$6=""),"",TRIM(INDEX($A:$AP,ROW(),$C$6)&amp;""))</f>
        <v/>
      </c>
      <c r="BA638" s="31">
        <f>IF($AZ638="","",IF(COUNTIF($AZ$8:$AZ638,$AZ638)&gt;1,1,0))</f>
        <v/>
      </c>
    </row>
    <row r="639">
      <c r="AR639" s="31">
        <f>IF(OR($A$5="",$B$6="",ROW()&lt;$A$5),"",IF(INDEX($A:$AP,ROW(),$B$6)="","",INDEX($A:$AP,ROW(),$B$6)))</f>
        <v/>
      </c>
      <c r="AS639" s="32">
        <f>IF($AR639="","",IF(ISNUMBER($AR639),IF($AR639&gt;=10000000,IFERROR(DATE(INT($AR639/10000),MOD(INT($AR639/100),100),MOD($AR639,100)),""),INT($AR639)),IFERROR(DATE(--LEFT(LEFT(SUBSTITUTE(SUBSTITUTE(SUBSTITUTE(SUBSTITUTE(TRIM($AR639),"-",""),".",""),"/","")," ",""),8),4),--MID(LEFT(SUBSTITUTE(SUBSTITUTE(SUBSTITUTE(SUBSTITUTE(TRIM($AR639),"-",""),".",""),"/","")," ",""),8),5,2),--MID(LEFT(SUBSTITUTE(SUBSTITUTE(SUBSTITUTE(SUBSTITUTE(TRIM($AR639),"-",""),".",""),"/","")," ",""),8),7,2)),"")))</f>
        <v/>
      </c>
      <c r="AT639" s="33">
        <f>IF($AS639="","",IF($F$6="",0,IF(ISNUMBER(INDEX($A:$AP,ROW(),$F$6)),INDEX($A:$AP,ROW(),$F$6),IFERROR(--SUBSTITUTE(SUBSTITUTE(TRIM(INDEX($A:$AP,ROW(),$F$6)),",",""),"원",""),0))))</f>
        <v/>
      </c>
      <c r="AU639" s="31">
        <f>IF($AS639="","",IF($AX639&lt;&gt;"",SUBSTITUTE(SUBSTITUTE($AX639,"-","")," ",""),"N:"&amp;$AV639))</f>
        <v/>
      </c>
      <c r="AV639" s="31">
        <f>IF(OR($AS639="",$E$6=""),"",TRIM(INDEX($A:$AP,ROW(),$E$6)&amp;""))</f>
        <v/>
      </c>
      <c r="AW639" s="31">
        <f>IF($AU639="","",IF(MATCH($AU639,$AU$8:$AU$2007,0)=ROW()-7,MAX($AW$7:$AW638)+1,""))</f>
        <v/>
      </c>
      <c r="AX639" s="31">
        <f>IF(OR($AS639="",$D$6=""),"",TRIM(INDEX($A:$AP,ROW(),$D$6)&amp;""))</f>
        <v/>
      </c>
      <c r="AY639" s="31">
        <f>IF($AU639="","",INDEX($AW$8:$AW$2007,MATCH($AU639,$AU$8:$AU$2007,0)))</f>
        <v/>
      </c>
      <c r="AZ639" s="31">
        <f>IF(OR($AS639="",$C$6=""),"",TRIM(INDEX($A:$AP,ROW(),$C$6)&amp;""))</f>
        <v/>
      </c>
      <c r="BA639" s="31">
        <f>IF($AZ639="","",IF(COUNTIF($AZ$8:$AZ639,$AZ639)&gt;1,1,0))</f>
        <v/>
      </c>
    </row>
    <row r="640">
      <c r="AR640" s="31">
        <f>IF(OR($A$5="",$B$6="",ROW()&lt;$A$5),"",IF(INDEX($A:$AP,ROW(),$B$6)="","",INDEX($A:$AP,ROW(),$B$6)))</f>
        <v/>
      </c>
      <c r="AS640" s="32">
        <f>IF($AR640="","",IF(ISNUMBER($AR640),IF($AR640&gt;=10000000,IFERROR(DATE(INT($AR640/10000),MOD(INT($AR640/100),100),MOD($AR640,100)),""),INT($AR640)),IFERROR(DATE(--LEFT(LEFT(SUBSTITUTE(SUBSTITUTE(SUBSTITUTE(SUBSTITUTE(TRIM($AR640),"-",""),".",""),"/","")," ",""),8),4),--MID(LEFT(SUBSTITUTE(SUBSTITUTE(SUBSTITUTE(SUBSTITUTE(TRIM($AR640),"-",""),".",""),"/","")," ",""),8),5,2),--MID(LEFT(SUBSTITUTE(SUBSTITUTE(SUBSTITUTE(SUBSTITUTE(TRIM($AR640),"-",""),".",""),"/","")," ",""),8),7,2)),"")))</f>
        <v/>
      </c>
      <c r="AT640" s="33">
        <f>IF($AS640="","",IF($F$6="",0,IF(ISNUMBER(INDEX($A:$AP,ROW(),$F$6)),INDEX($A:$AP,ROW(),$F$6),IFERROR(--SUBSTITUTE(SUBSTITUTE(TRIM(INDEX($A:$AP,ROW(),$F$6)),",",""),"원",""),0))))</f>
        <v/>
      </c>
      <c r="AU640" s="31">
        <f>IF($AS640="","",IF($AX640&lt;&gt;"",SUBSTITUTE(SUBSTITUTE($AX640,"-","")," ",""),"N:"&amp;$AV640))</f>
        <v/>
      </c>
      <c r="AV640" s="31">
        <f>IF(OR($AS640="",$E$6=""),"",TRIM(INDEX($A:$AP,ROW(),$E$6)&amp;""))</f>
        <v/>
      </c>
      <c r="AW640" s="31">
        <f>IF($AU640="","",IF(MATCH($AU640,$AU$8:$AU$2007,0)=ROW()-7,MAX($AW$7:$AW639)+1,""))</f>
        <v/>
      </c>
      <c r="AX640" s="31">
        <f>IF(OR($AS640="",$D$6=""),"",TRIM(INDEX($A:$AP,ROW(),$D$6)&amp;""))</f>
        <v/>
      </c>
      <c r="AY640" s="31">
        <f>IF($AU640="","",INDEX($AW$8:$AW$2007,MATCH($AU640,$AU$8:$AU$2007,0)))</f>
        <v/>
      </c>
      <c r="AZ640" s="31">
        <f>IF(OR($AS640="",$C$6=""),"",TRIM(INDEX($A:$AP,ROW(),$C$6)&amp;""))</f>
        <v/>
      </c>
      <c r="BA640" s="31">
        <f>IF($AZ640="","",IF(COUNTIF($AZ$8:$AZ640,$AZ640)&gt;1,1,0))</f>
        <v/>
      </c>
    </row>
    <row r="641">
      <c r="AR641" s="31">
        <f>IF(OR($A$5="",$B$6="",ROW()&lt;$A$5),"",IF(INDEX($A:$AP,ROW(),$B$6)="","",INDEX($A:$AP,ROW(),$B$6)))</f>
        <v/>
      </c>
      <c r="AS641" s="32">
        <f>IF($AR641="","",IF(ISNUMBER($AR641),IF($AR641&gt;=10000000,IFERROR(DATE(INT($AR641/10000),MOD(INT($AR641/100),100),MOD($AR641,100)),""),INT($AR641)),IFERROR(DATE(--LEFT(LEFT(SUBSTITUTE(SUBSTITUTE(SUBSTITUTE(SUBSTITUTE(TRIM($AR641),"-",""),".",""),"/","")," ",""),8),4),--MID(LEFT(SUBSTITUTE(SUBSTITUTE(SUBSTITUTE(SUBSTITUTE(TRIM($AR641),"-",""),".",""),"/","")," ",""),8),5,2),--MID(LEFT(SUBSTITUTE(SUBSTITUTE(SUBSTITUTE(SUBSTITUTE(TRIM($AR641),"-",""),".",""),"/","")," ",""),8),7,2)),"")))</f>
        <v/>
      </c>
      <c r="AT641" s="33">
        <f>IF($AS641="","",IF($F$6="",0,IF(ISNUMBER(INDEX($A:$AP,ROW(),$F$6)),INDEX($A:$AP,ROW(),$F$6),IFERROR(--SUBSTITUTE(SUBSTITUTE(TRIM(INDEX($A:$AP,ROW(),$F$6)),",",""),"원",""),0))))</f>
        <v/>
      </c>
      <c r="AU641" s="31">
        <f>IF($AS641="","",IF($AX641&lt;&gt;"",SUBSTITUTE(SUBSTITUTE($AX641,"-","")," ",""),"N:"&amp;$AV641))</f>
        <v/>
      </c>
      <c r="AV641" s="31">
        <f>IF(OR($AS641="",$E$6=""),"",TRIM(INDEX($A:$AP,ROW(),$E$6)&amp;""))</f>
        <v/>
      </c>
      <c r="AW641" s="31">
        <f>IF($AU641="","",IF(MATCH($AU641,$AU$8:$AU$2007,0)=ROW()-7,MAX($AW$7:$AW640)+1,""))</f>
        <v/>
      </c>
      <c r="AX641" s="31">
        <f>IF(OR($AS641="",$D$6=""),"",TRIM(INDEX($A:$AP,ROW(),$D$6)&amp;""))</f>
        <v/>
      </c>
      <c r="AY641" s="31">
        <f>IF($AU641="","",INDEX($AW$8:$AW$2007,MATCH($AU641,$AU$8:$AU$2007,0)))</f>
        <v/>
      </c>
      <c r="AZ641" s="31">
        <f>IF(OR($AS641="",$C$6=""),"",TRIM(INDEX($A:$AP,ROW(),$C$6)&amp;""))</f>
        <v/>
      </c>
      <c r="BA641" s="31">
        <f>IF($AZ641="","",IF(COUNTIF($AZ$8:$AZ641,$AZ641)&gt;1,1,0))</f>
        <v/>
      </c>
    </row>
    <row r="642">
      <c r="AR642" s="31">
        <f>IF(OR($A$5="",$B$6="",ROW()&lt;$A$5),"",IF(INDEX($A:$AP,ROW(),$B$6)="","",INDEX($A:$AP,ROW(),$B$6)))</f>
        <v/>
      </c>
      <c r="AS642" s="32">
        <f>IF($AR642="","",IF(ISNUMBER($AR642),IF($AR642&gt;=10000000,IFERROR(DATE(INT($AR642/10000),MOD(INT($AR642/100),100),MOD($AR642,100)),""),INT($AR642)),IFERROR(DATE(--LEFT(LEFT(SUBSTITUTE(SUBSTITUTE(SUBSTITUTE(SUBSTITUTE(TRIM($AR642),"-",""),".",""),"/","")," ",""),8),4),--MID(LEFT(SUBSTITUTE(SUBSTITUTE(SUBSTITUTE(SUBSTITUTE(TRIM($AR642),"-",""),".",""),"/","")," ",""),8),5,2),--MID(LEFT(SUBSTITUTE(SUBSTITUTE(SUBSTITUTE(SUBSTITUTE(TRIM($AR642),"-",""),".",""),"/","")," ",""),8),7,2)),"")))</f>
        <v/>
      </c>
      <c r="AT642" s="33">
        <f>IF($AS642="","",IF($F$6="",0,IF(ISNUMBER(INDEX($A:$AP,ROW(),$F$6)),INDEX($A:$AP,ROW(),$F$6),IFERROR(--SUBSTITUTE(SUBSTITUTE(TRIM(INDEX($A:$AP,ROW(),$F$6)),",",""),"원",""),0))))</f>
        <v/>
      </c>
      <c r="AU642" s="31">
        <f>IF($AS642="","",IF($AX642&lt;&gt;"",SUBSTITUTE(SUBSTITUTE($AX642,"-","")," ",""),"N:"&amp;$AV642))</f>
        <v/>
      </c>
      <c r="AV642" s="31">
        <f>IF(OR($AS642="",$E$6=""),"",TRIM(INDEX($A:$AP,ROW(),$E$6)&amp;""))</f>
        <v/>
      </c>
      <c r="AW642" s="31">
        <f>IF($AU642="","",IF(MATCH($AU642,$AU$8:$AU$2007,0)=ROW()-7,MAX($AW$7:$AW641)+1,""))</f>
        <v/>
      </c>
      <c r="AX642" s="31">
        <f>IF(OR($AS642="",$D$6=""),"",TRIM(INDEX($A:$AP,ROW(),$D$6)&amp;""))</f>
        <v/>
      </c>
      <c r="AY642" s="31">
        <f>IF($AU642="","",INDEX($AW$8:$AW$2007,MATCH($AU642,$AU$8:$AU$2007,0)))</f>
        <v/>
      </c>
      <c r="AZ642" s="31">
        <f>IF(OR($AS642="",$C$6=""),"",TRIM(INDEX($A:$AP,ROW(),$C$6)&amp;""))</f>
        <v/>
      </c>
      <c r="BA642" s="31">
        <f>IF($AZ642="","",IF(COUNTIF($AZ$8:$AZ642,$AZ642)&gt;1,1,0))</f>
        <v/>
      </c>
    </row>
    <row r="643">
      <c r="AR643" s="31">
        <f>IF(OR($A$5="",$B$6="",ROW()&lt;$A$5),"",IF(INDEX($A:$AP,ROW(),$B$6)="","",INDEX($A:$AP,ROW(),$B$6)))</f>
        <v/>
      </c>
      <c r="AS643" s="32">
        <f>IF($AR643="","",IF(ISNUMBER($AR643),IF($AR643&gt;=10000000,IFERROR(DATE(INT($AR643/10000),MOD(INT($AR643/100),100),MOD($AR643,100)),""),INT($AR643)),IFERROR(DATE(--LEFT(LEFT(SUBSTITUTE(SUBSTITUTE(SUBSTITUTE(SUBSTITUTE(TRIM($AR643),"-",""),".",""),"/","")," ",""),8),4),--MID(LEFT(SUBSTITUTE(SUBSTITUTE(SUBSTITUTE(SUBSTITUTE(TRIM($AR643),"-",""),".",""),"/","")," ",""),8),5,2),--MID(LEFT(SUBSTITUTE(SUBSTITUTE(SUBSTITUTE(SUBSTITUTE(TRIM($AR643),"-",""),".",""),"/","")," ",""),8),7,2)),"")))</f>
        <v/>
      </c>
      <c r="AT643" s="33">
        <f>IF($AS643="","",IF($F$6="",0,IF(ISNUMBER(INDEX($A:$AP,ROW(),$F$6)),INDEX($A:$AP,ROW(),$F$6),IFERROR(--SUBSTITUTE(SUBSTITUTE(TRIM(INDEX($A:$AP,ROW(),$F$6)),",",""),"원",""),0))))</f>
        <v/>
      </c>
      <c r="AU643" s="31">
        <f>IF($AS643="","",IF($AX643&lt;&gt;"",SUBSTITUTE(SUBSTITUTE($AX643,"-","")," ",""),"N:"&amp;$AV643))</f>
        <v/>
      </c>
      <c r="AV643" s="31">
        <f>IF(OR($AS643="",$E$6=""),"",TRIM(INDEX($A:$AP,ROW(),$E$6)&amp;""))</f>
        <v/>
      </c>
      <c r="AW643" s="31">
        <f>IF($AU643="","",IF(MATCH($AU643,$AU$8:$AU$2007,0)=ROW()-7,MAX($AW$7:$AW642)+1,""))</f>
        <v/>
      </c>
      <c r="AX643" s="31">
        <f>IF(OR($AS643="",$D$6=""),"",TRIM(INDEX($A:$AP,ROW(),$D$6)&amp;""))</f>
        <v/>
      </c>
      <c r="AY643" s="31">
        <f>IF($AU643="","",INDEX($AW$8:$AW$2007,MATCH($AU643,$AU$8:$AU$2007,0)))</f>
        <v/>
      </c>
      <c r="AZ643" s="31">
        <f>IF(OR($AS643="",$C$6=""),"",TRIM(INDEX($A:$AP,ROW(),$C$6)&amp;""))</f>
        <v/>
      </c>
      <c r="BA643" s="31">
        <f>IF($AZ643="","",IF(COUNTIF($AZ$8:$AZ643,$AZ643)&gt;1,1,0))</f>
        <v/>
      </c>
    </row>
    <row r="644">
      <c r="AR644" s="31">
        <f>IF(OR($A$5="",$B$6="",ROW()&lt;$A$5),"",IF(INDEX($A:$AP,ROW(),$B$6)="","",INDEX($A:$AP,ROW(),$B$6)))</f>
        <v/>
      </c>
      <c r="AS644" s="32">
        <f>IF($AR644="","",IF(ISNUMBER($AR644),IF($AR644&gt;=10000000,IFERROR(DATE(INT($AR644/10000),MOD(INT($AR644/100),100),MOD($AR644,100)),""),INT($AR644)),IFERROR(DATE(--LEFT(LEFT(SUBSTITUTE(SUBSTITUTE(SUBSTITUTE(SUBSTITUTE(TRIM($AR644),"-",""),".",""),"/","")," ",""),8),4),--MID(LEFT(SUBSTITUTE(SUBSTITUTE(SUBSTITUTE(SUBSTITUTE(TRIM($AR644),"-",""),".",""),"/","")," ",""),8),5,2),--MID(LEFT(SUBSTITUTE(SUBSTITUTE(SUBSTITUTE(SUBSTITUTE(TRIM($AR644),"-",""),".",""),"/","")," ",""),8),7,2)),"")))</f>
        <v/>
      </c>
      <c r="AT644" s="33">
        <f>IF($AS644="","",IF($F$6="",0,IF(ISNUMBER(INDEX($A:$AP,ROW(),$F$6)),INDEX($A:$AP,ROW(),$F$6),IFERROR(--SUBSTITUTE(SUBSTITUTE(TRIM(INDEX($A:$AP,ROW(),$F$6)),",",""),"원",""),0))))</f>
        <v/>
      </c>
      <c r="AU644" s="31">
        <f>IF($AS644="","",IF($AX644&lt;&gt;"",SUBSTITUTE(SUBSTITUTE($AX644,"-","")," ",""),"N:"&amp;$AV644))</f>
        <v/>
      </c>
      <c r="AV644" s="31">
        <f>IF(OR($AS644="",$E$6=""),"",TRIM(INDEX($A:$AP,ROW(),$E$6)&amp;""))</f>
        <v/>
      </c>
      <c r="AW644" s="31">
        <f>IF($AU644="","",IF(MATCH($AU644,$AU$8:$AU$2007,0)=ROW()-7,MAX($AW$7:$AW643)+1,""))</f>
        <v/>
      </c>
      <c r="AX644" s="31">
        <f>IF(OR($AS644="",$D$6=""),"",TRIM(INDEX($A:$AP,ROW(),$D$6)&amp;""))</f>
        <v/>
      </c>
      <c r="AY644" s="31">
        <f>IF($AU644="","",INDEX($AW$8:$AW$2007,MATCH($AU644,$AU$8:$AU$2007,0)))</f>
        <v/>
      </c>
      <c r="AZ644" s="31">
        <f>IF(OR($AS644="",$C$6=""),"",TRIM(INDEX($A:$AP,ROW(),$C$6)&amp;""))</f>
        <v/>
      </c>
      <c r="BA644" s="31">
        <f>IF($AZ644="","",IF(COUNTIF($AZ$8:$AZ644,$AZ644)&gt;1,1,0))</f>
        <v/>
      </c>
    </row>
    <row r="645">
      <c r="AR645" s="31">
        <f>IF(OR($A$5="",$B$6="",ROW()&lt;$A$5),"",IF(INDEX($A:$AP,ROW(),$B$6)="","",INDEX($A:$AP,ROW(),$B$6)))</f>
        <v/>
      </c>
      <c r="AS645" s="32">
        <f>IF($AR645="","",IF(ISNUMBER($AR645),IF($AR645&gt;=10000000,IFERROR(DATE(INT($AR645/10000),MOD(INT($AR645/100),100),MOD($AR645,100)),""),INT($AR645)),IFERROR(DATE(--LEFT(LEFT(SUBSTITUTE(SUBSTITUTE(SUBSTITUTE(SUBSTITUTE(TRIM($AR645),"-",""),".",""),"/","")," ",""),8),4),--MID(LEFT(SUBSTITUTE(SUBSTITUTE(SUBSTITUTE(SUBSTITUTE(TRIM($AR645),"-",""),".",""),"/","")," ",""),8),5,2),--MID(LEFT(SUBSTITUTE(SUBSTITUTE(SUBSTITUTE(SUBSTITUTE(TRIM($AR645),"-",""),".",""),"/","")," ",""),8),7,2)),"")))</f>
        <v/>
      </c>
      <c r="AT645" s="33">
        <f>IF($AS645="","",IF($F$6="",0,IF(ISNUMBER(INDEX($A:$AP,ROW(),$F$6)),INDEX($A:$AP,ROW(),$F$6),IFERROR(--SUBSTITUTE(SUBSTITUTE(TRIM(INDEX($A:$AP,ROW(),$F$6)),",",""),"원",""),0))))</f>
        <v/>
      </c>
      <c r="AU645" s="31">
        <f>IF($AS645="","",IF($AX645&lt;&gt;"",SUBSTITUTE(SUBSTITUTE($AX645,"-","")," ",""),"N:"&amp;$AV645))</f>
        <v/>
      </c>
      <c r="AV645" s="31">
        <f>IF(OR($AS645="",$E$6=""),"",TRIM(INDEX($A:$AP,ROW(),$E$6)&amp;""))</f>
        <v/>
      </c>
      <c r="AW645" s="31">
        <f>IF($AU645="","",IF(MATCH($AU645,$AU$8:$AU$2007,0)=ROW()-7,MAX($AW$7:$AW644)+1,""))</f>
        <v/>
      </c>
      <c r="AX645" s="31">
        <f>IF(OR($AS645="",$D$6=""),"",TRIM(INDEX($A:$AP,ROW(),$D$6)&amp;""))</f>
        <v/>
      </c>
      <c r="AY645" s="31">
        <f>IF($AU645="","",INDEX($AW$8:$AW$2007,MATCH($AU645,$AU$8:$AU$2007,0)))</f>
        <v/>
      </c>
      <c r="AZ645" s="31">
        <f>IF(OR($AS645="",$C$6=""),"",TRIM(INDEX($A:$AP,ROW(),$C$6)&amp;""))</f>
        <v/>
      </c>
      <c r="BA645" s="31">
        <f>IF($AZ645="","",IF(COUNTIF($AZ$8:$AZ645,$AZ645)&gt;1,1,0))</f>
        <v/>
      </c>
    </row>
    <row r="646">
      <c r="AR646" s="31">
        <f>IF(OR($A$5="",$B$6="",ROW()&lt;$A$5),"",IF(INDEX($A:$AP,ROW(),$B$6)="","",INDEX($A:$AP,ROW(),$B$6)))</f>
        <v/>
      </c>
      <c r="AS646" s="32">
        <f>IF($AR646="","",IF(ISNUMBER($AR646),IF($AR646&gt;=10000000,IFERROR(DATE(INT($AR646/10000),MOD(INT($AR646/100),100),MOD($AR646,100)),""),INT($AR646)),IFERROR(DATE(--LEFT(LEFT(SUBSTITUTE(SUBSTITUTE(SUBSTITUTE(SUBSTITUTE(TRIM($AR646),"-",""),".",""),"/","")," ",""),8),4),--MID(LEFT(SUBSTITUTE(SUBSTITUTE(SUBSTITUTE(SUBSTITUTE(TRIM($AR646),"-",""),".",""),"/","")," ",""),8),5,2),--MID(LEFT(SUBSTITUTE(SUBSTITUTE(SUBSTITUTE(SUBSTITUTE(TRIM($AR646),"-",""),".",""),"/","")," ",""),8),7,2)),"")))</f>
        <v/>
      </c>
      <c r="AT646" s="33">
        <f>IF($AS646="","",IF($F$6="",0,IF(ISNUMBER(INDEX($A:$AP,ROW(),$F$6)),INDEX($A:$AP,ROW(),$F$6),IFERROR(--SUBSTITUTE(SUBSTITUTE(TRIM(INDEX($A:$AP,ROW(),$F$6)),",",""),"원",""),0))))</f>
        <v/>
      </c>
      <c r="AU646" s="31">
        <f>IF($AS646="","",IF($AX646&lt;&gt;"",SUBSTITUTE(SUBSTITUTE($AX646,"-","")," ",""),"N:"&amp;$AV646))</f>
        <v/>
      </c>
      <c r="AV646" s="31">
        <f>IF(OR($AS646="",$E$6=""),"",TRIM(INDEX($A:$AP,ROW(),$E$6)&amp;""))</f>
        <v/>
      </c>
      <c r="AW646" s="31">
        <f>IF($AU646="","",IF(MATCH($AU646,$AU$8:$AU$2007,0)=ROW()-7,MAX($AW$7:$AW645)+1,""))</f>
        <v/>
      </c>
      <c r="AX646" s="31">
        <f>IF(OR($AS646="",$D$6=""),"",TRIM(INDEX($A:$AP,ROW(),$D$6)&amp;""))</f>
        <v/>
      </c>
      <c r="AY646" s="31">
        <f>IF($AU646="","",INDEX($AW$8:$AW$2007,MATCH($AU646,$AU$8:$AU$2007,0)))</f>
        <v/>
      </c>
      <c r="AZ646" s="31">
        <f>IF(OR($AS646="",$C$6=""),"",TRIM(INDEX($A:$AP,ROW(),$C$6)&amp;""))</f>
        <v/>
      </c>
      <c r="BA646" s="31">
        <f>IF($AZ646="","",IF(COUNTIF($AZ$8:$AZ646,$AZ646)&gt;1,1,0))</f>
        <v/>
      </c>
    </row>
    <row r="647">
      <c r="AR647" s="31">
        <f>IF(OR($A$5="",$B$6="",ROW()&lt;$A$5),"",IF(INDEX($A:$AP,ROW(),$B$6)="","",INDEX($A:$AP,ROW(),$B$6)))</f>
        <v/>
      </c>
      <c r="AS647" s="32">
        <f>IF($AR647="","",IF(ISNUMBER($AR647),IF($AR647&gt;=10000000,IFERROR(DATE(INT($AR647/10000),MOD(INT($AR647/100),100),MOD($AR647,100)),""),INT($AR647)),IFERROR(DATE(--LEFT(LEFT(SUBSTITUTE(SUBSTITUTE(SUBSTITUTE(SUBSTITUTE(TRIM($AR647),"-",""),".",""),"/","")," ",""),8),4),--MID(LEFT(SUBSTITUTE(SUBSTITUTE(SUBSTITUTE(SUBSTITUTE(TRIM($AR647),"-",""),".",""),"/","")," ",""),8),5,2),--MID(LEFT(SUBSTITUTE(SUBSTITUTE(SUBSTITUTE(SUBSTITUTE(TRIM($AR647),"-",""),".",""),"/","")," ",""),8),7,2)),"")))</f>
        <v/>
      </c>
      <c r="AT647" s="33">
        <f>IF($AS647="","",IF($F$6="",0,IF(ISNUMBER(INDEX($A:$AP,ROW(),$F$6)),INDEX($A:$AP,ROW(),$F$6),IFERROR(--SUBSTITUTE(SUBSTITUTE(TRIM(INDEX($A:$AP,ROW(),$F$6)),",",""),"원",""),0))))</f>
        <v/>
      </c>
      <c r="AU647" s="31">
        <f>IF($AS647="","",IF($AX647&lt;&gt;"",SUBSTITUTE(SUBSTITUTE($AX647,"-","")," ",""),"N:"&amp;$AV647))</f>
        <v/>
      </c>
      <c r="AV647" s="31">
        <f>IF(OR($AS647="",$E$6=""),"",TRIM(INDEX($A:$AP,ROW(),$E$6)&amp;""))</f>
        <v/>
      </c>
      <c r="AW647" s="31">
        <f>IF($AU647="","",IF(MATCH($AU647,$AU$8:$AU$2007,0)=ROW()-7,MAX($AW$7:$AW646)+1,""))</f>
        <v/>
      </c>
      <c r="AX647" s="31">
        <f>IF(OR($AS647="",$D$6=""),"",TRIM(INDEX($A:$AP,ROW(),$D$6)&amp;""))</f>
        <v/>
      </c>
      <c r="AY647" s="31">
        <f>IF($AU647="","",INDEX($AW$8:$AW$2007,MATCH($AU647,$AU$8:$AU$2007,0)))</f>
        <v/>
      </c>
      <c r="AZ647" s="31">
        <f>IF(OR($AS647="",$C$6=""),"",TRIM(INDEX($A:$AP,ROW(),$C$6)&amp;""))</f>
        <v/>
      </c>
      <c r="BA647" s="31">
        <f>IF($AZ647="","",IF(COUNTIF($AZ$8:$AZ647,$AZ647)&gt;1,1,0))</f>
        <v/>
      </c>
    </row>
    <row r="648">
      <c r="AR648" s="31">
        <f>IF(OR($A$5="",$B$6="",ROW()&lt;$A$5),"",IF(INDEX($A:$AP,ROW(),$B$6)="","",INDEX($A:$AP,ROW(),$B$6)))</f>
        <v/>
      </c>
      <c r="AS648" s="32">
        <f>IF($AR648="","",IF(ISNUMBER($AR648),IF($AR648&gt;=10000000,IFERROR(DATE(INT($AR648/10000),MOD(INT($AR648/100),100),MOD($AR648,100)),""),INT($AR648)),IFERROR(DATE(--LEFT(LEFT(SUBSTITUTE(SUBSTITUTE(SUBSTITUTE(SUBSTITUTE(TRIM($AR648),"-",""),".",""),"/","")," ",""),8),4),--MID(LEFT(SUBSTITUTE(SUBSTITUTE(SUBSTITUTE(SUBSTITUTE(TRIM($AR648),"-",""),".",""),"/","")," ",""),8),5,2),--MID(LEFT(SUBSTITUTE(SUBSTITUTE(SUBSTITUTE(SUBSTITUTE(TRIM($AR648),"-",""),".",""),"/","")," ",""),8),7,2)),"")))</f>
        <v/>
      </c>
      <c r="AT648" s="33">
        <f>IF($AS648="","",IF($F$6="",0,IF(ISNUMBER(INDEX($A:$AP,ROW(),$F$6)),INDEX($A:$AP,ROW(),$F$6),IFERROR(--SUBSTITUTE(SUBSTITUTE(TRIM(INDEX($A:$AP,ROW(),$F$6)),",",""),"원",""),0))))</f>
        <v/>
      </c>
      <c r="AU648" s="31">
        <f>IF($AS648="","",IF($AX648&lt;&gt;"",SUBSTITUTE(SUBSTITUTE($AX648,"-","")," ",""),"N:"&amp;$AV648))</f>
        <v/>
      </c>
      <c r="AV648" s="31">
        <f>IF(OR($AS648="",$E$6=""),"",TRIM(INDEX($A:$AP,ROW(),$E$6)&amp;""))</f>
        <v/>
      </c>
      <c r="AW648" s="31">
        <f>IF($AU648="","",IF(MATCH($AU648,$AU$8:$AU$2007,0)=ROW()-7,MAX($AW$7:$AW647)+1,""))</f>
        <v/>
      </c>
      <c r="AX648" s="31">
        <f>IF(OR($AS648="",$D$6=""),"",TRIM(INDEX($A:$AP,ROW(),$D$6)&amp;""))</f>
        <v/>
      </c>
      <c r="AY648" s="31">
        <f>IF($AU648="","",INDEX($AW$8:$AW$2007,MATCH($AU648,$AU$8:$AU$2007,0)))</f>
        <v/>
      </c>
      <c r="AZ648" s="31">
        <f>IF(OR($AS648="",$C$6=""),"",TRIM(INDEX($A:$AP,ROW(),$C$6)&amp;""))</f>
        <v/>
      </c>
      <c r="BA648" s="31">
        <f>IF($AZ648="","",IF(COUNTIF($AZ$8:$AZ648,$AZ648)&gt;1,1,0))</f>
        <v/>
      </c>
    </row>
    <row r="649">
      <c r="AR649" s="31">
        <f>IF(OR($A$5="",$B$6="",ROW()&lt;$A$5),"",IF(INDEX($A:$AP,ROW(),$B$6)="","",INDEX($A:$AP,ROW(),$B$6)))</f>
        <v/>
      </c>
      <c r="AS649" s="32">
        <f>IF($AR649="","",IF(ISNUMBER($AR649),IF($AR649&gt;=10000000,IFERROR(DATE(INT($AR649/10000),MOD(INT($AR649/100),100),MOD($AR649,100)),""),INT($AR649)),IFERROR(DATE(--LEFT(LEFT(SUBSTITUTE(SUBSTITUTE(SUBSTITUTE(SUBSTITUTE(TRIM($AR649),"-",""),".",""),"/","")," ",""),8),4),--MID(LEFT(SUBSTITUTE(SUBSTITUTE(SUBSTITUTE(SUBSTITUTE(TRIM($AR649),"-",""),".",""),"/","")," ",""),8),5,2),--MID(LEFT(SUBSTITUTE(SUBSTITUTE(SUBSTITUTE(SUBSTITUTE(TRIM($AR649),"-",""),".",""),"/","")," ",""),8),7,2)),"")))</f>
        <v/>
      </c>
      <c r="AT649" s="33">
        <f>IF($AS649="","",IF($F$6="",0,IF(ISNUMBER(INDEX($A:$AP,ROW(),$F$6)),INDEX($A:$AP,ROW(),$F$6),IFERROR(--SUBSTITUTE(SUBSTITUTE(TRIM(INDEX($A:$AP,ROW(),$F$6)),",",""),"원",""),0))))</f>
        <v/>
      </c>
      <c r="AU649" s="31">
        <f>IF($AS649="","",IF($AX649&lt;&gt;"",SUBSTITUTE(SUBSTITUTE($AX649,"-","")," ",""),"N:"&amp;$AV649))</f>
        <v/>
      </c>
      <c r="AV649" s="31">
        <f>IF(OR($AS649="",$E$6=""),"",TRIM(INDEX($A:$AP,ROW(),$E$6)&amp;""))</f>
        <v/>
      </c>
      <c r="AW649" s="31">
        <f>IF($AU649="","",IF(MATCH($AU649,$AU$8:$AU$2007,0)=ROW()-7,MAX($AW$7:$AW648)+1,""))</f>
        <v/>
      </c>
      <c r="AX649" s="31">
        <f>IF(OR($AS649="",$D$6=""),"",TRIM(INDEX($A:$AP,ROW(),$D$6)&amp;""))</f>
        <v/>
      </c>
      <c r="AY649" s="31">
        <f>IF($AU649="","",INDEX($AW$8:$AW$2007,MATCH($AU649,$AU$8:$AU$2007,0)))</f>
        <v/>
      </c>
      <c r="AZ649" s="31">
        <f>IF(OR($AS649="",$C$6=""),"",TRIM(INDEX($A:$AP,ROW(),$C$6)&amp;""))</f>
        <v/>
      </c>
      <c r="BA649" s="31">
        <f>IF($AZ649="","",IF(COUNTIF($AZ$8:$AZ649,$AZ649)&gt;1,1,0))</f>
        <v/>
      </c>
    </row>
    <row r="650">
      <c r="AR650" s="31">
        <f>IF(OR($A$5="",$B$6="",ROW()&lt;$A$5),"",IF(INDEX($A:$AP,ROW(),$B$6)="","",INDEX($A:$AP,ROW(),$B$6)))</f>
        <v/>
      </c>
      <c r="AS650" s="32">
        <f>IF($AR650="","",IF(ISNUMBER($AR650),IF($AR650&gt;=10000000,IFERROR(DATE(INT($AR650/10000),MOD(INT($AR650/100),100),MOD($AR650,100)),""),INT($AR650)),IFERROR(DATE(--LEFT(LEFT(SUBSTITUTE(SUBSTITUTE(SUBSTITUTE(SUBSTITUTE(TRIM($AR650),"-",""),".",""),"/","")," ",""),8),4),--MID(LEFT(SUBSTITUTE(SUBSTITUTE(SUBSTITUTE(SUBSTITUTE(TRIM($AR650),"-",""),".",""),"/","")," ",""),8),5,2),--MID(LEFT(SUBSTITUTE(SUBSTITUTE(SUBSTITUTE(SUBSTITUTE(TRIM($AR650),"-",""),".",""),"/","")," ",""),8),7,2)),"")))</f>
        <v/>
      </c>
      <c r="AT650" s="33">
        <f>IF($AS650="","",IF($F$6="",0,IF(ISNUMBER(INDEX($A:$AP,ROW(),$F$6)),INDEX($A:$AP,ROW(),$F$6),IFERROR(--SUBSTITUTE(SUBSTITUTE(TRIM(INDEX($A:$AP,ROW(),$F$6)),",",""),"원",""),0))))</f>
        <v/>
      </c>
      <c r="AU650" s="31">
        <f>IF($AS650="","",IF($AX650&lt;&gt;"",SUBSTITUTE(SUBSTITUTE($AX650,"-","")," ",""),"N:"&amp;$AV650))</f>
        <v/>
      </c>
      <c r="AV650" s="31">
        <f>IF(OR($AS650="",$E$6=""),"",TRIM(INDEX($A:$AP,ROW(),$E$6)&amp;""))</f>
        <v/>
      </c>
      <c r="AW650" s="31">
        <f>IF($AU650="","",IF(MATCH($AU650,$AU$8:$AU$2007,0)=ROW()-7,MAX($AW$7:$AW649)+1,""))</f>
        <v/>
      </c>
      <c r="AX650" s="31">
        <f>IF(OR($AS650="",$D$6=""),"",TRIM(INDEX($A:$AP,ROW(),$D$6)&amp;""))</f>
        <v/>
      </c>
      <c r="AY650" s="31">
        <f>IF($AU650="","",INDEX($AW$8:$AW$2007,MATCH($AU650,$AU$8:$AU$2007,0)))</f>
        <v/>
      </c>
      <c r="AZ650" s="31">
        <f>IF(OR($AS650="",$C$6=""),"",TRIM(INDEX($A:$AP,ROW(),$C$6)&amp;""))</f>
        <v/>
      </c>
      <c r="BA650" s="31">
        <f>IF($AZ650="","",IF(COUNTIF($AZ$8:$AZ650,$AZ650)&gt;1,1,0))</f>
        <v/>
      </c>
    </row>
    <row r="651">
      <c r="AR651" s="31">
        <f>IF(OR($A$5="",$B$6="",ROW()&lt;$A$5),"",IF(INDEX($A:$AP,ROW(),$B$6)="","",INDEX($A:$AP,ROW(),$B$6)))</f>
        <v/>
      </c>
      <c r="AS651" s="32">
        <f>IF($AR651="","",IF(ISNUMBER($AR651),IF($AR651&gt;=10000000,IFERROR(DATE(INT($AR651/10000),MOD(INT($AR651/100),100),MOD($AR651,100)),""),INT($AR651)),IFERROR(DATE(--LEFT(LEFT(SUBSTITUTE(SUBSTITUTE(SUBSTITUTE(SUBSTITUTE(TRIM($AR651),"-",""),".",""),"/","")," ",""),8),4),--MID(LEFT(SUBSTITUTE(SUBSTITUTE(SUBSTITUTE(SUBSTITUTE(TRIM($AR651),"-",""),".",""),"/","")," ",""),8),5,2),--MID(LEFT(SUBSTITUTE(SUBSTITUTE(SUBSTITUTE(SUBSTITUTE(TRIM($AR651),"-",""),".",""),"/","")," ",""),8),7,2)),"")))</f>
        <v/>
      </c>
      <c r="AT651" s="33">
        <f>IF($AS651="","",IF($F$6="",0,IF(ISNUMBER(INDEX($A:$AP,ROW(),$F$6)),INDEX($A:$AP,ROW(),$F$6),IFERROR(--SUBSTITUTE(SUBSTITUTE(TRIM(INDEX($A:$AP,ROW(),$F$6)),",",""),"원",""),0))))</f>
        <v/>
      </c>
      <c r="AU651" s="31">
        <f>IF($AS651="","",IF($AX651&lt;&gt;"",SUBSTITUTE(SUBSTITUTE($AX651,"-","")," ",""),"N:"&amp;$AV651))</f>
        <v/>
      </c>
      <c r="AV651" s="31">
        <f>IF(OR($AS651="",$E$6=""),"",TRIM(INDEX($A:$AP,ROW(),$E$6)&amp;""))</f>
        <v/>
      </c>
      <c r="AW651" s="31">
        <f>IF($AU651="","",IF(MATCH($AU651,$AU$8:$AU$2007,0)=ROW()-7,MAX($AW$7:$AW650)+1,""))</f>
        <v/>
      </c>
      <c r="AX651" s="31">
        <f>IF(OR($AS651="",$D$6=""),"",TRIM(INDEX($A:$AP,ROW(),$D$6)&amp;""))</f>
        <v/>
      </c>
      <c r="AY651" s="31">
        <f>IF($AU651="","",INDEX($AW$8:$AW$2007,MATCH($AU651,$AU$8:$AU$2007,0)))</f>
        <v/>
      </c>
      <c r="AZ651" s="31">
        <f>IF(OR($AS651="",$C$6=""),"",TRIM(INDEX($A:$AP,ROW(),$C$6)&amp;""))</f>
        <v/>
      </c>
      <c r="BA651" s="31">
        <f>IF($AZ651="","",IF(COUNTIF($AZ$8:$AZ651,$AZ651)&gt;1,1,0))</f>
        <v/>
      </c>
    </row>
    <row r="652">
      <c r="AR652" s="31">
        <f>IF(OR($A$5="",$B$6="",ROW()&lt;$A$5),"",IF(INDEX($A:$AP,ROW(),$B$6)="","",INDEX($A:$AP,ROW(),$B$6)))</f>
        <v/>
      </c>
      <c r="AS652" s="32">
        <f>IF($AR652="","",IF(ISNUMBER($AR652),IF($AR652&gt;=10000000,IFERROR(DATE(INT($AR652/10000),MOD(INT($AR652/100),100),MOD($AR652,100)),""),INT($AR652)),IFERROR(DATE(--LEFT(LEFT(SUBSTITUTE(SUBSTITUTE(SUBSTITUTE(SUBSTITUTE(TRIM($AR652),"-",""),".",""),"/","")," ",""),8),4),--MID(LEFT(SUBSTITUTE(SUBSTITUTE(SUBSTITUTE(SUBSTITUTE(TRIM($AR652),"-",""),".",""),"/","")," ",""),8),5,2),--MID(LEFT(SUBSTITUTE(SUBSTITUTE(SUBSTITUTE(SUBSTITUTE(TRIM($AR652),"-",""),".",""),"/","")," ",""),8),7,2)),"")))</f>
        <v/>
      </c>
      <c r="AT652" s="33">
        <f>IF($AS652="","",IF($F$6="",0,IF(ISNUMBER(INDEX($A:$AP,ROW(),$F$6)),INDEX($A:$AP,ROW(),$F$6),IFERROR(--SUBSTITUTE(SUBSTITUTE(TRIM(INDEX($A:$AP,ROW(),$F$6)),",",""),"원",""),0))))</f>
        <v/>
      </c>
      <c r="AU652" s="31">
        <f>IF($AS652="","",IF($AX652&lt;&gt;"",SUBSTITUTE(SUBSTITUTE($AX652,"-","")," ",""),"N:"&amp;$AV652))</f>
        <v/>
      </c>
      <c r="AV652" s="31">
        <f>IF(OR($AS652="",$E$6=""),"",TRIM(INDEX($A:$AP,ROW(),$E$6)&amp;""))</f>
        <v/>
      </c>
      <c r="AW652" s="31">
        <f>IF($AU652="","",IF(MATCH($AU652,$AU$8:$AU$2007,0)=ROW()-7,MAX($AW$7:$AW651)+1,""))</f>
        <v/>
      </c>
      <c r="AX652" s="31">
        <f>IF(OR($AS652="",$D$6=""),"",TRIM(INDEX($A:$AP,ROW(),$D$6)&amp;""))</f>
        <v/>
      </c>
      <c r="AY652" s="31">
        <f>IF($AU652="","",INDEX($AW$8:$AW$2007,MATCH($AU652,$AU$8:$AU$2007,0)))</f>
        <v/>
      </c>
      <c r="AZ652" s="31">
        <f>IF(OR($AS652="",$C$6=""),"",TRIM(INDEX($A:$AP,ROW(),$C$6)&amp;""))</f>
        <v/>
      </c>
      <c r="BA652" s="31">
        <f>IF($AZ652="","",IF(COUNTIF($AZ$8:$AZ652,$AZ652)&gt;1,1,0))</f>
        <v/>
      </c>
    </row>
    <row r="653">
      <c r="AR653" s="31">
        <f>IF(OR($A$5="",$B$6="",ROW()&lt;$A$5),"",IF(INDEX($A:$AP,ROW(),$B$6)="","",INDEX($A:$AP,ROW(),$B$6)))</f>
        <v/>
      </c>
      <c r="AS653" s="32">
        <f>IF($AR653="","",IF(ISNUMBER($AR653),IF($AR653&gt;=10000000,IFERROR(DATE(INT($AR653/10000),MOD(INT($AR653/100),100),MOD($AR653,100)),""),INT($AR653)),IFERROR(DATE(--LEFT(LEFT(SUBSTITUTE(SUBSTITUTE(SUBSTITUTE(SUBSTITUTE(TRIM($AR653),"-",""),".",""),"/","")," ",""),8),4),--MID(LEFT(SUBSTITUTE(SUBSTITUTE(SUBSTITUTE(SUBSTITUTE(TRIM($AR653),"-",""),".",""),"/","")," ",""),8),5,2),--MID(LEFT(SUBSTITUTE(SUBSTITUTE(SUBSTITUTE(SUBSTITUTE(TRIM($AR653),"-",""),".",""),"/","")," ",""),8),7,2)),"")))</f>
        <v/>
      </c>
      <c r="AT653" s="33">
        <f>IF($AS653="","",IF($F$6="",0,IF(ISNUMBER(INDEX($A:$AP,ROW(),$F$6)),INDEX($A:$AP,ROW(),$F$6),IFERROR(--SUBSTITUTE(SUBSTITUTE(TRIM(INDEX($A:$AP,ROW(),$F$6)),",",""),"원",""),0))))</f>
        <v/>
      </c>
      <c r="AU653" s="31">
        <f>IF($AS653="","",IF($AX653&lt;&gt;"",SUBSTITUTE(SUBSTITUTE($AX653,"-","")," ",""),"N:"&amp;$AV653))</f>
        <v/>
      </c>
      <c r="AV653" s="31">
        <f>IF(OR($AS653="",$E$6=""),"",TRIM(INDEX($A:$AP,ROW(),$E$6)&amp;""))</f>
        <v/>
      </c>
      <c r="AW653" s="31">
        <f>IF($AU653="","",IF(MATCH($AU653,$AU$8:$AU$2007,0)=ROW()-7,MAX($AW$7:$AW652)+1,""))</f>
        <v/>
      </c>
      <c r="AX653" s="31">
        <f>IF(OR($AS653="",$D$6=""),"",TRIM(INDEX($A:$AP,ROW(),$D$6)&amp;""))</f>
        <v/>
      </c>
      <c r="AY653" s="31">
        <f>IF($AU653="","",INDEX($AW$8:$AW$2007,MATCH($AU653,$AU$8:$AU$2007,0)))</f>
        <v/>
      </c>
      <c r="AZ653" s="31">
        <f>IF(OR($AS653="",$C$6=""),"",TRIM(INDEX($A:$AP,ROW(),$C$6)&amp;""))</f>
        <v/>
      </c>
      <c r="BA653" s="31">
        <f>IF($AZ653="","",IF(COUNTIF($AZ$8:$AZ653,$AZ653)&gt;1,1,0))</f>
        <v/>
      </c>
    </row>
    <row r="654">
      <c r="AR654" s="31">
        <f>IF(OR($A$5="",$B$6="",ROW()&lt;$A$5),"",IF(INDEX($A:$AP,ROW(),$B$6)="","",INDEX($A:$AP,ROW(),$B$6)))</f>
        <v/>
      </c>
      <c r="AS654" s="32">
        <f>IF($AR654="","",IF(ISNUMBER($AR654),IF($AR654&gt;=10000000,IFERROR(DATE(INT($AR654/10000),MOD(INT($AR654/100),100),MOD($AR654,100)),""),INT($AR654)),IFERROR(DATE(--LEFT(LEFT(SUBSTITUTE(SUBSTITUTE(SUBSTITUTE(SUBSTITUTE(TRIM($AR654),"-",""),".",""),"/","")," ",""),8),4),--MID(LEFT(SUBSTITUTE(SUBSTITUTE(SUBSTITUTE(SUBSTITUTE(TRIM($AR654),"-",""),".",""),"/","")," ",""),8),5,2),--MID(LEFT(SUBSTITUTE(SUBSTITUTE(SUBSTITUTE(SUBSTITUTE(TRIM($AR654),"-",""),".",""),"/","")," ",""),8),7,2)),"")))</f>
        <v/>
      </c>
      <c r="AT654" s="33">
        <f>IF($AS654="","",IF($F$6="",0,IF(ISNUMBER(INDEX($A:$AP,ROW(),$F$6)),INDEX($A:$AP,ROW(),$F$6),IFERROR(--SUBSTITUTE(SUBSTITUTE(TRIM(INDEX($A:$AP,ROW(),$F$6)),",",""),"원",""),0))))</f>
        <v/>
      </c>
      <c r="AU654" s="31">
        <f>IF($AS654="","",IF($AX654&lt;&gt;"",SUBSTITUTE(SUBSTITUTE($AX654,"-","")," ",""),"N:"&amp;$AV654))</f>
        <v/>
      </c>
      <c r="AV654" s="31">
        <f>IF(OR($AS654="",$E$6=""),"",TRIM(INDEX($A:$AP,ROW(),$E$6)&amp;""))</f>
        <v/>
      </c>
      <c r="AW654" s="31">
        <f>IF($AU654="","",IF(MATCH($AU654,$AU$8:$AU$2007,0)=ROW()-7,MAX($AW$7:$AW653)+1,""))</f>
        <v/>
      </c>
      <c r="AX654" s="31">
        <f>IF(OR($AS654="",$D$6=""),"",TRIM(INDEX($A:$AP,ROW(),$D$6)&amp;""))</f>
        <v/>
      </c>
      <c r="AY654" s="31">
        <f>IF($AU654="","",INDEX($AW$8:$AW$2007,MATCH($AU654,$AU$8:$AU$2007,0)))</f>
        <v/>
      </c>
      <c r="AZ654" s="31">
        <f>IF(OR($AS654="",$C$6=""),"",TRIM(INDEX($A:$AP,ROW(),$C$6)&amp;""))</f>
        <v/>
      </c>
      <c r="BA654" s="31">
        <f>IF($AZ654="","",IF(COUNTIF($AZ$8:$AZ654,$AZ654)&gt;1,1,0))</f>
        <v/>
      </c>
    </row>
    <row r="655">
      <c r="AR655" s="31">
        <f>IF(OR($A$5="",$B$6="",ROW()&lt;$A$5),"",IF(INDEX($A:$AP,ROW(),$B$6)="","",INDEX($A:$AP,ROW(),$B$6)))</f>
        <v/>
      </c>
      <c r="AS655" s="32">
        <f>IF($AR655="","",IF(ISNUMBER($AR655),IF($AR655&gt;=10000000,IFERROR(DATE(INT($AR655/10000),MOD(INT($AR655/100),100),MOD($AR655,100)),""),INT($AR655)),IFERROR(DATE(--LEFT(LEFT(SUBSTITUTE(SUBSTITUTE(SUBSTITUTE(SUBSTITUTE(TRIM($AR655),"-",""),".",""),"/","")," ",""),8),4),--MID(LEFT(SUBSTITUTE(SUBSTITUTE(SUBSTITUTE(SUBSTITUTE(TRIM($AR655),"-",""),".",""),"/","")," ",""),8),5,2),--MID(LEFT(SUBSTITUTE(SUBSTITUTE(SUBSTITUTE(SUBSTITUTE(TRIM($AR655),"-",""),".",""),"/","")," ",""),8),7,2)),"")))</f>
        <v/>
      </c>
      <c r="AT655" s="33">
        <f>IF($AS655="","",IF($F$6="",0,IF(ISNUMBER(INDEX($A:$AP,ROW(),$F$6)),INDEX($A:$AP,ROW(),$F$6),IFERROR(--SUBSTITUTE(SUBSTITUTE(TRIM(INDEX($A:$AP,ROW(),$F$6)),",",""),"원",""),0))))</f>
        <v/>
      </c>
      <c r="AU655" s="31">
        <f>IF($AS655="","",IF($AX655&lt;&gt;"",SUBSTITUTE(SUBSTITUTE($AX655,"-","")," ",""),"N:"&amp;$AV655))</f>
        <v/>
      </c>
      <c r="AV655" s="31">
        <f>IF(OR($AS655="",$E$6=""),"",TRIM(INDEX($A:$AP,ROW(),$E$6)&amp;""))</f>
        <v/>
      </c>
      <c r="AW655" s="31">
        <f>IF($AU655="","",IF(MATCH($AU655,$AU$8:$AU$2007,0)=ROW()-7,MAX($AW$7:$AW654)+1,""))</f>
        <v/>
      </c>
      <c r="AX655" s="31">
        <f>IF(OR($AS655="",$D$6=""),"",TRIM(INDEX($A:$AP,ROW(),$D$6)&amp;""))</f>
        <v/>
      </c>
      <c r="AY655" s="31">
        <f>IF($AU655="","",INDEX($AW$8:$AW$2007,MATCH($AU655,$AU$8:$AU$2007,0)))</f>
        <v/>
      </c>
      <c r="AZ655" s="31">
        <f>IF(OR($AS655="",$C$6=""),"",TRIM(INDEX($A:$AP,ROW(),$C$6)&amp;""))</f>
        <v/>
      </c>
      <c r="BA655" s="31">
        <f>IF($AZ655="","",IF(COUNTIF($AZ$8:$AZ655,$AZ655)&gt;1,1,0))</f>
        <v/>
      </c>
    </row>
    <row r="656">
      <c r="AR656" s="31">
        <f>IF(OR($A$5="",$B$6="",ROW()&lt;$A$5),"",IF(INDEX($A:$AP,ROW(),$B$6)="","",INDEX($A:$AP,ROW(),$B$6)))</f>
        <v/>
      </c>
      <c r="AS656" s="32">
        <f>IF($AR656="","",IF(ISNUMBER($AR656),IF($AR656&gt;=10000000,IFERROR(DATE(INT($AR656/10000),MOD(INT($AR656/100),100),MOD($AR656,100)),""),INT($AR656)),IFERROR(DATE(--LEFT(LEFT(SUBSTITUTE(SUBSTITUTE(SUBSTITUTE(SUBSTITUTE(TRIM($AR656),"-",""),".",""),"/","")," ",""),8),4),--MID(LEFT(SUBSTITUTE(SUBSTITUTE(SUBSTITUTE(SUBSTITUTE(TRIM($AR656),"-",""),".",""),"/","")," ",""),8),5,2),--MID(LEFT(SUBSTITUTE(SUBSTITUTE(SUBSTITUTE(SUBSTITUTE(TRIM($AR656),"-",""),".",""),"/","")," ",""),8),7,2)),"")))</f>
        <v/>
      </c>
      <c r="AT656" s="33">
        <f>IF($AS656="","",IF($F$6="",0,IF(ISNUMBER(INDEX($A:$AP,ROW(),$F$6)),INDEX($A:$AP,ROW(),$F$6),IFERROR(--SUBSTITUTE(SUBSTITUTE(TRIM(INDEX($A:$AP,ROW(),$F$6)),",",""),"원",""),0))))</f>
        <v/>
      </c>
      <c r="AU656" s="31">
        <f>IF($AS656="","",IF($AX656&lt;&gt;"",SUBSTITUTE(SUBSTITUTE($AX656,"-","")," ",""),"N:"&amp;$AV656))</f>
        <v/>
      </c>
      <c r="AV656" s="31">
        <f>IF(OR($AS656="",$E$6=""),"",TRIM(INDEX($A:$AP,ROW(),$E$6)&amp;""))</f>
        <v/>
      </c>
      <c r="AW656" s="31">
        <f>IF($AU656="","",IF(MATCH($AU656,$AU$8:$AU$2007,0)=ROW()-7,MAX($AW$7:$AW655)+1,""))</f>
        <v/>
      </c>
      <c r="AX656" s="31">
        <f>IF(OR($AS656="",$D$6=""),"",TRIM(INDEX($A:$AP,ROW(),$D$6)&amp;""))</f>
        <v/>
      </c>
      <c r="AY656" s="31">
        <f>IF($AU656="","",INDEX($AW$8:$AW$2007,MATCH($AU656,$AU$8:$AU$2007,0)))</f>
        <v/>
      </c>
      <c r="AZ656" s="31">
        <f>IF(OR($AS656="",$C$6=""),"",TRIM(INDEX($A:$AP,ROW(),$C$6)&amp;""))</f>
        <v/>
      </c>
      <c r="BA656" s="31">
        <f>IF($AZ656="","",IF(COUNTIF($AZ$8:$AZ656,$AZ656)&gt;1,1,0))</f>
        <v/>
      </c>
    </row>
    <row r="657">
      <c r="AR657" s="31">
        <f>IF(OR($A$5="",$B$6="",ROW()&lt;$A$5),"",IF(INDEX($A:$AP,ROW(),$B$6)="","",INDEX($A:$AP,ROW(),$B$6)))</f>
        <v/>
      </c>
      <c r="AS657" s="32">
        <f>IF($AR657="","",IF(ISNUMBER($AR657),IF($AR657&gt;=10000000,IFERROR(DATE(INT($AR657/10000),MOD(INT($AR657/100),100),MOD($AR657,100)),""),INT($AR657)),IFERROR(DATE(--LEFT(LEFT(SUBSTITUTE(SUBSTITUTE(SUBSTITUTE(SUBSTITUTE(TRIM($AR657),"-",""),".",""),"/","")," ",""),8),4),--MID(LEFT(SUBSTITUTE(SUBSTITUTE(SUBSTITUTE(SUBSTITUTE(TRIM($AR657),"-",""),".",""),"/","")," ",""),8),5,2),--MID(LEFT(SUBSTITUTE(SUBSTITUTE(SUBSTITUTE(SUBSTITUTE(TRIM($AR657),"-",""),".",""),"/","")," ",""),8),7,2)),"")))</f>
        <v/>
      </c>
      <c r="AT657" s="33">
        <f>IF($AS657="","",IF($F$6="",0,IF(ISNUMBER(INDEX($A:$AP,ROW(),$F$6)),INDEX($A:$AP,ROW(),$F$6),IFERROR(--SUBSTITUTE(SUBSTITUTE(TRIM(INDEX($A:$AP,ROW(),$F$6)),",",""),"원",""),0))))</f>
        <v/>
      </c>
      <c r="AU657" s="31">
        <f>IF($AS657="","",IF($AX657&lt;&gt;"",SUBSTITUTE(SUBSTITUTE($AX657,"-","")," ",""),"N:"&amp;$AV657))</f>
        <v/>
      </c>
      <c r="AV657" s="31">
        <f>IF(OR($AS657="",$E$6=""),"",TRIM(INDEX($A:$AP,ROW(),$E$6)&amp;""))</f>
        <v/>
      </c>
      <c r="AW657" s="31">
        <f>IF($AU657="","",IF(MATCH($AU657,$AU$8:$AU$2007,0)=ROW()-7,MAX($AW$7:$AW656)+1,""))</f>
        <v/>
      </c>
      <c r="AX657" s="31">
        <f>IF(OR($AS657="",$D$6=""),"",TRIM(INDEX($A:$AP,ROW(),$D$6)&amp;""))</f>
        <v/>
      </c>
      <c r="AY657" s="31">
        <f>IF($AU657="","",INDEX($AW$8:$AW$2007,MATCH($AU657,$AU$8:$AU$2007,0)))</f>
        <v/>
      </c>
      <c r="AZ657" s="31">
        <f>IF(OR($AS657="",$C$6=""),"",TRIM(INDEX($A:$AP,ROW(),$C$6)&amp;""))</f>
        <v/>
      </c>
      <c r="BA657" s="31">
        <f>IF($AZ657="","",IF(COUNTIF($AZ$8:$AZ657,$AZ657)&gt;1,1,0))</f>
        <v/>
      </c>
    </row>
    <row r="658">
      <c r="AR658" s="31">
        <f>IF(OR($A$5="",$B$6="",ROW()&lt;$A$5),"",IF(INDEX($A:$AP,ROW(),$B$6)="","",INDEX($A:$AP,ROW(),$B$6)))</f>
        <v/>
      </c>
      <c r="AS658" s="32">
        <f>IF($AR658="","",IF(ISNUMBER($AR658),IF($AR658&gt;=10000000,IFERROR(DATE(INT($AR658/10000),MOD(INT($AR658/100),100),MOD($AR658,100)),""),INT($AR658)),IFERROR(DATE(--LEFT(LEFT(SUBSTITUTE(SUBSTITUTE(SUBSTITUTE(SUBSTITUTE(TRIM($AR658),"-",""),".",""),"/","")," ",""),8),4),--MID(LEFT(SUBSTITUTE(SUBSTITUTE(SUBSTITUTE(SUBSTITUTE(TRIM($AR658),"-",""),".",""),"/","")," ",""),8),5,2),--MID(LEFT(SUBSTITUTE(SUBSTITUTE(SUBSTITUTE(SUBSTITUTE(TRIM($AR658),"-",""),".",""),"/","")," ",""),8),7,2)),"")))</f>
        <v/>
      </c>
      <c r="AT658" s="33">
        <f>IF($AS658="","",IF($F$6="",0,IF(ISNUMBER(INDEX($A:$AP,ROW(),$F$6)),INDEX($A:$AP,ROW(),$F$6),IFERROR(--SUBSTITUTE(SUBSTITUTE(TRIM(INDEX($A:$AP,ROW(),$F$6)),",",""),"원",""),0))))</f>
        <v/>
      </c>
      <c r="AU658" s="31">
        <f>IF($AS658="","",IF($AX658&lt;&gt;"",SUBSTITUTE(SUBSTITUTE($AX658,"-","")," ",""),"N:"&amp;$AV658))</f>
        <v/>
      </c>
      <c r="AV658" s="31">
        <f>IF(OR($AS658="",$E$6=""),"",TRIM(INDEX($A:$AP,ROW(),$E$6)&amp;""))</f>
        <v/>
      </c>
      <c r="AW658" s="31">
        <f>IF($AU658="","",IF(MATCH($AU658,$AU$8:$AU$2007,0)=ROW()-7,MAX($AW$7:$AW657)+1,""))</f>
        <v/>
      </c>
      <c r="AX658" s="31">
        <f>IF(OR($AS658="",$D$6=""),"",TRIM(INDEX($A:$AP,ROW(),$D$6)&amp;""))</f>
        <v/>
      </c>
      <c r="AY658" s="31">
        <f>IF($AU658="","",INDEX($AW$8:$AW$2007,MATCH($AU658,$AU$8:$AU$2007,0)))</f>
        <v/>
      </c>
      <c r="AZ658" s="31">
        <f>IF(OR($AS658="",$C$6=""),"",TRIM(INDEX($A:$AP,ROW(),$C$6)&amp;""))</f>
        <v/>
      </c>
      <c r="BA658" s="31">
        <f>IF($AZ658="","",IF(COUNTIF($AZ$8:$AZ658,$AZ658)&gt;1,1,0))</f>
        <v/>
      </c>
    </row>
    <row r="659">
      <c r="AR659" s="31">
        <f>IF(OR($A$5="",$B$6="",ROW()&lt;$A$5),"",IF(INDEX($A:$AP,ROW(),$B$6)="","",INDEX($A:$AP,ROW(),$B$6)))</f>
        <v/>
      </c>
      <c r="AS659" s="32">
        <f>IF($AR659="","",IF(ISNUMBER($AR659),IF($AR659&gt;=10000000,IFERROR(DATE(INT($AR659/10000),MOD(INT($AR659/100),100),MOD($AR659,100)),""),INT($AR659)),IFERROR(DATE(--LEFT(LEFT(SUBSTITUTE(SUBSTITUTE(SUBSTITUTE(SUBSTITUTE(TRIM($AR659),"-",""),".",""),"/","")," ",""),8),4),--MID(LEFT(SUBSTITUTE(SUBSTITUTE(SUBSTITUTE(SUBSTITUTE(TRIM($AR659),"-",""),".",""),"/","")," ",""),8),5,2),--MID(LEFT(SUBSTITUTE(SUBSTITUTE(SUBSTITUTE(SUBSTITUTE(TRIM($AR659),"-",""),".",""),"/","")," ",""),8),7,2)),"")))</f>
        <v/>
      </c>
      <c r="AT659" s="33">
        <f>IF($AS659="","",IF($F$6="",0,IF(ISNUMBER(INDEX($A:$AP,ROW(),$F$6)),INDEX($A:$AP,ROW(),$F$6),IFERROR(--SUBSTITUTE(SUBSTITUTE(TRIM(INDEX($A:$AP,ROW(),$F$6)),",",""),"원",""),0))))</f>
        <v/>
      </c>
      <c r="AU659" s="31">
        <f>IF($AS659="","",IF($AX659&lt;&gt;"",SUBSTITUTE(SUBSTITUTE($AX659,"-","")," ",""),"N:"&amp;$AV659))</f>
        <v/>
      </c>
      <c r="AV659" s="31">
        <f>IF(OR($AS659="",$E$6=""),"",TRIM(INDEX($A:$AP,ROW(),$E$6)&amp;""))</f>
        <v/>
      </c>
      <c r="AW659" s="31">
        <f>IF($AU659="","",IF(MATCH($AU659,$AU$8:$AU$2007,0)=ROW()-7,MAX($AW$7:$AW658)+1,""))</f>
        <v/>
      </c>
      <c r="AX659" s="31">
        <f>IF(OR($AS659="",$D$6=""),"",TRIM(INDEX($A:$AP,ROW(),$D$6)&amp;""))</f>
        <v/>
      </c>
      <c r="AY659" s="31">
        <f>IF($AU659="","",INDEX($AW$8:$AW$2007,MATCH($AU659,$AU$8:$AU$2007,0)))</f>
        <v/>
      </c>
      <c r="AZ659" s="31">
        <f>IF(OR($AS659="",$C$6=""),"",TRIM(INDEX($A:$AP,ROW(),$C$6)&amp;""))</f>
        <v/>
      </c>
      <c r="BA659" s="31">
        <f>IF($AZ659="","",IF(COUNTIF($AZ$8:$AZ659,$AZ659)&gt;1,1,0))</f>
        <v/>
      </c>
    </row>
    <row r="660">
      <c r="AR660" s="31">
        <f>IF(OR($A$5="",$B$6="",ROW()&lt;$A$5),"",IF(INDEX($A:$AP,ROW(),$B$6)="","",INDEX($A:$AP,ROW(),$B$6)))</f>
        <v/>
      </c>
      <c r="AS660" s="32">
        <f>IF($AR660="","",IF(ISNUMBER($AR660),IF($AR660&gt;=10000000,IFERROR(DATE(INT($AR660/10000),MOD(INT($AR660/100),100),MOD($AR660,100)),""),INT($AR660)),IFERROR(DATE(--LEFT(LEFT(SUBSTITUTE(SUBSTITUTE(SUBSTITUTE(SUBSTITUTE(TRIM($AR660),"-",""),".",""),"/","")," ",""),8),4),--MID(LEFT(SUBSTITUTE(SUBSTITUTE(SUBSTITUTE(SUBSTITUTE(TRIM($AR660),"-",""),".",""),"/","")," ",""),8),5,2),--MID(LEFT(SUBSTITUTE(SUBSTITUTE(SUBSTITUTE(SUBSTITUTE(TRIM($AR660),"-",""),".",""),"/","")," ",""),8),7,2)),"")))</f>
        <v/>
      </c>
      <c r="AT660" s="33">
        <f>IF($AS660="","",IF($F$6="",0,IF(ISNUMBER(INDEX($A:$AP,ROW(),$F$6)),INDEX($A:$AP,ROW(),$F$6),IFERROR(--SUBSTITUTE(SUBSTITUTE(TRIM(INDEX($A:$AP,ROW(),$F$6)),",",""),"원",""),0))))</f>
        <v/>
      </c>
      <c r="AU660" s="31">
        <f>IF($AS660="","",IF($AX660&lt;&gt;"",SUBSTITUTE(SUBSTITUTE($AX660,"-","")," ",""),"N:"&amp;$AV660))</f>
        <v/>
      </c>
      <c r="AV660" s="31">
        <f>IF(OR($AS660="",$E$6=""),"",TRIM(INDEX($A:$AP,ROW(),$E$6)&amp;""))</f>
        <v/>
      </c>
      <c r="AW660" s="31">
        <f>IF($AU660="","",IF(MATCH($AU660,$AU$8:$AU$2007,0)=ROW()-7,MAX($AW$7:$AW659)+1,""))</f>
        <v/>
      </c>
      <c r="AX660" s="31">
        <f>IF(OR($AS660="",$D$6=""),"",TRIM(INDEX($A:$AP,ROW(),$D$6)&amp;""))</f>
        <v/>
      </c>
      <c r="AY660" s="31">
        <f>IF($AU660="","",INDEX($AW$8:$AW$2007,MATCH($AU660,$AU$8:$AU$2007,0)))</f>
        <v/>
      </c>
      <c r="AZ660" s="31">
        <f>IF(OR($AS660="",$C$6=""),"",TRIM(INDEX($A:$AP,ROW(),$C$6)&amp;""))</f>
        <v/>
      </c>
      <c r="BA660" s="31">
        <f>IF($AZ660="","",IF(COUNTIF($AZ$8:$AZ660,$AZ660)&gt;1,1,0))</f>
        <v/>
      </c>
    </row>
    <row r="661">
      <c r="AR661" s="31">
        <f>IF(OR($A$5="",$B$6="",ROW()&lt;$A$5),"",IF(INDEX($A:$AP,ROW(),$B$6)="","",INDEX($A:$AP,ROW(),$B$6)))</f>
        <v/>
      </c>
      <c r="AS661" s="32">
        <f>IF($AR661="","",IF(ISNUMBER($AR661),IF($AR661&gt;=10000000,IFERROR(DATE(INT($AR661/10000),MOD(INT($AR661/100),100),MOD($AR661,100)),""),INT($AR661)),IFERROR(DATE(--LEFT(LEFT(SUBSTITUTE(SUBSTITUTE(SUBSTITUTE(SUBSTITUTE(TRIM($AR661),"-",""),".",""),"/","")," ",""),8),4),--MID(LEFT(SUBSTITUTE(SUBSTITUTE(SUBSTITUTE(SUBSTITUTE(TRIM($AR661),"-",""),".",""),"/","")," ",""),8),5,2),--MID(LEFT(SUBSTITUTE(SUBSTITUTE(SUBSTITUTE(SUBSTITUTE(TRIM($AR661),"-",""),".",""),"/","")," ",""),8),7,2)),"")))</f>
        <v/>
      </c>
      <c r="AT661" s="33">
        <f>IF($AS661="","",IF($F$6="",0,IF(ISNUMBER(INDEX($A:$AP,ROW(),$F$6)),INDEX($A:$AP,ROW(),$F$6),IFERROR(--SUBSTITUTE(SUBSTITUTE(TRIM(INDEX($A:$AP,ROW(),$F$6)),",",""),"원",""),0))))</f>
        <v/>
      </c>
      <c r="AU661" s="31">
        <f>IF($AS661="","",IF($AX661&lt;&gt;"",SUBSTITUTE(SUBSTITUTE($AX661,"-","")," ",""),"N:"&amp;$AV661))</f>
        <v/>
      </c>
      <c r="AV661" s="31">
        <f>IF(OR($AS661="",$E$6=""),"",TRIM(INDEX($A:$AP,ROW(),$E$6)&amp;""))</f>
        <v/>
      </c>
      <c r="AW661" s="31">
        <f>IF($AU661="","",IF(MATCH($AU661,$AU$8:$AU$2007,0)=ROW()-7,MAX($AW$7:$AW660)+1,""))</f>
        <v/>
      </c>
      <c r="AX661" s="31">
        <f>IF(OR($AS661="",$D$6=""),"",TRIM(INDEX($A:$AP,ROW(),$D$6)&amp;""))</f>
        <v/>
      </c>
      <c r="AY661" s="31">
        <f>IF($AU661="","",INDEX($AW$8:$AW$2007,MATCH($AU661,$AU$8:$AU$2007,0)))</f>
        <v/>
      </c>
      <c r="AZ661" s="31">
        <f>IF(OR($AS661="",$C$6=""),"",TRIM(INDEX($A:$AP,ROW(),$C$6)&amp;""))</f>
        <v/>
      </c>
      <c r="BA661" s="31">
        <f>IF($AZ661="","",IF(COUNTIF($AZ$8:$AZ661,$AZ661)&gt;1,1,0))</f>
        <v/>
      </c>
    </row>
    <row r="662">
      <c r="AR662" s="31">
        <f>IF(OR($A$5="",$B$6="",ROW()&lt;$A$5),"",IF(INDEX($A:$AP,ROW(),$B$6)="","",INDEX($A:$AP,ROW(),$B$6)))</f>
        <v/>
      </c>
      <c r="AS662" s="32">
        <f>IF($AR662="","",IF(ISNUMBER($AR662),IF($AR662&gt;=10000000,IFERROR(DATE(INT($AR662/10000),MOD(INT($AR662/100),100),MOD($AR662,100)),""),INT($AR662)),IFERROR(DATE(--LEFT(LEFT(SUBSTITUTE(SUBSTITUTE(SUBSTITUTE(SUBSTITUTE(TRIM($AR662),"-",""),".",""),"/","")," ",""),8),4),--MID(LEFT(SUBSTITUTE(SUBSTITUTE(SUBSTITUTE(SUBSTITUTE(TRIM($AR662),"-",""),".",""),"/","")," ",""),8),5,2),--MID(LEFT(SUBSTITUTE(SUBSTITUTE(SUBSTITUTE(SUBSTITUTE(TRIM($AR662),"-",""),".",""),"/","")," ",""),8),7,2)),"")))</f>
        <v/>
      </c>
      <c r="AT662" s="33">
        <f>IF($AS662="","",IF($F$6="",0,IF(ISNUMBER(INDEX($A:$AP,ROW(),$F$6)),INDEX($A:$AP,ROW(),$F$6),IFERROR(--SUBSTITUTE(SUBSTITUTE(TRIM(INDEX($A:$AP,ROW(),$F$6)),",",""),"원",""),0))))</f>
        <v/>
      </c>
      <c r="AU662" s="31">
        <f>IF($AS662="","",IF($AX662&lt;&gt;"",SUBSTITUTE(SUBSTITUTE($AX662,"-","")," ",""),"N:"&amp;$AV662))</f>
        <v/>
      </c>
      <c r="AV662" s="31">
        <f>IF(OR($AS662="",$E$6=""),"",TRIM(INDEX($A:$AP,ROW(),$E$6)&amp;""))</f>
        <v/>
      </c>
      <c r="AW662" s="31">
        <f>IF($AU662="","",IF(MATCH($AU662,$AU$8:$AU$2007,0)=ROW()-7,MAX($AW$7:$AW661)+1,""))</f>
        <v/>
      </c>
      <c r="AX662" s="31">
        <f>IF(OR($AS662="",$D$6=""),"",TRIM(INDEX($A:$AP,ROW(),$D$6)&amp;""))</f>
        <v/>
      </c>
      <c r="AY662" s="31">
        <f>IF($AU662="","",INDEX($AW$8:$AW$2007,MATCH($AU662,$AU$8:$AU$2007,0)))</f>
        <v/>
      </c>
      <c r="AZ662" s="31">
        <f>IF(OR($AS662="",$C$6=""),"",TRIM(INDEX($A:$AP,ROW(),$C$6)&amp;""))</f>
        <v/>
      </c>
      <c r="BA662" s="31">
        <f>IF($AZ662="","",IF(COUNTIF($AZ$8:$AZ662,$AZ662)&gt;1,1,0))</f>
        <v/>
      </c>
    </row>
    <row r="663">
      <c r="AR663" s="31">
        <f>IF(OR($A$5="",$B$6="",ROW()&lt;$A$5),"",IF(INDEX($A:$AP,ROW(),$B$6)="","",INDEX($A:$AP,ROW(),$B$6)))</f>
        <v/>
      </c>
      <c r="AS663" s="32">
        <f>IF($AR663="","",IF(ISNUMBER($AR663),IF($AR663&gt;=10000000,IFERROR(DATE(INT($AR663/10000),MOD(INT($AR663/100),100),MOD($AR663,100)),""),INT($AR663)),IFERROR(DATE(--LEFT(LEFT(SUBSTITUTE(SUBSTITUTE(SUBSTITUTE(SUBSTITUTE(TRIM($AR663),"-",""),".",""),"/","")," ",""),8),4),--MID(LEFT(SUBSTITUTE(SUBSTITUTE(SUBSTITUTE(SUBSTITUTE(TRIM($AR663),"-",""),".",""),"/","")," ",""),8),5,2),--MID(LEFT(SUBSTITUTE(SUBSTITUTE(SUBSTITUTE(SUBSTITUTE(TRIM($AR663),"-",""),".",""),"/","")," ",""),8),7,2)),"")))</f>
        <v/>
      </c>
      <c r="AT663" s="33">
        <f>IF($AS663="","",IF($F$6="",0,IF(ISNUMBER(INDEX($A:$AP,ROW(),$F$6)),INDEX($A:$AP,ROW(),$F$6),IFERROR(--SUBSTITUTE(SUBSTITUTE(TRIM(INDEX($A:$AP,ROW(),$F$6)),",",""),"원",""),0))))</f>
        <v/>
      </c>
      <c r="AU663" s="31">
        <f>IF($AS663="","",IF($AX663&lt;&gt;"",SUBSTITUTE(SUBSTITUTE($AX663,"-","")," ",""),"N:"&amp;$AV663))</f>
        <v/>
      </c>
      <c r="AV663" s="31">
        <f>IF(OR($AS663="",$E$6=""),"",TRIM(INDEX($A:$AP,ROW(),$E$6)&amp;""))</f>
        <v/>
      </c>
      <c r="AW663" s="31">
        <f>IF($AU663="","",IF(MATCH($AU663,$AU$8:$AU$2007,0)=ROW()-7,MAX($AW$7:$AW662)+1,""))</f>
        <v/>
      </c>
      <c r="AX663" s="31">
        <f>IF(OR($AS663="",$D$6=""),"",TRIM(INDEX($A:$AP,ROW(),$D$6)&amp;""))</f>
        <v/>
      </c>
      <c r="AY663" s="31">
        <f>IF($AU663="","",INDEX($AW$8:$AW$2007,MATCH($AU663,$AU$8:$AU$2007,0)))</f>
        <v/>
      </c>
      <c r="AZ663" s="31">
        <f>IF(OR($AS663="",$C$6=""),"",TRIM(INDEX($A:$AP,ROW(),$C$6)&amp;""))</f>
        <v/>
      </c>
      <c r="BA663" s="31">
        <f>IF($AZ663="","",IF(COUNTIF($AZ$8:$AZ663,$AZ663)&gt;1,1,0))</f>
        <v/>
      </c>
    </row>
    <row r="664">
      <c r="AR664" s="31">
        <f>IF(OR($A$5="",$B$6="",ROW()&lt;$A$5),"",IF(INDEX($A:$AP,ROW(),$B$6)="","",INDEX($A:$AP,ROW(),$B$6)))</f>
        <v/>
      </c>
      <c r="AS664" s="32">
        <f>IF($AR664="","",IF(ISNUMBER($AR664),IF($AR664&gt;=10000000,IFERROR(DATE(INT($AR664/10000),MOD(INT($AR664/100),100),MOD($AR664,100)),""),INT($AR664)),IFERROR(DATE(--LEFT(LEFT(SUBSTITUTE(SUBSTITUTE(SUBSTITUTE(SUBSTITUTE(TRIM($AR664),"-",""),".",""),"/","")," ",""),8),4),--MID(LEFT(SUBSTITUTE(SUBSTITUTE(SUBSTITUTE(SUBSTITUTE(TRIM($AR664),"-",""),".",""),"/","")," ",""),8),5,2),--MID(LEFT(SUBSTITUTE(SUBSTITUTE(SUBSTITUTE(SUBSTITUTE(TRIM($AR664),"-",""),".",""),"/","")," ",""),8),7,2)),"")))</f>
        <v/>
      </c>
      <c r="AT664" s="33">
        <f>IF($AS664="","",IF($F$6="",0,IF(ISNUMBER(INDEX($A:$AP,ROW(),$F$6)),INDEX($A:$AP,ROW(),$F$6),IFERROR(--SUBSTITUTE(SUBSTITUTE(TRIM(INDEX($A:$AP,ROW(),$F$6)),",",""),"원",""),0))))</f>
        <v/>
      </c>
      <c r="AU664" s="31">
        <f>IF($AS664="","",IF($AX664&lt;&gt;"",SUBSTITUTE(SUBSTITUTE($AX664,"-","")," ",""),"N:"&amp;$AV664))</f>
        <v/>
      </c>
      <c r="AV664" s="31">
        <f>IF(OR($AS664="",$E$6=""),"",TRIM(INDEX($A:$AP,ROW(),$E$6)&amp;""))</f>
        <v/>
      </c>
      <c r="AW664" s="31">
        <f>IF($AU664="","",IF(MATCH($AU664,$AU$8:$AU$2007,0)=ROW()-7,MAX($AW$7:$AW663)+1,""))</f>
        <v/>
      </c>
      <c r="AX664" s="31">
        <f>IF(OR($AS664="",$D$6=""),"",TRIM(INDEX($A:$AP,ROW(),$D$6)&amp;""))</f>
        <v/>
      </c>
      <c r="AY664" s="31">
        <f>IF($AU664="","",INDEX($AW$8:$AW$2007,MATCH($AU664,$AU$8:$AU$2007,0)))</f>
        <v/>
      </c>
      <c r="AZ664" s="31">
        <f>IF(OR($AS664="",$C$6=""),"",TRIM(INDEX($A:$AP,ROW(),$C$6)&amp;""))</f>
        <v/>
      </c>
      <c r="BA664" s="31">
        <f>IF($AZ664="","",IF(COUNTIF($AZ$8:$AZ664,$AZ664)&gt;1,1,0))</f>
        <v/>
      </c>
    </row>
    <row r="665">
      <c r="AR665" s="31">
        <f>IF(OR($A$5="",$B$6="",ROW()&lt;$A$5),"",IF(INDEX($A:$AP,ROW(),$B$6)="","",INDEX($A:$AP,ROW(),$B$6)))</f>
        <v/>
      </c>
      <c r="AS665" s="32">
        <f>IF($AR665="","",IF(ISNUMBER($AR665),IF($AR665&gt;=10000000,IFERROR(DATE(INT($AR665/10000),MOD(INT($AR665/100),100),MOD($AR665,100)),""),INT($AR665)),IFERROR(DATE(--LEFT(LEFT(SUBSTITUTE(SUBSTITUTE(SUBSTITUTE(SUBSTITUTE(TRIM($AR665),"-",""),".",""),"/","")," ",""),8),4),--MID(LEFT(SUBSTITUTE(SUBSTITUTE(SUBSTITUTE(SUBSTITUTE(TRIM($AR665),"-",""),".",""),"/","")," ",""),8),5,2),--MID(LEFT(SUBSTITUTE(SUBSTITUTE(SUBSTITUTE(SUBSTITUTE(TRIM($AR665),"-",""),".",""),"/","")," ",""),8),7,2)),"")))</f>
        <v/>
      </c>
      <c r="AT665" s="33">
        <f>IF($AS665="","",IF($F$6="",0,IF(ISNUMBER(INDEX($A:$AP,ROW(),$F$6)),INDEX($A:$AP,ROW(),$F$6),IFERROR(--SUBSTITUTE(SUBSTITUTE(TRIM(INDEX($A:$AP,ROW(),$F$6)),",",""),"원",""),0))))</f>
        <v/>
      </c>
      <c r="AU665" s="31">
        <f>IF($AS665="","",IF($AX665&lt;&gt;"",SUBSTITUTE(SUBSTITUTE($AX665,"-","")," ",""),"N:"&amp;$AV665))</f>
        <v/>
      </c>
      <c r="AV665" s="31">
        <f>IF(OR($AS665="",$E$6=""),"",TRIM(INDEX($A:$AP,ROW(),$E$6)&amp;""))</f>
        <v/>
      </c>
      <c r="AW665" s="31">
        <f>IF($AU665="","",IF(MATCH($AU665,$AU$8:$AU$2007,0)=ROW()-7,MAX($AW$7:$AW664)+1,""))</f>
        <v/>
      </c>
      <c r="AX665" s="31">
        <f>IF(OR($AS665="",$D$6=""),"",TRIM(INDEX($A:$AP,ROW(),$D$6)&amp;""))</f>
        <v/>
      </c>
      <c r="AY665" s="31">
        <f>IF($AU665="","",INDEX($AW$8:$AW$2007,MATCH($AU665,$AU$8:$AU$2007,0)))</f>
        <v/>
      </c>
      <c r="AZ665" s="31">
        <f>IF(OR($AS665="",$C$6=""),"",TRIM(INDEX($A:$AP,ROW(),$C$6)&amp;""))</f>
        <v/>
      </c>
      <c r="BA665" s="31">
        <f>IF($AZ665="","",IF(COUNTIF($AZ$8:$AZ665,$AZ665)&gt;1,1,0))</f>
        <v/>
      </c>
    </row>
    <row r="666">
      <c r="AR666" s="31">
        <f>IF(OR($A$5="",$B$6="",ROW()&lt;$A$5),"",IF(INDEX($A:$AP,ROW(),$B$6)="","",INDEX($A:$AP,ROW(),$B$6)))</f>
        <v/>
      </c>
      <c r="AS666" s="32">
        <f>IF($AR666="","",IF(ISNUMBER($AR666),IF($AR666&gt;=10000000,IFERROR(DATE(INT($AR666/10000),MOD(INT($AR666/100),100),MOD($AR666,100)),""),INT($AR666)),IFERROR(DATE(--LEFT(LEFT(SUBSTITUTE(SUBSTITUTE(SUBSTITUTE(SUBSTITUTE(TRIM($AR666),"-",""),".",""),"/","")," ",""),8),4),--MID(LEFT(SUBSTITUTE(SUBSTITUTE(SUBSTITUTE(SUBSTITUTE(TRIM($AR666),"-",""),".",""),"/","")," ",""),8),5,2),--MID(LEFT(SUBSTITUTE(SUBSTITUTE(SUBSTITUTE(SUBSTITUTE(TRIM($AR666),"-",""),".",""),"/","")," ",""),8),7,2)),"")))</f>
        <v/>
      </c>
      <c r="AT666" s="33">
        <f>IF($AS666="","",IF($F$6="",0,IF(ISNUMBER(INDEX($A:$AP,ROW(),$F$6)),INDEX($A:$AP,ROW(),$F$6),IFERROR(--SUBSTITUTE(SUBSTITUTE(TRIM(INDEX($A:$AP,ROW(),$F$6)),",",""),"원",""),0))))</f>
        <v/>
      </c>
      <c r="AU666" s="31">
        <f>IF($AS666="","",IF($AX666&lt;&gt;"",SUBSTITUTE(SUBSTITUTE($AX666,"-","")," ",""),"N:"&amp;$AV666))</f>
        <v/>
      </c>
      <c r="AV666" s="31">
        <f>IF(OR($AS666="",$E$6=""),"",TRIM(INDEX($A:$AP,ROW(),$E$6)&amp;""))</f>
        <v/>
      </c>
      <c r="AW666" s="31">
        <f>IF($AU666="","",IF(MATCH($AU666,$AU$8:$AU$2007,0)=ROW()-7,MAX($AW$7:$AW665)+1,""))</f>
        <v/>
      </c>
      <c r="AX666" s="31">
        <f>IF(OR($AS666="",$D$6=""),"",TRIM(INDEX($A:$AP,ROW(),$D$6)&amp;""))</f>
        <v/>
      </c>
      <c r="AY666" s="31">
        <f>IF($AU666="","",INDEX($AW$8:$AW$2007,MATCH($AU666,$AU$8:$AU$2007,0)))</f>
        <v/>
      </c>
      <c r="AZ666" s="31">
        <f>IF(OR($AS666="",$C$6=""),"",TRIM(INDEX($A:$AP,ROW(),$C$6)&amp;""))</f>
        <v/>
      </c>
      <c r="BA666" s="31">
        <f>IF($AZ666="","",IF(COUNTIF($AZ$8:$AZ666,$AZ666)&gt;1,1,0))</f>
        <v/>
      </c>
    </row>
    <row r="667">
      <c r="AR667" s="31">
        <f>IF(OR($A$5="",$B$6="",ROW()&lt;$A$5),"",IF(INDEX($A:$AP,ROW(),$B$6)="","",INDEX($A:$AP,ROW(),$B$6)))</f>
        <v/>
      </c>
      <c r="AS667" s="32">
        <f>IF($AR667="","",IF(ISNUMBER($AR667),IF($AR667&gt;=10000000,IFERROR(DATE(INT($AR667/10000),MOD(INT($AR667/100),100),MOD($AR667,100)),""),INT($AR667)),IFERROR(DATE(--LEFT(LEFT(SUBSTITUTE(SUBSTITUTE(SUBSTITUTE(SUBSTITUTE(TRIM($AR667),"-",""),".",""),"/","")," ",""),8),4),--MID(LEFT(SUBSTITUTE(SUBSTITUTE(SUBSTITUTE(SUBSTITUTE(TRIM($AR667),"-",""),".",""),"/","")," ",""),8),5,2),--MID(LEFT(SUBSTITUTE(SUBSTITUTE(SUBSTITUTE(SUBSTITUTE(TRIM($AR667),"-",""),".",""),"/","")," ",""),8),7,2)),"")))</f>
        <v/>
      </c>
      <c r="AT667" s="33">
        <f>IF($AS667="","",IF($F$6="",0,IF(ISNUMBER(INDEX($A:$AP,ROW(),$F$6)),INDEX($A:$AP,ROW(),$F$6),IFERROR(--SUBSTITUTE(SUBSTITUTE(TRIM(INDEX($A:$AP,ROW(),$F$6)),",",""),"원",""),0))))</f>
        <v/>
      </c>
      <c r="AU667" s="31">
        <f>IF($AS667="","",IF($AX667&lt;&gt;"",SUBSTITUTE(SUBSTITUTE($AX667,"-","")," ",""),"N:"&amp;$AV667))</f>
        <v/>
      </c>
      <c r="AV667" s="31">
        <f>IF(OR($AS667="",$E$6=""),"",TRIM(INDEX($A:$AP,ROW(),$E$6)&amp;""))</f>
        <v/>
      </c>
      <c r="AW667" s="31">
        <f>IF($AU667="","",IF(MATCH($AU667,$AU$8:$AU$2007,0)=ROW()-7,MAX($AW$7:$AW666)+1,""))</f>
        <v/>
      </c>
      <c r="AX667" s="31">
        <f>IF(OR($AS667="",$D$6=""),"",TRIM(INDEX($A:$AP,ROW(),$D$6)&amp;""))</f>
        <v/>
      </c>
      <c r="AY667" s="31">
        <f>IF($AU667="","",INDEX($AW$8:$AW$2007,MATCH($AU667,$AU$8:$AU$2007,0)))</f>
        <v/>
      </c>
      <c r="AZ667" s="31">
        <f>IF(OR($AS667="",$C$6=""),"",TRIM(INDEX($A:$AP,ROW(),$C$6)&amp;""))</f>
        <v/>
      </c>
      <c r="BA667" s="31">
        <f>IF($AZ667="","",IF(COUNTIF($AZ$8:$AZ667,$AZ667)&gt;1,1,0))</f>
        <v/>
      </c>
    </row>
    <row r="668">
      <c r="AR668" s="31">
        <f>IF(OR($A$5="",$B$6="",ROW()&lt;$A$5),"",IF(INDEX($A:$AP,ROW(),$B$6)="","",INDEX($A:$AP,ROW(),$B$6)))</f>
        <v/>
      </c>
      <c r="AS668" s="32">
        <f>IF($AR668="","",IF(ISNUMBER($AR668),IF($AR668&gt;=10000000,IFERROR(DATE(INT($AR668/10000),MOD(INT($AR668/100),100),MOD($AR668,100)),""),INT($AR668)),IFERROR(DATE(--LEFT(LEFT(SUBSTITUTE(SUBSTITUTE(SUBSTITUTE(SUBSTITUTE(TRIM($AR668),"-",""),".",""),"/","")," ",""),8),4),--MID(LEFT(SUBSTITUTE(SUBSTITUTE(SUBSTITUTE(SUBSTITUTE(TRIM($AR668),"-",""),".",""),"/","")," ",""),8),5,2),--MID(LEFT(SUBSTITUTE(SUBSTITUTE(SUBSTITUTE(SUBSTITUTE(TRIM($AR668),"-",""),".",""),"/","")," ",""),8),7,2)),"")))</f>
        <v/>
      </c>
      <c r="AT668" s="33">
        <f>IF($AS668="","",IF($F$6="",0,IF(ISNUMBER(INDEX($A:$AP,ROW(),$F$6)),INDEX($A:$AP,ROW(),$F$6),IFERROR(--SUBSTITUTE(SUBSTITUTE(TRIM(INDEX($A:$AP,ROW(),$F$6)),",",""),"원",""),0))))</f>
        <v/>
      </c>
      <c r="AU668" s="31">
        <f>IF($AS668="","",IF($AX668&lt;&gt;"",SUBSTITUTE(SUBSTITUTE($AX668,"-","")," ",""),"N:"&amp;$AV668))</f>
        <v/>
      </c>
      <c r="AV668" s="31">
        <f>IF(OR($AS668="",$E$6=""),"",TRIM(INDEX($A:$AP,ROW(),$E$6)&amp;""))</f>
        <v/>
      </c>
      <c r="AW668" s="31">
        <f>IF($AU668="","",IF(MATCH($AU668,$AU$8:$AU$2007,0)=ROW()-7,MAX($AW$7:$AW667)+1,""))</f>
        <v/>
      </c>
      <c r="AX668" s="31">
        <f>IF(OR($AS668="",$D$6=""),"",TRIM(INDEX($A:$AP,ROW(),$D$6)&amp;""))</f>
        <v/>
      </c>
      <c r="AY668" s="31">
        <f>IF($AU668="","",INDEX($AW$8:$AW$2007,MATCH($AU668,$AU$8:$AU$2007,0)))</f>
        <v/>
      </c>
      <c r="AZ668" s="31">
        <f>IF(OR($AS668="",$C$6=""),"",TRIM(INDEX($A:$AP,ROW(),$C$6)&amp;""))</f>
        <v/>
      </c>
      <c r="BA668" s="31">
        <f>IF($AZ668="","",IF(COUNTIF($AZ$8:$AZ668,$AZ668)&gt;1,1,0))</f>
        <v/>
      </c>
    </row>
    <row r="669">
      <c r="AR669" s="31">
        <f>IF(OR($A$5="",$B$6="",ROW()&lt;$A$5),"",IF(INDEX($A:$AP,ROW(),$B$6)="","",INDEX($A:$AP,ROW(),$B$6)))</f>
        <v/>
      </c>
      <c r="AS669" s="32">
        <f>IF($AR669="","",IF(ISNUMBER($AR669),IF($AR669&gt;=10000000,IFERROR(DATE(INT($AR669/10000),MOD(INT($AR669/100),100),MOD($AR669,100)),""),INT($AR669)),IFERROR(DATE(--LEFT(LEFT(SUBSTITUTE(SUBSTITUTE(SUBSTITUTE(SUBSTITUTE(TRIM($AR669),"-",""),".",""),"/","")," ",""),8),4),--MID(LEFT(SUBSTITUTE(SUBSTITUTE(SUBSTITUTE(SUBSTITUTE(TRIM($AR669),"-",""),".",""),"/","")," ",""),8),5,2),--MID(LEFT(SUBSTITUTE(SUBSTITUTE(SUBSTITUTE(SUBSTITUTE(TRIM($AR669),"-",""),".",""),"/","")," ",""),8),7,2)),"")))</f>
        <v/>
      </c>
      <c r="AT669" s="33">
        <f>IF($AS669="","",IF($F$6="",0,IF(ISNUMBER(INDEX($A:$AP,ROW(),$F$6)),INDEX($A:$AP,ROW(),$F$6),IFERROR(--SUBSTITUTE(SUBSTITUTE(TRIM(INDEX($A:$AP,ROW(),$F$6)),",",""),"원",""),0))))</f>
        <v/>
      </c>
      <c r="AU669" s="31">
        <f>IF($AS669="","",IF($AX669&lt;&gt;"",SUBSTITUTE(SUBSTITUTE($AX669,"-","")," ",""),"N:"&amp;$AV669))</f>
        <v/>
      </c>
      <c r="AV669" s="31">
        <f>IF(OR($AS669="",$E$6=""),"",TRIM(INDEX($A:$AP,ROW(),$E$6)&amp;""))</f>
        <v/>
      </c>
      <c r="AW669" s="31">
        <f>IF($AU669="","",IF(MATCH($AU669,$AU$8:$AU$2007,0)=ROW()-7,MAX($AW$7:$AW668)+1,""))</f>
        <v/>
      </c>
      <c r="AX669" s="31">
        <f>IF(OR($AS669="",$D$6=""),"",TRIM(INDEX($A:$AP,ROW(),$D$6)&amp;""))</f>
        <v/>
      </c>
      <c r="AY669" s="31">
        <f>IF($AU669="","",INDEX($AW$8:$AW$2007,MATCH($AU669,$AU$8:$AU$2007,0)))</f>
        <v/>
      </c>
      <c r="AZ669" s="31">
        <f>IF(OR($AS669="",$C$6=""),"",TRIM(INDEX($A:$AP,ROW(),$C$6)&amp;""))</f>
        <v/>
      </c>
      <c r="BA669" s="31">
        <f>IF($AZ669="","",IF(COUNTIF($AZ$8:$AZ669,$AZ669)&gt;1,1,0))</f>
        <v/>
      </c>
    </row>
    <row r="670">
      <c r="AR670" s="31">
        <f>IF(OR($A$5="",$B$6="",ROW()&lt;$A$5),"",IF(INDEX($A:$AP,ROW(),$B$6)="","",INDEX($A:$AP,ROW(),$B$6)))</f>
        <v/>
      </c>
      <c r="AS670" s="32">
        <f>IF($AR670="","",IF(ISNUMBER($AR670),IF($AR670&gt;=10000000,IFERROR(DATE(INT($AR670/10000),MOD(INT($AR670/100),100),MOD($AR670,100)),""),INT($AR670)),IFERROR(DATE(--LEFT(LEFT(SUBSTITUTE(SUBSTITUTE(SUBSTITUTE(SUBSTITUTE(TRIM($AR670),"-",""),".",""),"/","")," ",""),8),4),--MID(LEFT(SUBSTITUTE(SUBSTITUTE(SUBSTITUTE(SUBSTITUTE(TRIM($AR670),"-",""),".",""),"/","")," ",""),8),5,2),--MID(LEFT(SUBSTITUTE(SUBSTITUTE(SUBSTITUTE(SUBSTITUTE(TRIM($AR670),"-",""),".",""),"/","")," ",""),8),7,2)),"")))</f>
        <v/>
      </c>
      <c r="AT670" s="33">
        <f>IF($AS670="","",IF($F$6="",0,IF(ISNUMBER(INDEX($A:$AP,ROW(),$F$6)),INDEX($A:$AP,ROW(),$F$6),IFERROR(--SUBSTITUTE(SUBSTITUTE(TRIM(INDEX($A:$AP,ROW(),$F$6)),",",""),"원",""),0))))</f>
        <v/>
      </c>
      <c r="AU670" s="31">
        <f>IF($AS670="","",IF($AX670&lt;&gt;"",SUBSTITUTE(SUBSTITUTE($AX670,"-","")," ",""),"N:"&amp;$AV670))</f>
        <v/>
      </c>
      <c r="AV670" s="31">
        <f>IF(OR($AS670="",$E$6=""),"",TRIM(INDEX($A:$AP,ROW(),$E$6)&amp;""))</f>
        <v/>
      </c>
      <c r="AW670" s="31">
        <f>IF($AU670="","",IF(MATCH($AU670,$AU$8:$AU$2007,0)=ROW()-7,MAX($AW$7:$AW669)+1,""))</f>
        <v/>
      </c>
      <c r="AX670" s="31">
        <f>IF(OR($AS670="",$D$6=""),"",TRIM(INDEX($A:$AP,ROW(),$D$6)&amp;""))</f>
        <v/>
      </c>
      <c r="AY670" s="31">
        <f>IF($AU670="","",INDEX($AW$8:$AW$2007,MATCH($AU670,$AU$8:$AU$2007,0)))</f>
        <v/>
      </c>
      <c r="AZ670" s="31">
        <f>IF(OR($AS670="",$C$6=""),"",TRIM(INDEX($A:$AP,ROW(),$C$6)&amp;""))</f>
        <v/>
      </c>
      <c r="BA670" s="31">
        <f>IF($AZ670="","",IF(COUNTIF($AZ$8:$AZ670,$AZ670)&gt;1,1,0))</f>
        <v/>
      </c>
    </row>
    <row r="671">
      <c r="AR671" s="31">
        <f>IF(OR($A$5="",$B$6="",ROW()&lt;$A$5),"",IF(INDEX($A:$AP,ROW(),$B$6)="","",INDEX($A:$AP,ROW(),$B$6)))</f>
        <v/>
      </c>
      <c r="AS671" s="32">
        <f>IF($AR671="","",IF(ISNUMBER($AR671),IF($AR671&gt;=10000000,IFERROR(DATE(INT($AR671/10000),MOD(INT($AR671/100),100),MOD($AR671,100)),""),INT($AR671)),IFERROR(DATE(--LEFT(LEFT(SUBSTITUTE(SUBSTITUTE(SUBSTITUTE(SUBSTITUTE(TRIM($AR671),"-",""),".",""),"/","")," ",""),8),4),--MID(LEFT(SUBSTITUTE(SUBSTITUTE(SUBSTITUTE(SUBSTITUTE(TRIM($AR671),"-",""),".",""),"/","")," ",""),8),5,2),--MID(LEFT(SUBSTITUTE(SUBSTITUTE(SUBSTITUTE(SUBSTITUTE(TRIM($AR671),"-",""),".",""),"/","")," ",""),8),7,2)),"")))</f>
        <v/>
      </c>
      <c r="AT671" s="33">
        <f>IF($AS671="","",IF($F$6="",0,IF(ISNUMBER(INDEX($A:$AP,ROW(),$F$6)),INDEX($A:$AP,ROW(),$F$6),IFERROR(--SUBSTITUTE(SUBSTITUTE(TRIM(INDEX($A:$AP,ROW(),$F$6)),",",""),"원",""),0))))</f>
        <v/>
      </c>
      <c r="AU671" s="31">
        <f>IF($AS671="","",IF($AX671&lt;&gt;"",SUBSTITUTE(SUBSTITUTE($AX671,"-","")," ",""),"N:"&amp;$AV671))</f>
        <v/>
      </c>
      <c r="AV671" s="31">
        <f>IF(OR($AS671="",$E$6=""),"",TRIM(INDEX($A:$AP,ROW(),$E$6)&amp;""))</f>
        <v/>
      </c>
      <c r="AW671" s="31">
        <f>IF($AU671="","",IF(MATCH($AU671,$AU$8:$AU$2007,0)=ROW()-7,MAX($AW$7:$AW670)+1,""))</f>
        <v/>
      </c>
      <c r="AX671" s="31">
        <f>IF(OR($AS671="",$D$6=""),"",TRIM(INDEX($A:$AP,ROW(),$D$6)&amp;""))</f>
        <v/>
      </c>
      <c r="AY671" s="31">
        <f>IF($AU671="","",INDEX($AW$8:$AW$2007,MATCH($AU671,$AU$8:$AU$2007,0)))</f>
        <v/>
      </c>
      <c r="AZ671" s="31">
        <f>IF(OR($AS671="",$C$6=""),"",TRIM(INDEX($A:$AP,ROW(),$C$6)&amp;""))</f>
        <v/>
      </c>
      <c r="BA671" s="31">
        <f>IF($AZ671="","",IF(COUNTIF($AZ$8:$AZ671,$AZ671)&gt;1,1,0))</f>
        <v/>
      </c>
    </row>
    <row r="672">
      <c r="AR672" s="31">
        <f>IF(OR($A$5="",$B$6="",ROW()&lt;$A$5),"",IF(INDEX($A:$AP,ROW(),$B$6)="","",INDEX($A:$AP,ROW(),$B$6)))</f>
        <v/>
      </c>
      <c r="AS672" s="32">
        <f>IF($AR672="","",IF(ISNUMBER($AR672),IF($AR672&gt;=10000000,IFERROR(DATE(INT($AR672/10000),MOD(INT($AR672/100),100),MOD($AR672,100)),""),INT($AR672)),IFERROR(DATE(--LEFT(LEFT(SUBSTITUTE(SUBSTITUTE(SUBSTITUTE(SUBSTITUTE(TRIM($AR672),"-",""),".",""),"/","")," ",""),8),4),--MID(LEFT(SUBSTITUTE(SUBSTITUTE(SUBSTITUTE(SUBSTITUTE(TRIM($AR672),"-",""),".",""),"/","")," ",""),8),5,2),--MID(LEFT(SUBSTITUTE(SUBSTITUTE(SUBSTITUTE(SUBSTITUTE(TRIM($AR672),"-",""),".",""),"/","")," ",""),8),7,2)),"")))</f>
        <v/>
      </c>
      <c r="AT672" s="33">
        <f>IF($AS672="","",IF($F$6="",0,IF(ISNUMBER(INDEX($A:$AP,ROW(),$F$6)),INDEX($A:$AP,ROW(),$F$6),IFERROR(--SUBSTITUTE(SUBSTITUTE(TRIM(INDEX($A:$AP,ROW(),$F$6)),",",""),"원",""),0))))</f>
        <v/>
      </c>
      <c r="AU672" s="31">
        <f>IF($AS672="","",IF($AX672&lt;&gt;"",SUBSTITUTE(SUBSTITUTE($AX672,"-","")," ",""),"N:"&amp;$AV672))</f>
        <v/>
      </c>
      <c r="AV672" s="31">
        <f>IF(OR($AS672="",$E$6=""),"",TRIM(INDEX($A:$AP,ROW(),$E$6)&amp;""))</f>
        <v/>
      </c>
      <c r="AW672" s="31">
        <f>IF($AU672="","",IF(MATCH($AU672,$AU$8:$AU$2007,0)=ROW()-7,MAX($AW$7:$AW671)+1,""))</f>
        <v/>
      </c>
      <c r="AX672" s="31">
        <f>IF(OR($AS672="",$D$6=""),"",TRIM(INDEX($A:$AP,ROW(),$D$6)&amp;""))</f>
        <v/>
      </c>
      <c r="AY672" s="31">
        <f>IF($AU672="","",INDEX($AW$8:$AW$2007,MATCH($AU672,$AU$8:$AU$2007,0)))</f>
        <v/>
      </c>
      <c r="AZ672" s="31">
        <f>IF(OR($AS672="",$C$6=""),"",TRIM(INDEX($A:$AP,ROW(),$C$6)&amp;""))</f>
        <v/>
      </c>
      <c r="BA672" s="31">
        <f>IF($AZ672="","",IF(COUNTIF($AZ$8:$AZ672,$AZ672)&gt;1,1,0))</f>
        <v/>
      </c>
    </row>
    <row r="673">
      <c r="AR673" s="31">
        <f>IF(OR($A$5="",$B$6="",ROW()&lt;$A$5),"",IF(INDEX($A:$AP,ROW(),$B$6)="","",INDEX($A:$AP,ROW(),$B$6)))</f>
        <v/>
      </c>
      <c r="AS673" s="32">
        <f>IF($AR673="","",IF(ISNUMBER($AR673),IF($AR673&gt;=10000000,IFERROR(DATE(INT($AR673/10000),MOD(INT($AR673/100),100),MOD($AR673,100)),""),INT($AR673)),IFERROR(DATE(--LEFT(LEFT(SUBSTITUTE(SUBSTITUTE(SUBSTITUTE(SUBSTITUTE(TRIM($AR673),"-",""),".",""),"/","")," ",""),8),4),--MID(LEFT(SUBSTITUTE(SUBSTITUTE(SUBSTITUTE(SUBSTITUTE(TRIM($AR673),"-",""),".",""),"/","")," ",""),8),5,2),--MID(LEFT(SUBSTITUTE(SUBSTITUTE(SUBSTITUTE(SUBSTITUTE(TRIM($AR673),"-",""),".",""),"/","")," ",""),8),7,2)),"")))</f>
        <v/>
      </c>
      <c r="AT673" s="33">
        <f>IF($AS673="","",IF($F$6="",0,IF(ISNUMBER(INDEX($A:$AP,ROW(),$F$6)),INDEX($A:$AP,ROW(),$F$6),IFERROR(--SUBSTITUTE(SUBSTITUTE(TRIM(INDEX($A:$AP,ROW(),$F$6)),",",""),"원",""),0))))</f>
        <v/>
      </c>
      <c r="AU673" s="31">
        <f>IF($AS673="","",IF($AX673&lt;&gt;"",SUBSTITUTE(SUBSTITUTE($AX673,"-","")," ",""),"N:"&amp;$AV673))</f>
        <v/>
      </c>
      <c r="AV673" s="31">
        <f>IF(OR($AS673="",$E$6=""),"",TRIM(INDEX($A:$AP,ROW(),$E$6)&amp;""))</f>
        <v/>
      </c>
      <c r="AW673" s="31">
        <f>IF($AU673="","",IF(MATCH($AU673,$AU$8:$AU$2007,0)=ROW()-7,MAX($AW$7:$AW672)+1,""))</f>
        <v/>
      </c>
      <c r="AX673" s="31">
        <f>IF(OR($AS673="",$D$6=""),"",TRIM(INDEX($A:$AP,ROW(),$D$6)&amp;""))</f>
        <v/>
      </c>
      <c r="AY673" s="31">
        <f>IF($AU673="","",INDEX($AW$8:$AW$2007,MATCH($AU673,$AU$8:$AU$2007,0)))</f>
        <v/>
      </c>
      <c r="AZ673" s="31">
        <f>IF(OR($AS673="",$C$6=""),"",TRIM(INDEX($A:$AP,ROW(),$C$6)&amp;""))</f>
        <v/>
      </c>
      <c r="BA673" s="31">
        <f>IF($AZ673="","",IF(COUNTIF($AZ$8:$AZ673,$AZ673)&gt;1,1,0))</f>
        <v/>
      </c>
    </row>
    <row r="674">
      <c r="AR674" s="31">
        <f>IF(OR($A$5="",$B$6="",ROW()&lt;$A$5),"",IF(INDEX($A:$AP,ROW(),$B$6)="","",INDEX($A:$AP,ROW(),$B$6)))</f>
        <v/>
      </c>
      <c r="AS674" s="32">
        <f>IF($AR674="","",IF(ISNUMBER($AR674),IF($AR674&gt;=10000000,IFERROR(DATE(INT($AR674/10000),MOD(INT($AR674/100),100),MOD($AR674,100)),""),INT($AR674)),IFERROR(DATE(--LEFT(LEFT(SUBSTITUTE(SUBSTITUTE(SUBSTITUTE(SUBSTITUTE(TRIM($AR674),"-",""),".",""),"/","")," ",""),8),4),--MID(LEFT(SUBSTITUTE(SUBSTITUTE(SUBSTITUTE(SUBSTITUTE(TRIM($AR674),"-",""),".",""),"/","")," ",""),8),5,2),--MID(LEFT(SUBSTITUTE(SUBSTITUTE(SUBSTITUTE(SUBSTITUTE(TRIM($AR674),"-",""),".",""),"/","")," ",""),8),7,2)),"")))</f>
        <v/>
      </c>
      <c r="AT674" s="33">
        <f>IF($AS674="","",IF($F$6="",0,IF(ISNUMBER(INDEX($A:$AP,ROW(),$F$6)),INDEX($A:$AP,ROW(),$F$6),IFERROR(--SUBSTITUTE(SUBSTITUTE(TRIM(INDEX($A:$AP,ROW(),$F$6)),",",""),"원",""),0))))</f>
        <v/>
      </c>
      <c r="AU674" s="31">
        <f>IF($AS674="","",IF($AX674&lt;&gt;"",SUBSTITUTE(SUBSTITUTE($AX674,"-","")," ",""),"N:"&amp;$AV674))</f>
        <v/>
      </c>
      <c r="AV674" s="31">
        <f>IF(OR($AS674="",$E$6=""),"",TRIM(INDEX($A:$AP,ROW(),$E$6)&amp;""))</f>
        <v/>
      </c>
      <c r="AW674" s="31">
        <f>IF($AU674="","",IF(MATCH($AU674,$AU$8:$AU$2007,0)=ROW()-7,MAX($AW$7:$AW673)+1,""))</f>
        <v/>
      </c>
      <c r="AX674" s="31">
        <f>IF(OR($AS674="",$D$6=""),"",TRIM(INDEX($A:$AP,ROW(),$D$6)&amp;""))</f>
        <v/>
      </c>
      <c r="AY674" s="31">
        <f>IF($AU674="","",INDEX($AW$8:$AW$2007,MATCH($AU674,$AU$8:$AU$2007,0)))</f>
        <v/>
      </c>
      <c r="AZ674" s="31">
        <f>IF(OR($AS674="",$C$6=""),"",TRIM(INDEX($A:$AP,ROW(),$C$6)&amp;""))</f>
        <v/>
      </c>
      <c r="BA674" s="31">
        <f>IF($AZ674="","",IF(COUNTIF($AZ$8:$AZ674,$AZ674)&gt;1,1,0))</f>
        <v/>
      </c>
    </row>
    <row r="675">
      <c r="AR675" s="31">
        <f>IF(OR($A$5="",$B$6="",ROW()&lt;$A$5),"",IF(INDEX($A:$AP,ROW(),$B$6)="","",INDEX($A:$AP,ROW(),$B$6)))</f>
        <v/>
      </c>
      <c r="AS675" s="32">
        <f>IF($AR675="","",IF(ISNUMBER($AR675),IF($AR675&gt;=10000000,IFERROR(DATE(INT($AR675/10000),MOD(INT($AR675/100),100),MOD($AR675,100)),""),INT($AR675)),IFERROR(DATE(--LEFT(LEFT(SUBSTITUTE(SUBSTITUTE(SUBSTITUTE(SUBSTITUTE(TRIM($AR675),"-",""),".",""),"/","")," ",""),8),4),--MID(LEFT(SUBSTITUTE(SUBSTITUTE(SUBSTITUTE(SUBSTITUTE(TRIM($AR675),"-",""),".",""),"/","")," ",""),8),5,2),--MID(LEFT(SUBSTITUTE(SUBSTITUTE(SUBSTITUTE(SUBSTITUTE(TRIM($AR675),"-",""),".",""),"/","")," ",""),8),7,2)),"")))</f>
        <v/>
      </c>
      <c r="AT675" s="33">
        <f>IF($AS675="","",IF($F$6="",0,IF(ISNUMBER(INDEX($A:$AP,ROW(),$F$6)),INDEX($A:$AP,ROW(),$F$6),IFERROR(--SUBSTITUTE(SUBSTITUTE(TRIM(INDEX($A:$AP,ROW(),$F$6)),",",""),"원",""),0))))</f>
        <v/>
      </c>
      <c r="AU675" s="31">
        <f>IF($AS675="","",IF($AX675&lt;&gt;"",SUBSTITUTE(SUBSTITUTE($AX675,"-","")," ",""),"N:"&amp;$AV675))</f>
        <v/>
      </c>
      <c r="AV675" s="31">
        <f>IF(OR($AS675="",$E$6=""),"",TRIM(INDEX($A:$AP,ROW(),$E$6)&amp;""))</f>
        <v/>
      </c>
      <c r="AW675" s="31">
        <f>IF($AU675="","",IF(MATCH($AU675,$AU$8:$AU$2007,0)=ROW()-7,MAX($AW$7:$AW674)+1,""))</f>
        <v/>
      </c>
      <c r="AX675" s="31">
        <f>IF(OR($AS675="",$D$6=""),"",TRIM(INDEX($A:$AP,ROW(),$D$6)&amp;""))</f>
        <v/>
      </c>
      <c r="AY675" s="31">
        <f>IF($AU675="","",INDEX($AW$8:$AW$2007,MATCH($AU675,$AU$8:$AU$2007,0)))</f>
        <v/>
      </c>
      <c r="AZ675" s="31">
        <f>IF(OR($AS675="",$C$6=""),"",TRIM(INDEX($A:$AP,ROW(),$C$6)&amp;""))</f>
        <v/>
      </c>
      <c r="BA675" s="31">
        <f>IF($AZ675="","",IF(COUNTIF($AZ$8:$AZ675,$AZ675)&gt;1,1,0))</f>
        <v/>
      </c>
    </row>
    <row r="676">
      <c r="AR676" s="31">
        <f>IF(OR($A$5="",$B$6="",ROW()&lt;$A$5),"",IF(INDEX($A:$AP,ROW(),$B$6)="","",INDEX($A:$AP,ROW(),$B$6)))</f>
        <v/>
      </c>
      <c r="AS676" s="32">
        <f>IF($AR676="","",IF(ISNUMBER($AR676),IF($AR676&gt;=10000000,IFERROR(DATE(INT($AR676/10000),MOD(INT($AR676/100),100),MOD($AR676,100)),""),INT($AR676)),IFERROR(DATE(--LEFT(LEFT(SUBSTITUTE(SUBSTITUTE(SUBSTITUTE(SUBSTITUTE(TRIM($AR676),"-",""),".",""),"/","")," ",""),8),4),--MID(LEFT(SUBSTITUTE(SUBSTITUTE(SUBSTITUTE(SUBSTITUTE(TRIM($AR676),"-",""),".",""),"/","")," ",""),8),5,2),--MID(LEFT(SUBSTITUTE(SUBSTITUTE(SUBSTITUTE(SUBSTITUTE(TRIM($AR676),"-",""),".",""),"/","")," ",""),8),7,2)),"")))</f>
        <v/>
      </c>
      <c r="AT676" s="33">
        <f>IF($AS676="","",IF($F$6="",0,IF(ISNUMBER(INDEX($A:$AP,ROW(),$F$6)),INDEX($A:$AP,ROW(),$F$6),IFERROR(--SUBSTITUTE(SUBSTITUTE(TRIM(INDEX($A:$AP,ROW(),$F$6)),",",""),"원",""),0))))</f>
        <v/>
      </c>
      <c r="AU676" s="31">
        <f>IF($AS676="","",IF($AX676&lt;&gt;"",SUBSTITUTE(SUBSTITUTE($AX676,"-","")," ",""),"N:"&amp;$AV676))</f>
        <v/>
      </c>
      <c r="AV676" s="31">
        <f>IF(OR($AS676="",$E$6=""),"",TRIM(INDEX($A:$AP,ROW(),$E$6)&amp;""))</f>
        <v/>
      </c>
      <c r="AW676" s="31">
        <f>IF($AU676="","",IF(MATCH($AU676,$AU$8:$AU$2007,0)=ROW()-7,MAX($AW$7:$AW675)+1,""))</f>
        <v/>
      </c>
      <c r="AX676" s="31">
        <f>IF(OR($AS676="",$D$6=""),"",TRIM(INDEX($A:$AP,ROW(),$D$6)&amp;""))</f>
        <v/>
      </c>
      <c r="AY676" s="31">
        <f>IF($AU676="","",INDEX($AW$8:$AW$2007,MATCH($AU676,$AU$8:$AU$2007,0)))</f>
        <v/>
      </c>
      <c r="AZ676" s="31">
        <f>IF(OR($AS676="",$C$6=""),"",TRIM(INDEX($A:$AP,ROW(),$C$6)&amp;""))</f>
        <v/>
      </c>
      <c r="BA676" s="31">
        <f>IF($AZ676="","",IF(COUNTIF($AZ$8:$AZ676,$AZ676)&gt;1,1,0))</f>
        <v/>
      </c>
    </row>
    <row r="677">
      <c r="AR677" s="31">
        <f>IF(OR($A$5="",$B$6="",ROW()&lt;$A$5),"",IF(INDEX($A:$AP,ROW(),$B$6)="","",INDEX($A:$AP,ROW(),$B$6)))</f>
        <v/>
      </c>
      <c r="AS677" s="32">
        <f>IF($AR677="","",IF(ISNUMBER($AR677),IF($AR677&gt;=10000000,IFERROR(DATE(INT($AR677/10000),MOD(INT($AR677/100),100),MOD($AR677,100)),""),INT($AR677)),IFERROR(DATE(--LEFT(LEFT(SUBSTITUTE(SUBSTITUTE(SUBSTITUTE(SUBSTITUTE(TRIM($AR677),"-",""),".",""),"/","")," ",""),8),4),--MID(LEFT(SUBSTITUTE(SUBSTITUTE(SUBSTITUTE(SUBSTITUTE(TRIM($AR677),"-",""),".",""),"/","")," ",""),8),5,2),--MID(LEFT(SUBSTITUTE(SUBSTITUTE(SUBSTITUTE(SUBSTITUTE(TRIM($AR677),"-",""),".",""),"/","")," ",""),8),7,2)),"")))</f>
        <v/>
      </c>
      <c r="AT677" s="33">
        <f>IF($AS677="","",IF($F$6="",0,IF(ISNUMBER(INDEX($A:$AP,ROW(),$F$6)),INDEX($A:$AP,ROW(),$F$6),IFERROR(--SUBSTITUTE(SUBSTITUTE(TRIM(INDEX($A:$AP,ROW(),$F$6)),",",""),"원",""),0))))</f>
        <v/>
      </c>
      <c r="AU677" s="31">
        <f>IF($AS677="","",IF($AX677&lt;&gt;"",SUBSTITUTE(SUBSTITUTE($AX677,"-","")," ",""),"N:"&amp;$AV677))</f>
        <v/>
      </c>
      <c r="AV677" s="31">
        <f>IF(OR($AS677="",$E$6=""),"",TRIM(INDEX($A:$AP,ROW(),$E$6)&amp;""))</f>
        <v/>
      </c>
      <c r="AW677" s="31">
        <f>IF($AU677="","",IF(MATCH($AU677,$AU$8:$AU$2007,0)=ROW()-7,MAX($AW$7:$AW676)+1,""))</f>
        <v/>
      </c>
      <c r="AX677" s="31">
        <f>IF(OR($AS677="",$D$6=""),"",TRIM(INDEX($A:$AP,ROW(),$D$6)&amp;""))</f>
        <v/>
      </c>
      <c r="AY677" s="31">
        <f>IF($AU677="","",INDEX($AW$8:$AW$2007,MATCH($AU677,$AU$8:$AU$2007,0)))</f>
        <v/>
      </c>
      <c r="AZ677" s="31">
        <f>IF(OR($AS677="",$C$6=""),"",TRIM(INDEX($A:$AP,ROW(),$C$6)&amp;""))</f>
        <v/>
      </c>
      <c r="BA677" s="31">
        <f>IF($AZ677="","",IF(COUNTIF($AZ$8:$AZ677,$AZ677)&gt;1,1,0))</f>
        <v/>
      </c>
    </row>
    <row r="678">
      <c r="AR678" s="31">
        <f>IF(OR($A$5="",$B$6="",ROW()&lt;$A$5),"",IF(INDEX($A:$AP,ROW(),$B$6)="","",INDEX($A:$AP,ROW(),$B$6)))</f>
        <v/>
      </c>
      <c r="AS678" s="32">
        <f>IF($AR678="","",IF(ISNUMBER($AR678),IF($AR678&gt;=10000000,IFERROR(DATE(INT($AR678/10000),MOD(INT($AR678/100),100),MOD($AR678,100)),""),INT($AR678)),IFERROR(DATE(--LEFT(LEFT(SUBSTITUTE(SUBSTITUTE(SUBSTITUTE(SUBSTITUTE(TRIM($AR678),"-",""),".",""),"/","")," ",""),8),4),--MID(LEFT(SUBSTITUTE(SUBSTITUTE(SUBSTITUTE(SUBSTITUTE(TRIM($AR678),"-",""),".",""),"/","")," ",""),8),5,2),--MID(LEFT(SUBSTITUTE(SUBSTITUTE(SUBSTITUTE(SUBSTITUTE(TRIM($AR678),"-",""),".",""),"/","")," ",""),8),7,2)),"")))</f>
        <v/>
      </c>
      <c r="AT678" s="33">
        <f>IF($AS678="","",IF($F$6="",0,IF(ISNUMBER(INDEX($A:$AP,ROW(),$F$6)),INDEX($A:$AP,ROW(),$F$6),IFERROR(--SUBSTITUTE(SUBSTITUTE(TRIM(INDEX($A:$AP,ROW(),$F$6)),",",""),"원",""),0))))</f>
        <v/>
      </c>
      <c r="AU678" s="31">
        <f>IF($AS678="","",IF($AX678&lt;&gt;"",SUBSTITUTE(SUBSTITUTE($AX678,"-","")," ",""),"N:"&amp;$AV678))</f>
        <v/>
      </c>
      <c r="AV678" s="31">
        <f>IF(OR($AS678="",$E$6=""),"",TRIM(INDEX($A:$AP,ROW(),$E$6)&amp;""))</f>
        <v/>
      </c>
      <c r="AW678" s="31">
        <f>IF($AU678="","",IF(MATCH($AU678,$AU$8:$AU$2007,0)=ROW()-7,MAX($AW$7:$AW677)+1,""))</f>
        <v/>
      </c>
      <c r="AX678" s="31">
        <f>IF(OR($AS678="",$D$6=""),"",TRIM(INDEX($A:$AP,ROW(),$D$6)&amp;""))</f>
        <v/>
      </c>
      <c r="AY678" s="31">
        <f>IF($AU678="","",INDEX($AW$8:$AW$2007,MATCH($AU678,$AU$8:$AU$2007,0)))</f>
        <v/>
      </c>
      <c r="AZ678" s="31">
        <f>IF(OR($AS678="",$C$6=""),"",TRIM(INDEX($A:$AP,ROW(),$C$6)&amp;""))</f>
        <v/>
      </c>
      <c r="BA678" s="31">
        <f>IF($AZ678="","",IF(COUNTIF($AZ$8:$AZ678,$AZ678)&gt;1,1,0))</f>
        <v/>
      </c>
    </row>
    <row r="679">
      <c r="AR679" s="31">
        <f>IF(OR($A$5="",$B$6="",ROW()&lt;$A$5),"",IF(INDEX($A:$AP,ROW(),$B$6)="","",INDEX($A:$AP,ROW(),$B$6)))</f>
        <v/>
      </c>
      <c r="AS679" s="32">
        <f>IF($AR679="","",IF(ISNUMBER($AR679),IF($AR679&gt;=10000000,IFERROR(DATE(INT($AR679/10000),MOD(INT($AR679/100),100),MOD($AR679,100)),""),INT($AR679)),IFERROR(DATE(--LEFT(LEFT(SUBSTITUTE(SUBSTITUTE(SUBSTITUTE(SUBSTITUTE(TRIM($AR679),"-",""),".",""),"/","")," ",""),8),4),--MID(LEFT(SUBSTITUTE(SUBSTITUTE(SUBSTITUTE(SUBSTITUTE(TRIM($AR679),"-",""),".",""),"/","")," ",""),8),5,2),--MID(LEFT(SUBSTITUTE(SUBSTITUTE(SUBSTITUTE(SUBSTITUTE(TRIM($AR679),"-",""),".",""),"/","")," ",""),8),7,2)),"")))</f>
        <v/>
      </c>
      <c r="AT679" s="33">
        <f>IF($AS679="","",IF($F$6="",0,IF(ISNUMBER(INDEX($A:$AP,ROW(),$F$6)),INDEX($A:$AP,ROW(),$F$6),IFERROR(--SUBSTITUTE(SUBSTITUTE(TRIM(INDEX($A:$AP,ROW(),$F$6)),",",""),"원",""),0))))</f>
        <v/>
      </c>
      <c r="AU679" s="31">
        <f>IF($AS679="","",IF($AX679&lt;&gt;"",SUBSTITUTE(SUBSTITUTE($AX679,"-","")," ",""),"N:"&amp;$AV679))</f>
        <v/>
      </c>
      <c r="AV679" s="31">
        <f>IF(OR($AS679="",$E$6=""),"",TRIM(INDEX($A:$AP,ROW(),$E$6)&amp;""))</f>
        <v/>
      </c>
      <c r="AW679" s="31">
        <f>IF($AU679="","",IF(MATCH($AU679,$AU$8:$AU$2007,0)=ROW()-7,MAX($AW$7:$AW678)+1,""))</f>
        <v/>
      </c>
      <c r="AX679" s="31">
        <f>IF(OR($AS679="",$D$6=""),"",TRIM(INDEX($A:$AP,ROW(),$D$6)&amp;""))</f>
        <v/>
      </c>
      <c r="AY679" s="31">
        <f>IF($AU679="","",INDEX($AW$8:$AW$2007,MATCH($AU679,$AU$8:$AU$2007,0)))</f>
        <v/>
      </c>
      <c r="AZ679" s="31">
        <f>IF(OR($AS679="",$C$6=""),"",TRIM(INDEX($A:$AP,ROW(),$C$6)&amp;""))</f>
        <v/>
      </c>
      <c r="BA679" s="31">
        <f>IF($AZ679="","",IF(COUNTIF($AZ$8:$AZ679,$AZ679)&gt;1,1,0))</f>
        <v/>
      </c>
    </row>
    <row r="680">
      <c r="AR680" s="31">
        <f>IF(OR($A$5="",$B$6="",ROW()&lt;$A$5),"",IF(INDEX($A:$AP,ROW(),$B$6)="","",INDEX($A:$AP,ROW(),$B$6)))</f>
        <v/>
      </c>
      <c r="AS680" s="32">
        <f>IF($AR680="","",IF(ISNUMBER($AR680),IF($AR680&gt;=10000000,IFERROR(DATE(INT($AR680/10000),MOD(INT($AR680/100),100),MOD($AR680,100)),""),INT($AR680)),IFERROR(DATE(--LEFT(LEFT(SUBSTITUTE(SUBSTITUTE(SUBSTITUTE(SUBSTITUTE(TRIM($AR680),"-",""),".",""),"/","")," ",""),8),4),--MID(LEFT(SUBSTITUTE(SUBSTITUTE(SUBSTITUTE(SUBSTITUTE(TRIM($AR680),"-",""),".",""),"/","")," ",""),8),5,2),--MID(LEFT(SUBSTITUTE(SUBSTITUTE(SUBSTITUTE(SUBSTITUTE(TRIM($AR680),"-",""),".",""),"/","")," ",""),8),7,2)),"")))</f>
        <v/>
      </c>
      <c r="AT680" s="33">
        <f>IF($AS680="","",IF($F$6="",0,IF(ISNUMBER(INDEX($A:$AP,ROW(),$F$6)),INDEX($A:$AP,ROW(),$F$6),IFERROR(--SUBSTITUTE(SUBSTITUTE(TRIM(INDEX($A:$AP,ROW(),$F$6)),",",""),"원",""),0))))</f>
        <v/>
      </c>
      <c r="AU680" s="31">
        <f>IF($AS680="","",IF($AX680&lt;&gt;"",SUBSTITUTE(SUBSTITUTE($AX680,"-","")," ",""),"N:"&amp;$AV680))</f>
        <v/>
      </c>
      <c r="AV680" s="31">
        <f>IF(OR($AS680="",$E$6=""),"",TRIM(INDEX($A:$AP,ROW(),$E$6)&amp;""))</f>
        <v/>
      </c>
      <c r="AW680" s="31">
        <f>IF($AU680="","",IF(MATCH($AU680,$AU$8:$AU$2007,0)=ROW()-7,MAX($AW$7:$AW679)+1,""))</f>
        <v/>
      </c>
      <c r="AX680" s="31">
        <f>IF(OR($AS680="",$D$6=""),"",TRIM(INDEX($A:$AP,ROW(),$D$6)&amp;""))</f>
        <v/>
      </c>
      <c r="AY680" s="31">
        <f>IF($AU680="","",INDEX($AW$8:$AW$2007,MATCH($AU680,$AU$8:$AU$2007,0)))</f>
        <v/>
      </c>
      <c r="AZ680" s="31">
        <f>IF(OR($AS680="",$C$6=""),"",TRIM(INDEX($A:$AP,ROW(),$C$6)&amp;""))</f>
        <v/>
      </c>
      <c r="BA680" s="31">
        <f>IF($AZ680="","",IF(COUNTIF($AZ$8:$AZ680,$AZ680)&gt;1,1,0))</f>
        <v/>
      </c>
    </row>
    <row r="681">
      <c r="AR681" s="31">
        <f>IF(OR($A$5="",$B$6="",ROW()&lt;$A$5),"",IF(INDEX($A:$AP,ROW(),$B$6)="","",INDEX($A:$AP,ROW(),$B$6)))</f>
        <v/>
      </c>
      <c r="AS681" s="32">
        <f>IF($AR681="","",IF(ISNUMBER($AR681),IF($AR681&gt;=10000000,IFERROR(DATE(INT($AR681/10000),MOD(INT($AR681/100),100),MOD($AR681,100)),""),INT($AR681)),IFERROR(DATE(--LEFT(LEFT(SUBSTITUTE(SUBSTITUTE(SUBSTITUTE(SUBSTITUTE(TRIM($AR681),"-",""),".",""),"/","")," ",""),8),4),--MID(LEFT(SUBSTITUTE(SUBSTITUTE(SUBSTITUTE(SUBSTITUTE(TRIM($AR681),"-",""),".",""),"/","")," ",""),8),5,2),--MID(LEFT(SUBSTITUTE(SUBSTITUTE(SUBSTITUTE(SUBSTITUTE(TRIM($AR681),"-",""),".",""),"/","")," ",""),8),7,2)),"")))</f>
        <v/>
      </c>
      <c r="AT681" s="33">
        <f>IF($AS681="","",IF($F$6="",0,IF(ISNUMBER(INDEX($A:$AP,ROW(),$F$6)),INDEX($A:$AP,ROW(),$F$6),IFERROR(--SUBSTITUTE(SUBSTITUTE(TRIM(INDEX($A:$AP,ROW(),$F$6)),",",""),"원",""),0))))</f>
        <v/>
      </c>
      <c r="AU681" s="31">
        <f>IF($AS681="","",IF($AX681&lt;&gt;"",SUBSTITUTE(SUBSTITUTE($AX681,"-","")," ",""),"N:"&amp;$AV681))</f>
        <v/>
      </c>
      <c r="AV681" s="31">
        <f>IF(OR($AS681="",$E$6=""),"",TRIM(INDEX($A:$AP,ROW(),$E$6)&amp;""))</f>
        <v/>
      </c>
      <c r="AW681" s="31">
        <f>IF($AU681="","",IF(MATCH($AU681,$AU$8:$AU$2007,0)=ROW()-7,MAX($AW$7:$AW680)+1,""))</f>
        <v/>
      </c>
      <c r="AX681" s="31">
        <f>IF(OR($AS681="",$D$6=""),"",TRIM(INDEX($A:$AP,ROW(),$D$6)&amp;""))</f>
        <v/>
      </c>
      <c r="AY681" s="31">
        <f>IF($AU681="","",INDEX($AW$8:$AW$2007,MATCH($AU681,$AU$8:$AU$2007,0)))</f>
        <v/>
      </c>
      <c r="AZ681" s="31">
        <f>IF(OR($AS681="",$C$6=""),"",TRIM(INDEX($A:$AP,ROW(),$C$6)&amp;""))</f>
        <v/>
      </c>
      <c r="BA681" s="31">
        <f>IF($AZ681="","",IF(COUNTIF($AZ$8:$AZ681,$AZ681)&gt;1,1,0))</f>
        <v/>
      </c>
    </row>
    <row r="682">
      <c r="AR682" s="31">
        <f>IF(OR($A$5="",$B$6="",ROW()&lt;$A$5),"",IF(INDEX($A:$AP,ROW(),$B$6)="","",INDEX($A:$AP,ROW(),$B$6)))</f>
        <v/>
      </c>
      <c r="AS682" s="32">
        <f>IF($AR682="","",IF(ISNUMBER($AR682),IF($AR682&gt;=10000000,IFERROR(DATE(INT($AR682/10000),MOD(INT($AR682/100),100),MOD($AR682,100)),""),INT($AR682)),IFERROR(DATE(--LEFT(LEFT(SUBSTITUTE(SUBSTITUTE(SUBSTITUTE(SUBSTITUTE(TRIM($AR682),"-",""),".",""),"/","")," ",""),8),4),--MID(LEFT(SUBSTITUTE(SUBSTITUTE(SUBSTITUTE(SUBSTITUTE(TRIM($AR682),"-",""),".",""),"/","")," ",""),8),5,2),--MID(LEFT(SUBSTITUTE(SUBSTITUTE(SUBSTITUTE(SUBSTITUTE(TRIM($AR682),"-",""),".",""),"/","")," ",""),8),7,2)),"")))</f>
        <v/>
      </c>
      <c r="AT682" s="33">
        <f>IF($AS682="","",IF($F$6="",0,IF(ISNUMBER(INDEX($A:$AP,ROW(),$F$6)),INDEX($A:$AP,ROW(),$F$6),IFERROR(--SUBSTITUTE(SUBSTITUTE(TRIM(INDEX($A:$AP,ROW(),$F$6)),",",""),"원",""),0))))</f>
        <v/>
      </c>
      <c r="AU682" s="31">
        <f>IF($AS682="","",IF($AX682&lt;&gt;"",SUBSTITUTE(SUBSTITUTE($AX682,"-","")," ",""),"N:"&amp;$AV682))</f>
        <v/>
      </c>
      <c r="AV682" s="31">
        <f>IF(OR($AS682="",$E$6=""),"",TRIM(INDEX($A:$AP,ROW(),$E$6)&amp;""))</f>
        <v/>
      </c>
      <c r="AW682" s="31">
        <f>IF($AU682="","",IF(MATCH($AU682,$AU$8:$AU$2007,0)=ROW()-7,MAX($AW$7:$AW681)+1,""))</f>
        <v/>
      </c>
      <c r="AX682" s="31">
        <f>IF(OR($AS682="",$D$6=""),"",TRIM(INDEX($A:$AP,ROW(),$D$6)&amp;""))</f>
        <v/>
      </c>
      <c r="AY682" s="31">
        <f>IF($AU682="","",INDEX($AW$8:$AW$2007,MATCH($AU682,$AU$8:$AU$2007,0)))</f>
        <v/>
      </c>
      <c r="AZ682" s="31">
        <f>IF(OR($AS682="",$C$6=""),"",TRIM(INDEX($A:$AP,ROW(),$C$6)&amp;""))</f>
        <v/>
      </c>
      <c r="BA682" s="31">
        <f>IF($AZ682="","",IF(COUNTIF($AZ$8:$AZ682,$AZ682)&gt;1,1,0))</f>
        <v/>
      </c>
    </row>
    <row r="683">
      <c r="AR683" s="31">
        <f>IF(OR($A$5="",$B$6="",ROW()&lt;$A$5),"",IF(INDEX($A:$AP,ROW(),$B$6)="","",INDEX($A:$AP,ROW(),$B$6)))</f>
        <v/>
      </c>
      <c r="AS683" s="32">
        <f>IF($AR683="","",IF(ISNUMBER($AR683),IF($AR683&gt;=10000000,IFERROR(DATE(INT($AR683/10000),MOD(INT($AR683/100),100),MOD($AR683,100)),""),INT($AR683)),IFERROR(DATE(--LEFT(LEFT(SUBSTITUTE(SUBSTITUTE(SUBSTITUTE(SUBSTITUTE(TRIM($AR683),"-",""),".",""),"/","")," ",""),8),4),--MID(LEFT(SUBSTITUTE(SUBSTITUTE(SUBSTITUTE(SUBSTITUTE(TRIM($AR683),"-",""),".",""),"/","")," ",""),8),5,2),--MID(LEFT(SUBSTITUTE(SUBSTITUTE(SUBSTITUTE(SUBSTITUTE(TRIM($AR683),"-",""),".",""),"/","")," ",""),8),7,2)),"")))</f>
        <v/>
      </c>
      <c r="AT683" s="33">
        <f>IF($AS683="","",IF($F$6="",0,IF(ISNUMBER(INDEX($A:$AP,ROW(),$F$6)),INDEX($A:$AP,ROW(),$F$6),IFERROR(--SUBSTITUTE(SUBSTITUTE(TRIM(INDEX($A:$AP,ROW(),$F$6)),",",""),"원",""),0))))</f>
        <v/>
      </c>
      <c r="AU683" s="31">
        <f>IF($AS683="","",IF($AX683&lt;&gt;"",SUBSTITUTE(SUBSTITUTE($AX683,"-","")," ",""),"N:"&amp;$AV683))</f>
        <v/>
      </c>
      <c r="AV683" s="31">
        <f>IF(OR($AS683="",$E$6=""),"",TRIM(INDEX($A:$AP,ROW(),$E$6)&amp;""))</f>
        <v/>
      </c>
      <c r="AW683" s="31">
        <f>IF($AU683="","",IF(MATCH($AU683,$AU$8:$AU$2007,0)=ROW()-7,MAX($AW$7:$AW682)+1,""))</f>
        <v/>
      </c>
      <c r="AX683" s="31">
        <f>IF(OR($AS683="",$D$6=""),"",TRIM(INDEX($A:$AP,ROW(),$D$6)&amp;""))</f>
        <v/>
      </c>
      <c r="AY683" s="31">
        <f>IF($AU683="","",INDEX($AW$8:$AW$2007,MATCH($AU683,$AU$8:$AU$2007,0)))</f>
        <v/>
      </c>
      <c r="AZ683" s="31">
        <f>IF(OR($AS683="",$C$6=""),"",TRIM(INDEX($A:$AP,ROW(),$C$6)&amp;""))</f>
        <v/>
      </c>
      <c r="BA683" s="31">
        <f>IF($AZ683="","",IF(COUNTIF($AZ$8:$AZ683,$AZ683)&gt;1,1,0))</f>
        <v/>
      </c>
    </row>
    <row r="684">
      <c r="AR684" s="31">
        <f>IF(OR($A$5="",$B$6="",ROW()&lt;$A$5),"",IF(INDEX($A:$AP,ROW(),$B$6)="","",INDEX($A:$AP,ROW(),$B$6)))</f>
        <v/>
      </c>
      <c r="AS684" s="32">
        <f>IF($AR684="","",IF(ISNUMBER($AR684),IF($AR684&gt;=10000000,IFERROR(DATE(INT($AR684/10000),MOD(INT($AR684/100),100),MOD($AR684,100)),""),INT($AR684)),IFERROR(DATE(--LEFT(LEFT(SUBSTITUTE(SUBSTITUTE(SUBSTITUTE(SUBSTITUTE(TRIM($AR684),"-",""),".",""),"/","")," ",""),8),4),--MID(LEFT(SUBSTITUTE(SUBSTITUTE(SUBSTITUTE(SUBSTITUTE(TRIM($AR684),"-",""),".",""),"/","")," ",""),8),5,2),--MID(LEFT(SUBSTITUTE(SUBSTITUTE(SUBSTITUTE(SUBSTITUTE(TRIM($AR684),"-",""),".",""),"/","")," ",""),8),7,2)),"")))</f>
        <v/>
      </c>
      <c r="AT684" s="33">
        <f>IF($AS684="","",IF($F$6="",0,IF(ISNUMBER(INDEX($A:$AP,ROW(),$F$6)),INDEX($A:$AP,ROW(),$F$6),IFERROR(--SUBSTITUTE(SUBSTITUTE(TRIM(INDEX($A:$AP,ROW(),$F$6)),",",""),"원",""),0))))</f>
        <v/>
      </c>
      <c r="AU684" s="31">
        <f>IF($AS684="","",IF($AX684&lt;&gt;"",SUBSTITUTE(SUBSTITUTE($AX684,"-","")," ",""),"N:"&amp;$AV684))</f>
        <v/>
      </c>
      <c r="AV684" s="31">
        <f>IF(OR($AS684="",$E$6=""),"",TRIM(INDEX($A:$AP,ROW(),$E$6)&amp;""))</f>
        <v/>
      </c>
      <c r="AW684" s="31">
        <f>IF($AU684="","",IF(MATCH($AU684,$AU$8:$AU$2007,0)=ROW()-7,MAX($AW$7:$AW683)+1,""))</f>
        <v/>
      </c>
      <c r="AX684" s="31">
        <f>IF(OR($AS684="",$D$6=""),"",TRIM(INDEX($A:$AP,ROW(),$D$6)&amp;""))</f>
        <v/>
      </c>
      <c r="AY684" s="31">
        <f>IF($AU684="","",INDEX($AW$8:$AW$2007,MATCH($AU684,$AU$8:$AU$2007,0)))</f>
        <v/>
      </c>
      <c r="AZ684" s="31">
        <f>IF(OR($AS684="",$C$6=""),"",TRIM(INDEX($A:$AP,ROW(),$C$6)&amp;""))</f>
        <v/>
      </c>
      <c r="BA684" s="31">
        <f>IF($AZ684="","",IF(COUNTIF($AZ$8:$AZ684,$AZ684)&gt;1,1,0))</f>
        <v/>
      </c>
    </row>
    <row r="685">
      <c r="AR685" s="31">
        <f>IF(OR($A$5="",$B$6="",ROW()&lt;$A$5),"",IF(INDEX($A:$AP,ROW(),$B$6)="","",INDEX($A:$AP,ROW(),$B$6)))</f>
        <v/>
      </c>
      <c r="AS685" s="32">
        <f>IF($AR685="","",IF(ISNUMBER($AR685),IF($AR685&gt;=10000000,IFERROR(DATE(INT($AR685/10000),MOD(INT($AR685/100),100),MOD($AR685,100)),""),INT($AR685)),IFERROR(DATE(--LEFT(LEFT(SUBSTITUTE(SUBSTITUTE(SUBSTITUTE(SUBSTITUTE(TRIM($AR685),"-",""),".",""),"/","")," ",""),8),4),--MID(LEFT(SUBSTITUTE(SUBSTITUTE(SUBSTITUTE(SUBSTITUTE(TRIM($AR685),"-",""),".",""),"/","")," ",""),8),5,2),--MID(LEFT(SUBSTITUTE(SUBSTITUTE(SUBSTITUTE(SUBSTITUTE(TRIM($AR685),"-",""),".",""),"/","")," ",""),8),7,2)),"")))</f>
        <v/>
      </c>
      <c r="AT685" s="33">
        <f>IF($AS685="","",IF($F$6="",0,IF(ISNUMBER(INDEX($A:$AP,ROW(),$F$6)),INDEX($A:$AP,ROW(),$F$6),IFERROR(--SUBSTITUTE(SUBSTITUTE(TRIM(INDEX($A:$AP,ROW(),$F$6)),",",""),"원",""),0))))</f>
        <v/>
      </c>
      <c r="AU685" s="31">
        <f>IF($AS685="","",IF($AX685&lt;&gt;"",SUBSTITUTE(SUBSTITUTE($AX685,"-","")," ",""),"N:"&amp;$AV685))</f>
        <v/>
      </c>
      <c r="AV685" s="31">
        <f>IF(OR($AS685="",$E$6=""),"",TRIM(INDEX($A:$AP,ROW(),$E$6)&amp;""))</f>
        <v/>
      </c>
      <c r="AW685" s="31">
        <f>IF($AU685="","",IF(MATCH($AU685,$AU$8:$AU$2007,0)=ROW()-7,MAX($AW$7:$AW684)+1,""))</f>
        <v/>
      </c>
      <c r="AX685" s="31">
        <f>IF(OR($AS685="",$D$6=""),"",TRIM(INDEX($A:$AP,ROW(),$D$6)&amp;""))</f>
        <v/>
      </c>
      <c r="AY685" s="31">
        <f>IF($AU685="","",INDEX($AW$8:$AW$2007,MATCH($AU685,$AU$8:$AU$2007,0)))</f>
        <v/>
      </c>
      <c r="AZ685" s="31">
        <f>IF(OR($AS685="",$C$6=""),"",TRIM(INDEX($A:$AP,ROW(),$C$6)&amp;""))</f>
        <v/>
      </c>
      <c r="BA685" s="31">
        <f>IF($AZ685="","",IF(COUNTIF($AZ$8:$AZ685,$AZ685)&gt;1,1,0))</f>
        <v/>
      </c>
    </row>
    <row r="686">
      <c r="AR686" s="31">
        <f>IF(OR($A$5="",$B$6="",ROW()&lt;$A$5),"",IF(INDEX($A:$AP,ROW(),$B$6)="","",INDEX($A:$AP,ROW(),$B$6)))</f>
        <v/>
      </c>
      <c r="AS686" s="32">
        <f>IF($AR686="","",IF(ISNUMBER($AR686),IF($AR686&gt;=10000000,IFERROR(DATE(INT($AR686/10000),MOD(INT($AR686/100),100),MOD($AR686,100)),""),INT($AR686)),IFERROR(DATE(--LEFT(LEFT(SUBSTITUTE(SUBSTITUTE(SUBSTITUTE(SUBSTITUTE(TRIM($AR686),"-",""),".",""),"/","")," ",""),8),4),--MID(LEFT(SUBSTITUTE(SUBSTITUTE(SUBSTITUTE(SUBSTITUTE(TRIM($AR686),"-",""),".",""),"/","")," ",""),8),5,2),--MID(LEFT(SUBSTITUTE(SUBSTITUTE(SUBSTITUTE(SUBSTITUTE(TRIM($AR686),"-",""),".",""),"/","")," ",""),8),7,2)),"")))</f>
        <v/>
      </c>
      <c r="AT686" s="33">
        <f>IF($AS686="","",IF($F$6="",0,IF(ISNUMBER(INDEX($A:$AP,ROW(),$F$6)),INDEX($A:$AP,ROW(),$F$6),IFERROR(--SUBSTITUTE(SUBSTITUTE(TRIM(INDEX($A:$AP,ROW(),$F$6)),",",""),"원",""),0))))</f>
        <v/>
      </c>
      <c r="AU686" s="31">
        <f>IF($AS686="","",IF($AX686&lt;&gt;"",SUBSTITUTE(SUBSTITUTE($AX686,"-","")," ",""),"N:"&amp;$AV686))</f>
        <v/>
      </c>
      <c r="AV686" s="31">
        <f>IF(OR($AS686="",$E$6=""),"",TRIM(INDEX($A:$AP,ROW(),$E$6)&amp;""))</f>
        <v/>
      </c>
      <c r="AW686" s="31">
        <f>IF($AU686="","",IF(MATCH($AU686,$AU$8:$AU$2007,0)=ROW()-7,MAX($AW$7:$AW685)+1,""))</f>
        <v/>
      </c>
      <c r="AX686" s="31">
        <f>IF(OR($AS686="",$D$6=""),"",TRIM(INDEX($A:$AP,ROW(),$D$6)&amp;""))</f>
        <v/>
      </c>
      <c r="AY686" s="31">
        <f>IF($AU686="","",INDEX($AW$8:$AW$2007,MATCH($AU686,$AU$8:$AU$2007,0)))</f>
        <v/>
      </c>
      <c r="AZ686" s="31">
        <f>IF(OR($AS686="",$C$6=""),"",TRIM(INDEX($A:$AP,ROW(),$C$6)&amp;""))</f>
        <v/>
      </c>
      <c r="BA686" s="31">
        <f>IF($AZ686="","",IF(COUNTIF($AZ$8:$AZ686,$AZ686)&gt;1,1,0))</f>
        <v/>
      </c>
    </row>
    <row r="687">
      <c r="AR687" s="31">
        <f>IF(OR($A$5="",$B$6="",ROW()&lt;$A$5),"",IF(INDEX($A:$AP,ROW(),$B$6)="","",INDEX($A:$AP,ROW(),$B$6)))</f>
        <v/>
      </c>
      <c r="AS687" s="32">
        <f>IF($AR687="","",IF(ISNUMBER($AR687),IF($AR687&gt;=10000000,IFERROR(DATE(INT($AR687/10000),MOD(INT($AR687/100),100),MOD($AR687,100)),""),INT($AR687)),IFERROR(DATE(--LEFT(LEFT(SUBSTITUTE(SUBSTITUTE(SUBSTITUTE(SUBSTITUTE(TRIM($AR687),"-",""),".",""),"/","")," ",""),8),4),--MID(LEFT(SUBSTITUTE(SUBSTITUTE(SUBSTITUTE(SUBSTITUTE(TRIM($AR687),"-",""),".",""),"/","")," ",""),8),5,2),--MID(LEFT(SUBSTITUTE(SUBSTITUTE(SUBSTITUTE(SUBSTITUTE(TRIM($AR687),"-",""),".",""),"/","")," ",""),8),7,2)),"")))</f>
        <v/>
      </c>
      <c r="AT687" s="33">
        <f>IF($AS687="","",IF($F$6="",0,IF(ISNUMBER(INDEX($A:$AP,ROW(),$F$6)),INDEX($A:$AP,ROW(),$F$6),IFERROR(--SUBSTITUTE(SUBSTITUTE(TRIM(INDEX($A:$AP,ROW(),$F$6)),",",""),"원",""),0))))</f>
        <v/>
      </c>
      <c r="AU687" s="31">
        <f>IF($AS687="","",IF($AX687&lt;&gt;"",SUBSTITUTE(SUBSTITUTE($AX687,"-","")," ",""),"N:"&amp;$AV687))</f>
        <v/>
      </c>
      <c r="AV687" s="31">
        <f>IF(OR($AS687="",$E$6=""),"",TRIM(INDEX($A:$AP,ROW(),$E$6)&amp;""))</f>
        <v/>
      </c>
      <c r="AW687" s="31">
        <f>IF($AU687="","",IF(MATCH($AU687,$AU$8:$AU$2007,0)=ROW()-7,MAX($AW$7:$AW686)+1,""))</f>
        <v/>
      </c>
      <c r="AX687" s="31">
        <f>IF(OR($AS687="",$D$6=""),"",TRIM(INDEX($A:$AP,ROW(),$D$6)&amp;""))</f>
        <v/>
      </c>
      <c r="AY687" s="31">
        <f>IF($AU687="","",INDEX($AW$8:$AW$2007,MATCH($AU687,$AU$8:$AU$2007,0)))</f>
        <v/>
      </c>
      <c r="AZ687" s="31">
        <f>IF(OR($AS687="",$C$6=""),"",TRIM(INDEX($A:$AP,ROW(),$C$6)&amp;""))</f>
        <v/>
      </c>
      <c r="BA687" s="31">
        <f>IF($AZ687="","",IF(COUNTIF($AZ$8:$AZ687,$AZ687)&gt;1,1,0))</f>
        <v/>
      </c>
    </row>
    <row r="688">
      <c r="AR688" s="31">
        <f>IF(OR($A$5="",$B$6="",ROW()&lt;$A$5),"",IF(INDEX($A:$AP,ROW(),$B$6)="","",INDEX($A:$AP,ROW(),$B$6)))</f>
        <v/>
      </c>
      <c r="AS688" s="32">
        <f>IF($AR688="","",IF(ISNUMBER($AR688),IF($AR688&gt;=10000000,IFERROR(DATE(INT($AR688/10000),MOD(INT($AR688/100),100),MOD($AR688,100)),""),INT($AR688)),IFERROR(DATE(--LEFT(LEFT(SUBSTITUTE(SUBSTITUTE(SUBSTITUTE(SUBSTITUTE(TRIM($AR688),"-",""),".",""),"/","")," ",""),8),4),--MID(LEFT(SUBSTITUTE(SUBSTITUTE(SUBSTITUTE(SUBSTITUTE(TRIM($AR688),"-",""),".",""),"/","")," ",""),8),5,2),--MID(LEFT(SUBSTITUTE(SUBSTITUTE(SUBSTITUTE(SUBSTITUTE(TRIM($AR688),"-",""),".",""),"/","")," ",""),8),7,2)),"")))</f>
        <v/>
      </c>
      <c r="AT688" s="33">
        <f>IF($AS688="","",IF($F$6="",0,IF(ISNUMBER(INDEX($A:$AP,ROW(),$F$6)),INDEX($A:$AP,ROW(),$F$6),IFERROR(--SUBSTITUTE(SUBSTITUTE(TRIM(INDEX($A:$AP,ROW(),$F$6)),",",""),"원",""),0))))</f>
        <v/>
      </c>
      <c r="AU688" s="31">
        <f>IF($AS688="","",IF($AX688&lt;&gt;"",SUBSTITUTE(SUBSTITUTE($AX688,"-","")," ",""),"N:"&amp;$AV688))</f>
        <v/>
      </c>
      <c r="AV688" s="31">
        <f>IF(OR($AS688="",$E$6=""),"",TRIM(INDEX($A:$AP,ROW(),$E$6)&amp;""))</f>
        <v/>
      </c>
      <c r="AW688" s="31">
        <f>IF($AU688="","",IF(MATCH($AU688,$AU$8:$AU$2007,0)=ROW()-7,MAX($AW$7:$AW687)+1,""))</f>
        <v/>
      </c>
      <c r="AX688" s="31">
        <f>IF(OR($AS688="",$D$6=""),"",TRIM(INDEX($A:$AP,ROW(),$D$6)&amp;""))</f>
        <v/>
      </c>
      <c r="AY688" s="31">
        <f>IF($AU688="","",INDEX($AW$8:$AW$2007,MATCH($AU688,$AU$8:$AU$2007,0)))</f>
        <v/>
      </c>
      <c r="AZ688" s="31">
        <f>IF(OR($AS688="",$C$6=""),"",TRIM(INDEX($A:$AP,ROW(),$C$6)&amp;""))</f>
        <v/>
      </c>
      <c r="BA688" s="31">
        <f>IF($AZ688="","",IF(COUNTIF($AZ$8:$AZ688,$AZ688)&gt;1,1,0))</f>
        <v/>
      </c>
    </row>
    <row r="689">
      <c r="AR689" s="31">
        <f>IF(OR($A$5="",$B$6="",ROW()&lt;$A$5),"",IF(INDEX($A:$AP,ROW(),$B$6)="","",INDEX($A:$AP,ROW(),$B$6)))</f>
        <v/>
      </c>
      <c r="AS689" s="32">
        <f>IF($AR689="","",IF(ISNUMBER($AR689),IF($AR689&gt;=10000000,IFERROR(DATE(INT($AR689/10000),MOD(INT($AR689/100),100),MOD($AR689,100)),""),INT($AR689)),IFERROR(DATE(--LEFT(LEFT(SUBSTITUTE(SUBSTITUTE(SUBSTITUTE(SUBSTITUTE(TRIM($AR689),"-",""),".",""),"/","")," ",""),8),4),--MID(LEFT(SUBSTITUTE(SUBSTITUTE(SUBSTITUTE(SUBSTITUTE(TRIM($AR689),"-",""),".",""),"/","")," ",""),8),5,2),--MID(LEFT(SUBSTITUTE(SUBSTITUTE(SUBSTITUTE(SUBSTITUTE(TRIM($AR689),"-",""),".",""),"/","")," ",""),8),7,2)),"")))</f>
        <v/>
      </c>
      <c r="AT689" s="33">
        <f>IF($AS689="","",IF($F$6="",0,IF(ISNUMBER(INDEX($A:$AP,ROW(),$F$6)),INDEX($A:$AP,ROW(),$F$6),IFERROR(--SUBSTITUTE(SUBSTITUTE(TRIM(INDEX($A:$AP,ROW(),$F$6)),",",""),"원",""),0))))</f>
        <v/>
      </c>
      <c r="AU689" s="31">
        <f>IF($AS689="","",IF($AX689&lt;&gt;"",SUBSTITUTE(SUBSTITUTE($AX689,"-","")," ",""),"N:"&amp;$AV689))</f>
        <v/>
      </c>
      <c r="AV689" s="31">
        <f>IF(OR($AS689="",$E$6=""),"",TRIM(INDEX($A:$AP,ROW(),$E$6)&amp;""))</f>
        <v/>
      </c>
      <c r="AW689" s="31">
        <f>IF($AU689="","",IF(MATCH($AU689,$AU$8:$AU$2007,0)=ROW()-7,MAX($AW$7:$AW688)+1,""))</f>
        <v/>
      </c>
      <c r="AX689" s="31">
        <f>IF(OR($AS689="",$D$6=""),"",TRIM(INDEX($A:$AP,ROW(),$D$6)&amp;""))</f>
        <v/>
      </c>
      <c r="AY689" s="31">
        <f>IF($AU689="","",INDEX($AW$8:$AW$2007,MATCH($AU689,$AU$8:$AU$2007,0)))</f>
        <v/>
      </c>
      <c r="AZ689" s="31">
        <f>IF(OR($AS689="",$C$6=""),"",TRIM(INDEX($A:$AP,ROW(),$C$6)&amp;""))</f>
        <v/>
      </c>
      <c r="BA689" s="31">
        <f>IF($AZ689="","",IF(COUNTIF($AZ$8:$AZ689,$AZ689)&gt;1,1,0))</f>
        <v/>
      </c>
    </row>
    <row r="690">
      <c r="AR690" s="31">
        <f>IF(OR($A$5="",$B$6="",ROW()&lt;$A$5),"",IF(INDEX($A:$AP,ROW(),$B$6)="","",INDEX($A:$AP,ROW(),$B$6)))</f>
        <v/>
      </c>
      <c r="AS690" s="32">
        <f>IF($AR690="","",IF(ISNUMBER($AR690),IF($AR690&gt;=10000000,IFERROR(DATE(INT($AR690/10000),MOD(INT($AR690/100),100),MOD($AR690,100)),""),INT($AR690)),IFERROR(DATE(--LEFT(LEFT(SUBSTITUTE(SUBSTITUTE(SUBSTITUTE(SUBSTITUTE(TRIM($AR690),"-",""),".",""),"/","")," ",""),8),4),--MID(LEFT(SUBSTITUTE(SUBSTITUTE(SUBSTITUTE(SUBSTITUTE(TRIM($AR690),"-",""),".",""),"/","")," ",""),8),5,2),--MID(LEFT(SUBSTITUTE(SUBSTITUTE(SUBSTITUTE(SUBSTITUTE(TRIM($AR690),"-",""),".",""),"/","")," ",""),8),7,2)),"")))</f>
        <v/>
      </c>
      <c r="AT690" s="33">
        <f>IF($AS690="","",IF($F$6="",0,IF(ISNUMBER(INDEX($A:$AP,ROW(),$F$6)),INDEX($A:$AP,ROW(),$F$6),IFERROR(--SUBSTITUTE(SUBSTITUTE(TRIM(INDEX($A:$AP,ROW(),$F$6)),",",""),"원",""),0))))</f>
        <v/>
      </c>
      <c r="AU690" s="31">
        <f>IF($AS690="","",IF($AX690&lt;&gt;"",SUBSTITUTE(SUBSTITUTE($AX690,"-","")," ",""),"N:"&amp;$AV690))</f>
        <v/>
      </c>
      <c r="AV690" s="31">
        <f>IF(OR($AS690="",$E$6=""),"",TRIM(INDEX($A:$AP,ROW(),$E$6)&amp;""))</f>
        <v/>
      </c>
      <c r="AW690" s="31">
        <f>IF($AU690="","",IF(MATCH($AU690,$AU$8:$AU$2007,0)=ROW()-7,MAX($AW$7:$AW689)+1,""))</f>
        <v/>
      </c>
      <c r="AX690" s="31">
        <f>IF(OR($AS690="",$D$6=""),"",TRIM(INDEX($A:$AP,ROW(),$D$6)&amp;""))</f>
        <v/>
      </c>
      <c r="AY690" s="31">
        <f>IF($AU690="","",INDEX($AW$8:$AW$2007,MATCH($AU690,$AU$8:$AU$2007,0)))</f>
        <v/>
      </c>
      <c r="AZ690" s="31">
        <f>IF(OR($AS690="",$C$6=""),"",TRIM(INDEX($A:$AP,ROW(),$C$6)&amp;""))</f>
        <v/>
      </c>
      <c r="BA690" s="31">
        <f>IF($AZ690="","",IF(COUNTIF($AZ$8:$AZ690,$AZ690)&gt;1,1,0))</f>
        <v/>
      </c>
    </row>
    <row r="691">
      <c r="AR691" s="31">
        <f>IF(OR($A$5="",$B$6="",ROW()&lt;$A$5),"",IF(INDEX($A:$AP,ROW(),$B$6)="","",INDEX($A:$AP,ROW(),$B$6)))</f>
        <v/>
      </c>
      <c r="AS691" s="32">
        <f>IF($AR691="","",IF(ISNUMBER($AR691),IF($AR691&gt;=10000000,IFERROR(DATE(INT($AR691/10000),MOD(INT($AR691/100),100),MOD($AR691,100)),""),INT($AR691)),IFERROR(DATE(--LEFT(LEFT(SUBSTITUTE(SUBSTITUTE(SUBSTITUTE(SUBSTITUTE(TRIM($AR691),"-",""),".",""),"/","")," ",""),8),4),--MID(LEFT(SUBSTITUTE(SUBSTITUTE(SUBSTITUTE(SUBSTITUTE(TRIM($AR691),"-",""),".",""),"/","")," ",""),8),5,2),--MID(LEFT(SUBSTITUTE(SUBSTITUTE(SUBSTITUTE(SUBSTITUTE(TRIM($AR691),"-",""),".",""),"/","")," ",""),8),7,2)),"")))</f>
        <v/>
      </c>
      <c r="AT691" s="33">
        <f>IF($AS691="","",IF($F$6="",0,IF(ISNUMBER(INDEX($A:$AP,ROW(),$F$6)),INDEX($A:$AP,ROW(),$F$6),IFERROR(--SUBSTITUTE(SUBSTITUTE(TRIM(INDEX($A:$AP,ROW(),$F$6)),",",""),"원",""),0))))</f>
        <v/>
      </c>
      <c r="AU691" s="31">
        <f>IF($AS691="","",IF($AX691&lt;&gt;"",SUBSTITUTE(SUBSTITUTE($AX691,"-","")," ",""),"N:"&amp;$AV691))</f>
        <v/>
      </c>
      <c r="AV691" s="31">
        <f>IF(OR($AS691="",$E$6=""),"",TRIM(INDEX($A:$AP,ROW(),$E$6)&amp;""))</f>
        <v/>
      </c>
      <c r="AW691" s="31">
        <f>IF($AU691="","",IF(MATCH($AU691,$AU$8:$AU$2007,0)=ROW()-7,MAX($AW$7:$AW690)+1,""))</f>
        <v/>
      </c>
      <c r="AX691" s="31">
        <f>IF(OR($AS691="",$D$6=""),"",TRIM(INDEX($A:$AP,ROW(),$D$6)&amp;""))</f>
        <v/>
      </c>
      <c r="AY691" s="31">
        <f>IF($AU691="","",INDEX($AW$8:$AW$2007,MATCH($AU691,$AU$8:$AU$2007,0)))</f>
        <v/>
      </c>
      <c r="AZ691" s="31">
        <f>IF(OR($AS691="",$C$6=""),"",TRIM(INDEX($A:$AP,ROW(),$C$6)&amp;""))</f>
        <v/>
      </c>
      <c r="BA691" s="31">
        <f>IF($AZ691="","",IF(COUNTIF($AZ$8:$AZ691,$AZ691)&gt;1,1,0))</f>
        <v/>
      </c>
    </row>
    <row r="692">
      <c r="AR692" s="31">
        <f>IF(OR($A$5="",$B$6="",ROW()&lt;$A$5),"",IF(INDEX($A:$AP,ROW(),$B$6)="","",INDEX($A:$AP,ROW(),$B$6)))</f>
        <v/>
      </c>
      <c r="AS692" s="32">
        <f>IF($AR692="","",IF(ISNUMBER($AR692),IF($AR692&gt;=10000000,IFERROR(DATE(INT($AR692/10000),MOD(INT($AR692/100),100),MOD($AR692,100)),""),INT($AR692)),IFERROR(DATE(--LEFT(LEFT(SUBSTITUTE(SUBSTITUTE(SUBSTITUTE(SUBSTITUTE(TRIM($AR692),"-",""),".",""),"/","")," ",""),8),4),--MID(LEFT(SUBSTITUTE(SUBSTITUTE(SUBSTITUTE(SUBSTITUTE(TRIM($AR692),"-",""),".",""),"/","")," ",""),8),5,2),--MID(LEFT(SUBSTITUTE(SUBSTITUTE(SUBSTITUTE(SUBSTITUTE(TRIM($AR692),"-",""),".",""),"/","")," ",""),8),7,2)),"")))</f>
        <v/>
      </c>
      <c r="AT692" s="33">
        <f>IF($AS692="","",IF($F$6="",0,IF(ISNUMBER(INDEX($A:$AP,ROW(),$F$6)),INDEX($A:$AP,ROW(),$F$6),IFERROR(--SUBSTITUTE(SUBSTITUTE(TRIM(INDEX($A:$AP,ROW(),$F$6)),",",""),"원",""),0))))</f>
        <v/>
      </c>
      <c r="AU692" s="31">
        <f>IF($AS692="","",IF($AX692&lt;&gt;"",SUBSTITUTE(SUBSTITUTE($AX692,"-","")," ",""),"N:"&amp;$AV692))</f>
        <v/>
      </c>
      <c r="AV692" s="31">
        <f>IF(OR($AS692="",$E$6=""),"",TRIM(INDEX($A:$AP,ROW(),$E$6)&amp;""))</f>
        <v/>
      </c>
      <c r="AW692" s="31">
        <f>IF($AU692="","",IF(MATCH($AU692,$AU$8:$AU$2007,0)=ROW()-7,MAX($AW$7:$AW691)+1,""))</f>
        <v/>
      </c>
      <c r="AX692" s="31">
        <f>IF(OR($AS692="",$D$6=""),"",TRIM(INDEX($A:$AP,ROW(),$D$6)&amp;""))</f>
        <v/>
      </c>
      <c r="AY692" s="31">
        <f>IF($AU692="","",INDEX($AW$8:$AW$2007,MATCH($AU692,$AU$8:$AU$2007,0)))</f>
        <v/>
      </c>
      <c r="AZ692" s="31">
        <f>IF(OR($AS692="",$C$6=""),"",TRIM(INDEX($A:$AP,ROW(),$C$6)&amp;""))</f>
        <v/>
      </c>
      <c r="BA692" s="31">
        <f>IF($AZ692="","",IF(COUNTIF($AZ$8:$AZ692,$AZ692)&gt;1,1,0))</f>
        <v/>
      </c>
    </row>
    <row r="693">
      <c r="AR693" s="31">
        <f>IF(OR($A$5="",$B$6="",ROW()&lt;$A$5),"",IF(INDEX($A:$AP,ROW(),$B$6)="","",INDEX($A:$AP,ROW(),$B$6)))</f>
        <v/>
      </c>
      <c r="AS693" s="32">
        <f>IF($AR693="","",IF(ISNUMBER($AR693),IF($AR693&gt;=10000000,IFERROR(DATE(INT($AR693/10000),MOD(INT($AR693/100),100),MOD($AR693,100)),""),INT($AR693)),IFERROR(DATE(--LEFT(LEFT(SUBSTITUTE(SUBSTITUTE(SUBSTITUTE(SUBSTITUTE(TRIM($AR693),"-",""),".",""),"/","")," ",""),8),4),--MID(LEFT(SUBSTITUTE(SUBSTITUTE(SUBSTITUTE(SUBSTITUTE(TRIM($AR693),"-",""),".",""),"/","")," ",""),8),5,2),--MID(LEFT(SUBSTITUTE(SUBSTITUTE(SUBSTITUTE(SUBSTITUTE(TRIM($AR693),"-",""),".",""),"/","")," ",""),8),7,2)),"")))</f>
        <v/>
      </c>
      <c r="AT693" s="33">
        <f>IF($AS693="","",IF($F$6="",0,IF(ISNUMBER(INDEX($A:$AP,ROW(),$F$6)),INDEX($A:$AP,ROW(),$F$6),IFERROR(--SUBSTITUTE(SUBSTITUTE(TRIM(INDEX($A:$AP,ROW(),$F$6)),",",""),"원",""),0))))</f>
        <v/>
      </c>
      <c r="AU693" s="31">
        <f>IF($AS693="","",IF($AX693&lt;&gt;"",SUBSTITUTE(SUBSTITUTE($AX693,"-","")," ",""),"N:"&amp;$AV693))</f>
        <v/>
      </c>
      <c r="AV693" s="31">
        <f>IF(OR($AS693="",$E$6=""),"",TRIM(INDEX($A:$AP,ROW(),$E$6)&amp;""))</f>
        <v/>
      </c>
      <c r="AW693" s="31">
        <f>IF($AU693="","",IF(MATCH($AU693,$AU$8:$AU$2007,0)=ROW()-7,MAX($AW$7:$AW692)+1,""))</f>
        <v/>
      </c>
      <c r="AX693" s="31">
        <f>IF(OR($AS693="",$D$6=""),"",TRIM(INDEX($A:$AP,ROW(),$D$6)&amp;""))</f>
        <v/>
      </c>
      <c r="AY693" s="31">
        <f>IF($AU693="","",INDEX($AW$8:$AW$2007,MATCH($AU693,$AU$8:$AU$2007,0)))</f>
        <v/>
      </c>
      <c r="AZ693" s="31">
        <f>IF(OR($AS693="",$C$6=""),"",TRIM(INDEX($A:$AP,ROW(),$C$6)&amp;""))</f>
        <v/>
      </c>
      <c r="BA693" s="31">
        <f>IF($AZ693="","",IF(COUNTIF($AZ$8:$AZ693,$AZ693)&gt;1,1,0))</f>
        <v/>
      </c>
    </row>
    <row r="694">
      <c r="AR694" s="31">
        <f>IF(OR($A$5="",$B$6="",ROW()&lt;$A$5),"",IF(INDEX($A:$AP,ROW(),$B$6)="","",INDEX($A:$AP,ROW(),$B$6)))</f>
        <v/>
      </c>
      <c r="AS694" s="32">
        <f>IF($AR694="","",IF(ISNUMBER($AR694),IF($AR694&gt;=10000000,IFERROR(DATE(INT($AR694/10000),MOD(INT($AR694/100),100),MOD($AR694,100)),""),INT($AR694)),IFERROR(DATE(--LEFT(LEFT(SUBSTITUTE(SUBSTITUTE(SUBSTITUTE(SUBSTITUTE(TRIM($AR694),"-",""),".",""),"/","")," ",""),8),4),--MID(LEFT(SUBSTITUTE(SUBSTITUTE(SUBSTITUTE(SUBSTITUTE(TRIM($AR694),"-",""),".",""),"/","")," ",""),8),5,2),--MID(LEFT(SUBSTITUTE(SUBSTITUTE(SUBSTITUTE(SUBSTITUTE(TRIM($AR694),"-",""),".",""),"/","")," ",""),8),7,2)),"")))</f>
        <v/>
      </c>
      <c r="AT694" s="33">
        <f>IF($AS694="","",IF($F$6="",0,IF(ISNUMBER(INDEX($A:$AP,ROW(),$F$6)),INDEX($A:$AP,ROW(),$F$6),IFERROR(--SUBSTITUTE(SUBSTITUTE(TRIM(INDEX($A:$AP,ROW(),$F$6)),",",""),"원",""),0))))</f>
        <v/>
      </c>
      <c r="AU694" s="31">
        <f>IF($AS694="","",IF($AX694&lt;&gt;"",SUBSTITUTE(SUBSTITUTE($AX694,"-","")," ",""),"N:"&amp;$AV694))</f>
        <v/>
      </c>
      <c r="AV694" s="31">
        <f>IF(OR($AS694="",$E$6=""),"",TRIM(INDEX($A:$AP,ROW(),$E$6)&amp;""))</f>
        <v/>
      </c>
      <c r="AW694" s="31">
        <f>IF($AU694="","",IF(MATCH($AU694,$AU$8:$AU$2007,0)=ROW()-7,MAX($AW$7:$AW693)+1,""))</f>
        <v/>
      </c>
      <c r="AX694" s="31">
        <f>IF(OR($AS694="",$D$6=""),"",TRIM(INDEX($A:$AP,ROW(),$D$6)&amp;""))</f>
        <v/>
      </c>
      <c r="AY694" s="31">
        <f>IF($AU694="","",INDEX($AW$8:$AW$2007,MATCH($AU694,$AU$8:$AU$2007,0)))</f>
        <v/>
      </c>
      <c r="AZ694" s="31">
        <f>IF(OR($AS694="",$C$6=""),"",TRIM(INDEX($A:$AP,ROW(),$C$6)&amp;""))</f>
        <v/>
      </c>
      <c r="BA694" s="31">
        <f>IF($AZ694="","",IF(COUNTIF($AZ$8:$AZ694,$AZ694)&gt;1,1,0))</f>
        <v/>
      </c>
    </row>
    <row r="695">
      <c r="AR695" s="31">
        <f>IF(OR($A$5="",$B$6="",ROW()&lt;$A$5),"",IF(INDEX($A:$AP,ROW(),$B$6)="","",INDEX($A:$AP,ROW(),$B$6)))</f>
        <v/>
      </c>
      <c r="AS695" s="32">
        <f>IF($AR695="","",IF(ISNUMBER($AR695),IF($AR695&gt;=10000000,IFERROR(DATE(INT($AR695/10000),MOD(INT($AR695/100),100),MOD($AR695,100)),""),INT($AR695)),IFERROR(DATE(--LEFT(LEFT(SUBSTITUTE(SUBSTITUTE(SUBSTITUTE(SUBSTITUTE(TRIM($AR695),"-",""),".",""),"/","")," ",""),8),4),--MID(LEFT(SUBSTITUTE(SUBSTITUTE(SUBSTITUTE(SUBSTITUTE(TRIM($AR695),"-",""),".",""),"/","")," ",""),8),5,2),--MID(LEFT(SUBSTITUTE(SUBSTITUTE(SUBSTITUTE(SUBSTITUTE(TRIM($AR695),"-",""),".",""),"/","")," ",""),8),7,2)),"")))</f>
        <v/>
      </c>
      <c r="AT695" s="33">
        <f>IF($AS695="","",IF($F$6="",0,IF(ISNUMBER(INDEX($A:$AP,ROW(),$F$6)),INDEX($A:$AP,ROW(),$F$6),IFERROR(--SUBSTITUTE(SUBSTITUTE(TRIM(INDEX($A:$AP,ROW(),$F$6)),",",""),"원",""),0))))</f>
        <v/>
      </c>
      <c r="AU695" s="31">
        <f>IF($AS695="","",IF($AX695&lt;&gt;"",SUBSTITUTE(SUBSTITUTE($AX695,"-","")," ",""),"N:"&amp;$AV695))</f>
        <v/>
      </c>
      <c r="AV695" s="31">
        <f>IF(OR($AS695="",$E$6=""),"",TRIM(INDEX($A:$AP,ROW(),$E$6)&amp;""))</f>
        <v/>
      </c>
      <c r="AW695" s="31">
        <f>IF($AU695="","",IF(MATCH($AU695,$AU$8:$AU$2007,0)=ROW()-7,MAX($AW$7:$AW694)+1,""))</f>
        <v/>
      </c>
      <c r="AX695" s="31">
        <f>IF(OR($AS695="",$D$6=""),"",TRIM(INDEX($A:$AP,ROW(),$D$6)&amp;""))</f>
        <v/>
      </c>
      <c r="AY695" s="31">
        <f>IF($AU695="","",INDEX($AW$8:$AW$2007,MATCH($AU695,$AU$8:$AU$2007,0)))</f>
        <v/>
      </c>
      <c r="AZ695" s="31">
        <f>IF(OR($AS695="",$C$6=""),"",TRIM(INDEX($A:$AP,ROW(),$C$6)&amp;""))</f>
        <v/>
      </c>
      <c r="BA695" s="31">
        <f>IF($AZ695="","",IF(COUNTIF($AZ$8:$AZ695,$AZ695)&gt;1,1,0))</f>
        <v/>
      </c>
    </row>
    <row r="696">
      <c r="AR696" s="31">
        <f>IF(OR($A$5="",$B$6="",ROW()&lt;$A$5),"",IF(INDEX($A:$AP,ROW(),$B$6)="","",INDEX($A:$AP,ROW(),$B$6)))</f>
        <v/>
      </c>
      <c r="AS696" s="32">
        <f>IF($AR696="","",IF(ISNUMBER($AR696),IF($AR696&gt;=10000000,IFERROR(DATE(INT($AR696/10000),MOD(INT($AR696/100),100),MOD($AR696,100)),""),INT($AR696)),IFERROR(DATE(--LEFT(LEFT(SUBSTITUTE(SUBSTITUTE(SUBSTITUTE(SUBSTITUTE(TRIM($AR696),"-",""),".",""),"/","")," ",""),8),4),--MID(LEFT(SUBSTITUTE(SUBSTITUTE(SUBSTITUTE(SUBSTITUTE(TRIM($AR696),"-",""),".",""),"/","")," ",""),8),5,2),--MID(LEFT(SUBSTITUTE(SUBSTITUTE(SUBSTITUTE(SUBSTITUTE(TRIM($AR696),"-",""),".",""),"/","")," ",""),8),7,2)),"")))</f>
        <v/>
      </c>
      <c r="AT696" s="33">
        <f>IF($AS696="","",IF($F$6="",0,IF(ISNUMBER(INDEX($A:$AP,ROW(),$F$6)),INDEX($A:$AP,ROW(),$F$6),IFERROR(--SUBSTITUTE(SUBSTITUTE(TRIM(INDEX($A:$AP,ROW(),$F$6)),",",""),"원",""),0))))</f>
        <v/>
      </c>
      <c r="AU696" s="31">
        <f>IF($AS696="","",IF($AX696&lt;&gt;"",SUBSTITUTE(SUBSTITUTE($AX696,"-","")," ",""),"N:"&amp;$AV696))</f>
        <v/>
      </c>
      <c r="AV696" s="31">
        <f>IF(OR($AS696="",$E$6=""),"",TRIM(INDEX($A:$AP,ROW(),$E$6)&amp;""))</f>
        <v/>
      </c>
      <c r="AW696" s="31">
        <f>IF($AU696="","",IF(MATCH($AU696,$AU$8:$AU$2007,0)=ROW()-7,MAX($AW$7:$AW695)+1,""))</f>
        <v/>
      </c>
      <c r="AX696" s="31">
        <f>IF(OR($AS696="",$D$6=""),"",TRIM(INDEX($A:$AP,ROW(),$D$6)&amp;""))</f>
        <v/>
      </c>
      <c r="AY696" s="31">
        <f>IF($AU696="","",INDEX($AW$8:$AW$2007,MATCH($AU696,$AU$8:$AU$2007,0)))</f>
        <v/>
      </c>
      <c r="AZ696" s="31">
        <f>IF(OR($AS696="",$C$6=""),"",TRIM(INDEX($A:$AP,ROW(),$C$6)&amp;""))</f>
        <v/>
      </c>
      <c r="BA696" s="31">
        <f>IF($AZ696="","",IF(COUNTIF($AZ$8:$AZ696,$AZ696)&gt;1,1,0))</f>
        <v/>
      </c>
    </row>
    <row r="697">
      <c r="AR697" s="31">
        <f>IF(OR($A$5="",$B$6="",ROW()&lt;$A$5),"",IF(INDEX($A:$AP,ROW(),$B$6)="","",INDEX($A:$AP,ROW(),$B$6)))</f>
        <v/>
      </c>
      <c r="AS697" s="32">
        <f>IF($AR697="","",IF(ISNUMBER($AR697),IF($AR697&gt;=10000000,IFERROR(DATE(INT($AR697/10000),MOD(INT($AR697/100),100),MOD($AR697,100)),""),INT($AR697)),IFERROR(DATE(--LEFT(LEFT(SUBSTITUTE(SUBSTITUTE(SUBSTITUTE(SUBSTITUTE(TRIM($AR697),"-",""),".",""),"/","")," ",""),8),4),--MID(LEFT(SUBSTITUTE(SUBSTITUTE(SUBSTITUTE(SUBSTITUTE(TRIM($AR697),"-",""),".",""),"/","")," ",""),8),5,2),--MID(LEFT(SUBSTITUTE(SUBSTITUTE(SUBSTITUTE(SUBSTITUTE(TRIM($AR697),"-",""),".",""),"/","")," ",""),8),7,2)),"")))</f>
        <v/>
      </c>
      <c r="AT697" s="33">
        <f>IF($AS697="","",IF($F$6="",0,IF(ISNUMBER(INDEX($A:$AP,ROW(),$F$6)),INDEX($A:$AP,ROW(),$F$6),IFERROR(--SUBSTITUTE(SUBSTITUTE(TRIM(INDEX($A:$AP,ROW(),$F$6)),",",""),"원",""),0))))</f>
        <v/>
      </c>
      <c r="AU697" s="31">
        <f>IF($AS697="","",IF($AX697&lt;&gt;"",SUBSTITUTE(SUBSTITUTE($AX697,"-","")," ",""),"N:"&amp;$AV697))</f>
        <v/>
      </c>
      <c r="AV697" s="31">
        <f>IF(OR($AS697="",$E$6=""),"",TRIM(INDEX($A:$AP,ROW(),$E$6)&amp;""))</f>
        <v/>
      </c>
      <c r="AW697" s="31">
        <f>IF($AU697="","",IF(MATCH($AU697,$AU$8:$AU$2007,0)=ROW()-7,MAX($AW$7:$AW696)+1,""))</f>
        <v/>
      </c>
      <c r="AX697" s="31">
        <f>IF(OR($AS697="",$D$6=""),"",TRIM(INDEX($A:$AP,ROW(),$D$6)&amp;""))</f>
        <v/>
      </c>
      <c r="AY697" s="31">
        <f>IF($AU697="","",INDEX($AW$8:$AW$2007,MATCH($AU697,$AU$8:$AU$2007,0)))</f>
        <v/>
      </c>
      <c r="AZ697" s="31">
        <f>IF(OR($AS697="",$C$6=""),"",TRIM(INDEX($A:$AP,ROW(),$C$6)&amp;""))</f>
        <v/>
      </c>
      <c r="BA697" s="31">
        <f>IF($AZ697="","",IF(COUNTIF($AZ$8:$AZ697,$AZ697)&gt;1,1,0))</f>
        <v/>
      </c>
    </row>
    <row r="698">
      <c r="AR698" s="31">
        <f>IF(OR($A$5="",$B$6="",ROW()&lt;$A$5),"",IF(INDEX($A:$AP,ROW(),$B$6)="","",INDEX($A:$AP,ROW(),$B$6)))</f>
        <v/>
      </c>
      <c r="AS698" s="32">
        <f>IF($AR698="","",IF(ISNUMBER($AR698),IF($AR698&gt;=10000000,IFERROR(DATE(INT($AR698/10000),MOD(INT($AR698/100),100),MOD($AR698,100)),""),INT($AR698)),IFERROR(DATE(--LEFT(LEFT(SUBSTITUTE(SUBSTITUTE(SUBSTITUTE(SUBSTITUTE(TRIM($AR698),"-",""),".",""),"/","")," ",""),8),4),--MID(LEFT(SUBSTITUTE(SUBSTITUTE(SUBSTITUTE(SUBSTITUTE(TRIM($AR698),"-",""),".",""),"/","")," ",""),8),5,2),--MID(LEFT(SUBSTITUTE(SUBSTITUTE(SUBSTITUTE(SUBSTITUTE(TRIM($AR698),"-",""),".",""),"/","")," ",""),8),7,2)),"")))</f>
        <v/>
      </c>
      <c r="AT698" s="33">
        <f>IF($AS698="","",IF($F$6="",0,IF(ISNUMBER(INDEX($A:$AP,ROW(),$F$6)),INDEX($A:$AP,ROW(),$F$6),IFERROR(--SUBSTITUTE(SUBSTITUTE(TRIM(INDEX($A:$AP,ROW(),$F$6)),",",""),"원",""),0))))</f>
        <v/>
      </c>
      <c r="AU698" s="31">
        <f>IF($AS698="","",IF($AX698&lt;&gt;"",SUBSTITUTE(SUBSTITUTE($AX698,"-","")," ",""),"N:"&amp;$AV698))</f>
        <v/>
      </c>
      <c r="AV698" s="31">
        <f>IF(OR($AS698="",$E$6=""),"",TRIM(INDEX($A:$AP,ROW(),$E$6)&amp;""))</f>
        <v/>
      </c>
      <c r="AW698" s="31">
        <f>IF($AU698="","",IF(MATCH($AU698,$AU$8:$AU$2007,0)=ROW()-7,MAX($AW$7:$AW697)+1,""))</f>
        <v/>
      </c>
      <c r="AX698" s="31">
        <f>IF(OR($AS698="",$D$6=""),"",TRIM(INDEX($A:$AP,ROW(),$D$6)&amp;""))</f>
        <v/>
      </c>
      <c r="AY698" s="31">
        <f>IF($AU698="","",INDEX($AW$8:$AW$2007,MATCH($AU698,$AU$8:$AU$2007,0)))</f>
        <v/>
      </c>
      <c r="AZ698" s="31">
        <f>IF(OR($AS698="",$C$6=""),"",TRIM(INDEX($A:$AP,ROW(),$C$6)&amp;""))</f>
        <v/>
      </c>
      <c r="BA698" s="31">
        <f>IF($AZ698="","",IF(COUNTIF($AZ$8:$AZ698,$AZ698)&gt;1,1,0))</f>
        <v/>
      </c>
    </row>
    <row r="699">
      <c r="AR699" s="31">
        <f>IF(OR($A$5="",$B$6="",ROW()&lt;$A$5),"",IF(INDEX($A:$AP,ROW(),$B$6)="","",INDEX($A:$AP,ROW(),$B$6)))</f>
        <v/>
      </c>
      <c r="AS699" s="32">
        <f>IF($AR699="","",IF(ISNUMBER($AR699),IF($AR699&gt;=10000000,IFERROR(DATE(INT($AR699/10000),MOD(INT($AR699/100),100),MOD($AR699,100)),""),INT($AR699)),IFERROR(DATE(--LEFT(LEFT(SUBSTITUTE(SUBSTITUTE(SUBSTITUTE(SUBSTITUTE(TRIM($AR699),"-",""),".",""),"/","")," ",""),8),4),--MID(LEFT(SUBSTITUTE(SUBSTITUTE(SUBSTITUTE(SUBSTITUTE(TRIM($AR699),"-",""),".",""),"/","")," ",""),8),5,2),--MID(LEFT(SUBSTITUTE(SUBSTITUTE(SUBSTITUTE(SUBSTITUTE(TRIM($AR699),"-",""),".",""),"/","")," ",""),8),7,2)),"")))</f>
        <v/>
      </c>
      <c r="AT699" s="33">
        <f>IF($AS699="","",IF($F$6="",0,IF(ISNUMBER(INDEX($A:$AP,ROW(),$F$6)),INDEX($A:$AP,ROW(),$F$6),IFERROR(--SUBSTITUTE(SUBSTITUTE(TRIM(INDEX($A:$AP,ROW(),$F$6)),",",""),"원",""),0))))</f>
        <v/>
      </c>
      <c r="AU699" s="31">
        <f>IF($AS699="","",IF($AX699&lt;&gt;"",SUBSTITUTE(SUBSTITUTE($AX699,"-","")," ",""),"N:"&amp;$AV699))</f>
        <v/>
      </c>
      <c r="AV699" s="31">
        <f>IF(OR($AS699="",$E$6=""),"",TRIM(INDEX($A:$AP,ROW(),$E$6)&amp;""))</f>
        <v/>
      </c>
      <c r="AW699" s="31">
        <f>IF($AU699="","",IF(MATCH($AU699,$AU$8:$AU$2007,0)=ROW()-7,MAX($AW$7:$AW698)+1,""))</f>
        <v/>
      </c>
      <c r="AX699" s="31">
        <f>IF(OR($AS699="",$D$6=""),"",TRIM(INDEX($A:$AP,ROW(),$D$6)&amp;""))</f>
        <v/>
      </c>
      <c r="AY699" s="31">
        <f>IF($AU699="","",INDEX($AW$8:$AW$2007,MATCH($AU699,$AU$8:$AU$2007,0)))</f>
        <v/>
      </c>
      <c r="AZ699" s="31">
        <f>IF(OR($AS699="",$C$6=""),"",TRIM(INDEX($A:$AP,ROW(),$C$6)&amp;""))</f>
        <v/>
      </c>
      <c r="BA699" s="31">
        <f>IF($AZ699="","",IF(COUNTIF($AZ$8:$AZ699,$AZ699)&gt;1,1,0))</f>
        <v/>
      </c>
    </row>
    <row r="700">
      <c r="AR700" s="31">
        <f>IF(OR($A$5="",$B$6="",ROW()&lt;$A$5),"",IF(INDEX($A:$AP,ROW(),$B$6)="","",INDEX($A:$AP,ROW(),$B$6)))</f>
        <v/>
      </c>
      <c r="AS700" s="32">
        <f>IF($AR700="","",IF(ISNUMBER($AR700),IF($AR700&gt;=10000000,IFERROR(DATE(INT($AR700/10000),MOD(INT($AR700/100),100),MOD($AR700,100)),""),INT($AR700)),IFERROR(DATE(--LEFT(LEFT(SUBSTITUTE(SUBSTITUTE(SUBSTITUTE(SUBSTITUTE(TRIM($AR700),"-",""),".",""),"/","")," ",""),8),4),--MID(LEFT(SUBSTITUTE(SUBSTITUTE(SUBSTITUTE(SUBSTITUTE(TRIM($AR700),"-",""),".",""),"/","")," ",""),8),5,2),--MID(LEFT(SUBSTITUTE(SUBSTITUTE(SUBSTITUTE(SUBSTITUTE(TRIM($AR700),"-",""),".",""),"/","")," ",""),8),7,2)),"")))</f>
        <v/>
      </c>
      <c r="AT700" s="33">
        <f>IF($AS700="","",IF($F$6="",0,IF(ISNUMBER(INDEX($A:$AP,ROW(),$F$6)),INDEX($A:$AP,ROW(),$F$6),IFERROR(--SUBSTITUTE(SUBSTITUTE(TRIM(INDEX($A:$AP,ROW(),$F$6)),",",""),"원",""),0))))</f>
        <v/>
      </c>
      <c r="AU700" s="31">
        <f>IF($AS700="","",IF($AX700&lt;&gt;"",SUBSTITUTE(SUBSTITUTE($AX700,"-","")," ",""),"N:"&amp;$AV700))</f>
        <v/>
      </c>
      <c r="AV700" s="31">
        <f>IF(OR($AS700="",$E$6=""),"",TRIM(INDEX($A:$AP,ROW(),$E$6)&amp;""))</f>
        <v/>
      </c>
      <c r="AW700" s="31">
        <f>IF($AU700="","",IF(MATCH($AU700,$AU$8:$AU$2007,0)=ROW()-7,MAX($AW$7:$AW699)+1,""))</f>
        <v/>
      </c>
      <c r="AX700" s="31">
        <f>IF(OR($AS700="",$D$6=""),"",TRIM(INDEX($A:$AP,ROW(),$D$6)&amp;""))</f>
        <v/>
      </c>
      <c r="AY700" s="31">
        <f>IF($AU700="","",INDEX($AW$8:$AW$2007,MATCH($AU700,$AU$8:$AU$2007,0)))</f>
        <v/>
      </c>
      <c r="AZ700" s="31">
        <f>IF(OR($AS700="",$C$6=""),"",TRIM(INDEX($A:$AP,ROW(),$C$6)&amp;""))</f>
        <v/>
      </c>
      <c r="BA700" s="31">
        <f>IF($AZ700="","",IF(COUNTIF($AZ$8:$AZ700,$AZ700)&gt;1,1,0))</f>
        <v/>
      </c>
    </row>
    <row r="701">
      <c r="AR701" s="31">
        <f>IF(OR($A$5="",$B$6="",ROW()&lt;$A$5),"",IF(INDEX($A:$AP,ROW(),$B$6)="","",INDEX($A:$AP,ROW(),$B$6)))</f>
        <v/>
      </c>
      <c r="AS701" s="32">
        <f>IF($AR701="","",IF(ISNUMBER($AR701),IF($AR701&gt;=10000000,IFERROR(DATE(INT($AR701/10000),MOD(INT($AR701/100),100),MOD($AR701,100)),""),INT($AR701)),IFERROR(DATE(--LEFT(LEFT(SUBSTITUTE(SUBSTITUTE(SUBSTITUTE(SUBSTITUTE(TRIM($AR701),"-",""),".",""),"/","")," ",""),8),4),--MID(LEFT(SUBSTITUTE(SUBSTITUTE(SUBSTITUTE(SUBSTITUTE(TRIM($AR701),"-",""),".",""),"/","")," ",""),8),5,2),--MID(LEFT(SUBSTITUTE(SUBSTITUTE(SUBSTITUTE(SUBSTITUTE(TRIM($AR701),"-",""),".",""),"/","")," ",""),8),7,2)),"")))</f>
        <v/>
      </c>
      <c r="AT701" s="33">
        <f>IF($AS701="","",IF($F$6="",0,IF(ISNUMBER(INDEX($A:$AP,ROW(),$F$6)),INDEX($A:$AP,ROW(),$F$6),IFERROR(--SUBSTITUTE(SUBSTITUTE(TRIM(INDEX($A:$AP,ROW(),$F$6)),",",""),"원",""),0))))</f>
        <v/>
      </c>
      <c r="AU701" s="31">
        <f>IF($AS701="","",IF($AX701&lt;&gt;"",SUBSTITUTE(SUBSTITUTE($AX701,"-","")," ",""),"N:"&amp;$AV701))</f>
        <v/>
      </c>
      <c r="AV701" s="31">
        <f>IF(OR($AS701="",$E$6=""),"",TRIM(INDEX($A:$AP,ROW(),$E$6)&amp;""))</f>
        <v/>
      </c>
      <c r="AW701" s="31">
        <f>IF($AU701="","",IF(MATCH($AU701,$AU$8:$AU$2007,0)=ROW()-7,MAX($AW$7:$AW700)+1,""))</f>
        <v/>
      </c>
      <c r="AX701" s="31">
        <f>IF(OR($AS701="",$D$6=""),"",TRIM(INDEX($A:$AP,ROW(),$D$6)&amp;""))</f>
        <v/>
      </c>
      <c r="AY701" s="31">
        <f>IF($AU701="","",INDEX($AW$8:$AW$2007,MATCH($AU701,$AU$8:$AU$2007,0)))</f>
        <v/>
      </c>
      <c r="AZ701" s="31">
        <f>IF(OR($AS701="",$C$6=""),"",TRIM(INDEX($A:$AP,ROW(),$C$6)&amp;""))</f>
        <v/>
      </c>
      <c r="BA701" s="31">
        <f>IF($AZ701="","",IF(COUNTIF($AZ$8:$AZ701,$AZ701)&gt;1,1,0))</f>
        <v/>
      </c>
    </row>
    <row r="702">
      <c r="AR702" s="31">
        <f>IF(OR($A$5="",$B$6="",ROW()&lt;$A$5),"",IF(INDEX($A:$AP,ROW(),$B$6)="","",INDEX($A:$AP,ROW(),$B$6)))</f>
        <v/>
      </c>
      <c r="AS702" s="32">
        <f>IF($AR702="","",IF(ISNUMBER($AR702),IF($AR702&gt;=10000000,IFERROR(DATE(INT($AR702/10000),MOD(INT($AR702/100),100),MOD($AR702,100)),""),INT($AR702)),IFERROR(DATE(--LEFT(LEFT(SUBSTITUTE(SUBSTITUTE(SUBSTITUTE(SUBSTITUTE(TRIM($AR702),"-",""),".",""),"/","")," ",""),8),4),--MID(LEFT(SUBSTITUTE(SUBSTITUTE(SUBSTITUTE(SUBSTITUTE(TRIM($AR702),"-",""),".",""),"/","")," ",""),8),5,2),--MID(LEFT(SUBSTITUTE(SUBSTITUTE(SUBSTITUTE(SUBSTITUTE(TRIM($AR702),"-",""),".",""),"/","")," ",""),8),7,2)),"")))</f>
        <v/>
      </c>
      <c r="AT702" s="33">
        <f>IF($AS702="","",IF($F$6="",0,IF(ISNUMBER(INDEX($A:$AP,ROW(),$F$6)),INDEX($A:$AP,ROW(),$F$6),IFERROR(--SUBSTITUTE(SUBSTITUTE(TRIM(INDEX($A:$AP,ROW(),$F$6)),",",""),"원",""),0))))</f>
        <v/>
      </c>
      <c r="AU702" s="31">
        <f>IF($AS702="","",IF($AX702&lt;&gt;"",SUBSTITUTE(SUBSTITUTE($AX702,"-","")," ",""),"N:"&amp;$AV702))</f>
        <v/>
      </c>
      <c r="AV702" s="31">
        <f>IF(OR($AS702="",$E$6=""),"",TRIM(INDEX($A:$AP,ROW(),$E$6)&amp;""))</f>
        <v/>
      </c>
      <c r="AW702" s="31">
        <f>IF($AU702="","",IF(MATCH($AU702,$AU$8:$AU$2007,0)=ROW()-7,MAX($AW$7:$AW701)+1,""))</f>
        <v/>
      </c>
      <c r="AX702" s="31">
        <f>IF(OR($AS702="",$D$6=""),"",TRIM(INDEX($A:$AP,ROW(),$D$6)&amp;""))</f>
        <v/>
      </c>
      <c r="AY702" s="31">
        <f>IF($AU702="","",INDEX($AW$8:$AW$2007,MATCH($AU702,$AU$8:$AU$2007,0)))</f>
        <v/>
      </c>
      <c r="AZ702" s="31">
        <f>IF(OR($AS702="",$C$6=""),"",TRIM(INDEX($A:$AP,ROW(),$C$6)&amp;""))</f>
        <v/>
      </c>
      <c r="BA702" s="31">
        <f>IF($AZ702="","",IF(COUNTIF($AZ$8:$AZ702,$AZ702)&gt;1,1,0))</f>
        <v/>
      </c>
    </row>
    <row r="703">
      <c r="AR703" s="31">
        <f>IF(OR($A$5="",$B$6="",ROW()&lt;$A$5),"",IF(INDEX($A:$AP,ROW(),$B$6)="","",INDEX($A:$AP,ROW(),$B$6)))</f>
        <v/>
      </c>
      <c r="AS703" s="32">
        <f>IF($AR703="","",IF(ISNUMBER($AR703),IF($AR703&gt;=10000000,IFERROR(DATE(INT($AR703/10000),MOD(INT($AR703/100),100),MOD($AR703,100)),""),INT($AR703)),IFERROR(DATE(--LEFT(LEFT(SUBSTITUTE(SUBSTITUTE(SUBSTITUTE(SUBSTITUTE(TRIM($AR703),"-",""),".",""),"/","")," ",""),8),4),--MID(LEFT(SUBSTITUTE(SUBSTITUTE(SUBSTITUTE(SUBSTITUTE(TRIM($AR703),"-",""),".",""),"/","")," ",""),8),5,2),--MID(LEFT(SUBSTITUTE(SUBSTITUTE(SUBSTITUTE(SUBSTITUTE(TRIM($AR703),"-",""),".",""),"/","")," ",""),8),7,2)),"")))</f>
        <v/>
      </c>
      <c r="AT703" s="33">
        <f>IF($AS703="","",IF($F$6="",0,IF(ISNUMBER(INDEX($A:$AP,ROW(),$F$6)),INDEX($A:$AP,ROW(),$F$6),IFERROR(--SUBSTITUTE(SUBSTITUTE(TRIM(INDEX($A:$AP,ROW(),$F$6)),",",""),"원",""),0))))</f>
        <v/>
      </c>
      <c r="AU703" s="31">
        <f>IF($AS703="","",IF($AX703&lt;&gt;"",SUBSTITUTE(SUBSTITUTE($AX703,"-","")," ",""),"N:"&amp;$AV703))</f>
        <v/>
      </c>
      <c r="AV703" s="31">
        <f>IF(OR($AS703="",$E$6=""),"",TRIM(INDEX($A:$AP,ROW(),$E$6)&amp;""))</f>
        <v/>
      </c>
      <c r="AW703" s="31">
        <f>IF($AU703="","",IF(MATCH($AU703,$AU$8:$AU$2007,0)=ROW()-7,MAX($AW$7:$AW702)+1,""))</f>
        <v/>
      </c>
      <c r="AX703" s="31">
        <f>IF(OR($AS703="",$D$6=""),"",TRIM(INDEX($A:$AP,ROW(),$D$6)&amp;""))</f>
        <v/>
      </c>
      <c r="AY703" s="31">
        <f>IF($AU703="","",INDEX($AW$8:$AW$2007,MATCH($AU703,$AU$8:$AU$2007,0)))</f>
        <v/>
      </c>
      <c r="AZ703" s="31">
        <f>IF(OR($AS703="",$C$6=""),"",TRIM(INDEX($A:$AP,ROW(),$C$6)&amp;""))</f>
        <v/>
      </c>
      <c r="BA703" s="31">
        <f>IF($AZ703="","",IF(COUNTIF($AZ$8:$AZ703,$AZ703)&gt;1,1,0))</f>
        <v/>
      </c>
    </row>
    <row r="704">
      <c r="AR704" s="31">
        <f>IF(OR($A$5="",$B$6="",ROW()&lt;$A$5),"",IF(INDEX($A:$AP,ROW(),$B$6)="","",INDEX($A:$AP,ROW(),$B$6)))</f>
        <v/>
      </c>
      <c r="AS704" s="32">
        <f>IF($AR704="","",IF(ISNUMBER($AR704),IF($AR704&gt;=10000000,IFERROR(DATE(INT($AR704/10000),MOD(INT($AR704/100),100),MOD($AR704,100)),""),INT($AR704)),IFERROR(DATE(--LEFT(LEFT(SUBSTITUTE(SUBSTITUTE(SUBSTITUTE(SUBSTITUTE(TRIM($AR704),"-",""),".",""),"/","")," ",""),8),4),--MID(LEFT(SUBSTITUTE(SUBSTITUTE(SUBSTITUTE(SUBSTITUTE(TRIM($AR704),"-",""),".",""),"/","")," ",""),8),5,2),--MID(LEFT(SUBSTITUTE(SUBSTITUTE(SUBSTITUTE(SUBSTITUTE(TRIM($AR704),"-",""),".",""),"/","")," ",""),8),7,2)),"")))</f>
        <v/>
      </c>
      <c r="AT704" s="33">
        <f>IF($AS704="","",IF($F$6="",0,IF(ISNUMBER(INDEX($A:$AP,ROW(),$F$6)),INDEX($A:$AP,ROW(),$F$6),IFERROR(--SUBSTITUTE(SUBSTITUTE(TRIM(INDEX($A:$AP,ROW(),$F$6)),",",""),"원",""),0))))</f>
        <v/>
      </c>
      <c r="AU704" s="31">
        <f>IF($AS704="","",IF($AX704&lt;&gt;"",SUBSTITUTE(SUBSTITUTE($AX704,"-","")," ",""),"N:"&amp;$AV704))</f>
        <v/>
      </c>
      <c r="AV704" s="31">
        <f>IF(OR($AS704="",$E$6=""),"",TRIM(INDEX($A:$AP,ROW(),$E$6)&amp;""))</f>
        <v/>
      </c>
      <c r="AW704" s="31">
        <f>IF($AU704="","",IF(MATCH($AU704,$AU$8:$AU$2007,0)=ROW()-7,MAX($AW$7:$AW703)+1,""))</f>
        <v/>
      </c>
      <c r="AX704" s="31">
        <f>IF(OR($AS704="",$D$6=""),"",TRIM(INDEX($A:$AP,ROW(),$D$6)&amp;""))</f>
        <v/>
      </c>
      <c r="AY704" s="31">
        <f>IF($AU704="","",INDEX($AW$8:$AW$2007,MATCH($AU704,$AU$8:$AU$2007,0)))</f>
        <v/>
      </c>
      <c r="AZ704" s="31">
        <f>IF(OR($AS704="",$C$6=""),"",TRIM(INDEX($A:$AP,ROW(),$C$6)&amp;""))</f>
        <v/>
      </c>
      <c r="BA704" s="31">
        <f>IF($AZ704="","",IF(COUNTIF($AZ$8:$AZ704,$AZ704)&gt;1,1,0))</f>
        <v/>
      </c>
    </row>
    <row r="705">
      <c r="AR705" s="31">
        <f>IF(OR($A$5="",$B$6="",ROW()&lt;$A$5),"",IF(INDEX($A:$AP,ROW(),$B$6)="","",INDEX($A:$AP,ROW(),$B$6)))</f>
        <v/>
      </c>
      <c r="AS705" s="32">
        <f>IF($AR705="","",IF(ISNUMBER($AR705),IF($AR705&gt;=10000000,IFERROR(DATE(INT($AR705/10000),MOD(INT($AR705/100),100),MOD($AR705,100)),""),INT($AR705)),IFERROR(DATE(--LEFT(LEFT(SUBSTITUTE(SUBSTITUTE(SUBSTITUTE(SUBSTITUTE(TRIM($AR705),"-",""),".",""),"/","")," ",""),8),4),--MID(LEFT(SUBSTITUTE(SUBSTITUTE(SUBSTITUTE(SUBSTITUTE(TRIM($AR705),"-",""),".",""),"/","")," ",""),8),5,2),--MID(LEFT(SUBSTITUTE(SUBSTITUTE(SUBSTITUTE(SUBSTITUTE(TRIM($AR705),"-",""),".",""),"/","")," ",""),8),7,2)),"")))</f>
        <v/>
      </c>
      <c r="AT705" s="33">
        <f>IF($AS705="","",IF($F$6="",0,IF(ISNUMBER(INDEX($A:$AP,ROW(),$F$6)),INDEX($A:$AP,ROW(),$F$6),IFERROR(--SUBSTITUTE(SUBSTITUTE(TRIM(INDEX($A:$AP,ROW(),$F$6)),",",""),"원",""),0))))</f>
        <v/>
      </c>
      <c r="AU705" s="31">
        <f>IF($AS705="","",IF($AX705&lt;&gt;"",SUBSTITUTE(SUBSTITUTE($AX705,"-","")," ",""),"N:"&amp;$AV705))</f>
        <v/>
      </c>
      <c r="AV705" s="31">
        <f>IF(OR($AS705="",$E$6=""),"",TRIM(INDEX($A:$AP,ROW(),$E$6)&amp;""))</f>
        <v/>
      </c>
      <c r="AW705" s="31">
        <f>IF($AU705="","",IF(MATCH($AU705,$AU$8:$AU$2007,0)=ROW()-7,MAX($AW$7:$AW704)+1,""))</f>
        <v/>
      </c>
      <c r="AX705" s="31">
        <f>IF(OR($AS705="",$D$6=""),"",TRIM(INDEX($A:$AP,ROW(),$D$6)&amp;""))</f>
        <v/>
      </c>
      <c r="AY705" s="31">
        <f>IF($AU705="","",INDEX($AW$8:$AW$2007,MATCH($AU705,$AU$8:$AU$2007,0)))</f>
        <v/>
      </c>
      <c r="AZ705" s="31">
        <f>IF(OR($AS705="",$C$6=""),"",TRIM(INDEX($A:$AP,ROW(),$C$6)&amp;""))</f>
        <v/>
      </c>
      <c r="BA705" s="31">
        <f>IF($AZ705="","",IF(COUNTIF($AZ$8:$AZ705,$AZ705)&gt;1,1,0))</f>
        <v/>
      </c>
    </row>
    <row r="706">
      <c r="AR706" s="31">
        <f>IF(OR($A$5="",$B$6="",ROW()&lt;$A$5),"",IF(INDEX($A:$AP,ROW(),$B$6)="","",INDEX($A:$AP,ROW(),$B$6)))</f>
        <v/>
      </c>
      <c r="AS706" s="32">
        <f>IF($AR706="","",IF(ISNUMBER($AR706),IF($AR706&gt;=10000000,IFERROR(DATE(INT($AR706/10000),MOD(INT($AR706/100),100),MOD($AR706,100)),""),INT($AR706)),IFERROR(DATE(--LEFT(LEFT(SUBSTITUTE(SUBSTITUTE(SUBSTITUTE(SUBSTITUTE(TRIM($AR706),"-",""),".",""),"/","")," ",""),8),4),--MID(LEFT(SUBSTITUTE(SUBSTITUTE(SUBSTITUTE(SUBSTITUTE(TRIM($AR706),"-",""),".",""),"/","")," ",""),8),5,2),--MID(LEFT(SUBSTITUTE(SUBSTITUTE(SUBSTITUTE(SUBSTITUTE(TRIM($AR706),"-",""),".",""),"/","")," ",""),8),7,2)),"")))</f>
        <v/>
      </c>
      <c r="AT706" s="33">
        <f>IF($AS706="","",IF($F$6="",0,IF(ISNUMBER(INDEX($A:$AP,ROW(),$F$6)),INDEX($A:$AP,ROW(),$F$6),IFERROR(--SUBSTITUTE(SUBSTITUTE(TRIM(INDEX($A:$AP,ROW(),$F$6)),",",""),"원",""),0))))</f>
        <v/>
      </c>
      <c r="AU706" s="31">
        <f>IF($AS706="","",IF($AX706&lt;&gt;"",SUBSTITUTE(SUBSTITUTE($AX706,"-","")," ",""),"N:"&amp;$AV706))</f>
        <v/>
      </c>
      <c r="AV706" s="31">
        <f>IF(OR($AS706="",$E$6=""),"",TRIM(INDEX($A:$AP,ROW(),$E$6)&amp;""))</f>
        <v/>
      </c>
      <c r="AW706" s="31">
        <f>IF($AU706="","",IF(MATCH($AU706,$AU$8:$AU$2007,0)=ROW()-7,MAX($AW$7:$AW705)+1,""))</f>
        <v/>
      </c>
      <c r="AX706" s="31">
        <f>IF(OR($AS706="",$D$6=""),"",TRIM(INDEX($A:$AP,ROW(),$D$6)&amp;""))</f>
        <v/>
      </c>
      <c r="AY706" s="31">
        <f>IF($AU706="","",INDEX($AW$8:$AW$2007,MATCH($AU706,$AU$8:$AU$2007,0)))</f>
        <v/>
      </c>
      <c r="AZ706" s="31">
        <f>IF(OR($AS706="",$C$6=""),"",TRIM(INDEX($A:$AP,ROW(),$C$6)&amp;""))</f>
        <v/>
      </c>
      <c r="BA706" s="31">
        <f>IF($AZ706="","",IF(COUNTIF($AZ$8:$AZ706,$AZ706)&gt;1,1,0))</f>
        <v/>
      </c>
    </row>
    <row r="707">
      <c r="AR707" s="31">
        <f>IF(OR($A$5="",$B$6="",ROW()&lt;$A$5),"",IF(INDEX($A:$AP,ROW(),$B$6)="","",INDEX($A:$AP,ROW(),$B$6)))</f>
        <v/>
      </c>
      <c r="AS707" s="32">
        <f>IF($AR707="","",IF(ISNUMBER($AR707),IF($AR707&gt;=10000000,IFERROR(DATE(INT($AR707/10000),MOD(INT($AR707/100),100),MOD($AR707,100)),""),INT($AR707)),IFERROR(DATE(--LEFT(LEFT(SUBSTITUTE(SUBSTITUTE(SUBSTITUTE(SUBSTITUTE(TRIM($AR707),"-",""),".",""),"/","")," ",""),8),4),--MID(LEFT(SUBSTITUTE(SUBSTITUTE(SUBSTITUTE(SUBSTITUTE(TRIM($AR707),"-",""),".",""),"/","")," ",""),8),5,2),--MID(LEFT(SUBSTITUTE(SUBSTITUTE(SUBSTITUTE(SUBSTITUTE(TRIM($AR707),"-",""),".",""),"/","")," ",""),8),7,2)),"")))</f>
        <v/>
      </c>
      <c r="AT707" s="33">
        <f>IF($AS707="","",IF($F$6="",0,IF(ISNUMBER(INDEX($A:$AP,ROW(),$F$6)),INDEX($A:$AP,ROW(),$F$6),IFERROR(--SUBSTITUTE(SUBSTITUTE(TRIM(INDEX($A:$AP,ROW(),$F$6)),",",""),"원",""),0))))</f>
        <v/>
      </c>
      <c r="AU707" s="31">
        <f>IF($AS707="","",IF($AX707&lt;&gt;"",SUBSTITUTE(SUBSTITUTE($AX707,"-","")," ",""),"N:"&amp;$AV707))</f>
        <v/>
      </c>
      <c r="AV707" s="31">
        <f>IF(OR($AS707="",$E$6=""),"",TRIM(INDEX($A:$AP,ROW(),$E$6)&amp;""))</f>
        <v/>
      </c>
      <c r="AW707" s="31">
        <f>IF($AU707="","",IF(MATCH($AU707,$AU$8:$AU$2007,0)=ROW()-7,MAX($AW$7:$AW706)+1,""))</f>
        <v/>
      </c>
      <c r="AX707" s="31">
        <f>IF(OR($AS707="",$D$6=""),"",TRIM(INDEX($A:$AP,ROW(),$D$6)&amp;""))</f>
        <v/>
      </c>
      <c r="AY707" s="31">
        <f>IF($AU707="","",INDEX($AW$8:$AW$2007,MATCH($AU707,$AU$8:$AU$2007,0)))</f>
        <v/>
      </c>
      <c r="AZ707" s="31">
        <f>IF(OR($AS707="",$C$6=""),"",TRIM(INDEX($A:$AP,ROW(),$C$6)&amp;""))</f>
        <v/>
      </c>
      <c r="BA707" s="31">
        <f>IF($AZ707="","",IF(COUNTIF($AZ$8:$AZ707,$AZ707)&gt;1,1,0))</f>
        <v/>
      </c>
    </row>
    <row r="708">
      <c r="AR708" s="31">
        <f>IF(OR($A$5="",$B$6="",ROW()&lt;$A$5),"",IF(INDEX($A:$AP,ROW(),$B$6)="","",INDEX($A:$AP,ROW(),$B$6)))</f>
        <v/>
      </c>
      <c r="AS708" s="32">
        <f>IF($AR708="","",IF(ISNUMBER($AR708),IF($AR708&gt;=10000000,IFERROR(DATE(INT($AR708/10000),MOD(INT($AR708/100),100),MOD($AR708,100)),""),INT($AR708)),IFERROR(DATE(--LEFT(LEFT(SUBSTITUTE(SUBSTITUTE(SUBSTITUTE(SUBSTITUTE(TRIM($AR708),"-",""),".",""),"/","")," ",""),8),4),--MID(LEFT(SUBSTITUTE(SUBSTITUTE(SUBSTITUTE(SUBSTITUTE(TRIM($AR708),"-",""),".",""),"/","")," ",""),8),5,2),--MID(LEFT(SUBSTITUTE(SUBSTITUTE(SUBSTITUTE(SUBSTITUTE(TRIM($AR708),"-",""),".",""),"/","")," ",""),8),7,2)),"")))</f>
        <v/>
      </c>
      <c r="AT708" s="33">
        <f>IF($AS708="","",IF($F$6="",0,IF(ISNUMBER(INDEX($A:$AP,ROW(),$F$6)),INDEX($A:$AP,ROW(),$F$6),IFERROR(--SUBSTITUTE(SUBSTITUTE(TRIM(INDEX($A:$AP,ROW(),$F$6)),",",""),"원",""),0))))</f>
        <v/>
      </c>
      <c r="AU708" s="31">
        <f>IF($AS708="","",IF($AX708&lt;&gt;"",SUBSTITUTE(SUBSTITUTE($AX708,"-","")," ",""),"N:"&amp;$AV708))</f>
        <v/>
      </c>
      <c r="AV708" s="31">
        <f>IF(OR($AS708="",$E$6=""),"",TRIM(INDEX($A:$AP,ROW(),$E$6)&amp;""))</f>
        <v/>
      </c>
      <c r="AW708" s="31">
        <f>IF($AU708="","",IF(MATCH($AU708,$AU$8:$AU$2007,0)=ROW()-7,MAX($AW$7:$AW707)+1,""))</f>
        <v/>
      </c>
      <c r="AX708" s="31">
        <f>IF(OR($AS708="",$D$6=""),"",TRIM(INDEX($A:$AP,ROW(),$D$6)&amp;""))</f>
        <v/>
      </c>
      <c r="AY708" s="31">
        <f>IF($AU708="","",INDEX($AW$8:$AW$2007,MATCH($AU708,$AU$8:$AU$2007,0)))</f>
        <v/>
      </c>
      <c r="AZ708" s="31">
        <f>IF(OR($AS708="",$C$6=""),"",TRIM(INDEX($A:$AP,ROW(),$C$6)&amp;""))</f>
        <v/>
      </c>
      <c r="BA708" s="31">
        <f>IF($AZ708="","",IF(COUNTIF($AZ$8:$AZ708,$AZ708)&gt;1,1,0))</f>
        <v/>
      </c>
    </row>
    <row r="709">
      <c r="AR709" s="31">
        <f>IF(OR($A$5="",$B$6="",ROW()&lt;$A$5),"",IF(INDEX($A:$AP,ROW(),$B$6)="","",INDEX($A:$AP,ROW(),$B$6)))</f>
        <v/>
      </c>
      <c r="AS709" s="32">
        <f>IF($AR709="","",IF(ISNUMBER($AR709),IF($AR709&gt;=10000000,IFERROR(DATE(INT($AR709/10000),MOD(INT($AR709/100),100),MOD($AR709,100)),""),INT($AR709)),IFERROR(DATE(--LEFT(LEFT(SUBSTITUTE(SUBSTITUTE(SUBSTITUTE(SUBSTITUTE(TRIM($AR709),"-",""),".",""),"/","")," ",""),8),4),--MID(LEFT(SUBSTITUTE(SUBSTITUTE(SUBSTITUTE(SUBSTITUTE(TRIM($AR709),"-",""),".",""),"/","")," ",""),8),5,2),--MID(LEFT(SUBSTITUTE(SUBSTITUTE(SUBSTITUTE(SUBSTITUTE(TRIM($AR709),"-",""),".",""),"/","")," ",""),8),7,2)),"")))</f>
        <v/>
      </c>
      <c r="AT709" s="33">
        <f>IF($AS709="","",IF($F$6="",0,IF(ISNUMBER(INDEX($A:$AP,ROW(),$F$6)),INDEX($A:$AP,ROW(),$F$6),IFERROR(--SUBSTITUTE(SUBSTITUTE(TRIM(INDEX($A:$AP,ROW(),$F$6)),",",""),"원",""),0))))</f>
        <v/>
      </c>
      <c r="AU709" s="31">
        <f>IF($AS709="","",IF($AX709&lt;&gt;"",SUBSTITUTE(SUBSTITUTE($AX709,"-","")," ",""),"N:"&amp;$AV709))</f>
        <v/>
      </c>
      <c r="AV709" s="31">
        <f>IF(OR($AS709="",$E$6=""),"",TRIM(INDEX($A:$AP,ROW(),$E$6)&amp;""))</f>
        <v/>
      </c>
      <c r="AW709" s="31">
        <f>IF($AU709="","",IF(MATCH($AU709,$AU$8:$AU$2007,0)=ROW()-7,MAX($AW$7:$AW708)+1,""))</f>
        <v/>
      </c>
      <c r="AX709" s="31">
        <f>IF(OR($AS709="",$D$6=""),"",TRIM(INDEX($A:$AP,ROW(),$D$6)&amp;""))</f>
        <v/>
      </c>
      <c r="AY709" s="31">
        <f>IF($AU709="","",INDEX($AW$8:$AW$2007,MATCH($AU709,$AU$8:$AU$2007,0)))</f>
        <v/>
      </c>
      <c r="AZ709" s="31">
        <f>IF(OR($AS709="",$C$6=""),"",TRIM(INDEX($A:$AP,ROW(),$C$6)&amp;""))</f>
        <v/>
      </c>
      <c r="BA709" s="31">
        <f>IF($AZ709="","",IF(COUNTIF($AZ$8:$AZ709,$AZ709)&gt;1,1,0))</f>
        <v/>
      </c>
    </row>
    <row r="710">
      <c r="AR710" s="31">
        <f>IF(OR($A$5="",$B$6="",ROW()&lt;$A$5),"",IF(INDEX($A:$AP,ROW(),$B$6)="","",INDEX($A:$AP,ROW(),$B$6)))</f>
        <v/>
      </c>
      <c r="AS710" s="32">
        <f>IF($AR710="","",IF(ISNUMBER($AR710),IF($AR710&gt;=10000000,IFERROR(DATE(INT($AR710/10000),MOD(INT($AR710/100),100),MOD($AR710,100)),""),INT($AR710)),IFERROR(DATE(--LEFT(LEFT(SUBSTITUTE(SUBSTITUTE(SUBSTITUTE(SUBSTITUTE(TRIM($AR710),"-",""),".",""),"/","")," ",""),8),4),--MID(LEFT(SUBSTITUTE(SUBSTITUTE(SUBSTITUTE(SUBSTITUTE(TRIM($AR710),"-",""),".",""),"/","")," ",""),8),5,2),--MID(LEFT(SUBSTITUTE(SUBSTITUTE(SUBSTITUTE(SUBSTITUTE(TRIM($AR710),"-",""),".",""),"/","")," ",""),8),7,2)),"")))</f>
        <v/>
      </c>
      <c r="AT710" s="33">
        <f>IF($AS710="","",IF($F$6="",0,IF(ISNUMBER(INDEX($A:$AP,ROW(),$F$6)),INDEX($A:$AP,ROW(),$F$6),IFERROR(--SUBSTITUTE(SUBSTITUTE(TRIM(INDEX($A:$AP,ROW(),$F$6)),",",""),"원",""),0))))</f>
        <v/>
      </c>
      <c r="AU710" s="31">
        <f>IF($AS710="","",IF($AX710&lt;&gt;"",SUBSTITUTE(SUBSTITUTE($AX710,"-","")," ",""),"N:"&amp;$AV710))</f>
        <v/>
      </c>
      <c r="AV710" s="31">
        <f>IF(OR($AS710="",$E$6=""),"",TRIM(INDEX($A:$AP,ROW(),$E$6)&amp;""))</f>
        <v/>
      </c>
      <c r="AW710" s="31">
        <f>IF($AU710="","",IF(MATCH($AU710,$AU$8:$AU$2007,0)=ROW()-7,MAX($AW$7:$AW709)+1,""))</f>
        <v/>
      </c>
      <c r="AX710" s="31">
        <f>IF(OR($AS710="",$D$6=""),"",TRIM(INDEX($A:$AP,ROW(),$D$6)&amp;""))</f>
        <v/>
      </c>
      <c r="AY710" s="31">
        <f>IF($AU710="","",INDEX($AW$8:$AW$2007,MATCH($AU710,$AU$8:$AU$2007,0)))</f>
        <v/>
      </c>
      <c r="AZ710" s="31">
        <f>IF(OR($AS710="",$C$6=""),"",TRIM(INDEX($A:$AP,ROW(),$C$6)&amp;""))</f>
        <v/>
      </c>
      <c r="BA710" s="31">
        <f>IF($AZ710="","",IF(COUNTIF($AZ$8:$AZ710,$AZ710)&gt;1,1,0))</f>
        <v/>
      </c>
    </row>
    <row r="711">
      <c r="AR711" s="31">
        <f>IF(OR($A$5="",$B$6="",ROW()&lt;$A$5),"",IF(INDEX($A:$AP,ROW(),$B$6)="","",INDEX($A:$AP,ROW(),$B$6)))</f>
        <v/>
      </c>
      <c r="AS711" s="32">
        <f>IF($AR711="","",IF(ISNUMBER($AR711),IF($AR711&gt;=10000000,IFERROR(DATE(INT($AR711/10000),MOD(INT($AR711/100),100),MOD($AR711,100)),""),INT($AR711)),IFERROR(DATE(--LEFT(LEFT(SUBSTITUTE(SUBSTITUTE(SUBSTITUTE(SUBSTITUTE(TRIM($AR711),"-",""),".",""),"/","")," ",""),8),4),--MID(LEFT(SUBSTITUTE(SUBSTITUTE(SUBSTITUTE(SUBSTITUTE(TRIM($AR711),"-",""),".",""),"/","")," ",""),8),5,2),--MID(LEFT(SUBSTITUTE(SUBSTITUTE(SUBSTITUTE(SUBSTITUTE(TRIM($AR711),"-",""),".",""),"/","")," ",""),8),7,2)),"")))</f>
        <v/>
      </c>
      <c r="AT711" s="33">
        <f>IF($AS711="","",IF($F$6="",0,IF(ISNUMBER(INDEX($A:$AP,ROW(),$F$6)),INDEX($A:$AP,ROW(),$F$6),IFERROR(--SUBSTITUTE(SUBSTITUTE(TRIM(INDEX($A:$AP,ROW(),$F$6)),",",""),"원",""),0))))</f>
        <v/>
      </c>
      <c r="AU711" s="31">
        <f>IF($AS711="","",IF($AX711&lt;&gt;"",SUBSTITUTE(SUBSTITUTE($AX711,"-","")," ",""),"N:"&amp;$AV711))</f>
        <v/>
      </c>
      <c r="AV711" s="31">
        <f>IF(OR($AS711="",$E$6=""),"",TRIM(INDEX($A:$AP,ROW(),$E$6)&amp;""))</f>
        <v/>
      </c>
      <c r="AW711" s="31">
        <f>IF($AU711="","",IF(MATCH($AU711,$AU$8:$AU$2007,0)=ROW()-7,MAX($AW$7:$AW710)+1,""))</f>
        <v/>
      </c>
      <c r="AX711" s="31">
        <f>IF(OR($AS711="",$D$6=""),"",TRIM(INDEX($A:$AP,ROW(),$D$6)&amp;""))</f>
        <v/>
      </c>
      <c r="AY711" s="31">
        <f>IF($AU711="","",INDEX($AW$8:$AW$2007,MATCH($AU711,$AU$8:$AU$2007,0)))</f>
        <v/>
      </c>
      <c r="AZ711" s="31">
        <f>IF(OR($AS711="",$C$6=""),"",TRIM(INDEX($A:$AP,ROW(),$C$6)&amp;""))</f>
        <v/>
      </c>
      <c r="BA711" s="31">
        <f>IF($AZ711="","",IF(COUNTIF($AZ$8:$AZ711,$AZ711)&gt;1,1,0))</f>
        <v/>
      </c>
    </row>
    <row r="712">
      <c r="AR712" s="31">
        <f>IF(OR($A$5="",$B$6="",ROW()&lt;$A$5),"",IF(INDEX($A:$AP,ROW(),$B$6)="","",INDEX($A:$AP,ROW(),$B$6)))</f>
        <v/>
      </c>
      <c r="AS712" s="32">
        <f>IF($AR712="","",IF(ISNUMBER($AR712),IF($AR712&gt;=10000000,IFERROR(DATE(INT($AR712/10000),MOD(INT($AR712/100),100),MOD($AR712,100)),""),INT($AR712)),IFERROR(DATE(--LEFT(LEFT(SUBSTITUTE(SUBSTITUTE(SUBSTITUTE(SUBSTITUTE(TRIM($AR712),"-",""),".",""),"/","")," ",""),8),4),--MID(LEFT(SUBSTITUTE(SUBSTITUTE(SUBSTITUTE(SUBSTITUTE(TRIM($AR712),"-",""),".",""),"/","")," ",""),8),5,2),--MID(LEFT(SUBSTITUTE(SUBSTITUTE(SUBSTITUTE(SUBSTITUTE(TRIM($AR712),"-",""),".",""),"/","")," ",""),8),7,2)),"")))</f>
        <v/>
      </c>
      <c r="AT712" s="33">
        <f>IF($AS712="","",IF($F$6="",0,IF(ISNUMBER(INDEX($A:$AP,ROW(),$F$6)),INDEX($A:$AP,ROW(),$F$6),IFERROR(--SUBSTITUTE(SUBSTITUTE(TRIM(INDEX($A:$AP,ROW(),$F$6)),",",""),"원",""),0))))</f>
        <v/>
      </c>
      <c r="AU712" s="31">
        <f>IF($AS712="","",IF($AX712&lt;&gt;"",SUBSTITUTE(SUBSTITUTE($AX712,"-","")," ",""),"N:"&amp;$AV712))</f>
        <v/>
      </c>
      <c r="AV712" s="31">
        <f>IF(OR($AS712="",$E$6=""),"",TRIM(INDEX($A:$AP,ROW(),$E$6)&amp;""))</f>
        <v/>
      </c>
      <c r="AW712" s="31">
        <f>IF($AU712="","",IF(MATCH($AU712,$AU$8:$AU$2007,0)=ROW()-7,MAX($AW$7:$AW711)+1,""))</f>
        <v/>
      </c>
      <c r="AX712" s="31">
        <f>IF(OR($AS712="",$D$6=""),"",TRIM(INDEX($A:$AP,ROW(),$D$6)&amp;""))</f>
        <v/>
      </c>
      <c r="AY712" s="31">
        <f>IF($AU712="","",INDEX($AW$8:$AW$2007,MATCH($AU712,$AU$8:$AU$2007,0)))</f>
        <v/>
      </c>
      <c r="AZ712" s="31">
        <f>IF(OR($AS712="",$C$6=""),"",TRIM(INDEX($A:$AP,ROW(),$C$6)&amp;""))</f>
        <v/>
      </c>
      <c r="BA712" s="31">
        <f>IF($AZ712="","",IF(COUNTIF($AZ$8:$AZ712,$AZ712)&gt;1,1,0))</f>
        <v/>
      </c>
    </row>
    <row r="713">
      <c r="AR713" s="31">
        <f>IF(OR($A$5="",$B$6="",ROW()&lt;$A$5),"",IF(INDEX($A:$AP,ROW(),$B$6)="","",INDEX($A:$AP,ROW(),$B$6)))</f>
        <v/>
      </c>
      <c r="AS713" s="32">
        <f>IF($AR713="","",IF(ISNUMBER($AR713),IF($AR713&gt;=10000000,IFERROR(DATE(INT($AR713/10000),MOD(INT($AR713/100),100),MOD($AR713,100)),""),INT($AR713)),IFERROR(DATE(--LEFT(LEFT(SUBSTITUTE(SUBSTITUTE(SUBSTITUTE(SUBSTITUTE(TRIM($AR713),"-",""),".",""),"/","")," ",""),8),4),--MID(LEFT(SUBSTITUTE(SUBSTITUTE(SUBSTITUTE(SUBSTITUTE(TRIM($AR713),"-",""),".",""),"/","")," ",""),8),5,2),--MID(LEFT(SUBSTITUTE(SUBSTITUTE(SUBSTITUTE(SUBSTITUTE(TRIM($AR713),"-",""),".",""),"/","")," ",""),8),7,2)),"")))</f>
        <v/>
      </c>
      <c r="AT713" s="33">
        <f>IF($AS713="","",IF($F$6="",0,IF(ISNUMBER(INDEX($A:$AP,ROW(),$F$6)),INDEX($A:$AP,ROW(),$F$6),IFERROR(--SUBSTITUTE(SUBSTITUTE(TRIM(INDEX($A:$AP,ROW(),$F$6)),",",""),"원",""),0))))</f>
        <v/>
      </c>
      <c r="AU713" s="31">
        <f>IF($AS713="","",IF($AX713&lt;&gt;"",SUBSTITUTE(SUBSTITUTE($AX713,"-","")," ",""),"N:"&amp;$AV713))</f>
        <v/>
      </c>
      <c r="AV713" s="31">
        <f>IF(OR($AS713="",$E$6=""),"",TRIM(INDEX($A:$AP,ROW(),$E$6)&amp;""))</f>
        <v/>
      </c>
      <c r="AW713" s="31">
        <f>IF($AU713="","",IF(MATCH($AU713,$AU$8:$AU$2007,0)=ROW()-7,MAX($AW$7:$AW712)+1,""))</f>
        <v/>
      </c>
      <c r="AX713" s="31">
        <f>IF(OR($AS713="",$D$6=""),"",TRIM(INDEX($A:$AP,ROW(),$D$6)&amp;""))</f>
        <v/>
      </c>
      <c r="AY713" s="31">
        <f>IF($AU713="","",INDEX($AW$8:$AW$2007,MATCH($AU713,$AU$8:$AU$2007,0)))</f>
        <v/>
      </c>
      <c r="AZ713" s="31">
        <f>IF(OR($AS713="",$C$6=""),"",TRIM(INDEX($A:$AP,ROW(),$C$6)&amp;""))</f>
        <v/>
      </c>
      <c r="BA713" s="31">
        <f>IF($AZ713="","",IF(COUNTIF($AZ$8:$AZ713,$AZ713)&gt;1,1,0))</f>
        <v/>
      </c>
    </row>
    <row r="714">
      <c r="AR714" s="31">
        <f>IF(OR($A$5="",$B$6="",ROW()&lt;$A$5),"",IF(INDEX($A:$AP,ROW(),$B$6)="","",INDEX($A:$AP,ROW(),$B$6)))</f>
        <v/>
      </c>
      <c r="AS714" s="32">
        <f>IF($AR714="","",IF(ISNUMBER($AR714),IF($AR714&gt;=10000000,IFERROR(DATE(INT($AR714/10000),MOD(INT($AR714/100),100),MOD($AR714,100)),""),INT($AR714)),IFERROR(DATE(--LEFT(LEFT(SUBSTITUTE(SUBSTITUTE(SUBSTITUTE(SUBSTITUTE(TRIM($AR714),"-",""),".",""),"/","")," ",""),8),4),--MID(LEFT(SUBSTITUTE(SUBSTITUTE(SUBSTITUTE(SUBSTITUTE(TRIM($AR714),"-",""),".",""),"/","")," ",""),8),5,2),--MID(LEFT(SUBSTITUTE(SUBSTITUTE(SUBSTITUTE(SUBSTITUTE(TRIM($AR714),"-",""),".",""),"/","")," ",""),8),7,2)),"")))</f>
        <v/>
      </c>
      <c r="AT714" s="33">
        <f>IF($AS714="","",IF($F$6="",0,IF(ISNUMBER(INDEX($A:$AP,ROW(),$F$6)),INDEX($A:$AP,ROW(),$F$6),IFERROR(--SUBSTITUTE(SUBSTITUTE(TRIM(INDEX($A:$AP,ROW(),$F$6)),",",""),"원",""),0))))</f>
        <v/>
      </c>
      <c r="AU714" s="31">
        <f>IF($AS714="","",IF($AX714&lt;&gt;"",SUBSTITUTE(SUBSTITUTE($AX714,"-","")," ",""),"N:"&amp;$AV714))</f>
        <v/>
      </c>
      <c r="AV714" s="31">
        <f>IF(OR($AS714="",$E$6=""),"",TRIM(INDEX($A:$AP,ROW(),$E$6)&amp;""))</f>
        <v/>
      </c>
      <c r="AW714" s="31">
        <f>IF($AU714="","",IF(MATCH($AU714,$AU$8:$AU$2007,0)=ROW()-7,MAX($AW$7:$AW713)+1,""))</f>
        <v/>
      </c>
      <c r="AX714" s="31">
        <f>IF(OR($AS714="",$D$6=""),"",TRIM(INDEX($A:$AP,ROW(),$D$6)&amp;""))</f>
        <v/>
      </c>
      <c r="AY714" s="31">
        <f>IF($AU714="","",INDEX($AW$8:$AW$2007,MATCH($AU714,$AU$8:$AU$2007,0)))</f>
        <v/>
      </c>
      <c r="AZ714" s="31">
        <f>IF(OR($AS714="",$C$6=""),"",TRIM(INDEX($A:$AP,ROW(),$C$6)&amp;""))</f>
        <v/>
      </c>
      <c r="BA714" s="31">
        <f>IF($AZ714="","",IF(COUNTIF($AZ$8:$AZ714,$AZ714)&gt;1,1,0))</f>
        <v/>
      </c>
    </row>
    <row r="715">
      <c r="AR715" s="31">
        <f>IF(OR($A$5="",$B$6="",ROW()&lt;$A$5),"",IF(INDEX($A:$AP,ROW(),$B$6)="","",INDEX($A:$AP,ROW(),$B$6)))</f>
        <v/>
      </c>
      <c r="AS715" s="32">
        <f>IF($AR715="","",IF(ISNUMBER($AR715),IF($AR715&gt;=10000000,IFERROR(DATE(INT($AR715/10000),MOD(INT($AR715/100),100),MOD($AR715,100)),""),INT($AR715)),IFERROR(DATE(--LEFT(LEFT(SUBSTITUTE(SUBSTITUTE(SUBSTITUTE(SUBSTITUTE(TRIM($AR715),"-",""),".",""),"/","")," ",""),8),4),--MID(LEFT(SUBSTITUTE(SUBSTITUTE(SUBSTITUTE(SUBSTITUTE(TRIM($AR715),"-",""),".",""),"/","")," ",""),8),5,2),--MID(LEFT(SUBSTITUTE(SUBSTITUTE(SUBSTITUTE(SUBSTITUTE(TRIM($AR715),"-",""),".",""),"/","")," ",""),8),7,2)),"")))</f>
        <v/>
      </c>
      <c r="AT715" s="33">
        <f>IF($AS715="","",IF($F$6="",0,IF(ISNUMBER(INDEX($A:$AP,ROW(),$F$6)),INDEX($A:$AP,ROW(),$F$6),IFERROR(--SUBSTITUTE(SUBSTITUTE(TRIM(INDEX($A:$AP,ROW(),$F$6)),",",""),"원",""),0))))</f>
        <v/>
      </c>
      <c r="AU715" s="31">
        <f>IF($AS715="","",IF($AX715&lt;&gt;"",SUBSTITUTE(SUBSTITUTE($AX715,"-","")," ",""),"N:"&amp;$AV715))</f>
        <v/>
      </c>
      <c r="AV715" s="31">
        <f>IF(OR($AS715="",$E$6=""),"",TRIM(INDEX($A:$AP,ROW(),$E$6)&amp;""))</f>
        <v/>
      </c>
      <c r="AW715" s="31">
        <f>IF($AU715="","",IF(MATCH($AU715,$AU$8:$AU$2007,0)=ROW()-7,MAX($AW$7:$AW714)+1,""))</f>
        <v/>
      </c>
      <c r="AX715" s="31">
        <f>IF(OR($AS715="",$D$6=""),"",TRIM(INDEX($A:$AP,ROW(),$D$6)&amp;""))</f>
        <v/>
      </c>
      <c r="AY715" s="31">
        <f>IF($AU715="","",INDEX($AW$8:$AW$2007,MATCH($AU715,$AU$8:$AU$2007,0)))</f>
        <v/>
      </c>
      <c r="AZ715" s="31">
        <f>IF(OR($AS715="",$C$6=""),"",TRIM(INDEX($A:$AP,ROW(),$C$6)&amp;""))</f>
        <v/>
      </c>
      <c r="BA715" s="31">
        <f>IF($AZ715="","",IF(COUNTIF($AZ$8:$AZ715,$AZ715)&gt;1,1,0))</f>
        <v/>
      </c>
    </row>
    <row r="716">
      <c r="AR716" s="31">
        <f>IF(OR($A$5="",$B$6="",ROW()&lt;$A$5),"",IF(INDEX($A:$AP,ROW(),$B$6)="","",INDEX($A:$AP,ROW(),$B$6)))</f>
        <v/>
      </c>
      <c r="AS716" s="32">
        <f>IF($AR716="","",IF(ISNUMBER($AR716),IF($AR716&gt;=10000000,IFERROR(DATE(INT($AR716/10000),MOD(INT($AR716/100),100),MOD($AR716,100)),""),INT($AR716)),IFERROR(DATE(--LEFT(LEFT(SUBSTITUTE(SUBSTITUTE(SUBSTITUTE(SUBSTITUTE(TRIM($AR716),"-",""),".",""),"/","")," ",""),8),4),--MID(LEFT(SUBSTITUTE(SUBSTITUTE(SUBSTITUTE(SUBSTITUTE(TRIM($AR716),"-",""),".",""),"/","")," ",""),8),5,2),--MID(LEFT(SUBSTITUTE(SUBSTITUTE(SUBSTITUTE(SUBSTITUTE(TRIM($AR716),"-",""),".",""),"/","")," ",""),8),7,2)),"")))</f>
        <v/>
      </c>
      <c r="AT716" s="33">
        <f>IF($AS716="","",IF($F$6="",0,IF(ISNUMBER(INDEX($A:$AP,ROW(),$F$6)),INDEX($A:$AP,ROW(),$F$6),IFERROR(--SUBSTITUTE(SUBSTITUTE(TRIM(INDEX($A:$AP,ROW(),$F$6)),",",""),"원",""),0))))</f>
        <v/>
      </c>
      <c r="AU716" s="31">
        <f>IF($AS716="","",IF($AX716&lt;&gt;"",SUBSTITUTE(SUBSTITUTE($AX716,"-","")," ",""),"N:"&amp;$AV716))</f>
        <v/>
      </c>
      <c r="AV716" s="31">
        <f>IF(OR($AS716="",$E$6=""),"",TRIM(INDEX($A:$AP,ROW(),$E$6)&amp;""))</f>
        <v/>
      </c>
      <c r="AW716" s="31">
        <f>IF($AU716="","",IF(MATCH($AU716,$AU$8:$AU$2007,0)=ROW()-7,MAX($AW$7:$AW715)+1,""))</f>
        <v/>
      </c>
      <c r="AX716" s="31">
        <f>IF(OR($AS716="",$D$6=""),"",TRIM(INDEX($A:$AP,ROW(),$D$6)&amp;""))</f>
        <v/>
      </c>
      <c r="AY716" s="31">
        <f>IF($AU716="","",INDEX($AW$8:$AW$2007,MATCH($AU716,$AU$8:$AU$2007,0)))</f>
        <v/>
      </c>
      <c r="AZ716" s="31">
        <f>IF(OR($AS716="",$C$6=""),"",TRIM(INDEX($A:$AP,ROW(),$C$6)&amp;""))</f>
        <v/>
      </c>
      <c r="BA716" s="31">
        <f>IF($AZ716="","",IF(COUNTIF($AZ$8:$AZ716,$AZ716)&gt;1,1,0))</f>
        <v/>
      </c>
    </row>
    <row r="717">
      <c r="AR717" s="31">
        <f>IF(OR($A$5="",$B$6="",ROW()&lt;$A$5),"",IF(INDEX($A:$AP,ROW(),$B$6)="","",INDEX($A:$AP,ROW(),$B$6)))</f>
        <v/>
      </c>
      <c r="AS717" s="32">
        <f>IF($AR717="","",IF(ISNUMBER($AR717),IF($AR717&gt;=10000000,IFERROR(DATE(INT($AR717/10000),MOD(INT($AR717/100),100),MOD($AR717,100)),""),INT($AR717)),IFERROR(DATE(--LEFT(LEFT(SUBSTITUTE(SUBSTITUTE(SUBSTITUTE(SUBSTITUTE(TRIM($AR717),"-",""),".",""),"/","")," ",""),8),4),--MID(LEFT(SUBSTITUTE(SUBSTITUTE(SUBSTITUTE(SUBSTITUTE(TRIM($AR717),"-",""),".",""),"/","")," ",""),8),5,2),--MID(LEFT(SUBSTITUTE(SUBSTITUTE(SUBSTITUTE(SUBSTITUTE(TRIM($AR717),"-",""),".",""),"/","")," ",""),8),7,2)),"")))</f>
        <v/>
      </c>
      <c r="AT717" s="33">
        <f>IF($AS717="","",IF($F$6="",0,IF(ISNUMBER(INDEX($A:$AP,ROW(),$F$6)),INDEX($A:$AP,ROW(),$F$6),IFERROR(--SUBSTITUTE(SUBSTITUTE(TRIM(INDEX($A:$AP,ROW(),$F$6)),",",""),"원",""),0))))</f>
        <v/>
      </c>
      <c r="AU717" s="31">
        <f>IF($AS717="","",IF($AX717&lt;&gt;"",SUBSTITUTE(SUBSTITUTE($AX717,"-","")," ",""),"N:"&amp;$AV717))</f>
        <v/>
      </c>
      <c r="AV717" s="31">
        <f>IF(OR($AS717="",$E$6=""),"",TRIM(INDEX($A:$AP,ROW(),$E$6)&amp;""))</f>
        <v/>
      </c>
      <c r="AW717" s="31">
        <f>IF($AU717="","",IF(MATCH($AU717,$AU$8:$AU$2007,0)=ROW()-7,MAX($AW$7:$AW716)+1,""))</f>
        <v/>
      </c>
      <c r="AX717" s="31">
        <f>IF(OR($AS717="",$D$6=""),"",TRIM(INDEX($A:$AP,ROW(),$D$6)&amp;""))</f>
        <v/>
      </c>
      <c r="AY717" s="31">
        <f>IF($AU717="","",INDEX($AW$8:$AW$2007,MATCH($AU717,$AU$8:$AU$2007,0)))</f>
        <v/>
      </c>
      <c r="AZ717" s="31">
        <f>IF(OR($AS717="",$C$6=""),"",TRIM(INDEX($A:$AP,ROW(),$C$6)&amp;""))</f>
        <v/>
      </c>
      <c r="BA717" s="31">
        <f>IF($AZ717="","",IF(COUNTIF($AZ$8:$AZ717,$AZ717)&gt;1,1,0))</f>
        <v/>
      </c>
    </row>
    <row r="718">
      <c r="AR718" s="31">
        <f>IF(OR($A$5="",$B$6="",ROW()&lt;$A$5),"",IF(INDEX($A:$AP,ROW(),$B$6)="","",INDEX($A:$AP,ROW(),$B$6)))</f>
        <v/>
      </c>
      <c r="AS718" s="32">
        <f>IF($AR718="","",IF(ISNUMBER($AR718),IF($AR718&gt;=10000000,IFERROR(DATE(INT($AR718/10000),MOD(INT($AR718/100),100),MOD($AR718,100)),""),INT($AR718)),IFERROR(DATE(--LEFT(LEFT(SUBSTITUTE(SUBSTITUTE(SUBSTITUTE(SUBSTITUTE(TRIM($AR718),"-",""),".",""),"/","")," ",""),8),4),--MID(LEFT(SUBSTITUTE(SUBSTITUTE(SUBSTITUTE(SUBSTITUTE(TRIM($AR718),"-",""),".",""),"/","")," ",""),8),5,2),--MID(LEFT(SUBSTITUTE(SUBSTITUTE(SUBSTITUTE(SUBSTITUTE(TRIM($AR718),"-",""),".",""),"/","")," ",""),8),7,2)),"")))</f>
        <v/>
      </c>
      <c r="AT718" s="33">
        <f>IF($AS718="","",IF($F$6="",0,IF(ISNUMBER(INDEX($A:$AP,ROW(),$F$6)),INDEX($A:$AP,ROW(),$F$6),IFERROR(--SUBSTITUTE(SUBSTITUTE(TRIM(INDEX($A:$AP,ROW(),$F$6)),",",""),"원",""),0))))</f>
        <v/>
      </c>
      <c r="AU718" s="31">
        <f>IF($AS718="","",IF($AX718&lt;&gt;"",SUBSTITUTE(SUBSTITUTE($AX718,"-","")," ",""),"N:"&amp;$AV718))</f>
        <v/>
      </c>
      <c r="AV718" s="31">
        <f>IF(OR($AS718="",$E$6=""),"",TRIM(INDEX($A:$AP,ROW(),$E$6)&amp;""))</f>
        <v/>
      </c>
      <c r="AW718" s="31">
        <f>IF($AU718="","",IF(MATCH($AU718,$AU$8:$AU$2007,0)=ROW()-7,MAX($AW$7:$AW717)+1,""))</f>
        <v/>
      </c>
      <c r="AX718" s="31">
        <f>IF(OR($AS718="",$D$6=""),"",TRIM(INDEX($A:$AP,ROW(),$D$6)&amp;""))</f>
        <v/>
      </c>
      <c r="AY718" s="31">
        <f>IF($AU718="","",INDEX($AW$8:$AW$2007,MATCH($AU718,$AU$8:$AU$2007,0)))</f>
        <v/>
      </c>
      <c r="AZ718" s="31">
        <f>IF(OR($AS718="",$C$6=""),"",TRIM(INDEX($A:$AP,ROW(),$C$6)&amp;""))</f>
        <v/>
      </c>
      <c r="BA718" s="31">
        <f>IF($AZ718="","",IF(COUNTIF($AZ$8:$AZ718,$AZ718)&gt;1,1,0))</f>
        <v/>
      </c>
    </row>
    <row r="719">
      <c r="AR719" s="31">
        <f>IF(OR($A$5="",$B$6="",ROW()&lt;$A$5),"",IF(INDEX($A:$AP,ROW(),$B$6)="","",INDEX($A:$AP,ROW(),$B$6)))</f>
        <v/>
      </c>
      <c r="AS719" s="32">
        <f>IF($AR719="","",IF(ISNUMBER($AR719),IF($AR719&gt;=10000000,IFERROR(DATE(INT($AR719/10000),MOD(INT($AR719/100),100),MOD($AR719,100)),""),INT($AR719)),IFERROR(DATE(--LEFT(LEFT(SUBSTITUTE(SUBSTITUTE(SUBSTITUTE(SUBSTITUTE(TRIM($AR719),"-",""),".",""),"/","")," ",""),8),4),--MID(LEFT(SUBSTITUTE(SUBSTITUTE(SUBSTITUTE(SUBSTITUTE(TRIM($AR719),"-",""),".",""),"/","")," ",""),8),5,2),--MID(LEFT(SUBSTITUTE(SUBSTITUTE(SUBSTITUTE(SUBSTITUTE(TRIM($AR719),"-",""),".",""),"/","")," ",""),8),7,2)),"")))</f>
        <v/>
      </c>
      <c r="AT719" s="33">
        <f>IF($AS719="","",IF($F$6="",0,IF(ISNUMBER(INDEX($A:$AP,ROW(),$F$6)),INDEX($A:$AP,ROW(),$F$6),IFERROR(--SUBSTITUTE(SUBSTITUTE(TRIM(INDEX($A:$AP,ROW(),$F$6)),",",""),"원",""),0))))</f>
        <v/>
      </c>
      <c r="AU719" s="31">
        <f>IF($AS719="","",IF($AX719&lt;&gt;"",SUBSTITUTE(SUBSTITUTE($AX719,"-","")," ",""),"N:"&amp;$AV719))</f>
        <v/>
      </c>
      <c r="AV719" s="31">
        <f>IF(OR($AS719="",$E$6=""),"",TRIM(INDEX($A:$AP,ROW(),$E$6)&amp;""))</f>
        <v/>
      </c>
      <c r="AW719" s="31">
        <f>IF($AU719="","",IF(MATCH($AU719,$AU$8:$AU$2007,0)=ROW()-7,MAX($AW$7:$AW718)+1,""))</f>
        <v/>
      </c>
      <c r="AX719" s="31">
        <f>IF(OR($AS719="",$D$6=""),"",TRIM(INDEX($A:$AP,ROW(),$D$6)&amp;""))</f>
        <v/>
      </c>
      <c r="AY719" s="31">
        <f>IF($AU719="","",INDEX($AW$8:$AW$2007,MATCH($AU719,$AU$8:$AU$2007,0)))</f>
        <v/>
      </c>
      <c r="AZ719" s="31">
        <f>IF(OR($AS719="",$C$6=""),"",TRIM(INDEX($A:$AP,ROW(),$C$6)&amp;""))</f>
        <v/>
      </c>
      <c r="BA719" s="31">
        <f>IF($AZ719="","",IF(COUNTIF($AZ$8:$AZ719,$AZ719)&gt;1,1,0))</f>
        <v/>
      </c>
    </row>
    <row r="720">
      <c r="AR720" s="31">
        <f>IF(OR($A$5="",$B$6="",ROW()&lt;$A$5),"",IF(INDEX($A:$AP,ROW(),$B$6)="","",INDEX($A:$AP,ROW(),$B$6)))</f>
        <v/>
      </c>
      <c r="AS720" s="32">
        <f>IF($AR720="","",IF(ISNUMBER($AR720),IF($AR720&gt;=10000000,IFERROR(DATE(INT($AR720/10000),MOD(INT($AR720/100),100),MOD($AR720,100)),""),INT($AR720)),IFERROR(DATE(--LEFT(LEFT(SUBSTITUTE(SUBSTITUTE(SUBSTITUTE(SUBSTITUTE(TRIM($AR720),"-",""),".",""),"/","")," ",""),8),4),--MID(LEFT(SUBSTITUTE(SUBSTITUTE(SUBSTITUTE(SUBSTITUTE(TRIM($AR720),"-",""),".",""),"/","")," ",""),8),5,2),--MID(LEFT(SUBSTITUTE(SUBSTITUTE(SUBSTITUTE(SUBSTITUTE(TRIM($AR720),"-",""),".",""),"/","")," ",""),8),7,2)),"")))</f>
        <v/>
      </c>
      <c r="AT720" s="33">
        <f>IF($AS720="","",IF($F$6="",0,IF(ISNUMBER(INDEX($A:$AP,ROW(),$F$6)),INDEX($A:$AP,ROW(),$F$6),IFERROR(--SUBSTITUTE(SUBSTITUTE(TRIM(INDEX($A:$AP,ROW(),$F$6)),",",""),"원",""),0))))</f>
        <v/>
      </c>
      <c r="AU720" s="31">
        <f>IF($AS720="","",IF($AX720&lt;&gt;"",SUBSTITUTE(SUBSTITUTE($AX720,"-","")," ",""),"N:"&amp;$AV720))</f>
        <v/>
      </c>
      <c r="AV720" s="31">
        <f>IF(OR($AS720="",$E$6=""),"",TRIM(INDEX($A:$AP,ROW(),$E$6)&amp;""))</f>
        <v/>
      </c>
      <c r="AW720" s="31">
        <f>IF($AU720="","",IF(MATCH($AU720,$AU$8:$AU$2007,0)=ROW()-7,MAX($AW$7:$AW719)+1,""))</f>
        <v/>
      </c>
      <c r="AX720" s="31">
        <f>IF(OR($AS720="",$D$6=""),"",TRIM(INDEX($A:$AP,ROW(),$D$6)&amp;""))</f>
        <v/>
      </c>
      <c r="AY720" s="31">
        <f>IF($AU720="","",INDEX($AW$8:$AW$2007,MATCH($AU720,$AU$8:$AU$2007,0)))</f>
        <v/>
      </c>
      <c r="AZ720" s="31">
        <f>IF(OR($AS720="",$C$6=""),"",TRIM(INDEX($A:$AP,ROW(),$C$6)&amp;""))</f>
        <v/>
      </c>
      <c r="BA720" s="31">
        <f>IF($AZ720="","",IF(COUNTIF($AZ$8:$AZ720,$AZ720)&gt;1,1,0))</f>
        <v/>
      </c>
    </row>
    <row r="721">
      <c r="AR721" s="31">
        <f>IF(OR($A$5="",$B$6="",ROW()&lt;$A$5),"",IF(INDEX($A:$AP,ROW(),$B$6)="","",INDEX($A:$AP,ROW(),$B$6)))</f>
        <v/>
      </c>
      <c r="AS721" s="32">
        <f>IF($AR721="","",IF(ISNUMBER($AR721),IF($AR721&gt;=10000000,IFERROR(DATE(INT($AR721/10000),MOD(INT($AR721/100),100),MOD($AR721,100)),""),INT($AR721)),IFERROR(DATE(--LEFT(LEFT(SUBSTITUTE(SUBSTITUTE(SUBSTITUTE(SUBSTITUTE(TRIM($AR721),"-",""),".",""),"/","")," ",""),8),4),--MID(LEFT(SUBSTITUTE(SUBSTITUTE(SUBSTITUTE(SUBSTITUTE(TRIM($AR721),"-",""),".",""),"/","")," ",""),8),5,2),--MID(LEFT(SUBSTITUTE(SUBSTITUTE(SUBSTITUTE(SUBSTITUTE(TRIM($AR721),"-",""),".",""),"/","")," ",""),8),7,2)),"")))</f>
        <v/>
      </c>
      <c r="AT721" s="33">
        <f>IF($AS721="","",IF($F$6="",0,IF(ISNUMBER(INDEX($A:$AP,ROW(),$F$6)),INDEX($A:$AP,ROW(),$F$6),IFERROR(--SUBSTITUTE(SUBSTITUTE(TRIM(INDEX($A:$AP,ROW(),$F$6)),",",""),"원",""),0))))</f>
        <v/>
      </c>
      <c r="AU721" s="31">
        <f>IF($AS721="","",IF($AX721&lt;&gt;"",SUBSTITUTE(SUBSTITUTE($AX721,"-","")," ",""),"N:"&amp;$AV721))</f>
        <v/>
      </c>
      <c r="AV721" s="31">
        <f>IF(OR($AS721="",$E$6=""),"",TRIM(INDEX($A:$AP,ROW(),$E$6)&amp;""))</f>
        <v/>
      </c>
      <c r="AW721" s="31">
        <f>IF($AU721="","",IF(MATCH($AU721,$AU$8:$AU$2007,0)=ROW()-7,MAX($AW$7:$AW720)+1,""))</f>
        <v/>
      </c>
      <c r="AX721" s="31">
        <f>IF(OR($AS721="",$D$6=""),"",TRIM(INDEX($A:$AP,ROW(),$D$6)&amp;""))</f>
        <v/>
      </c>
      <c r="AY721" s="31">
        <f>IF($AU721="","",INDEX($AW$8:$AW$2007,MATCH($AU721,$AU$8:$AU$2007,0)))</f>
        <v/>
      </c>
      <c r="AZ721" s="31">
        <f>IF(OR($AS721="",$C$6=""),"",TRIM(INDEX($A:$AP,ROW(),$C$6)&amp;""))</f>
        <v/>
      </c>
      <c r="BA721" s="31">
        <f>IF($AZ721="","",IF(COUNTIF($AZ$8:$AZ721,$AZ721)&gt;1,1,0))</f>
        <v/>
      </c>
    </row>
    <row r="722">
      <c r="AR722" s="31">
        <f>IF(OR($A$5="",$B$6="",ROW()&lt;$A$5),"",IF(INDEX($A:$AP,ROW(),$B$6)="","",INDEX($A:$AP,ROW(),$B$6)))</f>
        <v/>
      </c>
      <c r="AS722" s="32">
        <f>IF($AR722="","",IF(ISNUMBER($AR722),IF($AR722&gt;=10000000,IFERROR(DATE(INT($AR722/10000),MOD(INT($AR722/100),100),MOD($AR722,100)),""),INT($AR722)),IFERROR(DATE(--LEFT(LEFT(SUBSTITUTE(SUBSTITUTE(SUBSTITUTE(SUBSTITUTE(TRIM($AR722),"-",""),".",""),"/","")," ",""),8),4),--MID(LEFT(SUBSTITUTE(SUBSTITUTE(SUBSTITUTE(SUBSTITUTE(TRIM($AR722),"-",""),".",""),"/","")," ",""),8),5,2),--MID(LEFT(SUBSTITUTE(SUBSTITUTE(SUBSTITUTE(SUBSTITUTE(TRIM($AR722),"-",""),".",""),"/","")," ",""),8),7,2)),"")))</f>
        <v/>
      </c>
      <c r="AT722" s="33">
        <f>IF($AS722="","",IF($F$6="",0,IF(ISNUMBER(INDEX($A:$AP,ROW(),$F$6)),INDEX($A:$AP,ROW(),$F$6),IFERROR(--SUBSTITUTE(SUBSTITUTE(TRIM(INDEX($A:$AP,ROW(),$F$6)),",",""),"원",""),0))))</f>
        <v/>
      </c>
      <c r="AU722" s="31">
        <f>IF($AS722="","",IF($AX722&lt;&gt;"",SUBSTITUTE(SUBSTITUTE($AX722,"-","")," ",""),"N:"&amp;$AV722))</f>
        <v/>
      </c>
      <c r="AV722" s="31">
        <f>IF(OR($AS722="",$E$6=""),"",TRIM(INDEX($A:$AP,ROW(),$E$6)&amp;""))</f>
        <v/>
      </c>
      <c r="AW722" s="31">
        <f>IF($AU722="","",IF(MATCH($AU722,$AU$8:$AU$2007,0)=ROW()-7,MAX($AW$7:$AW721)+1,""))</f>
        <v/>
      </c>
      <c r="AX722" s="31">
        <f>IF(OR($AS722="",$D$6=""),"",TRIM(INDEX($A:$AP,ROW(),$D$6)&amp;""))</f>
        <v/>
      </c>
      <c r="AY722" s="31">
        <f>IF($AU722="","",INDEX($AW$8:$AW$2007,MATCH($AU722,$AU$8:$AU$2007,0)))</f>
        <v/>
      </c>
      <c r="AZ722" s="31">
        <f>IF(OR($AS722="",$C$6=""),"",TRIM(INDEX($A:$AP,ROW(),$C$6)&amp;""))</f>
        <v/>
      </c>
      <c r="BA722" s="31">
        <f>IF($AZ722="","",IF(COUNTIF($AZ$8:$AZ722,$AZ722)&gt;1,1,0))</f>
        <v/>
      </c>
    </row>
    <row r="723">
      <c r="AR723" s="31">
        <f>IF(OR($A$5="",$B$6="",ROW()&lt;$A$5),"",IF(INDEX($A:$AP,ROW(),$B$6)="","",INDEX($A:$AP,ROW(),$B$6)))</f>
        <v/>
      </c>
      <c r="AS723" s="32">
        <f>IF($AR723="","",IF(ISNUMBER($AR723),IF($AR723&gt;=10000000,IFERROR(DATE(INT($AR723/10000),MOD(INT($AR723/100),100),MOD($AR723,100)),""),INT($AR723)),IFERROR(DATE(--LEFT(LEFT(SUBSTITUTE(SUBSTITUTE(SUBSTITUTE(SUBSTITUTE(TRIM($AR723),"-",""),".",""),"/","")," ",""),8),4),--MID(LEFT(SUBSTITUTE(SUBSTITUTE(SUBSTITUTE(SUBSTITUTE(TRIM($AR723),"-",""),".",""),"/","")," ",""),8),5,2),--MID(LEFT(SUBSTITUTE(SUBSTITUTE(SUBSTITUTE(SUBSTITUTE(TRIM($AR723),"-",""),".",""),"/","")," ",""),8),7,2)),"")))</f>
        <v/>
      </c>
      <c r="AT723" s="33">
        <f>IF($AS723="","",IF($F$6="",0,IF(ISNUMBER(INDEX($A:$AP,ROW(),$F$6)),INDEX($A:$AP,ROW(),$F$6),IFERROR(--SUBSTITUTE(SUBSTITUTE(TRIM(INDEX($A:$AP,ROW(),$F$6)),",",""),"원",""),0))))</f>
        <v/>
      </c>
      <c r="AU723" s="31">
        <f>IF($AS723="","",IF($AX723&lt;&gt;"",SUBSTITUTE(SUBSTITUTE($AX723,"-","")," ",""),"N:"&amp;$AV723))</f>
        <v/>
      </c>
      <c r="AV723" s="31">
        <f>IF(OR($AS723="",$E$6=""),"",TRIM(INDEX($A:$AP,ROW(),$E$6)&amp;""))</f>
        <v/>
      </c>
      <c r="AW723" s="31">
        <f>IF($AU723="","",IF(MATCH($AU723,$AU$8:$AU$2007,0)=ROW()-7,MAX($AW$7:$AW722)+1,""))</f>
        <v/>
      </c>
      <c r="AX723" s="31">
        <f>IF(OR($AS723="",$D$6=""),"",TRIM(INDEX($A:$AP,ROW(),$D$6)&amp;""))</f>
        <v/>
      </c>
      <c r="AY723" s="31">
        <f>IF($AU723="","",INDEX($AW$8:$AW$2007,MATCH($AU723,$AU$8:$AU$2007,0)))</f>
        <v/>
      </c>
      <c r="AZ723" s="31">
        <f>IF(OR($AS723="",$C$6=""),"",TRIM(INDEX($A:$AP,ROW(),$C$6)&amp;""))</f>
        <v/>
      </c>
      <c r="BA723" s="31">
        <f>IF($AZ723="","",IF(COUNTIF($AZ$8:$AZ723,$AZ723)&gt;1,1,0))</f>
        <v/>
      </c>
    </row>
    <row r="724">
      <c r="AR724" s="31">
        <f>IF(OR($A$5="",$B$6="",ROW()&lt;$A$5),"",IF(INDEX($A:$AP,ROW(),$B$6)="","",INDEX($A:$AP,ROW(),$B$6)))</f>
        <v/>
      </c>
      <c r="AS724" s="32">
        <f>IF($AR724="","",IF(ISNUMBER($AR724),IF($AR724&gt;=10000000,IFERROR(DATE(INT($AR724/10000),MOD(INT($AR724/100),100),MOD($AR724,100)),""),INT($AR724)),IFERROR(DATE(--LEFT(LEFT(SUBSTITUTE(SUBSTITUTE(SUBSTITUTE(SUBSTITUTE(TRIM($AR724),"-",""),".",""),"/","")," ",""),8),4),--MID(LEFT(SUBSTITUTE(SUBSTITUTE(SUBSTITUTE(SUBSTITUTE(TRIM($AR724),"-",""),".",""),"/","")," ",""),8),5,2),--MID(LEFT(SUBSTITUTE(SUBSTITUTE(SUBSTITUTE(SUBSTITUTE(TRIM($AR724),"-",""),".",""),"/","")," ",""),8),7,2)),"")))</f>
        <v/>
      </c>
      <c r="AT724" s="33">
        <f>IF($AS724="","",IF($F$6="",0,IF(ISNUMBER(INDEX($A:$AP,ROW(),$F$6)),INDEX($A:$AP,ROW(),$F$6),IFERROR(--SUBSTITUTE(SUBSTITUTE(TRIM(INDEX($A:$AP,ROW(),$F$6)),",",""),"원",""),0))))</f>
        <v/>
      </c>
      <c r="AU724" s="31">
        <f>IF($AS724="","",IF($AX724&lt;&gt;"",SUBSTITUTE(SUBSTITUTE($AX724,"-","")," ",""),"N:"&amp;$AV724))</f>
        <v/>
      </c>
      <c r="AV724" s="31">
        <f>IF(OR($AS724="",$E$6=""),"",TRIM(INDEX($A:$AP,ROW(),$E$6)&amp;""))</f>
        <v/>
      </c>
      <c r="AW724" s="31">
        <f>IF($AU724="","",IF(MATCH($AU724,$AU$8:$AU$2007,0)=ROW()-7,MAX($AW$7:$AW723)+1,""))</f>
        <v/>
      </c>
      <c r="AX724" s="31">
        <f>IF(OR($AS724="",$D$6=""),"",TRIM(INDEX($A:$AP,ROW(),$D$6)&amp;""))</f>
        <v/>
      </c>
      <c r="AY724" s="31">
        <f>IF($AU724="","",INDEX($AW$8:$AW$2007,MATCH($AU724,$AU$8:$AU$2007,0)))</f>
        <v/>
      </c>
      <c r="AZ724" s="31">
        <f>IF(OR($AS724="",$C$6=""),"",TRIM(INDEX($A:$AP,ROW(),$C$6)&amp;""))</f>
        <v/>
      </c>
      <c r="BA724" s="31">
        <f>IF($AZ724="","",IF(COUNTIF($AZ$8:$AZ724,$AZ724)&gt;1,1,0))</f>
        <v/>
      </c>
    </row>
    <row r="725">
      <c r="AR725" s="31">
        <f>IF(OR($A$5="",$B$6="",ROW()&lt;$A$5),"",IF(INDEX($A:$AP,ROW(),$B$6)="","",INDEX($A:$AP,ROW(),$B$6)))</f>
        <v/>
      </c>
      <c r="AS725" s="32">
        <f>IF($AR725="","",IF(ISNUMBER($AR725),IF($AR725&gt;=10000000,IFERROR(DATE(INT($AR725/10000),MOD(INT($AR725/100),100),MOD($AR725,100)),""),INT($AR725)),IFERROR(DATE(--LEFT(LEFT(SUBSTITUTE(SUBSTITUTE(SUBSTITUTE(SUBSTITUTE(TRIM($AR725),"-",""),".",""),"/","")," ",""),8),4),--MID(LEFT(SUBSTITUTE(SUBSTITUTE(SUBSTITUTE(SUBSTITUTE(TRIM($AR725),"-",""),".",""),"/","")," ",""),8),5,2),--MID(LEFT(SUBSTITUTE(SUBSTITUTE(SUBSTITUTE(SUBSTITUTE(TRIM($AR725),"-",""),".",""),"/","")," ",""),8),7,2)),"")))</f>
        <v/>
      </c>
      <c r="AT725" s="33">
        <f>IF($AS725="","",IF($F$6="",0,IF(ISNUMBER(INDEX($A:$AP,ROW(),$F$6)),INDEX($A:$AP,ROW(),$F$6),IFERROR(--SUBSTITUTE(SUBSTITUTE(TRIM(INDEX($A:$AP,ROW(),$F$6)),",",""),"원",""),0))))</f>
        <v/>
      </c>
      <c r="AU725" s="31">
        <f>IF($AS725="","",IF($AX725&lt;&gt;"",SUBSTITUTE(SUBSTITUTE($AX725,"-","")," ",""),"N:"&amp;$AV725))</f>
        <v/>
      </c>
      <c r="AV725" s="31">
        <f>IF(OR($AS725="",$E$6=""),"",TRIM(INDEX($A:$AP,ROW(),$E$6)&amp;""))</f>
        <v/>
      </c>
      <c r="AW725" s="31">
        <f>IF($AU725="","",IF(MATCH($AU725,$AU$8:$AU$2007,0)=ROW()-7,MAX($AW$7:$AW724)+1,""))</f>
        <v/>
      </c>
      <c r="AX725" s="31">
        <f>IF(OR($AS725="",$D$6=""),"",TRIM(INDEX($A:$AP,ROW(),$D$6)&amp;""))</f>
        <v/>
      </c>
      <c r="AY725" s="31">
        <f>IF($AU725="","",INDEX($AW$8:$AW$2007,MATCH($AU725,$AU$8:$AU$2007,0)))</f>
        <v/>
      </c>
      <c r="AZ725" s="31">
        <f>IF(OR($AS725="",$C$6=""),"",TRIM(INDEX($A:$AP,ROW(),$C$6)&amp;""))</f>
        <v/>
      </c>
      <c r="BA725" s="31">
        <f>IF($AZ725="","",IF(COUNTIF($AZ$8:$AZ725,$AZ725)&gt;1,1,0))</f>
        <v/>
      </c>
    </row>
    <row r="726">
      <c r="AR726" s="31">
        <f>IF(OR($A$5="",$B$6="",ROW()&lt;$A$5),"",IF(INDEX($A:$AP,ROW(),$B$6)="","",INDEX($A:$AP,ROW(),$B$6)))</f>
        <v/>
      </c>
      <c r="AS726" s="32">
        <f>IF($AR726="","",IF(ISNUMBER($AR726),IF($AR726&gt;=10000000,IFERROR(DATE(INT($AR726/10000),MOD(INT($AR726/100),100),MOD($AR726,100)),""),INT($AR726)),IFERROR(DATE(--LEFT(LEFT(SUBSTITUTE(SUBSTITUTE(SUBSTITUTE(SUBSTITUTE(TRIM($AR726),"-",""),".",""),"/","")," ",""),8),4),--MID(LEFT(SUBSTITUTE(SUBSTITUTE(SUBSTITUTE(SUBSTITUTE(TRIM($AR726),"-",""),".",""),"/","")," ",""),8),5,2),--MID(LEFT(SUBSTITUTE(SUBSTITUTE(SUBSTITUTE(SUBSTITUTE(TRIM($AR726),"-",""),".",""),"/","")," ",""),8),7,2)),"")))</f>
        <v/>
      </c>
      <c r="AT726" s="33">
        <f>IF($AS726="","",IF($F$6="",0,IF(ISNUMBER(INDEX($A:$AP,ROW(),$F$6)),INDEX($A:$AP,ROW(),$F$6),IFERROR(--SUBSTITUTE(SUBSTITUTE(TRIM(INDEX($A:$AP,ROW(),$F$6)),",",""),"원",""),0))))</f>
        <v/>
      </c>
      <c r="AU726" s="31">
        <f>IF($AS726="","",IF($AX726&lt;&gt;"",SUBSTITUTE(SUBSTITUTE($AX726,"-","")," ",""),"N:"&amp;$AV726))</f>
        <v/>
      </c>
      <c r="AV726" s="31">
        <f>IF(OR($AS726="",$E$6=""),"",TRIM(INDEX($A:$AP,ROW(),$E$6)&amp;""))</f>
        <v/>
      </c>
      <c r="AW726" s="31">
        <f>IF($AU726="","",IF(MATCH($AU726,$AU$8:$AU$2007,0)=ROW()-7,MAX($AW$7:$AW725)+1,""))</f>
        <v/>
      </c>
      <c r="AX726" s="31">
        <f>IF(OR($AS726="",$D$6=""),"",TRIM(INDEX($A:$AP,ROW(),$D$6)&amp;""))</f>
        <v/>
      </c>
      <c r="AY726" s="31">
        <f>IF($AU726="","",INDEX($AW$8:$AW$2007,MATCH($AU726,$AU$8:$AU$2007,0)))</f>
        <v/>
      </c>
      <c r="AZ726" s="31">
        <f>IF(OR($AS726="",$C$6=""),"",TRIM(INDEX($A:$AP,ROW(),$C$6)&amp;""))</f>
        <v/>
      </c>
      <c r="BA726" s="31">
        <f>IF($AZ726="","",IF(COUNTIF($AZ$8:$AZ726,$AZ726)&gt;1,1,0))</f>
        <v/>
      </c>
    </row>
    <row r="727">
      <c r="AR727" s="31">
        <f>IF(OR($A$5="",$B$6="",ROW()&lt;$A$5),"",IF(INDEX($A:$AP,ROW(),$B$6)="","",INDEX($A:$AP,ROW(),$B$6)))</f>
        <v/>
      </c>
      <c r="AS727" s="32">
        <f>IF($AR727="","",IF(ISNUMBER($AR727),IF($AR727&gt;=10000000,IFERROR(DATE(INT($AR727/10000),MOD(INT($AR727/100),100),MOD($AR727,100)),""),INT($AR727)),IFERROR(DATE(--LEFT(LEFT(SUBSTITUTE(SUBSTITUTE(SUBSTITUTE(SUBSTITUTE(TRIM($AR727),"-",""),".",""),"/","")," ",""),8),4),--MID(LEFT(SUBSTITUTE(SUBSTITUTE(SUBSTITUTE(SUBSTITUTE(TRIM($AR727),"-",""),".",""),"/","")," ",""),8),5,2),--MID(LEFT(SUBSTITUTE(SUBSTITUTE(SUBSTITUTE(SUBSTITUTE(TRIM($AR727),"-",""),".",""),"/","")," ",""),8),7,2)),"")))</f>
        <v/>
      </c>
      <c r="AT727" s="33">
        <f>IF($AS727="","",IF($F$6="",0,IF(ISNUMBER(INDEX($A:$AP,ROW(),$F$6)),INDEX($A:$AP,ROW(),$F$6),IFERROR(--SUBSTITUTE(SUBSTITUTE(TRIM(INDEX($A:$AP,ROW(),$F$6)),",",""),"원",""),0))))</f>
        <v/>
      </c>
      <c r="AU727" s="31">
        <f>IF($AS727="","",IF($AX727&lt;&gt;"",SUBSTITUTE(SUBSTITUTE($AX727,"-","")," ",""),"N:"&amp;$AV727))</f>
        <v/>
      </c>
      <c r="AV727" s="31">
        <f>IF(OR($AS727="",$E$6=""),"",TRIM(INDEX($A:$AP,ROW(),$E$6)&amp;""))</f>
        <v/>
      </c>
      <c r="AW727" s="31">
        <f>IF($AU727="","",IF(MATCH($AU727,$AU$8:$AU$2007,0)=ROW()-7,MAX($AW$7:$AW726)+1,""))</f>
        <v/>
      </c>
      <c r="AX727" s="31">
        <f>IF(OR($AS727="",$D$6=""),"",TRIM(INDEX($A:$AP,ROW(),$D$6)&amp;""))</f>
        <v/>
      </c>
      <c r="AY727" s="31">
        <f>IF($AU727="","",INDEX($AW$8:$AW$2007,MATCH($AU727,$AU$8:$AU$2007,0)))</f>
        <v/>
      </c>
      <c r="AZ727" s="31">
        <f>IF(OR($AS727="",$C$6=""),"",TRIM(INDEX($A:$AP,ROW(),$C$6)&amp;""))</f>
        <v/>
      </c>
      <c r="BA727" s="31">
        <f>IF($AZ727="","",IF(COUNTIF($AZ$8:$AZ727,$AZ727)&gt;1,1,0))</f>
        <v/>
      </c>
    </row>
    <row r="728">
      <c r="AR728" s="31">
        <f>IF(OR($A$5="",$B$6="",ROW()&lt;$A$5),"",IF(INDEX($A:$AP,ROW(),$B$6)="","",INDEX($A:$AP,ROW(),$B$6)))</f>
        <v/>
      </c>
      <c r="AS728" s="32">
        <f>IF($AR728="","",IF(ISNUMBER($AR728),IF($AR728&gt;=10000000,IFERROR(DATE(INT($AR728/10000),MOD(INT($AR728/100),100),MOD($AR728,100)),""),INT($AR728)),IFERROR(DATE(--LEFT(LEFT(SUBSTITUTE(SUBSTITUTE(SUBSTITUTE(SUBSTITUTE(TRIM($AR728),"-",""),".",""),"/","")," ",""),8),4),--MID(LEFT(SUBSTITUTE(SUBSTITUTE(SUBSTITUTE(SUBSTITUTE(TRIM($AR728),"-",""),".",""),"/","")," ",""),8),5,2),--MID(LEFT(SUBSTITUTE(SUBSTITUTE(SUBSTITUTE(SUBSTITUTE(TRIM($AR728),"-",""),".",""),"/","")," ",""),8),7,2)),"")))</f>
        <v/>
      </c>
      <c r="AT728" s="33">
        <f>IF($AS728="","",IF($F$6="",0,IF(ISNUMBER(INDEX($A:$AP,ROW(),$F$6)),INDEX($A:$AP,ROW(),$F$6),IFERROR(--SUBSTITUTE(SUBSTITUTE(TRIM(INDEX($A:$AP,ROW(),$F$6)),",",""),"원",""),0))))</f>
        <v/>
      </c>
      <c r="AU728" s="31">
        <f>IF($AS728="","",IF($AX728&lt;&gt;"",SUBSTITUTE(SUBSTITUTE($AX728,"-","")," ",""),"N:"&amp;$AV728))</f>
        <v/>
      </c>
      <c r="AV728" s="31">
        <f>IF(OR($AS728="",$E$6=""),"",TRIM(INDEX($A:$AP,ROW(),$E$6)&amp;""))</f>
        <v/>
      </c>
      <c r="AW728" s="31">
        <f>IF($AU728="","",IF(MATCH($AU728,$AU$8:$AU$2007,0)=ROW()-7,MAX($AW$7:$AW727)+1,""))</f>
        <v/>
      </c>
      <c r="AX728" s="31">
        <f>IF(OR($AS728="",$D$6=""),"",TRIM(INDEX($A:$AP,ROW(),$D$6)&amp;""))</f>
        <v/>
      </c>
      <c r="AY728" s="31">
        <f>IF($AU728="","",INDEX($AW$8:$AW$2007,MATCH($AU728,$AU$8:$AU$2007,0)))</f>
        <v/>
      </c>
      <c r="AZ728" s="31">
        <f>IF(OR($AS728="",$C$6=""),"",TRIM(INDEX($A:$AP,ROW(),$C$6)&amp;""))</f>
        <v/>
      </c>
      <c r="BA728" s="31">
        <f>IF($AZ728="","",IF(COUNTIF($AZ$8:$AZ728,$AZ728)&gt;1,1,0))</f>
        <v/>
      </c>
    </row>
    <row r="729">
      <c r="AR729" s="31">
        <f>IF(OR($A$5="",$B$6="",ROW()&lt;$A$5),"",IF(INDEX($A:$AP,ROW(),$B$6)="","",INDEX($A:$AP,ROW(),$B$6)))</f>
        <v/>
      </c>
      <c r="AS729" s="32">
        <f>IF($AR729="","",IF(ISNUMBER($AR729),IF($AR729&gt;=10000000,IFERROR(DATE(INT($AR729/10000),MOD(INT($AR729/100),100),MOD($AR729,100)),""),INT($AR729)),IFERROR(DATE(--LEFT(LEFT(SUBSTITUTE(SUBSTITUTE(SUBSTITUTE(SUBSTITUTE(TRIM($AR729),"-",""),".",""),"/","")," ",""),8),4),--MID(LEFT(SUBSTITUTE(SUBSTITUTE(SUBSTITUTE(SUBSTITUTE(TRIM($AR729),"-",""),".",""),"/","")," ",""),8),5,2),--MID(LEFT(SUBSTITUTE(SUBSTITUTE(SUBSTITUTE(SUBSTITUTE(TRIM($AR729),"-",""),".",""),"/","")," ",""),8),7,2)),"")))</f>
        <v/>
      </c>
      <c r="AT729" s="33">
        <f>IF($AS729="","",IF($F$6="",0,IF(ISNUMBER(INDEX($A:$AP,ROW(),$F$6)),INDEX($A:$AP,ROW(),$F$6),IFERROR(--SUBSTITUTE(SUBSTITUTE(TRIM(INDEX($A:$AP,ROW(),$F$6)),",",""),"원",""),0))))</f>
        <v/>
      </c>
      <c r="AU729" s="31">
        <f>IF($AS729="","",IF($AX729&lt;&gt;"",SUBSTITUTE(SUBSTITUTE($AX729,"-","")," ",""),"N:"&amp;$AV729))</f>
        <v/>
      </c>
      <c r="AV729" s="31">
        <f>IF(OR($AS729="",$E$6=""),"",TRIM(INDEX($A:$AP,ROW(),$E$6)&amp;""))</f>
        <v/>
      </c>
      <c r="AW729" s="31">
        <f>IF($AU729="","",IF(MATCH($AU729,$AU$8:$AU$2007,0)=ROW()-7,MAX($AW$7:$AW728)+1,""))</f>
        <v/>
      </c>
      <c r="AX729" s="31">
        <f>IF(OR($AS729="",$D$6=""),"",TRIM(INDEX($A:$AP,ROW(),$D$6)&amp;""))</f>
        <v/>
      </c>
      <c r="AY729" s="31">
        <f>IF($AU729="","",INDEX($AW$8:$AW$2007,MATCH($AU729,$AU$8:$AU$2007,0)))</f>
        <v/>
      </c>
      <c r="AZ729" s="31">
        <f>IF(OR($AS729="",$C$6=""),"",TRIM(INDEX($A:$AP,ROW(),$C$6)&amp;""))</f>
        <v/>
      </c>
      <c r="BA729" s="31">
        <f>IF($AZ729="","",IF(COUNTIF($AZ$8:$AZ729,$AZ729)&gt;1,1,0))</f>
        <v/>
      </c>
    </row>
    <row r="730">
      <c r="AR730" s="31">
        <f>IF(OR($A$5="",$B$6="",ROW()&lt;$A$5),"",IF(INDEX($A:$AP,ROW(),$B$6)="","",INDEX($A:$AP,ROW(),$B$6)))</f>
        <v/>
      </c>
      <c r="AS730" s="32">
        <f>IF($AR730="","",IF(ISNUMBER($AR730),IF($AR730&gt;=10000000,IFERROR(DATE(INT($AR730/10000),MOD(INT($AR730/100),100),MOD($AR730,100)),""),INT($AR730)),IFERROR(DATE(--LEFT(LEFT(SUBSTITUTE(SUBSTITUTE(SUBSTITUTE(SUBSTITUTE(TRIM($AR730),"-",""),".",""),"/","")," ",""),8),4),--MID(LEFT(SUBSTITUTE(SUBSTITUTE(SUBSTITUTE(SUBSTITUTE(TRIM($AR730),"-",""),".",""),"/","")," ",""),8),5,2),--MID(LEFT(SUBSTITUTE(SUBSTITUTE(SUBSTITUTE(SUBSTITUTE(TRIM($AR730),"-",""),".",""),"/","")," ",""),8),7,2)),"")))</f>
        <v/>
      </c>
      <c r="AT730" s="33">
        <f>IF($AS730="","",IF($F$6="",0,IF(ISNUMBER(INDEX($A:$AP,ROW(),$F$6)),INDEX($A:$AP,ROW(),$F$6),IFERROR(--SUBSTITUTE(SUBSTITUTE(TRIM(INDEX($A:$AP,ROW(),$F$6)),",",""),"원",""),0))))</f>
        <v/>
      </c>
      <c r="AU730" s="31">
        <f>IF($AS730="","",IF($AX730&lt;&gt;"",SUBSTITUTE(SUBSTITUTE($AX730,"-","")," ",""),"N:"&amp;$AV730))</f>
        <v/>
      </c>
      <c r="AV730" s="31">
        <f>IF(OR($AS730="",$E$6=""),"",TRIM(INDEX($A:$AP,ROW(),$E$6)&amp;""))</f>
        <v/>
      </c>
      <c r="AW730" s="31">
        <f>IF($AU730="","",IF(MATCH($AU730,$AU$8:$AU$2007,0)=ROW()-7,MAX($AW$7:$AW729)+1,""))</f>
        <v/>
      </c>
      <c r="AX730" s="31">
        <f>IF(OR($AS730="",$D$6=""),"",TRIM(INDEX($A:$AP,ROW(),$D$6)&amp;""))</f>
        <v/>
      </c>
      <c r="AY730" s="31">
        <f>IF($AU730="","",INDEX($AW$8:$AW$2007,MATCH($AU730,$AU$8:$AU$2007,0)))</f>
        <v/>
      </c>
      <c r="AZ730" s="31">
        <f>IF(OR($AS730="",$C$6=""),"",TRIM(INDEX($A:$AP,ROW(),$C$6)&amp;""))</f>
        <v/>
      </c>
      <c r="BA730" s="31">
        <f>IF($AZ730="","",IF(COUNTIF($AZ$8:$AZ730,$AZ730)&gt;1,1,0))</f>
        <v/>
      </c>
    </row>
    <row r="731">
      <c r="AR731" s="31">
        <f>IF(OR($A$5="",$B$6="",ROW()&lt;$A$5),"",IF(INDEX($A:$AP,ROW(),$B$6)="","",INDEX($A:$AP,ROW(),$B$6)))</f>
        <v/>
      </c>
      <c r="AS731" s="32">
        <f>IF($AR731="","",IF(ISNUMBER($AR731),IF($AR731&gt;=10000000,IFERROR(DATE(INT($AR731/10000),MOD(INT($AR731/100),100),MOD($AR731,100)),""),INT($AR731)),IFERROR(DATE(--LEFT(LEFT(SUBSTITUTE(SUBSTITUTE(SUBSTITUTE(SUBSTITUTE(TRIM($AR731),"-",""),".",""),"/","")," ",""),8),4),--MID(LEFT(SUBSTITUTE(SUBSTITUTE(SUBSTITUTE(SUBSTITUTE(TRIM($AR731),"-",""),".",""),"/","")," ",""),8),5,2),--MID(LEFT(SUBSTITUTE(SUBSTITUTE(SUBSTITUTE(SUBSTITUTE(TRIM($AR731),"-",""),".",""),"/","")," ",""),8),7,2)),"")))</f>
        <v/>
      </c>
      <c r="AT731" s="33">
        <f>IF($AS731="","",IF($F$6="",0,IF(ISNUMBER(INDEX($A:$AP,ROW(),$F$6)),INDEX($A:$AP,ROW(),$F$6),IFERROR(--SUBSTITUTE(SUBSTITUTE(TRIM(INDEX($A:$AP,ROW(),$F$6)),",",""),"원",""),0))))</f>
        <v/>
      </c>
      <c r="AU731" s="31">
        <f>IF($AS731="","",IF($AX731&lt;&gt;"",SUBSTITUTE(SUBSTITUTE($AX731,"-","")," ",""),"N:"&amp;$AV731))</f>
        <v/>
      </c>
      <c r="AV731" s="31">
        <f>IF(OR($AS731="",$E$6=""),"",TRIM(INDEX($A:$AP,ROW(),$E$6)&amp;""))</f>
        <v/>
      </c>
      <c r="AW731" s="31">
        <f>IF($AU731="","",IF(MATCH($AU731,$AU$8:$AU$2007,0)=ROW()-7,MAX($AW$7:$AW730)+1,""))</f>
        <v/>
      </c>
      <c r="AX731" s="31">
        <f>IF(OR($AS731="",$D$6=""),"",TRIM(INDEX($A:$AP,ROW(),$D$6)&amp;""))</f>
        <v/>
      </c>
      <c r="AY731" s="31">
        <f>IF($AU731="","",INDEX($AW$8:$AW$2007,MATCH($AU731,$AU$8:$AU$2007,0)))</f>
        <v/>
      </c>
      <c r="AZ731" s="31">
        <f>IF(OR($AS731="",$C$6=""),"",TRIM(INDEX($A:$AP,ROW(),$C$6)&amp;""))</f>
        <v/>
      </c>
      <c r="BA731" s="31">
        <f>IF($AZ731="","",IF(COUNTIF($AZ$8:$AZ731,$AZ731)&gt;1,1,0))</f>
        <v/>
      </c>
    </row>
    <row r="732">
      <c r="AR732" s="31">
        <f>IF(OR($A$5="",$B$6="",ROW()&lt;$A$5),"",IF(INDEX($A:$AP,ROW(),$B$6)="","",INDEX($A:$AP,ROW(),$B$6)))</f>
        <v/>
      </c>
      <c r="AS732" s="32">
        <f>IF($AR732="","",IF(ISNUMBER($AR732),IF($AR732&gt;=10000000,IFERROR(DATE(INT($AR732/10000),MOD(INT($AR732/100),100),MOD($AR732,100)),""),INT($AR732)),IFERROR(DATE(--LEFT(LEFT(SUBSTITUTE(SUBSTITUTE(SUBSTITUTE(SUBSTITUTE(TRIM($AR732),"-",""),".",""),"/","")," ",""),8),4),--MID(LEFT(SUBSTITUTE(SUBSTITUTE(SUBSTITUTE(SUBSTITUTE(TRIM($AR732),"-",""),".",""),"/","")," ",""),8),5,2),--MID(LEFT(SUBSTITUTE(SUBSTITUTE(SUBSTITUTE(SUBSTITUTE(TRIM($AR732),"-",""),".",""),"/","")," ",""),8),7,2)),"")))</f>
        <v/>
      </c>
      <c r="AT732" s="33">
        <f>IF($AS732="","",IF($F$6="",0,IF(ISNUMBER(INDEX($A:$AP,ROW(),$F$6)),INDEX($A:$AP,ROW(),$F$6),IFERROR(--SUBSTITUTE(SUBSTITUTE(TRIM(INDEX($A:$AP,ROW(),$F$6)),",",""),"원",""),0))))</f>
        <v/>
      </c>
      <c r="AU732" s="31">
        <f>IF($AS732="","",IF($AX732&lt;&gt;"",SUBSTITUTE(SUBSTITUTE($AX732,"-","")," ",""),"N:"&amp;$AV732))</f>
        <v/>
      </c>
      <c r="AV732" s="31">
        <f>IF(OR($AS732="",$E$6=""),"",TRIM(INDEX($A:$AP,ROW(),$E$6)&amp;""))</f>
        <v/>
      </c>
      <c r="AW732" s="31">
        <f>IF($AU732="","",IF(MATCH($AU732,$AU$8:$AU$2007,0)=ROW()-7,MAX($AW$7:$AW731)+1,""))</f>
        <v/>
      </c>
      <c r="AX732" s="31">
        <f>IF(OR($AS732="",$D$6=""),"",TRIM(INDEX($A:$AP,ROW(),$D$6)&amp;""))</f>
        <v/>
      </c>
      <c r="AY732" s="31">
        <f>IF($AU732="","",INDEX($AW$8:$AW$2007,MATCH($AU732,$AU$8:$AU$2007,0)))</f>
        <v/>
      </c>
      <c r="AZ732" s="31">
        <f>IF(OR($AS732="",$C$6=""),"",TRIM(INDEX($A:$AP,ROW(),$C$6)&amp;""))</f>
        <v/>
      </c>
      <c r="BA732" s="31">
        <f>IF($AZ732="","",IF(COUNTIF($AZ$8:$AZ732,$AZ732)&gt;1,1,0))</f>
        <v/>
      </c>
    </row>
    <row r="733">
      <c r="AR733" s="31">
        <f>IF(OR($A$5="",$B$6="",ROW()&lt;$A$5),"",IF(INDEX($A:$AP,ROW(),$B$6)="","",INDEX($A:$AP,ROW(),$B$6)))</f>
        <v/>
      </c>
      <c r="AS733" s="32">
        <f>IF($AR733="","",IF(ISNUMBER($AR733),IF($AR733&gt;=10000000,IFERROR(DATE(INT($AR733/10000),MOD(INT($AR733/100),100),MOD($AR733,100)),""),INT($AR733)),IFERROR(DATE(--LEFT(LEFT(SUBSTITUTE(SUBSTITUTE(SUBSTITUTE(SUBSTITUTE(TRIM($AR733),"-",""),".",""),"/","")," ",""),8),4),--MID(LEFT(SUBSTITUTE(SUBSTITUTE(SUBSTITUTE(SUBSTITUTE(TRIM($AR733),"-",""),".",""),"/","")," ",""),8),5,2),--MID(LEFT(SUBSTITUTE(SUBSTITUTE(SUBSTITUTE(SUBSTITUTE(TRIM($AR733),"-",""),".",""),"/","")," ",""),8),7,2)),"")))</f>
        <v/>
      </c>
      <c r="AT733" s="33">
        <f>IF($AS733="","",IF($F$6="",0,IF(ISNUMBER(INDEX($A:$AP,ROW(),$F$6)),INDEX($A:$AP,ROW(),$F$6),IFERROR(--SUBSTITUTE(SUBSTITUTE(TRIM(INDEX($A:$AP,ROW(),$F$6)),",",""),"원",""),0))))</f>
        <v/>
      </c>
      <c r="AU733" s="31">
        <f>IF($AS733="","",IF($AX733&lt;&gt;"",SUBSTITUTE(SUBSTITUTE($AX733,"-","")," ",""),"N:"&amp;$AV733))</f>
        <v/>
      </c>
      <c r="AV733" s="31">
        <f>IF(OR($AS733="",$E$6=""),"",TRIM(INDEX($A:$AP,ROW(),$E$6)&amp;""))</f>
        <v/>
      </c>
      <c r="AW733" s="31">
        <f>IF($AU733="","",IF(MATCH($AU733,$AU$8:$AU$2007,0)=ROW()-7,MAX($AW$7:$AW732)+1,""))</f>
        <v/>
      </c>
      <c r="AX733" s="31">
        <f>IF(OR($AS733="",$D$6=""),"",TRIM(INDEX($A:$AP,ROW(),$D$6)&amp;""))</f>
        <v/>
      </c>
      <c r="AY733" s="31">
        <f>IF($AU733="","",INDEX($AW$8:$AW$2007,MATCH($AU733,$AU$8:$AU$2007,0)))</f>
        <v/>
      </c>
      <c r="AZ733" s="31">
        <f>IF(OR($AS733="",$C$6=""),"",TRIM(INDEX($A:$AP,ROW(),$C$6)&amp;""))</f>
        <v/>
      </c>
      <c r="BA733" s="31">
        <f>IF($AZ733="","",IF(COUNTIF($AZ$8:$AZ733,$AZ733)&gt;1,1,0))</f>
        <v/>
      </c>
    </row>
    <row r="734">
      <c r="AR734" s="31">
        <f>IF(OR($A$5="",$B$6="",ROW()&lt;$A$5),"",IF(INDEX($A:$AP,ROW(),$B$6)="","",INDEX($A:$AP,ROW(),$B$6)))</f>
        <v/>
      </c>
      <c r="AS734" s="32">
        <f>IF($AR734="","",IF(ISNUMBER($AR734),IF($AR734&gt;=10000000,IFERROR(DATE(INT($AR734/10000),MOD(INT($AR734/100),100),MOD($AR734,100)),""),INT($AR734)),IFERROR(DATE(--LEFT(LEFT(SUBSTITUTE(SUBSTITUTE(SUBSTITUTE(SUBSTITUTE(TRIM($AR734),"-",""),".",""),"/","")," ",""),8),4),--MID(LEFT(SUBSTITUTE(SUBSTITUTE(SUBSTITUTE(SUBSTITUTE(TRIM($AR734),"-",""),".",""),"/","")," ",""),8),5,2),--MID(LEFT(SUBSTITUTE(SUBSTITUTE(SUBSTITUTE(SUBSTITUTE(TRIM($AR734),"-",""),".",""),"/","")," ",""),8),7,2)),"")))</f>
        <v/>
      </c>
      <c r="AT734" s="33">
        <f>IF($AS734="","",IF($F$6="",0,IF(ISNUMBER(INDEX($A:$AP,ROW(),$F$6)),INDEX($A:$AP,ROW(),$F$6),IFERROR(--SUBSTITUTE(SUBSTITUTE(TRIM(INDEX($A:$AP,ROW(),$F$6)),",",""),"원",""),0))))</f>
        <v/>
      </c>
      <c r="AU734" s="31">
        <f>IF($AS734="","",IF($AX734&lt;&gt;"",SUBSTITUTE(SUBSTITUTE($AX734,"-","")," ",""),"N:"&amp;$AV734))</f>
        <v/>
      </c>
      <c r="AV734" s="31">
        <f>IF(OR($AS734="",$E$6=""),"",TRIM(INDEX($A:$AP,ROW(),$E$6)&amp;""))</f>
        <v/>
      </c>
      <c r="AW734" s="31">
        <f>IF($AU734="","",IF(MATCH($AU734,$AU$8:$AU$2007,0)=ROW()-7,MAX($AW$7:$AW733)+1,""))</f>
        <v/>
      </c>
      <c r="AX734" s="31">
        <f>IF(OR($AS734="",$D$6=""),"",TRIM(INDEX($A:$AP,ROW(),$D$6)&amp;""))</f>
        <v/>
      </c>
      <c r="AY734" s="31">
        <f>IF($AU734="","",INDEX($AW$8:$AW$2007,MATCH($AU734,$AU$8:$AU$2007,0)))</f>
        <v/>
      </c>
      <c r="AZ734" s="31">
        <f>IF(OR($AS734="",$C$6=""),"",TRIM(INDEX($A:$AP,ROW(),$C$6)&amp;""))</f>
        <v/>
      </c>
      <c r="BA734" s="31">
        <f>IF($AZ734="","",IF(COUNTIF($AZ$8:$AZ734,$AZ734)&gt;1,1,0))</f>
        <v/>
      </c>
    </row>
    <row r="735">
      <c r="AR735" s="31">
        <f>IF(OR($A$5="",$B$6="",ROW()&lt;$A$5),"",IF(INDEX($A:$AP,ROW(),$B$6)="","",INDEX($A:$AP,ROW(),$B$6)))</f>
        <v/>
      </c>
      <c r="AS735" s="32">
        <f>IF($AR735="","",IF(ISNUMBER($AR735),IF($AR735&gt;=10000000,IFERROR(DATE(INT($AR735/10000),MOD(INT($AR735/100),100),MOD($AR735,100)),""),INT($AR735)),IFERROR(DATE(--LEFT(LEFT(SUBSTITUTE(SUBSTITUTE(SUBSTITUTE(SUBSTITUTE(TRIM($AR735),"-",""),".",""),"/","")," ",""),8),4),--MID(LEFT(SUBSTITUTE(SUBSTITUTE(SUBSTITUTE(SUBSTITUTE(TRIM($AR735),"-",""),".",""),"/","")," ",""),8),5,2),--MID(LEFT(SUBSTITUTE(SUBSTITUTE(SUBSTITUTE(SUBSTITUTE(TRIM($AR735),"-",""),".",""),"/","")," ",""),8),7,2)),"")))</f>
        <v/>
      </c>
      <c r="AT735" s="33">
        <f>IF($AS735="","",IF($F$6="",0,IF(ISNUMBER(INDEX($A:$AP,ROW(),$F$6)),INDEX($A:$AP,ROW(),$F$6),IFERROR(--SUBSTITUTE(SUBSTITUTE(TRIM(INDEX($A:$AP,ROW(),$F$6)),",",""),"원",""),0))))</f>
        <v/>
      </c>
      <c r="AU735" s="31">
        <f>IF($AS735="","",IF($AX735&lt;&gt;"",SUBSTITUTE(SUBSTITUTE($AX735,"-","")," ",""),"N:"&amp;$AV735))</f>
        <v/>
      </c>
      <c r="AV735" s="31">
        <f>IF(OR($AS735="",$E$6=""),"",TRIM(INDEX($A:$AP,ROW(),$E$6)&amp;""))</f>
        <v/>
      </c>
      <c r="AW735" s="31">
        <f>IF($AU735="","",IF(MATCH($AU735,$AU$8:$AU$2007,0)=ROW()-7,MAX($AW$7:$AW734)+1,""))</f>
        <v/>
      </c>
      <c r="AX735" s="31">
        <f>IF(OR($AS735="",$D$6=""),"",TRIM(INDEX($A:$AP,ROW(),$D$6)&amp;""))</f>
        <v/>
      </c>
      <c r="AY735" s="31">
        <f>IF($AU735="","",INDEX($AW$8:$AW$2007,MATCH($AU735,$AU$8:$AU$2007,0)))</f>
        <v/>
      </c>
      <c r="AZ735" s="31">
        <f>IF(OR($AS735="",$C$6=""),"",TRIM(INDEX($A:$AP,ROW(),$C$6)&amp;""))</f>
        <v/>
      </c>
      <c r="BA735" s="31">
        <f>IF($AZ735="","",IF(COUNTIF($AZ$8:$AZ735,$AZ735)&gt;1,1,0))</f>
        <v/>
      </c>
    </row>
    <row r="736">
      <c r="AR736" s="31">
        <f>IF(OR($A$5="",$B$6="",ROW()&lt;$A$5),"",IF(INDEX($A:$AP,ROW(),$B$6)="","",INDEX($A:$AP,ROW(),$B$6)))</f>
        <v/>
      </c>
      <c r="AS736" s="32">
        <f>IF($AR736="","",IF(ISNUMBER($AR736),IF($AR736&gt;=10000000,IFERROR(DATE(INT($AR736/10000),MOD(INT($AR736/100),100),MOD($AR736,100)),""),INT($AR736)),IFERROR(DATE(--LEFT(LEFT(SUBSTITUTE(SUBSTITUTE(SUBSTITUTE(SUBSTITUTE(TRIM($AR736),"-",""),".",""),"/","")," ",""),8),4),--MID(LEFT(SUBSTITUTE(SUBSTITUTE(SUBSTITUTE(SUBSTITUTE(TRIM($AR736),"-",""),".",""),"/","")," ",""),8),5,2),--MID(LEFT(SUBSTITUTE(SUBSTITUTE(SUBSTITUTE(SUBSTITUTE(TRIM($AR736),"-",""),".",""),"/","")," ",""),8),7,2)),"")))</f>
        <v/>
      </c>
      <c r="AT736" s="33">
        <f>IF($AS736="","",IF($F$6="",0,IF(ISNUMBER(INDEX($A:$AP,ROW(),$F$6)),INDEX($A:$AP,ROW(),$F$6),IFERROR(--SUBSTITUTE(SUBSTITUTE(TRIM(INDEX($A:$AP,ROW(),$F$6)),",",""),"원",""),0))))</f>
        <v/>
      </c>
      <c r="AU736" s="31">
        <f>IF($AS736="","",IF($AX736&lt;&gt;"",SUBSTITUTE(SUBSTITUTE($AX736,"-","")," ",""),"N:"&amp;$AV736))</f>
        <v/>
      </c>
      <c r="AV736" s="31">
        <f>IF(OR($AS736="",$E$6=""),"",TRIM(INDEX($A:$AP,ROW(),$E$6)&amp;""))</f>
        <v/>
      </c>
      <c r="AW736" s="31">
        <f>IF($AU736="","",IF(MATCH($AU736,$AU$8:$AU$2007,0)=ROW()-7,MAX($AW$7:$AW735)+1,""))</f>
        <v/>
      </c>
      <c r="AX736" s="31">
        <f>IF(OR($AS736="",$D$6=""),"",TRIM(INDEX($A:$AP,ROW(),$D$6)&amp;""))</f>
        <v/>
      </c>
      <c r="AY736" s="31">
        <f>IF($AU736="","",INDEX($AW$8:$AW$2007,MATCH($AU736,$AU$8:$AU$2007,0)))</f>
        <v/>
      </c>
      <c r="AZ736" s="31">
        <f>IF(OR($AS736="",$C$6=""),"",TRIM(INDEX($A:$AP,ROW(),$C$6)&amp;""))</f>
        <v/>
      </c>
      <c r="BA736" s="31">
        <f>IF($AZ736="","",IF(COUNTIF($AZ$8:$AZ736,$AZ736)&gt;1,1,0))</f>
        <v/>
      </c>
    </row>
    <row r="737">
      <c r="AR737" s="31">
        <f>IF(OR($A$5="",$B$6="",ROW()&lt;$A$5),"",IF(INDEX($A:$AP,ROW(),$B$6)="","",INDEX($A:$AP,ROW(),$B$6)))</f>
        <v/>
      </c>
      <c r="AS737" s="32">
        <f>IF($AR737="","",IF(ISNUMBER($AR737),IF($AR737&gt;=10000000,IFERROR(DATE(INT($AR737/10000),MOD(INT($AR737/100),100),MOD($AR737,100)),""),INT($AR737)),IFERROR(DATE(--LEFT(LEFT(SUBSTITUTE(SUBSTITUTE(SUBSTITUTE(SUBSTITUTE(TRIM($AR737),"-",""),".",""),"/","")," ",""),8),4),--MID(LEFT(SUBSTITUTE(SUBSTITUTE(SUBSTITUTE(SUBSTITUTE(TRIM($AR737),"-",""),".",""),"/","")," ",""),8),5,2),--MID(LEFT(SUBSTITUTE(SUBSTITUTE(SUBSTITUTE(SUBSTITUTE(TRIM($AR737),"-",""),".",""),"/","")," ",""),8),7,2)),"")))</f>
        <v/>
      </c>
      <c r="AT737" s="33">
        <f>IF($AS737="","",IF($F$6="",0,IF(ISNUMBER(INDEX($A:$AP,ROW(),$F$6)),INDEX($A:$AP,ROW(),$F$6),IFERROR(--SUBSTITUTE(SUBSTITUTE(TRIM(INDEX($A:$AP,ROW(),$F$6)),",",""),"원",""),0))))</f>
        <v/>
      </c>
      <c r="AU737" s="31">
        <f>IF($AS737="","",IF($AX737&lt;&gt;"",SUBSTITUTE(SUBSTITUTE($AX737,"-","")," ",""),"N:"&amp;$AV737))</f>
        <v/>
      </c>
      <c r="AV737" s="31">
        <f>IF(OR($AS737="",$E$6=""),"",TRIM(INDEX($A:$AP,ROW(),$E$6)&amp;""))</f>
        <v/>
      </c>
      <c r="AW737" s="31">
        <f>IF($AU737="","",IF(MATCH($AU737,$AU$8:$AU$2007,0)=ROW()-7,MAX($AW$7:$AW736)+1,""))</f>
        <v/>
      </c>
      <c r="AX737" s="31">
        <f>IF(OR($AS737="",$D$6=""),"",TRIM(INDEX($A:$AP,ROW(),$D$6)&amp;""))</f>
        <v/>
      </c>
      <c r="AY737" s="31">
        <f>IF($AU737="","",INDEX($AW$8:$AW$2007,MATCH($AU737,$AU$8:$AU$2007,0)))</f>
        <v/>
      </c>
      <c r="AZ737" s="31">
        <f>IF(OR($AS737="",$C$6=""),"",TRIM(INDEX($A:$AP,ROW(),$C$6)&amp;""))</f>
        <v/>
      </c>
      <c r="BA737" s="31">
        <f>IF($AZ737="","",IF(COUNTIF($AZ$8:$AZ737,$AZ737)&gt;1,1,0))</f>
        <v/>
      </c>
    </row>
    <row r="738">
      <c r="AR738" s="31">
        <f>IF(OR($A$5="",$B$6="",ROW()&lt;$A$5),"",IF(INDEX($A:$AP,ROW(),$B$6)="","",INDEX($A:$AP,ROW(),$B$6)))</f>
        <v/>
      </c>
      <c r="AS738" s="32">
        <f>IF($AR738="","",IF(ISNUMBER($AR738),IF($AR738&gt;=10000000,IFERROR(DATE(INT($AR738/10000),MOD(INT($AR738/100),100),MOD($AR738,100)),""),INT($AR738)),IFERROR(DATE(--LEFT(LEFT(SUBSTITUTE(SUBSTITUTE(SUBSTITUTE(SUBSTITUTE(TRIM($AR738),"-",""),".",""),"/","")," ",""),8),4),--MID(LEFT(SUBSTITUTE(SUBSTITUTE(SUBSTITUTE(SUBSTITUTE(TRIM($AR738),"-",""),".",""),"/","")," ",""),8),5,2),--MID(LEFT(SUBSTITUTE(SUBSTITUTE(SUBSTITUTE(SUBSTITUTE(TRIM($AR738),"-",""),".",""),"/","")," ",""),8),7,2)),"")))</f>
        <v/>
      </c>
      <c r="AT738" s="33">
        <f>IF($AS738="","",IF($F$6="",0,IF(ISNUMBER(INDEX($A:$AP,ROW(),$F$6)),INDEX($A:$AP,ROW(),$F$6),IFERROR(--SUBSTITUTE(SUBSTITUTE(TRIM(INDEX($A:$AP,ROW(),$F$6)),",",""),"원",""),0))))</f>
        <v/>
      </c>
      <c r="AU738" s="31">
        <f>IF($AS738="","",IF($AX738&lt;&gt;"",SUBSTITUTE(SUBSTITUTE($AX738,"-","")," ",""),"N:"&amp;$AV738))</f>
        <v/>
      </c>
      <c r="AV738" s="31">
        <f>IF(OR($AS738="",$E$6=""),"",TRIM(INDEX($A:$AP,ROW(),$E$6)&amp;""))</f>
        <v/>
      </c>
      <c r="AW738" s="31">
        <f>IF($AU738="","",IF(MATCH($AU738,$AU$8:$AU$2007,0)=ROW()-7,MAX($AW$7:$AW737)+1,""))</f>
        <v/>
      </c>
      <c r="AX738" s="31">
        <f>IF(OR($AS738="",$D$6=""),"",TRIM(INDEX($A:$AP,ROW(),$D$6)&amp;""))</f>
        <v/>
      </c>
      <c r="AY738" s="31">
        <f>IF($AU738="","",INDEX($AW$8:$AW$2007,MATCH($AU738,$AU$8:$AU$2007,0)))</f>
        <v/>
      </c>
      <c r="AZ738" s="31">
        <f>IF(OR($AS738="",$C$6=""),"",TRIM(INDEX($A:$AP,ROW(),$C$6)&amp;""))</f>
        <v/>
      </c>
      <c r="BA738" s="31">
        <f>IF($AZ738="","",IF(COUNTIF($AZ$8:$AZ738,$AZ738)&gt;1,1,0))</f>
        <v/>
      </c>
    </row>
    <row r="739">
      <c r="AR739" s="31">
        <f>IF(OR($A$5="",$B$6="",ROW()&lt;$A$5),"",IF(INDEX($A:$AP,ROW(),$B$6)="","",INDEX($A:$AP,ROW(),$B$6)))</f>
        <v/>
      </c>
      <c r="AS739" s="32">
        <f>IF($AR739="","",IF(ISNUMBER($AR739),IF($AR739&gt;=10000000,IFERROR(DATE(INT($AR739/10000),MOD(INT($AR739/100),100),MOD($AR739,100)),""),INT($AR739)),IFERROR(DATE(--LEFT(LEFT(SUBSTITUTE(SUBSTITUTE(SUBSTITUTE(SUBSTITUTE(TRIM($AR739),"-",""),".",""),"/","")," ",""),8),4),--MID(LEFT(SUBSTITUTE(SUBSTITUTE(SUBSTITUTE(SUBSTITUTE(TRIM($AR739),"-",""),".",""),"/","")," ",""),8),5,2),--MID(LEFT(SUBSTITUTE(SUBSTITUTE(SUBSTITUTE(SUBSTITUTE(TRIM($AR739),"-",""),".",""),"/","")," ",""),8),7,2)),"")))</f>
        <v/>
      </c>
      <c r="AT739" s="33">
        <f>IF($AS739="","",IF($F$6="",0,IF(ISNUMBER(INDEX($A:$AP,ROW(),$F$6)),INDEX($A:$AP,ROW(),$F$6),IFERROR(--SUBSTITUTE(SUBSTITUTE(TRIM(INDEX($A:$AP,ROW(),$F$6)),",",""),"원",""),0))))</f>
        <v/>
      </c>
      <c r="AU739" s="31">
        <f>IF($AS739="","",IF($AX739&lt;&gt;"",SUBSTITUTE(SUBSTITUTE($AX739,"-","")," ",""),"N:"&amp;$AV739))</f>
        <v/>
      </c>
      <c r="AV739" s="31">
        <f>IF(OR($AS739="",$E$6=""),"",TRIM(INDEX($A:$AP,ROW(),$E$6)&amp;""))</f>
        <v/>
      </c>
      <c r="AW739" s="31">
        <f>IF($AU739="","",IF(MATCH($AU739,$AU$8:$AU$2007,0)=ROW()-7,MAX($AW$7:$AW738)+1,""))</f>
        <v/>
      </c>
      <c r="AX739" s="31">
        <f>IF(OR($AS739="",$D$6=""),"",TRIM(INDEX($A:$AP,ROW(),$D$6)&amp;""))</f>
        <v/>
      </c>
      <c r="AY739" s="31">
        <f>IF($AU739="","",INDEX($AW$8:$AW$2007,MATCH($AU739,$AU$8:$AU$2007,0)))</f>
        <v/>
      </c>
      <c r="AZ739" s="31">
        <f>IF(OR($AS739="",$C$6=""),"",TRIM(INDEX($A:$AP,ROW(),$C$6)&amp;""))</f>
        <v/>
      </c>
      <c r="BA739" s="31">
        <f>IF($AZ739="","",IF(COUNTIF($AZ$8:$AZ739,$AZ739)&gt;1,1,0))</f>
        <v/>
      </c>
    </row>
    <row r="740">
      <c r="AR740" s="31">
        <f>IF(OR($A$5="",$B$6="",ROW()&lt;$A$5),"",IF(INDEX($A:$AP,ROW(),$B$6)="","",INDEX($A:$AP,ROW(),$B$6)))</f>
        <v/>
      </c>
      <c r="AS740" s="32">
        <f>IF($AR740="","",IF(ISNUMBER($AR740),IF($AR740&gt;=10000000,IFERROR(DATE(INT($AR740/10000),MOD(INT($AR740/100),100),MOD($AR740,100)),""),INT($AR740)),IFERROR(DATE(--LEFT(LEFT(SUBSTITUTE(SUBSTITUTE(SUBSTITUTE(SUBSTITUTE(TRIM($AR740),"-",""),".",""),"/","")," ",""),8),4),--MID(LEFT(SUBSTITUTE(SUBSTITUTE(SUBSTITUTE(SUBSTITUTE(TRIM($AR740),"-",""),".",""),"/","")," ",""),8),5,2),--MID(LEFT(SUBSTITUTE(SUBSTITUTE(SUBSTITUTE(SUBSTITUTE(TRIM($AR740),"-",""),".",""),"/","")," ",""),8),7,2)),"")))</f>
        <v/>
      </c>
      <c r="AT740" s="33">
        <f>IF($AS740="","",IF($F$6="",0,IF(ISNUMBER(INDEX($A:$AP,ROW(),$F$6)),INDEX($A:$AP,ROW(),$F$6),IFERROR(--SUBSTITUTE(SUBSTITUTE(TRIM(INDEX($A:$AP,ROW(),$F$6)),",",""),"원",""),0))))</f>
        <v/>
      </c>
      <c r="AU740" s="31">
        <f>IF($AS740="","",IF($AX740&lt;&gt;"",SUBSTITUTE(SUBSTITUTE($AX740,"-","")," ",""),"N:"&amp;$AV740))</f>
        <v/>
      </c>
      <c r="AV740" s="31">
        <f>IF(OR($AS740="",$E$6=""),"",TRIM(INDEX($A:$AP,ROW(),$E$6)&amp;""))</f>
        <v/>
      </c>
      <c r="AW740" s="31">
        <f>IF($AU740="","",IF(MATCH($AU740,$AU$8:$AU$2007,0)=ROW()-7,MAX($AW$7:$AW739)+1,""))</f>
        <v/>
      </c>
      <c r="AX740" s="31">
        <f>IF(OR($AS740="",$D$6=""),"",TRIM(INDEX($A:$AP,ROW(),$D$6)&amp;""))</f>
        <v/>
      </c>
      <c r="AY740" s="31">
        <f>IF($AU740="","",INDEX($AW$8:$AW$2007,MATCH($AU740,$AU$8:$AU$2007,0)))</f>
        <v/>
      </c>
      <c r="AZ740" s="31">
        <f>IF(OR($AS740="",$C$6=""),"",TRIM(INDEX($A:$AP,ROW(),$C$6)&amp;""))</f>
        <v/>
      </c>
      <c r="BA740" s="31">
        <f>IF($AZ740="","",IF(COUNTIF($AZ$8:$AZ740,$AZ740)&gt;1,1,0))</f>
        <v/>
      </c>
    </row>
    <row r="741">
      <c r="AR741" s="31">
        <f>IF(OR($A$5="",$B$6="",ROW()&lt;$A$5),"",IF(INDEX($A:$AP,ROW(),$B$6)="","",INDEX($A:$AP,ROW(),$B$6)))</f>
        <v/>
      </c>
      <c r="AS741" s="32">
        <f>IF($AR741="","",IF(ISNUMBER($AR741),IF($AR741&gt;=10000000,IFERROR(DATE(INT($AR741/10000),MOD(INT($AR741/100),100),MOD($AR741,100)),""),INT($AR741)),IFERROR(DATE(--LEFT(LEFT(SUBSTITUTE(SUBSTITUTE(SUBSTITUTE(SUBSTITUTE(TRIM($AR741),"-",""),".",""),"/","")," ",""),8),4),--MID(LEFT(SUBSTITUTE(SUBSTITUTE(SUBSTITUTE(SUBSTITUTE(TRIM($AR741),"-",""),".",""),"/","")," ",""),8),5,2),--MID(LEFT(SUBSTITUTE(SUBSTITUTE(SUBSTITUTE(SUBSTITUTE(TRIM($AR741),"-",""),".",""),"/","")," ",""),8),7,2)),"")))</f>
        <v/>
      </c>
      <c r="AT741" s="33">
        <f>IF($AS741="","",IF($F$6="",0,IF(ISNUMBER(INDEX($A:$AP,ROW(),$F$6)),INDEX($A:$AP,ROW(),$F$6),IFERROR(--SUBSTITUTE(SUBSTITUTE(TRIM(INDEX($A:$AP,ROW(),$F$6)),",",""),"원",""),0))))</f>
        <v/>
      </c>
      <c r="AU741" s="31">
        <f>IF($AS741="","",IF($AX741&lt;&gt;"",SUBSTITUTE(SUBSTITUTE($AX741,"-","")," ",""),"N:"&amp;$AV741))</f>
        <v/>
      </c>
      <c r="AV741" s="31">
        <f>IF(OR($AS741="",$E$6=""),"",TRIM(INDEX($A:$AP,ROW(),$E$6)&amp;""))</f>
        <v/>
      </c>
      <c r="AW741" s="31">
        <f>IF($AU741="","",IF(MATCH($AU741,$AU$8:$AU$2007,0)=ROW()-7,MAX($AW$7:$AW740)+1,""))</f>
        <v/>
      </c>
      <c r="AX741" s="31">
        <f>IF(OR($AS741="",$D$6=""),"",TRIM(INDEX($A:$AP,ROW(),$D$6)&amp;""))</f>
        <v/>
      </c>
      <c r="AY741" s="31">
        <f>IF($AU741="","",INDEX($AW$8:$AW$2007,MATCH($AU741,$AU$8:$AU$2007,0)))</f>
        <v/>
      </c>
      <c r="AZ741" s="31">
        <f>IF(OR($AS741="",$C$6=""),"",TRIM(INDEX($A:$AP,ROW(),$C$6)&amp;""))</f>
        <v/>
      </c>
      <c r="BA741" s="31">
        <f>IF($AZ741="","",IF(COUNTIF($AZ$8:$AZ741,$AZ741)&gt;1,1,0))</f>
        <v/>
      </c>
    </row>
    <row r="742">
      <c r="AR742" s="31">
        <f>IF(OR($A$5="",$B$6="",ROW()&lt;$A$5),"",IF(INDEX($A:$AP,ROW(),$B$6)="","",INDEX($A:$AP,ROW(),$B$6)))</f>
        <v/>
      </c>
      <c r="AS742" s="32">
        <f>IF($AR742="","",IF(ISNUMBER($AR742),IF($AR742&gt;=10000000,IFERROR(DATE(INT($AR742/10000),MOD(INT($AR742/100),100),MOD($AR742,100)),""),INT($AR742)),IFERROR(DATE(--LEFT(LEFT(SUBSTITUTE(SUBSTITUTE(SUBSTITUTE(SUBSTITUTE(TRIM($AR742),"-",""),".",""),"/","")," ",""),8),4),--MID(LEFT(SUBSTITUTE(SUBSTITUTE(SUBSTITUTE(SUBSTITUTE(TRIM($AR742),"-",""),".",""),"/","")," ",""),8),5,2),--MID(LEFT(SUBSTITUTE(SUBSTITUTE(SUBSTITUTE(SUBSTITUTE(TRIM($AR742),"-",""),".",""),"/","")," ",""),8),7,2)),"")))</f>
        <v/>
      </c>
      <c r="AT742" s="33">
        <f>IF($AS742="","",IF($F$6="",0,IF(ISNUMBER(INDEX($A:$AP,ROW(),$F$6)),INDEX($A:$AP,ROW(),$F$6),IFERROR(--SUBSTITUTE(SUBSTITUTE(TRIM(INDEX($A:$AP,ROW(),$F$6)),",",""),"원",""),0))))</f>
        <v/>
      </c>
      <c r="AU742" s="31">
        <f>IF($AS742="","",IF($AX742&lt;&gt;"",SUBSTITUTE(SUBSTITUTE($AX742,"-","")," ",""),"N:"&amp;$AV742))</f>
        <v/>
      </c>
      <c r="AV742" s="31">
        <f>IF(OR($AS742="",$E$6=""),"",TRIM(INDEX($A:$AP,ROW(),$E$6)&amp;""))</f>
        <v/>
      </c>
      <c r="AW742" s="31">
        <f>IF($AU742="","",IF(MATCH($AU742,$AU$8:$AU$2007,0)=ROW()-7,MAX($AW$7:$AW741)+1,""))</f>
        <v/>
      </c>
      <c r="AX742" s="31">
        <f>IF(OR($AS742="",$D$6=""),"",TRIM(INDEX($A:$AP,ROW(),$D$6)&amp;""))</f>
        <v/>
      </c>
      <c r="AY742" s="31">
        <f>IF($AU742="","",INDEX($AW$8:$AW$2007,MATCH($AU742,$AU$8:$AU$2007,0)))</f>
        <v/>
      </c>
      <c r="AZ742" s="31">
        <f>IF(OR($AS742="",$C$6=""),"",TRIM(INDEX($A:$AP,ROW(),$C$6)&amp;""))</f>
        <v/>
      </c>
      <c r="BA742" s="31">
        <f>IF($AZ742="","",IF(COUNTIF($AZ$8:$AZ742,$AZ742)&gt;1,1,0))</f>
        <v/>
      </c>
    </row>
    <row r="743">
      <c r="AR743" s="31">
        <f>IF(OR($A$5="",$B$6="",ROW()&lt;$A$5),"",IF(INDEX($A:$AP,ROW(),$B$6)="","",INDEX($A:$AP,ROW(),$B$6)))</f>
        <v/>
      </c>
      <c r="AS743" s="32">
        <f>IF($AR743="","",IF(ISNUMBER($AR743),IF($AR743&gt;=10000000,IFERROR(DATE(INT($AR743/10000),MOD(INT($AR743/100),100),MOD($AR743,100)),""),INT($AR743)),IFERROR(DATE(--LEFT(LEFT(SUBSTITUTE(SUBSTITUTE(SUBSTITUTE(SUBSTITUTE(TRIM($AR743),"-",""),".",""),"/","")," ",""),8),4),--MID(LEFT(SUBSTITUTE(SUBSTITUTE(SUBSTITUTE(SUBSTITUTE(TRIM($AR743),"-",""),".",""),"/","")," ",""),8),5,2),--MID(LEFT(SUBSTITUTE(SUBSTITUTE(SUBSTITUTE(SUBSTITUTE(TRIM($AR743),"-",""),".",""),"/","")," ",""),8),7,2)),"")))</f>
        <v/>
      </c>
      <c r="AT743" s="33">
        <f>IF($AS743="","",IF($F$6="",0,IF(ISNUMBER(INDEX($A:$AP,ROW(),$F$6)),INDEX($A:$AP,ROW(),$F$6),IFERROR(--SUBSTITUTE(SUBSTITUTE(TRIM(INDEX($A:$AP,ROW(),$F$6)),",",""),"원",""),0))))</f>
        <v/>
      </c>
      <c r="AU743" s="31">
        <f>IF($AS743="","",IF($AX743&lt;&gt;"",SUBSTITUTE(SUBSTITUTE($AX743,"-","")," ",""),"N:"&amp;$AV743))</f>
        <v/>
      </c>
      <c r="AV743" s="31">
        <f>IF(OR($AS743="",$E$6=""),"",TRIM(INDEX($A:$AP,ROW(),$E$6)&amp;""))</f>
        <v/>
      </c>
      <c r="AW743" s="31">
        <f>IF($AU743="","",IF(MATCH($AU743,$AU$8:$AU$2007,0)=ROW()-7,MAX($AW$7:$AW742)+1,""))</f>
        <v/>
      </c>
      <c r="AX743" s="31">
        <f>IF(OR($AS743="",$D$6=""),"",TRIM(INDEX($A:$AP,ROW(),$D$6)&amp;""))</f>
        <v/>
      </c>
      <c r="AY743" s="31">
        <f>IF($AU743="","",INDEX($AW$8:$AW$2007,MATCH($AU743,$AU$8:$AU$2007,0)))</f>
        <v/>
      </c>
      <c r="AZ743" s="31">
        <f>IF(OR($AS743="",$C$6=""),"",TRIM(INDEX($A:$AP,ROW(),$C$6)&amp;""))</f>
        <v/>
      </c>
      <c r="BA743" s="31">
        <f>IF($AZ743="","",IF(COUNTIF($AZ$8:$AZ743,$AZ743)&gt;1,1,0))</f>
        <v/>
      </c>
    </row>
    <row r="744">
      <c r="AR744" s="31">
        <f>IF(OR($A$5="",$B$6="",ROW()&lt;$A$5),"",IF(INDEX($A:$AP,ROW(),$B$6)="","",INDEX($A:$AP,ROW(),$B$6)))</f>
        <v/>
      </c>
      <c r="AS744" s="32">
        <f>IF($AR744="","",IF(ISNUMBER($AR744),IF($AR744&gt;=10000000,IFERROR(DATE(INT($AR744/10000),MOD(INT($AR744/100),100),MOD($AR744,100)),""),INT($AR744)),IFERROR(DATE(--LEFT(LEFT(SUBSTITUTE(SUBSTITUTE(SUBSTITUTE(SUBSTITUTE(TRIM($AR744),"-",""),".",""),"/","")," ",""),8),4),--MID(LEFT(SUBSTITUTE(SUBSTITUTE(SUBSTITUTE(SUBSTITUTE(TRIM($AR744),"-",""),".",""),"/","")," ",""),8),5,2),--MID(LEFT(SUBSTITUTE(SUBSTITUTE(SUBSTITUTE(SUBSTITUTE(TRIM($AR744),"-",""),".",""),"/","")," ",""),8),7,2)),"")))</f>
        <v/>
      </c>
      <c r="AT744" s="33">
        <f>IF($AS744="","",IF($F$6="",0,IF(ISNUMBER(INDEX($A:$AP,ROW(),$F$6)),INDEX($A:$AP,ROW(),$F$6),IFERROR(--SUBSTITUTE(SUBSTITUTE(TRIM(INDEX($A:$AP,ROW(),$F$6)),",",""),"원",""),0))))</f>
        <v/>
      </c>
      <c r="AU744" s="31">
        <f>IF($AS744="","",IF($AX744&lt;&gt;"",SUBSTITUTE(SUBSTITUTE($AX744,"-","")," ",""),"N:"&amp;$AV744))</f>
        <v/>
      </c>
      <c r="AV744" s="31">
        <f>IF(OR($AS744="",$E$6=""),"",TRIM(INDEX($A:$AP,ROW(),$E$6)&amp;""))</f>
        <v/>
      </c>
      <c r="AW744" s="31">
        <f>IF($AU744="","",IF(MATCH($AU744,$AU$8:$AU$2007,0)=ROW()-7,MAX($AW$7:$AW743)+1,""))</f>
        <v/>
      </c>
      <c r="AX744" s="31">
        <f>IF(OR($AS744="",$D$6=""),"",TRIM(INDEX($A:$AP,ROW(),$D$6)&amp;""))</f>
        <v/>
      </c>
      <c r="AY744" s="31">
        <f>IF($AU744="","",INDEX($AW$8:$AW$2007,MATCH($AU744,$AU$8:$AU$2007,0)))</f>
        <v/>
      </c>
      <c r="AZ744" s="31">
        <f>IF(OR($AS744="",$C$6=""),"",TRIM(INDEX($A:$AP,ROW(),$C$6)&amp;""))</f>
        <v/>
      </c>
      <c r="BA744" s="31">
        <f>IF($AZ744="","",IF(COUNTIF($AZ$8:$AZ744,$AZ744)&gt;1,1,0))</f>
        <v/>
      </c>
    </row>
    <row r="745">
      <c r="AR745" s="31">
        <f>IF(OR($A$5="",$B$6="",ROW()&lt;$A$5),"",IF(INDEX($A:$AP,ROW(),$B$6)="","",INDEX($A:$AP,ROW(),$B$6)))</f>
        <v/>
      </c>
      <c r="AS745" s="32">
        <f>IF($AR745="","",IF(ISNUMBER($AR745),IF($AR745&gt;=10000000,IFERROR(DATE(INT($AR745/10000),MOD(INT($AR745/100),100),MOD($AR745,100)),""),INT($AR745)),IFERROR(DATE(--LEFT(LEFT(SUBSTITUTE(SUBSTITUTE(SUBSTITUTE(SUBSTITUTE(TRIM($AR745),"-",""),".",""),"/","")," ",""),8),4),--MID(LEFT(SUBSTITUTE(SUBSTITUTE(SUBSTITUTE(SUBSTITUTE(TRIM($AR745),"-",""),".",""),"/","")," ",""),8),5,2),--MID(LEFT(SUBSTITUTE(SUBSTITUTE(SUBSTITUTE(SUBSTITUTE(TRIM($AR745),"-",""),".",""),"/","")," ",""),8),7,2)),"")))</f>
        <v/>
      </c>
      <c r="AT745" s="33">
        <f>IF($AS745="","",IF($F$6="",0,IF(ISNUMBER(INDEX($A:$AP,ROW(),$F$6)),INDEX($A:$AP,ROW(),$F$6),IFERROR(--SUBSTITUTE(SUBSTITUTE(TRIM(INDEX($A:$AP,ROW(),$F$6)),",",""),"원",""),0))))</f>
        <v/>
      </c>
      <c r="AU745" s="31">
        <f>IF($AS745="","",IF($AX745&lt;&gt;"",SUBSTITUTE(SUBSTITUTE($AX745,"-","")," ",""),"N:"&amp;$AV745))</f>
        <v/>
      </c>
      <c r="AV745" s="31">
        <f>IF(OR($AS745="",$E$6=""),"",TRIM(INDEX($A:$AP,ROW(),$E$6)&amp;""))</f>
        <v/>
      </c>
      <c r="AW745" s="31">
        <f>IF($AU745="","",IF(MATCH($AU745,$AU$8:$AU$2007,0)=ROW()-7,MAX($AW$7:$AW744)+1,""))</f>
        <v/>
      </c>
      <c r="AX745" s="31">
        <f>IF(OR($AS745="",$D$6=""),"",TRIM(INDEX($A:$AP,ROW(),$D$6)&amp;""))</f>
        <v/>
      </c>
      <c r="AY745" s="31">
        <f>IF($AU745="","",INDEX($AW$8:$AW$2007,MATCH($AU745,$AU$8:$AU$2007,0)))</f>
        <v/>
      </c>
      <c r="AZ745" s="31">
        <f>IF(OR($AS745="",$C$6=""),"",TRIM(INDEX($A:$AP,ROW(),$C$6)&amp;""))</f>
        <v/>
      </c>
      <c r="BA745" s="31">
        <f>IF($AZ745="","",IF(COUNTIF($AZ$8:$AZ745,$AZ745)&gt;1,1,0))</f>
        <v/>
      </c>
    </row>
    <row r="746">
      <c r="AR746" s="31">
        <f>IF(OR($A$5="",$B$6="",ROW()&lt;$A$5),"",IF(INDEX($A:$AP,ROW(),$B$6)="","",INDEX($A:$AP,ROW(),$B$6)))</f>
        <v/>
      </c>
      <c r="AS746" s="32">
        <f>IF($AR746="","",IF(ISNUMBER($AR746),IF($AR746&gt;=10000000,IFERROR(DATE(INT($AR746/10000),MOD(INT($AR746/100),100),MOD($AR746,100)),""),INT($AR746)),IFERROR(DATE(--LEFT(LEFT(SUBSTITUTE(SUBSTITUTE(SUBSTITUTE(SUBSTITUTE(TRIM($AR746),"-",""),".",""),"/","")," ",""),8),4),--MID(LEFT(SUBSTITUTE(SUBSTITUTE(SUBSTITUTE(SUBSTITUTE(TRIM($AR746),"-",""),".",""),"/","")," ",""),8),5,2),--MID(LEFT(SUBSTITUTE(SUBSTITUTE(SUBSTITUTE(SUBSTITUTE(TRIM($AR746),"-",""),".",""),"/","")," ",""),8),7,2)),"")))</f>
        <v/>
      </c>
      <c r="AT746" s="33">
        <f>IF($AS746="","",IF($F$6="",0,IF(ISNUMBER(INDEX($A:$AP,ROW(),$F$6)),INDEX($A:$AP,ROW(),$F$6),IFERROR(--SUBSTITUTE(SUBSTITUTE(TRIM(INDEX($A:$AP,ROW(),$F$6)),",",""),"원",""),0))))</f>
        <v/>
      </c>
      <c r="AU746" s="31">
        <f>IF($AS746="","",IF($AX746&lt;&gt;"",SUBSTITUTE(SUBSTITUTE($AX746,"-","")," ",""),"N:"&amp;$AV746))</f>
        <v/>
      </c>
      <c r="AV746" s="31">
        <f>IF(OR($AS746="",$E$6=""),"",TRIM(INDEX($A:$AP,ROW(),$E$6)&amp;""))</f>
        <v/>
      </c>
      <c r="AW746" s="31">
        <f>IF($AU746="","",IF(MATCH($AU746,$AU$8:$AU$2007,0)=ROW()-7,MAX($AW$7:$AW745)+1,""))</f>
        <v/>
      </c>
      <c r="AX746" s="31">
        <f>IF(OR($AS746="",$D$6=""),"",TRIM(INDEX($A:$AP,ROW(),$D$6)&amp;""))</f>
        <v/>
      </c>
      <c r="AY746" s="31">
        <f>IF($AU746="","",INDEX($AW$8:$AW$2007,MATCH($AU746,$AU$8:$AU$2007,0)))</f>
        <v/>
      </c>
      <c r="AZ746" s="31">
        <f>IF(OR($AS746="",$C$6=""),"",TRIM(INDEX($A:$AP,ROW(),$C$6)&amp;""))</f>
        <v/>
      </c>
      <c r="BA746" s="31">
        <f>IF($AZ746="","",IF(COUNTIF($AZ$8:$AZ746,$AZ746)&gt;1,1,0))</f>
        <v/>
      </c>
    </row>
    <row r="747">
      <c r="AR747" s="31">
        <f>IF(OR($A$5="",$B$6="",ROW()&lt;$A$5),"",IF(INDEX($A:$AP,ROW(),$B$6)="","",INDEX($A:$AP,ROW(),$B$6)))</f>
        <v/>
      </c>
      <c r="AS747" s="32">
        <f>IF($AR747="","",IF(ISNUMBER($AR747),IF($AR747&gt;=10000000,IFERROR(DATE(INT($AR747/10000),MOD(INT($AR747/100),100),MOD($AR747,100)),""),INT($AR747)),IFERROR(DATE(--LEFT(LEFT(SUBSTITUTE(SUBSTITUTE(SUBSTITUTE(SUBSTITUTE(TRIM($AR747),"-",""),".",""),"/","")," ",""),8),4),--MID(LEFT(SUBSTITUTE(SUBSTITUTE(SUBSTITUTE(SUBSTITUTE(TRIM($AR747),"-",""),".",""),"/","")," ",""),8),5,2),--MID(LEFT(SUBSTITUTE(SUBSTITUTE(SUBSTITUTE(SUBSTITUTE(TRIM($AR747),"-",""),".",""),"/","")," ",""),8),7,2)),"")))</f>
        <v/>
      </c>
      <c r="AT747" s="33">
        <f>IF($AS747="","",IF($F$6="",0,IF(ISNUMBER(INDEX($A:$AP,ROW(),$F$6)),INDEX($A:$AP,ROW(),$F$6),IFERROR(--SUBSTITUTE(SUBSTITUTE(TRIM(INDEX($A:$AP,ROW(),$F$6)),",",""),"원",""),0))))</f>
        <v/>
      </c>
      <c r="AU747" s="31">
        <f>IF($AS747="","",IF($AX747&lt;&gt;"",SUBSTITUTE(SUBSTITUTE($AX747,"-","")," ",""),"N:"&amp;$AV747))</f>
        <v/>
      </c>
      <c r="AV747" s="31">
        <f>IF(OR($AS747="",$E$6=""),"",TRIM(INDEX($A:$AP,ROW(),$E$6)&amp;""))</f>
        <v/>
      </c>
      <c r="AW747" s="31">
        <f>IF($AU747="","",IF(MATCH($AU747,$AU$8:$AU$2007,0)=ROW()-7,MAX($AW$7:$AW746)+1,""))</f>
        <v/>
      </c>
      <c r="AX747" s="31">
        <f>IF(OR($AS747="",$D$6=""),"",TRIM(INDEX($A:$AP,ROW(),$D$6)&amp;""))</f>
        <v/>
      </c>
      <c r="AY747" s="31">
        <f>IF($AU747="","",INDEX($AW$8:$AW$2007,MATCH($AU747,$AU$8:$AU$2007,0)))</f>
        <v/>
      </c>
      <c r="AZ747" s="31">
        <f>IF(OR($AS747="",$C$6=""),"",TRIM(INDEX($A:$AP,ROW(),$C$6)&amp;""))</f>
        <v/>
      </c>
      <c r="BA747" s="31">
        <f>IF($AZ747="","",IF(COUNTIF($AZ$8:$AZ747,$AZ747)&gt;1,1,0))</f>
        <v/>
      </c>
    </row>
    <row r="748">
      <c r="AR748" s="31">
        <f>IF(OR($A$5="",$B$6="",ROW()&lt;$A$5),"",IF(INDEX($A:$AP,ROW(),$B$6)="","",INDEX($A:$AP,ROW(),$B$6)))</f>
        <v/>
      </c>
      <c r="AS748" s="32">
        <f>IF($AR748="","",IF(ISNUMBER($AR748),IF($AR748&gt;=10000000,IFERROR(DATE(INT($AR748/10000),MOD(INT($AR748/100),100),MOD($AR748,100)),""),INT($AR748)),IFERROR(DATE(--LEFT(LEFT(SUBSTITUTE(SUBSTITUTE(SUBSTITUTE(SUBSTITUTE(TRIM($AR748),"-",""),".",""),"/","")," ",""),8),4),--MID(LEFT(SUBSTITUTE(SUBSTITUTE(SUBSTITUTE(SUBSTITUTE(TRIM($AR748),"-",""),".",""),"/","")," ",""),8),5,2),--MID(LEFT(SUBSTITUTE(SUBSTITUTE(SUBSTITUTE(SUBSTITUTE(TRIM($AR748),"-",""),".",""),"/","")," ",""),8),7,2)),"")))</f>
        <v/>
      </c>
      <c r="AT748" s="33">
        <f>IF($AS748="","",IF($F$6="",0,IF(ISNUMBER(INDEX($A:$AP,ROW(),$F$6)),INDEX($A:$AP,ROW(),$F$6),IFERROR(--SUBSTITUTE(SUBSTITUTE(TRIM(INDEX($A:$AP,ROW(),$F$6)),",",""),"원",""),0))))</f>
        <v/>
      </c>
      <c r="AU748" s="31">
        <f>IF($AS748="","",IF($AX748&lt;&gt;"",SUBSTITUTE(SUBSTITUTE($AX748,"-","")," ",""),"N:"&amp;$AV748))</f>
        <v/>
      </c>
      <c r="AV748" s="31">
        <f>IF(OR($AS748="",$E$6=""),"",TRIM(INDEX($A:$AP,ROW(),$E$6)&amp;""))</f>
        <v/>
      </c>
      <c r="AW748" s="31">
        <f>IF($AU748="","",IF(MATCH($AU748,$AU$8:$AU$2007,0)=ROW()-7,MAX($AW$7:$AW747)+1,""))</f>
        <v/>
      </c>
      <c r="AX748" s="31">
        <f>IF(OR($AS748="",$D$6=""),"",TRIM(INDEX($A:$AP,ROW(),$D$6)&amp;""))</f>
        <v/>
      </c>
      <c r="AY748" s="31">
        <f>IF($AU748="","",INDEX($AW$8:$AW$2007,MATCH($AU748,$AU$8:$AU$2007,0)))</f>
        <v/>
      </c>
      <c r="AZ748" s="31">
        <f>IF(OR($AS748="",$C$6=""),"",TRIM(INDEX($A:$AP,ROW(),$C$6)&amp;""))</f>
        <v/>
      </c>
      <c r="BA748" s="31">
        <f>IF($AZ748="","",IF(COUNTIF($AZ$8:$AZ748,$AZ748)&gt;1,1,0))</f>
        <v/>
      </c>
    </row>
    <row r="749">
      <c r="AR749" s="31">
        <f>IF(OR($A$5="",$B$6="",ROW()&lt;$A$5),"",IF(INDEX($A:$AP,ROW(),$B$6)="","",INDEX($A:$AP,ROW(),$B$6)))</f>
        <v/>
      </c>
      <c r="AS749" s="32">
        <f>IF($AR749="","",IF(ISNUMBER($AR749),IF($AR749&gt;=10000000,IFERROR(DATE(INT($AR749/10000),MOD(INT($AR749/100),100),MOD($AR749,100)),""),INT($AR749)),IFERROR(DATE(--LEFT(LEFT(SUBSTITUTE(SUBSTITUTE(SUBSTITUTE(SUBSTITUTE(TRIM($AR749),"-",""),".",""),"/","")," ",""),8),4),--MID(LEFT(SUBSTITUTE(SUBSTITUTE(SUBSTITUTE(SUBSTITUTE(TRIM($AR749),"-",""),".",""),"/","")," ",""),8),5,2),--MID(LEFT(SUBSTITUTE(SUBSTITUTE(SUBSTITUTE(SUBSTITUTE(TRIM($AR749),"-",""),".",""),"/","")," ",""),8),7,2)),"")))</f>
        <v/>
      </c>
      <c r="AT749" s="33">
        <f>IF($AS749="","",IF($F$6="",0,IF(ISNUMBER(INDEX($A:$AP,ROW(),$F$6)),INDEX($A:$AP,ROW(),$F$6),IFERROR(--SUBSTITUTE(SUBSTITUTE(TRIM(INDEX($A:$AP,ROW(),$F$6)),",",""),"원",""),0))))</f>
        <v/>
      </c>
      <c r="AU749" s="31">
        <f>IF($AS749="","",IF($AX749&lt;&gt;"",SUBSTITUTE(SUBSTITUTE($AX749,"-","")," ",""),"N:"&amp;$AV749))</f>
        <v/>
      </c>
      <c r="AV749" s="31">
        <f>IF(OR($AS749="",$E$6=""),"",TRIM(INDEX($A:$AP,ROW(),$E$6)&amp;""))</f>
        <v/>
      </c>
      <c r="AW749" s="31">
        <f>IF($AU749="","",IF(MATCH($AU749,$AU$8:$AU$2007,0)=ROW()-7,MAX($AW$7:$AW748)+1,""))</f>
        <v/>
      </c>
      <c r="AX749" s="31">
        <f>IF(OR($AS749="",$D$6=""),"",TRIM(INDEX($A:$AP,ROW(),$D$6)&amp;""))</f>
        <v/>
      </c>
      <c r="AY749" s="31">
        <f>IF($AU749="","",INDEX($AW$8:$AW$2007,MATCH($AU749,$AU$8:$AU$2007,0)))</f>
        <v/>
      </c>
      <c r="AZ749" s="31">
        <f>IF(OR($AS749="",$C$6=""),"",TRIM(INDEX($A:$AP,ROW(),$C$6)&amp;""))</f>
        <v/>
      </c>
      <c r="BA749" s="31">
        <f>IF($AZ749="","",IF(COUNTIF($AZ$8:$AZ749,$AZ749)&gt;1,1,0))</f>
        <v/>
      </c>
    </row>
    <row r="750">
      <c r="AR750" s="31">
        <f>IF(OR($A$5="",$B$6="",ROW()&lt;$A$5),"",IF(INDEX($A:$AP,ROW(),$B$6)="","",INDEX($A:$AP,ROW(),$B$6)))</f>
        <v/>
      </c>
      <c r="AS750" s="32">
        <f>IF($AR750="","",IF(ISNUMBER($AR750),IF($AR750&gt;=10000000,IFERROR(DATE(INT($AR750/10000),MOD(INT($AR750/100),100),MOD($AR750,100)),""),INT($AR750)),IFERROR(DATE(--LEFT(LEFT(SUBSTITUTE(SUBSTITUTE(SUBSTITUTE(SUBSTITUTE(TRIM($AR750),"-",""),".",""),"/","")," ",""),8),4),--MID(LEFT(SUBSTITUTE(SUBSTITUTE(SUBSTITUTE(SUBSTITUTE(TRIM($AR750),"-",""),".",""),"/","")," ",""),8),5,2),--MID(LEFT(SUBSTITUTE(SUBSTITUTE(SUBSTITUTE(SUBSTITUTE(TRIM($AR750),"-",""),".",""),"/","")," ",""),8),7,2)),"")))</f>
        <v/>
      </c>
      <c r="AT750" s="33">
        <f>IF($AS750="","",IF($F$6="",0,IF(ISNUMBER(INDEX($A:$AP,ROW(),$F$6)),INDEX($A:$AP,ROW(),$F$6),IFERROR(--SUBSTITUTE(SUBSTITUTE(TRIM(INDEX($A:$AP,ROW(),$F$6)),",",""),"원",""),0))))</f>
        <v/>
      </c>
      <c r="AU750" s="31">
        <f>IF($AS750="","",IF($AX750&lt;&gt;"",SUBSTITUTE(SUBSTITUTE($AX750,"-","")," ",""),"N:"&amp;$AV750))</f>
        <v/>
      </c>
      <c r="AV750" s="31">
        <f>IF(OR($AS750="",$E$6=""),"",TRIM(INDEX($A:$AP,ROW(),$E$6)&amp;""))</f>
        <v/>
      </c>
      <c r="AW750" s="31">
        <f>IF($AU750="","",IF(MATCH($AU750,$AU$8:$AU$2007,0)=ROW()-7,MAX($AW$7:$AW749)+1,""))</f>
        <v/>
      </c>
      <c r="AX750" s="31">
        <f>IF(OR($AS750="",$D$6=""),"",TRIM(INDEX($A:$AP,ROW(),$D$6)&amp;""))</f>
        <v/>
      </c>
      <c r="AY750" s="31">
        <f>IF($AU750="","",INDEX($AW$8:$AW$2007,MATCH($AU750,$AU$8:$AU$2007,0)))</f>
        <v/>
      </c>
      <c r="AZ750" s="31">
        <f>IF(OR($AS750="",$C$6=""),"",TRIM(INDEX($A:$AP,ROW(),$C$6)&amp;""))</f>
        <v/>
      </c>
      <c r="BA750" s="31">
        <f>IF($AZ750="","",IF(COUNTIF($AZ$8:$AZ750,$AZ750)&gt;1,1,0))</f>
        <v/>
      </c>
    </row>
    <row r="751">
      <c r="AR751" s="31">
        <f>IF(OR($A$5="",$B$6="",ROW()&lt;$A$5),"",IF(INDEX($A:$AP,ROW(),$B$6)="","",INDEX($A:$AP,ROW(),$B$6)))</f>
        <v/>
      </c>
      <c r="AS751" s="32">
        <f>IF($AR751="","",IF(ISNUMBER($AR751),IF($AR751&gt;=10000000,IFERROR(DATE(INT($AR751/10000),MOD(INT($AR751/100),100),MOD($AR751,100)),""),INT($AR751)),IFERROR(DATE(--LEFT(LEFT(SUBSTITUTE(SUBSTITUTE(SUBSTITUTE(SUBSTITUTE(TRIM($AR751),"-",""),".",""),"/","")," ",""),8),4),--MID(LEFT(SUBSTITUTE(SUBSTITUTE(SUBSTITUTE(SUBSTITUTE(TRIM($AR751),"-",""),".",""),"/","")," ",""),8),5,2),--MID(LEFT(SUBSTITUTE(SUBSTITUTE(SUBSTITUTE(SUBSTITUTE(TRIM($AR751),"-",""),".",""),"/","")," ",""),8),7,2)),"")))</f>
        <v/>
      </c>
      <c r="AT751" s="33">
        <f>IF($AS751="","",IF($F$6="",0,IF(ISNUMBER(INDEX($A:$AP,ROW(),$F$6)),INDEX($A:$AP,ROW(),$F$6),IFERROR(--SUBSTITUTE(SUBSTITUTE(TRIM(INDEX($A:$AP,ROW(),$F$6)),",",""),"원",""),0))))</f>
        <v/>
      </c>
      <c r="AU751" s="31">
        <f>IF($AS751="","",IF($AX751&lt;&gt;"",SUBSTITUTE(SUBSTITUTE($AX751,"-","")," ",""),"N:"&amp;$AV751))</f>
        <v/>
      </c>
      <c r="AV751" s="31">
        <f>IF(OR($AS751="",$E$6=""),"",TRIM(INDEX($A:$AP,ROW(),$E$6)&amp;""))</f>
        <v/>
      </c>
      <c r="AW751" s="31">
        <f>IF($AU751="","",IF(MATCH($AU751,$AU$8:$AU$2007,0)=ROW()-7,MAX($AW$7:$AW750)+1,""))</f>
        <v/>
      </c>
      <c r="AX751" s="31">
        <f>IF(OR($AS751="",$D$6=""),"",TRIM(INDEX($A:$AP,ROW(),$D$6)&amp;""))</f>
        <v/>
      </c>
      <c r="AY751" s="31">
        <f>IF($AU751="","",INDEX($AW$8:$AW$2007,MATCH($AU751,$AU$8:$AU$2007,0)))</f>
        <v/>
      </c>
      <c r="AZ751" s="31">
        <f>IF(OR($AS751="",$C$6=""),"",TRIM(INDEX($A:$AP,ROW(),$C$6)&amp;""))</f>
        <v/>
      </c>
      <c r="BA751" s="31">
        <f>IF($AZ751="","",IF(COUNTIF($AZ$8:$AZ751,$AZ751)&gt;1,1,0))</f>
        <v/>
      </c>
    </row>
    <row r="752">
      <c r="AR752" s="31">
        <f>IF(OR($A$5="",$B$6="",ROW()&lt;$A$5),"",IF(INDEX($A:$AP,ROW(),$B$6)="","",INDEX($A:$AP,ROW(),$B$6)))</f>
        <v/>
      </c>
      <c r="AS752" s="32">
        <f>IF($AR752="","",IF(ISNUMBER($AR752),IF($AR752&gt;=10000000,IFERROR(DATE(INT($AR752/10000),MOD(INT($AR752/100),100),MOD($AR752,100)),""),INT($AR752)),IFERROR(DATE(--LEFT(LEFT(SUBSTITUTE(SUBSTITUTE(SUBSTITUTE(SUBSTITUTE(TRIM($AR752),"-",""),".",""),"/","")," ",""),8),4),--MID(LEFT(SUBSTITUTE(SUBSTITUTE(SUBSTITUTE(SUBSTITUTE(TRIM($AR752),"-",""),".",""),"/","")," ",""),8),5,2),--MID(LEFT(SUBSTITUTE(SUBSTITUTE(SUBSTITUTE(SUBSTITUTE(TRIM($AR752),"-",""),".",""),"/","")," ",""),8),7,2)),"")))</f>
        <v/>
      </c>
      <c r="AT752" s="33">
        <f>IF($AS752="","",IF($F$6="",0,IF(ISNUMBER(INDEX($A:$AP,ROW(),$F$6)),INDEX($A:$AP,ROW(),$F$6),IFERROR(--SUBSTITUTE(SUBSTITUTE(TRIM(INDEX($A:$AP,ROW(),$F$6)),",",""),"원",""),0))))</f>
        <v/>
      </c>
      <c r="AU752" s="31">
        <f>IF($AS752="","",IF($AX752&lt;&gt;"",SUBSTITUTE(SUBSTITUTE($AX752,"-","")," ",""),"N:"&amp;$AV752))</f>
        <v/>
      </c>
      <c r="AV752" s="31">
        <f>IF(OR($AS752="",$E$6=""),"",TRIM(INDEX($A:$AP,ROW(),$E$6)&amp;""))</f>
        <v/>
      </c>
      <c r="AW752" s="31">
        <f>IF($AU752="","",IF(MATCH($AU752,$AU$8:$AU$2007,0)=ROW()-7,MAX($AW$7:$AW751)+1,""))</f>
        <v/>
      </c>
      <c r="AX752" s="31">
        <f>IF(OR($AS752="",$D$6=""),"",TRIM(INDEX($A:$AP,ROW(),$D$6)&amp;""))</f>
        <v/>
      </c>
      <c r="AY752" s="31">
        <f>IF($AU752="","",INDEX($AW$8:$AW$2007,MATCH($AU752,$AU$8:$AU$2007,0)))</f>
        <v/>
      </c>
      <c r="AZ752" s="31">
        <f>IF(OR($AS752="",$C$6=""),"",TRIM(INDEX($A:$AP,ROW(),$C$6)&amp;""))</f>
        <v/>
      </c>
      <c r="BA752" s="31">
        <f>IF($AZ752="","",IF(COUNTIF($AZ$8:$AZ752,$AZ752)&gt;1,1,0))</f>
        <v/>
      </c>
    </row>
    <row r="753">
      <c r="AR753" s="31">
        <f>IF(OR($A$5="",$B$6="",ROW()&lt;$A$5),"",IF(INDEX($A:$AP,ROW(),$B$6)="","",INDEX($A:$AP,ROW(),$B$6)))</f>
        <v/>
      </c>
      <c r="AS753" s="32">
        <f>IF($AR753="","",IF(ISNUMBER($AR753),IF($AR753&gt;=10000000,IFERROR(DATE(INT($AR753/10000),MOD(INT($AR753/100),100),MOD($AR753,100)),""),INT($AR753)),IFERROR(DATE(--LEFT(LEFT(SUBSTITUTE(SUBSTITUTE(SUBSTITUTE(SUBSTITUTE(TRIM($AR753),"-",""),".",""),"/","")," ",""),8),4),--MID(LEFT(SUBSTITUTE(SUBSTITUTE(SUBSTITUTE(SUBSTITUTE(TRIM($AR753),"-",""),".",""),"/","")," ",""),8),5,2),--MID(LEFT(SUBSTITUTE(SUBSTITUTE(SUBSTITUTE(SUBSTITUTE(TRIM($AR753),"-",""),".",""),"/","")," ",""),8),7,2)),"")))</f>
        <v/>
      </c>
      <c r="AT753" s="33">
        <f>IF($AS753="","",IF($F$6="",0,IF(ISNUMBER(INDEX($A:$AP,ROW(),$F$6)),INDEX($A:$AP,ROW(),$F$6),IFERROR(--SUBSTITUTE(SUBSTITUTE(TRIM(INDEX($A:$AP,ROW(),$F$6)),",",""),"원",""),0))))</f>
        <v/>
      </c>
      <c r="AU753" s="31">
        <f>IF($AS753="","",IF($AX753&lt;&gt;"",SUBSTITUTE(SUBSTITUTE($AX753,"-","")," ",""),"N:"&amp;$AV753))</f>
        <v/>
      </c>
      <c r="AV753" s="31">
        <f>IF(OR($AS753="",$E$6=""),"",TRIM(INDEX($A:$AP,ROW(),$E$6)&amp;""))</f>
        <v/>
      </c>
      <c r="AW753" s="31">
        <f>IF($AU753="","",IF(MATCH($AU753,$AU$8:$AU$2007,0)=ROW()-7,MAX($AW$7:$AW752)+1,""))</f>
        <v/>
      </c>
      <c r="AX753" s="31">
        <f>IF(OR($AS753="",$D$6=""),"",TRIM(INDEX($A:$AP,ROW(),$D$6)&amp;""))</f>
        <v/>
      </c>
      <c r="AY753" s="31">
        <f>IF($AU753="","",INDEX($AW$8:$AW$2007,MATCH($AU753,$AU$8:$AU$2007,0)))</f>
        <v/>
      </c>
      <c r="AZ753" s="31">
        <f>IF(OR($AS753="",$C$6=""),"",TRIM(INDEX($A:$AP,ROW(),$C$6)&amp;""))</f>
        <v/>
      </c>
      <c r="BA753" s="31">
        <f>IF($AZ753="","",IF(COUNTIF($AZ$8:$AZ753,$AZ753)&gt;1,1,0))</f>
        <v/>
      </c>
    </row>
    <row r="754">
      <c r="AR754" s="31">
        <f>IF(OR($A$5="",$B$6="",ROW()&lt;$A$5),"",IF(INDEX($A:$AP,ROW(),$B$6)="","",INDEX($A:$AP,ROW(),$B$6)))</f>
        <v/>
      </c>
      <c r="AS754" s="32">
        <f>IF($AR754="","",IF(ISNUMBER($AR754),IF($AR754&gt;=10000000,IFERROR(DATE(INT($AR754/10000),MOD(INT($AR754/100),100),MOD($AR754,100)),""),INT($AR754)),IFERROR(DATE(--LEFT(LEFT(SUBSTITUTE(SUBSTITUTE(SUBSTITUTE(SUBSTITUTE(TRIM($AR754),"-",""),".",""),"/","")," ",""),8),4),--MID(LEFT(SUBSTITUTE(SUBSTITUTE(SUBSTITUTE(SUBSTITUTE(TRIM($AR754),"-",""),".",""),"/","")," ",""),8),5,2),--MID(LEFT(SUBSTITUTE(SUBSTITUTE(SUBSTITUTE(SUBSTITUTE(TRIM($AR754),"-",""),".",""),"/","")," ",""),8),7,2)),"")))</f>
        <v/>
      </c>
      <c r="AT754" s="33">
        <f>IF($AS754="","",IF($F$6="",0,IF(ISNUMBER(INDEX($A:$AP,ROW(),$F$6)),INDEX($A:$AP,ROW(),$F$6),IFERROR(--SUBSTITUTE(SUBSTITUTE(TRIM(INDEX($A:$AP,ROW(),$F$6)),",",""),"원",""),0))))</f>
        <v/>
      </c>
      <c r="AU754" s="31">
        <f>IF($AS754="","",IF($AX754&lt;&gt;"",SUBSTITUTE(SUBSTITUTE($AX754,"-","")," ",""),"N:"&amp;$AV754))</f>
        <v/>
      </c>
      <c r="AV754" s="31">
        <f>IF(OR($AS754="",$E$6=""),"",TRIM(INDEX($A:$AP,ROW(),$E$6)&amp;""))</f>
        <v/>
      </c>
      <c r="AW754" s="31">
        <f>IF($AU754="","",IF(MATCH($AU754,$AU$8:$AU$2007,0)=ROW()-7,MAX($AW$7:$AW753)+1,""))</f>
        <v/>
      </c>
      <c r="AX754" s="31">
        <f>IF(OR($AS754="",$D$6=""),"",TRIM(INDEX($A:$AP,ROW(),$D$6)&amp;""))</f>
        <v/>
      </c>
      <c r="AY754" s="31">
        <f>IF($AU754="","",INDEX($AW$8:$AW$2007,MATCH($AU754,$AU$8:$AU$2007,0)))</f>
        <v/>
      </c>
      <c r="AZ754" s="31">
        <f>IF(OR($AS754="",$C$6=""),"",TRIM(INDEX($A:$AP,ROW(),$C$6)&amp;""))</f>
        <v/>
      </c>
      <c r="BA754" s="31">
        <f>IF($AZ754="","",IF(COUNTIF($AZ$8:$AZ754,$AZ754)&gt;1,1,0))</f>
        <v/>
      </c>
    </row>
    <row r="755">
      <c r="AR755" s="31">
        <f>IF(OR($A$5="",$B$6="",ROW()&lt;$A$5),"",IF(INDEX($A:$AP,ROW(),$B$6)="","",INDEX($A:$AP,ROW(),$B$6)))</f>
        <v/>
      </c>
      <c r="AS755" s="32">
        <f>IF($AR755="","",IF(ISNUMBER($AR755),IF($AR755&gt;=10000000,IFERROR(DATE(INT($AR755/10000),MOD(INT($AR755/100),100),MOD($AR755,100)),""),INT($AR755)),IFERROR(DATE(--LEFT(LEFT(SUBSTITUTE(SUBSTITUTE(SUBSTITUTE(SUBSTITUTE(TRIM($AR755),"-",""),".",""),"/","")," ",""),8),4),--MID(LEFT(SUBSTITUTE(SUBSTITUTE(SUBSTITUTE(SUBSTITUTE(TRIM($AR755),"-",""),".",""),"/","")," ",""),8),5,2),--MID(LEFT(SUBSTITUTE(SUBSTITUTE(SUBSTITUTE(SUBSTITUTE(TRIM($AR755),"-",""),".",""),"/","")," ",""),8),7,2)),"")))</f>
        <v/>
      </c>
      <c r="AT755" s="33">
        <f>IF($AS755="","",IF($F$6="",0,IF(ISNUMBER(INDEX($A:$AP,ROW(),$F$6)),INDEX($A:$AP,ROW(),$F$6),IFERROR(--SUBSTITUTE(SUBSTITUTE(TRIM(INDEX($A:$AP,ROW(),$F$6)),",",""),"원",""),0))))</f>
        <v/>
      </c>
      <c r="AU755" s="31">
        <f>IF($AS755="","",IF($AX755&lt;&gt;"",SUBSTITUTE(SUBSTITUTE($AX755,"-","")," ",""),"N:"&amp;$AV755))</f>
        <v/>
      </c>
      <c r="AV755" s="31">
        <f>IF(OR($AS755="",$E$6=""),"",TRIM(INDEX($A:$AP,ROW(),$E$6)&amp;""))</f>
        <v/>
      </c>
      <c r="AW755" s="31">
        <f>IF($AU755="","",IF(MATCH($AU755,$AU$8:$AU$2007,0)=ROW()-7,MAX($AW$7:$AW754)+1,""))</f>
        <v/>
      </c>
      <c r="AX755" s="31">
        <f>IF(OR($AS755="",$D$6=""),"",TRIM(INDEX($A:$AP,ROW(),$D$6)&amp;""))</f>
        <v/>
      </c>
      <c r="AY755" s="31">
        <f>IF($AU755="","",INDEX($AW$8:$AW$2007,MATCH($AU755,$AU$8:$AU$2007,0)))</f>
        <v/>
      </c>
      <c r="AZ755" s="31">
        <f>IF(OR($AS755="",$C$6=""),"",TRIM(INDEX($A:$AP,ROW(),$C$6)&amp;""))</f>
        <v/>
      </c>
      <c r="BA755" s="31">
        <f>IF($AZ755="","",IF(COUNTIF($AZ$8:$AZ755,$AZ755)&gt;1,1,0))</f>
        <v/>
      </c>
    </row>
    <row r="756">
      <c r="AR756" s="31">
        <f>IF(OR($A$5="",$B$6="",ROW()&lt;$A$5),"",IF(INDEX($A:$AP,ROW(),$B$6)="","",INDEX($A:$AP,ROW(),$B$6)))</f>
        <v/>
      </c>
      <c r="AS756" s="32">
        <f>IF($AR756="","",IF(ISNUMBER($AR756),IF($AR756&gt;=10000000,IFERROR(DATE(INT($AR756/10000),MOD(INT($AR756/100),100),MOD($AR756,100)),""),INT($AR756)),IFERROR(DATE(--LEFT(LEFT(SUBSTITUTE(SUBSTITUTE(SUBSTITUTE(SUBSTITUTE(TRIM($AR756),"-",""),".",""),"/","")," ",""),8),4),--MID(LEFT(SUBSTITUTE(SUBSTITUTE(SUBSTITUTE(SUBSTITUTE(TRIM($AR756),"-",""),".",""),"/","")," ",""),8),5,2),--MID(LEFT(SUBSTITUTE(SUBSTITUTE(SUBSTITUTE(SUBSTITUTE(TRIM($AR756),"-",""),".",""),"/","")," ",""),8),7,2)),"")))</f>
        <v/>
      </c>
      <c r="AT756" s="33">
        <f>IF($AS756="","",IF($F$6="",0,IF(ISNUMBER(INDEX($A:$AP,ROW(),$F$6)),INDEX($A:$AP,ROW(),$F$6),IFERROR(--SUBSTITUTE(SUBSTITUTE(TRIM(INDEX($A:$AP,ROW(),$F$6)),",",""),"원",""),0))))</f>
        <v/>
      </c>
      <c r="AU756" s="31">
        <f>IF($AS756="","",IF($AX756&lt;&gt;"",SUBSTITUTE(SUBSTITUTE($AX756,"-","")," ",""),"N:"&amp;$AV756))</f>
        <v/>
      </c>
      <c r="AV756" s="31">
        <f>IF(OR($AS756="",$E$6=""),"",TRIM(INDEX($A:$AP,ROW(),$E$6)&amp;""))</f>
        <v/>
      </c>
      <c r="AW756" s="31">
        <f>IF($AU756="","",IF(MATCH($AU756,$AU$8:$AU$2007,0)=ROW()-7,MAX($AW$7:$AW755)+1,""))</f>
        <v/>
      </c>
      <c r="AX756" s="31">
        <f>IF(OR($AS756="",$D$6=""),"",TRIM(INDEX($A:$AP,ROW(),$D$6)&amp;""))</f>
        <v/>
      </c>
      <c r="AY756" s="31">
        <f>IF($AU756="","",INDEX($AW$8:$AW$2007,MATCH($AU756,$AU$8:$AU$2007,0)))</f>
        <v/>
      </c>
      <c r="AZ756" s="31">
        <f>IF(OR($AS756="",$C$6=""),"",TRIM(INDEX($A:$AP,ROW(),$C$6)&amp;""))</f>
        <v/>
      </c>
      <c r="BA756" s="31">
        <f>IF($AZ756="","",IF(COUNTIF($AZ$8:$AZ756,$AZ756)&gt;1,1,0))</f>
        <v/>
      </c>
    </row>
    <row r="757">
      <c r="AR757" s="31">
        <f>IF(OR($A$5="",$B$6="",ROW()&lt;$A$5),"",IF(INDEX($A:$AP,ROW(),$B$6)="","",INDEX($A:$AP,ROW(),$B$6)))</f>
        <v/>
      </c>
      <c r="AS757" s="32">
        <f>IF($AR757="","",IF(ISNUMBER($AR757),IF($AR757&gt;=10000000,IFERROR(DATE(INT($AR757/10000),MOD(INT($AR757/100),100),MOD($AR757,100)),""),INT($AR757)),IFERROR(DATE(--LEFT(LEFT(SUBSTITUTE(SUBSTITUTE(SUBSTITUTE(SUBSTITUTE(TRIM($AR757),"-",""),".",""),"/","")," ",""),8),4),--MID(LEFT(SUBSTITUTE(SUBSTITUTE(SUBSTITUTE(SUBSTITUTE(TRIM($AR757),"-",""),".",""),"/","")," ",""),8),5,2),--MID(LEFT(SUBSTITUTE(SUBSTITUTE(SUBSTITUTE(SUBSTITUTE(TRIM($AR757),"-",""),".",""),"/","")," ",""),8),7,2)),"")))</f>
        <v/>
      </c>
      <c r="AT757" s="33">
        <f>IF($AS757="","",IF($F$6="",0,IF(ISNUMBER(INDEX($A:$AP,ROW(),$F$6)),INDEX($A:$AP,ROW(),$F$6),IFERROR(--SUBSTITUTE(SUBSTITUTE(TRIM(INDEX($A:$AP,ROW(),$F$6)),",",""),"원",""),0))))</f>
        <v/>
      </c>
      <c r="AU757" s="31">
        <f>IF($AS757="","",IF($AX757&lt;&gt;"",SUBSTITUTE(SUBSTITUTE($AX757,"-","")," ",""),"N:"&amp;$AV757))</f>
        <v/>
      </c>
      <c r="AV757" s="31">
        <f>IF(OR($AS757="",$E$6=""),"",TRIM(INDEX($A:$AP,ROW(),$E$6)&amp;""))</f>
        <v/>
      </c>
      <c r="AW757" s="31">
        <f>IF($AU757="","",IF(MATCH($AU757,$AU$8:$AU$2007,0)=ROW()-7,MAX($AW$7:$AW756)+1,""))</f>
        <v/>
      </c>
      <c r="AX757" s="31">
        <f>IF(OR($AS757="",$D$6=""),"",TRIM(INDEX($A:$AP,ROW(),$D$6)&amp;""))</f>
        <v/>
      </c>
      <c r="AY757" s="31">
        <f>IF($AU757="","",INDEX($AW$8:$AW$2007,MATCH($AU757,$AU$8:$AU$2007,0)))</f>
        <v/>
      </c>
      <c r="AZ757" s="31">
        <f>IF(OR($AS757="",$C$6=""),"",TRIM(INDEX($A:$AP,ROW(),$C$6)&amp;""))</f>
        <v/>
      </c>
      <c r="BA757" s="31">
        <f>IF($AZ757="","",IF(COUNTIF($AZ$8:$AZ757,$AZ757)&gt;1,1,0))</f>
        <v/>
      </c>
    </row>
    <row r="758">
      <c r="AR758" s="31">
        <f>IF(OR($A$5="",$B$6="",ROW()&lt;$A$5),"",IF(INDEX($A:$AP,ROW(),$B$6)="","",INDEX($A:$AP,ROW(),$B$6)))</f>
        <v/>
      </c>
      <c r="AS758" s="32">
        <f>IF($AR758="","",IF(ISNUMBER($AR758),IF($AR758&gt;=10000000,IFERROR(DATE(INT($AR758/10000),MOD(INT($AR758/100),100),MOD($AR758,100)),""),INT($AR758)),IFERROR(DATE(--LEFT(LEFT(SUBSTITUTE(SUBSTITUTE(SUBSTITUTE(SUBSTITUTE(TRIM($AR758),"-",""),".",""),"/","")," ",""),8),4),--MID(LEFT(SUBSTITUTE(SUBSTITUTE(SUBSTITUTE(SUBSTITUTE(TRIM($AR758),"-",""),".",""),"/","")," ",""),8),5,2),--MID(LEFT(SUBSTITUTE(SUBSTITUTE(SUBSTITUTE(SUBSTITUTE(TRIM($AR758),"-",""),".",""),"/","")," ",""),8),7,2)),"")))</f>
        <v/>
      </c>
      <c r="AT758" s="33">
        <f>IF($AS758="","",IF($F$6="",0,IF(ISNUMBER(INDEX($A:$AP,ROW(),$F$6)),INDEX($A:$AP,ROW(),$F$6),IFERROR(--SUBSTITUTE(SUBSTITUTE(TRIM(INDEX($A:$AP,ROW(),$F$6)),",",""),"원",""),0))))</f>
        <v/>
      </c>
      <c r="AU758" s="31">
        <f>IF($AS758="","",IF($AX758&lt;&gt;"",SUBSTITUTE(SUBSTITUTE($AX758,"-","")," ",""),"N:"&amp;$AV758))</f>
        <v/>
      </c>
      <c r="AV758" s="31">
        <f>IF(OR($AS758="",$E$6=""),"",TRIM(INDEX($A:$AP,ROW(),$E$6)&amp;""))</f>
        <v/>
      </c>
      <c r="AW758" s="31">
        <f>IF($AU758="","",IF(MATCH($AU758,$AU$8:$AU$2007,0)=ROW()-7,MAX($AW$7:$AW757)+1,""))</f>
        <v/>
      </c>
      <c r="AX758" s="31">
        <f>IF(OR($AS758="",$D$6=""),"",TRIM(INDEX($A:$AP,ROW(),$D$6)&amp;""))</f>
        <v/>
      </c>
      <c r="AY758" s="31">
        <f>IF($AU758="","",INDEX($AW$8:$AW$2007,MATCH($AU758,$AU$8:$AU$2007,0)))</f>
        <v/>
      </c>
      <c r="AZ758" s="31">
        <f>IF(OR($AS758="",$C$6=""),"",TRIM(INDEX($A:$AP,ROW(),$C$6)&amp;""))</f>
        <v/>
      </c>
      <c r="BA758" s="31">
        <f>IF($AZ758="","",IF(COUNTIF($AZ$8:$AZ758,$AZ758)&gt;1,1,0))</f>
        <v/>
      </c>
    </row>
    <row r="759">
      <c r="AR759" s="31">
        <f>IF(OR($A$5="",$B$6="",ROW()&lt;$A$5),"",IF(INDEX($A:$AP,ROW(),$B$6)="","",INDEX($A:$AP,ROW(),$B$6)))</f>
        <v/>
      </c>
      <c r="AS759" s="32">
        <f>IF($AR759="","",IF(ISNUMBER($AR759),IF($AR759&gt;=10000000,IFERROR(DATE(INT($AR759/10000),MOD(INT($AR759/100),100),MOD($AR759,100)),""),INT($AR759)),IFERROR(DATE(--LEFT(LEFT(SUBSTITUTE(SUBSTITUTE(SUBSTITUTE(SUBSTITUTE(TRIM($AR759),"-",""),".",""),"/","")," ",""),8),4),--MID(LEFT(SUBSTITUTE(SUBSTITUTE(SUBSTITUTE(SUBSTITUTE(TRIM($AR759),"-",""),".",""),"/","")," ",""),8),5,2),--MID(LEFT(SUBSTITUTE(SUBSTITUTE(SUBSTITUTE(SUBSTITUTE(TRIM($AR759),"-",""),".",""),"/","")," ",""),8),7,2)),"")))</f>
        <v/>
      </c>
      <c r="AT759" s="33">
        <f>IF($AS759="","",IF($F$6="",0,IF(ISNUMBER(INDEX($A:$AP,ROW(),$F$6)),INDEX($A:$AP,ROW(),$F$6),IFERROR(--SUBSTITUTE(SUBSTITUTE(TRIM(INDEX($A:$AP,ROW(),$F$6)),",",""),"원",""),0))))</f>
        <v/>
      </c>
      <c r="AU759" s="31">
        <f>IF($AS759="","",IF($AX759&lt;&gt;"",SUBSTITUTE(SUBSTITUTE($AX759,"-","")," ",""),"N:"&amp;$AV759))</f>
        <v/>
      </c>
      <c r="AV759" s="31">
        <f>IF(OR($AS759="",$E$6=""),"",TRIM(INDEX($A:$AP,ROW(),$E$6)&amp;""))</f>
        <v/>
      </c>
      <c r="AW759" s="31">
        <f>IF($AU759="","",IF(MATCH($AU759,$AU$8:$AU$2007,0)=ROW()-7,MAX($AW$7:$AW758)+1,""))</f>
        <v/>
      </c>
      <c r="AX759" s="31">
        <f>IF(OR($AS759="",$D$6=""),"",TRIM(INDEX($A:$AP,ROW(),$D$6)&amp;""))</f>
        <v/>
      </c>
      <c r="AY759" s="31">
        <f>IF($AU759="","",INDEX($AW$8:$AW$2007,MATCH($AU759,$AU$8:$AU$2007,0)))</f>
        <v/>
      </c>
      <c r="AZ759" s="31">
        <f>IF(OR($AS759="",$C$6=""),"",TRIM(INDEX($A:$AP,ROW(),$C$6)&amp;""))</f>
        <v/>
      </c>
      <c r="BA759" s="31">
        <f>IF($AZ759="","",IF(COUNTIF($AZ$8:$AZ759,$AZ759)&gt;1,1,0))</f>
        <v/>
      </c>
    </row>
    <row r="760">
      <c r="AR760" s="31">
        <f>IF(OR($A$5="",$B$6="",ROW()&lt;$A$5),"",IF(INDEX($A:$AP,ROW(),$B$6)="","",INDEX($A:$AP,ROW(),$B$6)))</f>
        <v/>
      </c>
      <c r="AS760" s="32">
        <f>IF($AR760="","",IF(ISNUMBER($AR760),IF($AR760&gt;=10000000,IFERROR(DATE(INT($AR760/10000),MOD(INT($AR760/100),100),MOD($AR760,100)),""),INT($AR760)),IFERROR(DATE(--LEFT(LEFT(SUBSTITUTE(SUBSTITUTE(SUBSTITUTE(SUBSTITUTE(TRIM($AR760),"-",""),".",""),"/","")," ",""),8),4),--MID(LEFT(SUBSTITUTE(SUBSTITUTE(SUBSTITUTE(SUBSTITUTE(TRIM($AR760),"-",""),".",""),"/","")," ",""),8),5,2),--MID(LEFT(SUBSTITUTE(SUBSTITUTE(SUBSTITUTE(SUBSTITUTE(TRIM($AR760),"-",""),".",""),"/","")," ",""),8),7,2)),"")))</f>
        <v/>
      </c>
      <c r="AT760" s="33">
        <f>IF($AS760="","",IF($F$6="",0,IF(ISNUMBER(INDEX($A:$AP,ROW(),$F$6)),INDEX($A:$AP,ROW(),$F$6),IFERROR(--SUBSTITUTE(SUBSTITUTE(TRIM(INDEX($A:$AP,ROW(),$F$6)),",",""),"원",""),0))))</f>
        <v/>
      </c>
      <c r="AU760" s="31">
        <f>IF($AS760="","",IF($AX760&lt;&gt;"",SUBSTITUTE(SUBSTITUTE($AX760,"-","")," ",""),"N:"&amp;$AV760))</f>
        <v/>
      </c>
      <c r="AV760" s="31">
        <f>IF(OR($AS760="",$E$6=""),"",TRIM(INDEX($A:$AP,ROW(),$E$6)&amp;""))</f>
        <v/>
      </c>
      <c r="AW760" s="31">
        <f>IF($AU760="","",IF(MATCH($AU760,$AU$8:$AU$2007,0)=ROW()-7,MAX($AW$7:$AW759)+1,""))</f>
        <v/>
      </c>
      <c r="AX760" s="31">
        <f>IF(OR($AS760="",$D$6=""),"",TRIM(INDEX($A:$AP,ROW(),$D$6)&amp;""))</f>
        <v/>
      </c>
      <c r="AY760" s="31">
        <f>IF($AU760="","",INDEX($AW$8:$AW$2007,MATCH($AU760,$AU$8:$AU$2007,0)))</f>
        <v/>
      </c>
      <c r="AZ760" s="31">
        <f>IF(OR($AS760="",$C$6=""),"",TRIM(INDEX($A:$AP,ROW(),$C$6)&amp;""))</f>
        <v/>
      </c>
      <c r="BA760" s="31">
        <f>IF($AZ760="","",IF(COUNTIF($AZ$8:$AZ760,$AZ760)&gt;1,1,0))</f>
        <v/>
      </c>
    </row>
    <row r="761">
      <c r="AR761" s="31">
        <f>IF(OR($A$5="",$B$6="",ROW()&lt;$A$5),"",IF(INDEX($A:$AP,ROW(),$B$6)="","",INDEX($A:$AP,ROW(),$B$6)))</f>
        <v/>
      </c>
      <c r="AS761" s="32">
        <f>IF($AR761="","",IF(ISNUMBER($AR761),IF($AR761&gt;=10000000,IFERROR(DATE(INT($AR761/10000),MOD(INT($AR761/100),100),MOD($AR761,100)),""),INT($AR761)),IFERROR(DATE(--LEFT(LEFT(SUBSTITUTE(SUBSTITUTE(SUBSTITUTE(SUBSTITUTE(TRIM($AR761),"-",""),".",""),"/","")," ",""),8),4),--MID(LEFT(SUBSTITUTE(SUBSTITUTE(SUBSTITUTE(SUBSTITUTE(TRIM($AR761),"-",""),".",""),"/","")," ",""),8),5,2),--MID(LEFT(SUBSTITUTE(SUBSTITUTE(SUBSTITUTE(SUBSTITUTE(TRIM($AR761),"-",""),".",""),"/","")," ",""),8),7,2)),"")))</f>
        <v/>
      </c>
      <c r="AT761" s="33">
        <f>IF($AS761="","",IF($F$6="",0,IF(ISNUMBER(INDEX($A:$AP,ROW(),$F$6)),INDEX($A:$AP,ROW(),$F$6),IFERROR(--SUBSTITUTE(SUBSTITUTE(TRIM(INDEX($A:$AP,ROW(),$F$6)),",",""),"원",""),0))))</f>
        <v/>
      </c>
      <c r="AU761" s="31">
        <f>IF($AS761="","",IF($AX761&lt;&gt;"",SUBSTITUTE(SUBSTITUTE($AX761,"-","")," ",""),"N:"&amp;$AV761))</f>
        <v/>
      </c>
      <c r="AV761" s="31">
        <f>IF(OR($AS761="",$E$6=""),"",TRIM(INDEX($A:$AP,ROW(),$E$6)&amp;""))</f>
        <v/>
      </c>
      <c r="AW761" s="31">
        <f>IF($AU761="","",IF(MATCH($AU761,$AU$8:$AU$2007,0)=ROW()-7,MAX($AW$7:$AW760)+1,""))</f>
        <v/>
      </c>
      <c r="AX761" s="31">
        <f>IF(OR($AS761="",$D$6=""),"",TRIM(INDEX($A:$AP,ROW(),$D$6)&amp;""))</f>
        <v/>
      </c>
      <c r="AY761" s="31">
        <f>IF($AU761="","",INDEX($AW$8:$AW$2007,MATCH($AU761,$AU$8:$AU$2007,0)))</f>
        <v/>
      </c>
      <c r="AZ761" s="31">
        <f>IF(OR($AS761="",$C$6=""),"",TRIM(INDEX($A:$AP,ROW(),$C$6)&amp;""))</f>
        <v/>
      </c>
      <c r="BA761" s="31">
        <f>IF($AZ761="","",IF(COUNTIF($AZ$8:$AZ761,$AZ761)&gt;1,1,0))</f>
        <v/>
      </c>
    </row>
    <row r="762">
      <c r="AR762" s="31">
        <f>IF(OR($A$5="",$B$6="",ROW()&lt;$A$5),"",IF(INDEX($A:$AP,ROW(),$B$6)="","",INDEX($A:$AP,ROW(),$B$6)))</f>
        <v/>
      </c>
      <c r="AS762" s="32">
        <f>IF($AR762="","",IF(ISNUMBER($AR762),IF($AR762&gt;=10000000,IFERROR(DATE(INT($AR762/10000),MOD(INT($AR762/100),100),MOD($AR762,100)),""),INT($AR762)),IFERROR(DATE(--LEFT(LEFT(SUBSTITUTE(SUBSTITUTE(SUBSTITUTE(SUBSTITUTE(TRIM($AR762),"-",""),".",""),"/","")," ",""),8),4),--MID(LEFT(SUBSTITUTE(SUBSTITUTE(SUBSTITUTE(SUBSTITUTE(TRIM($AR762),"-",""),".",""),"/","")," ",""),8),5,2),--MID(LEFT(SUBSTITUTE(SUBSTITUTE(SUBSTITUTE(SUBSTITUTE(TRIM($AR762),"-",""),".",""),"/","")," ",""),8),7,2)),"")))</f>
        <v/>
      </c>
      <c r="AT762" s="33">
        <f>IF($AS762="","",IF($F$6="",0,IF(ISNUMBER(INDEX($A:$AP,ROW(),$F$6)),INDEX($A:$AP,ROW(),$F$6),IFERROR(--SUBSTITUTE(SUBSTITUTE(TRIM(INDEX($A:$AP,ROW(),$F$6)),",",""),"원",""),0))))</f>
        <v/>
      </c>
      <c r="AU762" s="31">
        <f>IF($AS762="","",IF($AX762&lt;&gt;"",SUBSTITUTE(SUBSTITUTE($AX762,"-","")," ",""),"N:"&amp;$AV762))</f>
        <v/>
      </c>
      <c r="AV762" s="31">
        <f>IF(OR($AS762="",$E$6=""),"",TRIM(INDEX($A:$AP,ROW(),$E$6)&amp;""))</f>
        <v/>
      </c>
      <c r="AW762" s="31">
        <f>IF($AU762="","",IF(MATCH($AU762,$AU$8:$AU$2007,0)=ROW()-7,MAX($AW$7:$AW761)+1,""))</f>
        <v/>
      </c>
      <c r="AX762" s="31">
        <f>IF(OR($AS762="",$D$6=""),"",TRIM(INDEX($A:$AP,ROW(),$D$6)&amp;""))</f>
        <v/>
      </c>
      <c r="AY762" s="31">
        <f>IF($AU762="","",INDEX($AW$8:$AW$2007,MATCH($AU762,$AU$8:$AU$2007,0)))</f>
        <v/>
      </c>
      <c r="AZ762" s="31">
        <f>IF(OR($AS762="",$C$6=""),"",TRIM(INDEX($A:$AP,ROW(),$C$6)&amp;""))</f>
        <v/>
      </c>
      <c r="BA762" s="31">
        <f>IF($AZ762="","",IF(COUNTIF($AZ$8:$AZ762,$AZ762)&gt;1,1,0))</f>
        <v/>
      </c>
    </row>
    <row r="763">
      <c r="AR763" s="31">
        <f>IF(OR($A$5="",$B$6="",ROW()&lt;$A$5),"",IF(INDEX($A:$AP,ROW(),$B$6)="","",INDEX($A:$AP,ROW(),$B$6)))</f>
        <v/>
      </c>
      <c r="AS763" s="32">
        <f>IF($AR763="","",IF(ISNUMBER($AR763),IF($AR763&gt;=10000000,IFERROR(DATE(INT($AR763/10000),MOD(INT($AR763/100),100),MOD($AR763,100)),""),INT($AR763)),IFERROR(DATE(--LEFT(LEFT(SUBSTITUTE(SUBSTITUTE(SUBSTITUTE(SUBSTITUTE(TRIM($AR763),"-",""),".",""),"/","")," ",""),8),4),--MID(LEFT(SUBSTITUTE(SUBSTITUTE(SUBSTITUTE(SUBSTITUTE(TRIM($AR763),"-",""),".",""),"/","")," ",""),8),5,2),--MID(LEFT(SUBSTITUTE(SUBSTITUTE(SUBSTITUTE(SUBSTITUTE(TRIM($AR763),"-",""),".",""),"/","")," ",""),8),7,2)),"")))</f>
        <v/>
      </c>
      <c r="AT763" s="33">
        <f>IF($AS763="","",IF($F$6="",0,IF(ISNUMBER(INDEX($A:$AP,ROW(),$F$6)),INDEX($A:$AP,ROW(),$F$6),IFERROR(--SUBSTITUTE(SUBSTITUTE(TRIM(INDEX($A:$AP,ROW(),$F$6)),",",""),"원",""),0))))</f>
        <v/>
      </c>
      <c r="AU763" s="31">
        <f>IF($AS763="","",IF($AX763&lt;&gt;"",SUBSTITUTE(SUBSTITUTE($AX763,"-","")," ",""),"N:"&amp;$AV763))</f>
        <v/>
      </c>
      <c r="AV763" s="31">
        <f>IF(OR($AS763="",$E$6=""),"",TRIM(INDEX($A:$AP,ROW(),$E$6)&amp;""))</f>
        <v/>
      </c>
      <c r="AW763" s="31">
        <f>IF($AU763="","",IF(MATCH($AU763,$AU$8:$AU$2007,0)=ROW()-7,MAX($AW$7:$AW762)+1,""))</f>
        <v/>
      </c>
      <c r="AX763" s="31">
        <f>IF(OR($AS763="",$D$6=""),"",TRIM(INDEX($A:$AP,ROW(),$D$6)&amp;""))</f>
        <v/>
      </c>
      <c r="AY763" s="31">
        <f>IF($AU763="","",INDEX($AW$8:$AW$2007,MATCH($AU763,$AU$8:$AU$2007,0)))</f>
        <v/>
      </c>
      <c r="AZ763" s="31">
        <f>IF(OR($AS763="",$C$6=""),"",TRIM(INDEX($A:$AP,ROW(),$C$6)&amp;""))</f>
        <v/>
      </c>
      <c r="BA763" s="31">
        <f>IF($AZ763="","",IF(COUNTIF($AZ$8:$AZ763,$AZ763)&gt;1,1,0))</f>
        <v/>
      </c>
    </row>
    <row r="764">
      <c r="AR764" s="31">
        <f>IF(OR($A$5="",$B$6="",ROW()&lt;$A$5),"",IF(INDEX($A:$AP,ROW(),$B$6)="","",INDEX($A:$AP,ROW(),$B$6)))</f>
        <v/>
      </c>
      <c r="AS764" s="32">
        <f>IF($AR764="","",IF(ISNUMBER($AR764),IF($AR764&gt;=10000000,IFERROR(DATE(INT($AR764/10000),MOD(INT($AR764/100),100),MOD($AR764,100)),""),INT($AR764)),IFERROR(DATE(--LEFT(LEFT(SUBSTITUTE(SUBSTITUTE(SUBSTITUTE(SUBSTITUTE(TRIM($AR764),"-",""),".",""),"/","")," ",""),8),4),--MID(LEFT(SUBSTITUTE(SUBSTITUTE(SUBSTITUTE(SUBSTITUTE(TRIM($AR764),"-",""),".",""),"/","")," ",""),8),5,2),--MID(LEFT(SUBSTITUTE(SUBSTITUTE(SUBSTITUTE(SUBSTITUTE(TRIM($AR764),"-",""),".",""),"/","")," ",""),8),7,2)),"")))</f>
        <v/>
      </c>
      <c r="AT764" s="33">
        <f>IF($AS764="","",IF($F$6="",0,IF(ISNUMBER(INDEX($A:$AP,ROW(),$F$6)),INDEX($A:$AP,ROW(),$F$6),IFERROR(--SUBSTITUTE(SUBSTITUTE(TRIM(INDEX($A:$AP,ROW(),$F$6)),",",""),"원",""),0))))</f>
        <v/>
      </c>
      <c r="AU764" s="31">
        <f>IF($AS764="","",IF($AX764&lt;&gt;"",SUBSTITUTE(SUBSTITUTE($AX764,"-","")," ",""),"N:"&amp;$AV764))</f>
        <v/>
      </c>
      <c r="AV764" s="31">
        <f>IF(OR($AS764="",$E$6=""),"",TRIM(INDEX($A:$AP,ROW(),$E$6)&amp;""))</f>
        <v/>
      </c>
      <c r="AW764" s="31">
        <f>IF($AU764="","",IF(MATCH($AU764,$AU$8:$AU$2007,0)=ROW()-7,MAX($AW$7:$AW763)+1,""))</f>
        <v/>
      </c>
      <c r="AX764" s="31">
        <f>IF(OR($AS764="",$D$6=""),"",TRIM(INDEX($A:$AP,ROW(),$D$6)&amp;""))</f>
        <v/>
      </c>
      <c r="AY764" s="31">
        <f>IF($AU764="","",INDEX($AW$8:$AW$2007,MATCH($AU764,$AU$8:$AU$2007,0)))</f>
        <v/>
      </c>
      <c r="AZ764" s="31">
        <f>IF(OR($AS764="",$C$6=""),"",TRIM(INDEX($A:$AP,ROW(),$C$6)&amp;""))</f>
        <v/>
      </c>
      <c r="BA764" s="31">
        <f>IF($AZ764="","",IF(COUNTIF($AZ$8:$AZ764,$AZ764)&gt;1,1,0))</f>
        <v/>
      </c>
    </row>
    <row r="765">
      <c r="AR765" s="31">
        <f>IF(OR($A$5="",$B$6="",ROW()&lt;$A$5),"",IF(INDEX($A:$AP,ROW(),$B$6)="","",INDEX($A:$AP,ROW(),$B$6)))</f>
        <v/>
      </c>
      <c r="AS765" s="32">
        <f>IF($AR765="","",IF(ISNUMBER($AR765),IF($AR765&gt;=10000000,IFERROR(DATE(INT($AR765/10000),MOD(INT($AR765/100),100),MOD($AR765,100)),""),INT($AR765)),IFERROR(DATE(--LEFT(LEFT(SUBSTITUTE(SUBSTITUTE(SUBSTITUTE(SUBSTITUTE(TRIM($AR765),"-",""),".",""),"/","")," ",""),8),4),--MID(LEFT(SUBSTITUTE(SUBSTITUTE(SUBSTITUTE(SUBSTITUTE(TRIM($AR765),"-",""),".",""),"/","")," ",""),8),5,2),--MID(LEFT(SUBSTITUTE(SUBSTITUTE(SUBSTITUTE(SUBSTITUTE(TRIM($AR765),"-",""),".",""),"/","")," ",""),8),7,2)),"")))</f>
        <v/>
      </c>
      <c r="AT765" s="33">
        <f>IF($AS765="","",IF($F$6="",0,IF(ISNUMBER(INDEX($A:$AP,ROW(),$F$6)),INDEX($A:$AP,ROW(),$F$6),IFERROR(--SUBSTITUTE(SUBSTITUTE(TRIM(INDEX($A:$AP,ROW(),$F$6)),",",""),"원",""),0))))</f>
        <v/>
      </c>
      <c r="AU765" s="31">
        <f>IF($AS765="","",IF($AX765&lt;&gt;"",SUBSTITUTE(SUBSTITUTE($AX765,"-","")," ",""),"N:"&amp;$AV765))</f>
        <v/>
      </c>
      <c r="AV765" s="31">
        <f>IF(OR($AS765="",$E$6=""),"",TRIM(INDEX($A:$AP,ROW(),$E$6)&amp;""))</f>
        <v/>
      </c>
      <c r="AW765" s="31">
        <f>IF($AU765="","",IF(MATCH($AU765,$AU$8:$AU$2007,0)=ROW()-7,MAX($AW$7:$AW764)+1,""))</f>
        <v/>
      </c>
      <c r="AX765" s="31">
        <f>IF(OR($AS765="",$D$6=""),"",TRIM(INDEX($A:$AP,ROW(),$D$6)&amp;""))</f>
        <v/>
      </c>
      <c r="AY765" s="31">
        <f>IF($AU765="","",INDEX($AW$8:$AW$2007,MATCH($AU765,$AU$8:$AU$2007,0)))</f>
        <v/>
      </c>
      <c r="AZ765" s="31">
        <f>IF(OR($AS765="",$C$6=""),"",TRIM(INDEX($A:$AP,ROW(),$C$6)&amp;""))</f>
        <v/>
      </c>
      <c r="BA765" s="31">
        <f>IF($AZ765="","",IF(COUNTIF($AZ$8:$AZ765,$AZ765)&gt;1,1,0))</f>
        <v/>
      </c>
    </row>
    <row r="766">
      <c r="AR766" s="31">
        <f>IF(OR($A$5="",$B$6="",ROW()&lt;$A$5),"",IF(INDEX($A:$AP,ROW(),$B$6)="","",INDEX($A:$AP,ROW(),$B$6)))</f>
        <v/>
      </c>
      <c r="AS766" s="32">
        <f>IF($AR766="","",IF(ISNUMBER($AR766),IF($AR766&gt;=10000000,IFERROR(DATE(INT($AR766/10000),MOD(INT($AR766/100),100),MOD($AR766,100)),""),INT($AR766)),IFERROR(DATE(--LEFT(LEFT(SUBSTITUTE(SUBSTITUTE(SUBSTITUTE(SUBSTITUTE(TRIM($AR766),"-",""),".",""),"/","")," ",""),8),4),--MID(LEFT(SUBSTITUTE(SUBSTITUTE(SUBSTITUTE(SUBSTITUTE(TRIM($AR766),"-",""),".",""),"/","")," ",""),8),5,2),--MID(LEFT(SUBSTITUTE(SUBSTITUTE(SUBSTITUTE(SUBSTITUTE(TRIM($AR766),"-",""),".",""),"/","")," ",""),8),7,2)),"")))</f>
        <v/>
      </c>
      <c r="AT766" s="33">
        <f>IF($AS766="","",IF($F$6="",0,IF(ISNUMBER(INDEX($A:$AP,ROW(),$F$6)),INDEX($A:$AP,ROW(),$F$6),IFERROR(--SUBSTITUTE(SUBSTITUTE(TRIM(INDEX($A:$AP,ROW(),$F$6)),",",""),"원",""),0))))</f>
        <v/>
      </c>
      <c r="AU766" s="31">
        <f>IF($AS766="","",IF($AX766&lt;&gt;"",SUBSTITUTE(SUBSTITUTE($AX766,"-","")," ",""),"N:"&amp;$AV766))</f>
        <v/>
      </c>
      <c r="AV766" s="31">
        <f>IF(OR($AS766="",$E$6=""),"",TRIM(INDEX($A:$AP,ROW(),$E$6)&amp;""))</f>
        <v/>
      </c>
      <c r="AW766" s="31">
        <f>IF($AU766="","",IF(MATCH($AU766,$AU$8:$AU$2007,0)=ROW()-7,MAX($AW$7:$AW765)+1,""))</f>
        <v/>
      </c>
      <c r="AX766" s="31">
        <f>IF(OR($AS766="",$D$6=""),"",TRIM(INDEX($A:$AP,ROW(),$D$6)&amp;""))</f>
        <v/>
      </c>
      <c r="AY766" s="31">
        <f>IF($AU766="","",INDEX($AW$8:$AW$2007,MATCH($AU766,$AU$8:$AU$2007,0)))</f>
        <v/>
      </c>
      <c r="AZ766" s="31">
        <f>IF(OR($AS766="",$C$6=""),"",TRIM(INDEX($A:$AP,ROW(),$C$6)&amp;""))</f>
        <v/>
      </c>
      <c r="BA766" s="31">
        <f>IF($AZ766="","",IF(COUNTIF($AZ$8:$AZ766,$AZ766)&gt;1,1,0))</f>
        <v/>
      </c>
    </row>
    <row r="767">
      <c r="AR767" s="31">
        <f>IF(OR($A$5="",$B$6="",ROW()&lt;$A$5),"",IF(INDEX($A:$AP,ROW(),$B$6)="","",INDEX($A:$AP,ROW(),$B$6)))</f>
        <v/>
      </c>
      <c r="AS767" s="32">
        <f>IF($AR767="","",IF(ISNUMBER($AR767),IF($AR767&gt;=10000000,IFERROR(DATE(INT($AR767/10000),MOD(INT($AR767/100),100),MOD($AR767,100)),""),INT($AR767)),IFERROR(DATE(--LEFT(LEFT(SUBSTITUTE(SUBSTITUTE(SUBSTITUTE(SUBSTITUTE(TRIM($AR767),"-",""),".",""),"/","")," ",""),8),4),--MID(LEFT(SUBSTITUTE(SUBSTITUTE(SUBSTITUTE(SUBSTITUTE(TRIM($AR767),"-",""),".",""),"/","")," ",""),8),5,2),--MID(LEFT(SUBSTITUTE(SUBSTITUTE(SUBSTITUTE(SUBSTITUTE(TRIM($AR767),"-",""),".",""),"/","")," ",""),8),7,2)),"")))</f>
        <v/>
      </c>
      <c r="AT767" s="33">
        <f>IF($AS767="","",IF($F$6="",0,IF(ISNUMBER(INDEX($A:$AP,ROW(),$F$6)),INDEX($A:$AP,ROW(),$F$6),IFERROR(--SUBSTITUTE(SUBSTITUTE(TRIM(INDEX($A:$AP,ROW(),$F$6)),",",""),"원",""),0))))</f>
        <v/>
      </c>
      <c r="AU767" s="31">
        <f>IF($AS767="","",IF($AX767&lt;&gt;"",SUBSTITUTE(SUBSTITUTE($AX767,"-","")," ",""),"N:"&amp;$AV767))</f>
        <v/>
      </c>
      <c r="AV767" s="31">
        <f>IF(OR($AS767="",$E$6=""),"",TRIM(INDEX($A:$AP,ROW(),$E$6)&amp;""))</f>
        <v/>
      </c>
      <c r="AW767" s="31">
        <f>IF($AU767="","",IF(MATCH($AU767,$AU$8:$AU$2007,0)=ROW()-7,MAX($AW$7:$AW766)+1,""))</f>
        <v/>
      </c>
      <c r="AX767" s="31">
        <f>IF(OR($AS767="",$D$6=""),"",TRIM(INDEX($A:$AP,ROW(),$D$6)&amp;""))</f>
        <v/>
      </c>
      <c r="AY767" s="31">
        <f>IF($AU767="","",INDEX($AW$8:$AW$2007,MATCH($AU767,$AU$8:$AU$2007,0)))</f>
        <v/>
      </c>
      <c r="AZ767" s="31">
        <f>IF(OR($AS767="",$C$6=""),"",TRIM(INDEX($A:$AP,ROW(),$C$6)&amp;""))</f>
        <v/>
      </c>
      <c r="BA767" s="31">
        <f>IF($AZ767="","",IF(COUNTIF($AZ$8:$AZ767,$AZ767)&gt;1,1,0))</f>
        <v/>
      </c>
    </row>
    <row r="768">
      <c r="AR768" s="31">
        <f>IF(OR($A$5="",$B$6="",ROW()&lt;$A$5),"",IF(INDEX($A:$AP,ROW(),$B$6)="","",INDEX($A:$AP,ROW(),$B$6)))</f>
        <v/>
      </c>
      <c r="AS768" s="32">
        <f>IF($AR768="","",IF(ISNUMBER($AR768),IF($AR768&gt;=10000000,IFERROR(DATE(INT($AR768/10000),MOD(INT($AR768/100),100),MOD($AR768,100)),""),INT($AR768)),IFERROR(DATE(--LEFT(LEFT(SUBSTITUTE(SUBSTITUTE(SUBSTITUTE(SUBSTITUTE(TRIM($AR768),"-",""),".",""),"/","")," ",""),8),4),--MID(LEFT(SUBSTITUTE(SUBSTITUTE(SUBSTITUTE(SUBSTITUTE(TRIM($AR768),"-",""),".",""),"/","")," ",""),8),5,2),--MID(LEFT(SUBSTITUTE(SUBSTITUTE(SUBSTITUTE(SUBSTITUTE(TRIM($AR768),"-",""),".",""),"/","")," ",""),8),7,2)),"")))</f>
        <v/>
      </c>
      <c r="AT768" s="33">
        <f>IF($AS768="","",IF($F$6="",0,IF(ISNUMBER(INDEX($A:$AP,ROW(),$F$6)),INDEX($A:$AP,ROW(),$F$6),IFERROR(--SUBSTITUTE(SUBSTITUTE(TRIM(INDEX($A:$AP,ROW(),$F$6)),",",""),"원",""),0))))</f>
        <v/>
      </c>
      <c r="AU768" s="31">
        <f>IF($AS768="","",IF($AX768&lt;&gt;"",SUBSTITUTE(SUBSTITUTE($AX768,"-","")," ",""),"N:"&amp;$AV768))</f>
        <v/>
      </c>
      <c r="AV768" s="31">
        <f>IF(OR($AS768="",$E$6=""),"",TRIM(INDEX($A:$AP,ROW(),$E$6)&amp;""))</f>
        <v/>
      </c>
      <c r="AW768" s="31">
        <f>IF($AU768="","",IF(MATCH($AU768,$AU$8:$AU$2007,0)=ROW()-7,MAX($AW$7:$AW767)+1,""))</f>
        <v/>
      </c>
      <c r="AX768" s="31">
        <f>IF(OR($AS768="",$D$6=""),"",TRIM(INDEX($A:$AP,ROW(),$D$6)&amp;""))</f>
        <v/>
      </c>
      <c r="AY768" s="31">
        <f>IF($AU768="","",INDEX($AW$8:$AW$2007,MATCH($AU768,$AU$8:$AU$2007,0)))</f>
        <v/>
      </c>
      <c r="AZ768" s="31">
        <f>IF(OR($AS768="",$C$6=""),"",TRIM(INDEX($A:$AP,ROW(),$C$6)&amp;""))</f>
        <v/>
      </c>
      <c r="BA768" s="31">
        <f>IF($AZ768="","",IF(COUNTIF($AZ$8:$AZ768,$AZ768)&gt;1,1,0))</f>
        <v/>
      </c>
    </row>
    <row r="769">
      <c r="AR769" s="31">
        <f>IF(OR($A$5="",$B$6="",ROW()&lt;$A$5),"",IF(INDEX($A:$AP,ROW(),$B$6)="","",INDEX($A:$AP,ROW(),$B$6)))</f>
        <v/>
      </c>
      <c r="AS769" s="32">
        <f>IF($AR769="","",IF(ISNUMBER($AR769),IF($AR769&gt;=10000000,IFERROR(DATE(INT($AR769/10000),MOD(INT($AR769/100),100),MOD($AR769,100)),""),INT($AR769)),IFERROR(DATE(--LEFT(LEFT(SUBSTITUTE(SUBSTITUTE(SUBSTITUTE(SUBSTITUTE(TRIM($AR769),"-",""),".",""),"/","")," ",""),8),4),--MID(LEFT(SUBSTITUTE(SUBSTITUTE(SUBSTITUTE(SUBSTITUTE(TRIM($AR769),"-",""),".",""),"/","")," ",""),8),5,2),--MID(LEFT(SUBSTITUTE(SUBSTITUTE(SUBSTITUTE(SUBSTITUTE(TRIM($AR769),"-",""),".",""),"/","")," ",""),8),7,2)),"")))</f>
        <v/>
      </c>
      <c r="AT769" s="33">
        <f>IF($AS769="","",IF($F$6="",0,IF(ISNUMBER(INDEX($A:$AP,ROW(),$F$6)),INDEX($A:$AP,ROW(),$F$6),IFERROR(--SUBSTITUTE(SUBSTITUTE(TRIM(INDEX($A:$AP,ROW(),$F$6)),",",""),"원",""),0))))</f>
        <v/>
      </c>
      <c r="AU769" s="31">
        <f>IF($AS769="","",IF($AX769&lt;&gt;"",SUBSTITUTE(SUBSTITUTE($AX769,"-","")," ",""),"N:"&amp;$AV769))</f>
        <v/>
      </c>
      <c r="AV769" s="31">
        <f>IF(OR($AS769="",$E$6=""),"",TRIM(INDEX($A:$AP,ROW(),$E$6)&amp;""))</f>
        <v/>
      </c>
      <c r="AW769" s="31">
        <f>IF($AU769="","",IF(MATCH($AU769,$AU$8:$AU$2007,0)=ROW()-7,MAX($AW$7:$AW768)+1,""))</f>
        <v/>
      </c>
      <c r="AX769" s="31">
        <f>IF(OR($AS769="",$D$6=""),"",TRIM(INDEX($A:$AP,ROW(),$D$6)&amp;""))</f>
        <v/>
      </c>
      <c r="AY769" s="31">
        <f>IF($AU769="","",INDEX($AW$8:$AW$2007,MATCH($AU769,$AU$8:$AU$2007,0)))</f>
        <v/>
      </c>
      <c r="AZ769" s="31">
        <f>IF(OR($AS769="",$C$6=""),"",TRIM(INDEX($A:$AP,ROW(),$C$6)&amp;""))</f>
        <v/>
      </c>
      <c r="BA769" s="31">
        <f>IF($AZ769="","",IF(COUNTIF($AZ$8:$AZ769,$AZ769)&gt;1,1,0))</f>
        <v/>
      </c>
    </row>
    <row r="770">
      <c r="AR770" s="31">
        <f>IF(OR($A$5="",$B$6="",ROW()&lt;$A$5),"",IF(INDEX($A:$AP,ROW(),$B$6)="","",INDEX($A:$AP,ROW(),$B$6)))</f>
        <v/>
      </c>
      <c r="AS770" s="32">
        <f>IF($AR770="","",IF(ISNUMBER($AR770),IF($AR770&gt;=10000000,IFERROR(DATE(INT($AR770/10000),MOD(INT($AR770/100),100),MOD($AR770,100)),""),INT($AR770)),IFERROR(DATE(--LEFT(LEFT(SUBSTITUTE(SUBSTITUTE(SUBSTITUTE(SUBSTITUTE(TRIM($AR770),"-",""),".",""),"/","")," ",""),8),4),--MID(LEFT(SUBSTITUTE(SUBSTITUTE(SUBSTITUTE(SUBSTITUTE(TRIM($AR770),"-",""),".",""),"/","")," ",""),8),5,2),--MID(LEFT(SUBSTITUTE(SUBSTITUTE(SUBSTITUTE(SUBSTITUTE(TRIM($AR770),"-",""),".",""),"/","")," ",""),8),7,2)),"")))</f>
        <v/>
      </c>
      <c r="AT770" s="33">
        <f>IF($AS770="","",IF($F$6="",0,IF(ISNUMBER(INDEX($A:$AP,ROW(),$F$6)),INDEX($A:$AP,ROW(),$F$6),IFERROR(--SUBSTITUTE(SUBSTITUTE(TRIM(INDEX($A:$AP,ROW(),$F$6)),",",""),"원",""),0))))</f>
        <v/>
      </c>
      <c r="AU770" s="31">
        <f>IF($AS770="","",IF($AX770&lt;&gt;"",SUBSTITUTE(SUBSTITUTE($AX770,"-","")," ",""),"N:"&amp;$AV770))</f>
        <v/>
      </c>
      <c r="AV770" s="31">
        <f>IF(OR($AS770="",$E$6=""),"",TRIM(INDEX($A:$AP,ROW(),$E$6)&amp;""))</f>
        <v/>
      </c>
      <c r="AW770" s="31">
        <f>IF($AU770="","",IF(MATCH($AU770,$AU$8:$AU$2007,0)=ROW()-7,MAX($AW$7:$AW769)+1,""))</f>
        <v/>
      </c>
      <c r="AX770" s="31">
        <f>IF(OR($AS770="",$D$6=""),"",TRIM(INDEX($A:$AP,ROW(),$D$6)&amp;""))</f>
        <v/>
      </c>
      <c r="AY770" s="31">
        <f>IF($AU770="","",INDEX($AW$8:$AW$2007,MATCH($AU770,$AU$8:$AU$2007,0)))</f>
        <v/>
      </c>
      <c r="AZ770" s="31">
        <f>IF(OR($AS770="",$C$6=""),"",TRIM(INDEX($A:$AP,ROW(),$C$6)&amp;""))</f>
        <v/>
      </c>
      <c r="BA770" s="31">
        <f>IF($AZ770="","",IF(COUNTIF($AZ$8:$AZ770,$AZ770)&gt;1,1,0))</f>
        <v/>
      </c>
    </row>
    <row r="771">
      <c r="AR771" s="31">
        <f>IF(OR($A$5="",$B$6="",ROW()&lt;$A$5),"",IF(INDEX($A:$AP,ROW(),$B$6)="","",INDEX($A:$AP,ROW(),$B$6)))</f>
        <v/>
      </c>
      <c r="AS771" s="32">
        <f>IF($AR771="","",IF(ISNUMBER($AR771),IF($AR771&gt;=10000000,IFERROR(DATE(INT($AR771/10000),MOD(INT($AR771/100),100),MOD($AR771,100)),""),INT($AR771)),IFERROR(DATE(--LEFT(LEFT(SUBSTITUTE(SUBSTITUTE(SUBSTITUTE(SUBSTITUTE(TRIM($AR771),"-",""),".",""),"/","")," ",""),8),4),--MID(LEFT(SUBSTITUTE(SUBSTITUTE(SUBSTITUTE(SUBSTITUTE(TRIM($AR771),"-",""),".",""),"/","")," ",""),8),5,2),--MID(LEFT(SUBSTITUTE(SUBSTITUTE(SUBSTITUTE(SUBSTITUTE(TRIM($AR771),"-",""),".",""),"/","")," ",""),8),7,2)),"")))</f>
        <v/>
      </c>
      <c r="AT771" s="33">
        <f>IF($AS771="","",IF($F$6="",0,IF(ISNUMBER(INDEX($A:$AP,ROW(),$F$6)),INDEX($A:$AP,ROW(),$F$6),IFERROR(--SUBSTITUTE(SUBSTITUTE(TRIM(INDEX($A:$AP,ROW(),$F$6)),",",""),"원",""),0))))</f>
        <v/>
      </c>
      <c r="AU771" s="31">
        <f>IF($AS771="","",IF($AX771&lt;&gt;"",SUBSTITUTE(SUBSTITUTE($AX771,"-","")," ",""),"N:"&amp;$AV771))</f>
        <v/>
      </c>
      <c r="AV771" s="31">
        <f>IF(OR($AS771="",$E$6=""),"",TRIM(INDEX($A:$AP,ROW(),$E$6)&amp;""))</f>
        <v/>
      </c>
      <c r="AW771" s="31">
        <f>IF($AU771="","",IF(MATCH($AU771,$AU$8:$AU$2007,0)=ROW()-7,MAX($AW$7:$AW770)+1,""))</f>
        <v/>
      </c>
      <c r="AX771" s="31">
        <f>IF(OR($AS771="",$D$6=""),"",TRIM(INDEX($A:$AP,ROW(),$D$6)&amp;""))</f>
        <v/>
      </c>
      <c r="AY771" s="31">
        <f>IF($AU771="","",INDEX($AW$8:$AW$2007,MATCH($AU771,$AU$8:$AU$2007,0)))</f>
        <v/>
      </c>
      <c r="AZ771" s="31">
        <f>IF(OR($AS771="",$C$6=""),"",TRIM(INDEX($A:$AP,ROW(),$C$6)&amp;""))</f>
        <v/>
      </c>
      <c r="BA771" s="31">
        <f>IF($AZ771="","",IF(COUNTIF($AZ$8:$AZ771,$AZ771)&gt;1,1,0))</f>
        <v/>
      </c>
    </row>
    <row r="772">
      <c r="AR772" s="31">
        <f>IF(OR($A$5="",$B$6="",ROW()&lt;$A$5),"",IF(INDEX($A:$AP,ROW(),$B$6)="","",INDEX($A:$AP,ROW(),$B$6)))</f>
        <v/>
      </c>
      <c r="AS772" s="32">
        <f>IF($AR772="","",IF(ISNUMBER($AR772),IF($AR772&gt;=10000000,IFERROR(DATE(INT($AR772/10000),MOD(INT($AR772/100),100),MOD($AR772,100)),""),INT($AR772)),IFERROR(DATE(--LEFT(LEFT(SUBSTITUTE(SUBSTITUTE(SUBSTITUTE(SUBSTITUTE(TRIM($AR772),"-",""),".",""),"/","")," ",""),8),4),--MID(LEFT(SUBSTITUTE(SUBSTITUTE(SUBSTITUTE(SUBSTITUTE(TRIM($AR772),"-",""),".",""),"/","")," ",""),8),5,2),--MID(LEFT(SUBSTITUTE(SUBSTITUTE(SUBSTITUTE(SUBSTITUTE(TRIM($AR772),"-",""),".",""),"/","")," ",""),8),7,2)),"")))</f>
        <v/>
      </c>
      <c r="AT772" s="33">
        <f>IF($AS772="","",IF($F$6="",0,IF(ISNUMBER(INDEX($A:$AP,ROW(),$F$6)),INDEX($A:$AP,ROW(),$F$6),IFERROR(--SUBSTITUTE(SUBSTITUTE(TRIM(INDEX($A:$AP,ROW(),$F$6)),",",""),"원",""),0))))</f>
        <v/>
      </c>
      <c r="AU772" s="31">
        <f>IF($AS772="","",IF($AX772&lt;&gt;"",SUBSTITUTE(SUBSTITUTE($AX772,"-","")," ",""),"N:"&amp;$AV772))</f>
        <v/>
      </c>
      <c r="AV772" s="31">
        <f>IF(OR($AS772="",$E$6=""),"",TRIM(INDEX($A:$AP,ROW(),$E$6)&amp;""))</f>
        <v/>
      </c>
      <c r="AW772" s="31">
        <f>IF($AU772="","",IF(MATCH($AU772,$AU$8:$AU$2007,0)=ROW()-7,MAX($AW$7:$AW771)+1,""))</f>
        <v/>
      </c>
      <c r="AX772" s="31">
        <f>IF(OR($AS772="",$D$6=""),"",TRIM(INDEX($A:$AP,ROW(),$D$6)&amp;""))</f>
        <v/>
      </c>
      <c r="AY772" s="31">
        <f>IF($AU772="","",INDEX($AW$8:$AW$2007,MATCH($AU772,$AU$8:$AU$2007,0)))</f>
        <v/>
      </c>
      <c r="AZ772" s="31">
        <f>IF(OR($AS772="",$C$6=""),"",TRIM(INDEX($A:$AP,ROW(),$C$6)&amp;""))</f>
        <v/>
      </c>
      <c r="BA772" s="31">
        <f>IF($AZ772="","",IF(COUNTIF($AZ$8:$AZ772,$AZ772)&gt;1,1,0))</f>
        <v/>
      </c>
    </row>
    <row r="773">
      <c r="AR773" s="31">
        <f>IF(OR($A$5="",$B$6="",ROW()&lt;$A$5),"",IF(INDEX($A:$AP,ROW(),$B$6)="","",INDEX($A:$AP,ROW(),$B$6)))</f>
        <v/>
      </c>
      <c r="AS773" s="32">
        <f>IF($AR773="","",IF(ISNUMBER($AR773),IF($AR773&gt;=10000000,IFERROR(DATE(INT($AR773/10000),MOD(INT($AR773/100),100),MOD($AR773,100)),""),INT($AR773)),IFERROR(DATE(--LEFT(LEFT(SUBSTITUTE(SUBSTITUTE(SUBSTITUTE(SUBSTITUTE(TRIM($AR773),"-",""),".",""),"/","")," ",""),8),4),--MID(LEFT(SUBSTITUTE(SUBSTITUTE(SUBSTITUTE(SUBSTITUTE(TRIM($AR773),"-",""),".",""),"/","")," ",""),8),5,2),--MID(LEFT(SUBSTITUTE(SUBSTITUTE(SUBSTITUTE(SUBSTITUTE(TRIM($AR773),"-",""),".",""),"/","")," ",""),8),7,2)),"")))</f>
        <v/>
      </c>
      <c r="AT773" s="33">
        <f>IF($AS773="","",IF($F$6="",0,IF(ISNUMBER(INDEX($A:$AP,ROW(),$F$6)),INDEX($A:$AP,ROW(),$F$6),IFERROR(--SUBSTITUTE(SUBSTITUTE(TRIM(INDEX($A:$AP,ROW(),$F$6)),",",""),"원",""),0))))</f>
        <v/>
      </c>
      <c r="AU773" s="31">
        <f>IF($AS773="","",IF($AX773&lt;&gt;"",SUBSTITUTE(SUBSTITUTE($AX773,"-","")," ",""),"N:"&amp;$AV773))</f>
        <v/>
      </c>
      <c r="AV773" s="31">
        <f>IF(OR($AS773="",$E$6=""),"",TRIM(INDEX($A:$AP,ROW(),$E$6)&amp;""))</f>
        <v/>
      </c>
      <c r="AW773" s="31">
        <f>IF($AU773="","",IF(MATCH($AU773,$AU$8:$AU$2007,0)=ROW()-7,MAX($AW$7:$AW772)+1,""))</f>
        <v/>
      </c>
      <c r="AX773" s="31">
        <f>IF(OR($AS773="",$D$6=""),"",TRIM(INDEX($A:$AP,ROW(),$D$6)&amp;""))</f>
        <v/>
      </c>
      <c r="AY773" s="31">
        <f>IF($AU773="","",INDEX($AW$8:$AW$2007,MATCH($AU773,$AU$8:$AU$2007,0)))</f>
        <v/>
      </c>
      <c r="AZ773" s="31">
        <f>IF(OR($AS773="",$C$6=""),"",TRIM(INDEX($A:$AP,ROW(),$C$6)&amp;""))</f>
        <v/>
      </c>
      <c r="BA773" s="31">
        <f>IF($AZ773="","",IF(COUNTIF($AZ$8:$AZ773,$AZ773)&gt;1,1,0))</f>
        <v/>
      </c>
    </row>
    <row r="774">
      <c r="AR774" s="31">
        <f>IF(OR($A$5="",$B$6="",ROW()&lt;$A$5),"",IF(INDEX($A:$AP,ROW(),$B$6)="","",INDEX($A:$AP,ROW(),$B$6)))</f>
        <v/>
      </c>
      <c r="AS774" s="32">
        <f>IF($AR774="","",IF(ISNUMBER($AR774),IF($AR774&gt;=10000000,IFERROR(DATE(INT($AR774/10000),MOD(INT($AR774/100),100),MOD($AR774,100)),""),INT($AR774)),IFERROR(DATE(--LEFT(LEFT(SUBSTITUTE(SUBSTITUTE(SUBSTITUTE(SUBSTITUTE(TRIM($AR774),"-",""),".",""),"/","")," ",""),8),4),--MID(LEFT(SUBSTITUTE(SUBSTITUTE(SUBSTITUTE(SUBSTITUTE(TRIM($AR774),"-",""),".",""),"/","")," ",""),8),5,2),--MID(LEFT(SUBSTITUTE(SUBSTITUTE(SUBSTITUTE(SUBSTITUTE(TRIM($AR774),"-",""),".",""),"/","")," ",""),8),7,2)),"")))</f>
        <v/>
      </c>
      <c r="AT774" s="33">
        <f>IF($AS774="","",IF($F$6="",0,IF(ISNUMBER(INDEX($A:$AP,ROW(),$F$6)),INDEX($A:$AP,ROW(),$F$6),IFERROR(--SUBSTITUTE(SUBSTITUTE(TRIM(INDEX($A:$AP,ROW(),$F$6)),",",""),"원",""),0))))</f>
        <v/>
      </c>
      <c r="AU774" s="31">
        <f>IF($AS774="","",IF($AX774&lt;&gt;"",SUBSTITUTE(SUBSTITUTE($AX774,"-","")," ",""),"N:"&amp;$AV774))</f>
        <v/>
      </c>
      <c r="AV774" s="31">
        <f>IF(OR($AS774="",$E$6=""),"",TRIM(INDEX($A:$AP,ROW(),$E$6)&amp;""))</f>
        <v/>
      </c>
      <c r="AW774" s="31">
        <f>IF($AU774="","",IF(MATCH($AU774,$AU$8:$AU$2007,0)=ROW()-7,MAX($AW$7:$AW773)+1,""))</f>
        <v/>
      </c>
      <c r="AX774" s="31">
        <f>IF(OR($AS774="",$D$6=""),"",TRIM(INDEX($A:$AP,ROW(),$D$6)&amp;""))</f>
        <v/>
      </c>
      <c r="AY774" s="31">
        <f>IF($AU774="","",INDEX($AW$8:$AW$2007,MATCH($AU774,$AU$8:$AU$2007,0)))</f>
        <v/>
      </c>
      <c r="AZ774" s="31">
        <f>IF(OR($AS774="",$C$6=""),"",TRIM(INDEX($A:$AP,ROW(),$C$6)&amp;""))</f>
        <v/>
      </c>
      <c r="BA774" s="31">
        <f>IF($AZ774="","",IF(COUNTIF($AZ$8:$AZ774,$AZ774)&gt;1,1,0))</f>
        <v/>
      </c>
    </row>
    <row r="775">
      <c r="AR775" s="31">
        <f>IF(OR($A$5="",$B$6="",ROW()&lt;$A$5),"",IF(INDEX($A:$AP,ROW(),$B$6)="","",INDEX($A:$AP,ROW(),$B$6)))</f>
        <v/>
      </c>
      <c r="AS775" s="32">
        <f>IF($AR775="","",IF(ISNUMBER($AR775),IF($AR775&gt;=10000000,IFERROR(DATE(INT($AR775/10000),MOD(INT($AR775/100),100),MOD($AR775,100)),""),INT($AR775)),IFERROR(DATE(--LEFT(LEFT(SUBSTITUTE(SUBSTITUTE(SUBSTITUTE(SUBSTITUTE(TRIM($AR775),"-",""),".",""),"/","")," ",""),8),4),--MID(LEFT(SUBSTITUTE(SUBSTITUTE(SUBSTITUTE(SUBSTITUTE(TRIM($AR775),"-",""),".",""),"/","")," ",""),8),5,2),--MID(LEFT(SUBSTITUTE(SUBSTITUTE(SUBSTITUTE(SUBSTITUTE(TRIM($AR775),"-",""),".",""),"/","")," ",""),8),7,2)),"")))</f>
        <v/>
      </c>
      <c r="AT775" s="33">
        <f>IF($AS775="","",IF($F$6="",0,IF(ISNUMBER(INDEX($A:$AP,ROW(),$F$6)),INDEX($A:$AP,ROW(),$F$6),IFERROR(--SUBSTITUTE(SUBSTITUTE(TRIM(INDEX($A:$AP,ROW(),$F$6)),",",""),"원",""),0))))</f>
        <v/>
      </c>
      <c r="AU775" s="31">
        <f>IF($AS775="","",IF($AX775&lt;&gt;"",SUBSTITUTE(SUBSTITUTE($AX775,"-","")," ",""),"N:"&amp;$AV775))</f>
        <v/>
      </c>
      <c r="AV775" s="31">
        <f>IF(OR($AS775="",$E$6=""),"",TRIM(INDEX($A:$AP,ROW(),$E$6)&amp;""))</f>
        <v/>
      </c>
      <c r="AW775" s="31">
        <f>IF($AU775="","",IF(MATCH($AU775,$AU$8:$AU$2007,0)=ROW()-7,MAX($AW$7:$AW774)+1,""))</f>
        <v/>
      </c>
      <c r="AX775" s="31">
        <f>IF(OR($AS775="",$D$6=""),"",TRIM(INDEX($A:$AP,ROW(),$D$6)&amp;""))</f>
        <v/>
      </c>
      <c r="AY775" s="31">
        <f>IF($AU775="","",INDEX($AW$8:$AW$2007,MATCH($AU775,$AU$8:$AU$2007,0)))</f>
        <v/>
      </c>
      <c r="AZ775" s="31">
        <f>IF(OR($AS775="",$C$6=""),"",TRIM(INDEX($A:$AP,ROW(),$C$6)&amp;""))</f>
        <v/>
      </c>
      <c r="BA775" s="31">
        <f>IF($AZ775="","",IF(COUNTIF($AZ$8:$AZ775,$AZ775)&gt;1,1,0))</f>
        <v/>
      </c>
    </row>
    <row r="776">
      <c r="AR776" s="31">
        <f>IF(OR($A$5="",$B$6="",ROW()&lt;$A$5),"",IF(INDEX($A:$AP,ROW(),$B$6)="","",INDEX($A:$AP,ROW(),$B$6)))</f>
        <v/>
      </c>
      <c r="AS776" s="32">
        <f>IF($AR776="","",IF(ISNUMBER($AR776),IF($AR776&gt;=10000000,IFERROR(DATE(INT($AR776/10000),MOD(INT($AR776/100),100),MOD($AR776,100)),""),INT($AR776)),IFERROR(DATE(--LEFT(LEFT(SUBSTITUTE(SUBSTITUTE(SUBSTITUTE(SUBSTITUTE(TRIM($AR776),"-",""),".",""),"/","")," ",""),8),4),--MID(LEFT(SUBSTITUTE(SUBSTITUTE(SUBSTITUTE(SUBSTITUTE(TRIM($AR776),"-",""),".",""),"/","")," ",""),8),5,2),--MID(LEFT(SUBSTITUTE(SUBSTITUTE(SUBSTITUTE(SUBSTITUTE(TRIM($AR776),"-",""),".",""),"/","")," ",""),8),7,2)),"")))</f>
        <v/>
      </c>
      <c r="AT776" s="33">
        <f>IF($AS776="","",IF($F$6="",0,IF(ISNUMBER(INDEX($A:$AP,ROW(),$F$6)),INDEX($A:$AP,ROW(),$F$6),IFERROR(--SUBSTITUTE(SUBSTITUTE(TRIM(INDEX($A:$AP,ROW(),$F$6)),",",""),"원",""),0))))</f>
        <v/>
      </c>
      <c r="AU776" s="31">
        <f>IF($AS776="","",IF($AX776&lt;&gt;"",SUBSTITUTE(SUBSTITUTE($AX776,"-","")," ",""),"N:"&amp;$AV776))</f>
        <v/>
      </c>
      <c r="AV776" s="31">
        <f>IF(OR($AS776="",$E$6=""),"",TRIM(INDEX($A:$AP,ROW(),$E$6)&amp;""))</f>
        <v/>
      </c>
      <c r="AW776" s="31">
        <f>IF($AU776="","",IF(MATCH($AU776,$AU$8:$AU$2007,0)=ROW()-7,MAX($AW$7:$AW775)+1,""))</f>
        <v/>
      </c>
      <c r="AX776" s="31">
        <f>IF(OR($AS776="",$D$6=""),"",TRIM(INDEX($A:$AP,ROW(),$D$6)&amp;""))</f>
        <v/>
      </c>
      <c r="AY776" s="31">
        <f>IF($AU776="","",INDEX($AW$8:$AW$2007,MATCH($AU776,$AU$8:$AU$2007,0)))</f>
        <v/>
      </c>
      <c r="AZ776" s="31">
        <f>IF(OR($AS776="",$C$6=""),"",TRIM(INDEX($A:$AP,ROW(),$C$6)&amp;""))</f>
        <v/>
      </c>
      <c r="BA776" s="31">
        <f>IF($AZ776="","",IF(COUNTIF($AZ$8:$AZ776,$AZ776)&gt;1,1,0))</f>
        <v/>
      </c>
    </row>
    <row r="777">
      <c r="AR777" s="31">
        <f>IF(OR($A$5="",$B$6="",ROW()&lt;$A$5),"",IF(INDEX($A:$AP,ROW(),$B$6)="","",INDEX($A:$AP,ROW(),$B$6)))</f>
        <v/>
      </c>
      <c r="AS777" s="32">
        <f>IF($AR777="","",IF(ISNUMBER($AR777),IF($AR777&gt;=10000000,IFERROR(DATE(INT($AR777/10000),MOD(INT($AR777/100),100),MOD($AR777,100)),""),INT($AR777)),IFERROR(DATE(--LEFT(LEFT(SUBSTITUTE(SUBSTITUTE(SUBSTITUTE(SUBSTITUTE(TRIM($AR777),"-",""),".",""),"/","")," ",""),8),4),--MID(LEFT(SUBSTITUTE(SUBSTITUTE(SUBSTITUTE(SUBSTITUTE(TRIM($AR777),"-",""),".",""),"/","")," ",""),8),5,2),--MID(LEFT(SUBSTITUTE(SUBSTITUTE(SUBSTITUTE(SUBSTITUTE(TRIM($AR777),"-",""),".",""),"/","")," ",""),8),7,2)),"")))</f>
        <v/>
      </c>
      <c r="AT777" s="33">
        <f>IF($AS777="","",IF($F$6="",0,IF(ISNUMBER(INDEX($A:$AP,ROW(),$F$6)),INDEX($A:$AP,ROW(),$F$6),IFERROR(--SUBSTITUTE(SUBSTITUTE(TRIM(INDEX($A:$AP,ROW(),$F$6)),",",""),"원",""),0))))</f>
        <v/>
      </c>
      <c r="AU777" s="31">
        <f>IF($AS777="","",IF($AX777&lt;&gt;"",SUBSTITUTE(SUBSTITUTE($AX777,"-","")," ",""),"N:"&amp;$AV777))</f>
        <v/>
      </c>
      <c r="AV777" s="31">
        <f>IF(OR($AS777="",$E$6=""),"",TRIM(INDEX($A:$AP,ROW(),$E$6)&amp;""))</f>
        <v/>
      </c>
      <c r="AW777" s="31">
        <f>IF($AU777="","",IF(MATCH($AU777,$AU$8:$AU$2007,0)=ROW()-7,MAX($AW$7:$AW776)+1,""))</f>
        <v/>
      </c>
      <c r="AX777" s="31">
        <f>IF(OR($AS777="",$D$6=""),"",TRIM(INDEX($A:$AP,ROW(),$D$6)&amp;""))</f>
        <v/>
      </c>
      <c r="AY777" s="31">
        <f>IF($AU777="","",INDEX($AW$8:$AW$2007,MATCH($AU777,$AU$8:$AU$2007,0)))</f>
        <v/>
      </c>
      <c r="AZ777" s="31">
        <f>IF(OR($AS777="",$C$6=""),"",TRIM(INDEX($A:$AP,ROW(),$C$6)&amp;""))</f>
        <v/>
      </c>
      <c r="BA777" s="31">
        <f>IF($AZ777="","",IF(COUNTIF($AZ$8:$AZ777,$AZ777)&gt;1,1,0))</f>
        <v/>
      </c>
    </row>
    <row r="778">
      <c r="AR778" s="31">
        <f>IF(OR($A$5="",$B$6="",ROW()&lt;$A$5),"",IF(INDEX($A:$AP,ROW(),$B$6)="","",INDEX($A:$AP,ROW(),$B$6)))</f>
        <v/>
      </c>
      <c r="AS778" s="32">
        <f>IF($AR778="","",IF(ISNUMBER($AR778),IF($AR778&gt;=10000000,IFERROR(DATE(INT($AR778/10000),MOD(INT($AR778/100),100),MOD($AR778,100)),""),INT($AR778)),IFERROR(DATE(--LEFT(LEFT(SUBSTITUTE(SUBSTITUTE(SUBSTITUTE(SUBSTITUTE(TRIM($AR778),"-",""),".",""),"/","")," ",""),8),4),--MID(LEFT(SUBSTITUTE(SUBSTITUTE(SUBSTITUTE(SUBSTITUTE(TRIM($AR778),"-",""),".",""),"/","")," ",""),8),5,2),--MID(LEFT(SUBSTITUTE(SUBSTITUTE(SUBSTITUTE(SUBSTITUTE(TRIM($AR778),"-",""),".",""),"/","")," ",""),8),7,2)),"")))</f>
        <v/>
      </c>
      <c r="AT778" s="33">
        <f>IF($AS778="","",IF($F$6="",0,IF(ISNUMBER(INDEX($A:$AP,ROW(),$F$6)),INDEX($A:$AP,ROW(),$F$6),IFERROR(--SUBSTITUTE(SUBSTITUTE(TRIM(INDEX($A:$AP,ROW(),$F$6)),",",""),"원",""),0))))</f>
        <v/>
      </c>
      <c r="AU778" s="31">
        <f>IF($AS778="","",IF($AX778&lt;&gt;"",SUBSTITUTE(SUBSTITUTE($AX778,"-","")," ",""),"N:"&amp;$AV778))</f>
        <v/>
      </c>
      <c r="AV778" s="31">
        <f>IF(OR($AS778="",$E$6=""),"",TRIM(INDEX($A:$AP,ROW(),$E$6)&amp;""))</f>
        <v/>
      </c>
      <c r="AW778" s="31">
        <f>IF($AU778="","",IF(MATCH($AU778,$AU$8:$AU$2007,0)=ROW()-7,MAX($AW$7:$AW777)+1,""))</f>
        <v/>
      </c>
      <c r="AX778" s="31">
        <f>IF(OR($AS778="",$D$6=""),"",TRIM(INDEX($A:$AP,ROW(),$D$6)&amp;""))</f>
        <v/>
      </c>
      <c r="AY778" s="31">
        <f>IF($AU778="","",INDEX($AW$8:$AW$2007,MATCH($AU778,$AU$8:$AU$2007,0)))</f>
        <v/>
      </c>
      <c r="AZ778" s="31">
        <f>IF(OR($AS778="",$C$6=""),"",TRIM(INDEX($A:$AP,ROW(),$C$6)&amp;""))</f>
        <v/>
      </c>
      <c r="BA778" s="31">
        <f>IF($AZ778="","",IF(COUNTIF($AZ$8:$AZ778,$AZ778)&gt;1,1,0))</f>
        <v/>
      </c>
    </row>
    <row r="779">
      <c r="AR779" s="31">
        <f>IF(OR($A$5="",$B$6="",ROW()&lt;$A$5),"",IF(INDEX($A:$AP,ROW(),$B$6)="","",INDEX($A:$AP,ROW(),$B$6)))</f>
        <v/>
      </c>
      <c r="AS779" s="32">
        <f>IF($AR779="","",IF(ISNUMBER($AR779),IF($AR779&gt;=10000000,IFERROR(DATE(INT($AR779/10000),MOD(INT($AR779/100),100),MOD($AR779,100)),""),INT($AR779)),IFERROR(DATE(--LEFT(LEFT(SUBSTITUTE(SUBSTITUTE(SUBSTITUTE(SUBSTITUTE(TRIM($AR779),"-",""),".",""),"/","")," ",""),8),4),--MID(LEFT(SUBSTITUTE(SUBSTITUTE(SUBSTITUTE(SUBSTITUTE(TRIM($AR779),"-",""),".",""),"/","")," ",""),8),5,2),--MID(LEFT(SUBSTITUTE(SUBSTITUTE(SUBSTITUTE(SUBSTITUTE(TRIM($AR779),"-",""),".",""),"/","")," ",""),8),7,2)),"")))</f>
        <v/>
      </c>
      <c r="AT779" s="33">
        <f>IF($AS779="","",IF($F$6="",0,IF(ISNUMBER(INDEX($A:$AP,ROW(),$F$6)),INDEX($A:$AP,ROW(),$F$6),IFERROR(--SUBSTITUTE(SUBSTITUTE(TRIM(INDEX($A:$AP,ROW(),$F$6)),",",""),"원",""),0))))</f>
        <v/>
      </c>
      <c r="AU779" s="31">
        <f>IF($AS779="","",IF($AX779&lt;&gt;"",SUBSTITUTE(SUBSTITUTE($AX779,"-","")," ",""),"N:"&amp;$AV779))</f>
        <v/>
      </c>
      <c r="AV779" s="31">
        <f>IF(OR($AS779="",$E$6=""),"",TRIM(INDEX($A:$AP,ROW(),$E$6)&amp;""))</f>
        <v/>
      </c>
      <c r="AW779" s="31">
        <f>IF($AU779="","",IF(MATCH($AU779,$AU$8:$AU$2007,0)=ROW()-7,MAX($AW$7:$AW778)+1,""))</f>
        <v/>
      </c>
      <c r="AX779" s="31">
        <f>IF(OR($AS779="",$D$6=""),"",TRIM(INDEX($A:$AP,ROW(),$D$6)&amp;""))</f>
        <v/>
      </c>
      <c r="AY779" s="31">
        <f>IF($AU779="","",INDEX($AW$8:$AW$2007,MATCH($AU779,$AU$8:$AU$2007,0)))</f>
        <v/>
      </c>
      <c r="AZ779" s="31">
        <f>IF(OR($AS779="",$C$6=""),"",TRIM(INDEX($A:$AP,ROW(),$C$6)&amp;""))</f>
        <v/>
      </c>
      <c r="BA779" s="31">
        <f>IF($AZ779="","",IF(COUNTIF($AZ$8:$AZ779,$AZ779)&gt;1,1,0))</f>
        <v/>
      </c>
    </row>
    <row r="780">
      <c r="AR780" s="31">
        <f>IF(OR($A$5="",$B$6="",ROW()&lt;$A$5),"",IF(INDEX($A:$AP,ROW(),$B$6)="","",INDEX($A:$AP,ROW(),$B$6)))</f>
        <v/>
      </c>
      <c r="AS780" s="32">
        <f>IF($AR780="","",IF(ISNUMBER($AR780),IF($AR780&gt;=10000000,IFERROR(DATE(INT($AR780/10000),MOD(INT($AR780/100),100),MOD($AR780,100)),""),INT($AR780)),IFERROR(DATE(--LEFT(LEFT(SUBSTITUTE(SUBSTITUTE(SUBSTITUTE(SUBSTITUTE(TRIM($AR780),"-",""),".",""),"/","")," ",""),8),4),--MID(LEFT(SUBSTITUTE(SUBSTITUTE(SUBSTITUTE(SUBSTITUTE(TRIM($AR780),"-",""),".",""),"/","")," ",""),8),5,2),--MID(LEFT(SUBSTITUTE(SUBSTITUTE(SUBSTITUTE(SUBSTITUTE(TRIM($AR780),"-",""),".",""),"/","")," ",""),8),7,2)),"")))</f>
        <v/>
      </c>
      <c r="AT780" s="33">
        <f>IF($AS780="","",IF($F$6="",0,IF(ISNUMBER(INDEX($A:$AP,ROW(),$F$6)),INDEX($A:$AP,ROW(),$F$6),IFERROR(--SUBSTITUTE(SUBSTITUTE(TRIM(INDEX($A:$AP,ROW(),$F$6)),",",""),"원",""),0))))</f>
        <v/>
      </c>
      <c r="AU780" s="31">
        <f>IF($AS780="","",IF($AX780&lt;&gt;"",SUBSTITUTE(SUBSTITUTE($AX780,"-","")," ",""),"N:"&amp;$AV780))</f>
        <v/>
      </c>
      <c r="AV780" s="31">
        <f>IF(OR($AS780="",$E$6=""),"",TRIM(INDEX($A:$AP,ROW(),$E$6)&amp;""))</f>
        <v/>
      </c>
      <c r="AW780" s="31">
        <f>IF($AU780="","",IF(MATCH($AU780,$AU$8:$AU$2007,0)=ROW()-7,MAX($AW$7:$AW779)+1,""))</f>
        <v/>
      </c>
      <c r="AX780" s="31">
        <f>IF(OR($AS780="",$D$6=""),"",TRIM(INDEX($A:$AP,ROW(),$D$6)&amp;""))</f>
        <v/>
      </c>
      <c r="AY780" s="31">
        <f>IF($AU780="","",INDEX($AW$8:$AW$2007,MATCH($AU780,$AU$8:$AU$2007,0)))</f>
        <v/>
      </c>
      <c r="AZ780" s="31">
        <f>IF(OR($AS780="",$C$6=""),"",TRIM(INDEX($A:$AP,ROW(),$C$6)&amp;""))</f>
        <v/>
      </c>
      <c r="BA780" s="31">
        <f>IF($AZ780="","",IF(COUNTIF($AZ$8:$AZ780,$AZ780)&gt;1,1,0))</f>
        <v/>
      </c>
    </row>
    <row r="781">
      <c r="AR781" s="31">
        <f>IF(OR($A$5="",$B$6="",ROW()&lt;$A$5),"",IF(INDEX($A:$AP,ROW(),$B$6)="","",INDEX($A:$AP,ROW(),$B$6)))</f>
        <v/>
      </c>
      <c r="AS781" s="32">
        <f>IF($AR781="","",IF(ISNUMBER($AR781),IF($AR781&gt;=10000000,IFERROR(DATE(INT($AR781/10000),MOD(INT($AR781/100),100),MOD($AR781,100)),""),INT($AR781)),IFERROR(DATE(--LEFT(LEFT(SUBSTITUTE(SUBSTITUTE(SUBSTITUTE(SUBSTITUTE(TRIM($AR781),"-",""),".",""),"/","")," ",""),8),4),--MID(LEFT(SUBSTITUTE(SUBSTITUTE(SUBSTITUTE(SUBSTITUTE(TRIM($AR781),"-",""),".",""),"/","")," ",""),8),5,2),--MID(LEFT(SUBSTITUTE(SUBSTITUTE(SUBSTITUTE(SUBSTITUTE(TRIM($AR781),"-",""),".",""),"/","")," ",""),8),7,2)),"")))</f>
        <v/>
      </c>
      <c r="AT781" s="33">
        <f>IF($AS781="","",IF($F$6="",0,IF(ISNUMBER(INDEX($A:$AP,ROW(),$F$6)),INDEX($A:$AP,ROW(),$F$6),IFERROR(--SUBSTITUTE(SUBSTITUTE(TRIM(INDEX($A:$AP,ROW(),$F$6)),",",""),"원",""),0))))</f>
        <v/>
      </c>
      <c r="AU781" s="31">
        <f>IF($AS781="","",IF($AX781&lt;&gt;"",SUBSTITUTE(SUBSTITUTE($AX781,"-","")," ",""),"N:"&amp;$AV781))</f>
        <v/>
      </c>
      <c r="AV781" s="31">
        <f>IF(OR($AS781="",$E$6=""),"",TRIM(INDEX($A:$AP,ROW(),$E$6)&amp;""))</f>
        <v/>
      </c>
      <c r="AW781" s="31">
        <f>IF($AU781="","",IF(MATCH($AU781,$AU$8:$AU$2007,0)=ROW()-7,MAX($AW$7:$AW780)+1,""))</f>
        <v/>
      </c>
      <c r="AX781" s="31">
        <f>IF(OR($AS781="",$D$6=""),"",TRIM(INDEX($A:$AP,ROW(),$D$6)&amp;""))</f>
        <v/>
      </c>
      <c r="AY781" s="31">
        <f>IF($AU781="","",INDEX($AW$8:$AW$2007,MATCH($AU781,$AU$8:$AU$2007,0)))</f>
        <v/>
      </c>
      <c r="AZ781" s="31">
        <f>IF(OR($AS781="",$C$6=""),"",TRIM(INDEX($A:$AP,ROW(),$C$6)&amp;""))</f>
        <v/>
      </c>
      <c r="BA781" s="31">
        <f>IF($AZ781="","",IF(COUNTIF($AZ$8:$AZ781,$AZ781)&gt;1,1,0))</f>
        <v/>
      </c>
    </row>
    <row r="782">
      <c r="AR782" s="31">
        <f>IF(OR($A$5="",$B$6="",ROW()&lt;$A$5),"",IF(INDEX($A:$AP,ROW(),$B$6)="","",INDEX($A:$AP,ROW(),$B$6)))</f>
        <v/>
      </c>
      <c r="AS782" s="32">
        <f>IF($AR782="","",IF(ISNUMBER($AR782),IF($AR782&gt;=10000000,IFERROR(DATE(INT($AR782/10000),MOD(INT($AR782/100),100),MOD($AR782,100)),""),INT($AR782)),IFERROR(DATE(--LEFT(LEFT(SUBSTITUTE(SUBSTITUTE(SUBSTITUTE(SUBSTITUTE(TRIM($AR782),"-",""),".",""),"/","")," ",""),8),4),--MID(LEFT(SUBSTITUTE(SUBSTITUTE(SUBSTITUTE(SUBSTITUTE(TRIM($AR782),"-",""),".",""),"/","")," ",""),8),5,2),--MID(LEFT(SUBSTITUTE(SUBSTITUTE(SUBSTITUTE(SUBSTITUTE(TRIM($AR782),"-",""),".",""),"/","")," ",""),8),7,2)),"")))</f>
        <v/>
      </c>
      <c r="AT782" s="33">
        <f>IF($AS782="","",IF($F$6="",0,IF(ISNUMBER(INDEX($A:$AP,ROW(),$F$6)),INDEX($A:$AP,ROW(),$F$6),IFERROR(--SUBSTITUTE(SUBSTITUTE(TRIM(INDEX($A:$AP,ROW(),$F$6)),",",""),"원",""),0))))</f>
        <v/>
      </c>
      <c r="AU782" s="31">
        <f>IF($AS782="","",IF($AX782&lt;&gt;"",SUBSTITUTE(SUBSTITUTE($AX782,"-","")," ",""),"N:"&amp;$AV782))</f>
        <v/>
      </c>
      <c r="AV782" s="31">
        <f>IF(OR($AS782="",$E$6=""),"",TRIM(INDEX($A:$AP,ROW(),$E$6)&amp;""))</f>
        <v/>
      </c>
      <c r="AW782" s="31">
        <f>IF($AU782="","",IF(MATCH($AU782,$AU$8:$AU$2007,0)=ROW()-7,MAX($AW$7:$AW781)+1,""))</f>
        <v/>
      </c>
      <c r="AX782" s="31">
        <f>IF(OR($AS782="",$D$6=""),"",TRIM(INDEX($A:$AP,ROW(),$D$6)&amp;""))</f>
        <v/>
      </c>
      <c r="AY782" s="31">
        <f>IF($AU782="","",INDEX($AW$8:$AW$2007,MATCH($AU782,$AU$8:$AU$2007,0)))</f>
        <v/>
      </c>
      <c r="AZ782" s="31">
        <f>IF(OR($AS782="",$C$6=""),"",TRIM(INDEX($A:$AP,ROW(),$C$6)&amp;""))</f>
        <v/>
      </c>
      <c r="BA782" s="31">
        <f>IF($AZ782="","",IF(COUNTIF($AZ$8:$AZ782,$AZ782)&gt;1,1,0))</f>
        <v/>
      </c>
    </row>
    <row r="783">
      <c r="AR783" s="31">
        <f>IF(OR($A$5="",$B$6="",ROW()&lt;$A$5),"",IF(INDEX($A:$AP,ROW(),$B$6)="","",INDEX($A:$AP,ROW(),$B$6)))</f>
        <v/>
      </c>
      <c r="AS783" s="32">
        <f>IF($AR783="","",IF(ISNUMBER($AR783),IF($AR783&gt;=10000000,IFERROR(DATE(INT($AR783/10000),MOD(INT($AR783/100),100),MOD($AR783,100)),""),INT($AR783)),IFERROR(DATE(--LEFT(LEFT(SUBSTITUTE(SUBSTITUTE(SUBSTITUTE(SUBSTITUTE(TRIM($AR783),"-",""),".",""),"/","")," ",""),8),4),--MID(LEFT(SUBSTITUTE(SUBSTITUTE(SUBSTITUTE(SUBSTITUTE(TRIM($AR783),"-",""),".",""),"/","")," ",""),8),5,2),--MID(LEFT(SUBSTITUTE(SUBSTITUTE(SUBSTITUTE(SUBSTITUTE(TRIM($AR783),"-",""),".",""),"/","")," ",""),8),7,2)),"")))</f>
        <v/>
      </c>
      <c r="AT783" s="33">
        <f>IF($AS783="","",IF($F$6="",0,IF(ISNUMBER(INDEX($A:$AP,ROW(),$F$6)),INDEX($A:$AP,ROW(),$F$6),IFERROR(--SUBSTITUTE(SUBSTITUTE(TRIM(INDEX($A:$AP,ROW(),$F$6)),",",""),"원",""),0))))</f>
        <v/>
      </c>
      <c r="AU783" s="31">
        <f>IF($AS783="","",IF($AX783&lt;&gt;"",SUBSTITUTE(SUBSTITUTE($AX783,"-","")," ",""),"N:"&amp;$AV783))</f>
        <v/>
      </c>
      <c r="AV783" s="31">
        <f>IF(OR($AS783="",$E$6=""),"",TRIM(INDEX($A:$AP,ROW(),$E$6)&amp;""))</f>
        <v/>
      </c>
      <c r="AW783" s="31">
        <f>IF($AU783="","",IF(MATCH($AU783,$AU$8:$AU$2007,0)=ROW()-7,MAX($AW$7:$AW782)+1,""))</f>
        <v/>
      </c>
      <c r="AX783" s="31">
        <f>IF(OR($AS783="",$D$6=""),"",TRIM(INDEX($A:$AP,ROW(),$D$6)&amp;""))</f>
        <v/>
      </c>
      <c r="AY783" s="31">
        <f>IF($AU783="","",INDEX($AW$8:$AW$2007,MATCH($AU783,$AU$8:$AU$2007,0)))</f>
        <v/>
      </c>
      <c r="AZ783" s="31">
        <f>IF(OR($AS783="",$C$6=""),"",TRIM(INDEX($A:$AP,ROW(),$C$6)&amp;""))</f>
        <v/>
      </c>
      <c r="BA783" s="31">
        <f>IF($AZ783="","",IF(COUNTIF($AZ$8:$AZ783,$AZ783)&gt;1,1,0))</f>
        <v/>
      </c>
    </row>
    <row r="784">
      <c r="AR784" s="31">
        <f>IF(OR($A$5="",$B$6="",ROW()&lt;$A$5),"",IF(INDEX($A:$AP,ROW(),$B$6)="","",INDEX($A:$AP,ROW(),$B$6)))</f>
        <v/>
      </c>
      <c r="AS784" s="32">
        <f>IF($AR784="","",IF(ISNUMBER($AR784),IF($AR784&gt;=10000000,IFERROR(DATE(INT($AR784/10000),MOD(INT($AR784/100),100),MOD($AR784,100)),""),INT($AR784)),IFERROR(DATE(--LEFT(LEFT(SUBSTITUTE(SUBSTITUTE(SUBSTITUTE(SUBSTITUTE(TRIM($AR784),"-",""),".",""),"/","")," ",""),8),4),--MID(LEFT(SUBSTITUTE(SUBSTITUTE(SUBSTITUTE(SUBSTITUTE(TRIM($AR784),"-",""),".",""),"/","")," ",""),8),5,2),--MID(LEFT(SUBSTITUTE(SUBSTITUTE(SUBSTITUTE(SUBSTITUTE(TRIM($AR784),"-",""),".",""),"/","")," ",""),8),7,2)),"")))</f>
        <v/>
      </c>
      <c r="AT784" s="33">
        <f>IF($AS784="","",IF($F$6="",0,IF(ISNUMBER(INDEX($A:$AP,ROW(),$F$6)),INDEX($A:$AP,ROW(),$F$6),IFERROR(--SUBSTITUTE(SUBSTITUTE(TRIM(INDEX($A:$AP,ROW(),$F$6)),",",""),"원",""),0))))</f>
        <v/>
      </c>
      <c r="AU784" s="31">
        <f>IF($AS784="","",IF($AX784&lt;&gt;"",SUBSTITUTE(SUBSTITUTE($AX784,"-","")," ",""),"N:"&amp;$AV784))</f>
        <v/>
      </c>
      <c r="AV784" s="31">
        <f>IF(OR($AS784="",$E$6=""),"",TRIM(INDEX($A:$AP,ROW(),$E$6)&amp;""))</f>
        <v/>
      </c>
      <c r="AW784" s="31">
        <f>IF($AU784="","",IF(MATCH($AU784,$AU$8:$AU$2007,0)=ROW()-7,MAX($AW$7:$AW783)+1,""))</f>
        <v/>
      </c>
      <c r="AX784" s="31">
        <f>IF(OR($AS784="",$D$6=""),"",TRIM(INDEX($A:$AP,ROW(),$D$6)&amp;""))</f>
        <v/>
      </c>
      <c r="AY784" s="31">
        <f>IF($AU784="","",INDEX($AW$8:$AW$2007,MATCH($AU784,$AU$8:$AU$2007,0)))</f>
        <v/>
      </c>
      <c r="AZ784" s="31">
        <f>IF(OR($AS784="",$C$6=""),"",TRIM(INDEX($A:$AP,ROW(),$C$6)&amp;""))</f>
        <v/>
      </c>
      <c r="BA784" s="31">
        <f>IF($AZ784="","",IF(COUNTIF($AZ$8:$AZ784,$AZ784)&gt;1,1,0))</f>
        <v/>
      </c>
    </row>
    <row r="785">
      <c r="AR785" s="31">
        <f>IF(OR($A$5="",$B$6="",ROW()&lt;$A$5),"",IF(INDEX($A:$AP,ROW(),$B$6)="","",INDEX($A:$AP,ROW(),$B$6)))</f>
        <v/>
      </c>
      <c r="AS785" s="32">
        <f>IF($AR785="","",IF(ISNUMBER($AR785),IF($AR785&gt;=10000000,IFERROR(DATE(INT($AR785/10000),MOD(INT($AR785/100),100),MOD($AR785,100)),""),INT($AR785)),IFERROR(DATE(--LEFT(LEFT(SUBSTITUTE(SUBSTITUTE(SUBSTITUTE(SUBSTITUTE(TRIM($AR785),"-",""),".",""),"/","")," ",""),8),4),--MID(LEFT(SUBSTITUTE(SUBSTITUTE(SUBSTITUTE(SUBSTITUTE(TRIM($AR785),"-",""),".",""),"/","")," ",""),8),5,2),--MID(LEFT(SUBSTITUTE(SUBSTITUTE(SUBSTITUTE(SUBSTITUTE(TRIM($AR785),"-",""),".",""),"/","")," ",""),8),7,2)),"")))</f>
        <v/>
      </c>
      <c r="AT785" s="33">
        <f>IF($AS785="","",IF($F$6="",0,IF(ISNUMBER(INDEX($A:$AP,ROW(),$F$6)),INDEX($A:$AP,ROW(),$F$6),IFERROR(--SUBSTITUTE(SUBSTITUTE(TRIM(INDEX($A:$AP,ROW(),$F$6)),",",""),"원",""),0))))</f>
        <v/>
      </c>
      <c r="AU785" s="31">
        <f>IF($AS785="","",IF($AX785&lt;&gt;"",SUBSTITUTE(SUBSTITUTE($AX785,"-","")," ",""),"N:"&amp;$AV785))</f>
        <v/>
      </c>
      <c r="AV785" s="31">
        <f>IF(OR($AS785="",$E$6=""),"",TRIM(INDEX($A:$AP,ROW(),$E$6)&amp;""))</f>
        <v/>
      </c>
      <c r="AW785" s="31">
        <f>IF($AU785="","",IF(MATCH($AU785,$AU$8:$AU$2007,0)=ROW()-7,MAX($AW$7:$AW784)+1,""))</f>
        <v/>
      </c>
      <c r="AX785" s="31">
        <f>IF(OR($AS785="",$D$6=""),"",TRIM(INDEX($A:$AP,ROW(),$D$6)&amp;""))</f>
        <v/>
      </c>
      <c r="AY785" s="31">
        <f>IF($AU785="","",INDEX($AW$8:$AW$2007,MATCH($AU785,$AU$8:$AU$2007,0)))</f>
        <v/>
      </c>
      <c r="AZ785" s="31">
        <f>IF(OR($AS785="",$C$6=""),"",TRIM(INDEX($A:$AP,ROW(),$C$6)&amp;""))</f>
        <v/>
      </c>
      <c r="BA785" s="31">
        <f>IF($AZ785="","",IF(COUNTIF($AZ$8:$AZ785,$AZ785)&gt;1,1,0))</f>
        <v/>
      </c>
    </row>
    <row r="786">
      <c r="AR786" s="31">
        <f>IF(OR($A$5="",$B$6="",ROW()&lt;$A$5),"",IF(INDEX($A:$AP,ROW(),$B$6)="","",INDEX($A:$AP,ROW(),$B$6)))</f>
        <v/>
      </c>
      <c r="AS786" s="32">
        <f>IF($AR786="","",IF(ISNUMBER($AR786),IF($AR786&gt;=10000000,IFERROR(DATE(INT($AR786/10000),MOD(INT($AR786/100),100),MOD($AR786,100)),""),INT($AR786)),IFERROR(DATE(--LEFT(LEFT(SUBSTITUTE(SUBSTITUTE(SUBSTITUTE(SUBSTITUTE(TRIM($AR786),"-",""),".",""),"/","")," ",""),8),4),--MID(LEFT(SUBSTITUTE(SUBSTITUTE(SUBSTITUTE(SUBSTITUTE(TRIM($AR786),"-",""),".",""),"/","")," ",""),8),5,2),--MID(LEFT(SUBSTITUTE(SUBSTITUTE(SUBSTITUTE(SUBSTITUTE(TRIM($AR786),"-",""),".",""),"/","")," ",""),8),7,2)),"")))</f>
        <v/>
      </c>
      <c r="AT786" s="33">
        <f>IF($AS786="","",IF($F$6="",0,IF(ISNUMBER(INDEX($A:$AP,ROW(),$F$6)),INDEX($A:$AP,ROW(),$F$6),IFERROR(--SUBSTITUTE(SUBSTITUTE(TRIM(INDEX($A:$AP,ROW(),$F$6)),",",""),"원",""),0))))</f>
        <v/>
      </c>
      <c r="AU786" s="31">
        <f>IF($AS786="","",IF($AX786&lt;&gt;"",SUBSTITUTE(SUBSTITUTE($AX786,"-","")," ",""),"N:"&amp;$AV786))</f>
        <v/>
      </c>
      <c r="AV786" s="31">
        <f>IF(OR($AS786="",$E$6=""),"",TRIM(INDEX($A:$AP,ROW(),$E$6)&amp;""))</f>
        <v/>
      </c>
      <c r="AW786" s="31">
        <f>IF($AU786="","",IF(MATCH($AU786,$AU$8:$AU$2007,0)=ROW()-7,MAX($AW$7:$AW785)+1,""))</f>
        <v/>
      </c>
      <c r="AX786" s="31">
        <f>IF(OR($AS786="",$D$6=""),"",TRIM(INDEX($A:$AP,ROW(),$D$6)&amp;""))</f>
        <v/>
      </c>
      <c r="AY786" s="31">
        <f>IF($AU786="","",INDEX($AW$8:$AW$2007,MATCH($AU786,$AU$8:$AU$2007,0)))</f>
        <v/>
      </c>
      <c r="AZ786" s="31">
        <f>IF(OR($AS786="",$C$6=""),"",TRIM(INDEX($A:$AP,ROW(),$C$6)&amp;""))</f>
        <v/>
      </c>
      <c r="BA786" s="31">
        <f>IF($AZ786="","",IF(COUNTIF($AZ$8:$AZ786,$AZ786)&gt;1,1,0))</f>
        <v/>
      </c>
    </row>
    <row r="787">
      <c r="AR787" s="31">
        <f>IF(OR($A$5="",$B$6="",ROW()&lt;$A$5),"",IF(INDEX($A:$AP,ROW(),$B$6)="","",INDEX($A:$AP,ROW(),$B$6)))</f>
        <v/>
      </c>
      <c r="AS787" s="32">
        <f>IF($AR787="","",IF(ISNUMBER($AR787),IF($AR787&gt;=10000000,IFERROR(DATE(INT($AR787/10000),MOD(INT($AR787/100),100),MOD($AR787,100)),""),INT($AR787)),IFERROR(DATE(--LEFT(LEFT(SUBSTITUTE(SUBSTITUTE(SUBSTITUTE(SUBSTITUTE(TRIM($AR787),"-",""),".",""),"/","")," ",""),8),4),--MID(LEFT(SUBSTITUTE(SUBSTITUTE(SUBSTITUTE(SUBSTITUTE(TRIM($AR787),"-",""),".",""),"/","")," ",""),8),5,2),--MID(LEFT(SUBSTITUTE(SUBSTITUTE(SUBSTITUTE(SUBSTITUTE(TRIM($AR787),"-",""),".",""),"/","")," ",""),8),7,2)),"")))</f>
        <v/>
      </c>
      <c r="AT787" s="33">
        <f>IF($AS787="","",IF($F$6="",0,IF(ISNUMBER(INDEX($A:$AP,ROW(),$F$6)),INDEX($A:$AP,ROW(),$F$6),IFERROR(--SUBSTITUTE(SUBSTITUTE(TRIM(INDEX($A:$AP,ROW(),$F$6)),",",""),"원",""),0))))</f>
        <v/>
      </c>
      <c r="AU787" s="31">
        <f>IF($AS787="","",IF($AX787&lt;&gt;"",SUBSTITUTE(SUBSTITUTE($AX787,"-","")," ",""),"N:"&amp;$AV787))</f>
        <v/>
      </c>
      <c r="AV787" s="31">
        <f>IF(OR($AS787="",$E$6=""),"",TRIM(INDEX($A:$AP,ROW(),$E$6)&amp;""))</f>
        <v/>
      </c>
      <c r="AW787" s="31">
        <f>IF($AU787="","",IF(MATCH($AU787,$AU$8:$AU$2007,0)=ROW()-7,MAX($AW$7:$AW786)+1,""))</f>
        <v/>
      </c>
      <c r="AX787" s="31">
        <f>IF(OR($AS787="",$D$6=""),"",TRIM(INDEX($A:$AP,ROW(),$D$6)&amp;""))</f>
        <v/>
      </c>
      <c r="AY787" s="31">
        <f>IF($AU787="","",INDEX($AW$8:$AW$2007,MATCH($AU787,$AU$8:$AU$2007,0)))</f>
        <v/>
      </c>
      <c r="AZ787" s="31">
        <f>IF(OR($AS787="",$C$6=""),"",TRIM(INDEX($A:$AP,ROW(),$C$6)&amp;""))</f>
        <v/>
      </c>
      <c r="BA787" s="31">
        <f>IF($AZ787="","",IF(COUNTIF($AZ$8:$AZ787,$AZ787)&gt;1,1,0))</f>
        <v/>
      </c>
    </row>
    <row r="788">
      <c r="AR788" s="31">
        <f>IF(OR($A$5="",$B$6="",ROW()&lt;$A$5),"",IF(INDEX($A:$AP,ROW(),$B$6)="","",INDEX($A:$AP,ROW(),$B$6)))</f>
        <v/>
      </c>
      <c r="AS788" s="32">
        <f>IF($AR788="","",IF(ISNUMBER($AR788),IF($AR788&gt;=10000000,IFERROR(DATE(INT($AR788/10000),MOD(INT($AR788/100),100),MOD($AR788,100)),""),INT($AR788)),IFERROR(DATE(--LEFT(LEFT(SUBSTITUTE(SUBSTITUTE(SUBSTITUTE(SUBSTITUTE(TRIM($AR788),"-",""),".",""),"/","")," ",""),8),4),--MID(LEFT(SUBSTITUTE(SUBSTITUTE(SUBSTITUTE(SUBSTITUTE(TRIM($AR788),"-",""),".",""),"/","")," ",""),8),5,2),--MID(LEFT(SUBSTITUTE(SUBSTITUTE(SUBSTITUTE(SUBSTITUTE(TRIM($AR788),"-",""),".",""),"/","")," ",""),8),7,2)),"")))</f>
        <v/>
      </c>
      <c r="AT788" s="33">
        <f>IF($AS788="","",IF($F$6="",0,IF(ISNUMBER(INDEX($A:$AP,ROW(),$F$6)),INDEX($A:$AP,ROW(),$F$6),IFERROR(--SUBSTITUTE(SUBSTITUTE(TRIM(INDEX($A:$AP,ROW(),$F$6)),",",""),"원",""),0))))</f>
        <v/>
      </c>
      <c r="AU788" s="31">
        <f>IF($AS788="","",IF($AX788&lt;&gt;"",SUBSTITUTE(SUBSTITUTE($AX788,"-","")," ",""),"N:"&amp;$AV788))</f>
        <v/>
      </c>
      <c r="AV788" s="31">
        <f>IF(OR($AS788="",$E$6=""),"",TRIM(INDEX($A:$AP,ROW(),$E$6)&amp;""))</f>
        <v/>
      </c>
      <c r="AW788" s="31">
        <f>IF($AU788="","",IF(MATCH($AU788,$AU$8:$AU$2007,0)=ROW()-7,MAX($AW$7:$AW787)+1,""))</f>
        <v/>
      </c>
      <c r="AX788" s="31">
        <f>IF(OR($AS788="",$D$6=""),"",TRIM(INDEX($A:$AP,ROW(),$D$6)&amp;""))</f>
        <v/>
      </c>
      <c r="AY788" s="31">
        <f>IF($AU788="","",INDEX($AW$8:$AW$2007,MATCH($AU788,$AU$8:$AU$2007,0)))</f>
        <v/>
      </c>
      <c r="AZ788" s="31">
        <f>IF(OR($AS788="",$C$6=""),"",TRIM(INDEX($A:$AP,ROW(),$C$6)&amp;""))</f>
        <v/>
      </c>
      <c r="BA788" s="31">
        <f>IF($AZ788="","",IF(COUNTIF($AZ$8:$AZ788,$AZ788)&gt;1,1,0))</f>
        <v/>
      </c>
    </row>
    <row r="789">
      <c r="AR789" s="31">
        <f>IF(OR($A$5="",$B$6="",ROW()&lt;$A$5),"",IF(INDEX($A:$AP,ROW(),$B$6)="","",INDEX($A:$AP,ROW(),$B$6)))</f>
        <v/>
      </c>
      <c r="AS789" s="32">
        <f>IF($AR789="","",IF(ISNUMBER($AR789),IF($AR789&gt;=10000000,IFERROR(DATE(INT($AR789/10000),MOD(INT($AR789/100),100),MOD($AR789,100)),""),INT($AR789)),IFERROR(DATE(--LEFT(LEFT(SUBSTITUTE(SUBSTITUTE(SUBSTITUTE(SUBSTITUTE(TRIM($AR789),"-",""),".",""),"/","")," ",""),8),4),--MID(LEFT(SUBSTITUTE(SUBSTITUTE(SUBSTITUTE(SUBSTITUTE(TRIM($AR789),"-",""),".",""),"/","")," ",""),8),5,2),--MID(LEFT(SUBSTITUTE(SUBSTITUTE(SUBSTITUTE(SUBSTITUTE(TRIM($AR789),"-",""),".",""),"/","")," ",""),8),7,2)),"")))</f>
        <v/>
      </c>
      <c r="AT789" s="33">
        <f>IF($AS789="","",IF($F$6="",0,IF(ISNUMBER(INDEX($A:$AP,ROW(),$F$6)),INDEX($A:$AP,ROW(),$F$6),IFERROR(--SUBSTITUTE(SUBSTITUTE(TRIM(INDEX($A:$AP,ROW(),$F$6)),",",""),"원",""),0))))</f>
        <v/>
      </c>
      <c r="AU789" s="31">
        <f>IF($AS789="","",IF($AX789&lt;&gt;"",SUBSTITUTE(SUBSTITUTE($AX789,"-","")," ",""),"N:"&amp;$AV789))</f>
        <v/>
      </c>
      <c r="AV789" s="31">
        <f>IF(OR($AS789="",$E$6=""),"",TRIM(INDEX($A:$AP,ROW(),$E$6)&amp;""))</f>
        <v/>
      </c>
      <c r="AW789" s="31">
        <f>IF($AU789="","",IF(MATCH($AU789,$AU$8:$AU$2007,0)=ROW()-7,MAX($AW$7:$AW788)+1,""))</f>
        <v/>
      </c>
      <c r="AX789" s="31">
        <f>IF(OR($AS789="",$D$6=""),"",TRIM(INDEX($A:$AP,ROW(),$D$6)&amp;""))</f>
        <v/>
      </c>
      <c r="AY789" s="31">
        <f>IF($AU789="","",INDEX($AW$8:$AW$2007,MATCH($AU789,$AU$8:$AU$2007,0)))</f>
        <v/>
      </c>
      <c r="AZ789" s="31">
        <f>IF(OR($AS789="",$C$6=""),"",TRIM(INDEX($A:$AP,ROW(),$C$6)&amp;""))</f>
        <v/>
      </c>
      <c r="BA789" s="31">
        <f>IF($AZ789="","",IF(COUNTIF($AZ$8:$AZ789,$AZ789)&gt;1,1,0))</f>
        <v/>
      </c>
    </row>
    <row r="790">
      <c r="AR790" s="31">
        <f>IF(OR($A$5="",$B$6="",ROW()&lt;$A$5),"",IF(INDEX($A:$AP,ROW(),$B$6)="","",INDEX($A:$AP,ROW(),$B$6)))</f>
        <v/>
      </c>
      <c r="AS790" s="32">
        <f>IF($AR790="","",IF(ISNUMBER($AR790),IF($AR790&gt;=10000000,IFERROR(DATE(INT($AR790/10000),MOD(INT($AR790/100),100),MOD($AR790,100)),""),INT($AR790)),IFERROR(DATE(--LEFT(LEFT(SUBSTITUTE(SUBSTITUTE(SUBSTITUTE(SUBSTITUTE(TRIM($AR790),"-",""),".",""),"/","")," ",""),8),4),--MID(LEFT(SUBSTITUTE(SUBSTITUTE(SUBSTITUTE(SUBSTITUTE(TRIM($AR790),"-",""),".",""),"/","")," ",""),8),5,2),--MID(LEFT(SUBSTITUTE(SUBSTITUTE(SUBSTITUTE(SUBSTITUTE(TRIM($AR790),"-",""),".",""),"/","")," ",""),8),7,2)),"")))</f>
        <v/>
      </c>
      <c r="AT790" s="33">
        <f>IF($AS790="","",IF($F$6="",0,IF(ISNUMBER(INDEX($A:$AP,ROW(),$F$6)),INDEX($A:$AP,ROW(),$F$6),IFERROR(--SUBSTITUTE(SUBSTITUTE(TRIM(INDEX($A:$AP,ROW(),$F$6)),",",""),"원",""),0))))</f>
        <v/>
      </c>
      <c r="AU790" s="31">
        <f>IF($AS790="","",IF($AX790&lt;&gt;"",SUBSTITUTE(SUBSTITUTE($AX790,"-","")," ",""),"N:"&amp;$AV790))</f>
        <v/>
      </c>
      <c r="AV790" s="31">
        <f>IF(OR($AS790="",$E$6=""),"",TRIM(INDEX($A:$AP,ROW(),$E$6)&amp;""))</f>
        <v/>
      </c>
      <c r="AW790" s="31">
        <f>IF($AU790="","",IF(MATCH($AU790,$AU$8:$AU$2007,0)=ROW()-7,MAX($AW$7:$AW789)+1,""))</f>
        <v/>
      </c>
      <c r="AX790" s="31">
        <f>IF(OR($AS790="",$D$6=""),"",TRIM(INDEX($A:$AP,ROW(),$D$6)&amp;""))</f>
        <v/>
      </c>
      <c r="AY790" s="31">
        <f>IF($AU790="","",INDEX($AW$8:$AW$2007,MATCH($AU790,$AU$8:$AU$2007,0)))</f>
        <v/>
      </c>
      <c r="AZ790" s="31">
        <f>IF(OR($AS790="",$C$6=""),"",TRIM(INDEX($A:$AP,ROW(),$C$6)&amp;""))</f>
        <v/>
      </c>
      <c r="BA790" s="31">
        <f>IF($AZ790="","",IF(COUNTIF($AZ$8:$AZ790,$AZ790)&gt;1,1,0))</f>
        <v/>
      </c>
    </row>
    <row r="791">
      <c r="AR791" s="31">
        <f>IF(OR($A$5="",$B$6="",ROW()&lt;$A$5),"",IF(INDEX($A:$AP,ROW(),$B$6)="","",INDEX($A:$AP,ROW(),$B$6)))</f>
        <v/>
      </c>
      <c r="AS791" s="32">
        <f>IF($AR791="","",IF(ISNUMBER($AR791),IF($AR791&gt;=10000000,IFERROR(DATE(INT($AR791/10000),MOD(INT($AR791/100),100),MOD($AR791,100)),""),INT($AR791)),IFERROR(DATE(--LEFT(LEFT(SUBSTITUTE(SUBSTITUTE(SUBSTITUTE(SUBSTITUTE(TRIM($AR791),"-",""),".",""),"/","")," ",""),8),4),--MID(LEFT(SUBSTITUTE(SUBSTITUTE(SUBSTITUTE(SUBSTITUTE(TRIM($AR791),"-",""),".",""),"/","")," ",""),8),5,2),--MID(LEFT(SUBSTITUTE(SUBSTITUTE(SUBSTITUTE(SUBSTITUTE(TRIM($AR791),"-",""),".",""),"/","")," ",""),8),7,2)),"")))</f>
        <v/>
      </c>
      <c r="AT791" s="33">
        <f>IF($AS791="","",IF($F$6="",0,IF(ISNUMBER(INDEX($A:$AP,ROW(),$F$6)),INDEX($A:$AP,ROW(),$F$6),IFERROR(--SUBSTITUTE(SUBSTITUTE(TRIM(INDEX($A:$AP,ROW(),$F$6)),",",""),"원",""),0))))</f>
        <v/>
      </c>
      <c r="AU791" s="31">
        <f>IF($AS791="","",IF($AX791&lt;&gt;"",SUBSTITUTE(SUBSTITUTE($AX791,"-","")," ",""),"N:"&amp;$AV791))</f>
        <v/>
      </c>
      <c r="AV791" s="31">
        <f>IF(OR($AS791="",$E$6=""),"",TRIM(INDEX($A:$AP,ROW(),$E$6)&amp;""))</f>
        <v/>
      </c>
      <c r="AW791" s="31">
        <f>IF($AU791="","",IF(MATCH($AU791,$AU$8:$AU$2007,0)=ROW()-7,MAX($AW$7:$AW790)+1,""))</f>
        <v/>
      </c>
      <c r="AX791" s="31">
        <f>IF(OR($AS791="",$D$6=""),"",TRIM(INDEX($A:$AP,ROW(),$D$6)&amp;""))</f>
        <v/>
      </c>
      <c r="AY791" s="31">
        <f>IF($AU791="","",INDEX($AW$8:$AW$2007,MATCH($AU791,$AU$8:$AU$2007,0)))</f>
        <v/>
      </c>
      <c r="AZ791" s="31">
        <f>IF(OR($AS791="",$C$6=""),"",TRIM(INDEX($A:$AP,ROW(),$C$6)&amp;""))</f>
        <v/>
      </c>
      <c r="BA791" s="31">
        <f>IF($AZ791="","",IF(COUNTIF($AZ$8:$AZ791,$AZ791)&gt;1,1,0))</f>
        <v/>
      </c>
    </row>
    <row r="792">
      <c r="AR792" s="31">
        <f>IF(OR($A$5="",$B$6="",ROW()&lt;$A$5),"",IF(INDEX($A:$AP,ROW(),$B$6)="","",INDEX($A:$AP,ROW(),$B$6)))</f>
        <v/>
      </c>
      <c r="AS792" s="32">
        <f>IF($AR792="","",IF(ISNUMBER($AR792),IF($AR792&gt;=10000000,IFERROR(DATE(INT($AR792/10000),MOD(INT($AR792/100),100),MOD($AR792,100)),""),INT($AR792)),IFERROR(DATE(--LEFT(LEFT(SUBSTITUTE(SUBSTITUTE(SUBSTITUTE(SUBSTITUTE(TRIM($AR792),"-",""),".",""),"/","")," ",""),8),4),--MID(LEFT(SUBSTITUTE(SUBSTITUTE(SUBSTITUTE(SUBSTITUTE(TRIM($AR792),"-",""),".",""),"/","")," ",""),8),5,2),--MID(LEFT(SUBSTITUTE(SUBSTITUTE(SUBSTITUTE(SUBSTITUTE(TRIM($AR792),"-",""),".",""),"/","")," ",""),8),7,2)),"")))</f>
        <v/>
      </c>
      <c r="AT792" s="33">
        <f>IF($AS792="","",IF($F$6="",0,IF(ISNUMBER(INDEX($A:$AP,ROW(),$F$6)),INDEX($A:$AP,ROW(),$F$6),IFERROR(--SUBSTITUTE(SUBSTITUTE(TRIM(INDEX($A:$AP,ROW(),$F$6)),",",""),"원",""),0))))</f>
        <v/>
      </c>
      <c r="AU792" s="31">
        <f>IF($AS792="","",IF($AX792&lt;&gt;"",SUBSTITUTE(SUBSTITUTE($AX792,"-","")," ",""),"N:"&amp;$AV792))</f>
        <v/>
      </c>
      <c r="AV792" s="31">
        <f>IF(OR($AS792="",$E$6=""),"",TRIM(INDEX($A:$AP,ROW(),$E$6)&amp;""))</f>
        <v/>
      </c>
      <c r="AW792" s="31">
        <f>IF($AU792="","",IF(MATCH($AU792,$AU$8:$AU$2007,0)=ROW()-7,MAX($AW$7:$AW791)+1,""))</f>
        <v/>
      </c>
      <c r="AX792" s="31">
        <f>IF(OR($AS792="",$D$6=""),"",TRIM(INDEX($A:$AP,ROW(),$D$6)&amp;""))</f>
        <v/>
      </c>
      <c r="AY792" s="31">
        <f>IF($AU792="","",INDEX($AW$8:$AW$2007,MATCH($AU792,$AU$8:$AU$2007,0)))</f>
        <v/>
      </c>
      <c r="AZ792" s="31">
        <f>IF(OR($AS792="",$C$6=""),"",TRIM(INDEX($A:$AP,ROW(),$C$6)&amp;""))</f>
        <v/>
      </c>
      <c r="BA792" s="31">
        <f>IF($AZ792="","",IF(COUNTIF($AZ$8:$AZ792,$AZ792)&gt;1,1,0))</f>
        <v/>
      </c>
    </row>
    <row r="793">
      <c r="AR793" s="31">
        <f>IF(OR($A$5="",$B$6="",ROW()&lt;$A$5),"",IF(INDEX($A:$AP,ROW(),$B$6)="","",INDEX($A:$AP,ROW(),$B$6)))</f>
        <v/>
      </c>
      <c r="AS793" s="32">
        <f>IF($AR793="","",IF(ISNUMBER($AR793),IF($AR793&gt;=10000000,IFERROR(DATE(INT($AR793/10000),MOD(INT($AR793/100),100),MOD($AR793,100)),""),INT($AR793)),IFERROR(DATE(--LEFT(LEFT(SUBSTITUTE(SUBSTITUTE(SUBSTITUTE(SUBSTITUTE(TRIM($AR793),"-",""),".",""),"/","")," ",""),8),4),--MID(LEFT(SUBSTITUTE(SUBSTITUTE(SUBSTITUTE(SUBSTITUTE(TRIM($AR793),"-",""),".",""),"/","")," ",""),8),5,2),--MID(LEFT(SUBSTITUTE(SUBSTITUTE(SUBSTITUTE(SUBSTITUTE(TRIM($AR793),"-",""),".",""),"/","")," ",""),8),7,2)),"")))</f>
        <v/>
      </c>
      <c r="AT793" s="33">
        <f>IF($AS793="","",IF($F$6="",0,IF(ISNUMBER(INDEX($A:$AP,ROW(),$F$6)),INDEX($A:$AP,ROW(),$F$6),IFERROR(--SUBSTITUTE(SUBSTITUTE(TRIM(INDEX($A:$AP,ROW(),$F$6)),",",""),"원",""),0))))</f>
        <v/>
      </c>
      <c r="AU793" s="31">
        <f>IF($AS793="","",IF($AX793&lt;&gt;"",SUBSTITUTE(SUBSTITUTE($AX793,"-","")," ",""),"N:"&amp;$AV793))</f>
        <v/>
      </c>
      <c r="AV793" s="31">
        <f>IF(OR($AS793="",$E$6=""),"",TRIM(INDEX($A:$AP,ROW(),$E$6)&amp;""))</f>
        <v/>
      </c>
      <c r="AW793" s="31">
        <f>IF($AU793="","",IF(MATCH($AU793,$AU$8:$AU$2007,0)=ROW()-7,MAX($AW$7:$AW792)+1,""))</f>
        <v/>
      </c>
      <c r="AX793" s="31">
        <f>IF(OR($AS793="",$D$6=""),"",TRIM(INDEX($A:$AP,ROW(),$D$6)&amp;""))</f>
        <v/>
      </c>
      <c r="AY793" s="31">
        <f>IF($AU793="","",INDEX($AW$8:$AW$2007,MATCH($AU793,$AU$8:$AU$2007,0)))</f>
        <v/>
      </c>
      <c r="AZ793" s="31">
        <f>IF(OR($AS793="",$C$6=""),"",TRIM(INDEX($A:$AP,ROW(),$C$6)&amp;""))</f>
        <v/>
      </c>
      <c r="BA793" s="31">
        <f>IF($AZ793="","",IF(COUNTIF($AZ$8:$AZ793,$AZ793)&gt;1,1,0))</f>
        <v/>
      </c>
    </row>
    <row r="794">
      <c r="AR794" s="31">
        <f>IF(OR($A$5="",$B$6="",ROW()&lt;$A$5),"",IF(INDEX($A:$AP,ROW(),$B$6)="","",INDEX($A:$AP,ROW(),$B$6)))</f>
        <v/>
      </c>
      <c r="AS794" s="32">
        <f>IF($AR794="","",IF(ISNUMBER($AR794),IF($AR794&gt;=10000000,IFERROR(DATE(INT($AR794/10000),MOD(INT($AR794/100),100),MOD($AR794,100)),""),INT($AR794)),IFERROR(DATE(--LEFT(LEFT(SUBSTITUTE(SUBSTITUTE(SUBSTITUTE(SUBSTITUTE(TRIM($AR794),"-",""),".",""),"/","")," ",""),8),4),--MID(LEFT(SUBSTITUTE(SUBSTITUTE(SUBSTITUTE(SUBSTITUTE(TRIM($AR794),"-",""),".",""),"/","")," ",""),8),5,2),--MID(LEFT(SUBSTITUTE(SUBSTITUTE(SUBSTITUTE(SUBSTITUTE(TRIM($AR794),"-",""),".",""),"/","")," ",""),8),7,2)),"")))</f>
        <v/>
      </c>
      <c r="AT794" s="33">
        <f>IF($AS794="","",IF($F$6="",0,IF(ISNUMBER(INDEX($A:$AP,ROW(),$F$6)),INDEX($A:$AP,ROW(),$F$6),IFERROR(--SUBSTITUTE(SUBSTITUTE(TRIM(INDEX($A:$AP,ROW(),$F$6)),",",""),"원",""),0))))</f>
        <v/>
      </c>
      <c r="AU794" s="31">
        <f>IF($AS794="","",IF($AX794&lt;&gt;"",SUBSTITUTE(SUBSTITUTE($AX794,"-","")," ",""),"N:"&amp;$AV794))</f>
        <v/>
      </c>
      <c r="AV794" s="31">
        <f>IF(OR($AS794="",$E$6=""),"",TRIM(INDEX($A:$AP,ROW(),$E$6)&amp;""))</f>
        <v/>
      </c>
      <c r="AW794" s="31">
        <f>IF($AU794="","",IF(MATCH($AU794,$AU$8:$AU$2007,0)=ROW()-7,MAX($AW$7:$AW793)+1,""))</f>
        <v/>
      </c>
      <c r="AX794" s="31">
        <f>IF(OR($AS794="",$D$6=""),"",TRIM(INDEX($A:$AP,ROW(),$D$6)&amp;""))</f>
        <v/>
      </c>
      <c r="AY794" s="31">
        <f>IF($AU794="","",INDEX($AW$8:$AW$2007,MATCH($AU794,$AU$8:$AU$2007,0)))</f>
        <v/>
      </c>
      <c r="AZ794" s="31">
        <f>IF(OR($AS794="",$C$6=""),"",TRIM(INDEX($A:$AP,ROW(),$C$6)&amp;""))</f>
        <v/>
      </c>
      <c r="BA794" s="31">
        <f>IF($AZ794="","",IF(COUNTIF($AZ$8:$AZ794,$AZ794)&gt;1,1,0))</f>
        <v/>
      </c>
    </row>
    <row r="795">
      <c r="AR795" s="31">
        <f>IF(OR($A$5="",$B$6="",ROW()&lt;$A$5),"",IF(INDEX($A:$AP,ROW(),$B$6)="","",INDEX($A:$AP,ROW(),$B$6)))</f>
        <v/>
      </c>
      <c r="AS795" s="32">
        <f>IF($AR795="","",IF(ISNUMBER($AR795),IF($AR795&gt;=10000000,IFERROR(DATE(INT($AR795/10000),MOD(INT($AR795/100),100),MOD($AR795,100)),""),INT($AR795)),IFERROR(DATE(--LEFT(LEFT(SUBSTITUTE(SUBSTITUTE(SUBSTITUTE(SUBSTITUTE(TRIM($AR795),"-",""),".",""),"/","")," ",""),8),4),--MID(LEFT(SUBSTITUTE(SUBSTITUTE(SUBSTITUTE(SUBSTITUTE(TRIM($AR795),"-",""),".",""),"/","")," ",""),8),5,2),--MID(LEFT(SUBSTITUTE(SUBSTITUTE(SUBSTITUTE(SUBSTITUTE(TRIM($AR795),"-",""),".",""),"/","")," ",""),8),7,2)),"")))</f>
        <v/>
      </c>
      <c r="AT795" s="33">
        <f>IF($AS795="","",IF($F$6="",0,IF(ISNUMBER(INDEX($A:$AP,ROW(),$F$6)),INDEX($A:$AP,ROW(),$F$6),IFERROR(--SUBSTITUTE(SUBSTITUTE(TRIM(INDEX($A:$AP,ROW(),$F$6)),",",""),"원",""),0))))</f>
        <v/>
      </c>
      <c r="AU795" s="31">
        <f>IF($AS795="","",IF($AX795&lt;&gt;"",SUBSTITUTE(SUBSTITUTE($AX795,"-","")," ",""),"N:"&amp;$AV795))</f>
        <v/>
      </c>
      <c r="AV795" s="31">
        <f>IF(OR($AS795="",$E$6=""),"",TRIM(INDEX($A:$AP,ROW(),$E$6)&amp;""))</f>
        <v/>
      </c>
      <c r="AW795" s="31">
        <f>IF($AU795="","",IF(MATCH($AU795,$AU$8:$AU$2007,0)=ROW()-7,MAX($AW$7:$AW794)+1,""))</f>
        <v/>
      </c>
      <c r="AX795" s="31">
        <f>IF(OR($AS795="",$D$6=""),"",TRIM(INDEX($A:$AP,ROW(),$D$6)&amp;""))</f>
        <v/>
      </c>
      <c r="AY795" s="31">
        <f>IF($AU795="","",INDEX($AW$8:$AW$2007,MATCH($AU795,$AU$8:$AU$2007,0)))</f>
        <v/>
      </c>
      <c r="AZ795" s="31">
        <f>IF(OR($AS795="",$C$6=""),"",TRIM(INDEX($A:$AP,ROW(),$C$6)&amp;""))</f>
        <v/>
      </c>
      <c r="BA795" s="31">
        <f>IF($AZ795="","",IF(COUNTIF($AZ$8:$AZ795,$AZ795)&gt;1,1,0))</f>
        <v/>
      </c>
    </row>
    <row r="796">
      <c r="AR796" s="31">
        <f>IF(OR($A$5="",$B$6="",ROW()&lt;$A$5),"",IF(INDEX($A:$AP,ROW(),$B$6)="","",INDEX($A:$AP,ROW(),$B$6)))</f>
        <v/>
      </c>
      <c r="AS796" s="32">
        <f>IF($AR796="","",IF(ISNUMBER($AR796),IF($AR796&gt;=10000000,IFERROR(DATE(INT($AR796/10000),MOD(INT($AR796/100),100),MOD($AR796,100)),""),INT($AR796)),IFERROR(DATE(--LEFT(LEFT(SUBSTITUTE(SUBSTITUTE(SUBSTITUTE(SUBSTITUTE(TRIM($AR796),"-",""),".",""),"/","")," ",""),8),4),--MID(LEFT(SUBSTITUTE(SUBSTITUTE(SUBSTITUTE(SUBSTITUTE(TRIM($AR796),"-",""),".",""),"/","")," ",""),8),5,2),--MID(LEFT(SUBSTITUTE(SUBSTITUTE(SUBSTITUTE(SUBSTITUTE(TRIM($AR796),"-",""),".",""),"/","")," ",""),8),7,2)),"")))</f>
        <v/>
      </c>
      <c r="AT796" s="33">
        <f>IF($AS796="","",IF($F$6="",0,IF(ISNUMBER(INDEX($A:$AP,ROW(),$F$6)),INDEX($A:$AP,ROW(),$F$6),IFERROR(--SUBSTITUTE(SUBSTITUTE(TRIM(INDEX($A:$AP,ROW(),$F$6)),",",""),"원",""),0))))</f>
        <v/>
      </c>
      <c r="AU796" s="31">
        <f>IF($AS796="","",IF($AX796&lt;&gt;"",SUBSTITUTE(SUBSTITUTE($AX796,"-","")," ",""),"N:"&amp;$AV796))</f>
        <v/>
      </c>
      <c r="AV796" s="31">
        <f>IF(OR($AS796="",$E$6=""),"",TRIM(INDEX($A:$AP,ROW(),$E$6)&amp;""))</f>
        <v/>
      </c>
      <c r="AW796" s="31">
        <f>IF($AU796="","",IF(MATCH($AU796,$AU$8:$AU$2007,0)=ROW()-7,MAX($AW$7:$AW795)+1,""))</f>
        <v/>
      </c>
      <c r="AX796" s="31">
        <f>IF(OR($AS796="",$D$6=""),"",TRIM(INDEX($A:$AP,ROW(),$D$6)&amp;""))</f>
        <v/>
      </c>
      <c r="AY796" s="31">
        <f>IF($AU796="","",INDEX($AW$8:$AW$2007,MATCH($AU796,$AU$8:$AU$2007,0)))</f>
        <v/>
      </c>
      <c r="AZ796" s="31">
        <f>IF(OR($AS796="",$C$6=""),"",TRIM(INDEX($A:$AP,ROW(),$C$6)&amp;""))</f>
        <v/>
      </c>
      <c r="BA796" s="31">
        <f>IF($AZ796="","",IF(COUNTIF($AZ$8:$AZ796,$AZ796)&gt;1,1,0))</f>
        <v/>
      </c>
    </row>
    <row r="797">
      <c r="AR797" s="31">
        <f>IF(OR($A$5="",$B$6="",ROW()&lt;$A$5),"",IF(INDEX($A:$AP,ROW(),$B$6)="","",INDEX($A:$AP,ROW(),$B$6)))</f>
        <v/>
      </c>
      <c r="AS797" s="32">
        <f>IF($AR797="","",IF(ISNUMBER($AR797),IF($AR797&gt;=10000000,IFERROR(DATE(INT($AR797/10000),MOD(INT($AR797/100),100),MOD($AR797,100)),""),INT($AR797)),IFERROR(DATE(--LEFT(LEFT(SUBSTITUTE(SUBSTITUTE(SUBSTITUTE(SUBSTITUTE(TRIM($AR797),"-",""),".",""),"/","")," ",""),8),4),--MID(LEFT(SUBSTITUTE(SUBSTITUTE(SUBSTITUTE(SUBSTITUTE(TRIM($AR797),"-",""),".",""),"/","")," ",""),8),5,2),--MID(LEFT(SUBSTITUTE(SUBSTITUTE(SUBSTITUTE(SUBSTITUTE(TRIM($AR797),"-",""),".",""),"/","")," ",""),8),7,2)),"")))</f>
        <v/>
      </c>
      <c r="AT797" s="33">
        <f>IF($AS797="","",IF($F$6="",0,IF(ISNUMBER(INDEX($A:$AP,ROW(),$F$6)),INDEX($A:$AP,ROW(),$F$6),IFERROR(--SUBSTITUTE(SUBSTITUTE(TRIM(INDEX($A:$AP,ROW(),$F$6)),",",""),"원",""),0))))</f>
        <v/>
      </c>
      <c r="AU797" s="31">
        <f>IF($AS797="","",IF($AX797&lt;&gt;"",SUBSTITUTE(SUBSTITUTE($AX797,"-","")," ",""),"N:"&amp;$AV797))</f>
        <v/>
      </c>
      <c r="AV797" s="31">
        <f>IF(OR($AS797="",$E$6=""),"",TRIM(INDEX($A:$AP,ROW(),$E$6)&amp;""))</f>
        <v/>
      </c>
      <c r="AW797" s="31">
        <f>IF($AU797="","",IF(MATCH($AU797,$AU$8:$AU$2007,0)=ROW()-7,MAX($AW$7:$AW796)+1,""))</f>
        <v/>
      </c>
      <c r="AX797" s="31">
        <f>IF(OR($AS797="",$D$6=""),"",TRIM(INDEX($A:$AP,ROW(),$D$6)&amp;""))</f>
        <v/>
      </c>
      <c r="AY797" s="31">
        <f>IF($AU797="","",INDEX($AW$8:$AW$2007,MATCH($AU797,$AU$8:$AU$2007,0)))</f>
        <v/>
      </c>
      <c r="AZ797" s="31">
        <f>IF(OR($AS797="",$C$6=""),"",TRIM(INDEX($A:$AP,ROW(),$C$6)&amp;""))</f>
        <v/>
      </c>
      <c r="BA797" s="31">
        <f>IF($AZ797="","",IF(COUNTIF($AZ$8:$AZ797,$AZ797)&gt;1,1,0))</f>
        <v/>
      </c>
    </row>
    <row r="798">
      <c r="AR798" s="31">
        <f>IF(OR($A$5="",$B$6="",ROW()&lt;$A$5),"",IF(INDEX($A:$AP,ROW(),$B$6)="","",INDEX($A:$AP,ROW(),$B$6)))</f>
        <v/>
      </c>
      <c r="AS798" s="32">
        <f>IF($AR798="","",IF(ISNUMBER($AR798),IF($AR798&gt;=10000000,IFERROR(DATE(INT($AR798/10000),MOD(INT($AR798/100),100),MOD($AR798,100)),""),INT($AR798)),IFERROR(DATE(--LEFT(LEFT(SUBSTITUTE(SUBSTITUTE(SUBSTITUTE(SUBSTITUTE(TRIM($AR798),"-",""),".",""),"/","")," ",""),8),4),--MID(LEFT(SUBSTITUTE(SUBSTITUTE(SUBSTITUTE(SUBSTITUTE(TRIM($AR798),"-",""),".",""),"/","")," ",""),8),5,2),--MID(LEFT(SUBSTITUTE(SUBSTITUTE(SUBSTITUTE(SUBSTITUTE(TRIM($AR798),"-",""),".",""),"/","")," ",""),8),7,2)),"")))</f>
        <v/>
      </c>
      <c r="AT798" s="33">
        <f>IF($AS798="","",IF($F$6="",0,IF(ISNUMBER(INDEX($A:$AP,ROW(),$F$6)),INDEX($A:$AP,ROW(),$F$6),IFERROR(--SUBSTITUTE(SUBSTITUTE(TRIM(INDEX($A:$AP,ROW(),$F$6)),",",""),"원",""),0))))</f>
        <v/>
      </c>
      <c r="AU798" s="31">
        <f>IF($AS798="","",IF($AX798&lt;&gt;"",SUBSTITUTE(SUBSTITUTE($AX798,"-","")," ",""),"N:"&amp;$AV798))</f>
        <v/>
      </c>
      <c r="AV798" s="31">
        <f>IF(OR($AS798="",$E$6=""),"",TRIM(INDEX($A:$AP,ROW(),$E$6)&amp;""))</f>
        <v/>
      </c>
      <c r="AW798" s="31">
        <f>IF($AU798="","",IF(MATCH($AU798,$AU$8:$AU$2007,0)=ROW()-7,MAX($AW$7:$AW797)+1,""))</f>
        <v/>
      </c>
      <c r="AX798" s="31">
        <f>IF(OR($AS798="",$D$6=""),"",TRIM(INDEX($A:$AP,ROW(),$D$6)&amp;""))</f>
        <v/>
      </c>
      <c r="AY798" s="31">
        <f>IF($AU798="","",INDEX($AW$8:$AW$2007,MATCH($AU798,$AU$8:$AU$2007,0)))</f>
        <v/>
      </c>
      <c r="AZ798" s="31">
        <f>IF(OR($AS798="",$C$6=""),"",TRIM(INDEX($A:$AP,ROW(),$C$6)&amp;""))</f>
        <v/>
      </c>
      <c r="BA798" s="31">
        <f>IF($AZ798="","",IF(COUNTIF($AZ$8:$AZ798,$AZ798)&gt;1,1,0))</f>
        <v/>
      </c>
    </row>
    <row r="799">
      <c r="AR799" s="31">
        <f>IF(OR($A$5="",$B$6="",ROW()&lt;$A$5),"",IF(INDEX($A:$AP,ROW(),$B$6)="","",INDEX($A:$AP,ROW(),$B$6)))</f>
        <v/>
      </c>
      <c r="AS799" s="32">
        <f>IF($AR799="","",IF(ISNUMBER($AR799),IF($AR799&gt;=10000000,IFERROR(DATE(INT($AR799/10000),MOD(INT($AR799/100),100),MOD($AR799,100)),""),INT($AR799)),IFERROR(DATE(--LEFT(LEFT(SUBSTITUTE(SUBSTITUTE(SUBSTITUTE(SUBSTITUTE(TRIM($AR799),"-",""),".",""),"/","")," ",""),8),4),--MID(LEFT(SUBSTITUTE(SUBSTITUTE(SUBSTITUTE(SUBSTITUTE(TRIM($AR799),"-",""),".",""),"/","")," ",""),8),5,2),--MID(LEFT(SUBSTITUTE(SUBSTITUTE(SUBSTITUTE(SUBSTITUTE(TRIM($AR799),"-",""),".",""),"/","")," ",""),8),7,2)),"")))</f>
        <v/>
      </c>
      <c r="AT799" s="33">
        <f>IF($AS799="","",IF($F$6="",0,IF(ISNUMBER(INDEX($A:$AP,ROW(),$F$6)),INDEX($A:$AP,ROW(),$F$6),IFERROR(--SUBSTITUTE(SUBSTITUTE(TRIM(INDEX($A:$AP,ROW(),$F$6)),",",""),"원",""),0))))</f>
        <v/>
      </c>
      <c r="AU799" s="31">
        <f>IF($AS799="","",IF($AX799&lt;&gt;"",SUBSTITUTE(SUBSTITUTE($AX799,"-","")," ",""),"N:"&amp;$AV799))</f>
        <v/>
      </c>
      <c r="AV799" s="31">
        <f>IF(OR($AS799="",$E$6=""),"",TRIM(INDEX($A:$AP,ROW(),$E$6)&amp;""))</f>
        <v/>
      </c>
      <c r="AW799" s="31">
        <f>IF($AU799="","",IF(MATCH($AU799,$AU$8:$AU$2007,0)=ROW()-7,MAX($AW$7:$AW798)+1,""))</f>
        <v/>
      </c>
      <c r="AX799" s="31">
        <f>IF(OR($AS799="",$D$6=""),"",TRIM(INDEX($A:$AP,ROW(),$D$6)&amp;""))</f>
        <v/>
      </c>
      <c r="AY799" s="31">
        <f>IF($AU799="","",INDEX($AW$8:$AW$2007,MATCH($AU799,$AU$8:$AU$2007,0)))</f>
        <v/>
      </c>
      <c r="AZ799" s="31">
        <f>IF(OR($AS799="",$C$6=""),"",TRIM(INDEX($A:$AP,ROW(),$C$6)&amp;""))</f>
        <v/>
      </c>
      <c r="BA799" s="31">
        <f>IF($AZ799="","",IF(COUNTIF($AZ$8:$AZ799,$AZ799)&gt;1,1,0))</f>
        <v/>
      </c>
    </row>
    <row r="800">
      <c r="AR800" s="31">
        <f>IF(OR($A$5="",$B$6="",ROW()&lt;$A$5),"",IF(INDEX($A:$AP,ROW(),$B$6)="","",INDEX($A:$AP,ROW(),$B$6)))</f>
        <v/>
      </c>
      <c r="AS800" s="32">
        <f>IF($AR800="","",IF(ISNUMBER($AR800),IF($AR800&gt;=10000000,IFERROR(DATE(INT($AR800/10000),MOD(INT($AR800/100),100),MOD($AR800,100)),""),INT($AR800)),IFERROR(DATE(--LEFT(LEFT(SUBSTITUTE(SUBSTITUTE(SUBSTITUTE(SUBSTITUTE(TRIM($AR800),"-",""),".",""),"/","")," ",""),8),4),--MID(LEFT(SUBSTITUTE(SUBSTITUTE(SUBSTITUTE(SUBSTITUTE(TRIM($AR800),"-",""),".",""),"/","")," ",""),8),5,2),--MID(LEFT(SUBSTITUTE(SUBSTITUTE(SUBSTITUTE(SUBSTITUTE(TRIM($AR800),"-",""),".",""),"/","")," ",""),8),7,2)),"")))</f>
        <v/>
      </c>
      <c r="AT800" s="33">
        <f>IF($AS800="","",IF($F$6="",0,IF(ISNUMBER(INDEX($A:$AP,ROW(),$F$6)),INDEX($A:$AP,ROW(),$F$6),IFERROR(--SUBSTITUTE(SUBSTITUTE(TRIM(INDEX($A:$AP,ROW(),$F$6)),",",""),"원",""),0))))</f>
        <v/>
      </c>
      <c r="AU800" s="31">
        <f>IF($AS800="","",IF($AX800&lt;&gt;"",SUBSTITUTE(SUBSTITUTE($AX800,"-","")," ",""),"N:"&amp;$AV800))</f>
        <v/>
      </c>
      <c r="AV800" s="31">
        <f>IF(OR($AS800="",$E$6=""),"",TRIM(INDEX($A:$AP,ROW(),$E$6)&amp;""))</f>
        <v/>
      </c>
      <c r="AW800" s="31">
        <f>IF($AU800="","",IF(MATCH($AU800,$AU$8:$AU$2007,0)=ROW()-7,MAX($AW$7:$AW799)+1,""))</f>
        <v/>
      </c>
      <c r="AX800" s="31">
        <f>IF(OR($AS800="",$D$6=""),"",TRIM(INDEX($A:$AP,ROW(),$D$6)&amp;""))</f>
        <v/>
      </c>
      <c r="AY800" s="31">
        <f>IF($AU800="","",INDEX($AW$8:$AW$2007,MATCH($AU800,$AU$8:$AU$2007,0)))</f>
        <v/>
      </c>
      <c r="AZ800" s="31">
        <f>IF(OR($AS800="",$C$6=""),"",TRIM(INDEX($A:$AP,ROW(),$C$6)&amp;""))</f>
        <v/>
      </c>
      <c r="BA800" s="31">
        <f>IF($AZ800="","",IF(COUNTIF($AZ$8:$AZ800,$AZ800)&gt;1,1,0))</f>
        <v/>
      </c>
    </row>
    <row r="801">
      <c r="AR801" s="31">
        <f>IF(OR($A$5="",$B$6="",ROW()&lt;$A$5),"",IF(INDEX($A:$AP,ROW(),$B$6)="","",INDEX($A:$AP,ROW(),$B$6)))</f>
        <v/>
      </c>
      <c r="AS801" s="32">
        <f>IF($AR801="","",IF(ISNUMBER($AR801),IF($AR801&gt;=10000000,IFERROR(DATE(INT($AR801/10000),MOD(INT($AR801/100),100),MOD($AR801,100)),""),INT($AR801)),IFERROR(DATE(--LEFT(LEFT(SUBSTITUTE(SUBSTITUTE(SUBSTITUTE(SUBSTITUTE(TRIM($AR801),"-",""),".",""),"/","")," ",""),8),4),--MID(LEFT(SUBSTITUTE(SUBSTITUTE(SUBSTITUTE(SUBSTITUTE(TRIM($AR801),"-",""),".",""),"/","")," ",""),8),5,2),--MID(LEFT(SUBSTITUTE(SUBSTITUTE(SUBSTITUTE(SUBSTITUTE(TRIM($AR801),"-",""),".",""),"/","")," ",""),8),7,2)),"")))</f>
        <v/>
      </c>
      <c r="AT801" s="33">
        <f>IF($AS801="","",IF($F$6="",0,IF(ISNUMBER(INDEX($A:$AP,ROW(),$F$6)),INDEX($A:$AP,ROW(),$F$6),IFERROR(--SUBSTITUTE(SUBSTITUTE(TRIM(INDEX($A:$AP,ROW(),$F$6)),",",""),"원",""),0))))</f>
        <v/>
      </c>
      <c r="AU801" s="31">
        <f>IF($AS801="","",IF($AX801&lt;&gt;"",SUBSTITUTE(SUBSTITUTE($AX801,"-","")," ",""),"N:"&amp;$AV801))</f>
        <v/>
      </c>
      <c r="AV801" s="31">
        <f>IF(OR($AS801="",$E$6=""),"",TRIM(INDEX($A:$AP,ROW(),$E$6)&amp;""))</f>
        <v/>
      </c>
      <c r="AW801" s="31">
        <f>IF($AU801="","",IF(MATCH($AU801,$AU$8:$AU$2007,0)=ROW()-7,MAX($AW$7:$AW800)+1,""))</f>
        <v/>
      </c>
      <c r="AX801" s="31">
        <f>IF(OR($AS801="",$D$6=""),"",TRIM(INDEX($A:$AP,ROW(),$D$6)&amp;""))</f>
        <v/>
      </c>
      <c r="AY801" s="31">
        <f>IF($AU801="","",INDEX($AW$8:$AW$2007,MATCH($AU801,$AU$8:$AU$2007,0)))</f>
        <v/>
      </c>
      <c r="AZ801" s="31">
        <f>IF(OR($AS801="",$C$6=""),"",TRIM(INDEX($A:$AP,ROW(),$C$6)&amp;""))</f>
        <v/>
      </c>
      <c r="BA801" s="31">
        <f>IF($AZ801="","",IF(COUNTIF($AZ$8:$AZ801,$AZ801)&gt;1,1,0))</f>
        <v/>
      </c>
    </row>
    <row r="802">
      <c r="AR802" s="31">
        <f>IF(OR($A$5="",$B$6="",ROW()&lt;$A$5),"",IF(INDEX($A:$AP,ROW(),$B$6)="","",INDEX($A:$AP,ROW(),$B$6)))</f>
        <v/>
      </c>
      <c r="AS802" s="32">
        <f>IF($AR802="","",IF(ISNUMBER($AR802),IF($AR802&gt;=10000000,IFERROR(DATE(INT($AR802/10000),MOD(INT($AR802/100),100),MOD($AR802,100)),""),INT($AR802)),IFERROR(DATE(--LEFT(LEFT(SUBSTITUTE(SUBSTITUTE(SUBSTITUTE(SUBSTITUTE(TRIM($AR802),"-",""),".",""),"/","")," ",""),8),4),--MID(LEFT(SUBSTITUTE(SUBSTITUTE(SUBSTITUTE(SUBSTITUTE(TRIM($AR802),"-",""),".",""),"/","")," ",""),8),5,2),--MID(LEFT(SUBSTITUTE(SUBSTITUTE(SUBSTITUTE(SUBSTITUTE(TRIM($AR802),"-",""),".",""),"/","")," ",""),8),7,2)),"")))</f>
        <v/>
      </c>
      <c r="AT802" s="33">
        <f>IF($AS802="","",IF($F$6="",0,IF(ISNUMBER(INDEX($A:$AP,ROW(),$F$6)),INDEX($A:$AP,ROW(),$F$6),IFERROR(--SUBSTITUTE(SUBSTITUTE(TRIM(INDEX($A:$AP,ROW(),$F$6)),",",""),"원",""),0))))</f>
        <v/>
      </c>
      <c r="AU802" s="31">
        <f>IF($AS802="","",IF($AX802&lt;&gt;"",SUBSTITUTE(SUBSTITUTE($AX802,"-","")," ",""),"N:"&amp;$AV802))</f>
        <v/>
      </c>
      <c r="AV802" s="31">
        <f>IF(OR($AS802="",$E$6=""),"",TRIM(INDEX($A:$AP,ROW(),$E$6)&amp;""))</f>
        <v/>
      </c>
      <c r="AW802" s="31">
        <f>IF($AU802="","",IF(MATCH($AU802,$AU$8:$AU$2007,0)=ROW()-7,MAX($AW$7:$AW801)+1,""))</f>
        <v/>
      </c>
      <c r="AX802" s="31">
        <f>IF(OR($AS802="",$D$6=""),"",TRIM(INDEX($A:$AP,ROW(),$D$6)&amp;""))</f>
        <v/>
      </c>
      <c r="AY802" s="31">
        <f>IF($AU802="","",INDEX($AW$8:$AW$2007,MATCH($AU802,$AU$8:$AU$2007,0)))</f>
        <v/>
      </c>
      <c r="AZ802" s="31">
        <f>IF(OR($AS802="",$C$6=""),"",TRIM(INDEX($A:$AP,ROW(),$C$6)&amp;""))</f>
        <v/>
      </c>
      <c r="BA802" s="31">
        <f>IF($AZ802="","",IF(COUNTIF($AZ$8:$AZ802,$AZ802)&gt;1,1,0))</f>
        <v/>
      </c>
    </row>
    <row r="803">
      <c r="AR803" s="31">
        <f>IF(OR($A$5="",$B$6="",ROW()&lt;$A$5),"",IF(INDEX($A:$AP,ROW(),$B$6)="","",INDEX($A:$AP,ROW(),$B$6)))</f>
        <v/>
      </c>
      <c r="AS803" s="32">
        <f>IF($AR803="","",IF(ISNUMBER($AR803),IF($AR803&gt;=10000000,IFERROR(DATE(INT($AR803/10000),MOD(INT($AR803/100),100),MOD($AR803,100)),""),INT($AR803)),IFERROR(DATE(--LEFT(LEFT(SUBSTITUTE(SUBSTITUTE(SUBSTITUTE(SUBSTITUTE(TRIM($AR803),"-",""),".",""),"/","")," ",""),8),4),--MID(LEFT(SUBSTITUTE(SUBSTITUTE(SUBSTITUTE(SUBSTITUTE(TRIM($AR803),"-",""),".",""),"/","")," ",""),8),5,2),--MID(LEFT(SUBSTITUTE(SUBSTITUTE(SUBSTITUTE(SUBSTITUTE(TRIM($AR803),"-",""),".",""),"/","")," ",""),8),7,2)),"")))</f>
        <v/>
      </c>
      <c r="AT803" s="33">
        <f>IF($AS803="","",IF($F$6="",0,IF(ISNUMBER(INDEX($A:$AP,ROW(),$F$6)),INDEX($A:$AP,ROW(),$F$6),IFERROR(--SUBSTITUTE(SUBSTITUTE(TRIM(INDEX($A:$AP,ROW(),$F$6)),",",""),"원",""),0))))</f>
        <v/>
      </c>
      <c r="AU803" s="31">
        <f>IF($AS803="","",IF($AX803&lt;&gt;"",SUBSTITUTE(SUBSTITUTE($AX803,"-","")," ",""),"N:"&amp;$AV803))</f>
        <v/>
      </c>
      <c r="AV803" s="31">
        <f>IF(OR($AS803="",$E$6=""),"",TRIM(INDEX($A:$AP,ROW(),$E$6)&amp;""))</f>
        <v/>
      </c>
      <c r="AW803" s="31">
        <f>IF($AU803="","",IF(MATCH($AU803,$AU$8:$AU$2007,0)=ROW()-7,MAX($AW$7:$AW802)+1,""))</f>
        <v/>
      </c>
      <c r="AX803" s="31">
        <f>IF(OR($AS803="",$D$6=""),"",TRIM(INDEX($A:$AP,ROW(),$D$6)&amp;""))</f>
        <v/>
      </c>
      <c r="AY803" s="31">
        <f>IF($AU803="","",INDEX($AW$8:$AW$2007,MATCH($AU803,$AU$8:$AU$2007,0)))</f>
        <v/>
      </c>
      <c r="AZ803" s="31">
        <f>IF(OR($AS803="",$C$6=""),"",TRIM(INDEX($A:$AP,ROW(),$C$6)&amp;""))</f>
        <v/>
      </c>
      <c r="BA803" s="31">
        <f>IF($AZ803="","",IF(COUNTIF($AZ$8:$AZ803,$AZ803)&gt;1,1,0))</f>
        <v/>
      </c>
    </row>
    <row r="804">
      <c r="AR804" s="31">
        <f>IF(OR($A$5="",$B$6="",ROW()&lt;$A$5),"",IF(INDEX($A:$AP,ROW(),$B$6)="","",INDEX($A:$AP,ROW(),$B$6)))</f>
        <v/>
      </c>
      <c r="AS804" s="32">
        <f>IF($AR804="","",IF(ISNUMBER($AR804),IF($AR804&gt;=10000000,IFERROR(DATE(INT($AR804/10000),MOD(INT($AR804/100),100),MOD($AR804,100)),""),INT($AR804)),IFERROR(DATE(--LEFT(LEFT(SUBSTITUTE(SUBSTITUTE(SUBSTITUTE(SUBSTITUTE(TRIM($AR804),"-",""),".",""),"/","")," ",""),8),4),--MID(LEFT(SUBSTITUTE(SUBSTITUTE(SUBSTITUTE(SUBSTITUTE(TRIM($AR804),"-",""),".",""),"/","")," ",""),8),5,2),--MID(LEFT(SUBSTITUTE(SUBSTITUTE(SUBSTITUTE(SUBSTITUTE(TRIM($AR804),"-",""),".",""),"/","")," ",""),8),7,2)),"")))</f>
        <v/>
      </c>
      <c r="AT804" s="33">
        <f>IF($AS804="","",IF($F$6="",0,IF(ISNUMBER(INDEX($A:$AP,ROW(),$F$6)),INDEX($A:$AP,ROW(),$F$6),IFERROR(--SUBSTITUTE(SUBSTITUTE(TRIM(INDEX($A:$AP,ROW(),$F$6)),",",""),"원",""),0))))</f>
        <v/>
      </c>
      <c r="AU804" s="31">
        <f>IF($AS804="","",IF($AX804&lt;&gt;"",SUBSTITUTE(SUBSTITUTE($AX804,"-","")," ",""),"N:"&amp;$AV804))</f>
        <v/>
      </c>
      <c r="AV804" s="31">
        <f>IF(OR($AS804="",$E$6=""),"",TRIM(INDEX($A:$AP,ROW(),$E$6)&amp;""))</f>
        <v/>
      </c>
      <c r="AW804" s="31">
        <f>IF($AU804="","",IF(MATCH($AU804,$AU$8:$AU$2007,0)=ROW()-7,MAX($AW$7:$AW803)+1,""))</f>
        <v/>
      </c>
      <c r="AX804" s="31">
        <f>IF(OR($AS804="",$D$6=""),"",TRIM(INDEX($A:$AP,ROW(),$D$6)&amp;""))</f>
        <v/>
      </c>
      <c r="AY804" s="31">
        <f>IF($AU804="","",INDEX($AW$8:$AW$2007,MATCH($AU804,$AU$8:$AU$2007,0)))</f>
        <v/>
      </c>
      <c r="AZ804" s="31">
        <f>IF(OR($AS804="",$C$6=""),"",TRIM(INDEX($A:$AP,ROW(),$C$6)&amp;""))</f>
        <v/>
      </c>
      <c r="BA804" s="31">
        <f>IF($AZ804="","",IF(COUNTIF($AZ$8:$AZ804,$AZ804)&gt;1,1,0))</f>
        <v/>
      </c>
    </row>
    <row r="805">
      <c r="AR805" s="31">
        <f>IF(OR($A$5="",$B$6="",ROW()&lt;$A$5),"",IF(INDEX($A:$AP,ROW(),$B$6)="","",INDEX($A:$AP,ROW(),$B$6)))</f>
        <v/>
      </c>
      <c r="AS805" s="32">
        <f>IF($AR805="","",IF(ISNUMBER($AR805),IF($AR805&gt;=10000000,IFERROR(DATE(INT($AR805/10000),MOD(INT($AR805/100),100),MOD($AR805,100)),""),INT($AR805)),IFERROR(DATE(--LEFT(LEFT(SUBSTITUTE(SUBSTITUTE(SUBSTITUTE(SUBSTITUTE(TRIM($AR805),"-",""),".",""),"/","")," ",""),8),4),--MID(LEFT(SUBSTITUTE(SUBSTITUTE(SUBSTITUTE(SUBSTITUTE(TRIM($AR805),"-",""),".",""),"/","")," ",""),8),5,2),--MID(LEFT(SUBSTITUTE(SUBSTITUTE(SUBSTITUTE(SUBSTITUTE(TRIM($AR805),"-",""),".",""),"/","")," ",""),8),7,2)),"")))</f>
        <v/>
      </c>
      <c r="AT805" s="33">
        <f>IF($AS805="","",IF($F$6="",0,IF(ISNUMBER(INDEX($A:$AP,ROW(),$F$6)),INDEX($A:$AP,ROW(),$F$6),IFERROR(--SUBSTITUTE(SUBSTITUTE(TRIM(INDEX($A:$AP,ROW(),$F$6)),",",""),"원",""),0))))</f>
        <v/>
      </c>
      <c r="AU805" s="31">
        <f>IF($AS805="","",IF($AX805&lt;&gt;"",SUBSTITUTE(SUBSTITUTE($AX805,"-","")," ",""),"N:"&amp;$AV805))</f>
        <v/>
      </c>
      <c r="AV805" s="31">
        <f>IF(OR($AS805="",$E$6=""),"",TRIM(INDEX($A:$AP,ROW(),$E$6)&amp;""))</f>
        <v/>
      </c>
      <c r="AW805" s="31">
        <f>IF($AU805="","",IF(MATCH($AU805,$AU$8:$AU$2007,0)=ROW()-7,MAX($AW$7:$AW804)+1,""))</f>
        <v/>
      </c>
      <c r="AX805" s="31">
        <f>IF(OR($AS805="",$D$6=""),"",TRIM(INDEX($A:$AP,ROW(),$D$6)&amp;""))</f>
        <v/>
      </c>
      <c r="AY805" s="31">
        <f>IF($AU805="","",INDEX($AW$8:$AW$2007,MATCH($AU805,$AU$8:$AU$2007,0)))</f>
        <v/>
      </c>
      <c r="AZ805" s="31">
        <f>IF(OR($AS805="",$C$6=""),"",TRIM(INDEX($A:$AP,ROW(),$C$6)&amp;""))</f>
        <v/>
      </c>
      <c r="BA805" s="31">
        <f>IF($AZ805="","",IF(COUNTIF($AZ$8:$AZ805,$AZ805)&gt;1,1,0))</f>
        <v/>
      </c>
    </row>
    <row r="806">
      <c r="AR806" s="31">
        <f>IF(OR($A$5="",$B$6="",ROW()&lt;$A$5),"",IF(INDEX($A:$AP,ROW(),$B$6)="","",INDEX($A:$AP,ROW(),$B$6)))</f>
        <v/>
      </c>
      <c r="AS806" s="32">
        <f>IF($AR806="","",IF(ISNUMBER($AR806),IF($AR806&gt;=10000000,IFERROR(DATE(INT($AR806/10000),MOD(INT($AR806/100),100),MOD($AR806,100)),""),INT($AR806)),IFERROR(DATE(--LEFT(LEFT(SUBSTITUTE(SUBSTITUTE(SUBSTITUTE(SUBSTITUTE(TRIM($AR806),"-",""),".",""),"/","")," ",""),8),4),--MID(LEFT(SUBSTITUTE(SUBSTITUTE(SUBSTITUTE(SUBSTITUTE(TRIM($AR806),"-",""),".",""),"/","")," ",""),8),5,2),--MID(LEFT(SUBSTITUTE(SUBSTITUTE(SUBSTITUTE(SUBSTITUTE(TRIM($AR806),"-",""),".",""),"/","")," ",""),8),7,2)),"")))</f>
        <v/>
      </c>
      <c r="AT806" s="33">
        <f>IF($AS806="","",IF($F$6="",0,IF(ISNUMBER(INDEX($A:$AP,ROW(),$F$6)),INDEX($A:$AP,ROW(),$F$6),IFERROR(--SUBSTITUTE(SUBSTITUTE(TRIM(INDEX($A:$AP,ROW(),$F$6)),",",""),"원",""),0))))</f>
        <v/>
      </c>
      <c r="AU806" s="31">
        <f>IF($AS806="","",IF($AX806&lt;&gt;"",SUBSTITUTE(SUBSTITUTE($AX806,"-","")," ",""),"N:"&amp;$AV806))</f>
        <v/>
      </c>
      <c r="AV806" s="31">
        <f>IF(OR($AS806="",$E$6=""),"",TRIM(INDEX($A:$AP,ROW(),$E$6)&amp;""))</f>
        <v/>
      </c>
      <c r="AW806" s="31">
        <f>IF($AU806="","",IF(MATCH($AU806,$AU$8:$AU$2007,0)=ROW()-7,MAX($AW$7:$AW805)+1,""))</f>
        <v/>
      </c>
      <c r="AX806" s="31">
        <f>IF(OR($AS806="",$D$6=""),"",TRIM(INDEX($A:$AP,ROW(),$D$6)&amp;""))</f>
        <v/>
      </c>
      <c r="AY806" s="31">
        <f>IF($AU806="","",INDEX($AW$8:$AW$2007,MATCH($AU806,$AU$8:$AU$2007,0)))</f>
        <v/>
      </c>
      <c r="AZ806" s="31">
        <f>IF(OR($AS806="",$C$6=""),"",TRIM(INDEX($A:$AP,ROW(),$C$6)&amp;""))</f>
        <v/>
      </c>
      <c r="BA806" s="31">
        <f>IF($AZ806="","",IF(COUNTIF($AZ$8:$AZ806,$AZ806)&gt;1,1,0))</f>
        <v/>
      </c>
    </row>
    <row r="807">
      <c r="AR807" s="31">
        <f>IF(OR($A$5="",$B$6="",ROW()&lt;$A$5),"",IF(INDEX($A:$AP,ROW(),$B$6)="","",INDEX($A:$AP,ROW(),$B$6)))</f>
        <v/>
      </c>
      <c r="AS807" s="32">
        <f>IF($AR807="","",IF(ISNUMBER($AR807),IF($AR807&gt;=10000000,IFERROR(DATE(INT($AR807/10000),MOD(INT($AR807/100),100),MOD($AR807,100)),""),INT($AR807)),IFERROR(DATE(--LEFT(LEFT(SUBSTITUTE(SUBSTITUTE(SUBSTITUTE(SUBSTITUTE(TRIM($AR807),"-",""),".",""),"/","")," ",""),8),4),--MID(LEFT(SUBSTITUTE(SUBSTITUTE(SUBSTITUTE(SUBSTITUTE(TRIM($AR807),"-",""),".",""),"/","")," ",""),8),5,2),--MID(LEFT(SUBSTITUTE(SUBSTITUTE(SUBSTITUTE(SUBSTITUTE(TRIM($AR807),"-",""),".",""),"/","")," ",""),8),7,2)),"")))</f>
        <v/>
      </c>
      <c r="AT807" s="33">
        <f>IF($AS807="","",IF($F$6="",0,IF(ISNUMBER(INDEX($A:$AP,ROW(),$F$6)),INDEX($A:$AP,ROW(),$F$6),IFERROR(--SUBSTITUTE(SUBSTITUTE(TRIM(INDEX($A:$AP,ROW(),$F$6)),",",""),"원",""),0))))</f>
        <v/>
      </c>
      <c r="AU807" s="31">
        <f>IF($AS807="","",IF($AX807&lt;&gt;"",SUBSTITUTE(SUBSTITUTE($AX807,"-","")," ",""),"N:"&amp;$AV807))</f>
        <v/>
      </c>
      <c r="AV807" s="31">
        <f>IF(OR($AS807="",$E$6=""),"",TRIM(INDEX($A:$AP,ROW(),$E$6)&amp;""))</f>
        <v/>
      </c>
      <c r="AW807" s="31">
        <f>IF($AU807="","",IF(MATCH($AU807,$AU$8:$AU$2007,0)=ROW()-7,MAX($AW$7:$AW806)+1,""))</f>
        <v/>
      </c>
      <c r="AX807" s="31">
        <f>IF(OR($AS807="",$D$6=""),"",TRIM(INDEX($A:$AP,ROW(),$D$6)&amp;""))</f>
        <v/>
      </c>
      <c r="AY807" s="31">
        <f>IF($AU807="","",INDEX($AW$8:$AW$2007,MATCH($AU807,$AU$8:$AU$2007,0)))</f>
        <v/>
      </c>
      <c r="AZ807" s="31">
        <f>IF(OR($AS807="",$C$6=""),"",TRIM(INDEX($A:$AP,ROW(),$C$6)&amp;""))</f>
        <v/>
      </c>
      <c r="BA807" s="31">
        <f>IF($AZ807="","",IF(COUNTIF($AZ$8:$AZ807,$AZ807)&gt;1,1,0))</f>
        <v/>
      </c>
    </row>
    <row r="808">
      <c r="AR808" s="31">
        <f>IF(OR($A$5="",$B$6="",ROW()&lt;$A$5),"",IF(INDEX($A:$AP,ROW(),$B$6)="","",INDEX($A:$AP,ROW(),$B$6)))</f>
        <v/>
      </c>
      <c r="AS808" s="32">
        <f>IF($AR808="","",IF(ISNUMBER($AR808),IF($AR808&gt;=10000000,IFERROR(DATE(INT($AR808/10000),MOD(INT($AR808/100),100),MOD($AR808,100)),""),INT($AR808)),IFERROR(DATE(--LEFT(LEFT(SUBSTITUTE(SUBSTITUTE(SUBSTITUTE(SUBSTITUTE(TRIM($AR808),"-",""),".",""),"/","")," ",""),8),4),--MID(LEFT(SUBSTITUTE(SUBSTITUTE(SUBSTITUTE(SUBSTITUTE(TRIM($AR808),"-",""),".",""),"/","")," ",""),8),5,2),--MID(LEFT(SUBSTITUTE(SUBSTITUTE(SUBSTITUTE(SUBSTITUTE(TRIM($AR808),"-",""),".",""),"/","")," ",""),8),7,2)),"")))</f>
        <v/>
      </c>
      <c r="AT808" s="33">
        <f>IF($AS808="","",IF($F$6="",0,IF(ISNUMBER(INDEX($A:$AP,ROW(),$F$6)),INDEX($A:$AP,ROW(),$F$6),IFERROR(--SUBSTITUTE(SUBSTITUTE(TRIM(INDEX($A:$AP,ROW(),$F$6)),",",""),"원",""),0))))</f>
        <v/>
      </c>
      <c r="AU808" s="31">
        <f>IF($AS808="","",IF($AX808&lt;&gt;"",SUBSTITUTE(SUBSTITUTE($AX808,"-","")," ",""),"N:"&amp;$AV808))</f>
        <v/>
      </c>
      <c r="AV808" s="31">
        <f>IF(OR($AS808="",$E$6=""),"",TRIM(INDEX($A:$AP,ROW(),$E$6)&amp;""))</f>
        <v/>
      </c>
      <c r="AW808" s="31">
        <f>IF($AU808="","",IF(MATCH($AU808,$AU$8:$AU$2007,0)=ROW()-7,MAX($AW$7:$AW807)+1,""))</f>
        <v/>
      </c>
      <c r="AX808" s="31">
        <f>IF(OR($AS808="",$D$6=""),"",TRIM(INDEX($A:$AP,ROW(),$D$6)&amp;""))</f>
        <v/>
      </c>
      <c r="AY808" s="31">
        <f>IF($AU808="","",INDEX($AW$8:$AW$2007,MATCH($AU808,$AU$8:$AU$2007,0)))</f>
        <v/>
      </c>
      <c r="AZ808" s="31">
        <f>IF(OR($AS808="",$C$6=""),"",TRIM(INDEX($A:$AP,ROW(),$C$6)&amp;""))</f>
        <v/>
      </c>
      <c r="BA808" s="31">
        <f>IF($AZ808="","",IF(COUNTIF($AZ$8:$AZ808,$AZ808)&gt;1,1,0))</f>
        <v/>
      </c>
    </row>
    <row r="809">
      <c r="AR809" s="31">
        <f>IF(OR($A$5="",$B$6="",ROW()&lt;$A$5),"",IF(INDEX($A:$AP,ROW(),$B$6)="","",INDEX($A:$AP,ROW(),$B$6)))</f>
        <v/>
      </c>
      <c r="AS809" s="32">
        <f>IF($AR809="","",IF(ISNUMBER($AR809),IF($AR809&gt;=10000000,IFERROR(DATE(INT($AR809/10000),MOD(INT($AR809/100),100),MOD($AR809,100)),""),INT($AR809)),IFERROR(DATE(--LEFT(LEFT(SUBSTITUTE(SUBSTITUTE(SUBSTITUTE(SUBSTITUTE(TRIM($AR809),"-",""),".",""),"/","")," ",""),8),4),--MID(LEFT(SUBSTITUTE(SUBSTITUTE(SUBSTITUTE(SUBSTITUTE(TRIM($AR809),"-",""),".",""),"/","")," ",""),8),5,2),--MID(LEFT(SUBSTITUTE(SUBSTITUTE(SUBSTITUTE(SUBSTITUTE(TRIM($AR809),"-",""),".",""),"/","")," ",""),8),7,2)),"")))</f>
        <v/>
      </c>
      <c r="AT809" s="33">
        <f>IF($AS809="","",IF($F$6="",0,IF(ISNUMBER(INDEX($A:$AP,ROW(),$F$6)),INDEX($A:$AP,ROW(),$F$6),IFERROR(--SUBSTITUTE(SUBSTITUTE(TRIM(INDEX($A:$AP,ROW(),$F$6)),",",""),"원",""),0))))</f>
        <v/>
      </c>
      <c r="AU809" s="31">
        <f>IF($AS809="","",IF($AX809&lt;&gt;"",SUBSTITUTE(SUBSTITUTE($AX809,"-","")," ",""),"N:"&amp;$AV809))</f>
        <v/>
      </c>
      <c r="AV809" s="31">
        <f>IF(OR($AS809="",$E$6=""),"",TRIM(INDEX($A:$AP,ROW(),$E$6)&amp;""))</f>
        <v/>
      </c>
      <c r="AW809" s="31">
        <f>IF($AU809="","",IF(MATCH($AU809,$AU$8:$AU$2007,0)=ROW()-7,MAX($AW$7:$AW808)+1,""))</f>
        <v/>
      </c>
      <c r="AX809" s="31">
        <f>IF(OR($AS809="",$D$6=""),"",TRIM(INDEX($A:$AP,ROW(),$D$6)&amp;""))</f>
        <v/>
      </c>
      <c r="AY809" s="31">
        <f>IF($AU809="","",INDEX($AW$8:$AW$2007,MATCH($AU809,$AU$8:$AU$2007,0)))</f>
        <v/>
      </c>
      <c r="AZ809" s="31">
        <f>IF(OR($AS809="",$C$6=""),"",TRIM(INDEX($A:$AP,ROW(),$C$6)&amp;""))</f>
        <v/>
      </c>
      <c r="BA809" s="31">
        <f>IF($AZ809="","",IF(COUNTIF($AZ$8:$AZ809,$AZ809)&gt;1,1,0))</f>
        <v/>
      </c>
    </row>
    <row r="810">
      <c r="AR810" s="31">
        <f>IF(OR($A$5="",$B$6="",ROW()&lt;$A$5),"",IF(INDEX($A:$AP,ROW(),$B$6)="","",INDEX($A:$AP,ROW(),$B$6)))</f>
        <v/>
      </c>
      <c r="AS810" s="32">
        <f>IF($AR810="","",IF(ISNUMBER($AR810),IF($AR810&gt;=10000000,IFERROR(DATE(INT($AR810/10000),MOD(INT($AR810/100),100),MOD($AR810,100)),""),INT($AR810)),IFERROR(DATE(--LEFT(LEFT(SUBSTITUTE(SUBSTITUTE(SUBSTITUTE(SUBSTITUTE(TRIM($AR810),"-",""),".",""),"/","")," ",""),8),4),--MID(LEFT(SUBSTITUTE(SUBSTITUTE(SUBSTITUTE(SUBSTITUTE(TRIM($AR810),"-",""),".",""),"/","")," ",""),8),5,2),--MID(LEFT(SUBSTITUTE(SUBSTITUTE(SUBSTITUTE(SUBSTITUTE(TRIM($AR810),"-",""),".",""),"/","")," ",""),8),7,2)),"")))</f>
        <v/>
      </c>
      <c r="AT810" s="33">
        <f>IF($AS810="","",IF($F$6="",0,IF(ISNUMBER(INDEX($A:$AP,ROW(),$F$6)),INDEX($A:$AP,ROW(),$F$6),IFERROR(--SUBSTITUTE(SUBSTITUTE(TRIM(INDEX($A:$AP,ROW(),$F$6)),",",""),"원",""),0))))</f>
        <v/>
      </c>
      <c r="AU810" s="31">
        <f>IF($AS810="","",IF($AX810&lt;&gt;"",SUBSTITUTE(SUBSTITUTE($AX810,"-","")," ",""),"N:"&amp;$AV810))</f>
        <v/>
      </c>
      <c r="AV810" s="31">
        <f>IF(OR($AS810="",$E$6=""),"",TRIM(INDEX($A:$AP,ROW(),$E$6)&amp;""))</f>
        <v/>
      </c>
      <c r="AW810" s="31">
        <f>IF($AU810="","",IF(MATCH($AU810,$AU$8:$AU$2007,0)=ROW()-7,MAX($AW$7:$AW809)+1,""))</f>
        <v/>
      </c>
      <c r="AX810" s="31">
        <f>IF(OR($AS810="",$D$6=""),"",TRIM(INDEX($A:$AP,ROW(),$D$6)&amp;""))</f>
        <v/>
      </c>
      <c r="AY810" s="31">
        <f>IF($AU810="","",INDEX($AW$8:$AW$2007,MATCH($AU810,$AU$8:$AU$2007,0)))</f>
        <v/>
      </c>
      <c r="AZ810" s="31">
        <f>IF(OR($AS810="",$C$6=""),"",TRIM(INDEX($A:$AP,ROW(),$C$6)&amp;""))</f>
        <v/>
      </c>
      <c r="BA810" s="31">
        <f>IF($AZ810="","",IF(COUNTIF($AZ$8:$AZ810,$AZ810)&gt;1,1,0))</f>
        <v/>
      </c>
    </row>
    <row r="811">
      <c r="AR811" s="31">
        <f>IF(OR($A$5="",$B$6="",ROW()&lt;$A$5),"",IF(INDEX($A:$AP,ROW(),$B$6)="","",INDEX($A:$AP,ROW(),$B$6)))</f>
        <v/>
      </c>
      <c r="AS811" s="32">
        <f>IF($AR811="","",IF(ISNUMBER($AR811),IF($AR811&gt;=10000000,IFERROR(DATE(INT($AR811/10000),MOD(INT($AR811/100),100),MOD($AR811,100)),""),INT($AR811)),IFERROR(DATE(--LEFT(LEFT(SUBSTITUTE(SUBSTITUTE(SUBSTITUTE(SUBSTITUTE(TRIM($AR811),"-",""),".",""),"/","")," ",""),8),4),--MID(LEFT(SUBSTITUTE(SUBSTITUTE(SUBSTITUTE(SUBSTITUTE(TRIM($AR811),"-",""),".",""),"/","")," ",""),8),5,2),--MID(LEFT(SUBSTITUTE(SUBSTITUTE(SUBSTITUTE(SUBSTITUTE(TRIM($AR811),"-",""),".",""),"/","")," ",""),8),7,2)),"")))</f>
        <v/>
      </c>
      <c r="AT811" s="33">
        <f>IF($AS811="","",IF($F$6="",0,IF(ISNUMBER(INDEX($A:$AP,ROW(),$F$6)),INDEX($A:$AP,ROW(),$F$6),IFERROR(--SUBSTITUTE(SUBSTITUTE(TRIM(INDEX($A:$AP,ROW(),$F$6)),",",""),"원",""),0))))</f>
        <v/>
      </c>
      <c r="AU811" s="31">
        <f>IF($AS811="","",IF($AX811&lt;&gt;"",SUBSTITUTE(SUBSTITUTE($AX811,"-","")," ",""),"N:"&amp;$AV811))</f>
        <v/>
      </c>
      <c r="AV811" s="31">
        <f>IF(OR($AS811="",$E$6=""),"",TRIM(INDEX($A:$AP,ROW(),$E$6)&amp;""))</f>
        <v/>
      </c>
      <c r="AW811" s="31">
        <f>IF($AU811="","",IF(MATCH($AU811,$AU$8:$AU$2007,0)=ROW()-7,MAX($AW$7:$AW810)+1,""))</f>
        <v/>
      </c>
      <c r="AX811" s="31">
        <f>IF(OR($AS811="",$D$6=""),"",TRIM(INDEX($A:$AP,ROW(),$D$6)&amp;""))</f>
        <v/>
      </c>
      <c r="AY811" s="31">
        <f>IF($AU811="","",INDEX($AW$8:$AW$2007,MATCH($AU811,$AU$8:$AU$2007,0)))</f>
        <v/>
      </c>
      <c r="AZ811" s="31">
        <f>IF(OR($AS811="",$C$6=""),"",TRIM(INDEX($A:$AP,ROW(),$C$6)&amp;""))</f>
        <v/>
      </c>
      <c r="BA811" s="31">
        <f>IF($AZ811="","",IF(COUNTIF($AZ$8:$AZ811,$AZ811)&gt;1,1,0))</f>
        <v/>
      </c>
    </row>
    <row r="812">
      <c r="AR812" s="31">
        <f>IF(OR($A$5="",$B$6="",ROW()&lt;$A$5),"",IF(INDEX($A:$AP,ROW(),$B$6)="","",INDEX($A:$AP,ROW(),$B$6)))</f>
        <v/>
      </c>
      <c r="AS812" s="32">
        <f>IF($AR812="","",IF(ISNUMBER($AR812),IF($AR812&gt;=10000000,IFERROR(DATE(INT($AR812/10000),MOD(INT($AR812/100),100),MOD($AR812,100)),""),INT($AR812)),IFERROR(DATE(--LEFT(LEFT(SUBSTITUTE(SUBSTITUTE(SUBSTITUTE(SUBSTITUTE(TRIM($AR812),"-",""),".",""),"/","")," ",""),8),4),--MID(LEFT(SUBSTITUTE(SUBSTITUTE(SUBSTITUTE(SUBSTITUTE(TRIM($AR812),"-",""),".",""),"/","")," ",""),8),5,2),--MID(LEFT(SUBSTITUTE(SUBSTITUTE(SUBSTITUTE(SUBSTITUTE(TRIM($AR812),"-",""),".",""),"/","")," ",""),8),7,2)),"")))</f>
        <v/>
      </c>
      <c r="AT812" s="33">
        <f>IF($AS812="","",IF($F$6="",0,IF(ISNUMBER(INDEX($A:$AP,ROW(),$F$6)),INDEX($A:$AP,ROW(),$F$6),IFERROR(--SUBSTITUTE(SUBSTITUTE(TRIM(INDEX($A:$AP,ROW(),$F$6)),",",""),"원",""),0))))</f>
        <v/>
      </c>
      <c r="AU812" s="31">
        <f>IF($AS812="","",IF($AX812&lt;&gt;"",SUBSTITUTE(SUBSTITUTE($AX812,"-","")," ",""),"N:"&amp;$AV812))</f>
        <v/>
      </c>
      <c r="AV812" s="31">
        <f>IF(OR($AS812="",$E$6=""),"",TRIM(INDEX($A:$AP,ROW(),$E$6)&amp;""))</f>
        <v/>
      </c>
      <c r="AW812" s="31">
        <f>IF($AU812="","",IF(MATCH($AU812,$AU$8:$AU$2007,0)=ROW()-7,MAX($AW$7:$AW811)+1,""))</f>
        <v/>
      </c>
      <c r="AX812" s="31">
        <f>IF(OR($AS812="",$D$6=""),"",TRIM(INDEX($A:$AP,ROW(),$D$6)&amp;""))</f>
        <v/>
      </c>
      <c r="AY812" s="31">
        <f>IF($AU812="","",INDEX($AW$8:$AW$2007,MATCH($AU812,$AU$8:$AU$2007,0)))</f>
        <v/>
      </c>
      <c r="AZ812" s="31">
        <f>IF(OR($AS812="",$C$6=""),"",TRIM(INDEX($A:$AP,ROW(),$C$6)&amp;""))</f>
        <v/>
      </c>
      <c r="BA812" s="31">
        <f>IF($AZ812="","",IF(COUNTIF($AZ$8:$AZ812,$AZ812)&gt;1,1,0))</f>
        <v/>
      </c>
    </row>
    <row r="813">
      <c r="AR813" s="31">
        <f>IF(OR($A$5="",$B$6="",ROW()&lt;$A$5),"",IF(INDEX($A:$AP,ROW(),$B$6)="","",INDEX($A:$AP,ROW(),$B$6)))</f>
        <v/>
      </c>
      <c r="AS813" s="32">
        <f>IF($AR813="","",IF(ISNUMBER($AR813),IF($AR813&gt;=10000000,IFERROR(DATE(INT($AR813/10000),MOD(INT($AR813/100),100),MOD($AR813,100)),""),INT($AR813)),IFERROR(DATE(--LEFT(LEFT(SUBSTITUTE(SUBSTITUTE(SUBSTITUTE(SUBSTITUTE(TRIM($AR813),"-",""),".",""),"/","")," ",""),8),4),--MID(LEFT(SUBSTITUTE(SUBSTITUTE(SUBSTITUTE(SUBSTITUTE(TRIM($AR813),"-",""),".",""),"/","")," ",""),8),5,2),--MID(LEFT(SUBSTITUTE(SUBSTITUTE(SUBSTITUTE(SUBSTITUTE(TRIM($AR813),"-",""),".",""),"/","")," ",""),8),7,2)),"")))</f>
        <v/>
      </c>
      <c r="AT813" s="33">
        <f>IF($AS813="","",IF($F$6="",0,IF(ISNUMBER(INDEX($A:$AP,ROW(),$F$6)),INDEX($A:$AP,ROW(),$F$6),IFERROR(--SUBSTITUTE(SUBSTITUTE(TRIM(INDEX($A:$AP,ROW(),$F$6)),",",""),"원",""),0))))</f>
        <v/>
      </c>
      <c r="AU813" s="31">
        <f>IF($AS813="","",IF($AX813&lt;&gt;"",SUBSTITUTE(SUBSTITUTE($AX813,"-","")," ",""),"N:"&amp;$AV813))</f>
        <v/>
      </c>
      <c r="AV813" s="31">
        <f>IF(OR($AS813="",$E$6=""),"",TRIM(INDEX($A:$AP,ROW(),$E$6)&amp;""))</f>
        <v/>
      </c>
      <c r="AW813" s="31">
        <f>IF($AU813="","",IF(MATCH($AU813,$AU$8:$AU$2007,0)=ROW()-7,MAX($AW$7:$AW812)+1,""))</f>
        <v/>
      </c>
      <c r="AX813" s="31">
        <f>IF(OR($AS813="",$D$6=""),"",TRIM(INDEX($A:$AP,ROW(),$D$6)&amp;""))</f>
        <v/>
      </c>
      <c r="AY813" s="31">
        <f>IF($AU813="","",INDEX($AW$8:$AW$2007,MATCH($AU813,$AU$8:$AU$2007,0)))</f>
        <v/>
      </c>
      <c r="AZ813" s="31">
        <f>IF(OR($AS813="",$C$6=""),"",TRIM(INDEX($A:$AP,ROW(),$C$6)&amp;""))</f>
        <v/>
      </c>
      <c r="BA813" s="31">
        <f>IF($AZ813="","",IF(COUNTIF($AZ$8:$AZ813,$AZ813)&gt;1,1,0))</f>
        <v/>
      </c>
    </row>
    <row r="814">
      <c r="AR814" s="31">
        <f>IF(OR($A$5="",$B$6="",ROW()&lt;$A$5),"",IF(INDEX($A:$AP,ROW(),$B$6)="","",INDEX($A:$AP,ROW(),$B$6)))</f>
        <v/>
      </c>
      <c r="AS814" s="32">
        <f>IF($AR814="","",IF(ISNUMBER($AR814),IF($AR814&gt;=10000000,IFERROR(DATE(INT($AR814/10000),MOD(INT($AR814/100),100),MOD($AR814,100)),""),INT($AR814)),IFERROR(DATE(--LEFT(LEFT(SUBSTITUTE(SUBSTITUTE(SUBSTITUTE(SUBSTITUTE(TRIM($AR814),"-",""),".",""),"/","")," ",""),8),4),--MID(LEFT(SUBSTITUTE(SUBSTITUTE(SUBSTITUTE(SUBSTITUTE(TRIM($AR814),"-",""),".",""),"/","")," ",""),8),5,2),--MID(LEFT(SUBSTITUTE(SUBSTITUTE(SUBSTITUTE(SUBSTITUTE(TRIM($AR814),"-",""),".",""),"/","")," ",""),8),7,2)),"")))</f>
        <v/>
      </c>
      <c r="AT814" s="33">
        <f>IF($AS814="","",IF($F$6="",0,IF(ISNUMBER(INDEX($A:$AP,ROW(),$F$6)),INDEX($A:$AP,ROW(),$F$6),IFERROR(--SUBSTITUTE(SUBSTITUTE(TRIM(INDEX($A:$AP,ROW(),$F$6)),",",""),"원",""),0))))</f>
        <v/>
      </c>
      <c r="AU814" s="31">
        <f>IF($AS814="","",IF($AX814&lt;&gt;"",SUBSTITUTE(SUBSTITUTE($AX814,"-","")," ",""),"N:"&amp;$AV814))</f>
        <v/>
      </c>
      <c r="AV814" s="31">
        <f>IF(OR($AS814="",$E$6=""),"",TRIM(INDEX($A:$AP,ROW(),$E$6)&amp;""))</f>
        <v/>
      </c>
      <c r="AW814" s="31">
        <f>IF($AU814="","",IF(MATCH($AU814,$AU$8:$AU$2007,0)=ROW()-7,MAX($AW$7:$AW813)+1,""))</f>
        <v/>
      </c>
      <c r="AX814" s="31">
        <f>IF(OR($AS814="",$D$6=""),"",TRIM(INDEX($A:$AP,ROW(),$D$6)&amp;""))</f>
        <v/>
      </c>
      <c r="AY814" s="31">
        <f>IF($AU814="","",INDEX($AW$8:$AW$2007,MATCH($AU814,$AU$8:$AU$2007,0)))</f>
        <v/>
      </c>
      <c r="AZ814" s="31">
        <f>IF(OR($AS814="",$C$6=""),"",TRIM(INDEX($A:$AP,ROW(),$C$6)&amp;""))</f>
        <v/>
      </c>
      <c r="BA814" s="31">
        <f>IF($AZ814="","",IF(COUNTIF($AZ$8:$AZ814,$AZ814)&gt;1,1,0))</f>
        <v/>
      </c>
    </row>
    <row r="815">
      <c r="AR815" s="31">
        <f>IF(OR($A$5="",$B$6="",ROW()&lt;$A$5),"",IF(INDEX($A:$AP,ROW(),$B$6)="","",INDEX($A:$AP,ROW(),$B$6)))</f>
        <v/>
      </c>
      <c r="AS815" s="32">
        <f>IF($AR815="","",IF(ISNUMBER($AR815),IF($AR815&gt;=10000000,IFERROR(DATE(INT($AR815/10000),MOD(INT($AR815/100),100),MOD($AR815,100)),""),INT($AR815)),IFERROR(DATE(--LEFT(LEFT(SUBSTITUTE(SUBSTITUTE(SUBSTITUTE(SUBSTITUTE(TRIM($AR815),"-",""),".",""),"/","")," ",""),8),4),--MID(LEFT(SUBSTITUTE(SUBSTITUTE(SUBSTITUTE(SUBSTITUTE(TRIM($AR815),"-",""),".",""),"/","")," ",""),8),5,2),--MID(LEFT(SUBSTITUTE(SUBSTITUTE(SUBSTITUTE(SUBSTITUTE(TRIM($AR815),"-",""),".",""),"/","")," ",""),8),7,2)),"")))</f>
        <v/>
      </c>
      <c r="AT815" s="33">
        <f>IF($AS815="","",IF($F$6="",0,IF(ISNUMBER(INDEX($A:$AP,ROW(),$F$6)),INDEX($A:$AP,ROW(),$F$6),IFERROR(--SUBSTITUTE(SUBSTITUTE(TRIM(INDEX($A:$AP,ROW(),$F$6)),",",""),"원",""),0))))</f>
        <v/>
      </c>
      <c r="AU815" s="31">
        <f>IF($AS815="","",IF($AX815&lt;&gt;"",SUBSTITUTE(SUBSTITUTE($AX815,"-","")," ",""),"N:"&amp;$AV815))</f>
        <v/>
      </c>
      <c r="AV815" s="31">
        <f>IF(OR($AS815="",$E$6=""),"",TRIM(INDEX($A:$AP,ROW(),$E$6)&amp;""))</f>
        <v/>
      </c>
      <c r="AW815" s="31">
        <f>IF($AU815="","",IF(MATCH($AU815,$AU$8:$AU$2007,0)=ROW()-7,MAX($AW$7:$AW814)+1,""))</f>
        <v/>
      </c>
      <c r="AX815" s="31">
        <f>IF(OR($AS815="",$D$6=""),"",TRIM(INDEX($A:$AP,ROW(),$D$6)&amp;""))</f>
        <v/>
      </c>
      <c r="AY815" s="31">
        <f>IF($AU815="","",INDEX($AW$8:$AW$2007,MATCH($AU815,$AU$8:$AU$2007,0)))</f>
        <v/>
      </c>
      <c r="AZ815" s="31">
        <f>IF(OR($AS815="",$C$6=""),"",TRIM(INDEX($A:$AP,ROW(),$C$6)&amp;""))</f>
        <v/>
      </c>
      <c r="BA815" s="31">
        <f>IF($AZ815="","",IF(COUNTIF($AZ$8:$AZ815,$AZ815)&gt;1,1,0))</f>
        <v/>
      </c>
    </row>
    <row r="816">
      <c r="AR816" s="31">
        <f>IF(OR($A$5="",$B$6="",ROW()&lt;$A$5),"",IF(INDEX($A:$AP,ROW(),$B$6)="","",INDEX($A:$AP,ROW(),$B$6)))</f>
        <v/>
      </c>
      <c r="AS816" s="32">
        <f>IF($AR816="","",IF(ISNUMBER($AR816),IF($AR816&gt;=10000000,IFERROR(DATE(INT($AR816/10000),MOD(INT($AR816/100),100),MOD($AR816,100)),""),INT($AR816)),IFERROR(DATE(--LEFT(LEFT(SUBSTITUTE(SUBSTITUTE(SUBSTITUTE(SUBSTITUTE(TRIM($AR816),"-",""),".",""),"/","")," ",""),8),4),--MID(LEFT(SUBSTITUTE(SUBSTITUTE(SUBSTITUTE(SUBSTITUTE(TRIM($AR816),"-",""),".",""),"/","")," ",""),8),5,2),--MID(LEFT(SUBSTITUTE(SUBSTITUTE(SUBSTITUTE(SUBSTITUTE(TRIM($AR816),"-",""),".",""),"/","")," ",""),8),7,2)),"")))</f>
        <v/>
      </c>
      <c r="AT816" s="33">
        <f>IF($AS816="","",IF($F$6="",0,IF(ISNUMBER(INDEX($A:$AP,ROW(),$F$6)),INDEX($A:$AP,ROW(),$F$6),IFERROR(--SUBSTITUTE(SUBSTITUTE(TRIM(INDEX($A:$AP,ROW(),$F$6)),",",""),"원",""),0))))</f>
        <v/>
      </c>
      <c r="AU816" s="31">
        <f>IF($AS816="","",IF($AX816&lt;&gt;"",SUBSTITUTE(SUBSTITUTE($AX816,"-","")," ",""),"N:"&amp;$AV816))</f>
        <v/>
      </c>
      <c r="AV816" s="31">
        <f>IF(OR($AS816="",$E$6=""),"",TRIM(INDEX($A:$AP,ROW(),$E$6)&amp;""))</f>
        <v/>
      </c>
      <c r="AW816" s="31">
        <f>IF($AU816="","",IF(MATCH($AU816,$AU$8:$AU$2007,0)=ROW()-7,MAX($AW$7:$AW815)+1,""))</f>
        <v/>
      </c>
      <c r="AX816" s="31">
        <f>IF(OR($AS816="",$D$6=""),"",TRIM(INDEX($A:$AP,ROW(),$D$6)&amp;""))</f>
        <v/>
      </c>
      <c r="AY816" s="31">
        <f>IF($AU816="","",INDEX($AW$8:$AW$2007,MATCH($AU816,$AU$8:$AU$2007,0)))</f>
        <v/>
      </c>
      <c r="AZ816" s="31">
        <f>IF(OR($AS816="",$C$6=""),"",TRIM(INDEX($A:$AP,ROW(),$C$6)&amp;""))</f>
        <v/>
      </c>
      <c r="BA816" s="31">
        <f>IF($AZ816="","",IF(COUNTIF($AZ$8:$AZ816,$AZ816)&gt;1,1,0))</f>
        <v/>
      </c>
    </row>
    <row r="817">
      <c r="AR817" s="31">
        <f>IF(OR($A$5="",$B$6="",ROW()&lt;$A$5),"",IF(INDEX($A:$AP,ROW(),$B$6)="","",INDEX($A:$AP,ROW(),$B$6)))</f>
        <v/>
      </c>
      <c r="AS817" s="32">
        <f>IF($AR817="","",IF(ISNUMBER($AR817),IF($AR817&gt;=10000000,IFERROR(DATE(INT($AR817/10000),MOD(INT($AR817/100),100),MOD($AR817,100)),""),INT($AR817)),IFERROR(DATE(--LEFT(LEFT(SUBSTITUTE(SUBSTITUTE(SUBSTITUTE(SUBSTITUTE(TRIM($AR817),"-",""),".",""),"/","")," ",""),8),4),--MID(LEFT(SUBSTITUTE(SUBSTITUTE(SUBSTITUTE(SUBSTITUTE(TRIM($AR817),"-",""),".",""),"/","")," ",""),8),5,2),--MID(LEFT(SUBSTITUTE(SUBSTITUTE(SUBSTITUTE(SUBSTITUTE(TRIM($AR817),"-",""),".",""),"/","")," ",""),8),7,2)),"")))</f>
        <v/>
      </c>
      <c r="AT817" s="33">
        <f>IF($AS817="","",IF($F$6="",0,IF(ISNUMBER(INDEX($A:$AP,ROW(),$F$6)),INDEX($A:$AP,ROW(),$F$6),IFERROR(--SUBSTITUTE(SUBSTITUTE(TRIM(INDEX($A:$AP,ROW(),$F$6)),",",""),"원",""),0))))</f>
        <v/>
      </c>
      <c r="AU817" s="31">
        <f>IF($AS817="","",IF($AX817&lt;&gt;"",SUBSTITUTE(SUBSTITUTE($AX817,"-","")," ",""),"N:"&amp;$AV817))</f>
        <v/>
      </c>
      <c r="AV817" s="31">
        <f>IF(OR($AS817="",$E$6=""),"",TRIM(INDEX($A:$AP,ROW(),$E$6)&amp;""))</f>
        <v/>
      </c>
      <c r="AW817" s="31">
        <f>IF($AU817="","",IF(MATCH($AU817,$AU$8:$AU$2007,0)=ROW()-7,MAX($AW$7:$AW816)+1,""))</f>
        <v/>
      </c>
      <c r="AX817" s="31">
        <f>IF(OR($AS817="",$D$6=""),"",TRIM(INDEX($A:$AP,ROW(),$D$6)&amp;""))</f>
        <v/>
      </c>
      <c r="AY817" s="31">
        <f>IF($AU817="","",INDEX($AW$8:$AW$2007,MATCH($AU817,$AU$8:$AU$2007,0)))</f>
        <v/>
      </c>
      <c r="AZ817" s="31">
        <f>IF(OR($AS817="",$C$6=""),"",TRIM(INDEX($A:$AP,ROW(),$C$6)&amp;""))</f>
        <v/>
      </c>
      <c r="BA817" s="31">
        <f>IF($AZ817="","",IF(COUNTIF($AZ$8:$AZ817,$AZ817)&gt;1,1,0))</f>
        <v/>
      </c>
    </row>
    <row r="818">
      <c r="AR818" s="31">
        <f>IF(OR($A$5="",$B$6="",ROW()&lt;$A$5),"",IF(INDEX($A:$AP,ROW(),$B$6)="","",INDEX($A:$AP,ROW(),$B$6)))</f>
        <v/>
      </c>
      <c r="AS818" s="32">
        <f>IF($AR818="","",IF(ISNUMBER($AR818),IF($AR818&gt;=10000000,IFERROR(DATE(INT($AR818/10000),MOD(INT($AR818/100),100),MOD($AR818,100)),""),INT($AR818)),IFERROR(DATE(--LEFT(LEFT(SUBSTITUTE(SUBSTITUTE(SUBSTITUTE(SUBSTITUTE(TRIM($AR818),"-",""),".",""),"/","")," ",""),8),4),--MID(LEFT(SUBSTITUTE(SUBSTITUTE(SUBSTITUTE(SUBSTITUTE(TRIM($AR818),"-",""),".",""),"/","")," ",""),8),5,2),--MID(LEFT(SUBSTITUTE(SUBSTITUTE(SUBSTITUTE(SUBSTITUTE(TRIM($AR818),"-",""),".",""),"/","")," ",""),8),7,2)),"")))</f>
        <v/>
      </c>
      <c r="AT818" s="33">
        <f>IF($AS818="","",IF($F$6="",0,IF(ISNUMBER(INDEX($A:$AP,ROW(),$F$6)),INDEX($A:$AP,ROW(),$F$6),IFERROR(--SUBSTITUTE(SUBSTITUTE(TRIM(INDEX($A:$AP,ROW(),$F$6)),",",""),"원",""),0))))</f>
        <v/>
      </c>
      <c r="AU818" s="31">
        <f>IF($AS818="","",IF($AX818&lt;&gt;"",SUBSTITUTE(SUBSTITUTE($AX818,"-","")," ",""),"N:"&amp;$AV818))</f>
        <v/>
      </c>
      <c r="AV818" s="31">
        <f>IF(OR($AS818="",$E$6=""),"",TRIM(INDEX($A:$AP,ROW(),$E$6)&amp;""))</f>
        <v/>
      </c>
      <c r="AW818" s="31">
        <f>IF($AU818="","",IF(MATCH($AU818,$AU$8:$AU$2007,0)=ROW()-7,MAX($AW$7:$AW817)+1,""))</f>
        <v/>
      </c>
      <c r="AX818" s="31">
        <f>IF(OR($AS818="",$D$6=""),"",TRIM(INDEX($A:$AP,ROW(),$D$6)&amp;""))</f>
        <v/>
      </c>
      <c r="AY818" s="31">
        <f>IF($AU818="","",INDEX($AW$8:$AW$2007,MATCH($AU818,$AU$8:$AU$2007,0)))</f>
        <v/>
      </c>
      <c r="AZ818" s="31">
        <f>IF(OR($AS818="",$C$6=""),"",TRIM(INDEX($A:$AP,ROW(),$C$6)&amp;""))</f>
        <v/>
      </c>
      <c r="BA818" s="31">
        <f>IF($AZ818="","",IF(COUNTIF($AZ$8:$AZ818,$AZ818)&gt;1,1,0))</f>
        <v/>
      </c>
    </row>
    <row r="819">
      <c r="AR819" s="31">
        <f>IF(OR($A$5="",$B$6="",ROW()&lt;$A$5),"",IF(INDEX($A:$AP,ROW(),$B$6)="","",INDEX($A:$AP,ROW(),$B$6)))</f>
        <v/>
      </c>
      <c r="AS819" s="32">
        <f>IF($AR819="","",IF(ISNUMBER($AR819),IF($AR819&gt;=10000000,IFERROR(DATE(INT($AR819/10000),MOD(INT($AR819/100),100),MOD($AR819,100)),""),INT($AR819)),IFERROR(DATE(--LEFT(LEFT(SUBSTITUTE(SUBSTITUTE(SUBSTITUTE(SUBSTITUTE(TRIM($AR819),"-",""),".",""),"/","")," ",""),8),4),--MID(LEFT(SUBSTITUTE(SUBSTITUTE(SUBSTITUTE(SUBSTITUTE(TRIM($AR819),"-",""),".",""),"/","")," ",""),8),5,2),--MID(LEFT(SUBSTITUTE(SUBSTITUTE(SUBSTITUTE(SUBSTITUTE(TRIM($AR819),"-",""),".",""),"/","")," ",""),8),7,2)),"")))</f>
        <v/>
      </c>
      <c r="AT819" s="33">
        <f>IF($AS819="","",IF($F$6="",0,IF(ISNUMBER(INDEX($A:$AP,ROW(),$F$6)),INDEX($A:$AP,ROW(),$F$6),IFERROR(--SUBSTITUTE(SUBSTITUTE(TRIM(INDEX($A:$AP,ROW(),$F$6)),",",""),"원",""),0))))</f>
        <v/>
      </c>
      <c r="AU819" s="31">
        <f>IF($AS819="","",IF($AX819&lt;&gt;"",SUBSTITUTE(SUBSTITUTE($AX819,"-","")," ",""),"N:"&amp;$AV819))</f>
        <v/>
      </c>
      <c r="AV819" s="31">
        <f>IF(OR($AS819="",$E$6=""),"",TRIM(INDEX($A:$AP,ROW(),$E$6)&amp;""))</f>
        <v/>
      </c>
      <c r="AW819" s="31">
        <f>IF($AU819="","",IF(MATCH($AU819,$AU$8:$AU$2007,0)=ROW()-7,MAX($AW$7:$AW818)+1,""))</f>
        <v/>
      </c>
      <c r="AX819" s="31">
        <f>IF(OR($AS819="",$D$6=""),"",TRIM(INDEX($A:$AP,ROW(),$D$6)&amp;""))</f>
        <v/>
      </c>
      <c r="AY819" s="31">
        <f>IF($AU819="","",INDEX($AW$8:$AW$2007,MATCH($AU819,$AU$8:$AU$2007,0)))</f>
        <v/>
      </c>
      <c r="AZ819" s="31">
        <f>IF(OR($AS819="",$C$6=""),"",TRIM(INDEX($A:$AP,ROW(),$C$6)&amp;""))</f>
        <v/>
      </c>
      <c r="BA819" s="31">
        <f>IF($AZ819="","",IF(COUNTIF($AZ$8:$AZ819,$AZ819)&gt;1,1,0))</f>
        <v/>
      </c>
    </row>
    <row r="820">
      <c r="AR820" s="31">
        <f>IF(OR($A$5="",$B$6="",ROW()&lt;$A$5),"",IF(INDEX($A:$AP,ROW(),$B$6)="","",INDEX($A:$AP,ROW(),$B$6)))</f>
        <v/>
      </c>
      <c r="AS820" s="32">
        <f>IF($AR820="","",IF(ISNUMBER($AR820),IF($AR820&gt;=10000000,IFERROR(DATE(INT($AR820/10000),MOD(INT($AR820/100),100),MOD($AR820,100)),""),INT($AR820)),IFERROR(DATE(--LEFT(LEFT(SUBSTITUTE(SUBSTITUTE(SUBSTITUTE(SUBSTITUTE(TRIM($AR820),"-",""),".",""),"/","")," ",""),8),4),--MID(LEFT(SUBSTITUTE(SUBSTITUTE(SUBSTITUTE(SUBSTITUTE(TRIM($AR820),"-",""),".",""),"/","")," ",""),8),5,2),--MID(LEFT(SUBSTITUTE(SUBSTITUTE(SUBSTITUTE(SUBSTITUTE(TRIM($AR820),"-",""),".",""),"/","")," ",""),8),7,2)),"")))</f>
        <v/>
      </c>
      <c r="AT820" s="33">
        <f>IF($AS820="","",IF($F$6="",0,IF(ISNUMBER(INDEX($A:$AP,ROW(),$F$6)),INDEX($A:$AP,ROW(),$F$6),IFERROR(--SUBSTITUTE(SUBSTITUTE(TRIM(INDEX($A:$AP,ROW(),$F$6)),",",""),"원",""),0))))</f>
        <v/>
      </c>
      <c r="AU820" s="31">
        <f>IF($AS820="","",IF($AX820&lt;&gt;"",SUBSTITUTE(SUBSTITUTE($AX820,"-","")," ",""),"N:"&amp;$AV820))</f>
        <v/>
      </c>
      <c r="AV820" s="31">
        <f>IF(OR($AS820="",$E$6=""),"",TRIM(INDEX($A:$AP,ROW(),$E$6)&amp;""))</f>
        <v/>
      </c>
      <c r="AW820" s="31">
        <f>IF($AU820="","",IF(MATCH($AU820,$AU$8:$AU$2007,0)=ROW()-7,MAX($AW$7:$AW819)+1,""))</f>
        <v/>
      </c>
      <c r="AX820" s="31">
        <f>IF(OR($AS820="",$D$6=""),"",TRIM(INDEX($A:$AP,ROW(),$D$6)&amp;""))</f>
        <v/>
      </c>
      <c r="AY820" s="31">
        <f>IF($AU820="","",INDEX($AW$8:$AW$2007,MATCH($AU820,$AU$8:$AU$2007,0)))</f>
        <v/>
      </c>
      <c r="AZ820" s="31">
        <f>IF(OR($AS820="",$C$6=""),"",TRIM(INDEX($A:$AP,ROW(),$C$6)&amp;""))</f>
        <v/>
      </c>
      <c r="BA820" s="31">
        <f>IF($AZ820="","",IF(COUNTIF($AZ$8:$AZ820,$AZ820)&gt;1,1,0))</f>
        <v/>
      </c>
    </row>
    <row r="821">
      <c r="AR821" s="31">
        <f>IF(OR($A$5="",$B$6="",ROW()&lt;$A$5),"",IF(INDEX($A:$AP,ROW(),$B$6)="","",INDEX($A:$AP,ROW(),$B$6)))</f>
        <v/>
      </c>
      <c r="AS821" s="32">
        <f>IF($AR821="","",IF(ISNUMBER($AR821),IF($AR821&gt;=10000000,IFERROR(DATE(INT($AR821/10000),MOD(INT($AR821/100),100),MOD($AR821,100)),""),INT($AR821)),IFERROR(DATE(--LEFT(LEFT(SUBSTITUTE(SUBSTITUTE(SUBSTITUTE(SUBSTITUTE(TRIM($AR821),"-",""),".",""),"/","")," ",""),8),4),--MID(LEFT(SUBSTITUTE(SUBSTITUTE(SUBSTITUTE(SUBSTITUTE(TRIM($AR821),"-",""),".",""),"/","")," ",""),8),5,2),--MID(LEFT(SUBSTITUTE(SUBSTITUTE(SUBSTITUTE(SUBSTITUTE(TRIM($AR821),"-",""),".",""),"/","")," ",""),8),7,2)),"")))</f>
        <v/>
      </c>
      <c r="AT821" s="33">
        <f>IF($AS821="","",IF($F$6="",0,IF(ISNUMBER(INDEX($A:$AP,ROW(),$F$6)),INDEX($A:$AP,ROW(),$F$6),IFERROR(--SUBSTITUTE(SUBSTITUTE(TRIM(INDEX($A:$AP,ROW(),$F$6)),",",""),"원",""),0))))</f>
        <v/>
      </c>
      <c r="AU821" s="31">
        <f>IF($AS821="","",IF($AX821&lt;&gt;"",SUBSTITUTE(SUBSTITUTE($AX821,"-","")," ",""),"N:"&amp;$AV821))</f>
        <v/>
      </c>
      <c r="AV821" s="31">
        <f>IF(OR($AS821="",$E$6=""),"",TRIM(INDEX($A:$AP,ROW(),$E$6)&amp;""))</f>
        <v/>
      </c>
      <c r="AW821" s="31">
        <f>IF($AU821="","",IF(MATCH($AU821,$AU$8:$AU$2007,0)=ROW()-7,MAX($AW$7:$AW820)+1,""))</f>
        <v/>
      </c>
      <c r="AX821" s="31">
        <f>IF(OR($AS821="",$D$6=""),"",TRIM(INDEX($A:$AP,ROW(),$D$6)&amp;""))</f>
        <v/>
      </c>
      <c r="AY821" s="31">
        <f>IF($AU821="","",INDEX($AW$8:$AW$2007,MATCH($AU821,$AU$8:$AU$2007,0)))</f>
        <v/>
      </c>
      <c r="AZ821" s="31">
        <f>IF(OR($AS821="",$C$6=""),"",TRIM(INDEX($A:$AP,ROW(),$C$6)&amp;""))</f>
        <v/>
      </c>
      <c r="BA821" s="31">
        <f>IF($AZ821="","",IF(COUNTIF($AZ$8:$AZ821,$AZ821)&gt;1,1,0))</f>
        <v/>
      </c>
    </row>
    <row r="822">
      <c r="AR822" s="31">
        <f>IF(OR($A$5="",$B$6="",ROW()&lt;$A$5),"",IF(INDEX($A:$AP,ROW(),$B$6)="","",INDEX($A:$AP,ROW(),$B$6)))</f>
        <v/>
      </c>
      <c r="AS822" s="32">
        <f>IF($AR822="","",IF(ISNUMBER($AR822),IF($AR822&gt;=10000000,IFERROR(DATE(INT($AR822/10000),MOD(INT($AR822/100),100),MOD($AR822,100)),""),INT($AR822)),IFERROR(DATE(--LEFT(LEFT(SUBSTITUTE(SUBSTITUTE(SUBSTITUTE(SUBSTITUTE(TRIM($AR822),"-",""),".",""),"/","")," ",""),8),4),--MID(LEFT(SUBSTITUTE(SUBSTITUTE(SUBSTITUTE(SUBSTITUTE(TRIM($AR822),"-",""),".",""),"/","")," ",""),8),5,2),--MID(LEFT(SUBSTITUTE(SUBSTITUTE(SUBSTITUTE(SUBSTITUTE(TRIM($AR822),"-",""),".",""),"/","")," ",""),8),7,2)),"")))</f>
        <v/>
      </c>
      <c r="AT822" s="33">
        <f>IF($AS822="","",IF($F$6="",0,IF(ISNUMBER(INDEX($A:$AP,ROW(),$F$6)),INDEX($A:$AP,ROW(),$F$6),IFERROR(--SUBSTITUTE(SUBSTITUTE(TRIM(INDEX($A:$AP,ROW(),$F$6)),",",""),"원",""),0))))</f>
        <v/>
      </c>
      <c r="AU822" s="31">
        <f>IF($AS822="","",IF($AX822&lt;&gt;"",SUBSTITUTE(SUBSTITUTE($AX822,"-","")," ",""),"N:"&amp;$AV822))</f>
        <v/>
      </c>
      <c r="AV822" s="31">
        <f>IF(OR($AS822="",$E$6=""),"",TRIM(INDEX($A:$AP,ROW(),$E$6)&amp;""))</f>
        <v/>
      </c>
      <c r="AW822" s="31">
        <f>IF($AU822="","",IF(MATCH($AU822,$AU$8:$AU$2007,0)=ROW()-7,MAX($AW$7:$AW821)+1,""))</f>
        <v/>
      </c>
      <c r="AX822" s="31">
        <f>IF(OR($AS822="",$D$6=""),"",TRIM(INDEX($A:$AP,ROW(),$D$6)&amp;""))</f>
        <v/>
      </c>
      <c r="AY822" s="31">
        <f>IF($AU822="","",INDEX($AW$8:$AW$2007,MATCH($AU822,$AU$8:$AU$2007,0)))</f>
        <v/>
      </c>
      <c r="AZ822" s="31">
        <f>IF(OR($AS822="",$C$6=""),"",TRIM(INDEX($A:$AP,ROW(),$C$6)&amp;""))</f>
        <v/>
      </c>
      <c r="BA822" s="31">
        <f>IF($AZ822="","",IF(COUNTIF($AZ$8:$AZ822,$AZ822)&gt;1,1,0))</f>
        <v/>
      </c>
    </row>
    <row r="823">
      <c r="AR823" s="31">
        <f>IF(OR($A$5="",$B$6="",ROW()&lt;$A$5),"",IF(INDEX($A:$AP,ROW(),$B$6)="","",INDEX($A:$AP,ROW(),$B$6)))</f>
        <v/>
      </c>
      <c r="AS823" s="32">
        <f>IF($AR823="","",IF(ISNUMBER($AR823),IF($AR823&gt;=10000000,IFERROR(DATE(INT($AR823/10000),MOD(INT($AR823/100),100),MOD($AR823,100)),""),INT($AR823)),IFERROR(DATE(--LEFT(LEFT(SUBSTITUTE(SUBSTITUTE(SUBSTITUTE(SUBSTITUTE(TRIM($AR823),"-",""),".",""),"/","")," ",""),8),4),--MID(LEFT(SUBSTITUTE(SUBSTITUTE(SUBSTITUTE(SUBSTITUTE(TRIM($AR823),"-",""),".",""),"/","")," ",""),8),5,2),--MID(LEFT(SUBSTITUTE(SUBSTITUTE(SUBSTITUTE(SUBSTITUTE(TRIM($AR823),"-",""),".",""),"/","")," ",""),8),7,2)),"")))</f>
        <v/>
      </c>
      <c r="AT823" s="33">
        <f>IF($AS823="","",IF($F$6="",0,IF(ISNUMBER(INDEX($A:$AP,ROW(),$F$6)),INDEX($A:$AP,ROW(),$F$6),IFERROR(--SUBSTITUTE(SUBSTITUTE(TRIM(INDEX($A:$AP,ROW(),$F$6)),",",""),"원",""),0))))</f>
        <v/>
      </c>
      <c r="AU823" s="31">
        <f>IF($AS823="","",IF($AX823&lt;&gt;"",SUBSTITUTE(SUBSTITUTE($AX823,"-","")," ",""),"N:"&amp;$AV823))</f>
        <v/>
      </c>
      <c r="AV823" s="31">
        <f>IF(OR($AS823="",$E$6=""),"",TRIM(INDEX($A:$AP,ROW(),$E$6)&amp;""))</f>
        <v/>
      </c>
      <c r="AW823" s="31">
        <f>IF($AU823="","",IF(MATCH($AU823,$AU$8:$AU$2007,0)=ROW()-7,MAX($AW$7:$AW822)+1,""))</f>
        <v/>
      </c>
      <c r="AX823" s="31">
        <f>IF(OR($AS823="",$D$6=""),"",TRIM(INDEX($A:$AP,ROW(),$D$6)&amp;""))</f>
        <v/>
      </c>
      <c r="AY823" s="31">
        <f>IF($AU823="","",INDEX($AW$8:$AW$2007,MATCH($AU823,$AU$8:$AU$2007,0)))</f>
        <v/>
      </c>
      <c r="AZ823" s="31">
        <f>IF(OR($AS823="",$C$6=""),"",TRIM(INDEX($A:$AP,ROW(),$C$6)&amp;""))</f>
        <v/>
      </c>
      <c r="BA823" s="31">
        <f>IF($AZ823="","",IF(COUNTIF($AZ$8:$AZ823,$AZ823)&gt;1,1,0))</f>
        <v/>
      </c>
    </row>
    <row r="824">
      <c r="AR824" s="31">
        <f>IF(OR($A$5="",$B$6="",ROW()&lt;$A$5),"",IF(INDEX($A:$AP,ROW(),$B$6)="","",INDEX($A:$AP,ROW(),$B$6)))</f>
        <v/>
      </c>
      <c r="AS824" s="32">
        <f>IF($AR824="","",IF(ISNUMBER($AR824),IF($AR824&gt;=10000000,IFERROR(DATE(INT($AR824/10000),MOD(INT($AR824/100),100),MOD($AR824,100)),""),INT($AR824)),IFERROR(DATE(--LEFT(LEFT(SUBSTITUTE(SUBSTITUTE(SUBSTITUTE(SUBSTITUTE(TRIM($AR824),"-",""),".",""),"/","")," ",""),8),4),--MID(LEFT(SUBSTITUTE(SUBSTITUTE(SUBSTITUTE(SUBSTITUTE(TRIM($AR824),"-",""),".",""),"/","")," ",""),8),5,2),--MID(LEFT(SUBSTITUTE(SUBSTITUTE(SUBSTITUTE(SUBSTITUTE(TRIM($AR824),"-",""),".",""),"/","")," ",""),8),7,2)),"")))</f>
        <v/>
      </c>
      <c r="AT824" s="33">
        <f>IF($AS824="","",IF($F$6="",0,IF(ISNUMBER(INDEX($A:$AP,ROW(),$F$6)),INDEX($A:$AP,ROW(),$F$6),IFERROR(--SUBSTITUTE(SUBSTITUTE(TRIM(INDEX($A:$AP,ROW(),$F$6)),",",""),"원",""),0))))</f>
        <v/>
      </c>
      <c r="AU824" s="31">
        <f>IF($AS824="","",IF($AX824&lt;&gt;"",SUBSTITUTE(SUBSTITUTE($AX824,"-","")," ",""),"N:"&amp;$AV824))</f>
        <v/>
      </c>
      <c r="AV824" s="31">
        <f>IF(OR($AS824="",$E$6=""),"",TRIM(INDEX($A:$AP,ROW(),$E$6)&amp;""))</f>
        <v/>
      </c>
      <c r="AW824" s="31">
        <f>IF($AU824="","",IF(MATCH($AU824,$AU$8:$AU$2007,0)=ROW()-7,MAX($AW$7:$AW823)+1,""))</f>
        <v/>
      </c>
      <c r="AX824" s="31">
        <f>IF(OR($AS824="",$D$6=""),"",TRIM(INDEX($A:$AP,ROW(),$D$6)&amp;""))</f>
        <v/>
      </c>
      <c r="AY824" s="31">
        <f>IF($AU824="","",INDEX($AW$8:$AW$2007,MATCH($AU824,$AU$8:$AU$2007,0)))</f>
        <v/>
      </c>
      <c r="AZ824" s="31">
        <f>IF(OR($AS824="",$C$6=""),"",TRIM(INDEX($A:$AP,ROW(),$C$6)&amp;""))</f>
        <v/>
      </c>
      <c r="BA824" s="31">
        <f>IF($AZ824="","",IF(COUNTIF($AZ$8:$AZ824,$AZ824)&gt;1,1,0))</f>
        <v/>
      </c>
    </row>
    <row r="825">
      <c r="AR825" s="31">
        <f>IF(OR($A$5="",$B$6="",ROW()&lt;$A$5),"",IF(INDEX($A:$AP,ROW(),$B$6)="","",INDEX($A:$AP,ROW(),$B$6)))</f>
        <v/>
      </c>
      <c r="AS825" s="32">
        <f>IF($AR825="","",IF(ISNUMBER($AR825),IF($AR825&gt;=10000000,IFERROR(DATE(INT($AR825/10000),MOD(INT($AR825/100),100),MOD($AR825,100)),""),INT($AR825)),IFERROR(DATE(--LEFT(LEFT(SUBSTITUTE(SUBSTITUTE(SUBSTITUTE(SUBSTITUTE(TRIM($AR825),"-",""),".",""),"/","")," ",""),8),4),--MID(LEFT(SUBSTITUTE(SUBSTITUTE(SUBSTITUTE(SUBSTITUTE(TRIM($AR825),"-",""),".",""),"/","")," ",""),8),5,2),--MID(LEFT(SUBSTITUTE(SUBSTITUTE(SUBSTITUTE(SUBSTITUTE(TRIM($AR825),"-",""),".",""),"/","")," ",""),8),7,2)),"")))</f>
        <v/>
      </c>
      <c r="AT825" s="33">
        <f>IF($AS825="","",IF($F$6="",0,IF(ISNUMBER(INDEX($A:$AP,ROW(),$F$6)),INDEX($A:$AP,ROW(),$F$6),IFERROR(--SUBSTITUTE(SUBSTITUTE(TRIM(INDEX($A:$AP,ROW(),$F$6)),",",""),"원",""),0))))</f>
        <v/>
      </c>
      <c r="AU825" s="31">
        <f>IF($AS825="","",IF($AX825&lt;&gt;"",SUBSTITUTE(SUBSTITUTE($AX825,"-","")," ",""),"N:"&amp;$AV825))</f>
        <v/>
      </c>
      <c r="AV825" s="31">
        <f>IF(OR($AS825="",$E$6=""),"",TRIM(INDEX($A:$AP,ROW(),$E$6)&amp;""))</f>
        <v/>
      </c>
      <c r="AW825" s="31">
        <f>IF($AU825="","",IF(MATCH($AU825,$AU$8:$AU$2007,0)=ROW()-7,MAX($AW$7:$AW824)+1,""))</f>
        <v/>
      </c>
      <c r="AX825" s="31">
        <f>IF(OR($AS825="",$D$6=""),"",TRIM(INDEX($A:$AP,ROW(),$D$6)&amp;""))</f>
        <v/>
      </c>
      <c r="AY825" s="31">
        <f>IF($AU825="","",INDEX($AW$8:$AW$2007,MATCH($AU825,$AU$8:$AU$2007,0)))</f>
        <v/>
      </c>
      <c r="AZ825" s="31">
        <f>IF(OR($AS825="",$C$6=""),"",TRIM(INDEX($A:$AP,ROW(),$C$6)&amp;""))</f>
        <v/>
      </c>
      <c r="BA825" s="31">
        <f>IF($AZ825="","",IF(COUNTIF($AZ$8:$AZ825,$AZ825)&gt;1,1,0))</f>
        <v/>
      </c>
    </row>
    <row r="826">
      <c r="AR826" s="31">
        <f>IF(OR($A$5="",$B$6="",ROW()&lt;$A$5),"",IF(INDEX($A:$AP,ROW(),$B$6)="","",INDEX($A:$AP,ROW(),$B$6)))</f>
        <v/>
      </c>
      <c r="AS826" s="32">
        <f>IF($AR826="","",IF(ISNUMBER($AR826),IF($AR826&gt;=10000000,IFERROR(DATE(INT($AR826/10000),MOD(INT($AR826/100),100),MOD($AR826,100)),""),INT($AR826)),IFERROR(DATE(--LEFT(LEFT(SUBSTITUTE(SUBSTITUTE(SUBSTITUTE(SUBSTITUTE(TRIM($AR826),"-",""),".",""),"/","")," ",""),8),4),--MID(LEFT(SUBSTITUTE(SUBSTITUTE(SUBSTITUTE(SUBSTITUTE(TRIM($AR826),"-",""),".",""),"/","")," ",""),8),5,2),--MID(LEFT(SUBSTITUTE(SUBSTITUTE(SUBSTITUTE(SUBSTITUTE(TRIM($AR826),"-",""),".",""),"/","")," ",""),8),7,2)),"")))</f>
        <v/>
      </c>
      <c r="AT826" s="33">
        <f>IF($AS826="","",IF($F$6="",0,IF(ISNUMBER(INDEX($A:$AP,ROW(),$F$6)),INDEX($A:$AP,ROW(),$F$6),IFERROR(--SUBSTITUTE(SUBSTITUTE(TRIM(INDEX($A:$AP,ROW(),$F$6)),",",""),"원",""),0))))</f>
        <v/>
      </c>
      <c r="AU826" s="31">
        <f>IF($AS826="","",IF($AX826&lt;&gt;"",SUBSTITUTE(SUBSTITUTE($AX826,"-","")," ",""),"N:"&amp;$AV826))</f>
        <v/>
      </c>
      <c r="AV826" s="31">
        <f>IF(OR($AS826="",$E$6=""),"",TRIM(INDEX($A:$AP,ROW(),$E$6)&amp;""))</f>
        <v/>
      </c>
      <c r="AW826" s="31">
        <f>IF($AU826="","",IF(MATCH($AU826,$AU$8:$AU$2007,0)=ROW()-7,MAX($AW$7:$AW825)+1,""))</f>
        <v/>
      </c>
      <c r="AX826" s="31">
        <f>IF(OR($AS826="",$D$6=""),"",TRIM(INDEX($A:$AP,ROW(),$D$6)&amp;""))</f>
        <v/>
      </c>
      <c r="AY826" s="31">
        <f>IF($AU826="","",INDEX($AW$8:$AW$2007,MATCH($AU826,$AU$8:$AU$2007,0)))</f>
        <v/>
      </c>
      <c r="AZ826" s="31">
        <f>IF(OR($AS826="",$C$6=""),"",TRIM(INDEX($A:$AP,ROW(),$C$6)&amp;""))</f>
        <v/>
      </c>
      <c r="BA826" s="31">
        <f>IF($AZ826="","",IF(COUNTIF($AZ$8:$AZ826,$AZ826)&gt;1,1,0))</f>
        <v/>
      </c>
    </row>
    <row r="827">
      <c r="AR827" s="31">
        <f>IF(OR($A$5="",$B$6="",ROW()&lt;$A$5),"",IF(INDEX($A:$AP,ROW(),$B$6)="","",INDEX($A:$AP,ROW(),$B$6)))</f>
        <v/>
      </c>
      <c r="AS827" s="32">
        <f>IF($AR827="","",IF(ISNUMBER($AR827),IF($AR827&gt;=10000000,IFERROR(DATE(INT($AR827/10000),MOD(INT($AR827/100),100),MOD($AR827,100)),""),INT($AR827)),IFERROR(DATE(--LEFT(LEFT(SUBSTITUTE(SUBSTITUTE(SUBSTITUTE(SUBSTITUTE(TRIM($AR827),"-",""),".",""),"/","")," ",""),8),4),--MID(LEFT(SUBSTITUTE(SUBSTITUTE(SUBSTITUTE(SUBSTITUTE(TRIM($AR827),"-",""),".",""),"/","")," ",""),8),5,2),--MID(LEFT(SUBSTITUTE(SUBSTITUTE(SUBSTITUTE(SUBSTITUTE(TRIM($AR827),"-",""),".",""),"/","")," ",""),8),7,2)),"")))</f>
        <v/>
      </c>
      <c r="AT827" s="33">
        <f>IF($AS827="","",IF($F$6="",0,IF(ISNUMBER(INDEX($A:$AP,ROW(),$F$6)),INDEX($A:$AP,ROW(),$F$6),IFERROR(--SUBSTITUTE(SUBSTITUTE(TRIM(INDEX($A:$AP,ROW(),$F$6)),",",""),"원",""),0))))</f>
        <v/>
      </c>
      <c r="AU827" s="31">
        <f>IF($AS827="","",IF($AX827&lt;&gt;"",SUBSTITUTE(SUBSTITUTE($AX827,"-","")," ",""),"N:"&amp;$AV827))</f>
        <v/>
      </c>
      <c r="AV827" s="31">
        <f>IF(OR($AS827="",$E$6=""),"",TRIM(INDEX($A:$AP,ROW(),$E$6)&amp;""))</f>
        <v/>
      </c>
      <c r="AW827" s="31">
        <f>IF($AU827="","",IF(MATCH($AU827,$AU$8:$AU$2007,0)=ROW()-7,MAX($AW$7:$AW826)+1,""))</f>
        <v/>
      </c>
      <c r="AX827" s="31">
        <f>IF(OR($AS827="",$D$6=""),"",TRIM(INDEX($A:$AP,ROW(),$D$6)&amp;""))</f>
        <v/>
      </c>
      <c r="AY827" s="31">
        <f>IF($AU827="","",INDEX($AW$8:$AW$2007,MATCH($AU827,$AU$8:$AU$2007,0)))</f>
        <v/>
      </c>
      <c r="AZ827" s="31">
        <f>IF(OR($AS827="",$C$6=""),"",TRIM(INDEX($A:$AP,ROW(),$C$6)&amp;""))</f>
        <v/>
      </c>
      <c r="BA827" s="31">
        <f>IF($AZ827="","",IF(COUNTIF($AZ$8:$AZ827,$AZ827)&gt;1,1,0))</f>
        <v/>
      </c>
    </row>
    <row r="828">
      <c r="AR828" s="31">
        <f>IF(OR($A$5="",$B$6="",ROW()&lt;$A$5),"",IF(INDEX($A:$AP,ROW(),$B$6)="","",INDEX($A:$AP,ROW(),$B$6)))</f>
        <v/>
      </c>
      <c r="AS828" s="32">
        <f>IF($AR828="","",IF(ISNUMBER($AR828),IF($AR828&gt;=10000000,IFERROR(DATE(INT($AR828/10000),MOD(INT($AR828/100),100),MOD($AR828,100)),""),INT($AR828)),IFERROR(DATE(--LEFT(LEFT(SUBSTITUTE(SUBSTITUTE(SUBSTITUTE(SUBSTITUTE(TRIM($AR828),"-",""),".",""),"/","")," ",""),8),4),--MID(LEFT(SUBSTITUTE(SUBSTITUTE(SUBSTITUTE(SUBSTITUTE(TRIM($AR828),"-",""),".",""),"/","")," ",""),8),5,2),--MID(LEFT(SUBSTITUTE(SUBSTITUTE(SUBSTITUTE(SUBSTITUTE(TRIM($AR828),"-",""),".",""),"/","")," ",""),8),7,2)),"")))</f>
        <v/>
      </c>
      <c r="AT828" s="33">
        <f>IF($AS828="","",IF($F$6="",0,IF(ISNUMBER(INDEX($A:$AP,ROW(),$F$6)),INDEX($A:$AP,ROW(),$F$6),IFERROR(--SUBSTITUTE(SUBSTITUTE(TRIM(INDEX($A:$AP,ROW(),$F$6)),",",""),"원",""),0))))</f>
        <v/>
      </c>
      <c r="AU828" s="31">
        <f>IF($AS828="","",IF($AX828&lt;&gt;"",SUBSTITUTE(SUBSTITUTE($AX828,"-","")," ",""),"N:"&amp;$AV828))</f>
        <v/>
      </c>
      <c r="AV828" s="31">
        <f>IF(OR($AS828="",$E$6=""),"",TRIM(INDEX($A:$AP,ROW(),$E$6)&amp;""))</f>
        <v/>
      </c>
      <c r="AW828" s="31">
        <f>IF($AU828="","",IF(MATCH($AU828,$AU$8:$AU$2007,0)=ROW()-7,MAX($AW$7:$AW827)+1,""))</f>
        <v/>
      </c>
      <c r="AX828" s="31">
        <f>IF(OR($AS828="",$D$6=""),"",TRIM(INDEX($A:$AP,ROW(),$D$6)&amp;""))</f>
        <v/>
      </c>
      <c r="AY828" s="31">
        <f>IF($AU828="","",INDEX($AW$8:$AW$2007,MATCH($AU828,$AU$8:$AU$2007,0)))</f>
        <v/>
      </c>
      <c r="AZ828" s="31">
        <f>IF(OR($AS828="",$C$6=""),"",TRIM(INDEX($A:$AP,ROW(),$C$6)&amp;""))</f>
        <v/>
      </c>
      <c r="BA828" s="31">
        <f>IF($AZ828="","",IF(COUNTIF($AZ$8:$AZ828,$AZ828)&gt;1,1,0))</f>
        <v/>
      </c>
    </row>
    <row r="829">
      <c r="AR829" s="31">
        <f>IF(OR($A$5="",$B$6="",ROW()&lt;$A$5),"",IF(INDEX($A:$AP,ROW(),$B$6)="","",INDEX($A:$AP,ROW(),$B$6)))</f>
        <v/>
      </c>
      <c r="AS829" s="32">
        <f>IF($AR829="","",IF(ISNUMBER($AR829),IF($AR829&gt;=10000000,IFERROR(DATE(INT($AR829/10000),MOD(INT($AR829/100),100),MOD($AR829,100)),""),INT($AR829)),IFERROR(DATE(--LEFT(LEFT(SUBSTITUTE(SUBSTITUTE(SUBSTITUTE(SUBSTITUTE(TRIM($AR829),"-",""),".",""),"/","")," ",""),8),4),--MID(LEFT(SUBSTITUTE(SUBSTITUTE(SUBSTITUTE(SUBSTITUTE(TRIM($AR829),"-",""),".",""),"/","")," ",""),8),5,2),--MID(LEFT(SUBSTITUTE(SUBSTITUTE(SUBSTITUTE(SUBSTITUTE(TRIM($AR829),"-",""),".",""),"/","")," ",""),8),7,2)),"")))</f>
        <v/>
      </c>
      <c r="AT829" s="33">
        <f>IF($AS829="","",IF($F$6="",0,IF(ISNUMBER(INDEX($A:$AP,ROW(),$F$6)),INDEX($A:$AP,ROW(),$F$6),IFERROR(--SUBSTITUTE(SUBSTITUTE(TRIM(INDEX($A:$AP,ROW(),$F$6)),",",""),"원",""),0))))</f>
        <v/>
      </c>
      <c r="AU829" s="31">
        <f>IF($AS829="","",IF($AX829&lt;&gt;"",SUBSTITUTE(SUBSTITUTE($AX829,"-","")," ",""),"N:"&amp;$AV829))</f>
        <v/>
      </c>
      <c r="AV829" s="31">
        <f>IF(OR($AS829="",$E$6=""),"",TRIM(INDEX($A:$AP,ROW(),$E$6)&amp;""))</f>
        <v/>
      </c>
      <c r="AW829" s="31">
        <f>IF($AU829="","",IF(MATCH($AU829,$AU$8:$AU$2007,0)=ROW()-7,MAX($AW$7:$AW828)+1,""))</f>
        <v/>
      </c>
      <c r="AX829" s="31">
        <f>IF(OR($AS829="",$D$6=""),"",TRIM(INDEX($A:$AP,ROW(),$D$6)&amp;""))</f>
        <v/>
      </c>
      <c r="AY829" s="31">
        <f>IF($AU829="","",INDEX($AW$8:$AW$2007,MATCH($AU829,$AU$8:$AU$2007,0)))</f>
        <v/>
      </c>
      <c r="AZ829" s="31">
        <f>IF(OR($AS829="",$C$6=""),"",TRIM(INDEX($A:$AP,ROW(),$C$6)&amp;""))</f>
        <v/>
      </c>
      <c r="BA829" s="31">
        <f>IF($AZ829="","",IF(COUNTIF($AZ$8:$AZ829,$AZ829)&gt;1,1,0))</f>
        <v/>
      </c>
    </row>
    <row r="830">
      <c r="AR830" s="31">
        <f>IF(OR($A$5="",$B$6="",ROW()&lt;$A$5),"",IF(INDEX($A:$AP,ROW(),$B$6)="","",INDEX($A:$AP,ROW(),$B$6)))</f>
        <v/>
      </c>
      <c r="AS830" s="32">
        <f>IF($AR830="","",IF(ISNUMBER($AR830),IF($AR830&gt;=10000000,IFERROR(DATE(INT($AR830/10000),MOD(INT($AR830/100),100),MOD($AR830,100)),""),INT($AR830)),IFERROR(DATE(--LEFT(LEFT(SUBSTITUTE(SUBSTITUTE(SUBSTITUTE(SUBSTITUTE(TRIM($AR830),"-",""),".",""),"/","")," ",""),8),4),--MID(LEFT(SUBSTITUTE(SUBSTITUTE(SUBSTITUTE(SUBSTITUTE(TRIM($AR830),"-",""),".",""),"/","")," ",""),8),5,2),--MID(LEFT(SUBSTITUTE(SUBSTITUTE(SUBSTITUTE(SUBSTITUTE(TRIM($AR830),"-",""),".",""),"/","")," ",""),8),7,2)),"")))</f>
        <v/>
      </c>
      <c r="AT830" s="33">
        <f>IF($AS830="","",IF($F$6="",0,IF(ISNUMBER(INDEX($A:$AP,ROW(),$F$6)),INDEX($A:$AP,ROW(),$F$6),IFERROR(--SUBSTITUTE(SUBSTITUTE(TRIM(INDEX($A:$AP,ROW(),$F$6)),",",""),"원",""),0))))</f>
        <v/>
      </c>
      <c r="AU830" s="31">
        <f>IF($AS830="","",IF($AX830&lt;&gt;"",SUBSTITUTE(SUBSTITUTE($AX830,"-","")," ",""),"N:"&amp;$AV830))</f>
        <v/>
      </c>
      <c r="AV830" s="31">
        <f>IF(OR($AS830="",$E$6=""),"",TRIM(INDEX($A:$AP,ROW(),$E$6)&amp;""))</f>
        <v/>
      </c>
      <c r="AW830" s="31">
        <f>IF($AU830="","",IF(MATCH($AU830,$AU$8:$AU$2007,0)=ROW()-7,MAX($AW$7:$AW829)+1,""))</f>
        <v/>
      </c>
      <c r="AX830" s="31">
        <f>IF(OR($AS830="",$D$6=""),"",TRIM(INDEX($A:$AP,ROW(),$D$6)&amp;""))</f>
        <v/>
      </c>
      <c r="AY830" s="31">
        <f>IF($AU830="","",INDEX($AW$8:$AW$2007,MATCH($AU830,$AU$8:$AU$2007,0)))</f>
        <v/>
      </c>
      <c r="AZ830" s="31">
        <f>IF(OR($AS830="",$C$6=""),"",TRIM(INDEX($A:$AP,ROW(),$C$6)&amp;""))</f>
        <v/>
      </c>
      <c r="BA830" s="31">
        <f>IF($AZ830="","",IF(COUNTIF($AZ$8:$AZ830,$AZ830)&gt;1,1,0))</f>
        <v/>
      </c>
    </row>
    <row r="831">
      <c r="AR831" s="31">
        <f>IF(OR($A$5="",$B$6="",ROW()&lt;$A$5),"",IF(INDEX($A:$AP,ROW(),$B$6)="","",INDEX($A:$AP,ROW(),$B$6)))</f>
        <v/>
      </c>
      <c r="AS831" s="32">
        <f>IF($AR831="","",IF(ISNUMBER($AR831),IF($AR831&gt;=10000000,IFERROR(DATE(INT($AR831/10000),MOD(INT($AR831/100),100),MOD($AR831,100)),""),INT($AR831)),IFERROR(DATE(--LEFT(LEFT(SUBSTITUTE(SUBSTITUTE(SUBSTITUTE(SUBSTITUTE(TRIM($AR831),"-",""),".",""),"/","")," ",""),8),4),--MID(LEFT(SUBSTITUTE(SUBSTITUTE(SUBSTITUTE(SUBSTITUTE(TRIM($AR831),"-",""),".",""),"/","")," ",""),8),5,2),--MID(LEFT(SUBSTITUTE(SUBSTITUTE(SUBSTITUTE(SUBSTITUTE(TRIM($AR831),"-",""),".",""),"/","")," ",""),8),7,2)),"")))</f>
        <v/>
      </c>
      <c r="AT831" s="33">
        <f>IF($AS831="","",IF($F$6="",0,IF(ISNUMBER(INDEX($A:$AP,ROW(),$F$6)),INDEX($A:$AP,ROW(),$F$6),IFERROR(--SUBSTITUTE(SUBSTITUTE(TRIM(INDEX($A:$AP,ROW(),$F$6)),",",""),"원",""),0))))</f>
        <v/>
      </c>
      <c r="AU831" s="31">
        <f>IF($AS831="","",IF($AX831&lt;&gt;"",SUBSTITUTE(SUBSTITUTE($AX831,"-","")," ",""),"N:"&amp;$AV831))</f>
        <v/>
      </c>
      <c r="AV831" s="31">
        <f>IF(OR($AS831="",$E$6=""),"",TRIM(INDEX($A:$AP,ROW(),$E$6)&amp;""))</f>
        <v/>
      </c>
      <c r="AW831" s="31">
        <f>IF($AU831="","",IF(MATCH($AU831,$AU$8:$AU$2007,0)=ROW()-7,MAX($AW$7:$AW830)+1,""))</f>
        <v/>
      </c>
      <c r="AX831" s="31">
        <f>IF(OR($AS831="",$D$6=""),"",TRIM(INDEX($A:$AP,ROW(),$D$6)&amp;""))</f>
        <v/>
      </c>
      <c r="AY831" s="31">
        <f>IF($AU831="","",INDEX($AW$8:$AW$2007,MATCH($AU831,$AU$8:$AU$2007,0)))</f>
        <v/>
      </c>
      <c r="AZ831" s="31">
        <f>IF(OR($AS831="",$C$6=""),"",TRIM(INDEX($A:$AP,ROW(),$C$6)&amp;""))</f>
        <v/>
      </c>
      <c r="BA831" s="31">
        <f>IF($AZ831="","",IF(COUNTIF($AZ$8:$AZ831,$AZ831)&gt;1,1,0))</f>
        <v/>
      </c>
    </row>
    <row r="832">
      <c r="AR832" s="31">
        <f>IF(OR($A$5="",$B$6="",ROW()&lt;$A$5),"",IF(INDEX($A:$AP,ROW(),$B$6)="","",INDEX($A:$AP,ROW(),$B$6)))</f>
        <v/>
      </c>
      <c r="AS832" s="32">
        <f>IF($AR832="","",IF(ISNUMBER($AR832),IF($AR832&gt;=10000000,IFERROR(DATE(INT($AR832/10000),MOD(INT($AR832/100),100),MOD($AR832,100)),""),INT($AR832)),IFERROR(DATE(--LEFT(LEFT(SUBSTITUTE(SUBSTITUTE(SUBSTITUTE(SUBSTITUTE(TRIM($AR832),"-",""),".",""),"/","")," ",""),8),4),--MID(LEFT(SUBSTITUTE(SUBSTITUTE(SUBSTITUTE(SUBSTITUTE(TRIM($AR832),"-",""),".",""),"/","")," ",""),8),5,2),--MID(LEFT(SUBSTITUTE(SUBSTITUTE(SUBSTITUTE(SUBSTITUTE(TRIM($AR832),"-",""),".",""),"/","")," ",""),8),7,2)),"")))</f>
        <v/>
      </c>
      <c r="AT832" s="33">
        <f>IF($AS832="","",IF($F$6="",0,IF(ISNUMBER(INDEX($A:$AP,ROW(),$F$6)),INDEX($A:$AP,ROW(),$F$6),IFERROR(--SUBSTITUTE(SUBSTITUTE(TRIM(INDEX($A:$AP,ROW(),$F$6)),",",""),"원",""),0))))</f>
        <v/>
      </c>
      <c r="AU832" s="31">
        <f>IF($AS832="","",IF($AX832&lt;&gt;"",SUBSTITUTE(SUBSTITUTE($AX832,"-","")," ",""),"N:"&amp;$AV832))</f>
        <v/>
      </c>
      <c r="AV832" s="31">
        <f>IF(OR($AS832="",$E$6=""),"",TRIM(INDEX($A:$AP,ROW(),$E$6)&amp;""))</f>
        <v/>
      </c>
      <c r="AW832" s="31">
        <f>IF($AU832="","",IF(MATCH($AU832,$AU$8:$AU$2007,0)=ROW()-7,MAX($AW$7:$AW831)+1,""))</f>
        <v/>
      </c>
      <c r="AX832" s="31">
        <f>IF(OR($AS832="",$D$6=""),"",TRIM(INDEX($A:$AP,ROW(),$D$6)&amp;""))</f>
        <v/>
      </c>
      <c r="AY832" s="31">
        <f>IF($AU832="","",INDEX($AW$8:$AW$2007,MATCH($AU832,$AU$8:$AU$2007,0)))</f>
        <v/>
      </c>
      <c r="AZ832" s="31">
        <f>IF(OR($AS832="",$C$6=""),"",TRIM(INDEX($A:$AP,ROW(),$C$6)&amp;""))</f>
        <v/>
      </c>
      <c r="BA832" s="31">
        <f>IF($AZ832="","",IF(COUNTIF($AZ$8:$AZ832,$AZ832)&gt;1,1,0))</f>
        <v/>
      </c>
    </row>
    <row r="833">
      <c r="AR833" s="31">
        <f>IF(OR($A$5="",$B$6="",ROW()&lt;$A$5),"",IF(INDEX($A:$AP,ROW(),$B$6)="","",INDEX($A:$AP,ROW(),$B$6)))</f>
        <v/>
      </c>
      <c r="AS833" s="32">
        <f>IF($AR833="","",IF(ISNUMBER($AR833),IF($AR833&gt;=10000000,IFERROR(DATE(INT($AR833/10000),MOD(INT($AR833/100),100),MOD($AR833,100)),""),INT($AR833)),IFERROR(DATE(--LEFT(LEFT(SUBSTITUTE(SUBSTITUTE(SUBSTITUTE(SUBSTITUTE(TRIM($AR833),"-",""),".",""),"/","")," ",""),8),4),--MID(LEFT(SUBSTITUTE(SUBSTITUTE(SUBSTITUTE(SUBSTITUTE(TRIM($AR833),"-",""),".",""),"/","")," ",""),8),5,2),--MID(LEFT(SUBSTITUTE(SUBSTITUTE(SUBSTITUTE(SUBSTITUTE(TRIM($AR833),"-",""),".",""),"/","")," ",""),8),7,2)),"")))</f>
        <v/>
      </c>
      <c r="AT833" s="33">
        <f>IF($AS833="","",IF($F$6="",0,IF(ISNUMBER(INDEX($A:$AP,ROW(),$F$6)),INDEX($A:$AP,ROW(),$F$6),IFERROR(--SUBSTITUTE(SUBSTITUTE(TRIM(INDEX($A:$AP,ROW(),$F$6)),",",""),"원",""),0))))</f>
        <v/>
      </c>
      <c r="AU833" s="31">
        <f>IF($AS833="","",IF($AX833&lt;&gt;"",SUBSTITUTE(SUBSTITUTE($AX833,"-","")," ",""),"N:"&amp;$AV833))</f>
        <v/>
      </c>
      <c r="AV833" s="31">
        <f>IF(OR($AS833="",$E$6=""),"",TRIM(INDEX($A:$AP,ROW(),$E$6)&amp;""))</f>
        <v/>
      </c>
      <c r="AW833" s="31">
        <f>IF($AU833="","",IF(MATCH($AU833,$AU$8:$AU$2007,0)=ROW()-7,MAX($AW$7:$AW832)+1,""))</f>
        <v/>
      </c>
      <c r="AX833" s="31">
        <f>IF(OR($AS833="",$D$6=""),"",TRIM(INDEX($A:$AP,ROW(),$D$6)&amp;""))</f>
        <v/>
      </c>
      <c r="AY833" s="31">
        <f>IF($AU833="","",INDEX($AW$8:$AW$2007,MATCH($AU833,$AU$8:$AU$2007,0)))</f>
        <v/>
      </c>
      <c r="AZ833" s="31">
        <f>IF(OR($AS833="",$C$6=""),"",TRIM(INDEX($A:$AP,ROW(),$C$6)&amp;""))</f>
        <v/>
      </c>
      <c r="BA833" s="31">
        <f>IF($AZ833="","",IF(COUNTIF($AZ$8:$AZ833,$AZ833)&gt;1,1,0))</f>
        <v/>
      </c>
    </row>
    <row r="834">
      <c r="AR834" s="31">
        <f>IF(OR($A$5="",$B$6="",ROW()&lt;$A$5),"",IF(INDEX($A:$AP,ROW(),$B$6)="","",INDEX($A:$AP,ROW(),$B$6)))</f>
        <v/>
      </c>
      <c r="AS834" s="32">
        <f>IF($AR834="","",IF(ISNUMBER($AR834),IF($AR834&gt;=10000000,IFERROR(DATE(INT($AR834/10000),MOD(INT($AR834/100),100),MOD($AR834,100)),""),INT($AR834)),IFERROR(DATE(--LEFT(LEFT(SUBSTITUTE(SUBSTITUTE(SUBSTITUTE(SUBSTITUTE(TRIM($AR834),"-",""),".",""),"/","")," ",""),8),4),--MID(LEFT(SUBSTITUTE(SUBSTITUTE(SUBSTITUTE(SUBSTITUTE(TRIM($AR834),"-",""),".",""),"/","")," ",""),8),5,2),--MID(LEFT(SUBSTITUTE(SUBSTITUTE(SUBSTITUTE(SUBSTITUTE(TRIM($AR834),"-",""),".",""),"/","")," ",""),8),7,2)),"")))</f>
        <v/>
      </c>
      <c r="AT834" s="33">
        <f>IF($AS834="","",IF($F$6="",0,IF(ISNUMBER(INDEX($A:$AP,ROW(),$F$6)),INDEX($A:$AP,ROW(),$F$6),IFERROR(--SUBSTITUTE(SUBSTITUTE(TRIM(INDEX($A:$AP,ROW(),$F$6)),",",""),"원",""),0))))</f>
        <v/>
      </c>
      <c r="AU834" s="31">
        <f>IF($AS834="","",IF($AX834&lt;&gt;"",SUBSTITUTE(SUBSTITUTE($AX834,"-","")," ",""),"N:"&amp;$AV834))</f>
        <v/>
      </c>
      <c r="AV834" s="31">
        <f>IF(OR($AS834="",$E$6=""),"",TRIM(INDEX($A:$AP,ROW(),$E$6)&amp;""))</f>
        <v/>
      </c>
      <c r="AW834" s="31">
        <f>IF($AU834="","",IF(MATCH($AU834,$AU$8:$AU$2007,0)=ROW()-7,MAX($AW$7:$AW833)+1,""))</f>
        <v/>
      </c>
      <c r="AX834" s="31">
        <f>IF(OR($AS834="",$D$6=""),"",TRIM(INDEX($A:$AP,ROW(),$D$6)&amp;""))</f>
        <v/>
      </c>
      <c r="AY834" s="31">
        <f>IF($AU834="","",INDEX($AW$8:$AW$2007,MATCH($AU834,$AU$8:$AU$2007,0)))</f>
        <v/>
      </c>
      <c r="AZ834" s="31">
        <f>IF(OR($AS834="",$C$6=""),"",TRIM(INDEX($A:$AP,ROW(),$C$6)&amp;""))</f>
        <v/>
      </c>
      <c r="BA834" s="31">
        <f>IF($AZ834="","",IF(COUNTIF($AZ$8:$AZ834,$AZ834)&gt;1,1,0))</f>
        <v/>
      </c>
    </row>
    <row r="835">
      <c r="AR835" s="31">
        <f>IF(OR($A$5="",$B$6="",ROW()&lt;$A$5),"",IF(INDEX($A:$AP,ROW(),$B$6)="","",INDEX($A:$AP,ROW(),$B$6)))</f>
        <v/>
      </c>
      <c r="AS835" s="32">
        <f>IF($AR835="","",IF(ISNUMBER($AR835),IF($AR835&gt;=10000000,IFERROR(DATE(INT($AR835/10000),MOD(INT($AR835/100),100),MOD($AR835,100)),""),INT($AR835)),IFERROR(DATE(--LEFT(LEFT(SUBSTITUTE(SUBSTITUTE(SUBSTITUTE(SUBSTITUTE(TRIM($AR835),"-",""),".",""),"/","")," ",""),8),4),--MID(LEFT(SUBSTITUTE(SUBSTITUTE(SUBSTITUTE(SUBSTITUTE(TRIM($AR835),"-",""),".",""),"/","")," ",""),8),5,2),--MID(LEFT(SUBSTITUTE(SUBSTITUTE(SUBSTITUTE(SUBSTITUTE(TRIM($AR835),"-",""),".",""),"/","")," ",""),8),7,2)),"")))</f>
        <v/>
      </c>
      <c r="AT835" s="33">
        <f>IF($AS835="","",IF($F$6="",0,IF(ISNUMBER(INDEX($A:$AP,ROW(),$F$6)),INDEX($A:$AP,ROW(),$F$6),IFERROR(--SUBSTITUTE(SUBSTITUTE(TRIM(INDEX($A:$AP,ROW(),$F$6)),",",""),"원",""),0))))</f>
        <v/>
      </c>
      <c r="AU835" s="31">
        <f>IF($AS835="","",IF($AX835&lt;&gt;"",SUBSTITUTE(SUBSTITUTE($AX835,"-","")," ",""),"N:"&amp;$AV835))</f>
        <v/>
      </c>
      <c r="AV835" s="31">
        <f>IF(OR($AS835="",$E$6=""),"",TRIM(INDEX($A:$AP,ROW(),$E$6)&amp;""))</f>
        <v/>
      </c>
      <c r="AW835" s="31">
        <f>IF($AU835="","",IF(MATCH($AU835,$AU$8:$AU$2007,0)=ROW()-7,MAX($AW$7:$AW834)+1,""))</f>
        <v/>
      </c>
      <c r="AX835" s="31">
        <f>IF(OR($AS835="",$D$6=""),"",TRIM(INDEX($A:$AP,ROW(),$D$6)&amp;""))</f>
        <v/>
      </c>
      <c r="AY835" s="31">
        <f>IF($AU835="","",INDEX($AW$8:$AW$2007,MATCH($AU835,$AU$8:$AU$2007,0)))</f>
        <v/>
      </c>
      <c r="AZ835" s="31">
        <f>IF(OR($AS835="",$C$6=""),"",TRIM(INDEX($A:$AP,ROW(),$C$6)&amp;""))</f>
        <v/>
      </c>
      <c r="BA835" s="31">
        <f>IF($AZ835="","",IF(COUNTIF($AZ$8:$AZ835,$AZ835)&gt;1,1,0))</f>
        <v/>
      </c>
    </row>
    <row r="836">
      <c r="AR836" s="31">
        <f>IF(OR($A$5="",$B$6="",ROW()&lt;$A$5),"",IF(INDEX($A:$AP,ROW(),$B$6)="","",INDEX($A:$AP,ROW(),$B$6)))</f>
        <v/>
      </c>
      <c r="AS836" s="32">
        <f>IF($AR836="","",IF(ISNUMBER($AR836),IF($AR836&gt;=10000000,IFERROR(DATE(INT($AR836/10000),MOD(INT($AR836/100),100),MOD($AR836,100)),""),INT($AR836)),IFERROR(DATE(--LEFT(LEFT(SUBSTITUTE(SUBSTITUTE(SUBSTITUTE(SUBSTITUTE(TRIM($AR836),"-",""),".",""),"/","")," ",""),8),4),--MID(LEFT(SUBSTITUTE(SUBSTITUTE(SUBSTITUTE(SUBSTITUTE(TRIM($AR836),"-",""),".",""),"/","")," ",""),8),5,2),--MID(LEFT(SUBSTITUTE(SUBSTITUTE(SUBSTITUTE(SUBSTITUTE(TRIM($AR836),"-",""),".",""),"/","")," ",""),8),7,2)),"")))</f>
        <v/>
      </c>
      <c r="AT836" s="33">
        <f>IF($AS836="","",IF($F$6="",0,IF(ISNUMBER(INDEX($A:$AP,ROW(),$F$6)),INDEX($A:$AP,ROW(),$F$6),IFERROR(--SUBSTITUTE(SUBSTITUTE(TRIM(INDEX($A:$AP,ROW(),$F$6)),",",""),"원",""),0))))</f>
        <v/>
      </c>
      <c r="AU836" s="31">
        <f>IF($AS836="","",IF($AX836&lt;&gt;"",SUBSTITUTE(SUBSTITUTE($AX836,"-","")," ",""),"N:"&amp;$AV836))</f>
        <v/>
      </c>
      <c r="AV836" s="31">
        <f>IF(OR($AS836="",$E$6=""),"",TRIM(INDEX($A:$AP,ROW(),$E$6)&amp;""))</f>
        <v/>
      </c>
      <c r="AW836" s="31">
        <f>IF($AU836="","",IF(MATCH($AU836,$AU$8:$AU$2007,0)=ROW()-7,MAX($AW$7:$AW835)+1,""))</f>
        <v/>
      </c>
      <c r="AX836" s="31">
        <f>IF(OR($AS836="",$D$6=""),"",TRIM(INDEX($A:$AP,ROW(),$D$6)&amp;""))</f>
        <v/>
      </c>
      <c r="AY836" s="31">
        <f>IF($AU836="","",INDEX($AW$8:$AW$2007,MATCH($AU836,$AU$8:$AU$2007,0)))</f>
        <v/>
      </c>
      <c r="AZ836" s="31">
        <f>IF(OR($AS836="",$C$6=""),"",TRIM(INDEX($A:$AP,ROW(),$C$6)&amp;""))</f>
        <v/>
      </c>
      <c r="BA836" s="31">
        <f>IF($AZ836="","",IF(COUNTIF($AZ$8:$AZ836,$AZ836)&gt;1,1,0))</f>
        <v/>
      </c>
    </row>
    <row r="837">
      <c r="AR837" s="31">
        <f>IF(OR($A$5="",$B$6="",ROW()&lt;$A$5),"",IF(INDEX($A:$AP,ROW(),$B$6)="","",INDEX($A:$AP,ROW(),$B$6)))</f>
        <v/>
      </c>
      <c r="AS837" s="32">
        <f>IF($AR837="","",IF(ISNUMBER($AR837),IF($AR837&gt;=10000000,IFERROR(DATE(INT($AR837/10000),MOD(INT($AR837/100),100),MOD($AR837,100)),""),INT($AR837)),IFERROR(DATE(--LEFT(LEFT(SUBSTITUTE(SUBSTITUTE(SUBSTITUTE(SUBSTITUTE(TRIM($AR837),"-",""),".",""),"/","")," ",""),8),4),--MID(LEFT(SUBSTITUTE(SUBSTITUTE(SUBSTITUTE(SUBSTITUTE(TRIM($AR837),"-",""),".",""),"/","")," ",""),8),5,2),--MID(LEFT(SUBSTITUTE(SUBSTITUTE(SUBSTITUTE(SUBSTITUTE(TRIM($AR837),"-",""),".",""),"/","")," ",""),8),7,2)),"")))</f>
        <v/>
      </c>
      <c r="AT837" s="33">
        <f>IF($AS837="","",IF($F$6="",0,IF(ISNUMBER(INDEX($A:$AP,ROW(),$F$6)),INDEX($A:$AP,ROW(),$F$6),IFERROR(--SUBSTITUTE(SUBSTITUTE(TRIM(INDEX($A:$AP,ROW(),$F$6)),",",""),"원",""),0))))</f>
        <v/>
      </c>
      <c r="AU837" s="31">
        <f>IF($AS837="","",IF($AX837&lt;&gt;"",SUBSTITUTE(SUBSTITUTE($AX837,"-","")," ",""),"N:"&amp;$AV837))</f>
        <v/>
      </c>
      <c r="AV837" s="31">
        <f>IF(OR($AS837="",$E$6=""),"",TRIM(INDEX($A:$AP,ROW(),$E$6)&amp;""))</f>
        <v/>
      </c>
      <c r="AW837" s="31">
        <f>IF($AU837="","",IF(MATCH($AU837,$AU$8:$AU$2007,0)=ROW()-7,MAX($AW$7:$AW836)+1,""))</f>
        <v/>
      </c>
      <c r="AX837" s="31">
        <f>IF(OR($AS837="",$D$6=""),"",TRIM(INDEX($A:$AP,ROW(),$D$6)&amp;""))</f>
        <v/>
      </c>
      <c r="AY837" s="31">
        <f>IF($AU837="","",INDEX($AW$8:$AW$2007,MATCH($AU837,$AU$8:$AU$2007,0)))</f>
        <v/>
      </c>
      <c r="AZ837" s="31">
        <f>IF(OR($AS837="",$C$6=""),"",TRIM(INDEX($A:$AP,ROW(),$C$6)&amp;""))</f>
        <v/>
      </c>
      <c r="BA837" s="31">
        <f>IF($AZ837="","",IF(COUNTIF($AZ$8:$AZ837,$AZ837)&gt;1,1,0))</f>
        <v/>
      </c>
    </row>
    <row r="838">
      <c r="AR838" s="31">
        <f>IF(OR($A$5="",$B$6="",ROW()&lt;$A$5),"",IF(INDEX($A:$AP,ROW(),$B$6)="","",INDEX($A:$AP,ROW(),$B$6)))</f>
        <v/>
      </c>
      <c r="AS838" s="32">
        <f>IF($AR838="","",IF(ISNUMBER($AR838),IF($AR838&gt;=10000000,IFERROR(DATE(INT($AR838/10000),MOD(INT($AR838/100),100),MOD($AR838,100)),""),INT($AR838)),IFERROR(DATE(--LEFT(LEFT(SUBSTITUTE(SUBSTITUTE(SUBSTITUTE(SUBSTITUTE(TRIM($AR838),"-",""),".",""),"/","")," ",""),8),4),--MID(LEFT(SUBSTITUTE(SUBSTITUTE(SUBSTITUTE(SUBSTITUTE(TRIM($AR838),"-",""),".",""),"/","")," ",""),8),5,2),--MID(LEFT(SUBSTITUTE(SUBSTITUTE(SUBSTITUTE(SUBSTITUTE(TRIM($AR838),"-",""),".",""),"/","")," ",""),8),7,2)),"")))</f>
        <v/>
      </c>
      <c r="AT838" s="33">
        <f>IF($AS838="","",IF($F$6="",0,IF(ISNUMBER(INDEX($A:$AP,ROW(),$F$6)),INDEX($A:$AP,ROW(),$F$6),IFERROR(--SUBSTITUTE(SUBSTITUTE(TRIM(INDEX($A:$AP,ROW(),$F$6)),",",""),"원",""),0))))</f>
        <v/>
      </c>
      <c r="AU838" s="31">
        <f>IF($AS838="","",IF($AX838&lt;&gt;"",SUBSTITUTE(SUBSTITUTE($AX838,"-","")," ",""),"N:"&amp;$AV838))</f>
        <v/>
      </c>
      <c r="AV838" s="31">
        <f>IF(OR($AS838="",$E$6=""),"",TRIM(INDEX($A:$AP,ROW(),$E$6)&amp;""))</f>
        <v/>
      </c>
      <c r="AW838" s="31">
        <f>IF($AU838="","",IF(MATCH($AU838,$AU$8:$AU$2007,0)=ROW()-7,MAX($AW$7:$AW837)+1,""))</f>
        <v/>
      </c>
      <c r="AX838" s="31">
        <f>IF(OR($AS838="",$D$6=""),"",TRIM(INDEX($A:$AP,ROW(),$D$6)&amp;""))</f>
        <v/>
      </c>
      <c r="AY838" s="31">
        <f>IF($AU838="","",INDEX($AW$8:$AW$2007,MATCH($AU838,$AU$8:$AU$2007,0)))</f>
        <v/>
      </c>
      <c r="AZ838" s="31">
        <f>IF(OR($AS838="",$C$6=""),"",TRIM(INDEX($A:$AP,ROW(),$C$6)&amp;""))</f>
        <v/>
      </c>
      <c r="BA838" s="31">
        <f>IF($AZ838="","",IF(COUNTIF($AZ$8:$AZ838,$AZ838)&gt;1,1,0))</f>
        <v/>
      </c>
    </row>
    <row r="839">
      <c r="AR839" s="31">
        <f>IF(OR($A$5="",$B$6="",ROW()&lt;$A$5),"",IF(INDEX($A:$AP,ROW(),$B$6)="","",INDEX($A:$AP,ROW(),$B$6)))</f>
        <v/>
      </c>
      <c r="AS839" s="32">
        <f>IF($AR839="","",IF(ISNUMBER($AR839),IF($AR839&gt;=10000000,IFERROR(DATE(INT($AR839/10000),MOD(INT($AR839/100),100),MOD($AR839,100)),""),INT($AR839)),IFERROR(DATE(--LEFT(LEFT(SUBSTITUTE(SUBSTITUTE(SUBSTITUTE(SUBSTITUTE(TRIM($AR839),"-",""),".",""),"/","")," ",""),8),4),--MID(LEFT(SUBSTITUTE(SUBSTITUTE(SUBSTITUTE(SUBSTITUTE(TRIM($AR839),"-",""),".",""),"/","")," ",""),8),5,2),--MID(LEFT(SUBSTITUTE(SUBSTITUTE(SUBSTITUTE(SUBSTITUTE(TRIM($AR839),"-",""),".",""),"/","")," ",""),8),7,2)),"")))</f>
        <v/>
      </c>
      <c r="AT839" s="33">
        <f>IF($AS839="","",IF($F$6="",0,IF(ISNUMBER(INDEX($A:$AP,ROW(),$F$6)),INDEX($A:$AP,ROW(),$F$6),IFERROR(--SUBSTITUTE(SUBSTITUTE(TRIM(INDEX($A:$AP,ROW(),$F$6)),",",""),"원",""),0))))</f>
        <v/>
      </c>
      <c r="AU839" s="31">
        <f>IF($AS839="","",IF($AX839&lt;&gt;"",SUBSTITUTE(SUBSTITUTE($AX839,"-","")," ",""),"N:"&amp;$AV839))</f>
        <v/>
      </c>
      <c r="AV839" s="31">
        <f>IF(OR($AS839="",$E$6=""),"",TRIM(INDEX($A:$AP,ROW(),$E$6)&amp;""))</f>
        <v/>
      </c>
      <c r="AW839" s="31">
        <f>IF($AU839="","",IF(MATCH($AU839,$AU$8:$AU$2007,0)=ROW()-7,MAX($AW$7:$AW838)+1,""))</f>
        <v/>
      </c>
      <c r="AX839" s="31">
        <f>IF(OR($AS839="",$D$6=""),"",TRIM(INDEX($A:$AP,ROW(),$D$6)&amp;""))</f>
        <v/>
      </c>
      <c r="AY839" s="31">
        <f>IF($AU839="","",INDEX($AW$8:$AW$2007,MATCH($AU839,$AU$8:$AU$2007,0)))</f>
        <v/>
      </c>
      <c r="AZ839" s="31">
        <f>IF(OR($AS839="",$C$6=""),"",TRIM(INDEX($A:$AP,ROW(),$C$6)&amp;""))</f>
        <v/>
      </c>
      <c r="BA839" s="31">
        <f>IF($AZ839="","",IF(COUNTIF($AZ$8:$AZ839,$AZ839)&gt;1,1,0))</f>
        <v/>
      </c>
    </row>
    <row r="840">
      <c r="AR840" s="31">
        <f>IF(OR($A$5="",$B$6="",ROW()&lt;$A$5),"",IF(INDEX($A:$AP,ROW(),$B$6)="","",INDEX($A:$AP,ROW(),$B$6)))</f>
        <v/>
      </c>
      <c r="AS840" s="32">
        <f>IF($AR840="","",IF(ISNUMBER($AR840),IF($AR840&gt;=10000000,IFERROR(DATE(INT($AR840/10000),MOD(INT($AR840/100),100),MOD($AR840,100)),""),INT($AR840)),IFERROR(DATE(--LEFT(LEFT(SUBSTITUTE(SUBSTITUTE(SUBSTITUTE(SUBSTITUTE(TRIM($AR840),"-",""),".",""),"/","")," ",""),8),4),--MID(LEFT(SUBSTITUTE(SUBSTITUTE(SUBSTITUTE(SUBSTITUTE(TRIM($AR840),"-",""),".",""),"/","")," ",""),8),5,2),--MID(LEFT(SUBSTITUTE(SUBSTITUTE(SUBSTITUTE(SUBSTITUTE(TRIM($AR840),"-",""),".",""),"/","")," ",""),8),7,2)),"")))</f>
        <v/>
      </c>
      <c r="AT840" s="33">
        <f>IF($AS840="","",IF($F$6="",0,IF(ISNUMBER(INDEX($A:$AP,ROW(),$F$6)),INDEX($A:$AP,ROW(),$F$6),IFERROR(--SUBSTITUTE(SUBSTITUTE(TRIM(INDEX($A:$AP,ROW(),$F$6)),",",""),"원",""),0))))</f>
        <v/>
      </c>
      <c r="AU840" s="31">
        <f>IF($AS840="","",IF($AX840&lt;&gt;"",SUBSTITUTE(SUBSTITUTE($AX840,"-","")," ",""),"N:"&amp;$AV840))</f>
        <v/>
      </c>
      <c r="AV840" s="31">
        <f>IF(OR($AS840="",$E$6=""),"",TRIM(INDEX($A:$AP,ROW(),$E$6)&amp;""))</f>
        <v/>
      </c>
      <c r="AW840" s="31">
        <f>IF($AU840="","",IF(MATCH($AU840,$AU$8:$AU$2007,0)=ROW()-7,MAX($AW$7:$AW839)+1,""))</f>
        <v/>
      </c>
      <c r="AX840" s="31">
        <f>IF(OR($AS840="",$D$6=""),"",TRIM(INDEX($A:$AP,ROW(),$D$6)&amp;""))</f>
        <v/>
      </c>
      <c r="AY840" s="31">
        <f>IF($AU840="","",INDEX($AW$8:$AW$2007,MATCH($AU840,$AU$8:$AU$2007,0)))</f>
        <v/>
      </c>
      <c r="AZ840" s="31">
        <f>IF(OR($AS840="",$C$6=""),"",TRIM(INDEX($A:$AP,ROW(),$C$6)&amp;""))</f>
        <v/>
      </c>
      <c r="BA840" s="31">
        <f>IF($AZ840="","",IF(COUNTIF($AZ$8:$AZ840,$AZ840)&gt;1,1,0))</f>
        <v/>
      </c>
    </row>
    <row r="841">
      <c r="AR841" s="31">
        <f>IF(OR($A$5="",$B$6="",ROW()&lt;$A$5),"",IF(INDEX($A:$AP,ROW(),$B$6)="","",INDEX($A:$AP,ROW(),$B$6)))</f>
        <v/>
      </c>
      <c r="AS841" s="32">
        <f>IF($AR841="","",IF(ISNUMBER($AR841),IF($AR841&gt;=10000000,IFERROR(DATE(INT($AR841/10000),MOD(INT($AR841/100),100),MOD($AR841,100)),""),INT($AR841)),IFERROR(DATE(--LEFT(LEFT(SUBSTITUTE(SUBSTITUTE(SUBSTITUTE(SUBSTITUTE(TRIM($AR841),"-",""),".",""),"/","")," ",""),8),4),--MID(LEFT(SUBSTITUTE(SUBSTITUTE(SUBSTITUTE(SUBSTITUTE(TRIM($AR841),"-",""),".",""),"/","")," ",""),8),5,2),--MID(LEFT(SUBSTITUTE(SUBSTITUTE(SUBSTITUTE(SUBSTITUTE(TRIM($AR841),"-",""),".",""),"/","")," ",""),8),7,2)),"")))</f>
        <v/>
      </c>
      <c r="AT841" s="33">
        <f>IF($AS841="","",IF($F$6="",0,IF(ISNUMBER(INDEX($A:$AP,ROW(),$F$6)),INDEX($A:$AP,ROW(),$F$6),IFERROR(--SUBSTITUTE(SUBSTITUTE(TRIM(INDEX($A:$AP,ROW(),$F$6)),",",""),"원",""),0))))</f>
        <v/>
      </c>
      <c r="AU841" s="31">
        <f>IF($AS841="","",IF($AX841&lt;&gt;"",SUBSTITUTE(SUBSTITUTE($AX841,"-","")," ",""),"N:"&amp;$AV841))</f>
        <v/>
      </c>
      <c r="AV841" s="31">
        <f>IF(OR($AS841="",$E$6=""),"",TRIM(INDEX($A:$AP,ROW(),$E$6)&amp;""))</f>
        <v/>
      </c>
      <c r="AW841" s="31">
        <f>IF($AU841="","",IF(MATCH($AU841,$AU$8:$AU$2007,0)=ROW()-7,MAX($AW$7:$AW840)+1,""))</f>
        <v/>
      </c>
      <c r="AX841" s="31">
        <f>IF(OR($AS841="",$D$6=""),"",TRIM(INDEX($A:$AP,ROW(),$D$6)&amp;""))</f>
        <v/>
      </c>
      <c r="AY841" s="31">
        <f>IF($AU841="","",INDEX($AW$8:$AW$2007,MATCH($AU841,$AU$8:$AU$2007,0)))</f>
        <v/>
      </c>
      <c r="AZ841" s="31">
        <f>IF(OR($AS841="",$C$6=""),"",TRIM(INDEX($A:$AP,ROW(),$C$6)&amp;""))</f>
        <v/>
      </c>
      <c r="BA841" s="31">
        <f>IF($AZ841="","",IF(COUNTIF($AZ$8:$AZ841,$AZ841)&gt;1,1,0))</f>
        <v/>
      </c>
    </row>
    <row r="842">
      <c r="AR842" s="31">
        <f>IF(OR($A$5="",$B$6="",ROW()&lt;$A$5),"",IF(INDEX($A:$AP,ROW(),$B$6)="","",INDEX($A:$AP,ROW(),$B$6)))</f>
        <v/>
      </c>
      <c r="AS842" s="32">
        <f>IF($AR842="","",IF(ISNUMBER($AR842),IF($AR842&gt;=10000000,IFERROR(DATE(INT($AR842/10000),MOD(INT($AR842/100),100),MOD($AR842,100)),""),INT($AR842)),IFERROR(DATE(--LEFT(LEFT(SUBSTITUTE(SUBSTITUTE(SUBSTITUTE(SUBSTITUTE(TRIM($AR842),"-",""),".",""),"/","")," ",""),8),4),--MID(LEFT(SUBSTITUTE(SUBSTITUTE(SUBSTITUTE(SUBSTITUTE(TRIM($AR842),"-",""),".",""),"/","")," ",""),8),5,2),--MID(LEFT(SUBSTITUTE(SUBSTITUTE(SUBSTITUTE(SUBSTITUTE(TRIM($AR842),"-",""),".",""),"/","")," ",""),8),7,2)),"")))</f>
        <v/>
      </c>
      <c r="AT842" s="33">
        <f>IF($AS842="","",IF($F$6="",0,IF(ISNUMBER(INDEX($A:$AP,ROW(),$F$6)),INDEX($A:$AP,ROW(),$F$6),IFERROR(--SUBSTITUTE(SUBSTITUTE(TRIM(INDEX($A:$AP,ROW(),$F$6)),",",""),"원",""),0))))</f>
        <v/>
      </c>
      <c r="AU842" s="31">
        <f>IF($AS842="","",IF($AX842&lt;&gt;"",SUBSTITUTE(SUBSTITUTE($AX842,"-","")," ",""),"N:"&amp;$AV842))</f>
        <v/>
      </c>
      <c r="AV842" s="31">
        <f>IF(OR($AS842="",$E$6=""),"",TRIM(INDEX($A:$AP,ROW(),$E$6)&amp;""))</f>
        <v/>
      </c>
      <c r="AW842" s="31">
        <f>IF($AU842="","",IF(MATCH($AU842,$AU$8:$AU$2007,0)=ROW()-7,MAX($AW$7:$AW841)+1,""))</f>
        <v/>
      </c>
      <c r="AX842" s="31">
        <f>IF(OR($AS842="",$D$6=""),"",TRIM(INDEX($A:$AP,ROW(),$D$6)&amp;""))</f>
        <v/>
      </c>
      <c r="AY842" s="31">
        <f>IF($AU842="","",INDEX($AW$8:$AW$2007,MATCH($AU842,$AU$8:$AU$2007,0)))</f>
        <v/>
      </c>
      <c r="AZ842" s="31">
        <f>IF(OR($AS842="",$C$6=""),"",TRIM(INDEX($A:$AP,ROW(),$C$6)&amp;""))</f>
        <v/>
      </c>
      <c r="BA842" s="31">
        <f>IF($AZ842="","",IF(COUNTIF($AZ$8:$AZ842,$AZ842)&gt;1,1,0))</f>
        <v/>
      </c>
    </row>
    <row r="843">
      <c r="AR843" s="31">
        <f>IF(OR($A$5="",$B$6="",ROW()&lt;$A$5),"",IF(INDEX($A:$AP,ROW(),$B$6)="","",INDEX($A:$AP,ROW(),$B$6)))</f>
        <v/>
      </c>
      <c r="AS843" s="32">
        <f>IF($AR843="","",IF(ISNUMBER($AR843),IF($AR843&gt;=10000000,IFERROR(DATE(INT($AR843/10000),MOD(INT($AR843/100),100),MOD($AR843,100)),""),INT($AR843)),IFERROR(DATE(--LEFT(LEFT(SUBSTITUTE(SUBSTITUTE(SUBSTITUTE(SUBSTITUTE(TRIM($AR843),"-",""),".",""),"/","")," ",""),8),4),--MID(LEFT(SUBSTITUTE(SUBSTITUTE(SUBSTITUTE(SUBSTITUTE(TRIM($AR843),"-",""),".",""),"/","")," ",""),8),5,2),--MID(LEFT(SUBSTITUTE(SUBSTITUTE(SUBSTITUTE(SUBSTITUTE(TRIM($AR843),"-",""),".",""),"/","")," ",""),8),7,2)),"")))</f>
        <v/>
      </c>
      <c r="AT843" s="33">
        <f>IF($AS843="","",IF($F$6="",0,IF(ISNUMBER(INDEX($A:$AP,ROW(),$F$6)),INDEX($A:$AP,ROW(),$F$6),IFERROR(--SUBSTITUTE(SUBSTITUTE(TRIM(INDEX($A:$AP,ROW(),$F$6)),",",""),"원",""),0))))</f>
        <v/>
      </c>
      <c r="AU843" s="31">
        <f>IF($AS843="","",IF($AX843&lt;&gt;"",SUBSTITUTE(SUBSTITUTE($AX843,"-","")," ",""),"N:"&amp;$AV843))</f>
        <v/>
      </c>
      <c r="AV843" s="31">
        <f>IF(OR($AS843="",$E$6=""),"",TRIM(INDEX($A:$AP,ROW(),$E$6)&amp;""))</f>
        <v/>
      </c>
      <c r="AW843" s="31">
        <f>IF($AU843="","",IF(MATCH($AU843,$AU$8:$AU$2007,0)=ROW()-7,MAX($AW$7:$AW842)+1,""))</f>
        <v/>
      </c>
      <c r="AX843" s="31">
        <f>IF(OR($AS843="",$D$6=""),"",TRIM(INDEX($A:$AP,ROW(),$D$6)&amp;""))</f>
        <v/>
      </c>
      <c r="AY843" s="31">
        <f>IF($AU843="","",INDEX($AW$8:$AW$2007,MATCH($AU843,$AU$8:$AU$2007,0)))</f>
        <v/>
      </c>
      <c r="AZ843" s="31">
        <f>IF(OR($AS843="",$C$6=""),"",TRIM(INDEX($A:$AP,ROW(),$C$6)&amp;""))</f>
        <v/>
      </c>
      <c r="BA843" s="31">
        <f>IF($AZ843="","",IF(COUNTIF($AZ$8:$AZ843,$AZ843)&gt;1,1,0))</f>
        <v/>
      </c>
    </row>
    <row r="844">
      <c r="AR844" s="31">
        <f>IF(OR($A$5="",$B$6="",ROW()&lt;$A$5),"",IF(INDEX($A:$AP,ROW(),$B$6)="","",INDEX($A:$AP,ROW(),$B$6)))</f>
        <v/>
      </c>
      <c r="AS844" s="32">
        <f>IF($AR844="","",IF(ISNUMBER($AR844),IF($AR844&gt;=10000000,IFERROR(DATE(INT($AR844/10000),MOD(INT($AR844/100),100),MOD($AR844,100)),""),INT($AR844)),IFERROR(DATE(--LEFT(LEFT(SUBSTITUTE(SUBSTITUTE(SUBSTITUTE(SUBSTITUTE(TRIM($AR844),"-",""),".",""),"/","")," ",""),8),4),--MID(LEFT(SUBSTITUTE(SUBSTITUTE(SUBSTITUTE(SUBSTITUTE(TRIM($AR844),"-",""),".",""),"/","")," ",""),8),5,2),--MID(LEFT(SUBSTITUTE(SUBSTITUTE(SUBSTITUTE(SUBSTITUTE(TRIM($AR844),"-",""),".",""),"/","")," ",""),8),7,2)),"")))</f>
        <v/>
      </c>
      <c r="AT844" s="33">
        <f>IF($AS844="","",IF($F$6="",0,IF(ISNUMBER(INDEX($A:$AP,ROW(),$F$6)),INDEX($A:$AP,ROW(),$F$6),IFERROR(--SUBSTITUTE(SUBSTITUTE(TRIM(INDEX($A:$AP,ROW(),$F$6)),",",""),"원",""),0))))</f>
        <v/>
      </c>
      <c r="AU844" s="31">
        <f>IF($AS844="","",IF($AX844&lt;&gt;"",SUBSTITUTE(SUBSTITUTE($AX844,"-","")," ",""),"N:"&amp;$AV844))</f>
        <v/>
      </c>
      <c r="AV844" s="31">
        <f>IF(OR($AS844="",$E$6=""),"",TRIM(INDEX($A:$AP,ROW(),$E$6)&amp;""))</f>
        <v/>
      </c>
      <c r="AW844" s="31">
        <f>IF($AU844="","",IF(MATCH($AU844,$AU$8:$AU$2007,0)=ROW()-7,MAX($AW$7:$AW843)+1,""))</f>
        <v/>
      </c>
      <c r="AX844" s="31">
        <f>IF(OR($AS844="",$D$6=""),"",TRIM(INDEX($A:$AP,ROW(),$D$6)&amp;""))</f>
        <v/>
      </c>
      <c r="AY844" s="31">
        <f>IF($AU844="","",INDEX($AW$8:$AW$2007,MATCH($AU844,$AU$8:$AU$2007,0)))</f>
        <v/>
      </c>
      <c r="AZ844" s="31">
        <f>IF(OR($AS844="",$C$6=""),"",TRIM(INDEX($A:$AP,ROW(),$C$6)&amp;""))</f>
        <v/>
      </c>
      <c r="BA844" s="31">
        <f>IF($AZ844="","",IF(COUNTIF($AZ$8:$AZ844,$AZ844)&gt;1,1,0))</f>
        <v/>
      </c>
    </row>
    <row r="845">
      <c r="AR845" s="31">
        <f>IF(OR($A$5="",$B$6="",ROW()&lt;$A$5),"",IF(INDEX($A:$AP,ROW(),$B$6)="","",INDEX($A:$AP,ROW(),$B$6)))</f>
        <v/>
      </c>
      <c r="AS845" s="32">
        <f>IF($AR845="","",IF(ISNUMBER($AR845),IF($AR845&gt;=10000000,IFERROR(DATE(INT($AR845/10000),MOD(INT($AR845/100),100),MOD($AR845,100)),""),INT($AR845)),IFERROR(DATE(--LEFT(LEFT(SUBSTITUTE(SUBSTITUTE(SUBSTITUTE(SUBSTITUTE(TRIM($AR845),"-",""),".",""),"/","")," ",""),8),4),--MID(LEFT(SUBSTITUTE(SUBSTITUTE(SUBSTITUTE(SUBSTITUTE(TRIM($AR845),"-",""),".",""),"/","")," ",""),8),5,2),--MID(LEFT(SUBSTITUTE(SUBSTITUTE(SUBSTITUTE(SUBSTITUTE(TRIM($AR845),"-",""),".",""),"/","")," ",""),8),7,2)),"")))</f>
        <v/>
      </c>
      <c r="AT845" s="33">
        <f>IF($AS845="","",IF($F$6="",0,IF(ISNUMBER(INDEX($A:$AP,ROW(),$F$6)),INDEX($A:$AP,ROW(),$F$6),IFERROR(--SUBSTITUTE(SUBSTITUTE(TRIM(INDEX($A:$AP,ROW(),$F$6)),",",""),"원",""),0))))</f>
        <v/>
      </c>
      <c r="AU845" s="31">
        <f>IF($AS845="","",IF($AX845&lt;&gt;"",SUBSTITUTE(SUBSTITUTE($AX845,"-","")," ",""),"N:"&amp;$AV845))</f>
        <v/>
      </c>
      <c r="AV845" s="31">
        <f>IF(OR($AS845="",$E$6=""),"",TRIM(INDEX($A:$AP,ROW(),$E$6)&amp;""))</f>
        <v/>
      </c>
      <c r="AW845" s="31">
        <f>IF($AU845="","",IF(MATCH($AU845,$AU$8:$AU$2007,0)=ROW()-7,MAX($AW$7:$AW844)+1,""))</f>
        <v/>
      </c>
      <c r="AX845" s="31">
        <f>IF(OR($AS845="",$D$6=""),"",TRIM(INDEX($A:$AP,ROW(),$D$6)&amp;""))</f>
        <v/>
      </c>
      <c r="AY845" s="31">
        <f>IF($AU845="","",INDEX($AW$8:$AW$2007,MATCH($AU845,$AU$8:$AU$2007,0)))</f>
        <v/>
      </c>
      <c r="AZ845" s="31">
        <f>IF(OR($AS845="",$C$6=""),"",TRIM(INDEX($A:$AP,ROW(),$C$6)&amp;""))</f>
        <v/>
      </c>
      <c r="BA845" s="31">
        <f>IF($AZ845="","",IF(COUNTIF($AZ$8:$AZ845,$AZ845)&gt;1,1,0))</f>
        <v/>
      </c>
    </row>
    <row r="846">
      <c r="AR846" s="31">
        <f>IF(OR($A$5="",$B$6="",ROW()&lt;$A$5),"",IF(INDEX($A:$AP,ROW(),$B$6)="","",INDEX($A:$AP,ROW(),$B$6)))</f>
        <v/>
      </c>
      <c r="AS846" s="32">
        <f>IF($AR846="","",IF(ISNUMBER($AR846),IF($AR846&gt;=10000000,IFERROR(DATE(INT($AR846/10000),MOD(INT($AR846/100),100),MOD($AR846,100)),""),INT($AR846)),IFERROR(DATE(--LEFT(LEFT(SUBSTITUTE(SUBSTITUTE(SUBSTITUTE(SUBSTITUTE(TRIM($AR846),"-",""),".",""),"/","")," ",""),8),4),--MID(LEFT(SUBSTITUTE(SUBSTITUTE(SUBSTITUTE(SUBSTITUTE(TRIM($AR846),"-",""),".",""),"/","")," ",""),8),5,2),--MID(LEFT(SUBSTITUTE(SUBSTITUTE(SUBSTITUTE(SUBSTITUTE(TRIM($AR846),"-",""),".",""),"/","")," ",""),8),7,2)),"")))</f>
        <v/>
      </c>
      <c r="AT846" s="33">
        <f>IF($AS846="","",IF($F$6="",0,IF(ISNUMBER(INDEX($A:$AP,ROW(),$F$6)),INDEX($A:$AP,ROW(),$F$6),IFERROR(--SUBSTITUTE(SUBSTITUTE(TRIM(INDEX($A:$AP,ROW(),$F$6)),",",""),"원",""),0))))</f>
        <v/>
      </c>
      <c r="AU846" s="31">
        <f>IF($AS846="","",IF($AX846&lt;&gt;"",SUBSTITUTE(SUBSTITUTE($AX846,"-","")," ",""),"N:"&amp;$AV846))</f>
        <v/>
      </c>
      <c r="AV846" s="31">
        <f>IF(OR($AS846="",$E$6=""),"",TRIM(INDEX($A:$AP,ROW(),$E$6)&amp;""))</f>
        <v/>
      </c>
      <c r="AW846" s="31">
        <f>IF($AU846="","",IF(MATCH($AU846,$AU$8:$AU$2007,0)=ROW()-7,MAX($AW$7:$AW845)+1,""))</f>
        <v/>
      </c>
      <c r="AX846" s="31">
        <f>IF(OR($AS846="",$D$6=""),"",TRIM(INDEX($A:$AP,ROW(),$D$6)&amp;""))</f>
        <v/>
      </c>
      <c r="AY846" s="31">
        <f>IF($AU846="","",INDEX($AW$8:$AW$2007,MATCH($AU846,$AU$8:$AU$2007,0)))</f>
        <v/>
      </c>
      <c r="AZ846" s="31">
        <f>IF(OR($AS846="",$C$6=""),"",TRIM(INDEX($A:$AP,ROW(),$C$6)&amp;""))</f>
        <v/>
      </c>
      <c r="BA846" s="31">
        <f>IF($AZ846="","",IF(COUNTIF($AZ$8:$AZ846,$AZ846)&gt;1,1,0))</f>
        <v/>
      </c>
    </row>
    <row r="847">
      <c r="AR847" s="31">
        <f>IF(OR($A$5="",$B$6="",ROW()&lt;$A$5),"",IF(INDEX($A:$AP,ROW(),$B$6)="","",INDEX($A:$AP,ROW(),$B$6)))</f>
        <v/>
      </c>
      <c r="AS847" s="32">
        <f>IF($AR847="","",IF(ISNUMBER($AR847),IF($AR847&gt;=10000000,IFERROR(DATE(INT($AR847/10000),MOD(INT($AR847/100),100),MOD($AR847,100)),""),INT($AR847)),IFERROR(DATE(--LEFT(LEFT(SUBSTITUTE(SUBSTITUTE(SUBSTITUTE(SUBSTITUTE(TRIM($AR847),"-",""),".",""),"/","")," ",""),8),4),--MID(LEFT(SUBSTITUTE(SUBSTITUTE(SUBSTITUTE(SUBSTITUTE(TRIM($AR847),"-",""),".",""),"/","")," ",""),8),5,2),--MID(LEFT(SUBSTITUTE(SUBSTITUTE(SUBSTITUTE(SUBSTITUTE(TRIM($AR847),"-",""),".",""),"/","")," ",""),8),7,2)),"")))</f>
        <v/>
      </c>
      <c r="AT847" s="33">
        <f>IF($AS847="","",IF($F$6="",0,IF(ISNUMBER(INDEX($A:$AP,ROW(),$F$6)),INDEX($A:$AP,ROW(),$F$6),IFERROR(--SUBSTITUTE(SUBSTITUTE(TRIM(INDEX($A:$AP,ROW(),$F$6)),",",""),"원",""),0))))</f>
        <v/>
      </c>
      <c r="AU847" s="31">
        <f>IF($AS847="","",IF($AX847&lt;&gt;"",SUBSTITUTE(SUBSTITUTE($AX847,"-","")," ",""),"N:"&amp;$AV847))</f>
        <v/>
      </c>
      <c r="AV847" s="31">
        <f>IF(OR($AS847="",$E$6=""),"",TRIM(INDEX($A:$AP,ROW(),$E$6)&amp;""))</f>
        <v/>
      </c>
      <c r="AW847" s="31">
        <f>IF($AU847="","",IF(MATCH($AU847,$AU$8:$AU$2007,0)=ROW()-7,MAX($AW$7:$AW846)+1,""))</f>
        <v/>
      </c>
      <c r="AX847" s="31">
        <f>IF(OR($AS847="",$D$6=""),"",TRIM(INDEX($A:$AP,ROW(),$D$6)&amp;""))</f>
        <v/>
      </c>
      <c r="AY847" s="31">
        <f>IF($AU847="","",INDEX($AW$8:$AW$2007,MATCH($AU847,$AU$8:$AU$2007,0)))</f>
        <v/>
      </c>
      <c r="AZ847" s="31">
        <f>IF(OR($AS847="",$C$6=""),"",TRIM(INDEX($A:$AP,ROW(),$C$6)&amp;""))</f>
        <v/>
      </c>
      <c r="BA847" s="31">
        <f>IF($AZ847="","",IF(COUNTIF($AZ$8:$AZ847,$AZ847)&gt;1,1,0))</f>
        <v/>
      </c>
    </row>
    <row r="848">
      <c r="AR848" s="31">
        <f>IF(OR($A$5="",$B$6="",ROW()&lt;$A$5),"",IF(INDEX($A:$AP,ROW(),$B$6)="","",INDEX($A:$AP,ROW(),$B$6)))</f>
        <v/>
      </c>
      <c r="AS848" s="32">
        <f>IF($AR848="","",IF(ISNUMBER($AR848),IF($AR848&gt;=10000000,IFERROR(DATE(INT($AR848/10000),MOD(INT($AR848/100),100),MOD($AR848,100)),""),INT($AR848)),IFERROR(DATE(--LEFT(LEFT(SUBSTITUTE(SUBSTITUTE(SUBSTITUTE(SUBSTITUTE(TRIM($AR848),"-",""),".",""),"/","")," ",""),8),4),--MID(LEFT(SUBSTITUTE(SUBSTITUTE(SUBSTITUTE(SUBSTITUTE(TRIM($AR848),"-",""),".",""),"/","")," ",""),8),5,2),--MID(LEFT(SUBSTITUTE(SUBSTITUTE(SUBSTITUTE(SUBSTITUTE(TRIM($AR848),"-",""),".",""),"/","")," ",""),8),7,2)),"")))</f>
        <v/>
      </c>
      <c r="AT848" s="33">
        <f>IF($AS848="","",IF($F$6="",0,IF(ISNUMBER(INDEX($A:$AP,ROW(),$F$6)),INDEX($A:$AP,ROW(),$F$6),IFERROR(--SUBSTITUTE(SUBSTITUTE(TRIM(INDEX($A:$AP,ROW(),$F$6)),",",""),"원",""),0))))</f>
        <v/>
      </c>
      <c r="AU848" s="31">
        <f>IF($AS848="","",IF($AX848&lt;&gt;"",SUBSTITUTE(SUBSTITUTE($AX848,"-","")," ",""),"N:"&amp;$AV848))</f>
        <v/>
      </c>
      <c r="AV848" s="31">
        <f>IF(OR($AS848="",$E$6=""),"",TRIM(INDEX($A:$AP,ROW(),$E$6)&amp;""))</f>
        <v/>
      </c>
      <c r="AW848" s="31">
        <f>IF($AU848="","",IF(MATCH($AU848,$AU$8:$AU$2007,0)=ROW()-7,MAX($AW$7:$AW847)+1,""))</f>
        <v/>
      </c>
      <c r="AX848" s="31">
        <f>IF(OR($AS848="",$D$6=""),"",TRIM(INDEX($A:$AP,ROW(),$D$6)&amp;""))</f>
        <v/>
      </c>
      <c r="AY848" s="31">
        <f>IF($AU848="","",INDEX($AW$8:$AW$2007,MATCH($AU848,$AU$8:$AU$2007,0)))</f>
        <v/>
      </c>
      <c r="AZ848" s="31">
        <f>IF(OR($AS848="",$C$6=""),"",TRIM(INDEX($A:$AP,ROW(),$C$6)&amp;""))</f>
        <v/>
      </c>
      <c r="BA848" s="31">
        <f>IF($AZ848="","",IF(COUNTIF($AZ$8:$AZ848,$AZ848)&gt;1,1,0))</f>
        <v/>
      </c>
    </row>
    <row r="849">
      <c r="AR849" s="31">
        <f>IF(OR($A$5="",$B$6="",ROW()&lt;$A$5),"",IF(INDEX($A:$AP,ROW(),$B$6)="","",INDEX($A:$AP,ROW(),$B$6)))</f>
        <v/>
      </c>
      <c r="AS849" s="32">
        <f>IF($AR849="","",IF(ISNUMBER($AR849),IF($AR849&gt;=10000000,IFERROR(DATE(INT($AR849/10000),MOD(INT($AR849/100),100),MOD($AR849,100)),""),INT($AR849)),IFERROR(DATE(--LEFT(LEFT(SUBSTITUTE(SUBSTITUTE(SUBSTITUTE(SUBSTITUTE(TRIM($AR849),"-",""),".",""),"/","")," ",""),8),4),--MID(LEFT(SUBSTITUTE(SUBSTITUTE(SUBSTITUTE(SUBSTITUTE(TRIM($AR849),"-",""),".",""),"/","")," ",""),8),5,2),--MID(LEFT(SUBSTITUTE(SUBSTITUTE(SUBSTITUTE(SUBSTITUTE(TRIM($AR849),"-",""),".",""),"/","")," ",""),8),7,2)),"")))</f>
        <v/>
      </c>
      <c r="AT849" s="33">
        <f>IF($AS849="","",IF($F$6="",0,IF(ISNUMBER(INDEX($A:$AP,ROW(),$F$6)),INDEX($A:$AP,ROW(),$F$6),IFERROR(--SUBSTITUTE(SUBSTITUTE(TRIM(INDEX($A:$AP,ROW(),$F$6)),",",""),"원",""),0))))</f>
        <v/>
      </c>
      <c r="AU849" s="31">
        <f>IF($AS849="","",IF($AX849&lt;&gt;"",SUBSTITUTE(SUBSTITUTE($AX849,"-","")," ",""),"N:"&amp;$AV849))</f>
        <v/>
      </c>
      <c r="AV849" s="31">
        <f>IF(OR($AS849="",$E$6=""),"",TRIM(INDEX($A:$AP,ROW(),$E$6)&amp;""))</f>
        <v/>
      </c>
      <c r="AW849" s="31">
        <f>IF($AU849="","",IF(MATCH($AU849,$AU$8:$AU$2007,0)=ROW()-7,MAX($AW$7:$AW848)+1,""))</f>
        <v/>
      </c>
      <c r="AX849" s="31">
        <f>IF(OR($AS849="",$D$6=""),"",TRIM(INDEX($A:$AP,ROW(),$D$6)&amp;""))</f>
        <v/>
      </c>
      <c r="AY849" s="31">
        <f>IF($AU849="","",INDEX($AW$8:$AW$2007,MATCH($AU849,$AU$8:$AU$2007,0)))</f>
        <v/>
      </c>
      <c r="AZ849" s="31">
        <f>IF(OR($AS849="",$C$6=""),"",TRIM(INDEX($A:$AP,ROW(),$C$6)&amp;""))</f>
        <v/>
      </c>
      <c r="BA849" s="31">
        <f>IF($AZ849="","",IF(COUNTIF($AZ$8:$AZ849,$AZ849)&gt;1,1,0))</f>
        <v/>
      </c>
    </row>
    <row r="850">
      <c r="AR850" s="31">
        <f>IF(OR($A$5="",$B$6="",ROW()&lt;$A$5),"",IF(INDEX($A:$AP,ROW(),$B$6)="","",INDEX($A:$AP,ROW(),$B$6)))</f>
        <v/>
      </c>
      <c r="AS850" s="32">
        <f>IF($AR850="","",IF(ISNUMBER($AR850),IF($AR850&gt;=10000000,IFERROR(DATE(INT($AR850/10000),MOD(INT($AR850/100),100),MOD($AR850,100)),""),INT($AR850)),IFERROR(DATE(--LEFT(LEFT(SUBSTITUTE(SUBSTITUTE(SUBSTITUTE(SUBSTITUTE(TRIM($AR850),"-",""),".",""),"/","")," ",""),8),4),--MID(LEFT(SUBSTITUTE(SUBSTITUTE(SUBSTITUTE(SUBSTITUTE(TRIM($AR850),"-",""),".",""),"/","")," ",""),8),5,2),--MID(LEFT(SUBSTITUTE(SUBSTITUTE(SUBSTITUTE(SUBSTITUTE(TRIM($AR850),"-",""),".",""),"/","")," ",""),8),7,2)),"")))</f>
        <v/>
      </c>
      <c r="AT850" s="33">
        <f>IF($AS850="","",IF($F$6="",0,IF(ISNUMBER(INDEX($A:$AP,ROW(),$F$6)),INDEX($A:$AP,ROW(),$F$6),IFERROR(--SUBSTITUTE(SUBSTITUTE(TRIM(INDEX($A:$AP,ROW(),$F$6)),",",""),"원",""),0))))</f>
        <v/>
      </c>
      <c r="AU850" s="31">
        <f>IF($AS850="","",IF($AX850&lt;&gt;"",SUBSTITUTE(SUBSTITUTE($AX850,"-","")," ",""),"N:"&amp;$AV850))</f>
        <v/>
      </c>
      <c r="AV850" s="31">
        <f>IF(OR($AS850="",$E$6=""),"",TRIM(INDEX($A:$AP,ROW(),$E$6)&amp;""))</f>
        <v/>
      </c>
      <c r="AW850" s="31">
        <f>IF($AU850="","",IF(MATCH($AU850,$AU$8:$AU$2007,0)=ROW()-7,MAX($AW$7:$AW849)+1,""))</f>
        <v/>
      </c>
      <c r="AX850" s="31">
        <f>IF(OR($AS850="",$D$6=""),"",TRIM(INDEX($A:$AP,ROW(),$D$6)&amp;""))</f>
        <v/>
      </c>
      <c r="AY850" s="31">
        <f>IF($AU850="","",INDEX($AW$8:$AW$2007,MATCH($AU850,$AU$8:$AU$2007,0)))</f>
        <v/>
      </c>
      <c r="AZ850" s="31">
        <f>IF(OR($AS850="",$C$6=""),"",TRIM(INDEX($A:$AP,ROW(),$C$6)&amp;""))</f>
        <v/>
      </c>
      <c r="BA850" s="31">
        <f>IF($AZ850="","",IF(COUNTIF($AZ$8:$AZ850,$AZ850)&gt;1,1,0))</f>
        <v/>
      </c>
    </row>
    <row r="851">
      <c r="AR851" s="31">
        <f>IF(OR($A$5="",$B$6="",ROW()&lt;$A$5),"",IF(INDEX($A:$AP,ROW(),$B$6)="","",INDEX($A:$AP,ROW(),$B$6)))</f>
        <v/>
      </c>
      <c r="AS851" s="32">
        <f>IF($AR851="","",IF(ISNUMBER($AR851),IF($AR851&gt;=10000000,IFERROR(DATE(INT($AR851/10000),MOD(INT($AR851/100),100),MOD($AR851,100)),""),INT($AR851)),IFERROR(DATE(--LEFT(LEFT(SUBSTITUTE(SUBSTITUTE(SUBSTITUTE(SUBSTITUTE(TRIM($AR851),"-",""),".",""),"/","")," ",""),8),4),--MID(LEFT(SUBSTITUTE(SUBSTITUTE(SUBSTITUTE(SUBSTITUTE(TRIM($AR851),"-",""),".",""),"/","")," ",""),8),5,2),--MID(LEFT(SUBSTITUTE(SUBSTITUTE(SUBSTITUTE(SUBSTITUTE(TRIM($AR851),"-",""),".",""),"/","")," ",""),8),7,2)),"")))</f>
        <v/>
      </c>
      <c r="AT851" s="33">
        <f>IF($AS851="","",IF($F$6="",0,IF(ISNUMBER(INDEX($A:$AP,ROW(),$F$6)),INDEX($A:$AP,ROW(),$F$6),IFERROR(--SUBSTITUTE(SUBSTITUTE(TRIM(INDEX($A:$AP,ROW(),$F$6)),",",""),"원",""),0))))</f>
        <v/>
      </c>
      <c r="AU851" s="31">
        <f>IF($AS851="","",IF($AX851&lt;&gt;"",SUBSTITUTE(SUBSTITUTE($AX851,"-","")," ",""),"N:"&amp;$AV851))</f>
        <v/>
      </c>
      <c r="AV851" s="31">
        <f>IF(OR($AS851="",$E$6=""),"",TRIM(INDEX($A:$AP,ROW(),$E$6)&amp;""))</f>
        <v/>
      </c>
      <c r="AW851" s="31">
        <f>IF($AU851="","",IF(MATCH($AU851,$AU$8:$AU$2007,0)=ROW()-7,MAX($AW$7:$AW850)+1,""))</f>
        <v/>
      </c>
      <c r="AX851" s="31">
        <f>IF(OR($AS851="",$D$6=""),"",TRIM(INDEX($A:$AP,ROW(),$D$6)&amp;""))</f>
        <v/>
      </c>
      <c r="AY851" s="31">
        <f>IF($AU851="","",INDEX($AW$8:$AW$2007,MATCH($AU851,$AU$8:$AU$2007,0)))</f>
        <v/>
      </c>
      <c r="AZ851" s="31">
        <f>IF(OR($AS851="",$C$6=""),"",TRIM(INDEX($A:$AP,ROW(),$C$6)&amp;""))</f>
        <v/>
      </c>
      <c r="BA851" s="31">
        <f>IF($AZ851="","",IF(COUNTIF($AZ$8:$AZ851,$AZ851)&gt;1,1,0))</f>
        <v/>
      </c>
    </row>
    <row r="852">
      <c r="AR852" s="31">
        <f>IF(OR($A$5="",$B$6="",ROW()&lt;$A$5),"",IF(INDEX($A:$AP,ROW(),$B$6)="","",INDEX($A:$AP,ROW(),$B$6)))</f>
        <v/>
      </c>
      <c r="AS852" s="32">
        <f>IF($AR852="","",IF(ISNUMBER($AR852),IF($AR852&gt;=10000000,IFERROR(DATE(INT($AR852/10000),MOD(INT($AR852/100),100),MOD($AR852,100)),""),INT($AR852)),IFERROR(DATE(--LEFT(LEFT(SUBSTITUTE(SUBSTITUTE(SUBSTITUTE(SUBSTITUTE(TRIM($AR852),"-",""),".",""),"/","")," ",""),8),4),--MID(LEFT(SUBSTITUTE(SUBSTITUTE(SUBSTITUTE(SUBSTITUTE(TRIM($AR852),"-",""),".",""),"/","")," ",""),8),5,2),--MID(LEFT(SUBSTITUTE(SUBSTITUTE(SUBSTITUTE(SUBSTITUTE(TRIM($AR852),"-",""),".",""),"/","")," ",""),8),7,2)),"")))</f>
        <v/>
      </c>
      <c r="AT852" s="33">
        <f>IF($AS852="","",IF($F$6="",0,IF(ISNUMBER(INDEX($A:$AP,ROW(),$F$6)),INDEX($A:$AP,ROW(),$F$6),IFERROR(--SUBSTITUTE(SUBSTITUTE(TRIM(INDEX($A:$AP,ROW(),$F$6)),",",""),"원",""),0))))</f>
        <v/>
      </c>
      <c r="AU852" s="31">
        <f>IF($AS852="","",IF($AX852&lt;&gt;"",SUBSTITUTE(SUBSTITUTE($AX852,"-","")," ",""),"N:"&amp;$AV852))</f>
        <v/>
      </c>
      <c r="AV852" s="31">
        <f>IF(OR($AS852="",$E$6=""),"",TRIM(INDEX($A:$AP,ROW(),$E$6)&amp;""))</f>
        <v/>
      </c>
      <c r="AW852" s="31">
        <f>IF($AU852="","",IF(MATCH($AU852,$AU$8:$AU$2007,0)=ROW()-7,MAX($AW$7:$AW851)+1,""))</f>
        <v/>
      </c>
      <c r="AX852" s="31">
        <f>IF(OR($AS852="",$D$6=""),"",TRIM(INDEX($A:$AP,ROW(),$D$6)&amp;""))</f>
        <v/>
      </c>
      <c r="AY852" s="31">
        <f>IF($AU852="","",INDEX($AW$8:$AW$2007,MATCH($AU852,$AU$8:$AU$2007,0)))</f>
        <v/>
      </c>
      <c r="AZ852" s="31">
        <f>IF(OR($AS852="",$C$6=""),"",TRIM(INDEX($A:$AP,ROW(),$C$6)&amp;""))</f>
        <v/>
      </c>
      <c r="BA852" s="31">
        <f>IF($AZ852="","",IF(COUNTIF($AZ$8:$AZ852,$AZ852)&gt;1,1,0))</f>
        <v/>
      </c>
    </row>
    <row r="853">
      <c r="AR853" s="31">
        <f>IF(OR($A$5="",$B$6="",ROW()&lt;$A$5),"",IF(INDEX($A:$AP,ROW(),$B$6)="","",INDEX($A:$AP,ROW(),$B$6)))</f>
        <v/>
      </c>
      <c r="AS853" s="32">
        <f>IF($AR853="","",IF(ISNUMBER($AR853),IF($AR853&gt;=10000000,IFERROR(DATE(INT($AR853/10000),MOD(INT($AR853/100),100),MOD($AR853,100)),""),INT($AR853)),IFERROR(DATE(--LEFT(LEFT(SUBSTITUTE(SUBSTITUTE(SUBSTITUTE(SUBSTITUTE(TRIM($AR853),"-",""),".",""),"/","")," ",""),8),4),--MID(LEFT(SUBSTITUTE(SUBSTITUTE(SUBSTITUTE(SUBSTITUTE(TRIM($AR853),"-",""),".",""),"/","")," ",""),8),5,2),--MID(LEFT(SUBSTITUTE(SUBSTITUTE(SUBSTITUTE(SUBSTITUTE(TRIM($AR853),"-",""),".",""),"/","")," ",""),8),7,2)),"")))</f>
        <v/>
      </c>
      <c r="AT853" s="33">
        <f>IF($AS853="","",IF($F$6="",0,IF(ISNUMBER(INDEX($A:$AP,ROW(),$F$6)),INDEX($A:$AP,ROW(),$F$6),IFERROR(--SUBSTITUTE(SUBSTITUTE(TRIM(INDEX($A:$AP,ROW(),$F$6)),",",""),"원",""),0))))</f>
        <v/>
      </c>
      <c r="AU853" s="31">
        <f>IF($AS853="","",IF($AX853&lt;&gt;"",SUBSTITUTE(SUBSTITUTE($AX853,"-","")," ",""),"N:"&amp;$AV853))</f>
        <v/>
      </c>
      <c r="AV853" s="31">
        <f>IF(OR($AS853="",$E$6=""),"",TRIM(INDEX($A:$AP,ROW(),$E$6)&amp;""))</f>
        <v/>
      </c>
      <c r="AW853" s="31">
        <f>IF($AU853="","",IF(MATCH($AU853,$AU$8:$AU$2007,0)=ROW()-7,MAX($AW$7:$AW852)+1,""))</f>
        <v/>
      </c>
      <c r="AX853" s="31">
        <f>IF(OR($AS853="",$D$6=""),"",TRIM(INDEX($A:$AP,ROW(),$D$6)&amp;""))</f>
        <v/>
      </c>
      <c r="AY853" s="31">
        <f>IF($AU853="","",INDEX($AW$8:$AW$2007,MATCH($AU853,$AU$8:$AU$2007,0)))</f>
        <v/>
      </c>
      <c r="AZ853" s="31">
        <f>IF(OR($AS853="",$C$6=""),"",TRIM(INDEX($A:$AP,ROW(),$C$6)&amp;""))</f>
        <v/>
      </c>
      <c r="BA853" s="31">
        <f>IF($AZ853="","",IF(COUNTIF($AZ$8:$AZ853,$AZ853)&gt;1,1,0))</f>
        <v/>
      </c>
    </row>
    <row r="854">
      <c r="AR854" s="31">
        <f>IF(OR($A$5="",$B$6="",ROW()&lt;$A$5),"",IF(INDEX($A:$AP,ROW(),$B$6)="","",INDEX($A:$AP,ROW(),$B$6)))</f>
        <v/>
      </c>
      <c r="AS854" s="32">
        <f>IF($AR854="","",IF(ISNUMBER($AR854),IF($AR854&gt;=10000000,IFERROR(DATE(INT($AR854/10000),MOD(INT($AR854/100),100),MOD($AR854,100)),""),INT($AR854)),IFERROR(DATE(--LEFT(LEFT(SUBSTITUTE(SUBSTITUTE(SUBSTITUTE(SUBSTITUTE(TRIM($AR854),"-",""),".",""),"/","")," ",""),8),4),--MID(LEFT(SUBSTITUTE(SUBSTITUTE(SUBSTITUTE(SUBSTITUTE(TRIM($AR854),"-",""),".",""),"/","")," ",""),8),5,2),--MID(LEFT(SUBSTITUTE(SUBSTITUTE(SUBSTITUTE(SUBSTITUTE(TRIM($AR854),"-",""),".",""),"/","")," ",""),8),7,2)),"")))</f>
        <v/>
      </c>
      <c r="AT854" s="33">
        <f>IF($AS854="","",IF($F$6="",0,IF(ISNUMBER(INDEX($A:$AP,ROW(),$F$6)),INDEX($A:$AP,ROW(),$F$6),IFERROR(--SUBSTITUTE(SUBSTITUTE(TRIM(INDEX($A:$AP,ROW(),$F$6)),",",""),"원",""),0))))</f>
        <v/>
      </c>
      <c r="AU854" s="31">
        <f>IF($AS854="","",IF($AX854&lt;&gt;"",SUBSTITUTE(SUBSTITUTE($AX854,"-","")," ",""),"N:"&amp;$AV854))</f>
        <v/>
      </c>
      <c r="AV854" s="31">
        <f>IF(OR($AS854="",$E$6=""),"",TRIM(INDEX($A:$AP,ROW(),$E$6)&amp;""))</f>
        <v/>
      </c>
      <c r="AW854" s="31">
        <f>IF($AU854="","",IF(MATCH($AU854,$AU$8:$AU$2007,0)=ROW()-7,MAX($AW$7:$AW853)+1,""))</f>
        <v/>
      </c>
      <c r="AX854" s="31">
        <f>IF(OR($AS854="",$D$6=""),"",TRIM(INDEX($A:$AP,ROW(),$D$6)&amp;""))</f>
        <v/>
      </c>
      <c r="AY854" s="31">
        <f>IF($AU854="","",INDEX($AW$8:$AW$2007,MATCH($AU854,$AU$8:$AU$2007,0)))</f>
        <v/>
      </c>
      <c r="AZ854" s="31">
        <f>IF(OR($AS854="",$C$6=""),"",TRIM(INDEX($A:$AP,ROW(),$C$6)&amp;""))</f>
        <v/>
      </c>
      <c r="BA854" s="31">
        <f>IF($AZ854="","",IF(COUNTIF($AZ$8:$AZ854,$AZ854)&gt;1,1,0))</f>
        <v/>
      </c>
    </row>
    <row r="855">
      <c r="AR855" s="31">
        <f>IF(OR($A$5="",$B$6="",ROW()&lt;$A$5),"",IF(INDEX($A:$AP,ROW(),$B$6)="","",INDEX($A:$AP,ROW(),$B$6)))</f>
        <v/>
      </c>
      <c r="AS855" s="32">
        <f>IF($AR855="","",IF(ISNUMBER($AR855),IF($AR855&gt;=10000000,IFERROR(DATE(INT($AR855/10000),MOD(INT($AR855/100),100),MOD($AR855,100)),""),INT($AR855)),IFERROR(DATE(--LEFT(LEFT(SUBSTITUTE(SUBSTITUTE(SUBSTITUTE(SUBSTITUTE(TRIM($AR855),"-",""),".",""),"/","")," ",""),8),4),--MID(LEFT(SUBSTITUTE(SUBSTITUTE(SUBSTITUTE(SUBSTITUTE(TRIM($AR855),"-",""),".",""),"/","")," ",""),8),5,2),--MID(LEFT(SUBSTITUTE(SUBSTITUTE(SUBSTITUTE(SUBSTITUTE(TRIM($AR855),"-",""),".",""),"/","")," ",""),8),7,2)),"")))</f>
        <v/>
      </c>
      <c r="AT855" s="33">
        <f>IF($AS855="","",IF($F$6="",0,IF(ISNUMBER(INDEX($A:$AP,ROW(),$F$6)),INDEX($A:$AP,ROW(),$F$6),IFERROR(--SUBSTITUTE(SUBSTITUTE(TRIM(INDEX($A:$AP,ROW(),$F$6)),",",""),"원",""),0))))</f>
        <v/>
      </c>
      <c r="AU855" s="31">
        <f>IF($AS855="","",IF($AX855&lt;&gt;"",SUBSTITUTE(SUBSTITUTE($AX855,"-","")," ",""),"N:"&amp;$AV855))</f>
        <v/>
      </c>
      <c r="AV855" s="31">
        <f>IF(OR($AS855="",$E$6=""),"",TRIM(INDEX($A:$AP,ROW(),$E$6)&amp;""))</f>
        <v/>
      </c>
      <c r="AW855" s="31">
        <f>IF($AU855="","",IF(MATCH($AU855,$AU$8:$AU$2007,0)=ROW()-7,MAX($AW$7:$AW854)+1,""))</f>
        <v/>
      </c>
      <c r="AX855" s="31">
        <f>IF(OR($AS855="",$D$6=""),"",TRIM(INDEX($A:$AP,ROW(),$D$6)&amp;""))</f>
        <v/>
      </c>
      <c r="AY855" s="31">
        <f>IF($AU855="","",INDEX($AW$8:$AW$2007,MATCH($AU855,$AU$8:$AU$2007,0)))</f>
        <v/>
      </c>
      <c r="AZ855" s="31">
        <f>IF(OR($AS855="",$C$6=""),"",TRIM(INDEX($A:$AP,ROW(),$C$6)&amp;""))</f>
        <v/>
      </c>
      <c r="BA855" s="31">
        <f>IF($AZ855="","",IF(COUNTIF($AZ$8:$AZ855,$AZ855)&gt;1,1,0))</f>
        <v/>
      </c>
    </row>
    <row r="856">
      <c r="AR856" s="31">
        <f>IF(OR($A$5="",$B$6="",ROW()&lt;$A$5),"",IF(INDEX($A:$AP,ROW(),$B$6)="","",INDEX($A:$AP,ROW(),$B$6)))</f>
        <v/>
      </c>
      <c r="AS856" s="32">
        <f>IF($AR856="","",IF(ISNUMBER($AR856),IF($AR856&gt;=10000000,IFERROR(DATE(INT($AR856/10000),MOD(INT($AR856/100),100),MOD($AR856,100)),""),INT($AR856)),IFERROR(DATE(--LEFT(LEFT(SUBSTITUTE(SUBSTITUTE(SUBSTITUTE(SUBSTITUTE(TRIM($AR856),"-",""),".",""),"/","")," ",""),8),4),--MID(LEFT(SUBSTITUTE(SUBSTITUTE(SUBSTITUTE(SUBSTITUTE(TRIM($AR856),"-",""),".",""),"/","")," ",""),8),5,2),--MID(LEFT(SUBSTITUTE(SUBSTITUTE(SUBSTITUTE(SUBSTITUTE(TRIM($AR856),"-",""),".",""),"/","")," ",""),8),7,2)),"")))</f>
        <v/>
      </c>
      <c r="AT856" s="33">
        <f>IF($AS856="","",IF($F$6="",0,IF(ISNUMBER(INDEX($A:$AP,ROW(),$F$6)),INDEX($A:$AP,ROW(),$F$6),IFERROR(--SUBSTITUTE(SUBSTITUTE(TRIM(INDEX($A:$AP,ROW(),$F$6)),",",""),"원",""),0))))</f>
        <v/>
      </c>
      <c r="AU856" s="31">
        <f>IF($AS856="","",IF($AX856&lt;&gt;"",SUBSTITUTE(SUBSTITUTE($AX856,"-","")," ",""),"N:"&amp;$AV856))</f>
        <v/>
      </c>
      <c r="AV856" s="31">
        <f>IF(OR($AS856="",$E$6=""),"",TRIM(INDEX($A:$AP,ROW(),$E$6)&amp;""))</f>
        <v/>
      </c>
      <c r="AW856" s="31">
        <f>IF($AU856="","",IF(MATCH($AU856,$AU$8:$AU$2007,0)=ROW()-7,MAX($AW$7:$AW855)+1,""))</f>
        <v/>
      </c>
      <c r="AX856" s="31">
        <f>IF(OR($AS856="",$D$6=""),"",TRIM(INDEX($A:$AP,ROW(),$D$6)&amp;""))</f>
        <v/>
      </c>
      <c r="AY856" s="31">
        <f>IF($AU856="","",INDEX($AW$8:$AW$2007,MATCH($AU856,$AU$8:$AU$2007,0)))</f>
        <v/>
      </c>
      <c r="AZ856" s="31">
        <f>IF(OR($AS856="",$C$6=""),"",TRIM(INDEX($A:$AP,ROW(),$C$6)&amp;""))</f>
        <v/>
      </c>
      <c r="BA856" s="31">
        <f>IF($AZ856="","",IF(COUNTIF($AZ$8:$AZ856,$AZ856)&gt;1,1,0))</f>
        <v/>
      </c>
    </row>
    <row r="857">
      <c r="AR857" s="31">
        <f>IF(OR($A$5="",$B$6="",ROW()&lt;$A$5),"",IF(INDEX($A:$AP,ROW(),$B$6)="","",INDEX($A:$AP,ROW(),$B$6)))</f>
        <v/>
      </c>
      <c r="AS857" s="32">
        <f>IF($AR857="","",IF(ISNUMBER($AR857),IF($AR857&gt;=10000000,IFERROR(DATE(INT($AR857/10000),MOD(INT($AR857/100),100),MOD($AR857,100)),""),INT($AR857)),IFERROR(DATE(--LEFT(LEFT(SUBSTITUTE(SUBSTITUTE(SUBSTITUTE(SUBSTITUTE(TRIM($AR857),"-",""),".",""),"/","")," ",""),8),4),--MID(LEFT(SUBSTITUTE(SUBSTITUTE(SUBSTITUTE(SUBSTITUTE(TRIM($AR857),"-",""),".",""),"/","")," ",""),8),5,2),--MID(LEFT(SUBSTITUTE(SUBSTITUTE(SUBSTITUTE(SUBSTITUTE(TRIM($AR857),"-",""),".",""),"/","")," ",""),8),7,2)),"")))</f>
        <v/>
      </c>
      <c r="AT857" s="33">
        <f>IF($AS857="","",IF($F$6="",0,IF(ISNUMBER(INDEX($A:$AP,ROW(),$F$6)),INDEX($A:$AP,ROW(),$F$6),IFERROR(--SUBSTITUTE(SUBSTITUTE(TRIM(INDEX($A:$AP,ROW(),$F$6)),",",""),"원",""),0))))</f>
        <v/>
      </c>
      <c r="AU857" s="31">
        <f>IF($AS857="","",IF($AX857&lt;&gt;"",SUBSTITUTE(SUBSTITUTE($AX857,"-","")," ",""),"N:"&amp;$AV857))</f>
        <v/>
      </c>
      <c r="AV857" s="31">
        <f>IF(OR($AS857="",$E$6=""),"",TRIM(INDEX($A:$AP,ROW(),$E$6)&amp;""))</f>
        <v/>
      </c>
      <c r="AW857" s="31">
        <f>IF($AU857="","",IF(MATCH($AU857,$AU$8:$AU$2007,0)=ROW()-7,MAX($AW$7:$AW856)+1,""))</f>
        <v/>
      </c>
      <c r="AX857" s="31">
        <f>IF(OR($AS857="",$D$6=""),"",TRIM(INDEX($A:$AP,ROW(),$D$6)&amp;""))</f>
        <v/>
      </c>
      <c r="AY857" s="31">
        <f>IF($AU857="","",INDEX($AW$8:$AW$2007,MATCH($AU857,$AU$8:$AU$2007,0)))</f>
        <v/>
      </c>
      <c r="AZ857" s="31">
        <f>IF(OR($AS857="",$C$6=""),"",TRIM(INDEX($A:$AP,ROW(),$C$6)&amp;""))</f>
        <v/>
      </c>
      <c r="BA857" s="31">
        <f>IF($AZ857="","",IF(COUNTIF($AZ$8:$AZ857,$AZ857)&gt;1,1,0))</f>
        <v/>
      </c>
    </row>
    <row r="858">
      <c r="AR858" s="31">
        <f>IF(OR($A$5="",$B$6="",ROW()&lt;$A$5),"",IF(INDEX($A:$AP,ROW(),$B$6)="","",INDEX($A:$AP,ROW(),$B$6)))</f>
        <v/>
      </c>
      <c r="AS858" s="32">
        <f>IF($AR858="","",IF(ISNUMBER($AR858),IF($AR858&gt;=10000000,IFERROR(DATE(INT($AR858/10000),MOD(INT($AR858/100),100),MOD($AR858,100)),""),INT($AR858)),IFERROR(DATE(--LEFT(LEFT(SUBSTITUTE(SUBSTITUTE(SUBSTITUTE(SUBSTITUTE(TRIM($AR858),"-",""),".",""),"/","")," ",""),8),4),--MID(LEFT(SUBSTITUTE(SUBSTITUTE(SUBSTITUTE(SUBSTITUTE(TRIM($AR858),"-",""),".",""),"/","")," ",""),8),5,2),--MID(LEFT(SUBSTITUTE(SUBSTITUTE(SUBSTITUTE(SUBSTITUTE(TRIM($AR858),"-",""),".",""),"/","")," ",""),8),7,2)),"")))</f>
        <v/>
      </c>
      <c r="AT858" s="33">
        <f>IF($AS858="","",IF($F$6="",0,IF(ISNUMBER(INDEX($A:$AP,ROW(),$F$6)),INDEX($A:$AP,ROW(),$F$6),IFERROR(--SUBSTITUTE(SUBSTITUTE(TRIM(INDEX($A:$AP,ROW(),$F$6)),",",""),"원",""),0))))</f>
        <v/>
      </c>
      <c r="AU858" s="31">
        <f>IF($AS858="","",IF($AX858&lt;&gt;"",SUBSTITUTE(SUBSTITUTE($AX858,"-","")," ",""),"N:"&amp;$AV858))</f>
        <v/>
      </c>
      <c r="AV858" s="31">
        <f>IF(OR($AS858="",$E$6=""),"",TRIM(INDEX($A:$AP,ROW(),$E$6)&amp;""))</f>
        <v/>
      </c>
      <c r="AW858" s="31">
        <f>IF($AU858="","",IF(MATCH($AU858,$AU$8:$AU$2007,0)=ROW()-7,MAX($AW$7:$AW857)+1,""))</f>
        <v/>
      </c>
      <c r="AX858" s="31">
        <f>IF(OR($AS858="",$D$6=""),"",TRIM(INDEX($A:$AP,ROW(),$D$6)&amp;""))</f>
        <v/>
      </c>
      <c r="AY858" s="31">
        <f>IF($AU858="","",INDEX($AW$8:$AW$2007,MATCH($AU858,$AU$8:$AU$2007,0)))</f>
        <v/>
      </c>
      <c r="AZ858" s="31">
        <f>IF(OR($AS858="",$C$6=""),"",TRIM(INDEX($A:$AP,ROW(),$C$6)&amp;""))</f>
        <v/>
      </c>
      <c r="BA858" s="31">
        <f>IF($AZ858="","",IF(COUNTIF($AZ$8:$AZ858,$AZ858)&gt;1,1,0))</f>
        <v/>
      </c>
    </row>
    <row r="859">
      <c r="AR859" s="31">
        <f>IF(OR($A$5="",$B$6="",ROW()&lt;$A$5),"",IF(INDEX($A:$AP,ROW(),$B$6)="","",INDEX($A:$AP,ROW(),$B$6)))</f>
        <v/>
      </c>
      <c r="AS859" s="32">
        <f>IF($AR859="","",IF(ISNUMBER($AR859),IF($AR859&gt;=10000000,IFERROR(DATE(INT($AR859/10000),MOD(INT($AR859/100),100),MOD($AR859,100)),""),INT($AR859)),IFERROR(DATE(--LEFT(LEFT(SUBSTITUTE(SUBSTITUTE(SUBSTITUTE(SUBSTITUTE(TRIM($AR859),"-",""),".",""),"/","")," ",""),8),4),--MID(LEFT(SUBSTITUTE(SUBSTITUTE(SUBSTITUTE(SUBSTITUTE(TRIM($AR859),"-",""),".",""),"/","")," ",""),8),5,2),--MID(LEFT(SUBSTITUTE(SUBSTITUTE(SUBSTITUTE(SUBSTITUTE(TRIM($AR859),"-",""),".",""),"/","")," ",""),8),7,2)),"")))</f>
        <v/>
      </c>
      <c r="AT859" s="33">
        <f>IF($AS859="","",IF($F$6="",0,IF(ISNUMBER(INDEX($A:$AP,ROW(),$F$6)),INDEX($A:$AP,ROW(),$F$6),IFERROR(--SUBSTITUTE(SUBSTITUTE(TRIM(INDEX($A:$AP,ROW(),$F$6)),",",""),"원",""),0))))</f>
        <v/>
      </c>
      <c r="AU859" s="31">
        <f>IF($AS859="","",IF($AX859&lt;&gt;"",SUBSTITUTE(SUBSTITUTE($AX859,"-","")," ",""),"N:"&amp;$AV859))</f>
        <v/>
      </c>
      <c r="AV859" s="31">
        <f>IF(OR($AS859="",$E$6=""),"",TRIM(INDEX($A:$AP,ROW(),$E$6)&amp;""))</f>
        <v/>
      </c>
      <c r="AW859" s="31">
        <f>IF($AU859="","",IF(MATCH($AU859,$AU$8:$AU$2007,0)=ROW()-7,MAX($AW$7:$AW858)+1,""))</f>
        <v/>
      </c>
      <c r="AX859" s="31">
        <f>IF(OR($AS859="",$D$6=""),"",TRIM(INDEX($A:$AP,ROW(),$D$6)&amp;""))</f>
        <v/>
      </c>
      <c r="AY859" s="31">
        <f>IF($AU859="","",INDEX($AW$8:$AW$2007,MATCH($AU859,$AU$8:$AU$2007,0)))</f>
        <v/>
      </c>
      <c r="AZ859" s="31">
        <f>IF(OR($AS859="",$C$6=""),"",TRIM(INDEX($A:$AP,ROW(),$C$6)&amp;""))</f>
        <v/>
      </c>
      <c r="BA859" s="31">
        <f>IF($AZ859="","",IF(COUNTIF($AZ$8:$AZ859,$AZ859)&gt;1,1,0))</f>
        <v/>
      </c>
    </row>
    <row r="860">
      <c r="AR860" s="31">
        <f>IF(OR($A$5="",$B$6="",ROW()&lt;$A$5),"",IF(INDEX($A:$AP,ROW(),$B$6)="","",INDEX($A:$AP,ROW(),$B$6)))</f>
        <v/>
      </c>
      <c r="AS860" s="32">
        <f>IF($AR860="","",IF(ISNUMBER($AR860),IF($AR860&gt;=10000000,IFERROR(DATE(INT($AR860/10000),MOD(INT($AR860/100),100),MOD($AR860,100)),""),INT($AR860)),IFERROR(DATE(--LEFT(LEFT(SUBSTITUTE(SUBSTITUTE(SUBSTITUTE(SUBSTITUTE(TRIM($AR860),"-",""),".",""),"/","")," ",""),8),4),--MID(LEFT(SUBSTITUTE(SUBSTITUTE(SUBSTITUTE(SUBSTITUTE(TRIM($AR860),"-",""),".",""),"/","")," ",""),8),5,2),--MID(LEFT(SUBSTITUTE(SUBSTITUTE(SUBSTITUTE(SUBSTITUTE(TRIM($AR860),"-",""),".",""),"/","")," ",""),8),7,2)),"")))</f>
        <v/>
      </c>
      <c r="AT860" s="33">
        <f>IF($AS860="","",IF($F$6="",0,IF(ISNUMBER(INDEX($A:$AP,ROW(),$F$6)),INDEX($A:$AP,ROW(),$F$6),IFERROR(--SUBSTITUTE(SUBSTITUTE(TRIM(INDEX($A:$AP,ROW(),$F$6)),",",""),"원",""),0))))</f>
        <v/>
      </c>
      <c r="AU860" s="31">
        <f>IF($AS860="","",IF($AX860&lt;&gt;"",SUBSTITUTE(SUBSTITUTE($AX860,"-","")," ",""),"N:"&amp;$AV860))</f>
        <v/>
      </c>
      <c r="AV860" s="31">
        <f>IF(OR($AS860="",$E$6=""),"",TRIM(INDEX($A:$AP,ROW(),$E$6)&amp;""))</f>
        <v/>
      </c>
      <c r="AW860" s="31">
        <f>IF($AU860="","",IF(MATCH($AU860,$AU$8:$AU$2007,0)=ROW()-7,MAX($AW$7:$AW859)+1,""))</f>
        <v/>
      </c>
      <c r="AX860" s="31">
        <f>IF(OR($AS860="",$D$6=""),"",TRIM(INDEX($A:$AP,ROW(),$D$6)&amp;""))</f>
        <v/>
      </c>
      <c r="AY860" s="31">
        <f>IF($AU860="","",INDEX($AW$8:$AW$2007,MATCH($AU860,$AU$8:$AU$2007,0)))</f>
        <v/>
      </c>
      <c r="AZ860" s="31">
        <f>IF(OR($AS860="",$C$6=""),"",TRIM(INDEX($A:$AP,ROW(),$C$6)&amp;""))</f>
        <v/>
      </c>
      <c r="BA860" s="31">
        <f>IF($AZ860="","",IF(COUNTIF($AZ$8:$AZ860,$AZ860)&gt;1,1,0))</f>
        <v/>
      </c>
    </row>
    <row r="861">
      <c r="AR861" s="31">
        <f>IF(OR($A$5="",$B$6="",ROW()&lt;$A$5),"",IF(INDEX($A:$AP,ROW(),$B$6)="","",INDEX($A:$AP,ROW(),$B$6)))</f>
        <v/>
      </c>
      <c r="AS861" s="32">
        <f>IF($AR861="","",IF(ISNUMBER($AR861),IF($AR861&gt;=10000000,IFERROR(DATE(INT($AR861/10000),MOD(INT($AR861/100),100),MOD($AR861,100)),""),INT($AR861)),IFERROR(DATE(--LEFT(LEFT(SUBSTITUTE(SUBSTITUTE(SUBSTITUTE(SUBSTITUTE(TRIM($AR861),"-",""),".",""),"/","")," ",""),8),4),--MID(LEFT(SUBSTITUTE(SUBSTITUTE(SUBSTITUTE(SUBSTITUTE(TRIM($AR861),"-",""),".",""),"/","")," ",""),8),5,2),--MID(LEFT(SUBSTITUTE(SUBSTITUTE(SUBSTITUTE(SUBSTITUTE(TRIM($AR861),"-",""),".",""),"/","")," ",""),8),7,2)),"")))</f>
        <v/>
      </c>
      <c r="AT861" s="33">
        <f>IF($AS861="","",IF($F$6="",0,IF(ISNUMBER(INDEX($A:$AP,ROW(),$F$6)),INDEX($A:$AP,ROW(),$F$6),IFERROR(--SUBSTITUTE(SUBSTITUTE(TRIM(INDEX($A:$AP,ROW(),$F$6)),",",""),"원",""),0))))</f>
        <v/>
      </c>
      <c r="AU861" s="31">
        <f>IF($AS861="","",IF($AX861&lt;&gt;"",SUBSTITUTE(SUBSTITUTE($AX861,"-","")," ",""),"N:"&amp;$AV861))</f>
        <v/>
      </c>
      <c r="AV861" s="31">
        <f>IF(OR($AS861="",$E$6=""),"",TRIM(INDEX($A:$AP,ROW(),$E$6)&amp;""))</f>
        <v/>
      </c>
      <c r="AW861" s="31">
        <f>IF($AU861="","",IF(MATCH($AU861,$AU$8:$AU$2007,0)=ROW()-7,MAX($AW$7:$AW860)+1,""))</f>
        <v/>
      </c>
      <c r="AX861" s="31">
        <f>IF(OR($AS861="",$D$6=""),"",TRIM(INDEX($A:$AP,ROW(),$D$6)&amp;""))</f>
        <v/>
      </c>
      <c r="AY861" s="31">
        <f>IF($AU861="","",INDEX($AW$8:$AW$2007,MATCH($AU861,$AU$8:$AU$2007,0)))</f>
        <v/>
      </c>
      <c r="AZ861" s="31">
        <f>IF(OR($AS861="",$C$6=""),"",TRIM(INDEX($A:$AP,ROW(),$C$6)&amp;""))</f>
        <v/>
      </c>
      <c r="BA861" s="31">
        <f>IF($AZ861="","",IF(COUNTIF($AZ$8:$AZ861,$AZ861)&gt;1,1,0))</f>
        <v/>
      </c>
    </row>
    <row r="862">
      <c r="AR862" s="31">
        <f>IF(OR($A$5="",$B$6="",ROW()&lt;$A$5),"",IF(INDEX($A:$AP,ROW(),$B$6)="","",INDEX($A:$AP,ROW(),$B$6)))</f>
        <v/>
      </c>
      <c r="AS862" s="32">
        <f>IF($AR862="","",IF(ISNUMBER($AR862),IF($AR862&gt;=10000000,IFERROR(DATE(INT($AR862/10000),MOD(INT($AR862/100),100),MOD($AR862,100)),""),INT($AR862)),IFERROR(DATE(--LEFT(LEFT(SUBSTITUTE(SUBSTITUTE(SUBSTITUTE(SUBSTITUTE(TRIM($AR862),"-",""),".",""),"/","")," ",""),8),4),--MID(LEFT(SUBSTITUTE(SUBSTITUTE(SUBSTITUTE(SUBSTITUTE(TRIM($AR862),"-",""),".",""),"/","")," ",""),8),5,2),--MID(LEFT(SUBSTITUTE(SUBSTITUTE(SUBSTITUTE(SUBSTITUTE(TRIM($AR862),"-",""),".",""),"/","")," ",""),8),7,2)),"")))</f>
        <v/>
      </c>
      <c r="AT862" s="33">
        <f>IF($AS862="","",IF($F$6="",0,IF(ISNUMBER(INDEX($A:$AP,ROW(),$F$6)),INDEX($A:$AP,ROW(),$F$6),IFERROR(--SUBSTITUTE(SUBSTITUTE(TRIM(INDEX($A:$AP,ROW(),$F$6)),",",""),"원",""),0))))</f>
        <v/>
      </c>
      <c r="AU862" s="31">
        <f>IF($AS862="","",IF($AX862&lt;&gt;"",SUBSTITUTE(SUBSTITUTE($AX862,"-","")," ",""),"N:"&amp;$AV862))</f>
        <v/>
      </c>
      <c r="AV862" s="31">
        <f>IF(OR($AS862="",$E$6=""),"",TRIM(INDEX($A:$AP,ROW(),$E$6)&amp;""))</f>
        <v/>
      </c>
      <c r="AW862" s="31">
        <f>IF($AU862="","",IF(MATCH($AU862,$AU$8:$AU$2007,0)=ROW()-7,MAX($AW$7:$AW861)+1,""))</f>
        <v/>
      </c>
      <c r="AX862" s="31">
        <f>IF(OR($AS862="",$D$6=""),"",TRIM(INDEX($A:$AP,ROW(),$D$6)&amp;""))</f>
        <v/>
      </c>
      <c r="AY862" s="31">
        <f>IF($AU862="","",INDEX($AW$8:$AW$2007,MATCH($AU862,$AU$8:$AU$2007,0)))</f>
        <v/>
      </c>
      <c r="AZ862" s="31">
        <f>IF(OR($AS862="",$C$6=""),"",TRIM(INDEX($A:$AP,ROW(),$C$6)&amp;""))</f>
        <v/>
      </c>
      <c r="BA862" s="31">
        <f>IF($AZ862="","",IF(COUNTIF($AZ$8:$AZ862,$AZ862)&gt;1,1,0))</f>
        <v/>
      </c>
    </row>
    <row r="863">
      <c r="AR863" s="31">
        <f>IF(OR($A$5="",$B$6="",ROW()&lt;$A$5),"",IF(INDEX($A:$AP,ROW(),$B$6)="","",INDEX($A:$AP,ROW(),$B$6)))</f>
        <v/>
      </c>
      <c r="AS863" s="32">
        <f>IF($AR863="","",IF(ISNUMBER($AR863),IF($AR863&gt;=10000000,IFERROR(DATE(INT($AR863/10000),MOD(INT($AR863/100),100),MOD($AR863,100)),""),INT($AR863)),IFERROR(DATE(--LEFT(LEFT(SUBSTITUTE(SUBSTITUTE(SUBSTITUTE(SUBSTITUTE(TRIM($AR863),"-",""),".",""),"/","")," ",""),8),4),--MID(LEFT(SUBSTITUTE(SUBSTITUTE(SUBSTITUTE(SUBSTITUTE(TRIM($AR863),"-",""),".",""),"/","")," ",""),8),5,2),--MID(LEFT(SUBSTITUTE(SUBSTITUTE(SUBSTITUTE(SUBSTITUTE(TRIM($AR863),"-",""),".",""),"/","")," ",""),8),7,2)),"")))</f>
        <v/>
      </c>
      <c r="AT863" s="33">
        <f>IF($AS863="","",IF($F$6="",0,IF(ISNUMBER(INDEX($A:$AP,ROW(),$F$6)),INDEX($A:$AP,ROW(),$F$6),IFERROR(--SUBSTITUTE(SUBSTITUTE(TRIM(INDEX($A:$AP,ROW(),$F$6)),",",""),"원",""),0))))</f>
        <v/>
      </c>
      <c r="AU863" s="31">
        <f>IF($AS863="","",IF($AX863&lt;&gt;"",SUBSTITUTE(SUBSTITUTE($AX863,"-","")," ",""),"N:"&amp;$AV863))</f>
        <v/>
      </c>
      <c r="AV863" s="31">
        <f>IF(OR($AS863="",$E$6=""),"",TRIM(INDEX($A:$AP,ROW(),$E$6)&amp;""))</f>
        <v/>
      </c>
      <c r="AW863" s="31">
        <f>IF($AU863="","",IF(MATCH($AU863,$AU$8:$AU$2007,0)=ROW()-7,MAX($AW$7:$AW862)+1,""))</f>
        <v/>
      </c>
      <c r="AX863" s="31">
        <f>IF(OR($AS863="",$D$6=""),"",TRIM(INDEX($A:$AP,ROW(),$D$6)&amp;""))</f>
        <v/>
      </c>
      <c r="AY863" s="31">
        <f>IF($AU863="","",INDEX($AW$8:$AW$2007,MATCH($AU863,$AU$8:$AU$2007,0)))</f>
        <v/>
      </c>
      <c r="AZ863" s="31">
        <f>IF(OR($AS863="",$C$6=""),"",TRIM(INDEX($A:$AP,ROW(),$C$6)&amp;""))</f>
        <v/>
      </c>
      <c r="BA863" s="31">
        <f>IF($AZ863="","",IF(COUNTIF($AZ$8:$AZ863,$AZ863)&gt;1,1,0))</f>
        <v/>
      </c>
    </row>
    <row r="864">
      <c r="AR864" s="31">
        <f>IF(OR($A$5="",$B$6="",ROW()&lt;$A$5),"",IF(INDEX($A:$AP,ROW(),$B$6)="","",INDEX($A:$AP,ROW(),$B$6)))</f>
        <v/>
      </c>
      <c r="AS864" s="32">
        <f>IF($AR864="","",IF(ISNUMBER($AR864),IF($AR864&gt;=10000000,IFERROR(DATE(INT($AR864/10000),MOD(INT($AR864/100),100),MOD($AR864,100)),""),INT($AR864)),IFERROR(DATE(--LEFT(LEFT(SUBSTITUTE(SUBSTITUTE(SUBSTITUTE(SUBSTITUTE(TRIM($AR864),"-",""),".",""),"/","")," ",""),8),4),--MID(LEFT(SUBSTITUTE(SUBSTITUTE(SUBSTITUTE(SUBSTITUTE(TRIM($AR864),"-",""),".",""),"/","")," ",""),8),5,2),--MID(LEFT(SUBSTITUTE(SUBSTITUTE(SUBSTITUTE(SUBSTITUTE(TRIM($AR864),"-",""),".",""),"/","")," ",""),8),7,2)),"")))</f>
        <v/>
      </c>
      <c r="AT864" s="33">
        <f>IF($AS864="","",IF($F$6="",0,IF(ISNUMBER(INDEX($A:$AP,ROW(),$F$6)),INDEX($A:$AP,ROW(),$F$6),IFERROR(--SUBSTITUTE(SUBSTITUTE(TRIM(INDEX($A:$AP,ROW(),$F$6)),",",""),"원",""),0))))</f>
        <v/>
      </c>
      <c r="AU864" s="31">
        <f>IF($AS864="","",IF($AX864&lt;&gt;"",SUBSTITUTE(SUBSTITUTE($AX864,"-","")," ",""),"N:"&amp;$AV864))</f>
        <v/>
      </c>
      <c r="AV864" s="31">
        <f>IF(OR($AS864="",$E$6=""),"",TRIM(INDEX($A:$AP,ROW(),$E$6)&amp;""))</f>
        <v/>
      </c>
      <c r="AW864" s="31">
        <f>IF($AU864="","",IF(MATCH($AU864,$AU$8:$AU$2007,0)=ROW()-7,MAX($AW$7:$AW863)+1,""))</f>
        <v/>
      </c>
      <c r="AX864" s="31">
        <f>IF(OR($AS864="",$D$6=""),"",TRIM(INDEX($A:$AP,ROW(),$D$6)&amp;""))</f>
        <v/>
      </c>
      <c r="AY864" s="31">
        <f>IF($AU864="","",INDEX($AW$8:$AW$2007,MATCH($AU864,$AU$8:$AU$2007,0)))</f>
        <v/>
      </c>
      <c r="AZ864" s="31">
        <f>IF(OR($AS864="",$C$6=""),"",TRIM(INDEX($A:$AP,ROW(),$C$6)&amp;""))</f>
        <v/>
      </c>
      <c r="BA864" s="31">
        <f>IF($AZ864="","",IF(COUNTIF($AZ$8:$AZ864,$AZ864)&gt;1,1,0))</f>
        <v/>
      </c>
    </row>
    <row r="865">
      <c r="AR865" s="31">
        <f>IF(OR($A$5="",$B$6="",ROW()&lt;$A$5),"",IF(INDEX($A:$AP,ROW(),$B$6)="","",INDEX($A:$AP,ROW(),$B$6)))</f>
        <v/>
      </c>
      <c r="AS865" s="32">
        <f>IF($AR865="","",IF(ISNUMBER($AR865),IF($AR865&gt;=10000000,IFERROR(DATE(INT($AR865/10000),MOD(INT($AR865/100),100),MOD($AR865,100)),""),INT($AR865)),IFERROR(DATE(--LEFT(LEFT(SUBSTITUTE(SUBSTITUTE(SUBSTITUTE(SUBSTITUTE(TRIM($AR865),"-",""),".",""),"/","")," ",""),8),4),--MID(LEFT(SUBSTITUTE(SUBSTITUTE(SUBSTITUTE(SUBSTITUTE(TRIM($AR865),"-",""),".",""),"/","")," ",""),8),5,2),--MID(LEFT(SUBSTITUTE(SUBSTITUTE(SUBSTITUTE(SUBSTITUTE(TRIM($AR865),"-",""),".",""),"/","")," ",""),8),7,2)),"")))</f>
        <v/>
      </c>
      <c r="AT865" s="33">
        <f>IF($AS865="","",IF($F$6="",0,IF(ISNUMBER(INDEX($A:$AP,ROW(),$F$6)),INDEX($A:$AP,ROW(),$F$6),IFERROR(--SUBSTITUTE(SUBSTITUTE(TRIM(INDEX($A:$AP,ROW(),$F$6)),",",""),"원",""),0))))</f>
        <v/>
      </c>
      <c r="AU865" s="31">
        <f>IF($AS865="","",IF($AX865&lt;&gt;"",SUBSTITUTE(SUBSTITUTE($AX865,"-","")," ",""),"N:"&amp;$AV865))</f>
        <v/>
      </c>
      <c r="AV865" s="31">
        <f>IF(OR($AS865="",$E$6=""),"",TRIM(INDEX($A:$AP,ROW(),$E$6)&amp;""))</f>
        <v/>
      </c>
      <c r="AW865" s="31">
        <f>IF($AU865="","",IF(MATCH($AU865,$AU$8:$AU$2007,0)=ROW()-7,MAX($AW$7:$AW864)+1,""))</f>
        <v/>
      </c>
      <c r="AX865" s="31">
        <f>IF(OR($AS865="",$D$6=""),"",TRIM(INDEX($A:$AP,ROW(),$D$6)&amp;""))</f>
        <v/>
      </c>
      <c r="AY865" s="31">
        <f>IF($AU865="","",INDEX($AW$8:$AW$2007,MATCH($AU865,$AU$8:$AU$2007,0)))</f>
        <v/>
      </c>
      <c r="AZ865" s="31">
        <f>IF(OR($AS865="",$C$6=""),"",TRIM(INDEX($A:$AP,ROW(),$C$6)&amp;""))</f>
        <v/>
      </c>
      <c r="BA865" s="31">
        <f>IF($AZ865="","",IF(COUNTIF($AZ$8:$AZ865,$AZ865)&gt;1,1,0))</f>
        <v/>
      </c>
    </row>
    <row r="866">
      <c r="AR866" s="31">
        <f>IF(OR($A$5="",$B$6="",ROW()&lt;$A$5),"",IF(INDEX($A:$AP,ROW(),$B$6)="","",INDEX($A:$AP,ROW(),$B$6)))</f>
        <v/>
      </c>
      <c r="AS866" s="32">
        <f>IF($AR866="","",IF(ISNUMBER($AR866),IF($AR866&gt;=10000000,IFERROR(DATE(INT($AR866/10000),MOD(INT($AR866/100),100),MOD($AR866,100)),""),INT($AR866)),IFERROR(DATE(--LEFT(LEFT(SUBSTITUTE(SUBSTITUTE(SUBSTITUTE(SUBSTITUTE(TRIM($AR866),"-",""),".",""),"/","")," ",""),8),4),--MID(LEFT(SUBSTITUTE(SUBSTITUTE(SUBSTITUTE(SUBSTITUTE(TRIM($AR866),"-",""),".",""),"/","")," ",""),8),5,2),--MID(LEFT(SUBSTITUTE(SUBSTITUTE(SUBSTITUTE(SUBSTITUTE(TRIM($AR866),"-",""),".",""),"/","")," ",""),8),7,2)),"")))</f>
        <v/>
      </c>
      <c r="AT866" s="33">
        <f>IF($AS866="","",IF($F$6="",0,IF(ISNUMBER(INDEX($A:$AP,ROW(),$F$6)),INDEX($A:$AP,ROW(),$F$6),IFERROR(--SUBSTITUTE(SUBSTITUTE(TRIM(INDEX($A:$AP,ROW(),$F$6)),",",""),"원",""),0))))</f>
        <v/>
      </c>
      <c r="AU866" s="31">
        <f>IF($AS866="","",IF($AX866&lt;&gt;"",SUBSTITUTE(SUBSTITUTE($AX866,"-","")," ",""),"N:"&amp;$AV866))</f>
        <v/>
      </c>
      <c r="AV866" s="31">
        <f>IF(OR($AS866="",$E$6=""),"",TRIM(INDEX($A:$AP,ROW(),$E$6)&amp;""))</f>
        <v/>
      </c>
      <c r="AW866" s="31">
        <f>IF($AU866="","",IF(MATCH($AU866,$AU$8:$AU$2007,0)=ROW()-7,MAX($AW$7:$AW865)+1,""))</f>
        <v/>
      </c>
      <c r="AX866" s="31">
        <f>IF(OR($AS866="",$D$6=""),"",TRIM(INDEX($A:$AP,ROW(),$D$6)&amp;""))</f>
        <v/>
      </c>
      <c r="AY866" s="31">
        <f>IF($AU866="","",INDEX($AW$8:$AW$2007,MATCH($AU866,$AU$8:$AU$2007,0)))</f>
        <v/>
      </c>
      <c r="AZ866" s="31">
        <f>IF(OR($AS866="",$C$6=""),"",TRIM(INDEX($A:$AP,ROW(),$C$6)&amp;""))</f>
        <v/>
      </c>
      <c r="BA866" s="31">
        <f>IF($AZ866="","",IF(COUNTIF($AZ$8:$AZ866,$AZ866)&gt;1,1,0))</f>
        <v/>
      </c>
    </row>
    <row r="867">
      <c r="AR867" s="31">
        <f>IF(OR($A$5="",$B$6="",ROW()&lt;$A$5),"",IF(INDEX($A:$AP,ROW(),$B$6)="","",INDEX($A:$AP,ROW(),$B$6)))</f>
        <v/>
      </c>
      <c r="AS867" s="32">
        <f>IF($AR867="","",IF(ISNUMBER($AR867),IF($AR867&gt;=10000000,IFERROR(DATE(INT($AR867/10000),MOD(INT($AR867/100),100),MOD($AR867,100)),""),INT($AR867)),IFERROR(DATE(--LEFT(LEFT(SUBSTITUTE(SUBSTITUTE(SUBSTITUTE(SUBSTITUTE(TRIM($AR867),"-",""),".",""),"/","")," ",""),8),4),--MID(LEFT(SUBSTITUTE(SUBSTITUTE(SUBSTITUTE(SUBSTITUTE(TRIM($AR867),"-",""),".",""),"/","")," ",""),8),5,2),--MID(LEFT(SUBSTITUTE(SUBSTITUTE(SUBSTITUTE(SUBSTITUTE(TRIM($AR867),"-",""),".",""),"/","")," ",""),8),7,2)),"")))</f>
        <v/>
      </c>
      <c r="AT867" s="33">
        <f>IF($AS867="","",IF($F$6="",0,IF(ISNUMBER(INDEX($A:$AP,ROW(),$F$6)),INDEX($A:$AP,ROW(),$F$6),IFERROR(--SUBSTITUTE(SUBSTITUTE(TRIM(INDEX($A:$AP,ROW(),$F$6)),",",""),"원",""),0))))</f>
        <v/>
      </c>
      <c r="AU867" s="31">
        <f>IF($AS867="","",IF($AX867&lt;&gt;"",SUBSTITUTE(SUBSTITUTE($AX867,"-","")," ",""),"N:"&amp;$AV867))</f>
        <v/>
      </c>
      <c r="AV867" s="31">
        <f>IF(OR($AS867="",$E$6=""),"",TRIM(INDEX($A:$AP,ROW(),$E$6)&amp;""))</f>
        <v/>
      </c>
      <c r="AW867" s="31">
        <f>IF($AU867="","",IF(MATCH($AU867,$AU$8:$AU$2007,0)=ROW()-7,MAX($AW$7:$AW866)+1,""))</f>
        <v/>
      </c>
      <c r="AX867" s="31">
        <f>IF(OR($AS867="",$D$6=""),"",TRIM(INDEX($A:$AP,ROW(),$D$6)&amp;""))</f>
        <v/>
      </c>
      <c r="AY867" s="31">
        <f>IF($AU867="","",INDEX($AW$8:$AW$2007,MATCH($AU867,$AU$8:$AU$2007,0)))</f>
        <v/>
      </c>
      <c r="AZ867" s="31">
        <f>IF(OR($AS867="",$C$6=""),"",TRIM(INDEX($A:$AP,ROW(),$C$6)&amp;""))</f>
        <v/>
      </c>
      <c r="BA867" s="31">
        <f>IF($AZ867="","",IF(COUNTIF($AZ$8:$AZ867,$AZ867)&gt;1,1,0))</f>
        <v/>
      </c>
    </row>
    <row r="868">
      <c r="AR868" s="31">
        <f>IF(OR($A$5="",$B$6="",ROW()&lt;$A$5),"",IF(INDEX($A:$AP,ROW(),$B$6)="","",INDEX($A:$AP,ROW(),$B$6)))</f>
        <v/>
      </c>
      <c r="AS868" s="32">
        <f>IF($AR868="","",IF(ISNUMBER($AR868),IF($AR868&gt;=10000000,IFERROR(DATE(INT($AR868/10000),MOD(INT($AR868/100),100),MOD($AR868,100)),""),INT($AR868)),IFERROR(DATE(--LEFT(LEFT(SUBSTITUTE(SUBSTITUTE(SUBSTITUTE(SUBSTITUTE(TRIM($AR868),"-",""),".",""),"/","")," ",""),8),4),--MID(LEFT(SUBSTITUTE(SUBSTITUTE(SUBSTITUTE(SUBSTITUTE(TRIM($AR868),"-",""),".",""),"/","")," ",""),8),5,2),--MID(LEFT(SUBSTITUTE(SUBSTITUTE(SUBSTITUTE(SUBSTITUTE(TRIM($AR868),"-",""),".",""),"/","")," ",""),8),7,2)),"")))</f>
        <v/>
      </c>
      <c r="AT868" s="33">
        <f>IF($AS868="","",IF($F$6="",0,IF(ISNUMBER(INDEX($A:$AP,ROW(),$F$6)),INDEX($A:$AP,ROW(),$F$6),IFERROR(--SUBSTITUTE(SUBSTITUTE(TRIM(INDEX($A:$AP,ROW(),$F$6)),",",""),"원",""),0))))</f>
        <v/>
      </c>
      <c r="AU868" s="31">
        <f>IF($AS868="","",IF($AX868&lt;&gt;"",SUBSTITUTE(SUBSTITUTE($AX868,"-","")," ",""),"N:"&amp;$AV868))</f>
        <v/>
      </c>
      <c r="AV868" s="31">
        <f>IF(OR($AS868="",$E$6=""),"",TRIM(INDEX($A:$AP,ROW(),$E$6)&amp;""))</f>
        <v/>
      </c>
      <c r="AW868" s="31">
        <f>IF($AU868="","",IF(MATCH($AU868,$AU$8:$AU$2007,0)=ROW()-7,MAX($AW$7:$AW867)+1,""))</f>
        <v/>
      </c>
      <c r="AX868" s="31">
        <f>IF(OR($AS868="",$D$6=""),"",TRIM(INDEX($A:$AP,ROW(),$D$6)&amp;""))</f>
        <v/>
      </c>
      <c r="AY868" s="31">
        <f>IF($AU868="","",INDEX($AW$8:$AW$2007,MATCH($AU868,$AU$8:$AU$2007,0)))</f>
        <v/>
      </c>
      <c r="AZ868" s="31">
        <f>IF(OR($AS868="",$C$6=""),"",TRIM(INDEX($A:$AP,ROW(),$C$6)&amp;""))</f>
        <v/>
      </c>
      <c r="BA868" s="31">
        <f>IF($AZ868="","",IF(COUNTIF($AZ$8:$AZ868,$AZ868)&gt;1,1,0))</f>
        <v/>
      </c>
    </row>
    <row r="869">
      <c r="AR869" s="31">
        <f>IF(OR($A$5="",$B$6="",ROW()&lt;$A$5),"",IF(INDEX($A:$AP,ROW(),$B$6)="","",INDEX($A:$AP,ROW(),$B$6)))</f>
        <v/>
      </c>
      <c r="AS869" s="32">
        <f>IF($AR869="","",IF(ISNUMBER($AR869),IF($AR869&gt;=10000000,IFERROR(DATE(INT($AR869/10000),MOD(INT($AR869/100),100),MOD($AR869,100)),""),INT($AR869)),IFERROR(DATE(--LEFT(LEFT(SUBSTITUTE(SUBSTITUTE(SUBSTITUTE(SUBSTITUTE(TRIM($AR869),"-",""),".",""),"/","")," ",""),8),4),--MID(LEFT(SUBSTITUTE(SUBSTITUTE(SUBSTITUTE(SUBSTITUTE(TRIM($AR869),"-",""),".",""),"/","")," ",""),8),5,2),--MID(LEFT(SUBSTITUTE(SUBSTITUTE(SUBSTITUTE(SUBSTITUTE(TRIM($AR869),"-",""),".",""),"/","")," ",""),8),7,2)),"")))</f>
        <v/>
      </c>
      <c r="AT869" s="33">
        <f>IF($AS869="","",IF($F$6="",0,IF(ISNUMBER(INDEX($A:$AP,ROW(),$F$6)),INDEX($A:$AP,ROW(),$F$6),IFERROR(--SUBSTITUTE(SUBSTITUTE(TRIM(INDEX($A:$AP,ROW(),$F$6)),",",""),"원",""),0))))</f>
        <v/>
      </c>
      <c r="AU869" s="31">
        <f>IF($AS869="","",IF($AX869&lt;&gt;"",SUBSTITUTE(SUBSTITUTE($AX869,"-","")," ",""),"N:"&amp;$AV869))</f>
        <v/>
      </c>
      <c r="AV869" s="31">
        <f>IF(OR($AS869="",$E$6=""),"",TRIM(INDEX($A:$AP,ROW(),$E$6)&amp;""))</f>
        <v/>
      </c>
      <c r="AW869" s="31">
        <f>IF($AU869="","",IF(MATCH($AU869,$AU$8:$AU$2007,0)=ROW()-7,MAX($AW$7:$AW868)+1,""))</f>
        <v/>
      </c>
      <c r="AX869" s="31">
        <f>IF(OR($AS869="",$D$6=""),"",TRIM(INDEX($A:$AP,ROW(),$D$6)&amp;""))</f>
        <v/>
      </c>
      <c r="AY869" s="31">
        <f>IF($AU869="","",INDEX($AW$8:$AW$2007,MATCH($AU869,$AU$8:$AU$2007,0)))</f>
        <v/>
      </c>
      <c r="AZ869" s="31">
        <f>IF(OR($AS869="",$C$6=""),"",TRIM(INDEX($A:$AP,ROW(),$C$6)&amp;""))</f>
        <v/>
      </c>
      <c r="BA869" s="31">
        <f>IF($AZ869="","",IF(COUNTIF($AZ$8:$AZ869,$AZ869)&gt;1,1,0))</f>
        <v/>
      </c>
    </row>
    <row r="870">
      <c r="AR870" s="31">
        <f>IF(OR($A$5="",$B$6="",ROW()&lt;$A$5),"",IF(INDEX($A:$AP,ROW(),$B$6)="","",INDEX($A:$AP,ROW(),$B$6)))</f>
        <v/>
      </c>
      <c r="AS870" s="32">
        <f>IF($AR870="","",IF(ISNUMBER($AR870),IF($AR870&gt;=10000000,IFERROR(DATE(INT($AR870/10000),MOD(INT($AR870/100),100),MOD($AR870,100)),""),INT($AR870)),IFERROR(DATE(--LEFT(LEFT(SUBSTITUTE(SUBSTITUTE(SUBSTITUTE(SUBSTITUTE(TRIM($AR870),"-",""),".",""),"/","")," ",""),8),4),--MID(LEFT(SUBSTITUTE(SUBSTITUTE(SUBSTITUTE(SUBSTITUTE(TRIM($AR870),"-",""),".",""),"/","")," ",""),8),5,2),--MID(LEFT(SUBSTITUTE(SUBSTITUTE(SUBSTITUTE(SUBSTITUTE(TRIM($AR870),"-",""),".",""),"/","")," ",""),8),7,2)),"")))</f>
        <v/>
      </c>
      <c r="AT870" s="33">
        <f>IF($AS870="","",IF($F$6="",0,IF(ISNUMBER(INDEX($A:$AP,ROW(),$F$6)),INDEX($A:$AP,ROW(),$F$6),IFERROR(--SUBSTITUTE(SUBSTITUTE(TRIM(INDEX($A:$AP,ROW(),$F$6)),",",""),"원",""),0))))</f>
        <v/>
      </c>
      <c r="AU870" s="31">
        <f>IF($AS870="","",IF($AX870&lt;&gt;"",SUBSTITUTE(SUBSTITUTE($AX870,"-","")," ",""),"N:"&amp;$AV870))</f>
        <v/>
      </c>
      <c r="AV870" s="31">
        <f>IF(OR($AS870="",$E$6=""),"",TRIM(INDEX($A:$AP,ROW(),$E$6)&amp;""))</f>
        <v/>
      </c>
      <c r="AW870" s="31">
        <f>IF($AU870="","",IF(MATCH($AU870,$AU$8:$AU$2007,0)=ROW()-7,MAX($AW$7:$AW869)+1,""))</f>
        <v/>
      </c>
      <c r="AX870" s="31">
        <f>IF(OR($AS870="",$D$6=""),"",TRIM(INDEX($A:$AP,ROW(),$D$6)&amp;""))</f>
        <v/>
      </c>
      <c r="AY870" s="31">
        <f>IF($AU870="","",INDEX($AW$8:$AW$2007,MATCH($AU870,$AU$8:$AU$2007,0)))</f>
        <v/>
      </c>
      <c r="AZ870" s="31">
        <f>IF(OR($AS870="",$C$6=""),"",TRIM(INDEX($A:$AP,ROW(),$C$6)&amp;""))</f>
        <v/>
      </c>
      <c r="BA870" s="31">
        <f>IF($AZ870="","",IF(COUNTIF($AZ$8:$AZ870,$AZ870)&gt;1,1,0))</f>
        <v/>
      </c>
    </row>
    <row r="871">
      <c r="AR871" s="31">
        <f>IF(OR($A$5="",$B$6="",ROW()&lt;$A$5),"",IF(INDEX($A:$AP,ROW(),$B$6)="","",INDEX($A:$AP,ROW(),$B$6)))</f>
        <v/>
      </c>
      <c r="AS871" s="32">
        <f>IF($AR871="","",IF(ISNUMBER($AR871),IF($AR871&gt;=10000000,IFERROR(DATE(INT($AR871/10000),MOD(INT($AR871/100),100),MOD($AR871,100)),""),INT($AR871)),IFERROR(DATE(--LEFT(LEFT(SUBSTITUTE(SUBSTITUTE(SUBSTITUTE(SUBSTITUTE(TRIM($AR871),"-",""),".",""),"/","")," ",""),8),4),--MID(LEFT(SUBSTITUTE(SUBSTITUTE(SUBSTITUTE(SUBSTITUTE(TRIM($AR871),"-",""),".",""),"/","")," ",""),8),5,2),--MID(LEFT(SUBSTITUTE(SUBSTITUTE(SUBSTITUTE(SUBSTITUTE(TRIM($AR871),"-",""),".",""),"/","")," ",""),8),7,2)),"")))</f>
        <v/>
      </c>
      <c r="AT871" s="33">
        <f>IF($AS871="","",IF($F$6="",0,IF(ISNUMBER(INDEX($A:$AP,ROW(),$F$6)),INDEX($A:$AP,ROW(),$F$6),IFERROR(--SUBSTITUTE(SUBSTITUTE(TRIM(INDEX($A:$AP,ROW(),$F$6)),",",""),"원",""),0))))</f>
        <v/>
      </c>
      <c r="AU871" s="31">
        <f>IF($AS871="","",IF($AX871&lt;&gt;"",SUBSTITUTE(SUBSTITUTE($AX871,"-","")," ",""),"N:"&amp;$AV871))</f>
        <v/>
      </c>
      <c r="AV871" s="31">
        <f>IF(OR($AS871="",$E$6=""),"",TRIM(INDEX($A:$AP,ROW(),$E$6)&amp;""))</f>
        <v/>
      </c>
      <c r="AW871" s="31">
        <f>IF($AU871="","",IF(MATCH($AU871,$AU$8:$AU$2007,0)=ROW()-7,MAX($AW$7:$AW870)+1,""))</f>
        <v/>
      </c>
      <c r="AX871" s="31">
        <f>IF(OR($AS871="",$D$6=""),"",TRIM(INDEX($A:$AP,ROW(),$D$6)&amp;""))</f>
        <v/>
      </c>
      <c r="AY871" s="31">
        <f>IF($AU871="","",INDEX($AW$8:$AW$2007,MATCH($AU871,$AU$8:$AU$2007,0)))</f>
        <v/>
      </c>
      <c r="AZ871" s="31">
        <f>IF(OR($AS871="",$C$6=""),"",TRIM(INDEX($A:$AP,ROW(),$C$6)&amp;""))</f>
        <v/>
      </c>
      <c r="BA871" s="31">
        <f>IF($AZ871="","",IF(COUNTIF($AZ$8:$AZ871,$AZ871)&gt;1,1,0))</f>
        <v/>
      </c>
    </row>
    <row r="872">
      <c r="AR872" s="31">
        <f>IF(OR($A$5="",$B$6="",ROW()&lt;$A$5),"",IF(INDEX($A:$AP,ROW(),$B$6)="","",INDEX($A:$AP,ROW(),$B$6)))</f>
        <v/>
      </c>
      <c r="AS872" s="32">
        <f>IF($AR872="","",IF(ISNUMBER($AR872),IF($AR872&gt;=10000000,IFERROR(DATE(INT($AR872/10000),MOD(INT($AR872/100),100),MOD($AR872,100)),""),INT($AR872)),IFERROR(DATE(--LEFT(LEFT(SUBSTITUTE(SUBSTITUTE(SUBSTITUTE(SUBSTITUTE(TRIM($AR872),"-",""),".",""),"/","")," ",""),8),4),--MID(LEFT(SUBSTITUTE(SUBSTITUTE(SUBSTITUTE(SUBSTITUTE(TRIM($AR872),"-",""),".",""),"/","")," ",""),8),5,2),--MID(LEFT(SUBSTITUTE(SUBSTITUTE(SUBSTITUTE(SUBSTITUTE(TRIM($AR872),"-",""),".",""),"/","")," ",""),8),7,2)),"")))</f>
        <v/>
      </c>
      <c r="AT872" s="33">
        <f>IF($AS872="","",IF($F$6="",0,IF(ISNUMBER(INDEX($A:$AP,ROW(),$F$6)),INDEX($A:$AP,ROW(),$F$6),IFERROR(--SUBSTITUTE(SUBSTITUTE(TRIM(INDEX($A:$AP,ROW(),$F$6)),",",""),"원",""),0))))</f>
        <v/>
      </c>
      <c r="AU872" s="31">
        <f>IF($AS872="","",IF($AX872&lt;&gt;"",SUBSTITUTE(SUBSTITUTE($AX872,"-","")," ",""),"N:"&amp;$AV872))</f>
        <v/>
      </c>
      <c r="AV872" s="31">
        <f>IF(OR($AS872="",$E$6=""),"",TRIM(INDEX($A:$AP,ROW(),$E$6)&amp;""))</f>
        <v/>
      </c>
      <c r="AW872" s="31">
        <f>IF($AU872="","",IF(MATCH($AU872,$AU$8:$AU$2007,0)=ROW()-7,MAX($AW$7:$AW871)+1,""))</f>
        <v/>
      </c>
      <c r="AX872" s="31">
        <f>IF(OR($AS872="",$D$6=""),"",TRIM(INDEX($A:$AP,ROW(),$D$6)&amp;""))</f>
        <v/>
      </c>
      <c r="AY872" s="31">
        <f>IF($AU872="","",INDEX($AW$8:$AW$2007,MATCH($AU872,$AU$8:$AU$2007,0)))</f>
        <v/>
      </c>
      <c r="AZ872" s="31">
        <f>IF(OR($AS872="",$C$6=""),"",TRIM(INDEX($A:$AP,ROW(),$C$6)&amp;""))</f>
        <v/>
      </c>
      <c r="BA872" s="31">
        <f>IF($AZ872="","",IF(COUNTIF($AZ$8:$AZ872,$AZ872)&gt;1,1,0))</f>
        <v/>
      </c>
    </row>
    <row r="873">
      <c r="AR873" s="31">
        <f>IF(OR($A$5="",$B$6="",ROW()&lt;$A$5),"",IF(INDEX($A:$AP,ROW(),$B$6)="","",INDEX($A:$AP,ROW(),$B$6)))</f>
        <v/>
      </c>
      <c r="AS873" s="32">
        <f>IF($AR873="","",IF(ISNUMBER($AR873),IF($AR873&gt;=10000000,IFERROR(DATE(INT($AR873/10000),MOD(INT($AR873/100),100),MOD($AR873,100)),""),INT($AR873)),IFERROR(DATE(--LEFT(LEFT(SUBSTITUTE(SUBSTITUTE(SUBSTITUTE(SUBSTITUTE(TRIM($AR873),"-",""),".",""),"/","")," ",""),8),4),--MID(LEFT(SUBSTITUTE(SUBSTITUTE(SUBSTITUTE(SUBSTITUTE(TRIM($AR873),"-",""),".",""),"/","")," ",""),8),5,2),--MID(LEFT(SUBSTITUTE(SUBSTITUTE(SUBSTITUTE(SUBSTITUTE(TRIM($AR873),"-",""),".",""),"/","")," ",""),8),7,2)),"")))</f>
        <v/>
      </c>
      <c r="AT873" s="33">
        <f>IF($AS873="","",IF($F$6="",0,IF(ISNUMBER(INDEX($A:$AP,ROW(),$F$6)),INDEX($A:$AP,ROW(),$F$6),IFERROR(--SUBSTITUTE(SUBSTITUTE(TRIM(INDEX($A:$AP,ROW(),$F$6)),",",""),"원",""),0))))</f>
        <v/>
      </c>
      <c r="AU873" s="31">
        <f>IF($AS873="","",IF($AX873&lt;&gt;"",SUBSTITUTE(SUBSTITUTE($AX873,"-","")," ",""),"N:"&amp;$AV873))</f>
        <v/>
      </c>
      <c r="AV873" s="31">
        <f>IF(OR($AS873="",$E$6=""),"",TRIM(INDEX($A:$AP,ROW(),$E$6)&amp;""))</f>
        <v/>
      </c>
      <c r="AW873" s="31">
        <f>IF($AU873="","",IF(MATCH($AU873,$AU$8:$AU$2007,0)=ROW()-7,MAX($AW$7:$AW872)+1,""))</f>
        <v/>
      </c>
      <c r="AX873" s="31">
        <f>IF(OR($AS873="",$D$6=""),"",TRIM(INDEX($A:$AP,ROW(),$D$6)&amp;""))</f>
        <v/>
      </c>
      <c r="AY873" s="31">
        <f>IF($AU873="","",INDEX($AW$8:$AW$2007,MATCH($AU873,$AU$8:$AU$2007,0)))</f>
        <v/>
      </c>
      <c r="AZ873" s="31">
        <f>IF(OR($AS873="",$C$6=""),"",TRIM(INDEX($A:$AP,ROW(),$C$6)&amp;""))</f>
        <v/>
      </c>
      <c r="BA873" s="31">
        <f>IF($AZ873="","",IF(COUNTIF($AZ$8:$AZ873,$AZ873)&gt;1,1,0))</f>
        <v/>
      </c>
    </row>
    <row r="874">
      <c r="AR874" s="31">
        <f>IF(OR($A$5="",$B$6="",ROW()&lt;$A$5),"",IF(INDEX($A:$AP,ROW(),$B$6)="","",INDEX($A:$AP,ROW(),$B$6)))</f>
        <v/>
      </c>
      <c r="AS874" s="32">
        <f>IF($AR874="","",IF(ISNUMBER($AR874),IF($AR874&gt;=10000000,IFERROR(DATE(INT($AR874/10000),MOD(INT($AR874/100),100),MOD($AR874,100)),""),INT($AR874)),IFERROR(DATE(--LEFT(LEFT(SUBSTITUTE(SUBSTITUTE(SUBSTITUTE(SUBSTITUTE(TRIM($AR874),"-",""),".",""),"/","")," ",""),8),4),--MID(LEFT(SUBSTITUTE(SUBSTITUTE(SUBSTITUTE(SUBSTITUTE(TRIM($AR874),"-",""),".",""),"/","")," ",""),8),5,2),--MID(LEFT(SUBSTITUTE(SUBSTITUTE(SUBSTITUTE(SUBSTITUTE(TRIM($AR874),"-",""),".",""),"/","")," ",""),8),7,2)),"")))</f>
        <v/>
      </c>
      <c r="AT874" s="33">
        <f>IF($AS874="","",IF($F$6="",0,IF(ISNUMBER(INDEX($A:$AP,ROW(),$F$6)),INDEX($A:$AP,ROW(),$F$6),IFERROR(--SUBSTITUTE(SUBSTITUTE(TRIM(INDEX($A:$AP,ROW(),$F$6)),",",""),"원",""),0))))</f>
        <v/>
      </c>
      <c r="AU874" s="31">
        <f>IF($AS874="","",IF($AX874&lt;&gt;"",SUBSTITUTE(SUBSTITUTE($AX874,"-","")," ",""),"N:"&amp;$AV874))</f>
        <v/>
      </c>
      <c r="AV874" s="31">
        <f>IF(OR($AS874="",$E$6=""),"",TRIM(INDEX($A:$AP,ROW(),$E$6)&amp;""))</f>
        <v/>
      </c>
      <c r="AW874" s="31">
        <f>IF($AU874="","",IF(MATCH($AU874,$AU$8:$AU$2007,0)=ROW()-7,MAX($AW$7:$AW873)+1,""))</f>
        <v/>
      </c>
      <c r="AX874" s="31">
        <f>IF(OR($AS874="",$D$6=""),"",TRIM(INDEX($A:$AP,ROW(),$D$6)&amp;""))</f>
        <v/>
      </c>
      <c r="AY874" s="31">
        <f>IF($AU874="","",INDEX($AW$8:$AW$2007,MATCH($AU874,$AU$8:$AU$2007,0)))</f>
        <v/>
      </c>
      <c r="AZ874" s="31">
        <f>IF(OR($AS874="",$C$6=""),"",TRIM(INDEX($A:$AP,ROW(),$C$6)&amp;""))</f>
        <v/>
      </c>
      <c r="BA874" s="31">
        <f>IF($AZ874="","",IF(COUNTIF($AZ$8:$AZ874,$AZ874)&gt;1,1,0))</f>
        <v/>
      </c>
    </row>
    <row r="875">
      <c r="AR875" s="31">
        <f>IF(OR($A$5="",$B$6="",ROW()&lt;$A$5),"",IF(INDEX($A:$AP,ROW(),$B$6)="","",INDEX($A:$AP,ROW(),$B$6)))</f>
        <v/>
      </c>
      <c r="AS875" s="32">
        <f>IF($AR875="","",IF(ISNUMBER($AR875),IF($AR875&gt;=10000000,IFERROR(DATE(INT($AR875/10000),MOD(INT($AR875/100),100),MOD($AR875,100)),""),INT($AR875)),IFERROR(DATE(--LEFT(LEFT(SUBSTITUTE(SUBSTITUTE(SUBSTITUTE(SUBSTITUTE(TRIM($AR875),"-",""),".",""),"/","")," ",""),8),4),--MID(LEFT(SUBSTITUTE(SUBSTITUTE(SUBSTITUTE(SUBSTITUTE(TRIM($AR875),"-",""),".",""),"/","")," ",""),8),5,2),--MID(LEFT(SUBSTITUTE(SUBSTITUTE(SUBSTITUTE(SUBSTITUTE(TRIM($AR875),"-",""),".",""),"/","")," ",""),8),7,2)),"")))</f>
        <v/>
      </c>
      <c r="AT875" s="33">
        <f>IF($AS875="","",IF($F$6="",0,IF(ISNUMBER(INDEX($A:$AP,ROW(),$F$6)),INDEX($A:$AP,ROW(),$F$6),IFERROR(--SUBSTITUTE(SUBSTITUTE(TRIM(INDEX($A:$AP,ROW(),$F$6)),",",""),"원",""),0))))</f>
        <v/>
      </c>
      <c r="AU875" s="31">
        <f>IF($AS875="","",IF($AX875&lt;&gt;"",SUBSTITUTE(SUBSTITUTE($AX875,"-","")," ",""),"N:"&amp;$AV875))</f>
        <v/>
      </c>
      <c r="AV875" s="31">
        <f>IF(OR($AS875="",$E$6=""),"",TRIM(INDEX($A:$AP,ROW(),$E$6)&amp;""))</f>
        <v/>
      </c>
      <c r="AW875" s="31">
        <f>IF($AU875="","",IF(MATCH($AU875,$AU$8:$AU$2007,0)=ROW()-7,MAX($AW$7:$AW874)+1,""))</f>
        <v/>
      </c>
      <c r="AX875" s="31">
        <f>IF(OR($AS875="",$D$6=""),"",TRIM(INDEX($A:$AP,ROW(),$D$6)&amp;""))</f>
        <v/>
      </c>
      <c r="AY875" s="31">
        <f>IF($AU875="","",INDEX($AW$8:$AW$2007,MATCH($AU875,$AU$8:$AU$2007,0)))</f>
        <v/>
      </c>
      <c r="AZ875" s="31">
        <f>IF(OR($AS875="",$C$6=""),"",TRIM(INDEX($A:$AP,ROW(),$C$6)&amp;""))</f>
        <v/>
      </c>
      <c r="BA875" s="31">
        <f>IF($AZ875="","",IF(COUNTIF($AZ$8:$AZ875,$AZ875)&gt;1,1,0))</f>
        <v/>
      </c>
    </row>
    <row r="876">
      <c r="AR876" s="31">
        <f>IF(OR($A$5="",$B$6="",ROW()&lt;$A$5),"",IF(INDEX($A:$AP,ROW(),$B$6)="","",INDEX($A:$AP,ROW(),$B$6)))</f>
        <v/>
      </c>
      <c r="AS876" s="32">
        <f>IF($AR876="","",IF(ISNUMBER($AR876),IF($AR876&gt;=10000000,IFERROR(DATE(INT($AR876/10000),MOD(INT($AR876/100),100),MOD($AR876,100)),""),INT($AR876)),IFERROR(DATE(--LEFT(LEFT(SUBSTITUTE(SUBSTITUTE(SUBSTITUTE(SUBSTITUTE(TRIM($AR876),"-",""),".",""),"/","")," ",""),8),4),--MID(LEFT(SUBSTITUTE(SUBSTITUTE(SUBSTITUTE(SUBSTITUTE(TRIM($AR876),"-",""),".",""),"/","")," ",""),8),5,2),--MID(LEFT(SUBSTITUTE(SUBSTITUTE(SUBSTITUTE(SUBSTITUTE(TRIM($AR876),"-",""),".",""),"/","")," ",""),8),7,2)),"")))</f>
        <v/>
      </c>
      <c r="AT876" s="33">
        <f>IF($AS876="","",IF($F$6="",0,IF(ISNUMBER(INDEX($A:$AP,ROW(),$F$6)),INDEX($A:$AP,ROW(),$F$6),IFERROR(--SUBSTITUTE(SUBSTITUTE(TRIM(INDEX($A:$AP,ROW(),$F$6)),",",""),"원",""),0))))</f>
        <v/>
      </c>
      <c r="AU876" s="31">
        <f>IF($AS876="","",IF($AX876&lt;&gt;"",SUBSTITUTE(SUBSTITUTE($AX876,"-","")," ",""),"N:"&amp;$AV876))</f>
        <v/>
      </c>
      <c r="AV876" s="31">
        <f>IF(OR($AS876="",$E$6=""),"",TRIM(INDEX($A:$AP,ROW(),$E$6)&amp;""))</f>
        <v/>
      </c>
      <c r="AW876" s="31">
        <f>IF($AU876="","",IF(MATCH($AU876,$AU$8:$AU$2007,0)=ROW()-7,MAX($AW$7:$AW875)+1,""))</f>
        <v/>
      </c>
      <c r="AX876" s="31">
        <f>IF(OR($AS876="",$D$6=""),"",TRIM(INDEX($A:$AP,ROW(),$D$6)&amp;""))</f>
        <v/>
      </c>
      <c r="AY876" s="31">
        <f>IF($AU876="","",INDEX($AW$8:$AW$2007,MATCH($AU876,$AU$8:$AU$2007,0)))</f>
        <v/>
      </c>
      <c r="AZ876" s="31">
        <f>IF(OR($AS876="",$C$6=""),"",TRIM(INDEX($A:$AP,ROW(),$C$6)&amp;""))</f>
        <v/>
      </c>
      <c r="BA876" s="31">
        <f>IF($AZ876="","",IF(COUNTIF($AZ$8:$AZ876,$AZ876)&gt;1,1,0))</f>
        <v/>
      </c>
    </row>
    <row r="877">
      <c r="AR877" s="31">
        <f>IF(OR($A$5="",$B$6="",ROW()&lt;$A$5),"",IF(INDEX($A:$AP,ROW(),$B$6)="","",INDEX($A:$AP,ROW(),$B$6)))</f>
        <v/>
      </c>
      <c r="AS877" s="32">
        <f>IF($AR877="","",IF(ISNUMBER($AR877),IF($AR877&gt;=10000000,IFERROR(DATE(INT($AR877/10000),MOD(INT($AR877/100),100),MOD($AR877,100)),""),INT($AR877)),IFERROR(DATE(--LEFT(LEFT(SUBSTITUTE(SUBSTITUTE(SUBSTITUTE(SUBSTITUTE(TRIM($AR877),"-",""),".",""),"/","")," ",""),8),4),--MID(LEFT(SUBSTITUTE(SUBSTITUTE(SUBSTITUTE(SUBSTITUTE(TRIM($AR877),"-",""),".",""),"/","")," ",""),8),5,2),--MID(LEFT(SUBSTITUTE(SUBSTITUTE(SUBSTITUTE(SUBSTITUTE(TRIM($AR877),"-",""),".",""),"/","")," ",""),8),7,2)),"")))</f>
        <v/>
      </c>
      <c r="AT877" s="33">
        <f>IF($AS877="","",IF($F$6="",0,IF(ISNUMBER(INDEX($A:$AP,ROW(),$F$6)),INDEX($A:$AP,ROW(),$F$6),IFERROR(--SUBSTITUTE(SUBSTITUTE(TRIM(INDEX($A:$AP,ROW(),$F$6)),",",""),"원",""),0))))</f>
        <v/>
      </c>
      <c r="AU877" s="31">
        <f>IF($AS877="","",IF($AX877&lt;&gt;"",SUBSTITUTE(SUBSTITUTE($AX877,"-","")," ",""),"N:"&amp;$AV877))</f>
        <v/>
      </c>
      <c r="AV877" s="31">
        <f>IF(OR($AS877="",$E$6=""),"",TRIM(INDEX($A:$AP,ROW(),$E$6)&amp;""))</f>
        <v/>
      </c>
      <c r="AW877" s="31">
        <f>IF($AU877="","",IF(MATCH($AU877,$AU$8:$AU$2007,0)=ROW()-7,MAX($AW$7:$AW876)+1,""))</f>
        <v/>
      </c>
      <c r="AX877" s="31">
        <f>IF(OR($AS877="",$D$6=""),"",TRIM(INDEX($A:$AP,ROW(),$D$6)&amp;""))</f>
        <v/>
      </c>
      <c r="AY877" s="31">
        <f>IF($AU877="","",INDEX($AW$8:$AW$2007,MATCH($AU877,$AU$8:$AU$2007,0)))</f>
        <v/>
      </c>
      <c r="AZ877" s="31">
        <f>IF(OR($AS877="",$C$6=""),"",TRIM(INDEX($A:$AP,ROW(),$C$6)&amp;""))</f>
        <v/>
      </c>
      <c r="BA877" s="31">
        <f>IF($AZ877="","",IF(COUNTIF($AZ$8:$AZ877,$AZ877)&gt;1,1,0))</f>
        <v/>
      </c>
    </row>
    <row r="878">
      <c r="AR878" s="31">
        <f>IF(OR($A$5="",$B$6="",ROW()&lt;$A$5),"",IF(INDEX($A:$AP,ROW(),$B$6)="","",INDEX($A:$AP,ROW(),$B$6)))</f>
        <v/>
      </c>
      <c r="AS878" s="32">
        <f>IF($AR878="","",IF(ISNUMBER($AR878),IF($AR878&gt;=10000000,IFERROR(DATE(INT($AR878/10000),MOD(INT($AR878/100),100),MOD($AR878,100)),""),INT($AR878)),IFERROR(DATE(--LEFT(LEFT(SUBSTITUTE(SUBSTITUTE(SUBSTITUTE(SUBSTITUTE(TRIM($AR878),"-",""),".",""),"/","")," ",""),8),4),--MID(LEFT(SUBSTITUTE(SUBSTITUTE(SUBSTITUTE(SUBSTITUTE(TRIM($AR878),"-",""),".",""),"/","")," ",""),8),5,2),--MID(LEFT(SUBSTITUTE(SUBSTITUTE(SUBSTITUTE(SUBSTITUTE(TRIM($AR878),"-",""),".",""),"/","")," ",""),8),7,2)),"")))</f>
        <v/>
      </c>
      <c r="AT878" s="33">
        <f>IF($AS878="","",IF($F$6="",0,IF(ISNUMBER(INDEX($A:$AP,ROW(),$F$6)),INDEX($A:$AP,ROW(),$F$6),IFERROR(--SUBSTITUTE(SUBSTITUTE(TRIM(INDEX($A:$AP,ROW(),$F$6)),",",""),"원",""),0))))</f>
        <v/>
      </c>
      <c r="AU878" s="31">
        <f>IF($AS878="","",IF($AX878&lt;&gt;"",SUBSTITUTE(SUBSTITUTE($AX878,"-","")," ",""),"N:"&amp;$AV878))</f>
        <v/>
      </c>
      <c r="AV878" s="31">
        <f>IF(OR($AS878="",$E$6=""),"",TRIM(INDEX($A:$AP,ROW(),$E$6)&amp;""))</f>
        <v/>
      </c>
      <c r="AW878" s="31">
        <f>IF($AU878="","",IF(MATCH($AU878,$AU$8:$AU$2007,0)=ROW()-7,MAX($AW$7:$AW877)+1,""))</f>
        <v/>
      </c>
      <c r="AX878" s="31">
        <f>IF(OR($AS878="",$D$6=""),"",TRIM(INDEX($A:$AP,ROW(),$D$6)&amp;""))</f>
        <v/>
      </c>
      <c r="AY878" s="31">
        <f>IF($AU878="","",INDEX($AW$8:$AW$2007,MATCH($AU878,$AU$8:$AU$2007,0)))</f>
        <v/>
      </c>
      <c r="AZ878" s="31">
        <f>IF(OR($AS878="",$C$6=""),"",TRIM(INDEX($A:$AP,ROW(),$C$6)&amp;""))</f>
        <v/>
      </c>
      <c r="BA878" s="31">
        <f>IF($AZ878="","",IF(COUNTIF($AZ$8:$AZ878,$AZ878)&gt;1,1,0))</f>
        <v/>
      </c>
    </row>
    <row r="879">
      <c r="AR879" s="31">
        <f>IF(OR($A$5="",$B$6="",ROW()&lt;$A$5),"",IF(INDEX($A:$AP,ROW(),$B$6)="","",INDEX($A:$AP,ROW(),$B$6)))</f>
        <v/>
      </c>
      <c r="AS879" s="32">
        <f>IF($AR879="","",IF(ISNUMBER($AR879),IF($AR879&gt;=10000000,IFERROR(DATE(INT($AR879/10000),MOD(INT($AR879/100),100),MOD($AR879,100)),""),INT($AR879)),IFERROR(DATE(--LEFT(LEFT(SUBSTITUTE(SUBSTITUTE(SUBSTITUTE(SUBSTITUTE(TRIM($AR879),"-",""),".",""),"/","")," ",""),8),4),--MID(LEFT(SUBSTITUTE(SUBSTITUTE(SUBSTITUTE(SUBSTITUTE(TRIM($AR879),"-",""),".",""),"/","")," ",""),8),5,2),--MID(LEFT(SUBSTITUTE(SUBSTITUTE(SUBSTITUTE(SUBSTITUTE(TRIM($AR879),"-",""),".",""),"/","")," ",""),8),7,2)),"")))</f>
        <v/>
      </c>
      <c r="AT879" s="33">
        <f>IF($AS879="","",IF($F$6="",0,IF(ISNUMBER(INDEX($A:$AP,ROW(),$F$6)),INDEX($A:$AP,ROW(),$F$6),IFERROR(--SUBSTITUTE(SUBSTITUTE(TRIM(INDEX($A:$AP,ROW(),$F$6)),",",""),"원",""),0))))</f>
        <v/>
      </c>
      <c r="AU879" s="31">
        <f>IF($AS879="","",IF($AX879&lt;&gt;"",SUBSTITUTE(SUBSTITUTE($AX879,"-","")," ",""),"N:"&amp;$AV879))</f>
        <v/>
      </c>
      <c r="AV879" s="31">
        <f>IF(OR($AS879="",$E$6=""),"",TRIM(INDEX($A:$AP,ROW(),$E$6)&amp;""))</f>
        <v/>
      </c>
      <c r="AW879" s="31">
        <f>IF($AU879="","",IF(MATCH($AU879,$AU$8:$AU$2007,0)=ROW()-7,MAX($AW$7:$AW878)+1,""))</f>
        <v/>
      </c>
      <c r="AX879" s="31">
        <f>IF(OR($AS879="",$D$6=""),"",TRIM(INDEX($A:$AP,ROW(),$D$6)&amp;""))</f>
        <v/>
      </c>
      <c r="AY879" s="31">
        <f>IF($AU879="","",INDEX($AW$8:$AW$2007,MATCH($AU879,$AU$8:$AU$2007,0)))</f>
        <v/>
      </c>
      <c r="AZ879" s="31">
        <f>IF(OR($AS879="",$C$6=""),"",TRIM(INDEX($A:$AP,ROW(),$C$6)&amp;""))</f>
        <v/>
      </c>
      <c r="BA879" s="31">
        <f>IF($AZ879="","",IF(COUNTIF($AZ$8:$AZ879,$AZ879)&gt;1,1,0))</f>
        <v/>
      </c>
    </row>
    <row r="880">
      <c r="AR880" s="31">
        <f>IF(OR($A$5="",$B$6="",ROW()&lt;$A$5),"",IF(INDEX($A:$AP,ROW(),$B$6)="","",INDEX($A:$AP,ROW(),$B$6)))</f>
        <v/>
      </c>
      <c r="AS880" s="32">
        <f>IF($AR880="","",IF(ISNUMBER($AR880),IF($AR880&gt;=10000000,IFERROR(DATE(INT($AR880/10000),MOD(INT($AR880/100),100),MOD($AR880,100)),""),INT($AR880)),IFERROR(DATE(--LEFT(LEFT(SUBSTITUTE(SUBSTITUTE(SUBSTITUTE(SUBSTITUTE(TRIM($AR880),"-",""),".",""),"/","")," ",""),8),4),--MID(LEFT(SUBSTITUTE(SUBSTITUTE(SUBSTITUTE(SUBSTITUTE(TRIM($AR880),"-",""),".",""),"/","")," ",""),8),5,2),--MID(LEFT(SUBSTITUTE(SUBSTITUTE(SUBSTITUTE(SUBSTITUTE(TRIM($AR880),"-",""),".",""),"/","")," ",""),8),7,2)),"")))</f>
        <v/>
      </c>
      <c r="AT880" s="33">
        <f>IF($AS880="","",IF($F$6="",0,IF(ISNUMBER(INDEX($A:$AP,ROW(),$F$6)),INDEX($A:$AP,ROW(),$F$6),IFERROR(--SUBSTITUTE(SUBSTITUTE(TRIM(INDEX($A:$AP,ROW(),$F$6)),",",""),"원",""),0))))</f>
        <v/>
      </c>
      <c r="AU880" s="31">
        <f>IF($AS880="","",IF($AX880&lt;&gt;"",SUBSTITUTE(SUBSTITUTE($AX880,"-","")," ",""),"N:"&amp;$AV880))</f>
        <v/>
      </c>
      <c r="AV880" s="31">
        <f>IF(OR($AS880="",$E$6=""),"",TRIM(INDEX($A:$AP,ROW(),$E$6)&amp;""))</f>
        <v/>
      </c>
      <c r="AW880" s="31">
        <f>IF($AU880="","",IF(MATCH($AU880,$AU$8:$AU$2007,0)=ROW()-7,MAX($AW$7:$AW879)+1,""))</f>
        <v/>
      </c>
      <c r="AX880" s="31">
        <f>IF(OR($AS880="",$D$6=""),"",TRIM(INDEX($A:$AP,ROW(),$D$6)&amp;""))</f>
        <v/>
      </c>
      <c r="AY880" s="31">
        <f>IF($AU880="","",INDEX($AW$8:$AW$2007,MATCH($AU880,$AU$8:$AU$2007,0)))</f>
        <v/>
      </c>
      <c r="AZ880" s="31">
        <f>IF(OR($AS880="",$C$6=""),"",TRIM(INDEX($A:$AP,ROW(),$C$6)&amp;""))</f>
        <v/>
      </c>
      <c r="BA880" s="31">
        <f>IF($AZ880="","",IF(COUNTIF($AZ$8:$AZ880,$AZ880)&gt;1,1,0))</f>
        <v/>
      </c>
    </row>
    <row r="881">
      <c r="AR881" s="31">
        <f>IF(OR($A$5="",$B$6="",ROW()&lt;$A$5),"",IF(INDEX($A:$AP,ROW(),$B$6)="","",INDEX($A:$AP,ROW(),$B$6)))</f>
        <v/>
      </c>
      <c r="AS881" s="32">
        <f>IF($AR881="","",IF(ISNUMBER($AR881),IF($AR881&gt;=10000000,IFERROR(DATE(INT($AR881/10000),MOD(INT($AR881/100),100),MOD($AR881,100)),""),INT($AR881)),IFERROR(DATE(--LEFT(LEFT(SUBSTITUTE(SUBSTITUTE(SUBSTITUTE(SUBSTITUTE(TRIM($AR881),"-",""),".",""),"/","")," ",""),8),4),--MID(LEFT(SUBSTITUTE(SUBSTITUTE(SUBSTITUTE(SUBSTITUTE(TRIM($AR881),"-",""),".",""),"/","")," ",""),8),5,2),--MID(LEFT(SUBSTITUTE(SUBSTITUTE(SUBSTITUTE(SUBSTITUTE(TRIM($AR881),"-",""),".",""),"/","")," ",""),8),7,2)),"")))</f>
        <v/>
      </c>
      <c r="AT881" s="33">
        <f>IF($AS881="","",IF($F$6="",0,IF(ISNUMBER(INDEX($A:$AP,ROW(),$F$6)),INDEX($A:$AP,ROW(),$F$6),IFERROR(--SUBSTITUTE(SUBSTITUTE(TRIM(INDEX($A:$AP,ROW(),$F$6)),",",""),"원",""),0))))</f>
        <v/>
      </c>
      <c r="AU881" s="31">
        <f>IF($AS881="","",IF($AX881&lt;&gt;"",SUBSTITUTE(SUBSTITUTE($AX881,"-","")," ",""),"N:"&amp;$AV881))</f>
        <v/>
      </c>
      <c r="AV881" s="31">
        <f>IF(OR($AS881="",$E$6=""),"",TRIM(INDEX($A:$AP,ROW(),$E$6)&amp;""))</f>
        <v/>
      </c>
      <c r="AW881" s="31">
        <f>IF($AU881="","",IF(MATCH($AU881,$AU$8:$AU$2007,0)=ROW()-7,MAX($AW$7:$AW880)+1,""))</f>
        <v/>
      </c>
      <c r="AX881" s="31">
        <f>IF(OR($AS881="",$D$6=""),"",TRIM(INDEX($A:$AP,ROW(),$D$6)&amp;""))</f>
        <v/>
      </c>
      <c r="AY881" s="31">
        <f>IF($AU881="","",INDEX($AW$8:$AW$2007,MATCH($AU881,$AU$8:$AU$2007,0)))</f>
        <v/>
      </c>
      <c r="AZ881" s="31">
        <f>IF(OR($AS881="",$C$6=""),"",TRIM(INDEX($A:$AP,ROW(),$C$6)&amp;""))</f>
        <v/>
      </c>
      <c r="BA881" s="31">
        <f>IF($AZ881="","",IF(COUNTIF($AZ$8:$AZ881,$AZ881)&gt;1,1,0))</f>
        <v/>
      </c>
    </row>
    <row r="882">
      <c r="AR882" s="31">
        <f>IF(OR($A$5="",$B$6="",ROW()&lt;$A$5),"",IF(INDEX($A:$AP,ROW(),$B$6)="","",INDEX($A:$AP,ROW(),$B$6)))</f>
        <v/>
      </c>
      <c r="AS882" s="32">
        <f>IF($AR882="","",IF(ISNUMBER($AR882),IF($AR882&gt;=10000000,IFERROR(DATE(INT($AR882/10000),MOD(INT($AR882/100),100),MOD($AR882,100)),""),INT($AR882)),IFERROR(DATE(--LEFT(LEFT(SUBSTITUTE(SUBSTITUTE(SUBSTITUTE(SUBSTITUTE(TRIM($AR882),"-",""),".",""),"/","")," ",""),8),4),--MID(LEFT(SUBSTITUTE(SUBSTITUTE(SUBSTITUTE(SUBSTITUTE(TRIM($AR882),"-",""),".",""),"/","")," ",""),8),5,2),--MID(LEFT(SUBSTITUTE(SUBSTITUTE(SUBSTITUTE(SUBSTITUTE(TRIM($AR882),"-",""),".",""),"/","")," ",""),8),7,2)),"")))</f>
        <v/>
      </c>
      <c r="AT882" s="33">
        <f>IF($AS882="","",IF($F$6="",0,IF(ISNUMBER(INDEX($A:$AP,ROW(),$F$6)),INDEX($A:$AP,ROW(),$F$6),IFERROR(--SUBSTITUTE(SUBSTITUTE(TRIM(INDEX($A:$AP,ROW(),$F$6)),",",""),"원",""),0))))</f>
        <v/>
      </c>
      <c r="AU882" s="31">
        <f>IF($AS882="","",IF($AX882&lt;&gt;"",SUBSTITUTE(SUBSTITUTE($AX882,"-","")," ",""),"N:"&amp;$AV882))</f>
        <v/>
      </c>
      <c r="AV882" s="31">
        <f>IF(OR($AS882="",$E$6=""),"",TRIM(INDEX($A:$AP,ROW(),$E$6)&amp;""))</f>
        <v/>
      </c>
      <c r="AW882" s="31">
        <f>IF($AU882="","",IF(MATCH($AU882,$AU$8:$AU$2007,0)=ROW()-7,MAX($AW$7:$AW881)+1,""))</f>
        <v/>
      </c>
      <c r="AX882" s="31">
        <f>IF(OR($AS882="",$D$6=""),"",TRIM(INDEX($A:$AP,ROW(),$D$6)&amp;""))</f>
        <v/>
      </c>
      <c r="AY882" s="31">
        <f>IF($AU882="","",INDEX($AW$8:$AW$2007,MATCH($AU882,$AU$8:$AU$2007,0)))</f>
        <v/>
      </c>
      <c r="AZ882" s="31">
        <f>IF(OR($AS882="",$C$6=""),"",TRIM(INDEX($A:$AP,ROW(),$C$6)&amp;""))</f>
        <v/>
      </c>
      <c r="BA882" s="31">
        <f>IF($AZ882="","",IF(COUNTIF($AZ$8:$AZ882,$AZ882)&gt;1,1,0))</f>
        <v/>
      </c>
    </row>
    <row r="883">
      <c r="AR883" s="31">
        <f>IF(OR($A$5="",$B$6="",ROW()&lt;$A$5),"",IF(INDEX($A:$AP,ROW(),$B$6)="","",INDEX($A:$AP,ROW(),$B$6)))</f>
        <v/>
      </c>
      <c r="AS883" s="32">
        <f>IF($AR883="","",IF(ISNUMBER($AR883),IF($AR883&gt;=10000000,IFERROR(DATE(INT($AR883/10000),MOD(INT($AR883/100),100),MOD($AR883,100)),""),INT($AR883)),IFERROR(DATE(--LEFT(LEFT(SUBSTITUTE(SUBSTITUTE(SUBSTITUTE(SUBSTITUTE(TRIM($AR883),"-",""),".",""),"/","")," ",""),8),4),--MID(LEFT(SUBSTITUTE(SUBSTITUTE(SUBSTITUTE(SUBSTITUTE(TRIM($AR883),"-",""),".",""),"/","")," ",""),8),5,2),--MID(LEFT(SUBSTITUTE(SUBSTITUTE(SUBSTITUTE(SUBSTITUTE(TRIM($AR883),"-",""),".",""),"/","")," ",""),8),7,2)),"")))</f>
        <v/>
      </c>
      <c r="AT883" s="33">
        <f>IF($AS883="","",IF($F$6="",0,IF(ISNUMBER(INDEX($A:$AP,ROW(),$F$6)),INDEX($A:$AP,ROW(),$F$6),IFERROR(--SUBSTITUTE(SUBSTITUTE(TRIM(INDEX($A:$AP,ROW(),$F$6)),",",""),"원",""),0))))</f>
        <v/>
      </c>
      <c r="AU883" s="31">
        <f>IF($AS883="","",IF($AX883&lt;&gt;"",SUBSTITUTE(SUBSTITUTE($AX883,"-","")," ",""),"N:"&amp;$AV883))</f>
        <v/>
      </c>
      <c r="AV883" s="31">
        <f>IF(OR($AS883="",$E$6=""),"",TRIM(INDEX($A:$AP,ROW(),$E$6)&amp;""))</f>
        <v/>
      </c>
      <c r="AW883" s="31">
        <f>IF($AU883="","",IF(MATCH($AU883,$AU$8:$AU$2007,0)=ROW()-7,MAX($AW$7:$AW882)+1,""))</f>
        <v/>
      </c>
      <c r="AX883" s="31">
        <f>IF(OR($AS883="",$D$6=""),"",TRIM(INDEX($A:$AP,ROW(),$D$6)&amp;""))</f>
        <v/>
      </c>
      <c r="AY883" s="31">
        <f>IF($AU883="","",INDEX($AW$8:$AW$2007,MATCH($AU883,$AU$8:$AU$2007,0)))</f>
        <v/>
      </c>
      <c r="AZ883" s="31">
        <f>IF(OR($AS883="",$C$6=""),"",TRIM(INDEX($A:$AP,ROW(),$C$6)&amp;""))</f>
        <v/>
      </c>
      <c r="BA883" s="31">
        <f>IF($AZ883="","",IF(COUNTIF($AZ$8:$AZ883,$AZ883)&gt;1,1,0))</f>
        <v/>
      </c>
    </row>
    <row r="884">
      <c r="AR884" s="31">
        <f>IF(OR($A$5="",$B$6="",ROW()&lt;$A$5),"",IF(INDEX($A:$AP,ROW(),$B$6)="","",INDEX($A:$AP,ROW(),$B$6)))</f>
        <v/>
      </c>
      <c r="AS884" s="32">
        <f>IF($AR884="","",IF(ISNUMBER($AR884),IF($AR884&gt;=10000000,IFERROR(DATE(INT($AR884/10000),MOD(INT($AR884/100),100),MOD($AR884,100)),""),INT($AR884)),IFERROR(DATE(--LEFT(LEFT(SUBSTITUTE(SUBSTITUTE(SUBSTITUTE(SUBSTITUTE(TRIM($AR884),"-",""),".",""),"/","")," ",""),8),4),--MID(LEFT(SUBSTITUTE(SUBSTITUTE(SUBSTITUTE(SUBSTITUTE(TRIM($AR884),"-",""),".",""),"/","")," ",""),8),5,2),--MID(LEFT(SUBSTITUTE(SUBSTITUTE(SUBSTITUTE(SUBSTITUTE(TRIM($AR884),"-",""),".",""),"/","")," ",""),8),7,2)),"")))</f>
        <v/>
      </c>
      <c r="AT884" s="33">
        <f>IF($AS884="","",IF($F$6="",0,IF(ISNUMBER(INDEX($A:$AP,ROW(),$F$6)),INDEX($A:$AP,ROW(),$F$6),IFERROR(--SUBSTITUTE(SUBSTITUTE(TRIM(INDEX($A:$AP,ROW(),$F$6)),",",""),"원",""),0))))</f>
        <v/>
      </c>
      <c r="AU884" s="31">
        <f>IF($AS884="","",IF($AX884&lt;&gt;"",SUBSTITUTE(SUBSTITUTE($AX884,"-","")," ",""),"N:"&amp;$AV884))</f>
        <v/>
      </c>
      <c r="AV884" s="31">
        <f>IF(OR($AS884="",$E$6=""),"",TRIM(INDEX($A:$AP,ROW(),$E$6)&amp;""))</f>
        <v/>
      </c>
      <c r="AW884" s="31">
        <f>IF($AU884="","",IF(MATCH($AU884,$AU$8:$AU$2007,0)=ROW()-7,MAX($AW$7:$AW883)+1,""))</f>
        <v/>
      </c>
      <c r="AX884" s="31">
        <f>IF(OR($AS884="",$D$6=""),"",TRIM(INDEX($A:$AP,ROW(),$D$6)&amp;""))</f>
        <v/>
      </c>
      <c r="AY884" s="31">
        <f>IF($AU884="","",INDEX($AW$8:$AW$2007,MATCH($AU884,$AU$8:$AU$2007,0)))</f>
        <v/>
      </c>
      <c r="AZ884" s="31">
        <f>IF(OR($AS884="",$C$6=""),"",TRIM(INDEX($A:$AP,ROW(),$C$6)&amp;""))</f>
        <v/>
      </c>
      <c r="BA884" s="31">
        <f>IF($AZ884="","",IF(COUNTIF($AZ$8:$AZ884,$AZ884)&gt;1,1,0))</f>
        <v/>
      </c>
    </row>
    <row r="885">
      <c r="AR885" s="31">
        <f>IF(OR($A$5="",$B$6="",ROW()&lt;$A$5),"",IF(INDEX($A:$AP,ROW(),$B$6)="","",INDEX($A:$AP,ROW(),$B$6)))</f>
        <v/>
      </c>
      <c r="AS885" s="32">
        <f>IF($AR885="","",IF(ISNUMBER($AR885),IF($AR885&gt;=10000000,IFERROR(DATE(INT($AR885/10000),MOD(INT($AR885/100),100),MOD($AR885,100)),""),INT($AR885)),IFERROR(DATE(--LEFT(LEFT(SUBSTITUTE(SUBSTITUTE(SUBSTITUTE(SUBSTITUTE(TRIM($AR885),"-",""),".",""),"/","")," ",""),8),4),--MID(LEFT(SUBSTITUTE(SUBSTITUTE(SUBSTITUTE(SUBSTITUTE(TRIM($AR885),"-",""),".",""),"/","")," ",""),8),5,2),--MID(LEFT(SUBSTITUTE(SUBSTITUTE(SUBSTITUTE(SUBSTITUTE(TRIM($AR885),"-",""),".",""),"/","")," ",""),8),7,2)),"")))</f>
        <v/>
      </c>
      <c r="AT885" s="33">
        <f>IF($AS885="","",IF($F$6="",0,IF(ISNUMBER(INDEX($A:$AP,ROW(),$F$6)),INDEX($A:$AP,ROW(),$F$6),IFERROR(--SUBSTITUTE(SUBSTITUTE(TRIM(INDEX($A:$AP,ROW(),$F$6)),",",""),"원",""),0))))</f>
        <v/>
      </c>
      <c r="AU885" s="31">
        <f>IF($AS885="","",IF($AX885&lt;&gt;"",SUBSTITUTE(SUBSTITUTE($AX885,"-","")," ",""),"N:"&amp;$AV885))</f>
        <v/>
      </c>
      <c r="AV885" s="31">
        <f>IF(OR($AS885="",$E$6=""),"",TRIM(INDEX($A:$AP,ROW(),$E$6)&amp;""))</f>
        <v/>
      </c>
      <c r="AW885" s="31">
        <f>IF($AU885="","",IF(MATCH($AU885,$AU$8:$AU$2007,0)=ROW()-7,MAX($AW$7:$AW884)+1,""))</f>
        <v/>
      </c>
      <c r="AX885" s="31">
        <f>IF(OR($AS885="",$D$6=""),"",TRIM(INDEX($A:$AP,ROW(),$D$6)&amp;""))</f>
        <v/>
      </c>
      <c r="AY885" s="31">
        <f>IF($AU885="","",INDEX($AW$8:$AW$2007,MATCH($AU885,$AU$8:$AU$2007,0)))</f>
        <v/>
      </c>
      <c r="AZ885" s="31">
        <f>IF(OR($AS885="",$C$6=""),"",TRIM(INDEX($A:$AP,ROW(),$C$6)&amp;""))</f>
        <v/>
      </c>
      <c r="BA885" s="31">
        <f>IF($AZ885="","",IF(COUNTIF($AZ$8:$AZ885,$AZ885)&gt;1,1,0))</f>
        <v/>
      </c>
    </row>
    <row r="886">
      <c r="AR886" s="31">
        <f>IF(OR($A$5="",$B$6="",ROW()&lt;$A$5),"",IF(INDEX($A:$AP,ROW(),$B$6)="","",INDEX($A:$AP,ROW(),$B$6)))</f>
        <v/>
      </c>
      <c r="AS886" s="32">
        <f>IF($AR886="","",IF(ISNUMBER($AR886),IF($AR886&gt;=10000000,IFERROR(DATE(INT($AR886/10000),MOD(INT($AR886/100),100),MOD($AR886,100)),""),INT($AR886)),IFERROR(DATE(--LEFT(LEFT(SUBSTITUTE(SUBSTITUTE(SUBSTITUTE(SUBSTITUTE(TRIM($AR886),"-",""),".",""),"/","")," ",""),8),4),--MID(LEFT(SUBSTITUTE(SUBSTITUTE(SUBSTITUTE(SUBSTITUTE(TRIM($AR886),"-",""),".",""),"/","")," ",""),8),5,2),--MID(LEFT(SUBSTITUTE(SUBSTITUTE(SUBSTITUTE(SUBSTITUTE(TRIM($AR886),"-",""),".",""),"/","")," ",""),8),7,2)),"")))</f>
        <v/>
      </c>
      <c r="AT886" s="33">
        <f>IF($AS886="","",IF($F$6="",0,IF(ISNUMBER(INDEX($A:$AP,ROW(),$F$6)),INDEX($A:$AP,ROW(),$F$6),IFERROR(--SUBSTITUTE(SUBSTITUTE(TRIM(INDEX($A:$AP,ROW(),$F$6)),",",""),"원",""),0))))</f>
        <v/>
      </c>
      <c r="AU886" s="31">
        <f>IF($AS886="","",IF($AX886&lt;&gt;"",SUBSTITUTE(SUBSTITUTE($AX886,"-","")," ",""),"N:"&amp;$AV886))</f>
        <v/>
      </c>
      <c r="AV886" s="31">
        <f>IF(OR($AS886="",$E$6=""),"",TRIM(INDEX($A:$AP,ROW(),$E$6)&amp;""))</f>
        <v/>
      </c>
      <c r="AW886" s="31">
        <f>IF($AU886="","",IF(MATCH($AU886,$AU$8:$AU$2007,0)=ROW()-7,MAX($AW$7:$AW885)+1,""))</f>
        <v/>
      </c>
      <c r="AX886" s="31">
        <f>IF(OR($AS886="",$D$6=""),"",TRIM(INDEX($A:$AP,ROW(),$D$6)&amp;""))</f>
        <v/>
      </c>
      <c r="AY886" s="31">
        <f>IF($AU886="","",INDEX($AW$8:$AW$2007,MATCH($AU886,$AU$8:$AU$2007,0)))</f>
        <v/>
      </c>
      <c r="AZ886" s="31">
        <f>IF(OR($AS886="",$C$6=""),"",TRIM(INDEX($A:$AP,ROW(),$C$6)&amp;""))</f>
        <v/>
      </c>
      <c r="BA886" s="31">
        <f>IF($AZ886="","",IF(COUNTIF($AZ$8:$AZ886,$AZ886)&gt;1,1,0))</f>
        <v/>
      </c>
    </row>
    <row r="887">
      <c r="AR887" s="31">
        <f>IF(OR($A$5="",$B$6="",ROW()&lt;$A$5),"",IF(INDEX($A:$AP,ROW(),$B$6)="","",INDEX($A:$AP,ROW(),$B$6)))</f>
        <v/>
      </c>
      <c r="AS887" s="32">
        <f>IF($AR887="","",IF(ISNUMBER($AR887),IF($AR887&gt;=10000000,IFERROR(DATE(INT($AR887/10000),MOD(INT($AR887/100),100),MOD($AR887,100)),""),INT($AR887)),IFERROR(DATE(--LEFT(LEFT(SUBSTITUTE(SUBSTITUTE(SUBSTITUTE(SUBSTITUTE(TRIM($AR887),"-",""),".",""),"/","")," ",""),8),4),--MID(LEFT(SUBSTITUTE(SUBSTITUTE(SUBSTITUTE(SUBSTITUTE(TRIM($AR887),"-",""),".",""),"/","")," ",""),8),5,2),--MID(LEFT(SUBSTITUTE(SUBSTITUTE(SUBSTITUTE(SUBSTITUTE(TRIM($AR887),"-",""),".",""),"/","")," ",""),8),7,2)),"")))</f>
        <v/>
      </c>
      <c r="AT887" s="33">
        <f>IF($AS887="","",IF($F$6="",0,IF(ISNUMBER(INDEX($A:$AP,ROW(),$F$6)),INDEX($A:$AP,ROW(),$F$6),IFERROR(--SUBSTITUTE(SUBSTITUTE(TRIM(INDEX($A:$AP,ROW(),$F$6)),",",""),"원",""),0))))</f>
        <v/>
      </c>
      <c r="AU887" s="31">
        <f>IF($AS887="","",IF($AX887&lt;&gt;"",SUBSTITUTE(SUBSTITUTE($AX887,"-","")," ",""),"N:"&amp;$AV887))</f>
        <v/>
      </c>
      <c r="AV887" s="31">
        <f>IF(OR($AS887="",$E$6=""),"",TRIM(INDEX($A:$AP,ROW(),$E$6)&amp;""))</f>
        <v/>
      </c>
      <c r="AW887" s="31">
        <f>IF($AU887="","",IF(MATCH($AU887,$AU$8:$AU$2007,0)=ROW()-7,MAX($AW$7:$AW886)+1,""))</f>
        <v/>
      </c>
      <c r="AX887" s="31">
        <f>IF(OR($AS887="",$D$6=""),"",TRIM(INDEX($A:$AP,ROW(),$D$6)&amp;""))</f>
        <v/>
      </c>
      <c r="AY887" s="31">
        <f>IF($AU887="","",INDEX($AW$8:$AW$2007,MATCH($AU887,$AU$8:$AU$2007,0)))</f>
        <v/>
      </c>
      <c r="AZ887" s="31">
        <f>IF(OR($AS887="",$C$6=""),"",TRIM(INDEX($A:$AP,ROW(),$C$6)&amp;""))</f>
        <v/>
      </c>
      <c r="BA887" s="31">
        <f>IF($AZ887="","",IF(COUNTIF($AZ$8:$AZ887,$AZ887)&gt;1,1,0))</f>
        <v/>
      </c>
    </row>
    <row r="888">
      <c r="AR888" s="31">
        <f>IF(OR($A$5="",$B$6="",ROW()&lt;$A$5),"",IF(INDEX($A:$AP,ROW(),$B$6)="","",INDEX($A:$AP,ROW(),$B$6)))</f>
        <v/>
      </c>
      <c r="AS888" s="32">
        <f>IF($AR888="","",IF(ISNUMBER($AR888),IF($AR888&gt;=10000000,IFERROR(DATE(INT($AR888/10000),MOD(INT($AR888/100),100),MOD($AR888,100)),""),INT($AR888)),IFERROR(DATE(--LEFT(LEFT(SUBSTITUTE(SUBSTITUTE(SUBSTITUTE(SUBSTITUTE(TRIM($AR888),"-",""),".",""),"/","")," ",""),8),4),--MID(LEFT(SUBSTITUTE(SUBSTITUTE(SUBSTITUTE(SUBSTITUTE(TRIM($AR888),"-",""),".",""),"/","")," ",""),8),5,2),--MID(LEFT(SUBSTITUTE(SUBSTITUTE(SUBSTITUTE(SUBSTITUTE(TRIM($AR888),"-",""),".",""),"/","")," ",""),8),7,2)),"")))</f>
        <v/>
      </c>
      <c r="AT888" s="33">
        <f>IF($AS888="","",IF($F$6="",0,IF(ISNUMBER(INDEX($A:$AP,ROW(),$F$6)),INDEX($A:$AP,ROW(),$F$6),IFERROR(--SUBSTITUTE(SUBSTITUTE(TRIM(INDEX($A:$AP,ROW(),$F$6)),",",""),"원",""),0))))</f>
        <v/>
      </c>
      <c r="AU888" s="31">
        <f>IF($AS888="","",IF($AX888&lt;&gt;"",SUBSTITUTE(SUBSTITUTE($AX888,"-","")," ",""),"N:"&amp;$AV888))</f>
        <v/>
      </c>
      <c r="AV888" s="31">
        <f>IF(OR($AS888="",$E$6=""),"",TRIM(INDEX($A:$AP,ROW(),$E$6)&amp;""))</f>
        <v/>
      </c>
      <c r="AW888" s="31">
        <f>IF($AU888="","",IF(MATCH($AU888,$AU$8:$AU$2007,0)=ROW()-7,MAX($AW$7:$AW887)+1,""))</f>
        <v/>
      </c>
      <c r="AX888" s="31">
        <f>IF(OR($AS888="",$D$6=""),"",TRIM(INDEX($A:$AP,ROW(),$D$6)&amp;""))</f>
        <v/>
      </c>
      <c r="AY888" s="31">
        <f>IF($AU888="","",INDEX($AW$8:$AW$2007,MATCH($AU888,$AU$8:$AU$2007,0)))</f>
        <v/>
      </c>
      <c r="AZ888" s="31">
        <f>IF(OR($AS888="",$C$6=""),"",TRIM(INDEX($A:$AP,ROW(),$C$6)&amp;""))</f>
        <v/>
      </c>
      <c r="BA888" s="31">
        <f>IF($AZ888="","",IF(COUNTIF($AZ$8:$AZ888,$AZ888)&gt;1,1,0))</f>
        <v/>
      </c>
    </row>
    <row r="889">
      <c r="AR889" s="31">
        <f>IF(OR($A$5="",$B$6="",ROW()&lt;$A$5),"",IF(INDEX($A:$AP,ROW(),$B$6)="","",INDEX($A:$AP,ROW(),$B$6)))</f>
        <v/>
      </c>
      <c r="AS889" s="32">
        <f>IF($AR889="","",IF(ISNUMBER($AR889),IF($AR889&gt;=10000000,IFERROR(DATE(INT($AR889/10000),MOD(INT($AR889/100),100),MOD($AR889,100)),""),INT($AR889)),IFERROR(DATE(--LEFT(LEFT(SUBSTITUTE(SUBSTITUTE(SUBSTITUTE(SUBSTITUTE(TRIM($AR889),"-",""),".",""),"/","")," ",""),8),4),--MID(LEFT(SUBSTITUTE(SUBSTITUTE(SUBSTITUTE(SUBSTITUTE(TRIM($AR889),"-",""),".",""),"/","")," ",""),8),5,2),--MID(LEFT(SUBSTITUTE(SUBSTITUTE(SUBSTITUTE(SUBSTITUTE(TRIM($AR889),"-",""),".",""),"/","")," ",""),8),7,2)),"")))</f>
        <v/>
      </c>
      <c r="AT889" s="33">
        <f>IF($AS889="","",IF($F$6="",0,IF(ISNUMBER(INDEX($A:$AP,ROW(),$F$6)),INDEX($A:$AP,ROW(),$F$6),IFERROR(--SUBSTITUTE(SUBSTITUTE(TRIM(INDEX($A:$AP,ROW(),$F$6)),",",""),"원",""),0))))</f>
        <v/>
      </c>
      <c r="AU889" s="31">
        <f>IF($AS889="","",IF($AX889&lt;&gt;"",SUBSTITUTE(SUBSTITUTE($AX889,"-","")," ",""),"N:"&amp;$AV889))</f>
        <v/>
      </c>
      <c r="AV889" s="31">
        <f>IF(OR($AS889="",$E$6=""),"",TRIM(INDEX($A:$AP,ROW(),$E$6)&amp;""))</f>
        <v/>
      </c>
      <c r="AW889" s="31">
        <f>IF($AU889="","",IF(MATCH($AU889,$AU$8:$AU$2007,0)=ROW()-7,MAX($AW$7:$AW888)+1,""))</f>
        <v/>
      </c>
      <c r="AX889" s="31">
        <f>IF(OR($AS889="",$D$6=""),"",TRIM(INDEX($A:$AP,ROW(),$D$6)&amp;""))</f>
        <v/>
      </c>
      <c r="AY889" s="31">
        <f>IF($AU889="","",INDEX($AW$8:$AW$2007,MATCH($AU889,$AU$8:$AU$2007,0)))</f>
        <v/>
      </c>
      <c r="AZ889" s="31">
        <f>IF(OR($AS889="",$C$6=""),"",TRIM(INDEX($A:$AP,ROW(),$C$6)&amp;""))</f>
        <v/>
      </c>
      <c r="BA889" s="31">
        <f>IF($AZ889="","",IF(COUNTIF($AZ$8:$AZ889,$AZ889)&gt;1,1,0))</f>
        <v/>
      </c>
    </row>
    <row r="890">
      <c r="AR890" s="31">
        <f>IF(OR($A$5="",$B$6="",ROW()&lt;$A$5),"",IF(INDEX($A:$AP,ROW(),$B$6)="","",INDEX($A:$AP,ROW(),$B$6)))</f>
        <v/>
      </c>
      <c r="AS890" s="32">
        <f>IF($AR890="","",IF(ISNUMBER($AR890),IF($AR890&gt;=10000000,IFERROR(DATE(INT($AR890/10000),MOD(INT($AR890/100),100),MOD($AR890,100)),""),INT($AR890)),IFERROR(DATE(--LEFT(LEFT(SUBSTITUTE(SUBSTITUTE(SUBSTITUTE(SUBSTITUTE(TRIM($AR890),"-",""),".",""),"/","")," ",""),8),4),--MID(LEFT(SUBSTITUTE(SUBSTITUTE(SUBSTITUTE(SUBSTITUTE(TRIM($AR890),"-",""),".",""),"/","")," ",""),8),5,2),--MID(LEFT(SUBSTITUTE(SUBSTITUTE(SUBSTITUTE(SUBSTITUTE(TRIM($AR890),"-",""),".",""),"/","")," ",""),8),7,2)),"")))</f>
        <v/>
      </c>
      <c r="AT890" s="33">
        <f>IF($AS890="","",IF($F$6="",0,IF(ISNUMBER(INDEX($A:$AP,ROW(),$F$6)),INDEX($A:$AP,ROW(),$F$6),IFERROR(--SUBSTITUTE(SUBSTITUTE(TRIM(INDEX($A:$AP,ROW(),$F$6)),",",""),"원",""),0))))</f>
        <v/>
      </c>
      <c r="AU890" s="31">
        <f>IF($AS890="","",IF($AX890&lt;&gt;"",SUBSTITUTE(SUBSTITUTE($AX890,"-","")," ",""),"N:"&amp;$AV890))</f>
        <v/>
      </c>
      <c r="AV890" s="31">
        <f>IF(OR($AS890="",$E$6=""),"",TRIM(INDEX($A:$AP,ROW(),$E$6)&amp;""))</f>
        <v/>
      </c>
      <c r="AW890" s="31">
        <f>IF($AU890="","",IF(MATCH($AU890,$AU$8:$AU$2007,0)=ROW()-7,MAX($AW$7:$AW889)+1,""))</f>
        <v/>
      </c>
      <c r="AX890" s="31">
        <f>IF(OR($AS890="",$D$6=""),"",TRIM(INDEX($A:$AP,ROW(),$D$6)&amp;""))</f>
        <v/>
      </c>
      <c r="AY890" s="31">
        <f>IF($AU890="","",INDEX($AW$8:$AW$2007,MATCH($AU890,$AU$8:$AU$2007,0)))</f>
        <v/>
      </c>
      <c r="AZ890" s="31">
        <f>IF(OR($AS890="",$C$6=""),"",TRIM(INDEX($A:$AP,ROW(),$C$6)&amp;""))</f>
        <v/>
      </c>
      <c r="BA890" s="31">
        <f>IF($AZ890="","",IF(COUNTIF($AZ$8:$AZ890,$AZ890)&gt;1,1,0))</f>
        <v/>
      </c>
    </row>
    <row r="891">
      <c r="AR891" s="31">
        <f>IF(OR($A$5="",$B$6="",ROW()&lt;$A$5),"",IF(INDEX($A:$AP,ROW(),$B$6)="","",INDEX($A:$AP,ROW(),$B$6)))</f>
        <v/>
      </c>
      <c r="AS891" s="32">
        <f>IF($AR891="","",IF(ISNUMBER($AR891),IF($AR891&gt;=10000000,IFERROR(DATE(INT($AR891/10000),MOD(INT($AR891/100),100),MOD($AR891,100)),""),INT($AR891)),IFERROR(DATE(--LEFT(LEFT(SUBSTITUTE(SUBSTITUTE(SUBSTITUTE(SUBSTITUTE(TRIM($AR891),"-",""),".",""),"/","")," ",""),8),4),--MID(LEFT(SUBSTITUTE(SUBSTITUTE(SUBSTITUTE(SUBSTITUTE(TRIM($AR891),"-",""),".",""),"/","")," ",""),8),5,2),--MID(LEFT(SUBSTITUTE(SUBSTITUTE(SUBSTITUTE(SUBSTITUTE(TRIM($AR891),"-",""),".",""),"/","")," ",""),8),7,2)),"")))</f>
        <v/>
      </c>
      <c r="AT891" s="33">
        <f>IF($AS891="","",IF($F$6="",0,IF(ISNUMBER(INDEX($A:$AP,ROW(),$F$6)),INDEX($A:$AP,ROW(),$F$6),IFERROR(--SUBSTITUTE(SUBSTITUTE(TRIM(INDEX($A:$AP,ROW(),$F$6)),",",""),"원",""),0))))</f>
        <v/>
      </c>
      <c r="AU891" s="31">
        <f>IF($AS891="","",IF($AX891&lt;&gt;"",SUBSTITUTE(SUBSTITUTE($AX891,"-","")," ",""),"N:"&amp;$AV891))</f>
        <v/>
      </c>
      <c r="AV891" s="31">
        <f>IF(OR($AS891="",$E$6=""),"",TRIM(INDEX($A:$AP,ROW(),$E$6)&amp;""))</f>
        <v/>
      </c>
      <c r="AW891" s="31">
        <f>IF($AU891="","",IF(MATCH($AU891,$AU$8:$AU$2007,0)=ROW()-7,MAX($AW$7:$AW890)+1,""))</f>
        <v/>
      </c>
      <c r="AX891" s="31">
        <f>IF(OR($AS891="",$D$6=""),"",TRIM(INDEX($A:$AP,ROW(),$D$6)&amp;""))</f>
        <v/>
      </c>
      <c r="AY891" s="31">
        <f>IF($AU891="","",INDEX($AW$8:$AW$2007,MATCH($AU891,$AU$8:$AU$2007,0)))</f>
        <v/>
      </c>
      <c r="AZ891" s="31">
        <f>IF(OR($AS891="",$C$6=""),"",TRIM(INDEX($A:$AP,ROW(),$C$6)&amp;""))</f>
        <v/>
      </c>
      <c r="BA891" s="31">
        <f>IF($AZ891="","",IF(COUNTIF($AZ$8:$AZ891,$AZ891)&gt;1,1,0))</f>
        <v/>
      </c>
    </row>
    <row r="892">
      <c r="AR892" s="31">
        <f>IF(OR($A$5="",$B$6="",ROW()&lt;$A$5),"",IF(INDEX($A:$AP,ROW(),$B$6)="","",INDEX($A:$AP,ROW(),$B$6)))</f>
        <v/>
      </c>
      <c r="AS892" s="32">
        <f>IF($AR892="","",IF(ISNUMBER($AR892),IF($AR892&gt;=10000000,IFERROR(DATE(INT($AR892/10000),MOD(INT($AR892/100),100),MOD($AR892,100)),""),INT($AR892)),IFERROR(DATE(--LEFT(LEFT(SUBSTITUTE(SUBSTITUTE(SUBSTITUTE(SUBSTITUTE(TRIM($AR892),"-",""),".",""),"/","")," ",""),8),4),--MID(LEFT(SUBSTITUTE(SUBSTITUTE(SUBSTITUTE(SUBSTITUTE(TRIM($AR892),"-",""),".",""),"/","")," ",""),8),5,2),--MID(LEFT(SUBSTITUTE(SUBSTITUTE(SUBSTITUTE(SUBSTITUTE(TRIM($AR892),"-",""),".",""),"/","")," ",""),8),7,2)),"")))</f>
        <v/>
      </c>
      <c r="AT892" s="33">
        <f>IF($AS892="","",IF($F$6="",0,IF(ISNUMBER(INDEX($A:$AP,ROW(),$F$6)),INDEX($A:$AP,ROW(),$F$6),IFERROR(--SUBSTITUTE(SUBSTITUTE(TRIM(INDEX($A:$AP,ROW(),$F$6)),",",""),"원",""),0))))</f>
        <v/>
      </c>
      <c r="AU892" s="31">
        <f>IF($AS892="","",IF($AX892&lt;&gt;"",SUBSTITUTE(SUBSTITUTE($AX892,"-","")," ",""),"N:"&amp;$AV892))</f>
        <v/>
      </c>
      <c r="AV892" s="31">
        <f>IF(OR($AS892="",$E$6=""),"",TRIM(INDEX($A:$AP,ROW(),$E$6)&amp;""))</f>
        <v/>
      </c>
      <c r="AW892" s="31">
        <f>IF($AU892="","",IF(MATCH($AU892,$AU$8:$AU$2007,0)=ROW()-7,MAX($AW$7:$AW891)+1,""))</f>
        <v/>
      </c>
      <c r="AX892" s="31">
        <f>IF(OR($AS892="",$D$6=""),"",TRIM(INDEX($A:$AP,ROW(),$D$6)&amp;""))</f>
        <v/>
      </c>
      <c r="AY892" s="31">
        <f>IF($AU892="","",INDEX($AW$8:$AW$2007,MATCH($AU892,$AU$8:$AU$2007,0)))</f>
        <v/>
      </c>
      <c r="AZ892" s="31">
        <f>IF(OR($AS892="",$C$6=""),"",TRIM(INDEX($A:$AP,ROW(),$C$6)&amp;""))</f>
        <v/>
      </c>
      <c r="BA892" s="31">
        <f>IF($AZ892="","",IF(COUNTIF($AZ$8:$AZ892,$AZ892)&gt;1,1,0))</f>
        <v/>
      </c>
    </row>
    <row r="893">
      <c r="AR893" s="31">
        <f>IF(OR($A$5="",$B$6="",ROW()&lt;$A$5),"",IF(INDEX($A:$AP,ROW(),$B$6)="","",INDEX($A:$AP,ROW(),$B$6)))</f>
        <v/>
      </c>
      <c r="AS893" s="32">
        <f>IF($AR893="","",IF(ISNUMBER($AR893),IF($AR893&gt;=10000000,IFERROR(DATE(INT($AR893/10000),MOD(INT($AR893/100),100),MOD($AR893,100)),""),INT($AR893)),IFERROR(DATE(--LEFT(LEFT(SUBSTITUTE(SUBSTITUTE(SUBSTITUTE(SUBSTITUTE(TRIM($AR893),"-",""),".",""),"/","")," ",""),8),4),--MID(LEFT(SUBSTITUTE(SUBSTITUTE(SUBSTITUTE(SUBSTITUTE(TRIM($AR893),"-",""),".",""),"/","")," ",""),8),5,2),--MID(LEFT(SUBSTITUTE(SUBSTITUTE(SUBSTITUTE(SUBSTITUTE(TRIM($AR893),"-",""),".",""),"/","")," ",""),8),7,2)),"")))</f>
        <v/>
      </c>
      <c r="AT893" s="33">
        <f>IF($AS893="","",IF($F$6="",0,IF(ISNUMBER(INDEX($A:$AP,ROW(),$F$6)),INDEX($A:$AP,ROW(),$F$6),IFERROR(--SUBSTITUTE(SUBSTITUTE(TRIM(INDEX($A:$AP,ROW(),$F$6)),",",""),"원",""),0))))</f>
        <v/>
      </c>
      <c r="AU893" s="31">
        <f>IF($AS893="","",IF($AX893&lt;&gt;"",SUBSTITUTE(SUBSTITUTE($AX893,"-","")," ",""),"N:"&amp;$AV893))</f>
        <v/>
      </c>
      <c r="AV893" s="31">
        <f>IF(OR($AS893="",$E$6=""),"",TRIM(INDEX($A:$AP,ROW(),$E$6)&amp;""))</f>
        <v/>
      </c>
      <c r="AW893" s="31">
        <f>IF($AU893="","",IF(MATCH($AU893,$AU$8:$AU$2007,0)=ROW()-7,MAX($AW$7:$AW892)+1,""))</f>
        <v/>
      </c>
      <c r="AX893" s="31">
        <f>IF(OR($AS893="",$D$6=""),"",TRIM(INDEX($A:$AP,ROW(),$D$6)&amp;""))</f>
        <v/>
      </c>
      <c r="AY893" s="31">
        <f>IF($AU893="","",INDEX($AW$8:$AW$2007,MATCH($AU893,$AU$8:$AU$2007,0)))</f>
        <v/>
      </c>
      <c r="AZ893" s="31">
        <f>IF(OR($AS893="",$C$6=""),"",TRIM(INDEX($A:$AP,ROW(),$C$6)&amp;""))</f>
        <v/>
      </c>
      <c r="BA893" s="31">
        <f>IF($AZ893="","",IF(COUNTIF($AZ$8:$AZ893,$AZ893)&gt;1,1,0))</f>
        <v/>
      </c>
    </row>
    <row r="894">
      <c r="AR894" s="31">
        <f>IF(OR($A$5="",$B$6="",ROW()&lt;$A$5),"",IF(INDEX($A:$AP,ROW(),$B$6)="","",INDEX($A:$AP,ROW(),$B$6)))</f>
        <v/>
      </c>
      <c r="AS894" s="32">
        <f>IF($AR894="","",IF(ISNUMBER($AR894),IF($AR894&gt;=10000000,IFERROR(DATE(INT($AR894/10000),MOD(INT($AR894/100),100),MOD($AR894,100)),""),INT($AR894)),IFERROR(DATE(--LEFT(LEFT(SUBSTITUTE(SUBSTITUTE(SUBSTITUTE(SUBSTITUTE(TRIM($AR894),"-",""),".",""),"/","")," ",""),8),4),--MID(LEFT(SUBSTITUTE(SUBSTITUTE(SUBSTITUTE(SUBSTITUTE(TRIM($AR894),"-",""),".",""),"/","")," ",""),8),5,2),--MID(LEFT(SUBSTITUTE(SUBSTITUTE(SUBSTITUTE(SUBSTITUTE(TRIM($AR894),"-",""),".",""),"/","")," ",""),8),7,2)),"")))</f>
        <v/>
      </c>
      <c r="AT894" s="33">
        <f>IF($AS894="","",IF($F$6="",0,IF(ISNUMBER(INDEX($A:$AP,ROW(),$F$6)),INDEX($A:$AP,ROW(),$F$6),IFERROR(--SUBSTITUTE(SUBSTITUTE(TRIM(INDEX($A:$AP,ROW(),$F$6)),",",""),"원",""),0))))</f>
        <v/>
      </c>
      <c r="AU894" s="31">
        <f>IF($AS894="","",IF($AX894&lt;&gt;"",SUBSTITUTE(SUBSTITUTE($AX894,"-","")," ",""),"N:"&amp;$AV894))</f>
        <v/>
      </c>
      <c r="AV894" s="31">
        <f>IF(OR($AS894="",$E$6=""),"",TRIM(INDEX($A:$AP,ROW(),$E$6)&amp;""))</f>
        <v/>
      </c>
      <c r="AW894" s="31">
        <f>IF($AU894="","",IF(MATCH($AU894,$AU$8:$AU$2007,0)=ROW()-7,MAX($AW$7:$AW893)+1,""))</f>
        <v/>
      </c>
      <c r="AX894" s="31">
        <f>IF(OR($AS894="",$D$6=""),"",TRIM(INDEX($A:$AP,ROW(),$D$6)&amp;""))</f>
        <v/>
      </c>
      <c r="AY894" s="31">
        <f>IF($AU894="","",INDEX($AW$8:$AW$2007,MATCH($AU894,$AU$8:$AU$2007,0)))</f>
        <v/>
      </c>
      <c r="AZ894" s="31">
        <f>IF(OR($AS894="",$C$6=""),"",TRIM(INDEX($A:$AP,ROW(),$C$6)&amp;""))</f>
        <v/>
      </c>
      <c r="BA894" s="31">
        <f>IF($AZ894="","",IF(COUNTIF($AZ$8:$AZ894,$AZ894)&gt;1,1,0))</f>
        <v/>
      </c>
    </row>
    <row r="895">
      <c r="AR895" s="31">
        <f>IF(OR($A$5="",$B$6="",ROW()&lt;$A$5),"",IF(INDEX($A:$AP,ROW(),$B$6)="","",INDEX($A:$AP,ROW(),$B$6)))</f>
        <v/>
      </c>
      <c r="AS895" s="32">
        <f>IF($AR895="","",IF(ISNUMBER($AR895),IF($AR895&gt;=10000000,IFERROR(DATE(INT($AR895/10000),MOD(INT($AR895/100),100),MOD($AR895,100)),""),INT($AR895)),IFERROR(DATE(--LEFT(LEFT(SUBSTITUTE(SUBSTITUTE(SUBSTITUTE(SUBSTITUTE(TRIM($AR895),"-",""),".",""),"/","")," ",""),8),4),--MID(LEFT(SUBSTITUTE(SUBSTITUTE(SUBSTITUTE(SUBSTITUTE(TRIM($AR895),"-",""),".",""),"/","")," ",""),8),5,2),--MID(LEFT(SUBSTITUTE(SUBSTITUTE(SUBSTITUTE(SUBSTITUTE(TRIM($AR895),"-",""),".",""),"/","")," ",""),8),7,2)),"")))</f>
        <v/>
      </c>
      <c r="AT895" s="33">
        <f>IF($AS895="","",IF($F$6="",0,IF(ISNUMBER(INDEX($A:$AP,ROW(),$F$6)),INDEX($A:$AP,ROW(),$F$6),IFERROR(--SUBSTITUTE(SUBSTITUTE(TRIM(INDEX($A:$AP,ROW(),$F$6)),",",""),"원",""),0))))</f>
        <v/>
      </c>
      <c r="AU895" s="31">
        <f>IF($AS895="","",IF($AX895&lt;&gt;"",SUBSTITUTE(SUBSTITUTE($AX895,"-","")," ",""),"N:"&amp;$AV895))</f>
        <v/>
      </c>
      <c r="AV895" s="31">
        <f>IF(OR($AS895="",$E$6=""),"",TRIM(INDEX($A:$AP,ROW(),$E$6)&amp;""))</f>
        <v/>
      </c>
      <c r="AW895" s="31">
        <f>IF($AU895="","",IF(MATCH($AU895,$AU$8:$AU$2007,0)=ROW()-7,MAX($AW$7:$AW894)+1,""))</f>
        <v/>
      </c>
      <c r="AX895" s="31">
        <f>IF(OR($AS895="",$D$6=""),"",TRIM(INDEX($A:$AP,ROW(),$D$6)&amp;""))</f>
        <v/>
      </c>
      <c r="AY895" s="31">
        <f>IF($AU895="","",INDEX($AW$8:$AW$2007,MATCH($AU895,$AU$8:$AU$2007,0)))</f>
        <v/>
      </c>
      <c r="AZ895" s="31">
        <f>IF(OR($AS895="",$C$6=""),"",TRIM(INDEX($A:$AP,ROW(),$C$6)&amp;""))</f>
        <v/>
      </c>
      <c r="BA895" s="31">
        <f>IF($AZ895="","",IF(COUNTIF($AZ$8:$AZ895,$AZ895)&gt;1,1,0))</f>
        <v/>
      </c>
    </row>
    <row r="896">
      <c r="AR896" s="31">
        <f>IF(OR($A$5="",$B$6="",ROW()&lt;$A$5),"",IF(INDEX($A:$AP,ROW(),$B$6)="","",INDEX($A:$AP,ROW(),$B$6)))</f>
        <v/>
      </c>
      <c r="AS896" s="32">
        <f>IF($AR896="","",IF(ISNUMBER($AR896),IF($AR896&gt;=10000000,IFERROR(DATE(INT($AR896/10000),MOD(INT($AR896/100),100),MOD($AR896,100)),""),INT($AR896)),IFERROR(DATE(--LEFT(LEFT(SUBSTITUTE(SUBSTITUTE(SUBSTITUTE(SUBSTITUTE(TRIM($AR896),"-",""),".",""),"/","")," ",""),8),4),--MID(LEFT(SUBSTITUTE(SUBSTITUTE(SUBSTITUTE(SUBSTITUTE(TRIM($AR896),"-",""),".",""),"/","")," ",""),8),5,2),--MID(LEFT(SUBSTITUTE(SUBSTITUTE(SUBSTITUTE(SUBSTITUTE(TRIM($AR896),"-",""),".",""),"/","")," ",""),8),7,2)),"")))</f>
        <v/>
      </c>
      <c r="AT896" s="33">
        <f>IF($AS896="","",IF($F$6="",0,IF(ISNUMBER(INDEX($A:$AP,ROW(),$F$6)),INDEX($A:$AP,ROW(),$F$6),IFERROR(--SUBSTITUTE(SUBSTITUTE(TRIM(INDEX($A:$AP,ROW(),$F$6)),",",""),"원",""),0))))</f>
        <v/>
      </c>
      <c r="AU896" s="31">
        <f>IF($AS896="","",IF($AX896&lt;&gt;"",SUBSTITUTE(SUBSTITUTE($AX896,"-","")," ",""),"N:"&amp;$AV896))</f>
        <v/>
      </c>
      <c r="AV896" s="31">
        <f>IF(OR($AS896="",$E$6=""),"",TRIM(INDEX($A:$AP,ROW(),$E$6)&amp;""))</f>
        <v/>
      </c>
      <c r="AW896" s="31">
        <f>IF($AU896="","",IF(MATCH($AU896,$AU$8:$AU$2007,0)=ROW()-7,MAX($AW$7:$AW895)+1,""))</f>
        <v/>
      </c>
      <c r="AX896" s="31">
        <f>IF(OR($AS896="",$D$6=""),"",TRIM(INDEX($A:$AP,ROW(),$D$6)&amp;""))</f>
        <v/>
      </c>
      <c r="AY896" s="31">
        <f>IF($AU896="","",INDEX($AW$8:$AW$2007,MATCH($AU896,$AU$8:$AU$2007,0)))</f>
        <v/>
      </c>
      <c r="AZ896" s="31">
        <f>IF(OR($AS896="",$C$6=""),"",TRIM(INDEX($A:$AP,ROW(),$C$6)&amp;""))</f>
        <v/>
      </c>
      <c r="BA896" s="31">
        <f>IF($AZ896="","",IF(COUNTIF($AZ$8:$AZ896,$AZ896)&gt;1,1,0))</f>
        <v/>
      </c>
    </row>
    <row r="897">
      <c r="AR897" s="31">
        <f>IF(OR($A$5="",$B$6="",ROW()&lt;$A$5),"",IF(INDEX($A:$AP,ROW(),$B$6)="","",INDEX($A:$AP,ROW(),$B$6)))</f>
        <v/>
      </c>
      <c r="AS897" s="32">
        <f>IF($AR897="","",IF(ISNUMBER($AR897),IF($AR897&gt;=10000000,IFERROR(DATE(INT($AR897/10000),MOD(INT($AR897/100),100),MOD($AR897,100)),""),INT($AR897)),IFERROR(DATE(--LEFT(LEFT(SUBSTITUTE(SUBSTITUTE(SUBSTITUTE(SUBSTITUTE(TRIM($AR897),"-",""),".",""),"/","")," ",""),8),4),--MID(LEFT(SUBSTITUTE(SUBSTITUTE(SUBSTITUTE(SUBSTITUTE(TRIM($AR897),"-",""),".",""),"/","")," ",""),8),5,2),--MID(LEFT(SUBSTITUTE(SUBSTITUTE(SUBSTITUTE(SUBSTITUTE(TRIM($AR897),"-",""),".",""),"/","")," ",""),8),7,2)),"")))</f>
        <v/>
      </c>
      <c r="AT897" s="33">
        <f>IF($AS897="","",IF($F$6="",0,IF(ISNUMBER(INDEX($A:$AP,ROW(),$F$6)),INDEX($A:$AP,ROW(),$F$6),IFERROR(--SUBSTITUTE(SUBSTITUTE(TRIM(INDEX($A:$AP,ROW(),$F$6)),",",""),"원",""),0))))</f>
        <v/>
      </c>
      <c r="AU897" s="31">
        <f>IF($AS897="","",IF($AX897&lt;&gt;"",SUBSTITUTE(SUBSTITUTE($AX897,"-","")," ",""),"N:"&amp;$AV897))</f>
        <v/>
      </c>
      <c r="AV897" s="31">
        <f>IF(OR($AS897="",$E$6=""),"",TRIM(INDEX($A:$AP,ROW(),$E$6)&amp;""))</f>
        <v/>
      </c>
      <c r="AW897" s="31">
        <f>IF($AU897="","",IF(MATCH($AU897,$AU$8:$AU$2007,0)=ROW()-7,MAX($AW$7:$AW896)+1,""))</f>
        <v/>
      </c>
      <c r="AX897" s="31">
        <f>IF(OR($AS897="",$D$6=""),"",TRIM(INDEX($A:$AP,ROW(),$D$6)&amp;""))</f>
        <v/>
      </c>
      <c r="AY897" s="31">
        <f>IF($AU897="","",INDEX($AW$8:$AW$2007,MATCH($AU897,$AU$8:$AU$2007,0)))</f>
        <v/>
      </c>
      <c r="AZ897" s="31">
        <f>IF(OR($AS897="",$C$6=""),"",TRIM(INDEX($A:$AP,ROW(),$C$6)&amp;""))</f>
        <v/>
      </c>
      <c r="BA897" s="31">
        <f>IF($AZ897="","",IF(COUNTIF($AZ$8:$AZ897,$AZ897)&gt;1,1,0))</f>
        <v/>
      </c>
    </row>
    <row r="898">
      <c r="AR898" s="31">
        <f>IF(OR($A$5="",$B$6="",ROW()&lt;$A$5),"",IF(INDEX($A:$AP,ROW(),$B$6)="","",INDEX($A:$AP,ROW(),$B$6)))</f>
        <v/>
      </c>
      <c r="AS898" s="32">
        <f>IF($AR898="","",IF(ISNUMBER($AR898),IF($AR898&gt;=10000000,IFERROR(DATE(INT($AR898/10000),MOD(INT($AR898/100),100),MOD($AR898,100)),""),INT($AR898)),IFERROR(DATE(--LEFT(LEFT(SUBSTITUTE(SUBSTITUTE(SUBSTITUTE(SUBSTITUTE(TRIM($AR898),"-",""),".",""),"/","")," ",""),8),4),--MID(LEFT(SUBSTITUTE(SUBSTITUTE(SUBSTITUTE(SUBSTITUTE(TRIM($AR898),"-",""),".",""),"/","")," ",""),8),5,2),--MID(LEFT(SUBSTITUTE(SUBSTITUTE(SUBSTITUTE(SUBSTITUTE(TRIM($AR898),"-",""),".",""),"/","")," ",""),8),7,2)),"")))</f>
        <v/>
      </c>
      <c r="AT898" s="33">
        <f>IF($AS898="","",IF($F$6="",0,IF(ISNUMBER(INDEX($A:$AP,ROW(),$F$6)),INDEX($A:$AP,ROW(),$F$6),IFERROR(--SUBSTITUTE(SUBSTITUTE(TRIM(INDEX($A:$AP,ROW(),$F$6)),",",""),"원",""),0))))</f>
        <v/>
      </c>
      <c r="AU898" s="31">
        <f>IF($AS898="","",IF($AX898&lt;&gt;"",SUBSTITUTE(SUBSTITUTE($AX898,"-","")," ",""),"N:"&amp;$AV898))</f>
        <v/>
      </c>
      <c r="AV898" s="31">
        <f>IF(OR($AS898="",$E$6=""),"",TRIM(INDEX($A:$AP,ROW(),$E$6)&amp;""))</f>
        <v/>
      </c>
      <c r="AW898" s="31">
        <f>IF($AU898="","",IF(MATCH($AU898,$AU$8:$AU$2007,0)=ROW()-7,MAX($AW$7:$AW897)+1,""))</f>
        <v/>
      </c>
      <c r="AX898" s="31">
        <f>IF(OR($AS898="",$D$6=""),"",TRIM(INDEX($A:$AP,ROW(),$D$6)&amp;""))</f>
        <v/>
      </c>
      <c r="AY898" s="31">
        <f>IF($AU898="","",INDEX($AW$8:$AW$2007,MATCH($AU898,$AU$8:$AU$2007,0)))</f>
        <v/>
      </c>
      <c r="AZ898" s="31">
        <f>IF(OR($AS898="",$C$6=""),"",TRIM(INDEX($A:$AP,ROW(),$C$6)&amp;""))</f>
        <v/>
      </c>
      <c r="BA898" s="31">
        <f>IF($AZ898="","",IF(COUNTIF($AZ$8:$AZ898,$AZ898)&gt;1,1,0))</f>
        <v/>
      </c>
    </row>
    <row r="899">
      <c r="AR899" s="31">
        <f>IF(OR($A$5="",$B$6="",ROW()&lt;$A$5),"",IF(INDEX($A:$AP,ROW(),$B$6)="","",INDEX($A:$AP,ROW(),$B$6)))</f>
        <v/>
      </c>
      <c r="AS899" s="32">
        <f>IF($AR899="","",IF(ISNUMBER($AR899),IF($AR899&gt;=10000000,IFERROR(DATE(INT($AR899/10000),MOD(INT($AR899/100),100),MOD($AR899,100)),""),INT($AR899)),IFERROR(DATE(--LEFT(LEFT(SUBSTITUTE(SUBSTITUTE(SUBSTITUTE(SUBSTITUTE(TRIM($AR899),"-",""),".",""),"/","")," ",""),8),4),--MID(LEFT(SUBSTITUTE(SUBSTITUTE(SUBSTITUTE(SUBSTITUTE(TRIM($AR899),"-",""),".",""),"/","")," ",""),8),5,2),--MID(LEFT(SUBSTITUTE(SUBSTITUTE(SUBSTITUTE(SUBSTITUTE(TRIM($AR899),"-",""),".",""),"/","")," ",""),8),7,2)),"")))</f>
        <v/>
      </c>
      <c r="AT899" s="33">
        <f>IF($AS899="","",IF($F$6="",0,IF(ISNUMBER(INDEX($A:$AP,ROW(),$F$6)),INDEX($A:$AP,ROW(),$F$6),IFERROR(--SUBSTITUTE(SUBSTITUTE(TRIM(INDEX($A:$AP,ROW(),$F$6)),",",""),"원",""),0))))</f>
        <v/>
      </c>
      <c r="AU899" s="31">
        <f>IF($AS899="","",IF($AX899&lt;&gt;"",SUBSTITUTE(SUBSTITUTE($AX899,"-","")," ",""),"N:"&amp;$AV899))</f>
        <v/>
      </c>
      <c r="AV899" s="31">
        <f>IF(OR($AS899="",$E$6=""),"",TRIM(INDEX($A:$AP,ROW(),$E$6)&amp;""))</f>
        <v/>
      </c>
      <c r="AW899" s="31">
        <f>IF($AU899="","",IF(MATCH($AU899,$AU$8:$AU$2007,0)=ROW()-7,MAX($AW$7:$AW898)+1,""))</f>
        <v/>
      </c>
      <c r="AX899" s="31">
        <f>IF(OR($AS899="",$D$6=""),"",TRIM(INDEX($A:$AP,ROW(),$D$6)&amp;""))</f>
        <v/>
      </c>
      <c r="AY899" s="31">
        <f>IF($AU899="","",INDEX($AW$8:$AW$2007,MATCH($AU899,$AU$8:$AU$2007,0)))</f>
        <v/>
      </c>
      <c r="AZ899" s="31">
        <f>IF(OR($AS899="",$C$6=""),"",TRIM(INDEX($A:$AP,ROW(),$C$6)&amp;""))</f>
        <v/>
      </c>
      <c r="BA899" s="31">
        <f>IF($AZ899="","",IF(COUNTIF($AZ$8:$AZ899,$AZ899)&gt;1,1,0))</f>
        <v/>
      </c>
    </row>
    <row r="900">
      <c r="AR900" s="31">
        <f>IF(OR($A$5="",$B$6="",ROW()&lt;$A$5),"",IF(INDEX($A:$AP,ROW(),$B$6)="","",INDEX($A:$AP,ROW(),$B$6)))</f>
        <v/>
      </c>
      <c r="AS900" s="32">
        <f>IF($AR900="","",IF(ISNUMBER($AR900),IF($AR900&gt;=10000000,IFERROR(DATE(INT($AR900/10000),MOD(INT($AR900/100),100),MOD($AR900,100)),""),INT($AR900)),IFERROR(DATE(--LEFT(LEFT(SUBSTITUTE(SUBSTITUTE(SUBSTITUTE(SUBSTITUTE(TRIM($AR900),"-",""),".",""),"/","")," ",""),8),4),--MID(LEFT(SUBSTITUTE(SUBSTITUTE(SUBSTITUTE(SUBSTITUTE(TRIM($AR900),"-",""),".",""),"/","")," ",""),8),5,2),--MID(LEFT(SUBSTITUTE(SUBSTITUTE(SUBSTITUTE(SUBSTITUTE(TRIM($AR900),"-",""),".",""),"/","")," ",""),8),7,2)),"")))</f>
        <v/>
      </c>
      <c r="AT900" s="33">
        <f>IF($AS900="","",IF($F$6="",0,IF(ISNUMBER(INDEX($A:$AP,ROW(),$F$6)),INDEX($A:$AP,ROW(),$F$6),IFERROR(--SUBSTITUTE(SUBSTITUTE(TRIM(INDEX($A:$AP,ROW(),$F$6)),",",""),"원",""),0))))</f>
        <v/>
      </c>
      <c r="AU900" s="31">
        <f>IF($AS900="","",IF($AX900&lt;&gt;"",SUBSTITUTE(SUBSTITUTE($AX900,"-","")," ",""),"N:"&amp;$AV900))</f>
        <v/>
      </c>
      <c r="AV900" s="31">
        <f>IF(OR($AS900="",$E$6=""),"",TRIM(INDEX($A:$AP,ROW(),$E$6)&amp;""))</f>
        <v/>
      </c>
      <c r="AW900" s="31">
        <f>IF($AU900="","",IF(MATCH($AU900,$AU$8:$AU$2007,0)=ROW()-7,MAX($AW$7:$AW899)+1,""))</f>
        <v/>
      </c>
      <c r="AX900" s="31">
        <f>IF(OR($AS900="",$D$6=""),"",TRIM(INDEX($A:$AP,ROW(),$D$6)&amp;""))</f>
        <v/>
      </c>
      <c r="AY900" s="31">
        <f>IF($AU900="","",INDEX($AW$8:$AW$2007,MATCH($AU900,$AU$8:$AU$2007,0)))</f>
        <v/>
      </c>
      <c r="AZ900" s="31">
        <f>IF(OR($AS900="",$C$6=""),"",TRIM(INDEX($A:$AP,ROW(),$C$6)&amp;""))</f>
        <v/>
      </c>
      <c r="BA900" s="31">
        <f>IF($AZ900="","",IF(COUNTIF($AZ$8:$AZ900,$AZ900)&gt;1,1,0))</f>
        <v/>
      </c>
    </row>
    <row r="901">
      <c r="AR901" s="31">
        <f>IF(OR($A$5="",$B$6="",ROW()&lt;$A$5),"",IF(INDEX($A:$AP,ROW(),$B$6)="","",INDEX($A:$AP,ROW(),$B$6)))</f>
        <v/>
      </c>
      <c r="AS901" s="32">
        <f>IF($AR901="","",IF(ISNUMBER($AR901),IF($AR901&gt;=10000000,IFERROR(DATE(INT($AR901/10000),MOD(INT($AR901/100),100),MOD($AR901,100)),""),INT($AR901)),IFERROR(DATE(--LEFT(LEFT(SUBSTITUTE(SUBSTITUTE(SUBSTITUTE(SUBSTITUTE(TRIM($AR901),"-",""),".",""),"/","")," ",""),8),4),--MID(LEFT(SUBSTITUTE(SUBSTITUTE(SUBSTITUTE(SUBSTITUTE(TRIM($AR901),"-",""),".",""),"/","")," ",""),8),5,2),--MID(LEFT(SUBSTITUTE(SUBSTITUTE(SUBSTITUTE(SUBSTITUTE(TRIM($AR901),"-",""),".",""),"/","")," ",""),8),7,2)),"")))</f>
        <v/>
      </c>
      <c r="AT901" s="33">
        <f>IF($AS901="","",IF($F$6="",0,IF(ISNUMBER(INDEX($A:$AP,ROW(),$F$6)),INDEX($A:$AP,ROW(),$F$6),IFERROR(--SUBSTITUTE(SUBSTITUTE(TRIM(INDEX($A:$AP,ROW(),$F$6)),",",""),"원",""),0))))</f>
        <v/>
      </c>
      <c r="AU901" s="31">
        <f>IF($AS901="","",IF($AX901&lt;&gt;"",SUBSTITUTE(SUBSTITUTE($AX901,"-","")," ",""),"N:"&amp;$AV901))</f>
        <v/>
      </c>
      <c r="AV901" s="31">
        <f>IF(OR($AS901="",$E$6=""),"",TRIM(INDEX($A:$AP,ROW(),$E$6)&amp;""))</f>
        <v/>
      </c>
      <c r="AW901" s="31">
        <f>IF($AU901="","",IF(MATCH($AU901,$AU$8:$AU$2007,0)=ROW()-7,MAX($AW$7:$AW900)+1,""))</f>
        <v/>
      </c>
      <c r="AX901" s="31">
        <f>IF(OR($AS901="",$D$6=""),"",TRIM(INDEX($A:$AP,ROW(),$D$6)&amp;""))</f>
        <v/>
      </c>
      <c r="AY901" s="31">
        <f>IF($AU901="","",INDEX($AW$8:$AW$2007,MATCH($AU901,$AU$8:$AU$2007,0)))</f>
        <v/>
      </c>
      <c r="AZ901" s="31">
        <f>IF(OR($AS901="",$C$6=""),"",TRIM(INDEX($A:$AP,ROW(),$C$6)&amp;""))</f>
        <v/>
      </c>
      <c r="BA901" s="31">
        <f>IF($AZ901="","",IF(COUNTIF($AZ$8:$AZ901,$AZ901)&gt;1,1,0))</f>
        <v/>
      </c>
    </row>
    <row r="902">
      <c r="AR902" s="31">
        <f>IF(OR($A$5="",$B$6="",ROW()&lt;$A$5),"",IF(INDEX($A:$AP,ROW(),$B$6)="","",INDEX($A:$AP,ROW(),$B$6)))</f>
        <v/>
      </c>
      <c r="AS902" s="32">
        <f>IF($AR902="","",IF(ISNUMBER($AR902),IF($AR902&gt;=10000000,IFERROR(DATE(INT($AR902/10000),MOD(INT($AR902/100),100),MOD($AR902,100)),""),INT($AR902)),IFERROR(DATE(--LEFT(LEFT(SUBSTITUTE(SUBSTITUTE(SUBSTITUTE(SUBSTITUTE(TRIM($AR902),"-",""),".",""),"/","")," ",""),8),4),--MID(LEFT(SUBSTITUTE(SUBSTITUTE(SUBSTITUTE(SUBSTITUTE(TRIM($AR902),"-",""),".",""),"/","")," ",""),8),5,2),--MID(LEFT(SUBSTITUTE(SUBSTITUTE(SUBSTITUTE(SUBSTITUTE(TRIM($AR902),"-",""),".",""),"/","")," ",""),8),7,2)),"")))</f>
        <v/>
      </c>
      <c r="AT902" s="33">
        <f>IF($AS902="","",IF($F$6="",0,IF(ISNUMBER(INDEX($A:$AP,ROW(),$F$6)),INDEX($A:$AP,ROW(),$F$6),IFERROR(--SUBSTITUTE(SUBSTITUTE(TRIM(INDEX($A:$AP,ROW(),$F$6)),",",""),"원",""),0))))</f>
        <v/>
      </c>
      <c r="AU902" s="31">
        <f>IF($AS902="","",IF($AX902&lt;&gt;"",SUBSTITUTE(SUBSTITUTE($AX902,"-","")," ",""),"N:"&amp;$AV902))</f>
        <v/>
      </c>
      <c r="AV902" s="31">
        <f>IF(OR($AS902="",$E$6=""),"",TRIM(INDEX($A:$AP,ROW(),$E$6)&amp;""))</f>
        <v/>
      </c>
      <c r="AW902" s="31">
        <f>IF($AU902="","",IF(MATCH($AU902,$AU$8:$AU$2007,0)=ROW()-7,MAX($AW$7:$AW901)+1,""))</f>
        <v/>
      </c>
      <c r="AX902" s="31">
        <f>IF(OR($AS902="",$D$6=""),"",TRIM(INDEX($A:$AP,ROW(),$D$6)&amp;""))</f>
        <v/>
      </c>
      <c r="AY902" s="31">
        <f>IF($AU902="","",INDEX($AW$8:$AW$2007,MATCH($AU902,$AU$8:$AU$2007,0)))</f>
        <v/>
      </c>
      <c r="AZ902" s="31">
        <f>IF(OR($AS902="",$C$6=""),"",TRIM(INDEX($A:$AP,ROW(),$C$6)&amp;""))</f>
        <v/>
      </c>
      <c r="BA902" s="31">
        <f>IF($AZ902="","",IF(COUNTIF($AZ$8:$AZ902,$AZ902)&gt;1,1,0))</f>
        <v/>
      </c>
    </row>
    <row r="903">
      <c r="AR903" s="31">
        <f>IF(OR($A$5="",$B$6="",ROW()&lt;$A$5),"",IF(INDEX($A:$AP,ROW(),$B$6)="","",INDEX($A:$AP,ROW(),$B$6)))</f>
        <v/>
      </c>
      <c r="AS903" s="32">
        <f>IF($AR903="","",IF(ISNUMBER($AR903),IF($AR903&gt;=10000000,IFERROR(DATE(INT($AR903/10000),MOD(INT($AR903/100),100),MOD($AR903,100)),""),INT($AR903)),IFERROR(DATE(--LEFT(LEFT(SUBSTITUTE(SUBSTITUTE(SUBSTITUTE(SUBSTITUTE(TRIM($AR903),"-",""),".",""),"/","")," ",""),8),4),--MID(LEFT(SUBSTITUTE(SUBSTITUTE(SUBSTITUTE(SUBSTITUTE(TRIM($AR903),"-",""),".",""),"/","")," ",""),8),5,2),--MID(LEFT(SUBSTITUTE(SUBSTITUTE(SUBSTITUTE(SUBSTITUTE(TRIM($AR903),"-",""),".",""),"/","")," ",""),8),7,2)),"")))</f>
        <v/>
      </c>
      <c r="AT903" s="33">
        <f>IF($AS903="","",IF($F$6="",0,IF(ISNUMBER(INDEX($A:$AP,ROW(),$F$6)),INDEX($A:$AP,ROW(),$F$6),IFERROR(--SUBSTITUTE(SUBSTITUTE(TRIM(INDEX($A:$AP,ROW(),$F$6)),",",""),"원",""),0))))</f>
        <v/>
      </c>
      <c r="AU903" s="31">
        <f>IF($AS903="","",IF($AX903&lt;&gt;"",SUBSTITUTE(SUBSTITUTE($AX903,"-","")," ",""),"N:"&amp;$AV903))</f>
        <v/>
      </c>
      <c r="AV903" s="31">
        <f>IF(OR($AS903="",$E$6=""),"",TRIM(INDEX($A:$AP,ROW(),$E$6)&amp;""))</f>
        <v/>
      </c>
      <c r="AW903" s="31">
        <f>IF($AU903="","",IF(MATCH($AU903,$AU$8:$AU$2007,0)=ROW()-7,MAX($AW$7:$AW902)+1,""))</f>
        <v/>
      </c>
      <c r="AX903" s="31">
        <f>IF(OR($AS903="",$D$6=""),"",TRIM(INDEX($A:$AP,ROW(),$D$6)&amp;""))</f>
        <v/>
      </c>
      <c r="AY903" s="31">
        <f>IF($AU903="","",INDEX($AW$8:$AW$2007,MATCH($AU903,$AU$8:$AU$2007,0)))</f>
        <v/>
      </c>
      <c r="AZ903" s="31">
        <f>IF(OR($AS903="",$C$6=""),"",TRIM(INDEX($A:$AP,ROW(),$C$6)&amp;""))</f>
        <v/>
      </c>
      <c r="BA903" s="31">
        <f>IF($AZ903="","",IF(COUNTIF($AZ$8:$AZ903,$AZ903)&gt;1,1,0))</f>
        <v/>
      </c>
    </row>
    <row r="904">
      <c r="AR904" s="31">
        <f>IF(OR($A$5="",$B$6="",ROW()&lt;$A$5),"",IF(INDEX($A:$AP,ROW(),$B$6)="","",INDEX($A:$AP,ROW(),$B$6)))</f>
        <v/>
      </c>
      <c r="AS904" s="32">
        <f>IF($AR904="","",IF(ISNUMBER($AR904),IF($AR904&gt;=10000000,IFERROR(DATE(INT($AR904/10000),MOD(INT($AR904/100),100),MOD($AR904,100)),""),INT($AR904)),IFERROR(DATE(--LEFT(LEFT(SUBSTITUTE(SUBSTITUTE(SUBSTITUTE(SUBSTITUTE(TRIM($AR904),"-",""),".",""),"/","")," ",""),8),4),--MID(LEFT(SUBSTITUTE(SUBSTITUTE(SUBSTITUTE(SUBSTITUTE(TRIM($AR904),"-",""),".",""),"/","")," ",""),8),5,2),--MID(LEFT(SUBSTITUTE(SUBSTITUTE(SUBSTITUTE(SUBSTITUTE(TRIM($AR904),"-",""),".",""),"/","")," ",""),8),7,2)),"")))</f>
        <v/>
      </c>
      <c r="AT904" s="33">
        <f>IF($AS904="","",IF($F$6="",0,IF(ISNUMBER(INDEX($A:$AP,ROW(),$F$6)),INDEX($A:$AP,ROW(),$F$6),IFERROR(--SUBSTITUTE(SUBSTITUTE(TRIM(INDEX($A:$AP,ROW(),$F$6)),",",""),"원",""),0))))</f>
        <v/>
      </c>
      <c r="AU904" s="31">
        <f>IF($AS904="","",IF($AX904&lt;&gt;"",SUBSTITUTE(SUBSTITUTE($AX904,"-","")," ",""),"N:"&amp;$AV904))</f>
        <v/>
      </c>
      <c r="AV904" s="31">
        <f>IF(OR($AS904="",$E$6=""),"",TRIM(INDEX($A:$AP,ROW(),$E$6)&amp;""))</f>
        <v/>
      </c>
      <c r="AW904" s="31">
        <f>IF($AU904="","",IF(MATCH($AU904,$AU$8:$AU$2007,0)=ROW()-7,MAX($AW$7:$AW903)+1,""))</f>
        <v/>
      </c>
      <c r="AX904" s="31">
        <f>IF(OR($AS904="",$D$6=""),"",TRIM(INDEX($A:$AP,ROW(),$D$6)&amp;""))</f>
        <v/>
      </c>
      <c r="AY904" s="31">
        <f>IF($AU904="","",INDEX($AW$8:$AW$2007,MATCH($AU904,$AU$8:$AU$2007,0)))</f>
        <v/>
      </c>
      <c r="AZ904" s="31">
        <f>IF(OR($AS904="",$C$6=""),"",TRIM(INDEX($A:$AP,ROW(),$C$6)&amp;""))</f>
        <v/>
      </c>
      <c r="BA904" s="31">
        <f>IF($AZ904="","",IF(COUNTIF($AZ$8:$AZ904,$AZ904)&gt;1,1,0))</f>
        <v/>
      </c>
    </row>
    <row r="905">
      <c r="AR905" s="31">
        <f>IF(OR($A$5="",$B$6="",ROW()&lt;$A$5),"",IF(INDEX($A:$AP,ROW(),$B$6)="","",INDEX($A:$AP,ROW(),$B$6)))</f>
        <v/>
      </c>
      <c r="AS905" s="32">
        <f>IF($AR905="","",IF(ISNUMBER($AR905),IF($AR905&gt;=10000000,IFERROR(DATE(INT($AR905/10000),MOD(INT($AR905/100),100),MOD($AR905,100)),""),INT($AR905)),IFERROR(DATE(--LEFT(LEFT(SUBSTITUTE(SUBSTITUTE(SUBSTITUTE(SUBSTITUTE(TRIM($AR905),"-",""),".",""),"/","")," ",""),8),4),--MID(LEFT(SUBSTITUTE(SUBSTITUTE(SUBSTITUTE(SUBSTITUTE(TRIM($AR905),"-",""),".",""),"/","")," ",""),8),5,2),--MID(LEFT(SUBSTITUTE(SUBSTITUTE(SUBSTITUTE(SUBSTITUTE(TRIM($AR905),"-",""),".",""),"/","")," ",""),8),7,2)),"")))</f>
        <v/>
      </c>
      <c r="AT905" s="33">
        <f>IF($AS905="","",IF($F$6="",0,IF(ISNUMBER(INDEX($A:$AP,ROW(),$F$6)),INDEX($A:$AP,ROW(),$F$6),IFERROR(--SUBSTITUTE(SUBSTITUTE(TRIM(INDEX($A:$AP,ROW(),$F$6)),",",""),"원",""),0))))</f>
        <v/>
      </c>
      <c r="AU905" s="31">
        <f>IF($AS905="","",IF($AX905&lt;&gt;"",SUBSTITUTE(SUBSTITUTE($AX905,"-","")," ",""),"N:"&amp;$AV905))</f>
        <v/>
      </c>
      <c r="AV905" s="31">
        <f>IF(OR($AS905="",$E$6=""),"",TRIM(INDEX($A:$AP,ROW(),$E$6)&amp;""))</f>
        <v/>
      </c>
      <c r="AW905" s="31">
        <f>IF($AU905="","",IF(MATCH($AU905,$AU$8:$AU$2007,0)=ROW()-7,MAX($AW$7:$AW904)+1,""))</f>
        <v/>
      </c>
      <c r="AX905" s="31">
        <f>IF(OR($AS905="",$D$6=""),"",TRIM(INDEX($A:$AP,ROW(),$D$6)&amp;""))</f>
        <v/>
      </c>
      <c r="AY905" s="31">
        <f>IF($AU905="","",INDEX($AW$8:$AW$2007,MATCH($AU905,$AU$8:$AU$2007,0)))</f>
        <v/>
      </c>
      <c r="AZ905" s="31">
        <f>IF(OR($AS905="",$C$6=""),"",TRIM(INDEX($A:$AP,ROW(),$C$6)&amp;""))</f>
        <v/>
      </c>
      <c r="BA905" s="31">
        <f>IF($AZ905="","",IF(COUNTIF($AZ$8:$AZ905,$AZ905)&gt;1,1,0))</f>
        <v/>
      </c>
    </row>
    <row r="906">
      <c r="AR906" s="31">
        <f>IF(OR($A$5="",$B$6="",ROW()&lt;$A$5),"",IF(INDEX($A:$AP,ROW(),$B$6)="","",INDEX($A:$AP,ROW(),$B$6)))</f>
        <v/>
      </c>
      <c r="AS906" s="32">
        <f>IF($AR906="","",IF(ISNUMBER($AR906),IF($AR906&gt;=10000000,IFERROR(DATE(INT($AR906/10000),MOD(INT($AR906/100),100),MOD($AR906,100)),""),INT($AR906)),IFERROR(DATE(--LEFT(LEFT(SUBSTITUTE(SUBSTITUTE(SUBSTITUTE(SUBSTITUTE(TRIM($AR906),"-",""),".",""),"/","")," ",""),8),4),--MID(LEFT(SUBSTITUTE(SUBSTITUTE(SUBSTITUTE(SUBSTITUTE(TRIM($AR906),"-",""),".",""),"/","")," ",""),8),5,2),--MID(LEFT(SUBSTITUTE(SUBSTITUTE(SUBSTITUTE(SUBSTITUTE(TRIM($AR906),"-",""),".",""),"/","")," ",""),8),7,2)),"")))</f>
        <v/>
      </c>
      <c r="AT906" s="33">
        <f>IF($AS906="","",IF($F$6="",0,IF(ISNUMBER(INDEX($A:$AP,ROW(),$F$6)),INDEX($A:$AP,ROW(),$F$6),IFERROR(--SUBSTITUTE(SUBSTITUTE(TRIM(INDEX($A:$AP,ROW(),$F$6)),",",""),"원",""),0))))</f>
        <v/>
      </c>
      <c r="AU906" s="31">
        <f>IF($AS906="","",IF($AX906&lt;&gt;"",SUBSTITUTE(SUBSTITUTE($AX906,"-","")," ",""),"N:"&amp;$AV906))</f>
        <v/>
      </c>
      <c r="AV906" s="31">
        <f>IF(OR($AS906="",$E$6=""),"",TRIM(INDEX($A:$AP,ROW(),$E$6)&amp;""))</f>
        <v/>
      </c>
      <c r="AW906" s="31">
        <f>IF($AU906="","",IF(MATCH($AU906,$AU$8:$AU$2007,0)=ROW()-7,MAX($AW$7:$AW905)+1,""))</f>
        <v/>
      </c>
      <c r="AX906" s="31">
        <f>IF(OR($AS906="",$D$6=""),"",TRIM(INDEX($A:$AP,ROW(),$D$6)&amp;""))</f>
        <v/>
      </c>
      <c r="AY906" s="31">
        <f>IF($AU906="","",INDEX($AW$8:$AW$2007,MATCH($AU906,$AU$8:$AU$2007,0)))</f>
        <v/>
      </c>
      <c r="AZ906" s="31">
        <f>IF(OR($AS906="",$C$6=""),"",TRIM(INDEX($A:$AP,ROW(),$C$6)&amp;""))</f>
        <v/>
      </c>
      <c r="BA906" s="31">
        <f>IF($AZ906="","",IF(COUNTIF($AZ$8:$AZ906,$AZ906)&gt;1,1,0))</f>
        <v/>
      </c>
    </row>
    <row r="907">
      <c r="AR907" s="31">
        <f>IF(OR($A$5="",$B$6="",ROW()&lt;$A$5),"",IF(INDEX($A:$AP,ROW(),$B$6)="","",INDEX($A:$AP,ROW(),$B$6)))</f>
        <v/>
      </c>
      <c r="AS907" s="32">
        <f>IF($AR907="","",IF(ISNUMBER($AR907),IF($AR907&gt;=10000000,IFERROR(DATE(INT($AR907/10000),MOD(INT($AR907/100),100),MOD($AR907,100)),""),INT($AR907)),IFERROR(DATE(--LEFT(LEFT(SUBSTITUTE(SUBSTITUTE(SUBSTITUTE(SUBSTITUTE(TRIM($AR907),"-",""),".",""),"/","")," ",""),8),4),--MID(LEFT(SUBSTITUTE(SUBSTITUTE(SUBSTITUTE(SUBSTITUTE(TRIM($AR907),"-",""),".",""),"/","")," ",""),8),5,2),--MID(LEFT(SUBSTITUTE(SUBSTITUTE(SUBSTITUTE(SUBSTITUTE(TRIM($AR907),"-",""),".",""),"/","")," ",""),8),7,2)),"")))</f>
        <v/>
      </c>
      <c r="AT907" s="33">
        <f>IF($AS907="","",IF($F$6="",0,IF(ISNUMBER(INDEX($A:$AP,ROW(),$F$6)),INDEX($A:$AP,ROW(),$F$6),IFERROR(--SUBSTITUTE(SUBSTITUTE(TRIM(INDEX($A:$AP,ROW(),$F$6)),",",""),"원",""),0))))</f>
        <v/>
      </c>
      <c r="AU907" s="31">
        <f>IF($AS907="","",IF($AX907&lt;&gt;"",SUBSTITUTE(SUBSTITUTE($AX907,"-","")," ",""),"N:"&amp;$AV907))</f>
        <v/>
      </c>
      <c r="AV907" s="31">
        <f>IF(OR($AS907="",$E$6=""),"",TRIM(INDEX($A:$AP,ROW(),$E$6)&amp;""))</f>
        <v/>
      </c>
      <c r="AW907" s="31">
        <f>IF($AU907="","",IF(MATCH($AU907,$AU$8:$AU$2007,0)=ROW()-7,MAX($AW$7:$AW906)+1,""))</f>
        <v/>
      </c>
      <c r="AX907" s="31">
        <f>IF(OR($AS907="",$D$6=""),"",TRIM(INDEX($A:$AP,ROW(),$D$6)&amp;""))</f>
        <v/>
      </c>
      <c r="AY907" s="31">
        <f>IF($AU907="","",INDEX($AW$8:$AW$2007,MATCH($AU907,$AU$8:$AU$2007,0)))</f>
        <v/>
      </c>
      <c r="AZ907" s="31">
        <f>IF(OR($AS907="",$C$6=""),"",TRIM(INDEX($A:$AP,ROW(),$C$6)&amp;""))</f>
        <v/>
      </c>
      <c r="BA907" s="31">
        <f>IF($AZ907="","",IF(COUNTIF($AZ$8:$AZ907,$AZ907)&gt;1,1,0))</f>
        <v/>
      </c>
    </row>
    <row r="908">
      <c r="AR908" s="31">
        <f>IF(OR($A$5="",$B$6="",ROW()&lt;$A$5),"",IF(INDEX($A:$AP,ROW(),$B$6)="","",INDEX($A:$AP,ROW(),$B$6)))</f>
        <v/>
      </c>
      <c r="AS908" s="32">
        <f>IF($AR908="","",IF(ISNUMBER($AR908),IF($AR908&gt;=10000000,IFERROR(DATE(INT($AR908/10000),MOD(INT($AR908/100),100),MOD($AR908,100)),""),INT($AR908)),IFERROR(DATE(--LEFT(LEFT(SUBSTITUTE(SUBSTITUTE(SUBSTITUTE(SUBSTITUTE(TRIM($AR908),"-",""),".",""),"/","")," ",""),8),4),--MID(LEFT(SUBSTITUTE(SUBSTITUTE(SUBSTITUTE(SUBSTITUTE(TRIM($AR908),"-",""),".",""),"/","")," ",""),8),5,2),--MID(LEFT(SUBSTITUTE(SUBSTITUTE(SUBSTITUTE(SUBSTITUTE(TRIM($AR908),"-",""),".",""),"/","")," ",""),8),7,2)),"")))</f>
        <v/>
      </c>
      <c r="AT908" s="33">
        <f>IF($AS908="","",IF($F$6="",0,IF(ISNUMBER(INDEX($A:$AP,ROW(),$F$6)),INDEX($A:$AP,ROW(),$F$6),IFERROR(--SUBSTITUTE(SUBSTITUTE(TRIM(INDEX($A:$AP,ROW(),$F$6)),",",""),"원",""),0))))</f>
        <v/>
      </c>
      <c r="AU908" s="31">
        <f>IF($AS908="","",IF($AX908&lt;&gt;"",SUBSTITUTE(SUBSTITUTE($AX908,"-","")," ",""),"N:"&amp;$AV908))</f>
        <v/>
      </c>
      <c r="AV908" s="31">
        <f>IF(OR($AS908="",$E$6=""),"",TRIM(INDEX($A:$AP,ROW(),$E$6)&amp;""))</f>
        <v/>
      </c>
      <c r="AW908" s="31">
        <f>IF($AU908="","",IF(MATCH($AU908,$AU$8:$AU$2007,0)=ROW()-7,MAX($AW$7:$AW907)+1,""))</f>
        <v/>
      </c>
      <c r="AX908" s="31">
        <f>IF(OR($AS908="",$D$6=""),"",TRIM(INDEX($A:$AP,ROW(),$D$6)&amp;""))</f>
        <v/>
      </c>
      <c r="AY908" s="31">
        <f>IF($AU908="","",INDEX($AW$8:$AW$2007,MATCH($AU908,$AU$8:$AU$2007,0)))</f>
        <v/>
      </c>
      <c r="AZ908" s="31">
        <f>IF(OR($AS908="",$C$6=""),"",TRIM(INDEX($A:$AP,ROW(),$C$6)&amp;""))</f>
        <v/>
      </c>
      <c r="BA908" s="31">
        <f>IF($AZ908="","",IF(COUNTIF($AZ$8:$AZ908,$AZ908)&gt;1,1,0))</f>
        <v/>
      </c>
    </row>
    <row r="909">
      <c r="AR909" s="31">
        <f>IF(OR($A$5="",$B$6="",ROW()&lt;$A$5),"",IF(INDEX($A:$AP,ROW(),$B$6)="","",INDEX($A:$AP,ROW(),$B$6)))</f>
        <v/>
      </c>
      <c r="AS909" s="32">
        <f>IF($AR909="","",IF(ISNUMBER($AR909),IF($AR909&gt;=10000000,IFERROR(DATE(INT($AR909/10000),MOD(INT($AR909/100),100),MOD($AR909,100)),""),INT($AR909)),IFERROR(DATE(--LEFT(LEFT(SUBSTITUTE(SUBSTITUTE(SUBSTITUTE(SUBSTITUTE(TRIM($AR909),"-",""),".",""),"/","")," ",""),8),4),--MID(LEFT(SUBSTITUTE(SUBSTITUTE(SUBSTITUTE(SUBSTITUTE(TRIM($AR909),"-",""),".",""),"/","")," ",""),8),5,2),--MID(LEFT(SUBSTITUTE(SUBSTITUTE(SUBSTITUTE(SUBSTITUTE(TRIM($AR909),"-",""),".",""),"/","")," ",""),8),7,2)),"")))</f>
        <v/>
      </c>
      <c r="AT909" s="33">
        <f>IF($AS909="","",IF($F$6="",0,IF(ISNUMBER(INDEX($A:$AP,ROW(),$F$6)),INDEX($A:$AP,ROW(),$F$6),IFERROR(--SUBSTITUTE(SUBSTITUTE(TRIM(INDEX($A:$AP,ROW(),$F$6)),",",""),"원",""),0))))</f>
        <v/>
      </c>
      <c r="AU909" s="31">
        <f>IF($AS909="","",IF($AX909&lt;&gt;"",SUBSTITUTE(SUBSTITUTE($AX909,"-","")," ",""),"N:"&amp;$AV909))</f>
        <v/>
      </c>
      <c r="AV909" s="31">
        <f>IF(OR($AS909="",$E$6=""),"",TRIM(INDEX($A:$AP,ROW(),$E$6)&amp;""))</f>
        <v/>
      </c>
      <c r="AW909" s="31">
        <f>IF($AU909="","",IF(MATCH($AU909,$AU$8:$AU$2007,0)=ROW()-7,MAX($AW$7:$AW908)+1,""))</f>
        <v/>
      </c>
      <c r="AX909" s="31">
        <f>IF(OR($AS909="",$D$6=""),"",TRIM(INDEX($A:$AP,ROW(),$D$6)&amp;""))</f>
        <v/>
      </c>
      <c r="AY909" s="31">
        <f>IF($AU909="","",INDEX($AW$8:$AW$2007,MATCH($AU909,$AU$8:$AU$2007,0)))</f>
        <v/>
      </c>
      <c r="AZ909" s="31">
        <f>IF(OR($AS909="",$C$6=""),"",TRIM(INDEX($A:$AP,ROW(),$C$6)&amp;""))</f>
        <v/>
      </c>
      <c r="BA909" s="31">
        <f>IF($AZ909="","",IF(COUNTIF($AZ$8:$AZ909,$AZ909)&gt;1,1,0))</f>
        <v/>
      </c>
    </row>
    <row r="910">
      <c r="AR910" s="31">
        <f>IF(OR($A$5="",$B$6="",ROW()&lt;$A$5),"",IF(INDEX($A:$AP,ROW(),$B$6)="","",INDEX($A:$AP,ROW(),$B$6)))</f>
        <v/>
      </c>
      <c r="AS910" s="32">
        <f>IF($AR910="","",IF(ISNUMBER($AR910),IF($AR910&gt;=10000000,IFERROR(DATE(INT($AR910/10000),MOD(INT($AR910/100),100),MOD($AR910,100)),""),INT($AR910)),IFERROR(DATE(--LEFT(LEFT(SUBSTITUTE(SUBSTITUTE(SUBSTITUTE(SUBSTITUTE(TRIM($AR910),"-",""),".",""),"/","")," ",""),8),4),--MID(LEFT(SUBSTITUTE(SUBSTITUTE(SUBSTITUTE(SUBSTITUTE(TRIM($AR910),"-",""),".",""),"/","")," ",""),8),5,2),--MID(LEFT(SUBSTITUTE(SUBSTITUTE(SUBSTITUTE(SUBSTITUTE(TRIM($AR910),"-",""),".",""),"/","")," ",""),8),7,2)),"")))</f>
        <v/>
      </c>
      <c r="AT910" s="33">
        <f>IF($AS910="","",IF($F$6="",0,IF(ISNUMBER(INDEX($A:$AP,ROW(),$F$6)),INDEX($A:$AP,ROW(),$F$6),IFERROR(--SUBSTITUTE(SUBSTITUTE(TRIM(INDEX($A:$AP,ROW(),$F$6)),",",""),"원",""),0))))</f>
        <v/>
      </c>
      <c r="AU910" s="31">
        <f>IF($AS910="","",IF($AX910&lt;&gt;"",SUBSTITUTE(SUBSTITUTE($AX910,"-","")," ",""),"N:"&amp;$AV910))</f>
        <v/>
      </c>
      <c r="AV910" s="31">
        <f>IF(OR($AS910="",$E$6=""),"",TRIM(INDEX($A:$AP,ROW(),$E$6)&amp;""))</f>
        <v/>
      </c>
      <c r="AW910" s="31">
        <f>IF($AU910="","",IF(MATCH($AU910,$AU$8:$AU$2007,0)=ROW()-7,MAX($AW$7:$AW909)+1,""))</f>
        <v/>
      </c>
      <c r="AX910" s="31">
        <f>IF(OR($AS910="",$D$6=""),"",TRIM(INDEX($A:$AP,ROW(),$D$6)&amp;""))</f>
        <v/>
      </c>
      <c r="AY910" s="31">
        <f>IF($AU910="","",INDEX($AW$8:$AW$2007,MATCH($AU910,$AU$8:$AU$2007,0)))</f>
        <v/>
      </c>
      <c r="AZ910" s="31">
        <f>IF(OR($AS910="",$C$6=""),"",TRIM(INDEX($A:$AP,ROW(),$C$6)&amp;""))</f>
        <v/>
      </c>
      <c r="BA910" s="31">
        <f>IF($AZ910="","",IF(COUNTIF($AZ$8:$AZ910,$AZ910)&gt;1,1,0))</f>
        <v/>
      </c>
    </row>
    <row r="911">
      <c r="AR911" s="31">
        <f>IF(OR($A$5="",$B$6="",ROW()&lt;$A$5),"",IF(INDEX($A:$AP,ROW(),$B$6)="","",INDEX($A:$AP,ROW(),$B$6)))</f>
        <v/>
      </c>
      <c r="AS911" s="32">
        <f>IF($AR911="","",IF(ISNUMBER($AR911),IF($AR911&gt;=10000000,IFERROR(DATE(INT($AR911/10000),MOD(INT($AR911/100),100),MOD($AR911,100)),""),INT($AR911)),IFERROR(DATE(--LEFT(LEFT(SUBSTITUTE(SUBSTITUTE(SUBSTITUTE(SUBSTITUTE(TRIM($AR911),"-",""),".",""),"/","")," ",""),8),4),--MID(LEFT(SUBSTITUTE(SUBSTITUTE(SUBSTITUTE(SUBSTITUTE(TRIM($AR911),"-",""),".",""),"/","")," ",""),8),5,2),--MID(LEFT(SUBSTITUTE(SUBSTITUTE(SUBSTITUTE(SUBSTITUTE(TRIM($AR911),"-",""),".",""),"/","")," ",""),8),7,2)),"")))</f>
        <v/>
      </c>
      <c r="AT911" s="33">
        <f>IF($AS911="","",IF($F$6="",0,IF(ISNUMBER(INDEX($A:$AP,ROW(),$F$6)),INDEX($A:$AP,ROW(),$F$6),IFERROR(--SUBSTITUTE(SUBSTITUTE(TRIM(INDEX($A:$AP,ROW(),$F$6)),",",""),"원",""),0))))</f>
        <v/>
      </c>
      <c r="AU911" s="31">
        <f>IF($AS911="","",IF($AX911&lt;&gt;"",SUBSTITUTE(SUBSTITUTE($AX911,"-","")," ",""),"N:"&amp;$AV911))</f>
        <v/>
      </c>
      <c r="AV911" s="31">
        <f>IF(OR($AS911="",$E$6=""),"",TRIM(INDEX($A:$AP,ROW(),$E$6)&amp;""))</f>
        <v/>
      </c>
      <c r="AW911" s="31">
        <f>IF($AU911="","",IF(MATCH($AU911,$AU$8:$AU$2007,0)=ROW()-7,MAX($AW$7:$AW910)+1,""))</f>
        <v/>
      </c>
      <c r="AX911" s="31">
        <f>IF(OR($AS911="",$D$6=""),"",TRIM(INDEX($A:$AP,ROW(),$D$6)&amp;""))</f>
        <v/>
      </c>
      <c r="AY911" s="31">
        <f>IF($AU911="","",INDEX($AW$8:$AW$2007,MATCH($AU911,$AU$8:$AU$2007,0)))</f>
        <v/>
      </c>
      <c r="AZ911" s="31">
        <f>IF(OR($AS911="",$C$6=""),"",TRIM(INDEX($A:$AP,ROW(),$C$6)&amp;""))</f>
        <v/>
      </c>
      <c r="BA911" s="31">
        <f>IF($AZ911="","",IF(COUNTIF($AZ$8:$AZ911,$AZ911)&gt;1,1,0))</f>
        <v/>
      </c>
    </row>
    <row r="912">
      <c r="AR912" s="31">
        <f>IF(OR($A$5="",$B$6="",ROW()&lt;$A$5),"",IF(INDEX($A:$AP,ROW(),$B$6)="","",INDEX($A:$AP,ROW(),$B$6)))</f>
        <v/>
      </c>
      <c r="AS912" s="32">
        <f>IF($AR912="","",IF(ISNUMBER($AR912),IF($AR912&gt;=10000000,IFERROR(DATE(INT($AR912/10000),MOD(INT($AR912/100),100),MOD($AR912,100)),""),INT($AR912)),IFERROR(DATE(--LEFT(LEFT(SUBSTITUTE(SUBSTITUTE(SUBSTITUTE(SUBSTITUTE(TRIM($AR912),"-",""),".",""),"/","")," ",""),8),4),--MID(LEFT(SUBSTITUTE(SUBSTITUTE(SUBSTITUTE(SUBSTITUTE(TRIM($AR912),"-",""),".",""),"/","")," ",""),8),5,2),--MID(LEFT(SUBSTITUTE(SUBSTITUTE(SUBSTITUTE(SUBSTITUTE(TRIM($AR912),"-",""),".",""),"/","")," ",""),8),7,2)),"")))</f>
        <v/>
      </c>
      <c r="AT912" s="33">
        <f>IF($AS912="","",IF($F$6="",0,IF(ISNUMBER(INDEX($A:$AP,ROW(),$F$6)),INDEX($A:$AP,ROW(),$F$6),IFERROR(--SUBSTITUTE(SUBSTITUTE(TRIM(INDEX($A:$AP,ROW(),$F$6)),",",""),"원",""),0))))</f>
        <v/>
      </c>
      <c r="AU912" s="31">
        <f>IF($AS912="","",IF($AX912&lt;&gt;"",SUBSTITUTE(SUBSTITUTE($AX912,"-","")," ",""),"N:"&amp;$AV912))</f>
        <v/>
      </c>
      <c r="AV912" s="31">
        <f>IF(OR($AS912="",$E$6=""),"",TRIM(INDEX($A:$AP,ROW(),$E$6)&amp;""))</f>
        <v/>
      </c>
      <c r="AW912" s="31">
        <f>IF($AU912="","",IF(MATCH($AU912,$AU$8:$AU$2007,0)=ROW()-7,MAX($AW$7:$AW911)+1,""))</f>
        <v/>
      </c>
      <c r="AX912" s="31">
        <f>IF(OR($AS912="",$D$6=""),"",TRIM(INDEX($A:$AP,ROW(),$D$6)&amp;""))</f>
        <v/>
      </c>
      <c r="AY912" s="31">
        <f>IF($AU912="","",INDEX($AW$8:$AW$2007,MATCH($AU912,$AU$8:$AU$2007,0)))</f>
        <v/>
      </c>
      <c r="AZ912" s="31">
        <f>IF(OR($AS912="",$C$6=""),"",TRIM(INDEX($A:$AP,ROW(),$C$6)&amp;""))</f>
        <v/>
      </c>
      <c r="BA912" s="31">
        <f>IF($AZ912="","",IF(COUNTIF($AZ$8:$AZ912,$AZ912)&gt;1,1,0))</f>
        <v/>
      </c>
    </row>
    <row r="913">
      <c r="AR913" s="31">
        <f>IF(OR($A$5="",$B$6="",ROW()&lt;$A$5),"",IF(INDEX($A:$AP,ROW(),$B$6)="","",INDEX($A:$AP,ROW(),$B$6)))</f>
        <v/>
      </c>
      <c r="AS913" s="32">
        <f>IF($AR913="","",IF(ISNUMBER($AR913),IF($AR913&gt;=10000000,IFERROR(DATE(INT($AR913/10000),MOD(INT($AR913/100),100),MOD($AR913,100)),""),INT($AR913)),IFERROR(DATE(--LEFT(LEFT(SUBSTITUTE(SUBSTITUTE(SUBSTITUTE(SUBSTITUTE(TRIM($AR913),"-",""),".",""),"/","")," ",""),8),4),--MID(LEFT(SUBSTITUTE(SUBSTITUTE(SUBSTITUTE(SUBSTITUTE(TRIM($AR913),"-",""),".",""),"/","")," ",""),8),5,2),--MID(LEFT(SUBSTITUTE(SUBSTITUTE(SUBSTITUTE(SUBSTITUTE(TRIM($AR913),"-",""),".",""),"/","")," ",""),8),7,2)),"")))</f>
        <v/>
      </c>
      <c r="AT913" s="33">
        <f>IF($AS913="","",IF($F$6="",0,IF(ISNUMBER(INDEX($A:$AP,ROW(),$F$6)),INDEX($A:$AP,ROW(),$F$6),IFERROR(--SUBSTITUTE(SUBSTITUTE(TRIM(INDEX($A:$AP,ROW(),$F$6)),",",""),"원",""),0))))</f>
        <v/>
      </c>
      <c r="AU913" s="31">
        <f>IF($AS913="","",IF($AX913&lt;&gt;"",SUBSTITUTE(SUBSTITUTE($AX913,"-","")," ",""),"N:"&amp;$AV913))</f>
        <v/>
      </c>
      <c r="AV913" s="31">
        <f>IF(OR($AS913="",$E$6=""),"",TRIM(INDEX($A:$AP,ROW(),$E$6)&amp;""))</f>
        <v/>
      </c>
      <c r="AW913" s="31">
        <f>IF($AU913="","",IF(MATCH($AU913,$AU$8:$AU$2007,0)=ROW()-7,MAX($AW$7:$AW912)+1,""))</f>
        <v/>
      </c>
      <c r="AX913" s="31">
        <f>IF(OR($AS913="",$D$6=""),"",TRIM(INDEX($A:$AP,ROW(),$D$6)&amp;""))</f>
        <v/>
      </c>
      <c r="AY913" s="31">
        <f>IF($AU913="","",INDEX($AW$8:$AW$2007,MATCH($AU913,$AU$8:$AU$2007,0)))</f>
        <v/>
      </c>
      <c r="AZ913" s="31">
        <f>IF(OR($AS913="",$C$6=""),"",TRIM(INDEX($A:$AP,ROW(),$C$6)&amp;""))</f>
        <v/>
      </c>
      <c r="BA913" s="31">
        <f>IF($AZ913="","",IF(COUNTIF($AZ$8:$AZ913,$AZ913)&gt;1,1,0))</f>
        <v/>
      </c>
    </row>
    <row r="914">
      <c r="AR914" s="31">
        <f>IF(OR($A$5="",$B$6="",ROW()&lt;$A$5),"",IF(INDEX($A:$AP,ROW(),$B$6)="","",INDEX($A:$AP,ROW(),$B$6)))</f>
        <v/>
      </c>
      <c r="AS914" s="32">
        <f>IF($AR914="","",IF(ISNUMBER($AR914),IF($AR914&gt;=10000000,IFERROR(DATE(INT($AR914/10000),MOD(INT($AR914/100),100),MOD($AR914,100)),""),INT($AR914)),IFERROR(DATE(--LEFT(LEFT(SUBSTITUTE(SUBSTITUTE(SUBSTITUTE(SUBSTITUTE(TRIM($AR914),"-",""),".",""),"/","")," ",""),8),4),--MID(LEFT(SUBSTITUTE(SUBSTITUTE(SUBSTITUTE(SUBSTITUTE(TRIM($AR914),"-",""),".",""),"/","")," ",""),8),5,2),--MID(LEFT(SUBSTITUTE(SUBSTITUTE(SUBSTITUTE(SUBSTITUTE(TRIM($AR914),"-",""),".",""),"/","")," ",""),8),7,2)),"")))</f>
        <v/>
      </c>
      <c r="AT914" s="33">
        <f>IF($AS914="","",IF($F$6="",0,IF(ISNUMBER(INDEX($A:$AP,ROW(),$F$6)),INDEX($A:$AP,ROW(),$F$6),IFERROR(--SUBSTITUTE(SUBSTITUTE(TRIM(INDEX($A:$AP,ROW(),$F$6)),",",""),"원",""),0))))</f>
        <v/>
      </c>
      <c r="AU914" s="31">
        <f>IF($AS914="","",IF($AX914&lt;&gt;"",SUBSTITUTE(SUBSTITUTE($AX914,"-","")," ",""),"N:"&amp;$AV914))</f>
        <v/>
      </c>
      <c r="AV914" s="31">
        <f>IF(OR($AS914="",$E$6=""),"",TRIM(INDEX($A:$AP,ROW(),$E$6)&amp;""))</f>
        <v/>
      </c>
      <c r="AW914" s="31">
        <f>IF($AU914="","",IF(MATCH($AU914,$AU$8:$AU$2007,0)=ROW()-7,MAX($AW$7:$AW913)+1,""))</f>
        <v/>
      </c>
      <c r="AX914" s="31">
        <f>IF(OR($AS914="",$D$6=""),"",TRIM(INDEX($A:$AP,ROW(),$D$6)&amp;""))</f>
        <v/>
      </c>
      <c r="AY914" s="31">
        <f>IF($AU914="","",INDEX($AW$8:$AW$2007,MATCH($AU914,$AU$8:$AU$2007,0)))</f>
        <v/>
      </c>
      <c r="AZ914" s="31">
        <f>IF(OR($AS914="",$C$6=""),"",TRIM(INDEX($A:$AP,ROW(),$C$6)&amp;""))</f>
        <v/>
      </c>
      <c r="BA914" s="31">
        <f>IF($AZ914="","",IF(COUNTIF($AZ$8:$AZ914,$AZ914)&gt;1,1,0))</f>
        <v/>
      </c>
    </row>
    <row r="915">
      <c r="AR915" s="31">
        <f>IF(OR($A$5="",$B$6="",ROW()&lt;$A$5),"",IF(INDEX($A:$AP,ROW(),$B$6)="","",INDEX($A:$AP,ROW(),$B$6)))</f>
        <v/>
      </c>
      <c r="AS915" s="32">
        <f>IF($AR915="","",IF(ISNUMBER($AR915),IF($AR915&gt;=10000000,IFERROR(DATE(INT($AR915/10000),MOD(INT($AR915/100),100),MOD($AR915,100)),""),INT($AR915)),IFERROR(DATE(--LEFT(LEFT(SUBSTITUTE(SUBSTITUTE(SUBSTITUTE(SUBSTITUTE(TRIM($AR915),"-",""),".",""),"/","")," ",""),8),4),--MID(LEFT(SUBSTITUTE(SUBSTITUTE(SUBSTITUTE(SUBSTITUTE(TRIM($AR915),"-",""),".",""),"/","")," ",""),8),5,2),--MID(LEFT(SUBSTITUTE(SUBSTITUTE(SUBSTITUTE(SUBSTITUTE(TRIM($AR915),"-",""),".",""),"/","")," ",""),8),7,2)),"")))</f>
        <v/>
      </c>
      <c r="AT915" s="33">
        <f>IF($AS915="","",IF($F$6="",0,IF(ISNUMBER(INDEX($A:$AP,ROW(),$F$6)),INDEX($A:$AP,ROW(),$F$6),IFERROR(--SUBSTITUTE(SUBSTITUTE(TRIM(INDEX($A:$AP,ROW(),$F$6)),",",""),"원",""),0))))</f>
        <v/>
      </c>
      <c r="AU915" s="31">
        <f>IF($AS915="","",IF($AX915&lt;&gt;"",SUBSTITUTE(SUBSTITUTE($AX915,"-","")," ",""),"N:"&amp;$AV915))</f>
        <v/>
      </c>
      <c r="AV915" s="31">
        <f>IF(OR($AS915="",$E$6=""),"",TRIM(INDEX($A:$AP,ROW(),$E$6)&amp;""))</f>
        <v/>
      </c>
      <c r="AW915" s="31">
        <f>IF($AU915="","",IF(MATCH($AU915,$AU$8:$AU$2007,0)=ROW()-7,MAX($AW$7:$AW914)+1,""))</f>
        <v/>
      </c>
      <c r="AX915" s="31">
        <f>IF(OR($AS915="",$D$6=""),"",TRIM(INDEX($A:$AP,ROW(),$D$6)&amp;""))</f>
        <v/>
      </c>
      <c r="AY915" s="31">
        <f>IF($AU915="","",INDEX($AW$8:$AW$2007,MATCH($AU915,$AU$8:$AU$2007,0)))</f>
        <v/>
      </c>
      <c r="AZ915" s="31">
        <f>IF(OR($AS915="",$C$6=""),"",TRIM(INDEX($A:$AP,ROW(),$C$6)&amp;""))</f>
        <v/>
      </c>
      <c r="BA915" s="31">
        <f>IF($AZ915="","",IF(COUNTIF($AZ$8:$AZ915,$AZ915)&gt;1,1,0))</f>
        <v/>
      </c>
    </row>
    <row r="916">
      <c r="AR916" s="31">
        <f>IF(OR($A$5="",$B$6="",ROW()&lt;$A$5),"",IF(INDEX($A:$AP,ROW(),$B$6)="","",INDEX($A:$AP,ROW(),$B$6)))</f>
        <v/>
      </c>
      <c r="AS916" s="32">
        <f>IF($AR916="","",IF(ISNUMBER($AR916),IF($AR916&gt;=10000000,IFERROR(DATE(INT($AR916/10000),MOD(INT($AR916/100),100),MOD($AR916,100)),""),INT($AR916)),IFERROR(DATE(--LEFT(LEFT(SUBSTITUTE(SUBSTITUTE(SUBSTITUTE(SUBSTITUTE(TRIM($AR916),"-",""),".",""),"/","")," ",""),8),4),--MID(LEFT(SUBSTITUTE(SUBSTITUTE(SUBSTITUTE(SUBSTITUTE(TRIM($AR916),"-",""),".",""),"/","")," ",""),8),5,2),--MID(LEFT(SUBSTITUTE(SUBSTITUTE(SUBSTITUTE(SUBSTITUTE(TRIM($AR916),"-",""),".",""),"/","")," ",""),8),7,2)),"")))</f>
        <v/>
      </c>
      <c r="AT916" s="33">
        <f>IF($AS916="","",IF($F$6="",0,IF(ISNUMBER(INDEX($A:$AP,ROW(),$F$6)),INDEX($A:$AP,ROW(),$F$6),IFERROR(--SUBSTITUTE(SUBSTITUTE(TRIM(INDEX($A:$AP,ROW(),$F$6)),",",""),"원",""),0))))</f>
        <v/>
      </c>
      <c r="AU916" s="31">
        <f>IF($AS916="","",IF($AX916&lt;&gt;"",SUBSTITUTE(SUBSTITUTE($AX916,"-","")," ",""),"N:"&amp;$AV916))</f>
        <v/>
      </c>
      <c r="AV916" s="31">
        <f>IF(OR($AS916="",$E$6=""),"",TRIM(INDEX($A:$AP,ROW(),$E$6)&amp;""))</f>
        <v/>
      </c>
      <c r="AW916" s="31">
        <f>IF($AU916="","",IF(MATCH($AU916,$AU$8:$AU$2007,0)=ROW()-7,MAX($AW$7:$AW915)+1,""))</f>
        <v/>
      </c>
      <c r="AX916" s="31">
        <f>IF(OR($AS916="",$D$6=""),"",TRIM(INDEX($A:$AP,ROW(),$D$6)&amp;""))</f>
        <v/>
      </c>
      <c r="AY916" s="31">
        <f>IF($AU916="","",INDEX($AW$8:$AW$2007,MATCH($AU916,$AU$8:$AU$2007,0)))</f>
        <v/>
      </c>
      <c r="AZ916" s="31">
        <f>IF(OR($AS916="",$C$6=""),"",TRIM(INDEX($A:$AP,ROW(),$C$6)&amp;""))</f>
        <v/>
      </c>
      <c r="BA916" s="31">
        <f>IF($AZ916="","",IF(COUNTIF($AZ$8:$AZ916,$AZ916)&gt;1,1,0))</f>
        <v/>
      </c>
    </row>
    <row r="917">
      <c r="AR917" s="31">
        <f>IF(OR($A$5="",$B$6="",ROW()&lt;$A$5),"",IF(INDEX($A:$AP,ROW(),$B$6)="","",INDEX($A:$AP,ROW(),$B$6)))</f>
        <v/>
      </c>
      <c r="AS917" s="32">
        <f>IF($AR917="","",IF(ISNUMBER($AR917),IF($AR917&gt;=10000000,IFERROR(DATE(INT($AR917/10000),MOD(INT($AR917/100),100),MOD($AR917,100)),""),INT($AR917)),IFERROR(DATE(--LEFT(LEFT(SUBSTITUTE(SUBSTITUTE(SUBSTITUTE(SUBSTITUTE(TRIM($AR917),"-",""),".",""),"/","")," ",""),8),4),--MID(LEFT(SUBSTITUTE(SUBSTITUTE(SUBSTITUTE(SUBSTITUTE(TRIM($AR917),"-",""),".",""),"/","")," ",""),8),5,2),--MID(LEFT(SUBSTITUTE(SUBSTITUTE(SUBSTITUTE(SUBSTITUTE(TRIM($AR917),"-",""),".",""),"/","")," ",""),8),7,2)),"")))</f>
        <v/>
      </c>
      <c r="AT917" s="33">
        <f>IF($AS917="","",IF($F$6="",0,IF(ISNUMBER(INDEX($A:$AP,ROW(),$F$6)),INDEX($A:$AP,ROW(),$F$6),IFERROR(--SUBSTITUTE(SUBSTITUTE(TRIM(INDEX($A:$AP,ROW(),$F$6)),",",""),"원",""),0))))</f>
        <v/>
      </c>
      <c r="AU917" s="31">
        <f>IF($AS917="","",IF($AX917&lt;&gt;"",SUBSTITUTE(SUBSTITUTE($AX917,"-","")," ",""),"N:"&amp;$AV917))</f>
        <v/>
      </c>
      <c r="AV917" s="31">
        <f>IF(OR($AS917="",$E$6=""),"",TRIM(INDEX($A:$AP,ROW(),$E$6)&amp;""))</f>
        <v/>
      </c>
      <c r="AW917" s="31">
        <f>IF($AU917="","",IF(MATCH($AU917,$AU$8:$AU$2007,0)=ROW()-7,MAX($AW$7:$AW916)+1,""))</f>
        <v/>
      </c>
      <c r="AX917" s="31">
        <f>IF(OR($AS917="",$D$6=""),"",TRIM(INDEX($A:$AP,ROW(),$D$6)&amp;""))</f>
        <v/>
      </c>
      <c r="AY917" s="31">
        <f>IF($AU917="","",INDEX($AW$8:$AW$2007,MATCH($AU917,$AU$8:$AU$2007,0)))</f>
        <v/>
      </c>
      <c r="AZ917" s="31">
        <f>IF(OR($AS917="",$C$6=""),"",TRIM(INDEX($A:$AP,ROW(),$C$6)&amp;""))</f>
        <v/>
      </c>
      <c r="BA917" s="31">
        <f>IF($AZ917="","",IF(COUNTIF($AZ$8:$AZ917,$AZ917)&gt;1,1,0))</f>
        <v/>
      </c>
    </row>
    <row r="918">
      <c r="AR918" s="31">
        <f>IF(OR($A$5="",$B$6="",ROW()&lt;$A$5),"",IF(INDEX($A:$AP,ROW(),$B$6)="","",INDEX($A:$AP,ROW(),$B$6)))</f>
        <v/>
      </c>
      <c r="AS918" s="32">
        <f>IF($AR918="","",IF(ISNUMBER($AR918),IF($AR918&gt;=10000000,IFERROR(DATE(INT($AR918/10000),MOD(INT($AR918/100),100),MOD($AR918,100)),""),INT($AR918)),IFERROR(DATE(--LEFT(LEFT(SUBSTITUTE(SUBSTITUTE(SUBSTITUTE(SUBSTITUTE(TRIM($AR918),"-",""),".",""),"/","")," ",""),8),4),--MID(LEFT(SUBSTITUTE(SUBSTITUTE(SUBSTITUTE(SUBSTITUTE(TRIM($AR918),"-",""),".",""),"/","")," ",""),8),5,2),--MID(LEFT(SUBSTITUTE(SUBSTITUTE(SUBSTITUTE(SUBSTITUTE(TRIM($AR918),"-",""),".",""),"/","")," ",""),8),7,2)),"")))</f>
        <v/>
      </c>
      <c r="AT918" s="33">
        <f>IF($AS918="","",IF($F$6="",0,IF(ISNUMBER(INDEX($A:$AP,ROW(),$F$6)),INDEX($A:$AP,ROW(),$F$6),IFERROR(--SUBSTITUTE(SUBSTITUTE(TRIM(INDEX($A:$AP,ROW(),$F$6)),",",""),"원",""),0))))</f>
        <v/>
      </c>
      <c r="AU918" s="31">
        <f>IF($AS918="","",IF($AX918&lt;&gt;"",SUBSTITUTE(SUBSTITUTE($AX918,"-","")," ",""),"N:"&amp;$AV918))</f>
        <v/>
      </c>
      <c r="AV918" s="31">
        <f>IF(OR($AS918="",$E$6=""),"",TRIM(INDEX($A:$AP,ROW(),$E$6)&amp;""))</f>
        <v/>
      </c>
      <c r="AW918" s="31">
        <f>IF($AU918="","",IF(MATCH($AU918,$AU$8:$AU$2007,0)=ROW()-7,MAX($AW$7:$AW917)+1,""))</f>
        <v/>
      </c>
      <c r="AX918" s="31">
        <f>IF(OR($AS918="",$D$6=""),"",TRIM(INDEX($A:$AP,ROW(),$D$6)&amp;""))</f>
        <v/>
      </c>
      <c r="AY918" s="31">
        <f>IF($AU918="","",INDEX($AW$8:$AW$2007,MATCH($AU918,$AU$8:$AU$2007,0)))</f>
        <v/>
      </c>
      <c r="AZ918" s="31">
        <f>IF(OR($AS918="",$C$6=""),"",TRIM(INDEX($A:$AP,ROW(),$C$6)&amp;""))</f>
        <v/>
      </c>
      <c r="BA918" s="31">
        <f>IF($AZ918="","",IF(COUNTIF($AZ$8:$AZ918,$AZ918)&gt;1,1,0))</f>
        <v/>
      </c>
    </row>
    <row r="919">
      <c r="AR919" s="31">
        <f>IF(OR($A$5="",$B$6="",ROW()&lt;$A$5),"",IF(INDEX($A:$AP,ROW(),$B$6)="","",INDEX($A:$AP,ROW(),$B$6)))</f>
        <v/>
      </c>
      <c r="AS919" s="32">
        <f>IF($AR919="","",IF(ISNUMBER($AR919),IF($AR919&gt;=10000000,IFERROR(DATE(INT($AR919/10000),MOD(INT($AR919/100),100),MOD($AR919,100)),""),INT($AR919)),IFERROR(DATE(--LEFT(LEFT(SUBSTITUTE(SUBSTITUTE(SUBSTITUTE(SUBSTITUTE(TRIM($AR919),"-",""),".",""),"/","")," ",""),8),4),--MID(LEFT(SUBSTITUTE(SUBSTITUTE(SUBSTITUTE(SUBSTITUTE(TRIM($AR919),"-",""),".",""),"/","")," ",""),8),5,2),--MID(LEFT(SUBSTITUTE(SUBSTITUTE(SUBSTITUTE(SUBSTITUTE(TRIM($AR919),"-",""),".",""),"/","")," ",""),8),7,2)),"")))</f>
        <v/>
      </c>
      <c r="AT919" s="33">
        <f>IF($AS919="","",IF($F$6="",0,IF(ISNUMBER(INDEX($A:$AP,ROW(),$F$6)),INDEX($A:$AP,ROW(),$F$6),IFERROR(--SUBSTITUTE(SUBSTITUTE(TRIM(INDEX($A:$AP,ROW(),$F$6)),",",""),"원",""),0))))</f>
        <v/>
      </c>
      <c r="AU919" s="31">
        <f>IF($AS919="","",IF($AX919&lt;&gt;"",SUBSTITUTE(SUBSTITUTE($AX919,"-","")," ",""),"N:"&amp;$AV919))</f>
        <v/>
      </c>
      <c r="AV919" s="31">
        <f>IF(OR($AS919="",$E$6=""),"",TRIM(INDEX($A:$AP,ROW(),$E$6)&amp;""))</f>
        <v/>
      </c>
      <c r="AW919" s="31">
        <f>IF($AU919="","",IF(MATCH($AU919,$AU$8:$AU$2007,0)=ROW()-7,MAX($AW$7:$AW918)+1,""))</f>
        <v/>
      </c>
      <c r="AX919" s="31">
        <f>IF(OR($AS919="",$D$6=""),"",TRIM(INDEX($A:$AP,ROW(),$D$6)&amp;""))</f>
        <v/>
      </c>
      <c r="AY919" s="31">
        <f>IF($AU919="","",INDEX($AW$8:$AW$2007,MATCH($AU919,$AU$8:$AU$2007,0)))</f>
        <v/>
      </c>
      <c r="AZ919" s="31">
        <f>IF(OR($AS919="",$C$6=""),"",TRIM(INDEX($A:$AP,ROW(),$C$6)&amp;""))</f>
        <v/>
      </c>
      <c r="BA919" s="31">
        <f>IF($AZ919="","",IF(COUNTIF($AZ$8:$AZ919,$AZ919)&gt;1,1,0))</f>
        <v/>
      </c>
    </row>
    <row r="920">
      <c r="AR920" s="31">
        <f>IF(OR($A$5="",$B$6="",ROW()&lt;$A$5),"",IF(INDEX($A:$AP,ROW(),$B$6)="","",INDEX($A:$AP,ROW(),$B$6)))</f>
        <v/>
      </c>
      <c r="AS920" s="32">
        <f>IF($AR920="","",IF(ISNUMBER($AR920),IF($AR920&gt;=10000000,IFERROR(DATE(INT($AR920/10000),MOD(INT($AR920/100),100),MOD($AR920,100)),""),INT($AR920)),IFERROR(DATE(--LEFT(LEFT(SUBSTITUTE(SUBSTITUTE(SUBSTITUTE(SUBSTITUTE(TRIM($AR920),"-",""),".",""),"/","")," ",""),8),4),--MID(LEFT(SUBSTITUTE(SUBSTITUTE(SUBSTITUTE(SUBSTITUTE(TRIM($AR920),"-",""),".",""),"/","")," ",""),8),5,2),--MID(LEFT(SUBSTITUTE(SUBSTITUTE(SUBSTITUTE(SUBSTITUTE(TRIM($AR920),"-",""),".",""),"/","")," ",""),8),7,2)),"")))</f>
        <v/>
      </c>
      <c r="AT920" s="33">
        <f>IF($AS920="","",IF($F$6="",0,IF(ISNUMBER(INDEX($A:$AP,ROW(),$F$6)),INDEX($A:$AP,ROW(),$F$6),IFERROR(--SUBSTITUTE(SUBSTITUTE(TRIM(INDEX($A:$AP,ROW(),$F$6)),",",""),"원",""),0))))</f>
        <v/>
      </c>
      <c r="AU920" s="31">
        <f>IF($AS920="","",IF($AX920&lt;&gt;"",SUBSTITUTE(SUBSTITUTE($AX920,"-","")," ",""),"N:"&amp;$AV920))</f>
        <v/>
      </c>
      <c r="AV920" s="31">
        <f>IF(OR($AS920="",$E$6=""),"",TRIM(INDEX($A:$AP,ROW(),$E$6)&amp;""))</f>
        <v/>
      </c>
      <c r="AW920" s="31">
        <f>IF($AU920="","",IF(MATCH($AU920,$AU$8:$AU$2007,0)=ROW()-7,MAX($AW$7:$AW919)+1,""))</f>
        <v/>
      </c>
      <c r="AX920" s="31">
        <f>IF(OR($AS920="",$D$6=""),"",TRIM(INDEX($A:$AP,ROW(),$D$6)&amp;""))</f>
        <v/>
      </c>
      <c r="AY920" s="31">
        <f>IF($AU920="","",INDEX($AW$8:$AW$2007,MATCH($AU920,$AU$8:$AU$2007,0)))</f>
        <v/>
      </c>
      <c r="AZ920" s="31">
        <f>IF(OR($AS920="",$C$6=""),"",TRIM(INDEX($A:$AP,ROW(),$C$6)&amp;""))</f>
        <v/>
      </c>
      <c r="BA920" s="31">
        <f>IF($AZ920="","",IF(COUNTIF($AZ$8:$AZ920,$AZ920)&gt;1,1,0))</f>
        <v/>
      </c>
    </row>
    <row r="921">
      <c r="AR921" s="31">
        <f>IF(OR($A$5="",$B$6="",ROW()&lt;$A$5),"",IF(INDEX($A:$AP,ROW(),$B$6)="","",INDEX($A:$AP,ROW(),$B$6)))</f>
        <v/>
      </c>
      <c r="AS921" s="32">
        <f>IF($AR921="","",IF(ISNUMBER($AR921),IF($AR921&gt;=10000000,IFERROR(DATE(INT($AR921/10000),MOD(INT($AR921/100),100),MOD($AR921,100)),""),INT($AR921)),IFERROR(DATE(--LEFT(LEFT(SUBSTITUTE(SUBSTITUTE(SUBSTITUTE(SUBSTITUTE(TRIM($AR921),"-",""),".",""),"/","")," ",""),8),4),--MID(LEFT(SUBSTITUTE(SUBSTITUTE(SUBSTITUTE(SUBSTITUTE(TRIM($AR921),"-",""),".",""),"/","")," ",""),8),5,2),--MID(LEFT(SUBSTITUTE(SUBSTITUTE(SUBSTITUTE(SUBSTITUTE(TRIM($AR921),"-",""),".",""),"/","")," ",""),8),7,2)),"")))</f>
        <v/>
      </c>
      <c r="AT921" s="33">
        <f>IF($AS921="","",IF($F$6="",0,IF(ISNUMBER(INDEX($A:$AP,ROW(),$F$6)),INDEX($A:$AP,ROW(),$F$6),IFERROR(--SUBSTITUTE(SUBSTITUTE(TRIM(INDEX($A:$AP,ROW(),$F$6)),",",""),"원",""),0))))</f>
        <v/>
      </c>
      <c r="AU921" s="31">
        <f>IF($AS921="","",IF($AX921&lt;&gt;"",SUBSTITUTE(SUBSTITUTE($AX921,"-","")," ",""),"N:"&amp;$AV921))</f>
        <v/>
      </c>
      <c r="AV921" s="31">
        <f>IF(OR($AS921="",$E$6=""),"",TRIM(INDEX($A:$AP,ROW(),$E$6)&amp;""))</f>
        <v/>
      </c>
      <c r="AW921" s="31">
        <f>IF($AU921="","",IF(MATCH($AU921,$AU$8:$AU$2007,0)=ROW()-7,MAX($AW$7:$AW920)+1,""))</f>
        <v/>
      </c>
      <c r="AX921" s="31">
        <f>IF(OR($AS921="",$D$6=""),"",TRIM(INDEX($A:$AP,ROW(),$D$6)&amp;""))</f>
        <v/>
      </c>
      <c r="AY921" s="31">
        <f>IF($AU921="","",INDEX($AW$8:$AW$2007,MATCH($AU921,$AU$8:$AU$2007,0)))</f>
        <v/>
      </c>
      <c r="AZ921" s="31">
        <f>IF(OR($AS921="",$C$6=""),"",TRIM(INDEX($A:$AP,ROW(),$C$6)&amp;""))</f>
        <v/>
      </c>
      <c r="BA921" s="31">
        <f>IF($AZ921="","",IF(COUNTIF($AZ$8:$AZ921,$AZ921)&gt;1,1,0))</f>
        <v/>
      </c>
    </row>
    <row r="922">
      <c r="AR922" s="31">
        <f>IF(OR($A$5="",$B$6="",ROW()&lt;$A$5),"",IF(INDEX($A:$AP,ROW(),$B$6)="","",INDEX($A:$AP,ROW(),$B$6)))</f>
        <v/>
      </c>
      <c r="AS922" s="32">
        <f>IF($AR922="","",IF(ISNUMBER($AR922),IF($AR922&gt;=10000000,IFERROR(DATE(INT($AR922/10000),MOD(INT($AR922/100),100),MOD($AR922,100)),""),INT($AR922)),IFERROR(DATE(--LEFT(LEFT(SUBSTITUTE(SUBSTITUTE(SUBSTITUTE(SUBSTITUTE(TRIM($AR922),"-",""),".",""),"/","")," ",""),8),4),--MID(LEFT(SUBSTITUTE(SUBSTITUTE(SUBSTITUTE(SUBSTITUTE(TRIM($AR922),"-",""),".",""),"/","")," ",""),8),5,2),--MID(LEFT(SUBSTITUTE(SUBSTITUTE(SUBSTITUTE(SUBSTITUTE(TRIM($AR922),"-",""),".",""),"/","")," ",""),8),7,2)),"")))</f>
        <v/>
      </c>
      <c r="AT922" s="33">
        <f>IF($AS922="","",IF($F$6="",0,IF(ISNUMBER(INDEX($A:$AP,ROW(),$F$6)),INDEX($A:$AP,ROW(),$F$6),IFERROR(--SUBSTITUTE(SUBSTITUTE(TRIM(INDEX($A:$AP,ROW(),$F$6)),",",""),"원",""),0))))</f>
        <v/>
      </c>
      <c r="AU922" s="31">
        <f>IF($AS922="","",IF($AX922&lt;&gt;"",SUBSTITUTE(SUBSTITUTE($AX922,"-","")," ",""),"N:"&amp;$AV922))</f>
        <v/>
      </c>
      <c r="AV922" s="31">
        <f>IF(OR($AS922="",$E$6=""),"",TRIM(INDEX($A:$AP,ROW(),$E$6)&amp;""))</f>
        <v/>
      </c>
      <c r="AW922" s="31">
        <f>IF($AU922="","",IF(MATCH($AU922,$AU$8:$AU$2007,0)=ROW()-7,MAX($AW$7:$AW921)+1,""))</f>
        <v/>
      </c>
      <c r="AX922" s="31">
        <f>IF(OR($AS922="",$D$6=""),"",TRIM(INDEX($A:$AP,ROW(),$D$6)&amp;""))</f>
        <v/>
      </c>
      <c r="AY922" s="31">
        <f>IF($AU922="","",INDEX($AW$8:$AW$2007,MATCH($AU922,$AU$8:$AU$2007,0)))</f>
        <v/>
      </c>
      <c r="AZ922" s="31">
        <f>IF(OR($AS922="",$C$6=""),"",TRIM(INDEX($A:$AP,ROW(),$C$6)&amp;""))</f>
        <v/>
      </c>
      <c r="BA922" s="31">
        <f>IF($AZ922="","",IF(COUNTIF($AZ$8:$AZ922,$AZ922)&gt;1,1,0))</f>
        <v/>
      </c>
    </row>
    <row r="923">
      <c r="AR923" s="31">
        <f>IF(OR($A$5="",$B$6="",ROW()&lt;$A$5),"",IF(INDEX($A:$AP,ROW(),$B$6)="","",INDEX($A:$AP,ROW(),$B$6)))</f>
        <v/>
      </c>
      <c r="AS923" s="32">
        <f>IF($AR923="","",IF(ISNUMBER($AR923),IF($AR923&gt;=10000000,IFERROR(DATE(INT($AR923/10000),MOD(INT($AR923/100),100),MOD($AR923,100)),""),INT($AR923)),IFERROR(DATE(--LEFT(LEFT(SUBSTITUTE(SUBSTITUTE(SUBSTITUTE(SUBSTITUTE(TRIM($AR923),"-",""),".",""),"/","")," ",""),8),4),--MID(LEFT(SUBSTITUTE(SUBSTITUTE(SUBSTITUTE(SUBSTITUTE(TRIM($AR923),"-",""),".",""),"/","")," ",""),8),5,2),--MID(LEFT(SUBSTITUTE(SUBSTITUTE(SUBSTITUTE(SUBSTITUTE(TRIM($AR923),"-",""),".",""),"/","")," ",""),8),7,2)),"")))</f>
        <v/>
      </c>
      <c r="AT923" s="33">
        <f>IF($AS923="","",IF($F$6="",0,IF(ISNUMBER(INDEX($A:$AP,ROW(),$F$6)),INDEX($A:$AP,ROW(),$F$6),IFERROR(--SUBSTITUTE(SUBSTITUTE(TRIM(INDEX($A:$AP,ROW(),$F$6)),",",""),"원",""),0))))</f>
        <v/>
      </c>
      <c r="AU923" s="31">
        <f>IF($AS923="","",IF($AX923&lt;&gt;"",SUBSTITUTE(SUBSTITUTE($AX923,"-","")," ",""),"N:"&amp;$AV923))</f>
        <v/>
      </c>
      <c r="AV923" s="31">
        <f>IF(OR($AS923="",$E$6=""),"",TRIM(INDEX($A:$AP,ROW(),$E$6)&amp;""))</f>
        <v/>
      </c>
      <c r="AW923" s="31">
        <f>IF($AU923="","",IF(MATCH($AU923,$AU$8:$AU$2007,0)=ROW()-7,MAX($AW$7:$AW922)+1,""))</f>
        <v/>
      </c>
      <c r="AX923" s="31">
        <f>IF(OR($AS923="",$D$6=""),"",TRIM(INDEX($A:$AP,ROW(),$D$6)&amp;""))</f>
        <v/>
      </c>
      <c r="AY923" s="31">
        <f>IF($AU923="","",INDEX($AW$8:$AW$2007,MATCH($AU923,$AU$8:$AU$2007,0)))</f>
        <v/>
      </c>
      <c r="AZ923" s="31">
        <f>IF(OR($AS923="",$C$6=""),"",TRIM(INDEX($A:$AP,ROW(),$C$6)&amp;""))</f>
        <v/>
      </c>
      <c r="BA923" s="31">
        <f>IF($AZ923="","",IF(COUNTIF($AZ$8:$AZ923,$AZ923)&gt;1,1,0))</f>
        <v/>
      </c>
    </row>
    <row r="924">
      <c r="AR924" s="31">
        <f>IF(OR($A$5="",$B$6="",ROW()&lt;$A$5),"",IF(INDEX($A:$AP,ROW(),$B$6)="","",INDEX($A:$AP,ROW(),$B$6)))</f>
        <v/>
      </c>
      <c r="AS924" s="32">
        <f>IF($AR924="","",IF(ISNUMBER($AR924),IF($AR924&gt;=10000000,IFERROR(DATE(INT($AR924/10000),MOD(INT($AR924/100),100),MOD($AR924,100)),""),INT($AR924)),IFERROR(DATE(--LEFT(LEFT(SUBSTITUTE(SUBSTITUTE(SUBSTITUTE(SUBSTITUTE(TRIM($AR924),"-",""),".",""),"/","")," ",""),8),4),--MID(LEFT(SUBSTITUTE(SUBSTITUTE(SUBSTITUTE(SUBSTITUTE(TRIM($AR924),"-",""),".",""),"/","")," ",""),8),5,2),--MID(LEFT(SUBSTITUTE(SUBSTITUTE(SUBSTITUTE(SUBSTITUTE(TRIM($AR924),"-",""),".",""),"/","")," ",""),8),7,2)),"")))</f>
        <v/>
      </c>
      <c r="AT924" s="33">
        <f>IF($AS924="","",IF($F$6="",0,IF(ISNUMBER(INDEX($A:$AP,ROW(),$F$6)),INDEX($A:$AP,ROW(),$F$6),IFERROR(--SUBSTITUTE(SUBSTITUTE(TRIM(INDEX($A:$AP,ROW(),$F$6)),",",""),"원",""),0))))</f>
        <v/>
      </c>
      <c r="AU924" s="31">
        <f>IF($AS924="","",IF($AX924&lt;&gt;"",SUBSTITUTE(SUBSTITUTE($AX924,"-","")," ",""),"N:"&amp;$AV924))</f>
        <v/>
      </c>
      <c r="AV924" s="31">
        <f>IF(OR($AS924="",$E$6=""),"",TRIM(INDEX($A:$AP,ROW(),$E$6)&amp;""))</f>
        <v/>
      </c>
      <c r="AW924" s="31">
        <f>IF($AU924="","",IF(MATCH($AU924,$AU$8:$AU$2007,0)=ROW()-7,MAX($AW$7:$AW923)+1,""))</f>
        <v/>
      </c>
      <c r="AX924" s="31">
        <f>IF(OR($AS924="",$D$6=""),"",TRIM(INDEX($A:$AP,ROW(),$D$6)&amp;""))</f>
        <v/>
      </c>
      <c r="AY924" s="31">
        <f>IF($AU924="","",INDEX($AW$8:$AW$2007,MATCH($AU924,$AU$8:$AU$2007,0)))</f>
        <v/>
      </c>
      <c r="AZ924" s="31">
        <f>IF(OR($AS924="",$C$6=""),"",TRIM(INDEX($A:$AP,ROW(),$C$6)&amp;""))</f>
        <v/>
      </c>
      <c r="BA924" s="31">
        <f>IF($AZ924="","",IF(COUNTIF($AZ$8:$AZ924,$AZ924)&gt;1,1,0))</f>
        <v/>
      </c>
    </row>
    <row r="925">
      <c r="AR925" s="31">
        <f>IF(OR($A$5="",$B$6="",ROW()&lt;$A$5),"",IF(INDEX($A:$AP,ROW(),$B$6)="","",INDEX($A:$AP,ROW(),$B$6)))</f>
        <v/>
      </c>
      <c r="AS925" s="32">
        <f>IF($AR925="","",IF(ISNUMBER($AR925),IF($AR925&gt;=10000000,IFERROR(DATE(INT($AR925/10000),MOD(INT($AR925/100),100),MOD($AR925,100)),""),INT($AR925)),IFERROR(DATE(--LEFT(LEFT(SUBSTITUTE(SUBSTITUTE(SUBSTITUTE(SUBSTITUTE(TRIM($AR925),"-",""),".",""),"/","")," ",""),8),4),--MID(LEFT(SUBSTITUTE(SUBSTITUTE(SUBSTITUTE(SUBSTITUTE(TRIM($AR925),"-",""),".",""),"/","")," ",""),8),5,2),--MID(LEFT(SUBSTITUTE(SUBSTITUTE(SUBSTITUTE(SUBSTITUTE(TRIM($AR925),"-",""),".",""),"/","")," ",""),8),7,2)),"")))</f>
        <v/>
      </c>
      <c r="AT925" s="33">
        <f>IF($AS925="","",IF($F$6="",0,IF(ISNUMBER(INDEX($A:$AP,ROW(),$F$6)),INDEX($A:$AP,ROW(),$F$6),IFERROR(--SUBSTITUTE(SUBSTITUTE(TRIM(INDEX($A:$AP,ROW(),$F$6)),",",""),"원",""),0))))</f>
        <v/>
      </c>
      <c r="AU925" s="31">
        <f>IF($AS925="","",IF($AX925&lt;&gt;"",SUBSTITUTE(SUBSTITUTE($AX925,"-","")," ",""),"N:"&amp;$AV925))</f>
        <v/>
      </c>
      <c r="AV925" s="31">
        <f>IF(OR($AS925="",$E$6=""),"",TRIM(INDEX($A:$AP,ROW(),$E$6)&amp;""))</f>
        <v/>
      </c>
      <c r="AW925" s="31">
        <f>IF($AU925="","",IF(MATCH($AU925,$AU$8:$AU$2007,0)=ROW()-7,MAX($AW$7:$AW924)+1,""))</f>
        <v/>
      </c>
      <c r="AX925" s="31">
        <f>IF(OR($AS925="",$D$6=""),"",TRIM(INDEX($A:$AP,ROW(),$D$6)&amp;""))</f>
        <v/>
      </c>
      <c r="AY925" s="31">
        <f>IF($AU925="","",INDEX($AW$8:$AW$2007,MATCH($AU925,$AU$8:$AU$2007,0)))</f>
        <v/>
      </c>
      <c r="AZ925" s="31">
        <f>IF(OR($AS925="",$C$6=""),"",TRIM(INDEX($A:$AP,ROW(),$C$6)&amp;""))</f>
        <v/>
      </c>
      <c r="BA925" s="31">
        <f>IF($AZ925="","",IF(COUNTIF($AZ$8:$AZ925,$AZ925)&gt;1,1,0))</f>
        <v/>
      </c>
    </row>
    <row r="926">
      <c r="AR926" s="31">
        <f>IF(OR($A$5="",$B$6="",ROW()&lt;$A$5),"",IF(INDEX($A:$AP,ROW(),$B$6)="","",INDEX($A:$AP,ROW(),$B$6)))</f>
        <v/>
      </c>
      <c r="AS926" s="32">
        <f>IF($AR926="","",IF(ISNUMBER($AR926),IF($AR926&gt;=10000000,IFERROR(DATE(INT($AR926/10000),MOD(INT($AR926/100),100),MOD($AR926,100)),""),INT($AR926)),IFERROR(DATE(--LEFT(LEFT(SUBSTITUTE(SUBSTITUTE(SUBSTITUTE(SUBSTITUTE(TRIM($AR926),"-",""),".",""),"/","")," ",""),8),4),--MID(LEFT(SUBSTITUTE(SUBSTITUTE(SUBSTITUTE(SUBSTITUTE(TRIM($AR926),"-",""),".",""),"/","")," ",""),8),5,2),--MID(LEFT(SUBSTITUTE(SUBSTITUTE(SUBSTITUTE(SUBSTITUTE(TRIM($AR926),"-",""),".",""),"/","")," ",""),8),7,2)),"")))</f>
        <v/>
      </c>
      <c r="AT926" s="33">
        <f>IF($AS926="","",IF($F$6="",0,IF(ISNUMBER(INDEX($A:$AP,ROW(),$F$6)),INDEX($A:$AP,ROW(),$F$6),IFERROR(--SUBSTITUTE(SUBSTITUTE(TRIM(INDEX($A:$AP,ROW(),$F$6)),",",""),"원",""),0))))</f>
        <v/>
      </c>
      <c r="AU926" s="31">
        <f>IF($AS926="","",IF($AX926&lt;&gt;"",SUBSTITUTE(SUBSTITUTE($AX926,"-","")," ",""),"N:"&amp;$AV926))</f>
        <v/>
      </c>
      <c r="AV926" s="31">
        <f>IF(OR($AS926="",$E$6=""),"",TRIM(INDEX($A:$AP,ROW(),$E$6)&amp;""))</f>
        <v/>
      </c>
      <c r="AW926" s="31">
        <f>IF($AU926="","",IF(MATCH($AU926,$AU$8:$AU$2007,0)=ROW()-7,MAX($AW$7:$AW925)+1,""))</f>
        <v/>
      </c>
      <c r="AX926" s="31">
        <f>IF(OR($AS926="",$D$6=""),"",TRIM(INDEX($A:$AP,ROW(),$D$6)&amp;""))</f>
        <v/>
      </c>
      <c r="AY926" s="31">
        <f>IF($AU926="","",INDEX($AW$8:$AW$2007,MATCH($AU926,$AU$8:$AU$2007,0)))</f>
        <v/>
      </c>
      <c r="AZ926" s="31">
        <f>IF(OR($AS926="",$C$6=""),"",TRIM(INDEX($A:$AP,ROW(),$C$6)&amp;""))</f>
        <v/>
      </c>
      <c r="BA926" s="31">
        <f>IF($AZ926="","",IF(COUNTIF($AZ$8:$AZ926,$AZ926)&gt;1,1,0))</f>
        <v/>
      </c>
    </row>
    <row r="927">
      <c r="AR927" s="31">
        <f>IF(OR($A$5="",$B$6="",ROW()&lt;$A$5),"",IF(INDEX($A:$AP,ROW(),$B$6)="","",INDEX($A:$AP,ROW(),$B$6)))</f>
        <v/>
      </c>
      <c r="AS927" s="32">
        <f>IF($AR927="","",IF(ISNUMBER($AR927),IF($AR927&gt;=10000000,IFERROR(DATE(INT($AR927/10000),MOD(INT($AR927/100),100),MOD($AR927,100)),""),INT($AR927)),IFERROR(DATE(--LEFT(LEFT(SUBSTITUTE(SUBSTITUTE(SUBSTITUTE(SUBSTITUTE(TRIM($AR927),"-",""),".",""),"/","")," ",""),8),4),--MID(LEFT(SUBSTITUTE(SUBSTITUTE(SUBSTITUTE(SUBSTITUTE(TRIM($AR927),"-",""),".",""),"/","")," ",""),8),5,2),--MID(LEFT(SUBSTITUTE(SUBSTITUTE(SUBSTITUTE(SUBSTITUTE(TRIM($AR927),"-",""),".",""),"/","")," ",""),8),7,2)),"")))</f>
        <v/>
      </c>
      <c r="AT927" s="33">
        <f>IF($AS927="","",IF($F$6="",0,IF(ISNUMBER(INDEX($A:$AP,ROW(),$F$6)),INDEX($A:$AP,ROW(),$F$6),IFERROR(--SUBSTITUTE(SUBSTITUTE(TRIM(INDEX($A:$AP,ROW(),$F$6)),",",""),"원",""),0))))</f>
        <v/>
      </c>
      <c r="AU927" s="31">
        <f>IF($AS927="","",IF($AX927&lt;&gt;"",SUBSTITUTE(SUBSTITUTE($AX927,"-","")," ",""),"N:"&amp;$AV927))</f>
        <v/>
      </c>
      <c r="AV927" s="31">
        <f>IF(OR($AS927="",$E$6=""),"",TRIM(INDEX($A:$AP,ROW(),$E$6)&amp;""))</f>
        <v/>
      </c>
      <c r="AW927" s="31">
        <f>IF($AU927="","",IF(MATCH($AU927,$AU$8:$AU$2007,0)=ROW()-7,MAX($AW$7:$AW926)+1,""))</f>
        <v/>
      </c>
      <c r="AX927" s="31">
        <f>IF(OR($AS927="",$D$6=""),"",TRIM(INDEX($A:$AP,ROW(),$D$6)&amp;""))</f>
        <v/>
      </c>
      <c r="AY927" s="31">
        <f>IF($AU927="","",INDEX($AW$8:$AW$2007,MATCH($AU927,$AU$8:$AU$2007,0)))</f>
        <v/>
      </c>
      <c r="AZ927" s="31">
        <f>IF(OR($AS927="",$C$6=""),"",TRIM(INDEX($A:$AP,ROW(),$C$6)&amp;""))</f>
        <v/>
      </c>
      <c r="BA927" s="31">
        <f>IF($AZ927="","",IF(COUNTIF($AZ$8:$AZ927,$AZ927)&gt;1,1,0))</f>
        <v/>
      </c>
    </row>
    <row r="928">
      <c r="AR928" s="31">
        <f>IF(OR($A$5="",$B$6="",ROW()&lt;$A$5),"",IF(INDEX($A:$AP,ROW(),$B$6)="","",INDEX($A:$AP,ROW(),$B$6)))</f>
        <v/>
      </c>
      <c r="AS928" s="32">
        <f>IF($AR928="","",IF(ISNUMBER($AR928),IF($AR928&gt;=10000000,IFERROR(DATE(INT($AR928/10000),MOD(INT($AR928/100),100),MOD($AR928,100)),""),INT($AR928)),IFERROR(DATE(--LEFT(LEFT(SUBSTITUTE(SUBSTITUTE(SUBSTITUTE(SUBSTITUTE(TRIM($AR928),"-",""),".",""),"/","")," ",""),8),4),--MID(LEFT(SUBSTITUTE(SUBSTITUTE(SUBSTITUTE(SUBSTITUTE(TRIM($AR928),"-",""),".",""),"/","")," ",""),8),5,2),--MID(LEFT(SUBSTITUTE(SUBSTITUTE(SUBSTITUTE(SUBSTITUTE(TRIM($AR928),"-",""),".",""),"/","")," ",""),8),7,2)),"")))</f>
        <v/>
      </c>
      <c r="AT928" s="33">
        <f>IF($AS928="","",IF($F$6="",0,IF(ISNUMBER(INDEX($A:$AP,ROW(),$F$6)),INDEX($A:$AP,ROW(),$F$6),IFERROR(--SUBSTITUTE(SUBSTITUTE(TRIM(INDEX($A:$AP,ROW(),$F$6)),",",""),"원",""),0))))</f>
        <v/>
      </c>
      <c r="AU928" s="31">
        <f>IF($AS928="","",IF($AX928&lt;&gt;"",SUBSTITUTE(SUBSTITUTE($AX928,"-","")," ",""),"N:"&amp;$AV928))</f>
        <v/>
      </c>
      <c r="AV928" s="31">
        <f>IF(OR($AS928="",$E$6=""),"",TRIM(INDEX($A:$AP,ROW(),$E$6)&amp;""))</f>
        <v/>
      </c>
      <c r="AW928" s="31">
        <f>IF($AU928="","",IF(MATCH($AU928,$AU$8:$AU$2007,0)=ROW()-7,MAX($AW$7:$AW927)+1,""))</f>
        <v/>
      </c>
      <c r="AX928" s="31">
        <f>IF(OR($AS928="",$D$6=""),"",TRIM(INDEX($A:$AP,ROW(),$D$6)&amp;""))</f>
        <v/>
      </c>
      <c r="AY928" s="31">
        <f>IF($AU928="","",INDEX($AW$8:$AW$2007,MATCH($AU928,$AU$8:$AU$2007,0)))</f>
        <v/>
      </c>
      <c r="AZ928" s="31">
        <f>IF(OR($AS928="",$C$6=""),"",TRIM(INDEX($A:$AP,ROW(),$C$6)&amp;""))</f>
        <v/>
      </c>
      <c r="BA928" s="31">
        <f>IF($AZ928="","",IF(COUNTIF($AZ$8:$AZ928,$AZ928)&gt;1,1,0))</f>
        <v/>
      </c>
    </row>
    <row r="929">
      <c r="AR929" s="31">
        <f>IF(OR($A$5="",$B$6="",ROW()&lt;$A$5),"",IF(INDEX($A:$AP,ROW(),$B$6)="","",INDEX($A:$AP,ROW(),$B$6)))</f>
        <v/>
      </c>
      <c r="AS929" s="32">
        <f>IF($AR929="","",IF(ISNUMBER($AR929),IF($AR929&gt;=10000000,IFERROR(DATE(INT($AR929/10000),MOD(INT($AR929/100),100),MOD($AR929,100)),""),INT($AR929)),IFERROR(DATE(--LEFT(LEFT(SUBSTITUTE(SUBSTITUTE(SUBSTITUTE(SUBSTITUTE(TRIM($AR929),"-",""),".",""),"/","")," ",""),8),4),--MID(LEFT(SUBSTITUTE(SUBSTITUTE(SUBSTITUTE(SUBSTITUTE(TRIM($AR929),"-",""),".",""),"/","")," ",""),8),5,2),--MID(LEFT(SUBSTITUTE(SUBSTITUTE(SUBSTITUTE(SUBSTITUTE(TRIM($AR929),"-",""),".",""),"/","")," ",""),8),7,2)),"")))</f>
        <v/>
      </c>
      <c r="AT929" s="33">
        <f>IF($AS929="","",IF($F$6="",0,IF(ISNUMBER(INDEX($A:$AP,ROW(),$F$6)),INDEX($A:$AP,ROW(),$F$6),IFERROR(--SUBSTITUTE(SUBSTITUTE(TRIM(INDEX($A:$AP,ROW(),$F$6)),",",""),"원",""),0))))</f>
        <v/>
      </c>
      <c r="AU929" s="31">
        <f>IF($AS929="","",IF($AX929&lt;&gt;"",SUBSTITUTE(SUBSTITUTE($AX929,"-","")," ",""),"N:"&amp;$AV929))</f>
        <v/>
      </c>
      <c r="AV929" s="31">
        <f>IF(OR($AS929="",$E$6=""),"",TRIM(INDEX($A:$AP,ROW(),$E$6)&amp;""))</f>
        <v/>
      </c>
      <c r="AW929" s="31">
        <f>IF($AU929="","",IF(MATCH($AU929,$AU$8:$AU$2007,0)=ROW()-7,MAX($AW$7:$AW928)+1,""))</f>
        <v/>
      </c>
      <c r="AX929" s="31">
        <f>IF(OR($AS929="",$D$6=""),"",TRIM(INDEX($A:$AP,ROW(),$D$6)&amp;""))</f>
        <v/>
      </c>
      <c r="AY929" s="31">
        <f>IF($AU929="","",INDEX($AW$8:$AW$2007,MATCH($AU929,$AU$8:$AU$2007,0)))</f>
        <v/>
      </c>
      <c r="AZ929" s="31">
        <f>IF(OR($AS929="",$C$6=""),"",TRIM(INDEX($A:$AP,ROW(),$C$6)&amp;""))</f>
        <v/>
      </c>
      <c r="BA929" s="31">
        <f>IF($AZ929="","",IF(COUNTIF($AZ$8:$AZ929,$AZ929)&gt;1,1,0))</f>
        <v/>
      </c>
    </row>
    <row r="930">
      <c r="AR930" s="31">
        <f>IF(OR($A$5="",$B$6="",ROW()&lt;$A$5),"",IF(INDEX($A:$AP,ROW(),$B$6)="","",INDEX($A:$AP,ROW(),$B$6)))</f>
        <v/>
      </c>
      <c r="AS930" s="32">
        <f>IF($AR930="","",IF(ISNUMBER($AR930),IF($AR930&gt;=10000000,IFERROR(DATE(INT($AR930/10000),MOD(INT($AR930/100),100),MOD($AR930,100)),""),INT($AR930)),IFERROR(DATE(--LEFT(LEFT(SUBSTITUTE(SUBSTITUTE(SUBSTITUTE(SUBSTITUTE(TRIM($AR930),"-",""),".",""),"/","")," ",""),8),4),--MID(LEFT(SUBSTITUTE(SUBSTITUTE(SUBSTITUTE(SUBSTITUTE(TRIM($AR930),"-",""),".",""),"/","")," ",""),8),5,2),--MID(LEFT(SUBSTITUTE(SUBSTITUTE(SUBSTITUTE(SUBSTITUTE(TRIM($AR930),"-",""),".",""),"/","")," ",""),8),7,2)),"")))</f>
        <v/>
      </c>
      <c r="AT930" s="33">
        <f>IF($AS930="","",IF($F$6="",0,IF(ISNUMBER(INDEX($A:$AP,ROW(),$F$6)),INDEX($A:$AP,ROW(),$F$6),IFERROR(--SUBSTITUTE(SUBSTITUTE(TRIM(INDEX($A:$AP,ROW(),$F$6)),",",""),"원",""),0))))</f>
        <v/>
      </c>
      <c r="AU930" s="31">
        <f>IF($AS930="","",IF($AX930&lt;&gt;"",SUBSTITUTE(SUBSTITUTE($AX930,"-","")," ",""),"N:"&amp;$AV930))</f>
        <v/>
      </c>
      <c r="AV930" s="31">
        <f>IF(OR($AS930="",$E$6=""),"",TRIM(INDEX($A:$AP,ROW(),$E$6)&amp;""))</f>
        <v/>
      </c>
      <c r="AW930" s="31">
        <f>IF($AU930="","",IF(MATCH($AU930,$AU$8:$AU$2007,0)=ROW()-7,MAX($AW$7:$AW929)+1,""))</f>
        <v/>
      </c>
      <c r="AX930" s="31">
        <f>IF(OR($AS930="",$D$6=""),"",TRIM(INDEX($A:$AP,ROW(),$D$6)&amp;""))</f>
        <v/>
      </c>
      <c r="AY930" s="31">
        <f>IF($AU930="","",INDEX($AW$8:$AW$2007,MATCH($AU930,$AU$8:$AU$2007,0)))</f>
        <v/>
      </c>
      <c r="AZ930" s="31">
        <f>IF(OR($AS930="",$C$6=""),"",TRIM(INDEX($A:$AP,ROW(),$C$6)&amp;""))</f>
        <v/>
      </c>
      <c r="BA930" s="31">
        <f>IF($AZ930="","",IF(COUNTIF($AZ$8:$AZ930,$AZ930)&gt;1,1,0))</f>
        <v/>
      </c>
    </row>
    <row r="931">
      <c r="AR931" s="31">
        <f>IF(OR($A$5="",$B$6="",ROW()&lt;$A$5),"",IF(INDEX($A:$AP,ROW(),$B$6)="","",INDEX($A:$AP,ROW(),$B$6)))</f>
        <v/>
      </c>
      <c r="AS931" s="32">
        <f>IF($AR931="","",IF(ISNUMBER($AR931),IF($AR931&gt;=10000000,IFERROR(DATE(INT($AR931/10000),MOD(INT($AR931/100),100),MOD($AR931,100)),""),INT($AR931)),IFERROR(DATE(--LEFT(LEFT(SUBSTITUTE(SUBSTITUTE(SUBSTITUTE(SUBSTITUTE(TRIM($AR931),"-",""),".",""),"/","")," ",""),8),4),--MID(LEFT(SUBSTITUTE(SUBSTITUTE(SUBSTITUTE(SUBSTITUTE(TRIM($AR931),"-",""),".",""),"/","")," ",""),8),5,2),--MID(LEFT(SUBSTITUTE(SUBSTITUTE(SUBSTITUTE(SUBSTITUTE(TRIM($AR931),"-",""),".",""),"/","")," ",""),8),7,2)),"")))</f>
        <v/>
      </c>
      <c r="AT931" s="33">
        <f>IF($AS931="","",IF($F$6="",0,IF(ISNUMBER(INDEX($A:$AP,ROW(),$F$6)),INDEX($A:$AP,ROW(),$F$6),IFERROR(--SUBSTITUTE(SUBSTITUTE(TRIM(INDEX($A:$AP,ROW(),$F$6)),",",""),"원",""),0))))</f>
        <v/>
      </c>
      <c r="AU931" s="31">
        <f>IF($AS931="","",IF($AX931&lt;&gt;"",SUBSTITUTE(SUBSTITUTE($AX931,"-","")," ",""),"N:"&amp;$AV931))</f>
        <v/>
      </c>
      <c r="AV931" s="31">
        <f>IF(OR($AS931="",$E$6=""),"",TRIM(INDEX($A:$AP,ROW(),$E$6)&amp;""))</f>
        <v/>
      </c>
      <c r="AW931" s="31">
        <f>IF($AU931="","",IF(MATCH($AU931,$AU$8:$AU$2007,0)=ROW()-7,MAX($AW$7:$AW930)+1,""))</f>
        <v/>
      </c>
      <c r="AX931" s="31">
        <f>IF(OR($AS931="",$D$6=""),"",TRIM(INDEX($A:$AP,ROW(),$D$6)&amp;""))</f>
        <v/>
      </c>
      <c r="AY931" s="31">
        <f>IF($AU931="","",INDEX($AW$8:$AW$2007,MATCH($AU931,$AU$8:$AU$2007,0)))</f>
        <v/>
      </c>
      <c r="AZ931" s="31">
        <f>IF(OR($AS931="",$C$6=""),"",TRIM(INDEX($A:$AP,ROW(),$C$6)&amp;""))</f>
        <v/>
      </c>
      <c r="BA931" s="31">
        <f>IF($AZ931="","",IF(COUNTIF($AZ$8:$AZ931,$AZ931)&gt;1,1,0))</f>
        <v/>
      </c>
    </row>
    <row r="932">
      <c r="AR932" s="31">
        <f>IF(OR($A$5="",$B$6="",ROW()&lt;$A$5),"",IF(INDEX($A:$AP,ROW(),$B$6)="","",INDEX($A:$AP,ROW(),$B$6)))</f>
        <v/>
      </c>
      <c r="AS932" s="32">
        <f>IF($AR932="","",IF(ISNUMBER($AR932),IF($AR932&gt;=10000000,IFERROR(DATE(INT($AR932/10000),MOD(INT($AR932/100),100),MOD($AR932,100)),""),INT($AR932)),IFERROR(DATE(--LEFT(LEFT(SUBSTITUTE(SUBSTITUTE(SUBSTITUTE(SUBSTITUTE(TRIM($AR932),"-",""),".",""),"/","")," ",""),8),4),--MID(LEFT(SUBSTITUTE(SUBSTITUTE(SUBSTITUTE(SUBSTITUTE(TRIM($AR932),"-",""),".",""),"/","")," ",""),8),5,2),--MID(LEFT(SUBSTITUTE(SUBSTITUTE(SUBSTITUTE(SUBSTITUTE(TRIM($AR932),"-",""),".",""),"/","")," ",""),8),7,2)),"")))</f>
        <v/>
      </c>
      <c r="AT932" s="33">
        <f>IF($AS932="","",IF($F$6="",0,IF(ISNUMBER(INDEX($A:$AP,ROW(),$F$6)),INDEX($A:$AP,ROW(),$F$6),IFERROR(--SUBSTITUTE(SUBSTITUTE(TRIM(INDEX($A:$AP,ROW(),$F$6)),",",""),"원",""),0))))</f>
        <v/>
      </c>
      <c r="AU932" s="31">
        <f>IF($AS932="","",IF($AX932&lt;&gt;"",SUBSTITUTE(SUBSTITUTE($AX932,"-","")," ",""),"N:"&amp;$AV932))</f>
        <v/>
      </c>
      <c r="AV932" s="31">
        <f>IF(OR($AS932="",$E$6=""),"",TRIM(INDEX($A:$AP,ROW(),$E$6)&amp;""))</f>
        <v/>
      </c>
      <c r="AW932" s="31">
        <f>IF($AU932="","",IF(MATCH($AU932,$AU$8:$AU$2007,0)=ROW()-7,MAX($AW$7:$AW931)+1,""))</f>
        <v/>
      </c>
      <c r="AX932" s="31">
        <f>IF(OR($AS932="",$D$6=""),"",TRIM(INDEX($A:$AP,ROW(),$D$6)&amp;""))</f>
        <v/>
      </c>
      <c r="AY932" s="31">
        <f>IF($AU932="","",INDEX($AW$8:$AW$2007,MATCH($AU932,$AU$8:$AU$2007,0)))</f>
        <v/>
      </c>
      <c r="AZ932" s="31">
        <f>IF(OR($AS932="",$C$6=""),"",TRIM(INDEX($A:$AP,ROW(),$C$6)&amp;""))</f>
        <v/>
      </c>
      <c r="BA932" s="31">
        <f>IF($AZ932="","",IF(COUNTIF($AZ$8:$AZ932,$AZ932)&gt;1,1,0))</f>
        <v/>
      </c>
    </row>
    <row r="933">
      <c r="AR933" s="31">
        <f>IF(OR($A$5="",$B$6="",ROW()&lt;$A$5),"",IF(INDEX($A:$AP,ROW(),$B$6)="","",INDEX($A:$AP,ROW(),$B$6)))</f>
        <v/>
      </c>
      <c r="AS933" s="32">
        <f>IF($AR933="","",IF(ISNUMBER($AR933),IF($AR933&gt;=10000000,IFERROR(DATE(INT($AR933/10000),MOD(INT($AR933/100),100),MOD($AR933,100)),""),INT($AR933)),IFERROR(DATE(--LEFT(LEFT(SUBSTITUTE(SUBSTITUTE(SUBSTITUTE(SUBSTITUTE(TRIM($AR933),"-",""),".",""),"/","")," ",""),8),4),--MID(LEFT(SUBSTITUTE(SUBSTITUTE(SUBSTITUTE(SUBSTITUTE(TRIM($AR933),"-",""),".",""),"/","")," ",""),8),5,2),--MID(LEFT(SUBSTITUTE(SUBSTITUTE(SUBSTITUTE(SUBSTITUTE(TRIM($AR933),"-",""),".",""),"/","")," ",""),8),7,2)),"")))</f>
        <v/>
      </c>
      <c r="AT933" s="33">
        <f>IF($AS933="","",IF($F$6="",0,IF(ISNUMBER(INDEX($A:$AP,ROW(),$F$6)),INDEX($A:$AP,ROW(),$F$6),IFERROR(--SUBSTITUTE(SUBSTITUTE(TRIM(INDEX($A:$AP,ROW(),$F$6)),",",""),"원",""),0))))</f>
        <v/>
      </c>
      <c r="AU933" s="31">
        <f>IF($AS933="","",IF($AX933&lt;&gt;"",SUBSTITUTE(SUBSTITUTE($AX933,"-","")," ",""),"N:"&amp;$AV933))</f>
        <v/>
      </c>
      <c r="AV933" s="31">
        <f>IF(OR($AS933="",$E$6=""),"",TRIM(INDEX($A:$AP,ROW(),$E$6)&amp;""))</f>
        <v/>
      </c>
      <c r="AW933" s="31">
        <f>IF($AU933="","",IF(MATCH($AU933,$AU$8:$AU$2007,0)=ROW()-7,MAX($AW$7:$AW932)+1,""))</f>
        <v/>
      </c>
      <c r="AX933" s="31">
        <f>IF(OR($AS933="",$D$6=""),"",TRIM(INDEX($A:$AP,ROW(),$D$6)&amp;""))</f>
        <v/>
      </c>
      <c r="AY933" s="31">
        <f>IF($AU933="","",INDEX($AW$8:$AW$2007,MATCH($AU933,$AU$8:$AU$2007,0)))</f>
        <v/>
      </c>
      <c r="AZ933" s="31">
        <f>IF(OR($AS933="",$C$6=""),"",TRIM(INDEX($A:$AP,ROW(),$C$6)&amp;""))</f>
        <v/>
      </c>
      <c r="BA933" s="31">
        <f>IF($AZ933="","",IF(COUNTIF($AZ$8:$AZ933,$AZ933)&gt;1,1,0))</f>
        <v/>
      </c>
    </row>
    <row r="934">
      <c r="AR934" s="31">
        <f>IF(OR($A$5="",$B$6="",ROW()&lt;$A$5),"",IF(INDEX($A:$AP,ROW(),$B$6)="","",INDEX($A:$AP,ROW(),$B$6)))</f>
        <v/>
      </c>
      <c r="AS934" s="32">
        <f>IF($AR934="","",IF(ISNUMBER($AR934),IF($AR934&gt;=10000000,IFERROR(DATE(INT($AR934/10000),MOD(INT($AR934/100),100),MOD($AR934,100)),""),INT($AR934)),IFERROR(DATE(--LEFT(LEFT(SUBSTITUTE(SUBSTITUTE(SUBSTITUTE(SUBSTITUTE(TRIM($AR934),"-",""),".",""),"/","")," ",""),8),4),--MID(LEFT(SUBSTITUTE(SUBSTITUTE(SUBSTITUTE(SUBSTITUTE(TRIM($AR934),"-",""),".",""),"/","")," ",""),8),5,2),--MID(LEFT(SUBSTITUTE(SUBSTITUTE(SUBSTITUTE(SUBSTITUTE(TRIM($AR934),"-",""),".",""),"/","")," ",""),8),7,2)),"")))</f>
        <v/>
      </c>
      <c r="AT934" s="33">
        <f>IF($AS934="","",IF($F$6="",0,IF(ISNUMBER(INDEX($A:$AP,ROW(),$F$6)),INDEX($A:$AP,ROW(),$F$6),IFERROR(--SUBSTITUTE(SUBSTITUTE(TRIM(INDEX($A:$AP,ROW(),$F$6)),",",""),"원",""),0))))</f>
        <v/>
      </c>
      <c r="AU934" s="31">
        <f>IF($AS934="","",IF($AX934&lt;&gt;"",SUBSTITUTE(SUBSTITUTE($AX934,"-","")," ",""),"N:"&amp;$AV934))</f>
        <v/>
      </c>
      <c r="AV934" s="31">
        <f>IF(OR($AS934="",$E$6=""),"",TRIM(INDEX($A:$AP,ROW(),$E$6)&amp;""))</f>
        <v/>
      </c>
      <c r="AW934" s="31">
        <f>IF($AU934="","",IF(MATCH($AU934,$AU$8:$AU$2007,0)=ROW()-7,MAX($AW$7:$AW933)+1,""))</f>
        <v/>
      </c>
      <c r="AX934" s="31">
        <f>IF(OR($AS934="",$D$6=""),"",TRIM(INDEX($A:$AP,ROW(),$D$6)&amp;""))</f>
        <v/>
      </c>
      <c r="AY934" s="31">
        <f>IF($AU934="","",INDEX($AW$8:$AW$2007,MATCH($AU934,$AU$8:$AU$2007,0)))</f>
        <v/>
      </c>
      <c r="AZ934" s="31">
        <f>IF(OR($AS934="",$C$6=""),"",TRIM(INDEX($A:$AP,ROW(),$C$6)&amp;""))</f>
        <v/>
      </c>
      <c r="BA934" s="31">
        <f>IF($AZ934="","",IF(COUNTIF($AZ$8:$AZ934,$AZ934)&gt;1,1,0))</f>
        <v/>
      </c>
    </row>
    <row r="935">
      <c r="AR935" s="31">
        <f>IF(OR($A$5="",$B$6="",ROW()&lt;$A$5),"",IF(INDEX($A:$AP,ROW(),$B$6)="","",INDEX($A:$AP,ROW(),$B$6)))</f>
        <v/>
      </c>
      <c r="AS935" s="32">
        <f>IF($AR935="","",IF(ISNUMBER($AR935),IF($AR935&gt;=10000000,IFERROR(DATE(INT($AR935/10000),MOD(INT($AR935/100),100),MOD($AR935,100)),""),INT($AR935)),IFERROR(DATE(--LEFT(LEFT(SUBSTITUTE(SUBSTITUTE(SUBSTITUTE(SUBSTITUTE(TRIM($AR935),"-",""),".",""),"/","")," ",""),8),4),--MID(LEFT(SUBSTITUTE(SUBSTITUTE(SUBSTITUTE(SUBSTITUTE(TRIM($AR935),"-",""),".",""),"/","")," ",""),8),5,2),--MID(LEFT(SUBSTITUTE(SUBSTITUTE(SUBSTITUTE(SUBSTITUTE(TRIM($AR935),"-",""),".",""),"/","")," ",""),8),7,2)),"")))</f>
        <v/>
      </c>
      <c r="AT935" s="33">
        <f>IF($AS935="","",IF($F$6="",0,IF(ISNUMBER(INDEX($A:$AP,ROW(),$F$6)),INDEX($A:$AP,ROW(),$F$6),IFERROR(--SUBSTITUTE(SUBSTITUTE(TRIM(INDEX($A:$AP,ROW(),$F$6)),",",""),"원",""),0))))</f>
        <v/>
      </c>
      <c r="AU935" s="31">
        <f>IF($AS935="","",IF($AX935&lt;&gt;"",SUBSTITUTE(SUBSTITUTE($AX935,"-","")," ",""),"N:"&amp;$AV935))</f>
        <v/>
      </c>
      <c r="AV935" s="31">
        <f>IF(OR($AS935="",$E$6=""),"",TRIM(INDEX($A:$AP,ROW(),$E$6)&amp;""))</f>
        <v/>
      </c>
      <c r="AW935" s="31">
        <f>IF($AU935="","",IF(MATCH($AU935,$AU$8:$AU$2007,0)=ROW()-7,MAX($AW$7:$AW934)+1,""))</f>
        <v/>
      </c>
      <c r="AX935" s="31">
        <f>IF(OR($AS935="",$D$6=""),"",TRIM(INDEX($A:$AP,ROW(),$D$6)&amp;""))</f>
        <v/>
      </c>
      <c r="AY935" s="31">
        <f>IF($AU935="","",INDEX($AW$8:$AW$2007,MATCH($AU935,$AU$8:$AU$2007,0)))</f>
        <v/>
      </c>
      <c r="AZ935" s="31">
        <f>IF(OR($AS935="",$C$6=""),"",TRIM(INDEX($A:$AP,ROW(),$C$6)&amp;""))</f>
        <v/>
      </c>
      <c r="BA935" s="31">
        <f>IF($AZ935="","",IF(COUNTIF($AZ$8:$AZ935,$AZ935)&gt;1,1,0))</f>
        <v/>
      </c>
    </row>
    <row r="936">
      <c r="AR936" s="31">
        <f>IF(OR($A$5="",$B$6="",ROW()&lt;$A$5),"",IF(INDEX($A:$AP,ROW(),$B$6)="","",INDEX($A:$AP,ROW(),$B$6)))</f>
        <v/>
      </c>
      <c r="AS936" s="32">
        <f>IF($AR936="","",IF(ISNUMBER($AR936),IF($AR936&gt;=10000000,IFERROR(DATE(INT($AR936/10000),MOD(INT($AR936/100),100),MOD($AR936,100)),""),INT($AR936)),IFERROR(DATE(--LEFT(LEFT(SUBSTITUTE(SUBSTITUTE(SUBSTITUTE(SUBSTITUTE(TRIM($AR936),"-",""),".",""),"/","")," ",""),8),4),--MID(LEFT(SUBSTITUTE(SUBSTITUTE(SUBSTITUTE(SUBSTITUTE(TRIM($AR936),"-",""),".",""),"/","")," ",""),8),5,2),--MID(LEFT(SUBSTITUTE(SUBSTITUTE(SUBSTITUTE(SUBSTITUTE(TRIM($AR936),"-",""),".",""),"/","")," ",""),8),7,2)),"")))</f>
        <v/>
      </c>
      <c r="AT936" s="33">
        <f>IF($AS936="","",IF($F$6="",0,IF(ISNUMBER(INDEX($A:$AP,ROW(),$F$6)),INDEX($A:$AP,ROW(),$F$6),IFERROR(--SUBSTITUTE(SUBSTITUTE(TRIM(INDEX($A:$AP,ROW(),$F$6)),",",""),"원",""),0))))</f>
        <v/>
      </c>
      <c r="AU936" s="31">
        <f>IF($AS936="","",IF($AX936&lt;&gt;"",SUBSTITUTE(SUBSTITUTE($AX936,"-","")," ",""),"N:"&amp;$AV936))</f>
        <v/>
      </c>
      <c r="AV936" s="31">
        <f>IF(OR($AS936="",$E$6=""),"",TRIM(INDEX($A:$AP,ROW(),$E$6)&amp;""))</f>
        <v/>
      </c>
      <c r="AW936" s="31">
        <f>IF($AU936="","",IF(MATCH($AU936,$AU$8:$AU$2007,0)=ROW()-7,MAX($AW$7:$AW935)+1,""))</f>
        <v/>
      </c>
      <c r="AX936" s="31">
        <f>IF(OR($AS936="",$D$6=""),"",TRIM(INDEX($A:$AP,ROW(),$D$6)&amp;""))</f>
        <v/>
      </c>
      <c r="AY936" s="31">
        <f>IF($AU936="","",INDEX($AW$8:$AW$2007,MATCH($AU936,$AU$8:$AU$2007,0)))</f>
        <v/>
      </c>
      <c r="AZ936" s="31">
        <f>IF(OR($AS936="",$C$6=""),"",TRIM(INDEX($A:$AP,ROW(),$C$6)&amp;""))</f>
        <v/>
      </c>
      <c r="BA936" s="31">
        <f>IF($AZ936="","",IF(COUNTIF($AZ$8:$AZ936,$AZ936)&gt;1,1,0))</f>
        <v/>
      </c>
    </row>
    <row r="937">
      <c r="AR937" s="31">
        <f>IF(OR($A$5="",$B$6="",ROW()&lt;$A$5),"",IF(INDEX($A:$AP,ROW(),$B$6)="","",INDEX($A:$AP,ROW(),$B$6)))</f>
        <v/>
      </c>
      <c r="AS937" s="32">
        <f>IF($AR937="","",IF(ISNUMBER($AR937),IF($AR937&gt;=10000000,IFERROR(DATE(INT($AR937/10000),MOD(INT($AR937/100),100),MOD($AR937,100)),""),INT($AR937)),IFERROR(DATE(--LEFT(LEFT(SUBSTITUTE(SUBSTITUTE(SUBSTITUTE(SUBSTITUTE(TRIM($AR937),"-",""),".",""),"/","")," ",""),8),4),--MID(LEFT(SUBSTITUTE(SUBSTITUTE(SUBSTITUTE(SUBSTITUTE(TRIM($AR937),"-",""),".",""),"/","")," ",""),8),5,2),--MID(LEFT(SUBSTITUTE(SUBSTITUTE(SUBSTITUTE(SUBSTITUTE(TRIM($AR937),"-",""),".",""),"/","")," ",""),8),7,2)),"")))</f>
        <v/>
      </c>
      <c r="AT937" s="33">
        <f>IF($AS937="","",IF($F$6="",0,IF(ISNUMBER(INDEX($A:$AP,ROW(),$F$6)),INDEX($A:$AP,ROW(),$F$6),IFERROR(--SUBSTITUTE(SUBSTITUTE(TRIM(INDEX($A:$AP,ROW(),$F$6)),",",""),"원",""),0))))</f>
        <v/>
      </c>
      <c r="AU937" s="31">
        <f>IF($AS937="","",IF($AX937&lt;&gt;"",SUBSTITUTE(SUBSTITUTE($AX937,"-","")," ",""),"N:"&amp;$AV937))</f>
        <v/>
      </c>
      <c r="AV937" s="31">
        <f>IF(OR($AS937="",$E$6=""),"",TRIM(INDEX($A:$AP,ROW(),$E$6)&amp;""))</f>
        <v/>
      </c>
      <c r="AW937" s="31">
        <f>IF($AU937="","",IF(MATCH($AU937,$AU$8:$AU$2007,0)=ROW()-7,MAX($AW$7:$AW936)+1,""))</f>
        <v/>
      </c>
      <c r="AX937" s="31">
        <f>IF(OR($AS937="",$D$6=""),"",TRIM(INDEX($A:$AP,ROW(),$D$6)&amp;""))</f>
        <v/>
      </c>
      <c r="AY937" s="31">
        <f>IF($AU937="","",INDEX($AW$8:$AW$2007,MATCH($AU937,$AU$8:$AU$2007,0)))</f>
        <v/>
      </c>
      <c r="AZ937" s="31">
        <f>IF(OR($AS937="",$C$6=""),"",TRIM(INDEX($A:$AP,ROW(),$C$6)&amp;""))</f>
        <v/>
      </c>
      <c r="BA937" s="31">
        <f>IF($AZ937="","",IF(COUNTIF($AZ$8:$AZ937,$AZ937)&gt;1,1,0))</f>
        <v/>
      </c>
    </row>
    <row r="938">
      <c r="AR938" s="31">
        <f>IF(OR($A$5="",$B$6="",ROW()&lt;$A$5),"",IF(INDEX($A:$AP,ROW(),$B$6)="","",INDEX($A:$AP,ROW(),$B$6)))</f>
        <v/>
      </c>
      <c r="AS938" s="32">
        <f>IF($AR938="","",IF(ISNUMBER($AR938),IF($AR938&gt;=10000000,IFERROR(DATE(INT($AR938/10000),MOD(INT($AR938/100),100),MOD($AR938,100)),""),INT($AR938)),IFERROR(DATE(--LEFT(LEFT(SUBSTITUTE(SUBSTITUTE(SUBSTITUTE(SUBSTITUTE(TRIM($AR938),"-",""),".",""),"/","")," ",""),8),4),--MID(LEFT(SUBSTITUTE(SUBSTITUTE(SUBSTITUTE(SUBSTITUTE(TRIM($AR938),"-",""),".",""),"/","")," ",""),8),5,2),--MID(LEFT(SUBSTITUTE(SUBSTITUTE(SUBSTITUTE(SUBSTITUTE(TRIM($AR938),"-",""),".",""),"/","")," ",""),8),7,2)),"")))</f>
        <v/>
      </c>
      <c r="AT938" s="33">
        <f>IF($AS938="","",IF($F$6="",0,IF(ISNUMBER(INDEX($A:$AP,ROW(),$F$6)),INDEX($A:$AP,ROW(),$F$6),IFERROR(--SUBSTITUTE(SUBSTITUTE(TRIM(INDEX($A:$AP,ROW(),$F$6)),",",""),"원",""),0))))</f>
        <v/>
      </c>
      <c r="AU938" s="31">
        <f>IF($AS938="","",IF($AX938&lt;&gt;"",SUBSTITUTE(SUBSTITUTE($AX938,"-","")," ",""),"N:"&amp;$AV938))</f>
        <v/>
      </c>
      <c r="AV938" s="31">
        <f>IF(OR($AS938="",$E$6=""),"",TRIM(INDEX($A:$AP,ROW(),$E$6)&amp;""))</f>
        <v/>
      </c>
      <c r="AW938" s="31">
        <f>IF($AU938="","",IF(MATCH($AU938,$AU$8:$AU$2007,0)=ROW()-7,MAX($AW$7:$AW937)+1,""))</f>
        <v/>
      </c>
      <c r="AX938" s="31">
        <f>IF(OR($AS938="",$D$6=""),"",TRIM(INDEX($A:$AP,ROW(),$D$6)&amp;""))</f>
        <v/>
      </c>
      <c r="AY938" s="31">
        <f>IF($AU938="","",INDEX($AW$8:$AW$2007,MATCH($AU938,$AU$8:$AU$2007,0)))</f>
        <v/>
      </c>
      <c r="AZ938" s="31">
        <f>IF(OR($AS938="",$C$6=""),"",TRIM(INDEX($A:$AP,ROW(),$C$6)&amp;""))</f>
        <v/>
      </c>
      <c r="BA938" s="31">
        <f>IF($AZ938="","",IF(COUNTIF($AZ$8:$AZ938,$AZ938)&gt;1,1,0))</f>
        <v/>
      </c>
    </row>
    <row r="939">
      <c r="AR939" s="31">
        <f>IF(OR($A$5="",$B$6="",ROW()&lt;$A$5),"",IF(INDEX($A:$AP,ROW(),$B$6)="","",INDEX($A:$AP,ROW(),$B$6)))</f>
        <v/>
      </c>
      <c r="AS939" s="32">
        <f>IF($AR939="","",IF(ISNUMBER($AR939),IF($AR939&gt;=10000000,IFERROR(DATE(INT($AR939/10000),MOD(INT($AR939/100),100),MOD($AR939,100)),""),INT($AR939)),IFERROR(DATE(--LEFT(LEFT(SUBSTITUTE(SUBSTITUTE(SUBSTITUTE(SUBSTITUTE(TRIM($AR939),"-",""),".",""),"/","")," ",""),8),4),--MID(LEFT(SUBSTITUTE(SUBSTITUTE(SUBSTITUTE(SUBSTITUTE(TRIM($AR939),"-",""),".",""),"/","")," ",""),8),5,2),--MID(LEFT(SUBSTITUTE(SUBSTITUTE(SUBSTITUTE(SUBSTITUTE(TRIM($AR939),"-",""),".",""),"/","")," ",""),8),7,2)),"")))</f>
        <v/>
      </c>
      <c r="AT939" s="33">
        <f>IF($AS939="","",IF($F$6="",0,IF(ISNUMBER(INDEX($A:$AP,ROW(),$F$6)),INDEX($A:$AP,ROW(),$F$6),IFERROR(--SUBSTITUTE(SUBSTITUTE(TRIM(INDEX($A:$AP,ROW(),$F$6)),",",""),"원",""),0))))</f>
        <v/>
      </c>
      <c r="AU939" s="31">
        <f>IF($AS939="","",IF($AX939&lt;&gt;"",SUBSTITUTE(SUBSTITUTE($AX939,"-","")," ",""),"N:"&amp;$AV939))</f>
        <v/>
      </c>
      <c r="AV939" s="31">
        <f>IF(OR($AS939="",$E$6=""),"",TRIM(INDEX($A:$AP,ROW(),$E$6)&amp;""))</f>
        <v/>
      </c>
      <c r="AW939" s="31">
        <f>IF($AU939="","",IF(MATCH($AU939,$AU$8:$AU$2007,0)=ROW()-7,MAX($AW$7:$AW938)+1,""))</f>
        <v/>
      </c>
      <c r="AX939" s="31">
        <f>IF(OR($AS939="",$D$6=""),"",TRIM(INDEX($A:$AP,ROW(),$D$6)&amp;""))</f>
        <v/>
      </c>
      <c r="AY939" s="31">
        <f>IF($AU939="","",INDEX($AW$8:$AW$2007,MATCH($AU939,$AU$8:$AU$2007,0)))</f>
        <v/>
      </c>
      <c r="AZ939" s="31">
        <f>IF(OR($AS939="",$C$6=""),"",TRIM(INDEX($A:$AP,ROW(),$C$6)&amp;""))</f>
        <v/>
      </c>
      <c r="BA939" s="31">
        <f>IF($AZ939="","",IF(COUNTIF($AZ$8:$AZ939,$AZ939)&gt;1,1,0))</f>
        <v/>
      </c>
    </row>
    <row r="940">
      <c r="AR940" s="31">
        <f>IF(OR($A$5="",$B$6="",ROW()&lt;$A$5),"",IF(INDEX($A:$AP,ROW(),$B$6)="","",INDEX($A:$AP,ROW(),$B$6)))</f>
        <v/>
      </c>
      <c r="AS940" s="32">
        <f>IF($AR940="","",IF(ISNUMBER($AR940),IF($AR940&gt;=10000000,IFERROR(DATE(INT($AR940/10000),MOD(INT($AR940/100),100),MOD($AR940,100)),""),INT($AR940)),IFERROR(DATE(--LEFT(LEFT(SUBSTITUTE(SUBSTITUTE(SUBSTITUTE(SUBSTITUTE(TRIM($AR940),"-",""),".",""),"/","")," ",""),8),4),--MID(LEFT(SUBSTITUTE(SUBSTITUTE(SUBSTITUTE(SUBSTITUTE(TRIM($AR940),"-",""),".",""),"/","")," ",""),8),5,2),--MID(LEFT(SUBSTITUTE(SUBSTITUTE(SUBSTITUTE(SUBSTITUTE(TRIM($AR940),"-",""),".",""),"/","")," ",""),8),7,2)),"")))</f>
        <v/>
      </c>
      <c r="AT940" s="33">
        <f>IF($AS940="","",IF($F$6="",0,IF(ISNUMBER(INDEX($A:$AP,ROW(),$F$6)),INDEX($A:$AP,ROW(),$F$6),IFERROR(--SUBSTITUTE(SUBSTITUTE(TRIM(INDEX($A:$AP,ROW(),$F$6)),",",""),"원",""),0))))</f>
        <v/>
      </c>
      <c r="AU940" s="31">
        <f>IF($AS940="","",IF($AX940&lt;&gt;"",SUBSTITUTE(SUBSTITUTE($AX940,"-","")," ",""),"N:"&amp;$AV940))</f>
        <v/>
      </c>
      <c r="AV940" s="31">
        <f>IF(OR($AS940="",$E$6=""),"",TRIM(INDEX($A:$AP,ROW(),$E$6)&amp;""))</f>
        <v/>
      </c>
      <c r="AW940" s="31">
        <f>IF($AU940="","",IF(MATCH($AU940,$AU$8:$AU$2007,0)=ROW()-7,MAX($AW$7:$AW939)+1,""))</f>
        <v/>
      </c>
      <c r="AX940" s="31">
        <f>IF(OR($AS940="",$D$6=""),"",TRIM(INDEX($A:$AP,ROW(),$D$6)&amp;""))</f>
        <v/>
      </c>
      <c r="AY940" s="31">
        <f>IF($AU940="","",INDEX($AW$8:$AW$2007,MATCH($AU940,$AU$8:$AU$2007,0)))</f>
        <v/>
      </c>
      <c r="AZ940" s="31">
        <f>IF(OR($AS940="",$C$6=""),"",TRIM(INDEX($A:$AP,ROW(),$C$6)&amp;""))</f>
        <v/>
      </c>
      <c r="BA940" s="31">
        <f>IF($AZ940="","",IF(COUNTIF($AZ$8:$AZ940,$AZ940)&gt;1,1,0))</f>
        <v/>
      </c>
    </row>
    <row r="941">
      <c r="AR941" s="31">
        <f>IF(OR($A$5="",$B$6="",ROW()&lt;$A$5),"",IF(INDEX($A:$AP,ROW(),$B$6)="","",INDEX($A:$AP,ROW(),$B$6)))</f>
        <v/>
      </c>
      <c r="AS941" s="32">
        <f>IF($AR941="","",IF(ISNUMBER($AR941),IF($AR941&gt;=10000000,IFERROR(DATE(INT($AR941/10000),MOD(INT($AR941/100),100),MOD($AR941,100)),""),INT($AR941)),IFERROR(DATE(--LEFT(LEFT(SUBSTITUTE(SUBSTITUTE(SUBSTITUTE(SUBSTITUTE(TRIM($AR941),"-",""),".",""),"/","")," ",""),8),4),--MID(LEFT(SUBSTITUTE(SUBSTITUTE(SUBSTITUTE(SUBSTITUTE(TRIM($AR941),"-",""),".",""),"/","")," ",""),8),5,2),--MID(LEFT(SUBSTITUTE(SUBSTITUTE(SUBSTITUTE(SUBSTITUTE(TRIM($AR941),"-",""),".",""),"/","")," ",""),8),7,2)),"")))</f>
        <v/>
      </c>
      <c r="AT941" s="33">
        <f>IF($AS941="","",IF($F$6="",0,IF(ISNUMBER(INDEX($A:$AP,ROW(),$F$6)),INDEX($A:$AP,ROW(),$F$6),IFERROR(--SUBSTITUTE(SUBSTITUTE(TRIM(INDEX($A:$AP,ROW(),$F$6)),",",""),"원",""),0))))</f>
        <v/>
      </c>
      <c r="AU941" s="31">
        <f>IF($AS941="","",IF($AX941&lt;&gt;"",SUBSTITUTE(SUBSTITUTE($AX941,"-","")," ",""),"N:"&amp;$AV941))</f>
        <v/>
      </c>
      <c r="AV941" s="31">
        <f>IF(OR($AS941="",$E$6=""),"",TRIM(INDEX($A:$AP,ROW(),$E$6)&amp;""))</f>
        <v/>
      </c>
      <c r="AW941" s="31">
        <f>IF($AU941="","",IF(MATCH($AU941,$AU$8:$AU$2007,0)=ROW()-7,MAX($AW$7:$AW940)+1,""))</f>
        <v/>
      </c>
      <c r="AX941" s="31">
        <f>IF(OR($AS941="",$D$6=""),"",TRIM(INDEX($A:$AP,ROW(),$D$6)&amp;""))</f>
        <v/>
      </c>
      <c r="AY941" s="31">
        <f>IF($AU941="","",INDEX($AW$8:$AW$2007,MATCH($AU941,$AU$8:$AU$2007,0)))</f>
        <v/>
      </c>
      <c r="AZ941" s="31">
        <f>IF(OR($AS941="",$C$6=""),"",TRIM(INDEX($A:$AP,ROW(),$C$6)&amp;""))</f>
        <v/>
      </c>
      <c r="BA941" s="31">
        <f>IF($AZ941="","",IF(COUNTIF($AZ$8:$AZ941,$AZ941)&gt;1,1,0))</f>
        <v/>
      </c>
    </row>
    <row r="942">
      <c r="AR942" s="31">
        <f>IF(OR($A$5="",$B$6="",ROW()&lt;$A$5),"",IF(INDEX($A:$AP,ROW(),$B$6)="","",INDEX($A:$AP,ROW(),$B$6)))</f>
        <v/>
      </c>
      <c r="AS942" s="32">
        <f>IF($AR942="","",IF(ISNUMBER($AR942),IF($AR942&gt;=10000000,IFERROR(DATE(INT($AR942/10000),MOD(INT($AR942/100),100),MOD($AR942,100)),""),INT($AR942)),IFERROR(DATE(--LEFT(LEFT(SUBSTITUTE(SUBSTITUTE(SUBSTITUTE(SUBSTITUTE(TRIM($AR942),"-",""),".",""),"/","")," ",""),8),4),--MID(LEFT(SUBSTITUTE(SUBSTITUTE(SUBSTITUTE(SUBSTITUTE(TRIM($AR942),"-",""),".",""),"/","")," ",""),8),5,2),--MID(LEFT(SUBSTITUTE(SUBSTITUTE(SUBSTITUTE(SUBSTITUTE(TRIM($AR942),"-",""),".",""),"/","")," ",""),8),7,2)),"")))</f>
        <v/>
      </c>
      <c r="AT942" s="33">
        <f>IF($AS942="","",IF($F$6="",0,IF(ISNUMBER(INDEX($A:$AP,ROW(),$F$6)),INDEX($A:$AP,ROW(),$F$6),IFERROR(--SUBSTITUTE(SUBSTITUTE(TRIM(INDEX($A:$AP,ROW(),$F$6)),",",""),"원",""),0))))</f>
        <v/>
      </c>
      <c r="AU942" s="31">
        <f>IF($AS942="","",IF($AX942&lt;&gt;"",SUBSTITUTE(SUBSTITUTE($AX942,"-","")," ",""),"N:"&amp;$AV942))</f>
        <v/>
      </c>
      <c r="AV942" s="31">
        <f>IF(OR($AS942="",$E$6=""),"",TRIM(INDEX($A:$AP,ROW(),$E$6)&amp;""))</f>
        <v/>
      </c>
      <c r="AW942" s="31">
        <f>IF($AU942="","",IF(MATCH($AU942,$AU$8:$AU$2007,0)=ROW()-7,MAX($AW$7:$AW941)+1,""))</f>
        <v/>
      </c>
      <c r="AX942" s="31">
        <f>IF(OR($AS942="",$D$6=""),"",TRIM(INDEX($A:$AP,ROW(),$D$6)&amp;""))</f>
        <v/>
      </c>
      <c r="AY942" s="31">
        <f>IF($AU942="","",INDEX($AW$8:$AW$2007,MATCH($AU942,$AU$8:$AU$2007,0)))</f>
        <v/>
      </c>
      <c r="AZ942" s="31">
        <f>IF(OR($AS942="",$C$6=""),"",TRIM(INDEX($A:$AP,ROW(),$C$6)&amp;""))</f>
        <v/>
      </c>
      <c r="BA942" s="31">
        <f>IF($AZ942="","",IF(COUNTIF($AZ$8:$AZ942,$AZ942)&gt;1,1,0))</f>
        <v/>
      </c>
    </row>
    <row r="943">
      <c r="AR943" s="31">
        <f>IF(OR($A$5="",$B$6="",ROW()&lt;$A$5),"",IF(INDEX($A:$AP,ROW(),$B$6)="","",INDEX($A:$AP,ROW(),$B$6)))</f>
        <v/>
      </c>
      <c r="AS943" s="32">
        <f>IF($AR943="","",IF(ISNUMBER($AR943),IF($AR943&gt;=10000000,IFERROR(DATE(INT($AR943/10000),MOD(INT($AR943/100),100),MOD($AR943,100)),""),INT($AR943)),IFERROR(DATE(--LEFT(LEFT(SUBSTITUTE(SUBSTITUTE(SUBSTITUTE(SUBSTITUTE(TRIM($AR943),"-",""),".",""),"/","")," ",""),8),4),--MID(LEFT(SUBSTITUTE(SUBSTITUTE(SUBSTITUTE(SUBSTITUTE(TRIM($AR943),"-",""),".",""),"/","")," ",""),8),5,2),--MID(LEFT(SUBSTITUTE(SUBSTITUTE(SUBSTITUTE(SUBSTITUTE(TRIM($AR943),"-",""),".",""),"/","")," ",""),8),7,2)),"")))</f>
        <v/>
      </c>
      <c r="AT943" s="33">
        <f>IF($AS943="","",IF($F$6="",0,IF(ISNUMBER(INDEX($A:$AP,ROW(),$F$6)),INDEX($A:$AP,ROW(),$F$6),IFERROR(--SUBSTITUTE(SUBSTITUTE(TRIM(INDEX($A:$AP,ROW(),$F$6)),",",""),"원",""),0))))</f>
        <v/>
      </c>
      <c r="AU943" s="31">
        <f>IF($AS943="","",IF($AX943&lt;&gt;"",SUBSTITUTE(SUBSTITUTE($AX943,"-","")," ",""),"N:"&amp;$AV943))</f>
        <v/>
      </c>
      <c r="AV943" s="31">
        <f>IF(OR($AS943="",$E$6=""),"",TRIM(INDEX($A:$AP,ROW(),$E$6)&amp;""))</f>
        <v/>
      </c>
      <c r="AW943" s="31">
        <f>IF($AU943="","",IF(MATCH($AU943,$AU$8:$AU$2007,0)=ROW()-7,MAX($AW$7:$AW942)+1,""))</f>
        <v/>
      </c>
      <c r="AX943" s="31">
        <f>IF(OR($AS943="",$D$6=""),"",TRIM(INDEX($A:$AP,ROW(),$D$6)&amp;""))</f>
        <v/>
      </c>
      <c r="AY943" s="31">
        <f>IF($AU943="","",INDEX($AW$8:$AW$2007,MATCH($AU943,$AU$8:$AU$2007,0)))</f>
        <v/>
      </c>
      <c r="AZ943" s="31">
        <f>IF(OR($AS943="",$C$6=""),"",TRIM(INDEX($A:$AP,ROW(),$C$6)&amp;""))</f>
        <v/>
      </c>
      <c r="BA943" s="31">
        <f>IF($AZ943="","",IF(COUNTIF($AZ$8:$AZ943,$AZ943)&gt;1,1,0))</f>
        <v/>
      </c>
    </row>
    <row r="944">
      <c r="AR944" s="31">
        <f>IF(OR($A$5="",$B$6="",ROW()&lt;$A$5),"",IF(INDEX($A:$AP,ROW(),$B$6)="","",INDEX($A:$AP,ROW(),$B$6)))</f>
        <v/>
      </c>
      <c r="AS944" s="32">
        <f>IF($AR944="","",IF(ISNUMBER($AR944),IF($AR944&gt;=10000000,IFERROR(DATE(INT($AR944/10000),MOD(INT($AR944/100),100),MOD($AR944,100)),""),INT($AR944)),IFERROR(DATE(--LEFT(LEFT(SUBSTITUTE(SUBSTITUTE(SUBSTITUTE(SUBSTITUTE(TRIM($AR944),"-",""),".",""),"/","")," ",""),8),4),--MID(LEFT(SUBSTITUTE(SUBSTITUTE(SUBSTITUTE(SUBSTITUTE(TRIM($AR944),"-",""),".",""),"/","")," ",""),8),5,2),--MID(LEFT(SUBSTITUTE(SUBSTITUTE(SUBSTITUTE(SUBSTITUTE(TRIM($AR944),"-",""),".",""),"/","")," ",""),8),7,2)),"")))</f>
        <v/>
      </c>
      <c r="AT944" s="33">
        <f>IF($AS944="","",IF($F$6="",0,IF(ISNUMBER(INDEX($A:$AP,ROW(),$F$6)),INDEX($A:$AP,ROW(),$F$6),IFERROR(--SUBSTITUTE(SUBSTITUTE(TRIM(INDEX($A:$AP,ROW(),$F$6)),",",""),"원",""),0))))</f>
        <v/>
      </c>
      <c r="AU944" s="31">
        <f>IF($AS944="","",IF($AX944&lt;&gt;"",SUBSTITUTE(SUBSTITUTE($AX944,"-","")," ",""),"N:"&amp;$AV944))</f>
        <v/>
      </c>
      <c r="AV944" s="31">
        <f>IF(OR($AS944="",$E$6=""),"",TRIM(INDEX($A:$AP,ROW(),$E$6)&amp;""))</f>
        <v/>
      </c>
      <c r="AW944" s="31">
        <f>IF($AU944="","",IF(MATCH($AU944,$AU$8:$AU$2007,0)=ROW()-7,MAX($AW$7:$AW943)+1,""))</f>
        <v/>
      </c>
      <c r="AX944" s="31">
        <f>IF(OR($AS944="",$D$6=""),"",TRIM(INDEX($A:$AP,ROW(),$D$6)&amp;""))</f>
        <v/>
      </c>
      <c r="AY944" s="31">
        <f>IF($AU944="","",INDEX($AW$8:$AW$2007,MATCH($AU944,$AU$8:$AU$2007,0)))</f>
        <v/>
      </c>
      <c r="AZ944" s="31">
        <f>IF(OR($AS944="",$C$6=""),"",TRIM(INDEX($A:$AP,ROW(),$C$6)&amp;""))</f>
        <v/>
      </c>
      <c r="BA944" s="31">
        <f>IF($AZ944="","",IF(COUNTIF($AZ$8:$AZ944,$AZ944)&gt;1,1,0))</f>
        <v/>
      </c>
    </row>
    <row r="945">
      <c r="AR945" s="31">
        <f>IF(OR($A$5="",$B$6="",ROW()&lt;$A$5),"",IF(INDEX($A:$AP,ROW(),$B$6)="","",INDEX($A:$AP,ROW(),$B$6)))</f>
        <v/>
      </c>
      <c r="AS945" s="32">
        <f>IF($AR945="","",IF(ISNUMBER($AR945),IF($AR945&gt;=10000000,IFERROR(DATE(INT($AR945/10000),MOD(INT($AR945/100),100),MOD($AR945,100)),""),INT($AR945)),IFERROR(DATE(--LEFT(LEFT(SUBSTITUTE(SUBSTITUTE(SUBSTITUTE(SUBSTITUTE(TRIM($AR945),"-",""),".",""),"/","")," ",""),8),4),--MID(LEFT(SUBSTITUTE(SUBSTITUTE(SUBSTITUTE(SUBSTITUTE(TRIM($AR945),"-",""),".",""),"/","")," ",""),8),5,2),--MID(LEFT(SUBSTITUTE(SUBSTITUTE(SUBSTITUTE(SUBSTITUTE(TRIM($AR945),"-",""),".",""),"/","")," ",""),8),7,2)),"")))</f>
        <v/>
      </c>
      <c r="AT945" s="33">
        <f>IF($AS945="","",IF($F$6="",0,IF(ISNUMBER(INDEX($A:$AP,ROW(),$F$6)),INDEX($A:$AP,ROW(),$F$6),IFERROR(--SUBSTITUTE(SUBSTITUTE(TRIM(INDEX($A:$AP,ROW(),$F$6)),",",""),"원",""),0))))</f>
        <v/>
      </c>
      <c r="AU945" s="31">
        <f>IF($AS945="","",IF($AX945&lt;&gt;"",SUBSTITUTE(SUBSTITUTE($AX945,"-","")," ",""),"N:"&amp;$AV945))</f>
        <v/>
      </c>
      <c r="AV945" s="31">
        <f>IF(OR($AS945="",$E$6=""),"",TRIM(INDEX($A:$AP,ROW(),$E$6)&amp;""))</f>
        <v/>
      </c>
      <c r="AW945" s="31">
        <f>IF($AU945="","",IF(MATCH($AU945,$AU$8:$AU$2007,0)=ROW()-7,MAX($AW$7:$AW944)+1,""))</f>
        <v/>
      </c>
      <c r="AX945" s="31">
        <f>IF(OR($AS945="",$D$6=""),"",TRIM(INDEX($A:$AP,ROW(),$D$6)&amp;""))</f>
        <v/>
      </c>
      <c r="AY945" s="31">
        <f>IF($AU945="","",INDEX($AW$8:$AW$2007,MATCH($AU945,$AU$8:$AU$2007,0)))</f>
        <v/>
      </c>
      <c r="AZ945" s="31">
        <f>IF(OR($AS945="",$C$6=""),"",TRIM(INDEX($A:$AP,ROW(),$C$6)&amp;""))</f>
        <v/>
      </c>
      <c r="BA945" s="31">
        <f>IF($AZ945="","",IF(COUNTIF($AZ$8:$AZ945,$AZ945)&gt;1,1,0))</f>
        <v/>
      </c>
    </row>
    <row r="946">
      <c r="AR946" s="31">
        <f>IF(OR($A$5="",$B$6="",ROW()&lt;$A$5),"",IF(INDEX($A:$AP,ROW(),$B$6)="","",INDEX($A:$AP,ROW(),$B$6)))</f>
        <v/>
      </c>
      <c r="AS946" s="32">
        <f>IF($AR946="","",IF(ISNUMBER($AR946),IF($AR946&gt;=10000000,IFERROR(DATE(INT($AR946/10000),MOD(INT($AR946/100),100),MOD($AR946,100)),""),INT($AR946)),IFERROR(DATE(--LEFT(LEFT(SUBSTITUTE(SUBSTITUTE(SUBSTITUTE(SUBSTITUTE(TRIM($AR946),"-",""),".",""),"/","")," ",""),8),4),--MID(LEFT(SUBSTITUTE(SUBSTITUTE(SUBSTITUTE(SUBSTITUTE(TRIM($AR946),"-",""),".",""),"/","")," ",""),8),5,2),--MID(LEFT(SUBSTITUTE(SUBSTITUTE(SUBSTITUTE(SUBSTITUTE(TRIM($AR946),"-",""),".",""),"/","")," ",""),8),7,2)),"")))</f>
        <v/>
      </c>
      <c r="AT946" s="33">
        <f>IF($AS946="","",IF($F$6="",0,IF(ISNUMBER(INDEX($A:$AP,ROW(),$F$6)),INDEX($A:$AP,ROW(),$F$6),IFERROR(--SUBSTITUTE(SUBSTITUTE(TRIM(INDEX($A:$AP,ROW(),$F$6)),",",""),"원",""),0))))</f>
        <v/>
      </c>
      <c r="AU946" s="31">
        <f>IF($AS946="","",IF($AX946&lt;&gt;"",SUBSTITUTE(SUBSTITUTE($AX946,"-","")," ",""),"N:"&amp;$AV946))</f>
        <v/>
      </c>
      <c r="AV946" s="31">
        <f>IF(OR($AS946="",$E$6=""),"",TRIM(INDEX($A:$AP,ROW(),$E$6)&amp;""))</f>
        <v/>
      </c>
      <c r="AW946" s="31">
        <f>IF($AU946="","",IF(MATCH($AU946,$AU$8:$AU$2007,0)=ROW()-7,MAX($AW$7:$AW945)+1,""))</f>
        <v/>
      </c>
      <c r="AX946" s="31">
        <f>IF(OR($AS946="",$D$6=""),"",TRIM(INDEX($A:$AP,ROW(),$D$6)&amp;""))</f>
        <v/>
      </c>
      <c r="AY946" s="31">
        <f>IF($AU946="","",INDEX($AW$8:$AW$2007,MATCH($AU946,$AU$8:$AU$2007,0)))</f>
        <v/>
      </c>
      <c r="AZ946" s="31">
        <f>IF(OR($AS946="",$C$6=""),"",TRIM(INDEX($A:$AP,ROW(),$C$6)&amp;""))</f>
        <v/>
      </c>
      <c r="BA946" s="31">
        <f>IF($AZ946="","",IF(COUNTIF($AZ$8:$AZ946,$AZ946)&gt;1,1,0))</f>
        <v/>
      </c>
    </row>
    <row r="947">
      <c r="AR947" s="31">
        <f>IF(OR($A$5="",$B$6="",ROW()&lt;$A$5),"",IF(INDEX($A:$AP,ROW(),$B$6)="","",INDEX($A:$AP,ROW(),$B$6)))</f>
        <v/>
      </c>
      <c r="AS947" s="32">
        <f>IF($AR947="","",IF(ISNUMBER($AR947),IF($AR947&gt;=10000000,IFERROR(DATE(INT($AR947/10000),MOD(INT($AR947/100),100),MOD($AR947,100)),""),INT($AR947)),IFERROR(DATE(--LEFT(LEFT(SUBSTITUTE(SUBSTITUTE(SUBSTITUTE(SUBSTITUTE(TRIM($AR947),"-",""),".",""),"/","")," ",""),8),4),--MID(LEFT(SUBSTITUTE(SUBSTITUTE(SUBSTITUTE(SUBSTITUTE(TRIM($AR947),"-",""),".",""),"/","")," ",""),8),5,2),--MID(LEFT(SUBSTITUTE(SUBSTITUTE(SUBSTITUTE(SUBSTITUTE(TRIM($AR947),"-",""),".",""),"/","")," ",""),8),7,2)),"")))</f>
        <v/>
      </c>
      <c r="AT947" s="33">
        <f>IF($AS947="","",IF($F$6="",0,IF(ISNUMBER(INDEX($A:$AP,ROW(),$F$6)),INDEX($A:$AP,ROW(),$F$6),IFERROR(--SUBSTITUTE(SUBSTITUTE(TRIM(INDEX($A:$AP,ROW(),$F$6)),",",""),"원",""),0))))</f>
        <v/>
      </c>
      <c r="AU947" s="31">
        <f>IF($AS947="","",IF($AX947&lt;&gt;"",SUBSTITUTE(SUBSTITUTE($AX947,"-","")," ",""),"N:"&amp;$AV947))</f>
        <v/>
      </c>
      <c r="AV947" s="31">
        <f>IF(OR($AS947="",$E$6=""),"",TRIM(INDEX($A:$AP,ROW(),$E$6)&amp;""))</f>
        <v/>
      </c>
      <c r="AW947" s="31">
        <f>IF($AU947="","",IF(MATCH($AU947,$AU$8:$AU$2007,0)=ROW()-7,MAX($AW$7:$AW946)+1,""))</f>
        <v/>
      </c>
      <c r="AX947" s="31">
        <f>IF(OR($AS947="",$D$6=""),"",TRIM(INDEX($A:$AP,ROW(),$D$6)&amp;""))</f>
        <v/>
      </c>
      <c r="AY947" s="31">
        <f>IF($AU947="","",INDEX($AW$8:$AW$2007,MATCH($AU947,$AU$8:$AU$2007,0)))</f>
        <v/>
      </c>
      <c r="AZ947" s="31">
        <f>IF(OR($AS947="",$C$6=""),"",TRIM(INDEX($A:$AP,ROW(),$C$6)&amp;""))</f>
        <v/>
      </c>
      <c r="BA947" s="31">
        <f>IF($AZ947="","",IF(COUNTIF($AZ$8:$AZ947,$AZ947)&gt;1,1,0))</f>
        <v/>
      </c>
    </row>
    <row r="948">
      <c r="AR948" s="31">
        <f>IF(OR($A$5="",$B$6="",ROW()&lt;$A$5),"",IF(INDEX($A:$AP,ROW(),$B$6)="","",INDEX($A:$AP,ROW(),$B$6)))</f>
        <v/>
      </c>
      <c r="AS948" s="32">
        <f>IF($AR948="","",IF(ISNUMBER($AR948),IF($AR948&gt;=10000000,IFERROR(DATE(INT($AR948/10000),MOD(INT($AR948/100),100),MOD($AR948,100)),""),INT($AR948)),IFERROR(DATE(--LEFT(LEFT(SUBSTITUTE(SUBSTITUTE(SUBSTITUTE(SUBSTITUTE(TRIM($AR948),"-",""),".",""),"/","")," ",""),8),4),--MID(LEFT(SUBSTITUTE(SUBSTITUTE(SUBSTITUTE(SUBSTITUTE(TRIM($AR948),"-",""),".",""),"/","")," ",""),8),5,2),--MID(LEFT(SUBSTITUTE(SUBSTITUTE(SUBSTITUTE(SUBSTITUTE(TRIM($AR948),"-",""),".",""),"/","")," ",""),8),7,2)),"")))</f>
        <v/>
      </c>
      <c r="AT948" s="33">
        <f>IF($AS948="","",IF($F$6="",0,IF(ISNUMBER(INDEX($A:$AP,ROW(),$F$6)),INDEX($A:$AP,ROW(),$F$6),IFERROR(--SUBSTITUTE(SUBSTITUTE(TRIM(INDEX($A:$AP,ROW(),$F$6)),",",""),"원",""),0))))</f>
        <v/>
      </c>
      <c r="AU948" s="31">
        <f>IF($AS948="","",IF($AX948&lt;&gt;"",SUBSTITUTE(SUBSTITUTE($AX948,"-","")," ",""),"N:"&amp;$AV948))</f>
        <v/>
      </c>
      <c r="AV948" s="31">
        <f>IF(OR($AS948="",$E$6=""),"",TRIM(INDEX($A:$AP,ROW(),$E$6)&amp;""))</f>
        <v/>
      </c>
      <c r="AW948" s="31">
        <f>IF($AU948="","",IF(MATCH($AU948,$AU$8:$AU$2007,0)=ROW()-7,MAX($AW$7:$AW947)+1,""))</f>
        <v/>
      </c>
      <c r="AX948" s="31">
        <f>IF(OR($AS948="",$D$6=""),"",TRIM(INDEX($A:$AP,ROW(),$D$6)&amp;""))</f>
        <v/>
      </c>
      <c r="AY948" s="31">
        <f>IF($AU948="","",INDEX($AW$8:$AW$2007,MATCH($AU948,$AU$8:$AU$2007,0)))</f>
        <v/>
      </c>
      <c r="AZ948" s="31">
        <f>IF(OR($AS948="",$C$6=""),"",TRIM(INDEX($A:$AP,ROW(),$C$6)&amp;""))</f>
        <v/>
      </c>
      <c r="BA948" s="31">
        <f>IF($AZ948="","",IF(COUNTIF($AZ$8:$AZ948,$AZ948)&gt;1,1,0))</f>
        <v/>
      </c>
    </row>
    <row r="949">
      <c r="AR949" s="31">
        <f>IF(OR($A$5="",$B$6="",ROW()&lt;$A$5),"",IF(INDEX($A:$AP,ROW(),$B$6)="","",INDEX($A:$AP,ROW(),$B$6)))</f>
        <v/>
      </c>
      <c r="AS949" s="32">
        <f>IF($AR949="","",IF(ISNUMBER($AR949),IF($AR949&gt;=10000000,IFERROR(DATE(INT($AR949/10000),MOD(INT($AR949/100),100),MOD($AR949,100)),""),INT($AR949)),IFERROR(DATE(--LEFT(LEFT(SUBSTITUTE(SUBSTITUTE(SUBSTITUTE(SUBSTITUTE(TRIM($AR949),"-",""),".",""),"/","")," ",""),8),4),--MID(LEFT(SUBSTITUTE(SUBSTITUTE(SUBSTITUTE(SUBSTITUTE(TRIM($AR949),"-",""),".",""),"/","")," ",""),8),5,2),--MID(LEFT(SUBSTITUTE(SUBSTITUTE(SUBSTITUTE(SUBSTITUTE(TRIM($AR949),"-",""),".",""),"/","")," ",""),8),7,2)),"")))</f>
        <v/>
      </c>
      <c r="AT949" s="33">
        <f>IF($AS949="","",IF($F$6="",0,IF(ISNUMBER(INDEX($A:$AP,ROW(),$F$6)),INDEX($A:$AP,ROW(),$F$6),IFERROR(--SUBSTITUTE(SUBSTITUTE(TRIM(INDEX($A:$AP,ROW(),$F$6)),",",""),"원",""),0))))</f>
        <v/>
      </c>
      <c r="AU949" s="31">
        <f>IF($AS949="","",IF($AX949&lt;&gt;"",SUBSTITUTE(SUBSTITUTE($AX949,"-","")," ",""),"N:"&amp;$AV949))</f>
        <v/>
      </c>
      <c r="AV949" s="31">
        <f>IF(OR($AS949="",$E$6=""),"",TRIM(INDEX($A:$AP,ROW(),$E$6)&amp;""))</f>
        <v/>
      </c>
      <c r="AW949" s="31">
        <f>IF($AU949="","",IF(MATCH($AU949,$AU$8:$AU$2007,0)=ROW()-7,MAX($AW$7:$AW948)+1,""))</f>
        <v/>
      </c>
      <c r="AX949" s="31">
        <f>IF(OR($AS949="",$D$6=""),"",TRIM(INDEX($A:$AP,ROW(),$D$6)&amp;""))</f>
        <v/>
      </c>
      <c r="AY949" s="31">
        <f>IF($AU949="","",INDEX($AW$8:$AW$2007,MATCH($AU949,$AU$8:$AU$2007,0)))</f>
        <v/>
      </c>
      <c r="AZ949" s="31">
        <f>IF(OR($AS949="",$C$6=""),"",TRIM(INDEX($A:$AP,ROW(),$C$6)&amp;""))</f>
        <v/>
      </c>
      <c r="BA949" s="31">
        <f>IF($AZ949="","",IF(COUNTIF($AZ$8:$AZ949,$AZ949)&gt;1,1,0))</f>
        <v/>
      </c>
    </row>
    <row r="950">
      <c r="AR950" s="31">
        <f>IF(OR($A$5="",$B$6="",ROW()&lt;$A$5),"",IF(INDEX($A:$AP,ROW(),$B$6)="","",INDEX($A:$AP,ROW(),$B$6)))</f>
        <v/>
      </c>
      <c r="AS950" s="32">
        <f>IF($AR950="","",IF(ISNUMBER($AR950),IF($AR950&gt;=10000000,IFERROR(DATE(INT($AR950/10000),MOD(INT($AR950/100),100),MOD($AR950,100)),""),INT($AR950)),IFERROR(DATE(--LEFT(LEFT(SUBSTITUTE(SUBSTITUTE(SUBSTITUTE(SUBSTITUTE(TRIM($AR950),"-",""),".",""),"/","")," ",""),8),4),--MID(LEFT(SUBSTITUTE(SUBSTITUTE(SUBSTITUTE(SUBSTITUTE(TRIM($AR950),"-",""),".",""),"/","")," ",""),8),5,2),--MID(LEFT(SUBSTITUTE(SUBSTITUTE(SUBSTITUTE(SUBSTITUTE(TRIM($AR950),"-",""),".",""),"/","")," ",""),8),7,2)),"")))</f>
        <v/>
      </c>
      <c r="AT950" s="33">
        <f>IF($AS950="","",IF($F$6="",0,IF(ISNUMBER(INDEX($A:$AP,ROW(),$F$6)),INDEX($A:$AP,ROW(),$F$6),IFERROR(--SUBSTITUTE(SUBSTITUTE(TRIM(INDEX($A:$AP,ROW(),$F$6)),",",""),"원",""),0))))</f>
        <v/>
      </c>
      <c r="AU950" s="31">
        <f>IF($AS950="","",IF($AX950&lt;&gt;"",SUBSTITUTE(SUBSTITUTE($AX950,"-","")," ",""),"N:"&amp;$AV950))</f>
        <v/>
      </c>
      <c r="AV950" s="31">
        <f>IF(OR($AS950="",$E$6=""),"",TRIM(INDEX($A:$AP,ROW(),$E$6)&amp;""))</f>
        <v/>
      </c>
      <c r="AW950" s="31">
        <f>IF($AU950="","",IF(MATCH($AU950,$AU$8:$AU$2007,0)=ROW()-7,MAX($AW$7:$AW949)+1,""))</f>
        <v/>
      </c>
      <c r="AX950" s="31">
        <f>IF(OR($AS950="",$D$6=""),"",TRIM(INDEX($A:$AP,ROW(),$D$6)&amp;""))</f>
        <v/>
      </c>
      <c r="AY950" s="31">
        <f>IF($AU950="","",INDEX($AW$8:$AW$2007,MATCH($AU950,$AU$8:$AU$2007,0)))</f>
        <v/>
      </c>
      <c r="AZ950" s="31">
        <f>IF(OR($AS950="",$C$6=""),"",TRIM(INDEX($A:$AP,ROW(),$C$6)&amp;""))</f>
        <v/>
      </c>
      <c r="BA950" s="31">
        <f>IF($AZ950="","",IF(COUNTIF($AZ$8:$AZ950,$AZ950)&gt;1,1,0))</f>
        <v/>
      </c>
    </row>
    <row r="951">
      <c r="AR951" s="31">
        <f>IF(OR($A$5="",$B$6="",ROW()&lt;$A$5),"",IF(INDEX($A:$AP,ROW(),$B$6)="","",INDEX($A:$AP,ROW(),$B$6)))</f>
        <v/>
      </c>
      <c r="AS951" s="32">
        <f>IF($AR951="","",IF(ISNUMBER($AR951),IF($AR951&gt;=10000000,IFERROR(DATE(INT($AR951/10000),MOD(INT($AR951/100),100),MOD($AR951,100)),""),INT($AR951)),IFERROR(DATE(--LEFT(LEFT(SUBSTITUTE(SUBSTITUTE(SUBSTITUTE(SUBSTITUTE(TRIM($AR951),"-",""),".",""),"/","")," ",""),8),4),--MID(LEFT(SUBSTITUTE(SUBSTITUTE(SUBSTITUTE(SUBSTITUTE(TRIM($AR951),"-",""),".",""),"/","")," ",""),8),5,2),--MID(LEFT(SUBSTITUTE(SUBSTITUTE(SUBSTITUTE(SUBSTITUTE(TRIM($AR951),"-",""),".",""),"/","")," ",""),8),7,2)),"")))</f>
        <v/>
      </c>
      <c r="AT951" s="33">
        <f>IF($AS951="","",IF($F$6="",0,IF(ISNUMBER(INDEX($A:$AP,ROW(),$F$6)),INDEX($A:$AP,ROW(),$F$6),IFERROR(--SUBSTITUTE(SUBSTITUTE(TRIM(INDEX($A:$AP,ROW(),$F$6)),",",""),"원",""),0))))</f>
        <v/>
      </c>
      <c r="AU951" s="31">
        <f>IF($AS951="","",IF($AX951&lt;&gt;"",SUBSTITUTE(SUBSTITUTE($AX951,"-","")," ",""),"N:"&amp;$AV951))</f>
        <v/>
      </c>
      <c r="AV951" s="31">
        <f>IF(OR($AS951="",$E$6=""),"",TRIM(INDEX($A:$AP,ROW(),$E$6)&amp;""))</f>
        <v/>
      </c>
      <c r="AW951" s="31">
        <f>IF($AU951="","",IF(MATCH($AU951,$AU$8:$AU$2007,0)=ROW()-7,MAX($AW$7:$AW950)+1,""))</f>
        <v/>
      </c>
      <c r="AX951" s="31">
        <f>IF(OR($AS951="",$D$6=""),"",TRIM(INDEX($A:$AP,ROW(),$D$6)&amp;""))</f>
        <v/>
      </c>
      <c r="AY951" s="31">
        <f>IF($AU951="","",INDEX($AW$8:$AW$2007,MATCH($AU951,$AU$8:$AU$2007,0)))</f>
        <v/>
      </c>
      <c r="AZ951" s="31">
        <f>IF(OR($AS951="",$C$6=""),"",TRIM(INDEX($A:$AP,ROW(),$C$6)&amp;""))</f>
        <v/>
      </c>
      <c r="BA951" s="31">
        <f>IF($AZ951="","",IF(COUNTIF($AZ$8:$AZ951,$AZ951)&gt;1,1,0))</f>
        <v/>
      </c>
    </row>
    <row r="952">
      <c r="AR952" s="31">
        <f>IF(OR($A$5="",$B$6="",ROW()&lt;$A$5),"",IF(INDEX($A:$AP,ROW(),$B$6)="","",INDEX($A:$AP,ROW(),$B$6)))</f>
        <v/>
      </c>
      <c r="AS952" s="32">
        <f>IF($AR952="","",IF(ISNUMBER($AR952),IF($AR952&gt;=10000000,IFERROR(DATE(INT($AR952/10000),MOD(INT($AR952/100),100),MOD($AR952,100)),""),INT($AR952)),IFERROR(DATE(--LEFT(LEFT(SUBSTITUTE(SUBSTITUTE(SUBSTITUTE(SUBSTITUTE(TRIM($AR952),"-",""),".",""),"/","")," ",""),8),4),--MID(LEFT(SUBSTITUTE(SUBSTITUTE(SUBSTITUTE(SUBSTITUTE(TRIM($AR952),"-",""),".",""),"/","")," ",""),8),5,2),--MID(LEFT(SUBSTITUTE(SUBSTITUTE(SUBSTITUTE(SUBSTITUTE(TRIM($AR952),"-",""),".",""),"/","")," ",""),8),7,2)),"")))</f>
        <v/>
      </c>
      <c r="AT952" s="33">
        <f>IF($AS952="","",IF($F$6="",0,IF(ISNUMBER(INDEX($A:$AP,ROW(),$F$6)),INDEX($A:$AP,ROW(),$F$6),IFERROR(--SUBSTITUTE(SUBSTITUTE(TRIM(INDEX($A:$AP,ROW(),$F$6)),",",""),"원",""),0))))</f>
        <v/>
      </c>
      <c r="AU952" s="31">
        <f>IF($AS952="","",IF($AX952&lt;&gt;"",SUBSTITUTE(SUBSTITUTE($AX952,"-","")," ",""),"N:"&amp;$AV952))</f>
        <v/>
      </c>
      <c r="AV952" s="31">
        <f>IF(OR($AS952="",$E$6=""),"",TRIM(INDEX($A:$AP,ROW(),$E$6)&amp;""))</f>
        <v/>
      </c>
      <c r="AW952" s="31">
        <f>IF($AU952="","",IF(MATCH($AU952,$AU$8:$AU$2007,0)=ROW()-7,MAX($AW$7:$AW951)+1,""))</f>
        <v/>
      </c>
      <c r="AX952" s="31">
        <f>IF(OR($AS952="",$D$6=""),"",TRIM(INDEX($A:$AP,ROW(),$D$6)&amp;""))</f>
        <v/>
      </c>
      <c r="AY952" s="31">
        <f>IF($AU952="","",INDEX($AW$8:$AW$2007,MATCH($AU952,$AU$8:$AU$2007,0)))</f>
        <v/>
      </c>
      <c r="AZ952" s="31">
        <f>IF(OR($AS952="",$C$6=""),"",TRIM(INDEX($A:$AP,ROW(),$C$6)&amp;""))</f>
        <v/>
      </c>
      <c r="BA952" s="31">
        <f>IF($AZ952="","",IF(COUNTIF($AZ$8:$AZ952,$AZ952)&gt;1,1,0))</f>
        <v/>
      </c>
    </row>
    <row r="953">
      <c r="AR953" s="31">
        <f>IF(OR($A$5="",$B$6="",ROW()&lt;$A$5),"",IF(INDEX($A:$AP,ROW(),$B$6)="","",INDEX($A:$AP,ROW(),$B$6)))</f>
        <v/>
      </c>
      <c r="AS953" s="32">
        <f>IF($AR953="","",IF(ISNUMBER($AR953),IF($AR953&gt;=10000000,IFERROR(DATE(INT($AR953/10000),MOD(INT($AR953/100),100),MOD($AR953,100)),""),INT($AR953)),IFERROR(DATE(--LEFT(LEFT(SUBSTITUTE(SUBSTITUTE(SUBSTITUTE(SUBSTITUTE(TRIM($AR953),"-",""),".",""),"/","")," ",""),8),4),--MID(LEFT(SUBSTITUTE(SUBSTITUTE(SUBSTITUTE(SUBSTITUTE(TRIM($AR953),"-",""),".",""),"/","")," ",""),8),5,2),--MID(LEFT(SUBSTITUTE(SUBSTITUTE(SUBSTITUTE(SUBSTITUTE(TRIM($AR953),"-",""),".",""),"/","")," ",""),8),7,2)),"")))</f>
        <v/>
      </c>
      <c r="AT953" s="33">
        <f>IF($AS953="","",IF($F$6="",0,IF(ISNUMBER(INDEX($A:$AP,ROW(),$F$6)),INDEX($A:$AP,ROW(),$F$6),IFERROR(--SUBSTITUTE(SUBSTITUTE(TRIM(INDEX($A:$AP,ROW(),$F$6)),",",""),"원",""),0))))</f>
        <v/>
      </c>
      <c r="AU953" s="31">
        <f>IF($AS953="","",IF($AX953&lt;&gt;"",SUBSTITUTE(SUBSTITUTE($AX953,"-","")," ",""),"N:"&amp;$AV953))</f>
        <v/>
      </c>
      <c r="AV953" s="31">
        <f>IF(OR($AS953="",$E$6=""),"",TRIM(INDEX($A:$AP,ROW(),$E$6)&amp;""))</f>
        <v/>
      </c>
      <c r="AW953" s="31">
        <f>IF($AU953="","",IF(MATCH($AU953,$AU$8:$AU$2007,0)=ROW()-7,MAX($AW$7:$AW952)+1,""))</f>
        <v/>
      </c>
      <c r="AX953" s="31">
        <f>IF(OR($AS953="",$D$6=""),"",TRIM(INDEX($A:$AP,ROW(),$D$6)&amp;""))</f>
        <v/>
      </c>
      <c r="AY953" s="31">
        <f>IF($AU953="","",INDEX($AW$8:$AW$2007,MATCH($AU953,$AU$8:$AU$2007,0)))</f>
        <v/>
      </c>
      <c r="AZ953" s="31">
        <f>IF(OR($AS953="",$C$6=""),"",TRIM(INDEX($A:$AP,ROW(),$C$6)&amp;""))</f>
        <v/>
      </c>
      <c r="BA953" s="31">
        <f>IF($AZ953="","",IF(COUNTIF($AZ$8:$AZ953,$AZ953)&gt;1,1,0))</f>
        <v/>
      </c>
    </row>
    <row r="954">
      <c r="AR954" s="31">
        <f>IF(OR($A$5="",$B$6="",ROW()&lt;$A$5),"",IF(INDEX($A:$AP,ROW(),$B$6)="","",INDEX($A:$AP,ROW(),$B$6)))</f>
        <v/>
      </c>
      <c r="AS954" s="32">
        <f>IF($AR954="","",IF(ISNUMBER($AR954),IF($AR954&gt;=10000000,IFERROR(DATE(INT($AR954/10000),MOD(INT($AR954/100),100),MOD($AR954,100)),""),INT($AR954)),IFERROR(DATE(--LEFT(LEFT(SUBSTITUTE(SUBSTITUTE(SUBSTITUTE(SUBSTITUTE(TRIM($AR954),"-",""),".",""),"/","")," ",""),8),4),--MID(LEFT(SUBSTITUTE(SUBSTITUTE(SUBSTITUTE(SUBSTITUTE(TRIM($AR954),"-",""),".",""),"/","")," ",""),8),5,2),--MID(LEFT(SUBSTITUTE(SUBSTITUTE(SUBSTITUTE(SUBSTITUTE(TRIM($AR954),"-",""),".",""),"/","")," ",""),8),7,2)),"")))</f>
        <v/>
      </c>
      <c r="AT954" s="33">
        <f>IF($AS954="","",IF($F$6="",0,IF(ISNUMBER(INDEX($A:$AP,ROW(),$F$6)),INDEX($A:$AP,ROW(),$F$6),IFERROR(--SUBSTITUTE(SUBSTITUTE(TRIM(INDEX($A:$AP,ROW(),$F$6)),",",""),"원",""),0))))</f>
        <v/>
      </c>
      <c r="AU954" s="31">
        <f>IF($AS954="","",IF($AX954&lt;&gt;"",SUBSTITUTE(SUBSTITUTE($AX954,"-","")," ",""),"N:"&amp;$AV954))</f>
        <v/>
      </c>
      <c r="AV954" s="31">
        <f>IF(OR($AS954="",$E$6=""),"",TRIM(INDEX($A:$AP,ROW(),$E$6)&amp;""))</f>
        <v/>
      </c>
      <c r="AW954" s="31">
        <f>IF($AU954="","",IF(MATCH($AU954,$AU$8:$AU$2007,0)=ROW()-7,MAX($AW$7:$AW953)+1,""))</f>
        <v/>
      </c>
      <c r="AX954" s="31">
        <f>IF(OR($AS954="",$D$6=""),"",TRIM(INDEX($A:$AP,ROW(),$D$6)&amp;""))</f>
        <v/>
      </c>
      <c r="AY954" s="31">
        <f>IF($AU954="","",INDEX($AW$8:$AW$2007,MATCH($AU954,$AU$8:$AU$2007,0)))</f>
        <v/>
      </c>
      <c r="AZ954" s="31">
        <f>IF(OR($AS954="",$C$6=""),"",TRIM(INDEX($A:$AP,ROW(),$C$6)&amp;""))</f>
        <v/>
      </c>
      <c r="BA954" s="31">
        <f>IF($AZ954="","",IF(COUNTIF($AZ$8:$AZ954,$AZ954)&gt;1,1,0))</f>
        <v/>
      </c>
    </row>
    <row r="955">
      <c r="AR955" s="31">
        <f>IF(OR($A$5="",$B$6="",ROW()&lt;$A$5),"",IF(INDEX($A:$AP,ROW(),$B$6)="","",INDEX($A:$AP,ROW(),$B$6)))</f>
        <v/>
      </c>
      <c r="AS955" s="32">
        <f>IF($AR955="","",IF(ISNUMBER($AR955),IF($AR955&gt;=10000000,IFERROR(DATE(INT($AR955/10000),MOD(INT($AR955/100),100),MOD($AR955,100)),""),INT($AR955)),IFERROR(DATE(--LEFT(LEFT(SUBSTITUTE(SUBSTITUTE(SUBSTITUTE(SUBSTITUTE(TRIM($AR955),"-",""),".",""),"/","")," ",""),8),4),--MID(LEFT(SUBSTITUTE(SUBSTITUTE(SUBSTITUTE(SUBSTITUTE(TRIM($AR955),"-",""),".",""),"/","")," ",""),8),5,2),--MID(LEFT(SUBSTITUTE(SUBSTITUTE(SUBSTITUTE(SUBSTITUTE(TRIM($AR955),"-",""),".",""),"/","")," ",""),8),7,2)),"")))</f>
        <v/>
      </c>
      <c r="AT955" s="33">
        <f>IF($AS955="","",IF($F$6="",0,IF(ISNUMBER(INDEX($A:$AP,ROW(),$F$6)),INDEX($A:$AP,ROW(),$F$6),IFERROR(--SUBSTITUTE(SUBSTITUTE(TRIM(INDEX($A:$AP,ROW(),$F$6)),",",""),"원",""),0))))</f>
        <v/>
      </c>
      <c r="AU955" s="31">
        <f>IF($AS955="","",IF($AX955&lt;&gt;"",SUBSTITUTE(SUBSTITUTE($AX955,"-","")," ",""),"N:"&amp;$AV955))</f>
        <v/>
      </c>
      <c r="AV955" s="31">
        <f>IF(OR($AS955="",$E$6=""),"",TRIM(INDEX($A:$AP,ROW(),$E$6)&amp;""))</f>
        <v/>
      </c>
      <c r="AW955" s="31">
        <f>IF($AU955="","",IF(MATCH($AU955,$AU$8:$AU$2007,0)=ROW()-7,MAX($AW$7:$AW954)+1,""))</f>
        <v/>
      </c>
      <c r="AX955" s="31">
        <f>IF(OR($AS955="",$D$6=""),"",TRIM(INDEX($A:$AP,ROW(),$D$6)&amp;""))</f>
        <v/>
      </c>
      <c r="AY955" s="31">
        <f>IF($AU955="","",INDEX($AW$8:$AW$2007,MATCH($AU955,$AU$8:$AU$2007,0)))</f>
        <v/>
      </c>
      <c r="AZ955" s="31">
        <f>IF(OR($AS955="",$C$6=""),"",TRIM(INDEX($A:$AP,ROW(),$C$6)&amp;""))</f>
        <v/>
      </c>
      <c r="BA955" s="31">
        <f>IF($AZ955="","",IF(COUNTIF($AZ$8:$AZ955,$AZ955)&gt;1,1,0))</f>
        <v/>
      </c>
    </row>
    <row r="956">
      <c r="AR956" s="31">
        <f>IF(OR($A$5="",$B$6="",ROW()&lt;$A$5),"",IF(INDEX($A:$AP,ROW(),$B$6)="","",INDEX($A:$AP,ROW(),$B$6)))</f>
        <v/>
      </c>
      <c r="AS956" s="32">
        <f>IF($AR956="","",IF(ISNUMBER($AR956),IF($AR956&gt;=10000000,IFERROR(DATE(INT($AR956/10000),MOD(INT($AR956/100),100),MOD($AR956,100)),""),INT($AR956)),IFERROR(DATE(--LEFT(LEFT(SUBSTITUTE(SUBSTITUTE(SUBSTITUTE(SUBSTITUTE(TRIM($AR956),"-",""),".",""),"/","")," ",""),8),4),--MID(LEFT(SUBSTITUTE(SUBSTITUTE(SUBSTITUTE(SUBSTITUTE(TRIM($AR956),"-",""),".",""),"/","")," ",""),8),5,2),--MID(LEFT(SUBSTITUTE(SUBSTITUTE(SUBSTITUTE(SUBSTITUTE(TRIM($AR956),"-",""),".",""),"/","")," ",""),8),7,2)),"")))</f>
        <v/>
      </c>
      <c r="AT956" s="33">
        <f>IF($AS956="","",IF($F$6="",0,IF(ISNUMBER(INDEX($A:$AP,ROW(),$F$6)),INDEX($A:$AP,ROW(),$F$6),IFERROR(--SUBSTITUTE(SUBSTITUTE(TRIM(INDEX($A:$AP,ROW(),$F$6)),",",""),"원",""),0))))</f>
        <v/>
      </c>
      <c r="AU956" s="31">
        <f>IF($AS956="","",IF($AX956&lt;&gt;"",SUBSTITUTE(SUBSTITUTE($AX956,"-","")," ",""),"N:"&amp;$AV956))</f>
        <v/>
      </c>
      <c r="AV956" s="31">
        <f>IF(OR($AS956="",$E$6=""),"",TRIM(INDEX($A:$AP,ROW(),$E$6)&amp;""))</f>
        <v/>
      </c>
      <c r="AW956" s="31">
        <f>IF($AU956="","",IF(MATCH($AU956,$AU$8:$AU$2007,0)=ROW()-7,MAX($AW$7:$AW955)+1,""))</f>
        <v/>
      </c>
      <c r="AX956" s="31">
        <f>IF(OR($AS956="",$D$6=""),"",TRIM(INDEX($A:$AP,ROW(),$D$6)&amp;""))</f>
        <v/>
      </c>
      <c r="AY956" s="31">
        <f>IF($AU956="","",INDEX($AW$8:$AW$2007,MATCH($AU956,$AU$8:$AU$2007,0)))</f>
        <v/>
      </c>
      <c r="AZ956" s="31">
        <f>IF(OR($AS956="",$C$6=""),"",TRIM(INDEX($A:$AP,ROW(),$C$6)&amp;""))</f>
        <v/>
      </c>
      <c r="BA956" s="31">
        <f>IF($AZ956="","",IF(COUNTIF($AZ$8:$AZ956,$AZ956)&gt;1,1,0))</f>
        <v/>
      </c>
    </row>
    <row r="957">
      <c r="AR957" s="31">
        <f>IF(OR($A$5="",$B$6="",ROW()&lt;$A$5),"",IF(INDEX($A:$AP,ROW(),$B$6)="","",INDEX($A:$AP,ROW(),$B$6)))</f>
        <v/>
      </c>
      <c r="AS957" s="32">
        <f>IF($AR957="","",IF(ISNUMBER($AR957),IF($AR957&gt;=10000000,IFERROR(DATE(INT($AR957/10000),MOD(INT($AR957/100),100),MOD($AR957,100)),""),INT($AR957)),IFERROR(DATE(--LEFT(LEFT(SUBSTITUTE(SUBSTITUTE(SUBSTITUTE(SUBSTITUTE(TRIM($AR957),"-",""),".",""),"/","")," ",""),8),4),--MID(LEFT(SUBSTITUTE(SUBSTITUTE(SUBSTITUTE(SUBSTITUTE(TRIM($AR957),"-",""),".",""),"/","")," ",""),8),5,2),--MID(LEFT(SUBSTITUTE(SUBSTITUTE(SUBSTITUTE(SUBSTITUTE(TRIM($AR957),"-",""),".",""),"/","")," ",""),8),7,2)),"")))</f>
        <v/>
      </c>
      <c r="AT957" s="33">
        <f>IF($AS957="","",IF($F$6="",0,IF(ISNUMBER(INDEX($A:$AP,ROW(),$F$6)),INDEX($A:$AP,ROW(),$F$6),IFERROR(--SUBSTITUTE(SUBSTITUTE(TRIM(INDEX($A:$AP,ROW(),$F$6)),",",""),"원",""),0))))</f>
        <v/>
      </c>
      <c r="AU957" s="31">
        <f>IF($AS957="","",IF($AX957&lt;&gt;"",SUBSTITUTE(SUBSTITUTE($AX957,"-","")," ",""),"N:"&amp;$AV957))</f>
        <v/>
      </c>
      <c r="AV957" s="31">
        <f>IF(OR($AS957="",$E$6=""),"",TRIM(INDEX($A:$AP,ROW(),$E$6)&amp;""))</f>
        <v/>
      </c>
      <c r="AW957" s="31">
        <f>IF($AU957="","",IF(MATCH($AU957,$AU$8:$AU$2007,0)=ROW()-7,MAX($AW$7:$AW956)+1,""))</f>
        <v/>
      </c>
      <c r="AX957" s="31">
        <f>IF(OR($AS957="",$D$6=""),"",TRIM(INDEX($A:$AP,ROW(),$D$6)&amp;""))</f>
        <v/>
      </c>
      <c r="AY957" s="31">
        <f>IF($AU957="","",INDEX($AW$8:$AW$2007,MATCH($AU957,$AU$8:$AU$2007,0)))</f>
        <v/>
      </c>
      <c r="AZ957" s="31">
        <f>IF(OR($AS957="",$C$6=""),"",TRIM(INDEX($A:$AP,ROW(),$C$6)&amp;""))</f>
        <v/>
      </c>
      <c r="BA957" s="31">
        <f>IF($AZ957="","",IF(COUNTIF($AZ$8:$AZ957,$AZ957)&gt;1,1,0))</f>
        <v/>
      </c>
    </row>
    <row r="958">
      <c r="AR958" s="31">
        <f>IF(OR($A$5="",$B$6="",ROW()&lt;$A$5),"",IF(INDEX($A:$AP,ROW(),$B$6)="","",INDEX($A:$AP,ROW(),$B$6)))</f>
        <v/>
      </c>
      <c r="AS958" s="32">
        <f>IF($AR958="","",IF(ISNUMBER($AR958),IF($AR958&gt;=10000000,IFERROR(DATE(INT($AR958/10000),MOD(INT($AR958/100),100),MOD($AR958,100)),""),INT($AR958)),IFERROR(DATE(--LEFT(LEFT(SUBSTITUTE(SUBSTITUTE(SUBSTITUTE(SUBSTITUTE(TRIM($AR958),"-",""),".",""),"/","")," ",""),8),4),--MID(LEFT(SUBSTITUTE(SUBSTITUTE(SUBSTITUTE(SUBSTITUTE(TRIM($AR958),"-",""),".",""),"/","")," ",""),8),5,2),--MID(LEFT(SUBSTITUTE(SUBSTITUTE(SUBSTITUTE(SUBSTITUTE(TRIM($AR958),"-",""),".",""),"/","")," ",""),8),7,2)),"")))</f>
        <v/>
      </c>
      <c r="AT958" s="33">
        <f>IF($AS958="","",IF($F$6="",0,IF(ISNUMBER(INDEX($A:$AP,ROW(),$F$6)),INDEX($A:$AP,ROW(),$F$6),IFERROR(--SUBSTITUTE(SUBSTITUTE(TRIM(INDEX($A:$AP,ROW(),$F$6)),",",""),"원",""),0))))</f>
        <v/>
      </c>
      <c r="AU958" s="31">
        <f>IF($AS958="","",IF($AX958&lt;&gt;"",SUBSTITUTE(SUBSTITUTE($AX958,"-","")," ",""),"N:"&amp;$AV958))</f>
        <v/>
      </c>
      <c r="AV958" s="31">
        <f>IF(OR($AS958="",$E$6=""),"",TRIM(INDEX($A:$AP,ROW(),$E$6)&amp;""))</f>
        <v/>
      </c>
      <c r="AW958" s="31">
        <f>IF($AU958="","",IF(MATCH($AU958,$AU$8:$AU$2007,0)=ROW()-7,MAX($AW$7:$AW957)+1,""))</f>
        <v/>
      </c>
      <c r="AX958" s="31">
        <f>IF(OR($AS958="",$D$6=""),"",TRIM(INDEX($A:$AP,ROW(),$D$6)&amp;""))</f>
        <v/>
      </c>
      <c r="AY958" s="31">
        <f>IF($AU958="","",INDEX($AW$8:$AW$2007,MATCH($AU958,$AU$8:$AU$2007,0)))</f>
        <v/>
      </c>
      <c r="AZ958" s="31">
        <f>IF(OR($AS958="",$C$6=""),"",TRIM(INDEX($A:$AP,ROW(),$C$6)&amp;""))</f>
        <v/>
      </c>
      <c r="BA958" s="31">
        <f>IF($AZ958="","",IF(COUNTIF($AZ$8:$AZ958,$AZ958)&gt;1,1,0))</f>
        <v/>
      </c>
    </row>
    <row r="959">
      <c r="AR959" s="31">
        <f>IF(OR($A$5="",$B$6="",ROW()&lt;$A$5),"",IF(INDEX($A:$AP,ROW(),$B$6)="","",INDEX($A:$AP,ROW(),$B$6)))</f>
        <v/>
      </c>
      <c r="AS959" s="32">
        <f>IF($AR959="","",IF(ISNUMBER($AR959),IF($AR959&gt;=10000000,IFERROR(DATE(INT($AR959/10000),MOD(INT($AR959/100),100),MOD($AR959,100)),""),INT($AR959)),IFERROR(DATE(--LEFT(LEFT(SUBSTITUTE(SUBSTITUTE(SUBSTITUTE(SUBSTITUTE(TRIM($AR959),"-",""),".",""),"/","")," ",""),8),4),--MID(LEFT(SUBSTITUTE(SUBSTITUTE(SUBSTITUTE(SUBSTITUTE(TRIM($AR959),"-",""),".",""),"/","")," ",""),8),5,2),--MID(LEFT(SUBSTITUTE(SUBSTITUTE(SUBSTITUTE(SUBSTITUTE(TRIM($AR959),"-",""),".",""),"/","")," ",""),8),7,2)),"")))</f>
        <v/>
      </c>
      <c r="AT959" s="33">
        <f>IF($AS959="","",IF($F$6="",0,IF(ISNUMBER(INDEX($A:$AP,ROW(),$F$6)),INDEX($A:$AP,ROW(),$F$6),IFERROR(--SUBSTITUTE(SUBSTITUTE(TRIM(INDEX($A:$AP,ROW(),$F$6)),",",""),"원",""),0))))</f>
        <v/>
      </c>
      <c r="AU959" s="31">
        <f>IF($AS959="","",IF($AX959&lt;&gt;"",SUBSTITUTE(SUBSTITUTE($AX959,"-","")," ",""),"N:"&amp;$AV959))</f>
        <v/>
      </c>
      <c r="AV959" s="31">
        <f>IF(OR($AS959="",$E$6=""),"",TRIM(INDEX($A:$AP,ROW(),$E$6)&amp;""))</f>
        <v/>
      </c>
      <c r="AW959" s="31">
        <f>IF($AU959="","",IF(MATCH($AU959,$AU$8:$AU$2007,0)=ROW()-7,MAX($AW$7:$AW958)+1,""))</f>
        <v/>
      </c>
      <c r="AX959" s="31">
        <f>IF(OR($AS959="",$D$6=""),"",TRIM(INDEX($A:$AP,ROW(),$D$6)&amp;""))</f>
        <v/>
      </c>
      <c r="AY959" s="31">
        <f>IF($AU959="","",INDEX($AW$8:$AW$2007,MATCH($AU959,$AU$8:$AU$2007,0)))</f>
        <v/>
      </c>
      <c r="AZ959" s="31">
        <f>IF(OR($AS959="",$C$6=""),"",TRIM(INDEX($A:$AP,ROW(),$C$6)&amp;""))</f>
        <v/>
      </c>
      <c r="BA959" s="31">
        <f>IF($AZ959="","",IF(COUNTIF($AZ$8:$AZ959,$AZ959)&gt;1,1,0))</f>
        <v/>
      </c>
    </row>
    <row r="960">
      <c r="AR960" s="31">
        <f>IF(OR($A$5="",$B$6="",ROW()&lt;$A$5),"",IF(INDEX($A:$AP,ROW(),$B$6)="","",INDEX($A:$AP,ROW(),$B$6)))</f>
        <v/>
      </c>
      <c r="AS960" s="32">
        <f>IF($AR960="","",IF(ISNUMBER($AR960),IF($AR960&gt;=10000000,IFERROR(DATE(INT($AR960/10000),MOD(INT($AR960/100),100),MOD($AR960,100)),""),INT($AR960)),IFERROR(DATE(--LEFT(LEFT(SUBSTITUTE(SUBSTITUTE(SUBSTITUTE(SUBSTITUTE(TRIM($AR960),"-",""),".",""),"/","")," ",""),8),4),--MID(LEFT(SUBSTITUTE(SUBSTITUTE(SUBSTITUTE(SUBSTITUTE(TRIM($AR960),"-",""),".",""),"/","")," ",""),8),5,2),--MID(LEFT(SUBSTITUTE(SUBSTITUTE(SUBSTITUTE(SUBSTITUTE(TRIM($AR960),"-",""),".",""),"/","")," ",""),8),7,2)),"")))</f>
        <v/>
      </c>
      <c r="AT960" s="33">
        <f>IF($AS960="","",IF($F$6="",0,IF(ISNUMBER(INDEX($A:$AP,ROW(),$F$6)),INDEX($A:$AP,ROW(),$F$6),IFERROR(--SUBSTITUTE(SUBSTITUTE(TRIM(INDEX($A:$AP,ROW(),$F$6)),",",""),"원",""),0))))</f>
        <v/>
      </c>
      <c r="AU960" s="31">
        <f>IF($AS960="","",IF($AX960&lt;&gt;"",SUBSTITUTE(SUBSTITUTE($AX960,"-","")," ",""),"N:"&amp;$AV960))</f>
        <v/>
      </c>
      <c r="AV960" s="31">
        <f>IF(OR($AS960="",$E$6=""),"",TRIM(INDEX($A:$AP,ROW(),$E$6)&amp;""))</f>
        <v/>
      </c>
      <c r="AW960" s="31">
        <f>IF($AU960="","",IF(MATCH($AU960,$AU$8:$AU$2007,0)=ROW()-7,MAX($AW$7:$AW959)+1,""))</f>
        <v/>
      </c>
      <c r="AX960" s="31">
        <f>IF(OR($AS960="",$D$6=""),"",TRIM(INDEX($A:$AP,ROW(),$D$6)&amp;""))</f>
        <v/>
      </c>
      <c r="AY960" s="31">
        <f>IF($AU960="","",INDEX($AW$8:$AW$2007,MATCH($AU960,$AU$8:$AU$2007,0)))</f>
        <v/>
      </c>
      <c r="AZ960" s="31">
        <f>IF(OR($AS960="",$C$6=""),"",TRIM(INDEX($A:$AP,ROW(),$C$6)&amp;""))</f>
        <v/>
      </c>
      <c r="BA960" s="31">
        <f>IF($AZ960="","",IF(COUNTIF($AZ$8:$AZ960,$AZ960)&gt;1,1,0))</f>
        <v/>
      </c>
    </row>
    <row r="961">
      <c r="AR961" s="31">
        <f>IF(OR($A$5="",$B$6="",ROW()&lt;$A$5),"",IF(INDEX($A:$AP,ROW(),$B$6)="","",INDEX($A:$AP,ROW(),$B$6)))</f>
        <v/>
      </c>
      <c r="AS961" s="32">
        <f>IF($AR961="","",IF(ISNUMBER($AR961),IF($AR961&gt;=10000000,IFERROR(DATE(INT($AR961/10000),MOD(INT($AR961/100),100),MOD($AR961,100)),""),INT($AR961)),IFERROR(DATE(--LEFT(LEFT(SUBSTITUTE(SUBSTITUTE(SUBSTITUTE(SUBSTITUTE(TRIM($AR961),"-",""),".",""),"/","")," ",""),8),4),--MID(LEFT(SUBSTITUTE(SUBSTITUTE(SUBSTITUTE(SUBSTITUTE(TRIM($AR961),"-",""),".",""),"/","")," ",""),8),5,2),--MID(LEFT(SUBSTITUTE(SUBSTITUTE(SUBSTITUTE(SUBSTITUTE(TRIM($AR961),"-",""),".",""),"/","")," ",""),8),7,2)),"")))</f>
        <v/>
      </c>
      <c r="AT961" s="33">
        <f>IF($AS961="","",IF($F$6="",0,IF(ISNUMBER(INDEX($A:$AP,ROW(),$F$6)),INDEX($A:$AP,ROW(),$F$6),IFERROR(--SUBSTITUTE(SUBSTITUTE(TRIM(INDEX($A:$AP,ROW(),$F$6)),",",""),"원",""),0))))</f>
        <v/>
      </c>
      <c r="AU961" s="31">
        <f>IF($AS961="","",IF($AX961&lt;&gt;"",SUBSTITUTE(SUBSTITUTE($AX961,"-","")," ",""),"N:"&amp;$AV961))</f>
        <v/>
      </c>
      <c r="AV961" s="31">
        <f>IF(OR($AS961="",$E$6=""),"",TRIM(INDEX($A:$AP,ROW(),$E$6)&amp;""))</f>
        <v/>
      </c>
      <c r="AW961" s="31">
        <f>IF($AU961="","",IF(MATCH($AU961,$AU$8:$AU$2007,0)=ROW()-7,MAX($AW$7:$AW960)+1,""))</f>
        <v/>
      </c>
      <c r="AX961" s="31">
        <f>IF(OR($AS961="",$D$6=""),"",TRIM(INDEX($A:$AP,ROW(),$D$6)&amp;""))</f>
        <v/>
      </c>
      <c r="AY961" s="31">
        <f>IF($AU961="","",INDEX($AW$8:$AW$2007,MATCH($AU961,$AU$8:$AU$2007,0)))</f>
        <v/>
      </c>
      <c r="AZ961" s="31">
        <f>IF(OR($AS961="",$C$6=""),"",TRIM(INDEX($A:$AP,ROW(),$C$6)&amp;""))</f>
        <v/>
      </c>
      <c r="BA961" s="31">
        <f>IF($AZ961="","",IF(COUNTIF($AZ$8:$AZ961,$AZ961)&gt;1,1,0))</f>
        <v/>
      </c>
    </row>
    <row r="962">
      <c r="AR962" s="31">
        <f>IF(OR($A$5="",$B$6="",ROW()&lt;$A$5),"",IF(INDEX($A:$AP,ROW(),$B$6)="","",INDEX($A:$AP,ROW(),$B$6)))</f>
        <v/>
      </c>
      <c r="AS962" s="32">
        <f>IF($AR962="","",IF(ISNUMBER($AR962),IF($AR962&gt;=10000000,IFERROR(DATE(INT($AR962/10000),MOD(INT($AR962/100),100),MOD($AR962,100)),""),INT($AR962)),IFERROR(DATE(--LEFT(LEFT(SUBSTITUTE(SUBSTITUTE(SUBSTITUTE(SUBSTITUTE(TRIM($AR962),"-",""),".",""),"/","")," ",""),8),4),--MID(LEFT(SUBSTITUTE(SUBSTITUTE(SUBSTITUTE(SUBSTITUTE(TRIM($AR962),"-",""),".",""),"/","")," ",""),8),5,2),--MID(LEFT(SUBSTITUTE(SUBSTITUTE(SUBSTITUTE(SUBSTITUTE(TRIM($AR962),"-",""),".",""),"/","")," ",""),8),7,2)),"")))</f>
        <v/>
      </c>
      <c r="AT962" s="33">
        <f>IF($AS962="","",IF($F$6="",0,IF(ISNUMBER(INDEX($A:$AP,ROW(),$F$6)),INDEX($A:$AP,ROW(),$F$6),IFERROR(--SUBSTITUTE(SUBSTITUTE(TRIM(INDEX($A:$AP,ROW(),$F$6)),",",""),"원",""),0))))</f>
        <v/>
      </c>
      <c r="AU962" s="31">
        <f>IF($AS962="","",IF($AX962&lt;&gt;"",SUBSTITUTE(SUBSTITUTE($AX962,"-","")," ",""),"N:"&amp;$AV962))</f>
        <v/>
      </c>
      <c r="AV962" s="31">
        <f>IF(OR($AS962="",$E$6=""),"",TRIM(INDEX($A:$AP,ROW(),$E$6)&amp;""))</f>
        <v/>
      </c>
      <c r="AW962" s="31">
        <f>IF($AU962="","",IF(MATCH($AU962,$AU$8:$AU$2007,0)=ROW()-7,MAX($AW$7:$AW961)+1,""))</f>
        <v/>
      </c>
      <c r="AX962" s="31">
        <f>IF(OR($AS962="",$D$6=""),"",TRIM(INDEX($A:$AP,ROW(),$D$6)&amp;""))</f>
        <v/>
      </c>
      <c r="AY962" s="31">
        <f>IF($AU962="","",INDEX($AW$8:$AW$2007,MATCH($AU962,$AU$8:$AU$2007,0)))</f>
        <v/>
      </c>
      <c r="AZ962" s="31">
        <f>IF(OR($AS962="",$C$6=""),"",TRIM(INDEX($A:$AP,ROW(),$C$6)&amp;""))</f>
        <v/>
      </c>
      <c r="BA962" s="31">
        <f>IF($AZ962="","",IF(COUNTIF($AZ$8:$AZ962,$AZ962)&gt;1,1,0))</f>
        <v/>
      </c>
    </row>
    <row r="963">
      <c r="AR963" s="31">
        <f>IF(OR($A$5="",$B$6="",ROW()&lt;$A$5),"",IF(INDEX($A:$AP,ROW(),$B$6)="","",INDEX($A:$AP,ROW(),$B$6)))</f>
        <v/>
      </c>
      <c r="AS963" s="32">
        <f>IF($AR963="","",IF(ISNUMBER($AR963),IF($AR963&gt;=10000000,IFERROR(DATE(INT($AR963/10000),MOD(INT($AR963/100),100),MOD($AR963,100)),""),INT($AR963)),IFERROR(DATE(--LEFT(LEFT(SUBSTITUTE(SUBSTITUTE(SUBSTITUTE(SUBSTITUTE(TRIM($AR963),"-",""),".",""),"/","")," ",""),8),4),--MID(LEFT(SUBSTITUTE(SUBSTITUTE(SUBSTITUTE(SUBSTITUTE(TRIM($AR963),"-",""),".",""),"/","")," ",""),8),5,2),--MID(LEFT(SUBSTITUTE(SUBSTITUTE(SUBSTITUTE(SUBSTITUTE(TRIM($AR963),"-",""),".",""),"/","")," ",""),8),7,2)),"")))</f>
        <v/>
      </c>
      <c r="AT963" s="33">
        <f>IF($AS963="","",IF($F$6="",0,IF(ISNUMBER(INDEX($A:$AP,ROW(),$F$6)),INDEX($A:$AP,ROW(),$F$6),IFERROR(--SUBSTITUTE(SUBSTITUTE(TRIM(INDEX($A:$AP,ROW(),$F$6)),",",""),"원",""),0))))</f>
        <v/>
      </c>
      <c r="AU963" s="31">
        <f>IF($AS963="","",IF($AX963&lt;&gt;"",SUBSTITUTE(SUBSTITUTE($AX963,"-","")," ",""),"N:"&amp;$AV963))</f>
        <v/>
      </c>
      <c r="AV963" s="31">
        <f>IF(OR($AS963="",$E$6=""),"",TRIM(INDEX($A:$AP,ROW(),$E$6)&amp;""))</f>
        <v/>
      </c>
      <c r="AW963" s="31">
        <f>IF($AU963="","",IF(MATCH($AU963,$AU$8:$AU$2007,0)=ROW()-7,MAX($AW$7:$AW962)+1,""))</f>
        <v/>
      </c>
      <c r="AX963" s="31">
        <f>IF(OR($AS963="",$D$6=""),"",TRIM(INDEX($A:$AP,ROW(),$D$6)&amp;""))</f>
        <v/>
      </c>
      <c r="AY963" s="31">
        <f>IF($AU963="","",INDEX($AW$8:$AW$2007,MATCH($AU963,$AU$8:$AU$2007,0)))</f>
        <v/>
      </c>
      <c r="AZ963" s="31">
        <f>IF(OR($AS963="",$C$6=""),"",TRIM(INDEX($A:$AP,ROW(),$C$6)&amp;""))</f>
        <v/>
      </c>
      <c r="BA963" s="31">
        <f>IF($AZ963="","",IF(COUNTIF($AZ$8:$AZ963,$AZ963)&gt;1,1,0))</f>
        <v/>
      </c>
    </row>
    <row r="964">
      <c r="AR964" s="31">
        <f>IF(OR($A$5="",$B$6="",ROW()&lt;$A$5),"",IF(INDEX($A:$AP,ROW(),$B$6)="","",INDEX($A:$AP,ROW(),$B$6)))</f>
        <v/>
      </c>
      <c r="AS964" s="32">
        <f>IF($AR964="","",IF(ISNUMBER($AR964),IF($AR964&gt;=10000000,IFERROR(DATE(INT($AR964/10000),MOD(INT($AR964/100),100),MOD($AR964,100)),""),INT($AR964)),IFERROR(DATE(--LEFT(LEFT(SUBSTITUTE(SUBSTITUTE(SUBSTITUTE(SUBSTITUTE(TRIM($AR964),"-",""),".",""),"/","")," ",""),8),4),--MID(LEFT(SUBSTITUTE(SUBSTITUTE(SUBSTITUTE(SUBSTITUTE(TRIM($AR964),"-",""),".",""),"/","")," ",""),8),5,2),--MID(LEFT(SUBSTITUTE(SUBSTITUTE(SUBSTITUTE(SUBSTITUTE(TRIM($AR964),"-",""),".",""),"/","")," ",""),8),7,2)),"")))</f>
        <v/>
      </c>
      <c r="AT964" s="33">
        <f>IF($AS964="","",IF($F$6="",0,IF(ISNUMBER(INDEX($A:$AP,ROW(),$F$6)),INDEX($A:$AP,ROW(),$F$6),IFERROR(--SUBSTITUTE(SUBSTITUTE(TRIM(INDEX($A:$AP,ROW(),$F$6)),",",""),"원",""),0))))</f>
        <v/>
      </c>
      <c r="AU964" s="31">
        <f>IF($AS964="","",IF($AX964&lt;&gt;"",SUBSTITUTE(SUBSTITUTE($AX964,"-","")," ",""),"N:"&amp;$AV964))</f>
        <v/>
      </c>
      <c r="AV964" s="31">
        <f>IF(OR($AS964="",$E$6=""),"",TRIM(INDEX($A:$AP,ROW(),$E$6)&amp;""))</f>
        <v/>
      </c>
      <c r="AW964" s="31">
        <f>IF($AU964="","",IF(MATCH($AU964,$AU$8:$AU$2007,0)=ROW()-7,MAX($AW$7:$AW963)+1,""))</f>
        <v/>
      </c>
      <c r="AX964" s="31">
        <f>IF(OR($AS964="",$D$6=""),"",TRIM(INDEX($A:$AP,ROW(),$D$6)&amp;""))</f>
        <v/>
      </c>
      <c r="AY964" s="31">
        <f>IF($AU964="","",INDEX($AW$8:$AW$2007,MATCH($AU964,$AU$8:$AU$2007,0)))</f>
        <v/>
      </c>
      <c r="AZ964" s="31">
        <f>IF(OR($AS964="",$C$6=""),"",TRIM(INDEX($A:$AP,ROW(),$C$6)&amp;""))</f>
        <v/>
      </c>
      <c r="BA964" s="31">
        <f>IF($AZ964="","",IF(COUNTIF($AZ$8:$AZ964,$AZ964)&gt;1,1,0))</f>
        <v/>
      </c>
    </row>
    <row r="965">
      <c r="AR965" s="31">
        <f>IF(OR($A$5="",$B$6="",ROW()&lt;$A$5),"",IF(INDEX($A:$AP,ROW(),$B$6)="","",INDEX($A:$AP,ROW(),$B$6)))</f>
        <v/>
      </c>
      <c r="AS965" s="32">
        <f>IF($AR965="","",IF(ISNUMBER($AR965),IF($AR965&gt;=10000000,IFERROR(DATE(INT($AR965/10000),MOD(INT($AR965/100),100),MOD($AR965,100)),""),INT($AR965)),IFERROR(DATE(--LEFT(LEFT(SUBSTITUTE(SUBSTITUTE(SUBSTITUTE(SUBSTITUTE(TRIM($AR965),"-",""),".",""),"/","")," ",""),8),4),--MID(LEFT(SUBSTITUTE(SUBSTITUTE(SUBSTITUTE(SUBSTITUTE(TRIM($AR965),"-",""),".",""),"/","")," ",""),8),5,2),--MID(LEFT(SUBSTITUTE(SUBSTITUTE(SUBSTITUTE(SUBSTITUTE(TRIM($AR965),"-",""),".",""),"/","")," ",""),8),7,2)),"")))</f>
        <v/>
      </c>
      <c r="AT965" s="33">
        <f>IF($AS965="","",IF($F$6="",0,IF(ISNUMBER(INDEX($A:$AP,ROW(),$F$6)),INDEX($A:$AP,ROW(),$F$6),IFERROR(--SUBSTITUTE(SUBSTITUTE(TRIM(INDEX($A:$AP,ROW(),$F$6)),",",""),"원",""),0))))</f>
        <v/>
      </c>
      <c r="AU965" s="31">
        <f>IF($AS965="","",IF($AX965&lt;&gt;"",SUBSTITUTE(SUBSTITUTE($AX965,"-","")," ",""),"N:"&amp;$AV965))</f>
        <v/>
      </c>
      <c r="AV965" s="31">
        <f>IF(OR($AS965="",$E$6=""),"",TRIM(INDEX($A:$AP,ROW(),$E$6)&amp;""))</f>
        <v/>
      </c>
      <c r="AW965" s="31">
        <f>IF($AU965="","",IF(MATCH($AU965,$AU$8:$AU$2007,0)=ROW()-7,MAX($AW$7:$AW964)+1,""))</f>
        <v/>
      </c>
      <c r="AX965" s="31">
        <f>IF(OR($AS965="",$D$6=""),"",TRIM(INDEX($A:$AP,ROW(),$D$6)&amp;""))</f>
        <v/>
      </c>
      <c r="AY965" s="31">
        <f>IF($AU965="","",INDEX($AW$8:$AW$2007,MATCH($AU965,$AU$8:$AU$2007,0)))</f>
        <v/>
      </c>
      <c r="AZ965" s="31">
        <f>IF(OR($AS965="",$C$6=""),"",TRIM(INDEX($A:$AP,ROW(),$C$6)&amp;""))</f>
        <v/>
      </c>
      <c r="BA965" s="31">
        <f>IF($AZ965="","",IF(COUNTIF($AZ$8:$AZ965,$AZ965)&gt;1,1,0))</f>
        <v/>
      </c>
    </row>
    <row r="966">
      <c r="AR966" s="31">
        <f>IF(OR($A$5="",$B$6="",ROW()&lt;$A$5),"",IF(INDEX($A:$AP,ROW(),$B$6)="","",INDEX($A:$AP,ROW(),$B$6)))</f>
        <v/>
      </c>
      <c r="AS966" s="32">
        <f>IF($AR966="","",IF(ISNUMBER($AR966),IF($AR966&gt;=10000000,IFERROR(DATE(INT($AR966/10000),MOD(INT($AR966/100),100),MOD($AR966,100)),""),INT($AR966)),IFERROR(DATE(--LEFT(LEFT(SUBSTITUTE(SUBSTITUTE(SUBSTITUTE(SUBSTITUTE(TRIM($AR966),"-",""),".",""),"/","")," ",""),8),4),--MID(LEFT(SUBSTITUTE(SUBSTITUTE(SUBSTITUTE(SUBSTITUTE(TRIM($AR966),"-",""),".",""),"/","")," ",""),8),5,2),--MID(LEFT(SUBSTITUTE(SUBSTITUTE(SUBSTITUTE(SUBSTITUTE(TRIM($AR966),"-",""),".",""),"/","")," ",""),8),7,2)),"")))</f>
        <v/>
      </c>
      <c r="AT966" s="33">
        <f>IF($AS966="","",IF($F$6="",0,IF(ISNUMBER(INDEX($A:$AP,ROW(),$F$6)),INDEX($A:$AP,ROW(),$F$6),IFERROR(--SUBSTITUTE(SUBSTITUTE(TRIM(INDEX($A:$AP,ROW(),$F$6)),",",""),"원",""),0))))</f>
        <v/>
      </c>
      <c r="AU966" s="31">
        <f>IF($AS966="","",IF($AX966&lt;&gt;"",SUBSTITUTE(SUBSTITUTE($AX966,"-","")," ",""),"N:"&amp;$AV966))</f>
        <v/>
      </c>
      <c r="AV966" s="31">
        <f>IF(OR($AS966="",$E$6=""),"",TRIM(INDEX($A:$AP,ROW(),$E$6)&amp;""))</f>
        <v/>
      </c>
      <c r="AW966" s="31">
        <f>IF($AU966="","",IF(MATCH($AU966,$AU$8:$AU$2007,0)=ROW()-7,MAX($AW$7:$AW965)+1,""))</f>
        <v/>
      </c>
      <c r="AX966" s="31">
        <f>IF(OR($AS966="",$D$6=""),"",TRIM(INDEX($A:$AP,ROW(),$D$6)&amp;""))</f>
        <v/>
      </c>
      <c r="AY966" s="31">
        <f>IF($AU966="","",INDEX($AW$8:$AW$2007,MATCH($AU966,$AU$8:$AU$2007,0)))</f>
        <v/>
      </c>
      <c r="AZ966" s="31">
        <f>IF(OR($AS966="",$C$6=""),"",TRIM(INDEX($A:$AP,ROW(),$C$6)&amp;""))</f>
        <v/>
      </c>
      <c r="BA966" s="31">
        <f>IF($AZ966="","",IF(COUNTIF($AZ$8:$AZ966,$AZ966)&gt;1,1,0))</f>
        <v/>
      </c>
    </row>
    <row r="967">
      <c r="AR967" s="31">
        <f>IF(OR($A$5="",$B$6="",ROW()&lt;$A$5),"",IF(INDEX($A:$AP,ROW(),$B$6)="","",INDEX($A:$AP,ROW(),$B$6)))</f>
        <v/>
      </c>
      <c r="AS967" s="32">
        <f>IF($AR967="","",IF(ISNUMBER($AR967),IF($AR967&gt;=10000000,IFERROR(DATE(INT($AR967/10000),MOD(INT($AR967/100),100),MOD($AR967,100)),""),INT($AR967)),IFERROR(DATE(--LEFT(LEFT(SUBSTITUTE(SUBSTITUTE(SUBSTITUTE(SUBSTITUTE(TRIM($AR967),"-",""),".",""),"/","")," ",""),8),4),--MID(LEFT(SUBSTITUTE(SUBSTITUTE(SUBSTITUTE(SUBSTITUTE(TRIM($AR967),"-",""),".",""),"/","")," ",""),8),5,2),--MID(LEFT(SUBSTITUTE(SUBSTITUTE(SUBSTITUTE(SUBSTITUTE(TRIM($AR967),"-",""),".",""),"/","")," ",""),8),7,2)),"")))</f>
        <v/>
      </c>
      <c r="AT967" s="33">
        <f>IF($AS967="","",IF($F$6="",0,IF(ISNUMBER(INDEX($A:$AP,ROW(),$F$6)),INDEX($A:$AP,ROW(),$F$6),IFERROR(--SUBSTITUTE(SUBSTITUTE(TRIM(INDEX($A:$AP,ROW(),$F$6)),",",""),"원",""),0))))</f>
        <v/>
      </c>
      <c r="AU967" s="31">
        <f>IF($AS967="","",IF($AX967&lt;&gt;"",SUBSTITUTE(SUBSTITUTE($AX967,"-","")," ",""),"N:"&amp;$AV967))</f>
        <v/>
      </c>
      <c r="AV967" s="31">
        <f>IF(OR($AS967="",$E$6=""),"",TRIM(INDEX($A:$AP,ROW(),$E$6)&amp;""))</f>
        <v/>
      </c>
      <c r="AW967" s="31">
        <f>IF($AU967="","",IF(MATCH($AU967,$AU$8:$AU$2007,0)=ROW()-7,MAX($AW$7:$AW966)+1,""))</f>
        <v/>
      </c>
      <c r="AX967" s="31">
        <f>IF(OR($AS967="",$D$6=""),"",TRIM(INDEX($A:$AP,ROW(),$D$6)&amp;""))</f>
        <v/>
      </c>
      <c r="AY967" s="31">
        <f>IF($AU967="","",INDEX($AW$8:$AW$2007,MATCH($AU967,$AU$8:$AU$2007,0)))</f>
        <v/>
      </c>
      <c r="AZ967" s="31">
        <f>IF(OR($AS967="",$C$6=""),"",TRIM(INDEX($A:$AP,ROW(),$C$6)&amp;""))</f>
        <v/>
      </c>
      <c r="BA967" s="31">
        <f>IF($AZ967="","",IF(COUNTIF($AZ$8:$AZ967,$AZ967)&gt;1,1,0))</f>
        <v/>
      </c>
    </row>
    <row r="968">
      <c r="AR968" s="31">
        <f>IF(OR($A$5="",$B$6="",ROW()&lt;$A$5),"",IF(INDEX($A:$AP,ROW(),$B$6)="","",INDEX($A:$AP,ROW(),$B$6)))</f>
        <v/>
      </c>
      <c r="AS968" s="32">
        <f>IF($AR968="","",IF(ISNUMBER($AR968),IF($AR968&gt;=10000000,IFERROR(DATE(INT($AR968/10000),MOD(INT($AR968/100),100),MOD($AR968,100)),""),INT($AR968)),IFERROR(DATE(--LEFT(LEFT(SUBSTITUTE(SUBSTITUTE(SUBSTITUTE(SUBSTITUTE(TRIM($AR968),"-",""),".",""),"/","")," ",""),8),4),--MID(LEFT(SUBSTITUTE(SUBSTITUTE(SUBSTITUTE(SUBSTITUTE(TRIM($AR968),"-",""),".",""),"/","")," ",""),8),5,2),--MID(LEFT(SUBSTITUTE(SUBSTITUTE(SUBSTITUTE(SUBSTITUTE(TRIM($AR968),"-",""),".",""),"/","")," ",""),8),7,2)),"")))</f>
        <v/>
      </c>
      <c r="AT968" s="33">
        <f>IF($AS968="","",IF($F$6="",0,IF(ISNUMBER(INDEX($A:$AP,ROW(),$F$6)),INDEX($A:$AP,ROW(),$F$6),IFERROR(--SUBSTITUTE(SUBSTITUTE(TRIM(INDEX($A:$AP,ROW(),$F$6)),",",""),"원",""),0))))</f>
        <v/>
      </c>
      <c r="AU968" s="31">
        <f>IF($AS968="","",IF($AX968&lt;&gt;"",SUBSTITUTE(SUBSTITUTE($AX968,"-","")," ",""),"N:"&amp;$AV968))</f>
        <v/>
      </c>
      <c r="AV968" s="31">
        <f>IF(OR($AS968="",$E$6=""),"",TRIM(INDEX($A:$AP,ROW(),$E$6)&amp;""))</f>
        <v/>
      </c>
      <c r="AW968" s="31">
        <f>IF($AU968="","",IF(MATCH($AU968,$AU$8:$AU$2007,0)=ROW()-7,MAX($AW$7:$AW967)+1,""))</f>
        <v/>
      </c>
      <c r="AX968" s="31">
        <f>IF(OR($AS968="",$D$6=""),"",TRIM(INDEX($A:$AP,ROW(),$D$6)&amp;""))</f>
        <v/>
      </c>
      <c r="AY968" s="31">
        <f>IF($AU968="","",INDEX($AW$8:$AW$2007,MATCH($AU968,$AU$8:$AU$2007,0)))</f>
        <v/>
      </c>
      <c r="AZ968" s="31">
        <f>IF(OR($AS968="",$C$6=""),"",TRIM(INDEX($A:$AP,ROW(),$C$6)&amp;""))</f>
        <v/>
      </c>
      <c r="BA968" s="31">
        <f>IF($AZ968="","",IF(COUNTIF($AZ$8:$AZ968,$AZ968)&gt;1,1,0))</f>
        <v/>
      </c>
    </row>
    <row r="969">
      <c r="AR969" s="31">
        <f>IF(OR($A$5="",$B$6="",ROW()&lt;$A$5),"",IF(INDEX($A:$AP,ROW(),$B$6)="","",INDEX($A:$AP,ROW(),$B$6)))</f>
        <v/>
      </c>
      <c r="AS969" s="32">
        <f>IF($AR969="","",IF(ISNUMBER($AR969),IF($AR969&gt;=10000000,IFERROR(DATE(INT($AR969/10000),MOD(INT($AR969/100),100),MOD($AR969,100)),""),INT($AR969)),IFERROR(DATE(--LEFT(LEFT(SUBSTITUTE(SUBSTITUTE(SUBSTITUTE(SUBSTITUTE(TRIM($AR969),"-",""),".",""),"/","")," ",""),8),4),--MID(LEFT(SUBSTITUTE(SUBSTITUTE(SUBSTITUTE(SUBSTITUTE(TRIM($AR969),"-",""),".",""),"/","")," ",""),8),5,2),--MID(LEFT(SUBSTITUTE(SUBSTITUTE(SUBSTITUTE(SUBSTITUTE(TRIM($AR969),"-",""),".",""),"/","")," ",""),8),7,2)),"")))</f>
        <v/>
      </c>
      <c r="AT969" s="33">
        <f>IF($AS969="","",IF($F$6="",0,IF(ISNUMBER(INDEX($A:$AP,ROW(),$F$6)),INDEX($A:$AP,ROW(),$F$6),IFERROR(--SUBSTITUTE(SUBSTITUTE(TRIM(INDEX($A:$AP,ROW(),$F$6)),",",""),"원",""),0))))</f>
        <v/>
      </c>
      <c r="AU969" s="31">
        <f>IF($AS969="","",IF($AX969&lt;&gt;"",SUBSTITUTE(SUBSTITUTE($AX969,"-","")," ",""),"N:"&amp;$AV969))</f>
        <v/>
      </c>
      <c r="AV969" s="31">
        <f>IF(OR($AS969="",$E$6=""),"",TRIM(INDEX($A:$AP,ROW(),$E$6)&amp;""))</f>
        <v/>
      </c>
      <c r="AW969" s="31">
        <f>IF($AU969="","",IF(MATCH($AU969,$AU$8:$AU$2007,0)=ROW()-7,MAX($AW$7:$AW968)+1,""))</f>
        <v/>
      </c>
      <c r="AX969" s="31">
        <f>IF(OR($AS969="",$D$6=""),"",TRIM(INDEX($A:$AP,ROW(),$D$6)&amp;""))</f>
        <v/>
      </c>
      <c r="AY969" s="31">
        <f>IF($AU969="","",INDEX($AW$8:$AW$2007,MATCH($AU969,$AU$8:$AU$2007,0)))</f>
        <v/>
      </c>
      <c r="AZ969" s="31">
        <f>IF(OR($AS969="",$C$6=""),"",TRIM(INDEX($A:$AP,ROW(),$C$6)&amp;""))</f>
        <v/>
      </c>
      <c r="BA969" s="31">
        <f>IF($AZ969="","",IF(COUNTIF($AZ$8:$AZ969,$AZ969)&gt;1,1,0))</f>
        <v/>
      </c>
    </row>
    <row r="970">
      <c r="AR970" s="31">
        <f>IF(OR($A$5="",$B$6="",ROW()&lt;$A$5),"",IF(INDEX($A:$AP,ROW(),$B$6)="","",INDEX($A:$AP,ROW(),$B$6)))</f>
        <v/>
      </c>
      <c r="AS970" s="32">
        <f>IF($AR970="","",IF(ISNUMBER($AR970),IF($AR970&gt;=10000000,IFERROR(DATE(INT($AR970/10000),MOD(INT($AR970/100),100),MOD($AR970,100)),""),INT($AR970)),IFERROR(DATE(--LEFT(LEFT(SUBSTITUTE(SUBSTITUTE(SUBSTITUTE(SUBSTITUTE(TRIM($AR970),"-",""),".",""),"/","")," ",""),8),4),--MID(LEFT(SUBSTITUTE(SUBSTITUTE(SUBSTITUTE(SUBSTITUTE(TRIM($AR970),"-",""),".",""),"/","")," ",""),8),5,2),--MID(LEFT(SUBSTITUTE(SUBSTITUTE(SUBSTITUTE(SUBSTITUTE(TRIM($AR970),"-",""),".",""),"/","")," ",""),8),7,2)),"")))</f>
        <v/>
      </c>
      <c r="AT970" s="33">
        <f>IF($AS970="","",IF($F$6="",0,IF(ISNUMBER(INDEX($A:$AP,ROW(),$F$6)),INDEX($A:$AP,ROW(),$F$6),IFERROR(--SUBSTITUTE(SUBSTITUTE(TRIM(INDEX($A:$AP,ROW(),$F$6)),",",""),"원",""),0))))</f>
        <v/>
      </c>
      <c r="AU970" s="31">
        <f>IF($AS970="","",IF($AX970&lt;&gt;"",SUBSTITUTE(SUBSTITUTE($AX970,"-","")," ",""),"N:"&amp;$AV970))</f>
        <v/>
      </c>
      <c r="AV970" s="31">
        <f>IF(OR($AS970="",$E$6=""),"",TRIM(INDEX($A:$AP,ROW(),$E$6)&amp;""))</f>
        <v/>
      </c>
      <c r="AW970" s="31">
        <f>IF($AU970="","",IF(MATCH($AU970,$AU$8:$AU$2007,0)=ROW()-7,MAX($AW$7:$AW969)+1,""))</f>
        <v/>
      </c>
      <c r="AX970" s="31">
        <f>IF(OR($AS970="",$D$6=""),"",TRIM(INDEX($A:$AP,ROW(),$D$6)&amp;""))</f>
        <v/>
      </c>
      <c r="AY970" s="31">
        <f>IF($AU970="","",INDEX($AW$8:$AW$2007,MATCH($AU970,$AU$8:$AU$2007,0)))</f>
        <v/>
      </c>
      <c r="AZ970" s="31">
        <f>IF(OR($AS970="",$C$6=""),"",TRIM(INDEX($A:$AP,ROW(),$C$6)&amp;""))</f>
        <v/>
      </c>
      <c r="BA970" s="31">
        <f>IF($AZ970="","",IF(COUNTIF($AZ$8:$AZ970,$AZ970)&gt;1,1,0))</f>
        <v/>
      </c>
    </row>
    <row r="971">
      <c r="AR971" s="31">
        <f>IF(OR($A$5="",$B$6="",ROW()&lt;$A$5),"",IF(INDEX($A:$AP,ROW(),$B$6)="","",INDEX($A:$AP,ROW(),$B$6)))</f>
        <v/>
      </c>
      <c r="AS971" s="32">
        <f>IF($AR971="","",IF(ISNUMBER($AR971),IF($AR971&gt;=10000000,IFERROR(DATE(INT($AR971/10000),MOD(INT($AR971/100),100),MOD($AR971,100)),""),INT($AR971)),IFERROR(DATE(--LEFT(LEFT(SUBSTITUTE(SUBSTITUTE(SUBSTITUTE(SUBSTITUTE(TRIM($AR971),"-",""),".",""),"/","")," ",""),8),4),--MID(LEFT(SUBSTITUTE(SUBSTITUTE(SUBSTITUTE(SUBSTITUTE(TRIM($AR971),"-",""),".",""),"/","")," ",""),8),5,2),--MID(LEFT(SUBSTITUTE(SUBSTITUTE(SUBSTITUTE(SUBSTITUTE(TRIM($AR971),"-",""),".",""),"/","")," ",""),8),7,2)),"")))</f>
        <v/>
      </c>
      <c r="AT971" s="33">
        <f>IF($AS971="","",IF($F$6="",0,IF(ISNUMBER(INDEX($A:$AP,ROW(),$F$6)),INDEX($A:$AP,ROW(),$F$6),IFERROR(--SUBSTITUTE(SUBSTITUTE(TRIM(INDEX($A:$AP,ROW(),$F$6)),",",""),"원",""),0))))</f>
        <v/>
      </c>
      <c r="AU971" s="31">
        <f>IF($AS971="","",IF($AX971&lt;&gt;"",SUBSTITUTE(SUBSTITUTE($AX971,"-","")," ",""),"N:"&amp;$AV971))</f>
        <v/>
      </c>
      <c r="AV971" s="31">
        <f>IF(OR($AS971="",$E$6=""),"",TRIM(INDEX($A:$AP,ROW(),$E$6)&amp;""))</f>
        <v/>
      </c>
      <c r="AW971" s="31">
        <f>IF($AU971="","",IF(MATCH($AU971,$AU$8:$AU$2007,0)=ROW()-7,MAX($AW$7:$AW970)+1,""))</f>
        <v/>
      </c>
      <c r="AX971" s="31">
        <f>IF(OR($AS971="",$D$6=""),"",TRIM(INDEX($A:$AP,ROW(),$D$6)&amp;""))</f>
        <v/>
      </c>
      <c r="AY971" s="31">
        <f>IF($AU971="","",INDEX($AW$8:$AW$2007,MATCH($AU971,$AU$8:$AU$2007,0)))</f>
        <v/>
      </c>
      <c r="AZ971" s="31">
        <f>IF(OR($AS971="",$C$6=""),"",TRIM(INDEX($A:$AP,ROW(),$C$6)&amp;""))</f>
        <v/>
      </c>
      <c r="BA971" s="31">
        <f>IF($AZ971="","",IF(COUNTIF($AZ$8:$AZ971,$AZ971)&gt;1,1,0))</f>
        <v/>
      </c>
    </row>
    <row r="972">
      <c r="AR972" s="31">
        <f>IF(OR($A$5="",$B$6="",ROW()&lt;$A$5),"",IF(INDEX($A:$AP,ROW(),$B$6)="","",INDEX($A:$AP,ROW(),$B$6)))</f>
        <v/>
      </c>
      <c r="AS972" s="32">
        <f>IF($AR972="","",IF(ISNUMBER($AR972),IF($AR972&gt;=10000000,IFERROR(DATE(INT($AR972/10000),MOD(INT($AR972/100),100),MOD($AR972,100)),""),INT($AR972)),IFERROR(DATE(--LEFT(LEFT(SUBSTITUTE(SUBSTITUTE(SUBSTITUTE(SUBSTITUTE(TRIM($AR972),"-",""),".",""),"/","")," ",""),8),4),--MID(LEFT(SUBSTITUTE(SUBSTITUTE(SUBSTITUTE(SUBSTITUTE(TRIM($AR972),"-",""),".",""),"/","")," ",""),8),5,2),--MID(LEFT(SUBSTITUTE(SUBSTITUTE(SUBSTITUTE(SUBSTITUTE(TRIM($AR972),"-",""),".",""),"/","")," ",""),8),7,2)),"")))</f>
        <v/>
      </c>
      <c r="AT972" s="33">
        <f>IF($AS972="","",IF($F$6="",0,IF(ISNUMBER(INDEX($A:$AP,ROW(),$F$6)),INDEX($A:$AP,ROW(),$F$6),IFERROR(--SUBSTITUTE(SUBSTITUTE(TRIM(INDEX($A:$AP,ROW(),$F$6)),",",""),"원",""),0))))</f>
        <v/>
      </c>
      <c r="AU972" s="31">
        <f>IF($AS972="","",IF($AX972&lt;&gt;"",SUBSTITUTE(SUBSTITUTE($AX972,"-","")," ",""),"N:"&amp;$AV972))</f>
        <v/>
      </c>
      <c r="AV972" s="31">
        <f>IF(OR($AS972="",$E$6=""),"",TRIM(INDEX($A:$AP,ROW(),$E$6)&amp;""))</f>
        <v/>
      </c>
      <c r="AW972" s="31">
        <f>IF($AU972="","",IF(MATCH($AU972,$AU$8:$AU$2007,0)=ROW()-7,MAX($AW$7:$AW971)+1,""))</f>
        <v/>
      </c>
      <c r="AX972" s="31">
        <f>IF(OR($AS972="",$D$6=""),"",TRIM(INDEX($A:$AP,ROW(),$D$6)&amp;""))</f>
        <v/>
      </c>
      <c r="AY972" s="31">
        <f>IF($AU972="","",INDEX($AW$8:$AW$2007,MATCH($AU972,$AU$8:$AU$2007,0)))</f>
        <v/>
      </c>
      <c r="AZ972" s="31">
        <f>IF(OR($AS972="",$C$6=""),"",TRIM(INDEX($A:$AP,ROW(),$C$6)&amp;""))</f>
        <v/>
      </c>
      <c r="BA972" s="31">
        <f>IF($AZ972="","",IF(COUNTIF($AZ$8:$AZ972,$AZ972)&gt;1,1,0))</f>
        <v/>
      </c>
    </row>
    <row r="973">
      <c r="AR973" s="31">
        <f>IF(OR($A$5="",$B$6="",ROW()&lt;$A$5),"",IF(INDEX($A:$AP,ROW(),$B$6)="","",INDEX($A:$AP,ROW(),$B$6)))</f>
        <v/>
      </c>
      <c r="AS973" s="32">
        <f>IF($AR973="","",IF(ISNUMBER($AR973),IF($AR973&gt;=10000000,IFERROR(DATE(INT($AR973/10000),MOD(INT($AR973/100),100),MOD($AR973,100)),""),INT($AR973)),IFERROR(DATE(--LEFT(LEFT(SUBSTITUTE(SUBSTITUTE(SUBSTITUTE(SUBSTITUTE(TRIM($AR973),"-",""),".",""),"/","")," ",""),8),4),--MID(LEFT(SUBSTITUTE(SUBSTITUTE(SUBSTITUTE(SUBSTITUTE(TRIM($AR973),"-",""),".",""),"/","")," ",""),8),5,2),--MID(LEFT(SUBSTITUTE(SUBSTITUTE(SUBSTITUTE(SUBSTITUTE(TRIM($AR973),"-",""),".",""),"/","")," ",""),8),7,2)),"")))</f>
        <v/>
      </c>
      <c r="AT973" s="33">
        <f>IF($AS973="","",IF($F$6="",0,IF(ISNUMBER(INDEX($A:$AP,ROW(),$F$6)),INDEX($A:$AP,ROW(),$F$6),IFERROR(--SUBSTITUTE(SUBSTITUTE(TRIM(INDEX($A:$AP,ROW(),$F$6)),",",""),"원",""),0))))</f>
        <v/>
      </c>
      <c r="AU973" s="31">
        <f>IF($AS973="","",IF($AX973&lt;&gt;"",SUBSTITUTE(SUBSTITUTE($AX973,"-","")," ",""),"N:"&amp;$AV973))</f>
        <v/>
      </c>
      <c r="AV973" s="31">
        <f>IF(OR($AS973="",$E$6=""),"",TRIM(INDEX($A:$AP,ROW(),$E$6)&amp;""))</f>
        <v/>
      </c>
      <c r="AW973" s="31">
        <f>IF($AU973="","",IF(MATCH($AU973,$AU$8:$AU$2007,0)=ROW()-7,MAX($AW$7:$AW972)+1,""))</f>
        <v/>
      </c>
      <c r="AX973" s="31">
        <f>IF(OR($AS973="",$D$6=""),"",TRIM(INDEX($A:$AP,ROW(),$D$6)&amp;""))</f>
        <v/>
      </c>
      <c r="AY973" s="31">
        <f>IF($AU973="","",INDEX($AW$8:$AW$2007,MATCH($AU973,$AU$8:$AU$2007,0)))</f>
        <v/>
      </c>
      <c r="AZ973" s="31">
        <f>IF(OR($AS973="",$C$6=""),"",TRIM(INDEX($A:$AP,ROW(),$C$6)&amp;""))</f>
        <v/>
      </c>
      <c r="BA973" s="31">
        <f>IF($AZ973="","",IF(COUNTIF($AZ$8:$AZ973,$AZ973)&gt;1,1,0))</f>
        <v/>
      </c>
    </row>
    <row r="974">
      <c r="AR974" s="31">
        <f>IF(OR($A$5="",$B$6="",ROW()&lt;$A$5),"",IF(INDEX($A:$AP,ROW(),$B$6)="","",INDEX($A:$AP,ROW(),$B$6)))</f>
        <v/>
      </c>
      <c r="AS974" s="32">
        <f>IF($AR974="","",IF(ISNUMBER($AR974),IF($AR974&gt;=10000000,IFERROR(DATE(INT($AR974/10000),MOD(INT($AR974/100),100),MOD($AR974,100)),""),INT($AR974)),IFERROR(DATE(--LEFT(LEFT(SUBSTITUTE(SUBSTITUTE(SUBSTITUTE(SUBSTITUTE(TRIM($AR974),"-",""),".",""),"/","")," ",""),8),4),--MID(LEFT(SUBSTITUTE(SUBSTITUTE(SUBSTITUTE(SUBSTITUTE(TRIM($AR974),"-",""),".",""),"/","")," ",""),8),5,2),--MID(LEFT(SUBSTITUTE(SUBSTITUTE(SUBSTITUTE(SUBSTITUTE(TRIM($AR974),"-",""),".",""),"/","")," ",""),8),7,2)),"")))</f>
        <v/>
      </c>
      <c r="AT974" s="33">
        <f>IF($AS974="","",IF($F$6="",0,IF(ISNUMBER(INDEX($A:$AP,ROW(),$F$6)),INDEX($A:$AP,ROW(),$F$6),IFERROR(--SUBSTITUTE(SUBSTITUTE(TRIM(INDEX($A:$AP,ROW(),$F$6)),",",""),"원",""),0))))</f>
        <v/>
      </c>
      <c r="AU974" s="31">
        <f>IF($AS974="","",IF($AX974&lt;&gt;"",SUBSTITUTE(SUBSTITUTE($AX974,"-","")," ",""),"N:"&amp;$AV974))</f>
        <v/>
      </c>
      <c r="AV974" s="31">
        <f>IF(OR($AS974="",$E$6=""),"",TRIM(INDEX($A:$AP,ROW(),$E$6)&amp;""))</f>
        <v/>
      </c>
      <c r="AW974" s="31">
        <f>IF($AU974="","",IF(MATCH($AU974,$AU$8:$AU$2007,0)=ROW()-7,MAX($AW$7:$AW973)+1,""))</f>
        <v/>
      </c>
      <c r="AX974" s="31">
        <f>IF(OR($AS974="",$D$6=""),"",TRIM(INDEX($A:$AP,ROW(),$D$6)&amp;""))</f>
        <v/>
      </c>
      <c r="AY974" s="31">
        <f>IF($AU974="","",INDEX($AW$8:$AW$2007,MATCH($AU974,$AU$8:$AU$2007,0)))</f>
        <v/>
      </c>
      <c r="AZ974" s="31">
        <f>IF(OR($AS974="",$C$6=""),"",TRIM(INDEX($A:$AP,ROW(),$C$6)&amp;""))</f>
        <v/>
      </c>
      <c r="BA974" s="31">
        <f>IF($AZ974="","",IF(COUNTIF($AZ$8:$AZ974,$AZ974)&gt;1,1,0))</f>
        <v/>
      </c>
    </row>
    <row r="975">
      <c r="AR975" s="31">
        <f>IF(OR($A$5="",$B$6="",ROW()&lt;$A$5),"",IF(INDEX($A:$AP,ROW(),$B$6)="","",INDEX($A:$AP,ROW(),$B$6)))</f>
        <v/>
      </c>
      <c r="AS975" s="32">
        <f>IF($AR975="","",IF(ISNUMBER($AR975),IF($AR975&gt;=10000000,IFERROR(DATE(INT($AR975/10000),MOD(INT($AR975/100),100),MOD($AR975,100)),""),INT($AR975)),IFERROR(DATE(--LEFT(LEFT(SUBSTITUTE(SUBSTITUTE(SUBSTITUTE(SUBSTITUTE(TRIM($AR975),"-",""),".",""),"/","")," ",""),8),4),--MID(LEFT(SUBSTITUTE(SUBSTITUTE(SUBSTITUTE(SUBSTITUTE(TRIM($AR975),"-",""),".",""),"/","")," ",""),8),5,2),--MID(LEFT(SUBSTITUTE(SUBSTITUTE(SUBSTITUTE(SUBSTITUTE(TRIM($AR975),"-",""),".",""),"/","")," ",""),8),7,2)),"")))</f>
        <v/>
      </c>
      <c r="AT975" s="33">
        <f>IF($AS975="","",IF($F$6="",0,IF(ISNUMBER(INDEX($A:$AP,ROW(),$F$6)),INDEX($A:$AP,ROW(),$F$6),IFERROR(--SUBSTITUTE(SUBSTITUTE(TRIM(INDEX($A:$AP,ROW(),$F$6)),",",""),"원",""),0))))</f>
        <v/>
      </c>
      <c r="AU975" s="31">
        <f>IF($AS975="","",IF($AX975&lt;&gt;"",SUBSTITUTE(SUBSTITUTE($AX975,"-","")," ",""),"N:"&amp;$AV975))</f>
        <v/>
      </c>
      <c r="AV975" s="31">
        <f>IF(OR($AS975="",$E$6=""),"",TRIM(INDEX($A:$AP,ROW(),$E$6)&amp;""))</f>
        <v/>
      </c>
      <c r="AW975" s="31">
        <f>IF($AU975="","",IF(MATCH($AU975,$AU$8:$AU$2007,0)=ROW()-7,MAX($AW$7:$AW974)+1,""))</f>
        <v/>
      </c>
      <c r="AX975" s="31">
        <f>IF(OR($AS975="",$D$6=""),"",TRIM(INDEX($A:$AP,ROW(),$D$6)&amp;""))</f>
        <v/>
      </c>
      <c r="AY975" s="31">
        <f>IF($AU975="","",INDEX($AW$8:$AW$2007,MATCH($AU975,$AU$8:$AU$2007,0)))</f>
        <v/>
      </c>
      <c r="AZ975" s="31">
        <f>IF(OR($AS975="",$C$6=""),"",TRIM(INDEX($A:$AP,ROW(),$C$6)&amp;""))</f>
        <v/>
      </c>
      <c r="BA975" s="31">
        <f>IF($AZ975="","",IF(COUNTIF($AZ$8:$AZ975,$AZ975)&gt;1,1,0))</f>
        <v/>
      </c>
    </row>
    <row r="976">
      <c r="AR976" s="31">
        <f>IF(OR($A$5="",$B$6="",ROW()&lt;$A$5),"",IF(INDEX($A:$AP,ROW(),$B$6)="","",INDEX($A:$AP,ROW(),$B$6)))</f>
        <v/>
      </c>
      <c r="AS976" s="32">
        <f>IF($AR976="","",IF(ISNUMBER($AR976),IF($AR976&gt;=10000000,IFERROR(DATE(INT($AR976/10000),MOD(INT($AR976/100),100),MOD($AR976,100)),""),INT($AR976)),IFERROR(DATE(--LEFT(LEFT(SUBSTITUTE(SUBSTITUTE(SUBSTITUTE(SUBSTITUTE(TRIM($AR976),"-",""),".",""),"/","")," ",""),8),4),--MID(LEFT(SUBSTITUTE(SUBSTITUTE(SUBSTITUTE(SUBSTITUTE(TRIM($AR976),"-",""),".",""),"/","")," ",""),8),5,2),--MID(LEFT(SUBSTITUTE(SUBSTITUTE(SUBSTITUTE(SUBSTITUTE(TRIM($AR976),"-",""),".",""),"/","")," ",""),8),7,2)),"")))</f>
        <v/>
      </c>
      <c r="AT976" s="33">
        <f>IF($AS976="","",IF($F$6="",0,IF(ISNUMBER(INDEX($A:$AP,ROW(),$F$6)),INDEX($A:$AP,ROW(),$F$6),IFERROR(--SUBSTITUTE(SUBSTITUTE(TRIM(INDEX($A:$AP,ROW(),$F$6)),",",""),"원",""),0))))</f>
        <v/>
      </c>
      <c r="AU976" s="31">
        <f>IF($AS976="","",IF($AX976&lt;&gt;"",SUBSTITUTE(SUBSTITUTE($AX976,"-","")," ",""),"N:"&amp;$AV976))</f>
        <v/>
      </c>
      <c r="AV976" s="31">
        <f>IF(OR($AS976="",$E$6=""),"",TRIM(INDEX($A:$AP,ROW(),$E$6)&amp;""))</f>
        <v/>
      </c>
      <c r="AW976" s="31">
        <f>IF($AU976="","",IF(MATCH($AU976,$AU$8:$AU$2007,0)=ROW()-7,MAX($AW$7:$AW975)+1,""))</f>
        <v/>
      </c>
      <c r="AX976" s="31">
        <f>IF(OR($AS976="",$D$6=""),"",TRIM(INDEX($A:$AP,ROW(),$D$6)&amp;""))</f>
        <v/>
      </c>
      <c r="AY976" s="31">
        <f>IF($AU976="","",INDEX($AW$8:$AW$2007,MATCH($AU976,$AU$8:$AU$2007,0)))</f>
        <v/>
      </c>
      <c r="AZ976" s="31">
        <f>IF(OR($AS976="",$C$6=""),"",TRIM(INDEX($A:$AP,ROW(),$C$6)&amp;""))</f>
        <v/>
      </c>
      <c r="BA976" s="31">
        <f>IF($AZ976="","",IF(COUNTIF($AZ$8:$AZ976,$AZ976)&gt;1,1,0))</f>
        <v/>
      </c>
    </row>
    <row r="977">
      <c r="AR977" s="31">
        <f>IF(OR($A$5="",$B$6="",ROW()&lt;$A$5),"",IF(INDEX($A:$AP,ROW(),$B$6)="","",INDEX($A:$AP,ROW(),$B$6)))</f>
        <v/>
      </c>
      <c r="AS977" s="32">
        <f>IF($AR977="","",IF(ISNUMBER($AR977),IF($AR977&gt;=10000000,IFERROR(DATE(INT($AR977/10000),MOD(INT($AR977/100),100),MOD($AR977,100)),""),INT($AR977)),IFERROR(DATE(--LEFT(LEFT(SUBSTITUTE(SUBSTITUTE(SUBSTITUTE(SUBSTITUTE(TRIM($AR977),"-",""),".",""),"/","")," ",""),8),4),--MID(LEFT(SUBSTITUTE(SUBSTITUTE(SUBSTITUTE(SUBSTITUTE(TRIM($AR977),"-",""),".",""),"/","")," ",""),8),5,2),--MID(LEFT(SUBSTITUTE(SUBSTITUTE(SUBSTITUTE(SUBSTITUTE(TRIM($AR977),"-",""),".",""),"/","")," ",""),8),7,2)),"")))</f>
        <v/>
      </c>
      <c r="AT977" s="33">
        <f>IF($AS977="","",IF($F$6="",0,IF(ISNUMBER(INDEX($A:$AP,ROW(),$F$6)),INDEX($A:$AP,ROW(),$F$6),IFERROR(--SUBSTITUTE(SUBSTITUTE(TRIM(INDEX($A:$AP,ROW(),$F$6)),",",""),"원",""),0))))</f>
        <v/>
      </c>
      <c r="AU977" s="31">
        <f>IF($AS977="","",IF($AX977&lt;&gt;"",SUBSTITUTE(SUBSTITUTE($AX977,"-","")," ",""),"N:"&amp;$AV977))</f>
        <v/>
      </c>
      <c r="AV977" s="31">
        <f>IF(OR($AS977="",$E$6=""),"",TRIM(INDEX($A:$AP,ROW(),$E$6)&amp;""))</f>
        <v/>
      </c>
      <c r="AW977" s="31">
        <f>IF($AU977="","",IF(MATCH($AU977,$AU$8:$AU$2007,0)=ROW()-7,MAX($AW$7:$AW976)+1,""))</f>
        <v/>
      </c>
      <c r="AX977" s="31">
        <f>IF(OR($AS977="",$D$6=""),"",TRIM(INDEX($A:$AP,ROW(),$D$6)&amp;""))</f>
        <v/>
      </c>
      <c r="AY977" s="31">
        <f>IF($AU977="","",INDEX($AW$8:$AW$2007,MATCH($AU977,$AU$8:$AU$2007,0)))</f>
        <v/>
      </c>
      <c r="AZ977" s="31">
        <f>IF(OR($AS977="",$C$6=""),"",TRIM(INDEX($A:$AP,ROW(),$C$6)&amp;""))</f>
        <v/>
      </c>
      <c r="BA977" s="31">
        <f>IF($AZ977="","",IF(COUNTIF($AZ$8:$AZ977,$AZ977)&gt;1,1,0))</f>
        <v/>
      </c>
    </row>
    <row r="978">
      <c r="AR978" s="31">
        <f>IF(OR($A$5="",$B$6="",ROW()&lt;$A$5),"",IF(INDEX($A:$AP,ROW(),$B$6)="","",INDEX($A:$AP,ROW(),$B$6)))</f>
        <v/>
      </c>
      <c r="AS978" s="32">
        <f>IF($AR978="","",IF(ISNUMBER($AR978),IF($AR978&gt;=10000000,IFERROR(DATE(INT($AR978/10000),MOD(INT($AR978/100),100),MOD($AR978,100)),""),INT($AR978)),IFERROR(DATE(--LEFT(LEFT(SUBSTITUTE(SUBSTITUTE(SUBSTITUTE(SUBSTITUTE(TRIM($AR978),"-",""),".",""),"/","")," ",""),8),4),--MID(LEFT(SUBSTITUTE(SUBSTITUTE(SUBSTITUTE(SUBSTITUTE(TRIM($AR978),"-",""),".",""),"/","")," ",""),8),5,2),--MID(LEFT(SUBSTITUTE(SUBSTITUTE(SUBSTITUTE(SUBSTITUTE(TRIM($AR978),"-",""),".",""),"/","")," ",""),8),7,2)),"")))</f>
        <v/>
      </c>
      <c r="AT978" s="33">
        <f>IF($AS978="","",IF($F$6="",0,IF(ISNUMBER(INDEX($A:$AP,ROW(),$F$6)),INDEX($A:$AP,ROW(),$F$6),IFERROR(--SUBSTITUTE(SUBSTITUTE(TRIM(INDEX($A:$AP,ROW(),$F$6)),",",""),"원",""),0))))</f>
        <v/>
      </c>
      <c r="AU978" s="31">
        <f>IF($AS978="","",IF($AX978&lt;&gt;"",SUBSTITUTE(SUBSTITUTE($AX978,"-","")," ",""),"N:"&amp;$AV978))</f>
        <v/>
      </c>
      <c r="AV978" s="31">
        <f>IF(OR($AS978="",$E$6=""),"",TRIM(INDEX($A:$AP,ROW(),$E$6)&amp;""))</f>
        <v/>
      </c>
      <c r="AW978" s="31">
        <f>IF($AU978="","",IF(MATCH($AU978,$AU$8:$AU$2007,0)=ROW()-7,MAX($AW$7:$AW977)+1,""))</f>
        <v/>
      </c>
      <c r="AX978" s="31">
        <f>IF(OR($AS978="",$D$6=""),"",TRIM(INDEX($A:$AP,ROW(),$D$6)&amp;""))</f>
        <v/>
      </c>
      <c r="AY978" s="31">
        <f>IF($AU978="","",INDEX($AW$8:$AW$2007,MATCH($AU978,$AU$8:$AU$2007,0)))</f>
        <v/>
      </c>
      <c r="AZ978" s="31">
        <f>IF(OR($AS978="",$C$6=""),"",TRIM(INDEX($A:$AP,ROW(),$C$6)&amp;""))</f>
        <v/>
      </c>
      <c r="BA978" s="31">
        <f>IF($AZ978="","",IF(COUNTIF($AZ$8:$AZ978,$AZ978)&gt;1,1,0))</f>
        <v/>
      </c>
    </row>
    <row r="979">
      <c r="AR979" s="31">
        <f>IF(OR($A$5="",$B$6="",ROW()&lt;$A$5),"",IF(INDEX($A:$AP,ROW(),$B$6)="","",INDEX($A:$AP,ROW(),$B$6)))</f>
        <v/>
      </c>
      <c r="AS979" s="32">
        <f>IF($AR979="","",IF(ISNUMBER($AR979),IF($AR979&gt;=10000000,IFERROR(DATE(INT($AR979/10000),MOD(INT($AR979/100),100),MOD($AR979,100)),""),INT($AR979)),IFERROR(DATE(--LEFT(LEFT(SUBSTITUTE(SUBSTITUTE(SUBSTITUTE(SUBSTITUTE(TRIM($AR979),"-",""),".",""),"/","")," ",""),8),4),--MID(LEFT(SUBSTITUTE(SUBSTITUTE(SUBSTITUTE(SUBSTITUTE(TRIM($AR979),"-",""),".",""),"/","")," ",""),8),5,2),--MID(LEFT(SUBSTITUTE(SUBSTITUTE(SUBSTITUTE(SUBSTITUTE(TRIM($AR979),"-",""),".",""),"/","")," ",""),8),7,2)),"")))</f>
        <v/>
      </c>
      <c r="AT979" s="33">
        <f>IF($AS979="","",IF($F$6="",0,IF(ISNUMBER(INDEX($A:$AP,ROW(),$F$6)),INDEX($A:$AP,ROW(),$F$6),IFERROR(--SUBSTITUTE(SUBSTITUTE(TRIM(INDEX($A:$AP,ROW(),$F$6)),",",""),"원",""),0))))</f>
        <v/>
      </c>
      <c r="AU979" s="31">
        <f>IF($AS979="","",IF($AX979&lt;&gt;"",SUBSTITUTE(SUBSTITUTE($AX979,"-","")," ",""),"N:"&amp;$AV979))</f>
        <v/>
      </c>
      <c r="AV979" s="31">
        <f>IF(OR($AS979="",$E$6=""),"",TRIM(INDEX($A:$AP,ROW(),$E$6)&amp;""))</f>
        <v/>
      </c>
      <c r="AW979" s="31">
        <f>IF($AU979="","",IF(MATCH($AU979,$AU$8:$AU$2007,0)=ROW()-7,MAX($AW$7:$AW978)+1,""))</f>
        <v/>
      </c>
      <c r="AX979" s="31">
        <f>IF(OR($AS979="",$D$6=""),"",TRIM(INDEX($A:$AP,ROW(),$D$6)&amp;""))</f>
        <v/>
      </c>
      <c r="AY979" s="31">
        <f>IF($AU979="","",INDEX($AW$8:$AW$2007,MATCH($AU979,$AU$8:$AU$2007,0)))</f>
        <v/>
      </c>
      <c r="AZ979" s="31">
        <f>IF(OR($AS979="",$C$6=""),"",TRIM(INDEX($A:$AP,ROW(),$C$6)&amp;""))</f>
        <v/>
      </c>
      <c r="BA979" s="31">
        <f>IF($AZ979="","",IF(COUNTIF($AZ$8:$AZ979,$AZ979)&gt;1,1,0))</f>
        <v/>
      </c>
    </row>
    <row r="980">
      <c r="AR980" s="31">
        <f>IF(OR($A$5="",$B$6="",ROW()&lt;$A$5),"",IF(INDEX($A:$AP,ROW(),$B$6)="","",INDEX($A:$AP,ROW(),$B$6)))</f>
        <v/>
      </c>
      <c r="AS980" s="32">
        <f>IF($AR980="","",IF(ISNUMBER($AR980),IF($AR980&gt;=10000000,IFERROR(DATE(INT($AR980/10000),MOD(INT($AR980/100),100),MOD($AR980,100)),""),INT($AR980)),IFERROR(DATE(--LEFT(LEFT(SUBSTITUTE(SUBSTITUTE(SUBSTITUTE(SUBSTITUTE(TRIM($AR980),"-",""),".",""),"/","")," ",""),8),4),--MID(LEFT(SUBSTITUTE(SUBSTITUTE(SUBSTITUTE(SUBSTITUTE(TRIM($AR980),"-",""),".",""),"/","")," ",""),8),5,2),--MID(LEFT(SUBSTITUTE(SUBSTITUTE(SUBSTITUTE(SUBSTITUTE(TRIM($AR980),"-",""),".",""),"/","")," ",""),8),7,2)),"")))</f>
        <v/>
      </c>
      <c r="AT980" s="33">
        <f>IF($AS980="","",IF($F$6="",0,IF(ISNUMBER(INDEX($A:$AP,ROW(),$F$6)),INDEX($A:$AP,ROW(),$F$6),IFERROR(--SUBSTITUTE(SUBSTITUTE(TRIM(INDEX($A:$AP,ROW(),$F$6)),",",""),"원",""),0))))</f>
        <v/>
      </c>
      <c r="AU980" s="31">
        <f>IF($AS980="","",IF($AX980&lt;&gt;"",SUBSTITUTE(SUBSTITUTE($AX980,"-","")," ",""),"N:"&amp;$AV980))</f>
        <v/>
      </c>
      <c r="AV980" s="31">
        <f>IF(OR($AS980="",$E$6=""),"",TRIM(INDEX($A:$AP,ROW(),$E$6)&amp;""))</f>
        <v/>
      </c>
      <c r="AW980" s="31">
        <f>IF($AU980="","",IF(MATCH($AU980,$AU$8:$AU$2007,0)=ROW()-7,MAX($AW$7:$AW979)+1,""))</f>
        <v/>
      </c>
      <c r="AX980" s="31">
        <f>IF(OR($AS980="",$D$6=""),"",TRIM(INDEX($A:$AP,ROW(),$D$6)&amp;""))</f>
        <v/>
      </c>
      <c r="AY980" s="31">
        <f>IF($AU980="","",INDEX($AW$8:$AW$2007,MATCH($AU980,$AU$8:$AU$2007,0)))</f>
        <v/>
      </c>
      <c r="AZ980" s="31">
        <f>IF(OR($AS980="",$C$6=""),"",TRIM(INDEX($A:$AP,ROW(),$C$6)&amp;""))</f>
        <v/>
      </c>
      <c r="BA980" s="31">
        <f>IF($AZ980="","",IF(COUNTIF($AZ$8:$AZ980,$AZ980)&gt;1,1,0))</f>
        <v/>
      </c>
    </row>
    <row r="981">
      <c r="AR981" s="31">
        <f>IF(OR($A$5="",$B$6="",ROW()&lt;$A$5),"",IF(INDEX($A:$AP,ROW(),$B$6)="","",INDEX($A:$AP,ROW(),$B$6)))</f>
        <v/>
      </c>
      <c r="AS981" s="32">
        <f>IF($AR981="","",IF(ISNUMBER($AR981),IF($AR981&gt;=10000000,IFERROR(DATE(INT($AR981/10000),MOD(INT($AR981/100),100),MOD($AR981,100)),""),INT($AR981)),IFERROR(DATE(--LEFT(LEFT(SUBSTITUTE(SUBSTITUTE(SUBSTITUTE(SUBSTITUTE(TRIM($AR981),"-",""),".",""),"/","")," ",""),8),4),--MID(LEFT(SUBSTITUTE(SUBSTITUTE(SUBSTITUTE(SUBSTITUTE(TRIM($AR981),"-",""),".",""),"/","")," ",""),8),5,2),--MID(LEFT(SUBSTITUTE(SUBSTITUTE(SUBSTITUTE(SUBSTITUTE(TRIM($AR981),"-",""),".",""),"/","")," ",""),8),7,2)),"")))</f>
        <v/>
      </c>
      <c r="AT981" s="33">
        <f>IF($AS981="","",IF($F$6="",0,IF(ISNUMBER(INDEX($A:$AP,ROW(),$F$6)),INDEX($A:$AP,ROW(),$F$6),IFERROR(--SUBSTITUTE(SUBSTITUTE(TRIM(INDEX($A:$AP,ROW(),$F$6)),",",""),"원",""),0))))</f>
        <v/>
      </c>
      <c r="AU981" s="31">
        <f>IF($AS981="","",IF($AX981&lt;&gt;"",SUBSTITUTE(SUBSTITUTE($AX981,"-","")," ",""),"N:"&amp;$AV981))</f>
        <v/>
      </c>
      <c r="AV981" s="31">
        <f>IF(OR($AS981="",$E$6=""),"",TRIM(INDEX($A:$AP,ROW(),$E$6)&amp;""))</f>
        <v/>
      </c>
      <c r="AW981" s="31">
        <f>IF($AU981="","",IF(MATCH($AU981,$AU$8:$AU$2007,0)=ROW()-7,MAX($AW$7:$AW980)+1,""))</f>
        <v/>
      </c>
      <c r="AX981" s="31">
        <f>IF(OR($AS981="",$D$6=""),"",TRIM(INDEX($A:$AP,ROW(),$D$6)&amp;""))</f>
        <v/>
      </c>
      <c r="AY981" s="31">
        <f>IF($AU981="","",INDEX($AW$8:$AW$2007,MATCH($AU981,$AU$8:$AU$2007,0)))</f>
        <v/>
      </c>
      <c r="AZ981" s="31">
        <f>IF(OR($AS981="",$C$6=""),"",TRIM(INDEX($A:$AP,ROW(),$C$6)&amp;""))</f>
        <v/>
      </c>
      <c r="BA981" s="31">
        <f>IF($AZ981="","",IF(COUNTIF($AZ$8:$AZ981,$AZ981)&gt;1,1,0))</f>
        <v/>
      </c>
    </row>
    <row r="982">
      <c r="AR982" s="31">
        <f>IF(OR($A$5="",$B$6="",ROW()&lt;$A$5),"",IF(INDEX($A:$AP,ROW(),$B$6)="","",INDEX($A:$AP,ROW(),$B$6)))</f>
        <v/>
      </c>
      <c r="AS982" s="32">
        <f>IF($AR982="","",IF(ISNUMBER($AR982),IF($AR982&gt;=10000000,IFERROR(DATE(INT($AR982/10000),MOD(INT($AR982/100),100),MOD($AR982,100)),""),INT($AR982)),IFERROR(DATE(--LEFT(LEFT(SUBSTITUTE(SUBSTITUTE(SUBSTITUTE(SUBSTITUTE(TRIM($AR982),"-",""),".",""),"/","")," ",""),8),4),--MID(LEFT(SUBSTITUTE(SUBSTITUTE(SUBSTITUTE(SUBSTITUTE(TRIM($AR982),"-",""),".",""),"/","")," ",""),8),5,2),--MID(LEFT(SUBSTITUTE(SUBSTITUTE(SUBSTITUTE(SUBSTITUTE(TRIM($AR982),"-",""),".",""),"/","")," ",""),8),7,2)),"")))</f>
        <v/>
      </c>
      <c r="AT982" s="33">
        <f>IF($AS982="","",IF($F$6="",0,IF(ISNUMBER(INDEX($A:$AP,ROW(),$F$6)),INDEX($A:$AP,ROW(),$F$6),IFERROR(--SUBSTITUTE(SUBSTITUTE(TRIM(INDEX($A:$AP,ROW(),$F$6)),",",""),"원",""),0))))</f>
        <v/>
      </c>
      <c r="AU982" s="31">
        <f>IF($AS982="","",IF($AX982&lt;&gt;"",SUBSTITUTE(SUBSTITUTE($AX982,"-","")," ",""),"N:"&amp;$AV982))</f>
        <v/>
      </c>
      <c r="AV982" s="31">
        <f>IF(OR($AS982="",$E$6=""),"",TRIM(INDEX($A:$AP,ROW(),$E$6)&amp;""))</f>
        <v/>
      </c>
      <c r="AW982" s="31">
        <f>IF($AU982="","",IF(MATCH($AU982,$AU$8:$AU$2007,0)=ROW()-7,MAX($AW$7:$AW981)+1,""))</f>
        <v/>
      </c>
      <c r="AX982" s="31">
        <f>IF(OR($AS982="",$D$6=""),"",TRIM(INDEX($A:$AP,ROW(),$D$6)&amp;""))</f>
        <v/>
      </c>
      <c r="AY982" s="31">
        <f>IF($AU982="","",INDEX($AW$8:$AW$2007,MATCH($AU982,$AU$8:$AU$2007,0)))</f>
        <v/>
      </c>
      <c r="AZ982" s="31">
        <f>IF(OR($AS982="",$C$6=""),"",TRIM(INDEX($A:$AP,ROW(),$C$6)&amp;""))</f>
        <v/>
      </c>
      <c r="BA982" s="31">
        <f>IF($AZ982="","",IF(COUNTIF($AZ$8:$AZ982,$AZ982)&gt;1,1,0))</f>
        <v/>
      </c>
    </row>
    <row r="983">
      <c r="AR983" s="31">
        <f>IF(OR($A$5="",$B$6="",ROW()&lt;$A$5),"",IF(INDEX($A:$AP,ROW(),$B$6)="","",INDEX($A:$AP,ROW(),$B$6)))</f>
        <v/>
      </c>
      <c r="AS983" s="32">
        <f>IF($AR983="","",IF(ISNUMBER($AR983),IF($AR983&gt;=10000000,IFERROR(DATE(INT($AR983/10000),MOD(INT($AR983/100),100),MOD($AR983,100)),""),INT($AR983)),IFERROR(DATE(--LEFT(LEFT(SUBSTITUTE(SUBSTITUTE(SUBSTITUTE(SUBSTITUTE(TRIM($AR983),"-",""),".",""),"/","")," ",""),8),4),--MID(LEFT(SUBSTITUTE(SUBSTITUTE(SUBSTITUTE(SUBSTITUTE(TRIM($AR983),"-",""),".",""),"/","")," ",""),8),5,2),--MID(LEFT(SUBSTITUTE(SUBSTITUTE(SUBSTITUTE(SUBSTITUTE(TRIM($AR983),"-",""),".",""),"/","")," ",""),8),7,2)),"")))</f>
        <v/>
      </c>
      <c r="AT983" s="33">
        <f>IF($AS983="","",IF($F$6="",0,IF(ISNUMBER(INDEX($A:$AP,ROW(),$F$6)),INDEX($A:$AP,ROW(),$F$6),IFERROR(--SUBSTITUTE(SUBSTITUTE(TRIM(INDEX($A:$AP,ROW(),$F$6)),",",""),"원",""),0))))</f>
        <v/>
      </c>
      <c r="AU983" s="31">
        <f>IF($AS983="","",IF($AX983&lt;&gt;"",SUBSTITUTE(SUBSTITUTE($AX983,"-","")," ",""),"N:"&amp;$AV983))</f>
        <v/>
      </c>
      <c r="AV983" s="31">
        <f>IF(OR($AS983="",$E$6=""),"",TRIM(INDEX($A:$AP,ROW(),$E$6)&amp;""))</f>
        <v/>
      </c>
      <c r="AW983" s="31">
        <f>IF($AU983="","",IF(MATCH($AU983,$AU$8:$AU$2007,0)=ROW()-7,MAX($AW$7:$AW982)+1,""))</f>
        <v/>
      </c>
      <c r="AX983" s="31">
        <f>IF(OR($AS983="",$D$6=""),"",TRIM(INDEX($A:$AP,ROW(),$D$6)&amp;""))</f>
        <v/>
      </c>
      <c r="AY983" s="31">
        <f>IF($AU983="","",INDEX($AW$8:$AW$2007,MATCH($AU983,$AU$8:$AU$2007,0)))</f>
        <v/>
      </c>
      <c r="AZ983" s="31">
        <f>IF(OR($AS983="",$C$6=""),"",TRIM(INDEX($A:$AP,ROW(),$C$6)&amp;""))</f>
        <v/>
      </c>
      <c r="BA983" s="31">
        <f>IF($AZ983="","",IF(COUNTIF($AZ$8:$AZ983,$AZ983)&gt;1,1,0))</f>
        <v/>
      </c>
    </row>
    <row r="984">
      <c r="AR984" s="31">
        <f>IF(OR($A$5="",$B$6="",ROW()&lt;$A$5),"",IF(INDEX($A:$AP,ROW(),$B$6)="","",INDEX($A:$AP,ROW(),$B$6)))</f>
        <v/>
      </c>
      <c r="AS984" s="32">
        <f>IF($AR984="","",IF(ISNUMBER($AR984),IF($AR984&gt;=10000000,IFERROR(DATE(INT($AR984/10000),MOD(INT($AR984/100),100),MOD($AR984,100)),""),INT($AR984)),IFERROR(DATE(--LEFT(LEFT(SUBSTITUTE(SUBSTITUTE(SUBSTITUTE(SUBSTITUTE(TRIM($AR984),"-",""),".",""),"/","")," ",""),8),4),--MID(LEFT(SUBSTITUTE(SUBSTITUTE(SUBSTITUTE(SUBSTITUTE(TRIM($AR984),"-",""),".",""),"/","")," ",""),8),5,2),--MID(LEFT(SUBSTITUTE(SUBSTITUTE(SUBSTITUTE(SUBSTITUTE(TRIM($AR984),"-",""),".",""),"/","")," ",""),8),7,2)),"")))</f>
        <v/>
      </c>
      <c r="AT984" s="33">
        <f>IF($AS984="","",IF($F$6="",0,IF(ISNUMBER(INDEX($A:$AP,ROW(),$F$6)),INDEX($A:$AP,ROW(),$F$6),IFERROR(--SUBSTITUTE(SUBSTITUTE(TRIM(INDEX($A:$AP,ROW(),$F$6)),",",""),"원",""),0))))</f>
        <v/>
      </c>
      <c r="AU984" s="31">
        <f>IF($AS984="","",IF($AX984&lt;&gt;"",SUBSTITUTE(SUBSTITUTE($AX984,"-","")," ",""),"N:"&amp;$AV984))</f>
        <v/>
      </c>
      <c r="AV984" s="31">
        <f>IF(OR($AS984="",$E$6=""),"",TRIM(INDEX($A:$AP,ROW(),$E$6)&amp;""))</f>
        <v/>
      </c>
      <c r="AW984" s="31">
        <f>IF($AU984="","",IF(MATCH($AU984,$AU$8:$AU$2007,0)=ROW()-7,MAX($AW$7:$AW983)+1,""))</f>
        <v/>
      </c>
      <c r="AX984" s="31">
        <f>IF(OR($AS984="",$D$6=""),"",TRIM(INDEX($A:$AP,ROW(),$D$6)&amp;""))</f>
        <v/>
      </c>
      <c r="AY984" s="31">
        <f>IF($AU984="","",INDEX($AW$8:$AW$2007,MATCH($AU984,$AU$8:$AU$2007,0)))</f>
        <v/>
      </c>
      <c r="AZ984" s="31">
        <f>IF(OR($AS984="",$C$6=""),"",TRIM(INDEX($A:$AP,ROW(),$C$6)&amp;""))</f>
        <v/>
      </c>
      <c r="BA984" s="31">
        <f>IF($AZ984="","",IF(COUNTIF($AZ$8:$AZ984,$AZ984)&gt;1,1,0))</f>
        <v/>
      </c>
    </row>
    <row r="985">
      <c r="AR985" s="31">
        <f>IF(OR($A$5="",$B$6="",ROW()&lt;$A$5),"",IF(INDEX($A:$AP,ROW(),$B$6)="","",INDEX($A:$AP,ROW(),$B$6)))</f>
        <v/>
      </c>
      <c r="AS985" s="32">
        <f>IF($AR985="","",IF(ISNUMBER($AR985),IF($AR985&gt;=10000000,IFERROR(DATE(INT($AR985/10000),MOD(INT($AR985/100),100),MOD($AR985,100)),""),INT($AR985)),IFERROR(DATE(--LEFT(LEFT(SUBSTITUTE(SUBSTITUTE(SUBSTITUTE(SUBSTITUTE(TRIM($AR985),"-",""),".",""),"/","")," ",""),8),4),--MID(LEFT(SUBSTITUTE(SUBSTITUTE(SUBSTITUTE(SUBSTITUTE(TRIM($AR985),"-",""),".",""),"/","")," ",""),8),5,2),--MID(LEFT(SUBSTITUTE(SUBSTITUTE(SUBSTITUTE(SUBSTITUTE(TRIM($AR985),"-",""),".",""),"/","")," ",""),8),7,2)),"")))</f>
        <v/>
      </c>
      <c r="AT985" s="33">
        <f>IF($AS985="","",IF($F$6="",0,IF(ISNUMBER(INDEX($A:$AP,ROW(),$F$6)),INDEX($A:$AP,ROW(),$F$6),IFERROR(--SUBSTITUTE(SUBSTITUTE(TRIM(INDEX($A:$AP,ROW(),$F$6)),",",""),"원",""),0))))</f>
        <v/>
      </c>
      <c r="AU985" s="31">
        <f>IF($AS985="","",IF($AX985&lt;&gt;"",SUBSTITUTE(SUBSTITUTE($AX985,"-","")," ",""),"N:"&amp;$AV985))</f>
        <v/>
      </c>
      <c r="AV985" s="31">
        <f>IF(OR($AS985="",$E$6=""),"",TRIM(INDEX($A:$AP,ROW(),$E$6)&amp;""))</f>
        <v/>
      </c>
      <c r="AW985" s="31">
        <f>IF($AU985="","",IF(MATCH($AU985,$AU$8:$AU$2007,0)=ROW()-7,MAX($AW$7:$AW984)+1,""))</f>
        <v/>
      </c>
      <c r="AX985" s="31">
        <f>IF(OR($AS985="",$D$6=""),"",TRIM(INDEX($A:$AP,ROW(),$D$6)&amp;""))</f>
        <v/>
      </c>
      <c r="AY985" s="31">
        <f>IF($AU985="","",INDEX($AW$8:$AW$2007,MATCH($AU985,$AU$8:$AU$2007,0)))</f>
        <v/>
      </c>
      <c r="AZ985" s="31">
        <f>IF(OR($AS985="",$C$6=""),"",TRIM(INDEX($A:$AP,ROW(),$C$6)&amp;""))</f>
        <v/>
      </c>
      <c r="BA985" s="31">
        <f>IF($AZ985="","",IF(COUNTIF($AZ$8:$AZ985,$AZ985)&gt;1,1,0))</f>
        <v/>
      </c>
    </row>
    <row r="986">
      <c r="AR986" s="31">
        <f>IF(OR($A$5="",$B$6="",ROW()&lt;$A$5),"",IF(INDEX($A:$AP,ROW(),$B$6)="","",INDEX($A:$AP,ROW(),$B$6)))</f>
        <v/>
      </c>
      <c r="AS986" s="32">
        <f>IF($AR986="","",IF(ISNUMBER($AR986),IF($AR986&gt;=10000000,IFERROR(DATE(INT($AR986/10000),MOD(INT($AR986/100),100),MOD($AR986,100)),""),INT($AR986)),IFERROR(DATE(--LEFT(LEFT(SUBSTITUTE(SUBSTITUTE(SUBSTITUTE(SUBSTITUTE(TRIM($AR986),"-",""),".",""),"/","")," ",""),8),4),--MID(LEFT(SUBSTITUTE(SUBSTITUTE(SUBSTITUTE(SUBSTITUTE(TRIM($AR986),"-",""),".",""),"/","")," ",""),8),5,2),--MID(LEFT(SUBSTITUTE(SUBSTITUTE(SUBSTITUTE(SUBSTITUTE(TRIM($AR986),"-",""),".",""),"/","")," ",""),8),7,2)),"")))</f>
        <v/>
      </c>
      <c r="AT986" s="33">
        <f>IF($AS986="","",IF($F$6="",0,IF(ISNUMBER(INDEX($A:$AP,ROW(),$F$6)),INDEX($A:$AP,ROW(),$F$6),IFERROR(--SUBSTITUTE(SUBSTITUTE(TRIM(INDEX($A:$AP,ROW(),$F$6)),",",""),"원",""),0))))</f>
        <v/>
      </c>
      <c r="AU986" s="31">
        <f>IF($AS986="","",IF($AX986&lt;&gt;"",SUBSTITUTE(SUBSTITUTE($AX986,"-","")," ",""),"N:"&amp;$AV986))</f>
        <v/>
      </c>
      <c r="AV986" s="31">
        <f>IF(OR($AS986="",$E$6=""),"",TRIM(INDEX($A:$AP,ROW(),$E$6)&amp;""))</f>
        <v/>
      </c>
      <c r="AW986" s="31">
        <f>IF($AU986="","",IF(MATCH($AU986,$AU$8:$AU$2007,0)=ROW()-7,MAX($AW$7:$AW985)+1,""))</f>
        <v/>
      </c>
      <c r="AX986" s="31">
        <f>IF(OR($AS986="",$D$6=""),"",TRIM(INDEX($A:$AP,ROW(),$D$6)&amp;""))</f>
        <v/>
      </c>
      <c r="AY986" s="31">
        <f>IF($AU986="","",INDEX($AW$8:$AW$2007,MATCH($AU986,$AU$8:$AU$2007,0)))</f>
        <v/>
      </c>
      <c r="AZ986" s="31">
        <f>IF(OR($AS986="",$C$6=""),"",TRIM(INDEX($A:$AP,ROW(),$C$6)&amp;""))</f>
        <v/>
      </c>
      <c r="BA986" s="31">
        <f>IF($AZ986="","",IF(COUNTIF($AZ$8:$AZ986,$AZ986)&gt;1,1,0))</f>
        <v/>
      </c>
    </row>
    <row r="987">
      <c r="AR987" s="31">
        <f>IF(OR($A$5="",$B$6="",ROW()&lt;$A$5),"",IF(INDEX($A:$AP,ROW(),$B$6)="","",INDEX($A:$AP,ROW(),$B$6)))</f>
        <v/>
      </c>
      <c r="AS987" s="32">
        <f>IF($AR987="","",IF(ISNUMBER($AR987),IF($AR987&gt;=10000000,IFERROR(DATE(INT($AR987/10000),MOD(INT($AR987/100),100),MOD($AR987,100)),""),INT($AR987)),IFERROR(DATE(--LEFT(LEFT(SUBSTITUTE(SUBSTITUTE(SUBSTITUTE(SUBSTITUTE(TRIM($AR987),"-",""),".",""),"/","")," ",""),8),4),--MID(LEFT(SUBSTITUTE(SUBSTITUTE(SUBSTITUTE(SUBSTITUTE(TRIM($AR987),"-",""),".",""),"/","")," ",""),8),5,2),--MID(LEFT(SUBSTITUTE(SUBSTITUTE(SUBSTITUTE(SUBSTITUTE(TRIM($AR987),"-",""),".",""),"/","")," ",""),8),7,2)),"")))</f>
        <v/>
      </c>
      <c r="AT987" s="33">
        <f>IF($AS987="","",IF($F$6="",0,IF(ISNUMBER(INDEX($A:$AP,ROW(),$F$6)),INDEX($A:$AP,ROW(),$F$6),IFERROR(--SUBSTITUTE(SUBSTITUTE(TRIM(INDEX($A:$AP,ROW(),$F$6)),",",""),"원",""),0))))</f>
        <v/>
      </c>
      <c r="AU987" s="31">
        <f>IF($AS987="","",IF($AX987&lt;&gt;"",SUBSTITUTE(SUBSTITUTE($AX987,"-","")," ",""),"N:"&amp;$AV987))</f>
        <v/>
      </c>
      <c r="AV987" s="31">
        <f>IF(OR($AS987="",$E$6=""),"",TRIM(INDEX($A:$AP,ROW(),$E$6)&amp;""))</f>
        <v/>
      </c>
      <c r="AW987" s="31">
        <f>IF($AU987="","",IF(MATCH($AU987,$AU$8:$AU$2007,0)=ROW()-7,MAX($AW$7:$AW986)+1,""))</f>
        <v/>
      </c>
      <c r="AX987" s="31">
        <f>IF(OR($AS987="",$D$6=""),"",TRIM(INDEX($A:$AP,ROW(),$D$6)&amp;""))</f>
        <v/>
      </c>
      <c r="AY987" s="31">
        <f>IF($AU987="","",INDEX($AW$8:$AW$2007,MATCH($AU987,$AU$8:$AU$2007,0)))</f>
        <v/>
      </c>
      <c r="AZ987" s="31">
        <f>IF(OR($AS987="",$C$6=""),"",TRIM(INDEX($A:$AP,ROW(),$C$6)&amp;""))</f>
        <v/>
      </c>
      <c r="BA987" s="31">
        <f>IF($AZ987="","",IF(COUNTIF($AZ$8:$AZ987,$AZ987)&gt;1,1,0))</f>
        <v/>
      </c>
    </row>
    <row r="988">
      <c r="AR988" s="31">
        <f>IF(OR($A$5="",$B$6="",ROW()&lt;$A$5),"",IF(INDEX($A:$AP,ROW(),$B$6)="","",INDEX($A:$AP,ROW(),$B$6)))</f>
        <v/>
      </c>
      <c r="AS988" s="32">
        <f>IF($AR988="","",IF(ISNUMBER($AR988),IF($AR988&gt;=10000000,IFERROR(DATE(INT($AR988/10000),MOD(INT($AR988/100),100),MOD($AR988,100)),""),INT($AR988)),IFERROR(DATE(--LEFT(LEFT(SUBSTITUTE(SUBSTITUTE(SUBSTITUTE(SUBSTITUTE(TRIM($AR988),"-",""),".",""),"/","")," ",""),8),4),--MID(LEFT(SUBSTITUTE(SUBSTITUTE(SUBSTITUTE(SUBSTITUTE(TRIM($AR988),"-",""),".",""),"/","")," ",""),8),5,2),--MID(LEFT(SUBSTITUTE(SUBSTITUTE(SUBSTITUTE(SUBSTITUTE(TRIM($AR988),"-",""),".",""),"/","")," ",""),8),7,2)),"")))</f>
        <v/>
      </c>
      <c r="AT988" s="33">
        <f>IF($AS988="","",IF($F$6="",0,IF(ISNUMBER(INDEX($A:$AP,ROW(),$F$6)),INDEX($A:$AP,ROW(),$F$6),IFERROR(--SUBSTITUTE(SUBSTITUTE(TRIM(INDEX($A:$AP,ROW(),$F$6)),",",""),"원",""),0))))</f>
        <v/>
      </c>
      <c r="AU988" s="31">
        <f>IF($AS988="","",IF($AX988&lt;&gt;"",SUBSTITUTE(SUBSTITUTE($AX988,"-","")," ",""),"N:"&amp;$AV988))</f>
        <v/>
      </c>
      <c r="AV988" s="31">
        <f>IF(OR($AS988="",$E$6=""),"",TRIM(INDEX($A:$AP,ROW(),$E$6)&amp;""))</f>
        <v/>
      </c>
      <c r="AW988" s="31">
        <f>IF($AU988="","",IF(MATCH($AU988,$AU$8:$AU$2007,0)=ROW()-7,MAX($AW$7:$AW987)+1,""))</f>
        <v/>
      </c>
      <c r="AX988" s="31">
        <f>IF(OR($AS988="",$D$6=""),"",TRIM(INDEX($A:$AP,ROW(),$D$6)&amp;""))</f>
        <v/>
      </c>
      <c r="AY988" s="31">
        <f>IF($AU988="","",INDEX($AW$8:$AW$2007,MATCH($AU988,$AU$8:$AU$2007,0)))</f>
        <v/>
      </c>
      <c r="AZ988" s="31">
        <f>IF(OR($AS988="",$C$6=""),"",TRIM(INDEX($A:$AP,ROW(),$C$6)&amp;""))</f>
        <v/>
      </c>
      <c r="BA988" s="31">
        <f>IF($AZ988="","",IF(COUNTIF($AZ$8:$AZ988,$AZ988)&gt;1,1,0))</f>
        <v/>
      </c>
    </row>
    <row r="989">
      <c r="AR989" s="31">
        <f>IF(OR($A$5="",$B$6="",ROW()&lt;$A$5),"",IF(INDEX($A:$AP,ROW(),$B$6)="","",INDEX($A:$AP,ROW(),$B$6)))</f>
        <v/>
      </c>
      <c r="AS989" s="32">
        <f>IF($AR989="","",IF(ISNUMBER($AR989),IF($AR989&gt;=10000000,IFERROR(DATE(INT($AR989/10000),MOD(INT($AR989/100),100),MOD($AR989,100)),""),INT($AR989)),IFERROR(DATE(--LEFT(LEFT(SUBSTITUTE(SUBSTITUTE(SUBSTITUTE(SUBSTITUTE(TRIM($AR989),"-",""),".",""),"/","")," ",""),8),4),--MID(LEFT(SUBSTITUTE(SUBSTITUTE(SUBSTITUTE(SUBSTITUTE(TRIM($AR989),"-",""),".",""),"/","")," ",""),8),5,2),--MID(LEFT(SUBSTITUTE(SUBSTITUTE(SUBSTITUTE(SUBSTITUTE(TRIM($AR989),"-",""),".",""),"/","")," ",""),8),7,2)),"")))</f>
        <v/>
      </c>
      <c r="AT989" s="33">
        <f>IF($AS989="","",IF($F$6="",0,IF(ISNUMBER(INDEX($A:$AP,ROW(),$F$6)),INDEX($A:$AP,ROW(),$F$6),IFERROR(--SUBSTITUTE(SUBSTITUTE(TRIM(INDEX($A:$AP,ROW(),$F$6)),",",""),"원",""),0))))</f>
        <v/>
      </c>
      <c r="AU989" s="31">
        <f>IF($AS989="","",IF($AX989&lt;&gt;"",SUBSTITUTE(SUBSTITUTE($AX989,"-","")," ",""),"N:"&amp;$AV989))</f>
        <v/>
      </c>
      <c r="AV989" s="31">
        <f>IF(OR($AS989="",$E$6=""),"",TRIM(INDEX($A:$AP,ROW(),$E$6)&amp;""))</f>
        <v/>
      </c>
      <c r="AW989" s="31">
        <f>IF($AU989="","",IF(MATCH($AU989,$AU$8:$AU$2007,0)=ROW()-7,MAX($AW$7:$AW988)+1,""))</f>
        <v/>
      </c>
      <c r="AX989" s="31">
        <f>IF(OR($AS989="",$D$6=""),"",TRIM(INDEX($A:$AP,ROW(),$D$6)&amp;""))</f>
        <v/>
      </c>
      <c r="AY989" s="31">
        <f>IF($AU989="","",INDEX($AW$8:$AW$2007,MATCH($AU989,$AU$8:$AU$2007,0)))</f>
        <v/>
      </c>
      <c r="AZ989" s="31">
        <f>IF(OR($AS989="",$C$6=""),"",TRIM(INDEX($A:$AP,ROW(),$C$6)&amp;""))</f>
        <v/>
      </c>
      <c r="BA989" s="31">
        <f>IF($AZ989="","",IF(COUNTIF($AZ$8:$AZ989,$AZ989)&gt;1,1,0))</f>
        <v/>
      </c>
    </row>
    <row r="990">
      <c r="AR990" s="31">
        <f>IF(OR($A$5="",$B$6="",ROW()&lt;$A$5),"",IF(INDEX($A:$AP,ROW(),$B$6)="","",INDEX($A:$AP,ROW(),$B$6)))</f>
        <v/>
      </c>
      <c r="AS990" s="32">
        <f>IF($AR990="","",IF(ISNUMBER($AR990),IF($AR990&gt;=10000000,IFERROR(DATE(INT($AR990/10000),MOD(INT($AR990/100),100),MOD($AR990,100)),""),INT($AR990)),IFERROR(DATE(--LEFT(LEFT(SUBSTITUTE(SUBSTITUTE(SUBSTITUTE(SUBSTITUTE(TRIM($AR990),"-",""),".",""),"/","")," ",""),8),4),--MID(LEFT(SUBSTITUTE(SUBSTITUTE(SUBSTITUTE(SUBSTITUTE(TRIM($AR990),"-",""),".",""),"/","")," ",""),8),5,2),--MID(LEFT(SUBSTITUTE(SUBSTITUTE(SUBSTITUTE(SUBSTITUTE(TRIM($AR990),"-",""),".",""),"/","")," ",""),8),7,2)),"")))</f>
        <v/>
      </c>
      <c r="AT990" s="33">
        <f>IF($AS990="","",IF($F$6="",0,IF(ISNUMBER(INDEX($A:$AP,ROW(),$F$6)),INDEX($A:$AP,ROW(),$F$6),IFERROR(--SUBSTITUTE(SUBSTITUTE(TRIM(INDEX($A:$AP,ROW(),$F$6)),",",""),"원",""),0))))</f>
        <v/>
      </c>
      <c r="AU990" s="31">
        <f>IF($AS990="","",IF($AX990&lt;&gt;"",SUBSTITUTE(SUBSTITUTE($AX990,"-","")," ",""),"N:"&amp;$AV990))</f>
        <v/>
      </c>
      <c r="AV990" s="31">
        <f>IF(OR($AS990="",$E$6=""),"",TRIM(INDEX($A:$AP,ROW(),$E$6)&amp;""))</f>
        <v/>
      </c>
      <c r="AW990" s="31">
        <f>IF($AU990="","",IF(MATCH($AU990,$AU$8:$AU$2007,0)=ROW()-7,MAX($AW$7:$AW989)+1,""))</f>
        <v/>
      </c>
      <c r="AX990" s="31">
        <f>IF(OR($AS990="",$D$6=""),"",TRIM(INDEX($A:$AP,ROW(),$D$6)&amp;""))</f>
        <v/>
      </c>
      <c r="AY990" s="31">
        <f>IF($AU990="","",INDEX($AW$8:$AW$2007,MATCH($AU990,$AU$8:$AU$2007,0)))</f>
        <v/>
      </c>
      <c r="AZ990" s="31">
        <f>IF(OR($AS990="",$C$6=""),"",TRIM(INDEX($A:$AP,ROW(),$C$6)&amp;""))</f>
        <v/>
      </c>
      <c r="BA990" s="31">
        <f>IF($AZ990="","",IF(COUNTIF($AZ$8:$AZ990,$AZ990)&gt;1,1,0))</f>
        <v/>
      </c>
    </row>
    <row r="991">
      <c r="AR991" s="31">
        <f>IF(OR($A$5="",$B$6="",ROW()&lt;$A$5),"",IF(INDEX($A:$AP,ROW(),$B$6)="","",INDEX($A:$AP,ROW(),$B$6)))</f>
        <v/>
      </c>
      <c r="AS991" s="32">
        <f>IF($AR991="","",IF(ISNUMBER($AR991),IF($AR991&gt;=10000000,IFERROR(DATE(INT($AR991/10000),MOD(INT($AR991/100),100),MOD($AR991,100)),""),INT($AR991)),IFERROR(DATE(--LEFT(LEFT(SUBSTITUTE(SUBSTITUTE(SUBSTITUTE(SUBSTITUTE(TRIM($AR991),"-",""),".",""),"/","")," ",""),8),4),--MID(LEFT(SUBSTITUTE(SUBSTITUTE(SUBSTITUTE(SUBSTITUTE(TRIM($AR991),"-",""),".",""),"/","")," ",""),8),5,2),--MID(LEFT(SUBSTITUTE(SUBSTITUTE(SUBSTITUTE(SUBSTITUTE(TRIM($AR991),"-",""),".",""),"/","")," ",""),8),7,2)),"")))</f>
        <v/>
      </c>
      <c r="AT991" s="33">
        <f>IF($AS991="","",IF($F$6="",0,IF(ISNUMBER(INDEX($A:$AP,ROW(),$F$6)),INDEX($A:$AP,ROW(),$F$6),IFERROR(--SUBSTITUTE(SUBSTITUTE(TRIM(INDEX($A:$AP,ROW(),$F$6)),",",""),"원",""),0))))</f>
        <v/>
      </c>
      <c r="AU991" s="31">
        <f>IF($AS991="","",IF($AX991&lt;&gt;"",SUBSTITUTE(SUBSTITUTE($AX991,"-","")," ",""),"N:"&amp;$AV991))</f>
        <v/>
      </c>
      <c r="AV991" s="31">
        <f>IF(OR($AS991="",$E$6=""),"",TRIM(INDEX($A:$AP,ROW(),$E$6)&amp;""))</f>
        <v/>
      </c>
      <c r="AW991" s="31">
        <f>IF($AU991="","",IF(MATCH($AU991,$AU$8:$AU$2007,0)=ROW()-7,MAX($AW$7:$AW990)+1,""))</f>
        <v/>
      </c>
      <c r="AX991" s="31">
        <f>IF(OR($AS991="",$D$6=""),"",TRIM(INDEX($A:$AP,ROW(),$D$6)&amp;""))</f>
        <v/>
      </c>
      <c r="AY991" s="31">
        <f>IF($AU991="","",INDEX($AW$8:$AW$2007,MATCH($AU991,$AU$8:$AU$2007,0)))</f>
        <v/>
      </c>
      <c r="AZ991" s="31">
        <f>IF(OR($AS991="",$C$6=""),"",TRIM(INDEX($A:$AP,ROW(),$C$6)&amp;""))</f>
        <v/>
      </c>
      <c r="BA991" s="31">
        <f>IF($AZ991="","",IF(COUNTIF($AZ$8:$AZ991,$AZ991)&gt;1,1,0))</f>
        <v/>
      </c>
    </row>
    <row r="992">
      <c r="AR992" s="31">
        <f>IF(OR($A$5="",$B$6="",ROW()&lt;$A$5),"",IF(INDEX($A:$AP,ROW(),$B$6)="","",INDEX($A:$AP,ROW(),$B$6)))</f>
        <v/>
      </c>
      <c r="AS992" s="32">
        <f>IF($AR992="","",IF(ISNUMBER($AR992),IF($AR992&gt;=10000000,IFERROR(DATE(INT($AR992/10000),MOD(INT($AR992/100),100),MOD($AR992,100)),""),INT($AR992)),IFERROR(DATE(--LEFT(LEFT(SUBSTITUTE(SUBSTITUTE(SUBSTITUTE(SUBSTITUTE(TRIM($AR992),"-",""),".",""),"/","")," ",""),8),4),--MID(LEFT(SUBSTITUTE(SUBSTITUTE(SUBSTITUTE(SUBSTITUTE(TRIM($AR992),"-",""),".",""),"/","")," ",""),8),5,2),--MID(LEFT(SUBSTITUTE(SUBSTITUTE(SUBSTITUTE(SUBSTITUTE(TRIM($AR992),"-",""),".",""),"/","")," ",""),8),7,2)),"")))</f>
        <v/>
      </c>
      <c r="AT992" s="33">
        <f>IF($AS992="","",IF($F$6="",0,IF(ISNUMBER(INDEX($A:$AP,ROW(),$F$6)),INDEX($A:$AP,ROW(),$F$6),IFERROR(--SUBSTITUTE(SUBSTITUTE(TRIM(INDEX($A:$AP,ROW(),$F$6)),",",""),"원",""),0))))</f>
        <v/>
      </c>
      <c r="AU992" s="31">
        <f>IF($AS992="","",IF($AX992&lt;&gt;"",SUBSTITUTE(SUBSTITUTE($AX992,"-","")," ",""),"N:"&amp;$AV992))</f>
        <v/>
      </c>
      <c r="AV992" s="31">
        <f>IF(OR($AS992="",$E$6=""),"",TRIM(INDEX($A:$AP,ROW(),$E$6)&amp;""))</f>
        <v/>
      </c>
      <c r="AW992" s="31">
        <f>IF($AU992="","",IF(MATCH($AU992,$AU$8:$AU$2007,0)=ROW()-7,MAX($AW$7:$AW991)+1,""))</f>
        <v/>
      </c>
      <c r="AX992" s="31">
        <f>IF(OR($AS992="",$D$6=""),"",TRIM(INDEX($A:$AP,ROW(),$D$6)&amp;""))</f>
        <v/>
      </c>
      <c r="AY992" s="31">
        <f>IF($AU992="","",INDEX($AW$8:$AW$2007,MATCH($AU992,$AU$8:$AU$2007,0)))</f>
        <v/>
      </c>
      <c r="AZ992" s="31">
        <f>IF(OR($AS992="",$C$6=""),"",TRIM(INDEX($A:$AP,ROW(),$C$6)&amp;""))</f>
        <v/>
      </c>
      <c r="BA992" s="31">
        <f>IF($AZ992="","",IF(COUNTIF($AZ$8:$AZ992,$AZ992)&gt;1,1,0))</f>
        <v/>
      </c>
    </row>
    <row r="993">
      <c r="AR993" s="31">
        <f>IF(OR($A$5="",$B$6="",ROW()&lt;$A$5),"",IF(INDEX($A:$AP,ROW(),$B$6)="","",INDEX($A:$AP,ROW(),$B$6)))</f>
        <v/>
      </c>
      <c r="AS993" s="32">
        <f>IF($AR993="","",IF(ISNUMBER($AR993),IF($AR993&gt;=10000000,IFERROR(DATE(INT($AR993/10000),MOD(INT($AR993/100),100),MOD($AR993,100)),""),INT($AR993)),IFERROR(DATE(--LEFT(LEFT(SUBSTITUTE(SUBSTITUTE(SUBSTITUTE(SUBSTITUTE(TRIM($AR993),"-",""),".",""),"/","")," ",""),8),4),--MID(LEFT(SUBSTITUTE(SUBSTITUTE(SUBSTITUTE(SUBSTITUTE(TRIM($AR993),"-",""),".",""),"/","")," ",""),8),5,2),--MID(LEFT(SUBSTITUTE(SUBSTITUTE(SUBSTITUTE(SUBSTITUTE(TRIM($AR993),"-",""),".",""),"/","")," ",""),8),7,2)),"")))</f>
        <v/>
      </c>
      <c r="AT993" s="33">
        <f>IF($AS993="","",IF($F$6="",0,IF(ISNUMBER(INDEX($A:$AP,ROW(),$F$6)),INDEX($A:$AP,ROW(),$F$6),IFERROR(--SUBSTITUTE(SUBSTITUTE(TRIM(INDEX($A:$AP,ROW(),$F$6)),",",""),"원",""),0))))</f>
        <v/>
      </c>
      <c r="AU993" s="31">
        <f>IF($AS993="","",IF($AX993&lt;&gt;"",SUBSTITUTE(SUBSTITUTE($AX993,"-","")," ",""),"N:"&amp;$AV993))</f>
        <v/>
      </c>
      <c r="AV993" s="31">
        <f>IF(OR($AS993="",$E$6=""),"",TRIM(INDEX($A:$AP,ROW(),$E$6)&amp;""))</f>
        <v/>
      </c>
      <c r="AW993" s="31">
        <f>IF($AU993="","",IF(MATCH($AU993,$AU$8:$AU$2007,0)=ROW()-7,MAX($AW$7:$AW992)+1,""))</f>
        <v/>
      </c>
      <c r="AX993" s="31">
        <f>IF(OR($AS993="",$D$6=""),"",TRIM(INDEX($A:$AP,ROW(),$D$6)&amp;""))</f>
        <v/>
      </c>
      <c r="AY993" s="31">
        <f>IF($AU993="","",INDEX($AW$8:$AW$2007,MATCH($AU993,$AU$8:$AU$2007,0)))</f>
        <v/>
      </c>
      <c r="AZ993" s="31">
        <f>IF(OR($AS993="",$C$6=""),"",TRIM(INDEX($A:$AP,ROW(),$C$6)&amp;""))</f>
        <v/>
      </c>
      <c r="BA993" s="31">
        <f>IF($AZ993="","",IF(COUNTIF($AZ$8:$AZ993,$AZ993)&gt;1,1,0))</f>
        <v/>
      </c>
    </row>
    <row r="994">
      <c r="AR994" s="31">
        <f>IF(OR($A$5="",$B$6="",ROW()&lt;$A$5),"",IF(INDEX($A:$AP,ROW(),$B$6)="","",INDEX($A:$AP,ROW(),$B$6)))</f>
        <v/>
      </c>
      <c r="AS994" s="32">
        <f>IF($AR994="","",IF(ISNUMBER($AR994),IF($AR994&gt;=10000000,IFERROR(DATE(INT($AR994/10000),MOD(INT($AR994/100),100),MOD($AR994,100)),""),INT($AR994)),IFERROR(DATE(--LEFT(LEFT(SUBSTITUTE(SUBSTITUTE(SUBSTITUTE(SUBSTITUTE(TRIM($AR994),"-",""),".",""),"/","")," ",""),8),4),--MID(LEFT(SUBSTITUTE(SUBSTITUTE(SUBSTITUTE(SUBSTITUTE(TRIM($AR994),"-",""),".",""),"/","")," ",""),8),5,2),--MID(LEFT(SUBSTITUTE(SUBSTITUTE(SUBSTITUTE(SUBSTITUTE(TRIM($AR994),"-",""),".",""),"/","")," ",""),8),7,2)),"")))</f>
        <v/>
      </c>
      <c r="AT994" s="33">
        <f>IF($AS994="","",IF($F$6="",0,IF(ISNUMBER(INDEX($A:$AP,ROW(),$F$6)),INDEX($A:$AP,ROW(),$F$6),IFERROR(--SUBSTITUTE(SUBSTITUTE(TRIM(INDEX($A:$AP,ROW(),$F$6)),",",""),"원",""),0))))</f>
        <v/>
      </c>
      <c r="AU994" s="31">
        <f>IF($AS994="","",IF($AX994&lt;&gt;"",SUBSTITUTE(SUBSTITUTE($AX994,"-","")," ",""),"N:"&amp;$AV994))</f>
        <v/>
      </c>
      <c r="AV994" s="31">
        <f>IF(OR($AS994="",$E$6=""),"",TRIM(INDEX($A:$AP,ROW(),$E$6)&amp;""))</f>
        <v/>
      </c>
      <c r="AW994" s="31">
        <f>IF($AU994="","",IF(MATCH($AU994,$AU$8:$AU$2007,0)=ROW()-7,MAX($AW$7:$AW993)+1,""))</f>
        <v/>
      </c>
      <c r="AX994" s="31">
        <f>IF(OR($AS994="",$D$6=""),"",TRIM(INDEX($A:$AP,ROW(),$D$6)&amp;""))</f>
        <v/>
      </c>
      <c r="AY994" s="31">
        <f>IF($AU994="","",INDEX($AW$8:$AW$2007,MATCH($AU994,$AU$8:$AU$2007,0)))</f>
        <v/>
      </c>
      <c r="AZ994" s="31">
        <f>IF(OR($AS994="",$C$6=""),"",TRIM(INDEX($A:$AP,ROW(),$C$6)&amp;""))</f>
        <v/>
      </c>
      <c r="BA994" s="31">
        <f>IF($AZ994="","",IF(COUNTIF($AZ$8:$AZ994,$AZ994)&gt;1,1,0))</f>
        <v/>
      </c>
    </row>
    <row r="995">
      <c r="AR995" s="31">
        <f>IF(OR($A$5="",$B$6="",ROW()&lt;$A$5),"",IF(INDEX($A:$AP,ROW(),$B$6)="","",INDEX($A:$AP,ROW(),$B$6)))</f>
        <v/>
      </c>
      <c r="AS995" s="32">
        <f>IF($AR995="","",IF(ISNUMBER($AR995),IF($AR995&gt;=10000000,IFERROR(DATE(INT($AR995/10000),MOD(INT($AR995/100),100),MOD($AR995,100)),""),INT($AR995)),IFERROR(DATE(--LEFT(LEFT(SUBSTITUTE(SUBSTITUTE(SUBSTITUTE(SUBSTITUTE(TRIM($AR995),"-",""),".",""),"/","")," ",""),8),4),--MID(LEFT(SUBSTITUTE(SUBSTITUTE(SUBSTITUTE(SUBSTITUTE(TRIM($AR995),"-",""),".",""),"/","")," ",""),8),5,2),--MID(LEFT(SUBSTITUTE(SUBSTITUTE(SUBSTITUTE(SUBSTITUTE(TRIM($AR995),"-",""),".",""),"/","")," ",""),8),7,2)),"")))</f>
        <v/>
      </c>
      <c r="AT995" s="33">
        <f>IF($AS995="","",IF($F$6="",0,IF(ISNUMBER(INDEX($A:$AP,ROW(),$F$6)),INDEX($A:$AP,ROW(),$F$6),IFERROR(--SUBSTITUTE(SUBSTITUTE(TRIM(INDEX($A:$AP,ROW(),$F$6)),",",""),"원",""),0))))</f>
        <v/>
      </c>
      <c r="AU995" s="31">
        <f>IF($AS995="","",IF($AX995&lt;&gt;"",SUBSTITUTE(SUBSTITUTE($AX995,"-","")," ",""),"N:"&amp;$AV995))</f>
        <v/>
      </c>
      <c r="AV995" s="31">
        <f>IF(OR($AS995="",$E$6=""),"",TRIM(INDEX($A:$AP,ROW(),$E$6)&amp;""))</f>
        <v/>
      </c>
      <c r="AW995" s="31">
        <f>IF($AU995="","",IF(MATCH($AU995,$AU$8:$AU$2007,0)=ROW()-7,MAX($AW$7:$AW994)+1,""))</f>
        <v/>
      </c>
      <c r="AX995" s="31">
        <f>IF(OR($AS995="",$D$6=""),"",TRIM(INDEX($A:$AP,ROW(),$D$6)&amp;""))</f>
        <v/>
      </c>
      <c r="AY995" s="31">
        <f>IF($AU995="","",INDEX($AW$8:$AW$2007,MATCH($AU995,$AU$8:$AU$2007,0)))</f>
        <v/>
      </c>
      <c r="AZ995" s="31">
        <f>IF(OR($AS995="",$C$6=""),"",TRIM(INDEX($A:$AP,ROW(),$C$6)&amp;""))</f>
        <v/>
      </c>
      <c r="BA995" s="31">
        <f>IF($AZ995="","",IF(COUNTIF($AZ$8:$AZ995,$AZ995)&gt;1,1,0))</f>
        <v/>
      </c>
    </row>
    <row r="996">
      <c r="AR996" s="31">
        <f>IF(OR($A$5="",$B$6="",ROW()&lt;$A$5),"",IF(INDEX($A:$AP,ROW(),$B$6)="","",INDEX($A:$AP,ROW(),$B$6)))</f>
        <v/>
      </c>
      <c r="AS996" s="32">
        <f>IF($AR996="","",IF(ISNUMBER($AR996),IF($AR996&gt;=10000000,IFERROR(DATE(INT($AR996/10000),MOD(INT($AR996/100),100),MOD($AR996,100)),""),INT($AR996)),IFERROR(DATE(--LEFT(LEFT(SUBSTITUTE(SUBSTITUTE(SUBSTITUTE(SUBSTITUTE(TRIM($AR996),"-",""),".",""),"/","")," ",""),8),4),--MID(LEFT(SUBSTITUTE(SUBSTITUTE(SUBSTITUTE(SUBSTITUTE(TRIM($AR996),"-",""),".",""),"/","")," ",""),8),5,2),--MID(LEFT(SUBSTITUTE(SUBSTITUTE(SUBSTITUTE(SUBSTITUTE(TRIM($AR996),"-",""),".",""),"/","")," ",""),8),7,2)),"")))</f>
        <v/>
      </c>
      <c r="AT996" s="33">
        <f>IF($AS996="","",IF($F$6="",0,IF(ISNUMBER(INDEX($A:$AP,ROW(),$F$6)),INDEX($A:$AP,ROW(),$F$6),IFERROR(--SUBSTITUTE(SUBSTITUTE(TRIM(INDEX($A:$AP,ROW(),$F$6)),",",""),"원",""),0))))</f>
        <v/>
      </c>
      <c r="AU996" s="31">
        <f>IF($AS996="","",IF($AX996&lt;&gt;"",SUBSTITUTE(SUBSTITUTE($AX996,"-","")," ",""),"N:"&amp;$AV996))</f>
        <v/>
      </c>
      <c r="AV996" s="31">
        <f>IF(OR($AS996="",$E$6=""),"",TRIM(INDEX($A:$AP,ROW(),$E$6)&amp;""))</f>
        <v/>
      </c>
      <c r="AW996" s="31">
        <f>IF($AU996="","",IF(MATCH($AU996,$AU$8:$AU$2007,0)=ROW()-7,MAX($AW$7:$AW995)+1,""))</f>
        <v/>
      </c>
      <c r="AX996" s="31">
        <f>IF(OR($AS996="",$D$6=""),"",TRIM(INDEX($A:$AP,ROW(),$D$6)&amp;""))</f>
        <v/>
      </c>
      <c r="AY996" s="31">
        <f>IF($AU996="","",INDEX($AW$8:$AW$2007,MATCH($AU996,$AU$8:$AU$2007,0)))</f>
        <v/>
      </c>
      <c r="AZ996" s="31">
        <f>IF(OR($AS996="",$C$6=""),"",TRIM(INDEX($A:$AP,ROW(),$C$6)&amp;""))</f>
        <v/>
      </c>
      <c r="BA996" s="31">
        <f>IF($AZ996="","",IF(COUNTIF($AZ$8:$AZ996,$AZ996)&gt;1,1,0))</f>
        <v/>
      </c>
    </row>
    <row r="997">
      <c r="AR997" s="31">
        <f>IF(OR($A$5="",$B$6="",ROW()&lt;$A$5),"",IF(INDEX($A:$AP,ROW(),$B$6)="","",INDEX($A:$AP,ROW(),$B$6)))</f>
        <v/>
      </c>
      <c r="AS997" s="32">
        <f>IF($AR997="","",IF(ISNUMBER($AR997),IF($AR997&gt;=10000000,IFERROR(DATE(INT($AR997/10000),MOD(INT($AR997/100),100),MOD($AR997,100)),""),INT($AR997)),IFERROR(DATE(--LEFT(LEFT(SUBSTITUTE(SUBSTITUTE(SUBSTITUTE(SUBSTITUTE(TRIM($AR997),"-",""),".",""),"/","")," ",""),8),4),--MID(LEFT(SUBSTITUTE(SUBSTITUTE(SUBSTITUTE(SUBSTITUTE(TRIM($AR997),"-",""),".",""),"/","")," ",""),8),5,2),--MID(LEFT(SUBSTITUTE(SUBSTITUTE(SUBSTITUTE(SUBSTITUTE(TRIM($AR997),"-",""),".",""),"/","")," ",""),8),7,2)),"")))</f>
        <v/>
      </c>
      <c r="AT997" s="33">
        <f>IF($AS997="","",IF($F$6="",0,IF(ISNUMBER(INDEX($A:$AP,ROW(),$F$6)),INDEX($A:$AP,ROW(),$F$6),IFERROR(--SUBSTITUTE(SUBSTITUTE(TRIM(INDEX($A:$AP,ROW(),$F$6)),",",""),"원",""),0))))</f>
        <v/>
      </c>
      <c r="AU997" s="31">
        <f>IF($AS997="","",IF($AX997&lt;&gt;"",SUBSTITUTE(SUBSTITUTE($AX997,"-","")," ",""),"N:"&amp;$AV997))</f>
        <v/>
      </c>
      <c r="AV997" s="31">
        <f>IF(OR($AS997="",$E$6=""),"",TRIM(INDEX($A:$AP,ROW(),$E$6)&amp;""))</f>
        <v/>
      </c>
      <c r="AW997" s="31">
        <f>IF($AU997="","",IF(MATCH($AU997,$AU$8:$AU$2007,0)=ROW()-7,MAX($AW$7:$AW996)+1,""))</f>
        <v/>
      </c>
      <c r="AX997" s="31">
        <f>IF(OR($AS997="",$D$6=""),"",TRIM(INDEX($A:$AP,ROW(),$D$6)&amp;""))</f>
        <v/>
      </c>
      <c r="AY997" s="31">
        <f>IF($AU997="","",INDEX($AW$8:$AW$2007,MATCH($AU997,$AU$8:$AU$2007,0)))</f>
        <v/>
      </c>
      <c r="AZ997" s="31">
        <f>IF(OR($AS997="",$C$6=""),"",TRIM(INDEX($A:$AP,ROW(),$C$6)&amp;""))</f>
        <v/>
      </c>
      <c r="BA997" s="31">
        <f>IF($AZ997="","",IF(COUNTIF($AZ$8:$AZ997,$AZ997)&gt;1,1,0))</f>
        <v/>
      </c>
    </row>
    <row r="998">
      <c r="AR998" s="31">
        <f>IF(OR($A$5="",$B$6="",ROW()&lt;$A$5),"",IF(INDEX($A:$AP,ROW(),$B$6)="","",INDEX($A:$AP,ROW(),$B$6)))</f>
        <v/>
      </c>
      <c r="AS998" s="32">
        <f>IF($AR998="","",IF(ISNUMBER($AR998),IF($AR998&gt;=10000000,IFERROR(DATE(INT($AR998/10000),MOD(INT($AR998/100),100),MOD($AR998,100)),""),INT($AR998)),IFERROR(DATE(--LEFT(LEFT(SUBSTITUTE(SUBSTITUTE(SUBSTITUTE(SUBSTITUTE(TRIM($AR998),"-",""),".",""),"/","")," ",""),8),4),--MID(LEFT(SUBSTITUTE(SUBSTITUTE(SUBSTITUTE(SUBSTITUTE(TRIM($AR998),"-",""),".",""),"/","")," ",""),8),5,2),--MID(LEFT(SUBSTITUTE(SUBSTITUTE(SUBSTITUTE(SUBSTITUTE(TRIM($AR998),"-",""),".",""),"/","")," ",""),8),7,2)),"")))</f>
        <v/>
      </c>
      <c r="AT998" s="33">
        <f>IF($AS998="","",IF($F$6="",0,IF(ISNUMBER(INDEX($A:$AP,ROW(),$F$6)),INDEX($A:$AP,ROW(),$F$6),IFERROR(--SUBSTITUTE(SUBSTITUTE(TRIM(INDEX($A:$AP,ROW(),$F$6)),",",""),"원",""),0))))</f>
        <v/>
      </c>
      <c r="AU998" s="31">
        <f>IF($AS998="","",IF($AX998&lt;&gt;"",SUBSTITUTE(SUBSTITUTE($AX998,"-","")," ",""),"N:"&amp;$AV998))</f>
        <v/>
      </c>
      <c r="AV998" s="31">
        <f>IF(OR($AS998="",$E$6=""),"",TRIM(INDEX($A:$AP,ROW(),$E$6)&amp;""))</f>
        <v/>
      </c>
      <c r="AW998" s="31">
        <f>IF($AU998="","",IF(MATCH($AU998,$AU$8:$AU$2007,0)=ROW()-7,MAX($AW$7:$AW997)+1,""))</f>
        <v/>
      </c>
      <c r="AX998" s="31">
        <f>IF(OR($AS998="",$D$6=""),"",TRIM(INDEX($A:$AP,ROW(),$D$6)&amp;""))</f>
        <v/>
      </c>
      <c r="AY998" s="31">
        <f>IF($AU998="","",INDEX($AW$8:$AW$2007,MATCH($AU998,$AU$8:$AU$2007,0)))</f>
        <v/>
      </c>
      <c r="AZ998" s="31">
        <f>IF(OR($AS998="",$C$6=""),"",TRIM(INDEX($A:$AP,ROW(),$C$6)&amp;""))</f>
        <v/>
      </c>
      <c r="BA998" s="31">
        <f>IF($AZ998="","",IF(COUNTIF($AZ$8:$AZ998,$AZ998)&gt;1,1,0))</f>
        <v/>
      </c>
    </row>
    <row r="999">
      <c r="AR999" s="31">
        <f>IF(OR($A$5="",$B$6="",ROW()&lt;$A$5),"",IF(INDEX($A:$AP,ROW(),$B$6)="","",INDEX($A:$AP,ROW(),$B$6)))</f>
        <v/>
      </c>
      <c r="AS999" s="32">
        <f>IF($AR999="","",IF(ISNUMBER($AR999),IF($AR999&gt;=10000000,IFERROR(DATE(INT($AR999/10000),MOD(INT($AR999/100),100),MOD($AR999,100)),""),INT($AR999)),IFERROR(DATE(--LEFT(LEFT(SUBSTITUTE(SUBSTITUTE(SUBSTITUTE(SUBSTITUTE(TRIM($AR999),"-",""),".",""),"/","")," ",""),8),4),--MID(LEFT(SUBSTITUTE(SUBSTITUTE(SUBSTITUTE(SUBSTITUTE(TRIM($AR999),"-",""),".",""),"/","")," ",""),8),5,2),--MID(LEFT(SUBSTITUTE(SUBSTITUTE(SUBSTITUTE(SUBSTITUTE(TRIM($AR999),"-",""),".",""),"/","")," ",""),8),7,2)),"")))</f>
        <v/>
      </c>
      <c r="AT999" s="33">
        <f>IF($AS999="","",IF($F$6="",0,IF(ISNUMBER(INDEX($A:$AP,ROW(),$F$6)),INDEX($A:$AP,ROW(),$F$6),IFERROR(--SUBSTITUTE(SUBSTITUTE(TRIM(INDEX($A:$AP,ROW(),$F$6)),",",""),"원",""),0))))</f>
        <v/>
      </c>
      <c r="AU999" s="31">
        <f>IF($AS999="","",IF($AX999&lt;&gt;"",SUBSTITUTE(SUBSTITUTE($AX999,"-","")," ",""),"N:"&amp;$AV999))</f>
        <v/>
      </c>
      <c r="AV999" s="31">
        <f>IF(OR($AS999="",$E$6=""),"",TRIM(INDEX($A:$AP,ROW(),$E$6)&amp;""))</f>
        <v/>
      </c>
      <c r="AW999" s="31">
        <f>IF($AU999="","",IF(MATCH($AU999,$AU$8:$AU$2007,0)=ROW()-7,MAX($AW$7:$AW998)+1,""))</f>
        <v/>
      </c>
      <c r="AX999" s="31">
        <f>IF(OR($AS999="",$D$6=""),"",TRIM(INDEX($A:$AP,ROW(),$D$6)&amp;""))</f>
        <v/>
      </c>
      <c r="AY999" s="31">
        <f>IF($AU999="","",INDEX($AW$8:$AW$2007,MATCH($AU999,$AU$8:$AU$2007,0)))</f>
        <v/>
      </c>
      <c r="AZ999" s="31">
        <f>IF(OR($AS999="",$C$6=""),"",TRIM(INDEX($A:$AP,ROW(),$C$6)&amp;""))</f>
        <v/>
      </c>
      <c r="BA999" s="31">
        <f>IF($AZ999="","",IF(COUNTIF($AZ$8:$AZ999,$AZ999)&gt;1,1,0))</f>
        <v/>
      </c>
    </row>
    <row r="1000">
      <c r="AR1000" s="31">
        <f>IF(OR($A$5="",$B$6="",ROW()&lt;$A$5),"",IF(INDEX($A:$AP,ROW(),$B$6)="","",INDEX($A:$AP,ROW(),$B$6)))</f>
        <v/>
      </c>
      <c r="AS1000" s="32">
        <f>IF($AR1000="","",IF(ISNUMBER($AR1000),IF($AR1000&gt;=10000000,IFERROR(DATE(INT($AR1000/10000),MOD(INT($AR1000/100),100),MOD($AR1000,100)),""),INT($AR1000)),IFERROR(DATE(--LEFT(LEFT(SUBSTITUTE(SUBSTITUTE(SUBSTITUTE(SUBSTITUTE(TRIM($AR1000),"-",""),".",""),"/","")," ",""),8),4),--MID(LEFT(SUBSTITUTE(SUBSTITUTE(SUBSTITUTE(SUBSTITUTE(TRIM($AR1000),"-",""),".",""),"/","")," ",""),8),5,2),--MID(LEFT(SUBSTITUTE(SUBSTITUTE(SUBSTITUTE(SUBSTITUTE(TRIM($AR1000),"-",""),".",""),"/","")," ",""),8),7,2)),"")))</f>
        <v/>
      </c>
      <c r="AT1000" s="33">
        <f>IF($AS1000="","",IF($F$6="",0,IF(ISNUMBER(INDEX($A:$AP,ROW(),$F$6)),INDEX($A:$AP,ROW(),$F$6),IFERROR(--SUBSTITUTE(SUBSTITUTE(TRIM(INDEX($A:$AP,ROW(),$F$6)),",",""),"원",""),0))))</f>
        <v/>
      </c>
      <c r="AU1000" s="31">
        <f>IF($AS1000="","",IF($AX1000&lt;&gt;"",SUBSTITUTE(SUBSTITUTE($AX1000,"-","")," ",""),"N:"&amp;$AV1000))</f>
        <v/>
      </c>
      <c r="AV1000" s="31">
        <f>IF(OR($AS1000="",$E$6=""),"",TRIM(INDEX($A:$AP,ROW(),$E$6)&amp;""))</f>
        <v/>
      </c>
      <c r="AW1000" s="31">
        <f>IF($AU1000="","",IF(MATCH($AU1000,$AU$8:$AU$2007,0)=ROW()-7,MAX($AW$7:$AW999)+1,""))</f>
        <v/>
      </c>
      <c r="AX1000" s="31">
        <f>IF(OR($AS1000="",$D$6=""),"",TRIM(INDEX($A:$AP,ROW(),$D$6)&amp;""))</f>
        <v/>
      </c>
      <c r="AY1000" s="31">
        <f>IF($AU1000="","",INDEX($AW$8:$AW$2007,MATCH($AU1000,$AU$8:$AU$2007,0)))</f>
        <v/>
      </c>
      <c r="AZ1000" s="31">
        <f>IF(OR($AS1000="",$C$6=""),"",TRIM(INDEX($A:$AP,ROW(),$C$6)&amp;""))</f>
        <v/>
      </c>
      <c r="BA1000" s="31">
        <f>IF($AZ1000="","",IF(COUNTIF($AZ$8:$AZ1000,$AZ1000)&gt;1,1,0))</f>
        <v/>
      </c>
    </row>
    <row r="1001">
      <c r="AR1001" s="31">
        <f>IF(OR($A$5="",$B$6="",ROW()&lt;$A$5),"",IF(INDEX($A:$AP,ROW(),$B$6)="","",INDEX($A:$AP,ROW(),$B$6)))</f>
        <v/>
      </c>
      <c r="AS1001" s="32">
        <f>IF($AR1001="","",IF(ISNUMBER($AR1001),IF($AR1001&gt;=10000000,IFERROR(DATE(INT($AR1001/10000),MOD(INT($AR1001/100),100),MOD($AR1001,100)),""),INT($AR1001)),IFERROR(DATE(--LEFT(LEFT(SUBSTITUTE(SUBSTITUTE(SUBSTITUTE(SUBSTITUTE(TRIM($AR1001),"-",""),".",""),"/","")," ",""),8),4),--MID(LEFT(SUBSTITUTE(SUBSTITUTE(SUBSTITUTE(SUBSTITUTE(TRIM($AR1001),"-",""),".",""),"/","")," ",""),8),5,2),--MID(LEFT(SUBSTITUTE(SUBSTITUTE(SUBSTITUTE(SUBSTITUTE(TRIM($AR1001),"-",""),".",""),"/","")," ",""),8),7,2)),"")))</f>
        <v/>
      </c>
      <c r="AT1001" s="33">
        <f>IF($AS1001="","",IF($F$6="",0,IF(ISNUMBER(INDEX($A:$AP,ROW(),$F$6)),INDEX($A:$AP,ROW(),$F$6),IFERROR(--SUBSTITUTE(SUBSTITUTE(TRIM(INDEX($A:$AP,ROW(),$F$6)),",",""),"원",""),0))))</f>
        <v/>
      </c>
      <c r="AU1001" s="31">
        <f>IF($AS1001="","",IF($AX1001&lt;&gt;"",SUBSTITUTE(SUBSTITUTE($AX1001,"-","")," ",""),"N:"&amp;$AV1001))</f>
        <v/>
      </c>
      <c r="AV1001" s="31">
        <f>IF(OR($AS1001="",$E$6=""),"",TRIM(INDEX($A:$AP,ROW(),$E$6)&amp;""))</f>
        <v/>
      </c>
      <c r="AW1001" s="31">
        <f>IF($AU1001="","",IF(MATCH($AU1001,$AU$8:$AU$2007,0)=ROW()-7,MAX($AW$7:$AW1000)+1,""))</f>
        <v/>
      </c>
      <c r="AX1001" s="31">
        <f>IF(OR($AS1001="",$D$6=""),"",TRIM(INDEX($A:$AP,ROW(),$D$6)&amp;""))</f>
        <v/>
      </c>
      <c r="AY1001" s="31">
        <f>IF($AU1001="","",INDEX($AW$8:$AW$2007,MATCH($AU1001,$AU$8:$AU$2007,0)))</f>
        <v/>
      </c>
      <c r="AZ1001" s="31">
        <f>IF(OR($AS1001="",$C$6=""),"",TRIM(INDEX($A:$AP,ROW(),$C$6)&amp;""))</f>
        <v/>
      </c>
      <c r="BA1001" s="31">
        <f>IF($AZ1001="","",IF(COUNTIF($AZ$8:$AZ1001,$AZ1001)&gt;1,1,0))</f>
        <v/>
      </c>
    </row>
    <row r="1002">
      <c r="AR1002" s="31">
        <f>IF(OR($A$5="",$B$6="",ROW()&lt;$A$5),"",IF(INDEX($A:$AP,ROW(),$B$6)="","",INDEX($A:$AP,ROW(),$B$6)))</f>
        <v/>
      </c>
      <c r="AS1002" s="32">
        <f>IF($AR1002="","",IF(ISNUMBER($AR1002),IF($AR1002&gt;=10000000,IFERROR(DATE(INT($AR1002/10000),MOD(INT($AR1002/100),100),MOD($AR1002,100)),""),INT($AR1002)),IFERROR(DATE(--LEFT(LEFT(SUBSTITUTE(SUBSTITUTE(SUBSTITUTE(SUBSTITUTE(TRIM($AR1002),"-",""),".",""),"/","")," ",""),8),4),--MID(LEFT(SUBSTITUTE(SUBSTITUTE(SUBSTITUTE(SUBSTITUTE(TRIM($AR1002),"-",""),".",""),"/","")," ",""),8),5,2),--MID(LEFT(SUBSTITUTE(SUBSTITUTE(SUBSTITUTE(SUBSTITUTE(TRIM($AR1002),"-",""),".",""),"/","")," ",""),8),7,2)),"")))</f>
        <v/>
      </c>
      <c r="AT1002" s="33">
        <f>IF($AS1002="","",IF($F$6="",0,IF(ISNUMBER(INDEX($A:$AP,ROW(),$F$6)),INDEX($A:$AP,ROW(),$F$6),IFERROR(--SUBSTITUTE(SUBSTITUTE(TRIM(INDEX($A:$AP,ROW(),$F$6)),",",""),"원",""),0))))</f>
        <v/>
      </c>
      <c r="AU1002" s="31">
        <f>IF($AS1002="","",IF($AX1002&lt;&gt;"",SUBSTITUTE(SUBSTITUTE($AX1002,"-","")," ",""),"N:"&amp;$AV1002))</f>
        <v/>
      </c>
      <c r="AV1002" s="31">
        <f>IF(OR($AS1002="",$E$6=""),"",TRIM(INDEX($A:$AP,ROW(),$E$6)&amp;""))</f>
        <v/>
      </c>
      <c r="AW1002" s="31">
        <f>IF($AU1002="","",IF(MATCH($AU1002,$AU$8:$AU$2007,0)=ROW()-7,MAX($AW$7:$AW1001)+1,""))</f>
        <v/>
      </c>
      <c r="AX1002" s="31">
        <f>IF(OR($AS1002="",$D$6=""),"",TRIM(INDEX($A:$AP,ROW(),$D$6)&amp;""))</f>
        <v/>
      </c>
      <c r="AY1002" s="31">
        <f>IF($AU1002="","",INDEX($AW$8:$AW$2007,MATCH($AU1002,$AU$8:$AU$2007,0)))</f>
        <v/>
      </c>
      <c r="AZ1002" s="31">
        <f>IF(OR($AS1002="",$C$6=""),"",TRIM(INDEX($A:$AP,ROW(),$C$6)&amp;""))</f>
        <v/>
      </c>
      <c r="BA1002" s="31">
        <f>IF($AZ1002="","",IF(COUNTIF($AZ$8:$AZ1002,$AZ1002)&gt;1,1,0))</f>
        <v/>
      </c>
    </row>
    <row r="1003">
      <c r="AR1003" s="31">
        <f>IF(OR($A$5="",$B$6="",ROW()&lt;$A$5),"",IF(INDEX($A:$AP,ROW(),$B$6)="","",INDEX($A:$AP,ROW(),$B$6)))</f>
        <v/>
      </c>
      <c r="AS1003" s="32">
        <f>IF($AR1003="","",IF(ISNUMBER($AR1003),IF($AR1003&gt;=10000000,IFERROR(DATE(INT($AR1003/10000),MOD(INT($AR1003/100),100),MOD($AR1003,100)),""),INT($AR1003)),IFERROR(DATE(--LEFT(LEFT(SUBSTITUTE(SUBSTITUTE(SUBSTITUTE(SUBSTITUTE(TRIM($AR1003),"-",""),".",""),"/","")," ",""),8),4),--MID(LEFT(SUBSTITUTE(SUBSTITUTE(SUBSTITUTE(SUBSTITUTE(TRIM($AR1003),"-",""),".",""),"/","")," ",""),8),5,2),--MID(LEFT(SUBSTITUTE(SUBSTITUTE(SUBSTITUTE(SUBSTITUTE(TRIM($AR1003),"-",""),".",""),"/","")," ",""),8),7,2)),"")))</f>
        <v/>
      </c>
      <c r="AT1003" s="33">
        <f>IF($AS1003="","",IF($F$6="",0,IF(ISNUMBER(INDEX($A:$AP,ROW(),$F$6)),INDEX($A:$AP,ROW(),$F$6),IFERROR(--SUBSTITUTE(SUBSTITUTE(TRIM(INDEX($A:$AP,ROW(),$F$6)),",",""),"원",""),0))))</f>
        <v/>
      </c>
      <c r="AU1003" s="31">
        <f>IF($AS1003="","",IF($AX1003&lt;&gt;"",SUBSTITUTE(SUBSTITUTE($AX1003,"-","")," ",""),"N:"&amp;$AV1003))</f>
        <v/>
      </c>
      <c r="AV1003" s="31">
        <f>IF(OR($AS1003="",$E$6=""),"",TRIM(INDEX($A:$AP,ROW(),$E$6)&amp;""))</f>
        <v/>
      </c>
      <c r="AW1003" s="31">
        <f>IF($AU1003="","",IF(MATCH($AU1003,$AU$8:$AU$2007,0)=ROW()-7,MAX($AW$7:$AW1002)+1,""))</f>
        <v/>
      </c>
      <c r="AX1003" s="31">
        <f>IF(OR($AS1003="",$D$6=""),"",TRIM(INDEX($A:$AP,ROW(),$D$6)&amp;""))</f>
        <v/>
      </c>
      <c r="AY1003" s="31">
        <f>IF($AU1003="","",INDEX($AW$8:$AW$2007,MATCH($AU1003,$AU$8:$AU$2007,0)))</f>
        <v/>
      </c>
      <c r="AZ1003" s="31">
        <f>IF(OR($AS1003="",$C$6=""),"",TRIM(INDEX($A:$AP,ROW(),$C$6)&amp;""))</f>
        <v/>
      </c>
      <c r="BA1003" s="31">
        <f>IF($AZ1003="","",IF(COUNTIF($AZ$8:$AZ1003,$AZ1003)&gt;1,1,0))</f>
        <v/>
      </c>
    </row>
    <row r="1004">
      <c r="AR1004" s="31">
        <f>IF(OR($A$5="",$B$6="",ROW()&lt;$A$5),"",IF(INDEX($A:$AP,ROW(),$B$6)="","",INDEX($A:$AP,ROW(),$B$6)))</f>
        <v/>
      </c>
      <c r="AS1004" s="32">
        <f>IF($AR1004="","",IF(ISNUMBER($AR1004),IF($AR1004&gt;=10000000,IFERROR(DATE(INT($AR1004/10000),MOD(INT($AR1004/100),100),MOD($AR1004,100)),""),INT($AR1004)),IFERROR(DATE(--LEFT(LEFT(SUBSTITUTE(SUBSTITUTE(SUBSTITUTE(SUBSTITUTE(TRIM($AR1004),"-",""),".",""),"/","")," ",""),8),4),--MID(LEFT(SUBSTITUTE(SUBSTITUTE(SUBSTITUTE(SUBSTITUTE(TRIM($AR1004),"-",""),".",""),"/","")," ",""),8),5,2),--MID(LEFT(SUBSTITUTE(SUBSTITUTE(SUBSTITUTE(SUBSTITUTE(TRIM($AR1004),"-",""),".",""),"/","")," ",""),8),7,2)),"")))</f>
        <v/>
      </c>
      <c r="AT1004" s="33">
        <f>IF($AS1004="","",IF($F$6="",0,IF(ISNUMBER(INDEX($A:$AP,ROW(),$F$6)),INDEX($A:$AP,ROW(),$F$6),IFERROR(--SUBSTITUTE(SUBSTITUTE(TRIM(INDEX($A:$AP,ROW(),$F$6)),",",""),"원",""),0))))</f>
        <v/>
      </c>
      <c r="AU1004" s="31">
        <f>IF($AS1004="","",IF($AX1004&lt;&gt;"",SUBSTITUTE(SUBSTITUTE($AX1004,"-","")," ",""),"N:"&amp;$AV1004))</f>
        <v/>
      </c>
      <c r="AV1004" s="31">
        <f>IF(OR($AS1004="",$E$6=""),"",TRIM(INDEX($A:$AP,ROW(),$E$6)&amp;""))</f>
        <v/>
      </c>
      <c r="AW1004" s="31">
        <f>IF($AU1004="","",IF(MATCH($AU1004,$AU$8:$AU$2007,0)=ROW()-7,MAX($AW$7:$AW1003)+1,""))</f>
        <v/>
      </c>
      <c r="AX1004" s="31">
        <f>IF(OR($AS1004="",$D$6=""),"",TRIM(INDEX($A:$AP,ROW(),$D$6)&amp;""))</f>
        <v/>
      </c>
      <c r="AY1004" s="31">
        <f>IF($AU1004="","",INDEX($AW$8:$AW$2007,MATCH($AU1004,$AU$8:$AU$2007,0)))</f>
        <v/>
      </c>
      <c r="AZ1004" s="31">
        <f>IF(OR($AS1004="",$C$6=""),"",TRIM(INDEX($A:$AP,ROW(),$C$6)&amp;""))</f>
        <v/>
      </c>
      <c r="BA1004" s="31">
        <f>IF($AZ1004="","",IF(COUNTIF($AZ$8:$AZ1004,$AZ1004)&gt;1,1,0))</f>
        <v/>
      </c>
    </row>
    <row r="1005">
      <c r="AR1005" s="31">
        <f>IF(OR($A$5="",$B$6="",ROW()&lt;$A$5),"",IF(INDEX($A:$AP,ROW(),$B$6)="","",INDEX($A:$AP,ROW(),$B$6)))</f>
        <v/>
      </c>
      <c r="AS1005" s="32">
        <f>IF($AR1005="","",IF(ISNUMBER($AR1005),IF($AR1005&gt;=10000000,IFERROR(DATE(INT($AR1005/10000),MOD(INT($AR1005/100),100),MOD($AR1005,100)),""),INT($AR1005)),IFERROR(DATE(--LEFT(LEFT(SUBSTITUTE(SUBSTITUTE(SUBSTITUTE(SUBSTITUTE(TRIM($AR1005),"-",""),".",""),"/","")," ",""),8),4),--MID(LEFT(SUBSTITUTE(SUBSTITUTE(SUBSTITUTE(SUBSTITUTE(TRIM($AR1005),"-",""),".",""),"/","")," ",""),8),5,2),--MID(LEFT(SUBSTITUTE(SUBSTITUTE(SUBSTITUTE(SUBSTITUTE(TRIM($AR1005),"-",""),".",""),"/","")," ",""),8),7,2)),"")))</f>
        <v/>
      </c>
      <c r="AT1005" s="33">
        <f>IF($AS1005="","",IF($F$6="",0,IF(ISNUMBER(INDEX($A:$AP,ROW(),$F$6)),INDEX($A:$AP,ROW(),$F$6),IFERROR(--SUBSTITUTE(SUBSTITUTE(TRIM(INDEX($A:$AP,ROW(),$F$6)),",",""),"원",""),0))))</f>
        <v/>
      </c>
      <c r="AU1005" s="31">
        <f>IF($AS1005="","",IF($AX1005&lt;&gt;"",SUBSTITUTE(SUBSTITUTE($AX1005,"-","")," ",""),"N:"&amp;$AV1005))</f>
        <v/>
      </c>
      <c r="AV1005" s="31">
        <f>IF(OR($AS1005="",$E$6=""),"",TRIM(INDEX($A:$AP,ROW(),$E$6)&amp;""))</f>
        <v/>
      </c>
      <c r="AW1005" s="31">
        <f>IF($AU1005="","",IF(MATCH($AU1005,$AU$8:$AU$2007,0)=ROW()-7,MAX($AW$7:$AW1004)+1,""))</f>
        <v/>
      </c>
      <c r="AX1005" s="31">
        <f>IF(OR($AS1005="",$D$6=""),"",TRIM(INDEX($A:$AP,ROW(),$D$6)&amp;""))</f>
        <v/>
      </c>
      <c r="AY1005" s="31">
        <f>IF($AU1005="","",INDEX($AW$8:$AW$2007,MATCH($AU1005,$AU$8:$AU$2007,0)))</f>
        <v/>
      </c>
      <c r="AZ1005" s="31">
        <f>IF(OR($AS1005="",$C$6=""),"",TRIM(INDEX($A:$AP,ROW(),$C$6)&amp;""))</f>
        <v/>
      </c>
      <c r="BA1005" s="31">
        <f>IF($AZ1005="","",IF(COUNTIF($AZ$8:$AZ1005,$AZ1005)&gt;1,1,0))</f>
        <v/>
      </c>
    </row>
    <row r="1006">
      <c r="AR1006" s="31">
        <f>IF(OR($A$5="",$B$6="",ROW()&lt;$A$5),"",IF(INDEX($A:$AP,ROW(),$B$6)="","",INDEX($A:$AP,ROW(),$B$6)))</f>
        <v/>
      </c>
      <c r="AS1006" s="32">
        <f>IF($AR1006="","",IF(ISNUMBER($AR1006),IF($AR1006&gt;=10000000,IFERROR(DATE(INT($AR1006/10000),MOD(INT($AR1006/100),100),MOD($AR1006,100)),""),INT($AR1006)),IFERROR(DATE(--LEFT(LEFT(SUBSTITUTE(SUBSTITUTE(SUBSTITUTE(SUBSTITUTE(TRIM($AR1006),"-",""),".",""),"/","")," ",""),8),4),--MID(LEFT(SUBSTITUTE(SUBSTITUTE(SUBSTITUTE(SUBSTITUTE(TRIM($AR1006),"-",""),".",""),"/","")," ",""),8),5,2),--MID(LEFT(SUBSTITUTE(SUBSTITUTE(SUBSTITUTE(SUBSTITUTE(TRIM($AR1006),"-",""),".",""),"/","")," ",""),8),7,2)),"")))</f>
        <v/>
      </c>
      <c r="AT1006" s="33">
        <f>IF($AS1006="","",IF($F$6="",0,IF(ISNUMBER(INDEX($A:$AP,ROW(),$F$6)),INDEX($A:$AP,ROW(),$F$6),IFERROR(--SUBSTITUTE(SUBSTITUTE(TRIM(INDEX($A:$AP,ROW(),$F$6)),",",""),"원",""),0))))</f>
        <v/>
      </c>
      <c r="AU1006" s="31">
        <f>IF($AS1006="","",IF($AX1006&lt;&gt;"",SUBSTITUTE(SUBSTITUTE($AX1006,"-","")," ",""),"N:"&amp;$AV1006))</f>
        <v/>
      </c>
      <c r="AV1006" s="31">
        <f>IF(OR($AS1006="",$E$6=""),"",TRIM(INDEX($A:$AP,ROW(),$E$6)&amp;""))</f>
        <v/>
      </c>
      <c r="AW1006" s="31">
        <f>IF($AU1006="","",IF(MATCH($AU1006,$AU$8:$AU$2007,0)=ROW()-7,MAX($AW$7:$AW1005)+1,""))</f>
        <v/>
      </c>
      <c r="AX1006" s="31">
        <f>IF(OR($AS1006="",$D$6=""),"",TRIM(INDEX($A:$AP,ROW(),$D$6)&amp;""))</f>
        <v/>
      </c>
      <c r="AY1006" s="31">
        <f>IF($AU1006="","",INDEX($AW$8:$AW$2007,MATCH($AU1006,$AU$8:$AU$2007,0)))</f>
        <v/>
      </c>
      <c r="AZ1006" s="31">
        <f>IF(OR($AS1006="",$C$6=""),"",TRIM(INDEX($A:$AP,ROW(),$C$6)&amp;""))</f>
        <v/>
      </c>
      <c r="BA1006" s="31">
        <f>IF($AZ1006="","",IF(COUNTIF($AZ$8:$AZ1006,$AZ1006)&gt;1,1,0))</f>
        <v/>
      </c>
    </row>
    <row r="1007">
      <c r="AR1007" s="31">
        <f>IF(OR($A$5="",$B$6="",ROW()&lt;$A$5),"",IF(INDEX($A:$AP,ROW(),$B$6)="","",INDEX($A:$AP,ROW(),$B$6)))</f>
        <v/>
      </c>
      <c r="AS1007" s="32">
        <f>IF($AR1007="","",IF(ISNUMBER($AR1007),IF($AR1007&gt;=10000000,IFERROR(DATE(INT($AR1007/10000),MOD(INT($AR1007/100),100),MOD($AR1007,100)),""),INT($AR1007)),IFERROR(DATE(--LEFT(LEFT(SUBSTITUTE(SUBSTITUTE(SUBSTITUTE(SUBSTITUTE(TRIM($AR1007),"-",""),".",""),"/","")," ",""),8),4),--MID(LEFT(SUBSTITUTE(SUBSTITUTE(SUBSTITUTE(SUBSTITUTE(TRIM($AR1007),"-",""),".",""),"/","")," ",""),8),5,2),--MID(LEFT(SUBSTITUTE(SUBSTITUTE(SUBSTITUTE(SUBSTITUTE(TRIM($AR1007),"-",""),".",""),"/","")," ",""),8),7,2)),"")))</f>
        <v/>
      </c>
      <c r="AT1007" s="33">
        <f>IF($AS1007="","",IF($F$6="",0,IF(ISNUMBER(INDEX($A:$AP,ROW(),$F$6)),INDEX($A:$AP,ROW(),$F$6),IFERROR(--SUBSTITUTE(SUBSTITUTE(TRIM(INDEX($A:$AP,ROW(),$F$6)),",",""),"원",""),0))))</f>
        <v/>
      </c>
      <c r="AU1007" s="31">
        <f>IF($AS1007="","",IF($AX1007&lt;&gt;"",SUBSTITUTE(SUBSTITUTE($AX1007,"-","")," ",""),"N:"&amp;$AV1007))</f>
        <v/>
      </c>
      <c r="AV1007" s="31">
        <f>IF(OR($AS1007="",$E$6=""),"",TRIM(INDEX($A:$AP,ROW(),$E$6)&amp;""))</f>
        <v/>
      </c>
      <c r="AW1007" s="31">
        <f>IF($AU1007="","",IF(MATCH($AU1007,$AU$8:$AU$2007,0)=ROW()-7,MAX($AW$7:$AW1006)+1,""))</f>
        <v/>
      </c>
      <c r="AX1007" s="31">
        <f>IF(OR($AS1007="",$D$6=""),"",TRIM(INDEX($A:$AP,ROW(),$D$6)&amp;""))</f>
        <v/>
      </c>
      <c r="AY1007" s="31">
        <f>IF($AU1007="","",INDEX($AW$8:$AW$2007,MATCH($AU1007,$AU$8:$AU$2007,0)))</f>
        <v/>
      </c>
      <c r="AZ1007" s="31">
        <f>IF(OR($AS1007="",$C$6=""),"",TRIM(INDEX($A:$AP,ROW(),$C$6)&amp;""))</f>
        <v/>
      </c>
      <c r="BA1007" s="31">
        <f>IF($AZ1007="","",IF(COUNTIF($AZ$8:$AZ1007,$AZ1007)&gt;1,1,0))</f>
        <v/>
      </c>
    </row>
    <row r="1008">
      <c r="AR1008" s="31">
        <f>IF(OR($A$5="",$B$6="",ROW()&lt;$A$5),"",IF(INDEX($A:$AP,ROW(),$B$6)="","",INDEX($A:$AP,ROW(),$B$6)))</f>
        <v/>
      </c>
      <c r="AS1008" s="32">
        <f>IF($AR1008="","",IF(ISNUMBER($AR1008),IF($AR1008&gt;=10000000,IFERROR(DATE(INT($AR1008/10000),MOD(INT($AR1008/100),100),MOD($AR1008,100)),""),INT($AR1008)),IFERROR(DATE(--LEFT(LEFT(SUBSTITUTE(SUBSTITUTE(SUBSTITUTE(SUBSTITUTE(TRIM($AR1008),"-",""),".",""),"/","")," ",""),8),4),--MID(LEFT(SUBSTITUTE(SUBSTITUTE(SUBSTITUTE(SUBSTITUTE(TRIM($AR1008),"-",""),".",""),"/","")," ",""),8),5,2),--MID(LEFT(SUBSTITUTE(SUBSTITUTE(SUBSTITUTE(SUBSTITUTE(TRIM($AR1008),"-",""),".",""),"/","")," ",""),8),7,2)),"")))</f>
        <v/>
      </c>
      <c r="AT1008" s="33">
        <f>IF($AS1008="","",IF($F$6="",0,IF(ISNUMBER(INDEX($A:$AP,ROW(),$F$6)),INDEX($A:$AP,ROW(),$F$6),IFERROR(--SUBSTITUTE(SUBSTITUTE(TRIM(INDEX($A:$AP,ROW(),$F$6)),",",""),"원",""),0))))</f>
        <v/>
      </c>
      <c r="AU1008" s="31">
        <f>IF($AS1008="","",IF($AX1008&lt;&gt;"",SUBSTITUTE(SUBSTITUTE($AX1008,"-","")," ",""),"N:"&amp;$AV1008))</f>
        <v/>
      </c>
      <c r="AV1008" s="31">
        <f>IF(OR($AS1008="",$E$6=""),"",TRIM(INDEX($A:$AP,ROW(),$E$6)&amp;""))</f>
        <v/>
      </c>
      <c r="AW1008" s="31">
        <f>IF($AU1008="","",IF(MATCH($AU1008,$AU$8:$AU$2007,0)=ROW()-7,MAX($AW$7:$AW1007)+1,""))</f>
        <v/>
      </c>
      <c r="AX1008" s="31">
        <f>IF(OR($AS1008="",$D$6=""),"",TRIM(INDEX($A:$AP,ROW(),$D$6)&amp;""))</f>
        <v/>
      </c>
      <c r="AY1008" s="31">
        <f>IF($AU1008="","",INDEX($AW$8:$AW$2007,MATCH($AU1008,$AU$8:$AU$2007,0)))</f>
        <v/>
      </c>
      <c r="AZ1008" s="31">
        <f>IF(OR($AS1008="",$C$6=""),"",TRIM(INDEX($A:$AP,ROW(),$C$6)&amp;""))</f>
        <v/>
      </c>
      <c r="BA1008" s="31">
        <f>IF($AZ1008="","",IF(COUNTIF($AZ$8:$AZ1008,$AZ1008)&gt;1,1,0))</f>
        <v/>
      </c>
    </row>
    <row r="1009">
      <c r="AR1009" s="31">
        <f>IF(OR($A$5="",$B$6="",ROW()&lt;$A$5),"",IF(INDEX($A:$AP,ROW(),$B$6)="","",INDEX($A:$AP,ROW(),$B$6)))</f>
        <v/>
      </c>
      <c r="AS1009" s="32">
        <f>IF($AR1009="","",IF(ISNUMBER($AR1009),IF($AR1009&gt;=10000000,IFERROR(DATE(INT($AR1009/10000),MOD(INT($AR1009/100),100),MOD($AR1009,100)),""),INT($AR1009)),IFERROR(DATE(--LEFT(LEFT(SUBSTITUTE(SUBSTITUTE(SUBSTITUTE(SUBSTITUTE(TRIM($AR1009),"-",""),".",""),"/","")," ",""),8),4),--MID(LEFT(SUBSTITUTE(SUBSTITUTE(SUBSTITUTE(SUBSTITUTE(TRIM($AR1009),"-",""),".",""),"/","")," ",""),8),5,2),--MID(LEFT(SUBSTITUTE(SUBSTITUTE(SUBSTITUTE(SUBSTITUTE(TRIM($AR1009),"-",""),".",""),"/","")," ",""),8),7,2)),"")))</f>
        <v/>
      </c>
      <c r="AT1009" s="33">
        <f>IF($AS1009="","",IF($F$6="",0,IF(ISNUMBER(INDEX($A:$AP,ROW(),$F$6)),INDEX($A:$AP,ROW(),$F$6),IFERROR(--SUBSTITUTE(SUBSTITUTE(TRIM(INDEX($A:$AP,ROW(),$F$6)),",",""),"원",""),0))))</f>
        <v/>
      </c>
      <c r="AU1009" s="31">
        <f>IF($AS1009="","",IF($AX1009&lt;&gt;"",SUBSTITUTE(SUBSTITUTE($AX1009,"-","")," ",""),"N:"&amp;$AV1009))</f>
        <v/>
      </c>
      <c r="AV1009" s="31">
        <f>IF(OR($AS1009="",$E$6=""),"",TRIM(INDEX($A:$AP,ROW(),$E$6)&amp;""))</f>
        <v/>
      </c>
      <c r="AW1009" s="31">
        <f>IF($AU1009="","",IF(MATCH($AU1009,$AU$8:$AU$2007,0)=ROW()-7,MAX($AW$7:$AW1008)+1,""))</f>
        <v/>
      </c>
      <c r="AX1009" s="31">
        <f>IF(OR($AS1009="",$D$6=""),"",TRIM(INDEX($A:$AP,ROW(),$D$6)&amp;""))</f>
        <v/>
      </c>
      <c r="AY1009" s="31">
        <f>IF($AU1009="","",INDEX($AW$8:$AW$2007,MATCH($AU1009,$AU$8:$AU$2007,0)))</f>
        <v/>
      </c>
      <c r="AZ1009" s="31">
        <f>IF(OR($AS1009="",$C$6=""),"",TRIM(INDEX($A:$AP,ROW(),$C$6)&amp;""))</f>
        <v/>
      </c>
      <c r="BA1009" s="31">
        <f>IF($AZ1009="","",IF(COUNTIF($AZ$8:$AZ1009,$AZ1009)&gt;1,1,0))</f>
        <v/>
      </c>
    </row>
    <row r="1010">
      <c r="AR1010" s="31">
        <f>IF(OR($A$5="",$B$6="",ROW()&lt;$A$5),"",IF(INDEX($A:$AP,ROW(),$B$6)="","",INDEX($A:$AP,ROW(),$B$6)))</f>
        <v/>
      </c>
      <c r="AS1010" s="32">
        <f>IF($AR1010="","",IF(ISNUMBER($AR1010),IF($AR1010&gt;=10000000,IFERROR(DATE(INT($AR1010/10000),MOD(INT($AR1010/100),100),MOD($AR1010,100)),""),INT($AR1010)),IFERROR(DATE(--LEFT(LEFT(SUBSTITUTE(SUBSTITUTE(SUBSTITUTE(SUBSTITUTE(TRIM($AR1010),"-",""),".",""),"/","")," ",""),8),4),--MID(LEFT(SUBSTITUTE(SUBSTITUTE(SUBSTITUTE(SUBSTITUTE(TRIM($AR1010),"-",""),".",""),"/","")," ",""),8),5,2),--MID(LEFT(SUBSTITUTE(SUBSTITUTE(SUBSTITUTE(SUBSTITUTE(TRIM($AR1010),"-",""),".",""),"/","")," ",""),8),7,2)),"")))</f>
        <v/>
      </c>
      <c r="AT1010" s="33">
        <f>IF($AS1010="","",IF($F$6="",0,IF(ISNUMBER(INDEX($A:$AP,ROW(),$F$6)),INDEX($A:$AP,ROW(),$F$6),IFERROR(--SUBSTITUTE(SUBSTITUTE(TRIM(INDEX($A:$AP,ROW(),$F$6)),",",""),"원",""),0))))</f>
        <v/>
      </c>
      <c r="AU1010" s="31">
        <f>IF($AS1010="","",IF($AX1010&lt;&gt;"",SUBSTITUTE(SUBSTITUTE($AX1010,"-","")," ",""),"N:"&amp;$AV1010))</f>
        <v/>
      </c>
      <c r="AV1010" s="31">
        <f>IF(OR($AS1010="",$E$6=""),"",TRIM(INDEX($A:$AP,ROW(),$E$6)&amp;""))</f>
        <v/>
      </c>
      <c r="AW1010" s="31">
        <f>IF($AU1010="","",IF(MATCH($AU1010,$AU$8:$AU$2007,0)=ROW()-7,MAX($AW$7:$AW1009)+1,""))</f>
        <v/>
      </c>
      <c r="AX1010" s="31">
        <f>IF(OR($AS1010="",$D$6=""),"",TRIM(INDEX($A:$AP,ROW(),$D$6)&amp;""))</f>
        <v/>
      </c>
      <c r="AY1010" s="31">
        <f>IF($AU1010="","",INDEX($AW$8:$AW$2007,MATCH($AU1010,$AU$8:$AU$2007,0)))</f>
        <v/>
      </c>
      <c r="AZ1010" s="31">
        <f>IF(OR($AS1010="",$C$6=""),"",TRIM(INDEX($A:$AP,ROW(),$C$6)&amp;""))</f>
        <v/>
      </c>
      <c r="BA1010" s="31">
        <f>IF($AZ1010="","",IF(COUNTIF($AZ$8:$AZ1010,$AZ1010)&gt;1,1,0))</f>
        <v/>
      </c>
    </row>
    <row r="1011">
      <c r="AR1011" s="31">
        <f>IF(OR($A$5="",$B$6="",ROW()&lt;$A$5),"",IF(INDEX($A:$AP,ROW(),$B$6)="","",INDEX($A:$AP,ROW(),$B$6)))</f>
        <v/>
      </c>
      <c r="AS1011" s="32">
        <f>IF($AR1011="","",IF(ISNUMBER($AR1011),IF($AR1011&gt;=10000000,IFERROR(DATE(INT($AR1011/10000),MOD(INT($AR1011/100),100),MOD($AR1011,100)),""),INT($AR1011)),IFERROR(DATE(--LEFT(LEFT(SUBSTITUTE(SUBSTITUTE(SUBSTITUTE(SUBSTITUTE(TRIM($AR1011),"-",""),".",""),"/","")," ",""),8),4),--MID(LEFT(SUBSTITUTE(SUBSTITUTE(SUBSTITUTE(SUBSTITUTE(TRIM($AR1011),"-",""),".",""),"/","")," ",""),8),5,2),--MID(LEFT(SUBSTITUTE(SUBSTITUTE(SUBSTITUTE(SUBSTITUTE(TRIM($AR1011),"-",""),".",""),"/","")," ",""),8),7,2)),"")))</f>
        <v/>
      </c>
      <c r="AT1011" s="33">
        <f>IF($AS1011="","",IF($F$6="",0,IF(ISNUMBER(INDEX($A:$AP,ROW(),$F$6)),INDEX($A:$AP,ROW(),$F$6),IFERROR(--SUBSTITUTE(SUBSTITUTE(TRIM(INDEX($A:$AP,ROW(),$F$6)),",",""),"원",""),0))))</f>
        <v/>
      </c>
      <c r="AU1011" s="31">
        <f>IF($AS1011="","",IF($AX1011&lt;&gt;"",SUBSTITUTE(SUBSTITUTE($AX1011,"-","")," ",""),"N:"&amp;$AV1011))</f>
        <v/>
      </c>
      <c r="AV1011" s="31">
        <f>IF(OR($AS1011="",$E$6=""),"",TRIM(INDEX($A:$AP,ROW(),$E$6)&amp;""))</f>
        <v/>
      </c>
      <c r="AW1011" s="31">
        <f>IF($AU1011="","",IF(MATCH($AU1011,$AU$8:$AU$2007,0)=ROW()-7,MAX($AW$7:$AW1010)+1,""))</f>
        <v/>
      </c>
      <c r="AX1011" s="31">
        <f>IF(OR($AS1011="",$D$6=""),"",TRIM(INDEX($A:$AP,ROW(),$D$6)&amp;""))</f>
        <v/>
      </c>
      <c r="AY1011" s="31">
        <f>IF($AU1011="","",INDEX($AW$8:$AW$2007,MATCH($AU1011,$AU$8:$AU$2007,0)))</f>
        <v/>
      </c>
      <c r="AZ1011" s="31">
        <f>IF(OR($AS1011="",$C$6=""),"",TRIM(INDEX($A:$AP,ROW(),$C$6)&amp;""))</f>
        <v/>
      </c>
      <c r="BA1011" s="31">
        <f>IF($AZ1011="","",IF(COUNTIF($AZ$8:$AZ1011,$AZ1011)&gt;1,1,0))</f>
        <v/>
      </c>
    </row>
    <row r="1012">
      <c r="AR1012" s="31">
        <f>IF(OR($A$5="",$B$6="",ROW()&lt;$A$5),"",IF(INDEX($A:$AP,ROW(),$B$6)="","",INDEX($A:$AP,ROW(),$B$6)))</f>
        <v/>
      </c>
      <c r="AS1012" s="32">
        <f>IF($AR1012="","",IF(ISNUMBER($AR1012),IF($AR1012&gt;=10000000,IFERROR(DATE(INT($AR1012/10000),MOD(INT($AR1012/100),100),MOD($AR1012,100)),""),INT($AR1012)),IFERROR(DATE(--LEFT(LEFT(SUBSTITUTE(SUBSTITUTE(SUBSTITUTE(SUBSTITUTE(TRIM($AR1012),"-",""),".",""),"/","")," ",""),8),4),--MID(LEFT(SUBSTITUTE(SUBSTITUTE(SUBSTITUTE(SUBSTITUTE(TRIM($AR1012),"-",""),".",""),"/","")," ",""),8),5,2),--MID(LEFT(SUBSTITUTE(SUBSTITUTE(SUBSTITUTE(SUBSTITUTE(TRIM($AR1012),"-",""),".",""),"/","")," ",""),8),7,2)),"")))</f>
        <v/>
      </c>
      <c r="AT1012" s="33">
        <f>IF($AS1012="","",IF($F$6="",0,IF(ISNUMBER(INDEX($A:$AP,ROW(),$F$6)),INDEX($A:$AP,ROW(),$F$6),IFERROR(--SUBSTITUTE(SUBSTITUTE(TRIM(INDEX($A:$AP,ROW(),$F$6)),",",""),"원",""),0))))</f>
        <v/>
      </c>
      <c r="AU1012" s="31">
        <f>IF($AS1012="","",IF($AX1012&lt;&gt;"",SUBSTITUTE(SUBSTITUTE($AX1012,"-","")," ",""),"N:"&amp;$AV1012))</f>
        <v/>
      </c>
      <c r="AV1012" s="31">
        <f>IF(OR($AS1012="",$E$6=""),"",TRIM(INDEX($A:$AP,ROW(),$E$6)&amp;""))</f>
        <v/>
      </c>
      <c r="AW1012" s="31">
        <f>IF($AU1012="","",IF(MATCH($AU1012,$AU$8:$AU$2007,0)=ROW()-7,MAX($AW$7:$AW1011)+1,""))</f>
        <v/>
      </c>
      <c r="AX1012" s="31">
        <f>IF(OR($AS1012="",$D$6=""),"",TRIM(INDEX($A:$AP,ROW(),$D$6)&amp;""))</f>
        <v/>
      </c>
      <c r="AY1012" s="31">
        <f>IF($AU1012="","",INDEX($AW$8:$AW$2007,MATCH($AU1012,$AU$8:$AU$2007,0)))</f>
        <v/>
      </c>
      <c r="AZ1012" s="31">
        <f>IF(OR($AS1012="",$C$6=""),"",TRIM(INDEX($A:$AP,ROW(),$C$6)&amp;""))</f>
        <v/>
      </c>
      <c r="BA1012" s="31">
        <f>IF($AZ1012="","",IF(COUNTIF($AZ$8:$AZ1012,$AZ1012)&gt;1,1,0))</f>
        <v/>
      </c>
    </row>
    <row r="1013">
      <c r="AR1013" s="31">
        <f>IF(OR($A$5="",$B$6="",ROW()&lt;$A$5),"",IF(INDEX($A:$AP,ROW(),$B$6)="","",INDEX($A:$AP,ROW(),$B$6)))</f>
        <v/>
      </c>
      <c r="AS1013" s="32">
        <f>IF($AR1013="","",IF(ISNUMBER($AR1013),IF($AR1013&gt;=10000000,IFERROR(DATE(INT($AR1013/10000),MOD(INT($AR1013/100),100),MOD($AR1013,100)),""),INT($AR1013)),IFERROR(DATE(--LEFT(LEFT(SUBSTITUTE(SUBSTITUTE(SUBSTITUTE(SUBSTITUTE(TRIM($AR1013),"-",""),".",""),"/","")," ",""),8),4),--MID(LEFT(SUBSTITUTE(SUBSTITUTE(SUBSTITUTE(SUBSTITUTE(TRIM($AR1013),"-",""),".",""),"/","")," ",""),8),5,2),--MID(LEFT(SUBSTITUTE(SUBSTITUTE(SUBSTITUTE(SUBSTITUTE(TRIM($AR1013),"-",""),".",""),"/","")," ",""),8),7,2)),"")))</f>
        <v/>
      </c>
      <c r="AT1013" s="33">
        <f>IF($AS1013="","",IF($F$6="",0,IF(ISNUMBER(INDEX($A:$AP,ROW(),$F$6)),INDEX($A:$AP,ROW(),$F$6),IFERROR(--SUBSTITUTE(SUBSTITUTE(TRIM(INDEX($A:$AP,ROW(),$F$6)),",",""),"원",""),0))))</f>
        <v/>
      </c>
      <c r="AU1013" s="31">
        <f>IF($AS1013="","",IF($AX1013&lt;&gt;"",SUBSTITUTE(SUBSTITUTE($AX1013,"-","")," ",""),"N:"&amp;$AV1013))</f>
        <v/>
      </c>
      <c r="AV1013" s="31">
        <f>IF(OR($AS1013="",$E$6=""),"",TRIM(INDEX($A:$AP,ROW(),$E$6)&amp;""))</f>
        <v/>
      </c>
      <c r="AW1013" s="31">
        <f>IF($AU1013="","",IF(MATCH($AU1013,$AU$8:$AU$2007,0)=ROW()-7,MAX($AW$7:$AW1012)+1,""))</f>
        <v/>
      </c>
      <c r="AX1013" s="31">
        <f>IF(OR($AS1013="",$D$6=""),"",TRIM(INDEX($A:$AP,ROW(),$D$6)&amp;""))</f>
        <v/>
      </c>
      <c r="AY1013" s="31">
        <f>IF($AU1013="","",INDEX($AW$8:$AW$2007,MATCH($AU1013,$AU$8:$AU$2007,0)))</f>
        <v/>
      </c>
      <c r="AZ1013" s="31">
        <f>IF(OR($AS1013="",$C$6=""),"",TRIM(INDEX($A:$AP,ROW(),$C$6)&amp;""))</f>
        <v/>
      </c>
      <c r="BA1013" s="31">
        <f>IF($AZ1013="","",IF(COUNTIF($AZ$8:$AZ1013,$AZ1013)&gt;1,1,0))</f>
        <v/>
      </c>
    </row>
    <row r="1014">
      <c r="AR1014" s="31">
        <f>IF(OR($A$5="",$B$6="",ROW()&lt;$A$5),"",IF(INDEX($A:$AP,ROW(),$B$6)="","",INDEX($A:$AP,ROW(),$B$6)))</f>
        <v/>
      </c>
      <c r="AS1014" s="32">
        <f>IF($AR1014="","",IF(ISNUMBER($AR1014),IF($AR1014&gt;=10000000,IFERROR(DATE(INT($AR1014/10000),MOD(INT($AR1014/100),100),MOD($AR1014,100)),""),INT($AR1014)),IFERROR(DATE(--LEFT(LEFT(SUBSTITUTE(SUBSTITUTE(SUBSTITUTE(SUBSTITUTE(TRIM($AR1014),"-",""),".",""),"/","")," ",""),8),4),--MID(LEFT(SUBSTITUTE(SUBSTITUTE(SUBSTITUTE(SUBSTITUTE(TRIM($AR1014),"-",""),".",""),"/","")," ",""),8),5,2),--MID(LEFT(SUBSTITUTE(SUBSTITUTE(SUBSTITUTE(SUBSTITUTE(TRIM($AR1014),"-",""),".",""),"/","")," ",""),8),7,2)),"")))</f>
        <v/>
      </c>
      <c r="AT1014" s="33">
        <f>IF($AS1014="","",IF($F$6="",0,IF(ISNUMBER(INDEX($A:$AP,ROW(),$F$6)),INDEX($A:$AP,ROW(),$F$6),IFERROR(--SUBSTITUTE(SUBSTITUTE(TRIM(INDEX($A:$AP,ROW(),$F$6)),",",""),"원",""),0))))</f>
        <v/>
      </c>
      <c r="AU1014" s="31">
        <f>IF($AS1014="","",IF($AX1014&lt;&gt;"",SUBSTITUTE(SUBSTITUTE($AX1014,"-","")," ",""),"N:"&amp;$AV1014))</f>
        <v/>
      </c>
      <c r="AV1014" s="31">
        <f>IF(OR($AS1014="",$E$6=""),"",TRIM(INDEX($A:$AP,ROW(),$E$6)&amp;""))</f>
        <v/>
      </c>
      <c r="AW1014" s="31">
        <f>IF($AU1014="","",IF(MATCH($AU1014,$AU$8:$AU$2007,0)=ROW()-7,MAX($AW$7:$AW1013)+1,""))</f>
        <v/>
      </c>
      <c r="AX1014" s="31">
        <f>IF(OR($AS1014="",$D$6=""),"",TRIM(INDEX($A:$AP,ROW(),$D$6)&amp;""))</f>
        <v/>
      </c>
      <c r="AY1014" s="31">
        <f>IF($AU1014="","",INDEX($AW$8:$AW$2007,MATCH($AU1014,$AU$8:$AU$2007,0)))</f>
        <v/>
      </c>
      <c r="AZ1014" s="31">
        <f>IF(OR($AS1014="",$C$6=""),"",TRIM(INDEX($A:$AP,ROW(),$C$6)&amp;""))</f>
        <v/>
      </c>
      <c r="BA1014" s="31">
        <f>IF($AZ1014="","",IF(COUNTIF($AZ$8:$AZ1014,$AZ1014)&gt;1,1,0))</f>
        <v/>
      </c>
    </row>
    <row r="1015">
      <c r="AR1015" s="31">
        <f>IF(OR($A$5="",$B$6="",ROW()&lt;$A$5),"",IF(INDEX($A:$AP,ROW(),$B$6)="","",INDEX($A:$AP,ROW(),$B$6)))</f>
        <v/>
      </c>
      <c r="AS1015" s="32">
        <f>IF($AR1015="","",IF(ISNUMBER($AR1015),IF($AR1015&gt;=10000000,IFERROR(DATE(INT($AR1015/10000),MOD(INT($AR1015/100),100),MOD($AR1015,100)),""),INT($AR1015)),IFERROR(DATE(--LEFT(LEFT(SUBSTITUTE(SUBSTITUTE(SUBSTITUTE(SUBSTITUTE(TRIM($AR1015),"-",""),".",""),"/","")," ",""),8),4),--MID(LEFT(SUBSTITUTE(SUBSTITUTE(SUBSTITUTE(SUBSTITUTE(TRIM($AR1015),"-",""),".",""),"/","")," ",""),8),5,2),--MID(LEFT(SUBSTITUTE(SUBSTITUTE(SUBSTITUTE(SUBSTITUTE(TRIM($AR1015),"-",""),".",""),"/","")," ",""),8),7,2)),"")))</f>
        <v/>
      </c>
      <c r="AT1015" s="33">
        <f>IF($AS1015="","",IF($F$6="",0,IF(ISNUMBER(INDEX($A:$AP,ROW(),$F$6)),INDEX($A:$AP,ROW(),$F$6),IFERROR(--SUBSTITUTE(SUBSTITUTE(TRIM(INDEX($A:$AP,ROW(),$F$6)),",",""),"원",""),0))))</f>
        <v/>
      </c>
      <c r="AU1015" s="31">
        <f>IF($AS1015="","",IF($AX1015&lt;&gt;"",SUBSTITUTE(SUBSTITUTE($AX1015,"-","")," ",""),"N:"&amp;$AV1015))</f>
        <v/>
      </c>
      <c r="AV1015" s="31">
        <f>IF(OR($AS1015="",$E$6=""),"",TRIM(INDEX($A:$AP,ROW(),$E$6)&amp;""))</f>
        <v/>
      </c>
      <c r="AW1015" s="31">
        <f>IF($AU1015="","",IF(MATCH($AU1015,$AU$8:$AU$2007,0)=ROW()-7,MAX($AW$7:$AW1014)+1,""))</f>
        <v/>
      </c>
      <c r="AX1015" s="31">
        <f>IF(OR($AS1015="",$D$6=""),"",TRIM(INDEX($A:$AP,ROW(),$D$6)&amp;""))</f>
        <v/>
      </c>
      <c r="AY1015" s="31">
        <f>IF($AU1015="","",INDEX($AW$8:$AW$2007,MATCH($AU1015,$AU$8:$AU$2007,0)))</f>
        <v/>
      </c>
      <c r="AZ1015" s="31">
        <f>IF(OR($AS1015="",$C$6=""),"",TRIM(INDEX($A:$AP,ROW(),$C$6)&amp;""))</f>
        <v/>
      </c>
      <c r="BA1015" s="31">
        <f>IF($AZ1015="","",IF(COUNTIF($AZ$8:$AZ1015,$AZ1015)&gt;1,1,0))</f>
        <v/>
      </c>
    </row>
    <row r="1016">
      <c r="AR1016" s="31">
        <f>IF(OR($A$5="",$B$6="",ROW()&lt;$A$5),"",IF(INDEX($A:$AP,ROW(),$B$6)="","",INDEX($A:$AP,ROW(),$B$6)))</f>
        <v/>
      </c>
      <c r="AS1016" s="32">
        <f>IF($AR1016="","",IF(ISNUMBER($AR1016),IF($AR1016&gt;=10000000,IFERROR(DATE(INT($AR1016/10000),MOD(INT($AR1016/100),100),MOD($AR1016,100)),""),INT($AR1016)),IFERROR(DATE(--LEFT(LEFT(SUBSTITUTE(SUBSTITUTE(SUBSTITUTE(SUBSTITUTE(TRIM($AR1016),"-",""),".",""),"/","")," ",""),8),4),--MID(LEFT(SUBSTITUTE(SUBSTITUTE(SUBSTITUTE(SUBSTITUTE(TRIM($AR1016),"-",""),".",""),"/","")," ",""),8),5,2),--MID(LEFT(SUBSTITUTE(SUBSTITUTE(SUBSTITUTE(SUBSTITUTE(TRIM($AR1016),"-",""),".",""),"/","")," ",""),8),7,2)),"")))</f>
        <v/>
      </c>
      <c r="AT1016" s="33">
        <f>IF($AS1016="","",IF($F$6="",0,IF(ISNUMBER(INDEX($A:$AP,ROW(),$F$6)),INDEX($A:$AP,ROW(),$F$6),IFERROR(--SUBSTITUTE(SUBSTITUTE(TRIM(INDEX($A:$AP,ROW(),$F$6)),",",""),"원",""),0))))</f>
        <v/>
      </c>
      <c r="AU1016" s="31">
        <f>IF($AS1016="","",IF($AX1016&lt;&gt;"",SUBSTITUTE(SUBSTITUTE($AX1016,"-","")," ",""),"N:"&amp;$AV1016))</f>
        <v/>
      </c>
      <c r="AV1016" s="31">
        <f>IF(OR($AS1016="",$E$6=""),"",TRIM(INDEX($A:$AP,ROW(),$E$6)&amp;""))</f>
        <v/>
      </c>
      <c r="AW1016" s="31">
        <f>IF($AU1016="","",IF(MATCH($AU1016,$AU$8:$AU$2007,0)=ROW()-7,MAX($AW$7:$AW1015)+1,""))</f>
        <v/>
      </c>
      <c r="AX1016" s="31">
        <f>IF(OR($AS1016="",$D$6=""),"",TRIM(INDEX($A:$AP,ROW(),$D$6)&amp;""))</f>
        <v/>
      </c>
      <c r="AY1016" s="31">
        <f>IF($AU1016="","",INDEX($AW$8:$AW$2007,MATCH($AU1016,$AU$8:$AU$2007,0)))</f>
        <v/>
      </c>
      <c r="AZ1016" s="31">
        <f>IF(OR($AS1016="",$C$6=""),"",TRIM(INDEX($A:$AP,ROW(),$C$6)&amp;""))</f>
        <v/>
      </c>
      <c r="BA1016" s="31">
        <f>IF($AZ1016="","",IF(COUNTIF($AZ$8:$AZ1016,$AZ1016)&gt;1,1,0))</f>
        <v/>
      </c>
    </row>
    <row r="1017">
      <c r="AR1017" s="31">
        <f>IF(OR($A$5="",$B$6="",ROW()&lt;$A$5),"",IF(INDEX($A:$AP,ROW(),$B$6)="","",INDEX($A:$AP,ROW(),$B$6)))</f>
        <v/>
      </c>
      <c r="AS1017" s="32">
        <f>IF($AR1017="","",IF(ISNUMBER($AR1017),IF($AR1017&gt;=10000000,IFERROR(DATE(INT($AR1017/10000),MOD(INT($AR1017/100),100),MOD($AR1017,100)),""),INT($AR1017)),IFERROR(DATE(--LEFT(LEFT(SUBSTITUTE(SUBSTITUTE(SUBSTITUTE(SUBSTITUTE(TRIM($AR1017),"-",""),".",""),"/","")," ",""),8),4),--MID(LEFT(SUBSTITUTE(SUBSTITUTE(SUBSTITUTE(SUBSTITUTE(TRIM($AR1017),"-",""),".",""),"/","")," ",""),8),5,2),--MID(LEFT(SUBSTITUTE(SUBSTITUTE(SUBSTITUTE(SUBSTITUTE(TRIM($AR1017),"-",""),".",""),"/","")," ",""),8),7,2)),"")))</f>
        <v/>
      </c>
      <c r="AT1017" s="33">
        <f>IF($AS1017="","",IF($F$6="",0,IF(ISNUMBER(INDEX($A:$AP,ROW(),$F$6)),INDEX($A:$AP,ROW(),$F$6),IFERROR(--SUBSTITUTE(SUBSTITUTE(TRIM(INDEX($A:$AP,ROW(),$F$6)),",",""),"원",""),0))))</f>
        <v/>
      </c>
      <c r="AU1017" s="31">
        <f>IF($AS1017="","",IF($AX1017&lt;&gt;"",SUBSTITUTE(SUBSTITUTE($AX1017,"-","")," ",""),"N:"&amp;$AV1017))</f>
        <v/>
      </c>
      <c r="AV1017" s="31">
        <f>IF(OR($AS1017="",$E$6=""),"",TRIM(INDEX($A:$AP,ROW(),$E$6)&amp;""))</f>
        <v/>
      </c>
      <c r="AW1017" s="31">
        <f>IF($AU1017="","",IF(MATCH($AU1017,$AU$8:$AU$2007,0)=ROW()-7,MAX($AW$7:$AW1016)+1,""))</f>
        <v/>
      </c>
      <c r="AX1017" s="31">
        <f>IF(OR($AS1017="",$D$6=""),"",TRIM(INDEX($A:$AP,ROW(),$D$6)&amp;""))</f>
        <v/>
      </c>
      <c r="AY1017" s="31">
        <f>IF($AU1017="","",INDEX($AW$8:$AW$2007,MATCH($AU1017,$AU$8:$AU$2007,0)))</f>
        <v/>
      </c>
      <c r="AZ1017" s="31">
        <f>IF(OR($AS1017="",$C$6=""),"",TRIM(INDEX($A:$AP,ROW(),$C$6)&amp;""))</f>
        <v/>
      </c>
      <c r="BA1017" s="31">
        <f>IF($AZ1017="","",IF(COUNTIF($AZ$8:$AZ1017,$AZ1017)&gt;1,1,0))</f>
        <v/>
      </c>
    </row>
    <row r="1018">
      <c r="AR1018" s="31">
        <f>IF(OR($A$5="",$B$6="",ROW()&lt;$A$5),"",IF(INDEX($A:$AP,ROW(),$B$6)="","",INDEX($A:$AP,ROW(),$B$6)))</f>
        <v/>
      </c>
      <c r="AS1018" s="32">
        <f>IF($AR1018="","",IF(ISNUMBER($AR1018),IF($AR1018&gt;=10000000,IFERROR(DATE(INT($AR1018/10000),MOD(INT($AR1018/100),100),MOD($AR1018,100)),""),INT($AR1018)),IFERROR(DATE(--LEFT(LEFT(SUBSTITUTE(SUBSTITUTE(SUBSTITUTE(SUBSTITUTE(TRIM($AR1018),"-",""),".",""),"/","")," ",""),8),4),--MID(LEFT(SUBSTITUTE(SUBSTITUTE(SUBSTITUTE(SUBSTITUTE(TRIM($AR1018),"-",""),".",""),"/","")," ",""),8),5,2),--MID(LEFT(SUBSTITUTE(SUBSTITUTE(SUBSTITUTE(SUBSTITUTE(TRIM($AR1018),"-",""),".",""),"/","")," ",""),8),7,2)),"")))</f>
        <v/>
      </c>
      <c r="AT1018" s="33">
        <f>IF($AS1018="","",IF($F$6="",0,IF(ISNUMBER(INDEX($A:$AP,ROW(),$F$6)),INDEX($A:$AP,ROW(),$F$6),IFERROR(--SUBSTITUTE(SUBSTITUTE(TRIM(INDEX($A:$AP,ROW(),$F$6)),",",""),"원",""),0))))</f>
        <v/>
      </c>
      <c r="AU1018" s="31">
        <f>IF($AS1018="","",IF($AX1018&lt;&gt;"",SUBSTITUTE(SUBSTITUTE($AX1018,"-","")," ",""),"N:"&amp;$AV1018))</f>
        <v/>
      </c>
      <c r="AV1018" s="31">
        <f>IF(OR($AS1018="",$E$6=""),"",TRIM(INDEX($A:$AP,ROW(),$E$6)&amp;""))</f>
        <v/>
      </c>
      <c r="AW1018" s="31">
        <f>IF($AU1018="","",IF(MATCH($AU1018,$AU$8:$AU$2007,0)=ROW()-7,MAX($AW$7:$AW1017)+1,""))</f>
        <v/>
      </c>
      <c r="AX1018" s="31">
        <f>IF(OR($AS1018="",$D$6=""),"",TRIM(INDEX($A:$AP,ROW(),$D$6)&amp;""))</f>
        <v/>
      </c>
      <c r="AY1018" s="31">
        <f>IF($AU1018="","",INDEX($AW$8:$AW$2007,MATCH($AU1018,$AU$8:$AU$2007,0)))</f>
        <v/>
      </c>
      <c r="AZ1018" s="31">
        <f>IF(OR($AS1018="",$C$6=""),"",TRIM(INDEX($A:$AP,ROW(),$C$6)&amp;""))</f>
        <v/>
      </c>
      <c r="BA1018" s="31">
        <f>IF($AZ1018="","",IF(COUNTIF($AZ$8:$AZ1018,$AZ1018)&gt;1,1,0))</f>
        <v/>
      </c>
    </row>
    <row r="1019">
      <c r="AR1019" s="31">
        <f>IF(OR($A$5="",$B$6="",ROW()&lt;$A$5),"",IF(INDEX($A:$AP,ROW(),$B$6)="","",INDEX($A:$AP,ROW(),$B$6)))</f>
        <v/>
      </c>
      <c r="AS1019" s="32">
        <f>IF($AR1019="","",IF(ISNUMBER($AR1019),IF($AR1019&gt;=10000000,IFERROR(DATE(INT($AR1019/10000),MOD(INT($AR1019/100),100),MOD($AR1019,100)),""),INT($AR1019)),IFERROR(DATE(--LEFT(LEFT(SUBSTITUTE(SUBSTITUTE(SUBSTITUTE(SUBSTITUTE(TRIM($AR1019),"-",""),".",""),"/","")," ",""),8),4),--MID(LEFT(SUBSTITUTE(SUBSTITUTE(SUBSTITUTE(SUBSTITUTE(TRIM($AR1019),"-",""),".",""),"/","")," ",""),8),5,2),--MID(LEFT(SUBSTITUTE(SUBSTITUTE(SUBSTITUTE(SUBSTITUTE(TRIM($AR1019),"-",""),".",""),"/","")," ",""),8),7,2)),"")))</f>
        <v/>
      </c>
      <c r="AT1019" s="33">
        <f>IF($AS1019="","",IF($F$6="",0,IF(ISNUMBER(INDEX($A:$AP,ROW(),$F$6)),INDEX($A:$AP,ROW(),$F$6),IFERROR(--SUBSTITUTE(SUBSTITUTE(TRIM(INDEX($A:$AP,ROW(),$F$6)),",",""),"원",""),0))))</f>
        <v/>
      </c>
      <c r="AU1019" s="31">
        <f>IF($AS1019="","",IF($AX1019&lt;&gt;"",SUBSTITUTE(SUBSTITUTE($AX1019,"-","")," ",""),"N:"&amp;$AV1019))</f>
        <v/>
      </c>
      <c r="AV1019" s="31">
        <f>IF(OR($AS1019="",$E$6=""),"",TRIM(INDEX($A:$AP,ROW(),$E$6)&amp;""))</f>
        <v/>
      </c>
      <c r="AW1019" s="31">
        <f>IF($AU1019="","",IF(MATCH($AU1019,$AU$8:$AU$2007,0)=ROW()-7,MAX($AW$7:$AW1018)+1,""))</f>
        <v/>
      </c>
      <c r="AX1019" s="31">
        <f>IF(OR($AS1019="",$D$6=""),"",TRIM(INDEX($A:$AP,ROW(),$D$6)&amp;""))</f>
        <v/>
      </c>
      <c r="AY1019" s="31">
        <f>IF($AU1019="","",INDEX($AW$8:$AW$2007,MATCH($AU1019,$AU$8:$AU$2007,0)))</f>
        <v/>
      </c>
      <c r="AZ1019" s="31">
        <f>IF(OR($AS1019="",$C$6=""),"",TRIM(INDEX($A:$AP,ROW(),$C$6)&amp;""))</f>
        <v/>
      </c>
      <c r="BA1019" s="31">
        <f>IF($AZ1019="","",IF(COUNTIF($AZ$8:$AZ1019,$AZ1019)&gt;1,1,0))</f>
        <v/>
      </c>
    </row>
    <row r="1020">
      <c r="AR1020" s="31">
        <f>IF(OR($A$5="",$B$6="",ROW()&lt;$A$5),"",IF(INDEX($A:$AP,ROW(),$B$6)="","",INDEX($A:$AP,ROW(),$B$6)))</f>
        <v/>
      </c>
      <c r="AS1020" s="32">
        <f>IF($AR1020="","",IF(ISNUMBER($AR1020),IF($AR1020&gt;=10000000,IFERROR(DATE(INT($AR1020/10000),MOD(INT($AR1020/100),100),MOD($AR1020,100)),""),INT($AR1020)),IFERROR(DATE(--LEFT(LEFT(SUBSTITUTE(SUBSTITUTE(SUBSTITUTE(SUBSTITUTE(TRIM($AR1020),"-",""),".",""),"/","")," ",""),8),4),--MID(LEFT(SUBSTITUTE(SUBSTITUTE(SUBSTITUTE(SUBSTITUTE(TRIM($AR1020),"-",""),".",""),"/","")," ",""),8),5,2),--MID(LEFT(SUBSTITUTE(SUBSTITUTE(SUBSTITUTE(SUBSTITUTE(TRIM($AR1020),"-",""),".",""),"/","")," ",""),8),7,2)),"")))</f>
        <v/>
      </c>
      <c r="AT1020" s="33">
        <f>IF($AS1020="","",IF($F$6="",0,IF(ISNUMBER(INDEX($A:$AP,ROW(),$F$6)),INDEX($A:$AP,ROW(),$F$6),IFERROR(--SUBSTITUTE(SUBSTITUTE(TRIM(INDEX($A:$AP,ROW(),$F$6)),",",""),"원",""),0))))</f>
        <v/>
      </c>
      <c r="AU1020" s="31">
        <f>IF($AS1020="","",IF($AX1020&lt;&gt;"",SUBSTITUTE(SUBSTITUTE($AX1020,"-","")," ",""),"N:"&amp;$AV1020))</f>
        <v/>
      </c>
      <c r="AV1020" s="31">
        <f>IF(OR($AS1020="",$E$6=""),"",TRIM(INDEX($A:$AP,ROW(),$E$6)&amp;""))</f>
        <v/>
      </c>
      <c r="AW1020" s="31">
        <f>IF($AU1020="","",IF(MATCH($AU1020,$AU$8:$AU$2007,0)=ROW()-7,MAX($AW$7:$AW1019)+1,""))</f>
        <v/>
      </c>
      <c r="AX1020" s="31">
        <f>IF(OR($AS1020="",$D$6=""),"",TRIM(INDEX($A:$AP,ROW(),$D$6)&amp;""))</f>
        <v/>
      </c>
      <c r="AY1020" s="31">
        <f>IF($AU1020="","",INDEX($AW$8:$AW$2007,MATCH($AU1020,$AU$8:$AU$2007,0)))</f>
        <v/>
      </c>
      <c r="AZ1020" s="31">
        <f>IF(OR($AS1020="",$C$6=""),"",TRIM(INDEX($A:$AP,ROW(),$C$6)&amp;""))</f>
        <v/>
      </c>
      <c r="BA1020" s="31">
        <f>IF($AZ1020="","",IF(COUNTIF($AZ$8:$AZ1020,$AZ1020)&gt;1,1,0))</f>
        <v/>
      </c>
    </row>
    <row r="1021">
      <c r="AR1021" s="31">
        <f>IF(OR($A$5="",$B$6="",ROW()&lt;$A$5),"",IF(INDEX($A:$AP,ROW(),$B$6)="","",INDEX($A:$AP,ROW(),$B$6)))</f>
        <v/>
      </c>
      <c r="AS1021" s="32">
        <f>IF($AR1021="","",IF(ISNUMBER($AR1021),IF($AR1021&gt;=10000000,IFERROR(DATE(INT($AR1021/10000),MOD(INT($AR1021/100),100),MOD($AR1021,100)),""),INT($AR1021)),IFERROR(DATE(--LEFT(LEFT(SUBSTITUTE(SUBSTITUTE(SUBSTITUTE(SUBSTITUTE(TRIM($AR1021),"-",""),".",""),"/","")," ",""),8),4),--MID(LEFT(SUBSTITUTE(SUBSTITUTE(SUBSTITUTE(SUBSTITUTE(TRIM($AR1021),"-",""),".",""),"/","")," ",""),8),5,2),--MID(LEFT(SUBSTITUTE(SUBSTITUTE(SUBSTITUTE(SUBSTITUTE(TRIM($AR1021),"-",""),".",""),"/","")," ",""),8),7,2)),"")))</f>
        <v/>
      </c>
      <c r="AT1021" s="33">
        <f>IF($AS1021="","",IF($F$6="",0,IF(ISNUMBER(INDEX($A:$AP,ROW(),$F$6)),INDEX($A:$AP,ROW(),$F$6),IFERROR(--SUBSTITUTE(SUBSTITUTE(TRIM(INDEX($A:$AP,ROW(),$F$6)),",",""),"원",""),0))))</f>
        <v/>
      </c>
      <c r="AU1021" s="31">
        <f>IF($AS1021="","",IF($AX1021&lt;&gt;"",SUBSTITUTE(SUBSTITUTE($AX1021,"-","")," ",""),"N:"&amp;$AV1021))</f>
        <v/>
      </c>
      <c r="AV1021" s="31">
        <f>IF(OR($AS1021="",$E$6=""),"",TRIM(INDEX($A:$AP,ROW(),$E$6)&amp;""))</f>
        <v/>
      </c>
      <c r="AW1021" s="31">
        <f>IF($AU1021="","",IF(MATCH($AU1021,$AU$8:$AU$2007,0)=ROW()-7,MAX($AW$7:$AW1020)+1,""))</f>
        <v/>
      </c>
      <c r="AX1021" s="31">
        <f>IF(OR($AS1021="",$D$6=""),"",TRIM(INDEX($A:$AP,ROW(),$D$6)&amp;""))</f>
        <v/>
      </c>
      <c r="AY1021" s="31">
        <f>IF($AU1021="","",INDEX($AW$8:$AW$2007,MATCH($AU1021,$AU$8:$AU$2007,0)))</f>
        <v/>
      </c>
      <c r="AZ1021" s="31">
        <f>IF(OR($AS1021="",$C$6=""),"",TRIM(INDEX($A:$AP,ROW(),$C$6)&amp;""))</f>
        <v/>
      </c>
      <c r="BA1021" s="31">
        <f>IF($AZ1021="","",IF(COUNTIF($AZ$8:$AZ1021,$AZ1021)&gt;1,1,0))</f>
        <v/>
      </c>
    </row>
    <row r="1022">
      <c r="AR1022" s="31">
        <f>IF(OR($A$5="",$B$6="",ROW()&lt;$A$5),"",IF(INDEX($A:$AP,ROW(),$B$6)="","",INDEX($A:$AP,ROW(),$B$6)))</f>
        <v/>
      </c>
      <c r="AS1022" s="32">
        <f>IF($AR1022="","",IF(ISNUMBER($AR1022),IF($AR1022&gt;=10000000,IFERROR(DATE(INT($AR1022/10000),MOD(INT($AR1022/100),100),MOD($AR1022,100)),""),INT($AR1022)),IFERROR(DATE(--LEFT(LEFT(SUBSTITUTE(SUBSTITUTE(SUBSTITUTE(SUBSTITUTE(TRIM($AR1022),"-",""),".",""),"/","")," ",""),8),4),--MID(LEFT(SUBSTITUTE(SUBSTITUTE(SUBSTITUTE(SUBSTITUTE(TRIM($AR1022),"-",""),".",""),"/","")," ",""),8),5,2),--MID(LEFT(SUBSTITUTE(SUBSTITUTE(SUBSTITUTE(SUBSTITUTE(TRIM($AR1022),"-",""),".",""),"/","")," ",""),8),7,2)),"")))</f>
        <v/>
      </c>
      <c r="AT1022" s="33">
        <f>IF($AS1022="","",IF($F$6="",0,IF(ISNUMBER(INDEX($A:$AP,ROW(),$F$6)),INDEX($A:$AP,ROW(),$F$6),IFERROR(--SUBSTITUTE(SUBSTITUTE(TRIM(INDEX($A:$AP,ROW(),$F$6)),",",""),"원",""),0))))</f>
        <v/>
      </c>
      <c r="AU1022" s="31">
        <f>IF($AS1022="","",IF($AX1022&lt;&gt;"",SUBSTITUTE(SUBSTITUTE($AX1022,"-","")," ",""),"N:"&amp;$AV1022))</f>
        <v/>
      </c>
      <c r="AV1022" s="31">
        <f>IF(OR($AS1022="",$E$6=""),"",TRIM(INDEX($A:$AP,ROW(),$E$6)&amp;""))</f>
        <v/>
      </c>
      <c r="AW1022" s="31">
        <f>IF($AU1022="","",IF(MATCH($AU1022,$AU$8:$AU$2007,0)=ROW()-7,MAX($AW$7:$AW1021)+1,""))</f>
        <v/>
      </c>
      <c r="AX1022" s="31">
        <f>IF(OR($AS1022="",$D$6=""),"",TRIM(INDEX($A:$AP,ROW(),$D$6)&amp;""))</f>
        <v/>
      </c>
      <c r="AY1022" s="31">
        <f>IF($AU1022="","",INDEX($AW$8:$AW$2007,MATCH($AU1022,$AU$8:$AU$2007,0)))</f>
        <v/>
      </c>
      <c r="AZ1022" s="31">
        <f>IF(OR($AS1022="",$C$6=""),"",TRIM(INDEX($A:$AP,ROW(),$C$6)&amp;""))</f>
        <v/>
      </c>
      <c r="BA1022" s="31">
        <f>IF($AZ1022="","",IF(COUNTIF($AZ$8:$AZ1022,$AZ1022)&gt;1,1,0))</f>
        <v/>
      </c>
    </row>
    <row r="1023">
      <c r="AR1023" s="31">
        <f>IF(OR($A$5="",$B$6="",ROW()&lt;$A$5),"",IF(INDEX($A:$AP,ROW(),$B$6)="","",INDEX($A:$AP,ROW(),$B$6)))</f>
        <v/>
      </c>
      <c r="AS1023" s="32">
        <f>IF($AR1023="","",IF(ISNUMBER($AR1023),IF($AR1023&gt;=10000000,IFERROR(DATE(INT($AR1023/10000),MOD(INT($AR1023/100),100),MOD($AR1023,100)),""),INT($AR1023)),IFERROR(DATE(--LEFT(LEFT(SUBSTITUTE(SUBSTITUTE(SUBSTITUTE(SUBSTITUTE(TRIM($AR1023),"-",""),".",""),"/","")," ",""),8),4),--MID(LEFT(SUBSTITUTE(SUBSTITUTE(SUBSTITUTE(SUBSTITUTE(TRIM($AR1023),"-",""),".",""),"/","")," ",""),8),5,2),--MID(LEFT(SUBSTITUTE(SUBSTITUTE(SUBSTITUTE(SUBSTITUTE(TRIM($AR1023),"-",""),".",""),"/","")," ",""),8),7,2)),"")))</f>
        <v/>
      </c>
      <c r="AT1023" s="33">
        <f>IF($AS1023="","",IF($F$6="",0,IF(ISNUMBER(INDEX($A:$AP,ROW(),$F$6)),INDEX($A:$AP,ROW(),$F$6),IFERROR(--SUBSTITUTE(SUBSTITUTE(TRIM(INDEX($A:$AP,ROW(),$F$6)),",",""),"원",""),0))))</f>
        <v/>
      </c>
      <c r="AU1023" s="31">
        <f>IF($AS1023="","",IF($AX1023&lt;&gt;"",SUBSTITUTE(SUBSTITUTE($AX1023,"-","")," ",""),"N:"&amp;$AV1023))</f>
        <v/>
      </c>
      <c r="AV1023" s="31">
        <f>IF(OR($AS1023="",$E$6=""),"",TRIM(INDEX($A:$AP,ROW(),$E$6)&amp;""))</f>
        <v/>
      </c>
      <c r="AW1023" s="31">
        <f>IF($AU1023="","",IF(MATCH($AU1023,$AU$8:$AU$2007,0)=ROW()-7,MAX($AW$7:$AW1022)+1,""))</f>
        <v/>
      </c>
      <c r="AX1023" s="31">
        <f>IF(OR($AS1023="",$D$6=""),"",TRIM(INDEX($A:$AP,ROW(),$D$6)&amp;""))</f>
        <v/>
      </c>
      <c r="AY1023" s="31">
        <f>IF($AU1023="","",INDEX($AW$8:$AW$2007,MATCH($AU1023,$AU$8:$AU$2007,0)))</f>
        <v/>
      </c>
      <c r="AZ1023" s="31">
        <f>IF(OR($AS1023="",$C$6=""),"",TRIM(INDEX($A:$AP,ROW(),$C$6)&amp;""))</f>
        <v/>
      </c>
      <c r="BA1023" s="31">
        <f>IF($AZ1023="","",IF(COUNTIF($AZ$8:$AZ1023,$AZ1023)&gt;1,1,0))</f>
        <v/>
      </c>
    </row>
    <row r="1024">
      <c r="AR1024" s="31">
        <f>IF(OR($A$5="",$B$6="",ROW()&lt;$A$5),"",IF(INDEX($A:$AP,ROW(),$B$6)="","",INDEX($A:$AP,ROW(),$B$6)))</f>
        <v/>
      </c>
      <c r="AS1024" s="32">
        <f>IF($AR1024="","",IF(ISNUMBER($AR1024),IF($AR1024&gt;=10000000,IFERROR(DATE(INT($AR1024/10000),MOD(INT($AR1024/100),100),MOD($AR1024,100)),""),INT($AR1024)),IFERROR(DATE(--LEFT(LEFT(SUBSTITUTE(SUBSTITUTE(SUBSTITUTE(SUBSTITUTE(TRIM($AR1024),"-",""),".",""),"/","")," ",""),8),4),--MID(LEFT(SUBSTITUTE(SUBSTITUTE(SUBSTITUTE(SUBSTITUTE(TRIM($AR1024),"-",""),".",""),"/","")," ",""),8),5,2),--MID(LEFT(SUBSTITUTE(SUBSTITUTE(SUBSTITUTE(SUBSTITUTE(TRIM($AR1024),"-",""),".",""),"/","")," ",""),8),7,2)),"")))</f>
        <v/>
      </c>
      <c r="AT1024" s="33">
        <f>IF($AS1024="","",IF($F$6="",0,IF(ISNUMBER(INDEX($A:$AP,ROW(),$F$6)),INDEX($A:$AP,ROW(),$F$6),IFERROR(--SUBSTITUTE(SUBSTITUTE(TRIM(INDEX($A:$AP,ROW(),$F$6)),",",""),"원",""),0))))</f>
        <v/>
      </c>
      <c r="AU1024" s="31">
        <f>IF($AS1024="","",IF($AX1024&lt;&gt;"",SUBSTITUTE(SUBSTITUTE($AX1024,"-","")," ",""),"N:"&amp;$AV1024))</f>
        <v/>
      </c>
      <c r="AV1024" s="31">
        <f>IF(OR($AS1024="",$E$6=""),"",TRIM(INDEX($A:$AP,ROW(),$E$6)&amp;""))</f>
        <v/>
      </c>
      <c r="AW1024" s="31">
        <f>IF($AU1024="","",IF(MATCH($AU1024,$AU$8:$AU$2007,0)=ROW()-7,MAX($AW$7:$AW1023)+1,""))</f>
        <v/>
      </c>
      <c r="AX1024" s="31">
        <f>IF(OR($AS1024="",$D$6=""),"",TRIM(INDEX($A:$AP,ROW(),$D$6)&amp;""))</f>
        <v/>
      </c>
      <c r="AY1024" s="31">
        <f>IF($AU1024="","",INDEX($AW$8:$AW$2007,MATCH($AU1024,$AU$8:$AU$2007,0)))</f>
        <v/>
      </c>
      <c r="AZ1024" s="31">
        <f>IF(OR($AS1024="",$C$6=""),"",TRIM(INDEX($A:$AP,ROW(),$C$6)&amp;""))</f>
        <v/>
      </c>
      <c r="BA1024" s="31">
        <f>IF($AZ1024="","",IF(COUNTIF($AZ$8:$AZ1024,$AZ1024)&gt;1,1,0))</f>
        <v/>
      </c>
    </row>
    <row r="1025">
      <c r="AR1025" s="31">
        <f>IF(OR($A$5="",$B$6="",ROW()&lt;$A$5),"",IF(INDEX($A:$AP,ROW(),$B$6)="","",INDEX($A:$AP,ROW(),$B$6)))</f>
        <v/>
      </c>
      <c r="AS1025" s="32">
        <f>IF($AR1025="","",IF(ISNUMBER($AR1025),IF($AR1025&gt;=10000000,IFERROR(DATE(INT($AR1025/10000),MOD(INT($AR1025/100),100),MOD($AR1025,100)),""),INT($AR1025)),IFERROR(DATE(--LEFT(LEFT(SUBSTITUTE(SUBSTITUTE(SUBSTITUTE(SUBSTITUTE(TRIM($AR1025),"-",""),".",""),"/","")," ",""),8),4),--MID(LEFT(SUBSTITUTE(SUBSTITUTE(SUBSTITUTE(SUBSTITUTE(TRIM($AR1025),"-",""),".",""),"/","")," ",""),8),5,2),--MID(LEFT(SUBSTITUTE(SUBSTITUTE(SUBSTITUTE(SUBSTITUTE(TRIM($AR1025),"-",""),".",""),"/","")," ",""),8),7,2)),"")))</f>
        <v/>
      </c>
      <c r="AT1025" s="33">
        <f>IF($AS1025="","",IF($F$6="",0,IF(ISNUMBER(INDEX($A:$AP,ROW(),$F$6)),INDEX($A:$AP,ROW(),$F$6),IFERROR(--SUBSTITUTE(SUBSTITUTE(TRIM(INDEX($A:$AP,ROW(),$F$6)),",",""),"원",""),0))))</f>
        <v/>
      </c>
      <c r="AU1025" s="31">
        <f>IF($AS1025="","",IF($AX1025&lt;&gt;"",SUBSTITUTE(SUBSTITUTE($AX1025,"-","")," ",""),"N:"&amp;$AV1025))</f>
        <v/>
      </c>
      <c r="AV1025" s="31">
        <f>IF(OR($AS1025="",$E$6=""),"",TRIM(INDEX($A:$AP,ROW(),$E$6)&amp;""))</f>
        <v/>
      </c>
      <c r="AW1025" s="31">
        <f>IF($AU1025="","",IF(MATCH($AU1025,$AU$8:$AU$2007,0)=ROW()-7,MAX($AW$7:$AW1024)+1,""))</f>
        <v/>
      </c>
      <c r="AX1025" s="31">
        <f>IF(OR($AS1025="",$D$6=""),"",TRIM(INDEX($A:$AP,ROW(),$D$6)&amp;""))</f>
        <v/>
      </c>
      <c r="AY1025" s="31">
        <f>IF($AU1025="","",INDEX($AW$8:$AW$2007,MATCH($AU1025,$AU$8:$AU$2007,0)))</f>
        <v/>
      </c>
      <c r="AZ1025" s="31">
        <f>IF(OR($AS1025="",$C$6=""),"",TRIM(INDEX($A:$AP,ROW(),$C$6)&amp;""))</f>
        <v/>
      </c>
      <c r="BA1025" s="31">
        <f>IF($AZ1025="","",IF(COUNTIF($AZ$8:$AZ1025,$AZ1025)&gt;1,1,0))</f>
        <v/>
      </c>
    </row>
    <row r="1026">
      <c r="AR1026" s="31">
        <f>IF(OR($A$5="",$B$6="",ROW()&lt;$A$5),"",IF(INDEX($A:$AP,ROW(),$B$6)="","",INDEX($A:$AP,ROW(),$B$6)))</f>
        <v/>
      </c>
      <c r="AS1026" s="32">
        <f>IF($AR1026="","",IF(ISNUMBER($AR1026),IF($AR1026&gt;=10000000,IFERROR(DATE(INT($AR1026/10000),MOD(INT($AR1026/100),100),MOD($AR1026,100)),""),INT($AR1026)),IFERROR(DATE(--LEFT(LEFT(SUBSTITUTE(SUBSTITUTE(SUBSTITUTE(SUBSTITUTE(TRIM($AR1026),"-",""),".",""),"/","")," ",""),8),4),--MID(LEFT(SUBSTITUTE(SUBSTITUTE(SUBSTITUTE(SUBSTITUTE(TRIM($AR1026),"-",""),".",""),"/","")," ",""),8),5,2),--MID(LEFT(SUBSTITUTE(SUBSTITUTE(SUBSTITUTE(SUBSTITUTE(TRIM($AR1026),"-",""),".",""),"/","")," ",""),8),7,2)),"")))</f>
        <v/>
      </c>
      <c r="AT1026" s="33">
        <f>IF($AS1026="","",IF($F$6="",0,IF(ISNUMBER(INDEX($A:$AP,ROW(),$F$6)),INDEX($A:$AP,ROW(),$F$6),IFERROR(--SUBSTITUTE(SUBSTITUTE(TRIM(INDEX($A:$AP,ROW(),$F$6)),",",""),"원",""),0))))</f>
        <v/>
      </c>
      <c r="AU1026" s="31">
        <f>IF($AS1026="","",IF($AX1026&lt;&gt;"",SUBSTITUTE(SUBSTITUTE($AX1026,"-","")," ",""),"N:"&amp;$AV1026))</f>
        <v/>
      </c>
      <c r="AV1026" s="31">
        <f>IF(OR($AS1026="",$E$6=""),"",TRIM(INDEX($A:$AP,ROW(),$E$6)&amp;""))</f>
        <v/>
      </c>
      <c r="AW1026" s="31">
        <f>IF($AU1026="","",IF(MATCH($AU1026,$AU$8:$AU$2007,0)=ROW()-7,MAX($AW$7:$AW1025)+1,""))</f>
        <v/>
      </c>
      <c r="AX1026" s="31">
        <f>IF(OR($AS1026="",$D$6=""),"",TRIM(INDEX($A:$AP,ROW(),$D$6)&amp;""))</f>
        <v/>
      </c>
      <c r="AY1026" s="31">
        <f>IF($AU1026="","",INDEX($AW$8:$AW$2007,MATCH($AU1026,$AU$8:$AU$2007,0)))</f>
        <v/>
      </c>
      <c r="AZ1026" s="31">
        <f>IF(OR($AS1026="",$C$6=""),"",TRIM(INDEX($A:$AP,ROW(),$C$6)&amp;""))</f>
        <v/>
      </c>
      <c r="BA1026" s="31">
        <f>IF($AZ1026="","",IF(COUNTIF($AZ$8:$AZ1026,$AZ1026)&gt;1,1,0))</f>
        <v/>
      </c>
    </row>
    <row r="1027">
      <c r="AR1027" s="31">
        <f>IF(OR($A$5="",$B$6="",ROW()&lt;$A$5),"",IF(INDEX($A:$AP,ROW(),$B$6)="","",INDEX($A:$AP,ROW(),$B$6)))</f>
        <v/>
      </c>
      <c r="AS1027" s="32">
        <f>IF($AR1027="","",IF(ISNUMBER($AR1027),IF($AR1027&gt;=10000000,IFERROR(DATE(INT($AR1027/10000),MOD(INT($AR1027/100),100),MOD($AR1027,100)),""),INT($AR1027)),IFERROR(DATE(--LEFT(LEFT(SUBSTITUTE(SUBSTITUTE(SUBSTITUTE(SUBSTITUTE(TRIM($AR1027),"-",""),".",""),"/","")," ",""),8),4),--MID(LEFT(SUBSTITUTE(SUBSTITUTE(SUBSTITUTE(SUBSTITUTE(TRIM($AR1027),"-",""),".",""),"/","")," ",""),8),5,2),--MID(LEFT(SUBSTITUTE(SUBSTITUTE(SUBSTITUTE(SUBSTITUTE(TRIM($AR1027),"-",""),".",""),"/","")," ",""),8),7,2)),"")))</f>
        <v/>
      </c>
      <c r="AT1027" s="33">
        <f>IF($AS1027="","",IF($F$6="",0,IF(ISNUMBER(INDEX($A:$AP,ROW(),$F$6)),INDEX($A:$AP,ROW(),$F$6),IFERROR(--SUBSTITUTE(SUBSTITUTE(TRIM(INDEX($A:$AP,ROW(),$F$6)),",",""),"원",""),0))))</f>
        <v/>
      </c>
      <c r="AU1027" s="31">
        <f>IF($AS1027="","",IF($AX1027&lt;&gt;"",SUBSTITUTE(SUBSTITUTE($AX1027,"-","")," ",""),"N:"&amp;$AV1027))</f>
        <v/>
      </c>
      <c r="AV1027" s="31">
        <f>IF(OR($AS1027="",$E$6=""),"",TRIM(INDEX($A:$AP,ROW(),$E$6)&amp;""))</f>
        <v/>
      </c>
      <c r="AW1027" s="31">
        <f>IF($AU1027="","",IF(MATCH($AU1027,$AU$8:$AU$2007,0)=ROW()-7,MAX($AW$7:$AW1026)+1,""))</f>
        <v/>
      </c>
      <c r="AX1027" s="31">
        <f>IF(OR($AS1027="",$D$6=""),"",TRIM(INDEX($A:$AP,ROW(),$D$6)&amp;""))</f>
        <v/>
      </c>
      <c r="AY1027" s="31">
        <f>IF($AU1027="","",INDEX($AW$8:$AW$2007,MATCH($AU1027,$AU$8:$AU$2007,0)))</f>
        <v/>
      </c>
      <c r="AZ1027" s="31">
        <f>IF(OR($AS1027="",$C$6=""),"",TRIM(INDEX($A:$AP,ROW(),$C$6)&amp;""))</f>
        <v/>
      </c>
      <c r="BA1027" s="31">
        <f>IF($AZ1027="","",IF(COUNTIF($AZ$8:$AZ1027,$AZ1027)&gt;1,1,0))</f>
        <v/>
      </c>
    </row>
    <row r="1028">
      <c r="AR1028" s="31">
        <f>IF(OR($A$5="",$B$6="",ROW()&lt;$A$5),"",IF(INDEX($A:$AP,ROW(),$B$6)="","",INDEX($A:$AP,ROW(),$B$6)))</f>
        <v/>
      </c>
      <c r="AS1028" s="32">
        <f>IF($AR1028="","",IF(ISNUMBER($AR1028),IF($AR1028&gt;=10000000,IFERROR(DATE(INT($AR1028/10000),MOD(INT($AR1028/100),100),MOD($AR1028,100)),""),INT($AR1028)),IFERROR(DATE(--LEFT(LEFT(SUBSTITUTE(SUBSTITUTE(SUBSTITUTE(SUBSTITUTE(TRIM($AR1028),"-",""),".",""),"/","")," ",""),8),4),--MID(LEFT(SUBSTITUTE(SUBSTITUTE(SUBSTITUTE(SUBSTITUTE(TRIM($AR1028),"-",""),".",""),"/","")," ",""),8),5,2),--MID(LEFT(SUBSTITUTE(SUBSTITUTE(SUBSTITUTE(SUBSTITUTE(TRIM($AR1028),"-",""),".",""),"/","")," ",""),8),7,2)),"")))</f>
        <v/>
      </c>
      <c r="AT1028" s="33">
        <f>IF($AS1028="","",IF($F$6="",0,IF(ISNUMBER(INDEX($A:$AP,ROW(),$F$6)),INDEX($A:$AP,ROW(),$F$6),IFERROR(--SUBSTITUTE(SUBSTITUTE(TRIM(INDEX($A:$AP,ROW(),$F$6)),",",""),"원",""),0))))</f>
        <v/>
      </c>
      <c r="AU1028" s="31">
        <f>IF($AS1028="","",IF($AX1028&lt;&gt;"",SUBSTITUTE(SUBSTITUTE($AX1028,"-","")," ",""),"N:"&amp;$AV1028))</f>
        <v/>
      </c>
      <c r="AV1028" s="31">
        <f>IF(OR($AS1028="",$E$6=""),"",TRIM(INDEX($A:$AP,ROW(),$E$6)&amp;""))</f>
        <v/>
      </c>
      <c r="AW1028" s="31">
        <f>IF($AU1028="","",IF(MATCH($AU1028,$AU$8:$AU$2007,0)=ROW()-7,MAX($AW$7:$AW1027)+1,""))</f>
        <v/>
      </c>
      <c r="AX1028" s="31">
        <f>IF(OR($AS1028="",$D$6=""),"",TRIM(INDEX($A:$AP,ROW(),$D$6)&amp;""))</f>
        <v/>
      </c>
      <c r="AY1028" s="31">
        <f>IF($AU1028="","",INDEX($AW$8:$AW$2007,MATCH($AU1028,$AU$8:$AU$2007,0)))</f>
        <v/>
      </c>
      <c r="AZ1028" s="31">
        <f>IF(OR($AS1028="",$C$6=""),"",TRIM(INDEX($A:$AP,ROW(),$C$6)&amp;""))</f>
        <v/>
      </c>
      <c r="BA1028" s="31">
        <f>IF($AZ1028="","",IF(COUNTIF($AZ$8:$AZ1028,$AZ1028)&gt;1,1,0))</f>
        <v/>
      </c>
    </row>
    <row r="1029">
      <c r="AR1029" s="31">
        <f>IF(OR($A$5="",$B$6="",ROW()&lt;$A$5),"",IF(INDEX($A:$AP,ROW(),$B$6)="","",INDEX($A:$AP,ROW(),$B$6)))</f>
        <v/>
      </c>
      <c r="AS1029" s="32">
        <f>IF($AR1029="","",IF(ISNUMBER($AR1029),IF($AR1029&gt;=10000000,IFERROR(DATE(INT($AR1029/10000),MOD(INT($AR1029/100),100),MOD($AR1029,100)),""),INT($AR1029)),IFERROR(DATE(--LEFT(LEFT(SUBSTITUTE(SUBSTITUTE(SUBSTITUTE(SUBSTITUTE(TRIM($AR1029),"-",""),".",""),"/","")," ",""),8),4),--MID(LEFT(SUBSTITUTE(SUBSTITUTE(SUBSTITUTE(SUBSTITUTE(TRIM($AR1029),"-",""),".",""),"/","")," ",""),8),5,2),--MID(LEFT(SUBSTITUTE(SUBSTITUTE(SUBSTITUTE(SUBSTITUTE(TRIM($AR1029),"-",""),".",""),"/","")," ",""),8),7,2)),"")))</f>
        <v/>
      </c>
      <c r="AT1029" s="33">
        <f>IF($AS1029="","",IF($F$6="",0,IF(ISNUMBER(INDEX($A:$AP,ROW(),$F$6)),INDEX($A:$AP,ROW(),$F$6),IFERROR(--SUBSTITUTE(SUBSTITUTE(TRIM(INDEX($A:$AP,ROW(),$F$6)),",",""),"원",""),0))))</f>
        <v/>
      </c>
      <c r="AU1029" s="31">
        <f>IF($AS1029="","",IF($AX1029&lt;&gt;"",SUBSTITUTE(SUBSTITUTE($AX1029,"-","")," ",""),"N:"&amp;$AV1029))</f>
        <v/>
      </c>
      <c r="AV1029" s="31">
        <f>IF(OR($AS1029="",$E$6=""),"",TRIM(INDEX($A:$AP,ROW(),$E$6)&amp;""))</f>
        <v/>
      </c>
      <c r="AW1029" s="31">
        <f>IF($AU1029="","",IF(MATCH($AU1029,$AU$8:$AU$2007,0)=ROW()-7,MAX($AW$7:$AW1028)+1,""))</f>
        <v/>
      </c>
      <c r="AX1029" s="31">
        <f>IF(OR($AS1029="",$D$6=""),"",TRIM(INDEX($A:$AP,ROW(),$D$6)&amp;""))</f>
        <v/>
      </c>
      <c r="AY1029" s="31">
        <f>IF($AU1029="","",INDEX($AW$8:$AW$2007,MATCH($AU1029,$AU$8:$AU$2007,0)))</f>
        <v/>
      </c>
      <c r="AZ1029" s="31">
        <f>IF(OR($AS1029="",$C$6=""),"",TRIM(INDEX($A:$AP,ROW(),$C$6)&amp;""))</f>
        <v/>
      </c>
      <c r="BA1029" s="31">
        <f>IF($AZ1029="","",IF(COUNTIF($AZ$8:$AZ1029,$AZ1029)&gt;1,1,0))</f>
        <v/>
      </c>
    </row>
    <row r="1030">
      <c r="AR1030" s="31">
        <f>IF(OR($A$5="",$B$6="",ROW()&lt;$A$5),"",IF(INDEX($A:$AP,ROW(),$B$6)="","",INDEX($A:$AP,ROW(),$B$6)))</f>
        <v/>
      </c>
      <c r="AS1030" s="32">
        <f>IF($AR1030="","",IF(ISNUMBER($AR1030),IF($AR1030&gt;=10000000,IFERROR(DATE(INT($AR1030/10000),MOD(INT($AR1030/100),100),MOD($AR1030,100)),""),INT($AR1030)),IFERROR(DATE(--LEFT(LEFT(SUBSTITUTE(SUBSTITUTE(SUBSTITUTE(SUBSTITUTE(TRIM($AR1030),"-",""),".",""),"/","")," ",""),8),4),--MID(LEFT(SUBSTITUTE(SUBSTITUTE(SUBSTITUTE(SUBSTITUTE(TRIM($AR1030),"-",""),".",""),"/","")," ",""),8),5,2),--MID(LEFT(SUBSTITUTE(SUBSTITUTE(SUBSTITUTE(SUBSTITUTE(TRIM($AR1030),"-",""),".",""),"/","")," ",""),8),7,2)),"")))</f>
        <v/>
      </c>
      <c r="AT1030" s="33">
        <f>IF($AS1030="","",IF($F$6="",0,IF(ISNUMBER(INDEX($A:$AP,ROW(),$F$6)),INDEX($A:$AP,ROW(),$F$6),IFERROR(--SUBSTITUTE(SUBSTITUTE(TRIM(INDEX($A:$AP,ROW(),$F$6)),",",""),"원",""),0))))</f>
        <v/>
      </c>
      <c r="AU1030" s="31">
        <f>IF($AS1030="","",IF($AX1030&lt;&gt;"",SUBSTITUTE(SUBSTITUTE($AX1030,"-","")," ",""),"N:"&amp;$AV1030))</f>
        <v/>
      </c>
      <c r="AV1030" s="31">
        <f>IF(OR($AS1030="",$E$6=""),"",TRIM(INDEX($A:$AP,ROW(),$E$6)&amp;""))</f>
        <v/>
      </c>
      <c r="AW1030" s="31">
        <f>IF($AU1030="","",IF(MATCH($AU1030,$AU$8:$AU$2007,0)=ROW()-7,MAX($AW$7:$AW1029)+1,""))</f>
        <v/>
      </c>
      <c r="AX1030" s="31">
        <f>IF(OR($AS1030="",$D$6=""),"",TRIM(INDEX($A:$AP,ROW(),$D$6)&amp;""))</f>
        <v/>
      </c>
      <c r="AY1030" s="31">
        <f>IF($AU1030="","",INDEX($AW$8:$AW$2007,MATCH($AU1030,$AU$8:$AU$2007,0)))</f>
        <v/>
      </c>
      <c r="AZ1030" s="31">
        <f>IF(OR($AS1030="",$C$6=""),"",TRIM(INDEX($A:$AP,ROW(),$C$6)&amp;""))</f>
        <v/>
      </c>
      <c r="BA1030" s="31">
        <f>IF($AZ1030="","",IF(COUNTIF($AZ$8:$AZ1030,$AZ1030)&gt;1,1,0))</f>
        <v/>
      </c>
    </row>
    <row r="1031">
      <c r="AR1031" s="31">
        <f>IF(OR($A$5="",$B$6="",ROW()&lt;$A$5),"",IF(INDEX($A:$AP,ROW(),$B$6)="","",INDEX($A:$AP,ROW(),$B$6)))</f>
        <v/>
      </c>
      <c r="AS1031" s="32">
        <f>IF($AR1031="","",IF(ISNUMBER($AR1031),IF($AR1031&gt;=10000000,IFERROR(DATE(INT($AR1031/10000),MOD(INT($AR1031/100),100),MOD($AR1031,100)),""),INT($AR1031)),IFERROR(DATE(--LEFT(LEFT(SUBSTITUTE(SUBSTITUTE(SUBSTITUTE(SUBSTITUTE(TRIM($AR1031),"-",""),".",""),"/","")," ",""),8),4),--MID(LEFT(SUBSTITUTE(SUBSTITUTE(SUBSTITUTE(SUBSTITUTE(TRIM($AR1031),"-",""),".",""),"/","")," ",""),8),5,2),--MID(LEFT(SUBSTITUTE(SUBSTITUTE(SUBSTITUTE(SUBSTITUTE(TRIM($AR1031),"-",""),".",""),"/","")," ",""),8),7,2)),"")))</f>
        <v/>
      </c>
      <c r="AT1031" s="33">
        <f>IF($AS1031="","",IF($F$6="",0,IF(ISNUMBER(INDEX($A:$AP,ROW(),$F$6)),INDEX($A:$AP,ROW(),$F$6),IFERROR(--SUBSTITUTE(SUBSTITUTE(TRIM(INDEX($A:$AP,ROW(),$F$6)),",",""),"원",""),0))))</f>
        <v/>
      </c>
      <c r="AU1031" s="31">
        <f>IF($AS1031="","",IF($AX1031&lt;&gt;"",SUBSTITUTE(SUBSTITUTE($AX1031,"-","")," ",""),"N:"&amp;$AV1031))</f>
        <v/>
      </c>
      <c r="AV1031" s="31">
        <f>IF(OR($AS1031="",$E$6=""),"",TRIM(INDEX($A:$AP,ROW(),$E$6)&amp;""))</f>
        <v/>
      </c>
      <c r="AW1031" s="31">
        <f>IF($AU1031="","",IF(MATCH($AU1031,$AU$8:$AU$2007,0)=ROW()-7,MAX($AW$7:$AW1030)+1,""))</f>
        <v/>
      </c>
      <c r="AX1031" s="31">
        <f>IF(OR($AS1031="",$D$6=""),"",TRIM(INDEX($A:$AP,ROW(),$D$6)&amp;""))</f>
        <v/>
      </c>
      <c r="AY1031" s="31">
        <f>IF($AU1031="","",INDEX($AW$8:$AW$2007,MATCH($AU1031,$AU$8:$AU$2007,0)))</f>
        <v/>
      </c>
      <c r="AZ1031" s="31">
        <f>IF(OR($AS1031="",$C$6=""),"",TRIM(INDEX($A:$AP,ROW(),$C$6)&amp;""))</f>
        <v/>
      </c>
      <c r="BA1031" s="31">
        <f>IF($AZ1031="","",IF(COUNTIF($AZ$8:$AZ1031,$AZ1031)&gt;1,1,0))</f>
        <v/>
      </c>
    </row>
    <row r="1032">
      <c r="AR1032" s="31">
        <f>IF(OR($A$5="",$B$6="",ROW()&lt;$A$5),"",IF(INDEX($A:$AP,ROW(),$B$6)="","",INDEX($A:$AP,ROW(),$B$6)))</f>
        <v/>
      </c>
      <c r="AS1032" s="32">
        <f>IF($AR1032="","",IF(ISNUMBER($AR1032),IF($AR1032&gt;=10000000,IFERROR(DATE(INT($AR1032/10000),MOD(INT($AR1032/100),100),MOD($AR1032,100)),""),INT($AR1032)),IFERROR(DATE(--LEFT(LEFT(SUBSTITUTE(SUBSTITUTE(SUBSTITUTE(SUBSTITUTE(TRIM($AR1032),"-",""),".",""),"/","")," ",""),8),4),--MID(LEFT(SUBSTITUTE(SUBSTITUTE(SUBSTITUTE(SUBSTITUTE(TRIM($AR1032),"-",""),".",""),"/","")," ",""),8),5,2),--MID(LEFT(SUBSTITUTE(SUBSTITUTE(SUBSTITUTE(SUBSTITUTE(TRIM($AR1032),"-",""),".",""),"/","")," ",""),8),7,2)),"")))</f>
        <v/>
      </c>
      <c r="AT1032" s="33">
        <f>IF($AS1032="","",IF($F$6="",0,IF(ISNUMBER(INDEX($A:$AP,ROW(),$F$6)),INDEX($A:$AP,ROW(),$F$6),IFERROR(--SUBSTITUTE(SUBSTITUTE(TRIM(INDEX($A:$AP,ROW(),$F$6)),",",""),"원",""),0))))</f>
        <v/>
      </c>
      <c r="AU1032" s="31">
        <f>IF($AS1032="","",IF($AX1032&lt;&gt;"",SUBSTITUTE(SUBSTITUTE($AX1032,"-","")," ",""),"N:"&amp;$AV1032))</f>
        <v/>
      </c>
      <c r="AV1032" s="31">
        <f>IF(OR($AS1032="",$E$6=""),"",TRIM(INDEX($A:$AP,ROW(),$E$6)&amp;""))</f>
        <v/>
      </c>
      <c r="AW1032" s="31">
        <f>IF($AU1032="","",IF(MATCH($AU1032,$AU$8:$AU$2007,0)=ROW()-7,MAX($AW$7:$AW1031)+1,""))</f>
        <v/>
      </c>
      <c r="AX1032" s="31">
        <f>IF(OR($AS1032="",$D$6=""),"",TRIM(INDEX($A:$AP,ROW(),$D$6)&amp;""))</f>
        <v/>
      </c>
      <c r="AY1032" s="31">
        <f>IF($AU1032="","",INDEX($AW$8:$AW$2007,MATCH($AU1032,$AU$8:$AU$2007,0)))</f>
        <v/>
      </c>
      <c r="AZ1032" s="31">
        <f>IF(OR($AS1032="",$C$6=""),"",TRIM(INDEX($A:$AP,ROW(),$C$6)&amp;""))</f>
        <v/>
      </c>
      <c r="BA1032" s="31">
        <f>IF($AZ1032="","",IF(COUNTIF($AZ$8:$AZ1032,$AZ1032)&gt;1,1,0))</f>
        <v/>
      </c>
    </row>
    <row r="1033">
      <c r="AR1033" s="31">
        <f>IF(OR($A$5="",$B$6="",ROW()&lt;$A$5),"",IF(INDEX($A:$AP,ROW(),$B$6)="","",INDEX($A:$AP,ROW(),$B$6)))</f>
        <v/>
      </c>
      <c r="AS1033" s="32">
        <f>IF($AR1033="","",IF(ISNUMBER($AR1033),IF($AR1033&gt;=10000000,IFERROR(DATE(INT($AR1033/10000),MOD(INT($AR1033/100),100),MOD($AR1033,100)),""),INT($AR1033)),IFERROR(DATE(--LEFT(LEFT(SUBSTITUTE(SUBSTITUTE(SUBSTITUTE(SUBSTITUTE(TRIM($AR1033),"-",""),".",""),"/","")," ",""),8),4),--MID(LEFT(SUBSTITUTE(SUBSTITUTE(SUBSTITUTE(SUBSTITUTE(TRIM($AR1033),"-",""),".",""),"/","")," ",""),8),5,2),--MID(LEFT(SUBSTITUTE(SUBSTITUTE(SUBSTITUTE(SUBSTITUTE(TRIM($AR1033),"-",""),".",""),"/","")," ",""),8),7,2)),"")))</f>
        <v/>
      </c>
      <c r="AT1033" s="33">
        <f>IF($AS1033="","",IF($F$6="",0,IF(ISNUMBER(INDEX($A:$AP,ROW(),$F$6)),INDEX($A:$AP,ROW(),$F$6),IFERROR(--SUBSTITUTE(SUBSTITUTE(TRIM(INDEX($A:$AP,ROW(),$F$6)),",",""),"원",""),0))))</f>
        <v/>
      </c>
      <c r="AU1033" s="31">
        <f>IF($AS1033="","",IF($AX1033&lt;&gt;"",SUBSTITUTE(SUBSTITUTE($AX1033,"-","")," ",""),"N:"&amp;$AV1033))</f>
        <v/>
      </c>
      <c r="AV1033" s="31">
        <f>IF(OR($AS1033="",$E$6=""),"",TRIM(INDEX($A:$AP,ROW(),$E$6)&amp;""))</f>
        <v/>
      </c>
      <c r="AW1033" s="31">
        <f>IF($AU1033="","",IF(MATCH($AU1033,$AU$8:$AU$2007,0)=ROW()-7,MAX($AW$7:$AW1032)+1,""))</f>
        <v/>
      </c>
      <c r="AX1033" s="31">
        <f>IF(OR($AS1033="",$D$6=""),"",TRIM(INDEX($A:$AP,ROW(),$D$6)&amp;""))</f>
        <v/>
      </c>
      <c r="AY1033" s="31">
        <f>IF($AU1033="","",INDEX($AW$8:$AW$2007,MATCH($AU1033,$AU$8:$AU$2007,0)))</f>
        <v/>
      </c>
      <c r="AZ1033" s="31">
        <f>IF(OR($AS1033="",$C$6=""),"",TRIM(INDEX($A:$AP,ROW(),$C$6)&amp;""))</f>
        <v/>
      </c>
      <c r="BA1033" s="31">
        <f>IF($AZ1033="","",IF(COUNTIF($AZ$8:$AZ1033,$AZ1033)&gt;1,1,0))</f>
        <v/>
      </c>
    </row>
    <row r="1034">
      <c r="AR1034" s="31">
        <f>IF(OR($A$5="",$B$6="",ROW()&lt;$A$5),"",IF(INDEX($A:$AP,ROW(),$B$6)="","",INDEX($A:$AP,ROW(),$B$6)))</f>
        <v/>
      </c>
      <c r="AS1034" s="32">
        <f>IF($AR1034="","",IF(ISNUMBER($AR1034),IF($AR1034&gt;=10000000,IFERROR(DATE(INT($AR1034/10000),MOD(INT($AR1034/100),100),MOD($AR1034,100)),""),INT($AR1034)),IFERROR(DATE(--LEFT(LEFT(SUBSTITUTE(SUBSTITUTE(SUBSTITUTE(SUBSTITUTE(TRIM($AR1034),"-",""),".",""),"/","")," ",""),8),4),--MID(LEFT(SUBSTITUTE(SUBSTITUTE(SUBSTITUTE(SUBSTITUTE(TRIM($AR1034),"-",""),".",""),"/","")," ",""),8),5,2),--MID(LEFT(SUBSTITUTE(SUBSTITUTE(SUBSTITUTE(SUBSTITUTE(TRIM($AR1034),"-",""),".",""),"/","")," ",""),8),7,2)),"")))</f>
        <v/>
      </c>
      <c r="AT1034" s="33">
        <f>IF($AS1034="","",IF($F$6="",0,IF(ISNUMBER(INDEX($A:$AP,ROW(),$F$6)),INDEX($A:$AP,ROW(),$F$6),IFERROR(--SUBSTITUTE(SUBSTITUTE(TRIM(INDEX($A:$AP,ROW(),$F$6)),",",""),"원",""),0))))</f>
        <v/>
      </c>
      <c r="AU1034" s="31">
        <f>IF($AS1034="","",IF($AX1034&lt;&gt;"",SUBSTITUTE(SUBSTITUTE($AX1034,"-","")," ",""),"N:"&amp;$AV1034))</f>
        <v/>
      </c>
      <c r="AV1034" s="31">
        <f>IF(OR($AS1034="",$E$6=""),"",TRIM(INDEX($A:$AP,ROW(),$E$6)&amp;""))</f>
        <v/>
      </c>
      <c r="AW1034" s="31">
        <f>IF($AU1034="","",IF(MATCH($AU1034,$AU$8:$AU$2007,0)=ROW()-7,MAX($AW$7:$AW1033)+1,""))</f>
        <v/>
      </c>
      <c r="AX1034" s="31">
        <f>IF(OR($AS1034="",$D$6=""),"",TRIM(INDEX($A:$AP,ROW(),$D$6)&amp;""))</f>
        <v/>
      </c>
      <c r="AY1034" s="31">
        <f>IF($AU1034="","",INDEX($AW$8:$AW$2007,MATCH($AU1034,$AU$8:$AU$2007,0)))</f>
        <v/>
      </c>
      <c r="AZ1034" s="31">
        <f>IF(OR($AS1034="",$C$6=""),"",TRIM(INDEX($A:$AP,ROW(),$C$6)&amp;""))</f>
        <v/>
      </c>
      <c r="BA1034" s="31">
        <f>IF($AZ1034="","",IF(COUNTIF($AZ$8:$AZ1034,$AZ1034)&gt;1,1,0))</f>
        <v/>
      </c>
    </row>
    <row r="1035">
      <c r="AR1035" s="31">
        <f>IF(OR($A$5="",$B$6="",ROW()&lt;$A$5),"",IF(INDEX($A:$AP,ROW(),$B$6)="","",INDEX($A:$AP,ROW(),$B$6)))</f>
        <v/>
      </c>
      <c r="AS1035" s="32">
        <f>IF($AR1035="","",IF(ISNUMBER($AR1035),IF($AR1035&gt;=10000000,IFERROR(DATE(INT($AR1035/10000),MOD(INT($AR1035/100),100),MOD($AR1035,100)),""),INT($AR1035)),IFERROR(DATE(--LEFT(LEFT(SUBSTITUTE(SUBSTITUTE(SUBSTITUTE(SUBSTITUTE(TRIM($AR1035),"-",""),".",""),"/","")," ",""),8),4),--MID(LEFT(SUBSTITUTE(SUBSTITUTE(SUBSTITUTE(SUBSTITUTE(TRIM($AR1035),"-",""),".",""),"/","")," ",""),8),5,2),--MID(LEFT(SUBSTITUTE(SUBSTITUTE(SUBSTITUTE(SUBSTITUTE(TRIM($AR1035),"-",""),".",""),"/","")," ",""),8),7,2)),"")))</f>
        <v/>
      </c>
      <c r="AT1035" s="33">
        <f>IF($AS1035="","",IF($F$6="",0,IF(ISNUMBER(INDEX($A:$AP,ROW(),$F$6)),INDEX($A:$AP,ROW(),$F$6),IFERROR(--SUBSTITUTE(SUBSTITUTE(TRIM(INDEX($A:$AP,ROW(),$F$6)),",",""),"원",""),0))))</f>
        <v/>
      </c>
      <c r="AU1035" s="31">
        <f>IF($AS1035="","",IF($AX1035&lt;&gt;"",SUBSTITUTE(SUBSTITUTE($AX1035,"-","")," ",""),"N:"&amp;$AV1035))</f>
        <v/>
      </c>
      <c r="AV1035" s="31">
        <f>IF(OR($AS1035="",$E$6=""),"",TRIM(INDEX($A:$AP,ROW(),$E$6)&amp;""))</f>
        <v/>
      </c>
      <c r="AW1035" s="31">
        <f>IF($AU1035="","",IF(MATCH($AU1035,$AU$8:$AU$2007,0)=ROW()-7,MAX($AW$7:$AW1034)+1,""))</f>
        <v/>
      </c>
      <c r="AX1035" s="31">
        <f>IF(OR($AS1035="",$D$6=""),"",TRIM(INDEX($A:$AP,ROW(),$D$6)&amp;""))</f>
        <v/>
      </c>
      <c r="AY1035" s="31">
        <f>IF($AU1035="","",INDEX($AW$8:$AW$2007,MATCH($AU1035,$AU$8:$AU$2007,0)))</f>
        <v/>
      </c>
      <c r="AZ1035" s="31">
        <f>IF(OR($AS1035="",$C$6=""),"",TRIM(INDEX($A:$AP,ROW(),$C$6)&amp;""))</f>
        <v/>
      </c>
      <c r="BA1035" s="31">
        <f>IF($AZ1035="","",IF(COUNTIF($AZ$8:$AZ1035,$AZ1035)&gt;1,1,0))</f>
        <v/>
      </c>
    </row>
    <row r="1036">
      <c r="AR1036" s="31">
        <f>IF(OR($A$5="",$B$6="",ROW()&lt;$A$5),"",IF(INDEX($A:$AP,ROW(),$B$6)="","",INDEX($A:$AP,ROW(),$B$6)))</f>
        <v/>
      </c>
      <c r="AS1036" s="32">
        <f>IF($AR1036="","",IF(ISNUMBER($AR1036),IF($AR1036&gt;=10000000,IFERROR(DATE(INT($AR1036/10000),MOD(INT($AR1036/100),100),MOD($AR1036,100)),""),INT($AR1036)),IFERROR(DATE(--LEFT(LEFT(SUBSTITUTE(SUBSTITUTE(SUBSTITUTE(SUBSTITUTE(TRIM($AR1036),"-",""),".",""),"/","")," ",""),8),4),--MID(LEFT(SUBSTITUTE(SUBSTITUTE(SUBSTITUTE(SUBSTITUTE(TRIM($AR1036),"-",""),".",""),"/","")," ",""),8),5,2),--MID(LEFT(SUBSTITUTE(SUBSTITUTE(SUBSTITUTE(SUBSTITUTE(TRIM($AR1036),"-",""),".",""),"/","")," ",""),8),7,2)),"")))</f>
        <v/>
      </c>
      <c r="AT1036" s="33">
        <f>IF($AS1036="","",IF($F$6="",0,IF(ISNUMBER(INDEX($A:$AP,ROW(),$F$6)),INDEX($A:$AP,ROW(),$F$6),IFERROR(--SUBSTITUTE(SUBSTITUTE(TRIM(INDEX($A:$AP,ROW(),$F$6)),",",""),"원",""),0))))</f>
        <v/>
      </c>
      <c r="AU1036" s="31">
        <f>IF($AS1036="","",IF($AX1036&lt;&gt;"",SUBSTITUTE(SUBSTITUTE($AX1036,"-","")," ",""),"N:"&amp;$AV1036))</f>
        <v/>
      </c>
      <c r="AV1036" s="31">
        <f>IF(OR($AS1036="",$E$6=""),"",TRIM(INDEX($A:$AP,ROW(),$E$6)&amp;""))</f>
        <v/>
      </c>
      <c r="AW1036" s="31">
        <f>IF($AU1036="","",IF(MATCH($AU1036,$AU$8:$AU$2007,0)=ROW()-7,MAX($AW$7:$AW1035)+1,""))</f>
        <v/>
      </c>
      <c r="AX1036" s="31">
        <f>IF(OR($AS1036="",$D$6=""),"",TRIM(INDEX($A:$AP,ROW(),$D$6)&amp;""))</f>
        <v/>
      </c>
      <c r="AY1036" s="31">
        <f>IF($AU1036="","",INDEX($AW$8:$AW$2007,MATCH($AU1036,$AU$8:$AU$2007,0)))</f>
        <v/>
      </c>
      <c r="AZ1036" s="31">
        <f>IF(OR($AS1036="",$C$6=""),"",TRIM(INDEX($A:$AP,ROW(),$C$6)&amp;""))</f>
        <v/>
      </c>
      <c r="BA1036" s="31">
        <f>IF($AZ1036="","",IF(COUNTIF($AZ$8:$AZ1036,$AZ1036)&gt;1,1,0))</f>
        <v/>
      </c>
    </row>
    <row r="1037">
      <c r="AR1037" s="31">
        <f>IF(OR($A$5="",$B$6="",ROW()&lt;$A$5),"",IF(INDEX($A:$AP,ROW(),$B$6)="","",INDEX($A:$AP,ROW(),$B$6)))</f>
        <v/>
      </c>
      <c r="AS1037" s="32">
        <f>IF($AR1037="","",IF(ISNUMBER($AR1037),IF($AR1037&gt;=10000000,IFERROR(DATE(INT($AR1037/10000),MOD(INT($AR1037/100),100),MOD($AR1037,100)),""),INT($AR1037)),IFERROR(DATE(--LEFT(LEFT(SUBSTITUTE(SUBSTITUTE(SUBSTITUTE(SUBSTITUTE(TRIM($AR1037),"-",""),".",""),"/","")," ",""),8),4),--MID(LEFT(SUBSTITUTE(SUBSTITUTE(SUBSTITUTE(SUBSTITUTE(TRIM($AR1037),"-",""),".",""),"/","")," ",""),8),5,2),--MID(LEFT(SUBSTITUTE(SUBSTITUTE(SUBSTITUTE(SUBSTITUTE(TRIM($AR1037),"-",""),".",""),"/","")," ",""),8),7,2)),"")))</f>
        <v/>
      </c>
      <c r="AT1037" s="33">
        <f>IF($AS1037="","",IF($F$6="",0,IF(ISNUMBER(INDEX($A:$AP,ROW(),$F$6)),INDEX($A:$AP,ROW(),$F$6),IFERROR(--SUBSTITUTE(SUBSTITUTE(TRIM(INDEX($A:$AP,ROW(),$F$6)),",",""),"원",""),0))))</f>
        <v/>
      </c>
      <c r="AU1037" s="31">
        <f>IF($AS1037="","",IF($AX1037&lt;&gt;"",SUBSTITUTE(SUBSTITUTE($AX1037,"-","")," ",""),"N:"&amp;$AV1037))</f>
        <v/>
      </c>
      <c r="AV1037" s="31">
        <f>IF(OR($AS1037="",$E$6=""),"",TRIM(INDEX($A:$AP,ROW(),$E$6)&amp;""))</f>
        <v/>
      </c>
      <c r="AW1037" s="31">
        <f>IF($AU1037="","",IF(MATCH($AU1037,$AU$8:$AU$2007,0)=ROW()-7,MAX($AW$7:$AW1036)+1,""))</f>
        <v/>
      </c>
      <c r="AX1037" s="31">
        <f>IF(OR($AS1037="",$D$6=""),"",TRIM(INDEX($A:$AP,ROW(),$D$6)&amp;""))</f>
        <v/>
      </c>
      <c r="AY1037" s="31">
        <f>IF($AU1037="","",INDEX($AW$8:$AW$2007,MATCH($AU1037,$AU$8:$AU$2007,0)))</f>
        <v/>
      </c>
      <c r="AZ1037" s="31">
        <f>IF(OR($AS1037="",$C$6=""),"",TRIM(INDEX($A:$AP,ROW(),$C$6)&amp;""))</f>
        <v/>
      </c>
      <c r="BA1037" s="31">
        <f>IF($AZ1037="","",IF(COUNTIF($AZ$8:$AZ1037,$AZ1037)&gt;1,1,0))</f>
        <v/>
      </c>
    </row>
    <row r="1038">
      <c r="AR1038" s="31">
        <f>IF(OR($A$5="",$B$6="",ROW()&lt;$A$5),"",IF(INDEX($A:$AP,ROW(),$B$6)="","",INDEX($A:$AP,ROW(),$B$6)))</f>
        <v/>
      </c>
      <c r="AS1038" s="32">
        <f>IF($AR1038="","",IF(ISNUMBER($AR1038),IF($AR1038&gt;=10000000,IFERROR(DATE(INT($AR1038/10000),MOD(INT($AR1038/100),100),MOD($AR1038,100)),""),INT($AR1038)),IFERROR(DATE(--LEFT(LEFT(SUBSTITUTE(SUBSTITUTE(SUBSTITUTE(SUBSTITUTE(TRIM($AR1038),"-",""),".",""),"/","")," ",""),8),4),--MID(LEFT(SUBSTITUTE(SUBSTITUTE(SUBSTITUTE(SUBSTITUTE(TRIM($AR1038),"-",""),".",""),"/","")," ",""),8),5,2),--MID(LEFT(SUBSTITUTE(SUBSTITUTE(SUBSTITUTE(SUBSTITUTE(TRIM($AR1038),"-",""),".",""),"/","")," ",""),8),7,2)),"")))</f>
        <v/>
      </c>
      <c r="AT1038" s="33">
        <f>IF($AS1038="","",IF($F$6="",0,IF(ISNUMBER(INDEX($A:$AP,ROW(),$F$6)),INDEX($A:$AP,ROW(),$F$6),IFERROR(--SUBSTITUTE(SUBSTITUTE(TRIM(INDEX($A:$AP,ROW(),$F$6)),",",""),"원",""),0))))</f>
        <v/>
      </c>
      <c r="AU1038" s="31">
        <f>IF($AS1038="","",IF($AX1038&lt;&gt;"",SUBSTITUTE(SUBSTITUTE($AX1038,"-","")," ",""),"N:"&amp;$AV1038))</f>
        <v/>
      </c>
      <c r="AV1038" s="31">
        <f>IF(OR($AS1038="",$E$6=""),"",TRIM(INDEX($A:$AP,ROW(),$E$6)&amp;""))</f>
        <v/>
      </c>
      <c r="AW1038" s="31">
        <f>IF($AU1038="","",IF(MATCH($AU1038,$AU$8:$AU$2007,0)=ROW()-7,MAX($AW$7:$AW1037)+1,""))</f>
        <v/>
      </c>
      <c r="AX1038" s="31">
        <f>IF(OR($AS1038="",$D$6=""),"",TRIM(INDEX($A:$AP,ROW(),$D$6)&amp;""))</f>
        <v/>
      </c>
      <c r="AY1038" s="31">
        <f>IF($AU1038="","",INDEX($AW$8:$AW$2007,MATCH($AU1038,$AU$8:$AU$2007,0)))</f>
        <v/>
      </c>
      <c r="AZ1038" s="31">
        <f>IF(OR($AS1038="",$C$6=""),"",TRIM(INDEX($A:$AP,ROW(),$C$6)&amp;""))</f>
        <v/>
      </c>
      <c r="BA1038" s="31">
        <f>IF($AZ1038="","",IF(COUNTIF($AZ$8:$AZ1038,$AZ1038)&gt;1,1,0))</f>
        <v/>
      </c>
    </row>
    <row r="1039">
      <c r="AR1039" s="31">
        <f>IF(OR($A$5="",$B$6="",ROW()&lt;$A$5),"",IF(INDEX($A:$AP,ROW(),$B$6)="","",INDEX($A:$AP,ROW(),$B$6)))</f>
        <v/>
      </c>
      <c r="AS1039" s="32">
        <f>IF($AR1039="","",IF(ISNUMBER($AR1039),IF($AR1039&gt;=10000000,IFERROR(DATE(INT($AR1039/10000),MOD(INT($AR1039/100),100),MOD($AR1039,100)),""),INT($AR1039)),IFERROR(DATE(--LEFT(LEFT(SUBSTITUTE(SUBSTITUTE(SUBSTITUTE(SUBSTITUTE(TRIM($AR1039),"-",""),".",""),"/","")," ",""),8),4),--MID(LEFT(SUBSTITUTE(SUBSTITUTE(SUBSTITUTE(SUBSTITUTE(TRIM($AR1039),"-",""),".",""),"/","")," ",""),8),5,2),--MID(LEFT(SUBSTITUTE(SUBSTITUTE(SUBSTITUTE(SUBSTITUTE(TRIM($AR1039),"-",""),".",""),"/","")," ",""),8),7,2)),"")))</f>
        <v/>
      </c>
      <c r="AT1039" s="33">
        <f>IF($AS1039="","",IF($F$6="",0,IF(ISNUMBER(INDEX($A:$AP,ROW(),$F$6)),INDEX($A:$AP,ROW(),$F$6),IFERROR(--SUBSTITUTE(SUBSTITUTE(TRIM(INDEX($A:$AP,ROW(),$F$6)),",",""),"원",""),0))))</f>
        <v/>
      </c>
      <c r="AU1039" s="31">
        <f>IF($AS1039="","",IF($AX1039&lt;&gt;"",SUBSTITUTE(SUBSTITUTE($AX1039,"-","")," ",""),"N:"&amp;$AV1039))</f>
        <v/>
      </c>
      <c r="AV1039" s="31">
        <f>IF(OR($AS1039="",$E$6=""),"",TRIM(INDEX($A:$AP,ROW(),$E$6)&amp;""))</f>
        <v/>
      </c>
      <c r="AW1039" s="31">
        <f>IF($AU1039="","",IF(MATCH($AU1039,$AU$8:$AU$2007,0)=ROW()-7,MAX($AW$7:$AW1038)+1,""))</f>
        <v/>
      </c>
      <c r="AX1039" s="31">
        <f>IF(OR($AS1039="",$D$6=""),"",TRIM(INDEX($A:$AP,ROW(),$D$6)&amp;""))</f>
        <v/>
      </c>
      <c r="AY1039" s="31">
        <f>IF($AU1039="","",INDEX($AW$8:$AW$2007,MATCH($AU1039,$AU$8:$AU$2007,0)))</f>
        <v/>
      </c>
      <c r="AZ1039" s="31">
        <f>IF(OR($AS1039="",$C$6=""),"",TRIM(INDEX($A:$AP,ROW(),$C$6)&amp;""))</f>
        <v/>
      </c>
      <c r="BA1039" s="31">
        <f>IF($AZ1039="","",IF(COUNTIF($AZ$8:$AZ1039,$AZ1039)&gt;1,1,0))</f>
        <v/>
      </c>
    </row>
    <row r="1040">
      <c r="AR1040" s="31">
        <f>IF(OR($A$5="",$B$6="",ROW()&lt;$A$5),"",IF(INDEX($A:$AP,ROW(),$B$6)="","",INDEX($A:$AP,ROW(),$B$6)))</f>
        <v/>
      </c>
      <c r="AS1040" s="32">
        <f>IF($AR1040="","",IF(ISNUMBER($AR1040),IF($AR1040&gt;=10000000,IFERROR(DATE(INT($AR1040/10000),MOD(INT($AR1040/100),100),MOD($AR1040,100)),""),INT($AR1040)),IFERROR(DATE(--LEFT(LEFT(SUBSTITUTE(SUBSTITUTE(SUBSTITUTE(SUBSTITUTE(TRIM($AR1040),"-",""),".",""),"/","")," ",""),8),4),--MID(LEFT(SUBSTITUTE(SUBSTITUTE(SUBSTITUTE(SUBSTITUTE(TRIM($AR1040),"-",""),".",""),"/","")," ",""),8),5,2),--MID(LEFT(SUBSTITUTE(SUBSTITUTE(SUBSTITUTE(SUBSTITUTE(TRIM($AR1040),"-",""),".",""),"/","")," ",""),8),7,2)),"")))</f>
        <v/>
      </c>
      <c r="AT1040" s="33">
        <f>IF($AS1040="","",IF($F$6="",0,IF(ISNUMBER(INDEX($A:$AP,ROW(),$F$6)),INDEX($A:$AP,ROW(),$F$6),IFERROR(--SUBSTITUTE(SUBSTITUTE(TRIM(INDEX($A:$AP,ROW(),$F$6)),",",""),"원",""),0))))</f>
        <v/>
      </c>
      <c r="AU1040" s="31">
        <f>IF($AS1040="","",IF($AX1040&lt;&gt;"",SUBSTITUTE(SUBSTITUTE($AX1040,"-","")," ",""),"N:"&amp;$AV1040))</f>
        <v/>
      </c>
      <c r="AV1040" s="31">
        <f>IF(OR($AS1040="",$E$6=""),"",TRIM(INDEX($A:$AP,ROW(),$E$6)&amp;""))</f>
        <v/>
      </c>
      <c r="AW1040" s="31">
        <f>IF($AU1040="","",IF(MATCH($AU1040,$AU$8:$AU$2007,0)=ROW()-7,MAX($AW$7:$AW1039)+1,""))</f>
        <v/>
      </c>
      <c r="AX1040" s="31">
        <f>IF(OR($AS1040="",$D$6=""),"",TRIM(INDEX($A:$AP,ROW(),$D$6)&amp;""))</f>
        <v/>
      </c>
      <c r="AY1040" s="31">
        <f>IF($AU1040="","",INDEX($AW$8:$AW$2007,MATCH($AU1040,$AU$8:$AU$2007,0)))</f>
        <v/>
      </c>
      <c r="AZ1040" s="31">
        <f>IF(OR($AS1040="",$C$6=""),"",TRIM(INDEX($A:$AP,ROW(),$C$6)&amp;""))</f>
        <v/>
      </c>
      <c r="BA1040" s="31">
        <f>IF($AZ1040="","",IF(COUNTIF($AZ$8:$AZ1040,$AZ1040)&gt;1,1,0))</f>
        <v/>
      </c>
    </row>
    <row r="1041">
      <c r="AR1041" s="31">
        <f>IF(OR($A$5="",$B$6="",ROW()&lt;$A$5),"",IF(INDEX($A:$AP,ROW(),$B$6)="","",INDEX($A:$AP,ROW(),$B$6)))</f>
        <v/>
      </c>
      <c r="AS1041" s="32">
        <f>IF($AR1041="","",IF(ISNUMBER($AR1041),IF($AR1041&gt;=10000000,IFERROR(DATE(INT($AR1041/10000),MOD(INT($AR1041/100),100),MOD($AR1041,100)),""),INT($AR1041)),IFERROR(DATE(--LEFT(LEFT(SUBSTITUTE(SUBSTITUTE(SUBSTITUTE(SUBSTITUTE(TRIM($AR1041),"-",""),".",""),"/","")," ",""),8),4),--MID(LEFT(SUBSTITUTE(SUBSTITUTE(SUBSTITUTE(SUBSTITUTE(TRIM($AR1041),"-",""),".",""),"/","")," ",""),8),5,2),--MID(LEFT(SUBSTITUTE(SUBSTITUTE(SUBSTITUTE(SUBSTITUTE(TRIM($AR1041),"-",""),".",""),"/","")," ",""),8),7,2)),"")))</f>
        <v/>
      </c>
      <c r="AT1041" s="33">
        <f>IF($AS1041="","",IF($F$6="",0,IF(ISNUMBER(INDEX($A:$AP,ROW(),$F$6)),INDEX($A:$AP,ROW(),$F$6),IFERROR(--SUBSTITUTE(SUBSTITUTE(TRIM(INDEX($A:$AP,ROW(),$F$6)),",",""),"원",""),0))))</f>
        <v/>
      </c>
      <c r="AU1041" s="31">
        <f>IF($AS1041="","",IF($AX1041&lt;&gt;"",SUBSTITUTE(SUBSTITUTE($AX1041,"-","")," ",""),"N:"&amp;$AV1041))</f>
        <v/>
      </c>
      <c r="AV1041" s="31">
        <f>IF(OR($AS1041="",$E$6=""),"",TRIM(INDEX($A:$AP,ROW(),$E$6)&amp;""))</f>
        <v/>
      </c>
      <c r="AW1041" s="31">
        <f>IF($AU1041="","",IF(MATCH($AU1041,$AU$8:$AU$2007,0)=ROW()-7,MAX($AW$7:$AW1040)+1,""))</f>
        <v/>
      </c>
      <c r="AX1041" s="31">
        <f>IF(OR($AS1041="",$D$6=""),"",TRIM(INDEX($A:$AP,ROW(),$D$6)&amp;""))</f>
        <v/>
      </c>
      <c r="AY1041" s="31">
        <f>IF($AU1041="","",INDEX($AW$8:$AW$2007,MATCH($AU1041,$AU$8:$AU$2007,0)))</f>
        <v/>
      </c>
      <c r="AZ1041" s="31">
        <f>IF(OR($AS1041="",$C$6=""),"",TRIM(INDEX($A:$AP,ROW(),$C$6)&amp;""))</f>
        <v/>
      </c>
      <c r="BA1041" s="31">
        <f>IF($AZ1041="","",IF(COUNTIF($AZ$8:$AZ1041,$AZ1041)&gt;1,1,0))</f>
        <v/>
      </c>
    </row>
    <row r="1042">
      <c r="AR1042" s="31">
        <f>IF(OR($A$5="",$B$6="",ROW()&lt;$A$5),"",IF(INDEX($A:$AP,ROW(),$B$6)="","",INDEX($A:$AP,ROW(),$B$6)))</f>
        <v/>
      </c>
      <c r="AS1042" s="32">
        <f>IF($AR1042="","",IF(ISNUMBER($AR1042),IF($AR1042&gt;=10000000,IFERROR(DATE(INT($AR1042/10000),MOD(INT($AR1042/100),100),MOD($AR1042,100)),""),INT($AR1042)),IFERROR(DATE(--LEFT(LEFT(SUBSTITUTE(SUBSTITUTE(SUBSTITUTE(SUBSTITUTE(TRIM($AR1042),"-",""),".",""),"/","")," ",""),8),4),--MID(LEFT(SUBSTITUTE(SUBSTITUTE(SUBSTITUTE(SUBSTITUTE(TRIM($AR1042),"-",""),".",""),"/","")," ",""),8),5,2),--MID(LEFT(SUBSTITUTE(SUBSTITUTE(SUBSTITUTE(SUBSTITUTE(TRIM($AR1042),"-",""),".",""),"/","")," ",""),8),7,2)),"")))</f>
        <v/>
      </c>
      <c r="AT1042" s="33">
        <f>IF($AS1042="","",IF($F$6="",0,IF(ISNUMBER(INDEX($A:$AP,ROW(),$F$6)),INDEX($A:$AP,ROW(),$F$6),IFERROR(--SUBSTITUTE(SUBSTITUTE(TRIM(INDEX($A:$AP,ROW(),$F$6)),",",""),"원",""),0))))</f>
        <v/>
      </c>
      <c r="AU1042" s="31">
        <f>IF($AS1042="","",IF($AX1042&lt;&gt;"",SUBSTITUTE(SUBSTITUTE($AX1042,"-","")," ",""),"N:"&amp;$AV1042))</f>
        <v/>
      </c>
      <c r="AV1042" s="31">
        <f>IF(OR($AS1042="",$E$6=""),"",TRIM(INDEX($A:$AP,ROW(),$E$6)&amp;""))</f>
        <v/>
      </c>
      <c r="AW1042" s="31">
        <f>IF($AU1042="","",IF(MATCH($AU1042,$AU$8:$AU$2007,0)=ROW()-7,MAX($AW$7:$AW1041)+1,""))</f>
        <v/>
      </c>
      <c r="AX1042" s="31">
        <f>IF(OR($AS1042="",$D$6=""),"",TRIM(INDEX($A:$AP,ROW(),$D$6)&amp;""))</f>
        <v/>
      </c>
      <c r="AY1042" s="31">
        <f>IF($AU1042="","",INDEX($AW$8:$AW$2007,MATCH($AU1042,$AU$8:$AU$2007,0)))</f>
        <v/>
      </c>
      <c r="AZ1042" s="31">
        <f>IF(OR($AS1042="",$C$6=""),"",TRIM(INDEX($A:$AP,ROW(),$C$6)&amp;""))</f>
        <v/>
      </c>
      <c r="BA1042" s="31">
        <f>IF($AZ1042="","",IF(COUNTIF($AZ$8:$AZ1042,$AZ1042)&gt;1,1,0))</f>
        <v/>
      </c>
    </row>
    <row r="1043">
      <c r="AR1043" s="31">
        <f>IF(OR($A$5="",$B$6="",ROW()&lt;$A$5),"",IF(INDEX($A:$AP,ROW(),$B$6)="","",INDEX($A:$AP,ROW(),$B$6)))</f>
        <v/>
      </c>
      <c r="AS1043" s="32">
        <f>IF($AR1043="","",IF(ISNUMBER($AR1043),IF($AR1043&gt;=10000000,IFERROR(DATE(INT($AR1043/10000),MOD(INT($AR1043/100),100),MOD($AR1043,100)),""),INT($AR1043)),IFERROR(DATE(--LEFT(LEFT(SUBSTITUTE(SUBSTITUTE(SUBSTITUTE(SUBSTITUTE(TRIM($AR1043),"-",""),".",""),"/","")," ",""),8),4),--MID(LEFT(SUBSTITUTE(SUBSTITUTE(SUBSTITUTE(SUBSTITUTE(TRIM($AR1043),"-",""),".",""),"/","")," ",""),8),5,2),--MID(LEFT(SUBSTITUTE(SUBSTITUTE(SUBSTITUTE(SUBSTITUTE(TRIM($AR1043),"-",""),".",""),"/","")," ",""),8),7,2)),"")))</f>
        <v/>
      </c>
      <c r="AT1043" s="33">
        <f>IF($AS1043="","",IF($F$6="",0,IF(ISNUMBER(INDEX($A:$AP,ROW(),$F$6)),INDEX($A:$AP,ROW(),$F$6),IFERROR(--SUBSTITUTE(SUBSTITUTE(TRIM(INDEX($A:$AP,ROW(),$F$6)),",",""),"원",""),0))))</f>
        <v/>
      </c>
      <c r="AU1043" s="31">
        <f>IF($AS1043="","",IF($AX1043&lt;&gt;"",SUBSTITUTE(SUBSTITUTE($AX1043,"-","")," ",""),"N:"&amp;$AV1043))</f>
        <v/>
      </c>
      <c r="AV1043" s="31">
        <f>IF(OR($AS1043="",$E$6=""),"",TRIM(INDEX($A:$AP,ROW(),$E$6)&amp;""))</f>
        <v/>
      </c>
      <c r="AW1043" s="31">
        <f>IF($AU1043="","",IF(MATCH($AU1043,$AU$8:$AU$2007,0)=ROW()-7,MAX($AW$7:$AW1042)+1,""))</f>
        <v/>
      </c>
      <c r="AX1043" s="31">
        <f>IF(OR($AS1043="",$D$6=""),"",TRIM(INDEX($A:$AP,ROW(),$D$6)&amp;""))</f>
        <v/>
      </c>
      <c r="AY1043" s="31">
        <f>IF($AU1043="","",INDEX($AW$8:$AW$2007,MATCH($AU1043,$AU$8:$AU$2007,0)))</f>
        <v/>
      </c>
      <c r="AZ1043" s="31">
        <f>IF(OR($AS1043="",$C$6=""),"",TRIM(INDEX($A:$AP,ROW(),$C$6)&amp;""))</f>
        <v/>
      </c>
      <c r="BA1043" s="31">
        <f>IF($AZ1043="","",IF(COUNTIF($AZ$8:$AZ1043,$AZ1043)&gt;1,1,0))</f>
        <v/>
      </c>
    </row>
    <row r="1044">
      <c r="AR1044" s="31">
        <f>IF(OR($A$5="",$B$6="",ROW()&lt;$A$5),"",IF(INDEX($A:$AP,ROW(),$B$6)="","",INDEX($A:$AP,ROW(),$B$6)))</f>
        <v/>
      </c>
      <c r="AS1044" s="32">
        <f>IF($AR1044="","",IF(ISNUMBER($AR1044),IF($AR1044&gt;=10000000,IFERROR(DATE(INT($AR1044/10000),MOD(INT($AR1044/100),100),MOD($AR1044,100)),""),INT($AR1044)),IFERROR(DATE(--LEFT(LEFT(SUBSTITUTE(SUBSTITUTE(SUBSTITUTE(SUBSTITUTE(TRIM($AR1044),"-",""),".",""),"/","")," ",""),8),4),--MID(LEFT(SUBSTITUTE(SUBSTITUTE(SUBSTITUTE(SUBSTITUTE(TRIM($AR1044),"-",""),".",""),"/","")," ",""),8),5,2),--MID(LEFT(SUBSTITUTE(SUBSTITUTE(SUBSTITUTE(SUBSTITUTE(TRIM($AR1044),"-",""),".",""),"/","")," ",""),8),7,2)),"")))</f>
        <v/>
      </c>
      <c r="AT1044" s="33">
        <f>IF($AS1044="","",IF($F$6="",0,IF(ISNUMBER(INDEX($A:$AP,ROW(),$F$6)),INDEX($A:$AP,ROW(),$F$6),IFERROR(--SUBSTITUTE(SUBSTITUTE(TRIM(INDEX($A:$AP,ROW(),$F$6)),",",""),"원",""),0))))</f>
        <v/>
      </c>
      <c r="AU1044" s="31">
        <f>IF($AS1044="","",IF($AX1044&lt;&gt;"",SUBSTITUTE(SUBSTITUTE($AX1044,"-","")," ",""),"N:"&amp;$AV1044))</f>
        <v/>
      </c>
      <c r="AV1044" s="31">
        <f>IF(OR($AS1044="",$E$6=""),"",TRIM(INDEX($A:$AP,ROW(),$E$6)&amp;""))</f>
        <v/>
      </c>
      <c r="AW1044" s="31">
        <f>IF($AU1044="","",IF(MATCH($AU1044,$AU$8:$AU$2007,0)=ROW()-7,MAX($AW$7:$AW1043)+1,""))</f>
        <v/>
      </c>
      <c r="AX1044" s="31">
        <f>IF(OR($AS1044="",$D$6=""),"",TRIM(INDEX($A:$AP,ROW(),$D$6)&amp;""))</f>
        <v/>
      </c>
      <c r="AY1044" s="31">
        <f>IF($AU1044="","",INDEX($AW$8:$AW$2007,MATCH($AU1044,$AU$8:$AU$2007,0)))</f>
        <v/>
      </c>
      <c r="AZ1044" s="31">
        <f>IF(OR($AS1044="",$C$6=""),"",TRIM(INDEX($A:$AP,ROW(),$C$6)&amp;""))</f>
        <v/>
      </c>
      <c r="BA1044" s="31">
        <f>IF($AZ1044="","",IF(COUNTIF($AZ$8:$AZ1044,$AZ1044)&gt;1,1,0))</f>
        <v/>
      </c>
    </row>
    <row r="1045">
      <c r="AR1045" s="31">
        <f>IF(OR($A$5="",$B$6="",ROW()&lt;$A$5),"",IF(INDEX($A:$AP,ROW(),$B$6)="","",INDEX($A:$AP,ROW(),$B$6)))</f>
        <v/>
      </c>
      <c r="AS1045" s="32">
        <f>IF($AR1045="","",IF(ISNUMBER($AR1045),IF($AR1045&gt;=10000000,IFERROR(DATE(INT($AR1045/10000),MOD(INT($AR1045/100),100),MOD($AR1045,100)),""),INT($AR1045)),IFERROR(DATE(--LEFT(LEFT(SUBSTITUTE(SUBSTITUTE(SUBSTITUTE(SUBSTITUTE(TRIM($AR1045),"-",""),".",""),"/","")," ",""),8),4),--MID(LEFT(SUBSTITUTE(SUBSTITUTE(SUBSTITUTE(SUBSTITUTE(TRIM($AR1045),"-",""),".",""),"/","")," ",""),8),5,2),--MID(LEFT(SUBSTITUTE(SUBSTITUTE(SUBSTITUTE(SUBSTITUTE(TRIM($AR1045),"-",""),".",""),"/","")," ",""),8),7,2)),"")))</f>
        <v/>
      </c>
      <c r="AT1045" s="33">
        <f>IF($AS1045="","",IF($F$6="",0,IF(ISNUMBER(INDEX($A:$AP,ROW(),$F$6)),INDEX($A:$AP,ROW(),$F$6),IFERROR(--SUBSTITUTE(SUBSTITUTE(TRIM(INDEX($A:$AP,ROW(),$F$6)),",",""),"원",""),0))))</f>
        <v/>
      </c>
      <c r="AU1045" s="31">
        <f>IF($AS1045="","",IF($AX1045&lt;&gt;"",SUBSTITUTE(SUBSTITUTE($AX1045,"-","")," ",""),"N:"&amp;$AV1045))</f>
        <v/>
      </c>
      <c r="AV1045" s="31">
        <f>IF(OR($AS1045="",$E$6=""),"",TRIM(INDEX($A:$AP,ROW(),$E$6)&amp;""))</f>
        <v/>
      </c>
      <c r="AW1045" s="31">
        <f>IF($AU1045="","",IF(MATCH($AU1045,$AU$8:$AU$2007,0)=ROW()-7,MAX($AW$7:$AW1044)+1,""))</f>
        <v/>
      </c>
      <c r="AX1045" s="31">
        <f>IF(OR($AS1045="",$D$6=""),"",TRIM(INDEX($A:$AP,ROW(),$D$6)&amp;""))</f>
        <v/>
      </c>
      <c r="AY1045" s="31">
        <f>IF($AU1045="","",INDEX($AW$8:$AW$2007,MATCH($AU1045,$AU$8:$AU$2007,0)))</f>
        <v/>
      </c>
      <c r="AZ1045" s="31">
        <f>IF(OR($AS1045="",$C$6=""),"",TRIM(INDEX($A:$AP,ROW(),$C$6)&amp;""))</f>
        <v/>
      </c>
      <c r="BA1045" s="31">
        <f>IF($AZ1045="","",IF(COUNTIF($AZ$8:$AZ1045,$AZ1045)&gt;1,1,0))</f>
        <v/>
      </c>
    </row>
    <row r="1046">
      <c r="AR1046" s="31">
        <f>IF(OR($A$5="",$B$6="",ROW()&lt;$A$5),"",IF(INDEX($A:$AP,ROW(),$B$6)="","",INDEX($A:$AP,ROW(),$B$6)))</f>
        <v/>
      </c>
      <c r="AS1046" s="32">
        <f>IF($AR1046="","",IF(ISNUMBER($AR1046),IF($AR1046&gt;=10000000,IFERROR(DATE(INT($AR1046/10000),MOD(INT($AR1046/100),100),MOD($AR1046,100)),""),INT($AR1046)),IFERROR(DATE(--LEFT(LEFT(SUBSTITUTE(SUBSTITUTE(SUBSTITUTE(SUBSTITUTE(TRIM($AR1046),"-",""),".",""),"/","")," ",""),8),4),--MID(LEFT(SUBSTITUTE(SUBSTITUTE(SUBSTITUTE(SUBSTITUTE(TRIM($AR1046),"-",""),".",""),"/","")," ",""),8),5,2),--MID(LEFT(SUBSTITUTE(SUBSTITUTE(SUBSTITUTE(SUBSTITUTE(TRIM($AR1046),"-",""),".",""),"/","")," ",""),8),7,2)),"")))</f>
        <v/>
      </c>
      <c r="AT1046" s="33">
        <f>IF($AS1046="","",IF($F$6="",0,IF(ISNUMBER(INDEX($A:$AP,ROW(),$F$6)),INDEX($A:$AP,ROW(),$F$6),IFERROR(--SUBSTITUTE(SUBSTITUTE(TRIM(INDEX($A:$AP,ROW(),$F$6)),",",""),"원",""),0))))</f>
        <v/>
      </c>
      <c r="AU1046" s="31">
        <f>IF($AS1046="","",IF($AX1046&lt;&gt;"",SUBSTITUTE(SUBSTITUTE($AX1046,"-","")," ",""),"N:"&amp;$AV1046))</f>
        <v/>
      </c>
      <c r="AV1046" s="31">
        <f>IF(OR($AS1046="",$E$6=""),"",TRIM(INDEX($A:$AP,ROW(),$E$6)&amp;""))</f>
        <v/>
      </c>
      <c r="AW1046" s="31">
        <f>IF($AU1046="","",IF(MATCH($AU1046,$AU$8:$AU$2007,0)=ROW()-7,MAX($AW$7:$AW1045)+1,""))</f>
        <v/>
      </c>
      <c r="AX1046" s="31">
        <f>IF(OR($AS1046="",$D$6=""),"",TRIM(INDEX($A:$AP,ROW(),$D$6)&amp;""))</f>
        <v/>
      </c>
      <c r="AY1046" s="31">
        <f>IF($AU1046="","",INDEX($AW$8:$AW$2007,MATCH($AU1046,$AU$8:$AU$2007,0)))</f>
        <v/>
      </c>
      <c r="AZ1046" s="31">
        <f>IF(OR($AS1046="",$C$6=""),"",TRIM(INDEX($A:$AP,ROW(),$C$6)&amp;""))</f>
        <v/>
      </c>
      <c r="BA1046" s="31">
        <f>IF($AZ1046="","",IF(COUNTIF($AZ$8:$AZ1046,$AZ1046)&gt;1,1,0))</f>
        <v/>
      </c>
    </row>
    <row r="1047">
      <c r="AR1047" s="31">
        <f>IF(OR($A$5="",$B$6="",ROW()&lt;$A$5),"",IF(INDEX($A:$AP,ROW(),$B$6)="","",INDEX($A:$AP,ROW(),$B$6)))</f>
        <v/>
      </c>
      <c r="AS1047" s="32">
        <f>IF($AR1047="","",IF(ISNUMBER($AR1047),IF($AR1047&gt;=10000000,IFERROR(DATE(INT($AR1047/10000),MOD(INT($AR1047/100),100),MOD($AR1047,100)),""),INT($AR1047)),IFERROR(DATE(--LEFT(LEFT(SUBSTITUTE(SUBSTITUTE(SUBSTITUTE(SUBSTITUTE(TRIM($AR1047),"-",""),".",""),"/","")," ",""),8),4),--MID(LEFT(SUBSTITUTE(SUBSTITUTE(SUBSTITUTE(SUBSTITUTE(TRIM($AR1047),"-",""),".",""),"/","")," ",""),8),5,2),--MID(LEFT(SUBSTITUTE(SUBSTITUTE(SUBSTITUTE(SUBSTITUTE(TRIM($AR1047),"-",""),".",""),"/","")," ",""),8),7,2)),"")))</f>
        <v/>
      </c>
      <c r="AT1047" s="33">
        <f>IF($AS1047="","",IF($F$6="",0,IF(ISNUMBER(INDEX($A:$AP,ROW(),$F$6)),INDEX($A:$AP,ROW(),$F$6),IFERROR(--SUBSTITUTE(SUBSTITUTE(TRIM(INDEX($A:$AP,ROW(),$F$6)),",",""),"원",""),0))))</f>
        <v/>
      </c>
      <c r="AU1047" s="31">
        <f>IF($AS1047="","",IF($AX1047&lt;&gt;"",SUBSTITUTE(SUBSTITUTE($AX1047,"-","")," ",""),"N:"&amp;$AV1047))</f>
        <v/>
      </c>
      <c r="AV1047" s="31">
        <f>IF(OR($AS1047="",$E$6=""),"",TRIM(INDEX($A:$AP,ROW(),$E$6)&amp;""))</f>
        <v/>
      </c>
      <c r="AW1047" s="31">
        <f>IF($AU1047="","",IF(MATCH($AU1047,$AU$8:$AU$2007,0)=ROW()-7,MAX($AW$7:$AW1046)+1,""))</f>
        <v/>
      </c>
      <c r="AX1047" s="31">
        <f>IF(OR($AS1047="",$D$6=""),"",TRIM(INDEX($A:$AP,ROW(),$D$6)&amp;""))</f>
        <v/>
      </c>
      <c r="AY1047" s="31">
        <f>IF($AU1047="","",INDEX($AW$8:$AW$2007,MATCH($AU1047,$AU$8:$AU$2007,0)))</f>
        <v/>
      </c>
      <c r="AZ1047" s="31">
        <f>IF(OR($AS1047="",$C$6=""),"",TRIM(INDEX($A:$AP,ROW(),$C$6)&amp;""))</f>
        <v/>
      </c>
      <c r="BA1047" s="31">
        <f>IF($AZ1047="","",IF(COUNTIF($AZ$8:$AZ1047,$AZ1047)&gt;1,1,0))</f>
        <v/>
      </c>
    </row>
    <row r="1048">
      <c r="AR1048" s="31">
        <f>IF(OR($A$5="",$B$6="",ROW()&lt;$A$5),"",IF(INDEX($A:$AP,ROW(),$B$6)="","",INDEX($A:$AP,ROW(),$B$6)))</f>
        <v/>
      </c>
      <c r="AS1048" s="32">
        <f>IF($AR1048="","",IF(ISNUMBER($AR1048),IF($AR1048&gt;=10000000,IFERROR(DATE(INT($AR1048/10000),MOD(INT($AR1048/100),100),MOD($AR1048,100)),""),INT($AR1048)),IFERROR(DATE(--LEFT(LEFT(SUBSTITUTE(SUBSTITUTE(SUBSTITUTE(SUBSTITUTE(TRIM($AR1048),"-",""),".",""),"/","")," ",""),8),4),--MID(LEFT(SUBSTITUTE(SUBSTITUTE(SUBSTITUTE(SUBSTITUTE(TRIM($AR1048),"-",""),".",""),"/","")," ",""),8),5,2),--MID(LEFT(SUBSTITUTE(SUBSTITUTE(SUBSTITUTE(SUBSTITUTE(TRIM($AR1048),"-",""),".",""),"/","")," ",""),8),7,2)),"")))</f>
        <v/>
      </c>
      <c r="AT1048" s="33">
        <f>IF($AS1048="","",IF($F$6="",0,IF(ISNUMBER(INDEX($A:$AP,ROW(),$F$6)),INDEX($A:$AP,ROW(),$F$6),IFERROR(--SUBSTITUTE(SUBSTITUTE(TRIM(INDEX($A:$AP,ROW(),$F$6)),",",""),"원",""),0))))</f>
        <v/>
      </c>
      <c r="AU1048" s="31">
        <f>IF($AS1048="","",IF($AX1048&lt;&gt;"",SUBSTITUTE(SUBSTITUTE($AX1048,"-","")," ",""),"N:"&amp;$AV1048))</f>
        <v/>
      </c>
      <c r="AV1048" s="31">
        <f>IF(OR($AS1048="",$E$6=""),"",TRIM(INDEX($A:$AP,ROW(),$E$6)&amp;""))</f>
        <v/>
      </c>
      <c r="AW1048" s="31">
        <f>IF($AU1048="","",IF(MATCH($AU1048,$AU$8:$AU$2007,0)=ROW()-7,MAX($AW$7:$AW1047)+1,""))</f>
        <v/>
      </c>
      <c r="AX1048" s="31">
        <f>IF(OR($AS1048="",$D$6=""),"",TRIM(INDEX($A:$AP,ROW(),$D$6)&amp;""))</f>
        <v/>
      </c>
      <c r="AY1048" s="31">
        <f>IF($AU1048="","",INDEX($AW$8:$AW$2007,MATCH($AU1048,$AU$8:$AU$2007,0)))</f>
        <v/>
      </c>
      <c r="AZ1048" s="31">
        <f>IF(OR($AS1048="",$C$6=""),"",TRIM(INDEX($A:$AP,ROW(),$C$6)&amp;""))</f>
        <v/>
      </c>
      <c r="BA1048" s="31">
        <f>IF($AZ1048="","",IF(COUNTIF($AZ$8:$AZ1048,$AZ1048)&gt;1,1,0))</f>
        <v/>
      </c>
    </row>
    <row r="1049">
      <c r="AR1049" s="31">
        <f>IF(OR($A$5="",$B$6="",ROW()&lt;$A$5),"",IF(INDEX($A:$AP,ROW(),$B$6)="","",INDEX($A:$AP,ROW(),$B$6)))</f>
        <v/>
      </c>
      <c r="AS1049" s="32">
        <f>IF($AR1049="","",IF(ISNUMBER($AR1049),IF($AR1049&gt;=10000000,IFERROR(DATE(INT($AR1049/10000),MOD(INT($AR1049/100),100),MOD($AR1049,100)),""),INT($AR1049)),IFERROR(DATE(--LEFT(LEFT(SUBSTITUTE(SUBSTITUTE(SUBSTITUTE(SUBSTITUTE(TRIM($AR1049),"-",""),".",""),"/","")," ",""),8),4),--MID(LEFT(SUBSTITUTE(SUBSTITUTE(SUBSTITUTE(SUBSTITUTE(TRIM($AR1049),"-",""),".",""),"/","")," ",""),8),5,2),--MID(LEFT(SUBSTITUTE(SUBSTITUTE(SUBSTITUTE(SUBSTITUTE(TRIM($AR1049),"-",""),".",""),"/","")," ",""),8),7,2)),"")))</f>
        <v/>
      </c>
      <c r="AT1049" s="33">
        <f>IF($AS1049="","",IF($F$6="",0,IF(ISNUMBER(INDEX($A:$AP,ROW(),$F$6)),INDEX($A:$AP,ROW(),$F$6),IFERROR(--SUBSTITUTE(SUBSTITUTE(TRIM(INDEX($A:$AP,ROW(),$F$6)),",",""),"원",""),0))))</f>
        <v/>
      </c>
      <c r="AU1049" s="31">
        <f>IF($AS1049="","",IF($AX1049&lt;&gt;"",SUBSTITUTE(SUBSTITUTE($AX1049,"-","")," ",""),"N:"&amp;$AV1049))</f>
        <v/>
      </c>
      <c r="AV1049" s="31">
        <f>IF(OR($AS1049="",$E$6=""),"",TRIM(INDEX($A:$AP,ROW(),$E$6)&amp;""))</f>
        <v/>
      </c>
      <c r="AW1049" s="31">
        <f>IF($AU1049="","",IF(MATCH($AU1049,$AU$8:$AU$2007,0)=ROW()-7,MAX($AW$7:$AW1048)+1,""))</f>
        <v/>
      </c>
      <c r="AX1049" s="31">
        <f>IF(OR($AS1049="",$D$6=""),"",TRIM(INDEX($A:$AP,ROW(),$D$6)&amp;""))</f>
        <v/>
      </c>
      <c r="AY1049" s="31">
        <f>IF($AU1049="","",INDEX($AW$8:$AW$2007,MATCH($AU1049,$AU$8:$AU$2007,0)))</f>
        <v/>
      </c>
      <c r="AZ1049" s="31">
        <f>IF(OR($AS1049="",$C$6=""),"",TRIM(INDEX($A:$AP,ROW(),$C$6)&amp;""))</f>
        <v/>
      </c>
      <c r="BA1049" s="31">
        <f>IF($AZ1049="","",IF(COUNTIF($AZ$8:$AZ1049,$AZ1049)&gt;1,1,0))</f>
        <v/>
      </c>
    </row>
    <row r="1050">
      <c r="AR1050" s="31">
        <f>IF(OR($A$5="",$B$6="",ROW()&lt;$A$5),"",IF(INDEX($A:$AP,ROW(),$B$6)="","",INDEX($A:$AP,ROW(),$B$6)))</f>
        <v/>
      </c>
      <c r="AS1050" s="32">
        <f>IF($AR1050="","",IF(ISNUMBER($AR1050),IF($AR1050&gt;=10000000,IFERROR(DATE(INT($AR1050/10000),MOD(INT($AR1050/100),100),MOD($AR1050,100)),""),INT($AR1050)),IFERROR(DATE(--LEFT(LEFT(SUBSTITUTE(SUBSTITUTE(SUBSTITUTE(SUBSTITUTE(TRIM($AR1050),"-",""),".",""),"/","")," ",""),8),4),--MID(LEFT(SUBSTITUTE(SUBSTITUTE(SUBSTITUTE(SUBSTITUTE(TRIM($AR1050),"-",""),".",""),"/","")," ",""),8),5,2),--MID(LEFT(SUBSTITUTE(SUBSTITUTE(SUBSTITUTE(SUBSTITUTE(TRIM($AR1050),"-",""),".",""),"/","")," ",""),8),7,2)),"")))</f>
        <v/>
      </c>
      <c r="AT1050" s="33">
        <f>IF($AS1050="","",IF($F$6="",0,IF(ISNUMBER(INDEX($A:$AP,ROW(),$F$6)),INDEX($A:$AP,ROW(),$F$6),IFERROR(--SUBSTITUTE(SUBSTITUTE(TRIM(INDEX($A:$AP,ROW(),$F$6)),",",""),"원",""),0))))</f>
        <v/>
      </c>
      <c r="AU1050" s="31">
        <f>IF($AS1050="","",IF($AX1050&lt;&gt;"",SUBSTITUTE(SUBSTITUTE($AX1050,"-","")," ",""),"N:"&amp;$AV1050))</f>
        <v/>
      </c>
      <c r="AV1050" s="31">
        <f>IF(OR($AS1050="",$E$6=""),"",TRIM(INDEX($A:$AP,ROW(),$E$6)&amp;""))</f>
        <v/>
      </c>
      <c r="AW1050" s="31">
        <f>IF($AU1050="","",IF(MATCH($AU1050,$AU$8:$AU$2007,0)=ROW()-7,MAX($AW$7:$AW1049)+1,""))</f>
        <v/>
      </c>
      <c r="AX1050" s="31">
        <f>IF(OR($AS1050="",$D$6=""),"",TRIM(INDEX($A:$AP,ROW(),$D$6)&amp;""))</f>
        <v/>
      </c>
      <c r="AY1050" s="31">
        <f>IF($AU1050="","",INDEX($AW$8:$AW$2007,MATCH($AU1050,$AU$8:$AU$2007,0)))</f>
        <v/>
      </c>
      <c r="AZ1050" s="31">
        <f>IF(OR($AS1050="",$C$6=""),"",TRIM(INDEX($A:$AP,ROW(),$C$6)&amp;""))</f>
        <v/>
      </c>
      <c r="BA1050" s="31">
        <f>IF($AZ1050="","",IF(COUNTIF($AZ$8:$AZ1050,$AZ1050)&gt;1,1,0))</f>
        <v/>
      </c>
    </row>
    <row r="1051">
      <c r="AR1051" s="31">
        <f>IF(OR($A$5="",$B$6="",ROW()&lt;$A$5),"",IF(INDEX($A:$AP,ROW(),$B$6)="","",INDEX($A:$AP,ROW(),$B$6)))</f>
        <v/>
      </c>
      <c r="AS1051" s="32">
        <f>IF($AR1051="","",IF(ISNUMBER($AR1051),IF($AR1051&gt;=10000000,IFERROR(DATE(INT($AR1051/10000),MOD(INT($AR1051/100),100),MOD($AR1051,100)),""),INT($AR1051)),IFERROR(DATE(--LEFT(LEFT(SUBSTITUTE(SUBSTITUTE(SUBSTITUTE(SUBSTITUTE(TRIM($AR1051),"-",""),".",""),"/","")," ",""),8),4),--MID(LEFT(SUBSTITUTE(SUBSTITUTE(SUBSTITUTE(SUBSTITUTE(TRIM($AR1051),"-",""),".",""),"/","")," ",""),8),5,2),--MID(LEFT(SUBSTITUTE(SUBSTITUTE(SUBSTITUTE(SUBSTITUTE(TRIM($AR1051),"-",""),".",""),"/","")," ",""),8),7,2)),"")))</f>
        <v/>
      </c>
      <c r="AT1051" s="33">
        <f>IF($AS1051="","",IF($F$6="",0,IF(ISNUMBER(INDEX($A:$AP,ROW(),$F$6)),INDEX($A:$AP,ROW(),$F$6),IFERROR(--SUBSTITUTE(SUBSTITUTE(TRIM(INDEX($A:$AP,ROW(),$F$6)),",",""),"원",""),0))))</f>
        <v/>
      </c>
      <c r="AU1051" s="31">
        <f>IF($AS1051="","",IF($AX1051&lt;&gt;"",SUBSTITUTE(SUBSTITUTE($AX1051,"-","")," ",""),"N:"&amp;$AV1051))</f>
        <v/>
      </c>
      <c r="AV1051" s="31">
        <f>IF(OR($AS1051="",$E$6=""),"",TRIM(INDEX($A:$AP,ROW(),$E$6)&amp;""))</f>
        <v/>
      </c>
      <c r="AW1051" s="31">
        <f>IF($AU1051="","",IF(MATCH($AU1051,$AU$8:$AU$2007,0)=ROW()-7,MAX($AW$7:$AW1050)+1,""))</f>
        <v/>
      </c>
      <c r="AX1051" s="31">
        <f>IF(OR($AS1051="",$D$6=""),"",TRIM(INDEX($A:$AP,ROW(),$D$6)&amp;""))</f>
        <v/>
      </c>
      <c r="AY1051" s="31">
        <f>IF($AU1051="","",INDEX($AW$8:$AW$2007,MATCH($AU1051,$AU$8:$AU$2007,0)))</f>
        <v/>
      </c>
      <c r="AZ1051" s="31">
        <f>IF(OR($AS1051="",$C$6=""),"",TRIM(INDEX($A:$AP,ROW(),$C$6)&amp;""))</f>
        <v/>
      </c>
      <c r="BA1051" s="31">
        <f>IF($AZ1051="","",IF(COUNTIF($AZ$8:$AZ1051,$AZ1051)&gt;1,1,0))</f>
        <v/>
      </c>
    </row>
    <row r="1052">
      <c r="AR1052" s="31">
        <f>IF(OR($A$5="",$B$6="",ROW()&lt;$A$5),"",IF(INDEX($A:$AP,ROW(),$B$6)="","",INDEX($A:$AP,ROW(),$B$6)))</f>
        <v/>
      </c>
      <c r="AS1052" s="32">
        <f>IF($AR1052="","",IF(ISNUMBER($AR1052),IF($AR1052&gt;=10000000,IFERROR(DATE(INT($AR1052/10000),MOD(INT($AR1052/100),100),MOD($AR1052,100)),""),INT($AR1052)),IFERROR(DATE(--LEFT(LEFT(SUBSTITUTE(SUBSTITUTE(SUBSTITUTE(SUBSTITUTE(TRIM($AR1052),"-",""),".",""),"/","")," ",""),8),4),--MID(LEFT(SUBSTITUTE(SUBSTITUTE(SUBSTITUTE(SUBSTITUTE(TRIM($AR1052),"-",""),".",""),"/","")," ",""),8),5,2),--MID(LEFT(SUBSTITUTE(SUBSTITUTE(SUBSTITUTE(SUBSTITUTE(TRIM($AR1052),"-",""),".",""),"/","")," ",""),8),7,2)),"")))</f>
        <v/>
      </c>
      <c r="AT1052" s="33">
        <f>IF($AS1052="","",IF($F$6="",0,IF(ISNUMBER(INDEX($A:$AP,ROW(),$F$6)),INDEX($A:$AP,ROW(),$F$6),IFERROR(--SUBSTITUTE(SUBSTITUTE(TRIM(INDEX($A:$AP,ROW(),$F$6)),",",""),"원",""),0))))</f>
        <v/>
      </c>
      <c r="AU1052" s="31">
        <f>IF($AS1052="","",IF($AX1052&lt;&gt;"",SUBSTITUTE(SUBSTITUTE($AX1052,"-","")," ",""),"N:"&amp;$AV1052))</f>
        <v/>
      </c>
      <c r="AV1052" s="31">
        <f>IF(OR($AS1052="",$E$6=""),"",TRIM(INDEX($A:$AP,ROW(),$E$6)&amp;""))</f>
        <v/>
      </c>
      <c r="AW1052" s="31">
        <f>IF($AU1052="","",IF(MATCH($AU1052,$AU$8:$AU$2007,0)=ROW()-7,MAX($AW$7:$AW1051)+1,""))</f>
        <v/>
      </c>
      <c r="AX1052" s="31">
        <f>IF(OR($AS1052="",$D$6=""),"",TRIM(INDEX($A:$AP,ROW(),$D$6)&amp;""))</f>
        <v/>
      </c>
      <c r="AY1052" s="31">
        <f>IF($AU1052="","",INDEX($AW$8:$AW$2007,MATCH($AU1052,$AU$8:$AU$2007,0)))</f>
        <v/>
      </c>
      <c r="AZ1052" s="31">
        <f>IF(OR($AS1052="",$C$6=""),"",TRIM(INDEX($A:$AP,ROW(),$C$6)&amp;""))</f>
        <v/>
      </c>
      <c r="BA1052" s="31">
        <f>IF($AZ1052="","",IF(COUNTIF($AZ$8:$AZ1052,$AZ1052)&gt;1,1,0))</f>
        <v/>
      </c>
    </row>
    <row r="1053">
      <c r="AR1053" s="31">
        <f>IF(OR($A$5="",$B$6="",ROW()&lt;$A$5),"",IF(INDEX($A:$AP,ROW(),$B$6)="","",INDEX($A:$AP,ROW(),$B$6)))</f>
        <v/>
      </c>
      <c r="AS1053" s="32">
        <f>IF($AR1053="","",IF(ISNUMBER($AR1053),IF($AR1053&gt;=10000000,IFERROR(DATE(INT($AR1053/10000),MOD(INT($AR1053/100),100),MOD($AR1053,100)),""),INT($AR1053)),IFERROR(DATE(--LEFT(LEFT(SUBSTITUTE(SUBSTITUTE(SUBSTITUTE(SUBSTITUTE(TRIM($AR1053),"-",""),".",""),"/","")," ",""),8),4),--MID(LEFT(SUBSTITUTE(SUBSTITUTE(SUBSTITUTE(SUBSTITUTE(TRIM($AR1053),"-",""),".",""),"/","")," ",""),8),5,2),--MID(LEFT(SUBSTITUTE(SUBSTITUTE(SUBSTITUTE(SUBSTITUTE(TRIM($AR1053),"-",""),".",""),"/","")," ",""),8),7,2)),"")))</f>
        <v/>
      </c>
      <c r="AT1053" s="33">
        <f>IF($AS1053="","",IF($F$6="",0,IF(ISNUMBER(INDEX($A:$AP,ROW(),$F$6)),INDEX($A:$AP,ROW(),$F$6),IFERROR(--SUBSTITUTE(SUBSTITUTE(TRIM(INDEX($A:$AP,ROW(),$F$6)),",",""),"원",""),0))))</f>
        <v/>
      </c>
      <c r="AU1053" s="31">
        <f>IF($AS1053="","",IF($AX1053&lt;&gt;"",SUBSTITUTE(SUBSTITUTE($AX1053,"-","")," ",""),"N:"&amp;$AV1053))</f>
        <v/>
      </c>
      <c r="AV1053" s="31">
        <f>IF(OR($AS1053="",$E$6=""),"",TRIM(INDEX($A:$AP,ROW(),$E$6)&amp;""))</f>
        <v/>
      </c>
      <c r="AW1053" s="31">
        <f>IF($AU1053="","",IF(MATCH($AU1053,$AU$8:$AU$2007,0)=ROW()-7,MAX($AW$7:$AW1052)+1,""))</f>
        <v/>
      </c>
      <c r="AX1053" s="31">
        <f>IF(OR($AS1053="",$D$6=""),"",TRIM(INDEX($A:$AP,ROW(),$D$6)&amp;""))</f>
        <v/>
      </c>
      <c r="AY1053" s="31">
        <f>IF($AU1053="","",INDEX($AW$8:$AW$2007,MATCH($AU1053,$AU$8:$AU$2007,0)))</f>
        <v/>
      </c>
      <c r="AZ1053" s="31">
        <f>IF(OR($AS1053="",$C$6=""),"",TRIM(INDEX($A:$AP,ROW(),$C$6)&amp;""))</f>
        <v/>
      </c>
      <c r="BA1053" s="31">
        <f>IF($AZ1053="","",IF(COUNTIF($AZ$8:$AZ1053,$AZ1053)&gt;1,1,0))</f>
        <v/>
      </c>
    </row>
    <row r="1054">
      <c r="AR1054" s="31">
        <f>IF(OR($A$5="",$B$6="",ROW()&lt;$A$5),"",IF(INDEX($A:$AP,ROW(),$B$6)="","",INDEX($A:$AP,ROW(),$B$6)))</f>
        <v/>
      </c>
      <c r="AS1054" s="32">
        <f>IF($AR1054="","",IF(ISNUMBER($AR1054),IF($AR1054&gt;=10000000,IFERROR(DATE(INT($AR1054/10000),MOD(INT($AR1054/100),100),MOD($AR1054,100)),""),INT($AR1054)),IFERROR(DATE(--LEFT(LEFT(SUBSTITUTE(SUBSTITUTE(SUBSTITUTE(SUBSTITUTE(TRIM($AR1054),"-",""),".",""),"/","")," ",""),8),4),--MID(LEFT(SUBSTITUTE(SUBSTITUTE(SUBSTITUTE(SUBSTITUTE(TRIM($AR1054),"-",""),".",""),"/","")," ",""),8),5,2),--MID(LEFT(SUBSTITUTE(SUBSTITUTE(SUBSTITUTE(SUBSTITUTE(TRIM($AR1054),"-",""),".",""),"/","")," ",""),8),7,2)),"")))</f>
        <v/>
      </c>
      <c r="AT1054" s="33">
        <f>IF($AS1054="","",IF($F$6="",0,IF(ISNUMBER(INDEX($A:$AP,ROW(),$F$6)),INDEX($A:$AP,ROW(),$F$6),IFERROR(--SUBSTITUTE(SUBSTITUTE(TRIM(INDEX($A:$AP,ROW(),$F$6)),",",""),"원",""),0))))</f>
        <v/>
      </c>
      <c r="AU1054" s="31">
        <f>IF($AS1054="","",IF($AX1054&lt;&gt;"",SUBSTITUTE(SUBSTITUTE($AX1054,"-","")," ",""),"N:"&amp;$AV1054))</f>
        <v/>
      </c>
      <c r="AV1054" s="31">
        <f>IF(OR($AS1054="",$E$6=""),"",TRIM(INDEX($A:$AP,ROW(),$E$6)&amp;""))</f>
        <v/>
      </c>
      <c r="AW1054" s="31">
        <f>IF($AU1054="","",IF(MATCH($AU1054,$AU$8:$AU$2007,0)=ROW()-7,MAX($AW$7:$AW1053)+1,""))</f>
        <v/>
      </c>
      <c r="AX1054" s="31">
        <f>IF(OR($AS1054="",$D$6=""),"",TRIM(INDEX($A:$AP,ROW(),$D$6)&amp;""))</f>
        <v/>
      </c>
      <c r="AY1054" s="31">
        <f>IF($AU1054="","",INDEX($AW$8:$AW$2007,MATCH($AU1054,$AU$8:$AU$2007,0)))</f>
        <v/>
      </c>
      <c r="AZ1054" s="31">
        <f>IF(OR($AS1054="",$C$6=""),"",TRIM(INDEX($A:$AP,ROW(),$C$6)&amp;""))</f>
        <v/>
      </c>
      <c r="BA1054" s="31">
        <f>IF($AZ1054="","",IF(COUNTIF($AZ$8:$AZ1054,$AZ1054)&gt;1,1,0))</f>
        <v/>
      </c>
    </row>
    <row r="1055">
      <c r="AR1055" s="31">
        <f>IF(OR($A$5="",$B$6="",ROW()&lt;$A$5),"",IF(INDEX($A:$AP,ROW(),$B$6)="","",INDEX($A:$AP,ROW(),$B$6)))</f>
        <v/>
      </c>
      <c r="AS1055" s="32">
        <f>IF($AR1055="","",IF(ISNUMBER($AR1055),IF($AR1055&gt;=10000000,IFERROR(DATE(INT($AR1055/10000),MOD(INT($AR1055/100),100),MOD($AR1055,100)),""),INT($AR1055)),IFERROR(DATE(--LEFT(LEFT(SUBSTITUTE(SUBSTITUTE(SUBSTITUTE(SUBSTITUTE(TRIM($AR1055),"-",""),".",""),"/","")," ",""),8),4),--MID(LEFT(SUBSTITUTE(SUBSTITUTE(SUBSTITUTE(SUBSTITUTE(TRIM($AR1055),"-",""),".",""),"/","")," ",""),8),5,2),--MID(LEFT(SUBSTITUTE(SUBSTITUTE(SUBSTITUTE(SUBSTITUTE(TRIM($AR1055),"-",""),".",""),"/","")," ",""),8),7,2)),"")))</f>
        <v/>
      </c>
      <c r="AT1055" s="33">
        <f>IF($AS1055="","",IF($F$6="",0,IF(ISNUMBER(INDEX($A:$AP,ROW(),$F$6)),INDEX($A:$AP,ROW(),$F$6),IFERROR(--SUBSTITUTE(SUBSTITUTE(TRIM(INDEX($A:$AP,ROW(),$F$6)),",",""),"원",""),0))))</f>
        <v/>
      </c>
      <c r="AU1055" s="31">
        <f>IF($AS1055="","",IF($AX1055&lt;&gt;"",SUBSTITUTE(SUBSTITUTE($AX1055,"-","")," ",""),"N:"&amp;$AV1055))</f>
        <v/>
      </c>
      <c r="AV1055" s="31">
        <f>IF(OR($AS1055="",$E$6=""),"",TRIM(INDEX($A:$AP,ROW(),$E$6)&amp;""))</f>
        <v/>
      </c>
      <c r="AW1055" s="31">
        <f>IF($AU1055="","",IF(MATCH($AU1055,$AU$8:$AU$2007,0)=ROW()-7,MAX($AW$7:$AW1054)+1,""))</f>
        <v/>
      </c>
      <c r="AX1055" s="31">
        <f>IF(OR($AS1055="",$D$6=""),"",TRIM(INDEX($A:$AP,ROW(),$D$6)&amp;""))</f>
        <v/>
      </c>
      <c r="AY1055" s="31">
        <f>IF($AU1055="","",INDEX($AW$8:$AW$2007,MATCH($AU1055,$AU$8:$AU$2007,0)))</f>
        <v/>
      </c>
      <c r="AZ1055" s="31">
        <f>IF(OR($AS1055="",$C$6=""),"",TRIM(INDEX($A:$AP,ROW(),$C$6)&amp;""))</f>
        <v/>
      </c>
      <c r="BA1055" s="31">
        <f>IF($AZ1055="","",IF(COUNTIF($AZ$8:$AZ1055,$AZ1055)&gt;1,1,0))</f>
        <v/>
      </c>
    </row>
    <row r="1056">
      <c r="AR1056" s="31">
        <f>IF(OR($A$5="",$B$6="",ROW()&lt;$A$5),"",IF(INDEX($A:$AP,ROW(),$B$6)="","",INDEX($A:$AP,ROW(),$B$6)))</f>
        <v/>
      </c>
      <c r="AS1056" s="32">
        <f>IF($AR1056="","",IF(ISNUMBER($AR1056),IF($AR1056&gt;=10000000,IFERROR(DATE(INT($AR1056/10000),MOD(INT($AR1056/100),100),MOD($AR1056,100)),""),INT($AR1056)),IFERROR(DATE(--LEFT(LEFT(SUBSTITUTE(SUBSTITUTE(SUBSTITUTE(SUBSTITUTE(TRIM($AR1056),"-",""),".",""),"/","")," ",""),8),4),--MID(LEFT(SUBSTITUTE(SUBSTITUTE(SUBSTITUTE(SUBSTITUTE(TRIM($AR1056),"-",""),".",""),"/","")," ",""),8),5,2),--MID(LEFT(SUBSTITUTE(SUBSTITUTE(SUBSTITUTE(SUBSTITUTE(TRIM($AR1056),"-",""),".",""),"/","")," ",""),8),7,2)),"")))</f>
        <v/>
      </c>
      <c r="AT1056" s="33">
        <f>IF($AS1056="","",IF($F$6="",0,IF(ISNUMBER(INDEX($A:$AP,ROW(),$F$6)),INDEX($A:$AP,ROW(),$F$6),IFERROR(--SUBSTITUTE(SUBSTITUTE(TRIM(INDEX($A:$AP,ROW(),$F$6)),",",""),"원",""),0))))</f>
        <v/>
      </c>
      <c r="AU1056" s="31">
        <f>IF($AS1056="","",IF($AX1056&lt;&gt;"",SUBSTITUTE(SUBSTITUTE($AX1056,"-","")," ",""),"N:"&amp;$AV1056))</f>
        <v/>
      </c>
      <c r="AV1056" s="31">
        <f>IF(OR($AS1056="",$E$6=""),"",TRIM(INDEX($A:$AP,ROW(),$E$6)&amp;""))</f>
        <v/>
      </c>
      <c r="AW1056" s="31">
        <f>IF($AU1056="","",IF(MATCH($AU1056,$AU$8:$AU$2007,0)=ROW()-7,MAX($AW$7:$AW1055)+1,""))</f>
        <v/>
      </c>
      <c r="AX1056" s="31">
        <f>IF(OR($AS1056="",$D$6=""),"",TRIM(INDEX($A:$AP,ROW(),$D$6)&amp;""))</f>
        <v/>
      </c>
      <c r="AY1056" s="31">
        <f>IF($AU1056="","",INDEX($AW$8:$AW$2007,MATCH($AU1056,$AU$8:$AU$2007,0)))</f>
        <v/>
      </c>
      <c r="AZ1056" s="31">
        <f>IF(OR($AS1056="",$C$6=""),"",TRIM(INDEX($A:$AP,ROW(),$C$6)&amp;""))</f>
        <v/>
      </c>
      <c r="BA1056" s="31">
        <f>IF($AZ1056="","",IF(COUNTIF($AZ$8:$AZ1056,$AZ1056)&gt;1,1,0))</f>
        <v/>
      </c>
    </row>
    <row r="1057">
      <c r="AR1057" s="31">
        <f>IF(OR($A$5="",$B$6="",ROW()&lt;$A$5),"",IF(INDEX($A:$AP,ROW(),$B$6)="","",INDEX($A:$AP,ROW(),$B$6)))</f>
        <v/>
      </c>
      <c r="AS1057" s="32">
        <f>IF($AR1057="","",IF(ISNUMBER($AR1057),IF($AR1057&gt;=10000000,IFERROR(DATE(INT($AR1057/10000),MOD(INT($AR1057/100),100),MOD($AR1057,100)),""),INT($AR1057)),IFERROR(DATE(--LEFT(LEFT(SUBSTITUTE(SUBSTITUTE(SUBSTITUTE(SUBSTITUTE(TRIM($AR1057),"-",""),".",""),"/","")," ",""),8),4),--MID(LEFT(SUBSTITUTE(SUBSTITUTE(SUBSTITUTE(SUBSTITUTE(TRIM($AR1057),"-",""),".",""),"/","")," ",""),8),5,2),--MID(LEFT(SUBSTITUTE(SUBSTITUTE(SUBSTITUTE(SUBSTITUTE(TRIM($AR1057),"-",""),".",""),"/","")," ",""),8),7,2)),"")))</f>
        <v/>
      </c>
      <c r="AT1057" s="33">
        <f>IF($AS1057="","",IF($F$6="",0,IF(ISNUMBER(INDEX($A:$AP,ROW(),$F$6)),INDEX($A:$AP,ROW(),$F$6),IFERROR(--SUBSTITUTE(SUBSTITUTE(TRIM(INDEX($A:$AP,ROW(),$F$6)),",",""),"원",""),0))))</f>
        <v/>
      </c>
      <c r="AU1057" s="31">
        <f>IF($AS1057="","",IF($AX1057&lt;&gt;"",SUBSTITUTE(SUBSTITUTE($AX1057,"-","")," ",""),"N:"&amp;$AV1057))</f>
        <v/>
      </c>
      <c r="AV1057" s="31">
        <f>IF(OR($AS1057="",$E$6=""),"",TRIM(INDEX($A:$AP,ROW(),$E$6)&amp;""))</f>
        <v/>
      </c>
      <c r="AW1057" s="31">
        <f>IF($AU1057="","",IF(MATCH($AU1057,$AU$8:$AU$2007,0)=ROW()-7,MAX($AW$7:$AW1056)+1,""))</f>
        <v/>
      </c>
      <c r="AX1057" s="31">
        <f>IF(OR($AS1057="",$D$6=""),"",TRIM(INDEX($A:$AP,ROW(),$D$6)&amp;""))</f>
        <v/>
      </c>
      <c r="AY1057" s="31">
        <f>IF($AU1057="","",INDEX($AW$8:$AW$2007,MATCH($AU1057,$AU$8:$AU$2007,0)))</f>
        <v/>
      </c>
      <c r="AZ1057" s="31">
        <f>IF(OR($AS1057="",$C$6=""),"",TRIM(INDEX($A:$AP,ROW(),$C$6)&amp;""))</f>
        <v/>
      </c>
      <c r="BA1057" s="31">
        <f>IF($AZ1057="","",IF(COUNTIF($AZ$8:$AZ1057,$AZ1057)&gt;1,1,0))</f>
        <v/>
      </c>
    </row>
    <row r="1058">
      <c r="AR1058" s="31">
        <f>IF(OR($A$5="",$B$6="",ROW()&lt;$A$5),"",IF(INDEX($A:$AP,ROW(),$B$6)="","",INDEX($A:$AP,ROW(),$B$6)))</f>
        <v/>
      </c>
      <c r="AS1058" s="32">
        <f>IF($AR1058="","",IF(ISNUMBER($AR1058),IF($AR1058&gt;=10000000,IFERROR(DATE(INT($AR1058/10000),MOD(INT($AR1058/100),100),MOD($AR1058,100)),""),INT($AR1058)),IFERROR(DATE(--LEFT(LEFT(SUBSTITUTE(SUBSTITUTE(SUBSTITUTE(SUBSTITUTE(TRIM($AR1058),"-",""),".",""),"/","")," ",""),8),4),--MID(LEFT(SUBSTITUTE(SUBSTITUTE(SUBSTITUTE(SUBSTITUTE(TRIM($AR1058),"-",""),".",""),"/","")," ",""),8),5,2),--MID(LEFT(SUBSTITUTE(SUBSTITUTE(SUBSTITUTE(SUBSTITUTE(TRIM($AR1058),"-",""),".",""),"/","")," ",""),8),7,2)),"")))</f>
        <v/>
      </c>
      <c r="AT1058" s="33">
        <f>IF($AS1058="","",IF($F$6="",0,IF(ISNUMBER(INDEX($A:$AP,ROW(),$F$6)),INDEX($A:$AP,ROW(),$F$6),IFERROR(--SUBSTITUTE(SUBSTITUTE(TRIM(INDEX($A:$AP,ROW(),$F$6)),",",""),"원",""),0))))</f>
        <v/>
      </c>
      <c r="AU1058" s="31">
        <f>IF($AS1058="","",IF($AX1058&lt;&gt;"",SUBSTITUTE(SUBSTITUTE($AX1058,"-","")," ",""),"N:"&amp;$AV1058))</f>
        <v/>
      </c>
      <c r="AV1058" s="31">
        <f>IF(OR($AS1058="",$E$6=""),"",TRIM(INDEX($A:$AP,ROW(),$E$6)&amp;""))</f>
        <v/>
      </c>
      <c r="AW1058" s="31">
        <f>IF($AU1058="","",IF(MATCH($AU1058,$AU$8:$AU$2007,0)=ROW()-7,MAX($AW$7:$AW1057)+1,""))</f>
        <v/>
      </c>
      <c r="AX1058" s="31">
        <f>IF(OR($AS1058="",$D$6=""),"",TRIM(INDEX($A:$AP,ROW(),$D$6)&amp;""))</f>
        <v/>
      </c>
      <c r="AY1058" s="31">
        <f>IF($AU1058="","",INDEX($AW$8:$AW$2007,MATCH($AU1058,$AU$8:$AU$2007,0)))</f>
        <v/>
      </c>
      <c r="AZ1058" s="31">
        <f>IF(OR($AS1058="",$C$6=""),"",TRIM(INDEX($A:$AP,ROW(),$C$6)&amp;""))</f>
        <v/>
      </c>
      <c r="BA1058" s="31">
        <f>IF($AZ1058="","",IF(COUNTIF($AZ$8:$AZ1058,$AZ1058)&gt;1,1,0))</f>
        <v/>
      </c>
    </row>
    <row r="1059">
      <c r="AR1059" s="31">
        <f>IF(OR($A$5="",$B$6="",ROW()&lt;$A$5),"",IF(INDEX($A:$AP,ROW(),$B$6)="","",INDEX($A:$AP,ROW(),$B$6)))</f>
        <v/>
      </c>
      <c r="AS1059" s="32">
        <f>IF($AR1059="","",IF(ISNUMBER($AR1059),IF($AR1059&gt;=10000000,IFERROR(DATE(INT($AR1059/10000),MOD(INT($AR1059/100),100),MOD($AR1059,100)),""),INT($AR1059)),IFERROR(DATE(--LEFT(LEFT(SUBSTITUTE(SUBSTITUTE(SUBSTITUTE(SUBSTITUTE(TRIM($AR1059),"-",""),".",""),"/","")," ",""),8),4),--MID(LEFT(SUBSTITUTE(SUBSTITUTE(SUBSTITUTE(SUBSTITUTE(TRIM($AR1059),"-",""),".",""),"/","")," ",""),8),5,2),--MID(LEFT(SUBSTITUTE(SUBSTITUTE(SUBSTITUTE(SUBSTITUTE(TRIM($AR1059),"-",""),".",""),"/","")," ",""),8),7,2)),"")))</f>
        <v/>
      </c>
      <c r="AT1059" s="33">
        <f>IF($AS1059="","",IF($F$6="",0,IF(ISNUMBER(INDEX($A:$AP,ROW(),$F$6)),INDEX($A:$AP,ROW(),$F$6),IFERROR(--SUBSTITUTE(SUBSTITUTE(TRIM(INDEX($A:$AP,ROW(),$F$6)),",",""),"원",""),0))))</f>
        <v/>
      </c>
      <c r="AU1059" s="31">
        <f>IF($AS1059="","",IF($AX1059&lt;&gt;"",SUBSTITUTE(SUBSTITUTE($AX1059,"-","")," ",""),"N:"&amp;$AV1059))</f>
        <v/>
      </c>
      <c r="AV1059" s="31">
        <f>IF(OR($AS1059="",$E$6=""),"",TRIM(INDEX($A:$AP,ROW(),$E$6)&amp;""))</f>
        <v/>
      </c>
      <c r="AW1059" s="31">
        <f>IF($AU1059="","",IF(MATCH($AU1059,$AU$8:$AU$2007,0)=ROW()-7,MAX($AW$7:$AW1058)+1,""))</f>
        <v/>
      </c>
      <c r="AX1059" s="31">
        <f>IF(OR($AS1059="",$D$6=""),"",TRIM(INDEX($A:$AP,ROW(),$D$6)&amp;""))</f>
        <v/>
      </c>
      <c r="AY1059" s="31">
        <f>IF($AU1059="","",INDEX($AW$8:$AW$2007,MATCH($AU1059,$AU$8:$AU$2007,0)))</f>
        <v/>
      </c>
      <c r="AZ1059" s="31">
        <f>IF(OR($AS1059="",$C$6=""),"",TRIM(INDEX($A:$AP,ROW(),$C$6)&amp;""))</f>
        <v/>
      </c>
      <c r="BA1059" s="31">
        <f>IF($AZ1059="","",IF(COUNTIF($AZ$8:$AZ1059,$AZ1059)&gt;1,1,0))</f>
        <v/>
      </c>
    </row>
    <row r="1060">
      <c r="AR1060" s="31">
        <f>IF(OR($A$5="",$B$6="",ROW()&lt;$A$5),"",IF(INDEX($A:$AP,ROW(),$B$6)="","",INDEX($A:$AP,ROW(),$B$6)))</f>
        <v/>
      </c>
      <c r="AS1060" s="32">
        <f>IF($AR1060="","",IF(ISNUMBER($AR1060),IF($AR1060&gt;=10000000,IFERROR(DATE(INT($AR1060/10000),MOD(INT($AR1060/100),100),MOD($AR1060,100)),""),INT($AR1060)),IFERROR(DATE(--LEFT(LEFT(SUBSTITUTE(SUBSTITUTE(SUBSTITUTE(SUBSTITUTE(TRIM($AR1060),"-",""),".",""),"/","")," ",""),8),4),--MID(LEFT(SUBSTITUTE(SUBSTITUTE(SUBSTITUTE(SUBSTITUTE(TRIM($AR1060),"-",""),".",""),"/","")," ",""),8),5,2),--MID(LEFT(SUBSTITUTE(SUBSTITUTE(SUBSTITUTE(SUBSTITUTE(TRIM($AR1060),"-",""),".",""),"/","")," ",""),8),7,2)),"")))</f>
        <v/>
      </c>
      <c r="AT1060" s="33">
        <f>IF($AS1060="","",IF($F$6="",0,IF(ISNUMBER(INDEX($A:$AP,ROW(),$F$6)),INDEX($A:$AP,ROW(),$F$6),IFERROR(--SUBSTITUTE(SUBSTITUTE(TRIM(INDEX($A:$AP,ROW(),$F$6)),",",""),"원",""),0))))</f>
        <v/>
      </c>
      <c r="AU1060" s="31">
        <f>IF($AS1060="","",IF($AX1060&lt;&gt;"",SUBSTITUTE(SUBSTITUTE($AX1060,"-","")," ",""),"N:"&amp;$AV1060))</f>
        <v/>
      </c>
      <c r="AV1060" s="31">
        <f>IF(OR($AS1060="",$E$6=""),"",TRIM(INDEX($A:$AP,ROW(),$E$6)&amp;""))</f>
        <v/>
      </c>
      <c r="AW1060" s="31">
        <f>IF($AU1060="","",IF(MATCH($AU1060,$AU$8:$AU$2007,0)=ROW()-7,MAX($AW$7:$AW1059)+1,""))</f>
        <v/>
      </c>
      <c r="AX1060" s="31">
        <f>IF(OR($AS1060="",$D$6=""),"",TRIM(INDEX($A:$AP,ROW(),$D$6)&amp;""))</f>
        <v/>
      </c>
      <c r="AY1060" s="31">
        <f>IF($AU1060="","",INDEX($AW$8:$AW$2007,MATCH($AU1060,$AU$8:$AU$2007,0)))</f>
        <v/>
      </c>
      <c r="AZ1060" s="31">
        <f>IF(OR($AS1060="",$C$6=""),"",TRIM(INDEX($A:$AP,ROW(),$C$6)&amp;""))</f>
        <v/>
      </c>
      <c r="BA1060" s="31">
        <f>IF($AZ1060="","",IF(COUNTIF($AZ$8:$AZ1060,$AZ1060)&gt;1,1,0))</f>
        <v/>
      </c>
    </row>
    <row r="1061">
      <c r="AR1061" s="31">
        <f>IF(OR($A$5="",$B$6="",ROW()&lt;$A$5),"",IF(INDEX($A:$AP,ROW(),$B$6)="","",INDEX($A:$AP,ROW(),$B$6)))</f>
        <v/>
      </c>
      <c r="AS1061" s="32">
        <f>IF($AR1061="","",IF(ISNUMBER($AR1061),IF($AR1061&gt;=10000000,IFERROR(DATE(INT($AR1061/10000),MOD(INT($AR1061/100),100),MOD($AR1061,100)),""),INT($AR1061)),IFERROR(DATE(--LEFT(LEFT(SUBSTITUTE(SUBSTITUTE(SUBSTITUTE(SUBSTITUTE(TRIM($AR1061),"-",""),".",""),"/","")," ",""),8),4),--MID(LEFT(SUBSTITUTE(SUBSTITUTE(SUBSTITUTE(SUBSTITUTE(TRIM($AR1061),"-",""),".",""),"/","")," ",""),8),5,2),--MID(LEFT(SUBSTITUTE(SUBSTITUTE(SUBSTITUTE(SUBSTITUTE(TRIM($AR1061),"-",""),".",""),"/","")," ",""),8),7,2)),"")))</f>
        <v/>
      </c>
      <c r="AT1061" s="33">
        <f>IF($AS1061="","",IF($F$6="",0,IF(ISNUMBER(INDEX($A:$AP,ROW(),$F$6)),INDEX($A:$AP,ROW(),$F$6),IFERROR(--SUBSTITUTE(SUBSTITUTE(TRIM(INDEX($A:$AP,ROW(),$F$6)),",",""),"원",""),0))))</f>
        <v/>
      </c>
      <c r="AU1061" s="31">
        <f>IF($AS1061="","",IF($AX1061&lt;&gt;"",SUBSTITUTE(SUBSTITUTE($AX1061,"-","")," ",""),"N:"&amp;$AV1061))</f>
        <v/>
      </c>
      <c r="AV1061" s="31">
        <f>IF(OR($AS1061="",$E$6=""),"",TRIM(INDEX($A:$AP,ROW(),$E$6)&amp;""))</f>
        <v/>
      </c>
      <c r="AW1061" s="31">
        <f>IF($AU1061="","",IF(MATCH($AU1061,$AU$8:$AU$2007,0)=ROW()-7,MAX($AW$7:$AW1060)+1,""))</f>
        <v/>
      </c>
      <c r="AX1061" s="31">
        <f>IF(OR($AS1061="",$D$6=""),"",TRIM(INDEX($A:$AP,ROW(),$D$6)&amp;""))</f>
        <v/>
      </c>
      <c r="AY1061" s="31">
        <f>IF($AU1061="","",INDEX($AW$8:$AW$2007,MATCH($AU1061,$AU$8:$AU$2007,0)))</f>
        <v/>
      </c>
      <c r="AZ1061" s="31">
        <f>IF(OR($AS1061="",$C$6=""),"",TRIM(INDEX($A:$AP,ROW(),$C$6)&amp;""))</f>
        <v/>
      </c>
      <c r="BA1061" s="31">
        <f>IF($AZ1061="","",IF(COUNTIF($AZ$8:$AZ1061,$AZ1061)&gt;1,1,0))</f>
        <v/>
      </c>
    </row>
    <row r="1062">
      <c r="AR1062" s="31">
        <f>IF(OR($A$5="",$B$6="",ROW()&lt;$A$5),"",IF(INDEX($A:$AP,ROW(),$B$6)="","",INDEX($A:$AP,ROW(),$B$6)))</f>
        <v/>
      </c>
      <c r="AS1062" s="32">
        <f>IF($AR1062="","",IF(ISNUMBER($AR1062),IF($AR1062&gt;=10000000,IFERROR(DATE(INT($AR1062/10000),MOD(INT($AR1062/100),100),MOD($AR1062,100)),""),INT($AR1062)),IFERROR(DATE(--LEFT(LEFT(SUBSTITUTE(SUBSTITUTE(SUBSTITUTE(SUBSTITUTE(TRIM($AR1062),"-",""),".",""),"/","")," ",""),8),4),--MID(LEFT(SUBSTITUTE(SUBSTITUTE(SUBSTITUTE(SUBSTITUTE(TRIM($AR1062),"-",""),".",""),"/","")," ",""),8),5,2),--MID(LEFT(SUBSTITUTE(SUBSTITUTE(SUBSTITUTE(SUBSTITUTE(TRIM($AR1062),"-",""),".",""),"/","")," ",""),8),7,2)),"")))</f>
        <v/>
      </c>
      <c r="AT1062" s="33">
        <f>IF($AS1062="","",IF($F$6="",0,IF(ISNUMBER(INDEX($A:$AP,ROW(),$F$6)),INDEX($A:$AP,ROW(),$F$6),IFERROR(--SUBSTITUTE(SUBSTITUTE(TRIM(INDEX($A:$AP,ROW(),$F$6)),",",""),"원",""),0))))</f>
        <v/>
      </c>
      <c r="AU1062" s="31">
        <f>IF($AS1062="","",IF($AX1062&lt;&gt;"",SUBSTITUTE(SUBSTITUTE($AX1062,"-","")," ",""),"N:"&amp;$AV1062))</f>
        <v/>
      </c>
      <c r="AV1062" s="31">
        <f>IF(OR($AS1062="",$E$6=""),"",TRIM(INDEX($A:$AP,ROW(),$E$6)&amp;""))</f>
        <v/>
      </c>
      <c r="AW1062" s="31">
        <f>IF($AU1062="","",IF(MATCH($AU1062,$AU$8:$AU$2007,0)=ROW()-7,MAX($AW$7:$AW1061)+1,""))</f>
        <v/>
      </c>
      <c r="AX1062" s="31">
        <f>IF(OR($AS1062="",$D$6=""),"",TRIM(INDEX($A:$AP,ROW(),$D$6)&amp;""))</f>
        <v/>
      </c>
      <c r="AY1062" s="31">
        <f>IF($AU1062="","",INDEX($AW$8:$AW$2007,MATCH($AU1062,$AU$8:$AU$2007,0)))</f>
        <v/>
      </c>
      <c r="AZ1062" s="31">
        <f>IF(OR($AS1062="",$C$6=""),"",TRIM(INDEX($A:$AP,ROW(),$C$6)&amp;""))</f>
        <v/>
      </c>
      <c r="BA1062" s="31">
        <f>IF($AZ1062="","",IF(COUNTIF($AZ$8:$AZ1062,$AZ1062)&gt;1,1,0))</f>
        <v/>
      </c>
    </row>
    <row r="1063">
      <c r="AR1063" s="31">
        <f>IF(OR($A$5="",$B$6="",ROW()&lt;$A$5),"",IF(INDEX($A:$AP,ROW(),$B$6)="","",INDEX($A:$AP,ROW(),$B$6)))</f>
        <v/>
      </c>
      <c r="AS1063" s="32">
        <f>IF($AR1063="","",IF(ISNUMBER($AR1063),IF($AR1063&gt;=10000000,IFERROR(DATE(INT($AR1063/10000),MOD(INT($AR1063/100),100),MOD($AR1063,100)),""),INT($AR1063)),IFERROR(DATE(--LEFT(LEFT(SUBSTITUTE(SUBSTITUTE(SUBSTITUTE(SUBSTITUTE(TRIM($AR1063),"-",""),".",""),"/","")," ",""),8),4),--MID(LEFT(SUBSTITUTE(SUBSTITUTE(SUBSTITUTE(SUBSTITUTE(TRIM($AR1063),"-",""),".",""),"/","")," ",""),8),5,2),--MID(LEFT(SUBSTITUTE(SUBSTITUTE(SUBSTITUTE(SUBSTITUTE(TRIM($AR1063),"-",""),".",""),"/","")," ",""),8),7,2)),"")))</f>
        <v/>
      </c>
      <c r="AT1063" s="33">
        <f>IF($AS1063="","",IF($F$6="",0,IF(ISNUMBER(INDEX($A:$AP,ROW(),$F$6)),INDEX($A:$AP,ROW(),$F$6),IFERROR(--SUBSTITUTE(SUBSTITUTE(TRIM(INDEX($A:$AP,ROW(),$F$6)),",",""),"원",""),0))))</f>
        <v/>
      </c>
      <c r="AU1063" s="31">
        <f>IF($AS1063="","",IF($AX1063&lt;&gt;"",SUBSTITUTE(SUBSTITUTE($AX1063,"-","")," ",""),"N:"&amp;$AV1063))</f>
        <v/>
      </c>
      <c r="AV1063" s="31">
        <f>IF(OR($AS1063="",$E$6=""),"",TRIM(INDEX($A:$AP,ROW(),$E$6)&amp;""))</f>
        <v/>
      </c>
      <c r="AW1063" s="31">
        <f>IF($AU1063="","",IF(MATCH($AU1063,$AU$8:$AU$2007,0)=ROW()-7,MAX($AW$7:$AW1062)+1,""))</f>
        <v/>
      </c>
      <c r="AX1063" s="31">
        <f>IF(OR($AS1063="",$D$6=""),"",TRIM(INDEX($A:$AP,ROW(),$D$6)&amp;""))</f>
        <v/>
      </c>
      <c r="AY1063" s="31">
        <f>IF($AU1063="","",INDEX($AW$8:$AW$2007,MATCH($AU1063,$AU$8:$AU$2007,0)))</f>
        <v/>
      </c>
      <c r="AZ1063" s="31">
        <f>IF(OR($AS1063="",$C$6=""),"",TRIM(INDEX($A:$AP,ROW(),$C$6)&amp;""))</f>
        <v/>
      </c>
      <c r="BA1063" s="31">
        <f>IF($AZ1063="","",IF(COUNTIF($AZ$8:$AZ1063,$AZ1063)&gt;1,1,0))</f>
        <v/>
      </c>
    </row>
    <row r="1064">
      <c r="AR1064" s="31">
        <f>IF(OR($A$5="",$B$6="",ROW()&lt;$A$5),"",IF(INDEX($A:$AP,ROW(),$B$6)="","",INDEX($A:$AP,ROW(),$B$6)))</f>
        <v/>
      </c>
      <c r="AS1064" s="32">
        <f>IF($AR1064="","",IF(ISNUMBER($AR1064),IF($AR1064&gt;=10000000,IFERROR(DATE(INT($AR1064/10000),MOD(INT($AR1064/100),100),MOD($AR1064,100)),""),INT($AR1064)),IFERROR(DATE(--LEFT(LEFT(SUBSTITUTE(SUBSTITUTE(SUBSTITUTE(SUBSTITUTE(TRIM($AR1064),"-",""),".",""),"/","")," ",""),8),4),--MID(LEFT(SUBSTITUTE(SUBSTITUTE(SUBSTITUTE(SUBSTITUTE(TRIM($AR1064),"-",""),".",""),"/","")," ",""),8),5,2),--MID(LEFT(SUBSTITUTE(SUBSTITUTE(SUBSTITUTE(SUBSTITUTE(TRIM($AR1064),"-",""),".",""),"/","")," ",""),8),7,2)),"")))</f>
        <v/>
      </c>
      <c r="AT1064" s="33">
        <f>IF($AS1064="","",IF($F$6="",0,IF(ISNUMBER(INDEX($A:$AP,ROW(),$F$6)),INDEX($A:$AP,ROW(),$F$6),IFERROR(--SUBSTITUTE(SUBSTITUTE(TRIM(INDEX($A:$AP,ROW(),$F$6)),",",""),"원",""),0))))</f>
        <v/>
      </c>
      <c r="AU1064" s="31">
        <f>IF($AS1064="","",IF($AX1064&lt;&gt;"",SUBSTITUTE(SUBSTITUTE($AX1064,"-","")," ",""),"N:"&amp;$AV1064))</f>
        <v/>
      </c>
      <c r="AV1064" s="31">
        <f>IF(OR($AS1064="",$E$6=""),"",TRIM(INDEX($A:$AP,ROW(),$E$6)&amp;""))</f>
        <v/>
      </c>
      <c r="AW1064" s="31">
        <f>IF($AU1064="","",IF(MATCH($AU1064,$AU$8:$AU$2007,0)=ROW()-7,MAX($AW$7:$AW1063)+1,""))</f>
        <v/>
      </c>
      <c r="AX1064" s="31">
        <f>IF(OR($AS1064="",$D$6=""),"",TRIM(INDEX($A:$AP,ROW(),$D$6)&amp;""))</f>
        <v/>
      </c>
      <c r="AY1064" s="31">
        <f>IF($AU1064="","",INDEX($AW$8:$AW$2007,MATCH($AU1064,$AU$8:$AU$2007,0)))</f>
        <v/>
      </c>
      <c r="AZ1064" s="31">
        <f>IF(OR($AS1064="",$C$6=""),"",TRIM(INDEX($A:$AP,ROW(),$C$6)&amp;""))</f>
        <v/>
      </c>
      <c r="BA1064" s="31">
        <f>IF($AZ1064="","",IF(COUNTIF($AZ$8:$AZ1064,$AZ1064)&gt;1,1,0))</f>
        <v/>
      </c>
    </row>
    <row r="1065">
      <c r="AR1065" s="31">
        <f>IF(OR($A$5="",$B$6="",ROW()&lt;$A$5),"",IF(INDEX($A:$AP,ROW(),$B$6)="","",INDEX($A:$AP,ROW(),$B$6)))</f>
        <v/>
      </c>
      <c r="AS1065" s="32">
        <f>IF($AR1065="","",IF(ISNUMBER($AR1065),IF($AR1065&gt;=10000000,IFERROR(DATE(INT($AR1065/10000),MOD(INT($AR1065/100),100),MOD($AR1065,100)),""),INT($AR1065)),IFERROR(DATE(--LEFT(LEFT(SUBSTITUTE(SUBSTITUTE(SUBSTITUTE(SUBSTITUTE(TRIM($AR1065),"-",""),".",""),"/","")," ",""),8),4),--MID(LEFT(SUBSTITUTE(SUBSTITUTE(SUBSTITUTE(SUBSTITUTE(TRIM($AR1065),"-",""),".",""),"/","")," ",""),8),5,2),--MID(LEFT(SUBSTITUTE(SUBSTITUTE(SUBSTITUTE(SUBSTITUTE(TRIM($AR1065),"-",""),".",""),"/","")," ",""),8),7,2)),"")))</f>
        <v/>
      </c>
      <c r="AT1065" s="33">
        <f>IF($AS1065="","",IF($F$6="",0,IF(ISNUMBER(INDEX($A:$AP,ROW(),$F$6)),INDEX($A:$AP,ROW(),$F$6),IFERROR(--SUBSTITUTE(SUBSTITUTE(TRIM(INDEX($A:$AP,ROW(),$F$6)),",",""),"원",""),0))))</f>
        <v/>
      </c>
      <c r="AU1065" s="31">
        <f>IF($AS1065="","",IF($AX1065&lt;&gt;"",SUBSTITUTE(SUBSTITUTE($AX1065,"-","")," ",""),"N:"&amp;$AV1065))</f>
        <v/>
      </c>
      <c r="AV1065" s="31">
        <f>IF(OR($AS1065="",$E$6=""),"",TRIM(INDEX($A:$AP,ROW(),$E$6)&amp;""))</f>
        <v/>
      </c>
      <c r="AW1065" s="31">
        <f>IF($AU1065="","",IF(MATCH($AU1065,$AU$8:$AU$2007,0)=ROW()-7,MAX($AW$7:$AW1064)+1,""))</f>
        <v/>
      </c>
      <c r="AX1065" s="31">
        <f>IF(OR($AS1065="",$D$6=""),"",TRIM(INDEX($A:$AP,ROW(),$D$6)&amp;""))</f>
        <v/>
      </c>
      <c r="AY1065" s="31">
        <f>IF($AU1065="","",INDEX($AW$8:$AW$2007,MATCH($AU1065,$AU$8:$AU$2007,0)))</f>
        <v/>
      </c>
      <c r="AZ1065" s="31">
        <f>IF(OR($AS1065="",$C$6=""),"",TRIM(INDEX($A:$AP,ROW(),$C$6)&amp;""))</f>
        <v/>
      </c>
      <c r="BA1065" s="31">
        <f>IF($AZ1065="","",IF(COUNTIF($AZ$8:$AZ1065,$AZ1065)&gt;1,1,0))</f>
        <v/>
      </c>
    </row>
    <row r="1066">
      <c r="AR1066" s="31">
        <f>IF(OR($A$5="",$B$6="",ROW()&lt;$A$5),"",IF(INDEX($A:$AP,ROW(),$B$6)="","",INDEX($A:$AP,ROW(),$B$6)))</f>
        <v/>
      </c>
      <c r="AS1066" s="32">
        <f>IF($AR1066="","",IF(ISNUMBER($AR1066),IF($AR1066&gt;=10000000,IFERROR(DATE(INT($AR1066/10000),MOD(INT($AR1066/100),100),MOD($AR1066,100)),""),INT($AR1066)),IFERROR(DATE(--LEFT(LEFT(SUBSTITUTE(SUBSTITUTE(SUBSTITUTE(SUBSTITUTE(TRIM($AR1066),"-",""),".",""),"/","")," ",""),8),4),--MID(LEFT(SUBSTITUTE(SUBSTITUTE(SUBSTITUTE(SUBSTITUTE(TRIM($AR1066),"-",""),".",""),"/","")," ",""),8),5,2),--MID(LEFT(SUBSTITUTE(SUBSTITUTE(SUBSTITUTE(SUBSTITUTE(TRIM($AR1066),"-",""),".",""),"/","")," ",""),8),7,2)),"")))</f>
        <v/>
      </c>
      <c r="AT1066" s="33">
        <f>IF($AS1066="","",IF($F$6="",0,IF(ISNUMBER(INDEX($A:$AP,ROW(),$F$6)),INDEX($A:$AP,ROW(),$F$6),IFERROR(--SUBSTITUTE(SUBSTITUTE(TRIM(INDEX($A:$AP,ROW(),$F$6)),",",""),"원",""),0))))</f>
        <v/>
      </c>
      <c r="AU1066" s="31">
        <f>IF($AS1066="","",IF($AX1066&lt;&gt;"",SUBSTITUTE(SUBSTITUTE($AX1066,"-","")," ",""),"N:"&amp;$AV1066))</f>
        <v/>
      </c>
      <c r="AV1066" s="31">
        <f>IF(OR($AS1066="",$E$6=""),"",TRIM(INDEX($A:$AP,ROW(),$E$6)&amp;""))</f>
        <v/>
      </c>
      <c r="AW1066" s="31">
        <f>IF($AU1066="","",IF(MATCH($AU1066,$AU$8:$AU$2007,0)=ROW()-7,MAX($AW$7:$AW1065)+1,""))</f>
        <v/>
      </c>
      <c r="AX1066" s="31">
        <f>IF(OR($AS1066="",$D$6=""),"",TRIM(INDEX($A:$AP,ROW(),$D$6)&amp;""))</f>
        <v/>
      </c>
      <c r="AY1066" s="31">
        <f>IF($AU1066="","",INDEX($AW$8:$AW$2007,MATCH($AU1066,$AU$8:$AU$2007,0)))</f>
        <v/>
      </c>
      <c r="AZ1066" s="31">
        <f>IF(OR($AS1066="",$C$6=""),"",TRIM(INDEX($A:$AP,ROW(),$C$6)&amp;""))</f>
        <v/>
      </c>
      <c r="BA1066" s="31">
        <f>IF($AZ1066="","",IF(COUNTIF($AZ$8:$AZ1066,$AZ1066)&gt;1,1,0))</f>
        <v/>
      </c>
    </row>
    <row r="1067">
      <c r="AR1067" s="31">
        <f>IF(OR($A$5="",$B$6="",ROW()&lt;$A$5),"",IF(INDEX($A:$AP,ROW(),$B$6)="","",INDEX($A:$AP,ROW(),$B$6)))</f>
        <v/>
      </c>
      <c r="AS1067" s="32">
        <f>IF($AR1067="","",IF(ISNUMBER($AR1067),IF($AR1067&gt;=10000000,IFERROR(DATE(INT($AR1067/10000),MOD(INT($AR1067/100),100),MOD($AR1067,100)),""),INT($AR1067)),IFERROR(DATE(--LEFT(LEFT(SUBSTITUTE(SUBSTITUTE(SUBSTITUTE(SUBSTITUTE(TRIM($AR1067),"-",""),".",""),"/","")," ",""),8),4),--MID(LEFT(SUBSTITUTE(SUBSTITUTE(SUBSTITUTE(SUBSTITUTE(TRIM($AR1067),"-",""),".",""),"/","")," ",""),8),5,2),--MID(LEFT(SUBSTITUTE(SUBSTITUTE(SUBSTITUTE(SUBSTITUTE(TRIM($AR1067),"-",""),".",""),"/","")," ",""),8),7,2)),"")))</f>
        <v/>
      </c>
      <c r="AT1067" s="33">
        <f>IF($AS1067="","",IF($F$6="",0,IF(ISNUMBER(INDEX($A:$AP,ROW(),$F$6)),INDEX($A:$AP,ROW(),$F$6),IFERROR(--SUBSTITUTE(SUBSTITUTE(TRIM(INDEX($A:$AP,ROW(),$F$6)),",",""),"원",""),0))))</f>
        <v/>
      </c>
      <c r="AU1067" s="31">
        <f>IF($AS1067="","",IF($AX1067&lt;&gt;"",SUBSTITUTE(SUBSTITUTE($AX1067,"-","")," ",""),"N:"&amp;$AV1067))</f>
        <v/>
      </c>
      <c r="AV1067" s="31">
        <f>IF(OR($AS1067="",$E$6=""),"",TRIM(INDEX($A:$AP,ROW(),$E$6)&amp;""))</f>
        <v/>
      </c>
      <c r="AW1067" s="31">
        <f>IF($AU1067="","",IF(MATCH($AU1067,$AU$8:$AU$2007,0)=ROW()-7,MAX($AW$7:$AW1066)+1,""))</f>
        <v/>
      </c>
      <c r="AX1067" s="31">
        <f>IF(OR($AS1067="",$D$6=""),"",TRIM(INDEX($A:$AP,ROW(),$D$6)&amp;""))</f>
        <v/>
      </c>
      <c r="AY1067" s="31">
        <f>IF($AU1067="","",INDEX($AW$8:$AW$2007,MATCH($AU1067,$AU$8:$AU$2007,0)))</f>
        <v/>
      </c>
      <c r="AZ1067" s="31">
        <f>IF(OR($AS1067="",$C$6=""),"",TRIM(INDEX($A:$AP,ROW(),$C$6)&amp;""))</f>
        <v/>
      </c>
      <c r="BA1067" s="31">
        <f>IF($AZ1067="","",IF(COUNTIF($AZ$8:$AZ1067,$AZ1067)&gt;1,1,0))</f>
        <v/>
      </c>
    </row>
    <row r="1068">
      <c r="AR1068" s="31">
        <f>IF(OR($A$5="",$B$6="",ROW()&lt;$A$5),"",IF(INDEX($A:$AP,ROW(),$B$6)="","",INDEX($A:$AP,ROW(),$B$6)))</f>
        <v/>
      </c>
      <c r="AS1068" s="32">
        <f>IF($AR1068="","",IF(ISNUMBER($AR1068),IF($AR1068&gt;=10000000,IFERROR(DATE(INT($AR1068/10000),MOD(INT($AR1068/100),100),MOD($AR1068,100)),""),INT($AR1068)),IFERROR(DATE(--LEFT(LEFT(SUBSTITUTE(SUBSTITUTE(SUBSTITUTE(SUBSTITUTE(TRIM($AR1068),"-",""),".",""),"/","")," ",""),8),4),--MID(LEFT(SUBSTITUTE(SUBSTITUTE(SUBSTITUTE(SUBSTITUTE(TRIM($AR1068),"-",""),".",""),"/","")," ",""),8),5,2),--MID(LEFT(SUBSTITUTE(SUBSTITUTE(SUBSTITUTE(SUBSTITUTE(TRIM($AR1068),"-",""),".",""),"/","")," ",""),8),7,2)),"")))</f>
        <v/>
      </c>
      <c r="AT1068" s="33">
        <f>IF($AS1068="","",IF($F$6="",0,IF(ISNUMBER(INDEX($A:$AP,ROW(),$F$6)),INDEX($A:$AP,ROW(),$F$6),IFERROR(--SUBSTITUTE(SUBSTITUTE(TRIM(INDEX($A:$AP,ROW(),$F$6)),",",""),"원",""),0))))</f>
        <v/>
      </c>
      <c r="AU1068" s="31">
        <f>IF($AS1068="","",IF($AX1068&lt;&gt;"",SUBSTITUTE(SUBSTITUTE($AX1068,"-","")," ",""),"N:"&amp;$AV1068))</f>
        <v/>
      </c>
      <c r="AV1068" s="31">
        <f>IF(OR($AS1068="",$E$6=""),"",TRIM(INDEX($A:$AP,ROW(),$E$6)&amp;""))</f>
        <v/>
      </c>
      <c r="AW1068" s="31">
        <f>IF($AU1068="","",IF(MATCH($AU1068,$AU$8:$AU$2007,0)=ROW()-7,MAX($AW$7:$AW1067)+1,""))</f>
        <v/>
      </c>
      <c r="AX1068" s="31">
        <f>IF(OR($AS1068="",$D$6=""),"",TRIM(INDEX($A:$AP,ROW(),$D$6)&amp;""))</f>
        <v/>
      </c>
      <c r="AY1068" s="31">
        <f>IF($AU1068="","",INDEX($AW$8:$AW$2007,MATCH($AU1068,$AU$8:$AU$2007,0)))</f>
        <v/>
      </c>
      <c r="AZ1068" s="31">
        <f>IF(OR($AS1068="",$C$6=""),"",TRIM(INDEX($A:$AP,ROW(),$C$6)&amp;""))</f>
        <v/>
      </c>
      <c r="BA1068" s="31">
        <f>IF($AZ1068="","",IF(COUNTIF($AZ$8:$AZ1068,$AZ1068)&gt;1,1,0))</f>
        <v/>
      </c>
    </row>
    <row r="1069">
      <c r="AR1069" s="31">
        <f>IF(OR($A$5="",$B$6="",ROW()&lt;$A$5),"",IF(INDEX($A:$AP,ROW(),$B$6)="","",INDEX($A:$AP,ROW(),$B$6)))</f>
        <v/>
      </c>
      <c r="AS1069" s="32">
        <f>IF($AR1069="","",IF(ISNUMBER($AR1069),IF($AR1069&gt;=10000000,IFERROR(DATE(INT($AR1069/10000),MOD(INT($AR1069/100),100),MOD($AR1069,100)),""),INT($AR1069)),IFERROR(DATE(--LEFT(LEFT(SUBSTITUTE(SUBSTITUTE(SUBSTITUTE(SUBSTITUTE(TRIM($AR1069),"-",""),".",""),"/","")," ",""),8),4),--MID(LEFT(SUBSTITUTE(SUBSTITUTE(SUBSTITUTE(SUBSTITUTE(TRIM($AR1069),"-",""),".",""),"/","")," ",""),8),5,2),--MID(LEFT(SUBSTITUTE(SUBSTITUTE(SUBSTITUTE(SUBSTITUTE(TRIM($AR1069),"-",""),".",""),"/","")," ",""),8),7,2)),"")))</f>
        <v/>
      </c>
      <c r="AT1069" s="33">
        <f>IF($AS1069="","",IF($F$6="",0,IF(ISNUMBER(INDEX($A:$AP,ROW(),$F$6)),INDEX($A:$AP,ROW(),$F$6),IFERROR(--SUBSTITUTE(SUBSTITUTE(TRIM(INDEX($A:$AP,ROW(),$F$6)),",",""),"원",""),0))))</f>
        <v/>
      </c>
      <c r="AU1069" s="31">
        <f>IF($AS1069="","",IF($AX1069&lt;&gt;"",SUBSTITUTE(SUBSTITUTE($AX1069,"-","")," ",""),"N:"&amp;$AV1069))</f>
        <v/>
      </c>
      <c r="AV1069" s="31">
        <f>IF(OR($AS1069="",$E$6=""),"",TRIM(INDEX($A:$AP,ROW(),$E$6)&amp;""))</f>
        <v/>
      </c>
      <c r="AW1069" s="31">
        <f>IF($AU1069="","",IF(MATCH($AU1069,$AU$8:$AU$2007,0)=ROW()-7,MAX($AW$7:$AW1068)+1,""))</f>
        <v/>
      </c>
      <c r="AX1069" s="31">
        <f>IF(OR($AS1069="",$D$6=""),"",TRIM(INDEX($A:$AP,ROW(),$D$6)&amp;""))</f>
        <v/>
      </c>
      <c r="AY1069" s="31">
        <f>IF($AU1069="","",INDEX($AW$8:$AW$2007,MATCH($AU1069,$AU$8:$AU$2007,0)))</f>
        <v/>
      </c>
      <c r="AZ1069" s="31">
        <f>IF(OR($AS1069="",$C$6=""),"",TRIM(INDEX($A:$AP,ROW(),$C$6)&amp;""))</f>
        <v/>
      </c>
      <c r="BA1069" s="31">
        <f>IF($AZ1069="","",IF(COUNTIF($AZ$8:$AZ1069,$AZ1069)&gt;1,1,0))</f>
        <v/>
      </c>
    </row>
    <row r="1070">
      <c r="AR1070" s="31">
        <f>IF(OR($A$5="",$B$6="",ROW()&lt;$A$5),"",IF(INDEX($A:$AP,ROW(),$B$6)="","",INDEX($A:$AP,ROW(),$B$6)))</f>
        <v/>
      </c>
      <c r="AS1070" s="32">
        <f>IF($AR1070="","",IF(ISNUMBER($AR1070),IF($AR1070&gt;=10000000,IFERROR(DATE(INT($AR1070/10000),MOD(INT($AR1070/100),100),MOD($AR1070,100)),""),INT($AR1070)),IFERROR(DATE(--LEFT(LEFT(SUBSTITUTE(SUBSTITUTE(SUBSTITUTE(SUBSTITUTE(TRIM($AR1070),"-",""),".",""),"/","")," ",""),8),4),--MID(LEFT(SUBSTITUTE(SUBSTITUTE(SUBSTITUTE(SUBSTITUTE(TRIM($AR1070),"-",""),".",""),"/","")," ",""),8),5,2),--MID(LEFT(SUBSTITUTE(SUBSTITUTE(SUBSTITUTE(SUBSTITUTE(TRIM($AR1070),"-",""),".",""),"/","")," ",""),8),7,2)),"")))</f>
        <v/>
      </c>
      <c r="AT1070" s="33">
        <f>IF($AS1070="","",IF($F$6="",0,IF(ISNUMBER(INDEX($A:$AP,ROW(),$F$6)),INDEX($A:$AP,ROW(),$F$6),IFERROR(--SUBSTITUTE(SUBSTITUTE(TRIM(INDEX($A:$AP,ROW(),$F$6)),",",""),"원",""),0))))</f>
        <v/>
      </c>
      <c r="AU1070" s="31">
        <f>IF($AS1070="","",IF($AX1070&lt;&gt;"",SUBSTITUTE(SUBSTITUTE($AX1070,"-","")," ",""),"N:"&amp;$AV1070))</f>
        <v/>
      </c>
      <c r="AV1070" s="31">
        <f>IF(OR($AS1070="",$E$6=""),"",TRIM(INDEX($A:$AP,ROW(),$E$6)&amp;""))</f>
        <v/>
      </c>
      <c r="AW1070" s="31">
        <f>IF($AU1070="","",IF(MATCH($AU1070,$AU$8:$AU$2007,0)=ROW()-7,MAX($AW$7:$AW1069)+1,""))</f>
        <v/>
      </c>
      <c r="AX1070" s="31">
        <f>IF(OR($AS1070="",$D$6=""),"",TRIM(INDEX($A:$AP,ROW(),$D$6)&amp;""))</f>
        <v/>
      </c>
      <c r="AY1070" s="31">
        <f>IF($AU1070="","",INDEX($AW$8:$AW$2007,MATCH($AU1070,$AU$8:$AU$2007,0)))</f>
        <v/>
      </c>
      <c r="AZ1070" s="31">
        <f>IF(OR($AS1070="",$C$6=""),"",TRIM(INDEX($A:$AP,ROW(),$C$6)&amp;""))</f>
        <v/>
      </c>
      <c r="BA1070" s="31">
        <f>IF($AZ1070="","",IF(COUNTIF($AZ$8:$AZ1070,$AZ1070)&gt;1,1,0))</f>
        <v/>
      </c>
    </row>
    <row r="1071">
      <c r="AR1071" s="31">
        <f>IF(OR($A$5="",$B$6="",ROW()&lt;$A$5),"",IF(INDEX($A:$AP,ROW(),$B$6)="","",INDEX($A:$AP,ROW(),$B$6)))</f>
        <v/>
      </c>
      <c r="AS1071" s="32">
        <f>IF($AR1071="","",IF(ISNUMBER($AR1071),IF($AR1071&gt;=10000000,IFERROR(DATE(INT($AR1071/10000),MOD(INT($AR1071/100),100),MOD($AR1071,100)),""),INT($AR1071)),IFERROR(DATE(--LEFT(LEFT(SUBSTITUTE(SUBSTITUTE(SUBSTITUTE(SUBSTITUTE(TRIM($AR1071),"-",""),".",""),"/","")," ",""),8),4),--MID(LEFT(SUBSTITUTE(SUBSTITUTE(SUBSTITUTE(SUBSTITUTE(TRIM($AR1071),"-",""),".",""),"/","")," ",""),8),5,2),--MID(LEFT(SUBSTITUTE(SUBSTITUTE(SUBSTITUTE(SUBSTITUTE(TRIM($AR1071),"-",""),".",""),"/","")," ",""),8),7,2)),"")))</f>
        <v/>
      </c>
      <c r="AT1071" s="33">
        <f>IF($AS1071="","",IF($F$6="",0,IF(ISNUMBER(INDEX($A:$AP,ROW(),$F$6)),INDEX($A:$AP,ROW(),$F$6),IFERROR(--SUBSTITUTE(SUBSTITUTE(TRIM(INDEX($A:$AP,ROW(),$F$6)),",",""),"원",""),0))))</f>
        <v/>
      </c>
      <c r="AU1071" s="31">
        <f>IF($AS1071="","",IF($AX1071&lt;&gt;"",SUBSTITUTE(SUBSTITUTE($AX1071,"-","")," ",""),"N:"&amp;$AV1071))</f>
        <v/>
      </c>
      <c r="AV1071" s="31">
        <f>IF(OR($AS1071="",$E$6=""),"",TRIM(INDEX($A:$AP,ROW(),$E$6)&amp;""))</f>
        <v/>
      </c>
      <c r="AW1071" s="31">
        <f>IF($AU1071="","",IF(MATCH($AU1071,$AU$8:$AU$2007,0)=ROW()-7,MAX($AW$7:$AW1070)+1,""))</f>
        <v/>
      </c>
      <c r="AX1071" s="31">
        <f>IF(OR($AS1071="",$D$6=""),"",TRIM(INDEX($A:$AP,ROW(),$D$6)&amp;""))</f>
        <v/>
      </c>
      <c r="AY1071" s="31">
        <f>IF($AU1071="","",INDEX($AW$8:$AW$2007,MATCH($AU1071,$AU$8:$AU$2007,0)))</f>
        <v/>
      </c>
      <c r="AZ1071" s="31">
        <f>IF(OR($AS1071="",$C$6=""),"",TRIM(INDEX($A:$AP,ROW(),$C$6)&amp;""))</f>
        <v/>
      </c>
      <c r="BA1071" s="31">
        <f>IF($AZ1071="","",IF(COUNTIF($AZ$8:$AZ1071,$AZ1071)&gt;1,1,0))</f>
        <v/>
      </c>
    </row>
    <row r="1072">
      <c r="AR1072" s="31">
        <f>IF(OR($A$5="",$B$6="",ROW()&lt;$A$5),"",IF(INDEX($A:$AP,ROW(),$B$6)="","",INDEX($A:$AP,ROW(),$B$6)))</f>
        <v/>
      </c>
      <c r="AS1072" s="32">
        <f>IF($AR1072="","",IF(ISNUMBER($AR1072),IF($AR1072&gt;=10000000,IFERROR(DATE(INT($AR1072/10000),MOD(INT($AR1072/100),100),MOD($AR1072,100)),""),INT($AR1072)),IFERROR(DATE(--LEFT(LEFT(SUBSTITUTE(SUBSTITUTE(SUBSTITUTE(SUBSTITUTE(TRIM($AR1072),"-",""),".",""),"/","")," ",""),8),4),--MID(LEFT(SUBSTITUTE(SUBSTITUTE(SUBSTITUTE(SUBSTITUTE(TRIM($AR1072),"-",""),".",""),"/","")," ",""),8),5,2),--MID(LEFT(SUBSTITUTE(SUBSTITUTE(SUBSTITUTE(SUBSTITUTE(TRIM($AR1072),"-",""),".",""),"/","")," ",""),8),7,2)),"")))</f>
        <v/>
      </c>
      <c r="AT1072" s="33">
        <f>IF($AS1072="","",IF($F$6="",0,IF(ISNUMBER(INDEX($A:$AP,ROW(),$F$6)),INDEX($A:$AP,ROW(),$F$6),IFERROR(--SUBSTITUTE(SUBSTITUTE(TRIM(INDEX($A:$AP,ROW(),$F$6)),",",""),"원",""),0))))</f>
        <v/>
      </c>
      <c r="AU1072" s="31">
        <f>IF($AS1072="","",IF($AX1072&lt;&gt;"",SUBSTITUTE(SUBSTITUTE($AX1072,"-","")," ",""),"N:"&amp;$AV1072))</f>
        <v/>
      </c>
      <c r="AV1072" s="31">
        <f>IF(OR($AS1072="",$E$6=""),"",TRIM(INDEX($A:$AP,ROW(),$E$6)&amp;""))</f>
        <v/>
      </c>
      <c r="AW1072" s="31">
        <f>IF($AU1072="","",IF(MATCH($AU1072,$AU$8:$AU$2007,0)=ROW()-7,MAX($AW$7:$AW1071)+1,""))</f>
        <v/>
      </c>
      <c r="AX1072" s="31">
        <f>IF(OR($AS1072="",$D$6=""),"",TRIM(INDEX($A:$AP,ROW(),$D$6)&amp;""))</f>
        <v/>
      </c>
      <c r="AY1072" s="31">
        <f>IF($AU1072="","",INDEX($AW$8:$AW$2007,MATCH($AU1072,$AU$8:$AU$2007,0)))</f>
        <v/>
      </c>
      <c r="AZ1072" s="31">
        <f>IF(OR($AS1072="",$C$6=""),"",TRIM(INDEX($A:$AP,ROW(),$C$6)&amp;""))</f>
        <v/>
      </c>
      <c r="BA1072" s="31">
        <f>IF($AZ1072="","",IF(COUNTIF($AZ$8:$AZ1072,$AZ1072)&gt;1,1,0))</f>
        <v/>
      </c>
    </row>
    <row r="1073">
      <c r="AR1073" s="31">
        <f>IF(OR($A$5="",$B$6="",ROW()&lt;$A$5),"",IF(INDEX($A:$AP,ROW(),$B$6)="","",INDEX($A:$AP,ROW(),$B$6)))</f>
        <v/>
      </c>
      <c r="AS1073" s="32">
        <f>IF($AR1073="","",IF(ISNUMBER($AR1073),IF($AR1073&gt;=10000000,IFERROR(DATE(INT($AR1073/10000),MOD(INT($AR1073/100),100),MOD($AR1073,100)),""),INT($AR1073)),IFERROR(DATE(--LEFT(LEFT(SUBSTITUTE(SUBSTITUTE(SUBSTITUTE(SUBSTITUTE(TRIM($AR1073),"-",""),".",""),"/","")," ",""),8),4),--MID(LEFT(SUBSTITUTE(SUBSTITUTE(SUBSTITUTE(SUBSTITUTE(TRIM($AR1073),"-",""),".",""),"/","")," ",""),8),5,2),--MID(LEFT(SUBSTITUTE(SUBSTITUTE(SUBSTITUTE(SUBSTITUTE(TRIM($AR1073),"-",""),".",""),"/","")," ",""),8),7,2)),"")))</f>
        <v/>
      </c>
      <c r="AT1073" s="33">
        <f>IF($AS1073="","",IF($F$6="",0,IF(ISNUMBER(INDEX($A:$AP,ROW(),$F$6)),INDEX($A:$AP,ROW(),$F$6),IFERROR(--SUBSTITUTE(SUBSTITUTE(TRIM(INDEX($A:$AP,ROW(),$F$6)),",",""),"원",""),0))))</f>
        <v/>
      </c>
      <c r="AU1073" s="31">
        <f>IF($AS1073="","",IF($AX1073&lt;&gt;"",SUBSTITUTE(SUBSTITUTE($AX1073,"-","")," ",""),"N:"&amp;$AV1073))</f>
        <v/>
      </c>
      <c r="AV1073" s="31">
        <f>IF(OR($AS1073="",$E$6=""),"",TRIM(INDEX($A:$AP,ROW(),$E$6)&amp;""))</f>
        <v/>
      </c>
      <c r="AW1073" s="31">
        <f>IF($AU1073="","",IF(MATCH($AU1073,$AU$8:$AU$2007,0)=ROW()-7,MAX($AW$7:$AW1072)+1,""))</f>
        <v/>
      </c>
      <c r="AX1073" s="31">
        <f>IF(OR($AS1073="",$D$6=""),"",TRIM(INDEX($A:$AP,ROW(),$D$6)&amp;""))</f>
        <v/>
      </c>
      <c r="AY1073" s="31">
        <f>IF($AU1073="","",INDEX($AW$8:$AW$2007,MATCH($AU1073,$AU$8:$AU$2007,0)))</f>
        <v/>
      </c>
      <c r="AZ1073" s="31">
        <f>IF(OR($AS1073="",$C$6=""),"",TRIM(INDEX($A:$AP,ROW(),$C$6)&amp;""))</f>
        <v/>
      </c>
      <c r="BA1073" s="31">
        <f>IF($AZ1073="","",IF(COUNTIF($AZ$8:$AZ1073,$AZ1073)&gt;1,1,0))</f>
        <v/>
      </c>
    </row>
    <row r="1074">
      <c r="AR1074" s="31">
        <f>IF(OR($A$5="",$B$6="",ROW()&lt;$A$5),"",IF(INDEX($A:$AP,ROW(),$B$6)="","",INDEX($A:$AP,ROW(),$B$6)))</f>
        <v/>
      </c>
      <c r="AS1074" s="32">
        <f>IF($AR1074="","",IF(ISNUMBER($AR1074),IF($AR1074&gt;=10000000,IFERROR(DATE(INT($AR1074/10000),MOD(INT($AR1074/100),100),MOD($AR1074,100)),""),INT($AR1074)),IFERROR(DATE(--LEFT(LEFT(SUBSTITUTE(SUBSTITUTE(SUBSTITUTE(SUBSTITUTE(TRIM($AR1074),"-",""),".",""),"/","")," ",""),8),4),--MID(LEFT(SUBSTITUTE(SUBSTITUTE(SUBSTITUTE(SUBSTITUTE(TRIM($AR1074),"-",""),".",""),"/","")," ",""),8),5,2),--MID(LEFT(SUBSTITUTE(SUBSTITUTE(SUBSTITUTE(SUBSTITUTE(TRIM($AR1074),"-",""),".",""),"/","")," ",""),8),7,2)),"")))</f>
        <v/>
      </c>
      <c r="AT1074" s="33">
        <f>IF($AS1074="","",IF($F$6="",0,IF(ISNUMBER(INDEX($A:$AP,ROW(),$F$6)),INDEX($A:$AP,ROW(),$F$6),IFERROR(--SUBSTITUTE(SUBSTITUTE(TRIM(INDEX($A:$AP,ROW(),$F$6)),",",""),"원",""),0))))</f>
        <v/>
      </c>
      <c r="AU1074" s="31">
        <f>IF($AS1074="","",IF($AX1074&lt;&gt;"",SUBSTITUTE(SUBSTITUTE($AX1074,"-","")," ",""),"N:"&amp;$AV1074))</f>
        <v/>
      </c>
      <c r="AV1074" s="31">
        <f>IF(OR($AS1074="",$E$6=""),"",TRIM(INDEX($A:$AP,ROW(),$E$6)&amp;""))</f>
        <v/>
      </c>
      <c r="AW1074" s="31">
        <f>IF($AU1074="","",IF(MATCH($AU1074,$AU$8:$AU$2007,0)=ROW()-7,MAX($AW$7:$AW1073)+1,""))</f>
        <v/>
      </c>
      <c r="AX1074" s="31">
        <f>IF(OR($AS1074="",$D$6=""),"",TRIM(INDEX($A:$AP,ROW(),$D$6)&amp;""))</f>
        <v/>
      </c>
      <c r="AY1074" s="31">
        <f>IF($AU1074="","",INDEX($AW$8:$AW$2007,MATCH($AU1074,$AU$8:$AU$2007,0)))</f>
        <v/>
      </c>
      <c r="AZ1074" s="31">
        <f>IF(OR($AS1074="",$C$6=""),"",TRIM(INDEX($A:$AP,ROW(),$C$6)&amp;""))</f>
        <v/>
      </c>
      <c r="BA1074" s="31">
        <f>IF($AZ1074="","",IF(COUNTIF($AZ$8:$AZ1074,$AZ1074)&gt;1,1,0))</f>
        <v/>
      </c>
    </row>
    <row r="1075">
      <c r="AR1075" s="31">
        <f>IF(OR($A$5="",$B$6="",ROW()&lt;$A$5),"",IF(INDEX($A:$AP,ROW(),$B$6)="","",INDEX($A:$AP,ROW(),$B$6)))</f>
        <v/>
      </c>
      <c r="AS1075" s="32">
        <f>IF($AR1075="","",IF(ISNUMBER($AR1075),IF($AR1075&gt;=10000000,IFERROR(DATE(INT($AR1075/10000),MOD(INT($AR1075/100),100),MOD($AR1075,100)),""),INT($AR1075)),IFERROR(DATE(--LEFT(LEFT(SUBSTITUTE(SUBSTITUTE(SUBSTITUTE(SUBSTITUTE(TRIM($AR1075),"-",""),".",""),"/","")," ",""),8),4),--MID(LEFT(SUBSTITUTE(SUBSTITUTE(SUBSTITUTE(SUBSTITUTE(TRIM($AR1075),"-",""),".",""),"/","")," ",""),8),5,2),--MID(LEFT(SUBSTITUTE(SUBSTITUTE(SUBSTITUTE(SUBSTITUTE(TRIM($AR1075),"-",""),".",""),"/","")," ",""),8),7,2)),"")))</f>
        <v/>
      </c>
      <c r="AT1075" s="33">
        <f>IF($AS1075="","",IF($F$6="",0,IF(ISNUMBER(INDEX($A:$AP,ROW(),$F$6)),INDEX($A:$AP,ROW(),$F$6),IFERROR(--SUBSTITUTE(SUBSTITUTE(TRIM(INDEX($A:$AP,ROW(),$F$6)),",",""),"원",""),0))))</f>
        <v/>
      </c>
      <c r="AU1075" s="31">
        <f>IF($AS1075="","",IF($AX1075&lt;&gt;"",SUBSTITUTE(SUBSTITUTE($AX1075,"-","")," ",""),"N:"&amp;$AV1075))</f>
        <v/>
      </c>
      <c r="AV1075" s="31">
        <f>IF(OR($AS1075="",$E$6=""),"",TRIM(INDEX($A:$AP,ROW(),$E$6)&amp;""))</f>
        <v/>
      </c>
      <c r="AW1075" s="31">
        <f>IF($AU1075="","",IF(MATCH($AU1075,$AU$8:$AU$2007,0)=ROW()-7,MAX($AW$7:$AW1074)+1,""))</f>
        <v/>
      </c>
      <c r="AX1075" s="31">
        <f>IF(OR($AS1075="",$D$6=""),"",TRIM(INDEX($A:$AP,ROW(),$D$6)&amp;""))</f>
        <v/>
      </c>
      <c r="AY1075" s="31">
        <f>IF($AU1075="","",INDEX($AW$8:$AW$2007,MATCH($AU1075,$AU$8:$AU$2007,0)))</f>
        <v/>
      </c>
      <c r="AZ1075" s="31">
        <f>IF(OR($AS1075="",$C$6=""),"",TRIM(INDEX($A:$AP,ROW(),$C$6)&amp;""))</f>
        <v/>
      </c>
      <c r="BA1075" s="31">
        <f>IF($AZ1075="","",IF(COUNTIF($AZ$8:$AZ1075,$AZ1075)&gt;1,1,0))</f>
        <v/>
      </c>
    </row>
    <row r="1076">
      <c r="AR1076" s="31">
        <f>IF(OR($A$5="",$B$6="",ROW()&lt;$A$5),"",IF(INDEX($A:$AP,ROW(),$B$6)="","",INDEX($A:$AP,ROW(),$B$6)))</f>
        <v/>
      </c>
      <c r="AS1076" s="32">
        <f>IF($AR1076="","",IF(ISNUMBER($AR1076),IF($AR1076&gt;=10000000,IFERROR(DATE(INT($AR1076/10000),MOD(INT($AR1076/100),100),MOD($AR1076,100)),""),INT($AR1076)),IFERROR(DATE(--LEFT(LEFT(SUBSTITUTE(SUBSTITUTE(SUBSTITUTE(SUBSTITUTE(TRIM($AR1076),"-",""),".",""),"/","")," ",""),8),4),--MID(LEFT(SUBSTITUTE(SUBSTITUTE(SUBSTITUTE(SUBSTITUTE(TRIM($AR1076),"-",""),".",""),"/","")," ",""),8),5,2),--MID(LEFT(SUBSTITUTE(SUBSTITUTE(SUBSTITUTE(SUBSTITUTE(TRIM($AR1076),"-",""),".",""),"/","")," ",""),8),7,2)),"")))</f>
        <v/>
      </c>
      <c r="AT1076" s="33">
        <f>IF($AS1076="","",IF($F$6="",0,IF(ISNUMBER(INDEX($A:$AP,ROW(),$F$6)),INDEX($A:$AP,ROW(),$F$6),IFERROR(--SUBSTITUTE(SUBSTITUTE(TRIM(INDEX($A:$AP,ROW(),$F$6)),",",""),"원",""),0))))</f>
        <v/>
      </c>
      <c r="AU1076" s="31">
        <f>IF($AS1076="","",IF($AX1076&lt;&gt;"",SUBSTITUTE(SUBSTITUTE($AX1076,"-","")," ",""),"N:"&amp;$AV1076))</f>
        <v/>
      </c>
      <c r="AV1076" s="31">
        <f>IF(OR($AS1076="",$E$6=""),"",TRIM(INDEX($A:$AP,ROW(),$E$6)&amp;""))</f>
        <v/>
      </c>
      <c r="AW1076" s="31">
        <f>IF($AU1076="","",IF(MATCH($AU1076,$AU$8:$AU$2007,0)=ROW()-7,MAX($AW$7:$AW1075)+1,""))</f>
        <v/>
      </c>
      <c r="AX1076" s="31">
        <f>IF(OR($AS1076="",$D$6=""),"",TRIM(INDEX($A:$AP,ROW(),$D$6)&amp;""))</f>
        <v/>
      </c>
      <c r="AY1076" s="31">
        <f>IF($AU1076="","",INDEX($AW$8:$AW$2007,MATCH($AU1076,$AU$8:$AU$2007,0)))</f>
        <v/>
      </c>
      <c r="AZ1076" s="31">
        <f>IF(OR($AS1076="",$C$6=""),"",TRIM(INDEX($A:$AP,ROW(),$C$6)&amp;""))</f>
        <v/>
      </c>
      <c r="BA1076" s="31">
        <f>IF($AZ1076="","",IF(COUNTIF($AZ$8:$AZ1076,$AZ1076)&gt;1,1,0))</f>
        <v/>
      </c>
    </row>
    <row r="1077">
      <c r="AR1077" s="31">
        <f>IF(OR($A$5="",$B$6="",ROW()&lt;$A$5),"",IF(INDEX($A:$AP,ROW(),$B$6)="","",INDEX($A:$AP,ROW(),$B$6)))</f>
        <v/>
      </c>
      <c r="AS1077" s="32">
        <f>IF($AR1077="","",IF(ISNUMBER($AR1077),IF($AR1077&gt;=10000000,IFERROR(DATE(INT($AR1077/10000),MOD(INT($AR1077/100),100),MOD($AR1077,100)),""),INT($AR1077)),IFERROR(DATE(--LEFT(LEFT(SUBSTITUTE(SUBSTITUTE(SUBSTITUTE(SUBSTITUTE(TRIM($AR1077),"-",""),".",""),"/","")," ",""),8),4),--MID(LEFT(SUBSTITUTE(SUBSTITUTE(SUBSTITUTE(SUBSTITUTE(TRIM($AR1077),"-",""),".",""),"/","")," ",""),8),5,2),--MID(LEFT(SUBSTITUTE(SUBSTITUTE(SUBSTITUTE(SUBSTITUTE(TRIM($AR1077),"-",""),".",""),"/","")," ",""),8),7,2)),"")))</f>
        <v/>
      </c>
      <c r="AT1077" s="33">
        <f>IF($AS1077="","",IF($F$6="",0,IF(ISNUMBER(INDEX($A:$AP,ROW(),$F$6)),INDEX($A:$AP,ROW(),$F$6),IFERROR(--SUBSTITUTE(SUBSTITUTE(TRIM(INDEX($A:$AP,ROW(),$F$6)),",",""),"원",""),0))))</f>
        <v/>
      </c>
      <c r="AU1077" s="31">
        <f>IF($AS1077="","",IF($AX1077&lt;&gt;"",SUBSTITUTE(SUBSTITUTE($AX1077,"-","")," ",""),"N:"&amp;$AV1077))</f>
        <v/>
      </c>
      <c r="AV1077" s="31">
        <f>IF(OR($AS1077="",$E$6=""),"",TRIM(INDEX($A:$AP,ROW(),$E$6)&amp;""))</f>
        <v/>
      </c>
      <c r="AW1077" s="31">
        <f>IF($AU1077="","",IF(MATCH($AU1077,$AU$8:$AU$2007,0)=ROW()-7,MAX($AW$7:$AW1076)+1,""))</f>
        <v/>
      </c>
      <c r="AX1077" s="31">
        <f>IF(OR($AS1077="",$D$6=""),"",TRIM(INDEX($A:$AP,ROW(),$D$6)&amp;""))</f>
        <v/>
      </c>
      <c r="AY1077" s="31">
        <f>IF($AU1077="","",INDEX($AW$8:$AW$2007,MATCH($AU1077,$AU$8:$AU$2007,0)))</f>
        <v/>
      </c>
      <c r="AZ1077" s="31">
        <f>IF(OR($AS1077="",$C$6=""),"",TRIM(INDEX($A:$AP,ROW(),$C$6)&amp;""))</f>
        <v/>
      </c>
      <c r="BA1077" s="31">
        <f>IF($AZ1077="","",IF(COUNTIF($AZ$8:$AZ1077,$AZ1077)&gt;1,1,0))</f>
        <v/>
      </c>
    </row>
    <row r="1078">
      <c r="AR1078" s="31">
        <f>IF(OR($A$5="",$B$6="",ROW()&lt;$A$5),"",IF(INDEX($A:$AP,ROW(),$B$6)="","",INDEX($A:$AP,ROW(),$B$6)))</f>
        <v/>
      </c>
      <c r="AS1078" s="32">
        <f>IF($AR1078="","",IF(ISNUMBER($AR1078),IF($AR1078&gt;=10000000,IFERROR(DATE(INT($AR1078/10000),MOD(INT($AR1078/100),100),MOD($AR1078,100)),""),INT($AR1078)),IFERROR(DATE(--LEFT(LEFT(SUBSTITUTE(SUBSTITUTE(SUBSTITUTE(SUBSTITUTE(TRIM($AR1078),"-",""),".",""),"/","")," ",""),8),4),--MID(LEFT(SUBSTITUTE(SUBSTITUTE(SUBSTITUTE(SUBSTITUTE(TRIM($AR1078),"-",""),".",""),"/","")," ",""),8),5,2),--MID(LEFT(SUBSTITUTE(SUBSTITUTE(SUBSTITUTE(SUBSTITUTE(TRIM($AR1078),"-",""),".",""),"/","")," ",""),8),7,2)),"")))</f>
        <v/>
      </c>
      <c r="AT1078" s="33">
        <f>IF($AS1078="","",IF($F$6="",0,IF(ISNUMBER(INDEX($A:$AP,ROW(),$F$6)),INDEX($A:$AP,ROW(),$F$6),IFERROR(--SUBSTITUTE(SUBSTITUTE(TRIM(INDEX($A:$AP,ROW(),$F$6)),",",""),"원",""),0))))</f>
        <v/>
      </c>
      <c r="AU1078" s="31">
        <f>IF($AS1078="","",IF($AX1078&lt;&gt;"",SUBSTITUTE(SUBSTITUTE($AX1078,"-","")," ",""),"N:"&amp;$AV1078))</f>
        <v/>
      </c>
      <c r="AV1078" s="31">
        <f>IF(OR($AS1078="",$E$6=""),"",TRIM(INDEX($A:$AP,ROW(),$E$6)&amp;""))</f>
        <v/>
      </c>
      <c r="AW1078" s="31">
        <f>IF($AU1078="","",IF(MATCH($AU1078,$AU$8:$AU$2007,0)=ROW()-7,MAX($AW$7:$AW1077)+1,""))</f>
        <v/>
      </c>
      <c r="AX1078" s="31">
        <f>IF(OR($AS1078="",$D$6=""),"",TRIM(INDEX($A:$AP,ROW(),$D$6)&amp;""))</f>
        <v/>
      </c>
      <c r="AY1078" s="31">
        <f>IF($AU1078="","",INDEX($AW$8:$AW$2007,MATCH($AU1078,$AU$8:$AU$2007,0)))</f>
        <v/>
      </c>
      <c r="AZ1078" s="31">
        <f>IF(OR($AS1078="",$C$6=""),"",TRIM(INDEX($A:$AP,ROW(),$C$6)&amp;""))</f>
        <v/>
      </c>
      <c r="BA1078" s="31">
        <f>IF($AZ1078="","",IF(COUNTIF($AZ$8:$AZ1078,$AZ1078)&gt;1,1,0))</f>
        <v/>
      </c>
    </row>
    <row r="1079">
      <c r="AR1079" s="31">
        <f>IF(OR($A$5="",$B$6="",ROW()&lt;$A$5),"",IF(INDEX($A:$AP,ROW(),$B$6)="","",INDEX($A:$AP,ROW(),$B$6)))</f>
        <v/>
      </c>
      <c r="AS1079" s="32">
        <f>IF($AR1079="","",IF(ISNUMBER($AR1079),IF($AR1079&gt;=10000000,IFERROR(DATE(INT($AR1079/10000),MOD(INT($AR1079/100),100),MOD($AR1079,100)),""),INT($AR1079)),IFERROR(DATE(--LEFT(LEFT(SUBSTITUTE(SUBSTITUTE(SUBSTITUTE(SUBSTITUTE(TRIM($AR1079),"-",""),".",""),"/","")," ",""),8),4),--MID(LEFT(SUBSTITUTE(SUBSTITUTE(SUBSTITUTE(SUBSTITUTE(TRIM($AR1079),"-",""),".",""),"/","")," ",""),8),5,2),--MID(LEFT(SUBSTITUTE(SUBSTITUTE(SUBSTITUTE(SUBSTITUTE(TRIM($AR1079),"-",""),".",""),"/","")," ",""),8),7,2)),"")))</f>
        <v/>
      </c>
      <c r="AT1079" s="33">
        <f>IF($AS1079="","",IF($F$6="",0,IF(ISNUMBER(INDEX($A:$AP,ROW(),$F$6)),INDEX($A:$AP,ROW(),$F$6),IFERROR(--SUBSTITUTE(SUBSTITUTE(TRIM(INDEX($A:$AP,ROW(),$F$6)),",",""),"원",""),0))))</f>
        <v/>
      </c>
      <c r="AU1079" s="31">
        <f>IF($AS1079="","",IF($AX1079&lt;&gt;"",SUBSTITUTE(SUBSTITUTE($AX1079,"-","")," ",""),"N:"&amp;$AV1079))</f>
        <v/>
      </c>
      <c r="AV1079" s="31">
        <f>IF(OR($AS1079="",$E$6=""),"",TRIM(INDEX($A:$AP,ROW(),$E$6)&amp;""))</f>
        <v/>
      </c>
      <c r="AW1079" s="31">
        <f>IF($AU1079="","",IF(MATCH($AU1079,$AU$8:$AU$2007,0)=ROW()-7,MAX($AW$7:$AW1078)+1,""))</f>
        <v/>
      </c>
      <c r="AX1079" s="31">
        <f>IF(OR($AS1079="",$D$6=""),"",TRIM(INDEX($A:$AP,ROW(),$D$6)&amp;""))</f>
        <v/>
      </c>
      <c r="AY1079" s="31">
        <f>IF($AU1079="","",INDEX($AW$8:$AW$2007,MATCH($AU1079,$AU$8:$AU$2007,0)))</f>
        <v/>
      </c>
      <c r="AZ1079" s="31">
        <f>IF(OR($AS1079="",$C$6=""),"",TRIM(INDEX($A:$AP,ROW(),$C$6)&amp;""))</f>
        <v/>
      </c>
      <c r="BA1079" s="31">
        <f>IF($AZ1079="","",IF(COUNTIF($AZ$8:$AZ1079,$AZ1079)&gt;1,1,0))</f>
        <v/>
      </c>
    </row>
    <row r="1080">
      <c r="AR1080" s="31">
        <f>IF(OR($A$5="",$B$6="",ROW()&lt;$A$5),"",IF(INDEX($A:$AP,ROW(),$B$6)="","",INDEX($A:$AP,ROW(),$B$6)))</f>
        <v/>
      </c>
      <c r="AS1080" s="32">
        <f>IF($AR1080="","",IF(ISNUMBER($AR1080),IF($AR1080&gt;=10000000,IFERROR(DATE(INT($AR1080/10000),MOD(INT($AR1080/100),100),MOD($AR1080,100)),""),INT($AR1080)),IFERROR(DATE(--LEFT(LEFT(SUBSTITUTE(SUBSTITUTE(SUBSTITUTE(SUBSTITUTE(TRIM($AR1080),"-",""),".",""),"/","")," ",""),8),4),--MID(LEFT(SUBSTITUTE(SUBSTITUTE(SUBSTITUTE(SUBSTITUTE(TRIM($AR1080),"-",""),".",""),"/","")," ",""),8),5,2),--MID(LEFT(SUBSTITUTE(SUBSTITUTE(SUBSTITUTE(SUBSTITUTE(TRIM($AR1080),"-",""),".",""),"/","")," ",""),8),7,2)),"")))</f>
        <v/>
      </c>
      <c r="AT1080" s="33">
        <f>IF($AS1080="","",IF($F$6="",0,IF(ISNUMBER(INDEX($A:$AP,ROW(),$F$6)),INDEX($A:$AP,ROW(),$F$6),IFERROR(--SUBSTITUTE(SUBSTITUTE(TRIM(INDEX($A:$AP,ROW(),$F$6)),",",""),"원",""),0))))</f>
        <v/>
      </c>
      <c r="AU1080" s="31">
        <f>IF($AS1080="","",IF($AX1080&lt;&gt;"",SUBSTITUTE(SUBSTITUTE($AX1080,"-","")," ",""),"N:"&amp;$AV1080))</f>
        <v/>
      </c>
      <c r="AV1080" s="31">
        <f>IF(OR($AS1080="",$E$6=""),"",TRIM(INDEX($A:$AP,ROW(),$E$6)&amp;""))</f>
        <v/>
      </c>
      <c r="AW1080" s="31">
        <f>IF($AU1080="","",IF(MATCH($AU1080,$AU$8:$AU$2007,0)=ROW()-7,MAX($AW$7:$AW1079)+1,""))</f>
        <v/>
      </c>
      <c r="AX1080" s="31">
        <f>IF(OR($AS1080="",$D$6=""),"",TRIM(INDEX($A:$AP,ROW(),$D$6)&amp;""))</f>
        <v/>
      </c>
      <c r="AY1080" s="31">
        <f>IF($AU1080="","",INDEX($AW$8:$AW$2007,MATCH($AU1080,$AU$8:$AU$2007,0)))</f>
        <v/>
      </c>
      <c r="AZ1080" s="31">
        <f>IF(OR($AS1080="",$C$6=""),"",TRIM(INDEX($A:$AP,ROW(),$C$6)&amp;""))</f>
        <v/>
      </c>
      <c r="BA1080" s="31">
        <f>IF($AZ1080="","",IF(COUNTIF($AZ$8:$AZ1080,$AZ1080)&gt;1,1,0))</f>
        <v/>
      </c>
    </row>
    <row r="1081">
      <c r="AR1081" s="31">
        <f>IF(OR($A$5="",$B$6="",ROW()&lt;$A$5),"",IF(INDEX($A:$AP,ROW(),$B$6)="","",INDEX($A:$AP,ROW(),$B$6)))</f>
        <v/>
      </c>
      <c r="AS1081" s="32">
        <f>IF($AR1081="","",IF(ISNUMBER($AR1081),IF($AR1081&gt;=10000000,IFERROR(DATE(INT($AR1081/10000),MOD(INT($AR1081/100),100),MOD($AR1081,100)),""),INT($AR1081)),IFERROR(DATE(--LEFT(LEFT(SUBSTITUTE(SUBSTITUTE(SUBSTITUTE(SUBSTITUTE(TRIM($AR1081),"-",""),".",""),"/","")," ",""),8),4),--MID(LEFT(SUBSTITUTE(SUBSTITUTE(SUBSTITUTE(SUBSTITUTE(TRIM($AR1081),"-",""),".",""),"/","")," ",""),8),5,2),--MID(LEFT(SUBSTITUTE(SUBSTITUTE(SUBSTITUTE(SUBSTITUTE(TRIM($AR1081),"-",""),".",""),"/","")," ",""),8),7,2)),"")))</f>
        <v/>
      </c>
      <c r="AT1081" s="33">
        <f>IF($AS1081="","",IF($F$6="",0,IF(ISNUMBER(INDEX($A:$AP,ROW(),$F$6)),INDEX($A:$AP,ROW(),$F$6),IFERROR(--SUBSTITUTE(SUBSTITUTE(TRIM(INDEX($A:$AP,ROW(),$F$6)),",",""),"원",""),0))))</f>
        <v/>
      </c>
      <c r="AU1081" s="31">
        <f>IF($AS1081="","",IF($AX1081&lt;&gt;"",SUBSTITUTE(SUBSTITUTE($AX1081,"-","")," ",""),"N:"&amp;$AV1081))</f>
        <v/>
      </c>
      <c r="AV1081" s="31">
        <f>IF(OR($AS1081="",$E$6=""),"",TRIM(INDEX($A:$AP,ROW(),$E$6)&amp;""))</f>
        <v/>
      </c>
      <c r="AW1081" s="31">
        <f>IF($AU1081="","",IF(MATCH($AU1081,$AU$8:$AU$2007,0)=ROW()-7,MAX($AW$7:$AW1080)+1,""))</f>
        <v/>
      </c>
      <c r="AX1081" s="31">
        <f>IF(OR($AS1081="",$D$6=""),"",TRIM(INDEX($A:$AP,ROW(),$D$6)&amp;""))</f>
        <v/>
      </c>
      <c r="AY1081" s="31">
        <f>IF($AU1081="","",INDEX($AW$8:$AW$2007,MATCH($AU1081,$AU$8:$AU$2007,0)))</f>
        <v/>
      </c>
      <c r="AZ1081" s="31">
        <f>IF(OR($AS1081="",$C$6=""),"",TRIM(INDEX($A:$AP,ROW(),$C$6)&amp;""))</f>
        <v/>
      </c>
      <c r="BA1081" s="31">
        <f>IF($AZ1081="","",IF(COUNTIF($AZ$8:$AZ1081,$AZ1081)&gt;1,1,0))</f>
        <v/>
      </c>
    </row>
    <row r="1082">
      <c r="AR1082" s="31">
        <f>IF(OR($A$5="",$B$6="",ROW()&lt;$A$5),"",IF(INDEX($A:$AP,ROW(),$B$6)="","",INDEX($A:$AP,ROW(),$B$6)))</f>
        <v/>
      </c>
      <c r="AS1082" s="32">
        <f>IF($AR1082="","",IF(ISNUMBER($AR1082),IF($AR1082&gt;=10000000,IFERROR(DATE(INT($AR1082/10000),MOD(INT($AR1082/100),100),MOD($AR1082,100)),""),INT($AR1082)),IFERROR(DATE(--LEFT(LEFT(SUBSTITUTE(SUBSTITUTE(SUBSTITUTE(SUBSTITUTE(TRIM($AR1082),"-",""),".",""),"/","")," ",""),8),4),--MID(LEFT(SUBSTITUTE(SUBSTITUTE(SUBSTITUTE(SUBSTITUTE(TRIM($AR1082),"-",""),".",""),"/","")," ",""),8),5,2),--MID(LEFT(SUBSTITUTE(SUBSTITUTE(SUBSTITUTE(SUBSTITUTE(TRIM($AR1082),"-",""),".",""),"/","")," ",""),8),7,2)),"")))</f>
        <v/>
      </c>
      <c r="AT1082" s="33">
        <f>IF($AS1082="","",IF($F$6="",0,IF(ISNUMBER(INDEX($A:$AP,ROW(),$F$6)),INDEX($A:$AP,ROW(),$F$6),IFERROR(--SUBSTITUTE(SUBSTITUTE(TRIM(INDEX($A:$AP,ROW(),$F$6)),",",""),"원",""),0))))</f>
        <v/>
      </c>
      <c r="AU1082" s="31">
        <f>IF($AS1082="","",IF($AX1082&lt;&gt;"",SUBSTITUTE(SUBSTITUTE($AX1082,"-","")," ",""),"N:"&amp;$AV1082))</f>
        <v/>
      </c>
      <c r="AV1082" s="31">
        <f>IF(OR($AS1082="",$E$6=""),"",TRIM(INDEX($A:$AP,ROW(),$E$6)&amp;""))</f>
        <v/>
      </c>
      <c r="AW1082" s="31">
        <f>IF($AU1082="","",IF(MATCH($AU1082,$AU$8:$AU$2007,0)=ROW()-7,MAX($AW$7:$AW1081)+1,""))</f>
        <v/>
      </c>
      <c r="AX1082" s="31">
        <f>IF(OR($AS1082="",$D$6=""),"",TRIM(INDEX($A:$AP,ROW(),$D$6)&amp;""))</f>
        <v/>
      </c>
      <c r="AY1082" s="31">
        <f>IF($AU1082="","",INDEX($AW$8:$AW$2007,MATCH($AU1082,$AU$8:$AU$2007,0)))</f>
        <v/>
      </c>
      <c r="AZ1082" s="31">
        <f>IF(OR($AS1082="",$C$6=""),"",TRIM(INDEX($A:$AP,ROW(),$C$6)&amp;""))</f>
        <v/>
      </c>
      <c r="BA1082" s="31">
        <f>IF($AZ1082="","",IF(COUNTIF($AZ$8:$AZ1082,$AZ1082)&gt;1,1,0))</f>
        <v/>
      </c>
    </row>
    <row r="1083">
      <c r="AR1083" s="31">
        <f>IF(OR($A$5="",$B$6="",ROW()&lt;$A$5),"",IF(INDEX($A:$AP,ROW(),$B$6)="","",INDEX($A:$AP,ROW(),$B$6)))</f>
        <v/>
      </c>
      <c r="AS1083" s="32">
        <f>IF($AR1083="","",IF(ISNUMBER($AR1083),IF($AR1083&gt;=10000000,IFERROR(DATE(INT($AR1083/10000),MOD(INT($AR1083/100),100),MOD($AR1083,100)),""),INT($AR1083)),IFERROR(DATE(--LEFT(LEFT(SUBSTITUTE(SUBSTITUTE(SUBSTITUTE(SUBSTITUTE(TRIM($AR1083),"-",""),".",""),"/","")," ",""),8),4),--MID(LEFT(SUBSTITUTE(SUBSTITUTE(SUBSTITUTE(SUBSTITUTE(TRIM($AR1083),"-",""),".",""),"/","")," ",""),8),5,2),--MID(LEFT(SUBSTITUTE(SUBSTITUTE(SUBSTITUTE(SUBSTITUTE(TRIM($AR1083),"-",""),".",""),"/","")," ",""),8),7,2)),"")))</f>
        <v/>
      </c>
      <c r="AT1083" s="33">
        <f>IF($AS1083="","",IF($F$6="",0,IF(ISNUMBER(INDEX($A:$AP,ROW(),$F$6)),INDEX($A:$AP,ROW(),$F$6),IFERROR(--SUBSTITUTE(SUBSTITUTE(TRIM(INDEX($A:$AP,ROW(),$F$6)),",",""),"원",""),0))))</f>
        <v/>
      </c>
      <c r="AU1083" s="31">
        <f>IF($AS1083="","",IF($AX1083&lt;&gt;"",SUBSTITUTE(SUBSTITUTE($AX1083,"-","")," ",""),"N:"&amp;$AV1083))</f>
        <v/>
      </c>
      <c r="AV1083" s="31">
        <f>IF(OR($AS1083="",$E$6=""),"",TRIM(INDEX($A:$AP,ROW(),$E$6)&amp;""))</f>
        <v/>
      </c>
      <c r="AW1083" s="31">
        <f>IF($AU1083="","",IF(MATCH($AU1083,$AU$8:$AU$2007,0)=ROW()-7,MAX($AW$7:$AW1082)+1,""))</f>
        <v/>
      </c>
      <c r="AX1083" s="31">
        <f>IF(OR($AS1083="",$D$6=""),"",TRIM(INDEX($A:$AP,ROW(),$D$6)&amp;""))</f>
        <v/>
      </c>
      <c r="AY1083" s="31">
        <f>IF($AU1083="","",INDEX($AW$8:$AW$2007,MATCH($AU1083,$AU$8:$AU$2007,0)))</f>
        <v/>
      </c>
      <c r="AZ1083" s="31">
        <f>IF(OR($AS1083="",$C$6=""),"",TRIM(INDEX($A:$AP,ROW(),$C$6)&amp;""))</f>
        <v/>
      </c>
      <c r="BA1083" s="31">
        <f>IF($AZ1083="","",IF(COUNTIF($AZ$8:$AZ1083,$AZ1083)&gt;1,1,0))</f>
        <v/>
      </c>
    </row>
    <row r="1084">
      <c r="AR1084" s="31">
        <f>IF(OR($A$5="",$B$6="",ROW()&lt;$A$5),"",IF(INDEX($A:$AP,ROW(),$B$6)="","",INDEX($A:$AP,ROW(),$B$6)))</f>
        <v/>
      </c>
      <c r="AS1084" s="32">
        <f>IF($AR1084="","",IF(ISNUMBER($AR1084),IF($AR1084&gt;=10000000,IFERROR(DATE(INT($AR1084/10000),MOD(INT($AR1084/100),100),MOD($AR1084,100)),""),INT($AR1084)),IFERROR(DATE(--LEFT(LEFT(SUBSTITUTE(SUBSTITUTE(SUBSTITUTE(SUBSTITUTE(TRIM($AR1084),"-",""),".",""),"/","")," ",""),8),4),--MID(LEFT(SUBSTITUTE(SUBSTITUTE(SUBSTITUTE(SUBSTITUTE(TRIM($AR1084),"-",""),".",""),"/","")," ",""),8),5,2),--MID(LEFT(SUBSTITUTE(SUBSTITUTE(SUBSTITUTE(SUBSTITUTE(TRIM($AR1084),"-",""),".",""),"/","")," ",""),8),7,2)),"")))</f>
        <v/>
      </c>
      <c r="AT1084" s="33">
        <f>IF($AS1084="","",IF($F$6="",0,IF(ISNUMBER(INDEX($A:$AP,ROW(),$F$6)),INDEX($A:$AP,ROW(),$F$6),IFERROR(--SUBSTITUTE(SUBSTITUTE(TRIM(INDEX($A:$AP,ROW(),$F$6)),",",""),"원",""),0))))</f>
        <v/>
      </c>
      <c r="AU1084" s="31">
        <f>IF($AS1084="","",IF($AX1084&lt;&gt;"",SUBSTITUTE(SUBSTITUTE($AX1084,"-","")," ",""),"N:"&amp;$AV1084))</f>
        <v/>
      </c>
      <c r="AV1084" s="31">
        <f>IF(OR($AS1084="",$E$6=""),"",TRIM(INDEX($A:$AP,ROW(),$E$6)&amp;""))</f>
        <v/>
      </c>
      <c r="AW1084" s="31">
        <f>IF($AU1084="","",IF(MATCH($AU1084,$AU$8:$AU$2007,0)=ROW()-7,MAX($AW$7:$AW1083)+1,""))</f>
        <v/>
      </c>
      <c r="AX1084" s="31">
        <f>IF(OR($AS1084="",$D$6=""),"",TRIM(INDEX($A:$AP,ROW(),$D$6)&amp;""))</f>
        <v/>
      </c>
      <c r="AY1084" s="31">
        <f>IF($AU1084="","",INDEX($AW$8:$AW$2007,MATCH($AU1084,$AU$8:$AU$2007,0)))</f>
        <v/>
      </c>
      <c r="AZ1084" s="31">
        <f>IF(OR($AS1084="",$C$6=""),"",TRIM(INDEX($A:$AP,ROW(),$C$6)&amp;""))</f>
        <v/>
      </c>
      <c r="BA1084" s="31">
        <f>IF($AZ1084="","",IF(COUNTIF($AZ$8:$AZ1084,$AZ1084)&gt;1,1,0))</f>
        <v/>
      </c>
    </row>
    <row r="1085">
      <c r="AR1085" s="31">
        <f>IF(OR($A$5="",$B$6="",ROW()&lt;$A$5),"",IF(INDEX($A:$AP,ROW(),$B$6)="","",INDEX($A:$AP,ROW(),$B$6)))</f>
        <v/>
      </c>
      <c r="AS1085" s="32">
        <f>IF($AR1085="","",IF(ISNUMBER($AR1085),IF($AR1085&gt;=10000000,IFERROR(DATE(INT($AR1085/10000),MOD(INT($AR1085/100),100),MOD($AR1085,100)),""),INT($AR1085)),IFERROR(DATE(--LEFT(LEFT(SUBSTITUTE(SUBSTITUTE(SUBSTITUTE(SUBSTITUTE(TRIM($AR1085),"-",""),".",""),"/","")," ",""),8),4),--MID(LEFT(SUBSTITUTE(SUBSTITUTE(SUBSTITUTE(SUBSTITUTE(TRIM($AR1085),"-",""),".",""),"/","")," ",""),8),5,2),--MID(LEFT(SUBSTITUTE(SUBSTITUTE(SUBSTITUTE(SUBSTITUTE(TRIM($AR1085),"-",""),".",""),"/","")," ",""),8),7,2)),"")))</f>
        <v/>
      </c>
      <c r="AT1085" s="33">
        <f>IF($AS1085="","",IF($F$6="",0,IF(ISNUMBER(INDEX($A:$AP,ROW(),$F$6)),INDEX($A:$AP,ROW(),$F$6),IFERROR(--SUBSTITUTE(SUBSTITUTE(TRIM(INDEX($A:$AP,ROW(),$F$6)),",",""),"원",""),0))))</f>
        <v/>
      </c>
      <c r="AU1085" s="31">
        <f>IF($AS1085="","",IF($AX1085&lt;&gt;"",SUBSTITUTE(SUBSTITUTE($AX1085,"-","")," ",""),"N:"&amp;$AV1085))</f>
        <v/>
      </c>
      <c r="AV1085" s="31">
        <f>IF(OR($AS1085="",$E$6=""),"",TRIM(INDEX($A:$AP,ROW(),$E$6)&amp;""))</f>
        <v/>
      </c>
      <c r="AW1085" s="31">
        <f>IF($AU1085="","",IF(MATCH($AU1085,$AU$8:$AU$2007,0)=ROW()-7,MAX($AW$7:$AW1084)+1,""))</f>
        <v/>
      </c>
      <c r="AX1085" s="31">
        <f>IF(OR($AS1085="",$D$6=""),"",TRIM(INDEX($A:$AP,ROW(),$D$6)&amp;""))</f>
        <v/>
      </c>
      <c r="AY1085" s="31">
        <f>IF($AU1085="","",INDEX($AW$8:$AW$2007,MATCH($AU1085,$AU$8:$AU$2007,0)))</f>
        <v/>
      </c>
      <c r="AZ1085" s="31">
        <f>IF(OR($AS1085="",$C$6=""),"",TRIM(INDEX($A:$AP,ROW(),$C$6)&amp;""))</f>
        <v/>
      </c>
      <c r="BA1085" s="31">
        <f>IF($AZ1085="","",IF(COUNTIF($AZ$8:$AZ1085,$AZ1085)&gt;1,1,0))</f>
        <v/>
      </c>
    </row>
    <row r="1086">
      <c r="AR1086" s="31">
        <f>IF(OR($A$5="",$B$6="",ROW()&lt;$A$5),"",IF(INDEX($A:$AP,ROW(),$B$6)="","",INDEX($A:$AP,ROW(),$B$6)))</f>
        <v/>
      </c>
      <c r="AS1086" s="32">
        <f>IF($AR1086="","",IF(ISNUMBER($AR1086),IF($AR1086&gt;=10000000,IFERROR(DATE(INT($AR1086/10000),MOD(INT($AR1086/100),100),MOD($AR1086,100)),""),INT($AR1086)),IFERROR(DATE(--LEFT(LEFT(SUBSTITUTE(SUBSTITUTE(SUBSTITUTE(SUBSTITUTE(TRIM($AR1086),"-",""),".",""),"/","")," ",""),8),4),--MID(LEFT(SUBSTITUTE(SUBSTITUTE(SUBSTITUTE(SUBSTITUTE(TRIM($AR1086),"-",""),".",""),"/","")," ",""),8),5,2),--MID(LEFT(SUBSTITUTE(SUBSTITUTE(SUBSTITUTE(SUBSTITUTE(TRIM($AR1086),"-",""),".",""),"/","")," ",""),8),7,2)),"")))</f>
        <v/>
      </c>
      <c r="AT1086" s="33">
        <f>IF($AS1086="","",IF($F$6="",0,IF(ISNUMBER(INDEX($A:$AP,ROW(),$F$6)),INDEX($A:$AP,ROW(),$F$6),IFERROR(--SUBSTITUTE(SUBSTITUTE(TRIM(INDEX($A:$AP,ROW(),$F$6)),",",""),"원",""),0))))</f>
        <v/>
      </c>
      <c r="AU1086" s="31">
        <f>IF($AS1086="","",IF($AX1086&lt;&gt;"",SUBSTITUTE(SUBSTITUTE($AX1086,"-","")," ",""),"N:"&amp;$AV1086))</f>
        <v/>
      </c>
      <c r="AV1086" s="31">
        <f>IF(OR($AS1086="",$E$6=""),"",TRIM(INDEX($A:$AP,ROW(),$E$6)&amp;""))</f>
        <v/>
      </c>
      <c r="AW1086" s="31">
        <f>IF($AU1086="","",IF(MATCH($AU1086,$AU$8:$AU$2007,0)=ROW()-7,MAX($AW$7:$AW1085)+1,""))</f>
        <v/>
      </c>
      <c r="AX1086" s="31">
        <f>IF(OR($AS1086="",$D$6=""),"",TRIM(INDEX($A:$AP,ROW(),$D$6)&amp;""))</f>
        <v/>
      </c>
      <c r="AY1086" s="31">
        <f>IF($AU1086="","",INDEX($AW$8:$AW$2007,MATCH($AU1086,$AU$8:$AU$2007,0)))</f>
        <v/>
      </c>
      <c r="AZ1086" s="31">
        <f>IF(OR($AS1086="",$C$6=""),"",TRIM(INDEX($A:$AP,ROW(),$C$6)&amp;""))</f>
        <v/>
      </c>
      <c r="BA1086" s="31">
        <f>IF($AZ1086="","",IF(COUNTIF($AZ$8:$AZ1086,$AZ1086)&gt;1,1,0))</f>
        <v/>
      </c>
    </row>
    <row r="1087">
      <c r="AR1087" s="31">
        <f>IF(OR($A$5="",$B$6="",ROW()&lt;$A$5),"",IF(INDEX($A:$AP,ROW(),$B$6)="","",INDEX($A:$AP,ROW(),$B$6)))</f>
        <v/>
      </c>
      <c r="AS1087" s="32">
        <f>IF($AR1087="","",IF(ISNUMBER($AR1087),IF($AR1087&gt;=10000000,IFERROR(DATE(INT($AR1087/10000),MOD(INT($AR1087/100),100),MOD($AR1087,100)),""),INT($AR1087)),IFERROR(DATE(--LEFT(LEFT(SUBSTITUTE(SUBSTITUTE(SUBSTITUTE(SUBSTITUTE(TRIM($AR1087),"-",""),".",""),"/","")," ",""),8),4),--MID(LEFT(SUBSTITUTE(SUBSTITUTE(SUBSTITUTE(SUBSTITUTE(TRIM($AR1087),"-",""),".",""),"/","")," ",""),8),5,2),--MID(LEFT(SUBSTITUTE(SUBSTITUTE(SUBSTITUTE(SUBSTITUTE(TRIM($AR1087),"-",""),".",""),"/","")," ",""),8),7,2)),"")))</f>
        <v/>
      </c>
      <c r="AT1087" s="33">
        <f>IF($AS1087="","",IF($F$6="",0,IF(ISNUMBER(INDEX($A:$AP,ROW(),$F$6)),INDEX($A:$AP,ROW(),$F$6),IFERROR(--SUBSTITUTE(SUBSTITUTE(TRIM(INDEX($A:$AP,ROW(),$F$6)),",",""),"원",""),0))))</f>
        <v/>
      </c>
      <c r="AU1087" s="31">
        <f>IF($AS1087="","",IF($AX1087&lt;&gt;"",SUBSTITUTE(SUBSTITUTE($AX1087,"-","")," ",""),"N:"&amp;$AV1087))</f>
        <v/>
      </c>
      <c r="AV1087" s="31">
        <f>IF(OR($AS1087="",$E$6=""),"",TRIM(INDEX($A:$AP,ROW(),$E$6)&amp;""))</f>
        <v/>
      </c>
      <c r="AW1087" s="31">
        <f>IF($AU1087="","",IF(MATCH($AU1087,$AU$8:$AU$2007,0)=ROW()-7,MAX($AW$7:$AW1086)+1,""))</f>
        <v/>
      </c>
      <c r="AX1087" s="31">
        <f>IF(OR($AS1087="",$D$6=""),"",TRIM(INDEX($A:$AP,ROW(),$D$6)&amp;""))</f>
        <v/>
      </c>
      <c r="AY1087" s="31">
        <f>IF($AU1087="","",INDEX($AW$8:$AW$2007,MATCH($AU1087,$AU$8:$AU$2007,0)))</f>
        <v/>
      </c>
      <c r="AZ1087" s="31">
        <f>IF(OR($AS1087="",$C$6=""),"",TRIM(INDEX($A:$AP,ROW(),$C$6)&amp;""))</f>
        <v/>
      </c>
      <c r="BA1087" s="31">
        <f>IF($AZ1087="","",IF(COUNTIF($AZ$8:$AZ1087,$AZ1087)&gt;1,1,0))</f>
        <v/>
      </c>
    </row>
    <row r="1088">
      <c r="AR1088" s="31">
        <f>IF(OR($A$5="",$B$6="",ROW()&lt;$A$5),"",IF(INDEX($A:$AP,ROW(),$B$6)="","",INDEX($A:$AP,ROW(),$B$6)))</f>
        <v/>
      </c>
      <c r="AS1088" s="32">
        <f>IF($AR1088="","",IF(ISNUMBER($AR1088),IF($AR1088&gt;=10000000,IFERROR(DATE(INT($AR1088/10000),MOD(INT($AR1088/100),100),MOD($AR1088,100)),""),INT($AR1088)),IFERROR(DATE(--LEFT(LEFT(SUBSTITUTE(SUBSTITUTE(SUBSTITUTE(SUBSTITUTE(TRIM($AR1088),"-",""),".",""),"/","")," ",""),8),4),--MID(LEFT(SUBSTITUTE(SUBSTITUTE(SUBSTITUTE(SUBSTITUTE(TRIM($AR1088),"-",""),".",""),"/","")," ",""),8),5,2),--MID(LEFT(SUBSTITUTE(SUBSTITUTE(SUBSTITUTE(SUBSTITUTE(TRIM($AR1088),"-",""),".",""),"/","")," ",""),8),7,2)),"")))</f>
        <v/>
      </c>
      <c r="AT1088" s="33">
        <f>IF($AS1088="","",IF($F$6="",0,IF(ISNUMBER(INDEX($A:$AP,ROW(),$F$6)),INDEX($A:$AP,ROW(),$F$6),IFERROR(--SUBSTITUTE(SUBSTITUTE(TRIM(INDEX($A:$AP,ROW(),$F$6)),",",""),"원",""),0))))</f>
        <v/>
      </c>
      <c r="AU1088" s="31">
        <f>IF($AS1088="","",IF($AX1088&lt;&gt;"",SUBSTITUTE(SUBSTITUTE($AX1088,"-","")," ",""),"N:"&amp;$AV1088))</f>
        <v/>
      </c>
      <c r="AV1088" s="31">
        <f>IF(OR($AS1088="",$E$6=""),"",TRIM(INDEX($A:$AP,ROW(),$E$6)&amp;""))</f>
        <v/>
      </c>
      <c r="AW1088" s="31">
        <f>IF($AU1088="","",IF(MATCH($AU1088,$AU$8:$AU$2007,0)=ROW()-7,MAX($AW$7:$AW1087)+1,""))</f>
        <v/>
      </c>
      <c r="AX1088" s="31">
        <f>IF(OR($AS1088="",$D$6=""),"",TRIM(INDEX($A:$AP,ROW(),$D$6)&amp;""))</f>
        <v/>
      </c>
      <c r="AY1088" s="31">
        <f>IF($AU1088="","",INDEX($AW$8:$AW$2007,MATCH($AU1088,$AU$8:$AU$2007,0)))</f>
        <v/>
      </c>
      <c r="AZ1088" s="31">
        <f>IF(OR($AS1088="",$C$6=""),"",TRIM(INDEX($A:$AP,ROW(),$C$6)&amp;""))</f>
        <v/>
      </c>
      <c r="BA1088" s="31">
        <f>IF($AZ1088="","",IF(COUNTIF($AZ$8:$AZ1088,$AZ1088)&gt;1,1,0))</f>
        <v/>
      </c>
    </row>
    <row r="1089">
      <c r="AR1089" s="31">
        <f>IF(OR($A$5="",$B$6="",ROW()&lt;$A$5),"",IF(INDEX($A:$AP,ROW(),$B$6)="","",INDEX($A:$AP,ROW(),$B$6)))</f>
        <v/>
      </c>
      <c r="AS1089" s="32">
        <f>IF($AR1089="","",IF(ISNUMBER($AR1089),IF($AR1089&gt;=10000000,IFERROR(DATE(INT($AR1089/10000),MOD(INT($AR1089/100),100),MOD($AR1089,100)),""),INT($AR1089)),IFERROR(DATE(--LEFT(LEFT(SUBSTITUTE(SUBSTITUTE(SUBSTITUTE(SUBSTITUTE(TRIM($AR1089),"-",""),".",""),"/","")," ",""),8),4),--MID(LEFT(SUBSTITUTE(SUBSTITUTE(SUBSTITUTE(SUBSTITUTE(TRIM($AR1089),"-",""),".",""),"/","")," ",""),8),5,2),--MID(LEFT(SUBSTITUTE(SUBSTITUTE(SUBSTITUTE(SUBSTITUTE(TRIM($AR1089),"-",""),".",""),"/","")," ",""),8),7,2)),"")))</f>
        <v/>
      </c>
      <c r="AT1089" s="33">
        <f>IF($AS1089="","",IF($F$6="",0,IF(ISNUMBER(INDEX($A:$AP,ROW(),$F$6)),INDEX($A:$AP,ROW(),$F$6),IFERROR(--SUBSTITUTE(SUBSTITUTE(TRIM(INDEX($A:$AP,ROW(),$F$6)),",",""),"원",""),0))))</f>
        <v/>
      </c>
      <c r="AU1089" s="31">
        <f>IF($AS1089="","",IF($AX1089&lt;&gt;"",SUBSTITUTE(SUBSTITUTE($AX1089,"-","")," ",""),"N:"&amp;$AV1089))</f>
        <v/>
      </c>
      <c r="AV1089" s="31">
        <f>IF(OR($AS1089="",$E$6=""),"",TRIM(INDEX($A:$AP,ROW(),$E$6)&amp;""))</f>
        <v/>
      </c>
      <c r="AW1089" s="31">
        <f>IF($AU1089="","",IF(MATCH($AU1089,$AU$8:$AU$2007,0)=ROW()-7,MAX($AW$7:$AW1088)+1,""))</f>
        <v/>
      </c>
      <c r="AX1089" s="31">
        <f>IF(OR($AS1089="",$D$6=""),"",TRIM(INDEX($A:$AP,ROW(),$D$6)&amp;""))</f>
        <v/>
      </c>
      <c r="AY1089" s="31">
        <f>IF($AU1089="","",INDEX($AW$8:$AW$2007,MATCH($AU1089,$AU$8:$AU$2007,0)))</f>
        <v/>
      </c>
      <c r="AZ1089" s="31">
        <f>IF(OR($AS1089="",$C$6=""),"",TRIM(INDEX($A:$AP,ROW(),$C$6)&amp;""))</f>
        <v/>
      </c>
      <c r="BA1089" s="31">
        <f>IF($AZ1089="","",IF(COUNTIF($AZ$8:$AZ1089,$AZ1089)&gt;1,1,0))</f>
        <v/>
      </c>
    </row>
    <row r="1090">
      <c r="AR1090" s="31">
        <f>IF(OR($A$5="",$B$6="",ROW()&lt;$A$5),"",IF(INDEX($A:$AP,ROW(),$B$6)="","",INDEX($A:$AP,ROW(),$B$6)))</f>
        <v/>
      </c>
      <c r="AS1090" s="32">
        <f>IF($AR1090="","",IF(ISNUMBER($AR1090),IF($AR1090&gt;=10000000,IFERROR(DATE(INT($AR1090/10000),MOD(INT($AR1090/100),100),MOD($AR1090,100)),""),INT($AR1090)),IFERROR(DATE(--LEFT(LEFT(SUBSTITUTE(SUBSTITUTE(SUBSTITUTE(SUBSTITUTE(TRIM($AR1090),"-",""),".",""),"/","")," ",""),8),4),--MID(LEFT(SUBSTITUTE(SUBSTITUTE(SUBSTITUTE(SUBSTITUTE(TRIM($AR1090),"-",""),".",""),"/","")," ",""),8),5,2),--MID(LEFT(SUBSTITUTE(SUBSTITUTE(SUBSTITUTE(SUBSTITUTE(TRIM($AR1090),"-",""),".",""),"/","")," ",""),8),7,2)),"")))</f>
        <v/>
      </c>
      <c r="AT1090" s="33">
        <f>IF($AS1090="","",IF($F$6="",0,IF(ISNUMBER(INDEX($A:$AP,ROW(),$F$6)),INDEX($A:$AP,ROW(),$F$6),IFERROR(--SUBSTITUTE(SUBSTITUTE(TRIM(INDEX($A:$AP,ROW(),$F$6)),",",""),"원",""),0))))</f>
        <v/>
      </c>
      <c r="AU1090" s="31">
        <f>IF($AS1090="","",IF($AX1090&lt;&gt;"",SUBSTITUTE(SUBSTITUTE($AX1090,"-","")," ",""),"N:"&amp;$AV1090))</f>
        <v/>
      </c>
      <c r="AV1090" s="31">
        <f>IF(OR($AS1090="",$E$6=""),"",TRIM(INDEX($A:$AP,ROW(),$E$6)&amp;""))</f>
        <v/>
      </c>
      <c r="AW1090" s="31">
        <f>IF($AU1090="","",IF(MATCH($AU1090,$AU$8:$AU$2007,0)=ROW()-7,MAX($AW$7:$AW1089)+1,""))</f>
        <v/>
      </c>
      <c r="AX1090" s="31">
        <f>IF(OR($AS1090="",$D$6=""),"",TRIM(INDEX($A:$AP,ROW(),$D$6)&amp;""))</f>
        <v/>
      </c>
      <c r="AY1090" s="31">
        <f>IF($AU1090="","",INDEX($AW$8:$AW$2007,MATCH($AU1090,$AU$8:$AU$2007,0)))</f>
        <v/>
      </c>
      <c r="AZ1090" s="31">
        <f>IF(OR($AS1090="",$C$6=""),"",TRIM(INDEX($A:$AP,ROW(),$C$6)&amp;""))</f>
        <v/>
      </c>
      <c r="BA1090" s="31">
        <f>IF($AZ1090="","",IF(COUNTIF($AZ$8:$AZ1090,$AZ1090)&gt;1,1,0))</f>
        <v/>
      </c>
    </row>
    <row r="1091">
      <c r="AR1091" s="31">
        <f>IF(OR($A$5="",$B$6="",ROW()&lt;$A$5),"",IF(INDEX($A:$AP,ROW(),$B$6)="","",INDEX($A:$AP,ROW(),$B$6)))</f>
        <v/>
      </c>
      <c r="AS1091" s="32">
        <f>IF($AR1091="","",IF(ISNUMBER($AR1091),IF($AR1091&gt;=10000000,IFERROR(DATE(INT($AR1091/10000),MOD(INT($AR1091/100),100),MOD($AR1091,100)),""),INT($AR1091)),IFERROR(DATE(--LEFT(LEFT(SUBSTITUTE(SUBSTITUTE(SUBSTITUTE(SUBSTITUTE(TRIM($AR1091),"-",""),".",""),"/","")," ",""),8),4),--MID(LEFT(SUBSTITUTE(SUBSTITUTE(SUBSTITUTE(SUBSTITUTE(TRIM($AR1091),"-",""),".",""),"/","")," ",""),8),5,2),--MID(LEFT(SUBSTITUTE(SUBSTITUTE(SUBSTITUTE(SUBSTITUTE(TRIM($AR1091),"-",""),".",""),"/","")," ",""),8),7,2)),"")))</f>
        <v/>
      </c>
      <c r="AT1091" s="33">
        <f>IF($AS1091="","",IF($F$6="",0,IF(ISNUMBER(INDEX($A:$AP,ROW(),$F$6)),INDEX($A:$AP,ROW(),$F$6),IFERROR(--SUBSTITUTE(SUBSTITUTE(TRIM(INDEX($A:$AP,ROW(),$F$6)),",",""),"원",""),0))))</f>
        <v/>
      </c>
      <c r="AU1091" s="31">
        <f>IF($AS1091="","",IF($AX1091&lt;&gt;"",SUBSTITUTE(SUBSTITUTE($AX1091,"-","")," ",""),"N:"&amp;$AV1091))</f>
        <v/>
      </c>
      <c r="AV1091" s="31">
        <f>IF(OR($AS1091="",$E$6=""),"",TRIM(INDEX($A:$AP,ROW(),$E$6)&amp;""))</f>
        <v/>
      </c>
      <c r="AW1091" s="31">
        <f>IF($AU1091="","",IF(MATCH($AU1091,$AU$8:$AU$2007,0)=ROW()-7,MAX($AW$7:$AW1090)+1,""))</f>
        <v/>
      </c>
      <c r="AX1091" s="31">
        <f>IF(OR($AS1091="",$D$6=""),"",TRIM(INDEX($A:$AP,ROW(),$D$6)&amp;""))</f>
        <v/>
      </c>
      <c r="AY1091" s="31">
        <f>IF($AU1091="","",INDEX($AW$8:$AW$2007,MATCH($AU1091,$AU$8:$AU$2007,0)))</f>
        <v/>
      </c>
      <c r="AZ1091" s="31">
        <f>IF(OR($AS1091="",$C$6=""),"",TRIM(INDEX($A:$AP,ROW(),$C$6)&amp;""))</f>
        <v/>
      </c>
      <c r="BA1091" s="31">
        <f>IF($AZ1091="","",IF(COUNTIF($AZ$8:$AZ1091,$AZ1091)&gt;1,1,0))</f>
        <v/>
      </c>
    </row>
    <row r="1092">
      <c r="AR1092" s="31">
        <f>IF(OR($A$5="",$B$6="",ROW()&lt;$A$5),"",IF(INDEX($A:$AP,ROW(),$B$6)="","",INDEX($A:$AP,ROW(),$B$6)))</f>
        <v/>
      </c>
      <c r="AS1092" s="32">
        <f>IF($AR1092="","",IF(ISNUMBER($AR1092),IF($AR1092&gt;=10000000,IFERROR(DATE(INT($AR1092/10000),MOD(INT($AR1092/100),100),MOD($AR1092,100)),""),INT($AR1092)),IFERROR(DATE(--LEFT(LEFT(SUBSTITUTE(SUBSTITUTE(SUBSTITUTE(SUBSTITUTE(TRIM($AR1092),"-",""),".",""),"/","")," ",""),8),4),--MID(LEFT(SUBSTITUTE(SUBSTITUTE(SUBSTITUTE(SUBSTITUTE(TRIM($AR1092),"-",""),".",""),"/","")," ",""),8),5,2),--MID(LEFT(SUBSTITUTE(SUBSTITUTE(SUBSTITUTE(SUBSTITUTE(TRIM($AR1092),"-",""),".",""),"/","")," ",""),8),7,2)),"")))</f>
        <v/>
      </c>
      <c r="AT1092" s="33">
        <f>IF($AS1092="","",IF($F$6="",0,IF(ISNUMBER(INDEX($A:$AP,ROW(),$F$6)),INDEX($A:$AP,ROW(),$F$6),IFERROR(--SUBSTITUTE(SUBSTITUTE(TRIM(INDEX($A:$AP,ROW(),$F$6)),",",""),"원",""),0))))</f>
        <v/>
      </c>
      <c r="AU1092" s="31">
        <f>IF($AS1092="","",IF($AX1092&lt;&gt;"",SUBSTITUTE(SUBSTITUTE($AX1092,"-","")," ",""),"N:"&amp;$AV1092))</f>
        <v/>
      </c>
      <c r="AV1092" s="31">
        <f>IF(OR($AS1092="",$E$6=""),"",TRIM(INDEX($A:$AP,ROW(),$E$6)&amp;""))</f>
        <v/>
      </c>
      <c r="AW1092" s="31">
        <f>IF($AU1092="","",IF(MATCH($AU1092,$AU$8:$AU$2007,0)=ROW()-7,MAX($AW$7:$AW1091)+1,""))</f>
        <v/>
      </c>
      <c r="AX1092" s="31">
        <f>IF(OR($AS1092="",$D$6=""),"",TRIM(INDEX($A:$AP,ROW(),$D$6)&amp;""))</f>
        <v/>
      </c>
      <c r="AY1092" s="31">
        <f>IF($AU1092="","",INDEX($AW$8:$AW$2007,MATCH($AU1092,$AU$8:$AU$2007,0)))</f>
        <v/>
      </c>
      <c r="AZ1092" s="31">
        <f>IF(OR($AS1092="",$C$6=""),"",TRIM(INDEX($A:$AP,ROW(),$C$6)&amp;""))</f>
        <v/>
      </c>
      <c r="BA1092" s="31">
        <f>IF($AZ1092="","",IF(COUNTIF($AZ$8:$AZ1092,$AZ1092)&gt;1,1,0))</f>
        <v/>
      </c>
    </row>
    <row r="1093">
      <c r="AR1093" s="31">
        <f>IF(OR($A$5="",$B$6="",ROW()&lt;$A$5),"",IF(INDEX($A:$AP,ROW(),$B$6)="","",INDEX($A:$AP,ROW(),$B$6)))</f>
        <v/>
      </c>
      <c r="AS1093" s="32">
        <f>IF($AR1093="","",IF(ISNUMBER($AR1093),IF($AR1093&gt;=10000000,IFERROR(DATE(INT($AR1093/10000),MOD(INT($AR1093/100),100),MOD($AR1093,100)),""),INT($AR1093)),IFERROR(DATE(--LEFT(LEFT(SUBSTITUTE(SUBSTITUTE(SUBSTITUTE(SUBSTITUTE(TRIM($AR1093),"-",""),".",""),"/","")," ",""),8),4),--MID(LEFT(SUBSTITUTE(SUBSTITUTE(SUBSTITUTE(SUBSTITUTE(TRIM($AR1093),"-",""),".",""),"/","")," ",""),8),5,2),--MID(LEFT(SUBSTITUTE(SUBSTITUTE(SUBSTITUTE(SUBSTITUTE(TRIM($AR1093),"-",""),".",""),"/","")," ",""),8),7,2)),"")))</f>
        <v/>
      </c>
      <c r="AT1093" s="33">
        <f>IF($AS1093="","",IF($F$6="",0,IF(ISNUMBER(INDEX($A:$AP,ROW(),$F$6)),INDEX($A:$AP,ROW(),$F$6),IFERROR(--SUBSTITUTE(SUBSTITUTE(TRIM(INDEX($A:$AP,ROW(),$F$6)),",",""),"원",""),0))))</f>
        <v/>
      </c>
      <c r="AU1093" s="31">
        <f>IF($AS1093="","",IF($AX1093&lt;&gt;"",SUBSTITUTE(SUBSTITUTE($AX1093,"-","")," ",""),"N:"&amp;$AV1093))</f>
        <v/>
      </c>
      <c r="AV1093" s="31">
        <f>IF(OR($AS1093="",$E$6=""),"",TRIM(INDEX($A:$AP,ROW(),$E$6)&amp;""))</f>
        <v/>
      </c>
      <c r="AW1093" s="31">
        <f>IF($AU1093="","",IF(MATCH($AU1093,$AU$8:$AU$2007,0)=ROW()-7,MAX($AW$7:$AW1092)+1,""))</f>
        <v/>
      </c>
      <c r="AX1093" s="31">
        <f>IF(OR($AS1093="",$D$6=""),"",TRIM(INDEX($A:$AP,ROW(),$D$6)&amp;""))</f>
        <v/>
      </c>
      <c r="AY1093" s="31">
        <f>IF($AU1093="","",INDEX($AW$8:$AW$2007,MATCH($AU1093,$AU$8:$AU$2007,0)))</f>
        <v/>
      </c>
      <c r="AZ1093" s="31">
        <f>IF(OR($AS1093="",$C$6=""),"",TRIM(INDEX($A:$AP,ROW(),$C$6)&amp;""))</f>
        <v/>
      </c>
      <c r="BA1093" s="31">
        <f>IF($AZ1093="","",IF(COUNTIF($AZ$8:$AZ1093,$AZ1093)&gt;1,1,0))</f>
        <v/>
      </c>
    </row>
    <row r="1094">
      <c r="AR1094" s="31">
        <f>IF(OR($A$5="",$B$6="",ROW()&lt;$A$5),"",IF(INDEX($A:$AP,ROW(),$B$6)="","",INDEX($A:$AP,ROW(),$B$6)))</f>
        <v/>
      </c>
      <c r="AS1094" s="32">
        <f>IF($AR1094="","",IF(ISNUMBER($AR1094),IF($AR1094&gt;=10000000,IFERROR(DATE(INT($AR1094/10000),MOD(INT($AR1094/100),100),MOD($AR1094,100)),""),INT($AR1094)),IFERROR(DATE(--LEFT(LEFT(SUBSTITUTE(SUBSTITUTE(SUBSTITUTE(SUBSTITUTE(TRIM($AR1094),"-",""),".",""),"/","")," ",""),8),4),--MID(LEFT(SUBSTITUTE(SUBSTITUTE(SUBSTITUTE(SUBSTITUTE(TRIM($AR1094),"-",""),".",""),"/","")," ",""),8),5,2),--MID(LEFT(SUBSTITUTE(SUBSTITUTE(SUBSTITUTE(SUBSTITUTE(TRIM($AR1094),"-",""),".",""),"/","")," ",""),8),7,2)),"")))</f>
        <v/>
      </c>
      <c r="AT1094" s="33">
        <f>IF($AS1094="","",IF($F$6="",0,IF(ISNUMBER(INDEX($A:$AP,ROW(),$F$6)),INDEX($A:$AP,ROW(),$F$6),IFERROR(--SUBSTITUTE(SUBSTITUTE(TRIM(INDEX($A:$AP,ROW(),$F$6)),",",""),"원",""),0))))</f>
        <v/>
      </c>
      <c r="AU1094" s="31">
        <f>IF($AS1094="","",IF($AX1094&lt;&gt;"",SUBSTITUTE(SUBSTITUTE($AX1094,"-","")," ",""),"N:"&amp;$AV1094))</f>
        <v/>
      </c>
      <c r="AV1094" s="31">
        <f>IF(OR($AS1094="",$E$6=""),"",TRIM(INDEX($A:$AP,ROW(),$E$6)&amp;""))</f>
        <v/>
      </c>
      <c r="AW1094" s="31">
        <f>IF($AU1094="","",IF(MATCH($AU1094,$AU$8:$AU$2007,0)=ROW()-7,MAX($AW$7:$AW1093)+1,""))</f>
        <v/>
      </c>
      <c r="AX1094" s="31">
        <f>IF(OR($AS1094="",$D$6=""),"",TRIM(INDEX($A:$AP,ROW(),$D$6)&amp;""))</f>
        <v/>
      </c>
      <c r="AY1094" s="31">
        <f>IF($AU1094="","",INDEX($AW$8:$AW$2007,MATCH($AU1094,$AU$8:$AU$2007,0)))</f>
        <v/>
      </c>
      <c r="AZ1094" s="31">
        <f>IF(OR($AS1094="",$C$6=""),"",TRIM(INDEX($A:$AP,ROW(),$C$6)&amp;""))</f>
        <v/>
      </c>
      <c r="BA1094" s="31">
        <f>IF($AZ1094="","",IF(COUNTIF($AZ$8:$AZ1094,$AZ1094)&gt;1,1,0))</f>
        <v/>
      </c>
    </row>
    <row r="1095">
      <c r="AR1095" s="31">
        <f>IF(OR($A$5="",$B$6="",ROW()&lt;$A$5),"",IF(INDEX($A:$AP,ROW(),$B$6)="","",INDEX($A:$AP,ROW(),$B$6)))</f>
        <v/>
      </c>
      <c r="AS1095" s="32">
        <f>IF($AR1095="","",IF(ISNUMBER($AR1095),IF($AR1095&gt;=10000000,IFERROR(DATE(INT($AR1095/10000),MOD(INT($AR1095/100),100),MOD($AR1095,100)),""),INT($AR1095)),IFERROR(DATE(--LEFT(LEFT(SUBSTITUTE(SUBSTITUTE(SUBSTITUTE(SUBSTITUTE(TRIM($AR1095),"-",""),".",""),"/","")," ",""),8),4),--MID(LEFT(SUBSTITUTE(SUBSTITUTE(SUBSTITUTE(SUBSTITUTE(TRIM($AR1095),"-",""),".",""),"/","")," ",""),8),5,2),--MID(LEFT(SUBSTITUTE(SUBSTITUTE(SUBSTITUTE(SUBSTITUTE(TRIM($AR1095),"-",""),".",""),"/","")," ",""),8),7,2)),"")))</f>
        <v/>
      </c>
      <c r="AT1095" s="33">
        <f>IF($AS1095="","",IF($F$6="",0,IF(ISNUMBER(INDEX($A:$AP,ROW(),$F$6)),INDEX($A:$AP,ROW(),$F$6),IFERROR(--SUBSTITUTE(SUBSTITUTE(TRIM(INDEX($A:$AP,ROW(),$F$6)),",",""),"원",""),0))))</f>
        <v/>
      </c>
      <c r="AU1095" s="31">
        <f>IF($AS1095="","",IF($AX1095&lt;&gt;"",SUBSTITUTE(SUBSTITUTE($AX1095,"-","")," ",""),"N:"&amp;$AV1095))</f>
        <v/>
      </c>
      <c r="AV1095" s="31">
        <f>IF(OR($AS1095="",$E$6=""),"",TRIM(INDEX($A:$AP,ROW(),$E$6)&amp;""))</f>
        <v/>
      </c>
      <c r="AW1095" s="31">
        <f>IF($AU1095="","",IF(MATCH($AU1095,$AU$8:$AU$2007,0)=ROW()-7,MAX($AW$7:$AW1094)+1,""))</f>
        <v/>
      </c>
      <c r="AX1095" s="31">
        <f>IF(OR($AS1095="",$D$6=""),"",TRIM(INDEX($A:$AP,ROW(),$D$6)&amp;""))</f>
        <v/>
      </c>
      <c r="AY1095" s="31">
        <f>IF($AU1095="","",INDEX($AW$8:$AW$2007,MATCH($AU1095,$AU$8:$AU$2007,0)))</f>
        <v/>
      </c>
      <c r="AZ1095" s="31">
        <f>IF(OR($AS1095="",$C$6=""),"",TRIM(INDEX($A:$AP,ROW(),$C$6)&amp;""))</f>
        <v/>
      </c>
      <c r="BA1095" s="31">
        <f>IF($AZ1095="","",IF(COUNTIF($AZ$8:$AZ1095,$AZ1095)&gt;1,1,0))</f>
        <v/>
      </c>
    </row>
    <row r="1096">
      <c r="AR1096" s="31">
        <f>IF(OR($A$5="",$B$6="",ROW()&lt;$A$5),"",IF(INDEX($A:$AP,ROW(),$B$6)="","",INDEX($A:$AP,ROW(),$B$6)))</f>
        <v/>
      </c>
      <c r="AS1096" s="32">
        <f>IF($AR1096="","",IF(ISNUMBER($AR1096),IF($AR1096&gt;=10000000,IFERROR(DATE(INT($AR1096/10000),MOD(INT($AR1096/100),100),MOD($AR1096,100)),""),INT($AR1096)),IFERROR(DATE(--LEFT(LEFT(SUBSTITUTE(SUBSTITUTE(SUBSTITUTE(SUBSTITUTE(TRIM($AR1096),"-",""),".",""),"/","")," ",""),8),4),--MID(LEFT(SUBSTITUTE(SUBSTITUTE(SUBSTITUTE(SUBSTITUTE(TRIM($AR1096),"-",""),".",""),"/","")," ",""),8),5,2),--MID(LEFT(SUBSTITUTE(SUBSTITUTE(SUBSTITUTE(SUBSTITUTE(TRIM($AR1096),"-",""),".",""),"/","")," ",""),8),7,2)),"")))</f>
        <v/>
      </c>
      <c r="AT1096" s="33">
        <f>IF($AS1096="","",IF($F$6="",0,IF(ISNUMBER(INDEX($A:$AP,ROW(),$F$6)),INDEX($A:$AP,ROW(),$F$6),IFERROR(--SUBSTITUTE(SUBSTITUTE(TRIM(INDEX($A:$AP,ROW(),$F$6)),",",""),"원",""),0))))</f>
        <v/>
      </c>
      <c r="AU1096" s="31">
        <f>IF($AS1096="","",IF($AX1096&lt;&gt;"",SUBSTITUTE(SUBSTITUTE($AX1096,"-","")," ",""),"N:"&amp;$AV1096))</f>
        <v/>
      </c>
      <c r="AV1096" s="31">
        <f>IF(OR($AS1096="",$E$6=""),"",TRIM(INDEX($A:$AP,ROW(),$E$6)&amp;""))</f>
        <v/>
      </c>
      <c r="AW1096" s="31">
        <f>IF($AU1096="","",IF(MATCH($AU1096,$AU$8:$AU$2007,0)=ROW()-7,MAX($AW$7:$AW1095)+1,""))</f>
        <v/>
      </c>
      <c r="AX1096" s="31">
        <f>IF(OR($AS1096="",$D$6=""),"",TRIM(INDEX($A:$AP,ROW(),$D$6)&amp;""))</f>
        <v/>
      </c>
      <c r="AY1096" s="31">
        <f>IF($AU1096="","",INDEX($AW$8:$AW$2007,MATCH($AU1096,$AU$8:$AU$2007,0)))</f>
        <v/>
      </c>
      <c r="AZ1096" s="31">
        <f>IF(OR($AS1096="",$C$6=""),"",TRIM(INDEX($A:$AP,ROW(),$C$6)&amp;""))</f>
        <v/>
      </c>
      <c r="BA1096" s="31">
        <f>IF($AZ1096="","",IF(COUNTIF($AZ$8:$AZ1096,$AZ1096)&gt;1,1,0))</f>
        <v/>
      </c>
    </row>
    <row r="1097">
      <c r="AR1097" s="31">
        <f>IF(OR($A$5="",$B$6="",ROW()&lt;$A$5),"",IF(INDEX($A:$AP,ROW(),$B$6)="","",INDEX($A:$AP,ROW(),$B$6)))</f>
        <v/>
      </c>
      <c r="AS1097" s="32">
        <f>IF($AR1097="","",IF(ISNUMBER($AR1097),IF($AR1097&gt;=10000000,IFERROR(DATE(INT($AR1097/10000),MOD(INT($AR1097/100),100),MOD($AR1097,100)),""),INT($AR1097)),IFERROR(DATE(--LEFT(LEFT(SUBSTITUTE(SUBSTITUTE(SUBSTITUTE(SUBSTITUTE(TRIM($AR1097),"-",""),".",""),"/","")," ",""),8),4),--MID(LEFT(SUBSTITUTE(SUBSTITUTE(SUBSTITUTE(SUBSTITUTE(TRIM($AR1097),"-",""),".",""),"/","")," ",""),8),5,2),--MID(LEFT(SUBSTITUTE(SUBSTITUTE(SUBSTITUTE(SUBSTITUTE(TRIM($AR1097),"-",""),".",""),"/","")," ",""),8),7,2)),"")))</f>
        <v/>
      </c>
      <c r="AT1097" s="33">
        <f>IF($AS1097="","",IF($F$6="",0,IF(ISNUMBER(INDEX($A:$AP,ROW(),$F$6)),INDEX($A:$AP,ROW(),$F$6),IFERROR(--SUBSTITUTE(SUBSTITUTE(TRIM(INDEX($A:$AP,ROW(),$F$6)),",",""),"원",""),0))))</f>
        <v/>
      </c>
      <c r="AU1097" s="31">
        <f>IF($AS1097="","",IF($AX1097&lt;&gt;"",SUBSTITUTE(SUBSTITUTE($AX1097,"-","")," ",""),"N:"&amp;$AV1097))</f>
        <v/>
      </c>
      <c r="AV1097" s="31">
        <f>IF(OR($AS1097="",$E$6=""),"",TRIM(INDEX($A:$AP,ROW(),$E$6)&amp;""))</f>
        <v/>
      </c>
      <c r="AW1097" s="31">
        <f>IF($AU1097="","",IF(MATCH($AU1097,$AU$8:$AU$2007,0)=ROW()-7,MAX($AW$7:$AW1096)+1,""))</f>
        <v/>
      </c>
      <c r="AX1097" s="31">
        <f>IF(OR($AS1097="",$D$6=""),"",TRIM(INDEX($A:$AP,ROW(),$D$6)&amp;""))</f>
        <v/>
      </c>
      <c r="AY1097" s="31">
        <f>IF($AU1097="","",INDEX($AW$8:$AW$2007,MATCH($AU1097,$AU$8:$AU$2007,0)))</f>
        <v/>
      </c>
      <c r="AZ1097" s="31">
        <f>IF(OR($AS1097="",$C$6=""),"",TRIM(INDEX($A:$AP,ROW(),$C$6)&amp;""))</f>
        <v/>
      </c>
      <c r="BA1097" s="31">
        <f>IF($AZ1097="","",IF(COUNTIF($AZ$8:$AZ1097,$AZ1097)&gt;1,1,0))</f>
        <v/>
      </c>
    </row>
    <row r="1098">
      <c r="AR1098" s="31">
        <f>IF(OR($A$5="",$B$6="",ROW()&lt;$A$5),"",IF(INDEX($A:$AP,ROW(),$B$6)="","",INDEX($A:$AP,ROW(),$B$6)))</f>
        <v/>
      </c>
      <c r="AS1098" s="32">
        <f>IF($AR1098="","",IF(ISNUMBER($AR1098),IF($AR1098&gt;=10000000,IFERROR(DATE(INT($AR1098/10000),MOD(INT($AR1098/100),100),MOD($AR1098,100)),""),INT($AR1098)),IFERROR(DATE(--LEFT(LEFT(SUBSTITUTE(SUBSTITUTE(SUBSTITUTE(SUBSTITUTE(TRIM($AR1098),"-",""),".",""),"/","")," ",""),8),4),--MID(LEFT(SUBSTITUTE(SUBSTITUTE(SUBSTITUTE(SUBSTITUTE(TRIM($AR1098),"-",""),".",""),"/","")," ",""),8),5,2),--MID(LEFT(SUBSTITUTE(SUBSTITUTE(SUBSTITUTE(SUBSTITUTE(TRIM($AR1098),"-",""),".",""),"/","")," ",""),8),7,2)),"")))</f>
        <v/>
      </c>
      <c r="AT1098" s="33">
        <f>IF($AS1098="","",IF($F$6="",0,IF(ISNUMBER(INDEX($A:$AP,ROW(),$F$6)),INDEX($A:$AP,ROW(),$F$6),IFERROR(--SUBSTITUTE(SUBSTITUTE(TRIM(INDEX($A:$AP,ROW(),$F$6)),",",""),"원",""),0))))</f>
        <v/>
      </c>
      <c r="AU1098" s="31">
        <f>IF($AS1098="","",IF($AX1098&lt;&gt;"",SUBSTITUTE(SUBSTITUTE($AX1098,"-","")," ",""),"N:"&amp;$AV1098))</f>
        <v/>
      </c>
      <c r="AV1098" s="31">
        <f>IF(OR($AS1098="",$E$6=""),"",TRIM(INDEX($A:$AP,ROW(),$E$6)&amp;""))</f>
        <v/>
      </c>
      <c r="AW1098" s="31">
        <f>IF($AU1098="","",IF(MATCH($AU1098,$AU$8:$AU$2007,0)=ROW()-7,MAX($AW$7:$AW1097)+1,""))</f>
        <v/>
      </c>
      <c r="AX1098" s="31">
        <f>IF(OR($AS1098="",$D$6=""),"",TRIM(INDEX($A:$AP,ROW(),$D$6)&amp;""))</f>
        <v/>
      </c>
      <c r="AY1098" s="31">
        <f>IF($AU1098="","",INDEX($AW$8:$AW$2007,MATCH($AU1098,$AU$8:$AU$2007,0)))</f>
        <v/>
      </c>
      <c r="AZ1098" s="31">
        <f>IF(OR($AS1098="",$C$6=""),"",TRIM(INDEX($A:$AP,ROW(),$C$6)&amp;""))</f>
        <v/>
      </c>
      <c r="BA1098" s="31">
        <f>IF($AZ1098="","",IF(COUNTIF($AZ$8:$AZ1098,$AZ1098)&gt;1,1,0))</f>
        <v/>
      </c>
    </row>
    <row r="1099">
      <c r="AR1099" s="31">
        <f>IF(OR($A$5="",$B$6="",ROW()&lt;$A$5),"",IF(INDEX($A:$AP,ROW(),$B$6)="","",INDEX($A:$AP,ROW(),$B$6)))</f>
        <v/>
      </c>
      <c r="AS1099" s="32">
        <f>IF($AR1099="","",IF(ISNUMBER($AR1099),IF($AR1099&gt;=10000000,IFERROR(DATE(INT($AR1099/10000),MOD(INT($AR1099/100),100),MOD($AR1099,100)),""),INT($AR1099)),IFERROR(DATE(--LEFT(LEFT(SUBSTITUTE(SUBSTITUTE(SUBSTITUTE(SUBSTITUTE(TRIM($AR1099),"-",""),".",""),"/","")," ",""),8),4),--MID(LEFT(SUBSTITUTE(SUBSTITUTE(SUBSTITUTE(SUBSTITUTE(TRIM($AR1099),"-",""),".",""),"/","")," ",""),8),5,2),--MID(LEFT(SUBSTITUTE(SUBSTITUTE(SUBSTITUTE(SUBSTITUTE(TRIM($AR1099),"-",""),".",""),"/","")," ",""),8),7,2)),"")))</f>
        <v/>
      </c>
      <c r="AT1099" s="33">
        <f>IF($AS1099="","",IF($F$6="",0,IF(ISNUMBER(INDEX($A:$AP,ROW(),$F$6)),INDEX($A:$AP,ROW(),$F$6),IFERROR(--SUBSTITUTE(SUBSTITUTE(TRIM(INDEX($A:$AP,ROW(),$F$6)),",",""),"원",""),0))))</f>
        <v/>
      </c>
      <c r="AU1099" s="31">
        <f>IF($AS1099="","",IF($AX1099&lt;&gt;"",SUBSTITUTE(SUBSTITUTE($AX1099,"-","")," ",""),"N:"&amp;$AV1099))</f>
        <v/>
      </c>
      <c r="AV1099" s="31">
        <f>IF(OR($AS1099="",$E$6=""),"",TRIM(INDEX($A:$AP,ROW(),$E$6)&amp;""))</f>
        <v/>
      </c>
      <c r="AW1099" s="31">
        <f>IF($AU1099="","",IF(MATCH($AU1099,$AU$8:$AU$2007,0)=ROW()-7,MAX($AW$7:$AW1098)+1,""))</f>
        <v/>
      </c>
      <c r="AX1099" s="31">
        <f>IF(OR($AS1099="",$D$6=""),"",TRIM(INDEX($A:$AP,ROW(),$D$6)&amp;""))</f>
        <v/>
      </c>
      <c r="AY1099" s="31">
        <f>IF($AU1099="","",INDEX($AW$8:$AW$2007,MATCH($AU1099,$AU$8:$AU$2007,0)))</f>
        <v/>
      </c>
      <c r="AZ1099" s="31">
        <f>IF(OR($AS1099="",$C$6=""),"",TRIM(INDEX($A:$AP,ROW(),$C$6)&amp;""))</f>
        <v/>
      </c>
      <c r="BA1099" s="31">
        <f>IF($AZ1099="","",IF(COUNTIF($AZ$8:$AZ1099,$AZ1099)&gt;1,1,0))</f>
        <v/>
      </c>
    </row>
    <row r="1100">
      <c r="AR1100" s="31">
        <f>IF(OR($A$5="",$B$6="",ROW()&lt;$A$5),"",IF(INDEX($A:$AP,ROW(),$B$6)="","",INDEX($A:$AP,ROW(),$B$6)))</f>
        <v/>
      </c>
      <c r="AS1100" s="32">
        <f>IF($AR1100="","",IF(ISNUMBER($AR1100),IF($AR1100&gt;=10000000,IFERROR(DATE(INT($AR1100/10000),MOD(INT($AR1100/100),100),MOD($AR1100,100)),""),INT($AR1100)),IFERROR(DATE(--LEFT(LEFT(SUBSTITUTE(SUBSTITUTE(SUBSTITUTE(SUBSTITUTE(TRIM($AR1100),"-",""),".",""),"/","")," ",""),8),4),--MID(LEFT(SUBSTITUTE(SUBSTITUTE(SUBSTITUTE(SUBSTITUTE(TRIM($AR1100),"-",""),".",""),"/","")," ",""),8),5,2),--MID(LEFT(SUBSTITUTE(SUBSTITUTE(SUBSTITUTE(SUBSTITUTE(TRIM($AR1100),"-",""),".",""),"/","")," ",""),8),7,2)),"")))</f>
        <v/>
      </c>
      <c r="AT1100" s="33">
        <f>IF($AS1100="","",IF($F$6="",0,IF(ISNUMBER(INDEX($A:$AP,ROW(),$F$6)),INDEX($A:$AP,ROW(),$F$6),IFERROR(--SUBSTITUTE(SUBSTITUTE(TRIM(INDEX($A:$AP,ROW(),$F$6)),",",""),"원",""),0))))</f>
        <v/>
      </c>
      <c r="AU1100" s="31">
        <f>IF($AS1100="","",IF($AX1100&lt;&gt;"",SUBSTITUTE(SUBSTITUTE($AX1100,"-","")," ",""),"N:"&amp;$AV1100))</f>
        <v/>
      </c>
      <c r="AV1100" s="31">
        <f>IF(OR($AS1100="",$E$6=""),"",TRIM(INDEX($A:$AP,ROW(),$E$6)&amp;""))</f>
        <v/>
      </c>
      <c r="AW1100" s="31">
        <f>IF($AU1100="","",IF(MATCH($AU1100,$AU$8:$AU$2007,0)=ROW()-7,MAX($AW$7:$AW1099)+1,""))</f>
        <v/>
      </c>
      <c r="AX1100" s="31">
        <f>IF(OR($AS1100="",$D$6=""),"",TRIM(INDEX($A:$AP,ROW(),$D$6)&amp;""))</f>
        <v/>
      </c>
      <c r="AY1100" s="31">
        <f>IF($AU1100="","",INDEX($AW$8:$AW$2007,MATCH($AU1100,$AU$8:$AU$2007,0)))</f>
        <v/>
      </c>
      <c r="AZ1100" s="31">
        <f>IF(OR($AS1100="",$C$6=""),"",TRIM(INDEX($A:$AP,ROW(),$C$6)&amp;""))</f>
        <v/>
      </c>
      <c r="BA1100" s="31">
        <f>IF($AZ1100="","",IF(COUNTIF($AZ$8:$AZ1100,$AZ1100)&gt;1,1,0))</f>
        <v/>
      </c>
    </row>
    <row r="1101">
      <c r="AR1101" s="31">
        <f>IF(OR($A$5="",$B$6="",ROW()&lt;$A$5),"",IF(INDEX($A:$AP,ROW(),$B$6)="","",INDEX($A:$AP,ROW(),$B$6)))</f>
        <v/>
      </c>
      <c r="AS1101" s="32">
        <f>IF($AR1101="","",IF(ISNUMBER($AR1101),IF($AR1101&gt;=10000000,IFERROR(DATE(INT($AR1101/10000),MOD(INT($AR1101/100),100),MOD($AR1101,100)),""),INT($AR1101)),IFERROR(DATE(--LEFT(LEFT(SUBSTITUTE(SUBSTITUTE(SUBSTITUTE(SUBSTITUTE(TRIM($AR1101),"-",""),".",""),"/","")," ",""),8),4),--MID(LEFT(SUBSTITUTE(SUBSTITUTE(SUBSTITUTE(SUBSTITUTE(TRIM($AR1101),"-",""),".",""),"/","")," ",""),8),5,2),--MID(LEFT(SUBSTITUTE(SUBSTITUTE(SUBSTITUTE(SUBSTITUTE(TRIM($AR1101),"-",""),".",""),"/","")," ",""),8),7,2)),"")))</f>
        <v/>
      </c>
      <c r="AT1101" s="33">
        <f>IF($AS1101="","",IF($F$6="",0,IF(ISNUMBER(INDEX($A:$AP,ROW(),$F$6)),INDEX($A:$AP,ROW(),$F$6),IFERROR(--SUBSTITUTE(SUBSTITUTE(TRIM(INDEX($A:$AP,ROW(),$F$6)),",",""),"원",""),0))))</f>
        <v/>
      </c>
      <c r="AU1101" s="31">
        <f>IF($AS1101="","",IF($AX1101&lt;&gt;"",SUBSTITUTE(SUBSTITUTE($AX1101,"-","")," ",""),"N:"&amp;$AV1101))</f>
        <v/>
      </c>
      <c r="AV1101" s="31">
        <f>IF(OR($AS1101="",$E$6=""),"",TRIM(INDEX($A:$AP,ROW(),$E$6)&amp;""))</f>
        <v/>
      </c>
      <c r="AW1101" s="31">
        <f>IF($AU1101="","",IF(MATCH($AU1101,$AU$8:$AU$2007,0)=ROW()-7,MAX($AW$7:$AW1100)+1,""))</f>
        <v/>
      </c>
      <c r="AX1101" s="31">
        <f>IF(OR($AS1101="",$D$6=""),"",TRIM(INDEX($A:$AP,ROW(),$D$6)&amp;""))</f>
        <v/>
      </c>
      <c r="AY1101" s="31">
        <f>IF($AU1101="","",INDEX($AW$8:$AW$2007,MATCH($AU1101,$AU$8:$AU$2007,0)))</f>
        <v/>
      </c>
      <c r="AZ1101" s="31">
        <f>IF(OR($AS1101="",$C$6=""),"",TRIM(INDEX($A:$AP,ROW(),$C$6)&amp;""))</f>
        <v/>
      </c>
      <c r="BA1101" s="31">
        <f>IF($AZ1101="","",IF(COUNTIF($AZ$8:$AZ1101,$AZ1101)&gt;1,1,0))</f>
        <v/>
      </c>
    </row>
    <row r="1102">
      <c r="AR1102" s="31">
        <f>IF(OR($A$5="",$B$6="",ROW()&lt;$A$5),"",IF(INDEX($A:$AP,ROW(),$B$6)="","",INDEX($A:$AP,ROW(),$B$6)))</f>
        <v/>
      </c>
      <c r="AS1102" s="32">
        <f>IF($AR1102="","",IF(ISNUMBER($AR1102),IF($AR1102&gt;=10000000,IFERROR(DATE(INT($AR1102/10000),MOD(INT($AR1102/100),100),MOD($AR1102,100)),""),INT($AR1102)),IFERROR(DATE(--LEFT(LEFT(SUBSTITUTE(SUBSTITUTE(SUBSTITUTE(SUBSTITUTE(TRIM($AR1102),"-",""),".",""),"/","")," ",""),8),4),--MID(LEFT(SUBSTITUTE(SUBSTITUTE(SUBSTITUTE(SUBSTITUTE(TRIM($AR1102),"-",""),".",""),"/","")," ",""),8),5,2),--MID(LEFT(SUBSTITUTE(SUBSTITUTE(SUBSTITUTE(SUBSTITUTE(TRIM($AR1102),"-",""),".",""),"/","")," ",""),8),7,2)),"")))</f>
        <v/>
      </c>
      <c r="AT1102" s="33">
        <f>IF($AS1102="","",IF($F$6="",0,IF(ISNUMBER(INDEX($A:$AP,ROW(),$F$6)),INDEX($A:$AP,ROW(),$F$6),IFERROR(--SUBSTITUTE(SUBSTITUTE(TRIM(INDEX($A:$AP,ROW(),$F$6)),",",""),"원",""),0))))</f>
        <v/>
      </c>
      <c r="AU1102" s="31">
        <f>IF($AS1102="","",IF($AX1102&lt;&gt;"",SUBSTITUTE(SUBSTITUTE($AX1102,"-","")," ",""),"N:"&amp;$AV1102))</f>
        <v/>
      </c>
      <c r="AV1102" s="31">
        <f>IF(OR($AS1102="",$E$6=""),"",TRIM(INDEX($A:$AP,ROW(),$E$6)&amp;""))</f>
        <v/>
      </c>
      <c r="AW1102" s="31">
        <f>IF($AU1102="","",IF(MATCH($AU1102,$AU$8:$AU$2007,0)=ROW()-7,MAX($AW$7:$AW1101)+1,""))</f>
        <v/>
      </c>
      <c r="AX1102" s="31">
        <f>IF(OR($AS1102="",$D$6=""),"",TRIM(INDEX($A:$AP,ROW(),$D$6)&amp;""))</f>
        <v/>
      </c>
      <c r="AY1102" s="31">
        <f>IF($AU1102="","",INDEX($AW$8:$AW$2007,MATCH($AU1102,$AU$8:$AU$2007,0)))</f>
        <v/>
      </c>
      <c r="AZ1102" s="31">
        <f>IF(OR($AS1102="",$C$6=""),"",TRIM(INDEX($A:$AP,ROW(),$C$6)&amp;""))</f>
        <v/>
      </c>
      <c r="BA1102" s="31">
        <f>IF($AZ1102="","",IF(COUNTIF($AZ$8:$AZ1102,$AZ1102)&gt;1,1,0))</f>
        <v/>
      </c>
    </row>
    <row r="1103">
      <c r="AR1103" s="31">
        <f>IF(OR($A$5="",$B$6="",ROW()&lt;$A$5),"",IF(INDEX($A:$AP,ROW(),$B$6)="","",INDEX($A:$AP,ROW(),$B$6)))</f>
        <v/>
      </c>
      <c r="AS1103" s="32">
        <f>IF($AR1103="","",IF(ISNUMBER($AR1103),IF($AR1103&gt;=10000000,IFERROR(DATE(INT($AR1103/10000),MOD(INT($AR1103/100),100),MOD($AR1103,100)),""),INT($AR1103)),IFERROR(DATE(--LEFT(LEFT(SUBSTITUTE(SUBSTITUTE(SUBSTITUTE(SUBSTITUTE(TRIM($AR1103),"-",""),".",""),"/","")," ",""),8),4),--MID(LEFT(SUBSTITUTE(SUBSTITUTE(SUBSTITUTE(SUBSTITUTE(TRIM($AR1103),"-",""),".",""),"/","")," ",""),8),5,2),--MID(LEFT(SUBSTITUTE(SUBSTITUTE(SUBSTITUTE(SUBSTITUTE(TRIM($AR1103),"-",""),".",""),"/","")," ",""),8),7,2)),"")))</f>
        <v/>
      </c>
      <c r="AT1103" s="33">
        <f>IF($AS1103="","",IF($F$6="",0,IF(ISNUMBER(INDEX($A:$AP,ROW(),$F$6)),INDEX($A:$AP,ROW(),$F$6),IFERROR(--SUBSTITUTE(SUBSTITUTE(TRIM(INDEX($A:$AP,ROW(),$F$6)),",",""),"원",""),0))))</f>
        <v/>
      </c>
      <c r="AU1103" s="31">
        <f>IF($AS1103="","",IF($AX1103&lt;&gt;"",SUBSTITUTE(SUBSTITUTE($AX1103,"-","")," ",""),"N:"&amp;$AV1103))</f>
        <v/>
      </c>
      <c r="AV1103" s="31">
        <f>IF(OR($AS1103="",$E$6=""),"",TRIM(INDEX($A:$AP,ROW(),$E$6)&amp;""))</f>
        <v/>
      </c>
      <c r="AW1103" s="31">
        <f>IF($AU1103="","",IF(MATCH($AU1103,$AU$8:$AU$2007,0)=ROW()-7,MAX($AW$7:$AW1102)+1,""))</f>
        <v/>
      </c>
      <c r="AX1103" s="31">
        <f>IF(OR($AS1103="",$D$6=""),"",TRIM(INDEX($A:$AP,ROW(),$D$6)&amp;""))</f>
        <v/>
      </c>
      <c r="AY1103" s="31">
        <f>IF($AU1103="","",INDEX($AW$8:$AW$2007,MATCH($AU1103,$AU$8:$AU$2007,0)))</f>
        <v/>
      </c>
      <c r="AZ1103" s="31">
        <f>IF(OR($AS1103="",$C$6=""),"",TRIM(INDEX($A:$AP,ROW(),$C$6)&amp;""))</f>
        <v/>
      </c>
      <c r="BA1103" s="31">
        <f>IF($AZ1103="","",IF(COUNTIF($AZ$8:$AZ1103,$AZ1103)&gt;1,1,0))</f>
        <v/>
      </c>
    </row>
    <row r="1104">
      <c r="AR1104" s="31">
        <f>IF(OR($A$5="",$B$6="",ROW()&lt;$A$5),"",IF(INDEX($A:$AP,ROW(),$B$6)="","",INDEX($A:$AP,ROW(),$B$6)))</f>
        <v/>
      </c>
      <c r="AS1104" s="32">
        <f>IF($AR1104="","",IF(ISNUMBER($AR1104),IF($AR1104&gt;=10000000,IFERROR(DATE(INT($AR1104/10000),MOD(INT($AR1104/100),100),MOD($AR1104,100)),""),INT($AR1104)),IFERROR(DATE(--LEFT(LEFT(SUBSTITUTE(SUBSTITUTE(SUBSTITUTE(SUBSTITUTE(TRIM($AR1104),"-",""),".",""),"/","")," ",""),8),4),--MID(LEFT(SUBSTITUTE(SUBSTITUTE(SUBSTITUTE(SUBSTITUTE(TRIM($AR1104),"-",""),".",""),"/","")," ",""),8),5,2),--MID(LEFT(SUBSTITUTE(SUBSTITUTE(SUBSTITUTE(SUBSTITUTE(TRIM($AR1104),"-",""),".",""),"/","")," ",""),8),7,2)),"")))</f>
        <v/>
      </c>
      <c r="AT1104" s="33">
        <f>IF($AS1104="","",IF($F$6="",0,IF(ISNUMBER(INDEX($A:$AP,ROW(),$F$6)),INDEX($A:$AP,ROW(),$F$6),IFERROR(--SUBSTITUTE(SUBSTITUTE(TRIM(INDEX($A:$AP,ROW(),$F$6)),",",""),"원",""),0))))</f>
        <v/>
      </c>
      <c r="AU1104" s="31">
        <f>IF($AS1104="","",IF($AX1104&lt;&gt;"",SUBSTITUTE(SUBSTITUTE($AX1104,"-","")," ",""),"N:"&amp;$AV1104))</f>
        <v/>
      </c>
      <c r="AV1104" s="31">
        <f>IF(OR($AS1104="",$E$6=""),"",TRIM(INDEX($A:$AP,ROW(),$E$6)&amp;""))</f>
        <v/>
      </c>
      <c r="AW1104" s="31">
        <f>IF($AU1104="","",IF(MATCH($AU1104,$AU$8:$AU$2007,0)=ROW()-7,MAX($AW$7:$AW1103)+1,""))</f>
        <v/>
      </c>
      <c r="AX1104" s="31">
        <f>IF(OR($AS1104="",$D$6=""),"",TRIM(INDEX($A:$AP,ROW(),$D$6)&amp;""))</f>
        <v/>
      </c>
      <c r="AY1104" s="31">
        <f>IF($AU1104="","",INDEX($AW$8:$AW$2007,MATCH($AU1104,$AU$8:$AU$2007,0)))</f>
        <v/>
      </c>
      <c r="AZ1104" s="31">
        <f>IF(OR($AS1104="",$C$6=""),"",TRIM(INDEX($A:$AP,ROW(),$C$6)&amp;""))</f>
        <v/>
      </c>
      <c r="BA1104" s="31">
        <f>IF($AZ1104="","",IF(COUNTIF($AZ$8:$AZ1104,$AZ1104)&gt;1,1,0))</f>
        <v/>
      </c>
    </row>
    <row r="1105">
      <c r="AR1105" s="31">
        <f>IF(OR($A$5="",$B$6="",ROW()&lt;$A$5),"",IF(INDEX($A:$AP,ROW(),$B$6)="","",INDEX($A:$AP,ROW(),$B$6)))</f>
        <v/>
      </c>
      <c r="AS1105" s="32">
        <f>IF($AR1105="","",IF(ISNUMBER($AR1105),IF($AR1105&gt;=10000000,IFERROR(DATE(INT($AR1105/10000),MOD(INT($AR1105/100),100),MOD($AR1105,100)),""),INT($AR1105)),IFERROR(DATE(--LEFT(LEFT(SUBSTITUTE(SUBSTITUTE(SUBSTITUTE(SUBSTITUTE(TRIM($AR1105),"-",""),".",""),"/","")," ",""),8),4),--MID(LEFT(SUBSTITUTE(SUBSTITUTE(SUBSTITUTE(SUBSTITUTE(TRIM($AR1105),"-",""),".",""),"/","")," ",""),8),5,2),--MID(LEFT(SUBSTITUTE(SUBSTITUTE(SUBSTITUTE(SUBSTITUTE(TRIM($AR1105),"-",""),".",""),"/","")," ",""),8),7,2)),"")))</f>
        <v/>
      </c>
      <c r="AT1105" s="33">
        <f>IF($AS1105="","",IF($F$6="",0,IF(ISNUMBER(INDEX($A:$AP,ROW(),$F$6)),INDEX($A:$AP,ROW(),$F$6),IFERROR(--SUBSTITUTE(SUBSTITUTE(TRIM(INDEX($A:$AP,ROW(),$F$6)),",",""),"원",""),0))))</f>
        <v/>
      </c>
      <c r="AU1105" s="31">
        <f>IF($AS1105="","",IF($AX1105&lt;&gt;"",SUBSTITUTE(SUBSTITUTE($AX1105,"-","")," ",""),"N:"&amp;$AV1105))</f>
        <v/>
      </c>
      <c r="AV1105" s="31">
        <f>IF(OR($AS1105="",$E$6=""),"",TRIM(INDEX($A:$AP,ROW(),$E$6)&amp;""))</f>
        <v/>
      </c>
      <c r="AW1105" s="31">
        <f>IF($AU1105="","",IF(MATCH($AU1105,$AU$8:$AU$2007,0)=ROW()-7,MAX($AW$7:$AW1104)+1,""))</f>
        <v/>
      </c>
      <c r="AX1105" s="31">
        <f>IF(OR($AS1105="",$D$6=""),"",TRIM(INDEX($A:$AP,ROW(),$D$6)&amp;""))</f>
        <v/>
      </c>
      <c r="AY1105" s="31">
        <f>IF($AU1105="","",INDEX($AW$8:$AW$2007,MATCH($AU1105,$AU$8:$AU$2007,0)))</f>
        <v/>
      </c>
      <c r="AZ1105" s="31">
        <f>IF(OR($AS1105="",$C$6=""),"",TRIM(INDEX($A:$AP,ROW(),$C$6)&amp;""))</f>
        <v/>
      </c>
      <c r="BA1105" s="31">
        <f>IF($AZ1105="","",IF(COUNTIF($AZ$8:$AZ1105,$AZ1105)&gt;1,1,0))</f>
        <v/>
      </c>
    </row>
    <row r="1106">
      <c r="AR1106" s="31">
        <f>IF(OR($A$5="",$B$6="",ROW()&lt;$A$5),"",IF(INDEX($A:$AP,ROW(),$B$6)="","",INDEX($A:$AP,ROW(),$B$6)))</f>
        <v/>
      </c>
      <c r="AS1106" s="32">
        <f>IF($AR1106="","",IF(ISNUMBER($AR1106),IF($AR1106&gt;=10000000,IFERROR(DATE(INT($AR1106/10000),MOD(INT($AR1106/100),100),MOD($AR1106,100)),""),INT($AR1106)),IFERROR(DATE(--LEFT(LEFT(SUBSTITUTE(SUBSTITUTE(SUBSTITUTE(SUBSTITUTE(TRIM($AR1106),"-",""),".",""),"/","")," ",""),8),4),--MID(LEFT(SUBSTITUTE(SUBSTITUTE(SUBSTITUTE(SUBSTITUTE(TRIM($AR1106),"-",""),".",""),"/","")," ",""),8),5,2),--MID(LEFT(SUBSTITUTE(SUBSTITUTE(SUBSTITUTE(SUBSTITUTE(TRIM($AR1106),"-",""),".",""),"/","")," ",""),8),7,2)),"")))</f>
        <v/>
      </c>
      <c r="AT1106" s="33">
        <f>IF($AS1106="","",IF($F$6="",0,IF(ISNUMBER(INDEX($A:$AP,ROW(),$F$6)),INDEX($A:$AP,ROW(),$F$6),IFERROR(--SUBSTITUTE(SUBSTITUTE(TRIM(INDEX($A:$AP,ROW(),$F$6)),",",""),"원",""),0))))</f>
        <v/>
      </c>
      <c r="AU1106" s="31">
        <f>IF($AS1106="","",IF($AX1106&lt;&gt;"",SUBSTITUTE(SUBSTITUTE($AX1106,"-","")," ",""),"N:"&amp;$AV1106))</f>
        <v/>
      </c>
      <c r="AV1106" s="31">
        <f>IF(OR($AS1106="",$E$6=""),"",TRIM(INDEX($A:$AP,ROW(),$E$6)&amp;""))</f>
        <v/>
      </c>
      <c r="AW1106" s="31">
        <f>IF($AU1106="","",IF(MATCH($AU1106,$AU$8:$AU$2007,0)=ROW()-7,MAX($AW$7:$AW1105)+1,""))</f>
        <v/>
      </c>
      <c r="AX1106" s="31">
        <f>IF(OR($AS1106="",$D$6=""),"",TRIM(INDEX($A:$AP,ROW(),$D$6)&amp;""))</f>
        <v/>
      </c>
      <c r="AY1106" s="31">
        <f>IF($AU1106="","",INDEX($AW$8:$AW$2007,MATCH($AU1106,$AU$8:$AU$2007,0)))</f>
        <v/>
      </c>
      <c r="AZ1106" s="31">
        <f>IF(OR($AS1106="",$C$6=""),"",TRIM(INDEX($A:$AP,ROW(),$C$6)&amp;""))</f>
        <v/>
      </c>
      <c r="BA1106" s="31">
        <f>IF($AZ1106="","",IF(COUNTIF($AZ$8:$AZ1106,$AZ1106)&gt;1,1,0))</f>
        <v/>
      </c>
    </row>
    <row r="1107">
      <c r="AR1107" s="31">
        <f>IF(OR($A$5="",$B$6="",ROW()&lt;$A$5),"",IF(INDEX($A:$AP,ROW(),$B$6)="","",INDEX($A:$AP,ROW(),$B$6)))</f>
        <v/>
      </c>
      <c r="AS1107" s="32">
        <f>IF($AR1107="","",IF(ISNUMBER($AR1107),IF($AR1107&gt;=10000000,IFERROR(DATE(INT($AR1107/10000),MOD(INT($AR1107/100),100),MOD($AR1107,100)),""),INT($AR1107)),IFERROR(DATE(--LEFT(LEFT(SUBSTITUTE(SUBSTITUTE(SUBSTITUTE(SUBSTITUTE(TRIM($AR1107),"-",""),".",""),"/","")," ",""),8),4),--MID(LEFT(SUBSTITUTE(SUBSTITUTE(SUBSTITUTE(SUBSTITUTE(TRIM($AR1107),"-",""),".",""),"/","")," ",""),8),5,2),--MID(LEFT(SUBSTITUTE(SUBSTITUTE(SUBSTITUTE(SUBSTITUTE(TRIM($AR1107),"-",""),".",""),"/","")," ",""),8),7,2)),"")))</f>
        <v/>
      </c>
      <c r="AT1107" s="33">
        <f>IF($AS1107="","",IF($F$6="",0,IF(ISNUMBER(INDEX($A:$AP,ROW(),$F$6)),INDEX($A:$AP,ROW(),$F$6),IFERROR(--SUBSTITUTE(SUBSTITUTE(TRIM(INDEX($A:$AP,ROW(),$F$6)),",",""),"원",""),0))))</f>
        <v/>
      </c>
      <c r="AU1107" s="31">
        <f>IF($AS1107="","",IF($AX1107&lt;&gt;"",SUBSTITUTE(SUBSTITUTE($AX1107,"-","")," ",""),"N:"&amp;$AV1107))</f>
        <v/>
      </c>
      <c r="AV1107" s="31">
        <f>IF(OR($AS1107="",$E$6=""),"",TRIM(INDEX($A:$AP,ROW(),$E$6)&amp;""))</f>
        <v/>
      </c>
      <c r="AW1107" s="31">
        <f>IF($AU1107="","",IF(MATCH($AU1107,$AU$8:$AU$2007,0)=ROW()-7,MAX($AW$7:$AW1106)+1,""))</f>
        <v/>
      </c>
      <c r="AX1107" s="31">
        <f>IF(OR($AS1107="",$D$6=""),"",TRIM(INDEX($A:$AP,ROW(),$D$6)&amp;""))</f>
        <v/>
      </c>
      <c r="AY1107" s="31">
        <f>IF($AU1107="","",INDEX($AW$8:$AW$2007,MATCH($AU1107,$AU$8:$AU$2007,0)))</f>
        <v/>
      </c>
      <c r="AZ1107" s="31">
        <f>IF(OR($AS1107="",$C$6=""),"",TRIM(INDEX($A:$AP,ROW(),$C$6)&amp;""))</f>
        <v/>
      </c>
      <c r="BA1107" s="31">
        <f>IF($AZ1107="","",IF(COUNTIF($AZ$8:$AZ1107,$AZ1107)&gt;1,1,0))</f>
        <v/>
      </c>
    </row>
    <row r="1108">
      <c r="AR1108" s="31">
        <f>IF(OR($A$5="",$B$6="",ROW()&lt;$A$5),"",IF(INDEX($A:$AP,ROW(),$B$6)="","",INDEX($A:$AP,ROW(),$B$6)))</f>
        <v/>
      </c>
      <c r="AS1108" s="32">
        <f>IF($AR1108="","",IF(ISNUMBER($AR1108),IF($AR1108&gt;=10000000,IFERROR(DATE(INT($AR1108/10000),MOD(INT($AR1108/100),100),MOD($AR1108,100)),""),INT($AR1108)),IFERROR(DATE(--LEFT(LEFT(SUBSTITUTE(SUBSTITUTE(SUBSTITUTE(SUBSTITUTE(TRIM($AR1108),"-",""),".",""),"/","")," ",""),8),4),--MID(LEFT(SUBSTITUTE(SUBSTITUTE(SUBSTITUTE(SUBSTITUTE(TRIM($AR1108),"-",""),".",""),"/","")," ",""),8),5,2),--MID(LEFT(SUBSTITUTE(SUBSTITUTE(SUBSTITUTE(SUBSTITUTE(TRIM($AR1108),"-",""),".",""),"/","")," ",""),8),7,2)),"")))</f>
        <v/>
      </c>
      <c r="AT1108" s="33">
        <f>IF($AS1108="","",IF($F$6="",0,IF(ISNUMBER(INDEX($A:$AP,ROW(),$F$6)),INDEX($A:$AP,ROW(),$F$6),IFERROR(--SUBSTITUTE(SUBSTITUTE(TRIM(INDEX($A:$AP,ROW(),$F$6)),",",""),"원",""),0))))</f>
        <v/>
      </c>
      <c r="AU1108" s="31">
        <f>IF($AS1108="","",IF($AX1108&lt;&gt;"",SUBSTITUTE(SUBSTITUTE($AX1108,"-","")," ",""),"N:"&amp;$AV1108))</f>
        <v/>
      </c>
      <c r="AV1108" s="31">
        <f>IF(OR($AS1108="",$E$6=""),"",TRIM(INDEX($A:$AP,ROW(),$E$6)&amp;""))</f>
        <v/>
      </c>
      <c r="AW1108" s="31">
        <f>IF($AU1108="","",IF(MATCH($AU1108,$AU$8:$AU$2007,0)=ROW()-7,MAX($AW$7:$AW1107)+1,""))</f>
        <v/>
      </c>
      <c r="AX1108" s="31">
        <f>IF(OR($AS1108="",$D$6=""),"",TRIM(INDEX($A:$AP,ROW(),$D$6)&amp;""))</f>
        <v/>
      </c>
      <c r="AY1108" s="31">
        <f>IF($AU1108="","",INDEX($AW$8:$AW$2007,MATCH($AU1108,$AU$8:$AU$2007,0)))</f>
        <v/>
      </c>
      <c r="AZ1108" s="31">
        <f>IF(OR($AS1108="",$C$6=""),"",TRIM(INDEX($A:$AP,ROW(),$C$6)&amp;""))</f>
        <v/>
      </c>
      <c r="BA1108" s="31">
        <f>IF($AZ1108="","",IF(COUNTIF($AZ$8:$AZ1108,$AZ1108)&gt;1,1,0))</f>
        <v/>
      </c>
    </row>
    <row r="1109">
      <c r="AR1109" s="31">
        <f>IF(OR($A$5="",$B$6="",ROW()&lt;$A$5),"",IF(INDEX($A:$AP,ROW(),$B$6)="","",INDEX($A:$AP,ROW(),$B$6)))</f>
        <v/>
      </c>
      <c r="AS1109" s="32">
        <f>IF($AR1109="","",IF(ISNUMBER($AR1109),IF($AR1109&gt;=10000000,IFERROR(DATE(INT($AR1109/10000),MOD(INT($AR1109/100),100),MOD($AR1109,100)),""),INT($AR1109)),IFERROR(DATE(--LEFT(LEFT(SUBSTITUTE(SUBSTITUTE(SUBSTITUTE(SUBSTITUTE(TRIM($AR1109),"-",""),".",""),"/","")," ",""),8),4),--MID(LEFT(SUBSTITUTE(SUBSTITUTE(SUBSTITUTE(SUBSTITUTE(TRIM($AR1109),"-",""),".",""),"/","")," ",""),8),5,2),--MID(LEFT(SUBSTITUTE(SUBSTITUTE(SUBSTITUTE(SUBSTITUTE(TRIM($AR1109),"-",""),".",""),"/","")," ",""),8),7,2)),"")))</f>
        <v/>
      </c>
      <c r="AT1109" s="33">
        <f>IF($AS1109="","",IF($F$6="",0,IF(ISNUMBER(INDEX($A:$AP,ROW(),$F$6)),INDEX($A:$AP,ROW(),$F$6),IFERROR(--SUBSTITUTE(SUBSTITUTE(TRIM(INDEX($A:$AP,ROW(),$F$6)),",",""),"원",""),0))))</f>
        <v/>
      </c>
      <c r="AU1109" s="31">
        <f>IF($AS1109="","",IF($AX1109&lt;&gt;"",SUBSTITUTE(SUBSTITUTE($AX1109,"-","")," ",""),"N:"&amp;$AV1109))</f>
        <v/>
      </c>
      <c r="AV1109" s="31">
        <f>IF(OR($AS1109="",$E$6=""),"",TRIM(INDEX($A:$AP,ROW(),$E$6)&amp;""))</f>
        <v/>
      </c>
      <c r="AW1109" s="31">
        <f>IF($AU1109="","",IF(MATCH($AU1109,$AU$8:$AU$2007,0)=ROW()-7,MAX($AW$7:$AW1108)+1,""))</f>
        <v/>
      </c>
      <c r="AX1109" s="31">
        <f>IF(OR($AS1109="",$D$6=""),"",TRIM(INDEX($A:$AP,ROW(),$D$6)&amp;""))</f>
        <v/>
      </c>
      <c r="AY1109" s="31">
        <f>IF($AU1109="","",INDEX($AW$8:$AW$2007,MATCH($AU1109,$AU$8:$AU$2007,0)))</f>
        <v/>
      </c>
      <c r="AZ1109" s="31">
        <f>IF(OR($AS1109="",$C$6=""),"",TRIM(INDEX($A:$AP,ROW(),$C$6)&amp;""))</f>
        <v/>
      </c>
      <c r="BA1109" s="31">
        <f>IF($AZ1109="","",IF(COUNTIF($AZ$8:$AZ1109,$AZ1109)&gt;1,1,0))</f>
        <v/>
      </c>
    </row>
    <row r="1110">
      <c r="AR1110" s="31">
        <f>IF(OR($A$5="",$B$6="",ROW()&lt;$A$5),"",IF(INDEX($A:$AP,ROW(),$B$6)="","",INDEX($A:$AP,ROW(),$B$6)))</f>
        <v/>
      </c>
      <c r="AS1110" s="32">
        <f>IF($AR1110="","",IF(ISNUMBER($AR1110),IF($AR1110&gt;=10000000,IFERROR(DATE(INT($AR1110/10000),MOD(INT($AR1110/100),100),MOD($AR1110,100)),""),INT($AR1110)),IFERROR(DATE(--LEFT(LEFT(SUBSTITUTE(SUBSTITUTE(SUBSTITUTE(SUBSTITUTE(TRIM($AR1110),"-",""),".",""),"/","")," ",""),8),4),--MID(LEFT(SUBSTITUTE(SUBSTITUTE(SUBSTITUTE(SUBSTITUTE(TRIM($AR1110),"-",""),".",""),"/","")," ",""),8),5,2),--MID(LEFT(SUBSTITUTE(SUBSTITUTE(SUBSTITUTE(SUBSTITUTE(TRIM($AR1110),"-",""),".",""),"/","")," ",""),8),7,2)),"")))</f>
        <v/>
      </c>
      <c r="AT1110" s="33">
        <f>IF($AS1110="","",IF($F$6="",0,IF(ISNUMBER(INDEX($A:$AP,ROW(),$F$6)),INDEX($A:$AP,ROW(),$F$6),IFERROR(--SUBSTITUTE(SUBSTITUTE(TRIM(INDEX($A:$AP,ROW(),$F$6)),",",""),"원",""),0))))</f>
        <v/>
      </c>
      <c r="AU1110" s="31">
        <f>IF($AS1110="","",IF($AX1110&lt;&gt;"",SUBSTITUTE(SUBSTITUTE($AX1110,"-","")," ",""),"N:"&amp;$AV1110))</f>
        <v/>
      </c>
      <c r="AV1110" s="31">
        <f>IF(OR($AS1110="",$E$6=""),"",TRIM(INDEX($A:$AP,ROW(),$E$6)&amp;""))</f>
        <v/>
      </c>
      <c r="AW1110" s="31">
        <f>IF($AU1110="","",IF(MATCH($AU1110,$AU$8:$AU$2007,0)=ROW()-7,MAX($AW$7:$AW1109)+1,""))</f>
        <v/>
      </c>
      <c r="AX1110" s="31">
        <f>IF(OR($AS1110="",$D$6=""),"",TRIM(INDEX($A:$AP,ROW(),$D$6)&amp;""))</f>
        <v/>
      </c>
      <c r="AY1110" s="31">
        <f>IF($AU1110="","",INDEX($AW$8:$AW$2007,MATCH($AU1110,$AU$8:$AU$2007,0)))</f>
        <v/>
      </c>
      <c r="AZ1110" s="31">
        <f>IF(OR($AS1110="",$C$6=""),"",TRIM(INDEX($A:$AP,ROW(),$C$6)&amp;""))</f>
        <v/>
      </c>
      <c r="BA1110" s="31">
        <f>IF($AZ1110="","",IF(COUNTIF($AZ$8:$AZ1110,$AZ1110)&gt;1,1,0))</f>
        <v/>
      </c>
    </row>
    <row r="1111">
      <c r="AR1111" s="31">
        <f>IF(OR($A$5="",$B$6="",ROW()&lt;$A$5),"",IF(INDEX($A:$AP,ROW(),$B$6)="","",INDEX($A:$AP,ROW(),$B$6)))</f>
        <v/>
      </c>
      <c r="AS1111" s="32">
        <f>IF($AR1111="","",IF(ISNUMBER($AR1111),IF($AR1111&gt;=10000000,IFERROR(DATE(INT($AR1111/10000),MOD(INT($AR1111/100),100),MOD($AR1111,100)),""),INT($AR1111)),IFERROR(DATE(--LEFT(LEFT(SUBSTITUTE(SUBSTITUTE(SUBSTITUTE(SUBSTITUTE(TRIM($AR1111),"-",""),".",""),"/","")," ",""),8),4),--MID(LEFT(SUBSTITUTE(SUBSTITUTE(SUBSTITUTE(SUBSTITUTE(TRIM($AR1111),"-",""),".",""),"/","")," ",""),8),5,2),--MID(LEFT(SUBSTITUTE(SUBSTITUTE(SUBSTITUTE(SUBSTITUTE(TRIM($AR1111),"-",""),".",""),"/","")," ",""),8),7,2)),"")))</f>
        <v/>
      </c>
      <c r="AT1111" s="33">
        <f>IF($AS1111="","",IF($F$6="",0,IF(ISNUMBER(INDEX($A:$AP,ROW(),$F$6)),INDEX($A:$AP,ROW(),$F$6),IFERROR(--SUBSTITUTE(SUBSTITUTE(TRIM(INDEX($A:$AP,ROW(),$F$6)),",",""),"원",""),0))))</f>
        <v/>
      </c>
      <c r="AU1111" s="31">
        <f>IF($AS1111="","",IF($AX1111&lt;&gt;"",SUBSTITUTE(SUBSTITUTE($AX1111,"-","")," ",""),"N:"&amp;$AV1111))</f>
        <v/>
      </c>
      <c r="AV1111" s="31">
        <f>IF(OR($AS1111="",$E$6=""),"",TRIM(INDEX($A:$AP,ROW(),$E$6)&amp;""))</f>
        <v/>
      </c>
      <c r="AW1111" s="31">
        <f>IF($AU1111="","",IF(MATCH($AU1111,$AU$8:$AU$2007,0)=ROW()-7,MAX($AW$7:$AW1110)+1,""))</f>
        <v/>
      </c>
      <c r="AX1111" s="31">
        <f>IF(OR($AS1111="",$D$6=""),"",TRIM(INDEX($A:$AP,ROW(),$D$6)&amp;""))</f>
        <v/>
      </c>
      <c r="AY1111" s="31">
        <f>IF($AU1111="","",INDEX($AW$8:$AW$2007,MATCH($AU1111,$AU$8:$AU$2007,0)))</f>
        <v/>
      </c>
      <c r="AZ1111" s="31">
        <f>IF(OR($AS1111="",$C$6=""),"",TRIM(INDEX($A:$AP,ROW(),$C$6)&amp;""))</f>
        <v/>
      </c>
      <c r="BA1111" s="31">
        <f>IF($AZ1111="","",IF(COUNTIF($AZ$8:$AZ1111,$AZ1111)&gt;1,1,0))</f>
        <v/>
      </c>
    </row>
    <row r="1112">
      <c r="AR1112" s="31">
        <f>IF(OR($A$5="",$B$6="",ROW()&lt;$A$5),"",IF(INDEX($A:$AP,ROW(),$B$6)="","",INDEX($A:$AP,ROW(),$B$6)))</f>
        <v/>
      </c>
      <c r="AS1112" s="32">
        <f>IF($AR1112="","",IF(ISNUMBER($AR1112),IF($AR1112&gt;=10000000,IFERROR(DATE(INT($AR1112/10000),MOD(INT($AR1112/100),100),MOD($AR1112,100)),""),INT($AR1112)),IFERROR(DATE(--LEFT(LEFT(SUBSTITUTE(SUBSTITUTE(SUBSTITUTE(SUBSTITUTE(TRIM($AR1112),"-",""),".",""),"/","")," ",""),8),4),--MID(LEFT(SUBSTITUTE(SUBSTITUTE(SUBSTITUTE(SUBSTITUTE(TRIM($AR1112),"-",""),".",""),"/","")," ",""),8),5,2),--MID(LEFT(SUBSTITUTE(SUBSTITUTE(SUBSTITUTE(SUBSTITUTE(TRIM($AR1112),"-",""),".",""),"/","")," ",""),8),7,2)),"")))</f>
        <v/>
      </c>
      <c r="AT1112" s="33">
        <f>IF($AS1112="","",IF($F$6="",0,IF(ISNUMBER(INDEX($A:$AP,ROW(),$F$6)),INDEX($A:$AP,ROW(),$F$6),IFERROR(--SUBSTITUTE(SUBSTITUTE(TRIM(INDEX($A:$AP,ROW(),$F$6)),",",""),"원",""),0))))</f>
        <v/>
      </c>
      <c r="AU1112" s="31">
        <f>IF($AS1112="","",IF($AX1112&lt;&gt;"",SUBSTITUTE(SUBSTITUTE($AX1112,"-","")," ",""),"N:"&amp;$AV1112))</f>
        <v/>
      </c>
      <c r="AV1112" s="31">
        <f>IF(OR($AS1112="",$E$6=""),"",TRIM(INDEX($A:$AP,ROW(),$E$6)&amp;""))</f>
        <v/>
      </c>
      <c r="AW1112" s="31">
        <f>IF($AU1112="","",IF(MATCH($AU1112,$AU$8:$AU$2007,0)=ROW()-7,MAX($AW$7:$AW1111)+1,""))</f>
        <v/>
      </c>
      <c r="AX1112" s="31">
        <f>IF(OR($AS1112="",$D$6=""),"",TRIM(INDEX($A:$AP,ROW(),$D$6)&amp;""))</f>
        <v/>
      </c>
      <c r="AY1112" s="31">
        <f>IF($AU1112="","",INDEX($AW$8:$AW$2007,MATCH($AU1112,$AU$8:$AU$2007,0)))</f>
        <v/>
      </c>
      <c r="AZ1112" s="31">
        <f>IF(OR($AS1112="",$C$6=""),"",TRIM(INDEX($A:$AP,ROW(),$C$6)&amp;""))</f>
        <v/>
      </c>
      <c r="BA1112" s="31">
        <f>IF($AZ1112="","",IF(COUNTIF($AZ$8:$AZ1112,$AZ1112)&gt;1,1,0))</f>
        <v/>
      </c>
    </row>
    <row r="1113">
      <c r="AR1113" s="31">
        <f>IF(OR($A$5="",$B$6="",ROW()&lt;$A$5),"",IF(INDEX($A:$AP,ROW(),$B$6)="","",INDEX($A:$AP,ROW(),$B$6)))</f>
        <v/>
      </c>
      <c r="AS1113" s="32">
        <f>IF($AR1113="","",IF(ISNUMBER($AR1113),IF($AR1113&gt;=10000000,IFERROR(DATE(INT($AR1113/10000),MOD(INT($AR1113/100),100),MOD($AR1113,100)),""),INT($AR1113)),IFERROR(DATE(--LEFT(LEFT(SUBSTITUTE(SUBSTITUTE(SUBSTITUTE(SUBSTITUTE(TRIM($AR1113),"-",""),".",""),"/","")," ",""),8),4),--MID(LEFT(SUBSTITUTE(SUBSTITUTE(SUBSTITUTE(SUBSTITUTE(TRIM($AR1113),"-",""),".",""),"/","")," ",""),8),5,2),--MID(LEFT(SUBSTITUTE(SUBSTITUTE(SUBSTITUTE(SUBSTITUTE(TRIM($AR1113),"-",""),".",""),"/","")," ",""),8),7,2)),"")))</f>
        <v/>
      </c>
      <c r="AT1113" s="33">
        <f>IF($AS1113="","",IF($F$6="",0,IF(ISNUMBER(INDEX($A:$AP,ROW(),$F$6)),INDEX($A:$AP,ROW(),$F$6),IFERROR(--SUBSTITUTE(SUBSTITUTE(TRIM(INDEX($A:$AP,ROW(),$F$6)),",",""),"원",""),0))))</f>
        <v/>
      </c>
      <c r="AU1113" s="31">
        <f>IF($AS1113="","",IF($AX1113&lt;&gt;"",SUBSTITUTE(SUBSTITUTE($AX1113,"-","")," ",""),"N:"&amp;$AV1113))</f>
        <v/>
      </c>
      <c r="AV1113" s="31">
        <f>IF(OR($AS1113="",$E$6=""),"",TRIM(INDEX($A:$AP,ROW(),$E$6)&amp;""))</f>
        <v/>
      </c>
      <c r="AW1113" s="31">
        <f>IF($AU1113="","",IF(MATCH($AU1113,$AU$8:$AU$2007,0)=ROW()-7,MAX($AW$7:$AW1112)+1,""))</f>
        <v/>
      </c>
      <c r="AX1113" s="31">
        <f>IF(OR($AS1113="",$D$6=""),"",TRIM(INDEX($A:$AP,ROW(),$D$6)&amp;""))</f>
        <v/>
      </c>
      <c r="AY1113" s="31">
        <f>IF($AU1113="","",INDEX($AW$8:$AW$2007,MATCH($AU1113,$AU$8:$AU$2007,0)))</f>
        <v/>
      </c>
      <c r="AZ1113" s="31">
        <f>IF(OR($AS1113="",$C$6=""),"",TRIM(INDEX($A:$AP,ROW(),$C$6)&amp;""))</f>
        <v/>
      </c>
      <c r="BA1113" s="31">
        <f>IF($AZ1113="","",IF(COUNTIF($AZ$8:$AZ1113,$AZ1113)&gt;1,1,0))</f>
        <v/>
      </c>
    </row>
    <row r="1114">
      <c r="AR1114" s="31">
        <f>IF(OR($A$5="",$B$6="",ROW()&lt;$A$5),"",IF(INDEX($A:$AP,ROW(),$B$6)="","",INDEX($A:$AP,ROW(),$B$6)))</f>
        <v/>
      </c>
      <c r="AS1114" s="32">
        <f>IF($AR1114="","",IF(ISNUMBER($AR1114),IF($AR1114&gt;=10000000,IFERROR(DATE(INT($AR1114/10000),MOD(INT($AR1114/100),100),MOD($AR1114,100)),""),INT($AR1114)),IFERROR(DATE(--LEFT(LEFT(SUBSTITUTE(SUBSTITUTE(SUBSTITUTE(SUBSTITUTE(TRIM($AR1114),"-",""),".",""),"/","")," ",""),8),4),--MID(LEFT(SUBSTITUTE(SUBSTITUTE(SUBSTITUTE(SUBSTITUTE(TRIM($AR1114),"-",""),".",""),"/","")," ",""),8),5,2),--MID(LEFT(SUBSTITUTE(SUBSTITUTE(SUBSTITUTE(SUBSTITUTE(TRIM($AR1114),"-",""),".",""),"/","")," ",""),8),7,2)),"")))</f>
        <v/>
      </c>
      <c r="AT1114" s="33">
        <f>IF($AS1114="","",IF($F$6="",0,IF(ISNUMBER(INDEX($A:$AP,ROW(),$F$6)),INDEX($A:$AP,ROW(),$F$6),IFERROR(--SUBSTITUTE(SUBSTITUTE(TRIM(INDEX($A:$AP,ROW(),$F$6)),",",""),"원",""),0))))</f>
        <v/>
      </c>
      <c r="AU1114" s="31">
        <f>IF($AS1114="","",IF($AX1114&lt;&gt;"",SUBSTITUTE(SUBSTITUTE($AX1114,"-","")," ",""),"N:"&amp;$AV1114))</f>
        <v/>
      </c>
      <c r="AV1114" s="31">
        <f>IF(OR($AS1114="",$E$6=""),"",TRIM(INDEX($A:$AP,ROW(),$E$6)&amp;""))</f>
        <v/>
      </c>
      <c r="AW1114" s="31">
        <f>IF($AU1114="","",IF(MATCH($AU1114,$AU$8:$AU$2007,0)=ROW()-7,MAX($AW$7:$AW1113)+1,""))</f>
        <v/>
      </c>
      <c r="AX1114" s="31">
        <f>IF(OR($AS1114="",$D$6=""),"",TRIM(INDEX($A:$AP,ROW(),$D$6)&amp;""))</f>
        <v/>
      </c>
      <c r="AY1114" s="31">
        <f>IF($AU1114="","",INDEX($AW$8:$AW$2007,MATCH($AU1114,$AU$8:$AU$2007,0)))</f>
        <v/>
      </c>
      <c r="AZ1114" s="31">
        <f>IF(OR($AS1114="",$C$6=""),"",TRIM(INDEX($A:$AP,ROW(),$C$6)&amp;""))</f>
        <v/>
      </c>
      <c r="BA1114" s="31">
        <f>IF($AZ1114="","",IF(COUNTIF($AZ$8:$AZ1114,$AZ1114)&gt;1,1,0))</f>
        <v/>
      </c>
    </row>
    <row r="1115">
      <c r="AR1115" s="31">
        <f>IF(OR($A$5="",$B$6="",ROW()&lt;$A$5),"",IF(INDEX($A:$AP,ROW(),$B$6)="","",INDEX($A:$AP,ROW(),$B$6)))</f>
        <v/>
      </c>
      <c r="AS1115" s="32">
        <f>IF($AR1115="","",IF(ISNUMBER($AR1115),IF($AR1115&gt;=10000000,IFERROR(DATE(INT($AR1115/10000),MOD(INT($AR1115/100),100),MOD($AR1115,100)),""),INT($AR1115)),IFERROR(DATE(--LEFT(LEFT(SUBSTITUTE(SUBSTITUTE(SUBSTITUTE(SUBSTITUTE(TRIM($AR1115),"-",""),".",""),"/","")," ",""),8),4),--MID(LEFT(SUBSTITUTE(SUBSTITUTE(SUBSTITUTE(SUBSTITUTE(TRIM($AR1115),"-",""),".",""),"/","")," ",""),8),5,2),--MID(LEFT(SUBSTITUTE(SUBSTITUTE(SUBSTITUTE(SUBSTITUTE(TRIM($AR1115),"-",""),".",""),"/","")," ",""),8),7,2)),"")))</f>
        <v/>
      </c>
      <c r="AT1115" s="33">
        <f>IF($AS1115="","",IF($F$6="",0,IF(ISNUMBER(INDEX($A:$AP,ROW(),$F$6)),INDEX($A:$AP,ROW(),$F$6),IFERROR(--SUBSTITUTE(SUBSTITUTE(TRIM(INDEX($A:$AP,ROW(),$F$6)),",",""),"원",""),0))))</f>
        <v/>
      </c>
      <c r="AU1115" s="31">
        <f>IF($AS1115="","",IF($AX1115&lt;&gt;"",SUBSTITUTE(SUBSTITUTE($AX1115,"-","")," ",""),"N:"&amp;$AV1115))</f>
        <v/>
      </c>
      <c r="AV1115" s="31">
        <f>IF(OR($AS1115="",$E$6=""),"",TRIM(INDEX($A:$AP,ROW(),$E$6)&amp;""))</f>
        <v/>
      </c>
      <c r="AW1115" s="31">
        <f>IF($AU1115="","",IF(MATCH($AU1115,$AU$8:$AU$2007,0)=ROW()-7,MAX($AW$7:$AW1114)+1,""))</f>
        <v/>
      </c>
      <c r="AX1115" s="31">
        <f>IF(OR($AS1115="",$D$6=""),"",TRIM(INDEX($A:$AP,ROW(),$D$6)&amp;""))</f>
        <v/>
      </c>
      <c r="AY1115" s="31">
        <f>IF($AU1115="","",INDEX($AW$8:$AW$2007,MATCH($AU1115,$AU$8:$AU$2007,0)))</f>
        <v/>
      </c>
      <c r="AZ1115" s="31">
        <f>IF(OR($AS1115="",$C$6=""),"",TRIM(INDEX($A:$AP,ROW(),$C$6)&amp;""))</f>
        <v/>
      </c>
      <c r="BA1115" s="31">
        <f>IF($AZ1115="","",IF(COUNTIF($AZ$8:$AZ1115,$AZ1115)&gt;1,1,0))</f>
        <v/>
      </c>
    </row>
    <row r="1116">
      <c r="AR1116" s="31">
        <f>IF(OR($A$5="",$B$6="",ROW()&lt;$A$5),"",IF(INDEX($A:$AP,ROW(),$B$6)="","",INDEX($A:$AP,ROW(),$B$6)))</f>
        <v/>
      </c>
      <c r="AS1116" s="32">
        <f>IF($AR1116="","",IF(ISNUMBER($AR1116),IF($AR1116&gt;=10000000,IFERROR(DATE(INT($AR1116/10000),MOD(INT($AR1116/100),100),MOD($AR1116,100)),""),INT($AR1116)),IFERROR(DATE(--LEFT(LEFT(SUBSTITUTE(SUBSTITUTE(SUBSTITUTE(SUBSTITUTE(TRIM($AR1116),"-",""),".",""),"/","")," ",""),8),4),--MID(LEFT(SUBSTITUTE(SUBSTITUTE(SUBSTITUTE(SUBSTITUTE(TRIM($AR1116),"-",""),".",""),"/","")," ",""),8),5,2),--MID(LEFT(SUBSTITUTE(SUBSTITUTE(SUBSTITUTE(SUBSTITUTE(TRIM($AR1116),"-",""),".",""),"/","")," ",""),8),7,2)),"")))</f>
        <v/>
      </c>
      <c r="AT1116" s="33">
        <f>IF($AS1116="","",IF($F$6="",0,IF(ISNUMBER(INDEX($A:$AP,ROW(),$F$6)),INDEX($A:$AP,ROW(),$F$6),IFERROR(--SUBSTITUTE(SUBSTITUTE(TRIM(INDEX($A:$AP,ROW(),$F$6)),",",""),"원",""),0))))</f>
        <v/>
      </c>
      <c r="AU1116" s="31">
        <f>IF($AS1116="","",IF($AX1116&lt;&gt;"",SUBSTITUTE(SUBSTITUTE($AX1116,"-","")," ",""),"N:"&amp;$AV1116))</f>
        <v/>
      </c>
      <c r="AV1116" s="31">
        <f>IF(OR($AS1116="",$E$6=""),"",TRIM(INDEX($A:$AP,ROW(),$E$6)&amp;""))</f>
        <v/>
      </c>
      <c r="AW1116" s="31">
        <f>IF($AU1116="","",IF(MATCH($AU1116,$AU$8:$AU$2007,0)=ROW()-7,MAX($AW$7:$AW1115)+1,""))</f>
        <v/>
      </c>
      <c r="AX1116" s="31">
        <f>IF(OR($AS1116="",$D$6=""),"",TRIM(INDEX($A:$AP,ROW(),$D$6)&amp;""))</f>
        <v/>
      </c>
      <c r="AY1116" s="31">
        <f>IF($AU1116="","",INDEX($AW$8:$AW$2007,MATCH($AU1116,$AU$8:$AU$2007,0)))</f>
        <v/>
      </c>
      <c r="AZ1116" s="31">
        <f>IF(OR($AS1116="",$C$6=""),"",TRIM(INDEX($A:$AP,ROW(),$C$6)&amp;""))</f>
        <v/>
      </c>
      <c r="BA1116" s="31">
        <f>IF($AZ1116="","",IF(COUNTIF($AZ$8:$AZ1116,$AZ1116)&gt;1,1,0))</f>
        <v/>
      </c>
    </row>
    <row r="1117">
      <c r="AR1117" s="31">
        <f>IF(OR($A$5="",$B$6="",ROW()&lt;$A$5),"",IF(INDEX($A:$AP,ROW(),$B$6)="","",INDEX($A:$AP,ROW(),$B$6)))</f>
        <v/>
      </c>
      <c r="AS1117" s="32">
        <f>IF($AR1117="","",IF(ISNUMBER($AR1117),IF($AR1117&gt;=10000000,IFERROR(DATE(INT($AR1117/10000),MOD(INT($AR1117/100),100),MOD($AR1117,100)),""),INT($AR1117)),IFERROR(DATE(--LEFT(LEFT(SUBSTITUTE(SUBSTITUTE(SUBSTITUTE(SUBSTITUTE(TRIM($AR1117),"-",""),".",""),"/","")," ",""),8),4),--MID(LEFT(SUBSTITUTE(SUBSTITUTE(SUBSTITUTE(SUBSTITUTE(TRIM($AR1117),"-",""),".",""),"/","")," ",""),8),5,2),--MID(LEFT(SUBSTITUTE(SUBSTITUTE(SUBSTITUTE(SUBSTITUTE(TRIM($AR1117),"-",""),".",""),"/","")," ",""),8),7,2)),"")))</f>
        <v/>
      </c>
      <c r="AT1117" s="33">
        <f>IF($AS1117="","",IF($F$6="",0,IF(ISNUMBER(INDEX($A:$AP,ROW(),$F$6)),INDEX($A:$AP,ROW(),$F$6),IFERROR(--SUBSTITUTE(SUBSTITUTE(TRIM(INDEX($A:$AP,ROW(),$F$6)),",",""),"원",""),0))))</f>
        <v/>
      </c>
      <c r="AU1117" s="31">
        <f>IF($AS1117="","",IF($AX1117&lt;&gt;"",SUBSTITUTE(SUBSTITUTE($AX1117,"-","")," ",""),"N:"&amp;$AV1117))</f>
        <v/>
      </c>
      <c r="AV1117" s="31">
        <f>IF(OR($AS1117="",$E$6=""),"",TRIM(INDEX($A:$AP,ROW(),$E$6)&amp;""))</f>
        <v/>
      </c>
      <c r="AW1117" s="31">
        <f>IF($AU1117="","",IF(MATCH($AU1117,$AU$8:$AU$2007,0)=ROW()-7,MAX($AW$7:$AW1116)+1,""))</f>
        <v/>
      </c>
      <c r="AX1117" s="31">
        <f>IF(OR($AS1117="",$D$6=""),"",TRIM(INDEX($A:$AP,ROW(),$D$6)&amp;""))</f>
        <v/>
      </c>
      <c r="AY1117" s="31">
        <f>IF($AU1117="","",INDEX($AW$8:$AW$2007,MATCH($AU1117,$AU$8:$AU$2007,0)))</f>
        <v/>
      </c>
      <c r="AZ1117" s="31">
        <f>IF(OR($AS1117="",$C$6=""),"",TRIM(INDEX($A:$AP,ROW(),$C$6)&amp;""))</f>
        <v/>
      </c>
      <c r="BA1117" s="31">
        <f>IF($AZ1117="","",IF(COUNTIF($AZ$8:$AZ1117,$AZ1117)&gt;1,1,0))</f>
        <v/>
      </c>
    </row>
    <row r="1118">
      <c r="AR1118" s="31">
        <f>IF(OR($A$5="",$B$6="",ROW()&lt;$A$5),"",IF(INDEX($A:$AP,ROW(),$B$6)="","",INDEX($A:$AP,ROW(),$B$6)))</f>
        <v/>
      </c>
      <c r="AS1118" s="32">
        <f>IF($AR1118="","",IF(ISNUMBER($AR1118),IF($AR1118&gt;=10000000,IFERROR(DATE(INT($AR1118/10000),MOD(INT($AR1118/100),100),MOD($AR1118,100)),""),INT($AR1118)),IFERROR(DATE(--LEFT(LEFT(SUBSTITUTE(SUBSTITUTE(SUBSTITUTE(SUBSTITUTE(TRIM($AR1118),"-",""),".",""),"/","")," ",""),8),4),--MID(LEFT(SUBSTITUTE(SUBSTITUTE(SUBSTITUTE(SUBSTITUTE(TRIM($AR1118),"-",""),".",""),"/","")," ",""),8),5,2),--MID(LEFT(SUBSTITUTE(SUBSTITUTE(SUBSTITUTE(SUBSTITUTE(TRIM($AR1118),"-",""),".",""),"/","")," ",""),8),7,2)),"")))</f>
        <v/>
      </c>
      <c r="AT1118" s="33">
        <f>IF($AS1118="","",IF($F$6="",0,IF(ISNUMBER(INDEX($A:$AP,ROW(),$F$6)),INDEX($A:$AP,ROW(),$F$6),IFERROR(--SUBSTITUTE(SUBSTITUTE(TRIM(INDEX($A:$AP,ROW(),$F$6)),",",""),"원",""),0))))</f>
        <v/>
      </c>
      <c r="AU1118" s="31">
        <f>IF($AS1118="","",IF($AX1118&lt;&gt;"",SUBSTITUTE(SUBSTITUTE($AX1118,"-","")," ",""),"N:"&amp;$AV1118))</f>
        <v/>
      </c>
      <c r="AV1118" s="31">
        <f>IF(OR($AS1118="",$E$6=""),"",TRIM(INDEX($A:$AP,ROW(),$E$6)&amp;""))</f>
        <v/>
      </c>
      <c r="AW1118" s="31">
        <f>IF($AU1118="","",IF(MATCH($AU1118,$AU$8:$AU$2007,0)=ROW()-7,MAX($AW$7:$AW1117)+1,""))</f>
        <v/>
      </c>
      <c r="AX1118" s="31">
        <f>IF(OR($AS1118="",$D$6=""),"",TRIM(INDEX($A:$AP,ROW(),$D$6)&amp;""))</f>
        <v/>
      </c>
      <c r="AY1118" s="31">
        <f>IF($AU1118="","",INDEX($AW$8:$AW$2007,MATCH($AU1118,$AU$8:$AU$2007,0)))</f>
        <v/>
      </c>
      <c r="AZ1118" s="31">
        <f>IF(OR($AS1118="",$C$6=""),"",TRIM(INDEX($A:$AP,ROW(),$C$6)&amp;""))</f>
        <v/>
      </c>
      <c r="BA1118" s="31">
        <f>IF($AZ1118="","",IF(COUNTIF($AZ$8:$AZ1118,$AZ1118)&gt;1,1,0))</f>
        <v/>
      </c>
    </row>
    <row r="1119">
      <c r="AR1119" s="31">
        <f>IF(OR($A$5="",$B$6="",ROW()&lt;$A$5),"",IF(INDEX($A:$AP,ROW(),$B$6)="","",INDEX($A:$AP,ROW(),$B$6)))</f>
        <v/>
      </c>
      <c r="AS1119" s="32">
        <f>IF($AR1119="","",IF(ISNUMBER($AR1119),IF($AR1119&gt;=10000000,IFERROR(DATE(INT($AR1119/10000),MOD(INT($AR1119/100),100),MOD($AR1119,100)),""),INT($AR1119)),IFERROR(DATE(--LEFT(LEFT(SUBSTITUTE(SUBSTITUTE(SUBSTITUTE(SUBSTITUTE(TRIM($AR1119),"-",""),".",""),"/","")," ",""),8),4),--MID(LEFT(SUBSTITUTE(SUBSTITUTE(SUBSTITUTE(SUBSTITUTE(TRIM($AR1119),"-",""),".",""),"/","")," ",""),8),5,2),--MID(LEFT(SUBSTITUTE(SUBSTITUTE(SUBSTITUTE(SUBSTITUTE(TRIM($AR1119),"-",""),".",""),"/","")," ",""),8),7,2)),"")))</f>
        <v/>
      </c>
      <c r="AT1119" s="33">
        <f>IF($AS1119="","",IF($F$6="",0,IF(ISNUMBER(INDEX($A:$AP,ROW(),$F$6)),INDEX($A:$AP,ROW(),$F$6),IFERROR(--SUBSTITUTE(SUBSTITUTE(TRIM(INDEX($A:$AP,ROW(),$F$6)),",",""),"원",""),0))))</f>
        <v/>
      </c>
      <c r="AU1119" s="31">
        <f>IF($AS1119="","",IF($AX1119&lt;&gt;"",SUBSTITUTE(SUBSTITUTE($AX1119,"-","")," ",""),"N:"&amp;$AV1119))</f>
        <v/>
      </c>
      <c r="AV1119" s="31">
        <f>IF(OR($AS1119="",$E$6=""),"",TRIM(INDEX($A:$AP,ROW(),$E$6)&amp;""))</f>
        <v/>
      </c>
      <c r="AW1119" s="31">
        <f>IF($AU1119="","",IF(MATCH($AU1119,$AU$8:$AU$2007,0)=ROW()-7,MAX($AW$7:$AW1118)+1,""))</f>
        <v/>
      </c>
      <c r="AX1119" s="31">
        <f>IF(OR($AS1119="",$D$6=""),"",TRIM(INDEX($A:$AP,ROW(),$D$6)&amp;""))</f>
        <v/>
      </c>
      <c r="AY1119" s="31">
        <f>IF($AU1119="","",INDEX($AW$8:$AW$2007,MATCH($AU1119,$AU$8:$AU$2007,0)))</f>
        <v/>
      </c>
      <c r="AZ1119" s="31">
        <f>IF(OR($AS1119="",$C$6=""),"",TRIM(INDEX($A:$AP,ROW(),$C$6)&amp;""))</f>
        <v/>
      </c>
      <c r="BA1119" s="31">
        <f>IF($AZ1119="","",IF(COUNTIF($AZ$8:$AZ1119,$AZ1119)&gt;1,1,0))</f>
        <v/>
      </c>
    </row>
    <row r="1120">
      <c r="AR1120" s="31">
        <f>IF(OR($A$5="",$B$6="",ROW()&lt;$A$5),"",IF(INDEX($A:$AP,ROW(),$B$6)="","",INDEX($A:$AP,ROW(),$B$6)))</f>
        <v/>
      </c>
      <c r="AS1120" s="32">
        <f>IF($AR1120="","",IF(ISNUMBER($AR1120),IF($AR1120&gt;=10000000,IFERROR(DATE(INT($AR1120/10000),MOD(INT($AR1120/100),100),MOD($AR1120,100)),""),INT($AR1120)),IFERROR(DATE(--LEFT(LEFT(SUBSTITUTE(SUBSTITUTE(SUBSTITUTE(SUBSTITUTE(TRIM($AR1120),"-",""),".",""),"/","")," ",""),8),4),--MID(LEFT(SUBSTITUTE(SUBSTITUTE(SUBSTITUTE(SUBSTITUTE(TRIM($AR1120),"-",""),".",""),"/","")," ",""),8),5,2),--MID(LEFT(SUBSTITUTE(SUBSTITUTE(SUBSTITUTE(SUBSTITUTE(TRIM($AR1120),"-",""),".",""),"/","")," ",""),8),7,2)),"")))</f>
        <v/>
      </c>
      <c r="AT1120" s="33">
        <f>IF($AS1120="","",IF($F$6="",0,IF(ISNUMBER(INDEX($A:$AP,ROW(),$F$6)),INDEX($A:$AP,ROW(),$F$6),IFERROR(--SUBSTITUTE(SUBSTITUTE(TRIM(INDEX($A:$AP,ROW(),$F$6)),",",""),"원",""),0))))</f>
        <v/>
      </c>
      <c r="AU1120" s="31">
        <f>IF($AS1120="","",IF($AX1120&lt;&gt;"",SUBSTITUTE(SUBSTITUTE($AX1120,"-","")," ",""),"N:"&amp;$AV1120))</f>
        <v/>
      </c>
      <c r="AV1120" s="31">
        <f>IF(OR($AS1120="",$E$6=""),"",TRIM(INDEX($A:$AP,ROW(),$E$6)&amp;""))</f>
        <v/>
      </c>
      <c r="AW1120" s="31">
        <f>IF($AU1120="","",IF(MATCH($AU1120,$AU$8:$AU$2007,0)=ROW()-7,MAX($AW$7:$AW1119)+1,""))</f>
        <v/>
      </c>
      <c r="AX1120" s="31">
        <f>IF(OR($AS1120="",$D$6=""),"",TRIM(INDEX($A:$AP,ROW(),$D$6)&amp;""))</f>
        <v/>
      </c>
      <c r="AY1120" s="31">
        <f>IF($AU1120="","",INDEX($AW$8:$AW$2007,MATCH($AU1120,$AU$8:$AU$2007,0)))</f>
        <v/>
      </c>
      <c r="AZ1120" s="31">
        <f>IF(OR($AS1120="",$C$6=""),"",TRIM(INDEX($A:$AP,ROW(),$C$6)&amp;""))</f>
        <v/>
      </c>
      <c r="BA1120" s="31">
        <f>IF($AZ1120="","",IF(COUNTIF($AZ$8:$AZ1120,$AZ1120)&gt;1,1,0))</f>
        <v/>
      </c>
    </row>
    <row r="1121">
      <c r="AR1121" s="31">
        <f>IF(OR($A$5="",$B$6="",ROW()&lt;$A$5),"",IF(INDEX($A:$AP,ROW(),$B$6)="","",INDEX($A:$AP,ROW(),$B$6)))</f>
        <v/>
      </c>
      <c r="AS1121" s="32">
        <f>IF($AR1121="","",IF(ISNUMBER($AR1121),IF($AR1121&gt;=10000000,IFERROR(DATE(INT($AR1121/10000),MOD(INT($AR1121/100),100),MOD($AR1121,100)),""),INT($AR1121)),IFERROR(DATE(--LEFT(LEFT(SUBSTITUTE(SUBSTITUTE(SUBSTITUTE(SUBSTITUTE(TRIM($AR1121),"-",""),".",""),"/","")," ",""),8),4),--MID(LEFT(SUBSTITUTE(SUBSTITUTE(SUBSTITUTE(SUBSTITUTE(TRIM($AR1121),"-",""),".",""),"/","")," ",""),8),5,2),--MID(LEFT(SUBSTITUTE(SUBSTITUTE(SUBSTITUTE(SUBSTITUTE(TRIM($AR1121),"-",""),".",""),"/","")," ",""),8),7,2)),"")))</f>
        <v/>
      </c>
      <c r="AT1121" s="33">
        <f>IF($AS1121="","",IF($F$6="",0,IF(ISNUMBER(INDEX($A:$AP,ROW(),$F$6)),INDEX($A:$AP,ROW(),$F$6),IFERROR(--SUBSTITUTE(SUBSTITUTE(TRIM(INDEX($A:$AP,ROW(),$F$6)),",",""),"원",""),0))))</f>
        <v/>
      </c>
      <c r="AU1121" s="31">
        <f>IF($AS1121="","",IF($AX1121&lt;&gt;"",SUBSTITUTE(SUBSTITUTE($AX1121,"-","")," ",""),"N:"&amp;$AV1121))</f>
        <v/>
      </c>
      <c r="AV1121" s="31">
        <f>IF(OR($AS1121="",$E$6=""),"",TRIM(INDEX($A:$AP,ROW(),$E$6)&amp;""))</f>
        <v/>
      </c>
      <c r="AW1121" s="31">
        <f>IF($AU1121="","",IF(MATCH($AU1121,$AU$8:$AU$2007,0)=ROW()-7,MAX($AW$7:$AW1120)+1,""))</f>
        <v/>
      </c>
      <c r="AX1121" s="31">
        <f>IF(OR($AS1121="",$D$6=""),"",TRIM(INDEX($A:$AP,ROW(),$D$6)&amp;""))</f>
        <v/>
      </c>
      <c r="AY1121" s="31">
        <f>IF($AU1121="","",INDEX($AW$8:$AW$2007,MATCH($AU1121,$AU$8:$AU$2007,0)))</f>
        <v/>
      </c>
      <c r="AZ1121" s="31">
        <f>IF(OR($AS1121="",$C$6=""),"",TRIM(INDEX($A:$AP,ROW(),$C$6)&amp;""))</f>
        <v/>
      </c>
      <c r="BA1121" s="31">
        <f>IF($AZ1121="","",IF(COUNTIF($AZ$8:$AZ1121,$AZ1121)&gt;1,1,0))</f>
        <v/>
      </c>
    </row>
    <row r="1122">
      <c r="AR1122" s="31">
        <f>IF(OR($A$5="",$B$6="",ROW()&lt;$A$5),"",IF(INDEX($A:$AP,ROW(),$B$6)="","",INDEX($A:$AP,ROW(),$B$6)))</f>
        <v/>
      </c>
      <c r="AS1122" s="32">
        <f>IF($AR1122="","",IF(ISNUMBER($AR1122),IF($AR1122&gt;=10000000,IFERROR(DATE(INT($AR1122/10000),MOD(INT($AR1122/100),100),MOD($AR1122,100)),""),INT($AR1122)),IFERROR(DATE(--LEFT(LEFT(SUBSTITUTE(SUBSTITUTE(SUBSTITUTE(SUBSTITUTE(TRIM($AR1122),"-",""),".",""),"/","")," ",""),8),4),--MID(LEFT(SUBSTITUTE(SUBSTITUTE(SUBSTITUTE(SUBSTITUTE(TRIM($AR1122),"-",""),".",""),"/","")," ",""),8),5,2),--MID(LEFT(SUBSTITUTE(SUBSTITUTE(SUBSTITUTE(SUBSTITUTE(TRIM($AR1122),"-",""),".",""),"/","")," ",""),8),7,2)),"")))</f>
        <v/>
      </c>
      <c r="AT1122" s="33">
        <f>IF($AS1122="","",IF($F$6="",0,IF(ISNUMBER(INDEX($A:$AP,ROW(),$F$6)),INDEX($A:$AP,ROW(),$F$6),IFERROR(--SUBSTITUTE(SUBSTITUTE(TRIM(INDEX($A:$AP,ROW(),$F$6)),",",""),"원",""),0))))</f>
        <v/>
      </c>
      <c r="AU1122" s="31">
        <f>IF($AS1122="","",IF($AX1122&lt;&gt;"",SUBSTITUTE(SUBSTITUTE($AX1122,"-","")," ",""),"N:"&amp;$AV1122))</f>
        <v/>
      </c>
      <c r="AV1122" s="31">
        <f>IF(OR($AS1122="",$E$6=""),"",TRIM(INDEX($A:$AP,ROW(),$E$6)&amp;""))</f>
        <v/>
      </c>
      <c r="AW1122" s="31">
        <f>IF($AU1122="","",IF(MATCH($AU1122,$AU$8:$AU$2007,0)=ROW()-7,MAX($AW$7:$AW1121)+1,""))</f>
        <v/>
      </c>
      <c r="AX1122" s="31">
        <f>IF(OR($AS1122="",$D$6=""),"",TRIM(INDEX($A:$AP,ROW(),$D$6)&amp;""))</f>
        <v/>
      </c>
      <c r="AY1122" s="31">
        <f>IF($AU1122="","",INDEX($AW$8:$AW$2007,MATCH($AU1122,$AU$8:$AU$2007,0)))</f>
        <v/>
      </c>
      <c r="AZ1122" s="31">
        <f>IF(OR($AS1122="",$C$6=""),"",TRIM(INDEX($A:$AP,ROW(),$C$6)&amp;""))</f>
        <v/>
      </c>
      <c r="BA1122" s="31">
        <f>IF($AZ1122="","",IF(COUNTIF($AZ$8:$AZ1122,$AZ1122)&gt;1,1,0))</f>
        <v/>
      </c>
    </row>
    <row r="1123">
      <c r="AR1123" s="31">
        <f>IF(OR($A$5="",$B$6="",ROW()&lt;$A$5),"",IF(INDEX($A:$AP,ROW(),$B$6)="","",INDEX($A:$AP,ROW(),$B$6)))</f>
        <v/>
      </c>
      <c r="AS1123" s="32">
        <f>IF($AR1123="","",IF(ISNUMBER($AR1123),IF($AR1123&gt;=10000000,IFERROR(DATE(INT($AR1123/10000),MOD(INT($AR1123/100),100),MOD($AR1123,100)),""),INT($AR1123)),IFERROR(DATE(--LEFT(LEFT(SUBSTITUTE(SUBSTITUTE(SUBSTITUTE(SUBSTITUTE(TRIM($AR1123),"-",""),".",""),"/","")," ",""),8),4),--MID(LEFT(SUBSTITUTE(SUBSTITUTE(SUBSTITUTE(SUBSTITUTE(TRIM($AR1123),"-",""),".",""),"/","")," ",""),8),5,2),--MID(LEFT(SUBSTITUTE(SUBSTITUTE(SUBSTITUTE(SUBSTITUTE(TRIM($AR1123),"-",""),".",""),"/","")," ",""),8),7,2)),"")))</f>
        <v/>
      </c>
      <c r="AT1123" s="33">
        <f>IF($AS1123="","",IF($F$6="",0,IF(ISNUMBER(INDEX($A:$AP,ROW(),$F$6)),INDEX($A:$AP,ROW(),$F$6),IFERROR(--SUBSTITUTE(SUBSTITUTE(TRIM(INDEX($A:$AP,ROW(),$F$6)),",",""),"원",""),0))))</f>
        <v/>
      </c>
      <c r="AU1123" s="31">
        <f>IF($AS1123="","",IF($AX1123&lt;&gt;"",SUBSTITUTE(SUBSTITUTE($AX1123,"-","")," ",""),"N:"&amp;$AV1123))</f>
        <v/>
      </c>
      <c r="AV1123" s="31">
        <f>IF(OR($AS1123="",$E$6=""),"",TRIM(INDEX($A:$AP,ROW(),$E$6)&amp;""))</f>
        <v/>
      </c>
      <c r="AW1123" s="31">
        <f>IF($AU1123="","",IF(MATCH($AU1123,$AU$8:$AU$2007,0)=ROW()-7,MAX($AW$7:$AW1122)+1,""))</f>
        <v/>
      </c>
      <c r="AX1123" s="31">
        <f>IF(OR($AS1123="",$D$6=""),"",TRIM(INDEX($A:$AP,ROW(),$D$6)&amp;""))</f>
        <v/>
      </c>
      <c r="AY1123" s="31">
        <f>IF($AU1123="","",INDEX($AW$8:$AW$2007,MATCH($AU1123,$AU$8:$AU$2007,0)))</f>
        <v/>
      </c>
      <c r="AZ1123" s="31">
        <f>IF(OR($AS1123="",$C$6=""),"",TRIM(INDEX($A:$AP,ROW(),$C$6)&amp;""))</f>
        <v/>
      </c>
      <c r="BA1123" s="31">
        <f>IF($AZ1123="","",IF(COUNTIF($AZ$8:$AZ1123,$AZ1123)&gt;1,1,0))</f>
        <v/>
      </c>
    </row>
    <row r="1124">
      <c r="AR1124" s="31">
        <f>IF(OR($A$5="",$B$6="",ROW()&lt;$A$5),"",IF(INDEX($A:$AP,ROW(),$B$6)="","",INDEX($A:$AP,ROW(),$B$6)))</f>
        <v/>
      </c>
      <c r="AS1124" s="32">
        <f>IF($AR1124="","",IF(ISNUMBER($AR1124),IF($AR1124&gt;=10000000,IFERROR(DATE(INT($AR1124/10000),MOD(INT($AR1124/100),100),MOD($AR1124,100)),""),INT($AR1124)),IFERROR(DATE(--LEFT(LEFT(SUBSTITUTE(SUBSTITUTE(SUBSTITUTE(SUBSTITUTE(TRIM($AR1124),"-",""),".",""),"/","")," ",""),8),4),--MID(LEFT(SUBSTITUTE(SUBSTITUTE(SUBSTITUTE(SUBSTITUTE(TRIM($AR1124),"-",""),".",""),"/","")," ",""),8),5,2),--MID(LEFT(SUBSTITUTE(SUBSTITUTE(SUBSTITUTE(SUBSTITUTE(TRIM($AR1124),"-",""),".",""),"/","")," ",""),8),7,2)),"")))</f>
        <v/>
      </c>
      <c r="AT1124" s="33">
        <f>IF($AS1124="","",IF($F$6="",0,IF(ISNUMBER(INDEX($A:$AP,ROW(),$F$6)),INDEX($A:$AP,ROW(),$F$6),IFERROR(--SUBSTITUTE(SUBSTITUTE(TRIM(INDEX($A:$AP,ROW(),$F$6)),",",""),"원",""),0))))</f>
        <v/>
      </c>
      <c r="AU1124" s="31">
        <f>IF($AS1124="","",IF($AX1124&lt;&gt;"",SUBSTITUTE(SUBSTITUTE($AX1124,"-","")," ",""),"N:"&amp;$AV1124))</f>
        <v/>
      </c>
      <c r="AV1124" s="31">
        <f>IF(OR($AS1124="",$E$6=""),"",TRIM(INDEX($A:$AP,ROW(),$E$6)&amp;""))</f>
        <v/>
      </c>
      <c r="AW1124" s="31">
        <f>IF($AU1124="","",IF(MATCH($AU1124,$AU$8:$AU$2007,0)=ROW()-7,MAX($AW$7:$AW1123)+1,""))</f>
        <v/>
      </c>
      <c r="AX1124" s="31">
        <f>IF(OR($AS1124="",$D$6=""),"",TRIM(INDEX($A:$AP,ROW(),$D$6)&amp;""))</f>
        <v/>
      </c>
      <c r="AY1124" s="31">
        <f>IF($AU1124="","",INDEX($AW$8:$AW$2007,MATCH($AU1124,$AU$8:$AU$2007,0)))</f>
        <v/>
      </c>
      <c r="AZ1124" s="31">
        <f>IF(OR($AS1124="",$C$6=""),"",TRIM(INDEX($A:$AP,ROW(),$C$6)&amp;""))</f>
        <v/>
      </c>
      <c r="BA1124" s="31">
        <f>IF($AZ1124="","",IF(COUNTIF($AZ$8:$AZ1124,$AZ1124)&gt;1,1,0))</f>
        <v/>
      </c>
    </row>
    <row r="1125">
      <c r="AR1125" s="31">
        <f>IF(OR($A$5="",$B$6="",ROW()&lt;$A$5),"",IF(INDEX($A:$AP,ROW(),$B$6)="","",INDEX($A:$AP,ROW(),$B$6)))</f>
        <v/>
      </c>
      <c r="AS1125" s="32">
        <f>IF($AR1125="","",IF(ISNUMBER($AR1125),IF($AR1125&gt;=10000000,IFERROR(DATE(INT($AR1125/10000),MOD(INT($AR1125/100),100),MOD($AR1125,100)),""),INT($AR1125)),IFERROR(DATE(--LEFT(LEFT(SUBSTITUTE(SUBSTITUTE(SUBSTITUTE(SUBSTITUTE(TRIM($AR1125),"-",""),".",""),"/","")," ",""),8),4),--MID(LEFT(SUBSTITUTE(SUBSTITUTE(SUBSTITUTE(SUBSTITUTE(TRIM($AR1125),"-",""),".",""),"/","")," ",""),8),5,2),--MID(LEFT(SUBSTITUTE(SUBSTITUTE(SUBSTITUTE(SUBSTITUTE(TRIM($AR1125),"-",""),".",""),"/","")," ",""),8),7,2)),"")))</f>
        <v/>
      </c>
      <c r="AT1125" s="33">
        <f>IF($AS1125="","",IF($F$6="",0,IF(ISNUMBER(INDEX($A:$AP,ROW(),$F$6)),INDEX($A:$AP,ROW(),$F$6),IFERROR(--SUBSTITUTE(SUBSTITUTE(TRIM(INDEX($A:$AP,ROW(),$F$6)),",",""),"원",""),0))))</f>
        <v/>
      </c>
      <c r="AU1125" s="31">
        <f>IF($AS1125="","",IF($AX1125&lt;&gt;"",SUBSTITUTE(SUBSTITUTE($AX1125,"-","")," ",""),"N:"&amp;$AV1125))</f>
        <v/>
      </c>
      <c r="AV1125" s="31">
        <f>IF(OR($AS1125="",$E$6=""),"",TRIM(INDEX($A:$AP,ROW(),$E$6)&amp;""))</f>
        <v/>
      </c>
      <c r="AW1125" s="31">
        <f>IF($AU1125="","",IF(MATCH($AU1125,$AU$8:$AU$2007,0)=ROW()-7,MAX($AW$7:$AW1124)+1,""))</f>
        <v/>
      </c>
      <c r="AX1125" s="31">
        <f>IF(OR($AS1125="",$D$6=""),"",TRIM(INDEX($A:$AP,ROW(),$D$6)&amp;""))</f>
        <v/>
      </c>
      <c r="AY1125" s="31">
        <f>IF($AU1125="","",INDEX($AW$8:$AW$2007,MATCH($AU1125,$AU$8:$AU$2007,0)))</f>
        <v/>
      </c>
      <c r="AZ1125" s="31">
        <f>IF(OR($AS1125="",$C$6=""),"",TRIM(INDEX($A:$AP,ROW(),$C$6)&amp;""))</f>
        <v/>
      </c>
      <c r="BA1125" s="31">
        <f>IF($AZ1125="","",IF(COUNTIF($AZ$8:$AZ1125,$AZ1125)&gt;1,1,0))</f>
        <v/>
      </c>
    </row>
    <row r="1126">
      <c r="AR1126" s="31">
        <f>IF(OR($A$5="",$B$6="",ROW()&lt;$A$5),"",IF(INDEX($A:$AP,ROW(),$B$6)="","",INDEX($A:$AP,ROW(),$B$6)))</f>
        <v/>
      </c>
      <c r="AS1126" s="32">
        <f>IF($AR1126="","",IF(ISNUMBER($AR1126),IF($AR1126&gt;=10000000,IFERROR(DATE(INT($AR1126/10000),MOD(INT($AR1126/100),100),MOD($AR1126,100)),""),INT($AR1126)),IFERROR(DATE(--LEFT(LEFT(SUBSTITUTE(SUBSTITUTE(SUBSTITUTE(SUBSTITUTE(TRIM($AR1126),"-",""),".",""),"/","")," ",""),8),4),--MID(LEFT(SUBSTITUTE(SUBSTITUTE(SUBSTITUTE(SUBSTITUTE(TRIM($AR1126),"-",""),".",""),"/","")," ",""),8),5,2),--MID(LEFT(SUBSTITUTE(SUBSTITUTE(SUBSTITUTE(SUBSTITUTE(TRIM($AR1126),"-",""),".",""),"/","")," ",""),8),7,2)),"")))</f>
        <v/>
      </c>
      <c r="AT1126" s="33">
        <f>IF($AS1126="","",IF($F$6="",0,IF(ISNUMBER(INDEX($A:$AP,ROW(),$F$6)),INDEX($A:$AP,ROW(),$F$6),IFERROR(--SUBSTITUTE(SUBSTITUTE(TRIM(INDEX($A:$AP,ROW(),$F$6)),",",""),"원",""),0))))</f>
        <v/>
      </c>
      <c r="AU1126" s="31">
        <f>IF($AS1126="","",IF($AX1126&lt;&gt;"",SUBSTITUTE(SUBSTITUTE($AX1126,"-","")," ",""),"N:"&amp;$AV1126))</f>
        <v/>
      </c>
      <c r="AV1126" s="31">
        <f>IF(OR($AS1126="",$E$6=""),"",TRIM(INDEX($A:$AP,ROW(),$E$6)&amp;""))</f>
        <v/>
      </c>
      <c r="AW1126" s="31">
        <f>IF($AU1126="","",IF(MATCH($AU1126,$AU$8:$AU$2007,0)=ROW()-7,MAX($AW$7:$AW1125)+1,""))</f>
        <v/>
      </c>
      <c r="AX1126" s="31">
        <f>IF(OR($AS1126="",$D$6=""),"",TRIM(INDEX($A:$AP,ROW(),$D$6)&amp;""))</f>
        <v/>
      </c>
      <c r="AY1126" s="31">
        <f>IF($AU1126="","",INDEX($AW$8:$AW$2007,MATCH($AU1126,$AU$8:$AU$2007,0)))</f>
        <v/>
      </c>
      <c r="AZ1126" s="31">
        <f>IF(OR($AS1126="",$C$6=""),"",TRIM(INDEX($A:$AP,ROW(),$C$6)&amp;""))</f>
        <v/>
      </c>
      <c r="BA1126" s="31">
        <f>IF($AZ1126="","",IF(COUNTIF($AZ$8:$AZ1126,$AZ1126)&gt;1,1,0))</f>
        <v/>
      </c>
    </row>
    <row r="1127">
      <c r="AR1127" s="31">
        <f>IF(OR($A$5="",$B$6="",ROW()&lt;$A$5),"",IF(INDEX($A:$AP,ROW(),$B$6)="","",INDEX($A:$AP,ROW(),$B$6)))</f>
        <v/>
      </c>
      <c r="AS1127" s="32">
        <f>IF($AR1127="","",IF(ISNUMBER($AR1127),IF($AR1127&gt;=10000000,IFERROR(DATE(INT($AR1127/10000),MOD(INT($AR1127/100),100),MOD($AR1127,100)),""),INT($AR1127)),IFERROR(DATE(--LEFT(LEFT(SUBSTITUTE(SUBSTITUTE(SUBSTITUTE(SUBSTITUTE(TRIM($AR1127),"-",""),".",""),"/","")," ",""),8),4),--MID(LEFT(SUBSTITUTE(SUBSTITUTE(SUBSTITUTE(SUBSTITUTE(TRIM($AR1127),"-",""),".",""),"/","")," ",""),8),5,2),--MID(LEFT(SUBSTITUTE(SUBSTITUTE(SUBSTITUTE(SUBSTITUTE(TRIM($AR1127),"-",""),".",""),"/","")," ",""),8),7,2)),"")))</f>
        <v/>
      </c>
      <c r="AT1127" s="33">
        <f>IF($AS1127="","",IF($F$6="",0,IF(ISNUMBER(INDEX($A:$AP,ROW(),$F$6)),INDEX($A:$AP,ROW(),$F$6),IFERROR(--SUBSTITUTE(SUBSTITUTE(TRIM(INDEX($A:$AP,ROW(),$F$6)),",",""),"원",""),0))))</f>
        <v/>
      </c>
      <c r="AU1127" s="31">
        <f>IF($AS1127="","",IF($AX1127&lt;&gt;"",SUBSTITUTE(SUBSTITUTE($AX1127,"-","")," ",""),"N:"&amp;$AV1127))</f>
        <v/>
      </c>
      <c r="AV1127" s="31">
        <f>IF(OR($AS1127="",$E$6=""),"",TRIM(INDEX($A:$AP,ROW(),$E$6)&amp;""))</f>
        <v/>
      </c>
      <c r="AW1127" s="31">
        <f>IF($AU1127="","",IF(MATCH($AU1127,$AU$8:$AU$2007,0)=ROW()-7,MAX($AW$7:$AW1126)+1,""))</f>
        <v/>
      </c>
      <c r="AX1127" s="31">
        <f>IF(OR($AS1127="",$D$6=""),"",TRIM(INDEX($A:$AP,ROW(),$D$6)&amp;""))</f>
        <v/>
      </c>
      <c r="AY1127" s="31">
        <f>IF($AU1127="","",INDEX($AW$8:$AW$2007,MATCH($AU1127,$AU$8:$AU$2007,0)))</f>
        <v/>
      </c>
      <c r="AZ1127" s="31">
        <f>IF(OR($AS1127="",$C$6=""),"",TRIM(INDEX($A:$AP,ROW(),$C$6)&amp;""))</f>
        <v/>
      </c>
      <c r="BA1127" s="31">
        <f>IF($AZ1127="","",IF(COUNTIF($AZ$8:$AZ1127,$AZ1127)&gt;1,1,0))</f>
        <v/>
      </c>
    </row>
    <row r="1128">
      <c r="AR1128" s="31">
        <f>IF(OR($A$5="",$B$6="",ROW()&lt;$A$5),"",IF(INDEX($A:$AP,ROW(),$B$6)="","",INDEX($A:$AP,ROW(),$B$6)))</f>
        <v/>
      </c>
      <c r="AS1128" s="32">
        <f>IF($AR1128="","",IF(ISNUMBER($AR1128),IF($AR1128&gt;=10000000,IFERROR(DATE(INT($AR1128/10000),MOD(INT($AR1128/100),100),MOD($AR1128,100)),""),INT($AR1128)),IFERROR(DATE(--LEFT(LEFT(SUBSTITUTE(SUBSTITUTE(SUBSTITUTE(SUBSTITUTE(TRIM($AR1128),"-",""),".",""),"/","")," ",""),8),4),--MID(LEFT(SUBSTITUTE(SUBSTITUTE(SUBSTITUTE(SUBSTITUTE(TRIM($AR1128),"-",""),".",""),"/","")," ",""),8),5,2),--MID(LEFT(SUBSTITUTE(SUBSTITUTE(SUBSTITUTE(SUBSTITUTE(TRIM($AR1128),"-",""),".",""),"/","")," ",""),8),7,2)),"")))</f>
        <v/>
      </c>
      <c r="AT1128" s="33">
        <f>IF($AS1128="","",IF($F$6="",0,IF(ISNUMBER(INDEX($A:$AP,ROW(),$F$6)),INDEX($A:$AP,ROW(),$F$6),IFERROR(--SUBSTITUTE(SUBSTITUTE(TRIM(INDEX($A:$AP,ROW(),$F$6)),",",""),"원",""),0))))</f>
        <v/>
      </c>
      <c r="AU1128" s="31">
        <f>IF($AS1128="","",IF($AX1128&lt;&gt;"",SUBSTITUTE(SUBSTITUTE($AX1128,"-","")," ",""),"N:"&amp;$AV1128))</f>
        <v/>
      </c>
      <c r="AV1128" s="31">
        <f>IF(OR($AS1128="",$E$6=""),"",TRIM(INDEX($A:$AP,ROW(),$E$6)&amp;""))</f>
        <v/>
      </c>
      <c r="AW1128" s="31">
        <f>IF($AU1128="","",IF(MATCH($AU1128,$AU$8:$AU$2007,0)=ROW()-7,MAX($AW$7:$AW1127)+1,""))</f>
        <v/>
      </c>
      <c r="AX1128" s="31">
        <f>IF(OR($AS1128="",$D$6=""),"",TRIM(INDEX($A:$AP,ROW(),$D$6)&amp;""))</f>
        <v/>
      </c>
      <c r="AY1128" s="31">
        <f>IF($AU1128="","",INDEX($AW$8:$AW$2007,MATCH($AU1128,$AU$8:$AU$2007,0)))</f>
        <v/>
      </c>
      <c r="AZ1128" s="31">
        <f>IF(OR($AS1128="",$C$6=""),"",TRIM(INDEX($A:$AP,ROW(),$C$6)&amp;""))</f>
        <v/>
      </c>
      <c r="BA1128" s="31">
        <f>IF($AZ1128="","",IF(COUNTIF($AZ$8:$AZ1128,$AZ1128)&gt;1,1,0))</f>
        <v/>
      </c>
    </row>
    <row r="1129">
      <c r="AR1129" s="31">
        <f>IF(OR($A$5="",$B$6="",ROW()&lt;$A$5),"",IF(INDEX($A:$AP,ROW(),$B$6)="","",INDEX($A:$AP,ROW(),$B$6)))</f>
        <v/>
      </c>
      <c r="AS1129" s="32">
        <f>IF($AR1129="","",IF(ISNUMBER($AR1129),IF($AR1129&gt;=10000000,IFERROR(DATE(INT($AR1129/10000),MOD(INT($AR1129/100),100),MOD($AR1129,100)),""),INT($AR1129)),IFERROR(DATE(--LEFT(LEFT(SUBSTITUTE(SUBSTITUTE(SUBSTITUTE(SUBSTITUTE(TRIM($AR1129),"-",""),".",""),"/","")," ",""),8),4),--MID(LEFT(SUBSTITUTE(SUBSTITUTE(SUBSTITUTE(SUBSTITUTE(TRIM($AR1129),"-",""),".",""),"/","")," ",""),8),5,2),--MID(LEFT(SUBSTITUTE(SUBSTITUTE(SUBSTITUTE(SUBSTITUTE(TRIM($AR1129),"-",""),".",""),"/","")," ",""),8),7,2)),"")))</f>
        <v/>
      </c>
      <c r="AT1129" s="33">
        <f>IF($AS1129="","",IF($F$6="",0,IF(ISNUMBER(INDEX($A:$AP,ROW(),$F$6)),INDEX($A:$AP,ROW(),$F$6),IFERROR(--SUBSTITUTE(SUBSTITUTE(TRIM(INDEX($A:$AP,ROW(),$F$6)),",",""),"원",""),0))))</f>
        <v/>
      </c>
      <c r="AU1129" s="31">
        <f>IF($AS1129="","",IF($AX1129&lt;&gt;"",SUBSTITUTE(SUBSTITUTE($AX1129,"-","")," ",""),"N:"&amp;$AV1129))</f>
        <v/>
      </c>
      <c r="AV1129" s="31">
        <f>IF(OR($AS1129="",$E$6=""),"",TRIM(INDEX($A:$AP,ROW(),$E$6)&amp;""))</f>
        <v/>
      </c>
      <c r="AW1129" s="31">
        <f>IF($AU1129="","",IF(MATCH($AU1129,$AU$8:$AU$2007,0)=ROW()-7,MAX($AW$7:$AW1128)+1,""))</f>
        <v/>
      </c>
      <c r="AX1129" s="31">
        <f>IF(OR($AS1129="",$D$6=""),"",TRIM(INDEX($A:$AP,ROW(),$D$6)&amp;""))</f>
        <v/>
      </c>
      <c r="AY1129" s="31">
        <f>IF($AU1129="","",INDEX($AW$8:$AW$2007,MATCH($AU1129,$AU$8:$AU$2007,0)))</f>
        <v/>
      </c>
      <c r="AZ1129" s="31">
        <f>IF(OR($AS1129="",$C$6=""),"",TRIM(INDEX($A:$AP,ROW(),$C$6)&amp;""))</f>
        <v/>
      </c>
      <c r="BA1129" s="31">
        <f>IF($AZ1129="","",IF(COUNTIF($AZ$8:$AZ1129,$AZ1129)&gt;1,1,0))</f>
        <v/>
      </c>
    </row>
    <row r="1130">
      <c r="AR1130" s="31">
        <f>IF(OR($A$5="",$B$6="",ROW()&lt;$A$5),"",IF(INDEX($A:$AP,ROW(),$B$6)="","",INDEX($A:$AP,ROW(),$B$6)))</f>
        <v/>
      </c>
      <c r="AS1130" s="32">
        <f>IF($AR1130="","",IF(ISNUMBER($AR1130),IF($AR1130&gt;=10000000,IFERROR(DATE(INT($AR1130/10000),MOD(INT($AR1130/100),100),MOD($AR1130,100)),""),INT($AR1130)),IFERROR(DATE(--LEFT(LEFT(SUBSTITUTE(SUBSTITUTE(SUBSTITUTE(SUBSTITUTE(TRIM($AR1130),"-",""),".",""),"/","")," ",""),8),4),--MID(LEFT(SUBSTITUTE(SUBSTITUTE(SUBSTITUTE(SUBSTITUTE(TRIM($AR1130),"-",""),".",""),"/","")," ",""),8),5,2),--MID(LEFT(SUBSTITUTE(SUBSTITUTE(SUBSTITUTE(SUBSTITUTE(TRIM($AR1130),"-",""),".",""),"/","")," ",""),8),7,2)),"")))</f>
        <v/>
      </c>
      <c r="AT1130" s="33">
        <f>IF($AS1130="","",IF($F$6="",0,IF(ISNUMBER(INDEX($A:$AP,ROW(),$F$6)),INDEX($A:$AP,ROW(),$F$6),IFERROR(--SUBSTITUTE(SUBSTITUTE(TRIM(INDEX($A:$AP,ROW(),$F$6)),",",""),"원",""),0))))</f>
        <v/>
      </c>
      <c r="AU1130" s="31">
        <f>IF($AS1130="","",IF($AX1130&lt;&gt;"",SUBSTITUTE(SUBSTITUTE($AX1130,"-","")," ",""),"N:"&amp;$AV1130))</f>
        <v/>
      </c>
      <c r="AV1130" s="31">
        <f>IF(OR($AS1130="",$E$6=""),"",TRIM(INDEX($A:$AP,ROW(),$E$6)&amp;""))</f>
        <v/>
      </c>
      <c r="AW1130" s="31">
        <f>IF($AU1130="","",IF(MATCH($AU1130,$AU$8:$AU$2007,0)=ROW()-7,MAX($AW$7:$AW1129)+1,""))</f>
        <v/>
      </c>
      <c r="AX1130" s="31">
        <f>IF(OR($AS1130="",$D$6=""),"",TRIM(INDEX($A:$AP,ROW(),$D$6)&amp;""))</f>
        <v/>
      </c>
      <c r="AY1130" s="31">
        <f>IF($AU1130="","",INDEX($AW$8:$AW$2007,MATCH($AU1130,$AU$8:$AU$2007,0)))</f>
        <v/>
      </c>
      <c r="AZ1130" s="31">
        <f>IF(OR($AS1130="",$C$6=""),"",TRIM(INDEX($A:$AP,ROW(),$C$6)&amp;""))</f>
        <v/>
      </c>
      <c r="BA1130" s="31">
        <f>IF($AZ1130="","",IF(COUNTIF($AZ$8:$AZ1130,$AZ1130)&gt;1,1,0))</f>
        <v/>
      </c>
    </row>
    <row r="1131">
      <c r="AR1131" s="31">
        <f>IF(OR($A$5="",$B$6="",ROW()&lt;$A$5),"",IF(INDEX($A:$AP,ROW(),$B$6)="","",INDEX($A:$AP,ROW(),$B$6)))</f>
        <v/>
      </c>
      <c r="AS1131" s="32">
        <f>IF($AR1131="","",IF(ISNUMBER($AR1131),IF($AR1131&gt;=10000000,IFERROR(DATE(INT($AR1131/10000),MOD(INT($AR1131/100),100),MOD($AR1131,100)),""),INT($AR1131)),IFERROR(DATE(--LEFT(LEFT(SUBSTITUTE(SUBSTITUTE(SUBSTITUTE(SUBSTITUTE(TRIM($AR1131),"-",""),".",""),"/","")," ",""),8),4),--MID(LEFT(SUBSTITUTE(SUBSTITUTE(SUBSTITUTE(SUBSTITUTE(TRIM($AR1131),"-",""),".",""),"/","")," ",""),8),5,2),--MID(LEFT(SUBSTITUTE(SUBSTITUTE(SUBSTITUTE(SUBSTITUTE(TRIM($AR1131),"-",""),".",""),"/","")," ",""),8),7,2)),"")))</f>
        <v/>
      </c>
      <c r="AT1131" s="33">
        <f>IF($AS1131="","",IF($F$6="",0,IF(ISNUMBER(INDEX($A:$AP,ROW(),$F$6)),INDEX($A:$AP,ROW(),$F$6),IFERROR(--SUBSTITUTE(SUBSTITUTE(TRIM(INDEX($A:$AP,ROW(),$F$6)),",",""),"원",""),0))))</f>
        <v/>
      </c>
      <c r="AU1131" s="31">
        <f>IF($AS1131="","",IF($AX1131&lt;&gt;"",SUBSTITUTE(SUBSTITUTE($AX1131,"-","")," ",""),"N:"&amp;$AV1131))</f>
        <v/>
      </c>
      <c r="AV1131" s="31">
        <f>IF(OR($AS1131="",$E$6=""),"",TRIM(INDEX($A:$AP,ROW(),$E$6)&amp;""))</f>
        <v/>
      </c>
      <c r="AW1131" s="31">
        <f>IF($AU1131="","",IF(MATCH($AU1131,$AU$8:$AU$2007,0)=ROW()-7,MAX($AW$7:$AW1130)+1,""))</f>
        <v/>
      </c>
      <c r="AX1131" s="31">
        <f>IF(OR($AS1131="",$D$6=""),"",TRIM(INDEX($A:$AP,ROW(),$D$6)&amp;""))</f>
        <v/>
      </c>
      <c r="AY1131" s="31">
        <f>IF($AU1131="","",INDEX($AW$8:$AW$2007,MATCH($AU1131,$AU$8:$AU$2007,0)))</f>
        <v/>
      </c>
      <c r="AZ1131" s="31">
        <f>IF(OR($AS1131="",$C$6=""),"",TRIM(INDEX($A:$AP,ROW(),$C$6)&amp;""))</f>
        <v/>
      </c>
      <c r="BA1131" s="31">
        <f>IF($AZ1131="","",IF(COUNTIF($AZ$8:$AZ1131,$AZ1131)&gt;1,1,0))</f>
        <v/>
      </c>
    </row>
    <row r="1132">
      <c r="AR1132" s="31">
        <f>IF(OR($A$5="",$B$6="",ROW()&lt;$A$5),"",IF(INDEX($A:$AP,ROW(),$B$6)="","",INDEX($A:$AP,ROW(),$B$6)))</f>
        <v/>
      </c>
      <c r="AS1132" s="32">
        <f>IF($AR1132="","",IF(ISNUMBER($AR1132),IF($AR1132&gt;=10000000,IFERROR(DATE(INT($AR1132/10000),MOD(INT($AR1132/100),100),MOD($AR1132,100)),""),INT($AR1132)),IFERROR(DATE(--LEFT(LEFT(SUBSTITUTE(SUBSTITUTE(SUBSTITUTE(SUBSTITUTE(TRIM($AR1132),"-",""),".",""),"/","")," ",""),8),4),--MID(LEFT(SUBSTITUTE(SUBSTITUTE(SUBSTITUTE(SUBSTITUTE(TRIM($AR1132),"-",""),".",""),"/","")," ",""),8),5,2),--MID(LEFT(SUBSTITUTE(SUBSTITUTE(SUBSTITUTE(SUBSTITUTE(TRIM($AR1132),"-",""),".",""),"/","")," ",""),8),7,2)),"")))</f>
        <v/>
      </c>
      <c r="AT1132" s="33">
        <f>IF($AS1132="","",IF($F$6="",0,IF(ISNUMBER(INDEX($A:$AP,ROW(),$F$6)),INDEX($A:$AP,ROW(),$F$6),IFERROR(--SUBSTITUTE(SUBSTITUTE(TRIM(INDEX($A:$AP,ROW(),$F$6)),",",""),"원",""),0))))</f>
        <v/>
      </c>
      <c r="AU1132" s="31">
        <f>IF($AS1132="","",IF($AX1132&lt;&gt;"",SUBSTITUTE(SUBSTITUTE($AX1132,"-","")," ",""),"N:"&amp;$AV1132))</f>
        <v/>
      </c>
      <c r="AV1132" s="31">
        <f>IF(OR($AS1132="",$E$6=""),"",TRIM(INDEX($A:$AP,ROW(),$E$6)&amp;""))</f>
        <v/>
      </c>
      <c r="AW1132" s="31">
        <f>IF($AU1132="","",IF(MATCH($AU1132,$AU$8:$AU$2007,0)=ROW()-7,MAX($AW$7:$AW1131)+1,""))</f>
        <v/>
      </c>
      <c r="AX1132" s="31">
        <f>IF(OR($AS1132="",$D$6=""),"",TRIM(INDEX($A:$AP,ROW(),$D$6)&amp;""))</f>
        <v/>
      </c>
      <c r="AY1132" s="31">
        <f>IF($AU1132="","",INDEX($AW$8:$AW$2007,MATCH($AU1132,$AU$8:$AU$2007,0)))</f>
        <v/>
      </c>
      <c r="AZ1132" s="31">
        <f>IF(OR($AS1132="",$C$6=""),"",TRIM(INDEX($A:$AP,ROW(),$C$6)&amp;""))</f>
        <v/>
      </c>
      <c r="BA1132" s="31">
        <f>IF($AZ1132="","",IF(COUNTIF($AZ$8:$AZ1132,$AZ1132)&gt;1,1,0))</f>
        <v/>
      </c>
    </row>
    <row r="1133">
      <c r="AR1133" s="31">
        <f>IF(OR($A$5="",$B$6="",ROW()&lt;$A$5),"",IF(INDEX($A:$AP,ROW(),$B$6)="","",INDEX($A:$AP,ROW(),$B$6)))</f>
        <v/>
      </c>
      <c r="AS1133" s="32">
        <f>IF($AR1133="","",IF(ISNUMBER($AR1133),IF($AR1133&gt;=10000000,IFERROR(DATE(INT($AR1133/10000),MOD(INT($AR1133/100),100),MOD($AR1133,100)),""),INT($AR1133)),IFERROR(DATE(--LEFT(LEFT(SUBSTITUTE(SUBSTITUTE(SUBSTITUTE(SUBSTITUTE(TRIM($AR1133),"-",""),".",""),"/","")," ",""),8),4),--MID(LEFT(SUBSTITUTE(SUBSTITUTE(SUBSTITUTE(SUBSTITUTE(TRIM($AR1133),"-",""),".",""),"/","")," ",""),8),5,2),--MID(LEFT(SUBSTITUTE(SUBSTITUTE(SUBSTITUTE(SUBSTITUTE(TRIM($AR1133),"-",""),".",""),"/","")," ",""),8),7,2)),"")))</f>
        <v/>
      </c>
      <c r="AT1133" s="33">
        <f>IF($AS1133="","",IF($F$6="",0,IF(ISNUMBER(INDEX($A:$AP,ROW(),$F$6)),INDEX($A:$AP,ROW(),$F$6),IFERROR(--SUBSTITUTE(SUBSTITUTE(TRIM(INDEX($A:$AP,ROW(),$F$6)),",",""),"원",""),0))))</f>
        <v/>
      </c>
      <c r="AU1133" s="31">
        <f>IF($AS1133="","",IF($AX1133&lt;&gt;"",SUBSTITUTE(SUBSTITUTE($AX1133,"-","")," ",""),"N:"&amp;$AV1133))</f>
        <v/>
      </c>
      <c r="AV1133" s="31">
        <f>IF(OR($AS1133="",$E$6=""),"",TRIM(INDEX($A:$AP,ROW(),$E$6)&amp;""))</f>
        <v/>
      </c>
      <c r="AW1133" s="31">
        <f>IF($AU1133="","",IF(MATCH($AU1133,$AU$8:$AU$2007,0)=ROW()-7,MAX($AW$7:$AW1132)+1,""))</f>
        <v/>
      </c>
      <c r="AX1133" s="31">
        <f>IF(OR($AS1133="",$D$6=""),"",TRIM(INDEX($A:$AP,ROW(),$D$6)&amp;""))</f>
        <v/>
      </c>
      <c r="AY1133" s="31">
        <f>IF($AU1133="","",INDEX($AW$8:$AW$2007,MATCH($AU1133,$AU$8:$AU$2007,0)))</f>
        <v/>
      </c>
      <c r="AZ1133" s="31">
        <f>IF(OR($AS1133="",$C$6=""),"",TRIM(INDEX($A:$AP,ROW(),$C$6)&amp;""))</f>
        <v/>
      </c>
      <c r="BA1133" s="31">
        <f>IF($AZ1133="","",IF(COUNTIF($AZ$8:$AZ1133,$AZ1133)&gt;1,1,0))</f>
        <v/>
      </c>
    </row>
    <row r="1134">
      <c r="AR1134" s="31">
        <f>IF(OR($A$5="",$B$6="",ROW()&lt;$A$5),"",IF(INDEX($A:$AP,ROW(),$B$6)="","",INDEX($A:$AP,ROW(),$B$6)))</f>
        <v/>
      </c>
      <c r="AS1134" s="32">
        <f>IF($AR1134="","",IF(ISNUMBER($AR1134),IF($AR1134&gt;=10000000,IFERROR(DATE(INT($AR1134/10000),MOD(INT($AR1134/100),100),MOD($AR1134,100)),""),INT($AR1134)),IFERROR(DATE(--LEFT(LEFT(SUBSTITUTE(SUBSTITUTE(SUBSTITUTE(SUBSTITUTE(TRIM($AR1134),"-",""),".",""),"/","")," ",""),8),4),--MID(LEFT(SUBSTITUTE(SUBSTITUTE(SUBSTITUTE(SUBSTITUTE(TRIM($AR1134),"-",""),".",""),"/","")," ",""),8),5,2),--MID(LEFT(SUBSTITUTE(SUBSTITUTE(SUBSTITUTE(SUBSTITUTE(TRIM($AR1134),"-",""),".",""),"/","")," ",""),8),7,2)),"")))</f>
        <v/>
      </c>
      <c r="AT1134" s="33">
        <f>IF($AS1134="","",IF($F$6="",0,IF(ISNUMBER(INDEX($A:$AP,ROW(),$F$6)),INDEX($A:$AP,ROW(),$F$6),IFERROR(--SUBSTITUTE(SUBSTITUTE(TRIM(INDEX($A:$AP,ROW(),$F$6)),",",""),"원",""),0))))</f>
        <v/>
      </c>
      <c r="AU1134" s="31">
        <f>IF($AS1134="","",IF($AX1134&lt;&gt;"",SUBSTITUTE(SUBSTITUTE($AX1134,"-","")," ",""),"N:"&amp;$AV1134))</f>
        <v/>
      </c>
      <c r="AV1134" s="31">
        <f>IF(OR($AS1134="",$E$6=""),"",TRIM(INDEX($A:$AP,ROW(),$E$6)&amp;""))</f>
        <v/>
      </c>
      <c r="AW1134" s="31">
        <f>IF($AU1134="","",IF(MATCH($AU1134,$AU$8:$AU$2007,0)=ROW()-7,MAX($AW$7:$AW1133)+1,""))</f>
        <v/>
      </c>
      <c r="AX1134" s="31">
        <f>IF(OR($AS1134="",$D$6=""),"",TRIM(INDEX($A:$AP,ROW(),$D$6)&amp;""))</f>
        <v/>
      </c>
      <c r="AY1134" s="31">
        <f>IF($AU1134="","",INDEX($AW$8:$AW$2007,MATCH($AU1134,$AU$8:$AU$2007,0)))</f>
        <v/>
      </c>
      <c r="AZ1134" s="31">
        <f>IF(OR($AS1134="",$C$6=""),"",TRIM(INDEX($A:$AP,ROW(),$C$6)&amp;""))</f>
        <v/>
      </c>
      <c r="BA1134" s="31">
        <f>IF($AZ1134="","",IF(COUNTIF($AZ$8:$AZ1134,$AZ1134)&gt;1,1,0))</f>
        <v/>
      </c>
    </row>
    <row r="1135">
      <c r="AR1135" s="31">
        <f>IF(OR($A$5="",$B$6="",ROW()&lt;$A$5),"",IF(INDEX($A:$AP,ROW(),$B$6)="","",INDEX($A:$AP,ROW(),$B$6)))</f>
        <v/>
      </c>
      <c r="AS1135" s="32">
        <f>IF($AR1135="","",IF(ISNUMBER($AR1135),IF($AR1135&gt;=10000000,IFERROR(DATE(INT($AR1135/10000),MOD(INT($AR1135/100),100),MOD($AR1135,100)),""),INT($AR1135)),IFERROR(DATE(--LEFT(LEFT(SUBSTITUTE(SUBSTITUTE(SUBSTITUTE(SUBSTITUTE(TRIM($AR1135),"-",""),".",""),"/","")," ",""),8),4),--MID(LEFT(SUBSTITUTE(SUBSTITUTE(SUBSTITUTE(SUBSTITUTE(TRIM($AR1135),"-",""),".",""),"/","")," ",""),8),5,2),--MID(LEFT(SUBSTITUTE(SUBSTITUTE(SUBSTITUTE(SUBSTITUTE(TRIM($AR1135),"-",""),".",""),"/","")," ",""),8),7,2)),"")))</f>
        <v/>
      </c>
      <c r="AT1135" s="33">
        <f>IF($AS1135="","",IF($F$6="",0,IF(ISNUMBER(INDEX($A:$AP,ROW(),$F$6)),INDEX($A:$AP,ROW(),$F$6),IFERROR(--SUBSTITUTE(SUBSTITUTE(TRIM(INDEX($A:$AP,ROW(),$F$6)),",",""),"원",""),0))))</f>
        <v/>
      </c>
      <c r="AU1135" s="31">
        <f>IF($AS1135="","",IF($AX1135&lt;&gt;"",SUBSTITUTE(SUBSTITUTE($AX1135,"-","")," ",""),"N:"&amp;$AV1135))</f>
        <v/>
      </c>
      <c r="AV1135" s="31">
        <f>IF(OR($AS1135="",$E$6=""),"",TRIM(INDEX($A:$AP,ROW(),$E$6)&amp;""))</f>
        <v/>
      </c>
      <c r="AW1135" s="31">
        <f>IF($AU1135="","",IF(MATCH($AU1135,$AU$8:$AU$2007,0)=ROW()-7,MAX($AW$7:$AW1134)+1,""))</f>
        <v/>
      </c>
      <c r="AX1135" s="31">
        <f>IF(OR($AS1135="",$D$6=""),"",TRIM(INDEX($A:$AP,ROW(),$D$6)&amp;""))</f>
        <v/>
      </c>
      <c r="AY1135" s="31">
        <f>IF($AU1135="","",INDEX($AW$8:$AW$2007,MATCH($AU1135,$AU$8:$AU$2007,0)))</f>
        <v/>
      </c>
      <c r="AZ1135" s="31">
        <f>IF(OR($AS1135="",$C$6=""),"",TRIM(INDEX($A:$AP,ROW(),$C$6)&amp;""))</f>
        <v/>
      </c>
      <c r="BA1135" s="31">
        <f>IF($AZ1135="","",IF(COUNTIF($AZ$8:$AZ1135,$AZ1135)&gt;1,1,0))</f>
        <v/>
      </c>
    </row>
    <row r="1136">
      <c r="AR1136" s="31">
        <f>IF(OR($A$5="",$B$6="",ROW()&lt;$A$5),"",IF(INDEX($A:$AP,ROW(),$B$6)="","",INDEX($A:$AP,ROW(),$B$6)))</f>
        <v/>
      </c>
      <c r="AS1136" s="32">
        <f>IF($AR1136="","",IF(ISNUMBER($AR1136),IF($AR1136&gt;=10000000,IFERROR(DATE(INT($AR1136/10000),MOD(INT($AR1136/100),100),MOD($AR1136,100)),""),INT($AR1136)),IFERROR(DATE(--LEFT(LEFT(SUBSTITUTE(SUBSTITUTE(SUBSTITUTE(SUBSTITUTE(TRIM($AR1136),"-",""),".",""),"/","")," ",""),8),4),--MID(LEFT(SUBSTITUTE(SUBSTITUTE(SUBSTITUTE(SUBSTITUTE(TRIM($AR1136),"-",""),".",""),"/","")," ",""),8),5,2),--MID(LEFT(SUBSTITUTE(SUBSTITUTE(SUBSTITUTE(SUBSTITUTE(TRIM($AR1136),"-",""),".",""),"/","")," ",""),8),7,2)),"")))</f>
        <v/>
      </c>
      <c r="AT1136" s="33">
        <f>IF($AS1136="","",IF($F$6="",0,IF(ISNUMBER(INDEX($A:$AP,ROW(),$F$6)),INDEX($A:$AP,ROW(),$F$6),IFERROR(--SUBSTITUTE(SUBSTITUTE(TRIM(INDEX($A:$AP,ROW(),$F$6)),",",""),"원",""),0))))</f>
        <v/>
      </c>
      <c r="AU1136" s="31">
        <f>IF($AS1136="","",IF($AX1136&lt;&gt;"",SUBSTITUTE(SUBSTITUTE($AX1136,"-","")," ",""),"N:"&amp;$AV1136))</f>
        <v/>
      </c>
      <c r="AV1136" s="31">
        <f>IF(OR($AS1136="",$E$6=""),"",TRIM(INDEX($A:$AP,ROW(),$E$6)&amp;""))</f>
        <v/>
      </c>
      <c r="AW1136" s="31">
        <f>IF($AU1136="","",IF(MATCH($AU1136,$AU$8:$AU$2007,0)=ROW()-7,MAX($AW$7:$AW1135)+1,""))</f>
        <v/>
      </c>
      <c r="AX1136" s="31">
        <f>IF(OR($AS1136="",$D$6=""),"",TRIM(INDEX($A:$AP,ROW(),$D$6)&amp;""))</f>
        <v/>
      </c>
      <c r="AY1136" s="31">
        <f>IF($AU1136="","",INDEX($AW$8:$AW$2007,MATCH($AU1136,$AU$8:$AU$2007,0)))</f>
        <v/>
      </c>
      <c r="AZ1136" s="31">
        <f>IF(OR($AS1136="",$C$6=""),"",TRIM(INDEX($A:$AP,ROW(),$C$6)&amp;""))</f>
        <v/>
      </c>
      <c r="BA1136" s="31">
        <f>IF($AZ1136="","",IF(COUNTIF($AZ$8:$AZ1136,$AZ1136)&gt;1,1,0))</f>
        <v/>
      </c>
    </row>
    <row r="1137">
      <c r="AR1137" s="31">
        <f>IF(OR($A$5="",$B$6="",ROW()&lt;$A$5),"",IF(INDEX($A:$AP,ROW(),$B$6)="","",INDEX($A:$AP,ROW(),$B$6)))</f>
        <v/>
      </c>
      <c r="AS1137" s="32">
        <f>IF($AR1137="","",IF(ISNUMBER($AR1137),IF($AR1137&gt;=10000000,IFERROR(DATE(INT($AR1137/10000),MOD(INT($AR1137/100),100),MOD($AR1137,100)),""),INT($AR1137)),IFERROR(DATE(--LEFT(LEFT(SUBSTITUTE(SUBSTITUTE(SUBSTITUTE(SUBSTITUTE(TRIM($AR1137),"-",""),".",""),"/","")," ",""),8),4),--MID(LEFT(SUBSTITUTE(SUBSTITUTE(SUBSTITUTE(SUBSTITUTE(TRIM($AR1137),"-",""),".",""),"/","")," ",""),8),5,2),--MID(LEFT(SUBSTITUTE(SUBSTITUTE(SUBSTITUTE(SUBSTITUTE(TRIM($AR1137),"-",""),".",""),"/","")," ",""),8),7,2)),"")))</f>
        <v/>
      </c>
      <c r="AT1137" s="33">
        <f>IF($AS1137="","",IF($F$6="",0,IF(ISNUMBER(INDEX($A:$AP,ROW(),$F$6)),INDEX($A:$AP,ROW(),$F$6),IFERROR(--SUBSTITUTE(SUBSTITUTE(TRIM(INDEX($A:$AP,ROW(),$F$6)),",",""),"원",""),0))))</f>
        <v/>
      </c>
      <c r="AU1137" s="31">
        <f>IF($AS1137="","",IF($AX1137&lt;&gt;"",SUBSTITUTE(SUBSTITUTE($AX1137,"-","")," ",""),"N:"&amp;$AV1137))</f>
        <v/>
      </c>
      <c r="AV1137" s="31">
        <f>IF(OR($AS1137="",$E$6=""),"",TRIM(INDEX($A:$AP,ROW(),$E$6)&amp;""))</f>
        <v/>
      </c>
      <c r="AW1137" s="31">
        <f>IF($AU1137="","",IF(MATCH($AU1137,$AU$8:$AU$2007,0)=ROW()-7,MAX($AW$7:$AW1136)+1,""))</f>
        <v/>
      </c>
      <c r="AX1137" s="31">
        <f>IF(OR($AS1137="",$D$6=""),"",TRIM(INDEX($A:$AP,ROW(),$D$6)&amp;""))</f>
        <v/>
      </c>
      <c r="AY1137" s="31">
        <f>IF($AU1137="","",INDEX($AW$8:$AW$2007,MATCH($AU1137,$AU$8:$AU$2007,0)))</f>
        <v/>
      </c>
      <c r="AZ1137" s="31">
        <f>IF(OR($AS1137="",$C$6=""),"",TRIM(INDEX($A:$AP,ROW(),$C$6)&amp;""))</f>
        <v/>
      </c>
      <c r="BA1137" s="31">
        <f>IF($AZ1137="","",IF(COUNTIF($AZ$8:$AZ1137,$AZ1137)&gt;1,1,0))</f>
        <v/>
      </c>
    </row>
    <row r="1138">
      <c r="AR1138" s="31">
        <f>IF(OR($A$5="",$B$6="",ROW()&lt;$A$5),"",IF(INDEX($A:$AP,ROW(),$B$6)="","",INDEX($A:$AP,ROW(),$B$6)))</f>
        <v/>
      </c>
      <c r="AS1138" s="32">
        <f>IF($AR1138="","",IF(ISNUMBER($AR1138),IF($AR1138&gt;=10000000,IFERROR(DATE(INT($AR1138/10000),MOD(INT($AR1138/100),100),MOD($AR1138,100)),""),INT($AR1138)),IFERROR(DATE(--LEFT(LEFT(SUBSTITUTE(SUBSTITUTE(SUBSTITUTE(SUBSTITUTE(TRIM($AR1138),"-",""),".",""),"/","")," ",""),8),4),--MID(LEFT(SUBSTITUTE(SUBSTITUTE(SUBSTITUTE(SUBSTITUTE(TRIM($AR1138),"-",""),".",""),"/","")," ",""),8),5,2),--MID(LEFT(SUBSTITUTE(SUBSTITUTE(SUBSTITUTE(SUBSTITUTE(TRIM($AR1138),"-",""),".",""),"/","")," ",""),8),7,2)),"")))</f>
        <v/>
      </c>
      <c r="AT1138" s="33">
        <f>IF($AS1138="","",IF($F$6="",0,IF(ISNUMBER(INDEX($A:$AP,ROW(),$F$6)),INDEX($A:$AP,ROW(),$F$6),IFERROR(--SUBSTITUTE(SUBSTITUTE(TRIM(INDEX($A:$AP,ROW(),$F$6)),",",""),"원",""),0))))</f>
        <v/>
      </c>
      <c r="AU1138" s="31">
        <f>IF($AS1138="","",IF($AX1138&lt;&gt;"",SUBSTITUTE(SUBSTITUTE($AX1138,"-","")," ",""),"N:"&amp;$AV1138))</f>
        <v/>
      </c>
      <c r="AV1138" s="31">
        <f>IF(OR($AS1138="",$E$6=""),"",TRIM(INDEX($A:$AP,ROW(),$E$6)&amp;""))</f>
        <v/>
      </c>
      <c r="AW1138" s="31">
        <f>IF($AU1138="","",IF(MATCH($AU1138,$AU$8:$AU$2007,0)=ROW()-7,MAX($AW$7:$AW1137)+1,""))</f>
        <v/>
      </c>
      <c r="AX1138" s="31">
        <f>IF(OR($AS1138="",$D$6=""),"",TRIM(INDEX($A:$AP,ROW(),$D$6)&amp;""))</f>
        <v/>
      </c>
      <c r="AY1138" s="31">
        <f>IF($AU1138="","",INDEX($AW$8:$AW$2007,MATCH($AU1138,$AU$8:$AU$2007,0)))</f>
        <v/>
      </c>
      <c r="AZ1138" s="31">
        <f>IF(OR($AS1138="",$C$6=""),"",TRIM(INDEX($A:$AP,ROW(),$C$6)&amp;""))</f>
        <v/>
      </c>
      <c r="BA1138" s="31">
        <f>IF($AZ1138="","",IF(COUNTIF($AZ$8:$AZ1138,$AZ1138)&gt;1,1,0))</f>
        <v/>
      </c>
    </row>
    <row r="1139">
      <c r="AR1139" s="31">
        <f>IF(OR($A$5="",$B$6="",ROW()&lt;$A$5),"",IF(INDEX($A:$AP,ROW(),$B$6)="","",INDEX($A:$AP,ROW(),$B$6)))</f>
        <v/>
      </c>
      <c r="AS1139" s="32">
        <f>IF($AR1139="","",IF(ISNUMBER($AR1139),IF($AR1139&gt;=10000000,IFERROR(DATE(INT($AR1139/10000),MOD(INT($AR1139/100),100),MOD($AR1139,100)),""),INT($AR1139)),IFERROR(DATE(--LEFT(LEFT(SUBSTITUTE(SUBSTITUTE(SUBSTITUTE(SUBSTITUTE(TRIM($AR1139),"-",""),".",""),"/","")," ",""),8),4),--MID(LEFT(SUBSTITUTE(SUBSTITUTE(SUBSTITUTE(SUBSTITUTE(TRIM($AR1139),"-",""),".",""),"/","")," ",""),8),5,2),--MID(LEFT(SUBSTITUTE(SUBSTITUTE(SUBSTITUTE(SUBSTITUTE(TRIM($AR1139),"-",""),".",""),"/","")," ",""),8),7,2)),"")))</f>
        <v/>
      </c>
      <c r="AT1139" s="33">
        <f>IF($AS1139="","",IF($F$6="",0,IF(ISNUMBER(INDEX($A:$AP,ROW(),$F$6)),INDEX($A:$AP,ROW(),$F$6),IFERROR(--SUBSTITUTE(SUBSTITUTE(TRIM(INDEX($A:$AP,ROW(),$F$6)),",",""),"원",""),0))))</f>
        <v/>
      </c>
      <c r="AU1139" s="31">
        <f>IF($AS1139="","",IF($AX1139&lt;&gt;"",SUBSTITUTE(SUBSTITUTE($AX1139,"-","")," ",""),"N:"&amp;$AV1139))</f>
        <v/>
      </c>
      <c r="AV1139" s="31">
        <f>IF(OR($AS1139="",$E$6=""),"",TRIM(INDEX($A:$AP,ROW(),$E$6)&amp;""))</f>
        <v/>
      </c>
      <c r="AW1139" s="31">
        <f>IF($AU1139="","",IF(MATCH($AU1139,$AU$8:$AU$2007,0)=ROW()-7,MAX($AW$7:$AW1138)+1,""))</f>
        <v/>
      </c>
      <c r="AX1139" s="31">
        <f>IF(OR($AS1139="",$D$6=""),"",TRIM(INDEX($A:$AP,ROW(),$D$6)&amp;""))</f>
        <v/>
      </c>
      <c r="AY1139" s="31">
        <f>IF($AU1139="","",INDEX($AW$8:$AW$2007,MATCH($AU1139,$AU$8:$AU$2007,0)))</f>
        <v/>
      </c>
      <c r="AZ1139" s="31">
        <f>IF(OR($AS1139="",$C$6=""),"",TRIM(INDEX($A:$AP,ROW(),$C$6)&amp;""))</f>
        <v/>
      </c>
      <c r="BA1139" s="31">
        <f>IF($AZ1139="","",IF(COUNTIF($AZ$8:$AZ1139,$AZ1139)&gt;1,1,0))</f>
        <v/>
      </c>
    </row>
    <row r="1140">
      <c r="AR1140" s="31">
        <f>IF(OR($A$5="",$B$6="",ROW()&lt;$A$5),"",IF(INDEX($A:$AP,ROW(),$B$6)="","",INDEX($A:$AP,ROW(),$B$6)))</f>
        <v/>
      </c>
      <c r="AS1140" s="32">
        <f>IF($AR1140="","",IF(ISNUMBER($AR1140),IF($AR1140&gt;=10000000,IFERROR(DATE(INT($AR1140/10000),MOD(INT($AR1140/100),100),MOD($AR1140,100)),""),INT($AR1140)),IFERROR(DATE(--LEFT(LEFT(SUBSTITUTE(SUBSTITUTE(SUBSTITUTE(SUBSTITUTE(TRIM($AR1140),"-",""),".",""),"/","")," ",""),8),4),--MID(LEFT(SUBSTITUTE(SUBSTITUTE(SUBSTITUTE(SUBSTITUTE(TRIM($AR1140),"-",""),".",""),"/","")," ",""),8),5,2),--MID(LEFT(SUBSTITUTE(SUBSTITUTE(SUBSTITUTE(SUBSTITUTE(TRIM($AR1140),"-",""),".",""),"/","")," ",""),8),7,2)),"")))</f>
        <v/>
      </c>
      <c r="AT1140" s="33">
        <f>IF($AS1140="","",IF($F$6="",0,IF(ISNUMBER(INDEX($A:$AP,ROW(),$F$6)),INDEX($A:$AP,ROW(),$F$6),IFERROR(--SUBSTITUTE(SUBSTITUTE(TRIM(INDEX($A:$AP,ROW(),$F$6)),",",""),"원",""),0))))</f>
        <v/>
      </c>
      <c r="AU1140" s="31">
        <f>IF($AS1140="","",IF($AX1140&lt;&gt;"",SUBSTITUTE(SUBSTITUTE($AX1140,"-","")," ",""),"N:"&amp;$AV1140))</f>
        <v/>
      </c>
      <c r="AV1140" s="31">
        <f>IF(OR($AS1140="",$E$6=""),"",TRIM(INDEX($A:$AP,ROW(),$E$6)&amp;""))</f>
        <v/>
      </c>
      <c r="AW1140" s="31">
        <f>IF($AU1140="","",IF(MATCH($AU1140,$AU$8:$AU$2007,0)=ROW()-7,MAX($AW$7:$AW1139)+1,""))</f>
        <v/>
      </c>
      <c r="AX1140" s="31">
        <f>IF(OR($AS1140="",$D$6=""),"",TRIM(INDEX($A:$AP,ROW(),$D$6)&amp;""))</f>
        <v/>
      </c>
      <c r="AY1140" s="31">
        <f>IF($AU1140="","",INDEX($AW$8:$AW$2007,MATCH($AU1140,$AU$8:$AU$2007,0)))</f>
        <v/>
      </c>
      <c r="AZ1140" s="31">
        <f>IF(OR($AS1140="",$C$6=""),"",TRIM(INDEX($A:$AP,ROW(),$C$6)&amp;""))</f>
        <v/>
      </c>
      <c r="BA1140" s="31">
        <f>IF($AZ1140="","",IF(COUNTIF($AZ$8:$AZ1140,$AZ1140)&gt;1,1,0))</f>
        <v/>
      </c>
    </row>
    <row r="1141">
      <c r="AR1141" s="31">
        <f>IF(OR($A$5="",$B$6="",ROW()&lt;$A$5),"",IF(INDEX($A:$AP,ROW(),$B$6)="","",INDEX($A:$AP,ROW(),$B$6)))</f>
        <v/>
      </c>
      <c r="AS1141" s="32">
        <f>IF($AR1141="","",IF(ISNUMBER($AR1141),IF($AR1141&gt;=10000000,IFERROR(DATE(INT($AR1141/10000),MOD(INT($AR1141/100),100),MOD($AR1141,100)),""),INT($AR1141)),IFERROR(DATE(--LEFT(LEFT(SUBSTITUTE(SUBSTITUTE(SUBSTITUTE(SUBSTITUTE(TRIM($AR1141),"-",""),".",""),"/","")," ",""),8),4),--MID(LEFT(SUBSTITUTE(SUBSTITUTE(SUBSTITUTE(SUBSTITUTE(TRIM($AR1141),"-",""),".",""),"/","")," ",""),8),5,2),--MID(LEFT(SUBSTITUTE(SUBSTITUTE(SUBSTITUTE(SUBSTITUTE(TRIM($AR1141),"-",""),".",""),"/","")," ",""),8),7,2)),"")))</f>
        <v/>
      </c>
      <c r="AT1141" s="33">
        <f>IF($AS1141="","",IF($F$6="",0,IF(ISNUMBER(INDEX($A:$AP,ROW(),$F$6)),INDEX($A:$AP,ROW(),$F$6),IFERROR(--SUBSTITUTE(SUBSTITUTE(TRIM(INDEX($A:$AP,ROW(),$F$6)),",",""),"원",""),0))))</f>
        <v/>
      </c>
      <c r="AU1141" s="31">
        <f>IF($AS1141="","",IF($AX1141&lt;&gt;"",SUBSTITUTE(SUBSTITUTE($AX1141,"-","")," ",""),"N:"&amp;$AV1141))</f>
        <v/>
      </c>
      <c r="AV1141" s="31">
        <f>IF(OR($AS1141="",$E$6=""),"",TRIM(INDEX($A:$AP,ROW(),$E$6)&amp;""))</f>
        <v/>
      </c>
      <c r="AW1141" s="31">
        <f>IF($AU1141="","",IF(MATCH($AU1141,$AU$8:$AU$2007,0)=ROW()-7,MAX($AW$7:$AW1140)+1,""))</f>
        <v/>
      </c>
      <c r="AX1141" s="31">
        <f>IF(OR($AS1141="",$D$6=""),"",TRIM(INDEX($A:$AP,ROW(),$D$6)&amp;""))</f>
        <v/>
      </c>
      <c r="AY1141" s="31">
        <f>IF($AU1141="","",INDEX($AW$8:$AW$2007,MATCH($AU1141,$AU$8:$AU$2007,0)))</f>
        <v/>
      </c>
      <c r="AZ1141" s="31">
        <f>IF(OR($AS1141="",$C$6=""),"",TRIM(INDEX($A:$AP,ROW(),$C$6)&amp;""))</f>
        <v/>
      </c>
      <c r="BA1141" s="31">
        <f>IF($AZ1141="","",IF(COUNTIF($AZ$8:$AZ1141,$AZ1141)&gt;1,1,0))</f>
        <v/>
      </c>
    </row>
    <row r="1142">
      <c r="AR1142" s="31">
        <f>IF(OR($A$5="",$B$6="",ROW()&lt;$A$5),"",IF(INDEX($A:$AP,ROW(),$B$6)="","",INDEX($A:$AP,ROW(),$B$6)))</f>
        <v/>
      </c>
      <c r="AS1142" s="32">
        <f>IF($AR1142="","",IF(ISNUMBER($AR1142),IF($AR1142&gt;=10000000,IFERROR(DATE(INT($AR1142/10000),MOD(INT($AR1142/100),100),MOD($AR1142,100)),""),INT($AR1142)),IFERROR(DATE(--LEFT(LEFT(SUBSTITUTE(SUBSTITUTE(SUBSTITUTE(SUBSTITUTE(TRIM($AR1142),"-",""),".",""),"/","")," ",""),8),4),--MID(LEFT(SUBSTITUTE(SUBSTITUTE(SUBSTITUTE(SUBSTITUTE(TRIM($AR1142),"-",""),".",""),"/","")," ",""),8),5,2),--MID(LEFT(SUBSTITUTE(SUBSTITUTE(SUBSTITUTE(SUBSTITUTE(TRIM($AR1142),"-",""),".",""),"/","")," ",""),8),7,2)),"")))</f>
        <v/>
      </c>
      <c r="AT1142" s="33">
        <f>IF($AS1142="","",IF($F$6="",0,IF(ISNUMBER(INDEX($A:$AP,ROW(),$F$6)),INDEX($A:$AP,ROW(),$F$6),IFERROR(--SUBSTITUTE(SUBSTITUTE(TRIM(INDEX($A:$AP,ROW(),$F$6)),",",""),"원",""),0))))</f>
        <v/>
      </c>
      <c r="AU1142" s="31">
        <f>IF($AS1142="","",IF($AX1142&lt;&gt;"",SUBSTITUTE(SUBSTITUTE($AX1142,"-","")," ",""),"N:"&amp;$AV1142))</f>
        <v/>
      </c>
      <c r="AV1142" s="31">
        <f>IF(OR($AS1142="",$E$6=""),"",TRIM(INDEX($A:$AP,ROW(),$E$6)&amp;""))</f>
        <v/>
      </c>
      <c r="AW1142" s="31">
        <f>IF($AU1142="","",IF(MATCH($AU1142,$AU$8:$AU$2007,0)=ROW()-7,MAX($AW$7:$AW1141)+1,""))</f>
        <v/>
      </c>
      <c r="AX1142" s="31">
        <f>IF(OR($AS1142="",$D$6=""),"",TRIM(INDEX($A:$AP,ROW(),$D$6)&amp;""))</f>
        <v/>
      </c>
      <c r="AY1142" s="31">
        <f>IF($AU1142="","",INDEX($AW$8:$AW$2007,MATCH($AU1142,$AU$8:$AU$2007,0)))</f>
        <v/>
      </c>
      <c r="AZ1142" s="31">
        <f>IF(OR($AS1142="",$C$6=""),"",TRIM(INDEX($A:$AP,ROW(),$C$6)&amp;""))</f>
        <v/>
      </c>
      <c r="BA1142" s="31">
        <f>IF($AZ1142="","",IF(COUNTIF($AZ$8:$AZ1142,$AZ1142)&gt;1,1,0))</f>
        <v/>
      </c>
    </row>
    <row r="1143">
      <c r="AR1143" s="31">
        <f>IF(OR($A$5="",$B$6="",ROW()&lt;$A$5),"",IF(INDEX($A:$AP,ROW(),$B$6)="","",INDEX($A:$AP,ROW(),$B$6)))</f>
        <v/>
      </c>
      <c r="AS1143" s="32">
        <f>IF($AR1143="","",IF(ISNUMBER($AR1143),IF($AR1143&gt;=10000000,IFERROR(DATE(INT($AR1143/10000),MOD(INT($AR1143/100),100),MOD($AR1143,100)),""),INT($AR1143)),IFERROR(DATE(--LEFT(LEFT(SUBSTITUTE(SUBSTITUTE(SUBSTITUTE(SUBSTITUTE(TRIM($AR1143),"-",""),".",""),"/","")," ",""),8),4),--MID(LEFT(SUBSTITUTE(SUBSTITUTE(SUBSTITUTE(SUBSTITUTE(TRIM($AR1143),"-",""),".",""),"/","")," ",""),8),5,2),--MID(LEFT(SUBSTITUTE(SUBSTITUTE(SUBSTITUTE(SUBSTITUTE(TRIM($AR1143),"-",""),".",""),"/","")," ",""),8),7,2)),"")))</f>
        <v/>
      </c>
      <c r="AT1143" s="33">
        <f>IF($AS1143="","",IF($F$6="",0,IF(ISNUMBER(INDEX($A:$AP,ROW(),$F$6)),INDEX($A:$AP,ROW(),$F$6),IFERROR(--SUBSTITUTE(SUBSTITUTE(TRIM(INDEX($A:$AP,ROW(),$F$6)),",",""),"원",""),0))))</f>
        <v/>
      </c>
      <c r="AU1143" s="31">
        <f>IF($AS1143="","",IF($AX1143&lt;&gt;"",SUBSTITUTE(SUBSTITUTE($AX1143,"-","")," ",""),"N:"&amp;$AV1143))</f>
        <v/>
      </c>
      <c r="AV1143" s="31">
        <f>IF(OR($AS1143="",$E$6=""),"",TRIM(INDEX($A:$AP,ROW(),$E$6)&amp;""))</f>
        <v/>
      </c>
      <c r="AW1143" s="31">
        <f>IF($AU1143="","",IF(MATCH($AU1143,$AU$8:$AU$2007,0)=ROW()-7,MAX($AW$7:$AW1142)+1,""))</f>
        <v/>
      </c>
      <c r="AX1143" s="31">
        <f>IF(OR($AS1143="",$D$6=""),"",TRIM(INDEX($A:$AP,ROW(),$D$6)&amp;""))</f>
        <v/>
      </c>
      <c r="AY1143" s="31">
        <f>IF($AU1143="","",INDEX($AW$8:$AW$2007,MATCH($AU1143,$AU$8:$AU$2007,0)))</f>
        <v/>
      </c>
      <c r="AZ1143" s="31">
        <f>IF(OR($AS1143="",$C$6=""),"",TRIM(INDEX($A:$AP,ROW(),$C$6)&amp;""))</f>
        <v/>
      </c>
      <c r="BA1143" s="31">
        <f>IF($AZ1143="","",IF(COUNTIF($AZ$8:$AZ1143,$AZ1143)&gt;1,1,0))</f>
        <v/>
      </c>
    </row>
    <row r="1144">
      <c r="AR1144" s="31">
        <f>IF(OR($A$5="",$B$6="",ROW()&lt;$A$5),"",IF(INDEX($A:$AP,ROW(),$B$6)="","",INDEX($A:$AP,ROW(),$B$6)))</f>
        <v/>
      </c>
      <c r="AS1144" s="32">
        <f>IF($AR1144="","",IF(ISNUMBER($AR1144),IF($AR1144&gt;=10000000,IFERROR(DATE(INT($AR1144/10000),MOD(INT($AR1144/100),100),MOD($AR1144,100)),""),INT($AR1144)),IFERROR(DATE(--LEFT(LEFT(SUBSTITUTE(SUBSTITUTE(SUBSTITUTE(SUBSTITUTE(TRIM($AR1144),"-",""),".",""),"/","")," ",""),8),4),--MID(LEFT(SUBSTITUTE(SUBSTITUTE(SUBSTITUTE(SUBSTITUTE(TRIM($AR1144),"-",""),".",""),"/","")," ",""),8),5,2),--MID(LEFT(SUBSTITUTE(SUBSTITUTE(SUBSTITUTE(SUBSTITUTE(TRIM($AR1144),"-",""),".",""),"/","")," ",""),8),7,2)),"")))</f>
        <v/>
      </c>
      <c r="AT1144" s="33">
        <f>IF($AS1144="","",IF($F$6="",0,IF(ISNUMBER(INDEX($A:$AP,ROW(),$F$6)),INDEX($A:$AP,ROW(),$F$6),IFERROR(--SUBSTITUTE(SUBSTITUTE(TRIM(INDEX($A:$AP,ROW(),$F$6)),",",""),"원",""),0))))</f>
        <v/>
      </c>
      <c r="AU1144" s="31">
        <f>IF($AS1144="","",IF($AX1144&lt;&gt;"",SUBSTITUTE(SUBSTITUTE($AX1144,"-","")," ",""),"N:"&amp;$AV1144))</f>
        <v/>
      </c>
      <c r="AV1144" s="31">
        <f>IF(OR($AS1144="",$E$6=""),"",TRIM(INDEX($A:$AP,ROW(),$E$6)&amp;""))</f>
        <v/>
      </c>
      <c r="AW1144" s="31">
        <f>IF($AU1144="","",IF(MATCH($AU1144,$AU$8:$AU$2007,0)=ROW()-7,MAX($AW$7:$AW1143)+1,""))</f>
        <v/>
      </c>
      <c r="AX1144" s="31">
        <f>IF(OR($AS1144="",$D$6=""),"",TRIM(INDEX($A:$AP,ROW(),$D$6)&amp;""))</f>
        <v/>
      </c>
      <c r="AY1144" s="31">
        <f>IF($AU1144="","",INDEX($AW$8:$AW$2007,MATCH($AU1144,$AU$8:$AU$2007,0)))</f>
        <v/>
      </c>
      <c r="AZ1144" s="31">
        <f>IF(OR($AS1144="",$C$6=""),"",TRIM(INDEX($A:$AP,ROW(),$C$6)&amp;""))</f>
        <v/>
      </c>
      <c r="BA1144" s="31">
        <f>IF($AZ1144="","",IF(COUNTIF($AZ$8:$AZ1144,$AZ1144)&gt;1,1,0))</f>
        <v/>
      </c>
    </row>
    <row r="1145">
      <c r="AR1145" s="31">
        <f>IF(OR($A$5="",$B$6="",ROW()&lt;$A$5),"",IF(INDEX($A:$AP,ROW(),$B$6)="","",INDEX($A:$AP,ROW(),$B$6)))</f>
        <v/>
      </c>
      <c r="AS1145" s="32">
        <f>IF($AR1145="","",IF(ISNUMBER($AR1145),IF($AR1145&gt;=10000000,IFERROR(DATE(INT($AR1145/10000),MOD(INT($AR1145/100),100),MOD($AR1145,100)),""),INT($AR1145)),IFERROR(DATE(--LEFT(LEFT(SUBSTITUTE(SUBSTITUTE(SUBSTITUTE(SUBSTITUTE(TRIM($AR1145),"-",""),".",""),"/","")," ",""),8),4),--MID(LEFT(SUBSTITUTE(SUBSTITUTE(SUBSTITUTE(SUBSTITUTE(TRIM($AR1145),"-",""),".",""),"/","")," ",""),8),5,2),--MID(LEFT(SUBSTITUTE(SUBSTITUTE(SUBSTITUTE(SUBSTITUTE(TRIM($AR1145),"-",""),".",""),"/","")," ",""),8),7,2)),"")))</f>
        <v/>
      </c>
      <c r="AT1145" s="33">
        <f>IF($AS1145="","",IF($F$6="",0,IF(ISNUMBER(INDEX($A:$AP,ROW(),$F$6)),INDEX($A:$AP,ROW(),$F$6),IFERROR(--SUBSTITUTE(SUBSTITUTE(TRIM(INDEX($A:$AP,ROW(),$F$6)),",",""),"원",""),0))))</f>
        <v/>
      </c>
      <c r="AU1145" s="31">
        <f>IF($AS1145="","",IF($AX1145&lt;&gt;"",SUBSTITUTE(SUBSTITUTE($AX1145,"-","")," ",""),"N:"&amp;$AV1145))</f>
        <v/>
      </c>
      <c r="AV1145" s="31">
        <f>IF(OR($AS1145="",$E$6=""),"",TRIM(INDEX($A:$AP,ROW(),$E$6)&amp;""))</f>
        <v/>
      </c>
      <c r="AW1145" s="31">
        <f>IF($AU1145="","",IF(MATCH($AU1145,$AU$8:$AU$2007,0)=ROW()-7,MAX($AW$7:$AW1144)+1,""))</f>
        <v/>
      </c>
      <c r="AX1145" s="31">
        <f>IF(OR($AS1145="",$D$6=""),"",TRIM(INDEX($A:$AP,ROW(),$D$6)&amp;""))</f>
        <v/>
      </c>
      <c r="AY1145" s="31">
        <f>IF($AU1145="","",INDEX($AW$8:$AW$2007,MATCH($AU1145,$AU$8:$AU$2007,0)))</f>
        <v/>
      </c>
      <c r="AZ1145" s="31">
        <f>IF(OR($AS1145="",$C$6=""),"",TRIM(INDEX($A:$AP,ROW(),$C$6)&amp;""))</f>
        <v/>
      </c>
      <c r="BA1145" s="31">
        <f>IF($AZ1145="","",IF(COUNTIF($AZ$8:$AZ1145,$AZ1145)&gt;1,1,0))</f>
        <v/>
      </c>
    </row>
    <row r="1146">
      <c r="AR1146" s="31">
        <f>IF(OR($A$5="",$B$6="",ROW()&lt;$A$5),"",IF(INDEX($A:$AP,ROW(),$B$6)="","",INDEX($A:$AP,ROW(),$B$6)))</f>
        <v/>
      </c>
      <c r="AS1146" s="32">
        <f>IF($AR1146="","",IF(ISNUMBER($AR1146),IF($AR1146&gt;=10000000,IFERROR(DATE(INT($AR1146/10000),MOD(INT($AR1146/100),100),MOD($AR1146,100)),""),INT($AR1146)),IFERROR(DATE(--LEFT(LEFT(SUBSTITUTE(SUBSTITUTE(SUBSTITUTE(SUBSTITUTE(TRIM($AR1146),"-",""),".",""),"/","")," ",""),8),4),--MID(LEFT(SUBSTITUTE(SUBSTITUTE(SUBSTITUTE(SUBSTITUTE(TRIM($AR1146),"-",""),".",""),"/","")," ",""),8),5,2),--MID(LEFT(SUBSTITUTE(SUBSTITUTE(SUBSTITUTE(SUBSTITUTE(TRIM($AR1146),"-",""),".",""),"/","")," ",""),8),7,2)),"")))</f>
        <v/>
      </c>
      <c r="AT1146" s="33">
        <f>IF($AS1146="","",IF($F$6="",0,IF(ISNUMBER(INDEX($A:$AP,ROW(),$F$6)),INDEX($A:$AP,ROW(),$F$6),IFERROR(--SUBSTITUTE(SUBSTITUTE(TRIM(INDEX($A:$AP,ROW(),$F$6)),",",""),"원",""),0))))</f>
        <v/>
      </c>
      <c r="AU1146" s="31">
        <f>IF($AS1146="","",IF($AX1146&lt;&gt;"",SUBSTITUTE(SUBSTITUTE($AX1146,"-","")," ",""),"N:"&amp;$AV1146))</f>
        <v/>
      </c>
      <c r="AV1146" s="31">
        <f>IF(OR($AS1146="",$E$6=""),"",TRIM(INDEX($A:$AP,ROW(),$E$6)&amp;""))</f>
        <v/>
      </c>
      <c r="AW1146" s="31">
        <f>IF($AU1146="","",IF(MATCH($AU1146,$AU$8:$AU$2007,0)=ROW()-7,MAX($AW$7:$AW1145)+1,""))</f>
        <v/>
      </c>
      <c r="AX1146" s="31">
        <f>IF(OR($AS1146="",$D$6=""),"",TRIM(INDEX($A:$AP,ROW(),$D$6)&amp;""))</f>
        <v/>
      </c>
      <c r="AY1146" s="31">
        <f>IF($AU1146="","",INDEX($AW$8:$AW$2007,MATCH($AU1146,$AU$8:$AU$2007,0)))</f>
        <v/>
      </c>
      <c r="AZ1146" s="31">
        <f>IF(OR($AS1146="",$C$6=""),"",TRIM(INDEX($A:$AP,ROW(),$C$6)&amp;""))</f>
        <v/>
      </c>
      <c r="BA1146" s="31">
        <f>IF($AZ1146="","",IF(COUNTIF($AZ$8:$AZ1146,$AZ1146)&gt;1,1,0))</f>
        <v/>
      </c>
    </row>
    <row r="1147">
      <c r="AR1147" s="31">
        <f>IF(OR($A$5="",$B$6="",ROW()&lt;$A$5),"",IF(INDEX($A:$AP,ROW(),$B$6)="","",INDEX($A:$AP,ROW(),$B$6)))</f>
        <v/>
      </c>
      <c r="AS1147" s="32">
        <f>IF($AR1147="","",IF(ISNUMBER($AR1147),IF($AR1147&gt;=10000000,IFERROR(DATE(INT($AR1147/10000),MOD(INT($AR1147/100),100),MOD($AR1147,100)),""),INT($AR1147)),IFERROR(DATE(--LEFT(LEFT(SUBSTITUTE(SUBSTITUTE(SUBSTITUTE(SUBSTITUTE(TRIM($AR1147),"-",""),".",""),"/","")," ",""),8),4),--MID(LEFT(SUBSTITUTE(SUBSTITUTE(SUBSTITUTE(SUBSTITUTE(TRIM($AR1147),"-",""),".",""),"/","")," ",""),8),5,2),--MID(LEFT(SUBSTITUTE(SUBSTITUTE(SUBSTITUTE(SUBSTITUTE(TRIM($AR1147),"-",""),".",""),"/","")," ",""),8),7,2)),"")))</f>
        <v/>
      </c>
      <c r="AT1147" s="33">
        <f>IF($AS1147="","",IF($F$6="",0,IF(ISNUMBER(INDEX($A:$AP,ROW(),$F$6)),INDEX($A:$AP,ROW(),$F$6),IFERROR(--SUBSTITUTE(SUBSTITUTE(TRIM(INDEX($A:$AP,ROW(),$F$6)),",",""),"원",""),0))))</f>
        <v/>
      </c>
      <c r="AU1147" s="31">
        <f>IF($AS1147="","",IF($AX1147&lt;&gt;"",SUBSTITUTE(SUBSTITUTE($AX1147,"-","")," ",""),"N:"&amp;$AV1147))</f>
        <v/>
      </c>
      <c r="AV1147" s="31">
        <f>IF(OR($AS1147="",$E$6=""),"",TRIM(INDEX($A:$AP,ROW(),$E$6)&amp;""))</f>
        <v/>
      </c>
      <c r="AW1147" s="31">
        <f>IF($AU1147="","",IF(MATCH($AU1147,$AU$8:$AU$2007,0)=ROW()-7,MAX($AW$7:$AW1146)+1,""))</f>
        <v/>
      </c>
      <c r="AX1147" s="31">
        <f>IF(OR($AS1147="",$D$6=""),"",TRIM(INDEX($A:$AP,ROW(),$D$6)&amp;""))</f>
        <v/>
      </c>
      <c r="AY1147" s="31">
        <f>IF($AU1147="","",INDEX($AW$8:$AW$2007,MATCH($AU1147,$AU$8:$AU$2007,0)))</f>
        <v/>
      </c>
      <c r="AZ1147" s="31">
        <f>IF(OR($AS1147="",$C$6=""),"",TRIM(INDEX($A:$AP,ROW(),$C$6)&amp;""))</f>
        <v/>
      </c>
      <c r="BA1147" s="31">
        <f>IF($AZ1147="","",IF(COUNTIF($AZ$8:$AZ1147,$AZ1147)&gt;1,1,0))</f>
        <v/>
      </c>
    </row>
    <row r="1148">
      <c r="AR1148" s="31">
        <f>IF(OR($A$5="",$B$6="",ROW()&lt;$A$5),"",IF(INDEX($A:$AP,ROW(),$B$6)="","",INDEX($A:$AP,ROW(),$B$6)))</f>
        <v/>
      </c>
      <c r="AS1148" s="32">
        <f>IF($AR1148="","",IF(ISNUMBER($AR1148),IF($AR1148&gt;=10000000,IFERROR(DATE(INT($AR1148/10000),MOD(INT($AR1148/100),100),MOD($AR1148,100)),""),INT($AR1148)),IFERROR(DATE(--LEFT(LEFT(SUBSTITUTE(SUBSTITUTE(SUBSTITUTE(SUBSTITUTE(TRIM($AR1148),"-",""),".",""),"/","")," ",""),8),4),--MID(LEFT(SUBSTITUTE(SUBSTITUTE(SUBSTITUTE(SUBSTITUTE(TRIM($AR1148),"-",""),".",""),"/","")," ",""),8),5,2),--MID(LEFT(SUBSTITUTE(SUBSTITUTE(SUBSTITUTE(SUBSTITUTE(TRIM($AR1148),"-",""),".",""),"/","")," ",""),8),7,2)),"")))</f>
        <v/>
      </c>
      <c r="AT1148" s="33">
        <f>IF($AS1148="","",IF($F$6="",0,IF(ISNUMBER(INDEX($A:$AP,ROW(),$F$6)),INDEX($A:$AP,ROW(),$F$6),IFERROR(--SUBSTITUTE(SUBSTITUTE(TRIM(INDEX($A:$AP,ROW(),$F$6)),",",""),"원",""),0))))</f>
        <v/>
      </c>
      <c r="AU1148" s="31">
        <f>IF($AS1148="","",IF($AX1148&lt;&gt;"",SUBSTITUTE(SUBSTITUTE($AX1148,"-","")," ",""),"N:"&amp;$AV1148))</f>
        <v/>
      </c>
      <c r="AV1148" s="31">
        <f>IF(OR($AS1148="",$E$6=""),"",TRIM(INDEX($A:$AP,ROW(),$E$6)&amp;""))</f>
        <v/>
      </c>
      <c r="AW1148" s="31">
        <f>IF($AU1148="","",IF(MATCH($AU1148,$AU$8:$AU$2007,0)=ROW()-7,MAX($AW$7:$AW1147)+1,""))</f>
        <v/>
      </c>
      <c r="AX1148" s="31">
        <f>IF(OR($AS1148="",$D$6=""),"",TRIM(INDEX($A:$AP,ROW(),$D$6)&amp;""))</f>
        <v/>
      </c>
      <c r="AY1148" s="31">
        <f>IF($AU1148="","",INDEX($AW$8:$AW$2007,MATCH($AU1148,$AU$8:$AU$2007,0)))</f>
        <v/>
      </c>
      <c r="AZ1148" s="31">
        <f>IF(OR($AS1148="",$C$6=""),"",TRIM(INDEX($A:$AP,ROW(),$C$6)&amp;""))</f>
        <v/>
      </c>
      <c r="BA1148" s="31">
        <f>IF($AZ1148="","",IF(COUNTIF($AZ$8:$AZ1148,$AZ1148)&gt;1,1,0))</f>
        <v/>
      </c>
    </row>
    <row r="1149">
      <c r="AR1149" s="31">
        <f>IF(OR($A$5="",$B$6="",ROW()&lt;$A$5),"",IF(INDEX($A:$AP,ROW(),$B$6)="","",INDEX($A:$AP,ROW(),$B$6)))</f>
        <v/>
      </c>
      <c r="AS1149" s="32">
        <f>IF($AR1149="","",IF(ISNUMBER($AR1149),IF($AR1149&gt;=10000000,IFERROR(DATE(INT($AR1149/10000),MOD(INT($AR1149/100),100),MOD($AR1149,100)),""),INT($AR1149)),IFERROR(DATE(--LEFT(LEFT(SUBSTITUTE(SUBSTITUTE(SUBSTITUTE(SUBSTITUTE(TRIM($AR1149),"-",""),".",""),"/","")," ",""),8),4),--MID(LEFT(SUBSTITUTE(SUBSTITUTE(SUBSTITUTE(SUBSTITUTE(TRIM($AR1149),"-",""),".",""),"/","")," ",""),8),5,2),--MID(LEFT(SUBSTITUTE(SUBSTITUTE(SUBSTITUTE(SUBSTITUTE(TRIM($AR1149),"-",""),".",""),"/","")," ",""),8),7,2)),"")))</f>
        <v/>
      </c>
      <c r="AT1149" s="33">
        <f>IF($AS1149="","",IF($F$6="",0,IF(ISNUMBER(INDEX($A:$AP,ROW(),$F$6)),INDEX($A:$AP,ROW(),$F$6),IFERROR(--SUBSTITUTE(SUBSTITUTE(TRIM(INDEX($A:$AP,ROW(),$F$6)),",",""),"원",""),0))))</f>
        <v/>
      </c>
      <c r="AU1149" s="31">
        <f>IF($AS1149="","",IF($AX1149&lt;&gt;"",SUBSTITUTE(SUBSTITUTE($AX1149,"-","")," ",""),"N:"&amp;$AV1149))</f>
        <v/>
      </c>
      <c r="AV1149" s="31">
        <f>IF(OR($AS1149="",$E$6=""),"",TRIM(INDEX($A:$AP,ROW(),$E$6)&amp;""))</f>
        <v/>
      </c>
      <c r="AW1149" s="31">
        <f>IF($AU1149="","",IF(MATCH($AU1149,$AU$8:$AU$2007,0)=ROW()-7,MAX($AW$7:$AW1148)+1,""))</f>
        <v/>
      </c>
      <c r="AX1149" s="31">
        <f>IF(OR($AS1149="",$D$6=""),"",TRIM(INDEX($A:$AP,ROW(),$D$6)&amp;""))</f>
        <v/>
      </c>
      <c r="AY1149" s="31">
        <f>IF($AU1149="","",INDEX($AW$8:$AW$2007,MATCH($AU1149,$AU$8:$AU$2007,0)))</f>
        <v/>
      </c>
      <c r="AZ1149" s="31">
        <f>IF(OR($AS1149="",$C$6=""),"",TRIM(INDEX($A:$AP,ROW(),$C$6)&amp;""))</f>
        <v/>
      </c>
      <c r="BA1149" s="31">
        <f>IF($AZ1149="","",IF(COUNTIF($AZ$8:$AZ1149,$AZ1149)&gt;1,1,0))</f>
        <v/>
      </c>
    </row>
    <row r="1150">
      <c r="AR1150" s="31">
        <f>IF(OR($A$5="",$B$6="",ROW()&lt;$A$5),"",IF(INDEX($A:$AP,ROW(),$B$6)="","",INDEX($A:$AP,ROW(),$B$6)))</f>
        <v/>
      </c>
      <c r="AS1150" s="32">
        <f>IF($AR1150="","",IF(ISNUMBER($AR1150),IF($AR1150&gt;=10000000,IFERROR(DATE(INT($AR1150/10000),MOD(INT($AR1150/100),100),MOD($AR1150,100)),""),INT($AR1150)),IFERROR(DATE(--LEFT(LEFT(SUBSTITUTE(SUBSTITUTE(SUBSTITUTE(SUBSTITUTE(TRIM($AR1150),"-",""),".",""),"/","")," ",""),8),4),--MID(LEFT(SUBSTITUTE(SUBSTITUTE(SUBSTITUTE(SUBSTITUTE(TRIM($AR1150),"-",""),".",""),"/","")," ",""),8),5,2),--MID(LEFT(SUBSTITUTE(SUBSTITUTE(SUBSTITUTE(SUBSTITUTE(TRIM($AR1150),"-",""),".",""),"/","")," ",""),8),7,2)),"")))</f>
        <v/>
      </c>
      <c r="AT1150" s="33">
        <f>IF($AS1150="","",IF($F$6="",0,IF(ISNUMBER(INDEX($A:$AP,ROW(),$F$6)),INDEX($A:$AP,ROW(),$F$6),IFERROR(--SUBSTITUTE(SUBSTITUTE(TRIM(INDEX($A:$AP,ROW(),$F$6)),",",""),"원",""),0))))</f>
        <v/>
      </c>
      <c r="AU1150" s="31">
        <f>IF($AS1150="","",IF($AX1150&lt;&gt;"",SUBSTITUTE(SUBSTITUTE($AX1150,"-","")," ",""),"N:"&amp;$AV1150))</f>
        <v/>
      </c>
      <c r="AV1150" s="31">
        <f>IF(OR($AS1150="",$E$6=""),"",TRIM(INDEX($A:$AP,ROW(),$E$6)&amp;""))</f>
        <v/>
      </c>
      <c r="AW1150" s="31">
        <f>IF($AU1150="","",IF(MATCH($AU1150,$AU$8:$AU$2007,0)=ROW()-7,MAX($AW$7:$AW1149)+1,""))</f>
        <v/>
      </c>
      <c r="AX1150" s="31">
        <f>IF(OR($AS1150="",$D$6=""),"",TRIM(INDEX($A:$AP,ROW(),$D$6)&amp;""))</f>
        <v/>
      </c>
      <c r="AY1150" s="31">
        <f>IF($AU1150="","",INDEX($AW$8:$AW$2007,MATCH($AU1150,$AU$8:$AU$2007,0)))</f>
        <v/>
      </c>
      <c r="AZ1150" s="31">
        <f>IF(OR($AS1150="",$C$6=""),"",TRIM(INDEX($A:$AP,ROW(),$C$6)&amp;""))</f>
        <v/>
      </c>
      <c r="BA1150" s="31">
        <f>IF($AZ1150="","",IF(COUNTIF($AZ$8:$AZ1150,$AZ1150)&gt;1,1,0))</f>
        <v/>
      </c>
    </row>
    <row r="1151">
      <c r="AR1151" s="31">
        <f>IF(OR($A$5="",$B$6="",ROW()&lt;$A$5),"",IF(INDEX($A:$AP,ROW(),$B$6)="","",INDEX($A:$AP,ROW(),$B$6)))</f>
        <v/>
      </c>
      <c r="AS1151" s="32">
        <f>IF($AR1151="","",IF(ISNUMBER($AR1151),IF($AR1151&gt;=10000000,IFERROR(DATE(INT($AR1151/10000),MOD(INT($AR1151/100),100),MOD($AR1151,100)),""),INT($AR1151)),IFERROR(DATE(--LEFT(LEFT(SUBSTITUTE(SUBSTITUTE(SUBSTITUTE(SUBSTITUTE(TRIM($AR1151),"-",""),".",""),"/","")," ",""),8),4),--MID(LEFT(SUBSTITUTE(SUBSTITUTE(SUBSTITUTE(SUBSTITUTE(TRIM($AR1151),"-",""),".",""),"/","")," ",""),8),5,2),--MID(LEFT(SUBSTITUTE(SUBSTITUTE(SUBSTITUTE(SUBSTITUTE(TRIM($AR1151),"-",""),".",""),"/","")," ",""),8),7,2)),"")))</f>
        <v/>
      </c>
      <c r="AT1151" s="33">
        <f>IF($AS1151="","",IF($F$6="",0,IF(ISNUMBER(INDEX($A:$AP,ROW(),$F$6)),INDEX($A:$AP,ROW(),$F$6),IFERROR(--SUBSTITUTE(SUBSTITUTE(TRIM(INDEX($A:$AP,ROW(),$F$6)),",",""),"원",""),0))))</f>
        <v/>
      </c>
      <c r="AU1151" s="31">
        <f>IF($AS1151="","",IF($AX1151&lt;&gt;"",SUBSTITUTE(SUBSTITUTE($AX1151,"-","")," ",""),"N:"&amp;$AV1151))</f>
        <v/>
      </c>
      <c r="AV1151" s="31">
        <f>IF(OR($AS1151="",$E$6=""),"",TRIM(INDEX($A:$AP,ROW(),$E$6)&amp;""))</f>
        <v/>
      </c>
      <c r="AW1151" s="31">
        <f>IF($AU1151="","",IF(MATCH($AU1151,$AU$8:$AU$2007,0)=ROW()-7,MAX($AW$7:$AW1150)+1,""))</f>
        <v/>
      </c>
      <c r="AX1151" s="31">
        <f>IF(OR($AS1151="",$D$6=""),"",TRIM(INDEX($A:$AP,ROW(),$D$6)&amp;""))</f>
        <v/>
      </c>
      <c r="AY1151" s="31">
        <f>IF($AU1151="","",INDEX($AW$8:$AW$2007,MATCH($AU1151,$AU$8:$AU$2007,0)))</f>
        <v/>
      </c>
      <c r="AZ1151" s="31">
        <f>IF(OR($AS1151="",$C$6=""),"",TRIM(INDEX($A:$AP,ROW(),$C$6)&amp;""))</f>
        <v/>
      </c>
      <c r="BA1151" s="31">
        <f>IF($AZ1151="","",IF(COUNTIF($AZ$8:$AZ1151,$AZ1151)&gt;1,1,0))</f>
        <v/>
      </c>
    </row>
    <row r="1152">
      <c r="AR1152" s="31">
        <f>IF(OR($A$5="",$B$6="",ROW()&lt;$A$5),"",IF(INDEX($A:$AP,ROW(),$B$6)="","",INDEX($A:$AP,ROW(),$B$6)))</f>
        <v/>
      </c>
      <c r="AS1152" s="32">
        <f>IF($AR1152="","",IF(ISNUMBER($AR1152),IF($AR1152&gt;=10000000,IFERROR(DATE(INT($AR1152/10000),MOD(INT($AR1152/100),100),MOD($AR1152,100)),""),INT($AR1152)),IFERROR(DATE(--LEFT(LEFT(SUBSTITUTE(SUBSTITUTE(SUBSTITUTE(SUBSTITUTE(TRIM($AR1152),"-",""),".",""),"/","")," ",""),8),4),--MID(LEFT(SUBSTITUTE(SUBSTITUTE(SUBSTITUTE(SUBSTITUTE(TRIM($AR1152),"-",""),".",""),"/","")," ",""),8),5,2),--MID(LEFT(SUBSTITUTE(SUBSTITUTE(SUBSTITUTE(SUBSTITUTE(TRIM($AR1152),"-",""),".",""),"/","")," ",""),8),7,2)),"")))</f>
        <v/>
      </c>
      <c r="AT1152" s="33">
        <f>IF($AS1152="","",IF($F$6="",0,IF(ISNUMBER(INDEX($A:$AP,ROW(),$F$6)),INDEX($A:$AP,ROW(),$F$6),IFERROR(--SUBSTITUTE(SUBSTITUTE(TRIM(INDEX($A:$AP,ROW(),$F$6)),",",""),"원",""),0))))</f>
        <v/>
      </c>
      <c r="AU1152" s="31">
        <f>IF($AS1152="","",IF($AX1152&lt;&gt;"",SUBSTITUTE(SUBSTITUTE($AX1152,"-","")," ",""),"N:"&amp;$AV1152))</f>
        <v/>
      </c>
      <c r="AV1152" s="31">
        <f>IF(OR($AS1152="",$E$6=""),"",TRIM(INDEX($A:$AP,ROW(),$E$6)&amp;""))</f>
        <v/>
      </c>
      <c r="AW1152" s="31">
        <f>IF($AU1152="","",IF(MATCH($AU1152,$AU$8:$AU$2007,0)=ROW()-7,MAX($AW$7:$AW1151)+1,""))</f>
        <v/>
      </c>
      <c r="AX1152" s="31">
        <f>IF(OR($AS1152="",$D$6=""),"",TRIM(INDEX($A:$AP,ROW(),$D$6)&amp;""))</f>
        <v/>
      </c>
      <c r="AY1152" s="31">
        <f>IF($AU1152="","",INDEX($AW$8:$AW$2007,MATCH($AU1152,$AU$8:$AU$2007,0)))</f>
        <v/>
      </c>
      <c r="AZ1152" s="31">
        <f>IF(OR($AS1152="",$C$6=""),"",TRIM(INDEX($A:$AP,ROW(),$C$6)&amp;""))</f>
        <v/>
      </c>
      <c r="BA1152" s="31">
        <f>IF($AZ1152="","",IF(COUNTIF($AZ$8:$AZ1152,$AZ1152)&gt;1,1,0))</f>
        <v/>
      </c>
    </row>
    <row r="1153">
      <c r="AR1153" s="31">
        <f>IF(OR($A$5="",$B$6="",ROW()&lt;$A$5),"",IF(INDEX($A:$AP,ROW(),$B$6)="","",INDEX($A:$AP,ROW(),$B$6)))</f>
        <v/>
      </c>
      <c r="AS1153" s="32">
        <f>IF($AR1153="","",IF(ISNUMBER($AR1153),IF($AR1153&gt;=10000000,IFERROR(DATE(INT($AR1153/10000),MOD(INT($AR1153/100),100),MOD($AR1153,100)),""),INT($AR1153)),IFERROR(DATE(--LEFT(LEFT(SUBSTITUTE(SUBSTITUTE(SUBSTITUTE(SUBSTITUTE(TRIM($AR1153),"-",""),".",""),"/","")," ",""),8),4),--MID(LEFT(SUBSTITUTE(SUBSTITUTE(SUBSTITUTE(SUBSTITUTE(TRIM($AR1153),"-",""),".",""),"/","")," ",""),8),5,2),--MID(LEFT(SUBSTITUTE(SUBSTITUTE(SUBSTITUTE(SUBSTITUTE(TRIM($AR1153),"-",""),".",""),"/","")," ",""),8),7,2)),"")))</f>
        <v/>
      </c>
      <c r="AT1153" s="33">
        <f>IF($AS1153="","",IF($F$6="",0,IF(ISNUMBER(INDEX($A:$AP,ROW(),$F$6)),INDEX($A:$AP,ROW(),$F$6),IFERROR(--SUBSTITUTE(SUBSTITUTE(TRIM(INDEX($A:$AP,ROW(),$F$6)),",",""),"원",""),0))))</f>
        <v/>
      </c>
      <c r="AU1153" s="31">
        <f>IF($AS1153="","",IF($AX1153&lt;&gt;"",SUBSTITUTE(SUBSTITUTE($AX1153,"-","")," ",""),"N:"&amp;$AV1153))</f>
        <v/>
      </c>
      <c r="AV1153" s="31">
        <f>IF(OR($AS1153="",$E$6=""),"",TRIM(INDEX($A:$AP,ROW(),$E$6)&amp;""))</f>
        <v/>
      </c>
      <c r="AW1153" s="31">
        <f>IF($AU1153="","",IF(MATCH($AU1153,$AU$8:$AU$2007,0)=ROW()-7,MAX($AW$7:$AW1152)+1,""))</f>
        <v/>
      </c>
      <c r="AX1153" s="31">
        <f>IF(OR($AS1153="",$D$6=""),"",TRIM(INDEX($A:$AP,ROW(),$D$6)&amp;""))</f>
        <v/>
      </c>
      <c r="AY1153" s="31">
        <f>IF($AU1153="","",INDEX($AW$8:$AW$2007,MATCH($AU1153,$AU$8:$AU$2007,0)))</f>
        <v/>
      </c>
      <c r="AZ1153" s="31">
        <f>IF(OR($AS1153="",$C$6=""),"",TRIM(INDEX($A:$AP,ROW(),$C$6)&amp;""))</f>
        <v/>
      </c>
      <c r="BA1153" s="31">
        <f>IF($AZ1153="","",IF(COUNTIF($AZ$8:$AZ1153,$AZ1153)&gt;1,1,0))</f>
        <v/>
      </c>
    </row>
    <row r="1154">
      <c r="AR1154" s="31">
        <f>IF(OR($A$5="",$B$6="",ROW()&lt;$A$5),"",IF(INDEX($A:$AP,ROW(),$B$6)="","",INDEX($A:$AP,ROW(),$B$6)))</f>
        <v/>
      </c>
      <c r="AS1154" s="32">
        <f>IF($AR1154="","",IF(ISNUMBER($AR1154),IF($AR1154&gt;=10000000,IFERROR(DATE(INT($AR1154/10000),MOD(INT($AR1154/100),100),MOD($AR1154,100)),""),INT($AR1154)),IFERROR(DATE(--LEFT(LEFT(SUBSTITUTE(SUBSTITUTE(SUBSTITUTE(SUBSTITUTE(TRIM($AR1154),"-",""),".",""),"/","")," ",""),8),4),--MID(LEFT(SUBSTITUTE(SUBSTITUTE(SUBSTITUTE(SUBSTITUTE(TRIM($AR1154),"-",""),".",""),"/","")," ",""),8),5,2),--MID(LEFT(SUBSTITUTE(SUBSTITUTE(SUBSTITUTE(SUBSTITUTE(TRIM($AR1154),"-",""),".",""),"/","")," ",""),8),7,2)),"")))</f>
        <v/>
      </c>
      <c r="AT1154" s="33">
        <f>IF($AS1154="","",IF($F$6="",0,IF(ISNUMBER(INDEX($A:$AP,ROW(),$F$6)),INDEX($A:$AP,ROW(),$F$6),IFERROR(--SUBSTITUTE(SUBSTITUTE(TRIM(INDEX($A:$AP,ROW(),$F$6)),",",""),"원",""),0))))</f>
        <v/>
      </c>
      <c r="AU1154" s="31">
        <f>IF($AS1154="","",IF($AX1154&lt;&gt;"",SUBSTITUTE(SUBSTITUTE($AX1154,"-","")," ",""),"N:"&amp;$AV1154))</f>
        <v/>
      </c>
      <c r="AV1154" s="31">
        <f>IF(OR($AS1154="",$E$6=""),"",TRIM(INDEX($A:$AP,ROW(),$E$6)&amp;""))</f>
        <v/>
      </c>
      <c r="AW1154" s="31">
        <f>IF($AU1154="","",IF(MATCH($AU1154,$AU$8:$AU$2007,0)=ROW()-7,MAX($AW$7:$AW1153)+1,""))</f>
        <v/>
      </c>
      <c r="AX1154" s="31">
        <f>IF(OR($AS1154="",$D$6=""),"",TRIM(INDEX($A:$AP,ROW(),$D$6)&amp;""))</f>
        <v/>
      </c>
      <c r="AY1154" s="31">
        <f>IF($AU1154="","",INDEX($AW$8:$AW$2007,MATCH($AU1154,$AU$8:$AU$2007,0)))</f>
        <v/>
      </c>
      <c r="AZ1154" s="31">
        <f>IF(OR($AS1154="",$C$6=""),"",TRIM(INDEX($A:$AP,ROW(),$C$6)&amp;""))</f>
        <v/>
      </c>
      <c r="BA1154" s="31">
        <f>IF($AZ1154="","",IF(COUNTIF($AZ$8:$AZ1154,$AZ1154)&gt;1,1,0))</f>
        <v/>
      </c>
    </row>
    <row r="1155">
      <c r="AR1155" s="31">
        <f>IF(OR($A$5="",$B$6="",ROW()&lt;$A$5),"",IF(INDEX($A:$AP,ROW(),$B$6)="","",INDEX($A:$AP,ROW(),$B$6)))</f>
        <v/>
      </c>
      <c r="AS1155" s="32">
        <f>IF($AR1155="","",IF(ISNUMBER($AR1155),IF($AR1155&gt;=10000000,IFERROR(DATE(INT($AR1155/10000),MOD(INT($AR1155/100),100),MOD($AR1155,100)),""),INT($AR1155)),IFERROR(DATE(--LEFT(LEFT(SUBSTITUTE(SUBSTITUTE(SUBSTITUTE(SUBSTITUTE(TRIM($AR1155),"-",""),".",""),"/","")," ",""),8),4),--MID(LEFT(SUBSTITUTE(SUBSTITUTE(SUBSTITUTE(SUBSTITUTE(TRIM($AR1155),"-",""),".",""),"/","")," ",""),8),5,2),--MID(LEFT(SUBSTITUTE(SUBSTITUTE(SUBSTITUTE(SUBSTITUTE(TRIM($AR1155),"-",""),".",""),"/","")," ",""),8),7,2)),"")))</f>
        <v/>
      </c>
      <c r="AT1155" s="33">
        <f>IF($AS1155="","",IF($F$6="",0,IF(ISNUMBER(INDEX($A:$AP,ROW(),$F$6)),INDEX($A:$AP,ROW(),$F$6),IFERROR(--SUBSTITUTE(SUBSTITUTE(TRIM(INDEX($A:$AP,ROW(),$F$6)),",",""),"원",""),0))))</f>
        <v/>
      </c>
      <c r="AU1155" s="31">
        <f>IF($AS1155="","",IF($AX1155&lt;&gt;"",SUBSTITUTE(SUBSTITUTE($AX1155,"-","")," ",""),"N:"&amp;$AV1155))</f>
        <v/>
      </c>
      <c r="AV1155" s="31">
        <f>IF(OR($AS1155="",$E$6=""),"",TRIM(INDEX($A:$AP,ROW(),$E$6)&amp;""))</f>
        <v/>
      </c>
      <c r="AW1155" s="31">
        <f>IF($AU1155="","",IF(MATCH($AU1155,$AU$8:$AU$2007,0)=ROW()-7,MAX($AW$7:$AW1154)+1,""))</f>
        <v/>
      </c>
      <c r="AX1155" s="31">
        <f>IF(OR($AS1155="",$D$6=""),"",TRIM(INDEX($A:$AP,ROW(),$D$6)&amp;""))</f>
        <v/>
      </c>
      <c r="AY1155" s="31">
        <f>IF($AU1155="","",INDEX($AW$8:$AW$2007,MATCH($AU1155,$AU$8:$AU$2007,0)))</f>
        <v/>
      </c>
      <c r="AZ1155" s="31">
        <f>IF(OR($AS1155="",$C$6=""),"",TRIM(INDEX($A:$AP,ROW(),$C$6)&amp;""))</f>
        <v/>
      </c>
      <c r="BA1155" s="31">
        <f>IF($AZ1155="","",IF(COUNTIF($AZ$8:$AZ1155,$AZ1155)&gt;1,1,0))</f>
        <v/>
      </c>
    </row>
    <row r="1156">
      <c r="AR1156" s="31">
        <f>IF(OR($A$5="",$B$6="",ROW()&lt;$A$5),"",IF(INDEX($A:$AP,ROW(),$B$6)="","",INDEX($A:$AP,ROW(),$B$6)))</f>
        <v/>
      </c>
      <c r="AS1156" s="32">
        <f>IF($AR1156="","",IF(ISNUMBER($AR1156),IF($AR1156&gt;=10000000,IFERROR(DATE(INT($AR1156/10000),MOD(INT($AR1156/100),100),MOD($AR1156,100)),""),INT($AR1156)),IFERROR(DATE(--LEFT(LEFT(SUBSTITUTE(SUBSTITUTE(SUBSTITUTE(SUBSTITUTE(TRIM($AR1156),"-",""),".",""),"/","")," ",""),8),4),--MID(LEFT(SUBSTITUTE(SUBSTITUTE(SUBSTITUTE(SUBSTITUTE(TRIM($AR1156),"-",""),".",""),"/","")," ",""),8),5,2),--MID(LEFT(SUBSTITUTE(SUBSTITUTE(SUBSTITUTE(SUBSTITUTE(TRIM($AR1156),"-",""),".",""),"/","")," ",""),8),7,2)),"")))</f>
        <v/>
      </c>
      <c r="AT1156" s="33">
        <f>IF($AS1156="","",IF($F$6="",0,IF(ISNUMBER(INDEX($A:$AP,ROW(),$F$6)),INDEX($A:$AP,ROW(),$F$6),IFERROR(--SUBSTITUTE(SUBSTITUTE(TRIM(INDEX($A:$AP,ROW(),$F$6)),",",""),"원",""),0))))</f>
        <v/>
      </c>
      <c r="AU1156" s="31">
        <f>IF($AS1156="","",IF($AX1156&lt;&gt;"",SUBSTITUTE(SUBSTITUTE($AX1156,"-","")," ",""),"N:"&amp;$AV1156))</f>
        <v/>
      </c>
      <c r="AV1156" s="31">
        <f>IF(OR($AS1156="",$E$6=""),"",TRIM(INDEX($A:$AP,ROW(),$E$6)&amp;""))</f>
        <v/>
      </c>
      <c r="AW1156" s="31">
        <f>IF($AU1156="","",IF(MATCH($AU1156,$AU$8:$AU$2007,0)=ROW()-7,MAX($AW$7:$AW1155)+1,""))</f>
        <v/>
      </c>
      <c r="AX1156" s="31">
        <f>IF(OR($AS1156="",$D$6=""),"",TRIM(INDEX($A:$AP,ROW(),$D$6)&amp;""))</f>
        <v/>
      </c>
      <c r="AY1156" s="31">
        <f>IF($AU1156="","",INDEX($AW$8:$AW$2007,MATCH($AU1156,$AU$8:$AU$2007,0)))</f>
        <v/>
      </c>
      <c r="AZ1156" s="31">
        <f>IF(OR($AS1156="",$C$6=""),"",TRIM(INDEX($A:$AP,ROW(),$C$6)&amp;""))</f>
        <v/>
      </c>
      <c r="BA1156" s="31">
        <f>IF($AZ1156="","",IF(COUNTIF($AZ$8:$AZ1156,$AZ1156)&gt;1,1,0))</f>
        <v/>
      </c>
    </row>
    <row r="1157">
      <c r="AR1157" s="31">
        <f>IF(OR($A$5="",$B$6="",ROW()&lt;$A$5),"",IF(INDEX($A:$AP,ROW(),$B$6)="","",INDEX($A:$AP,ROW(),$B$6)))</f>
        <v/>
      </c>
      <c r="AS1157" s="32">
        <f>IF($AR1157="","",IF(ISNUMBER($AR1157),IF($AR1157&gt;=10000000,IFERROR(DATE(INT($AR1157/10000),MOD(INT($AR1157/100),100),MOD($AR1157,100)),""),INT($AR1157)),IFERROR(DATE(--LEFT(LEFT(SUBSTITUTE(SUBSTITUTE(SUBSTITUTE(SUBSTITUTE(TRIM($AR1157),"-",""),".",""),"/","")," ",""),8),4),--MID(LEFT(SUBSTITUTE(SUBSTITUTE(SUBSTITUTE(SUBSTITUTE(TRIM($AR1157),"-",""),".",""),"/","")," ",""),8),5,2),--MID(LEFT(SUBSTITUTE(SUBSTITUTE(SUBSTITUTE(SUBSTITUTE(TRIM($AR1157),"-",""),".",""),"/","")," ",""),8),7,2)),"")))</f>
        <v/>
      </c>
      <c r="AT1157" s="33">
        <f>IF($AS1157="","",IF($F$6="",0,IF(ISNUMBER(INDEX($A:$AP,ROW(),$F$6)),INDEX($A:$AP,ROW(),$F$6),IFERROR(--SUBSTITUTE(SUBSTITUTE(TRIM(INDEX($A:$AP,ROW(),$F$6)),",",""),"원",""),0))))</f>
        <v/>
      </c>
      <c r="AU1157" s="31">
        <f>IF($AS1157="","",IF($AX1157&lt;&gt;"",SUBSTITUTE(SUBSTITUTE($AX1157,"-","")," ",""),"N:"&amp;$AV1157))</f>
        <v/>
      </c>
      <c r="AV1157" s="31">
        <f>IF(OR($AS1157="",$E$6=""),"",TRIM(INDEX($A:$AP,ROW(),$E$6)&amp;""))</f>
        <v/>
      </c>
      <c r="AW1157" s="31">
        <f>IF($AU1157="","",IF(MATCH($AU1157,$AU$8:$AU$2007,0)=ROW()-7,MAX($AW$7:$AW1156)+1,""))</f>
        <v/>
      </c>
      <c r="AX1157" s="31">
        <f>IF(OR($AS1157="",$D$6=""),"",TRIM(INDEX($A:$AP,ROW(),$D$6)&amp;""))</f>
        <v/>
      </c>
      <c r="AY1157" s="31">
        <f>IF($AU1157="","",INDEX($AW$8:$AW$2007,MATCH($AU1157,$AU$8:$AU$2007,0)))</f>
        <v/>
      </c>
      <c r="AZ1157" s="31">
        <f>IF(OR($AS1157="",$C$6=""),"",TRIM(INDEX($A:$AP,ROW(),$C$6)&amp;""))</f>
        <v/>
      </c>
      <c r="BA1157" s="31">
        <f>IF($AZ1157="","",IF(COUNTIF($AZ$8:$AZ1157,$AZ1157)&gt;1,1,0))</f>
        <v/>
      </c>
    </row>
    <row r="1158">
      <c r="AR1158" s="31">
        <f>IF(OR($A$5="",$B$6="",ROW()&lt;$A$5),"",IF(INDEX($A:$AP,ROW(),$B$6)="","",INDEX($A:$AP,ROW(),$B$6)))</f>
        <v/>
      </c>
      <c r="AS1158" s="32">
        <f>IF($AR1158="","",IF(ISNUMBER($AR1158),IF($AR1158&gt;=10000000,IFERROR(DATE(INT($AR1158/10000),MOD(INT($AR1158/100),100),MOD($AR1158,100)),""),INT($AR1158)),IFERROR(DATE(--LEFT(LEFT(SUBSTITUTE(SUBSTITUTE(SUBSTITUTE(SUBSTITUTE(TRIM($AR1158),"-",""),".",""),"/","")," ",""),8),4),--MID(LEFT(SUBSTITUTE(SUBSTITUTE(SUBSTITUTE(SUBSTITUTE(TRIM($AR1158),"-",""),".",""),"/","")," ",""),8),5,2),--MID(LEFT(SUBSTITUTE(SUBSTITUTE(SUBSTITUTE(SUBSTITUTE(TRIM($AR1158),"-",""),".",""),"/","")," ",""),8),7,2)),"")))</f>
        <v/>
      </c>
      <c r="AT1158" s="33">
        <f>IF($AS1158="","",IF($F$6="",0,IF(ISNUMBER(INDEX($A:$AP,ROW(),$F$6)),INDEX($A:$AP,ROW(),$F$6),IFERROR(--SUBSTITUTE(SUBSTITUTE(TRIM(INDEX($A:$AP,ROW(),$F$6)),",",""),"원",""),0))))</f>
        <v/>
      </c>
      <c r="AU1158" s="31">
        <f>IF($AS1158="","",IF($AX1158&lt;&gt;"",SUBSTITUTE(SUBSTITUTE($AX1158,"-","")," ",""),"N:"&amp;$AV1158))</f>
        <v/>
      </c>
      <c r="AV1158" s="31">
        <f>IF(OR($AS1158="",$E$6=""),"",TRIM(INDEX($A:$AP,ROW(),$E$6)&amp;""))</f>
        <v/>
      </c>
      <c r="AW1158" s="31">
        <f>IF($AU1158="","",IF(MATCH($AU1158,$AU$8:$AU$2007,0)=ROW()-7,MAX($AW$7:$AW1157)+1,""))</f>
        <v/>
      </c>
      <c r="AX1158" s="31">
        <f>IF(OR($AS1158="",$D$6=""),"",TRIM(INDEX($A:$AP,ROW(),$D$6)&amp;""))</f>
        <v/>
      </c>
      <c r="AY1158" s="31">
        <f>IF($AU1158="","",INDEX($AW$8:$AW$2007,MATCH($AU1158,$AU$8:$AU$2007,0)))</f>
        <v/>
      </c>
      <c r="AZ1158" s="31">
        <f>IF(OR($AS1158="",$C$6=""),"",TRIM(INDEX($A:$AP,ROW(),$C$6)&amp;""))</f>
        <v/>
      </c>
      <c r="BA1158" s="31">
        <f>IF($AZ1158="","",IF(COUNTIF($AZ$8:$AZ1158,$AZ1158)&gt;1,1,0))</f>
        <v/>
      </c>
    </row>
    <row r="1159">
      <c r="AR1159" s="31">
        <f>IF(OR($A$5="",$B$6="",ROW()&lt;$A$5),"",IF(INDEX($A:$AP,ROW(),$B$6)="","",INDEX($A:$AP,ROW(),$B$6)))</f>
        <v/>
      </c>
      <c r="AS1159" s="32">
        <f>IF($AR1159="","",IF(ISNUMBER($AR1159),IF($AR1159&gt;=10000000,IFERROR(DATE(INT($AR1159/10000),MOD(INT($AR1159/100),100),MOD($AR1159,100)),""),INT($AR1159)),IFERROR(DATE(--LEFT(LEFT(SUBSTITUTE(SUBSTITUTE(SUBSTITUTE(SUBSTITUTE(TRIM($AR1159),"-",""),".",""),"/","")," ",""),8),4),--MID(LEFT(SUBSTITUTE(SUBSTITUTE(SUBSTITUTE(SUBSTITUTE(TRIM($AR1159),"-",""),".",""),"/","")," ",""),8),5,2),--MID(LEFT(SUBSTITUTE(SUBSTITUTE(SUBSTITUTE(SUBSTITUTE(TRIM($AR1159),"-",""),".",""),"/","")," ",""),8),7,2)),"")))</f>
        <v/>
      </c>
      <c r="AT1159" s="33">
        <f>IF($AS1159="","",IF($F$6="",0,IF(ISNUMBER(INDEX($A:$AP,ROW(),$F$6)),INDEX($A:$AP,ROW(),$F$6),IFERROR(--SUBSTITUTE(SUBSTITUTE(TRIM(INDEX($A:$AP,ROW(),$F$6)),",",""),"원",""),0))))</f>
        <v/>
      </c>
      <c r="AU1159" s="31">
        <f>IF($AS1159="","",IF($AX1159&lt;&gt;"",SUBSTITUTE(SUBSTITUTE($AX1159,"-","")," ",""),"N:"&amp;$AV1159))</f>
        <v/>
      </c>
      <c r="AV1159" s="31">
        <f>IF(OR($AS1159="",$E$6=""),"",TRIM(INDEX($A:$AP,ROW(),$E$6)&amp;""))</f>
        <v/>
      </c>
      <c r="AW1159" s="31">
        <f>IF($AU1159="","",IF(MATCH($AU1159,$AU$8:$AU$2007,0)=ROW()-7,MAX($AW$7:$AW1158)+1,""))</f>
        <v/>
      </c>
      <c r="AX1159" s="31">
        <f>IF(OR($AS1159="",$D$6=""),"",TRIM(INDEX($A:$AP,ROW(),$D$6)&amp;""))</f>
        <v/>
      </c>
      <c r="AY1159" s="31">
        <f>IF($AU1159="","",INDEX($AW$8:$AW$2007,MATCH($AU1159,$AU$8:$AU$2007,0)))</f>
        <v/>
      </c>
      <c r="AZ1159" s="31">
        <f>IF(OR($AS1159="",$C$6=""),"",TRIM(INDEX($A:$AP,ROW(),$C$6)&amp;""))</f>
        <v/>
      </c>
      <c r="BA1159" s="31">
        <f>IF($AZ1159="","",IF(COUNTIF($AZ$8:$AZ1159,$AZ1159)&gt;1,1,0))</f>
        <v/>
      </c>
    </row>
    <row r="1160">
      <c r="AR1160" s="31">
        <f>IF(OR($A$5="",$B$6="",ROW()&lt;$A$5),"",IF(INDEX($A:$AP,ROW(),$B$6)="","",INDEX($A:$AP,ROW(),$B$6)))</f>
        <v/>
      </c>
      <c r="AS1160" s="32">
        <f>IF($AR1160="","",IF(ISNUMBER($AR1160),IF($AR1160&gt;=10000000,IFERROR(DATE(INT($AR1160/10000),MOD(INT($AR1160/100),100),MOD($AR1160,100)),""),INT($AR1160)),IFERROR(DATE(--LEFT(LEFT(SUBSTITUTE(SUBSTITUTE(SUBSTITUTE(SUBSTITUTE(TRIM($AR1160),"-",""),".",""),"/","")," ",""),8),4),--MID(LEFT(SUBSTITUTE(SUBSTITUTE(SUBSTITUTE(SUBSTITUTE(TRIM($AR1160),"-",""),".",""),"/","")," ",""),8),5,2),--MID(LEFT(SUBSTITUTE(SUBSTITUTE(SUBSTITUTE(SUBSTITUTE(TRIM($AR1160),"-",""),".",""),"/","")," ",""),8),7,2)),"")))</f>
        <v/>
      </c>
      <c r="AT1160" s="33">
        <f>IF($AS1160="","",IF($F$6="",0,IF(ISNUMBER(INDEX($A:$AP,ROW(),$F$6)),INDEX($A:$AP,ROW(),$F$6),IFERROR(--SUBSTITUTE(SUBSTITUTE(TRIM(INDEX($A:$AP,ROW(),$F$6)),",",""),"원",""),0))))</f>
        <v/>
      </c>
      <c r="AU1160" s="31">
        <f>IF($AS1160="","",IF($AX1160&lt;&gt;"",SUBSTITUTE(SUBSTITUTE($AX1160,"-","")," ",""),"N:"&amp;$AV1160))</f>
        <v/>
      </c>
      <c r="AV1160" s="31">
        <f>IF(OR($AS1160="",$E$6=""),"",TRIM(INDEX($A:$AP,ROW(),$E$6)&amp;""))</f>
        <v/>
      </c>
      <c r="AW1160" s="31">
        <f>IF($AU1160="","",IF(MATCH($AU1160,$AU$8:$AU$2007,0)=ROW()-7,MAX($AW$7:$AW1159)+1,""))</f>
        <v/>
      </c>
      <c r="AX1160" s="31">
        <f>IF(OR($AS1160="",$D$6=""),"",TRIM(INDEX($A:$AP,ROW(),$D$6)&amp;""))</f>
        <v/>
      </c>
      <c r="AY1160" s="31">
        <f>IF($AU1160="","",INDEX($AW$8:$AW$2007,MATCH($AU1160,$AU$8:$AU$2007,0)))</f>
        <v/>
      </c>
      <c r="AZ1160" s="31">
        <f>IF(OR($AS1160="",$C$6=""),"",TRIM(INDEX($A:$AP,ROW(),$C$6)&amp;""))</f>
        <v/>
      </c>
      <c r="BA1160" s="31">
        <f>IF($AZ1160="","",IF(COUNTIF($AZ$8:$AZ1160,$AZ1160)&gt;1,1,0))</f>
        <v/>
      </c>
    </row>
    <row r="1161">
      <c r="AR1161" s="31">
        <f>IF(OR($A$5="",$B$6="",ROW()&lt;$A$5),"",IF(INDEX($A:$AP,ROW(),$B$6)="","",INDEX($A:$AP,ROW(),$B$6)))</f>
        <v/>
      </c>
      <c r="AS1161" s="32">
        <f>IF($AR1161="","",IF(ISNUMBER($AR1161),IF($AR1161&gt;=10000000,IFERROR(DATE(INT($AR1161/10000),MOD(INT($AR1161/100),100),MOD($AR1161,100)),""),INT($AR1161)),IFERROR(DATE(--LEFT(LEFT(SUBSTITUTE(SUBSTITUTE(SUBSTITUTE(SUBSTITUTE(TRIM($AR1161),"-",""),".",""),"/","")," ",""),8),4),--MID(LEFT(SUBSTITUTE(SUBSTITUTE(SUBSTITUTE(SUBSTITUTE(TRIM($AR1161),"-",""),".",""),"/","")," ",""),8),5,2),--MID(LEFT(SUBSTITUTE(SUBSTITUTE(SUBSTITUTE(SUBSTITUTE(TRIM($AR1161),"-",""),".",""),"/","")," ",""),8),7,2)),"")))</f>
        <v/>
      </c>
      <c r="AT1161" s="33">
        <f>IF($AS1161="","",IF($F$6="",0,IF(ISNUMBER(INDEX($A:$AP,ROW(),$F$6)),INDEX($A:$AP,ROW(),$F$6),IFERROR(--SUBSTITUTE(SUBSTITUTE(TRIM(INDEX($A:$AP,ROW(),$F$6)),",",""),"원",""),0))))</f>
        <v/>
      </c>
      <c r="AU1161" s="31">
        <f>IF($AS1161="","",IF($AX1161&lt;&gt;"",SUBSTITUTE(SUBSTITUTE($AX1161,"-","")," ",""),"N:"&amp;$AV1161))</f>
        <v/>
      </c>
      <c r="AV1161" s="31">
        <f>IF(OR($AS1161="",$E$6=""),"",TRIM(INDEX($A:$AP,ROW(),$E$6)&amp;""))</f>
        <v/>
      </c>
      <c r="AW1161" s="31">
        <f>IF($AU1161="","",IF(MATCH($AU1161,$AU$8:$AU$2007,0)=ROW()-7,MAX($AW$7:$AW1160)+1,""))</f>
        <v/>
      </c>
      <c r="AX1161" s="31">
        <f>IF(OR($AS1161="",$D$6=""),"",TRIM(INDEX($A:$AP,ROW(),$D$6)&amp;""))</f>
        <v/>
      </c>
      <c r="AY1161" s="31">
        <f>IF($AU1161="","",INDEX($AW$8:$AW$2007,MATCH($AU1161,$AU$8:$AU$2007,0)))</f>
        <v/>
      </c>
      <c r="AZ1161" s="31">
        <f>IF(OR($AS1161="",$C$6=""),"",TRIM(INDEX($A:$AP,ROW(),$C$6)&amp;""))</f>
        <v/>
      </c>
      <c r="BA1161" s="31">
        <f>IF($AZ1161="","",IF(COUNTIF($AZ$8:$AZ1161,$AZ1161)&gt;1,1,0))</f>
        <v/>
      </c>
    </row>
    <row r="1162">
      <c r="AR1162" s="31">
        <f>IF(OR($A$5="",$B$6="",ROW()&lt;$A$5),"",IF(INDEX($A:$AP,ROW(),$B$6)="","",INDEX($A:$AP,ROW(),$B$6)))</f>
        <v/>
      </c>
      <c r="AS1162" s="32">
        <f>IF($AR1162="","",IF(ISNUMBER($AR1162),IF($AR1162&gt;=10000000,IFERROR(DATE(INT($AR1162/10000),MOD(INT($AR1162/100),100),MOD($AR1162,100)),""),INT($AR1162)),IFERROR(DATE(--LEFT(LEFT(SUBSTITUTE(SUBSTITUTE(SUBSTITUTE(SUBSTITUTE(TRIM($AR1162),"-",""),".",""),"/","")," ",""),8),4),--MID(LEFT(SUBSTITUTE(SUBSTITUTE(SUBSTITUTE(SUBSTITUTE(TRIM($AR1162),"-",""),".",""),"/","")," ",""),8),5,2),--MID(LEFT(SUBSTITUTE(SUBSTITUTE(SUBSTITUTE(SUBSTITUTE(TRIM($AR1162),"-",""),".",""),"/","")," ",""),8),7,2)),"")))</f>
        <v/>
      </c>
      <c r="AT1162" s="33">
        <f>IF($AS1162="","",IF($F$6="",0,IF(ISNUMBER(INDEX($A:$AP,ROW(),$F$6)),INDEX($A:$AP,ROW(),$F$6),IFERROR(--SUBSTITUTE(SUBSTITUTE(TRIM(INDEX($A:$AP,ROW(),$F$6)),",",""),"원",""),0))))</f>
        <v/>
      </c>
      <c r="AU1162" s="31">
        <f>IF($AS1162="","",IF($AX1162&lt;&gt;"",SUBSTITUTE(SUBSTITUTE($AX1162,"-","")," ",""),"N:"&amp;$AV1162))</f>
        <v/>
      </c>
      <c r="AV1162" s="31">
        <f>IF(OR($AS1162="",$E$6=""),"",TRIM(INDEX($A:$AP,ROW(),$E$6)&amp;""))</f>
        <v/>
      </c>
      <c r="AW1162" s="31">
        <f>IF($AU1162="","",IF(MATCH($AU1162,$AU$8:$AU$2007,0)=ROW()-7,MAX($AW$7:$AW1161)+1,""))</f>
        <v/>
      </c>
      <c r="AX1162" s="31">
        <f>IF(OR($AS1162="",$D$6=""),"",TRIM(INDEX($A:$AP,ROW(),$D$6)&amp;""))</f>
        <v/>
      </c>
      <c r="AY1162" s="31">
        <f>IF($AU1162="","",INDEX($AW$8:$AW$2007,MATCH($AU1162,$AU$8:$AU$2007,0)))</f>
        <v/>
      </c>
      <c r="AZ1162" s="31">
        <f>IF(OR($AS1162="",$C$6=""),"",TRIM(INDEX($A:$AP,ROW(),$C$6)&amp;""))</f>
        <v/>
      </c>
      <c r="BA1162" s="31">
        <f>IF($AZ1162="","",IF(COUNTIF($AZ$8:$AZ1162,$AZ1162)&gt;1,1,0))</f>
        <v/>
      </c>
    </row>
    <row r="1163">
      <c r="AR1163" s="31">
        <f>IF(OR($A$5="",$B$6="",ROW()&lt;$A$5),"",IF(INDEX($A:$AP,ROW(),$B$6)="","",INDEX($A:$AP,ROW(),$B$6)))</f>
        <v/>
      </c>
      <c r="AS1163" s="32">
        <f>IF($AR1163="","",IF(ISNUMBER($AR1163),IF($AR1163&gt;=10000000,IFERROR(DATE(INT($AR1163/10000),MOD(INT($AR1163/100),100),MOD($AR1163,100)),""),INT($AR1163)),IFERROR(DATE(--LEFT(LEFT(SUBSTITUTE(SUBSTITUTE(SUBSTITUTE(SUBSTITUTE(TRIM($AR1163),"-",""),".",""),"/","")," ",""),8),4),--MID(LEFT(SUBSTITUTE(SUBSTITUTE(SUBSTITUTE(SUBSTITUTE(TRIM($AR1163),"-",""),".",""),"/","")," ",""),8),5,2),--MID(LEFT(SUBSTITUTE(SUBSTITUTE(SUBSTITUTE(SUBSTITUTE(TRIM($AR1163),"-",""),".",""),"/","")," ",""),8),7,2)),"")))</f>
        <v/>
      </c>
      <c r="AT1163" s="33">
        <f>IF($AS1163="","",IF($F$6="",0,IF(ISNUMBER(INDEX($A:$AP,ROW(),$F$6)),INDEX($A:$AP,ROW(),$F$6),IFERROR(--SUBSTITUTE(SUBSTITUTE(TRIM(INDEX($A:$AP,ROW(),$F$6)),",",""),"원",""),0))))</f>
        <v/>
      </c>
      <c r="AU1163" s="31">
        <f>IF($AS1163="","",IF($AX1163&lt;&gt;"",SUBSTITUTE(SUBSTITUTE($AX1163,"-","")," ",""),"N:"&amp;$AV1163))</f>
        <v/>
      </c>
      <c r="AV1163" s="31">
        <f>IF(OR($AS1163="",$E$6=""),"",TRIM(INDEX($A:$AP,ROW(),$E$6)&amp;""))</f>
        <v/>
      </c>
      <c r="AW1163" s="31">
        <f>IF($AU1163="","",IF(MATCH($AU1163,$AU$8:$AU$2007,0)=ROW()-7,MAX($AW$7:$AW1162)+1,""))</f>
        <v/>
      </c>
      <c r="AX1163" s="31">
        <f>IF(OR($AS1163="",$D$6=""),"",TRIM(INDEX($A:$AP,ROW(),$D$6)&amp;""))</f>
        <v/>
      </c>
      <c r="AY1163" s="31">
        <f>IF($AU1163="","",INDEX($AW$8:$AW$2007,MATCH($AU1163,$AU$8:$AU$2007,0)))</f>
        <v/>
      </c>
      <c r="AZ1163" s="31">
        <f>IF(OR($AS1163="",$C$6=""),"",TRIM(INDEX($A:$AP,ROW(),$C$6)&amp;""))</f>
        <v/>
      </c>
      <c r="BA1163" s="31">
        <f>IF($AZ1163="","",IF(COUNTIF($AZ$8:$AZ1163,$AZ1163)&gt;1,1,0))</f>
        <v/>
      </c>
    </row>
    <row r="1164">
      <c r="AR1164" s="31">
        <f>IF(OR($A$5="",$B$6="",ROW()&lt;$A$5),"",IF(INDEX($A:$AP,ROW(),$B$6)="","",INDEX($A:$AP,ROW(),$B$6)))</f>
        <v/>
      </c>
      <c r="AS1164" s="32">
        <f>IF($AR1164="","",IF(ISNUMBER($AR1164),IF($AR1164&gt;=10000000,IFERROR(DATE(INT($AR1164/10000),MOD(INT($AR1164/100),100),MOD($AR1164,100)),""),INT($AR1164)),IFERROR(DATE(--LEFT(LEFT(SUBSTITUTE(SUBSTITUTE(SUBSTITUTE(SUBSTITUTE(TRIM($AR1164),"-",""),".",""),"/","")," ",""),8),4),--MID(LEFT(SUBSTITUTE(SUBSTITUTE(SUBSTITUTE(SUBSTITUTE(TRIM($AR1164),"-",""),".",""),"/","")," ",""),8),5,2),--MID(LEFT(SUBSTITUTE(SUBSTITUTE(SUBSTITUTE(SUBSTITUTE(TRIM($AR1164),"-",""),".",""),"/","")," ",""),8),7,2)),"")))</f>
        <v/>
      </c>
      <c r="AT1164" s="33">
        <f>IF($AS1164="","",IF($F$6="",0,IF(ISNUMBER(INDEX($A:$AP,ROW(),$F$6)),INDEX($A:$AP,ROW(),$F$6),IFERROR(--SUBSTITUTE(SUBSTITUTE(TRIM(INDEX($A:$AP,ROW(),$F$6)),",",""),"원",""),0))))</f>
        <v/>
      </c>
      <c r="AU1164" s="31">
        <f>IF($AS1164="","",IF($AX1164&lt;&gt;"",SUBSTITUTE(SUBSTITUTE($AX1164,"-","")," ",""),"N:"&amp;$AV1164))</f>
        <v/>
      </c>
      <c r="AV1164" s="31">
        <f>IF(OR($AS1164="",$E$6=""),"",TRIM(INDEX($A:$AP,ROW(),$E$6)&amp;""))</f>
        <v/>
      </c>
      <c r="AW1164" s="31">
        <f>IF($AU1164="","",IF(MATCH($AU1164,$AU$8:$AU$2007,0)=ROW()-7,MAX($AW$7:$AW1163)+1,""))</f>
        <v/>
      </c>
      <c r="AX1164" s="31">
        <f>IF(OR($AS1164="",$D$6=""),"",TRIM(INDEX($A:$AP,ROW(),$D$6)&amp;""))</f>
        <v/>
      </c>
      <c r="AY1164" s="31">
        <f>IF($AU1164="","",INDEX($AW$8:$AW$2007,MATCH($AU1164,$AU$8:$AU$2007,0)))</f>
        <v/>
      </c>
      <c r="AZ1164" s="31">
        <f>IF(OR($AS1164="",$C$6=""),"",TRIM(INDEX($A:$AP,ROW(),$C$6)&amp;""))</f>
        <v/>
      </c>
      <c r="BA1164" s="31">
        <f>IF($AZ1164="","",IF(COUNTIF($AZ$8:$AZ1164,$AZ1164)&gt;1,1,0))</f>
        <v/>
      </c>
    </row>
    <row r="1165">
      <c r="AR1165" s="31">
        <f>IF(OR($A$5="",$B$6="",ROW()&lt;$A$5),"",IF(INDEX($A:$AP,ROW(),$B$6)="","",INDEX($A:$AP,ROW(),$B$6)))</f>
        <v/>
      </c>
      <c r="AS1165" s="32">
        <f>IF($AR1165="","",IF(ISNUMBER($AR1165),IF($AR1165&gt;=10000000,IFERROR(DATE(INT($AR1165/10000),MOD(INT($AR1165/100),100),MOD($AR1165,100)),""),INT($AR1165)),IFERROR(DATE(--LEFT(LEFT(SUBSTITUTE(SUBSTITUTE(SUBSTITUTE(SUBSTITUTE(TRIM($AR1165),"-",""),".",""),"/","")," ",""),8),4),--MID(LEFT(SUBSTITUTE(SUBSTITUTE(SUBSTITUTE(SUBSTITUTE(TRIM($AR1165),"-",""),".",""),"/","")," ",""),8),5,2),--MID(LEFT(SUBSTITUTE(SUBSTITUTE(SUBSTITUTE(SUBSTITUTE(TRIM($AR1165),"-",""),".",""),"/","")," ",""),8),7,2)),"")))</f>
        <v/>
      </c>
      <c r="AT1165" s="33">
        <f>IF($AS1165="","",IF($F$6="",0,IF(ISNUMBER(INDEX($A:$AP,ROW(),$F$6)),INDEX($A:$AP,ROW(),$F$6),IFERROR(--SUBSTITUTE(SUBSTITUTE(TRIM(INDEX($A:$AP,ROW(),$F$6)),",",""),"원",""),0))))</f>
        <v/>
      </c>
      <c r="AU1165" s="31">
        <f>IF($AS1165="","",IF($AX1165&lt;&gt;"",SUBSTITUTE(SUBSTITUTE($AX1165,"-","")," ",""),"N:"&amp;$AV1165))</f>
        <v/>
      </c>
      <c r="AV1165" s="31">
        <f>IF(OR($AS1165="",$E$6=""),"",TRIM(INDEX($A:$AP,ROW(),$E$6)&amp;""))</f>
        <v/>
      </c>
      <c r="AW1165" s="31">
        <f>IF($AU1165="","",IF(MATCH($AU1165,$AU$8:$AU$2007,0)=ROW()-7,MAX($AW$7:$AW1164)+1,""))</f>
        <v/>
      </c>
      <c r="AX1165" s="31">
        <f>IF(OR($AS1165="",$D$6=""),"",TRIM(INDEX($A:$AP,ROW(),$D$6)&amp;""))</f>
        <v/>
      </c>
      <c r="AY1165" s="31">
        <f>IF($AU1165="","",INDEX($AW$8:$AW$2007,MATCH($AU1165,$AU$8:$AU$2007,0)))</f>
        <v/>
      </c>
      <c r="AZ1165" s="31">
        <f>IF(OR($AS1165="",$C$6=""),"",TRIM(INDEX($A:$AP,ROW(),$C$6)&amp;""))</f>
        <v/>
      </c>
      <c r="BA1165" s="31">
        <f>IF($AZ1165="","",IF(COUNTIF($AZ$8:$AZ1165,$AZ1165)&gt;1,1,0))</f>
        <v/>
      </c>
    </row>
    <row r="1166">
      <c r="AR1166" s="31">
        <f>IF(OR($A$5="",$B$6="",ROW()&lt;$A$5),"",IF(INDEX($A:$AP,ROW(),$B$6)="","",INDEX($A:$AP,ROW(),$B$6)))</f>
        <v/>
      </c>
      <c r="AS1166" s="32">
        <f>IF($AR1166="","",IF(ISNUMBER($AR1166),IF($AR1166&gt;=10000000,IFERROR(DATE(INT($AR1166/10000),MOD(INT($AR1166/100),100),MOD($AR1166,100)),""),INT($AR1166)),IFERROR(DATE(--LEFT(LEFT(SUBSTITUTE(SUBSTITUTE(SUBSTITUTE(SUBSTITUTE(TRIM($AR1166),"-",""),".",""),"/","")," ",""),8),4),--MID(LEFT(SUBSTITUTE(SUBSTITUTE(SUBSTITUTE(SUBSTITUTE(TRIM($AR1166),"-",""),".",""),"/","")," ",""),8),5,2),--MID(LEFT(SUBSTITUTE(SUBSTITUTE(SUBSTITUTE(SUBSTITUTE(TRIM($AR1166),"-",""),".",""),"/","")," ",""),8),7,2)),"")))</f>
        <v/>
      </c>
      <c r="AT1166" s="33">
        <f>IF($AS1166="","",IF($F$6="",0,IF(ISNUMBER(INDEX($A:$AP,ROW(),$F$6)),INDEX($A:$AP,ROW(),$F$6),IFERROR(--SUBSTITUTE(SUBSTITUTE(TRIM(INDEX($A:$AP,ROW(),$F$6)),",",""),"원",""),0))))</f>
        <v/>
      </c>
      <c r="AU1166" s="31">
        <f>IF($AS1166="","",IF($AX1166&lt;&gt;"",SUBSTITUTE(SUBSTITUTE($AX1166,"-","")," ",""),"N:"&amp;$AV1166))</f>
        <v/>
      </c>
      <c r="AV1166" s="31">
        <f>IF(OR($AS1166="",$E$6=""),"",TRIM(INDEX($A:$AP,ROW(),$E$6)&amp;""))</f>
        <v/>
      </c>
      <c r="AW1166" s="31">
        <f>IF($AU1166="","",IF(MATCH($AU1166,$AU$8:$AU$2007,0)=ROW()-7,MAX($AW$7:$AW1165)+1,""))</f>
        <v/>
      </c>
      <c r="AX1166" s="31">
        <f>IF(OR($AS1166="",$D$6=""),"",TRIM(INDEX($A:$AP,ROW(),$D$6)&amp;""))</f>
        <v/>
      </c>
      <c r="AY1166" s="31">
        <f>IF($AU1166="","",INDEX($AW$8:$AW$2007,MATCH($AU1166,$AU$8:$AU$2007,0)))</f>
        <v/>
      </c>
      <c r="AZ1166" s="31">
        <f>IF(OR($AS1166="",$C$6=""),"",TRIM(INDEX($A:$AP,ROW(),$C$6)&amp;""))</f>
        <v/>
      </c>
      <c r="BA1166" s="31">
        <f>IF($AZ1166="","",IF(COUNTIF($AZ$8:$AZ1166,$AZ1166)&gt;1,1,0))</f>
        <v/>
      </c>
    </row>
    <row r="1167">
      <c r="AR1167" s="31">
        <f>IF(OR($A$5="",$B$6="",ROW()&lt;$A$5),"",IF(INDEX($A:$AP,ROW(),$B$6)="","",INDEX($A:$AP,ROW(),$B$6)))</f>
        <v/>
      </c>
      <c r="AS1167" s="32">
        <f>IF($AR1167="","",IF(ISNUMBER($AR1167),IF($AR1167&gt;=10000000,IFERROR(DATE(INT($AR1167/10000),MOD(INT($AR1167/100),100),MOD($AR1167,100)),""),INT($AR1167)),IFERROR(DATE(--LEFT(LEFT(SUBSTITUTE(SUBSTITUTE(SUBSTITUTE(SUBSTITUTE(TRIM($AR1167),"-",""),".",""),"/","")," ",""),8),4),--MID(LEFT(SUBSTITUTE(SUBSTITUTE(SUBSTITUTE(SUBSTITUTE(TRIM($AR1167),"-",""),".",""),"/","")," ",""),8),5,2),--MID(LEFT(SUBSTITUTE(SUBSTITUTE(SUBSTITUTE(SUBSTITUTE(TRIM($AR1167),"-",""),".",""),"/","")," ",""),8),7,2)),"")))</f>
        <v/>
      </c>
      <c r="AT1167" s="33">
        <f>IF($AS1167="","",IF($F$6="",0,IF(ISNUMBER(INDEX($A:$AP,ROW(),$F$6)),INDEX($A:$AP,ROW(),$F$6),IFERROR(--SUBSTITUTE(SUBSTITUTE(TRIM(INDEX($A:$AP,ROW(),$F$6)),",",""),"원",""),0))))</f>
        <v/>
      </c>
      <c r="AU1167" s="31">
        <f>IF($AS1167="","",IF($AX1167&lt;&gt;"",SUBSTITUTE(SUBSTITUTE($AX1167,"-","")," ",""),"N:"&amp;$AV1167))</f>
        <v/>
      </c>
      <c r="AV1167" s="31">
        <f>IF(OR($AS1167="",$E$6=""),"",TRIM(INDEX($A:$AP,ROW(),$E$6)&amp;""))</f>
        <v/>
      </c>
      <c r="AW1167" s="31">
        <f>IF($AU1167="","",IF(MATCH($AU1167,$AU$8:$AU$2007,0)=ROW()-7,MAX($AW$7:$AW1166)+1,""))</f>
        <v/>
      </c>
      <c r="AX1167" s="31">
        <f>IF(OR($AS1167="",$D$6=""),"",TRIM(INDEX($A:$AP,ROW(),$D$6)&amp;""))</f>
        <v/>
      </c>
      <c r="AY1167" s="31">
        <f>IF($AU1167="","",INDEX($AW$8:$AW$2007,MATCH($AU1167,$AU$8:$AU$2007,0)))</f>
        <v/>
      </c>
      <c r="AZ1167" s="31">
        <f>IF(OR($AS1167="",$C$6=""),"",TRIM(INDEX($A:$AP,ROW(),$C$6)&amp;""))</f>
        <v/>
      </c>
      <c r="BA1167" s="31">
        <f>IF($AZ1167="","",IF(COUNTIF($AZ$8:$AZ1167,$AZ1167)&gt;1,1,0))</f>
        <v/>
      </c>
    </row>
    <row r="1168">
      <c r="AR1168" s="31">
        <f>IF(OR($A$5="",$B$6="",ROW()&lt;$A$5),"",IF(INDEX($A:$AP,ROW(),$B$6)="","",INDEX($A:$AP,ROW(),$B$6)))</f>
        <v/>
      </c>
      <c r="AS1168" s="32">
        <f>IF($AR1168="","",IF(ISNUMBER($AR1168),IF($AR1168&gt;=10000000,IFERROR(DATE(INT($AR1168/10000),MOD(INT($AR1168/100),100),MOD($AR1168,100)),""),INT($AR1168)),IFERROR(DATE(--LEFT(LEFT(SUBSTITUTE(SUBSTITUTE(SUBSTITUTE(SUBSTITUTE(TRIM($AR1168),"-",""),".",""),"/","")," ",""),8),4),--MID(LEFT(SUBSTITUTE(SUBSTITUTE(SUBSTITUTE(SUBSTITUTE(TRIM($AR1168),"-",""),".",""),"/","")," ",""),8),5,2),--MID(LEFT(SUBSTITUTE(SUBSTITUTE(SUBSTITUTE(SUBSTITUTE(TRIM($AR1168),"-",""),".",""),"/","")," ",""),8),7,2)),"")))</f>
        <v/>
      </c>
      <c r="AT1168" s="33">
        <f>IF($AS1168="","",IF($F$6="",0,IF(ISNUMBER(INDEX($A:$AP,ROW(),$F$6)),INDEX($A:$AP,ROW(),$F$6),IFERROR(--SUBSTITUTE(SUBSTITUTE(TRIM(INDEX($A:$AP,ROW(),$F$6)),",",""),"원",""),0))))</f>
        <v/>
      </c>
      <c r="AU1168" s="31">
        <f>IF($AS1168="","",IF($AX1168&lt;&gt;"",SUBSTITUTE(SUBSTITUTE($AX1168,"-","")," ",""),"N:"&amp;$AV1168))</f>
        <v/>
      </c>
      <c r="AV1168" s="31">
        <f>IF(OR($AS1168="",$E$6=""),"",TRIM(INDEX($A:$AP,ROW(),$E$6)&amp;""))</f>
        <v/>
      </c>
      <c r="AW1168" s="31">
        <f>IF($AU1168="","",IF(MATCH($AU1168,$AU$8:$AU$2007,0)=ROW()-7,MAX($AW$7:$AW1167)+1,""))</f>
        <v/>
      </c>
      <c r="AX1168" s="31">
        <f>IF(OR($AS1168="",$D$6=""),"",TRIM(INDEX($A:$AP,ROW(),$D$6)&amp;""))</f>
        <v/>
      </c>
      <c r="AY1168" s="31">
        <f>IF($AU1168="","",INDEX($AW$8:$AW$2007,MATCH($AU1168,$AU$8:$AU$2007,0)))</f>
        <v/>
      </c>
      <c r="AZ1168" s="31">
        <f>IF(OR($AS1168="",$C$6=""),"",TRIM(INDEX($A:$AP,ROW(),$C$6)&amp;""))</f>
        <v/>
      </c>
      <c r="BA1168" s="31">
        <f>IF($AZ1168="","",IF(COUNTIF($AZ$8:$AZ1168,$AZ1168)&gt;1,1,0))</f>
        <v/>
      </c>
    </row>
    <row r="1169">
      <c r="AR1169" s="31">
        <f>IF(OR($A$5="",$B$6="",ROW()&lt;$A$5),"",IF(INDEX($A:$AP,ROW(),$B$6)="","",INDEX($A:$AP,ROW(),$B$6)))</f>
        <v/>
      </c>
      <c r="AS1169" s="32">
        <f>IF($AR1169="","",IF(ISNUMBER($AR1169),IF($AR1169&gt;=10000000,IFERROR(DATE(INT($AR1169/10000),MOD(INT($AR1169/100),100),MOD($AR1169,100)),""),INT($AR1169)),IFERROR(DATE(--LEFT(LEFT(SUBSTITUTE(SUBSTITUTE(SUBSTITUTE(SUBSTITUTE(TRIM($AR1169),"-",""),".",""),"/","")," ",""),8),4),--MID(LEFT(SUBSTITUTE(SUBSTITUTE(SUBSTITUTE(SUBSTITUTE(TRIM($AR1169),"-",""),".",""),"/","")," ",""),8),5,2),--MID(LEFT(SUBSTITUTE(SUBSTITUTE(SUBSTITUTE(SUBSTITUTE(TRIM($AR1169),"-",""),".",""),"/","")," ",""),8),7,2)),"")))</f>
        <v/>
      </c>
      <c r="AT1169" s="33">
        <f>IF($AS1169="","",IF($F$6="",0,IF(ISNUMBER(INDEX($A:$AP,ROW(),$F$6)),INDEX($A:$AP,ROW(),$F$6),IFERROR(--SUBSTITUTE(SUBSTITUTE(TRIM(INDEX($A:$AP,ROW(),$F$6)),",",""),"원",""),0))))</f>
        <v/>
      </c>
      <c r="AU1169" s="31">
        <f>IF($AS1169="","",IF($AX1169&lt;&gt;"",SUBSTITUTE(SUBSTITUTE($AX1169,"-","")," ",""),"N:"&amp;$AV1169))</f>
        <v/>
      </c>
      <c r="AV1169" s="31">
        <f>IF(OR($AS1169="",$E$6=""),"",TRIM(INDEX($A:$AP,ROW(),$E$6)&amp;""))</f>
        <v/>
      </c>
      <c r="AW1169" s="31">
        <f>IF($AU1169="","",IF(MATCH($AU1169,$AU$8:$AU$2007,0)=ROW()-7,MAX($AW$7:$AW1168)+1,""))</f>
        <v/>
      </c>
      <c r="AX1169" s="31">
        <f>IF(OR($AS1169="",$D$6=""),"",TRIM(INDEX($A:$AP,ROW(),$D$6)&amp;""))</f>
        <v/>
      </c>
      <c r="AY1169" s="31">
        <f>IF($AU1169="","",INDEX($AW$8:$AW$2007,MATCH($AU1169,$AU$8:$AU$2007,0)))</f>
        <v/>
      </c>
      <c r="AZ1169" s="31">
        <f>IF(OR($AS1169="",$C$6=""),"",TRIM(INDEX($A:$AP,ROW(),$C$6)&amp;""))</f>
        <v/>
      </c>
      <c r="BA1169" s="31">
        <f>IF($AZ1169="","",IF(COUNTIF($AZ$8:$AZ1169,$AZ1169)&gt;1,1,0))</f>
        <v/>
      </c>
    </row>
    <row r="1170">
      <c r="AR1170" s="31">
        <f>IF(OR($A$5="",$B$6="",ROW()&lt;$A$5),"",IF(INDEX($A:$AP,ROW(),$B$6)="","",INDEX($A:$AP,ROW(),$B$6)))</f>
        <v/>
      </c>
      <c r="AS1170" s="32">
        <f>IF($AR1170="","",IF(ISNUMBER($AR1170),IF($AR1170&gt;=10000000,IFERROR(DATE(INT($AR1170/10000),MOD(INT($AR1170/100),100),MOD($AR1170,100)),""),INT($AR1170)),IFERROR(DATE(--LEFT(LEFT(SUBSTITUTE(SUBSTITUTE(SUBSTITUTE(SUBSTITUTE(TRIM($AR1170),"-",""),".",""),"/","")," ",""),8),4),--MID(LEFT(SUBSTITUTE(SUBSTITUTE(SUBSTITUTE(SUBSTITUTE(TRIM($AR1170),"-",""),".",""),"/","")," ",""),8),5,2),--MID(LEFT(SUBSTITUTE(SUBSTITUTE(SUBSTITUTE(SUBSTITUTE(TRIM($AR1170),"-",""),".",""),"/","")," ",""),8),7,2)),"")))</f>
        <v/>
      </c>
      <c r="AT1170" s="33">
        <f>IF($AS1170="","",IF($F$6="",0,IF(ISNUMBER(INDEX($A:$AP,ROW(),$F$6)),INDEX($A:$AP,ROW(),$F$6),IFERROR(--SUBSTITUTE(SUBSTITUTE(TRIM(INDEX($A:$AP,ROW(),$F$6)),",",""),"원",""),0))))</f>
        <v/>
      </c>
      <c r="AU1170" s="31">
        <f>IF($AS1170="","",IF($AX1170&lt;&gt;"",SUBSTITUTE(SUBSTITUTE($AX1170,"-","")," ",""),"N:"&amp;$AV1170))</f>
        <v/>
      </c>
      <c r="AV1170" s="31">
        <f>IF(OR($AS1170="",$E$6=""),"",TRIM(INDEX($A:$AP,ROW(),$E$6)&amp;""))</f>
        <v/>
      </c>
      <c r="AW1170" s="31">
        <f>IF($AU1170="","",IF(MATCH($AU1170,$AU$8:$AU$2007,0)=ROW()-7,MAX($AW$7:$AW1169)+1,""))</f>
        <v/>
      </c>
      <c r="AX1170" s="31">
        <f>IF(OR($AS1170="",$D$6=""),"",TRIM(INDEX($A:$AP,ROW(),$D$6)&amp;""))</f>
        <v/>
      </c>
      <c r="AY1170" s="31">
        <f>IF($AU1170="","",INDEX($AW$8:$AW$2007,MATCH($AU1170,$AU$8:$AU$2007,0)))</f>
        <v/>
      </c>
      <c r="AZ1170" s="31">
        <f>IF(OR($AS1170="",$C$6=""),"",TRIM(INDEX($A:$AP,ROW(),$C$6)&amp;""))</f>
        <v/>
      </c>
      <c r="BA1170" s="31">
        <f>IF($AZ1170="","",IF(COUNTIF($AZ$8:$AZ1170,$AZ1170)&gt;1,1,0))</f>
        <v/>
      </c>
    </row>
    <row r="1171">
      <c r="AR1171" s="31">
        <f>IF(OR($A$5="",$B$6="",ROW()&lt;$A$5),"",IF(INDEX($A:$AP,ROW(),$B$6)="","",INDEX($A:$AP,ROW(),$B$6)))</f>
        <v/>
      </c>
      <c r="AS1171" s="32">
        <f>IF($AR1171="","",IF(ISNUMBER($AR1171),IF($AR1171&gt;=10000000,IFERROR(DATE(INT($AR1171/10000),MOD(INT($AR1171/100),100),MOD($AR1171,100)),""),INT($AR1171)),IFERROR(DATE(--LEFT(LEFT(SUBSTITUTE(SUBSTITUTE(SUBSTITUTE(SUBSTITUTE(TRIM($AR1171),"-",""),".",""),"/","")," ",""),8),4),--MID(LEFT(SUBSTITUTE(SUBSTITUTE(SUBSTITUTE(SUBSTITUTE(TRIM($AR1171),"-",""),".",""),"/","")," ",""),8),5,2),--MID(LEFT(SUBSTITUTE(SUBSTITUTE(SUBSTITUTE(SUBSTITUTE(TRIM($AR1171),"-",""),".",""),"/","")," ",""),8),7,2)),"")))</f>
        <v/>
      </c>
      <c r="AT1171" s="33">
        <f>IF($AS1171="","",IF($F$6="",0,IF(ISNUMBER(INDEX($A:$AP,ROW(),$F$6)),INDEX($A:$AP,ROW(),$F$6),IFERROR(--SUBSTITUTE(SUBSTITUTE(TRIM(INDEX($A:$AP,ROW(),$F$6)),",",""),"원",""),0))))</f>
        <v/>
      </c>
      <c r="AU1171" s="31">
        <f>IF($AS1171="","",IF($AX1171&lt;&gt;"",SUBSTITUTE(SUBSTITUTE($AX1171,"-","")," ",""),"N:"&amp;$AV1171))</f>
        <v/>
      </c>
      <c r="AV1171" s="31">
        <f>IF(OR($AS1171="",$E$6=""),"",TRIM(INDEX($A:$AP,ROW(),$E$6)&amp;""))</f>
        <v/>
      </c>
      <c r="AW1171" s="31">
        <f>IF($AU1171="","",IF(MATCH($AU1171,$AU$8:$AU$2007,0)=ROW()-7,MAX($AW$7:$AW1170)+1,""))</f>
        <v/>
      </c>
      <c r="AX1171" s="31">
        <f>IF(OR($AS1171="",$D$6=""),"",TRIM(INDEX($A:$AP,ROW(),$D$6)&amp;""))</f>
        <v/>
      </c>
      <c r="AY1171" s="31">
        <f>IF($AU1171="","",INDEX($AW$8:$AW$2007,MATCH($AU1171,$AU$8:$AU$2007,0)))</f>
        <v/>
      </c>
      <c r="AZ1171" s="31">
        <f>IF(OR($AS1171="",$C$6=""),"",TRIM(INDEX($A:$AP,ROW(),$C$6)&amp;""))</f>
        <v/>
      </c>
      <c r="BA1171" s="31">
        <f>IF($AZ1171="","",IF(COUNTIF($AZ$8:$AZ1171,$AZ1171)&gt;1,1,0))</f>
        <v/>
      </c>
    </row>
    <row r="1172">
      <c r="AR1172" s="31">
        <f>IF(OR($A$5="",$B$6="",ROW()&lt;$A$5),"",IF(INDEX($A:$AP,ROW(),$B$6)="","",INDEX($A:$AP,ROW(),$B$6)))</f>
        <v/>
      </c>
      <c r="AS1172" s="32">
        <f>IF($AR1172="","",IF(ISNUMBER($AR1172),IF($AR1172&gt;=10000000,IFERROR(DATE(INT($AR1172/10000),MOD(INT($AR1172/100),100),MOD($AR1172,100)),""),INT($AR1172)),IFERROR(DATE(--LEFT(LEFT(SUBSTITUTE(SUBSTITUTE(SUBSTITUTE(SUBSTITUTE(TRIM($AR1172),"-",""),".",""),"/","")," ",""),8),4),--MID(LEFT(SUBSTITUTE(SUBSTITUTE(SUBSTITUTE(SUBSTITUTE(TRIM($AR1172),"-",""),".",""),"/","")," ",""),8),5,2),--MID(LEFT(SUBSTITUTE(SUBSTITUTE(SUBSTITUTE(SUBSTITUTE(TRIM($AR1172),"-",""),".",""),"/","")," ",""),8),7,2)),"")))</f>
        <v/>
      </c>
      <c r="AT1172" s="33">
        <f>IF($AS1172="","",IF($F$6="",0,IF(ISNUMBER(INDEX($A:$AP,ROW(),$F$6)),INDEX($A:$AP,ROW(),$F$6),IFERROR(--SUBSTITUTE(SUBSTITUTE(TRIM(INDEX($A:$AP,ROW(),$F$6)),",",""),"원",""),0))))</f>
        <v/>
      </c>
      <c r="AU1172" s="31">
        <f>IF($AS1172="","",IF($AX1172&lt;&gt;"",SUBSTITUTE(SUBSTITUTE($AX1172,"-","")," ",""),"N:"&amp;$AV1172))</f>
        <v/>
      </c>
      <c r="AV1172" s="31">
        <f>IF(OR($AS1172="",$E$6=""),"",TRIM(INDEX($A:$AP,ROW(),$E$6)&amp;""))</f>
        <v/>
      </c>
      <c r="AW1172" s="31">
        <f>IF($AU1172="","",IF(MATCH($AU1172,$AU$8:$AU$2007,0)=ROW()-7,MAX($AW$7:$AW1171)+1,""))</f>
        <v/>
      </c>
      <c r="AX1172" s="31">
        <f>IF(OR($AS1172="",$D$6=""),"",TRIM(INDEX($A:$AP,ROW(),$D$6)&amp;""))</f>
        <v/>
      </c>
      <c r="AY1172" s="31">
        <f>IF($AU1172="","",INDEX($AW$8:$AW$2007,MATCH($AU1172,$AU$8:$AU$2007,0)))</f>
        <v/>
      </c>
      <c r="AZ1172" s="31">
        <f>IF(OR($AS1172="",$C$6=""),"",TRIM(INDEX($A:$AP,ROW(),$C$6)&amp;""))</f>
        <v/>
      </c>
      <c r="BA1172" s="31">
        <f>IF($AZ1172="","",IF(COUNTIF($AZ$8:$AZ1172,$AZ1172)&gt;1,1,0))</f>
        <v/>
      </c>
    </row>
    <row r="1173">
      <c r="AR1173" s="31">
        <f>IF(OR($A$5="",$B$6="",ROW()&lt;$A$5),"",IF(INDEX($A:$AP,ROW(),$B$6)="","",INDEX($A:$AP,ROW(),$B$6)))</f>
        <v/>
      </c>
      <c r="AS1173" s="32">
        <f>IF($AR1173="","",IF(ISNUMBER($AR1173),IF($AR1173&gt;=10000000,IFERROR(DATE(INT($AR1173/10000),MOD(INT($AR1173/100),100),MOD($AR1173,100)),""),INT($AR1173)),IFERROR(DATE(--LEFT(LEFT(SUBSTITUTE(SUBSTITUTE(SUBSTITUTE(SUBSTITUTE(TRIM($AR1173),"-",""),".",""),"/","")," ",""),8),4),--MID(LEFT(SUBSTITUTE(SUBSTITUTE(SUBSTITUTE(SUBSTITUTE(TRIM($AR1173),"-",""),".",""),"/","")," ",""),8),5,2),--MID(LEFT(SUBSTITUTE(SUBSTITUTE(SUBSTITUTE(SUBSTITUTE(TRIM($AR1173),"-",""),".",""),"/","")," ",""),8),7,2)),"")))</f>
        <v/>
      </c>
      <c r="AT1173" s="33">
        <f>IF($AS1173="","",IF($F$6="",0,IF(ISNUMBER(INDEX($A:$AP,ROW(),$F$6)),INDEX($A:$AP,ROW(),$F$6),IFERROR(--SUBSTITUTE(SUBSTITUTE(TRIM(INDEX($A:$AP,ROW(),$F$6)),",",""),"원",""),0))))</f>
        <v/>
      </c>
      <c r="AU1173" s="31">
        <f>IF($AS1173="","",IF($AX1173&lt;&gt;"",SUBSTITUTE(SUBSTITUTE($AX1173,"-","")," ",""),"N:"&amp;$AV1173))</f>
        <v/>
      </c>
      <c r="AV1173" s="31">
        <f>IF(OR($AS1173="",$E$6=""),"",TRIM(INDEX($A:$AP,ROW(),$E$6)&amp;""))</f>
        <v/>
      </c>
      <c r="AW1173" s="31">
        <f>IF($AU1173="","",IF(MATCH($AU1173,$AU$8:$AU$2007,0)=ROW()-7,MAX($AW$7:$AW1172)+1,""))</f>
        <v/>
      </c>
      <c r="AX1173" s="31">
        <f>IF(OR($AS1173="",$D$6=""),"",TRIM(INDEX($A:$AP,ROW(),$D$6)&amp;""))</f>
        <v/>
      </c>
      <c r="AY1173" s="31">
        <f>IF($AU1173="","",INDEX($AW$8:$AW$2007,MATCH($AU1173,$AU$8:$AU$2007,0)))</f>
        <v/>
      </c>
      <c r="AZ1173" s="31">
        <f>IF(OR($AS1173="",$C$6=""),"",TRIM(INDEX($A:$AP,ROW(),$C$6)&amp;""))</f>
        <v/>
      </c>
      <c r="BA1173" s="31">
        <f>IF($AZ1173="","",IF(COUNTIF($AZ$8:$AZ1173,$AZ1173)&gt;1,1,0))</f>
        <v/>
      </c>
    </row>
    <row r="1174">
      <c r="AR1174" s="31">
        <f>IF(OR($A$5="",$B$6="",ROW()&lt;$A$5),"",IF(INDEX($A:$AP,ROW(),$B$6)="","",INDEX($A:$AP,ROW(),$B$6)))</f>
        <v/>
      </c>
      <c r="AS1174" s="32">
        <f>IF($AR1174="","",IF(ISNUMBER($AR1174),IF($AR1174&gt;=10000000,IFERROR(DATE(INT($AR1174/10000),MOD(INT($AR1174/100),100),MOD($AR1174,100)),""),INT($AR1174)),IFERROR(DATE(--LEFT(LEFT(SUBSTITUTE(SUBSTITUTE(SUBSTITUTE(SUBSTITUTE(TRIM($AR1174),"-",""),".",""),"/","")," ",""),8),4),--MID(LEFT(SUBSTITUTE(SUBSTITUTE(SUBSTITUTE(SUBSTITUTE(TRIM($AR1174),"-",""),".",""),"/","")," ",""),8),5,2),--MID(LEFT(SUBSTITUTE(SUBSTITUTE(SUBSTITUTE(SUBSTITUTE(TRIM($AR1174),"-",""),".",""),"/","")," ",""),8),7,2)),"")))</f>
        <v/>
      </c>
      <c r="AT1174" s="33">
        <f>IF($AS1174="","",IF($F$6="",0,IF(ISNUMBER(INDEX($A:$AP,ROW(),$F$6)),INDEX($A:$AP,ROW(),$F$6),IFERROR(--SUBSTITUTE(SUBSTITUTE(TRIM(INDEX($A:$AP,ROW(),$F$6)),",",""),"원",""),0))))</f>
        <v/>
      </c>
      <c r="AU1174" s="31">
        <f>IF($AS1174="","",IF($AX1174&lt;&gt;"",SUBSTITUTE(SUBSTITUTE($AX1174,"-","")," ",""),"N:"&amp;$AV1174))</f>
        <v/>
      </c>
      <c r="AV1174" s="31">
        <f>IF(OR($AS1174="",$E$6=""),"",TRIM(INDEX($A:$AP,ROW(),$E$6)&amp;""))</f>
        <v/>
      </c>
      <c r="AW1174" s="31">
        <f>IF($AU1174="","",IF(MATCH($AU1174,$AU$8:$AU$2007,0)=ROW()-7,MAX($AW$7:$AW1173)+1,""))</f>
        <v/>
      </c>
      <c r="AX1174" s="31">
        <f>IF(OR($AS1174="",$D$6=""),"",TRIM(INDEX($A:$AP,ROW(),$D$6)&amp;""))</f>
        <v/>
      </c>
      <c r="AY1174" s="31">
        <f>IF($AU1174="","",INDEX($AW$8:$AW$2007,MATCH($AU1174,$AU$8:$AU$2007,0)))</f>
        <v/>
      </c>
      <c r="AZ1174" s="31">
        <f>IF(OR($AS1174="",$C$6=""),"",TRIM(INDEX($A:$AP,ROW(),$C$6)&amp;""))</f>
        <v/>
      </c>
      <c r="BA1174" s="31">
        <f>IF($AZ1174="","",IF(COUNTIF($AZ$8:$AZ1174,$AZ1174)&gt;1,1,0))</f>
        <v/>
      </c>
    </row>
    <row r="1175">
      <c r="AR1175" s="31">
        <f>IF(OR($A$5="",$B$6="",ROW()&lt;$A$5),"",IF(INDEX($A:$AP,ROW(),$B$6)="","",INDEX($A:$AP,ROW(),$B$6)))</f>
        <v/>
      </c>
      <c r="AS1175" s="32">
        <f>IF($AR1175="","",IF(ISNUMBER($AR1175),IF($AR1175&gt;=10000000,IFERROR(DATE(INT($AR1175/10000),MOD(INT($AR1175/100),100),MOD($AR1175,100)),""),INT($AR1175)),IFERROR(DATE(--LEFT(LEFT(SUBSTITUTE(SUBSTITUTE(SUBSTITUTE(SUBSTITUTE(TRIM($AR1175),"-",""),".",""),"/","")," ",""),8),4),--MID(LEFT(SUBSTITUTE(SUBSTITUTE(SUBSTITUTE(SUBSTITUTE(TRIM($AR1175),"-",""),".",""),"/","")," ",""),8),5,2),--MID(LEFT(SUBSTITUTE(SUBSTITUTE(SUBSTITUTE(SUBSTITUTE(TRIM($AR1175),"-",""),".",""),"/","")," ",""),8),7,2)),"")))</f>
        <v/>
      </c>
      <c r="AT1175" s="33">
        <f>IF($AS1175="","",IF($F$6="",0,IF(ISNUMBER(INDEX($A:$AP,ROW(),$F$6)),INDEX($A:$AP,ROW(),$F$6),IFERROR(--SUBSTITUTE(SUBSTITUTE(TRIM(INDEX($A:$AP,ROW(),$F$6)),",",""),"원",""),0))))</f>
        <v/>
      </c>
      <c r="AU1175" s="31">
        <f>IF($AS1175="","",IF($AX1175&lt;&gt;"",SUBSTITUTE(SUBSTITUTE($AX1175,"-","")," ",""),"N:"&amp;$AV1175))</f>
        <v/>
      </c>
      <c r="AV1175" s="31">
        <f>IF(OR($AS1175="",$E$6=""),"",TRIM(INDEX($A:$AP,ROW(),$E$6)&amp;""))</f>
        <v/>
      </c>
      <c r="AW1175" s="31">
        <f>IF($AU1175="","",IF(MATCH($AU1175,$AU$8:$AU$2007,0)=ROW()-7,MAX($AW$7:$AW1174)+1,""))</f>
        <v/>
      </c>
      <c r="AX1175" s="31">
        <f>IF(OR($AS1175="",$D$6=""),"",TRIM(INDEX($A:$AP,ROW(),$D$6)&amp;""))</f>
        <v/>
      </c>
      <c r="AY1175" s="31">
        <f>IF($AU1175="","",INDEX($AW$8:$AW$2007,MATCH($AU1175,$AU$8:$AU$2007,0)))</f>
        <v/>
      </c>
      <c r="AZ1175" s="31">
        <f>IF(OR($AS1175="",$C$6=""),"",TRIM(INDEX($A:$AP,ROW(),$C$6)&amp;""))</f>
        <v/>
      </c>
      <c r="BA1175" s="31">
        <f>IF($AZ1175="","",IF(COUNTIF($AZ$8:$AZ1175,$AZ1175)&gt;1,1,0))</f>
        <v/>
      </c>
    </row>
    <row r="1176">
      <c r="AR1176" s="31">
        <f>IF(OR($A$5="",$B$6="",ROW()&lt;$A$5),"",IF(INDEX($A:$AP,ROW(),$B$6)="","",INDEX($A:$AP,ROW(),$B$6)))</f>
        <v/>
      </c>
      <c r="AS1176" s="32">
        <f>IF($AR1176="","",IF(ISNUMBER($AR1176),IF($AR1176&gt;=10000000,IFERROR(DATE(INT($AR1176/10000),MOD(INT($AR1176/100),100),MOD($AR1176,100)),""),INT($AR1176)),IFERROR(DATE(--LEFT(LEFT(SUBSTITUTE(SUBSTITUTE(SUBSTITUTE(SUBSTITUTE(TRIM($AR1176),"-",""),".",""),"/","")," ",""),8),4),--MID(LEFT(SUBSTITUTE(SUBSTITUTE(SUBSTITUTE(SUBSTITUTE(TRIM($AR1176),"-",""),".",""),"/","")," ",""),8),5,2),--MID(LEFT(SUBSTITUTE(SUBSTITUTE(SUBSTITUTE(SUBSTITUTE(TRIM($AR1176),"-",""),".",""),"/","")," ",""),8),7,2)),"")))</f>
        <v/>
      </c>
      <c r="AT1176" s="33">
        <f>IF($AS1176="","",IF($F$6="",0,IF(ISNUMBER(INDEX($A:$AP,ROW(),$F$6)),INDEX($A:$AP,ROW(),$F$6),IFERROR(--SUBSTITUTE(SUBSTITUTE(TRIM(INDEX($A:$AP,ROW(),$F$6)),",",""),"원",""),0))))</f>
        <v/>
      </c>
      <c r="AU1176" s="31">
        <f>IF($AS1176="","",IF($AX1176&lt;&gt;"",SUBSTITUTE(SUBSTITUTE($AX1176,"-","")," ",""),"N:"&amp;$AV1176))</f>
        <v/>
      </c>
      <c r="AV1176" s="31">
        <f>IF(OR($AS1176="",$E$6=""),"",TRIM(INDEX($A:$AP,ROW(),$E$6)&amp;""))</f>
        <v/>
      </c>
      <c r="AW1176" s="31">
        <f>IF($AU1176="","",IF(MATCH($AU1176,$AU$8:$AU$2007,0)=ROW()-7,MAX($AW$7:$AW1175)+1,""))</f>
        <v/>
      </c>
      <c r="AX1176" s="31">
        <f>IF(OR($AS1176="",$D$6=""),"",TRIM(INDEX($A:$AP,ROW(),$D$6)&amp;""))</f>
        <v/>
      </c>
      <c r="AY1176" s="31">
        <f>IF($AU1176="","",INDEX($AW$8:$AW$2007,MATCH($AU1176,$AU$8:$AU$2007,0)))</f>
        <v/>
      </c>
      <c r="AZ1176" s="31">
        <f>IF(OR($AS1176="",$C$6=""),"",TRIM(INDEX($A:$AP,ROW(),$C$6)&amp;""))</f>
        <v/>
      </c>
      <c r="BA1176" s="31">
        <f>IF($AZ1176="","",IF(COUNTIF($AZ$8:$AZ1176,$AZ1176)&gt;1,1,0))</f>
        <v/>
      </c>
    </row>
    <row r="1177">
      <c r="AR1177" s="31">
        <f>IF(OR($A$5="",$B$6="",ROW()&lt;$A$5),"",IF(INDEX($A:$AP,ROW(),$B$6)="","",INDEX($A:$AP,ROW(),$B$6)))</f>
        <v/>
      </c>
      <c r="AS1177" s="32">
        <f>IF($AR1177="","",IF(ISNUMBER($AR1177),IF($AR1177&gt;=10000000,IFERROR(DATE(INT($AR1177/10000),MOD(INT($AR1177/100),100),MOD($AR1177,100)),""),INT($AR1177)),IFERROR(DATE(--LEFT(LEFT(SUBSTITUTE(SUBSTITUTE(SUBSTITUTE(SUBSTITUTE(TRIM($AR1177),"-",""),".",""),"/","")," ",""),8),4),--MID(LEFT(SUBSTITUTE(SUBSTITUTE(SUBSTITUTE(SUBSTITUTE(TRIM($AR1177),"-",""),".",""),"/","")," ",""),8),5,2),--MID(LEFT(SUBSTITUTE(SUBSTITUTE(SUBSTITUTE(SUBSTITUTE(TRIM($AR1177),"-",""),".",""),"/","")," ",""),8),7,2)),"")))</f>
        <v/>
      </c>
      <c r="AT1177" s="33">
        <f>IF($AS1177="","",IF($F$6="",0,IF(ISNUMBER(INDEX($A:$AP,ROW(),$F$6)),INDEX($A:$AP,ROW(),$F$6),IFERROR(--SUBSTITUTE(SUBSTITUTE(TRIM(INDEX($A:$AP,ROW(),$F$6)),",",""),"원",""),0))))</f>
        <v/>
      </c>
      <c r="AU1177" s="31">
        <f>IF($AS1177="","",IF($AX1177&lt;&gt;"",SUBSTITUTE(SUBSTITUTE($AX1177,"-","")," ",""),"N:"&amp;$AV1177))</f>
        <v/>
      </c>
      <c r="AV1177" s="31">
        <f>IF(OR($AS1177="",$E$6=""),"",TRIM(INDEX($A:$AP,ROW(),$E$6)&amp;""))</f>
        <v/>
      </c>
      <c r="AW1177" s="31">
        <f>IF($AU1177="","",IF(MATCH($AU1177,$AU$8:$AU$2007,0)=ROW()-7,MAX($AW$7:$AW1176)+1,""))</f>
        <v/>
      </c>
      <c r="AX1177" s="31">
        <f>IF(OR($AS1177="",$D$6=""),"",TRIM(INDEX($A:$AP,ROW(),$D$6)&amp;""))</f>
        <v/>
      </c>
      <c r="AY1177" s="31">
        <f>IF($AU1177="","",INDEX($AW$8:$AW$2007,MATCH($AU1177,$AU$8:$AU$2007,0)))</f>
        <v/>
      </c>
      <c r="AZ1177" s="31">
        <f>IF(OR($AS1177="",$C$6=""),"",TRIM(INDEX($A:$AP,ROW(),$C$6)&amp;""))</f>
        <v/>
      </c>
      <c r="BA1177" s="31">
        <f>IF($AZ1177="","",IF(COUNTIF($AZ$8:$AZ1177,$AZ1177)&gt;1,1,0))</f>
        <v/>
      </c>
    </row>
    <row r="1178">
      <c r="AR1178" s="31">
        <f>IF(OR($A$5="",$B$6="",ROW()&lt;$A$5),"",IF(INDEX($A:$AP,ROW(),$B$6)="","",INDEX($A:$AP,ROW(),$B$6)))</f>
        <v/>
      </c>
      <c r="AS1178" s="32">
        <f>IF($AR1178="","",IF(ISNUMBER($AR1178),IF($AR1178&gt;=10000000,IFERROR(DATE(INT($AR1178/10000),MOD(INT($AR1178/100),100),MOD($AR1178,100)),""),INT($AR1178)),IFERROR(DATE(--LEFT(LEFT(SUBSTITUTE(SUBSTITUTE(SUBSTITUTE(SUBSTITUTE(TRIM($AR1178),"-",""),".",""),"/","")," ",""),8),4),--MID(LEFT(SUBSTITUTE(SUBSTITUTE(SUBSTITUTE(SUBSTITUTE(TRIM($AR1178),"-",""),".",""),"/","")," ",""),8),5,2),--MID(LEFT(SUBSTITUTE(SUBSTITUTE(SUBSTITUTE(SUBSTITUTE(TRIM($AR1178),"-",""),".",""),"/","")," ",""),8),7,2)),"")))</f>
        <v/>
      </c>
      <c r="AT1178" s="33">
        <f>IF($AS1178="","",IF($F$6="",0,IF(ISNUMBER(INDEX($A:$AP,ROW(),$F$6)),INDEX($A:$AP,ROW(),$F$6),IFERROR(--SUBSTITUTE(SUBSTITUTE(TRIM(INDEX($A:$AP,ROW(),$F$6)),",",""),"원",""),0))))</f>
        <v/>
      </c>
      <c r="AU1178" s="31">
        <f>IF($AS1178="","",IF($AX1178&lt;&gt;"",SUBSTITUTE(SUBSTITUTE($AX1178,"-","")," ",""),"N:"&amp;$AV1178))</f>
        <v/>
      </c>
      <c r="AV1178" s="31">
        <f>IF(OR($AS1178="",$E$6=""),"",TRIM(INDEX($A:$AP,ROW(),$E$6)&amp;""))</f>
        <v/>
      </c>
      <c r="AW1178" s="31">
        <f>IF($AU1178="","",IF(MATCH($AU1178,$AU$8:$AU$2007,0)=ROW()-7,MAX($AW$7:$AW1177)+1,""))</f>
        <v/>
      </c>
      <c r="AX1178" s="31">
        <f>IF(OR($AS1178="",$D$6=""),"",TRIM(INDEX($A:$AP,ROW(),$D$6)&amp;""))</f>
        <v/>
      </c>
      <c r="AY1178" s="31">
        <f>IF($AU1178="","",INDEX($AW$8:$AW$2007,MATCH($AU1178,$AU$8:$AU$2007,0)))</f>
        <v/>
      </c>
      <c r="AZ1178" s="31">
        <f>IF(OR($AS1178="",$C$6=""),"",TRIM(INDEX($A:$AP,ROW(),$C$6)&amp;""))</f>
        <v/>
      </c>
      <c r="BA1178" s="31">
        <f>IF($AZ1178="","",IF(COUNTIF($AZ$8:$AZ1178,$AZ1178)&gt;1,1,0))</f>
        <v/>
      </c>
    </row>
    <row r="1179">
      <c r="AR1179" s="31">
        <f>IF(OR($A$5="",$B$6="",ROW()&lt;$A$5),"",IF(INDEX($A:$AP,ROW(),$B$6)="","",INDEX($A:$AP,ROW(),$B$6)))</f>
        <v/>
      </c>
      <c r="AS1179" s="32">
        <f>IF($AR1179="","",IF(ISNUMBER($AR1179),IF($AR1179&gt;=10000000,IFERROR(DATE(INT($AR1179/10000),MOD(INT($AR1179/100),100),MOD($AR1179,100)),""),INT($AR1179)),IFERROR(DATE(--LEFT(LEFT(SUBSTITUTE(SUBSTITUTE(SUBSTITUTE(SUBSTITUTE(TRIM($AR1179),"-",""),".",""),"/","")," ",""),8),4),--MID(LEFT(SUBSTITUTE(SUBSTITUTE(SUBSTITUTE(SUBSTITUTE(TRIM($AR1179),"-",""),".",""),"/","")," ",""),8),5,2),--MID(LEFT(SUBSTITUTE(SUBSTITUTE(SUBSTITUTE(SUBSTITUTE(TRIM($AR1179),"-",""),".",""),"/","")," ",""),8),7,2)),"")))</f>
        <v/>
      </c>
      <c r="AT1179" s="33">
        <f>IF($AS1179="","",IF($F$6="",0,IF(ISNUMBER(INDEX($A:$AP,ROW(),$F$6)),INDEX($A:$AP,ROW(),$F$6),IFERROR(--SUBSTITUTE(SUBSTITUTE(TRIM(INDEX($A:$AP,ROW(),$F$6)),",",""),"원",""),0))))</f>
        <v/>
      </c>
      <c r="AU1179" s="31">
        <f>IF($AS1179="","",IF($AX1179&lt;&gt;"",SUBSTITUTE(SUBSTITUTE($AX1179,"-","")," ",""),"N:"&amp;$AV1179))</f>
        <v/>
      </c>
      <c r="AV1179" s="31">
        <f>IF(OR($AS1179="",$E$6=""),"",TRIM(INDEX($A:$AP,ROW(),$E$6)&amp;""))</f>
        <v/>
      </c>
      <c r="AW1179" s="31">
        <f>IF($AU1179="","",IF(MATCH($AU1179,$AU$8:$AU$2007,0)=ROW()-7,MAX($AW$7:$AW1178)+1,""))</f>
        <v/>
      </c>
      <c r="AX1179" s="31">
        <f>IF(OR($AS1179="",$D$6=""),"",TRIM(INDEX($A:$AP,ROW(),$D$6)&amp;""))</f>
        <v/>
      </c>
      <c r="AY1179" s="31">
        <f>IF($AU1179="","",INDEX($AW$8:$AW$2007,MATCH($AU1179,$AU$8:$AU$2007,0)))</f>
        <v/>
      </c>
      <c r="AZ1179" s="31">
        <f>IF(OR($AS1179="",$C$6=""),"",TRIM(INDEX($A:$AP,ROW(),$C$6)&amp;""))</f>
        <v/>
      </c>
      <c r="BA1179" s="31">
        <f>IF($AZ1179="","",IF(COUNTIF($AZ$8:$AZ1179,$AZ1179)&gt;1,1,0))</f>
        <v/>
      </c>
    </row>
    <row r="1180">
      <c r="AR1180" s="31">
        <f>IF(OR($A$5="",$B$6="",ROW()&lt;$A$5),"",IF(INDEX($A:$AP,ROW(),$B$6)="","",INDEX($A:$AP,ROW(),$B$6)))</f>
        <v/>
      </c>
      <c r="AS1180" s="32">
        <f>IF($AR1180="","",IF(ISNUMBER($AR1180),IF($AR1180&gt;=10000000,IFERROR(DATE(INT($AR1180/10000),MOD(INT($AR1180/100),100),MOD($AR1180,100)),""),INT($AR1180)),IFERROR(DATE(--LEFT(LEFT(SUBSTITUTE(SUBSTITUTE(SUBSTITUTE(SUBSTITUTE(TRIM($AR1180),"-",""),".",""),"/","")," ",""),8),4),--MID(LEFT(SUBSTITUTE(SUBSTITUTE(SUBSTITUTE(SUBSTITUTE(TRIM($AR1180),"-",""),".",""),"/","")," ",""),8),5,2),--MID(LEFT(SUBSTITUTE(SUBSTITUTE(SUBSTITUTE(SUBSTITUTE(TRIM($AR1180),"-",""),".",""),"/","")," ",""),8),7,2)),"")))</f>
        <v/>
      </c>
      <c r="AT1180" s="33">
        <f>IF($AS1180="","",IF($F$6="",0,IF(ISNUMBER(INDEX($A:$AP,ROW(),$F$6)),INDEX($A:$AP,ROW(),$F$6),IFERROR(--SUBSTITUTE(SUBSTITUTE(TRIM(INDEX($A:$AP,ROW(),$F$6)),",",""),"원",""),0))))</f>
        <v/>
      </c>
      <c r="AU1180" s="31">
        <f>IF($AS1180="","",IF($AX1180&lt;&gt;"",SUBSTITUTE(SUBSTITUTE($AX1180,"-","")," ",""),"N:"&amp;$AV1180))</f>
        <v/>
      </c>
      <c r="AV1180" s="31">
        <f>IF(OR($AS1180="",$E$6=""),"",TRIM(INDEX($A:$AP,ROW(),$E$6)&amp;""))</f>
        <v/>
      </c>
      <c r="AW1180" s="31">
        <f>IF($AU1180="","",IF(MATCH($AU1180,$AU$8:$AU$2007,0)=ROW()-7,MAX($AW$7:$AW1179)+1,""))</f>
        <v/>
      </c>
      <c r="AX1180" s="31">
        <f>IF(OR($AS1180="",$D$6=""),"",TRIM(INDEX($A:$AP,ROW(),$D$6)&amp;""))</f>
        <v/>
      </c>
      <c r="AY1180" s="31">
        <f>IF($AU1180="","",INDEX($AW$8:$AW$2007,MATCH($AU1180,$AU$8:$AU$2007,0)))</f>
        <v/>
      </c>
      <c r="AZ1180" s="31">
        <f>IF(OR($AS1180="",$C$6=""),"",TRIM(INDEX($A:$AP,ROW(),$C$6)&amp;""))</f>
        <v/>
      </c>
      <c r="BA1180" s="31">
        <f>IF($AZ1180="","",IF(COUNTIF($AZ$8:$AZ1180,$AZ1180)&gt;1,1,0))</f>
        <v/>
      </c>
    </row>
    <row r="1181">
      <c r="AR1181" s="31">
        <f>IF(OR($A$5="",$B$6="",ROW()&lt;$A$5),"",IF(INDEX($A:$AP,ROW(),$B$6)="","",INDEX($A:$AP,ROW(),$B$6)))</f>
        <v/>
      </c>
      <c r="AS1181" s="32">
        <f>IF($AR1181="","",IF(ISNUMBER($AR1181),IF($AR1181&gt;=10000000,IFERROR(DATE(INT($AR1181/10000),MOD(INT($AR1181/100),100),MOD($AR1181,100)),""),INT($AR1181)),IFERROR(DATE(--LEFT(LEFT(SUBSTITUTE(SUBSTITUTE(SUBSTITUTE(SUBSTITUTE(TRIM($AR1181),"-",""),".",""),"/","")," ",""),8),4),--MID(LEFT(SUBSTITUTE(SUBSTITUTE(SUBSTITUTE(SUBSTITUTE(TRIM($AR1181),"-",""),".",""),"/","")," ",""),8),5,2),--MID(LEFT(SUBSTITUTE(SUBSTITUTE(SUBSTITUTE(SUBSTITUTE(TRIM($AR1181),"-",""),".",""),"/","")," ",""),8),7,2)),"")))</f>
        <v/>
      </c>
      <c r="AT1181" s="33">
        <f>IF($AS1181="","",IF($F$6="",0,IF(ISNUMBER(INDEX($A:$AP,ROW(),$F$6)),INDEX($A:$AP,ROW(),$F$6),IFERROR(--SUBSTITUTE(SUBSTITUTE(TRIM(INDEX($A:$AP,ROW(),$F$6)),",",""),"원",""),0))))</f>
        <v/>
      </c>
      <c r="AU1181" s="31">
        <f>IF($AS1181="","",IF($AX1181&lt;&gt;"",SUBSTITUTE(SUBSTITUTE($AX1181,"-","")," ",""),"N:"&amp;$AV1181))</f>
        <v/>
      </c>
      <c r="AV1181" s="31">
        <f>IF(OR($AS1181="",$E$6=""),"",TRIM(INDEX($A:$AP,ROW(),$E$6)&amp;""))</f>
        <v/>
      </c>
      <c r="AW1181" s="31">
        <f>IF($AU1181="","",IF(MATCH($AU1181,$AU$8:$AU$2007,0)=ROW()-7,MAX($AW$7:$AW1180)+1,""))</f>
        <v/>
      </c>
      <c r="AX1181" s="31">
        <f>IF(OR($AS1181="",$D$6=""),"",TRIM(INDEX($A:$AP,ROW(),$D$6)&amp;""))</f>
        <v/>
      </c>
      <c r="AY1181" s="31">
        <f>IF($AU1181="","",INDEX($AW$8:$AW$2007,MATCH($AU1181,$AU$8:$AU$2007,0)))</f>
        <v/>
      </c>
      <c r="AZ1181" s="31">
        <f>IF(OR($AS1181="",$C$6=""),"",TRIM(INDEX($A:$AP,ROW(),$C$6)&amp;""))</f>
        <v/>
      </c>
      <c r="BA1181" s="31">
        <f>IF($AZ1181="","",IF(COUNTIF($AZ$8:$AZ1181,$AZ1181)&gt;1,1,0))</f>
        <v/>
      </c>
    </row>
    <row r="1182">
      <c r="AR1182" s="31">
        <f>IF(OR($A$5="",$B$6="",ROW()&lt;$A$5),"",IF(INDEX($A:$AP,ROW(),$B$6)="","",INDEX($A:$AP,ROW(),$B$6)))</f>
        <v/>
      </c>
      <c r="AS1182" s="32">
        <f>IF($AR1182="","",IF(ISNUMBER($AR1182),IF($AR1182&gt;=10000000,IFERROR(DATE(INT($AR1182/10000),MOD(INT($AR1182/100),100),MOD($AR1182,100)),""),INT($AR1182)),IFERROR(DATE(--LEFT(LEFT(SUBSTITUTE(SUBSTITUTE(SUBSTITUTE(SUBSTITUTE(TRIM($AR1182),"-",""),".",""),"/","")," ",""),8),4),--MID(LEFT(SUBSTITUTE(SUBSTITUTE(SUBSTITUTE(SUBSTITUTE(TRIM($AR1182),"-",""),".",""),"/","")," ",""),8),5,2),--MID(LEFT(SUBSTITUTE(SUBSTITUTE(SUBSTITUTE(SUBSTITUTE(TRIM($AR1182),"-",""),".",""),"/","")," ",""),8),7,2)),"")))</f>
        <v/>
      </c>
      <c r="AT1182" s="33">
        <f>IF($AS1182="","",IF($F$6="",0,IF(ISNUMBER(INDEX($A:$AP,ROW(),$F$6)),INDEX($A:$AP,ROW(),$F$6),IFERROR(--SUBSTITUTE(SUBSTITUTE(TRIM(INDEX($A:$AP,ROW(),$F$6)),",",""),"원",""),0))))</f>
        <v/>
      </c>
      <c r="AU1182" s="31">
        <f>IF($AS1182="","",IF($AX1182&lt;&gt;"",SUBSTITUTE(SUBSTITUTE($AX1182,"-","")," ",""),"N:"&amp;$AV1182))</f>
        <v/>
      </c>
      <c r="AV1182" s="31">
        <f>IF(OR($AS1182="",$E$6=""),"",TRIM(INDEX($A:$AP,ROW(),$E$6)&amp;""))</f>
        <v/>
      </c>
      <c r="AW1182" s="31">
        <f>IF($AU1182="","",IF(MATCH($AU1182,$AU$8:$AU$2007,0)=ROW()-7,MAX($AW$7:$AW1181)+1,""))</f>
        <v/>
      </c>
      <c r="AX1182" s="31">
        <f>IF(OR($AS1182="",$D$6=""),"",TRIM(INDEX($A:$AP,ROW(),$D$6)&amp;""))</f>
        <v/>
      </c>
      <c r="AY1182" s="31">
        <f>IF($AU1182="","",INDEX($AW$8:$AW$2007,MATCH($AU1182,$AU$8:$AU$2007,0)))</f>
        <v/>
      </c>
      <c r="AZ1182" s="31">
        <f>IF(OR($AS1182="",$C$6=""),"",TRIM(INDEX($A:$AP,ROW(),$C$6)&amp;""))</f>
        <v/>
      </c>
      <c r="BA1182" s="31">
        <f>IF($AZ1182="","",IF(COUNTIF($AZ$8:$AZ1182,$AZ1182)&gt;1,1,0))</f>
        <v/>
      </c>
    </row>
    <row r="1183">
      <c r="AR1183" s="31">
        <f>IF(OR($A$5="",$B$6="",ROW()&lt;$A$5),"",IF(INDEX($A:$AP,ROW(),$B$6)="","",INDEX($A:$AP,ROW(),$B$6)))</f>
        <v/>
      </c>
      <c r="AS1183" s="32">
        <f>IF($AR1183="","",IF(ISNUMBER($AR1183),IF($AR1183&gt;=10000000,IFERROR(DATE(INT($AR1183/10000),MOD(INT($AR1183/100),100),MOD($AR1183,100)),""),INT($AR1183)),IFERROR(DATE(--LEFT(LEFT(SUBSTITUTE(SUBSTITUTE(SUBSTITUTE(SUBSTITUTE(TRIM($AR1183),"-",""),".",""),"/","")," ",""),8),4),--MID(LEFT(SUBSTITUTE(SUBSTITUTE(SUBSTITUTE(SUBSTITUTE(TRIM($AR1183),"-",""),".",""),"/","")," ",""),8),5,2),--MID(LEFT(SUBSTITUTE(SUBSTITUTE(SUBSTITUTE(SUBSTITUTE(TRIM($AR1183),"-",""),".",""),"/","")," ",""),8),7,2)),"")))</f>
        <v/>
      </c>
      <c r="AT1183" s="33">
        <f>IF($AS1183="","",IF($F$6="",0,IF(ISNUMBER(INDEX($A:$AP,ROW(),$F$6)),INDEX($A:$AP,ROW(),$F$6),IFERROR(--SUBSTITUTE(SUBSTITUTE(TRIM(INDEX($A:$AP,ROW(),$F$6)),",",""),"원",""),0))))</f>
        <v/>
      </c>
      <c r="AU1183" s="31">
        <f>IF($AS1183="","",IF($AX1183&lt;&gt;"",SUBSTITUTE(SUBSTITUTE($AX1183,"-","")," ",""),"N:"&amp;$AV1183))</f>
        <v/>
      </c>
      <c r="AV1183" s="31">
        <f>IF(OR($AS1183="",$E$6=""),"",TRIM(INDEX($A:$AP,ROW(),$E$6)&amp;""))</f>
        <v/>
      </c>
      <c r="AW1183" s="31">
        <f>IF($AU1183="","",IF(MATCH($AU1183,$AU$8:$AU$2007,0)=ROW()-7,MAX($AW$7:$AW1182)+1,""))</f>
        <v/>
      </c>
      <c r="AX1183" s="31">
        <f>IF(OR($AS1183="",$D$6=""),"",TRIM(INDEX($A:$AP,ROW(),$D$6)&amp;""))</f>
        <v/>
      </c>
      <c r="AY1183" s="31">
        <f>IF($AU1183="","",INDEX($AW$8:$AW$2007,MATCH($AU1183,$AU$8:$AU$2007,0)))</f>
        <v/>
      </c>
      <c r="AZ1183" s="31">
        <f>IF(OR($AS1183="",$C$6=""),"",TRIM(INDEX($A:$AP,ROW(),$C$6)&amp;""))</f>
        <v/>
      </c>
      <c r="BA1183" s="31">
        <f>IF($AZ1183="","",IF(COUNTIF($AZ$8:$AZ1183,$AZ1183)&gt;1,1,0))</f>
        <v/>
      </c>
    </row>
    <row r="1184">
      <c r="AR1184" s="31">
        <f>IF(OR($A$5="",$B$6="",ROW()&lt;$A$5),"",IF(INDEX($A:$AP,ROW(),$B$6)="","",INDEX($A:$AP,ROW(),$B$6)))</f>
        <v/>
      </c>
      <c r="AS1184" s="32">
        <f>IF($AR1184="","",IF(ISNUMBER($AR1184),IF($AR1184&gt;=10000000,IFERROR(DATE(INT($AR1184/10000),MOD(INT($AR1184/100),100),MOD($AR1184,100)),""),INT($AR1184)),IFERROR(DATE(--LEFT(LEFT(SUBSTITUTE(SUBSTITUTE(SUBSTITUTE(SUBSTITUTE(TRIM($AR1184),"-",""),".",""),"/","")," ",""),8),4),--MID(LEFT(SUBSTITUTE(SUBSTITUTE(SUBSTITUTE(SUBSTITUTE(TRIM($AR1184),"-",""),".",""),"/","")," ",""),8),5,2),--MID(LEFT(SUBSTITUTE(SUBSTITUTE(SUBSTITUTE(SUBSTITUTE(TRIM($AR1184),"-",""),".",""),"/","")," ",""),8),7,2)),"")))</f>
        <v/>
      </c>
      <c r="AT1184" s="33">
        <f>IF($AS1184="","",IF($F$6="",0,IF(ISNUMBER(INDEX($A:$AP,ROW(),$F$6)),INDEX($A:$AP,ROW(),$F$6),IFERROR(--SUBSTITUTE(SUBSTITUTE(TRIM(INDEX($A:$AP,ROW(),$F$6)),",",""),"원",""),0))))</f>
        <v/>
      </c>
      <c r="AU1184" s="31">
        <f>IF($AS1184="","",IF($AX1184&lt;&gt;"",SUBSTITUTE(SUBSTITUTE($AX1184,"-","")," ",""),"N:"&amp;$AV1184))</f>
        <v/>
      </c>
      <c r="AV1184" s="31">
        <f>IF(OR($AS1184="",$E$6=""),"",TRIM(INDEX($A:$AP,ROW(),$E$6)&amp;""))</f>
        <v/>
      </c>
      <c r="AW1184" s="31">
        <f>IF($AU1184="","",IF(MATCH($AU1184,$AU$8:$AU$2007,0)=ROW()-7,MAX($AW$7:$AW1183)+1,""))</f>
        <v/>
      </c>
      <c r="AX1184" s="31">
        <f>IF(OR($AS1184="",$D$6=""),"",TRIM(INDEX($A:$AP,ROW(),$D$6)&amp;""))</f>
        <v/>
      </c>
      <c r="AY1184" s="31">
        <f>IF($AU1184="","",INDEX($AW$8:$AW$2007,MATCH($AU1184,$AU$8:$AU$2007,0)))</f>
        <v/>
      </c>
      <c r="AZ1184" s="31">
        <f>IF(OR($AS1184="",$C$6=""),"",TRIM(INDEX($A:$AP,ROW(),$C$6)&amp;""))</f>
        <v/>
      </c>
      <c r="BA1184" s="31">
        <f>IF($AZ1184="","",IF(COUNTIF($AZ$8:$AZ1184,$AZ1184)&gt;1,1,0))</f>
        <v/>
      </c>
    </row>
    <row r="1185">
      <c r="AR1185" s="31">
        <f>IF(OR($A$5="",$B$6="",ROW()&lt;$A$5),"",IF(INDEX($A:$AP,ROW(),$B$6)="","",INDEX($A:$AP,ROW(),$B$6)))</f>
        <v/>
      </c>
      <c r="AS1185" s="32">
        <f>IF($AR1185="","",IF(ISNUMBER($AR1185),IF($AR1185&gt;=10000000,IFERROR(DATE(INT($AR1185/10000),MOD(INT($AR1185/100),100),MOD($AR1185,100)),""),INT($AR1185)),IFERROR(DATE(--LEFT(LEFT(SUBSTITUTE(SUBSTITUTE(SUBSTITUTE(SUBSTITUTE(TRIM($AR1185),"-",""),".",""),"/","")," ",""),8),4),--MID(LEFT(SUBSTITUTE(SUBSTITUTE(SUBSTITUTE(SUBSTITUTE(TRIM($AR1185),"-",""),".",""),"/","")," ",""),8),5,2),--MID(LEFT(SUBSTITUTE(SUBSTITUTE(SUBSTITUTE(SUBSTITUTE(TRIM($AR1185),"-",""),".",""),"/","")," ",""),8),7,2)),"")))</f>
        <v/>
      </c>
      <c r="AT1185" s="33">
        <f>IF($AS1185="","",IF($F$6="",0,IF(ISNUMBER(INDEX($A:$AP,ROW(),$F$6)),INDEX($A:$AP,ROW(),$F$6),IFERROR(--SUBSTITUTE(SUBSTITUTE(TRIM(INDEX($A:$AP,ROW(),$F$6)),",",""),"원",""),0))))</f>
        <v/>
      </c>
      <c r="AU1185" s="31">
        <f>IF($AS1185="","",IF($AX1185&lt;&gt;"",SUBSTITUTE(SUBSTITUTE($AX1185,"-","")," ",""),"N:"&amp;$AV1185))</f>
        <v/>
      </c>
      <c r="AV1185" s="31">
        <f>IF(OR($AS1185="",$E$6=""),"",TRIM(INDEX($A:$AP,ROW(),$E$6)&amp;""))</f>
        <v/>
      </c>
      <c r="AW1185" s="31">
        <f>IF($AU1185="","",IF(MATCH($AU1185,$AU$8:$AU$2007,0)=ROW()-7,MAX($AW$7:$AW1184)+1,""))</f>
        <v/>
      </c>
      <c r="AX1185" s="31">
        <f>IF(OR($AS1185="",$D$6=""),"",TRIM(INDEX($A:$AP,ROW(),$D$6)&amp;""))</f>
        <v/>
      </c>
      <c r="AY1185" s="31">
        <f>IF($AU1185="","",INDEX($AW$8:$AW$2007,MATCH($AU1185,$AU$8:$AU$2007,0)))</f>
        <v/>
      </c>
      <c r="AZ1185" s="31">
        <f>IF(OR($AS1185="",$C$6=""),"",TRIM(INDEX($A:$AP,ROW(),$C$6)&amp;""))</f>
        <v/>
      </c>
      <c r="BA1185" s="31">
        <f>IF($AZ1185="","",IF(COUNTIF($AZ$8:$AZ1185,$AZ1185)&gt;1,1,0))</f>
        <v/>
      </c>
    </row>
    <row r="1186">
      <c r="AR1186" s="31">
        <f>IF(OR($A$5="",$B$6="",ROW()&lt;$A$5),"",IF(INDEX($A:$AP,ROW(),$B$6)="","",INDEX($A:$AP,ROW(),$B$6)))</f>
        <v/>
      </c>
      <c r="AS1186" s="32">
        <f>IF($AR1186="","",IF(ISNUMBER($AR1186),IF($AR1186&gt;=10000000,IFERROR(DATE(INT($AR1186/10000),MOD(INT($AR1186/100),100),MOD($AR1186,100)),""),INT($AR1186)),IFERROR(DATE(--LEFT(LEFT(SUBSTITUTE(SUBSTITUTE(SUBSTITUTE(SUBSTITUTE(TRIM($AR1186),"-",""),".",""),"/","")," ",""),8),4),--MID(LEFT(SUBSTITUTE(SUBSTITUTE(SUBSTITUTE(SUBSTITUTE(TRIM($AR1186),"-",""),".",""),"/","")," ",""),8),5,2),--MID(LEFT(SUBSTITUTE(SUBSTITUTE(SUBSTITUTE(SUBSTITUTE(TRIM($AR1186),"-",""),".",""),"/","")," ",""),8),7,2)),"")))</f>
        <v/>
      </c>
      <c r="AT1186" s="33">
        <f>IF($AS1186="","",IF($F$6="",0,IF(ISNUMBER(INDEX($A:$AP,ROW(),$F$6)),INDEX($A:$AP,ROW(),$F$6),IFERROR(--SUBSTITUTE(SUBSTITUTE(TRIM(INDEX($A:$AP,ROW(),$F$6)),",",""),"원",""),0))))</f>
        <v/>
      </c>
      <c r="AU1186" s="31">
        <f>IF($AS1186="","",IF($AX1186&lt;&gt;"",SUBSTITUTE(SUBSTITUTE($AX1186,"-","")," ",""),"N:"&amp;$AV1186))</f>
        <v/>
      </c>
      <c r="AV1186" s="31">
        <f>IF(OR($AS1186="",$E$6=""),"",TRIM(INDEX($A:$AP,ROW(),$E$6)&amp;""))</f>
        <v/>
      </c>
      <c r="AW1186" s="31">
        <f>IF($AU1186="","",IF(MATCH($AU1186,$AU$8:$AU$2007,0)=ROW()-7,MAX($AW$7:$AW1185)+1,""))</f>
        <v/>
      </c>
      <c r="AX1186" s="31">
        <f>IF(OR($AS1186="",$D$6=""),"",TRIM(INDEX($A:$AP,ROW(),$D$6)&amp;""))</f>
        <v/>
      </c>
      <c r="AY1186" s="31">
        <f>IF($AU1186="","",INDEX($AW$8:$AW$2007,MATCH($AU1186,$AU$8:$AU$2007,0)))</f>
        <v/>
      </c>
      <c r="AZ1186" s="31">
        <f>IF(OR($AS1186="",$C$6=""),"",TRIM(INDEX($A:$AP,ROW(),$C$6)&amp;""))</f>
        <v/>
      </c>
      <c r="BA1186" s="31">
        <f>IF($AZ1186="","",IF(COUNTIF($AZ$8:$AZ1186,$AZ1186)&gt;1,1,0))</f>
        <v/>
      </c>
    </row>
    <row r="1187">
      <c r="AR1187" s="31">
        <f>IF(OR($A$5="",$B$6="",ROW()&lt;$A$5),"",IF(INDEX($A:$AP,ROW(),$B$6)="","",INDEX($A:$AP,ROW(),$B$6)))</f>
        <v/>
      </c>
      <c r="AS1187" s="32">
        <f>IF($AR1187="","",IF(ISNUMBER($AR1187),IF($AR1187&gt;=10000000,IFERROR(DATE(INT($AR1187/10000),MOD(INT($AR1187/100),100),MOD($AR1187,100)),""),INT($AR1187)),IFERROR(DATE(--LEFT(LEFT(SUBSTITUTE(SUBSTITUTE(SUBSTITUTE(SUBSTITUTE(TRIM($AR1187),"-",""),".",""),"/","")," ",""),8),4),--MID(LEFT(SUBSTITUTE(SUBSTITUTE(SUBSTITUTE(SUBSTITUTE(TRIM($AR1187),"-",""),".",""),"/","")," ",""),8),5,2),--MID(LEFT(SUBSTITUTE(SUBSTITUTE(SUBSTITUTE(SUBSTITUTE(TRIM($AR1187),"-",""),".",""),"/","")," ",""),8),7,2)),"")))</f>
        <v/>
      </c>
      <c r="AT1187" s="33">
        <f>IF($AS1187="","",IF($F$6="",0,IF(ISNUMBER(INDEX($A:$AP,ROW(),$F$6)),INDEX($A:$AP,ROW(),$F$6),IFERROR(--SUBSTITUTE(SUBSTITUTE(TRIM(INDEX($A:$AP,ROW(),$F$6)),",",""),"원",""),0))))</f>
        <v/>
      </c>
      <c r="AU1187" s="31">
        <f>IF($AS1187="","",IF($AX1187&lt;&gt;"",SUBSTITUTE(SUBSTITUTE($AX1187,"-","")," ",""),"N:"&amp;$AV1187))</f>
        <v/>
      </c>
      <c r="AV1187" s="31">
        <f>IF(OR($AS1187="",$E$6=""),"",TRIM(INDEX($A:$AP,ROW(),$E$6)&amp;""))</f>
        <v/>
      </c>
      <c r="AW1187" s="31">
        <f>IF($AU1187="","",IF(MATCH($AU1187,$AU$8:$AU$2007,0)=ROW()-7,MAX($AW$7:$AW1186)+1,""))</f>
        <v/>
      </c>
      <c r="AX1187" s="31">
        <f>IF(OR($AS1187="",$D$6=""),"",TRIM(INDEX($A:$AP,ROW(),$D$6)&amp;""))</f>
        <v/>
      </c>
      <c r="AY1187" s="31">
        <f>IF($AU1187="","",INDEX($AW$8:$AW$2007,MATCH($AU1187,$AU$8:$AU$2007,0)))</f>
        <v/>
      </c>
      <c r="AZ1187" s="31">
        <f>IF(OR($AS1187="",$C$6=""),"",TRIM(INDEX($A:$AP,ROW(),$C$6)&amp;""))</f>
        <v/>
      </c>
      <c r="BA1187" s="31">
        <f>IF($AZ1187="","",IF(COUNTIF($AZ$8:$AZ1187,$AZ1187)&gt;1,1,0))</f>
        <v/>
      </c>
    </row>
    <row r="1188">
      <c r="AR1188" s="31">
        <f>IF(OR($A$5="",$B$6="",ROW()&lt;$A$5),"",IF(INDEX($A:$AP,ROW(),$B$6)="","",INDEX($A:$AP,ROW(),$B$6)))</f>
        <v/>
      </c>
      <c r="AS1188" s="32">
        <f>IF($AR1188="","",IF(ISNUMBER($AR1188),IF($AR1188&gt;=10000000,IFERROR(DATE(INT($AR1188/10000),MOD(INT($AR1188/100),100),MOD($AR1188,100)),""),INT($AR1188)),IFERROR(DATE(--LEFT(LEFT(SUBSTITUTE(SUBSTITUTE(SUBSTITUTE(SUBSTITUTE(TRIM($AR1188),"-",""),".",""),"/","")," ",""),8),4),--MID(LEFT(SUBSTITUTE(SUBSTITUTE(SUBSTITUTE(SUBSTITUTE(TRIM($AR1188),"-",""),".",""),"/","")," ",""),8),5,2),--MID(LEFT(SUBSTITUTE(SUBSTITUTE(SUBSTITUTE(SUBSTITUTE(TRIM($AR1188),"-",""),".",""),"/","")," ",""),8),7,2)),"")))</f>
        <v/>
      </c>
      <c r="AT1188" s="33">
        <f>IF($AS1188="","",IF($F$6="",0,IF(ISNUMBER(INDEX($A:$AP,ROW(),$F$6)),INDEX($A:$AP,ROW(),$F$6),IFERROR(--SUBSTITUTE(SUBSTITUTE(TRIM(INDEX($A:$AP,ROW(),$F$6)),",",""),"원",""),0))))</f>
        <v/>
      </c>
      <c r="AU1188" s="31">
        <f>IF($AS1188="","",IF($AX1188&lt;&gt;"",SUBSTITUTE(SUBSTITUTE($AX1188,"-","")," ",""),"N:"&amp;$AV1188))</f>
        <v/>
      </c>
      <c r="AV1188" s="31">
        <f>IF(OR($AS1188="",$E$6=""),"",TRIM(INDEX($A:$AP,ROW(),$E$6)&amp;""))</f>
        <v/>
      </c>
      <c r="AW1188" s="31">
        <f>IF($AU1188="","",IF(MATCH($AU1188,$AU$8:$AU$2007,0)=ROW()-7,MAX($AW$7:$AW1187)+1,""))</f>
        <v/>
      </c>
      <c r="AX1188" s="31">
        <f>IF(OR($AS1188="",$D$6=""),"",TRIM(INDEX($A:$AP,ROW(),$D$6)&amp;""))</f>
        <v/>
      </c>
      <c r="AY1188" s="31">
        <f>IF($AU1188="","",INDEX($AW$8:$AW$2007,MATCH($AU1188,$AU$8:$AU$2007,0)))</f>
        <v/>
      </c>
      <c r="AZ1188" s="31">
        <f>IF(OR($AS1188="",$C$6=""),"",TRIM(INDEX($A:$AP,ROW(),$C$6)&amp;""))</f>
        <v/>
      </c>
      <c r="BA1188" s="31">
        <f>IF($AZ1188="","",IF(COUNTIF($AZ$8:$AZ1188,$AZ1188)&gt;1,1,0))</f>
        <v/>
      </c>
    </row>
    <row r="1189">
      <c r="AR1189" s="31">
        <f>IF(OR($A$5="",$B$6="",ROW()&lt;$A$5),"",IF(INDEX($A:$AP,ROW(),$B$6)="","",INDEX($A:$AP,ROW(),$B$6)))</f>
        <v/>
      </c>
      <c r="AS1189" s="32">
        <f>IF($AR1189="","",IF(ISNUMBER($AR1189),IF($AR1189&gt;=10000000,IFERROR(DATE(INT($AR1189/10000),MOD(INT($AR1189/100),100),MOD($AR1189,100)),""),INT($AR1189)),IFERROR(DATE(--LEFT(LEFT(SUBSTITUTE(SUBSTITUTE(SUBSTITUTE(SUBSTITUTE(TRIM($AR1189),"-",""),".",""),"/","")," ",""),8),4),--MID(LEFT(SUBSTITUTE(SUBSTITUTE(SUBSTITUTE(SUBSTITUTE(TRIM($AR1189),"-",""),".",""),"/","")," ",""),8),5,2),--MID(LEFT(SUBSTITUTE(SUBSTITUTE(SUBSTITUTE(SUBSTITUTE(TRIM($AR1189),"-",""),".",""),"/","")," ",""),8),7,2)),"")))</f>
        <v/>
      </c>
      <c r="AT1189" s="33">
        <f>IF($AS1189="","",IF($F$6="",0,IF(ISNUMBER(INDEX($A:$AP,ROW(),$F$6)),INDEX($A:$AP,ROW(),$F$6),IFERROR(--SUBSTITUTE(SUBSTITUTE(TRIM(INDEX($A:$AP,ROW(),$F$6)),",",""),"원",""),0))))</f>
        <v/>
      </c>
      <c r="AU1189" s="31">
        <f>IF($AS1189="","",IF($AX1189&lt;&gt;"",SUBSTITUTE(SUBSTITUTE($AX1189,"-","")," ",""),"N:"&amp;$AV1189))</f>
        <v/>
      </c>
      <c r="AV1189" s="31">
        <f>IF(OR($AS1189="",$E$6=""),"",TRIM(INDEX($A:$AP,ROW(),$E$6)&amp;""))</f>
        <v/>
      </c>
      <c r="AW1189" s="31">
        <f>IF($AU1189="","",IF(MATCH($AU1189,$AU$8:$AU$2007,0)=ROW()-7,MAX($AW$7:$AW1188)+1,""))</f>
        <v/>
      </c>
      <c r="AX1189" s="31">
        <f>IF(OR($AS1189="",$D$6=""),"",TRIM(INDEX($A:$AP,ROW(),$D$6)&amp;""))</f>
        <v/>
      </c>
      <c r="AY1189" s="31">
        <f>IF($AU1189="","",INDEX($AW$8:$AW$2007,MATCH($AU1189,$AU$8:$AU$2007,0)))</f>
        <v/>
      </c>
      <c r="AZ1189" s="31">
        <f>IF(OR($AS1189="",$C$6=""),"",TRIM(INDEX($A:$AP,ROW(),$C$6)&amp;""))</f>
        <v/>
      </c>
      <c r="BA1189" s="31">
        <f>IF($AZ1189="","",IF(COUNTIF($AZ$8:$AZ1189,$AZ1189)&gt;1,1,0))</f>
        <v/>
      </c>
    </row>
    <row r="1190">
      <c r="AR1190" s="31">
        <f>IF(OR($A$5="",$B$6="",ROW()&lt;$A$5),"",IF(INDEX($A:$AP,ROW(),$B$6)="","",INDEX($A:$AP,ROW(),$B$6)))</f>
        <v/>
      </c>
      <c r="AS1190" s="32">
        <f>IF($AR1190="","",IF(ISNUMBER($AR1190),IF($AR1190&gt;=10000000,IFERROR(DATE(INT($AR1190/10000),MOD(INT($AR1190/100),100),MOD($AR1190,100)),""),INT($AR1190)),IFERROR(DATE(--LEFT(LEFT(SUBSTITUTE(SUBSTITUTE(SUBSTITUTE(SUBSTITUTE(TRIM($AR1190),"-",""),".",""),"/","")," ",""),8),4),--MID(LEFT(SUBSTITUTE(SUBSTITUTE(SUBSTITUTE(SUBSTITUTE(TRIM($AR1190),"-",""),".",""),"/","")," ",""),8),5,2),--MID(LEFT(SUBSTITUTE(SUBSTITUTE(SUBSTITUTE(SUBSTITUTE(TRIM($AR1190),"-",""),".",""),"/","")," ",""),8),7,2)),"")))</f>
        <v/>
      </c>
      <c r="AT1190" s="33">
        <f>IF($AS1190="","",IF($F$6="",0,IF(ISNUMBER(INDEX($A:$AP,ROW(),$F$6)),INDEX($A:$AP,ROW(),$F$6),IFERROR(--SUBSTITUTE(SUBSTITUTE(TRIM(INDEX($A:$AP,ROW(),$F$6)),",",""),"원",""),0))))</f>
        <v/>
      </c>
      <c r="AU1190" s="31">
        <f>IF($AS1190="","",IF($AX1190&lt;&gt;"",SUBSTITUTE(SUBSTITUTE($AX1190,"-","")," ",""),"N:"&amp;$AV1190))</f>
        <v/>
      </c>
      <c r="AV1190" s="31">
        <f>IF(OR($AS1190="",$E$6=""),"",TRIM(INDEX($A:$AP,ROW(),$E$6)&amp;""))</f>
        <v/>
      </c>
      <c r="AW1190" s="31">
        <f>IF($AU1190="","",IF(MATCH($AU1190,$AU$8:$AU$2007,0)=ROW()-7,MAX($AW$7:$AW1189)+1,""))</f>
        <v/>
      </c>
      <c r="AX1190" s="31">
        <f>IF(OR($AS1190="",$D$6=""),"",TRIM(INDEX($A:$AP,ROW(),$D$6)&amp;""))</f>
        <v/>
      </c>
      <c r="AY1190" s="31">
        <f>IF($AU1190="","",INDEX($AW$8:$AW$2007,MATCH($AU1190,$AU$8:$AU$2007,0)))</f>
        <v/>
      </c>
      <c r="AZ1190" s="31">
        <f>IF(OR($AS1190="",$C$6=""),"",TRIM(INDEX($A:$AP,ROW(),$C$6)&amp;""))</f>
        <v/>
      </c>
      <c r="BA1190" s="31">
        <f>IF($AZ1190="","",IF(COUNTIF($AZ$8:$AZ1190,$AZ1190)&gt;1,1,0))</f>
        <v/>
      </c>
    </row>
    <row r="1191">
      <c r="AR1191" s="31">
        <f>IF(OR($A$5="",$B$6="",ROW()&lt;$A$5),"",IF(INDEX($A:$AP,ROW(),$B$6)="","",INDEX($A:$AP,ROW(),$B$6)))</f>
        <v/>
      </c>
      <c r="AS1191" s="32">
        <f>IF($AR1191="","",IF(ISNUMBER($AR1191),IF($AR1191&gt;=10000000,IFERROR(DATE(INT($AR1191/10000),MOD(INT($AR1191/100),100),MOD($AR1191,100)),""),INT($AR1191)),IFERROR(DATE(--LEFT(LEFT(SUBSTITUTE(SUBSTITUTE(SUBSTITUTE(SUBSTITUTE(TRIM($AR1191),"-",""),".",""),"/","")," ",""),8),4),--MID(LEFT(SUBSTITUTE(SUBSTITUTE(SUBSTITUTE(SUBSTITUTE(TRIM($AR1191),"-",""),".",""),"/","")," ",""),8),5,2),--MID(LEFT(SUBSTITUTE(SUBSTITUTE(SUBSTITUTE(SUBSTITUTE(TRIM($AR1191),"-",""),".",""),"/","")," ",""),8),7,2)),"")))</f>
        <v/>
      </c>
      <c r="AT1191" s="33">
        <f>IF($AS1191="","",IF($F$6="",0,IF(ISNUMBER(INDEX($A:$AP,ROW(),$F$6)),INDEX($A:$AP,ROW(),$F$6),IFERROR(--SUBSTITUTE(SUBSTITUTE(TRIM(INDEX($A:$AP,ROW(),$F$6)),",",""),"원",""),0))))</f>
        <v/>
      </c>
      <c r="AU1191" s="31">
        <f>IF($AS1191="","",IF($AX1191&lt;&gt;"",SUBSTITUTE(SUBSTITUTE($AX1191,"-","")," ",""),"N:"&amp;$AV1191))</f>
        <v/>
      </c>
      <c r="AV1191" s="31">
        <f>IF(OR($AS1191="",$E$6=""),"",TRIM(INDEX($A:$AP,ROW(),$E$6)&amp;""))</f>
        <v/>
      </c>
      <c r="AW1191" s="31">
        <f>IF($AU1191="","",IF(MATCH($AU1191,$AU$8:$AU$2007,0)=ROW()-7,MAX($AW$7:$AW1190)+1,""))</f>
        <v/>
      </c>
      <c r="AX1191" s="31">
        <f>IF(OR($AS1191="",$D$6=""),"",TRIM(INDEX($A:$AP,ROW(),$D$6)&amp;""))</f>
        <v/>
      </c>
      <c r="AY1191" s="31">
        <f>IF($AU1191="","",INDEX($AW$8:$AW$2007,MATCH($AU1191,$AU$8:$AU$2007,0)))</f>
        <v/>
      </c>
      <c r="AZ1191" s="31">
        <f>IF(OR($AS1191="",$C$6=""),"",TRIM(INDEX($A:$AP,ROW(),$C$6)&amp;""))</f>
        <v/>
      </c>
      <c r="BA1191" s="31">
        <f>IF($AZ1191="","",IF(COUNTIF($AZ$8:$AZ1191,$AZ1191)&gt;1,1,0))</f>
        <v/>
      </c>
    </row>
    <row r="1192">
      <c r="AR1192" s="31">
        <f>IF(OR($A$5="",$B$6="",ROW()&lt;$A$5),"",IF(INDEX($A:$AP,ROW(),$B$6)="","",INDEX($A:$AP,ROW(),$B$6)))</f>
        <v/>
      </c>
      <c r="AS1192" s="32">
        <f>IF($AR1192="","",IF(ISNUMBER($AR1192),IF($AR1192&gt;=10000000,IFERROR(DATE(INT($AR1192/10000),MOD(INT($AR1192/100),100),MOD($AR1192,100)),""),INT($AR1192)),IFERROR(DATE(--LEFT(LEFT(SUBSTITUTE(SUBSTITUTE(SUBSTITUTE(SUBSTITUTE(TRIM($AR1192),"-",""),".",""),"/","")," ",""),8),4),--MID(LEFT(SUBSTITUTE(SUBSTITUTE(SUBSTITUTE(SUBSTITUTE(TRIM($AR1192),"-",""),".",""),"/","")," ",""),8),5,2),--MID(LEFT(SUBSTITUTE(SUBSTITUTE(SUBSTITUTE(SUBSTITUTE(TRIM($AR1192),"-",""),".",""),"/","")," ",""),8),7,2)),"")))</f>
        <v/>
      </c>
      <c r="AT1192" s="33">
        <f>IF($AS1192="","",IF($F$6="",0,IF(ISNUMBER(INDEX($A:$AP,ROW(),$F$6)),INDEX($A:$AP,ROW(),$F$6),IFERROR(--SUBSTITUTE(SUBSTITUTE(TRIM(INDEX($A:$AP,ROW(),$F$6)),",",""),"원",""),0))))</f>
        <v/>
      </c>
      <c r="AU1192" s="31">
        <f>IF($AS1192="","",IF($AX1192&lt;&gt;"",SUBSTITUTE(SUBSTITUTE($AX1192,"-","")," ",""),"N:"&amp;$AV1192))</f>
        <v/>
      </c>
      <c r="AV1192" s="31">
        <f>IF(OR($AS1192="",$E$6=""),"",TRIM(INDEX($A:$AP,ROW(),$E$6)&amp;""))</f>
        <v/>
      </c>
      <c r="AW1192" s="31">
        <f>IF($AU1192="","",IF(MATCH($AU1192,$AU$8:$AU$2007,0)=ROW()-7,MAX($AW$7:$AW1191)+1,""))</f>
        <v/>
      </c>
      <c r="AX1192" s="31">
        <f>IF(OR($AS1192="",$D$6=""),"",TRIM(INDEX($A:$AP,ROW(),$D$6)&amp;""))</f>
        <v/>
      </c>
      <c r="AY1192" s="31">
        <f>IF($AU1192="","",INDEX($AW$8:$AW$2007,MATCH($AU1192,$AU$8:$AU$2007,0)))</f>
        <v/>
      </c>
      <c r="AZ1192" s="31">
        <f>IF(OR($AS1192="",$C$6=""),"",TRIM(INDEX($A:$AP,ROW(),$C$6)&amp;""))</f>
        <v/>
      </c>
      <c r="BA1192" s="31">
        <f>IF($AZ1192="","",IF(COUNTIF($AZ$8:$AZ1192,$AZ1192)&gt;1,1,0))</f>
        <v/>
      </c>
    </row>
    <row r="1193">
      <c r="AR1193" s="31">
        <f>IF(OR($A$5="",$B$6="",ROW()&lt;$A$5),"",IF(INDEX($A:$AP,ROW(),$B$6)="","",INDEX($A:$AP,ROW(),$B$6)))</f>
        <v/>
      </c>
      <c r="AS1193" s="32">
        <f>IF($AR1193="","",IF(ISNUMBER($AR1193),IF($AR1193&gt;=10000000,IFERROR(DATE(INT($AR1193/10000),MOD(INT($AR1193/100),100),MOD($AR1193,100)),""),INT($AR1193)),IFERROR(DATE(--LEFT(LEFT(SUBSTITUTE(SUBSTITUTE(SUBSTITUTE(SUBSTITUTE(TRIM($AR1193),"-",""),".",""),"/","")," ",""),8),4),--MID(LEFT(SUBSTITUTE(SUBSTITUTE(SUBSTITUTE(SUBSTITUTE(TRIM($AR1193),"-",""),".",""),"/","")," ",""),8),5,2),--MID(LEFT(SUBSTITUTE(SUBSTITUTE(SUBSTITUTE(SUBSTITUTE(TRIM($AR1193),"-",""),".",""),"/","")," ",""),8),7,2)),"")))</f>
        <v/>
      </c>
      <c r="AT1193" s="33">
        <f>IF($AS1193="","",IF($F$6="",0,IF(ISNUMBER(INDEX($A:$AP,ROW(),$F$6)),INDEX($A:$AP,ROW(),$F$6),IFERROR(--SUBSTITUTE(SUBSTITUTE(TRIM(INDEX($A:$AP,ROW(),$F$6)),",",""),"원",""),0))))</f>
        <v/>
      </c>
      <c r="AU1193" s="31">
        <f>IF($AS1193="","",IF($AX1193&lt;&gt;"",SUBSTITUTE(SUBSTITUTE($AX1193,"-","")," ",""),"N:"&amp;$AV1193))</f>
        <v/>
      </c>
      <c r="AV1193" s="31">
        <f>IF(OR($AS1193="",$E$6=""),"",TRIM(INDEX($A:$AP,ROW(),$E$6)&amp;""))</f>
        <v/>
      </c>
      <c r="AW1193" s="31">
        <f>IF($AU1193="","",IF(MATCH($AU1193,$AU$8:$AU$2007,0)=ROW()-7,MAX($AW$7:$AW1192)+1,""))</f>
        <v/>
      </c>
      <c r="AX1193" s="31">
        <f>IF(OR($AS1193="",$D$6=""),"",TRIM(INDEX($A:$AP,ROW(),$D$6)&amp;""))</f>
        <v/>
      </c>
      <c r="AY1193" s="31">
        <f>IF($AU1193="","",INDEX($AW$8:$AW$2007,MATCH($AU1193,$AU$8:$AU$2007,0)))</f>
        <v/>
      </c>
      <c r="AZ1193" s="31">
        <f>IF(OR($AS1193="",$C$6=""),"",TRIM(INDEX($A:$AP,ROW(),$C$6)&amp;""))</f>
        <v/>
      </c>
      <c r="BA1193" s="31">
        <f>IF($AZ1193="","",IF(COUNTIF($AZ$8:$AZ1193,$AZ1193)&gt;1,1,0))</f>
        <v/>
      </c>
    </row>
    <row r="1194">
      <c r="AR1194" s="31">
        <f>IF(OR($A$5="",$B$6="",ROW()&lt;$A$5),"",IF(INDEX($A:$AP,ROW(),$B$6)="","",INDEX($A:$AP,ROW(),$B$6)))</f>
        <v/>
      </c>
      <c r="AS1194" s="32">
        <f>IF($AR1194="","",IF(ISNUMBER($AR1194),IF($AR1194&gt;=10000000,IFERROR(DATE(INT($AR1194/10000),MOD(INT($AR1194/100),100),MOD($AR1194,100)),""),INT($AR1194)),IFERROR(DATE(--LEFT(LEFT(SUBSTITUTE(SUBSTITUTE(SUBSTITUTE(SUBSTITUTE(TRIM($AR1194),"-",""),".",""),"/","")," ",""),8),4),--MID(LEFT(SUBSTITUTE(SUBSTITUTE(SUBSTITUTE(SUBSTITUTE(TRIM($AR1194),"-",""),".",""),"/","")," ",""),8),5,2),--MID(LEFT(SUBSTITUTE(SUBSTITUTE(SUBSTITUTE(SUBSTITUTE(TRIM($AR1194),"-",""),".",""),"/","")," ",""),8),7,2)),"")))</f>
        <v/>
      </c>
      <c r="AT1194" s="33">
        <f>IF($AS1194="","",IF($F$6="",0,IF(ISNUMBER(INDEX($A:$AP,ROW(),$F$6)),INDEX($A:$AP,ROW(),$F$6),IFERROR(--SUBSTITUTE(SUBSTITUTE(TRIM(INDEX($A:$AP,ROW(),$F$6)),",",""),"원",""),0))))</f>
        <v/>
      </c>
      <c r="AU1194" s="31">
        <f>IF($AS1194="","",IF($AX1194&lt;&gt;"",SUBSTITUTE(SUBSTITUTE($AX1194,"-","")," ",""),"N:"&amp;$AV1194))</f>
        <v/>
      </c>
      <c r="AV1194" s="31">
        <f>IF(OR($AS1194="",$E$6=""),"",TRIM(INDEX($A:$AP,ROW(),$E$6)&amp;""))</f>
        <v/>
      </c>
      <c r="AW1194" s="31">
        <f>IF($AU1194="","",IF(MATCH($AU1194,$AU$8:$AU$2007,0)=ROW()-7,MAX($AW$7:$AW1193)+1,""))</f>
        <v/>
      </c>
      <c r="AX1194" s="31">
        <f>IF(OR($AS1194="",$D$6=""),"",TRIM(INDEX($A:$AP,ROW(),$D$6)&amp;""))</f>
        <v/>
      </c>
      <c r="AY1194" s="31">
        <f>IF($AU1194="","",INDEX($AW$8:$AW$2007,MATCH($AU1194,$AU$8:$AU$2007,0)))</f>
        <v/>
      </c>
      <c r="AZ1194" s="31">
        <f>IF(OR($AS1194="",$C$6=""),"",TRIM(INDEX($A:$AP,ROW(),$C$6)&amp;""))</f>
        <v/>
      </c>
      <c r="BA1194" s="31">
        <f>IF($AZ1194="","",IF(COUNTIF($AZ$8:$AZ1194,$AZ1194)&gt;1,1,0))</f>
        <v/>
      </c>
    </row>
    <row r="1195">
      <c r="AR1195" s="31">
        <f>IF(OR($A$5="",$B$6="",ROW()&lt;$A$5),"",IF(INDEX($A:$AP,ROW(),$B$6)="","",INDEX($A:$AP,ROW(),$B$6)))</f>
        <v/>
      </c>
      <c r="AS1195" s="32">
        <f>IF($AR1195="","",IF(ISNUMBER($AR1195),IF($AR1195&gt;=10000000,IFERROR(DATE(INT($AR1195/10000),MOD(INT($AR1195/100),100),MOD($AR1195,100)),""),INT($AR1195)),IFERROR(DATE(--LEFT(LEFT(SUBSTITUTE(SUBSTITUTE(SUBSTITUTE(SUBSTITUTE(TRIM($AR1195),"-",""),".",""),"/","")," ",""),8),4),--MID(LEFT(SUBSTITUTE(SUBSTITUTE(SUBSTITUTE(SUBSTITUTE(TRIM($AR1195),"-",""),".",""),"/","")," ",""),8),5,2),--MID(LEFT(SUBSTITUTE(SUBSTITUTE(SUBSTITUTE(SUBSTITUTE(TRIM($AR1195),"-",""),".",""),"/","")," ",""),8),7,2)),"")))</f>
        <v/>
      </c>
      <c r="AT1195" s="33">
        <f>IF($AS1195="","",IF($F$6="",0,IF(ISNUMBER(INDEX($A:$AP,ROW(),$F$6)),INDEX($A:$AP,ROW(),$F$6),IFERROR(--SUBSTITUTE(SUBSTITUTE(TRIM(INDEX($A:$AP,ROW(),$F$6)),",",""),"원",""),0))))</f>
        <v/>
      </c>
      <c r="AU1195" s="31">
        <f>IF($AS1195="","",IF($AX1195&lt;&gt;"",SUBSTITUTE(SUBSTITUTE($AX1195,"-","")," ",""),"N:"&amp;$AV1195))</f>
        <v/>
      </c>
      <c r="AV1195" s="31">
        <f>IF(OR($AS1195="",$E$6=""),"",TRIM(INDEX($A:$AP,ROW(),$E$6)&amp;""))</f>
        <v/>
      </c>
      <c r="AW1195" s="31">
        <f>IF($AU1195="","",IF(MATCH($AU1195,$AU$8:$AU$2007,0)=ROW()-7,MAX($AW$7:$AW1194)+1,""))</f>
        <v/>
      </c>
      <c r="AX1195" s="31">
        <f>IF(OR($AS1195="",$D$6=""),"",TRIM(INDEX($A:$AP,ROW(),$D$6)&amp;""))</f>
        <v/>
      </c>
      <c r="AY1195" s="31">
        <f>IF($AU1195="","",INDEX($AW$8:$AW$2007,MATCH($AU1195,$AU$8:$AU$2007,0)))</f>
        <v/>
      </c>
      <c r="AZ1195" s="31">
        <f>IF(OR($AS1195="",$C$6=""),"",TRIM(INDEX($A:$AP,ROW(),$C$6)&amp;""))</f>
        <v/>
      </c>
      <c r="BA1195" s="31">
        <f>IF($AZ1195="","",IF(COUNTIF($AZ$8:$AZ1195,$AZ1195)&gt;1,1,0))</f>
        <v/>
      </c>
    </row>
    <row r="1196">
      <c r="AR1196" s="31">
        <f>IF(OR($A$5="",$B$6="",ROW()&lt;$A$5),"",IF(INDEX($A:$AP,ROW(),$B$6)="","",INDEX($A:$AP,ROW(),$B$6)))</f>
        <v/>
      </c>
      <c r="AS1196" s="32">
        <f>IF($AR1196="","",IF(ISNUMBER($AR1196),IF($AR1196&gt;=10000000,IFERROR(DATE(INT($AR1196/10000),MOD(INT($AR1196/100),100),MOD($AR1196,100)),""),INT($AR1196)),IFERROR(DATE(--LEFT(LEFT(SUBSTITUTE(SUBSTITUTE(SUBSTITUTE(SUBSTITUTE(TRIM($AR1196),"-",""),".",""),"/","")," ",""),8),4),--MID(LEFT(SUBSTITUTE(SUBSTITUTE(SUBSTITUTE(SUBSTITUTE(TRIM($AR1196),"-",""),".",""),"/","")," ",""),8),5,2),--MID(LEFT(SUBSTITUTE(SUBSTITUTE(SUBSTITUTE(SUBSTITUTE(TRIM($AR1196),"-",""),".",""),"/","")," ",""),8),7,2)),"")))</f>
        <v/>
      </c>
      <c r="AT1196" s="33">
        <f>IF($AS1196="","",IF($F$6="",0,IF(ISNUMBER(INDEX($A:$AP,ROW(),$F$6)),INDEX($A:$AP,ROW(),$F$6),IFERROR(--SUBSTITUTE(SUBSTITUTE(TRIM(INDEX($A:$AP,ROW(),$F$6)),",",""),"원",""),0))))</f>
        <v/>
      </c>
      <c r="AU1196" s="31">
        <f>IF($AS1196="","",IF($AX1196&lt;&gt;"",SUBSTITUTE(SUBSTITUTE($AX1196,"-","")," ",""),"N:"&amp;$AV1196))</f>
        <v/>
      </c>
      <c r="AV1196" s="31">
        <f>IF(OR($AS1196="",$E$6=""),"",TRIM(INDEX($A:$AP,ROW(),$E$6)&amp;""))</f>
        <v/>
      </c>
      <c r="AW1196" s="31">
        <f>IF($AU1196="","",IF(MATCH($AU1196,$AU$8:$AU$2007,0)=ROW()-7,MAX($AW$7:$AW1195)+1,""))</f>
        <v/>
      </c>
      <c r="AX1196" s="31">
        <f>IF(OR($AS1196="",$D$6=""),"",TRIM(INDEX($A:$AP,ROW(),$D$6)&amp;""))</f>
        <v/>
      </c>
      <c r="AY1196" s="31">
        <f>IF($AU1196="","",INDEX($AW$8:$AW$2007,MATCH($AU1196,$AU$8:$AU$2007,0)))</f>
        <v/>
      </c>
      <c r="AZ1196" s="31">
        <f>IF(OR($AS1196="",$C$6=""),"",TRIM(INDEX($A:$AP,ROW(),$C$6)&amp;""))</f>
        <v/>
      </c>
      <c r="BA1196" s="31">
        <f>IF($AZ1196="","",IF(COUNTIF($AZ$8:$AZ1196,$AZ1196)&gt;1,1,0))</f>
        <v/>
      </c>
    </row>
    <row r="1197">
      <c r="AR1197" s="31">
        <f>IF(OR($A$5="",$B$6="",ROW()&lt;$A$5),"",IF(INDEX($A:$AP,ROW(),$B$6)="","",INDEX($A:$AP,ROW(),$B$6)))</f>
        <v/>
      </c>
      <c r="AS1197" s="32">
        <f>IF($AR1197="","",IF(ISNUMBER($AR1197),IF($AR1197&gt;=10000000,IFERROR(DATE(INT($AR1197/10000),MOD(INT($AR1197/100),100),MOD($AR1197,100)),""),INT($AR1197)),IFERROR(DATE(--LEFT(LEFT(SUBSTITUTE(SUBSTITUTE(SUBSTITUTE(SUBSTITUTE(TRIM($AR1197),"-",""),".",""),"/","")," ",""),8),4),--MID(LEFT(SUBSTITUTE(SUBSTITUTE(SUBSTITUTE(SUBSTITUTE(TRIM($AR1197),"-",""),".",""),"/","")," ",""),8),5,2),--MID(LEFT(SUBSTITUTE(SUBSTITUTE(SUBSTITUTE(SUBSTITUTE(TRIM($AR1197),"-",""),".",""),"/","")," ",""),8),7,2)),"")))</f>
        <v/>
      </c>
      <c r="AT1197" s="33">
        <f>IF($AS1197="","",IF($F$6="",0,IF(ISNUMBER(INDEX($A:$AP,ROW(),$F$6)),INDEX($A:$AP,ROW(),$F$6),IFERROR(--SUBSTITUTE(SUBSTITUTE(TRIM(INDEX($A:$AP,ROW(),$F$6)),",",""),"원",""),0))))</f>
        <v/>
      </c>
      <c r="AU1197" s="31">
        <f>IF($AS1197="","",IF($AX1197&lt;&gt;"",SUBSTITUTE(SUBSTITUTE($AX1197,"-","")," ",""),"N:"&amp;$AV1197))</f>
        <v/>
      </c>
      <c r="AV1197" s="31">
        <f>IF(OR($AS1197="",$E$6=""),"",TRIM(INDEX($A:$AP,ROW(),$E$6)&amp;""))</f>
        <v/>
      </c>
      <c r="AW1197" s="31">
        <f>IF($AU1197="","",IF(MATCH($AU1197,$AU$8:$AU$2007,0)=ROW()-7,MAX($AW$7:$AW1196)+1,""))</f>
        <v/>
      </c>
      <c r="AX1197" s="31">
        <f>IF(OR($AS1197="",$D$6=""),"",TRIM(INDEX($A:$AP,ROW(),$D$6)&amp;""))</f>
        <v/>
      </c>
      <c r="AY1197" s="31">
        <f>IF($AU1197="","",INDEX($AW$8:$AW$2007,MATCH($AU1197,$AU$8:$AU$2007,0)))</f>
        <v/>
      </c>
      <c r="AZ1197" s="31">
        <f>IF(OR($AS1197="",$C$6=""),"",TRIM(INDEX($A:$AP,ROW(),$C$6)&amp;""))</f>
        <v/>
      </c>
      <c r="BA1197" s="31">
        <f>IF($AZ1197="","",IF(COUNTIF($AZ$8:$AZ1197,$AZ1197)&gt;1,1,0))</f>
        <v/>
      </c>
    </row>
    <row r="1198">
      <c r="AR1198" s="31">
        <f>IF(OR($A$5="",$B$6="",ROW()&lt;$A$5),"",IF(INDEX($A:$AP,ROW(),$B$6)="","",INDEX($A:$AP,ROW(),$B$6)))</f>
        <v/>
      </c>
      <c r="AS1198" s="32">
        <f>IF($AR1198="","",IF(ISNUMBER($AR1198),IF($AR1198&gt;=10000000,IFERROR(DATE(INT($AR1198/10000),MOD(INT($AR1198/100),100),MOD($AR1198,100)),""),INT($AR1198)),IFERROR(DATE(--LEFT(LEFT(SUBSTITUTE(SUBSTITUTE(SUBSTITUTE(SUBSTITUTE(TRIM($AR1198),"-",""),".",""),"/","")," ",""),8),4),--MID(LEFT(SUBSTITUTE(SUBSTITUTE(SUBSTITUTE(SUBSTITUTE(TRIM($AR1198),"-",""),".",""),"/","")," ",""),8),5,2),--MID(LEFT(SUBSTITUTE(SUBSTITUTE(SUBSTITUTE(SUBSTITUTE(TRIM($AR1198),"-",""),".",""),"/","")," ",""),8),7,2)),"")))</f>
        <v/>
      </c>
      <c r="AT1198" s="33">
        <f>IF($AS1198="","",IF($F$6="",0,IF(ISNUMBER(INDEX($A:$AP,ROW(),$F$6)),INDEX($A:$AP,ROW(),$F$6),IFERROR(--SUBSTITUTE(SUBSTITUTE(TRIM(INDEX($A:$AP,ROW(),$F$6)),",",""),"원",""),0))))</f>
        <v/>
      </c>
      <c r="AU1198" s="31">
        <f>IF($AS1198="","",IF($AX1198&lt;&gt;"",SUBSTITUTE(SUBSTITUTE($AX1198,"-","")," ",""),"N:"&amp;$AV1198))</f>
        <v/>
      </c>
      <c r="AV1198" s="31">
        <f>IF(OR($AS1198="",$E$6=""),"",TRIM(INDEX($A:$AP,ROW(),$E$6)&amp;""))</f>
        <v/>
      </c>
      <c r="AW1198" s="31">
        <f>IF($AU1198="","",IF(MATCH($AU1198,$AU$8:$AU$2007,0)=ROW()-7,MAX($AW$7:$AW1197)+1,""))</f>
        <v/>
      </c>
      <c r="AX1198" s="31">
        <f>IF(OR($AS1198="",$D$6=""),"",TRIM(INDEX($A:$AP,ROW(),$D$6)&amp;""))</f>
        <v/>
      </c>
      <c r="AY1198" s="31">
        <f>IF($AU1198="","",INDEX($AW$8:$AW$2007,MATCH($AU1198,$AU$8:$AU$2007,0)))</f>
        <v/>
      </c>
      <c r="AZ1198" s="31">
        <f>IF(OR($AS1198="",$C$6=""),"",TRIM(INDEX($A:$AP,ROW(),$C$6)&amp;""))</f>
        <v/>
      </c>
      <c r="BA1198" s="31">
        <f>IF($AZ1198="","",IF(COUNTIF($AZ$8:$AZ1198,$AZ1198)&gt;1,1,0))</f>
        <v/>
      </c>
    </row>
    <row r="1199">
      <c r="AR1199" s="31">
        <f>IF(OR($A$5="",$B$6="",ROW()&lt;$A$5),"",IF(INDEX($A:$AP,ROW(),$B$6)="","",INDEX($A:$AP,ROW(),$B$6)))</f>
        <v/>
      </c>
      <c r="AS1199" s="32">
        <f>IF($AR1199="","",IF(ISNUMBER($AR1199),IF($AR1199&gt;=10000000,IFERROR(DATE(INT($AR1199/10000),MOD(INT($AR1199/100),100),MOD($AR1199,100)),""),INT($AR1199)),IFERROR(DATE(--LEFT(LEFT(SUBSTITUTE(SUBSTITUTE(SUBSTITUTE(SUBSTITUTE(TRIM($AR1199),"-",""),".",""),"/","")," ",""),8),4),--MID(LEFT(SUBSTITUTE(SUBSTITUTE(SUBSTITUTE(SUBSTITUTE(TRIM($AR1199),"-",""),".",""),"/","")," ",""),8),5,2),--MID(LEFT(SUBSTITUTE(SUBSTITUTE(SUBSTITUTE(SUBSTITUTE(TRIM($AR1199),"-",""),".",""),"/","")," ",""),8),7,2)),"")))</f>
        <v/>
      </c>
      <c r="AT1199" s="33">
        <f>IF($AS1199="","",IF($F$6="",0,IF(ISNUMBER(INDEX($A:$AP,ROW(),$F$6)),INDEX($A:$AP,ROW(),$F$6),IFERROR(--SUBSTITUTE(SUBSTITUTE(TRIM(INDEX($A:$AP,ROW(),$F$6)),",",""),"원",""),0))))</f>
        <v/>
      </c>
      <c r="AU1199" s="31">
        <f>IF($AS1199="","",IF($AX1199&lt;&gt;"",SUBSTITUTE(SUBSTITUTE($AX1199,"-","")," ",""),"N:"&amp;$AV1199))</f>
        <v/>
      </c>
      <c r="AV1199" s="31">
        <f>IF(OR($AS1199="",$E$6=""),"",TRIM(INDEX($A:$AP,ROW(),$E$6)&amp;""))</f>
        <v/>
      </c>
      <c r="AW1199" s="31">
        <f>IF($AU1199="","",IF(MATCH($AU1199,$AU$8:$AU$2007,0)=ROW()-7,MAX($AW$7:$AW1198)+1,""))</f>
        <v/>
      </c>
      <c r="AX1199" s="31">
        <f>IF(OR($AS1199="",$D$6=""),"",TRIM(INDEX($A:$AP,ROW(),$D$6)&amp;""))</f>
        <v/>
      </c>
      <c r="AY1199" s="31">
        <f>IF($AU1199="","",INDEX($AW$8:$AW$2007,MATCH($AU1199,$AU$8:$AU$2007,0)))</f>
        <v/>
      </c>
      <c r="AZ1199" s="31">
        <f>IF(OR($AS1199="",$C$6=""),"",TRIM(INDEX($A:$AP,ROW(),$C$6)&amp;""))</f>
        <v/>
      </c>
      <c r="BA1199" s="31">
        <f>IF($AZ1199="","",IF(COUNTIF($AZ$8:$AZ1199,$AZ1199)&gt;1,1,0))</f>
        <v/>
      </c>
    </row>
    <row r="1200">
      <c r="AR1200" s="31">
        <f>IF(OR($A$5="",$B$6="",ROW()&lt;$A$5),"",IF(INDEX($A:$AP,ROW(),$B$6)="","",INDEX($A:$AP,ROW(),$B$6)))</f>
        <v/>
      </c>
      <c r="AS1200" s="32">
        <f>IF($AR1200="","",IF(ISNUMBER($AR1200),IF($AR1200&gt;=10000000,IFERROR(DATE(INT($AR1200/10000),MOD(INT($AR1200/100),100),MOD($AR1200,100)),""),INT($AR1200)),IFERROR(DATE(--LEFT(LEFT(SUBSTITUTE(SUBSTITUTE(SUBSTITUTE(SUBSTITUTE(TRIM($AR1200),"-",""),".",""),"/","")," ",""),8),4),--MID(LEFT(SUBSTITUTE(SUBSTITUTE(SUBSTITUTE(SUBSTITUTE(TRIM($AR1200),"-",""),".",""),"/","")," ",""),8),5,2),--MID(LEFT(SUBSTITUTE(SUBSTITUTE(SUBSTITUTE(SUBSTITUTE(TRIM($AR1200),"-",""),".",""),"/","")," ",""),8),7,2)),"")))</f>
        <v/>
      </c>
      <c r="AT1200" s="33">
        <f>IF($AS1200="","",IF($F$6="",0,IF(ISNUMBER(INDEX($A:$AP,ROW(),$F$6)),INDEX($A:$AP,ROW(),$F$6),IFERROR(--SUBSTITUTE(SUBSTITUTE(TRIM(INDEX($A:$AP,ROW(),$F$6)),",",""),"원",""),0))))</f>
        <v/>
      </c>
      <c r="AU1200" s="31">
        <f>IF($AS1200="","",IF($AX1200&lt;&gt;"",SUBSTITUTE(SUBSTITUTE($AX1200,"-","")," ",""),"N:"&amp;$AV1200))</f>
        <v/>
      </c>
      <c r="AV1200" s="31">
        <f>IF(OR($AS1200="",$E$6=""),"",TRIM(INDEX($A:$AP,ROW(),$E$6)&amp;""))</f>
        <v/>
      </c>
      <c r="AW1200" s="31">
        <f>IF($AU1200="","",IF(MATCH($AU1200,$AU$8:$AU$2007,0)=ROW()-7,MAX($AW$7:$AW1199)+1,""))</f>
        <v/>
      </c>
      <c r="AX1200" s="31">
        <f>IF(OR($AS1200="",$D$6=""),"",TRIM(INDEX($A:$AP,ROW(),$D$6)&amp;""))</f>
        <v/>
      </c>
      <c r="AY1200" s="31">
        <f>IF($AU1200="","",INDEX($AW$8:$AW$2007,MATCH($AU1200,$AU$8:$AU$2007,0)))</f>
        <v/>
      </c>
      <c r="AZ1200" s="31">
        <f>IF(OR($AS1200="",$C$6=""),"",TRIM(INDEX($A:$AP,ROW(),$C$6)&amp;""))</f>
        <v/>
      </c>
      <c r="BA1200" s="31">
        <f>IF($AZ1200="","",IF(COUNTIF($AZ$8:$AZ1200,$AZ1200)&gt;1,1,0))</f>
        <v/>
      </c>
    </row>
    <row r="1201">
      <c r="AR1201" s="31">
        <f>IF(OR($A$5="",$B$6="",ROW()&lt;$A$5),"",IF(INDEX($A:$AP,ROW(),$B$6)="","",INDEX($A:$AP,ROW(),$B$6)))</f>
        <v/>
      </c>
      <c r="AS1201" s="32">
        <f>IF($AR1201="","",IF(ISNUMBER($AR1201),IF($AR1201&gt;=10000000,IFERROR(DATE(INT($AR1201/10000),MOD(INT($AR1201/100),100),MOD($AR1201,100)),""),INT($AR1201)),IFERROR(DATE(--LEFT(LEFT(SUBSTITUTE(SUBSTITUTE(SUBSTITUTE(SUBSTITUTE(TRIM($AR1201),"-",""),".",""),"/","")," ",""),8),4),--MID(LEFT(SUBSTITUTE(SUBSTITUTE(SUBSTITUTE(SUBSTITUTE(TRIM($AR1201),"-",""),".",""),"/","")," ",""),8),5,2),--MID(LEFT(SUBSTITUTE(SUBSTITUTE(SUBSTITUTE(SUBSTITUTE(TRIM($AR1201),"-",""),".",""),"/","")," ",""),8),7,2)),"")))</f>
        <v/>
      </c>
      <c r="AT1201" s="33">
        <f>IF($AS1201="","",IF($F$6="",0,IF(ISNUMBER(INDEX($A:$AP,ROW(),$F$6)),INDEX($A:$AP,ROW(),$F$6),IFERROR(--SUBSTITUTE(SUBSTITUTE(TRIM(INDEX($A:$AP,ROW(),$F$6)),",",""),"원",""),0))))</f>
        <v/>
      </c>
      <c r="AU1201" s="31">
        <f>IF($AS1201="","",IF($AX1201&lt;&gt;"",SUBSTITUTE(SUBSTITUTE($AX1201,"-","")," ",""),"N:"&amp;$AV1201))</f>
        <v/>
      </c>
      <c r="AV1201" s="31">
        <f>IF(OR($AS1201="",$E$6=""),"",TRIM(INDEX($A:$AP,ROW(),$E$6)&amp;""))</f>
        <v/>
      </c>
      <c r="AW1201" s="31">
        <f>IF($AU1201="","",IF(MATCH($AU1201,$AU$8:$AU$2007,0)=ROW()-7,MAX($AW$7:$AW1200)+1,""))</f>
        <v/>
      </c>
      <c r="AX1201" s="31">
        <f>IF(OR($AS1201="",$D$6=""),"",TRIM(INDEX($A:$AP,ROW(),$D$6)&amp;""))</f>
        <v/>
      </c>
      <c r="AY1201" s="31">
        <f>IF($AU1201="","",INDEX($AW$8:$AW$2007,MATCH($AU1201,$AU$8:$AU$2007,0)))</f>
        <v/>
      </c>
      <c r="AZ1201" s="31">
        <f>IF(OR($AS1201="",$C$6=""),"",TRIM(INDEX($A:$AP,ROW(),$C$6)&amp;""))</f>
        <v/>
      </c>
      <c r="BA1201" s="31">
        <f>IF($AZ1201="","",IF(COUNTIF($AZ$8:$AZ1201,$AZ1201)&gt;1,1,0))</f>
        <v/>
      </c>
    </row>
    <row r="1202">
      <c r="AR1202" s="31">
        <f>IF(OR($A$5="",$B$6="",ROW()&lt;$A$5),"",IF(INDEX($A:$AP,ROW(),$B$6)="","",INDEX($A:$AP,ROW(),$B$6)))</f>
        <v/>
      </c>
      <c r="AS1202" s="32">
        <f>IF($AR1202="","",IF(ISNUMBER($AR1202),IF($AR1202&gt;=10000000,IFERROR(DATE(INT($AR1202/10000),MOD(INT($AR1202/100),100),MOD($AR1202,100)),""),INT($AR1202)),IFERROR(DATE(--LEFT(LEFT(SUBSTITUTE(SUBSTITUTE(SUBSTITUTE(SUBSTITUTE(TRIM($AR1202),"-",""),".",""),"/","")," ",""),8),4),--MID(LEFT(SUBSTITUTE(SUBSTITUTE(SUBSTITUTE(SUBSTITUTE(TRIM($AR1202),"-",""),".",""),"/","")," ",""),8),5,2),--MID(LEFT(SUBSTITUTE(SUBSTITUTE(SUBSTITUTE(SUBSTITUTE(TRIM($AR1202),"-",""),".",""),"/","")," ",""),8),7,2)),"")))</f>
        <v/>
      </c>
      <c r="AT1202" s="33">
        <f>IF($AS1202="","",IF($F$6="",0,IF(ISNUMBER(INDEX($A:$AP,ROW(),$F$6)),INDEX($A:$AP,ROW(),$F$6),IFERROR(--SUBSTITUTE(SUBSTITUTE(TRIM(INDEX($A:$AP,ROW(),$F$6)),",",""),"원",""),0))))</f>
        <v/>
      </c>
      <c r="AU1202" s="31">
        <f>IF($AS1202="","",IF($AX1202&lt;&gt;"",SUBSTITUTE(SUBSTITUTE($AX1202,"-","")," ",""),"N:"&amp;$AV1202))</f>
        <v/>
      </c>
      <c r="AV1202" s="31">
        <f>IF(OR($AS1202="",$E$6=""),"",TRIM(INDEX($A:$AP,ROW(),$E$6)&amp;""))</f>
        <v/>
      </c>
      <c r="AW1202" s="31">
        <f>IF($AU1202="","",IF(MATCH($AU1202,$AU$8:$AU$2007,0)=ROW()-7,MAX($AW$7:$AW1201)+1,""))</f>
        <v/>
      </c>
      <c r="AX1202" s="31">
        <f>IF(OR($AS1202="",$D$6=""),"",TRIM(INDEX($A:$AP,ROW(),$D$6)&amp;""))</f>
        <v/>
      </c>
      <c r="AY1202" s="31">
        <f>IF($AU1202="","",INDEX($AW$8:$AW$2007,MATCH($AU1202,$AU$8:$AU$2007,0)))</f>
        <v/>
      </c>
      <c r="AZ1202" s="31">
        <f>IF(OR($AS1202="",$C$6=""),"",TRIM(INDEX($A:$AP,ROW(),$C$6)&amp;""))</f>
        <v/>
      </c>
      <c r="BA1202" s="31">
        <f>IF($AZ1202="","",IF(COUNTIF($AZ$8:$AZ1202,$AZ1202)&gt;1,1,0))</f>
        <v/>
      </c>
    </row>
    <row r="1203">
      <c r="AR1203" s="31">
        <f>IF(OR($A$5="",$B$6="",ROW()&lt;$A$5),"",IF(INDEX($A:$AP,ROW(),$B$6)="","",INDEX($A:$AP,ROW(),$B$6)))</f>
        <v/>
      </c>
      <c r="AS1203" s="32">
        <f>IF($AR1203="","",IF(ISNUMBER($AR1203),IF($AR1203&gt;=10000000,IFERROR(DATE(INT($AR1203/10000),MOD(INT($AR1203/100),100),MOD($AR1203,100)),""),INT($AR1203)),IFERROR(DATE(--LEFT(LEFT(SUBSTITUTE(SUBSTITUTE(SUBSTITUTE(SUBSTITUTE(TRIM($AR1203),"-",""),".",""),"/","")," ",""),8),4),--MID(LEFT(SUBSTITUTE(SUBSTITUTE(SUBSTITUTE(SUBSTITUTE(TRIM($AR1203),"-",""),".",""),"/","")," ",""),8),5,2),--MID(LEFT(SUBSTITUTE(SUBSTITUTE(SUBSTITUTE(SUBSTITUTE(TRIM($AR1203),"-",""),".",""),"/","")," ",""),8),7,2)),"")))</f>
        <v/>
      </c>
      <c r="AT1203" s="33">
        <f>IF($AS1203="","",IF($F$6="",0,IF(ISNUMBER(INDEX($A:$AP,ROW(),$F$6)),INDEX($A:$AP,ROW(),$F$6),IFERROR(--SUBSTITUTE(SUBSTITUTE(TRIM(INDEX($A:$AP,ROW(),$F$6)),",",""),"원",""),0))))</f>
        <v/>
      </c>
      <c r="AU1203" s="31">
        <f>IF($AS1203="","",IF($AX1203&lt;&gt;"",SUBSTITUTE(SUBSTITUTE($AX1203,"-","")," ",""),"N:"&amp;$AV1203))</f>
        <v/>
      </c>
      <c r="AV1203" s="31">
        <f>IF(OR($AS1203="",$E$6=""),"",TRIM(INDEX($A:$AP,ROW(),$E$6)&amp;""))</f>
        <v/>
      </c>
      <c r="AW1203" s="31">
        <f>IF($AU1203="","",IF(MATCH($AU1203,$AU$8:$AU$2007,0)=ROW()-7,MAX($AW$7:$AW1202)+1,""))</f>
        <v/>
      </c>
      <c r="AX1203" s="31">
        <f>IF(OR($AS1203="",$D$6=""),"",TRIM(INDEX($A:$AP,ROW(),$D$6)&amp;""))</f>
        <v/>
      </c>
      <c r="AY1203" s="31">
        <f>IF($AU1203="","",INDEX($AW$8:$AW$2007,MATCH($AU1203,$AU$8:$AU$2007,0)))</f>
        <v/>
      </c>
      <c r="AZ1203" s="31">
        <f>IF(OR($AS1203="",$C$6=""),"",TRIM(INDEX($A:$AP,ROW(),$C$6)&amp;""))</f>
        <v/>
      </c>
      <c r="BA1203" s="31">
        <f>IF($AZ1203="","",IF(COUNTIF($AZ$8:$AZ1203,$AZ1203)&gt;1,1,0))</f>
        <v/>
      </c>
    </row>
    <row r="1204">
      <c r="AR1204" s="31">
        <f>IF(OR($A$5="",$B$6="",ROW()&lt;$A$5),"",IF(INDEX($A:$AP,ROW(),$B$6)="","",INDEX($A:$AP,ROW(),$B$6)))</f>
        <v/>
      </c>
      <c r="AS1204" s="32">
        <f>IF($AR1204="","",IF(ISNUMBER($AR1204),IF($AR1204&gt;=10000000,IFERROR(DATE(INT($AR1204/10000),MOD(INT($AR1204/100),100),MOD($AR1204,100)),""),INT($AR1204)),IFERROR(DATE(--LEFT(LEFT(SUBSTITUTE(SUBSTITUTE(SUBSTITUTE(SUBSTITUTE(TRIM($AR1204),"-",""),".",""),"/","")," ",""),8),4),--MID(LEFT(SUBSTITUTE(SUBSTITUTE(SUBSTITUTE(SUBSTITUTE(TRIM($AR1204),"-",""),".",""),"/","")," ",""),8),5,2),--MID(LEFT(SUBSTITUTE(SUBSTITUTE(SUBSTITUTE(SUBSTITUTE(TRIM($AR1204),"-",""),".",""),"/","")," ",""),8),7,2)),"")))</f>
        <v/>
      </c>
      <c r="AT1204" s="33">
        <f>IF($AS1204="","",IF($F$6="",0,IF(ISNUMBER(INDEX($A:$AP,ROW(),$F$6)),INDEX($A:$AP,ROW(),$F$6),IFERROR(--SUBSTITUTE(SUBSTITUTE(TRIM(INDEX($A:$AP,ROW(),$F$6)),",",""),"원",""),0))))</f>
        <v/>
      </c>
      <c r="AU1204" s="31">
        <f>IF($AS1204="","",IF($AX1204&lt;&gt;"",SUBSTITUTE(SUBSTITUTE($AX1204,"-","")," ",""),"N:"&amp;$AV1204))</f>
        <v/>
      </c>
      <c r="AV1204" s="31">
        <f>IF(OR($AS1204="",$E$6=""),"",TRIM(INDEX($A:$AP,ROW(),$E$6)&amp;""))</f>
        <v/>
      </c>
      <c r="AW1204" s="31">
        <f>IF($AU1204="","",IF(MATCH($AU1204,$AU$8:$AU$2007,0)=ROW()-7,MAX($AW$7:$AW1203)+1,""))</f>
        <v/>
      </c>
      <c r="AX1204" s="31">
        <f>IF(OR($AS1204="",$D$6=""),"",TRIM(INDEX($A:$AP,ROW(),$D$6)&amp;""))</f>
        <v/>
      </c>
      <c r="AY1204" s="31">
        <f>IF($AU1204="","",INDEX($AW$8:$AW$2007,MATCH($AU1204,$AU$8:$AU$2007,0)))</f>
        <v/>
      </c>
      <c r="AZ1204" s="31">
        <f>IF(OR($AS1204="",$C$6=""),"",TRIM(INDEX($A:$AP,ROW(),$C$6)&amp;""))</f>
        <v/>
      </c>
      <c r="BA1204" s="31">
        <f>IF($AZ1204="","",IF(COUNTIF($AZ$8:$AZ1204,$AZ1204)&gt;1,1,0))</f>
        <v/>
      </c>
    </row>
    <row r="1205">
      <c r="AR1205" s="31">
        <f>IF(OR($A$5="",$B$6="",ROW()&lt;$A$5),"",IF(INDEX($A:$AP,ROW(),$B$6)="","",INDEX($A:$AP,ROW(),$B$6)))</f>
        <v/>
      </c>
      <c r="AS1205" s="32">
        <f>IF($AR1205="","",IF(ISNUMBER($AR1205),IF($AR1205&gt;=10000000,IFERROR(DATE(INT($AR1205/10000),MOD(INT($AR1205/100),100),MOD($AR1205,100)),""),INT($AR1205)),IFERROR(DATE(--LEFT(LEFT(SUBSTITUTE(SUBSTITUTE(SUBSTITUTE(SUBSTITUTE(TRIM($AR1205),"-",""),".",""),"/","")," ",""),8),4),--MID(LEFT(SUBSTITUTE(SUBSTITUTE(SUBSTITUTE(SUBSTITUTE(TRIM($AR1205),"-",""),".",""),"/","")," ",""),8),5,2),--MID(LEFT(SUBSTITUTE(SUBSTITUTE(SUBSTITUTE(SUBSTITUTE(TRIM($AR1205),"-",""),".",""),"/","")," ",""),8),7,2)),"")))</f>
        <v/>
      </c>
      <c r="AT1205" s="33">
        <f>IF($AS1205="","",IF($F$6="",0,IF(ISNUMBER(INDEX($A:$AP,ROW(),$F$6)),INDEX($A:$AP,ROW(),$F$6),IFERROR(--SUBSTITUTE(SUBSTITUTE(TRIM(INDEX($A:$AP,ROW(),$F$6)),",",""),"원",""),0))))</f>
        <v/>
      </c>
      <c r="AU1205" s="31">
        <f>IF($AS1205="","",IF($AX1205&lt;&gt;"",SUBSTITUTE(SUBSTITUTE($AX1205,"-","")," ",""),"N:"&amp;$AV1205))</f>
        <v/>
      </c>
      <c r="AV1205" s="31">
        <f>IF(OR($AS1205="",$E$6=""),"",TRIM(INDEX($A:$AP,ROW(),$E$6)&amp;""))</f>
        <v/>
      </c>
      <c r="AW1205" s="31">
        <f>IF($AU1205="","",IF(MATCH($AU1205,$AU$8:$AU$2007,0)=ROW()-7,MAX($AW$7:$AW1204)+1,""))</f>
        <v/>
      </c>
      <c r="AX1205" s="31">
        <f>IF(OR($AS1205="",$D$6=""),"",TRIM(INDEX($A:$AP,ROW(),$D$6)&amp;""))</f>
        <v/>
      </c>
      <c r="AY1205" s="31">
        <f>IF($AU1205="","",INDEX($AW$8:$AW$2007,MATCH($AU1205,$AU$8:$AU$2007,0)))</f>
        <v/>
      </c>
      <c r="AZ1205" s="31">
        <f>IF(OR($AS1205="",$C$6=""),"",TRIM(INDEX($A:$AP,ROW(),$C$6)&amp;""))</f>
        <v/>
      </c>
      <c r="BA1205" s="31">
        <f>IF($AZ1205="","",IF(COUNTIF($AZ$8:$AZ1205,$AZ1205)&gt;1,1,0))</f>
        <v/>
      </c>
    </row>
    <row r="1206">
      <c r="AR1206" s="31">
        <f>IF(OR($A$5="",$B$6="",ROW()&lt;$A$5),"",IF(INDEX($A:$AP,ROW(),$B$6)="","",INDEX($A:$AP,ROW(),$B$6)))</f>
        <v/>
      </c>
      <c r="AS1206" s="32">
        <f>IF($AR1206="","",IF(ISNUMBER($AR1206),IF($AR1206&gt;=10000000,IFERROR(DATE(INT($AR1206/10000),MOD(INT($AR1206/100),100),MOD($AR1206,100)),""),INT($AR1206)),IFERROR(DATE(--LEFT(LEFT(SUBSTITUTE(SUBSTITUTE(SUBSTITUTE(SUBSTITUTE(TRIM($AR1206),"-",""),".",""),"/","")," ",""),8),4),--MID(LEFT(SUBSTITUTE(SUBSTITUTE(SUBSTITUTE(SUBSTITUTE(TRIM($AR1206),"-",""),".",""),"/","")," ",""),8),5,2),--MID(LEFT(SUBSTITUTE(SUBSTITUTE(SUBSTITUTE(SUBSTITUTE(TRIM($AR1206),"-",""),".",""),"/","")," ",""),8),7,2)),"")))</f>
        <v/>
      </c>
      <c r="AT1206" s="33">
        <f>IF($AS1206="","",IF($F$6="",0,IF(ISNUMBER(INDEX($A:$AP,ROW(),$F$6)),INDEX($A:$AP,ROW(),$F$6),IFERROR(--SUBSTITUTE(SUBSTITUTE(TRIM(INDEX($A:$AP,ROW(),$F$6)),",",""),"원",""),0))))</f>
        <v/>
      </c>
      <c r="AU1206" s="31">
        <f>IF($AS1206="","",IF($AX1206&lt;&gt;"",SUBSTITUTE(SUBSTITUTE($AX1206,"-","")," ",""),"N:"&amp;$AV1206))</f>
        <v/>
      </c>
      <c r="AV1206" s="31">
        <f>IF(OR($AS1206="",$E$6=""),"",TRIM(INDEX($A:$AP,ROW(),$E$6)&amp;""))</f>
        <v/>
      </c>
      <c r="AW1206" s="31">
        <f>IF($AU1206="","",IF(MATCH($AU1206,$AU$8:$AU$2007,0)=ROW()-7,MAX($AW$7:$AW1205)+1,""))</f>
        <v/>
      </c>
      <c r="AX1206" s="31">
        <f>IF(OR($AS1206="",$D$6=""),"",TRIM(INDEX($A:$AP,ROW(),$D$6)&amp;""))</f>
        <v/>
      </c>
      <c r="AY1206" s="31">
        <f>IF($AU1206="","",INDEX($AW$8:$AW$2007,MATCH($AU1206,$AU$8:$AU$2007,0)))</f>
        <v/>
      </c>
      <c r="AZ1206" s="31">
        <f>IF(OR($AS1206="",$C$6=""),"",TRIM(INDEX($A:$AP,ROW(),$C$6)&amp;""))</f>
        <v/>
      </c>
      <c r="BA1206" s="31">
        <f>IF($AZ1206="","",IF(COUNTIF($AZ$8:$AZ1206,$AZ1206)&gt;1,1,0))</f>
        <v/>
      </c>
    </row>
    <row r="1207">
      <c r="AR1207" s="31">
        <f>IF(OR($A$5="",$B$6="",ROW()&lt;$A$5),"",IF(INDEX($A:$AP,ROW(),$B$6)="","",INDEX($A:$AP,ROW(),$B$6)))</f>
        <v/>
      </c>
      <c r="AS1207" s="32">
        <f>IF($AR1207="","",IF(ISNUMBER($AR1207),IF($AR1207&gt;=10000000,IFERROR(DATE(INT($AR1207/10000),MOD(INT($AR1207/100),100),MOD($AR1207,100)),""),INT($AR1207)),IFERROR(DATE(--LEFT(LEFT(SUBSTITUTE(SUBSTITUTE(SUBSTITUTE(SUBSTITUTE(TRIM($AR1207),"-",""),".",""),"/","")," ",""),8),4),--MID(LEFT(SUBSTITUTE(SUBSTITUTE(SUBSTITUTE(SUBSTITUTE(TRIM($AR1207),"-",""),".",""),"/","")," ",""),8),5,2),--MID(LEFT(SUBSTITUTE(SUBSTITUTE(SUBSTITUTE(SUBSTITUTE(TRIM($AR1207),"-",""),".",""),"/","")," ",""),8),7,2)),"")))</f>
        <v/>
      </c>
      <c r="AT1207" s="33">
        <f>IF($AS1207="","",IF($F$6="",0,IF(ISNUMBER(INDEX($A:$AP,ROW(),$F$6)),INDEX($A:$AP,ROW(),$F$6),IFERROR(--SUBSTITUTE(SUBSTITUTE(TRIM(INDEX($A:$AP,ROW(),$F$6)),",",""),"원",""),0))))</f>
        <v/>
      </c>
      <c r="AU1207" s="31">
        <f>IF($AS1207="","",IF($AX1207&lt;&gt;"",SUBSTITUTE(SUBSTITUTE($AX1207,"-","")," ",""),"N:"&amp;$AV1207))</f>
        <v/>
      </c>
      <c r="AV1207" s="31">
        <f>IF(OR($AS1207="",$E$6=""),"",TRIM(INDEX($A:$AP,ROW(),$E$6)&amp;""))</f>
        <v/>
      </c>
      <c r="AW1207" s="31">
        <f>IF($AU1207="","",IF(MATCH($AU1207,$AU$8:$AU$2007,0)=ROW()-7,MAX($AW$7:$AW1206)+1,""))</f>
        <v/>
      </c>
      <c r="AX1207" s="31">
        <f>IF(OR($AS1207="",$D$6=""),"",TRIM(INDEX($A:$AP,ROW(),$D$6)&amp;""))</f>
        <v/>
      </c>
      <c r="AY1207" s="31">
        <f>IF($AU1207="","",INDEX($AW$8:$AW$2007,MATCH($AU1207,$AU$8:$AU$2007,0)))</f>
        <v/>
      </c>
      <c r="AZ1207" s="31">
        <f>IF(OR($AS1207="",$C$6=""),"",TRIM(INDEX($A:$AP,ROW(),$C$6)&amp;""))</f>
        <v/>
      </c>
      <c r="BA1207" s="31">
        <f>IF($AZ1207="","",IF(COUNTIF($AZ$8:$AZ1207,$AZ1207)&gt;1,1,0))</f>
        <v/>
      </c>
    </row>
    <row r="1208">
      <c r="AR1208" s="31">
        <f>IF(OR($A$5="",$B$6="",ROW()&lt;$A$5),"",IF(INDEX($A:$AP,ROW(),$B$6)="","",INDEX($A:$AP,ROW(),$B$6)))</f>
        <v/>
      </c>
      <c r="AS1208" s="32">
        <f>IF($AR1208="","",IF(ISNUMBER($AR1208),IF($AR1208&gt;=10000000,IFERROR(DATE(INT($AR1208/10000),MOD(INT($AR1208/100),100),MOD($AR1208,100)),""),INT($AR1208)),IFERROR(DATE(--LEFT(LEFT(SUBSTITUTE(SUBSTITUTE(SUBSTITUTE(SUBSTITUTE(TRIM($AR1208),"-",""),".",""),"/","")," ",""),8),4),--MID(LEFT(SUBSTITUTE(SUBSTITUTE(SUBSTITUTE(SUBSTITUTE(TRIM($AR1208),"-",""),".",""),"/","")," ",""),8),5,2),--MID(LEFT(SUBSTITUTE(SUBSTITUTE(SUBSTITUTE(SUBSTITUTE(TRIM($AR1208),"-",""),".",""),"/","")," ",""),8),7,2)),"")))</f>
        <v/>
      </c>
      <c r="AT1208" s="33">
        <f>IF($AS1208="","",IF($F$6="",0,IF(ISNUMBER(INDEX($A:$AP,ROW(),$F$6)),INDEX($A:$AP,ROW(),$F$6),IFERROR(--SUBSTITUTE(SUBSTITUTE(TRIM(INDEX($A:$AP,ROW(),$F$6)),",",""),"원",""),0))))</f>
        <v/>
      </c>
      <c r="AU1208" s="31">
        <f>IF($AS1208="","",IF($AX1208&lt;&gt;"",SUBSTITUTE(SUBSTITUTE($AX1208,"-","")," ",""),"N:"&amp;$AV1208))</f>
        <v/>
      </c>
      <c r="AV1208" s="31">
        <f>IF(OR($AS1208="",$E$6=""),"",TRIM(INDEX($A:$AP,ROW(),$E$6)&amp;""))</f>
        <v/>
      </c>
      <c r="AW1208" s="31">
        <f>IF($AU1208="","",IF(MATCH($AU1208,$AU$8:$AU$2007,0)=ROW()-7,MAX($AW$7:$AW1207)+1,""))</f>
        <v/>
      </c>
      <c r="AX1208" s="31">
        <f>IF(OR($AS1208="",$D$6=""),"",TRIM(INDEX($A:$AP,ROW(),$D$6)&amp;""))</f>
        <v/>
      </c>
      <c r="AY1208" s="31">
        <f>IF($AU1208="","",INDEX($AW$8:$AW$2007,MATCH($AU1208,$AU$8:$AU$2007,0)))</f>
        <v/>
      </c>
      <c r="AZ1208" s="31">
        <f>IF(OR($AS1208="",$C$6=""),"",TRIM(INDEX($A:$AP,ROW(),$C$6)&amp;""))</f>
        <v/>
      </c>
      <c r="BA1208" s="31">
        <f>IF($AZ1208="","",IF(COUNTIF($AZ$8:$AZ1208,$AZ1208)&gt;1,1,0))</f>
        <v/>
      </c>
    </row>
    <row r="1209">
      <c r="AR1209" s="31">
        <f>IF(OR($A$5="",$B$6="",ROW()&lt;$A$5),"",IF(INDEX($A:$AP,ROW(),$B$6)="","",INDEX($A:$AP,ROW(),$B$6)))</f>
        <v/>
      </c>
      <c r="AS1209" s="32">
        <f>IF($AR1209="","",IF(ISNUMBER($AR1209),IF($AR1209&gt;=10000000,IFERROR(DATE(INT($AR1209/10000),MOD(INT($AR1209/100),100),MOD($AR1209,100)),""),INT($AR1209)),IFERROR(DATE(--LEFT(LEFT(SUBSTITUTE(SUBSTITUTE(SUBSTITUTE(SUBSTITUTE(TRIM($AR1209),"-",""),".",""),"/","")," ",""),8),4),--MID(LEFT(SUBSTITUTE(SUBSTITUTE(SUBSTITUTE(SUBSTITUTE(TRIM($AR1209),"-",""),".",""),"/","")," ",""),8),5,2),--MID(LEFT(SUBSTITUTE(SUBSTITUTE(SUBSTITUTE(SUBSTITUTE(TRIM($AR1209),"-",""),".",""),"/","")," ",""),8),7,2)),"")))</f>
        <v/>
      </c>
      <c r="AT1209" s="33">
        <f>IF($AS1209="","",IF($F$6="",0,IF(ISNUMBER(INDEX($A:$AP,ROW(),$F$6)),INDEX($A:$AP,ROW(),$F$6),IFERROR(--SUBSTITUTE(SUBSTITUTE(TRIM(INDEX($A:$AP,ROW(),$F$6)),",",""),"원",""),0))))</f>
        <v/>
      </c>
      <c r="AU1209" s="31">
        <f>IF($AS1209="","",IF($AX1209&lt;&gt;"",SUBSTITUTE(SUBSTITUTE($AX1209,"-","")," ",""),"N:"&amp;$AV1209))</f>
        <v/>
      </c>
      <c r="AV1209" s="31">
        <f>IF(OR($AS1209="",$E$6=""),"",TRIM(INDEX($A:$AP,ROW(),$E$6)&amp;""))</f>
        <v/>
      </c>
      <c r="AW1209" s="31">
        <f>IF($AU1209="","",IF(MATCH($AU1209,$AU$8:$AU$2007,0)=ROW()-7,MAX($AW$7:$AW1208)+1,""))</f>
        <v/>
      </c>
      <c r="AX1209" s="31">
        <f>IF(OR($AS1209="",$D$6=""),"",TRIM(INDEX($A:$AP,ROW(),$D$6)&amp;""))</f>
        <v/>
      </c>
      <c r="AY1209" s="31">
        <f>IF($AU1209="","",INDEX($AW$8:$AW$2007,MATCH($AU1209,$AU$8:$AU$2007,0)))</f>
        <v/>
      </c>
      <c r="AZ1209" s="31">
        <f>IF(OR($AS1209="",$C$6=""),"",TRIM(INDEX($A:$AP,ROW(),$C$6)&amp;""))</f>
        <v/>
      </c>
      <c r="BA1209" s="31">
        <f>IF($AZ1209="","",IF(COUNTIF($AZ$8:$AZ1209,$AZ1209)&gt;1,1,0))</f>
        <v/>
      </c>
    </row>
    <row r="1210">
      <c r="AR1210" s="31">
        <f>IF(OR($A$5="",$B$6="",ROW()&lt;$A$5),"",IF(INDEX($A:$AP,ROW(),$B$6)="","",INDEX($A:$AP,ROW(),$B$6)))</f>
        <v/>
      </c>
      <c r="AS1210" s="32">
        <f>IF($AR1210="","",IF(ISNUMBER($AR1210),IF($AR1210&gt;=10000000,IFERROR(DATE(INT($AR1210/10000),MOD(INT($AR1210/100),100),MOD($AR1210,100)),""),INT($AR1210)),IFERROR(DATE(--LEFT(LEFT(SUBSTITUTE(SUBSTITUTE(SUBSTITUTE(SUBSTITUTE(TRIM($AR1210),"-",""),".",""),"/","")," ",""),8),4),--MID(LEFT(SUBSTITUTE(SUBSTITUTE(SUBSTITUTE(SUBSTITUTE(TRIM($AR1210),"-",""),".",""),"/","")," ",""),8),5,2),--MID(LEFT(SUBSTITUTE(SUBSTITUTE(SUBSTITUTE(SUBSTITUTE(TRIM($AR1210),"-",""),".",""),"/","")," ",""),8),7,2)),"")))</f>
        <v/>
      </c>
      <c r="AT1210" s="33">
        <f>IF($AS1210="","",IF($F$6="",0,IF(ISNUMBER(INDEX($A:$AP,ROW(),$F$6)),INDEX($A:$AP,ROW(),$F$6),IFERROR(--SUBSTITUTE(SUBSTITUTE(TRIM(INDEX($A:$AP,ROW(),$F$6)),",",""),"원",""),0))))</f>
        <v/>
      </c>
      <c r="AU1210" s="31">
        <f>IF($AS1210="","",IF($AX1210&lt;&gt;"",SUBSTITUTE(SUBSTITUTE($AX1210,"-","")," ",""),"N:"&amp;$AV1210))</f>
        <v/>
      </c>
      <c r="AV1210" s="31">
        <f>IF(OR($AS1210="",$E$6=""),"",TRIM(INDEX($A:$AP,ROW(),$E$6)&amp;""))</f>
        <v/>
      </c>
      <c r="AW1210" s="31">
        <f>IF($AU1210="","",IF(MATCH($AU1210,$AU$8:$AU$2007,0)=ROW()-7,MAX($AW$7:$AW1209)+1,""))</f>
        <v/>
      </c>
      <c r="AX1210" s="31">
        <f>IF(OR($AS1210="",$D$6=""),"",TRIM(INDEX($A:$AP,ROW(),$D$6)&amp;""))</f>
        <v/>
      </c>
      <c r="AY1210" s="31">
        <f>IF($AU1210="","",INDEX($AW$8:$AW$2007,MATCH($AU1210,$AU$8:$AU$2007,0)))</f>
        <v/>
      </c>
      <c r="AZ1210" s="31">
        <f>IF(OR($AS1210="",$C$6=""),"",TRIM(INDEX($A:$AP,ROW(),$C$6)&amp;""))</f>
        <v/>
      </c>
      <c r="BA1210" s="31">
        <f>IF($AZ1210="","",IF(COUNTIF($AZ$8:$AZ1210,$AZ1210)&gt;1,1,0))</f>
        <v/>
      </c>
    </row>
    <row r="1211">
      <c r="AR1211" s="31">
        <f>IF(OR($A$5="",$B$6="",ROW()&lt;$A$5),"",IF(INDEX($A:$AP,ROW(),$B$6)="","",INDEX($A:$AP,ROW(),$B$6)))</f>
        <v/>
      </c>
      <c r="AS1211" s="32">
        <f>IF($AR1211="","",IF(ISNUMBER($AR1211),IF($AR1211&gt;=10000000,IFERROR(DATE(INT($AR1211/10000),MOD(INT($AR1211/100),100),MOD($AR1211,100)),""),INT($AR1211)),IFERROR(DATE(--LEFT(LEFT(SUBSTITUTE(SUBSTITUTE(SUBSTITUTE(SUBSTITUTE(TRIM($AR1211),"-",""),".",""),"/","")," ",""),8),4),--MID(LEFT(SUBSTITUTE(SUBSTITUTE(SUBSTITUTE(SUBSTITUTE(TRIM($AR1211),"-",""),".",""),"/","")," ",""),8),5,2),--MID(LEFT(SUBSTITUTE(SUBSTITUTE(SUBSTITUTE(SUBSTITUTE(TRIM($AR1211),"-",""),".",""),"/","")," ",""),8),7,2)),"")))</f>
        <v/>
      </c>
      <c r="AT1211" s="33">
        <f>IF($AS1211="","",IF($F$6="",0,IF(ISNUMBER(INDEX($A:$AP,ROW(),$F$6)),INDEX($A:$AP,ROW(),$F$6),IFERROR(--SUBSTITUTE(SUBSTITUTE(TRIM(INDEX($A:$AP,ROW(),$F$6)),",",""),"원",""),0))))</f>
        <v/>
      </c>
      <c r="AU1211" s="31">
        <f>IF($AS1211="","",IF($AX1211&lt;&gt;"",SUBSTITUTE(SUBSTITUTE($AX1211,"-","")," ",""),"N:"&amp;$AV1211))</f>
        <v/>
      </c>
      <c r="AV1211" s="31">
        <f>IF(OR($AS1211="",$E$6=""),"",TRIM(INDEX($A:$AP,ROW(),$E$6)&amp;""))</f>
        <v/>
      </c>
      <c r="AW1211" s="31">
        <f>IF($AU1211="","",IF(MATCH($AU1211,$AU$8:$AU$2007,0)=ROW()-7,MAX($AW$7:$AW1210)+1,""))</f>
        <v/>
      </c>
      <c r="AX1211" s="31">
        <f>IF(OR($AS1211="",$D$6=""),"",TRIM(INDEX($A:$AP,ROW(),$D$6)&amp;""))</f>
        <v/>
      </c>
      <c r="AY1211" s="31">
        <f>IF($AU1211="","",INDEX($AW$8:$AW$2007,MATCH($AU1211,$AU$8:$AU$2007,0)))</f>
        <v/>
      </c>
      <c r="AZ1211" s="31">
        <f>IF(OR($AS1211="",$C$6=""),"",TRIM(INDEX($A:$AP,ROW(),$C$6)&amp;""))</f>
        <v/>
      </c>
      <c r="BA1211" s="31">
        <f>IF($AZ1211="","",IF(COUNTIF($AZ$8:$AZ1211,$AZ1211)&gt;1,1,0))</f>
        <v/>
      </c>
    </row>
    <row r="1212">
      <c r="AR1212" s="31">
        <f>IF(OR($A$5="",$B$6="",ROW()&lt;$A$5),"",IF(INDEX($A:$AP,ROW(),$B$6)="","",INDEX($A:$AP,ROW(),$B$6)))</f>
        <v/>
      </c>
      <c r="AS1212" s="32">
        <f>IF($AR1212="","",IF(ISNUMBER($AR1212),IF($AR1212&gt;=10000000,IFERROR(DATE(INT($AR1212/10000),MOD(INT($AR1212/100),100),MOD($AR1212,100)),""),INT($AR1212)),IFERROR(DATE(--LEFT(LEFT(SUBSTITUTE(SUBSTITUTE(SUBSTITUTE(SUBSTITUTE(TRIM($AR1212),"-",""),".",""),"/","")," ",""),8),4),--MID(LEFT(SUBSTITUTE(SUBSTITUTE(SUBSTITUTE(SUBSTITUTE(TRIM($AR1212),"-",""),".",""),"/","")," ",""),8),5,2),--MID(LEFT(SUBSTITUTE(SUBSTITUTE(SUBSTITUTE(SUBSTITUTE(TRIM($AR1212),"-",""),".",""),"/","")," ",""),8),7,2)),"")))</f>
        <v/>
      </c>
      <c r="AT1212" s="33">
        <f>IF($AS1212="","",IF($F$6="",0,IF(ISNUMBER(INDEX($A:$AP,ROW(),$F$6)),INDEX($A:$AP,ROW(),$F$6),IFERROR(--SUBSTITUTE(SUBSTITUTE(TRIM(INDEX($A:$AP,ROW(),$F$6)),",",""),"원",""),0))))</f>
        <v/>
      </c>
      <c r="AU1212" s="31">
        <f>IF($AS1212="","",IF($AX1212&lt;&gt;"",SUBSTITUTE(SUBSTITUTE($AX1212,"-","")," ",""),"N:"&amp;$AV1212))</f>
        <v/>
      </c>
      <c r="AV1212" s="31">
        <f>IF(OR($AS1212="",$E$6=""),"",TRIM(INDEX($A:$AP,ROW(),$E$6)&amp;""))</f>
        <v/>
      </c>
      <c r="AW1212" s="31">
        <f>IF($AU1212="","",IF(MATCH($AU1212,$AU$8:$AU$2007,0)=ROW()-7,MAX($AW$7:$AW1211)+1,""))</f>
        <v/>
      </c>
      <c r="AX1212" s="31">
        <f>IF(OR($AS1212="",$D$6=""),"",TRIM(INDEX($A:$AP,ROW(),$D$6)&amp;""))</f>
        <v/>
      </c>
      <c r="AY1212" s="31">
        <f>IF($AU1212="","",INDEX($AW$8:$AW$2007,MATCH($AU1212,$AU$8:$AU$2007,0)))</f>
        <v/>
      </c>
      <c r="AZ1212" s="31">
        <f>IF(OR($AS1212="",$C$6=""),"",TRIM(INDEX($A:$AP,ROW(),$C$6)&amp;""))</f>
        <v/>
      </c>
      <c r="BA1212" s="31">
        <f>IF($AZ1212="","",IF(COUNTIF($AZ$8:$AZ1212,$AZ1212)&gt;1,1,0))</f>
        <v/>
      </c>
    </row>
    <row r="1213">
      <c r="AR1213" s="31">
        <f>IF(OR($A$5="",$B$6="",ROW()&lt;$A$5),"",IF(INDEX($A:$AP,ROW(),$B$6)="","",INDEX($A:$AP,ROW(),$B$6)))</f>
        <v/>
      </c>
      <c r="AS1213" s="32">
        <f>IF($AR1213="","",IF(ISNUMBER($AR1213),IF($AR1213&gt;=10000000,IFERROR(DATE(INT($AR1213/10000),MOD(INT($AR1213/100),100),MOD($AR1213,100)),""),INT($AR1213)),IFERROR(DATE(--LEFT(LEFT(SUBSTITUTE(SUBSTITUTE(SUBSTITUTE(SUBSTITUTE(TRIM($AR1213),"-",""),".",""),"/","")," ",""),8),4),--MID(LEFT(SUBSTITUTE(SUBSTITUTE(SUBSTITUTE(SUBSTITUTE(TRIM($AR1213),"-",""),".",""),"/","")," ",""),8),5,2),--MID(LEFT(SUBSTITUTE(SUBSTITUTE(SUBSTITUTE(SUBSTITUTE(TRIM($AR1213),"-",""),".",""),"/","")," ",""),8),7,2)),"")))</f>
        <v/>
      </c>
      <c r="AT1213" s="33">
        <f>IF($AS1213="","",IF($F$6="",0,IF(ISNUMBER(INDEX($A:$AP,ROW(),$F$6)),INDEX($A:$AP,ROW(),$F$6),IFERROR(--SUBSTITUTE(SUBSTITUTE(TRIM(INDEX($A:$AP,ROW(),$F$6)),",",""),"원",""),0))))</f>
        <v/>
      </c>
      <c r="AU1213" s="31">
        <f>IF($AS1213="","",IF($AX1213&lt;&gt;"",SUBSTITUTE(SUBSTITUTE($AX1213,"-","")," ",""),"N:"&amp;$AV1213))</f>
        <v/>
      </c>
      <c r="AV1213" s="31">
        <f>IF(OR($AS1213="",$E$6=""),"",TRIM(INDEX($A:$AP,ROW(),$E$6)&amp;""))</f>
        <v/>
      </c>
      <c r="AW1213" s="31">
        <f>IF($AU1213="","",IF(MATCH($AU1213,$AU$8:$AU$2007,0)=ROW()-7,MAX($AW$7:$AW1212)+1,""))</f>
        <v/>
      </c>
      <c r="AX1213" s="31">
        <f>IF(OR($AS1213="",$D$6=""),"",TRIM(INDEX($A:$AP,ROW(),$D$6)&amp;""))</f>
        <v/>
      </c>
      <c r="AY1213" s="31">
        <f>IF($AU1213="","",INDEX($AW$8:$AW$2007,MATCH($AU1213,$AU$8:$AU$2007,0)))</f>
        <v/>
      </c>
      <c r="AZ1213" s="31">
        <f>IF(OR($AS1213="",$C$6=""),"",TRIM(INDEX($A:$AP,ROW(),$C$6)&amp;""))</f>
        <v/>
      </c>
      <c r="BA1213" s="31">
        <f>IF($AZ1213="","",IF(COUNTIF($AZ$8:$AZ1213,$AZ1213)&gt;1,1,0))</f>
        <v/>
      </c>
    </row>
    <row r="1214">
      <c r="AR1214" s="31">
        <f>IF(OR($A$5="",$B$6="",ROW()&lt;$A$5),"",IF(INDEX($A:$AP,ROW(),$B$6)="","",INDEX($A:$AP,ROW(),$B$6)))</f>
        <v/>
      </c>
      <c r="AS1214" s="32">
        <f>IF($AR1214="","",IF(ISNUMBER($AR1214),IF($AR1214&gt;=10000000,IFERROR(DATE(INT($AR1214/10000),MOD(INT($AR1214/100),100),MOD($AR1214,100)),""),INT($AR1214)),IFERROR(DATE(--LEFT(LEFT(SUBSTITUTE(SUBSTITUTE(SUBSTITUTE(SUBSTITUTE(TRIM($AR1214),"-",""),".",""),"/","")," ",""),8),4),--MID(LEFT(SUBSTITUTE(SUBSTITUTE(SUBSTITUTE(SUBSTITUTE(TRIM($AR1214),"-",""),".",""),"/","")," ",""),8),5,2),--MID(LEFT(SUBSTITUTE(SUBSTITUTE(SUBSTITUTE(SUBSTITUTE(TRIM($AR1214),"-",""),".",""),"/","")," ",""),8),7,2)),"")))</f>
        <v/>
      </c>
      <c r="AT1214" s="33">
        <f>IF($AS1214="","",IF($F$6="",0,IF(ISNUMBER(INDEX($A:$AP,ROW(),$F$6)),INDEX($A:$AP,ROW(),$F$6),IFERROR(--SUBSTITUTE(SUBSTITUTE(TRIM(INDEX($A:$AP,ROW(),$F$6)),",",""),"원",""),0))))</f>
        <v/>
      </c>
      <c r="AU1214" s="31">
        <f>IF($AS1214="","",IF($AX1214&lt;&gt;"",SUBSTITUTE(SUBSTITUTE($AX1214,"-","")," ",""),"N:"&amp;$AV1214))</f>
        <v/>
      </c>
      <c r="AV1214" s="31">
        <f>IF(OR($AS1214="",$E$6=""),"",TRIM(INDEX($A:$AP,ROW(),$E$6)&amp;""))</f>
        <v/>
      </c>
      <c r="AW1214" s="31">
        <f>IF($AU1214="","",IF(MATCH($AU1214,$AU$8:$AU$2007,0)=ROW()-7,MAX($AW$7:$AW1213)+1,""))</f>
        <v/>
      </c>
      <c r="AX1214" s="31">
        <f>IF(OR($AS1214="",$D$6=""),"",TRIM(INDEX($A:$AP,ROW(),$D$6)&amp;""))</f>
        <v/>
      </c>
      <c r="AY1214" s="31">
        <f>IF($AU1214="","",INDEX($AW$8:$AW$2007,MATCH($AU1214,$AU$8:$AU$2007,0)))</f>
        <v/>
      </c>
      <c r="AZ1214" s="31">
        <f>IF(OR($AS1214="",$C$6=""),"",TRIM(INDEX($A:$AP,ROW(),$C$6)&amp;""))</f>
        <v/>
      </c>
      <c r="BA1214" s="31">
        <f>IF($AZ1214="","",IF(COUNTIF($AZ$8:$AZ1214,$AZ1214)&gt;1,1,0))</f>
        <v/>
      </c>
    </row>
    <row r="1215">
      <c r="AR1215" s="31">
        <f>IF(OR($A$5="",$B$6="",ROW()&lt;$A$5),"",IF(INDEX($A:$AP,ROW(),$B$6)="","",INDEX($A:$AP,ROW(),$B$6)))</f>
        <v/>
      </c>
      <c r="AS1215" s="32">
        <f>IF($AR1215="","",IF(ISNUMBER($AR1215),IF($AR1215&gt;=10000000,IFERROR(DATE(INT($AR1215/10000),MOD(INT($AR1215/100),100),MOD($AR1215,100)),""),INT($AR1215)),IFERROR(DATE(--LEFT(LEFT(SUBSTITUTE(SUBSTITUTE(SUBSTITUTE(SUBSTITUTE(TRIM($AR1215),"-",""),".",""),"/","")," ",""),8),4),--MID(LEFT(SUBSTITUTE(SUBSTITUTE(SUBSTITUTE(SUBSTITUTE(TRIM($AR1215),"-",""),".",""),"/","")," ",""),8),5,2),--MID(LEFT(SUBSTITUTE(SUBSTITUTE(SUBSTITUTE(SUBSTITUTE(TRIM($AR1215),"-",""),".",""),"/","")," ",""),8),7,2)),"")))</f>
        <v/>
      </c>
      <c r="AT1215" s="33">
        <f>IF($AS1215="","",IF($F$6="",0,IF(ISNUMBER(INDEX($A:$AP,ROW(),$F$6)),INDEX($A:$AP,ROW(),$F$6),IFERROR(--SUBSTITUTE(SUBSTITUTE(TRIM(INDEX($A:$AP,ROW(),$F$6)),",",""),"원",""),0))))</f>
        <v/>
      </c>
      <c r="AU1215" s="31">
        <f>IF($AS1215="","",IF($AX1215&lt;&gt;"",SUBSTITUTE(SUBSTITUTE($AX1215,"-","")," ",""),"N:"&amp;$AV1215))</f>
        <v/>
      </c>
      <c r="AV1215" s="31">
        <f>IF(OR($AS1215="",$E$6=""),"",TRIM(INDEX($A:$AP,ROW(),$E$6)&amp;""))</f>
        <v/>
      </c>
      <c r="AW1215" s="31">
        <f>IF($AU1215="","",IF(MATCH($AU1215,$AU$8:$AU$2007,0)=ROW()-7,MAX($AW$7:$AW1214)+1,""))</f>
        <v/>
      </c>
      <c r="AX1215" s="31">
        <f>IF(OR($AS1215="",$D$6=""),"",TRIM(INDEX($A:$AP,ROW(),$D$6)&amp;""))</f>
        <v/>
      </c>
      <c r="AY1215" s="31">
        <f>IF($AU1215="","",INDEX($AW$8:$AW$2007,MATCH($AU1215,$AU$8:$AU$2007,0)))</f>
        <v/>
      </c>
      <c r="AZ1215" s="31">
        <f>IF(OR($AS1215="",$C$6=""),"",TRIM(INDEX($A:$AP,ROW(),$C$6)&amp;""))</f>
        <v/>
      </c>
      <c r="BA1215" s="31">
        <f>IF($AZ1215="","",IF(COUNTIF($AZ$8:$AZ1215,$AZ1215)&gt;1,1,0))</f>
        <v/>
      </c>
    </row>
    <row r="1216">
      <c r="AR1216" s="31">
        <f>IF(OR($A$5="",$B$6="",ROW()&lt;$A$5),"",IF(INDEX($A:$AP,ROW(),$B$6)="","",INDEX($A:$AP,ROW(),$B$6)))</f>
        <v/>
      </c>
      <c r="AS1216" s="32">
        <f>IF($AR1216="","",IF(ISNUMBER($AR1216),IF($AR1216&gt;=10000000,IFERROR(DATE(INT($AR1216/10000),MOD(INT($AR1216/100),100),MOD($AR1216,100)),""),INT($AR1216)),IFERROR(DATE(--LEFT(LEFT(SUBSTITUTE(SUBSTITUTE(SUBSTITUTE(SUBSTITUTE(TRIM($AR1216),"-",""),".",""),"/","")," ",""),8),4),--MID(LEFT(SUBSTITUTE(SUBSTITUTE(SUBSTITUTE(SUBSTITUTE(TRIM($AR1216),"-",""),".",""),"/","")," ",""),8),5,2),--MID(LEFT(SUBSTITUTE(SUBSTITUTE(SUBSTITUTE(SUBSTITUTE(TRIM($AR1216),"-",""),".",""),"/","")," ",""),8),7,2)),"")))</f>
        <v/>
      </c>
      <c r="AT1216" s="33">
        <f>IF($AS1216="","",IF($F$6="",0,IF(ISNUMBER(INDEX($A:$AP,ROW(),$F$6)),INDEX($A:$AP,ROW(),$F$6),IFERROR(--SUBSTITUTE(SUBSTITUTE(TRIM(INDEX($A:$AP,ROW(),$F$6)),",",""),"원",""),0))))</f>
        <v/>
      </c>
      <c r="AU1216" s="31">
        <f>IF($AS1216="","",IF($AX1216&lt;&gt;"",SUBSTITUTE(SUBSTITUTE($AX1216,"-","")," ",""),"N:"&amp;$AV1216))</f>
        <v/>
      </c>
      <c r="AV1216" s="31">
        <f>IF(OR($AS1216="",$E$6=""),"",TRIM(INDEX($A:$AP,ROW(),$E$6)&amp;""))</f>
        <v/>
      </c>
      <c r="AW1216" s="31">
        <f>IF($AU1216="","",IF(MATCH($AU1216,$AU$8:$AU$2007,0)=ROW()-7,MAX($AW$7:$AW1215)+1,""))</f>
        <v/>
      </c>
      <c r="AX1216" s="31">
        <f>IF(OR($AS1216="",$D$6=""),"",TRIM(INDEX($A:$AP,ROW(),$D$6)&amp;""))</f>
        <v/>
      </c>
      <c r="AY1216" s="31">
        <f>IF($AU1216="","",INDEX($AW$8:$AW$2007,MATCH($AU1216,$AU$8:$AU$2007,0)))</f>
        <v/>
      </c>
      <c r="AZ1216" s="31">
        <f>IF(OR($AS1216="",$C$6=""),"",TRIM(INDEX($A:$AP,ROW(),$C$6)&amp;""))</f>
        <v/>
      </c>
      <c r="BA1216" s="31">
        <f>IF($AZ1216="","",IF(COUNTIF($AZ$8:$AZ1216,$AZ1216)&gt;1,1,0))</f>
        <v/>
      </c>
    </row>
    <row r="1217">
      <c r="AR1217" s="31">
        <f>IF(OR($A$5="",$B$6="",ROW()&lt;$A$5),"",IF(INDEX($A:$AP,ROW(),$B$6)="","",INDEX($A:$AP,ROW(),$B$6)))</f>
        <v/>
      </c>
      <c r="AS1217" s="32">
        <f>IF($AR1217="","",IF(ISNUMBER($AR1217),IF($AR1217&gt;=10000000,IFERROR(DATE(INT($AR1217/10000),MOD(INT($AR1217/100),100),MOD($AR1217,100)),""),INT($AR1217)),IFERROR(DATE(--LEFT(LEFT(SUBSTITUTE(SUBSTITUTE(SUBSTITUTE(SUBSTITUTE(TRIM($AR1217),"-",""),".",""),"/","")," ",""),8),4),--MID(LEFT(SUBSTITUTE(SUBSTITUTE(SUBSTITUTE(SUBSTITUTE(TRIM($AR1217),"-",""),".",""),"/","")," ",""),8),5,2),--MID(LEFT(SUBSTITUTE(SUBSTITUTE(SUBSTITUTE(SUBSTITUTE(TRIM($AR1217),"-",""),".",""),"/","")," ",""),8),7,2)),"")))</f>
        <v/>
      </c>
      <c r="AT1217" s="33">
        <f>IF($AS1217="","",IF($F$6="",0,IF(ISNUMBER(INDEX($A:$AP,ROW(),$F$6)),INDEX($A:$AP,ROW(),$F$6),IFERROR(--SUBSTITUTE(SUBSTITUTE(TRIM(INDEX($A:$AP,ROW(),$F$6)),",",""),"원",""),0))))</f>
        <v/>
      </c>
      <c r="AU1217" s="31">
        <f>IF($AS1217="","",IF($AX1217&lt;&gt;"",SUBSTITUTE(SUBSTITUTE($AX1217,"-","")," ",""),"N:"&amp;$AV1217))</f>
        <v/>
      </c>
      <c r="AV1217" s="31">
        <f>IF(OR($AS1217="",$E$6=""),"",TRIM(INDEX($A:$AP,ROW(),$E$6)&amp;""))</f>
        <v/>
      </c>
      <c r="AW1217" s="31">
        <f>IF($AU1217="","",IF(MATCH($AU1217,$AU$8:$AU$2007,0)=ROW()-7,MAX($AW$7:$AW1216)+1,""))</f>
        <v/>
      </c>
      <c r="AX1217" s="31">
        <f>IF(OR($AS1217="",$D$6=""),"",TRIM(INDEX($A:$AP,ROW(),$D$6)&amp;""))</f>
        <v/>
      </c>
      <c r="AY1217" s="31">
        <f>IF($AU1217="","",INDEX($AW$8:$AW$2007,MATCH($AU1217,$AU$8:$AU$2007,0)))</f>
        <v/>
      </c>
      <c r="AZ1217" s="31">
        <f>IF(OR($AS1217="",$C$6=""),"",TRIM(INDEX($A:$AP,ROW(),$C$6)&amp;""))</f>
        <v/>
      </c>
      <c r="BA1217" s="31">
        <f>IF($AZ1217="","",IF(COUNTIF($AZ$8:$AZ1217,$AZ1217)&gt;1,1,0))</f>
        <v/>
      </c>
    </row>
    <row r="1218">
      <c r="AR1218" s="31">
        <f>IF(OR($A$5="",$B$6="",ROW()&lt;$A$5),"",IF(INDEX($A:$AP,ROW(),$B$6)="","",INDEX($A:$AP,ROW(),$B$6)))</f>
        <v/>
      </c>
      <c r="AS1218" s="32">
        <f>IF($AR1218="","",IF(ISNUMBER($AR1218),IF($AR1218&gt;=10000000,IFERROR(DATE(INT($AR1218/10000),MOD(INT($AR1218/100),100),MOD($AR1218,100)),""),INT($AR1218)),IFERROR(DATE(--LEFT(LEFT(SUBSTITUTE(SUBSTITUTE(SUBSTITUTE(SUBSTITUTE(TRIM($AR1218),"-",""),".",""),"/","")," ",""),8),4),--MID(LEFT(SUBSTITUTE(SUBSTITUTE(SUBSTITUTE(SUBSTITUTE(TRIM($AR1218),"-",""),".",""),"/","")," ",""),8),5,2),--MID(LEFT(SUBSTITUTE(SUBSTITUTE(SUBSTITUTE(SUBSTITUTE(TRIM($AR1218),"-",""),".",""),"/","")," ",""),8),7,2)),"")))</f>
        <v/>
      </c>
      <c r="AT1218" s="33">
        <f>IF($AS1218="","",IF($F$6="",0,IF(ISNUMBER(INDEX($A:$AP,ROW(),$F$6)),INDEX($A:$AP,ROW(),$F$6),IFERROR(--SUBSTITUTE(SUBSTITUTE(TRIM(INDEX($A:$AP,ROW(),$F$6)),",",""),"원",""),0))))</f>
        <v/>
      </c>
      <c r="AU1218" s="31">
        <f>IF($AS1218="","",IF($AX1218&lt;&gt;"",SUBSTITUTE(SUBSTITUTE($AX1218,"-","")," ",""),"N:"&amp;$AV1218))</f>
        <v/>
      </c>
      <c r="AV1218" s="31">
        <f>IF(OR($AS1218="",$E$6=""),"",TRIM(INDEX($A:$AP,ROW(),$E$6)&amp;""))</f>
        <v/>
      </c>
      <c r="AW1218" s="31">
        <f>IF($AU1218="","",IF(MATCH($AU1218,$AU$8:$AU$2007,0)=ROW()-7,MAX($AW$7:$AW1217)+1,""))</f>
        <v/>
      </c>
      <c r="AX1218" s="31">
        <f>IF(OR($AS1218="",$D$6=""),"",TRIM(INDEX($A:$AP,ROW(),$D$6)&amp;""))</f>
        <v/>
      </c>
      <c r="AY1218" s="31">
        <f>IF($AU1218="","",INDEX($AW$8:$AW$2007,MATCH($AU1218,$AU$8:$AU$2007,0)))</f>
        <v/>
      </c>
      <c r="AZ1218" s="31">
        <f>IF(OR($AS1218="",$C$6=""),"",TRIM(INDEX($A:$AP,ROW(),$C$6)&amp;""))</f>
        <v/>
      </c>
      <c r="BA1218" s="31">
        <f>IF($AZ1218="","",IF(COUNTIF($AZ$8:$AZ1218,$AZ1218)&gt;1,1,0))</f>
        <v/>
      </c>
    </row>
    <row r="1219">
      <c r="AR1219" s="31">
        <f>IF(OR($A$5="",$B$6="",ROW()&lt;$A$5),"",IF(INDEX($A:$AP,ROW(),$B$6)="","",INDEX($A:$AP,ROW(),$B$6)))</f>
        <v/>
      </c>
      <c r="AS1219" s="32">
        <f>IF($AR1219="","",IF(ISNUMBER($AR1219),IF($AR1219&gt;=10000000,IFERROR(DATE(INT($AR1219/10000),MOD(INT($AR1219/100),100),MOD($AR1219,100)),""),INT($AR1219)),IFERROR(DATE(--LEFT(LEFT(SUBSTITUTE(SUBSTITUTE(SUBSTITUTE(SUBSTITUTE(TRIM($AR1219),"-",""),".",""),"/","")," ",""),8),4),--MID(LEFT(SUBSTITUTE(SUBSTITUTE(SUBSTITUTE(SUBSTITUTE(TRIM($AR1219),"-",""),".",""),"/","")," ",""),8),5,2),--MID(LEFT(SUBSTITUTE(SUBSTITUTE(SUBSTITUTE(SUBSTITUTE(TRIM($AR1219),"-",""),".",""),"/","")," ",""),8),7,2)),"")))</f>
        <v/>
      </c>
      <c r="AT1219" s="33">
        <f>IF($AS1219="","",IF($F$6="",0,IF(ISNUMBER(INDEX($A:$AP,ROW(),$F$6)),INDEX($A:$AP,ROW(),$F$6),IFERROR(--SUBSTITUTE(SUBSTITUTE(TRIM(INDEX($A:$AP,ROW(),$F$6)),",",""),"원",""),0))))</f>
        <v/>
      </c>
      <c r="AU1219" s="31">
        <f>IF($AS1219="","",IF($AX1219&lt;&gt;"",SUBSTITUTE(SUBSTITUTE($AX1219,"-","")," ",""),"N:"&amp;$AV1219))</f>
        <v/>
      </c>
      <c r="AV1219" s="31">
        <f>IF(OR($AS1219="",$E$6=""),"",TRIM(INDEX($A:$AP,ROW(),$E$6)&amp;""))</f>
        <v/>
      </c>
      <c r="AW1219" s="31">
        <f>IF($AU1219="","",IF(MATCH($AU1219,$AU$8:$AU$2007,0)=ROW()-7,MAX($AW$7:$AW1218)+1,""))</f>
        <v/>
      </c>
      <c r="AX1219" s="31">
        <f>IF(OR($AS1219="",$D$6=""),"",TRIM(INDEX($A:$AP,ROW(),$D$6)&amp;""))</f>
        <v/>
      </c>
      <c r="AY1219" s="31">
        <f>IF($AU1219="","",INDEX($AW$8:$AW$2007,MATCH($AU1219,$AU$8:$AU$2007,0)))</f>
        <v/>
      </c>
      <c r="AZ1219" s="31">
        <f>IF(OR($AS1219="",$C$6=""),"",TRIM(INDEX($A:$AP,ROW(),$C$6)&amp;""))</f>
        <v/>
      </c>
      <c r="BA1219" s="31">
        <f>IF($AZ1219="","",IF(COUNTIF($AZ$8:$AZ1219,$AZ1219)&gt;1,1,0))</f>
        <v/>
      </c>
    </row>
    <row r="1220">
      <c r="AR1220" s="31">
        <f>IF(OR($A$5="",$B$6="",ROW()&lt;$A$5),"",IF(INDEX($A:$AP,ROW(),$B$6)="","",INDEX($A:$AP,ROW(),$B$6)))</f>
        <v/>
      </c>
      <c r="AS1220" s="32">
        <f>IF($AR1220="","",IF(ISNUMBER($AR1220),IF($AR1220&gt;=10000000,IFERROR(DATE(INT($AR1220/10000),MOD(INT($AR1220/100),100),MOD($AR1220,100)),""),INT($AR1220)),IFERROR(DATE(--LEFT(LEFT(SUBSTITUTE(SUBSTITUTE(SUBSTITUTE(SUBSTITUTE(TRIM($AR1220),"-",""),".",""),"/","")," ",""),8),4),--MID(LEFT(SUBSTITUTE(SUBSTITUTE(SUBSTITUTE(SUBSTITUTE(TRIM($AR1220),"-",""),".",""),"/","")," ",""),8),5,2),--MID(LEFT(SUBSTITUTE(SUBSTITUTE(SUBSTITUTE(SUBSTITUTE(TRIM($AR1220),"-",""),".",""),"/","")," ",""),8),7,2)),"")))</f>
        <v/>
      </c>
      <c r="AT1220" s="33">
        <f>IF($AS1220="","",IF($F$6="",0,IF(ISNUMBER(INDEX($A:$AP,ROW(),$F$6)),INDEX($A:$AP,ROW(),$F$6),IFERROR(--SUBSTITUTE(SUBSTITUTE(TRIM(INDEX($A:$AP,ROW(),$F$6)),",",""),"원",""),0))))</f>
        <v/>
      </c>
      <c r="AU1220" s="31">
        <f>IF($AS1220="","",IF($AX1220&lt;&gt;"",SUBSTITUTE(SUBSTITUTE($AX1220,"-","")," ",""),"N:"&amp;$AV1220))</f>
        <v/>
      </c>
      <c r="AV1220" s="31">
        <f>IF(OR($AS1220="",$E$6=""),"",TRIM(INDEX($A:$AP,ROW(),$E$6)&amp;""))</f>
        <v/>
      </c>
      <c r="AW1220" s="31">
        <f>IF($AU1220="","",IF(MATCH($AU1220,$AU$8:$AU$2007,0)=ROW()-7,MAX($AW$7:$AW1219)+1,""))</f>
        <v/>
      </c>
      <c r="AX1220" s="31">
        <f>IF(OR($AS1220="",$D$6=""),"",TRIM(INDEX($A:$AP,ROW(),$D$6)&amp;""))</f>
        <v/>
      </c>
      <c r="AY1220" s="31">
        <f>IF($AU1220="","",INDEX($AW$8:$AW$2007,MATCH($AU1220,$AU$8:$AU$2007,0)))</f>
        <v/>
      </c>
      <c r="AZ1220" s="31">
        <f>IF(OR($AS1220="",$C$6=""),"",TRIM(INDEX($A:$AP,ROW(),$C$6)&amp;""))</f>
        <v/>
      </c>
      <c r="BA1220" s="31">
        <f>IF($AZ1220="","",IF(COUNTIF($AZ$8:$AZ1220,$AZ1220)&gt;1,1,0))</f>
        <v/>
      </c>
    </row>
    <row r="1221">
      <c r="AR1221" s="31">
        <f>IF(OR($A$5="",$B$6="",ROW()&lt;$A$5),"",IF(INDEX($A:$AP,ROW(),$B$6)="","",INDEX($A:$AP,ROW(),$B$6)))</f>
        <v/>
      </c>
      <c r="AS1221" s="32">
        <f>IF($AR1221="","",IF(ISNUMBER($AR1221),IF($AR1221&gt;=10000000,IFERROR(DATE(INT($AR1221/10000),MOD(INT($AR1221/100),100),MOD($AR1221,100)),""),INT($AR1221)),IFERROR(DATE(--LEFT(LEFT(SUBSTITUTE(SUBSTITUTE(SUBSTITUTE(SUBSTITUTE(TRIM($AR1221),"-",""),".",""),"/","")," ",""),8),4),--MID(LEFT(SUBSTITUTE(SUBSTITUTE(SUBSTITUTE(SUBSTITUTE(TRIM($AR1221),"-",""),".",""),"/","")," ",""),8),5,2),--MID(LEFT(SUBSTITUTE(SUBSTITUTE(SUBSTITUTE(SUBSTITUTE(TRIM($AR1221),"-",""),".",""),"/","")," ",""),8),7,2)),"")))</f>
        <v/>
      </c>
      <c r="AT1221" s="33">
        <f>IF($AS1221="","",IF($F$6="",0,IF(ISNUMBER(INDEX($A:$AP,ROW(),$F$6)),INDEX($A:$AP,ROW(),$F$6),IFERROR(--SUBSTITUTE(SUBSTITUTE(TRIM(INDEX($A:$AP,ROW(),$F$6)),",",""),"원",""),0))))</f>
        <v/>
      </c>
      <c r="AU1221" s="31">
        <f>IF($AS1221="","",IF($AX1221&lt;&gt;"",SUBSTITUTE(SUBSTITUTE($AX1221,"-","")," ",""),"N:"&amp;$AV1221))</f>
        <v/>
      </c>
      <c r="AV1221" s="31">
        <f>IF(OR($AS1221="",$E$6=""),"",TRIM(INDEX($A:$AP,ROW(),$E$6)&amp;""))</f>
        <v/>
      </c>
      <c r="AW1221" s="31">
        <f>IF($AU1221="","",IF(MATCH($AU1221,$AU$8:$AU$2007,0)=ROW()-7,MAX($AW$7:$AW1220)+1,""))</f>
        <v/>
      </c>
      <c r="AX1221" s="31">
        <f>IF(OR($AS1221="",$D$6=""),"",TRIM(INDEX($A:$AP,ROW(),$D$6)&amp;""))</f>
        <v/>
      </c>
      <c r="AY1221" s="31">
        <f>IF($AU1221="","",INDEX($AW$8:$AW$2007,MATCH($AU1221,$AU$8:$AU$2007,0)))</f>
        <v/>
      </c>
      <c r="AZ1221" s="31">
        <f>IF(OR($AS1221="",$C$6=""),"",TRIM(INDEX($A:$AP,ROW(),$C$6)&amp;""))</f>
        <v/>
      </c>
      <c r="BA1221" s="31">
        <f>IF($AZ1221="","",IF(COUNTIF($AZ$8:$AZ1221,$AZ1221)&gt;1,1,0))</f>
        <v/>
      </c>
    </row>
    <row r="1222">
      <c r="AR1222" s="31">
        <f>IF(OR($A$5="",$B$6="",ROW()&lt;$A$5),"",IF(INDEX($A:$AP,ROW(),$B$6)="","",INDEX($A:$AP,ROW(),$B$6)))</f>
        <v/>
      </c>
      <c r="AS1222" s="32">
        <f>IF($AR1222="","",IF(ISNUMBER($AR1222),IF($AR1222&gt;=10000000,IFERROR(DATE(INT($AR1222/10000),MOD(INT($AR1222/100),100),MOD($AR1222,100)),""),INT($AR1222)),IFERROR(DATE(--LEFT(LEFT(SUBSTITUTE(SUBSTITUTE(SUBSTITUTE(SUBSTITUTE(TRIM($AR1222),"-",""),".",""),"/","")," ",""),8),4),--MID(LEFT(SUBSTITUTE(SUBSTITUTE(SUBSTITUTE(SUBSTITUTE(TRIM($AR1222),"-",""),".",""),"/","")," ",""),8),5,2),--MID(LEFT(SUBSTITUTE(SUBSTITUTE(SUBSTITUTE(SUBSTITUTE(TRIM($AR1222),"-",""),".",""),"/","")," ",""),8),7,2)),"")))</f>
        <v/>
      </c>
      <c r="AT1222" s="33">
        <f>IF($AS1222="","",IF($F$6="",0,IF(ISNUMBER(INDEX($A:$AP,ROW(),$F$6)),INDEX($A:$AP,ROW(),$F$6),IFERROR(--SUBSTITUTE(SUBSTITUTE(TRIM(INDEX($A:$AP,ROW(),$F$6)),",",""),"원",""),0))))</f>
        <v/>
      </c>
      <c r="AU1222" s="31">
        <f>IF($AS1222="","",IF($AX1222&lt;&gt;"",SUBSTITUTE(SUBSTITUTE($AX1222,"-","")," ",""),"N:"&amp;$AV1222))</f>
        <v/>
      </c>
      <c r="AV1222" s="31">
        <f>IF(OR($AS1222="",$E$6=""),"",TRIM(INDEX($A:$AP,ROW(),$E$6)&amp;""))</f>
        <v/>
      </c>
      <c r="AW1222" s="31">
        <f>IF($AU1222="","",IF(MATCH($AU1222,$AU$8:$AU$2007,0)=ROW()-7,MAX($AW$7:$AW1221)+1,""))</f>
        <v/>
      </c>
      <c r="AX1222" s="31">
        <f>IF(OR($AS1222="",$D$6=""),"",TRIM(INDEX($A:$AP,ROW(),$D$6)&amp;""))</f>
        <v/>
      </c>
      <c r="AY1222" s="31">
        <f>IF($AU1222="","",INDEX($AW$8:$AW$2007,MATCH($AU1222,$AU$8:$AU$2007,0)))</f>
        <v/>
      </c>
      <c r="AZ1222" s="31">
        <f>IF(OR($AS1222="",$C$6=""),"",TRIM(INDEX($A:$AP,ROW(),$C$6)&amp;""))</f>
        <v/>
      </c>
      <c r="BA1222" s="31">
        <f>IF($AZ1222="","",IF(COUNTIF($AZ$8:$AZ1222,$AZ1222)&gt;1,1,0))</f>
        <v/>
      </c>
    </row>
    <row r="1223">
      <c r="AR1223" s="31">
        <f>IF(OR($A$5="",$B$6="",ROW()&lt;$A$5),"",IF(INDEX($A:$AP,ROW(),$B$6)="","",INDEX($A:$AP,ROW(),$B$6)))</f>
        <v/>
      </c>
      <c r="AS1223" s="32">
        <f>IF($AR1223="","",IF(ISNUMBER($AR1223),IF($AR1223&gt;=10000000,IFERROR(DATE(INT($AR1223/10000),MOD(INT($AR1223/100),100),MOD($AR1223,100)),""),INT($AR1223)),IFERROR(DATE(--LEFT(LEFT(SUBSTITUTE(SUBSTITUTE(SUBSTITUTE(SUBSTITUTE(TRIM($AR1223),"-",""),".",""),"/","")," ",""),8),4),--MID(LEFT(SUBSTITUTE(SUBSTITUTE(SUBSTITUTE(SUBSTITUTE(TRIM($AR1223),"-",""),".",""),"/","")," ",""),8),5,2),--MID(LEFT(SUBSTITUTE(SUBSTITUTE(SUBSTITUTE(SUBSTITUTE(TRIM($AR1223),"-",""),".",""),"/","")," ",""),8),7,2)),"")))</f>
        <v/>
      </c>
      <c r="AT1223" s="33">
        <f>IF($AS1223="","",IF($F$6="",0,IF(ISNUMBER(INDEX($A:$AP,ROW(),$F$6)),INDEX($A:$AP,ROW(),$F$6),IFERROR(--SUBSTITUTE(SUBSTITUTE(TRIM(INDEX($A:$AP,ROW(),$F$6)),",",""),"원",""),0))))</f>
        <v/>
      </c>
      <c r="AU1223" s="31">
        <f>IF($AS1223="","",IF($AX1223&lt;&gt;"",SUBSTITUTE(SUBSTITUTE($AX1223,"-","")," ",""),"N:"&amp;$AV1223))</f>
        <v/>
      </c>
      <c r="AV1223" s="31">
        <f>IF(OR($AS1223="",$E$6=""),"",TRIM(INDEX($A:$AP,ROW(),$E$6)&amp;""))</f>
        <v/>
      </c>
      <c r="AW1223" s="31">
        <f>IF($AU1223="","",IF(MATCH($AU1223,$AU$8:$AU$2007,0)=ROW()-7,MAX($AW$7:$AW1222)+1,""))</f>
        <v/>
      </c>
      <c r="AX1223" s="31">
        <f>IF(OR($AS1223="",$D$6=""),"",TRIM(INDEX($A:$AP,ROW(),$D$6)&amp;""))</f>
        <v/>
      </c>
      <c r="AY1223" s="31">
        <f>IF($AU1223="","",INDEX($AW$8:$AW$2007,MATCH($AU1223,$AU$8:$AU$2007,0)))</f>
        <v/>
      </c>
      <c r="AZ1223" s="31">
        <f>IF(OR($AS1223="",$C$6=""),"",TRIM(INDEX($A:$AP,ROW(),$C$6)&amp;""))</f>
        <v/>
      </c>
      <c r="BA1223" s="31">
        <f>IF($AZ1223="","",IF(COUNTIF($AZ$8:$AZ1223,$AZ1223)&gt;1,1,0))</f>
        <v/>
      </c>
    </row>
    <row r="1224">
      <c r="AR1224" s="31">
        <f>IF(OR($A$5="",$B$6="",ROW()&lt;$A$5),"",IF(INDEX($A:$AP,ROW(),$B$6)="","",INDEX($A:$AP,ROW(),$B$6)))</f>
        <v/>
      </c>
      <c r="AS1224" s="32">
        <f>IF($AR1224="","",IF(ISNUMBER($AR1224),IF($AR1224&gt;=10000000,IFERROR(DATE(INT($AR1224/10000),MOD(INT($AR1224/100),100),MOD($AR1224,100)),""),INT($AR1224)),IFERROR(DATE(--LEFT(LEFT(SUBSTITUTE(SUBSTITUTE(SUBSTITUTE(SUBSTITUTE(TRIM($AR1224),"-",""),".",""),"/","")," ",""),8),4),--MID(LEFT(SUBSTITUTE(SUBSTITUTE(SUBSTITUTE(SUBSTITUTE(TRIM($AR1224),"-",""),".",""),"/","")," ",""),8),5,2),--MID(LEFT(SUBSTITUTE(SUBSTITUTE(SUBSTITUTE(SUBSTITUTE(TRIM($AR1224),"-",""),".",""),"/","")," ",""),8),7,2)),"")))</f>
        <v/>
      </c>
      <c r="AT1224" s="33">
        <f>IF($AS1224="","",IF($F$6="",0,IF(ISNUMBER(INDEX($A:$AP,ROW(),$F$6)),INDEX($A:$AP,ROW(),$F$6),IFERROR(--SUBSTITUTE(SUBSTITUTE(TRIM(INDEX($A:$AP,ROW(),$F$6)),",",""),"원",""),0))))</f>
        <v/>
      </c>
      <c r="AU1224" s="31">
        <f>IF($AS1224="","",IF($AX1224&lt;&gt;"",SUBSTITUTE(SUBSTITUTE($AX1224,"-","")," ",""),"N:"&amp;$AV1224))</f>
        <v/>
      </c>
      <c r="AV1224" s="31">
        <f>IF(OR($AS1224="",$E$6=""),"",TRIM(INDEX($A:$AP,ROW(),$E$6)&amp;""))</f>
        <v/>
      </c>
      <c r="AW1224" s="31">
        <f>IF($AU1224="","",IF(MATCH($AU1224,$AU$8:$AU$2007,0)=ROW()-7,MAX($AW$7:$AW1223)+1,""))</f>
        <v/>
      </c>
      <c r="AX1224" s="31">
        <f>IF(OR($AS1224="",$D$6=""),"",TRIM(INDEX($A:$AP,ROW(),$D$6)&amp;""))</f>
        <v/>
      </c>
      <c r="AY1224" s="31">
        <f>IF($AU1224="","",INDEX($AW$8:$AW$2007,MATCH($AU1224,$AU$8:$AU$2007,0)))</f>
        <v/>
      </c>
      <c r="AZ1224" s="31">
        <f>IF(OR($AS1224="",$C$6=""),"",TRIM(INDEX($A:$AP,ROW(),$C$6)&amp;""))</f>
        <v/>
      </c>
      <c r="BA1224" s="31">
        <f>IF($AZ1224="","",IF(COUNTIF($AZ$8:$AZ1224,$AZ1224)&gt;1,1,0))</f>
        <v/>
      </c>
    </row>
    <row r="1225">
      <c r="AR1225" s="31">
        <f>IF(OR($A$5="",$B$6="",ROW()&lt;$A$5),"",IF(INDEX($A:$AP,ROW(),$B$6)="","",INDEX($A:$AP,ROW(),$B$6)))</f>
        <v/>
      </c>
      <c r="AS1225" s="32">
        <f>IF($AR1225="","",IF(ISNUMBER($AR1225),IF($AR1225&gt;=10000000,IFERROR(DATE(INT($AR1225/10000),MOD(INT($AR1225/100),100),MOD($AR1225,100)),""),INT($AR1225)),IFERROR(DATE(--LEFT(LEFT(SUBSTITUTE(SUBSTITUTE(SUBSTITUTE(SUBSTITUTE(TRIM($AR1225),"-",""),".",""),"/","")," ",""),8),4),--MID(LEFT(SUBSTITUTE(SUBSTITUTE(SUBSTITUTE(SUBSTITUTE(TRIM($AR1225),"-",""),".",""),"/","")," ",""),8),5,2),--MID(LEFT(SUBSTITUTE(SUBSTITUTE(SUBSTITUTE(SUBSTITUTE(TRIM($AR1225),"-",""),".",""),"/","")," ",""),8),7,2)),"")))</f>
        <v/>
      </c>
      <c r="AT1225" s="33">
        <f>IF($AS1225="","",IF($F$6="",0,IF(ISNUMBER(INDEX($A:$AP,ROW(),$F$6)),INDEX($A:$AP,ROW(),$F$6),IFERROR(--SUBSTITUTE(SUBSTITUTE(TRIM(INDEX($A:$AP,ROW(),$F$6)),",",""),"원",""),0))))</f>
        <v/>
      </c>
      <c r="AU1225" s="31">
        <f>IF($AS1225="","",IF($AX1225&lt;&gt;"",SUBSTITUTE(SUBSTITUTE($AX1225,"-","")," ",""),"N:"&amp;$AV1225))</f>
        <v/>
      </c>
      <c r="AV1225" s="31">
        <f>IF(OR($AS1225="",$E$6=""),"",TRIM(INDEX($A:$AP,ROW(),$E$6)&amp;""))</f>
        <v/>
      </c>
      <c r="AW1225" s="31">
        <f>IF($AU1225="","",IF(MATCH($AU1225,$AU$8:$AU$2007,0)=ROW()-7,MAX($AW$7:$AW1224)+1,""))</f>
        <v/>
      </c>
      <c r="AX1225" s="31">
        <f>IF(OR($AS1225="",$D$6=""),"",TRIM(INDEX($A:$AP,ROW(),$D$6)&amp;""))</f>
        <v/>
      </c>
      <c r="AY1225" s="31">
        <f>IF($AU1225="","",INDEX($AW$8:$AW$2007,MATCH($AU1225,$AU$8:$AU$2007,0)))</f>
        <v/>
      </c>
      <c r="AZ1225" s="31">
        <f>IF(OR($AS1225="",$C$6=""),"",TRIM(INDEX($A:$AP,ROW(),$C$6)&amp;""))</f>
        <v/>
      </c>
      <c r="BA1225" s="31">
        <f>IF($AZ1225="","",IF(COUNTIF($AZ$8:$AZ1225,$AZ1225)&gt;1,1,0))</f>
        <v/>
      </c>
    </row>
    <row r="1226">
      <c r="AR1226" s="31">
        <f>IF(OR($A$5="",$B$6="",ROW()&lt;$A$5),"",IF(INDEX($A:$AP,ROW(),$B$6)="","",INDEX($A:$AP,ROW(),$B$6)))</f>
        <v/>
      </c>
      <c r="AS1226" s="32">
        <f>IF($AR1226="","",IF(ISNUMBER($AR1226),IF($AR1226&gt;=10000000,IFERROR(DATE(INT($AR1226/10000),MOD(INT($AR1226/100),100),MOD($AR1226,100)),""),INT($AR1226)),IFERROR(DATE(--LEFT(LEFT(SUBSTITUTE(SUBSTITUTE(SUBSTITUTE(SUBSTITUTE(TRIM($AR1226),"-",""),".",""),"/","")," ",""),8),4),--MID(LEFT(SUBSTITUTE(SUBSTITUTE(SUBSTITUTE(SUBSTITUTE(TRIM($AR1226),"-",""),".",""),"/","")," ",""),8),5,2),--MID(LEFT(SUBSTITUTE(SUBSTITUTE(SUBSTITUTE(SUBSTITUTE(TRIM($AR1226),"-",""),".",""),"/","")," ",""),8),7,2)),"")))</f>
        <v/>
      </c>
      <c r="AT1226" s="33">
        <f>IF($AS1226="","",IF($F$6="",0,IF(ISNUMBER(INDEX($A:$AP,ROW(),$F$6)),INDEX($A:$AP,ROW(),$F$6),IFERROR(--SUBSTITUTE(SUBSTITUTE(TRIM(INDEX($A:$AP,ROW(),$F$6)),",",""),"원",""),0))))</f>
        <v/>
      </c>
      <c r="AU1226" s="31">
        <f>IF($AS1226="","",IF($AX1226&lt;&gt;"",SUBSTITUTE(SUBSTITUTE($AX1226,"-","")," ",""),"N:"&amp;$AV1226))</f>
        <v/>
      </c>
      <c r="AV1226" s="31">
        <f>IF(OR($AS1226="",$E$6=""),"",TRIM(INDEX($A:$AP,ROW(),$E$6)&amp;""))</f>
        <v/>
      </c>
      <c r="AW1226" s="31">
        <f>IF($AU1226="","",IF(MATCH($AU1226,$AU$8:$AU$2007,0)=ROW()-7,MAX($AW$7:$AW1225)+1,""))</f>
        <v/>
      </c>
      <c r="AX1226" s="31">
        <f>IF(OR($AS1226="",$D$6=""),"",TRIM(INDEX($A:$AP,ROW(),$D$6)&amp;""))</f>
        <v/>
      </c>
      <c r="AY1226" s="31">
        <f>IF($AU1226="","",INDEX($AW$8:$AW$2007,MATCH($AU1226,$AU$8:$AU$2007,0)))</f>
        <v/>
      </c>
      <c r="AZ1226" s="31">
        <f>IF(OR($AS1226="",$C$6=""),"",TRIM(INDEX($A:$AP,ROW(),$C$6)&amp;""))</f>
        <v/>
      </c>
      <c r="BA1226" s="31">
        <f>IF($AZ1226="","",IF(COUNTIF($AZ$8:$AZ1226,$AZ1226)&gt;1,1,0))</f>
        <v/>
      </c>
    </row>
    <row r="1227">
      <c r="AR1227" s="31">
        <f>IF(OR($A$5="",$B$6="",ROW()&lt;$A$5),"",IF(INDEX($A:$AP,ROW(),$B$6)="","",INDEX($A:$AP,ROW(),$B$6)))</f>
        <v/>
      </c>
      <c r="AS1227" s="32">
        <f>IF($AR1227="","",IF(ISNUMBER($AR1227),IF($AR1227&gt;=10000000,IFERROR(DATE(INT($AR1227/10000),MOD(INT($AR1227/100),100),MOD($AR1227,100)),""),INT($AR1227)),IFERROR(DATE(--LEFT(LEFT(SUBSTITUTE(SUBSTITUTE(SUBSTITUTE(SUBSTITUTE(TRIM($AR1227),"-",""),".",""),"/","")," ",""),8),4),--MID(LEFT(SUBSTITUTE(SUBSTITUTE(SUBSTITUTE(SUBSTITUTE(TRIM($AR1227),"-",""),".",""),"/","")," ",""),8),5,2),--MID(LEFT(SUBSTITUTE(SUBSTITUTE(SUBSTITUTE(SUBSTITUTE(TRIM($AR1227),"-",""),".",""),"/","")," ",""),8),7,2)),"")))</f>
        <v/>
      </c>
      <c r="AT1227" s="33">
        <f>IF($AS1227="","",IF($F$6="",0,IF(ISNUMBER(INDEX($A:$AP,ROW(),$F$6)),INDEX($A:$AP,ROW(),$F$6),IFERROR(--SUBSTITUTE(SUBSTITUTE(TRIM(INDEX($A:$AP,ROW(),$F$6)),",",""),"원",""),0))))</f>
        <v/>
      </c>
      <c r="AU1227" s="31">
        <f>IF($AS1227="","",IF($AX1227&lt;&gt;"",SUBSTITUTE(SUBSTITUTE($AX1227,"-","")," ",""),"N:"&amp;$AV1227))</f>
        <v/>
      </c>
      <c r="AV1227" s="31">
        <f>IF(OR($AS1227="",$E$6=""),"",TRIM(INDEX($A:$AP,ROW(),$E$6)&amp;""))</f>
        <v/>
      </c>
      <c r="AW1227" s="31">
        <f>IF($AU1227="","",IF(MATCH($AU1227,$AU$8:$AU$2007,0)=ROW()-7,MAX($AW$7:$AW1226)+1,""))</f>
        <v/>
      </c>
      <c r="AX1227" s="31">
        <f>IF(OR($AS1227="",$D$6=""),"",TRIM(INDEX($A:$AP,ROW(),$D$6)&amp;""))</f>
        <v/>
      </c>
      <c r="AY1227" s="31">
        <f>IF($AU1227="","",INDEX($AW$8:$AW$2007,MATCH($AU1227,$AU$8:$AU$2007,0)))</f>
        <v/>
      </c>
      <c r="AZ1227" s="31">
        <f>IF(OR($AS1227="",$C$6=""),"",TRIM(INDEX($A:$AP,ROW(),$C$6)&amp;""))</f>
        <v/>
      </c>
      <c r="BA1227" s="31">
        <f>IF($AZ1227="","",IF(COUNTIF($AZ$8:$AZ1227,$AZ1227)&gt;1,1,0))</f>
        <v/>
      </c>
    </row>
    <row r="1228">
      <c r="AR1228" s="31">
        <f>IF(OR($A$5="",$B$6="",ROW()&lt;$A$5),"",IF(INDEX($A:$AP,ROW(),$B$6)="","",INDEX($A:$AP,ROW(),$B$6)))</f>
        <v/>
      </c>
      <c r="AS1228" s="32">
        <f>IF($AR1228="","",IF(ISNUMBER($AR1228),IF($AR1228&gt;=10000000,IFERROR(DATE(INT($AR1228/10000),MOD(INT($AR1228/100),100),MOD($AR1228,100)),""),INT($AR1228)),IFERROR(DATE(--LEFT(LEFT(SUBSTITUTE(SUBSTITUTE(SUBSTITUTE(SUBSTITUTE(TRIM($AR1228),"-",""),".",""),"/","")," ",""),8),4),--MID(LEFT(SUBSTITUTE(SUBSTITUTE(SUBSTITUTE(SUBSTITUTE(TRIM($AR1228),"-",""),".",""),"/","")," ",""),8),5,2),--MID(LEFT(SUBSTITUTE(SUBSTITUTE(SUBSTITUTE(SUBSTITUTE(TRIM($AR1228),"-",""),".",""),"/","")," ",""),8),7,2)),"")))</f>
        <v/>
      </c>
      <c r="AT1228" s="33">
        <f>IF($AS1228="","",IF($F$6="",0,IF(ISNUMBER(INDEX($A:$AP,ROW(),$F$6)),INDEX($A:$AP,ROW(),$F$6),IFERROR(--SUBSTITUTE(SUBSTITUTE(TRIM(INDEX($A:$AP,ROW(),$F$6)),",",""),"원",""),0))))</f>
        <v/>
      </c>
      <c r="AU1228" s="31">
        <f>IF($AS1228="","",IF($AX1228&lt;&gt;"",SUBSTITUTE(SUBSTITUTE($AX1228,"-","")," ",""),"N:"&amp;$AV1228))</f>
        <v/>
      </c>
      <c r="AV1228" s="31">
        <f>IF(OR($AS1228="",$E$6=""),"",TRIM(INDEX($A:$AP,ROW(),$E$6)&amp;""))</f>
        <v/>
      </c>
      <c r="AW1228" s="31">
        <f>IF($AU1228="","",IF(MATCH($AU1228,$AU$8:$AU$2007,0)=ROW()-7,MAX($AW$7:$AW1227)+1,""))</f>
        <v/>
      </c>
      <c r="AX1228" s="31">
        <f>IF(OR($AS1228="",$D$6=""),"",TRIM(INDEX($A:$AP,ROW(),$D$6)&amp;""))</f>
        <v/>
      </c>
      <c r="AY1228" s="31">
        <f>IF($AU1228="","",INDEX($AW$8:$AW$2007,MATCH($AU1228,$AU$8:$AU$2007,0)))</f>
        <v/>
      </c>
      <c r="AZ1228" s="31">
        <f>IF(OR($AS1228="",$C$6=""),"",TRIM(INDEX($A:$AP,ROW(),$C$6)&amp;""))</f>
        <v/>
      </c>
      <c r="BA1228" s="31">
        <f>IF($AZ1228="","",IF(COUNTIF($AZ$8:$AZ1228,$AZ1228)&gt;1,1,0))</f>
        <v/>
      </c>
    </row>
    <row r="1229">
      <c r="AR1229" s="31">
        <f>IF(OR($A$5="",$B$6="",ROW()&lt;$A$5),"",IF(INDEX($A:$AP,ROW(),$B$6)="","",INDEX($A:$AP,ROW(),$B$6)))</f>
        <v/>
      </c>
      <c r="AS1229" s="32">
        <f>IF($AR1229="","",IF(ISNUMBER($AR1229),IF($AR1229&gt;=10000000,IFERROR(DATE(INT($AR1229/10000),MOD(INT($AR1229/100),100),MOD($AR1229,100)),""),INT($AR1229)),IFERROR(DATE(--LEFT(LEFT(SUBSTITUTE(SUBSTITUTE(SUBSTITUTE(SUBSTITUTE(TRIM($AR1229),"-",""),".",""),"/","")," ",""),8),4),--MID(LEFT(SUBSTITUTE(SUBSTITUTE(SUBSTITUTE(SUBSTITUTE(TRIM($AR1229),"-",""),".",""),"/","")," ",""),8),5,2),--MID(LEFT(SUBSTITUTE(SUBSTITUTE(SUBSTITUTE(SUBSTITUTE(TRIM($AR1229),"-",""),".",""),"/","")," ",""),8),7,2)),"")))</f>
        <v/>
      </c>
      <c r="AT1229" s="33">
        <f>IF($AS1229="","",IF($F$6="",0,IF(ISNUMBER(INDEX($A:$AP,ROW(),$F$6)),INDEX($A:$AP,ROW(),$F$6),IFERROR(--SUBSTITUTE(SUBSTITUTE(TRIM(INDEX($A:$AP,ROW(),$F$6)),",",""),"원",""),0))))</f>
        <v/>
      </c>
      <c r="AU1229" s="31">
        <f>IF($AS1229="","",IF($AX1229&lt;&gt;"",SUBSTITUTE(SUBSTITUTE($AX1229,"-","")," ",""),"N:"&amp;$AV1229))</f>
        <v/>
      </c>
      <c r="AV1229" s="31">
        <f>IF(OR($AS1229="",$E$6=""),"",TRIM(INDEX($A:$AP,ROW(),$E$6)&amp;""))</f>
        <v/>
      </c>
      <c r="AW1229" s="31">
        <f>IF($AU1229="","",IF(MATCH($AU1229,$AU$8:$AU$2007,0)=ROW()-7,MAX($AW$7:$AW1228)+1,""))</f>
        <v/>
      </c>
      <c r="AX1229" s="31">
        <f>IF(OR($AS1229="",$D$6=""),"",TRIM(INDEX($A:$AP,ROW(),$D$6)&amp;""))</f>
        <v/>
      </c>
      <c r="AY1229" s="31">
        <f>IF($AU1229="","",INDEX($AW$8:$AW$2007,MATCH($AU1229,$AU$8:$AU$2007,0)))</f>
        <v/>
      </c>
      <c r="AZ1229" s="31">
        <f>IF(OR($AS1229="",$C$6=""),"",TRIM(INDEX($A:$AP,ROW(),$C$6)&amp;""))</f>
        <v/>
      </c>
      <c r="BA1229" s="31">
        <f>IF($AZ1229="","",IF(COUNTIF($AZ$8:$AZ1229,$AZ1229)&gt;1,1,0))</f>
        <v/>
      </c>
    </row>
    <row r="1230">
      <c r="AR1230" s="31">
        <f>IF(OR($A$5="",$B$6="",ROW()&lt;$A$5),"",IF(INDEX($A:$AP,ROW(),$B$6)="","",INDEX($A:$AP,ROW(),$B$6)))</f>
        <v/>
      </c>
      <c r="AS1230" s="32">
        <f>IF($AR1230="","",IF(ISNUMBER($AR1230),IF($AR1230&gt;=10000000,IFERROR(DATE(INT($AR1230/10000),MOD(INT($AR1230/100),100),MOD($AR1230,100)),""),INT($AR1230)),IFERROR(DATE(--LEFT(LEFT(SUBSTITUTE(SUBSTITUTE(SUBSTITUTE(SUBSTITUTE(TRIM($AR1230),"-",""),".",""),"/","")," ",""),8),4),--MID(LEFT(SUBSTITUTE(SUBSTITUTE(SUBSTITUTE(SUBSTITUTE(TRIM($AR1230),"-",""),".",""),"/","")," ",""),8),5,2),--MID(LEFT(SUBSTITUTE(SUBSTITUTE(SUBSTITUTE(SUBSTITUTE(TRIM($AR1230),"-",""),".",""),"/","")," ",""),8),7,2)),"")))</f>
        <v/>
      </c>
      <c r="AT1230" s="33">
        <f>IF($AS1230="","",IF($F$6="",0,IF(ISNUMBER(INDEX($A:$AP,ROW(),$F$6)),INDEX($A:$AP,ROW(),$F$6),IFERROR(--SUBSTITUTE(SUBSTITUTE(TRIM(INDEX($A:$AP,ROW(),$F$6)),",",""),"원",""),0))))</f>
        <v/>
      </c>
      <c r="AU1230" s="31">
        <f>IF($AS1230="","",IF($AX1230&lt;&gt;"",SUBSTITUTE(SUBSTITUTE($AX1230,"-","")," ",""),"N:"&amp;$AV1230))</f>
        <v/>
      </c>
      <c r="AV1230" s="31">
        <f>IF(OR($AS1230="",$E$6=""),"",TRIM(INDEX($A:$AP,ROW(),$E$6)&amp;""))</f>
        <v/>
      </c>
      <c r="AW1230" s="31">
        <f>IF($AU1230="","",IF(MATCH($AU1230,$AU$8:$AU$2007,0)=ROW()-7,MAX($AW$7:$AW1229)+1,""))</f>
        <v/>
      </c>
      <c r="AX1230" s="31">
        <f>IF(OR($AS1230="",$D$6=""),"",TRIM(INDEX($A:$AP,ROW(),$D$6)&amp;""))</f>
        <v/>
      </c>
      <c r="AY1230" s="31">
        <f>IF($AU1230="","",INDEX($AW$8:$AW$2007,MATCH($AU1230,$AU$8:$AU$2007,0)))</f>
        <v/>
      </c>
      <c r="AZ1230" s="31">
        <f>IF(OR($AS1230="",$C$6=""),"",TRIM(INDEX($A:$AP,ROW(),$C$6)&amp;""))</f>
        <v/>
      </c>
      <c r="BA1230" s="31">
        <f>IF($AZ1230="","",IF(COUNTIF($AZ$8:$AZ1230,$AZ1230)&gt;1,1,0))</f>
        <v/>
      </c>
    </row>
    <row r="1231">
      <c r="AR1231" s="31">
        <f>IF(OR($A$5="",$B$6="",ROW()&lt;$A$5),"",IF(INDEX($A:$AP,ROW(),$B$6)="","",INDEX($A:$AP,ROW(),$B$6)))</f>
        <v/>
      </c>
      <c r="AS1231" s="32">
        <f>IF($AR1231="","",IF(ISNUMBER($AR1231),IF($AR1231&gt;=10000000,IFERROR(DATE(INT($AR1231/10000),MOD(INT($AR1231/100),100),MOD($AR1231,100)),""),INT($AR1231)),IFERROR(DATE(--LEFT(LEFT(SUBSTITUTE(SUBSTITUTE(SUBSTITUTE(SUBSTITUTE(TRIM($AR1231),"-",""),".",""),"/","")," ",""),8),4),--MID(LEFT(SUBSTITUTE(SUBSTITUTE(SUBSTITUTE(SUBSTITUTE(TRIM($AR1231),"-",""),".",""),"/","")," ",""),8),5,2),--MID(LEFT(SUBSTITUTE(SUBSTITUTE(SUBSTITUTE(SUBSTITUTE(TRIM($AR1231),"-",""),".",""),"/","")," ",""),8),7,2)),"")))</f>
        <v/>
      </c>
      <c r="AT1231" s="33">
        <f>IF($AS1231="","",IF($F$6="",0,IF(ISNUMBER(INDEX($A:$AP,ROW(),$F$6)),INDEX($A:$AP,ROW(),$F$6),IFERROR(--SUBSTITUTE(SUBSTITUTE(TRIM(INDEX($A:$AP,ROW(),$F$6)),",",""),"원",""),0))))</f>
        <v/>
      </c>
      <c r="AU1231" s="31">
        <f>IF($AS1231="","",IF($AX1231&lt;&gt;"",SUBSTITUTE(SUBSTITUTE($AX1231,"-","")," ",""),"N:"&amp;$AV1231))</f>
        <v/>
      </c>
      <c r="AV1231" s="31">
        <f>IF(OR($AS1231="",$E$6=""),"",TRIM(INDEX($A:$AP,ROW(),$E$6)&amp;""))</f>
        <v/>
      </c>
      <c r="AW1231" s="31">
        <f>IF($AU1231="","",IF(MATCH($AU1231,$AU$8:$AU$2007,0)=ROW()-7,MAX($AW$7:$AW1230)+1,""))</f>
        <v/>
      </c>
      <c r="AX1231" s="31">
        <f>IF(OR($AS1231="",$D$6=""),"",TRIM(INDEX($A:$AP,ROW(),$D$6)&amp;""))</f>
        <v/>
      </c>
      <c r="AY1231" s="31">
        <f>IF($AU1231="","",INDEX($AW$8:$AW$2007,MATCH($AU1231,$AU$8:$AU$2007,0)))</f>
        <v/>
      </c>
      <c r="AZ1231" s="31">
        <f>IF(OR($AS1231="",$C$6=""),"",TRIM(INDEX($A:$AP,ROW(),$C$6)&amp;""))</f>
        <v/>
      </c>
      <c r="BA1231" s="31">
        <f>IF($AZ1231="","",IF(COUNTIF($AZ$8:$AZ1231,$AZ1231)&gt;1,1,0))</f>
        <v/>
      </c>
    </row>
    <row r="1232">
      <c r="AR1232" s="31">
        <f>IF(OR($A$5="",$B$6="",ROW()&lt;$A$5),"",IF(INDEX($A:$AP,ROW(),$B$6)="","",INDEX($A:$AP,ROW(),$B$6)))</f>
        <v/>
      </c>
      <c r="AS1232" s="32">
        <f>IF($AR1232="","",IF(ISNUMBER($AR1232),IF($AR1232&gt;=10000000,IFERROR(DATE(INT($AR1232/10000),MOD(INT($AR1232/100),100),MOD($AR1232,100)),""),INT($AR1232)),IFERROR(DATE(--LEFT(LEFT(SUBSTITUTE(SUBSTITUTE(SUBSTITUTE(SUBSTITUTE(TRIM($AR1232),"-",""),".",""),"/","")," ",""),8),4),--MID(LEFT(SUBSTITUTE(SUBSTITUTE(SUBSTITUTE(SUBSTITUTE(TRIM($AR1232),"-",""),".",""),"/","")," ",""),8),5,2),--MID(LEFT(SUBSTITUTE(SUBSTITUTE(SUBSTITUTE(SUBSTITUTE(TRIM($AR1232),"-",""),".",""),"/","")," ",""),8),7,2)),"")))</f>
        <v/>
      </c>
      <c r="AT1232" s="33">
        <f>IF($AS1232="","",IF($F$6="",0,IF(ISNUMBER(INDEX($A:$AP,ROW(),$F$6)),INDEX($A:$AP,ROW(),$F$6),IFERROR(--SUBSTITUTE(SUBSTITUTE(TRIM(INDEX($A:$AP,ROW(),$F$6)),",",""),"원",""),0))))</f>
        <v/>
      </c>
      <c r="AU1232" s="31">
        <f>IF($AS1232="","",IF($AX1232&lt;&gt;"",SUBSTITUTE(SUBSTITUTE($AX1232,"-","")," ",""),"N:"&amp;$AV1232))</f>
        <v/>
      </c>
      <c r="AV1232" s="31">
        <f>IF(OR($AS1232="",$E$6=""),"",TRIM(INDEX($A:$AP,ROW(),$E$6)&amp;""))</f>
        <v/>
      </c>
      <c r="AW1232" s="31">
        <f>IF($AU1232="","",IF(MATCH($AU1232,$AU$8:$AU$2007,0)=ROW()-7,MAX($AW$7:$AW1231)+1,""))</f>
        <v/>
      </c>
      <c r="AX1232" s="31">
        <f>IF(OR($AS1232="",$D$6=""),"",TRIM(INDEX($A:$AP,ROW(),$D$6)&amp;""))</f>
        <v/>
      </c>
      <c r="AY1232" s="31">
        <f>IF($AU1232="","",INDEX($AW$8:$AW$2007,MATCH($AU1232,$AU$8:$AU$2007,0)))</f>
        <v/>
      </c>
      <c r="AZ1232" s="31">
        <f>IF(OR($AS1232="",$C$6=""),"",TRIM(INDEX($A:$AP,ROW(),$C$6)&amp;""))</f>
        <v/>
      </c>
      <c r="BA1232" s="31">
        <f>IF($AZ1232="","",IF(COUNTIF($AZ$8:$AZ1232,$AZ1232)&gt;1,1,0))</f>
        <v/>
      </c>
    </row>
    <row r="1233">
      <c r="AR1233" s="31">
        <f>IF(OR($A$5="",$B$6="",ROW()&lt;$A$5),"",IF(INDEX($A:$AP,ROW(),$B$6)="","",INDEX($A:$AP,ROW(),$B$6)))</f>
        <v/>
      </c>
      <c r="AS1233" s="32">
        <f>IF($AR1233="","",IF(ISNUMBER($AR1233),IF($AR1233&gt;=10000000,IFERROR(DATE(INT($AR1233/10000),MOD(INT($AR1233/100),100),MOD($AR1233,100)),""),INT($AR1233)),IFERROR(DATE(--LEFT(LEFT(SUBSTITUTE(SUBSTITUTE(SUBSTITUTE(SUBSTITUTE(TRIM($AR1233),"-",""),".",""),"/","")," ",""),8),4),--MID(LEFT(SUBSTITUTE(SUBSTITUTE(SUBSTITUTE(SUBSTITUTE(TRIM($AR1233),"-",""),".",""),"/","")," ",""),8),5,2),--MID(LEFT(SUBSTITUTE(SUBSTITUTE(SUBSTITUTE(SUBSTITUTE(TRIM($AR1233),"-",""),".",""),"/","")," ",""),8),7,2)),"")))</f>
        <v/>
      </c>
      <c r="AT1233" s="33">
        <f>IF($AS1233="","",IF($F$6="",0,IF(ISNUMBER(INDEX($A:$AP,ROW(),$F$6)),INDEX($A:$AP,ROW(),$F$6),IFERROR(--SUBSTITUTE(SUBSTITUTE(TRIM(INDEX($A:$AP,ROW(),$F$6)),",",""),"원",""),0))))</f>
        <v/>
      </c>
      <c r="AU1233" s="31">
        <f>IF($AS1233="","",IF($AX1233&lt;&gt;"",SUBSTITUTE(SUBSTITUTE($AX1233,"-","")," ",""),"N:"&amp;$AV1233))</f>
        <v/>
      </c>
      <c r="AV1233" s="31">
        <f>IF(OR($AS1233="",$E$6=""),"",TRIM(INDEX($A:$AP,ROW(),$E$6)&amp;""))</f>
        <v/>
      </c>
      <c r="AW1233" s="31">
        <f>IF($AU1233="","",IF(MATCH($AU1233,$AU$8:$AU$2007,0)=ROW()-7,MAX($AW$7:$AW1232)+1,""))</f>
        <v/>
      </c>
      <c r="AX1233" s="31">
        <f>IF(OR($AS1233="",$D$6=""),"",TRIM(INDEX($A:$AP,ROW(),$D$6)&amp;""))</f>
        <v/>
      </c>
      <c r="AY1233" s="31">
        <f>IF($AU1233="","",INDEX($AW$8:$AW$2007,MATCH($AU1233,$AU$8:$AU$2007,0)))</f>
        <v/>
      </c>
      <c r="AZ1233" s="31">
        <f>IF(OR($AS1233="",$C$6=""),"",TRIM(INDEX($A:$AP,ROW(),$C$6)&amp;""))</f>
        <v/>
      </c>
      <c r="BA1233" s="31">
        <f>IF($AZ1233="","",IF(COUNTIF($AZ$8:$AZ1233,$AZ1233)&gt;1,1,0))</f>
        <v/>
      </c>
    </row>
    <row r="1234">
      <c r="AR1234" s="31">
        <f>IF(OR($A$5="",$B$6="",ROW()&lt;$A$5),"",IF(INDEX($A:$AP,ROW(),$B$6)="","",INDEX($A:$AP,ROW(),$B$6)))</f>
        <v/>
      </c>
      <c r="AS1234" s="32">
        <f>IF($AR1234="","",IF(ISNUMBER($AR1234),IF($AR1234&gt;=10000000,IFERROR(DATE(INT($AR1234/10000),MOD(INT($AR1234/100),100),MOD($AR1234,100)),""),INT($AR1234)),IFERROR(DATE(--LEFT(LEFT(SUBSTITUTE(SUBSTITUTE(SUBSTITUTE(SUBSTITUTE(TRIM($AR1234),"-",""),".",""),"/","")," ",""),8),4),--MID(LEFT(SUBSTITUTE(SUBSTITUTE(SUBSTITUTE(SUBSTITUTE(TRIM($AR1234),"-",""),".",""),"/","")," ",""),8),5,2),--MID(LEFT(SUBSTITUTE(SUBSTITUTE(SUBSTITUTE(SUBSTITUTE(TRIM($AR1234),"-",""),".",""),"/","")," ",""),8),7,2)),"")))</f>
        <v/>
      </c>
      <c r="AT1234" s="33">
        <f>IF($AS1234="","",IF($F$6="",0,IF(ISNUMBER(INDEX($A:$AP,ROW(),$F$6)),INDEX($A:$AP,ROW(),$F$6),IFERROR(--SUBSTITUTE(SUBSTITUTE(TRIM(INDEX($A:$AP,ROW(),$F$6)),",",""),"원",""),0))))</f>
        <v/>
      </c>
      <c r="AU1234" s="31">
        <f>IF($AS1234="","",IF($AX1234&lt;&gt;"",SUBSTITUTE(SUBSTITUTE($AX1234,"-","")," ",""),"N:"&amp;$AV1234))</f>
        <v/>
      </c>
      <c r="AV1234" s="31">
        <f>IF(OR($AS1234="",$E$6=""),"",TRIM(INDEX($A:$AP,ROW(),$E$6)&amp;""))</f>
        <v/>
      </c>
      <c r="AW1234" s="31">
        <f>IF($AU1234="","",IF(MATCH($AU1234,$AU$8:$AU$2007,0)=ROW()-7,MAX($AW$7:$AW1233)+1,""))</f>
        <v/>
      </c>
      <c r="AX1234" s="31">
        <f>IF(OR($AS1234="",$D$6=""),"",TRIM(INDEX($A:$AP,ROW(),$D$6)&amp;""))</f>
        <v/>
      </c>
      <c r="AY1234" s="31">
        <f>IF($AU1234="","",INDEX($AW$8:$AW$2007,MATCH($AU1234,$AU$8:$AU$2007,0)))</f>
        <v/>
      </c>
      <c r="AZ1234" s="31">
        <f>IF(OR($AS1234="",$C$6=""),"",TRIM(INDEX($A:$AP,ROW(),$C$6)&amp;""))</f>
        <v/>
      </c>
      <c r="BA1234" s="31">
        <f>IF($AZ1234="","",IF(COUNTIF($AZ$8:$AZ1234,$AZ1234)&gt;1,1,0))</f>
        <v/>
      </c>
    </row>
    <row r="1235">
      <c r="AR1235" s="31">
        <f>IF(OR($A$5="",$B$6="",ROW()&lt;$A$5),"",IF(INDEX($A:$AP,ROW(),$B$6)="","",INDEX($A:$AP,ROW(),$B$6)))</f>
        <v/>
      </c>
      <c r="AS1235" s="32">
        <f>IF($AR1235="","",IF(ISNUMBER($AR1235),IF($AR1235&gt;=10000000,IFERROR(DATE(INT($AR1235/10000),MOD(INT($AR1235/100),100),MOD($AR1235,100)),""),INT($AR1235)),IFERROR(DATE(--LEFT(LEFT(SUBSTITUTE(SUBSTITUTE(SUBSTITUTE(SUBSTITUTE(TRIM($AR1235),"-",""),".",""),"/","")," ",""),8),4),--MID(LEFT(SUBSTITUTE(SUBSTITUTE(SUBSTITUTE(SUBSTITUTE(TRIM($AR1235),"-",""),".",""),"/","")," ",""),8),5,2),--MID(LEFT(SUBSTITUTE(SUBSTITUTE(SUBSTITUTE(SUBSTITUTE(TRIM($AR1235),"-",""),".",""),"/","")," ",""),8),7,2)),"")))</f>
        <v/>
      </c>
      <c r="AT1235" s="33">
        <f>IF($AS1235="","",IF($F$6="",0,IF(ISNUMBER(INDEX($A:$AP,ROW(),$F$6)),INDEX($A:$AP,ROW(),$F$6),IFERROR(--SUBSTITUTE(SUBSTITUTE(TRIM(INDEX($A:$AP,ROW(),$F$6)),",",""),"원",""),0))))</f>
        <v/>
      </c>
      <c r="AU1235" s="31">
        <f>IF($AS1235="","",IF($AX1235&lt;&gt;"",SUBSTITUTE(SUBSTITUTE($AX1235,"-","")," ",""),"N:"&amp;$AV1235))</f>
        <v/>
      </c>
      <c r="AV1235" s="31">
        <f>IF(OR($AS1235="",$E$6=""),"",TRIM(INDEX($A:$AP,ROW(),$E$6)&amp;""))</f>
        <v/>
      </c>
      <c r="AW1235" s="31">
        <f>IF($AU1235="","",IF(MATCH($AU1235,$AU$8:$AU$2007,0)=ROW()-7,MAX($AW$7:$AW1234)+1,""))</f>
        <v/>
      </c>
      <c r="AX1235" s="31">
        <f>IF(OR($AS1235="",$D$6=""),"",TRIM(INDEX($A:$AP,ROW(),$D$6)&amp;""))</f>
        <v/>
      </c>
      <c r="AY1235" s="31">
        <f>IF($AU1235="","",INDEX($AW$8:$AW$2007,MATCH($AU1235,$AU$8:$AU$2007,0)))</f>
        <v/>
      </c>
      <c r="AZ1235" s="31">
        <f>IF(OR($AS1235="",$C$6=""),"",TRIM(INDEX($A:$AP,ROW(),$C$6)&amp;""))</f>
        <v/>
      </c>
      <c r="BA1235" s="31">
        <f>IF($AZ1235="","",IF(COUNTIF($AZ$8:$AZ1235,$AZ1235)&gt;1,1,0))</f>
        <v/>
      </c>
    </row>
    <row r="1236">
      <c r="AR1236" s="31">
        <f>IF(OR($A$5="",$B$6="",ROW()&lt;$A$5),"",IF(INDEX($A:$AP,ROW(),$B$6)="","",INDEX($A:$AP,ROW(),$B$6)))</f>
        <v/>
      </c>
      <c r="AS1236" s="32">
        <f>IF($AR1236="","",IF(ISNUMBER($AR1236),IF($AR1236&gt;=10000000,IFERROR(DATE(INT($AR1236/10000),MOD(INT($AR1236/100),100),MOD($AR1236,100)),""),INT($AR1236)),IFERROR(DATE(--LEFT(LEFT(SUBSTITUTE(SUBSTITUTE(SUBSTITUTE(SUBSTITUTE(TRIM($AR1236),"-",""),".",""),"/","")," ",""),8),4),--MID(LEFT(SUBSTITUTE(SUBSTITUTE(SUBSTITUTE(SUBSTITUTE(TRIM($AR1236),"-",""),".",""),"/","")," ",""),8),5,2),--MID(LEFT(SUBSTITUTE(SUBSTITUTE(SUBSTITUTE(SUBSTITUTE(TRIM($AR1236),"-",""),".",""),"/","")," ",""),8),7,2)),"")))</f>
        <v/>
      </c>
      <c r="AT1236" s="33">
        <f>IF($AS1236="","",IF($F$6="",0,IF(ISNUMBER(INDEX($A:$AP,ROW(),$F$6)),INDEX($A:$AP,ROW(),$F$6),IFERROR(--SUBSTITUTE(SUBSTITUTE(TRIM(INDEX($A:$AP,ROW(),$F$6)),",",""),"원",""),0))))</f>
        <v/>
      </c>
      <c r="AU1236" s="31">
        <f>IF($AS1236="","",IF($AX1236&lt;&gt;"",SUBSTITUTE(SUBSTITUTE($AX1236,"-","")," ",""),"N:"&amp;$AV1236))</f>
        <v/>
      </c>
      <c r="AV1236" s="31">
        <f>IF(OR($AS1236="",$E$6=""),"",TRIM(INDEX($A:$AP,ROW(),$E$6)&amp;""))</f>
        <v/>
      </c>
      <c r="AW1236" s="31">
        <f>IF($AU1236="","",IF(MATCH($AU1236,$AU$8:$AU$2007,0)=ROW()-7,MAX($AW$7:$AW1235)+1,""))</f>
        <v/>
      </c>
      <c r="AX1236" s="31">
        <f>IF(OR($AS1236="",$D$6=""),"",TRIM(INDEX($A:$AP,ROW(),$D$6)&amp;""))</f>
        <v/>
      </c>
      <c r="AY1236" s="31">
        <f>IF($AU1236="","",INDEX($AW$8:$AW$2007,MATCH($AU1236,$AU$8:$AU$2007,0)))</f>
        <v/>
      </c>
      <c r="AZ1236" s="31">
        <f>IF(OR($AS1236="",$C$6=""),"",TRIM(INDEX($A:$AP,ROW(),$C$6)&amp;""))</f>
        <v/>
      </c>
      <c r="BA1236" s="31">
        <f>IF($AZ1236="","",IF(COUNTIF($AZ$8:$AZ1236,$AZ1236)&gt;1,1,0))</f>
        <v/>
      </c>
    </row>
    <row r="1237">
      <c r="AR1237" s="31">
        <f>IF(OR($A$5="",$B$6="",ROW()&lt;$A$5),"",IF(INDEX($A:$AP,ROW(),$B$6)="","",INDEX($A:$AP,ROW(),$B$6)))</f>
        <v/>
      </c>
      <c r="AS1237" s="32">
        <f>IF($AR1237="","",IF(ISNUMBER($AR1237),IF($AR1237&gt;=10000000,IFERROR(DATE(INT($AR1237/10000),MOD(INT($AR1237/100),100),MOD($AR1237,100)),""),INT($AR1237)),IFERROR(DATE(--LEFT(LEFT(SUBSTITUTE(SUBSTITUTE(SUBSTITUTE(SUBSTITUTE(TRIM($AR1237),"-",""),".",""),"/","")," ",""),8),4),--MID(LEFT(SUBSTITUTE(SUBSTITUTE(SUBSTITUTE(SUBSTITUTE(TRIM($AR1237),"-",""),".",""),"/","")," ",""),8),5,2),--MID(LEFT(SUBSTITUTE(SUBSTITUTE(SUBSTITUTE(SUBSTITUTE(TRIM($AR1237),"-",""),".",""),"/","")," ",""),8),7,2)),"")))</f>
        <v/>
      </c>
      <c r="AT1237" s="33">
        <f>IF($AS1237="","",IF($F$6="",0,IF(ISNUMBER(INDEX($A:$AP,ROW(),$F$6)),INDEX($A:$AP,ROW(),$F$6),IFERROR(--SUBSTITUTE(SUBSTITUTE(TRIM(INDEX($A:$AP,ROW(),$F$6)),",",""),"원",""),0))))</f>
        <v/>
      </c>
      <c r="AU1237" s="31">
        <f>IF($AS1237="","",IF($AX1237&lt;&gt;"",SUBSTITUTE(SUBSTITUTE($AX1237,"-","")," ",""),"N:"&amp;$AV1237))</f>
        <v/>
      </c>
      <c r="AV1237" s="31">
        <f>IF(OR($AS1237="",$E$6=""),"",TRIM(INDEX($A:$AP,ROW(),$E$6)&amp;""))</f>
        <v/>
      </c>
      <c r="AW1237" s="31">
        <f>IF($AU1237="","",IF(MATCH($AU1237,$AU$8:$AU$2007,0)=ROW()-7,MAX($AW$7:$AW1236)+1,""))</f>
        <v/>
      </c>
      <c r="AX1237" s="31">
        <f>IF(OR($AS1237="",$D$6=""),"",TRIM(INDEX($A:$AP,ROW(),$D$6)&amp;""))</f>
        <v/>
      </c>
      <c r="AY1237" s="31">
        <f>IF($AU1237="","",INDEX($AW$8:$AW$2007,MATCH($AU1237,$AU$8:$AU$2007,0)))</f>
        <v/>
      </c>
      <c r="AZ1237" s="31">
        <f>IF(OR($AS1237="",$C$6=""),"",TRIM(INDEX($A:$AP,ROW(),$C$6)&amp;""))</f>
        <v/>
      </c>
      <c r="BA1237" s="31">
        <f>IF($AZ1237="","",IF(COUNTIF($AZ$8:$AZ1237,$AZ1237)&gt;1,1,0))</f>
        <v/>
      </c>
    </row>
    <row r="1238">
      <c r="AR1238" s="31">
        <f>IF(OR($A$5="",$B$6="",ROW()&lt;$A$5),"",IF(INDEX($A:$AP,ROW(),$B$6)="","",INDEX($A:$AP,ROW(),$B$6)))</f>
        <v/>
      </c>
      <c r="AS1238" s="32">
        <f>IF($AR1238="","",IF(ISNUMBER($AR1238),IF($AR1238&gt;=10000000,IFERROR(DATE(INT($AR1238/10000),MOD(INT($AR1238/100),100),MOD($AR1238,100)),""),INT($AR1238)),IFERROR(DATE(--LEFT(LEFT(SUBSTITUTE(SUBSTITUTE(SUBSTITUTE(SUBSTITUTE(TRIM($AR1238),"-",""),".",""),"/","")," ",""),8),4),--MID(LEFT(SUBSTITUTE(SUBSTITUTE(SUBSTITUTE(SUBSTITUTE(TRIM($AR1238),"-",""),".",""),"/","")," ",""),8),5,2),--MID(LEFT(SUBSTITUTE(SUBSTITUTE(SUBSTITUTE(SUBSTITUTE(TRIM($AR1238),"-",""),".",""),"/","")," ",""),8),7,2)),"")))</f>
        <v/>
      </c>
      <c r="AT1238" s="33">
        <f>IF($AS1238="","",IF($F$6="",0,IF(ISNUMBER(INDEX($A:$AP,ROW(),$F$6)),INDEX($A:$AP,ROW(),$F$6),IFERROR(--SUBSTITUTE(SUBSTITUTE(TRIM(INDEX($A:$AP,ROW(),$F$6)),",",""),"원",""),0))))</f>
        <v/>
      </c>
      <c r="AU1238" s="31">
        <f>IF($AS1238="","",IF($AX1238&lt;&gt;"",SUBSTITUTE(SUBSTITUTE($AX1238,"-","")," ",""),"N:"&amp;$AV1238))</f>
        <v/>
      </c>
      <c r="AV1238" s="31">
        <f>IF(OR($AS1238="",$E$6=""),"",TRIM(INDEX($A:$AP,ROW(),$E$6)&amp;""))</f>
        <v/>
      </c>
      <c r="AW1238" s="31">
        <f>IF($AU1238="","",IF(MATCH($AU1238,$AU$8:$AU$2007,0)=ROW()-7,MAX($AW$7:$AW1237)+1,""))</f>
        <v/>
      </c>
      <c r="AX1238" s="31">
        <f>IF(OR($AS1238="",$D$6=""),"",TRIM(INDEX($A:$AP,ROW(),$D$6)&amp;""))</f>
        <v/>
      </c>
      <c r="AY1238" s="31">
        <f>IF($AU1238="","",INDEX($AW$8:$AW$2007,MATCH($AU1238,$AU$8:$AU$2007,0)))</f>
        <v/>
      </c>
      <c r="AZ1238" s="31">
        <f>IF(OR($AS1238="",$C$6=""),"",TRIM(INDEX($A:$AP,ROW(),$C$6)&amp;""))</f>
        <v/>
      </c>
      <c r="BA1238" s="31">
        <f>IF($AZ1238="","",IF(COUNTIF($AZ$8:$AZ1238,$AZ1238)&gt;1,1,0))</f>
        <v/>
      </c>
    </row>
    <row r="1239">
      <c r="AR1239" s="31">
        <f>IF(OR($A$5="",$B$6="",ROW()&lt;$A$5),"",IF(INDEX($A:$AP,ROW(),$B$6)="","",INDEX($A:$AP,ROW(),$B$6)))</f>
        <v/>
      </c>
      <c r="AS1239" s="32">
        <f>IF($AR1239="","",IF(ISNUMBER($AR1239),IF($AR1239&gt;=10000000,IFERROR(DATE(INT($AR1239/10000),MOD(INT($AR1239/100),100),MOD($AR1239,100)),""),INT($AR1239)),IFERROR(DATE(--LEFT(LEFT(SUBSTITUTE(SUBSTITUTE(SUBSTITUTE(SUBSTITUTE(TRIM($AR1239),"-",""),".",""),"/","")," ",""),8),4),--MID(LEFT(SUBSTITUTE(SUBSTITUTE(SUBSTITUTE(SUBSTITUTE(TRIM($AR1239),"-",""),".",""),"/","")," ",""),8),5,2),--MID(LEFT(SUBSTITUTE(SUBSTITUTE(SUBSTITUTE(SUBSTITUTE(TRIM($AR1239),"-",""),".",""),"/","")," ",""),8),7,2)),"")))</f>
        <v/>
      </c>
      <c r="AT1239" s="33">
        <f>IF($AS1239="","",IF($F$6="",0,IF(ISNUMBER(INDEX($A:$AP,ROW(),$F$6)),INDEX($A:$AP,ROW(),$F$6),IFERROR(--SUBSTITUTE(SUBSTITUTE(TRIM(INDEX($A:$AP,ROW(),$F$6)),",",""),"원",""),0))))</f>
        <v/>
      </c>
      <c r="AU1239" s="31">
        <f>IF($AS1239="","",IF($AX1239&lt;&gt;"",SUBSTITUTE(SUBSTITUTE($AX1239,"-","")," ",""),"N:"&amp;$AV1239))</f>
        <v/>
      </c>
      <c r="AV1239" s="31">
        <f>IF(OR($AS1239="",$E$6=""),"",TRIM(INDEX($A:$AP,ROW(),$E$6)&amp;""))</f>
        <v/>
      </c>
      <c r="AW1239" s="31">
        <f>IF($AU1239="","",IF(MATCH($AU1239,$AU$8:$AU$2007,0)=ROW()-7,MAX($AW$7:$AW1238)+1,""))</f>
        <v/>
      </c>
      <c r="AX1239" s="31">
        <f>IF(OR($AS1239="",$D$6=""),"",TRIM(INDEX($A:$AP,ROW(),$D$6)&amp;""))</f>
        <v/>
      </c>
      <c r="AY1239" s="31">
        <f>IF($AU1239="","",INDEX($AW$8:$AW$2007,MATCH($AU1239,$AU$8:$AU$2007,0)))</f>
        <v/>
      </c>
      <c r="AZ1239" s="31">
        <f>IF(OR($AS1239="",$C$6=""),"",TRIM(INDEX($A:$AP,ROW(),$C$6)&amp;""))</f>
        <v/>
      </c>
      <c r="BA1239" s="31">
        <f>IF($AZ1239="","",IF(COUNTIF($AZ$8:$AZ1239,$AZ1239)&gt;1,1,0))</f>
        <v/>
      </c>
    </row>
    <row r="1240">
      <c r="AR1240" s="31">
        <f>IF(OR($A$5="",$B$6="",ROW()&lt;$A$5),"",IF(INDEX($A:$AP,ROW(),$B$6)="","",INDEX($A:$AP,ROW(),$B$6)))</f>
        <v/>
      </c>
      <c r="AS1240" s="32">
        <f>IF($AR1240="","",IF(ISNUMBER($AR1240),IF($AR1240&gt;=10000000,IFERROR(DATE(INT($AR1240/10000),MOD(INT($AR1240/100),100),MOD($AR1240,100)),""),INT($AR1240)),IFERROR(DATE(--LEFT(LEFT(SUBSTITUTE(SUBSTITUTE(SUBSTITUTE(SUBSTITUTE(TRIM($AR1240),"-",""),".",""),"/","")," ",""),8),4),--MID(LEFT(SUBSTITUTE(SUBSTITUTE(SUBSTITUTE(SUBSTITUTE(TRIM($AR1240),"-",""),".",""),"/","")," ",""),8),5,2),--MID(LEFT(SUBSTITUTE(SUBSTITUTE(SUBSTITUTE(SUBSTITUTE(TRIM($AR1240),"-",""),".",""),"/","")," ",""),8),7,2)),"")))</f>
        <v/>
      </c>
      <c r="AT1240" s="33">
        <f>IF($AS1240="","",IF($F$6="",0,IF(ISNUMBER(INDEX($A:$AP,ROW(),$F$6)),INDEX($A:$AP,ROW(),$F$6),IFERROR(--SUBSTITUTE(SUBSTITUTE(TRIM(INDEX($A:$AP,ROW(),$F$6)),",",""),"원",""),0))))</f>
        <v/>
      </c>
      <c r="AU1240" s="31">
        <f>IF($AS1240="","",IF($AX1240&lt;&gt;"",SUBSTITUTE(SUBSTITUTE($AX1240,"-","")," ",""),"N:"&amp;$AV1240))</f>
        <v/>
      </c>
      <c r="AV1240" s="31">
        <f>IF(OR($AS1240="",$E$6=""),"",TRIM(INDEX($A:$AP,ROW(),$E$6)&amp;""))</f>
        <v/>
      </c>
      <c r="AW1240" s="31">
        <f>IF($AU1240="","",IF(MATCH($AU1240,$AU$8:$AU$2007,0)=ROW()-7,MAX($AW$7:$AW1239)+1,""))</f>
        <v/>
      </c>
      <c r="AX1240" s="31">
        <f>IF(OR($AS1240="",$D$6=""),"",TRIM(INDEX($A:$AP,ROW(),$D$6)&amp;""))</f>
        <v/>
      </c>
      <c r="AY1240" s="31">
        <f>IF($AU1240="","",INDEX($AW$8:$AW$2007,MATCH($AU1240,$AU$8:$AU$2007,0)))</f>
        <v/>
      </c>
      <c r="AZ1240" s="31">
        <f>IF(OR($AS1240="",$C$6=""),"",TRIM(INDEX($A:$AP,ROW(),$C$6)&amp;""))</f>
        <v/>
      </c>
      <c r="BA1240" s="31">
        <f>IF($AZ1240="","",IF(COUNTIF($AZ$8:$AZ1240,$AZ1240)&gt;1,1,0))</f>
        <v/>
      </c>
    </row>
    <row r="1241">
      <c r="AR1241" s="31">
        <f>IF(OR($A$5="",$B$6="",ROW()&lt;$A$5),"",IF(INDEX($A:$AP,ROW(),$B$6)="","",INDEX($A:$AP,ROW(),$B$6)))</f>
        <v/>
      </c>
      <c r="AS1241" s="32">
        <f>IF($AR1241="","",IF(ISNUMBER($AR1241),IF($AR1241&gt;=10000000,IFERROR(DATE(INT($AR1241/10000),MOD(INT($AR1241/100),100),MOD($AR1241,100)),""),INT($AR1241)),IFERROR(DATE(--LEFT(LEFT(SUBSTITUTE(SUBSTITUTE(SUBSTITUTE(SUBSTITUTE(TRIM($AR1241),"-",""),".",""),"/","")," ",""),8),4),--MID(LEFT(SUBSTITUTE(SUBSTITUTE(SUBSTITUTE(SUBSTITUTE(TRIM($AR1241),"-",""),".",""),"/","")," ",""),8),5,2),--MID(LEFT(SUBSTITUTE(SUBSTITUTE(SUBSTITUTE(SUBSTITUTE(TRIM($AR1241),"-",""),".",""),"/","")," ",""),8),7,2)),"")))</f>
        <v/>
      </c>
      <c r="AT1241" s="33">
        <f>IF($AS1241="","",IF($F$6="",0,IF(ISNUMBER(INDEX($A:$AP,ROW(),$F$6)),INDEX($A:$AP,ROW(),$F$6),IFERROR(--SUBSTITUTE(SUBSTITUTE(TRIM(INDEX($A:$AP,ROW(),$F$6)),",",""),"원",""),0))))</f>
        <v/>
      </c>
      <c r="AU1241" s="31">
        <f>IF($AS1241="","",IF($AX1241&lt;&gt;"",SUBSTITUTE(SUBSTITUTE($AX1241,"-","")," ",""),"N:"&amp;$AV1241))</f>
        <v/>
      </c>
      <c r="AV1241" s="31">
        <f>IF(OR($AS1241="",$E$6=""),"",TRIM(INDEX($A:$AP,ROW(),$E$6)&amp;""))</f>
        <v/>
      </c>
      <c r="AW1241" s="31">
        <f>IF($AU1241="","",IF(MATCH($AU1241,$AU$8:$AU$2007,0)=ROW()-7,MAX($AW$7:$AW1240)+1,""))</f>
        <v/>
      </c>
      <c r="AX1241" s="31">
        <f>IF(OR($AS1241="",$D$6=""),"",TRIM(INDEX($A:$AP,ROW(),$D$6)&amp;""))</f>
        <v/>
      </c>
      <c r="AY1241" s="31">
        <f>IF($AU1241="","",INDEX($AW$8:$AW$2007,MATCH($AU1241,$AU$8:$AU$2007,0)))</f>
        <v/>
      </c>
      <c r="AZ1241" s="31">
        <f>IF(OR($AS1241="",$C$6=""),"",TRIM(INDEX($A:$AP,ROW(),$C$6)&amp;""))</f>
        <v/>
      </c>
      <c r="BA1241" s="31">
        <f>IF($AZ1241="","",IF(COUNTIF($AZ$8:$AZ1241,$AZ1241)&gt;1,1,0))</f>
        <v/>
      </c>
    </row>
    <row r="1242">
      <c r="AR1242" s="31">
        <f>IF(OR($A$5="",$B$6="",ROW()&lt;$A$5),"",IF(INDEX($A:$AP,ROW(),$B$6)="","",INDEX($A:$AP,ROW(),$B$6)))</f>
        <v/>
      </c>
      <c r="AS1242" s="32">
        <f>IF($AR1242="","",IF(ISNUMBER($AR1242),IF($AR1242&gt;=10000000,IFERROR(DATE(INT($AR1242/10000),MOD(INT($AR1242/100),100),MOD($AR1242,100)),""),INT($AR1242)),IFERROR(DATE(--LEFT(LEFT(SUBSTITUTE(SUBSTITUTE(SUBSTITUTE(SUBSTITUTE(TRIM($AR1242),"-",""),".",""),"/","")," ",""),8),4),--MID(LEFT(SUBSTITUTE(SUBSTITUTE(SUBSTITUTE(SUBSTITUTE(TRIM($AR1242),"-",""),".",""),"/","")," ",""),8),5,2),--MID(LEFT(SUBSTITUTE(SUBSTITUTE(SUBSTITUTE(SUBSTITUTE(TRIM($AR1242),"-",""),".",""),"/","")," ",""),8),7,2)),"")))</f>
        <v/>
      </c>
      <c r="AT1242" s="33">
        <f>IF($AS1242="","",IF($F$6="",0,IF(ISNUMBER(INDEX($A:$AP,ROW(),$F$6)),INDEX($A:$AP,ROW(),$F$6),IFERROR(--SUBSTITUTE(SUBSTITUTE(TRIM(INDEX($A:$AP,ROW(),$F$6)),",",""),"원",""),0))))</f>
        <v/>
      </c>
      <c r="AU1242" s="31">
        <f>IF($AS1242="","",IF($AX1242&lt;&gt;"",SUBSTITUTE(SUBSTITUTE($AX1242,"-","")," ",""),"N:"&amp;$AV1242))</f>
        <v/>
      </c>
      <c r="AV1242" s="31">
        <f>IF(OR($AS1242="",$E$6=""),"",TRIM(INDEX($A:$AP,ROW(),$E$6)&amp;""))</f>
        <v/>
      </c>
      <c r="AW1242" s="31">
        <f>IF($AU1242="","",IF(MATCH($AU1242,$AU$8:$AU$2007,0)=ROW()-7,MAX($AW$7:$AW1241)+1,""))</f>
        <v/>
      </c>
      <c r="AX1242" s="31">
        <f>IF(OR($AS1242="",$D$6=""),"",TRIM(INDEX($A:$AP,ROW(),$D$6)&amp;""))</f>
        <v/>
      </c>
      <c r="AY1242" s="31">
        <f>IF($AU1242="","",INDEX($AW$8:$AW$2007,MATCH($AU1242,$AU$8:$AU$2007,0)))</f>
        <v/>
      </c>
      <c r="AZ1242" s="31">
        <f>IF(OR($AS1242="",$C$6=""),"",TRIM(INDEX($A:$AP,ROW(),$C$6)&amp;""))</f>
        <v/>
      </c>
      <c r="BA1242" s="31">
        <f>IF($AZ1242="","",IF(COUNTIF($AZ$8:$AZ1242,$AZ1242)&gt;1,1,0))</f>
        <v/>
      </c>
    </row>
    <row r="1243">
      <c r="AR1243" s="31">
        <f>IF(OR($A$5="",$B$6="",ROW()&lt;$A$5),"",IF(INDEX($A:$AP,ROW(),$B$6)="","",INDEX($A:$AP,ROW(),$B$6)))</f>
        <v/>
      </c>
      <c r="AS1243" s="32">
        <f>IF($AR1243="","",IF(ISNUMBER($AR1243),IF($AR1243&gt;=10000000,IFERROR(DATE(INT($AR1243/10000),MOD(INT($AR1243/100),100),MOD($AR1243,100)),""),INT($AR1243)),IFERROR(DATE(--LEFT(LEFT(SUBSTITUTE(SUBSTITUTE(SUBSTITUTE(SUBSTITUTE(TRIM($AR1243),"-",""),".",""),"/","")," ",""),8),4),--MID(LEFT(SUBSTITUTE(SUBSTITUTE(SUBSTITUTE(SUBSTITUTE(TRIM($AR1243),"-",""),".",""),"/","")," ",""),8),5,2),--MID(LEFT(SUBSTITUTE(SUBSTITUTE(SUBSTITUTE(SUBSTITUTE(TRIM($AR1243),"-",""),".",""),"/","")," ",""),8),7,2)),"")))</f>
        <v/>
      </c>
      <c r="AT1243" s="33">
        <f>IF($AS1243="","",IF($F$6="",0,IF(ISNUMBER(INDEX($A:$AP,ROW(),$F$6)),INDEX($A:$AP,ROW(),$F$6),IFERROR(--SUBSTITUTE(SUBSTITUTE(TRIM(INDEX($A:$AP,ROW(),$F$6)),",",""),"원",""),0))))</f>
        <v/>
      </c>
      <c r="AU1243" s="31">
        <f>IF($AS1243="","",IF($AX1243&lt;&gt;"",SUBSTITUTE(SUBSTITUTE($AX1243,"-","")," ",""),"N:"&amp;$AV1243))</f>
        <v/>
      </c>
      <c r="AV1243" s="31">
        <f>IF(OR($AS1243="",$E$6=""),"",TRIM(INDEX($A:$AP,ROW(),$E$6)&amp;""))</f>
        <v/>
      </c>
      <c r="AW1243" s="31">
        <f>IF($AU1243="","",IF(MATCH($AU1243,$AU$8:$AU$2007,0)=ROW()-7,MAX($AW$7:$AW1242)+1,""))</f>
        <v/>
      </c>
      <c r="AX1243" s="31">
        <f>IF(OR($AS1243="",$D$6=""),"",TRIM(INDEX($A:$AP,ROW(),$D$6)&amp;""))</f>
        <v/>
      </c>
      <c r="AY1243" s="31">
        <f>IF($AU1243="","",INDEX($AW$8:$AW$2007,MATCH($AU1243,$AU$8:$AU$2007,0)))</f>
        <v/>
      </c>
      <c r="AZ1243" s="31">
        <f>IF(OR($AS1243="",$C$6=""),"",TRIM(INDEX($A:$AP,ROW(),$C$6)&amp;""))</f>
        <v/>
      </c>
      <c r="BA1243" s="31">
        <f>IF($AZ1243="","",IF(COUNTIF($AZ$8:$AZ1243,$AZ1243)&gt;1,1,0))</f>
        <v/>
      </c>
    </row>
    <row r="1244">
      <c r="AR1244" s="31">
        <f>IF(OR($A$5="",$B$6="",ROW()&lt;$A$5),"",IF(INDEX($A:$AP,ROW(),$B$6)="","",INDEX($A:$AP,ROW(),$B$6)))</f>
        <v/>
      </c>
      <c r="AS1244" s="32">
        <f>IF($AR1244="","",IF(ISNUMBER($AR1244),IF($AR1244&gt;=10000000,IFERROR(DATE(INT($AR1244/10000),MOD(INT($AR1244/100),100),MOD($AR1244,100)),""),INT($AR1244)),IFERROR(DATE(--LEFT(LEFT(SUBSTITUTE(SUBSTITUTE(SUBSTITUTE(SUBSTITUTE(TRIM($AR1244),"-",""),".",""),"/","")," ",""),8),4),--MID(LEFT(SUBSTITUTE(SUBSTITUTE(SUBSTITUTE(SUBSTITUTE(TRIM($AR1244),"-",""),".",""),"/","")," ",""),8),5,2),--MID(LEFT(SUBSTITUTE(SUBSTITUTE(SUBSTITUTE(SUBSTITUTE(TRIM($AR1244),"-",""),".",""),"/","")," ",""),8),7,2)),"")))</f>
        <v/>
      </c>
      <c r="AT1244" s="33">
        <f>IF($AS1244="","",IF($F$6="",0,IF(ISNUMBER(INDEX($A:$AP,ROW(),$F$6)),INDEX($A:$AP,ROW(),$F$6),IFERROR(--SUBSTITUTE(SUBSTITUTE(TRIM(INDEX($A:$AP,ROW(),$F$6)),",",""),"원",""),0))))</f>
        <v/>
      </c>
      <c r="AU1244" s="31">
        <f>IF($AS1244="","",IF($AX1244&lt;&gt;"",SUBSTITUTE(SUBSTITUTE($AX1244,"-","")," ",""),"N:"&amp;$AV1244))</f>
        <v/>
      </c>
      <c r="AV1244" s="31">
        <f>IF(OR($AS1244="",$E$6=""),"",TRIM(INDEX($A:$AP,ROW(),$E$6)&amp;""))</f>
        <v/>
      </c>
      <c r="AW1244" s="31">
        <f>IF($AU1244="","",IF(MATCH($AU1244,$AU$8:$AU$2007,0)=ROW()-7,MAX($AW$7:$AW1243)+1,""))</f>
        <v/>
      </c>
      <c r="AX1244" s="31">
        <f>IF(OR($AS1244="",$D$6=""),"",TRIM(INDEX($A:$AP,ROW(),$D$6)&amp;""))</f>
        <v/>
      </c>
      <c r="AY1244" s="31">
        <f>IF($AU1244="","",INDEX($AW$8:$AW$2007,MATCH($AU1244,$AU$8:$AU$2007,0)))</f>
        <v/>
      </c>
      <c r="AZ1244" s="31">
        <f>IF(OR($AS1244="",$C$6=""),"",TRIM(INDEX($A:$AP,ROW(),$C$6)&amp;""))</f>
        <v/>
      </c>
      <c r="BA1244" s="31">
        <f>IF($AZ1244="","",IF(COUNTIF($AZ$8:$AZ1244,$AZ1244)&gt;1,1,0))</f>
        <v/>
      </c>
    </row>
    <row r="1245">
      <c r="AR1245" s="31">
        <f>IF(OR($A$5="",$B$6="",ROW()&lt;$A$5),"",IF(INDEX($A:$AP,ROW(),$B$6)="","",INDEX($A:$AP,ROW(),$B$6)))</f>
        <v/>
      </c>
      <c r="AS1245" s="32">
        <f>IF($AR1245="","",IF(ISNUMBER($AR1245),IF($AR1245&gt;=10000000,IFERROR(DATE(INT($AR1245/10000),MOD(INT($AR1245/100),100),MOD($AR1245,100)),""),INT($AR1245)),IFERROR(DATE(--LEFT(LEFT(SUBSTITUTE(SUBSTITUTE(SUBSTITUTE(SUBSTITUTE(TRIM($AR1245),"-",""),".",""),"/","")," ",""),8),4),--MID(LEFT(SUBSTITUTE(SUBSTITUTE(SUBSTITUTE(SUBSTITUTE(TRIM($AR1245),"-",""),".",""),"/","")," ",""),8),5,2),--MID(LEFT(SUBSTITUTE(SUBSTITUTE(SUBSTITUTE(SUBSTITUTE(TRIM($AR1245),"-",""),".",""),"/","")," ",""),8),7,2)),"")))</f>
        <v/>
      </c>
      <c r="AT1245" s="33">
        <f>IF($AS1245="","",IF($F$6="",0,IF(ISNUMBER(INDEX($A:$AP,ROW(),$F$6)),INDEX($A:$AP,ROW(),$F$6),IFERROR(--SUBSTITUTE(SUBSTITUTE(TRIM(INDEX($A:$AP,ROW(),$F$6)),",",""),"원",""),0))))</f>
        <v/>
      </c>
      <c r="AU1245" s="31">
        <f>IF($AS1245="","",IF($AX1245&lt;&gt;"",SUBSTITUTE(SUBSTITUTE($AX1245,"-","")," ",""),"N:"&amp;$AV1245))</f>
        <v/>
      </c>
      <c r="AV1245" s="31">
        <f>IF(OR($AS1245="",$E$6=""),"",TRIM(INDEX($A:$AP,ROW(),$E$6)&amp;""))</f>
        <v/>
      </c>
      <c r="AW1245" s="31">
        <f>IF($AU1245="","",IF(MATCH($AU1245,$AU$8:$AU$2007,0)=ROW()-7,MAX($AW$7:$AW1244)+1,""))</f>
        <v/>
      </c>
      <c r="AX1245" s="31">
        <f>IF(OR($AS1245="",$D$6=""),"",TRIM(INDEX($A:$AP,ROW(),$D$6)&amp;""))</f>
        <v/>
      </c>
      <c r="AY1245" s="31">
        <f>IF($AU1245="","",INDEX($AW$8:$AW$2007,MATCH($AU1245,$AU$8:$AU$2007,0)))</f>
        <v/>
      </c>
      <c r="AZ1245" s="31">
        <f>IF(OR($AS1245="",$C$6=""),"",TRIM(INDEX($A:$AP,ROW(),$C$6)&amp;""))</f>
        <v/>
      </c>
      <c r="BA1245" s="31">
        <f>IF($AZ1245="","",IF(COUNTIF($AZ$8:$AZ1245,$AZ1245)&gt;1,1,0))</f>
        <v/>
      </c>
    </row>
    <row r="1246">
      <c r="AR1246" s="31">
        <f>IF(OR($A$5="",$B$6="",ROW()&lt;$A$5),"",IF(INDEX($A:$AP,ROW(),$B$6)="","",INDEX($A:$AP,ROW(),$B$6)))</f>
        <v/>
      </c>
      <c r="AS1246" s="32">
        <f>IF($AR1246="","",IF(ISNUMBER($AR1246),IF($AR1246&gt;=10000000,IFERROR(DATE(INT($AR1246/10000),MOD(INT($AR1246/100),100),MOD($AR1246,100)),""),INT($AR1246)),IFERROR(DATE(--LEFT(LEFT(SUBSTITUTE(SUBSTITUTE(SUBSTITUTE(SUBSTITUTE(TRIM($AR1246),"-",""),".",""),"/","")," ",""),8),4),--MID(LEFT(SUBSTITUTE(SUBSTITUTE(SUBSTITUTE(SUBSTITUTE(TRIM($AR1246),"-",""),".",""),"/","")," ",""),8),5,2),--MID(LEFT(SUBSTITUTE(SUBSTITUTE(SUBSTITUTE(SUBSTITUTE(TRIM($AR1246),"-",""),".",""),"/","")," ",""),8),7,2)),"")))</f>
        <v/>
      </c>
      <c r="AT1246" s="33">
        <f>IF($AS1246="","",IF($F$6="",0,IF(ISNUMBER(INDEX($A:$AP,ROW(),$F$6)),INDEX($A:$AP,ROW(),$F$6),IFERROR(--SUBSTITUTE(SUBSTITUTE(TRIM(INDEX($A:$AP,ROW(),$F$6)),",",""),"원",""),0))))</f>
        <v/>
      </c>
      <c r="AU1246" s="31">
        <f>IF($AS1246="","",IF($AX1246&lt;&gt;"",SUBSTITUTE(SUBSTITUTE($AX1246,"-","")," ",""),"N:"&amp;$AV1246))</f>
        <v/>
      </c>
      <c r="AV1246" s="31">
        <f>IF(OR($AS1246="",$E$6=""),"",TRIM(INDEX($A:$AP,ROW(),$E$6)&amp;""))</f>
        <v/>
      </c>
      <c r="AW1246" s="31">
        <f>IF($AU1246="","",IF(MATCH($AU1246,$AU$8:$AU$2007,0)=ROW()-7,MAX($AW$7:$AW1245)+1,""))</f>
        <v/>
      </c>
      <c r="AX1246" s="31">
        <f>IF(OR($AS1246="",$D$6=""),"",TRIM(INDEX($A:$AP,ROW(),$D$6)&amp;""))</f>
        <v/>
      </c>
      <c r="AY1246" s="31">
        <f>IF($AU1246="","",INDEX($AW$8:$AW$2007,MATCH($AU1246,$AU$8:$AU$2007,0)))</f>
        <v/>
      </c>
      <c r="AZ1246" s="31">
        <f>IF(OR($AS1246="",$C$6=""),"",TRIM(INDEX($A:$AP,ROW(),$C$6)&amp;""))</f>
        <v/>
      </c>
      <c r="BA1246" s="31">
        <f>IF($AZ1246="","",IF(COUNTIF($AZ$8:$AZ1246,$AZ1246)&gt;1,1,0))</f>
        <v/>
      </c>
    </row>
    <row r="1247">
      <c r="AR1247" s="31">
        <f>IF(OR($A$5="",$B$6="",ROW()&lt;$A$5),"",IF(INDEX($A:$AP,ROW(),$B$6)="","",INDEX($A:$AP,ROW(),$B$6)))</f>
        <v/>
      </c>
      <c r="AS1247" s="32">
        <f>IF($AR1247="","",IF(ISNUMBER($AR1247),IF($AR1247&gt;=10000000,IFERROR(DATE(INT($AR1247/10000),MOD(INT($AR1247/100),100),MOD($AR1247,100)),""),INT($AR1247)),IFERROR(DATE(--LEFT(LEFT(SUBSTITUTE(SUBSTITUTE(SUBSTITUTE(SUBSTITUTE(TRIM($AR1247),"-",""),".",""),"/","")," ",""),8),4),--MID(LEFT(SUBSTITUTE(SUBSTITUTE(SUBSTITUTE(SUBSTITUTE(TRIM($AR1247),"-",""),".",""),"/","")," ",""),8),5,2),--MID(LEFT(SUBSTITUTE(SUBSTITUTE(SUBSTITUTE(SUBSTITUTE(TRIM($AR1247),"-",""),".",""),"/","")," ",""),8),7,2)),"")))</f>
        <v/>
      </c>
      <c r="AT1247" s="33">
        <f>IF($AS1247="","",IF($F$6="",0,IF(ISNUMBER(INDEX($A:$AP,ROW(),$F$6)),INDEX($A:$AP,ROW(),$F$6),IFERROR(--SUBSTITUTE(SUBSTITUTE(TRIM(INDEX($A:$AP,ROW(),$F$6)),",",""),"원",""),0))))</f>
        <v/>
      </c>
      <c r="AU1247" s="31">
        <f>IF($AS1247="","",IF($AX1247&lt;&gt;"",SUBSTITUTE(SUBSTITUTE($AX1247,"-","")," ",""),"N:"&amp;$AV1247))</f>
        <v/>
      </c>
      <c r="AV1247" s="31">
        <f>IF(OR($AS1247="",$E$6=""),"",TRIM(INDEX($A:$AP,ROW(),$E$6)&amp;""))</f>
        <v/>
      </c>
      <c r="AW1247" s="31">
        <f>IF($AU1247="","",IF(MATCH($AU1247,$AU$8:$AU$2007,0)=ROW()-7,MAX($AW$7:$AW1246)+1,""))</f>
        <v/>
      </c>
      <c r="AX1247" s="31">
        <f>IF(OR($AS1247="",$D$6=""),"",TRIM(INDEX($A:$AP,ROW(),$D$6)&amp;""))</f>
        <v/>
      </c>
      <c r="AY1247" s="31">
        <f>IF($AU1247="","",INDEX($AW$8:$AW$2007,MATCH($AU1247,$AU$8:$AU$2007,0)))</f>
        <v/>
      </c>
      <c r="AZ1247" s="31">
        <f>IF(OR($AS1247="",$C$6=""),"",TRIM(INDEX($A:$AP,ROW(),$C$6)&amp;""))</f>
        <v/>
      </c>
      <c r="BA1247" s="31">
        <f>IF($AZ1247="","",IF(COUNTIF($AZ$8:$AZ1247,$AZ1247)&gt;1,1,0))</f>
        <v/>
      </c>
    </row>
    <row r="1248">
      <c r="AR1248" s="31">
        <f>IF(OR($A$5="",$B$6="",ROW()&lt;$A$5),"",IF(INDEX($A:$AP,ROW(),$B$6)="","",INDEX($A:$AP,ROW(),$B$6)))</f>
        <v/>
      </c>
      <c r="AS1248" s="32">
        <f>IF($AR1248="","",IF(ISNUMBER($AR1248),IF($AR1248&gt;=10000000,IFERROR(DATE(INT($AR1248/10000),MOD(INT($AR1248/100),100),MOD($AR1248,100)),""),INT($AR1248)),IFERROR(DATE(--LEFT(LEFT(SUBSTITUTE(SUBSTITUTE(SUBSTITUTE(SUBSTITUTE(TRIM($AR1248),"-",""),".",""),"/","")," ",""),8),4),--MID(LEFT(SUBSTITUTE(SUBSTITUTE(SUBSTITUTE(SUBSTITUTE(TRIM($AR1248),"-",""),".",""),"/","")," ",""),8),5,2),--MID(LEFT(SUBSTITUTE(SUBSTITUTE(SUBSTITUTE(SUBSTITUTE(TRIM($AR1248),"-",""),".",""),"/","")," ",""),8),7,2)),"")))</f>
        <v/>
      </c>
      <c r="AT1248" s="33">
        <f>IF($AS1248="","",IF($F$6="",0,IF(ISNUMBER(INDEX($A:$AP,ROW(),$F$6)),INDEX($A:$AP,ROW(),$F$6),IFERROR(--SUBSTITUTE(SUBSTITUTE(TRIM(INDEX($A:$AP,ROW(),$F$6)),",",""),"원",""),0))))</f>
        <v/>
      </c>
      <c r="AU1248" s="31">
        <f>IF($AS1248="","",IF($AX1248&lt;&gt;"",SUBSTITUTE(SUBSTITUTE($AX1248,"-","")," ",""),"N:"&amp;$AV1248))</f>
        <v/>
      </c>
      <c r="AV1248" s="31">
        <f>IF(OR($AS1248="",$E$6=""),"",TRIM(INDEX($A:$AP,ROW(),$E$6)&amp;""))</f>
        <v/>
      </c>
      <c r="AW1248" s="31">
        <f>IF($AU1248="","",IF(MATCH($AU1248,$AU$8:$AU$2007,0)=ROW()-7,MAX($AW$7:$AW1247)+1,""))</f>
        <v/>
      </c>
      <c r="AX1248" s="31">
        <f>IF(OR($AS1248="",$D$6=""),"",TRIM(INDEX($A:$AP,ROW(),$D$6)&amp;""))</f>
        <v/>
      </c>
      <c r="AY1248" s="31">
        <f>IF($AU1248="","",INDEX($AW$8:$AW$2007,MATCH($AU1248,$AU$8:$AU$2007,0)))</f>
        <v/>
      </c>
      <c r="AZ1248" s="31">
        <f>IF(OR($AS1248="",$C$6=""),"",TRIM(INDEX($A:$AP,ROW(),$C$6)&amp;""))</f>
        <v/>
      </c>
      <c r="BA1248" s="31">
        <f>IF($AZ1248="","",IF(COUNTIF($AZ$8:$AZ1248,$AZ1248)&gt;1,1,0))</f>
        <v/>
      </c>
    </row>
    <row r="1249">
      <c r="AR1249" s="31">
        <f>IF(OR($A$5="",$B$6="",ROW()&lt;$A$5),"",IF(INDEX($A:$AP,ROW(),$B$6)="","",INDEX($A:$AP,ROW(),$B$6)))</f>
        <v/>
      </c>
      <c r="AS1249" s="32">
        <f>IF($AR1249="","",IF(ISNUMBER($AR1249),IF($AR1249&gt;=10000000,IFERROR(DATE(INT($AR1249/10000),MOD(INT($AR1249/100),100),MOD($AR1249,100)),""),INT($AR1249)),IFERROR(DATE(--LEFT(LEFT(SUBSTITUTE(SUBSTITUTE(SUBSTITUTE(SUBSTITUTE(TRIM($AR1249),"-",""),".",""),"/","")," ",""),8),4),--MID(LEFT(SUBSTITUTE(SUBSTITUTE(SUBSTITUTE(SUBSTITUTE(TRIM($AR1249),"-",""),".",""),"/","")," ",""),8),5,2),--MID(LEFT(SUBSTITUTE(SUBSTITUTE(SUBSTITUTE(SUBSTITUTE(TRIM($AR1249),"-",""),".",""),"/","")," ",""),8),7,2)),"")))</f>
        <v/>
      </c>
      <c r="AT1249" s="33">
        <f>IF($AS1249="","",IF($F$6="",0,IF(ISNUMBER(INDEX($A:$AP,ROW(),$F$6)),INDEX($A:$AP,ROW(),$F$6),IFERROR(--SUBSTITUTE(SUBSTITUTE(TRIM(INDEX($A:$AP,ROW(),$F$6)),",",""),"원",""),0))))</f>
        <v/>
      </c>
      <c r="AU1249" s="31">
        <f>IF($AS1249="","",IF($AX1249&lt;&gt;"",SUBSTITUTE(SUBSTITUTE($AX1249,"-","")," ",""),"N:"&amp;$AV1249))</f>
        <v/>
      </c>
      <c r="AV1249" s="31">
        <f>IF(OR($AS1249="",$E$6=""),"",TRIM(INDEX($A:$AP,ROW(),$E$6)&amp;""))</f>
        <v/>
      </c>
      <c r="AW1249" s="31">
        <f>IF($AU1249="","",IF(MATCH($AU1249,$AU$8:$AU$2007,0)=ROW()-7,MAX($AW$7:$AW1248)+1,""))</f>
        <v/>
      </c>
      <c r="AX1249" s="31">
        <f>IF(OR($AS1249="",$D$6=""),"",TRIM(INDEX($A:$AP,ROW(),$D$6)&amp;""))</f>
        <v/>
      </c>
      <c r="AY1249" s="31">
        <f>IF($AU1249="","",INDEX($AW$8:$AW$2007,MATCH($AU1249,$AU$8:$AU$2007,0)))</f>
        <v/>
      </c>
      <c r="AZ1249" s="31">
        <f>IF(OR($AS1249="",$C$6=""),"",TRIM(INDEX($A:$AP,ROW(),$C$6)&amp;""))</f>
        <v/>
      </c>
      <c r="BA1249" s="31">
        <f>IF($AZ1249="","",IF(COUNTIF($AZ$8:$AZ1249,$AZ1249)&gt;1,1,0))</f>
        <v/>
      </c>
    </row>
    <row r="1250">
      <c r="AR1250" s="31">
        <f>IF(OR($A$5="",$B$6="",ROW()&lt;$A$5),"",IF(INDEX($A:$AP,ROW(),$B$6)="","",INDEX($A:$AP,ROW(),$B$6)))</f>
        <v/>
      </c>
      <c r="AS1250" s="32">
        <f>IF($AR1250="","",IF(ISNUMBER($AR1250),IF($AR1250&gt;=10000000,IFERROR(DATE(INT($AR1250/10000),MOD(INT($AR1250/100),100),MOD($AR1250,100)),""),INT($AR1250)),IFERROR(DATE(--LEFT(LEFT(SUBSTITUTE(SUBSTITUTE(SUBSTITUTE(SUBSTITUTE(TRIM($AR1250),"-",""),".",""),"/","")," ",""),8),4),--MID(LEFT(SUBSTITUTE(SUBSTITUTE(SUBSTITUTE(SUBSTITUTE(TRIM($AR1250),"-",""),".",""),"/","")," ",""),8),5,2),--MID(LEFT(SUBSTITUTE(SUBSTITUTE(SUBSTITUTE(SUBSTITUTE(TRIM($AR1250),"-",""),".",""),"/","")," ",""),8),7,2)),"")))</f>
        <v/>
      </c>
      <c r="AT1250" s="33">
        <f>IF($AS1250="","",IF($F$6="",0,IF(ISNUMBER(INDEX($A:$AP,ROW(),$F$6)),INDEX($A:$AP,ROW(),$F$6),IFERROR(--SUBSTITUTE(SUBSTITUTE(TRIM(INDEX($A:$AP,ROW(),$F$6)),",",""),"원",""),0))))</f>
        <v/>
      </c>
      <c r="AU1250" s="31">
        <f>IF($AS1250="","",IF($AX1250&lt;&gt;"",SUBSTITUTE(SUBSTITUTE($AX1250,"-","")," ",""),"N:"&amp;$AV1250))</f>
        <v/>
      </c>
      <c r="AV1250" s="31">
        <f>IF(OR($AS1250="",$E$6=""),"",TRIM(INDEX($A:$AP,ROW(),$E$6)&amp;""))</f>
        <v/>
      </c>
      <c r="AW1250" s="31">
        <f>IF($AU1250="","",IF(MATCH($AU1250,$AU$8:$AU$2007,0)=ROW()-7,MAX($AW$7:$AW1249)+1,""))</f>
        <v/>
      </c>
      <c r="AX1250" s="31">
        <f>IF(OR($AS1250="",$D$6=""),"",TRIM(INDEX($A:$AP,ROW(),$D$6)&amp;""))</f>
        <v/>
      </c>
      <c r="AY1250" s="31">
        <f>IF($AU1250="","",INDEX($AW$8:$AW$2007,MATCH($AU1250,$AU$8:$AU$2007,0)))</f>
        <v/>
      </c>
      <c r="AZ1250" s="31">
        <f>IF(OR($AS1250="",$C$6=""),"",TRIM(INDEX($A:$AP,ROW(),$C$6)&amp;""))</f>
        <v/>
      </c>
      <c r="BA1250" s="31">
        <f>IF($AZ1250="","",IF(COUNTIF($AZ$8:$AZ1250,$AZ1250)&gt;1,1,0))</f>
        <v/>
      </c>
    </row>
    <row r="1251">
      <c r="AR1251" s="31">
        <f>IF(OR($A$5="",$B$6="",ROW()&lt;$A$5),"",IF(INDEX($A:$AP,ROW(),$B$6)="","",INDEX($A:$AP,ROW(),$B$6)))</f>
        <v/>
      </c>
      <c r="AS1251" s="32">
        <f>IF($AR1251="","",IF(ISNUMBER($AR1251),IF($AR1251&gt;=10000000,IFERROR(DATE(INT($AR1251/10000),MOD(INT($AR1251/100),100),MOD($AR1251,100)),""),INT($AR1251)),IFERROR(DATE(--LEFT(LEFT(SUBSTITUTE(SUBSTITUTE(SUBSTITUTE(SUBSTITUTE(TRIM($AR1251),"-",""),".",""),"/","")," ",""),8),4),--MID(LEFT(SUBSTITUTE(SUBSTITUTE(SUBSTITUTE(SUBSTITUTE(TRIM($AR1251),"-",""),".",""),"/","")," ",""),8),5,2),--MID(LEFT(SUBSTITUTE(SUBSTITUTE(SUBSTITUTE(SUBSTITUTE(TRIM($AR1251),"-",""),".",""),"/","")," ",""),8),7,2)),"")))</f>
        <v/>
      </c>
      <c r="AT1251" s="33">
        <f>IF($AS1251="","",IF($F$6="",0,IF(ISNUMBER(INDEX($A:$AP,ROW(),$F$6)),INDEX($A:$AP,ROW(),$F$6),IFERROR(--SUBSTITUTE(SUBSTITUTE(TRIM(INDEX($A:$AP,ROW(),$F$6)),",",""),"원",""),0))))</f>
        <v/>
      </c>
      <c r="AU1251" s="31">
        <f>IF($AS1251="","",IF($AX1251&lt;&gt;"",SUBSTITUTE(SUBSTITUTE($AX1251,"-","")," ",""),"N:"&amp;$AV1251))</f>
        <v/>
      </c>
      <c r="AV1251" s="31">
        <f>IF(OR($AS1251="",$E$6=""),"",TRIM(INDEX($A:$AP,ROW(),$E$6)&amp;""))</f>
        <v/>
      </c>
      <c r="AW1251" s="31">
        <f>IF($AU1251="","",IF(MATCH($AU1251,$AU$8:$AU$2007,0)=ROW()-7,MAX($AW$7:$AW1250)+1,""))</f>
        <v/>
      </c>
      <c r="AX1251" s="31">
        <f>IF(OR($AS1251="",$D$6=""),"",TRIM(INDEX($A:$AP,ROW(),$D$6)&amp;""))</f>
        <v/>
      </c>
      <c r="AY1251" s="31">
        <f>IF($AU1251="","",INDEX($AW$8:$AW$2007,MATCH($AU1251,$AU$8:$AU$2007,0)))</f>
        <v/>
      </c>
      <c r="AZ1251" s="31">
        <f>IF(OR($AS1251="",$C$6=""),"",TRIM(INDEX($A:$AP,ROW(),$C$6)&amp;""))</f>
        <v/>
      </c>
      <c r="BA1251" s="31">
        <f>IF($AZ1251="","",IF(COUNTIF($AZ$8:$AZ1251,$AZ1251)&gt;1,1,0))</f>
        <v/>
      </c>
    </row>
    <row r="1252">
      <c r="AR1252" s="31">
        <f>IF(OR($A$5="",$B$6="",ROW()&lt;$A$5),"",IF(INDEX($A:$AP,ROW(),$B$6)="","",INDEX($A:$AP,ROW(),$B$6)))</f>
        <v/>
      </c>
      <c r="AS1252" s="32">
        <f>IF($AR1252="","",IF(ISNUMBER($AR1252),IF($AR1252&gt;=10000000,IFERROR(DATE(INT($AR1252/10000),MOD(INT($AR1252/100),100),MOD($AR1252,100)),""),INT($AR1252)),IFERROR(DATE(--LEFT(LEFT(SUBSTITUTE(SUBSTITUTE(SUBSTITUTE(SUBSTITUTE(TRIM($AR1252),"-",""),".",""),"/","")," ",""),8),4),--MID(LEFT(SUBSTITUTE(SUBSTITUTE(SUBSTITUTE(SUBSTITUTE(TRIM($AR1252),"-",""),".",""),"/","")," ",""),8),5,2),--MID(LEFT(SUBSTITUTE(SUBSTITUTE(SUBSTITUTE(SUBSTITUTE(TRIM($AR1252),"-",""),".",""),"/","")," ",""),8),7,2)),"")))</f>
        <v/>
      </c>
      <c r="AT1252" s="33">
        <f>IF($AS1252="","",IF($F$6="",0,IF(ISNUMBER(INDEX($A:$AP,ROW(),$F$6)),INDEX($A:$AP,ROW(),$F$6),IFERROR(--SUBSTITUTE(SUBSTITUTE(TRIM(INDEX($A:$AP,ROW(),$F$6)),",",""),"원",""),0))))</f>
        <v/>
      </c>
      <c r="AU1252" s="31">
        <f>IF($AS1252="","",IF($AX1252&lt;&gt;"",SUBSTITUTE(SUBSTITUTE($AX1252,"-","")," ",""),"N:"&amp;$AV1252))</f>
        <v/>
      </c>
      <c r="AV1252" s="31">
        <f>IF(OR($AS1252="",$E$6=""),"",TRIM(INDEX($A:$AP,ROW(),$E$6)&amp;""))</f>
        <v/>
      </c>
      <c r="AW1252" s="31">
        <f>IF($AU1252="","",IF(MATCH($AU1252,$AU$8:$AU$2007,0)=ROW()-7,MAX($AW$7:$AW1251)+1,""))</f>
        <v/>
      </c>
      <c r="AX1252" s="31">
        <f>IF(OR($AS1252="",$D$6=""),"",TRIM(INDEX($A:$AP,ROW(),$D$6)&amp;""))</f>
        <v/>
      </c>
      <c r="AY1252" s="31">
        <f>IF($AU1252="","",INDEX($AW$8:$AW$2007,MATCH($AU1252,$AU$8:$AU$2007,0)))</f>
        <v/>
      </c>
      <c r="AZ1252" s="31">
        <f>IF(OR($AS1252="",$C$6=""),"",TRIM(INDEX($A:$AP,ROW(),$C$6)&amp;""))</f>
        <v/>
      </c>
      <c r="BA1252" s="31">
        <f>IF($AZ1252="","",IF(COUNTIF($AZ$8:$AZ1252,$AZ1252)&gt;1,1,0))</f>
        <v/>
      </c>
    </row>
    <row r="1253">
      <c r="AR1253" s="31">
        <f>IF(OR($A$5="",$B$6="",ROW()&lt;$A$5),"",IF(INDEX($A:$AP,ROW(),$B$6)="","",INDEX($A:$AP,ROW(),$B$6)))</f>
        <v/>
      </c>
      <c r="AS1253" s="32">
        <f>IF($AR1253="","",IF(ISNUMBER($AR1253),IF($AR1253&gt;=10000000,IFERROR(DATE(INT($AR1253/10000),MOD(INT($AR1253/100),100),MOD($AR1253,100)),""),INT($AR1253)),IFERROR(DATE(--LEFT(LEFT(SUBSTITUTE(SUBSTITUTE(SUBSTITUTE(SUBSTITUTE(TRIM($AR1253),"-",""),".",""),"/","")," ",""),8),4),--MID(LEFT(SUBSTITUTE(SUBSTITUTE(SUBSTITUTE(SUBSTITUTE(TRIM($AR1253),"-",""),".",""),"/","")," ",""),8),5,2),--MID(LEFT(SUBSTITUTE(SUBSTITUTE(SUBSTITUTE(SUBSTITUTE(TRIM($AR1253),"-",""),".",""),"/","")," ",""),8),7,2)),"")))</f>
        <v/>
      </c>
      <c r="AT1253" s="33">
        <f>IF($AS1253="","",IF($F$6="",0,IF(ISNUMBER(INDEX($A:$AP,ROW(),$F$6)),INDEX($A:$AP,ROW(),$F$6),IFERROR(--SUBSTITUTE(SUBSTITUTE(TRIM(INDEX($A:$AP,ROW(),$F$6)),",",""),"원",""),0))))</f>
        <v/>
      </c>
      <c r="AU1253" s="31">
        <f>IF($AS1253="","",IF($AX1253&lt;&gt;"",SUBSTITUTE(SUBSTITUTE($AX1253,"-","")," ",""),"N:"&amp;$AV1253))</f>
        <v/>
      </c>
      <c r="AV1253" s="31">
        <f>IF(OR($AS1253="",$E$6=""),"",TRIM(INDEX($A:$AP,ROW(),$E$6)&amp;""))</f>
        <v/>
      </c>
      <c r="AW1253" s="31">
        <f>IF($AU1253="","",IF(MATCH($AU1253,$AU$8:$AU$2007,0)=ROW()-7,MAX($AW$7:$AW1252)+1,""))</f>
        <v/>
      </c>
      <c r="AX1253" s="31">
        <f>IF(OR($AS1253="",$D$6=""),"",TRIM(INDEX($A:$AP,ROW(),$D$6)&amp;""))</f>
        <v/>
      </c>
      <c r="AY1253" s="31">
        <f>IF($AU1253="","",INDEX($AW$8:$AW$2007,MATCH($AU1253,$AU$8:$AU$2007,0)))</f>
        <v/>
      </c>
      <c r="AZ1253" s="31">
        <f>IF(OR($AS1253="",$C$6=""),"",TRIM(INDEX($A:$AP,ROW(),$C$6)&amp;""))</f>
        <v/>
      </c>
      <c r="BA1253" s="31">
        <f>IF($AZ1253="","",IF(COUNTIF($AZ$8:$AZ1253,$AZ1253)&gt;1,1,0))</f>
        <v/>
      </c>
    </row>
    <row r="1254">
      <c r="AR1254" s="31">
        <f>IF(OR($A$5="",$B$6="",ROW()&lt;$A$5),"",IF(INDEX($A:$AP,ROW(),$B$6)="","",INDEX($A:$AP,ROW(),$B$6)))</f>
        <v/>
      </c>
      <c r="AS1254" s="32">
        <f>IF($AR1254="","",IF(ISNUMBER($AR1254),IF($AR1254&gt;=10000000,IFERROR(DATE(INT($AR1254/10000),MOD(INT($AR1254/100),100),MOD($AR1254,100)),""),INT($AR1254)),IFERROR(DATE(--LEFT(LEFT(SUBSTITUTE(SUBSTITUTE(SUBSTITUTE(SUBSTITUTE(TRIM($AR1254),"-",""),".",""),"/","")," ",""),8),4),--MID(LEFT(SUBSTITUTE(SUBSTITUTE(SUBSTITUTE(SUBSTITUTE(TRIM($AR1254),"-",""),".",""),"/","")," ",""),8),5,2),--MID(LEFT(SUBSTITUTE(SUBSTITUTE(SUBSTITUTE(SUBSTITUTE(TRIM($AR1254),"-",""),".",""),"/","")," ",""),8),7,2)),"")))</f>
        <v/>
      </c>
      <c r="AT1254" s="33">
        <f>IF($AS1254="","",IF($F$6="",0,IF(ISNUMBER(INDEX($A:$AP,ROW(),$F$6)),INDEX($A:$AP,ROW(),$F$6),IFERROR(--SUBSTITUTE(SUBSTITUTE(TRIM(INDEX($A:$AP,ROW(),$F$6)),",",""),"원",""),0))))</f>
        <v/>
      </c>
      <c r="AU1254" s="31">
        <f>IF($AS1254="","",IF($AX1254&lt;&gt;"",SUBSTITUTE(SUBSTITUTE($AX1254,"-","")," ",""),"N:"&amp;$AV1254))</f>
        <v/>
      </c>
      <c r="AV1254" s="31">
        <f>IF(OR($AS1254="",$E$6=""),"",TRIM(INDEX($A:$AP,ROW(),$E$6)&amp;""))</f>
        <v/>
      </c>
      <c r="AW1254" s="31">
        <f>IF($AU1254="","",IF(MATCH($AU1254,$AU$8:$AU$2007,0)=ROW()-7,MAX($AW$7:$AW1253)+1,""))</f>
        <v/>
      </c>
      <c r="AX1254" s="31">
        <f>IF(OR($AS1254="",$D$6=""),"",TRIM(INDEX($A:$AP,ROW(),$D$6)&amp;""))</f>
        <v/>
      </c>
      <c r="AY1254" s="31">
        <f>IF($AU1254="","",INDEX($AW$8:$AW$2007,MATCH($AU1254,$AU$8:$AU$2007,0)))</f>
        <v/>
      </c>
      <c r="AZ1254" s="31">
        <f>IF(OR($AS1254="",$C$6=""),"",TRIM(INDEX($A:$AP,ROW(),$C$6)&amp;""))</f>
        <v/>
      </c>
      <c r="BA1254" s="31">
        <f>IF($AZ1254="","",IF(COUNTIF($AZ$8:$AZ1254,$AZ1254)&gt;1,1,0))</f>
        <v/>
      </c>
    </row>
    <row r="1255">
      <c r="AR1255" s="31">
        <f>IF(OR($A$5="",$B$6="",ROW()&lt;$A$5),"",IF(INDEX($A:$AP,ROW(),$B$6)="","",INDEX($A:$AP,ROW(),$B$6)))</f>
        <v/>
      </c>
      <c r="AS1255" s="32">
        <f>IF($AR1255="","",IF(ISNUMBER($AR1255),IF($AR1255&gt;=10000000,IFERROR(DATE(INT($AR1255/10000),MOD(INT($AR1255/100),100),MOD($AR1255,100)),""),INT($AR1255)),IFERROR(DATE(--LEFT(LEFT(SUBSTITUTE(SUBSTITUTE(SUBSTITUTE(SUBSTITUTE(TRIM($AR1255),"-",""),".",""),"/","")," ",""),8),4),--MID(LEFT(SUBSTITUTE(SUBSTITUTE(SUBSTITUTE(SUBSTITUTE(TRIM($AR1255),"-",""),".",""),"/","")," ",""),8),5,2),--MID(LEFT(SUBSTITUTE(SUBSTITUTE(SUBSTITUTE(SUBSTITUTE(TRIM($AR1255),"-",""),".",""),"/","")," ",""),8),7,2)),"")))</f>
        <v/>
      </c>
      <c r="AT1255" s="33">
        <f>IF($AS1255="","",IF($F$6="",0,IF(ISNUMBER(INDEX($A:$AP,ROW(),$F$6)),INDEX($A:$AP,ROW(),$F$6),IFERROR(--SUBSTITUTE(SUBSTITUTE(TRIM(INDEX($A:$AP,ROW(),$F$6)),",",""),"원",""),0))))</f>
        <v/>
      </c>
      <c r="AU1255" s="31">
        <f>IF($AS1255="","",IF($AX1255&lt;&gt;"",SUBSTITUTE(SUBSTITUTE($AX1255,"-","")," ",""),"N:"&amp;$AV1255))</f>
        <v/>
      </c>
      <c r="AV1255" s="31">
        <f>IF(OR($AS1255="",$E$6=""),"",TRIM(INDEX($A:$AP,ROW(),$E$6)&amp;""))</f>
        <v/>
      </c>
      <c r="AW1255" s="31">
        <f>IF($AU1255="","",IF(MATCH($AU1255,$AU$8:$AU$2007,0)=ROW()-7,MAX($AW$7:$AW1254)+1,""))</f>
        <v/>
      </c>
      <c r="AX1255" s="31">
        <f>IF(OR($AS1255="",$D$6=""),"",TRIM(INDEX($A:$AP,ROW(),$D$6)&amp;""))</f>
        <v/>
      </c>
      <c r="AY1255" s="31">
        <f>IF($AU1255="","",INDEX($AW$8:$AW$2007,MATCH($AU1255,$AU$8:$AU$2007,0)))</f>
        <v/>
      </c>
      <c r="AZ1255" s="31">
        <f>IF(OR($AS1255="",$C$6=""),"",TRIM(INDEX($A:$AP,ROW(),$C$6)&amp;""))</f>
        <v/>
      </c>
      <c r="BA1255" s="31">
        <f>IF($AZ1255="","",IF(COUNTIF($AZ$8:$AZ1255,$AZ1255)&gt;1,1,0))</f>
        <v/>
      </c>
    </row>
    <row r="1256">
      <c r="AR1256" s="31">
        <f>IF(OR($A$5="",$B$6="",ROW()&lt;$A$5),"",IF(INDEX($A:$AP,ROW(),$B$6)="","",INDEX($A:$AP,ROW(),$B$6)))</f>
        <v/>
      </c>
      <c r="AS1256" s="32">
        <f>IF($AR1256="","",IF(ISNUMBER($AR1256),IF($AR1256&gt;=10000000,IFERROR(DATE(INT($AR1256/10000),MOD(INT($AR1256/100),100),MOD($AR1256,100)),""),INT($AR1256)),IFERROR(DATE(--LEFT(LEFT(SUBSTITUTE(SUBSTITUTE(SUBSTITUTE(SUBSTITUTE(TRIM($AR1256),"-",""),".",""),"/","")," ",""),8),4),--MID(LEFT(SUBSTITUTE(SUBSTITUTE(SUBSTITUTE(SUBSTITUTE(TRIM($AR1256),"-",""),".",""),"/","")," ",""),8),5,2),--MID(LEFT(SUBSTITUTE(SUBSTITUTE(SUBSTITUTE(SUBSTITUTE(TRIM($AR1256),"-",""),".",""),"/","")," ",""),8),7,2)),"")))</f>
        <v/>
      </c>
      <c r="AT1256" s="33">
        <f>IF($AS1256="","",IF($F$6="",0,IF(ISNUMBER(INDEX($A:$AP,ROW(),$F$6)),INDEX($A:$AP,ROW(),$F$6),IFERROR(--SUBSTITUTE(SUBSTITUTE(TRIM(INDEX($A:$AP,ROW(),$F$6)),",",""),"원",""),0))))</f>
        <v/>
      </c>
      <c r="AU1256" s="31">
        <f>IF($AS1256="","",IF($AX1256&lt;&gt;"",SUBSTITUTE(SUBSTITUTE($AX1256,"-","")," ",""),"N:"&amp;$AV1256))</f>
        <v/>
      </c>
      <c r="AV1256" s="31">
        <f>IF(OR($AS1256="",$E$6=""),"",TRIM(INDEX($A:$AP,ROW(),$E$6)&amp;""))</f>
        <v/>
      </c>
      <c r="AW1256" s="31">
        <f>IF($AU1256="","",IF(MATCH($AU1256,$AU$8:$AU$2007,0)=ROW()-7,MAX($AW$7:$AW1255)+1,""))</f>
        <v/>
      </c>
      <c r="AX1256" s="31">
        <f>IF(OR($AS1256="",$D$6=""),"",TRIM(INDEX($A:$AP,ROW(),$D$6)&amp;""))</f>
        <v/>
      </c>
      <c r="AY1256" s="31">
        <f>IF($AU1256="","",INDEX($AW$8:$AW$2007,MATCH($AU1256,$AU$8:$AU$2007,0)))</f>
        <v/>
      </c>
      <c r="AZ1256" s="31">
        <f>IF(OR($AS1256="",$C$6=""),"",TRIM(INDEX($A:$AP,ROW(),$C$6)&amp;""))</f>
        <v/>
      </c>
      <c r="BA1256" s="31">
        <f>IF($AZ1256="","",IF(COUNTIF($AZ$8:$AZ1256,$AZ1256)&gt;1,1,0))</f>
        <v/>
      </c>
    </row>
    <row r="1257">
      <c r="AR1257" s="31">
        <f>IF(OR($A$5="",$B$6="",ROW()&lt;$A$5),"",IF(INDEX($A:$AP,ROW(),$B$6)="","",INDEX($A:$AP,ROW(),$B$6)))</f>
        <v/>
      </c>
      <c r="AS1257" s="32">
        <f>IF($AR1257="","",IF(ISNUMBER($AR1257),IF($AR1257&gt;=10000000,IFERROR(DATE(INT($AR1257/10000),MOD(INT($AR1257/100),100),MOD($AR1257,100)),""),INT($AR1257)),IFERROR(DATE(--LEFT(LEFT(SUBSTITUTE(SUBSTITUTE(SUBSTITUTE(SUBSTITUTE(TRIM($AR1257),"-",""),".",""),"/","")," ",""),8),4),--MID(LEFT(SUBSTITUTE(SUBSTITUTE(SUBSTITUTE(SUBSTITUTE(TRIM($AR1257),"-",""),".",""),"/","")," ",""),8),5,2),--MID(LEFT(SUBSTITUTE(SUBSTITUTE(SUBSTITUTE(SUBSTITUTE(TRIM($AR1257),"-",""),".",""),"/","")," ",""),8),7,2)),"")))</f>
        <v/>
      </c>
      <c r="AT1257" s="33">
        <f>IF($AS1257="","",IF($F$6="",0,IF(ISNUMBER(INDEX($A:$AP,ROW(),$F$6)),INDEX($A:$AP,ROW(),$F$6),IFERROR(--SUBSTITUTE(SUBSTITUTE(TRIM(INDEX($A:$AP,ROW(),$F$6)),",",""),"원",""),0))))</f>
        <v/>
      </c>
      <c r="AU1257" s="31">
        <f>IF($AS1257="","",IF($AX1257&lt;&gt;"",SUBSTITUTE(SUBSTITUTE($AX1257,"-","")," ",""),"N:"&amp;$AV1257))</f>
        <v/>
      </c>
      <c r="AV1257" s="31">
        <f>IF(OR($AS1257="",$E$6=""),"",TRIM(INDEX($A:$AP,ROW(),$E$6)&amp;""))</f>
        <v/>
      </c>
      <c r="AW1257" s="31">
        <f>IF($AU1257="","",IF(MATCH($AU1257,$AU$8:$AU$2007,0)=ROW()-7,MAX($AW$7:$AW1256)+1,""))</f>
        <v/>
      </c>
      <c r="AX1257" s="31">
        <f>IF(OR($AS1257="",$D$6=""),"",TRIM(INDEX($A:$AP,ROW(),$D$6)&amp;""))</f>
        <v/>
      </c>
      <c r="AY1257" s="31">
        <f>IF($AU1257="","",INDEX($AW$8:$AW$2007,MATCH($AU1257,$AU$8:$AU$2007,0)))</f>
        <v/>
      </c>
      <c r="AZ1257" s="31">
        <f>IF(OR($AS1257="",$C$6=""),"",TRIM(INDEX($A:$AP,ROW(),$C$6)&amp;""))</f>
        <v/>
      </c>
      <c r="BA1257" s="31">
        <f>IF($AZ1257="","",IF(COUNTIF($AZ$8:$AZ1257,$AZ1257)&gt;1,1,0))</f>
        <v/>
      </c>
    </row>
    <row r="1258">
      <c r="AR1258" s="31">
        <f>IF(OR($A$5="",$B$6="",ROW()&lt;$A$5),"",IF(INDEX($A:$AP,ROW(),$B$6)="","",INDEX($A:$AP,ROW(),$B$6)))</f>
        <v/>
      </c>
      <c r="AS1258" s="32">
        <f>IF($AR1258="","",IF(ISNUMBER($AR1258),IF($AR1258&gt;=10000000,IFERROR(DATE(INT($AR1258/10000),MOD(INT($AR1258/100),100),MOD($AR1258,100)),""),INT($AR1258)),IFERROR(DATE(--LEFT(LEFT(SUBSTITUTE(SUBSTITUTE(SUBSTITUTE(SUBSTITUTE(TRIM($AR1258),"-",""),".",""),"/","")," ",""),8),4),--MID(LEFT(SUBSTITUTE(SUBSTITUTE(SUBSTITUTE(SUBSTITUTE(TRIM($AR1258),"-",""),".",""),"/","")," ",""),8),5,2),--MID(LEFT(SUBSTITUTE(SUBSTITUTE(SUBSTITUTE(SUBSTITUTE(TRIM($AR1258),"-",""),".",""),"/","")," ",""),8),7,2)),"")))</f>
        <v/>
      </c>
      <c r="AT1258" s="33">
        <f>IF($AS1258="","",IF($F$6="",0,IF(ISNUMBER(INDEX($A:$AP,ROW(),$F$6)),INDEX($A:$AP,ROW(),$F$6),IFERROR(--SUBSTITUTE(SUBSTITUTE(TRIM(INDEX($A:$AP,ROW(),$F$6)),",",""),"원",""),0))))</f>
        <v/>
      </c>
      <c r="AU1258" s="31">
        <f>IF($AS1258="","",IF($AX1258&lt;&gt;"",SUBSTITUTE(SUBSTITUTE($AX1258,"-","")," ",""),"N:"&amp;$AV1258))</f>
        <v/>
      </c>
      <c r="AV1258" s="31">
        <f>IF(OR($AS1258="",$E$6=""),"",TRIM(INDEX($A:$AP,ROW(),$E$6)&amp;""))</f>
        <v/>
      </c>
      <c r="AW1258" s="31">
        <f>IF($AU1258="","",IF(MATCH($AU1258,$AU$8:$AU$2007,0)=ROW()-7,MAX($AW$7:$AW1257)+1,""))</f>
        <v/>
      </c>
      <c r="AX1258" s="31">
        <f>IF(OR($AS1258="",$D$6=""),"",TRIM(INDEX($A:$AP,ROW(),$D$6)&amp;""))</f>
        <v/>
      </c>
      <c r="AY1258" s="31">
        <f>IF($AU1258="","",INDEX($AW$8:$AW$2007,MATCH($AU1258,$AU$8:$AU$2007,0)))</f>
        <v/>
      </c>
      <c r="AZ1258" s="31">
        <f>IF(OR($AS1258="",$C$6=""),"",TRIM(INDEX($A:$AP,ROW(),$C$6)&amp;""))</f>
        <v/>
      </c>
      <c r="BA1258" s="31">
        <f>IF($AZ1258="","",IF(COUNTIF($AZ$8:$AZ1258,$AZ1258)&gt;1,1,0))</f>
        <v/>
      </c>
    </row>
    <row r="1259">
      <c r="AR1259" s="31">
        <f>IF(OR($A$5="",$B$6="",ROW()&lt;$A$5),"",IF(INDEX($A:$AP,ROW(),$B$6)="","",INDEX($A:$AP,ROW(),$B$6)))</f>
        <v/>
      </c>
      <c r="AS1259" s="32">
        <f>IF($AR1259="","",IF(ISNUMBER($AR1259),IF($AR1259&gt;=10000000,IFERROR(DATE(INT($AR1259/10000),MOD(INT($AR1259/100),100),MOD($AR1259,100)),""),INT($AR1259)),IFERROR(DATE(--LEFT(LEFT(SUBSTITUTE(SUBSTITUTE(SUBSTITUTE(SUBSTITUTE(TRIM($AR1259),"-",""),".",""),"/","")," ",""),8),4),--MID(LEFT(SUBSTITUTE(SUBSTITUTE(SUBSTITUTE(SUBSTITUTE(TRIM($AR1259),"-",""),".",""),"/","")," ",""),8),5,2),--MID(LEFT(SUBSTITUTE(SUBSTITUTE(SUBSTITUTE(SUBSTITUTE(TRIM($AR1259),"-",""),".",""),"/","")," ",""),8),7,2)),"")))</f>
        <v/>
      </c>
      <c r="AT1259" s="33">
        <f>IF($AS1259="","",IF($F$6="",0,IF(ISNUMBER(INDEX($A:$AP,ROW(),$F$6)),INDEX($A:$AP,ROW(),$F$6),IFERROR(--SUBSTITUTE(SUBSTITUTE(TRIM(INDEX($A:$AP,ROW(),$F$6)),",",""),"원",""),0))))</f>
        <v/>
      </c>
      <c r="AU1259" s="31">
        <f>IF($AS1259="","",IF($AX1259&lt;&gt;"",SUBSTITUTE(SUBSTITUTE($AX1259,"-","")," ",""),"N:"&amp;$AV1259))</f>
        <v/>
      </c>
      <c r="AV1259" s="31">
        <f>IF(OR($AS1259="",$E$6=""),"",TRIM(INDEX($A:$AP,ROW(),$E$6)&amp;""))</f>
        <v/>
      </c>
      <c r="AW1259" s="31">
        <f>IF($AU1259="","",IF(MATCH($AU1259,$AU$8:$AU$2007,0)=ROW()-7,MAX($AW$7:$AW1258)+1,""))</f>
        <v/>
      </c>
      <c r="AX1259" s="31">
        <f>IF(OR($AS1259="",$D$6=""),"",TRIM(INDEX($A:$AP,ROW(),$D$6)&amp;""))</f>
        <v/>
      </c>
      <c r="AY1259" s="31">
        <f>IF($AU1259="","",INDEX($AW$8:$AW$2007,MATCH($AU1259,$AU$8:$AU$2007,0)))</f>
        <v/>
      </c>
      <c r="AZ1259" s="31">
        <f>IF(OR($AS1259="",$C$6=""),"",TRIM(INDEX($A:$AP,ROW(),$C$6)&amp;""))</f>
        <v/>
      </c>
      <c r="BA1259" s="31">
        <f>IF($AZ1259="","",IF(COUNTIF($AZ$8:$AZ1259,$AZ1259)&gt;1,1,0))</f>
        <v/>
      </c>
    </row>
    <row r="1260">
      <c r="AR1260" s="31">
        <f>IF(OR($A$5="",$B$6="",ROW()&lt;$A$5),"",IF(INDEX($A:$AP,ROW(),$B$6)="","",INDEX($A:$AP,ROW(),$B$6)))</f>
        <v/>
      </c>
      <c r="AS1260" s="32">
        <f>IF($AR1260="","",IF(ISNUMBER($AR1260),IF($AR1260&gt;=10000000,IFERROR(DATE(INT($AR1260/10000),MOD(INT($AR1260/100),100),MOD($AR1260,100)),""),INT($AR1260)),IFERROR(DATE(--LEFT(LEFT(SUBSTITUTE(SUBSTITUTE(SUBSTITUTE(SUBSTITUTE(TRIM($AR1260),"-",""),".",""),"/","")," ",""),8),4),--MID(LEFT(SUBSTITUTE(SUBSTITUTE(SUBSTITUTE(SUBSTITUTE(TRIM($AR1260),"-",""),".",""),"/","")," ",""),8),5,2),--MID(LEFT(SUBSTITUTE(SUBSTITUTE(SUBSTITUTE(SUBSTITUTE(TRIM($AR1260),"-",""),".",""),"/","")," ",""),8),7,2)),"")))</f>
        <v/>
      </c>
      <c r="AT1260" s="33">
        <f>IF($AS1260="","",IF($F$6="",0,IF(ISNUMBER(INDEX($A:$AP,ROW(),$F$6)),INDEX($A:$AP,ROW(),$F$6),IFERROR(--SUBSTITUTE(SUBSTITUTE(TRIM(INDEX($A:$AP,ROW(),$F$6)),",",""),"원",""),0))))</f>
        <v/>
      </c>
      <c r="AU1260" s="31">
        <f>IF($AS1260="","",IF($AX1260&lt;&gt;"",SUBSTITUTE(SUBSTITUTE($AX1260,"-","")," ",""),"N:"&amp;$AV1260))</f>
        <v/>
      </c>
      <c r="AV1260" s="31">
        <f>IF(OR($AS1260="",$E$6=""),"",TRIM(INDEX($A:$AP,ROW(),$E$6)&amp;""))</f>
        <v/>
      </c>
      <c r="AW1260" s="31">
        <f>IF($AU1260="","",IF(MATCH($AU1260,$AU$8:$AU$2007,0)=ROW()-7,MAX($AW$7:$AW1259)+1,""))</f>
        <v/>
      </c>
      <c r="AX1260" s="31">
        <f>IF(OR($AS1260="",$D$6=""),"",TRIM(INDEX($A:$AP,ROW(),$D$6)&amp;""))</f>
        <v/>
      </c>
      <c r="AY1260" s="31">
        <f>IF($AU1260="","",INDEX($AW$8:$AW$2007,MATCH($AU1260,$AU$8:$AU$2007,0)))</f>
        <v/>
      </c>
      <c r="AZ1260" s="31">
        <f>IF(OR($AS1260="",$C$6=""),"",TRIM(INDEX($A:$AP,ROW(),$C$6)&amp;""))</f>
        <v/>
      </c>
      <c r="BA1260" s="31">
        <f>IF($AZ1260="","",IF(COUNTIF($AZ$8:$AZ1260,$AZ1260)&gt;1,1,0))</f>
        <v/>
      </c>
    </row>
    <row r="1261">
      <c r="AR1261" s="31">
        <f>IF(OR($A$5="",$B$6="",ROW()&lt;$A$5),"",IF(INDEX($A:$AP,ROW(),$B$6)="","",INDEX($A:$AP,ROW(),$B$6)))</f>
        <v/>
      </c>
      <c r="AS1261" s="32">
        <f>IF($AR1261="","",IF(ISNUMBER($AR1261),IF($AR1261&gt;=10000000,IFERROR(DATE(INT($AR1261/10000),MOD(INT($AR1261/100),100),MOD($AR1261,100)),""),INT($AR1261)),IFERROR(DATE(--LEFT(LEFT(SUBSTITUTE(SUBSTITUTE(SUBSTITUTE(SUBSTITUTE(TRIM($AR1261),"-",""),".",""),"/","")," ",""),8),4),--MID(LEFT(SUBSTITUTE(SUBSTITUTE(SUBSTITUTE(SUBSTITUTE(TRIM($AR1261),"-",""),".",""),"/","")," ",""),8),5,2),--MID(LEFT(SUBSTITUTE(SUBSTITUTE(SUBSTITUTE(SUBSTITUTE(TRIM($AR1261),"-",""),".",""),"/","")," ",""),8),7,2)),"")))</f>
        <v/>
      </c>
      <c r="AT1261" s="33">
        <f>IF($AS1261="","",IF($F$6="",0,IF(ISNUMBER(INDEX($A:$AP,ROW(),$F$6)),INDEX($A:$AP,ROW(),$F$6),IFERROR(--SUBSTITUTE(SUBSTITUTE(TRIM(INDEX($A:$AP,ROW(),$F$6)),",",""),"원",""),0))))</f>
        <v/>
      </c>
      <c r="AU1261" s="31">
        <f>IF($AS1261="","",IF($AX1261&lt;&gt;"",SUBSTITUTE(SUBSTITUTE($AX1261,"-","")," ",""),"N:"&amp;$AV1261))</f>
        <v/>
      </c>
      <c r="AV1261" s="31">
        <f>IF(OR($AS1261="",$E$6=""),"",TRIM(INDEX($A:$AP,ROW(),$E$6)&amp;""))</f>
        <v/>
      </c>
      <c r="AW1261" s="31">
        <f>IF($AU1261="","",IF(MATCH($AU1261,$AU$8:$AU$2007,0)=ROW()-7,MAX($AW$7:$AW1260)+1,""))</f>
        <v/>
      </c>
      <c r="AX1261" s="31">
        <f>IF(OR($AS1261="",$D$6=""),"",TRIM(INDEX($A:$AP,ROW(),$D$6)&amp;""))</f>
        <v/>
      </c>
      <c r="AY1261" s="31">
        <f>IF($AU1261="","",INDEX($AW$8:$AW$2007,MATCH($AU1261,$AU$8:$AU$2007,0)))</f>
        <v/>
      </c>
      <c r="AZ1261" s="31">
        <f>IF(OR($AS1261="",$C$6=""),"",TRIM(INDEX($A:$AP,ROW(),$C$6)&amp;""))</f>
        <v/>
      </c>
      <c r="BA1261" s="31">
        <f>IF($AZ1261="","",IF(COUNTIF($AZ$8:$AZ1261,$AZ1261)&gt;1,1,0))</f>
        <v/>
      </c>
    </row>
    <row r="1262">
      <c r="AR1262" s="31">
        <f>IF(OR($A$5="",$B$6="",ROW()&lt;$A$5),"",IF(INDEX($A:$AP,ROW(),$B$6)="","",INDEX($A:$AP,ROW(),$B$6)))</f>
        <v/>
      </c>
      <c r="AS1262" s="32">
        <f>IF($AR1262="","",IF(ISNUMBER($AR1262),IF($AR1262&gt;=10000000,IFERROR(DATE(INT($AR1262/10000),MOD(INT($AR1262/100),100),MOD($AR1262,100)),""),INT($AR1262)),IFERROR(DATE(--LEFT(LEFT(SUBSTITUTE(SUBSTITUTE(SUBSTITUTE(SUBSTITUTE(TRIM($AR1262),"-",""),".",""),"/","")," ",""),8),4),--MID(LEFT(SUBSTITUTE(SUBSTITUTE(SUBSTITUTE(SUBSTITUTE(TRIM($AR1262),"-",""),".",""),"/","")," ",""),8),5,2),--MID(LEFT(SUBSTITUTE(SUBSTITUTE(SUBSTITUTE(SUBSTITUTE(TRIM($AR1262),"-",""),".",""),"/","")," ",""),8),7,2)),"")))</f>
        <v/>
      </c>
      <c r="AT1262" s="33">
        <f>IF($AS1262="","",IF($F$6="",0,IF(ISNUMBER(INDEX($A:$AP,ROW(),$F$6)),INDEX($A:$AP,ROW(),$F$6),IFERROR(--SUBSTITUTE(SUBSTITUTE(TRIM(INDEX($A:$AP,ROW(),$F$6)),",",""),"원",""),0))))</f>
        <v/>
      </c>
      <c r="AU1262" s="31">
        <f>IF($AS1262="","",IF($AX1262&lt;&gt;"",SUBSTITUTE(SUBSTITUTE($AX1262,"-","")," ",""),"N:"&amp;$AV1262))</f>
        <v/>
      </c>
      <c r="AV1262" s="31">
        <f>IF(OR($AS1262="",$E$6=""),"",TRIM(INDEX($A:$AP,ROW(),$E$6)&amp;""))</f>
        <v/>
      </c>
      <c r="AW1262" s="31">
        <f>IF($AU1262="","",IF(MATCH($AU1262,$AU$8:$AU$2007,0)=ROW()-7,MAX($AW$7:$AW1261)+1,""))</f>
        <v/>
      </c>
      <c r="AX1262" s="31">
        <f>IF(OR($AS1262="",$D$6=""),"",TRIM(INDEX($A:$AP,ROW(),$D$6)&amp;""))</f>
        <v/>
      </c>
      <c r="AY1262" s="31">
        <f>IF($AU1262="","",INDEX($AW$8:$AW$2007,MATCH($AU1262,$AU$8:$AU$2007,0)))</f>
        <v/>
      </c>
      <c r="AZ1262" s="31">
        <f>IF(OR($AS1262="",$C$6=""),"",TRIM(INDEX($A:$AP,ROW(),$C$6)&amp;""))</f>
        <v/>
      </c>
      <c r="BA1262" s="31">
        <f>IF($AZ1262="","",IF(COUNTIF($AZ$8:$AZ1262,$AZ1262)&gt;1,1,0))</f>
        <v/>
      </c>
    </row>
    <row r="1263">
      <c r="AR1263" s="31">
        <f>IF(OR($A$5="",$B$6="",ROW()&lt;$A$5),"",IF(INDEX($A:$AP,ROW(),$B$6)="","",INDEX($A:$AP,ROW(),$B$6)))</f>
        <v/>
      </c>
      <c r="AS1263" s="32">
        <f>IF($AR1263="","",IF(ISNUMBER($AR1263),IF($AR1263&gt;=10000000,IFERROR(DATE(INT($AR1263/10000),MOD(INT($AR1263/100),100),MOD($AR1263,100)),""),INT($AR1263)),IFERROR(DATE(--LEFT(LEFT(SUBSTITUTE(SUBSTITUTE(SUBSTITUTE(SUBSTITUTE(TRIM($AR1263),"-",""),".",""),"/","")," ",""),8),4),--MID(LEFT(SUBSTITUTE(SUBSTITUTE(SUBSTITUTE(SUBSTITUTE(TRIM($AR1263),"-",""),".",""),"/","")," ",""),8),5,2),--MID(LEFT(SUBSTITUTE(SUBSTITUTE(SUBSTITUTE(SUBSTITUTE(TRIM($AR1263),"-",""),".",""),"/","")," ",""),8),7,2)),"")))</f>
        <v/>
      </c>
      <c r="AT1263" s="33">
        <f>IF($AS1263="","",IF($F$6="",0,IF(ISNUMBER(INDEX($A:$AP,ROW(),$F$6)),INDEX($A:$AP,ROW(),$F$6),IFERROR(--SUBSTITUTE(SUBSTITUTE(TRIM(INDEX($A:$AP,ROW(),$F$6)),",",""),"원",""),0))))</f>
        <v/>
      </c>
      <c r="AU1263" s="31">
        <f>IF($AS1263="","",IF($AX1263&lt;&gt;"",SUBSTITUTE(SUBSTITUTE($AX1263,"-","")," ",""),"N:"&amp;$AV1263))</f>
        <v/>
      </c>
      <c r="AV1263" s="31">
        <f>IF(OR($AS1263="",$E$6=""),"",TRIM(INDEX($A:$AP,ROW(),$E$6)&amp;""))</f>
        <v/>
      </c>
      <c r="AW1263" s="31">
        <f>IF($AU1263="","",IF(MATCH($AU1263,$AU$8:$AU$2007,0)=ROW()-7,MAX($AW$7:$AW1262)+1,""))</f>
        <v/>
      </c>
      <c r="AX1263" s="31">
        <f>IF(OR($AS1263="",$D$6=""),"",TRIM(INDEX($A:$AP,ROW(),$D$6)&amp;""))</f>
        <v/>
      </c>
      <c r="AY1263" s="31">
        <f>IF($AU1263="","",INDEX($AW$8:$AW$2007,MATCH($AU1263,$AU$8:$AU$2007,0)))</f>
        <v/>
      </c>
      <c r="AZ1263" s="31">
        <f>IF(OR($AS1263="",$C$6=""),"",TRIM(INDEX($A:$AP,ROW(),$C$6)&amp;""))</f>
        <v/>
      </c>
      <c r="BA1263" s="31">
        <f>IF($AZ1263="","",IF(COUNTIF($AZ$8:$AZ1263,$AZ1263)&gt;1,1,0))</f>
        <v/>
      </c>
    </row>
    <row r="1264">
      <c r="AR1264" s="31">
        <f>IF(OR($A$5="",$B$6="",ROW()&lt;$A$5),"",IF(INDEX($A:$AP,ROW(),$B$6)="","",INDEX($A:$AP,ROW(),$B$6)))</f>
        <v/>
      </c>
      <c r="AS1264" s="32">
        <f>IF($AR1264="","",IF(ISNUMBER($AR1264),IF($AR1264&gt;=10000000,IFERROR(DATE(INT($AR1264/10000),MOD(INT($AR1264/100),100),MOD($AR1264,100)),""),INT($AR1264)),IFERROR(DATE(--LEFT(LEFT(SUBSTITUTE(SUBSTITUTE(SUBSTITUTE(SUBSTITUTE(TRIM($AR1264),"-",""),".",""),"/","")," ",""),8),4),--MID(LEFT(SUBSTITUTE(SUBSTITUTE(SUBSTITUTE(SUBSTITUTE(TRIM($AR1264),"-",""),".",""),"/","")," ",""),8),5,2),--MID(LEFT(SUBSTITUTE(SUBSTITUTE(SUBSTITUTE(SUBSTITUTE(TRIM($AR1264),"-",""),".",""),"/","")," ",""),8),7,2)),"")))</f>
        <v/>
      </c>
      <c r="AT1264" s="33">
        <f>IF($AS1264="","",IF($F$6="",0,IF(ISNUMBER(INDEX($A:$AP,ROW(),$F$6)),INDEX($A:$AP,ROW(),$F$6),IFERROR(--SUBSTITUTE(SUBSTITUTE(TRIM(INDEX($A:$AP,ROW(),$F$6)),",",""),"원",""),0))))</f>
        <v/>
      </c>
      <c r="AU1264" s="31">
        <f>IF($AS1264="","",IF($AX1264&lt;&gt;"",SUBSTITUTE(SUBSTITUTE($AX1264,"-","")," ",""),"N:"&amp;$AV1264))</f>
        <v/>
      </c>
      <c r="AV1264" s="31">
        <f>IF(OR($AS1264="",$E$6=""),"",TRIM(INDEX($A:$AP,ROW(),$E$6)&amp;""))</f>
        <v/>
      </c>
      <c r="AW1264" s="31">
        <f>IF($AU1264="","",IF(MATCH($AU1264,$AU$8:$AU$2007,0)=ROW()-7,MAX($AW$7:$AW1263)+1,""))</f>
        <v/>
      </c>
      <c r="AX1264" s="31">
        <f>IF(OR($AS1264="",$D$6=""),"",TRIM(INDEX($A:$AP,ROW(),$D$6)&amp;""))</f>
        <v/>
      </c>
      <c r="AY1264" s="31">
        <f>IF($AU1264="","",INDEX($AW$8:$AW$2007,MATCH($AU1264,$AU$8:$AU$2007,0)))</f>
        <v/>
      </c>
      <c r="AZ1264" s="31">
        <f>IF(OR($AS1264="",$C$6=""),"",TRIM(INDEX($A:$AP,ROW(),$C$6)&amp;""))</f>
        <v/>
      </c>
      <c r="BA1264" s="31">
        <f>IF($AZ1264="","",IF(COUNTIF($AZ$8:$AZ1264,$AZ1264)&gt;1,1,0))</f>
        <v/>
      </c>
    </row>
    <row r="1265">
      <c r="AR1265" s="31">
        <f>IF(OR($A$5="",$B$6="",ROW()&lt;$A$5),"",IF(INDEX($A:$AP,ROW(),$B$6)="","",INDEX($A:$AP,ROW(),$B$6)))</f>
        <v/>
      </c>
      <c r="AS1265" s="32">
        <f>IF($AR1265="","",IF(ISNUMBER($AR1265),IF($AR1265&gt;=10000000,IFERROR(DATE(INT($AR1265/10000),MOD(INT($AR1265/100),100),MOD($AR1265,100)),""),INT($AR1265)),IFERROR(DATE(--LEFT(LEFT(SUBSTITUTE(SUBSTITUTE(SUBSTITUTE(SUBSTITUTE(TRIM($AR1265),"-",""),".",""),"/","")," ",""),8),4),--MID(LEFT(SUBSTITUTE(SUBSTITUTE(SUBSTITUTE(SUBSTITUTE(TRIM($AR1265),"-",""),".",""),"/","")," ",""),8),5,2),--MID(LEFT(SUBSTITUTE(SUBSTITUTE(SUBSTITUTE(SUBSTITUTE(TRIM($AR1265),"-",""),".",""),"/","")," ",""),8),7,2)),"")))</f>
        <v/>
      </c>
      <c r="AT1265" s="33">
        <f>IF($AS1265="","",IF($F$6="",0,IF(ISNUMBER(INDEX($A:$AP,ROW(),$F$6)),INDEX($A:$AP,ROW(),$F$6),IFERROR(--SUBSTITUTE(SUBSTITUTE(TRIM(INDEX($A:$AP,ROW(),$F$6)),",",""),"원",""),0))))</f>
        <v/>
      </c>
      <c r="AU1265" s="31">
        <f>IF($AS1265="","",IF($AX1265&lt;&gt;"",SUBSTITUTE(SUBSTITUTE($AX1265,"-","")," ",""),"N:"&amp;$AV1265))</f>
        <v/>
      </c>
      <c r="AV1265" s="31">
        <f>IF(OR($AS1265="",$E$6=""),"",TRIM(INDEX($A:$AP,ROW(),$E$6)&amp;""))</f>
        <v/>
      </c>
      <c r="AW1265" s="31">
        <f>IF($AU1265="","",IF(MATCH($AU1265,$AU$8:$AU$2007,0)=ROW()-7,MAX($AW$7:$AW1264)+1,""))</f>
        <v/>
      </c>
      <c r="AX1265" s="31">
        <f>IF(OR($AS1265="",$D$6=""),"",TRIM(INDEX($A:$AP,ROW(),$D$6)&amp;""))</f>
        <v/>
      </c>
      <c r="AY1265" s="31">
        <f>IF($AU1265="","",INDEX($AW$8:$AW$2007,MATCH($AU1265,$AU$8:$AU$2007,0)))</f>
        <v/>
      </c>
      <c r="AZ1265" s="31">
        <f>IF(OR($AS1265="",$C$6=""),"",TRIM(INDEX($A:$AP,ROW(),$C$6)&amp;""))</f>
        <v/>
      </c>
      <c r="BA1265" s="31">
        <f>IF($AZ1265="","",IF(COUNTIF($AZ$8:$AZ1265,$AZ1265)&gt;1,1,0))</f>
        <v/>
      </c>
    </row>
    <row r="1266">
      <c r="AR1266" s="31">
        <f>IF(OR($A$5="",$B$6="",ROW()&lt;$A$5),"",IF(INDEX($A:$AP,ROW(),$B$6)="","",INDEX($A:$AP,ROW(),$B$6)))</f>
        <v/>
      </c>
      <c r="AS1266" s="32">
        <f>IF($AR1266="","",IF(ISNUMBER($AR1266),IF($AR1266&gt;=10000000,IFERROR(DATE(INT($AR1266/10000),MOD(INT($AR1266/100),100),MOD($AR1266,100)),""),INT($AR1266)),IFERROR(DATE(--LEFT(LEFT(SUBSTITUTE(SUBSTITUTE(SUBSTITUTE(SUBSTITUTE(TRIM($AR1266),"-",""),".",""),"/","")," ",""),8),4),--MID(LEFT(SUBSTITUTE(SUBSTITUTE(SUBSTITUTE(SUBSTITUTE(TRIM($AR1266),"-",""),".",""),"/","")," ",""),8),5,2),--MID(LEFT(SUBSTITUTE(SUBSTITUTE(SUBSTITUTE(SUBSTITUTE(TRIM($AR1266),"-",""),".",""),"/","")," ",""),8),7,2)),"")))</f>
        <v/>
      </c>
      <c r="AT1266" s="33">
        <f>IF($AS1266="","",IF($F$6="",0,IF(ISNUMBER(INDEX($A:$AP,ROW(),$F$6)),INDEX($A:$AP,ROW(),$F$6),IFERROR(--SUBSTITUTE(SUBSTITUTE(TRIM(INDEX($A:$AP,ROW(),$F$6)),",",""),"원",""),0))))</f>
        <v/>
      </c>
      <c r="AU1266" s="31">
        <f>IF($AS1266="","",IF($AX1266&lt;&gt;"",SUBSTITUTE(SUBSTITUTE($AX1266,"-","")," ",""),"N:"&amp;$AV1266))</f>
        <v/>
      </c>
      <c r="AV1266" s="31">
        <f>IF(OR($AS1266="",$E$6=""),"",TRIM(INDEX($A:$AP,ROW(),$E$6)&amp;""))</f>
        <v/>
      </c>
      <c r="AW1266" s="31">
        <f>IF($AU1266="","",IF(MATCH($AU1266,$AU$8:$AU$2007,0)=ROW()-7,MAX($AW$7:$AW1265)+1,""))</f>
        <v/>
      </c>
      <c r="AX1266" s="31">
        <f>IF(OR($AS1266="",$D$6=""),"",TRIM(INDEX($A:$AP,ROW(),$D$6)&amp;""))</f>
        <v/>
      </c>
      <c r="AY1266" s="31">
        <f>IF($AU1266="","",INDEX($AW$8:$AW$2007,MATCH($AU1266,$AU$8:$AU$2007,0)))</f>
        <v/>
      </c>
      <c r="AZ1266" s="31">
        <f>IF(OR($AS1266="",$C$6=""),"",TRIM(INDEX($A:$AP,ROW(),$C$6)&amp;""))</f>
        <v/>
      </c>
      <c r="BA1266" s="31">
        <f>IF($AZ1266="","",IF(COUNTIF($AZ$8:$AZ1266,$AZ1266)&gt;1,1,0))</f>
        <v/>
      </c>
    </row>
    <row r="1267">
      <c r="AR1267" s="31">
        <f>IF(OR($A$5="",$B$6="",ROW()&lt;$A$5),"",IF(INDEX($A:$AP,ROW(),$B$6)="","",INDEX($A:$AP,ROW(),$B$6)))</f>
        <v/>
      </c>
      <c r="AS1267" s="32">
        <f>IF($AR1267="","",IF(ISNUMBER($AR1267),IF($AR1267&gt;=10000000,IFERROR(DATE(INT($AR1267/10000),MOD(INT($AR1267/100),100),MOD($AR1267,100)),""),INT($AR1267)),IFERROR(DATE(--LEFT(LEFT(SUBSTITUTE(SUBSTITUTE(SUBSTITUTE(SUBSTITUTE(TRIM($AR1267),"-",""),".",""),"/","")," ",""),8),4),--MID(LEFT(SUBSTITUTE(SUBSTITUTE(SUBSTITUTE(SUBSTITUTE(TRIM($AR1267),"-",""),".",""),"/","")," ",""),8),5,2),--MID(LEFT(SUBSTITUTE(SUBSTITUTE(SUBSTITUTE(SUBSTITUTE(TRIM($AR1267),"-",""),".",""),"/","")," ",""),8),7,2)),"")))</f>
        <v/>
      </c>
      <c r="AT1267" s="33">
        <f>IF($AS1267="","",IF($F$6="",0,IF(ISNUMBER(INDEX($A:$AP,ROW(),$F$6)),INDEX($A:$AP,ROW(),$F$6),IFERROR(--SUBSTITUTE(SUBSTITUTE(TRIM(INDEX($A:$AP,ROW(),$F$6)),",",""),"원",""),0))))</f>
        <v/>
      </c>
      <c r="AU1267" s="31">
        <f>IF($AS1267="","",IF($AX1267&lt;&gt;"",SUBSTITUTE(SUBSTITUTE($AX1267,"-","")," ",""),"N:"&amp;$AV1267))</f>
        <v/>
      </c>
      <c r="AV1267" s="31">
        <f>IF(OR($AS1267="",$E$6=""),"",TRIM(INDEX($A:$AP,ROW(),$E$6)&amp;""))</f>
        <v/>
      </c>
      <c r="AW1267" s="31">
        <f>IF($AU1267="","",IF(MATCH($AU1267,$AU$8:$AU$2007,0)=ROW()-7,MAX($AW$7:$AW1266)+1,""))</f>
        <v/>
      </c>
      <c r="AX1267" s="31">
        <f>IF(OR($AS1267="",$D$6=""),"",TRIM(INDEX($A:$AP,ROW(),$D$6)&amp;""))</f>
        <v/>
      </c>
      <c r="AY1267" s="31">
        <f>IF($AU1267="","",INDEX($AW$8:$AW$2007,MATCH($AU1267,$AU$8:$AU$2007,0)))</f>
        <v/>
      </c>
      <c r="AZ1267" s="31">
        <f>IF(OR($AS1267="",$C$6=""),"",TRIM(INDEX($A:$AP,ROW(),$C$6)&amp;""))</f>
        <v/>
      </c>
      <c r="BA1267" s="31">
        <f>IF($AZ1267="","",IF(COUNTIF($AZ$8:$AZ1267,$AZ1267)&gt;1,1,0))</f>
        <v/>
      </c>
    </row>
    <row r="1268">
      <c r="AR1268" s="31">
        <f>IF(OR($A$5="",$B$6="",ROW()&lt;$A$5),"",IF(INDEX($A:$AP,ROW(),$B$6)="","",INDEX($A:$AP,ROW(),$B$6)))</f>
        <v/>
      </c>
      <c r="AS1268" s="32">
        <f>IF($AR1268="","",IF(ISNUMBER($AR1268),IF($AR1268&gt;=10000000,IFERROR(DATE(INT($AR1268/10000),MOD(INT($AR1268/100),100),MOD($AR1268,100)),""),INT($AR1268)),IFERROR(DATE(--LEFT(LEFT(SUBSTITUTE(SUBSTITUTE(SUBSTITUTE(SUBSTITUTE(TRIM($AR1268),"-",""),".",""),"/","")," ",""),8),4),--MID(LEFT(SUBSTITUTE(SUBSTITUTE(SUBSTITUTE(SUBSTITUTE(TRIM($AR1268),"-",""),".",""),"/","")," ",""),8),5,2),--MID(LEFT(SUBSTITUTE(SUBSTITUTE(SUBSTITUTE(SUBSTITUTE(TRIM($AR1268),"-",""),".",""),"/","")," ",""),8),7,2)),"")))</f>
        <v/>
      </c>
      <c r="AT1268" s="33">
        <f>IF($AS1268="","",IF($F$6="",0,IF(ISNUMBER(INDEX($A:$AP,ROW(),$F$6)),INDEX($A:$AP,ROW(),$F$6),IFERROR(--SUBSTITUTE(SUBSTITUTE(TRIM(INDEX($A:$AP,ROW(),$F$6)),",",""),"원",""),0))))</f>
        <v/>
      </c>
      <c r="AU1268" s="31">
        <f>IF($AS1268="","",IF($AX1268&lt;&gt;"",SUBSTITUTE(SUBSTITUTE($AX1268,"-","")," ",""),"N:"&amp;$AV1268))</f>
        <v/>
      </c>
      <c r="AV1268" s="31">
        <f>IF(OR($AS1268="",$E$6=""),"",TRIM(INDEX($A:$AP,ROW(),$E$6)&amp;""))</f>
        <v/>
      </c>
      <c r="AW1268" s="31">
        <f>IF($AU1268="","",IF(MATCH($AU1268,$AU$8:$AU$2007,0)=ROW()-7,MAX($AW$7:$AW1267)+1,""))</f>
        <v/>
      </c>
      <c r="AX1268" s="31">
        <f>IF(OR($AS1268="",$D$6=""),"",TRIM(INDEX($A:$AP,ROW(),$D$6)&amp;""))</f>
        <v/>
      </c>
      <c r="AY1268" s="31">
        <f>IF($AU1268="","",INDEX($AW$8:$AW$2007,MATCH($AU1268,$AU$8:$AU$2007,0)))</f>
        <v/>
      </c>
      <c r="AZ1268" s="31">
        <f>IF(OR($AS1268="",$C$6=""),"",TRIM(INDEX($A:$AP,ROW(),$C$6)&amp;""))</f>
        <v/>
      </c>
      <c r="BA1268" s="31">
        <f>IF($AZ1268="","",IF(COUNTIF($AZ$8:$AZ1268,$AZ1268)&gt;1,1,0))</f>
        <v/>
      </c>
    </row>
    <row r="1269">
      <c r="AR1269" s="31">
        <f>IF(OR($A$5="",$B$6="",ROW()&lt;$A$5),"",IF(INDEX($A:$AP,ROW(),$B$6)="","",INDEX($A:$AP,ROW(),$B$6)))</f>
        <v/>
      </c>
      <c r="AS1269" s="32">
        <f>IF($AR1269="","",IF(ISNUMBER($AR1269),IF($AR1269&gt;=10000000,IFERROR(DATE(INT($AR1269/10000),MOD(INT($AR1269/100),100),MOD($AR1269,100)),""),INT($AR1269)),IFERROR(DATE(--LEFT(LEFT(SUBSTITUTE(SUBSTITUTE(SUBSTITUTE(SUBSTITUTE(TRIM($AR1269),"-",""),".",""),"/","")," ",""),8),4),--MID(LEFT(SUBSTITUTE(SUBSTITUTE(SUBSTITUTE(SUBSTITUTE(TRIM($AR1269),"-",""),".",""),"/","")," ",""),8),5,2),--MID(LEFT(SUBSTITUTE(SUBSTITUTE(SUBSTITUTE(SUBSTITUTE(TRIM($AR1269),"-",""),".",""),"/","")," ",""),8),7,2)),"")))</f>
        <v/>
      </c>
      <c r="AT1269" s="33">
        <f>IF($AS1269="","",IF($F$6="",0,IF(ISNUMBER(INDEX($A:$AP,ROW(),$F$6)),INDEX($A:$AP,ROW(),$F$6),IFERROR(--SUBSTITUTE(SUBSTITUTE(TRIM(INDEX($A:$AP,ROW(),$F$6)),",",""),"원",""),0))))</f>
        <v/>
      </c>
      <c r="AU1269" s="31">
        <f>IF($AS1269="","",IF($AX1269&lt;&gt;"",SUBSTITUTE(SUBSTITUTE($AX1269,"-","")," ",""),"N:"&amp;$AV1269))</f>
        <v/>
      </c>
      <c r="AV1269" s="31">
        <f>IF(OR($AS1269="",$E$6=""),"",TRIM(INDEX($A:$AP,ROW(),$E$6)&amp;""))</f>
        <v/>
      </c>
      <c r="AW1269" s="31">
        <f>IF($AU1269="","",IF(MATCH($AU1269,$AU$8:$AU$2007,0)=ROW()-7,MAX($AW$7:$AW1268)+1,""))</f>
        <v/>
      </c>
      <c r="AX1269" s="31">
        <f>IF(OR($AS1269="",$D$6=""),"",TRIM(INDEX($A:$AP,ROW(),$D$6)&amp;""))</f>
        <v/>
      </c>
      <c r="AY1269" s="31">
        <f>IF($AU1269="","",INDEX($AW$8:$AW$2007,MATCH($AU1269,$AU$8:$AU$2007,0)))</f>
        <v/>
      </c>
      <c r="AZ1269" s="31">
        <f>IF(OR($AS1269="",$C$6=""),"",TRIM(INDEX($A:$AP,ROW(),$C$6)&amp;""))</f>
        <v/>
      </c>
      <c r="BA1269" s="31">
        <f>IF($AZ1269="","",IF(COUNTIF($AZ$8:$AZ1269,$AZ1269)&gt;1,1,0))</f>
        <v/>
      </c>
    </row>
    <row r="1270">
      <c r="AR1270" s="31">
        <f>IF(OR($A$5="",$B$6="",ROW()&lt;$A$5),"",IF(INDEX($A:$AP,ROW(),$B$6)="","",INDEX($A:$AP,ROW(),$B$6)))</f>
        <v/>
      </c>
      <c r="AS1270" s="32">
        <f>IF($AR1270="","",IF(ISNUMBER($AR1270),IF($AR1270&gt;=10000000,IFERROR(DATE(INT($AR1270/10000),MOD(INT($AR1270/100),100),MOD($AR1270,100)),""),INT($AR1270)),IFERROR(DATE(--LEFT(LEFT(SUBSTITUTE(SUBSTITUTE(SUBSTITUTE(SUBSTITUTE(TRIM($AR1270),"-",""),".",""),"/","")," ",""),8),4),--MID(LEFT(SUBSTITUTE(SUBSTITUTE(SUBSTITUTE(SUBSTITUTE(TRIM($AR1270),"-",""),".",""),"/","")," ",""),8),5,2),--MID(LEFT(SUBSTITUTE(SUBSTITUTE(SUBSTITUTE(SUBSTITUTE(TRIM($AR1270),"-",""),".",""),"/","")," ",""),8),7,2)),"")))</f>
        <v/>
      </c>
      <c r="AT1270" s="33">
        <f>IF($AS1270="","",IF($F$6="",0,IF(ISNUMBER(INDEX($A:$AP,ROW(),$F$6)),INDEX($A:$AP,ROW(),$F$6),IFERROR(--SUBSTITUTE(SUBSTITUTE(TRIM(INDEX($A:$AP,ROW(),$F$6)),",",""),"원",""),0))))</f>
        <v/>
      </c>
      <c r="AU1270" s="31">
        <f>IF($AS1270="","",IF($AX1270&lt;&gt;"",SUBSTITUTE(SUBSTITUTE($AX1270,"-","")," ",""),"N:"&amp;$AV1270))</f>
        <v/>
      </c>
      <c r="AV1270" s="31">
        <f>IF(OR($AS1270="",$E$6=""),"",TRIM(INDEX($A:$AP,ROW(),$E$6)&amp;""))</f>
        <v/>
      </c>
      <c r="AW1270" s="31">
        <f>IF($AU1270="","",IF(MATCH($AU1270,$AU$8:$AU$2007,0)=ROW()-7,MAX($AW$7:$AW1269)+1,""))</f>
        <v/>
      </c>
      <c r="AX1270" s="31">
        <f>IF(OR($AS1270="",$D$6=""),"",TRIM(INDEX($A:$AP,ROW(),$D$6)&amp;""))</f>
        <v/>
      </c>
      <c r="AY1270" s="31">
        <f>IF($AU1270="","",INDEX($AW$8:$AW$2007,MATCH($AU1270,$AU$8:$AU$2007,0)))</f>
        <v/>
      </c>
      <c r="AZ1270" s="31">
        <f>IF(OR($AS1270="",$C$6=""),"",TRIM(INDEX($A:$AP,ROW(),$C$6)&amp;""))</f>
        <v/>
      </c>
      <c r="BA1270" s="31">
        <f>IF($AZ1270="","",IF(COUNTIF($AZ$8:$AZ1270,$AZ1270)&gt;1,1,0))</f>
        <v/>
      </c>
    </row>
    <row r="1271">
      <c r="AR1271" s="31">
        <f>IF(OR($A$5="",$B$6="",ROW()&lt;$A$5),"",IF(INDEX($A:$AP,ROW(),$B$6)="","",INDEX($A:$AP,ROW(),$B$6)))</f>
        <v/>
      </c>
      <c r="AS1271" s="32">
        <f>IF($AR1271="","",IF(ISNUMBER($AR1271),IF($AR1271&gt;=10000000,IFERROR(DATE(INT($AR1271/10000),MOD(INT($AR1271/100),100),MOD($AR1271,100)),""),INT($AR1271)),IFERROR(DATE(--LEFT(LEFT(SUBSTITUTE(SUBSTITUTE(SUBSTITUTE(SUBSTITUTE(TRIM($AR1271),"-",""),".",""),"/","")," ",""),8),4),--MID(LEFT(SUBSTITUTE(SUBSTITUTE(SUBSTITUTE(SUBSTITUTE(TRIM($AR1271),"-",""),".",""),"/","")," ",""),8),5,2),--MID(LEFT(SUBSTITUTE(SUBSTITUTE(SUBSTITUTE(SUBSTITUTE(TRIM($AR1271),"-",""),".",""),"/","")," ",""),8),7,2)),"")))</f>
        <v/>
      </c>
      <c r="AT1271" s="33">
        <f>IF($AS1271="","",IF($F$6="",0,IF(ISNUMBER(INDEX($A:$AP,ROW(),$F$6)),INDEX($A:$AP,ROW(),$F$6),IFERROR(--SUBSTITUTE(SUBSTITUTE(TRIM(INDEX($A:$AP,ROW(),$F$6)),",",""),"원",""),0))))</f>
        <v/>
      </c>
      <c r="AU1271" s="31">
        <f>IF($AS1271="","",IF($AX1271&lt;&gt;"",SUBSTITUTE(SUBSTITUTE($AX1271,"-","")," ",""),"N:"&amp;$AV1271))</f>
        <v/>
      </c>
      <c r="AV1271" s="31">
        <f>IF(OR($AS1271="",$E$6=""),"",TRIM(INDEX($A:$AP,ROW(),$E$6)&amp;""))</f>
        <v/>
      </c>
      <c r="AW1271" s="31">
        <f>IF($AU1271="","",IF(MATCH($AU1271,$AU$8:$AU$2007,0)=ROW()-7,MAX($AW$7:$AW1270)+1,""))</f>
        <v/>
      </c>
      <c r="AX1271" s="31">
        <f>IF(OR($AS1271="",$D$6=""),"",TRIM(INDEX($A:$AP,ROW(),$D$6)&amp;""))</f>
        <v/>
      </c>
      <c r="AY1271" s="31">
        <f>IF($AU1271="","",INDEX($AW$8:$AW$2007,MATCH($AU1271,$AU$8:$AU$2007,0)))</f>
        <v/>
      </c>
      <c r="AZ1271" s="31">
        <f>IF(OR($AS1271="",$C$6=""),"",TRIM(INDEX($A:$AP,ROW(),$C$6)&amp;""))</f>
        <v/>
      </c>
      <c r="BA1271" s="31">
        <f>IF($AZ1271="","",IF(COUNTIF($AZ$8:$AZ1271,$AZ1271)&gt;1,1,0))</f>
        <v/>
      </c>
    </row>
    <row r="1272">
      <c r="AR1272" s="31">
        <f>IF(OR($A$5="",$B$6="",ROW()&lt;$A$5),"",IF(INDEX($A:$AP,ROW(),$B$6)="","",INDEX($A:$AP,ROW(),$B$6)))</f>
        <v/>
      </c>
      <c r="AS1272" s="32">
        <f>IF($AR1272="","",IF(ISNUMBER($AR1272),IF($AR1272&gt;=10000000,IFERROR(DATE(INT($AR1272/10000),MOD(INT($AR1272/100),100),MOD($AR1272,100)),""),INT($AR1272)),IFERROR(DATE(--LEFT(LEFT(SUBSTITUTE(SUBSTITUTE(SUBSTITUTE(SUBSTITUTE(TRIM($AR1272),"-",""),".",""),"/","")," ",""),8),4),--MID(LEFT(SUBSTITUTE(SUBSTITUTE(SUBSTITUTE(SUBSTITUTE(TRIM($AR1272),"-",""),".",""),"/","")," ",""),8),5,2),--MID(LEFT(SUBSTITUTE(SUBSTITUTE(SUBSTITUTE(SUBSTITUTE(TRIM($AR1272),"-",""),".",""),"/","")," ",""),8),7,2)),"")))</f>
        <v/>
      </c>
      <c r="AT1272" s="33">
        <f>IF($AS1272="","",IF($F$6="",0,IF(ISNUMBER(INDEX($A:$AP,ROW(),$F$6)),INDEX($A:$AP,ROW(),$F$6),IFERROR(--SUBSTITUTE(SUBSTITUTE(TRIM(INDEX($A:$AP,ROW(),$F$6)),",",""),"원",""),0))))</f>
        <v/>
      </c>
      <c r="AU1272" s="31">
        <f>IF($AS1272="","",IF($AX1272&lt;&gt;"",SUBSTITUTE(SUBSTITUTE($AX1272,"-","")," ",""),"N:"&amp;$AV1272))</f>
        <v/>
      </c>
      <c r="AV1272" s="31">
        <f>IF(OR($AS1272="",$E$6=""),"",TRIM(INDEX($A:$AP,ROW(),$E$6)&amp;""))</f>
        <v/>
      </c>
      <c r="AW1272" s="31">
        <f>IF($AU1272="","",IF(MATCH($AU1272,$AU$8:$AU$2007,0)=ROW()-7,MAX($AW$7:$AW1271)+1,""))</f>
        <v/>
      </c>
      <c r="AX1272" s="31">
        <f>IF(OR($AS1272="",$D$6=""),"",TRIM(INDEX($A:$AP,ROW(),$D$6)&amp;""))</f>
        <v/>
      </c>
      <c r="AY1272" s="31">
        <f>IF($AU1272="","",INDEX($AW$8:$AW$2007,MATCH($AU1272,$AU$8:$AU$2007,0)))</f>
        <v/>
      </c>
      <c r="AZ1272" s="31">
        <f>IF(OR($AS1272="",$C$6=""),"",TRIM(INDEX($A:$AP,ROW(),$C$6)&amp;""))</f>
        <v/>
      </c>
      <c r="BA1272" s="31">
        <f>IF($AZ1272="","",IF(COUNTIF($AZ$8:$AZ1272,$AZ1272)&gt;1,1,0))</f>
        <v/>
      </c>
    </row>
    <row r="1273">
      <c r="AR1273" s="31">
        <f>IF(OR($A$5="",$B$6="",ROW()&lt;$A$5),"",IF(INDEX($A:$AP,ROW(),$B$6)="","",INDEX($A:$AP,ROW(),$B$6)))</f>
        <v/>
      </c>
      <c r="AS1273" s="32">
        <f>IF($AR1273="","",IF(ISNUMBER($AR1273),IF($AR1273&gt;=10000000,IFERROR(DATE(INT($AR1273/10000),MOD(INT($AR1273/100),100),MOD($AR1273,100)),""),INT($AR1273)),IFERROR(DATE(--LEFT(LEFT(SUBSTITUTE(SUBSTITUTE(SUBSTITUTE(SUBSTITUTE(TRIM($AR1273),"-",""),".",""),"/","")," ",""),8),4),--MID(LEFT(SUBSTITUTE(SUBSTITUTE(SUBSTITUTE(SUBSTITUTE(TRIM($AR1273),"-",""),".",""),"/","")," ",""),8),5,2),--MID(LEFT(SUBSTITUTE(SUBSTITUTE(SUBSTITUTE(SUBSTITUTE(TRIM($AR1273),"-",""),".",""),"/","")," ",""),8),7,2)),"")))</f>
        <v/>
      </c>
      <c r="AT1273" s="33">
        <f>IF($AS1273="","",IF($F$6="",0,IF(ISNUMBER(INDEX($A:$AP,ROW(),$F$6)),INDEX($A:$AP,ROW(),$F$6),IFERROR(--SUBSTITUTE(SUBSTITUTE(TRIM(INDEX($A:$AP,ROW(),$F$6)),",",""),"원",""),0))))</f>
        <v/>
      </c>
      <c r="AU1273" s="31">
        <f>IF($AS1273="","",IF($AX1273&lt;&gt;"",SUBSTITUTE(SUBSTITUTE($AX1273,"-","")," ",""),"N:"&amp;$AV1273))</f>
        <v/>
      </c>
      <c r="AV1273" s="31">
        <f>IF(OR($AS1273="",$E$6=""),"",TRIM(INDEX($A:$AP,ROW(),$E$6)&amp;""))</f>
        <v/>
      </c>
      <c r="AW1273" s="31">
        <f>IF($AU1273="","",IF(MATCH($AU1273,$AU$8:$AU$2007,0)=ROW()-7,MAX($AW$7:$AW1272)+1,""))</f>
        <v/>
      </c>
      <c r="AX1273" s="31">
        <f>IF(OR($AS1273="",$D$6=""),"",TRIM(INDEX($A:$AP,ROW(),$D$6)&amp;""))</f>
        <v/>
      </c>
      <c r="AY1273" s="31">
        <f>IF($AU1273="","",INDEX($AW$8:$AW$2007,MATCH($AU1273,$AU$8:$AU$2007,0)))</f>
        <v/>
      </c>
      <c r="AZ1273" s="31">
        <f>IF(OR($AS1273="",$C$6=""),"",TRIM(INDEX($A:$AP,ROW(),$C$6)&amp;""))</f>
        <v/>
      </c>
      <c r="BA1273" s="31">
        <f>IF($AZ1273="","",IF(COUNTIF($AZ$8:$AZ1273,$AZ1273)&gt;1,1,0))</f>
        <v/>
      </c>
    </row>
    <row r="1274">
      <c r="AR1274" s="31">
        <f>IF(OR($A$5="",$B$6="",ROW()&lt;$A$5),"",IF(INDEX($A:$AP,ROW(),$B$6)="","",INDEX($A:$AP,ROW(),$B$6)))</f>
        <v/>
      </c>
      <c r="AS1274" s="32">
        <f>IF($AR1274="","",IF(ISNUMBER($AR1274),IF($AR1274&gt;=10000000,IFERROR(DATE(INT($AR1274/10000),MOD(INT($AR1274/100),100),MOD($AR1274,100)),""),INT($AR1274)),IFERROR(DATE(--LEFT(LEFT(SUBSTITUTE(SUBSTITUTE(SUBSTITUTE(SUBSTITUTE(TRIM($AR1274),"-",""),".",""),"/","")," ",""),8),4),--MID(LEFT(SUBSTITUTE(SUBSTITUTE(SUBSTITUTE(SUBSTITUTE(TRIM($AR1274),"-",""),".",""),"/","")," ",""),8),5,2),--MID(LEFT(SUBSTITUTE(SUBSTITUTE(SUBSTITUTE(SUBSTITUTE(TRIM($AR1274),"-",""),".",""),"/","")," ",""),8),7,2)),"")))</f>
        <v/>
      </c>
      <c r="AT1274" s="33">
        <f>IF($AS1274="","",IF($F$6="",0,IF(ISNUMBER(INDEX($A:$AP,ROW(),$F$6)),INDEX($A:$AP,ROW(),$F$6),IFERROR(--SUBSTITUTE(SUBSTITUTE(TRIM(INDEX($A:$AP,ROW(),$F$6)),",",""),"원",""),0))))</f>
        <v/>
      </c>
      <c r="AU1274" s="31">
        <f>IF($AS1274="","",IF($AX1274&lt;&gt;"",SUBSTITUTE(SUBSTITUTE($AX1274,"-","")," ",""),"N:"&amp;$AV1274))</f>
        <v/>
      </c>
      <c r="AV1274" s="31">
        <f>IF(OR($AS1274="",$E$6=""),"",TRIM(INDEX($A:$AP,ROW(),$E$6)&amp;""))</f>
        <v/>
      </c>
      <c r="AW1274" s="31">
        <f>IF($AU1274="","",IF(MATCH($AU1274,$AU$8:$AU$2007,0)=ROW()-7,MAX($AW$7:$AW1273)+1,""))</f>
        <v/>
      </c>
      <c r="AX1274" s="31">
        <f>IF(OR($AS1274="",$D$6=""),"",TRIM(INDEX($A:$AP,ROW(),$D$6)&amp;""))</f>
        <v/>
      </c>
      <c r="AY1274" s="31">
        <f>IF($AU1274="","",INDEX($AW$8:$AW$2007,MATCH($AU1274,$AU$8:$AU$2007,0)))</f>
        <v/>
      </c>
      <c r="AZ1274" s="31">
        <f>IF(OR($AS1274="",$C$6=""),"",TRIM(INDEX($A:$AP,ROW(),$C$6)&amp;""))</f>
        <v/>
      </c>
      <c r="BA1274" s="31">
        <f>IF($AZ1274="","",IF(COUNTIF($AZ$8:$AZ1274,$AZ1274)&gt;1,1,0))</f>
        <v/>
      </c>
    </row>
    <row r="1275">
      <c r="AR1275" s="31">
        <f>IF(OR($A$5="",$B$6="",ROW()&lt;$A$5),"",IF(INDEX($A:$AP,ROW(),$B$6)="","",INDEX($A:$AP,ROW(),$B$6)))</f>
        <v/>
      </c>
      <c r="AS1275" s="32">
        <f>IF($AR1275="","",IF(ISNUMBER($AR1275),IF($AR1275&gt;=10000000,IFERROR(DATE(INT($AR1275/10000),MOD(INT($AR1275/100),100),MOD($AR1275,100)),""),INT($AR1275)),IFERROR(DATE(--LEFT(LEFT(SUBSTITUTE(SUBSTITUTE(SUBSTITUTE(SUBSTITUTE(TRIM($AR1275),"-",""),".",""),"/","")," ",""),8),4),--MID(LEFT(SUBSTITUTE(SUBSTITUTE(SUBSTITUTE(SUBSTITUTE(TRIM($AR1275),"-",""),".",""),"/","")," ",""),8),5,2),--MID(LEFT(SUBSTITUTE(SUBSTITUTE(SUBSTITUTE(SUBSTITUTE(TRIM($AR1275),"-",""),".",""),"/","")," ",""),8),7,2)),"")))</f>
        <v/>
      </c>
      <c r="AT1275" s="33">
        <f>IF($AS1275="","",IF($F$6="",0,IF(ISNUMBER(INDEX($A:$AP,ROW(),$F$6)),INDEX($A:$AP,ROW(),$F$6),IFERROR(--SUBSTITUTE(SUBSTITUTE(TRIM(INDEX($A:$AP,ROW(),$F$6)),",",""),"원",""),0))))</f>
        <v/>
      </c>
      <c r="AU1275" s="31">
        <f>IF($AS1275="","",IF($AX1275&lt;&gt;"",SUBSTITUTE(SUBSTITUTE($AX1275,"-","")," ",""),"N:"&amp;$AV1275))</f>
        <v/>
      </c>
      <c r="AV1275" s="31">
        <f>IF(OR($AS1275="",$E$6=""),"",TRIM(INDEX($A:$AP,ROW(),$E$6)&amp;""))</f>
        <v/>
      </c>
      <c r="AW1275" s="31">
        <f>IF($AU1275="","",IF(MATCH($AU1275,$AU$8:$AU$2007,0)=ROW()-7,MAX($AW$7:$AW1274)+1,""))</f>
        <v/>
      </c>
      <c r="AX1275" s="31">
        <f>IF(OR($AS1275="",$D$6=""),"",TRIM(INDEX($A:$AP,ROW(),$D$6)&amp;""))</f>
        <v/>
      </c>
      <c r="AY1275" s="31">
        <f>IF($AU1275="","",INDEX($AW$8:$AW$2007,MATCH($AU1275,$AU$8:$AU$2007,0)))</f>
        <v/>
      </c>
      <c r="AZ1275" s="31">
        <f>IF(OR($AS1275="",$C$6=""),"",TRIM(INDEX($A:$AP,ROW(),$C$6)&amp;""))</f>
        <v/>
      </c>
      <c r="BA1275" s="31">
        <f>IF($AZ1275="","",IF(COUNTIF($AZ$8:$AZ1275,$AZ1275)&gt;1,1,0))</f>
        <v/>
      </c>
    </row>
    <row r="1276">
      <c r="AR1276" s="31">
        <f>IF(OR($A$5="",$B$6="",ROW()&lt;$A$5),"",IF(INDEX($A:$AP,ROW(),$B$6)="","",INDEX($A:$AP,ROW(),$B$6)))</f>
        <v/>
      </c>
      <c r="AS1276" s="32">
        <f>IF($AR1276="","",IF(ISNUMBER($AR1276),IF($AR1276&gt;=10000000,IFERROR(DATE(INT($AR1276/10000),MOD(INT($AR1276/100),100),MOD($AR1276,100)),""),INT($AR1276)),IFERROR(DATE(--LEFT(LEFT(SUBSTITUTE(SUBSTITUTE(SUBSTITUTE(SUBSTITUTE(TRIM($AR1276),"-",""),".",""),"/","")," ",""),8),4),--MID(LEFT(SUBSTITUTE(SUBSTITUTE(SUBSTITUTE(SUBSTITUTE(TRIM($AR1276),"-",""),".",""),"/","")," ",""),8),5,2),--MID(LEFT(SUBSTITUTE(SUBSTITUTE(SUBSTITUTE(SUBSTITUTE(TRIM($AR1276),"-",""),".",""),"/","")," ",""),8),7,2)),"")))</f>
        <v/>
      </c>
      <c r="AT1276" s="33">
        <f>IF($AS1276="","",IF($F$6="",0,IF(ISNUMBER(INDEX($A:$AP,ROW(),$F$6)),INDEX($A:$AP,ROW(),$F$6),IFERROR(--SUBSTITUTE(SUBSTITUTE(TRIM(INDEX($A:$AP,ROW(),$F$6)),",",""),"원",""),0))))</f>
        <v/>
      </c>
      <c r="AU1276" s="31">
        <f>IF($AS1276="","",IF($AX1276&lt;&gt;"",SUBSTITUTE(SUBSTITUTE($AX1276,"-","")," ",""),"N:"&amp;$AV1276))</f>
        <v/>
      </c>
      <c r="AV1276" s="31">
        <f>IF(OR($AS1276="",$E$6=""),"",TRIM(INDEX($A:$AP,ROW(),$E$6)&amp;""))</f>
        <v/>
      </c>
      <c r="AW1276" s="31">
        <f>IF($AU1276="","",IF(MATCH($AU1276,$AU$8:$AU$2007,0)=ROW()-7,MAX($AW$7:$AW1275)+1,""))</f>
        <v/>
      </c>
      <c r="AX1276" s="31">
        <f>IF(OR($AS1276="",$D$6=""),"",TRIM(INDEX($A:$AP,ROW(),$D$6)&amp;""))</f>
        <v/>
      </c>
      <c r="AY1276" s="31">
        <f>IF($AU1276="","",INDEX($AW$8:$AW$2007,MATCH($AU1276,$AU$8:$AU$2007,0)))</f>
        <v/>
      </c>
      <c r="AZ1276" s="31">
        <f>IF(OR($AS1276="",$C$6=""),"",TRIM(INDEX($A:$AP,ROW(),$C$6)&amp;""))</f>
        <v/>
      </c>
      <c r="BA1276" s="31">
        <f>IF($AZ1276="","",IF(COUNTIF($AZ$8:$AZ1276,$AZ1276)&gt;1,1,0))</f>
        <v/>
      </c>
    </row>
    <row r="1277">
      <c r="AR1277" s="31">
        <f>IF(OR($A$5="",$B$6="",ROW()&lt;$A$5),"",IF(INDEX($A:$AP,ROW(),$B$6)="","",INDEX($A:$AP,ROW(),$B$6)))</f>
        <v/>
      </c>
      <c r="AS1277" s="32">
        <f>IF($AR1277="","",IF(ISNUMBER($AR1277),IF($AR1277&gt;=10000000,IFERROR(DATE(INT($AR1277/10000),MOD(INT($AR1277/100),100),MOD($AR1277,100)),""),INT($AR1277)),IFERROR(DATE(--LEFT(LEFT(SUBSTITUTE(SUBSTITUTE(SUBSTITUTE(SUBSTITUTE(TRIM($AR1277),"-",""),".",""),"/","")," ",""),8),4),--MID(LEFT(SUBSTITUTE(SUBSTITUTE(SUBSTITUTE(SUBSTITUTE(TRIM($AR1277),"-",""),".",""),"/","")," ",""),8),5,2),--MID(LEFT(SUBSTITUTE(SUBSTITUTE(SUBSTITUTE(SUBSTITUTE(TRIM($AR1277),"-",""),".",""),"/","")," ",""),8),7,2)),"")))</f>
        <v/>
      </c>
      <c r="AT1277" s="33">
        <f>IF($AS1277="","",IF($F$6="",0,IF(ISNUMBER(INDEX($A:$AP,ROW(),$F$6)),INDEX($A:$AP,ROW(),$F$6),IFERROR(--SUBSTITUTE(SUBSTITUTE(TRIM(INDEX($A:$AP,ROW(),$F$6)),",",""),"원",""),0))))</f>
        <v/>
      </c>
      <c r="AU1277" s="31">
        <f>IF($AS1277="","",IF($AX1277&lt;&gt;"",SUBSTITUTE(SUBSTITUTE($AX1277,"-","")," ",""),"N:"&amp;$AV1277))</f>
        <v/>
      </c>
      <c r="AV1277" s="31">
        <f>IF(OR($AS1277="",$E$6=""),"",TRIM(INDEX($A:$AP,ROW(),$E$6)&amp;""))</f>
        <v/>
      </c>
      <c r="AW1277" s="31">
        <f>IF($AU1277="","",IF(MATCH($AU1277,$AU$8:$AU$2007,0)=ROW()-7,MAX($AW$7:$AW1276)+1,""))</f>
        <v/>
      </c>
      <c r="AX1277" s="31">
        <f>IF(OR($AS1277="",$D$6=""),"",TRIM(INDEX($A:$AP,ROW(),$D$6)&amp;""))</f>
        <v/>
      </c>
      <c r="AY1277" s="31">
        <f>IF($AU1277="","",INDEX($AW$8:$AW$2007,MATCH($AU1277,$AU$8:$AU$2007,0)))</f>
        <v/>
      </c>
      <c r="AZ1277" s="31">
        <f>IF(OR($AS1277="",$C$6=""),"",TRIM(INDEX($A:$AP,ROW(),$C$6)&amp;""))</f>
        <v/>
      </c>
      <c r="BA1277" s="31">
        <f>IF($AZ1277="","",IF(COUNTIF($AZ$8:$AZ1277,$AZ1277)&gt;1,1,0))</f>
        <v/>
      </c>
    </row>
    <row r="1278">
      <c r="AR1278" s="31">
        <f>IF(OR($A$5="",$B$6="",ROW()&lt;$A$5),"",IF(INDEX($A:$AP,ROW(),$B$6)="","",INDEX($A:$AP,ROW(),$B$6)))</f>
        <v/>
      </c>
      <c r="AS1278" s="32">
        <f>IF($AR1278="","",IF(ISNUMBER($AR1278),IF($AR1278&gt;=10000000,IFERROR(DATE(INT($AR1278/10000),MOD(INT($AR1278/100),100),MOD($AR1278,100)),""),INT($AR1278)),IFERROR(DATE(--LEFT(LEFT(SUBSTITUTE(SUBSTITUTE(SUBSTITUTE(SUBSTITUTE(TRIM($AR1278),"-",""),".",""),"/","")," ",""),8),4),--MID(LEFT(SUBSTITUTE(SUBSTITUTE(SUBSTITUTE(SUBSTITUTE(TRIM($AR1278),"-",""),".",""),"/","")," ",""),8),5,2),--MID(LEFT(SUBSTITUTE(SUBSTITUTE(SUBSTITUTE(SUBSTITUTE(TRIM($AR1278),"-",""),".",""),"/","")," ",""),8),7,2)),"")))</f>
        <v/>
      </c>
      <c r="AT1278" s="33">
        <f>IF($AS1278="","",IF($F$6="",0,IF(ISNUMBER(INDEX($A:$AP,ROW(),$F$6)),INDEX($A:$AP,ROW(),$F$6),IFERROR(--SUBSTITUTE(SUBSTITUTE(TRIM(INDEX($A:$AP,ROW(),$F$6)),",",""),"원",""),0))))</f>
        <v/>
      </c>
      <c r="AU1278" s="31">
        <f>IF($AS1278="","",IF($AX1278&lt;&gt;"",SUBSTITUTE(SUBSTITUTE($AX1278,"-","")," ",""),"N:"&amp;$AV1278))</f>
        <v/>
      </c>
      <c r="AV1278" s="31">
        <f>IF(OR($AS1278="",$E$6=""),"",TRIM(INDEX($A:$AP,ROW(),$E$6)&amp;""))</f>
        <v/>
      </c>
      <c r="AW1278" s="31">
        <f>IF($AU1278="","",IF(MATCH($AU1278,$AU$8:$AU$2007,0)=ROW()-7,MAX($AW$7:$AW1277)+1,""))</f>
        <v/>
      </c>
      <c r="AX1278" s="31">
        <f>IF(OR($AS1278="",$D$6=""),"",TRIM(INDEX($A:$AP,ROW(),$D$6)&amp;""))</f>
        <v/>
      </c>
      <c r="AY1278" s="31">
        <f>IF($AU1278="","",INDEX($AW$8:$AW$2007,MATCH($AU1278,$AU$8:$AU$2007,0)))</f>
        <v/>
      </c>
      <c r="AZ1278" s="31">
        <f>IF(OR($AS1278="",$C$6=""),"",TRIM(INDEX($A:$AP,ROW(),$C$6)&amp;""))</f>
        <v/>
      </c>
      <c r="BA1278" s="31">
        <f>IF($AZ1278="","",IF(COUNTIF($AZ$8:$AZ1278,$AZ1278)&gt;1,1,0))</f>
        <v/>
      </c>
    </row>
    <row r="1279">
      <c r="AR1279" s="31">
        <f>IF(OR($A$5="",$B$6="",ROW()&lt;$A$5),"",IF(INDEX($A:$AP,ROW(),$B$6)="","",INDEX($A:$AP,ROW(),$B$6)))</f>
        <v/>
      </c>
      <c r="AS1279" s="32">
        <f>IF($AR1279="","",IF(ISNUMBER($AR1279),IF($AR1279&gt;=10000000,IFERROR(DATE(INT($AR1279/10000),MOD(INT($AR1279/100),100),MOD($AR1279,100)),""),INT($AR1279)),IFERROR(DATE(--LEFT(LEFT(SUBSTITUTE(SUBSTITUTE(SUBSTITUTE(SUBSTITUTE(TRIM($AR1279),"-",""),".",""),"/","")," ",""),8),4),--MID(LEFT(SUBSTITUTE(SUBSTITUTE(SUBSTITUTE(SUBSTITUTE(TRIM($AR1279),"-",""),".",""),"/","")," ",""),8),5,2),--MID(LEFT(SUBSTITUTE(SUBSTITUTE(SUBSTITUTE(SUBSTITUTE(TRIM($AR1279),"-",""),".",""),"/","")," ",""),8),7,2)),"")))</f>
        <v/>
      </c>
      <c r="AT1279" s="33">
        <f>IF($AS1279="","",IF($F$6="",0,IF(ISNUMBER(INDEX($A:$AP,ROW(),$F$6)),INDEX($A:$AP,ROW(),$F$6),IFERROR(--SUBSTITUTE(SUBSTITUTE(TRIM(INDEX($A:$AP,ROW(),$F$6)),",",""),"원",""),0))))</f>
        <v/>
      </c>
      <c r="AU1279" s="31">
        <f>IF($AS1279="","",IF($AX1279&lt;&gt;"",SUBSTITUTE(SUBSTITUTE($AX1279,"-","")," ",""),"N:"&amp;$AV1279))</f>
        <v/>
      </c>
      <c r="AV1279" s="31">
        <f>IF(OR($AS1279="",$E$6=""),"",TRIM(INDEX($A:$AP,ROW(),$E$6)&amp;""))</f>
        <v/>
      </c>
      <c r="AW1279" s="31">
        <f>IF($AU1279="","",IF(MATCH($AU1279,$AU$8:$AU$2007,0)=ROW()-7,MAX($AW$7:$AW1278)+1,""))</f>
        <v/>
      </c>
      <c r="AX1279" s="31">
        <f>IF(OR($AS1279="",$D$6=""),"",TRIM(INDEX($A:$AP,ROW(),$D$6)&amp;""))</f>
        <v/>
      </c>
      <c r="AY1279" s="31">
        <f>IF($AU1279="","",INDEX($AW$8:$AW$2007,MATCH($AU1279,$AU$8:$AU$2007,0)))</f>
        <v/>
      </c>
      <c r="AZ1279" s="31">
        <f>IF(OR($AS1279="",$C$6=""),"",TRIM(INDEX($A:$AP,ROW(),$C$6)&amp;""))</f>
        <v/>
      </c>
      <c r="BA1279" s="31">
        <f>IF($AZ1279="","",IF(COUNTIF($AZ$8:$AZ1279,$AZ1279)&gt;1,1,0))</f>
        <v/>
      </c>
    </row>
    <row r="1280">
      <c r="AR1280" s="31">
        <f>IF(OR($A$5="",$B$6="",ROW()&lt;$A$5),"",IF(INDEX($A:$AP,ROW(),$B$6)="","",INDEX($A:$AP,ROW(),$B$6)))</f>
        <v/>
      </c>
      <c r="AS1280" s="32">
        <f>IF($AR1280="","",IF(ISNUMBER($AR1280),IF($AR1280&gt;=10000000,IFERROR(DATE(INT($AR1280/10000),MOD(INT($AR1280/100),100),MOD($AR1280,100)),""),INT($AR1280)),IFERROR(DATE(--LEFT(LEFT(SUBSTITUTE(SUBSTITUTE(SUBSTITUTE(SUBSTITUTE(TRIM($AR1280),"-",""),".",""),"/","")," ",""),8),4),--MID(LEFT(SUBSTITUTE(SUBSTITUTE(SUBSTITUTE(SUBSTITUTE(TRIM($AR1280),"-",""),".",""),"/","")," ",""),8),5,2),--MID(LEFT(SUBSTITUTE(SUBSTITUTE(SUBSTITUTE(SUBSTITUTE(TRIM($AR1280),"-",""),".",""),"/","")," ",""),8),7,2)),"")))</f>
        <v/>
      </c>
      <c r="AT1280" s="33">
        <f>IF($AS1280="","",IF($F$6="",0,IF(ISNUMBER(INDEX($A:$AP,ROW(),$F$6)),INDEX($A:$AP,ROW(),$F$6),IFERROR(--SUBSTITUTE(SUBSTITUTE(TRIM(INDEX($A:$AP,ROW(),$F$6)),",",""),"원",""),0))))</f>
        <v/>
      </c>
      <c r="AU1280" s="31">
        <f>IF($AS1280="","",IF($AX1280&lt;&gt;"",SUBSTITUTE(SUBSTITUTE($AX1280,"-","")," ",""),"N:"&amp;$AV1280))</f>
        <v/>
      </c>
      <c r="AV1280" s="31">
        <f>IF(OR($AS1280="",$E$6=""),"",TRIM(INDEX($A:$AP,ROW(),$E$6)&amp;""))</f>
        <v/>
      </c>
      <c r="AW1280" s="31">
        <f>IF($AU1280="","",IF(MATCH($AU1280,$AU$8:$AU$2007,0)=ROW()-7,MAX($AW$7:$AW1279)+1,""))</f>
        <v/>
      </c>
      <c r="AX1280" s="31">
        <f>IF(OR($AS1280="",$D$6=""),"",TRIM(INDEX($A:$AP,ROW(),$D$6)&amp;""))</f>
        <v/>
      </c>
      <c r="AY1280" s="31">
        <f>IF($AU1280="","",INDEX($AW$8:$AW$2007,MATCH($AU1280,$AU$8:$AU$2007,0)))</f>
        <v/>
      </c>
      <c r="AZ1280" s="31">
        <f>IF(OR($AS1280="",$C$6=""),"",TRIM(INDEX($A:$AP,ROW(),$C$6)&amp;""))</f>
        <v/>
      </c>
      <c r="BA1280" s="31">
        <f>IF($AZ1280="","",IF(COUNTIF($AZ$8:$AZ1280,$AZ1280)&gt;1,1,0))</f>
        <v/>
      </c>
    </row>
    <row r="1281">
      <c r="AR1281" s="31">
        <f>IF(OR($A$5="",$B$6="",ROW()&lt;$A$5),"",IF(INDEX($A:$AP,ROW(),$B$6)="","",INDEX($A:$AP,ROW(),$B$6)))</f>
        <v/>
      </c>
      <c r="AS1281" s="32">
        <f>IF($AR1281="","",IF(ISNUMBER($AR1281),IF($AR1281&gt;=10000000,IFERROR(DATE(INT($AR1281/10000),MOD(INT($AR1281/100),100),MOD($AR1281,100)),""),INT($AR1281)),IFERROR(DATE(--LEFT(LEFT(SUBSTITUTE(SUBSTITUTE(SUBSTITUTE(SUBSTITUTE(TRIM($AR1281),"-",""),".",""),"/","")," ",""),8),4),--MID(LEFT(SUBSTITUTE(SUBSTITUTE(SUBSTITUTE(SUBSTITUTE(TRIM($AR1281),"-",""),".",""),"/","")," ",""),8),5,2),--MID(LEFT(SUBSTITUTE(SUBSTITUTE(SUBSTITUTE(SUBSTITUTE(TRIM($AR1281),"-",""),".",""),"/","")," ",""),8),7,2)),"")))</f>
        <v/>
      </c>
      <c r="AT1281" s="33">
        <f>IF($AS1281="","",IF($F$6="",0,IF(ISNUMBER(INDEX($A:$AP,ROW(),$F$6)),INDEX($A:$AP,ROW(),$F$6),IFERROR(--SUBSTITUTE(SUBSTITUTE(TRIM(INDEX($A:$AP,ROW(),$F$6)),",",""),"원",""),0))))</f>
        <v/>
      </c>
      <c r="AU1281" s="31">
        <f>IF($AS1281="","",IF($AX1281&lt;&gt;"",SUBSTITUTE(SUBSTITUTE($AX1281,"-","")," ",""),"N:"&amp;$AV1281))</f>
        <v/>
      </c>
      <c r="AV1281" s="31">
        <f>IF(OR($AS1281="",$E$6=""),"",TRIM(INDEX($A:$AP,ROW(),$E$6)&amp;""))</f>
        <v/>
      </c>
      <c r="AW1281" s="31">
        <f>IF($AU1281="","",IF(MATCH($AU1281,$AU$8:$AU$2007,0)=ROW()-7,MAX($AW$7:$AW1280)+1,""))</f>
        <v/>
      </c>
      <c r="AX1281" s="31">
        <f>IF(OR($AS1281="",$D$6=""),"",TRIM(INDEX($A:$AP,ROW(),$D$6)&amp;""))</f>
        <v/>
      </c>
      <c r="AY1281" s="31">
        <f>IF($AU1281="","",INDEX($AW$8:$AW$2007,MATCH($AU1281,$AU$8:$AU$2007,0)))</f>
        <v/>
      </c>
      <c r="AZ1281" s="31">
        <f>IF(OR($AS1281="",$C$6=""),"",TRIM(INDEX($A:$AP,ROW(),$C$6)&amp;""))</f>
        <v/>
      </c>
      <c r="BA1281" s="31">
        <f>IF($AZ1281="","",IF(COUNTIF($AZ$8:$AZ1281,$AZ1281)&gt;1,1,0))</f>
        <v/>
      </c>
    </row>
    <row r="1282">
      <c r="AR1282" s="31">
        <f>IF(OR($A$5="",$B$6="",ROW()&lt;$A$5),"",IF(INDEX($A:$AP,ROW(),$B$6)="","",INDEX($A:$AP,ROW(),$B$6)))</f>
        <v/>
      </c>
      <c r="AS1282" s="32">
        <f>IF($AR1282="","",IF(ISNUMBER($AR1282),IF($AR1282&gt;=10000000,IFERROR(DATE(INT($AR1282/10000),MOD(INT($AR1282/100),100),MOD($AR1282,100)),""),INT($AR1282)),IFERROR(DATE(--LEFT(LEFT(SUBSTITUTE(SUBSTITUTE(SUBSTITUTE(SUBSTITUTE(TRIM($AR1282),"-",""),".",""),"/","")," ",""),8),4),--MID(LEFT(SUBSTITUTE(SUBSTITUTE(SUBSTITUTE(SUBSTITUTE(TRIM($AR1282),"-",""),".",""),"/","")," ",""),8),5,2),--MID(LEFT(SUBSTITUTE(SUBSTITUTE(SUBSTITUTE(SUBSTITUTE(TRIM($AR1282),"-",""),".",""),"/","")," ",""),8),7,2)),"")))</f>
        <v/>
      </c>
      <c r="AT1282" s="33">
        <f>IF($AS1282="","",IF($F$6="",0,IF(ISNUMBER(INDEX($A:$AP,ROW(),$F$6)),INDEX($A:$AP,ROW(),$F$6),IFERROR(--SUBSTITUTE(SUBSTITUTE(TRIM(INDEX($A:$AP,ROW(),$F$6)),",",""),"원",""),0))))</f>
        <v/>
      </c>
      <c r="AU1282" s="31">
        <f>IF($AS1282="","",IF($AX1282&lt;&gt;"",SUBSTITUTE(SUBSTITUTE($AX1282,"-","")," ",""),"N:"&amp;$AV1282))</f>
        <v/>
      </c>
      <c r="AV1282" s="31">
        <f>IF(OR($AS1282="",$E$6=""),"",TRIM(INDEX($A:$AP,ROW(),$E$6)&amp;""))</f>
        <v/>
      </c>
      <c r="AW1282" s="31">
        <f>IF($AU1282="","",IF(MATCH($AU1282,$AU$8:$AU$2007,0)=ROW()-7,MAX($AW$7:$AW1281)+1,""))</f>
        <v/>
      </c>
      <c r="AX1282" s="31">
        <f>IF(OR($AS1282="",$D$6=""),"",TRIM(INDEX($A:$AP,ROW(),$D$6)&amp;""))</f>
        <v/>
      </c>
      <c r="AY1282" s="31">
        <f>IF($AU1282="","",INDEX($AW$8:$AW$2007,MATCH($AU1282,$AU$8:$AU$2007,0)))</f>
        <v/>
      </c>
      <c r="AZ1282" s="31">
        <f>IF(OR($AS1282="",$C$6=""),"",TRIM(INDEX($A:$AP,ROW(),$C$6)&amp;""))</f>
        <v/>
      </c>
      <c r="BA1282" s="31">
        <f>IF($AZ1282="","",IF(COUNTIF($AZ$8:$AZ1282,$AZ1282)&gt;1,1,0))</f>
        <v/>
      </c>
    </row>
    <row r="1283">
      <c r="AR1283" s="31">
        <f>IF(OR($A$5="",$B$6="",ROW()&lt;$A$5),"",IF(INDEX($A:$AP,ROW(),$B$6)="","",INDEX($A:$AP,ROW(),$B$6)))</f>
        <v/>
      </c>
      <c r="AS1283" s="32">
        <f>IF($AR1283="","",IF(ISNUMBER($AR1283),IF($AR1283&gt;=10000000,IFERROR(DATE(INT($AR1283/10000),MOD(INT($AR1283/100),100),MOD($AR1283,100)),""),INT($AR1283)),IFERROR(DATE(--LEFT(LEFT(SUBSTITUTE(SUBSTITUTE(SUBSTITUTE(SUBSTITUTE(TRIM($AR1283),"-",""),".",""),"/","")," ",""),8),4),--MID(LEFT(SUBSTITUTE(SUBSTITUTE(SUBSTITUTE(SUBSTITUTE(TRIM($AR1283),"-",""),".",""),"/","")," ",""),8),5,2),--MID(LEFT(SUBSTITUTE(SUBSTITUTE(SUBSTITUTE(SUBSTITUTE(TRIM($AR1283),"-",""),".",""),"/","")," ",""),8),7,2)),"")))</f>
        <v/>
      </c>
      <c r="AT1283" s="33">
        <f>IF($AS1283="","",IF($F$6="",0,IF(ISNUMBER(INDEX($A:$AP,ROW(),$F$6)),INDEX($A:$AP,ROW(),$F$6),IFERROR(--SUBSTITUTE(SUBSTITUTE(TRIM(INDEX($A:$AP,ROW(),$F$6)),",",""),"원",""),0))))</f>
        <v/>
      </c>
      <c r="AU1283" s="31">
        <f>IF($AS1283="","",IF($AX1283&lt;&gt;"",SUBSTITUTE(SUBSTITUTE($AX1283,"-","")," ",""),"N:"&amp;$AV1283))</f>
        <v/>
      </c>
      <c r="AV1283" s="31">
        <f>IF(OR($AS1283="",$E$6=""),"",TRIM(INDEX($A:$AP,ROW(),$E$6)&amp;""))</f>
        <v/>
      </c>
      <c r="AW1283" s="31">
        <f>IF($AU1283="","",IF(MATCH($AU1283,$AU$8:$AU$2007,0)=ROW()-7,MAX($AW$7:$AW1282)+1,""))</f>
        <v/>
      </c>
      <c r="AX1283" s="31">
        <f>IF(OR($AS1283="",$D$6=""),"",TRIM(INDEX($A:$AP,ROW(),$D$6)&amp;""))</f>
        <v/>
      </c>
      <c r="AY1283" s="31">
        <f>IF($AU1283="","",INDEX($AW$8:$AW$2007,MATCH($AU1283,$AU$8:$AU$2007,0)))</f>
        <v/>
      </c>
      <c r="AZ1283" s="31">
        <f>IF(OR($AS1283="",$C$6=""),"",TRIM(INDEX($A:$AP,ROW(),$C$6)&amp;""))</f>
        <v/>
      </c>
      <c r="BA1283" s="31">
        <f>IF($AZ1283="","",IF(COUNTIF($AZ$8:$AZ1283,$AZ1283)&gt;1,1,0))</f>
        <v/>
      </c>
    </row>
    <row r="1284">
      <c r="AR1284" s="31">
        <f>IF(OR($A$5="",$B$6="",ROW()&lt;$A$5),"",IF(INDEX($A:$AP,ROW(),$B$6)="","",INDEX($A:$AP,ROW(),$B$6)))</f>
        <v/>
      </c>
      <c r="AS1284" s="32">
        <f>IF($AR1284="","",IF(ISNUMBER($AR1284),IF($AR1284&gt;=10000000,IFERROR(DATE(INT($AR1284/10000),MOD(INT($AR1284/100),100),MOD($AR1284,100)),""),INT($AR1284)),IFERROR(DATE(--LEFT(LEFT(SUBSTITUTE(SUBSTITUTE(SUBSTITUTE(SUBSTITUTE(TRIM($AR1284),"-",""),".",""),"/","")," ",""),8),4),--MID(LEFT(SUBSTITUTE(SUBSTITUTE(SUBSTITUTE(SUBSTITUTE(TRIM($AR1284),"-",""),".",""),"/","")," ",""),8),5,2),--MID(LEFT(SUBSTITUTE(SUBSTITUTE(SUBSTITUTE(SUBSTITUTE(TRIM($AR1284),"-",""),".",""),"/","")," ",""),8),7,2)),"")))</f>
        <v/>
      </c>
      <c r="AT1284" s="33">
        <f>IF($AS1284="","",IF($F$6="",0,IF(ISNUMBER(INDEX($A:$AP,ROW(),$F$6)),INDEX($A:$AP,ROW(),$F$6),IFERROR(--SUBSTITUTE(SUBSTITUTE(TRIM(INDEX($A:$AP,ROW(),$F$6)),",",""),"원",""),0))))</f>
        <v/>
      </c>
      <c r="AU1284" s="31">
        <f>IF($AS1284="","",IF($AX1284&lt;&gt;"",SUBSTITUTE(SUBSTITUTE($AX1284,"-","")," ",""),"N:"&amp;$AV1284))</f>
        <v/>
      </c>
      <c r="AV1284" s="31">
        <f>IF(OR($AS1284="",$E$6=""),"",TRIM(INDEX($A:$AP,ROW(),$E$6)&amp;""))</f>
        <v/>
      </c>
      <c r="AW1284" s="31">
        <f>IF($AU1284="","",IF(MATCH($AU1284,$AU$8:$AU$2007,0)=ROW()-7,MAX($AW$7:$AW1283)+1,""))</f>
        <v/>
      </c>
      <c r="AX1284" s="31">
        <f>IF(OR($AS1284="",$D$6=""),"",TRIM(INDEX($A:$AP,ROW(),$D$6)&amp;""))</f>
        <v/>
      </c>
      <c r="AY1284" s="31">
        <f>IF($AU1284="","",INDEX($AW$8:$AW$2007,MATCH($AU1284,$AU$8:$AU$2007,0)))</f>
        <v/>
      </c>
      <c r="AZ1284" s="31">
        <f>IF(OR($AS1284="",$C$6=""),"",TRIM(INDEX($A:$AP,ROW(),$C$6)&amp;""))</f>
        <v/>
      </c>
      <c r="BA1284" s="31">
        <f>IF($AZ1284="","",IF(COUNTIF($AZ$8:$AZ1284,$AZ1284)&gt;1,1,0))</f>
        <v/>
      </c>
    </row>
    <row r="1285">
      <c r="AR1285" s="31">
        <f>IF(OR($A$5="",$B$6="",ROW()&lt;$A$5),"",IF(INDEX($A:$AP,ROW(),$B$6)="","",INDEX($A:$AP,ROW(),$B$6)))</f>
        <v/>
      </c>
      <c r="AS1285" s="32">
        <f>IF($AR1285="","",IF(ISNUMBER($AR1285),IF($AR1285&gt;=10000000,IFERROR(DATE(INT($AR1285/10000),MOD(INT($AR1285/100),100),MOD($AR1285,100)),""),INT($AR1285)),IFERROR(DATE(--LEFT(LEFT(SUBSTITUTE(SUBSTITUTE(SUBSTITUTE(SUBSTITUTE(TRIM($AR1285),"-",""),".",""),"/","")," ",""),8),4),--MID(LEFT(SUBSTITUTE(SUBSTITUTE(SUBSTITUTE(SUBSTITUTE(TRIM($AR1285),"-",""),".",""),"/","")," ",""),8),5,2),--MID(LEFT(SUBSTITUTE(SUBSTITUTE(SUBSTITUTE(SUBSTITUTE(TRIM($AR1285),"-",""),".",""),"/","")," ",""),8),7,2)),"")))</f>
        <v/>
      </c>
      <c r="AT1285" s="33">
        <f>IF($AS1285="","",IF($F$6="",0,IF(ISNUMBER(INDEX($A:$AP,ROW(),$F$6)),INDEX($A:$AP,ROW(),$F$6),IFERROR(--SUBSTITUTE(SUBSTITUTE(TRIM(INDEX($A:$AP,ROW(),$F$6)),",",""),"원",""),0))))</f>
        <v/>
      </c>
      <c r="AU1285" s="31">
        <f>IF($AS1285="","",IF($AX1285&lt;&gt;"",SUBSTITUTE(SUBSTITUTE($AX1285,"-","")," ",""),"N:"&amp;$AV1285))</f>
        <v/>
      </c>
      <c r="AV1285" s="31">
        <f>IF(OR($AS1285="",$E$6=""),"",TRIM(INDEX($A:$AP,ROW(),$E$6)&amp;""))</f>
        <v/>
      </c>
      <c r="AW1285" s="31">
        <f>IF($AU1285="","",IF(MATCH($AU1285,$AU$8:$AU$2007,0)=ROW()-7,MAX($AW$7:$AW1284)+1,""))</f>
        <v/>
      </c>
      <c r="AX1285" s="31">
        <f>IF(OR($AS1285="",$D$6=""),"",TRIM(INDEX($A:$AP,ROW(),$D$6)&amp;""))</f>
        <v/>
      </c>
      <c r="AY1285" s="31">
        <f>IF($AU1285="","",INDEX($AW$8:$AW$2007,MATCH($AU1285,$AU$8:$AU$2007,0)))</f>
        <v/>
      </c>
      <c r="AZ1285" s="31">
        <f>IF(OR($AS1285="",$C$6=""),"",TRIM(INDEX($A:$AP,ROW(),$C$6)&amp;""))</f>
        <v/>
      </c>
      <c r="BA1285" s="31">
        <f>IF($AZ1285="","",IF(COUNTIF($AZ$8:$AZ1285,$AZ1285)&gt;1,1,0))</f>
        <v/>
      </c>
    </row>
    <row r="1286">
      <c r="AR1286" s="31">
        <f>IF(OR($A$5="",$B$6="",ROW()&lt;$A$5),"",IF(INDEX($A:$AP,ROW(),$B$6)="","",INDEX($A:$AP,ROW(),$B$6)))</f>
        <v/>
      </c>
      <c r="AS1286" s="32">
        <f>IF($AR1286="","",IF(ISNUMBER($AR1286),IF($AR1286&gt;=10000000,IFERROR(DATE(INT($AR1286/10000),MOD(INT($AR1286/100),100),MOD($AR1286,100)),""),INT($AR1286)),IFERROR(DATE(--LEFT(LEFT(SUBSTITUTE(SUBSTITUTE(SUBSTITUTE(SUBSTITUTE(TRIM($AR1286),"-",""),".",""),"/","")," ",""),8),4),--MID(LEFT(SUBSTITUTE(SUBSTITUTE(SUBSTITUTE(SUBSTITUTE(TRIM($AR1286),"-",""),".",""),"/","")," ",""),8),5,2),--MID(LEFT(SUBSTITUTE(SUBSTITUTE(SUBSTITUTE(SUBSTITUTE(TRIM($AR1286),"-",""),".",""),"/","")," ",""),8),7,2)),"")))</f>
        <v/>
      </c>
      <c r="AT1286" s="33">
        <f>IF($AS1286="","",IF($F$6="",0,IF(ISNUMBER(INDEX($A:$AP,ROW(),$F$6)),INDEX($A:$AP,ROW(),$F$6),IFERROR(--SUBSTITUTE(SUBSTITUTE(TRIM(INDEX($A:$AP,ROW(),$F$6)),",",""),"원",""),0))))</f>
        <v/>
      </c>
      <c r="AU1286" s="31">
        <f>IF($AS1286="","",IF($AX1286&lt;&gt;"",SUBSTITUTE(SUBSTITUTE($AX1286,"-","")," ",""),"N:"&amp;$AV1286))</f>
        <v/>
      </c>
      <c r="AV1286" s="31">
        <f>IF(OR($AS1286="",$E$6=""),"",TRIM(INDEX($A:$AP,ROW(),$E$6)&amp;""))</f>
        <v/>
      </c>
      <c r="AW1286" s="31">
        <f>IF($AU1286="","",IF(MATCH($AU1286,$AU$8:$AU$2007,0)=ROW()-7,MAX($AW$7:$AW1285)+1,""))</f>
        <v/>
      </c>
      <c r="AX1286" s="31">
        <f>IF(OR($AS1286="",$D$6=""),"",TRIM(INDEX($A:$AP,ROW(),$D$6)&amp;""))</f>
        <v/>
      </c>
      <c r="AY1286" s="31">
        <f>IF($AU1286="","",INDEX($AW$8:$AW$2007,MATCH($AU1286,$AU$8:$AU$2007,0)))</f>
        <v/>
      </c>
      <c r="AZ1286" s="31">
        <f>IF(OR($AS1286="",$C$6=""),"",TRIM(INDEX($A:$AP,ROW(),$C$6)&amp;""))</f>
        <v/>
      </c>
      <c r="BA1286" s="31">
        <f>IF($AZ1286="","",IF(COUNTIF($AZ$8:$AZ1286,$AZ1286)&gt;1,1,0))</f>
        <v/>
      </c>
    </row>
    <row r="1287">
      <c r="AR1287" s="31">
        <f>IF(OR($A$5="",$B$6="",ROW()&lt;$A$5),"",IF(INDEX($A:$AP,ROW(),$B$6)="","",INDEX($A:$AP,ROW(),$B$6)))</f>
        <v/>
      </c>
      <c r="AS1287" s="32">
        <f>IF($AR1287="","",IF(ISNUMBER($AR1287),IF($AR1287&gt;=10000000,IFERROR(DATE(INT($AR1287/10000),MOD(INT($AR1287/100),100),MOD($AR1287,100)),""),INT($AR1287)),IFERROR(DATE(--LEFT(LEFT(SUBSTITUTE(SUBSTITUTE(SUBSTITUTE(SUBSTITUTE(TRIM($AR1287),"-",""),".",""),"/","")," ",""),8),4),--MID(LEFT(SUBSTITUTE(SUBSTITUTE(SUBSTITUTE(SUBSTITUTE(TRIM($AR1287),"-",""),".",""),"/","")," ",""),8),5,2),--MID(LEFT(SUBSTITUTE(SUBSTITUTE(SUBSTITUTE(SUBSTITUTE(TRIM($AR1287),"-",""),".",""),"/","")," ",""),8),7,2)),"")))</f>
        <v/>
      </c>
      <c r="AT1287" s="33">
        <f>IF($AS1287="","",IF($F$6="",0,IF(ISNUMBER(INDEX($A:$AP,ROW(),$F$6)),INDEX($A:$AP,ROW(),$F$6),IFERROR(--SUBSTITUTE(SUBSTITUTE(TRIM(INDEX($A:$AP,ROW(),$F$6)),",",""),"원",""),0))))</f>
        <v/>
      </c>
      <c r="AU1287" s="31">
        <f>IF($AS1287="","",IF($AX1287&lt;&gt;"",SUBSTITUTE(SUBSTITUTE($AX1287,"-","")," ",""),"N:"&amp;$AV1287))</f>
        <v/>
      </c>
      <c r="AV1287" s="31">
        <f>IF(OR($AS1287="",$E$6=""),"",TRIM(INDEX($A:$AP,ROW(),$E$6)&amp;""))</f>
        <v/>
      </c>
      <c r="AW1287" s="31">
        <f>IF($AU1287="","",IF(MATCH($AU1287,$AU$8:$AU$2007,0)=ROW()-7,MAX($AW$7:$AW1286)+1,""))</f>
        <v/>
      </c>
      <c r="AX1287" s="31">
        <f>IF(OR($AS1287="",$D$6=""),"",TRIM(INDEX($A:$AP,ROW(),$D$6)&amp;""))</f>
        <v/>
      </c>
      <c r="AY1287" s="31">
        <f>IF($AU1287="","",INDEX($AW$8:$AW$2007,MATCH($AU1287,$AU$8:$AU$2007,0)))</f>
        <v/>
      </c>
      <c r="AZ1287" s="31">
        <f>IF(OR($AS1287="",$C$6=""),"",TRIM(INDEX($A:$AP,ROW(),$C$6)&amp;""))</f>
        <v/>
      </c>
      <c r="BA1287" s="31">
        <f>IF($AZ1287="","",IF(COUNTIF($AZ$8:$AZ1287,$AZ1287)&gt;1,1,0))</f>
        <v/>
      </c>
    </row>
    <row r="1288">
      <c r="AR1288" s="31">
        <f>IF(OR($A$5="",$B$6="",ROW()&lt;$A$5),"",IF(INDEX($A:$AP,ROW(),$B$6)="","",INDEX($A:$AP,ROW(),$B$6)))</f>
        <v/>
      </c>
      <c r="AS1288" s="32">
        <f>IF($AR1288="","",IF(ISNUMBER($AR1288),IF($AR1288&gt;=10000000,IFERROR(DATE(INT($AR1288/10000),MOD(INT($AR1288/100),100),MOD($AR1288,100)),""),INT($AR1288)),IFERROR(DATE(--LEFT(LEFT(SUBSTITUTE(SUBSTITUTE(SUBSTITUTE(SUBSTITUTE(TRIM($AR1288),"-",""),".",""),"/","")," ",""),8),4),--MID(LEFT(SUBSTITUTE(SUBSTITUTE(SUBSTITUTE(SUBSTITUTE(TRIM($AR1288),"-",""),".",""),"/","")," ",""),8),5,2),--MID(LEFT(SUBSTITUTE(SUBSTITUTE(SUBSTITUTE(SUBSTITUTE(TRIM($AR1288),"-",""),".",""),"/","")," ",""),8),7,2)),"")))</f>
        <v/>
      </c>
      <c r="AT1288" s="33">
        <f>IF($AS1288="","",IF($F$6="",0,IF(ISNUMBER(INDEX($A:$AP,ROW(),$F$6)),INDEX($A:$AP,ROW(),$F$6),IFERROR(--SUBSTITUTE(SUBSTITUTE(TRIM(INDEX($A:$AP,ROW(),$F$6)),",",""),"원",""),0))))</f>
        <v/>
      </c>
      <c r="AU1288" s="31">
        <f>IF($AS1288="","",IF($AX1288&lt;&gt;"",SUBSTITUTE(SUBSTITUTE($AX1288,"-","")," ",""),"N:"&amp;$AV1288))</f>
        <v/>
      </c>
      <c r="AV1288" s="31">
        <f>IF(OR($AS1288="",$E$6=""),"",TRIM(INDEX($A:$AP,ROW(),$E$6)&amp;""))</f>
        <v/>
      </c>
      <c r="AW1288" s="31">
        <f>IF($AU1288="","",IF(MATCH($AU1288,$AU$8:$AU$2007,0)=ROW()-7,MAX($AW$7:$AW1287)+1,""))</f>
        <v/>
      </c>
      <c r="AX1288" s="31">
        <f>IF(OR($AS1288="",$D$6=""),"",TRIM(INDEX($A:$AP,ROW(),$D$6)&amp;""))</f>
        <v/>
      </c>
      <c r="AY1288" s="31">
        <f>IF($AU1288="","",INDEX($AW$8:$AW$2007,MATCH($AU1288,$AU$8:$AU$2007,0)))</f>
        <v/>
      </c>
      <c r="AZ1288" s="31">
        <f>IF(OR($AS1288="",$C$6=""),"",TRIM(INDEX($A:$AP,ROW(),$C$6)&amp;""))</f>
        <v/>
      </c>
      <c r="BA1288" s="31">
        <f>IF($AZ1288="","",IF(COUNTIF($AZ$8:$AZ1288,$AZ1288)&gt;1,1,0))</f>
        <v/>
      </c>
    </row>
    <row r="1289">
      <c r="AR1289" s="31">
        <f>IF(OR($A$5="",$B$6="",ROW()&lt;$A$5),"",IF(INDEX($A:$AP,ROW(),$B$6)="","",INDEX($A:$AP,ROW(),$B$6)))</f>
        <v/>
      </c>
      <c r="AS1289" s="32">
        <f>IF($AR1289="","",IF(ISNUMBER($AR1289),IF($AR1289&gt;=10000000,IFERROR(DATE(INT($AR1289/10000),MOD(INT($AR1289/100),100),MOD($AR1289,100)),""),INT($AR1289)),IFERROR(DATE(--LEFT(LEFT(SUBSTITUTE(SUBSTITUTE(SUBSTITUTE(SUBSTITUTE(TRIM($AR1289),"-",""),".",""),"/","")," ",""),8),4),--MID(LEFT(SUBSTITUTE(SUBSTITUTE(SUBSTITUTE(SUBSTITUTE(TRIM($AR1289),"-",""),".",""),"/","")," ",""),8),5,2),--MID(LEFT(SUBSTITUTE(SUBSTITUTE(SUBSTITUTE(SUBSTITUTE(TRIM($AR1289),"-",""),".",""),"/","")," ",""),8),7,2)),"")))</f>
        <v/>
      </c>
      <c r="AT1289" s="33">
        <f>IF($AS1289="","",IF($F$6="",0,IF(ISNUMBER(INDEX($A:$AP,ROW(),$F$6)),INDEX($A:$AP,ROW(),$F$6),IFERROR(--SUBSTITUTE(SUBSTITUTE(TRIM(INDEX($A:$AP,ROW(),$F$6)),",",""),"원",""),0))))</f>
        <v/>
      </c>
      <c r="AU1289" s="31">
        <f>IF($AS1289="","",IF($AX1289&lt;&gt;"",SUBSTITUTE(SUBSTITUTE($AX1289,"-","")," ",""),"N:"&amp;$AV1289))</f>
        <v/>
      </c>
      <c r="AV1289" s="31">
        <f>IF(OR($AS1289="",$E$6=""),"",TRIM(INDEX($A:$AP,ROW(),$E$6)&amp;""))</f>
        <v/>
      </c>
      <c r="AW1289" s="31">
        <f>IF($AU1289="","",IF(MATCH($AU1289,$AU$8:$AU$2007,0)=ROW()-7,MAX($AW$7:$AW1288)+1,""))</f>
        <v/>
      </c>
      <c r="AX1289" s="31">
        <f>IF(OR($AS1289="",$D$6=""),"",TRIM(INDEX($A:$AP,ROW(),$D$6)&amp;""))</f>
        <v/>
      </c>
      <c r="AY1289" s="31">
        <f>IF($AU1289="","",INDEX($AW$8:$AW$2007,MATCH($AU1289,$AU$8:$AU$2007,0)))</f>
        <v/>
      </c>
      <c r="AZ1289" s="31">
        <f>IF(OR($AS1289="",$C$6=""),"",TRIM(INDEX($A:$AP,ROW(),$C$6)&amp;""))</f>
        <v/>
      </c>
      <c r="BA1289" s="31">
        <f>IF($AZ1289="","",IF(COUNTIF($AZ$8:$AZ1289,$AZ1289)&gt;1,1,0))</f>
        <v/>
      </c>
    </row>
    <row r="1290">
      <c r="AR1290" s="31">
        <f>IF(OR($A$5="",$B$6="",ROW()&lt;$A$5),"",IF(INDEX($A:$AP,ROW(),$B$6)="","",INDEX($A:$AP,ROW(),$B$6)))</f>
        <v/>
      </c>
      <c r="AS1290" s="32">
        <f>IF($AR1290="","",IF(ISNUMBER($AR1290),IF($AR1290&gt;=10000000,IFERROR(DATE(INT($AR1290/10000),MOD(INT($AR1290/100),100),MOD($AR1290,100)),""),INT($AR1290)),IFERROR(DATE(--LEFT(LEFT(SUBSTITUTE(SUBSTITUTE(SUBSTITUTE(SUBSTITUTE(TRIM($AR1290),"-",""),".",""),"/","")," ",""),8),4),--MID(LEFT(SUBSTITUTE(SUBSTITUTE(SUBSTITUTE(SUBSTITUTE(TRIM($AR1290),"-",""),".",""),"/","")," ",""),8),5,2),--MID(LEFT(SUBSTITUTE(SUBSTITUTE(SUBSTITUTE(SUBSTITUTE(TRIM($AR1290),"-",""),".",""),"/","")," ",""),8),7,2)),"")))</f>
        <v/>
      </c>
      <c r="AT1290" s="33">
        <f>IF($AS1290="","",IF($F$6="",0,IF(ISNUMBER(INDEX($A:$AP,ROW(),$F$6)),INDEX($A:$AP,ROW(),$F$6),IFERROR(--SUBSTITUTE(SUBSTITUTE(TRIM(INDEX($A:$AP,ROW(),$F$6)),",",""),"원",""),0))))</f>
        <v/>
      </c>
      <c r="AU1290" s="31">
        <f>IF($AS1290="","",IF($AX1290&lt;&gt;"",SUBSTITUTE(SUBSTITUTE($AX1290,"-","")," ",""),"N:"&amp;$AV1290))</f>
        <v/>
      </c>
      <c r="AV1290" s="31">
        <f>IF(OR($AS1290="",$E$6=""),"",TRIM(INDEX($A:$AP,ROW(),$E$6)&amp;""))</f>
        <v/>
      </c>
      <c r="AW1290" s="31">
        <f>IF($AU1290="","",IF(MATCH($AU1290,$AU$8:$AU$2007,0)=ROW()-7,MAX($AW$7:$AW1289)+1,""))</f>
        <v/>
      </c>
      <c r="AX1290" s="31">
        <f>IF(OR($AS1290="",$D$6=""),"",TRIM(INDEX($A:$AP,ROW(),$D$6)&amp;""))</f>
        <v/>
      </c>
      <c r="AY1290" s="31">
        <f>IF($AU1290="","",INDEX($AW$8:$AW$2007,MATCH($AU1290,$AU$8:$AU$2007,0)))</f>
        <v/>
      </c>
      <c r="AZ1290" s="31">
        <f>IF(OR($AS1290="",$C$6=""),"",TRIM(INDEX($A:$AP,ROW(),$C$6)&amp;""))</f>
        <v/>
      </c>
      <c r="BA1290" s="31">
        <f>IF($AZ1290="","",IF(COUNTIF($AZ$8:$AZ1290,$AZ1290)&gt;1,1,0))</f>
        <v/>
      </c>
    </row>
    <row r="1291">
      <c r="AR1291" s="31">
        <f>IF(OR($A$5="",$B$6="",ROW()&lt;$A$5),"",IF(INDEX($A:$AP,ROW(),$B$6)="","",INDEX($A:$AP,ROW(),$B$6)))</f>
        <v/>
      </c>
      <c r="AS1291" s="32">
        <f>IF($AR1291="","",IF(ISNUMBER($AR1291),IF($AR1291&gt;=10000000,IFERROR(DATE(INT($AR1291/10000),MOD(INT($AR1291/100),100),MOD($AR1291,100)),""),INT($AR1291)),IFERROR(DATE(--LEFT(LEFT(SUBSTITUTE(SUBSTITUTE(SUBSTITUTE(SUBSTITUTE(TRIM($AR1291),"-",""),".",""),"/","")," ",""),8),4),--MID(LEFT(SUBSTITUTE(SUBSTITUTE(SUBSTITUTE(SUBSTITUTE(TRIM($AR1291),"-",""),".",""),"/","")," ",""),8),5,2),--MID(LEFT(SUBSTITUTE(SUBSTITUTE(SUBSTITUTE(SUBSTITUTE(TRIM($AR1291),"-",""),".",""),"/","")," ",""),8),7,2)),"")))</f>
        <v/>
      </c>
      <c r="AT1291" s="33">
        <f>IF($AS1291="","",IF($F$6="",0,IF(ISNUMBER(INDEX($A:$AP,ROW(),$F$6)),INDEX($A:$AP,ROW(),$F$6),IFERROR(--SUBSTITUTE(SUBSTITUTE(TRIM(INDEX($A:$AP,ROW(),$F$6)),",",""),"원",""),0))))</f>
        <v/>
      </c>
      <c r="AU1291" s="31">
        <f>IF($AS1291="","",IF($AX1291&lt;&gt;"",SUBSTITUTE(SUBSTITUTE($AX1291,"-","")," ",""),"N:"&amp;$AV1291))</f>
        <v/>
      </c>
      <c r="AV1291" s="31">
        <f>IF(OR($AS1291="",$E$6=""),"",TRIM(INDEX($A:$AP,ROW(),$E$6)&amp;""))</f>
        <v/>
      </c>
      <c r="AW1291" s="31">
        <f>IF($AU1291="","",IF(MATCH($AU1291,$AU$8:$AU$2007,0)=ROW()-7,MAX($AW$7:$AW1290)+1,""))</f>
        <v/>
      </c>
      <c r="AX1291" s="31">
        <f>IF(OR($AS1291="",$D$6=""),"",TRIM(INDEX($A:$AP,ROW(),$D$6)&amp;""))</f>
        <v/>
      </c>
      <c r="AY1291" s="31">
        <f>IF($AU1291="","",INDEX($AW$8:$AW$2007,MATCH($AU1291,$AU$8:$AU$2007,0)))</f>
        <v/>
      </c>
      <c r="AZ1291" s="31">
        <f>IF(OR($AS1291="",$C$6=""),"",TRIM(INDEX($A:$AP,ROW(),$C$6)&amp;""))</f>
        <v/>
      </c>
      <c r="BA1291" s="31">
        <f>IF($AZ1291="","",IF(COUNTIF($AZ$8:$AZ1291,$AZ1291)&gt;1,1,0))</f>
        <v/>
      </c>
    </row>
    <row r="1292">
      <c r="AR1292" s="31">
        <f>IF(OR($A$5="",$B$6="",ROW()&lt;$A$5),"",IF(INDEX($A:$AP,ROW(),$B$6)="","",INDEX($A:$AP,ROW(),$B$6)))</f>
        <v/>
      </c>
      <c r="AS1292" s="32">
        <f>IF($AR1292="","",IF(ISNUMBER($AR1292),IF($AR1292&gt;=10000000,IFERROR(DATE(INT($AR1292/10000),MOD(INT($AR1292/100),100),MOD($AR1292,100)),""),INT($AR1292)),IFERROR(DATE(--LEFT(LEFT(SUBSTITUTE(SUBSTITUTE(SUBSTITUTE(SUBSTITUTE(TRIM($AR1292),"-",""),".",""),"/","")," ",""),8),4),--MID(LEFT(SUBSTITUTE(SUBSTITUTE(SUBSTITUTE(SUBSTITUTE(TRIM($AR1292),"-",""),".",""),"/","")," ",""),8),5,2),--MID(LEFT(SUBSTITUTE(SUBSTITUTE(SUBSTITUTE(SUBSTITUTE(TRIM($AR1292),"-",""),".",""),"/","")," ",""),8),7,2)),"")))</f>
        <v/>
      </c>
      <c r="AT1292" s="33">
        <f>IF($AS1292="","",IF($F$6="",0,IF(ISNUMBER(INDEX($A:$AP,ROW(),$F$6)),INDEX($A:$AP,ROW(),$F$6),IFERROR(--SUBSTITUTE(SUBSTITUTE(TRIM(INDEX($A:$AP,ROW(),$F$6)),",",""),"원",""),0))))</f>
        <v/>
      </c>
      <c r="AU1292" s="31">
        <f>IF($AS1292="","",IF($AX1292&lt;&gt;"",SUBSTITUTE(SUBSTITUTE($AX1292,"-","")," ",""),"N:"&amp;$AV1292))</f>
        <v/>
      </c>
      <c r="AV1292" s="31">
        <f>IF(OR($AS1292="",$E$6=""),"",TRIM(INDEX($A:$AP,ROW(),$E$6)&amp;""))</f>
        <v/>
      </c>
      <c r="AW1292" s="31">
        <f>IF($AU1292="","",IF(MATCH($AU1292,$AU$8:$AU$2007,0)=ROW()-7,MAX($AW$7:$AW1291)+1,""))</f>
        <v/>
      </c>
      <c r="AX1292" s="31">
        <f>IF(OR($AS1292="",$D$6=""),"",TRIM(INDEX($A:$AP,ROW(),$D$6)&amp;""))</f>
        <v/>
      </c>
      <c r="AY1292" s="31">
        <f>IF($AU1292="","",INDEX($AW$8:$AW$2007,MATCH($AU1292,$AU$8:$AU$2007,0)))</f>
        <v/>
      </c>
      <c r="AZ1292" s="31">
        <f>IF(OR($AS1292="",$C$6=""),"",TRIM(INDEX($A:$AP,ROW(),$C$6)&amp;""))</f>
        <v/>
      </c>
      <c r="BA1292" s="31">
        <f>IF($AZ1292="","",IF(COUNTIF($AZ$8:$AZ1292,$AZ1292)&gt;1,1,0))</f>
        <v/>
      </c>
    </row>
    <row r="1293">
      <c r="AR1293" s="31">
        <f>IF(OR($A$5="",$B$6="",ROW()&lt;$A$5),"",IF(INDEX($A:$AP,ROW(),$B$6)="","",INDEX($A:$AP,ROW(),$B$6)))</f>
        <v/>
      </c>
      <c r="AS1293" s="32">
        <f>IF($AR1293="","",IF(ISNUMBER($AR1293),IF($AR1293&gt;=10000000,IFERROR(DATE(INT($AR1293/10000),MOD(INT($AR1293/100),100),MOD($AR1293,100)),""),INT($AR1293)),IFERROR(DATE(--LEFT(LEFT(SUBSTITUTE(SUBSTITUTE(SUBSTITUTE(SUBSTITUTE(TRIM($AR1293),"-",""),".",""),"/","")," ",""),8),4),--MID(LEFT(SUBSTITUTE(SUBSTITUTE(SUBSTITUTE(SUBSTITUTE(TRIM($AR1293),"-",""),".",""),"/","")," ",""),8),5,2),--MID(LEFT(SUBSTITUTE(SUBSTITUTE(SUBSTITUTE(SUBSTITUTE(TRIM($AR1293),"-",""),".",""),"/","")," ",""),8),7,2)),"")))</f>
        <v/>
      </c>
      <c r="AT1293" s="33">
        <f>IF($AS1293="","",IF($F$6="",0,IF(ISNUMBER(INDEX($A:$AP,ROW(),$F$6)),INDEX($A:$AP,ROW(),$F$6),IFERROR(--SUBSTITUTE(SUBSTITUTE(TRIM(INDEX($A:$AP,ROW(),$F$6)),",",""),"원",""),0))))</f>
        <v/>
      </c>
      <c r="AU1293" s="31">
        <f>IF($AS1293="","",IF($AX1293&lt;&gt;"",SUBSTITUTE(SUBSTITUTE($AX1293,"-","")," ",""),"N:"&amp;$AV1293))</f>
        <v/>
      </c>
      <c r="AV1293" s="31">
        <f>IF(OR($AS1293="",$E$6=""),"",TRIM(INDEX($A:$AP,ROW(),$E$6)&amp;""))</f>
        <v/>
      </c>
      <c r="AW1293" s="31">
        <f>IF($AU1293="","",IF(MATCH($AU1293,$AU$8:$AU$2007,0)=ROW()-7,MAX($AW$7:$AW1292)+1,""))</f>
        <v/>
      </c>
      <c r="AX1293" s="31">
        <f>IF(OR($AS1293="",$D$6=""),"",TRIM(INDEX($A:$AP,ROW(),$D$6)&amp;""))</f>
        <v/>
      </c>
      <c r="AY1293" s="31">
        <f>IF($AU1293="","",INDEX($AW$8:$AW$2007,MATCH($AU1293,$AU$8:$AU$2007,0)))</f>
        <v/>
      </c>
      <c r="AZ1293" s="31">
        <f>IF(OR($AS1293="",$C$6=""),"",TRIM(INDEX($A:$AP,ROW(),$C$6)&amp;""))</f>
        <v/>
      </c>
      <c r="BA1293" s="31">
        <f>IF($AZ1293="","",IF(COUNTIF($AZ$8:$AZ1293,$AZ1293)&gt;1,1,0))</f>
        <v/>
      </c>
    </row>
    <row r="1294">
      <c r="AR1294" s="31">
        <f>IF(OR($A$5="",$B$6="",ROW()&lt;$A$5),"",IF(INDEX($A:$AP,ROW(),$B$6)="","",INDEX($A:$AP,ROW(),$B$6)))</f>
        <v/>
      </c>
      <c r="AS1294" s="32">
        <f>IF($AR1294="","",IF(ISNUMBER($AR1294),IF($AR1294&gt;=10000000,IFERROR(DATE(INT($AR1294/10000),MOD(INT($AR1294/100),100),MOD($AR1294,100)),""),INT($AR1294)),IFERROR(DATE(--LEFT(LEFT(SUBSTITUTE(SUBSTITUTE(SUBSTITUTE(SUBSTITUTE(TRIM($AR1294),"-",""),".",""),"/","")," ",""),8),4),--MID(LEFT(SUBSTITUTE(SUBSTITUTE(SUBSTITUTE(SUBSTITUTE(TRIM($AR1294),"-",""),".",""),"/","")," ",""),8),5,2),--MID(LEFT(SUBSTITUTE(SUBSTITUTE(SUBSTITUTE(SUBSTITUTE(TRIM($AR1294),"-",""),".",""),"/","")," ",""),8),7,2)),"")))</f>
        <v/>
      </c>
      <c r="AT1294" s="33">
        <f>IF($AS1294="","",IF($F$6="",0,IF(ISNUMBER(INDEX($A:$AP,ROW(),$F$6)),INDEX($A:$AP,ROW(),$F$6),IFERROR(--SUBSTITUTE(SUBSTITUTE(TRIM(INDEX($A:$AP,ROW(),$F$6)),",",""),"원",""),0))))</f>
        <v/>
      </c>
      <c r="AU1294" s="31">
        <f>IF($AS1294="","",IF($AX1294&lt;&gt;"",SUBSTITUTE(SUBSTITUTE($AX1294,"-","")," ",""),"N:"&amp;$AV1294))</f>
        <v/>
      </c>
      <c r="AV1294" s="31">
        <f>IF(OR($AS1294="",$E$6=""),"",TRIM(INDEX($A:$AP,ROW(),$E$6)&amp;""))</f>
        <v/>
      </c>
      <c r="AW1294" s="31">
        <f>IF($AU1294="","",IF(MATCH($AU1294,$AU$8:$AU$2007,0)=ROW()-7,MAX($AW$7:$AW1293)+1,""))</f>
        <v/>
      </c>
      <c r="AX1294" s="31">
        <f>IF(OR($AS1294="",$D$6=""),"",TRIM(INDEX($A:$AP,ROW(),$D$6)&amp;""))</f>
        <v/>
      </c>
      <c r="AY1294" s="31">
        <f>IF($AU1294="","",INDEX($AW$8:$AW$2007,MATCH($AU1294,$AU$8:$AU$2007,0)))</f>
        <v/>
      </c>
      <c r="AZ1294" s="31">
        <f>IF(OR($AS1294="",$C$6=""),"",TRIM(INDEX($A:$AP,ROW(),$C$6)&amp;""))</f>
        <v/>
      </c>
      <c r="BA1294" s="31">
        <f>IF($AZ1294="","",IF(COUNTIF($AZ$8:$AZ1294,$AZ1294)&gt;1,1,0))</f>
        <v/>
      </c>
    </row>
    <row r="1295">
      <c r="AR1295" s="31">
        <f>IF(OR($A$5="",$B$6="",ROW()&lt;$A$5),"",IF(INDEX($A:$AP,ROW(),$B$6)="","",INDEX($A:$AP,ROW(),$B$6)))</f>
        <v/>
      </c>
      <c r="AS1295" s="32">
        <f>IF($AR1295="","",IF(ISNUMBER($AR1295),IF($AR1295&gt;=10000000,IFERROR(DATE(INT($AR1295/10000),MOD(INT($AR1295/100),100),MOD($AR1295,100)),""),INT($AR1295)),IFERROR(DATE(--LEFT(LEFT(SUBSTITUTE(SUBSTITUTE(SUBSTITUTE(SUBSTITUTE(TRIM($AR1295),"-",""),".",""),"/","")," ",""),8),4),--MID(LEFT(SUBSTITUTE(SUBSTITUTE(SUBSTITUTE(SUBSTITUTE(TRIM($AR1295),"-",""),".",""),"/","")," ",""),8),5,2),--MID(LEFT(SUBSTITUTE(SUBSTITUTE(SUBSTITUTE(SUBSTITUTE(TRIM($AR1295),"-",""),".",""),"/","")," ",""),8),7,2)),"")))</f>
        <v/>
      </c>
      <c r="AT1295" s="33">
        <f>IF($AS1295="","",IF($F$6="",0,IF(ISNUMBER(INDEX($A:$AP,ROW(),$F$6)),INDEX($A:$AP,ROW(),$F$6),IFERROR(--SUBSTITUTE(SUBSTITUTE(TRIM(INDEX($A:$AP,ROW(),$F$6)),",",""),"원",""),0))))</f>
        <v/>
      </c>
      <c r="AU1295" s="31">
        <f>IF($AS1295="","",IF($AX1295&lt;&gt;"",SUBSTITUTE(SUBSTITUTE($AX1295,"-","")," ",""),"N:"&amp;$AV1295))</f>
        <v/>
      </c>
      <c r="AV1295" s="31">
        <f>IF(OR($AS1295="",$E$6=""),"",TRIM(INDEX($A:$AP,ROW(),$E$6)&amp;""))</f>
        <v/>
      </c>
      <c r="AW1295" s="31">
        <f>IF($AU1295="","",IF(MATCH($AU1295,$AU$8:$AU$2007,0)=ROW()-7,MAX($AW$7:$AW1294)+1,""))</f>
        <v/>
      </c>
      <c r="AX1295" s="31">
        <f>IF(OR($AS1295="",$D$6=""),"",TRIM(INDEX($A:$AP,ROW(),$D$6)&amp;""))</f>
        <v/>
      </c>
      <c r="AY1295" s="31">
        <f>IF($AU1295="","",INDEX($AW$8:$AW$2007,MATCH($AU1295,$AU$8:$AU$2007,0)))</f>
        <v/>
      </c>
      <c r="AZ1295" s="31">
        <f>IF(OR($AS1295="",$C$6=""),"",TRIM(INDEX($A:$AP,ROW(),$C$6)&amp;""))</f>
        <v/>
      </c>
      <c r="BA1295" s="31">
        <f>IF($AZ1295="","",IF(COUNTIF($AZ$8:$AZ1295,$AZ1295)&gt;1,1,0))</f>
        <v/>
      </c>
    </row>
    <row r="1296">
      <c r="AR1296" s="31">
        <f>IF(OR($A$5="",$B$6="",ROW()&lt;$A$5),"",IF(INDEX($A:$AP,ROW(),$B$6)="","",INDEX($A:$AP,ROW(),$B$6)))</f>
        <v/>
      </c>
      <c r="AS1296" s="32">
        <f>IF($AR1296="","",IF(ISNUMBER($AR1296),IF($AR1296&gt;=10000000,IFERROR(DATE(INT($AR1296/10000),MOD(INT($AR1296/100),100),MOD($AR1296,100)),""),INT($AR1296)),IFERROR(DATE(--LEFT(LEFT(SUBSTITUTE(SUBSTITUTE(SUBSTITUTE(SUBSTITUTE(TRIM($AR1296),"-",""),".",""),"/","")," ",""),8),4),--MID(LEFT(SUBSTITUTE(SUBSTITUTE(SUBSTITUTE(SUBSTITUTE(TRIM($AR1296),"-",""),".",""),"/","")," ",""),8),5,2),--MID(LEFT(SUBSTITUTE(SUBSTITUTE(SUBSTITUTE(SUBSTITUTE(TRIM($AR1296),"-",""),".",""),"/","")," ",""),8),7,2)),"")))</f>
        <v/>
      </c>
      <c r="AT1296" s="33">
        <f>IF($AS1296="","",IF($F$6="",0,IF(ISNUMBER(INDEX($A:$AP,ROW(),$F$6)),INDEX($A:$AP,ROW(),$F$6),IFERROR(--SUBSTITUTE(SUBSTITUTE(TRIM(INDEX($A:$AP,ROW(),$F$6)),",",""),"원",""),0))))</f>
        <v/>
      </c>
      <c r="AU1296" s="31">
        <f>IF($AS1296="","",IF($AX1296&lt;&gt;"",SUBSTITUTE(SUBSTITUTE($AX1296,"-","")," ",""),"N:"&amp;$AV1296))</f>
        <v/>
      </c>
      <c r="AV1296" s="31">
        <f>IF(OR($AS1296="",$E$6=""),"",TRIM(INDEX($A:$AP,ROW(),$E$6)&amp;""))</f>
        <v/>
      </c>
      <c r="AW1296" s="31">
        <f>IF($AU1296="","",IF(MATCH($AU1296,$AU$8:$AU$2007,0)=ROW()-7,MAX($AW$7:$AW1295)+1,""))</f>
        <v/>
      </c>
      <c r="AX1296" s="31">
        <f>IF(OR($AS1296="",$D$6=""),"",TRIM(INDEX($A:$AP,ROW(),$D$6)&amp;""))</f>
        <v/>
      </c>
      <c r="AY1296" s="31">
        <f>IF($AU1296="","",INDEX($AW$8:$AW$2007,MATCH($AU1296,$AU$8:$AU$2007,0)))</f>
        <v/>
      </c>
      <c r="AZ1296" s="31">
        <f>IF(OR($AS1296="",$C$6=""),"",TRIM(INDEX($A:$AP,ROW(),$C$6)&amp;""))</f>
        <v/>
      </c>
      <c r="BA1296" s="31">
        <f>IF($AZ1296="","",IF(COUNTIF($AZ$8:$AZ1296,$AZ1296)&gt;1,1,0))</f>
        <v/>
      </c>
    </row>
    <row r="1297">
      <c r="AR1297" s="31">
        <f>IF(OR($A$5="",$B$6="",ROW()&lt;$A$5),"",IF(INDEX($A:$AP,ROW(),$B$6)="","",INDEX($A:$AP,ROW(),$B$6)))</f>
        <v/>
      </c>
      <c r="AS1297" s="32">
        <f>IF($AR1297="","",IF(ISNUMBER($AR1297),IF($AR1297&gt;=10000000,IFERROR(DATE(INT($AR1297/10000),MOD(INT($AR1297/100),100),MOD($AR1297,100)),""),INT($AR1297)),IFERROR(DATE(--LEFT(LEFT(SUBSTITUTE(SUBSTITUTE(SUBSTITUTE(SUBSTITUTE(TRIM($AR1297),"-",""),".",""),"/","")," ",""),8),4),--MID(LEFT(SUBSTITUTE(SUBSTITUTE(SUBSTITUTE(SUBSTITUTE(TRIM($AR1297),"-",""),".",""),"/","")," ",""),8),5,2),--MID(LEFT(SUBSTITUTE(SUBSTITUTE(SUBSTITUTE(SUBSTITUTE(TRIM($AR1297),"-",""),".",""),"/","")," ",""),8),7,2)),"")))</f>
        <v/>
      </c>
      <c r="AT1297" s="33">
        <f>IF($AS1297="","",IF($F$6="",0,IF(ISNUMBER(INDEX($A:$AP,ROW(),$F$6)),INDEX($A:$AP,ROW(),$F$6),IFERROR(--SUBSTITUTE(SUBSTITUTE(TRIM(INDEX($A:$AP,ROW(),$F$6)),",",""),"원",""),0))))</f>
        <v/>
      </c>
      <c r="AU1297" s="31">
        <f>IF($AS1297="","",IF($AX1297&lt;&gt;"",SUBSTITUTE(SUBSTITUTE($AX1297,"-","")," ",""),"N:"&amp;$AV1297))</f>
        <v/>
      </c>
      <c r="AV1297" s="31">
        <f>IF(OR($AS1297="",$E$6=""),"",TRIM(INDEX($A:$AP,ROW(),$E$6)&amp;""))</f>
        <v/>
      </c>
      <c r="AW1297" s="31">
        <f>IF($AU1297="","",IF(MATCH($AU1297,$AU$8:$AU$2007,0)=ROW()-7,MAX($AW$7:$AW1296)+1,""))</f>
        <v/>
      </c>
      <c r="AX1297" s="31">
        <f>IF(OR($AS1297="",$D$6=""),"",TRIM(INDEX($A:$AP,ROW(),$D$6)&amp;""))</f>
        <v/>
      </c>
      <c r="AY1297" s="31">
        <f>IF($AU1297="","",INDEX($AW$8:$AW$2007,MATCH($AU1297,$AU$8:$AU$2007,0)))</f>
        <v/>
      </c>
      <c r="AZ1297" s="31">
        <f>IF(OR($AS1297="",$C$6=""),"",TRIM(INDEX($A:$AP,ROW(),$C$6)&amp;""))</f>
        <v/>
      </c>
      <c r="BA1297" s="31">
        <f>IF($AZ1297="","",IF(COUNTIF($AZ$8:$AZ1297,$AZ1297)&gt;1,1,0))</f>
        <v/>
      </c>
    </row>
    <row r="1298">
      <c r="AR1298" s="31">
        <f>IF(OR($A$5="",$B$6="",ROW()&lt;$A$5),"",IF(INDEX($A:$AP,ROW(),$B$6)="","",INDEX($A:$AP,ROW(),$B$6)))</f>
        <v/>
      </c>
      <c r="AS1298" s="32">
        <f>IF($AR1298="","",IF(ISNUMBER($AR1298),IF($AR1298&gt;=10000000,IFERROR(DATE(INT($AR1298/10000),MOD(INT($AR1298/100),100),MOD($AR1298,100)),""),INT($AR1298)),IFERROR(DATE(--LEFT(LEFT(SUBSTITUTE(SUBSTITUTE(SUBSTITUTE(SUBSTITUTE(TRIM($AR1298),"-",""),".",""),"/","")," ",""),8),4),--MID(LEFT(SUBSTITUTE(SUBSTITUTE(SUBSTITUTE(SUBSTITUTE(TRIM($AR1298),"-",""),".",""),"/","")," ",""),8),5,2),--MID(LEFT(SUBSTITUTE(SUBSTITUTE(SUBSTITUTE(SUBSTITUTE(TRIM($AR1298),"-",""),".",""),"/","")," ",""),8),7,2)),"")))</f>
        <v/>
      </c>
      <c r="AT1298" s="33">
        <f>IF($AS1298="","",IF($F$6="",0,IF(ISNUMBER(INDEX($A:$AP,ROW(),$F$6)),INDEX($A:$AP,ROW(),$F$6),IFERROR(--SUBSTITUTE(SUBSTITUTE(TRIM(INDEX($A:$AP,ROW(),$F$6)),",",""),"원",""),0))))</f>
        <v/>
      </c>
      <c r="AU1298" s="31">
        <f>IF($AS1298="","",IF($AX1298&lt;&gt;"",SUBSTITUTE(SUBSTITUTE($AX1298,"-","")," ",""),"N:"&amp;$AV1298))</f>
        <v/>
      </c>
      <c r="AV1298" s="31">
        <f>IF(OR($AS1298="",$E$6=""),"",TRIM(INDEX($A:$AP,ROW(),$E$6)&amp;""))</f>
        <v/>
      </c>
      <c r="AW1298" s="31">
        <f>IF($AU1298="","",IF(MATCH($AU1298,$AU$8:$AU$2007,0)=ROW()-7,MAX($AW$7:$AW1297)+1,""))</f>
        <v/>
      </c>
      <c r="AX1298" s="31">
        <f>IF(OR($AS1298="",$D$6=""),"",TRIM(INDEX($A:$AP,ROW(),$D$6)&amp;""))</f>
        <v/>
      </c>
      <c r="AY1298" s="31">
        <f>IF($AU1298="","",INDEX($AW$8:$AW$2007,MATCH($AU1298,$AU$8:$AU$2007,0)))</f>
        <v/>
      </c>
      <c r="AZ1298" s="31">
        <f>IF(OR($AS1298="",$C$6=""),"",TRIM(INDEX($A:$AP,ROW(),$C$6)&amp;""))</f>
        <v/>
      </c>
      <c r="BA1298" s="31">
        <f>IF($AZ1298="","",IF(COUNTIF($AZ$8:$AZ1298,$AZ1298)&gt;1,1,0))</f>
        <v/>
      </c>
    </row>
    <row r="1299">
      <c r="AR1299" s="31">
        <f>IF(OR($A$5="",$B$6="",ROW()&lt;$A$5),"",IF(INDEX($A:$AP,ROW(),$B$6)="","",INDEX($A:$AP,ROW(),$B$6)))</f>
        <v/>
      </c>
      <c r="AS1299" s="32">
        <f>IF($AR1299="","",IF(ISNUMBER($AR1299),IF($AR1299&gt;=10000000,IFERROR(DATE(INT($AR1299/10000),MOD(INT($AR1299/100),100),MOD($AR1299,100)),""),INT($AR1299)),IFERROR(DATE(--LEFT(LEFT(SUBSTITUTE(SUBSTITUTE(SUBSTITUTE(SUBSTITUTE(TRIM($AR1299),"-",""),".",""),"/","")," ",""),8),4),--MID(LEFT(SUBSTITUTE(SUBSTITUTE(SUBSTITUTE(SUBSTITUTE(TRIM($AR1299),"-",""),".",""),"/","")," ",""),8),5,2),--MID(LEFT(SUBSTITUTE(SUBSTITUTE(SUBSTITUTE(SUBSTITUTE(TRIM($AR1299),"-",""),".",""),"/","")," ",""),8),7,2)),"")))</f>
        <v/>
      </c>
      <c r="AT1299" s="33">
        <f>IF($AS1299="","",IF($F$6="",0,IF(ISNUMBER(INDEX($A:$AP,ROW(),$F$6)),INDEX($A:$AP,ROW(),$F$6),IFERROR(--SUBSTITUTE(SUBSTITUTE(TRIM(INDEX($A:$AP,ROW(),$F$6)),",",""),"원",""),0))))</f>
        <v/>
      </c>
      <c r="AU1299" s="31">
        <f>IF($AS1299="","",IF($AX1299&lt;&gt;"",SUBSTITUTE(SUBSTITUTE($AX1299,"-","")," ",""),"N:"&amp;$AV1299))</f>
        <v/>
      </c>
      <c r="AV1299" s="31">
        <f>IF(OR($AS1299="",$E$6=""),"",TRIM(INDEX($A:$AP,ROW(),$E$6)&amp;""))</f>
        <v/>
      </c>
      <c r="AW1299" s="31">
        <f>IF($AU1299="","",IF(MATCH($AU1299,$AU$8:$AU$2007,0)=ROW()-7,MAX($AW$7:$AW1298)+1,""))</f>
        <v/>
      </c>
      <c r="AX1299" s="31">
        <f>IF(OR($AS1299="",$D$6=""),"",TRIM(INDEX($A:$AP,ROW(),$D$6)&amp;""))</f>
        <v/>
      </c>
      <c r="AY1299" s="31">
        <f>IF($AU1299="","",INDEX($AW$8:$AW$2007,MATCH($AU1299,$AU$8:$AU$2007,0)))</f>
        <v/>
      </c>
      <c r="AZ1299" s="31">
        <f>IF(OR($AS1299="",$C$6=""),"",TRIM(INDEX($A:$AP,ROW(),$C$6)&amp;""))</f>
        <v/>
      </c>
      <c r="BA1299" s="31">
        <f>IF($AZ1299="","",IF(COUNTIF($AZ$8:$AZ1299,$AZ1299)&gt;1,1,0))</f>
        <v/>
      </c>
    </row>
    <row r="1300">
      <c r="AR1300" s="31">
        <f>IF(OR($A$5="",$B$6="",ROW()&lt;$A$5),"",IF(INDEX($A:$AP,ROW(),$B$6)="","",INDEX($A:$AP,ROW(),$B$6)))</f>
        <v/>
      </c>
      <c r="AS1300" s="32">
        <f>IF($AR1300="","",IF(ISNUMBER($AR1300),IF($AR1300&gt;=10000000,IFERROR(DATE(INT($AR1300/10000),MOD(INT($AR1300/100),100),MOD($AR1300,100)),""),INT($AR1300)),IFERROR(DATE(--LEFT(LEFT(SUBSTITUTE(SUBSTITUTE(SUBSTITUTE(SUBSTITUTE(TRIM($AR1300),"-",""),".",""),"/","")," ",""),8),4),--MID(LEFT(SUBSTITUTE(SUBSTITUTE(SUBSTITUTE(SUBSTITUTE(TRIM($AR1300),"-",""),".",""),"/","")," ",""),8),5,2),--MID(LEFT(SUBSTITUTE(SUBSTITUTE(SUBSTITUTE(SUBSTITUTE(TRIM($AR1300),"-",""),".",""),"/","")," ",""),8),7,2)),"")))</f>
        <v/>
      </c>
      <c r="AT1300" s="33">
        <f>IF($AS1300="","",IF($F$6="",0,IF(ISNUMBER(INDEX($A:$AP,ROW(),$F$6)),INDEX($A:$AP,ROW(),$F$6),IFERROR(--SUBSTITUTE(SUBSTITUTE(TRIM(INDEX($A:$AP,ROW(),$F$6)),",",""),"원",""),0))))</f>
        <v/>
      </c>
      <c r="AU1300" s="31">
        <f>IF($AS1300="","",IF($AX1300&lt;&gt;"",SUBSTITUTE(SUBSTITUTE($AX1300,"-","")," ",""),"N:"&amp;$AV1300))</f>
        <v/>
      </c>
      <c r="AV1300" s="31">
        <f>IF(OR($AS1300="",$E$6=""),"",TRIM(INDEX($A:$AP,ROW(),$E$6)&amp;""))</f>
        <v/>
      </c>
      <c r="AW1300" s="31">
        <f>IF($AU1300="","",IF(MATCH($AU1300,$AU$8:$AU$2007,0)=ROW()-7,MAX($AW$7:$AW1299)+1,""))</f>
        <v/>
      </c>
      <c r="AX1300" s="31">
        <f>IF(OR($AS1300="",$D$6=""),"",TRIM(INDEX($A:$AP,ROW(),$D$6)&amp;""))</f>
        <v/>
      </c>
      <c r="AY1300" s="31">
        <f>IF($AU1300="","",INDEX($AW$8:$AW$2007,MATCH($AU1300,$AU$8:$AU$2007,0)))</f>
        <v/>
      </c>
      <c r="AZ1300" s="31">
        <f>IF(OR($AS1300="",$C$6=""),"",TRIM(INDEX($A:$AP,ROW(),$C$6)&amp;""))</f>
        <v/>
      </c>
      <c r="BA1300" s="31">
        <f>IF($AZ1300="","",IF(COUNTIF($AZ$8:$AZ1300,$AZ1300)&gt;1,1,0))</f>
        <v/>
      </c>
    </row>
    <row r="1301">
      <c r="AR1301" s="31">
        <f>IF(OR($A$5="",$B$6="",ROW()&lt;$A$5),"",IF(INDEX($A:$AP,ROW(),$B$6)="","",INDEX($A:$AP,ROW(),$B$6)))</f>
        <v/>
      </c>
      <c r="AS1301" s="32">
        <f>IF($AR1301="","",IF(ISNUMBER($AR1301),IF($AR1301&gt;=10000000,IFERROR(DATE(INT($AR1301/10000),MOD(INT($AR1301/100),100),MOD($AR1301,100)),""),INT($AR1301)),IFERROR(DATE(--LEFT(LEFT(SUBSTITUTE(SUBSTITUTE(SUBSTITUTE(SUBSTITUTE(TRIM($AR1301),"-",""),".",""),"/","")," ",""),8),4),--MID(LEFT(SUBSTITUTE(SUBSTITUTE(SUBSTITUTE(SUBSTITUTE(TRIM($AR1301),"-",""),".",""),"/","")," ",""),8),5,2),--MID(LEFT(SUBSTITUTE(SUBSTITUTE(SUBSTITUTE(SUBSTITUTE(TRIM($AR1301),"-",""),".",""),"/","")," ",""),8),7,2)),"")))</f>
        <v/>
      </c>
      <c r="AT1301" s="33">
        <f>IF($AS1301="","",IF($F$6="",0,IF(ISNUMBER(INDEX($A:$AP,ROW(),$F$6)),INDEX($A:$AP,ROW(),$F$6),IFERROR(--SUBSTITUTE(SUBSTITUTE(TRIM(INDEX($A:$AP,ROW(),$F$6)),",",""),"원",""),0))))</f>
        <v/>
      </c>
      <c r="AU1301" s="31">
        <f>IF($AS1301="","",IF($AX1301&lt;&gt;"",SUBSTITUTE(SUBSTITUTE($AX1301,"-","")," ",""),"N:"&amp;$AV1301))</f>
        <v/>
      </c>
      <c r="AV1301" s="31">
        <f>IF(OR($AS1301="",$E$6=""),"",TRIM(INDEX($A:$AP,ROW(),$E$6)&amp;""))</f>
        <v/>
      </c>
      <c r="AW1301" s="31">
        <f>IF($AU1301="","",IF(MATCH($AU1301,$AU$8:$AU$2007,0)=ROW()-7,MAX($AW$7:$AW1300)+1,""))</f>
        <v/>
      </c>
      <c r="AX1301" s="31">
        <f>IF(OR($AS1301="",$D$6=""),"",TRIM(INDEX($A:$AP,ROW(),$D$6)&amp;""))</f>
        <v/>
      </c>
      <c r="AY1301" s="31">
        <f>IF($AU1301="","",INDEX($AW$8:$AW$2007,MATCH($AU1301,$AU$8:$AU$2007,0)))</f>
        <v/>
      </c>
      <c r="AZ1301" s="31">
        <f>IF(OR($AS1301="",$C$6=""),"",TRIM(INDEX($A:$AP,ROW(),$C$6)&amp;""))</f>
        <v/>
      </c>
      <c r="BA1301" s="31">
        <f>IF($AZ1301="","",IF(COUNTIF($AZ$8:$AZ1301,$AZ1301)&gt;1,1,0))</f>
        <v/>
      </c>
    </row>
    <row r="1302">
      <c r="AR1302" s="31">
        <f>IF(OR($A$5="",$B$6="",ROW()&lt;$A$5),"",IF(INDEX($A:$AP,ROW(),$B$6)="","",INDEX($A:$AP,ROW(),$B$6)))</f>
        <v/>
      </c>
      <c r="AS1302" s="32">
        <f>IF($AR1302="","",IF(ISNUMBER($AR1302),IF($AR1302&gt;=10000000,IFERROR(DATE(INT($AR1302/10000),MOD(INT($AR1302/100),100),MOD($AR1302,100)),""),INT($AR1302)),IFERROR(DATE(--LEFT(LEFT(SUBSTITUTE(SUBSTITUTE(SUBSTITUTE(SUBSTITUTE(TRIM($AR1302),"-",""),".",""),"/","")," ",""),8),4),--MID(LEFT(SUBSTITUTE(SUBSTITUTE(SUBSTITUTE(SUBSTITUTE(TRIM($AR1302),"-",""),".",""),"/","")," ",""),8),5,2),--MID(LEFT(SUBSTITUTE(SUBSTITUTE(SUBSTITUTE(SUBSTITUTE(TRIM($AR1302),"-",""),".",""),"/","")," ",""),8),7,2)),"")))</f>
        <v/>
      </c>
      <c r="AT1302" s="33">
        <f>IF($AS1302="","",IF($F$6="",0,IF(ISNUMBER(INDEX($A:$AP,ROW(),$F$6)),INDEX($A:$AP,ROW(),$F$6),IFERROR(--SUBSTITUTE(SUBSTITUTE(TRIM(INDEX($A:$AP,ROW(),$F$6)),",",""),"원",""),0))))</f>
        <v/>
      </c>
      <c r="AU1302" s="31">
        <f>IF($AS1302="","",IF($AX1302&lt;&gt;"",SUBSTITUTE(SUBSTITUTE($AX1302,"-","")," ",""),"N:"&amp;$AV1302))</f>
        <v/>
      </c>
      <c r="AV1302" s="31">
        <f>IF(OR($AS1302="",$E$6=""),"",TRIM(INDEX($A:$AP,ROW(),$E$6)&amp;""))</f>
        <v/>
      </c>
      <c r="AW1302" s="31">
        <f>IF($AU1302="","",IF(MATCH($AU1302,$AU$8:$AU$2007,0)=ROW()-7,MAX($AW$7:$AW1301)+1,""))</f>
        <v/>
      </c>
      <c r="AX1302" s="31">
        <f>IF(OR($AS1302="",$D$6=""),"",TRIM(INDEX($A:$AP,ROW(),$D$6)&amp;""))</f>
        <v/>
      </c>
      <c r="AY1302" s="31">
        <f>IF($AU1302="","",INDEX($AW$8:$AW$2007,MATCH($AU1302,$AU$8:$AU$2007,0)))</f>
        <v/>
      </c>
      <c r="AZ1302" s="31">
        <f>IF(OR($AS1302="",$C$6=""),"",TRIM(INDEX($A:$AP,ROW(),$C$6)&amp;""))</f>
        <v/>
      </c>
      <c r="BA1302" s="31">
        <f>IF($AZ1302="","",IF(COUNTIF($AZ$8:$AZ1302,$AZ1302)&gt;1,1,0))</f>
        <v/>
      </c>
    </row>
    <row r="1303">
      <c r="AR1303" s="31">
        <f>IF(OR($A$5="",$B$6="",ROW()&lt;$A$5),"",IF(INDEX($A:$AP,ROW(),$B$6)="","",INDEX($A:$AP,ROW(),$B$6)))</f>
        <v/>
      </c>
      <c r="AS1303" s="32">
        <f>IF($AR1303="","",IF(ISNUMBER($AR1303),IF($AR1303&gt;=10000000,IFERROR(DATE(INT($AR1303/10000),MOD(INT($AR1303/100),100),MOD($AR1303,100)),""),INT($AR1303)),IFERROR(DATE(--LEFT(LEFT(SUBSTITUTE(SUBSTITUTE(SUBSTITUTE(SUBSTITUTE(TRIM($AR1303),"-",""),".",""),"/","")," ",""),8),4),--MID(LEFT(SUBSTITUTE(SUBSTITUTE(SUBSTITUTE(SUBSTITUTE(TRIM($AR1303),"-",""),".",""),"/","")," ",""),8),5,2),--MID(LEFT(SUBSTITUTE(SUBSTITUTE(SUBSTITUTE(SUBSTITUTE(TRIM($AR1303),"-",""),".",""),"/","")," ",""),8),7,2)),"")))</f>
        <v/>
      </c>
      <c r="AT1303" s="33">
        <f>IF($AS1303="","",IF($F$6="",0,IF(ISNUMBER(INDEX($A:$AP,ROW(),$F$6)),INDEX($A:$AP,ROW(),$F$6),IFERROR(--SUBSTITUTE(SUBSTITUTE(TRIM(INDEX($A:$AP,ROW(),$F$6)),",",""),"원",""),0))))</f>
        <v/>
      </c>
      <c r="AU1303" s="31">
        <f>IF($AS1303="","",IF($AX1303&lt;&gt;"",SUBSTITUTE(SUBSTITUTE($AX1303,"-","")," ",""),"N:"&amp;$AV1303))</f>
        <v/>
      </c>
      <c r="AV1303" s="31">
        <f>IF(OR($AS1303="",$E$6=""),"",TRIM(INDEX($A:$AP,ROW(),$E$6)&amp;""))</f>
        <v/>
      </c>
      <c r="AW1303" s="31">
        <f>IF($AU1303="","",IF(MATCH($AU1303,$AU$8:$AU$2007,0)=ROW()-7,MAX($AW$7:$AW1302)+1,""))</f>
        <v/>
      </c>
      <c r="AX1303" s="31">
        <f>IF(OR($AS1303="",$D$6=""),"",TRIM(INDEX($A:$AP,ROW(),$D$6)&amp;""))</f>
        <v/>
      </c>
      <c r="AY1303" s="31">
        <f>IF($AU1303="","",INDEX($AW$8:$AW$2007,MATCH($AU1303,$AU$8:$AU$2007,0)))</f>
        <v/>
      </c>
      <c r="AZ1303" s="31">
        <f>IF(OR($AS1303="",$C$6=""),"",TRIM(INDEX($A:$AP,ROW(),$C$6)&amp;""))</f>
        <v/>
      </c>
      <c r="BA1303" s="31">
        <f>IF($AZ1303="","",IF(COUNTIF($AZ$8:$AZ1303,$AZ1303)&gt;1,1,0))</f>
        <v/>
      </c>
    </row>
    <row r="1304">
      <c r="AR1304" s="31">
        <f>IF(OR($A$5="",$B$6="",ROW()&lt;$A$5),"",IF(INDEX($A:$AP,ROW(),$B$6)="","",INDEX($A:$AP,ROW(),$B$6)))</f>
        <v/>
      </c>
      <c r="AS1304" s="32">
        <f>IF($AR1304="","",IF(ISNUMBER($AR1304),IF($AR1304&gt;=10000000,IFERROR(DATE(INT($AR1304/10000),MOD(INT($AR1304/100),100),MOD($AR1304,100)),""),INT($AR1304)),IFERROR(DATE(--LEFT(LEFT(SUBSTITUTE(SUBSTITUTE(SUBSTITUTE(SUBSTITUTE(TRIM($AR1304),"-",""),".",""),"/","")," ",""),8),4),--MID(LEFT(SUBSTITUTE(SUBSTITUTE(SUBSTITUTE(SUBSTITUTE(TRIM($AR1304),"-",""),".",""),"/","")," ",""),8),5,2),--MID(LEFT(SUBSTITUTE(SUBSTITUTE(SUBSTITUTE(SUBSTITUTE(TRIM($AR1304),"-",""),".",""),"/","")," ",""),8),7,2)),"")))</f>
        <v/>
      </c>
      <c r="AT1304" s="33">
        <f>IF($AS1304="","",IF($F$6="",0,IF(ISNUMBER(INDEX($A:$AP,ROW(),$F$6)),INDEX($A:$AP,ROW(),$F$6),IFERROR(--SUBSTITUTE(SUBSTITUTE(TRIM(INDEX($A:$AP,ROW(),$F$6)),",",""),"원",""),0))))</f>
        <v/>
      </c>
      <c r="AU1304" s="31">
        <f>IF($AS1304="","",IF($AX1304&lt;&gt;"",SUBSTITUTE(SUBSTITUTE($AX1304,"-","")," ",""),"N:"&amp;$AV1304))</f>
        <v/>
      </c>
      <c r="AV1304" s="31">
        <f>IF(OR($AS1304="",$E$6=""),"",TRIM(INDEX($A:$AP,ROW(),$E$6)&amp;""))</f>
        <v/>
      </c>
      <c r="AW1304" s="31">
        <f>IF($AU1304="","",IF(MATCH($AU1304,$AU$8:$AU$2007,0)=ROW()-7,MAX($AW$7:$AW1303)+1,""))</f>
        <v/>
      </c>
      <c r="AX1304" s="31">
        <f>IF(OR($AS1304="",$D$6=""),"",TRIM(INDEX($A:$AP,ROW(),$D$6)&amp;""))</f>
        <v/>
      </c>
      <c r="AY1304" s="31">
        <f>IF($AU1304="","",INDEX($AW$8:$AW$2007,MATCH($AU1304,$AU$8:$AU$2007,0)))</f>
        <v/>
      </c>
      <c r="AZ1304" s="31">
        <f>IF(OR($AS1304="",$C$6=""),"",TRIM(INDEX($A:$AP,ROW(),$C$6)&amp;""))</f>
        <v/>
      </c>
      <c r="BA1304" s="31">
        <f>IF($AZ1304="","",IF(COUNTIF($AZ$8:$AZ1304,$AZ1304)&gt;1,1,0))</f>
        <v/>
      </c>
    </row>
    <row r="1305">
      <c r="AR1305" s="31">
        <f>IF(OR($A$5="",$B$6="",ROW()&lt;$A$5),"",IF(INDEX($A:$AP,ROW(),$B$6)="","",INDEX($A:$AP,ROW(),$B$6)))</f>
        <v/>
      </c>
      <c r="AS1305" s="32">
        <f>IF($AR1305="","",IF(ISNUMBER($AR1305),IF($AR1305&gt;=10000000,IFERROR(DATE(INT($AR1305/10000),MOD(INT($AR1305/100),100),MOD($AR1305,100)),""),INT($AR1305)),IFERROR(DATE(--LEFT(LEFT(SUBSTITUTE(SUBSTITUTE(SUBSTITUTE(SUBSTITUTE(TRIM($AR1305),"-",""),".",""),"/","")," ",""),8),4),--MID(LEFT(SUBSTITUTE(SUBSTITUTE(SUBSTITUTE(SUBSTITUTE(TRIM($AR1305),"-",""),".",""),"/","")," ",""),8),5,2),--MID(LEFT(SUBSTITUTE(SUBSTITUTE(SUBSTITUTE(SUBSTITUTE(TRIM($AR1305),"-",""),".",""),"/","")," ",""),8),7,2)),"")))</f>
        <v/>
      </c>
      <c r="AT1305" s="33">
        <f>IF($AS1305="","",IF($F$6="",0,IF(ISNUMBER(INDEX($A:$AP,ROW(),$F$6)),INDEX($A:$AP,ROW(),$F$6),IFERROR(--SUBSTITUTE(SUBSTITUTE(TRIM(INDEX($A:$AP,ROW(),$F$6)),",",""),"원",""),0))))</f>
        <v/>
      </c>
      <c r="AU1305" s="31">
        <f>IF($AS1305="","",IF($AX1305&lt;&gt;"",SUBSTITUTE(SUBSTITUTE($AX1305,"-","")," ",""),"N:"&amp;$AV1305))</f>
        <v/>
      </c>
      <c r="AV1305" s="31">
        <f>IF(OR($AS1305="",$E$6=""),"",TRIM(INDEX($A:$AP,ROW(),$E$6)&amp;""))</f>
        <v/>
      </c>
      <c r="AW1305" s="31">
        <f>IF($AU1305="","",IF(MATCH($AU1305,$AU$8:$AU$2007,0)=ROW()-7,MAX($AW$7:$AW1304)+1,""))</f>
        <v/>
      </c>
      <c r="AX1305" s="31">
        <f>IF(OR($AS1305="",$D$6=""),"",TRIM(INDEX($A:$AP,ROW(),$D$6)&amp;""))</f>
        <v/>
      </c>
      <c r="AY1305" s="31">
        <f>IF($AU1305="","",INDEX($AW$8:$AW$2007,MATCH($AU1305,$AU$8:$AU$2007,0)))</f>
        <v/>
      </c>
      <c r="AZ1305" s="31">
        <f>IF(OR($AS1305="",$C$6=""),"",TRIM(INDEX($A:$AP,ROW(),$C$6)&amp;""))</f>
        <v/>
      </c>
      <c r="BA1305" s="31">
        <f>IF($AZ1305="","",IF(COUNTIF($AZ$8:$AZ1305,$AZ1305)&gt;1,1,0))</f>
        <v/>
      </c>
    </row>
    <row r="1306">
      <c r="AR1306" s="31">
        <f>IF(OR($A$5="",$B$6="",ROW()&lt;$A$5),"",IF(INDEX($A:$AP,ROW(),$B$6)="","",INDEX($A:$AP,ROW(),$B$6)))</f>
        <v/>
      </c>
      <c r="AS1306" s="32">
        <f>IF($AR1306="","",IF(ISNUMBER($AR1306),IF($AR1306&gt;=10000000,IFERROR(DATE(INT($AR1306/10000),MOD(INT($AR1306/100),100),MOD($AR1306,100)),""),INT($AR1306)),IFERROR(DATE(--LEFT(LEFT(SUBSTITUTE(SUBSTITUTE(SUBSTITUTE(SUBSTITUTE(TRIM($AR1306),"-",""),".",""),"/","")," ",""),8),4),--MID(LEFT(SUBSTITUTE(SUBSTITUTE(SUBSTITUTE(SUBSTITUTE(TRIM($AR1306),"-",""),".",""),"/","")," ",""),8),5,2),--MID(LEFT(SUBSTITUTE(SUBSTITUTE(SUBSTITUTE(SUBSTITUTE(TRIM($AR1306),"-",""),".",""),"/","")," ",""),8),7,2)),"")))</f>
        <v/>
      </c>
      <c r="AT1306" s="33">
        <f>IF($AS1306="","",IF($F$6="",0,IF(ISNUMBER(INDEX($A:$AP,ROW(),$F$6)),INDEX($A:$AP,ROW(),$F$6),IFERROR(--SUBSTITUTE(SUBSTITUTE(TRIM(INDEX($A:$AP,ROW(),$F$6)),",",""),"원",""),0))))</f>
        <v/>
      </c>
      <c r="AU1306" s="31">
        <f>IF($AS1306="","",IF($AX1306&lt;&gt;"",SUBSTITUTE(SUBSTITUTE($AX1306,"-","")," ",""),"N:"&amp;$AV1306))</f>
        <v/>
      </c>
      <c r="AV1306" s="31">
        <f>IF(OR($AS1306="",$E$6=""),"",TRIM(INDEX($A:$AP,ROW(),$E$6)&amp;""))</f>
        <v/>
      </c>
      <c r="AW1306" s="31">
        <f>IF($AU1306="","",IF(MATCH($AU1306,$AU$8:$AU$2007,0)=ROW()-7,MAX($AW$7:$AW1305)+1,""))</f>
        <v/>
      </c>
      <c r="AX1306" s="31">
        <f>IF(OR($AS1306="",$D$6=""),"",TRIM(INDEX($A:$AP,ROW(),$D$6)&amp;""))</f>
        <v/>
      </c>
      <c r="AY1306" s="31">
        <f>IF($AU1306="","",INDEX($AW$8:$AW$2007,MATCH($AU1306,$AU$8:$AU$2007,0)))</f>
        <v/>
      </c>
      <c r="AZ1306" s="31">
        <f>IF(OR($AS1306="",$C$6=""),"",TRIM(INDEX($A:$AP,ROW(),$C$6)&amp;""))</f>
        <v/>
      </c>
      <c r="BA1306" s="31">
        <f>IF($AZ1306="","",IF(COUNTIF($AZ$8:$AZ1306,$AZ1306)&gt;1,1,0))</f>
        <v/>
      </c>
    </row>
    <row r="1307">
      <c r="AR1307" s="31">
        <f>IF(OR($A$5="",$B$6="",ROW()&lt;$A$5),"",IF(INDEX($A:$AP,ROW(),$B$6)="","",INDEX($A:$AP,ROW(),$B$6)))</f>
        <v/>
      </c>
      <c r="AS1307" s="32">
        <f>IF($AR1307="","",IF(ISNUMBER($AR1307),IF($AR1307&gt;=10000000,IFERROR(DATE(INT($AR1307/10000),MOD(INT($AR1307/100),100),MOD($AR1307,100)),""),INT($AR1307)),IFERROR(DATE(--LEFT(LEFT(SUBSTITUTE(SUBSTITUTE(SUBSTITUTE(SUBSTITUTE(TRIM($AR1307),"-",""),".",""),"/","")," ",""),8),4),--MID(LEFT(SUBSTITUTE(SUBSTITUTE(SUBSTITUTE(SUBSTITUTE(TRIM($AR1307),"-",""),".",""),"/","")," ",""),8),5,2),--MID(LEFT(SUBSTITUTE(SUBSTITUTE(SUBSTITUTE(SUBSTITUTE(TRIM($AR1307),"-",""),".",""),"/","")," ",""),8),7,2)),"")))</f>
        <v/>
      </c>
      <c r="AT1307" s="33">
        <f>IF($AS1307="","",IF($F$6="",0,IF(ISNUMBER(INDEX($A:$AP,ROW(),$F$6)),INDEX($A:$AP,ROW(),$F$6),IFERROR(--SUBSTITUTE(SUBSTITUTE(TRIM(INDEX($A:$AP,ROW(),$F$6)),",",""),"원",""),0))))</f>
        <v/>
      </c>
      <c r="AU1307" s="31">
        <f>IF($AS1307="","",IF($AX1307&lt;&gt;"",SUBSTITUTE(SUBSTITUTE($AX1307,"-","")," ",""),"N:"&amp;$AV1307))</f>
        <v/>
      </c>
      <c r="AV1307" s="31">
        <f>IF(OR($AS1307="",$E$6=""),"",TRIM(INDEX($A:$AP,ROW(),$E$6)&amp;""))</f>
        <v/>
      </c>
      <c r="AW1307" s="31">
        <f>IF($AU1307="","",IF(MATCH($AU1307,$AU$8:$AU$2007,0)=ROW()-7,MAX($AW$7:$AW1306)+1,""))</f>
        <v/>
      </c>
      <c r="AX1307" s="31">
        <f>IF(OR($AS1307="",$D$6=""),"",TRIM(INDEX($A:$AP,ROW(),$D$6)&amp;""))</f>
        <v/>
      </c>
      <c r="AY1307" s="31">
        <f>IF($AU1307="","",INDEX($AW$8:$AW$2007,MATCH($AU1307,$AU$8:$AU$2007,0)))</f>
        <v/>
      </c>
      <c r="AZ1307" s="31">
        <f>IF(OR($AS1307="",$C$6=""),"",TRIM(INDEX($A:$AP,ROW(),$C$6)&amp;""))</f>
        <v/>
      </c>
      <c r="BA1307" s="31">
        <f>IF($AZ1307="","",IF(COUNTIF($AZ$8:$AZ1307,$AZ1307)&gt;1,1,0))</f>
        <v/>
      </c>
    </row>
    <row r="1308">
      <c r="AR1308" s="31">
        <f>IF(OR($A$5="",$B$6="",ROW()&lt;$A$5),"",IF(INDEX($A:$AP,ROW(),$B$6)="","",INDEX($A:$AP,ROW(),$B$6)))</f>
        <v/>
      </c>
      <c r="AS1308" s="32">
        <f>IF($AR1308="","",IF(ISNUMBER($AR1308),IF($AR1308&gt;=10000000,IFERROR(DATE(INT($AR1308/10000),MOD(INT($AR1308/100),100),MOD($AR1308,100)),""),INT($AR1308)),IFERROR(DATE(--LEFT(LEFT(SUBSTITUTE(SUBSTITUTE(SUBSTITUTE(SUBSTITUTE(TRIM($AR1308),"-",""),".",""),"/","")," ",""),8),4),--MID(LEFT(SUBSTITUTE(SUBSTITUTE(SUBSTITUTE(SUBSTITUTE(TRIM($AR1308),"-",""),".",""),"/","")," ",""),8),5,2),--MID(LEFT(SUBSTITUTE(SUBSTITUTE(SUBSTITUTE(SUBSTITUTE(TRIM($AR1308),"-",""),".",""),"/","")," ",""),8),7,2)),"")))</f>
        <v/>
      </c>
      <c r="AT1308" s="33">
        <f>IF($AS1308="","",IF($F$6="",0,IF(ISNUMBER(INDEX($A:$AP,ROW(),$F$6)),INDEX($A:$AP,ROW(),$F$6),IFERROR(--SUBSTITUTE(SUBSTITUTE(TRIM(INDEX($A:$AP,ROW(),$F$6)),",",""),"원",""),0))))</f>
        <v/>
      </c>
      <c r="AU1308" s="31">
        <f>IF($AS1308="","",IF($AX1308&lt;&gt;"",SUBSTITUTE(SUBSTITUTE($AX1308,"-","")," ",""),"N:"&amp;$AV1308))</f>
        <v/>
      </c>
      <c r="AV1308" s="31">
        <f>IF(OR($AS1308="",$E$6=""),"",TRIM(INDEX($A:$AP,ROW(),$E$6)&amp;""))</f>
        <v/>
      </c>
      <c r="AW1308" s="31">
        <f>IF($AU1308="","",IF(MATCH($AU1308,$AU$8:$AU$2007,0)=ROW()-7,MAX($AW$7:$AW1307)+1,""))</f>
        <v/>
      </c>
      <c r="AX1308" s="31">
        <f>IF(OR($AS1308="",$D$6=""),"",TRIM(INDEX($A:$AP,ROW(),$D$6)&amp;""))</f>
        <v/>
      </c>
      <c r="AY1308" s="31">
        <f>IF($AU1308="","",INDEX($AW$8:$AW$2007,MATCH($AU1308,$AU$8:$AU$2007,0)))</f>
        <v/>
      </c>
      <c r="AZ1308" s="31">
        <f>IF(OR($AS1308="",$C$6=""),"",TRIM(INDEX($A:$AP,ROW(),$C$6)&amp;""))</f>
        <v/>
      </c>
      <c r="BA1308" s="31">
        <f>IF($AZ1308="","",IF(COUNTIF($AZ$8:$AZ1308,$AZ1308)&gt;1,1,0))</f>
        <v/>
      </c>
    </row>
    <row r="1309">
      <c r="AR1309" s="31">
        <f>IF(OR($A$5="",$B$6="",ROW()&lt;$A$5),"",IF(INDEX($A:$AP,ROW(),$B$6)="","",INDEX($A:$AP,ROW(),$B$6)))</f>
        <v/>
      </c>
      <c r="AS1309" s="32">
        <f>IF($AR1309="","",IF(ISNUMBER($AR1309),IF($AR1309&gt;=10000000,IFERROR(DATE(INT($AR1309/10000),MOD(INT($AR1309/100),100),MOD($AR1309,100)),""),INT($AR1309)),IFERROR(DATE(--LEFT(LEFT(SUBSTITUTE(SUBSTITUTE(SUBSTITUTE(SUBSTITUTE(TRIM($AR1309),"-",""),".",""),"/","")," ",""),8),4),--MID(LEFT(SUBSTITUTE(SUBSTITUTE(SUBSTITUTE(SUBSTITUTE(TRIM($AR1309),"-",""),".",""),"/","")," ",""),8),5,2),--MID(LEFT(SUBSTITUTE(SUBSTITUTE(SUBSTITUTE(SUBSTITUTE(TRIM($AR1309),"-",""),".",""),"/","")," ",""),8),7,2)),"")))</f>
        <v/>
      </c>
      <c r="AT1309" s="33">
        <f>IF($AS1309="","",IF($F$6="",0,IF(ISNUMBER(INDEX($A:$AP,ROW(),$F$6)),INDEX($A:$AP,ROW(),$F$6),IFERROR(--SUBSTITUTE(SUBSTITUTE(TRIM(INDEX($A:$AP,ROW(),$F$6)),",",""),"원",""),0))))</f>
        <v/>
      </c>
      <c r="AU1309" s="31">
        <f>IF($AS1309="","",IF($AX1309&lt;&gt;"",SUBSTITUTE(SUBSTITUTE($AX1309,"-","")," ",""),"N:"&amp;$AV1309))</f>
        <v/>
      </c>
      <c r="AV1309" s="31">
        <f>IF(OR($AS1309="",$E$6=""),"",TRIM(INDEX($A:$AP,ROW(),$E$6)&amp;""))</f>
        <v/>
      </c>
      <c r="AW1309" s="31">
        <f>IF($AU1309="","",IF(MATCH($AU1309,$AU$8:$AU$2007,0)=ROW()-7,MAX($AW$7:$AW1308)+1,""))</f>
        <v/>
      </c>
      <c r="AX1309" s="31">
        <f>IF(OR($AS1309="",$D$6=""),"",TRIM(INDEX($A:$AP,ROW(),$D$6)&amp;""))</f>
        <v/>
      </c>
      <c r="AY1309" s="31">
        <f>IF($AU1309="","",INDEX($AW$8:$AW$2007,MATCH($AU1309,$AU$8:$AU$2007,0)))</f>
        <v/>
      </c>
      <c r="AZ1309" s="31">
        <f>IF(OR($AS1309="",$C$6=""),"",TRIM(INDEX($A:$AP,ROW(),$C$6)&amp;""))</f>
        <v/>
      </c>
      <c r="BA1309" s="31">
        <f>IF($AZ1309="","",IF(COUNTIF($AZ$8:$AZ1309,$AZ1309)&gt;1,1,0))</f>
        <v/>
      </c>
    </row>
    <row r="1310">
      <c r="AR1310" s="31">
        <f>IF(OR($A$5="",$B$6="",ROW()&lt;$A$5),"",IF(INDEX($A:$AP,ROW(),$B$6)="","",INDEX($A:$AP,ROW(),$B$6)))</f>
        <v/>
      </c>
      <c r="AS1310" s="32">
        <f>IF($AR1310="","",IF(ISNUMBER($AR1310),IF($AR1310&gt;=10000000,IFERROR(DATE(INT($AR1310/10000),MOD(INT($AR1310/100),100),MOD($AR1310,100)),""),INT($AR1310)),IFERROR(DATE(--LEFT(LEFT(SUBSTITUTE(SUBSTITUTE(SUBSTITUTE(SUBSTITUTE(TRIM($AR1310),"-",""),".",""),"/","")," ",""),8),4),--MID(LEFT(SUBSTITUTE(SUBSTITUTE(SUBSTITUTE(SUBSTITUTE(TRIM($AR1310),"-",""),".",""),"/","")," ",""),8),5,2),--MID(LEFT(SUBSTITUTE(SUBSTITUTE(SUBSTITUTE(SUBSTITUTE(TRIM($AR1310),"-",""),".",""),"/","")," ",""),8),7,2)),"")))</f>
        <v/>
      </c>
      <c r="AT1310" s="33">
        <f>IF($AS1310="","",IF($F$6="",0,IF(ISNUMBER(INDEX($A:$AP,ROW(),$F$6)),INDEX($A:$AP,ROW(),$F$6),IFERROR(--SUBSTITUTE(SUBSTITUTE(TRIM(INDEX($A:$AP,ROW(),$F$6)),",",""),"원",""),0))))</f>
        <v/>
      </c>
      <c r="AU1310" s="31">
        <f>IF($AS1310="","",IF($AX1310&lt;&gt;"",SUBSTITUTE(SUBSTITUTE($AX1310,"-","")," ",""),"N:"&amp;$AV1310))</f>
        <v/>
      </c>
      <c r="AV1310" s="31">
        <f>IF(OR($AS1310="",$E$6=""),"",TRIM(INDEX($A:$AP,ROW(),$E$6)&amp;""))</f>
        <v/>
      </c>
      <c r="AW1310" s="31">
        <f>IF($AU1310="","",IF(MATCH($AU1310,$AU$8:$AU$2007,0)=ROW()-7,MAX($AW$7:$AW1309)+1,""))</f>
        <v/>
      </c>
      <c r="AX1310" s="31">
        <f>IF(OR($AS1310="",$D$6=""),"",TRIM(INDEX($A:$AP,ROW(),$D$6)&amp;""))</f>
        <v/>
      </c>
      <c r="AY1310" s="31">
        <f>IF($AU1310="","",INDEX($AW$8:$AW$2007,MATCH($AU1310,$AU$8:$AU$2007,0)))</f>
        <v/>
      </c>
      <c r="AZ1310" s="31">
        <f>IF(OR($AS1310="",$C$6=""),"",TRIM(INDEX($A:$AP,ROW(),$C$6)&amp;""))</f>
        <v/>
      </c>
      <c r="BA1310" s="31">
        <f>IF($AZ1310="","",IF(COUNTIF($AZ$8:$AZ1310,$AZ1310)&gt;1,1,0))</f>
        <v/>
      </c>
    </row>
    <row r="1311">
      <c r="AR1311" s="31">
        <f>IF(OR($A$5="",$B$6="",ROW()&lt;$A$5),"",IF(INDEX($A:$AP,ROW(),$B$6)="","",INDEX($A:$AP,ROW(),$B$6)))</f>
        <v/>
      </c>
      <c r="AS1311" s="32">
        <f>IF($AR1311="","",IF(ISNUMBER($AR1311),IF($AR1311&gt;=10000000,IFERROR(DATE(INT($AR1311/10000),MOD(INT($AR1311/100),100),MOD($AR1311,100)),""),INT($AR1311)),IFERROR(DATE(--LEFT(LEFT(SUBSTITUTE(SUBSTITUTE(SUBSTITUTE(SUBSTITUTE(TRIM($AR1311),"-",""),".",""),"/","")," ",""),8),4),--MID(LEFT(SUBSTITUTE(SUBSTITUTE(SUBSTITUTE(SUBSTITUTE(TRIM($AR1311),"-",""),".",""),"/","")," ",""),8),5,2),--MID(LEFT(SUBSTITUTE(SUBSTITUTE(SUBSTITUTE(SUBSTITUTE(TRIM($AR1311),"-",""),".",""),"/","")," ",""),8),7,2)),"")))</f>
        <v/>
      </c>
      <c r="AT1311" s="33">
        <f>IF($AS1311="","",IF($F$6="",0,IF(ISNUMBER(INDEX($A:$AP,ROW(),$F$6)),INDEX($A:$AP,ROW(),$F$6),IFERROR(--SUBSTITUTE(SUBSTITUTE(TRIM(INDEX($A:$AP,ROW(),$F$6)),",",""),"원",""),0))))</f>
        <v/>
      </c>
      <c r="AU1311" s="31">
        <f>IF($AS1311="","",IF($AX1311&lt;&gt;"",SUBSTITUTE(SUBSTITUTE($AX1311,"-","")," ",""),"N:"&amp;$AV1311))</f>
        <v/>
      </c>
      <c r="AV1311" s="31">
        <f>IF(OR($AS1311="",$E$6=""),"",TRIM(INDEX($A:$AP,ROW(),$E$6)&amp;""))</f>
        <v/>
      </c>
      <c r="AW1311" s="31">
        <f>IF($AU1311="","",IF(MATCH($AU1311,$AU$8:$AU$2007,0)=ROW()-7,MAX($AW$7:$AW1310)+1,""))</f>
        <v/>
      </c>
      <c r="AX1311" s="31">
        <f>IF(OR($AS1311="",$D$6=""),"",TRIM(INDEX($A:$AP,ROW(),$D$6)&amp;""))</f>
        <v/>
      </c>
      <c r="AY1311" s="31">
        <f>IF($AU1311="","",INDEX($AW$8:$AW$2007,MATCH($AU1311,$AU$8:$AU$2007,0)))</f>
        <v/>
      </c>
      <c r="AZ1311" s="31">
        <f>IF(OR($AS1311="",$C$6=""),"",TRIM(INDEX($A:$AP,ROW(),$C$6)&amp;""))</f>
        <v/>
      </c>
      <c r="BA1311" s="31">
        <f>IF($AZ1311="","",IF(COUNTIF($AZ$8:$AZ1311,$AZ1311)&gt;1,1,0))</f>
        <v/>
      </c>
    </row>
    <row r="1312">
      <c r="AR1312" s="31">
        <f>IF(OR($A$5="",$B$6="",ROW()&lt;$A$5),"",IF(INDEX($A:$AP,ROW(),$B$6)="","",INDEX($A:$AP,ROW(),$B$6)))</f>
        <v/>
      </c>
      <c r="AS1312" s="32">
        <f>IF($AR1312="","",IF(ISNUMBER($AR1312),IF($AR1312&gt;=10000000,IFERROR(DATE(INT($AR1312/10000),MOD(INT($AR1312/100),100),MOD($AR1312,100)),""),INT($AR1312)),IFERROR(DATE(--LEFT(LEFT(SUBSTITUTE(SUBSTITUTE(SUBSTITUTE(SUBSTITUTE(TRIM($AR1312),"-",""),".",""),"/","")," ",""),8),4),--MID(LEFT(SUBSTITUTE(SUBSTITUTE(SUBSTITUTE(SUBSTITUTE(TRIM($AR1312),"-",""),".",""),"/","")," ",""),8),5,2),--MID(LEFT(SUBSTITUTE(SUBSTITUTE(SUBSTITUTE(SUBSTITUTE(TRIM($AR1312),"-",""),".",""),"/","")," ",""),8),7,2)),"")))</f>
        <v/>
      </c>
      <c r="AT1312" s="33">
        <f>IF($AS1312="","",IF($F$6="",0,IF(ISNUMBER(INDEX($A:$AP,ROW(),$F$6)),INDEX($A:$AP,ROW(),$F$6),IFERROR(--SUBSTITUTE(SUBSTITUTE(TRIM(INDEX($A:$AP,ROW(),$F$6)),",",""),"원",""),0))))</f>
        <v/>
      </c>
      <c r="AU1312" s="31">
        <f>IF($AS1312="","",IF($AX1312&lt;&gt;"",SUBSTITUTE(SUBSTITUTE($AX1312,"-","")," ",""),"N:"&amp;$AV1312))</f>
        <v/>
      </c>
      <c r="AV1312" s="31">
        <f>IF(OR($AS1312="",$E$6=""),"",TRIM(INDEX($A:$AP,ROW(),$E$6)&amp;""))</f>
        <v/>
      </c>
      <c r="AW1312" s="31">
        <f>IF($AU1312="","",IF(MATCH($AU1312,$AU$8:$AU$2007,0)=ROW()-7,MAX($AW$7:$AW1311)+1,""))</f>
        <v/>
      </c>
      <c r="AX1312" s="31">
        <f>IF(OR($AS1312="",$D$6=""),"",TRIM(INDEX($A:$AP,ROW(),$D$6)&amp;""))</f>
        <v/>
      </c>
      <c r="AY1312" s="31">
        <f>IF($AU1312="","",INDEX($AW$8:$AW$2007,MATCH($AU1312,$AU$8:$AU$2007,0)))</f>
        <v/>
      </c>
      <c r="AZ1312" s="31">
        <f>IF(OR($AS1312="",$C$6=""),"",TRIM(INDEX($A:$AP,ROW(),$C$6)&amp;""))</f>
        <v/>
      </c>
      <c r="BA1312" s="31">
        <f>IF($AZ1312="","",IF(COUNTIF($AZ$8:$AZ1312,$AZ1312)&gt;1,1,0))</f>
        <v/>
      </c>
    </row>
    <row r="1313">
      <c r="AR1313" s="31">
        <f>IF(OR($A$5="",$B$6="",ROW()&lt;$A$5),"",IF(INDEX($A:$AP,ROW(),$B$6)="","",INDEX($A:$AP,ROW(),$B$6)))</f>
        <v/>
      </c>
      <c r="AS1313" s="32">
        <f>IF($AR1313="","",IF(ISNUMBER($AR1313),IF($AR1313&gt;=10000000,IFERROR(DATE(INT($AR1313/10000),MOD(INT($AR1313/100),100),MOD($AR1313,100)),""),INT($AR1313)),IFERROR(DATE(--LEFT(LEFT(SUBSTITUTE(SUBSTITUTE(SUBSTITUTE(SUBSTITUTE(TRIM($AR1313),"-",""),".",""),"/","")," ",""),8),4),--MID(LEFT(SUBSTITUTE(SUBSTITUTE(SUBSTITUTE(SUBSTITUTE(TRIM($AR1313),"-",""),".",""),"/","")," ",""),8),5,2),--MID(LEFT(SUBSTITUTE(SUBSTITUTE(SUBSTITUTE(SUBSTITUTE(TRIM($AR1313),"-",""),".",""),"/","")," ",""),8),7,2)),"")))</f>
        <v/>
      </c>
      <c r="AT1313" s="33">
        <f>IF($AS1313="","",IF($F$6="",0,IF(ISNUMBER(INDEX($A:$AP,ROW(),$F$6)),INDEX($A:$AP,ROW(),$F$6),IFERROR(--SUBSTITUTE(SUBSTITUTE(TRIM(INDEX($A:$AP,ROW(),$F$6)),",",""),"원",""),0))))</f>
        <v/>
      </c>
      <c r="AU1313" s="31">
        <f>IF($AS1313="","",IF($AX1313&lt;&gt;"",SUBSTITUTE(SUBSTITUTE($AX1313,"-","")," ",""),"N:"&amp;$AV1313))</f>
        <v/>
      </c>
      <c r="AV1313" s="31">
        <f>IF(OR($AS1313="",$E$6=""),"",TRIM(INDEX($A:$AP,ROW(),$E$6)&amp;""))</f>
        <v/>
      </c>
      <c r="AW1313" s="31">
        <f>IF($AU1313="","",IF(MATCH($AU1313,$AU$8:$AU$2007,0)=ROW()-7,MAX($AW$7:$AW1312)+1,""))</f>
        <v/>
      </c>
      <c r="AX1313" s="31">
        <f>IF(OR($AS1313="",$D$6=""),"",TRIM(INDEX($A:$AP,ROW(),$D$6)&amp;""))</f>
        <v/>
      </c>
      <c r="AY1313" s="31">
        <f>IF($AU1313="","",INDEX($AW$8:$AW$2007,MATCH($AU1313,$AU$8:$AU$2007,0)))</f>
        <v/>
      </c>
      <c r="AZ1313" s="31">
        <f>IF(OR($AS1313="",$C$6=""),"",TRIM(INDEX($A:$AP,ROW(),$C$6)&amp;""))</f>
        <v/>
      </c>
      <c r="BA1313" s="31">
        <f>IF($AZ1313="","",IF(COUNTIF($AZ$8:$AZ1313,$AZ1313)&gt;1,1,0))</f>
        <v/>
      </c>
    </row>
    <row r="1314">
      <c r="AR1314" s="31">
        <f>IF(OR($A$5="",$B$6="",ROW()&lt;$A$5),"",IF(INDEX($A:$AP,ROW(),$B$6)="","",INDEX($A:$AP,ROW(),$B$6)))</f>
        <v/>
      </c>
      <c r="AS1314" s="32">
        <f>IF($AR1314="","",IF(ISNUMBER($AR1314),IF($AR1314&gt;=10000000,IFERROR(DATE(INT($AR1314/10000),MOD(INT($AR1314/100),100),MOD($AR1314,100)),""),INT($AR1314)),IFERROR(DATE(--LEFT(LEFT(SUBSTITUTE(SUBSTITUTE(SUBSTITUTE(SUBSTITUTE(TRIM($AR1314),"-",""),".",""),"/","")," ",""),8),4),--MID(LEFT(SUBSTITUTE(SUBSTITUTE(SUBSTITUTE(SUBSTITUTE(TRIM($AR1314),"-",""),".",""),"/","")," ",""),8),5,2),--MID(LEFT(SUBSTITUTE(SUBSTITUTE(SUBSTITUTE(SUBSTITUTE(TRIM($AR1314),"-",""),".",""),"/","")," ",""),8),7,2)),"")))</f>
        <v/>
      </c>
      <c r="AT1314" s="33">
        <f>IF($AS1314="","",IF($F$6="",0,IF(ISNUMBER(INDEX($A:$AP,ROW(),$F$6)),INDEX($A:$AP,ROW(),$F$6),IFERROR(--SUBSTITUTE(SUBSTITUTE(TRIM(INDEX($A:$AP,ROW(),$F$6)),",",""),"원",""),0))))</f>
        <v/>
      </c>
      <c r="AU1314" s="31">
        <f>IF($AS1314="","",IF($AX1314&lt;&gt;"",SUBSTITUTE(SUBSTITUTE($AX1314,"-","")," ",""),"N:"&amp;$AV1314))</f>
        <v/>
      </c>
      <c r="AV1314" s="31">
        <f>IF(OR($AS1314="",$E$6=""),"",TRIM(INDEX($A:$AP,ROW(),$E$6)&amp;""))</f>
        <v/>
      </c>
      <c r="AW1314" s="31">
        <f>IF($AU1314="","",IF(MATCH($AU1314,$AU$8:$AU$2007,0)=ROW()-7,MAX($AW$7:$AW1313)+1,""))</f>
        <v/>
      </c>
      <c r="AX1314" s="31">
        <f>IF(OR($AS1314="",$D$6=""),"",TRIM(INDEX($A:$AP,ROW(),$D$6)&amp;""))</f>
        <v/>
      </c>
      <c r="AY1314" s="31">
        <f>IF($AU1314="","",INDEX($AW$8:$AW$2007,MATCH($AU1314,$AU$8:$AU$2007,0)))</f>
        <v/>
      </c>
      <c r="AZ1314" s="31">
        <f>IF(OR($AS1314="",$C$6=""),"",TRIM(INDEX($A:$AP,ROW(),$C$6)&amp;""))</f>
        <v/>
      </c>
      <c r="BA1314" s="31">
        <f>IF($AZ1314="","",IF(COUNTIF($AZ$8:$AZ1314,$AZ1314)&gt;1,1,0))</f>
        <v/>
      </c>
    </row>
    <row r="1315">
      <c r="AR1315" s="31">
        <f>IF(OR($A$5="",$B$6="",ROW()&lt;$A$5),"",IF(INDEX($A:$AP,ROW(),$B$6)="","",INDEX($A:$AP,ROW(),$B$6)))</f>
        <v/>
      </c>
      <c r="AS1315" s="32">
        <f>IF($AR1315="","",IF(ISNUMBER($AR1315),IF($AR1315&gt;=10000000,IFERROR(DATE(INT($AR1315/10000),MOD(INT($AR1315/100),100),MOD($AR1315,100)),""),INT($AR1315)),IFERROR(DATE(--LEFT(LEFT(SUBSTITUTE(SUBSTITUTE(SUBSTITUTE(SUBSTITUTE(TRIM($AR1315),"-",""),".",""),"/","")," ",""),8),4),--MID(LEFT(SUBSTITUTE(SUBSTITUTE(SUBSTITUTE(SUBSTITUTE(TRIM($AR1315),"-",""),".",""),"/","")," ",""),8),5,2),--MID(LEFT(SUBSTITUTE(SUBSTITUTE(SUBSTITUTE(SUBSTITUTE(TRIM($AR1315),"-",""),".",""),"/","")," ",""),8),7,2)),"")))</f>
        <v/>
      </c>
      <c r="AT1315" s="33">
        <f>IF($AS1315="","",IF($F$6="",0,IF(ISNUMBER(INDEX($A:$AP,ROW(),$F$6)),INDEX($A:$AP,ROW(),$F$6),IFERROR(--SUBSTITUTE(SUBSTITUTE(TRIM(INDEX($A:$AP,ROW(),$F$6)),",",""),"원",""),0))))</f>
        <v/>
      </c>
      <c r="AU1315" s="31">
        <f>IF($AS1315="","",IF($AX1315&lt;&gt;"",SUBSTITUTE(SUBSTITUTE($AX1315,"-","")," ",""),"N:"&amp;$AV1315))</f>
        <v/>
      </c>
      <c r="AV1315" s="31">
        <f>IF(OR($AS1315="",$E$6=""),"",TRIM(INDEX($A:$AP,ROW(),$E$6)&amp;""))</f>
        <v/>
      </c>
      <c r="AW1315" s="31">
        <f>IF($AU1315="","",IF(MATCH($AU1315,$AU$8:$AU$2007,0)=ROW()-7,MAX($AW$7:$AW1314)+1,""))</f>
        <v/>
      </c>
      <c r="AX1315" s="31">
        <f>IF(OR($AS1315="",$D$6=""),"",TRIM(INDEX($A:$AP,ROW(),$D$6)&amp;""))</f>
        <v/>
      </c>
      <c r="AY1315" s="31">
        <f>IF($AU1315="","",INDEX($AW$8:$AW$2007,MATCH($AU1315,$AU$8:$AU$2007,0)))</f>
        <v/>
      </c>
      <c r="AZ1315" s="31">
        <f>IF(OR($AS1315="",$C$6=""),"",TRIM(INDEX($A:$AP,ROW(),$C$6)&amp;""))</f>
        <v/>
      </c>
      <c r="BA1315" s="31">
        <f>IF($AZ1315="","",IF(COUNTIF($AZ$8:$AZ1315,$AZ1315)&gt;1,1,0))</f>
        <v/>
      </c>
    </row>
    <row r="1316">
      <c r="AR1316" s="31">
        <f>IF(OR($A$5="",$B$6="",ROW()&lt;$A$5),"",IF(INDEX($A:$AP,ROW(),$B$6)="","",INDEX($A:$AP,ROW(),$B$6)))</f>
        <v/>
      </c>
      <c r="AS1316" s="32">
        <f>IF($AR1316="","",IF(ISNUMBER($AR1316),IF($AR1316&gt;=10000000,IFERROR(DATE(INT($AR1316/10000),MOD(INT($AR1316/100),100),MOD($AR1316,100)),""),INT($AR1316)),IFERROR(DATE(--LEFT(LEFT(SUBSTITUTE(SUBSTITUTE(SUBSTITUTE(SUBSTITUTE(TRIM($AR1316),"-",""),".",""),"/","")," ",""),8),4),--MID(LEFT(SUBSTITUTE(SUBSTITUTE(SUBSTITUTE(SUBSTITUTE(TRIM($AR1316),"-",""),".",""),"/","")," ",""),8),5,2),--MID(LEFT(SUBSTITUTE(SUBSTITUTE(SUBSTITUTE(SUBSTITUTE(TRIM($AR1316),"-",""),".",""),"/","")," ",""),8),7,2)),"")))</f>
        <v/>
      </c>
      <c r="AT1316" s="33">
        <f>IF($AS1316="","",IF($F$6="",0,IF(ISNUMBER(INDEX($A:$AP,ROW(),$F$6)),INDEX($A:$AP,ROW(),$F$6),IFERROR(--SUBSTITUTE(SUBSTITUTE(TRIM(INDEX($A:$AP,ROW(),$F$6)),",",""),"원",""),0))))</f>
        <v/>
      </c>
      <c r="AU1316" s="31">
        <f>IF($AS1316="","",IF($AX1316&lt;&gt;"",SUBSTITUTE(SUBSTITUTE($AX1316,"-","")," ",""),"N:"&amp;$AV1316))</f>
        <v/>
      </c>
      <c r="AV1316" s="31">
        <f>IF(OR($AS1316="",$E$6=""),"",TRIM(INDEX($A:$AP,ROW(),$E$6)&amp;""))</f>
        <v/>
      </c>
      <c r="AW1316" s="31">
        <f>IF($AU1316="","",IF(MATCH($AU1316,$AU$8:$AU$2007,0)=ROW()-7,MAX($AW$7:$AW1315)+1,""))</f>
        <v/>
      </c>
      <c r="AX1316" s="31">
        <f>IF(OR($AS1316="",$D$6=""),"",TRIM(INDEX($A:$AP,ROW(),$D$6)&amp;""))</f>
        <v/>
      </c>
      <c r="AY1316" s="31">
        <f>IF($AU1316="","",INDEX($AW$8:$AW$2007,MATCH($AU1316,$AU$8:$AU$2007,0)))</f>
        <v/>
      </c>
      <c r="AZ1316" s="31">
        <f>IF(OR($AS1316="",$C$6=""),"",TRIM(INDEX($A:$AP,ROW(),$C$6)&amp;""))</f>
        <v/>
      </c>
      <c r="BA1316" s="31">
        <f>IF($AZ1316="","",IF(COUNTIF($AZ$8:$AZ1316,$AZ1316)&gt;1,1,0))</f>
        <v/>
      </c>
    </row>
    <row r="1317">
      <c r="AR1317" s="31">
        <f>IF(OR($A$5="",$B$6="",ROW()&lt;$A$5),"",IF(INDEX($A:$AP,ROW(),$B$6)="","",INDEX($A:$AP,ROW(),$B$6)))</f>
        <v/>
      </c>
      <c r="AS1317" s="32">
        <f>IF($AR1317="","",IF(ISNUMBER($AR1317),IF($AR1317&gt;=10000000,IFERROR(DATE(INT($AR1317/10000),MOD(INT($AR1317/100),100),MOD($AR1317,100)),""),INT($AR1317)),IFERROR(DATE(--LEFT(LEFT(SUBSTITUTE(SUBSTITUTE(SUBSTITUTE(SUBSTITUTE(TRIM($AR1317),"-",""),".",""),"/","")," ",""),8),4),--MID(LEFT(SUBSTITUTE(SUBSTITUTE(SUBSTITUTE(SUBSTITUTE(TRIM($AR1317),"-",""),".",""),"/","")," ",""),8),5,2),--MID(LEFT(SUBSTITUTE(SUBSTITUTE(SUBSTITUTE(SUBSTITUTE(TRIM($AR1317),"-",""),".",""),"/","")," ",""),8),7,2)),"")))</f>
        <v/>
      </c>
      <c r="AT1317" s="33">
        <f>IF($AS1317="","",IF($F$6="",0,IF(ISNUMBER(INDEX($A:$AP,ROW(),$F$6)),INDEX($A:$AP,ROW(),$F$6),IFERROR(--SUBSTITUTE(SUBSTITUTE(TRIM(INDEX($A:$AP,ROW(),$F$6)),",",""),"원",""),0))))</f>
        <v/>
      </c>
      <c r="AU1317" s="31">
        <f>IF($AS1317="","",IF($AX1317&lt;&gt;"",SUBSTITUTE(SUBSTITUTE($AX1317,"-","")," ",""),"N:"&amp;$AV1317))</f>
        <v/>
      </c>
      <c r="AV1317" s="31">
        <f>IF(OR($AS1317="",$E$6=""),"",TRIM(INDEX($A:$AP,ROW(),$E$6)&amp;""))</f>
        <v/>
      </c>
      <c r="AW1317" s="31">
        <f>IF($AU1317="","",IF(MATCH($AU1317,$AU$8:$AU$2007,0)=ROW()-7,MAX($AW$7:$AW1316)+1,""))</f>
        <v/>
      </c>
      <c r="AX1317" s="31">
        <f>IF(OR($AS1317="",$D$6=""),"",TRIM(INDEX($A:$AP,ROW(),$D$6)&amp;""))</f>
        <v/>
      </c>
      <c r="AY1317" s="31">
        <f>IF($AU1317="","",INDEX($AW$8:$AW$2007,MATCH($AU1317,$AU$8:$AU$2007,0)))</f>
        <v/>
      </c>
      <c r="AZ1317" s="31">
        <f>IF(OR($AS1317="",$C$6=""),"",TRIM(INDEX($A:$AP,ROW(),$C$6)&amp;""))</f>
        <v/>
      </c>
      <c r="BA1317" s="31">
        <f>IF($AZ1317="","",IF(COUNTIF($AZ$8:$AZ1317,$AZ1317)&gt;1,1,0))</f>
        <v/>
      </c>
    </row>
    <row r="1318">
      <c r="AR1318" s="31">
        <f>IF(OR($A$5="",$B$6="",ROW()&lt;$A$5),"",IF(INDEX($A:$AP,ROW(),$B$6)="","",INDEX($A:$AP,ROW(),$B$6)))</f>
        <v/>
      </c>
      <c r="AS1318" s="32">
        <f>IF($AR1318="","",IF(ISNUMBER($AR1318),IF($AR1318&gt;=10000000,IFERROR(DATE(INT($AR1318/10000),MOD(INT($AR1318/100),100),MOD($AR1318,100)),""),INT($AR1318)),IFERROR(DATE(--LEFT(LEFT(SUBSTITUTE(SUBSTITUTE(SUBSTITUTE(SUBSTITUTE(TRIM($AR1318),"-",""),".",""),"/","")," ",""),8),4),--MID(LEFT(SUBSTITUTE(SUBSTITUTE(SUBSTITUTE(SUBSTITUTE(TRIM($AR1318),"-",""),".",""),"/","")," ",""),8),5,2),--MID(LEFT(SUBSTITUTE(SUBSTITUTE(SUBSTITUTE(SUBSTITUTE(TRIM($AR1318),"-",""),".",""),"/","")," ",""),8),7,2)),"")))</f>
        <v/>
      </c>
      <c r="AT1318" s="33">
        <f>IF($AS1318="","",IF($F$6="",0,IF(ISNUMBER(INDEX($A:$AP,ROW(),$F$6)),INDEX($A:$AP,ROW(),$F$6),IFERROR(--SUBSTITUTE(SUBSTITUTE(TRIM(INDEX($A:$AP,ROW(),$F$6)),",",""),"원",""),0))))</f>
        <v/>
      </c>
      <c r="AU1318" s="31">
        <f>IF($AS1318="","",IF($AX1318&lt;&gt;"",SUBSTITUTE(SUBSTITUTE($AX1318,"-","")," ",""),"N:"&amp;$AV1318))</f>
        <v/>
      </c>
      <c r="AV1318" s="31">
        <f>IF(OR($AS1318="",$E$6=""),"",TRIM(INDEX($A:$AP,ROW(),$E$6)&amp;""))</f>
        <v/>
      </c>
      <c r="AW1318" s="31">
        <f>IF($AU1318="","",IF(MATCH($AU1318,$AU$8:$AU$2007,0)=ROW()-7,MAX($AW$7:$AW1317)+1,""))</f>
        <v/>
      </c>
      <c r="AX1318" s="31">
        <f>IF(OR($AS1318="",$D$6=""),"",TRIM(INDEX($A:$AP,ROW(),$D$6)&amp;""))</f>
        <v/>
      </c>
      <c r="AY1318" s="31">
        <f>IF($AU1318="","",INDEX($AW$8:$AW$2007,MATCH($AU1318,$AU$8:$AU$2007,0)))</f>
        <v/>
      </c>
      <c r="AZ1318" s="31">
        <f>IF(OR($AS1318="",$C$6=""),"",TRIM(INDEX($A:$AP,ROW(),$C$6)&amp;""))</f>
        <v/>
      </c>
      <c r="BA1318" s="31">
        <f>IF($AZ1318="","",IF(COUNTIF($AZ$8:$AZ1318,$AZ1318)&gt;1,1,0))</f>
        <v/>
      </c>
    </row>
    <row r="1319">
      <c r="AR1319" s="31">
        <f>IF(OR($A$5="",$B$6="",ROW()&lt;$A$5),"",IF(INDEX($A:$AP,ROW(),$B$6)="","",INDEX($A:$AP,ROW(),$B$6)))</f>
        <v/>
      </c>
      <c r="AS1319" s="32">
        <f>IF($AR1319="","",IF(ISNUMBER($AR1319),IF($AR1319&gt;=10000000,IFERROR(DATE(INT($AR1319/10000),MOD(INT($AR1319/100),100),MOD($AR1319,100)),""),INT($AR1319)),IFERROR(DATE(--LEFT(LEFT(SUBSTITUTE(SUBSTITUTE(SUBSTITUTE(SUBSTITUTE(TRIM($AR1319),"-",""),".",""),"/","")," ",""),8),4),--MID(LEFT(SUBSTITUTE(SUBSTITUTE(SUBSTITUTE(SUBSTITUTE(TRIM($AR1319),"-",""),".",""),"/","")," ",""),8),5,2),--MID(LEFT(SUBSTITUTE(SUBSTITUTE(SUBSTITUTE(SUBSTITUTE(TRIM($AR1319),"-",""),".",""),"/","")," ",""),8),7,2)),"")))</f>
        <v/>
      </c>
      <c r="AT1319" s="33">
        <f>IF($AS1319="","",IF($F$6="",0,IF(ISNUMBER(INDEX($A:$AP,ROW(),$F$6)),INDEX($A:$AP,ROW(),$F$6),IFERROR(--SUBSTITUTE(SUBSTITUTE(TRIM(INDEX($A:$AP,ROW(),$F$6)),",",""),"원",""),0))))</f>
        <v/>
      </c>
      <c r="AU1319" s="31">
        <f>IF($AS1319="","",IF($AX1319&lt;&gt;"",SUBSTITUTE(SUBSTITUTE($AX1319,"-","")," ",""),"N:"&amp;$AV1319))</f>
        <v/>
      </c>
      <c r="AV1319" s="31">
        <f>IF(OR($AS1319="",$E$6=""),"",TRIM(INDEX($A:$AP,ROW(),$E$6)&amp;""))</f>
        <v/>
      </c>
      <c r="AW1319" s="31">
        <f>IF($AU1319="","",IF(MATCH($AU1319,$AU$8:$AU$2007,0)=ROW()-7,MAX($AW$7:$AW1318)+1,""))</f>
        <v/>
      </c>
      <c r="AX1319" s="31">
        <f>IF(OR($AS1319="",$D$6=""),"",TRIM(INDEX($A:$AP,ROW(),$D$6)&amp;""))</f>
        <v/>
      </c>
      <c r="AY1319" s="31">
        <f>IF($AU1319="","",INDEX($AW$8:$AW$2007,MATCH($AU1319,$AU$8:$AU$2007,0)))</f>
        <v/>
      </c>
      <c r="AZ1319" s="31">
        <f>IF(OR($AS1319="",$C$6=""),"",TRIM(INDEX($A:$AP,ROW(),$C$6)&amp;""))</f>
        <v/>
      </c>
      <c r="BA1319" s="31">
        <f>IF($AZ1319="","",IF(COUNTIF($AZ$8:$AZ1319,$AZ1319)&gt;1,1,0))</f>
        <v/>
      </c>
    </row>
    <row r="1320">
      <c r="AR1320" s="31">
        <f>IF(OR($A$5="",$B$6="",ROW()&lt;$A$5),"",IF(INDEX($A:$AP,ROW(),$B$6)="","",INDEX($A:$AP,ROW(),$B$6)))</f>
        <v/>
      </c>
      <c r="AS1320" s="32">
        <f>IF($AR1320="","",IF(ISNUMBER($AR1320),IF($AR1320&gt;=10000000,IFERROR(DATE(INT($AR1320/10000),MOD(INT($AR1320/100),100),MOD($AR1320,100)),""),INT($AR1320)),IFERROR(DATE(--LEFT(LEFT(SUBSTITUTE(SUBSTITUTE(SUBSTITUTE(SUBSTITUTE(TRIM($AR1320),"-",""),".",""),"/","")," ",""),8),4),--MID(LEFT(SUBSTITUTE(SUBSTITUTE(SUBSTITUTE(SUBSTITUTE(TRIM($AR1320),"-",""),".",""),"/","")," ",""),8),5,2),--MID(LEFT(SUBSTITUTE(SUBSTITUTE(SUBSTITUTE(SUBSTITUTE(TRIM($AR1320),"-",""),".",""),"/","")," ",""),8),7,2)),"")))</f>
        <v/>
      </c>
      <c r="AT1320" s="33">
        <f>IF($AS1320="","",IF($F$6="",0,IF(ISNUMBER(INDEX($A:$AP,ROW(),$F$6)),INDEX($A:$AP,ROW(),$F$6),IFERROR(--SUBSTITUTE(SUBSTITUTE(TRIM(INDEX($A:$AP,ROW(),$F$6)),",",""),"원",""),0))))</f>
        <v/>
      </c>
      <c r="AU1320" s="31">
        <f>IF($AS1320="","",IF($AX1320&lt;&gt;"",SUBSTITUTE(SUBSTITUTE($AX1320,"-","")," ",""),"N:"&amp;$AV1320))</f>
        <v/>
      </c>
      <c r="AV1320" s="31">
        <f>IF(OR($AS1320="",$E$6=""),"",TRIM(INDEX($A:$AP,ROW(),$E$6)&amp;""))</f>
        <v/>
      </c>
      <c r="AW1320" s="31">
        <f>IF($AU1320="","",IF(MATCH($AU1320,$AU$8:$AU$2007,0)=ROW()-7,MAX($AW$7:$AW1319)+1,""))</f>
        <v/>
      </c>
      <c r="AX1320" s="31">
        <f>IF(OR($AS1320="",$D$6=""),"",TRIM(INDEX($A:$AP,ROW(),$D$6)&amp;""))</f>
        <v/>
      </c>
      <c r="AY1320" s="31">
        <f>IF($AU1320="","",INDEX($AW$8:$AW$2007,MATCH($AU1320,$AU$8:$AU$2007,0)))</f>
        <v/>
      </c>
      <c r="AZ1320" s="31">
        <f>IF(OR($AS1320="",$C$6=""),"",TRIM(INDEX($A:$AP,ROW(),$C$6)&amp;""))</f>
        <v/>
      </c>
      <c r="BA1320" s="31">
        <f>IF($AZ1320="","",IF(COUNTIF($AZ$8:$AZ1320,$AZ1320)&gt;1,1,0))</f>
        <v/>
      </c>
    </row>
    <row r="1321">
      <c r="AR1321" s="31">
        <f>IF(OR($A$5="",$B$6="",ROW()&lt;$A$5),"",IF(INDEX($A:$AP,ROW(),$B$6)="","",INDEX($A:$AP,ROW(),$B$6)))</f>
        <v/>
      </c>
      <c r="AS1321" s="32">
        <f>IF($AR1321="","",IF(ISNUMBER($AR1321),IF($AR1321&gt;=10000000,IFERROR(DATE(INT($AR1321/10000),MOD(INT($AR1321/100),100),MOD($AR1321,100)),""),INT($AR1321)),IFERROR(DATE(--LEFT(LEFT(SUBSTITUTE(SUBSTITUTE(SUBSTITUTE(SUBSTITUTE(TRIM($AR1321),"-",""),".",""),"/","")," ",""),8),4),--MID(LEFT(SUBSTITUTE(SUBSTITUTE(SUBSTITUTE(SUBSTITUTE(TRIM($AR1321),"-",""),".",""),"/","")," ",""),8),5,2),--MID(LEFT(SUBSTITUTE(SUBSTITUTE(SUBSTITUTE(SUBSTITUTE(TRIM($AR1321),"-",""),".",""),"/","")," ",""),8),7,2)),"")))</f>
        <v/>
      </c>
      <c r="AT1321" s="33">
        <f>IF($AS1321="","",IF($F$6="",0,IF(ISNUMBER(INDEX($A:$AP,ROW(),$F$6)),INDEX($A:$AP,ROW(),$F$6),IFERROR(--SUBSTITUTE(SUBSTITUTE(TRIM(INDEX($A:$AP,ROW(),$F$6)),",",""),"원",""),0))))</f>
        <v/>
      </c>
      <c r="AU1321" s="31">
        <f>IF($AS1321="","",IF($AX1321&lt;&gt;"",SUBSTITUTE(SUBSTITUTE($AX1321,"-","")," ",""),"N:"&amp;$AV1321))</f>
        <v/>
      </c>
      <c r="AV1321" s="31">
        <f>IF(OR($AS1321="",$E$6=""),"",TRIM(INDEX($A:$AP,ROW(),$E$6)&amp;""))</f>
        <v/>
      </c>
      <c r="AW1321" s="31">
        <f>IF($AU1321="","",IF(MATCH($AU1321,$AU$8:$AU$2007,0)=ROW()-7,MAX($AW$7:$AW1320)+1,""))</f>
        <v/>
      </c>
      <c r="AX1321" s="31">
        <f>IF(OR($AS1321="",$D$6=""),"",TRIM(INDEX($A:$AP,ROW(),$D$6)&amp;""))</f>
        <v/>
      </c>
      <c r="AY1321" s="31">
        <f>IF($AU1321="","",INDEX($AW$8:$AW$2007,MATCH($AU1321,$AU$8:$AU$2007,0)))</f>
        <v/>
      </c>
      <c r="AZ1321" s="31">
        <f>IF(OR($AS1321="",$C$6=""),"",TRIM(INDEX($A:$AP,ROW(),$C$6)&amp;""))</f>
        <v/>
      </c>
      <c r="BA1321" s="31">
        <f>IF($AZ1321="","",IF(COUNTIF($AZ$8:$AZ1321,$AZ1321)&gt;1,1,0))</f>
        <v/>
      </c>
    </row>
    <row r="1322">
      <c r="AR1322" s="31">
        <f>IF(OR($A$5="",$B$6="",ROW()&lt;$A$5),"",IF(INDEX($A:$AP,ROW(),$B$6)="","",INDEX($A:$AP,ROW(),$B$6)))</f>
        <v/>
      </c>
      <c r="AS1322" s="32">
        <f>IF($AR1322="","",IF(ISNUMBER($AR1322),IF($AR1322&gt;=10000000,IFERROR(DATE(INT($AR1322/10000),MOD(INT($AR1322/100),100),MOD($AR1322,100)),""),INT($AR1322)),IFERROR(DATE(--LEFT(LEFT(SUBSTITUTE(SUBSTITUTE(SUBSTITUTE(SUBSTITUTE(TRIM($AR1322),"-",""),".",""),"/","")," ",""),8),4),--MID(LEFT(SUBSTITUTE(SUBSTITUTE(SUBSTITUTE(SUBSTITUTE(TRIM($AR1322),"-",""),".",""),"/","")," ",""),8),5,2),--MID(LEFT(SUBSTITUTE(SUBSTITUTE(SUBSTITUTE(SUBSTITUTE(TRIM($AR1322),"-",""),".",""),"/","")," ",""),8),7,2)),"")))</f>
        <v/>
      </c>
      <c r="AT1322" s="33">
        <f>IF($AS1322="","",IF($F$6="",0,IF(ISNUMBER(INDEX($A:$AP,ROW(),$F$6)),INDEX($A:$AP,ROW(),$F$6),IFERROR(--SUBSTITUTE(SUBSTITUTE(TRIM(INDEX($A:$AP,ROW(),$F$6)),",",""),"원",""),0))))</f>
        <v/>
      </c>
      <c r="AU1322" s="31">
        <f>IF($AS1322="","",IF($AX1322&lt;&gt;"",SUBSTITUTE(SUBSTITUTE($AX1322,"-","")," ",""),"N:"&amp;$AV1322))</f>
        <v/>
      </c>
      <c r="AV1322" s="31">
        <f>IF(OR($AS1322="",$E$6=""),"",TRIM(INDEX($A:$AP,ROW(),$E$6)&amp;""))</f>
        <v/>
      </c>
      <c r="AW1322" s="31">
        <f>IF($AU1322="","",IF(MATCH($AU1322,$AU$8:$AU$2007,0)=ROW()-7,MAX($AW$7:$AW1321)+1,""))</f>
        <v/>
      </c>
      <c r="AX1322" s="31">
        <f>IF(OR($AS1322="",$D$6=""),"",TRIM(INDEX($A:$AP,ROW(),$D$6)&amp;""))</f>
        <v/>
      </c>
      <c r="AY1322" s="31">
        <f>IF($AU1322="","",INDEX($AW$8:$AW$2007,MATCH($AU1322,$AU$8:$AU$2007,0)))</f>
        <v/>
      </c>
      <c r="AZ1322" s="31">
        <f>IF(OR($AS1322="",$C$6=""),"",TRIM(INDEX($A:$AP,ROW(),$C$6)&amp;""))</f>
        <v/>
      </c>
      <c r="BA1322" s="31">
        <f>IF($AZ1322="","",IF(COUNTIF($AZ$8:$AZ1322,$AZ1322)&gt;1,1,0))</f>
        <v/>
      </c>
    </row>
    <row r="1323">
      <c r="AR1323" s="31">
        <f>IF(OR($A$5="",$B$6="",ROW()&lt;$A$5),"",IF(INDEX($A:$AP,ROW(),$B$6)="","",INDEX($A:$AP,ROW(),$B$6)))</f>
        <v/>
      </c>
      <c r="AS1323" s="32">
        <f>IF($AR1323="","",IF(ISNUMBER($AR1323),IF($AR1323&gt;=10000000,IFERROR(DATE(INT($AR1323/10000),MOD(INT($AR1323/100),100),MOD($AR1323,100)),""),INT($AR1323)),IFERROR(DATE(--LEFT(LEFT(SUBSTITUTE(SUBSTITUTE(SUBSTITUTE(SUBSTITUTE(TRIM($AR1323),"-",""),".",""),"/","")," ",""),8),4),--MID(LEFT(SUBSTITUTE(SUBSTITUTE(SUBSTITUTE(SUBSTITUTE(TRIM($AR1323),"-",""),".",""),"/","")," ",""),8),5,2),--MID(LEFT(SUBSTITUTE(SUBSTITUTE(SUBSTITUTE(SUBSTITUTE(TRIM($AR1323),"-",""),".",""),"/","")," ",""),8),7,2)),"")))</f>
        <v/>
      </c>
      <c r="AT1323" s="33">
        <f>IF($AS1323="","",IF($F$6="",0,IF(ISNUMBER(INDEX($A:$AP,ROW(),$F$6)),INDEX($A:$AP,ROW(),$F$6),IFERROR(--SUBSTITUTE(SUBSTITUTE(TRIM(INDEX($A:$AP,ROW(),$F$6)),",",""),"원",""),0))))</f>
        <v/>
      </c>
      <c r="AU1323" s="31">
        <f>IF($AS1323="","",IF($AX1323&lt;&gt;"",SUBSTITUTE(SUBSTITUTE($AX1323,"-","")," ",""),"N:"&amp;$AV1323))</f>
        <v/>
      </c>
      <c r="AV1323" s="31">
        <f>IF(OR($AS1323="",$E$6=""),"",TRIM(INDEX($A:$AP,ROW(),$E$6)&amp;""))</f>
        <v/>
      </c>
      <c r="AW1323" s="31">
        <f>IF($AU1323="","",IF(MATCH($AU1323,$AU$8:$AU$2007,0)=ROW()-7,MAX($AW$7:$AW1322)+1,""))</f>
        <v/>
      </c>
      <c r="AX1323" s="31">
        <f>IF(OR($AS1323="",$D$6=""),"",TRIM(INDEX($A:$AP,ROW(),$D$6)&amp;""))</f>
        <v/>
      </c>
      <c r="AY1323" s="31">
        <f>IF($AU1323="","",INDEX($AW$8:$AW$2007,MATCH($AU1323,$AU$8:$AU$2007,0)))</f>
        <v/>
      </c>
      <c r="AZ1323" s="31">
        <f>IF(OR($AS1323="",$C$6=""),"",TRIM(INDEX($A:$AP,ROW(),$C$6)&amp;""))</f>
        <v/>
      </c>
      <c r="BA1323" s="31">
        <f>IF($AZ1323="","",IF(COUNTIF($AZ$8:$AZ1323,$AZ1323)&gt;1,1,0))</f>
        <v/>
      </c>
    </row>
    <row r="1324">
      <c r="AR1324" s="31">
        <f>IF(OR($A$5="",$B$6="",ROW()&lt;$A$5),"",IF(INDEX($A:$AP,ROW(),$B$6)="","",INDEX($A:$AP,ROW(),$B$6)))</f>
        <v/>
      </c>
      <c r="AS1324" s="32">
        <f>IF($AR1324="","",IF(ISNUMBER($AR1324),IF($AR1324&gt;=10000000,IFERROR(DATE(INT($AR1324/10000),MOD(INT($AR1324/100),100),MOD($AR1324,100)),""),INT($AR1324)),IFERROR(DATE(--LEFT(LEFT(SUBSTITUTE(SUBSTITUTE(SUBSTITUTE(SUBSTITUTE(TRIM($AR1324),"-",""),".",""),"/","")," ",""),8),4),--MID(LEFT(SUBSTITUTE(SUBSTITUTE(SUBSTITUTE(SUBSTITUTE(TRIM($AR1324),"-",""),".",""),"/","")," ",""),8),5,2),--MID(LEFT(SUBSTITUTE(SUBSTITUTE(SUBSTITUTE(SUBSTITUTE(TRIM($AR1324),"-",""),".",""),"/","")," ",""),8),7,2)),"")))</f>
        <v/>
      </c>
      <c r="AT1324" s="33">
        <f>IF($AS1324="","",IF($F$6="",0,IF(ISNUMBER(INDEX($A:$AP,ROW(),$F$6)),INDEX($A:$AP,ROW(),$F$6),IFERROR(--SUBSTITUTE(SUBSTITUTE(TRIM(INDEX($A:$AP,ROW(),$F$6)),",",""),"원",""),0))))</f>
        <v/>
      </c>
      <c r="AU1324" s="31">
        <f>IF($AS1324="","",IF($AX1324&lt;&gt;"",SUBSTITUTE(SUBSTITUTE($AX1324,"-","")," ",""),"N:"&amp;$AV1324))</f>
        <v/>
      </c>
      <c r="AV1324" s="31">
        <f>IF(OR($AS1324="",$E$6=""),"",TRIM(INDEX($A:$AP,ROW(),$E$6)&amp;""))</f>
        <v/>
      </c>
      <c r="AW1324" s="31">
        <f>IF($AU1324="","",IF(MATCH($AU1324,$AU$8:$AU$2007,0)=ROW()-7,MAX($AW$7:$AW1323)+1,""))</f>
        <v/>
      </c>
      <c r="AX1324" s="31">
        <f>IF(OR($AS1324="",$D$6=""),"",TRIM(INDEX($A:$AP,ROW(),$D$6)&amp;""))</f>
        <v/>
      </c>
      <c r="AY1324" s="31">
        <f>IF($AU1324="","",INDEX($AW$8:$AW$2007,MATCH($AU1324,$AU$8:$AU$2007,0)))</f>
        <v/>
      </c>
      <c r="AZ1324" s="31">
        <f>IF(OR($AS1324="",$C$6=""),"",TRIM(INDEX($A:$AP,ROW(),$C$6)&amp;""))</f>
        <v/>
      </c>
      <c r="BA1324" s="31">
        <f>IF($AZ1324="","",IF(COUNTIF($AZ$8:$AZ1324,$AZ1324)&gt;1,1,0))</f>
        <v/>
      </c>
    </row>
    <row r="1325">
      <c r="AR1325" s="31">
        <f>IF(OR($A$5="",$B$6="",ROW()&lt;$A$5),"",IF(INDEX($A:$AP,ROW(),$B$6)="","",INDEX($A:$AP,ROW(),$B$6)))</f>
        <v/>
      </c>
      <c r="AS1325" s="32">
        <f>IF($AR1325="","",IF(ISNUMBER($AR1325),IF($AR1325&gt;=10000000,IFERROR(DATE(INT($AR1325/10000),MOD(INT($AR1325/100),100),MOD($AR1325,100)),""),INT($AR1325)),IFERROR(DATE(--LEFT(LEFT(SUBSTITUTE(SUBSTITUTE(SUBSTITUTE(SUBSTITUTE(TRIM($AR1325),"-",""),".",""),"/","")," ",""),8),4),--MID(LEFT(SUBSTITUTE(SUBSTITUTE(SUBSTITUTE(SUBSTITUTE(TRIM($AR1325),"-",""),".",""),"/","")," ",""),8),5,2),--MID(LEFT(SUBSTITUTE(SUBSTITUTE(SUBSTITUTE(SUBSTITUTE(TRIM($AR1325),"-",""),".",""),"/","")," ",""),8),7,2)),"")))</f>
        <v/>
      </c>
      <c r="AT1325" s="33">
        <f>IF($AS1325="","",IF($F$6="",0,IF(ISNUMBER(INDEX($A:$AP,ROW(),$F$6)),INDEX($A:$AP,ROW(),$F$6),IFERROR(--SUBSTITUTE(SUBSTITUTE(TRIM(INDEX($A:$AP,ROW(),$F$6)),",",""),"원",""),0))))</f>
        <v/>
      </c>
      <c r="AU1325" s="31">
        <f>IF($AS1325="","",IF($AX1325&lt;&gt;"",SUBSTITUTE(SUBSTITUTE($AX1325,"-","")," ",""),"N:"&amp;$AV1325))</f>
        <v/>
      </c>
      <c r="AV1325" s="31">
        <f>IF(OR($AS1325="",$E$6=""),"",TRIM(INDEX($A:$AP,ROW(),$E$6)&amp;""))</f>
        <v/>
      </c>
      <c r="AW1325" s="31">
        <f>IF($AU1325="","",IF(MATCH($AU1325,$AU$8:$AU$2007,0)=ROW()-7,MAX($AW$7:$AW1324)+1,""))</f>
        <v/>
      </c>
      <c r="AX1325" s="31">
        <f>IF(OR($AS1325="",$D$6=""),"",TRIM(INDEX($A:$AP,ROW(),$D$6)&amp;""))</f>
        <v/>
      </c>
      <c r="AY1325" s="31">
        <f>IF($AU1325="","",INDEX($AW$8:$AW$2007,MATCH($AU1325,$AU$8:$AU$2007,0)))</f>
        <v/>
      </c>
      <c r="AZ1325" s="31">
        <f>IF(OR($AS1325="",$C$6=""),"",TRIM(INDEX($A:$AP,ROW(),$C$6)&amp;""))</f>
        <v/>
      </c>
      <c r="BA1325" s="31">
        <f>IF($AZ1325="","",IF(COUNTIF($AZ$8:$AZ1325,$AZ1325)&gt;1,1,0))</f>
        <v/>
      </c>
    </row>
    <row r="1326">
      <c r="AR1326" s="31">
        <f>IF(OR($A$5="",$B$6="",ROW()&lt;$A$5),"",IF(INDEX($A:$AP,ROW(),$B$6)="","",INDEX($A:$AP,ROW(),$B$6)))</f>
        <v/>
      </c>
      <c r="AS1326" s="32">
        <f>IF($AR1326="","",IF(ISNUMBER($AR1326),IF($AR1326&gt;=10000000,IFERROR(DATE(INT($AR1326/10000),MOD(INT($AR1326/100),100),MOD($AR1326,100)),""),INT($AR1326)),IFERROR(DATE(--LEFT(LEFT(SUBSTITUTE(SUBSTITUTE(SUBSTITUTE(SUBSTITUTE(TRIM($AR1326),"-",""),".",""),"/","")," ",""),8),4),--MID(LEFT(SUBSTITUTE(SUBSTITUTE(SUBSTITUTE(SUBSTITUTE(TRIM($AR1326),"-",""),".",""),"/","")," ",""),8),5,2),--MID(LEFT(SUBSTITUTE(SUBSTITUTE(SUBSTITUTE(SUBSTITUTE(TRIM($AR1326),"-",""),".",""),"/","")," ",""),8),7,2)),"")))</f>
        <v/>
      </c>
      <c r="AT1326" s="33">
        <f>IF($AS1326="","",IF($F$6="",0,IF(ISNUMBER(INDEX($A:$AP,ROW(),$F$6)),INDEX($A:$AP,ROW(),$F$6),IFERROR(--SUBSTITUTE(SUBSTITUTE(TRIM(INDEX($A:$AP,ROW(),$F$6)),",",""),"원",""),0))))</f>
        <v/>
      </c>
      <c r="AU1326" s="31">
        <f>IF($AS1326="","",IF($AX1326&lt;&gt;"",SUBSTITUTE(SUBSTITUTE($AX1326,"-","")," ",""),"N:"&amp;$AV1326))</f>
        <v/>
      </c>
      <c r="AV1326" s="31">
        <f>IF(OR($AS1326="",$E$6=""),"",TRIM(INDEX($A:$AP,ROW(),$E$6)&amp;""))</f>
        <v/>
      </c>
      <c r="AW1326" s="31">
        <f>IF($AU1326="","",IF(MATCH($AU1326,$AU$8:$AU$2007,0)=ROW()-7,MAX($AW$7:$AW1325)+1,""))</f>
        <v/>
      </c>
      <c r="AX1326" s="31">
        <f>IF(OR($AS1326="",$D$6=""),"",TRIM(INDEX($A:$AP,ROW(),$D$6)&amp;""))</f>
        <v/>
      </c>
      <c r="AY1326" s="31">
        <f>IF($AU1326="","",INDEX($AW$8:$AW$2007,MATCH($AU1326,$AU$8:$AU$2007,0)))</f>
        <v/>
      </c>
      <c r="AZ1326" s="31">
        <f>IF(OR($AS1326="",$C$6=""),"",TRIM(INDEX($A:$AP,ROW(),$C$6)&amp;""))</f>
        <v/>
      </c>
      <c r="BA1326" s="31">
        <f>IF($AZ1326="","",IF(COUNTIF($AZ$8:$AZ1326,$AZ1326)&gt;1,1,0))</f>
        <v/>
      </c>
    </row>
    <row r="1327">
      <c r="AR1327" s="31">
        <f>IF(OR($A$5="",$B$6="",ROW()&lt;$A$5),"",IF(INDEX($A:$AP,ROW(),$B$6)="","",INDEX($A:$AP,ROW(),$B$6)))</f>
        <v/>
      </c>
      <c r="AS1327" s="32">
        <f>IF($AR1327="","",IF(ISNUMBER($AR1327),IF($AR1327&gt;=10000000,IFERROR(DATE(INT($AR1327/10000),MOD(INT($AR1327/100),100),MOD($AR1327,100)),""),INT($AR1327)),IFERROR(DATE(--LEFT(LEFT(SUBSTITUTE(SUBSTITUTE(SUBSTITUTE(SUBSTITUTE(TRIM($AR1327),"-",""),".",""),"/","")," ",""),8),4),--MID(LEFT(SUBSTITUTE(SUBSTITUTE(SUBSTITUTE(SUBSTITUTE(TRIM($AR1327),"-",""),".",""),"/","")," ",""),8),5,2),--MID(LEFT(SUBSTITUTE(SUBSTITUTE(SUBSTITUTE(SUBSTITUTE(TRIM($AR1327),"-",""),".",""),"/","")," ",""),8),7,2)),"")))</f>
        <v/>
      </c>
      <c r="AT1327" s="33">
        <f>IF($AS1327="","",IF($F$6="",0,IF(ISNUMBER(INDEX($A:$AP,ROW(),$F$6)),INDEX($A:$AP,ROW(),$F$6),IFERROR(--SUBSTITUTE(SUBSTITUTE(TRIM(INDEX($A:$AP,ROW(),$F$6)),",",""),"원",""),0))))</f>
        <v/>
      </c>
      <c r="AU1327" s="31">
        <f>IF($AS1327="","",IF($AX1327&lt;&gt;"",SUBSTITUTE(SUBSTITUTE($AX1327,"-","")," ",""),"N:"&amp;$AV1327))</f>
        <v/>
      </c>
      <c r="AV1327" s="31">
        <f>IF(OR($AS1327="",$E$6=""),"",TRIM(INDEX($A:$AP,ROW(),$E$6)&amp;""))</f>
        <v/>
      </c>
      <c r="AW1327" s="31">
        <f>IF($AU1327="","",IF(MATCH($AU1327,$AU$8:$AU$2007,0)=ROW()-7,MAX($AW$7:$AW1326)+1,""))</f>
        <v/>
      </c>
      <c r="AX1327" s="31">
        <f>IF(OR($AS1327="",$D$6=""),"",TRIM(INDEX($A:$AP,ROW(),$D$6)&amp;""))</f>
        <v/>
      </c>
      <c r="AY1327" s="31">
        <f>IF($AU1327="","",INDEX($AW$8:$AW$2007,MATCH($AU1327,$AU$8:$AU$2007,0)))</f>
        <v/>
      </c>
      <c r="AZ1327" s="31">
        <f>IF(OR($AS1327="",$C$6=""),"",TRIM(INDEX($A:$AP,ROW(),$C$6)&amp;""))</f>
        <v/>
      </c>
      <c r="BA1327" s="31">
        <f>IF($AZ1327="","",IF(COUNTIF($AZ$8:$AZ1327,$AZ1327)&gt;1,1,0))</f>
        <v/>
      </c>
    </row>
    <row r="1328">
      <c r="AR1328" s="31">
        <f>IF(OR($A$5="",$B$6="",ROW()&lt;$A$5),"",IF(INDEX($A:$AP,ROW(),$B$6)="","",INDEX($A:$AP,ROW(),$B$6)))</f>
        <v/>
      </c>
      <c r="AS1328" s="32">
        <f>IF($AR1328="","",IF(ISNUMBER($AR1328),IF($AR1328&gt;=10000000,IFERROR(DATE(INT($AR1328/10000),MOD(INT($AR1328/100),100),MOD($AR1328,100)),""),INT($AR1328)),IFERROR(DATE(--LEFT(LEFT(SUBSTITUTE(SUBSTITUTE(SUBSTITUTE(SUBSTITUTE(TRIM($AR1328),"-",""),".",""),"/","")," ",""),8),4),--MID(LEFT(SUBSTITUTE(SUBSTITUTE(SUBSTITUTE(SUBSTITUTE(TRIM($AR1328),"-",""),".",""),"/","")," ",""),8),5,2),--MID(LEFT(SUBSTITUTE(SUBSTITUTE(SUBSTITUTE(SUBSTITUTE(TRIM($AR1328),"-",""),".",""),"/","")," ",""),8),7,2)),"")))</f>
        <v/>
      </c>
      <c r="AT1328" s="33">
        <f>IF($AS1328="","",IF($F$6="",0,IF(ISNUMBER(INDEX($A:$AP,ROW(),$F$6)),INDEX($A:$AP,ROW(),$F$6),IFERROR(--SUBSTITUTE(SUBSTITUTE(TRIM(INDEX($A:$AP,ROW(),$F$6)),",",""),"원",""),0))))</f>
        <v/>
      </c>
      <c r="AU1328" s="31">
        <f>IF($AS1328="","",IF($AX1328&lt;&gt;"",SUBSTITUTE(SUBSTITUTE($AX1328,"-","")," ",""),"N:"&amp;$AV1328))</f>
        <v/>
      </c>
      <c r="AV1328" s="31">
        <f>IF(OR($AS1328="",$E$6=""),"",TRIM(INDEX($A:$AP,ROW(),$E$6)&amp;""))</f>
        <v/>
      </c>
      <c r="AW1328" s="31">
        <f>IF($AU1328="","",IF(MATCH($AU1328,$AU$8:$AU$2007,0)=ROW()-7,MAX($AW$7:$AW1327)+1,""))</f>
        <v/>
      </c>
      <c r="AX1328" s="31">
        <f>IF(OR($AS1328="",$D$6=""),"",TRIM(INDEX($A:$AP,ROW(),$D$6)&amp;""))</f>
        <v/>
      </c>
      <c r="AY1328" s="31">
        <f>IF($AU1328="","",INDEX($AW$8:$AW$2007,MATCH($AU1328,$AU$8:$AU$2007,0)))</f>
        <v/>
      </c>
      <c r="AZ1328" s="31">
        <f>IF(OR($AS1328="",$C$6=""),"",TRIM(INDEX($A:$AP,ROW(),$C$6)&amp;""))</f>
        <v/>
      </c>
      <c r="BA1328" s="31">
        <f>IF($AZ1328="","",IF(COUNTIF($AZ$8:$AZ1328,$AZ1328)&gt;1,1,0))</f>
        <v/>
      </c>
    </row>
    <row r="1329">
      <c r="AR1329" s="31">
        <f>IF(OR($A$5="",$B$6="",ROW()&lt;$A$5),"",IF(INDEX($A:$AP,ROW(),$B$6)="","",INDEX($A:$AP,ROW(),$B$6)))</f>
        <v/>
      </c>
      <c r="AS1329" s="32">
        <f>IF($AR1329="","",IF(ISNUMBER($AR1329),IF($AR1329&gt;=10000000,IFERROR(DATE(INT($AR1329/10000),MOD(INT($AR1329/100),100),MOD($AR1329,100)),""),INT($AR1329)),IFERROR(DATE(--LEFT(LEFT(SUBSTITUTE(SUBSTITUTE(SUBSTITUTE(SUBSTITUTE(TRIM($AR1329),"-",""),".",""),"/","")," ",""),8),4),--MID(LEFT(SUBSTITUTE(SUBSTITUTE(SUBSTITUTE(SUBSTITUTE(TRIM($AR1329),"-",""),".",""),"/","")," ",""),8),5,2),--MID(LEFT(SUBSTITUTE(SUBSTITUTE(SUBSTITUTE(SUBSTITUTE(TRIM($AR1329),"-",""),".",""),"/","")," ",""),8),7,2)),"")))</f>
        <v/>
      </c>
      <c r="AT1329" s="33">
        <f>IF($AS1329="","",IF($F$6="",0,IF(ISNUMBER(INDEX($A:$AP,ROW(),$F$6)),INDEX($A:$AP,ROW(),$F$6),IFERROR(--SUBSTITUTE(SUBSTITUTE(TRIM(INDEX($A:$AP,ROW(),$F$6)),",",""),"원",""),0))))</f>
        <v/>
      </c>
      <c r="AU1329" s="31">
        <f>IF($AS1329="","",IF($AX1329&lt;&gt;"",SUBSTITUTE(SUBSTITUTE($AX1329,"-","")," ",""),"N:"&amp;$AV1329))</f>
        <v/>
      </c>
      <c r="AV1329" s="31">
        <f>IF(OR($AS1329="",$E$6=""),"",TRIM(INDEX($A:$AP,ROW(),$E$6)&amp;""))</f>
        <v/>
      </c>
      <c r="AW1329" s="31">
        <f>IF($AU1329="","",IF(MATCH($AU1329,$AU$8:$AU$2007,0)=ROW()-7,MAX($AW$7:$AW1328)+1,""))</f>
        <v/>
      </c>
      <c r="AX1329" s="31">
        <f>IF(OR($AS1329="",$D$6=""),"",TRIM(INDEX($A:$AP,ROW(),$D$6)&amp;""))</f>
        <v/>
      </c>
      <c r="AY1329" s="31">
        <f>IF($AU1329="","",INDEX($AW$8:$AW$2007,MATCH($AU1329,$AU$8:$AU$2007,0)))</f>
        <v/>
      </c>
      <c r="AZ1329" s="31">
        <f>IF(OR($AS1329="",$C$6=""),"",TRIM(INDEX($A:$AP,ROW(),$C$6)&amp;""))</f>
        <v/>
      </c>
      <c r="BA1329" s="31">
        <f>IF($AZ1329="","",IF(COUNTIF($AZ$8:$AZ1329,$AZ1329)&gt;1,1,0))</f>
        <v/>
      </c>
    </row>
    <row r="1330">
      <c r="AR1330" s="31">
        <f>IF(OR($A$5="",$B$6="",ROW()&lt;$A$5),"",IF(INDEX($A:$AP,ROW(),$B$6)="","",INDEX($A:$AP,ROW(),$B$6)))</f>
        <v/>
      </c>
      <c r="AS1330" s="32">
        <f>IF($AR1330="","",IF(ISNUMBER($AR1330),IF($AR1330&gt;=10000000,IFERROR(DATE(INT($AR1330/10000),MOD(INT($AR1330/100),100),MOD($AR1330,100)),""),INT($AR1330)),IFERROR(DATE(--LEFT(LEFT(SUBSTITUTE(SUBSTITUTE(SUBSTITUTE(SUBSTITUTE(TRIM($AR1330),"-",""),".",""),"/","")," ",""),8),4),--MID(LEFT(SUBSTITUTE(SUBSTITUTE(SUBSTITUTE(SUBSTITUTE(TRIM($AR1330),"-",""),".",""),"/","")," ",""),8),5,2),--MID(LEFT(SUBSTITUTE(SUBSTITUTE(SUBSTITUTE(SUBSTITUTE(TRIM($AR1330),"-",""),".",""),"/","")," ",""),8),7,2)),"")))</f>
        <v/>
      </c>
      <c r="AT1330" s="33">
        <f>IF($AS1330="","",IF($F$6="",0,IF(ISNUMBER(INDEX($A:$AP,ROW(),$F$6)),INDEX($A:$AP,ROW(),$F$6),IFERROR(--SUBSTITUTE(SUBSTITUTE(TRIM(INDEX($A:$AP,ROW(),$F$6)),",",""),"원",""),0))))</f>
        <v/>
      </c>
      <c r="AU1330" s="31">
        <f>IF($AS1330="","",IF($AX1330&lt;&gt;"",SUBSTITUTE(SUBSTITUTE($AX1330,"-","")," ",""),"N:"&amp;$AV1330))</f>
        <v/>
      </c>
      <c r="AV1330" s="31">
        <f>IF(OR($AS1330="",$E$6=""),"",TRIM(INDEX($A:$AP,ROW(),$E$6)&amp;""))</f>
        <v/>
      </c>
      <c r="AW1330" s="31">
        <f>IF($AU1330="","",IF(MATCH($AU1330,$AU$8:$AU$2007,0)=ROW()-7,MAX($AW$7:$AW1329)+1,""))</f>
        <v/>
      </c>
      <c r="AX1330" s="31">
        <f>IF(OR($AS1330="",$D$6=""),"",TRIM(INDEX($A:$AP,ROW(),$D$6)&amp;""))</f>
        <v/>
      </c>
      <c r="AY1330" s="31">
        <f>IF($AU1330="","",INDEX($AW$8:$AW$2007,MATCH($AU1330,$AU$8:$AU$2007,0)))</f>
        <v/>
      </c>
      <c r="AZ1330" s="31">
        <f>IF(OR($AS1330="",$C$6=""),"",TRIM(INDEX($A:$AP,ROW(),$C$6)&amp;""))</f>
        <v/>
      </c>
      <c r="BA1330" s="31">
        <f>IF($AZ1330="","",IF(COUNTIF($AZ$8:$AZ1330,$AZ1330)&gt;1,1,0))</f>
        <v/>
      </c>
    </row>
    <row r="1331">
      <c r="AR1331" s="31">
        <f>IF(OR($A$5="",$B$6="",ROW()&lt;$A$5),"",IF(INDEX($A:$AP,ROW(),$B$6)="","",INDEX($A:$AP,ROW(),$B$6)))</f>
        <v/>
      </c>
      <c r="AS1331" s="32">
        <f>IF($AR1331="","",IF(ISNUMBER($AR1331),IF($AR1331&gt;=10000000,IFERROR(DATE(INT($AR1331/10000),MOD(INT($AR1331/100),100),MOD($AR1331,100)),""),INT($AR1331)),IFERROR(DATE(--LEFT(LEFT(SUBSTITUTE(SUBSTITUTE(SUBSTITUTE(SUBSTITUTE(TRIM($AR1331),"-",""),".",""),"/","")," ",""),8),4),--MID(LEFT(SUBSTITUTE(SUBSTITUTE(SUBSTITUTE(SUBSTITUTE(TRIM($AR1331),"-",""),".",""),"/","")," ",""),8),5,2),--MID(LEFT(SUBSTITUTE(SUBSTITUTE(SUBSTITUTE(SUBSTITUTE(TRIM($AR1331),"-",""),".",""),"/","")," ",""),8),7,2)),"")))</f>
        <v/>
      </c>
      <c r="AT1331" s="33">
        <f>IF($AS1331="","",IF($F$6="",0,IF(ISNUMBER(INDEX($A:$AP,ROW(),$F$6)),INDEX($A:$AP,ROW(),$F$6),IFERROR(--SUBSTITUTE(SUBSTITUTE(TRIM(INDEX($A:$AP,ROW(),$F$6)),",",""),"원",""),0))))</f>
        <v/>
      </c>
      <c r="AU1331" s="31">
        <f>IF($AS1331="","",IF($AX1331&lt;&gt;"",SUBSTITUTE(SUBSTITUTE($AX1331,"-","")," ",""),"N:"&amp;$AV1331))</f>
        <v/>
      </c>
      <c r="AV1331" s="31">
        <f>IF(OR($AS1331="",$E$6=""),"",TRIM(INDEX($A:$AP,ROW(),$E$6)&amp;""))</f>
        <v/>
      </c>
      <c r="AW1331" s="31">
        <f>IF($AU1331="","",IF(MATCH($AU1331,$AU$8:$AU$2007,0)=ROW()-7,MAX($AW$7:$AW1330)+1,""))</f>
        <v/>
      </c>
      <c r="AX1331" s="31">
        <f>IF(OR($AS1331="",$D$6=""),"",TRIM(INDEX($A:$AP,ROW(),$D$6)&amp;""))</f>
        <v/>
      </c>
      <c r="AY1331" s="31">
        <f>IF($AU1331="","",INDEX($AW$8:$AW$2007,MATCH($AU1331,$AU$8:$AU$2007,0)))</f>
        <v/>
      </c>
      <c r="AZ1331" s="31">
        <f>IF(OR($AS1331="",$C$6=""),"",TRIM(INDEX($A:$AP,ROW(),$C$6)&amp;""))</f>
        <v/>
      </c>
      <c r="BA1331" s="31">
        <f>IF($AZ1331="","",IF(COUNTIF($AZ$8:$AZ1331,$AZ1331)&gt;1,1,0))</f>
        <v/>
      </c>
    </row>
    <row r="1332">
      <c r="AR1332" s="31">
        <f>IF(OR($A$5="",$B$6="",ROW()&lt;$A$5),"",IF(INDEX($A:$AP,ROW(),$B$6)="","",INDEX($A:$AP,ROW(),$B$6)))</f>
        <v/>
      </c>
      <c r="AS1332" s="32">
        <f>IF($AR1332="","",IF(ISNUMBER($AR1332),IF($AR1332&gt;=10000000,IFERROR(DATE(INT($AR1332/10000),MOD(INT($AR1332/100),100),MOD($AR1332,100)),""),INT($AR1332)),IFERROR(DATE(--LEFT(LEFT(SUBSTITUTE(SUBSTITUTE(SUBSTITUTE(SUBSTITUTE(TRIM($AR1332),"-",""),".",""),"/","")," ",""),8),4),--MID(LEFT(SUBSTITUTE(SUBSTITUTE(SUBSTITUTE(SUBSTITUTE(TRIM($AR1332),"-",""),".",""),"/","")," ",""),8),5,2),--MID(LEFT(SUBSTITUTE(SUBSTITUTE(SUBSTITUTE(SUBSTITUTE(TRIM($AR1332),"-",""),".",""),"/","")," ",""),8),7,2)),"")))</f>
        <v/>
      </c>
      <c r="AT1332" s="33">
        <f>IF($AS1332="","",IF($F$6="",0,IF(ISNUMBER(INDEX($A:$AP,ROW(),$F$6)),INDEX($A:$AP,ROW(),$F$6),IFERROR(--SUBSTITUTE(SUBSTITUTE(TRIM(INDEX($A:$AP,ROW(),$F$6)),",",""),"원",""),0))))</f>
        <v/>
      </c>
      <c r="AU1332" s="31">
        <f>IF($AS1332="","",IF($AX1332&lt;&gt;"",SUBSTITUTE(SUBSTITUTE($AX1332,"-","")," ",""),"N:"&amp;$AV1332))</f>
        <v/>
      </c>
      <c r="AV1332" s="31">
        <f>IF(OR($AS1332="",$E$6=""),"",TRIM(INDEX($A:$AP,ROW(),$E$6)&amp;""))</f>
        <v/>
      </c>
      <c r="AW1332" s="31">
        <f>IF($AU1332="","",IF(MATCH($AU1332,$AU$8:$AU$2007,0)=ROW()-7,MAX($AW$7:$AW1331)+1,""))</f>
        <v/>
      </c>
      <c r="AX1332" s="31">
        <f>IF(OR($AS1332="",$D$6=""),"",TRIM(INDEX($A:$AP,ROW(),$D$6)&amp;""))</f>
        <v/>
      </c>
      <c r="AY1332" s="31">
        <f>IF($AU1332="","",INDEX($AW$8:$AW$2007,MATCH($AU1332,$AU$8:$AU$2007,0)))</f>
        <v/>
      </c>
      <c r="AZ1332" s="31">
        <f>IF(OR($AS1332="",$C$6=""),"",TRIM(INDEX($A:$AP,ROW(),$C$6)&amp;""))</f>
        <v/>
      </c>
      <c r="BA1332" s="31">
        <f>IF($AZ1332="","",IF(COUNTIF($AZ$8:$AZ1332,$AZ1332)&gt;1,1,0))</f>
        <v/>
      </c>
    </row>
    <row r="1333">
      <c r="AR1333" s="31">
        <f>IF(OR($A$5="",$B$6="",ROW()&lt;$A$5),"",IF(INDEX($A:$AP,ROW(),$B$6)="","",INDEX($A:$AP,ROW(),$B$6)))</f>
        <v/>
      </c>
      <c r="AS1333" s="32">
        <f>IF($AR1333="","",IF(ISNUMBER($AR1333),IF($AR1333&gt;=10000000,IFERROR(DATE(INT($AR1333/10000),MOD(INT($AR1333/100),100),MOD($AR1333,100)),""),INT($AR1333)),IFERROR(DATE(--LEFT(LEFT(SUBSTITUTE(SUBSTITUTE(SUBSTITUTE(SUBSTITUTE(TRIM($AR1333),"-",""),".",""),"/","")," ",""),8),4),--MID(LEFT(SUBSTITUTE(SUBSTITUTE(SUBSTITUTE(SUBSTITUTE(TRIM($AR1333),"-",""),".",""),"/","")," ",""),8),5,2),--MID(LEFT(SUBSTITUTE(SUBSTITUTE(SUBSTITUTE(SUBSTITUTE(TRIM($AR1333),"-",""),".",""),"/","")," ",""),8),7,2)),"")))</f>
        <v/>
      </c>
      <c r="AT1333" s="33">
        <f>IF($AS1333="","",IF($F$6="",0,IF(ISNUMBER(INDEX($A:$AP,ROW(),$F$6)),INDEX($A:$AP,ROW(),$F$6),IFERROR(--SUBSTITUTE(SUBSTITUTE(TRIM(INDEX($A:$AP,ROW(),$F$6)),",",""),"원",""),0))))</f>
        <v/>
      </c>
      <c r="AU1333" s="31">
        <f>IF($AS1333="","",IF($AX1333&lt;&gt;"",SUBSTITUTE(SUBSTITUTE($AX1333,"-","")," ",""),"N:"&amp;$AV1333))</f>
        <v/>
      </c>
      <c r="AV1333" s="31">
        <f>IF(OR($AS1333="",$E$6=""),"",TRIM(INDEX($A:$AP,ROW(),$E$6)&amp;""))</f>
        <v/>
      </c>
      <c r="AW1333" s="31">
        <f>IF($AU1333="","",IF(MATCH($AU1333,$AU$8:$AU$2007,0)=ROW()-7,MAX($AW$7:$AW1332)+1,""))</f>
        <v/>
      </c>
      <c r="AX1333" s="31">
        <f>IF(OR($AS1333="",$D$6=""),"",TRIM(INDEX($A:$AP,ROW(),$D$6)&amp;""))</f>
        <v/>
      </c>
      <c r="AY1333" s="31">
        <f>IF($AU1333="","",INDEX($AW$8:$AW$2007,MATCH($AU1333,$AU$8:$AU$2007,0)))</f>
        <v/>
      </c>
      <c r="AZ1333" s="31">
        <f>IF(OR($AS1333="",$C$6=""),"",TRIM(INDEX($A:$AP,ROW(),$C$6)&amp;""))</f>
        <v/>
      </c>
      <c r="BA1333" s="31">
        <f>IF($AZ1333="","",IF(COUNTIF($AZ$8:$AZ1333,$AZ1333)&gt;1,1,0))</f>
        <v/>
      </c>
    </row>
    <row r="1334">
      <c r="AR1334" s="31">
        <f>IF(OR($A$5="",$B$6="",ROW()&lt;$A$5),"",IF(INDEX($A:$AP,ROW(),$B$6)="","",INDEX($A:$AP,ROW(),$B$6)))</f>
        <v/>
      </c>
      <c r="AS1334" s="32">
        <f>IF($AR1334="","",IF(ISNUMBER($AR1334),IF($AR1334&gt;=10000000,IFERROR(DATE(INT($AR1334/10000),MOD(INT($AR1334/100),100),MOD($AR1334,100)),""),INT($AR1334)),IFERROR(DATE(--LEFT(LEFT(SUBSTITUTE(SUBSTITUTE(SUBSTITUTE(SUBSTITUTE(TRIM($AR1334),"-",""),".",""),"/","")," ",""),8),4),--MID(LEFT(SUBSTITUTE(SUBSTITUTE(SUBSTITUTE(SUBSTITUTE(TRIM($AR1334),"-",""),".",""),"/","")," ",""),8),5,2),--MID(LEFT(SUBSTITUTE(SUBSTITUTE(SUBSTITUTE(SUBSTITUTE(TRIM($AR1334),"-",""),".",""),"/","")," ",""),8),7,2)),"")))</f>
        <v/>
      </c>
      <c r="AT1334" s="33">
        <f>IF($AS1334="","",IF($F$6="",0,IF(ISNUMBER(INDEX($A:$AP,ROW(),$F$6)),INDEX($A:$AP,ROW(),$F$6),IFERROR(--SUBSTITUTE(SUBSTITUTE(TRIM(INDEX($A:$AP,ROW(),$F$6)),",",""),"원",""),0))))</f>
        <v/>
      </c>
      <c r="AU1334" s="31">
        <f>IF($AS1334="","",IF($AX1334&lt;&gt;"",SUBSTITUTE(SUBSTITUTE($AX1334,"-","")," ",""),"N:"&amp;$AV1334))</f>
        <v/>
      </c>
      <c r="AV1334" s="31">
        <f>IF(OR($AS1334="",$E$6=""),"",TRIM(INDEX($A:$AP,ROW(),$E$6)&amp;""))</f>
        <v/>
      </c>
      <c r="AW1334" s="31">
        <f>IF($AU1334="","",IF(MATCH($AU1334,$AU$8:$AU$2007,0)=ROW()-7,MAX($AW$7:$AW1333)+1,""))</f>
        <v/>
      </c>
      <c r="AX1334" s="31">
        <f>IF(OR($AS1334="",$D$6=""),"",TRIM(INDEX($A:$AP,ROW(),$D$6)&amp;""))</f>
        <v/>
      </c>
      <c r="AY1334" s="31">
        <f>IF($AU1334="","",INDEX($AW$8:$AW$2007,MATCH($AU1334,$AU$8:$AU$2007,0)))</f>
        <v/>
      </c>
      <c r="AZ1334" s="31">
        <f>IF(OR($AS1334="",$C$6=""),"",TRIM(INDEX($A:$AP,ROW(),$C$6)&amp;""))</f>
        <v/>
      </c>
      <c r="BA1334" s="31">
        <f>IF($AZ1334="","",IF(COUNTIF($AZ$8:$AZ1334,$AZ1334)&gt;1,1,0))</f>
        <v/>
      </c>
    </row>
    <row r="1335">
      <c r="AR1335" s="31">
        <f>IF(OR($A$5="",$B$6="",ROW()&lt;$A$5),"",IF(INDEX($A:$AP,ROW(),$B$6)="","",INDEX($A:$AP,ROW(),$B$6)))</f>
        <v/>
      </c>
      <c r="AS1335" s="32">
        <f>IF($AR1335="","",IF(ISNUMBER($AR1335),IF($AR1335&gt;=10000000,IFERROR(DATE(INT($AR1335/10000),MOD(INT($AR1335/100),100),MOD($AR1335,100)),""),INT($AR1335)),IFERROR(DATE(--LEFT(LEFT(SUBSTITUTE(SUBSTITUTE(SUBSTITUTE(SUBSTITUTE(TRIM($AR1335),"-",""),".",""),"/","")," ",""),8),4),--MID(LEFT(SUBSTITUTE(SUBSTITUTE(SUBSTITUTE(SUBSTITUTE(TRIM($AR1335),"-",""),".",""),"/","")," ",""),8),5,2),--MID(LEFT(SUBSTITUTE(SUBSTITUTE(SUBSTITUTE(SUBSTITUTE(TRIM($AR1335),"-",""),".",""),"/","")," ",""),8),7,2)),"")))</f>
        <v/>
      </c>
      <c r="AT1335" s="33">
        <f>IF($AS1335="","",IF($F$6="",0,IF(ISNUMBER(INDEX($A:$AP,ROW(),$F$6)),INDEX($A:$AP,ROW(),$F$6),IFERROR(--SUBSTITUTE(SUBSTITUTE(TRIM(INDEX($A:$AP,ROW(),$F$6)),",",""),"원",""),0))))</f>
        <v/>
      </c>
      <c r="AU1335" s="31">
        <f>IF($AS1335="","",IF($AX1335&lt;&gt;"",SUBSTITUTE(SUBSTITUTE($AX1335,"-","")," ",""),"N:"&amp;$AV1335))</f>
        <v/>
      </c>
      <c r="AV1335" s="31">
        <f>IF(OR($AS1335="",$E$6=""),"",TRIM(INDEX($A:$AP,ROW(),$E$6)&amp;""))</f>
        <v/>
      </c>
      <c r="AW1335" s="31">
        <f>IF($AU1335="","",IF(MATCH($AU1335,$AU$8:$AU$2007,0)=ROW()-7,MAX($AW$7:$AW1334)+1,""))</f>
        <v/>
      </c>
      <c r="AX1335" s="31">
        <f>IF(OR($AS1335="",$D$6=""),"",TRIM(INDEX($A:$AP,ROW(),$D$6)&amp;""))</f>
        <v/>
      </c>
      <c r="AY1335" s="31">
        <f>IF($AU1335="","",INDEX($AW$8:$AW$2007,MATCH($AU1335,$AU$8:$AU$2007,0)))</f>
        <v/>
      </c>
      <c r="AZ1335" s="31">
        <f>IF(OR($AS1335="",$C$6=""),"",TRIM(INDEX($A:$AP,ROW(),$C$6)&amp;""))</f>
        <v/>
      </c>
      <c r="BA1335" s="31">
        <f>IF($AZ1335="","",IF(COUNTIF($AZ$8:$AZ1335,$AZ1335)&gt;1,1,0))</f>
        <v/>
      </c>
    </row>
    <row r="1336">
      <c r="AR1336" s="31">
        <f>IF(OR($A$5="",$B$6="",ROW()&lt;$A$5),"",IF(INDEX($A:$AP,ROW(),$B$6)="","",INDEX($A:$AP,ROW(),$B$6)))</f>
        <v/>
      </c>
      <c r="AS1336" s="32">
        <f>IF($AR1336="","",IF(ISNUMBER($AR1336),IF($AR1336&gt;=10000000,IFERROR(DATE(INT($AR1336/10000),MOD(INT($AR1336/100),100),MOD($AR1336,100)),""),INT($AR1336)),IFERROR(DATE(--LEFT(LEFT(SUBSTITUTE(SUBSTITUTE(SUBSTITUTE(SUBSTITUTE(TRIM($AR1336),"-",""),".",""),"/","")," ",""),8),4),--MID(LEFT(SUBSTITUTE(SUBSTITUTE(SUBSTITUTE(SUBSTITUTE(TRIM($AR1336),"-",""),".",""),"/","")," ",""),8),5,2),--MID(LEFT(SUBSTITUTE(SUBSTITUTE(SUBSTITUTE(SUBSTITUTE(TRIM($AR1336),"-",""),".",""),"/","")," ",""),8),7,2)),"")))</f>
        <v/>
      </c>
      <c r="AT1336" s="33">
        <f>IF($AS1336="","",IF($F$6="",0,IF(ISNUMBER(INDEX($A:$AP,ROW(),$F$6)),INDEX($A:$AP,ROW(),$F$6),IFERROR(--SUBSTITUTE(SUBSTITUTE(TRIM(INDEX($A:$AP,ROW(),$F$6)),",",""),"원",""),0))))</f>
        <v/>
      </c>
      <c r="AU1336" s="31">
        <f>IF($AS1336="","",IF($AX1336&lt;&gt;"",SUBSTITUTE(SUBSTITUTE($AX1336,"-","")," ",""),"N:"&amp;$AV1336))</f>
        <v/>
      </c>
      <c r="AV1336" s="31">
        <f>IF(OR($AS1336="",$E$6=""),"",TRIM(INDEX($A:$AP,ROW(),$E$6)&amp;""))</f>
        <v/>
      </c>
      <c r="AW1336" s="31">
        <f>IF($AU1336="","",IF(MATCH($AU1336,$AU$8:$AU$2007,0)=ROW()-7,MAX($AW$7:$AW1335)+1,""))</f>
        <v/>
      </c>
      <c r="AX1336" s="31">
        <f>IF(OR($AS1336="",$D$6=""),"",TRIM(INDEX($A:$AP,ROW(),$D$6)&amp;""))</f>
        <v/>
      </c>
      <c r="AY1336" s="31">
        <f>IF($AU1336="","",INDEX($AW$8:$AW$2007,MATCH($AU1336,$AU$8:$AU$2007,0)))</f>
        <v/>
      </c>
      <c r="AZ1336" s="31">
        <f>IF(OR($AS1336="",$C$6=""),"",TRIM(INDEX($A:$AP,ROW(),$C$6)&amp;""))</f>
        <v/>
      </c>
      <c r="BA1336" s="31">
        <f>IF($AZ1336="","",IF(COUNTIF($AZ$8:$AZ1336,$AZ1336)&gt;1,1,0))</f>
        <v/>
      </c>
    </row>
    <row r="1337">
      <c r="AR1337" s="31">
        <f>IF(OR($A$5="",$B$6="",ROW()&lt;$A$5),"",IF(INDEX($A:$AP,ROW(),$B$6)="","",INDEX($A:$AP,ROW(),$B$6)))</f>
        <v/>
      </c>
      <c r="AS1337" s="32">
        <f>IF($AR1337="","",IF(ISNUMBER($AR1337),IF($AR1337&gt;=10000000,IFERROR(DATE(INT($AR1337/10000),MOD(INT($AR1337/100),100),MOD($AR1337,100)),""),INT($AR1337)),IFERROR(DATE(--LEFT(LEFT(SUBSTITUTE(SUBSTITUTE(SUBSTITUTE(SUBSTITUTE(TRIM($AR1337),"-",""),".",""),"/","")," ",""),8),4),--MID(LEFT(SUBSTITUTE(SUBSTITUTE(SUBSTITUTE(SUBSTITUTE(TRIM($AR1337),"-",""),".",""),"/","")," ",""),8),5,2),--MID(LEFT(SUBSTITUTE(SUBSTITUTE(SUBSTITUTE(SUBSTITUTE(TRIM($AR1337),"-",""),".",""),"/","")," ",""),8),7,2)),"")))</f>
        <v/>
      </c>
      <c r="AT1337" s="33">
        <f>IF($AS1337="","",IF($F$6="",0,IF(ISNUMBER(INDEX($A:$AP,ROW(),$F$6)),INDEX($A:$AP,ROW(),$F$6),IFERROR(--SUBSTITUTE(SUBSTITUTE(TRIM(INDEX($A:$AP,ROW(),$F$6)),",",""),"원",""),0))))</f>
        <v/>
      </c>
      <c r="AU1337" s="31">
        <f>IF($AS1337="","",IF($AX1337&lt;&gt;"",SUBSTITUTE(SUBSTITUTE($AX1337,"-","")," ",""),"N:"&amp;$AV1337))</f>
        <v/>
      </c>
      <c r="AV1337" s="31">
        <f>IF(OR($AS1337="",$E$6=""),"",TRIM(INDEX($A:$AP,ROW(),$E$6)&amp;""))</f>
        <v/>
      </c>
      <c r="AW1337" s="31">
        <f>IF($AU1337="","",IF(MATCH($AU1337,$AU$8:$AU$2007,0)=ROW()-7,MAX($AW$7:$AW1336)+1,""))</f>
        <v/>
      </c>
      <c r="AX1337" s="31">
        <f>IF(OR($AS1337="",$D$6=""),"",TRIM(INDEX($A:$AP,ROW(),$D$6)&amp;""))</f>
        <v/>
      </c>
      <c r="AY1337" s="31">
        <f>IF($AU1337="","",INDEX($AW$8:$AW$2007,MATCH($AU1337,$AU$8:$AU$2007,0)))</f>
        <v/>
      </c>
      <c r="AZ1337" s="31">
        <f>IF(OR($AS1337="",$C$6=""),"",TRIM(INDEX($A:$AP,ROW(),$C$6)&amp;""))</f>
        <v/>
      </c>
      <c r="BA1337" s="31">
        <f>IF($AZ1337="","",IF(COUNTIF($AZ$8:$AZ1337,$AZ1337)&gt;1,1,0))</f>
        <v/>
      </c>
    </row>
    <row r="1338">
      <c r="AR1338" s="31">
        <f>IF(OR($A$5="",$B$6="",ROW()&lt;$A$5),"",IF(INDEX($A:$AP,ROW(),$B$6)="","",INDEX($A:$AP,ROW(),$B$6)))</f>
        <v/>
      </c>
      <c r="AS1338" s="32">
        <f>IF($AR1338="","",IF(ISNUMBER($AR1338),IF($AR1338&gt;=10000000,IFERROR(DATE(INT($AR1338/10000),MOD(INT($AR1338/100),100),MOD($AR1338,100)),""),INT($AR1338)),IFERROR(DATE(--LEFT(LEFT(SUBSTITUTE(SUBSTITUTE(SUBSTITUTE(SUBSTITUTE(TRIM($AR1338),"-",""),".",""),"/","")," ",""),8),4),--MID(LEFT(SUBSTITUTE(SUBSTITUTE(SUBSTITUTE(SUBSTITUTE(TRIM($AR1338),"-",""),".",""),"/","")," ",""),8),5,2),--MID(LEFT(SUBSTITUTE(SUBSTITUTE(SUBSTITUTE(SUBSTITUTE(TRIM($AR1338),"-",""),".",""),"/","")," ",""),8),7,2)),"")))</f>
        <v/>
      </c>
      <c r="AT1338" s="33">
        <f>IF($AS1338="","",IF($F$6="",0,IF(ISNUMBER(INDEX($A:$AP,ROW(),$F$6)),INDEX($A:$AP,ROW(),$F$6),IFERROR(--SUBSTITUTE(SUBSTITUTE(TRIM(INDEX($A:$AP,ROW(),$F$6)),",",""),"원",""),0))))</f>
        <v/>
      </c>
      <c r="AU1338" s="31">
        <f>IF($AS1338="","",IF($AX1338&lt;&gt;"",SUBSTITUTE(SUBSTITUTE($AX1338,"-","")," ",""),"N:"&amp;$AV1338))</f>
        <v/>
      </c>
      <c r="AV1338" s="31">
        <f>IF(OR($AS1338="",$E$6=""),"",TRIM(INDEX($A:$AP,ROW(),$E$6)&amp;""))</f>
        <v/>
      </c>
      <c r="AW1338" s="31">
        <f>IF($AU1338="","",IF(MATCH($AU1338,$AU$8:$AU$2007,0)=ROW()-7,MAX($AW$7:$AW1337)+1,""))</f>
        <v/>
      </c>
      <c r="AX1338" s="31">
        <f>IF(OR($AS1338="",$D$6=""),"",TRIM(INDEX($A:$AP,ROW(),$D$6)&amp;""))</f>
        <v/>
      </c>
      <c r="AY1338" s="31">
        <f>IF($AU1338="","",INDEX($AW$8:$AW$2007,MATCH($AU1338,$AU$8:$AU$2007,0)))</f>
        <v/>
      </c>
      <c r="AZ1338" s="31">
        <f>IF(OR($AS1338="",$C$6=""),"",TRIM(INDEX($A:$AP,ROW(),$C$6)&amp;""))</f>
        <v/>
      </c>
      <c r="BA1338" s="31">
        <f>IF($AZ1338="","",IF(COUNTIF($AZ$8:$AZ1338,$AZ1338)&gt;1,1,0))</f>
        <v/>
      </c>
    </row>
    <row r="1339">
      <c r="AR1339" s="31">
        <f>IF(OR($A$5="",$B$6="",ROW()&lt;$A$5),"",IF(INDEX($A:$AP,ROW(),$B$6)="","",INDEX($A:$AP,ROW(),$B$6)))</f>
        <v/>
      </c>
      <c r="AS1339" s="32">
        <f>IF($AR1339="","",IF(ISNUMBER($AR1339),IF($AR1339&gt;=10000000,IFERROR(DATE(INT($AR1339/10000),MOD(INT($AR1339/100),100),MOD($AR1339,100)),""),INT($AR1339)),IFERROR(DATE(--LEFT(LEFT(SUBSTITUTE(SUBSTITUTE(SUBSTITUTE(SUBSTITUTE(TRIM($AR1339),"-",""),".",""),"/","")," ",""),8),4),--MID(LEFT(SUBSTITUTE(SUBSTITUTE(SUBSTITUTE(SUBSTITUTE(TRIM($AR1339),"-",""),".",""),"/","")," ",""),8),5,2),--MID(LEFT(SUBSTITUTE(SUBSTITUTE(SUBSTITUTE(SUBSTITUTE(TRIM($AR1339),"-",""),".",""),"/","")," ",""),8),7,2)),"")))</f>
        <v/>
      </c>
      <c r="AT1339" s="33">
        <f>IF($AS1339="","",IF($F$6="",0,IF(ISNUMBER(INDEX($A:$AP,ROW(),$F$6)),INDEX($A:$AP,ROW(),$F$6),IFERROR(--SUBSTITUTE(SUBSTITUTE(TRIM(INDEX($A:$AP,ROW(),$F$6)),",",""),"원",""),0))))</f>
        <v/>
      </c>
      <c r="AU1339" s="31">
        <f>IF($AS1339="","",IF($AX1339&lt;&gt;"",SUBSTITUTE(SUBSTITUTE($AX1339,"-","")," ",""),"N:"&amp;$AV1339))</f>
        <v/>
      </c>
      <c r="AV1339" s="31">
        <f>IF(OR($AS1339="",$E$6=""),"",TRIM(INDEX($A:$AP,ROW(),$E$6)&amp;""))</f>
        <v/>
      </c>
      <c r="AW1339" s="31">
        <f>IF($AU1339="","",IF(MATCH($AU1339,$AU$8:$AU$2007,0)=ROW()-7,MAX($AW$7:$AW1338)+1,""))</f>
        <v/>
      </c>
      <c r="AX1339" s="31">
        <f>IF(OR($AS1339="",$D$6=""),"",TRIM(INDEX($A:$AP,ROW(),$D$6)&amp;""))</f>
        <v/>
      </c>
      <c r="AY1339" s="31">
        <f>IF($AU1339="","",INDEX($AW$8:$AW$2007,MATCH($AU1339,$AU$8:$AU$2007,0)))</f>
        <v/>
      </c>
      <c r="AZ1339" s="31">
        <f>IF(OR($AS1339="",$C$6=""),"",TRIM(INDEX($A:$AP,ROW(),$C$6)&amp;""))</f>
        <v/>
      </c>
      <c r="BA1339" s="31">
        <f>IF($AZ1339="","",IF(COUNTIF($AZ$8:$AZ1339,$AZ1339)&gt;1,1,0))</f>
        <v/>
      </c>
    </row>
    <row r="1340">
      <c r="AR1340" s="31">
        <f>IF(OR($A$5="",$B$6="",ROW()&lt;$A$5),"",IF(INDEX($A:$AP,ROW(),$B$6)="","",INDEX($A:$AP,ROW(),$B$6)))</f>
        <v/>
      </c>
      <c r="AS1340" s="32">
        <f>IF($AR1340="","",IF(ISNUMBER($AR1340),IF($AR1340&gt;=10000000,IFERROR(DATE(INT($AR1340/10000),MOD(INT($AR1340/100),100),MOD($AR1340,100)),""),INT($AR1340)),IFERROR(DATE(--LEFT(LEFT(SUBSTITUTE(SUBSTITUTE(SUBSTITUTE(SUBSTITUTE(TRIM($AR1340),"-",""),".",""),"/","")," ",""),8),4),--MID(LEFT(SUBSTITUTE(SUBSTITUTE(SUBSTITUTE(SUBSTITUTE(TRIM($AR1340),"-",""),".",""),"/","")," ",""),8),5,2),--MID(LEFT(SUBSTITUTE(SUBSTITUTE(SUBSTITUTE(SUBSTITUTE(TRIM($AR1340),"-",""),".",""),"/","")," ",""),8),7,2)),"")))</f>
        <v/>
      </c>
      <c r="AT1340" s="33">
        <f>IF($AS1340="","",IF($F$6="",0,IF(ISNUMBER(INDEX($A:$AP,ROW(),$F$6)),INDEX($A:$AP,ROW(),$F$6),IFERROR(--SUBSTITUTE(SUBSTITUTE(TRIM(INDEX($A:$AP,ROW(),$F$6)),",",""),"원",""),0))))</f>
        <v/>
      </c>
      <c r="AU1340" s="31">
        <f>IF($AS1340="","",IF($AX1340&lt;&gt;"",SUBSTITUTE(SUBSTITUTE($AX1340,"-","")," ",""),"N:"&amp;$AV1340))</f>
        <v/>
      </c>
      <c r="AV1340" s="31">
        <f>IF(OR($AS1340="",$E$6=""),"",TRIM(INDEX($A:$AP,ROW(),$E$6)&amp;""))</f>
        <v/>
      </c>
      <c r="AW1340" s="31">
        <f>IF($AU1340="","",IF(MATCH($AU1340,$AU$8:$AU$2007,0)=ROW()-7,MAX($AW$7:$AW1339)+1,""))</f>
        <v/>
      </c>
      <c r="AX1340" s="31">
        <f>IF(OR($AS1340="",$D$6=""),"",TRIM(INDEX($A:$AP,ROW(),$D$6)&amp;""))</f>
        <v/>
      </c>
      <c r="AY1340" s="31">
        <f>IF($AU1340="","",INDEX($AW$8:$AW$2007,MATCH($AU1340,$AU$8:$AU$2007,0)))</f>
        <v/>
      </c>
      <c r="AZ1340" s="31">
        <f>IF(OR($AS1340="",$C$6=""),"",TRIM(INDEX($A:$AP,ROW(),$C$6)&amp;""))</f>
        <v/>
      </c>
      <c r="BA1340" s="31">
        <f>IF($AZ1340="","",IF(COUNTIF($AZ$8:$AZ1340,$AZ1340)&gt;1,1,0))</f>
        <v/>
      </c>
    </row>
    <row r="1341">
      <c r="AR1341" s="31">
        <f>IF(OR($A$5="",$B$6="",ROW()&lt;$A$5),"",IF(INDEX($A:$AP,ROW(),$B$6)="","",INDEX($A:$AP,ROW(),$B$6)))</f>
        <v/>
      </c>
      <c r="AS1341" s="32">
        <f>IF($AR1341="","",IF(ISNUMBER($AR1341),IF($AR1341&gt;=10000000,IFERROR(DATE(INT($AR1341/10000),MOD(INT($AR1341/100),100),MOD($AR1341,100)),""),INT($AR1341)),IFERROR(DATE(--LEFT(LEFT(SUBSTITUTE(SUBSTITUTE(SUBSTITUTE(SUBSTITUTE(TRIM($AR1341),"-",""),".",""),"/","")," ",""),8),4),--MID(LEFT(SUBSTITUTE(SUBSTITUTE(SUBSTITUTE(SUBSTITUTE(TRIM($AR1341),"-",""),".",""),"/","")," ",""),8),5,2),--MID(LEFT(SUBSTITUTE(SUBSTITUTE(SUBSTITUTE(SUBSTITUTE(TRIM($AR1341),"-",""),".",""),"/","")," ",""),8),7,2)),"")))</f>
        <v/>
      </c>
      <c r="AT1341" s="33">
        <f>IF($AS1341="","",IF($F$6="",0,IF(ISNUMBER(INDEX($A:$AP,ROW(),$F$6)),INDEX($A:$AP,ROW(),$F$6),IFERROR(--SUBSTITUTE(SUBSTITUTE(TRIM(INDEX($A:$AP,ROW(),$F$6)),",",""),"원",""),0))))</f>
        <v/>
      </c>
      <c r="AU1341" s="31">
        <f>IF($AS1341="","",IF($AX1341&lt;&gt;"",SUBSTITUTE(SUBSTITUTE($AX1341,"-","")," ",""),"N:"&amp;$AV1341))</f>
        <v/>
      </c>
      <c r="AV1341" s="31">
        <f>IF(OR($AS1341="",$E$6=""),"",TRIM(INDEX($A:$AP,ROW(),$E$6)&amp;""))</f>
        <v/>
      </c>
      <c r="AW1341" s="31">
        <f>IF($AU1341="","",IF(MATCH($AU1341,$AU$8:$AU$2007,0)=ROW()-7,MAX($AW$7:$AW1340)+1,""))</f>
        <v/>
      </c>
      <c r="AX1341" s="31">
        <f>IF(OR($AS1341="",$D$6=""),"",TRIM(INDEX($A:$AP,ROW(),$D$6)&amp;""))</f>
        <v/>
      </c>
      <c r="AY1341" s="31">
        <f>IF($AU1341="","",INDEX($AW$8:$AW$2007,MATCH($AU1341,$AU$8:$AU$2007,0)))</f>
        <v/>
      </c>
      <c r="AZ1341" s="31">
        <f>IF(OR($AS1341="",$C$6=""),"",TRIM(INDEX($A:$AP,ROW(),$C$6)&amp;""))</f>
        <v/>
      </c>
      <c r="BA1341" s="31">
        <f>IF($AZ1341="","",IF(COUNTIF($AZ$8:$AZ1341,$AZ1341)&gt;1,1,0))</f>
        <v/>
      </c>
    </row>
    <row r="1342">
      <c r="AR1342" s="31">
        <f>IF(OR($A$5="",$B$6="",ROW()&lt;$A$5),"",IF(INDEX($A:$AP,ROW(),$B$6)="","",INDEX($A:$AP,ROW(),$B$6)))</f>
        <v/>
      </c>
      <c r="AS1342" s="32">
        <f>IF($AR1342="","",IF(ISNUMBER($AR1342),IF($AR1342&gt;=10000000,IFERROR(DATE(INT($AR1342/10000),MOD(INT($AR1342/100),100),MOD($AR1342,100)),""),INT($AR1342)),IFERROR(DATE(--LEFT(LEFT(SUBSTITUTE(SUBSTITUTE(SUBSTITUTE(SUBSTITUTE(TRIM($AR1342),"-",""),".",""),"/","")," ",""),8),4),--MID(LEFT(SUBSTITUTE(SUBSTITUTE(SUBSTITUTE(SUBSTITUTE(TRIM($AR1342),"-",""),".",""),"/","")," ",""),8),5,2),--MID(LEFT(SUBSTITUTE(SUBSTITUTE(SUBSTITUTE(SUBSTITUTE(TRIM($AR1342),"-",""),".",""),"/","")," ",""),8),7,2)),"")))</f>
        <v/>
      </c>
      <c r="AT1342" s="33">
        <f>IF($AS1342="","",IF($F$6="",0,IF(ISNUMBER(INDEX($A:$AP,ROW(),$F$6)),INDEX($A:$AP,ROW(),$F$6),IFERROR(--SUBSTITUTE(SUBSTITUTE(TRIM(INDEX($A:$AP,ROW(),$F$6)),",",""),"원",""),0))))</f>
        <v/>
      </c>
      <c r="AU1342" s="31">
        <f>IF($AS1342="","",IF($AX1342&lt;&gt;"",SUBSTITUTE(SUBSTITUTE($AX1342,"-","")," ",""),"N:"&amp;$AV1342))</f>
        <v/>
      </c>
      <c r="AV1342" s="31">
        <f>IF(OR($AS1342="",$E$6=""),"",TRIM(INDEX($A:$AP,ROW(),$E$6)&amp;""))</f>
        <v/>
      </c>
      <c r="AW1342" s="31">
        <f>IF($AU1342="","",IF(MATCH($AU1342,$AU$8:$AU$2007,0)=ROW()-7,MAX($AW$7:$AW1341)+1,""))</f>
        <v/>
      </c>
      <c r="AX1342" s="31">
        <f>IF(OR($AS1342="",$D$6=""),"",TRIM(INDEX($A:$AP,ROW(),$D$6)&amp;""))</f>
        <v/>
      </c>
      <c r="AY1342" s="31">
        <f>IF($AU1342="","",INDEX($AW$8:$AW$2007,MATCH($AU1342,$AU$8:$AU$2007,0)))</f>
        <v/>
      </c>
      <c r="AZ1342" s="31">
        <f>IF(OR($AS1342="",$C$6=""),"",TRIM(INDEX($A:$AP,ROW(),$C$6)&amp;""))</f>
        <v/>
      </c>
      <c r="BA1342" s="31">
        <f>IF($AZ1342="","",IF(COUNTIF($AZ$8:$AZ1342,$AZ1342)&gt;1,1,0))</f>
        <v/>
      </c>
    </row>
    <row r="1343">
      <c r="AR1343" s="31">
        <f>IF(OR($A$5="",$B$6="",ROW()&lt;$A$5),"",IF(INDEX($A:$AP,ROW(),$B$6)="","",INDEX($A:$AP,ROW(),$B$6)))</f>
        <v/>
      </c>
      <c r="AS1343" s="32">
        <f>IF($AR1343="","",IF(ISNUMBER($AR1343),IF($AR1343&gt;=10000000,IFERROR(DATE(INT($AR1343/10000),MOD(INT($AR1343/100),100),MOD($AR1343,100)),""),INT($AR1343)),IFERROR(DATE(--LEFT(LEFT(SUBSTITUTE(SUBSTITUTE(SUBSTITUTE(SUBSTITUTE(TRIM($AR1343),"-",""),".",""),"/","")," ",""),8),4),--MID(LEFT(SUBSTITUTE(SUBSTITUTE(SUBSTITUTE(SUBSTITUTE(TRIM($AR1343),"-",""),".",""),"/","")," ",""),8),5,2),--MID(LEFT(SUBSTITUTE(SUBSTITUTE(SUBSTITUTE(SUBSTITUTE(TRIM($AR1343),"-",""),".",""),"/","")," ",""),8),7,2)),"")))</f>
        <v/>
      </c>
      <c r="AT1343" s="33">
        <f>IF($AS1343="","",IF($F$6="",0,IF(ISNUMBER(INDEX($A:$AP,ROW(),$F$6)),INDEX($A:$AP,ROW(),$F$6),IFERROR(--SUBSTITUTE(SUBSTITUTE(TRIM(INDEX($A:$AP,ROW(),$F$6)),",",""),"원",""),0))))</f>
        <v/>
      </c>
      <c r="AU1343" s="31">
        <f>IF($AS1343="","",IF($AX1343&lt;&gt;"",SUBSTITUTE(SUBSTITUTE($AX1343,"-","")," ",""),"N:"&amp;$AV1343))</f>
        <v/>
      </c>
      <c r="AV1343" s="31">
        <f>IF(OR($AS1343="",$E$6=""),"",TRIM(INDEX($A:$AP,ROW(),$E$6)&amp;""))</f>
        <v/>
      </c>
      <c r="AW1343" s="31">
        <f>IF($AU1343="","",IF(MATCH($AU1343,$AU$8:$AU$2007,0)=ROW()-7,MAX($AW$7:$AW1342)+1,""))</f>
        <v/>
      </c>
      <c r="AX1343" s="31">
        <f>IF(OR($AS1343="",$D$6=""),"",TRIM(INDEX($A:$AP,ROW(),$D$6)&amp;""))</f>
        <v/>
      </c>
      <c r="AY1343" s="31">
        <f>IF($AU1343="","",INDEX($AW$8:$AW$2007,MATCH($AU1343,$AU$8:$AU$2007,0)))</f>
        <v/>
      </c>
      <c r="AZ1343" s="31">
        <f>IF(OR($AS1343="",$C$6=""),"",TRIM(INDEX($A:$AP,ROW(),$C$6)&amp;""))</f>
        <v/>
      </c>
      <c r="BA1343" s="31">
        <f>IF($AZ1343="","",IF(COUNTIF($AZ$8:$AZ1343,$AZ1343)&gt;1,1,0))</f>
        <v/>
      </c>
    </row>
    <row r="1344">
      <c r="AR1344" s="31">
        <f>IF(OR($A$5="",$B$6="",ROW()&lt;$A$5),"",IF(INDEX($A:$AP,ROW(),$B$6)="","",INDEX($A:$AP,ROW(),$B$6)))</f>
        <v/>
      </c>
      <c r="AS1344" s="32">
        <f>IF($AR1344="","",IF(ISNUMBER($AR1344),IF($AR1344&gt;=10000000,IFERROR(DATE(INT($AR1344/10000),MOD(INT($AR1344/100),100),MOD($AR1344,100)),""),INT($AR1344)),IFERROR(DATE(--LEFT(LEFT(SUBSTITUTE(SUBSTITUTE(SUBSTITUTE(SUBSTITUTE(TRIM($AR1344),"-",""),".",""),"/","")," ",""),8),4),--MID(LEFT(SUBSTITUTE(SUBSTITUTE(SUBSTITUTE(SUBSTITUTE(TRIM($AR1344),"-",""),".",""),"/","")," ",""),8),5,2),--MID(LEFT(SUBSTITUTE(SUBSTITUTE(SUBSTITUTE(SUBSTITUTE(TRIM($AR1344),"-",""),".",""),"/","")," ",""),8),7,2)),"")))</f>
        <v/>
      </c>
      <c r="AT1344" s="33">
        <f>IF($AS1344="","",IF($F$6="",0,IF(ISNUMBER(INDEX($A:$AP,ROW(),$F$6)),INDEX($A:$AP,ROW(),$F$6),IFERROR(--SUBSTITUTE(SUBSTITUTE(TRIM(INDEX($A:$AP,ROW(),$F$6)),",",""),"원",""),0))))</f>
        <v/>
      </c>
      <c r="AU1344" s="31">
        <f>IF($AS1344="","",IF($AX1344&lt;&gt;"",SUBSTITUTE(SUBSTITUTE($AX1344,"-","")," ",""),"N:"&amp;$AV1344))</f>
        <v/>
      </c>
      <c r="AV1344" s="31">
        <f>IF(OR($AS1344="",$E$6=""),"",TRIM(INDEX($A:$AP,ROW(),$E$6)&amp;""))</f>
        <v/>
      </c>
      <c r="AW1344" s="31">
        <f>IF($AU1344="","",IF(MATCH($AU1344,$AU$8:$AU$2007,0)=ROW()-7,MAX($AW$7:$AW1343)+1,""))</f>
        <v/>
      </c>
      <c r="AX1344" s="31">
        <f>IF(OR($AS1344="",$D$6=""),"",TRIM(INDEX($A:$AP,ROW(),$D$6)&amp;""))</f>
        <v/>
      </c>
      <c r="AY1344" s="31">
        <f>IF($AU1344="","",INDEX($AW$8:$AW$2007,MATCH($AU1344,$AU$8:$AU$2007,0)))</f>
        <v/>
      </c>
      <c r="AZ1344" s="31">
        <f>IF(OR($AS1344="",$C$6=""),"",TRIM(INDEX($A:$AP,ROW(),$C$6)&amp;""))</f>
        <v/>
      </c>
      <c r="BA1344" s="31">
        <f>IF($AZ1344="","",IF(COUNTIF($AZ$8:$AZ1344,$AZ1344)&gt;1,1,0))</f>
        <v/>
      </c>
    </row>
    <row r="1345">
      <c r="AR1345" s="31">
        <f>IF(OR($A$5="",$B$6="",ROW()&lt;$A$5),"",IF(INDEX($A:$AP,ROW(),$B$6)="","",INDEX($A:$AP,ROW(),$B$6)))</f>
        <v/>
      </c>
      <c r="AS1345" s="32">
        <f>IF($AR1345="","",IF(ISNUMBER($AR1345),IF($AR1345&gt;=10000000,IFERROR(DATE(INT($AR1345/10000),MOD(INT($AR1345/100),100),MOD($AR1345,100)),""),INT($AR1345)),IFERROR(DATE(--LEFT(LEFT(SUBSTITUTE(SUBSTITUTE(SUBSTITUTE(SUBSTITUTE(TRIM($AR1345),"-",""),".",""),"/","")," ",""),8),4),--MID(LEFT(SUBSTITUTE(SUBSTITUTE(SUBSTITUTE(SUBSTITUTE(TRIM($AR1345),"-",""),".",""),"/","")," ",""),8),5,2),--MID(LEFT(SUBSTITUTE(SUBSTITUTE(SUBSTITUTE(SUBSTITUTE(TRIM($AR1345),"-",""),".",""),"/","")," ",""),8),7,2)),"")))</f>
        <v/>
      </c>
      <c r="AT1345" s="33">
        <f>IF($AS1345="","",IF($F$6="",0,IF(ISNUMBER(INDEX($A:$AP,ROW(),$F$6)),INDEX($A:$AP,ROW(),$F$6),IFERROR(--SUBSTITUTE(SUBSTITUTE(TRIM(INDEX($A:$AP,ROW(),$F$6)),",",""),"원",""),0))))</f>
        <v/>
      </c>
      <c r="AU1345" s="31">
        <f>IF($AS1345="","",IF($AX1345&lt;&gt;"",SUBSTITUTE(SUBSTITUTE($AX1345,"-","")," ",""),"N:"&amp;$AV1345))</f>
        <v/>
      </c>
      <c r="AV1345" s="31">
        <f>IF(OR($AS1345="",$E$6=""),"",TRIM(INDEX($A:$AP,ROW(),$E$6)&amp;""))</f>
        <v/>
      </c>
      <c r="AW1345" s="31">
        <f>IF($AU1345="","",IF(MATCH($AU1345,$AU$8:$AU$2007,0)=ROW()-7,MAX($AW$7:$AW1344)+1,""))</f>
        <v/>
      </c>
      <c r="AX1345" s="31">
        <f>IF(OR($AS1345="",$D$6=""),"",TRIM(INDEX($A:$AP,ROW(),$D$6)&amp;""))</f>
        <v/>
      </c>
      <c r="AY1345" s="31">
        <f>IF($AU1345="","",INDEX($AW$8:$AW$2007,MATCH($AU1345,$AU$8:$AU$2007,0)))</f>
        <v/>
      </c>
      <c r="AZ1345" s="31">
        <f>IF(OR($AS1345="",$C$6=""),"",TRIM(INDEX($A:$AP,ROW(),$C$6)&amp;""))</f>
        <v/>
      </c>
      <c r="BA1345" s="31">
        <f>IF($AZ1345="","",IF(COUNTIF($AZ$8:$AZ1345,$AZ1345)&gt;1,1,0))</f>
        <v/>
      </c>
    </row>
    <row r="1346">
      <c r="AR1346" s="31">
        <f>IF(OR($A$5="",$B$6="",ROW()&lt;$A$5),"",IF(INDEX($A:$AP,ROW(),$B$6)="","",INDEX($A:$AP,ROW(),$B$6)))</f>
        <v/>
      </c>
      <c r="AS1346" s="32">
        <f>IF($AR1346="","",IF(ISNUMBER($AR1346),IF($AR1346&gt;=10000000,IFERROR(DATE(INT($AR1346/10000),MOD(INT($AR1346/100),100),MOD($AR1346,100)),""),INT($AR1346)),IFERROR(DATE(--LEFT(LEFT(SUBSTITUTE(SUBSTITUTE(SUBSTITUTE(SUBSTITUTE(TRIM($AR1346),"-",""),".",""),"/","")," ",""),8),4),--MID(LEFT(SUBSTITUTE(SUBSTITUTE(SUBSTITUTE(SUBSTITUTE(TRIM($AR1346),"-",""),".",""),"/","")," ",""),8),5,2),--MID(LEFT(SUBSTITUTE(SUBSTITUTE(SUBSTITUTE(SUBSTITUTE(TRIM($AR1346),"-",""),".",""),"/","")," ",""),8),7,2)),"")))</f>
        <v/>
      </c>
      <c r="AT1346" s="33">
        <f>IF($AS1346="","",IF($F$6="",0,IF(ISNUMBER(INDEX($A:$AP,ROW(),$F$6)),INDEX($A:$AP,ROW(),$F$6),IFERROR(--SUBSTITUTE(SUBSTITUTE(TRIM(INDEX($A:$AP,ROW(),$F$6)),",",""),"원",""),0))))</f>
        <v/>
      </c>
      <c r="AU1346" s="31">
        <f>IF($AS1346="","",IF($AX1346&lt;&gt;"",SUBSTITUTE(SUBSTITUTE($AX1346,"-","")," ",""),"N:"&amp;$AV1346))</f>
        <v/>
      </c>
      <c r="AV1346" s="31">
        <f>IF(OR($AS1346="",$E$6=""),"",TRIM(INDEX($A:$AP,ROW(),$E$6)&amp;""))</f>
        <v/>
      </c>
      <c r="AW1346" s="31">
        <f>IF($AU1346="","",IF(MATCH($AU1346,$AU$8:$AU$2007,0)=ROW()-7,MAX($AW$7:$AW1345)+1,""))</f>
        <v/>
      </c>
      <c r="AX1346" s="31">
        <f>IF(OR($AS1346="",$D$6=""),"",TRIM(INDEX($A:$AP,ROW(),$D$6)&amp;""))</f>
        <v/>
      </c>
      <c r="AY1346" s="31">
        <f>IF($AU1346="","",INDEX($AW$8:$AW$2007,MATCH($AU1346,$AU$8:$AU$2007,0)))</f>
        <v/>
      </c>
      <c r="AZ1346" s="31">
        <f>IF(OR($AS1346="",$C$6=""),"",TRIM(INDEX($A:$AP,ROW(),$C$6)&amp;""))</f>
        <v/>
      </c>
      <c r="BA1346" s="31">
        <f>IF($AZ1346="","",IF(COUNTIF($AZ$8:$AZ1346,$AZ1346)&gt;1,1,0))</f>
        <v/>
      </c>
    </row>
    <row r="1347">
      <c r="AR1347" s="31">
        <f>IF(OR($A$5="",$B$6="",ROW()&lt;$A$5),"",IF(INDEX($A:$AP,ROW(),$B$6)="","",INDEX($A:$AP,ROW(),$B$6)))</f>
        <v/>
      </c>
      <c r="AS1347" s="32">
        <f>IF($AR1347="","",IF(ISNUMBER($AR1347),IF($AR1347&gt;=10000000,IFERROR(DATE(INT($AR1347/10000),MOD(INT($AR1347/100),100),MOD($AR1347,100)),""),INT($AR1347)),IFERROR(DATE(--LEFT(LEFT(SUBSTITUTE(SUBSTITUTE(SUBSTITUTE(SUBSTITUTE(TRIM($AR1347),"-",""),".",""),"/","")," ",""),8),4),--MID(LEFT(SUBSTITUTE(SUBSTITUTE(SUBSTITUTE(SUBSTITUTE(TRIM($AR1347),"-",""),".",""),"/","")," ",""),8),5,2),--MID(LEFT(SUBSTITUTE(SUBSTITUTE(SUBSTITUTE(SUBSTITUTE(TRIM($AR1347),"-",""),".",""),"/","")," ",""),8),7,2)),"")))</f>
        <v/>
      </c>
      <c r="AT1347" s="33">
        <f>IF($AS1347="","",IF($F$6="",0,IF(ISNUMBER(INDEX($A:$AP,ROW(),$F$6)),INDEX($A:$AP,ROW(),$F$6),IFERROR(--SUBSTITUTE(SUBSTITUTE(TRIM(INDEX($A:$AP,ROW(),$F$6)),",",""),"원",""),0))))</f>
        <v/>
      </c>
      <c r="AU1347" s="31">
        <f>IF($AS1347="","",IF($AX1347&lt;&gt;"",SUBSTITUTE(SUBSTITUTE($AX1347,"-","")," ",""),"N:"&amp;$AV1347))</f>
        <v/>
      </c>
      <c r="AV1347" s="31">
        <f>IF(OR($AS1347="",$E$6=""),"",TRIM(INDEX($A:$AP,ROW(),$E$6)&amp;""))</f>
        <v/>
      </c>
      <c r="AW1347" s="31">
        <f>IF($AU1347="","",IF(MATCH($AU1347,$AU$8:$AU$2007,0)=ROW()-7,MAX($AW$7:$AW1346)+1,""))</f>
        <v/>
      </c>
      <c r="AX1347" s="31">
        <f>IF(OR($AS1347="",$D$6=""),"",TRIM(INDEX($A:$AP,ROW(),$D$6)&amp;""))</f>
        <v/>
      </c>
      <c r="AY1347" s="31">
        <f>IF($AU1347="","",INDEX($AW$8:$AW$2007,MATCH($AU1347,$AU$8:$AU$2007,0)))</f>
        <v/>
      </c>
      <c r="AZ1347" s="31">
        <f>IF(OR($AS1347="",$C$6=""),"",TRIM(INDEX($A:$AP,ROW(),$C$6)&amp;""))</f>
        <v/>
      </c>
      <c r="BA1347" s="31">
        <f>IF($AZ1347="","",IF(COUNTIF($AZ$8:$AZ1347,$AZ1347)&gt;1,1,0))</f>
        <v/>
      </c>
    </row>
    <row r="1348">
      <c r="AR1348" s="31">
        <f>IF(OR($A$5="",$B$6="",ROW()&lt;$A$5),"",IF(INDEX($A:$AP,ROW(),$B$6)="","",INDEX($A:$AP,ROW(),$B$6)))</f>
        <v/>
      </c>
      <c r="AS1348" s="32">
        <f>IF($AR1348="","",IF(ISNUMBER($AR1348),IF($AR1348&gt;=10000000,IFERROR(DATE(INT($AR1348/10000),MOD(INT($AR1348/100),100),MOD($AR1348,100)),""),INT($AR1348)),IFERROR(DATE(--LEFT(LEFT(SUBSTITUTE(SUBSTITUTE(SUBSTITUTE(SUBSTITUTE(TRIM($AR1348),"-",""),".",""),"/","")," ",""),8),4),--MID(LEFT(SUBSTITUTE(SUBSTITUTE(SUBSTITUTE(SUBSTITUTE(TRIM($AR1348),"-",""),".",""),"/","")," ",""),8),5,2),--MID(LEFT(SUBSTITUTE(SUBSTITUTE(SUBSTITUTE(SUBSTITUTE(TRIM($AR1348),"-",""),".",""),"/","")," ",""),8),7,2)),"")))</f>
        <v/>
      </c>
      <c r="AT1348" s="33">
        <f>IF($AS1348="","",IF($F$6="",0,IF(ISNUMBER(INDEX($A:$AP,ROW(),$F$6)),INDEX($A:$AP,ROW(),$F$6),IFERROR(--SUBSTITUTE(SUBSTITUTE(TRIM(INDEX($A:$AP,ROW(),$F$6)),",",""),"원",""),0))))</f>
        <v/>
      </c>
      <c r="AU1348" s="31">
        <f>IF($AS1348="","",IF($AX1348&lt;&gt;"",SUBSTITUTE(SUBSTITUTE($AX1348,"-","")," ",""),"N:"&amp;$AV1348))</f>
        <v/>
      </c>
      <c r="AV1348" s="31">
        <f>IF(OR($AS1348="",$E$6=""),"",TRIM(INDEX($A:$AP,ROW(),$E$6)&amp;""))</f>
        <v/>
      </c>
      <c r="AW1348" s="31">
        <f>IF($AU1348="","",IF(MATCH($AU1348,$AU$8:$AU$2007,0)=ROW()-7,MAX($AW$7:$AW1347)+1,""))</f>
        <v/>
      </c>
      <c r="AX1348" s="31">
        <f>IF(OR($AS1348="",$D$6=""),"",TRIM(INDEX($A:$AP,ROW(),$D$6)&amp;""))</f>
        <v/>
      </c>
      <c r="AY1348" s="31">
        <f>IF($AU1348="","",INDEX($AW$8:$AW$2007,MATCH($AU1348,$AU$8:$AU$2007,0)))</f>
        <v/>
      </c>
      <c r="AZ1348" s="31">
        <f>IF(OR($AS1348="",$C$6=""),"",TRIM(INDEX($A:$AP,ROW(),$C$6)&amp;""))</f>
        <v/>
      </c>
      <c r="BA1348" s="31">
        <f>IF($AZ1348="","",IF(COUNTIF($AZ$8:$AZ1348,$AZ1348)&gt;1,1,0))</f>
        <v/>
      </c>
    </row>
    <row r="1349">
      <c r="AR1349" s="31">
        <f>IF(OR($A$5="",$B$6="",ROW()&lt;$A$5),"",IF(INDEX($A:$AP,ROW(),$B$6)="","",INDEX($A:$AP,ROW(),$B$6)))</f>
        <v/>
      </c>
      <c r="AS1349" s="32">
        <f>IF($AR1349="","",IF(ISNUMBER($AR1349),IF($AR1349&gt;=10000000,IFERROR(DATE(INT($AR1349/10000),MOD(INT($AR1349/100),100),MOD($AR1349,100)),""),INT($AR1349)),IFERROR(DATE(--LEFT(LEFT(SUBSTITUTE(SUBSTITUTE(SUBSTITUTE(SUBSTITUTE(TRIM($AR1349),"-",""),".",""),"/","")," ",""),8),4),--MID(LEFT(SUBSTITUTE(SUBSTITUTE(SUBSTITUTE(SUBSTITUTE(TRIM($AR1349),"-",""),".",""),"/","")," ",""),8),5,2),--MID(LEFT(SUBSTITUTE(SUBSTITUTE(SUBSTITUTE(SUBSTITUTE(TRIM($AR1349),"-",""),".",""),"/","")," ",""),8),7,2)),"")))</f>
        <v/>
      </c>
      <c r="AT1349" s="33">
        <f>IF($AS1349="","",IF($F$6="",0,IF(ISNUMBER(INDEX($A:$AP,ROW(),$F$6)),INDEX($A:$AP,ROW(),$F$6),IFERROR(--SUBSTITUTE(SUBSTITUTE(TRIM(INDEX($A:$AP,ROW(),$F$6)),",",""),"원",""),0))))</f>
        <v/>
      </c>
      <c r="AU1349" s="31">
        <f>IF($AS1349="","",IF($AX1349&lt;&gt;"",SUBSTITUTE(SUBSTITUTE($AX1349,"-","")," ",""),"N:"&amp;$AV1349))</f>
        <v/>
      </c>
      <c r="AV1349" s="31">
        <f>IF(OR($AS1349="",$E$6=""),"",TRIM(INDEX($A:$AP,ROW(),$E$6)&amp;""))</f>
        <v/>
      </c>
      <c r="AW1349" s="31">
        <f>IF($AU1349="","",IF(MATCH($AU1349,$AU$8:$AU$2007,0)=ROW()-7,MAX($AW$7:$AW1348)+1,""))</f>
        <v/>
      </c>
      <c r="AX1349" s="31">
        <f>IF(OR($AS1349="",$D$6=""),"",TRIM(INDEX($A:$AP,ROW(),$D$6)&amp;""))</f>
        <v/>
      </c>
      <c r="AY1349" s="31">
        <f>IF($AU1349="","",INDEX($AW$8:$AW$2007,MATCH($AU1349,$AU$8:$AU$2007,0)))</f>
        <v/>
      </c>
      <c r="AZ1349" s="31">
        <f>IF(OR($AS1349="",$C$6=""),"",TRIM(INDEX($A:$AP,ROW(),$C$6)&amp;""))</f>
        <v/>
      </c>
      <c r="BA1349" s="31">
        <f>IF($AZ1349="","",IF(COUNTIF($AZ$8:$AZ1349,$AZ1349)&gt;1,1,0))</f>
        <v/>
      </c>
    </row>
    <row r="1350">
      <c r="AR1350" s="31">
        <f>IF(OR($A$5="",$B$6="",ROW()&lt;$A$5),"",IF(INDEX($A:$AP,ROW(),$B$6)="","",INDEX($A:$AP,ROW(),$B$6)))</f>
        <v/>
      </c>
      <c r="AS1350" s="32">
        <f>IF($AR1350="","",IF(ISNUMBER($AR1350),IF($AR1350&gt;=10000000,IFERROR(DATE(INT($AR1350/10000),MOD(INT($AR1350/100),100),MOD($AR1350,100)),""),INT($AR1350)),IFERROR(DATE(--LEFT(LEFT(SUBSTITUTE(SUBSTITUTE(SUBSTITUTE(SUBSTITUTE(TRIM($AR1350),"-",""),".",""),"/","")," ",""),8),4),--MID(LEFT(SUBSTITUTE(SUBSTITUTE(SUBSTITUTE(SUBSTITUTE(TRIM($AR1350),"-",""),".",""),"/","")," ",""),8),5,2),--MID(LEFT(SUBSTITUTE(SUBSTITUTE(SUBSTITUTE(SUBSTITUTE(TRIM($AR1350),"-",""),".",""),"/","")," ",""),8),7,2)),"")))</f>
        <v/>
      </c>
      <c r="AT1350" s="33">
        <f>IF($AS1350="","",IF($F$6="",0,IF(ISNUMBER(INDEX($A:$AP,ROW(),$F$6)),INDEX($A:$AP,ROW(),$F$6),IFERROR(--SUBSTITUTE(SUBSTITUTE(TRIM(INDEX($A:$AP,ROW(),$F$6)),",",""),"원",""),0))))</f>
        <v/>
      </c>
      <c r="AU1350" s="31">
        <f>IF($AS1350="","",IF($AX1350&lt;&gt;"",SUBSTITUTE(SUBSTITUTE($AX1350,"-","")," ",""),"N:"&amp;$AV1350))</f>
        <v/>
      </c>
      <c r="AV1350" s="31">
        <f>IF(OR($AS1350="",$E$6=""),"",TRIM(INDEX($A:$AP,ROW(),$E$6)&amp;""))</f>
        <v/>
      </c>
      <c r="AW1350" s="31">
        <f>IF($AU1350="","",IF(MATCH($AU1350,$AU$8:$AU$2007,0)=ROW()-7,MAX($AW$7:$AW1349)+1,""))</f>
        <v/>
      </c>
      <c r="AX1350" s="31">
        <f>IF(OR($AS1350="",$D$6=""),"",TRIM(INDEX($A:$AP,ROW(),$D$6)&amp;""))</f>
        <v/>
      </c>
      <c r="AY1350" s="31">
        <f>IF($AU1350="","",INDEX($AW$8:$AW$2007,MATCH($AU1350,$AU$8:$AU$2007,0)))</f>
        <v/>
      </c>
      <c r="AZ1350" s="31">
        <f>IF(OR($AS1350="",$C$6=""),"",TRIM(INDEX($A:$AP,ROW(),$C$6)&amp;""))</f>
        <v/>
      </c>
      <c r="BA1350" s="31">
        <f>IF($AZ1350="","",IF(COUNTIF($AZ$8:$AZ1350,$AZ1350)&gt;1,1,0))</f>
        <v/>
      </c>
    </row>
    <row r="1351">
      <c r="AR1351" s="31">
        <f>IF(OR($A$5="",$B$6="",ROW()&lt;$A$5),"",IF(INDEX($A:$AP,ROW(),$B$6)="","",INDEX($A:$AP,ROW(),$B$6)))</f>
        <v/>
      </c>
      <c r="AS1351" s="32">
        <f>IF($AR1351="","",IF(ISNUMBER($AR1351),IF($AR1351&gt;=10000000,IFERROR(DATE(INT($AR1351/10000),MOD(INT($AR1351/100),100),MOD($AR1351,100)),""),INT($AR1351)),IFERROR(DATE(--LEFT(LEFT(SUBSTITUTE(SUBSTITUTE(SUBSTITUTE(SUBSTITUTE(TRIM($AR1351),"-",""),".",""),"/","")," ",""),8),4),--MID(LEFT(SUBSTITUTE(SUBSTITUTE(SUBSTITUTE(SUBSTITUTE(TRIM($AR1351),"-",""),".",""),"/","")," ",""),8),5,2),--MID(LEFT(SUBSTITUTE(SUBSTITUTE(SUBSTITUTE(SUBSTITUTE(TRIM($AR1351),"-",""),".",""),"/","")," ",""),8),7,2)),"")))</f>
        <v/>
      </c>
      <c r="AT1351" s="33">
        <f>IF($AS1351="","",IF($F$6="",0,IF(ISNUMBER(INDEX($A:$AP,ROW(),$F$6)),INDEX($A:$AP,ROW(),$F$6),IFERROR(--SUBSTITUTE(SUBSTITUTE(TRIM(INDEX($A:$AP,ROW(),$F$6)),",",""),"원",""),0))))</f>
        <v/>
      </c>
      <c r="AU1351" s="31">
        <f>IF($AS1351="","",IF($AX1351&lt;&gt;"",SUBSTITUTE(SUBSTITUTE($AX1351,"-","")," ",""),"N:"&amp;$AV1351))</f>
        <v/>
      </c>
      <c r="AV1351" s="31">
        <f>IF(OR($AS1351="",$E$6=""),"",TRIM(INDEX($A:$AP,ROW(),$E$6)&amp;""))</f>
        <v/>
      </c>
      <c r="AW1351" s="31">
        <f>IF($AU1351="","",IF(MATCH($AU1351,$AU$8:$AU$2007,0)=ROW()-7,MAX($AW$7:$AW1350)+1,""))</f>
        <v/>
      </c>
      <c r="AX1351" s="31">
        <f>IF(OR($AS1351="",$D$6=""),"",TRIM(INDEX($A:$AP,ROW(),$D$6)&amp;""))</f>
        <v/>
      </c>
      <c r="AY1351" s="31">
        <f>IF($AU1351="","",INDEX($AW$8:$AW$2007,MATCH($AU1351,$AU$8:$AU$2007,0)))</f>
        <v/>
      </c>
      <c r="AZ1351" s="31">
        <f>IF(OR($AS1351="",$C$6=""),"",TRIM(INDEX($A:$AP,ROW(),$C$6)&amp;""))</f>
        <v/>
      </c>
      <c r="BA1351" s="31">
        <f>IF($AZ1351="","",IF(COUNTIF($AZ$8:$AZ1351,$AZ1351)&gt;1,1,0))</f>
        <v/>
      </c>
    </row>
    <row r="1352">
      <c r="AR1352" s="31">
        <f>IF(OR($A$5="",$B$6="",ROW()&lt;$A$5),"",IF(INDEX($A:$AP,ROW(),$B$6)="","",INDEX($A:$AP,ROW(),$B$6)))</f>
        <v/>
      </c>
      <c r="AS1352" s="32">
        <f>IF($AR1352="","",IF(ISNUMBER($AR1352),IF($AR1352&gt;=10000000,IFERROR(DATE(INT($AR1352/10000),MOD(INT($AR1352/100),100),MOD($AR1352,100)),""),INT($AR1352)),IFERROR(DATE(--LEFT(LEFT(SUBSTITUTE(SUBSTITUTE(SUBSTITUTE(SUBSTITUTE(TRIM($AR1352),"-",""),".",""),"/","")," ",""),8),4),--MID(LEFT(SUBSTITUTE(SUBSTITUTE(SUBSTITUTE(SUBSTITUTE(TRIM($AR1352),"-",""),".",""),"/","")," ",""),8),5,2),--MID(LEFT(SUBSTITUTE(SUBSTITUTE(SUBSTITUTE(SUBSTITUTE(TRIM($AR1352),"-",""),".",""),"/","")," ",""),8),7,2)),"")))</f>
        <v/>
      </c>
      <c r="AT1352" s="33">
        <f>IF($AS1352="","",IF($F$6="",0,IF(ISNUMBER(INDEX($A:$AP,ROW(),$F$6)),INDEX($A:$AP,ROW(),$F$6),IFERROR(--SUBSTITUTE(SUBSTITUTE(TRIM(INDEX($A:$AP,ROW(),$F$6)),",",""),"원",""),0))))</f>
        <v/>
      </c>
      <c r="AU1352" s="31">
        <f>IF($AS1352="","",IF($AX1352&lt;&gt;"",SUBSTITUTE(SUBSTITUTE($AX1352,"-","")," ",""),"N:"&amp;$AV1352))</f>
        <v/>
      </c>
      <c r="AV1352" s="31">
        <f>IF(OR($AS1352="",$E$6=""),"",TRIM(INDEX($A:$AP,ROW(),$E$6)&amp;""))</f>
        <v/>
      </c>
      <c r="AW1352" s="31">
        <f>IF($AU1352="","",IF(MATCH($AU1352,$AU$8:$AU$2007,0)=ROW()-7,MAX($AW$7:$AW1351)+1,""))</f>
        <v/>
      </c>
      <c r="AX1352" s="31">
        <f>IF(OR($AS1352="",$D$6=""),"",TRIM(INDEX($A:$AP,ROW(),$D$6)&amp;""))</f>
        <v/>
      </c>
      <c r="AY1352" s="31">
        <f>IF($AU1352="","",INDEX($AW$8:$AW$2007,MATCH($AU1352,$AU$8:$AU$2007,0)))</f>
        <v/>
      </c>
      <c r="AZ1352" s="31">
        <f>IF(OR($AS1352="",$C$6=""),"",TRIM(INDEX($A:$AP,ROW(),$C$6)&amp;""))</f>
        <v/>
      </c>
      <c r="BA1352" s="31">
        <f>IF($AZ1352="","",IF(COUNTIF($AZ$8:$AZ1352,$AZ1352)&gt;1,1,0))</f>
        <v/>
      </c>
    </row>
    <row r="1353">
      <c r="AR1353" s="31">
        <f>IF(OR($A$5="",$B$6="",ROW()&lt;$A$5),"",IF(INDEX($A:$AP,ROW(),$B$6)="","",INDEX($A:$AP,ROW(),$B$6)))</f>
        <v/>
      </c>
      <c r="AS1353" s="32">
        <f>IF($AR1353="","",IF(ISNUMBER($AR1353),IF($AR1353&gt;=10000000,IFERROR(DATE(INT($AR1353/10000),MOD(INT($AR1353/100),100),MOD($AR1353,100)),""),INT($AR1353)),IFERROR(DATE(--LEFT(LEFT(SUBSTITUTE(SUBSTITUTE(SUBSTITUTE(SUBSTITUTE(TRIM($AR1353),"-",""),".",""),"/","")," ",""),8),4),--MID(LEFT(SUBSTITUTE(SUBSTITUTE(SUBSTITUTE(SUBSTITUTE(TRIM($AR1353),"-",""),".",""),"/","")," ",""),8),5,2),--MID(LEFT(SUBSTITUTE(SUBSTITUTE(SUBSTITUTE(SUBSTITUTE(TRIM($AR1353),"-",""),".",""),"/","")," ",""),8),7,2)),"")))</f>
        <v/>
      </c>
      <c r="AT1353" s="33">
        <f>IF($AS1353="","",IF($F$6="",0,IF(ISNUMBER(INDEX($A:$AP,ROW(),$F$6)),INDEX($A:$AP,ROW(),$F$6),IFERROR(--SUBSTITUTE(SUBSTITUTE(TRIM(INDEX($A:$AP,ROW(),$F$6)),",",""),"원",""),0))))</f>
        <v/>
      </c>
      <c r="AU1353" s="31">
        <f>IF($AS1353="","",IF($AX1353&lt;&gt;"",SUBSTITUTE(SUBSTITUTE($AX1353,"-","")," ",""),"N:"&amp;$AV1353))</f>
        <v/>
      </c>
      <c r="AV1353" s="31">
        <f>IF(OR($AS1353="",$E$6=""),"",TRIM(INDEX($A:$AP,ROW(),$E$6)&amp;""))</f>
        <v/>
      </c>
      <c r="AW1353" s="31">
        <f>IF($AU1353="","",IF(MATCH($AU1353,$AU$8:$AU$2007,0)=ROW()-7,MAX($AW$7:$AW1352)+1,""))</f>
        <v/>
      </c>
      <c r="AX1353" s="31">
        <f>IF(OR($AS1353="",$D$6=""),"",TRIM(INDEX($A:$AP,ROW(),$D$6)&amp;""))</f>
        <v/>
      </c>
      <c r="AY1353" s="31">
        <f>IF($AU1353="","",INDEX($AW$8:$AW$2007,MATCH($AU1353,$AU$8:$AU$2007,0)))</f>
        <v/>
      </c>
      <c r="AZ1353" s="31">
        <f>IF(OR($AS1353="",$C$6=""),"",TRIM(INDEX($A:$AP,ROW(),$C$6)&amp;""))</f>
        <v/>
      </c>
      <c r="BA1353" s="31">
        <f>IF($AZ1353="","",IF(COUNTIF($AZ$8:$AZ1353,$AZ1353)&gt;1,1,0))</f>
        <v/>
      </c>
    </row>
    <row r="1354">
      <c r="AR1354" s="31">
        <f>IF(OR($A$5="",$B$6="",ROW()&lt;$A$5),"",IF(INDEX($A:$AP,ROW(),$B$6)="","",INDEX($A:$AP,ROW(),$B$6)))</f>
        <v/>
      </c>
      <c r="AS1354" s="32">
        <f>IF($AR1354="","",IF(ISNUMBER($AR1354),IF($AR1354&gt;=10000000,IFERROR(DATE(INT($AR1354/10000),MOD(INT($AR1354/100),100),MOD($AR1354,100)),""),INT($AR1354)),IFERROR(DATE(--LEFT(LEFT(SUBSTITUTE(SUBSTITUTE(SUBSTITUTE(SUBSTITUTE(TRIM($AR1354),"-",""),".",""),"/","")," ",""),8),4),--MID(LEFT(SUBSTITUTE(SUBSTITUTE(SUBSTITUTE(SUBSTITUTE(TRIM($AR1354),"-",""),".",""),"/","")," ",""),8),5,2),--MID(LEFT(SUBSTITUTE(SUBSTITUTE(SUBSTITUTE(SUBSTITUTE(TRIM($AR1354),"-",""),".",""),"/","")," ",""),8),7,2)),"")))</f>
        <v/>
      </c>
      <c r="AT1354" s="33">
        <f>IF($AS1354="","",IF($F$6="",0,IF(ISNUMBER(INDEX($A:$AP,ROW(),$F$6)),INDEX($A:$AP,ROW(),$F$6),IFERROR(--SUBSTITUTE(SUBSTITUTE(TRIM(INDEX($A:$AP,ROW(),$F$6)),",",""),"원",""),0))))</f>
        <v/>
      </c>
      <c r="AU1354" s="31">
        <f>IF($AS1354="","",IF($AX1354&lt;&gt;"",SUBSTITUTE(SUBSTITUTE($AX1354,"-","")," ",""),"N:"&amp;$AV1354))</f>
        <v/>
      </c>
      <c r="AV1354" s="31">
        <f>IF(OR($AS1354="",$E$6=""),"",TRIM(INDEX($A:$AP,ROW(),$E$6)&amp;""))</f>
        <v/>
      </c>
      <c r="AW1354" s="31">
        <f>IF($AU1354="","",IF(MATCH($AU1354,$AU$8:$AU$2007,0)=ROW()-7,MAX($AW$7:$AW1353)+1,""))</f>
        <v/>
      </c>
      <c r="AX1354" s="31">
        <f>IF(OR($AS1354="",$D$6=""),"",TRIM(INDEX($A:$AP,ROW(),$D$6)&amp;""))</f>
        <v/>
      </c>
      <c r="AY1354" s="31">
        <f>IF($AU1354="","",INDEX($AW$8:$AW$2007,MATCH($AU1354,$AU$8:$AU$2007,0)))</f>
        <v/>
      </c>
      <c r="AZ1354" s="31">
        <f>IF(OR($AS1354="",$C$6=""),"",TRIM(INDEX($A:$AP,ROW(),$C$6)&amp;""))</f>
        <v/>
      </c>
      <c r="BA1354" s="31">
        <f>IF($AZ1354="","",IF(COUNTIF($AZ$8:$AZ1354,$AZ1354)&gt;1,1,0))</f>
        <v/>
      </c>
    </row>
    <row r="1355">
      <c r="AR1355" s="31">
        <f>IF(OR($A$5="",$B$6="",ROW()&lt;$A$5),"",IF(INDEX($A:$AP,ROW(),$B$6)="","",INDEX($A:$AP,ROW(),$B$6)))</f>
        <v/>
      </c>
      <c r="AS1355" s="32">
        <f>IF($AR1355="","",IF(ISNUMBER($AR1355),IF($AR1355&gt;=10000000,IFERROR(DATE(INT($AR1355/10000),MOD(INT($AR1355/100),100),MOD($AR1355,100)),""),INT($AR1355)),IFERROR(DATE(--LEFT(LEFT(SUBSTITUTE(SUBSTITUTE(SUBSTITUTE(SUBSTITUTE(TRIM($AR1355),"-",""),".",""),"/","")," ",""),8),4),--MID(LEFT(SUBSTITUTE(SUBSTITUTE(SUBSTITUTE(SUBSTITUTE(TRIM($AR1355),"-",""),".",""),"/","")," ",""),8),5,2),--MID(LEFT(SUBSTITUTE(SUBSTITUTE(SUBSTITUTE(SUBSTITUTE(TRIM($AR1355),"-",""),".",""),"/","")," ",""),8),7,2)),"")))</f>
        <v/>
      </c>
      <c r="AT1355" s="33">
        <f>IF($AS1355="","",IF($F$6="",0,IF(ISNUMBER(INDEX($A:$AP,ROW(),$F$6)),INDEX($A:$AP,ROW(),$F$6),IFERROR(--SUBSTITUTE(SUBSTITUTE(TRIM(INDEX($A:$AP,ROW(),$F$6)),",",""),"원",""),0))))</f>
        <v/>
      </c>
      <c r="AU1355" s="31">
        <f>IF($AS1355="","",IF($AX1355&lt;&gt;"",SUBSTITUTE(SUBSTITUTE($AX1355,"-","")," ",""),"N:"&amp;$AV1355))</f>
        <v/>
      </c>
      <c r="AV1355" s="31">
        <f>IF(OR($AS1355="",$E$6=""),"",TRIM(INDEX($A:$AP,ROW(),$E$6)&amp;""))</f>
        <v/>
      </c>
      <c r="AW1355" s="31">
        <f>IF($AU1355="","",IF(MATCH($AU1355,$AU$8:$AU$2007,0)=ROW()-7,MAX($AW$7:$AW1354)+1,""))</f>
        <v/>
      </c>
      <c r="AX1355" s="31">
        <f>IF(OR($AS1355="",$D$6=""),"",TRIM(INDEX($A:$AP,ROW(),$D$6)&amp;""))</f>
        <v/>
      </c>
      <c r="AY1355" s="31">
        <f>IF($AU1355="","",INDEX($AW$8:$AW$2007,MATCH($AU1355,$AU$8:$AU$2007,0)))</f>
        <v/>
      </c>
      <c r="AZ1355" s="31">
        <f>IF(OR($AS1355="",$C$6=""),"",TRIM(INDEX($A:$AP,ROW(),$C$6)&amp;""))</f>
        <v/>
      </c>
      <c r="BA1355" s="31">
        <f>IF($AZ1355="","",IF(COUNTIF($AZ$8:$AZ1355,$AZ1355)&gt;1,1,0))</f>
        <v/>
      </c>
    </row>
    <row r="1356">
      <c r="AR1356" s="31">
        <f>IF(OR($A$5="",$B$6="",ROW()&lt;$A$5),"",IF(INDEX($A:$AP,ROW(),$B$6)="","",INDEX($A:$AP,ROW(),$B$6)))</f>
        <v/>
      </c>
      <c r="AS1356" s="32">
        <f>IF($AR1356="","",IF(ISNUMBER($AR1356),IF($AR1356&gt;=10000000,IFERROR(DATE(INT($AR1356/10000),MOD(INT($AR1356/100),100),MOD($AR1356,100)),""),INT($AR1356)),IFERROR(DATE(--LEFT(LEFT(SUBSTITUTE(SUBSTITUTE(SUBSTITUTE(SUBSTITUTE(TRIM($AR1356),"-",""),".",""),"/","")," ",""),8),4),--MID(LEFT(SUBSTITUTE(SUBSTITUTE(SUBSTITUTE(SUBSTITUTE(TRIM($AR1356),"-",""),".",""),"/","")," ",""),8),5,2),--MID(LEFT(SUBSTITUTE(SUBSTITUTE(SUBSTITUTE(SUBSTITUTE(TRIM($AR1356),"-",""),".",""),"/","")," ",""),8),7,2)),"")))</f>
        <v/>
      </c>
      <c r="AT1356" s="33">
        <f>IF($AS1356="","",IF($F$6="",0,IF(ISNUMBER(INDEX($A:$AP,ROW(),$F$6)),INDEX($A:$AP,ROW(),$F$6),IFERROR(--SUBSTITUTE(SUBSTITUTE(TRIM(INDEX($A:$AP,ROW(),$F$6)),",",""),"원",""),0))))</f>
        <v/>
      </c>
      <c r="AU1356" s="31">
        <f>IF($AS1356="","",IF($AX1356&lt;&gt;"",SUBSTITUTE(SUBSTITUTE($AX1356,"-","")," ",""),"N:"&amp;$AV1356))</f>
        <v/>
      </c>
      <c r="AV1356" s="31">
        <f>IF(OR($AS1356="",$E$6=""),"",TRIM(INDEX($A:$AP,ROW(),$E$6)&amp;""))</f>
        <v/>
      </c>
      <c r="AW1356" s="31">
        <f>IF($AU1356="","",IF(MATCH($AU1356,$AU$8:$AU$2007,0)=ROW()-7,MAX($AW$7:$AW1355)+1,""))</f>
        <v/>
      </c>
      <c r="AX1356" s="31">
        <f>IF(OR($AS1356="",$D$6=""),"",TRIM(INDEX($A:$AP,ROW(),$D$6)&amp;""))</f>
        <v/>
      </c>
      <c r="AY1356" s="31">
        <f>IF($AU1356="","",INDEX($AW$8:$AW$2007,MATCH($AU1356,$AU$8:$AU$2007,0)))</f>
        <v/>
      </c>
      <c r="AZ1356" s="31">
        <f>IF(OR($AS1356="",$C$6=""),"",TRIM(INDEX($A:$AP,ROW(),$C$6)&amp;""))</f>
        <v/>
      </c>
      <c r="BA1356" s="31">
        <f>IF($AZ1356="","",IF(COUNTIF($AZ$8:$AZ1356,$AZ1356)&gt;1,1,0))</f>
        <v/>
      </c>
    </row>
    <row r="1357">
      <c r="AR1357" s="31">
        <f>IF(OR($A$5="",$B$6="",ROW()&lt;$A$5),"",IF(INDEX($A:$AP,ROW(),$B$6)="","",INDEX($A:$AP,ROW(),$B$6)))</f>
        <v/>
      </c>
      <c r="AS1357" s="32">
        <f>IF($AR1357="","",IF(ISNUMBER($AR1357),IF($AR1357&gt;=10000000,IFERROR(DATE(INT($AR1357/10000),MOD(INT($AR1357/100),100),MOD($AR1357,100)),""),INT($AR1357)),IFERROR(DATE(--LEFT(LEFT(SUBSTITUTE(SUBSTITUTE(SUBSTITUTE(SUBSTITUTE(TRIM($AR1357),"-",""),".",""),"/","")," ",""),8),4),--MID(LEFT(SUBSTITUTE(SUBSTITUTE(SUBSTITUTE(SUBSTITUTE(TRIM($AR1357),"-",""),".",""),"/","")," ",""),8),5,2),--MID(LEFT(SUBSTITUTE(SUBSTITUTE(SUBSTITUTE(SUBSTITUTE(TRIM($AR1357),"-",""),".",""),"/","")," ",""),8),7,2)),"")))</f>
        <v/>
      </c>
      <c r="AT1357" s="33">
        <f>IF($AS1357="","",IF($F$6="",0,IF(ISNUMBER(INDEX($A:$AP,ROW(),$F$6)),INDEX($A:$AP,ROW(),$F$6),IFERROR(--SUBSTITUTE(SUBSTITUTE(TRIM(INDEX($A:$AP,ROW(),$F$6)),",",""),"원",""),0))))</f>
        <v/>
      </c>
      <c r="AU1357" s="31">
        <f>IF($AS1357="","",IF($AX1357&lt;&gt;"",SUBSTITUTE(SUBSTITUTE($AX1357,"-","")," ",""),"N:"&amp;$AV1357))</f>
        <v/>
      </c>
      <c r="AV1357" s="31">
        <f>IF(OR($AS1357="",$E$6=""),"",TRIM(INDEX($A:$AP,ROW(),$E$6)&amp;""))</f>
        <v/>
      </c>
      <c r="AW1357" s="31">
        <f>IF($AU1357="","",IF(MATCH($AU1357,$AU$8:$AU$2007,0)=ROW()-7,MAX($AW$7:$AW1356)+1,""))</f>
        <v/>
      </c>
      <c r="AX1357" s="31">
        <f>IF(OR($AS1357="",$D$6=""),"",TRIM(INDEX($A:$AP,ROW(),$D$6)&amp;""))</f>
        <v/>
      </c>
      <c r="AY1357" s="31">
        <f>IF($AU1357="","",INDEX($AW$8:$AW$2007,MATCH($AU1357,$AU$8:$AU$2007,0)))</f>
        <v/>
      </c>
      <c r="AZ1357" s="31">
        <f>IF(OR($AS1357="",$C$6=""),"",TRIM(INDEX($A:$AP,ROW(),$C$6)&amp;""))</f>
        <v/>
      </c>
      <c r="BA1357" s="31">
        <f>IF($AZ1357="","",IF(COUNTIF($AZ$8:$AZ1357,$AZ1357)&gt;1,1,0))</f>
        <v/>
      </c>
    </row>
    <row r="1358">
      <c r="AR1358" s="31">
        <f>IF(OR($A$5="",$B$6="",ROW()&lt;$A$5),"",IF(INDEX($A:$AP,ROW(),$B$6)="","",INDEX($A:$AP,ROW(),$B$6)))</f>
        <v/>
      </c>
      <c r="AS1358" s="32">
        <f>IF($AR1358="","",IF(ISNUMBER($AR1358),IF($AR1358&gt;=10000000,IFERROR(DATE(INT($AR1358/10000),MOD(INT($AR1358/100),100),MOD($AR1358,100)),""),INT($AR1358)),IFERROR(DATE(--LEFT(LEFT(SUBSTITUTE(SUBSTITUTE(SUBSTITUTE(SUBSTITUTE(TRIM($AR1358),"-",""),".",""),"/","")," ",""),8),4),--MID(LEFT(SUBSTITUTE(SUBSTITUTE(SUBSTITUTE(SUBSTITUTE(TRIM($AR1358),"-",""),".",""),"/","")," ",""),8),5,2),--MID(LEFT(SUBSTITUTE(SUBSTITUTE(SUBSTITUTE(SUBSTITUTE(TRIM($AR1358),"-",""),".",""),"/","")," ",""),8),7,2)),"")))</f>
        <v/>
      </c>
      <c r="AT1358" s="33">
        <f>IF($AS1358="","",IF($F$6="",0,IF(ISNUMBER(INDEX($A:$AP,ROW(),$F$6)),INDEX($A:$AP,ROW(),$F$6),IFERROR(--SUBSTITUTE(SUBSTITUTE(TRIM(INDEX($A:$AP,ROW(),$F$6)),",",""),"원",""),0))))</f>
        <v/>
      </c>
      <c r="AU1358" s="31">
        <f>IF($AS1358="","",IF($AX1358&lt;&gt;"",SUBSTITUTE(SUBSTITUTE($AX1358,"-","")," ",""),"N:"&amp;$AV1358))</f>
        <v/>
      </c>
      <c r="AV1358" s="31">
        <f>IF(OR($AS1358="",$E$6=""),"",TRIM(INDEX($A:$AP,ROW(),$E$6)&amp;""))</f>
        <v/>
      </c>
      <c r="AW1358" s="31">
        <f>IF($AU1358="","",IF(MATCH($AU1358,$AU$8:$AU$2007,0)=ROW()-7,MAX($AW$7:$AW1357)+1,""))</f>
        <v/>
      </c>
      <c r="AX1358" s="31">
        <f>IF(OR($AS1358="",$D$6=""),"",TRIM(INDEX($A:$AP,ROW(),$D$6)&amp;""))</f>
        <v/>
      </c>
      <c r="AY1358" s="31">
        <f>IF($AU1358="","",INDEX($AW$8:$AW$2007,MATCH($AU1358,$AU$8:$AU$2007,0)))</f>
        <v/>
      </c>
      <c r="AZ1358" s="31">
        <f>IF(OR($AS1358="",$C$6=""),"",TRIM(INDEX($A:$AP,ROW(),$C$6)&amp;""))</f>
        <v/>
      </c>
      <c r="BA1358" s="31">
        <f>IF($AZ1358="","",IF(COUNTIF($AZ$8:$AZ1358,$AZ1358)&gt;1,1,0))</f>
        <v/>
      </c>
    </row>
    <row r="1359">
      <c r="AR1359" s="31">
        <f>IF(OR($A$5="",$B$6="",ROW()&lt;$A$5),"",IF(INDEX($A:$AP,ROW(),$B$6)="","",INDEX($A:$AP,ROW(),$B$6)))</f>
        <v/>
      </c>
      <c r="AS1359" s="32">
        <f>IF($AR1359="","",IF(ISNUMBER($AR1359),IF($AR1359&gt;=10000000,IFERROR(DATE(INT($AR1359/10000),MOD(INT($AR1359/100),100),MOD($AR1359,100)),""),INT($AR1359)),IFERROR(DATE(--LEFT(LEFT(SUBSTITUTE(SUBSTITUTE(SUBSTITUTE(SUBSTITUTE(TRIM($AR1359),"-",""),".",""),"/","")," ",""),8),4),--MID(LEFT(SUBSTITUTE(SUBSTITUTE(SUBSTITUTE(SUBSTITUTE(TRIM($AR1359),"-",""),".",""),"/","")," ",""),8),5,2),--MID(LEFT(SUBSTITUTE(SUBSTITUTE(SUBSTITUTE(SUBSTITUTE(TRIM($AR1359),"-",""),".",""),"/","")," ",""),8),7,2)),"")))</f>
        <v/>
      </c>
      <c r="AT1359" s="33">
        <f>IF($AS1359="","",IF($F$6="",0,IF(ISNUMBER(INDEX($A:$AP,ROW(),$F$6)),INDEX($A:$AP,ROW(),$F$6),IFERROR(--SUBSTITUTE(SUBSTITUTE(TRIM(INDEX($A:$AP,ROW(),$F$6)),",",""),"원",""),0))))</f>
        <v/>
      </c>
      <c r="AU1359" s="31">
        <f>IF($AS1359="","",IF($AX1359&lt;&gt;"",SUBSTITUTE(SUBSTITUTE($AX1359,"-","")," ",""),"N:"&amp;$AV1359))</f>
        <v/>
      </c>
      <c r="AV1359" s="31">
        <f>IF(OR($AS1359="",$E$6=""),"",TRIM(INDEX($A:$AP,ROW(),$E$6)&amp;""))</f>
        <v/>
      </c>
      <c r="AW1359" s="31">
        <f>IF($AU1359="","",IF(MATCH($AU1359,$AU$8:$AU$2007,0)=ROW()-7,MAX($AW$7:$AW1358)+1,""))</f>
        <v/>
      </c>
      <c r="AX1359" s="31">
        <f>IF(OR($AS1359="",$D$6=""),"",TRIM(INDEX($A:$AP,ROW(),$D$6)&amp;""))</f>
        <v/>
      </c>
      <c r="AY1359" s="31">
        <f>IF($AU1359="","",INDEX($AW$8:$AW$2007,MATCH($AU1359,$AU$8:$AU$2007,0)))</f>
        <v/>
      </c>
      <c r="AZ1359" s="31">
        <f>IF(OR($AS1359="",$C$6=""),"",TRIM(INDEX($A:$AP,ROW(),$C$6)&amp;""))</f>
        <v/>
      </c>
      <c r="BA1359" s="31">
        <f>IF($AZ1359="","",IF(COUNTIF($AZ$8:$AZ1359,$AZ1359)&gt;1,1,0))</f>
        <v/>
      </c>
    </row>
    <row r="1360">
      <c r="AR1360" s="31">
        <f>IF(OR($A$5="",$B$6="",ROW()&lt;$A$5),"",IF(INDEX($A:$AP,ROW(),$B$6)="","",INDEX($A:$AP,ROW(),$B$6)))</f>
        <v/>
      </c>
      <c r="AS1360" s="32">
        <f>IF($AR1360="","",IF(ISNUMBER($AR1360),IF($AR1360&gt;=10000000,IFERROR(DATE(INT($AR1360/10000),MOD(INT($AR1360/100),100),MOD($AR1360,100)),""),INT($AR1360)),IFERROR(DATE(--LEFT(LEFT(SUBSTITUTE(SUBSTITUTE(SUBSTITUTE(SUBSTITUTE(TRIM($AR1360),"-",""),".",""),"/","")," ",""),8),4),--MID(LEFT(SUBSTITUTE(SUBSTITUTE(SUBSTITUTE(SUBSTITUTE(TRIM($AR1360),"-",""),".",""),"/","")," ",""),8),5,2),--MID(LEFT(SUBSTITUTE(SUBSTITUTE(SUBSTITUTE(SUBSTITUTE(TRIM($AR1360),"-",""),".",""),"/","")," ",""),8),7,2)),"")))</f>
        <v/>
      </c>
      <c r="AT1360" s="33">
        <f>IF($AS1360="","",IF($F$6="",0,IF(ISNUMBER(INDEX($A:$AP,ROW(),$F$6)),INDEX($A:$AP,ROW(),$F$6),IFERROR(--SUBSTITUTE(SUBSTITUTE(TRIM(INDEX($A:$AP,ROW(),$F$6)),",",""),"원",""),0))))</f>
        <v/>
      </c>
      <c r="AU1360" s="31">
        <f>IF($AS1360="","",IF($AX1360&lt;&gt;"",SUBSTITUTE(SUBSTITUTE($AX1360,"-","")," ",""),"N:"&amp;$AV1360))</f>
        <v/>
      </c>
      <c r="AV1360" s="31">
        <f>IF(OR($AS1360="",$E$6=""),"",TRIM(INDEX($A:$AP,ROW(),$E$6)&amp;""))</f>
        <v/>
      </c>
      <c r="AW1360" s="31">
        <f>IF($AU1360="","",IF(MATCH($AU1360,$AU$8:$AU$2007,0)=ROW()-7,MAX($AW$7:$AW1359)+1,""))</f>
        <v/>
      </c>
      <c r="AX1360" s="31">
        <f>IF(OR($AS1360="",$D$6=""),"",TRIM(INDEX($A:$AP,ROW(),$D$6)&amp;""))</f>
        <v/>
      </c>
      <c r="AY1360" s="31">
        <f>IF($AU1360="","",INDEX($AW$8:$AW$2007,MATCH($AU1360,$AU$8:$AU$2007,0)))</f>
        <v/>
      </c>
      <c r="AZ1360" s="31">
        <f>IF(OR($AS1360="",$C$6=""),"",TRIM(INDEX($A:$AP,ROW(),$C$6)&amp;""))</f>
        <v/>
      </c>
      <c r="BA1360" s="31">
        <f>IF($AZ1360="","",IF(COUNTIF($AZ$8:$AZ1360,$AZ1360)&gt;1,1,0))</f>
        <v/>
      </c>
    </row>
    <row r="1361">
      <c r="AR1361" s="31">
        <f>IF(OR($A$5="",$B$6="",ROW()&lt;$A$5),"",IF(INDEX($A:$AP,ROW(),$B$6)="","",INDEX($A:$AP,ROW(),$B$6)))</f>
        <v/>
      </c>
      <c r="AS1361" s="32">
        <f>IF($AR1361="","",IF(ISNUMBER($AR1361),IF($AR1361&gt;=10000000,IFERROR(DATE(INT($AR1361/10000),MOD(INT($AR1361/100),100),MOD($AR1361,100)),""),INT($AR1361)),IFERROR(DATE(--LEFT(LEFT(SUBSTITUTE(SUBSTITUTE(SUBSTITUTE(SUBSTITUTE(TRIM($AR1361),"-",""),".",""),"/","")," ",""),8),4),--MID(LEFT(SUBSTITUTE(SUBSTITUTE(SUBSTITUTE(SUBSTITUTE(TRIM($AR1361),"-",""),".",""),"/","")," ",""),8),5,2),--MID(LEFT(SUBSTITUTE(SUBSTITUTE(SUBSTITUTE(SUBSTITUTE(TRIM($AR1361),"-",""),".",""),"/","")," ",""),8),7,2)),"")))</f>
        <v/>
      </c>
      <c r="AT1361" s="33">
        <f>IF($AS1361="","",IF($F$6="",0,IF(ISNUMBER(INDEX($A:$AP,ROW(),$F$6)),INDEX($A:$AP,ROW(),$F$6),IFERROR(--SUBSTITUTE(SUBSTITUTE(TRIM(INDEX($A:$AP,ROW(),$F$6)),",",""),"원",""),0))))</f>
        <v/>
      </c>
      <c r="AU1361" s="31">
        <f>IF($AS1361="","",IF($AX1361&lt;&gt;"",SUBSTITUTE(SUBSTITUTE($AX1361,"-","")," ",""),"N:"&amp;$AV1361))</f>
        <v/>
      </c>
      <c r="AV1361" s="31">
        <f>IF(OR($AS1361="",$E$6=""),"",TRIM(INDEX($A:$AP,ROW(),$E$6)&amp;""))</f>
        <v/>
      </c>
      <c r="AW1361" s="31">
        <f>IF($AU1361="","",IF(MATCH($AU1361,$AU$8:$AU$2007,0)=ROW()-7,MAX($AW$7:$AW1360)+1,""))</f>
        <v/>
      </c>
      <c r="AX1361" s="31">
        <f>IF(OR($AS1361="",$D$6=""),"",TRIM(INDEX($A:$AP,ROW(),$D$6)&amp;""))</f>
        <v/>
      </c>
      <c r="AY1361" s="31">
        <f>IF($AU1361="","",INDEX($AW$8:$AW$2007,MATCH($AU1361,$AU$8:$AU$2007,0)))</f>
        <v/>
      </c>
      <c r="AZ1361" s="31">
        <f>IF(OR($AS1361="",$C$6=""),"",TRIM(INDEX($A:$AP,ROW(),$C$6)&amp;""))</f>
        <v/>
      </c>
      <c r="BA1361" s="31">
        <f>IF($AZ1361="","",IF(COUNTIF($AZ$8:$AZ1361,$AZ1361)&gt;1,1,0))</f>
        <v/>
      </c>
    </row>
    <row r="1362">
      <c r="AR1362" s="31">
        <f>IF(OR($A$5="",$B$6="",ROW()&lt;$A$5),"",IF(INDEX($A:$AP,ROW(),$B$6)="","",INDEX($A:$AP,ROW(),$B$6)))</f>
        <v/>
      </c>
      <c r="AS1362" s="32">
        <f>IF($AR1362="","",IF(ISNUMBER($AR1362),IF($AR1362&gt;=10000000,IFERROR(DATE(INT($AR1362/10000),MOD(INT($AR1362/100),100),MOD($AR1362,100)),""),INT($AR1362)),IFERROR(DATE(--LEFT(LEFT(SUBSTITUTE(SUBSTITUTE(SUBSTITUTE(SUBSTITUTE(TRIM($AR1362),"-",""),".",""),"/","")," ",""),8),4),--MID(LEFT(SUBSTITUTE(SUBSTITUTE(SUBSTITUTE(SUBSTITUTE(TRIM($AR1362),"-",""),".",""),"/","")," ",""),8),5,2),--MID(LEFT(SUBSTITUTE(SUBSTITUTE(SUBSTITUTE(SUBSTITUTE(TRIM($AR1362),"-",""),".",""),"/","")," ",""),8),7,2)),"")))</f>
        <v/>
      </c>
      <c r="AT1362" s="33">
        <f>IF($AS1362="","",IF($F$6="",0,IF(ISNUMBER(INDEX($A:$AP,ROW(),$F$6)),INDEX($A:$AP,ROW(),$F$6),IFERROR(--SUBSTITUTE(SUBSTITUTE(TRIM(INDEX($A:$AP,ROW(),$F$6)),",",""),"원",""),0))))</f>
        <v/>
      </c>
      <c r="AU1362" s="31">
        <f>IF($AS1362="","",IF($AX1362&lt;&gt;"",SUBSTITUTE(SUBSTITUTE($AX1362,"-","")," ",""),"N:"&amp;$AV1362))</f>
        <v/>
      </c>
      <c r="AV1362" s="31">
        <f>IF(OR($AS1362="",$E$6=""),"",TRIM(INDEX($A:$AP,ROW(),$E$6)&amp;""))</f>
        <v/>
      </c>
      <c r="AW1362" s="31">
        <f>IF($AU1362="","",IF(MATCH($AU1362,$AU$8:$AU$2007,0)=ROW()-7,MAX($AW$7:$AW1361)+1,""))</f>
        <v/>
      </c>
      <c r="AX1362" s="31">
        <f>IF(OR($AS1362="",$D$6=""),"",TRIM(INDEX($A:$AP,ROW(),$D$6)&amp;""))</f>
        <v/>
      </c>
      <c r="AY1362" s="31">
        <f>IF($AU1362="","",INDEX($AW$8:$AW$2007,MATCH($AU1362,$AU$8:$AU$2007,0)))</f>
        <v/>
      </c>
      <c r="AZ1362" s="31">
        <f>IF(OR($AS1362="",$C$6=""),"",TRIM(INDEX($A:$AP,ROW(),$C$6)&amp;""))</f>
        <v/>
      </c>
      <c r="BA1362" s="31">
        <f>IF($AZ1362="","",IF(COUNTIF($AZ$8:$AZ1362,$AZ1362)&gt;1,1,0))</f>
        <v/>
      </c>
    </row>
    <row r="1363">
      <c r="AR1363" s="31">
        <f>IF(OR($A$5="",$B$6="",ROW()&lt;$A$5),"",IF(INDEX($A:$AP,ROW(),$B$6)="","",INDEX($A:$AP,ROW(),$B$6)))</f>
        <v/>
      </c>
      <c r="AS1363" s="32">
        <f>IF($AR1363="","",IF(ISNUMBER($AR1363),IF($AR1363&gt;=10000000,IFERROR(DATE(INT($AR1363/10000),MOD(INT($AR1363/100),100),MOD($AR1363,100)),""),INT($AR1363)),IFERROR(DATE(--LEFT(LEFT(SUBSTITUTE(SUBSTITUTE(SUBSTITUTE(SUBSTITUTE(TRIM($AR1363),"-",""),".",""),"/","")," ",""),8),4),--MID(LEFT(SUBSTITUTE(SUBSTITUTE(SUBSTITUTE(SUBSTITUTE(TRIM($AR1363),"-",""),".",""),"/","")," ",""),8),5,2),--MID(LEFT(SUBSTITUTE(SUBSTITUTE(SUBSTITUTE(SUBSTITUTE(TRIM($AR1363),"-",""),".",""),"/","")," ",""),8),7,2)),"")))</f>
        <v/>
      </c>
      <c r="AT1363" s="33">
        <f>IF($AS1363="","",IF($F$6="",0,IF(ISNUMBER(INDEX($A:$AP,ROW(),$F$6)),INDEX($A:$AP,ROW(),$F$6),IFERROR(--SUBSTITUTE(SUBSTITUTE(TRIM(INDEX($A:$AP,ROW(),$F$6)),",",""),"원",""),0))))</f>
        <v/>
      </c>
      <c r="AU1363" s="31">
        <f>IF($AS1363="","",IF($AX1363&lt;&gt;"",SUBSTITUTE(SUBSTITUTE($AX1363,"-","")," ",""),"N:"&amp;$AV1363))</f>
        <v/>
      </c>
      <c r="AV1363" s="31">
        <f>IF(OR($AS1363="",$E$6=""),"",TRIM(INDEX($A:$AP,ROW(),$E$6)&amp;""))</f>
        <v/>
      </c>
      <c r="AW1363" s="31">
        <f>IF($AU1363="","",IF(MATCH($AU1363,$AU$8:$AU$2007,0)=ROW()-7,MAX($AW$7:$AW1362)+1,""))</f>
        <v/>
      </c>
      <c r="AX1363" s="31">
        <f>IF(OR($AS1363="",$D$6=""),"",TRIM(INDEX($A:$AP,ROW(),$D$6)&amp;""))</f>
        <v/>
      </c>
      <c r="AY1363" s="31">
        <f>IF($AU1363="","",INDEX($AW$8:$AW$2007,MATCH($AU1363,$AU$8:$AU$2007,0)))</f>
        <v/>
      </c>
      <c r="AZ1363" s="31">
        <f>IF(OR($AS1363="",$C$6=""),"",TRIM(INDEX($A:$AP,ROW(),$C$6)&amp;""))</f>
        <v/>
      </c>
      <c r="BA1363" s="31">
        <f>IF($AZ1363="","",IF(COUNTIF($AZ$8:$AZ1363,$AZ1363)&gt;1,1,0))</f>
        <v/>
      </c>
    </row>
    <row r="1364">
      <c r="AR1364" s="31">
        <f>IF(OR($A$5="",$B$6="",ROW()&lt;$A$5),"",IF(INDEX($A:$AP,ROW(),$B$6)="","",INDEX($A:$AP,ROW(),$B$6)))</f>
        <v/>
      </c>
      <c r="AS1364" s="32">
        <f>IF($AR1364="","",IF(ISNUMBER($AR1364),IF($AR1364&gt;=10000000,IFERROR(DATE(INT($AR1364/10000),MOD(INT($AR1364/100),100),MOD($AR1364,100)),""),INT($AR1364)),IFERROR(DATE(--LEFT(LEFT(SUBSTITUTE(SUBSTITUTE(SUBSTITUTE(SUBSTITUTE(TRIM($AR1364),"-",""),".",""),"/","")," ",""),8),4),--MID(LEFT(SUBSTITUTE(SUBSTITUTE(SUBSTITUTE(SUBSTITUTE(TRIM($AR1364),"-",""),".",""),"/","")," ",""),8),5,2),--MID(LEFT(SUBSTITUTE(SUBSTITUTE(SUBSTITUTE(SUBSTITUTE(TRIM($AR1364),"-",""),".",""),"/","")," ",""),8),7,2)),"")))</f>
        <v/>
      </c>
      <c r="AT1364" s="33">
        <f>IF($AS1364="","",IF($F$6="",0,IF(ISNUMBER(INDEX($A:$AP,ROW(),$F$6)),INDEX($A:$AP,ROW(),$F$6),IFERROR(--SUBSTITUTE(SUBSTITUTE(TRIM(INDEX($A:$AP,ROW(),$F$6)),",",""),"원",""),0))))</f>
        <v/>
      </c>
      <c r="AU1364" s="31">
        <f>IF($AS1364="","",IF($AX1364&lt;&gt;"",SUBSTITUTE(SUBSTITUTE($AX1364,"-","")," ",""),"N:"&amp;$AV1364))</f>
        <v/>
      </c>
      <c r="AV1364" s="31">
        <f>IF(OR($AS1364="",$E$6=""),"",TRIM(INDEX($A:$AP,ROW(),$E$6)&amp;""))</f>
        <v/>
      </c>
      <c r="AW1364" s="31">
        <f>IF($AU1364="","",IF(MATCH($AU1364,$AU$8:$AU$2007,0)=ROW()-7,MAX($AW$7:$AW1363)+1,""))</f>
        <v/>
      </c>
      <c r="AX1364" s="31">
        <f>IF(OR($AS1364="",$D$6=""),"",TRIM(INDEX($A:$AP,ROW(),$D$6)&amp;""))</f>
        <v/>
      </c>
      <c r="AY1364" s="31">
        <f>IF($AU1364="","",INDEX($AW$8:$AW$2007,MATCH($AU1364,$AU$8:$AU$2007,0)))</f>
        <v/>
      </c>
      <c r="AZ1364" s="31">
        <f>IF(OR($AS1364="",$C$6=""),"",TRIM(INDEX($A:$AP,ROW(),$C$6)&amp;""))</f>
        <v/>
      </c>
      <c r="BA1364" s="31">
        <f>IF($AZ1364="","",IF(COUNTIF($AZ$8:$AZ1364,$AZ1364)&gt;1,1,0))</f>
        <v/>
      </c>
    </row>
    <row r="1365">
      <c r="AR1365" s="31">
        <f>IF(OR($A$5="",$B$6="",ROW()&lt;$A$5),"",IF(INDEX($A:$AP,ROW(),$B$6)="","",INDEX($A:$AP,ROW(),$B$6)))</f>
        <v/>
      </c>
      <c r="AS1365" s="32">
        <f>IF($AR1365="","",IF(ISNUMBER($AR1365),IF($AR1365&gt;=10000000,IFERROR(DATE(INT($AR1365/10000),MOD(INT($AR1365/100),100),MOD($AR1365,100)),""),INT($AR1365)),IFERROR(DATE(--LEFT(LEFT(SUBSTITUTE(SUBSTITUTE(SUBSTITUTE(SUBSTITUTE(TRIM($AR1365),"-",""),".",""),"/","")," ",""),8),4),--MID(LEFT(SUBSTITUTE(SUBSTITUTE(SUBSTITUTE(SUBSTITUTE(TRIM($AR1365),"-",""),".",""),"/","")," ",""),8),5,2),--MID(LEFT(SUBSTITUTE(SUBSTITUTE(SUBSTITUTE(SUBSTITUTE(TRIM($AR1365),"-",""),".",""),"/","")," ",""),8),7,2)),"")))</f>
        <v/>
      </c>
      <c r="AT1365" s="33">
        <f>IF($AS1365="","",IF($F$6="",0,IF(ISNUMBER(INDEX($A:$AP,ROW(),$F$6)),INDEX($A:$AP,ROW(),$F$6),IFERROR(--SUBSTITUTE(SUBSTITUTE(TRIM(INDEX($A:$AP,ROW(),$F$6)),",",""),"원",""),0))))</f>
        <v/>
      </c>
      <c r="AU1365" s="31">
        <f>IF($AS1365="","",IF($AX1365&lt;&gt;"",SUBSTITUTE(SUBSTITUTE($AX1365,"-","")," ",""),"N:"&amp;$AV1365))</f>
        <v/>
      </c>
      <c r="AV1365" s="31">
        <f>IF(OR($AS1365="",$E$6=""),"",TRIM(INDEX($A:$AP,ROW(),$E$6)&amp;""))</f>
        <v/>
      </c>
      <c r="AW1365" s="31">
        <f>IF($AU1365="","",IF(MATCH($AU1365,$AU$8:$AU$2007,0)=ROW()-7,MAX($AW$7:$AW1364)+1,""))</f>
        <v/>
      </c>
      <c r="AX1365" s="31">
        <f>IF(OR($AS1365="",$D$6=""),"",TRIM(INDEX($A:$AP,ROW(),$D$6)&amp;""))</f>
        <v/>
      </c>
      <c r="AY1365" s="31">
        <f>IF($AU1365="","",INDEX($AW$8:$AW$2007,MATCH($AU1365,$AU$8:$AU$2007,0)))</f>
        <v/>
      </c>
      <c r="AZ1365" s="31">
        <f>IF(OR($AS1365="",$C$6=""),"",TRIM(INDEX($A:$AP,ROW(),$C$6)&amp;""))</f>
        <v/>
      </c>
      <c r="BA1365" s="31">
        <f>IF($AZ1365="","",IF(COUNTIF($AZ$8:$AZ1365,$AZ1365)&gt;1,1,0))</f>
        <v/>
      </c>
    </row>
    <row r="1366">
      <c r="AR1366" s="31">
        <f>IF(OR($A$5="",$B$6="",ROW()&lt;$A$5),"",IF(INDEX($A:$AP,ROW(),$B$6)="","",INDEX($A:$AP,ROW(),$B$6)))</f>
        <v/>
      </c>
      <c r="AS1366" s="32">
        <f>IF($AR1366="","",IF(ISNUMBER($AR1366),IF($AR1366&gt;=10000000,IFERROR(DATE(INT($AR1366/10000),MOD(INT($AR1366/100),100),MOD($AR1366,100)),""),INT($AR1366)),IFERROR(DATE(--LEFT(LEFT(SUBSTITUTE(SUBSTITUTE(SUBSTITUTE(SUBSTITUTE(TRIM($AR1366),"-",""),".",""),"/","")," ",""),8),4),--MID(LEFT(SUBSTITUTE(SUBSTITUTE(SUBSTITUTE(SUBSTITUTE(TRIM($AR1366),"-",""),".",""),"/","")," ",""),8),5,2),--MID(LEFT(SUBSTITUTE(SUBSTITUTE(SUBSTITUTE(SUBSTITUTE(TRIM($AR1366),"-",""),".",""),"/","")," ",""),8),7,2)),"")))</f>
        <v/>
      </c>
      <c r="AT1366" s="33">
        <f>IF($AS1366="","",IF($F$6="",0,IF(ISNUMBER(INDEX($A:$AP,ROW(),$F$6)),INDEX($A:$AP,ROW(),$F$6),IFERROR(--SUBSTITUTE(SUBSTITUTE(TRIM(INDEX($A:$AP,ROW(),$F$6)),",",""),"원",""),0))))</f>
        <v/>
      </c>
      <c r="AU1366" s="31">
        <f>IF($AS1366="","",IF($AX1366&lt;&gt;"",SUBSTITUTE(SUBSTITUTE($AX1366,"-","")," ",""),"N:"&amp;$AV1366))</f>
        <v/>
      </c>
      <c r="AV1366" s="31">
        <f>IF(OR($AS1366="",$E$6=""),"",TRIM(INDEX($A:$AP,ROW(),$E$6)&amp;""))</f>
        <v/>
      </c>
      <c r="AW1366" s="31">
        <f>IF($AU1366="","",IF(MATCH($AU1366,$AU$8:$AU$2007,0)=ROW()-7,MAX($AW$7:$AW1365)+1,""))</f>
        <v/>
      </c>
      <c r="AX1366" s="31">
        <f>IF(OR($AS1366="",$D$6=""),"",TRIM(INDEX($A:$AP,ROW(),$D$6)&amp;""))</f>
        <v/>
      </c>
      <c r="AY1366" s="31">
        <f>IF($AU1366="","",INDEX($AW$8:$AW$2007,MATCH($AU1366,$AU$8:$AU$2007,0)))</f>
        <v/>
      </c>
      <c r="AZ1366" s="31">
        <f>IF(OR($AS1366="",$C$6=""),"",TRIM(INDEX($A:$AP,ROW(),$C$6)&amp;""))</f>
        <v/>
      </c>
      <c r="BA1366" s="31">
        <f>IF($AZ1366="","",IF(COUNTIF($AZ$8:$AZ1366,$AZ1366)&gt;1,1,0))</f>
        <v/>
      </c>
    </row>
    <row r="1367">
      <c r="AR1367" s="31">
        <f>IF(OR($A$5="",$B$6="",ROW()&lt;$A$5),"",IF(INDEX($A:$AP,ROW(),$B$6)="","",INDEX($A:$AP,ROW(),$B$6)))</f>
        <v/>
      </c>
      <c r="AS1367" s="32">
        <f>IF($AR1367="","",IF(ISNUMBER($AR1367),IF($AR1367&gt;=10000000,IFERROR(DATE(INT($AR1367/10000),MOD(INT($AR1367/100),100),MOD($AR1367,100)),""),INT($AR1367)),IFERROR(DATE(--LEFT(LEFT(SUBSTITUTE(SUBSTITUTE(SUBSTITUTE(SUBSTITUTE(TRIM($AR1367),"-",""),".",""),"/","")," ",""),8),4),--MID(LEFT(SUBSTITUTE(SUBSTITUTE(SUBSTITUTE(SUBSTITUTE(TRIM($AR1367),"-",""),".",""),"/","")," ",""),8),5,2),--MID(LEFT(SUBSTITUTE(SUBSTITUTE(SUBSTITUTE(SUBSTITUTE(TRIM($AR1367),"-",""),".",""),"/","")," ",""),8),7,2)),"")))</f>
        <v/>
      </c>
      <c r="AT1367" s="33">
        <f>IF($AS1367="","",IF($F$6="",0,IF(ISNUMBER(INDEX($A:$AP,ROW(),$F$6)),INDEX($A:$AP,ROW(),$F$6),IFERROR(--SUBSTITUTE(SUBSTITUTE(TRIM(INDEX($A:$AP,ROW(),$F$6)),",",""),"원",""),0))))</f>
        <v/>
      </c>
      <c r="AU1367" s="31">
        <f>IF($AS1367="","",IF($AX1367&lt;&gt;"",SUBSTITUTE(SUBSTITUTE($AX1367,"-","")," ",""),"N:"&amp;$AV1367))</f>
        <v/>
      </c>
      <c r="AV1367" s="31">
        <f>IF(OR($AS1367="",$E$6=""),"",TRIM(INDEX($A:$AP,ROW(),$E$6)&amp;""))</f>
        <v/>
      </c>
      <c r="AW1367" s="31">
        <f>IF($AU1367="","",IF(MATCH($AU1367,$AU$8:$AU$2007,0)=ROW()-7,MAX($AW$7:$AW1366)+1,""))</f>
        <v/>
      </c>
      <c r="AX1367" s="31">
        <f>IF(OR($AS1367="",$D$6=""),"",TRIM(INDEX($A:$AP,ROW(),$D$6)&amp;""))</f>
        <v/>
      </c>
      <c r="AY1367" s="31">
        <f>IF($AU1367="","",INDEX($AW$8:$AW$2007,MATCH($AU1367,$AU$8:$AU$2007,0)))</f>
        <v/>
      </c>
      <c r="AZ1367" s="31">
        <f>IF(OR($AS1367="",$C$6=""),"",TRIM(INDEX($A:$AP,ROW(),$C$6)&amp;""))</f>
        <v/>
      </c>
      <c r="BA1367" s="31">
        <f>IF($AZ1367="","",IF(COUNTIF($AZ$8:$AZ1367,$AZ1367)&gt;1,1,0))</f>
        <v/>
      </c>
    </row>
    <row r="1368">
      <c r="AR1368" s="31">
        <f>IF(OR($A$5="",$B$6="",ROW()&lt;$A$5),"",IF(INDEX($A:$AP,ROW(),$B$6)="","",INDEX($A:$AP,ROW(),$B$6)))</f>
        <v/>
      </c>
      <c r="AS1368" s="32">
        <f>IF($AR1368="","",IF(ISNUMBER($AR1368),IF($AR1368&gt;=10000000,IFERROR(DATE(INT($AR1368/10000),MOD(INT($AR1368/100),100),MOD($AR1368,100)),""),INT($AR1368)),IFERROR(DATE(--LEFT(LEFT(SUBSTITUTE(SUBSTITUTE(SUBSTITUTE(SUBSTITUTE(TRIM($AR1368),"-",""),".",""),"/","")," ",""),8),4),--MID(LEFT(SUBSTITUTE(SUBSTITUTE(SUBSTITUTE(SUBSTITUTE(TRIM($AR1368),"-",""),".",""),"/","")," ",""),8),5,2),--MID(LEFT(SUBSTITUTE(SUBSTITUTE(SUBSTITUTE(SUBSTITUTE(TRIM($AR1368),"-",""),".",""),"/","")," ",""),8),7,2)),"")))</f>
        <v/>
      </c>
      <c r="AT1368" s="33">
        <f>IF($AS1368="","",IF($F$6="",0,IF(ISNUMBER(INDEX($A:$AP,ROW(),$F$6)),INDEX($A:$AP,ROW(),$F$6),IFERROR(--SUBSTITUTE(SUBSTITUTE(TRIM(INDEX($A:$AP,ROW(),$F$6)),",",""),"원",""),0))))</f>
        <v/>
      </c>
      <c r="AU1368" s="31">
        <f>IF($AS1368="","",IF($AX1368&lt;&gt;"",SUBSTITUTE(SUBSTITUTE($AX1368,"-","")," ",""),"N:"&amp;$AV1368))</f>
        <v/>
      </c>
      <c r="AV1368" s="31">
        <f>IF(OR($AS1368="",$E$6=""),"",TRIM(INDEX($A:$AP,ROW(),$E$6)&amp;""))</f>
        <v/>
      </c>
      <c r="AW1368" s="31">
        <f>IF($AU1368="","",IF(MATCH($AU1368,$AU$8:$AU$2007,0)=ROW()-7,MAX($AW$7:$AW1367)+1,""))</f>
        <v/>
      </c>
      <c r="AX1368" s="31">
        <f>IF(OR($AS1368="",$D$6=""),"",TRIM(INDEX($A:$AP,ROW(),$D$6)&amp;""))</f>
        <v/>
      </c>
      <c r="AY1368" s="31">
        <f>IF($AU1368="","",INDEX($AW$8:$AW$2007,MATCH($AU1368,$AU$8:$AU$2007,0)))</f>
        <v/>
      </c>
      <c r="AZ1368" s="31">
        <f>IF(OR($AS1368="",$C$6=""),"",TRIM(INDEX($A:$AP,ROW(),$C$6)&amp;""))</f>
        <v/>
      </c>
      <c r="BA1368" s="31">
        <f>IF($AZ1368="","",IF(COUNTIF($AZ$8:$AZ1368,$AZ1368)&gt;1,1,0))</f>
        <v/>
      </c>
    </row>
    <row r="1369">
      <c r="AR1369" s="31">
        <f>IF(OR($A$5="",$B$6="",ROW()&lt;$A$5),"",IF(INDEX($A:$AP,ROW(),$B$6)="","",INDEX($A:$AP,ROW(),$B$6)))</f>
        <v/>
      </c>
      <c r="AS1369" s="32">
        <f>IF($AR1369="","",IF(ISNUMBER($AR1369),IF($AR1369&gt;=10000000,IFERROR(DATE(INT($AR1369/10000),MOD(INT($AR1369/100),100),MOD($AR1369,100)),""),INT($AR1369)),IFERROR(DATE(--LEFT(LEFT(SUBSTITUTE(SUBSTITUTE(SUBSTITUTE(SUBSTITUTE(TRIM($AR1369),"-",""),".",""),"/","")," ",""),8),4),--MID(LEFT(SUBSTITUTE(SUBSTITUTE(SUBSTITUTE(SUBSTITUTE(TRIM($AR1369),"-",""),".",""),"/","")," ",""),8),5,2),--MID(LEFT(SUBSTITUTE(SUBSTITUTE(SUBSTITUTE(SUBSTITUTE(TRIM($AR1369),"-",""),".",""),"/","")," ",""),8),7,2)),"")))</f>
        <v/>
      </c>
      <c r="AT1369" s="33">
        <f>IF($AS1369="","",IF($F$6="",0,IF(ISNUMBER(INDEX($A:$AP,ROW(),$F$6)),INDEX($A:$AP,ROW(),$F$6),IFERROR(--SUBSTITUTE(SUBSTITUTE(TRIM(INDEX($A:$AP,ROW(),$F$6)),",",""),"원",""),0))))</f>
        <v/>
      </c>
      <c r="AU1369" s="31">
        <f>IF($AS1369="","",IF($AX1369&lt;&gt;"",SUBSTITUTE(SUBSTITUTE($AX1369,"-","")," ",""),"N:"&amp;$AV1369))</f>
        <v/>
      </c>
      <c r="AV1369" s="31">
        <f>IF(OR($AS1369="",$E$6=""),"",TRIM(INDEX($A:$AP,ROW(),$E$6)&amp;""))</f>
        <v/>
      </c>
      <c r="AW1369" s="31">
        <f>IF($AU1369="","",IF(MATCH($AU1369,$AU$8:$AU$2007,0)=ROW()-7,MAX($AW$7:$AW1368)+1,""))</f>
        <v/>
      </c>
      <c r="AX1369" s="31">
        <f>IF(OR($AS1369="",$D$6=""),"",TRIM(INDEX($A:$AP,ROW(),$D$6)&amp;""))</f>
        <v/>
      </c>
      <c r="AY1369" s="31">
        <f>IF($AU1369="","",INDEX($AW$8:$AW$2007,MATCH($AU1369,$AU$8:$AU$2007,0)))</f>
        <v/>
      </c>
      <c r="AZ1369" s="31">
        <f>IF(OR($AS1369="",$C$6=""),"",TRIM(INDEX($A:$AP,ROW(),$C$6)&amp;""))</f>
        <v/>
      </c>
      <c r="BA1369" s="31">
        <f>IF($AZ1369="","",IF(COUNTIF($AZ$8:$AZ1369,$AZ1369)&gt;1,1,0))</f>
        <v/>
      </c>
    </row>
    <row r="1370">
      <c r="AR1370" s="31">
        <f>IF(OR($A$5="",$B$6="",ROW()&lt;$A$5),"",IF(INDEX($A:$AP,ROW(),$B$6)="","",INDEX($A:$AP,ROW(),$B$6)))</f>
        <v/>
      </c>
      <c r="AS1370" s="32">
        <f>IF($AR1370="","",IF(ISNUMBER($AR1370),IF($AR1370&gt;=10000000,IFERROR(DATE(INT($AR1370/10000),MOD(INT($AR1370/100),100),MOD($AR1370,100)),""),INT($AR1370)),IFERROR(DATE(--LEFT(LEFT(SUBSTITUTE(SUBSTITUTE(SUBSTITUTE(SUBSTITUTE(TRIM($AR1370),"-",""),".",""),"/","")," ",""),8),4),--MID(LEFT(SUBSTITUTE(SUBSTITUTE(SUBSTITUTE(SUBSTITUTE(TRIM($AR1370),"-",""),".",""),"/","")," ",""),8),5,2),--MID(LEFT(SUBSTITUTE(SUBSTITUTE(SUBSTITUTE(SUBSTITUTE(TRIM($AR1370),"-",""),".",""),"/","")," ",""),8),7,2)),"")))</f>
        <v/>
      </c>
      <c r="AT1370" s="33">
        <f>IF($AS1370="","",IF($F$6="",0,IF(ISNUMBER(INDEX($A:$AP,ROW(),$F$6)),INDEX($A:$AP,ROW(),$F$6),IFERROR(--SUBSTITUTE(SUBSTITUTE(TRIM(INDEX($A:$AP,ROW(),$F$6)),",",""),"원",""),0))))</f>
        <v/>
      </c>
      <c r="AU1370" s="31">
        <f>IF($AS1370="","",IF($AX1370&lt;&gt;"",SUBSTITUTE(SUBSTITUTE($AX1370,"-","")," ",""),"N:"&amp;$AV1370))</f>
        <v/>
      </c>
      <c r="AV1370" s="31">
        <f>IF(OR($AS1370="",$E$6=""),"",TRIM(INDEX($A:$AP,ROW(),$E$6)&amp;""))</f>
        <v/>
      </c>
      <c r="AW1370" s="31">
        <f>IF($AU1370="","",IF(MATCH($AU1370,$AU$8:$AU$2007,0)=ROW()-7,MAX($AW$7:$AW1369)+1,""))</f>
        <v/>
      </c>
      <c r="AX1370" s="31">
        <f>IF(OR($AS1370="",$D$6=""),"",TRIM(INDEX($A:$AP,ROW(),$D$6)&amp;""))</f>
        <v/>
      </c>
      <c r="AY1370" s="31">
        <f>IF($AU1370="","",INDEX($AW$8:$AW$2007,MATCH($AU1370,$AU$8:$AU$2007,0)))</f>
        <v/>
      </c>
      <c r="AZ1370" s="31">
        <f>IF(OR($AS1370="",$C$6=""),"",TRIM(INDEX($A:$AP,ROW(),$C$6)&amp;""))</f>
        <v/>
      </c>
      <c r="BA1370" s="31">
        <f>IF($AZ1370="","",IF(COUNTIF($AZ$8:$AZ1370,$AZ1370)&gt;1,1,0))</f>
        <v/>
      </c>
    </row>
    <row r="1371">
      <c r="AR1371" s="31">
        <f>IF(OR($A$5="",$B$6="",ROW()&lt;$A$5),"",IF(INDEX($A:$AP,ROW(),$B$6)="","",INDEX($A:$AP,ROW(),$B$6)))</f>
        <v/>
      </c>
      <c r="AS1371" s="32">
        <f>IF($AR1371="","",IF(ISNUMBER($AR1371),IF($AR1371&gt;=10000000,IFERROR(DATE(INT($AR1371/10000),MOD(INT($AR1371/100),100),MOD($AR1371,100)),""),INT($AR1371)),IFERROR(DATE(--LEFT(LEFT(SUBSTITUTE(SUBSTITUTE(SUBSTITUTE(SUBSTITUTE(TRIM($AR1371),"-",""),".",""),"/","")," ",""),8),4),--MID(LEFT(SUBSTITUTE(SUBSTITUTE(SUBSTITUTE(SUBSTITUTE(TRIM($AR1371),"-",""),".",""),"/","")," ",""),8),5,2),--MID(LEFT(SUBSTITUTE(SUBSTITUTE(SUBSTITUTE(SUBSTITUTE(TRIM($AR1371),"-",""),".",""),"/","")," ",""),8),7,2)),"")))</f>
        <v/>
      </c>
      <c r="AT1371" s="33">
        <f>IF($AS1371="","",IF($F$6="",0,IF(ISNUMBER(INDEX($A:$AP,ROW(),$F$6)),INDEX($A:$AP,ROW(),$F$6),IFERROR(--SUBSTITUTE(SUBSTITUTE(TRIM(INDEX($A:$AP,ROW(),$F$6)),",",""),"원",""),0))))</f>
        <v/>
      </c>
      <c r="AU1371" s="31">
        <f>IF($AS1371="","",IF($AX1371&lt;&gt;"",SUBSTITUTE(SUBSTITUTE($AX1371,"-","")," ",""),"N:"&amp;$AV1371))</f>
        <v/>
      </c>
      <c r="AV1371" s="31">
        <f>IF(OR($AS1371="",$E$6=""),"",TRIM(INDEX($A:$AP,ROW(),$E$6)&amp;""))</f>
        <v/>
      </c>
      <c r="AW1371" s="31">
        <f>IF($AU1371="","",IF(MATCH($AU1371,$AU$8:$AU$2007,0)=ROW()-7,MAX($AW$7:$AW1370)+1,""))</f>
        <v/>
      </c>
      <c r="AX1371" s="31">
        <f>IF(OR($AS1371="",$D$6=""),"",TRIM(INDEX($A:$AP,ROW(),$D$6)&amp;""))</f>
        <v/>
      </c>
      <c r="AY1371" s="31">
        <f>IF($AU1371="","",INDEX($AW$8:$AW$2007,MATCH($AU1371,$AU$8:$AU$2007,0)))</f>
        <v/>
      </c>
      <c r="AZ1371" s="31">
        <f>IF(OR($AS1371="",$C$6=""),"",TRIM(INDEX($A:$AP,ROW(),$C$6)&amp;""))</f>
        <v/>
      </c>
      <c r="BA1371" s="31">
        <f>IF($AZ1371="","",IF(COUNTIF($AZ$8:$AZ1371,$AZ1371)&gt;1,1,0))</f>
        <v/>
      </c>
    </row>
    <row r="1372">
      <c r="AR1372" s="31">
        <f>IF(OR($A$5="",$B$6="",ROW()&lt;$A$5),"",IF(INDEX($A:$AP,ROW(),$B$6)="","",INDEX($A:$AP,ROW(),$B$6)))</f>
        <v/>
      </c>
      <c r="AS1372" s="32">
        <f>IF($AR1372="","",IF(ISNUMBER($AR1372),IF($AR1372&gt;=10000000,IFERROR(DATE(INT($AR1372/10000),MOD(INT($AR1372/100),100),MOD($AR1372,100)),""),INT($AR1372)),IFERROR(DATE(--LEFT(LEFT(SUBSTITUTE(SUBSTITUTE(SUBSTITUTE(SUBSTITUTE(TRIM($AR1372),"-",""),".",""),"/","")," ",""),8),4),--MID(LEFT(SUBSTITUTE(SUBSTITUTE(SUBSTITUTE(SUBSTITUTE(TRIM($AR1372),"-",""),".",""),"/","")," ",""),8),5,2),--MID(LEFT(SUBSTITUTE(SUBSTITUTE(SUBSTITUTE(SUBSTITUTE(TRIM($AR1372),"-",""),".",""),"/","")," ",""),8),7,2)),"")))</f>
        <v/>
      </c>
      <c r="AT1372" s="33">
        <f>IF($AS1372="","",IF($F$6="",0,IF(ISNUMBER(INDEX($A:$AP,ROW(),$F$6)),INDEX($A:$AP,ROW(),$F$6),IFERROR(--SUBSTITUTE(SUBSTITUTE(TRIM(INDEX($A:$AP,ROW(),$F$6)),",",""),"원",""),0))))</f>
        <v/>
      </c>
      <c r="AU1372" s="31">
        <f>IF($AS1372="","",IF($AX1372&lt;&gt;"",SUBSTITUTE(SUBSTITUTE($AX1372,"-","")," ",""),"N:"&amp;$AV1372))</f>
        <v/>
      </c>
      <c r="AV1372" s="31">
        <f>IF(OR($AS1372="",$E$6=""),"",TRIM(INDEX($A:$AP,ROW(),$E$6)&amp;""))</f>
        <v/>
      </c>
      <c r="AW1372" s="31">
        <f>IF($AU1372="","",IF(MATCH($AU1372,$AU$8:$AU$2007,0)=ROW()-7,MAX($AW$7:$AW1371)+1,""))</f>
        <v/>
      </c>
      <c r="AX1372" s="31">
        <f>IF(OR($AS1372="",$D$6=""),"",TRIM(INDEX($A:$AP,ROW(),$D$6)&amp;""))</f>
        <v/>
      </c>
      <c r="AY1372" s="31">
        <f>IF($AU1372="","",INDEX($AW$8:$AW$2007,MATCH($AU1372,$AU$8:$AU$2007,0)))</f>
        <v/>
      </c>
      <c r="AZ1372" s="31">
        <f>IF(OR($AS1372="",$C$6=""),"",TRIM(INDEX($A:$AP,ROW(),$C$6)&amp;""))</f>
        <v/>
      </c>
      <c r="BA1372" s="31">
        <f>IF($AZ1372="","",IF(COUNTIF($AZ$8:$AZ1372,$AZ1372)&gt;1,1,0))</f>
        <v/>
      </c>
    </row>
    <row r="1373">
      <c r="AR1373" s="31">
        <f>IF(OR($A$5="",$B$6="",ROW()&lt;$A$5),"",IF(INDEX($A:$AP,ROW(),$B$6)="","",INDEX($A:$AP,ROW(),$B$6)))</f>
        <v/>
      </c>
      <c r="AS1373" s="32">
        <f>IF($AR1373="","",IF(ISNUMBER($AR1373),IF($AR1373&gt;=10000000,IFERROR(DATE(INT($AR1373/10000),MOD(INT($AR1373/100),100),MOD($AR1373,100)),""),INT($AR1373)),IFERROR(DATE(--LEFT(LEFT(SUBSTITUTE(SUBSTITUTE(SUBSTITUTE(SUBSTITUTE(TRIM($AR1373),"-",""),".",""),"/","")," ",""),8),4),--MID(LEFT(SUBSTITUTE(SUBSTITUTE(SUBSTITUTE(SUBSTITUTE(TRIM($AR1373),"-",""),".",""),"/","")," ",""),8),5,2),--MID(LEFT(SUBSTITUTE(SUBSTITUTE(SUBSTITUTE(SUBSTITUTE(TRIM($AR1373),"-",""),".",""),"/","")," ",""),8),7,2)),"")))</f>
        <v/>
      </c>
      <c r="AT1373" s="33">
        <f>IF($AS1373="","",IF($F$6="",0,IF(ISNUMBER(INDEX($A:$AP,ROW(),$F$6)),INDEX($A:$AP,ROW(),$F$6),IFERROR(--SUBSTITUTE(SUBSTITUTE(TRIM(INDEX($A:$AP,ROW(),$F$6)),",",""),"원",""),0))))</f>
        <v/>
      </c>
      <c r="AU1373" s="31">
        <f>IF($AS1373="","",IF($AX1373&lt;&gt;"",SUBSTITUTE(SUBSTITUTE($AX1373,"-","")," ",""),"N:"&amp;$AV1373))</f>
        <v/>
      </c>
      <c r="AV1373" s="31">
        <f>IF(OR($AS1373="",$E$6=""),"",TRIM(INDEX($A:$AP,ROW(),$E$6)&amp;""))</f>
        <v/>
      </c>
      <c r="AW1373" s="31">
        <f>IF($AU1373="","",IF(MATCH($AU1373,$AU$8:$AU$2007,0)=ROW()-7,MAX($AW$7:$AW1372)+1,""))</f>
        <v/>
      </c>
      <c r="AX1373" s="31">
        <f>IF(OR($AS1373="",$D$6=""),"",TRIM(INDEX($A:$AP,ROW(),$D$6)&amp;""))</f>
        <v/>
      </c>
      <c r="AY1373" s="31">
        <f>IF($AU1373="","",INDEX($AW$8:$AW$2007,MATCH($AU1373,$AU$8:$AU$2007,0)))</f>
        <v/>
      </c>
      <c r="AZ1373" s="31">
        <f>IF(OR($AS1373="",$C$6=""),"",TRIM(INDEX($A:$AP,ROW(),$C$6)&amp;""))</f>
        <v/>
      </c>
      <c r="BA1373" s="31">
        <f>IF($AZ1373="","",IF(COUNTIF($AZ$8:$AZ1373,$AZ1373)&gt;1,1,0))</f>
        <v/>
      </c>
    </row>
    <row r="1374">
      <c r="AR1374" s="31">
        <f>IF(OR($A$5="",$B$6="",ROW()&lt;$A$5),"",IF(INDEX($A:$AP,ROW(),$B$6)="","",INDEX($A:$AP,ROW(),$B$6)))</f>
        <v/>
      </c>
      <c r="AS1374" s="32">
        <f>IF($AR1374="","",IF(ISNUMBER($AR1374),IF($AR1374&gt;=10000000,IFERROR(DATE(INT($AR1374/10000),MOD(INT($AR1374/100),100),MOD($AR1374,100)),""),INT($AR1374)),IFERROR(DATE(--LEFT(LEFT(SUBSTITUTE(SUBSTITUTE(SUBSTITUTE(SUBSTITUTE(TRIM($AR1374),"-",""),".",""),"/","")," ",""),8),4),--MID(LEFT(SUBSTITUTE(SUBSTITUTE(SUBSTITUTE(SUBSTITUTE(TRIM($AR1374),"-",""),".",""),"/","")," ",""),8),5,2),--MID(LEFT(SUBSTITUTE(SUBSTITUTE(SUBSTITUTE(SUBSTITUTE(TRIM($AR1374),"-",""),".",""),"/","")," ",""),8),7,2)),"")))</f>
        <v/>
      </c>
      <c r="AT1374" s="33">
        <f>IF($AS1374="","",IF($F$6="",0,IF(ISNUMBER(INDEX($A:$AP,ROW(),$F$6)),INDEX($A:$AP,ROW(),$F$6),IFERROR(--SUBSTITUTE(SUBSTITUTE(TRIM(INDEX($A:$AP,ROW(),$F$6)),",",""),"원",""),0))))</f>
        <v/>
      </c>
      <c r="AU1374" s="31">
        <f>IF($AS1374="","",IF($AX1374&lt;&gt;"",SUBSTITUTE(SUBSTITUTE($AX1374,"-","")," ",""),"N:"&amp;$AV1374))</f>
        <v/>
      </c>
      <c r="AV1374" s="31">
        <f>IF(OR($AS1374="",$E$6=""),"",TRIM(INDEX($A:$AP,ROW(),$E$6)&amp;""))</f>
        <v/>
      </c>
      <c r="AW1374" s="31">
        <f>IF($AU1374="","",IF(MATCH($AU1374,$AU$8:$AU$2007,0)=ROW()-7,MAX($AW$7:$AW1373)+1,""))</f>
        <v/>
      </c>
      <c r="AX1374" s="31">
        <f>IF(OR($AS1374="",$D$6=""),"",TRIM(INDEX($A:$AP,ROW(),$D$6)&amp;""))</f>
        <v/>
      </c>
      <c r="AY1374" s="31">
        <f>IF($AU1374="","",INDEX($AW$8:$AW$2007,MATCH($AU1374,$AU$8:$AU$2007,0)))</f>
        <v/>
      </c>
      <c r="AZ1374" s="31">
        <f>IF(OR($AS1374="",$C$6=""),"",TRIM(INDEX($A:$AP,ROW(),$C$6)&amp;""))</f>
        <v/>
      </c>
      <c r="BA1374" s="31">
        <f>IF($AZ1374="","",IF(COUNTIF($AZ$8:$AZ1374,$AZ1374)&gt;1,1,0))</f>
        <v/>
      </c>
    </row>
    <row r="1375">
      <c r="AR1375" s="31">
        <f>IF(OR($A$5="",$B$6="",ROW()&lt;$A$5),"",IF(INDEX($A:$AP,ROW(),$B$6)="","",INDEX($A:$AP,ROW(),$B$6)))</f>
        <v/>
      </c>
      <c r="AS1375" s="32">
        <f>IF($AR1375="","",IF(ISNUMBER($AR1375),IF($AR1375&gt;=10000000,IFERROR(DATE(INT($AR1375/10000),MOD(INT($AR1375/100),100),MOD($AR1375,100)),""),INT($AR1375)),IFERROR(DATE(--LEFT(LEFT(SUBSTITUTE(SUBSTITUTE(SUBSTITUTE(SUBSTITUTE(TRIM($AR1375),"-",""),".",""),"/","")," ",""),8),4),--MID(LEFT(SUBSTITUTE(SUBSTITUTE(SUBSTITUTE(SUBSTITUTE(TRIM($AR1375),"-",""),".",""),"/","")," ",""),8),5,2),--MID(LEFT(SUBSTITUTE(SUBSTITUTE(SUBSTITUTE(SUBSTITUTE(TRIM($AR1375),"-",""),".",""),"/","")," ",""),8),7,2)),"")))</f>
        <v/>
      </c>
      <c r="AT1375" s="33">
        <f>IF($AS1375="","",IF($F$6="",0,IF(ISNUMBER(INDEX($A:$AP,ROW(),$F$6)),INDEX($A:$AP,ROW(),$F$6),IFERROR(--SUBSTITUTE(SUBSTITUTE(TRIM(INDEX($A:$AP,ROW(),$F$6)),",",""),"원",""),0))))</f>
        <v/>
      </c>
      <c r="AU1375" s="31">
        <f>IF($AS1375="","",IF($AX1375&lt;&gt;"",SUBSTITUTE(SUBSTITUTE($AX1375,"-","")," ",""),"N:"&amp;$AV1375))</f>
        <v/>
      </c>
      <c r="AV1375" s="31">
        <f>IF(OR($AS1375="",$E$6=""),"",TRIM(INDEX($A:$AP,ROW(),$E$6)&amp;""))</f>
        <v/>
      </c>
      <c r="AW1375" s="31">
        <f>IF($AU1375="","",IF(MATCH($AU1375,$AU$8:$AU$2007,0)=ROW()-7,MAX($AW$7:$AW1374)+1,""))</f>
        <v/>
      </c>
      <c r="AX1375" s="31">
        <f>IF(OR($AS1375="",$D$6=""),"",TRIM(INDEX($A:$AP,ROW(),$D$6)&amp;""))</f>
        <v/>
      </c>
      <c r="AY1375" s="31">
        <f>IF($AU1375="","",INDEX($AW$8:$AW$2007,MATCH($AU1375,$AU$8:$AU$2007,0)))</f>
        <v/>
      </c>
      <c r="AZ1375" s="31">
        <f>IF(OR($AS1375="",$C$6=""),"",TRIM(INDEX($A:$AP,ROW(),$C$6)&amp;""))</f>
        <v/>
      </c>
      <c r="BA1375" s="31">
        <f>IF($AZ1375="","",IF(COUNTIF($AZ$8:$AZ1375,$AZ1375)&gt;1,1,0))</f>
        <v/>
      </c>
    </row>
    <row r="1376">
      <c r="AR1376" s="31">
        <f>IF(OR($A$5="",$B$6="",ROW()&lt;$A$5),"",IF(INDEX($A:$AP,ROW(),$B$6)="","",INDEX($A:$AP,ROW(),$B$6)))</f>
        <v/>
      </c>
      <c r="AS1376" s="32">
        <f>IF($AR1376="","",IF(ISNUMBER($AR1376),IF($AR1376&gt;=10000000,IFERROR(DATE(INT($AR1376/10000),MOD(INT($AR1376/100),100),MOD($AR1376,100)),""),INT($AR1376)),IFERROR(DATE(--LEFT(LEFT(SUBSTITUTE(SUBSTITUTE(SUBSTITUTE(SUBSTITUTE(TRIM($AR1376),"-",""),".",""),"/","")," ",""),8),4),--MID(LEFT(SUBSTITUTE(SUBSTITUTE(SUBSTITUTE(SUBSTITUTE(TRIM($AR1376),"-",""),".",""),"/","")," ",""),8),5,2),--MID(LEFT(SUBSTITUTE(SUBSTITUTE(SUBSTITUTE(SUBSTITUTE(TRIM($AR1376),"-",""),".",""),"/","")," ",""),8),7,2)),"")))</f>
        <v/>
      </c>
      <c r="AT1376" s="33">
        <f>IF($AS1376="","",IF($F$6="",0,IF(ISNUMBER(INDEX($A:$AP,ROW(),$F$6)),INDEX($A:$AP,ROW(),$F$6),IFERROR(--SUBSTITUTE(SUBSTITUTE(TRIM(INDEX($A:$AP,ROW(),$F$6)),",",""),"원",""),0))))</f>
        <v/>
      </c>
      <c r="AU1376" s="31">
        <f>IF($AS1376="","",IF($AX1376&lt;&gt;"",SUBSTITUTE(SUBSTITUTE($AX1376,"-","")," ",""),"N:"&amp;$AV1376))</f>
        <v/>
      </c>
      <c r="AV1376" s="31">
        <f>IF(OR($AS1376="",$E$6=""),"",TRIM(INDEX($A:$AP,ROW(),$E$6)&amp;""))</f>
        <v/>
      </c>
      <c r="AW1376" s="31">
        <f>IF($AU1376="","",IF(MATCH($AU1376,$AU$8:$AU$2007,0)=ROW()-7,MAX($AW$7:$AW1375)+1,""))</f>
        <v/>
      </c>
      <c r="AX1376" s="31">
        <f>IF(OR($AS1376="",$D$6=""),"",TRIM(INDEX($A:$AP,ROW(),$D$6)&amp;""))</f>
        <v/>
      </c>
      <c r="AY1376" s="31">
        <f>IF($AU1376="","",INDEX($AW$8:$AW$2007,MATCH($AU1376,$AU$8:$AU$2007,0)))</f>
        <v/>
      </c>
      <c r="AZ1376" s="31">
        <f>IF(OR($AS1376="",$C$6=""),"",TRIM(INDEX($A:$AP,ROW(),$C$6)&amp;""))</f>
        <v/>
      </c>
      <c r="BA1376" s="31">
        <f>IF($AZ1376="","",IF(COUNTIF($AZ$8:$AZ1376,$AZ1376)&gt;1,1,0))</f>
        <v/>
      </c>
    </row>
    <row r="1377">
      <c r="AR1377" s="31">
        <f>IF(OR($A$5="",$B$6="",ROW()&lt;$A$5),"",IF(INDEX($A:$AP,ROW(),$B$6)="","",INDEX($A:$AP,ROW(),$B$6)))</f>
        <v/>
      </c>
      <c r="AS1377" s="32">
        <f>IF($AR1377="","",IF(ISNUMBER($AR1377),IF($AR1377&gt;=10000000,IFERROR(DATE(INT($AR1377/10000),MOD(INT($AR1377/100),100),MOD($AR1377,100)),""),INT($AR1377)),IFERROR(DATE(--LEFT(LEFT(SUBSTITUTE(SUBSTITUTE(SUBSTITUTE(SUBSTITUTE(TRIM($AR1377),"-",""),".",""),"/","")," ",""),8),4),--MID(LEFT(SUBSTITUTE(SUBSTITUTE(SUBSTITUTE(SUBSTITUTE(TRIM($AR1377),"-",""),".",""),"/","")," ",""),8),5,2),--MID(LEFT(SUBSTITUTE(SUBSTITUTE(SUBSTITUTE(SUBSTITUTE(TRIM($AR1377),"-",""),".",""),"/","")," ",""),8),7,2)),"")))</f>
        <v/>
      </c>
      <c r="AT1377" s="33">
        <f>IF($AS1377="","",IF($F$6="",0,IF(ISNUMBER(INDEX($A:$AP,ROW(),$F$6)),INDEX($A:$AP,ROW(),$F$6),IFERROR(--SUBSTITUTE(SUBSTITUTE(TRIM(INDEX($A:$AP,ROW(),$F$6)),",",""),"원",""),0))))</f>
        <v/>
      </c>
      <c r="AU1377" s="31">
        <f>IF($AS1377="","",IF($AX1377&lt;&gt;"",SUBSTITUTE(SUBSTITUTE($AX1377,"-","")," ",""),"N:"&amp;$AV1377))</f>
        <v/>
      </c>
      <c r="AV1377" s="31">
        <f>IF(OR($AS1377="",$E$6=""),"",TRIM(INDEX($A:$AP,ROW(),$E$6)&amp;""))</f>
        <v/>
      </c>
      <c r="AW1377" s="31">
        <f>IF($AU1377="","",IF(MATCH($AU1377,$AU$8:$AU$2007,0)=ROW()-7,MAX($AW$7:$AW1376)+1,""))</f>
        <v/>
      </c>
      <c r="AX1377" s="31">
        <f>IF(OR($AS1377="",$D$6=""),"",TRIM(INDEX($A:$AP,ROW(),$D$6)&amp;""))</f>
        <v/>
      </c>
      <c r="AY1377" s="31">
        <f>IF($AU1377="","",INDEX($AW$8:$AW$2007,MATCH($AU1377,$AU$8:$AU$2007,0)))</f>
        <v/>
      </c>
      <c r="AZ1377" s="31">
        <f>IF(OR($AS1377="",$C$6=""),"",TRIM(INDEX($A:$AP,ROW(),$C$6)&amp;""))</f>
        <v/>
      </c>
      <c r="BA1377" s="31">
        <f>IF($AZ1377="","",IF(COUNTIF($AZ$8:$AZ1377,$AZ1377)&gt;1,1,0))</f>
        <v/>
      </c>
    </row>
    <row r="1378">
      <c r="AR1378" s="31">
        <f>IF(OR($A$5="",$B$6="",ROW()&lt;$A$5),"",IF(INDEX($A:$AP,ROW(),$B$6)="","",INDEX($A:$AP,ROW(),$B$6)))</f>
        <v/>
      </c>
      <c r="AS1378" s="32">
        <f>IF($AR1378="","",IF(ISNUMBER($AR1378),IF($AR1378&gt;=10000000,IFERROR(DATE(INT($AR1378/10000),MOD(INT($AR1378/100),100),MOD($AR1378,100)),""),INT($AR1378)),IFERROR(DATE(--LEFT(LEFT(SUBSTITUTE(SUBSTITUTE(SUBSTITUTE(SUBSTITUTE(TRIM($AR1378),"-",""),".",""),"/","")," ",""),8),4),--MID(LEFT(SUBSTITUTE(SUBSTITUTE(SUBSTITUTE(SUBSTITUTE(TRIM($AR1378),"-",""),".",""),"/","")," ",""),8),5,2),--MID(LEFT(SUBSTITUTE(SUBSTITUTE(SUBSTITUTE(SUBSTITUTE(TRIM($AR1378),"-",""),".",""),"/","")," ",""),8),7,2)),"")))</f>
        <v/>
      </c>
      <c r="AT1378" s="33">
        <f>IF($AS1378="","",IF($F$6="",0,IF(ISNUMBER(INDEX($A:$AP,ROW(),$F$6)),INDEX($A:$AP,ROW(),$F$6),IFERROR(--SUBSTITUTE(SUBSTITUTE(TRIM(INDEX($A:$AP,ROW(),$F$6)),",",""),"원",""),0))))</f>
        <v/>
      </c>
      <c r="AU1378" s="31">
        <f>IF($AS1378="","",IF($AX1378&lt;&gt;"",SUBSTITUTE(SUBSTITUTE($AX1378,"-","")," ",""),"N:"&amp;$AV1378))</f>
        <v/>
      </c>
      <c r="AV1378" s="31">
        <f>IF(OR($AS1378="",$E$6=""),"",TRIM(INDEX($A:$AP,ROW(),$E$6)&amp;""))</f>
        <v/>
      </c>
      <c r="AW1378" s="31">
        <f>IF($AU1378="","",IF(MATCH($AU1378,$AU$8:$AU$2007,0)=ROW()-7,MAX($AW$7:$AW1377)+1,""))</f>
        <v/>
      </c>
      <c r="AX1378" s="31">
        <f>IF(OR($AS1378="",$D$6=""),"",TRIM(INDEX($A:$AP,ROW(),$D$6)&amp;""))</f>
        <v/>
      </c>
      <c r="AY1378" s="31">
        <f>IF($AU1378="","",INDEX($AW$8:$AW$2007,MATCH($AU1378,$AU$8:$AU$2007,0)))</f>
        <v/>
      </c>
      <c r="AZ1378" s="31">
        <f>IF(OR($AS1378="",$C$6=""),"",TRIM(INDEX($A:$AP,ROW(),$C$6)&amp;""))</f>
        <v/>
      </c>
      <c r="BA1378" s="31">
        <f>IF($AZ1378="","",IF(COUNTIF($AZ$8:$AZ1378,$AZ1378)&gt;1,1,0))</f>
        <v/>
      </c>
    </row>
    <row r="1379">
      <c r="AR1379" s="31">
        <f>IF(OR($A$5="",$B$6="",ROW()&lt;$A$5),"",IF(INDEX($A:$AP,ROW(),$B$6)="","",INDEX($A:$AP,ROW(),$B$6)))</f>
        <v/>
      </c>
      <c r="AS1379" s="32">
        <f>IF($AR1379="","",IF(ISNUMBER($AR1379),IF($AR1379&gt;=10000000,IFERROR(DATE(INT($AR1379/10000),MOD(INT($AR1379/100),100),MOD($AR1379,100)),""),INT($AR1379)),IFERROR(DATE(--LEFT(LEFT(SUBSTITUTE(SUBSTITUTE(SUBSTITUTE(SUBSTITUTE(TRIM($AR1379),"-",""),".",""),"/","")," ",""),8),4),--MID(LEFT(SUBSTITUTE(SUBSTITUTE(SUBSTITUTE(SUBSTITUTE(TRIM($AR1379),"-",""),".",""),"/","")," ",""),8),5,2),--MID(LEFT(SUBSTITUTE(SUBSTITUTE(SUBSTITUTE(SUBSTITUTE(TRIM($AR1379),"-",""),".",""),"/","")," ",""),8),7,2)),"")))</f>
        <v/>
      </c>
      <c r="AT1379" s="33">
        <f>IF($AS1379="","",IF($F$6="",0,IF(ISNUMBER(INDEX($A:$AP,ROW(),$F$6)),INDEX($A:$AP,ROW(),$F$6),IFERROR(--SUBSTITUTE(SUBSTITUTE(TRIM(INDEX($A:$AP,ROW(),$F$6)),",",""),"원",""),0))))</f>
        <v/>
      </c>
      <c r="AU1379" s="31">
        <f>IF($AS1379="","",IF($AX1379&lt;&gt;"",SUBSTITUTE(SUBSTITUTE($AX1379,"-","")," ",""),"N:"&amp;$AV1379))</f>
        <v/>
      </c>
      <c r="AV1379" s="31">
        <f>IF(OR($AS1379="",$E$6=""),"",TRIM(INDEX($A:$AP,ROW(),$E$6)&amp;""))</f>
        <v/>
      </c>
      <c r="AW1379" s="31">
        <f>IF($AU1379="","",IF(MATCH($AU1379,$AU$8:$AU$2007,0)=ROW()-7,MAX($AW$7:$AW1378)+1,""))</f>
        <v/>
      </c>
      <c r="AX1379" s="31">
        <f>IF(OR($AS1379="",$D$6=""),"",TRIM(INDEX($A:$AP,ROW(),$D$6)&amp;""))</f>
        <v/>
      </c>
      <c r="AY1379" s="31">
        <f>IF($AU1379="","",INDEX($AW$8:$AW$2007,MATCH($AU1379,$AU$8:$AU$2007,0)))</f>
        <v/>
      </c>
      <c r="AZ1379" s="31">
        <f>IF(OR($AS1379="",$C$6=""),"",TRIM(INDEX($A:$AP,ROW(),$C$6)&amp;""))</f>
        <v/>
      </c>
      <c r="BA1379" s="31">
        <f>IF($AZ1379="","",IF(COUNTIF($AZ$8:$AZ1379,$AZ1379)&gt;1,1,0))</f>
        <v/>
      </c>
    </row>
    <row r="1380">
      <c r="AR1380" s="31">
        <f>IF(OR($A$5="",$B$6="",ROW()&lt;$A$5),"",IF(INDEX($A:$AP,ROW(),$B$6)="","",INDEX($A:$AP,ROW(),$B$6)))</f>
        <v/>
      </c>
      <c r="AS1380" s="32">
        <f>IF($AR1380="","",IF(ISNUMBER($AR1380),IF($AR1380&gt;=10000000,IFERROR(DATE(INT($AR1380/10000),MOD(INT($AR1380/100),100),MOD($AR1380,100)),""),INT($AR1380)),IFERROR(DATE(--LEFT(LEFT(SUBSTITUTE(SUBSTITUTE(SUBSTITUTE(SUBSTITUTE(TRIM($AR1380),"-",""),".",""),"/","")," ",""),8),4),--MID(LEFT(SUBSTITUTE(SUBSTITUTE(SUBSTITUTE(SUBSTITUTE(TRIM($AR1380),"-",""),".",""),"/","")," ",""),8),5,2),--MID(LEFT(SUBSTITUTE(SUBSTITUTE(SUBSTITUTE(SUBSTITUTE(TRIM($AR1380),"-",""),".",""),"/","")," ",""),8),7,2)),"")))</f>
        <v/>
      </c>
      <c r="AT1380" s="33">
        <f>IF($AS1380="","",IF($F$6="",0,IF(ISNUMBER(INDEX($A:$AP,ROW(),$F$6)),INDEX($A:$AP,ROW(),$F$6),IFERROR(--SUBSTITUTE(SUBSTITUTE(TRIM(INDEX($A:$AP,ROW(),$F$6)),",",""),"원",""),0))))</f>
        <v/>
      </c>
      <c r="AU1380" s="31">
        <f>IF($AS1380="","",IF($AX1380&lt;&gt;"",SUBSTITUTE(SUBSTITUTE($AX1380,"-","")," ",""),"N:"&amp;$AV1380))</f>
        <v/>
      </c>
      <c r="AV1380" s="31">
        <f>IF(OR($AS1380="",$E$6=""),"",TRIM(INDEX($A:$AP,ROW(),$E$6)&amp;""))</f>
        <v/>
      </c>
      <c r="AW1380" s="31">
        <f>IF($AU1380="","",IF(MATCH($AU1380,$AU$8:$AU$2007,0)=ROW()-7,MAX($AW$7:$AW1379)+1,""))</f>
        <v/>
      </c>
      <c r="AX1380" s="31">
        <f>IF(OR($AS1380="",$D$6=""),"",TRIM(INDEX($A:$AP,ROW(),$D$6)&amp;""))</f>
        <v/>
      </c>
      <c r="AY1380" s="31">
        <f>IF($AU1380="","",INDEX($AW$8:$AW$2007,MATCH($AU1380,$AU$8:$AU$2007,0)))</f>
        <v/>
      </c>
      <c r="AZ1380" s="31">
        <f>IF(OR($AS1380="",$C$6=""),"",TRIM(INDEX($A:$AP,ROW(),$C$6)&amp;""))</f>
        <v/>
      </c>
      <c r="BA1380" s="31">
        <f>IF($AZ1380="","",IF(COUNTIF($AZ$8:$AZ1380,$AZ1380)&gt;1,1,0))</f>
        <v/>
      </c>
    </row>
    <row r="1381">
      <c r="AR1381" s="31">
        <f>IF(OR($A$5="",$B$6="",ROW()&lt;$A$5),"",IF(INDEX($A:$AP,ROW(),$B$6)="","",INDEX($A:$AP,ROW(),$B$6)))</f>
        <v/>
      </c>
      <c r="AS1381" s="32">
        <f>IF($AR1381="","",IF(ISNUMBER($AR1381),IF($AR1381&gt;=10000000,IFERROR(DATE(INT($AR1381/10000),MOD(INT($AR1381/100),100),MOD($AR1381,100)),""),INT($AR1381)),IFERROR(DATE(--LEFT(LEFT(SUBSTITUTE(SUBSTITUTE(SUBSTITUTE(SUBSTITUTE(TRIM($AR1381),"-",""),".",""),"/","")," ",""),8),4),--MID(LEFT(SUBSTITUTE(SUBSTITUTE(SUBSTITUTE(SUBSTITUTE(TRIM($AR1381),"-",""),".",""),"/","")," ",""),8),5,2),--MID(LEFT(SUBSTITUTE(SUBSTITUTE(SUBSTITUTE(SUBSTITUTE(TRIM($AR1381),"-",""),".",""),"/","")," ",""),8),7,2)),"")))</f>
        <v/>
      </c>
      <c r="AT1381" s="33">
        <f>IF($AS1381="","",IF($F$6="",0,IF(ISNUMBER(INDEX($A:$AP,ROW(),$F$6)),INDEX($A:$AP,ROW(),$F$6),IFERROR(--SUBSTITUTE(SUBSTITUTE(TRIM(INDEX($A:$AP,ROW(),$F$6)),",",""),"원",""),0))))</f>
        <v/>
      </c>
      <c r="AU1381" s="31">
        <f>IF($AS1381="","",IF($AX1381&lt;&gt;"",SUBSTITUTE(SUBSTITUTE($AX1381,"-","")," ",""),"N:"&amp;$AV1381))</f>
        <v/>
      </c>
      <c r="AV1381" s="31">
        <f>IF(OR($AS1381="",$E$6=""),"",TRIM(INDEX($A:$AP,ROW(),$E$6)&amp;""))</f>
        <v/>
      </c>
      <c r="AW1381" s="31">
        <f>IF($AU1381="","",IF(MATCH($AU1381,$AU$8:$AU$2007,0)=ROW()-7,MAX($AW$7:$AW1380)+1,""))</f>
        <v/>
      </c>
      <c r="AX1381" s="31">
        <f>IF(OR($AS1381="",$D$6=""),"",TRIM(INDEX($A:$AP,ROW(),$D$6)&amp;""))</f>
        <v/>
      </c>
      <c r="AY1381" s="31">
        <f>IF($AU1381="","",INDEX($AW$8:$AW$2007,MATCH($AU1381,$AU$8:$AU$2007,0)))</f>
        <v/>
      </c>
      <c r="AZ1381" s="31">
        <f>IF(OR($AS1381="",$C$6=""),"",TRIM(INDEX($A:$AP,ROW(),$C$6)&amp;""))</f>
        <v/>
      </c>
      <c r="BA1381" s="31">
        <f>IF($AZ1381="","",IF(COUNTIF($AZ$8:$AZ1381,$AZ1381)&gt;1,1,0))</f>
        <v/>
      </c>
    </row>
    <row r="1382">
      <c r="AR1382" s="31">
        <f>IF(OR($A$5="",$B$6="",ROW()&lt;$A$5),"",IF(INDEX($A:$AP,ROW(),$B$6)="","",INDEX($A:$AP,ROW(),$B$6)))</f>
        <v/>
      </c>
      <c r="AS1382" s="32">
        <f>IF($AR1382="","",IF(ISNUMBER($AR1382),IF($AR1382&gt;=10000000,IFERROR(DATE(INT($AR1382/10000),MOD(INT($AR1382/100),100),MOD($AR1382,100)),""),INT($AR1382)),IFERROR(DATE(--LEFT(LEFT(SUBSTITUTE(SUBSTITUTE(SUBSTITUTE(SUBSTITUTE(TRIM($AR1382),"-",""),".",""),"/","")," ",""),8),4),--MID(LEFT(SUBSTITUTE(SUBSTITUTE(SUBSTITUTE(SUBSTITUTE(TRIM($AR1382),"-",""),".",""),"/","")," ",""),8),5,2),--MID(LEFT(SUBSTITUTE(SUBSTITUTE(SUBSTITUTE(SUBSTITUTE(TRIM($AR1382),"-",""),".",""),"/","")," ",""),8),7,2)),"")))</f>
        <v/>
      </c>
      <c r="AT1382" s="33">
        <f>IF($AS1382="","",IF($F$6="",0,IF(ISNUMBER(INDEX($A:$AP,ROW(),$F$6)),INDEX($A:$AP,ROW(),$F$6),IFERROR(--SUBSTITUTE(SUBSTITUTE(TRIM(INDEX($A:$AP,ROW(),$F$6)),",",""),"원",""),0))))</f>
        <v/>
      </c>
      <c r="AU1382" s="31">
        <f>IF($AS1382="","",IF($AX1382&lt;&gt;"",SUBSTITUTE(SUBSTITUTE($AX1382,"-","")," ",""),"N:"&amp;$AV1382))</f>
        <v/>
      </c>
      <c r="AV1382" s="31">
        <f>IF(OR($AS1382="",$E$6=""),"",TRIM(INDEX($A:$AP,ROW(),$E$6)&amp;""))</f>
        <v/>
      </c>
      <c r="AW1382" s="31">
        <f>IF($AU1382="","",IF(MATCH($AU1382,$AU$8:$AU$2007,0)=ROW()-7,MAX($AW$7:$AW1381)+1,""))</f>
        <v/>
      </c>
      <c r="AX1382" s="31">
        <f>IF(OR($AS1382="",$D$6=""),"",TRIM(INDEX($A:$AP,ROW(),$D$6)&amp;""))</f>
        <v/>
      </c>
      <c r="AY1382" s="31">
        <f>IF($AU1382="","",INDEX($AW$8:$AW$2007,MATCH($AU1382,$AU$8:$AU$2007,0)))</f>
        <v/>
      </c>
      <c r="AZ1382" s="31">
        <f>IF(OR($AS1382="",$C$6=""),"",TRIM(INDEX($A:$AP,ROW(),$C$6)&amp;""))</f>
        <v/>
      </c>
      <c r="BA1382" s="31">
        <f>IF($AZ1382="","",IF(COUNTIF($AZ$8:$AZ1382,$AZ1382)&gt;1,1,0))</f>
        <v/>
      </c>
    </row>
    <row r="1383">
      <c r="AR1383" s="31">
        <f>IF(OR($A$5="",$B$6="",ROW()&lt;$A$5),"",IF(INDEX($A:$AP,ROW(),$B$6)="","",INDEX($A:$AP,ROW(),$B$6)))</f>
        <v/>
      </c>
      <c r="AS1383" s="32">
        <f>IF($AR1383="","",IF(ISNUMBER($AR1383),IF($AR1383&gt;=10000000,IFERROR(DATE(INT($AR1383/10000),MOD(INT($AR1383/100),100),MOD($AR1383,100)),""),INT($AR1383)),IFERROR(DATE(--LEFT(LEFT(SUBSTITUTE(SUBSTITUTE(SUBSTITUTE(SUBSTITUTE(TRIM($AR1383),"-",""),".",""),"/","")," ",""),8),4),--MID(LEFT(SUBSTITUTE(SUBSTITUTE(SUBSTITUTE(SUBSTITUTE(TRIM($AR1383),"-",""),".",""),"/","")," ",""),8),5,2),--MID(LEFT(SUBSTITUTE(SUBSTITUTE(SUBSTITUTE(SUBSTITUTE(TRIM($AR1383),"-",""),".",""),"/","")," ",""),8),7,2)),"")))</f>
        <v/>
      </c>
      <c r="AT1383" s="33">
        <f>IF($AS1383="","",IF($F$6="",0,IF(ISNUMBER(INDEX($A:$AP,ROW(),$F$6)),INDEX($A:$AP,ROW(),$F$6),IFERROR(--SUBSTITUTE(SUBSTITUTE(TRIM(INDEX($A:$AP,ROW(),$F$6)),",",""),"원",""),0))))</f>
        <v/>
      </c>
      <c r="AU1383" s="31">
        <f>IF($AS1383="","",IF($AX1383&lt;&gt;"",SUBSTITUTE(SUBSTITUTE($AX1383,"-","")," ",""),"N:"&amp;$AV1383))</f>
        <v/>
      </c>
      <c r="AV1383" s="31">
        <f>IF(OR($AS1383="",$E$6=""),"",TRIM(INDEX($A:$AP,ROW(),$E$6)&amp;""))</f>
        <v/>
      </c>
      <c r="AW1383" s="31">
        <f>IF($AU1383="","",IF(MATCH($AU1383,$AU$8:$AU$2007,0)=ROW()-7,MAX($AW$7:$AW1382)+1,""))</f>
        <v/>
      </c>
      <c r="AX1383" s="31">
        <f>IF(OR($AS1383="",$D$6=""),"",TRIM(INDEX($A:$AP,ROW(),$D$6)&amp;""))</f>
        <v/>
      </c>
      <c r="AY1383" s="31">
        <f>IF($AU1383="","",INDEX($AW$8:$AW$2007,MATCH($AU1383,$AU$8:$AU$2007,0)))</f>
        <v/>
      </c>
      <c r="AZ1383" s="31">
        <f>IF(OR($AS1383="",$C$6=""),"",TRIM(INDEX($A:$AP,ROW(),$C$6)&amp;""))</f>
        <v/>
      </c>
      <c r="BA1383" s="31">
        <f>IF($AZ1383="","",IF(COUNTIF($AZ$8:$AZ1383,$AZ1383)&gt;1,1,0))</f>
        <v/>
      </c>
    </row>
    <row r="1384">
      <c r="AR1384" s="31">
        <f>IF(OR($A$5="",$B$6="",ROW()&lt;$A$5),"",IF(INDEX($A:$AP,ROW(),$B$6)="","",INDEX($A:$AP,ROW(),$B$6)))</f>
        <v/>
      </c>
      <c r="AS1384" s="32">
        <f>IF($AR1384="","",IF(ISNUMBER($AR1384),IF($AR1384&gt;=10000000,IFERROR(DATE(INT($AR1384/10000),MOD(INT($AR1384/100),100),MOD($AR1384,100)),""),INT($AR1384)),IFERROR(DATE(--LEFT(LEFT(SUBSTITUTE(SUBSTITUTE(SUBSTITUTE(SUBSTITUTE(TRIM($AR1384),"-",""),".",""),"/","")," ",""),8),4),--MID(LEFT(SUBSTITUTE(SUBSTITUTE(SUBSTITUTE(SUBSTITUTE(TRIM($AR1384),"-",""),".",""),"/","")," ",""),8),5,2),--MID(LEFT(SUBSTITUTE(SUBSTITUTE(SUBSTITUTE(SUBSTITUTE(TRIM($AR1384),"-",""),".",""),"/","")," ",""),8),7,2)),"")))</f>
        <v/>
      </c>
      <c r="AT1384" s="33">
        <f>IF($AS1384="","",IF($F$6="",0,IF(ISNUMBER(INDEX($A:$AP,ROW(),$F$6)),INDEX($A:$AP,ROW(),$F$6),IFERROR(--SUBSTITUTE(SUBSTITUTE(TRIM(INDEX($A:$AP,ROW(),$F$6)),",",""),"원",""),0))))</f>
        <v/>
      </c>
      <c r="AU1384" s="31">
        <f>IF($AS1384="","",IF($AX1384&lt;&gt;"",SUBSTITUTE(SUBSTITUTE($AX1384,"-","")," ",""),"N:"&amp;$AV1384))</f>
        <v/>
      </c>
      <c r="AV1384" s="31">
        <f>IF(OR($AS1384="",$E$6=""),"",TRIM(INDEX($A:$AP,ROW(),$E$6)&amp;""))</f>
        <v/>
      </c>
      <c r="AW1384" s="31">
        <f>IF($AU1384="","",IF(MATCH($AU1384,$AU$8:$AU$2007,0)=ROW()-7,MAX($AW$7:$AW1383)+1,""))</f>
        <v/>
      </c>
      <c r="AX1384" s="31">
        <f>IF(OR($AS1384="",$D$6=""),"",TRIM(INDEX($A:$AP,ROW(),$D$6)&amp;""))</f>
        <v/>
      </c>
      <c r="AY1384" s="31">
        <f>IF($AU1384="","",INDEX($AW$8:$AW$2007,MATCH($AU1384,$AU$8:$AU$2007,0)))</f>
        <v/>
      </c>
      <c r="AZ1384" s="31">
        <f>IF(OR($AS1384="",$C$6=""),"",TRIM(INDEX($A:$AP,ROW(),$C$6)&amp;""))</f>
        <v/>
      </c>
      <c r="BA1384" s="31">
        <f>IF($AZ1384="","",IF(COUNTIF($AZ$8:$AZ1384,$AZ1384)&gt;1,1,0))</f>
        <v/>
      </c>
    </row>
    <row r="1385">
      <c r="AR1385" s="31">
        <f>IF(OR($A$5="",$B$6="",ROW()&lt;$A$5),"",IF(INDEX($A:$AP,ROW(),$B$6)="","",INDEX($A:$AP,ROW(),$B$6)))</f>
        <v/>
      </c>
      <c r="AS1385" s="32">
        <f>IF($AR1385="","",IF(ISNUMBER($AR1385),IF($AR1385&gt;=10000000,IFERROR(DATE(INT($AR1385/10000),MOD(INT($AR1385/100),100),MOD($AR1385,100)),""),INT($AR1385)),IFERROR(DATE(--LEFT(LEFT(SUBSTITUTE(SUBSTITUTE(SUBSTITUTE(SUBSTITUTE(TRIM($AR1385),"-",""),".",""),"/","")," ",""),8),4),--MID(LEFT(SUBSTITUTE(SUBSTITUTE(SUBSTITUTE(SUBSTITUTE(TRIM($AR1385),"-",""),".",""),"/","")," ",""),8),5,2),--MID(LEFT(SUBSTITUTE(SUBSTITUTE(SUBSTITUTE(SUBSTITUTE(TRIM($AR1385),"-",""),".",""),"/","")," ",""),8),7,2)),"")))</f>
        <v/>
      </c>
      <c r="AT1385" s="33">
        <f>IF($AS1385="","",IF($F$6="",0,IF(ISNUMBER(INDEX($A:$AP,ROW(),$F$6)),INDEX($A:$AP,ROW(),$F$6),IFERROR(--SUBSTITUTE(SUBSTITUTE(TRIM(INDEX($A:$AP,ROW(),$F$6)),",",""),"원",""),0))))</f>
        <v/>
      </c>
      <c r="AU1385" s="31">
        <f>IF($AS1385="","",IF($AX1385&lt;&gt;"",SUBSTITUTE(SUBSTITUTE($AX1385,"-","")," ",""),"N:"&amp;$AV1385))</f>
        <v/>
      </c>
      <c r="AV1385" s="31">
        <f>IF(OR($AS1385="",$E$6=""),"",TRIM(INDEX($A:$AP,ROW(),$E$6)&amp;""))</f>
        <v/>
      </c>
      <c r="AW1385" s="31">
        <f>IF($AU1385="","",IF(MATCH($AU1385,$AU$8:$AU$2007,0)=ROW()-7,MAX($AW$7:$AW1384)+1,""))</f>
        <v/>
      </c>
      <c r="AX1385" s="31">
        <f>IF(OR($AS1385="",$D$6=""),"",TRIM(INDEX($A:$AP,ROW(),$D$6)&amp;""))</f>
        <v/>
      </c>
      <c r="AY1385" s="31">
        <f>IF($AU1385="","",INDEX($AW$8:$AW$2007,MATCH($AU1385,$AU$8:$AU$2007,0)))</f>
        <v/>
      </c>
      <c r="AZ1385" s="31">
        <f>IF(OR($AS1385="",$C$6=""),"",TRIM(INDEX($A:$AP,ROW(),$C$6)&amp;""))</f>
        <v/>
      </c>
      <c r="BA1385" s="31">
        <f>IF($AZ1385="","",IF(COUNTIF($AZ$8:$AZ1385,$AZ1385)&gt;1,1,0))</f>
        <v/>
      </c>
    </row>
    <row r="1386">
      <c r="AR1386" s="31">
        <f>IF(OR($A$5="",$B$6="",ROW()&lt;$A$5),"",IF(INDEX($A:$AP,ROW(),$B$6)="","",INDEX($A:$AP,ROW(),$B$6)))</f>
        <v/>
      </c>
      <c r="AS1386" s="32">
        <f>IF($AR1386="","",IF(ISNUMBER($AR1386),IF($AR1386&gt;=10000000,IFERROR(DATE(INT($AR1386/10000),MOD(INT($AR1386/100),100),MOD($AR1386,100)),""),INT($AR1386)),IFERROR(DATE(--LEFT(LEFT(SUBSTITUTE(SUBSTITUTE(SUBSTITUTE(SUBSTITUTE(TRIM($AR1386),"-",""),".",""),"/","")," ",""),8),4),--MID(LEFT(SUBSTITUTE(SUBSTITUTE(SUBSTITUTE(SUBSTITUTE(TRIM($AR1386),"-",""),".",""),"/","")," ",""),8),5,2),--MID(LEFT(SUBSTITUTE(SUBSTITUTE(SUBSTITUTE(SUBSTITUTE(TRIM($AR1386),"-",""),".",""),"/","")," ",""),8),7,2)),"")))</f>
        <v/>
      </c>
      <c r="AT1386" s="33">
        <f>IF($AS1386="","",IF($F$6="",0,IF(ISNUMBER(INDEX($A:$AP,ROW(),$F$6)),INDEX($A:$AP,ROW(),$F$6),IFERROR(--SUBSTITUTE(SUBSTITUTE(TRIM(INDEX($A:$AP,ROW(),$F$6)),",",""),"원",""),0))))</f>
        <v/>
      </c>
      <c r="AU1386" s="31">
        <f>IF($AS1386="","",IF($AX1386&lt;&gt;"",SUBSTITUTE(SUBSTITUTE($AX1386,"-","")," ",""),"N:"&amp;$AV1386))</f>
        <v/>
      </c>
      <c r="AV1386" s="31">
        <f>IF(OR($AS1386="",$E$6=""),"",TRIM(INDEX($A:$AP,ROW(),$E$6)&amp;""))</f>
        <v/>
      </c>
      <c r="AW1386" s="31">
        <f>IF($AU1386="","",IF(MATCH($AU1386,$AU$8:$AU$2007,0)=ROW()-7,MAX($AW$7:$AW1385)+1,""))</f>
        <v/>
      </c>
      <c r="AX1386" s="31">
        <f>IF(OR($AS1386="",$D$6=""),"",TRIM(INDEX($A:$AP,ROW(),$D$6)&amp;""))</f>
        <v/>
      </c>
      <c r="AY1386" s="31">
        <f>IF($AU1386="","",INDEX($AW$8:$AW$2007,MATCH($AU1386,$AU$8:$AU$2007,0)))</f>
        <v/>
      </c>
      <c r="AZ1386" s="31">
        <f>IF(OR($AS1386="",$C$6=""),"",TRIM(INDEX($A:$AP,ROW(),$C$6)&amp;""))</f>
        <v/>
      </c>
      <c r="BA1386" s="31">
        <f>IF($AZ1386="","",IF(COUNTIF($AZ$8:$AZ1386,$AZ1386)&gt;1,1,0))</f>
        <v/>
      </c>
    </row>
    <row r="1387">
      <c r="AR1387" s="31">
        <f>IF(OR($A$5="",$B$6="",ROW()&lt;$A$5),"",IF(INDEX($A:$AP,ROW(),$B$6)="","",INDEX($A:$AP,ROW(),$B$6)))</f>
        <v/>
      </c>
      <c r="AS1387" s="32">
        <f>IF($AR1387="","",IF(ISNUMBER($AR1387),IF($AR1387&gt;=10000000,IFERROR(DATE(INT($AR1387/10000),MOD(INT($AR1387/100),100),MOD($AR1387,100)),""),INT($AR1387)),IFERROR(DATE(--LEFT(LEFT(SUBSTITUTE(SUBSTITUTE(SUBSTITUTE(SUBSTITUTE(TRIM($AR1387),"-",""),".",""),"/","")," ",""),8),4),--MID(LEFT(SUBSTITUTE(SUBSTITUTE(SUBSTITUTE(SUBSTITUTE(TRIM($AR1387),"-",""),".",""),"/","")," ",""),8),5,2),--MID(LEFT(SUBSTITUTE(SUBSTITUTE(SUBSTITUTE(SUBSTITUTE(TRIM($AR1387),"-",""),".",""),"/","")," ",""),8),7,2)),"")))</f>
        <v/>
      </c>
      <c r="AT1387" s="33">
        <f>IF($AS1387="","",IF($F$6="",0,IF(ISNUMBER(INDEX($A:$AP,ROW(),$F$6)),INDEX($A:$AP,ROW(),$F$6),IFERROR(--SUBSTITUTE(SUBSTITUTE(TRIM(INDEX($A:$AP,ROW(),$F$6)),",",""),"원",""),0))))</f>
        <v/>
      </c>
      <c r="AU1387" s="31">
        <f>IF($AS1387="","",IF($AX1387&lt;&gt;"",SUBSTITUTE(SUBSTITUTE($AX1387,"-","")," ",""),"N:"&amp;$AV1387))</f>
        <v/>
      </c>
      <c r="AV1387" s="31">
        <f>IF(OR($AS1387="",$E$6=""),"",TRIM(INDEX($A:$AP,ROW(),$E$6)&amp;""))</f>
        <v/>
      </c>
      <c r="AW1387" s="31">
        <f>IF($AU1387="","",IF(MATCH($AU1387,$AU$8:$AU$2007,0)=ROW()-7,MAX($AW$7:$AW1386)+1,""))</f>
        <v/>
      </c>
      <c r="AX1387" s="31">
        <f>IF(OR($AS1387="",$D$6=""),"",TRIM(INDEX($A:$AP,ROW(),$D$6)&amp;""))</f>
        <v/>
      </c>
      <c r="AY1387" s="31">
        <f>IF($AU1387="","",INDEX($AW$8:$AW$2007,MATCH($AU1387,$AU$8:$AU$2007,0)))</f>
        <v/>
      </c>
      <c r="AZ1387" s="31">
        <f>IF(OR($AS1387="",$C$6=""),"",TRIM(INDEX($A:$AP,ROW(),$C$6)&amp;""))</f>
        <v/>
      </c>
      <c r="BA1387" s="31">
        <f>IF($AZ1387="","",IF(COUNTIF($AZ$8:$AZ1387,$AZ1387)&gt;1,1,0))</f>
        <v/>
      </c>
    </row>
    <row r="1388">
      <c r="AR1388" s="31">
        <f>IF(OR($A$5="",$B$6="",ROW()&lt;$A$5),"",IF(INDEX($A:$AP,ROW(),$B$6)="","",INDEX($A:$AP,ROW(),$B$6)))</f>
        <v/>
      </c>
      <c r="AS1388" s="32">
        <f>IF($AR1388="","",IF(ISNUMBER($AR1388),IF($AR1388&gt;=10000000,IFERROR(DATE(INT($AR1388/10000),MOD(INT($AR1388/100),100),MOD($AR1388,100)),""),INT($AR1388)),IFERROR(DATE(--LEFT(LEFT(SUBSTITUTE(SUBSTITUTE(SUBSTITUTE(SUBSTITUTE(TRIM($AR1388),"-",""),".",""),"/","")," ",""),8),4),--MID(LEFT(SUBSTITUTE(SUBSTITUTE(SUBSTITUTE(SUBSTITUTE(TRIM($AR1388),"-",""),".",""),"/","")," ",""),8),5,2),--MID(LEFT(SUBSTITUTE(SUBSTITUTE(SUBSTITUTE(SUBSTITUTE(TRIM($AR1388),"-",""),".",""),"/","")," ",""),8),7,2)),"")))</f>
        <v/>
      </c>
      <c r="AT1388" s="33">
        <f>IF($AS1388="","",IF($F$6="",0,IF(ISNUMBER(INDEX($A:$AP,ROW(),$F$6)),INDEX($A:$AP,ROW(),$F$6),IFERROR(--SUBSTITUTE(SUBSTITUTE(TRIM(INDEX($A:$AP,ROW(),$F$6)),",",""),"원",""),0))))</f>
        <v/>
      </c>
      <c r="AU1388" s="31">
        <f>IF($AS1388="","",IF($AX1388&lt;&gt;"",SUBSTITUTE(SUBSTITUTE($AX1388,"-","")," ",""),"N:"&amp;$AV1388))</f>
        <v/>
      </c>
      <c r="AV1388" s="31">
        <f>IF(OR($AS1388="",$E$6=""),"",TRIM(INDEX($A:$AP,ROW(),$E$6)&amp;""))</f>
        <v/>
      </c>
      <c r="AW1388" s="31">
        <f>IF($AU1388="","",IF(MATCH($AU1388,$AU$8:$AU$2007,0)=ROW()-7,MAX($AW$7:$AW1387)+1,""))</f>
        <v/>
      </c>
      <c r="AX1388" s="31">
        <f>IF(OR($AS1388="",$D$6=""),"",TRIM(INDEX($A:$AP,ROW(),$D$6)&amp;""))</f>
        <v/>
      </c>
      <c r="AY1388" s="31">
        <f>IF($AU1388="","",INDEX($AW$8:$AW$2007,MATCH($AU1388,$AU$8:$AU$2007,0)))</f>
        <v/>
      </c>
      <c r="AZ1388" s="31">
        <f>IF(OR($AS1388="",$C$6=""),"",TRIM(INDEX($A:$AP,ROW(),$C$6)&amp;""))</f>
        <v/>
      </c>
      <c r="BA1388" s="31">
        <f>IF($AZ1388="","",IF(COUNTIF($AZ$8:$AZ1388,$AZ1388)&gt;1,1,0))</f>
        <v/>
      </c>
    </row>
    <row r="1389">
      <c r="AR1389" s="31">
        <f>IF(OR($A$5="",$B$6="",ROW()&lt;$A$5),"",IF(INDEX($A:$AP,ROW(),$B$6)="","",INDEX($A:$AP,ROW(),$B$6)))</f>
        <v/>
      </c>
      <c r="AS1389" s="32">
        <f>IF($AR1389="","",IF(ISNUMBER($AR1389),IF($AR1389&gt;=10000000,IFERROR(DATE(INT($AR1389/10000),MOD(INT($AR1389/100),100),MOD($AR1389,100)),""),INT($AR1389)),IFERROR(DATE(--LEFT(LEFT(SUBSTITUTE(SUBSTITUTE(SUBSTITUTE(SUBSTITUTE(TRIM($AR1389),"-",""),".",""),"/","")," ",""),8),4),--MID(LEFT(SUBSTITUTE(SUBSTITUTE(SUBSTITUTE(SUBSTITUTE(TRIM($AR1389),"-",""),".",""),"/","")," ",""),8),5,2),--MID(LEFT(SUBSTITUTE(SUBSTITUTE(SUBSTITUTE(SUBSTITUTE(TRIM($AR1389),"-",""),".",""),"/","")," ",""),8),7,2)),"")))</f>
        <v/>
      </c>
      <c r="AT1389" s="33">
        <f>IF($AS1389="","",IF($F$6="",0,IF(ISNUMBER(INDEX($A:$AP,ROW(),$F$6)),INDEX($A:$AP,ROW(),$F$6),IFERROR(--SUBSTITUTE(SUBSTITUTE(TRIM(INDEX($A:$AP,ROW(),$F$6)),",",""),"원",""),0))))</f>
        <v/>
      </c>
      <c r="AU1389" s="31">
        <f>IF($AS1389="","",IF($AX1389&lt;&gt;"",SUBSTITUTE(SUBSTITUTE($AX1389,"-","")," ",""),"N:"&amp;$AV1389))</f>
        <v/>
      </c>
      <c r="AV1389" s="31">
        <f>IF(OR($AS1389="",$E$6=""),"",TRIM(INDEX($A:$AP,ROW(),$E$6)&amp;""))</f>
        <v/>
      </c>
      <c r="AW1389" s="31">
        <f>IF($AU1389="","",IF(MATCH($AU1389,$AU$8:$AU$2007,0)=ROW()-7,MAX($AW$7:$AW1388)+1,""))</f>
        <v/>
      </c>
      <c r="AX1389" s="31">
        <f>IF(OR($AS1389="",$D$6=""),"",TRIM(INDEX($A:$AP,ROW(),$D$6)&amp;""))</f>
        <v/>
      </c>
      <c r="AY1389" s="31">
        <f>IF($AU1389="","",INDEX($AW$8:$AW$2007,MATCH($AU1389,$AU$8:$AU$2007,0)))</f>
        <v/>
      </c>
      <c r="AZ1389" s="31">
        <f>IF(OR($AS1389="",$C$6=""),"",TRIM(INDEX($A:$AP,ROW(),$C$6)&amp;""))</f>
        <v/>
      </c>
      <c r="BA1389" s="31">
        <f>IF($AZ1389="","",IF(COUNTIF($AZ$8:$AZ1389,$AZ1389)&gt;1,1,0))</f>
        <v/>
      </c>
    </row>
    <row r="1390">
      <c r="AR1390" s="31">
        <f>IF(OR($A$5="",$B$6="",ROW()&lt;$A$5),"",IF(INDEX($A:$AP,ROW(),$B$6)="","",INDEX($A:$AP,ROW(),$B$6)))</f>
        <v/>
      </c>
      <c r="AS1390" s="32">
        <f>IF($AR1390="","",IF(ISNUMBER($AR1390),IF($AR1390&gt;=10000000,IFERROR(DATE(INT($AR1390/10000),MOD(INT($AR1390/100),100),MOD($AR1390,100)),""),INT($AR1390)),IFERROR(DATE(--LEFT(LEFT(SUBSTITUTE(SUBSTITUTE(SUBSTITUTE(SUBSTITUTE(TRIM($AR1390),"-",""),".",""),"/","")," ",""),8),4),--MID(LEFT(SUBSTITUTE(SUBSTITUTE(SUBSTITUTE(SUBSTITUTE(TRIM($AR1390),"-",""),".",""),"/","")," ",""),8),5,2),--MID(LEFT(SUBSTITUTE(SUBSTITUTE(SUBSTITUTE(SUBSTITUTE(TRIM($AR1390),"-",""),".",""),"/","")," ",""),8),7,2)),"")))</f>
        <v/>
      </c>
      <c r="AT1390" s="33">
        <f>IF($AS1390="","",IF($F$6="",0,IF(ISNUMBER(INDEX($A:$AP,ROW(),$F$6)),INDEX($A:$AP,ROW(),$F$6),IFERROR(--SUBSTITUTE(SUBSTITUTE(TRIM(INDEX($A:$AP,ROW(),$F$6)),",",""),"원",""),0))))</f>
        <v/>
      </c>
      <c r="AU1390" s="31">
        <f>IF($AS1390="","",IF($AX1390&lt;&gt;"",SUBSTITUTE(SUBSTITUTE($AX1390,"-","")," ",""),"N:"&amp;$AV1390))</f>
        <v/>
      </c>
      <c r="AV1390" s="31">
        <f>IF(OR($AS1390="",$E$6=""),"",TRIM(INDEX($A:$AP,ROW(),$E$6)&amp;""))</f>
        <v/>
      </c>
      <c r="AW1390" s="31">
        <f>IF($AU1390="","",IF(MATCH($AU1390,$AU$8:$AU$2007,0)=ROW()-7,MAX($AW$7:$AW1389)+1,""))</f>
        <v/>
      </c>
      <c r="AX1390" s="31">
        <f>IF(OR($AS1390="",$D$6=""),"",TRIM(INDEX($A:$AP,ROW(),$D$6)&amp;""))</f>
        <v/>
      </c>
      <c r="AY1390" s="31">
        <f>IF($AU1390="","",INDEX($AW$8:$AW$2007,MATCH($AU1390,$AU$8:$AU$2007,0)))</f>
        <v/>
      </c>
      <c r="AZ1390" s="31">
        <f>IF(OR($AS1390="",$C$6=""),"",TRIM(INDEX($A:$AP,ROW(),$C$6)&amp;""))</f>
        <v/>
      </c>
      <c r="BA1390" s="31">
        <f>IF($AZ1390="","",IF(COUNTIF($AZ$8:$AZ1390,$AZ1390)&gt;1,1,0))</f>
        <v/>
      </c>
    </row>
    <row r="1391">
      <c r="AR1391" s="31">
        <f>IF(OR($A$5="",$B$6="",ROW()&lt;$A$5),"",IF(INDEX($A:$AP,ROW(),$B$6)="","",INDEX($A:$AP,ROW(),$B$6)))</f>
        <v/>
      </c>
      <c r="AS1391" s="32">
        <f>IF($AR1391="","",IF(ISNUMBER($AR1391),IF($AR1391&gt;=10000000,IFERROR(DATE(INT($AR1391/10000),MOD(INT($AR1391/100),100),MOD($AR1391,100)),""),INT($AR1391)),IFERROR(DATE(--LEFT(LEFT(SUBSTITUTE(SUBSTITUTE(SUBSTITUTE(SUBSTITUTE(TRIM($AR1391),"-",""),".",""),"/","")," ",""),8),4),--MID(LEFT(SUBSTITUTE(SUBSTITUTE(SUBSTITUTE(SUBSTITUTE(TRIM($AR1391),"-",""),".",""),"/","")," ",""),8),5,2),--MID(LEFT(SUBSTITUTE(SUBSTITUTE(SUBSTITUTE(SUBSTITUTE(TRIM($AR1391),"-",""),".",""),"/","")," ",""),8),7,2)),"")))</f>
        <v/>
      </c>
      <c r="AT1391" s="33">
        <f>IF($AS1391="","",IF($F$6="",0,IF(ISNUMBER(INDEX($A:$AP,ROW(),$F$6)),INDEX($A:$AP,ROW(),$F$6),IFERROR(--SUBSTITUTE(SUBSTITUTE(TRIM(INDEX($A:$AP,ROW(),$F$6)),",",""),"원",""),0))))</f>
        <v/>
      </c>
      <c r="AU1391" s="31">
        <f>IF($AS1391="","",IF($AX1391&lt;&gt;"",SUBSTITUTE(SUBSTITUTE($AX1391,"-","")," ",""),"N:"&amp;$AV1391))</f>
        <v/>
      </c>
      <c r="AV1391" s="31">
        <f>IF(OR($AS1391="",$E$6=""),"",TRIM(INDEX($A:$AP,ROW(),$E$6)&amp;""))</f>
        <v/>
      </c>
      <c r="AW1391" s="31">
        <f>IF($AU1391="","",IF(MATCH($AU1391,$AU$8:$AU$2007,0)=ROW()-7,MAX($AW$7:$AW1390)+1,""))</f>
        <v/>
      </c>
      <c r="AX1391" s="31">
        <f>IF(OR($AS1391="",$D$6=""),"",TRIM(INDEX($A:$AP,ROW(),$D$6)&amp;""))</f>
        <v/>
      </c>
      <c r="AY1391" s="31">
        <f>IF($AU1391="","",INDEX($AW$8:$AW$2007,MATCH($AU1391,$AU$8:$AU$2007,0)))</f>
        <v/>
      </c>
      <c r="AZ1391" s="31">
        <f>IF(OR($AS1391="",$C$6=""),"",TRIM(INDEX($A:$AP,ROW(),$C$6)&amp;""))</f>
        <v/>
      </c>
      <c r="BA1391" s="31">
        <f>IF($AZ1391="","",IF(COUNTIF($AZ$8:$AZ1391,$AZ1391)&gt;1,1,0))</f>
        <v/>
      </c>
    </row>
    <row r="1392">
      <c r="AR1392" s="31">
        <f>IF(OR($A$5="",$B$6="",ROW()&lt;$A$5),"",IF(INDEX($A:$AP,ROW(),$B$6)="","",INDEX($A:$AP,ROW(),$B$6)))</f>
        <v/>
      </c>
      <c r="AS1392" s="32">
        <f>IF($AR1392="","",IF(ISNUMBER($AR1392),IF($AR1392&gt;=10000000,IFERROR(DATE(INT($AR1392/10000),MOD(INT($AR1392/100),100),MOD($AR1392,100)),""),INT($AR1392)),IFERROR(DATE(--LEFT(LEFT(SUBSTITUTE(SUBSTITUTE(SUBSTITUTE(SUBSTITUTE(TRIM($AR1392),"-",""),".",""),"/","")," ",""),8),4),--MID(LEFT(SUBSTITUTE(SUBSTITUTE(SUBSTITUTE(SUBSTITUTE(TRIM($AR1392),"-",""),".",""),"/","")," ",""),8),5,2),--MID(LEFT(SUBSTITUTE(SUBSTITUTE(SUBSTITUTE(SUBSTITUTE(TRIM($AR1392),"-",""),".",""),"/","")," ",""),8),7,2)),"")))</f>
        <v/>
      </c>
      <c r="AT1392" s="33">
        <f>IF($AS1392="","",IF($F$6="",0,IF(ISNUMBER(INDEX($A:$AP,ROW(),$F$6)),INDEX($A:$AP,ROW(),$F$6),IFERROR(--SUBSTITUTE(SUBSTITUTE(TRIM(INDEX($A:$AP,ROW(),$F$6)),",",""),"원",""),0))))</f>
        <v/>
      </c>
      <c r="AU1392" s="31">
        <f>IF($AS1392="","",IF($AX1392&lt;&gt;"",SUBSTITUTE(SUBSTITUTE($AX1392,"-","")," ",""),"N:"&amp;$AV1392))</f>
        <v/>
      </c>
      <c r="AV1392" s="31">
        <f>IF(OR($AS1392="",$E$6=""),"",TRIM(INDEX($A:$AP,ROW(),$E$6)&amp;""))</f>
        <v/>
      </c>
      <c r="AW1392" s="31">
        <f>IF($AU1392="","",IF(MATCH($AU1392,$AU$8:$AU$2007,0)=ROW()-7,MAX($AW$7:$AW1391)+1,""))</f>
        <v/>
      </c>
      <c r="AX1392" s="31">
        <f>IF(OR($AS1392="",$D$6=""),"",TRIM(INDEX($A:$AP,ROW(),$D$6)&amp;""))</f>
        <v/>
      </c>
      <c r="AY1392" s="31">
        <f>IF($AU1392="","",INDEX($AW$8:$AW$2007,MATCH($AU1392,$AU$8:$AU$2007,0)))</f>
        <v/>
      </c>
      <c r="AZ1392" s="31">
        <f>IF(OR($AS1392="",$C$6=""),"",TRIM(INDEX($A:$AP,ROW(),$C$6)&amp;""))</f>
        <v/>
      </c>
      <c r="BA1392" s="31">
        <f>IF($AZ1392="","",IF(COUNTIF($AZ$8:$AZ1392,$AZ1392)&gt;1,1,0))</f>
        <v/>
      </c>
    </row>
    <row r="1393">
      <c r="AR1393" s="31">
        <f>IF(OR($A$5="",$B$6="",ROW()&lt;$A$5),"",IF(INDEX($A:$AP,ROW(),$B$6)="","",INDEX($A:$AP,ROW(),$B$6)))</f>
        <v/>
      </c>
      <c r="AS1393" s="32">
        <f>IF($AR1393="","",IF(ISNUMBER($AR1393),IF($AR1393&gt;=10000000,IFERROR(DATE(INT($AR1393/10000),MOD(INT($AR1393/100),100),MOD($AR1393,100)),""),INT($AR1393)),IFERROR(DATE(--LEFT(LEFT(SUBSTITUTE(SUBSTITUTE(SUBSTITUTE(SUBSTITUTE(TRIM($AR1393),"-",""),".",""),"/","")," ",""),8),4),--MID(LEFT(SUBSTITUTE(SUBSTITUTE(SUBSTITUTE(SUBSTITUTE(TRIM($AR1393),"-",""),".",""),"/","")," ",""),8),5,2),--MID(LEFT(SUBSTITUTE(SUBSTITUTE(SUBSTITUTE(SUBSTITUTE(TRIM($AR1393),"-",""),".",""),"/","")," ",""),8),7,2)),"")))</f>
        <v/>
      </c>
      <c r="AT1393" s="33">
        <f>IF($AS1393="","",IF($F$6="",0,IF(ISNUMBER(INDEX($A:$AP,ROW(),$F$6)),INDEX($A:$AP,ROW(),$F$6),IFERROR(--SUBSTITUTE(SUBSTITUTE(TRIM(INDEX($A:$AP,ROW(),$F$6)),",",""),"원",""),0))))</f>
        <v/>
      </c>
      <c r="AU1393" s="31">
        <f>IF($AS1393="","",IF($AX1393&lt;&gt;"",SUBSTITUTE(SUBSTITUTE($AX1393,"-","")," ",""),"N:"&amp;$AV1393))</f>
        <v/>
      </c>
      <c r="AV1393" s="31">
        <f>IF(OR($AS1393="",$E$6=""),"",TRIM(INDEX($A:$AP,ROW(),$E$6)&amp;""))</f>
        <v/>
      </c>
      <c r="AW1393" s="31">
        <f>IF($AU1393="","",IF(MATCH($AU1393,$AU$8:$AU$2007,0)=ROW()-7,MAX($AW$7:$AW1392)+1,""))</f>
        <v/>
      </c>
      <c r="AX1393" s="31">
        <f>IF(OR($AS1393="",$D$6=""),"",TRIM(INDEX($A:$AP,ROW(),$D$6)&amp;""))</f>
        <v/>
      </c>
      <c r="AY1393" s="31">
        <f>IF($AU1393="","",INDEX($AW$8:$AW$2007,MATCH($AU1393,$AU$8:$AU$2007,0)))</f>
        <v/>
      </c>
      <c r="AZ1393" s="31">
        <f>IF(OR($AS1393="",$C$6=""),"",TRIM(INDEX($A:$AP,ROW(),$C$6)&amp;""))</f>
        <v/>
      </c>
      <c r="BA1393" s="31">
        <f>IF($AZ1393="","",IF(COUNTIF($AZ$8:$AZ1393,$AZ1393)&gt;1,1,0))</f>
        <v/>
      </c>
    </row>
    <row r="1394">
      <c r="AR1394" s="31">
        <f>IF(OR($A$5="",$B$6="",ROW()&lt;$A$5),"",IF(INDEX($A:$AP,ROW(),$B$6)="","",INDEX($A:$AP,ROW(),$B$6)))</f>
        <v/>
      </c>
      <c r="AS1394" s="32">
        <f>IF($AR1394="","",IF(ISNUMBER($AR1394),IF($AR1394&gt;=10000000,IFERROR(DATE(INT($AR1394/10000),MOD(INT($AR1394/100),100),MOD($AR1394,100)),""),INT($AR1394)),IFERROR(DATE(--LEFT(LEFT(SUBSTITUTE(SUBSTITUTE(SUBSTITUTE(SUBSTITUTE(TRIM($AR1394),"-",""),".",""),"/","")," ",""),8),4),--MID(LEFT(SUBSTITUTE(SUBSTITUTE(SUBSTITUTE(SUBSTITUTE(TRIM($AR1394),"-",""),".",""),"/","")," ",""),8),5,2),--MID(LEFT(SUBSTITUTE(SUBSTITUTE(SUBSTITUTE(SUBSTITUTE(TRIM($AR1394),"-",""),".",""),"/","")," ",""),8),7,2)),"")))</f>
        <v/>
      </c>
      <c r="AT1394" s="33">
        <f>IF($AS1394="","",IF($F$6="",0,IF(ISNUMBER(INDEX($A:$AP,ROW(),$F$6)),INDEX($A:$AP,ROW(),$F$6),IFERROR(--SUBSTITUTE(SUBSTITUTE(TRIM(INDEX($A:$AP,ROW(),$F$6)),",",""),"원",""),0))))</f>
        <v/>
      </c>
      <c r="AU1394" s="31">
        <f>IF($AS1394="","",IF($AX1394&lt;&gt;"",SUBSTITUTE(SUBSTITUTE($AX1394,"-","")," ",""),"N:"&amp;$AV1394))</f>
        <v/>
      </c>
      <c r="AV1394" s="31">
        <f>IF(OR($AS1394="",$E$6=""),"",TRIM(INDEX($A:$AP,ROW(),$E$6)&amp;""))</f>
        <v/>
      </c>
      <c r="AW1394" s="31">
        <f>IF($AU1394="","",IF(MATCH($AU1394,$AU$8:$AU$2007,0)=ROW()-7,MAX($AW$7:$AW1393)+1,""))</f>
        <v/>
      </c>
      <c r="AX1394" s="31">
        <f>IF(OR($AS1394="",$D$6=""),"",TRIM(INDEX($A:$AP,ROW(),$D$6)&amp;""))</f>
        <v/>
      </c>
      <c r="AY1394" s="31">
        <f>IF($AU1394="","",INDEX($AW$8:$AW$2007,MATCH($AU1394,$AU$8:$AU$2007,0)))</f>
        <v/>
      </c>
      <c r="AZ1394" s="31">
        <f>IF(OR($AS1394="",$C$6=""),"",TRIM(INDEX($A:$AP,ROW(),$C$6)&amp;""))</f>
        <v/>
      </c>
      <c r="BA1394" s="31">
        <f>IF($AZ1394="","",IF(COUNTIF($AZ$8:$AZ1394,$AZ1394)&gt;1,1,0))</f>
        <v/>
      </c>
    </row>
    <row r="1395">
      <c r="AR1395" s="31">
        <f>IF(OR($A$5="",$B$6="",ROW()&lt;$A$5),"",IF(INDEX($A:$AP,ROW(),$B$6)="","",INDEX($A:$AP,ROW(),$B$6)))</f>
        <v/>
      </c>
      <c r="AS1395" s="32">
        <f>IF($AR1395="","",IF(ISNUMBER($AR1395),IF($AR1395&gt;=10000000,IFERROR(DATE(INT($AR1395/10000),MOD(INT($AR1395/100),100),MOD($AR1395,100)),""),INT($AR1395)),IFERROR(DATE(--LEFT(LEFT(SUBSTITUTE(SUBSTITUTE(SUBSTITUTE(SUBSTITUTE(TRIM($AR1395),"-",""),".",""),"/","")," ",""),8),4),--MID(LEFT(SUBSTITUTE(SUBSTITUTE(SUBSTITUTE(SUBSTITUTE(TRIM($AR1395),"-",""),".",""),"/","")," ",""),8),5,2),--MID(LEFT(SUBSTITUTE(SUBSTITUTE(SUBSTITUTE(SUBSTITUTE(TRIM($AR1395),"-",""),".",""),"/","")," ",""),8),7,2)),"")))</f>
        <v/>
      </c>
      <c r="AT1395" s="33">
        <f>IF($AS1395="","",IF($F$6="",0,IF(ISNUMBER(INDEX($A:$AP,ROW(),$F$6)),INDEX($A:$AP,ROW(),$F$6),IFERROR(--SUBSTITUTE(SUBSTITUTE(TRIM(INDEX($A:$AP,ROW(),$F$6)),",",""),"원",""),0))))</f>
        <v/>
      </c>
      <c r="AU1395" s="31">
        <f>IF($AS1395="","",IF($AX1395&lt;&gt;"",SUBSTITUTE(SUBSTITUTE($AX1395,"-","")," ",""),"N:"&amp;$AV1395))</f>
        <v/>
      </c>
      <c r="AV1395" s="31">
        <f>IF(OR($AS1395="",$E$6=""),"",TRIM(INDEX($A:$AP,ROW(),$E$6)&amp;""))</f>
        <v/>
      </c>
      <c r="AW1395" s="31">
        <f>IF($AU1395="","",IF(MATCH($AU1395,$AU$8:$AU$2007,0)=ROW()-7,MAX($AW$7:$AW1394)+1,""))</f>
        <v/>
      </c>
      <c r="AX1395" s="31">
        <f>IF(OR($AS1395="",$D$6=""),"",TRIM(INDEX($A:$AP,ROW(),$D$6)&amp;""))</f>
        <v/>
      </c>
      <c r="AY1395" s="31">
        <f>IF($AU1395="","",INDEX($AW$8:$AW$2007,MATCH($AU1395,$AU$8:$AU$2007,0)))</f>
        <v/>
      </c>
      <c r="AZ1395" s="31">
        <f>IF(OR($AS1395="",$C$6=""),"",TRIM(INDEX($A:$AP,ROW(),$C$6)&amp;""))</f>
        <v/>
      </c>
      <c r="BA1395" s="31">
        <f>IF($AZ1395="","",IF(COUNTIF($AZ$8:$AZ1395,$AZ1395)&gt;1,1,0))</f>
        <v/>
      </c>
    </row>
    <row r="1396">
      <c r="AR1396" s="31">
        <f>IF(OR($A$5="",$B$6="",ROW()&lt;$A$5),"",IF(INDEX($A:$AP,ROW(),$B$6)="","",INDEX($A:$AP,ROW(),$B$6)))</f>
        <v/>
      </c>
      <c r="AS1396" s="32">
        <f>IF($AR1396="","",IF(ISNUMBER($AR1396),IF($AR1396&gt;=10000000,IFERROR(DATE(INT($AR1396/10000),MOD(INT($AR1396/100),100),MOD($AR1396,100)),""),INT($AR1396)),IFERROR(DATE(--LEFT(LEFT(SUBSTITUTE(SUBSTITUTE(SUBSTITUTE(SUBSTITUTE(TRIM($AR1396),"-",""),".",""),"/","")," ",""),8),4),--MID(LEFT(SUBSTITUTE(SUBSTITUTE(SUBSTITUTE(SUBSTITUTE(TRIM($AR1396),"-",""),".",""),"/","")," ",""),8),5,2),--MID(LEFT(SUBSTITUTE(SUBSTITUTE(SUBSTITUTE(SUBSTITUTE(TRIM($AR1396),"-",""),".",""),"/","")," ",""),8),7,2)),"")))</f>
        <v/>
      </c>
      <c r="AT1396" s="33">
        <f>IF($AS1396="","",IF($F$6="",0,IF(ISNUMBER(INDEX($A:$AP,ROW(),$F$6)),INDEX($A:$AP,ROW(),$F$6),IFERROR(--SUBSTITUTE(SUBSTITUTE(TRIM(INDEX($A:$AP,ROW(),$F$6)),",",""),"원",""),0))))</f>
        <v/>
      </c>
      <c r="AU1396" s="31">
        <f>IF($AS1396="","",IF($AX1396&lt;&gt;"",SUBSTITUTE(SUBSTITUTE($AX1396,"-","")," ",""),"N:"&amp;$AV1396))</f>
        <v/>
      </c>
      <c r="AV1396" s="31">
        <f>IF(OR($AS1396="",$E$6=""),"",TRIM(INDEX($A:$AP,ROW(),$E$6)&amp;""))</f>
        <v/>
      </c>
      <c r="AW1396" s="31">
        <f>IF($AU1396="","",IF(MATCH($AU1396,$AU$8:$AU$2007,0)=ROW()-7,MAX($AW$7:$AW1395)+1,""))</f>
        <v/>
      </c>
      <c r="AX1396" s="31">
        <f>IF(OR($AS1396="",$D$6=""),"",TRIM(INDEX($A:$AP,ROW(),$D$6)&amp;""))</f>
        <v/>
      </c>
      <c r="AY1396" s="31">
        <f>IF($AU1396="","",INDEX($AW$8:$AW$2007,MATCH($AU1396,$AU$8:$AU$2007,0)))</f>
        <v/>
      </c>
      <c r="AZ1396" s="31">
        <f>IF(OR($AS1396="",$C$6=""),"",TRIM(INDEX($A:$AP,ROW(),$C$6)&amp;""))</f>
        <v/>
      </c>
      <c r="BA1396" s="31">
        <f>IF($AZ1396="","",IF(COUNTIF($AZ$8:$AZ1396,$AZ1396)&gt;1,1,0))</f>
        <v/>
      </c>
    </row>
    <row r="1397">
      <c r="AR1397" s="31">
        <f>IF(OR($A$5="",$B$6="",ROW()&lt;$A$5),"",IF(INDEX($A:$AP,ROW(),$B$6)="","",INDEX($A:$AP,ROW(),$B$6)))</f>
        <v/>
      </c>
      <c r="AS1397" s="32">
        <f>IF($AR1397="","",IF(ISNUMBER($AR1397),IF($AR1397&gt;=10000000,IFERROR(DATE(INT($AR1397/10000),MOD(INT($AR1397/100),100),MOD($AR1397,100)),""),INT($AR1397)),IFERROR(DATE(--LEFT(LEFT(SUBSTITUTE(SUBSTITUTE(SUBSTITUTE(SUBSTITUTE(TRIM($AR1397),"-",""),".",""),"/","")," ",""),8),4),--MID(LEFT(SUBSTITUTE(SUBSTITUTE(SUBSTITUTE(SUBSTITUTE(TRIM($AR1397),"-",""),".",""),"/","")," ",""),8),5,2),--MID(LEFT(SUBSTITUTE(SUBSTITUTE(SUBSTITUTE(SUBSTITUTE(TRIM($AR1397),"-",""),".",""),"/","")," ",""),8),7,2)),"")))</f>
        <v/>
      </c>
      <c r="AT1397" s="33">
        <f>IF($AS1397="","",IF($F$6="",0,IF(ISNUMBER(INDEX($A:$AP,ROW(),$F$6)),INDEX($A:$AP,ROW(),$F$6),IFERROR(--SUBSTITUTE(SUBSTITUTE(TRIM(INDEX($A:$AP,ROW(),$F$6)),",",""),"원",""),0))))</f>
        <v/>
      </c>
      <c r="AU1397" s="31">
        <f>IF($AS1397="","",IF($AX1397&lt;&gt;"",SUBSTITUTE(SUBSTITUTE($AX1397,"-","")," ",""),"N:"&amp;$AV1397))</f>
        <v/>
      </c>
      <c r="AV1397" s="31">
        <f>IF(OR($AS1397="",$E$6=""),"",TRIM(INDEX($A:$AP,ROW(),$E$6)&amp;""))</f>
        <v/>
      </c>
      <c r="AW1397" s="31">
        <f>IF($AU1397="","",IF(MATCH($AU1397,$AU$8:$AU$2007,0)=ROW()-7,MAX($AW$7:$AW1396)+1,""))</f>
        <v/>
      </c>
      <c r="AX1397" s="31">
        <f>IF(OR($AS1397="",$D$6=""),"",TRIM(INDEX($A:$AP,ROW(),$D$6)&amp;""))</f>
        <v/>
      </c>
      <c r="AY1397" s="31">
        <f>IF($AU1397="","",INDEX($AW$8:$AW$2007,MATCH($AU1397,$AU$8:$AU$2007,0)))</f>
        <v/>
      </c>
      <c r="AZ1397" s="31">
        <f>IF(OR($AS1397="",$C$6=""),"",TRIM(INDEX($A:$AP,ROW(),$C$6)&amp;""))</f>
        <v/>
      </c>
      <c r="BA1397" s="31">
        <f>IF($AZ1397="","",IF(COUNTIF($AZ$8:$AZ1397,$AZ1397)&gt;1,1,0))</f>
        <v/>
      </c>
    </row>
    <row r="1398">
      <c r="AR1398" s="31">
        <f>IF(OR($A$5="",$B$6="",ROW()&lt;$A$5),"",IF(INDEX($A:$AP,ROW(),$B$6)="","",INDEX($A:$AP,ROW(),$B$6)))</f>
        <v/>
      </c>
      <c r="AS1398" s="32">
        <f>IF($AR1398="","",IF(ISNUMBER($AR1398),IF($AR1398&gt;=10000000,IFERROR(DATE(INT($AR1398/10000),MOD(INT($AR1398/100),100),MOD($AR1398,100)),""),INT($AR1398)),IFERROR(DATE(--LEFT(LEFT(SUBSTITUTE(SUBSTITUTE(SUBSTITUTE(SUBSTITUTE(TRIM($AR1398),"-",""),".",""),"/","")," ",""),8),4),--MID(LEFT(SUBSTITUTE(SUBSTITUTE(SUBSTITUTE(SUBSTITUTE(TRIM($AR1398),"-",""),".",""),"/","")," ",""),8),5,2),--MID(LEFT(SUBSTITUTE(SUBSTITUTE(SUBSTITUTE(SUBSTITUTE(TRIM($AR1398),"-",""),".",""),"/","")," ",""),8),7,2)),"")))</f>
        <v/>
      </c>
      <c r="AT1398" s="33">
        <f>IF($AS1398="","",IF($F$6="",0,IF(ISNUMBER(INDEX($A:$AP,ROW(),$F$6)),INDEX($A:$AP,ROW(),$F$6),IFERROR(--SUBSTITUTE(SUBSTITUTE(TRIM(INDEX($A:$AP,ROW(),$F$6)),",",""),"원",""),0))))</f>
        <v/>
      </c>
      <c r="AU1398" s="31">
        <f>IF($AS1398="","",IF($AX1398&lt;&gt;"",SUBSTITUTE(SUBSTITUTE($AX1398,"-","")," ",""),"N:"&amp;$AV1398))</f>
        <v/>
      </c>
      <c r="AV1398" s="31">
        <f>IF(OR($AS1398="",$E$6=""),"",TRIM(INDEX($A:$AP,ROW(),$E$6)&amp;""))</f>
        <v/>
      </c>
      <c r="AW1398" s="31">
        <f>IF($AU1398="","",IF(MATCH($AU1398,$AU$8:$AU$2007,0)=ROW()-7,MAX($AW$7:$AW1397)+1,""))</f>
        <v/>
      </c>
      <c r="AX1398" s="31">
        <f>IF(OR($AS1398="",$D$6=""),"",TRIM(INDEX($A:$AP,ROW(),$D$6)&amp;""))</f>
        <v/>
      </c>
      <c r="AY1398" s="31">
        <f>IF($AU1398="","",INDEX($AW$8:$AW$2007,MATCH($AU1398,$AU$8:$AU$2007,0)))</f>
        <v/>
      </c>
      <c r="AZ1398" s="31">
        <f>IF(OR($AS1398="",$C$6=""),"",TRIM(INDEX($A:$AP,ROW(),$C$6)&amp;""))</f>
        <v/>
      </c>
      <c r="BA1398" s="31">
        <f>IF($AZ1398="","",IF(COUNTIF($AZ$8:$AZ1398,$AZ1398)&gt;1,1,0))</f>
        <v/>
      </c>
    </row>
    <row r="1399">
      <c r="AR1399" s="31">
        <f>IF(OR($A$5="",$B$6="",ROW()&lt;$A$5),"",IF(INDEX($A:$AP,ROW(),$B$6)="","",INDEX($A:$AP,ROW(),$B$6)))</f>
        <v/>
      </c>
      <c r="AS1399" s="32">
        <f>IF($AR1399="","",IF(ISNUMBER($AR1399),IF($AR1399&gt;=10000000,IFERROR(DATE(INT($AR1399/10000),MOD(INT($AR1399/100),100),MOD($AR1399,100)),""),INT($AR1399)),IFERROR(DATE(--LEFT(LEFT(SUBSTITUTE(SUBSTITUTE(SUBSTITUTE(SUBSTITUTE(TRIM($AR1399),"-",""),".",""),"/","")," ",""),8),4),--MID(LEFT(SUBSTITUTE(SUBSTITUTE(SUBSTITUTE(SUBSTITUTE(TRIM($AR1399),"-",""),".",""),"/","")," ",""),8),5,2),--MID(LEFT(SUBSTITUTE(SUBSTITUTE(SUBSTITUTE(SUBSTITUTE(TRIM($AR1399),"-",""),".",""),"/","")," ",""),8),7,2)),"")))</f>
        <v/>
      </c>
      <c r="AT1399" s="33">
        <f>IF($AS1399="","",IF($F$6="",0,IF(ISNUMBER(INDEX($A:$AP,ROW(),$F$6)),INDEX($A:$AP,ROW(),$F$6),IFERROR(--SUBSTITUTE(SUBSTITUTE(TRIM(INDEX($A:$AP,ROW(),$F$6)),",",""),"원",""),0))))</f>
        <v/>
      </c>
      <c r="AU1399" s="31">
        <f>IF($AS1399="","",IF($AX1399&lt;&gt;"",SUBSTITUTE(SUBSTITUTE($AX1399,"-","")," ",""),"N:"&amp;$AV1399))</f>
        <v/>
      </c>
      <c r="AV1399" s="31">
        <f>IF(OR($AS1399="",$E$6=""),"",TRIM(INDEX($A:$AP,ROW(),$E$6)&amp;""))</f>
        <v/>
      </c>
      <c r="AW1399" s="31">
        <f>IF($AU1399="","",IF(MATCH($AU1399,$AU$8:$AU$2007,0)=ROW()-7,MAX($AW$7:$AW1398)+1,""))</f>
        <v/>
      </c>
      <c r="AX1399" s="31">
        <f>IF(OR($AS1399="",$D$6=""),"",TRIM(INDEX($A:$AP,ROW(),$D$6)&amp;""))</f>
        <v/>
      </c>
      <c r="AY1399" s="31">
        <f>IF($AU1399="","",INDEX($AW$8:$AW$2007,MATCH($AU1399,$AU$8:$AU$2007,0)))</f>
        <v/>
      </c>
      <c r="AZ1399" s="31">
        <f>IF(OR($AS1399="",$C$6=""),"",TRIM(INDEX($A:$AP,ROW(),$C$6)&amp;""))</f>
        <v/>
      </c>
      <c r="BA1399" s="31">
        <f>IF($AZ1399="","",IF(COUNTIF($AZ$8:$AZ1399,$AZ1399)&gt;1,1,0))</f>
        <v/>
      </c>
    </row>
    <row r="1400">
      <c r="AR1400" s="31">
        <f>IF(OR($A$5="",$B$6="",ROW()&lt;$A$5),"",IF(INDEX($A:$AP,ROW(),$B$6)="","",INDEX($A:$AP,ROW(),$B$6)))</f>
        <v/>
      </c>
      <c r="AS1400" s="32">
        <f>IF($AR1400="","",IF(ISNUMBER($AR1400),IF($AR1400&gt;=10000000,IFERROR(DATE(INT($AR1400/10000),MOD(INT($AR1400/100),100),MOD($AR1400,100)),""),INT($AR1400)),IFERROR(DATE(--LEFT(LEFT(SUBSTITUTE(SUBSTITUTE(SUBSTITUTE(SUBSTITUTE(TRIM($AR1400),"-",""),".",""),"/","")," ",""),8),4),--MID(LEFT(SUBSTITUTE(SUBSTITUTE(SUBSTITUTE(SUBSTITUTE(TRIM($AR1400),"-",""),".",""),"/","")," ",""),8),5,2),--MID(LEFT(SUBSTITUTE(SUBSTITUTE(SUBSTITUTE(SUBSTITUTE(TRIM($AR1400),"-",""),".",""),"/","")," ",""),8),7,2)),"")))</f>
        <v/>
      </c>
      <c r="AT1400" s="33">
        <f>IF($AS1400="","",IF($F$6="",0,IF(ISNUMBER(INDEX($A:$AP,ROW(),$F$6)),INDEX($A:$AP,ROW(),$F$6),IFERROR(--SUBSTITUTE(SUBSTITUTE(TRIM(INDEX($A:$AP,ROW(),$F$6)),",",""),"원",""),0))))</f>
        <v/>
      </c>
      <c r="AU1400" s="31">
        <f>IF($AS1400="","",IF($AX1400&lt;&gt;"",SUBSTITUTE(SUBSTITUTE($AX1400,"-","")," ",""),"N:"&amp;$AV1400))</f>
        <v/>
      </c>
      <c r="AV1400" s="31">
        <f>IF(OR($AS1400="",$E$6=""),"",TRIM(INDEX($A:$AP,ROW(),$E$6)&amp;""))</f>
        <v/>
      </c>
      <c r="AW1400" s="31">
        <f>IF($AU1400="","",IF(MATCH($AU1400,$AU$8:$AU$2007,0)=ROW()-7,MAX($AW$7:$AW1399)+1,""))</f>
        <v/>
      </c>
      <c r="AX1400" s="31">
        <f>IF(OR($AS1400="",$D$6=""),"",TRIM(INDEX($A:$AP,ROW(),$D$6)&amp;""))</f>
        <v/>
      </c>
      <c r="AY1400" s="31">
        <f>IF($AU1400="","",INDEX($AW$8:$AW$2007,MATCH($AU1400,$AU$8:$AU$2007,0)))</f>
        <v/>
      </c>
      <c r="AZ1400" s="31">
        <f>IF(OR($AS1400="",$C$6=""),"",TRIM(INDEX($A:$AP,ROW(),$C$6)&amp;""))</f>
        <v/>
      </c>
      <c r="BA1400" s="31">
        <f>IF($AZ1400="","",IF(COUNTIF($AZ$8:$AZ1400,$AZ1400)&gt;1,1,0))</f>
        <v/>
      </c>
    </row>
    <row r="1401">
      <c r="AR1401" s="31">
        <f>IF(OR($A$5="",$B$6="",ROW()&lt;$A$5),"",IF(INDEX($A:$AP,ROW(),$B$6)="","",INDEX($A:$AP,ROW(),$B$6)))</f>
        <v/>
      </c>
      <c r="AS1401" s="32">
        <f>IF($AR1401="","",IF(ISNUMBER($AR1401),IF($AR1401&gt;=10000000,IFERROR(DATE(INT($AR1401/10000),MOD(INT($AR1401/100),100),MOD($AR1401,100)),""),INT($AR1401)),IFERROR(DATE(--LEFT(LEFT(SUBSTITUTE(SUBSTITUTE(SUBSTITUTE(SUBSTITUTE(TRIM($AR1401),"-",""),".",""),"/","")," ",""),8),4),--MID(LEFT(SUBSTITUTE(SUBSTITUTE(SUBSTITUTE(SUBSTITUTE(TRIM($AR1401),"-",""),".",""),"/","")," ",""),8),5,2),--MID(LEFT(SUBSTITUTE(SUBSTITUTE(SUBSTITUTE(SUBSTITUTE(TRIM($AR1401),"-",""),".",""),"/","")," ",""),8),7,2)),"")))</f>
        <v/>
      </c>
      <c r="AT1401" s="33">
        <f>IF($AS1401="","",IF($F$6="",0,IF(ISNUMBER(INDEX($A:$AP,ROW(),$F$6)),INDEX($A:$AP,ROW(),$F$6),IFERROR(--SUBSTITUTE(SUBSTITUTE(TRIM(INDEX($A:$AP,ROW(),$F$6)),",",""),"원",""),0))))</f>
        <v/>
      </c>
      <c r="AU1401" s="31">
        <f>IF($AS1401="","",IF($AX1401&lt;&gt;"",SUBSTITUTE(SUBSTITUTE($AX1401,"-","")," ",""),"N:"&amp;$AV1401))</f>
        <v/>
      </c>
      <c r="AV1401" s="31">
        <f>IF(OR($AS1401="",$E$6=""),"",TRIM(INDEX($A:$AP,ROW(),$E$6)&amp;""))</f>
        <v/>
      </c>
      <c r="AW1401" s="31">
        <f>IF($AU1401="","",IF(MATCH($AU1401,$AU$8:$AU$2007,0)=ROW()-7,MAX($AW$7:$AW1400)+1,""))</f>
        <v/>
      </c>
      <c r="AX1401" s="31">
        <f>IF(OR($AS1401="",$D$6=""),"",TRIM(INDEX($A:$AP,ROW(),$D$6)&amp;""))</f>
        <v/>
      </c>
      <c r="AY1401" s="31">
        <f>IF($AU1401="","",INDEX($AW$8:$AW$2007,MATCH($AU1401,$AU$8:$AU$2007,0)))</f>
        <v/>
      </c>
      <c r="AZ1401" s="31">
        <f>IF(OR($AS1401="",$C$6=""),"",TRIM(INDEX($A:$AP,ROW(),$C$6)&amp;""))</f>
        <v/>
      </c>
      <c r="BA1401" s="31">
        <f>IF($AZ1401="","",IF(COUNTIF($AZ$8:$AZ1401,$AZ1401)&gt;1,1,0))</f>
        <v/>
      </c>
    </row>
    <row r="1402">
      <c r="AR1402" s="31">
        <f>IF(OR($A$5="",$B$6="",ROW()&lt;$A$5),"",IF(INDEX($A:$AP,ROW(),$B$6)="","",INDEX($A:$AP,ROW(),$B$6)))</f>
        <v/>
      </c>
      <c r="AS1402" s="32">
        <f>IF($AR1402="","",IF(ISNUMBER($AR1402),IF($AR1402&gt;=10000000,IFERROR(DATE(INT($AR1402/10000),MOD(INT($AR1402/100),100),MOD($AR1402,100)),""),INT($AR1402)),IFERROR(DATE(--LEFT(LEFT(SUBSTITUTE(SUBSTITUTE(SUBSTITUTE(SUBSTITUTE(TRIM($AR1402),"-",""),".",""),"/","")," ",""),8),4),--MID(LEFT(SUBSTITUTE(SUBSTITUTE(SUBSTITUTE(SUBSTITUTE(TRIM($AR1402),"-",""),".",""),"/","")," ",""),8),5,2),--MID(LEFT(SUBSTITUTE(SUBSTITUTE(SUBSTITUTE(SUBSTITUTE(TRIM($AR1402),"-",""),".",""),"/","")," ",""),8),7,2)),"")))</f>
        <v/>
      </c>
      <c r="AT1402" s="33">
        <f>IF($AS1402="","",IF($F$6="",0,IF(ISNUMBER(INDEX($A:$AP,ROW(),$F$6)),INDEX($A:$AP,ROW(),$F$6),IFERROR(--SUBSTITUTE(SUBSTITUTE(TRIM(INDEX($A:$AP,ROW(),$F$6)),",",""),"원",""),0))))</f>
        <v/>
      </c>
      <c r="AU1402" s="31">
        <f>IF($AS1402="","",IF($AX1402&lt;&gt;"",SUBSTITUTE(SUBSTITUTE($AX1402,"-","")," ",""),"N:"&amp;$AV1402))</f>
        <v/>
      </c>
      <c r="AV1402" s="31">
        <f>IF(OR($AS1402="",$E$6=""),"",TRIM(INDEX($A:$AP,ROW(),$E$6)&amp;""))</f>
        <v/>
      </c>
      <c r="AW1402" s="31">
        <f>IF($AU1402="","",IF(MATCH($AU1402,$AU$8:$AU$2007,0)=ROW()-7,MAX($AW$7:$AW1401)+1,""))</f>
        <v/>
      </c>
      <c r="AX1402" s="31">
        <f>IF(OR($AS1402="",$D$6=""),"",TRIM(INDEX($A:$AP,ROW(),$D$6)&amp;""))</f>
        <v/>
      </c>
      <c r="AY1402" s="31">
        <f>IF($AU1402="","",INDEX($AW$8:$AW$2007,MATCH($AU1402,$AU$8:$AU$2007,0)))</f>
        <v/>
      </c>
      <c r="AZ1402" s="31">
        <f>IF(OR($AS1402="",$C$6=""),"",TRIM(INDEX($A:$AP,ROW(),$C$6)&amp;""))</f>
        <v/>
      </c>
      <c r="BA1402" s="31">
        <f>IF($AZ1402="","",IF(COUNTIF($AZ$8:$AZ1402,$AZ1402)&gt;1,1,0))</f>
        <v/>
      </c>
    </row>
    <row r="1403">
      <c r="AR1403" s="31">
        <f>IF(OR($A$5="",$B$6="",ROW()&lt;$A$5),"",IF(INDEX($A:$AP,ROW(),$B$6)="","",INDEX($A:$AP,ROW(),$B$6)))</f>
        <v/>
      </c>
      <c r="AS1403" s="32">
        <f>IF($AR1403="","",IF(ISNUMBER($AR1403),IF($AR1403&gt;=10000000,IFERROR(DATE(INT($AR1403/10000),MOD(INT($AR1403/100),100),MOD($AR1403,100)),""),INT($AR1403)),IFERROR(DATE(--LEFT(LEFT(SUBSTITUTE(SUBSTITUTE(SUBSTITUTE(SUBSTITUTE(TRIM($AR1403),"-",""),".",""),"/","")," ",""),8),4),--MID(LEFT(SUBSTITUTE(SUBSTITUTE(SUBSTITUTE(SUBSTITUTE(TRIM($AR1403),"-",""),".",""),"/","")," ",""),8),5,2),--MID(LEFT(SUBSTITUTE(SUBSTITUTE(SUBSTITUTE(SUBSTITUTE(TRIM($AR1403),"-",""),".",""),"/","")," ",""),8),7,2)),"")))</f>
        <v/>
      </c>
      <c r="AT1403" s="33">
        <f>IF($AS1403="","",IF($F$6="",0,IF(ISNUMBER(INDEX($A:$AP,ROW(),$F$6)),INDEX($A:$AP,ROW(),$F$6),IFERROR(--SUBSTITUTE(SUBSTITUTE(TRIM(INDEX($A:$AP,ROW(),$F$6)),",",""),"원",""),0))))</f>
        <v/>
      </c>
      <c r="AU1403" s="31">
        <f>IF($AS1403="","",IF($AX1403&lt;&gt;"",SUBSTITUTE(SUBSTITUTE($AX1403,"-","")," ",""),"N:"&amp;$AV1403))</f>
        <v/>
      </c>
      <c r="AV1403" s="31">
        <f>IF(OR($AS1403="",$E$6=""),"",TRIM(INDEX($A:$AP,ROW(),$E$6)&amp;""))</f>
        <v/>
      </c>
      <c r="AW1403" s="31">
        <f>IF($AU1403="","",IF(MATCH($AU1403,$AU$8:$AU$2007,0)=ROW()-7,MAX($AW$7:$AW1402)+1,""))</f>
        <v/>
      </c>
      <c r="AX1403" s="31">
        <f>IF(OR($AS1403="",$D$6=""),"",TRIM(INDEX($A:$AP,ROW(),$D$6)&amp;""))</f>
        <v/>
      </c>
      <c r="AY1403" s="31">
        <f>IF($AU1403="","",INDEX($AW$8:$AW$2007,MATCH($AU1403,$AU$8:$AU$2007,0)))</f>
        <v/>
      </c>
      <c r="AZ1403" s="31">
        <f>IF(OR($AS1403="",$C$6=""),"",TRIM(INDEX($A:$AP,ROW(),$C$6)&amp;""))</f>
        <v/>
      </c>
      <c r="BA1403" s="31">
        <f>IF($AZ1403="","",IF(COUNTIF($AZ$8:$AZ1403,$AZ1403)&gt;1,1,0))</f>
        <v/>
      </c>
    </row>
    <row r="1404">
      <c r="AR1404" s="31">
        <f>IF(OR($A$5="",$B$6="",ROW()&lt;$A$5),"",IF(INDEX($A:$AP,ROW(),$B$6)="","",INDEX($A:$AP,ROW(),$B$6)))</f>
        <v/>
      </c>
      <c r="AS1404" s="32">
        <f>IF($AR1404="","",IF(ISNUMBER($AR1404),IF($AR1404&gt;=10000000,IFERROR(DATE(INT($AR1404/10000),MOD(INT($AR1404/100),100),MOD($AR1404,100)),""),INT($AR1404)),IFERROR(DATE(--LEFT(LEFT(SUBSTITUTE(SUBSTITUTE(SUBSTITUTE(SUBSTITUTE(TRIM($AR1404),"-",""),".",""),"/","")," ",""),8),4),--MID(LEFT(SUBSTITUTE(SUBSTITUTE(SUBSTITUTE(SUBSTITUTE(TRIM($AR1404),"-",""),".",""),"/","")," ",""),8),5,2),--MID(LEFT(SUBSTITUTE(SUBSTITUTE(SUBSTITUTE(SUBSTITUTE(TRIM($AR1404),"-",""),".",""),"/","")," ",""),8),7,2)),"")))</f>
        <v/>
      </c>
      <c r="AT1404" s="33">
        <f>IF($AS1404="","",IF($F$6="",0,IF(ISNUMBER(INDEX($A:$AP,ROW(),$F$6)),INDEX($A:$AP,ROW(),$F$6),IFERROR(--SUBSTITUTE(SUBSTITUTE(TRIM(INDEX($A:$AP,ROW(),$F$6)),",",""),"원",""),0))))</f>
        <v/>
      </c>
      <c r="AU1404" s="31">
        <f>IF($AS1404="","",IF($AX1404&lt;&gt;"",SUBSTITUTE(SUBSTITUTE($AX1404,"-","")," ",""),"N:"&amp;$AV1404))</f>
        <v/>
      </c>
      <c r="AV1404" s="31">
        <f>IF(OR($AS1404="",$E$6=""),"",TRIM(INDEX($A:$AP,ROW(),$E$6)&amp;""))</f>
        <v/>
      </c>
      <c r="AW1404" s="31">
        <f>IF($AU1404="","",IF(MATCH($AU1404,$AU$8:$AU$2007,0)=ROW()-7,MAX($AW$7:$AW1403)+1,""))</f>
        <v/>
      </c>
      <c r="AX1404" s="31">
        <f>IF(OR($AS1404="",$D$6=""),"",TRIM(INDEX($A:$AP,ROW(),$D$6)&amp;""))</f>
        <v/>
      </c>
      <c r="AY1404" s="31">
        <f>IF($AU1404="","",INDEX($AW$8:$AW$2007,MATCH($AU1404,$AU$8:$AU$2007,0)))</f>
        <v/>
      </c>
      <c r="AZ1404" s="31">
        <f>IF(OR($AS1404="",$C$6=""),"",TRIM(INDEX($A:$AP,ROW(),$C$6)&amp;""))</f>
        <v/>
      </c>
      <c r="BA1404" s="31">
        <f>IF($AZ1404="","",IF(COUNTIF($AZ$8:$AZ1404,$AZ1404)&gt;1,1,0))</f>
        <v/>
      </c>
    </row>
    <row r="1405">
      <c r="AR1405" s="31">
        <f>IF(OR($A$5="",$B$6="",ROW()&lt;$A$5),"",IF(INDEX($A:$AP,ROW(),$B$6)="","",INDEX($A:$AP,ROW(),$B$6)))</f>
        <v/>
      </c>
      <c r="AS1405" s="32">
        <f>IF($AR1405="","",IF(ISNUMBER($AR1405),IF($AR1405&gt;=10000000,IFERROR(DATE(INT($AR1405/10000),MOD(INT($AR1405/100),100),MOD($AR1405,100)),""),INT($AR1405)),IFERROR(DATE(--LEFT(LEFT(SUBSTITUTE(SUBSTITUTE(SUBSTITUTE(SUBSTITUTE(TRIM($AR1405),"-",""),".",""),"/","")," ",""),8),4),--MID(LEFT(SUBSTITUTE(SUBSTITUTE(SUBSTITUTE(SUBSTITUTE(TRIM($AR1405),"-",""),".",""),"/","")," ",""),8),5,2),--MID(LEFT(SUBSTITUTE(SUBSTITUTE(SUBSTITUTE(SUBSTITUTE(TRIM($AR1405),"-",""),".",""),"/","")," ",""),8),7,2)),"")))</f>
        <v/>
      </c>
      <c r="AT1405" s="33">
        <f>IF($AS1405="","",IF($F$6="",0,IF(ISNUMBER(INDEX($A:$AP,ROW(),$F$6)),INDEX($A:$AP,ROW(),$F$6),IFERROR(--SUBSTITUTE(SUBSTITUTE(TRIM(INDEX($A:$AP,ROW(),$F$6)),",",""),"원",""),0))))</f>
        <v/>
      </c>
      <c r="AU1405" s="31">
        <f>IF($AS1405="","",IF($AX1405&lt;&gt;"",SUBSTITUTE(SUBSTITUTE($AX1405,"-","")," ",""),"N:"&amp;$AV1405))</f>
        <v/>
      </c>
      <c r="AV1405" s="31">
        <f>IF(OR($AS1405="",$E$6=""),"",TRIM(INDEX($A:$AP,ROW(),$E$6)&amp;""))</f>
        <v/>
      </c>
      <c r="AW1405" s="31">
        <f>IF($AU1405="","",IF(MATCH($AU1405,$AU$8:$AU$2007,0)=ROW()-7,MAX($AW$7:$AW1404)+1,""))</f>
        <v/>
      </c>
      <c r="AX1405" s="31">
        <f>IF(OR($AS1405="",$D$6=""),"",TRIM(INDEX($A:$AP,ROW(),$D$6)&amp;""))</f>
        <v/>
      </c>
      <c r="AY1405" s="31">
        <f>IF($AU1405="","",INDEX($AW$8:$AW$2007,MATCH($AU1405,$AU$8:$AU$2007,0)))</f>
        <v/>
      </c>
      <c r="AZ1405" s="31">
        <f>IF(OR($AS1405="",$C$6=""),"",TRIM(INDEX($A:$AP,ROW(),$C$6)&amp;""))</f>
        <v/>
      </c>
      <c r="BA1405" s="31">
        <f>IF($AZ1405="","",IF(COUNTIF($AZ$8:$AZ1405,$AZ1405)&gt;1,1,0))</f>
        <v/>
      </c>
    </row>
    <row r="1406">
      <c r="AR1406" s="31">
        <f>IF(OR($A$5="",$B$6="",ROW()&lt;$A$5),"",IF(INDEX($A:$AP,ROW(),$B$6)="","",INDEX($A:$AP,ROW(),$B$6)))</f>
        <v/>
      </c>
      <c r="AS1406" s="32">
        <f>IF($AR1406="","",IF(ISNUMBER($AR1406),IF($AR1406&gt;=10000000,IFERROR(DATE(INT($AR1406/10000),MOD(INT($AR1406/100),100),MOD($AR1406,100)),""),INT($AR1406)),IFERROR(DATE(--LEFT(LEFT(SUBSTITUTE(SUBSTITUTE(SUBSTITUTE(SUBSTITUTE(TRIM($AR1406),"-",""),".",""),"/","")," ",""),8),4),--MID(LEFT(SUBSTITUTE(SUBSTITUTE(SUBSTITUTE(SUBSTITUTE(TRIM($AR1406),"-",""),".",""),"/","")," ",""),8),5,2),--MID(LEFT(SUBSTITUTE(SUBSTITUTE(SUBSTITUTE(SUBSTITUTE(TRIM($AR1406),"-",""),".",""),"/","")," ",""),8),7,2)),"")))</f>
        <v/>
      </c>
      <c r="AT1406" s="33">
        <f>IF($AS1406="","",IF($F$6="",0,IF(ISNUMBER(INDEX($A:$AP,ROW(),$F$6)),INDEX($A:$AP,ROW(),$F$6),IFERROR(--SUBSTITUTE(SUBSTITUTE(TRIM(INDEX($A:$AP,ROW(),$F$6)),",",""),"원",""),0))))</f>
        <v/>
      </c>
      <c r="AU1406" s="31">
        <f>IF($AS1406="","",IF($AX1406&lt;&gt;"",SUBSTITUTE(SUBSTITUTE($AX1406,"-","")," ",""),"N:"&amp;$AV1406))</f>
        <v/>
      </c>
      <c r="AV1406" s="31">
        <f>IF(OR($AS1406="",$E$6=""),"",TRIM(INDEX($A:$AP,ROW(),$E$6)&amp;""))</f>
        <v/>
      </c>
      <c r="AW1406" s="31">
        <f>IF($AU1406="","",IF(MATCH($AU1406,$AU$8:$AU$2007,0)=ROW()-7,MAX($AW$7:$AW1405)+1,""))</f>
        <v/>
      </c>
      <c r="AX1406" s="31">
        <f>IF(OR($AS1406="",$D$6=""),"",TRIM(INDEX($A:$AP,ROW(),$D$6)&amp;""))</f>
        <v/>
      </c>
      <c r="AY1406" s="31">
        <f>IF($AU1406="","",INDEX($AW$8:$AW$2007,MATCH($AU1406,$AU$8:$AU$2007,0)))</f>
        <v/>
      </c>
      <c r="AZ1406" s="31">
        <f>IF(OR($AS1406="",$C$6=""),"",TRIM(INDEX($A:$AP,ROW(),$C$6)&amp;""))</f>
        <v/>
      </c>
      <c r="BA1406" s="31">
        <f>IF($AZ1406="","",IF(COUNTIF($AZ$8:$AZ1406,$AZ1406)&gt;1,1,0))</f>
        <v/>
      </c>
    </row>
    <row r="1407">
      <c r="AR1407" s="31">
        <f>IF(OR($A$5="",$B$6="",ROW()&lt;$A$5),"",IF(INDEX($A:$AP,ROW(),$B$6)="","",INDEX($A:$AP,ROW(),$B$6)))</f>
        <v/>
      </c>
      <c r="AS1407" s="32">
        <f>IF($AR1407="","",IF(ISNUMBER($AR1407),IF($AR1407&gt;=10000000,IFERROR(DATE(INT($AR1407/10000),MOD(INT($AR1407/100),100),MOD($AR1407,100)),""),INT($AR1407)),IFERROR(DATE(--LEFT(LEFT(SUBSTITUTE(SUBSTITUTE(SUBSTITUTE(SUBSTITUTE(TRIM($AR1407),"-",""),".",""),"/","")," ",""),8),4),--MID(LEFT(SUBSTITUTE(SUBSTITUTE(SUBSTITUTE(SUBSTITUTE(TRIM($AR1407),"-",""),".",""),"/","")," ",""),8),5,2),--MID(LEFT(SUBSTITUTE(SUBSTITUTE(SUBSTITUTE(SUBSTITUTE(TRIM($AR1407),"-",""),".",""),"/","")," ",""),8),7,2)),"")))</f>
        <v/>
      </c>
      <c r="AT1407" s="33">
        <f>IF($AS1407="","",IF($F$6="",0,IF(ISNUMBER(INDEX($A:$AP,ROW(),$F$6)),INDEX($A:$AP,ROW(),$F$6),IFERROR(--SUBSTITUTE(SUBSTITUTE(TRIM(INDEX($A:$AP,ROW(),$F$6)),",",""),"원",""),0))))</f>
        <v/>
      </c>
      <c r="AU1407" s="31">
        <f>IF($AS1407="","",IF($AX1407&lt;&gt;"",SUBSTITUTE(SUBSTITUTE($AX1407,"-","")," ",""),"N:"&amp;$AV1407))</f>
        <v/>
      </c>
      <c r="AV1407" s="31">
        <f>IF(OR($AS1407="",$E$6=""),"",TRIM(INDEX($A:$AP,ROW(),$E$6)&amp;""))</f>
        <v/>
      </c>
      <c r="AW1407" s="31">
        <f>IF($AU1407="","",IF(MATCH($AU1407,$AU$8:$AU$2007,0)=ROW()-7,MAX($AW$7:$AW1406)+1,""))</f>
        <v/>
      </c>
      <c r="AX1407" s="31">
        <f>IF(OR($AS1407="",$D$6=""),"",TRIM(INDEX($A:$AP,ROW(),$D$6)&amp;""))</f>
        <v/>
      </c>
      <c r="AY1407" s="31">
        <f>IF($AU1407="","",INDEX($AW$8:$AW$2007,MATCH($AU1407,$AU$8:$AU$2007,0)))</f>
        <v/>
      </c>
      <c r="AZ1407" s="31">
        <f>IF(OR($AS1407="",$C$6=""),"",TRIM(INDEX($A:$AP,ROW(),$C$6)&amp;""))</f>
        <v/>
      </c>
      <c r="BA1407" s="31">
        <f>IF($AZ1407="","",IF(COUNTIF($AZ$8:$AZ1407,$AZ1407)&gt;1,1,0))</f>
        <v/>
      </c>
    </row>
    <row r="1408">
      <c r="AR1408" s="31">
        <f>IF(OR($A$5="",$B$6="",ROW()&lt;$A$5),"",IF(INDEX($A:$AP,ROW(),$B$6)="","",INDEX($A:$AP,ROW(),$B$6)))</f>
        <v/>
      </c>
      <c r="AS1408" s="32">
        <f>IF($AR1408="","",IF(ISNUMBER($AR1408),IF($AR1408&gt;=10000000,IFERROR(DATE(INT($AR1408/10000),MOD(INT($AR1408/100),100),MOD($AR1408,100)),""),INT($AR1408)),IFERROR(DATE(--LEFT(LEFT(SUBSTITUTE(SUBSTITUTE(SUBSTITUTE(SUBSTITUTE(TRIM($AR1408),"-",""),".",""),"/","")," ",""),8),4),--MID(LEFT(SUBSTITUTE(SUBSTITUTE(SUBSTITUTE(SUBSTITUTE(TRIM($AR1408),"-",""),".",""),"/","")," ",""),8),5,2),--MID(LEFT(SUBSTITUTE(SUBSTITUTE(SUBSTITUTE(SUBSTITUTE(TRIM($AR1408),"-",""),".",""),"/","")," ",""),8),7,2)),"")))</f>
        <v/>
      </c>
      <c r="AT1408" s="33">
        <f>IF($AS1408="","",IF($F$6="",0,IF(ISNUMBER(INDEX($A:$AP,ROW(),$F$6)),INDEX($A:$AP,ROW(),$F$6),IFERROR(--SUBSTITUTE(SUBSTITUTE(TRIM(INDEX($A:$AP,ROW(),$F$6)),",",""),"원",""),0))))</f>
        <v/>
      </c>
      <c r="AU1408" s="31">
        <f>IF($AS1408="","",IF($AX1408&lt;&gt;"",SUBSTITUTE(SUBSTITUTE($AX1408,"-","")," ",""),"N:"&amp;$AV1408))</f>
        <v/>
      </c>
      <c r="AV1408" s="31">
        <f>IF(OR($AS1408="",$E$6=""),"",TRIM(INDEX($A:$AP,ROW(),$E$6)&amp;""))</f>
        <v/>
      </c>
      <c r="AW1408" s="31">
        <f>IF($AU1408="","",IF(MATCH($AU1408,$AU$8:$AU$2007,0)=ROW()-7,MAX($AW$7:$AW1407)+1,""))</f>
        <v/>
      </c>
      <c r="AX1408" s="31">
        <f>IF(OR($AS1408="",$D$6=""),"",TRIM(INDEX($A:$AP,ROW(),$D$6)&amp;""))</f>
        <v/>
      </c>
      <c r="AY1408" s="31">
        <f>IF($AU1408="","",INDEX($AW$8:$AW$2007,MATCH($AU1408,$AU$8:$AU$2007,0)))</f>
        <v/>
      </c>
      <c r="AZ1408" s="31">
        <f>IF(OR($AS1408="",$C$6=""),"",TRIM(INDEX($A:$AP,ROW(),$C$6)&amp;""))</f>
        <v/>
      </c>
      <c r="BA1408" s="31">
        <f>IF($AZ1408="","",IF(COUNTIF($AZ$8:$AZ1408,$AZ1408)&gt;1,1,0))</f>
        <v/>
      </c>
    </row>
    <row r="1409">
      <c r="AR1409" s="31">
        <f>IF(OR($A$5="",$B$6="",ROW()&lt;$A$5),"",IF(INDEX($A:$AP,ROW(),$B$6)="","",INDEX($A:$AP,ROW(),$B$6)))</f>
        <v/>
      </c>
      <c r="AS1409" s="32">
        <f>IF($AR1409="","",IF(ISNUMBER($AR1409),IF($AR1409&gt;=10000000,IFERROR(DATE(INT($AR1409/10000),MOD(INT($AR1409/100),100),MOD($AR1409,100)),""),INT($AR1409)),IFERROR(DATE(--LEFT(LEFT(SUBSTITUTE(SUBSTITUTE(SUBSTITUTE(SUBSTITUTE(TRIM($AR1409),"-",""),".",""),"/","")," ",""),8),4),--MID(LEFT(SUBSTITUTE(SUBSTITUTE(SUBSTITUTE(SUBSTITUTE(TRIM($AR1409),"-",""),".",""),"/","")," ",""),8),5,2),--MID(LEFT(SUBSTITUTE(SUBSTITUTE(SUBSTITUTE(SUBSTITUTE(TRIM($AR1409),"-",""),".",""),"/","")," ",""),8),7,2)),"")))</f>
        <v/>
      </c>
      <c r="AT1409" s="33">
        <f>IF($AS1409="","",IF($F$6="",0,IF(ISNUMBER(INDEX($A:$AP,ROW(),$F$6)),INDEX($A:$AP,ROW(),$F$6),IFERROR(--SUBSTITUTE(SUBSTITUTE(TRIM(INDEX($A:$AP,ROW(),$F$6)),",",""),"원",""),0))))</f>
        <v/>
      </c>
      <c r="AU1409" s="31">
        <f>IF($AS1409="","",IF($AX1409&lt;&gt;"",SUBSTITUTE(SUBSTITUTE($AX1409,"-","")," ",""),"N:"&amp;$AV1409))</f>
        <v/>
      </c>
      <c r="AV1409" s="31">
        <f>IF(OR($AS1409="",$E$6=""),"",TRIM(INDEX($A:$AP,ROW(),$E$6)&amp;""))</f>
        <v/>
      </c>
      <c r="AW1409" s="31">
        <f>IF($AU1409="","",IF(MATCH($AU1409,$AU$8:$AU$2007,0)=ROW()-7,MAX($AW$7:$AW1408)+1,""))</f>
        <v/>
      </c>
      <c r="AX1409" s="31">
        <f>IF(OR($AS1409="",$D$6=""),"",TRIM(INDEX($A:$AP,ROW(),$D$6)&amp;""))</f>
        <v/>
      </c>
      <c r="AY1409" s="31">
        <f>IF($AU1409="","",INDEX($AW$8:$AW$2007,MATCH($AU1409,$AU$8:$AU$2007,0)))</f>
        <v/>
      </c>
      <c r="AZ1409" s="31">
        <f>IF(OR($AS1409="",$C$6=""),"",TRIM(INDEX($A:$AP,ROW(),$C$6)&amp;""))</f>
        <v/>
      </c>
      <c r="BA1409" s="31">
        <f>IF($AZ1409="","",IF(COUNTIF($AZ$8:$AZ1409,$AZ1409)&gt;1,1,0))</f>
        <v/>
      </c>
    </row>
    <row r="1410">
      <c r="AR1410" s="31">
        <f>IF(OR($A$5="",$B$6="",ROW()&lt;$A$5),"",IF(INDEX($A:$AP,ROW(),$B$6)="","",INDEX($A:$AP,ROW(),$B$6)))</f>
        <v/>
      </c>
      <c r="AS1410" s="32">
        <f>IF($AR1410="","",IF(ISNUMBER($AR1410),IF($AR1410&gt;=10000000,IFERROR(DATE(INT($AR1410/10000),MOD(INT($AR1410/100),100),MOD($AR1410,100)),""),INT($AR1410)),IFERROR(DATE(--LEFT(LEFT(SUBSTITUTE(SUBSTITUTE(SUBSTITUTE(SUBSTITUTE(TRIM($AR1410),"-",""),".",""),"/","")," ",""),8),4),--MID(LEFT(SUBSTITUTE(SUBSTITUTE(SUBSTITUTE(SUBSTITUTE(TRIM($AR1410),"-",""),".",""),"/","")," ",""),8),5,2),--MID(LEFT(SUBSTITUTE(SUBSTITUTE(SUBSTITUTE(SUBSTITUTE(TRIM($AR1410),"-",""),".",""),"/","")," ",""),8),7,2)),"")))</f>
        <v/>
      </c>
      <c r="AT1410" s="33">
        <f>IF($AS1410="","",IF($F$6="",0,IF(ISNUMBER(INDEX($A:$AP,ROW(),$F$6)),INDEX($A:$AP,ROW(),$F$6),IFERROR(--SUBSTITUTE(SUBSTITUTE(TRIM(INDEX($A:$AP,ROW(),$F$6)),",",""),"원",""),0))))</f>
        <v/>
      </c>
      <c r="AU1410" s="31">
        <f>IF($AS1410="","",IF($AX1410&lt;&gt;"",SUBSTITUTE(SUBSTITUTE($AX1410,"-","")," ",""),"N:"&amp;$AV1410))</f>
        <v/>
      </c>
      <c r="AV1410" s="31">
        <f>IF(OR($AS1410="",$E$6=""),"",TRIM(INDEX($A:$AP,ROW(),$E$6)&amp;""))</f>
        <v/>
      </c>
      <c r="AW1410" s="31">
        <f>IF($AU1410="","",IF(MATCH($AU1410,$AU$8:$AU$2007,0)=ROW()-7,MAX($AW$7:$AW1409)+1,""))</f>
        <v/>
      </c>
      <c r="AX1410" s="31">
        <f>IF(OR($AS1410="",$D$6=""),"",TRIM(INDEX($A:$AP,ROW(),$D$6)&amp;""))</f>
        <v/>
      </c>
      <c r="AY1410" s="31">
        <f>IF($AU1410="","",INDEX($AW$8:$AW$2007,MATCH($AU1410,$AU$8:$AU$2007,0)))</f>
        <v/>
      </c>
      <c r="AZ1410" s="31">
        <f>IF(OR($AS1410="",$C$6=""),"",TRIM(INDEX($A:$AP,ROW(),$C$6)&amp;""))</f>
        <v/>
      </c>
      <c r="BA1410" s="31">
        <f>IF($AZ1410="","",IF(COUNTIF($AZ$8:$AZ1410,$AZ1410)&gt;1,1,0))</f>
        <v/>
      </c>
    </row>
    <row r="1411">
      <c r="AR1411" s="31">
        <f>IF(OR($A$5="",$B$6="",ROW()&lt;$A$5),"",IF(INDEX($A:$AP,ROW(),$B$6)="","",INDEX($A:$AP,ROW(),$B$6)))</f>
        <v/>
      </c>
      <c r="AS1411" s="32">
        <f>IF($AR1411="","",IF(ISNUMBER($AR1411),IF($AR1411&gt;=10000000,IFERROR(DATE(INT($AR1411/10000),MOD(INT($AR1411/100),100),MOD($AR1411,100)),""),INT($AR1411)),IFERROR(DATE(--LEFT(LEFT(SUBSTITUTE(SUBSTITUTE(SUBSTITUTE(SUBSTITUTE(TRIM($AR1411),"-",""),".",""),"/","")," ",""),8),4),--MID(LEFT(SUBSTITUTE(SUBSTITUTE(SUBSTITUTE(SUBSTITUTE(TRIM($AR1411),"-",""),".",""),"/","")," ",""),8),5,2),--MID(LEFT(SUBSTITUTE(SUBSTITUTE(SUBSTITUTE(SUBSTITUTE(TRIM($AR1411),"-",""),".",""),"/","")," ",""),8),7,2)),"")))</f>
        <v/>
      </c>
      <c r="AT1411" s="33">
        <f>IF($AS1411="","",IF($F$6="",0,IF(ISNUMBER(INDEX($A:$AP,ROW(),$F$6)),INDEX($A:$AP,ROW(),$F$6),IFERROR(--SUBSTITUTE(SUBSTITUTE(TRIM(INDEX($A:$AP,ROW(),$F$6)),",",""),"원",""),0))))</f>
        <v/>
      </c>
      <c r="AU1411" s="31">
        <f>IF($AS1411="","",IF($AX1411&lt;&gt;"",SUBSTITUTE(SUBSTITUTE($AX1411,"-","")," ",""),"N:"&amp;$AV1411))</f>
        <v/>
      </c>
      <c r="AV1411" s="31">
        <f>IF(OR($AS1411="",$E$6=""),"",TRIM(INDEX($A:$AP,ROW(),$E$6)&amp;""))</f>
        <v/>
      </c>
      <c r="AW1411" s="31">
        <f>IF($AU1411="","",IF(MATCH($AU1411,$AU$8:$AU$2007,0)=ROW()-7,MAX($AW$7:$AW1410)+1,""))</f>
        <v/>
      </c>
      <c r="AX1411" s="31">
        <f>IF(OR($AS1411="",$D$6=""),"",TRIM(INDEX($A:$AP,ROW(),$D$6)&amp;""))</f>
        <v/>
      </c>
      <c r="AY1411" s="31">
        <f>IF($AU1411="","",INDEX($AW$8:$AW$2007,MATCH($AU1411,$AU$8:$AU$2007,0)))</f>
        <v/>
      </c>
      <c r="AZ1411" s="31">
        <f>IF(OR($AS1411="",$C$6=""),"",TRIM(INDEX($A:$AP,ROW(),$C$6)&amp;""))</f>
        <v/>
      </c>
      <c r="BA1411" s="31">
        <f>IF($AZ1411="","",IF(COUNTIF($AZ$8:$AZ1411,$AZ1411)&gt;1,1,0))</f>
        <v/>
      </c>
    </row>
    <row r="1412">
      <c r="AR1412" s="31">
        <f>IF(OR($A$5="",$B$6="",ROW()&lt;$A$5),"",IF(INDEX($A:$AP,ROW(),$B$6)="","",INDEX($A:$AP,ROW(),$B$6)))</f>
        <v/>
      </c>
      <c r="AS1412" s="32">
        <f>IF($AR1412="","",IF(ISNUMBER($AR1412),IF($AR1412&gt;=10000000,IFERROR(DATE(INT($AR1412/10000),MOD(INT($AR1412/100),100),MOD($AR1412,100)),""),INT($AR1412)),IFERROR(DATE(--LEFT(LEFT(SUBSTITUTE(SUBSTITUTE(SUBSTITUTE(SUBSTITUTE(TRIM($AR1412),"-",""),".",""),"/","")," ",""),8),4),--MID(LEFT(SUBSTITUTE(SUBSTITUTE(SUBSTITUTE(SUBSTITUTE(TRIM($AR1412),"-",""),".",""),"/","")," ",""),8),5,2),--MID(LEFT(SUBSTITUTE(SUBSTITUTE(SUBSTITUTE(SUBSTITUTE(TRIM($AR1412),"-",""),".",""),"/","")," ",""),8),7,2)),"")))</f>
        <v/>
      </c>
      <c r="AT1412" s="33">
        <f>IF($AS1412="","",IF($F$6="",0,IF(ISNUMBER(INDEX($A:$AP,ROW(),$F$6)),INDEX($A:$AP,ROW(),$F$6),IFERROR(--SUBSTITUTE(SUBSTITUTE(TRIM(INDEX($A:$AP,ROW(),$F$6)),",",""),"원",""),0))))</f>
        <v/>
      </c>
      <c r="AU1412" s="31">
        <f>IF($AS1412="","",IF($AX1412&lt;&gt;"",SUBSTITUTE(SUBSTITUTE($AX1412,"-","")," ",""),"N:"&amp;$AV1412))</f>
        <v/>
      </c>
      <c r="AV1412" s="31">
        <f>IF(OR($AS1412="",$E$6=""),"",TRIM(INDEX($A:$AP,ROW(),$E$6)&amp;""))</f>
        <v/>
      </c>
      <c r="AW1412" s="31">
        <f>IF($AU1412="","",IF(MATCH($AU1412,$AU$8:$AU$2007,0)=ROW()-7,MAX($AW$7:$AW1411)+1,""))</f>
        <v/>
      </c>
      <c r="AX1412" s="31">
        <f>IF(OR($AS1412="",$D$6=""),"",TRIM(INDEX($A:$AP,ROW(),$D$6)&amp;""))</f>
        <v/>
      </c>
      <c r="AY1412" s="31">
        <f>IF($AU1412="","",INDEX($AW$8:$AW$2007,MATCH($AU1412,$AU$8:$AU$2007,0)))</f>
        <v/>
      </c>
      <c r="AZ1412" s="31">
        <f>IF(OR($AS1412="",$C$6=""),"",TRIM(INDEX($A:$AP,ROW(),$C$6)&amp;""))</f>
        <v/>
      </c>
      <c r="BA1412" s="31">
        <f>IF($AZ1412="","",IF(COUNTIF($AZ$8:$AZ1412,$AZ1412)&gt;1,1,0))</f>
        <v/>
      </c>
    </row>
    <row r="1413">
      <c r="AR1413" s="31">
        <f>IF(OR($A$5="",$B$6="",ROW()&lt;$A$5),"",IF(INDEX($A:$AP,ROW(),$B$6)="","",INDEX($A:$AP,ROW(),$B$6)))</f>
        <v/>
      </c>
      <c r="AS1413" s="32">
        <f>IF($AR1413="","",IF(ISNUMBER($AR1413),IF($AR1413&gt;=10000000,IFERROR(DATE(INT($AR1413/10000),MOD(INT($AR1413/100),100),MOD($AR1413,100)),""),INT($AR1413)),IFERROR(DATE(--LEFT(LEFT(SUBSTITUTE(SUBSTITUTE(SUBSTITUTE(SUBSTITUTE(TRIM($AR1413),"-",""),".",""),"/","")," ",""),8),4),--MID(LEFT(SUBSTITUTE(SUBSTITUTE(SUBSTITUTE(SUBSTITUTE(TRIM($AR1413),"-",""),".",""),"/","")," ",""),8),5,2),--MID(LEFT(SUBSTITUTE(SUBSTITUTE(SUBSTITUTE(SUBSTITUTE(TRIM($AR1413),"-",""),".",""),"/","")," ",""),8),7,2)),"")))</f>
        <v/>
      </c>
      <c r="AT1413" s="33">
        <f>IF($AS1413="","",IF($F$6="",0,IF(ISNUMBER(INDEX($A:$AP,ROW(),$F$6)),INDEX($A:$AP,ROW(),$F$6),IFERROR(--SUBSTITUTE(SUBSTITUTE(TRIM(INDEX($A:$AP,ROW(),$F$6)),",",""),"원",""),0))))</f>
        <v/>
      </c>
      <c r="AU1413" s="31">
        <f>IF($AS1413="","",IF($AX1413&lt;&gt;"",SUBSTITUTE(SUBSTITUTE($AX1413,"-","")," ",""),"N:"&amp;$AV1413))</f>
        <v/>
      </c>
      <c r="AV1413" s="31">
        <f>IF(OR($AS1413="",$E$6=""),"",TRIM(INDEX($A:$AP,ROW(),$E$6)&amp;""))</f>
        <v/>
      </c>
      <c r="AW1413" s="31">
        <f>IF($AU1413="","",IF(MATCH($AU1413,$AU$8:$AU$2007,0)=ROW()-7,MAX($AW$7:$AW1412)+1,""))</f>
        <v/>
      </c>
      <c r="AX1413" s="31">
        <f>IF(OR($AS1413="",$D$6=""),"",TRIM(INDEX($A:$AP,ROW(),$D$6)&amp;""))</f>
        <v/>
      </c>
      <c r="AY1413" s="31">
        <f>IF($AU1413="","",INDEX($AW$8:$AW$2007,MATCH($AU1413,$AU$8:$AU$2007,0)))</f>
        <v/>
      </c>
      <c r="AZ1413" s="31">
        <f>IF(OR($AS1413="",$C$6=""),"",TRIM(INDEX($A:$AP,ROW(),$C$6)&amp;""))</f>
        <v/>
      </c>
      <c r="BA1413" s="31">
        <f>IF($AZ1413="","",IF(COUNTIF($AZ$8:$AZ1413,$AZ1413)&gt;1,1,0))</f>
        <v/>
      </c>
    </row>
    <row r="1414">
      <c r="AR1414" s="31">
        <f>IF(OR($A$5="",$B$6="",ROW()&lt;$A$5),"",IF(INDEX($A:$AP,ROW(),$B$6)="","",INDEX($A:$AP,ROW(),$B$6)))</f>
        <v/>
      </c>
      <c r="AS1414" s="32">
        <f>IF($AR1414="","",IF(ISNUMBER($AR1414),IF($AR1414&gt;=10000000,IFERROR(DATE(INT($AR1414/10000),MOD(INT($AR1414/100),100),MOD($AR1414,100)),""),INT($AR1414)),IFERROR(DATE(--LEFT(LEFT(SUBSTITUTE(SUBSTITUTE(SUBSTITUTE(SUBSTITUTE(TRIM($AR1414),"-",""),".",""),"/","")," ",""),8),4),--MID(LEFT(SUBSTITUTE(SUBSTITUTE(SUBSTITUTE(SUBSTITUTE(TRIM($AR1414),"-",""),".",""),"/","")," ",""),8),5,2),--MID(LEFT(SUBSTITUTE(SUBSTITUTE(SUBSTITUTE(SUBSTITUTE(TRIM($AR1414),"-",""),".",""),"/","")," ",""),8),7,2)),"")))</f>
        <v/>
      </c>
      <c r="AT1414" s="33">
        <f>IF($AS1414="","",IF($F$6="",0,IF(ISNUMBER(INDEX($A:$AP,ROW(),$F$6)),INDEX($A:$AP,ROW(),$F$6),IFERROR(--SUBSTITUTE(SUBSTITUTE(TRIM(INDEX($A:$AP,ROW(),$F$6)),",",""),"원",""),0))))</f>
        <v/>
      </c>
      <c r="AU1414" s="31">
        <f>IF($AS1414="","",IF($AX1414&lt;&gt;"",SUBSTITUTE(SUBSTITUTE($AX1414,"-","")," ",""),"N:"&amp;$AV1414))</f>
        <v/>
      </c>
      <c r="AV1414" s="31">
        <f>IF(OR($AS1414="",$E$6=""),"",TRIM(INDEX($A:$AP,ROW(),$E$6)&amp;""))</f>
        <v/>
      </c>
      <c r="AW1414" s="31">
        <f>IF($AU1414="","",IF(MATCH($AU1414,$AU$8:$AU$2007,0)=ROW()-7,MAX($AW$7:$AW1413)+1,""))</f>
        <v/>
      </c>
      <c r="AX1414" s="31">
        <f>IF(OR($AS1414="",$D$6=""),"",TRIM(INDEX($A:$AP,ROW(),$D$6)&amp;""))</f>
        <v/>
      </c>
      <c r="AY1414" s="31">
        <f>IF($AU1414="","",INDEX($AW$8:$AW$2007,MATCH($AU1414,$AU$8:$AU$2007,0)))</f>
        <v/>
      </c>
      <c r="AZ1414" s="31">
        <f>IF(OR($AS1414="",$C$6=""),"",TRIM(INDEX($A:$AP,ROW(),$C$6)&amp;""))</f>
        <v/>
      </c>
      <c r="BA1414" s="31">
        <f>IF($AZ1414="","",IF(COUNTIF($AZ$8:$AZ1414,$AZ1414)&gt;1,1,0))</f>
        <v/>
      </c>
    </row>
    <row r="1415">
      <c r="AR1415" s="31">
        <f>IF(OR($A$5="",$B$6="",ROW()&lt;$A$5),"",IF(INDEX($A:$AP,ROW(),$B$6)="","",INDEX($A:$AP,ROW(),$B$6)))</f>
        <v/>
      </c>
      <c r="AS1415" s="32">
        <f>IF($AR1415="","",IF(ISNUMBER($AR1415),IF($AR1415&gt;=10000000,IFERROR(DATE(INT($AR1415/10000),MOD(INT($AR1415/100),100),MOD($AR1415,100)),""),INT($AR1415)),IFERROR(DATE(--LEFT(LEFT(SUBSTITUTE(SUBSTITUTE(SUBSTITUTE(SUBSTITUTE(TRIM($AR1415),"-",""),".",""),"/","")," ",""),8),4),--MID(LEFT(SUBSTITUTE(SUBSTITUTE(SUBSTITUTE(SUBSTITUTE(TRIM($AR1415),"-",""),".",""),"/","")," ",""),8),5,2),--MID(LEFT(SUBSTITUTE(SUBSTITUTE(SUBSTITUTE(SUBSTITUTE(TRIM($AR1415),"-",""),".",""),"/","")," ",""),8),7,2)),"")))</f>
        <v/>
      </c>
      <c r="AT1415" s="33">
        <f>IF($AS1415="","",IF($F$6="",0,IF(ISNUMBER(INDEX($A:$AP,ROW(),$F$6)),INDEX($A:$AP,ROW(),$F$6),IFERROR(--SUBSTITUTE(SUBSTITUTE(TRIM(INDEX($A:$AP,ROW(),$F$6)),",",""),"원",""),0))))</f>
        <v/>
      </c>
      <c r="AU1415" s="31">
        <f>IF($AS1415="","",IF($AX1415&lt;&gt;"",SUBSTITUTE(SUBSTITUTE($AX1415,"-","")," ",""),"N:"&amp;$AV1415))</f>
        <v/>
      </c>
      <c r="AV1415" s="31">
        <f>IF(OR($AS1415="",$E$6=""),"",TRIM(INDEX($A:$AP,ROW(),$E$6)&amp;""))</f>
        <v/>
      </c>
      <c r="AW1415" s="31">
        <f>IF($AU1415="","",IF(MATCH($AU1415,$AU$8:$AU$2007,0)=ROW()-7,MAX($AW$7:$AW1414)+1,""))</f>
        <v/>
      </c>
      <c r="AX1415" s="31">
        <f>IF(OR($AS1415="",$D$6=""),"",TRIM(INDEX($A:$AP,ROW(),$D$6)&amp;""))</f>
        <v/>
      </c>
      <c r="AY1415" s="31">
        <f>IF($AU1415="","",INDEX($AW$8:$AW$2007,MATCH($AU1415,$AU$8:$AU$2007,0)))</f>
        <v/>
      </c>
      <c r="AZ1415" s="31">
        <f>IF(OR($AS1415="",$C$6=""),"",TRIM(INDEX($A:$AP,ROW(),$C$6)&amp;""))</f>
        <v/>
      </c>
      <c r="BA1415" s="31">
        <f>IF($AZ1415="","",IF(COUNTIF($AZ$8:$AZ1415,$AZ1415)&gt;1,1,0))</f>
        <v/>
      </c>
    </row>
    <row r="1416">
      <c r="AR1416" s="31">
        <f>IF(OR($A$5="",$B$6="",ROW()&lt;$A$5),"",IF(INDEX($A:$AP,ROW(),$B$6)="","",INDEX($A:$AP,ROW(),$B$6)))</f>
        <v/>
      </c>
      <c r="AS1416" s="32">
        <f>IF($AR1416="","",IF(ISNUMBER($AR1416),IF($AR1416&gt;=10000000,IFERROR(DATE(INT($AR1416/10000),MOD(INT($AR1416/100),100),MOD($AR1416,100)),""),INT($AR1416)),IFERROR(DATE(--LEFT(LEFT(SUBSTITUTE(SUBSTITUTE(SUBSTITUTE(SUBSTITUTE(TRIM($AR1416),"-",""),".",""),"/","")," ",""),8),4),--MID(LEFT(SUBSTITUTE(SUBSTITUTE(SUBSTITUTE(SUBSTITUTE(TRIM($AR1416),"-",""),".",""),"/","")," ",""),8),5,2),--MID(LEFT(SUBSTITUTE(SUBSTITUTE(SUBSTITUTE(SUBSTITUTE(TRIM($AR1416),"-",""),".",""),"/","")," ",""),8),7,2)),"")))</f>
        <v/>
      </c>
      <c r="AT1416" s="33">
        <f>IF($AS1416="","",IF($F$6="",0,IF(ISNUMBER(INDEX($A:$AP,ROW(),$F$6)),INDEX($A:$AP,ROW(),$F$6),IFERROR(--SUBSTITUTE(SUBSTITUTE(TRIM(INDEX($A:$AP,ROW(),$F$6)),",",""),"원",""),0))))</f>
        <v/>
      </c>
      <c r="AU1416" s="31">
        <f>IF($AS1416="","",IF($AX1416&lt;&gt;"",SUBSTITUTE(SUBSTITUTE($AX1416,"-","")," ",""),"N:"&amp;$AV1416))</f>
        <v/>
      </c>
      <c r="AV1416" s="31">
        <f>IF(OR($AS1416="",$E$6=""),"",TRIM(INDEX($A:$AP,ROW(),$E$6)&amp;""))</f>
        <v/>
      </c>
      <c r="AW1416" s="31">
        <f>IF($AU1416="","",IF(MATCH($AU1416,$AU$8:$AU$2007,0)=ROW()-7,MAX($AW$7:$AW1415)+1,""))</f>
        <v/>
      </c>
      <c r="AX1416" s="31">
        <f>IF(OR($AS1416="",$D$6=""),"",TRIM(INDEX($A:$AP,ROW(),$D$6)&amp;""))</f>
        <v/>
      </c>
      <c r="AY1416" s="31">
        <f>IF($AU1416="","",INDEX($AW$8:$AW$2007,MATCH($AU1416,$AU$8:$AU$2007,0)))</f>
        <v/>
      </c>
      <c r="AZ1416" s="31">
        <f>IF(OR($AS1416="",$C$6=""),"",TRIM(INDEX($A:$AP,ROW(),$C$6)&amp;""))</f>
        <v/>
      </c>
      <c r="BA1416" s="31">
        <f>IF($AZ1416="","",IF(COUNTIF($AZ$8:$AZ1416,$AZ1416)&gt;1,1,0))</f>
        <v/>
      </c>
    </row>
    <row r="1417">
      <c r="AR1417" s="31">
        <f>IF(OR($A$5="",$B$6="",ROW()&lt;$A$5),"",IF(INDEX($A:$AP,ROW(),$B$6)="","",INDEX($A:$AP,ROW(),$B$6)))</f>
        <v/>
      </c>
      <c r="AS1417" s="32">
        <f>IF($AR1417="","",IF(ISNUMBER($AR1417),IF($AR1417&gt;=10000000,IFERROR(DATE(INT($AR1417/10000),MOD(INT($AR1417/100),100),MOD($AR1417,100)),""),INT($AR1417)),IFERROR(DATE(--LEFT(LEFT(SUBSTITUTE(SUBSTITUTE(SUBSTITUTE(SUBSTITUTE(TRIM($AR1417),"-",""),".",""),"/","")," ",""),8),4),--MID(LEFT(SUBSTITUTE(SUBSTITUTE(SUBSTITUTE(SUBSTITUTE(TRIM($AR1417),"-",""),".",""),"/","")," ",""),8),5,2),--MID(LEFT(SUBSTITUTE(SUBSTITUTE(SUBSTITUTE(SUBSTITUTE(TRIM($AR1417),"-",""),".",""),"/","")," ",""),8),7,2)),"")))</f>
        <v/>
      </c>
      <c r="AT1417" s="33">
        <f>IF($AS1417="","",IF($F$6="",0,IF(ISNUMBER(INDEX($A:$AP,ROW(),$F$6)),INDEX($A:$AP,ROW(),$F$6),IFERROR(--SUBSTITUTE(SUBSTITUTE(TRIM(INDEX($A:$AP,ROW(),$F$6)),",",""),"원",""),0))))</f>
        <v/>
      </c>
      <c r="AU1417" s="31">
        <f>IF($AS1417="","",IF($AX1417&lt;&gt;"",SUBSTITUTE(SUBSTITUTE($AX1417,"-","")," ",""),"N:"&amp;$AV1417))</f>
        <v/>
      </c>
      <c r="AV1417" s="31">
        <f>IF(OR($AS1417="",$E$6=""),"",TRIM(INDEX($A:$AP,ROW(),$E$6)&amp;""))</f>
        <v/>
      </c>
      <c r="AW1417" s="31">
        <f>IF($AU1417="","",IF(MATCH($AU1417,$AU$8:$AU$2007,0)=ROW()-7,MAX($AW$7:$AW1416)+1,""))</f>
        <v/>
      </c>
      <c r="AX1417" s="31">
        <f>IF(OR($AS1417="",$D$6=""),"",TRIM(INDEX($A:$AP,ROW(),$D$6)&amp;""))</f>
        <v/>
      </c>
      <c r="AY1417" s="31">
        <f>IF($AU1417="","",INDEX($AW$8:$AW$2007,MATCH($AU1417,$AU$8:$AU$2007,0)))</f>
        <v/>
      </c>
      <c r="AZ1417" s="31">
        <f>IF(OR($AS1417="",$C$6=""),"",TRIM(INDEX($A:$AP,ROW(),$C$6)&amp;""))</f>
        <v/>
      </c>
      <c r="BA1417" s="31">
        <f>IF($AZ1417="","",IF(COUNTIF($AZ$8:$AZ1417,$AZ1417)&gt;1,1,0))</f>
        <v/>
      </c>
    </row>
    <row r="1418">
      <c r="AR1418" s="31">
        <f>IF(OR($A$5="",$B$6="",ROW()&lt;$A$5),"",IF(INDEX($A:$AP,ROW(),$B$6)="","",INDEX($A:$AP,ROW(),$B$6)))</f>
        <v/>
      </c>
      <c r="AS1418" s="32">
        <f>IF($AR1418="","",IF(ISNUMBER($AR1418),IF($AR1418&gt;=10000000,IFERROR(DATE(INT($AR1418/10000),MOD(INT($AR1418/100),100),MOD($AR1418,100)),""),INT($AR1418)),IFERROR(DATE(--LEFT(LEFT(SUBSTITUTE(SUBSTITUTE(SUBSTITUTE(SUBSTITUTE(TRIM($AR1418),"-",""),".",""),"/","")," ",""),8),4),--MID(LEFT(SUBSTITUTE(SUBSTITUTE(SUBSTITUTE(SUBSTITUTE(TRIM($AR1418),"-",""),".",""),"/","")," ",""),8),5,2),--MID(LEFT(SUBSTITUTE(SUBSTITUTE(SUBSTITUTE(SUBSTITUTE(TRIM($AR1418),"-",""),".",""),"/","")," ",""),8),7,2)),"")))</f>
        <v/>
      </c>
      <c r="AT1418" s="33">
        <f>IF($AS1418="","",IF($F$6="",0,IF(ISNUMBER(INDEX($A:$AP,ROW(),$F$6)),INDEX($A:$AP,ROW(),$F$6),IFERROR(--SUBSTITUTE(SUBSTITUTE(TRIM(INDEX($A:$AP,ROW(),$F$6)),",",""),"원",""),0))))</f>
        <v/>
      </c>
      <c r="AU1418" s="31">
        <f>IF($AS1418="","",IF($AX1418&lt;&gt;"",SUBSTITUTE(SUBSTITUTE($AX1418,"-","")," ",""),"N:"&amp;$AV1418))</f>
        <v/>
      </c>
      <c r="AV1418" s="31">
        <f>IF(OR($AS1418="",$E$6=""),"",TRIM(INDEX($A:$AP,ROW(),$E$6)&amp;""))</f>
        <v/>
      </c>
      <c r="AW1418" s="31">
        <f>IF($AU1418="","",IF(MATCH($AU1418,$AU$8:$AU$2007,0)=ROW()-7,MAX($AW$7:$AW1417)+1,""))</f>
        <v/>
      </c>
      <c r="AX1418" s="31">
        <f>IF(OR($AS1418="",$D$6=""),"",TRIM(INDEX($A:$AP,ROW(),$D$6)&amp;""))</f>
        <v/>
      </c>
      <c r="AY1418" s="31">
        <f>IF($AU1418="","",INDEX($AW$8:$AW$2007,MATCH($AU1418,$AU$8:$AU$2007,0)))</f>
        <v/>
      </c>
      <c r="AZ1418" s="31">
        <f>IF(OR($AS1418="",$C$6=""),"",TRIM(INDEX($A:$AP,ROW(),$C$6)&amp;""))</f>
        <v/>
      </c>
      <c r="BA1418" s="31">
        <f>IF($AZ1418="","",IF(COUNTIF($AZ$8:$AZ1418,$AZ1418)&gt;1,1,0))</f>
        <v/>
      </c>
    </row>
    <row r="1419">
      <c r="AR1419" s="31">
        <f>IF(OR($A$5="",$B$6="",ROW()&lt;$A$5),"",IF(INDEX($A:$AP,ROW(),$B$6)="","",INDEX($A:$AP,ROW(),$B$6)))</f>
        <v/>
      </c>
      <c r="AS1419" s="32">
        <f>IF($AR1419="","",IF(ISNUMBER($AR1419),IF($AR1419&gt;=10000000,IFERROR(DATE(INT($AR1419/10000),MOD(INT($AR1419/100),100),MOD($AR1419,100)),""),INT($AR1419)),IFERROR(DATE(--LEFT(LEFT(SUBSTITUTE(SUBSTITUTE(SUBSTITUTE(SUBSTITUTE(TRIM($AR1419),"-",""),".",""),"/","")," ",""),8),4),--MID(LEFT(SUBSTITUTE(SUBSTITUTE(SUBSTITUTE(SUBSTITUTE(TRIM($AR1419),"-",""),".",""),"/","")," ",""),8),5,2),--MID(LEFT(SUBSTITUTE(SUBSTITUTE(SUBSTITUTE(SUBSTITUTE(TRIM($AR1419),"-",""),".",""),"/","")," ",""),8),7,2)),"")))</f>
        <v/>
      </c>
      <c r="AT1419" s="33">
        <f>IF($AS1419="","",IF($F$6="",0,IF(ISNUMBER(INDEX($A:$AP,ROW(),$F$6)),INDEX($A:$AP,ROW(),$F$6),IFERROR(--SUBSTITUTE(SUBSTITUTE(TRIM(INDEX($A:$AP,ROW(),$F$6)),",",""),"원",""),0))))</f>
        <v/>
      </c>
      <c r="AU1419" s="31">
        <f>IF($AS1419="","",IF($AX1419&lt;&gt;"",SUBSTITUTE(SUBSTITUTE($AX1419,"-","")," ",""),"N:"&amp;$AV1419))</f>
        <v/>
      </c>
      <c r="AV1419" s="31">
        <f>IF(OR($AS1419="",$E$6=""),"",TRIM(INDEX($A:$AP,ROW(),$E$6)&amp;""))</f>
        <v/>
      </c>
      <c r="AW1419" s="31">
        <f>IF($AU1419="","",IF(MATCH($AU1419,$AU$8:$AU$2007,0)=ROW()-7,MAX($AW$7:$AW1418)+1,""))</f>
        <v/>
      </c>
      <c r="AX1419" s="31">
        <f>IF(OR($AS1419="",$D$6=""),"",TRIM(INDEX($A:$AP,ROW(),$D$6)&amp;""))</f>
        <v/>
      </c>
      <c r="AY1419" s="31">
        <f>IF($AU1419="","",INDEX($AW$8:$AW$2007,MATCH($AU1419,$AU$8:$AU$2007,0)))</f>
        <v/>
      </c>
      <c r="AZ1419" s="31">
        <f>IF(OR($AS1419="",$C$6=""),"",TRIM(INDEX($A:$AP,ROW(),$C$6)&amp;""))</f>
        <v/>
      </c>
      <c r="BA1419" s="31">
        <f>IF($AZ1419="","",IF(COUNTIF($AZ$8:$AZ1419,$AZ1419)&gt;1,1,0))</f>
        <v/>
      </c>
    </row>
    <row r="1420">
      <c r="AR1420" s="31">
        <f>IF(OR($A$5="",$B$6="",ROW()&lt;$A$5),"",IF(INDEX($A:$AP,ROW(),$B$6)="","",INDEX($A:$AP,ROW(),$B$6)))</f>
        <v/>
      </c>
      <c r="AS1420" s="32">
        <f>IF($AR1420="","",IF(ISNUMBER($AR1420),IF($AR1420&gt;=10000000,IFERROR(DATE(INT($AR1420/10000),MOD(INT($AR1420/100),100),MOD($AR1420,100)),""),INT($AR1420)),IFERROR(DATE(--LEFT(LEFT(SUBSTITUTE(SUBSTITUTE(SUBSTITUTE(SUBSTITUTE(TRIM($AR1420),"-",""),".",""),"/","")," ",""),8),4),--MID(LEFT(SUBSTITUTE(SUBSTITUTE(SUBSTITUTE(SUBSTITUTE(TRIM($AR1420),"-",""),".",""),"/","")," ",""),8),5,2),--MID(LEFT(SUBSTITUTE(SUBSTITUTE(SUBSTITUTE(SUBSTITUTE(TRIM($AR1420),"-",""),".",""),"/","")," ",""),8),7,2)),"")))</f>
        <v/>
      </c>
      <c r="AT1420" s="33">
        <f>IF($AS1420="","",IF($F$6="",0,IF(ISNUMBER(INDEX($A:$AP,ROW(),$F$6)),INDEX($A:$AP,ROW(),$F$6),IFERROR(--SUBSTITUTE(SUBSTITUTE(TRIM(INDEX($A:$AP,ROW(),$F$6)),",",""),"원",""),0))))</f>
        <v/>
      </c>
      <c r="AU1420" s="31">
        <f>IF($AS1420="","",IF($AX1420&lt;&gt;"",SUBSTITUTE(SUBSTITUTE($AX1420,"-","")," ",""),"N:"&amp;$AV1420))</f>
        <v/>
      </c>
      <c r="AV1420" s="31">
        <f>IF(OR($AS1420="",$E$6=""),"",TRIM(INDEX($A:$AP,ROW(),$E$6)&amp;""))</f>
        <v/>
      </c>
      <c r="AW1420" s="31">
        <f>IF($AU1420="","",IF(MATCH($AU1420,$AU$8:$AU$2007,0)=ROW()-7,MAX($AW$7:$AW1419)+1,""))</f>
        <v/>
      </c>
      <c r="AX1420" s="31">
        <f>IF(OR($AS1420="",$D$6=""),"",TRIM(INDEX($A:$AP,ROW(),$D$6)&amp;""))</f>
        <v/>
      </c>
      <c r="AY1420" s="31">
        <f>IF($AU1420="","",INDEX($AW$8:$AW$2007,MATCH($AU1420,$AU$8:$AU$2007,0)))</f>
        <v/>
      </c>
      <c r="AZ1420" s="31">
        <f>IF(OR($AS1420="",$C$6=""),"",TRIM(INDEX($A:$AP,ROW(),$C$6)&amp;""))</f>
        <v/>
      </c>
      <c r="BA1420" s="31">
        <f>IF($AZ1420="","",IF(COUNTIF($AZ$8:$AZ1420,$AZ1420)&gt;1,1,0))</f>
        <v/>
      </c>
    </row>
    <row r="1421">
      <c r="AR1421" s="31">
        <f>IF(OR($A$5="",$B$6="",ROW()&lt;$A$5),"",IF(INDEX($A:$AP,ROW(),$B$6)="","",INDEX($A:$AP,ROW(),$B$6)))</f>
        <v/>
      </c>
      <c r="AS1421" s="32">
        <f>IF($AR1421="","",IF(ISNUMBER($AR1421),IF($AR1421&gt;=10000000,IFERROR(DATE(INT($AR1421/10000),MOD(INT($AR1421/100),100),MOD($AR1421,100)),""),INT($AR1421)),IFERROR(DATE(--LEFT(LEFT(SUBSTITUTE(SUBSTITUTE(SUBSTITUTE(SUBSTITUTE(TRIM($AR1421),"-",""),".",""),"/","")," ",""),8),4),--MID(LEFT(SUBSTITUTE(SUBSTITUTE(SUBSTITUTE(SUBSTITUTE(TRIM($AR1421),"-",""),".",""),"/","")," ",""),8),5,2),--MID(LEFT(SUBSTITUTE(SUBSTITUTE(SUBSTITUTE(SUBSTITUTE(TRIM($AR1421),"-",""),".",""),"/","")," ",""),8),7,2)),"")))</f>
        <v/>
      </c>
      <c r="AT1421" s="33">
        <f>IF($AS1421="","",IF($F$6="",0,IF(ISNUMBER(INDEX($A:$AP,ROW(),$F$6)),INDEX($A:$AP,ROW(),$F$6),IFERROR(--SUBSTITUTE(SUBSTITUTE(TRIM(INDEX($A:$AP,ROW(),$F$6)),",",""),"원",""),0))))</f>
        <v/>
      </c>
      <c r="AU1421" s="31">
        <f>IF($AS1421="","",IF($AX1421&lt;&gt;"",SUBSTITUTE(SUBSTITUTE($AX1421,"-","")," ",""),"N:"&amp;$AV1421))</f>
        <v/>
      </c>
      <c r="AV1421" s="31">
        <f>IF(OR($AS1421="",$E$6=""),"",TRIM(INDEX($A:$AP,ROW(),$E$6)&amp;""))</f>
        <v/>
      </c>
      <c r="AW1421" s="31">
        <f>IF($AU1421="","",IF(MATCH($AU1421,$AU$8:$AU$2007,0)=ROW()-7,MAX($AW$7:$AW1420)+1,""))</f>
        <v/>
      </c>
      <c r="AX1421" s="31">
        <f>IF(OR($AS1421="",$D$6=""),"",TRIM(INDEX($A:$AP,ROW(),$D$6)&amp;""))</f>
        <v/>
      </c>
      <c r="AY1421" s="31">
        <f>IF($AU1421="","",INDEX($AW$8:$AW$2007,MATCH($AU1421,$AU$8:$AU$2007,0)))</f>
        <v/>
      </c>
      <c r="AZ1421" s="31">
        <f>IF(OR($AS1421="",$C$6=""),"",TRIM(INDEX($A:$AP,ROW(),$C$6)&amp;""))</f>
        <v/>
      </c>
      <c r="BA1421" s="31">
        <f>IF($AZ1421="","",IF(COUNTIF($AZ$8:$AZ1421,$AZ1421)&gt;1,1,0))</f>
        <v/>
      </c>
    </row>
    <row r="1422">
      <c r="AR1422" s="31">
        <f>IF(OR($A$5="",$B$6="",ROW()&lt;$A$5),"",IF(INDEX($A:$AP,ROW(),$B$6)="","",INDEX($A:$AP,ROW(),$B$6)))</f>
        <v/>
      </c>
      <c r="AS1422" s="32">
        <f>IF($AR1422="","",IF(ISNUMBER($AR1422),IF($AR1422&gt;=10000000,IFERROR(DATE(INT($AR1422/10000),MOD(INT($AR1422/100),100),MOD($AR1422,100)),""),INT($AR1422)),IFERROR(DATE(--LEFT(LEFT(SUBSTITUTE(SUBSTITUTE(SUBSTITUTE(SUBSTITUTE(TRIM($AR1422),"-",""),".",""),"/","")," ",""),8),4),--MID(LEFT(SUBSTITUTE(SUBSTITUTE(SUBSTITUTE(SUBSTITUTE(TRIM($AR1422),"-",""),".",""),"/","")," ",""),8),5,2),--MID(LEFT(SUBSTITUTE(SUBSTITUTE(SUBSTITUTE(SUBSTITUTE(TRIM($AR1422),"-",""),".",""),"/","")," ",""),8),7,2)),"")))</f>
        <v/>
      </c>
      <c r="AT1422" s="33">
        <f>IF($AS1422="","",IF($F$6="",0,IF(ISNUMBER(INDEX($A:$AP,ROW(),$F$6)),INDEX($A:$AP,ROW(),$F$6),IFERROR(--SUBSTITUTE(SUBSTITUTE(TRIM(INDEX($A:$AP,ROW(),$F$6)),",",""),"원",""),0))))</f>
        <v/>
      </c>
      <c r="AU1422" s="31">
        <f>IF($AS1422="","",IF($AX1422&lt;&gt;"",SUBSTITUTE(SUBSTITUTE($AX1422,"-","")," ",""),"N:"&amp;$AV1422))</f>
        <v/>
      </c>
      <c r="AV1422" s="31">
        <f>IF(OR($AS1422="",$E$6=""),"",TRIM(INDEX($A:$AP,ROW(),$E$6)&amp;""))</f>
        <v/>
      </c>
      <c r="AW1422" s="31">
        <f>IF($AU1422="","",IF(MATCH($AU1422,$AU$8:$AU$2007,0)=ROW()-7,MAX($AW$7:$AW1421)+1,""))</f>
        <v/>
      </c>
      <c r="AX1422" s="31">
        <f>IF(OR($AS1422="",$D$6=""),"",TRIM(INDEX($A:$AP,ROW(),$D$6)&amp;""))</f>
        <v/>
      </c>
      <c r="AY1422" s="31">
        <f>IF($AU1422="","",INDEX($AW$8:$AW$2007,MATCH($AU1422,$AU$8:$AU$2007,0)))</f>
        <v/>
      </c>
      <c r="AZ1422" s="31">
        <f>IF(OR($AS1422="",$C$6=""),"",TRIM(INDEX($A:$AP,ROW(),$C$6)&amp;""))</f>
        <v/>
      </c>
      <c r="BA1422" s="31">
        <f>IF($AZ1422="","",IF(COUNTIF($AZ$8:$AZ1422,$AZ1422)&gt;1,1,0))</f>
        <v/>
      </c>
    </row>
    <row r="1423">
      <c r="AR1423" s="31">
        <f>IF(OR($A$5="",$B$6="",ROW()&lt;$A$5),"",IF(INDEX($A:$AP,ROW(),$B$6)="","",INDEX($A:$AP,ROW(),$B$6)))</f>
        <v/>
      </c>
      <c r="AS1423" s="32">
        <f>IF($AR1423="","",IF(ISNUMBER($AR1423),IF($AR1423&gt;=10000000,IFERROR(DATE(INT($AR1423/10000),MOD(INT($AR1423/100),100),MOD($AR1423,100)),""),INT($AR1423)),IFERROR(DATE(--LEFT(LEFT(SUBSTITUTE(SUBSTITUTE(SUBSTITUTE(SUBSTITUTE(TRIM($AR1423),"-",""),".",""),"/","")," ",""),8),4),--MID(LEFT(SUBSTITUTE(SUBSTITUTE(SUBSTITUTE(SUBSTITUTE(TRIM($AR1423),"-",""),".",""),"/","")," ",""),8),5,2),--MID(LEFT(SUBSTITUTE(SUBSTITUTE(SUBSTITUTE(SUBSTITUTE(TRIM($AR1423),"-",""),".",""),"/","")," ",""),8),7,2)),"")))</f>
        <v/>
      </c>
      <c r="AT1423" s="33">
        <f>IF($AS1423="","",IF($F$6="",0,IF(ISNUMBER(INDEX($A:$AP,ROW(),$F$6)),INDEX($A:$AP,ROW(),$F$6),IFERROR(--SUBSTITUTE(SUBSTITUTE(TRIM(INDEX($A:$AP,ROW(),$F$6)),",",""),"원",""),0))))</f>
        <v/>
      </c>
      <c r="AU1423" s="31">
        <f>IF($AS1423="","",IF($AX1423&lt;&gt;"",SUBSTITUTE(SUBSTITUTE($AX1423,"-","")," ",""),"N:"&amp;$AV1423))</f>
        <v/>
      </c>
      <c r="AV1423" s="31">
        <f>IF(OR($AS1423="",$E$6=""),"",TRIM(INDEX($A:$AP,ROW(),$E$6)&amp;""))</f>
        <v/>
      </c>
      <c r="AW1423" s="31">
        <f>IF($AU1423="","",IF(MATCH($AU1423,$AU$8:$AU$2007,0)=ROW()-7,MAX($AW$7:$AW1422)+1,""))</f>
        <v/>
      </c>
      <c r="AX1423" s="31">
        <f>IF(OR($AS1423="",$D$6=""),"",TRIM(INDEX($A:$AP,ROW(),$D$6)&amp;""))</f>
        <v/>
      </c>
      <c r="AY1423" s="31">
        <f>IF($AU1423="","",INDEX($AW$8:$AW$2007,MATCH($AU1423,$AU$8:$AU$2007,0)))</f>
        <v/>
      </c>
      <c r="AZ1423" s="31">
        <f>IF(OR($AS1423="",$C$6=""),"",TRIM(INDEX($A:$AP,ROW(),$C$6)&amp;""))</f>
        <v/>
      </c>
      <c r="BA1423" s="31">
        <f>IF($AZ1423="","",IF(COUNTIF($AZ$8:$AZ1423,$AZ1423)&gt;1,1,0))</f>
        <v/>
      </c>
    </row>
    <row r="1424">
      <c r="AR1424" s="31">
        <f>IF(OR($A$5="",$B$6="",ROW()&lt;$A$5),"",IF(INDEX($A:$AP,ROW(),$B$6)="","",INDEX($A:$AP,ROW(),$B$6)))</f>
        <v/>
      </c>
      <c r="AS1424" s="32">
        <f>IF($AR1424="","",IF(ISNUMBER($AR1424),IF($AR1424&gt;=10000000,IFERROR(DATE(INT($AR1424/10000),MOD(INT($AR1424/100),100),MOD($AR1424,100)),""),INT($AR1424)),IFERROR(DATE(--LEFT(LEFT(SUBSTITUTE(SUBSTITUTE(SUBSTITUTE(SUBSTITUTE(TRIM($AR1424),"-",""),".",""),"/","")," ",""),8),4),--MID(LEFT(SUBSTITUTE(SUBSTITUTE(SUBSTITUTE(SUBSTITUTE(TRIM($AR1424),"-",""),".",""),"/","")," ",""),8),5,2),--MID(LEFT(SUBSTITUTE(SUBSTITUTE(SUBSTITUTE(SUBSTITUTE(TRIM($AR1424),"-",""),".",""),"/","")," ",""),8),7,2)),"")))</f>
        <v/>
      </c>
      <c r="AT1424" s="33">
        <f>IF($AS1424="","",IF($F$6="",0,IF(ISNUMBER(INDEX($A:$AP,ROW(),$F$6)),INDEX($A:$AP,ROW(),$F$6),IFERROR(--SUBSTITUTE(SUBSTITUTE(TRIM(INDEX($A:$AP,ROW(),$F$6)),",",""),"원",""),0))))</f>
        <v/>
      </c>
      <c r="AU1424" s="31">
        <f>IF($AS1424="","",IF($AX1424&lt;&gt;"",SUBSTITUTE(SUBSTITUTE($AX1424,"-","")," ",""),"N:"&amp;$AV1424))</f>
        <v/>
      </c>
      <c r="AV1424" s="31">
        <f>IF(OR($AS1424="",$E$6=""),"",TRIM(INDEX($A:$AP,ROW(),$E$6)&amp;""))</f>
        <v/>
      </c>
      <c r="AW1424" s="31">
        <f>IF($AU1424="","",IF(MATCH($AU1424,$AU$8:$AU$2007,0)=ROW()-7,MAX($AW$7:$AW1423)+1,""))</f>
        <v/>
      </c>
      <c r="AX1424" s="31">
        <f>IF(OR($AS1424="",$D$6=""),"",TRIM(INDEX($A:$AP,ROW(),$D$6)&amp;""))</f>
        <v/>
      </c>
      <c r="AY1424" s="31">
        <f>IF($AU1424="","",INDEX($AW$8:$AW$2007,MATCH($AU1424,$AU$8:$AU$2007,0)))</f>
        <v/>
      </c>
      <c r="AZ1424" s="31">
        <f>IF(OR($AS1424="",$C$6=""),"",TRIM(INDEX($A:$AP,ROW(),$C$6)&amp;""))</f>
        <v/>
      </c>
      <c r="BA1424" s="31">
        <f>IF($AZ1424="","",IF(COUNTIF($AZ$8:$AZ1424,$AZ1424)&gt;1,1,0))</f>
        <v/>
      </c>
    </row>
    <row r="1425">
      <c r="AR1425" s="31">
        <f>IF(OR($A$5="",$B$6="",ROW()&lt;$A$5),"",IF(INDEX($A:$AP,ROW(),$B$6)="","",INDEX($A:$AP,ROW(),$B$6)))</f>
        <v/>
      </c>
      <c r="AS1425" s="32">
        <f>IF($AR1425="","",IF(ISNUMBER($AR1425),IF($AR1425&gt;=10000000,IFERROR(DATE(INT($AR1425/10000),MOD(INT($AR1425/100),100),MOD($AR1425,100)),""),INT($AR1425)),IFERROR(DATE(--LEFT(LEFT(SUBSTITUTE(SUBSTITUTE(SUBSTITUTE(SUBSTITUTE(TRIM($AR1425),"-",""),".",""),"/","")," ",""),8),4),--MID(LEFT(SUBSTITUTE(SUBSTITUTE(SUBSTITUTE(SUBSTITUTE(TRIM($AR1425),"-",""),".",""),"/","")," ",""),8),5,2),--MID(LEFT(SUBSTITUTE(SUBSTITUTE(SUBSTITUTE(SUBSTITUTE(TRIM($AR1425),"-",""),".",""),"/","")," ",""),8),7,2)),"")))</f>
        <v/>
      </c>
      <c r="AT1425" s="33">
        <f>IF($AS1425="","",IF($F$6="",0,IF(ISNUMBER(INDEX($A:$AP,ROW(),$F$6)),INDEX($A:$AP,ROW(),$F$6),IFERROR(--SUBSTITUTE(SUBSTITUTE(TRIM(INDEX($A:$AP,ROW(),$F$6)),",",""),"원",""),0))))</f>
        <v/>
      </c>
      <c r="AU1425" s="31">
        <f>IF($AS1425="","",IF($AX1425&lt;&gt;"",SUBSTITUTE(SUBSTITUTE($AX1425,"-","")," ",""),"N:"&amp;$AV1425))</f>
        <v/>
      </c>
      <c r="AV1425" s="31">
        <f>IF(OR($AS1425="",$E$6=""),"",TRIM(INDEX($A:$AP,ROW(),$E$6)&amp;""))</f>
        <v/>
      </c>
      <c r="AW1425" s="31">
        <f>IF($AU1425="","",IF(MATCH($AU1425,$AU$8:$AU$2007,0)=ROW()-7,MAX($AW$7:$AW1424)+1,""))</f>
        <v/>
      </c>
      <c r="AX1425" s="31">
        <f>IF(OR($AS1425="",$D$6=""),"",TRIM(INDEX($A:$AP,ROW(),$D$6)&amp;""))</f>
        <v/>
      </c>
      <c r="AY1425" s="31">
        <f>IF($AU1425="","",INDEX($AW$8:$AW$2007,MATCH($AU1425,$AU$8:$AU$2007,0)))</f>
        <v/>
      </c>
      <c r="AZ1425" s="31">
        <f>IF(OR($AS1425="",$C$6=""),"",TRIM(INDEX($A:$AP,ROW(),$C$6)&amp;""))</f>
        <v/>
      </c>
      <c r="BA1425" s="31">
        <f>IF($AZ1425="","",IF(COUNTIF($AZ$8:$AZ1425,$AZ1425)&gt;1,1,0))</f>
        <v/>
      </c>
    </row>
    <row r="1426">
      <c r="AR1426" s="31">
        <f>IF(OR($A$5="",$B$6="",ROW()&lt;$A$5),"",IF(INDEX($A:$AP,ROW(),$B$6)="","",INDEX($A:$AP,ROW(),$B$6)))</f>
        <v/>
      </c>
      <c r="AS1426" s="32">
        <f>IF($AR1426="","",IF(ISNUMBER($AR1426),IF($AR1426&gt;=10000000,IFERROR(DATE(INT($AR1426/10000),MOD(INT($AR1426/100),100),MOD($AR1426,100)),""),INT($AR1426)),IFERROR(DATE(--LEFT(LEFT(SUBSTITUTE(SUBSTITUTE(SUBSTITUTE(SUBSTITUTE(TRIM($AR1426),"-",""),".",""),"/","")," ",""),8),4),--MID(LEFT(SUBSTITUTE(SUBSTITUTE(SUBSTITUTE(SUBSTITUTE(TRIM($AR1426),"-",""),".",""),"/","")," ",""),8),5,2),--MID(LEFT(SUBSTITUTE(SUBSTITUTE(SUBSTITUTE(SUBSTITUTE(TRIM($AR1426),"-",""),".",""),"/","")," ",""),8),7,2)),"")))</f>
        <v/>
      </c>
      <c r="AT1426" s="33">
        <f>IF($AS1426="","",IF($F$6="",0,IF(ISNUMBER(INDEX($A:$AP,ROW(),$F$6)),INDEX($A:$AP,ROW(),$F$6),IFERROR(--SUBSTITUTE(SUBSTITUTE(TRIM(INDEX($A:$AP,ROW(),$F$6)),",",""),"원",""),0))))</f>
        <v/>
      </c>
      <c r="AU1426" s="31">
        <f>IF($AS1426="","",IF($AX1426&lt;&gt;"",SUBSTITUTE(SUBSTITUTE($AX1426,"-","")," ",""),"N:"&amp;$AV1426))</f>
        <v/>
      </c>
      <c r="AV1426" s="31">
        <f>IF(OR($AS1426="",$E$6=""),"",TRIM(INDEX($A:$AP,ROW(),$E$6)&amp;""))</f>
        <v/>
      </c>
      <c r="AW1426" s="31">
        <f>IF($AU1426="","",IF(MATCH($AU1426,$AU$8:$AU$2007,0)=ROW()-7,MAX($AW$7:$AW1425)+1,""))</f>
        <v/>
      </c>
      <c r="AX1426" s="31">
        <f>IF(OR($AS1426="",$D$6=""),"",TRIM(INDEX($A:$AP,ROW(),$D$6)&amp;""))</f>
        <v/>
      </c>
      <c r="AY1426" s="31">
        <f>IF($AU1426="","",INDEX($AW$8:$AW$2007,MATCH($AU1426,$AU$8:$AU$2007,0)))</f>
        <v/>
      </c>
      <c r="AZ1426" s="31">
        <f>IF(OR($AS1426="",$C$6=""),"",TRIM(INDEX($A:$AP,ROW(),$C$6)&amp;""))</f>
        <v/>
      </c>
      <c r="BA1426" s="31">
        <f>IF($AZ1426="","",IF(COUNTIF($AZ$8:$AZ1426,$AZ1426)&gt;1,1,0))</f>
        <v/>
      </c>
    </row>
    <row r="1427">
      <c r="AR1427" s="31">
        <f>IF(OR($A$5="",$B$6="",ROW()&lt;$A$5),"",IF(INDEX($A:$AP,ROW(),$B$6)="","",INDEX($A:$AP,ROW(),$B$6)))</f>
        <v/>
      </c>
      <c r="AS1427" s="32">
        <f>IF($AR1427="","",IF(ISNUMBER($AR1427),IF($AR1427&gt;=10000000,IFERROR(DATE(INT($AR1427/10000),MOD(INT($AR1427/100),100),MOD($AR1427,100)),""),INT($AR1427)),IFERROR(DATE(--LEFT(LEFT(SUBSTITUTE(SUBSTITUTE(SUBSTITUTE(SUBSTITUTE(TRIM($AR1427),"-",""),".",""),"/","")," ",""),8),4),--MID(LEFT(SUBSTITUTE(SUBSTITUTE(SUBSTITUTE(SUBSTITUTE(TRIM($AR1427),"-",""),".",""),"/","")," ",""),8),5,2),--MID(LEFT(SUBSTITUTE(SUBSTITUTE(SUBSTITUTE(SUBSTITUTE(TRIM($AR1427),"-",""),".",""),"/","")," ",""),8),7,2)),"")))</f>
        <v/>
      </c>
      <c r="AT1427" s="33">
        <f>IF($AS1427="","",IF($F$6="",0,IF(ISNUMBER(INDEX($A:$AP,ROW(),$F$6)),INDEX($A:$AP,ROW(),$F$6),IFERROR(--SUBSTITUTE(SUBSTITUTE(TRIM(INDEX($A:$AP,ROW(),$F$6)),",",""),"원",""),0))))</f>
        <v/>
      </c>
      <c r="AU1427" s="31">
        <f>IF($AS1427="","",IF($AX1427&lt;&gt;"",SUBSTITUTE(SUBSTITUTE($AX1427,"-","")," ",""),"N:"&amp;$AV1427))</f>
        <v/>
      </c>
      <c r="AV1427" s="31">
        <f>IF(OR($AS1427="",$E$6=""),"",TRIM(INDEX($A:$AP,ROW(),$E$6)&amp;""))</f>
        <v/>
      </c>
      <c r="AW1427" s="31">
        <f>IF($AU1427="","",IF(MATCH($AU1427,$AU$8:$AU$2007,0)=ROW()-7,MAX($AW$7:$AW1426)+1,""))</f>
        <v/>
      </c>
      <c r="AX1427" s="31">
        <f>IF(OR($AS1427="",$D$6=""),"",TRIM(INDEX($A:$AP,ROW(),$D$6)&amp;""))</f>
        <v/>
      </c>
      <c r="AY1427" s="31">
        <f>IF($AU1427="","",INDEX($AW$8:$AW$2007,MATCH($AU1427,$AU$8:$AU$2007,0)))</f>
        <v/>
      </c>
      <c r="AZ1427" s="31">
        <f>IF(OR($AS1427="",$C$6=""),"",TRIM(INDEX($A:$AP,ROW(),$C$6)&amp;""))</f>
        <v/>
      </c>
      <c r="BA1427" s="31">
        <f>IF($AZ1427="","",IF(COUNTIF($AZ$8:$AZ1427,$AZ1427)&gt;1,1,0))</f>
        <v/>
      </c>
    </row>
    <row r="1428">
      <c r="AR1428" s="31">
        <f>IF(OR($A$5="",$B$6="",ROW()&lt;$A$5),"",IF(INDEX($A:$AP,ROW(),$B$6)="","",INDEX($A:$AP,ROW(),$B$6)))</f>
        <v/>
      </c>
      <c r="AS1428" s="32">
        <f>IF($AR1428="","",IF(ISNUMBER($AR1428),IF($AR1428&gt;=10000000,IFERROR(DATE(INT($AR1428/10000),MOD(INT($AR1428/100),100),MOD($AR1428,100)),""),INT($AR1428)),IFERROR(DATE(--LEFT(LEFT(SUBSTITUTE(SUBSTITUTE(SUBSTITUTE(SUBSTITUTE(TRIM($AR1428),"-",""),".",""),"/","")," ",""),8),4),--MID(LEFT(SUBSTITUTE(SUBSTITUTE(SUBSTITUTE(SUBSTITUTE(TRIM($AR1428),"-",""),".",""),"/","")," ",""),8),5,2),--MID(LEFT(SUBSTITUTE(SUBSTITUTE(SUBSTITUTE(SUBSTITUTE(TRIM($AR1428),"-",""),".",""),"/","")," ",""),8),7,2)),"")))</f>
        <v/>
      </c>
      <c r="AT1428" s="33">
        <f>IF($AS1428="","",IF($F$6="",0,IF(ISNUMBER(INDEX($A:$AP,ROW(),$F$6)),INDEX($A:$AP,ROW(),$F$6),IFERROR(--SUBSTITUTE(SUBSTITUTE(TRIM(INDEX($A:$AP,ROW(),$F$6)),",",""),"원",""),0))))</f>
        <v/>
      </c>
      <c r="AU1428" s="31">
        <f>IF($AS1428="","",IF($AX1428&lt;&gt;"",SUBSTITUTE(SUBSTITUTE($AX1428,"-","")," ",""),"N:"&amp;$AV1428))</f>
        <v/>
      </c>
      <c r="AV1428" s="31">
        <f>IF(OR($AS1428="",$E$6=""),"",TRIM(INDEX($A:$AP,ROW(),$E$6)&amp;""))</f>
        <v/>
      </c>
      <c r="AW1428" s="31">
        <f>IF($AU1428="","",IF(MATCH($AU1428,$AU$8:$AU$2007,0)=ROW()-7,MAX($AW$7:$AW1427)+1,""))</f>
        <v/>
      </c>
      <c r="AX1428" s="31">
        <f>IF(OR($AS1428="",$D$6=""),"",TRIM(INDEX($A:$AP,ROW(),$D$6)&amp;""))</f>
        <v/>
      </c>
      <c r="AY1428" s="31">
        <f>IF($AU1428="","",INDEX($AW$8:$AW$2007,MATCH($AU1428,$AU$8:$AU$2007,0)))</f>
        <v/>
      </c>
      <c r="AZ1428" s="31">
        <f>IF(OR($AS1428="",$C$6=""),"",TRIM(INDEX($A:$AP,ROW(),$C$6)&amp;""))</f>
        <v/>
      </c>
      <c r="BA1428" s="31">
        <f>IF($AZ1428="","",IF(COUNTIF($AZ$8:$AZ1428,$AZ1428)&gt;1,1,0))</f>
        <v/>
      </c>
    </row>
    <row r="1429">
      <c r="AR1429" s="31">
        <f>IF(OR($A$5="",$B$6="",ROW()&lt;$A$5),"",IF(INDEX($A:$AP,ROW(),$B$6)="","",INDEX($A:$AP,ROW(),$B$6)))</f>
        <v/>
      </c>
      <c r="AS1429" s="32">
        <f>IF($AR1429="","",IF(ISNUMBER($AR1429),IF($AR1429&gt;=10000000,IFERROR(DATE(INT($AR1429/10000),MOD(INT($AR1429/100),100),MOD($AR1429,100)),""),INT($AR1429)),IFERROR(DATE(--LEFT(LEFT(SUBSTITUTE(SUBSTITUTE(SUBSTITUTE(SUBSTITUTE(TRIM($AR1429),"-",""),".",""),"/","")," ",""),8),4),--MID(LEFT(SUBSTITUTE(SUBSTITUTE(SUBSTITUTE(SUBSTITUTE(TRIM($AR1429),"-",""),".",""),"/","")," ",""),8),5,2),--MID(LEFT(SUBSTITUTE(SUBSTITUTE(SUBSTITUTE(SUBSTITUTE(TRIM($AR1429),"-",""),".",""),"/","")," ",""),8),7,2)),"")))</f>
        <v/>
      </c>
      <c r="AT1429" s="33">
        <f>IF($AS1429="","",IF($F$6="",0,IF(ISNUMBER(INDEX($A:$AP,ROW(),$F$6)),INDEX($A:$AP,ROW(),$F$6),IFERROR(--SUBSTITUTE(SUBSTITUTE(TRIM(INDEX($A:$AP,ROW(),$F$6)),",",""),"원",""),0))))</f>
        <v/>
      </c>
      <c r="AU1429" s="31">
        <f>IF($AS1429="","",IF($AX1429&lt;&gt;"",SUBSTITUTE(SUBSTITUTE($AX1429,"-","")," ",""),"N:"&amp;$AV1429))</f>
        <v/>
      </c>
      <c r="AV1429" s="31">
        <f>IF(OR($AS1429="",$E$6=""),"",TRIM(INDEX($A:$AP,ROW(),$E$6)&amp;""))</f>
        <v/>
      </c>
      <c r="AW1429" s="31">
        <f>IF($AU1429="","",IF(MATCH($AU1429,$AU$8:$AU$2007,0)=ROW()-7,MAX($AW$7:$AW1428)+1,""))</f>
        <v/>
      </c>
      <c r="AX1429" s="31">
        <f>IF(OR($AS1429="",$D$6=""),"",TRIM(INDEX($A:$AP,ROW(),$D$6)&amp;""))</f>
        <v/>
      </c>
      <c r="AY1429" s="31">
        <f>IF($AU1429="","",INDEX($AW$8:$AW$2007,MATCH($AU1429,$AU$8:$AU$2007,0)))</f>
        <v/>
      </c>
      <c r="AZ1429" s="31">
        <f>IF(OR($AS1429="",$C$6=""),"",TRIM(INDEX($A:$AP,ROW(),$C$6)&amp;""))</f>
        <v/>
      </c>
      <c r="BA1429" s="31">
        <f>IF($AZ1429="","",IF(COUNTIF($AZ$8:$AZ1429,$AZ1429)&gt;1,1,0))</f>
        <v/>
      </c>
    </row>
    <row r="1430">
      <c r="AR1430" s="31">
        <f>IF(OR($A$5="",$B$6="",ROW()&lt;$A$5),"",IF(INDEX($A:$AP,ROW(),$B$6)="","",INDEX($A:$AP,ROW(),$B$6)))</f>
        <v/>
      </c>
      <c r="AS1430" s="32">
        <f>IF($AR1430="","",IF(ISNUMBER($AR1430),IF($AR1430&gt;=10000000,IFERROR(DATE(INT($AR1430/10000),MOD(INT($AR1430/100),100),MOD($AR1430,100)),""),INT($AR1430)),IFERROR(DATE(--LEFT(LEFT(SUBSTITUTE(SUBSTITUTE(SUBSTITUTE(SUBSTITUTE(TRIM($AR1430),"-",""),".",""),"/","")," ",""),8),4),--MID(LEFT(SUBSTITUTE(SUBSTITUTE(SUBSTITUTE(SUBSTITUTE(TRIM($AR1430),"-",""),".",""),"/","")," ",""),8),5,2),--MID(LEFT(SUBSTITUTE(SUBSTITUTE(SUBSTITUTE(SUBSTITUTE(TRIM($AR1430),"-",""),".",""),"/","")," ",""),8),7,2)),"")))</f>
        <v/>
      </c>
      <c r="AT1430" s="33">
        <f>IF($AS1430="","",IF($F$6="",0,IF(ISNUMBER(INDEX($A:$AP,ROW(),$F$6)),INDEX($A:$AP,ROW(),$F$6),IFERROR(--SUBSTITUTE(SUBSTITUTE(TRIM(INDEX($A:$AP,ROW(),$F$6)),",",""),"원",""),0))))</f>
        <v/>
      </c>
      <c r="AU1430" s="31">
        <f>IF($AS1430="","",IF($AX1430&lt;&gt;"",SUBSTITUTE(SUBSTITUTE($AX1430,"-","")," ",""),"N:"&amp;$AV1430))</f>
        <v/>
      </c>
      <c r="AV1430" s="31">
        <f>IF(OR($AS1430="",$E$6=""),"",TRIM(INDEX($A:$AP,ROW(),$E$6)&amp;""))</f>
        <v/>
      </c>
      <c r="AW1430" s="31">
        <f>IF($AU1430="","",IF(MATCH($AU1430,$AU$8:$AU$2007,0)=ROW()-7,MAX($AW$7:$AW1429)+1,""))</f>
        <v/>
      </c>
      <c r="AX1430" s="31">
        <f>IF(OR($AS1430="",$D$6=""),"",TRIM(INDEX($A:$AP,ROW(),$D$6)&amp;""))</f>
        <v/>
      </c>
      <c r="AY1430" s="31">
        <f>IF($AU1430="","",INDEX($AW$8:$AW$2007,MATCH($AU1430,$AU$8:$AU$2007,0)))</f>
        <v/>
      </c>
      <c r="AZ1430" s="31">
        <f>IF(OR($AS1430="",$C$6=""),"",TRIM(INDEX($A:$AP,ROW(),$C$6)&amp;""))</f>
        <v/>
      </c>
      <c r="BA1430" s="31">
        <f>IF($AZ1430="","",IF(COUNTIF($AZ$8:$AZ1430,$AZ1430)&gt;1,1,0))</f>
        <v/>
      </c>
    </row>
    <row r="1431">
      <c r="AR1431" s="31">
        <f>IF(OR($A$5="",$B$6="",ROW()&lt;$A$5),"",IF(INDEX($A:$AP,ROW(),$B$6)="","",INDEX($A:$AP,ROW(),$B$6)))</f>
        <v/>
      </c>
      <c r="AS1431" s="32">
        <f>IF($AR1431="","",IF(ISNUMBER($AR1431),IF($AR1431&gt;=10000000,IFERROR(DATE(INT($AR1431/10000),MOD(INT($AR1431/100),100),MOD($AR1431,100)),""),INT($AR1431)),IFERROR(DATE(--LEFT(LEFT(SUBSTITUTE(SUBSTITUTE(SUBSTITUTE(SUBSTITUTE(TRIM($AR1431),"-",""),".",""),"/","")," ",""),8),4),--MID(LEFT(SUBSTITUTE(SUBSTITUTE(SUBSTITUTE(SUBSTITUTE(TRIM($AR1431),"-",""),".",""),"/","")," ",""),8),5,2),--MID(LEFT(SUBSTITUTE(SUBSTITUTE(SUBSTITUTE(SUBSTITUTE(TRIM($AR1431),"-",""),".",""),"/","")," ",""),8),7,2)),"")))</f>
        <v/>
      </c>
      <c r="AT1431" s="33">
        <f>IF($AS1431="","",IF($F$6="",0,IF(ISNUMBER(INDEX($A:$AP,ROW(),$F$6)),INDEX($A:$AP,ROW(),$F$6),IFERROR(--SUBSTITUTE(SUBSTITUTE(TRIM(INDEX($A:$AP,ROW(),$F$6)),",",""),"원",""),0))))</f>
        <v/>
      </c>
      <c r="AU1431" s="31">
        <f>IF($AS1431="","",IF($AX1431&lt;&gt;"",SUBSTITUTE(SUBSTITUTE($AX1431,"-","")," ",""),"N:"&amp;$AV1431))</f>
        <v/>
      </c>
      <c r="AV1431" s="31">
        <f>IF(OR($AS1431="",$E$6=""),"",TRIM(INDEX($A:$AP,ROW(),$E$6)&amp;""))</f>
        <v/>
      </c>
      <c r="AW1431" s="31">
        <f>IF($AU1431="","",IF(MATCH($AU1431,$AU$8:$AU$2007,0)=ROW()-7,MAX($AW$7:$AW1430)+1,""))</f>
        <v/>
      </c>
      <c r="AX1431" s="31">
        <f>IF(OR($AS1431="",$D$6=""),"",TRIM(INDEX($A:$AP,ROW(),$D$6)&amp;""))</f>
        <v/>
      </c>
      <c r="AY1431" s="31">
        <f>IF($AU1431="","",INDEX($AW$8:$AW$2007,MATCH($AU1431,$AU$8:$AU$2007,0)))</f>
        <v/>
      </c>
      <c r="AZ1431" s="31">
        <f>IF(OR($AS1431="",$C$6=""),"",TRIM(INDEX($A:$AP,ROW(),$C$6)&amp;""))</f>
        <v/>
      </c>
      <c r="BA1431" s="31">
        <f>IF($AZ1431="","",IF(COUNTIF($AZ$8:$AZ1431,$AZ1431)&gt;1,1,0))</f>
        <v/>
      </c>
    </row>
    <row r="1432">
      <c r="AR1432" s="31">
        <f>IF(OR($A$5="",$B$6="",ROW()&lt;$A$5),"",IF(INDEX($A:$AP,ROW(),$B$6)="","",INDEX($A:$AP,ROW(),$B$6)))</f>
        <v/>
      </c>
      <c r="AS1432" s="32">
        <f>IF($AR1432="","",IF(ISNUMBER($AR1432),IF($AR1432&gt;=10000000,IFERROR(DATE(INT($AR1432/10000),MOD(INT($AR1432/100),100),MOD($AR1432,100)),""),INT($AR1432)),IFERROR(DATE(--LEFT(LEFT(SUBSTITUTE(SUBSTITUTE(SUBSTITUTE(SUBSTITUTE(TRIM($AR1432),"-",""),".",""),"/","")," ",""),8),4),--MID(LEFT(SUBSTITUTE(SUBSTITUTE(SUBSTITUTE(SUBSTITUTE(TRIM($AR1432),"-",""),".",""),"/","")," ",""),8),5,2),--MID(LEFT(SUBSTITUTE(SUBSTITUTE(SUBSTITUTE(SUBSTITUTE(TRIM($AR1432),"-",""),".",""),"/","")," ",""),8),7,2)),"")))</f>
        <v/>
      </c>
      <c r="AT1432" s="33">
        <f>IF($AS1432="","",IF($F$6="",0,IF(ISNUMBER(INDEX($A:$AP,ROW(),$F$6)),INDEX($A:$AP,ROW(),$F$6),IFERROR(--SUBSTITUTE(SUBSTITUTE(TRIM(INDEX($A:$AP,ROW(),$F$6)),",",""),"원",""),0))))</f>
        <v/>
      </c>
      <c r="AU1432" s="31">
        <f>IF($AS1432="","",IF($AX1432&lt;&gt;"",SUBSTITUTE(SUBSTITUTE($AX1432,"-","")," ",""),"N:"&amp;$AV1432))</f>
        <v/>
      </c>
      <c r="AV1432" s="31">
        <f>IF(OR($AS1432="",$E$6=""),"",TRIM(INDEX($A:$AP,ROW(),$E$6)&amp;""))</f>
        <v/>
      </c>
      <c r="AW1432" s="31">
        <f>IF($AU1432="","",IF(MATCH($AU1432,$AU$8:$AU$2007,0)=ROW()-7,MAX($AW$7:$AW1431)+1,""))</f>
        <v/>
      </c>
      <c r="AX1432" s="31">
        <f>IF(OR($AS1432="",$D$6=""),"",TRIM(INDEX($A:$AP,ROW(),$D$6)&amp;""))</f>
        <v/>
      </c>
      <c r="AY1432" s="31">
        <f>IF($AU1432="","",INDEX($AW$8:$AW$2007,MATCH($AU1432,$AU$8:$AU$2007,0)))</f>
        <v/>
      </c>
      <c r="AZ1432" s="31">
        <f>IF(OR($AS1432="",$C$6=""),"",TRIM(INDEX($A:$AP,ROW(),$C$6)&amp;""))</f>
        <v/>
      </c>
      <c r="BA1432" s="31">
        <f>IF($AZ1432="","",IF(COUNTIF($AZ$8:$AZ1432,$AZ1432)&gt;1,1,0))</f>
        <v/>
      </c>
    </row>
    <row r="1433">
      <c r="AR1433" s="31">
        <f>IF(OR($A$5="",$B$6="",ROW()&lt;$A$5),"",IF(INDEX($A:$AP,ROW(),$B$6)="","",INDEX($A:$AP,ROW(),$B$6)))</f>
        <v/>
      </c>
      <c r="AS1433" s="32">
        <f>IF($AR1433="","",IF(ISNUMBER($AR1433),IF($AR1433&gt;=10000000,IFERROR(DATE(INT($AR1433/10000),MOD(INT($AR1433/100),100),MOD($AR1433,100)),""),INT($AR1433)),IFERROR(DATE(--LEFT(LEFT(SUBSTITUTE(SUBSTITUTE(SUBSTITUTE(SUBSTITUTE(TRIM($AR1433),"-",""),".",""),"/","")," ",""),8),4),--MID(LEFT(SUBSTITUTE(SUBSTITUTE(SUBSTITUTE(SUBSTITUTE(TRIM($AR1433),"-",""),".",""),"/","")," ",""),8),5,2),--MID(LEFT(SUBSTITUTE(SUBSTITUTE(SUBSTITUTE(SUBSTITUTE(TRIM($AR1433),"-",""),".",""),"/","")," ",""),8),7,2)),"")))</f>
        <v/>
      </c>
      <c r="AT1433" s="33">
        <f>IF($AS1433="","",IF($F$6="",0,IF(ISNUMBER(INDEX($A:$AP,ROW(),$F$6)),INDEX($A:$AP,ROW(),$F$6),IFERROR(--SUBSTITUTE(SUBSTITUTE(TRIM(INDEX($A:$AP,ROW(),$F$6)),",",""),"원",""),0))))</f>
        <v/>
      </c>
      <c r="AU1433" s="31">
        <f>IF($AS1433="","",IF($AX1433&lt;&gt;"",SUBSTITUTE(SUBSTITUTE($AX1433,"-","")," ",""),"N:"&amp;$AV1433))</f>
        <v/>
      </c>
      <c r="AV1433" s="31">
        <f>IF(OR($AS1433="",$E$6=""),"",TRIM(INDEX($A:$AP,ROW(),$E$6)&amp;""))</f>
        <v/>
      </c>
      <c r="AW1433" s="31">
        <f>IF($AU1433="","",IF(MATCH($AU1433,$AU$8:$AU$2007,0)=ROW()-7,MAX($AW$7:$AW1432)+1,""))</f>
        <v/>
      </c>
      <c r="AX1433" s="31">
        <f>IF(OR($AS1433="",$D$6=""),"",TRIM(INDEX($A:$AP,ROW(),$D$6)&amp;""))</f>
        <v/>
      </c>
      <c r="AY1433" s="31">
        <f>IF($AU1433="","",INDEX($AW$8:$AW$2007,MATCH($AU1433,$AU$8:$AU$2007,0)))</f>
        <v/>
      </c>
      <c r="AZ1433" s="31">
        <f>IF(OR($AS1433="",$C$6=""),"",TRIM(INDEX($A:$AP,ROW(),$C$6)&amp;""))</f>
        <v/>
      </c>
      <c r="BA1433" s="31">
        <f>IF($AZ1433="","",IF(COUNTIF($AZ$8:$AZ1433,$AZ1433)&gt;1,1,0))</f>
        <v/>
      </c>
    </row>
    <row r="1434">
      <c r="AR1434" s="31">
        <f>IF(OR($A$5="",$B$6="",ROW()&lt;$A$5),"",IF(INDEX($A:$AP,ROW(),$B$6)="","",INDEX($A:$AP,ROW(),$B$6)))</f>
        <v/>
      </c>
      <c r="AS1434" s="32">
        <f>IF($AR1434="","",IF(ISNUMBER($AR1434),IF($AR1434&gt;=10000000,IFERROR(DATE(INT($AR1434/10000),MOD(INT($AR1434/100),100),MOD($AR1434,100)),""),INT($AR1434)),IFERROR(DATE(--LEFT(LEFT(SUBSTITUTE(SUBSTITUTE(SUBSTITUTE(SUBSTITUTE(TRIM($AR1434),"-",""),".",""),"/","")," ",""),8),4),--MID(LEFT(SUBSTITUTE(SUBSTITUTE(SUBSTITUTE(SUBSTITUTE(TRIM($AR1434),"-",""),".",""),"/","")," ",""),8),5,2),--MID(LEFT(SUBSTITUTE(SUBSTITUTE(SUBSTITUTE(SUBSTITUTE(TRIM($AR1434),"-",""),".",""),"/","")," ",""),8),7,2)),"")))</f>
        <v/>
      </c>
      <c r="AT1434" s="33">
        <f>IF($AS1434="","",IF($F$6="",0,IF(ISNUMBER(INDEX($A:$AP,ROW(),$F$6)),INDEX($A:$AP,ROW(),$F$6),IFERROR(--SUBSTITUTE(SUBSTITUTE(TRIM(INDEX($A:$AP,ROW(),$F$6)),",",""),"원",""),0))))</f>
        <v/>
      </c>
      <c r="AU1434" s="31">
        <f>IF($AS1434="","",IF($AX1434&lt;&gt;"",SUBSTITUTE(SUBSTITUTE($AX1434,"-","")," ",""),"N:"&amp;$AV1434))</f>
        <v/>
      </c>
      <c r="AV1434" s="31">
        <f>IF(OR($AS1434="",$E$6=""),"",TRIM(INDEX($A:$AP,ROW(),$E$6)&amp;""))</f>
        <v/>
      </c>
      <c r="AW1434" s="31">
        <f>IF($AU1434="","",IF(MATCH($AU1434,$AU$8:$AU$2007,0)=ROW()-7,MAX($AW$7:$AW1433)+1,""))</f>
        <v/>
      </c>
      <c r="AX1434" s="31">
        <f>IF(OR($AS1434="",$D$6=""),"",TRIM(INDEX($A:$AP,ROW(),$D$6)&amp;""))</f>
        <v/>
      </c>
      <c r="AY1434" s="31">
        <f>IF($AU1434="","",INDEX($AW$8:$AW$2007,MATCH($AU1434,$AU$8:$AU$2007,0)))</f>
        <v/>
      </c>
      <c r="AZ1434" s="31">
        <f>IF(OR($AS1434="",$C$6=""),"",TRIM(INDEX($A:$AP,ROW(),$C$6)&amp;""))</f>
        <v/>
      </c>
      <c r="BA1434" s="31">
        <f>IF($AZ1434="","",IF(COUNTIF($AZ$8:$AZ1434,$AZ1434)&gt;1,1,0))</f>
        <v/>
      </c>
    </row>
    <row r="1435">
      <c r="AR1435" s="31">
        <f>IF(OR($A$5="",$B$6="",ROW()&lt;$A$5),"",IF(INDEX($A:$AP,ROW(),$B$6)="","",INDEX($A:$AP,ROW(),$B$6)))</f>
        <v/>
      </c>
      <c r="AS1435" s="32">
        <f>IF($AR1435="","",IF(ISNUMBER($AR1435),IF($AR1435&gt;=10000000,IFERROR(DATE(INT($AR1435/10000),MOD(INT($AR1435/100),100),MOD($AR1435,100)),""),INT($AR1435)),IFERROR(DATE(--LEFT(LEFT(SUBSTITUTE(SUBSTITUTE(SUBSTITUTE(SUBSTITUTE(TRIM($AR1435),"-",""),".",""),"/","")," ",""),8),4),--MID(LEFT(SUBSTITUTE(SUBSTITUTE(SUBSTITUTE(SUBSTITUTE(TRIM($AR1435),"-",""),".",""),"/","")," ",""),8),5,2),--MID(LEFT(SUBSTITUTE(SUBSTITUTE(SUBSTITUTE(SUBSTITUTE(TRIM($AR1435),"-",""),".",""),"/","")," ",""),8),7,2)),"")))</f>
        <v/>
      </c>
      <c r="AT1435" s="33">
        <f>IF($AS1435="","",IF($F$6="",0,IF(ISNUMBER(INDEX($A:$AP,ROW(),$F$6)),INDEX($A:$AP,ROW(),$F$6),IFERROR(--SUBSTITUTE(SUBSTITUTE(TRIM(INDEX($A:$AP,ROW(),$F$6)),",",""),"원",""),0))))</f>
        <v/>
      </c>
      <c r="AU1435" s="31">
        <f>IF($AS1435="","",IF($AX1435&lt;&gt;"",SUBSTITUTE(SUBSTITUTE($AX1435,"-","")," ",""),"N:"&amp;$AV1435))</f>
        <v/>
      </c>
      <c r="AV1435" s="31">
        <f>IF(OR($AS1435="",$E$6=""),"",TRIM(INDEX($A:$AP,ROW(),$E$6)&amp;""))</f>
        <v/>
      </c>
      <c r="AW1435" s="31">
        <f>IF($AU1435="","",IF(MATCH($AU1435,$AU$8:$AU$2007,0)=ROW()-7,MAX($AW$7:$AW1434)+1,""))</f>
        <v/>
      </c>
      <c r="AX1435" s="31">
        <f>IF(OR($AS1435="",$D$6=""),"",TRIM(INDEX($A:$AP,ROW(),$D$6)&amp;""))</f>
        <v/>
      </c>
      <c r="AY1435" s="31">
        <f>IF($AU1435="","",INDEX($AW$8:$AW$2007,MATCH($AU1435,$AU$8:$AU$2007,0)))</f>
        <v/>
      </c>
      <c r="AZ1435" s="31">
        <f>IF(OR($AS1435="",$C$6=""),"",TRIM(INDEX($A:$AP,ROW(),$C$6)&amp;""))</f>
        <v/>
      </c>
      <c r="BA1435" s="31">
        <f>IF($AZ1435="","",IF(COUNTIF($AZ$8:$AZ1435,$AZ1435)&gt;1,1,0))</f>
        <v/>
      </c>
    </row>
    <row r="1436">
      <c r="AR1436" s="31">
        <f>IF(OR($A$5="",$B$6="",ROW()&lt;$A$5),"",IF(INDEX($A:$AP,ROW(),$B$6)="","",INDEX($A:$AP,ROW(),$B$6)))</f>
        <v/>
      </c>
      <c r="AS1436" s="32">
        <f>IF($AR1436="","",IF(ISNUMBER($AR1436),IF($AR1436&gt;=10000000,IFERROR(DATE(INT($AR1436/10000),MOD(INT($AR1436/100),100),MOD($AR1436,100)),""),INT($AR1436)),IFERROR(DATE(--LEFT(LEFT(SUBSTITUTE(SUBSTITUTE(SUBSTITUTE(SUBSTITUTE(TRIM($AR1436),"-",""),".",""),"/","")," ",""),8),4),--MID(LEFT(SUBSTITUTE(SUBSTITUTE(SUBSTITUTE(SUBSTITUTE(TRIM($AR1436),"-",""),".",""),"/","")," ",""),8),5,2),--MID(LEFT(SUBSTITUTE(SUBSTITUTE(SUBSTITUTE(SUBSTITUTE(TRIM($AR1436),"-",""),".",""),"/","")," ",""),8),7,2)),"")))</f>
        <v/>
      </c>
      <c r="AT1436" s="33">
        <f>IF($AS1436="","",IF($F$6="",0,IF(ISNUMBER(INDEX($A:$AP,ROW(),$F$6)),INDEX($A:$AP,ROW(),$F$6),IFERROR(--SUBSTITUTE(SUBSTITUTE(TRIM(INDEX($A:$AP,ROW(),$F$6)),",",""),"원",""),0))))</f>
        <v/>
      </c>
      <c r="AU1436" s="31">
        <f>IF($AS1436="","",IF($AX1436&lt;&gt;"",SUBSTITUTE(SUBSTITUTE($AX1436,"-","")," ",""),"N:"&amp;$AV1436))</f>
        <v/>
      </c>
      <c r="AV1436" s="31">
        <f>IF(OR($AS1436="",$E$6=""),"",TRIM(INDEX($A:$AP,ROW(),$E$6)&amp;""))</f>
        <v/>
      </c>
      <c r="AW1436" s="31">
        <f>IF($AU1436="","",IF(MATCH($AU1436,$AU$8:$AU$2007,0)=ROW()-7,MAX($AW$7:$AW1435)+1,""))</f>
        <v/>
      </c>
      <c r="AX1436" s="31">
        <f>IF(OR($AS1436="",$D$6=""),"",TRIM(INDEX($A:$AP,ROW(),$D$6)&amp;""))</f>
        <v/>
      </c>
      <c r="AY1436" s="31">
        <f>IF($AU1436="","",INDEX($AW$8:$AW$2007,MATCH($AU1436,$AU$8:$AU$2007,0)))</f>
        <v/>
      </c>
      <c r="AZ1436" s="31">
        <f>IF(OR($AS1436="",$C$6=""),"",TRIM(INDEX($A:$AP,ROW(),$C$6)&amp;""))</f>
        <v/>
      </c>
      <c r="BA1436" s="31">
        <f>IF($AZ1436="","",IF(COUNTIF($AZ$8:$AZ1436,$AZ1436)&gt;1,1,0))</f>
        <v/>
      </c>
    </row>
    <row r="1437">
      <c r="AR1437" s="31">
        <f>IF(OR($A$5="",$B$6="",ROW()&lt;$A$5),"",IF(INDEX($A:$AP,ROW(),$B$6)="","",INDEX($A:$AP,ROW(),$B$6)))</f>
        <v/>
      </c>
      <c r="AS1437" s="32">
        <f>IF($AR1437="","",IF(ISNUMBER($AR1437),IF($AR1437&gt;=10000000,IFERROR(DATE(INT($AR1437/10000),MOD(INT($AR1437/100),100),MOD($AR1437,100)),""),INT($AR1437)),IFERROR(DATE(--LEFT(LEFT(SUBSTITUTE(SUBSTITUTE(SUBSTITUTE(SUBSTITUTE(TRIM($AR1437),"-",""),".",""),"/","")," ",""),8),4),--MID(LEFT(SUBSTITUTE(SUBSTITUTE(SUBSTITUTE(SUBSTITUTE(TRIM($AR1437),"-",""),".",""),"/","")," ",""),8),5,2),--MID(LEFT(SUBSTITUTE(SUBSTITUTE(SUBSTITUTE(SUBSTITUTE(TRIM($AR1437),"-",""),".",""),"/","")," ",""),8),7,2)),"")))</f>
        <v/>
      </c>
      <c r="AT1437" s="33">
        <f>IF($AS1437="","",IF($F$6="",0,IF(ISNUMBER(INDEX($A:$AP,ROW(),$F$6)),INDEX($A:$AP,ROW(),$F$6),IFERROR(--SUBSTITUTE(SUBSTITUTE(TRIM(INDEX($A:$AP,ROW(),$F$6)),",",""),"원",""),0))))</f>
        <v/>
      </c>
      <c r="AU1437" s="31">
        <f>IF($AS1437="","",IF($AX1437&lt;&gt;"",SUBSTITUTE(SUBSTITUTE($AX1437,"-","")," ",""),"N:"&amp;$AV1437))</f>
        <v/>
      </c>
      <c r="AV1437" s="31">
        <f>IF(OR($AS1437="",$E$6=""),"",TRIM(INDEX($A:$AP,ROW(),$E$6)&amp;""))</f>
        <v/>
      </c>
      <c r="AW1437" s="31">
        <f>IF($AU1437="","",IF(MATCH($AU1437,$AU$8:$AU$2007,0)=ROW()-7,MAX($AW$7:$AW1436)+1,""))</f>
        <v/>
      </c>
      <c r="AX1437" s="31">
        <f>IF(OR($AS1437="",$D$6=""),"",TRIM(INDEX($A:$AP,ROW(),$D$6)&amp;""))</f>
        <v/>
      </c>
      <c r="AY1437" s="31">
        <f>IF($AU1437="","",INDEX($AW$8:$AW$2007,MATCH($AU1437,$AU$8:$AU$2007,0)))</f>
        <v/>
      </c>
      <c r="AZ1437" s="31">
        <f>IF(OR($AS1437="",$C$6=""),"",TRIM(INDEX($A:$AP,ROW(),$C$6)&amp;""))</f>
        <v/>
      </c>
      <c r="BA1437" s="31">
        <f>IF($AZ1437="","",IF(COUNTIF($AZ$8:$AZ1437,$AZ1437)&gt;1,1,0))</f>
        <v/>
      </c>
    </row>
    <row r="1438">
      <c r="AR1438" s="31">
        <f>IF(OR($A$5="",$B$6="",ROW()&lt;$A$5),"",IF(INDEX($A:$AP,ROW(),$B$6)="","",INDEX($A:$AP,ROW(),$B$6)))</f>
        <v/>
      </c>
      <c r="AS1438" s="32">
        <f>IF($AR1438="","",IF(ISNUMBER($AR1438),IF($AR1438&gt;=10000000,IFERROR(DATE(INT($AR1438/10000),MOD(INT($AR1438/100),100),MOD($AR1438,100)),""),INT($AR1438)),IFERROR(DATE(--LEFT(LEFT(SUBSTITUTE(SUBSTITUTE(SUBSTITUTE(SUBSTITUTE(TRIM($AR1438),"-",""),".",""),"/","")," ",""),8),4),--MID(LEFT(SUBSTITUTE(SUBSTITUTE(SUBSTITUTE(SUBSTITUTE(TRIM($AR1438),"-",""),".",""),"/","")," ",""),8),5,2),--MID(LEFT(SUBSTITUTE(SUBSTITUTE(SUBSTITUTE(SUBSTITUTE(TRIM($AR1438),"-",""),".",""),"/","")," ",""),8),7,2)),"")))</f>
        <v/>
      </c>
      <c r="AT1438" s="33">
        <f>IF($AS1438="","",IF($F$6="",0,IF(ISNUMBER(INDEX($A:$AP,ROW(),$F$6)),INDEX($A:$AP,ROW(),$F$6),IFERROR(--SUBSTITUTE(SUBSTITUTE(TRIM(INDEX($A:$AP,ROW(),$F$6)),",",""),"원",""),0))))</f>
        <v/>
      </c>
      <c r="AU1438" s="31">
        <f>IF($AS1438="","",IF($AX1438&lt;&gt;"",SUBSTITUTE(SUBSTITUTE($AX1438,"-","")," ",""),"N:"&amp;$AV1438))</f>
        <v/>
      </c>
      <c r="AV1438" s="31">
        <f>IF(OR($AS1438="",$E$6=""),"",TRIM(INDEX($A:$AP,ROW(),$E$6)&amp;""))</f>
        <v/>
      </c>
      <c r="AW1438" s="31">
        <f>IF($AU1438="","",IF(MATCH($AU1438,$AU$8:$AU$2007,0)=ROW()-7,MAX($AW$7:$AW1437)+1,""))</f>
        <v/>
      </c>
      <c r="AX1438" s="31">
        <f>IF(OR($AS1438="",$D$6=""),"",TRIM(INDEX($A:$AP,ROW(),$D$6)&amp;""))</f>
        <v/>
      </c>
      <c r="AY1438" s="31">
        <f>IF($AU1438="","",INDEX($AW$8:$AW$2007,MATCH($AU1438,$AU$8:$AU$2007,0)))</f>
        <v/>
      </c>
      <c r="AZ1438" s="31">
        <f>IF(OR($AS1438="",$C$6=""),"",TRIM(INDEX($A:$AP,ROW(),$C$6)&amp;""))</f>
        <v/>
      </c>
      <c r="BA1438" s="31">
        <f>IF($AZ1438="","",IF(COUNTIF($AZ$8:$AZ1438,$AZ1438)&gt;1,1,0))</f>
        <v/>
      </c>
    </row>
    <row r="1439">
      <c r="AR1439" s="31">
        <f>IF(OR($A$5="",$B$6="",ROW()&lt;$A$5),"",IF(INDEX($A:$AP,ROW(),$B$6)="","",INDEX($A:$AP,ROW(),$B$6)))</f>
        <v/>
      </c>
      <c r="AS1439" s="32">
        <f>IF($AR1439="","",IF(ISNUMBER($AR1439),IF($AR1439&gt;=10000000,IFERROR(DATE(INT($AR1439/10000),MOD(INT($AR1439/100),100),MOD($AR1439,100)),""),INT($AR1439)),IFERROR(DATE(--LEFT(LEFT(SUBSTITUTE(SUBSTITUTE(SUBSTITUTE(SUBSTITUTE(TRIM($AR1439),"-",""),".",""),"/","")," ",""),8),4),--MID(LEFT(SUBSTITUTE(SUBSTITUTE(SUBSTITUTE(SUBSTITUTE(TRIM($AR1439),"-",""),".",""),"/","")," ",""),8),5,2),--MID(LEFT(SUBSTITUTE(SUBSTITUTE(SUBSTITUTE(SUBSTITUTE(TRIM($AR1439),"-",""),".",""),"/","")," ",""),8),7,2)),"")))</f>
        <v/>
      </c>
      <c r="AT1439" s="33">
        <f>IF($AS1439="","",IF($F$6="",0,IF(ISNUMBER(INDEX($A:$AP,ROW(),$F$6)),INDEX($A:$AP,ROW(),$F$6),IFERROR(--SUBSTITUTE(SUBSTITUTE(TRIM(INDEX($A:$AP,ROW(),$F$6)),",",""),"원",""),0))))</f>
        <v/>
      </c>
      <c r="AU1439" s="31">
        <f>IF($AS1439="","",IF($AX1439&lt;&gt;"",SUBSTITUTE(SUBSTITUTE($AX1439,"-","")," ",""),"N:"&amp;$AV1439))</f>
        <v/>
      </c>
      <c r="AV1439" s="31">
        <f>IF(OR($AS1439="",$E$6=""),"",TRIM(INDEX($A:$AP,ROW(),$E$6)&amp;""))</f>
        <v/>
      </c>
      <c r="AW1439" s="31">
        <f>IF($AU1439="","",IF(MATCH($AU1439,$AU$8:$AU$2007,0)=ROW()-7,MAX($AW$7:$AW1438)+1,""))</f>
        <v/>
      </c>
      <c r="AX1439" s="31">
        <f>IF(OR($AS1439="",$D$6=""),"",TRIM(INDEX($A:$AP,ROW(),$D$6)&amp;""))</f>
        <v/>
      </c>
      <c r="AY1439" s="31">
        <f>IF($AU1439="","",INDEX($AW$8:$AW$2007,MATCH($AU1439,$AU$8:$AU$2007,0)))</f>
        <v/>
      </c>
      <c r="AZ1439" s="31">
        <f>IF(OR($AS1439="",$C$6=""),"",TRIM(INDEX($A:$AP,ROW(),$C$6)&amp;""))</f>
        <v/>
      </c>
      <c r="BA1439" s="31">
        <f>IF($AZ1439="","",IF(COUNTIF($AZ$8:$AZ1439,$AZ1439)&gt;1,1,0))</f>
        <v/>
      </c>
    </row>
    <row r="1440">
      <c r="AR1440" s="31">
        <f>IF(OR($A$5="",$B$6="",ROW()&lt;$A$5),"",IF(INDEX($A:$AP,ROW(),$B$6)="","",INDEX($A:$AP,ROW(),$B$6)))</f>
        <v/>
      </c>
      <c r="AS1440" s="32">
        <f>IF($AR1440="","",IF(ISNUMBER($AR1440),IF($AR1440&gt;=10000000,IFERROR(DATE(INT($AR1440/10000),MOD(INT($AR1440/100),100),MOD($AR1440,100)),""),INT($AR1440)),IFERROR(DATE(--LEFT(LEFT(SUBSTITUTE(SUBSTITUTE(SUBSTITUTE(SUBSTITUTE(TRIM($AR1440),"-",""),".",""),"/","")," ",""),8),4),--MID(LEFT(SUBSTITUTE(SUBSTITUTE(SUBSTITUTE(SUBSTITUTE(TRIM($AR1440),"-",""),".",""),"/","")," ",""),8),5,2),--MID(LEFT(SUBSTITUTE(SUBSTITUTE(SUBSTITUTE(SUBSTITUTE(TRIM($AR1440),"-",""),".",""),"/","")," ",""),8),7,2)),"")))</f>
        <v/>
      </c>
      <c r="AT1440" s="33">
        <f>IF($AS1440="","",IF($F$6="",0,IF(ISNUMBER(INDEX($A:$AP,ROW(),$F$6)),INDEX($A:$AP,ROW(),$F$6),IFERROR(--SUBSTITUTE(SUBSTITUTE(TRIM(INDEX($A:$AP,ROW(),$F$6)),",",""),"원",""),0))))</f>
        <v/>
      </c>
      <c r="AU1440" s="31">
        <f>IF($AS1440="","",IF($AX1440&lt;&gt;"",SUBSTITUTE(SUBSTITUTE($AX1440,"-","")," ",""),"N:"&amp;$AV1440))</f>
        <v/>
      </c>
      <c r="AV1440" s="31">
        <f>IF(OR($AS1440="",$E$6=""),"",TRIM(INDEX($A:$AP,ROW(),$E$6)&amp;""))</f>
        <v/>
      </c>
      <c r="AW1440" s="31">
        <f>IF($AU1440="","",IF(MATCH($AU1440,$AU$8:$AU$2007,0)=ROW()-7,MAX($AW$7:$AW1439)+1,""))</f>
        <v/>
      </c>
      <c r="AX1440" s="31">
        <f>IF(OR($AS1440="",$D$6=""),"",TRIM(INDEX($A:$AP,ROW(),$D$6)&amp;""))</f>
        <v/>
      </c>
      <c r="AY1440" s="31">
        <f>IF($AU1440="","",INDEX($AW$8:$AW$2007,MATCH($AU1440,$AU$8:$AU$2007,0)))</f>
        <v/>
      </c>
      <c r="AZ1440" s="31">
        <f>IF(OR($AS1440="",$C$6=""),"",TRIM(INDEX($A:$AP,ROW(),$C$6)&amp;""))</f>
        <v/>
      </c>
      <c r="BA1440" s="31">
        <f>IF($AZ1440="","",IF(COUNTIF($AZ$8:$AZ1440,$AZ1440)&gt;1,1,0))</f>
        <v/>
      </c>
    </row>
    <row r="1441">
      <c r="AR1441" s="31">
        <f>IF(OR($A$5="",$B$6="",ROW()&lt;$A$5),"",IF(INDEX($A:$AP,ROW(),$B$6)="","",INDEX($A:$AP,ROW(),$B$6)))</f>
        <v/>
      </c>
      <c r="AS1441" s="32">
        <f>IF($AR1441="","",IF(ISNUMBER($AR1441),IF($AR1441&gt;=10000000,IFERROR(DATE(INT($AR1441/10000),MOD(INT($AR1441/100),100),MOD($AR1441,100)),""),INT($AR1441)),IFERROR(DATE(--LEFT(LEFT(SUBSTITUTE(SUBSTITUTE(SUBSTITUTE(SUBSTITUTE(TRIM($AR1441),"-",""),".",""),"/","")," ",""),8),4),--MID(LEFT(SUBSTITUTE(SUBSTITUTE(SUBSTITUTE(SUBSTITUTE(TRIM($AR1441),"-",""),".",""),"/","")," ",""),8),5,2),--MID(LEFT(SUBSTITUTE(SUBSTITUTE(SUBSTITUTE(SUBSTITUTE(TRIM($AR1441),"-",""),".",""),"/","")," ",""),8),7,2)),"")))</f>
        <v/>
      </c>
      <c r="AT1441" s="33">
        <f>IF($AS1441="","",IF($F$6="",0,IF(ISNUMBER(INDEX($A:$AP,ROW(),$F$6)),INDEX($A:$AP,ROW(),$F$6),IFERROR(--SUBSTITUTE(SUBSTITUTE(TRIM(INDEX($A:$AP,ROW(),$F$6)),",",""),"원",""),0))))</f>
        <v/>
      </c>
      <c r="AU1441" s="31">
        <f>IF($AS1441="","",IF($AX1441&lt;&gt;"",SUBSTITUTE(SUBSTITUTE($AX1441,"-","")," ",""),"N:"&amp;$AV1441))</f>
        <v/>
      </c>
      <c r="AV1441" s="31">
        <f>IF(OR($AS1441="",$E$6=""),"",TRIM(INDEX($A:$AP,ROW(),$E$6)&amp;""))</f>
        <v/>
      </c>
      <c r="AW1441" s="31">
        <f>IF($AU1441="","",IF(MATCH($AU1441,$AU$8:$AU$2007,0)=ROW()-7,MAX($AW$7:$AW1440)+1,""))</f>
        <v/>
      </c>
      <c r="AX1441" s="31">
        <f>IF(OR($AS1441="",$D$6=""),"",TRIM(INDEX($A:$AP,ROW(),$D$6)&amp;""))</f>
        <v/>
      </c>
      <c r="AY1441" s="31">
        <f>IF($AU1441="","",INDEX($AW$8:$AW$2007,MATCH($AU1441,$AU$8:$AU$2007,0)))</f>
        <v/>
      </c>
      <c r="AZ1441" s="31">
        <f>IF(OR($AS1441="",$C$6=""),"",TRIM(INDEX($A:$AP,ROW(),$C$6)&amp;""))</f>
        <v/>
      </c>
      <c r="BA1441" s="31">
        <f>IF($AZ1441="","",IF(COUNTIF($AZ$8:$AZ1441,$AZ1441)&gt;1,1,0))</f>
        <v/>
      </c>
    </row>
    <row r="1442">
      <c r="AR1442" s="31">
        <f>IF(OR($A$5="",$B$6="",ROW()&lt;$A$5),"",IF(INDEX($A:$AP,ROW(),$B$6)="","",INDEX($A:$AP,ROW(),$B$6)))</f>
        <v/>
      </c>
      <c r="AS1442" s="32">
        <f>IF($AR1442="","",IF(ISNUMBER($AR1442),IF($AR1442&gt;=10000000,IFERROR(DATE(INT($AR1442/10000),MOD(INT($AR1442/100),100),MOD($AR1442,100)),""),INT($AR1442)),IFERROR(DATE(--LEFT(LEFT(SUBSTITUTE(SUBSTITUTE(SUBSTITUTE(SUBSTITUTE(TRIM($AR1442),"-",""),".",""),"/","")," ",""),8),4),--MID(LEFT(SUBSTITUTE(SUBSTITUTE(SUBSTITUTE(SUBSTITUTE(TRIM($AR1442),"-",""),".",""),"/","")," ",""),8),5,2),--MID(LEFT(SUBSTITUTE(SUBSTITUTE(SUBSTITUTE(SUBSTITUTE(TRIM($AR1442),"-",""),".",""),"/","")," ",""),8),7,2)),"")))</f>
        <v/>
      </c>
      <c r="AT1442" s="33">
        <f>IF($AS1442="","",IF($F$6="",0,IF(ISNUMBER(INDEX($A:$AP,ROW(),$F$6)),INDEX($A:$AP,ROW(),$F$6),IFERROR(--SUBSTITUTE(SUBSTITUTE(TRIM(INDEX($A:$AP,ROW(),$F$6)),",",""),"원",""),0))))</f>
        <v/>
      </c>
      <c r="AU1442" s="31">
        <f>IF($AS1442="","",IF($AX1442&lt;&gt;"",SUBSTITUTE(SUBSTITUTE($AX1442,"-","")," ",""),"N:"&amp;$AV1442))</f>
        <v/>
      </c>
      <c r="AV1442" s="31">
        <f>IF(OR($AS1442="",$E$6=""),"",TRIM(INDEX($A:$AP,ROW(),$E$6)&amp;""))</f>
        <v/>
      </c>
      <c r="AW1442" s="31">
        <f>IF($AU1442="","",IF(MATCH($AU1442,$AU$8:$AU$2007,0)=ROW()-7,MAX($AW$7:$AW1441)+1,""))</f>
        <v/>
      </c>
      <c r="AX1442" s="31">
        <f>IF(OR($AS1442="",$D$6=""),"",TRIM(INDEX($A:$AP,ROW(),$D$6)&amp;""))</f>
        <v/>
      </c>
      <c r="AY1442" s="31">
        <f>IF($AU1442="","",INDEX($AW$8:$AW$2007,MATCH($AU1442,$AU$8:$AU$2007,0)))</f>
        <v/>
      </c>
      <c r="AZ1442" s="31">
        <f>IF(OR($AS1442="",$C$6=""),"",TRIM(INDEX($A:$AP,ROW(),$C$6)&amp;""))</f>
        <v/>
      </c>
      <c r="BA1442" s="31">
        <f>IF($AZ1442="","",IF(COUNTIF($AZ$8:$AZ1442,$AZ1442)&gt;1,1,0))</f>
        <v/>
      </c>
    </row>
    <row r="1443">
      <c r="AR1443" s="31">
        <f>IF(OR($A$5="",$B$6="",ROW()&lt;$A$5),"",IF(INDEX($A:$AP,ROW(),$B$6)="","",INDEX($A:$AP,ROW(),$B$6)))</f>
        <v/>
      </c>
      <c r="AS1443" s="32">
        <f>IF($AR1443="","",IF(ISNUMBER($AR1443),IF($AR1443&gt;=10000000,IFERROR(DATE(INT($AR1443/10000),MOD(INT($AR1443/100),100),MOD($AR1443,100)),""),INT($AR1443)),IFERROR(DATE(--LEFT(LEFT(SUBSTITUTE(SUBSTITUTE(SUBSTITUTE(SUBSTITUTE(TRIM($AR1443),"-",""),".",""),"/","")," ",""),8),4),--MID(LEFT(SUBSTITUTE(SUBSTITUTE(SUBSTITUTE(SUBSTITUTE(TRIM($AR1443),"-",""),".",""),"/","")," ",""),8),5,2),--MID(LEFT(SUBSTITUTE(SUBSTITUTE(SUBSTITUTE(SUBSTITUTE(TRIM($AR1443),"-",""),".",""),"/","")," ",""),8),7,2)),"")))</f>
        <v/>
      </c>
      <c r="AT1443" s="33">
        <f>IF($AS1443="","",IF($F$6="",0,IF(ISNUMBER(INDEX($A:$AP,ROW(),$F$6)),INDEX($A:$AP,ROW(),$F$6),IFERROR(--SUBSTITUTE(SUBSTITUTE(TRIM(INDEX($A:$AP,ROW(),$F$6)),",",""),"원",""),0))))</f>
        <v/>
      </c>
      <c r="AU1443" s="31">
        <f>IF($AS1443="","",IF($AX1443&lt;&gt;"",SUBSTITUTE(SUBSTITUTE($AX1443,"-","")," ",""),"N:"&amp;$AV1443))</f>
        <v/>
      </c>
      <c r="AV1443" s="31">
        <f>IF(OR($AS1443="",$E$6=""),"",TRIM(INDEX($A:$AP,ROW(),$E$6)&amp;""))</f>
        <v/>
      </c>
      <c r="AW1443" s="31">
        <f>IF($AU1443="","",IF(MATCH($AU1443,$AU$8:$AU$2007,0)=ROW()-7,MAX($AW$7:$AW1442)+1,""))</f>
        <v/>
      </c>
      <c r="AX1443" s="31">
        <f>IF(OR($AS1443="",$D$6=""),"",TRIM(INDEX($A:$AP,ROW(),$D$6)&amp;""))</f>
        <v/>
      </c>
      <c r="AY1443" s="31">
        <f>IF($AU1443="","",INDEX($AW$8:$AW$2007,MATCH($AU1443,$AU$8:$AU$2007,0)))</f>
        <v/>
      </c>
      <c r="AZ1443" s="31">
        <f>IF(OR($AS1443="",$C$6=""),"",TRIM(INDEX($A:$AP,ROW(),$C$6)&amp;""))</f>
        <v/>
      </c>
      <c r="BA1443" s="31">
        <f>IF($AZ1443="","",IF(COUNTIF($AZ$8:$AZ1443,$AZ1443)&gt;1,1,0))</f>
        <v/>
      </c>
    </row>
    <row r="1444">
      <c r="AR1444" s="31">
        <f>IF(OR($A$5="",$B$6="",ROW()&lt;$A$5),"",IF(INDEX($A:$AP,ROW(),$B$6)="","",INDEX($A:$AP,ROW(),$B$6)))</f>
        <v/>
      </c>
      <c r="AS1444" s="32">
        <f>IF($AR1444="","",IF(ISNUMBER($AR1444),IF($AR1444&gt;=10000000,IFERROR(DATE(INT($AR1444/10000),MOD(INT($AR1444/100),100),MOD($AR1444,100)),""),INT($AR1444)),IFERROR(DATE(--LEFT(LEFT(SUBSTITUTE(SUBSTITUTE(SUBSTITUTE(SUBSTITUTE(TRIM($AR1444),"-",""),".",""),"/","")," ",""),8),4),--MID(LEFT(SUBSTITUTE(SUBSTITUTE(SUBSTITUTE(SUBSTITUTE(TRIM($AR1444),"-",""),".",""),"/","")," ",""),8),5,2),--MID(LEFT(SUBSTITUTE(SUBSTITUTE(SUBSTITUTE(SUBSTITUTE(TRIM($AR1444),"-",""),".",""),"/","")," ",""),8),7,2)),"")))</f>
        <v/>
      </c>
      <c r="AT1444" s="33">
        <f>IF($AS1444="","",IF($F$6="",0,IF(ISNUMBER(INDEX($A:$AP,ROW(),$F$6)),INDEX($A:$AP,ROW(),$F$6),IFERROR(--SUBSTITUTE(SUBSTITUTE(TRIM(INDEX($A:$AP,ROW(),$F$6)),",",""),"원",""),0))))</f>
        <v/>
      </c>
      <c r="AU1444" s="31">
        <f>IF($AS1444="","",IF($AX1444&lt;&gt;"",SUBSTITUTE(SUBSTITUTE($AX1444,"-","")," ",""),"N:"&amp;$AV1444))</f>
        <v/>
      </c>
      <c r="AV1444" s="31">
        <f>IF(OR($AS1444="",$E$6=""),"",TRIM(INDEX($A:$AP,ROW(),$E$6)&amp;""))</f>
        <v/>
      </c>
      <c r="AW1444" s="31">
        <f>IF($AU1444="","",IF(MATCH($AU1444,$AU$8:$AU$2007,0)=ROW()-7,MAX($AW$7:$AW1443)+1,""))</f>
        <v/>
      </c>
      <c r="AX1444" s="31">
        <f>IF(OR($AS1444="",$D$6=""),"",TRIM(INDEX($A:$AP,ROW(),$D$6)&amp;""))</f>
        <v/>
      </c>
      <c r="AY1444" s="31">
        <f>IF($AU1444="","",INDEX($AW$8:$AW$2007,MATCH($AU1444,$AU$8:$AU$2007,0)))</f>
        <v/>
      </c>
      <c r="AZ1444" s="31">
        <f>IF(OR($AS1444="",$C$6=""),"",TRIM(INDEX($A:$AP,ROW(),$C$6)&amp;""))</f>
        <v/>
      </c>
      <c r="BA1444" s="31">
        <f>IF($AZ1444="","",IF(COUNTIF($AZ$8:$AZ1444,$AZ1444)&gt;1,1,0))</f>
        <v/>
      </c>
    </row>
    <row r="1445">
      <c r="AR1445" s="31">
        <f>IF(OR($A$5="",$B$6="",ROW()&lt;$A$5),"",IF(INDEX($A:$AP,ROW(),$B$6)="","",INDEX($A:$AP,ROW(),$B$6)))</f>
        <v/>
      </c>
      <c r="AS1445" s="32">
        <f>IF($AR1445="","",IF(ISNUMBER($AR1445),IF($AR1445&gt;=10000000,IFERROR(DATE(INT($AR1445/10000),MOD(INT($AR1445/100),100),MOD($AR1445,100)),""),INT($AR1445)),IFERROR(DATE(--LEFT(LEFT(SUBSTITUTE(SUBSTITUTE(SUBSTITUTE(SUBSTITUTE(TRIM($AR1445),"-",""),".",""),"/","")," ",""),8),4),--MID(LEFT(SUBSTITUTE(SUBSTITUTE(SUBSTITUTE(SUBSTITUTE(TRIM($AR1445),"-",""),".",""),"/","")," ",""),8),5,2),--MID(LEFT(SUBSTITUTE(SUBSTITUTE(SUBSTITUTE(SUBSTITUTE(TRIM($AR1445),"-",""),".",""),"/","")," ",""),8),7,2)),"")))</f>
        <v/>
      </c>
      <c r="AT1445" s="33">
        <f>IF($AS1445="","",IF($F$6="",0,IF(ISNUMBER(INDEX($A:$AP,ROW(),$F$6)),INDEX($A:$AP,ROW(),$F$6),IFERROR(--SUBSTITUTE(SUBSTITUTE(TRIM(INDEX($A:$AP,ROW(),$F$6)),",",""),"원",""),0))))</f>
        <v/>
      </c>
      <c r="AU1445" s="31">
        <f>IF($AS1445="","",IF($AX1445&lt;&gt;"",SUBSTITUTE(SUBSTITUTE($AX1445,"-","")," ",""),"N:"&amp;$AV1445))</f>
        <v/>
      </c>
      <c r="AV1445" s="31">
        <f>IF(OR($AS1445="",$E$6=""),"",TRIM(INDEX($A:$AP,ROW(),$E$6)&amp;""))</f>
        <v/>
      </c>
      <c r="AW1445" s="31">
        <f>IF($AU1445="","",IF(MATCH($AU1445,$AU$8:$AU$2007,0)=ROW()-7,MAX($AW$7:$AW1444)+1,""))</f>
        <v/>
      </c>
      <c r="AX1445" s="31">
        <f>IF(OR($AS1445="",$D$6=""),"",TRIM(INDEX($A:$AP,ROW(),$D$6)&amp;""))</f>
        <v/>
      </c>
      <c r="AY1445" s="31">
        <f>IF($AU1445="","",INDEX($AW$8:$AW$2007,MATCH($AU1445,$AU$8:$AU$2007,0)))</f>
        <v/>
      </c>
      <c r="AZ1445" s="31">
        <f>IF(OR($AS1445="",$C$6=""),"",TRIM(INDEX($A:$AP,ROW(),$C$6)&amp;""))</f>
        <v/>
      </c>
      <c r="BA1445" s="31">
        <f>IF($AZ1445="","",IF(COUNTIF($AZ$8:$AZ1445,$AZ1445)&gt;1,1,0))</f>
        <v/>
      </c>
    </row>
    <row r="1446">
      <c r="AR1446" s="31">
        <f>IF(OR($A$5="",$B$6="",ROW()&lt;$A$5),"",IF(INDEX($A:$AP,ROW(),$B$6)="","",INDEX($A:$AP,ROW(),$B$6)))</f>
        <v/>
      </c>
      <c r="AS1446" s="32">
        <f>IF($AR1446="","",IF(ISNUMBER($AR1446),IF($AR1446&gt;=10000000,IFERROR(DATE(INT($AR1446/10000),MOD(INT($AR1446/100),100),MOD($AR1446,100)),""),INT($AR1446)),IFERROR(DATE(--LEFT(LEFT(SUBSTITUTE(SUBSTITUTE(SUBSTITUTE(SUBSTITUTE(TRIM($AR1446),"-",""),".",""),"/","")," ",""),8),4),--MID(LEFT(SUBSTITUTE(SUBSTITUTE(SUBSTITUTE(SUBSTITUTE(TRIM($AR1446),"-",""),".",""),"/","")," ",""),8),5,2),--MID(LEFT(SUBSTITUTE(SUBSTITUTE(SUBSTITUTE(SUBSTITUTE(TRIM($AR1446),"-",""),".",""),"/","")," ",""),8),7,2)),"")))</f>
        <v/>
      </c>
      <c r="AT1446" s="33">
        <f>IF($AS1446="","",IF($F$6="",0,IF(ISNUMBER(INDEX($A:$AP,ROW(),$F$6)),INDEX($A:$AP,ROW(),$F$6),IFERROR(--SUBSTITUTE(SUBSTITUTE(TRIM(INDEX($A:$AP,ROW(),$F$6)),",",""),"원",""),0))))</f>
        <v/>
      </c>
      <c r="AU1446" s="31">
        <f>IF($AS1446="","",IF($AX1446&lt;&gt;"",SUBSTITUTE(SUBSTITUTE($AX1446,"-","")," ",""),"N:"&amp;$AV1446))</f>
        <v/>
      </c>
      <c r="AV1446" s="31">
        <f>IF(OR($AS1446="",$E$6=""),"",TRIM(INDEX($A:$AP,ROW(),$E$6)&amp;""))</f>
        <v/>
      </c>
      <c r="AW1446" s="31">
        <f>IF($AU1446="","",IF(MATCH($AU1446,$AU$8:$AU$2007,0)=ROW()-7,MAX($AW$7:$AW1445)+1,""))</f>
        <v/>
      </c>
      <c r="AX1446" s="31">
        <f>IF(OR($AS1446="",$D$6=""),"",TRIM(INDEX($A:$AP,ROW(),$D$6)&amp;""))</f>
        <v/>
      </c>
      <c r="AY1446" s="31">
        <f>IF($AU1446="","",INDEX($AW$8:$AW$2007,MATCH($AU1446,$AU$8:$AU$2007,0)))</f>
        <v/>
      </c>
      <c r="AZ1446" s="31">
        <f>IF(OR($AS1446="",$C$6=""),"",TRIM(INDEX($A:$AP,ROW(),$C$6)&amp;""))</f>
        <v/>
      </c>
      <c r="BA1446" s="31">
        <f>IF($AZ1446="","",IF(COUNTIF($AZ$8:$AZ1446,$AZ1446)&gt;1,1,0))</f>
        <v/>
      </c>
    </row>
    <row r="1447">
      <c r="AR1447" s="31">
        <f>IF(OR($A$5="",$B$6="",ROW()&lt;$A$5),"",IF(INDEX($A:$AP,ROW(),$B$6)="","",INDEX($A:$AP,ROW(),$B$6)))</f>
        <v/>
      </c>
      <c r="AS1447" s="32">
        <f>IF($AR1447="","",IF(ISNUMBER($AR1447),IF($AR1447&gt;=10000000,IFERROR(DATE(INT($AR1447/10000),MOD(INT($AR1447/100),100),MOD($AR1447,100)),""),INT($AR1447)),IFERROR(DATE(--LEFT(LEFT(SUBSTITUTE(SUBSTITUTE(SUBSTITUTE(SUBSTITUTE(TRIM($AR1447),"-",""),".",""),"/","")," ",""),8),4),--MID(LEFT(SUBSTITUTE(SUBSTITUTE(SUBSTITUTE(SUBSTITUTE(TRIM($AR1447),"-",""),".",""),"/","")," ",""),8),5,2),--MID(LEFT(SUBSTITUTE(SUBSTITUTE(SUBSTITUTE(SUBSTITUTE(TRIM($AR1447),"-",""),".",""),"/","")," ",""),8),7,2)),"")))</f>
        <v/>
      </c>
      <c r="AT1447" s="33">
        <f>IF($AS1447="","",IF($F$6="",0,IF(ISNUMBER(INDEX($A:$AP,ROW(),$F$6)),INDEX($A:$AP,ROW(),$F$6),IFERROR(--SUBSTITUTE(SUBSTITUTE(TRIM(INDEX($A:$AP,ROW(),$F$6)),",",""),"원",""),0))))</f>
        <v/>
      </c>
      <c r="AU1447" s="31">
        <f>IF($AS1447="","",IF($AX1447&lt;&gt;"",SUBSTITUTE(SUBSTITUTE($AX1447,"-","")," ",""),"N:"&amp;$AV1447))</f>
        <v/>
      </c>
      <c r="AV1447" s="31">
        <f>IF(OR($AS1447="",$E$6=""),"",TRIM(INDEX($A:$AP,ROW(),$E$6)&amp;""))</f>
        <v/>
      </c>
      <c r="AW1447" s="31">
        <f>IF($AU1447="","",IF(MATCH($AU1447,$AU$8:$AU$2007,0)=ROW()-7,MAX($AW$7:$AW1446)+1,""))</f>
        <v/>
      </c>
      <c r="AX1447" s="31">
        <f>IF(OR($AS1447="",$D$6=""),"",TRIM(INDEX($A:$AP,ROW(),$D$6)&amp;""))</f>
        <v/>
      </c>
      <c r="AY1447" s="31">
        <f>IF($AU1447="","",INDEX($AW$8:$AW$2007,MATCH($AU1447,$AU$8:$AU$2007,0)))</f>
        <v/>
      </c>
      <c r="AZ1447" s="31">
        <f>IF(OR($AS1447="",$C$6=""),"",TRIM(INDEX($A:$AP,ROW(),$C$6)&amp;""))</f>
        <v/>
      </c>
      <c r="BA1447" s="31">
        <f>IF($AZ1447="","",IF(COUNTIF($AZ$8:$AZ1447,$AZ1447)&gt;1,1,0))</f>
        <v/>
      </c>
    </row>
    <row r="1448">
      <c r="AR1448" s="31">
        <f>IF(OR($A$5="",$B$6="",ROW()&lt;$A$5),"",IF(INDEX($A:$AP,ROW(),$B$6)="","",INDEX($A:$AP,ROW(),$B$6)))</f>
        <v/>
      </c>
      <c r="AS1448" s="32">
        <f>IF($AR1448="","",IF(ISNUMBER($AR1448),IF($AR1448&gt;=10000000,IFERROR(DATE(INT($AR1448/10000),MOD(INT($AR1448/100),100),MOD($AR1448,100)),""),INT($AR1448)),IFERROR(DATE(--LEFT(LEFT(SUBSTITUTE(SUBSTITUTE(SUBSTITUTE(SUBSTITUTE(TRIM($AR1448),"-",""),".",""),"/","")," ",""),8),4),--MID(LEFT(SUBSTITUTE(SUBSTITUTE(SUBSTITUTE(SUBSTITUTE(TRIM($AR1448),"-",""),".",""),"/","")," ",""),8),5,2),--MID(LEFT(SUBSTITUTE(SUBSTITUTE(SUBSTITUTE(SUBSTITUTE(TRIM($AR1448),"-",""),".",""),"/","")," ",""),8),7,2)),"")))</f>
        <v/>
      </c>
      <c r="AT1448" s="33">
        <f>IF($AS1448="","",IF($F$6="",0,IF(ISNUMBER(INDEX($A:$AP,ROW(),$F$6)),INDEX($A:$AP,ROW(),$F$6),IFERROR(--SUBSTITUTE(SUBSTITUTE(TRIM(INDEX($A:$AP,ROW(),$F$6)),",",""),"원",""),0))))</f>
        <v/>
      </c>
      <c r="AU1448" s="31">
        <f>IF($AS1448="","",IF($AX1448&lt;&gt;"",SUBSTITUTE(SUBSTITUTE($AX1448,"-","")," ",""),"N:"&amp;$AV1448))</f>
        <v/>
      </c>
      <c r="AV1448" s="31">
        <f>IF(OR($AS1448="",$E$6=""),"",TRIM(INDEX($A:$AP,ROW(),$E$6)&amp;""))</f>
        <v/>
      </c>
      <c r="AW1448" s="31">
        <f>IF($AU1448="","",IF(MATCH($AU1448,$AU$8:$AU$2007,0)=ROW()-7,MAX($AW$7:$AW1447)+1,""))</f>
        <v/>
      </c>
      <c r="AX1448" s="31">
        <f>IF(OR($AS1448="",$D$6=""),"",TRIM(INDEX($A:$AP,ROW(),$D$6)&amp;""))</f>
        <v/>
      </c>
      <c r="AY1448" s="31">
        <f>IF($AU1448="","",INDEX($AW$8:$AW$2007,MATCH($AU1448,$AU$8:$AU$2007,0)))</f>
        <v/>
      </c>
      <c r="AZ1448" s="31">
        <f>IF(OR($AS1448="",$C$6=""),"",TRIM(INDEX($A:$AP,ROW(),$C$6)&amp;""))</f>
        <v/>
      </c>
      <c r="BA1448" s="31">
        <f>IF($AZ1448="","",IF(COUNTIF($AZ$8:$AZ1448,$AZ1448)&gt;1,1,0))</f>
        <v/>
      </c>
    </row>
    <row r="1449">
      <c r="AR1449" s="31">
        <f>IF(OR($A$5="",$B$6="",ROW()&lt;$A$5),"",IF(INDEX($A:$AP,ROW(),$B$6)="","",INDEX($A:$AP,ROW(),$B$6)))</f>
        <v/>
      </c>
      <c r="AS1449" s="32">
        <f>IF($AR1449="","",IF(ISNUMBER($AR1449),IF($AR1449&gt;=10000000,IFERROR(DATE(INT($AR1449/10000),MOD(INT($AR1449/100),100),MOD($AR1449,100)),""),INT($AR1449)),IFERROR(DATE(--LEFT(LEFT(SUBSTITUTE(SUBSTITUTE(SUBSTITUTE(SUBSTITUTE(TRIM($AR1449),"-",""),".",""),"/","")," ",""),8),4),--MID(LEFT(SUBSTITUTE(SUBSTITUTE(SUBSTITUTE(SUBSTITUTE(TRIM($AR1449),"-",""),".",""),"/","")," ",""),8),5,2),--MID(LEFT(SUBSTITUTE(SUBSTITUTE(SUBSTITUTE(SUBSTITUTE(TRIM($AR1449),"-",""),".",""),"/","")," ",""),8),7,2)),"")))</f>
        <v/>
      </c>
      <c r="AT1449" s="33">
        <f>IF($AS1449="","",IF($F$6="",0,IF(ISNUMBER(INDEX($A:$AP,ROW(),$F$6)),INDEX($A:$AP,ROW(),$F$6),IFERROR(--SUBSTITUTE(SUBSTITUTE(TRIM(INDEX($A:$AP,ROW(),$F$6)),",",""),"원",""),0))))</f>
        <v/>
      </c>
      <c r="AU1449" s="31">
        <f>IF($AS1449="","",IF($AX1449&lt;&gt;"",SUBSTITUTE(SUBSTITUTE($AX1449,"-","")," ",""),"N:"&amp;$AV1449))</f>
        <v/>
      </c>
      <c r="AV1449" s="31">
        <f>IF(OR($AS1449="",$E$6=""),"",TRIM(INDEX($A:$AP,ROW(),$E$6)&amp;""))</f>
        <v/>
      </c>
      <c r="AW1449" s="31">
        <f>IF($AU1449="","",IF(MATCH($AU1449,$AU$8:$AU$2007,0)=ROW()-7,MAX($AW$7:$AW1448)+1,""))</f>
        <v/>
      </c>
      <c r="AX1449" s="31">
        <f>IF(OR($AS1449="",$D$6=""),"",TRIM(INDEX($A:$AP,ROW(),$D$6)&amp;""))</f>
        <v/>
      </c>
      <c r="AY1449" s="31">
        <f>IF($AU1449="","",INDEX($AW$8:$AW$2007,MATCH($AU1449,$AU$8:$AU$2007,0)))</f>
        <v/>
      </c>
      <c r="AZ1449" s="31">
        <f>IF(OR($AS1449="",$C$6=""),"",TRIM(INDEX($A:$AP,ROW(),$C$6)&amp;""))</f>
        <v/>
      </c>
      <c r="BA1449" s="31">
        <f>IF($AZ1449="","",IF(COUNTIF($AZ$8:$AZ1449,$AZ1449)&gt;1,1,0))</f>
        <v/>
      </c>
    </row>
    <row r="1450">
      <c r="AR1450" s="31">
        <f>IF(OR($A$5="",$B$6="",ROW()&lt;$A$5),"",IF(INDEX($A:$AP,ROW(),$B$6)="","",INDEX($A:$AP,ROW(),$B$6)))</f>
        <v/>
      </c>
      <c r="AS1450" s="32">
        <f>IF($AR1450="","",IF(ISNUMBER($AR1450),IF($AR1450&gt;=10000000,IFERROR(DATE(INT($AR1450/10000),MOD(INT($AR1450/100),100),MOD($AR1450,100)),""),INT($AR1450)),IFERROR(DATE(--LEFT(LEFT(SUBSTITUTE(SUBSTITUTE(SUBSTITUTE(SUBSTITUTE(TRIM($AR1450),"-",""),".",""),"/","")," ",""),8),4),--MID(LEFT(SUBSTITUTE(SUBSTITUTE(SUBSTITUTE(SUBSTITUTE(TRIM($AR1450),"-",""),".",""),"/","")," ",""),8),5,2),--MID(LEFT(SUBSTITUTE(SUBSTITUTE(SUBSTITUTE(SUBSTITUTE(TRIM($AR1450),"-",""),".",""),"/","")," ",""),8),7,2)),"")))</f>
        <v/>
      </c>
      <c r="AT1450" s="33">
        <f>IF($AS1450="","",IF($F$6="",0,IF(ISNUMBER(INDEX($A:$AP,ROW(),$F$6)),INDEX($A:$AP,ROW(),$F$6),IFERROR(--SUBSTITUTE(SUBSTITUTE(TRIM(INDEX($A:$AP,ROW(),$F$6)),",",""),"원",""),0))))</f>
        <v/>
      </c>
      <c r="AU1450" s="31">
        <f>IF($AS1450="","",IF($AX1450&lt;&gt;"",SUBSTITUTE(SUBSTITUTE($AX1450,"-","")," ",""),"N:"&amp;$AV1450))</f>
        <v/>
      </c>
      <c r="AV1450" s="31">
        <f>IF(OR($AS1450="",$E$6=""),"",TRIM(INDEX($A:$AP,ROW(),$E$6)&amp;""))</f>
        <v/>
      </c>
      <c r="AW1450" s="31">
        <f>IF($AU1450="","",IF(MATCH($AU1450,$AU$8:$AU$2007,0)=ROW()-7,MAX($AW$7:$AW1449)+1,""))</f>
        <v/>
      </c>
      <c r="AX1450" s="31">
        <f>IF(OR($AS1450="",$D$6=""),"",TRIM(INDEX($A:$AP,ROW(),$D$6)&amp;""))</f>
        <v/>
      </c>
      <c r="AY1450" s="31">
        <f>IF($AU1450="","",INDEX($AW$8:$AW$2007,MATCH($AU1450,$AU$8:$AU$2007,0)))</f>
        <v/>
      </c>
      <c r="AZ1450" s="31">
        <f>IF(OR($AS1450="",$C$6=""),"",TRIM(INDEX($A:$AP,ROW(),$C$6)&amp;""))</f>
        <v/>
      </c>
      <c r="BA1450" s="31">
        <f>IF($AZ1450="","",IF(COUNTIF($AZ$8:$AZ1450,$AZ1450)&gt;1,1,0))</f>
        <v/>
      </c>
    </row>
    <row r="1451">
      <c r="AR1451" s="31">
        <f>IF(OR($A$5="",$B$6="",ROW()&lt;$A$5),"",IF(INDEX($A:$AP,ROW(),$B$6)="","",INDEX($A:$AP,ROW(),$B$6)))</f>
        <v/>
      </c>
      <c r="AS1451" s="32">
        <f>IF($AR1451="","",IF(ISNUMBER($AR1451),IF($AR1451&gt;=10000000,IFERROR(DATE(INT($AR1451/10000),MOD(INT($AR1451/100),100),MOD($AR1451,100)),""),INT($AR1451)),IFERROR(DATE(--LEFT(LEFT(SUBSTITUTE(SUBSTITUTE(SUBSTITUTE(SUBSTITUTE(TRIM($AR1451),"-",""),".",""),"/","")," ",""),8),4),--MID(LEFT(SUBSTITUTE(SUBSTITUTE(SUBSTITUTE(SUBSTITUTE(TRIM($AR1451),"-",""),".",""),"/","")," ",""),8),5,2),--MID(LEFT(SUBSTITUTE(SUBSTITUTE(SUBSTITUTE(SUBSTITUTE(TRIM($AR1451),"-",""),".",""),"/","")," ",""),8),7,2)),"")))</f>
        <v/>
      </c>
      <c r="AT1451" s="33">
        <f>IF($AS1451="","",IF($F$6="",0,IF(ISNUMBER(INDEX($A:$AP,ROW(),$F$6)),INDEX($A:$AP,ROW(),$F$6),IFERROR(--SUBSTITUTE(SUBSTITUTE(TRIM(INDEX($A:$AP,ROW(),$F$6)),",",""),"원",""),0))))</f>
        <v/>
      </c>
      <c r="AU1451" s="31">
        <f>IF($AS1451="","",IF($AX1451&lt;&gt;"",SUBSTITUTE(SUBSTITUTE($AX1451,"-","")," ",""),"N:"&amp;$AV1451))</f>
        <v/>
      </c>
      <c r="AV1451" s="31">
        <f>IF(OR($AS1451="",$E$6=""),"",TRIM(INDEX($A:$AP,ROW(),$E$6)&amp;""))</f>
        <v/>
      </c>
      <c r="AW1451" s="31">
        <f>IF($AU1451="","",IF(MATCH($AU1451,$AU$8:$AU$2007,0)=ROW()-7,MAX($AW$7:$AW1450)+1,""))</f>
        <v/>
      </c>
      <c r="AX1451" s="31">
        <f>IF(OR($AS1451="",$D$6=""),"",TRIM(INDEX($A:$AP,ROW(),$D$6)&amp;""))</f>
        <v/>
      </c>
      <c r="AY1451" s="31">
        <f>IF($AU1451="","",INDEX($AW$8:$AW$2007,MATCH($AU1451,$AU$8:$AU$2007,0)))</f>
        <v/>
      </c>
      <c r="AZ1451" s="31">
        <f>IF(OR($AS1451="",$C$6=""),"",TRIM(INDEX($A:$AP,ROW(),$C$6)&amp;""))</f>
        <v/>
      </c>
      <c r="BA1451" s="31">
        <f>IF($AZ1451="","",IF(COUNTIF($AZ$8:$AZ1451,$AZ1451)&gt;1,1,0))</f>
        <v/>
      </c>
    </row>
    <row r="1452">
      <c r="AR1452" s="31">
        <f>IF(OR($A$5="",$B$6="",ROW()&lt;$A$5),"",IF(INDEX($A:$AP,ROW(),$B$6)="","",INDEX($A:$AP,ROW(),$B$6)))</f>
        <v/>
      </c>
      <c r="AS1452" s="32">
        <f>IF($AR1452="","",IF(ISNUMBER($AR1452),IF($AR1452&gt;=10000000,IFERROR(DATE(INT($AR1452/10000),MOD(INT($AR1452/100),100),MOD($AR1452,100)),""),INT($AR1452)),IFERROR(DATE(--LEFT(LEFT(SUBSTITUTE(SUBSTITUTE(SUBSTITUTE(SUBSTITUTE(TRIM($AR1452),"-",""),".",""),"/","")," ",""),8),4),--MID(LEFT(SUBSTITUTE(SUBSTITUTE(SUBSTITUTE(SUBSTITUTE(TRIM($AR1452),"-",""),".",""),"/","")," ",""),8),5,2),--MID(LEFT(SUBSTITUTE(SUBSTITUTE(SUBSTITUTE(SUBSTITUTE(TRIM($AR1452),"-",""),".",""),"/","")," ",""),8),7,2)),"")))</f>
        <v/>
      </c>
      <c r="AT1452" s="33">
        <f>IF($AS1452="","",IF($F$6="",0,IF(ISNUMBER(INDEX($A:$AP,ROW(),$F$6)),INDEX($A:$AP,ROW(),$F$6),IFERROR(--SUBSTITUTE(SUBSTITUTE(TRIM(INDEX($A:$AP,ROW(),$F$6)),",",""),"원",""),0))))</f>
        <v/>
      </c>
      <c r="AU1452" s="31">
        <f>IF($AS1452="","",IF($AX1452&lt;&gt;"",SUBSTITUTE(SUBSTITUTE($AX1452,"-","")," ",""),"N:"&amp;$AV1452))</f>
        <v/>
      </c>
      <c r="AV1452" s="31">
        <f>IF(OR($AS1452="",$E$6=""),"",TRIM(INDEX($A:$AP,ROW(),$E$6)&amp;""))</f>
        <v/>
      </c>
      <c r="AW1452" s="31">
        <f>IF($AU1452="","",IF(MATCH($AU1452,$AU$8:$AU$2007,0)=ROW()-7,MAX($AW$7:$AW1451)+1,""))</f>
        <v/>
      </c>
      <c r="AX1452" s="31">
        <f>IF(OR($AS1452="",$D$6=""),"",TRIM(INDEX($A:$AP,ROW(),$D$6)&amp;""))</f>
        <v/>
      </c>
      <c r="AY1452" s="31">
        <f>IF($AU1452="","",INDEX($AW$8:$AW$2007,MATCH($AU1452,$AU$8:$AU$2007,0)))</f>
        <v/>
      </c>
      <c r="AZ1452" s="31">
        <f>IF(OR($AS1452="",$C$6=""),"",TRIM(INDEX($A:$AP,ROW(),$C$6)&amp;""))</f>
        <v/>
      </c>
      <c r="BA1452" s="31">
        <f>IF($AZ1452="","",IF(COUNTIF($AZ$8:$AZ1452,$AZ1452)&gt;1,1,0))</f>
        <v/>
      </c>
    </row>
    <row r="1453">
      <c r="AR1453" s="31">
        <f>IF(OR($A$5="",$B$6="",ROW()&lt;$A$5),"",IF(INDEX($A:$AP,ROW(),$B$6)="","",INDEX($A:$AP,ROW(),$B$6)))</f>
        <v/>
      </c>
      <c r="AS1453" s="32">
        <f>IF($AR1453="","",IF(ISNUMBER($AR1453),IF($AR1453&gt;=10000000,IFERROR(DATE(INT($AR1453/10000),MOD(INT($AR1453/100),100),MOD($AR1453,100)),""),INT($AR1453)),IFERROR(DATE(--LEFT(LEFT(SUBSTITUTE(SUBSTITUTE(SUBSTITUTE(SUBSTITUTE(TRIM($AR1453),"-",""),".",""),"/","")," ",""),8),4),--MID(LEFT(SUBSTITUTE(SUBSTITUTE(SUBSTITUTE(SUBSTITUTE(TRIM($AR1453),"-",""),".",""),"/","")," ",""),8),5,2),--MID(LEFT(SUBSTITUTE(SUBSTITUTE(SUBSTITUTE(SUBSTITUTE(TRIM($AR1453),"-",""),".",""),"/","")," ",""),8),7,2)),"")))</f>
        <v/>
      </c>
      <c r="AT1453" s="33">
        <f>IF($AS1453="","",IF($F$6="",0,IF(ISNUMBER(INDEX($A:$AP,ROW(),$F$6)),INDEX($A:$AP,ROW(),$F$6),IFERROR(--SUBSTITUTE(SUBSTITUTE(TRIM(INDEX($A:$AP,ROW(),$F$6)),",",""),"원",""),0))))</f>
        <v/>
      </c>
      <c r="AU1453" s="31">
        <f>IF($AS1453="","",IF($AX1453&lt;&gt;"",SUBSTITUTE(SUBSTITUTE($AX1453,"-","")," ",""),"N:"&amp;$AV1453))</f>
        <v/>
      </c>
      <c r="AV1453" s="31">
        <f>IF(OR($AS1453="",$E$6=""),"",TRIM(INDEX($A:$AP,ROW(),$E$6)&amp;""))</f>
        <v/>
      </c>
      <c r="AW1453" s="31">
        <f>IF($AU1453="","",IF(MATCH($AU1453,$AU$8:$AU$2007,0)=ROW()-7,MAX($AW$7:$AW1452)+1,""))</f>
        <v/>
      </c>
      <c r="AX1453" s="31">
        <f>IF(OR($AS1453="",$D$6=""),"",TRIM(INDEX($A:$AP,ROW(),$D$6)&amp;""))</f>
        <v/>
      </c>
      <c r="AY1453" s="31">
        <f>IF($AU1453="","",INDEX($AW$8:$AW$2007,MATCH($AU1453,$AU$8:$AU$2007,0)))</f>
        <v/>
      </c>
      <c r="AZ1453" s="31">
        <f>IF(OR($AS1453="",$C$6=""),"",TRIM(INDEX($A:$AP,ROW(),$C$6)&amp;""))</f>
        <v/>
      </c>
      <c r="BA1453" s="31">
        <f>IF($AZ1453="","",IF(COUNTIF($AZ$8:$AZ1453,$AZ1453)&gt;1,1,0))</f>
        <v/>
      </c>
    </row>
    <row r="1454">
      <c r="AR1454" s="31">
        <f>IF(OR($A$5="",$B$6="",ROW()&lt;$A$5),"",IF(INDEX($A:$AP,ROW(),$B$6)="","",INDEX($A:$AP,ROW(),$B$6)))</f>
        <v/>
      </c>
      <c r="AS1454" s="32">
        <f>IF($AR1454="","",IF(ISNUMBER($AR1454),IF($AR1454&gt;=10000000,IFERROR(DATE(INT($AR1454/10000),MOD(INT($AR1454/100),100),MOD($AR1454,100)),""),INT($AR1454)),IFERROR(DATE(--LEFT(LEFT(SUBSTITUTE(SUBSTITUTE(SUBSTITUTE(SUBSTITUTE(TRIM($AR1454),"-",""),".",""),"/","")," ",""),8),4),--MID(LEFT(SUBSTITUTE(SUBSTITUTE(SUBSTITUTE(SUBSTITUTE(TRIM($AR1454),"-",""),".",""),"/","")," ",""),8),5,2),--MID(LEFT(SUBSTITUTE(SUBSTITUTE(SUBSTITUTE(SUBSTITUTE(TRIM($AR1454),"-",""),".",""),"/","")," ",""),8),7,2)),"")))</f>
        <v/>
      </c>
      <c r="AT1454" s="33">
        <f>IF($AS1454="","",IF($F$6="",0,IF(ISNUMBER(INDEX($A:$AP,ROW(),$F$6)),INDEX($A:$AP,ROW(),$F$6),IFERROR(--SUBSTITUTE(SUBSTITUTE(TRIM(INDEX($A:$AP,ROW(),$F$6)),",",""),"원",""),0))))</f>
        <v/>
      </c>
      <c r="AU1454" s="31">
        <f>IF($AS1454="","",IF($AX1454&lt;&gt;"",SUBSTITUTE(SUBSTITUTE($AX1454,"-","")," ",""),"N:"&amp;$AV1454))</f>
        <v/>
      </c>
      <c r="AV1454" s="31">
        <f>IF(OR($AS1454="",$E$6=""),"",TRIM(INDEX($A:$AP,ROW(),$E$6)&amp;""))</f>
        <v/>
      </c>
      <c r="AW1454" s="31">
        <f>IF($AU1454="","",IF(MATCH($AU1454,$AU$8:$AU$2007,0)=ROW()-7,MAX($AW$7:$AW1453)+1,""))</f>
        <v/>
      </c>
      <c r="AX1454" s="31">
        <f>IF(OR($AS1454="",$D$6=""),"",TRIM(INDEX($A:$AP,ROW(),$D$6)&amp;""))</f>
        <v/>
      </c>
      <c r="AY1454" s="31">
        <f>IF($AU1454="","",INDEX($AW$8:$AW$2007,MATCH($AU1454,$AU$8:$AU$2007,0)))</f>
        <v/>
      </c>
      <c r="AZ1454" s="31">
        <f>IF(OR($AS1454="",$C$6=""),"",TRIM(INDEX($A:$AP,ROW(),$C$6)&amp;""))</f>
        <v/>
      </c>
      <c r="BA1454" s="31">
        <f>IF($AZ1454="","",IF(COUNTIF($AZ$8:$AZ1454,$AZ1454)&gt;1,1,0))</f>
        <v/>
      </c>
    </row>
    <row r="1455">
      <c r="AR1455" s="31">
        <f>IF(OR($A$5="",$B$6="",ROW()&lt;$A$5),"",IF(INDEX($A:$AP,ROW(),$B$6)="","",INDEX($A:$AP,ROW(),$B$6)))</f>
        <v/>
      </c>
      <c r="AS1455" s="32">
        <f>IF($AR1455="","",IF(ISNUMBER($AR1455),IF($AR1455&gt;=10000000,IFERROR(DATE(INT($AR1455/10000),MOD(INT($AR1455/100),100),MOD($AR1455,100)),""),INT($AR1455)),IFERROR(DATE(--LEFT(LEFT(SUBSTITUTE(SUBSTITUTE(SUBSTITUTE(SUBSTITUTE(TRIM($AR1455),"-",""),".",""),"/","")," ",""),8),4),--MID(LEFT(SUBSTITUTE(SUBSTITUTE(SUBSTITUTE(SUBSTITUTE(TRIM($AR1455),"-",""),".",""),"/","")," ",""),8),5,2),--MID(LEFT(SUBSTITUTE(SUBSTITUTE(SUBSTITUTE(SUBSTITUTE(TRIM($AR1455),"-",""),".",""),"/","")," ",""),8),7,2)),"")))</f>
        <v/>
      </c>
      <c r="AT1455" s="33">
        <f>IF($AS1455="","",IF($F$6="",0,IF(ISNUMBER(INDEX($A:$AP,ROW(),$F$6)),INDEX($A:$AP,ROW(),$F$6),IFERROR(--SUBSTITUTE(SUBSTITUTE(TRIM(INDEX($A:$AP,ROW(),$F$6)),",",""),"원",""),0))))</f>
        <v/>
      </c>
      <c r="AU1455" s="31">
        <f>IF($AS1455="","",IF($AX1455&lt;&gt;"",SUBSTITUTE(SUBSTITUTE($AX1455,"-","")," ",""),"N:"&amp;$AV1455))</f>
        <v/>
      </c>
      <c r="AV1455" s="31">
        <f>IF(OR($AS1455="",$E$6=""),"",TRIM(INDEX($A:$AP,ROW(),$E$6)&amp;""))</f>
        <v/>
      </c>
      <c r="AW1455" s="31">
        <f>IF($AU1455="","",IF(MATCH($AU1455,$AU$8:$AU$2007,0)=ROW()-7,MAX($AW$7:$AW1454)+1,""))</f>
        <v/>
      </c>
      <c r="AX1455" s="31">
        <f>IF(OR($AS1455="",$D$6=""),"",TRIM(INDEX($A:$AP,ROW(),$D$6)&amp;""))</f>
        <v/>
      </c>
      <c r="AY1455" s="31">
        <f>IF($AU1455="","",INDEX($AW$8:$AW$2007,MATCH($AU1455,$AU$8:$AU$2007,0)))</f>
        <v/>
      </c>
      <c r="AZ1455" s="31">
        <f>IF(OR($AS1455="",$C$6=""),"",TRIM(INDEX($A:$AP,ROW(),$C$6)&amp;""))</f>
        <v/>
      </c>
      <c r="BA1455" s="31">
        <f>IF($AZ1455="","",IF(COUNTIF($AZ$8:$AZ1455,$AZ1455)&gt;1,1,0))</f>
        <v/>
      </c>
    </row>
    <row r="1456">
      <c r="AR1456" s="31">
        <f>IF(OR($A$5="",$B$6="",ROW()&lt;$A$5),"",IF(INDEX($A:$AP,ROW(),$B$6)="","",INDEX($A:$AP,ROW(),$B$6)))</f>
        <v/>
      </c>
      <c r="AS1456" s="32">
        <f>IF($AR1456="","",IF(ISNUMBER($AR1456),IF($AR1456&gt;=10000000,IFERROR(DATE(INT($AR1456/10000),MOD(INT($AR1456/100),100),MOD($AR1456,100)),""),INT($AR1456)),IFERROR(DATE(--LEFT(LEFT(SUBSTITUTE(SUBSTITUTE(SUBSTITUTE(SUBSTITUTE(TRIM($AR1456),"-",""),".",""),"/","")," ",""),8),4),--MID(LEFT(SUBSTITUTE(SUBSTITUTE(SUBSTITUTE(SUBSTITUTE(TRIM($AR1456),"-",""),".",""),"/","")," ",""),8),5,2),--MID(LEFT(SUBSTITUTE(SUBSTITUTE(SUBSTITUTE(SUBSTITUTE(TRIM($AR1456),"-",""),".",""),"/","")," ",""),8),7,2)),"")))</f>
        <v/>
      </c>
      <c r="AT1456" s="33">
        <f>IF($AS1456="","",IF($F$6="",0,IF(ISNUMBER(INDEX($A:$AP,ROW(),$F$6)),INDEX($A:$AP,ROW(),$F$6),IFERROR(--SUBSTITUTE(SUBSTITUTE(TRIM(INDEX($A:$AP,ROW(),$F$6)),",",""),"원",""),0))))</f>
        <v/>
      </c>
      <c r="AU1456" s="31">
        <f>IF($AS1456="","",IF($AX1456&lt;&gt;"",SUBSTITUTE(SUBSTITUTE($AX1456,"-","")," ",""),"N:"&amp;$AV1456))</f>
        <v/>
      </c>
      <c r="AV1456" s="31">
        <f>IF(OR($AS1456="",$E$6=""),"",TRIM(INDEX($A:$AP,ROW(),$E$6)&amp;""))</f>
        <v/>
      </c>
      <c r="AW1456" s="31">
        <f>IF($AU1456="","",IF(MATCH($AU1456,$AU$8:$AU$2007,0)=ROW()-7,MAX($AW$7:$AW1455)+1,""))</f>
        <v/>
      </c>
      <c r="AX1456" s="31">
        <f>IF(OR($AS1456="",$D$6=""),"",TRIM(INDEX($A:$AP,ROW(),$D$6)&amp;""))</f>
        <v/>
      </c>
      <c r="AY1456" s="31">
        <f>IF($AU1456="","",INDEX($AW$8:$AW$2007,MATCH($AU1456,$AU$8:$AU$2007,0)))</f>
        <v/>
      </c>
      <c r="AZ1456" s="31">
        <f>IF(OR($AS1456="",$C$6=""),"",TRIM(INDEX($A:$AP,ROW(),$C$6)&amp;""))</f>
        <v/>
      </c>
      <c r="BA1456" s="31">
        <f>IF($AZ1456="","",IF(COUNTIF($AZ$8:$AZ1456,$AZ1456)&gt;1,1,0))</f>
        <v/>
      </c>
    </row>
    <row r="1457">
      <c r="AR1457" s="31">
        <f>IF(OR($A$5="",$B$6="",ROW()&lt;$A$5),"",IF(INDEX($A:$AP,ROW(),$B$6)="","",INDEX($A:$AP,ROW(),$B$6)))</f>
        <v/>
      </c>
      <c r="AS1457" s="32">
        <f>IF($AR1457="","",IF(ISNUMBER($AR1457),IF($AR1457&gt;=10000000,IFERROR(DATE(INT($AR1457/10000),MOD(INT($AR1457/100),100),MOD($AR1457,100)),""),INT($AR1457)),IFERROR(DATE(--LEFT(LEFT(SUBSTITUTE(SUBSTITUTE(SUBSTITUTE(SUBSTITUTE(TRIM($AR1457),"-",""),".",""),"/","")," ",""),8),4),--MID(LEFT(SUBSTITUTE(SUBSTITUTE(SUBSTITUTE(SUBSTITUTE(TRIM($AR1457),"-",""),".",""),"/","")," ",""),8),5,2),--MID(LEFT(SUBSTITUTE(SUBSTITUTE(SUBSTITUTE(SUBSTITUTE(TRIM($AR1457),"-",""),".",""),"/","")," ",""),8),7,2)),"")))</f>
        <v/>
      </c>
      <c r="AT1457" s="33">
        <f>IF($AS1457="","",IF($F$6="",0,IF(ISNUMBER(INDEX($A:$AP,ROW(),$F$6)),INDEX($A:$AP,ROW(),$F$6),IFERROR(--SUBSTITUTE(SUBSTITUTE(TRIM(INDEX($A:$AP,ROW(),$F$6)),",",""),"원",""),0))))</f>
        <v/>
      </c>
      <c r="AU1457" s="31">
        <f>IF($AS1457="","",IF($AX1457&lt;&gt;"",SUBSTITUTE(SUBSTITUTE($AX1457,"-","")," ",""),"N:"&amp;$AV1457))</f>
        <v/>
      </c>
      <c r="AV1457" s="31">
        <f>IF(OR($AS1457="",$E$6=""),"",TRIM(INDEX($A:$AP,ROW(),$E$6)&amp;""))</f>
        <v/>
      </c>
      <c r="AW1457" s="31">
        <f>IF($AU1457="","",IF(MATCH($AU1457,$AU$8:$AU$2007,0)=ROW()-7,MAX($AW$7:$AW1456)+1,""))</f>
        <v/>
      </c>
      <c r="AX1457" s="31">
        <f>IF(OR($AS1457="",$D$6=""),"",TRIM(INDEX($A:$AP,ROW(),$D$6)&amp;""))</f>
        <v/>
      </c>
      <c r="AY1457" s="31">
        <f>IF($AU1457="","",INDEX($AW$8:$AW$2007,MATCH($AU1457,$AU$8:$AU$2007,0)))</f>
        <v/>
      </c>
      <c r="AZ1457" s="31">
        <f>IF(OR($AS1457="",$C$6=""),"",TRIM(INDEX($A:$AP,ROW(),$C$6)&amp;""))</f>
        <v/>
      </c>
      <c r="BA1457" s="31">
        <f>IF($AZ1457="","",IF(COUNTIF($AZ$8:$AZ1457,$AZ1457)&gt;1,1,0))</f>
        <v/>
      </c>
    </row>
    <row r="1458">
      <c r="AR1458" s="31">
        <f>IF(OR($A$5="",$B$6="",ROW()&lt;$A$5),"",IF(INDEX($A:$AP,ROW(),$B$6)="","",INDEX($A:$AP,ROW(),$B$6)))</f>
        <v/>
      </c>
      <c r="AS1458" s="32">
        <f>IF($AR1458="","",IF(ISNUMBER($AR1458),IF($AR1458&gt;=10000000,IFERROR(DATE(INT($AR1458/10000),MOD(INT($AR1458/100),100),MOD($AR1458,100)),""),INT($AR1458)),IFERROR(DATE(--LEFT(LEFT(SUBSTITUTE(SUBSTITUTE(SUBSTITUTE(SUBSTITUTE(TRIM($AR1458),"-",""),".",""),"/","")," ",""),8),4),--MID(LEFT(SUBSTITUTE(SUBSTITUTE(SUBSTITUTE(SUBSTITUTE(TRIM($AR1458),"-",""),".",""),"/","")," ",""),8),5,2),--MID(LEFT(SUBSTITUTE(SUBSTITUTE(SUBSTITUTE(SUBSTITUTE(TRIM($AR1458),"-",""),".",""),"/","")," ",""),8),7,2)),"")))</f>
        <v/>
      </c>
      <c r="AT1458" s="33">
        <f>IF($AS1458="","",IF($F$6="",0,IF(ISNUMBER(INDEX($A:$AP,ROW(),$F$6)),INDEX($A:$AP,ROW(),$F$6),IFERROR(--SUBSTITUTE(SUBSTITUTE(TRIM(INDEX($A:$AP,ROW(),$F$6)),",",""),"원",""),0))))</f>
        <v/>
      </c>
      <c r="AU1458" s="31">
        <f>IF($AS1458="","",IF($AX1458&lt;&gt;"",SUBSTITUTE(SUBSTITUTE($AX1458,"-","")," ",""),"N:"&amp;$AV1458))</f>
        <v/>
      </c>
      <c r="AV1458" s="31">
        <f>IF(OR($AS1458="",$E$6=""),"",TRIM(INDEX($A:$AP,ROW(),$E$6)&amp;""))</f>
        <v/>
      </c>
      <c r="AW1458" s="31">
        <f>IF($AU1458="","",IF(MATCH($AU1458,$AU$8:$AU$2007,0)=ROW()-7,MAX($AW$7:$AW1457)+1,""))</f>
        <v/>
      </c>
      <c r="AX1458" s="31">
        <f>IF(OR($AS1458="",$D$6=""),"",TRIM(INDEX($A:$AP,ROW(),$D$6)&amp;""))</f>
        <v/>
      </c>
      <c r="AY1458" s="31">
        <f>IF($AU1458="","",INDEX($AW$8:$AW$2007,MATCH($AU1458,$AU$8:$AU$2007,0)))</f>
        <v/>
      </c>
      <c r="AZ1458" s="31">
        <f>IF(OR($AS1458="",$C$6=""),"",TRIM(INDEX($A:$AP,ROW(),$C$6)&amp;""))</f>
        <v/>
      </c>
      <c r="BA1458" s="31">
        <f>IF($AZ1458="","",IF(COUNTIF($AZ$8:$AZ1458,$AZ1458)&gt;1,1,0))</f>
        <v/>
      </c>
    </row>
    <row r="1459">
      <c r="AR1459" s="31">
        <f>IF(OR($A$5="",$B$6="",ROW()&lt;$A$5),"",IF(INDEX($A:$AP,ROW(),$B$6)="","",INDEX($A:$AP,ROW(),$B$6)))</f>
        <v/>
      </c>
      <c r="AS1459" s="32">
        <f>IF($AR1459="","",IF(ISNUMBER($AR1459),IF($AR1459&gt;=10000000,IFERROR(DATE(INT($AR1459/10000),MOD(INT($AR1459/100),100),MOD($AR1459,100)),""),INT($AR1459)),IFERROR(DATE(--LEFT(LEFT(SUBSTITUTE(SUBSTITUTE(SUBSTITUTE(SUBSTITUTE(TRIM($AR1459),"-",""),".",""),"/","")," ",""),8),4),--MID(LEFT(SUBSTITUTE(SUBSTITUTE(SUBSTITUTE(SUBSTITUTE(TRIM($AR1459),"-",""),".",""),"/","")," ",""),8),5,2),--MID(LEFT(SUBSTITUTE(SUBSTITUTE(SUBSTITUTE(SUBSTITUTE(TRIM($AR1459),"-",""),".",""),"/","")," ",""),8),7,2)),"")))</f>
        <v/>
      </c>
      <c r="AT1459" s="33">
        <f>IF($AS1459="","",IF($F$6="",0,IF(ISNUMBER(INDEX($A:$AP,ROW(),$F$6)),INDEX($A:$AP,ROW(),$F$6),IFERROR(--SUBSTITUTE(SUBSTITUTE(TRIM(INDEX($A:$AP,ROW(),$F$6)),",",""),"원",""),0))))</f>
        <v/>
      </c>
      <c r="AU1459" s="31">
        <f>IF($AS1459="","",IF($AX1459&lt;&gt;"",SUBSTITUTE(SUBSTITUTE($AX1459,"-","")," ",""),"N:"&amp;$AV1459))</f>
        <v/>
      </c>
      <c r="AV1459" s="31">
        <f>IF(OR($AS1459="",$E$6=""),"",TRIM(INDEX($A:$AP,ROW(),$E$6)&amp;""))</f>
        <v/>
      </c>
      <c r="AW1459" s="31">
        <f>IF($AU1459="","",IF(MATCH($AU1459,$AU$8:$AU$2007,0)=ROW()-7,MAX($AW$7:$AW1458)+1,""))</f>
        <v/>
      </c>
      <c r="AX1459" s="31">
        <f>IF(OR($AS1459="",$D$6=""),"",TRIM(INDEX($A:$AP,ROW(),$D$6)&amp;""))</f>
        <v/>
      </c>
      <c r="AY1459" s="31">
        <f>IF($AU1459="","",INDEX($AW$8:$AW$2007,MATCH($AU1459,$AU$8:$AU$2007,0)))</f>
        <v/>
      </c>
      <c r="AZ1459" s="31">
        <f>IF(OR($AS1459="",$C$6=""),"",TRIM(INDEX($A:$AP,ROW(),$C$6)&amp;""))</f>
        <v/>
      </c>
      <c r="BA1459" s="31">
        <f>IF($AZ1459="","",IF(COUNTIF($AZ$8:$AZ1459,$AZ1459)&gt;1,1,0))</f>
        <v/>
      </c>
    </row>
    <row r="1460">
      <c r="AR1460" s="31">
        <f>IF(OR($A$5="",$B$6="",ROW()&lt;$A$5),"",IF(INDEX($A:$AP,ROW(),$B$6)="","",INDEX($A:$AP,ROW(),$B$6)))</f>
        <v/>
      </c>
      <c r="AS1460" s="32">
        <f>IF($AR1460="","",IF(ISNUMBER($AR1460),IF($AR1460&gt;=10000000,IFERROR(DATE(INT($AR1460/10000),MOD(INT($AR1460/100),100),MOD($AR1460,100)),""),INT($AR1460)),IFERROR(DATE(--LEFT(LEFT(SUBSTITUTE(SUBSTITUTE(SUBSTITUTE(SUBSTITUTE(TRIM($AR1460),"-",""),".",""),"/","")," ",""),8),4),--MID(LEFT(SUBSTITUTE(SUBSTITUTE(SUBSTITUTE(SUBSTITUTE(TRIM($AR1460),"-",""),".",""),"/","")," ",""),8),5,2),--MID(LEFT(SUBSTITUTE(SUBSTITUTE(SUBSTITUTE(SUBSTITUTE(TRIM($AR1460),"-",""),".",""),"/","")," ",""),8),7,2)),"")))</f>
        <v/>
      </c>
      <c r="AT1460" s="33">
        <f>IF($AS1460="","",IF($F$6="",0,IF(ISNUMBER(INDEX($A:$AP,ROW(),$F$6)),INDEX($A:$AP,ROW(),$F$6),IFERROR(--SUBSTITUTE(SUBSTITUTE(TRIM(INDEX($A:$AP,ROW(),$F$6)),",",""),"원",""),0))))</f>
        <v/>
      </c>
      <c r="AU1460" s="31">
        <f>IF($AS1460="","",IF($AX1460&lt;&gt;"",SUBSTITUTE(SUBSTITUTE($AX1460,"-","")," ",""),"N:"&amp;$AV1460))</f>
        <v/>
      </c>
      <c r="AV1460" s="31">
        <f>IF(OR($AS1460="",$E$6=""),"",TRIM(INDEX($A:$AP,ROW(),$E$6)&amp;""))</f>
        <v/>
      </c>
      <c r="AW1460" s="31">
        <f>IF($AU1460="","",IF(MATCH($AU1460,$AU$8:$AU$2007,0)=ROW()-7,MAX($AW$7:$AW1459)+1,""))</f>
        <v/>
      </c>
      <c r="AX1460" s="31">
        <f>IF(OR($AS1460="",$D$6=""),"",TRIM(INDEX($A:$AP,ROW(),$D$6)&amp;""))</f>
        <v/>
      </c>
      <c r="AY1460" s="31">
        <f>IF($AU1460="","",INDEX($AW$8:$AW$2007,MATCH($AU1460,$AU$8:$AU$2007,0)))</f>
        <v/>
      </c>
      <c r="AZ1460" s="31">
        <f>IF(OR($AS1460="",$C$6=""),"",TRIM(INDEX($A:$AP,ROW(),$C$6)&amp;""))</f>
        <v/>
      </c>
      <c r="BA1460" s="31">
        <f>IF($AZ1460="","",IF(COUNTIF($AZ$8:$AZ1460,$AZ1460)&gt;1,1,0))</f>
        <v/>
      </c>
    </row>
    <row r="1461">
      <c r="AR1461" s="31">
        <f>IF(OR($A$5="",$B$6="",ROW()&lt;$A$5),"",IF(INDEX($A:$AP,ROW(),$B$6)="","",INDEX($A:$AP,ROW(),$B$6)))</f>
        <v/>
      </c>
      <c r="AS1461" s="32">
        <f>IF($AR1461="","",IF(ISNUMBER($AR1461),IF($AR1461&gt;=10000000,IFERROR(DATE(INT($AR1461/10000),MOD(INT($AR1461/100),100),MOD($AR1461,100)),""),INT($AR1461)),IFERROR(DATE(--LEFT(LEFT(SUBSTITUTE(SUBSTITUTE(SUBSTITUTE(SUBSTITUTE(TRIM($AR1461),"-",""),".",""),"/","")," ",""),8),4),--MID(LEFT(SUBSTITUTE(SUBSTITUTE(SUBSTITUTE(SUBSTITUTE(TRIM($AR1461),"-",""),".",""),"/","")," ",""),8),5,2),--MID(LEFT(SUBSTITUTE(SUBSTITUTE(SUBSTITUTE(SUBSTITUTE(TRIM($AR1461),"-",""),".",""),"/","")," ",""),8),7,2)),"")))</f>
        <v/>
      </c>
      <c r="AT1461" s="33">
        <f>IF($AS1461="","",IF($F$6="",0,IF(ISNUMBER(INDEX($A:$AP,ROW(),$F$6)),INDEX($A:$AP,ROW(),$F$6),IFERROR(--SUBSTITUTE(SUBSTITUTE(TRIM(INDEX($A:$AP,ROW(),$F$6)),",",""),"원",""),0))))</f>
        <v/>
      </c>
      <c r="AU1461" s="31">
        <f>IF($AS1461="","",IF($AX1461&lt;&gt;"",SUBSTITUTE(SUBSTITUTE($AX1461,"-","")," ",""),"N:"&amp;$AV1461))</f>
        <v/>
      </c>
      <c r="AV1461" s="31">
        <f>IF(OR($AS1461="",$E$6=""),"",TRIM(INDEX($A:$AP,ROW(),$E$6)&amp;""))</f>
        <v/>
      </c>
      <c r="AW1461" s="31">
        <f>IF($AU1461="","",IF(MATCH($AU1461,$AU$8:$AU$2007,0)=ROW()-7,MAX($AW$7:$AW1460)+1,""))</f>
        <v/>
      </c>
      <c r="AX1461" s="31">
        <f>IF(OR($AS1461="",$D$6=""),"",TRIM(INDEX($A:$AP,ROW(),$D$6)&amp;""))</f>
        <v/>
      </c>
      <c r="AY1461" s="31">
        <f>IF($AU1461="","",INDEX($AW$8:$AW$2007,MATCH($AU1461,$AU$8:$AU$2007,0)))</f>
        <v/>
      </c>
      <c r="AZ1461" s="31">
        <f>IF(OR($AS1461="",$C$6=""),"",TRIM(INDEX($A:$AP,ROW(),$C$6)&amp;""))</f>
        <v/>
      </c>
      <c r="BA1461" s="31">
        <f>IF($AZ1461="","",IF(COUNTIF($AZ$8:$AZ1461,$AZ1461)&gt;1,1,0))</f>
        <v/>
      </c>
    </row>
    <row r="1462">
      <c r="AR1462" s="31">
        <f>IF(OR($A$5="",$B$6="",ROW()&lt;$A$5),"",IF(INDEX($A:$AP,ROW(),$B$6)="","",INDEX($A:$AP,ROW(),$B$6)))</f>
        <v/>
      </c>
      <c r="AS1462" s="32">
        <f>IF($AR1462="","",IF(ISNUMBER($AR1462),IF($AR1462&gt;=10000000,IFERROR(DATE(INT($AR1462/10000),MOD(INT($AR1462/100),100),MOD($AR1462,100)),""),INT($AR1462)),IFERROR(DATE(--LEFT(LEFT(SUBSTITUTE(SUBSTITUTE(SUBSTITUTE(SUBSTITUTE(TRIM($AR1462),"-",""),".",""),"/","")," ",""),8),4),--MID(LEFT(SUBSTITUTE(SUBSTITUTE(SUBSTITUTE(SUBSTITUTE(TRIM($AR1462),"-",""),".",""),"/","")," ",""),8),5,2),--MID(LEFT(SUBSTITUTE(SUBSTITUTE(SUBSTITUTE(SUBSTITUTE(TRIM($AR1462),"-",""),".",""),"/","")," ",""),8),7,2)),"")))</f>
        <v/>
      </c>
      <c r="AT1462" s="33">
        <f>IF($AS1462="","",IF($F$6="",0,IF(ISNUMBER(INDEX($A:$AP,ROW(),$F$6)),INDEX($A:$AP,ROW(),$F$6),IFERROR(--SUBSTITUTE(SUBSTITUTE(TRIM(INDEX($A:$AP,ROW(),$F$6)),",",""),"원",""),0))))</f>
        <v/>
      </c>
      <c r="AU1462" s="31">
        <f>IF($AS1462="","",IF($AX1462&lt;&gt;"",SUBSTITUTE(SUBSTITUTE($AX1462,"-","")," ",""),"N:"&amp;$AV1462))</f>
        <v/>
      </c>
      <c r="AV1462" s="31">
        <f>IF(OR($AS1462="",$E$6=""),"",TRIM(INDEX($A:$AP,ROW(),$E$6)&amp;""))</f>
        <v/>
      </c>
      <c r="AW1462" s="31">
        <f>IF($AU1462="","",IF(MATCH($AU1462,$AU$8:$AU$2007,0)=ROW()-7,MAX($AW$7:$AW1461)+1,""))</f>
        <v/>
      </c>
      <c r="AX1462" s="31">
        <f>IF(OR($AS1462="",$D$6=""),"",TRIM(INDEX($A:$AP,ROW(),$D$6)&amp;""))</f>
        <v/>
      </c>
      <c r="AY1462" s="31">
        <f>IF($AU1462="","",INDEX($AW$8:$AW$2007,MATCH($AU1462,$AU$8:$AU$2007,0)))</f>
        <v/>
      </c>
      <c r="AZ1462" s="31">
        <f>IF(OR($AS1462="",$C$6=""),"",TRIM(INDEX($A:$AP,ROW(),$C$6)&amp;""))</f>
        <v/>
      </c>
      <c r="BA1462" s="31">
        <f>IF($AZ1462="","",IF(COUNTIF($AZ$8:$AZ1462,$AZ1462)&gt;1,1,0))</f>
        <v/>
      </c>
    </row>
    <row r="1463">
      <c r="AR1463" s="31">
        <f>IF(OR($A$5="",$B$6="",ROW()&lt;$A$5),"",IF(INDEX($A:$AP,ROW(),$B$6)="","",INDEX($A:$AP,ROW(),$B$6)))</f>
        <v/>
      </c>
      <c r="AS1463" s="32">
        <f>IF($AR1463="","",IF(ISNUMBER($AR1463),IF($AR1463&gt;=10000000,IFERROR(DATE(INT($AR1463/10000),MOD(INT($AR1463/100),100),MOD($AR1463,100)),""),INT($AR1463)),IFERROR(DATE(--LEFT(LEFT(SUBSTITUTE(SUBSTITUTE(SUBSTITUTE(SUBSTITUTE(TRIM($AR1463),"-",""),".",""),"/","")," ",""),8),4),--MID(LEFT(SUBSTITUTE(SUBSTITUTE(SUBSTITUTE(SUBSTITUTE(TRIM($AR1463),"-",""),".",""),"/","")," ",""),8),5,2),--MID(LEFT(SUBSTITUTE(SUBSTITUTE(SUBSTITUTE(SUBSTITUTE(TRIM($AR1463),"-",""),".",""),"/","")," ",""),8),7,2)),"")))</f>
        <v/>
      </c>
      <c r="AT1463" s="33">
        <f>IF($AS1463="","",IF($F$6="",0,IF(ISNUMBER(INDEX($A:$AP,ROW(),$F$6)),INDEX($A:$AP,ROW(),$F$6),IFERROR(--SUBSTITUTE(SUBSTITUTE(TRIM(INDEX($A:$AP,ROW(),$F$6)),",",""),"원",""),0))))</f>
        <v/>
      </c>
      <c r="AU1463" s="31">
        <f>IF($AS1463="","",IF($AX1463&lt;&gt;"",SUBSTITUTE(SUBSTITUTE($AX1463,"-","")," ",""),"N:"&amp;$AV1463))</f>
        <v/>
      </c>
      <c r="AV1463" s="31">
        <f>IF(OR($AS1463="",$E$6=""),"",TRIM(INDEX($A:$AP,ROW(),$E$6)&amp;""))</f>
        <v/>
      </c>
      <c r="AW1463" s="31">
        <f>IF($AU1463="","",IF(MATCH($AU1463,$AU$8:$AU$2007,0)=ROW()-7,MAX($AW$7:$AW1462)+1,""))</f>
        <v/>
      </c>
      <c r="AX1463" s="31">
        <f>IF(OR($AS1463="",$D$6=""),"",TRIM(INDEX($A:$AP,ROW(),$D$6)&amp;""))</f>
        <v/>
      </c>
      <c r="AY1463" s="31">
        <f>IF($AU1463="","",INDEX($AW$8:$AW$2007,MATCH($AU1463,$AU$8:$AU$2007,0)))</f>
        <v/>
      </c>
      <c r="AZ1463" s="31">
        <f>IF(OR($AS1463="",$C$6=""),"",TRIM(INDEX($A:$AP,ROW(),$C$6)&amp;""))</f>
        <v/>
      </c>
      <c r="BA1463" s="31">
        <f>IF($AZ1463="","",IF(COUNTIF($AZ$8:$AZ1463,$AZ1463)&gt;1,1,0))</f>
        <v/>
      </c>
    </row>
    <row r="1464">
      <c r="AR1464" s="31">
        <f>IF(OR($A$5="",$B$6="",ROW()&lt;$A$5),"",IF(INDEX($A:$AP,ROW(),$B$6)="","",INDEX($A:$AP,ROW(),$B$6)))</f>
        <v/>
      </c>
      <c r="AS1464" s="32">
        <f>IF($AR1464="","",IF(ISNUMBER($AR1464),IF($AR1464&gt;=10000000,IFERROR(DATE(INT($AR1464/10000),MOD(INT($AR1464/100),100),MOD($AR1464,100)),""),INT($AR1464)),IFERROR(DATE(--LEFT(LEFT(SUBSTITUTE(SUBSTITUTE(SUBSTITUTE(SUBSTITUTE(TRIM($AR1464),"-",""),".",""),"/","")," ",""),8),4),--MID(LEFT(SUBSTITUTE(SUBSTITUTE(SUBSTITUTE(SUBSTITUTE(TRIM($AR1464),"-",""),".",""),"/","")," ",""),8),5,2),--MID(LEFT(SUBSTITUTE(SUBSTITUTE(SUBSTITUTE(SUBSTITUTE(TRIM($AR1464),"-",""),".",""),"/","")," ",""),8),7,2)),"")))</f>
        <v/>
      </c>
      <c r="AT1464" s="33">
        <f>IF($AS1464="","",IF($F$6="",0,IF(ISNUMBER(INDEX($A:$AP,ROW(),$F$6)),INDEX($A:$AP,ROW(),$F$6),IFERROR(--SUBSTITUTE(SUBSTITUTE(TRIM(INDEX($A:$AP,ROW(),$F$6)),",",""),"원",""),0))))</f>
        <v/>
      </c>
      <c r="AU1464" s="31">
        <f>IF($AS1464="","",IF($AX1464&lt;&gt;"",SUBSTITUTE(SUBSTITUTE($AX1464,"-","")," ",""),"N:"&amp;$AV1464))</f>
        <v/>
      </c>
      <c r="AV1464" s="31">
        <f>IF(OR($AS1464="",$E$6=""),"",TRIM(INDEX($A:$AP,ROW(),$E$6)&amp;""))</f>
        <v/>
      </c>
      <c r="AW1464" s="31">
        <f>IF($AU1464="","",IF(MATCH($AU1464,$AU$8:$AU$2007,0)=ROW()-7,MAX($AW$7:$AW1463)+1,""))</f>
        <v/>
      </c>
      <c r="AX1464" s="31">
        <f>IF(OR($AS1464="",$D$6=""),"",TRIM(INDEX($A:$AP,ROW(),$D$6)&amp;""))</f>
        <v/>
      </c>
      <c r="AY1464" s="31">
        <f>IF($AU1464="","",INDEX($AW$8:$AW$2007,MATCH($AU1464,$AU$8:$AU$2007,0)))</f>
        <v/>
      </c>
      <c r="AZ1464" s="31">
        <f>IF(OR($AS1464="",$C$6=""),"",TRIM(INDEX($A:$AP,ROW(),$C$6)&amp;""))</f>
        <v/>
      </c>
      <c r="BA1464" s="31">
        <f>IF($AZ1464="","",IF(COUNTIF($AZ$8:$AZ1464,$AZ1464)&gt;1,1,0))</f>
        <v/>
      </c>
    </row>
    <row r="1465">
      <c r="AR1465" s="31">
        <f>IF(OR($A$5="",$B$6="",ROW()&lt;$A$5),"",IF(INDEX($A:$AP,ROW(),$B$6)="","",INDEX($A:$AP,ROW(),$B$6)))</f>
        <v/>
      </c>
      <c r="AS1465" s="32">
        <f>IF($AR1465="","",IF(ISNUMBER($AR1465),IF($AR1465&gt;=10000000,IFERROR(DATE(INT($AR1465/10000),MOD(INT($AR1465/100),100),MOD($AR1465,100)),""),INT($AR1465)),IFERROR(DATE(--LEFT(LEFT(SUBSTITUTE(SUBSTITUTE(SUBSTITUTE(SUBSTITUTE(TRIM($AR1465),"-",""),".",""),"/","")," ",""),8),4),--MID(LEFT(SUBSTITUTE(SUBSTITUTE(SUBSTITUTE(SUBSTITUTE(TRIM($AR1465),"-",""),".",""),"/","")," ",""),8),5,2),--MID(LEFT(SUBSTITUTE(SUBSTITUTE(SUBSTITUTE(SUBSTITUTE(TRIM($AR1465),"-",""),".",""),"/","")," ",""),8),7,2)),"")))</f>
        <v/>
      </c>
      <c r="AT1465" s="33">
        <f>IF($AS1465="","",IF($F$6="",0,IF(ISNUMBER(INDEX($A:$AP,ROW(),$F$6)),INDEX($A:$AP,ROW(),$F$6),IFERROR(--SUBSTITUTE(SUBSTITUTE(TRIM(INDEX($A:$AP,ROW(),$F$6)),",",""),"원",""),0))))</f>
        <v/>
      </c>
      <c r="AU1465" s="31">
        <f>IF($AS1465="","",IF($AX1465&lt;&gt;"",SUBSTITUTE(SUBSTITUTE($AX1465,"-","")," ",""),"N:"&amp;$AV1465))</f>
        <v/>
      </c>
      <c r="AV1465" s="31">
        <f>IF(OR($AS1465="",$E$6=""),"",TRIM(INDEX($A:$AP,ROW(),$E$6)&amp;""))</f>
        <v/>
      </c>
      <c r="AW1465" s="31">
        <f>IF($AU1465="","",IF(MATCH($AU1465,$AU$8:$AU$2007,0)=ROW()-7,MAX($AW$7:$AW1464)+1,""))</f>
        <v/>
      </c>
      <c r="AX1465" s="31">
        <f>IF(OR($AS1465="",$D$6=""),"",TRIM(INDEX($A:$AP,ROW(),$D$6)&amp;""))</f>
        <v/>
      </c>
      <c r="AY1465" s="31">
        <f>IF($AU1465="","",INDEX($AW$8:$AW$2007,MATCH($AU1465,$AU$8:$AU$2007,0)))</f>
        <v/>
      </c>
      <c r="AZ1465" s="31">
        <f>IF(OR($AS1465="",$C$6=""),"",TRIM(INDEX($A:$AP,ROW(),$C$6)&amp;""))</f>
        <v/>
      </c>
      <c r="BA1465" s="31">
        <f>IF($AZ1465="","",IF(COUNTIF($AZ$8:$AZ1465,$AZ1465)&gt;1,1,0))</f>
        <v/>
      </c>
    </row>
    <row r="1466">
      <c r="AR1466" s="31">
        <f>IF(OR($A$5="",$B$6="",ROW()&lt;$A$5),"",IF(INDEX($A:$AP,ROW(),$B$6)="","",INDEX($A:$AP,ROW(),$B$6)))</f>
        <v/>
      </c>
      <c r="AS1466" s="32">
        <f>IF($AR1466="","",IF(ISNUMBER($AR1466),IF($AR1466&gt;=10000000,IFERROR(DATE(INT($AR1466/10000),MOD(INT($AR1466/100),100),MOD($AR1466,100)),""),INT($AR1466)),IFERROR(DATE(--LEFT(LEFT(SUBSTITUTE(SUBSTITUTE(SUBSTITUTE(SUBSTITUTE(TRIM($AR1466),"-",""),".",""),"/","")," ",""),8),4),--MID(LEFT(SUBSTITUTE(SUBSTITUTE(SUBSTITUTE(SUBSTITUTE(TRIM($AR1466),"-",""),".",""),"/","")," ",""),8),5,2),--MID(LEFT(SUBSTITUTE(SUBSTITUTE(SUBSTITUTE(SUBSTITUTE(TRIM($AR1466),"-",""),".",""),"/","")," ",""),8),7,2)),"")))</f>
        <v/>
      </c>
      <c r="AT1466" s="33">
        <f>IF($AS1466="","",IF($F$6="",0,IF(ISNUMBER(INDEX($A:$AP,ROW(),$F$6)),INDEX($A:$AP,ROW(),$F$6),IFERROR(--SUBSTITUTE(SUBSTITUTE(TRIM(INDEX($A:$AP,ROW(),$F$6)),",",""),"원",""),0))))</f>
        <v/>
      </c>
      <c r="AU1466" s="31">
        <f>IF($AS1466="","",IF($AX1466&lt;&gt;"",SUBSTITUTE(SUBSTITUTE($AX1466,"-","")," ",""),"N:"&amp;$AV1466))</f>
        <v/>
      </c>
      <c r="AV1466" s="31">
        <f>IF(OR($AS1466="",$E$6=""),"",TRIM(INDEX($A:$AP,ROW(),$E$6)&amp;""))</f>
        <v/>
      </c>
      <c r="AW1466" s="31">
        <f>IF($AU1466="","",IF(MATCH($AU1466,$AU$8:$AU$2007,0)=ROW()-7,MAX($AW$7:$AW1465)+1,""))</f>
        <v/>
      </c>
      <c r="AX1466" s="31">
        <f>IF(OR($AS1466="",$D$6=""),"",TRIM(INDEX($A:$AP,ROW(),$D$6)&amp;""))</f>
        <v/>
      </c>
      <c r="AY1466" s="31">
        <f>IF($AU1466="","",INDEX($AW$8:$AW$2007,MATCH($AU1466,$AU$8:$AU$2007,0)))</f>
        <v/>
      </c>
      <c r="AZ1466" s="31">
        <f>IF(OR($AS1466="",$C$6=""),"",TRIM(INDEX($A:$AP,ROW(),$C$6)&amp;""))</f>
        <v/>
      </c>
      <c r="BA1466" s="31">
        <f>IF($AZ1466="","",IF(COUNTIF($AZ$8:$AZ1466,$AZ1466)&gt;1,1,0))</f>
        <v/>
      </c>
    </row>
    <row r="1467">
      <c r="AR1467" s="31">
        <f>IF(OR($A$5="",$B$6="",ROW()&lt;$A$5),"",IF(INDEX($A:$AP,ROW(),$B$6)="","",INDEX($A:$AP,ROW(),$B$6)))</f>
        <v/>
      </c>
      <c r="AS1467" s="32">
        <f>IF($AR1467="","",IF(ISNUMBER($AR1467),IF($AR1467&gt;=10000000,IFERROR(DATE(INT($AR1467/10000),MOD(INT($AR1467/100),100),MOD($AR1467,100)),""),INT($AR1467)),IFERROR(DATE(--LEFT(LEFT(SUBSTITUTE(SUBSTITUTE(SUBSTITUTE(SUBSTITUTE(TRIM($AR1467),"-",""),".",""),"/","")," ",""),8),4),--MID(LEFT(SUBSTITUTE(SUBSTITUTE(SUBSTITUTE(SUBSTITUTE(TRIM($AR1467),"-",""),".",""),"/","")," ",""),8),5,2),--MID(LEFT(SUBSTITUTE(SUBSTITUTE(SUBSTITUTE(SUBSTITUTE(TRIM($AR1467),"-",""),".",""),"/","")," ",""),8),7,2)),"")))</f>
        <v/>
      </c>
      <c r="AT1467" s="33">
        <f>IF($AS1467="","",IF($F$6="",0,IF(ISNUMBER(INDEX($A:$AP,ROW(),$F$6)),INDEX($A:$AP,ROW(),$F$6),IFERROR(--SUBSTITUTE(SUBSTITUTE(TRIM(INDEX($A:$AP,ROW(),$F$6)),",",""),"원",""),0))))</f>
        <v/>
      </c>
      <c r="AU1467" s="31">
        <f>IF($AS1467="","",IF($AX1467&lt;&gt;"",SUBSTITUTE(SUBSTITUTE($AX1467,"-","")," ",""),"N:"&amp;$AV1467))</f>
        <v/>
      </c>
      <c r="AV1467" s="31">
        <f>IF(OR($AS1467="",$E$6=""),"",TRIM(INDEX($A:$AP,ROW(),$E$6)&amp;""))</f>
        <v/>
      </c>
      <c r="AW1467" s="31">
        <f>IF($AU1467="","",IF(MATCH($AU1467,$AU$8:$AU$2007,0)=ROW()-7,MAX($AW$7:$AW1466)+1,""))</f>
        <v/>
      </c>
      <c r="AX1467" s="31">
        <f>IF(OR($AS1467="",$D$6=""),"",TRIM(INDEX($A:$AP,ROW(),$D$6)&amp;""))</f>
        <v/>
      </c>
      <c r="AY1467" s="31">
        <f>IF($AU1467="","",INDEX($AW$8:$AW$2007,MATCH($AU1467,$AU$8:$AU$2007,0)))</f>
        <v/>
      </c>
      <c r="AZ1467" s="31">
        <f>IF(OR($AS1467="",$C$6=""),"",TRIM(INDEX($A:$AP,ROW(),$C$6)&amp;""))</f>
        <v/>
      </c>
      <c r="BA1467" s="31">
        <f>IF($AZ1467="","",IF(COUNTIF($AZ$8:$AZ1467,$AZ1467)&gt;1,1,0))</f>
        <v/>
      </c>
    </row>
    <row r="1468">
      <c r="AR1468" s="31">
        <f>IF(OR($A$5="",$B$6="",ROW()&lt;$A$5),"",IF(INDEX($A:$AP,ROW(),$B$6)="","",INDEX($A:$AP,ROW(),$B$6)))</f>
        <v/>
      </c>
      <c r="AS1468" s="32">
        <f>IF($AR1468="","",IF(ISNUMBER($AR1468),IF($AR1468&gt;=10000000,IFERROR(DATE(INT($AR1468/10000),MOD(INT($AR1468/100),100),MOD($AR1468,100)),""),INT($AR1468)),IFERROR(DATE(--LEFT(LEFT(SUBSTITUTE(SUBSTITUTE(SUBSTITUTE(SUBSTITUTE(TRIM($AR1468),"-",""),".",""),"/","")," ",""),8),4),--MID(LEFT(SUBSTITUTE(SUBSTITUTE(SUBSTITUTE(SUBSTITUTE(TRIM($AR1468),"-",""),".",""),"/","")," ",""),8),5,2),--MID(LEFT(SUBSTITUTE(SUBSTITUTE(SUBSTITUTE(SUBSTITUTE(TRIM($AR1468),"-",""),".",""),"/","")," ",""),8),7,2)),"")))</f>
        <v/>
      </c>
      <c r="AT1468" s="33">
        <f>IF($AS1468="","",IF($F$6="",0,IF(ISNUMBER(INDEX($A:$AP,ROW(),$F$6)),INDEX($A:$AP,ROW(),$F$6),IFERROR(--SUBSTITUTE(SUBSTITUTE(TRIM(INDEX($A:$AP,ROW(),$F$6)),",",""),"원",""),0))))</f>
        <v/>
      </c>
      <c r="AU1468" s="31">
        <f>IF($AS1468="","",IF($AX1468&lt;&gt;"",SUBSTITUTE(SUBSTITUTE($AX1468,"-","")," ",""),"N:"&amp;$AV1468))</f>
        <v/>
      </c>
      <c r="AV1468" s="31">
        <f>IF(OR($AS1468="",$E$6=""),"",TRIM(INDEX($A:$AP,ROW(),$E$6)&amp;""))</f>
        <v/>
      </c>
      <c r="AW1468" s="31">
        <f>IF($AU1468="","",IF(MATCH($AU1468,$AU$8:$AU$2007,0)=ROW()-7,MAX($AW$7:$AW1467)+1,""))</f>
        <v/>
      </c>
      <c r="AX1468" s="31">
        <f>IF(OR($AS1468="",$D$6=""),"",TRIM(INDEX($A:$AP,ROW(),$D$6)&amp;""))</f>
        <v/>
      </c>
      <c r="AY1468" s="31">
        <f>IF($AU1468="","",INDEX($AW$8:$AW$2007,MATCH($AU1468,$AU$8:$AU$2007,0)))</f>
        <v/>
      </c>
      <c r="AZ1468" s="31">
        <f>IF(OR($AS1468="",$C$6=""),"",TRIM(INDEX($A:$AP,ROW(),$C$6)&amp;""))</f>
        <v/>
      </c>
      <c r="BA1468" s="31">
        <f>IF($AZ1468="","",IF(COUNTIF($AZ$8:$AZ1468,$AZ1468)&gt;1,1,0))</f>
        <v/>
      </c>
    </row>
    <row r="1469">
      <c r="AR1469" s="31">
        <f>IF(OR($A$5="",$B$6="",ROW()&lt;$A$5),"",IF(INDEX($A:$AP,ROW(),$B$6)="","",INDEX($A:$AP,ROW(),$B$6)))</f>
        <v/>
      </c>
      <c r="AS1469" s="32">
        <f>IF($AR1469="","",IF(ISNUMBER($AR1469),IF($AR1469&gt;=10000000,IFERROR(DATE(INT($AR1469/10000),MOD(INT($AR1469/100),100),MOD($AR1469,100)),""),INT($AR1469)),IFERROR(DATE(--LEFT(LEFT(SUBSTITUTE(SUBSTITUTE(SUBSTITUTE(SUBSTITUTE(TRIM($AR1469),"-",""),".",""),"/","")," ",""),8),4),--MID(LEFT(SUBSTITUTE(SUBSTITUTE(SUBSTITUTE(SUBSTITUTE(TRIM($AR1469),"-",""),".",""),"/","")," ",""),8),5,2),--MID(LEFT(SUBSTITUTE(SUBSTITUTE(SUBSTITUTE(SUBSTITUTE(TRIM($AR1469),"-",""),".",""),"/","")," ",""),8),7,2)),"")))</f>
        <v/>
      </c>
      <c r="AT1469" s="33">
        <f>IF($AS1469="","",IF($F$6="",0,IF(ISNUMBER(INDEX($A:$AP,ROW(),$F$6)),INDEX($A:$AP,ROW(),$F$6),IFERROR(--SUBSTITUTE(SUBSTITUTE(TRIM(INDEX($A:$AP,ROW(),$F$6)),",",""),"원",""),0))))</f>
        <v/>
      </c>
      <c r="AU1469" s="31">
        <f>IF($AS1469="","",IF($AX1469&lt;&gt;"",SUBSTITUTE(SUBSTITUTE($AX1469,"-","")," ",""),"N:"&amp;$AV1469))</f>
        <v/>
      </c>
      <c r="AV1469" s="31">
        <f>IF(OR($AS1469="",$E$6=""),"",TRIM(INDEX($A:$AP,ROW(),$E$6)&amp;""))</f>
        <v/>
      </c>
      <c r="AW1469" s="31">
        <f>IF($AU1469="","",IF(MATCH($AU1469,$AU$8:$AU$2007,0)=ROW()-7,MAX($AW$7:$AW1468)+1,""))</f>
        <v/>
      </c>
      <c r="AX1469" s="31">
        <f>IF(OR($AS1469="",$D$6=""),"",TRIM(INDEX($A:$AP,ROW(),$D$6)&amp;""))</f>
        <v/>
      </c>
      <c r="AY1469" s="31">
        <f>IF($AU1469="","",INDEX($AW$8:$AW$2007,MATCH($AU1469,$AU$8:$AU$2007,0)))</f>
        <v/>
      </c>
      <c r="AZ1469" s="31">
        <f>IF(OR($AS1469="",$C$6=""),"",TRIM(INDEX($A:$AP,ROW(),$C$6)&amp;""))</f>
        <v/>
      </c>
      <c r="BA1469" s="31">
        <f>IF($AZ1469="","",IF(COUNTIF($AZ$8:$AZ1469,$AZ1469)&gt;1,1,0))</f>
        <v/>
      </c>
    </row>
    <row r="1470">
      <c r="AR1470" s="31">
        <f>IF(OR($A$5="",$B$6="",ROW()&lt;$A$5),"",IF(INDEX($A:$AP,ROW(),$B$6)="","",INDEX($A:$AP,ROW(),$B$6)))</f>
        <v/>
      </c>
      <c r="AS1470" s="32">
        <f>IF($AR1470="","",IF(ISNUMBER($AR1470),IF($AR1470&gt;=10000000,IFERROR(DATE(INT($AR1470/10000),MOD(INT($AR1470/100),100),MOD($AR1470,100)),""),INT($AR1470)),IFERROR(DATE(--LEFT(LEFT(SUBSTITUTE(SUBSTITUTE(SUBSTITUTE(SUBSTITUTE(TRIM($AR1470),"-",""),".",""),"/","")," ",""),8),4),--MID(LEFT(SUBSTITUTE(SUBSTITUTE(SUBSTITUTE(SUBSTITUTE(TRIM($AR1470),"-",""),".",""),"/","")," ",""),8),5,2),--MID(LEFT(SUBSTITUTE(SUBSTITUTE(SUBSTITUTE(SUBSTITUTE(TRIM($AR1470),"-",""),".",""),"/","")," ",""),8),7,2)),"")))</f>
        <v/>
      </c>
      <c r="AT1470" s="33">
        <f>IF($AS1470="","",IF($F$6="",0,IF(ISNUMBER(INDEX($A:$AP,ROW(),$F$6)),INDEX($A:$AP,ROW(),$F$6),IFERROR(--SUBSTITUTE(SUBSTITUTE(TRIM(INDEX($A:$AP,ROW(),$F$6)),",",""),"원",""),0))))</f>
        <v/>
      </c>
      <c r="AU1470" s="31">
        <f>IF($AS1470="","",IF($AX1470&lt;&gt;"",SUBSTITUTE(SUBSTITUTE($AX1470,"-","")," ",""),"N:"&amp;$AV1470))</f>
        <v/>
      </c>
      <c r="AV1470" s="31">
        <f>IF(OR($AS1470="",$E$6=""),"",TRIM(INDEX($A:$AP,ROW(),$E$6)&amp;""))</f>
        <v/>
      </c>
      <c r="AW1470" s="31">
        <f>IF($AU1470="","",IF(MATCH($AU1470,$AU$8:$AU$2007,0)=ROW()-7,MAX($AW$7:$AW1469)+1,""))</f>
        <v/>
      </c>
      <c r="AX1470" s="31">
        <f>IF(OR($AS1470="",$D$6=""),"",TRIM(INDEX($A:$AP,ROW(),$D$6)&amp;""))</f>
        <v/>
      </c>
      <c r="AY1470" s="31">
        <f>IF($AU1470="","",INDEX($AW$8:$AW$2007,MATCH($AU1470,$AU$8:$AU$2007,0)))</f>
        <v/>
      </c>
      <c r="AZ1470" s="31">
        <f>IF(OR($AS1470="",$C$6=""),"",TRIM(INDEX($A:$AP,ROW(),$C$6)&amp;""))</f>
        <v/>
      </c>
      <c r="BA1470" s="31">
        <f>IF($AZ1470="","",IF(COUNTIF($AZ$8:$AZ1470,$AZ1470)&gt;1,1,0))</f>
        <v/>
      </c>
    </row>
    <row r="1471">
      <c r="AR1471" s="31">
        <f>IF(OR($A$5="",$B$6="",ROW()&lt;$A$5),"",IF(INDEX($A:$AP,ROW(),$B$6)="","",INDEX($A:$AP,ROW(),$B$6)))</f>
        <v/>
      </c>
      <c r="AS1471" s="32">
        <f>IF($AR1471="","",IF(ISNUMBER($AR1471),IF($AR1471&gt;=10000000,IFERROR(DATE(INT($AR1471/10000),MOD(INT($AR1471/100),100),MOD($AR1471,100)),""),INT($AR1471)),IFERROR(DATE(--LEFT(LEFT(SUBSTITUTE(SUBSTITUTE(SUBSTITUTE(SUBSTITUTE(TRIM($AR1471),"-",""),".",""),"/","")," ",""),8),4),--MID(LEFT(SUBSTITUTE(SUBSTITUTE(SUBSTITUTE(SUBSTITUTE(TRIM($AR1471),"-",""),".",""),"/","")," ",""),8),5,2),--MID(LEFT(SUBSTITUTE(SUBSTITUTE(SUBSTITUTE(SUBSTITUTE(TRIM($AR1471),"-",""),".",""),"/","")," ",""),8),7,2)),"")))</f>
        <v/>
      </c>
      <c r="AT1471" s="33">
        <f>IF($AS1471="","",IF($F$6="",0,IF(ISNUMBER(INDEX($A:$AP,ROW(),$F$6)),INDEX($A:$AP,ROW(),$F$6),IFERROR(--SUBSTITUTE(SUBSTITUTE(TRIM(INDEX($A:$AP,ROW(),$F$6)),",",""),"원",""),0))))</f>
        <v/>
      </c>
      <c r="AU1471" s="31">
        <f>IF($AS1471="","",IF($AX1471&lt;&gt;"",SUBSTITUTE(SUBSTITUTE($AX1471,"-","")," ",""),"N:"&amp;$AV1471))</f>
        <v/>
      </c>
      <c r="AV1471" s="31">
        <f>IF(OR($AS1471="",$E$6=""),"",TRIM(INDEX($A:$AP,ROW(),$E$6)&amp;""))</f>
        <v/>
      </c>
      <c r="AW1471" s="31">
        <f>IF($AU1471="","",IF(MATCH($AU1471,$AU$8:$AU$2007,0)=ROW()-7,MAX($AW$7:$AW1470)+1,""))</f>
        <v/>
      </c>
      <c r="AX1471" s="31">
        <f>IF(OR($AS1471="",$D$6=""),"",TRIM(INDEX($A:$AP,ROW(),$D$6)&amp;""))</f>
        <v/>
      </c>
      <c r="AY1471" s="31">
        <f>IF($AU1471="","",INDEX($AW$8:$AW$2007,MATCH($AU1471,$AU$8:$AU$2007,0)))</f>
        <v/>
      </c>
      <c r="AZ1471" s="31">
        <f>IF(OR($AS1471="",$C$6=""),"",TRIM(INDEX($A:$AP,ROW(),$C$6)&amp;""))</f>
        <v/>
      </c>
      <c r="BA1471" s="31">
        <f>IF($AZ1471="","",IF(COUNTIF($AZ$8:$AZ1471,$AZ1471)&gt;1,1,0))</f>
        <v/>
      </c>
    </row>
    <row r="1472">
      <c r="AR1472" s="31">
        <f>IF(OR($A$5="",$B$6="",ROW()&lt;$A$5),"",IF(INDEX($A:$AP,ROW(),$B$6)="","",INDEX($A:$AP,ROW(),$B$6)))</f>
        <v/>
      </c>
      <c r="AS1472" s="32">
        <f>IF($AR1472="","",IF(ISNUMBER($AR1472),IF($AR1472&gt;=10000000,IFERROR(DATE(INT($AR1472/10000),MOD(INT($AR1472/100),100),MOD($AR1472,100)),""),INT($AR1472)),IFERROR(DATE(--LEFT(LEFT(SUBSTITUTE(SUBSTITUTE(SUBSTITUTE(SUBSTITUTE(TRIM($AR1472),"-",""),".",""),"/","")," ",""),8),4),--MID(LEFT(SUBSTITUTE(SUBSTITUTE(SUBSTITUTE(SUBSTITUTE(TRIM($AR1472),"-",""),".",""),"/","")," ",""),8),5,2),--MID(LEFT(SUBSTITUTE(SUBSTITUTE(SUBSTITUTE(SUBSTITUTE(TRIM($AR1472),"-",""),".",""),"/","")," ",""),8),7,2)),"")))</f>
        <v/>
      </c>
      <c r="AT1472" s="33">
        <f>IF($AS1472="","",IF($F$6="",0,IF(ISNUMBER(INDEX($A:$AP,ROW(),$F$6)),INDEX($A:$AP,ROW(),$F$6),IFERROR(--SUBSTITUTE(SUBSTITUTE(TRIM(INDEX($A:$AP,ROW(),$F$6)),",",""),"원",""),0))))</f>
        <v/>
      </c>
      <c r="AU1472" s="31">
        <f>IF($AS1472="","",IF($AX1472&lt;&gt;"",SUBSTITUTE(SUBSTITUTE($AX1472,"-","")," ",""),"N:"&amp;$AV1472))</f>
        <v/>
      </c>
      <c r="AV1472" s="31">
        <f>IF(OR($AS1472="",$E$6=""),"",TRIM(INDEX($A:$AP,ROW(),$E$6)&amp;""))</f>
        <v/>
      </c>
      <c r="AW1472" s="31">
        <f>IF($AU1472="","",IF(MATCH($AU1472,$AU$8:$AU$2007,0)=ROW()-7,MAX($AW$7:$AW1471)+1,""))</f>
        <v/>
      </c>
      <c r="AX1472" s="31">
        <f>IF(OR($AS1472="",$D$6=""),"",TRIM(INDEX($A:$AP,ROW(),$D$6)&amp;""))</f>
        <v/>
      </c>
      <c r="AY1472" s="31">
        <f>IF($AU1472="","",INDEX($AW$8:$AW$2007,MATCH($AU1472,$AU$8:$AU$2007,0)))</f>
        <v/>
      </c>
      <c r="AZ1472" s="31">
        <f>IF(OR($AS1472="",$C$6=""),"",TRIM(INDEX($A:$AP,ROW(),$C$6)&amp;""))</f>
        <v/>
      </c>
      <c r="BA1472" s="31">
        <f>IF($AZ1472="","",IF(COUNTIF($AZ$8:$AZ1472,$AZ1472)&gt;1,1,0))</f>
        <v/>
      </c>
    </row>
    <row r="1473">
      <c r="AR1473" s="31">
        <f>IF(OR($A$5="",$B$6="",ROW()&lt;$A$5),"",IF(INDEX($A:$AP,ROW(),$B$6)="","",INDEX($A:$AP,ROW(),$B$6)))</f>
        <v/>
      </c>
      <c r="AS1473" s="32">
        <f>IF($AR1473="","",IF(ISNUMBER($AR1473),IF($AR1473&gt;=10000000,IFERROR(DATE(INT($AR1473/10000),MOD(INT($AR1473/100),100),MOD($AR1473,100)),""),INT($AR1473)),IFERROR(DATE(--LEFT(LEFT(SUBSTITUTE(SUBSTITUTE(SUBSTITUTE(SUBSTITUTE(TRIM($AR1473),"-",""),".",""),"/","")," ",""),8),4),--MID(LEFT(SUBSTITUTE(SUBSTITUTE(SUBSTITUTE(SUBSTITUTE(TRIM($AR1473),"-",""),".",""),"/","")," ",""),8),5,2),--MID(LEFT(SUBSTITUTE(SUBSTITUTE(SUBSTITUTE(SUBSTITUTE(TRIM($AR1473),"-",""),".",""),"/","")," ",""),8),7,2)),"")))</f>
        <v/>
      </c>
      <c r="AT1473" s="33">
        <f>IF($AS1473="","",IF($F$6="",0,IF(ISNUMBER(INDEX($A:$AP,ROW(),$F$6)),INDEX($A:$AP,ROW(),$F$6),IFERROR(--SUBSTITUTE(SUBSTITUTE(TRIM(INDEX($A:$AP,ROW(),$F$6)),",",""),"원",""),0))))</f>
        <v/>
      </c>
      <c r="AU1473" s="31">
        <f>IF($AS1473="","",IF($AX1473&lt;&gt;"",SUBSTITUTE(SUBSTITUTE($AX1473,"-","")," ",""),"N:"&amp;$AV1473))</f>
        <v/>
      </c>
      <c r="AV1473" s="31">
        <f>IF(OR($AS1473="",$E$6=""),"",TRIM(INDEX($A:$AP,ROW(),$E$6)&amp;""))</f>
        <v/>
      </c>
      <c r="AW1473" s="31">
        <f>IF($AU1473="","",IF(MATCH($AU1473,$AU$8:$AU$2007,0)=ROW()-7,MAX($AW$7:$AW1472)+1,""))</f>
        <v/>
      </c>
      <c r="AX1473" s="31">
        <f>IF(OR($AS1473="",$D$6=""),"",TRIM(INDEX($A:$AP,ROW(),$D$6)&amp;""))</f>
        <v/>
      </c>
      <c r="AY1473" s="31">
        <f>IF($AU1473="","",INDEX($AW$8:$AW$2007,MATCH($AU1473,$AU$8:$AU$2007,0)))</f>
        <v/>
      </c>
      <c r="AZ1473" s="31">
        <f>IF(OR($AS1473="",$C$6=""),"",TRIM(INDEX($A:$AP,ROW(),$C$6)&amp;""))</f>
        <v/>
      </c>
      <c r="BA1473" s="31">
        <f>IF($AZ1473="","",IF(COUNTIF($AZ$8:$AZ1473,$AZ1473)&gt;1,1,0))</f>
        <v/>
      </c>
    </row>
    <row r="1474">
      <c r="AR1474" s="31">
        <f>IF(OR($A$5="",$B$6="",ROW()&lt;$A$5),"",IF(INDEX($A:$AP,ROW(),$B$6)="","",INDEX($A:$AP,ROW(),$B$6)))</f>
        <v/>
      </c>
      <c r="AS1474" s="32">
        <f>IF($AR1474="","",IF(ISNUMBER($AR1474),IF($AR1474&gt;=10000000,IFERROR(DATE(INT($AR1474/10000),MOD(INT($AR1474/100),100),MOD($AR1474,100)),""),INT($AR1474)),IFERROR(DATE(--LEFT(LEFT(SUBSTITUTE(SUBSTITUTE(SUBSTITUTE(SUBSTITUTE(TRIM($AR1474),"-",""),".",""),"/","")," ",""),8),4),--MID(LEFT(SUBSTITUTE(SUBSTITUTE(SUBSTITUTE(SUBSTITUTE(TRIM($AR1474),"-",""),".",""),"/","")," ",""),8),5,2),--MID(LEFT(SUBSTITUTE(SUBSTITUTE(SUBSTITUTE(SUBSTITUTE(TRIM($AR1474),"-",""),".",""),"/","")," ",""),8),7,2)),"")))</f>
        <v/>
      </c>
      <c r="AT1474" s="33">
        <f>IF($AS1474="","",IF($F$6="",0,IF(ISNUMBER(INDEX($A:$AP,ROW(),$F$6)),INDEX($A:$AP,ROW(),$F$6),IFERROR(--SUBSTITUTE(SUBSTITUTE(TRIM(INDEX($A:$AP,ROW(),$F$6)),",",""),"원",""),0))))</f>
        <v/>
      </c>
      <c r="AU1474" s="31">
        <f>IF($AS1474="","",IF($AX1474&lt;&gt;"",SUBSTITUTE(SUBSTITUTE($AX1474,"-","")," ",""),"N:"&amp;$AV1474))</f>
        <v/>
      </c>
      <c r="AV1474" s="31">
        <f>IF(OR($AS1474="",$E$6=""),"",TRIM(INDEX($A:$AP,ROW(),$E$6)&amp;""))</f>
        <v/>
      </c>
      <c r="AW1474" s="31">
        <f>IF($AU1474="","",IF(MATCH($AU1474,$AU$8:$AU$2007,0)=ROW()-7,MAX($AW$7:$AW1473)+1,""))</f>
        <v/>
      </c>
      <c r="AX1474" s="31">
        <f>IF(OR($AS1474="",$D$6=""),"",TRIM(INDEX($A:$AP,ROW(),$D$6)&amp;""))</f>
        <v/>
      </c>
      <c r="AY1474" s="31">
        <f>IF($AU1474="","",INDEX($AW$8:$AW$2007,MATCH($AU1474,$AU$8:$AU$2007,0)))</f>
        <v/>
      </c>
      <c r="AZ1474" s="31">
        <f>IF(OR($AS1474="",$C$6=""),"",TRIM(INDEX($A:$AP,ROW(),$C$6)&amp;""))</f>
        <v/>
      </c>
      <c r="BA1474" s="31">
        <f>IF($AZ1474="","",IF(COUNTIF($AZ$8:$AZ1474,$AZ1474)&gt;1,1,0))</f>
        <v/>
      </c>
    </row>
    <row r="1475">
      <c r="AR1475" s="31">
        <f>IF(OR($A$5="",$B$6="",ROW()&lt;$A$5),"",IF(INDEX($A:$AP,ROW(),$B$6)="","",INDEX($A:$AP,ROW(),$B$6)))</f>
        <v/>
      </c>
      <c r="AS1475" s="32">
        <f>IF($AR1475="","",IF(ISNUMBER($AR1475),IF($AR1475&gt;=10000000,IFERROR(DATE(INT($AR1475/10000),MOD(INT($AR1475/100),100),MOD($AR1475,100)),""),INT($AR1475)),IFERROR(DATE(--LEFT(LEFT(SUBSTITUTE(SUBSTITUTE(SUBSTITUTE(SUBSTITUTE(TRIM($AR1475),"-",""),".",""),"/","")," ",""),8),4),--MID(LEFT(SUBSTITUTE(SUBSTITUTE(SUBSTITUTE(SUBSTITUTE(TRIM($AR1475),"-",""),".",""),"/","")," ",""),8),5,2),--MID(LEFT(SUBSTITUTE(SUBSTITUTE(SUBSTITUTE(SUBSTITUTE(TRIM($AR1475),"-",""),".",""),"/","")," ",""),8),7,2)),"")))</f>
        <v/>
      </c>
      <c r="AT1475" s="33">
        <f>IF($AS1475="","",IF($F$6="",0,IF(ISNUMBER(INDEX($A:$AP,ROW(),$F$6)),INDEX($A:$AP,ROW(),$F$6),IFERROR(--SUBSTITUTE(SUBSTITUTE(TRIM(INDEX($A:$AP,ROW(),$F$6)),",",""),"원",""),0))))</f>
        <v/>
      </c>
      <c r="AU1475" s="31">
        <f>IF($AS1475="","",IF($AX1475&lt;&gt;"",SUBSTITUTE(SUBSTITUTE($AX1475,"-","")," ",""),"N:"&amp;$AV1475))</f>
        <v/>
      </c>
      <c r="AV1475" s="31">
        <f>IF(OR($AS1475="",$E$6=""),"",TRIM(INDEX($A:$AP,ROW(),$E$6)&amp;""))</f>
        <v/>
      </c>
      <c r="AW1475" s="31">
        <f>IF($AU1475="","",IF(MATCH($AU1475,$AU$8:$AU$2007,0)=ROW()-7,MAX($AW$7:$AW1474)+1,""))</f>
        <v/>
      </c>
      <c r="AX1475" s="31">
        <f>IF(OR($AS1475="",$D$6=""),"",TRIM(INDEX($A:$AP,ROW(),$D$6)&amp;""))</f>
        <v/>
      </c>
      <c r="AY1475" s="31">
        <f>IF($AU1475="","",INDEX($AW$8:$AW$2007,MATCH($AU1475,$AU$8:$AU$2007,0)))</f>
        <v/>
      </c>
      <c r="AZ1475" s="31">
        <f>IF(OR($AS1475="",$C$6=""),"",TRIM(INDEX($A:$AP,ROW(),$C$6)&amp;""))</f>
        <v/>
      </c>
      <c r="BA1475" s="31">
        <f>IF($AZ1475="","",IF(COUNTIF($AZ$8:$AZ1475,$AZ1475)&gt;1,1,0))</f>
        <v/>
      </c>
    </row>
    <row r="1476">
      <c r="AR1476" s="31">
        <f>IF(OR($A$5="",$B$6="",ROW()&lt;$A$5),"",IF(INDEX($A:$AP,ROW(),$B$6)="","",INDEX($A:$AP,ROW(),$B$6)))</f>
        <v/>
      </c>
      <c r="AS1476" s="32">
        <f>IF($AR1476="","",IF(ISNUMBER($AR1476),IF($AR1476&gt;=10000000,IFERROR(DATE(INT($AR1476/10000),MOD(INT($AR1476/100),100),MOD($AR1476,100)),""),INT($AR1476)),IFERROR(DATE(--LEFT(LEFT(SUBSTITUTE(SUBSTITUTE(SUBSTITUTE(SUBSTITUTE(TRIM($AR1476),"-",""),".",""),"/","")," ",""),8),4),--MID(LEFT(SUBSTITUTE(SUBSTITUTE(SUBSTITUTE(SUBSTITUTE(TRIM($AR1476),"-",""),".",""),"/","")," ",""),8),5,2),--MID(LEFT(SUBSTITUTE(SUBSTITUTE(SUBSTITUTE(SUBSTITUTE(TRIM($AR1476),"-",""),".",""),"/","")," ",""),8),7,2)),"")))</f>
        <v/>
      </c>
      <c r="AT1476" s="33">
        <f>IF($AS1476="","",IF($F$6="",0,IF(ISNUMBER(INDEX($A:$AP,ROW(),$F$6)),INDEX($A:$AP,ROW(),$F$6),IFERROR(--SUBSTITUTE(SUBSTITUTE(TRIM(INDEX($A:$AP,ROW(),$F$6)),",",""),"원",""),0))))</f>
        <v/>
      </c>
      <c r="AU1476" s="31">
        <f>IF($AS1476="","",IF($AX1476&lt;&gt;"",SUBSTITUTE(SUBSTITUTE($AX1476,"-","")," ",""),"N:"&amp;$AV1476))</f>
        <v/>
      </c>
      <c r="AV1476" s="31">
        <f>IF(OR($AS1476="",$E$6=""),"",TRIM(INDEX($A:$AP,ROW(),$E$6)&amp;""))</f>
        <v/>
      </c>
      <c r="AW1476" s="31">
        <f>IF($AU1476="","",IF(MATCH($AU1476,$AU$8:$AU$2007,0)=ROW()-7,MAX($AW$7:$AW1475)+1,""))</f>
        <v/>
      </c>
      <c r="AX1476" s="31">
        <f>IF(OR($AS1476="",$D$6=""),"",TRIM(INDEX($A:$AP,ROW(),$D$6)&amp;""))</f>
        <v/>
      </c>
      <c r="AY1476" s="31">
        <f>IF($AU1476="","",INDEX($AW$8:$AW$2007,MATCH($AU1476,$AU$8:$AU$2007,0)))</f>
        <v/>
      </c>
      <c r="AZ1476" s="31">
        <f>IF(OR($AS1476="",$C$6=""),"",TRIM(INDEX($A:$AP,ROW(),$C$6)&amp;""))</f>
        <v/>
      </c>
      <c r="BA1476" s="31">
        <f>IF($AZ1476="","",IF(COUNTIF($AZ$8:$AZ1476,$AZ1476)&gt;1,1,0))</f>
        <v/>
      </c>
    </row>
    <row r="1477">
      <c r="AR1477" s="31">
        <f>IF(OR($A$5="",$B$6="",ROW()&lt;$A$5),"",IF(INDEX($A:$AP,ROW(),$B$6)="","",INDEX($A:$AP,ROW(),$B$6)))</f>
        <v/>
      </c>
      <c r="AS1477" s="32">
        <f>IF($AR1477="","",IF(ISNUMBER($AR1477),IF($AR1477&gt;=10000000,IFERROR(DATE(INT($AR1477/10000),MOD(INT($AR1477/100),100),MOD($AR1477,100)),""),INT($AR1477)),IFERROR(DATE(--LEFT(LEFT(SUBSTITUTE(SUBSTITUTE(SUBSTITUTE(SUBSTITUTE(TRIM($AR1477),"-",""),".",""),"/","")," ",""),8),4),--MID(LEFT(SUBSTITUTE(SUBSTITUTE(SUBSTITUTE(SUBSTITUTE(TRIM($AR1477),"-",""),".",""),"/","")," ",""),8),5,2),--MID(LEFT(SUBSTITUTE(SUBSTITUTE(SUBSTITUTE(SUBSTITUTE(TRIM($AR1477),"-",""),".",""),"/","")," ",""),8),7,2)),"")))</f>
        <v/>
      </c>
      <c r="AT1477" s="33">
        <f>IF($AS1477="","",IF($F$6="",0,IF(ISNUMBER(INDEX($A:$AP,ROW(),$F$6)),INDEX($A:$AP,ROW(),$F$6),IFERROR(--SUBSTITUTE(SUBSTITUTE(TRIM(INDEX($A:$AP,ROW(),$F$6)),",",""),"원",""),0))))</f>
        <v/>
      </c>
      <c r="AU1477" s="31">
        <f>IF($AS1477="","",IF($AX1477&lt;&gt;"",SUBSTITUTE(SUBSTITUTE($AX1477,"-","")," ",""),"N:"&amp;$AV1477))</f>
        <v/>
      </c>
      <c r="AV1477" s="31">
        <f>IF(OR($AS1477="",$E$6=""),"",TRIM(INDEX($A:$AP,ROW(),$E$6)&amp;""))</f>
        <v/>
      </c>
      <c r="AW1477" s="31">
        <f>IF($AU1477="","",IF(MATCH($AU1477,$AU$8:$AU$2007,0)=ROW()-7,MAX($AW$7:$AW1476)+1,""))</f>
        <v/>
      </c>
      <c r="AX1477" s="31">
        <f>IF(OR($AS1477="",$D$6=""),"",TRIM(INDEX($A:$AP,ROW(),$D$6)&amp;""))</f>
        <v/>
      </c>
      <c r="AY1477" s="31">
        <f>IF($AU1477="","",INDEX($AW$8:$AW$2007,MATCH($AU1477,$AU$8:$AU$2007,0)))</f>
        <v/>
      </c>
      <c r="AZ1477" s="31">
        <f>IF(OR($AS1477="",$C$6=""),"",TRIM(INDEX($A:$AP,ROW(),$C$6)&amp;""))</f>
        <v/>
      </c>
      <c r="BA1477" s="31">
        <f>IF($AZ1477="","",IF(COUNTIF($AZ$8:$AZ1477,$AZ1477)&gt;1,1,0))</f>
        <v/>
      </c>
    </row>
    <row r="1478">
      <c r="AR1478" s="31">
        <f>IF(OR($A$5="",$B$6="",ROW()&lt;$A$5),"",IF(INDEX($A:$AP,ROW(),$B$6)="","",INDEX($A:$AP,ROW(),$B$6)))</f>
        <v/>
      </c>
      <c r="AS1478" s="32">
        <f>IF($AR1478="","",IF(ISNUMBER($AR1478),IF($AR1478&gt;=10000000,IFERROR(DATE(INT($AR1478/10000),MOD(INT($AR1478/100),100),MOD($AR1478,100)),""),INT($AR1478)),IFERROR(DATE(--LEFT(LEFT(SUBSTITUTE(SUBSTITUTE(SUBSTITUTE(SUBSTITUTE(TRIM($AR1478),"-",""),".",""),"/","")," ",""),8),4),--MID(LEFT(SUBSTITUTE(SUBSTITUTE(SUBSTITUTE(SUBSTITUTE(TRIM($AR1478),"-",""),".",""),"/","")," ",""),8),5,2),--MID(LEFT(SUBSTITUTE(SUBSTITUTE(SUBSTITUTE(SUBSTITUTE(TRIM($AR1478),"-",""),".",""),"/","")," ",""),8),7,2)),"")))</f>
        <v/>
      </c>
      <c r="AT1478" s="33">
        <f>IF($AS1478="","",IF($F$6="",0,IF(ISNUMBER(INDEX($A:$AP,ROW(),$F$6)),INDEX($A:$AP,ROW(),$F$6),IFERROR(--SUBSTITUTE(SUBSTITUTE(TRIM(INDEX($A:$AP,ROW(),$F$6)),",",""),"원",""),0))))</f>
        <v/>
      </c>
      <c r="AU1478" s="31">
        <f>IF($AS1478="","",IF($AX1478&lt;&gt;"",SUBSTITUTE(SUBSTITUTE($AX1478,"-","")," ",""),"N:"&amp;$AV1478))</f>
        <v/>
      </c>
      <c r="AV1478" s="31">
        <f>IF(OR($AS1478="",$E$6=""),"",TRIM(INDEX($A:$AP,ROW(),$E$6)&amp;""))</f>
        <v/>
      </c>
      <c r="AW1478" s="31">
        <f>IF($AU1478="","",IF(MATCH($AU1478,$AU$8:$AU$2007,0)=ROW()-7,MAX($AW$7:$AW1477)+1,""))</f>
        <v/>
      </c>
      <c r="AX1478" s="31">
        <f>IF(OR($AS1478="",$D$6=""),"",TRIM(INDEX($A:$AP,ROW(),$D$6)&amp;""))</f>
        <v/>
      </c>
      <c r="AY1478" s="31">
        <f>IF($AU1478="","",INDEX($AW$8:$AW$2007,MATCH($AU1478,$AU$8:$AU$2007,0)))</f>
        <v/>
      </c>
      <c r="AZ1478" s="31">
        <f>IF(OR($AS1478="",$C$6=""),"",TRIM(INDEX($A:$AP,ROW(),$C$6)&amp;""))</f>
        <v/>
      </c>
      <c r="BA1478" s="31">
        <f>IF($AZ1478="","",IF(COUNTIF($AZ$8:$AZ1478,$AZ1478)&gt;1,1,0))</f>
        <v/>
      </c>
    </row>
    <row r="1479">
      <c r="AR1479" s="31">
        <f>IF(OR($A$5="",$B$6="",ROW()&lt;$A$5),"",IF(INDEX($A:$AP,ROW(),$B$6)="","",INDEX($A:$AP,ROW(),$B$6)))</f>
        <v/>
      </c>
      <c r="AS1479" s="32">
        <f>IF($AR1479="","",IF(ISNUMBER($AR1479),IF($AR1479&gt;=10000000,IFERROR(DATE(INT($AR1479/10000),MOD(INT($AR1479/100),100),MOD($AR1479,100)),""),INT($AR1479)),IFERROR(DATE(--LEFT(LEFT(SUBSTITUTE(SUBSTITUTE(SUBSTITUTE(SUBSTITUTE(TRIM($AR1479),"-",""),".",""),"/","")," ",""),8),4),--MID(LEFT(SUBSTITUTE(SUBSTITUTE(SUBSTITUTE(SUBSTITUTE(TRIM($AR1479),"-",""),".",""),"/","")," ",""),8),5,2),--MID(LEFT(SUBSTITUTE(SUBSTITUTE(SUBSTITUTE(SUBSTITUTE(TRIM($AR1479),"-",""),".",""),"/","")," ",""),8),7,2)),"")))</f>
        <v/>
      </c>
      <c r="AT1479" s="33">
        <f>IF($AS1479="","",IF($F$6="",0,IF(ISNUMBER(INDEX($A:$AP,ROW(),$F$6)),INDEX($A:$AP,ROW(),$F$6),IFERROR(--SUBSTITUTE(SUBSTITUTE(TRIM(INDEX($A:$AP,ROW(),$F$6)),",",""),"원",""),0))))</f>
        <v/>
      </c>
      <c r="AU1479" s="31">
        <f>IF($AS1479="","",IF($AX1479&lt;&gt;"",SUBSTITUTE(SUBSTITUTE($AX1479,"-","")," ",""),"N:"&amp;$AV1479))</f>
        <v/>
      </c>
      <c r="AV1479" s="31">
        <f>IF(OR($AS1479="",$E$6=""),"",TRIM(INDEX($A:$AP,ROW(),$E$6)&amp;""))</f>
        <v/>
      </c>
      <c r="AW1479" s="31">
        <f>IF($AU1479="","",IF(MATCH($AU1479,$AU$8:$AU$2007,0)=ROW()-7,MAX($AW$7:$AW1478)+1,""))</f>
        <v/>
      </c>
      <c r="AX1479" s="31">
        <f>IF(OR($AS1479="",$D$6=""),"",TRIM(INDEX($A:$AP,ROW(),$D$6)&amp;""))</f>
        <v/>
      </c>
      <c r="AY1479" s="31">
        <f>IF($AU1479="","",INDEX($AW$8:$AW$2007,MATCH($AU1479,$AU$8:$AU$2007,0)))</f>
        <v/>
      </c>
      <c r="AZ1479" s="31">
        <f>IF(OR($AS1479="",$C$6=""),"",TRIM(INDEX($A:$AP,ROW(),$C$6)&amp;""))</f>
        <v/>
      </c>
      <c r="BA1479" s="31">
        <f>IF($AZ1479="","",IF(COUNTIF($AZ$8:$AZ1479,$AZ1479)&gt;1,1,0))</f>
        <v/>
      </c>
    </row>
    <row r="1480">
      <c r="AR1480" s="31">
        <f>IF(OR($A$5="",$B$6="",ROW()&lt;$A$5),"",IF(INDEX($A:$AP,ROW(),$B$6)="","",INDEX($A:$AP,ROW(),$B$6)))</f>
        <v/>
      </c>
      <c r="AS1480" s="32">
        <f>IF($AR1480="","",IF(ISNUMBER($AR1480),IF($AR1480&gt;=10000000,IFERROR(DATE(INT($AR1480/10000),MOD(INT($AR1480/100),100),MOD($AR1480,100)),""),INT($AR1480)),IFERROR(DATE(--LEFT(LEFT(SUBSTITUTE(SUBSTITUTE(SUBSTITUTE(SUBSTITUTE(TRIM($AR1480),"-",""),".",""),"/","")," ",""),8),4),--MID(LEFT(SUBSTITUTE(SUBSTITUTE(SUBSTITUTE(SUBSTITUTE(TRIM($AR1480),"-",""),".",""),"/","")," ",""),8),5,2),--MID(LEFT(SUBSTITUTE(SUBSTITUTE(SUBSTITUTE(SUBSTITUTE(TRIM($AR1480),"-",""),".",""),"/","")," ",""),8),7,2)),"")))</f>
        <v/>
      </c>
      <c r="AT1480" s="33">
        <f>IF($AS1480="","",IF($F$6="",0,IF(ISNUMBER(INDEX($A:$AP,ROW(),$F$6)),INDEX($A:$AP,ROW(),$F$6),IFERROR(--SUBSTITUTE(SUBSTITUTE(TRIM(INDEX($A:$AP,ROW(),$F$6)),",",""),"원",""),0))))</f>
        <v/>
      </c>
      <c r="AU1480" s="31">
        <f>IF($AS1480="","",IF($AX1480&lt;&gt;"",SUBSTITUTE(SUBSTITUTE($AX1480,"-","")," ",""),"N:"&amp;$AV1480))</f>
        <v/>
      </c>
      <c r="AV1480" s="31">
        <f>IF(OR($AS1480="",$E$6=""),"",TRIM(INDEX($A:$AP,ROW(),$E$6)&amp;""))</f>
        <v/>
      </c>
      <c r="AW1480" s="31">
        <f>IF($AU1480="","",IF(MATCH($AU1480,$AU$8:$AU$2007,0)=ROW()-7,MAX($AW$7:$AW1479)+1,""))</f>
        <v/>
      </c>
      <c r="AX1480" s="31">
        <f>IF(OR($AS1480="",$D$6=""),"",TRIM(INDEX($A:$AP,ROW(),$D$6)&amp;""))</f>
        <v/>
      </c>
      <c r="AY1480" s="31">
        <f>IF($AU1480="","",INDEX($AW$8:$AW$2007,MATCH($AU1480,$AU$8:$AU$2007,0)))</f>
        <v/>
      </c>
      <c r="AZ1480" s="31">
        <f>IF(OR($AS1480="",$C$6=""),"",TRIM(INDEX($A:$AP,ROW(),$C$6)&amp;""))</f>
        <v/>
      </c>
      <c r="BA1480" s="31">
        <f>IF($AZ1480="","",IF(COUNTIF($AZ$8:$AZ1480,$AZ1480)&gt;1,1,0))</f>
        <v/>
      </c>
    </row>
    <row r="1481">
      <c r="AR1481" s="31">
        <f>IF(OR($A$5="",$B$6="",ROW()&lt;$A$5),"",IF(INDEX($A:$AP,ROW(),$B$6)="","",INDEX($A:$AP,ROW(),$B$6)))</f>
        <v/>
      </c>
      <c r="AS1481" s="32">
        <f>IF($AR1481="","",IF(ISNUMBER($AR1481),IF($AR1481&gt;=10000000,IFERROR(DATE(INT($AR1481/10000),MOD(INT($AR1481/100),100),MOD($AR1481,100)),""),INT($AR1481)),IFERROR(DATE(--LEFT(LEFT(SUBSTITUTE(SUBSTITUTE(SUBSTITUTE(SUBSTITUTE(TRIM($AR1481),"-",""),".",""),"/","")," ",""),8),4),--MID(LEFT(SUBSTITUTE(SUBSTITUTE(SUBSTITUTE(SUBSTITUTE(TRIM($AR1481),"-",""),".",""),"/","")," ",""),8),5,2),--MID(LEFT(SUBSTITUTE(SUBSTITUTE(SUBSTITUTE(SUBSTITUTE(TRIM($AR1481),"-",""),".",""),"/","")," ",""),8),7,2)),"")))</f>
        <v/>
      </c>
      <c r="AT1481" s="33">
        <f>IF($AS1481="","",IF($F$6="",0,IF(ISNUMBER(INDEX($A:$AP,ROW(),$F$6)),INDEX($A:$AP,ROW(),$F$6),IFERROR(--SUBSTITUTE(SUBSTITUTE(TRIM(INDEX($A:$AP,ROW(),$F$6)),",",""),"원",""),0))))</f>
        <v/>
      </c>
      <c r="AU1481" s="31">
        <f>IF($AS1481="","",IF($AX1481&lt;&gt;"",SUBSTITUTE(SUBSTITUTE($AX1481,"-","")," ",""),"N:"&amp;$AV1481))</f>
        <v/>
      </c>
      <c r="AV1481" s="31">
        <f>IF(OR($AS1481="",$E$6=""),"",TRIM(INDEX($A:$AP,ROW(),$E$6)&amp;""))</f>
        <v/>
      </c>
      <c r="AW1481" s="31">
        <f>IF($AU1481="","",IF(MATCH($AU1481,$AU$8:$AU$2007,0)=ROW()-7,MAX($AW$7:$AW1480)+1,""))</f>
        <v/>
      </c>
      <c r="AX1481" s="31">
        <f>IF(OR($AS1481="",$D$6=""),"",TRIM(INDEX($A:$AP,ROW(),$D$6)&amp;""))</f>
        <v/>
      </c>
      <c r="AY1481" s="31">
        <f>IF($AU1481="","",INDEX($AW$8:$AW$2007,MATCH($AU1481,$AU$8:$AU$2007,0)))</f>
        <v/>
      </c>
      <c r="AZ1481" s="31">
        <f>IF(OR($AS1481="",$C$6=""),"",TRIM(INDEX($A:$AP,ROW(),$C$6)&amp;""))</f>
        <v/>
      </c>
      <c r="BA1481" s="31">
        <f>IF($AZ1481="","",IF(COUNTIF($AZ$8:$AZ1481,$AZ1481)&gt;1,1,0))</f>
        <v/>
      </c>
    </row>
    <row r="1482">
      <c r="AR1482" s="31">
        <f>IF(OR($A$5="",$B$6="",ROW()&lt;$A$5),"",IF(INDEX($A:$AP,ROW(),$B$6)="","",INDEX($A:$AP,ROW(),$B$6)))</f>
        <v/>
      </c>
      <c r="AS1482" s="32">
        <f>IF($AR1482="","",IF(ISNUMBER($AR1482),IF($AR1482&gt;=10000000,IFERROR(DATE(INT($AR1482/10000),MOD(INT($AR1482/100),100),MOD($AR1482,100)),""),INT($AR1482)),IFERROR(DATE(--LEFT(LEFT(SUBSTITUTE(SUBSTITUTE(SUBSTITUTE(SUBSTITUTE(TRIM($AR1482),"-",""),".",""),"/","")," ",""),8),4),--MID(LEFT(SUBSTITUTE(SUBSTITUTE(SUBSTITUTE(SUBSTITUTE(TRIM($AR1482),"-",""),".",""),"/","")," ",""),8),5,2),--MID(LEFT(SUBSTITUTE(SUBSTITUTE(SUBSTITUTE(SUBSTITUTE(TRIM($AR1482),"-",""),".",""),"/","")," ",""),8),7,2)),"")))</f>
        <v/>
      </c>
      <c r="AT1482" s="33">
        <f>IF($AS1482="","",IF($F$6="",0,IF(ISNUMBER(INDEX($A:$AP,ROW(),$F$6)),INDEX($A:$AP,ROW(),$F$6),IFERROR(--SUBSTITUTE(SUBSTITUTE(TRIM(INDEX($A:$AP,ROW(),$F$6)),",",""),"원",""),0))))</f>
        <v/>
      </c>
      <c r="AU1482" s="31">
        <f>IF($AS1482="","",IF($AX1482&lt;&gt;"",SUBSTITUTE(SUBSTITUTE($AX1482,"-","")," ",""),"N:"&amp;$AV1482))</f>
        <v/>
      </c>
      <c r="AV1482" s="31">
        <f>IF(OR($AS1482="",$E$6=""),"",TRIM(INDEX($A:$AP,ROW(),$E$6)&amp;""))</f>
        <v/>
      </c>
      <c r="AW1482" s="31">
        <f>IF($AU1482="","",IF(MATCH($AU1482,$AU$8:$AU$2007,0)=ROW()-7,MAX($AW$7:$AW1481)+1,""))</f>
        <v/>
      </c>
      <c r="AX1482" s="31">
        <f>IF(OR($AS1482="",$D$6=""),"",TRIM(INDEX($A:$AP,ROW(),$D$6)&amp;""))</f>
        <v/>
      </c>
      <c r="AY1482" s="31">
        <f>IF($AU1482="","",INDEX($AW$8:$AW$2007,MATCH($AU1482,$AU$8:$AU$2007,0)))</f>
        <v/>
      </c>
      <c r="AZ1482" s="31">
        <f>IF(OR($AS1482="",$C$6=""),"",TRIM(INDEX($A:$AP,ROW(),$C$6)&amp;""))</f>
        <v/>
      </c>
      <c r="BA1482" s="31">
        <f>IF($AZ1482="","",IF(COUNTIF($AZ$8:$AZ1482,$AZ1482)&gt;1,1,0))</f>
        <v/>
      </c>
    </row>
    <row r="1483">
      <c r="AR1483" s="31">
        <f>IF(OR($A$5="",$B$6="",ROW()&lt;$A$5),"",IF(INDEX($A:$AP,ROW(),$B$6)="","",INDEX($A:$AP,ROW(),$B$6)))</f>
        <v/>
      </c>
      <c r="AS1483" s="32">
        <f>IF($AR1483="","",IF(ISNUMBER($AR1483),IF($AR1483&gt;=10000000,IFERROR(DATE(INT($AR1483/10000),MOD(INT($AR1483/100),100),MOD($AR1483,100)),""),INT($AR1483)),IFERROR(DATE(--LEFT(LEFT(SUBSTITUTE(SUBSTITUTE(SUBSTITUTE(SUBSTITUTE(TRIM($AR1483),"-",""),".",""),"/","")," ",""),8),4),--MID(LEFT(SUBSTITUTE(SUBSTITUTE(SUBSTITUTE(SUBSTITUTE(TRIM($AR1483),"-",""),".",""),"/","")," ",""),8),5,2),--MID(LEFT(SUBSTITUTE(SUBSTITUTE(SUBSTITUTE(SUBSTITUTE(TRIM($AR1483),"-",""),".",""),"/","")," ",""),8),7,2)),"")))</f>
        <v/>
      </c>
      <c r="AT1483" s="33">
        <f>IF($AS1483="","",IF($F$6="",0,IF(ISNUMBER(INDEX($A:$AP,ROW(),$F$6)),INDEX($A:$AP,ROW(),$F$6),IFERROR(--SUBSTITUTE(SUBSTITUTE(TRIM(INDEX($A:$AP,ROW(),$F$6)),",",""),"원",""),0))))</f>
        <v/>
      </c>
      <c r="AU1483" s="31">
        <f>IF($AS1483="","",IF($AX1483&lt;&gt;"",SUBSTITUTE(SUBSTITUTE($AX1483,"-","")," ",""),"N:"&amp;$AV1483))</f>
        <v/>
      </c>
      <c r="AV1483" s="31">
        <f>IF(OR($AS1483="",$E$6=""),"",TRIM(INDEX($A:$AP,ROW(),$E$6)&amp;""))</f>
        <v/>
      </c>
      <c r="AW1483" s="31">
        <f>IF($AU1483="","",IF(MATCH($AU1483,$AU$8:$AU$2007,0)=ROW()-7,MAX($AW$7:$AW1482)+1,""))</f>
        <v/>
      </c>
      <c r="AX1483" s="31">
        <f>IF(OR($AS1483="",$D$6=""),"",TRIM(INDEX($A:$AP,ROW(),$D$6)&amp;""))</f>
        <v/>
      </c>
      <c r="AY1483" s="31">
        <f>IF($AU1483="","",INDEX($AW$8:$AW$2007,MATCH($AU1483,$AU$8:$AU$2007,0)))</f>
        <v/>
      </c>
      <c r="AZ1483" s="31">
        <f>IF(OR($AS1483="",$C$6=""),"",TRIM(INDEX($A:$AP,ROW(),$C$6)&amp;""))</f>
        <v/>
      </c>
      <c r="BA1483" s="31">
        <f>IF($AZ1483="","",IF(COUNTIF($AZ$8:$AZ1483,$AZ1483)&gt;1,1,0))</f>
        <v/>
      </c>
    </row>
    <row r="1484">
      <c r="AR1484" s="31">
        <f>IF(OR($A$5="",$B$6="",ROW()&lt;$A$5),"",IF(INDEX($A:$AP,ROW(),$B$6)="","",INDEX($A:$AP,ROW(),$B$6)))</f>
        <v/>
      </c>
      <c r="AS1484" s="32">
        <f>IF($AR1484="","",IF(ISNUMBER($AR1484),IF($AR1484&gt;=10000000,IFERROR(DATE(INT($AR1484/10000),MOD(INT($AR1484/100),100),MOD($AR1484,100)),""),INT($AR1484)),IFERROR(DATE(--LEFT(LEFT(SUBSTITUTE(SUBSTITUTE(SUBSTITUTE(SUBSTITUTE(TRIM($AR1484),"-",""),".",""),"/","")," ",""),8),4),--MID(LEFT(SUBSTITUTE(SUBSTITUTE(SUBSTITUTE(SUBSTITUTE(TRIM($AR1484),"-",""),".",""),"/","")," ",""),8),5,2),--MID(LEFT(SUBSTITUTE(SUBSTITUTE(SUBSTITUTE(SUBSTITUTE(TRIM($AR1484),"-",""),".",""),"/","")," ",""),8),7,2)),"")))</f>
        <v/>
      </c>
      <c r="AT1484" s="33">
        <f>IF($AS1484="","",IF($F$6="",0,IF(ISNUMBER(INDEX($A:$AP,ROW(),$F$6)),INDEX($A:$AP,ROW(),$F$6),IFERROR(--SUBSTITUTE(SUBSTITUTE(TRIM(INDEX($A:$AP,ROW(),$F$6)),",",""),"원",""),0))))</f>
        <v/>
      </c>
      <c r="AU1484" s="31">
        <f>IF($AS1484="","",IF($AX1484&lt;&gt;"",SUBSTITUTE(SUBSTITUTE($AX1484,"-","")," ",""),"N:"&amp;$AV1484))</f>
        <v/>
      </c>
      <c r="AV1484" s="31">
        <f>IF(OR($AS1484="",$E$6=""),"",TRIM(INDEX($A:$AP,ROW(),$E$6)&amp;""))</f>
        <v/>
      </c>
      <c r="AW1484" s="31">
        <f>IF($AU1484="","",IF(MATCH($AU1484,$AU$8:$AU$2007,0)=ROW()-7,MAX($AW$7:$AW1483)+1,""))</f>
        <v/>
      </c>
      <c r="AX1484" s="31">
        <f>IF(OR($AS1484="",$D$6=""),"",TRIM(INDEX($A:$AP,ROW(),$D$6)&amp;""))</f>
        <v/>
      </c>
      <c r="AY1484" s="31">
        <f>IF($AU1484="","",INDEX($AW$8:$AW$2007,MATCH($AU1484,$AU$8:$AU$2007,0)))</f>
        <v/>
      </c>
      <c r="AZ1484" s="31">
        <f>IF(OR($AS1484="",$C$6=""),"",TRIM(INDEX($A:$AP,ROW(),$C$6)&amp;""))</f>
        <v/>
      </c>
      <c r="BA1484" s="31">
        <f>IF($AZ1484="","",IF(COUNTIF($AZ$8:$AZ1484,$AZ1484)&gt;1,1,0))</f>
        <v/>
      </c>
    </row>
    <row r="1485">
      <c r="AR1485" s="31">
        <f>IF(OR($A$5="",$B$6="",ROW()&lt;$A$5),"",IF(INDEX($A:$AP,ROW(),$B$6)="","",INDEX($A:$AP,ROW(),$B$6)))</f>
        <v/>
      </c>
      <c r="AS1485" s="32">
        <f>IF($AR1485="","",IF(ISNUMBER($AR1485),IF($AR1485&gt;=10000000,IFERROR(DATE(INT($AR1485/10000),MOD(INT($AR1485/100),100),MOD($AR1485,100)),""),INT($AR1485)),IFERROR(DATE(--LEFT(LEFT(SUBSTITUTE(SUBSTITUTE(SUBSTITUTE(SUBSTITUTE(TRIM($AR1485),"-",""),".",""),"/","")," ",""),8),4),--MID(LEFT(SUBSTITUTE(SUBSTITUTE(SUBSTITUTE(SUBSTITUTE(TRIM($AR1485),"-",""),".",""),"/","")," ",""),8),5,2),--MID(LEFT(SUBSTITUTE(SUBSTITUTE(SUBSTITUTE(SUBSTITUTE(TRIM($AR1485),"-",""),".",""),"/","")," ",""),8),7,2)),"")))</f>
        <v/>
      </c>
      <c r="AT1485" s="33">
        <f>IF($AS1485="","",IF($F$6="",0,IF(ISNUMBER(INDEX($A:$AP,ROW(),$F$6)),INDEX($A:$AP,ROW(),$F$6),IFERROR(--SUBSTITUTE(SUBSTITUTE(TRIM(INDEX($A:$AP,ROW(),$F$6)),",",""),"원",""),0))))</f>
        <v/>
      </c>
      <c r="AU1485" s="31">
        <f>IF($AS1485="","",IF($AX1485&lt;&gt;"",SUBSTITUTE(SUBSTITUTE($AX1485,"-","")," ",""),"N:"&amp;$AV1485))</f>
        <v/>
      </c>
      <c r="AV1485" s="31">
        <f>IF(OR($AS1485="",$E$6=""),"",TRIM(INDEX($A:$AP,ROW(),$E$6)&amp;""))</f>
        <v/>
      </c>
      <c r="AW1485" s="31">
        <f>IF($AU1485="","",IF(MATCH($AU1485,$AU$8:$AU$2007,0)=ROW()-7,MAX($AW$7:$AW1484)+1,""))</f>
        <v/>
      </c>
      <c r="AX1485" s="31">
        <f>IF(OR($AS1485="",$D$6=""),"",TRIM(INDEX($A:$AP,ROW(),$D$6)&amp;""))</f>
        <v/>
      </c>
      <c r="AY1485" s="31">
        <f>IF($AU1485="","",INDEX($AW$8:$AW$2007,MATCH($AU1485,$AU$8:$AU$2007,0)))</f>
        <v/>
      </c>
      <c r="AZ1485" s="31">
        <f>IF(OR($AS1485="",$C$6=""),"",TRIM(INDEX($A:$AP,ROW(),$C$6)&amp;""))</f>
        <v/>
      </c>
      <c r="BA1485" s="31">
        <f>IF($AZ1485="","",IF(COUNTIF($AZ$8:$AZ1485,$AZ1485)&gt;1,1,0))</f>
        <v/>
      </c>
    </row>
    <row r="1486">
      <c r="AR1486" s="31">
        <f>IF(OR($A$5="",$B$6="",ROW()&lt;$A$5),"",IF(INDEX($A:$AP,ROW(),$B$6)="","",INDEX($A:$AP,ROW(),$B$6)))</f>
        <v/>
      </c>
      <c r="AS1486" s="32">
        <f>IF($AR1486="","",IF(ISNUMBER($AR1486),IF($AR1486&gt;=10000000,IFERROR(DATE(INT($AR1486/10000),MOD(INT($AR1486/100),100),MOD($AR1486,100)),""),INT($AR1486)),IFERROR(DATE(--LEFT(LEFT(SUBSTITUTE(SUBSTITUTE(SUBSTITUTE(SUBSTITUTE(TRIM($AR1486),"-",""),".",""),"/","")," ",""),8),4),--MID(LEFT(SUBSTITUTE(SUBSTITUTE(SUBSTITUTE(SUBSTITUTE(TRIM($AR1486),"-",""),".",""),"/","")," ",""),8),5,2),--MID(LEFT(SUBSTITUTE(SUBSTITUTE(SUBSTITUTE(SUBSTITUTE(TRIM($AR1486),"-",""),".",""),"/","")," ",""),8),7,2)),"")))</f>
        <v/>
      </c>
      <c r="AT1486" s="33">
        <f>IF($AS1486="","",IF($F$6="",0,IF(ISNUMBER(INDEX($A:$AP,ROW(),$F$6)),INDEX($A:$AP,ROW(),$F$6),IFERROR(--SUBSTITUTE(SUBSTITUTE(TRIM(INDEX($A:$AP,ROW(),$F$6)),",",""),"원",""),0))))</f>
        <v/>
      </c>
      <c r="AU1486" s="31">
        <f>IF($AS1486="","",IF($AX1486&lt;&gt;"",SUBSTITUTE(SUBSTITUTE($AX1486,"-","")," ",""),"N:"&amp;$AV1486))</f>
        <v/>
      </c>
      <c r="AV1486" s="31">
        <f>IF(OR($AS1486="",$E$6=""),"",TRIM(INDEX($A:$AP,ROW(),$E$6)&amp;""))</f>
        <v/>
      </c>
      <c r="AW1486" s="31">
        <f>IF($AU1486="","",IF(MATCH($AU1486,$AU$8:$AU$2007,0)=ROW()-7,MAX($AW$7:$AW1485)+1,""))</f>
        <v/>
      </c>
      <c r="AX1486" s="31">
        <f>IF(OR($AS1486="",$D$6=""),"",TRIM(INDEX($A:$AP,ROW(),$D$6)&amp;""))</f>
        <v/>
      </c>
      <c r="AY1486" s="31">
        <f>IF($AU1486="","",INDEX($AW$8:$AW$2007,MATCH($AU1486,$AU$8:$AU$2007,0)))</f>
        <v/>
      </c>
      <c r="AZ1486" s="31">
        <f>IF(OR($AS1486="",$C$6=""),"",TRIM(INDEX($A:$AP,ROW(),$C$6)&amp;""))</f>
        <v/>
      </c>
      <c r="BA1486" s="31">
        <f>IF($AZ1486="","",IF(COUNTIF($AZ$8:$AZ1486,$AZ1486)&gt;1,1,0))</f>
        <v/>
      </c>
    </row>
    <row r="1487">
      <c r="AR1487" s="31">
        <f>IF(OR($A$5="",$B$6="",ROW()&lt;$A$5),"",IF(INDEX($A:$AP,ROW(),$B$6)="","",INDEX($A:$AP,ROW(),$B$6)))</f>
        <v/>
      </c>
      <c r="AS1487" s="32">
        <f>IF($AR1487="","",IF(ISNUMBER($AR1487),IF($AR1487&gt;=10000000,IFERROR(DATE(INT($AR1487/10000),MOD(INT($AR1487/100),100),MOD($AR1487,100)),""),INT($AR1487)),IFERROR(DATE(--LEFT(LEFT(SUBSTITUTE(SUBSTITUTE(SUBSTITUTE(SUBSTITUTE(TRIM($AR1487),"-",""),".",""),"/","")," ",""),8),4),--MID(LEFT(SUBSTITUTE(SUBSTITUTE(SUBSTITUTE(SUBSTITUTE(TRIM($AR1487),"-",""),".",""),"/","")," ",""),8),5,2),--MID(LEFT(SUBSTITUTE(SUBSTITUTE(SUBSTITUTE(SUBSTITUTE(TRIM($AR1487),"-",""),".",""),"/","")," ",""),8),7,2)),"")))</f>
        <v/>
      </c>
      <c r="AT1487" s="33">
        <f>IF($AS1487="","",IF($F$6="",0,IF(ISNUMBER(INDEX($A:$AP,ROW(),$F$6)),INDEX($A:$AP,ROW(),$F$6),IFERROR(--SUBSTITUTE(SUBSTITUTE(TRIM(INDEX($A:$AP,ROW(),$F$6)),",",""),"원",""),0))))</f>
        <v/>
      </c>
      <c r="AU1487" s="31">
        <f>IF($AS1487="","",IF($AX1487&lt;&gt;"",SUBSTITUTE(SUBSTITUTE($AX1487,"-","")," ",""),"N:"&amp;$AV1487))</f>
        <v/>
      </c>
      <c r="AV1487" s="31">
        <f>IF(OR($AS1487="",$E$6=""),"",TRIM(INDEX($A:$AP,ROW(),$E$6)&amp;""))</f>
        <v/>
      </c>
      <c r="AW1487" s="31">
        <f>IF($AU1487="","",IF(MATCH($AU1487,$AU$8:$AU$2007,0)=ROW()-7,MAX($AW$7:$AW1486)+1,""))</f>
        <v/>
      </c>
      <c r="AX1487" s="31">
        <f>IF(OR($AS1487="",$D$6=""),"",TRIM(INDEX($A:$AP,ROW(),$D$6)&amp;""))</f>
        <v/>
      </c>
      <c r="AY1487" s="31">
        <f>IF($AU1487="","",INDEX($AW$8:$AW$2007,MATCH($AU1487,$AU$8:$AU$2007,0)))</f>
        <v/>
      </c>
      <c r="AZ1487" s="31">
        <f>IF(OR($AS1487="",$C$6=""),"",TRIM(INDEX($A:$AP,ROW(),$C$6)&amp;""))</f>
        <v/>
      </c>
      <c r="BA1487" s="31">
        <f>IF($AZ1487="","",IF(COUNTIF($AZ$8:$AZ1487,$AZ1487)&gt;1,1,0))</f>
        <v/>
      </c>
    </row>
    <row r="1488">
      <c r="AR1488" s="31">
        <f>IF(OR($A$5="",$B$6="",ROW()&lt;$A$5),"",IF(INDEX($A:$AP,ROW(),$B$6)="","",INDEX($A:$AP,ROW(),$B$6)))</f>
        <v/>
      </c>
      <c r="AS1488" s="32">
        <f>IF($AR1488="","",IF(ISNUMBER($AR1488),IF($AR1488&gt;=10000000,IFERROR(DATE(INT($AR1488/10000),MOD(INT($AR1488/100),100),MOD($AR1488,100)),""),INT($AR1488)),IFERROR(DATE(--LEFT(LEFT(SUBSTITUTE(SUBSTITUTE(SUBSTITUTE(SUBSTITUTE(TRIM($AR1488),"-",""),".",""),"/","")," ",""),8),4),--MID(LEFT(SUBSTITUTE(SUBSTITUTE(SUBSTITUTE(SUBSTITUTE(TRIM($AR1488),"-",""),".",""),"/","")," ",""),8),5,2),--MID(LEFT(SUBSTITUTE(SUBSTITUTE(SUBSTITUTE(SUBSTITUTE(TRIM($AR1488),"-",""),".",""),"/","")," ",""),8),7,2)),"")))</f>
        <v/>
      </c>
      <c r="AT1488" s="33">
        <f>IF($AS1488="","",IF($F$6="",0,IF(ISNUMBER(INDEX($A:$AP,ROW(),$F$6)),INDEX($A:$AP,ROW(),$F$6),IFERROR(--SUBSTITUTE(SUBSTITUTE(TRIM(INDEX($A:$AP,ROW(),$F$6)),",",""),"원",""),0))))</f>
        <v/>
      </c>
      <c r="AU1488" s="31">
        <f>IF($AS1488="","",IF($AX1488&lt;&gt;"",SUBSTITUTE(SUBSTITUTE($AX1488,"-","")," ",""),"N:"&amp;$AV1488))</f>
        <v/>
      </c>
      <c r="AV1488" s="31">
        <f>IF(OR($AS1488="",$E$6=""),"",TRIM(INDEX($A:$AP,ROW(),$E$6)&amp;""))</f>
        <v/>
      </c>
      <c r="AW1488" s="31">
        <f>IF($AU1488="","",IF(MATCH($AU1488,$AU$8:$AU$2007,0)=ROW()-7,MAX($AW$7:$AW1487)+1,""))</f>
        <v/>
      </c>
      <c r="AX1488" s="31">
        <f>IF(OR($AS1488="",$D$6=""),"",TRIM(INDEX($A:$AP,ROW(),$D$6)&amp;""))</f>
        <v/>
      </c>
      <c r="AY1488" s="31">
        <f>IF($AU1488="","",INDEX($AW$8:$AW$2007,MATCH($AU1488,$AU$8:$AU$2007,0)))</f>
        <v/>
      </c>
      <c r="AZ1488" s="31">
        <f>IF(OR($AS1488="",$C$6=""),"",TRIM(INDEX($A:$AP,ROW(),$C$6)&amp;""))</f>
        <v/>
      </c>
      <c r="BA1488" s="31">
        <f>IF($AZ1488="","",IF(COUNTIF($AZ$8:$AZ1488,$AZ1488)&gt;1,1,0))</f>
        <v/>
      </c>
    </row>
    <row r="1489">
      <c r="AR1489" s="31">
        <f>IF(OR($A$5="",$B$6="",ROW()&lt;$A$5),"",IF(INDEX($A:$AP,ROW(),$B$6)="","",INDEX($A:$AP,ROW(),$B$6)))</f>
        <v/>
      </c>
      <c r="AS1489" s="32">
        <f>IF($AR1489="","",IF(ISNUMBER($AR1489),IF($AR1489&gt;=10000000,IFERROR(DATE(INT($AR1489/10000),MOD(INT($AR1489/100),100),MOD($AR1489,100)),""),INT($AR1489)),IFERROR(DATE(--LEFT(LEFT(SUBSTITUTE(SUBSTITUTE(SUBSTITUTE(SUBSTITUTE(TRIM($AR1489),"-",""),".",""),"/","")," ",""),8),4),--MID(LEFT(SUBSTITUTE(SUBSTITUTE(SUBSTITUTE(SUBSTITUTE(TRIM($AR1489),"-",""),".",""),"/","")," ",""),8),5,2),--MID(LEFT(SUBSTITUTE(SUBSTITUTE(SUBSTITUTE(SUBSTITUTE(TRIM($AR1489),"-",""),".",""),"/","")," ",""),8),7,2)),"")))</f>
        <v/>
      </c>
      <c r="AT1489" s="33">
        <f>IF($AS1489="","",IF($F$6="",0,IF(ISNUMBER(INDEX($A:$AP,ROW(),$F$6)),INDEX($A:$AP,ROW(),$F$6),IFERROR(--SUBSTITUTE(SUBSTITUTE(TRIM(INDEX($A:$AP,ROW(),$F$6)),",",""),"원",""),0))))</f>
        <v/>
      </c>
      <c r="AU1489" s="31">
        <f>IF($AS1489="","",IF($AX1489&lt;&gt;"",SUBSTITUTE(SUBSTITUTE($AX1489,"-","")," ",""),"N:"&amp;$AV1489))</f>
        <v/>
      </c>
      <c r="AV1489" s="31">
        <f>IF(OR($AS1489="",$E$6=""),"",TRIM(INDEX($A:$AP,ROW(),$E$6)&amp;""))</f>
        <v/>
      </c>
      <c r="AW1489" s="31">
        <f>IF($AU1489="","",IF(MATCH($AU1489,$AU$8:$AU$2007,0)=ROW()-7,MAX($AW$7:$AW1488)+1,""))</f>
        <v/>
      </c>
      <c r="AX1489" s="31">
        <f>IF(OR($AS1489="",$D$6=""),"",TRIM(INDEX($A:$AP,ROW(),$D$6)&amp;""))</f>
        <v/>
      </c>
      <c r="AY1489" s="31">
        <f>IF($AU1489="","",INDEX($AW$8:$AW$2007,MATCH($AU1489,$AU$8:$AU$2007,0)))</f>
        <v/>
      </c>
      <c r="AZ1489" s="31">
        <f>IF(OR($AS1489="",$C$6=""),"",TRIM(INDEX($A:$AP,ROW(),$C$6)&amp;""))</f>
        <v/>
      </c>
      <c r="BA1489" s="31">
        <f>IF($AZ1489="","",IF(COUNTIF($AZ$8:$AZ1489,$AZ1489)&gt;1,1,0))</f>
        <v/>
      </c>
    </row>
    <row r="1490">
      <c r="AR1490" s="31">
        <f>IF(OR($A$5="",$B$6="",ROW()&lt;$A$5),"",IF(INDEX($A:$AP,ROW(),$B$6)="","",INDEX($A:$AP,ROW(),$B$6)))</f>
        <v/>
      </c>
      <c r="AS1490" s="32">
        <f>IF($AR1490="","",IF(ISNUMBER($AR1490),IF($AR1490&gt;=10000000,IFERROR(DATE(INT($AR1490/10000),MOD(INT($AR1490/100),100),MOD($AR1490,100)),""),INT($AR1490)),IFERROR(DATE(--LEFT(LEFT(SUBSTITUTE(SUBSTITUTE(SUBSTITUTE(SUBSTITUTE(TRIM($AR1490),"-",""),".",""),"/","")," ",""),8),4),--MID(LEFT(SUBSTITUTE(SUBSTITUTE(SUBSTITUTE(SUBSTITUTE(TRIM($AR1490),"-",""),".",""),"/","")," ",""),8),5,2),--MID(LEFT(SUBSTITUTE(SUBSTITUTE(SUBSTITUTE(SUBSTITUTE(TRIM($AR1490),"-",""),".",""),"/","")," ",""),8),7,2)),"")))</f>
        <v/>
      </c>
      <c r="AT1490" s="33">
        <f>IF($AS1490="","",IF($F$6="",0,IF(ISNUMBER(INDEX($A:$AP,ROW(),$F$6)),INDEX($A:$AP,ROW(),$F$6),IFERROR(--SUBSTITUTE(SUBSTITUTE(TRIM(INDEX($A:$AP,ROW(),$F$6)),",",""),"원",""),0))))</f>
        <v/>
      </c>
      <c r="AU1490" s="31">
        <f>IF($AS1490="","",IF($AX1490&lt;&gt;"",SUBSTITUTE(SUBSTITUTE($AX1490,"-","")," ",""),"N:"&amp;$AV1490))</f>
        <v/>
      </c>
      <c r="AV1490" s="31">
        <f>IF(OR($AS1490="",$E$6=""),"",TRIM(INDEX($A:$AP,ROW(),$E$6)&amp;""))</f>
        <v/>
      </c>
      <c r="AW1490" s="31">
        <f>IF($AU1490="","",IF(MATCH($AU1490,$AU$8:$AU$2007,0)=ROW()-7,MAX($AW$7:$AW1489)+1,""))</f>
        <v/>
      </c>
      <c r="AX1490" s="31">
        <f>IF(OR($AS1490="",$D$6=""),"",TRIM(INDEX($A:$AP,ROW(),$D$6)&amp;""))</f>
        <v/>
      </c>
      <c r="AY1490" s="31">
        <f>IF($AU1490="","",INDEX($AW$8:$AW$2007,MATCH($AU1490,$AU$8:$AU$2007,0)))</f>
        <v/>
      </c>
      <c r="AZ1490" s="31">
        <f>IF(OR($AS1490="",$C$6=""),"",TRIM(INDEX($A:$AP,ROW(),$C$6)&amp;""))</f>
        <v/>
      </c>
      <c r="BA1490" s="31">
        <f>IF($AZ1490="","",IF(COUNTIF($AZ$8:$AZ1490,$AZ1490)&gt;1,1,0))</f>
        <v/>
      </c>
    </row>
    <row r="1491">
      <c r="AR1491" s="31">
        <f>IF(OR($A$5="",$B$6="",ROW()&lt;$A$5),"",IF(INDEX($A:$AP,ROW(),$B$6)="","",INDEX($A:$AP,ROW(),$B$6)))</f>
        <v/>
      </c>
      <c r="AS1491" s="32">
        <f>IF($AR1491="","",IF(ISNUMBER($AR1491),IF($AR1491&gt;=10000000,IFERROR(DATE(INT($AR1491/10000),MOD(INT($AR1491/100),100),MOD($AR1491,100)),""),INT($AR1491)),IFERROR(DATE(--LEFT(LEFT(SUBSTITUTE(SUBSTITUTE(SUBSTITUTE(SUBSTITUTE(TRIM($AR1491),"-",""),".",""),"/","")," ",""),8),4),--MID(LEFT(SUBSTITUTE(SUBSTITUTE(SUBSTITUTE(SUBSTITUTE(TRIM($AR1491),"-",""),".",""),"/","")," ",""),8),5,2),--MID(LEFT(SUBSTITUTE(SUBSTITUTE(SUBSTITUTE(SUBSTITUTE(TRIM($AR1491),"-",""),".",""),"/","")," ",""),8),7,2)),"")))</f>
        <v/>
      </c>
      <c r="AT1491" s="33">
        <f>IF($AS1491="","",IF($F$6="",0,IF(ISNUMBER(INDEX($A:$AP,ROW(),$F$6)),INDEX($A:$AP,ROW(),$F$6),IFERROR(--SUBSTITUTE(SUBSTITUTE(TRIM(INDEX($A:$AP,ROW(),$F$6)),",",""),"원",""),0))))</f>
        <v/>
      </c>
      <c r="AU1491" s="31">
        <f>IF($AS1491="","",IF($AX1491&lt;&gt;"",SUBSTITUTE(SUBSTITUTE($AX1491,"-","")," ",""),"N:"&amp;$AV1491))</f>
        <v/>
      </c>
      <c r="AV1491" s="31">
        <f>IF(OR($AS1491="",$E$6=""),"",TRIM(INDEX($A:$AP,ROW(),$E$6)&amp;""))</f>
        <v/>
      </c>
      <c r="AW1491" s="31">
        <f>IF($AU1491="","",IF(MATCH($AU1491,$AU$8:$AU$2007,0)=ROW()-7,MAX($AW$7:$AW1490)+1,""))</f>
        <v/>
      </c>
      <c r="AX1491" s="31">
        <f>IF(OR($AS1491="",$D$6=""),"",TRIM(INDEX($A:$AP,ROW(),$D$6)&amp;""))</f>
        <v/>
      </c>
      <c r="AY1491" s="31">
        <f>IF($AU1491="","",INDEX($AW$8:$AW$2007,MATCH($AU1491,$AU$8:$AU$2007,0)))</f>
        <v/>
      </c>
      <c r="AZ1491" s="31">
        <f>IF(OR($AS1491="",$C$6=""),"",TRIM(INDEX($A:$AP,ROW(),$C$6)&amp;""))</f>
        <v/>
      </c>
      <c r="BA1491" s="31">
        <f>IF($AZ1491="","",IF(COUNTIF($AZ$8:$AZ1491,$AZ1491)&gt;1,1,0))</f>
        <v/>
      </c>
    </row>
    <row r="1492">
      <c r="AR1492" s="31">
        <f>IF(OR($A$5="",$B$6="",ROW()&lt;$A$5),"",IF(INDEX($A:$AP,ROW(),$B$6)="","",INDEX($A:$AP,ROW(),$B$6)))</f>
        <v/>
      </c>
      <c r="AS1492" s="32">
        <f>IF($AR1492="","",IF(ISNUMBER($AR1492),IF($AR1492&gt;=10000000,IFERROR(DATE(INT($AR1492/10000),MOD(INT($AR1492/100),100),MOD($AR1492,100)),""),INT($AR1492)),IFERROR(DATE(--LEFT(LEFT(SUBSTITUTE(SUBSTITUTE(SUBSTITUTE(SUBSTITUTE(TRIM($AR1492),"-",""),".",""),"/","")," ",""),8),4),--MID(LEFT(SUBSTITUTE(SUBSTITUTE(SUBSTITUTE(SUBSTITUTE(TRIM($AR1492),"-",""),".",""),"/","")," ",""),8),5,2),--MID(LEFT(SUBSTITUTE(SUBSTITUTE(SUBSTITUTE(SUBSTITUTE(TRIM($AR1492),"-",""),".",""),"/","")," ",""),8),7,2)),"")))</f>
        <v/>
      </c>
      <c r="AT1492" s="33">
        <f>IF($AS1492="","",IF($F$6="",0,IF(ISNUMBER(INDEX($A:$AP,ROW(),$F$6)),INDEX($A:$AP,ROW(),$F$6),IFERROR(--SUBSTITUTE(SUBSTITUTE(TRIM(INDEX($A:$AP,ROW(),$F$6)),",",""),"원",""),0))))</f>
        <v/>
      </c>
      <c r="AU1492" s="31">
        <f>IF($AS1492="","",IF($AX1492&lt;&gt;"",SUBSTITUTE(SUBSTITUTE($AX1492,"-","")," ",""),"N:"&amp;$AV1492))</f>
        <v/>
      </c>
      <c r="AV1492" s="31">
        <f>IF(OR($AS1492="",$E$6=""),"",TRIM(INDEX($A:$AP,ROW(),$E$6)&amp;""))</f>
        <v/>
      </c>
      <c r="AW1492" s="31">
        <f>IF($AU1492="","",IF(MATCH($AU1492,$AU$8:$AU$2007,0)=ROW()-7,MAX($AW$7:$AW1491)+1,""))</f>
        <v/>
      </c>
      <c r="AX1492" s="31">
        <f>IF(OR($AS1492="",$D$6=""),"",TRIM(INDEX($A:$AP,ROW(),$D$6)&amp;""))</f>
        <v/>
      </c>
      <c r="AY1492" s="31">
        <f>IF($AU1492="","",INDEX($AW$8:$AW$2007,MATCH($AU1492,$AU$8:$AU$2007,0)))</f>
        <v/>
      </c>
      <c r="AZ1492" s="31">
        <f>IF(OR($AS1492="",$C$6=""),"",TRIM(INDEX($A:$AP,ROW(),$C$6)&amp;""))</f>
        <v/>
      </c>
      <c r="BA1492" s="31">
        <f>IF($AZ1492="","",IF(COUNTIF($AZ$8:$AZ1492,$AZ1492)&gt;1,1,0))</f>
        <v/>
      </c>
    </row>
    <row r="1493">
      <c r="AR1493" s="31">
        <f>IF(OR($A$5="",$B$6="",ROW()&lt;$A$5),"",IF(INDEX($A:$AP,ROW(),$B$6)="","",INDEX($A:$AP,ROW(),$B$6)))</f>
        <v/>
      </c>
      <c r="AS1493" s="32">
        <f>IF($AR1493="","",IF(ISNUMBER($AR1493),IF($AR1493&gt;=10000000,IFERROR(DATE(INT($AR1493/10000),MOD(INT($AR1493/100),100),MOD($AR1493,100)),""),INT($AR1493)),IFERROR(DATE(--LEFT(LEFT(SUBSTITUTE(SUBSTITUTE(SUBSTITUTE(SUBSTITUTE(TRIM($AR1493),"-",""),".",""),"/","")," ",""),8),4),--MID(LEFT(SUBSTITUTE(SUBSTITUTE(SUBSTITUTE(SUBSTITUTE(TRIM($AR1493),"-",""),".",""),"/","")," ",""),8),5,2),--MID(LEFT(SUBSTITUTE(SUBSTITUTE(SUBSTITUTE(SUBSTITUTE(TRIM($AR1493),"-",""),".",""),"/","")," ",""),8),7,2)),"")))</f>
        <v/>
      </c>
      <c r="AT1493" s="33">
        <f>IF($AS1493="","",IF($F$6="",0,IF(ISNUMBER(INDEX($A:$AP,ROW(),$F$6)),INDEX($A:$AP,ROW(),$F$6),IFERROR(--SUBSTITUTE(SUBSTITUTE(TRIM(INDEX($A:$AP,ROW(),$F$6)),",",""),"원",""),0))))</f>
        <v/>
      </c>
      <c r="AU1493" s="31">
        <f>IF($AS1493="","",IF($AX1493&lt;&gt;"",SUBSTITUTE(SUBSTITUTE($AX1493,"-","")," ",""),"N:"&amp;$AV1493))</f>
        <v/>
      </c>
      <c r="AV1493" s="31">
        <f>IF(OR($AS1493="",$E$6=""),"",TRIM(INDEX($A:$AP,ROW(),$E$6)&amp;""))</f>
        <v/>
      </c>
      <c r="AW1493" s="31">
        <f>IF($AU1493="","",IF(MATCH($AU1493,$AU$8:$AU$2007,0)=ROW()-7,MAX($AW$7:$AW1492)+1,""))</f>
        <v/>
      </c>
      <c r="AX1493" s="31">
        <f>IF(OR($AS1493="",$D$6=""),"",TRIM(INDEX($A:$AP,ROW(),$D$6)&amp;""))</f>
        <v/>
      </c>
      <c r="AY1493" s="31">
        <f>IF($AU1493="","",INDEX($AW$8:$AW$2007,MATCH($AU1493,$AU$8:$AU$2007,0)))</f>
        <v/>
      </c>
      <c r="AZ1493" s="31">
        <f>IF(OR($AS1493="",$C$6=""),"",TRIM(INDEX($A:$AP,ROW(),$C$6)&amp;""))</f>
        <v/>
      </c>
      <c r="BA1493" s="31">
        <f>IF($AZ1493="","",IF(COUNTIF($AZ$8:$AZ1493,$AZ1493)&gt;1,1,0))</f>
        <v/>
      </c>
    </row>
    <row r="1494">
      <c r="AR1494" s="31">
        <f>IF(OR($A$5="",$B$6="",ROW()&lt;$A$5),"",IF(INDEX($A:$AP,ROW(),$B$6)="","",INDEX($A:$AP,ROW(),$B$6)))</f>
        <v/>
      </c>
      <c r="AS1494" s="32">
        <f>IF($AR1494="","",IF(ISNUMBER($AR1494),IF($AR1494&gt;=10000000,IFERROR(DATE(INT($AR1494/10000),MOD(INT($AR1494/100),100),MOD($AR1494,100)),""),INT($AR1494)),IFERROR(DATE(--LEFT(LEFT(SUBSTITUTE(SUBSTITUTE(SUBSTITUTE(SUBSTITUTE(TRIM($AR1494),"-",""),".",""),"/","")," ",""),8),4),--MID(LEFT(SUBSTITUTE(SUBSTITUTE(SUBSTITUTE(SUBSTITUTE(TRIM($AR1494),"-",""),".",""),"/","")," ",""),8),5,2),--MID(LEFT(SUBSTITUTE(SUBSTITUTE(SUBSTITUTE(SUBSTITUTE(TRIM($AR1494),"-",""),".",""),"/","")," ",""),8),7,2)),"")))</f>
        <v/>
      </c>
      <c r="AT1494" s="33">
        <f>IF($AS1494="","",IF($F$6="",0,IF(ISNUMBER(INDEX($A:$AP,ROW(),$F$6)),INDEX($A:$AP,ROW(),$F$6),IFERROR(--SUBSTITUTE(SUBSTITUTE(TRIM(INDEX($A:$AP,ROW(),$F$6)),",",""),"원",""),0))))</f>
        <v/>
      </c>
      <c r="AU1494" s="31">
        <f>IF($AS1494="","",IF($AX1494&lt;&gt;"",SUBSTITUTE(SUBSTITUTE($AX1494,"-","")," ",""),"N:"&amp;$AV1494))</f>
        <v/>
      </c>
      <c r="AV1494" s="31">
        <f>IF(OR($AS1494="",$E$6=""),"",TRIM(INDEX($A:$AP,ROW(),$E$6)&amp;""))</f>
        <v/>
      </c>
      <c r="AW1494" s="31">
        <f>IF($AU1494="","",IF(MATCH($AU1494,$AU$8:$AU$2007,0)=ROW()-7,MAX($AW$7:$AW1493)+1,""))</f>
        <v/>
      </c>
      <c r="AX1494" s="31">
        <f>IF(OR($AS1494="",$D$6=""),"",TRIM(INDEX($A:$AP,ROW(),$D$6)&amp;""))</f>
        <v/>
      </c>
      <c r="AY1494" s="31">
        <f>IF($AU1494="","",INDEX($AW$8:$AW$2007,MATCH($AU1494,$AU$8:$AU$2007,0)))</f>
        <v/>
      </c>
      <c r="AZ1494" s="31">
        <f>IF(OR($AS1494="",$C$6=""),"",TRIM(INDEX($A:$AP,ROW(),$C$6)&amp;""))</f>
        <v/>
      </c>
      <c r="BA1494" s="31">
        <f>IF($AZ1494="","",IF(COUNTIF($AZ$8:$AZ1494,$AZ1494)&gt;1,1,0))</f>
        <v/>
      </c>
    </row>
    <row r="1495">
      <c r="AR1495" s="31">
        <f>IF(OR($A$5="",$B$6="",ROW()&lt;$A$5),"",IF(INDEX($A:$AP,ROW(),$B$6)="","",INDEX($A:$AP,ROW(),$B$6)))</f>
        <v/>
      </c>
      <c r="AS1495" s="32">
        <f>IF($AR1495="","",IF(ISNUMBER($AR1495),IF($AR1495&gt;=10000000,IFERROR(DATE(INT($AR1495/10000),MOD(INT($AR1495/100),100),MOD($AR1495,100)),""),INT($AR1495)),IFERROR(DATE(--LEFT(LEFT(SUBSTITUTE(SUBSTITUTE(SUBSTITUTE(SUBSTITUTE(TRIM($AR1495),"-",""),".",""),"/","")," ",""),8),4),--MID(LEFT(SUBSTITUTE(SUBSTITUTE(SUBSTITUTE(SUBSTITUTE(TRIM($AR1495),"-",""),".",""),"/","")," ",""),8),5,2),--MID(LEFT(SUBSTITUTE(SUBSTITUTE(SUBSTITUTE(SUBSTITUTE(TRIM($AR1495),"-",""),".",""),"/","")," ",""),8),7,2)),"")))</f>
        <v/>
      </c>
      <c r="AT1495" s="33">
        <f>IF($AS1495="","",IF($F$6="",0,IF(ISNUMBER(INDEX($A:$AP,ROW(),$F$6)),INDEX($A:$AP,ROW(),$F$6),IFERROR(--SUBSTITUTE(SUBSTITUTE(TRIM(INDEX($A:$AP,ROW(),$F$6)),",",""),"원",""),0))))</f>
        <v/>
      </c>
      <c r="AU1495" s="31">
        <f>IF($AS1495="","",IF($AX1495&lt;&gt;"",SUBSTITUTE(SUBSTITUTE($AX1495,"-","")," ",""),"N:"&amp;$AV1495))</f>
        <v/>
      </c>
      <c r="AV1495" s="31">
        <f>IF(OR($AS1495="",$E$6=""),"",TRIM(INDEX($A:$AP,ROW(),$E$6)&amp;""))</f>
        <v/>
      </c>
      <c r="AW1495" s="31">
        <f>IF($AU1495="","",IF(MATCH($AU1495,$AU$8:$AU$2007,0)=ROW()-7,MAX($AW$7:$AW1494)+1,""))</f>
        <v/>
      </c>
      <c r="AX1495" s="31">
        <f>IF(OR($AS1495="",$D$6=""),"",TRIM(INDEX($A:$AP,ROW(),$D$6)&amp;""))</f>
        <v/>
      </c>
      <c r="AY1495" s="31">
        <f>IF($AU1495="","",INDEX($AW$8:$AW$2007,MATCH($AU1495,$AU$8:$AU$2007,0)))</f>
        <v/>
      </c>
      <c r="AZ1495" s="31">
        <f>IF(OR($AS1495="",$C$6=""),"",TRIM(INDEX($A:$AP,ROW(),$C$6)&amp;""))</f>
        <v/>
      </c>
      <c r="BA1495" s="31">
        <f>IF($AZ1495="","",IF(COUNTIF($AZ$8:$AZ1495,$AZ1495)&gt;1,1,0))</f>
        <v/>
      </c>
    </row>
    <row r="1496">
      <c r="AR1496" s="31">
        <f>IF(OR($A$5="",$B$6="",ROW()&lt;$A$5),"",IF(INDEX($A:$AP,ROW(),$B$6)="","",INDEX($A:$AP,ROW(),$B$6)))</f>
        <v/>
      </c>
      <c r="AS1496" s="32">
        <f>IF($AR1496="","",IF(ISNUMBER($AR1496),IF($AR1496&gt;=10000000,IFERROR(DATE(INT($AR1496/10000),MOD(INT($AR1496/100),100),MOD($AR1496,100)),""),INT($AR1496)),IFERROR(DATE(--LEFT(LEFT(SUBSTITUTE(SUBSTITUTE(SUBSTITUTE(SUBSTITUTE(TRIM($AR1496),"-",""),".",""),"/","")," ",""),8),4),--MID(LEFT(SUBSTITUTE(SUBSTITUTE(SUBSTITUTE(SUBSTITUTE(TRIM($AR1496),"-",""),".",""),"/","")," ",""),8),5,2),--MID(LEFT(SUBSTITUTE(SUBSTITUTE(SUBSTITUTE(SUBSTITUTE(TRIM($AR1496),"-",""),".",""),"/","")," ",""),8),7,2)),"")))</f>
        <v/>
      </c>
      <c r="AT1496" s="33">
        <f>IF($AS1496="","",IF($F$6="",0,IF(ISNUMBER(INDEX($A:$AP,ROW(),$F$6)),INDEX($A:$AP,ROW(),$F$6),IFERROR(--SUBSTITUTE(SUBSTITUTE(TRIM(INDEX($A:$AP,ROW(),$F$6)),",",""),"원",""),0))))</f>
        <v/>
      </c>
      <c r="AU1496" s="31">
        <f>IF($AS1496="","",IF($AX1496&lt;&gt;"",SUBSTITUTE(SUBSTITUTE($AX1496,"-","")," ",""),"N:"&amp;$AV1496))</f>
        <v/>
      </c>
      <c r="AV1496" s="31">
        <f>IF(OR($AS1496="",$E$6=""),"",TRIM(INDEX($A:$AP,ROW(),$E$6)&amp;""))</f>
        <v/>
      </c>
      <c r="AW1496" s="31">
        <f>IF($AU1496="","",IF(MATCH($AU1496,$AU$8:$AU$2007,0)=ROW()-7,MAX($AW$7:$AW1495)+1,""))</f>
        <v/>
      </c>
      <c r="AX1496" s="31">
        <f>IF(OR($AS1496="",$D$6=""),"",TRIM(INDEX($A:$AP,ROW(),$D$6)&amp;""))</f>
        <v/>
      </c>
      <c r="AY1496" s="31">
        <f>IF($AU1496="","",INDEX($AW$8:$AW$2007,MATCH($AU1496,$AU$8:$AU$2007,0)))</f>
        <v/>
      </c>
      <c r="AZ1496" s="31">
        <f>IF(OR($AS1496="",$C$6=""),"",TRIM(INDEX($A:$AP,ROW(),$C$6)&amp;""))</f>
        <v/>
      </c>
      <c r="BA1496" s="31">
        <f>IF($AZ1496="","",IF(COUNTIF($AZ$8:$AZ1496,$AZ1496)&gt;1,1,0))</f>
        <v/>
      </c>
    </row>
    <row r="1497">
      <c r="AR1497" s="31">
        <f>IF(OR($A$5="",$B$6="",ROW()&lt;$A$5),"",IF(INDEX($A:$AP,ROW(),$B$6)="","",INDEX($A:$AP,ROW(),$B$6)))</f>
        <v/>
      </c>
      <c r="AS1497" s="32">
        <f>IF($AR1497="","",IF(ISNUMBER($AR1497),IF($AR1497&gt;=10000000,IFERROR(DATE(INT($AR1497/10000),MOD(INT($AR1497/100),100),MOD($AR1497,100)),""),INT($AR1497)),IFERROR(DATE(--LEFT(LEFT(SUBSTITUTE(SUBSTITUTE(SUBSTITUTE(SUBSTITUTE(TRIM($AR1497),"-",""),".",""),"/","")," ",""),8),4),--MID(LEFT(SUBSTITUTE(SUBSTITUTE(SUBSTITUTE(SUBSTITUTE(TRIM($AR1497),"-",""),".",""),"/","")," ",""),8),5,2),--MID(LEFT(SUBSTITUTE(SUBSTITUTE(SUBSTITUTE(SUBSTITUTE(TRIM($AR1497),"-",""),".",""),"/","")," ",""),8),7,2)),"")))</f>
        <v/>
      </c>
      <c r="AT1497" s="33">
        <f>IF($AS1497="","",IF($F$6="",0,IF(ISNUMBER(INDEX($A:$AP,ROW(),$F$6)),INDEX($A:$AP,ROW(),$F$6),IFERROR(--SUBSTITUTE(SUBSTITUTE(TRIM(INDEX($A:$AP,ROW(),$F$6)),",",""),"원",""),0))))</f>
        <v/>
      </c>
      <c r="AU1497" s="31">
        <f>IF($AS1497="","",IF($AX1497&lt;&gt;"",SUBSTITUTE(SUBSTITUTE($AX1497,"-","")," ",""),"N:"&amp;$AV1497))</f>
        <v/>
      </c>
      <c r="AV1497" s="31">
        <f>IF(OR($AS1497="",$E$6=""),"",TRIM(INDEX($A:$AP,ROW(),$E$6)&amp;""))</f>
        <v/>
      </c>
      <c r="AW1497" s="31">
        <f>IF($AU1497="","",IF(MATCH($AU1497,$AU$8:$AU$2007,0)=ROW()-7,MAX($AW$7:$AW1496)+1,""))</f>
        <v/>
      </c>
      <c r="AX1497" s="31">
        <f>IF(OR($AS1497="",$D$6=""),"",TRIM(INDEX($A:$AP,ROW(),$D$6)&amp;""))</f>
        <v/>
      </c>
      <c r="AY1497" s="31">
        <f>IF($AU1497="","",INDEX($AW$8:$AW$2007,MATCH($AU1497,$AU$8:$AU$2007,0)))</f>
        <v/>
      </c>
      <c r="AZ1497" s="31">
        <f>IF(OR($AS1497="",$C$6=""),"",TRIM(INDEX($A:$AP,ROW(),$C$6)&amp;""))</f>
        <v/>
      </c>
      <c r="BA1497" s="31">
        <f>IF($AZ1497="","",IF(COUNTIF($AZ$8:$AZ1497,$AZ1497)&gt;1,1,0))</f>
        <v/>
      </c>
    </row>
    <row r="1498">
      <c r="AR1498" s="31">
        <f>IF(OR($A$5="",$B$6="",ROW()&lt;$A$5),"",IF(INDEX($A:$AP,ROW(),$B$6)="","",INDEX($A:$AP,ROW(),$B$6)))</f>
        <v/>
      </c>
      <c r="AS1498" s="32">
        <f>IF($AR1498="","",IF(ISNUMBER($AR1498),IF($AR1498&gt;=10000000,IFERROR(DATE(INT($AR1498/10000),MOD(INT($AR1498/100),100),MOD($AR1498,100)),""),INT($AR1498)),IFERROR(DATE(--LEFT(LEFT(SUBSTITUTE(SUBSTITUTE(SUBSTITUTE(SUBSTITUTE(TRIM($AR1498),"-",""),".",""),"/","")," ",""),8),4),--MID(LEFT(SUBSTITUTE(SUBSTITUTE(SUBSTITUTE(SUBSTITUTE(TRIM($AR1498),"-",""),".",""),"/","")," ",""),8),5,2),--MID(LEFT(SUBSTITUTE(SUBSTITUTE(SUBSTITUTE(SUBSTITUTE(TRIM($AR1498),"-",""),".",""),"/","")," ",""),8),7,2)),"")))</f>
        <v/>
      </c>
      <c r="AT1498" s="33">
        <f>IF($AS1498="","",IF($F$6="",0,IF(ISNUMBER(INDEX($A:$AP,ROW(),$F$6)),INDEX($A:$AP,ROW(),$F$6),IFERROR(--SUBSTITUTE(SUBSTITUTE(TRIM(INDEX($A:$AP,ROW(),$F$6)),",",""),"원",""),0))))</f>
        <v/>
      </c>
      <c r="AU1498" s="31">
        <f>IF($AS1498="","",IF($AX1498&lt;&gt;"",SUBSTITUTE(SUBSTITUTE($AX1498,"-","")," ",""),"N:"&amp;$AV1498))</f>
        <v/>
      </c>
      <c r="AV1498" s="31">
        <f>IF(OR($AS1498="",$E$6=""),"",TRIM(INDEX($A:$AP,ROW(),$E$6)&amp;""))</f>
        <v/>
      </c>
      <c r="AW1498" s="31">
        <f>IF($AU1498="","",IF(MATCH($AU1498,$AU$8:$AU$2007,0)=ROW()-7,MAX($AW$7:$AW1497)+1,""))</f>
        <v/>
      </c>
      <c r="AX1498" s="31">
        <f>IF(OR($AS1498="",$D$6=""),"",TRIM(INDEX($A:$AP,ROW(),$D$6)&amp;""))</f>
        <v/>
      </c>
      <c r="AY1498" s="31">
        <f>IF($AU1498="","",INDEX($AW$8:$AW$2007,MATCH($AU1498,$AU$8:$AU$2007,0)))</f>
        <v/>
      </c>
      <c r="AZ1498" s="31">
        <f>IF(OR($AS1498="",$C$6=""),"",TRIM(INDEX($A:$AP,ROW(),$C$6)&amp;""))</f>
        <v/>
      </c>
      <c r="BA1498" s="31">
        <f>IF($AZ1498="","",IF(COUNTIF($AZ$8:$AZ1498,$AZ1498)&gt;1,1,0))</f>
        <v/>
      </c>
    </row>
    <row r="1499">
      <c r="AR1499" s="31">
        <f>IF(OR($A$5="",$B$6="",ROW()&lt;$A$5),"",IF(INDEX($A:$AP,ROW(),$B$6)="","",INDEX($A:$AP,ROW(),$B$6)))</f>
        <v/>
      </c>
      <c r="AS1499" s="32">
        <f>IF($AR1499="","",IF(ISNUMBER($AR1499),IF($AR1499&gt;=10000000,IFERROR(DATE(INT($AR1499/10000),MOD(INT($AR1499/100),100),MOD($AR1499,100)),""),INT($AR1499)),IFERROR(DATE(--LEFT(LEFT(SUBSTITUTE(SUBSTITUTE(SUBSTITUTE(SUBSTITUTE(TRIM($AR1499),"-",""),".",""),"/","")," ",""),8),4),--MID(LEFT(SUBSTITUTE(SUBSTITUTE(SUBSTITUTE(SUBSTITUTE(TRIM($AR1499),"-",""),".",""),"/","")," ",""),8),5,2),--MID(LEFT(SUBSTITUTE(SUBSTITUTE(SUBSTITUTE(SUBSTITUTE(TRIM($AR1499),"-",""),".",""),"/","")," ",""),8),7,2)),"")))</f>
        <v/>
      </c>
      <c r="AT1499" s="33">
        <f>IF($AS1499="","",IF($F$6="",0,IF(ISNUMBER(INDEX($A:$AP,ROW(),$F$6)),INDEX($A:$AP,ROW(),$F$6),IFERROR(--SUBSTITUTE(SUBSTITUTE(TRIM(INDEX($A:$AP,ROW(),$F$6)),",",""),"원",""),0))))</f>
        <v/>
      </c>
      <c r="AU1499" s="31">
        <f>IF($AS1499="","",IF($AX1499&lt;&gt;"",SUBSTITUTE(SUBSTITUTE($AX1499,"-","")," ",""),"N:"&amp;$AV1499))</f>
        <v/>
      </c>
      <c r="AV1499" s="31">
        <f>IF(OR($AS1499="",$E$6=""),"",TRIM(INDEX($A:$AP,ROW(),$E$6)&amp;""))</f>
        <v/>
      </c>
      <c r="AW1499" s="31">
        <f>IF($AU1499="","",IF(MATCH($AU1499,$AU$8:$AU$2007,0)=ROW()-7,MAX($AW$7:$AW1498)+1,""))</f>
        <v/>
      </c>
      <c r="AX1499" s="31">
        <f>IF(OR($AS1499="",$D$6=""),"",TRIM(INDEX($A:$AP,ROW(),$D$6)&amp;""))</f>
        <v/>
      </c>
      <c r="AY1499" s="31">
        <f>IF($AU1499="","",INDEX($AW$8:$AW$2007,MATCH($AU1499,$AU$8:$AU$2007,0)))</f>
        <v/>
      </c>
      <c r="AZ1499" s="31">
        <f>IF(OR($AS1499="",$C$6=""),"",TRIM(INDEX($A:$AP,ROW(),$C$6)&amp;""))</f>
        <v/>
      </c>
      <c r="BA1499" s="31">
        <f>IF($AZ1499="","",IF(COUNTIF($AZ$8:$AZ1499,$AZ1499)&gt;1,1,0))</f>
        <v/>
      </c>
    </row>
    <row r="1500">
      <c r="AR1500" s="31">
        <f>IF(OR($A$5="",$B$6="",ROW()&lt;$A$5),"",IF(INDEX($A:$AP,ROW(),$B$6)="","",INDEX($A:$AP,ROW(),$B$6)))</f>
        <v/>
      </c>
      <c r="AS1500" s="32">
        <f>IF($AR1500="","",IF(ISNUMBER($AR1500),IF($AR1500&gt;=10000000,IFERROR(DATE(INT($AR1500/10000),MOD(INT($AR1500/100),100),MOD($AR1500,100)),""),INT($AR1500)),IFERROR(DATE(--LEFT(LEFT(SUBSTITUTE(SUBSTITUTE(SUBSTITUTE(SUBSTITUTE(TRIM($AR1500),"-",""),".",""),"/","")," ",""),8),4),--MID(LEFT(SUBSTITUTE(SUBSTITUTE(SUBSTITUTE(SUBSTITUTE(TRIM($AR1500),"-",""),".",""),"/","")," ",""),8),5,2),--MID(LEFT(SUBSTITUTE(SUBSTITUTE(SUBSTITUTE(SUBSTITUTE(TRIM($AR1500),"-",""),".",""),"/","")," ",""),8),7,2)),"")))</f>
        <v/>
      </c>
      <c r="AT1500" s="33">
        <f>IF($AS1500="","",IF($F$6="",0,IF(ISNUMBER(INDEX($A:$AP,ROW(),$F$6)),INDEX($A:$AP,ROW(),$F$6),IFERROR(--SUBSTITUTE(SUBSTITUTE(TRIM(INDEX($A:$AP,ROW(),$F$6)),",",""),"원",""),0))))</f>
        <v/>
      </c>
      <c r="AU1500" s="31">
        <f>IF($AS1500="","",IF($AX1500&lt;&gt;"",SUBSTITUTE(SUBSTITUTE($AX1500,"-","")," ",""),"N:"&amp;$AV1500))</f>
        <v/>
      </c>
      <c r="AV1500" s="31">
        <f>IF(OR($AS1500="",$E$6=""),"",TRIM(INDEX($A:$AP,ROW(),$E$6)&amp;""))</f>
        <v/>
      </c>
      <c r="AW1500" s="31">
        <f>IF($AU1500="","",IF(MATCH($AU1500,$AU$8:$AU$2007,0)=ROW()-7,MAX($AW$7:$AW1499)+1,""))</f>
        <v/>
      </c>
      <c r="AX1500" s="31">
        <f>IF(OR($AS1500="",$D$6=""),"",TRIM(INDEX($A:$AP,ROW(),$D$6)&amp;""))</f>
        <v/>
      </c>
      <c r="AY1500" s="31">
        <f>IF($AU1500="","",INDEX($AW$8:$AW$2007,MATCH($AU1500,$AU$8:$AU$2007,0)))</f>
        <v/>
      </c>
      <c r="AZ1500" s="31">
        <f>IF(OR($AS1500="",$C$6=""),"",TRIM(INDEX($A:$AP,ROW(),$C$6)&amp;""))</f>
        <v/>
      </c>
      <c r="BA1500" s="31">
        <f>IF($AZ1500="","",IF(COUNTIF($AZ$8:$AZ1500,$AZ1500)&gt;1,1,0))</f>
        <v/>
      </c>
    </row>
    <row r="1501">
      <c r="AR1501" s="31">
        <f>IF(OR($A$5="",$B$6="",ROW()&lt;$A$5),"",IF(INDEX($A:$AP,ROW(),$B$6)="","",INDEX($A:$AP,ROW(),$B$6)))</f>
        <v/>
      </c>
      <c r="AS1501" s="32">
        <f>IF($AR1501="","",IF(ISNUMBER($AR1501),IF($AR1501&gt;=10000000,IFERROR(DATE(INT($AR1501/10000),MOD(INT($AR1501/100),100),MOD($AR1501,100)),""),INT($AR1501)),IFERROR(DATE(--LEFT(LEFT(SUBSTITUTE(SUBSTITUTE(SUBSTITUTE(SUBSTITUTE(TRIM($AR1501),"-",""),".",""),"/","")," ",""),8),4),--MID(LEFT(SUBSTITUTE(SUBSTITUTE(SUBSTITUTE(SUBSTITUTE(TRIM($AR1501),"-",""),".",""),"/","")," ",""),8),5,2),--MID(LEFT(SUBSTITUTE(SUBSTITUTE(SUBSTITUTE(SUBSTITUTE(TRIM($AR1501),"-",""),".",""),"/","")," ",""),8),7,2)),"")))</f>
        <v/>
      </c>
      <c r="AT1501" s="33">
        <f>IF($AS1501="","",IF($F$6="",0,IF(ISNUMBER(INDEX($A:$AP,ROW(),$F$6)),INDEX($A:$AP,ROW(),$F$6),IFERROR(--SUBSTITUTE(SUBSTITUTE(TRIM(INDEX($A:$AP,ROW(),$F$6)),",",""),"원",""),0))))</f>
        <v/>
      </c>
      <c r="AU1501" s="31">
        <f>IF($AS1501="","",IF($AX1501&lt;&gt;"",SUBSTITUTE(SUBSTITUTE($AX1501,"-","")," ",""),"N:"&amp;$AV1501))</f>
        <v/>
      </c>
      <c r="AV1501" s="31">
        <f>IF(OR($AS1501="",$E$6=""),"",TRIM(INDEX($A:$AP,ROW(),$E$6)&amp;""))</f>
        <v/>
      </c>
      <c r="AW1501" s="31">
        <f>IF($AU1501="","",IF(MATCH($AU1501,$AU$8:$AU$2007,0)=ROW()-7,MAX($AW$7:$AW1500)+1,""))</f>
        <v/>
      </c>
      <c r="AX1501" s="31">
        <f>IF(OR($AS1501="",$D$6=""),"",TRIM(INDEX($A:$AP,ROW(),$D$6)&amp;""))</f>
        <v/>
      </c>
      <c r="AY1501" s="31">
        <f>IF($AU1501="","",INDEX($AW$8:$AW$2007,MATCH($AU1501,$AU$8:$AU$2007,0)))</f>
        <v/>
      </c>
      <c r="AZ1501" s="31">
        <f>IF(OR($AS1501="",$C$6=""),"",TRIM(INDEX($A:$AP,ROW(),$C$6)&amp;""))</f>
        <v/>
      </c>
      <c r="BA1501" s="31">
        <f>IF($AZ1501="","",IF(COUNTIF($AZ$8:$AZ1501,$AZ1501)&gt;1,1,0))</f>
        <v/>
      </c>
    </row>
    <row r="1502">
      <c r="AR1502" s="31">
        <f>IF(OR($A$5="",$B$6="",ROW()&lt;$A$5),"",IF(INDEX($A:$AP,ROW(),$B$6)="","",INDEX($A:$AP,ROW(),$B$6)))</f>
        <v/>
      </c>
      <c r="AS1502" s="32">
        <f>IF($AR1502="","",IF(ISNUMBER($AR1502),IF($AR1502&gt;=10000000,IFERROR(DATE(INT($AR1502/10000),MOD(INT($AR1502/100),100),MOD($AR1502,100)),""),INT($AR1502)),IFERROR(DATE(--LEFT(LEFT(SUBSTITUTE(SUBSTITUTE(SUBSTITUTE(SUBSTITUTE(TRIM($AR1502),"-",""),".",""),"/","")," ",""),8),4),--MID(LEFT(SUBSTITUTE(SUBSTITUTE(SUBSTITUTE(SUBSTITUTE(TRIM($AR1502),"-",""),".",""),"/","")," ",""),8),5,2),--MID(LEFT(SUBSTITUTE(SUBSTITUTE(SUBSTITUTE(SUBSTITUTE(TRIM($AR1502),"-",""),".",""),"/","")," ",""),8),7,2)),"")))</f>
        <v/>
      </c>
      <c r="AT1502" s="33">
        <f>IF($AS1502="","",IF($F$6="",0,IF(ISNUMBER(INDEX($A:$AP,ROW(),$F$6)),INDEX($A:$AP,ROW(),$F$6),IFERROR(--SUBSTITUTE(SUBSTITUTE(TRIM(INDEX($A:$AP,ROW(),$F$6)),",",""),"원",""),0))))</f>
        <v/>
      </c>
      <c r="AU1502" s="31">
        <f>IF($AS1502="","",IF($AX1502&lt;&gt;"",SUBSTITUTE(SUBSTITUTE($AX1502,"-","")," ",""),"N:"&amp;$AV1502))</f>
        <v/>
      </c>
      <c r="AV1502" s="31">
        <f>IF(OR($AS1502="",$E$6=""),"",TRIM(INDEX($A:$AP,ROW(),$E$6)&amp;""))</f>
        <v/>
      </c>
      <c r="AW1502" s="31">
        <f>IF($AU1502="","",IF(MATCH($AU1502,$AU$8:$AU$2007,0)=ROW()-7,MAX($AW$7:$AW1501)+1,""))</f>
        <v/>
      </c>
      <c r="AX1502" s="31">
        <f>IF(OR($AS1502="",$D$6=""),"",TRIM(INDEX($A:$AP,ROW(),$D$6)&amp;""))</f>
        <v/>
      </c>
      <c r="AY1502" s="31">
        <f>IF($AU1502="","",INDEX($AW$8:$AW$2007,MATCH($AU1502,$AU$8:$AU$2007,0)))</f>
        <v/>
      </c>
      <c r="AZ1502" s="31">
        <f>IF(OR($AS1502="",$C$6=""),"",TRIM(INDEX($A:$AP,ROW(),$C$6)&amp;""))</f>
        <v/>
      </c>
      <c r="BA1502" s="31">
        <f>IF($AZ1502="","",IF(COUNTIF($AZ$8:$AZ1502,$AZ1502)&gt;1,1,0))</f>
        <v/>
      </c>
    </row>
    <row r="1503">
      <c r="AR1503" s="31">
        <f>IF(OR($A$5="",$B$6="",ROW()&lt;$A$5),"",IF(INDEX($A:$AP,ROW(),$B$6)="","",INDEX($A:$AP,ROW(),$B$6)))</f>
        <v/>
      </c>
      <c r="AS1503" s="32">
        <f>IF($AR1503="","",IF(ISNUMBER($AR1503),IF($AR1503&gt;=10000000,IFERROR(DATE(INT($AR1503/10000),MOD(INT($AR1503/100),100),MOD($AR1503,100)),""),INT($AR1503)),IFERROR(DATE(--LEFT(LEFT(SUBSTITUTE(SUBSTITUTE(SUBSTITUTE(SUBSTITUTE(TRIM($AR1503),"-",""),".",""),"/","")," ",""),8),4),--MID(LEFT(SUBSTITUTE(SUBSTITUTE(SUBSTITUTE(SUBSTITUTE(TRIM($AR1503),"-",""),".",""),"/","")," ",""),8),5,2),--MID(LEFT(SUBSTITUTE(SUBSTITUTE(SUBSTITUTE(SUBSTITUTE(TRIM($AR1503),"-",""),".",""),"/","")," ",""),8),7,2)),"")))</f>
        <v/>
      </c>
      <c r="AT1503" s="33">
        <f>IF($AS1503="","",IF($F$6="",0,IF(ISNUMBER(INDEX($A:$AP,ROW(),$F$6)),INDEX($A:$AP,ROW(),$F$6),IFERROR(--SUBSTITUTE(SUBSTITUTE(TRIM(INDEX($A:$AP,ROW(),$F$6)),",",""),"원",""),0))))</f>
        <v/>
      </c>
      <c r="AU1503" s="31">
        <f>IF($AS1503="","",IF($AX1503&lt;&gt;"",SUBSTITUTE(SUBSTITUTE($AX1503,"-","")," ",""),"N:"&amp;$AV1503))</f>
        <v/>
      </c>
      <c r="AV1503" s="31">
        <f>IF(OR($AS1503="",$E$6=""),"",TRIM(INDEX($A:$AP,ROW(),$E$6)&amp;""))</f>
        <v/>
      </c>
      <c r="AW1503" s="31">
        <f>IF($AU1503="","",IF(MATCH($AU1503,$AU$8:$AU$2007,0)=ROW()-7,MAX($AW$7:$AW1502)+1,""))</f>
        <v/>
      </c>
      <c r="AX1503" s="31">
        <f>IF(OR($AS1503="",$D$6=""),"",TRIM(INDEX($A:$AP,ROW(),$D$6)&amp;""))</f>
        <v/>
      </c>
      <c r="AY1503" s="31">
        <f>IF($AU1503="","",INDEX($AW$8:$AW$2007,MATCH($AU1503,$AU$8:$AU$2007,0)))</f>
        <v/>
      </c>
      <c r="AZ1503" s="31">
        <f>IF(OR($AS1503="",$C$6=""),"",TRIM(INDEX($A:$AP,ROW(),$C$6)&amp;""))</f>
        <v/>
      </c>
      <c r="BA1503" s="31">
        <f>IF($AZ1503="","",IF(COUNTIF($AZ$8:$AZ1503,$AZ1503)&gt;1,1,0))</f>
        <v/>
      </c>
    </row>
    <row r="1504">
      <c r="AR1504" s="31">
        <f>IF(OR($A$5="",$B$6="",ROW()&lt;$A$5),"",IF(INDEX($A:$AP,ROW(),$B$6)="","",INDEX($A:$AP,ROW(),$B$6)))</f>
        <v/>
      </c>
      <c r="AS1504" s="32">
        <f>IF($AR1504="","",IF(ISNUMBER($AR1504),IF($AR1504&gt;=10000000,IFERROR(DATE(INT($AR1504/10000),MOD(INT($AR1504/100),100),MOD($AR1504,100)),""),INT($AR1504)),IFERROR(DATE(--LEFT(LEFT(SUBSTITUTE(SUBSTITUTE(SUBSTITUTE(SUBSTITUTE(TRIM($AR1504),"-",""),".",""),"/","")," ",""),8),4),--MID(LEFT(SUBSTITUTE(SUBSTITUTE(SUBSTITUTE(SUBSTITUTE(TRIM($AR1504),"-",""),".",""),"/","")," ",""),8),5,2),--MID(LEFT(SUBSTITUTE(SUBSTITUTE(SUBSTITUTE(SUBSTITUTE(TRIM($AR1504),"-",""),".",""),"/","")," ",""),8),7,2)),"")))</f>
        <v/>
      </c>
      <c r="AT1504" s="33">
        <f>IF($AS1504="","",IF($F$6="",0,IF(ISNUMBER(INDEX($A:$AP,ROW(),$F$6)),INDEX($A:$AP,ROW(),$F$6),IFERROR(--SUBSTITUTE(SUBSTITUTE(TRIM(INDEX($A:$AP,ROW(),$F$6)),",",""),"원",""),0))))</f>
        <v/>
      </c>
      <c r="AU1504" s="31">
        <f>IF($AS1504="","",IF($AX1504&lt;&gt;"",SUBSTITUTE(SUBSTITUTE($AX1504,"-","")," ",""),"N:"&amp;$AV1504))</f>
        <v/>
      </c>
      <c r="AV1504" s="31">
        <f>IF(OR($AS1504="",$E$6=""),"",TRIM(INDEX($A:$AP,ROW(),$E$6)&amp;""))</f>
        <v/>
      </c>
      <c r="AW1504" s="31">
        <f>IF($AU1504="","",IF(MATCH($AU1504,$AU$8:$AU$2007,0)=ROW()-7,MAX($AW$7:$AW1503)+1,""))</f>
        <v/>
      </c>
      <c r="AX1504" s="31">
        <f>IF(OR($AS1504="",$D$6=""),"",TRIM(INDEX($A:$AP,ROW(),$D$6)&amp;""))</f>
        <v/>
      </c>
      <c r="AY1504" s="31">
        <f>IF($AU1504="","",INDEX($AW$8:$AW$2007,MATCH($AU1504,$AU$8:$AU$2007,0)))</f>
        <v/>
      </c>
      <c r="AZ1504" s="31">
        <f>IF(OR($AS1504="",$C$6=""),"",TRIM(INDEX($A:$AP,ROW(),$C$6)&amp;""))</f>
        <v/>
      </c>
      <c r="BA1504" s="31">
        <f>IF($AZ1504="","",IF(COUNTIF($AZ$8:$AZ1504,$AZ1504)&gt;1,1,0))</f>
        <v/>
      </c>
    </row>
    <row r="1505">
      <c r="AR1505" s="31">
        <f>IF(OR($A$5="",$B$6="",ROW()&lt;$A$5),"",IF(INDEX($A:$AP,ROW(),$B$6)="","",INDEX($A:$AP,ROW(),$B$6)))</f>
        <v/>
      </c>
      <c r="AS1505" s="32">
        <f>IF($AR1505="","",IF(ISNUMBER($AR1505),IF($AR1505&gt;=10000000,IFERROR(DATE(INT($AR1505/10000),MOD(INT($AR1505/100),100),MOD($AR1505,100)),""),INT($AR1505)),IFERROR(DATE(--LEFT(LEFT(SUBSTITUTE(SUBSTITUTE(SUBSTITUTE(SUBSTITUTE(TRIM($AR1505),"-",""),".",""),"/","")," ",""),8),4),--MID(LEFT(SUBSTITUTE(SUBSTITUTE(SUBSTITUTE(SUBSTITUTE(TRIM($AR1505),"-",""),".",""),"/","")," ",""),8),5,2),--MID(LEFT(SUBSTITUTE(SUBSTITUTE(SUBSTITUTE(SUBSTITUTE(TRIM($AR1505),"-",""),".",""),"/","")," ",""),8),7,2)),"")))</f>
        <v/>
      </c>
      <c r="AT1505" s="33">
        <f>IF($AS1505="","",IF($F$6="",0,IF(ISNUMBER(INDEX($A:$AP,ROW(),$F$6)),INDEX($A:$AP,ROW(),$F$6),IFERROR(--SUBSTITUTE(SUBSTITUTE(TRIM(INDEX($A:$AP,ROW(),$F$6)),",",""),"원",""),0))))</f>
        <v/>
      </c>
      <c r="AU1505" s="31">
        <f>IF($AS1505="","",IF($AX1505&lt;&gt;"",SUBSTITUTE(SUBSTITUTE($AX1505,"-","")," ",""),"N:"&amp;$AV1505))</f>
        <v/>
      </c>
      <c r="AV1505" s="31">
        <f>IF(OR($AS1505="",$E$6=""),"",TRIM(INDEX($A:$AP,ROW(),$E$6)&amp;""))</f>
        <v/>
      </c>
      <c r="AW1505" s="31">
        <f>IF($AU1505="","",IF(MATCH($AU1505,$AU$8:$AU$2007,0)=ROW()-7,MAX($AW$7:$AW1504)+1,""))</f>
        <v/>
      </c>
      <c r="AX1505" s="31">
        <f>IF(OR($AS1505="",$D$6=""),"",TRIM(INDEX($A:$AP,ROW(),$D$6)&amp;""))</f>
        <v/>
      </c>
      <c r="AY1505" s="31">
        <f>IF($AU1505="","",INDEX($AW$8:$AW$2007,MATCH($AU1505,$AU$8:$AU$2007,0)))</f>
        <v/>
      </c>
      <c r="AZ1505" s="31">
        <f>IF(OR($AS1505="",$C$6=""),"",TRIM(INDEX($A:$AP,ROW(),$C$6)&amp;""))</f>
        <v/>
      </c>
      <c r="BA1505" s="31">
        <f>IF($AZ1505="","",IF(COUNTIF($AZ$8:$AZ1505,$AZ1505)&gt;1,1,0))</f>
        <v/>
      </c>
    </row>
    <row r="1506">
      <c r="AR1506" s="31">
        <f>IF(OR($A$5="",$B$6="",ROW()&lt;$A$5),"",IF(INDEX($A:$AP,ROW(),$B$6)="","",INDEX($A:$AP,ROW(),$B$6)))</f>
        <v/>
      </c>
      <c r="AS1506" s="32">
        <f>IF($AR1506="","",IF(ISNUMBER($AR1506),IF($AR1506&gt;=10000000,IFERROR(DATE(INT($AR1506/10000),MOD(INT($AR1506/100),100),MOD($AR1506,100)),""),INT($AR1506)),IFERROR(DATE(--LEFT(LEFT(SUBSTITUTE(SUBSTITUTE(SUBSTITUTE(SUBSTITUTE(TRIM($AR1506),"-",""),".",""),"/","")," ",""),8),4),--MID(LEFT(SUBSTITUTE(SUBSTITUTE(SUBSTITUTE(SUBSTITUTE(TRIM($AR1506),"-",""),".",""),"/","")," ",""),8),5,2),--MID(LEFT(SUBSTITUTE(SUBSTITUTE(SUBSTITUTE(SUBSTITUTE(TRIM($AR1506),"-",""),".",""),"/","")," ",""),8),7,2)),"")))</f>
        <v/>
      </c>
      <c r="AT1506" s="33">
        <f>IF($AS1506="","",IF($F$6="",0,IF(ISNUMBER(INDEX($A:$AP,ROW(),$F$6)),INDEX($A:$AP,ROW(),$F$6),IFERROR(--SUBSTITUTE(SUBSTITUTE(TRIM(INDEX($A:$AP,ROW(),$F$6)),",",""),"원",""),0))))</f>
        <v/>
      </c>
      <c r="AU1506" s="31">
        <f>IF($AS1506="","",IF($AX1506&lt;&gt;"",SUBSTITUTE(SUBSTITUTE($AX1506,"-","")," ",""),"N:"&amp;$AV1506))</f>
        <v/>
      </c>
      <c r="AV1506" s="31">
        <f>IF(OR($AS1506="",$E$6=""),"",TRIM(INDEX($A:$AP,ROW(),$E$6)&amp;""))</f>
        <v/>
      </c>
      <c r="AW1506" s="31">
        <f>IF($AU1506="","",IF(MATCH($AU1506,$AU$8:$AU$2007,0)=ROW()-7,MAX($AW$7:$AW1505)+1,""))</f>
        <v/>
      </c>
      <c r="AX1506" s="31">
        <f>IF(OR($AS1506="",$D$6=""),"",TRIM(INDEX($A:$AP,ROW(),$D$6)&amp;""))</f>
        <v/>
      </c>
      <c r="AY1506" s="31">
        <f>IF($AU1506="","",INDEX($AW$8:$AW$2007,MATCH($AU1506,$AU$8:$AU$2007,0)))</f>
        <v/>
      </c>
      <c r="AZ1506" s="31">
        <f>IF(OR($AS1506="",$C$6=""),"",TRIM(INDEX($A:$AP,ROW(),$C$6)&amp;""))</f>
        <v/>
      </c>
      <c r="BA1506" s="31">
        <f>IF($AZ1506="","",IF(COUNTIF($AZ$8:$AZ1506,$AZ1506)&gt;1,1,0))</f>
        <v/>
      </c>
    </row>
    <row r="1507">
      <c r="AR1507" s="31">
        <f>IF(OR($A$5="",$B$6="",ROW()&lt;$A$5),"",IF(INDEX($A:$AP,ROW(),$B$6)="","",INDEX($A:$AP,ROW(),$B$6)))</f>
        <v/>
      </c>
      <c r="AS1507" s="32">
        <f>IF($AR1507="","",IF(ISNUMBER($AR1507),IF($AR1507&gt;=10000000,IFERROR(DATE(INT($AR1507/10000),MOD(INT($AR1507/100),100),MOD($AR1507,100)),""),INT($AR1507)),IFERROR(DATE(--LEFT(LEFT(SUBSTITUTE(SUBSTITUTE(SUBSTITUTE(SUBSTITUTE(TRIM($AR1507),"-",""),".",""),"/","")," ",""),8),4),--MID(LEFT(SUBSTITUTE(SUBSTITUTE(SUBSTITUTE(SUBSTITUTE(TRIM($AR1507),"-",""),".",""),"/","")," ",""),8),5,2),--MID(LEFT(SUBSTITUTE(SUBSTITUTE(SUBSTITUTE(SUBSTITUTE(TRIM($AR1507),"-",""),".",""),"/","")," ",""),8),7,2)),"")))</f>
        <v/>
      </c>
      <c r="AT1507" s="33">
        <f>IF($AS1507="","",IF($F$6="",0,IF(ISNUMBER(INDEX($A:$AP,ROW(),$F$6)),INDEX($A:$AP,ROW(),$F$6),IFERROR(--SUBSTITUTE(SUBSTITUTE(TRIM(INDEX($A:$AP,ROW(),$F$6)),",",""),"원",""),0))))</f>
        <v/>
      </c>
      <c r="AU1507" s="31">
        <f>IF($AS1507="","",IF($AX1507&lt;&gt;"",SUBSTITUTE(SUBSTITUTE($AX1507,"-","")," ",""),"N:"&amp;$AV1507))</f>
        <v/>
      </c>
      <c r="AV1507" s="31">
        <f>IF(OR($AS1507="",$E$6=""),"",TRIM(INDEX($A:$AP,ROW(),$E$6)&amp;""))</f>
        <v/>
      </c>
      <c r="AW1507" s="31">
        <f>IF($AU1507="","",IF(MATCH($AU1507,$AU$8:$AU$2007,0)=ROW()-7,MAX($AW$7:$AW1506)+1,""))</f>
        <v/>
      </c>
      <c r="AX1507" s="31">
        <f>IF(OR($AS1507="",$D$6=""),"",TRIM(INDEX($A:$AP,ROW(),$D$6)&amp;""))</f>
        <v/>
      </c>
      <c r="AY1507" s="31">
        <f>IF($AU1507="","",INDEX($AW$8:$AW$2007,MATCH($AU1507,$AU$8:$AU$2007,0)))</f>
        <v/>
      </c>
      <c r="AZ1507" s="31">
        <f>IF(OR($AS1507="",$C$6=""),"",TRIM(INDEX($A:$AP,ROW(),$C$6)&amp;""))</f>
        <v/>
      </c>
      <c r="BA1507" s="31">
        <f>IF($AZ1507="","",IF(COUNTIF($AZ$8:$AZ1507,$AZ1507)&gt;1,1,0))</f>
        <v/>
      </c>
    </row>
    <row r="1508">
      <c r="AR1508" s="31">
        <f>IF(OR($A$5="",$B$6="",ROW()&lt;$A$5),"",IF(INDEX($A:$AP,ROW(),$B$6)="","",INDEX($A:$AP,ROW(),$B$6)))</f>
        <v/>
      </c>
      <c r="AS1508" s="32">
        <f>IF($AR1508="","",IF(ISNUMBER($AR1508),IF($AR1508&gt;=10000000,IFERROR(DATE(INT($AR1508/10000),MOD(INT($AR1508/100),100),MOD($AR1508,100)),""),INT($AR1508)),IFERROR(DATE(--LEFT(LEFT(SUBSTITUTE(SUBSTITUTE(SUBSTITUTE(SUBSTITUTE(TRIM($AR1508),"-",""),".",""),"/","")," ",""),8),4),--MID(LEFT(SUBSTITUTE(SUBSTITUTE(SUBSTITUTE(SUBSTITUTE(TRIM($AR1508),"-",""),".",""),"/","")," ",""),8),5,2),--MID(LEFT(SUBSTITUTE(SUBSTITUTE(SUBSTITUTE(SUBSTITUTE(TRIM($AR1508),"-",""),".",""),"/","")," ",""),8),7,2)),"")))</f>
        <v/>
      </c>
      <c r="AT1508" s="33">
        <f>IF($AS1508="","",IF($F$6="",0,IF(ISNUMBER(INDEX($A:$AP,ROW(),$F$6)),INDEX($A:$AP,ROW(),$F$6),IFERROR(--SUBSTITUTE(SUBSTITUTE(TRIM(INDEX($A:$AP,ROW(),$F$6)),",",""),"원",""),0))))</f>
        <v/>
      </c>
      <c r="AU1508" s="31">
        <f>IF($AS1508="","",IF($AX1508&lt;&gt;"",SUBSTITUTE(SUBSTITUTE($AX1508,"-","")," ",""),"N:"&amp;$AV1508))</f>
        <v/>
      </c>
      <c r="AV1508" s="31">
        <f>IF(OR($AS1508="",$E$6=""),"",TRIM(INDEX($A:$AP,ROW(),$E$6)&amp;""))</f>
        <v/>
      </c>
      <c r="AW1508" s="31">
        <f>IF($AU1508="","",IF(MATCH($AU1508,$AU$8:$AU$2007,0)=ROW()-7,MAX($AW$7:$AW1507)+1,""))</f>
        <v/>
      </c>
      <c r="AX1508" s="31">
        <f>IF(OR($AS1508="",$D$6=""),"",TRIM(INDEX($A:$AP,ROW(),$D$6)&amp;""))</f>
        <v/>
      </c>
      <c r="AY1508" s="31">
        <f>IF($AU1508="","",INDEX($AW$8:$AW$2007,MATCH($AU1508,$AU$8:$AU$2007,0)))</f>
        <v/>
      </c>
      <c r="AZ1508" s="31">
        <f>IF(OR($AS1508="",$C$6=""),"",TRIM(INDEX($A:$AP,ROW(),$C$6)&amp;""))</f>
        <v/>
      </c>
      <c r="BA1508" s="31">
        <f>IF($AZ1508="","",IF(COUNTIF($AZ$8:$AZ1508,$AZ1508)&gt;1,1,0))</f>
        <v/>
      </c>
    </row>
    <row r="1509">
      <c r="AR1509" s="31">
        <f>IF(OR($A$5="",$B$6="",ROW()&lt;$A$5),"",IF(INDEX($A:$AP,ROW(),$B$6)="","",INDEX($A:$AP,ROW(),$B$6)))</f>
        <v/>
      </c>
      <c r="AS1509" s="32">
        <f>IF($AR1509="","",IF(ISNUMBER($AR1509),IF($AR1509&gt;=10000000,IFERROR(DATE(INT($AR1509/10000),MOD(INT($AR1509/100),100),MOD($AR1509,100)),""),INT($AR1509)),IFERROR(DATE(--LEFT(LEFT(SUBSTITUTE(SUBSTITUTE(SUBSTITUTE(SUBSTITUTE(TRIM($AR1509),"-",""),".",""),"/","")," ",""),8),4),--MID(LEFT(SUBSTITUTE(SUBSTITUTE(SUBSTITUTE(SUBSTITUTE(TRIM($AR1509),"-",""),".",""),"/","")," ",""),8),5,2),--MID(LEFT(SUBSTITUTE(SUBSTITUTE(SUBSTITUTE(SUBSTITUTE(TRIM($AR1509),"-",""),".",""),"/","")," ",""),8),7,2)),"")))</f>
        <v/>
      </c>
      <c r="AT1509" s="33">
        <f>IF($AS1509="","",IF($F$6="",0,IF(ISNUMBER(INDEX($A:$AP,ROW(),$F$6)),INDEX($A:$AP,ROW(),$F$6),IFERROR(--SUBSTITUTE(SUBSTITUTE(TRIM(INDEX($A:$AP,ROW(),$F$6)),",",""),"원",""),0))))</f>
        <v/>
      </c>
      <c r="AU1509" s="31">
        <f>IF($AS1509="","",IF($AX1509&lt;&gt;"",SUBSTITUTE(SUBSTITUTE($AX1509,"-","")," ",""),"N:"&amp;$AV1509))</f>
        <v/>
      </c>
      <c r="AV1509" s="31">
        <f>IF(OR($AS1509="",$E$6=""),"",TRIM(INDEX($A:$AP,ROW(),$E$6)&amp;""))</f>
        <v/>
      </c>
      <c r="AW1509" s="31">
        <f>IF($AU1509="","",IF(MATCH($AU1509,$AU$8:$AU$2007,0)=ROW()-7,MAX($AW$7:$AW1508)+1,""))</f>
        <v/>
      </c>
      <c r="AX1509" s="31">
        <f>IF(OR($AS1509="",$D$6=""),"",TRIM(INDEX($A:$AP,ROW(),$D$6)&amp;""))</f>
        <v/>
      </c>
      <c r="AY1509" s="31">
        <f>IF($AU1509="","",INDEX($AW$8:$AW$2007,MATCH($AU1509,$AU$8:$AU$2007,0)))</f>
        <v/>
      </c>
      <c r="AZ1509" s="31">
        <f>IF(OR($AS1509="",$C$6=""),"",TRIM(INDEX($A:$AP,ROW(),$C$6)&amp;""))</f>
        <v/>
      </c>
      <c r="BA1509" s="31">
        <f>IF($AZ1509="","",IF(COUNTIF($AZ$8:$AZ1509,$AZ1509)&gt;1,1,0))</f>
        <v/>
      </c>
    </row>
    <row r="1510">
      <c r="AR1510" s="31">
        <f>IF(OR($A$5="",$B$6="",ROW()&lt;$A$5),"",IF(INDEX($A:$AP,ROW(),$B$6)="","",INDEX($A:$AP,ROW(),$B$6)))</f>
        <v/>
      </c>
      <c r="AS1510" s="32">
        <f>IF($AR1510="","",IF(ISNUMBER($AR1510),IF($AR1510&gt;=10000000,IFERROR(DATE(INT($AR1510/10000),MOD(INT($AR1510/100),100),MOD($AR1510,100)),""),INT($AR1510)),IFERROR(DATE(--LEFT(LEFT(SUBSTITUTE(SUBSTITUTE(SUBSTITUTE(SUBSTITUTE(TRIM($AR1510),"-",""),".",""),"/","")," ",""),8),4),--MID(LEFT(SUBSTITUTE(SUBSTITUTE(SUBSTITUTE(SUBSTITUTE(TRIM($AR1510),"-",""),".",""),"/","")," ",""),8),5,2),--MID(LEFT(SUBSTITUTE(SUBSTITUTE(SUBSTITUTE(SUBSTITUTE(TRIM($AR1510),"-",""),".",""),"/","")," ",""),8),7,2)),"")))</f>
        <v/>
      </c>
      <c r="AT1510" s="33">
        <f>IF($AS1510="","",IF($F$6="",0,IF(ISNUMBER(INDEX($A:$AP,ROW(),$F$6)),INDEX($A:$AP,ROW(),$F$6),IFERROR(--SUBSTITUTE(SUBSTITUTE(TRIM(INDEX($A:$AP,ROW(),$F$6)),",",""),"원",""),0))))</f>
        <v/>
      </c>
      <c r="AU1510" s="31">
        <f>IF($AS1510="","",IF($AX1510&lt;&gt;"",SUBSTITUTE(SUBSTITUTE($AX1510,"-","")," ",""),"N:"&amp;$AV1510))</f>
        <v/>
      </c>
      <c r="AV1510" s="31">
        <f>IF(OR($AS1510="",$E$6=""),"",TRIM(INDEX($A:$AP,ROW(),$E$6)&amp;""))</f>
        <v/>
      </c>
      <c r="AW1510" s="31">
        <f>IF($AU1510="","",IF(MATCH($AU1510,$AU$8:$AU$2007,0)=ROW()-7,MAX($AW$7:$AW1509)+1,""))</f>
        <v/>
      </c>
      <c r="AX1510" s="31">
        <f>IF(OR($AS1510="",$D$6=""),"",TRIM(INDEX($A:$AP,ROW(),$D$6)&amp;""))</f>
        <v/>
      </c>
      <c r="AY1510" s="31">
        <f>IF($AU1510="","",INDEX($AW$8:$AW$2007,MATCH($AU1510,$AU$8:$AU$2007,0)))</f>
        <v/>
      </c>
      <c r="AZ1510" s="31">
        <f>IF(OR($AS1510="",$C$6=""),"",TRIM(INDEX($A:$AP,ROW(),$C$6)&amp;""))</f>
        <v/>
      </c>
      <c r="BA1510" s="31">
        <f>IF($AZ1510="","",IF(COUNTIF($AZ$8:$AZ1510,$AZ1510)&gt;1,1,0))</f>
        <v/>
      </c>
    </row>
    <row r="1511">
      <c r="AR1511" s="31">
        <f>IF(OR($A$5="",$B$6="",ROW()&lt;$A$5),"",IF(INDEX($A:$AP,ROW(),$B$6)="","",INDEX($A:$AP,ROW(),$B$6)))</f>
        <v/>
      </c>
      <c r="AS1511" s="32">
        <f>IF($AR1511="","",IF(ISNUMBER($AR1511),IF($AR1511&gt;=10000000,IFERROR(DATE(INT($AR1511/10000),MOD(INT($AR1511/100),100),MOD($AR1511,100)),""),INT($AR1511)),IFERROR(DATE(--LEFT(LEFT(SUBSTITUTE(SUBSTITUTE(SUBSTITUTE(SUBSTITUTE(TRIM($AR1511),"-",""),".",""),"/","")," ",""),8),4),--MID(LEFT(SUBSTITUTE(SUBSTITUTE(SUBSTITUTE(SUBSTITUTE(TRIM($AR1511),"-",""),".",""),"/","")," ",""),8),5,2),--MID(LEFT(SUBSTITUTE(SUBSTITUTE(SUBSTITUTE(SUBSTITUTE(TRIM($AR1511),"-",""),".",""),"/","")," ",""),8),7,2)),"")))</f>
        <v/>
      </c>
      <c r="AT1511" s="33">
        <f>IF($AS1511="","",IF($F$6="",0,IF(ISNUMBER(INDEX($A:$AP,ROW(),$F$6)),INDEX($A:$AP,ROW(),$F$6),IFERROR(--SUBSTITUTE(SUBSTITUTE(TRIM(INDEX($A:$AP,ROW(),$F$6)),",",""),"원",""),0))))</f>
        <v/>
      </c>
      <c r="AU1511" s="31">
        <f>IF($AS1511="","",IF($AX1511&lt;&gt;"",SUBSTITUTE(SUBSTITUTE($AX1511,"-","")," ",""),"N:"&amp;$AV1511))</f>
        <v/>
      </c>
      <c r="AV1511" s="31">
        <f>IF(OR($AS1511="",$E$6=""),"",TRIM(INDEX($A:$AP,ROW(),$E$6)&amp;""))</f>
        <v/>
      </c>
      <c r="AW1511" s="31">
        <f>IF($AU1511="","",IF(MATCH($AU1511,$AU$8:$AU$2007,0)=ROW()-7,MAX($AW$7:$AW1510)+1,""))</f>
        <v/>
      </c>
      <c r="AX1511" s="31">
        <f>IF(OR($AS1511="",$D$6=""),"",TRIM(INDEX($A:$AP,ROW(),$D$6)&amp;""))</f>
        <v/>
      </c>
      <c r="AY1511" s="31">
        <f>IF($AU1511="","",INDEX($AW$8:$AW$2007,MATCH($AU1511,$AU$8:$AU$2007,0)))</f>
        <v/>
      </c>
      <c r="AZ1511" s="31">
        <f>IF(OR($AS1511="",$C$6=""),"",TRIM(INDEX($A:$AP,ROW(),$C$6)&amp;""))</f>
        <v/>
      </c>
      <c r="BA1511" s="31">
        <f>IF($AZ1511="","",IF(COUNTIF($AZ$8:$AZ1511,$AZ1511)&gt;1,1,0))</f>
        <v/>
      </c>
    </row>
    <row r="1512">
      <c r="AR1512" s="31">
        <f>IF(OR($A$5="",$B$6="",ROW()&lt;$A$5),"",IF(INDEX($A:$AP,ROW(),$B$6)="","",INDEX($A:$AP,ROW(),$B$6)))</f>
        <v/>
      </c>
      <c r="AS1512" s="32">
        <f>IF($AR1512="","",IF(ISNUMBER($AR1512),IF($AR1512&gt;=10000000,IFERROR(DATE(INT($AR1512/10000),MOD(INT($AR1512/100),100),MOD($AR1512,100)),""),INT($AR1512)),IFERROR(DATE(--LEFT(LEFT(SUBSTITUTE(SUBSTITUTE(SUBSTITUTE(SUBSTITUTE(TRIM($AR1512),"-",""),".",""),"/","")," ",""),8),4),--MID(LEFT(SUBSTITUTE(SUBSTITUTE(SUBSTITUTE(SUBSTITUTE(TRIM($AR1512),"-",""),".",""),"/","")," ",""),8),5,2),--MID(LEFT(SUBSTITUTE(SUBSTITUTE(SUBSTITUTE(SUBSTITUTE(TRIM($AR1512),"-",""),".",""),"/","")," ",""),8),7,2)),"")))</f>
        <v/>
      </c>
      <c r="AT1512" s="33">
        <f>IF($AS1512="","",IF($F$6="",0,IF(ISNUMBER(INDEX($A:$AP,ROW(),$F$6)),INDEX($A:$AP,ROW(),$F$6),IFERROR(--SUBSTITUTE(SUBSTITUTE(TRIM(INDEX($A:$AP,ROW(),$F$6)),",",""),"원",""),0))))</f>
        <v/>
      </c>
      <c r="AU1512" s="31">
        <f>IF($AS1512="","",IF($AX1512&lt;&gt;"",SUBSTITUTE(SUBSTITUTE($AX1512,"-","")," ",""),"N:"&amp;$AV1512))</f>
        <v/>
      </c>
      <c r="AV1512" s="31">
        <f>IF(OR($AS1512="",$E$6=""),"",TRIM(INDEX($A:$AP,ROW(),$E$6)&amp;""))</f>
        <v/>
      </c>
      <c r="AW1512" s="31">
        <f>IF($AU1512="","",IF(MATCH($AU1512,$AU$8:$AU$2007,0)=ROW()-7,MAX($AW$7:$AW1511)+1,""))</f>
        <v/>
      </c>
      <c r="AX1512" s="31">
        <f>IF(OR($AS1512="",$D$6=""),"",TRIM(INDEX($A:$AP,ROW(),$D$6)&amp;""))</f>
        <v/>
      </c>
      <c r="AY1512" s="31">
        <f>IF($AU1512="","",INDEX($AW$8:$AW$2007,MATCH($AU1512,$AU$8:$AU$2007,0)))</f>
        <v/>
      </c>
      <c r="AZ1512" s="31">
        <f>IF(OR($AS1512="",$C$6=""),"",TRIM(INDEX($A:$AP,ROW(),$C$6)&amp;""))</f>
        <v/>
      </c>
      <c r="BA1512" s="31">
        <f>IF($AZ1512="","",IF(COUNTIF($AZ$8:$AZ1512,$AZ1512)&gt;1,1,0))</f>
        <v/>
      </c>
    </row>
    <row r="1513">
      <c r="AR1513" s="31">
        <f>IF(OR($A$5="",$B$6="",ROW()&lt;$A$5),"",IF(INDEX($A:$AP,ROW(),$B$6)="","",INDEX($A:$AP,ROW(),$B$6)))</f>
        <v/>
      </c>
      <c r="AS1513" s="32">
        <f>IF($AR1513="","",IF(ISNUMBER($AR1513),IF($AR1513&gt;=10000000,IFERROR(DATE(INT($AR1513/10000),MOD(INT($AR1513/100),100),MOD($AR1513,100)),""),INT($AR1513)),IFERROR(DATE(--LEFT(LEFT(SUBSTITUTE(SUBSTITUTE(SUBSTITUTE(SUBSTITUTE(TRIM($AR1513),"-",""),".",""),"/","")," ",""),8),4),--MID(LEFT(SUBSTITUTE(SUBSTITUTE(SUBSTITUTE(SUBSTITUTE(TRIM($AR1513),"-",""),".",""),"/","")," ",""),8),5,2),--MID(LEFT(SUBSTITUTE(SUBSTITUTE(SUBSTITUTE(SUBSTITUTE(TRIM($AR1513),"-",""),".",""),"/","")," ",""),8),7,2)),"")))</f>
        <v/>
      </c>
      <c r="AT1513" s="33">
        <f>IF($AS1513="","",IF($F$6="",0,IF(ISNUMBER(INDEX($A:$AP,ROW(),$F$6)),INDEX($A:$AP,ROW(),$F$6),IFERROR(--SUBSTITUTE(SUBSTITUTE(TRIM(INDEX($A:$AP,ROW(),$F$6)),",",""),"원",""),0))))</f>
        <v/>
      </c>
      <c r="AU1513" s="31">
        <f>IF($AS1513="","",IF($AX1513&lt;&gt;"",SUBSTITUTE(SUBSTITUTE($AX1513,"-","")," ",""),"N:"&amp;$AV1513))</f>
        <v/>
      </c>
      <c r="AV1513" s="31">
        <f>IF(OR($AS1513="",$E$6=""),"",TRIM(INDEX($A:$AP,ROW(),$E$6)&amp;""))</f>
        <v/>
      </c>
      <c r="AW1513" s="31">
        <f>IF($AU1513="","",IF(MATCH($AU1513,$AU$8:$AU$2007,0)=ROW()-7,MAX($AW$7:$AW1512)+1,""))</f>
        <v/>
      </c>
      <c r="AX1513" s="31">
        <f>IF(OR($AS1513="",$D$6=""),"",TRIM(INDEX($A:$AP,ROW(),$D$6)&amp;""))</f>
        <v/>
      </c>
      <c r="AY1513" s="31">
        <f>IF($AU1513="","",INDEX($AW$8:$AW$2007,MATCH($AU1513,$AU$8:$AU$2007,0)))</f>
        <v/>
      </c>
      <c r="AZ1513" s="31">
        <f>IF(OR($AS1513="",$C$6=""),"",TRIM(INDEX($A:$AP,ROW(),$C$6)&amp;""))</f>
        <v/>
      </c>
      <c r="BA1513" s="31">
        <f>IF($AZ1513="","",IF(COUNTIF($AZ$8:$AZ1513,$AZ1513)&gt;1,1,0))</f>
        <v/>
      </c>
    </row>
    <row r="1514">
      <c r="AR1514" s="31">
        <f>IF(OR($A$5="",$B$6="",ROW()&lt;$A$5),"",IF(INDEX($A:$AP,ROW(),$B$6)="","",INDEX($A:$AP,ROW(),$B$6)))</f>
        <v/>
      </c>
      <c r="AS1514" s="32">
        <f>IF($AR1514="","",IF(ISNUMBER($AR1514),IF($AR1514&gt;=10000000,IFERROR(DATE(INT($AR1514/10000),MOD(INT($AR1514/100),100),MOD($AR1514,100)),""),INT($AR1514)),IFERROR(DATE(--LEFT(LEFT(SUBSTITUTE(SUBSTITUTE(SUBSTITUTE(SUBSTITUTE(TRIM($AR1514),"-",""),".",""),"/","")," ",""),8),4),--MID(LEFT(SUBSTITUTE(SUBSTITUTE(SUBSTITUTE(SUBSTITUTE(TRIM($AR1514),"-",""),".",""),"/","")," ",""),8),5,2),--MID(LEFT(SUBSTITUTE(SUBSTITUTE(SUBSTITUTE(SUBSTITUTE(TRIM($AR1514),"-",""),".",""),"/","")," ",""),8),7,2)),"")))</f>
        <v/>
      </c>
      <c r="AT1514" s="33">
        <f>IF($AS1514="","",IF($F$6="",0,IF(ISNUMBER(INDEX($A:$AP,ROW(),$F$6)),INDEX($A:$AP,ROW(),$F$6),IFERROR(--SUBSTITUTE(SUBSTITUTE(TRIM(INDEX($A:$AP,ROW(),$F$6)),",",""),"원",""),0))))</f>
        <v/>
      </c>
      <c r="AU1514" s="31">
        <f>IF($AS1514="","",IF($AX1514&lt;&gt;"",SUBSTITUTE(SUBSTITUTE($AX1514,"-","")," ",""),"N:"&amp;$AV1514))</f>
        <v/>
      </c>
      <c r="AV1514" s="31">
        <f>IF(OR($AS1514="",$E$6=""),"",TRIM(INDEX($A:$AP,ROW(),$E$6)&amp;""))</f>
        <v/>
      </c>
      <c r="AW1514" s="31">
        <f>IF($AU1514="","",IF(MATCH($AU1514,$AU$8:$AU$2007,0)=ROW()-7,MAX($AW$7:$AW1513)+1,""))</f>
        <v/>
      </c>
      <c r="AX1514" s="31">
        <f>IF(OR($AS1514="",$D$6=""),"",TRIM(INDEX($A:$AP,ROW(),$D$6)&amp;""))</f>
        <v/>
      </c>
      <c r="AY1514" s="31">
        <f>IF($AU1514="","",INDEX($AW$8:$AW$2007,MATCH($AU1514,$AU$8:$AU$2007,0)))</f>
        <v/>
      </c>
      <c r="AZ1514" s="31">
        <f>IF(OR($AS1514="",$C$6=""),"",TRIM(INDEX($A:$AP,ROW(),$C$6)&amp;""))</f>
        <v/>
      </c>
      <c r="BA1514" s="31">
        <f>IF($AZ1514="","",IF(COUNTIF($AZ$8:$AZ1514,$AZ1514)&gt;1,1,0))</f>
        <v/>
      </c>
    </row>
    <row r="1515">
      <c r="AR1515" s="31">
        <f>IF(OR($A$5="",$B$6="",ROW()&lt;$A$5),"",IF(INDEX($A:$AP,ROW(),$B$6)="","",INDEX($A:$AP,ROW(),$B$6)))</f>
        <v/>
      </c>
      <c r="AS1515" s="32">
        <f>IF($AR1515="","",IF(ISNUMBER($AR1515),IF($AR1515&gt;=10000000,IFERROR(DATE(INT($AR1515/10000),MOD(INT($AR1515/100),100),MOD($AR1515,100)),""),INT($AR1515)),IFERROR(DATE(--LEFT(LEFT(SUBSTITUTE(SUBSTITUTE(SUBSTITUTE(SUBSTITUTE(TRIM($AR1515),"-",""),".",""),"/","")," ",""),8),4),--MID(LEFT(SUBSTITUTE(SUBSTITUTE(SUBSTITUTE(SUBSTITUTE(TRIM($AR1515),"-",""),".",""),"/","")," ",""),8),5,2),--MID(LEFT(SUBSTITUTE(SUBSTITUTE(SUBSTITUTE(SUBSTITUTE(TRIM($AR1515),"-",""),".",""),"/","")," ",""),8),7,2)),"")))</f>
        <v/>
      </c>
      <c r="AT1515" s="33">
        <f>IF($AS1515="","",IF($F$6="",0,IF(ISNUMBER(INDEX($A:$AP,ROW(),$F$6)),INDEX($A:$AP,ROW(),$F$6),IFERROR(--SUBSTITUTE(SUBSTITUTE(TRIM(INDEX($A:$AP,ROW(),$F$6)),",",""),"원",""),0))))</f>
        <v/>
      </c>
      <c r="AU1515" s="31">
        <f>IF($AS1515="","",IF($AX1515&lt;&gt;"",SUBSTITUTE(SUBSTITUTE($AX1515,"-","")," ",""),"N:"&amp;$AV1515))</f>
        <v/>
      </c>
      <c r="AV1515" s="31">
        <f>IF(OR($AS1515="",$E$6=""),"",TRIM(INDEX($A:$AP,ROW(),$E$6)&amp;""))</f>
        <v/>
      </c>
      <c r="AW1515" s="31">
        <f>IF($AU1515="","",IF(MATCH($AU1515,$AU$8:$AU$2007,0)=ROW()-7,MAX($AW$7:$AW1514)+1,""))</f>
        <v/>
      </c>
      <c r="AX1515" s="31">
        <f>IF(OR($AS1515="",$D$6=""),"",TRIM(INDEX($A:$AP,ROW(),$D$6)&amp;""))</f>
        <v/>
      </c>
      <c r="AY1515" s="31">
        <f>IF($AU1515="","",INDEX($AW$8:$AW$2007,MATCH($AU1515,$AU$8:$AU$2007,0)))</f>
        <v/>
      </c>
      <c r="AZ1515" s="31">
        <f>IF(OR($AS1515="",$C$6=""),"",TRIM(INDEX($A:$AP,ROW(),$C$6)&amp;""))</f>
        <v/>
      </c>
      <c r="BA1515" s="31">
        <f>IF($AZ1515="","",IF(COUNTIF($AZ$8:$AZ1515,$AZ1515)&gt;1,1,0))</f>
        <v/>
      </c>
    </row>
    <row r="1516">
      <c r="AR1516" s="31">
        <f>IF(OR($A$5="",$B$6="",ROW()&lt;$A$5),"",IF(INDEX($A:$AP,ROW(),$B$6)="","",INDEX($A:$AP,ROW(),$B$6)))</f>
        <v/>
      </c>
      <c r="AS1516" s="32">
        <f>IF($AR1516="","",IF(ISNUMBER($AR1516),IF($AR1516&gt;=10000000,IFERROR(DATE(INT($AR1516/10000),MOD(INT($AR1516/100),100),MOD($AR1516,100)),""),INT($AR1516)),IFERROR(DATE(--LEFT(LEFT(SUBSTITUTE(SUBSTITUTE(SUBSTITUTE(SUBSTITUTE(TRIM($AR1516),"-",""),".",""),"/","")," ",""),8),4),--MID(LEFT(SUBSTITUTE(SUBSTITUTE(SUBSTITUTE(SUBSTITUTE(TRIM($AR1516),"-",""),".",""),"/","")," ",""),8),5,2),--MID(LEFT(SUBSTITUTE(SUBSTITUTE(SUBSTITUTE(SUBSTITUTE(TRIM($AR1516),"-",""),".",""),"/","")," ",""),8),7,2)),"")))</f>
        <v/>
      </c>
      <c r="AT1516" s="33">
        <f>IF($AS1516="","",IF($F$6="",0,IF(ISNUMBER(INDEX($A:$AP,ROW(),$F$6)),INDEX($A:$AP,ROW(),$F$6),IFERROR(--SUBSTITUTE(SUBSTITUTE(TRIM(INDEX($A:$AP,ROW(),$F$6)),",",""),"원",""),0))))</f>
        <v/>
      </c>
      <c r="AU1516" s="31">
        <f>IF($AS1516="","",IF($AX1516&lt;&gt;"",SUBSTITUTE(SUBSTITUTE($AX1516,"-","")," ",""),"N:"&amp;$AV1516))</f>
        <v/>
      </c>
      <c r="AV1516" s="31">
        <f>IF(OR($AS1516="",$E$6=""),"",TRIM(INDEX($A:$AP,ROW(),$E$6)&amp;""))</f>
        <v/>
      </c>
      <c r="AW1516" s="31">
        <f>IF($AU1516="","",IF(MATCH($AU1516,$AU$8:$AU$2007,0)=ROW()-7,MAX($AW$7:$AW1515)+1,""))</f>
        <v/>
      </c>
      <c r="AX1516" s="31">
        <f>IF(OR($AS1516="",$D$6=""),"",TRIM(INDEX($A:$AP,ROW(),$D$6)&amp;""))</f>
        <v/>
      </c>
      <c r="AY1516" s="31">
        <f>IF($AU1516="","",INDEX($AW$8:$AW$2007,MATCH($AU1516,$AU$8:$AU$2007,0)))</f>
        <v/>
      </c>
      <c r="AZ1516" s="31">
        <f>IF(OR($AS1516="",$C$6=""),"",TRIM(INDEX($A:$AP,ROW(),$C$6)&amp;""))</f>
        <v/>
      </c>
      <c r="BA1516" s="31">
        <f>IF($AZ1516="","",IF(COUNTIF($AZ$8:$AZ1516,$AZ1516)&gt;1,1,0))</f>
        <v/>
      </c>
    </row>
    <row r="1517">
      <c r="AR1517" s="31">
        <f>IF(OR($A$5="",$B$6="",ROW()&lt;$A$5),"",IF(INDEX($A:$AP,ROW(),$B$6)="","",INDEX($A:$AP,ROW(),$B$6)))</f>
        <v/>
      </c>
      <c r="AS1517" s="32">
        <f>IF($AR1517="","",IF(ISNUMBER($AR1517),IF($AR1517&gt;=10000000,IFERROR(DATE(INT($AR1517/10000),MOD(INT($AR1517/100),100),MOD($AR1517,100)),""),INT($AR1517)),IFERROR(DATE(--LEFT(LEFT(SUBSTITUTE(SUBSTITUTE(SUBSTITUTE(SUBSTITUTE(TRIM($AR1517),"-",""),".",""),"/","")," ",""),8),4),--MID(LEFT(SUBSTITUTE(SUBSTITUTE(SUBSTITUTE(SUBSTITUTE(TRIM($AR1517),"-",""),".",""),"/","")," ",""),8),5,2),--MID(LEFT(SUBSTITUTE(SUBSTITUTE(SUBSTITUTE(SUBSTITUTE(TRIM($AR1517),"-",""),".",""),"/","")," ",""),8),7,2)),"")))</f>
        <v/>
      </c>
      <c r="AT1517" s="33">
        <f>IF($AS1517="","",IF($F$6="",0,IF(ISNUMBER(INDEX($A:$AP,ROW(),$F$6)),INDEX($A:$AP,ROW(),$F$6),IFERROR(--SUBSTITUTE(SUBSTITUTE(TRIM(INDEX($A:$AP,ROW(),$F$6)),",",""),"원",""),0))))</f>
        <v/>
      </c>
      <c r="AU1517" s="31">
        <f>IF($AS1517="","",IF($AX1517&lt;&gt;"",SUBSTITUTE(SUBSTITUTE($AX1517,"-","")," ",""),"N:"&amp;$AV1517))</f>
        <v/>
      </c>
      <c r="AV1517" s="31">
        <f>IF(OR($AS1517="",$E$6=""),"",TRIM(INDEX($A:$AP,ROW(),$E$6)&amp;""))</f>
        <v/>
      </c>
      <c r="AW1517" s="31">
        <f>IF($AU1517="","",IF(MATCH($AU1517,$AU$8:$AU$2007,0)=ROW()-7,MAX($AW$7:$AW1516)+1,""))</f>
        <v/>
      </c>
      <c r="AX1517" s="31">
        <f>IF(OR($AS1517="",$D$6=""),"",TRIM(INDEX($A:$AP,ROW(),$D$6)&amp;""))</f>
        <v/>
      </c>
      <c r="AY1517" s="31">
        <f>IF($AU1517="","",INDEX($AW$8:$AW$2007,MATCH($AU1517,$AU$8:$AU$2007,0)))</f>
        <v/>
      </c>
      <c r="AZ1517" s="31">
        <f>IF(OR($AS1517="",$C$6=""),"",TRIM(INDEX($A:$AP,ROW(),$C$6)&amp;""))</f>
        <v/>
      </c>
      <c r="BA1517" s="31">
        <f>IF($AZ1517="","",IF(COUNTIF($AZ$8:$AZ1517,$AZ1517)&gt;1,1,0))</f>
        <v/>
      </c>
    </row>
    <row r="1518">
      <c r="AR1518" s="31">
        <f>IF(OR($A$5="",$B$6="",ROW()&lt;$A$5),"",IF(INDEX($A:$AP,ROW(),$B$6)="","",INDEX($A:$AP,ROW(),$B$6)))</f>
        <v/>
      </c>
      <c r="AS1518" s="32">
        <f>IF($AR1518="","",IF(ISNUMBER($AR1518),IF($AR1518&gt;=10000000,IFERROR(DATE(INT($AR1518/10000),MOD(INT($AR1518/100),100),MOD($AR1518,100)),""),INT($AR1518)),IFERROR(DATE(--LEFT(LEFT(SUBSTITUTE(SUBSTITUTE(SUBSTITUTE(SUBSTITUTE(TRIM($AR1518),"-",""),".",""),"/","")," ",""),8),4),--MID(LEFT(SUBSTITUTE(SUBSTITUTE(SUBSTITUTE(SUBSTITUTE(TRIM($AR1518),"-",""),".",""),"/","")," ",""),8),5,2),--MID(LEFT(SUBSTITUTE(SUBSTITUTE(SUBSTITUTE(SUBSTITUTE(TRIM($AR1518),"-",""),".",""),"/","")," ",""),8),7,2)),"")))</f>
        <v/>
      </c>
      <c r="AT1518" s="33">
        <f>IF($AS1518="","",IF($F$6="",0,IF(ISNUMBER(INDEX($A:$AP,ROW(),$F$6)),INDEX($A:$AP,ROW(),$F$6),IFERROR(--SUBSTITUTE(SUBSTITUTE(TRIM(INDEX($A:$AP,ROW(),$F$6)),",",""),"원",""),0))))</f>
        <v/>
      </c>
      <c r="AU1518" s="31">
        <f>IF($AS1518="","",IF($AX1518&lt;&gt;"",SUBSTITUTE(SUBSTITUTE($AX1518,"-","")," ",""),"N:"&amp;$AV1518))</f>
        <v/>
      </c>
      <c r="AV1518" s="31">
        <f>IF(OR($AS1518="",$E$6=""),"",TRIM(INDEX($A:$AP,ROW(),$E$6)&amp;""))</f>
        <v/>
      </c>
      <c r="AW1518" s="31">
        <f>IF($AU1518="","",IF(MATCH($AU1518,$AU$8:$AU$2007,0)=ROW()-7,MAX($AW$7:$AW1517)+1,""))</f>
        <v/>
      </c>
      <c r="AX1518" s="31">
        <f>IF(OR($AS1518="",$D$6=""),"",TRIM(INDEX($A:$AP,ROW(),$D$6)&amp;""))</f>
        <v/>
      </c>
      <c r="AY1518" s="31">
        <f>IF($AU1518="","",INDEX($AW$8:$AW$2007,MATCH($AU1518,$AU$8:$AU$2007,0)))</f>
        <v/>
      </c>
      <c r="AZ1518" s="31">
        <f>IF(OR($AS1518="",$C$6=""),"",TRIM(INDEX($A:$AP,ROW(),$C$6)&amp;""))</f>
        <v/>
      </c>
      <c r="BA1518" s="31">
        <f>IF($AZ1518="","",IF(COUNTIF($AZ$8:$AZ1518,$AZ1518)&gt;1,1,0))</f>
        <v/>
      </c>
    </row>
    <row r="1519">
      <c r="AR1519" s="31">
        <f>IF(OR($A$5="",$B$6="",ROW()&lt;$A$5),"",IF(INDEX($A:$AP,ROW(),$B$6)="","",INDEX($A:$AP,ROW(),$B$6)))</f>
        <v/>
      </c>
      <c r="AS1519" s="32">
        <f>IF($AR1519="","",IF(ISNUMBER($AR1519),IF($AR1519&gt;=10000000,IFERROR(DATE(INT($AR1519/10000),MOD(INT($AR1519/100),100),MOD($AR1519,100)),""),INT($AR1519)),IFERROR(DATE(--LEFT(LEFT(SUBSTITUTE(SUBSTITUTE(SUBSTITUTE(SUBSTITUTE(TRIM($AR1519),"-",""),".",""),"/","")," ",""),8),4),--MID(LEFT(SUBSTITUTE(SUBSTITUTE(SUBSTITUTE(SUBSTITUTE(TRIM($AR1519),"-",""),".",""),"/","")," ",""),8),5,2),--MID(LEFT(SUBSTITUTE(SUBSTITUTE(SUBSTITUTE(SUBSTITUTE(TRIM($AR1519),"-",""),".",""),"/","")," ",""),8),7,2)),"")))</f>
        <v/>
      </c>
      <c r="AT1519" s="33">
        <f>IF($AS1519="","",IF($F$6="",0,IF(ISNUMBER(INDEX($A:$AP,ROW(),$F$6)),INDEX($A:$AP,ROW(),$F$6),IFERROR(--SUBSTITUTE(SUBSTITUTE(TRIM(INDEX($A:$AP,ROW(),$F$6)),",",""),"원",""),0))))</f>
        <v/>
      </c>
      <c r="AU1519" s="31">
        <f>IF($AS1519="","",IF($AX1519&lt;&gt;"",SUBSTITUTE(SUBSTITUTE($AX1519,"-","")," ",""),"N:"&amp;$AV1519))</f>
        <v/>
      </c>
      <c r="AV1519" s="31">
        <f>IF(OR($AS1519="",$E$6=""),"",TRIM(INDEX($A:$AP,ROW(),$E$6)&amp;""))</f>
        <v/>
      </c>
      <c r="AW1519" s="31">
        <f>IF($AU1519="","",IF(MATCH($AU1519,$AU$8:$AU$2007,0)=ROW()-7,MAX($AW$7:$AW1518)+1,""))</f>
        <v/>
      </c>
      <c r="AX1519" s="31">
        <f>IF(OR($AS1519="",$D$6=""),"",TRIM(INDEX($A:$AP,ROW(),$D$6)&amp;""))</f>
        <v/>
      </c>
      <c r="AY1519" s="31">
        <f>IF($AU1519="","",INDEX($AW$8:$AW$2007,MATCH($AU1519,$AU$8:$AU$2007,0)))</f>
        <v/>
      </c>
      <c r="AZ1519" s="31">
        <f>IF(OR($AS1519="",$C$6=""),"",TRIM(INDEX($A:$AP,ROW(),$C$6)&amp;""))</f>
        <v/>
      </c>
      <c r="BA1519" s="31">
        <f>IF($AZ1519="","",IF(COUNTIF($AZ$8:$AZ1519,$AZ1519)&gt;1,1,0))</f>
        <v/>
      </c>
    </row>
    <row r="1520">
      <c r="AR1520" s="31">
        <f>IF(OR($A$5="",$B$6="",ROW()&lt;$A$5),"",IF(INDEX($A:$AP,ROW(),$B$6)="","",INDEX($A:$AP,ROW(),$B$6)))</f>
        <v/>
      </c>
      <c r="AS1520" s="32">
        <f>IF($AR1520="","",IF(ISNUMBER($AR1520),IF($AR1520&gt;=10000000,IFERROR(DATE(INT($AR1520/10000),MOD(INT($AR1520/100),100),MOD($AR1520,100)),""),INT($AR1520)),IFERROR(DATE(--LEFT(LEFT(SUBSTITUTE(SUBSTITUTE(SUBSTITUTE(SUBSTITUTE(TRIM($AR1520),"-",""),".",""),"/","")," ",""),8),4),--MID(LEFT(SUBSTITUTE(SUBSTITUTE(SUBSTITUTE(SUBSTITUTE(TRIM($AR1520),"-",""),".",""),"/","")," ",""),8),5,2),--MID(LEFT(SUBSTITUTE(SUBSTITUTE(SUBSTITUTE(SUBSTITUTE(TRIM($AR1520),"-",""),".",""),"/","")," ",""),8),7,2)),"")))</f>
        <v/>
      </c>
      <c r="AT1520" s="33">
        <f>IF($AS1520="","",IF($F$6="",0,IF(ISNUMBER(INDEX($A:$AP,ROW(),$F$6)),INDEX($A:$AP,ROW(),$F$6),IFERROR(--SUBSTITUTE(SUBSTITUTE(TRIM(INDEX($A:$AP,ROW(),$F$6)),",",""),"원",""),0))))</f>
        <v/>
      </c>
      <c r="AU1520" s="31">
        <f>IF($AS1520="","",IF($AX1520&lt;&gt;"",SUBSTITUTE(SUBSTITUTE($AX1520,"-","")," ",""),"N:"&amp;$AV1520))</f>
        <v/>
      </c>
      <c r="AV1520" s="31">
        <f>IF(OR($AS1520="",$E$6=""),"",TRIM(INDEX($A:$AP,ROW(),$E$6)&amp;""))</f>
        <v/>
      </c>
      <c r="AW1520" s="31">
        <f>IF($AU1520="","",IF(MATCH($AU1520,$AU$8:$AU$2007,0)=ROW()-7,MAX($AW$7:$AW1519)+1,""))</f>
        <v/>
      </c>
      <c r="AX1520" s="31">
        <f>IF(OR($AS1520="",$D$6=""),"",TRIM(INDEX($A:$AP,ROW(),$D$6)&amp;""))</f>
        <v/>
      </c>
      <c r="AY1520" s="31">
        <f>IF($AU1520="","",INDEX($AW$8:$AW$2007,MATCH($AU1520,$AU$8:$AU$2007,0)))</f>
        <v/>
      </c>
      <c r="AZ1520" s="31">
        <f>IF(OR($AS1520="",$C$6=""),"",TRIM(INDEX($A:$AP,ROW(),$C$6)&amp;""))</f>
        <v/>
      </c>
      <c r="BA1520" s="31">
        <f>IF($AZ1520="","",IF(COUNTIF($AZ$8:$AZ1520,$AZ1520)&gt;1,1,0))</f>
        <v/>
      </c>
    </row>
    <row r="1521">
      <c r="AR1521" s="31">
        <f>IF(OR($A$5="",$B$6="",ROW()&lt;$A$5),"",IF(INDEX($A:$AP,ROW(),$B$6)="","",INDEX($A:$AP,ROW(),$B$6)))</f>
        <v/>
      </c>
      <c r="AS1521" s="32">
        <f>IF($AR1521="","",IF(ISNUMBER($AR1521),IF($AR1521&gt;=10000000,IFERROR(DATE(INT($AR1521/10000),MOD(INT($AR1521/100),100),MOD($AR1521,100)),""),INT($AR1521)),IFERROR(DATE(--LEFT(LEFT(SUBSTITUTE(SUBSTITUTE(SUBSTITUTE(SUBSTITUTE(TRIM($AR1521),"-",""),".",""),"/","")," ",""),8),4),--MID(LEFT(SUBSTITUTE(SUBSTITUTE(SUBSTITUTE(SUBSTITUTE(TRIM($AR1521),"-",""),".",""),"/","")," ",""),8),5,2),--MID(LEFT(SUBSTITUTE(SUBSTITUTE(SUBSTITUTE(SUBSTITUTE(TRIM($AR1521),"-",""),".",""),"/","")," ",""),8),7,2)),"")))</f>
        <v/>
      </c>
      <c r="AT1521" s="33">
        <f>IF($AS1521="","",IF($F$6="",0,IF(ISNUMBER(INDEX($A:$AP,ROW(),$F$6)),INDEX($A:$AP,ROW(),$F$6),IFERROR(--SUBSTITUTE(SUBSTITUTE(TRIM(INDEX($A:$AP,ROW(),$F$6)),",",""),"원",""),0))))</f>
        <v/>
      </c>
      <c r="AU1521" s="31">
        <f>IF($AS1521="","",IF($AX1521&lt;&gt;"",SUBSTITUTE(SUBSTITUTE($AX1521,"-","")," ",""),"N:"&amp;$AV1521))</f>
        <v/>
      </c>
      <c r="AV1521" s="31">
        <f>IF(OR($AS1521="",$E$6=""),"",TRIM(INDEX($A:$AP,ROW(),$E$6)&amp;""))</f>
        <v/>
      </c>
      <c r="AW1521" s="31">
        <f>IF($AU1521="","",IF(MATCH($AU1521,$AU$8:$AU$2007,0)=ROW()-7,MAX($AW$7:$AW1520)+1,""))</f>
        <v/>
      </c>
      <c r="AX1521" s="31">
        <f>IF(OR($AS1521="",$D$6=""),"",TRIM(INDEX($A:$AP,ROW(),$D$6)&amp;""))</f>
        <v/>
      </c>
      <c r="AY1521" s="31">
        <f>IF($AU1521="","",INDEX($AW$8:$AW$2007,MATCH($AU1521,$AU$8:$AU$2007,0)))</f>
        <v/>
      </c>
      <c r="AZ1521" s="31">
        <f>IF(OR($AS1521="",$C$6=""),"",TRIM(INDEX($A:$AP,ROW(),$C$6)&amp;""))</f>
        <v/>
      </c>
      <c r="BA1521" s="31">
        <f>IF($AZ1521="","",IF(COUNTIF($AZ$8:$AZ1521,$AZ1521)&gt;1,1,0))</f>
        <v/>
      </c>
    </row>
    <row r="1522">
      <c r="AR1522" s="31">
        <f>IF(OR($A$5="",$B$6="",ROW()&lt;$A$5),"",IF(INDEX($A:$AP,ROW(),$B$6)="","",INDEX($A:$AP,ROW(),$B$6)))</f>
        <v/>
      </c>
      <c r="AS1522" s="32">
        <f>IF($AR1522="","",IF(ISNUMBER($AR1522),IF($AR1522&gt;=10000000,IFERROR(DATE(INT($AR1522/10000),MOD(INT($AR1522/100),100),MOD($AR1522,100)),""),INT($AR1522)),IFERROR(DATE(--LEFT(LEFT(SUBSTITUTE(SUBSTITUTE(SUBSTITUTE(SUBSTITUTE(TRIM($AR1522),"-",""),".",""),"/","")," ",""),8),4),--MID(LEFT(SUBSTITUTE(SUBSTITUTE(SUBSTITUTE(SUBSTITUTE(TRIM($AR1522),"-",""),".",""),"/","")," ",""),8),5,2),--MID(LEFT(SUBSTITUTE(SUBSTITUTE(SUBSTITUTE(SUBSTITUTE(TRIM($AR1522),"-",""),".",""),"/","")," ",""),8),7,2)),"")))</f>
        <v/>
      </c>
      <c r="AT1522" s="33">
        <f>IF($AS1522="","",IF($F$6="",0,IF(ISNUMBER(INDEX($A:$AP,ROW(),$F$6)),INDEX($A:$AP,ROW(),$F$6),IFERROR(--SUBSTITUTE(SUBSTITUTE(TRIM(INDEX($A:$AP,ROW(),$F$6)),",",""),"원",""),0))))</f>
        <v/>
      </c>
      <c r="AU1522" s="31">
        <f>IF($AS1522="","",IF($AX1522&lt;&gt;"",SUBSTITUTE(SUBSTITUTE($AX1522,"-","")," ",""),"N:"&amp;$AV1522))</f>
        <v/>
      </c>
      <c r="AV1522" s="31">
        <f>IF(OR($AS1522="",$E$6=""),"",TRIM(INDEX($A:$AP,ROW(),$E$6)&amp;""))</f>
        <v/>
      </c>
      <c r="AW1522" s="31">
        <f>IF($AU1522="","",IF(MATCH($AU1522,$AU$8:$AU$2007,0)=ROW()-7,MAX($AW$7:$AW1521)+1,""))</f>
        <v/>
      </c>
      <c r="AX1522" s="31">
        <f>IF(OR($AS1522="",$D$6=""),"",TRIM(INDEX($A:$AP,ROW(),$D$6)&amp;""))</f>
        <v/>
      </c>
      <c r="AY1522" s="31">
        <f>IF($AU1522="","",INDEX($AW$8:$AW$2007,MATCH($AU1522,$AU$8:$AU$2007,0)))</f>
        <v/>
      </c>
      <c r="AZ1522" s="31">
        <f>IF(OR($AS1522="",$C$6=""),"",TRIM(INDEX($A:$AP,ROW(),$C$6)&amp;""))</f>
        <v/>
      </c>
      <c r="BA1522" s="31">
        <f>IF($AZ1522="","",IF(COUNTIF($AZ$8:$AZ1522,$AZ1522)&gt;1,1,0))</f>
        <v/>
      </c>
    </row>
    <row r="1523">
      <c r="AR1523" s="31">
        <f>IF(OR($A$5="",$B$6="",ROW()&lt;$A$5),"",IF(INDEX($A:$AP,ROW(),$B$6)="","",INDEX($A:$AP,ROW(),$B$6)))</f>
        <v/>
      </c>
      <c r="AS1523" s="32">
        <f>IF($AR1523="","",IF(ISNUMBER($AR1523),IF($AR1523&gt;=10000000,IFERROR(DATE(INT($AR1523/10000),MOD(INT($AR1523/100),100),MOD($AR1523,100)),""),INT($AR1523)),IFERROR(DATE(--LEFT(LEFT(SUBSTITUTE(SUBSTITUTE(SUBSTITUTE(SUBSTITUTE(TRIM($AR1523),"-",""),".",""),"/","")," ",""),8),4),--MID(LEFT(SUBSTITUTE(SUBSTITUTE(SUBSTITUTE(SUBSTITUTE(TRIM($AR1523),"-",""),".",""),"/","")," ",""),8),5,2),--MID(LEFT(SUBSTITUTE(SUBSTITUTE(SUBSTITUTE(SUBSTITUTE(TRIM($AR1523),"-",""),".",""),"/","")," ",""),8),7,2)),"")))</f>
        <v/>
      </c>
      <c r="AT1523" s="33">
        <f>IF($AS1523="","",IF($F$6="",0,IF(ISNUMBER(INDEX($A:$AP,ROW(),$F$6)),INDEX($A:$AP,ROW(),$F$6),IFERROR(--SUBSTITUTE(SUBSTITUTE(TRIM(INDEX($A:$AP,ROW(),$F$6)),",",""),"원",""),0))))</f>
        <v/>
      </c>
      <c r="AU1523" s="31">
        <f>IF($AS1523="","",IF($AX1523&lt;&gt;"",SUBSTITUTE(SUBSTITUTE($AX1523,"-","")," ",""),"N:"&amp;$AV1523))</f>
        <v/>
      </c>
      <c r="AV1523" s="31">
        <f>IF(OR($AS1523="",$E$6=""),"",TRIM(INDEX($A:$AP,ROW(),$E$6)&amp;""))</f>
        <v/>
      </c>
      <c r="AW1523" s="31">
        <f>IF($AU1523="","",IF(MATCH($AU1523,$AU$8:$AU$2007,0)=ROW()-7,MAX($AW$7:$AW1522)+1,""))</f>
        <v/>
      </c>
      <c r="AX1523" s="31">
        <f>IF(OR($AS1523="",$D$6=""),"",TRIM(INDEX($A:$AP,ROW(),$D$6)&amp;""))</f>
        <v/>
      </c>
      <c r="AY1523" s="31">
        <f>IF($AU1523="","",INDEX($AW$8:$AW$2007,MATCH($AU1523,$AU$8:$AU$2007,0)))</f>
        <v/>
      </c>
      <c r="AZ1523" s="31">
        <f>IF(OR($AS1523="",$C$6=""),"",TRIM(INDEX($A:$AP,ROW(),$C$6)&amp;""))</f>
        <v/>
      </c>
      <c r="BA1523" s="31">
        <f>IF($AZ1523="","",IF(COUNTIF($AZ$8:$AZ1523,$AZ1523)&gt;1,1,0))</f>
        <v/>
      </c>
    </row>
    <row r="1524">
      <c r="AR1524" s="31">
        <f>IF(OR($A$5="",$B$6="",ROW()&lt;$A$5),"",IF(INDEX($A:$AP,ROW(),$B$6)="","",INDEX($A:$AP,ROW(),$B$6)))</f>
        <v/>
      </c>
      <c r="AS1524" s="32">
        <f>IF($AR1524="","",IF(ISNUMBER($AR1524),IF($AR1524&gt;=10000000,IFERROR(DATE(INT($AR1524/10000),MOD(INT($AR1524/100),100),MOD($AR1524,100)),""),INT($AR1524)),IFERROR(DATE(--LEFT(LEFT(SUBSTITUTE(SUBSTITUTE(SUBSTITUTE(SUBSTITUTE(TRIM($AR1524),"-",""),".",""),"/","")," ",""),8),4),--MID(LEFT(SUBSTITUTE(SUBSTITUTE(SUBSTITUTE(SUBSTITUTE(TRIM($AR1524),"-",""),".",""),"/","")," ",""),8),5,2),--MID(LEFT(SUBSTITUTE(SUBSTITUTE(SUBSTITUTE(SUBSTITUTE(TRIM($AR1524),"-",""),".",""),"/","")," ",""),8),7,2)),"")))</f>
        <v/>
      </c>
      <c r="AT1524" s="33">
        <f>IF($AS1524="","",IF($F$6="",0,IF(ISNUMBER(INDEX($A:$AP,ROW(),$F$6)),INDEX($A:$AP,ROW(),$F$6),IFERROR(--SUBSTITUTE(SUBSTITUTE(TRIM(INDEX($A:$AP,ROW(),$F$6)),",",""),"원",""),0))))</f>
        <v/>
      </c>
      <c r="AU1524" s="31">
        <f>IF($AS1524="","",IF($AX1524&lt;&gt;"",SUBSTITUTE(SUBSTITUTE($AX1524,"-","")," ",""),"N:"&amp;$AV1524))</f>
        <v/>
      </c>
      <c r="AV1524" s="31">
        <f>IF(OR($AS1524="",$E$6=""),"",TRIM(INDEX($A:$AP,ROW(),$E$6)&amp;""))</f>
        <v/>
      </c>
      <c r="AW1524" s="31">
        <f>IF($AU1524="","",IF(MATCH($AU1524,$AU$8:$AU$2007,0)=ROW()-7,MAX($AW$7:$AW1523)+1,""))</f>
        <v/>
      </c>
      <c r="AX1524" s="31">
        <f>IF(OR($AS1524="",$D$6=""),"",TRIM(INDEX($A:$AP,ROW(),$D$6)&amp;""))</f>
        <v/>
      </c>
      <c r="AY1524" s="31">
        <f>IF($AU1524="","",INDEX($AW$8:$AW$2007,MATCH($AU1524,$AU$8:$AU$2007,0)))</f>
        <v/>
      </c>
      <c r="AZ1524" s="31">
        <f>IF(OR($AS1524="",$C$6=""),"",TRIM(INDEX($A:$AP,ROW(),$C$6)&amp;""))</f>
        <v/>
      </c>
      <c r="BA1524" s="31">
        <f>IF($AZ1524="","",IF(COUNTIF($AZ$8:$AZ1524,$AZ1524)&gt;1,1,0))</f>
        <v/>
      </c>
    </row>
    <row r="1525">
      <c r="AR1525" s="31">
        <f>IF(OR($A$5="",$B$6="",ROW()&lt;$A$5),"",IF(INDEX($A:$AP,ROW(),$B$6)="","",INDEX($A:$AP,ROW(),$B$6)))</f>
        <v/>
      </c>
      <c r="AS1525" s="32">
        <f>IF($AR1525="","",IF(ISNUMBER($AR1525),IF($AR1525&gt;=10000000,IFERROR(DATE(INT($AR1525/10000),MOD(INT($AR1525/100),100),MOD($AR1525,100)),""),INT($AR1525)),IFERROR(DATE(--LEFT(LEFT(SUBSTITUTE(SUBSTITUTE(SUBSTITUTE(SUBSTITUTE(TRIM($AR1525),"-",""),".",""),"/","")," ",""),8),4),--MID(LEFT(SUBSTITUTE(SUBSTITUTE(SUBSTITUTE(SUBSTITUTE(TRIM($AR1525),"-",""),".",""),"/","")," ",""),8),5,2),--MID(LEFT(SUBSTITUTE(SUBSTITUTE(SUBSTITUTE(SUBSTITUTE(TRIM($AR1525),"-",""),".",""),"/","")," ",""),8),7,2)),"")))</f>
        <v/>
      </c>
      <c r="AT1525" s="33">
        <f>IF($AS1525="","",IF($F$6="",0,IF(ISNUMBER(INDEX($A:$AP,ROW(),$F$6)),INDEX($A:$AP,ROW(),$F$6),IFERROR(--SUBSTITUTE(SUBSTITUTE(TRIM(INDEX($A:$AP,ROW(),$F$6)),",",""),"원",""),0))))</f>
        <v/>
      </c>
      <c r="AU1525" s="31">
        <f>IF($AS1525="","",IF($AX1525&lt;&gt;"",SUBSTITUTE(SUBSTITUTE($AX1525,"-","")," ",""),"N:"&amp;$AV1525))</f>
        <v/>
      </c>
      <c r="AV1525" s="31">
        <f>IF(OR($AS1525="",$E$6=""),"",TRIM(INDEX($A:$AP,ROW(),$E$6)&amp;""))</f>
        <v/>
      </c>
      <c r="AW1525" s="31">
        <f>IF($AU1525="","",IF(MATCH($AU1525,$AU$8:$AU$2007,0)=ROW()-7,MAX($AW$7:$AW1524)+1,""))</f>
        <v/>
      </c>
      <c r="AX1525" s="31">
        <f>IF(OR($AS1525="",$D$6=""),"",TRIM(INDEX($A:$AP,ROW(),$D$6)&amp;""))</f>
        <v/>
      </c>
      <c r="AY1525" s="31">
        <f>IF($AU1525="","",INDEX($AW$8:$AW$2007,MATCH($AU1525,$AU$8:$AU$2007,0)))</f>
        <v/>
      </c>
      <c r="AZ1525" s="31">
        <f>IF(OR($AS1525="",$C$6=""),"",TRIM(INDEX($A:$AP,ROW(),$C$6)&amp;""))</f>
        <v/>
      </c>
      <c r="BA1525" s="31">
        <f>IF($AZ1525="","",IF(COUNTIF($AZ$8:$AZ1525,$AZ1525)&gt;1,1,0))</f>
        <v/>
      </c>
    </row>
    <row r="1526">
      <c r="AR1526" s="31">
        <f>IF(OR($A$5="",$B$6="",ROW()&lt;$A$5),"",IF(INDEX($A:$AP,ROW(),$B$6)="","",INDEX($A:$AP,ROW(),$B$6)))</f>
        <v/>
      </c>
      <c r="AS1526" s="32">
        <f>IF($AR1526="","",IF(ISNUMBER($AR1526),IF($AR1526&gt;=10000000,IFERROR(DATE(INT($AR1526/10000),MOD(INT($AR1526/100),100),MOD($AR1526,100)),""),INT($AR1526)),IFERROR(DATE(--LEFT(LEFT(SUBSTITUTE(SUBSTITUTE(SUBSTITUTE(SUBSTITUTE(TRIM($AR1526),"-",""),".",""),"/","")," ",""),8),4),--MID(LEFT(SUBSTITUTE(SUBSTITUTE(SUBSTITUTE(SUBSTITUTE(TRIM($AR1526),"-",""),".",""),"/","")," ",""),8),5,2),--MID(LEFT(SUBSTITUTE(SUBSTITUTE(SUBSTITUTE(SUBSTITUTE(TRIM($AR1526),"-",""),".",""),"/","")," ",""),8),7,2)),"")))</f>
        <v/>
      </c>
      <c r="AT1526" s="33">
        <f>IF($AS1526="","",IF($F$6="",0,IF(ISNUMBER(INDEX($A:$AP,ROW(),$F$6)),INDEX($A:$AP,ROW(),$F$6),IFERROR(--SUBSTITUTE(SUBSTITUTE(TRIM(INDEX($A:$AP,ROW(),$F$6)),",",""),"원",""),0))))</f>
        <v/>
      </c>
      <c r="AU1526" s="31">
        <f>IF($AS1526="","",IF($AX1526&lt;&gt;"",SUBSTITUTE(SUBSTITUTE($AX1526,"-","")," ",""),"N:"&amp;$AV1526))</f>
        <v/>
      </c>
      <c r="AV1526" s="31">
        <f>IF(OR($AS1526="",$E$6=""),"",TRIM(INDEX($A:$AP,ROW(),$E$6)&amp;""))</f>
        <v/>
      </c>
      <c r="AW1526" s="31">
        <f>IF($AU1526="","",IF(MATCH($AU1526,$AU$8:$AU$2007,0)=ROW()-7,MAX($AW$7:$AW1525)+1,""))</f>
        <v/>
      </c>
      <c r="AX1526" s="31">
        <f>IF(OR($AS1526="",$D$6=""),"",TRIM(INDEX($A:$AP,ROW(),$D$6)&amp;""))</f>
        <v/>
      </c>
      <c r="AY1526" s="31">
        <f>IF($AU1526="","",INDEX($AW$8:$AW$2007,MATCH($AU1526,$AU$8:$AU$2007,0)))</f>
        <v/>
      </c>
      <c r="AZ1526" s="31">
        <f>IF(OR($AS1526="",$C$6=""),"",TRIM(INDEX($A:$AP,ROW(),$C$6)&amp;""))</f>
        <v/>
      </c>
      <c r="BA1526" s="31">
        <f>IF($AZ1526="","",IF(COUNTIF($AZ$8:$AZ1526,$AZ1526)&gt;1,1,0))</f>
        <v/>
      </c>
    </row>
    <row r="1527">
      <c r="AR1527" s="31">
        <f>IF(OR($A$5="",$B$6="",ROW()&lt;$A$5),"",IF(INDEX($A:$AP,ROW(),$B$6)="","",INDEX($A:$AP,ROW(),$B$6)))</f>
        <v/>
      </c>
      <c r="AS1527" s="32">
        <f>IF($AR1527="","",IF(ISNUMBER($AR1527),IF($AR1527&gt;=10000000,IFERROR(DATE(INT($AR1527/10000),MOD(INT($AR1527/100),100),MOD($AR1527,100)),""),INT($AR1527)),IFERROR(DATE(--LEFT(LEFT(SUBSTITUTE(SUBSTITUTE(SUBSTITUTE(SUBSTITUTE(TRIM($AR1527),"-",""),".",""),"/","")," ",""),8),4),--MID(LEFT(SUBSTITUTE(SUBSTITUTE(SUBSTITUTE(SUBSTITUTE(TRIM($AR1527),"-",""),".",""),"/","")," ",""),8),5,2),--MID(LEFT(SUBSTITUTE(SUBSTITUTE(SUBSTITUTE(SUBSTITUTE(TRIM($AR1527),"-",""),".",""),"/","")," ",""),8),7,2)),"")))</f>
        <v/>
      </c>
      <c r="AT1527" s="33">
        <f>IF($AS1527="","",IF($F$6="",0,IF(ISNUMBER(INDEX($A:$AP,ROW(),$F$6)),INDEX($A:$AP,ROW(),$F$6),IFERROR(--SUBSTITUTE(SUBSTITUTE(TRIM(INDEX($A:$AP,ROW(),$F$6)),",",""),"원",""),0))))</f>
        <v/>
      </c>
      <c r="AU1527" s="31">
        <f>IF($AS1527="","",IF($AX1527&lt;&gt;"",SUBSTITUTE(SUBSTITUTE($AX1527,"-","")," ",""),"N:"&amp;$AV1527))</f>
        <v/>
      </c>
      <c r="AV1527" s="31">
        <f>IF(OR($AS1527="",$E$6=""),"",TRIM(INDEX($A:$AP,ROW(),$E$6)&amp;""))</f>
        <v/>
      </c>
      <c r="AW1527" s="31">
        <f>IF($AU1527="","",IF(MATCH($AU1527,$AU$8:$AU$2007,0)=ROW()-7,MAX($AW$7:$AW1526)+1,""))</f>
        <v/>
      </c>
      <c r="AX1527" s="31">
        <f>IF(OR($AS1527="",$D$6=""),"",TRIM(INDEX($A:$AP,ROW(),$D$6)&amp;""))</f>
        <v/>
      </c>
      <c r="AY1527" s="31">
        <f>IF($AU1527="","",INDEX($AW$8:$AW$2007,MATCH($AU1527,$AU$8:$AU$2007,0)))</f>
        <v/>
      </c>
      <c r="AZ1527" s="31">
        <f>IF(OR($AS1527="",$C$6=""),"",TRIM(INDEX($A:$AP,ROW(),$C$6)&amp;""))</f>
        <v/>
      </c>
      <c r="BA1527" s="31">
        <f>IF($AZ1527="","",IF(COUNTIF($AZ$8:$AZ1527,$AZ1527)&gt;1,1,0))</f>
        <v/>
      </c>
    </row>
    <row r="1528">
      <c r="AR1528" s="31">
        <f>IF(OR($A$5="",$B$6="",ROW()&lt;$A$5),"",IF(INDEX($A:$AP,ROW(),$B$6)="","",INDEX($A:$AP,ROW(),$B$6)))</f>
        <v/>
      </c>
      <c r="AS1528" s="32">
        <f>IF($AR1528="","",IF(ISNUMBER($AR1528),IF($AR1528&gt;=10000000,IFERROR(DATE(INT($AR1528/10000),MOD(INT($AR1528/100),100),MOD($AR1528,100)),""),INT($AR1528)),IFERROR(DATE(--LEFT(LEFT(SUBSTITUTE(SUBSTITUTE(SUBSTITUTE(SUBSTITUTE(TRIM($AR1528),"-",""),".",""),"/","")," ",""),8),4),--MID(LEFT(SUBSTITUTE(SUBSTITUTE(SUBSTITUTE(SUBSTITUTE(TRIM($AR1528),"-",""),".",""),"/","")," ",""),8),5,2),--MID(LEFT(SUBSTITUTE(SUBSTITUTE(SUBSTITUTE(SUBSTITUTE(TRIM($AR1528),"-",""),".",""),"/","")," ",""),8),7,2)),"")))</f>
        <v/>
      </c>
      <c r="AT1528" s="33">
        <f>IF($AS1528="","",IF($F$6="",0,IF(ISNUMBER(INDEX($A:$AP,ROW(),$F$6)),INDEX($A:$AP,ROW(),$F$6),IFERROR(--SUBSTITUTE(SUBSTITUTE(TRIM(INDEX($A:$AP,ROW(),$F$6)),",",""),"원",""),0))))</f>
        <v/>
      </c>
      <c r="AU1528" s="31">
        <f>IF($AS1528="","",IF($AX1528&lt;&gt;"",SUBSTITUTE(SUBSTITUTE($AX1528,"-","")," ",""),"N:"&amp;$AV1528))</f>
        <v/>
      </c>
      <c r="AV1528" s="31">
        <f>IF(OR($AS1528="",$E$6=""),"",TRIM(INDEX($A:$AP,ROW(),$E$6)&amp;""))</f>
        <v/>
      </c>
      <c r="AW1528" s="31">
        <f>IF($AU1528="","",IF(MATCH($AU1528,$AU$8:$AU$2007,0)=ROW()-7,MAX($AW$7:$AW1527)+1,""))</f>
        <v/>
      </c>
      <c r="AX1528" s="31">
        <f>IF(OR($AS1528="",$D$6=""),"",TRIM(INDEX($A:$AP,ROW(),$D$6)&amp;""))</f>
        <v/>
      </c>
      <c r="AY1528" s="31">
        <f>IF($AU1528="","",INDEX($AW$8:$AW$2007,MATCH($AU1528,$AU$8:$AU$2007,0)))</f>
        <v/>
      </c>
      <c r="AZ1528" s="31">
        <f>IF(OR($AS1528="",$C$6=""),"",TRIM(INDEX($A:$AP,ROW(),$C$6)&amp;""))</f>
        <v/>
      </c>
      <c r="BA1528" s="31">
        <f>IF($AZ1528="","",IF(COUNTIF($AZ$8:$AZ1528,$AZ1528)&gt;1,1,0))</f>
        <v/>
      </c>
    </row>
    <row r="1529">
      <c r="AR1529" s="31">
        <f>IF(OR($A$5="",$B$6="",ROW()&lt;$A$5),"",IF(INDEX($A:$AP,ROW(),$B$6)="","",INDEX($A:$AP,ROW(),$B$6)))</f>
        <v/>
      </c>
      <c r="AS1529" s="32">
        <f>IF($AR1529="","",IF(ISNUMBER($AR1529),IF($AR1529&gt;=10000000,IFERROR(DATE(INT($AR1529/10000),MOD(INT($AR1529/100),100),MOD($AR1529,100)),""),INT($AR1529)),IFERROR(DATE(--LEFT(LEFT(SUBSTITUTE(SUBSTITUTE(SUBSTITUTE(SUBSTITUTE(TRIM($AR1529),"-",""),".",""),"/","")," ",""),8),4),--MID(LEFT(SUBSTITUTE(SUBSTITUTE(SUBSTITUTE(SUBSTITUTE(TRIM($AR1529),"-",""),".",""),"/","")," ",""),8),5,2),--MID(LEFT(SUBSTITUTE(SUBSTITUTE(SUBSTITUTE(SUBSTITUTE(TRIM($AR1529),"-",""),".",""),"/","")," ",""),8),7,2)),"")))</f>
        <v/>
      </c>
      <c r="AT1529" s="33">
        <f>IF($AS1529="","",IF($F$6="",0,IF(ISNUMBER(INDEX($A:$AP,ROW(),$F$6)),INDEX($A:$AP,ROW(),$F$6),IFERROR(--SUBSTITUTE(SUBSTITUTE(TRIM(INDEX($A:$AP,ROW(),$F$6)),",",""),"원",""),0))))</f>
        <v/>
      </c>
      <c r="AU1529" s="31">
        <f>IF($AS1529="","",IF($AX1529&lt;&gt;"",SUBSTITUTE(SUBSTITUTE($AX1529,"-","")," ",""),"N:"&amp;$AV1529))</f>
        <v/>
      </c>
      <c r="AV1529" s="31">
        <f>IF(OR($AS1529="",$E$6=""),"",TRIM(INDEX($A:$AP,ROW(),$E$6)&amp;""))</f>
        <v/>
      </c>
      <c r="AW1529" s="31">
        <f>IF($AU1529="","",IF(MATCH($AU1529,$AU$8:$AU$2007,0)=ROW()-7,MAX($AW$7:$AW1528)+1,""))</f>
        <v/>
      </c>
      <c r="AX1529" s="31">
        <f>IF(OR($AS1529="",$D$6=""),"",TRIM(INDEX($A:$AP,ROW(),$D$6)&amp;""))</f>
        <v/>
      </c>
      <c r="AY1529" s="31">
        <f>IF($AU1529="","",INDEX($AW$8:$AW$2007,MATCH($AU1529,$AU$8:$AU$2007,0)))</f>
        <v/>
      </c>
      <c r="AZ1529" s="31">
        <f>IF(OR($AS1529="",$C$6=""),"",TRIM(INDEX($A:$AP,ROW(),$C$6)&amp;""))</f>
        <v/>
      </c>
      <c r="BA1529" s="31">
        <f>IF($AZ1529="","",IF(COUNTIF($AZ$8:$AZ1529,$AZ1529)&gt;1,1,0))</f>
        <v/>
      </c>
    </row>
    <row r="1530">
      <c r="AR1530" s="31">
        <f>IF(OR($A$5="",$B$6="",ROW()&lt;$A$5),"",IF(INDEX($A:$AP,ROW(),$B$6)="","",INDEX($A:$AP,ROW(),$B$6)))</f>
        <v/>
      </c>
      <c r="AS1530" s="32">
        <f>IF($AR1530="","",IF(ISNUMBER($AR1530),IF($AR1530&gt;=10000000,IFERROR(DATE(INT($AR1530/10000),MOD(INT($AR1530/100),100),MOD($AR1530,100)),""),INT($AR1530)),IFERROR(DATE(--LEFT(LEFT(SUBSTITUTE(SUBSTITUTE(SUBSTITUTE(SUBSTITUTE(TRIM($AR1530),"-",""),".",""),"/","")," ",""),8),4),--MID(LEFT(SUBSTITUTE(SUBSTITUTE(SUBSTITUTE(SUBSTITUTE(TRIM($AR1530),"-",""),".",""),"/","")," ",""),8),5,2),--MID(LEFT(SUBSTITUTE(SUBSTITUTE(SUBSTITUTE(SUBSTITUTE(TRIM($AR1530),"-",""),".",""),"/","")," ",""),8),7,2)),"")))</f>
        <v/>
      </c>
      <c r="AT1530" s="33">
        <f>IF($AS1530="","",IF($F$6="",0,IF(ISNUMBER(INDEX($A:$AP,ROW(),$F$6)),INDEX($A:$AP,ROW(),$F$6),IFERROR(--SUBSTITUTE(SUBSTITUTE(TRIM(INDEX($A:$AP,ROW(),$F$6)),",",""),"원",""),0))))</f>
        <v/>
      </c>
      <c r="AU1530" s="31">
        <f>IF($AS1530="","",IF($AX1530&lt;&gt;"",SUBSTITUTE(SUBSTITUTE($AX1530,"-","")," ",""),"N:"&amp;$AV1530))</f>
        <v/>
      </c>
      <c r="AV1530" s="31">
        <f>IF(OR($AS1530="",$E$6=""),"",TRIM(INDEX($A:$AP,ROW(),$E$6)&amp;""))</f>
        <v/>
      </c>
      <c r="AW1530" s="31">
        <f>IF($AU1530="","",IF(MATCH($AU1530,$AU$8:$AU$2007,0)=ROW()-7,MAX($AW$7:$AW1529)+1,""))</f>
        <v/>
      </c>
      <c r="AX1530" s="31">
        <f>IF(OR($AS1530="",$D$6=""),"",TRIM(INDEX($A:$AP,ROW(),$D$6)&amp;""))</f>
        <v/>
      </c>
      <c r="AY1530" s="31">
        <f>IF($AU1530="","",INDEX($AW$8:$AW$2007,MATCH($AU1530,$AU$8:$AU$2007,0)))</f>
        <v/>
      </c>
      <c r="AZ1530" s="31">
        <f>IF(OR($AS1530="",$C$6=""),"",TRIM(INDEX($A:$AP,ROW(),$C$6)&amp;""))</f>
        <v/>
      </c>
      <c r="BA1530" s="31">
        <f>IF($AZ1530="","",IF(COUNTIF($AZ$8:$AZ1530,$AZ1530)&gt;1,1,0))</f>
        <v/>
      </c>
    </row>
    <row r="1531">
      <c r="AR1531" s="31">
        <f>IF(OR($A$5="",$B$6="",ROW()&lt;$A$5),"",IF(INDEX($A:$AP,ROW(),$B$6)="","",INDEX($A:$AP,ROW(),$B$6)))</f>
        <v/>
      </c>
      <c r="AS1531" s="32">
        <f>IF($AR1531="","",IF(ISNUMBER($AR1531),IF($AR1531&gt;=10000000,IFERROR(DATE(INT($AR1531/10000),MOD(INT($AR1531/100),100),MOD($AR1531,100)),""),INT($AR1531)),IFERROR(DATE(--LEFT(LEFT(SUBSTITUTE(SUBSTITUTE(SUBSTITUTE(SUBSTITUTE(TRIM($AR1531),"-",""),".",""),"/","")," ",""),8),4),--MID(LEFT(SUBSTITUTE(SUBSTITUTE(SUBSTITUTE(SUBSTITUTE(TRIM($AR1531),"-",""),".",""),"/","")," ",""),8),5,2),--MID(LEFT(SUBSTITUTE(SUBSTITUTE(SUBSTITUTE(SUBSTITUTE(TRIM($AR1531),"-",""),".",""),"/","")," ",""),8),7,2)),"")))</f>
        <v/>
      </c>
      <c r="AT1531" s="33">
        <f>IF($AS1531="","",IF($F$6="",0,IF(ISNUMBER(INDEX($A:$AP,ROW(),$F$6)),INDEX($A:$AP,ROW(),$F$6),IFERROR(--SUBSTITUTE(SUBSTITUTE(TRIM(INDEX($A:$AP,ROW(),$F$6)),",",""),"원",""),0))))</f>
        <v/>
      </c>
      <c r="AU1531" s="31">
        <f>IF($AS1531="","",IF($AX1531&lt;&gt;"",SUBSTITUTE(SUBSTITUTE($AX1531,"-","")," ",""),"N:"&amp;$AV1531))</f>
        <v/>
      </c>
      <c r="AV1531" s="31">
        <f>IF(OR($AS1531="",$E$6=""),"",TRIM(INDEX($A:$AP,ROW(),$E$6)&amp;""))</f>
        <v/>
      </c>
      <c r="AW1531" s="31">
        <f>IF($AU1531="","",IF(MATCH($AU1531,$AU$8:$AU$2007,0)=ROW()-7,MAX($AW$7:$AW1530)+1,""))</f>
        <v/>
      </c>
      <c r="AX1531" s="31">
        <f>IF(OR($AS1531="",$D$6=""),"",TRIM(INDEX($A:$AP,ROW(),$D$6)&amp;""))</f>
        <v/>
      </c>
      <c r="AY1531" s="31">
        <f>IF($AU1531="","",INDEX($AW$8:$AW$2007,MATCH($AU1531,$AU$8:$AU$2007,0)))</f>
        <v/>
      </c>
      <c r="AZ1531" s="31">
        <f>IF(OR($AS1531="",$C$6=""),"",TRIM(INDEX($A:$AP,ROW(),$C$6)&amp;""))</f>
        <v/>
      </c>
      <c r="BA1531" s="31">
        <f>IF($AZ1531="","",IF(COUNTIF($AZ$8:$AZ1531,$AZ1531)&gt;1,1,0))</f>
        <v/>
      </c>
    </row>
    <row r="1532">
      <c r="AR1532" s="31">
        <f>IF(OR($A$5="",$B$6="",ROW()&lt;$A$5),"",IF(INDEX($A:$AP,ROW(),$B$6)="","",INDEX($A:$AP,ROW(),$B$6)))</f>
        <v/>
      </c>
      <c r="AS1532" s="32">
        <f>IF($AR1532="","",IF(ISNUMBER($AR1532),IF($AR1532&gt;=10000000,IFERROR(DATE(INT($AR1532/10000),MOD(INT($AR1532/100),100),MOD($AR1532,100)),""),INT($AR1532)),IFERROR(DATE(--LEFT(LEFT(SUBSTITUTE(SUBSTITUTE(SUBSTITUTE(SUBSTITUTE(TRIM($AR1532),"-",""),".",""),"/","")," ",""),8),4),--MID(LEFT(SUBSTITUTE(SUBSTITUTE(SUBSTITUTE(SUBSTITUTE(TRIM($AR1532),"-",""),".",""),"/","")," ",""),8),5,2),--MID(LEFT(SUBSTITUTE(SUBSTITUTE(SUBSTITUTE(SUBSTITUTE(TRIM($AR1532),"-",""),".",""),"/","")," ",""),8),7,2)),"")))</f>
        <v/>
      </c>
      <c r="AT1532" s="33">
        <f>IF($AS1532="","",IF($F$6="",0,IF(ISNUMBER(INDEX($A:$AP,ROW(),$F$6)),INDEX($A:$AP,ROW(),$F$6),IFERROR(--SUBSTITUTE(SUBSTITUTE(TRIM(INDEX($A:$AP,ROW(),$F$6)),",",""),"원",""),0))))</f>
        <v/>
      </c>
      <c r="AU1532" s="31">
        <f>IF($AS1532="","",IF($AX1532&lt;&gt;"",SUBSTITUTE(SUBSTITUTE($AX1532,"-","")," ",""),"N:"&amp;$AV1532))</f>
        <v/>
      </c>
      <c r="AV1532" s="31">
        <f>IF(OR($AS1532="",$E$6=""),"",TRIM(INDEX($A:$AP,ROW(),$E$6)&amp;""))</f>
        <v/>
      </c>
      <c r="AW1532" s="31">
        <f>IF($AU1532="","",IF(MATCH($AU1532,$AU$8:$AU$2007,0)=ROW()-7,MAX($AW$7:$AW1531)+1,""))</f>
        <v/>
      </c>
      <c r="AX1532" s="31">
        <f>IF(OR($AS1532="",$D$6=""),"",TRIM(INDEX($A:$AP,ROW(),$D$6)&amp;""))</f>
        <v/>
      </c>
      <c r="AY1532" s="31">
        <f>IF($AU1532="","",INDEX($AW$8:$AW$2007,MATCH($AU1532,$AU$8:$AU$2007,0)))</f>
        <v/>
      </c>
      <c r="AZ1532" s="31">
        <f>IF(OR($AS1532="",$C$6=""),"",TRIM(INDEX($A:$AP,ROW(),$C$6)&amp;""))</f>
        <v/>
      </c>
      <c r="BA1532" s="31">
        <f>IF($AZ1532="","",IF(COUNTIF($AZ$8:$AZ1532,$AZ1532)&gt;1,1,0))</f>
        <v/>
      </c>
    </row>
    <row r="1533">
      <c r="AR1533" s="31">
        <f>IF(OR($A$5="",$B$6="",ROW()&lt;$A$5),"",IF(INDEX($A:$AP,ROW(),$B$6)="","",INDEX($A:$AP,ROW(),$B$6)))</f>
        <v/>
      </c>
      <c r="AS1533" s="32">
        <f>IF($AR1533="","",IF(ISNUMBER($AR1533),IF($AR1533&gt;=10000000,IFERROR(DATE(INT($AR1533/10000),MOD(INT($AR1533/100),100),MOD($AR1533,100)),""),INT($AR1533)),IFERROR(DATE(--LEFT(LEFT(SUBSTITUTE(SUBSTITUTE(SUBSTITUTE(SUBSTITUTE(TRIM($AR1533),"-",""),".",""),"/","")," ",""),8),4),--MID(LEFT(SUBSTITUTE(SUBSTITUTE(SUBSTITUTE(SUBSTITUTE(TRIM($AR1533),"-",""),".",""),"/","")," ",""),8),5,2),--MID(LEFT(SUBSTITUTE(SUBSTITUTE(SUBSTITUTE(SUBSTITUTE(TRIM($AR1533),"-",""),".",""),"/","")," ",""),8),7,2)),"")))</f>
        <v/>
      </c>
      <c r="AT1533" s="33">
        <f>IF($AS1533="","",IF($F$6="",0,IF(ISNUMBER(INDEX($A:$AP,ROW(),$F$6)),INDEX($A:$AP,ROW(),$F$6),IFERROR(--SUBSTITUTE(SUBSTITUTE(TRIM(INDEX($A:$AP,ROW(),$F$6)),",",""),"원",""),0))))</f>
        <v/>
      </c>
      <c r="AU1533" s="31">
        <f>IF($AS1533="","",IF($AX1533&lt;&gt;"",SUBSTITUTE(SUBSTITUTE($AX1533,"-","")," ",""),"N:"&amp;$AV1533))</f>
        <v/>
      </c>
      <c r="AV1533" s="31">
        <f>IF(OR($AS1533="",$E$6=""),"",TRIM(INDEX($A:$AP,ROW(),$E$6)&amp;""))</f>
        <v/>
      </c>
      <c r="AW1533" s="31">
        <f>IF($AU1533="","",IF(MATCH($AU1533,$AU$8:$AU$2007,0)=ROW()-7,MAX($AW$7:$AW1532)+1,""))</f>
        <v/>
      </c>
      <c r="AX1533" s="31">
        <f>IF(OR($AS1533="",$D$6=""),"",TRIM(INDEX($A:$AP,ROW(),$D$6)&amp;""))</f>
        <v/>
      </c>
      <c r="AY1533" s="31">
        <f>IF($AU1533="","",INDEX($AW$8:$AW$2007,MATCH($AU1533,$AU$8:$AU$2007,0)))</f>
        <v/>
      </c>
      <c r="AZ1533" s="31">
        <f>IF(OR($AS1533="",$C$6=""),"",TRIM(INDEX($A:$AP,ROW(),$C$6)&amp;""))</f>
        <v/>
      </c>
      <c r="BA1533" s="31">
        <f>IF($AZ1533="","",IF(COUNTIF($AZ$8:$AZ1533,$AZ1533)&gt;1,1,0))</f>
        <v/>
      </c>
    </row>
    <row r="1534">
      <c r="AR1534" s="31">
        <f>IF(OR($A$5="",$B$6="",ROW()&lt;$A$5),"",IF(INDEX($A:$AP,ROW(),$B$6)="","",INDEX($A:$AP,ROW(),$B$6)))</f>
        <v/>
      </c>
      <c r="AS1534" s="32">
        <f>IF($AR1534="","",IF(ISNUMBER($AR1534),IF($AR1534&gt;=10000000,IFERROR(DATE(INT($AR1534/10000),MOD(INT($AR1534/100),100),MOD($AR1534,100)),""),INT($AR1534)),IFERROR(DATE(--LEFT(LEFT(SUBSTITUTE(SUBSTITUTE(SUBSTITUTE(SUBSTITUTE(TRIM($AR1534),"-",""),".",""),"/","")," ",""),8),4),--MID(LEFT(SUBSTITUTE(SUBSTITUTE(SUBSTITUTE(SUBSTITUTE(TRIM($AR1534),"-",""),".",""),"/","")," ",""),8),5,2),--MID(LEFT(SUBSTITUTE(SUBSTITUTE(SUBSTITUTE(SUBSTITUTE(TRIM($AR1534),"-",""),".",""),"/","")," ",""),8),7,2)),"")))</f>
        <v/>
      </c>
      <c r="AT1534" s="33">
        <f>IF($AS1534="","",IF($F$6="",0,IF(ISNUMBER(INDEX($A:$AP,ROW(),$F$6)),INDEX($A:$AP,ROW(),$F$6),IFERROR(--SUBSTITUTE(SUBSTITUTE(TRIM(INDEX($A:$AP,ROW(),$F$6)),",",""),"원",""),0))))</f>
        <v/>
      </c>
      <c r="AU1534" s="31">
        <f>IF($AS1534="","",IF($AX1534&lt;&gt;"",SUBSTITUTE(SUBSTITUTE($AX1534,"-","")," ",""),"N:"&amp;$AV1534))</f>
        <v/>
      </c>
      <c r="AV1534" s="31">
        <f>IF(OR($AS1534="",$E$6=""),"",TRIM(INDEX($A:$AP,ROW(),$E$6)&amp;""))</f>
        <v/>
      </c>
      <c r="AW1534" s="31">
        <f>IF($AU1534="","",IF(MATCH($AU1534,$AU$8:$AU$2007,0)=ROW()-7,MAX($AW$7:$AW1533)+1,""))</f>
        <v/>
      </c>
      <c r="AX1534" s="31">
        <f>IF(OR($AS1534="",$D$6=""),"",TRIM(INDEX($A:$AP,ROW(),$D$6)&amp;""))</f>
        <v/>
      </c>
      <c r="AY1534" s="31">
        <f>IF($AU1534="","",INDEX($AW$8:$AW$2007,MATCH($AU1534,$AU$8:$AU$2007,0)))</f>
        <v/>
      </c>
      <c r="AZ1534" s="31">
        <f>IF(OR($AS1534="",$C$6=""),"",TRIM(INDEX($A:$AP,ROW(),$C$6)&amp;""))</f>
        <v/>
      </c>
      <c r="BA1534" s="31">
        <f>IF($AZ1534="","",IF(COUNTIF($AZ$8:$AZ1534,$AZ1534)&gt;1,1,0))</f>
        <v/>
      </c>
    </row>
    <row r="1535">
      <c r="AR1535" s="31">
        <f>IF(OR($A$5="",$B$6="",ROW()&lt;$A$5),"",IF(INDEX($A:$AP,ROW(),$B$6)="","",INDEX($A:$AP,ROW(),$B$6)))</f>
        <v/>
      </c>
      <c r="AS1535" s="32">
        <f>IF($AR1535="","",IF(ISNUMBER($AR1535),IF($AR1535&gt;=10000000,IFERROR(DATE(INT($AR1535/10000),MOD(INT($AR1535/100),100),MOD($AR1535,100)),""),INT($AR1535)),IFERROR(DATE(--LEFT(LEFT(SUBSTITUTE(SUBSTITUTE(SUBSTITUTE(SUBSTITUTE(TRIM($AR1535),"-",""),".",""),"/","")," ",""),8),4),--MID(LEFT(SUBSTITUTE(SUBSTITUTE(SUBSTITUTE(SUBSTITUTE(TRIM($AR1535),"-",""),".",""),"/","")," ",""),8),5,2),--MID(LEFT(SUBSTITUTE(SUBSTITUTE(SUBSTITUTE(SUBSTITUTE(TRIM($AR1535),"-",""),".",""),"/","")," ",""),8),7,2)),"")))</f>
        <v/>
      </c>
      <c r="AT1535" s="33">
        <f>IF($AS1535="","",IF($F$6="",0,IF(ISNUMBER(INDEX($A:$AP,ROW(),$F$6)),INDEX($A:$AP,ROW(),$F$6),IFERROR(--SUBSTITUTE(SUBSTITUTE(TRIM(INDEX($A:$AP,ROW(),$F$6)),",",""),"원",""),0))))</f>
        <v/>
      </c>
      <c r="AU1535" s="31">
        <f>IF($AS1535="","",IF($AX1535&lt;&gt;"",SUBSTITUTE(SUBSTITUTE($AX1535,"-","")," ",""),"N:"&amp;$AV1535))</f>
        <v/>
      </c>
      <c r="AV1535" s="31">
        <f>IF(OR($AS1535="",$E$6=""),"",TRIM(INDEX($A:$AP,ROW(),$E$6)&amp;""))</f>
        <v/>
      </c>
      <c r="AW1535" s="31">
        <f>IF($AU1535="","",IF(MATCH($AU1535,$AU$8:$AU$2007,0)=ROW()-7,MAX($AW$7:$AW1534)+1,""))</f>
        <v/>
      </c>
      <c r="AX1535" s="31">
        <f>IF(OR($AS1535="",$D$6=""),"",TRIM(INDEX($A:$AP,ROW(),$D$6)&amp;""))</f>
        <v/>
      </c>
      <c r="AY1535" s="31">
        <f>IF($AU1535="","",INDEX($AW$8:$AW$2007,MATCH($AU1535,$AU$8:$AU$2007,0)))</f>
        <v/>
      </c>
      <c r="AZ1535" s="31">
        <f>IF(OR($AS1535="",$C$6=""),"",TRIM(INDEX($A:$AP,ROW(),$C$6)&amp;""))</f>
        <v/>
      </c>
      <c r="BA1535" s="31">
        <f>IF($AZ1535="","",IF(COUNTIF($AZ$8:$AZ1535,$AZ1535)&gt;1,1,0))</f>
        <v/>
      </c>
    </row>
    <row r="1536">
      <c r="AR1536" s="31">
        <f>IF(OR($A$5="",$B$6="",ROW()&lt;$A$5),"",IF(INDEX($A:$AP,ROW(),$B$6)="","",INDEX($A:$AP,ROW(),$B$6)))</f>
        <v/>
      </c>
      <c r="AS1536" s="32">
        <f>IF($AR1536="","",IF(ISNUMBER($AR1536),IF($AR1536&gt;=10000000,IFERROR(DATE(INT($AR1536/10000),MOD(INT($AR1536/100),100),MOD($AR1536,100)),""),INT($AR1536)),IFERROR(DATE(--LEFT(LEFT(SUBSTITUTE(SUBSTITUTE(SUBSTITUTE(SUBSTITUTE(TRIM($AR1536),"-",""),".",""),"/","")," ",""),8),4),--MID(LEFT(SUBSTITUTE(SUBSTITUTE(SUBSTITUTE(SUBSTITUTE(TRIM($AR1536),"-",""),".",""),"/","")," ",""),8),5,2),--MID(LEFT(SUBSTITUTE(SUBSTITUTE(SUBSTITUTE(SUBSTITUTE(TRIM($AR1536),"-",""),".",""),"/","")," ",""),8),7,2)),"")))</f>
        <v/>
      </c>
      <c r="AT1536" s="33">
        <f>IF($AS1536="","",IF($F$6="",0,IF(ISNUMBER(INDEX($A:$AP,ROW(),$F$6)),INDEX($A:$AP,ROW(),$F$6),IFERROR(--SUBSTITUTE(SUBSTITUTE(TRIM(INDEX($A:$AP,ROW(),$F$6)),",",""),"원",""),0))))</f>
        <v/>
      </c>
      <c r="AU1536" s="31">
        <f>IF($AS1536="","",IF($AX1536&lt;&gt;"",SUBSTITUTE(SUBSTITUTE($AX1536,"-","")," ",""),"N:"&amp;$AV1536))</f>
        <v/>
      </c>
      <c r="AV1536" s="31">
        <f>IF(OR($AS1536="",$E$6=""),"",TRIM(INDEX($A:$AP,ROW(),$E$6)&amp;""))</f>
        <v/>
      </c>
      <c r="AW1536" s="31">
        <f>IF($AU1536="","",IF(MATCH($AU1536,$AU$8:$AU$2007,0)=ROW()-7,MAX($AW$7:$AW1535)+1,""))</f>
        <v/>
      </c>
      <c r="AX1536" s="31">
        <f>IF(OR($AS1536="",$D$6=""),"",TRIM(INDEX($A:$AP,ROW(),$D$6)&amp;""))</f>
        <v/>
      </c>
      <c r="AY1536" s="31">
        <f>IF($AU1536="","",INDEX($AW$8:$AW$2007,MATCH($AU1536,$AU$8:$AU$2007,0)))</f>
        <v/>
      </c>
      <c r="AZ1536" s="31">
        <f>IF(OR($AS1536="",$C$6=""),"",TRIM(INDEX($A:$AP,ROW(),$C$6)&amp;""))</f>
        <v/>
      </c>
      <c r="BA1536" s="31">
        <f>IF($AZ1536="","",IF(COUNTIF($AZ$8:$AZ1536,$AZ1536)&gt;1,1,0))</f>
        <v/>
      </c>
    </row>
    <row r="1537">
      <c r="AR1537" s="31">
        <f>IF(OR($A$5="",$B$6="",ROW()&lt;$A$5),"",IF(INDEX($A:$AP,ROW(),$B$6)="","",INDEX($A:$AP,ROW(),$B$6)))</f>
        <v/>
      </c>
      <c r="AS1537" s="32">
        <f>IF($AR1537="","",IF(ISNUMBER($AR1537),IF($AR1537&gt;=10000000,IFERROR(DATE(INT($AR1537/10000),MOD(INT($AR1537/100),100),MOD($AR1537,100)),""),INT($AR1537)),IFERROR(DATE(--LEFT(LEFT(SUBSTITUTE(SUBSTITUTE(SUBSTITUTE(SUBSTITUTE(TRIM($AR1537),"-",""),".",""),"/","")," ",""),8),4),--MID(LEFT(SUBSTITUTE(SUBSTITUTE(SUBSTITUTE(SUBSTITUTE(TRIM($AR1537),"-",""),".",""),"/","")," ",""),8),5,2),--MID(LEFT(SUBSTITUTE(SUBSTITUTE(SUBSTITUTE(SUBSTITUTE(TRIM($AR1537),"-",""),".",""),"/","")," ",""),8),7,2)),"")))</f>
        <v/>
      </c>
      <c r="AT1537" s="33">
        <f>IF($AS1537="","",IF($F$6="",0,IF(ISNUMBER(INDEX($A:$AP,ROW(),$F$6)),INDEX($A:$AP,ROW(),$F$6),IFERROR(--SUBSTITUTE(SUBSTITUTE(TRIM(INDEX($A:$AP,ROW(),$F$6)),",",""),"원",""),0))))</f>
        <v/>
      </c>
      <c r="AU1537" s="31">
        <f>IF($AS1537="","",IF($AX1537&lt;&gt;"",SUBSTITUTE(SUBSTITUTE($AX1537,"-","")," ",""),"N:"&amp;$AV1537))</f>
        <v/>
      </c>
      <c r="AV1537" s="31">
        <f>IF(OR($AS1537="",$E$6=""),"",TRIM(INDEX($A:$AP,ROW(),$E$6)&amp;""))</f>
        <v/>
      </c>
      <c r="AW1537" s="31">
        <f>IF($AU1537="","",IF(MATCH($AU1537,$AU$8:$AU$2007,0)=ROW()-7,MAX($AW$7:$AW1536)+1,""))</f>
        <v/>
      </c>
      <c r="AX1537" s="31">
        <f>IF(OR($AS1537="",$D$6=""),"",TRIM(INDEX($A:$AP,ROW(),$D$6)&amp;""))</f>
        <v/>
      </c>
      <c r="AY1537" s="31">
        <f>IF($AU1537="","",INDEX($AW$8:$AW$2007,MATCH($AU1537,$AU$8:$AU$2007,0)))</f>
        <v/>
      </c>
      <c r="AZ1537" s="31">
        <f>IF(OR($AS1537="",$C$6=""),"",TRIM(INDEX($A:$AP,ROW(),$C$6)&amp;""))</f>
        <v/>
      </c>
      <c r="BA1537" s="31">
        <f>IF($AZ1537="","",IF(COUNTIF($AZ$8:$AZ1537,$AZ1537)&gt;1,1,0))</f>
        <v/>
      </c>
    </row>
    <row r="1538">
      <c r="AR1538" s="31">
        <f>IF(OR($A$5="",$B$6="",ROW()&lt;$A$5),"",IF(INDEX($A:$AP,ROW(),$B$6)="","",INDEX($A:$AP,ROW(),$B$6)))</f>
        <v/>
      </c>
      <c r="AS1538" s="32">
        <f>IF($AR1538="","",IF(ISNUMBER($AR1538),IF($AR1538&gt;=10000000,IFERROR(DATE(INT($AR1538/10000),MOD(INT($AR1538/100),100),MOD($AR1538,100)),""),INT($AR1538)),IFERROR(DATE(--LEFT(LEFT(SUBSTITUTE(SUBSTITUTE(SUBSTITUTE(SUBSTITUTE(TRIM($AR1538),"-",""),".",""),"/","")," ",""),8),4),--MID(LEFT(SUBSTITUTE(SUBSTITUTE(SUBSTITUTE(SUBSTITUTE(TRIM($AR1538),"-",""),".",""),"/","")," ",""),8),5,2),--MID(LEFT(SUBSTITUTE(SUBSTITUTE(SUBSTITUTE(SUBSTITUTE(TRIM($AR1538),"-",""),".",""),"/","")," ",""),8),7,2)),"")))</f>
        <v/>
      </c>
      <c r="AT1538" s="33">
        <f>IF($AS1538="","",IF($F$6="",0,IF(ISNUMBER(INDEX($A:$AP,ROW(),$F$6)),INDEX($A:$AP,ROW(),$F$6),IFERROR(--SUBSTITUTE(SUBSTITUTE(TRIM(INDEX($A:$AP,ROW(),$F$6)),",",""),"원",""),0))))</f>
        <v/>
      </c>
      <c r="AU1538" s="31">
        <f>IF($AS1538="","",IF($AX1538&lt;&gt;"",SUBSTITUTE(SUBSTITUTE($AX1538,"-","")," ",""),"N:"&amp;$AV1538))</f>
        <v/>
      </c>
      <c r="AV1538" s="31">
        <f>IF(OR($AS1538="",$E$6=""),"",TRIM(INDEX($A:$AP,ROW(),$E$6)&amp;""))</f>
        <v/>
      </c>
      <c r="AW1538" s="31">
        <f>IF($AU1538="","",IF(MATCH($AU1538,$AU$8:$AU$2007,0)=ROW()-7,MAX($AW$7:$AW1537)+1,""))</f>
        <v/>
      </c>
      <c r="AX1538" s="31">
        <f>IF(OR($AS1538="",$D$6=""),"",TRIM(INDEX($A:$AP,ROW(),$D$6)&amp;""))</f>
        <v/>
      </c>
      <c r="AY1538" s="31">
        <f>IF($AU1538="","",INDEX($AW$8:$AW$2007,MATCH($AU1538,$AU$8:$AU$2007,0)))</f>
        <v/>
      </c>
      <c r="AZ1538" s="31">
        <f>IF(OR($AS1538="",$C$6=""),"",TRIM(INDEX($A:$AP,ROW(),$C$6)&amp;""))</f>
        <v/>
      </c>
      <c r="BA1538" s="31">
        <f>IF($AZ1538="","",IF(COUNTIF($AZ$8:$AZ1538,$AZ1538)&gt;1,1,0))</f>
        <v/>
      </c>
    </row>
    <row r="1539">
      <c r="AR1539" s="31">
        <f>IF(OR($A$5="",$B$6="",ROW()&lt;$A$5),"",IF(INDEX($A:$AP,ROW(),$B$6)="","",INDEX($A:$AP,ROW(),$B$6)))</f>
        <v/>
      </c>
      <c r="AS1539" s="32">
        <f>IF($AR1539="","",IF(ISNUMBER($AR1539),IF($AR1539&gt;=10000000,IFERROR(DATE(INT($AR1539/10000),MOD(INT($AR1539/100),100),MOD($AR1539,100)),""),INT($AR1539)),IFERROR(DATE(--LEFT(LEFT(SUBSTITUTE(SUBSTITUTE(SUBSTITUTE(SUBSTITUTE(TRIM($AR1539),"-",""),".",""),"/","")," ",""),8),4),--MID(LEFT(SUBSTITUTE(SUBSTITUTE(SUBSTITUTE(SUBSTITUTE(TRIM($AR1539),"-",""),".",""),"/","")," ",""),8),5,2),--MID(LEFT(SUBSTITUTE(SUBSTITUTE(SUBSTITUTE(SUBSTITUTE(TRIM($AR1539),"-",""),".",""),"/","")," ",""),8),7,2)),"")))</f>
        <v/>
      </c>
      <c r="AT1539" s="33">
        <f>IF($AS1539="","",IF($F$6="",0,IF(ISNUMBER(INDEX($A:$AP,ROW(),$F$6)),INDEX($A:$AP,ROW(),$F$6),IFERROR(--SUBSTITUTE(SUBSTITUTE(TRIM(INDEX($A:$AP,ROW(),$F$6)),",",""),"원",""),0))))</f>
        <v/>
      </c>
      <c r="AU1539" s="31">
        <f>IF($AS1539="","",IF($AX1539&lt;&gt;"",SUBSTITUTE(SUBSTITUTE($AX1539,"-","")," ",""),"N:"&amp;$AV1539))</f>
        <v/>
      </c>
      <c r="AV1539" s="31">
        <f>IF(OR($AS1539="",$E$6=""),"",TRIM(INDEX($A:$AP,ROW(),$E$6)&amp;""))</f>
        <v/>
      </c>
      <c r="AW1539" s="31">
        <f>IF($AU1539="","",IF(MATCH($AU1539,$AU$8:$AU$2007,0)=ROW()-7,MAX($AW$7:$AW1538)+1,""))</f>
        <v/>
      </c>
      <c r="AX1539" s="31">
        <f>IF(OR($AS1539="",$D$6=""),"",TRIM(INDEX($A:$AP,ROW(),$D$6)&amp;""))</f>
        <v/>
      </c>
      <c r="AY1539" s="31">
        <f>IF($AU1539="","",INDEX($AW$8:$AW$2007,MATCH($AU1539,$AU$8:$AU$2007,0)))</f>
        <v/>
      </c>
      <c r="AZ1539" s="31">
        <f>IF(OR($AS1539="",$C$6=""),"",TRIM(INDEX($A:$AP,ROW(),$C$6)&amp;""))</f>
        <v/>
      </c>
      <c r="BA1539" s="31">
        <f>IF($AZ1539="","",IF(COUNTIF($AZ$8:$AZ1539,$AZ1539)&gt;1,1,0))</f>
        <v/>
      </c>
    </row>
    <row r="1540">
      <c r="AR1540" s="31">
        <f>IF(OR($A$5="",$B$6="",ROW()&lt;$A$5),"",IF(INDEX($A:$AP,ROW(),$B$6)="","",INDEX($A:$AP,ROW(),$B$6)))</f>
        <v/>
      </c>
      <c r="AS1540" s="32">
        <f>IF($AR1540="","",IF(ISNUMBER($AR1540),IF($AR1540&gt;=10000000,IFERROR(DATE(INT($AR1540/10000),MOD(INT($AR1540/100),100),MOD($AR1540,100)),""),INT($AR1540)),IFERROR(DATE(--LEFT(LEFT(SUBSTITUTE(SUBSTITUTE(SUBSTITUTE(SUBSTITUTE(TRIM($AR1540),"-",""),".",""),"/","")," ",""),8),4),--MID(LEFT(SUBSTITUTE(SUBSTITUTE(SUBSTITUTE(SUBSTITUTE(TRIM($AR1540),"-",""),".",""),"/","")," ",""),8),5,2),--MID(LEFT(SUBSTITUTE(SUBSTITUTE(SUBSTITUTE(SUBSTITUTE(TRIM($AR1540),"-",""),".",""),"/","")," ",""),8),7,2)),"")))</f>
        <v/>
      </c>
      <c r="AT1540" s="33">
        <f>IF($AS1540="","",IF($F$6="",0,IF(ISNUMBER(INDEX($A:$AP,ROW(),$F$6)),INDEX($A:$AP,ROW(),$F$6),IFERROR(--SUBSTITUTE(SUBSTITUTE(TRIM(INDEX($A:$AP,ROW(),$F$6)),",",""),"원",""),0))))</f>
        <v/>
      </c>
      <c r="AU1540" s="31">
        <f>IF($AS1540="","",IF($AX1540&lt;&gt;"",SUBSTITUTE(SUBSTITUTE($AX1540,"-","")," ",""),"N:"&amp;$AV1540))</f>
        <v/>
      </c>
      <c r="AV1540" s="31">
        <f>IF(OR($AS1540="",$E$6=""),"",TRIM(INDEX($A:$AP,ROW(),$E$6)&amp;""))</f>
        <v/>
      </c>
      <c r="AW1540" s="31">
        <f>IF($AU1540="","",IF(MATCH($AU1540,$AU$8:$AU$2007,0)=ROW()-7,MAX($AW$7:$AW1539)+1,""))</f>
        <v/>
      </c>
      <c r="AX1540" s="31">
        <f>IF(OR($AS1540="",$D$6=""),"",TRIM(INDEX($A:$AP,ROW(),$D$6)&amp;""))</f>
        <v/>
      </c>
      <c r="AY1540" s="31">
        <f>IF($AU1540="","",INDEX($AW$8:$AW$2007,MATCH($AU1540,$AU$8:$AU$2007,0)))</f>
        <v/>
      </c>
      <c r="AZ1540" s="31">
        <f>IF(OR($AS1540="",$C$6=""),"",TRIM(INDEX($A:$AP,ROW(),$C$6)&amp;""))</f>
        <v/>
      </c>
      <c r="BA1540" s="31">
        <f>IF($AZ1540="","",IF(COUNTIF($AZ$8:$AZ1540,$AZ1540)&gt;1,1,0))</f>
        <v/>
      </c>
    </row>
    <row r="1541">
      <c r="AR1541" s="31">
        <f>IF(OR($A$5="",$B$6="",ROW()&lt;$A$5),"",IF(INDEX($A:$AP,ROW(),$B$6)="","",INDEX($A:$AP,ROW(),$B$6)))</f>
        <v/>
      </c>
      <c r="AS1541" s="32">
        <f>IF($AR1541="","",IF(ISNUMBER($AR1541),IF($AR1541&gt;=10000000,IFERROR(DATE(INT($AR1541/10000),MOD(INT($AR1541/100),100),MOD($AR1541,100)),""),INT($AR1541)),IFERROR(DATE(--LEFT(LEFT(SUBSTITUTE(SUBSTITUTE(SUBSTITUTE(SUBSTITUTE(TRIM($AR1541),"-",""),".",""),"/","")," ",""),8),4),--MID(LEFT(SUBSTITUTE(SUBSTITUTE(SUBSTITUTE(SUBSTITUTE(TRIM($AR1541),"-",""),".",""),"/","")," ",""),8),5,2),--MID(LEFT(SUBSTITUTE(SUBSTITUTE(SUBSTITUTE(SUBSTITUTE(TRIM($AR1541),"-",""),".",""),"/","")," ",""),8),7,2)),"")))</f>
        <v/>
      </c>
      <c r="AT1541" s="33">
        <f>IF($AS1541="","",IF($F$6="",0,IF(ISNUMBER(INDEX($A:$AP,ROW(),$F$6)),INDEX($A:$AP,ROW(),$F$6),IFERROR(--SUBSTITUTE(SUBSTITUTE(TRIM(INDEX($A:$AP,ROW(),$F$6)),",",""),"원",""),0))))</f>
        <v/>
      </c>
      <c r="AU1541" s="31">
        <f>IF($AS1541="","",IF($AX1541&lt;&gt;"",SUBSTITUTE(SUBSTITUTE($AX1541,"-","")," ",""),"N:"&amp;$AV1541))</f>
        <v/>
      </c>
      <c r="AV1541" s="31">
        <f>IF(OR($AS1541="",$E$6=""),"",TRIM(INDEX($A:$AP,ROW(),$E$6)&amp;""))</f>
        <v/>
      </c>
      <c r="AW1541" s="31">
        <f>IF($AU1541="","",IF(MATCH($AU1541,$AU$8:$AU$2007,0)=ROW()-7,MAX($AW$7:$AW1540)+1,""))</f>
        <v/>
      </c>
      <c r="AX1541" s="31">
        <f>IF(OR($AS1541="",$D$6=""),"",TRIM(INDEX($A:$AP,ROW(),$D$6)&amp;""))</f>
        <v/>
      </c>
      <c r="AY1541" s="31">
        <f>IF($AU1541="","",INDEX($AW$8:$AW$2007,MATCH($AU1541,$AU$8:$AU$2007,0)))</f>
        <v/>
      </c>
      <c r="AZ1541" s="31">
        <f>IF(OR($AS1541="",$C$6=""),"",TRIM(INDEX($A:$AP,ROW(),$C$6)&amp;""))</f>
        <v/>
      </c>
      <c r="BA1541" s="31">
        <f>IF($AZ1541="","",IF(COUNTIF($AZ$8:$AZ1541,$AZ1541)&gt;1,1,0))</f>
        <v/>
      </c>
    </row>
    <row r="1542">
      <c r="AR1542" s="31">
        <f>IF(OR($A$5="",$B$6="",ROW()&lt;$A$5),"",IF(INDEX($A:$AP,ROW(),$B$6)="","",INDEX($A:$AP,ROW(),$B$6)))</f>
        <v/>
      </c>
      <c r="AS1542" s="32">
        <f>IF($AR1542="","",IF(ISNUMBER($AR1542),IF($AR1542&gt;=10000000,IFERROR(DATE(INT($AR1542/10000),MOD(INT($AR1542/100),100),MOD($AR1542,100)),""),INT($AR1542)),IFERROR(DATE(--LEFT(LEFT(SUBSTITUTE(SUBSTITUTE(SUBSTITUTE(SUBSTITUTE(TRIM($AR1542),"-",""),".",""),"/","")," ",""),8),4),--MID(LEFT(SUBSTITUTE(SUBSTITUTE(SUBSTITUTE(SUBSTITUTE(TRIM($AR1542),"-",""),".",""),"/","")," ",""),8),5,2),--MID(LEFT(SUBSTITUTE(SUBSTITUTE(SUBSTITUTE(SUBSTITUTE(TRIM($AR1542),"-",""),".",""),"/","")," ",""),8),7,2)),"")))</f>
        <v/>
      </c>
      <c r="AT1542" s="33">
        <f>IF($AS1542="","",IF($F$6="",0,IF(ISNUMBER(INDEX($A:$AP,ROW(),$F$6)),INDEX($A:$AP,ROW(),$F$6),IFERROR(--SUBSTITUTE(SUBSTITUTE(TRIM(INDEX($A:$AP,ROW(),$F$6)),",",""),"원",""),0))))</f>
        <v/>
      </c>
      <c r="AU1542" s="31">
        <f>IF($AS1542="","",IF($AX1542&lt;&gt;"",SUBSTITUTE(SUBSTITUTE($AX1542,"-","")," ",""),"N:"&amp;$AV1542))</f>
        <v/>
      </c>
      <c r="AV1542" s="31">
        <f>IF(OR($AS1542="",$E$6=""),"",TRIM(INDEX($A:$AP,ROW(),$E$6)&amp;""))</f>
        <v/>
      </c>
      <c r="AW1542" s="31">
        <f>IF($AU1542="","",IF(MATCH($AU1542,$AU$8:$AU$2007,0)=ROW()-7,MAX($AW$7:$AW1541)+1,""))</f>
        <v/>
      </c>
      <c r="AX1542" s="31">
        <f>IF(OR($AS1542="",$D$6=""),"",TRIM(INDEX($A:$AP,ROW(),$D$6)&amp;""))</f>
        <v/>
      </c>
      <c r="AY1542" s="31">
        <f>IF($AU1542="","",INDEX($AW$8:$AW$2007,MATCH($AU1542,$AU$8:$AU$2007,0)))</f>
        <v/>
      </c>
      <c r="AZ1542" s="31">
        <f>IF(OR($AS1542="",$C$6=""),"",TRIM(INDEX($A:$AP,ROW(),$C$6)&amp;""))</f>
        <v/>
      </c>
      <c r="BA1542" s="31">
        <f>IF($AZ1542="","",IF(COUNTIF($AZ$8:$AZ1542,$AZ1542)&gt;1,1,0))</f>
        <v/>
      </c>
    </row>
    <row r="1543">
      <c r="AR1543" s="31">
        <f>IF(OR($A$5="",$B$6="",ROW()&lt;$A$5),"",IF(INDEX($A:$AP,ROW(),$B$6)="","",INDEX($A:$AP,ROW(),$B$6)))</f>
        <v/>
      </c>
      <c r="AS1543" s="32">
        <f>IF($AR1543="","",IF(ISNUMBER($AR1543),IF($AR1543&gt;=10000000,IFERROR(DATE(INT($AR1543/10000),MOD(INT($AR1543/100),100),MOD($AR1543,100)),""),INT($AR1543)),IFERROR(DATE(--LEFT(LEFT(SUBSTITUTE(SUBSTITUTE(SUBSTITUTE(SUBSTITUTE(TRIM($AR1543),"-",""),".",""),"/","")," ",""),8),4),--MID(LEFT(SUBSTITUTE(SUBSTITUTE(SUBSTITUTE(SUBSTITUTE(TRIM($AR1543),"-",""),".",""),"/","")," ",""),8),5,2),--MID(LEFT(SUBSTITUTE(SUBSTITUTE(SUBSTITUTE(SUBSTITUTE(TRIM($AR1543),"-",""),".",""),"/","")," ",""),8),7,2)),"")))</f>
        <v/>
      </c>
      <c r="AT1543" s="33">
        <f>IF($AS1543="","",IF($F$6="",0,IF(ISNUMBER(INDEX($A:$AP,ROW(),$F$6)),INDEX($A:$AP,ROW(),$F$6),IFERROR(--SUBSTITUTE(SUBSTITUTE(TRIM(INDEX($A:$AP,ROW(),$F$6)),",",""),"원",""),0))))</f>
        <v/>
      </c>
      <c r="AU1543" s="31">
        <f>IF($AS1543="","",IF($AX1543&lt;&gt;"",SUBSTITUTE(SUBSTITUTE($AX1543,"-","")," ",""),"N:"&amp;$AV1543))</f>
        <v/>
      </c>
      <c r="AV1543" s="31">
        <f>IF(OR($AS1543="",$E$6=""),"",TRIM(INDEX($A:$AP,ROW(),$E$6)&amp;""))</f>
        <v/>
      </c>
      <c r="AW1543" s="31">
        <f>IF($AU1543="","",IF(MATCH($AU1543,$AU$8:$AU$2007,0)=ROW()-7,MAX($AW$7:$AW1542)+1,""))</f>
        <v/>
      </c>
      <c r="AX1543" s="31">
        <f>IF(OR($AS1543="",$D$6=""),"",TRIM(INDEX($A:$AP,ROW(),$D$6)&amp;""))</f>
        <v/>
      </c>
      <c r="AY1543" s="31">
        <f>IF($AU1543="","",INDEX($AW$8:$AW$2007,MATCH($AU1543,$AU$8:$AU$2007,0)))</f>
        <v/>
      </c>
      <c r="AZ1543" s="31">
        <f>IF(OR($AS1543="",$C$6=""),"",TRIM(INDEX($A:$AP,ROW(),$C$6)&amp;""))</f>
        <v/>
      </c>
      <c r="BA1543" s="31">
        <f>IF($AZ1543="","",IF(COUNTIF($AZ$8:$AZ1543,$AZ1543)&gt;1,1,0))</f>
        <v/>
      </c>
    </row>
    <row r="1544">
      <c r="AR1544" s="31">
        <f>IF(OR($A$5="",$B$6="",ROW()&lt;$A$5),"",IF(INDEX($A:$AP,ROW(),$B$6)="","",INDEX($A:$AP,ROW(),$B$6)))</f>
        <v/>
      </c>
      <c r="AS1544" s="32">
        <f>IF($AR1544="","",IF(ISNUMBER($AR1544),IF($AR1544&gt;=10000000,IFERROR(DATE(INT($AR1544/10000),MOD(INT($AR1544/100),100),MOD($AR1544,100)),""),INT($AR1544)),IFERROR(DATE(--LEFT(LEFT(SUBSTITUTE(SUBSTITUTE(SUBSTITUTE(SUBSTITUTE(TRIM($AR1544),"-",""),".",""),"/","")," ",""),8),4),--MID(LEFT(SUBSTITUTE(SUBSTITUTE(SUBSTITUTE(SUBSTITUTE(TRIM($AR1544),"-",""),".",""),"/","")," ",""),8),5,2),--MID(LEFT(SUBSTITUTE(SUBSTITUTE(SUBSTITUTE(SUBSTITUTE(TRIM($AR1544),"-",""),".",""),"/","")," ",""),8),7,2)),"")))</f>
        <v/>
      </c>
      <c r="AT1544" s="33">
        <f>IF($AS1544="","",IF($F$6="",0,IF(ISNUMBER(INDEX($A:$AP,ROW(),$F$6)),INDEX($A:$AP,ROW(),$F$6),IFERROR(--SUBSTITUTE(SUBSTITUTE(TRIM(INDEX($A:$AP,ROW(),$F$6)),",",""),"원",""),0))))</f>
        <v/>
      </c>
      <c r="AU1544" s="31">
        <f>IF($AS1544="","",IF($AX1544&lt;&gt;"",SUBSTITUTE(SUBSTITUTE($AX1544,"-","")," ",""),"N:"&amp;$AV1544))</f>
        <v/>
      </c>
      <c r="AV1544" s="31">
        <f>IF(OR($AS1544="",$E$6=""),"",TRIM(INDEX($A:$AP,ROW(),$E$6)&amp;""))</f>
        <v/>
      </c>
      <c r="AW1544" s="31">
        <f>IF($AU1544="","",IF(MATCH($AU1544,$AU$8:$AU$2007,0)=ROW()-7,MAX($AW$7:$AW1543)+1,""))</f>
        <v/>
      </c>
      <c r="AX1544" s="31">
        <f>IF(OR($AS1544="",$D$6=""),"",TRIM(INDEX($A:$AP,ROW(),$D$6)&amp;""))</f>
        <v/>
      </c>
      <c r="AY1544" s="31">
        <f>IF($AU1544="","",INDEX($AW$8:$AW$2007,MATCH($AU1544,$AU$8:$AU$2007,0)))</f>
        <v/>
      </c>
      <c r="AZ1544" s="31">
        <f>IF(OR($AS1544="",$C$6=""),"",TRIM(INDEX($A:$AP,ROW(),$C$6)&amp;""))</f>
        <v/>
      </c>
      <c r="BA1544" s="31">
        <f>IF($AZ1544="","",IF(COUNTIF($AZ$8:$AZ1544,$AZ1544)&gt;1,1,0))</f>
        <v/>
      </c>
    </row>
    <row r="1545">
      <c r="AR1545" s="31">
        <f>IF(OR($A$5="",$B$6="",ROW()&lt;$A$5),"",IF(INDEX($A:$AP,ROW(),$B$6)="","",INDEX($A:$AP,ROW(),$B$6)))</f>
        <v/>
      </c>
      <c r="AS1545" s="32">
        <f>IF($AR1545="","",IF(ISNUMBER($AR1545),IF($AR1545&gt;=10000000,IFERROR(DATE(INT($AR1545/10000),MOD(INT($AR1545/100),100),MOD($AR1545,100)),""),INT($AR1545)),IFERROR(DATE(--LEFT(LEFT(SUBSTITUTE(SUBSTITUTE(SUBSTITUTE(SUBSTITUTE(TRIM($AR1545),"-",""),".",""),"/","")," ",""),8),4),--MID(LEFT(SUBSTITUTE(SUBSTITUTE(SUBSTITUTE(SUBSTITUTE(TRIM($AR1545),"-",""),".",""),"/","")," ",""),8),5,2),--MID(LEFT(SUBSTITUTE(SUBSTITUTE(SUBSTITUTE(SUBSTITUTE(TRIM($AR1545),"-",""),".",""),"/","")," ",""),8),7,2)),"")))</f>
        <v/>
      </c>
      <c r="AT1545" s="33">
        <f>IF($AS1545="","",IF($F$6="",0,IF(ISNUMBER(INDEX($A:$AP,ROW(),$F$6)),INDEX($A:$AP,ROW(),$F$6),IFERROR(--SUBSTITUTE(SUBSTITUTE(TRIM(INDEX($A:$AP,ROW(),$F$6)),",",""),"원",""),0))))</f>
        <v/>
      </c>
      <c r="AU1545" s="31">
        <f>IF($AS1545="","",IF($AX1545&lt;&gt;"",SUBSTITUTE(SUBSTITUTE($AX1545,"-","")," ",""),"N:"&amp;$AV1545))</f>
        <v/>
      </c>
      <c r="AV1545" s="31">
        <f>IF(OR($AS1545="",$E$6=""),"",TRIM(INDEX($A:$AP,ROW(),$E$6)&amp;""))</f>
        <v/>
      </c>
      <c r="AW1545" s="31">
        <f>IF($AU1545="","",IF(MATCH($AU1545,$AU$8:$AU$2007,0)=ROW()-7,MAX($AW$7:$AW1544)+1,""))</f>
        <v/>
      </c>
      <c r="AX1545" s="31">
        <f>IF(OR($AS1545="",$D$6=""),"",TRIM(INDEX($A:$AP,ROW(),$D$6)&amp;""))</f>
        <v/>
      </c>
      <c r="AY1545" s="31">
        <f>IF($AU1545="","",INDEX($AW$8:$AW$2007,MATCH($AU1545,$AU$8:$AU$2007,0)))</f>
        <v/>
      </c>
      <c r="AZ1545" s="31">
        <f>IF(OR($AS1545="",$C$6=""),"",TRIM(INDEX($A:$AP,ROW(),$C$6)&amp;""))</f>
        <v/>
      </c>
      <c r="BA1545" s="31">
        <f>IF($AZ1545="","",IF(COUNTIF($AZ$8:$AZ1545,$AZ1545)&gt;1,1,0))</f>
        <v/>
      </c>
    </row>
    <row r="1546">
      <c r="AR1546" s="31">
        <f>IF(OR($A$5="",$B$6="",ROW()&lt;$A$5),"",IF(INDEX($A:$AP,ROW(),$B$6)="","",INDEX($A:$AP,ROW(),$B$6)))</f>
        <v/>
      </c>
      <c r="AS1546" s="32">
        <f>IF($AR1546="","",IF(ISNUMBER($AR1546),IF($AR1546&gt;=10000000,IFERROR(DATE(INT($AR1546/10000),MOD(INT($AR1546/100),100),MOD($AR1546,100)),""),INT($AR1546)),IFERROR(DATE(--LEFT(LEFT(SUBSTITUTE(SUBSTITUTE(SUBSTITUTE(SUBSTITUTE(TRIM($AR1546),"-",""),".",""),"/","")," ",""),8),4),--MID(LEFT(SUBSTITUTE(SUBSTITUTE(SUBSTITUTE(SUBSTITUTE(TRIM($AR1546),"-",""),".",""),"/","")," ",""),8),5,2),--MID(LEFT(SUBSTITUTE(SUBSTITUTE(SUBSTITUTE(SUBSTITUTE(TRIM($AR1546),"-",""),".",""),"/","")," ",""),8),7,2)),"")))</f>
        <v/>
      </c>
      <c r="AT1546" s="33">
        <f>IF($AS1546="","",IF($F$6="",0,IF(ISNUMBER(INDEX($A:$AP,ROW(),$F$6)),INDEX($A:$AP,ROW(),$F$6),IFERROR(--SUBSTITUTE(SUBSTITUTE(TRIM(INDEX($A:$AP,ROW(),$F$6)),",",""),"원",""),0))))</f>
        <v/>
      </c>
      <c r="AU1546" s="31">
        <f>IF($AS1546="","",IF($AX1546&lt;&gt;"",SUBSTITUTE(SUBSTITUTE($AX1546,"-","")," ",""),"N:"&amp;$AV1546))</f>
        <v/>
      </c>
      <c r="AV1546" s="31">
        <f>IF(OR($AS1546="",$E$6=""),"",TRIM(INDEX($A:$AP,ROW(),$E$6)&amp;""))</f>
        <v/>
      </c>
      <c r="AW1546" s="31">
        <f>IF($AU1546="","",IF(MATCH($AU1546,$AU$8:$AU$2007,0)=ROW()-7,MAX($AW$7:$AW1545)+1,""))</f>
        <v/>
      </c>
      <c r="AX1546" s="31">
        <f>IF(OR($AS1546="",$D$6=""),"",TRIM(INDEX($A:$AP,ROW(),$D$6)&amp;""))</f>
        <v/>
      </c>
      <c r="AY1546" s="31">
        <f>IF($AU1546="","",INDEX($AW$8:$AW$2007,MATCH($AU1546,$AU$8:$AU$2007,0)))</f>
        <v/>
      </c>
      <c r="AZ1546" s="31">
        <f>IF(OR($AS1546="",$C$6=""),"",TRIM(INDEX($A:$AP,ROW(),$C$6)&amp;""))</f>
        <v/>
      </c>
      <c r="BA1546" s="31">
        <f>IF($AZ1546="","",IF(COUNTIF($AZ$8:$AZ1546,$AZ1546)&gt;1,1,0))</f>
        <v/>
      </c>
    </row>
    <row r="1547">
      <c r="AR1547" s="31">
        <f>IF(OR($A$5="",$B$6="",ROW()&lt;$A$5),"",IF(INDEX($A:$AP,ROW(),$B$6)="","",INDEX($A:$AP,ROW(),$B$6)))</f>
        <v/>
      </c>
      <c r="AS1547" s="32">
        <f>IF($AR1547="","",IF(ISNUMBER($AR1547),IF($AR1547&gt;=10000000,IFERROR(DATE(INT($AR1547/10000),MOD(INT($AR1547/100),100),MOD($AR1547,100)),""),INT($AR1547)),IFERROR(DATE(--LEFT(LEFT(SUBSTITUTE(SUBSTITUTE(SUBSTITUTE(SUBSTITUTE(TRIM($AR1547),"-",""),".",""),"/","")," ",""),8),4),--MID(LEFT(SUBSTITUTE(SUBSTITUTE(SUBSTITUTE(SUBSTITUTE(TRIM($AR1547),"-",""),".",""),"/","")," ",""),8),5,2),--MID(LEFT(SUBSTITUTE(SUBSTITUTE(SUBSTITUTE(SUBSTITUTE(TRIM($AR1547),"-",""),".",""),"/","")," ",""),8),7,2)),"")))</f>
        <v/>
      </c>
      <c r="AT1547" s="33">
        <f>IF($AS1547="","",IF($F$6="",0,IF(ISNUMBER(INDEX($A:$AP,ROW(),$F$6)),INDEX($A:$AP,ROW(),$F$6),IFERROR(--SUBSTITUTE(SUBSTITUTE(TRIM(INDEX($A:$AP,ROW(),$F$6)),",",""),"원",""),0))))</f>
        <v/>
      </c>
      <c r="AU1547" s="31">
        <f>IF($AS1547="","",IF($AX1547&lt;&gt;"",SUBSTITUTE(SUBSTITUTE($AX1547,"-","")," ",""),"N:"&amp;$AV1547))</f>
        <v/>
      </c>
      <c r="AV1547" s="31">
        <f>IF(OR($AS1547="",$E$6=""),"",TRIM(INDEX($A:$AP,ROW(),$E$6)&amp;""))</f>
        <v/>
      </c>
      <c r="AW1547" s="31">
        <f>IF($AU1547="","",IF(MATCH($AU1547,$AU$8:$AU$2007,0)=ROW()-7,MAX($AW$7:$AW1546)+1,""))</f>
        <v/>
      </c>
      <c r="AX1547" s="31">
        <f>IF(OR($AS1547="",$D$6=""),"",TRIM(INDEX($A:$AP,ROW(),$D$6)&amp;""))</f>
        <v/>
      </c>
      <c r="AY1547" s="31">
        <f>IF($AU1547="","",INDEX($AW$8:$AW$2007,MATCH($AU1547,$AU$8:$AU$2007,0)))</f>
        <v/>
      </c>
      <c r="AZ1547" s="31">
        <f>IF(OR($AS1547="",$C$6=""),"",TRIM(INDEX($A:$AP,ROW(),$C$6)&amp;""))</f>
        <v/>
      </c>
      <c r="BA1547" s="31">
        <f>IF($AZ1547="","",IF(COUNTIF($AZ$8:$AZ1547,$AZ1547)&gt;1,1,0))</f>
        <v/>
      </c>
    </row>
    <row r="1548">
      <c r="AR1548" s="31">
        <f>IF(OR($A$5="",$B$6="",ROW()&lt;$A$5),"",IF(INDEX($A:$AP,ROW(),$B$6)="","",INDEX($A:$AP,ROW(),$B$6)))</f>
        <v/>
      </c>
      <c r="AS1548" s="32">
        <f>IF($AR1548="","",IF(ISNUMBER($AR1548),IF($AR1548&gt;=10000000,IFERROR(DATE(INT($AR1548/10000),MOD(INT($AR1548/100),100),MOD($AR1548,100)),""),INT($AR1548)),IFERROR(DATE(--LEFT(LEFT(SUBSTITUTE(SUBSTITUTE(SUBSTITUTE(SUBSTITUTE(TRIM($AR1548),"-",""),".",""),"/","")," ",""),8),4),--MID(LEFT(SUBSTITUTE(SUBSTITUTE(SUBSTITUTE(SUBSTITUTE(TRIM($AR1548),"-",""),".",""),"/","")," ",""),8),5,2),--MID(LEFT(SUBSTITUTE(SUBSTITUTE(SUBSTITUTE(SUBSTITUTE(TRIM($AR1548),"-",""),".",""),"/","")," ",""),8),7,2)),"")))</f>
        <v/>
      </c>
      <c r="AT1548" s="33">
        <f>IF($AS1548="","",IF($F$6="",0,IF(ISNUMBER(INDEX($A:$AP,ROW(),$F$6)),INDEX($A:$AP,ROW(),$F$6),IFERROR(--SUBSTITUTE(SUBSTITUTE(TRIM(INDEX($A:$AP,ROW(),$F$6)),",",""),"원",""),0))))</f>
        <v/>
      </c>
      <c r="AU1548" s="31">
        <f>IF($AS1548="","",IF($AX1548&lt;&gt;"",SUBSTITUTE(SUBSTITUTE($AX1548,"-","")," ",""),"N:"&amp;$AV1548))</f>
        <v/>
      </c>
      <c r="AV1548" s="31">
        <f>IF(OR($AS1548="",$E$6=""),"",TRIM(INDEX($A:$AP,ROW(),$E$6)&amp;""))</f>
        <v/>
      </c>
      <c r="AW1548" s="31">
        <f>IF($AU1548="","",IF(MATCH($AU1548,$AU$8:$AU$2007,0)=ROW()-7,MAX($AW$7:$AW1547)+1,""))</f>
        <v/>
      </c>
      <c r="AX1548" s="31">
        <f>IF(OR($AS1548="",$D$6=""),"",TRIM(INDEX($A:$AP,ROW(),$D$6)&amp;""))</f>
        <v/>
      </c>
      <c r="AY1548" s="31">
        <f>IF($AU1548="","",INDEX($AW$8:$AW$2007,MATCH($AU1548,$AU$8:$AU$2007,0)))</f>
        <v/>
      </c>
      <c r="AZ1548" s="31">
        <f>IF(OR($AS1548="",$C$6=""),"",TRIM(INDEX($A:$AP,ROW(),$C$6)&amp;""))</f>
        <v/>
      </c>
      <c r="BA1548" s="31">
        <f>IF($AZ1548="","",IF(COUNTIF($AZ$8:$AZ1548,$AZ1548)&gt;1,1,0))</f>
        <v/>
      </c>
    </row>
    <row r="1549">
      <c r="AR1549" s="31">
        <f>IF(OR($A$5="",$B$6="",ROW()&lt;$A$5),"",IF(INDEX($A:$AP,ROW(),$B$6)="","",INDEX($A:$AP,ROW(),$B$6)))</f>
        <v/>
      </c>
      <c r="AS1549" s="32">
        <f>IF($AR1549="","",IF(ISNUMBER($AR1549),IF($AR1549&gt;=10000000,IFERROR(DATE(INT($AR1549/10000),MOD(INT($AR1549/100),100),MOD($AR1549,100)),""),INT($AR1549)),IFERROR(DATE(--LEFT(LEFT(SUBSTITUTE(SUBSTITUTE(SUBSTITUTE(SUBSTITUTE(TRIM($AR1549),"-",""),".",""),"/","")," ",""),8),4),--MID(LEFT(SUBSTITUTE(SUBSTITUTE(SUBSTITUTE(SUBSTITUTE(TRIM($AR1549),"-",""),".",""),"/","")," ",""),8),5,2),--MID(LEFT(SUBSTITUTE(SUBSTITUTE(SUBSTITUTE(SUBSTITUTE(TRIM($AR1549),"-",""),".",""),"/","")," ",""),8),7,2)),"")))</f>
        <v/>
      </c>
      <c r="AT1549" s="33">
        <f>IF($AS1549="","",IF($F$6="",0,IF(ISNUMBER(INDEX($A:$AP,ROW(),$F$6)),INDEX($A:$AP,ROW(),$F$6),IFERROR(--SUBSTITUTE(SUBSTITUTE(TRIM(INDEX($A:$AP,ROW(),$F$6)),",",""),"원",""),0))))</f>
        <v/>
      </c>
      <c r="AU1549" s="31">
        <f>IF($AS1549="","",IF($AX1549&lt;&gt;"",SUBSTITUTE(SUBSTITUTE($AX1549,"-","")," ",""),"N:"&amp;$AV1549))</f>
        <v/>
      </c>
      <c r="AV1549" s="31">
        <f>IF(OR($AS1549="",$E$6=""),"",TRIM(INDEX($A:$AP,ROW(),$E$6)&amp;""))</f>
        <v/>
      </c>
      <c r="AW1549" s="31">
        <f>IF($AU1549="","",IF(MATCH($AU1549,$AU$8:$AU$2007,0)=ROW()-7,MAX($AW$7:$AW1548)+1,""))</f>
        <v/>
      </c>
      <c r="AX1549" s="31">
        <f>IF(OR($AS1549="",$D$6=""),"",TRIM(INDEX($A:$AP,ROW(),$D$6)&amp;""))</f>
        <v/>
      </c>
      <c r="AY1549" s="31">
        <f>IF($AU1549="","",INDEX($AW$8:$AW$2007,MATCH($AU1549,$AU$8:$AU$2007,0)))</f>
        <v/>
      </c>
      <c r="AZ1549" s="31">
        <f>IF(OR($AS1549="",$C$6=""),"",TRIM(INDEX($A:$AP,ROW(),$C$6)&amp;""))</f>
        <v/>
      </c>
      <c r="BA1549" s="31">
        <f>IF($AZ1549="","",IF(COUNTIF($AZ$8:$AZ1549,$AZ1549)&gt;1,1,0))</f>
        <v/>
      </c>
    </row>
    <row r="1550">
      <c r="AR1550" s="31">
        <f>IF(OR($A$5="",$B$6="",ROW()&lt;$A$5),"",IF(INDEX($A:$AP,ROW(),$B$6)="","",INDEX($A:$AP,ROW(),$B$6)))</f>
        <v/>
      </c>
      <c r="AS1550" s="32">
        <f>IF($AR1550="","",IF(ISNUMBER($AR1550),IF($AR1550&gt;=10000000,IFERROR(DATE(INT($AR1550/10000),MOD(INT($AR1550/100),100),MOD($AR1550,100)),""),INT($AR1550)),IFERROR(DATE(--LEFT(LEFT(SUBSTITUTE(SUBSTITUTE(SUBSTITUTE(SUBSTITUTE(TRIM($AR1550),"-",""),".",""),"/","")," ",""),8),4),--MID(LEFT(SUBSTITUTE(SUBSTITUTE(SUBSTITUTE(SUBSTITUTE(TRIM($AR1550),"-",""),".",""),"/","")," ",""),8),5,2),--MID(LEFT(SUBSTITUTE(SUBSTITUTE(SUBSTITUTE(SUBSTITUTE(TRIM($AR1550),"-",""),".",""),"/","")," ",""),8),7,2)),"")))</f>
        <v/>
      </c>
      <c r="AT1550" s="33">
        <f>IF($AS1550="","",IF($F$6="",0,IF(ISNUMBER(INDEX($A:$AP,ROW(),$F$6)),INDEX($A:$AP,ROW(),$F$6),IFERROR(--SUBSTITUTE(SUBSTITUTE(TRIM(INDEX($A:$AP,ROW(),$F$6)),",",""),"원",""),0))))</f>
        <v/>
      </c>
      <c r="AU1550" s="31">
        <f>IF($AS1550="","",IF($AX1550&lt;&gt;"",SUBSTITUTE(SUBSTITUTE($AX1550,"-","")," ",""),"N:"&amp;$AV1550))</f>
        <v/>
      </c>
      <c r="AV1550" s="31">
        <f>IF(OR($AS1550="",$E$6=""),"",TRIM(INDEX($A:$AP,ROW(),$E$6)&amp;""))</f>
        <v/>
      </c>
      <c r="AW1550" s="31">
        <f>IF($AU1550="","",IF(MATCH($AU1550,$AU$8:$AU$2007,0)=ROW()-7,MAX($AW$7:$AW1549)+1,""))</f>
        <v/>
      </c>
      <c r="AX1550" s="31">
        <f>IF(OR($AS1550="",$D$6=""),"",TRIM(INDEX($A:$AP,ROW(),$D$6)&amp;""))</f>
        <v/>
      </c>
      <c r="AY1550" s="31">
        <f>IF($AU1550="","",INDEX($AW$8:$AW$2007,MATCH($AU1550,$AU$8:$AU$2007,0)))</f>
        <v/>
      </c>
      <c r="AZ1550" s="31">
        <f>IF(OR($AS1550="",$C$6=""),"",TRIM(INDEX($A:$AP,ROW(),$C$6)&amp;""))</f>
        <v/>
      </c>
      <c r="BA1550" s="31">
        <f>IF($AZ1550="","",IF(COUNTIF($AZ$8:$AZ1550,$AZ1550)&gt;1,1,0))</f>
        <v/>
      </c>
    </row>
    <row r="1551">
      <c r="AR1551" s="31">
        <f>IF(OR($A$5="",$B$6="",ROW()&lt;$A$5),"",IF(INDEX($A:$AP,ROW(),$B$6)="","",INDEX($A:$AP,ROW(),$B$6)))</f>
        <v/>
      </c>
      <c r="AS1551" s="32">
        <f>IF($AR1551="","",IF(ISNUMBER($AR1551),IF($AR1551&gt;=10000000,IFERROR(DATE(INT($AR1551/10000),MOD(INT($AR1551/100),100),MOD($AR1551,100)),""),INT($AR1551)),IFERROR(DATE(--LEFT(LEFT(SUBSTITUTE(SUBSTITUTE(SUBSTITUTE(SUBSTITUTE(TRIM($AR1551),"-",""),".",""),"/","")," ",""),8),4),--MID(LEFT(SUBSTITUTE(SUBSTITUTE(SUBSTITUTE(SUBSTITUTE(TRIM($AR1551),"-",""),".",""),"/","")," ",""),8),5,2),--MID(LEFT(SUBSTITUTE(SUBSTITUTE(SUBSTITUTE(SUBSTITUTE(TRIM($AR1551),"-",""),".",""),"/","")," ",""),8),7,2)),"")))</f>
        <v/>
      </c>
      <c r="AT1551" s="33">
        <f>IF($AS1551="","",IF($F$6="",0,IF(ISNUMBER(INDEX($A:$AP,ROW(),$F$6)),INDEX($A:$AP,ROW(),$F$6),IFERROR(--SUBSTITUTE(SUBSTITUTE(TRIM(INDEX($A:$AP,ROW(),$F$6)),",",""),"원",""),0))))</f>
        <v/>
      </c>
      <c r="AU1551" s="31">
        <f>IF($AS1551="","",IF($AX1551&lt;&gt;"",SUBSTITUTE(SUBSTITUTE($AX1551,"-","")," ",""),"N:"&amp;$AV1551))</f>
        <v/>
      </c>
      <c r="AV1551" s="31">
        <f>IF(OR($AS1551="",$E$6=""),"",TRIM(INDEX($A:$AP,ROW(),$E$6)&amp;""))</f>
        <v/>
      </c>
      <c r="AW1551" s="31">
        <f>IF($AU1551="","",IF(MATCH($AU1551,$AU$8:$AU$2007,0)=ROW()-7,MAX($AW$7:$AW1550)+1,""))</f>
        <v/>
      </c>
      <c r="AX1551" s="31">
        <f>IF(OR($AS1551="",$D$6=""),"",TRIM(INDEX($A:$AP,ROW(),$D$6)&amp;""))</f>
        <v/>
      </c>
      <c r="AY1551" s="31">
        <f>IF($AU1551="","",INDEX($AW$8:$AW$2007,MATCH($AU1551,$AU$8:$AU$2007,0)))</f>
        <v/>
      </c>
      <c r="AZ1551" s="31">
        <f>IF(OR($AS1551="",$C$6=""),"",TRIM(INDEX($A:$AP,ROW(),$C$6)&amp;""))</f>
        <v/>
      </c>
      <c r="BA1551" s="31">
        <f>IF($AZ1551="","",IF(COUNTIF($AZ$8:$AZ1551,$AZ1551)&gt;1,1,0))</f>
        <v/>
      </c>
    </row>
    <row r="1552">
      <c r="AR1552" s="31">
        <f>IF(OR($A$5="",$B$6="",ROW()&lt;$A$5),"",IF(INDEX($A:$AP,ROW(),$B$6)="","",INDEX($A:$AP,ROW(),$B$6)))</f>
        <v/>
      </c>
      <c r="AS1552" s="32">
        <f>IF($AR1552="","",IF(ISNUMBER($AR1552),IF($AR1552&gt;=10000000,IFERROR(DATE(INT($AR1552/10000),MOD(INT($AR1552/100),100),MOD($AR1552,100)),""),INT($AR1552)),IFERROR(DATE(--LEFT(LEFT(SUBSTITUTE(SUBSTITUTE(SUBSTITUTE(SUBSTITUTE(TRIM($AR1552),"-",""),".",""),"/","")," ",""),8),4),--MID(LEFT(SUBSTITUTE(SUBSTITUTE(SUBSTITUTE(SUBSTITUTE(TRIM($AR1552),"-",""),".",""),"/","")," ",""),8),5,2),--MID(LEFT(SUBSTITUTE(SUBSTITUTE(SUBSTITUTE(SUBSTITUTE(TRIM($AR1552),"-",""),".",""),"/","")," ",""),8),7,2)),"")))</f>
        <v/>
      </c>
      <c r="AT1552" s="33">
        <f>IF($AS1552="","",IF($F$6="",0,IF(ISNUMBER(INDEX($A:$AP,ROW(),$F$6)),INDEX($A:$AP,ROW(),$F$6),IFERROR(--SUBSTITUTE(SUBSTITUTE(TRIM(INDEX($A:$AP,ROW(),$F$6)),",",""),"원",""),0))))</f>
        <v/>
      </c>
      <c r="AU1552" s="31">
        <f>IF($AS1552="","",IF($AX1552&lt;&gt;"",SUBSTITUTE(SUBSTITUTE($AX1552,"-","")," ",""),"N:"&amp;$AV1552))</f>
        <v/>
      </c>
      <c r="AV1552" s="31">
        <f>IF(OR($AS1552="",$E$6=""),"",TRIM(INDEX($A:$AP,ROW(),$E$6)&amp;""))</f>
        <v/>
      </c>
      <c r="AW1552" s="31">
        <f>IF($AU1552="","",IF(MATCH($AU1552,$AU$8:$AU$2007,0)=ROW()-7,MAX($AW$7:$AW1551)+1,""))</f>
        <v/>
      </c>
      <c r="AX1552" s="31">
        <f>IF(OR($AS1552="",$D$6=""),"",TRIM(INDEX($A:$AP,ROW(),$D$6)&amp;""))</f>
        <v/>
      </c>
      <c r="AY1552" s="31">
        <f>IF($AU1552="","",INDEX($AW$8:$AW$2007,MATCH($AU1552,$AU$8:$AU$2007,0)))</f>
        <v/>
      </c>
      <c r="AZ1552" s="31">
        <f>IF(OR($AS1552="",$C$6=""),"",TRIM(INDEX($A:$AP,ROW(),$C$6)&amp;""))</f>
        <v/>
      </c>
      <c r="BA1552" s="31">
        <f>IF($AZ1552="","",IF(COUNTIF($AZ$8:$AZ1552,$AZ1552)&gt;1,1,0))</f>
        <v/>
      </c>
    </row>
    <row r="1553">
      <c r="AR1553" s="31">
        <f>IF(OR($A$5="",$B$6="",ROW()&lt;$A$5),"",IF(INDEX($A:$AP,ROW(),$B$6)="","",INDEX($A:$AP,ROW(),$B$6)))</f>
        <v/>
      </c>
      <c r="AS1553" s="32">
        <f>IF($AR1553="","",IF(ISNUMBER($AR1553),IF($AR1553&gt;=10000000,IFERROR(DATE(INT($AR1553/10000),MOD(INT($AR1553/100),100),MOD($AR1553,100)),""),INT($AR1553)),IFERROR(DATE(--LEFT(LEFT(SUBSTITUTE(SUBSTITUTE(SUBSTITUTE(SUBSTITUTE(TRIM($AR1553),"-",""),".",""),"/","")," ",""),8),4),--MID(LEFT(SUBSTITUTE(SUBSTITUTE(SUBSTITUTE(SUBSTITUTE(TRIM($AR1553),"-",""),".",""),"/","")," ",""),8),5,2),--MID(LEFT(SUBSTITUTE(SUBSTITUTE(SUBSTITUTE(SUBSTITUTE(TRIM($AR1553),"-",""),".",""),"/","")," ",""),8),7,2)),"")))</f>
        <v/>
      </c>
      <c r="AT1553" s="33">
        <f>IF($AS1553="","",IF($F$6="",0,IF(ISNUMBER(INDEX($A:$AP,ROW(),$F$6)),INDEX($A:$AP,ROW(),$F$6),IFERROR(--SUBSTITUTE(SUBSTITUTE(TRIM(INDEX($A:$AP,ROW(),$F$6)),",",""),"원",""),0))))</f>
        <v/>
      </c>
      <c r="AU1553" s="31">
        <f>IF($AS1553="","",IF($AX1553&lt;&gt;"",SUBSTITUTE(SUBSTITUTE($AX1553,"-","")," ",""),"N:"&amp;$AV1553))</f>
        <v/>
      </c>
      <c r="AV1553" s="31">
        <f>IF(OR($AS1553="",$E$6=""),"",TRIM(INDEX($A:$AP,ROW(),$E$6)&amp;""))</f>
        <v/>
      </c>
      <c r="AW1553" s="31">
        <f>IF($AU1553="","",IF(MATCH($AU1553,$AU$8:$AU$2007,0)=ROW()-7,MAX($AW$7:$AW1552)+1,""))</f>
        <v/>
      </c>
      <c r="AX1553" s="31">
        <f>IF(OR($AS1553="",$D$6=""),"",TRIM(INDEX($A:$AP,ROW(),$D$6)&amp;""))</f>
        <v/>
      </c>
      <c r="AY1553" s="31">
        <f>IF($AU1553="","",INDEX($AW$8:$AW$2007,MATCH($AU1553,$AU$8:$AU$2007,0)))</f>
        <v/>
      </c>
      <c r="AZ1553" s="31">
        <f>IF(OR($AS1553="",$C$6=""),"",TRIM(INDEX($A:$AP,ROW(),$C$6)&amp;""))</f>
        <v/>
      </c>
      <c r="BA1553" s="31">
        <f>IF($AZ1553="","",IF(COUNTIF($AZ$8:$AZ1553,$AZ1553)&gt;1,1,0))</f>
        <v/>
      </c>
    </row>
    <row r="1554">
      <c r="AR1554" s="31">
        <f>IF(OR($A$5="",$B$6="",ROW()&lt;$A$5),"",IF(INDEX($A:$AP,ROW(),$B$6)="","",INDEX($A:$AP,ROW(),$B$6)))</f>
        <v/>
      </c>
      <c r="AS1554" s="32">
        <f>IF($AR1554="","",IF(ISNUMBER($AR1554),IF($AR1554&gt;=10000000,IFERROR(DATE(INT($AR1554/10000),MOD(INT($AR1554/100),100),MOD($AR1554,100)),""),INT($AR1554)),IFERROR(DATE(--LEFT(LEFT(SUBSTITUTE(SUBSTITUTE(SUBSTITUTE(SUBSTITUTE(TRIM($AR1554),"-",""),".",""),"/","")," ",""),8),4),--MID(LEFT(SUBSTITUTE(SUBSTITUTE(SUBSTITUTE(SUBSTITUTE(TRIM($AR1554),"-",""),".",""),"/","")," ",""),8),5,2),--MID(LEFT(SUBSTITUTE(SUBSTITUTE(SUBSTITUTE(SUBSTITUTE(TRIM($AR1554),"-",""),".",""),"/","")," ",""),8),7,2)),"")))</f>
        <v/>
      </c>
      <c r="AT1554" s="33">
        <f>IF($AS1554="","",IF($F$6="",0,IF(ISNUMBER(INDEX($A:$AP,ROW(),$F$6)),INDEX($A:$AP,ROW(),$F$6),IFERROR(--SUBSTITUTE(SUBSTITUTE(TRIM(INDEX($A:$AP,ROW(),$F$6)),",",""),"원",""),0))))</f>
        <v/>
      </c>
      <c r="AU1554" s="31">
        <f>IF($AS1554="","",IF($AX1554&lt;&gt;"",SUBSTITUTE(SUBSTITUTE($AX1554,"-","")," ",""),"N:"&amp;$AV1554))</f>
        <v/>
      </c>
      <c r="AV1554" s="31">
        <f>IF(OR($AS1554="",$E$6=""),"",TRIM(INDEX($A:$AP,ROW(),$E$6)&amp;""))</f>
        <v/>
      </c>
      <c r="AW1554" s="31">
        <f>IF($AU1554="","",IF(MATCH($AU1554,$AU$8:$AU$2007,0)=ROW()-7,MAX($AW$7:$AW1553)+1,""))</f>
        <v/>
      </c>
      <c r="AX1554" s="31">
        <f>IF(OR($AS1554="",$D$6=""),"",TRIM(INDEX($A:$AP,ROW(),$D$6)&amp;""))</f>
        <v/>
      </c>
      <c r="AY1554" s="31">
        <f>IF($AU1554="","",INDEX($AW$8:$AW$2007,MATCH($AU1554,$AU$8:$AU$2007,0)))</f>
        <v/>
      </c>
      <c r="AZ1554" s="31">
        <f>IF(OR($AS1554="",$C$6=""),"",TRIM(INDEX($A:$AP,ROW(),$C$6)&amp;""))</f>
        <v/>
      </c>
      <c r="BA1554" s="31">
        <f>IF($AZ1554="","",IF(COUNTIF($AZ$8:$AZ1554,$AZ1554)&gt;1,1,0))</f>
        <v/>
      </c>
    </row>
    <row r="1555">
      <c r="AR1555" s="31">
        <f>IF(OR($A$5="",$B$6="",ROW()&lt;$A$5),"",IF(INDEX($A:$AP,ROW(),$B$6)="","",INDEX($A:$AP,ROW(),$B$6)))</f>
        <v/>
      </c>
      <c r="AS1555" s="32">
        <f>IF($AR1555="","",IF(ISNUMBER($AR1555),IF($AR1555&gt;=10000000,IFERROR(DATE(INT($AR1555/10000),MOD(INT($AR1555/100),100),MOD($AR1555,100)),""),INT($AR1555)),IFERROR(DATE(--LEFT(LEFT(SUBSTITUTE(SUBSTITUTE(SUBSTITUTE(SUBSTITUTE(TRIM($AR1555),"-",""),".",""),"/","")," ",""),8),4),--MID(LEFT(SUBSTITUTE(SUBSTITUTE(SUBSTITUTE(SUBSTITUTE(TRIM($AR1555),"-",""),".",""),"/","")," ",""),8),5,2),--MID(LEFT(SUBSTITUTE(SUBSTITUTE(SUBSTITUTE(SUBSTITUTE(TRIM($AR1555),"-",""),".",""),"/","")," ",""),8),7,2)),"")))</f>
        <v/>
      </c>
      <c r="AT1555" s="33">
        <f>IF($AS1555="","",IF($F$6="",0,IF(ISNUMBER(INDEX($A:$AP,ROW(),$F$6)),INDEX($A:$AP,ROW(),$F$6),IFERROR(--SUBSTITUTE(SUBSTITUTE(TRIM(INDEX($A:$AP,ROW(),$F$6)),",",""),"원",""),0))))</f>
        <v/>
      </c>
      <c r="AU1555" s="31">
        <f>IF($AS1555="","",IF($AX1555&lt;&gt;"",SUBSTITUTE(SUBSTITUTE($AX1555,"-","")," ",""),"N:"&amp;$AV1555))</f>
        <v/>
      </c>
      <c r="AV1555" s="31">
        <f>IF(OR($AS1555="",$E$6=""),"",TRIM(INDEX($A:$AP,ROW(),$E$6)&amp;""))</f>
        <v/>
      </c>
      <c r="AW1555" s="31">
        <f>IF($AU1555="","",IF(MATCH($AU1555,$AU$8:$AU$2007,0)=ROW()-7,MAX($AW$7:$AW1554)+1,""))</f>
        <v/>
      </c>
      <c r="AX1555" s="31">
        <f>IF(OR($AS1555="",$D$6=""),"",TRIM(INDEX($A:$AP,ROW(),$D$6)&amp;""))</f>
        <v/>
      </c>
      <c r="AY1555" s="31">
        <f>IF($AU1555="","",INDEX($AW$8:$AW$2007,MATCH($AU1555,$AU$8:$AU$2007,0)))</f>
        <v/>
      </c>
      <c r="AZ1555" s="31">
        <f>IF(OR($AS1555="",$C$6=""),"",TRIM(INDEX($A:$AP,ROW(),$C$6)&amp;""))</f>
        <v/>
      </c>
      <c r="BA1555" s="31">
        <f>IF($AZ1555="","",IF(COUNTIF($AZ$8:$AZ1555,$AZ1555)&gt;1,1,0))</f>
        <v/>
      </c>
    </row>
    <row r="1556">
      <c r="AR1556" s="31">
        <f>IF(OR($A$5="",$B$6="",ROW()&lt;$A$5),"",IF(INDEX($A:$AP,ROW(),$B$6)="","",INDEX($A:$AP,ROW(),$B$6)))</f>
        <v/>
      </c>
      <c r="AS1556" s="32">
        <f>IF($AR1556="","",IF(ISNUMBER($AR1556),IF($AR1556&gt;=10000000,IFERROR(DATE(INT($AR1556/10000),MOD(INT($AR1556/100),100),MOD($AR1556,100)),""),INT($AR1556)),IFERROR(DATE(--LEFT(LEFT(SUBSTITUTE(SUBSTITUTE(SUBSTITUTE(SUBSTITUTE(TRIM($AR1556),"-",""),".",""),"/","")," ",""),8),4),--MID(LEFT(SUBSTITUTE(SUBSTITUTE(SUBSTITUTE(SUBSTITUTE(TRIM($AR1556),"-",""),".",""),"/","")," ",""),8),5,2),--MID(LEFT(SUBSTITUTE(SUBSTITUTE(SUBSTITUTE(SUBSTITUTE(TRIM($AR1556),"-",""),".",""),"/","")," ",""),8),7,2)),"")))</f>
        <v/>
      </c>
      <c r="AT1556" s="33">
        <f>IF($AS1556="","",IF($F$6="",0,IF(ISNUMBER(INDEX($A:$AP,ROW(),$F$6)),INDEX($A:$AP,ROW(),$F$6),IFERROR(--SUBSTITUTE(SUBSTITUTE(TRIM(INDEX($A:$AP,ROW(),$F$6)),",",""),"원",""),0))))</f>
        <v/>
      </c>
      <c r="AU1556" s="31">
        <f>IF($AS1556="","",IF($AX1556&lt;&gt;"",SUBSTITUTE(SUBSTITUTE($AX1556,"-","")," ",""),"N:"&amp;$AV1556))</f>
        <v/>
      </c>
      <c r="AV1556" s="31">
        <f>IF(OR($AS1556="",$E$6=""),"",TRIM(INDEX($A:$AP,ROW(),$E$6)&amp;""))</f>
        <v/>
      </c>
      <c r="AW1556" s="31">
        <f>IF($AU1556="","",IF(MATCH($AU1556,$AU$8:$AU$2007,0)=ROW()-7,MAX($AW$7:$AW1555)+1,""))</f>
        <v/>
      </c>
      <c r="AX1556" s="31">
        <f>IF(OR($AS1556="",$D$6=""),"",TRIM(INDEX($A:$AP,ROW(),$D$6)&amp;""))</f>
        <v/>
      </c>
      <c r="AY1556" s="31">
        <f>IF($AU1556="","",INDEX($AW$8:$AW$2007,MATCH($AU1556,$AU$8:$AU$2007,0)))</f>
        <v/>
      </c>
      <c r="AZ1556" s="31">
        <f>IF(OR($AS1556="",$C$6=""),"",TRIM(INDEX($A:$AP,ROW(),$C$6)&amp;""))</f>
        <v/>
      </c>
      <c r="BA1556" s="31">
        <f>IF($AZ1556="","",IF(COUNTIF($AZ$8:$AZ1556,$AZ1556)&gt;1,1,0))</f>
        <v/>
      </c>
    </row>
    <row r="1557">
      <c r="AR1557" s="31">
        <f>IF(OR($A$5="",$B$6="",ROW()&lt;$A$5),"",IF(INDEX($A:$AP,ROW(),$B$6)="","",INDEX($A:$AP,ROW(),$B$6)))</f>
        <v/>
      </c>
      <c r="AS1557" s="32">
        <f>IF($AR1557="","",IF(ISNUMBER($AR1557),IF($AR1557&gt;=10000000,IFERROR(DATE(INT($AR1557/10000),MOD(INT($AR1557/100),100),MOD($AR1557,100)),""),INT($AR1557)),IFERROR(DATE(--LEFT(LEFT(SUBSTITUTE(SUBSTITUTE(SUBSTITUTE(SUBSTITUTE(TRIM($AR1557),"-",""),".",""),"/","")," ",""),8),4),--MID(LEFT(SUBSTITUTE(SUBSTITUTE(SUBSTITUTE(SUBSTITUTE(TRIM($AR1557),"-",""),".",""),"/","")," ",""),8),5,2),--MID(LEFT(SUBSTITUTE(SUBSTITUTE(SUBSTITUTE(SUBSTITUTE(TRIM($AR1557),"-",""),".",""),"/","")," ",""),8),7,2)),"")))</f>
        <v/>
      </c>
      <c r="AT1557" s="33">
        <f>IF($AS1557="","",IF($F$6="",0,IF(ISNUMBER(INDEX($A:$AP,ROW(),$F$6)),INDEX($A:$AP,ROW(),$F$6),IFERROR(--SUBSTITUTE(SUBSTITUTE(TRIM(INDEX($A:$AP,ROW(),$F$6)),",",""),"원",""),0))))</f>
        <v/>
      </c>
      <c r="AU1557" s="31">
        <f>IF($AS1557="","",IF($AX1557&lt;&gt;"",SUBSTITUTE(SUBSTITUTE($AX1557,"-","")," ",""),"N:"&amp;$AV1557))</f>
        <v/>
      </c>
      <c r="AV1557" s="31">
        <f>IF(OR($AS1557="",$E$6=""),"",TRIM(INDEX($A:$AP,ROW(),$E$6)&amp;""))</f>
        <v/>
      </c>
      <c r="AW1557" s="31">
        <f>IF($AU1557="","",IF(MATCH($AU1557,$AU$8:$AU$2007,0)=ROW()-7,MAX($AW$7:$AW1556)+1,""))</f>
        <v/>
      </c>
      <c r="AX1557" s="31">
        <f>IF(OR($AS1557="",$D$6=""),"",TRIM(INDEX($A:$AP,ROW(),$D$6)&amp;""))</f>
        <v/>
      </c>
      <c r="AY1557" s="31">
        <f>IF($AU1557="","",INDEX($AW$8:$AW$2007,MATCH($AU1557,$AU$8:$AU$2007,0)))</f>
        <v/>
      </c>
      <c r="AZ1557" s="31">
        <f>IF(OR($AS1557="",$C$6=""),"",TRIM(INDEX($A:$AP,ROW(),$C$6)&amp;""))</f>
        <v/>
      </c>
      <c r="BA1557" s="31">
        <f>IF($AZ1557="","",IF(COUNTIF($AZ$8:$AZ1557,$AZ1557)&gt;1,1,0))</f>
        <v/>
      </c>
    </row>
    <row r="1558">
      <c r="AR1558" s="31">
        <f>IF(OR($A$5="",$B$6="",ROW()&lt;$A$5),"",IF(INDEX($A:$AP,ROW(),$B$6)="","",INDEX($A:$AP,ROW(),$B$6)))</f>
        <v/>
      </c>
      <c r="AS1558" s="32">
        <f>IF($AR1558="","",IF(ISNUMBER($AR1558),IF($AR1558&gt;=10000000,IFERROR(DATE(INT($AR1558/10000),MOD(INT($AR1558/100),100),MOD($AR1558,100)),""),INT($AR1558)),IFERROR(DATE(--LEFT(LEFT(SUBSTITUTE(SUBSTITUTE(SUBSTITUTE(SUBSTITUTE(TRIM($AR1558),"-",""),".",""),"/","")," ",""),8),4),--MID(LEFT(SUBSTITUTE(SUBSTITUTE(SUBSTITUTE(SUBSTITUTE(TRIM($AR1558),"-",""),".",""),"/","")," ",""),8),5,2),--MID(LEFT(SUBSTITUTE(SUBSTITUTE(SUBSTITUTE(SUBSTITUTE(TRIM($AR1558),"-",""),".",""),"/","")," ",""),8),7,2)),"")))</f>
        <v/>
      </c>
      <c r="AT1558" s="33">
        <f>IF($AS1558="","",IF($F$6="",0,IF(ISNUMBER(INDEX($A:$AP,ROW(),$F$6)),INDEX($A:$AP,ROW(),$F$6),IFERROR(--SUBSTITUTE(SUBSTITUTE(TRIM(INDEX($A:$AP,ROW(),$F$6)),",",""),"원",""),0))))</f>
        <v/>
      </c>
      <c r="AU1558" s="31">
        <f>IF($AS1558="","",IF($AX1558&lt;&gt;"",SUBSTITUTE(SUBSTITUTE($AX1558,"-","")," ",""),"N:"&amp;$AV1558))</f>
        <v/>
      </c>
      <c r="AV1558" s="31">
        <f>IF(OR($AS1558="",$E$6=""),"",TRIM(INDEX($A:$AP,ROW(),$E$6)&amp;""))</f>
        <v/>
      </c>
      <c r="AW1558" s="31">
        <f>IF($AU1558="","",IF(MATCH($AU1558,$AU$8:$AU$2007,0)=ROW()-7,MAX($AW$7:$AW1557)+1,""))</f>
        <v/>
      </c>
      <c r="AX1558" s="31">
        <f>IF(OR($AS1558="",$D$6=""),"",TRIM(INDEX($A:$AP,ROW(),$D$6)&amp;""))</f>
        <v/>
      </c>
      <c r="AY1558" s="31">
        <f>IF($AU1558="","",INDEX($AW$8:$AW$2007,MATCH($AU1558,$AU$8:$AU$2007,0)))</f>
        <v/>
      </c>
      <c r="AZ1558" s="31">
        <f>IF(OR($AS1558="",$C$6=""),"",TRIM(INDEX($A:$AP,ROW(),$C$6)&amp;""))</f>
        <v/>
      </c>
      <c r="BA1558" s="31">
        <f>IF($AZ1558="","",IF(COUNTIF($AZ$8:$AZ1558,$AZ1558)&gt;1,1,0))</f>
        <v/>
      </c>
    </row>
    <row r="1559">
      <c r="AR1559" s="31">
        <f>IF(OR($A$5="",$B$6="",ROW()&lt;$A$5),"",IF(INDEX($A:$AP,ROW(),$B$6)="","",INDEX($A:$AP,ROW(),$B$6)))</f>
        <v/>
      </c>
      <c r="AS1559" s="32">
        <f>IF($AR1559="","",IF(ISNUMBER($AR1559),IF($AR1559&gt;=10000000,IFERROR(DATE(INT($AR1559/10000),MOD(INT($AR1559/100),100),MOD($AR1559,100)),""),INT($AR1559)),IFERROR(DATE(--LEFT(LEFT(SUBSTITUTE(SUBSTITUTE(SUBSTITUTE(SUBSTITUTE(TRIM($AR1559),"-",""),".",""),"/","")," ",""),8),4),--MID(LEFT(SUBSTITUTE(SUBSTITUTE(SUBSTITUTE(SUBSTITUTE(TRIM($AR1559),"-",""),".",""),"/","")," ",""),8),5,2),--MID(LEFT(SUBSTITUTE(SUBSTITUTE(SUBSTITUTE(SUBSTITUTE(TRIM($AR1559),"-",""),".",""),"/","")," ",""),8),7,2)),"")))</f>
        <v/>
      </c>
      <c r="AT1559" s="33">
        <f>IF($AS1559="","",IF($F$6="",0,IF(ISNUMBER(INDEX($A:$AP,ROW(),$F$6)),INDEX($A:$AP,ROW(),$F$6),IFERROR(--SUBSTITUTE(SUBSTITUTE(TRIM(INDEX($A:$AP,ROW(),$F$6)),",",""),"원",""),0))))</f>
        <v/>
      </c>
      <c r="AU1559" s="31">
        <f>IF($AS1559="","",IF($AX1559&lt;&gt;"",SUBSTITUTE(SUBSTITUTE($AX1559,"-","")," ",""),"N:"&amp;$AV1559))</f>
        <v/>
      </c>
      <c r="AV1559" s="31">
        <f>IF(OR($AS1559="",$E$6=""),"",TRIM(INDEX($A:$AP,ROW(),$E$6)&amp;""))</f>
        <v/>
      </c>
      <c r="AW1559" s="31">
        <f>IF($AU1559="","",IF(MATCH($AU1559,$AU$8:$AU$2007,0)=ROW()-7,MAX($AW$7:$AW1558)+1,""))</f>
        <v/>
      </c>
      <c r="AX1559" s="31">
        <f>IF(OR($AS1559="",$D$6=""),"",TRIM(INDEX($A:$AP,ROW(),$D$6)&amp;""))</f>
        <v/>
      </c>
      <c r="AY1559" s="31">
        <f>IF($AU1559="","",INDEX($AW$8:$AW$2007,MATCH($AU1559,$AU$8:$AU$2007,0)))</f>
        <v/>
      </c>
      <c r="AZ1559" s="31">
        <f>IF(OR($AS1559="",$C$6=""),"",TRIM(INDEX($A:$AP,ROW(),$C$6)&amp;""))</f>
        <v/>
      </c>
      <c r="BA1559" s="31">
        <f>IF($AZ1559="","",IF(COUNTIF($AZ$8:$AZ1559,$AZ1559)&gt;1,1,0))</f>
        <v/>
      </c>
    </row>
    <row r="1560">
      <c r="AR1560" s="31">
        <f>IF(OR($A$5="",$B$6="",ROW()&lt;$A$5),"",IF(INDEX($A:$AP,ROW(),$B$6)="","",INDEX($A:$AP,ROW(),$B$6)))</f>
        <v/>
      </c>
      <c r="AS1560" s="32">
        <f>IF($AR1560="","",IF(ISNUMBER($AR1560),IF($AR1560&gt;=10000000,IFERROR(DATE(INT($AR1560/10000),MOD(INT($AR1560/100),100),MOD($AR1560,100)),""),INT($AR1560)),IFERROR(DATE(--LEFT(LEFT(SUBSTITUTE(SUBSTITUTE(SUBSTITUTE(SUBSTITUTE(TRIM($AR1560),"-",""),".",""),"/","")," ",""),8),4),--MID(LEFT(SUBSTITUTE(SUBSTITUTE(SUBSTITUTE(SUBSTITUTE(TRIM($AR1560),"-",""),".",""),"/","")," ",""),8),5,2),--MID(LEFT(SUBSTITUTE(SUBSTITUTE(SUBSTITUTE(SUBSTITUTE(TRIM($AR1560),"-",""),".",""),"/","")," ",""),8),7,2)),"")))</f>
        <v/>
      </c>
      <c r="AT1560" s="33">
        <f>IF($AS1560="","",IF($F$6="",0,IF(ISNUMBER(INDEX($A:$AP,ROW(),$F$6)),INDEX($A:$AP,ROW(),$F$6),IFERROR(--SUBSTITUTE(SUBSTITUTE(TRIM(INDEX($A:$AP,ROW(),$F$6)),",",""),"원",""),0))))</f>
        <v/>
      </c>
      <c r="AU1560" s="31">
        <f>IF($AS1560="","",IF($AX1560&lt;&gt;"",SUBSTITUTE(SUBSTITUTE($AX1560,"-","")," ",""),"N:"&amp;$AV1560))</f>
        <v/>
      </c>
      <c r="AV1560" s="31">
        <f>IF(OR($AS1560="",$E$6=""),"",TRIM(INDEX($A:$AP,ROW(),$E$6)&amp;""))</f>
        <v/>
      </c>
      <c r="AW1560" s="31">
        <f>IF($AU1560="","",IF(MATCH($AU1560,$AU$8:$AU$2007,0)=ROW()-7,MAX($AW$7:$AW1559)+1,""))</f>
        <v/>
      </c>
      <c r="AX1560" s="31">
        <f>IF(OR($AS1560="",$D$6=""),"",TRIM(INDEX($A:$AP,ROW(),$D$6)&amp;""))</f>
        <v/>
      </c>
      <c r="AY1560" s="31">
        <f>IF($AU1560="","",INDEX($AW$8:$AW$2007,MATCH($AU1560,$AU$8:$AU$2007,0)))</f>
        <v/>
      </c>
      <c r="AZ1560" s="31">
        <f>IF(OR($AS1560="",$C$6=""),"",TRIM(INDEX($A:$AP,ROW(),$C$6)&amp;""))</f>
        <v/>
      </c>
      <c r="BA1560" s="31">
        <f>IF($AZ1560="","",IF(COUNTIF($AZ$8:$AZ1560,$AZ1560)&gt;1,1,0))</f>
        <v/>
      </c>
    </row>
    <row r="1561">
      <c r="AR1561" s="31">
        <f>IF(OR($A$5="",$B$6="",ROW()&lt;$A$5),"",IF(INDEX($A:$AP,ROW(),$B$6)="","",INDEX($A:$AP,ROW(),$B$6)))</f>
        <v/>
      </c>
      <c r="AS1561" s="32">
        <f>IF($AR1561="","",IF(ISNUMBER($AR1561),IF($AR1561&gt;=10000000,IFERROR(DATE(INT($AR1561/10000),MOD(INT($AR1561/100),100),MOD($AR1561,100)),""),INT($AR1561)),IFERROR(DATE(--LEFT(LEFT(SUBSTITUTE(SUBSTITUTE(SUBSTITUTE(SUBSTITUTE(TRIM($AR1561),"-",""),".",""),"/","")," ",""),8),4),--MID(LEFT(SUBSTITUTE(SUBSTITUTE(SUBSTITUTE(SUBSTITUTE(TRIM($AR1561),"-",""),".",""),"/","")," ",""),8),5,2),--MID(LEFT(SUBSTITUTE(SUBSTITUTE(SUBSTITUTE(SUBSTITUTE(TRIM($AR1561),"-",""),".",""),"/","")," ",""),8),7,2)),"")))</f>
        <v/>
      </c>
      <c r="AT1561" s="33">
        <f>IF($AS1561="","",IF($F$6="",0,IF(ISNUMBER(INDEX($A:$AP,ROW(),$F$6)),INDEX($A:$AP,ROW(),$F$6),IFERROR(--SUBSTITUTE(SUBSTITUTE(TRIM(INDEX($A:$AP,ROW(),$F$6)),",",""),"원",""),0))))</f>
        <v/>
      </c>
      <c r="AU1561" s="31">
        <f>IF($AS1561="","",IF($AX1561&lt;&gt;"",SUBSTITUTE(SUBSTITUTE($AX1561,"-","")," ",""),"N:"&amp;$AV1561))</f>
        <v/>
      </c>
      <c r="AV1561" s="31">
        <f>IF(OR($AS1561="",$E$6=""),"",TRIM(INDEX($A:$AP,ROW(),$E$6)&amp;""))</f>
        <v/>
      </c>
      <c r="AW1561" s="31">
        <f>IF($AU1561="","",IF(MATCH($AU1561,$AU$8:$AU$2007,0)=ROW()-7,MAX($AW$7:$AW1560)+1,""))</f>
        <v/>
      </c>
      <c r="AX1561" s="31">
        <f>IF(OR($AS1561="",$D$6=""),"",TRIM(INDEX($A:$AP,ROW(),$D$6)&amp;""))</f>
        <v/>
      </c>
      <c r="AY1561" s="31">
        <f>IF($AU1561="","",INDEX($AW$8:$AW$2007,MATCH($AU1561,$AU$8:$AU$2007,0)))</f>
        <v/>
      </c>
      <c r="AZ1561" s="31">
        <f>IF(OR($AS1561="",$C$6=""),"",TRIM(INDEX($A:$AP,ROW(),$C$6)&amp;""))</f>
        <v/>
      </c>
      <c r="BA1561" s="31">
        <f>IF($AZ1561="","",IF(COUNTIF($AZ$8:$AZ1561,$AZ1561)&gt;1,1,0))</f>
        <v/>
      </c>
    </row>
    <row r="1562">
      <c r="AR1562" s="31">
        <f>IF(OR($A$5="",$B$6="",ROW()&lt;$A$5),"",IF(INDEX($A:$AP,ROW(),$B$6)="","",INDEX($A:$AP,ROW(),$B$6)))</f>
        <v/>
      </c>
      <c r="AS1562" s="32">
        <f>IF($AR1562="","",IF(ISNUMBER($AR1562),IF($AR1562&gt;=10000000,IFERROR(DATE(INT($AR1562/10000),MOD(INT($AR1562/100),100),MOD($AR1562,100)),""),INT($AR1562)),IFERROR(DATE(--LEFT(LEFT(SUBSTITUTE(SUBSTITUTE(SUBSTITUTE(SUBSTITUTE(TRIM($AR1562),"-",""),".",""),"/","")," ",""),8),4),--MID(LEFT(SUBSTITUTE(SUBSTITUTE(SUBSTITUTE(SUBSTITUTE(TRIM($AR1562),"-",""),".",""),"/","")," ",""),8),5,2),--MID(LEFT(SUBSTITUTE(SUBSTITUTE(SUBSTITUTE(SUBSTITUTE(TRIM($AR1562),"-",""),".",""),"/","")," ",""),8),7,2)),"")))</f>
        <v/>
      </c>
      <c r="AT1562" s="33">
        <f>IF($AS1562="","",IF($F$6="",0,IF(ISNUMBER(INDEX($A:$AP,ROW(),$F$6)),INDEX($A:$AP,ROW(),$F$6),IFERROR(--SUBSTITUTE(SUBSTITUTE(TRIM(INDEX($A:$AP,ROW(),$F$6)),",",""),"원",""),0))))</f>
        <v/>
      </c>
      <c r="AU1562" s="31">
        <f>IF($AS1562="","",IF($AX1562&lt;&gt;"",SUBSTITUTE(SUBSTITUTE($AX1562,"-","")," ",""),"N:"&amp;$AV1562))</f>
        <v/>
      </c>
      <c r="AV1562" s="31">
        <f>IF(OR($AS1562="",$E$6=""),"",TRIM(INDEX($A:$AP,ROW(),$E$6)&amp;""))</f>
        <v/>
      </c>
      <c r="AW1562" s="31">
        <f>IF($AU1562="","",IF(MATCH($AU1562,$AU$8:$AU$2007,0)=ROW()-7,MAX($AW$7:$AW1561)+1,""))</f>
        <v/>
      </c>
      <c r="AX1562" s="31">
        <f>IF(OR($AS1562="",$D$6=""),"",TRIM(INDEX($A:$AP,ROW(),$D$6)&amp;""))</f>
        <v/>
      </c>
      <c r="AY1562" s="31">
        <f>IF($AU1562="","",INDEX($AW$8:$AW$2007,MATCH($AU1562,$AU$8:$AU$2007,0)))</f>
        <v/>
      </c>
      <c r="AZ1562" s="31">
        <f>IF(OR($AS1562="",$C$6=""),"",TRIM(INDEX($A:$AP,ROW(),$C$6)&amp;""))</f>
        <v/>
      </c>
      <c r="BA1562" s="31">
        <f>IF($AZ1562="","",IF(COUNTIF($AZ$8:$AZ1562,$AZ1562)&gt;1,1,0))</f>
        <v/>
      </c>
    </row>
    <row r="1563">
      <c r="AR1563" s="31">
        <f>IF(OR($A$5="",$B$6="",ROW()&lt;$A$5),"",IF(INDEX($A:$AP,ROW(),$B$6)="","",INDEX($A:$AP,ROW(),$B$6)))</f>
        <v/>
      </c>
      <c r="AS1563" s="32">
        <f>IF($AR1563="","",IF(ISNUMBER($AR1563),IF($AR1563&gt;=10000000,IFERROR(DATE(INT($AR1563/10000),MOD(INT($AR1563/100),100),MOD($AR1563,100)),""),INT($AR1563)),IFERROR(DATE(--LEFT(LEFT(SUBSTITUTE(SUBSTITUTE(SUBSTITUTE(SUBSTITUTE(TRIM($AR1563),"-",""),".",""),"/","")," ",""),8),4),--MID(LEFT(SUBSTITUTE(SUBSTITUTE(SUBSTITUTE(SUBSTITUTE(TRIM($AR1563),"-",""),".",""),"/","")," ",""),8),5,2),--MID(LEFT(SUBSTITUTE(SUBSTITUTE(SUBSTITUTE(SUBSTITUTE(TRIM($AR1563),"-",""),".",""),"/","")," ",""),8),7,2)),"")))</f>
        <v/>
      </c>
      <c r="AT1563" s="33">
        <f>IF($AS1563="","",IF($F$6="",0,IF(ISNUMBER(INDEX($A:$AP,ROW(),$F$6)),INDEX($A:$AP,ROW(),$F$6),IFERROR(--SUBSTITUTE(SUBSTITUTE(TRIM(INDEX($A:$AP,ROW(),$F$6)),",",""),"원",""),0))))</f>
        <v/>
      </c>
      <c r="AU1563" s="31">
        <f>IF($AS1563="","",IF($AX1563&lt;&gt;"",SUBSTITUTE(SUBSTITUTE($AX1563,"-","")," ",""),"N:"&amp;$AV1563))</f>
        <v/>
      </c>
      <c r="AV1563" s="31">
        <f>IF(OR($AS1563="",$E$6=""),"",TRIM(INDEX($A:$AP,ROW(),$E$6)&amp;""))</f>
        <v/>
      </c>
      <c r="AW1563" s="31">
        <f>IF($AU1563="","",IF(MATCH($AU1563,$AU$8:$AU$2007,0)=ROW()-7,MAX($AW$7:$AW1562)+1,""))</f>
        <v/>
      </c>
      <c r="AX1563" s="31">
        <f>IF(OR($AS1563="",$D$6=""),"",TRIM(INDEX($A:$AP,ROW(),$D$6)&amp;""))</f>
        <v/>
      </c>
      <c r="AY1563" s="31">
        <f>IF($AU1563="","",INDEX($AW$8:$AW$2007,MATCH($AU1563,$AU$8:$AU$2007,0)))</f>
        <v/>
      </c>
      <c r="AZ1563" s="31">
        <f>IF(OR($AS1563="",$C$6=""),"",TRIM(INDEX($A:$AP,ROW(),$C$6)&amp;""))</f>
        <v/>
      </c>
      <c r="BA1563" s="31">
        <f>IF($AZ1563="","",IF(COUNTIF($AZ$8:$AZ1563,$AZ1563)&gt;1,1,0))</f>
        <v/>
      </c>
    </row>
    <row r="1564">
      <c r="AR1564" s="31">
        <f>IF(OR($A$5="",$B$6="",ROW()&lt;$A$5),"",IF(INDEX($A:$AP,ROW(),$B$6)="","",INDEX($A:$AP,ROW(),$B$6)))</f>
        <v/>
      </c>
      <c r="AS1564" s="32">
        <f>IF($AR1564="","",IF(ISNUMBER($AR1564),IF($AR1564&gt;=10000000,IFERROR(DATE(INT($AR1564/10000),MOD(INT($AR1564/100),100),MOD($AR1564,100)),""),INT($AR1564)),IFERROR(DATE(--LEFT(LEFT(SUBSTITUTE(SUBSTITUTE(SUBSTITUTE(SUBSTITUTE(TRIM($AR1564),"-",""),".",""),"/","")," ",""),8),4),--MID(LEFT(SUBSTITUTE(SUBSTITUTE(SUBSTITUTE(SUBSTITUTE(TRIM($AR1564),"-",""),".",""),"/","")," ",""),8),5,2),--MID(LEFT(SUBSTITUTE(SUBSTITUTE(SUBSTITUTE(SUBSTITUTE(TRIM($AR1564),"-",""),".",""),"/","")," ",""),8),7,2)),"")))</f>
        <v/>
      </c>
      <c r="AT1564" s="33">
        <f>IF($AS1564="","",IF($F$6="",0,IF(ISNUMBER(INDEX($A:$AP,ROW(),$F$6)),INDEX($A:$AP,ROW(),$F$6),IFERROR(--SUBSTITUTE(SUBSTITUTE(TRIM(INDEX($A:$AP,ROW(),$F$6)),",",""),"원",""),0))))</f>
        <v/>
      </c>
      <c r="AU1564" s="31">
        <f>IF($AS1564="","",IF($AX1564&lt;&gt;"",SUBSTITUTE(SUBSTITUTE($AX1564,"-","")," ",""),"N:"&amp;$AV1564))</f>
        <v/>
      </c>
      <c r="AV1564" s="31">
        <f>IF(OR($AS1564="",$E$6=""),"",TRIM(INDEX($A:$AP,ROW(),$E$6)&amp;""))</f>
        <v/>
      </c>
      <c r="AW1564" s="31">
        <f>IF($AU1564="","",IF(MATCH($AU1564,$AU$8:$AU$2007,0)=ROW()-7,MAX($AW$7:$AW1563)+1,""))</f>
        <v/>
      </c>
      <c r="AX1564" s="31">
        <f>IF(OR($AS1564="",$D$6=""),"",TRIM(INDEX($A:$AP,ROW(),$D$6)&amp;""))</f>
        <v/>
      </c>
      <c r="AY1564" s="31">
        <f>IF($AU1564="","",INDEX($AW$8:$AW$2007,MATCH($AU1564,$AU$8:$AU$2007,0)))</f>
        <v/>
      </c>
      <c r="AZ1564" s="31">
        <f>IF(OR($AS1564="",$C$6=""),"",TRIM(INDEX($A:$AP,ROW(),$C$6)&amp;""))</f>
        <v/>
      </c>
      <c r="BA1564" s="31">
        <f>IF($AZ1564="","",IF(COUNTIF($AZ$8:$AZ1564,$AZ1564)&gt;1,1,0))</f>
        <v/>
      </c>
    </row>
    <row r="1565">
      <c r="AR1565" s="31">
        <f>IF(OR($A$5="",$B$6="",ROW()&lt;$A$5),"",IF(INDEX($A:$AP,ROW(),$B$6)="","",INDEX($A:$AP,ROW(),$B$6)))</f>
        <v/>
      </c>
      <c r="AS1565" s="32">
        <f>IF($AR1565="","",IF(ISNUMBER($AR1565),IF($AR1565&gt;=10000000,IFERROR(DATE(INT($AR1565/10000),MOD(INT($AR1565/100),100),MOD($AR1565,100)),""),INT($AR1565)),IFERROR(DATE(--LEFT(LEFT(SUBSTITUTE(SUBSTITUTE(SUBSTITUTE(SUBSTITUTE(TRIM($AR1565),"-",""),".",""),"/","")," ",""),8),4),--MID(LEFT(SUBSTITUTE(SUBSTITUTE(SUBSTITUTE(SUBSTITUTE(TRIM($AR1565),"-",""),".",""),"/","")," ",""),8),5,2),--MID(LEFT(SUBSTITUTE(SUBSTITUTE(SUBSTITUTE(SUBSTITUTE(TRIM($AR1565),"-",""),".",""),"/","")," ",""),8),7,2)),"")))</f>
        <v/>
      </c>
      <c r="AT1565" s="33">
        <f>IF($AS1565="","",IF($F$6="",0,IF(ISNUMBER(INDEX($A:$AP,ROW(),$F$6)),INDEX($A:$AP,ROW(),$F$6),IFERROR(--SUBSTITUTE(SUBSTITUTE(TRIM(INDEX($A:$AP,ROW(),$F$6)),",",""),"원",""),0))))</f>
        <v/>
      </c>
      <c r="AU1565" s="31">
        <f>IF($AS1565="","",IF($AX1565&lt;&gt;"",SUBSTITUTE(SUBSTITUTE($AX1565,"-","")," ",""),"N:"&amp;$AV1565))</f>
        <v/>
      </c>
      <c r="AV1565" s="31">
        <f>IF(OR($AS1565="",$E$6=""),"",TRIM(INDEX($A:$AP,ROW(),$E$6)&amp;""))</f>
        <v/>
      </c>
      <c r="AW1565" s="31">
        <f>IF($AU1565="","",IF(MATCH($AU1565,$AU$8:$AU$2007,0)=ROW()-7,MAX($AW$7:$AW1564)+1,""))</f>
        <v/>
      </c>
      <c r="AX1565" s="31">
        <f>IF(OR($AS1565="",$D$6=""),"",TRIM(INDEX($A:$AP,ROW(),$D$6)&amp;""))</f>
        <v/>
      </c>
      <c r="AY1565" s="31">
        <f>IF($AU1565="","",INDEX($AW$8:$AW$2007,MATCH($AU1565,$AU$8:$AU$2007,0)))</f>
        <v/>
      </c>
      <c r="AZ1565" s="31">
        <f>IF(OR($AS1565="",$C$6=""),"",TRIM(INDEX($A:$AP,ROW(),$C$6)&amp;""))</f>
        <v/>
      </c>
      <c r="BA1565" s="31">
        <f>IF($AZ1565="","",IF(COUNTIF($AZ$8:$AZ1565,$AZ1565)&gt;1,1,0))</f>
        <v/>
      </c>
    </row>
    <row r="1566">
      <c r="AR1566" s="31">
        <f>IF(OR($A$5="",$B$6="",ROW()&lt;$A$5),"",IF(INDEX($A:$AP,ROW(),$B$6)="","",INDEX($A:$AP,ROW(),$B$6)))</f>
        <v/>
      </c>
      <c r="AS1566" s="32">
        <f>IF($AR1566="","",IF(ISNUMBER($AR1566),IF($AR1566&gt;=10000000,IFERROR(DATE(INT($AR1566/10000),MOD(INT($AR1566/100),100),MOD($AR1566,100)),""),INT($AR1566)),IFERROR(DATE(--LEFT(LEFT(SUBSTITUTE(SUBSTITUTE(SUBSTITUTE(SUBSTITUTE(TRIM($AR1566),"-",""),".",""),"/","")," ",""),8),4),--MID(LEFT(SUBSTITUTE(SUBSTITUTE(SUBSTITUTE(SUBSTITUTE(TRIM($AR1566),"-",""),".",""),"/","")," ",""),8),5,2),--MID(LEFT(SUBSTITUTE(SUBSTITUTE(SUBSTITUTE(SUBSTITUTE(TRIM($AR1566),"-",""),".",""),"/","")," ",""),8),7,2)),"")))</f>
        <v/>
      </c>
      <c r="AT1566" s="33">
        <f>IF($AS1566="","",IF($F$6="",0,IF(ISNUMBER(INDEX($A:$AP,ROW(),$F$6)),INDEX($A:$AP,ROW(),$F$6),IFERROR(--SUBSTITUTE(SUBSTITUTE(TRIM(INDEX($A:$AP,ROW(),$F$6)),",",""),"원",""),0))))</f>
        <v/>
      </c>
      <c r="AU1566" s="31">
        <f>IF($AS1566="","",IF($AX1566&lt;&gt;"",SUBSTITUTE(SUBSTITUTE($AX1566,"-","")," ",""),"N:"&amp;$AV1566))</f>
        <v/>
      </c>
      <c r="AV1566" s="31">
        <f>IF(OR($AS1566="",$E$6=""),"",TRIM(INDEX($A:$AP,ROW(),$E$6)&amp;""))</f>
        <v/>
      </c>
      <c r="AW1566" s="31">
        <f>IF($AU1566="","",IF(MATCH($AU1566,$AU$8:$AU$2007,0)=ROW()-7,MAX($AW$7:$AW1565)+1,""))</f>
        <v/>
      </c>
      <c r="AX1566" s="31">
        <f>IF(OR($AS1566="",$D$6=""),"",TRIM(INDEX($A:$AP,ROW(),$D$6)&amp;""))</f>
        <v/>
      </c>
      <c r="AY1566" s="31">
        <f>IF($AU1566="","",INDEX($AW$8:$AW$2007,MATCH($AU1566,$AU$8:$AU$2007,0)))</f>
        <v/>
      </c>
      <c r="AZ1566" s="31">
        <f>IF(OR($AS1566="",$C$6=""),"",TRIM(INDEX($A:$AP,ROW(),$C$6)&amp;""))</f>
        <v/>
      </c>
      <c r="BA1566" s="31">
        <f>IF($AZ1566="","",IF(COUNTIF($AZ$8:$AZ1566,$AZ1566)&gt;1,1,0))</f>
        <v/>
      </c>
    </row>
    <row r="1567">
      <c r="AR1567" s="31">
        <f>IF(OR($A$5="",$B$6="",ROW()&lt;$A$5),"",IF(INDEX($A:$AP,ROW(),$B$6)="","",INDEX($A:$AP,ROW(),$B$6)))</f>
        <v/>
      </c>
      <c r="AS1567" s="32">
        <f>IF($AR1567="","",IF(ISNUMBER($AR1567),IF($AR1567&gt;=10000000,IFERROR(DATE(INT($AR1567/10000),MOD(INT($AR1567/100),100),MOD($AR1567,100)),""),INT($AR1567)),IFERROR(DATE(--LEFT(LEFT(SUBSTITUTE(SUBSTITUTE(SUBSTITUTE(SUBSTITUTE(TRIM($AR1567),"-",""),".",""),"/","")," ",""),8),4),--MID(LEFT(SUBSTITUTE(SUBSTITUTE(SUBSTITUTE(SUBSTITUTE(TRIM($AR1567),"-",""),".",""),"/","")," ",""),8),5,2),--MID(LEFT(SUBSTITUTE(SUBSTITUTE(SUBSTITUTE(SUBSTITUTE(TRIM($AR1567),"-",""),".",""),"/","")," ",""),8),7,2)),"")))</f>
        <v/>
      </c>
      <c r="AT1567" s="33">
        <f>IF($AS1567="","",IF($F$6="",0,IF(ISNUMBER(INDEX($A:$AP,ROW(),$F$6)),INDEX($A:$AP,ROW(),$F$6),IFERROR(--SUBSTITUTE(SUBSTITUTE(TRIM(INDEX($A:$AP,ROW(),$F$6)),",",""),"원",""),0))))</f>
        <v/>
      </c>
      <c r="AU1567" s="31">
        <f>IF($AS1567="","",IF($AX1567&lt;&gt;"",SUBSTITUTE(SUBSTITUTE($AX1567,"-","")," ",""),"N:"&amp;$AV1567))</f>
        <v/>
      </c>
      <c r="AV1567" s="31">
        <f>IF(OR($AS1567="",$E$6=""),"",TRIM(INDEX($A:$AP,ROW(),$E$6)&amp;""))</f>
        <v/>
      </c>
      <c r="AW1567" s="31">
        <f>IF($AU1567="","",IF(MATCH($AU1567,$AU$8:$AU$2007,0)=ROW()-7,MAX($AW$7:$AW1566)+1,""))</f>
        <v/>
      </c>
      <c r="AX1567" s="31">
        <f>IF(OR($AS1567="",$D$6=""),"",TRIM(INDEX($A:$AP,ROW(),$D$6)&amp;""))</f>
        <v/>
      </c>
      <c r="AY1567" s="31">
        <f>IF($AU1567="","",INDEX($AW$8:$AW$2007,MATCH($AU1567,$AU$8:$AU$2007,0)))</f>
        <v/>
      </c>
      <c r="AZ1567" s="31">
        <f>IF(OR($AS1567="",$C$6=""),"",TRIM(INDEX($A:$AP,ROW(),$C$6)&amp;""))</f>
        <v/>
      </c>
      <c r="BA1567" s="31">
        <f>IF($AZ1567="","",IF(COUNTIF($AZ$8:$AZ1567,$AZ1567)&gt;1,1,0))</f>
        <v/>
      </c>
    </row>
    <row r="1568">
      <c r="AR1568" s="31">
        <f>IF(OR($A$5="",$B$6="",ROW()&lt;$A$5),"",IF(INDEX($A:$AP,ROW(),$B$6)="","",INDEX($A:$AP,ROW(),$B$6)))</f>
        <v/>
      </c>
      <c r="AS1568" s="32">
        <f>IF($AR1568="","",IF(ISNUMBER($AR1568),IF($AR1568&gt;=10000000,IFERROR(DATE(INT($AR1568/10000),MOD(INT($AR1568/100),100),MOD($AR1568,100)),""),INT($AR1568)),IFERROR(DATE(--LEFT(LEFT(SUBSTITUTE(SUBSTITUTE(SUBSTITUTE(SUBSTITUTE(TRIM($AR1568),"-",""),".",""),"/","")," ",""),8),4),--MID(LEFT(SUBSTITUTE(SUBSTITUTE(SUBSTITUTE(SUBSTITUTE(TRIM($AR1568),"-",""),".",""),"/","")," ",""),8),5,2),--MID(LEFT(SUBSTITUTE(SUBSTITUTE(SUBSTITUTE(SUBSTITUTE(TRIM($AR1568),"-",""),".",""),"/","")," ",""),8),7,2)),"")))</f>
        <v/>
      </c>
      <c r="AT1568" s="33">
        <f>IF($AS1568="","",IF($F$6="",0,IF(ISNUMBER(INDEX($A:$AP,ROW(),$F$6)),INDEX($A:$AP,ROW(),$F$6),IFERROR(--SUBSTITUTE(SUBSTITUTE(TRIM(INDEX($A:$AP,ROW(),$F$6)),",",""),"원",""),0))))</f>
        <v/>
      </c>
      <c r="AU1568" s="31">
        <f>IF($AS1568="","",IF($AX1568&lt;&gt;"",SUBSTITUTE(SUBSTITUTE($AX1568,"-","")," ",""),"N:"&amp;$AV1568))</f>
        <v/>
      </c>
      <c r="AV1568" s="31">
        <f>IF(OR($AS1568="",$E$6=""),"",TRIM(INDEX($A:$AP,ROW(),$E$6)&amp;""))</f>
        <v/>
      </c>
      <c r="AW1568" s="31">
        <f>IF($AU1568="","",IF(MATCH($AU1568,$AU$8:$AU$2007,0)=ROW()-7,MAX($AW$7:$AW1567)+1,""))</f>
        <v/>
      </c>
      <c r="AX1568" s="31">
        <f>IF(OR($AS1568="",$D$6=""),"",TRIM(INDEX($A:$AP,ROW(),$D$6)&amp;""))</f>
        <v/>
      </c>
      <c r="AY1568" s="31">
        <f>IF($AU1568="","",INDEX($AW$8:$AW$2007,MATCH($AU1568,$AU$8:$AU$2007,0)))</f>
        <v/>
      </c>
      <c r="AZ1568" s="31">
        <f>IF(OR($AS1568="",$C$6=""),"",TRIM(INDEX($A:$AP,ROW(),$C$6)&amp;""))</f>
        <v/>
      </c>
      <c r="BA1568" s="31">
        <f>IF($AZ1568="","",IF(COUNTIF($AZ$8:$AZ1568,$AZ1568)&gt;1,1,0))</f>
        <v/>
      </c>
    </row>
    <row r="1569">
      <c r="AR1569" s="31">
        <f>IF(OR($A$5="",$B$6="",ROW()&lt;$A$5),"",IF(INDEX($A:$AP,ROW(),$B$6)="","",INDEX($A:$AP,ROW(),$B$6)))</f>
        <v/>
      </c>
      <c r="AS1569" s="32">
        <f>IF($AR1569="","",IF(ISNUMBER($AR1569),IF($AR1569&gt;=10000000,IFERROR(DATE(INT($AR1569/10000),MOD(INT($AR1569/100),100),MOD($AR1569,100)),""),INT($AR1569)),IFERROR(DATE(--LEFT(LEFT(SUBSTITUTE(SUBSTITUTE(SUBSTITUTE(SUBSTITUTE(TRIM($AR1569),"-",""),".",""),"/","")," ",""),8),4),--MID(LEFT(SUBSTITUTE(SUBSTITUTE(SUBSTITUTE(SUBSTITUTE(TRIM($AR1569),"-",""),".",""),"/","")," ",""),8),5,2),--MID(LEFT(SUBSTITUTE(SUBSTITUTE(SUBSTITUTE(SUBSTITUTE(TRIM($AR1569),"-",""),".",""),"/","")," ",""),8),7,2)),"")))</f>
        <v/>
      </c>
      <c r="AT1569" s="33">
        <f>IF($AS1569="","",IF($F$6="",0,IF(ISNUMBER(INDEX($A:$AP,ROW(),$F$6)),INDEX($A:$AP,ROW(),$F$6),IFERROR(--SUBSTITUTE(SUBSTITUTE(TRIM(INDEX($A:$AP,ROW(),$F$6)),",",""),"원",""),0))))</f>
        <v/>
      </c>
      <c r="AU1569" s="31">
        <f>IF($AS1569="","",IF($AX1569&lt;&gt;"",SUBSTITUTE(SUBSTITUTE($AX1569,"-","")," ",""),"N:"&amp;$AV1569))</f>
        <v/>
      </c>
      <c r="AV1569" s="31">
        <f>IF(OR($AS1569="",$E$6=""),"",TRIM(INDEX($A:$AP,ROW(),$E$6)&amp;""))</f>
        <v/>
      </c>
      <c r="AW1569" s="31">
        <f>IF($AU1569="","",IF(MATCH($AU1569,$AU$8:$AU$2007,0)=ROW()-7,MAX($AW$7:$AW1568)+1,""))</f>
        <v/>
      </c>
      <c r="AX1569" s="31">
        <f>IF(OR($AS1569="",$D$6=""),"",TRIM(INDEX($A:$AP,ROW(),$D$6)&amp;""))</f>
        <v/>
      </c>
      <c r="AY1569" s="31">
        <f>IF($AU1569="","",INDEX($AW$8:$AW$2007,MATCH($AU1569,$AU$8:$AU$2007,0)))</f>
        <v/>
      </c>
      <c r="AZ1569" s="31">
        <f>IF(OR($AS1569="",$C$6=""),"",TRIM(INDEX($A:$AP,ROW(),$C$6)&amp;""))</f>
        <v/>
      </c>
      <c r="BA1569" s="31">
        <f>IF($AZ1569="","",IF(COUNTIF($AZ$8:$AZ1569,$AZ1569)&gt;1,1,0))</f>
        <v/>
      </c>
    </row>
    <row r="1570">
      <c r="AR1570" s="31">
        <f>IF(OR($A$5="",$B$6="",ROW()&lt;$A$5),"",IF(INDEX($A:$AP,ROW(),$B$6)="","",INDEX($A:$AP,ROW(),$B$6)))</f>
        <v/>
      </c>
      <c r="AS1570" s="32">
        <f>IF($AR1570="","",IF(ISNUMBER($AR1570),IF($AR1570&gt;=10000000,IFERROR(DATE(INT($AR1570/10000),MOD(INT($AR1570/100),100),MOD($AR1570,100)),""),INT($AR1570)),IFERROR(DATE(--LEFT(LEFT(SUBSTITUTE(SUBSTITUTE(SUBSTITUTE(SUBSTITUTE(TRIM($AR1570),"-",""),".",""),"/","")," ",""),8),4),--MID(LEFT(SUBSTITUTE(SUBSTITUTE(SUBSTITUTE(SUBSTITUTE(TRIM($AR1570),"-",""),".",""),"/","")," ",""),8),5,2),--MID(LEFT(SUBSTITUTE(SUBSTITUTE(SUBSTITUTE(SUBSTITUTE(TRIM($AR1570),"-",""),".",""),"/","")," ",""),8),7,2)),"")))</f>
        <v/>
      </c>
      <c r="AT1570" s="33">
        <f>IF($AS1570="","",IF($F$6="",0,IF(ISNUMBER(INDEX($A:$AP,ROW(),$F$6)),INDEX($A:$AP,ROW(),$F$6),IFERROR(--SUBSTITUTE(SUBSTITUTE(TRIM(INDEX($A:$AP,ROW(),$F$6)),",",""),"원",""),0))))</f>
        <v/>
      </c>
      <c r="AU1570" s="31">
        <f>IF($AS1570="","",IF($AX1570&lt;&gt;"",SUBSTITUTE(SUBSTITUTE($AX1570,"-","")," ",""),"N:"&amp;$AV1570))</f>
        <v/>
      </c>
      <c r="AV1570" s="31">
        <f>IF(OR($AS1570="",$E$6=""),"",TRIM(INDEX($A:$AP,ROW(),$E$6)&amp;""))</f>
        <v/>
      </c>
      <c r="AW1570" s="31">
        <f>IF($AU1570="","",IF(MATCH($AU1570,$AU$8:$AU$2007,0)=ROW()-7,MAX($AW$7:$AW1569)+1,""))</f>
        <v/>
      </c>
      <c r="AX1570" s="31">
        <f>IF(OR($AS1570="",$D$6=""),"",TRIM(INDEX($A:$AP,ROW(),$D$6)&amp;""))</f>
        <v/>
      </c>
      <c r="AY1570" s="31">
        <f>IF($AU1570="","",INDEX($AW$8:$AW$2007,MATCH($AU1570,$AU$8:$AU$2007,0)))</f>
        <v/>
      </c>
      <c r="AZ1570" s="31">
        <f>IF(OR($AS1570="",$C$6=""),"",TRIM(INDEX($A:$AP,ROW(),$C$6)&amp;""))</f>
        <v/>
      </c>
      <c r="BA1570" s="31">
        <f>IF($AZ1570="","",IF(COUNTIF($AZ$8:$AZ1570,$AZ1570)&gt;1,1,0))</f>
        <v/>
      </c>
    </row>
    <row r="1571">
      <c r="AR1571" s="31">
        <f>IF(OR($A$5="",$B$6="",ROW()&lt;$A$5),"",IF(INDEX($A:$AP,ROW(),$B$6)="","",INDEX($A:$AP,ROW(),$B$6)))</f>
        <v/>
      </c>
      <c r="AS1571" s="32">
        <f>IF($AR1571="","",IF(ISNUMBER($AR1571),IF($AR1571&gt;=10000000,IFERROR(DATE(INT($AR1571/10000),MOD(INT($AR1571/100),100),MOD($AR1571,100)),""),INT($AR1571)),IFERROR(DATE(--LEFT(LEFT(SUBSTITUTE(SUBSTITUTE(SUBSTITUTE(SUBSTITUTE(TRIM($AR1571),"-",""),".",""),"/","")," ",""),8),4),--MID(LEFT(SUBSTITUTE(SUBSTITUTE(SUBSTITUTE(SUBSTITUTE(TRIM($AR1571),"-",""),".",""),"/","")," ",""),8),5,2),--MID(LEFT(SUBSTITUTE(SUBSTITUTE(SUBSTITUTE(SUBSTITUTE(TRIM($AR1571),"-",""),".",""),"/","")," ",""),8),7,2)),"")))</f>
        <v/>
      </c>
      <c r="AT1571" s="33">
        <f>IF($AS1571="","",IF($F$6="",0,IF(ISNUMBER(INDEX($A:$AP,ROW(),$F$6)),INDEX($A:$AP,ROW(),$F$6),IFERROR(--SUBSTITUTE(SUBSTITUTE(TRIM(INDEX($A:$AP,ROW(),$F$6)),",",""),"원",""),0))))</f>
        <v/>
      </c>
      <c r="AU1571" s="31">
        <f>IF($AS1571="","",IF($AX1571&lt;&gt;"",SUBSTITUTE(SUBSTITUTE($AX1571,"-","")," ",""),"N:"&amp;$AV1571))</f>
        <v/>
      </c>
      <c r="AV1571" s="31">
        <f>IF(OR($AS1571="",$E$6=""),"",TRIM(INDEX($A:$AP,ROW(),$E$6)&amp;""))</f>
        <v/>
      </c>
      <c r="AW1571" s="31">
        <f>IF($AU1571="","",IF(MATCH($AU1571,$AU$8:$AU$2007,0)=ROW()-7,MAX($AW$7:$AW1570)+1,""))</f>
        <v/>
      </c>
      <c r="AX1571" s="31">
        <f>IF(OR($AS1571="",$D$6=""),"",TRIM(INDEX($A:$AP,ROW(),$D$6)&amp;""))</f>
        <v/>
      </c>
      <c r="AY1571" s="31">
        <f>IF($AU1571="","",INDEX($AW$8:$AW$2007,MATCH($AU1571,$AU$8:$AU$2007,0)))</f>
        <v/>
      </c>
      <c r="AZ1571" s="31">
        <f>IF(OR($AS1571="",$C$6=""),"",TRIM(INDEX($A:$AP,ROW(),$C$6)&amp;""))</f>
        <v/>
      </c>
      <c r="BA1571" s="31">
        <f>IF($AZ1571="","",IF(COUNTIF($AZ$8:$AZ1571,$AZ1571)&gt;1,1,0))</f>
        <v/>
      </c>
    </row>
    <row r="1572">
      <c r="AR1572" s="31">
        <f>IF(OR($A$5="",$B$6="",ROW()&lt;$A$5),"",IF(INDEX($A:$AP,ROW(),$B$6)="","",INDEX($A:$AP,ROW(),$B$6)))</f>
        <v/>
      </c>
      <c r="AS1572" s="32">
        <f>IF($AR1572="","",IF(ISNUMBER($AR1572),IF($AR1572&gt;=10000000,IFERROR(DATE(INT($AR1572/10000),MOD(INT($AR1572/100),100),MOD($AR1572,100)),""),INT($AR1572)),IFERROR(DATE(--LEFT(LEFT(SUBSTITUTE(SUBSTITUTE(SUBSTITUTE(SUBSTITUTE(TRIM($AR1572),"-",""),".",""),"/","")," ",""),8),4),--MID(LEFT(SUBSTITUTE(SUBSTITUTE(SUBSTITUTE(SUBSTITUTE(TRIM($AR1572),"-",""),".",""),"/","")," ",""),8),5,2),--MID(LEFT(SUBSTITUTE(SUBSTITUTE(SUBSTITUTE(SUBSTITUTE(TRIM($AR1572),"-",""),".",""),"/","")," ",""),8),7,2)),"")))</f>
        <v/>
      </c>
      <c r="AT1572" s="33">
        <f>IF($AS1572="","",IF($F$6="",0,IF(ISNUMBER(INDEX($A:$AP,ROW(),$F$6)),INDEX($A:$AP,ROW(),$F$6),IFERROR(--SUBSTITUTE(SUBSTITUTE(TRIM(INDEX($A:$AP,ROW(),$F$6)),",",""),"원",""),0))))</f>
        <v/>
      </c>
      <c r="AU1572" s="31">
        <f>IF($AS1572="","",IF($AX1572&lt;&gt;"",SUBSTITUTE(SUBSTITUTE($AX1572,"-","")," ",""),"N:"&amp;$AV1572))</f>
        <v/>
      </c>
      <c r="AV1572" s="31">
        <f>IF(OR($AS1572="",$E$6=""),"",TRIM(INDEX($A:$AP,ROW(),$E$6)&amp;""))</f>
        <v/>
      </c>
      <c r="AW1572" s="31">
        <f>IF($AU1572="","",IF(MATCH($AU1572,$AU$8:$AU$2007,0)=ROW()-7,MAX($AW$7:$AW1571)+1,""))</f>
        <v/>
      </c>
      <c r="AX1572" s="31">
        <f>IF(OR($AS1572="",$D$6=""),"",TRIM(INDEX($A:$AP,ROW(),$D$6)&amp;""))</f>
        <v/>
      </c>
      <c r="AY1572" s="31">
        <f>IF($AU1572="","",INDEX($AW$8:$AW$2007,MATCH($AU1572,$AU$8:$AU$2007,0)))</f>
        <v/>
      </c>
      <c r="AZ1572" s="31">
        <f>IF(OR($AS1572="",$C$6=""),"",TRIM(INDEX($A:$AP,ROW(),$C$6)&amp;""))</f>
        <v/>
      </c>
      <c r="BA1572" s="31">
        <f>IF($AZ1572="","",IF(COUNTIF($AZ$8:$AZ1572,$AZ1572)&gt;1,1,0))</f>
        <v/>
      </c>
    </row>
    <row r="1573">
      <c r="AR1573" s="31">
        <f>IF(OR($A$5="",$B$6="",ROW()&lt;$A$5),"",IF(INDEX($A:$AP,ROW(),$B$6)="","",INDEX($A:$AP,ROW(),$B$6)))</f>
        <v/>
      </c>
      <c r="AS1573" s="32">
        <f>IF($AR1573="","",IF(ISNUMBER($AR1573),IF($AR1573&gt;=10000000,IFERROR(DATE(INT($AR1573/10000),MOD(INT($AR1573/100),100),MOD($AR1573,100)),""),INT($AR1573)),IFERROR(DATE(--LEFT(LEFT(SUBSTITUTE(SUBSTITUTE(SUBSTITUTE(SUBSTITUTE(TRIM($AR1573),"-",""),".",""),"/","")," ",""),8),4),--MID(LEFT(SUBSTITUTE(SUBSTITUTE(SUBSTITUTE(SUBSTITUTE(TRIM($AR1573),"-",""),".",""),"/","")," ",""),8),5,2),--MID(LEFT(SUBSTITUTE(SUBSTITUTE(SUBSTITUTE(SUBSTITUTE(TRIM($AR1573),"-",""),".",""),"/","")," ",""),8),7,2)),"")))</f>
        <v/>
      </c>
      <c r="AT1573" s="33">
        <f>IF($AS1573="","",IF($F$6="",0,IF(ISNUMBER(INDEX($A:$AP,ROW(),$F$6)),INDEX($A:$AP,ROW(),$F$6),IFERROR(--SUBSTITUTE(SUBSTITUTE(TRIM(INDEX($A:$AP,ROW(),$F$6)),",",""),"원",""),0))))</f>
        <v/>
      </c>
      <c r="AU1573" s="31">
        <f>IF($AS1573="","",IF($AX1573&lt;&gt;"",SUBSTITUTE(SUBSTITUTE($AX1573,"-","")," ",""),"N:"&amp;$AV1573))</f>
        <v/>
      </c>
      <c r="AV1573" s="31">
        <f>IF(OR($AS1573="",$E$6=""),"",TRIM(INDEX($A:$AP,ROW(),$E$6)&amp;""))</f>
        <v/>
      </c>
      <c r="AW1573" s="31">
        <f>IF($AU1573="","",IF(MATCH($AU1573,$AU$8:$AU$2007,0)=ROW()-7,MAX($AW$7:$AW1572)+1,""))</f>
        <v/>
      </c>
      <c r="AX1573" s="31">
        <f>IF(OR($AS1573="",$D$6=""),"",TRIM(INDEX($A:$AP,ROW(),$D$6)&amp;""))</f>
        <v/>
      </c>
      <c r="AY1573" s="31">
        <f>IF($AU1573="","",INDEX($AW$8:$AW$2007,MATCH($AU1573,$AU$8:$AU$2007,0)))</f>
        <v/>
      </c>
      <c r="AZ1573" s="31">
        <f>IF(OR($AS1573="",$C$6=""),"",TRIM(INDEX($A:$AP,ROW(),$C$6)&amp;""))</f>
        <v/>
      </c>
      <c r="BA1573" s="31">
        <f>IF($AZ1573="","",IF(COUNTIF($AZ$8:$AZ1573,$AZ1573)&gt;1,1,0))</f>
        <v/>
      </c>
    </row>
    <row r="1574">
      <c r="AR1574" s="31">
        <f>IF(OR($A$5="",$B$6="",ROW()&lt;$A$5),"",IF(INDEX($A:$AP,ROW(),$B$6)="","",INDEX($A:$AP,ROW(),$B$6)))</f>
        <v/>
      </c>
      <c r="AS1574" s="32">
        <f>IF($AR1574="","",IF(ISNUMBER($AR1574),IF($AR1574&gt;=10000000,IFERROR(DATE(INT($AR1574/10000),MOD(INT($AR1574/100),100),MOD($AR1574,100)),""),INT($AR1574)),IFERROR(DATE(--LEFT(LEFT(SUBSTITUTE(SUBSTITUTE(SUBSTITUTE(SUBSTITUTE(TRIM($AR1574),"-",""),".",""),"/","")," ",""),8),4),--MID(LEFT(SUBSTITUTE(SUBSTITUTE(SUBSTITUTE(SUBSTITUTE(TRIM($AR1574),"-",""),".",""),"/","")," ",""),8),5,2),--MID(LEFT(SUBSTITUTE(SUBSTITUTE(SUBSTITUTE(SUBSTITUTE(TRIM($AR1574),"-",""),".",""),"/","")," ",""),8),7,2)),"")))</f>
        <v/>
      </c>
      <c r="AT1574" s="33">
        <f>IF($AS1574="","",IF($F$6="",0,IF(ISNUMBER(INDEX($A:$AP,ROW(),$F$6)),INDEX($A:$AP,ROW(),$F$6),IFERROR(--SUBSTITUTE(SUBSTITUTE(TRIM(INDEX($A:$AP,ROW(),$F$6)),",",""),"원",""),0))))</f>
        <v/>
      </c>
      <c r="AU1574" s="31">
        <f>IF($AS1574="","",IF($AX1574&lt;&gt;"",SUBSTITUTE(SUBSTITUTE($AX1574,"-","")," ",""),"N:"&amp;$AV1574))</f>
        <v/>
      </c>
      <c r="AV1574" s="31">
        <f>IF(OR($AS1574="",$E$6=""),"",TRIM(INDEX($A:$AP,ROW(),$E$6)&amp;""))</f>
        <v/>
      </c>
      <c r="AW1574" s="31">
        <f>IF($AU1574="","",IF(MATCH($AU1574,$AU$8:$AU$2007,0)=ROW()-7,MAX($AW$7:$AW1573)+1,""))</f>
        <v/>
      </c>
      <c r="AX1574" s="31">
        <f>IF(OR($AS1574="",$D$6=""),"",TRIM(INDEX($A:$AP,ROW(),$D$6)&amp;""))</f>
        <v/>
      </c>
      <c r="AY1574" s="31">
        <f>IF($AU1574="","",INDEX($AW$8:$AW$2007,MATCH($AU1574,$AU$8:$AU$2007,0)))</f>
        <v/>
      </c>
      <c r="AZ1574" s="31">
        <f>IF(OR($AS1574="",$C$6=""),"",TRIM(INDEX($A:$AP,ROW(),$C$6)&amp;""))</f>
        <v/>
      </c>
      <c r="BA1574" s="31">
        <f>IF($AZ1574="","",IF(COUNTIF($AZ$8:$AZ1574,$AZ1574)&gt;1,1,0))</f>
        <v/>
      </c>
    </row>
    <row r="1575">
      <c r="AR1575" s="31">
        <f>IF(OR($A$5="",$B$6="",ROW()&lt;$A$5),"",IF(INDEX($A:$AP,ROW(),$B$6)="","",INDEX($A:$AP,ROW(),$B$6)))</f>
        <v/>
      </c>
      <c r="AS1575" s="32">
        <f>IF($AR1575="","",IF(ISNUMBER($AR1575),IF($AR1575&gt;=10000000,IFERROR(DATE(INT($AR1575/10000),MOD(INT($AR1575/100),100),MOD($AR1575,100)),""),INT($AR1575)),IFERROR(DATE(--LEFT(LEFT(SUBSTITUTE(SUBSTITUTE(SUBSTITUTE(SUBSTITUTE(TRIM($AR1575),"-",""),".",""),"/","")," ",""),8),4),--MID(LEFT(SUBSTITUTE(SUBSTITUTE(SUBSTITUTE(SUBSTITUTE(TRIM($AR1575),"-",""),".",""),"/","")," ",""),8),5,2),--MID(LEFT(SUBSTITUTE(SUBSTITUTE(SUBSTITUTE(SUBSTITUTE(TRIM($AR1575),"-",""),".",""),"/","")," ",""),8),7,2)),"")))</f>
        <v/>
      </c>
      <c r="AT1575" s="33">
        <f>IF($AS1575="","",IF($F$6="",0,IF(ISNUMBER(INDEX($A:$AP,ROW(),$F$6)),INDEX($A:$AP,ROW(),$F$6),IFERROR(--SUBSTITUTE(SUBSTITUTE(TRIM(INDEX($A:$AP,ROW(),$F$6)),",",""),"원",""),0))))</f>
        <v/>
      </c>
      <c r="AU1575" s="31">
        <f>IF($AS1575="","",IF($AX1575&lt;&gt;"",SUBSTITUTE(SUBSTITUTE($AX1575,"-","")," ",""),"N:"&amp;$AV1575))</f>
        <v/>
      </c>
      <c r="AV1575" s="31">
        <f>IF(OR($AS1575="",$E$6=""),"",TRIM(INDEX($A:$AP,ROW(),$E$6)&amp;""))</f>
        <v/>
      </c>
      <c r="AW1575" s="31">
        <f>IF($AU1575="","",IF(MATCH($AU1575,$AU$8:$AU$2007,0)=ROW()-7,MAX($AW$7:$AW1574)+1,""))</f>
        <v/>
      </c>
      <c r="AX1575" s="31">
        <f>IF(OR($AS1575="",$D$6=""),"",TRIM(INDEX($A:$AP,ROW(),$D$6)&amp;""))</f>
        <v/>
      </c>
      <c r="AY1575" s="31">
        <f>IF($AU1575="","",INDEX($AW$8:$AW$2007,MATCH($AU1575,$AU$8:$AU$2007,0)))</f>
        <v/>
      </c>
      <c r="AZ1575" s="31">
        <f>IF(OR($AS1575="",$C$6=""),"",TRIM(INDEX($A:$AP,ROW(),$C$6)&amp;""))</f>
        <v/>
      </c>
      <c r="BA1575" s="31">
        <f>IF($AZ1575="","",IF(COUNTIF($AZ$8:$AZ1575,$AZ1575)&gt;1,1,0))</f>
        <v/>
      </c>
    </row>
    <row r="1576">
      <c r="AR1576" s="31">
        <f>IF(OR($A$5="",$B$6="",ROW()&lt;$A$5),"",IF(INDEX($A:$AP,ROW(),$B$6)="","",INDEX($A:$AP,ROW(),$B$6)))</f>
        <v/>
      </c>
      <c r="AS1576" s="32">
        <f>IF($AR1576="","",IF(ISNUMBER($AR1576),IF($AR1576&gt;=10000000,IFERROR(DATE(INT($AR1576/10000),MOD(INT($AR1576/100),100),MOD($AR1576,100)),""),INT($AR1576)),IFERROR(DATE(--LEFT(LEFT(SUBSTITUTE(SUBSTITUTE(SUBSTITUTE(SUBSTITUTE(TRIM($AR1576),"-",""),".",""),"/","")," ",""),8),4),--MID(LEFT(SUBSTITUTE(SUBSTITUTE(SUBSTITUTE(SUBSTITUTE(TRIM($AR1576),"-",""),".",""),"/","")," ",""),8),5,2),--MID(LEFT(SUBSTITUTE(SUBSTITUTE(SUBSTITUTE(SUBSTITUTE(TRIM($AR1576),"-",""),".",""),"/","")," ",""),8),7,2)),"")))</f>
        <v/>
      </c>
      <c r="AT1576" s="33">
        <f>IF($AS1576="","",IF($F$6="",0,IF(ISNUMBER(INDEX($A:$AP,ROW(),$F$6)),INDEX($A:$AP,ROW(),$F$6),IFERROR(--SUBSTITUTE(SUBSTITUTE(TRIM(INDEX($A:$AP,ROW(),$F$6)),",",""),"원",""),0))))</f>
        <v/>
      </c>
      <c r="AU1576" s="31">
        <f>IF($AS1576="","",IF($AX1576&lt;&gt;"",SUBSTITUTE(SUBSTITUTE($AX1576,"-","")," ",""),"N:"&amp;$AV1576))</f>
        <v/>
      </c>
      <c r="AV1576" s="31">
        <f>IF(OR($AS1576="",$E$6=""),"",TRIM(INDEX($A:$AP,ROW(),$E$6)&amp;""))</f>
        <v/>
      </c>
      <c r="AW1576" s="31">
        <f>IF($AU1576="","",IF(MATCH($AU1576,$AU$8:$AU$2007,0)=ROW()-7,MAX($AW$7:$AW1575)+1,""))</f>
        <v/>
      </c>
      <c r="AX1576" s="31">
        <f>IF(OR($AS1576="",$D$6=""),"",TRIM(INDEX($A:$AP,ROW(),$D$6)&amp;""))</f>
        <v/>
      </c>
      <c r="AY1576" s="31">
        <f>IF($AU1576="","",INDEX($AW$8:$AW$2007,MATCH($AU1576,$AU$8:$AU$2007,0)))</f>
        <v/>
      </c>
      <c r="AZ1576" s="31">
        <f>IF(OR($AS1576="",$C$6=""),"",TRIM(INDEX($A:$AP,ROW(),$C$6)&amp;""))</f>
        <v/>
      </c>
      <c r="BA1576" s="31">
        <f>IF($AZ1576="","",IF(COUNTIF($AZ$8:$AZ1576,$AZ1576)&gt;1,1,0))</f>
        <v/>
      </c>
    </row>
    <row r="1577">
      <c r="AR1577" s="31">
        <f>IF(OR($A$5="",$B$6="",ROW()&lt;$A$5),"",IF(INDEX($A:$AP,ROW(),$B$6)="","",INDEX($A:$AP,ROW(),$B$6)))</f>
        <v/>
      </c>
      <c r="AS1577" s="32">
        <f>IF($AR1577="","",IF(ISNUMBER($AR1577),IF($AR1577&gt;=10000000,IFERROR(DATE(INT($AR1577/10000),MOD(INT($AR1577/100),100),MOD($AR1577,100)),""),INT($AR1577)),IFERROR(DATE(--LEFT(LEFT(SUBSTITUTE(SUBSTITUTE(SUBSTITUTE(SUBSTITUTE(TRIM($AR1577),"-",""),".",""),"/","")," ",""),8),4),--MID(LEFT(SUBSTITUTE(SUBSTITUTE(SUBSTITUTE(SUBSTITUTE(TRIM($AR1577),"-",""),".",""),"/","")," ",""),8),5,2),--MID(LEFT(SUBSTITUTE(SUBSTITUTE(SUBSTITUTE(SUBSTITUTE(TRIM($AR1577),"-",""),".",""),"/","")," ",""),8),7,2)),"")))</f>
        <v/>
      </c>
      <c r="AT1577" s="33">
        <f>IF($AS1577="","",IF($F$6="",0,IF(ISNUMBER(INDEX($A:$AP,ROW(),$F$6)),INDEX($A:$AP,ROW(),$F$6),IFERROR(--SUBSTITUTE(SUBSTITUTE(TRIM(INDEX($A:$AP,ROW(),$F$6)),",",""),"원",""),0))))</f>
        <v/>
      </c>
      <c r="AU1577" s="31">
        <f>IF($AS1577="","",IF($AX1577&lt;&gt;"",SUBSTITUTE(SUBSTITUTE($AX1577,"-","")," ",""),"N:"&amp;$AV1577))</f>
        <v/>
      </c>
      <c r="AV1577" s="31">
        <f>IF(OR($AS1577="",$E$6=""),"",TRIM(INDEX($A:$AP,ROW(),$E$6)&amp;""))</f>
        <v/>
      </c>
      <c r="AW1577" s="31">
        <f>IF($AU1577="","",IF(MATCH($AU1577,$AU$8:$AU$2007,0)=ROW()-7,MAX($AW$7:$AW1576)+1,""))</f>
        <v/>
      </c>
      <c r="AX1577" s="31">
        <f>IF(OR($AS1577="",$D$6=""),"",TRIM(INDEX($A:$AP,ROW(),$D$6)&amp;""))</f>
        <v/>
      </c>
      <c r="AY1577" s="31">
        <f>IF($AU1577="","",INDEX($AW$8:$AW$2007,MATCH($AU1577,$AU$8:$AU$2007,0)))</f>
        <v/>
      </c>
      <c r="AZ1577" s="31">
        <f>IF(OR($AS1577="",$C$6=""),"",TRIM(INDEX($A:$AP,ROW(),$C$6)&amp;""))</f>
        <v/>
      </c>
      <c r="BA1577" s="31">
        <f>IF($AZ1577="","",IF(COUNTIF($AZ$8:$AZ1577,$AZ1577)&gt;1,1,0))</f>
        <v/>
      </c>
    </row>
    <row r="1578">
      <c r="AR1578" s="31">
        <f>IF(OR($A$5="",$B$6="",ROW()&lt;$A$5),"",IF(INDEX($A:$AP,ROW(),$B$6)="","",INDEX($A:$AP,ROW(),$B$6)))</f>
        <v/>
      </c>
      <c r="AS1578" s="32">
        <f>IF($AR1578="","",IF(ISNUMBER($AR1578),IF($AR1578&gt;=10000000,IFERROR(DATE(INT($AR1578/10000),MOD(INT($AR1578/100),100),MOD($AR1578,100)),""),INT($AR1578)),IFERROR(DATE(--LEFT(LEFT(SUBSTITUTE(SUBSTITUTE(SUBSTITUTE(SUBSTITUTE(TRIM($AR1578),"-",""),".",""),"/","")," ",""),8),4),--MID(LEFT(SUBSTITUTE(SUBSTITUTE(SUBSTITUTE(SUBSTITUTE(TRIM($AR1578),"-",""),".",""),"/","")," ",""),8),5,2),--MID(LEFT(SUBSTITUTE(SUBSTITUTE(SUBSTITUTE(SUBSTITUTE(TRIM($AR1578),"-",""),".",""),"/","")," ",""),8),7,2)),"")))</f>
        <v/>
      </c>
      <c r="AT1578" s="33">
        <f>IF($AS1578="","",IF($F$6="",0,IF(ISNUMBER(INDEX($A:$AP,ROW(),$F$6)),INDEX($A:$AP,ROW(),$F$6),IFERROR(--SUBSTITUTE(SUBSTITUTE(TRIM(INDEX($A:$AP,ROW(),$F$6)),",",""),"원",""),0))))</f>
        <v/>
      </c>
      <c r="AU1578" s="31">
        <f>IF($AS1578="","",IF($AX1578&lt;&gt;"",SUBSTITUTE(SUBSTITUTE($AX1578,"-","")," ",""),"N:"&amp;$AV1578))</f>
        <v/>
      </c>
      <c r="AV1578" s="31">
        <f>IF(OR($AS1578="",$E$6=""),"",TRIM(INDEX($A:$AP,ROW(),$E$6)&amp;""))</f>
        <v/>
      </c>
      <c r="AW1578" s="31">
        <f>IF($AU1578="","",IF(MATCH($AU1578,$AU$8:$AU$2007,0)=ROW()-7,MAX($AW$7:$AW1577)+1,""))</f>
        <v/>
      </c>
      <c r="AX1578" s="31">
        <f>IF(OR($AS1578="",$D$6=""),"",TRIM(INDEX($A:$AP,ROW(),$D$6)&amp;""))</f>
        <v/>
      </c>
      <c r="AY1578" s="31">
        <f>IF($AU1578="","",INDEX($AW$8:$AW$2007,MATCH($AU1578,$AU$8:$AU$2007,0)))</f>
        <v/>
      </c>
      <c r="AZ1578" s="31">
        <f>IF(OR($AS1578="",$C$6=""),"",TRIM(INDEX($A:$AP,ROW(),$C$6)&amp;""))</f>
        <v/>
      </c>
      <c r="BA1578" s="31">
        <f>IF($AZ1578="","",IF(COUNTIF($AZ$8:$AZ1578,$AZ1578)&gt;1,1,0))</f>
        <v/>
      </c>
    </row>
    <row r="1579">
      <c r="AR1579" s="31">
        <f>IF(OR($A$5="",$B$6="",ROW()&lt;$A$5),"",IF(INDEX($A:$AP,ROW(),$B$6)="","",INDEX($A:$AP,ROW(),$B$6)))</f>
        <v/>
      </c>
      <c r="AS1579" s="32">
        <f>IF($AR1579="","",IF(ISNUMBER($AR1579),IF($AR1579&gt;=10000000,IFERROR(DATE(INT($AR1579/10000),MOD(INT($AR1579/100),100),MOD($AR1579,100)),""),INT($AR1579)),IFERROR(DATE(--LEFT(LEFT(SUBSTITUTE(SUBSTITUTE(SUBSTITUTE(SUBSTITUTE(TRIM($AR1579),"-",""),".",""),"/","")," ",""),8),4),--MID(LEFT(SUBSTITUTE(SUBSTITUTE(SUBSTITUTE(SUBSTITUTE(TRIM($AR1579),"-",""),".",""),"/","")," ",""),8),5,2),--MID(LEFT(SUBSTITUTE(SUBSTITUTE(SUBSTITUTE(SUBSTITUTE(TRIM($AR1579),"-",""),".",""),"/","")," ",""),8),7,2)),"")))</f>
        <v/>
      </c>
      <c r="AT1579" s="33">
        <f>IF($AS1579="","",IF($F$6="",0,IF(ISNUMBER(INDEX($A:$AP,ROW(),$F$6)),INDEX($A:$AP,ROW(),$F$6),IFERROR(--SUBSTITUTE(SUBSTITUTE(TRIM(INDEX($A:$AP,ROW(),$F$6)),",",""),"원",""),0))))</f>
        <v/>
      </c>
      <c r="AU1579" s="31">
        <f>IF($AS1579="","",IF($AX1579&lt;&gt;"",SUBSTITUTE(SUBSTITUTE($AX1579,"-","")," ",""),"N:"&amp;$AV1579))</f>
        <v/>
      </c>
      <c r="AV1579" s="31">
        <f>IF(OR($AS1579="",$E$6=""),"",TRIM(INDEX($A:$AP,ROW(),$E$6)&amp;""))</f>
        <v/>
      </c>
      <c r="AW1579" s="31">
        <f>IF($AU1579="","",IF(MATCH($AU1579,$AU$8:$AU$2007,0)=ROW()-7,MAX($AW$7:$AW1578)+1,""))</f>
        <v/>
      </c>
      <c r="AX1579" s="31">
        <f>IF(OR($AS1579="",$D$6=""),"",TRIM(INDEX($A:$AP,ROW(),$D$6)&amp;""))</f>
        <v/>
      </c>
      <c r="AY1579" s="31">
        <f>IF($AU1579="","",INDEX($AW$8:$AW$2007,MATCH($AU1579,$AU$8:$AU$2007,0)))</f>
        <v/>
      </c>
      <c r="AZ1579" s="31">
        <f>IF(OR($AS1579="",$C$6=""),"",TRIM(INDEX($A:$AP,ROW(),$C$6)&amp;""))</f>
        <v/>
      </c>
      <c r="BA1579" s="31">
        <f>IF($AZ1579="","",IF(COUNTIF($AZ$8:$AZ1579,$AZ1579)&gt;1,1,0))</f>
        <v/>
      </c>
    </row>
    <row r="1580">
      <c r="AR1580" s="31">
        <f>IF(OR($A$5="",$B$6="",ROW()&lt;$A$5),"",IF(INDEX($A:$AP,ROW(),$B$6)="","",INDEX($A:$AP,ROW(),$B$6)))</f>
        <v/>
      </c>
      <c r="AS1580" s="32">
        <f>IF($AR1580="","",IF(ISNUMBER($AR1580),IF($AR1580&gt;=10000000,IFERROR(DATE(INT($AR1580/10000),MOD(INT($AR1580/100),100),MOD($AR1580,100)),""),INT($AR1580)),IFERROR(DATE(--LEFT(LEFT(SUBSTITUTE(SUBSTITUTE(SUBSTITUTE(SUBSTITUTE(TRIM($AR1580),"-",""),".",""),"/","")," ",""),8),4),--MID(LEFT(SUBSTITUTE(SUBSTITUTE(SUBSTITUTE(SUBSTITUTE(TRIM($AR1580),"-",""),".",""),"/","")," ",""),8),5,2),--MID(LEFT(SUBSTITUTE(SUBSTITUTE(SUBSTITUTE(SUBSTITUTE(TRIM($AR1580),"-",""),".",""),"/","")," ",""),8),7,2)),"")))</f>
        <v/>
      </c>
      <c r="AT1580" s="33">
        <f>IF($AS1580="","",IF($F$6="",0,IF(ISNUMBER(INDEX($A:$AP,ROW(),$F$6)),INDEX($A:$AP,ROW(),$F$6),IFERROR(--SUBSTITUTE(SUBSTITUTE(TRIM(INDEX($A:$AP,ROW(),$F$6)),",",""),"원",""),0))))</f>
        <v/>
      </c>
      <c r="AU1580" s="31">
        <f>IF($AS1580="","",IF($AX1580&lt;&gt;"",SUBSTITUTE(SUBSTITUTE($AX1580,"-","")," ",""),"N:"&amp;$AV1580))</f>
        <v/>
      </c>
      <c r="AV1580" s="31">
        <f>IF(OR($AS1580="",$E$6=""),"",TRIM(INDEX($A:$AP,ROW(),$E$6)&amp;""))</f>
        <v/>
      </c>
      <c r="AW1580" s="31">
        <f>IF($AU1580="","",IF(MATCH($AU1580,$AU$8:$AU$2007,0)=ROW()-7,MAX($AW$7:$AW1579)+1,""))</f>
        <v/>
      </c>
      <c r="AX1580" s="31">
        <f>IF(OR($AS1580="",$D$6=""),"",TRIM(INDEX($A:$AP,ROW(),$D$6)&amp;""))</f>
        <v/>
      </c>
      <c r="AY1580" s="31">
        <f>IF($AU1580="","",INDEX($AW$8:$AW$2007,MATCH($AU1580,$AU$8:$AU$2007,0)))</f>
        <v/>
      </c>
      <c r="AZ1580" s="31">
        <f>IF(OR($AS1580="",$C$6=""),"",TRIM(INDEX($A:$AP,ROW(),$C$6)&amp;""))</f>
        <v/>
      </c>
      <c r="BA1580" s="31">
        <f>IF($AZ1580="","",IF(COUNTIF($AZ$8:$AZ1580,$AZ1580)&gt;1,1,0))</f>
        <v/>
      </c>
    </row>
    <row r="1581">
      <c r="AR1581" s="31">
        <f>IF(OR($A$5="",$B$6="",ROW()&lt;$A$5),"",IF(INDEX($A:$AP,ROW(),$B$6)="","",INDEX($A:$AP,ROW(),$B$6)))</f>
        <v/>
      </c>
      <c r="AS1581" s="32">
        <f>IF($AR1581="","",IF(ISNUMBER($AR1581),IF($AR1581&gt;=10000000,IFERROR(DATE(INT($AR1581/10000),MOD(INT($AR1581/100),100),MOD($AR1581,100)),""),INT($AR1581)),IFERROR(DATE(--LEFT(LEFT(SUBSTITUTE(SUBSTITUTE(SUBSTITUTE(SUBSTITUTE(TRIM($AR1581),"-",""),".",""),"/","")," ",""),8),4),--MID(LEFT(SUBSTITUTE(SUBSTITUTE(SUBSTITUTE(SUBSTITUTE(TRIM($AR1581),"-",""),".",""),"/","")," ",""),8),5,2),--MID(LEFT(SUBSTITUTE(SUBSTITUTE(SUBSTITUTE(SUBSTITUTE(TRIM($AR1581),"-",""),".",""),"/","")," ",""),8),7,2)),"")))</f>
        <v/>
      </c>
      <c r="AT1581" s="33">
        <f>IF($AS1581="","",IF($F$6="",0,IF(ISNUMBER(INDEX($A:$AP,ROW(),$F$6)),INDEX($A:$AP,ROW(),$F$6),IFERROR(--SUBSTITUTE(SUBSTITUTE(TRIM(INDEX($A:$AP,ROW(),$F$6)),",",""),"원",""),0))))</f>
        <v/>
      </c>
      <c r="AU1581" s="31">
        <f>IF($AS1581="","",IF($AX1581&lt;&gt;"",SUBSTITUTE(SUBSTITUTE($AX1581,"-","")," ",""),"N:"&amp;$AV1581))</f>
        <v/>
      </c>
      <c r="AV1581" s="31">
        <f>IF(OR($AS1581="",$E$6=""),"",TRIM(INDEX($A:$AP,ROW(),$E$6)&amp;""))</f>
        <v/>
      </c>
      <c r="AW1581" s="31">
        <f>IF($AU1581="","",IF(MATCH($AU1581,$AU$8:$AU$2007,0)=ROW()-7,MAX($AW$7:$AW1580)+1,""))</f>
        <v/>
      </c>
      <c r="AX1581" s="31">
        <f>IF(OR($AS1581="",$D$6=""),"",TRIM(INDEX($A:$AP,ROW(),$D$6)&amp;""))</f>
        <v/>
      </c>
      <c r="AY1581" s="31">
        <f>IF($AU1581="","",INDEX($AW$8:$AW$2007,MATCH($AU1581,$AU$8:$AU$2007,0)))</f>
        <v/>
      </c>
      <c r="AZ1581" s="31">
        <f>IF(OR($AS1581="",$C$6=""),"",TRIM(INDEX($A:$AP,ROW(),$C$6)&amp;""))</f>
        <v/>
      </c>
      <c r="BA1581" s="31">
        <f>IF($AZ1581="","",IF(COUNTIF($AZ$8:$AZ1581,$AZ1581)&gt;1,1,0))</f>
        <v/>
      </c>
    </row>
    <row r="1582">
      <c r="AR1582" s="31">
        <f>IF(OR($A$5="",$B$6="",ROW()&lt;$A$5),"",IF(INDEX($A:$AP,ROW(),$B$6)="","",INDEX($A:$AP,ROW(),$B$6)))</f>
        <v/>
      </c>
      <c r="AS1582" s="32">
        <f>IF($AR1582="","",IF(ISNUMBER($AR1582),IF($AR1582&gt;=10000000,IFERROR(DATE(INT($AR1582/10000),MOD(INT($AR1582/100),100),MOD($AR1582,100)),""),INT($AR1582)),IFERROR(DATE(--LEFT(LEFT(SUBSTITUTE(SUBSTITUTE(SUBSTITUTE(SUBSTITUTE(TRIM($AR1582),"-",""),".",""),"/","")," ",""),8),4),--MID(LEFT(SUBSTITUTE(SUBSTITUTE(SUBSTITUTE(SUBSTITUTE(TRIM($AR1582),"-",""),".",""),"/","")," ",""),8),5,2),--MID(LEFT(SUBSTITUTE(SUBSTITUTE(SUBSTITUTE(SUBSTITUTE(TRIM($AR1582),"-",""),".",""),"/","")," ",""),8),7,2)),"")))</f>
        <v/>
      </c>
      <c r="AT1582" s="33">
        <f>IF($AS1582="","",IF($F$6="",0,IF(ISNUMBER(INDEX($A:$AP,ROW(),$F$6)),INDEX($A:$AP,ROW(),$F$6),IFERROR(--SUBSTITUTE(SUBSTITUTE(TRIM(INDEX($A:$AP,ROW(),$F$6)),",",""),"원",""),0))))</f>
        <v/>
      </c>
      <c r="AU1582" s="31">
        <f>IF($AS1582="","",IF($AX1582&lt;&gt;"",SUBSTITUTE(SUBSTITUTE($AX1582,"-","")," ",""),"N:"&amp;$AV1582))</f>
        <v/>
      </c>
      <c r="AV1582" s="31">
        <f>IF(OR($AS1582="",$E$6=""),"",TRIM(INDEX($A:$AP,ROW(),$E$6)&amp;""))</f>
        <v/>
      </c>
      <c r="AW1582" s="31">
        <f>IF($AU1582="","",IF(MATCH($AU1582,$AU$8:$AU$2007,0)=ROW()-7,MAX($AW$7:$AW1581)+1,""))</f>
        <v/>
      </c>
      <c r="AX1582" s="31">
        <f>IF(OR($AS1582="",$D$6=""),"",TRIM(INDEX($A:$AP,ROW(),$D$6)&amp;""))</f>
        <v/>
      </c>
      <c r="AY1582" s="31">
        <f>IF($AU1582="","",INDEX($AW$8:$AW$2007,MATCH($AU1582,$AU$8:$AU$2007,0)))</f>
        <v/>
      </c>
      <c r="AZ1582" s="31">
        <f>IF(OR($AS1582="",$C$6=""),"",TRIM(INDEX($A:$AP,ROW(),$C$6)&amp;""))</f>
        <v/>
      </c>
      <c r="BA1582" s="31">
        <f>IF($AZ1582="","",IF(COUNTIF($AZ$8:$AZ1582,$AZ1582)&gt;1,1,0))</f>
        <v/>
      </c>
    </row>
    <row r="1583">
      <c r="AR1583" s="31">
        <f>IF(OR($A$5="",$B$6="",ROW()&lt;$A$5),"",IF(INDEX($A:$AP,ROW(),$B$6)="","",INDEX($A:$AP,ROW(),$B$6)))</f>
        <v/>
      </c>
      <c r="AS1583" s="32">
        <f>IF($AR1583="","",IF(ISNUMBER($AR1583),IF($AR1583&gt;=10000000,IFERROR(DATE(INT($AR1583/10000),MOD(INT($AR1583/100),100),MOD($AR1583,100)),""),INT($AR1583)),IFERROR(DATE(--LEFT(LEFT(SUBSTITUTE(SUBSTITUTE(SUBSTITUTE(SUBSTITUTE(TRIM($AR1583),"-",""),".",""),"/","")," ",""),8),4),--MID(LEFT(SUBSTITUTE(SUBSTITUTE(SUBSTITUTE(SUBSTITUTE(TRIM($AR1583),"-",""),".",""),"/","")," ",""),8),5,2),--MID(LEFT(SUBSTITUTE(SUBSTITUTE(SUBSTITUTE(SUBSTITUTE(TRIM($AR1583),"-",""),".",""),"/","")," ",""),8),7,2)),"")))</f>
        <v/>
      </c>
      <c r="AT1583" s="33">
        <f>IF($AS1583="","",IF($F$6="",0,IF(ISNUMBER(INDEX($A:$AP,ROW(),$F$6)),INDEX($A:$AP,ROW(),$F$6),IFERROR(--SUBSTITUTE(SUBSTITUTE(TRIM(INDEX($A:$AP,ROW(),$F$6)),",",""),"원",""),0))))</f>
        <v/>
      </c>
      <c r="AU1583" s="31">
        <f>IF($AS1583="","",IF($AX1583&lt;&gt;"",SUBSTITUTE(SUBSTITUTE($AX1583,"-","")," ",""),"N:"&amp;$AV1583))</f>
        <v/>
      </c>
      <c r="AV1583" s="31">
        <f>IF(OR($AS1583="",$E$6=""),"",TRIM(INDEX($A:$AP,ROW(),$E$6)&amp;""))</f>
        <v/>
      </c>
      <c r="AW1583" s="31">
        <f>IF($AU1583="","",IF(MATCH($AU1583,$AU$8:$AU$2007,0)=ROW()-7,MAX($AW$7:$AW1582)+1,""))</f>
        <v/>
      </c>
      <c r="AX1583" s="31">
        <f>IF(OR($AS1583="",$D$6=""),"",TRIM(INDEX($A:$AP,ROW(),$D$6)&amp;""))</f>
        <v/>
      </c>
      <c r="AY1583" s="31">
        <f>IF($AU1583="","",INDEX($AW$8:$AW$2007,MATCH($AU1583,$AU$8:$AU$2007,0)))</f>
        <v/>
      </c>
      <c r="AZ1583" s="31">
        <f>IF(OR($AS1583="",$C$6=""),"",TRIM(INDEX($A:$AP,ROW(),$C$6)&amp;""))</f>
        <v/>
      </c>
      <c r="BA1583" s="31">
        <f>IF($AZ1583="","",IF(COUNTIF($AZ$8:$AZ1583,$AZ1583)&gt;1,1,0))</f>
        <v/>
      </c>
    </row>
    <row r="1584">
      <c r="AR1584" s="31">
        <f>IF(OR($A$5="",$B$6="",ROW()&lt;$A$5),"",IF(INDEX($A:$AP,ROW(),$B$6)="","",INDEX($A:$AP,ROW(),$B$6)))</f>
        <v/>
      </c>
      <c r="AS1584" s="32">
        <f>IF($AR1584="","",IF(ISNUMBER($AR1584),IF($AR1584&gt;=10000000,IFERROR(DATE(INT($AR1584/10000),MOD(INT($AR1584/100),100),MOD($AR1584,100)),""),INT($AR1584)),IFERROR(DATE(--LEFT(LEFT(SUBSTITUTE(SUBSTITUTE(SUBSTITUTE(SUBSTITUTE(TRIM($AR1584),"-",""),".",""),"/","")," ",""),8),4),--MID(LEFT(SUBSTITUTE(SUBSTITUTE(SUBSTITUTE(SUBSTITUTE(TRIM($AR1584),"-",""),".",""),"/","")," ",""),8),5,2),--MID(LEFT(SUBSTITUTE(SUBSTITUTE(SUBSTITUTE(SUBSTITUTE(TRIM($AR1584),"-",""),".",""),"/","")," ",""),8),7,2)),"")))</f>
        <v/>
      </c>
      <c r="AT1584" s="33">
        <f>IF($AS1584="","",IF($F$6="",0,IF(ISNUMBER(INDEX($A:$AP,ROW(),$F$6)),INDEX($A:$AP,ROW(),$F$6),IFERROR(--SUBSTITUTE(SUBSTITUTE(TRIM(INDEX($A:$AP,ROW(),$F$6)),",",""),"원",""),0))))</f>
        <v/>
      </c>
      <c r="AU1584" s="31">
        <f>IF($AS1584="","",IF($AX1584&lt;&gt;"",SUBSTITUTE(SUBSTITUTE($AX1584,"-","")," ",""),"N:"&amp;$AV1584))</f>
        <v/>
      </c>
      <c r="AV1584" s="31">
        <f>IF(OR($AS1584="",$E$6=""),"",TRIM(INDEX($A:$AP,ROW(),$E$6)&amp;""))</f>
        <v/>
      </c>
      <c r="AW1584" s="31">
        <f>IF($AU1584="","",IF(MATCH($AU1584,$AU$8:$AU$2007,0)=ROW()-7,MAX($AW$7:$AW1583)+1,""))</f>
        <v/>
      </c>
      <c r="AX1584" s="31">
        <f>IF(OR($AS1584="",$D$6=""),"",TRIM(INDEX($A:$AP,ROW(),$D$6)&amp;""))</f>
        <v/>
      </c>
      <c r="AY1584" s="31">
        <f>IF($AU1584="","",INDEX($AW$8:$AW$2007,MATCH($AU1584,$AU$8:$AU$2007,0)))</f>
        <v/>
      </c>
      <c r="AZ1584" s="31">
        <f>IF(OR($AS1584="",$C$6=""),"",TRIM(INDEX($A:$AP,ROW(),$C$6)&amp;""))</f>
        <v/>
      </c>
      <c r="BA1584" s="31">
        <f>IF($AZ1584="","",IF(COUNTIF($AZ$8:$AZ1584,$AZ1584)&gt;1,1,0))</f>
        <v/>
      </c>
    </row>
    <row r="1585">
      <c r="AR1585" s="31">
        <f>IF(OR($A$5="",$B$6="",ROW()&lt;$A$5),"",IF(INDEX($A:$AP,ROW(),$B$6)="","",INDEX($A:$AP,ROW(),$B$6)))</f>
        <v/>
      </c>
      <c r="AS1585" s="32">
        <f>IF($AR1585="","",IF(ISNUMBER($AR1585),IF($AR1585&gt;=10000000,IFERROR(DATE(INT($AR1585/10000),MOD(INT($AR1585/100),100),MOD($AR1585,100)),""),INT($AR1585)),IFERROR(DATE(--LEFT(LEFT(SUBSTITUTE(SUBSTITUTE(SUBSTITUTE(SUBSTITUTE(TRIM($AR1585),"-",""),".",""),"/","")," ",""),8),4),--MID(LEFT(SUBSTITUTE(SUBSTITUTE(SUBSTITUTE(SUBSTITUTE(TRIM($AR1585),"-",""),".",""),"/","")," ",""),8),5,2),--MID(LEFT(SUBSTITUTE(SUBSTITUTE(SUBSTITUTE(SUBSTITUTE(TRIM($AR1585),"-",""),".",""),"/","")," ",""),8),7,2)),"")))</f>
        <v/>
      </c>
      <c r="AT1585" s="33">
        <f>IF($AS1585="","",IF($F$6="",0,IF(ISNUMBER(INDEX($A:$AP,ROW(),$F$6)),INDEX($A:$AP,ROW(),$F$6),IFERROR(--SUBSTITUTE(SUBSTITUTE(TRIM(INDEX($A:$AP,ROW(),$F$6)),",",""),"원",""),0))))</f>
        <v/>
      </c>
      <c r="AU1585" s="31">
        <f>IF($AS1585="","",IF($AX1585&lt;&gt;"",SUBSTITUTE(SUBSTITUTE($AX1585,"-","")," ",""),"N:"&amp;$AV1585))</f>
        <v/>
      </c>
      <c r="AV1585" s="31">
        <f>IF(OR($AS1585="",$E$6=""),"",TRIM(INDEX($A:$AP,ROW(),$E$6)&amp;""))</f>
        <v/>
      </c>
      <c r="AW1585" s="31">
        <f>IF($AU1585="","",IF(MATCH($AU1585,$AU$8:$AU$2007,0)=ROW()-7,MAX($AW$7:$AW1584)+1,""))</f>
        <v/>
      </c>
      <c r="AX1585" s="31">
        <f>IF(OR($AS1585="",$D$6=""),"",TRIM(INDEX($A:$AP,ROW(),$D$6)&amp;""))</f>
        <v/>
      </c>
      <c r="AY1585" s="31">
        <f>IF($AU1585="","",INDEX($AW$8:$AW$2007,MATCH($AU1585,$AU$8:$AU$2007,0)))</f>
        <v/>
      </c>
      <c r="AZ1585" s="31">
        <f>IF(OR($AS1585="",$C$6=""),"",TRIM(INDEX($A:$AP,ROW(),$C$6)&amp;""))</f>
        <v/>
      </c>
      <c r="BA1585" s="31">
        <f>IF($AZ1585="","",IF(COUNTIF($AZ$8:$AZ1585,$AZ1585)&gt;1,1,0))</f>
        <v/>
      </c>
    </row>
    <row r="1586">
      <c r="AR1586" s="31">
        <f>IF(OR($A$5="",$B$6="",ROW()&lt;$A$5),"",IF(INDEX($A:$AP,ROW(),$B$6)="","",INDEX($A:$AP,ROW(),$B$6)))</f>
        <v/>
      </c>
      <c r="AS1586" s="32">
        <f>IF($AR1586="","",IF(ISNUMBER($AR1586),IF($AR1586&gt;=10000000,IFERROR(DATE(INT($AR1586/10000),MOD(INT($AR1586/100),100),MOD($AR1586,100)),""),INT($AR1586)),IFERROR(DATE(--LEFT(LEFT(SUBSTITUTE(SUBSTITUTE(SUBSTITUTE(SUBSTITUTE(TRIM($AR1586),"-",""),".",""),"/","")," ",""),8),4),--MID(LEFT(SUBSTITUTE(SUBSTITUTE(SUBSTITUTE(SUBSTITUTE(TRIM($AR1586),"-",""),".",""),"/","")," ",""),8),5,2),--MID(LEFT(SUBSTITUTE(SUBSTITUTE(SUBSTITUTE(SUBSTITUTE(TRIM($AR1586),"-",""),".",""),"/","")," ",""),8),7,2)),"")))</f>
        <v/>
      </c>
      <c r="AT1586" s="33">
        <f>IF($AS1586="","",IF($F$6="",0,IF(ISNUMBER(INDEX($A:$AP,ROW(),$F$6)),INDEX($A:$AP,ROW(),$F$6),IFERROR(--SUBSTITUTE(SUBSTITUTE(TRIM(INDEX($A:$AP,ROW(),$F$6)),",",""),"원",""),0))))</f>
        <v/>
      </c>
      <c r="AU1586" s="31">
        <f>IF($AS1586="","",IF($AX1586&lt;&gt;"",SUBSTITUTE(SUBSTITUTE($AX1586,"-","")," ",""),"N:"&amp;$AV1586))</f>
        <v/>
      </c>
      <c r="AV1586" s="31">
        <f>IF(OR($AS1586="",$E$6=""),"",TRIM(INDEX($A:$AP,ROW(),$E$6)&amp;""))</f>
        <v/>
      </c>
      <c r="AW1586" s="31">
        <f>IF($AU1586="","",IF(MATCH($AU1586,$AU$8:$AU$2007,0)=ROW()-7,MAX($AW$7:$AW1585)+1,""))</f>
        <v/>
      </c>
      <c r="AX1586" s="31">
        <f>IF(OR($AS1586="",$D$6=""),"",TRIM(INDEX($A:$AP,ROW(),$D$6)&amp;""))</f>
        <v/>
      </c>
      <c r="AY1586" s="31">
        <f>IF($AU1586="","",INDEX($AW$8:$AW$2007,MATCH($AU1586,$AU$8:$AU$2007,0)))</f>
        <v/>
      </c>
      <c r="AZ1586" s="31">
        <f>IF(OR($AS1586="",$C$6=""),"",TRIM(INDEX($A:$AP,ROW(),$C$6)&amp;""))</f>
        <v/>
      </c>
      <c r="BA1586" s="31">
        <f>IF($AZ1586="","",IF(COUNTIF($AZ$8:$AZ1586,$AZ1586)&gt;1,1,0))</f>
        <v/>
      </c>
    </row>
    <row r="1587">
      <c r="AR1587" s="31">
        <f>IF(OR($A$5="",$B$6="",ROW()&lt;$A$5),"",IF(INDEX($A:$AP,ROW(),$B$6)="","",INDEX($A:$AP,ROW(),$B$6)))</f>
        <v/>
      </c>
      <c r="AS1587" s="32">
        <f>IF($AR1587="","",IF(ISNUMBER($AR1587),IF($AR1587&gt;=10000000,IFERROR(DATE(INT($AR1587/10000),MOD(INT($AR1587/100),100),MOD($AR1587,100)),""),INT($AR1587)),IFERROR(DATE(--LEFT(LEFT(SUBSTITUTE(SUBSTITUTE(SUBSTITUTE(SUBSTITUTE(TRIM($AR1587),"-",""),".",""),"/","")," ",""),8),4),--MID(LEFT(SUBSTITUTE(SUBSTITUTE(SUBSTITUTE(SUBSTITUTE(TRIM($AR1587),"-",""),".",""),"/","")," ",""),8),5,2),--MID(LEFT(SUBSTITUTE(SUBSTITUTE(SUBSTITUTE(SUBSTITUTE(TRIM($AR1587),"-",""),".",""),"/","")," ",""),8),7,2)),"")))</f>
        <v/>
      </c>
      <c r="AT1587" s="33">
        <f>IF($AS1587="","",IF($F$6="",0,IF(ISNUMBER(INDEX($A:$AP,ROW(),$F$6)),INDEX($A:$AP,ROW(),$F$6),IFERROR(--SUBSTITUTE(SUBSTITUTE(TRIM(INDEX($A:$AP,ROW(),$F$6)),",",""),"원",""),0))))</f>
        <v/>
      </c>
      <c r="AU1587" s="31">
        <f>IF($AS1587="","",IF($AX1587&lt;&gt;"",SUBSTITUTE(SUBSTITUTE($AX1587,"-","")," ",""),"N:"&amp;$AV1587))</f>
        <v/>
      </c>
      <c r="AV1587" s="31">
        <f>IF(OR($AS1587="",$E$6=""),"",TRIM(INDEX($A:$AP,ROW(),$E$6)&amp;""))</f>
        <v/>
      </c>
      <c r="AW1587" s="31">
        <f>IF($AU1587="","",IF(MATCH($AU1587,$AU$8:$AU$2007,0)=ROW()-7,MAX($AW$7:$AW1586)+1,""))</f>
        <v/>
      </c>
      <c r="AX1587" s="31">
        <f>IF(OR($AS1587="",$D$6=""),"",TRIM(INDEX($A:$AP,ROW(),$D$6)&amp;""))</f>
        <v/>
      </c>
      <c r="AY1587" s="31">
        <f>IF($AU1587="","",INDEX($AW$8:$AW$2007,MATCH($AU1587,$AU$8:$AU$2007,0)))</f>
        <v/>
      </c>
      <c r="AZ1587" s="31">
        <f>IF(OR($AS1587="",$C$6=""),"",TRIM(INDEX($A:$AP,ROW(),$C$6)&amp;""))</f>
        <v/>
      </c>
      <c r="BA1587" s="31">
        <f>IF($AZ1587="","",IF(COUNTIF($AZ$8:$AZ1587,$AZ1587)&gt;1,1,0))</f>
        <v/>
      </c>
    </row>
    <row r="1588">
      <c r="AR1588" s="31">
        <f>IF(OR($A$5="",$B$6="",ROW()&lt;$A$5),"",IF(INDEX($A:$AP,ROW(),$B$6)="","",INDEX($A:$AP,ROW(),$B$6)))</f>
        <v/>
      </c>
      <c r="AS1588" s="32">
        <f>IF($AR1588="","",IF(ISNUMBER($AR1588),IF($AR1588&gt;=10000000,IFERROR(DATE(INT($AR1588/10000),MOD(INT($AR1588/100),100),MOD($AR1588,100)),""),INT($AR1588)),IFERROR(DATE(--LEFT(LEFT(SUBSTITUTE(SUBSTITUTE(SUBSTITUTE(SUBSTITUTE(TRIM($AR1588),"-",""),".",""),"/","")," ",""),8),4),--MID(LEFT(SUBSTITUTE(SUBSTITUTE(SUBSTITUTE(SUBSTITUTE(TRIM($AR1588),"-",""),".",""),"/","")," ",""),8),5,2),--MID(LEFT(SUBSTITUTE(SUBSTITUTE(SUBSTITUTE(SUBSTITUTE(TRIM($AR1588),"-",""),".",""),"/","")," ",""),8),7,2)),"")))</f>
        <v/>
      </c>
      <c r="AT1588" s="33">
        <f>IF($AS1588="","",IF($F$6="",0,IF(ISNUMBER(INDEX($A:$AP,ROW(),$F$6)),INDEX($A:$AP,ROW(),$F$6),IFERROR(--SUBSTITUTE(SUBSTITUTE(TRIM(INDEX($A:$AP,ROW(),$F$6)),",",""),"원",""),0))))</f>
        <v/>
      </c>
      <c r="AU1588" s="31">
        <f>IF($AS1588="","",IF($AX1588&lt;&gt;"",SUBSTITUTE(SUBSTITUTE($AX1588,"-","")," ",""),"N:"&amp;$AV1588))</f>
        <v/>
      </c>
      <c r="AV1588" s="31">
        <f>IF(OR($AS1588="",$E$6=""),"",TRIM(INDEX($A:$AP,ROW(),$E$6)&amp;""))</f>
        <v/>
      </c>
      <c r="AW1588" s="31">
        <f>IF($AU1588="","",IF(MATCH($AU1588,$AU$8:$AU$2007,0)=ROW()-7,MAX($AW$7:$AW1587)+1,""))</f>
        <v/>
      </c>
      <c r="AX1588" s="31">
        <f>IF(OR($AS1588="",$D$6=""),"",TRIM(INDEX($A:$AP,ROW(),$D$6)&amp;""))</f>
        <v/>
      </c>
      <c r="AY1588" s="31">
        <f>IF($AU1588="","",INDEX($AW$8:$AW$2007,MATCH($AU1588,$AU$8:$AU$2007,0)))</f>
        <v/>
      </c>
      <c r="AZ1588" s="31">
        <f>IF(OR($AS1588="",$C$6=""),"",TRIM(INDEX($A:$AP,ROW(),$C$6)&amp;""))</f>
        <v/>
      </c>
      <c r="BA1588" s="31">
        <f>IF($AZ1588="","",IF(COUNTIF($AZ$8:$AZ1588,$AZ1588)&gt;1,1,0))</f>
        <v/>
      </c>
    </row>
    <row r="1589">
      <c r="AR1589" s="31">
        <f>IF(OR($A$5="",$B$6="",ROW()&lt;$A$5),"",IF(INDEX($A:$AP,ROW(),$B$6)="","",INDEX($A:$AP,ROW(),$B$6)))</f>
        <v/>
      </c>
      <c r="AS1589" s="32">
        <f>IF($AR1589="","",IF(ISNUMBER($AR1589),IF($AR1589&gt;=10000000,IFERROR(DATE(INT($AR1589/10000),MOD(INT($AR1589/100),100),MOD($AR1589,100)),""),INT($AR1589)),IFERROR(DATE(--LEFT(LEFT(SUBSTITUTE(SUBSTITUTE(SUBSTITUTE(SUBSTITUTE(TRIM($AR1589),"-",""),".",""),"/","")," ",""),8),4),--MID(LEFT(SUBSTITUTE(SUBSTITUTE(SUBSTITUTE(SUBSTITUTE(TRIM($AR1589),"-",""),".",""),"/","")," ",""),8),5,2),--MID(LEFT(SUBSTITUTE(SUBSTITUTE(SUBSTITUTE(SUBSTITUTE(TRIM($AR1589),"-",""),".",""),"/","")," ",""),8),7,2)),"")))</f>
        <v/>
      </c>
      <c r="AT1589" s="33">
        <f>IF($AS1589="","",IF($F$6="",0,IF(ISNUMBER(INDEX($A:$AP,ROW(),$F$6)),INDEX($A:$AP,ROW(),$F$6),IFERROR(--SUBSTITUTE(SUBSTITUTE(TRIM(INDEX($A:$AP,ROW(),$F$6)),",",""),"원",""),0))))</f>
        <v/>
      </c>
      <c r="AU1589" s="31">
        <f>IF($AS1589="","",IF($AX1589&lt;&gt;"",SUBSTITUTE(SUBSTITUTE($AX1589,"-","")," ",""),"N:"&amp;$AV1589))</f>
        <v/>
      </c>
      <c r="AV1589" s="31">
        <f>IF(OR($AS1589="",$E$6=""),"",TRIM(INDEX($A:$AP,ROW(),$E$6)&amp;""))</f>
        <v/>
      </c>
      <c r="AW1589" s="31">
        <f>IF($AU1589="","",IF(MATCH($AU1589,$AU$8:$AU$2007,0)=ROW()-7,MAX($AW$7:$AW1588)+1,""))</f>
        <v/>
      </c>
      <c r="AX1589" s="31">
        <f>IF(OR($AS1589="",$D$6=""),"",TRIM(INDEX($A:$AP,ROW(),$D$6)&amp;""))</f>
        <v/>
      </c>
      <c r="AY1589" s="31">
        <f>IF($AU1589="","",INDEX($AW$8:$AW$2007,MATCH($AU1589,$AU$8:$AU$2007,0)))</f>
        <v/>
      </c>
      <c r="AZ1589" s="31">
        <f>IF(OR($AS1589="",$C$6=""),"",TRIM(INDEX($A:$AP,ROW(),$C$6)&amp;""))</f>
        <v/>
      </c>
      <c r="BA1589" s="31">
        <f>IF($AZ1589="","",IF(COUNTIF($AZ$8:$AZ1589,$AZ1589)&gt;1,1,0))</f>
        <v/>
      </c>
    </row>
    <row r="1590">
      <c r="AR1590" s="31">
        <f>IF(OR($A$5="",$B$6="",ROW()&lt;$A$5),"",IF(INDEX($A:$AP,ROW(),$B$6)="","",INDEX($A:$AP,ROW(),$B$6)))</f>
        <v/>
      </c>
      <c r="AS1590" s="32">
        <f>IF($AR1590="","",IF(ISNUMBER($AR1590),IF($AR1590&gt;=10000000,IFERROR(DATE(INT($AR1590/10000),MOD(INT($AR1590/100),100),MOD($AR1590,100)),""),INT($AR1590)),IFERROR(DATE(--LEFT(LEFT(SUBSTITUTE(SUBSTITUTE(SUBSTITUTE(SUBSTITUTE(TRIM($AR1590),"-",""),".",""),"/","")," ",""),8),4),--MID(LEFT(SUBSTITUTE(SUBSTITUTE(SUBSTITUTE(SUBSTITUTE(TRIM($AR1590),"-",""),".",""),"/","")," ",""),8),5,2),--MID(LEFT(SUBSTITUTE(SUBSTITUTE(SUBSTITUTE(SUBSTITUTE(TRIM($AR1590),"-",""),".",""),"/","")," ",""),8),7,2)),"")))</f>
        <v/>
      </c>
      <c r="AT1590" s="33">
        <f>IF($AS1590="","",IF($F$6="",0,IF(ISNUMBER(INDEX($A:$AP,ROW(),$F$6)),INDEX($A:$AP,ROW(),$F$6),IFERROR(--SUBSTITUTE(SUBSTITUTE(TRIM(INDEX($A:$AP,ROW(),$F$6)),",",""),"원",""),0))))</f>
        <v/>
      </c>
      <c r="AU1590" s="31">
        <f>IF($AS1590="","",IF($AX1590&lt;&gt;"",SUBSTITUTE(SUBSTITUTE($AX1590,"-","")," ",""),"N:"&amp;$AV1590))</f>
        <v/>
      </c>
      <c r="AV1590" s="31">
        <f>IF(OR($AS1590="",$E$6=""),"",TRIM(INDEX($A:$AP,ROW(),$E$6)&amp;""))</f>
        <v/>
      </c>
      <c r="AW1590" s="31">
        <f>IF($AU1590="","",IF(MATCH($AU1590,$AU$8:$AU$2007,0)=ROW()-7,MAX($AW$7:$AW1589)+1,""))</f>
        <v/>
      </c>
      <c r="AX1590" s="31">
        <f>IF(OR($AS1590="",$D$6=""),"",TRIM(INDEX($A:$AP,ROW(),$D$6)&amp;""))</f>
        <v/>
      </c>
      <c r="AY1590" s="31">
        <f>IF($AU1590="","",INDEX($AW$8:$AW$2007,MATCH($AU1590,$AU$8:$AU$2007,0)))</f>
        <v/>
      </c>
      <c r="AZ1590" s="31">
        <f>IF(OR($AS1590="",$C$6=""),"",TRIM(INDEX($A:$AP,ROW(),$C$6)&amp;""))</f>
        <v/>
      </c>
      <c r="BA1590" s="31">
        <f>IF($AZ1590="","",IF(COUNTIF($AZ$8:$AZ1590,$AZ1590)&gt;1,1,0))</f>
        <v/>
      </c>
    </row>
    <row r="1591">
      <c r="AR1591" s="31">
        <f>IF(OR($A$5="",$B$6="",ROW()&lt;$A$5),"",IF(INDEX($A:$AP,ROW(),$B$6)="","",INDEX($A:$AP,ROW(),$B$6)))</f>
        <v/>
      </c>
      <c r="AS1591" s="32">
        <f>IF($AR1591="","",IF(ISNUMBER($AR1591),IF($AR1591&gt;=10000000,IFERROR(DATE(INT($AR1591/10000),MOD(INT($AR1591/100),100),MOD($AR1591,100)),""),INT($AR1591)),IFERROR(DATE(--LEFT(LEFT(SUBSTITUTE(SUBSTITUTE(SUBSTITUTE(SUBSTITUTE(TRIM($AR1591),"-",""),".",""),"/","")," ",""),8),4),--MID(LEFT(SUBSTITUTE(SUBSTITUTE(SUBSTITUTE(SUBSTITUTE(TRIM($AR1591),"-",""),".",""),"/","")," ",""),8),5,2),--MID(LEFT(SUBSTITUTE(SUBSTITUTE(SUBSTITUTE(SUBSTITUTE(TRIM($AR1591),"-",""),".",""),"/","")," ",""),8),7,2)),"")))</f>
        <v/>
      </c>
      <c r="AT1591" s="33">
        <f>IF($AS1591="","",IF($F$6="",0,IF(ISNUMBER(INDEX($A:$AP,ROW(),$F$6)),INDEX($A:$AP,ROW(),$F$6),IFERROR(--SUBSTITUTE(SUBSTITUTE(TRIM(INDEX($A:$AP,ROW(),$F$6)),",",""),"원",""),0))))</f>
        <v/>
      </c>
      <c r="AU1591" s="31">
        <f>IF($AS1591="","",IF($AX1591&lt;&gt;"",SUBSTITUTE(SUBSTITUTE($AX1591,"-","")," ",""),"N:"&amp;$AV1591))</f>
        <v/>
      </c>
      <c r="AV1591" s="31">
        <f>IF(OR($AS1591="",$E$6=""),"",TRIM(INDEX($A:$AP,ROW(),$E$6)&amp;""))</f>
        <v/>
      </c>
      <c r="AW1591" s="31">
        <f>IF($AU1591="","",IF(MATCH($AU1591,$AU$8:$AU$2007,0)=ROW()-7,MAX($AW$7:$AW1590)+1,""))</f>
        <v/>
      </c>
      <c r="AX1591" s="31">
        <f>IF(OR($AS1591="",$D$6=""),"",TRIM(INDEX($A:$AP,ROW(),$D$6)&amp;""))</f>
        <v/>
      </c>
      <c r="AY1591" s="31">
        <f>IF($AU1591="","",INDEX($AW$8:$AW$2007,MATCH($AU1591,$AU$8:$AU$2007,0)))</f>
        <v/>
      </c>
      <c r="AZ1591" s="31">
        <f>IF(OR($AS1591="",$C$6=""),"",TRIM(INDEX($A:$AP,ROW(),$C$6)&amp;""))</f>
        <v/>
      </c>
      <c r="BA1591" s="31">
        <f>IF($AZ1591="","",IF(COUNTIF($AZ$8:$AZ1591,$AZ1591)&gt;1,1,0))</f>
        <v/>
      </c>
    </row>
    <row r="1592">
      <c r="AR1592" s="31">
        <f>IF(OR($A$5="",$B$6="",ROW()&lt;$A$5),"",IF(INDEX($A:$AP,ROW(),$B$6)="","",INDEX($A:$AP,ROW(),$B$6)))</f>
        <v/>
      </c>
      <c r="AS1592" s="32">
        <f>IF($AR1592="","",IF(ISNUMBER($AR1592),IF($AR1592&gt;=10000000,IFERROR(DATE(INT($AR1592/10000),MOD(INT($AR1592/100),100),MOD($AR1592,100)),""),INT($AR1592)),IFERROR(DATE(--LEFT(LEFT(SUBSTITUTE(SUBSTITUTE(SUBSTITUTE(SUBSTITUTE(TRIM($AR1592),"-",""),".",""),"/","")," ",""),8),4),--MID(LEFT(SUBSTITUTE(SUBSTITUTE(SUBSTITUTE(SUBSTITUTE(TRIM($AR1592),"-",""),".",""),"/","")," ",""),8),5,2),--MID(LEFT(SUBSTITUTE(SUBSTITUTE(SUBSTITUTE(SUBSTITUTE(TRIM($AR1592),"-",""),".",""),"/","")," ",""),8),7,2)),"")))</f>
        <v/>
      </c>
      <c r="AT1592" s="33">
        <f>IF($AS1592="","",IF($F$6="",0,IF(ISNUMBER(INDEX($A:$AP,ROW(),$F$6)),INDEX($A:$AP,ROW(),$F$6),IFERROR(--SUBSTITUTE(SUBSTITUTE(TRIM(INDEX($A:$AP,ROW(),$F$6)),",",""),"원",""),0))))</f>
        <v/>
      </c>
      <c r="AU1592" s="31">
        <f>IF($AS1592="","",IF($AX1592&lt;&gt;"",SUBSTITUTE(SUBSTITUTE($AX1592,"-","")," ",""),"N:"&amp;$AV1592))</f>
        <v/>
      </c>
      <c r="AV1592" s="31">
        <f>IF(OR($AS1592="",$E$6=""),"",TRIM(INDEX($A:$AP,ROW(),$E$6)&amp;""))</f>
        <v/>
      </c>
      <c r="AW1592" s="31">
        <f>IF($AU1592="","",IF(MATCH($AU1592,$AU$8:$AU$2007,0)=ROW()-7,MAX($AW$7:$AW1591)+1,""))</f>
        <v/>
      </c>
      <c r="AX1592" s="31">
        <f>IF(OR($AS1592="",$D$6=""),"",TRIM(INDEX($A:$AP,ROW(),$D$6)&amp;""))</f>
        <v/>
      </c>
      <c r="AY1592" s="31">
        <f>IF($AU1592="","",INDEX($AW$8:$AW$2007,MATCH($AU1592,$AU$8:$AU$2007,0)))</f>
        <v/>
      </c>
      <c r="AZ1592" s="31">
        <f>IF(OR($AS1592="",$C$6=""),"",TRIM(INDEX($A:$AP,ROW(),$C$6)&amp;""))</f>
        <v/>
      </c>
      <c r="BA1592" s="31">
        <f>IF($AZ1592="","",IF(COUNTIF($AZ$8:$AZ1592,$AZ1592)&gt;1,1,0))</f>
        <v/>
      </c>
    </row>
    <row r="1593">
      <c r="AR1593" s="31">
        <f>IF(OR($A$5="",$B$6="",ROW()&lt;$A$5),"",IF(INDEX($A:$AP,ROW(),$B$6)="","",INDEX($A:$AP,ROW(),$B$6)))</f>
        <v/>
      </c>
      <c r="AS1593" s="32">
        <f>IF($AR1593="","",IF(ISNUMBER($AR1593),IF($AR1593&gt;=10000000,IFERROR(DATE(INT($AR1593/10000),MOD(INT($AR1593/100),100),MOD($AR1593,100)),""),INT($AR1593)),IFERROR(DATE(--LEFT(LEFT(SUBSTITUTE(SUBSTITUTE(SUBSTITUTE(SUBSTITUTE(TRIM($AR1593),"-",""),".",""),"/","")," ",""),8),4),--MID(LEFT(SUBSTITUTE(SUBSTITUTE(SUBSTITUTE(SUBSTITUTE(TRIM($AR1593),"-",""),".",""),"/","")," ",""),8),5,2),--MID(LEFT(SUBSTITUTE(SUBSTITUTE(SUBSTITUTE(SUBSTITUTE(TRIM($AR1593),"-",""),".",""),"/","")," ",""),8),7,2)),"")))</f>
        <v/>
      </c>
      <c r="AT1593" s="33">
        <f>IF($AS1593="","",IF($F$6="",0,IF(ISNUMBER(INDEX($A:$AP,ROW(),$F$6)),INDEX($A:$AP,ROW(),$F$6),IFERROR(--SUBSTITUTE(SUBSTITUTE(TRIM(INDEX($A:$AP,ROW(),$F$6)),",",""),"원",""),0))))</f>
        <v/>
      </c>
      <c r="AU1593" s="31">
        <f>IF($AS1593="","",IF($AX1593&lt;&gt;"",SUBSTITUTE(SUBSTITUTE($AX1593,"-","")," ",""),"N:"&amp;$AV1593))</f>
        <v/>
      </c>
      <c r="AV1593" s="31">
        <f>IF(OR($AS1593="",$E$6=""),"",TRIM(INDEX($A:$AP,ROW(),$E$6)&amp;""))</f>
        <v/>
      </c>
      <c r="AW1593" s="31">
        <f>IF($AU1593="","",IF(MATCH($AU1593,$AU$8:$AU$2007,0)=ROW()-7,MAX($AW$7:$AW1592)+1,""))</f>
        <v/>
      </c>
      <c r="AX1593" s="31">
        <f>IF(OR($AS1593="",$D$6=""),"",TRIM(INDEX($A:$AP,ROW(),$D$6)&amp;""))</f>
        <v/>
      </c>
      <c r="AY1593" s="31">
        <f>IF($AU1593="","",INDEX($AW$8:$AW$2007,MATCH($AU1593,$AU$8:$AU$2007,0)))</f>
        <v/>
      </c>
      <c r="AZ1593" s="31">
        <f>IF(OR($AS1593="",$C$6=""),"",TRIM(INDEX($A:$AP,ROW(),$C$6)&amp;""))</f>
        <v/>
      </c>
      <c r="BA1593" s="31">
        <f>IF($AZ1593="","",IF(COUNTIF($AZ$8:$AZ1593,$AZ1593)&gt;1,1,0))</f>
        <v/>
      </c>
    </row>
    <row r="1594">
      <c r="AR1594" s="31">
        <f>IF(OR($A$5="",$B$6="",ROW()&lt;$A$5),"",IF(INDEX($A:$AP,ROW(),$B$6)="","",INDEX($A:$AP,ROW(),$B$6)))</f>
        <v/>
      </c>
      <c r="AS1594" s="32">
        <f>IF($AR1594="","",IF(ISNUMBER($AR1594),IF($AR1594&gt;=10000000,IFERROR(DATE(INT($AR1594/10000),MOD(INT($AR1594/100),100),MOD($AR1594,100)),""),INT($AR1594)),IFERROR(DATE(--LEFT(LEFT(SUBSTITUTE(SUBSTITUTE(SUBSTITUTE(SUBSTITUTE(TRIM($AR1594),"-",""),".",""),"/","")," ",""),8),4),--MID(LEFT(SUBSTITUTE(SUBSTITUTE(SUBSTITUTE(SUBSTITUTE(TRIM($AR1594),"-",""),".",""),"/","")," ",""),8),5,2),--MID(LEFT(SUBSTITUTE(SUBSTITUTE(SUBSTITUTE(SUBSTITUTE(TRIM($AR1594),"-",""),".",""),"/","")," ",""),8),7,2)),"")))</f>
        <v/>
      </c>
      <c r="AT1594" s="33">
        <f>IF($AS1594="","",IF($F$6="",0,IF(ISNUMBER(INDEX($A:$AP,ROW(),$F$6)),INDEX($A:$AP,ROW(),$F$6),IFERROR(--SUBSTITUTE(SUBSTITUTE(TRIM(INDEX($A:$AP,ROW(),$F$6)),",",""),"원",""),0))))</f>
        <v/>
      </c>
      <c r="AU1594" s="31">
        <f>IF($AS1594="","",IF($AX1594&lt;&gt;"",SUBSTITUTE(SUBSTITUTE($AX1594,"-","")," ",""),"N:"&amp;$AV1594))</f>
        <v/>
      </c>
      <c r="AV1594" s="31">
        <f>IF(OR($AS1594="",$E$6=""),"",TRIM(INDEX($A:$AP,ROW(),$E$6)&amp;""))</f>
        <v/>
      </c>
      <c r="AW1594" s="31">
        <f>IF($AU1594="","",IF(MATCH($AU1594,$AU$8:$AU$2007,0)=ROW()-7,MAX($AW$7:$AW1593)+1,""))</f>
        <v/>
      </c>
      <c r="AX1594" s="31">
        <f>IF(OR($AS1594="",$D$6=""),"",TRIM(INDEX($A:$AP,ROW(),$D$6)&amp;""))</f>
        <v/>
      </c>
      <c r="AY1594" s="31">
        <f>IF($AU1594="","",INDEX($AW$8:$AW$2007,MATCH($AU1594,$AU$8:$AU$2007,0)))</f>
        <v/>
      </c>
      <c r="AZ1594" s="31">
        <f>IF(OR($AS1594="",$C$6=""),"",TRIM(INDEX($A:$AP,ROW(),$C$6)&amp;""))</f>
        <v/>
      </c>
      <c r="BA1594" s="31">
        <f>IF($AZ1594="","",IF(COUNTIF($AZ$8:$AZ1594,$AZ1594)&gt;1,1,0))</f>
        <v/>
      </c>
    </row>
    <row r="1595">
      <c r="AR1595" s="31">
        <f>IF(OR($A$5="",$B$6="",ROW()&lt;$A$5),"",IF(INDEX($A:$AP,ROW(),$B$6)="","",INDEX($A:$AP,ROW(),$B$6)))</f>
        <v/>
      </c>
      <c r="AS1595" s="32">
        <f>IF($AR1595="","",IF(ISNUMBER($AR1595),IF($AR1595&gt;=10000000,IFERROR(DATE(INT($AR1595/10000),MOD(INT($AR1595/100),100),MOD($AR1595,100)),""),INT($AR1595)),IFERROR(DATE(--LEFT(LEFT(SUBSTITUTE(SUBSTITUTE(SUBSTITUTE(SUBSTITUTE(TRIM($AR1595),"-",""),".",""),"/","")," ",""),8),4),--MID(LEFT(SUBSTITUTE(SUBSTITUTE(SUBSTITUTE(SUBSTITUTE(TRIM($AR1595),"-",""),".",""),"/","")," ",""),8),5,2),--MID(LEFT(SUBSTITUTE(SUBSTITUTE(SUBSTITUTE(SUBSTITUTE(TRIM($AR1595),"-",""),".",""),"/","")," ",""),8),7,2)),"")))</f>
        <v/>
      </c>
      <c r="AT1595" s="33">
        <f>IF($AS1595="","",IF($F$6="",0,IF(ISNUMBER(INDEX($A:$AP,ROW(),$F$6)),INDEX($A:$AP,ROW(),$F$6),IFERROR(--SUBSTITUTE(SUBSTITUTE(TRIM(INDEX($A:$AP,ROW(),$F$6)),",",""),"원",""),0))))</f>
        <v/>
      </c>
      <c r="AU1595" s="31">
        <f>IF($AS1595="","",IF($AX1595&lt;&gt;"",SUBSTITUTE(SUBSTITUTE($AX1595,"-","")," ",""),"N:"&amp;$AV1595))</f>
        <v/>
      </c>
      <c r="AV1595" s="31">
        <f>IF(OR($AS1595="",$E$6=""),"",TRIM(INDEX($A:$AP,ROW(),$E$6)&amp;""))</f>
        <v/>
      </c>
      <c r="AW1595" s="31">
        <f>IF($AU1595="","",IF(MATCH($AU1595,$AU$8:$AU$2007,0)=ROW()-7,MAX($AW$7:$AW1594)+1,""))</f>
        <v/>
      </c>
      <c r="AX1595" s="31">
        <f>IF(OR($AS1595="",$D$6=""),"",TRIM(INDEX($A:$AP,ROW(),$D$6)&amp;""))</f>
        <v/>
      </c>
      <c r="AY1595" s="31">
        <f>IF($AU1595="","",INDEX($AW$8:$AW$2007,MATCH($AU1595,$AU$8:$AU$2007,0)))</f>
        <v/>
      </c>
      <c r="AZ1595" s="31">
        <f>IF(OR($AS1595="",$C$6=""),"",TRIM(INDEX($A:$AP,ROW(),$C$6)&amp;""))</f>
        <v/>
      </c>
      <c r="BA1595" s="31">
        <f>IF($AZ1595="","",IF(COUNTIF($AZ$8:$AZ1595,$AZ1595)&gt;1,1,0))</f>
        <v/>
      </c>
    </row>
    <row r="1596">
      <c r="AR1596" s="31">
        <f>IF(OR($A$5="",$B$6="",ROW()&lt;$A$5),"",IF(INDEX($A:$AP,ROW(),$B$6)="","",INDEX($A:$AP,ROW(),$B$6)))</f>
        <v/>
      </c>
      <c r="AS1596" s="32">
        <f>IF($AR1596="","",IF(ISNUMBER($AR1596),IF($AR1596&gt;=10000000,IFERROR(DATE(INT($AR1596/10000),MOD(INT($AR1596/100),100),MOD($AR1596,100)),""),INT($AR1596)),IFERROR(DATE(--LEFT(LEFT(SUBSTITUTE(SUBSTITUTE(SUBSTITUTE(SUBSTITUTE(TRIM($AR1596),"-",""),".",""),"/","")," ",""),8),4),--MID(LEFT(SUBSTITUTE(SUBSTITUTE(SUBSTITUTE(SUBSTITUTE(TRIM($AR1596),"-",""),".",""),"/","")," ",""),8),5,2),--MID(LEFT(SUBSTITUTE(SUBSTITUTE(SUBSTITUTE(SUBSTITUTE(TRIM($AR1596),"-",""),".",""),"/","")," ",""),8),7,2)),"")))</f>
        <v/>
      </c>
      <c r="AT1596" s="33">
        <f>IF($AS1596="","",IF($F$6="",0,IF(ISNUMBER(INDEX($A:$AP,ROW(),$F$6)),INDEX($A:$AP,ROW(),$F$6),IFERROR(--SUBSTITUTE(SUBSTITUTE(TRIM(INDEX($A:$AP,ROW(),$F$6)),",",""),"원",""),0))))</f>
        <v/>
      </c>
      <c r="AU1596" s="31">
        <f>IF($AS1596="","",IF($AX1596&lt;&gt;"",SUBSTITUTE(SUBSTITUTE($AX1596,"-","")," ",""),"N:"&amp;$AV1596))</f>
        <v/>
      </c>
      <c r="AV1596" s="31">
        <f>IF(OR($AS1596="",$E$6=""),"",TRIM(INDEX($A:$AP,ROW(),$E$6)&amp;""))</f>
        <v/>
      </c>
      <c r="AW1596" s="31">
        <f>IF($AU1596="","",IF(MATCH($AU1596,$AU$8:$AU$2007,0)=ROW()-7,MAX($AW$7:$AW1595)+1,""))</f>
        <v/>
      </c>
      <c r="AX1596" s="31">
        <f>IF(OR($AS1596="",$D$6=""),"",TRIM(INDEX($A:$AP,ROW(),$D$6)&amp;""))</f>
        <v/>
      </c>
      <c r="AY1596" s="31">
        <f>IF($AU1596="","",INDEX($AW$8:$AW$2007,MATCH($AU1596,$AU$8:$AU$2007,0)))</f>
        <v/>
      </c>
      <c r="AZ1596" s="31">
        <f>IF(OR($AS1596="",$C$6=""),"",TRIM(INDEX($A:$AP,ROW(),$C$6)&amp;""))</f>
        <v/>
      </c>
      <c r="BA1596" s="31">
        <f>IF($AZ1596="","",IF(COUNTIF($AZ$8:$AZ1596,$AZ1596)&gt;1,1,0))</f>
        <v/>
      </c>
    </row>
    <row r="1597">
      <c r="AR1597" s="31">
        <f>IF(OR($A$5="",$B$6="",ROW()&lt;$A$5),"",IF(INDEX($A:$AP,ROW(),$B$6)="","",INDEX($A:$AP,ROW(),$B$6)))</f>
        <v/>
      </c>
      <c r="AS1597" s="32">
        <f>IF($AR1597="","",IF(ISNUMBER($AR1597),IF($AR1597&gt;=10000000,IFERROR(DATE(INT($AR1597/10000),MOD(INT($AR1597/100),100),MOD($AR1597,100)),""),INT($AR1597)),IFERROR(DATE(--LEFT(LEFT(SUBSTITUTE(SUBSTITUTE(SUBSTITUTE(SUBSTITUTE(TRIM($AR1597),"-",""),".",""),"/","")," ",""),8),4),--MID(LEFT(SUBSTITUTE(SUBSTITUTE(SUBSTITUTE(SUBSTITUTE(TRIM($AR1597),"-",""),".",""),"/","")," ",""),8),5,2),--MID(LEFT(SUBSTITUTE(SUBSTITUTE(SUBSTITUTE(SUBSTITUTE(TRIM($AR1597),"-",""),".",""),"/","")," ",""),8),7,2)),"")))</f>
        <v/>
      </c>
      <c r="AT1597" s="33">
        <f>IF($AS1597="","",IF($F$6="",0,IF(ISNUMBER(INDEX($A:$AP,ROW(),$F$6)),INDEX($A:$AP,ROW(),$F$6),IFERROR(--SUBSTITUTE(SUBSTITUTE(TRIM(INDEX($A:$AP,ROW(),$F$6)),",",""),"원",""),0))))</f>
        <v/>
      </c>
      <c r="AU1597" s="31">
        <f>IF($AS1597="","",IF($AX1597&lt;&gt;"",SUBSTITUTE(SUBSTITUTE($AX1597,"-","")," ",""),"N:"&amp;$AV1597))</f>
        <v/>
      </c>
      <c r="AV1597" s="31">
        <f>IF(OR($AS1597="",$E$6=""),"",TRIM(INDEX($A:$AP,ROW(),$E$6)&amp;""))</f>
        <v/>
      </c>
      <c r="AW1597" s="31">
        <f>IF($AU1597="","",IF(MATCH($AU1597,$AU$8:$AU$2007,0)=ROW()-7,MAX($AW$7:$AW1596)+1,""))</f>
        <v/>
      </c>
      <c r="AX1597" s="31">
        <f>IF(OR($AS1597="",$D$6=""),"",TRIM(INDEX($A:$AP,ROW(),$D$6)&amp;""))</f>
        <v/>
      </c>
      <c r="AY1597" s="31">
        <f>IF($AU1597="","",INDEX($AW$8:$AW$2007,MATCH($AU1597,$AU$8:$AU$2007,0)))</f>
        <v/>
      </c>
      <c r="AZ1597" s="31">
        <f>IF(OR($AS1597="",$C$6=""),"",TRIM(INDEX($A:$AP,ROW(),$C$6)&amp;""))</f>
        <v/>
      </c>
      <c r="BA1597" s="31">
        <f>IF($AZ1597="","",IF(COUNTIF($AZ$8:$AZ1597,$AZ1597)&gt;1,1,0))</f>
        <v/>
      </c>
    </row>
    <row r="1598">
      <c r="AR1598" s="31">
        <f>IF(OR($A$5="",$B$6="",ROW()&lt;$A$5),"",IF(INDEX($A:$AP,ROW(),$B$6)="","",INDEX($A:$AP,ROW(),$B$6)))</f>
        <v/>
      </c>
      <c r="AS1598" s="32">
        <f>IF($AR1598="","",IF(ISNUMBER($AR1598),IF($AR1598&gt;=10000000,IFERROR(DATE(INT($AR1598/10000),MOD(INT($AR1598/100),100),MOD($AR1598,100)),""),INT($AR1598)),IFERROR(DATE(--LEFT(LEFT(SUBSTITUTE(SUBSTITUTE(SUBSTITUTE(SUBSTITUTE(TRIM($AR1598),"-",""),".",""),"/","")," ",""),8),4),--MID(LEFT(SUBSTITUTE(SUBSTITUTE(SUBSTITUTE(SUBSTITUTE(TRIM($AR1598),"-",""),".",""),"/","")," ",""),8),5,2),--MID(LEFT(SUBSTITUTE(SUBSTITUTE(SUBSTITUTE(SUBSTITUTE(TRIM($AR1598),"-",""),".",""),"/","")," ",""),8),7,2)),"")))</f>
        <v/>
      </c>
      <c r="AT1598" s="33">
        <f>IF($AS1598="","",IF($F$6="",0,IF(ISNUMBER(INDEX($A:$AP,ROW(),$F$6)),INDEX($A:$AP,ROW(),$F$6),IFERROR(--SUBSTITUTE(SUBSTITUTE(TRIM(INDEX($A:$AP,ROW(),$F$6)),",",""),"원",""),0))))</f>
        <v/>
      </c>
      <c r="AU1598" s="31">
        <f>IF($AS1598="","",IF($AX1598&lt;&gt;"",SUBSTITUTE(SUBSTITUTE($AX1598,"-","")," ",""),"N:"&amp;$AV1598))</f>
        <v/>
      </c>
      <c r="AV1598" s="31">
        <f>IF(OR($AS1598="",$E$6=""),"",TRIM(INDEX($A:$AP,ROW(),$E$6)&amp;""))</f>
        <v/>
      </c>
      <c r="AW1598" s="31">
        <f>IF($AU1598="","",IF(MATCH($AU1598,$AU$8:$AU$2007,0)=ROW()-7,MAX($AW$7:$AW1597)+1,""))</f>
        <v/>
      </c>
      <c r="AX1598" s="31">
        <f>IF(OR($AS1598="",$D$6=""),"",TRIM(INDEX($A:$AP,ROW(),$D$6)&amp;""))</f>
        <v/>
      </c>
      <c r="AY1598" s="31">
        <f>IF($AU1598="","",INDEX($AW$8:$AW$2007,MATCH($AU1598,$AU$8:$AU$2007,0)))</f>
        <v/>
      </c>
      <c r="AZ1598" s="31">
        <f>IF(OR($AS1598="",$C$6=""),"",TRIM(INDEX($A:$AP,ROW(),$C$6)&amp;""))</f>
        <v/>
      </c>
      <c r="BA1598" s="31">
        <f>IF($AZ1598="","",IF(COUNTIF($AZ$8:$AZ1598,$AZ1598)&gt;1,1,0))</f>
        <v/>
      </c>
    </row>
    <row r="1599">
      <c r="AR1599" s="31">
        <f>IF(OR($A$5="",$B$6="",ROW()&lt;$A$5),"",IF(INDEX($A:$AP,ROW(),$B$6)="","",INDEX($A:$AP,ROW(),$B$6)))</f>
        <v/>
      </c>
      <c r="AS1599" s="32">
        <f>IF($AR1599="","",IF(ISNUMBER($AR1599),IF($AR1599&gt;=10000000,IFERROR(DATE(INT($AR1599/10000),MOD(INT($AR1599/100),100),MOD($AR1599,100)),""),INT($AR1599)),IFERROR(DATE(--LEFT(LEFT(SUBSTITUTE(SUBSTITUTE(SUBSTITUTE(SUBSTITUTE(TRIM($AR1599),"-",""),".",""),"/","")," ",""),8),4),--MID(LEFT(SUBSTITUTE(SUBSTITUTE(SUBSTITUTE(SUBSTITUTE(TRIM($AR1599),"-",""),".",""),"/","")," ",""),8),5,2),--MID(LEFT(SUBSTITUTE(SUBSTITUTE(SUBSTITUTE(SUBSTITUTE(TRIM($AR1599),"-",""),".",""),"/","")," ",""),8),7,2)),"")))</f>
        <v/>
      </c>
      <c r="AT1599" s="33">
        <f>IF($AS1599="","",IF($F$6="",0,IF(ISNUMBER(INDEX($A:$AP,ROW(),$F$6)),INDEX($A:$AP,ROW(),$F$6),IFERROR(--SUBSTITUTE(SUBSTITUTE(TRIM(INDEX($A:$AP,ROW(),$F$6)),",",""),"원",""),0))))</f>
        <v/>
      </c>
      <c r="AU1599" s="31">
        <f>IF($AS1599="","",IF($AX1599&lt;&gt;"",SUBSTITUTE(SUBSTITUTE($AX1599,"-","")," ",""),"N:"&amp;$AV1599))</f>
        <v/>
      </c>
      <c r="AV1599" s="31">
        <f>IF(OR($AS1599="",$E$6=""),"",TRIM(INDEX($A:$AP,ROW(),$E$6)&amp;""))</f>
        <v/>
      </c>
      <c r="AW1599" s="31">
        <f>IF($AU1599="","",IF(MATCH($AU1599,$AU$8:$AU$2007,0)=ROW()-7,MAX($AW$7:$AW1598)+1,""))</f>
        <v/>
      </c>
      <c r="AX1599" s="31">
        <f>IF(OR($AS1599="",$D$6=""),"",TRIM(INDEX($A:$AP,ROW(),$D$6)&amp;""))</f>
        <v/>
      </c>
      <c r="AY1599" s="31">
        <f>IF($AU1599="","",INDEX($AW$8:$AW$2007,MATCH($AU1599,$AU$8:$AU$2007,0)))</f>
        <v/>
      </c>
      <c r="AZ1599" s="31">
        <f>IF(OR($AS1599="",$C$6=""),"",TRIM(INDEX($A:$AP,ROW(),$C$6)&amp;""))</f>
        <v/>
      </c>
      <c r="BA1599" s="31">
        <f>IF($AZ1599="","",IF(COUNTIF($AZ$8:$AZ1599,$AZ1599)&gt;1,1,0))</f>
        <v/>
      </c>
    </row>
    <row r="1600">
      <c r="AR1600" s="31">
        <f>IF(OR($A$5="",$B$6="",ROW()&lt;$A$5),"",IF(INDEX($A:$AP,ROW(),$B$6)="","",INDEX($A:$AP,ROW(),$B$6)))</f>
        <v/>
      </c>
      <c r="AS1600" s="32">
        <f>IF($AR1600="","",IF(ISNUMBER($AR1600),IF($AR1600&gt;=10000000,IFERROR(DATE(INT($AR1600/10000),MOD(INT($AR1600/100),100),MOD($AR1600,100)),""),INT($AR1600)),IFERROR(DATE(--LEFT(LEFT(SUBSTITUTE(SUBSTITUTE(SUBSTITUTE(SUBSTITUTE(TRIM($AR1600),"-",""),".",""),"/","")," ",""),8),4),--MID(LEFT(SUBSTITUTE(SUBSTITUTE(SUBSTITUTE(SUBSTITUTE(TRIM($AR1600),"-",""),".",""),"/","")," ",""),8),5,2),--MID(LEFT(SUBSTITUTE(SUBSTITUTE(SUBSTITUTE(SUBSTITUTE(TRIM($AR1600),"-",""),".",""),"/","")," ",""),8),7,2)),"")))</f>
        <v/>
      </c>
      <c r="AT1600" s="33">
        <f>IF($AS1600="","",IF($F$6="",0,IF(ISNUMBER(INDEX($A:$AP,ROW(),$F$6)),INDEX($A:$AP,ROW(),$F$6),IFERROR(--SUBSTITUTE(SUBSTITUTE(TRIM(INDEX($A:$AP,ROW(),$F$6)),",",""),"원",""),0))))</f>
        <v/>
      </c>
      <c r="AU1600" s="31">
        <f>IF($AS1600="","",IF($AX1600&lt;&gt;"",SUBSTITUTE(SUBSTITUTE($AX1600,"-","")," ",""),"N:"&amp;$AV1600))</f>
        <v/>
      </c>
      <c r="AV1600" s="31">
        <f>IF(OR($AS1600="",$E$6=""),"",TRIM(INDEX($A:$AP,ROW(),$E$6)&amp;""))</f>
        <v/>
      </c>
      <c r="AW1600" s="31">
        <f>IF($AU1600="","",IF(MATCH($AU1600,$AU$8:$AU$2007,0)=ROW()-7,MAX($AW$7:$AW1599)+1,""))</f>
        <v/>
      </c>
      <c r="AX1600" s="31">
        <f>IF(OR($AS1600="",$D$6=""),"",TRIM(INDEX($A:$AP,ROW(),$D$6)&amp;""))</f>
        <v/>
      </c>
      <c r="AY1600" s="31">
        <f>IF($AU1600="","",INDEX($AW$8:$AW$2007,MATCH($AU1600,$AU$8:$AU$2007,0)))</f>
        <v/>
      </c>
      <c r="AZ1600" s="31">
        <f>IF(OR($AS1600="",$C$6=""),"",TRIM(INDEX($A:$AP,ROW(),$C$6)&amp;""))</f>
        <v/>
      </c>
      <c r="BA1600" s="31">
        <f>IF($AZ1600="","",IF(COUNTIF($AZ$8:$AZ1600,$AZ1600)&gt;1,1,0))</f>
        <v/>
      </c>
    </row>
    <row r="1601">
      <c r="AR1601" s="31">
        <f>IF(OR($A$5="",$B$6="",ROW()&lt;$A$5),"",IF(INDEX($A:$AP,ROW(),$B$6)="","",INDEX($A:$AP,ROW(),$B$6)))</f>
        <v/>
      </c>
      <c r="AS1601" s="32">
        <f>IF($AR1601="","",IF(ISNUMBER($AR1601),IF($AR1601&gt;=10000000,IFERROR(DATE(INT($AR1601/10000),MOD(INT($AR1601/100),100),MOD($AR1601,100)),""),INT($AR1601)),IFERROR(DATE(--LEFT(LEFT(SUBSTITUTE(SUBSTITUTE(SUBSTITUTE(SUBSTITUTE(TRIM($AR1601),"-",""),".",""),"/","")," ",""),8),4),--MID(LEFT(SUBSTITUTE(SUBSTITUTE(SUBSTITUTE(SUBSTITUTE(TRIM($AR1601),"-",""),".",""),"/","")," ",""),8),5,2),--MID(LEFT(SUBSTITUTE(SUBSTITUTE(SUBSTITUTE(SUBSTITUTE(TRIM($AR1601),"-",""),".",""),"/","")," ",""),8),7,2)),"")))</f>
        <v/>
      </c>
      <c r="AT1601" s="33">
        <f>IF($AS1601="","",IF($F$6="",0,IF(ISNUMBER(INDEX($A:$AP,ROW(),$F$6)),INDEX($A:$AP,ROW(),$F$6),IFERROR(--SUBSTITUTE(SUBSTITUTE(TRIM(INDEX($A:$AP,ROW(),$F$6)),",",""),"원",""),0))))</f>
        <v/>
      </c>
      <c r="AU1601" s="31">
        <f>IF($AS1601="","",IF($AX1601&lt;&gt;"",SUBSTITUTE(SUBSTITUTE($AX1601,"-","")," ",""),"N:"&amp;$AV1601))</f>
        <v/>
      </c>
      <c r="AV1601" s="31">
        <f>IF(OR($AS1601="",$E$6=""),"",TRIM(INDEX($A:$AP,ROW(),$E$6)&amp;""))</f>
        <v/>
      </c>
      <c r="AW1601" s="31">
        <f>IF($AU1601="","",IF(MATCH($AU1601,$AU$8:$AU$2007,0)=ROW()-7,MAX($AW$7:$AW1600)+1,""))</f>
        <v/>
      </c>
      <c r="AX1601" s="31">
        <f>IF(OR($AS1601="",$D$6=""),"",TRIM(INDEX($A:$AP,ROW(),$D$6)&amp;""))</f>
        <v/>
      </c>
      <c r="AY1601" s="31">
        <f>IF($AU1601="","",INDEX($AW$8:$AW$2007,MATCH($AU1601,$AU$8:$AU$2007,0)))</f>
        <v/>
      </c>
      <c r="AZ1601" s="31">
        <f>IF(OR($AS1601="",$C$6=""),"",TRIM(INDEX($A:$AP,ROW(),$C$6)&amp;""))</f>
        <v/>
      </c>
      <c r="BA1601" s="31">
        <f>IF($AZ1601="","",IF(COUNTIF($AZ$8:$AZ1601,$AZ1601)&gt;1,1,0))</f>
        <v/>
      </c>
    </row>
    <row r="1602">
      <c r="AR1602" s="31">
        <f>IF(OR($A$5="",$B$6="",ROW()&lt;$A$5),"",IF(INDEX($A:$AP,ROW(),$B$6)="","",INDEX($A:$AP,ROW(),$B$6)))</f>
        <v/>
      </c>
      <c r="AS1602" s="32">
        <f>IF($AR1602="","",IF(ISNUMBER($AR1602),IF($AR1602&gt;=10000000,IFERROR(DATE(INT($AR1602/10000),MOD(INT($AR1602/100),100),MOD($AR1602,100)),""),INT($AR1602)),IFERROR(DATE(--LEFT(LEFT(SUBSTITUTE(SUBSTITUTE(SUBSTITUTE(SUBSTITUTE(TRIM($AR1602),"-",""),".",""),"/","")," ",""),8),4),--MID(LEFT(SUBSTITUTE(SUBSTITUTE(SUBSTITUTE(SUBSTITUTE(TRIM($AR1602),"-",""),".",""),"/","")," ",""),8),5,2),--MID(LEFT(SUBSTITUTE(SUBSTITUTE(SUBSTITUTE(SUBSTITUTE(TRIM($AR1602),"-",""),".",""),"/","")," ",""),8),7,2)),"")))</f>
        <v/>
      </c>
      <c r="AT1602" s="33">
        <f>IF($AS1602="","",IF($F$6="",0,IF(ISNUMBER(INDEX($A:$AP,ROW(),$F$6)),INDEX($A:$AP,ROW(),$F$6),IFERROR(--SUBSTITUTE(SUBSTITUTE(TRIM(INDEX($A:$AP,ROW(),$F$6)),",",""),"원",""),0))))</f>
        <v/>
      </c>
      <c r="AU1602" s="31">
        <f>IF($AS1602="","",IF($AX1602&lt;&gt;"",SUBSTITUTE(SUBSTITUTE($AX1602,"-","")," ",""),"N:"&amp;$AV1602))</f>
        <v/>
      </c>
      <c r="AV1602" s="31">
        <f>IF(OR($AS1602="",$E$6=""),"",TRIM(INDEX($A:$AP,ROW(),$E$6)&amp;""))</f>
        <v/>
      </c>
      <c r="AW1602" s="31">
        <f>IF($AU1602="","",IF(MATCH($AU1602,$AU$8:$AU$2007,0)=ROW()-7,MAX($AW$7:$AW1601)+1,""))</f>
        <v/>
      </c>
      <c r="AX1602" s="31">
        <f>IF(OR($AS1602="",$D$6=""),"",TRIM(INDEX($A:$AP,ROW(),$D$6)&amp;""))</f>
        <v/>
      </c>
      <c r="AY1602" s="31">
        <f>IF($AU1602="","",INDEX($AW$8:$AW$2007,MATCH($AU1602,$AU$8:$AU$2007,0)))</f>
        <v/>
      </c>
      <c r="AZ1602" s="31">
        <f>IF(OR($AS1602="",$C$6=""),"",TRIM(INDEX($A:$AP,ROW(),$C$6)&amp;""))</f>
        <v/>
      </c>
      <c r="BA1602" s="31">
        <f>IF($AZ1602="","",IF(COUNTIF($AZ$8:$AZ1602,$AZ1602)&gt;1,1,0))</f>
        <v/>
      </c>
    </row>
    <row r="1603">
      <c r="AR1603" s="31">
        <f>IF(OR($A$5="",$B$6="",ROW()&lt;$A$5),"",IF(INDEX($A:$AP,ROW(),$B$6)="","",INDEX($A:$AP,ROW(),$B$6)))</f>
        <v/>
      </c>
      <c r="AS1603" s="32">
        <f>IF($AR1603="","",IF(ISNUMBER($AR1603),IF($AR1603&gt;=10000000,IFERROR(DATE(INT($AR1603/10000),MOD(INT($AR1603/100),100),MOD($AR1603,100)),""),INT($AR1603)),IFERROR(DATE(--LEFT(LEFT(SUBSTITUTE(SUBSTITUTE(SUBSTITUTE(SUBSTITUTE(TRIM($AR1603),"-",""),".",""),"/","")," ",""),8),4),--MID(LEFT(SUBSTITUTE(SUBSTITUTE(SUBSTITUTE(SUBSTITUTE(TRIM($AR1603),"-",""),".",""),"/","")," ",""),8),5,2),--MID(LEFT(SUBSTITUTE(SUBSTITUTE(SUBSTITUTE(SUBSTITUTE(TRIM($AR1603),"-",""),".",""),"/","")," ",""),8),7,2)),"")))</f>
        <v/>
      </c>
      <c r="AT1603" s="33">
        <f>IF($AS1603="","",IF($F$6="",0,IF(ISNUMBER(INDEX($A:$AP,ROW(),$F$6)),INDEX($A:$AP,ROW(),$F$6),IFERROR(--SUBSTITUTE(SUBSTITUTE(TRIM(INDEX($A:$AP,ROW(),$F$6)),",",""),"원",""),0))))</f>
        <v/>
      </c>
      <c r="AU1603" s="31">
        <f>IF($AS1603="","",IF($AX1603&lt;&gt;"",SUBSTITUTE(SUBSTITUTE($AX1603,"-","")," ",""),"N:"&amp;$AV1603))</f>
        <v/>
      </c>
      <c r="AV1603" s="31">
        <f>IF(OR($AS1603="",$E$6=""),"",TRIM(INDEX($A:$AP,ROW(),$E$6)&amp;""))</f>
        <v/>
      </c>
      <c r="AW1603" s="31">
        <f>IF($AU1603="","",IF(MATCH($AU1603,$AU$8:$AU$2007,0)=ROW()-7,MAX($AW$7:$AW1602)+1,""))</f>
        <v/>
      </c>
      <c r="AX1603" s="31">
        <f>IF(OR($AS1603="",$D$6=""),"",TRIM(INDEX($A:$AP,ROW(),$D$6)&amp;""))</f>
        <v/>
      </c>
      <c r="AY1603" s="31">
        <f>IF($AU1603="","",INDEX($AW$8:$AW$2007,MATCH($AU1603,$AU$8:$AU$2007,0)))</f>
        <v/>
      </c>
      <c r="AZ1603" s="31">
        <f>IF(OR($AS1603="",$C$6=""),"",TRIM(INDEX($A:$AP,ROW(),$C$6)&amp;""))</f>
        <v/>
      </c>
      <c r="BA1603" s="31">
        <f>IF($AZ1603="","",IF(COUNTIF($AZ$8:$AZ1603,$AZ1603)&gt;1,1,0))</f>
        <v/>
      </c>
    </row>
    <row r="1604">
      <c r="AR1604" s="31">
        <f>IF(OR($A$5="",$B$6="",ROW()&lt;$A$5),"",IF(INDEX($A:$AP,ROW(),$B$6)="","",INDEX($A:$AP,ROW(),$B$6)))</f>
        <v/>
      </c>
      <c r="AS1604" s="32">
        <f>IF($AR1604="","",IF(ISNUMBER($AR1604),IF($AR1604&gt;=10000000,IFERROR(DATE(INT($AR1604/10000),MOD(INT($AR1604/100),100),MOD($AR1604,100)),""),INT($AR1604)),IFERROR(DATE(--LEFT(LEFT(SUBSTITUTE(SUBSTITUTE(SUBSTITUTE(SUBSTITUTE(TRIM($AR1604),"-",""),".",""),"/","")," ",""),8),4),--MID(LEFT(SUBSTITUTE(SUBSTITUTE(SUBSTITUTE(SUBSTITUTE(TRIM($AR1604),"-",""),".",""),"/","")," ",""),8),5,2),--MID(LEFT(SUBSTITUTE(SUBSTITUTE(SUBSTITUTE(SUBSTITUTE(TRIM($AR1604),"-",""),".",""),"/","")," ",""),8),7,2)),"")))</f>
        <v/>
      </c>
      <c r="AT1604" s="33">
        <f>IF($AS1604="","",IF($F$6="",0,IF(ISNUMBER(INDEX($A:$AP,ROW(),$F$6)),INDEX($A:$AP,ROW(),$F$6),IFERROR(--SUBSTITUTE(SUBSTITUTE(TRIM(INDEX($A:$AP,ROW(),$F$6)),",",""),"원",""),0))))</f>
        <v/>
      </c>
      <c r="AU1604" s="31">
        <f>IF($AS1604="","",IF($AX1604&lt;&gt;"",SUBSTITUTE(SUBSTITUTE($AX1604,"-","")," ",""),"N:"&amp;$AV1604))</f>
        <v/>
      </c>
      <c r="AV1604" s="31">
        <f>IF(OR($AS1604="",$E$6=""),"",TRIM(INDEX($A:$AP,ROW(),$E$6)&amp;""))</f>
        <v/>
      </c>
      <c r="AW1604" s="31">
        <f>IF($AU1604="","",IF(MATCH($AU1604,$AU$8:$AU$2007,0)=ROW()-7,MAX($AW$7:$AW1603)+1,""))</f>
        <v/>
      </c>
      <c r="AX1604" s="31">
        <f>IF(OR($AS1604="",$D$6=""),"",TRIM(INDEX($A:$AP,ROW(),$D$6)&amp;""))</f>
        <v/>
      </c>
      <c r="AY1604" s="31">
        <f>IF($AU1604="","",INDEX($AW$8:$AW$2007,MATCH($AU1604,$AU$8:$AU$2007,0)))</f>
        <v/>
      </c>
      <c r="AZ1604" s="31">
        <f>IF(OR($AS1604="",$C$6=""),"",TRIM(INDEX($A:$AP,ROW(),$C$6)&amp;""))</f>
        <v/>
      </c>
      <c r="BA1604" s="31">
        <f>IF($AZ1604="","",IF(COUNTIF($AZ$8:$AZ1604,$AZ1604)&gt;1,1,0))</f>
        <v/>
      </c>
    </row>
    <row r="1605">
      <c r="AR1605" s="31">
        <f>IF(OR($A$5="",$B$6="",ROW()&lt;$A$5),"",IF(INDEX($A:$AP,ROW(),$B$6)="","",INDEX($A:$AP,ROW(),$B$6)))</f>
        <v/>
      </c>
      <c r="AS1605" s="32">
        <f>IF($AR1605="","",IF(ISNUMBER($AR1605),IF($AR1605&gt;=10000000,IFERROR(DATE(INT($AR1605/10000),MOD(INT($AR1605/100),100),MOD($AR1605,100)),""),INT($AR1605)),IFERROR(DATE(--LEFT(LEFT(SUBSTITUTE(SUBSTITUTE(SUBSTITUTE(SUBSTITUTE(TRIM($AR1605),"-",""),".",""),"/","")," ",""),8),4),--MID(LEFT(SUBSTITUTE(SUBSTITUTE(SUBSTITUTE(SUBSTITUTE(TRIM($AR1605),"-",""),".",""),"/","")," ",""),8),5,2),--MID(LEFT(SUBSTITUTE(SUBSTITUTE(SUBSTITUTE(SUBSTITUTE(TRIM($AR1605),"-",""),".",""),"/","")," ",""),8),7,2)),"")))</f>
        <v/>
      </c>
      <c r="AT1605" s="33">
        <f>IF($AS1605="","",IF($F$6="",0,IF(ISNUMBER(INDEX($A:$AP,ROW(),$F$6)),INDEX($A:$AP,ROW(),$F$6),IFERROR(--SUBSTITUTE(SUBSTITUTE(TRIM(INDEX($A:$AP,ROW(),$F$6)),",",""),"원",""),0))))</f>
        <v/>
      </c>
      <c r="AU1605" s="31">
        <f>IF($AS1605="","",IF($AX1605&lt;&gt;"",SUBSTITUTE(SUBSTITUTE($AX1605,"-","")," ",""),"N:"&amp;$AV1605))</f>
        <v/>
      </c>
      <c r="AV1605" s="31">
        <f>IF(OR($AS1605="",$E$6=""),"",TRIM(INDEX($A:$AP,ROW(),$E$6)&amp;""))</f>
        <v/>
      </c>
      <c r="AW1605" s="31">
        <f>IF($AU1605="","",IF(MATCH($AU1605,$AU$8:$AU$2007,0)=ROW()-7,MAX($AW$7:$AW1604)+1,""))</f>
        <v/>
      </c>
      <c r="AX1605" s="31">
        <f>IF(OR($AS1605="",$D$6=""),"",TRIM(INDEX($A:$AP,ROW(),$D$6)&amp;""))</f>
        <v/>
      </c>
      <c r="AY1605" s="31">
        <f>IF($AU1605="","",INDEX($AW$8:$AW$2007,MATCH($AU1605,$AU$8:$AU$2007,0)))</f>
        <v/>
      </c>
      <c r="AZ1605" s="31">
        <f>IF(OR($AS1605="",$C$6=""),"",TRIM(INDEX($A:$AP,ROW(),$C$6)&amp;""))</f>
        <v/>
      </c>
      <c r="BA1605" s="31">
        <f>IF($AZ1605="","",IF(COUNTIF($AZ$8:$AZ1605,$AZ1605)&gt;1,1,0))</f>
        <v/>
      </c>
    </row>
    <row r="1606">
      <c r="AR1606" s="31">
        <f>IF(OR($A$5="",$B$6="",ROW()&lt;$A$5),"",IF(INDEX($A:$AP,ROW(),$B$6)="","",INDEX($A:$AP,ROW(),$B$6)))</f>
        <v/>
      </c>
      <c r="AS1606" s="32">
        <f>IF($AR1606="","",IF(ISNUMBER($AR1606),IF($AR1606&gt;=10000000,IFERROR(DATE(INT($AR1606/10000),MOD(INT($AR1606/100),100),MOD($AR1606,100)),""),INT($AR1606)),IFERROR(DATE(--LEFT(LEFT(SUBSTITUTE(SUBSTITUTE(SUBSTITUTE(SUBSTITUTE(TRIM($AR1606),"-",""),".",""),"/","")," ",""),8),4),--MID(LEFT(SUBSTITUTE(SUBSTITUTE(SUBSTITUTE(SUBSTITUTE(TRIM($AR1606),"-",""),".",""),"/","")," ",""),8),5,2),--MID(LEFT(SUBSTITUTE(SUBSTITUTE(SUBSTITUTE(SUBSTITUTE(TRIM($AR1606),"-",""),".",""),"/","")," ",""),8),7,2)),"")))</f>
        <v/>
      </c>
      <c r="AT1606" s="33">
        <f>IF($AS1606="","",IF($F$6="",0,IF(ISNUMBER(INDEX($A:$AP,ROW(),$F$6)),INDEX($A:$AP,ROW(),$F$6),IFERROR(--SUBSTITUTE(SUBSTITUTE(TRIM(INDEX($A:$AP,ROW(),$F$6)),",",""),"원",""),0))))</f>
        <v/>
      </c>
      <c r="AU1606" s="31">
        <f>IF($AS1606="","",IF($AX1606&lt;&gt;"",SUBSTITUTE(SUBSTITUTE($AX1606,"-","")," ",""),"N:"&amp;$AV1606))</f>
        <v/>
      </c>
      <c r="AV1606" s="31">
        <f>IF(OR($AS1606="",$E$6=""),"",TRIM(INDEX($A:$AP,ROW(),$E$6)&amp;""))</f>
        <v/>
      </c>
      <c r="AW1606" s="31">
        <f>IF($AU1606="","",IF(MATCH($AU1606,$AU$8:$AU$2007,0)=ROW()-7,MAX($AW$7:$AW1605)+1,""))</f>
        <v/>
      </c>
      <c r="AX1606" s="31">
        <f>IF(OR($AS1606="",$D$6=""),"",TRIM(INDEX($A:$AP,ROW(),$D$6)&amp;""))</f>
        <v/>
      </c>
      <c r="AY1606" s="31">
        <f>IF($AU1606="","",INDEX($AW$8:$AW$2007,MATCH($AU1606,$AU$8:$AU$2007,0)))</f>
        <v/>
      </c>
      <c r="AZ1606" s="31">
        <f>IF(OR($AS1606="",$C$6=""),"",TRIM(INDEX($A:$AP,ROW(),$C$6)&amp;""))</f>
        <v/>
      </c>
      <c r="BA1606" s="31">
        <f>IF($AZ1606="","",IF(COUNTIF($AZ$8:$AZ1606,$AZ1606)&gt;1,1,0))</f>
        <v/>
      </c>
    </row>
    <row r="1607">
      <c r="AR1607" s="31">
        <f>IF(OR($A$5="",$B$6="",ROW()&lt;$A$5),"",IF(INDEX($A:$AP,ROW(),$B$6)="","",INDEX($A:$AP,ROW(),$B$6)))</f>
        <v/>
      </c>
      <c r="AS1607" s="32">
        <f>IF($AR1607="","",IF(ISNUMBER($AR1607),IF($AR1607&gt;=10000000,IFERROR(DATE(INT($AR1607/10000),MOD(INT($AR1607/100),100),MOD($AR1607,100)),""),INT($AR1607)),IFERROR(DATE(--LEFT(LEFT(SUBSTITUTE(SUBSTITUTE(SUBSTITUTE(SUBSTITUTE(TRIM($AR1607),"-",""),".",""),"/","")," ",""),8),4),--MID(LEFT(SUBSTITUTE(SUBSTITUTE(SUBSTITUTE(SUBSTITUTE(TRIM($AR1607),"-",""),".",""),"/","")," ",""),8),5,2),--MID(LEFT(SUBSTITUTE(SUBSTITUTE(SUBSTITUTE(SUBSTITUTE(TRIM($AR1607),"-",""),".",""),"/","")," ",""),8),7,2)),"")))</f>
        <v/>
      </c>
      <c r="AT1607" s="33">
        <f>IF($AS1607="","",IF($F$6="",0,IF(ISNUMBER(INDEX($A:$AP,ROW(),$F$6)),INDEX($A:$AP,ROW(),$F$6),IFERROR(--SUBSTITUTE(SUBSTITUTE(TRIM(INDEX($A:$AP,ROW(),$F$6)),",",""),"원",""),0))))</f>
        <v/>
      </c>
      <c r="AU1607" s="31">
        <f>IF($AS1607="","",IF($AX1607&lt;&gt;"",SUBSTITUTE(SUBSTITUTE($AX1607,"-","")," ",""),"N:"&amp;$AV1607))</f>
        <v/>
      </c>
      <c r="AV1607" s="31">
        <f>IF(OR($AS1607="",$E$6=""),"",TRIM(INDEX($A:$AP,ROW(),$E$6)&amp;""))</f>
        <v/>
      </c>
      <c r="AW1607" s="31">
        <f>IF($AU1607="","",IF(MATCH($AU1607,$AU$8:$AU$2007,0)=ROW()-7,MAX($AW$7:$AW1606)+1,""))</f>
        <v/>
      </c>
      <c r="AX1607" s="31">
        <f>IF(OR($AS1607="",$D$6=""),"",TRIM(INDEX($A:$AP,ROW(),$D$6)&amp;""))</f>
        <v/>
      </c>
      <c r="AY1607" s="31">
        <f>IF($AU1607="","",INDEX($AW$8:$AW$2007,MATCH($AU1607,$AU$8:$AU$2007,0)))</f>
        <v/>
      </c>
      <c r="AZ1607" s="31">
        <f>IF(OR($AS1607="",$C$6=""),"",TRIM(INDEX($A:$AP,ROW(),$C$6)&amp;""))</f>
        <v/>
      </c>
      <c r="BA1607" s="31">
        <f>IF($AZ1607="","",IF(COUNTIF($AZ$8:$AZ1607,$AZ1607)&gt;1,1,0))</f>
        <v/>
      </c>
    </row>
    <row r="1608">
      <c r="AR1608" s="31">
        <f>IF(OR($A$5="",$B$6="",ROW()&lt;$A$5),"",IF(INDEX($A:$AP,ROW(),$B$6)="","",INDEX($A:$AP,ROW(),$B$6)))</f>
        <v/>
      </c>
      <c r="AS1608" s="32">
        <f>IF($AR1608="","",IF(ISNUMBER($AR1608),IF($AR1608&gt;=10000000,IFERROR(DATE(INT($AR1608/10000),MOD(INT($AR1608/100),100),MOD($AR1608,100)),""),INT($AR1608)),IFERROR(DATE(--LEFT(LEFT(SUBSTITUTE(SUBSTITUTE(SUBSTITUTE(SUBSTITUTE(TRIM($AR1608),"-",""),".",""),"/","")," ",""),8),4),--MID(LEFT(SUBSTITUTE(SUBSTITUTE(SUBSTITUTE(SUBSTITUTE(TRIM($AR1608),"-",""),".",""),"/","")," ",""),8),5,2),--MID(LEFT(SUBSTITUTE(SUBSTITUTE(SUBSTITUTE(SUBSTITUTE(TRIM($AR1608),"-",""),".",""),"/","")," ",""),8),7,2)),"")))</f>
        <v/>
      </c>
      <c r="AT1608" s="33">
        <f>IF($AS1608="","",IF($F$6="",0,IF(ISNUMBER(INDEX($A:$AP,ROW(),$F$6)),INDEX($A:$AP,ROW(),$F$6),IFERROR(--SUBSTITUTE(SUBSTITUTE(TRIM(INDEX($A:$AP,ROW(),$F$6)),",",""),"원",""),0))))</f>
        <v/>
      </c>
      <c r="AU1608" s="31">
        <f>IF($AS1608="","",IF($AX1608&lt;&gt;"",SUBSTITUTE(SUBSTITUTE($AX1608,"-","")," ",""),"N:"&amp;$AV1608))</f>
        <v/>
      </c>
      <c r="AV1608" s="31">
        <f>IF(OR($AS1608="",$E$6=""),"",TRIM(INDEX($A:$AP,ROW(),$E$6)&amp;""))</f>
        <v/>
      </c>
      <c r="AW1608" s="31">
        <f>IF($AU1608="","",IF(MATCH($AU1608,$AU$8:$AU$2007,0)=ROW()-7,MAX($AW$7:$AW1607)+1,""))</f>
        <v/>
      </c>
      <c r="AX1608" s="31">
        <f>IF(OR($AS1608="",$D$6=""),"",TRIM(INDEX($A:$AP,ROW(),$D$6)&amp;""))</f>
        <v/>
      </c>
      <c r="AY1608" s="31">
        <f>IF($AU1608="","",INDEX($AW$8:$AW$2007,MATCH($AU1608,$AU$8:$AU$2007,0)))</f>
        <v/>
      </c>
      <c r="AZ1608" s="31">
        <f>IF(OR($AS1608="",$C$6=""),"",TRIM(INDEX($A:$AP,ROW(),$C$6)&amp;""))</f>
        <v/>
      </c>
      <c r="BA1608" s="31">
        <f>IF($AZ1608="","",IF(COUNTIF($AZ$8:$AZ1608,$AZ1608)&gt;1,1,0))</f>
        <v/>
      </c>
    </row>
    <row r="1609">
      <c r="AR1609" s="31">
        <f>IF(OR($A$5="",$B$6="",ROW()&lt;$A$5),"",IF(INDEX($A:$AP,ROW(),$B$6)="","",INDEX($A:$AP,ROW(),$B$6)))</f>
        <v/>
      </c>
      <c r="AS1609" s="32">
        <f>IF($AR1609="","",IF(ISNUMBER($AR1609),IF($AR1609&gt;=10000000,IFERROR(DATE(INT($AR1609/10000),MOD(INT($AR1609/100),100),MOD($AR1609,100)),""),INT($AR1609)),IFERROR(DATE(--LEFT(LEFT(SUBSTITUTE(SUBSTITUTE(SUBSTITUTE(SUBSTITUTE(TRIM($AR1609),"-",""),".",""),"/","")," ",""),8),4),--MID(LEFT(SUBSTITUTE(SUBSTITUTE(SUBSTITUTE(SUBSTITUTE(TRIM($AR1609),"-",""),".",""),"/","")," ",""),8),5,2),--MID(LEFT(SUBSTITUTE(SUBSTITUTE(SUBSTITUTE(SUBSTITUTE(TRIM($AR1609),"-",""),".",""),"/","")," ",""),8),7,2)),"")))</f>
        <v/>
      </c>
      <c r="AT1609" s="33">
        <f>IF($AS1609="","",IF($F$6="",0,IF(ISNUMBER(INDEX($A:$AP,ROW(),$F$6)),INDEX($A:$AP,ROW(),$F$6),IFERROR(--SUBSTITUTE(SUBSTITUTE(TRIM(INDEX($A:$AP,ROW(),$F$6)),",",""),"원",""),0))))</f>
        <v/>
      </c>
      <c r="AU1609" s="31">
        <f>IF($AS1609="","",IF($AX1609&lt;&gt;"",SUBSTITUTE(SUBSTITUTE($AX1609,"-","")," ",""),"N:"&amp;$AV1609))</f>
        <v/>
      </c>
      <c r="AV1609" s="31">
        <f>IF(OR($AS1609="",$E$6=""),"",TRIM(INDEX($A:$AP,ROW(),$E$6)&amp;""))</f>
        <v/>
      </c>
      <c r="AW1609" s="31">
        <f>IF($AU1609="","",IF(MATCH($AU1609,$AU$8:$AU$2007,0)=ROW()-7,MAX($AW$7:$AW1608)+1,""))</f>
        <v/>
      </c>
      <c r="AX1609" s="31">
        <f>IF(OR($AS1609="",$D$6=""),"",TRIM(INDEX($A:$AP,ROW(),$D$6)&amp;""))</f>
        <v/>
      </c>
      <c r="AY1609" s="31">
        <f>IF($AU1609="","",INDEX($AW$8:$AW$2007,MATCH($AU1609,$AU$8:$AU$2007,0)))</f>
        <v/>
      </c>
      <c r="AZ1609" s="31">
        <f>IF(OR($AS1609="",$C$6=""),"",TRIM(INDEX($A:$AP,ROW(),$C$6)&amp;""))</f>
        <v/>
      </c>
      <c r="BA1609" s="31">
        <f>IF($AZ1609="","",IF(COUNTIF($AZ$8:$AZ1609,$AZ1609)&gt;1,1,0))</f>
        <v/>
      </c>
    </row>
    <row r="1610">
      <c r="AR1610" s="31">
        <f>IF(OR($A$5="",$B$6="",ROW()&lt;$A$5),"",IF(INDEX($A:$AP,ROW(),$B$6)="","",INDEX($A:$AP,ROW(),$B$6)))</f>
        <v/>
      </c>
      <c r="AS1610" s="32">
        <f>IF($AR1610="","",IF(ISNUMBER($AR1610),IF($AR1610&gt;=10000000,IFERROR(DATE(INT($AR1610/10000),MOD(INT($AR1610/100),100),MOD($AR1610,100)),""),INT($AR1610)),IFERROR(DATE(--LEFT(LEFT(SUBSTITUTE(SUBSTITUTE(SUBSTITUTE(SUBSTITUTE(TRIM($AR1610),"-",""),".",""),"/","")," ",""),8),4),--MID(LEFT(SUBSTITUTE(SUBSTITUTE(SUBSTITUTE(SUBSTITUTE(TRIM($AR1610),"-",""),".",""),"/","")," ",""),8),5,2),--MID(LEFT(SUBSTITUTE(SUBSTITUTE(SUBSTITUTE(SUBSTITUTE(TRIM($AR1610),"-",""),".",""),"/","")," ",""),8),7,2)),"")))</f>
        <v/>
      </c>
      <c r="AT1610" s="33">
        <f>IF($AS1610="","",IF($F$6="",0,IF(ISNUMBER(INDEX($A:$AP,ROW(),$F$6)),INDEX($A:$AP,ROW(),$F$6),IFERROR(--SUBSTITUTE(SUBSTITUTE(TRIM(INDEX($A:$AP,ROW(),$F$6)),",",""),"원",""),0))))</f>
        <v/>
      </c>
      <c r="AU1610" s="31">
        <f>IF($AS1610="","",IF($AX1610&lt;&gt;"",SUBSTITUTE(SUBSTITUTE($AX1610,"-","")," ",""),"N:"&amp;$AV1610))</f>
        <v/>
      </c>
      <c r="AV1610" s="31">
        <f>IF(OR($AS1610="",$E$6=""),"",TRIM(INDEX($A:$AP,ROW(),$E$6)&amp;""))</f>
        <v/>
      </c>
      <c r="AW1610" s="31">
        <f>IF($AU1610="","",IF(MATCH($AU1610,$AU$8:$AU$2007,0)=ROW()-7,MAX($AW$7:$AW1609)+1,""))</f>
        <v/>
      </c>
      <c r="AX1610" s="31">
        <f>IF(OR($AS1610="",$D$6=""),"",TRIM(INDEX($A:$AP,ROW(),$D$6)&amp;""))</f>
        <v/>
      </c>
      <c r="AY1610" s="31">
        <f>IF($AU1610="","",INDEX($AW$8:$AW$2007,MATCH($AU1610,$AU$8:$AU$2007,0)))</f>
        <v/>
      </c>
      <c r="AZ1610" s="31">
        <f>IF(OR($AS1610="",$C$6=""),"",TRIM(INDEX($A:$AP,ROW(),$C$6)&amp;""))</f>
        <v/>
      </c>
      <c r="BA1610" s="31">
        <f>IF($AZ1610="","",IF(COUNTIF($AZ$8:$AZ1610,$AZ1610)&gt;1,1,0))</f>
        <v/>
      </c>
    </row>
    <row r="1611">
      <c r="AR1611" s="31">
        <f>IF(OR($A$5="",$B$6="",ROW()&lt;$A$5),"",IF(INDEX($A:$AP,ROW(),$B$6)="","",INDEX($A:$AP,ROW(),$B$6)))</f>
        <v/>
      </c>
      <c r="AS1611" s="32">
        <f>IF($AR1611="","",IF(ISNUMBER($AR1611),IF($AR1611&gt;=10000000,IFERROR(DATE(INT($AR1611/10000),MOD(INT($AR1611/100),100),MOD($AR1611,100)),""),INT($AR1611)),IFERROR(DATE(--LEFT(LEFT(SUBSTITUTE(SUBSTITUTE(SUBSTITUTE(SUBSTITUTE(TRIM($AR1611),"-",""),".",""),"/","")," ",""),8),4),--MID(LEFT(SUBSTITUTE(SUBSTITUTE(SUBSTITUTE(SUBSTITUTE(TRIM($AR1611),"-",""),".",""),"/","")," ",""),8),5,2),--MID(LEFT(SUBSTITUTE(SUBSTITUTE(SUBSTITUTE(SUBSTITUTE(TRIM($AR1611),"-",""),".",""),"/","")," ",""),8),7,2)),"")))</f>
        <v/>
      </c>
      <c r="AT1611" s="33">
        <f>IF($AS1611="","",IF($F$6="",0,IF(ISNUMBER(INDEX($A:$AP,ROW(),$F$6)),INDEX($A:$AP,ROW(),$F$6),IFERROR(--SUBSTITUTE(SUBSTITUTE(TRIM(INDEX($A:$AP,ROW(),$F$6)),",",""),"원",""),0))))</f>
        <v/>
      </c>
      <c r="AU1611" s="31">
        <f>IF($AS1611="","",IF($AX1611&lt;&gt;"",SUBSTITUTE(SUBSTITUTE($AX1611,"-","")," ",""),"N:"&amp;$AV1611))</f>
        <v/>
      </c>
      <c r="AV1611" s="31">
        <f>IF(OR($AS1611="",$E$6=""),"",TRIM(INDEX($A:$AP,ROW(),$E$6)&amp;""))</f>
        <v/>
      </c>
      <c r="AW1611" s="31">
        <f>IF($AU1611="","",IF(MATCH($AU1611,$AU$8:$AU$2007,0)=ROW()-7,MAX($AW$7:$AW1610)+1,""))</f>
        <v/>
      </c>
      <c r="AX1611" s="31">
        <f>IF(OR($AS1611="",$D$6=""),"",TRIM(INDEX($A:$AP,ROW(),$D$6)&amp;""))</f>
        <v/>
      </c>
      <c r="AY1611" s="31">
        <f>IF($AU1611="","",INDEX($AW$8:$AW$2007,MATCH($AU1611,$AU$8:$AU$2007,0)))</f>
        <v/>
      </c>
      <c r="AZ1611" s="31">
        <f>IF(OR($AS1611="",$C$6=""),"",TRIM(INDEX($A:$AP,ROW(),$C$6)&amp;""))</f>
        <v/>
      </c>
      <c r="BA1611" s="31">
        <f>IF($AZ1611="","",IF(COUNTIF($AZ$8:$AZ1611,$AZ1611)&gt;1,1,0))</f>
        <v/>
      </c>
    </row>
    <row r="1612">
      <c r="AR1612" s="31">
        <f>IF(OR($A$5="",$B$6="",ROW()&lt;$A$5),"",IF(INDEX($A:$AP,ROW(),$B$6)="","",INDEX($A:$AP,ROW(),$B$6)))</f>
        <v/>
      </c>
      <c r="AS1612" s="32">
        <f>IF($AR1612="","",IF(ISNUMBER($AR1612),IF($AR1612&gt;=10000000,IFERROR(DATE(INT($AR1612/10000),MOD(INT($AR1612/100),100),MOD($AR1612,100)),""),INT($AR1612)),IFERROR(DATE(--LEFT(LEFT(SUBSTITUTE(SUBSTITUTE(SUBSTITUTE(SUBSTITUTE(TRIM($AR1612),"-",""),".",""),"/","")," ",""),8),4),--MID(LEFT(SUBSTITUTE(SUBSTITUTE(SUBSTITUTE(SUBSTITUTE(TRIM($AR1612),"-",""),".",""),"/","")," ",""),8),5,2),--MID(LEFT(SUBSTITUTE(SUBSTITUTE(SUBSTITUTE(SUBSTITUTE(TRIM($AR1612),"-",""),".",""),"/","")," ",""),8),7,2)),"")))</f>
        <v/>
      </c>
      <c r="AT1612" s="33">
        <f>IF($AS1612="","",IF($F$6="",0,IF(ISNUMBER(INDEX($A:$AP,ROW(),$F$6)),INDEX($A:$AP,ROW(),$F$6),IFERROR(--SUBSTITUTE(SUBSTITUTE(TRIM(INDEX($A:$AP,ROW(),$F$6)),",",""),"원",""),0))))</f>
        <v/>
      </c>
      <c r="AU1612" s="31">
        <f>IF($AS1612="","",IF($AX1612&lt;&gt;"",SUBSTITUTE(SUBSTITUTE($AX1612,"-","")," ",""),"N:"&amp;$AV1612))</f>
        <v/>
      </c>
      <c r="AV1612" s="31">
        <f>IF(OR($AS1612="",$E$6=""),"",TRIM(INDEX($A:$AP,ROW(),$E$6)&amp;""))</f>
        <v/>
      </c>
      <c r="AW1612" s="31">
        <f>IF($AU1612="","",IF(MATCH($AU1612,$AU$8:$AU$2007,0)=ROW()-7,MAX($AW$7:$AW1611)+1,""))</f>
        <v/>
      </c>
      <c r="AX1612" s="31">
        <f>IF(OR($AS1612="",$D$6=""),"",TRIM(INDEX($A:$AP,ROW(),$D$6)&amp;""))</f>
        <v/>
      </c>
      <c r="AY1612" s="31">
        <f>IF($AU1612="","",INDEX($AW$8:$AW$2007,MATCH($AU1612,$AU$8:$AU$2007,0)))</f>
        <v/>
      </c>
      <c r="AZ1612" s="31">
        <f>IF(OR($AS1612="",$C$6=""),"",TRIM(INDEX($A:$AP,ROW(),$C$6)&amp;""))</f>
        <v/>
      </c>
      <c r="BA1612" s="31">
        <f>IF($AZ1612="","",IF(COUNTIF($AZ$8:$AZ1612,$AZ1612)&gt;1,1,0))</f>
        <v/>
      </c>
    </row>
    <row r="1613">
      <c r="AR1613" s="31">
        <f>IF(OR($A$5="",$B$6="",ROW()&lt;$A$5),"",IF(INDEX($A:$AP,ROW(),$B$6)="","",INDEX($A:$AP,ROW(),$B$6)))</f>
        <v/>
      </c>
      <c r="AS1613" s="32">
        <f>IF($AR1613="","",IF(ISNUMBER($AR1613),IF($AR1613&gt;=10000000,IFERROR(DATE(INT($AR1613/10000),MOD(INT($AR1613/100),100),MOD($AR1613,100)),""),INT($AR1613)),IFERROR(DATE(--LEFT(LEFT(SUBSTITUTE(SUBSTITUTE(SUBSTITUTE(SUBSTITUTE(TRIM($AR1613),"-",""),".",""),"/","")," ",""),8),4),--MID(LEFT(SUBSTITUTE(SUBSTITUTE(SUBSTITUTE(SUBSTITUTE(TRIM($AR1613),"-",""),".",""),"/","")," ",""),8),5,2),--MID(LEFT(SUBSTITUTE(SUBSTITUTE(SUBSTITUTE(SUBSTITUTE(TRIM($AR1613),"-",""),".",""),"/","")," ",""),8),7,2)),"")))</f>
        <v/>
      </c>
      <c r="AT1613" s="33">
        <f>IF($AS1613="","",IF($F$6="",0,IF(ISNUMBER(INDEX($A:$AP,ROW(),$F$6)),INDEX($A:$AP,ROW(),$F$6),IFERROR(--SUBSTITUTE(SUBSTITUTE(TRIM(INDEX($A:$AP,ROW(),$F$6)),",",""),"원",""),0))))</f>
        <v/>
      </c>
      <c r="AU1613" s="31">
        <f>IF($AS1613="","",IF($AX1613&lt;&gt;"",SUBSTITUTE(SUBSTITUTE($AX1613,"-","")," ",""),"N:"&amp;$AV1613))</f>
        <v/>
      </c>
      <c r="AV1613" s="31">
        <f>IF(OR($AS1613="",$E$6=""),"",TRIM(INDEX($A:$AP,ROW(),$E$6)&amp;""))</f>
        <v/>
      </c>
      <c r="AW1613" s="31">
        <f>IF($AU1613="","",IF(MATCH($AU1613,$AU$8:$AU$2007,0)=ROW()-7,MAX($AW$7:$AW1612)+1,""))</f>
        <v/>
      </c>
      <c r="AX1613" s="31">
        <f>IF(OR($AS1613="",$D$6=""),"",TRIM(INDEX($A:$AP,ROW(),$D$6)&amp;""))</f>
        <v/>
      </c>
      <c r="AY1613" s="31">
        <f>IF($AU1613="","",INDEX($AW$8:$AW$2007,MATCH($AU1613,$AU$8:$AU$2007,0)))</f>
        <v/>
      </c>
      <c r="AZ1613" s="31">
        <f>IF(OR($AS1613="",$C$6=""),"",TRIM(INDEX($A:$AP,ROW(),$C$6)&amp;""))</f>
        <v/>
      </c>
      <c r="BA1613" s="31">
        <f>IF($AZ1613="","",IF(COUNTIF($AZ$8:$AZ1613,$AZ1613)&gt;1,1,0))</f>
        <v/>
      </c>
    </row>
    <row r="1614">
      <c r="AR1614" s="31">
        <f>IF(OR($A$5="",$B$6="",ROW()&lt;$A$5),"",IF(INDEX($A:$AP,ROW(),$B$6)="","",INDEX($A:$AP,ROW(),$B$6)))</f>
        <v/>
      </c>
      <c r="AS1614" s="32">
        <f>IF($AR1614="","",IF(ISNUMBER($AR1614),IF($AR1614&gt;=10000000,IFERROR(DATE(INT($AR1614/10000),MOD(INT($AR1614/100),100),MOD($AR1614,100)),""),INT($AR1614)),IFERROR(DATE(--LEFT(LEFT(SUBSTITUTE(SUBSTITUTE(SUBSTITUTE(SUBSTITUTE(TRIM($AR1614),"-",""),".",""),"/","")," ",""),8),4),--MID(LEFT(SUBSTITUTE(SUBSTITUTE(SUBSTITUTE(SUBSTITUTE(TRIM($AR1614),"-",""),".",""),"/","")," ",""),8),5,2),--MID(LEFT(SUBSTITUTE(SUBSTITUTE(SUBSTITUTE(SUBSTITUTE(TRIM($AR1614),"-",""),".",""),"/","")," ",""),8),7,2)),"")))</f>
        <v/>
      </c>
      <c r="AT1614" s="33">
        <f>IF($AS1614="","",IF($F$6="",0,IF(ISNUMBER(INDEX($A:$AP,ROW(),$F$6)),INDEX($A:$AP,ROW(),$F$6),IFERROR(--SUBSTITUTE(SUBSTITUTE(TRIM(INDEX($A:$AP,ROW(),$F$6)),",",""),"원",""),0))))</f>
        <v/>
      </c>
      <c r="AU1614" s="31">
        <f>IF($AS1614="","",IF($AX1614&lt;&gt;"",SUBSTITUTE(SUBSTITUTE($AX1614,"-","")," ",""),"N:"&amp;$AV1614))</f>
        <v/>
      </c>
      <c r="AV1614" s="31">
        <f>IF(OR($AS1614="",$E$6=""),"",TRIM(INDEX($A:$AP,ROW(),$E$6)&amp;""))</f>
        <v/>
      </c>
      <c r="AW1614" s="31">
        <f>IF($AU1614="","",IF(MATCH($AU1614,$AU$8:$AU$2007,0)=ROW()-7,MAX($AW$7:$AW1613)+1,""))</f>
        <v/>
      </c>
      <c r="AX1614" s="31">
        <f>IF(OR($AS1614="",$D$6=""),"",TRIM(INDEX($A:$AP,ROW(),$D$6)&amp;""))</f>
        <v/>
      </c>
      <c r="AY1614" s="31">
        <f>IF($AU1614="","",INDEX($AW$8:$AW$2007,MATCH($AU1614,$AU$8:$AU$2007,0)))</f>
        <v/>
      </c>
      <c r="AZ1614" s="31">
        <f>IF(OR($AS1614="",$C$6=""),"",TRIM(INDEX($A:$AP,ROW(),$C$6)&amp;""))</f>
        <v/>
      </c>
      <c r="BA1614" s="31">
        <f>IF($AZ1614="","",IF(COUNTIF($AZ$8:$AZ1614,$AZ1614)&gt;1,1,0))</f>
        <v/>
      </c>
    </row>
    <row r="1615">
      <c r="AR1615" s="31">
        <f>IF(OR($A$5="",$B$6="",ROW()&lt;$A$5),"",IF(INDEX($A:$AP,ROW(),$B$6)="","",INDEX($A:$AP,ROW(),$B$6)))</f>
        <v/>
      </c>
      <c r="AS1615" s="32">
        <f>IF($AR1615="","",IF(ISNUMBER($AR1615),IF($AR1615&gt;=10000000,IFERROR(DATE(INT($AR1615/10000),MOD(INT($AR1615/100),100),MOD($AR1615,100)),""),INT($AR1615)),IFERROR(DATE(--LEFT(LEFT(SUBSTITUTE(SUBSTITUTE(SUBSTITUTE(SUBSTITUTE(TRIM($AR1615),"-",""),".",""),"/","")," ",""),8),4),--MID(LEFT(SUBSTITUTE(SUBSTITUTE(SUBSTITUTE(SUBSTITUTE(TRIM($AR1615),"-",""),".",""),"/","")," ",""),8),5,2),--MID(LEFT(SUBSTITUTE(SUBSTITUTE(SUBSTITUTE(SUBSTITUTE(TRIM($AR1615),"-",""),".",""),"/","")," ",""),8),7,2)),"")))</f>
        <v/>
      </c>
      <c r="AT1615" s="33">
        <f>IF($AS1615="","",IF($F$6="",0,IF(ISNUMBER(INDEX($A:$AP,ROW(),$F$6)),INDEX($A:$AP,ROW(),$F$6),IFERROR(--SUBSTITUTE(SUBSTITUTE(TRIM(INDEX($A:$AP,ROW(),$F$6)),",",""),"원",""),0))))</f>
        <v/>
      </c>
      <c r="AU1615" s="31">
        <f>IF($AS1615="","",IF($AX1615&lt;&gt;"",SUBSTITUTE(SUBSTITUTE($AX1615,"-","")," ",""),"N:"&amp;$AV1615))</f>
        <v/>
      </c>
      <c r="AV1615" s="31">
        <f>IF(OR($AS1615="",$E$6=""),"",TRIM(INDEX($A:$AP,ROW(),$E$6)&amp;""))</f>
        <v/>
      </c>
      <c r="AW1615" s="31">
        <f>IF($AU1615="","",IF(MATCH($AU1615,$AU$8:$AU$2007,0)=ROW()-7,MAX($AW$7:$AW1614)+1,""))</f>
        <v/>
      </c>
      <c r="AX1615" s="31">
        <f>IF(OR($AS1615="",$D$6=""),"",TRIM(INDEX($A:$AP,ROW(),$D$6)&amp;""))</f>
        <v/>
      </c>
      <c r="AY1615" s="31">
        <f>IF($AU1615="","",INDEX($AW$8:$AW$2007,MATCH($AU1615,$AU$8:$AU$2007,0)))</f>
        <v/>
      </c>
      <c r="AZ1615" s="31">
        <f>IF(OR($AS1615="",$C$6=""),"",TRIM(INDEX($A:$AP,ROW(),$C$6)&amp;""))</f>
        <v/>
      </c>
      <c r="BA1615" s="31">
        <f>IF($AZ1615="","",IF(COUNTIF($AZ$8:$AZ1615,$AZ1615)&gt;1,1,0))</f>
        <v/>
      </c>
    </row>
    <row r="1616">
      <c r="AR1616" s="31">
        <f>IF(OR($A$5="",$B$6="",ROW()&lt;$A$5),"",IF(INDEX($A:$AP,ROW(),$B$6)="","",INDEX($A:$AP,ROW(),$B$6)))</f>
        <v/>
      </c>
      <c r="AS1616" s="32">
        <f>IF($AR1616="","",IF(ISNUMBER($AR1616),IF($AR1616&gt;=10000000,IFERROR(DATE(INT($AR1616/10000),MOD(INT($AR1616/100),100),MOD($AR1616,100)),""),INT($AR1616)),IFERROR(DATE(--LEFT(LEFT(SUBSTITUTE(SUBSTITUTE(SUBSTITUTE(SUBSTITUTE(TRIM($AR1616),"-",""),".",""),"/","")," ",""),8),4),--MID(LEFT(SUBSTITUTE(SUBSTITUTE(SUBSTITUTE(SUBSTITUTE(TRIM($AR1616),"-",""),".",""),"/","")," ",""),8),5,2),--MID(LEFT(SUBSTITUTE(SUBSTITUTE(SUBSTITUTE(SUBSTITUTE(TRIM($AR1616),"-",""),".",""),"/","")," ",""),8),7,2)),"")))</f>
        <v/>
      </c>
      <c r="AT1616" s="33">
        <f>IF($AS1616="","",IF($F$6="",0,IF(ISNUMBER(INDEX($A:$AP,ROW(),$F$6)),INDEX($A:$AP,ROW(),$F$6),IFERROR(--SUBSTITUTE(SUBSTITUTE(TRIM(INDEX($A:$AP,ROW(),$F$6)),",",""),"원",""),0))))</f>
        <v/>
      </c>
      <c r="AU1616" s="31">
        <f>IF($AS1616="","",IF($AX1616&lt;&gt;"",SUBSTITUTE(SUBSTITUTE($AX1616,"-","")," ",""),"N:"&amp;$AV1616))</f>
        <v/>
      </c>
      <c r="AV1616" s="31">
        <f>IF(OR($AS1616="",$E$6=""),"",TRIM(INDEX($A:$AP,ROW(),$E$6)&amp;""))</f>
        <v/>
      </c>
      <c r="AW1616" s="31">
        <f>IF($AU1616="","",IF(MATCH($AU1616,$AU$8:$AU$2007,0)=ROW()-7,MAX($AW$7:$AW1615)+1,""))</f>
        <v/>
      </c>
      <c r="AX1616" s="31">
        <f>IF(OR($AS1616="",$D$6=""),"",TRIM(INDEX($A:$AP,ROW(),$D$6)&amp;""))</f>
        <v/>
      </c>
      <c r="AY1616" s="31">
        <f>IF($AU1616="","",INDEX($AW$8:$AW$2007,MATCH($AU1616,$AU$8:$AU$2007,0)))</f>
        <v/>
      </c>
      <c r="AZ1616" s="31">
        <f>IF(OR($AS1616="",$C$6=""),"",TRIM(INDEX($A:$AP,ROW(),$C$6)&amp;""))</f>
        <v/>
      </c>
      <c r="BA1616" s="31">
        <f>IF($AZ1616="","",IF(COUNTIF($AZ$8:$AZ1616,$AZ1616)&gt;1,1,0))</f>
        <v/>
      </c>
    </row>
    <row r="1617">
      <c r="AR1617" s="31">
        <f>IF(OR($A$5="",$B$6="",ROW()&lt;$A$5),"",IF(INDEX($A:$AP,ROW(),$B$6)="","",INDEX($A:$AP,ROW(),$B$6)))</f>
        <v/>
      </c>
      <c r="AS1617" s="32">
        <f>IF($AR1617="","",IF(ISNUMBER($AR1617),IF($AR1617&gt;=10000000,IFERROR(DATE(INT($AR1617/10000),MOD(INT($AR1617/100),100),MOD($AR1617,100)),""),INT($AR1617)),IFERROR(DATE(--LEFT(LEFT(SUBSTITUTE(SUBSTITUTE(SUBSTITUTE(SUBSTITUTE(TRIM($AR1617),"-",""),".",""),"/","")," ",""),8),4),--MID(LEFT(SUBSTITUTE(SUBSTITUTE(SUBSTITUTE(SUBSTITUTE(TRIM($AR1617),"-",""),".",""),"/","")," ",""),8),5,2),--MID(LEFT(SUBSTITUTE(SUBSTITUTE(SUBSTITUTE(SUBSTITUTE(TRIM($AR1617),"-",""),".",""),"/","")," ",""),8),7,2)),"")))</f>
        <v/>
      </c>
      <c r="AT1617" s="33">
        <f>IF($AS1617="","",IF($F$6="",0,IF(ISNUMBER(INDEX($A:$AP,ROW(),$F$6)),INDEX($A:$AP,ROW(),$F$6),IFERROR(--SUBSTITUTE(SUBSTITUTE(TRIM(INDEX($A:$AP,ROW(),$F$6)),",",""),"원",""),0))))</f>
        <v/>
      </c>
      <c r="AU1617" s="31">
        <f>IF($AS1617="","",IF($AX1617&lt;&gt;"",SUBSTITUTE(SUBSTITUTE($AX1617,"-","")," ",""),"N:"&amp;$AV1617))</f>
        <v/>
      </c>
      <c r="AV1617" s="31">
        <f>IF(OR($AS1617="",$E$6=""),"",TRIM(INDEX($A:$AP,ROW(),$E$6)&amp;""))</f>
        <v/>
      </c>
      <c r="AW1617" s="31">
        <f>IF($AU1617="","",IF(MATCH($AU1617,$AU$8:$AU$2007,0)=ROW()-7,MAX($AW$7:$AW1616)+1,""))</f>
        <v/>
      </c>
      <c r="AX1617" s="31">
        <f>IF(OR($AS1617="",$D$6=""),"",TRIM(INDEX($A:$AP,ROW(),$D$6)&amp;""))</f>
        <v/>
      </c>
      <c r="AY1617" s="31">
        <f>IF($AU1617="","",INDEX($AW$8:$AW$2007,MATCH($AU1617,$AU$8:$AU$2007,0)))</f>
        <v/>
      </c>
      <c r="AZ1617" s="31">
        <f>IF(OR($AS1617="",$C$6=""),"",TRIM(INDEX($A:$AP,ROW(),$C$6)&amp;""))</f>
        <v/>
      </c>
      <c r="BA1617" s="31">
        <f>IF($AZ1617="","",IF(COUNTIF($AZ$8:$AZ1617,$AZ1617)&gt;1,1,0))</f>
        <v/>
      </c>
    </row>
    <row r="1618">
      <c r="AR1618" s="31">
        <f>IF(OR($A$5="",$B$6="",ROW()&lt;$A$5),"",IF(INDEX($A:$AP,ROW(),$B$6)="","",INDEX($A:$AP,ROW(),$B$6)))</f>
        <v/>
      </c>
      <c r="AS1618" s="32">
        <f>IF($AR1618="","",IF(ISNUMBER($AR1618),IF($AR1618&gt;=10000000,IFERROR(DATE(INT($AR1618/10000),MOD(INT($AR1618/100),100),MOD($AR1618,100)),""),INT($AR1618)),IFERROR(DATE(--LEFT(LEFT(SUBSTITUTE(SUBSTITUTE(SUBSTITUTE(SUBSTITUTE(TRIM($AR1618),"-",""),".",""),"/","")," ",""),8),4),--MID(LEFT(SUBSTITUTE(SUBSTITUTE(SUBSTITUTE(SUBSTITUTE(TRIM($AR1618),"-",""),".",""),"/","")," ",""),8),5,2),--MID(LEFT(SUBSTITUTE(SUBSTITUTE(SUBSTITUTE(SUBSTITUTE(TRIM($AR1618),"-",""),".",""),"/","")," ",""),8),7,2)),"")))</f>
        <v/>
      </c>
      <c r="AT1618" s="33">
        <f>IF($AS1618="","",IF($F$6="",0,IF(ISNUMBER(INDEX($A:$AP,ROW(),$F$6)),INDEX($A:$AP,ROW(),$F$6),IFERROR(--SUBSTITUTE(SUBSTITUTE(TRIM(INDEX($A:$AP,ROW(),$F$6)),",",""),"원",""),0))))</f>
        <v/>
      </c>
      <c r="AU1618" s="31">
        <f>IF($AS1618="","",IF($AX1618&lt;&gt;"",SUBSTITUTE(SUBSTITUTE($AX1618,"-","")," ",""),"N:"&amp;$AV1618))</f>
        <v/>
      </c>
      <c r="AV1618" s="31">
        <f>IF(OR($AS1618="",$E$6=""),"",TRIM(INDEX($A:$AP,ROW(),$E$6)&amp;""))</f>
        <v/>
      </c>
      <c r="AW1618" s="31">
        <f>IF($AU1618="","",IF(MATCH($AU1618,$AU$8:$AU$2007,0)=ROW()-7,MAX($AW$7:$AW1617)+1,""))</f>
        <v/>
      </c>
      <c r="AX1618" s="31">
        <f>IF(OR($AS1618="",$D$6=""),"",TRIM(INDEX($A:$AP,ROW(),$D$6)&amp;""))</f>
        <v/>
      </c>
      <c r="AY1618" s="31">
        <f>IF($AU1618="","",INDEX($AW$8:$AW$2007,MATCH($AU1618,$AU$8:$AU$2007,0)))</f>
        <v/>
      </c>
      <c r="AZ1618" s="31">
        <f>IF(OR($AS1618="",$C$6=""),"",TRIM(INDEX($A:$AP,ROW(),$C$6)&amp;""))</f>
        <v/>
      </c>
      <c r="BA1618" s="31">
        <f>IF($AZ1618="","",IF(COUNTIF($AZ$8:$AZ1618,$AZ1618)&gt;1,1,0))</f>
        <v/>
      </c>
    </row>
    <row r="1619">
      <c r="AR1619" s="31">
        <f>IF(OR($A$5="",$B$6="",ROW()&lt;$A$5),"",IF(INDEX($A:$AP,ROW(),$B$6)="","",INDEX($A:$AP,ROW(),$B$6)))</f>
        <v/>
      </c>
      <c r="AS1619" s="32">
        <f>IF($AR1619="","",IF(ISNUMBER($AR1619),IF($AR1619&gt;=10000000,IFERROR(DATE(INT($AR1619/10000),MOD(INT($AR1619/100),100),MOD($AR1619,100)),""),INT($AR1619)),IFERROR(DATE(--LEFT(LEFT(SUBSTITUTE(SUBSTITUTE(SUBSTITUTE(SUBSTITUTE(TRIM($AR1619),"-",""),".",""),"/","")," ",""),8),4),--MID(LEFT(SUBSTITUTE(SUBSTITUTE(SUBSTITUTE(SUBSTITUTE(TRIM($AR1619),"-",""),".",""),"/","")," ",""),8),5,2),--MID(LEFT(SUBSTITUTE(SUBSTITUTE(SUBSTITUTE(SUBSTITUTE(TRIM($AR1619),"-",""),".",""),"/","")," ",""),8),7,2)),"")))</f>
        <v/>
      </c>
      <c r="AT1619" s="33">
        <f>IF($AS1619="","",IF($F$6="",0,IF(ISNUMBER(INDEX($A:$AP,ROW(),$F$6)),INDEX($A:$AP,ROW(),$F$6),IFERROR(--SUBSTITUTE(SUBSTITUTE(TRIM(INDEX($A:$AP,ROW(),$F$6)),",",""),"원",""),0))))</f>
        <v/>
      </c>
      <c r="AU1619" s="31">
        <f>IF($AS1619="","",IF($AX1619&lt;&gt;"",SUBSTITUTE(SUBSTITUTE($AX1619,"-","")," ",""),"N:"&amp;$AV1619))</f>
        <v/>
      </c>
      <c r="AV1619" s="31">
        <f>IF(OR($AS1619="",$E$6=""),"",TRIM(INDEX($A:$AP,ROW(),$E$6)&amp;""))</f>
        <v/>
      </c>
      <c r="AW1619" s="31">
        <f>IF($AU1619="","",IF(MATCH($AU1619,$AU$8:$AU$2007,0)=ROW()-7,MAX($AW$7:$AW1618)+1,""))</f>
        <v/>
      </c>
      <c r="AX1619" s="31">
        <f>IF(OR($AS1619="",$D$6=""),"",TRIM(INDEX($A:$AP,ROW(),$D$6)&amp;""))</f>
        <v/>
      </c>
      <c r="AY1619" s="31">
        <f>IF($AU1619="","",INDEX($AW$8:$AW$2007,MATCH($AU1619,$AU$8:$AU$2007,0)))</f>
        <v/>
      </c>
      <c r="AZ1619" s="31">
        <f>IF(OR($AS1619="",$C$6=""),"",TRIM(INDEX($A:$AP,ROW(),$C$6)&amp;""))</f>
        <v/>
      </c>
      <c r="BA1619" s="31">
        <f>IF($AZ1619="","",IF(COUNTIF($AZ$8:$AZ1619,$AZ1619)&gt;1,1,0))</f>
        <v/>
      </c>
    </row>
    <row r="1620">
      <c r="AR1620" s="31">
        <f>IF(OR($A$5="",$B$6="",ROW()&lt;$A$5),"",IF(INDEX($A:$AP,ROW(),$B$6)="","",INDEX($A:$AP,ROW(),$B$6)))</f>
        <v/>
      </c>
      <c r="AS1620" s="32">
        <f>IF($AR1620="","",IF(ISNUMBER($AR1620),IF($AR1620&gt;=10000000,IFERROR(DATE(INT($AR1620/10000),MOD(INT($AR1620/100),100),MOD($AR1620,100)),""),INT($AR1620)),IFERROR(DATE(--LEFT(LEFT(SUBSTITUTE(SUBSTITUTE(SUBSTITUTE(SUBSTITUTE(TRIM($AR1620),"-",""),".",""),"/","")," ",""),8),4),--MID(LEFT(SUBSTITUTE(SUBSTITUTE(SUBSTITUTE(SUBSTITUTE(TRIM($AR1620),"-",""),".",""),"/","")," ",""),8),5,2),--MID(LEFT(SUBSTITUTE(SUBSTITUTE(SUBSTITUTE(SUBSTITUTE(TRIM($AR1620),"-",""),".",""),"/","")," ",""),8),7,2)),"")))</f>
        <v/>
      </c>
      <c r="AT1620" s="33">
        <f>IF($AS1620="","",IF($F$6="",0,IF(ISNUMBER(INDEX($A:$AP,ROW(),$F$6)),INDEX($A:$AP,ROW(),$F$6),IFERROR(--SUBSTITUTE(SUBSTITUTE(TRIM(INDEX($A:$AP,ROW(),$F$6)),",",""),"원",""),0))))</f>
        <v/>
      </c>
      <c r="AU1620" s="31">
        <f>IF($AS1620="","",IF($AX1620&lt;&gt;"",SUBSTITUTE(SUBSTITUTE($AX1620,"-","")," ",""),"N:"&amp;$AV1620))</f>
        <v/>
      </c>
      <c r="AV1620" s="31">
        <f>IF(OR($AS1620="",$E$6=""),"",TRIM(INDEX($A:$AP,ROW(),$E$6)&amp;""))</f>
        <v/>
      </c>
      <c r="AW1620" s="31">
        <f>IF($AU1620="","",IF(MATCH($AU1620,$AU$8:$AU$2007,0)=ROW()-7,MAX($AW$7:$AW1619)+1,""))</f>
        <v/>
      </c>
      <c r="AX1620" s="31">
        <f>IF(OR($AS1620="",$D$6=""),"",TRIM(INDEX($A:$AP,ROW(),$D$6)&amp;""))</f>
        <v/>
      </c>
      <c r="AY1620" s="31">
        <f>IF($AU1620="","",INDEX($AW$8:$AW$2007,MATCH($AU1620,$AU$8:$AU$2007,0)))</f>
        <v/>
      </c>
      <c r="AZ1620" s="31">
        <f>IF(OR($AS1620="",$C$6=""),"",TRIM(INDEX($A:$AP,ROW(),$C$6)&amp;""))</f>
        <v/>
      </c>
      <c r="BA1620" s="31">
        <f>IF($AZ1620="","",IF(COUNTIF($AZ$8:$AZ1620,$AZ1620)&gt;1,1,0))</f>
        <v/>
      </c>
    </row>
    <row r="1621">
      <c r="AR1621" s="31">
        <f>IF(OR($A$5="",$B$6="",ROW()&lt;$A$5),"",IF(INDEX($A:$AP,ROW(),$B$6)="","",INDEX($A:$AP,ROW(),$B$6)))</f>
        <v/>
      </c>
      <c r="AS1621" s="32">
        <f>IF($AR1621="","",IF(ISNUMBER($AR1621),IF($AR1621&gt;=10000000,IFERROR(DATE(INT($AR1621/10000),MOD(INT($AR1621/100),100),MOD($AR1621,100)),""),INT($AR1621)),IFERROR(DATE(--LEFT(LEFT(SUBSTITUTE(SUBSTITUTE(SUBSTITUTE(SUBSTITUTE(TRIM($AR1621),"-",""),".",""),"/","")," ",""),8),4),--MID(LEFT(SUBSTITUTE(SUBSTITUTE(SUBSTITUTE(SUBSTITUTE(TRIM($AR1621),"-",""),".",""),"/","")," ",""),8),5,2),--MID(LEFT(SUBSTITUTE(SUBSTITUTE(SUBSTITUTE(SUBSTITUTE(TRIM($AR1621),"-",""),".",""),"/","")," ",""),8),7,2)),"")))</f>
        <v/>
      </c>
      <c r="AT1621" s="33">
        <f>IF($AS1621="","",IF($F$6="",0,IF(ISNUMBER(INDEX($A:$AP,ROW(),$F$6)),INDEX($A:$AP,ROW(),$F$6),IFERROR(--SUBSTITUTE(SUBSTITUTE(TRIM(INDEX($A:$AP,ROW(),$F$6)),",",""),"원",""),0))))</f>
        <v/>
      </c>
      <c r="AU1621" s="31">
        <f>IF($AS1621="","",IF($AX1621&lt;&gt;"",SUBSTITUTE(SUBSTITUTE($AX1621,"-","")," ",""),"N:"&amp;$AV1621))</f>
        <v/>
      </c>
      <c r="AV1621" s="31">
        <f>IF(OR($AS1621="",$E$6=""),"",TRIM(INDEX($A:$AP,ROW(),$E$6)&amp;""))</f>
        <v/>
      </c>
      <c r="AW1621" s="31">
        <f>IF($AU1621="","",IF(MATCH($AU1621,$AU$8:$AU$2007,0)=ROW()-7,MAX($AW$7:$AW1620)+1,""))</f>
        <v/>
      </c>
      <c r="AX1621" s="31">
        <f>IF(OR($AS1621="",$D$6=""),"",TRIM(INDEX($A:$AP,ROW(),$D$6)&amp;""))</f>
        <v/>
      </c>
      <c r="AY1621" s="31">
        <f>IF($AU1621="","",INDEX($AW$8:$AW$2007,MATCH($AU1621,$AU$8:$AU$2007,0)))</f>
        <v/>
      </c>
      <c r="AZ1621" s="31">
        <f>IF(OR($AS1621="",$C$6=""),"",TRIM(INDEX($A:$AP,ROW(),$C$6)&amp;""))</f>
        <v/>
      </c>
      <c r="BA1621" s="31">
        <f>IF($AZ1621="","",IF(COUNTIF($AZ$8:$AZ1621,$AZ1621)&gt;1,1,0))</f>
        <v/>
      </c>
    </row>
    <row r="1622">
      <c r="AR1622" s="31">
        <f>IF(OR($A$5="",$B$6="",ROW()&lt;$A$5),"",IF(INDEX($A:$AP,ROW(),$B$6)="","",INDEX($A:$AP,ROW(),$B$6)))</f>
        <v/>
      </c>
      <c r="AS1622" s="32">
        <f>IF($AR1622="","",IF(ISNUMBER($AR1622),IF($AR1622&gt;=10000000,IFERROR(DATE(INT($AR1622/10000),MOD(INT($AR1622/100),100),MOD($AR1622,100)),""),INT($AR1622)),IFERROR(DATE(--LEFT(LEFT(SUBSTITUTE(SUBSTITUTE(SUBSTITUTE(SUBSTITUTE(TRIM($AR1622),"-",""),".",""),"/","")," ",""),8),4),--MID(LEFT(SUBSTITUTE(SUBSTITUTE(SUBSTITUTE(SUBSTITUTE(TRIM($AR1622),"-",""),".",""),"/","")," ",""),8),5,2),--MID(LEFT(SUBSTITUTE(SUBSTITUTE(SUBSTITUTE(SUBSTITUTE(TRIM($AR1622),"-",""),".",""),"/","")," ",""),8),7,2)),"")))</f>
        <v/>
      </c>
      <c r="AT1622" s="33">
        <f>IF($AS1622="","",IF($F$6="",0,IF(ISNUMBER(INDEX($A:$AP,ROW(),$F$6)),INDEX($A:$AP,ROW(),$F$6),IFERROR(--SUBSTITUTE(SUBSTITUTE(TRIM(INDEX($A:$AP,ROW(),$F$6)),",",""),"원",""),0))))</f>
        <v/>
      </c>
      <c r="AU1622" s="31">
        <f>IF($AS1622="","",IF($AX1622&lt;&gt;"",SUBSTITUTE(SUBSTITUTE($AX1622,"-","")," ",""),"N:"&amp;$AV1622))</f>
        <v/>
      </c>
      <c r="AV1622" s="31">
        <f>IF(OR($AS1622="",$E$6=""),"",TRIM(INDEX($A:$AP,ROW(),$E$6)&amp;""))</f>
        <v/>
      </c>
      <c r="AW1622" s="31">
        <f>IF($AU1622="","",IF(MATCH($AU1622,$AU$8:$AU$2007,0)=ROW()-7,MAX($AW$7:$AW1621)+1,""))</f>
        <v/>
      </c>
      <c r="AX1622" s="31">
        <f>IF(OR($AS1622="",$D$6=""),"",TRIM(INDEX($A:$AP,ROW(),$D$6)&amp;""))</f>
        <v/>
      </c>
      <c r="AY1622" s="31">
        <f>IF($AU1622="","",INDEX($AW$8:$AW$2007,MATCH($AU1622,$AU$8:$AU$2007,0)))</f>
        <v/>
      </c>
      <c r="AZ1622" s="31">
        <f>IF(OR($AS1622="",$C$6=""),"",TRIM(INDEX($A:$AP,ROW(),$C$6)&amp;""))</f>
        <v/>
      </c>
      <c r="BA1622" s="31">
        <f>IF($AZ1622="","",IF(COUNTIF($AZ$8:$AZ1622,$AZ1622)&gt;1,1,0))</f>
        <v/>
      </c>
    </row>
    <row r="1623">
      <c r="AR1623" s="31">
        <f>IF(OR($A$5="",$B$6="",ROW()&lt;$A$5),"",IF(INDEX($A:$AP,ROW(),$B$6)="","",INDEX($A:$AP,ROW(),$B$6)))</f>
        <v/>
      </c>
      <c r="AS1623" s="32">
        <f>IF($AR1623="","",IF(ISNUMBER($AR1623),IF($AR1623&gt;=10000000,IFERROR(DATE(INT($AR1623/10000),MOD(INT($AR1623/100),100),MOD($AR1623,100)),""),INT($AR1623)),IFERROR(DATE(--LEFT(LEFT(SUBSTITUTE(SUBSTITUTE(SUBSTITUTE(SUBSTITUTE(TRIM($AR1623),"-",""),".",""),"/","")," ",""),8),4),--MID(LEFT(SUBSTITUTE(SUBSTITUTE(SUBSTITUTE(SUBSTITUTE(TRIM($AR1623),"-",""),".",""),"/","")," ",""),8),5,2),--MID(LEFT(SUBSTITUTE(SUBSTITUTE(SUBSTITUTE(SUBSTITUTE(TRIM($AR1623),"-",""),".",""),"/","")," ",""),8),7,2)),"")))</f>
        <v/>
      </c>
      <c r="AT1623" s="33">
        <f>IF($AS1623="","",IF($F$6="",0,IF(ISNUMBER(INDEX($A:$AP,ROW(),$F$6)),INDEX($A:$AP,ROW(),$F$6),IFERROR(--SUBSTITUTE(SUBSTITUTE(TRIM(INDEX($A:$AP,ROW(),$F$6)),",",""),"원",""),0))))</f>
        <v/>
      </c>
      <c r="AU1623" s="31">
        <f>IF($AS1623="","",IF($AX1623&lt;&gt;"",SUBSTITUTE(SUBSTITUTE($AX1623,"-","")," ",""),"N:"&amp;$AV1623))</f>
        <v/>
      </c>
      <c r="AV1623" s="31">
        <f>IF(OR($AS1623="",$E$6=""),"",TRIM(INDEX($A:$AP,ROW(),$E$6)&amp;""))</f>
        <v/>
      </c>
      <c r="AW1623" s="31">
        <f>IF($AU1623="","",IF(MATCH($AU1623,$AU$8:$AU$2007,0)=ROW()-7,MAX($AW$7:$AW1622)+1,""))</f>
        <v/>
      </c>
      <c r="AX1623" s="31">
        <f>IF(OR($AS1623="",$D$6=""),"",TRIM(INDEX($A:$AP,ROW(),$D$6)&amp;""))</f>
        <v/>
      </c>
      <c r="AY1623" s="31">
        <f>IF($AU1623="","",INDEX($AW$8:$AW$2007,MATCH($AU1623,$AU$8:$AU$2007,0)))</f>
        <v/>
      </c>
      <c r="AZ1623" s="31">
        <f>IF(OR($AS1623="",$C$6=""),"",TRIM(INDEX($A:$AP,ROW(),$C$6)&amp;""))</f>
        <v/>
      </c>
      <c r="BA1623" s="31">
        <f>IF($AZ1623="","",IF(COUNTIF($AZ$8:$AZ1623,$AZ1623)&gt;1,1,0))</f>
        <v/>
      </c>
    </row>
    <row r="1624">
      <c r="AR1624" s="31">
        <f>IF(OR($A$5="",$B$6="",ROW()&lt;$A$5),"",IF(INDEX($A:$AP,ROW(),$B$6)="","",INDEX($A:$AP,ROW(),$B$6)))</f>
        <v/>
      </c>
      <c r="AS1624" s="32">
        <f>IF($AR1624="","",IF(ISNUMBER($AR1624),IF($AR1624&gt;=10000000,IFERROR(DATE(INT($AR1624/10000),MOD(INT($AR1624/100),100),MOD($AR1624,100)),""),INT($AR1624)),IFERROR(DATE(--LEFT(LEFT(SUBSTITUTE(SUBSTITUTE(SUBSTITUTE(SUBSTITUTE(TRIM($AR1624),"-",""),".",""),"/","")," ",""),8),4),--MID(LEFT(SUBSTITUTE(SUBSTITUTE(SUBSTITUTE(SUBSTITUTE(TRIM($AR1624),"-",""),".",""),"/","")," ",""),8),5,2),--MID(LEFT(SUBSTITUTE(SUBSTITUTE(SUBSTITUTE(SUBSTITUTE(TRIM($AR1624),"-",""),".",""),"/","")," ",""),8),7,2)),"")))</f>
        <v/>
      </c>
      <c r="AT1624" s="33">
        <f>IF($AS1624="","",IF($F$6="",0,IF(ISNUMBER(INDEX($A:$AP,ROW(),$F$6)),INDEX($A:$AP,ROW(),$F$6),IFERROR(--SUBSTITUTE(SUBSTITUTE(TRIM(INDEX($A:$AP,ROW(),$F$6)),",",""),"원",""),0))))</f>
        <v/>
      </c>
      <c r="AU1624" s="31">
        <f>IF($AS1624="","",IF($AX1624&lt;&gt;"",SUBSTITUTE(SUBSTITUTE($AX1624,"-","")," ",""),"N:"&amp;$AV1624))</f>
        <v/>
      </c>
      <c r="AV1624" s="31">
        <f>IF(OR($AS1624="",$E$6=""),"",TRIM(INDEX($A:$AP,ROW(),$E$6)&amp;""))</f>
        <v/>
      </c>
      <c r="AW1624" s="31">
        <f>IF($AU1624="","",IF(MATCH($AU1624,$AU$8:$AU$2007,0)=ROW()-7,MAX($AW$7:$AW1623)+1,""))</f>
        <v/>
      </c>
      <c r="AX1624" s="31">
        <f>IF(OR($AS1624="",$D$6=""),"",TRIM(INDEX($A:$AP,ROW(),$D$6)&amp;""))</f>
        <v/>
      </c>
      <c r="AY1624" s="31">
        <f>IF($AU1624="","",INDEX($AW$8:$AW$2007,MATCH($AU1624,$AU$8:$AU$2007,0)))</f>
        <v/>
      </c>
      <c r="AZ1624" s="31">
        <f>IF(OR($AS1624="",$C$6=""),"",TRIM(INDEX($A:$AP,ROW(),$C$6)&amp;""))</f>
        <v/>
      </c>
      <c r="BA1624" s="31">
        <f>IF($AZ1624="","",IF(COUNTIF($AZ$8:$AZ1624,$AZ1624)&gt;1,1,0))</f>
        <v/>
      </c>
    </row>
    <row r="1625">
      <c r="AR1625" s="31">
        <f>IF(OR($A$5="",$B$6="",ROW()&lt;$A$5),"",IF(INDEX($A:$AP,ROW(),$B$6)="","",INDEX($A:$AP,ROW(),$B$6)))</f>
        <v/>
      </c>
      <c r="AS1625" s="32">
        <f>IF($AR1625="","",IF(ISNUMBER($AR1625),IF($AR1625&gt;=10000000,IFERROR(DATE(INT($AR1625/10000),MOD(INT($AR1625/100),100),MOD($AR1625,100)),""),INT($AR1625)),IFERROR(DATE(--LEFT(LEFT(SUBSTITUTE(SUBSTITUTE(SUBSTITUTE(SUBSTITUTE(TRIM($AR1625),"-",""),".",""),"/","")," ",""),8),4),--MID(LEFT(SUBSTITUTE(SUBSTITUTE(SUBSTITUTE(SUBSTITUTE(TRIM($AR1625),"-",""),".",""),"/","")," ",""),8),5,2),--MID(LEFT(SUBSTITUTE(SUBSTITUTE(SUBSTITUTE(SUBSTITUTE(TRIM($AR1625),"-",""),".",""),"/","")," ",""),8),7,2)),"")))</f>
        <v/>
      </c>
      <c r="AT1625" s="33">
        <f>IF($AS1625="","",IF($F$6="",0,IF(ISNUMBER(INDEX($A:$AP,ROW(),$F$6)),INDEX($A:$AP,ROW(),$F$6),IFERROR(--SUBSTITUTE(SUBSTITUTE(TRIM(INDEX($A:$AP,ROW(),$F$6)),",",""),"원",""),0))))</f>
        <v/>
      </c>
      <c r="AU1625" s="31">
        <f>IF($AS1625="","",IF($AX1625&lt;&gt;"",SUBSTITUTE(SUBSTITUTE($AX1625,"-","")," ",""),"N:"&amp;$AV1625))</f>
        <v/>
      </c>
      <c r="AV1625" s="31">
        <f>IF(OR($AS1625="",$E$6=""),"",TRIM(INDEX($A:$AP,ROW(),$E$6)&amp;""))</f>
        <v/>
      </c>
      <c r="AW1625" s="31">
        <f>IF($AU1625="","",IF(MATCH($AU1625,$AU$8:$AU$2007,0)=ROW()-7,MAX($AW$7:$AW1624)+1,""))</f>
        <v/>
      </c>
      <c r="AX1625" s="31">
        <f>IF(OR($AS1625="",$D$6=""),"",TRIM(INDEX($A:$AP,ROW(),$D$6)&amp;""))</f>
        <v/>
      </c>
      <c r="AY1625" s="31">
        <f>IF($AU1625="","",INDEX($AW$8:$AW$2007,MATCH($AU1625,$AU$8:$AU$2007,0)))</f>
        <v/>
      </c>
      <c r="AZ1625" s="31">
        <f>IF(OR($AS1625="",$C$6=""),"",TRIM(INDEX($A:$AP,ROW(),$C$6)&amp;""))</f>
        <v/>
      </c>
      <c r="BA1625" s="31">
        <f>IF($AZ1625="","",IF(COUNTIF($AZ$8:$AZ1625,$AZ1625)&gt;1,1,0))</f>
        <v/>
      </c>
    </row>
    <row r="1626">
      <c r="AR1626" s="31">
        <f>IF(OR($A$5="",$B$6="",ROW()&lt;$A$5),"",IF(INDEX($A:$AP,ROW(),$B$6)="","",INDEX($A:$AP,ROW(),$B$6)))</f>
        <v/>
      </c>
      <c r="AS1626" s="32">
        <f>IF($AR1626="","",IF(ISNUMBER($AR1626),IF($AR1626&gt;=10000000,IFERROR(DATE(INT($AR1626/10000),MOD(INT($AR1626/100),100),MOD($AR1626,100)),""),INT($AR1626)),IFERROR(DATE(--LEFT(LEFT(SUBSTITUTE(SUBSTITUTE(SUBSTITUTE(SUBSTITUTE(TRIM($AR1626),"-",""),".",""),"/","")," ",""),8),4),--MID(LEFT(SUBSTITUTE(SUBSTITUTE(SUBSTITUTE(SUBSTITUTE(TRIM($AR1626),"-",""),".",""),"/","")," ",""),8),5,2),--MID(LEFT(SUBSTITUTE(SUBSTITUTE(SUBSTITUTE(SUBSTITUTE(TRIM($AR1626),"-",""),".",""),"/","")," ",""),8),7,2)),"")))</f>
        <v/>
      </c>
      <c r="AT1626" s="33">
        <f>IF($AS1626="","",IF($F$6="",0,IF(ISNUMBER(INDEX($A:$AP,ROW(),$F$6)),INDEX($A:$AP,ROW(),$F$6),IFERROR(--SUBSTITUTE(SUBSTITUTE(TRIM(INDEX($A:$AP,ROW(),$F$6)),",",""),"원",""),0))))</f>
        <v/>
      </c>
      <c r="AU1626" s="31">
        <f>IF($AS1626="","",IF($AX1626&lt;&gt;"",SUBSTITUTE(SUBSTITUTE($AX1626,"-","")," ",""),"N:"&amp;$AV1626))</f>
        <v/>
      </c>
      <c r="AV1626" s="31">
        <f>IF(OR($AS1626="",$E$6=""),"",TRIM(INDEX($A:$AP,ROW(),$E$6)&amp;""))</f>
        <v/>
      </c>
      <c r="AW1626" s="31">
        <f>IF($AU1626="","",IF(MATCH($AU1626,$AU$8:$AU$2007,0)=ROW()-7,MAX($AW$7:$AW1625)+1,""))</f>
        <v/>
      </c>
      <c r="AX1626" s="31">
        <f>IF(OR($AS1626="",$D$6=""),"",TRIM(INDEX($A:$AP,ROW(),$D$6)&amp;""))</f>
        <v/>
      </c>
      <c r="AY1626" s="31">
        <f>IF($AU1626="","",INDEX($AW$8:$AW$2007,MATCH($AU1626,$AU$8:$AU$2007,0)))</f>
        <v/>
      </c>
      <c r="AZ1626" s="31">
        <f>IF(OR($AS1626="",$C$6=""),"",TRIM(INDEX($A:$AP,ROW(),$C$6)&amp;""))</f>
        <v/>
      </c>
      <c r="BA1626" s="31">
        <f>IF($AZ1626="","",IF(COUNTIF($AZ$8:$AZ1626,$AZ1626)&gt;1,1,0))</f>
        <v/>
      </c>
    </row>
    <row r="1627">
      <c r="AR1627" s="31">
        <f>IF(OR($A$5="",$B$6="",ROW()&lt;$A$5),"",IF(INDEX($A:$AP,ROW(),$B$6)="","",INDEX($A:$AP,ROW(),$B$6)))</f>
        <v/>
      </c>
      <c r="AS1627" s="32">
        <f>IF($AR1627="","",IF(ISNUMBER($AR1627),IF($AR1627&gt;=10000000,IFERROR(DATE(INT($AR1627/10000),MOD(INT($AR1627/100),100),MOD($AR1627,100)),""),INT($AR1627)),IFERROR(DATE(--LEFT(LEFT(SUBSTITUTE(SUBSTITUTE(SUBSTITUTE(SUBSTITUTE(TRIM($AR1627),"-",""),".",""),"/","")," ",""),8),4),--MID(LEFT(SUBSTITUTE(SUBSTITUTE(SUBSTITUTE(SUBSTITUTE(TRIM($AR1627),"-",""),".",""),"/","")," ",""),8),5,2),--MID(LEFT(SUBSTITUTE(SUBSTITUTE(SUBSTITUTE(SUBSTITUTE(TRIM($AR1627),"-",""),".",""),"/","")," ",""),8),7,2)),"")))</f>
        <v/>
      </c>
      <c r="AT1627" s="33">
        <f>IF($AS1627="","",IF($F$6="",0,IF(ISNUMBER(INDEX($A:$AP,ROW(),$F$6)),INDEX($A:$AP,ROW(),$F$6),IFERROR(--SUBSTITUTE(SUBSTITUTE(TRIM(INDEX($A:$AP,ROW(),$F$6)),",",""),"원",""),0))))</f>
        <v/>
      </c>
      <c r="AU1627" s="31">
        <f>IF($AS1627="","",IF($AX1627&lt;&gt;"",SUBSTITUTE(SUBSTITUTE($AX1627,"-","")," ",""),"N:"&amp;$AV1627))</f>
        <v/>
      </c>
      <c r="AV1627" s="31">
        <f>IF(OR($AS1627="",$E$6=""),"",TRIM(INDEX($A:$AP,ROW(),$E$6)&amp;""))</f>
        <v/>
      </c>
      <c r="AW1627" s="31">
        <f>IF($AU1627="","",IF(MATCH($AU1627,$AU$8:$AU$2007,0)=ROW()-7,MAX($AW$7:$AW1626)+1,""))</f>
        <v/>
      </c>
      <c r="AX1627" s="31">
        <f>IF(OR($AS1627="",$D$6=""),"",TRIM(INDEX($A:$AP,ROW(),$D$6)&amp;""))</f>
        <v/>
      </c>
      <c r="AY1627" s="31">
        <f>IF($AU1627="","",INDEX($AW$8:$AW$2007,MATCH($AU1627,$AU$8:$AU$2007,0)))</f>
        <v/>
      </c>
      <c r="AZ1627" s="31">
        <f>IF(OR($AS1627="",$C$6=""),"",TRIM(INDEX($A:$AP,ROW(),$C$6)&amp;""))</f>
        <v/>
      </c>
      <c r="BA1627" s="31">
        <f>IF($AZ1627="","",IF(COUNTIF($AZ$8:$AZ1627,$AZ1627)&gt;1,1,0))</f>
        <v/>
      </c>
    </row>
    <row r="1628">
      <c r="AR1628" s="31">
        <f>IF(OR($A$5="",$B$6="",ROW()&lt;$A$5),"",IF(INDEX($A:$AP,ROW(),$B$6)="","",INDEX($A:$AP,ROW(),$B$6)))</f>
        <v/>
      </c>
      <c r="AS1628" s="32">
        <f>IF($AR1628="","",IF(ISNUMBER($AR1628),IF($AR1628&gt;=10000000,IFERROR(DATE(INT($AR1628/10000),MOD(INT($AR1628/100),100),MOD($AR1628,100)),""),INT($AR1628)),IFERROR(DATE(--LEFT(LEFT(SUBSTITUTE(SUBSTITUTE(SUBSTITUTE(SUBSTITUTE(TRIM($AR1628),"-",""),".",""),"/","")," ",""),8),4),--MID(LEFT(SUBSTITUTE(SUBSTITUTE(SUBSTITUTE(SUBSTITUTE(TRIM($AR1628),"-",""),".",""),"/","")," ",""),8),5,2),--MID(LEFT(SUBSTITUTE(SUBSTITUTE(SUBSTITUTE(SUBSTITUTE(TRIM($AR1628),"-",""),".",""),"/","")," ",""),8),7,2)),"")))</f>
        <v/>
      </c>
      <c r="AT1628" s="33">
        <f>IF($AS1628="","",IF($F$6="",0,IF(ISNUMBER(INDEX($A:$AP,ROW(),$F$6)),INDEX($A:$AP,ROW(),$F$6),IFERROR(--SUBSTITUTE(SUBSTITUTE(TRIM(INDEX($A:$AP,ROW(),$F$6)),",",""),"원",""),0))))</f>
        <v/>
      </c>
      <c r="AU1628" s="31">
        <f>IF($AS1628="","",IF($AX1628&lt;&gt;"",SUBSTITUTE(SUBSTITUTE($AX1628,"-","")," ",""),"N:"&amp;$AV1628))</f>
        <v/>
      </c>
      <c r="AV1628" s="31">
        <f>IF(OR($AS1628="",$E$6=""),"",TRIM(INDEX($A:$AP,ROW(),$E$6)&amp;""))</f>
        <v/>
      </c>
      <c r="AW1628" s="31">
        <f>IF($AU1628="","",IF(MATCH($AU1628,$AU$8:$AU$2007,0)=ROW()-7,MAX($AW$7:$AW1627)+1,""))</f>
        <v/>
      </c>
      <c r="AX1628" s="31">
        <f>IF(OR($AS1628="",$D$6=""),"",TRIM(INDEX($A:$AP,ROW(),$D$6)&amp;""))</f>
        <v/>
      </c>
      <c r="AY1628" s="31">
        <f>IF($AU1628="","",INDEX($AW$8:$AW$2007,MATCH($AU1628,$AU$8:$AU$2007,0)))</f>
        <v/>
      </c>
      <c r="AZ1628" s="31">
        <f>IF(OR($AS1628="",$C$6=""),"",TRIM(INDEX($A:$AP,ROW(),$C$6)&amp;""))</f>
        <v/>
      </c>
      <c r="BA1628" s="31">
        <f>IF($AZ1628="","",IF(COUNTIF($AZ$8:$AZ1628,$AZ1628)&gt;1,1,0))</f>
        <v/>
      </c>
    </row>
    <row r="1629">
      <c r="AR1629" s="31">
        <f>IF(OR($A$5="",$B$6="",ROW()&lt;$A$5),"",IF(INDEX($A:$AP,ROW(),$B$6)="","",INDEX($A:$AP,ROW(),$B$6)))</f>
        <v/>
      </c>
      <c r="AS1629" s="32">
        <f>IF($AR1629="","",IF(ISNUMBER($AR1629),IF($AR1629&gt;=10000000,IFERROR(DATE(INT($AR1629/10000),MOD(INT($AR1629/100),100),MOD($AR1629,100)),""),INT($AR1629)),IFERROR(DATE(--LEFT(LEFT(SUBSTITUTE(SUBSTITUTE(SUBSTITUTE(SUBSTITUTE(TRIM($AR1629),"-",""),".",""),"/","")," ",""),8),4),--MID(LEFT(SUBSTITUTE(SUBSTITUTE(SUBSTITUTE(SUBSTITUTE(TRIM($AR1629),"-",""),".",""),"/","")," ",""),8),5,2),--MID(LEFT(SUBSTITUTE(SUBSTITUTE(SUBSTITUTE(SUBSTITUTE(TRIM($AR1629),"-",""),".",""),"/","")," ",""),8),7,2)),"")))</f>
        <v/>
      </c>
      <c r="AT1629" s="33">
        <f>IF($AS1629="","",IF($F$6="",0,IF(ISNUMBER(INDEX($A:$AP,ROW(),$F$6)),INDEX($A:$AP,ROW(),$F$6),IFERROR(--SUBSTITUTE(SUBSTITUTE(TRIM(INDEX($A:$AP,ROW(),$F$6)),",",""),"원",""),0))))</f>
        <v/>
      </c>
      <c r="AU1629" s="31">
        <f>IF($AS1629="","",IF($AX1629&lt;&gt;"",SUBSTITUTE(SUBSTITUTE($AX1629,"-","")," ",""),"N:"&amp;$AV1629))</f>
        <v/>
      </c>
      <c r="AV1629" s="31">
        <f>IF(OR($AS1629="",$E$6=""),"",TRIM(INDEX($A:$AP,ROW(),$E$6)&amp;""))</f>
        <v/>
      </c>
      <c r="AW1629" s="31">
        <f>IF($AU1629="","",IF(MATCH($AU1629,$AU$8:$AU$2007,0)=ROW()-7,MAX($AW$7:$AW1628)+1,""))</f>
        <v/>
      </c>
      <c r="AX1629" s="31">
        <f>IF(OR($AS1629="",$D$6=""),"",TRIM(INDEX($A:$AP,ROW(),$D$6)&amp;""))</f>
        <v/>
      </c>
      <c r="AY1629" s="31">
        <f>IF($AU1629="","",INDEX($AW$8:$AW$2007,MATCH($AU1629,$AU$8:$AU$2007,0)))</f>
        <v/>
      </c>
      <c r="AZ1629" s="31">
        <f>IF(OR($AS1629="",$C$6=""),"",TRIM(INDEX($A:$AP,ROW(),$C$6)&amp;""))</f>
        <v/>
      </c>
      <c r="BA1629" s="31">
        <f>IF($AZ1629="","",IF(COUNTIF($AZ$8:$AZ1629,$AZ1629)&gt;1,1,0))</f>
        <v/>
      </c>
    </row>
    <row r="1630">
      <c r="AR1630" s="31">
        <f>IF(OR($A$5="",$B$6="",ROW()&lt;$A$5),"",IF(INDEX($A:$AP,ROW(),$B$6)="","",INDEX($A:$AP,ROW(),$B$6)))</f>
        <v/>
      </c>
      <c r="AS1630" s="32">
        <f>IF($AR1630="","",IF(ISNUMBER($AR1630),IF($AR1630&gt;=10000000,IFERROR(DATE(INT($AR1630/10000),MOD(INT($AR1630/100),100),MOD($AR1630,100)),""),INT($AR1630)),IFERROR(DATE(--LEFT(LEFT(SUBSTITUTE(SUBSTITUTE(SUBSTITUTE(SUBSTITUTE(TRIM($AR1630),"-",""),".",""),"/","")," ",""),8),4),--MID(LEFT(SUBSTITUTE(SUBSTITUTE(SUBSTITUTE(SUBSTITUTE(TRIM($AR1630),"-",""),".",""),"/","")," ",""),8),5,2),--MID(LEFT(SUBSTITUTE(SUBSTITUTE(SUBSTITUTE(SUBSTITUTE(TRIM($AR1630),"-",""),".",""),"/","")," ",""),8),7,2)),"")))</f>
        <v/>
      </c>
      <c r="AT1630" s="33">
        <f>IF($AS1630="","",IF($F$6="",0,IF(ISNUMBER(INDEX($A:$AP,ROW(),$F$6)),INDEX($A:$AP,ROW(),$F$6),IFERROR(--SUBSTITUTE(SUBSTITUTE(TRIM(INDEX($A:$AP,ROW(),$F$6)),",",""),"원",""),0))))</f>
        <v/>
      </c>
      <c r="AU1630" s="31">
        <f>IF($AS1630="","",IF($AX1630&lt;&gt;"",SUBSTITUTE(SUBSTITUTE($AX1630,"-","")," ",""),"N:"&amp;$AV1630))</f>
        <v/>
      </c>
      <c r="AV1630" s="31">
        <f>IF(OR($AS1630="",$E$6=""),"",TRIM(INDEX($A:$AP,ROW(),$E$6)&amp;""))</f>
        <v/>
      </c>
      <c r="AW1630" s="31">
        <f>IF($AU1630="","",IF(MATCH($AU1630,$AU$8:$AU$2007,0)=ROW()-7,MAX($AW$7:$AW1629)+1,""))</f>
        <v/>
      </c>
      <c r="AX1630" s="31">
        <f>IF(OR($AS1630="",$D$6=""),"",TRIM(INDEX($A:$AP,ROW(),$D$6)&amp;""))</f>
        <v/>
      </c>
      <c r="AY1630" s="31">
        <f>IF($AU1630="","",INDEX($AW$8:$AW$2007,MATCH($AU1630,$AU$8:$AU$2007,0)))</f>
        <v/>
      </c>
      <c r="AZ1630" s="31">
        <f>IF(OR($AS1630="",$C$6=""),"",TRIM(INDEX($A:$AP,ROW(),$C$6)&amp;""))</f>
        <v/>
      </c>
      <c r="BA1630" s="31">
        <f>IF($AZ1630="","",IF(COUNTIF($AZ$8:$AZ1630,$AZ1630)&gt;1,1,0))</f>
        <v/>
      </c>
    </row>
    <row r="1631">
      <c r="AR1631" s="31">
        <f>IF(OR($A$5="",$B$6="",ROW()&lt;$A$5),"",IF(INDEX($A:$AP,ROW(),$B$6)="","",INDEX($A:$AP,ROW(),$B$6)))</f>
        <v/>
      </c>
      <c r="AS1631" s="32">
        <f>IF($AR1631="","",IF(ISNUMBER($AR1631),IF($AR1631&gt;=10000000,IFERROR(DATE(INT($AR1631/10000),MOD(INT($AR1631/100),100),MOD($AR1631,100)),""),INT($AR1631)),IFERROR(DATE(--LEFT(LEFT(SUBSTITUTE(SUBSTITUTE(SUBSTITUTE(SUBSTITUTE(TRIM($AR1631),"-",""),".",""),"/","")," ",""),8),4),--MID(LEFT(SUBSTITUTE(SUBSTITUTE(SUBSTITUTE(SUBSTITUTE(TRIM($AR1631),"-",""),".",""),"/","")," ",""),8),5,2),--MID(LEFT(SUBSTITUTE(SUBSTITUTE(SUBSTITUTE(SUBSTITUTE(TRIM($AR1631),"-",""),".",""),"/","")," ",""),8),7,2)),"")))</f>
        <v/>
      </c>
      <c r="AT1631" s="33">
        <f>IF($AS1631="","",IF($F$6="",0,IF(ISNUMBER(INDEX($A:$AP,ROW(),$F$6)),INDEX($A:$AP,ROW(),$F$6),IFERROR(--SUBSTITUTE(SUBSTITUTE(TRIM(INDEX($A:$AP,ROW(),$F$6)),",",""),"원",""),0))))</f>
        <v/>
      </c>
      <c r="AU1631" s="31">
        <f>IF($AS1631="","",IF($AX1631&lt;&gt;"",SUBSTITUTE(SUBSTITUTE($AX1631,"-","")," ",""),"N:"&amp;$AV1631))</f>
        <v/>
      </c>
      <c r="AV1631" s="31">
        <f>IF(OR($AS1631="",$E$6=""),"",TRIM(INDEX($A:$AP,ROW(),$E$6)&amp;""))</f>
        <v/>
      </c>
      <c r="AW1631" s="31">
        <f>IF($AU1631="","",IF(MATCH($AU1631,$AU$8:$AU$2007,0)=ROW()-7,MAX($AW$7:$AW1630)+1,""))</f>
        <v/>
      </c>
      <c r="AX1631" s="31">
        <f>IF(OR($AS1631="",$D$6=""),"",TRIM(INDEX($A:$AP,ROW(),$D$6)&amp;""))</f>
        <v/>
      </c>
      <c r="AY1631" s="31">
        <f>IF($AU1631="","",INDEX($AW$8:$AW$2007,MATCH($AU1631,$AU$8:$AU$2007,0)))</f>
        <v/>
      </c>
      <c r="AZ1631" s="31">
        <f>IF(OR($AS1631="",$C$6=""),"",TRIM(INDEX($A:$AP,ROW(),$C$6)&amp;""))</f>
        <v/>
      </c>
      <c r="BA1631" s="31">
        <f>IF($AZ1631="","",IF(COUNTIF($AZ$8:$AZ1631,$AZ1631)&gt;1,1,0))</f>
        <v/>
      </c>
    </row>
    <row r="1632">
      <c r="AR1632" s="31">
        <f>IF(OR($A$5="",$B$6="",ROW()&lt;$A$5),"",IF(INDEX($A:$AP,ROW(),$B$6)="","",INDEX($A:$AP,ROW(),$B$6)))</f>
        <v/>
      </c>
      <c r="AS1632" s="32">
        <f>IF($AR1632="","",IF(ISNUMBER($AR1632),IF($AR1632&gt;=10000000,IFERROR(DATE(INT($AR1632/10000),MOD(INT($AR1632/100),100),MOD($AR1632,100)),""),INT($AR1632)),IFERROR(DATE(--LEFT(LEFT(SUBSTITUTE(SUBSTITUTE(SUBSTITUTE(SUBSTITUTE(TRIM($AR1632),"-",""),".",""),"/","")," ",""),8),4),--MID(LEFT(SUBSTITUTE(SUBSTITUTE(SUBSTITUTE(SUBSTITUTE(TRIM($AR1632),"-",""),".",""),"/","")," ",""),8),5,2),--MID(LEFT(SUBSTITUTE(SUBSTITUTE(SUBSTITUTE(SUBSTITUTE(TRIM($AR1632),"-",""),".",""),"/","")," ",""),8),7,2)),"")))</f>
        <v/>
      </c>
      <c r="AT1632" s="33">
        <f>IF($AS1632="","",IF($F$6="",0,IF(ISNUMBER(INDEX($A:$AP,ROW(),$F$6)),INDEX($A:$AP,ROW(),$F$6),IFERROR(--SUBSTITUTE(SUBSTITUTE(TRIM(INDEX($A:$AP,ROW(),$F$6)),",",""),"원",""),0))))</f>
        <v/>
      </c>
      <c r="AU1632" s="31">
        <f>IF($AS1632="","",IF($AX1632&lt;&gt;"",SUBSTITUTE(SUBSTITUTE($AX1632,"-","")," ",""),"N:"&amp;$AV1632))</f>
        <v/>
      </c>
      <c r="AV1632" s="31">
        <f>IF(OR($AS1632="",$E$6=""),"",TRIM(INDEX($A:$AP,ROW(),$E$6)&amp;""))</f>
        <v/>
      </c>
      <c r="AW1632" s="31">
        <f>IF($AU1632="","",IF(MATCH($AU1632,$AU$8:$AU$2007,0)=ROW()-7,MAX($AW$7:$AW1631)+1,""))</f>
        <v/>
      </c>
      <c r="AX1632" s="31">
        <f>IF(OR($AS1632="",$D$6=""),"",TRIM(INDEX($A:$AP,ROW(),$D$6)&amp;""))</f>
        <v/>
      </c>
      <c r="AY1632" s="31">
        <f>IF($AU1632="","",INDEX($AW$8:$AW$2007,MATCH($AU1632,$AU$8:$AU$2007,0)))</f>
        <v/>
      </c>
      <c r="AZ1632" s="31">
        <f>IF(OR($AS1632="",$C$6=""),"",TRIM(INDEX($A:$AP,ROW(),$C$6)&amp;""))</f>
        <v/>
      </c>
      <c r="BA1632" s="31">
        <f>IF($AZ1632="","",IF(COUNTIF($AZ$8:$AZ1632,$AZ1632)&gt;1,1,0))</f>
        <v/>
      </c>
    </row>
    <row r="1633">
      <c r="AR1633" s="31">
        <f>IF(OR($A$5="",$B$6="",ROW()&lt;$A$5),"",IF(INDEX($A:$AP,ROW(),$B$6)="","",INDEX($A:$AP,ROW(),$B$6)))</f>
        <v/>
      </c>
      <c r="AS1633" s="32">
        <f>IF($AR1633="","",IF(ISNUMBER($AR1633),IF($AR1633&gt;=10000000,IFERROR(DATE(INT($AR1633/10000),MOD(INT($AR1633/100),100),MOD($AR1633,100)),""),INT($AR1633)),IFERROR(DATE(--LEFT(LEFT(SUBSTITUTE(SUBSTITUTE(SUBSTITUTE(SUBSTITUTE(TRIM($AR1633),"-",""),".",""),"/","")," ",""),8),4),--MID(LEFT(SUBSTITUTE(SUBSTITUTE(SUBSTITUTE(SUBSTITUTE(TRIM($AR1633),"-",""),".",""),"/","")," ",""),8),5,2),--MID(LEFT(SUBSTITUTE(SUBSTITUTE(SUBSTITUTE(SUBSTITUTE(TRIM($AR1633),"-",""),".",""),"/","")," ",""),8),7,2)),"")))</f>
        <v/>
      </c>
      <c r="AT1633" s="33">
        <f>IF($AS1633="","",IF($F$6="",0,IF(ISNUMBER(INDEX($A:$AP,ROW(),$F$6)),INDEX($A:$AP,ROW(),$F$6),IFERROR(--SUBSTITUTE(SUBSTITUTE(TRIM(INDEX($A:$AP,ROW(),$F$6)),",",""),"원",""),0))))</f>
        <v/>
      </c>
      <c r="AU1633" s="31">
        <f>IF($AS1633="","",IF($AX1633&lt;&gt;"",SUBSTITUTE(SUBSTITUTE($AX1633,"-","")," ",""),"N:"&amp;$AV1633))</f>
        <v/>
      </c>
      <c r="AV1633" s="31">
        <f>IF(OR($AS1633="",$E$6=""),"",TRIM(INDEX($A:$AP,ROW(),$E$6)&amp;""))</f>
        <v/>
      </c>
      <c r="AW1633" s="31">
        <f>IF($AU1633="","",IF(MATCH($AU1633,$AU$8:$AU$2007,0)=ROW()-7,MAX($AW$7:$AW1632)+1,""))</f>
        <v/>
      </c>
      <c r="AX1633" s="31">
        <f>IF(OR($AS1633="",$D$6=""),"",TRIM(INDEX($A:$AP,ROW(),$D$6)&amp;""))</f>
        <v/>
      </c>
      <c r="AY1633" s="31">
        <f>IF($AU1633="","",INDEX($AW$8:$AW$2007,MATCH($AU1633,$AU$8:$AU$2007,0)))</f>
        <v/>
      </c>
      <c r="AZ1633" s="31">
        <f>IF(OR($AS1633="",$C$6=""),"",TRIM(INDEX($A:$AP,ROW(),$C$6)&amp;""))</f>
        <v/>
      </c>
      <c r="BA1633" s="31">
        <f>IF($AZ1633="","",IF(COUNTIF($AZ$8:$AZ1633,$AZ1633)&gt;1,1,0))</f>
        <v/>
      </c>
    </row>
    <row r="1634">
      <c r="AR1634" s="31">
        <f>IF(OR($A$5="",$B$6="",ROW()&lt;$A$5),"",IF(INDEX($A:$AP,ROW(),$B$6)="","",INDEX($A:$AP,ROW(),$B$6)))</f>
        <v/>
      </c>
      <c r="AS1634" s="32">
        <f>IF($AR1634="","",IF(ISNUMBER($AR1634),IF($AR1634&gt;=10000000,IFERROR(DATE(INT($AR1634/10000),MOD(INT($AR1634/100),100),MOD($AR1634,100)),""),INT($AR1634)),IFERROR(DATE(--LEFT(LEFT(SUBSTITUTE(SUBSTITUTE(SUBSTITUTE(SUBSTITUTE(TRIM($AR1634),"-",""),".",""),"/","")," ",""),8),4),--MID(LEFT(SUBSTITUTE(SUBSTITUTE(SUBSTITUTE(SUBSTITUTE(TRIM($AR1634),"-",""),".",""),"/","")," ",""),8),5,2),--MID(LEFT(SUBSTITUTE(SUBSTITUTE(SUBSTITUTE(SUBSTITUTE(TRIM($AR1634),"-",""),".",""),"/","")," ",""),8),7,2)),"")))</f>
        <v/>
      </c>
      <c r="AT1634" s="33">
        <f>IF($AS1634="","",IF($F$6="",0,IF(ISNUMBER(INDEX($A:$AP,ROW(),$F$6)),INDEX($A:$AP,ROW(),$F$6),IFERROR(--SUBSTITUTE(SUBSTITUTE(TRIM(INDEX($A:$AP,ROW(),$F$6)),",",""),"원",""),0))))</f>
        <v/>
      </c>
      <c r="AU1634" s="31">
        <f>IF($AS1634="","",IF($AX1634&lt;&gt;"",SUBSTITUTE(SUBSTITUTE($AX1634,"-","")," ",""),"N:"&amp;$AV1634))</f>
        <v/>
      </c>
      <c r="AV1634" s="31">
        <f>IF(OR($AS1634="",$E$6=""),"",TRIM(INDEX($A:$AP,ROW(),$E$6)&amp;""))</f>
        <v/>
      </c>
      <c r="AW1634" s="31">
        <f>IF($AU1634="","",IF(MATCH($AU1634,$AU$8:$AU$2007,0)=ROW()-7,MAX($AW$7:$AW1633)+1,""))</f>
        <v/>
      </c>
      <c r="AX1634" s="31">
        <f>IF(OR($AS1634="",$D$6=""),"",TRIM(INDEX($A:$AP,ROW(),$D$6)&amp;""))</f>
        <v/>
      </c>
      <c r="AY1634" s="31">
        <f>IF($AU1634="","",INDEX($AW$8:$AW$2007,MATCH($AU1634,$AU$8:$AU$2007,0)))</f>
        <v/>
      </c>
      <c r="AZ1634" s="31">
        <f>IF(OR($AS1634="",$C$6=""),"",TRIM(INDEX($A:$AP,ROW(),$C$6)&amp;""))</f>
        <v/>
      </c>
      <c r="BA1634" s="31">
        <f>IF($AZ1634="","",IF(COUNTIF($AZ$8:$AZ1634,$AZ1634)&gt;1,1,0))</f>
        <v/>
      </c>
    </row>
    <row r="1635">
      <c r="AR1635" s="31">
        <f>IF(OR($A$5="",$B$6="",ROW()&lt;$A$5),"",IF(INDEX($A:$AP,ROW(),$B$6)="","",INDEX($A:$AP,ROW(),$B$6)))</f>
        <v/>
      </c>
      <c r="AS1635" s="32">
        <f>IF($AR1635="","",IF(ISNUMBER($AR1635),IF($AR1635&gt;=10000000,IFERROR(DATE(INT($AR1635/10000),MOD(INT($AR1635/100),100),MOD($AR1635,100)),""),INT($AR1635)),IFERROR(DATE(--LEFT(LEFT(SUBSTITUTE(SUBSTITUTE(SUBSTITUTE(SUBSTITUTE(TRIM($AR1635),"-",""),".",""),"/","")," ",""),8),4),--MID(LEFT(SUBSTITUTE(SUBSTITUTE(SUBSTITUTE(SUBSTITUTE(TRIM($AR1635),"-",""),".",""),"/","")," ",""),8),5,2),--MID(LEFT(SUBSTITUTE(SUBSTITUTE(SUBSTITUTE(SUBSTITUTE(TRIM($AR1635),"-",""),".",""),"/","")," ",""),8),7,2)),"")))</f>
        <v/>
      </c>
      <c r="AT1635" s="33">
        <f>IF($AS1635="","",IF($F$6="",0,IF(ISNUMBER(INDEX($A:$AP,ROW(),$F$6)),INDEX($A:$AP,ROW(),$F$6),IFERROR(--SUBSTITUTE(SUBSTITUTE(TRIM(INDEX($A:$AP,ROW(),$F$6)),",",""),"원",""),0))))</f>
        <v/>
      </c>
      <c r="AU1635" s="31">
        <f>IF($AS1635="","",IF($AX1635&lt;&gt;"",SUBSTITUTE(SUBSTITUTE($AX1635,"-","")," ",""),"N:"&amp;$AV1635))</f>
        <v/>
      </c>
      <c r="AV1635" s="31">
        <f>IF(OR($AS1635="",$E$6=""),"",TRIM(INDEX($A:$AP,ROW(),$E$6)&amp;""))</f>
        <v/>
      </c>
      <c r="AW1635" s="31">
        <f>IF($AU1635="","",IF(MATCH($AU1635,$AU$8:$AU$2007,0)=ROW()-7,MAX($AW$7:$AW1634)+1,""))</f>
        <v/>
      </c>
      <c r="AX1635" s="31">
        <f>IF(OR($AS1635="",$D$6=""),"",TRIM(INDEX($A:$AP,ROW(),$D$6)&amp;""))</f>
        <v/>
      </c>
      <c r="AY1635" s="31">
        <f>IF($AU1635="","",INDEX($AW$8:$AW$2007,MATCH($AU1635,$AU$8:$AU$2007,0)))</f>
        <v/>
      </c>
      <c r="AZ1635" s="31">
        <f>IF(OR($AS1635="",$C$6=""),"",TRIM(INDEX($A:$AP,ROW(),$C$6)&amp;""))</f>
        <v/>
      </c>
      <c r="BA1635" s="31">
        <f>IF($AZ1635="","",IF(COUNTIF($AZ$8:$AZ1635,$AZ1635)&gt;1,1,0))</f>
        <v/>
      </c>
    </row>
    <row r="1636">
      <c r="AR1636" s="31">
        <f>IF(OR($A$5="",$B$6="",ROW()&lt;$A$5),"",IF(INDEX($A:$AP,ROW(),$B$6)="","",INDEX($A:$AP,ROW(),$B$6)))</f>
        <v/>
      </c>
      <c r="AS1636" s="32">
        <f>IF($AR1636="","",IF(ISNUMBER($AR1636),IF($AR1636&gt;=10000000,IFERROR(DATE(INT($AR1636/10000),MOD(INT($AR1636/100),100),MOD($AR1636,100)),""),INT($AR1636)),IFERROR(DATE(--LEFT(LEFT(SUBSTITUTE(SUBSTITUTE(SUBSTITUTE(SUBSTITUTE(TRIM($AR1636),"-",""),".",""),"/","")," ",""),8),4),--MID(LEFT(SUBSTITUTE(SUBSTITUTE(SUBSTITUTE(SUBSTITUTE(TRIM($AR1636),"-",""),".",""),"/","")," ",""),8),5,2),--MID(LEFT(SUBSTITUTE(SUBSTITUTE(SUBSTITUTE(SUBSTITUTE(TRIM($AR1636),"-",""),".",""),"/","")," ",""),8),7,2)),"")))</f>
        <v/>
      </c>
      <c r="AT1636" s="33">
        <f>IF($AS1636="","",IF($F$6="",0,IF(ISNUMBER(INDEX($A:$AP,ROW(),$F$6)),INDEX($A:$AP,ROW(),$F$6),IFERROR(--SUBSTITUTE(SUBSTITUTE(TRIM(INDEX($A:$AP,ROW(),$F$6)),",",""),"원",""),0))))</f>
        <v/>
      </c>
      <c r="AU1636" s="31">
        <f>IF($AS1636="","",IF($AX1636&lt;&gt;"",SUBSTITUTE(SUBSTITUTE($AX1636,"-","")," ",""),"N:"&amp;$AV1636))</f>
        <v/>
      </c>
      <c r="AV1636" s="31">
        <f>IF(OR($AS1636="",$E$6=""),"",TRIM(INDEX($A:$AP,ROW(),$E$6)&amp;""))</f>
        <v/>
      </c>
      <c r="AW1636" s="31">
        <f>IF($AU1636="","",IF(MATCH($AU1636,$AU$8:$AU$2007,0)=ROW()-7,MAX($AW$7:$AW1635)+1,""))</f>
        <v/>
      </c>
      <c r="AX1636" s="31">
        <f>IF(OR($AS1636="",$D$6=""),"",TRIM(INDEX($A:$AP,ROW(),$D$6)&amp;""))</f>
        <v/>
      </c>
      <c r="AY1636" s="31">
        <f>IF($AU1636="","",INDEX($AW$8:$AW$2007,MATCH($AU1636,$AU$8:$AU$2007,0)))</f>
        <v/>
      </c>
      <c r="AZ1636" s="31">
        <f>IF(OR($AS1636="",$C$6=""),"",TRIM(INDEX($A:$AP,ROW(),$C$6)&amp;""))</f>
        <v/>
      </c>
      <c r="BA1636" s="31">
        <f>IF($AZ1636="","",IF(COUNTIF($AZ$8:$AZ1636,$AZ1636)&gt;1,1,0))</f>
        <v/>
      </c>
    </row>
    <row r="1637">
      <c r="AR1637" s="31">
        <f>IF(OR($A$5="",$B$6="",ROW()&lt;$A$5),"",IF(INDEX($A:$AP,ROW(),$B$6)="","",INDEX($A:$AP,ROW(),$B$6)))</f>
        <v/>
      </c>
      <c r="AS1637" s="32">
        <f>IF($AR1637="","",IF(ISNUMBER($AR1637),IF($AR1637&gt;=10000000,IFERROR(DATE(INT($AR1637/10000),MOD(INT($AR1637/100),100),MOD($AR1637,100)),""),INT($AR1637)),IFERROR(DATE(--LEFT(LEFT(SUBSTITUTE(SUBSTITUTE(SUBSTITUTE(SUBSTITUTE(TRIM($AR1637),"-",""),".",""),"/","")," ",""),8),4),--MID(LEFT(SUBSTITUTE(SUBSTITUTE(SUBSTITUTE(SUBSTITUTE(TRIM($AR1637),"-",""),".",""),"/","")," ",""),8),5,2),--MID(LEFT(SUBSTITUTE(SUBSTITUTE(SUBSTITUTE(SUBSTITUTE(TRIM($AR1637),"-",""),".",""),"/","")," ",""),8),7,2)),"")))</f>
        <v/>
      </c>
      <c r="AT1637" s="33">
        <f>IF($AS1637="","",IF($F$6="",0,IF(ISNUMBER(INDEX($A:$AP,ROW(),$F$6)),INDEX($A:$AP,ROW(),$F$6),IFERROR(--SUBSTITUTE(SUBSTITUTE(TRIM(INDEX($A:$AP,ROW(),$F$6)),",",""),"원",""),0))))</f>
        <v/>
      </c>
      <c r="AU1637" s="31">
        <f>IF($AS1637="","",IF($AX1637&lt;&gt;"",SUBSTITUTE(SUBSTITUTE($AX1637,"-","")," ",""),"N:"&amp;$AV1637))</f>
        <v/>
      </c>
      <c r="AV1637" s="31">
        <f>IF(OR($AS1637="",$E$6=""),"",TRIM(INDEX($A:$AP,ROW(),$E$6)&amp;""))</f>
        <v/>
      </c>
      <c r="AW1637" s="31">
        <f>IF($AU1637="","",IF(MATCH($AU1637,$AU$8:$AU$2007,0)=ROW()-7,MAX($AW$7:$AW1636)+1,""))</f>
        <v/>
      </c>
      <c r="AX1637" s="31">
        <f>IF(OR($AS1637="",$D$6=""),"",TRIM(INDEX($A:$AP,ROW(),$D$6)&amp;""))</f>
        <v/>
      </c>
      <c r="AY1637" s="31">
        <f>IF($AU1637="","",INDEX($AW$8:$AW$2007,MATCH($AU1637,$AU$8:$AU$2007,0)))</f>
        <v/>
      </c>
      <c r="AZ1637" s="31">
        <f>IF(OR($AS1637="",$C$6=""),"",TRIM(INDEX($A:$AP,ROW(),$C$6)&amp;""))</f>
        <v/>
      </c>
      <c r="BA1637" s="31">
        <f>IF($AZ1637="","",IF(COUNTIF($AZ$8:$AZ1637,$AZ1637)&gt;1,1,0))</f>
        <v/>
      </c>
    </row>
    <row r="1638">
      <c r="AR1638" s="31">
        <f>IF(OR($A$5="",$B$6="",ROW()&lt;$A$5),"",IF(INDEX($A:$AP,ROW(),$B$6)="","",INDEX($A:$AP,ROW(),$B$6)))</f>
        <v/>
      </c>
      <c r="AS1638" s="32">
        <f>IF($AR1638="","",IF(ISNUMBER($AR1638),IF($AR1638&gt;=10000000,IFERROR(DATE(INT($AR1638/10000),MOD(INT($AR1638/100),100),MOD($AR1638,100)),""),INT($AR1638)),IFERROR(DATE(--LEFT(LEFT(SUBSTITUTE(SUBSTITUTE(SUBSTITUTE(SUBSTITUTE(TRIM($AR1638),"-",""),".",""),"/","")," ",""),8),4),--MID(LEFT(SUBSTITUTE(SUBSTITUTE(SUBSTITUTE(SUBSTITUTE(TRIM($AR1638),"-",""),".",""),"/","")," ",""),8),5,2),--MID(LEFT(SUBSTITUTE(SUBSTITUTE(SUBSTITUTE(SUBSTITUTE(TRIM($AR1638),"-",""),".",""),"/","")," ",""),8),7,2)),"")))</f>
        <v/>
      </c>
      <c r="AT1638" s="33">
        <f>IF($AS1638="","",IF($F$6="",0,IF(ISNUMBER(INDEX($A:$AP,ROW(),$F$6)),INDEX($A:$AP,ROW(),$F$6),IFERROR(--SUBSTITUTE(SUBSTITUTE(TRIM(INDEX($A:$AP,ROW(),$F$6)),",",""),"원",""),0))))</f>
        <v/>
      </c>
      <c r="AU1638" s="31">
        <f>IF($AS1638="","",IF($AX1638&lt;&gt;"",SUBSTITUTE(SUBSTITUTE($AX1638,"-","")," ",""),"N:"&amp;$AV1638))</f>
        <v/>
      </c>
      <c r="AV1638" s="31">
        <f>IF(OR($AS1638="",$E$6=""),"",TRIM(INDEX($A:$AP,ROW(),$E$6)&amp;""))</f>
        <v/>
      </c>
      <c r="AW1638" s="31">
        <f>IF($AU1638="","",IF(MATCH($AU1638,$AU$8:$AU$2007,0)=ROW()-7,MAX($AW$7:$AW1637)+1,""))</f>
        <v/>
      </c>
      <c r="AX1638" s="31">
        <f>IF(OR($AS1638="",$D$6=""),"",TRIM(INDEX($A:$AP,ROW(),$D$6)&amp;""))</f>
        <v/>
      </c>
      <c r="AY1638" s="31">
        <f>IF($AU1638="","",INDEX($AW$8:$AW$2007,MATCH($AU1638,$AU$8:$AU$2007,0)))</f>
        <v/>
      </c>
      <c r="AZ1638" s="31">
        <f>IF(OR($AS1638="",$C$6=""),"",TRIM(INDEX($A:$AP,ROW(),$C$6)&amp;""))</f>
        <v/>
      </c>
      <c r="BA1638" s="31">
        <f>IF($AZ1638="","",IF(COUNTIF($AZ$8:$AZ1638,$AZ1638)&gt;1,1,0))</f>
        <v/>
      </c>
    </row>
    <row r="1639">
      <c r="AR1639" s="31">
        <f>IF(OR($A$5="",$B$6="",ROW()&lt;$A$5),"",IF(INDEX($A:$AP,ROW(),$B$6)="","",INDEX($A:$AP,ROW(),$B$6)))</f>
        <v/>
      </c>
      <c r="AS1639" s="32">
        <f>IF($AR1639="","",IF(ISNUMBER($AR1639),IF($AR1639&gt;=10000000,IFERROR(DATE(INT($AR1639/10000),MOD(INT($AR1639/100),100),MOD($AR1639,100)),""),INT($AR1639)),IFERROR(DATE(--LEFT(LEFT(SUBSTITUTE(SUBSTITUTE(SUBSTITUTE(SUBSTITUTE(TRIM($AR1639),"-",""),".",""),"/","")," ",""),8),4),--MID(LEFT(SUBSTITUTE(SUBSTITUTE(SUBSTITUTE(SUBSTITUTE(TRIM($AR1639),"-",""),".",""),"/","")," ",""),8),5,2),--MID(LEFT(SUBSTITUTE(SUBSTITUTE(SUBSTITUTE(SUBSTITUTE(TRIM($AR1639),"-",""),".",""),"/","")," ",""),8),7,2)),"")))</f>
        <v/>
      </c>
      <c r="AT1639" s="33">
        <f>IF($AS1639="","",IF($F$6="",0,IF(ISNUMBER(INDEX($A:$AP,ROW(),$F$6)),INDEX($A:$AP,ROW(),$F$6),IFERROR(--SUBSTITUTE(SUBSTITUTE(TRIM(INDEX($A:$AP,ROW(),$F$6)),",",""),"원",""),0))))</f>
        <v/>
      </c>
      <c r="AU1639" s="31">
        <f>IF($AS1639="","",IF($AX1639&lt;&gt;"",SUBSTITUTE(SUBSTITUTE($AX1639,"-","")," ",""),"N:"&amp;$AV1639))</f>
        <v/>
      </c>
      <c r="AV1639" s="31">
        <f>IF(OR($AS1639="",$E$6=""),"",TRIM(INDEX($A:$AP,ROW(),$E$6)&amp;""))</f>
        <v/>
      </c>
      <c r="AW1639" s="31">
        <f>IF($AU1639="","",IF(MATCH($AU1639,$AU$8:$AU$2007,0)=ROW()-7,MAX($AW$7:$AW1638)+1,""))</f>
        <v/>
      </c>
      <c r="AX1639" s="31">
        <f>IF(OR($AS1639="",$D$6=""),"",TRIM(INDEX($A:$AP,ROW(),$D$6)&amp;""))</f>
        <v/>
      </c>
      <c r="AY1639" s="31">
        <f>IF($AU1639="","",INDEX($AW$8:$AW$2007,MATCH($AU1639,$AU$8:$AU$2007,0)))</f>
        <v/>
      </c>
      <c r="AZ1639" s="31">
        <f>IF(OR($AS1639="",$C$6=""),"",TRIM(INDEX($A:$AP,ROW(),$C$6)&amp;""))</f>
        <v/>
      </c>
      <c r="BA1639" s="31">
        <f>IF($AZ1639="","",IF(COUNTIF($AZ$8:$AZ1639,$AZ1639)&gt;1,1,0))</f>
        <v/>
      </c>
    </row>
    <row r="1640">
      <c r="AR1640" s="31">
        <f>IF(OR($A$5="",$B$6="",ROW()&lt;$A$5),"",IF(INDEX($A:$AP,ROW(),$B$6)="","",INDEX($A:$AP,ROW(),$B$6)))</f>
        <v/>
      </c>
      <c r="AS1640" s="32">
        <f>IF($AR1640="","",IF(ISNUMBER($AR1640),IF($AR1640&gt;=10000000,IFERROR(DATE(INT($AR1640/10000),MOD(INT($AR1640/100),100),MOD($AR1640,100)),""),INT($AR1640)),IFERROR(DATE(--LEFT(LEFT(SUBSTITUTE(SUBSTITUTE(SUBSTITUTE(SUBSTITUTE(TRIM($AR1640),"-",""),".",""),"/","")," ",""),8),4),--MID(LEFT(SUBSTITUTE(SUBSTITUTE(SUBSTITUTE(SUBSTITUTE(TRIM($AR1640),"-",""),".",""),"/","")," ",""),8),5,2),--MID(LEFT(SUBSTITUTE(SUBSTITUTE(SUBSTITUTE(SUBSTITUTE(TRIM($AR1640),"-",""),".",""),"/","")," ",""),8),7,2)),"")))</f>
        <v/>
      </c>
      <c r="AT1640" s="33">
        <f>IF($AS1640="","",IF($F$6="",0,IF(ISNUMBER(INDEX($A:$AP,ROW(),$F$6)),INDEX($A:$AP,ROW(),$F$6),IFERROR(--SUBSTITUTE(SUBSTITUTE(TRIM(INDEX($A:$AP,ROW(),$F$6)),",",""),"원",""),0))))</f>
        <v/>
      </c>
      <c r="AU1640" s="31">
        <f>IF($AS1640="","",IF($AX1640&lt;&gt;"",SUBSTITUTE(SUBSTITUTE($AX1640,"-","")," ",""),"N:"&amp;$AV1640))</f>
        <v/>
      </c>
      <c r="AV1640" s="31">
        <f>IF(OR($AS1640="",$E$6=""),"",TRIM(INDEX($A:$AP,ROW(),$E$6)&amp;""))</f>
        <v/>
      </c>
      <c r="AW1640" s="31">
        <f>IF($AU1640="","",IF(MATCH($AU1640,$AU$8:$AU$2007,0)=ROW()-7,MAX($AW$7:$AW1639)+1,""))</f>
        <v/>
      </c>
      <c r="AX1640" s="31">
        <f>IF(OR($AS1640="",$D$6=""),"",TRIM(INDEX($A:$AP,ROW(),$D$6)&amp;""))</f>
        <v/>
      </c>
      <c r="AY1640" s="31">
        <f>IF($AU1640="","",INDEX($AW$8:$AW$2007,MATCH($AU1640,$AU$8:$AU$2007,0)))</f>
        <v/>
      </c>
      <c r="AZ1640" s="31">
        <f>IF(OR($AS1640="",$C$6=""),"",TRIM(INDEX($A:$AP,ROW(),$C$6)&amp;""))</f>
        <v/>
      </c>
      <c r="BA1640" s="31">
        <f>IF($AZ1640="","",IF(COUNTIF($AZ$8:$AZ1640,$AZ1640)&gt;1,1,0))</f>
        <v/>
      </c>
    </row>
    <row r="1641">
      <c r="AR1641" s="31">
        <f>IF(OR($A$5="",$B$6="",ROW()&lt;$A$5),"",IF(INDEX($A:$AP,ROW(),$B$6)="","",INDEX($A:$AP,ROW(),$B$6)))</f>
        <v/>
      </c>
      <c r="AS1641" s="32">
        <f>IF($AR1641="","",IF(ISNUMBER($AR1641),IF($AR1641&gt;=10000000,IFERROR(DATE(INT($AR1641/10000),MOD(INT($AR1641/100),100),MOD($AR1641,100)),""),INT($AR1641)),IFERROR(DATE(--LEFT(LEFT(SUBSTITUTE(SUBSTITUTE(SUBSTITUTE(SUBSTITUTE(TRIM($AR1641),"-",""),".",""),"/","")," ",""),8),4),--MID(LEFT(SUBSTITUTE(SUBSTITUTE(SUBSTITUTE(SUBSTITUTE(TRIM($AR1641),"-",""),".",""),"/","")," ",""),8),5,2),--MID(LEFT(SUBSTITUTE(SUBSTITUTE(SUBSTITUTE(SUBSTITUTE(TRIM($AR1641),"-",""),".",""),"/","")," ",""),8),7,2)),"")))</f>
        <v/>
      </c>
      <c r="AT1641" s="33">
        <f>IF($AS1641="","",IF($F$6="",0,IF(ISNUMBER(INDEX($A:$AP,ROW(),$F$6)),INDEX($A:$AP,ROW(),$F$6),IFERROR(--SUBSTITUTE(SUBSTITUTE(TRIM(INDEX($A:$AP,ROW(),$F$6)),",",""),"원",""),0))))</f>
        <v/>
      </c>
      <c r="AU1641" s="31">
        <f>IF($AS1641="","",IF($AX1641&lt;&gt;"",SUBSTITUTE(SUBSTITUTE($AX1641,"-","")," ",""),"N:"&amp;$AV1641))</f>
        <v/>
      </c>
      <c r="AV1641" s="31">
        <f>IF(OR($AS1641="",$E$6=""),"",TRIM(INDEX($A:$AP,ROW(),$E$6)&amp;""))</f>
        <v/>
      </c>
      <c r="AW1641" s="31">
        <f>IF($AU1641="","",IF(MATCH($AU1641,$AU$8:$AU$2007,0)=ROW()-7,MAX($AW$7:$AW1640)+1,""))</f>
        <v/>
      </c>
      <c r="AX1641" s="31">
        <f>IF(OR($AS1641="",$D$6=""),"",TRIM(INDEX($A:$AP,ROW(),$D$6)&amp;""))</f>
        <v/>
      </c>
      <c r="AY1641" s="31">
        <f>IF($AU1641="","",INDEX($AW$8:$AW$2007,MATCH($AU1641,$AU$8:$AU$2007,0)))</f>
        <v/>
      </c>
      <c r="AZ1641" s="31">
        <f>IF(OR($AS1641="",$C$6=""),"",TRIM(INDEX($A:$AP,ROW(),$C$6)&amp;""))</f>
        <v/>
      </c>
      <c r="BA1641" s="31">
        <f>IF($AZ1641="","",IF(COUNTIF($AZ$8:$AZ1641,$AZ1641)&gt;1,1,0))</f>
        <v/>
      </c>
    </row>
    <row r="1642">
      <c r="AR1642" s="31">
        <f>IF(OR($A$5="",$B$6="",ROW()&lt;$A$5),"",IF(INDEX($A:$AP,ROW(),$B$6)="","",INDEX($A:$AP,ROW(),$B$6)))</f>
        <v/>
      </c>
      <c r="AS1642" s="32">
        <f>IF($AR1642="","",IF(ISNUMBER($AR1642),IF($AR1642&gt;=10000000,IFERROR(DATE(INT($AR1642/10000),MOD(INT($AR1642/100),100),MOD($AR1642,100)),""),INT($AR1642)),IFERROR(DATE(--LEFT(LEFT(SUBSTITUTE(SUBSTITUTE(SUBSTITUTE(SUBSTITUTE(TRIM($AR1642),"-",""),".",""),"/","")," ",""),8),4),--MID(LEFT(SUBSTITUTE(SUBSTITUTE(SUBSTITUTE(SUBSTITUTE(TRIM($AR1642),"-",""),".",""),"/","")," ",""),8),5,2),--MID(LEFT(SUBSTITUTE(SUBSTITUTE(SUBSTITUTE(SUBSTITUTE(TRIM($AR1642),"-",""),".",""),"/","")," ",""),8),7,2)),"")))</f>
        <v/>
      </c>
      <c r="AT1642" s="33">
        <f>IF($AS1642="","",IF($F$6="",0,IF(ISNUMBER(INDEX($A:$AP,ROW(),$F$6)),INDEX($A:$AP,ROW(),$F$6),IFERROR(--SUBSTITUTE(SUBSTITUTE(TRIM(INDEX($A:$AP,ROW(),$F$6)),",",""),"원",""),0))))</f>
        <v/>
      </c>
      <c r="AU1642" s="31">
        <f>IF($AS1642="","",IF($AX1642&lt;&gt;"",SUBSTITUTE(SUBSTITUTE($AX1642,"-","")," ",""),"N:"&amp;$AV1642))</f>
        <v/>
      </c>
      <c r="AV1642" s="31">
        <f>IF(OR($AS1642="",$E$6=""),"",TRIM(INDEX($A:$AP,ROW(),$E$6)&amp;""))</f>
        <v/>
      </c>
      <c r="AW1642" s="31">
        <f>IF($AU1642="","",IF(MATCH($AU1642,$AU$8:$AU$2007,0)=ROW()-7,MAX($AW$7:$AW1641)+1,""))</f>
        <v/>
      </c>
      <c r="AX1642" s="31">
        <f>IF(OR($AS1642="",$D$6=""),"",TRIM(INDEX($A:$AP,ROW(),$D$6)&amp;""))</f>
        <v/>
      </c>
      <c r="AY1642" s="31">
        <f>IF($AU1642="","",INDEX($AW$8:$AW$2007,MATCH($AU1642,$AU$8:$AU$2007,0)))</f>
        <v/>
      </c>
      <c r="AZ1642" s="31">
        <f>IF(OR($AS1642="",$C$6=""),"",TRIM(INDEX($A:$AP,ROW(),$C$6)&amp;""))</f>
        <v/>
      </c>
      <c r="BA1642" s="31">
        <f>IF($AZ1642="","",IF(COUNTIF($AZ$8:$AZ1642,$AZ1642)&gt;1,1,0))</f>
        <v/>
      </c>
    </row>
    <row r="1643">
      <c r="AR1643" s="31">
        <f>IF(OR($A$5="",$B$6="",ROW()&lt;$A$5),"",IF(INDEX($A:$AP,ROW(),$B$6)="","",INDEX($A:$AP,ROW(),$B$6)))</f>
        <v/>
      </c>
      <c r="AS1643" s="32">
        <f>IF($AR1643="","",IF(ISNUMBER($AR1643),IF($AR1643&gt;=10000000,IFERROR(DATE(INT($AR1643/10000),MOD(INT($AR1643/100),100),MOD($AR1643,100)),""),INT($AR1643)),IFERROR(DATE(--LEFT(LEFT(SUBSTITUTE(SUBSTITUTE(SUBSTITUTE(SUBSTITUTE(TRIM($AR1643),"-",""),".",""),"/","")," ",""),8),4),--MID(LEFT(SUBSTITUTE(SUBSTITUTE(SUBSTITUTE(SUBSTITUTE(TRIM($AR1643),"-",""),".",""),"/","")," ",""),8),5,2),--MID(LEFT(SUBSTITUTE(SUBSTITUTE(SUBSTITUTE(SUBSTITUTE(TRIM($AR1643),"-",""),".",""),"/","")," ",""),8),7,2)),"")))</f>
        <v/>
      </c>
      <c r="AT1643" s="33">
        <f>IF($AS1643="","",IF($F$6="",0,IF(ISNUMBER(INDEX($A:$AP,ROW(),$F$6)),INDEX($A:$AP,ROW(),$F$6),IFERROR(--SUBSTITUTE(SUBSTITUTE(TRIM(INDEX($A:$AP,ROW(),$F$6)),",",""),"원",""),0))))</f>
        <v/>
      </c>
      <c r="AU1643" s="31">
        <f>IF($AS1643="","",IF($AX1643&lt;&gt;"",SUBSTITUTE(SUBSTITUTE($AX1643,"-","")," ",""),"N:"&amp;$AV1643))</f>
        <v/>
      </c>
      <c r="AV1643" s="31">
        <f>IF(OR($AS1643="",$E$6=""),"",TRIM(INDEX($A:$AP,ROW(),$E$6)&amp;""))</f>
        <v/>
      </c>
      <c r="AW1643" s="31">
        <f>IF($AU1643="","",IF(MATCH($AU1643,$AU$8:$AU$2007,0)=ROW()-7,MAX($AW$7:$AW1642)+1,""))</f>
        <v/>
      </c>
      <c r="AX1643" s="31">
        <f>IF(OR($AS1643="",$D$6=""),"",TRIM(INDEX($A:$AP,ROW(),$D$6)&amp;""))</f>
        <v/>
      </c>
      <c r="AY1643" s="31">
        <f>IF($AU1643="","",INDEX($AW$8:$AW$2007,MATCH($AU1643,$AU$8:$AU$2007,0)))</f>
        <v/>
      </c>
      <c r="AZ1643" s="31">
        <f>IF(OR($AS1643="",$C$6=""),"",TRIM(INDEX($A:$AP,ROW(),$C$6)&amp;""))</f>
        <v/>
      </c>
      <c r="BA1643" s="31">
        <f>IF($AZ1643="","",IF(COUNTIF($AZ$8:$AZ1643,$AZ1643)&gt;1,1,0))</f>
        <v/>
      </c>
    </row>
    <row r="1644">
      <c r="AR1644" s="31">
        <f>IF(OR($A$5="",$B$6="",ROW()&lt;$A$5),"",IF(INDEX($A:$AP,ROW(),$B$6)="","",INDEX($A:$AP,ROW(),$B$6)))</f>
        <v/>
      </c>
      <c r="AS1644" s="32">
        <f>IF($AR1644="","",IF(ISNUMBER($AR1644),IF($AR1644&gt;=10000000,IFERROR(DATE(INT($AR1644/10000),MOD(INT($AR1644/100),100),MOD($AR1644,100)),""),INT($AR1644)),IFERROR(DATE(--LEFT(LEFT(SUBSTITUTE(SUBSTITUTE(SUBSTITUTE(SUBSTITUTE(TRIM($AR1644),"-",""),".",""),"/","")," ",""),8),4),--MID(LEFT(SUBSTITUTE(SUBSTITUTE(SUBSTITUTE(SUBSTITUTE(TRIM($AR1644),"-",""),".",""),"/","")," ",""),8),5,2),--MID(LEFT(SUBSTITUTE(SUBSTITUTE(SUBSTITUTE(SUBSTITUTE(TRIM($AR1644),"-",""),".",""),"/","")," ",""),8),7,2)),"")))</f>
        <v/>
      </c>
      <c r="AT1644" s="33">
        <f>IF($AS1644="","",IF($F$6="",0,IF(ISNUMBER(INDEX($A:$AP,ROW(),$F$6)),INDEX($A:$AP,ROW(),$F$6),IFERROR(--SUBSTITUTE(SUBSTITUTE(TRIM(INDEX($A:$AP,ROW(),$F$6)),",",""),"원",""),0))))</f>
        <v/>
      </c>
      <c r="AU1644" s="31">
        <f>IF($AS1644="","",IF($AX1644&lt;&gt;"",SUBSTITUTE(SUBSTITUTE($AX1644,"-","")," ",""),"N:"&amp;$AV1644))</f>
        <v/>
      </c>
      <c r="AV1644" s="31">
        <f>IF(OR($AS1644="",$E$6=""),"",TRIM(INDEX($A:$AP,ROW(),$E$6)&amp;""))</f>
        <v/>
      </c>
      <c r="AW1644" s="31">
        <f>IF($AU1644="","",IF(MATCH($AU1644,$AU$8:$AU$2007,0)=ROW()-7,MAX($AW$7:$AW1643)+1,""))</f>
        <v/>
      </c>
      <c r="AX1644" s="31">
        <f>IF(OR($AS1644="",$D$6=""),"",TRIM(INDEX($A:$AP,ROW(),$D$6)&amp;""))</f>
        <v/>
      </c>
      <c r="AY1644" s="31">
        <f>IF($AU1644="","",INDEX($AW$8:$AW$2007,MATCH($AU1644,$AU$8:$AU$2007,0)))</f>
        <v/>
      </c>
      <c r="AZ1644" s="31">
        <f>IF(OR($AS1644="",$C$6=""),"",TRIM(INDEX($A:$AP,ROW(),$C$6)&amp;""))</f>
        <v/>
      </c>
      <c r="BA1644" s="31">
        <f>IF($AZ1644="","",IF(COUNTIF($AZ$8:$AZ1644,$AZ1644)&gt;1,1,0))</f>
        <v/>
      </c>
    </row>
    <row r="1645">
      <c r="AR1645" s="31">
        <f>IF(OR($A$5="",$B$6="",ROW()&lt;$A$5),"",IF(INDEX($A:$AP,ROW(),$B$6)="","",INDEX($A:$AP,ROW(),$B$6)))</f>
        <v/>
      </c>
      <c r="AS1645" s="32">
        <f>IF($AR1645="","",IF(ISNUMBER($AR1645),IF($AR1645&gt;=10000000,IFERROR(DATE(INT($AR1645/10000),MOD(INT($AR1645/100),100),MOD($AR1645,100)),""),INT($AR1645)),IFERROR(DATE(--LEFT(LEFT(SUBSTITUTE(SUBSTITUTE(SUBSTITUTE(SUBSTITUTE(TRIM($AR1645),"-",""),".",""),"/","")," ",""),8),4),--MID(LEFT(SUBSTITUTE(SUBSTITUTE(SUBSTITUTE(SUBSTITUTE(TRIM($AR1645),"-",""),".",""),"/","")," ",""),8),5,2),--MID(LEFT(SUBSTITUTE(SUBSTITUTE(SUBSTITUTE(SUBSTITUTE(TRIM($AR1645),"-",""),".",""),"/","")," ",""),8),7,2)),"")))</f>
        <v/>
      </c>
      <c r="AT1645" s="33">
        <f>IF($AS1645="","",IF($F$6="",0,IF(ISNUMBER(INDEX($A:$AP,ROW(),$F$6)),INDEX($A:$AP,ROW(),$F$6),IFERROR(--SUBSTITUTE(SUBSTITUTE(TRIM(INDEX($A:$AP,ROW(),$F$6)),",",""),"원",""),0))))</f>
        <v/>
      </c>
      <c r="AU1645" s="31">
        <f>IF($AS1645="","",IF($AX1645&lt;&gt;"",SUBSTITUTE(SUBSTITUTE($AX1645,"-","")," ",""),"N:"&amp;$AV1645))</f>
        <v/>
      </c>
      <c r="AV1645" s="31">
        <f>IF(OR($AS1645="",$E$6=""),"",TRIM(INDEX($A:$AP,ROW(),$E$6)&amp;""))</f>
        <v/>
      </c>
      <c r="AW1645" s="31">
        <f>IF($AU1645="","",IF(MATCH($AU1645,$AU$8:$AU$2007,0)=ROW()-7,MAX($AW$7:$AW1644)+1,""))</f>
        <v/>
      </c>
      <c r="AX1645" s="31">
        <f>IF(OR($AS1645="",$D$6=""),"",TRIM(INDEX($A:$AP,ROW(),$D$6)&amp;""))</f>
        <v/>
      </c>
      <c r="AY1645" s="31">
        <f>IF($AU1645="","",INDEX($AW$8:$AW$2007,MATCH($AU1645,$AU$8:$AU$2007,0)))</f>
        <v/>
      </c>
      <c r="AZ1645" s="31">
        <f>IF(OR($AS1645="",$C$6=""),"",TRIM(INDEX($A:$AP,ROW(),$C$6)&amp;""))</f>
        <v/>
      </c>
      <c r="BA1645" s="31">
        <f>IF($AZ1645="","",IF(COUNTIF($AZ$8:$AZ1645,$AZ1645)&gt;1,1,0))</f>
        <v/>
      </c>
    </row>
    <row r="1646">
      <c r="AR1646" s="31">
        <f>IF(OR($A$5="",$B$6="",ROW()&lt;$A$5),"",IF(INDEX($A:$AP,ROW(),$B$6)="","",INDEX($A:$AP,ROW(),$B$6)))</f>
        <v/>
      </c>
      <c r="AS1646" s="32">
        <f>IF($AR1646="","",IF(ISNUMBER($AR1646),IF($AR1646&gt;=10000000,IFERROR(DATE(INT($AR1646/10000),MOD(INT($AR1646/100),100),MOD($AR1646,100)),""),INT($AR1646)),IFERROR(DATE(--LEFT(LEFT(SUBSTITUTE(SUBSTITUTE(SUBSTITUTE(SUBSTITUTE(TRIM($AR1646),"-",""),".",""),"/","")," ",""),8),4),--MID(LEFT(SUBSTITUTE(SUBSTITUTE(SUBSTITUTE(SUBSTITUTE(TRIM($AR1646),"-",""),".",""),"/","")," ",""),8),5,2),--MID(LEFT(SUBSTITUTE(SUBSTITUTE(SUBSTITUTE(SUBSTITUTE(TRIM($AR1646),"-",""),".",""),"/","")," ",""),8),7,2)),"")))</f>
        <v/>
      </c>
      <c r="AT1646" s="33">
        <f>IF($AS1646="","",IF($F$6="",0,IF(ISNUMBER(INDEX($A:$AP,ROW(),$F$6)),INDEX($A:$AP,ROW(),$F$6),IFERROR(--SUBSTITUTE(SUBSTITUTE(TRIM(INDEX($A:$AP,ROW(),$F$6)),",",""),"원",""),0))))</f>
        <v/>
      </c>
      <c r="AU1646" s="31">
        <f>IF($AS1646="","",IF($AX1646&lt;&gt;"",SUBSTITUTE(SUBSTITUTE($AX1646,"-","")," ",""),"N:"&amp;$AV1646))</f>
        <v/>
      </c>
      <c r="AV1646" s="31">
        <f>IF(OR($AS1646="",$E$6=""),"",TRIM(INDEX($A:$AP,ROW(),$E$6)&amp;""))</f>
        <v/>
      </c>
      <c r="AW1646" s="31">
        <f>IF($AU1646="","",IF(MATCH($AU1646,$AU$8:$AU$2007,0)=ROW()-7,MAX($AW$7:$AW1645)+1,""))</f>
        <v/>
      </c>
      <c r="AX1646" s="31">
        <f>IF(OR($AS1646="",$D$6=""),"",TRIM(INDEX($A:$AP,ROW(),$D$6)&amp;""))</f>
        <v/>
      </c>
      <c r="AY1646" s="31">
        <f>IF($AU1646="","",INDEX($AW$8:$AW$2007,MATCH($AU1646,$AU$8:$AU$2007,0)))</f>
        <v/>
      </c>
      <c r="AZ1646" s="31">
        <f>IF(OR($AS1646="",$C$6=""),"",TRIM(INDEX($A:$AP,ROW(),$C$6)&amp;""))</f>
        <v/>
      </c>
      <c r="BA1646" s="31">
        <f>IF($AZ1646="","",IF(COUNTIF($AZ$8:$AZ1646,$AZ1646)&gt;1,1,0))</f>
        <v/>
      </c>
    </row>
    <row r="1647">
      <c r="AR1647" s="31">
        <f>IF(OR($A$5="",$B$6="",ROW()&lt;$A$5),"",IF(INDEX($A:$AP,ROW(),$B$6)="","",INDEX($A:$AP,ROW(),$B$6)))</f>
        <v/>
      </c>
      <c r="AS1647" s="32">
        <f>IF($AR1647="","",IF(ISNUMBER($AR1647),IF($AR1647&gt;=10000000,IFERROR(DATE(INT($AR1647/10000),MOD(INT($AR1647/100),100),MOD($AR1647,100)),""),INT($AR1647)),IFERROR(DATE(--LEFT(LEFT(SUBSTITUTE(SUBSTITUTE(SUBSTITUTE(SUBSTITUTE(TRIM($AR1647),"-",""),".",""),"/","")," ",""),8),4),--MID(LEFT(SUBSTITUTE(SUBSTITUTE(SUBSTITUTE(SUBSTITUTE(TRIM($AR1647),"-",""),".",""),"/","")," ",""),8),5,2),--MID(LEFT(SUBSTITUTE(SUBSTITUTE(SUBSTITUTE(SUBSTITUTE(TRIM($AR1647),"-",""),".",""),"/","")," ",""),8),7,2)),"")))</f>
        <v/>
      </c>
      <c r="AT1647" s="33">
        <f>IF($AS1647="","",IF($F$6="",0,IF(ISNUMBER(INDEX($A:$AP,ROW(),$F$6)),INDEX($A:$AP,ROW(),$F$6),IFERROR(--SUBSTITUTE(SUBSTITUTE(TRIM(INDEX($A:$AP,ROW(),$F$6)),",",""),"원",""),0))))</f>
        <v/>
      </c>
      <c r="AU1647" s="31">
        <f>IF($AS1647="","",IF($AX1647&lt;&gt;"",SUBSTITUTE(SUBSTITUTE($AX1647,"-","")," ",""),"N:"&amp;$AV1647))</f>
        <v/>
      </c>
      <c r="AV1647" s="31">
        <f>IF(OR($AS1647="",$E$6=""),"",TRIM(INDEX($A:$AP,ROW(),$E$6)&amp;""))</f>
        <v/>
      </c>
      <c r="AW1647" s="31">
        <f>IF($AU1647="","",IF(MATCH($AU1647,$AU$8:$AU$2007,0)=ROW()-7,MAX($AW$7:$AW1646)+1,""))</f>
        <v/>
      </c>
      <c r="AX1647" s="31">
        <f>IF(OR($AS1647="",$D$6=""),"",TRIM(INDEX($A:$AP,ROW(),$D$6)&amp;""))</f>
        <v/>
      </c>
      <c r="AY1647" s="31">
        <f>IF($AU1647="","",INDEX($AW$8:$AW$2007,MATCH($AU1647,$AU$8:$AU$2007,0)))</f>
        <v/>
      </c>
      <c r="AZ1647" s="31">
        <f>IF(OR($AS1647="",$C$6=""),"",TRIM(INDEX($A:$AP,ROW(),$C$6)&amp;""))</f>
        <v/>
      </c>
      <c r="BA1647" s="31">
        <f>IF($AZ1647="","",IF(COUNTIF($AZ$8:$AZ1647,$AZ1647)&gt;1,1,0))</f>
        <v/>
      </c>
    </row>
    <row r="1648">
      <c r="AR1648" s="31">
        <f>IF(OR($A$5="",$B$6="",ROW()&lt;$A$5),"",IF(INDEX($A:$AP,ROW(),$B$6)="","",INDEX($A:$AP,ROW(),$B$6)))</f>
        <v/>
      </c>
      <c r="AS1648" s="32">
        <f>IF($AR1648="","",IF(ISNUMBER($AR1648),IF($AR1648&gt;=10000000,IFERROR(DATE(INT($AR1648/10000),MOD(INT($AR1648/100),100),MOD($AR1648,100)),""),INT($AR1648)),IFERROR(DATE(--LEFT(LEFT(SUBSTITUTE(SUBSTITUTE(SUBSTITUTE(SUBSTITUTE(TRIM($AR1648),"-",""),".",""),"/","")," ",""),8),4),--MID(LEFT(SUBSTITUTE(SUBSTITUTE(SUBSTITUTE(SUBSTITUTE(TRIM($AR1648),"-",""),".",""),"/","")," ",""),8),5,2),--MID(LEFT(SUBSTITUTE(SUBSTITUTE(SUBSTITUTE(SUBSTITUTE(TRIM($AR1648),"-",""),".",""),"/","")," ",""),8),7,2)),"")))</f>
        <v/>
      </c>
      <c r="AT1648" s="33">
        <f>IF($AS1648="","",IF($F$6="",0,IF(ISNUMBER(INDEX($A:$AP,ROW(),$F$6)),INDEX($A:$AP,ROW(),$F$6),IFERROR(--SUBSTITUTE(SUBSTITUTE(TRIM(INDEX($A:$AP,ROW(),$F$6)),",",""),"원",""),0))))</f>
        <v/>
      </c>
      <c r="AU1648" s="31">
        <f>IF($AS1648="","",IF($AX1648&lt;&gt;"",SUBSTITUTE(SUBSTITUTE($AX1648,"-","")," ",""),"N:"&amp;$AV1648))</f>
        <v/>
      </c>
      <c r="AV1648" s="31">
        <f>IF(OR($AS1648="",$E$6=""),"",TRIM(INDEX($A:$AP,ROW(),$E$6)&amp;""))</f>
        <v/>
      </c>
      <c r="AW1648" s="31">
        <f>IF($AU1648="","",IF(MATCH($AU1648,$AU$8:$AU$2007,0)=ROW()-7,MAX($AW$7:$AW1647)+1,""))</f>
        <v/>
      </c>
      <c r="AX1648" s="31">
        <f>IF(OR($AS1648="",$D$6=""),"",TRIM(INDEX($A:$AP,ROW(),$D$6)&amp;""))</f>
        <v/>
      </c>
      <c r="AY1648" s="31">
        <f>IF($AU1648="","",INDEX($AW$8:$AW$2007,MATCH($AU1648,$AU$8:$AU$2007,0)))</f>
        <v/>
      </c>
      <c r="AZ1648" s="31">
        <f>IF(OR($AS1648="",$C$6=""),"",TRIM(INDEX($A:$AP,ROW(),$C$6)&amp;""))</f>
        <v/>
      </c>
      <c r="BA1648" s="31">
        <f>IF($AZ1648="","",IF(COUNTIF($AZ$8:$AZ1648,$AZ1648)&gt;1,1,0))</f>
        <v/>
      </c>
    </row>
    <row r="1649">
      <c r="AR1649" s="31">
        <f>IF(OR($A$5="",$B$6="",ROW()&lt;$A$5),"",IF(INDEX($A:$AP,ROW(),$B$6)="","",INDEX($A:$AP,ROW(),$B$6)))</f>
        <v/>
      </c>
      <c r="AS1649" s="32">
        <f>IF($AR1649="","",IF(ISNUMBER($AR1649),IF($AR1649&gt;=10000000,IFERROR(DATE(INT($AR1649/10000),MOD(INT($AR1649/100),100),MOD($AR1649,100)),""),INT($AR1649)),IFERROR(DATE(--LEFT(LEFT(SUBSTITUTE(SUBSTITUTE(SUBSTITUTE(SUBSTITUTE(TRIM($AR1649),"-",""),".",""),"/","")," ",""),8),4),--MID(LEFT(SUBSTITUTE(SUBSTITUTE(SUBSTITUTE(SUBSTITUTE(TRIM($AR1649),"-",""),".",""),"/","")," ",""),8),5,2),--MID(LEFT(SUBSTITUTE(SUBSTITUTE(SUBSTITUTE(SUBSTITUTE(TRIM($AR1649),"-",""),".",""),"/","")," ",""),8),7,2)),"")))</f>
        <v/>
      </c>
      <c r="AT1649" s="33">
        <f>IF($AS1649="","",IF($F$6="",0,IF(ISNUMBER(INDEX($A:$AP,ROW(),$F$6)),INDEX($A:$AP,ROW(),$F$6),IFERROR(--SUBSTITUTE(SUBSTITUTE(TRIM(INDEX($A:$AP,ROW(),$F$6)),",",""),"원",""),0))))</f>
        <v/>
      </c>
      <c r="AU1649" s="31">
        <f>IF($AS1649="","",IF($AX1649&lt;&gt;"",SUBSTITUTE(SUBSTITUTE($AX1649,"-","")," ",""),"N:"&amp;$AV1649))</f>
        <v/>
      </c>
      <c r="AV1649" s="31">
        <f>IF(OR($AS1649="",$E$6=""),"",TRIM(INDEX($A:$AP,ROW(),$E$6)&amp;""))</f>
        <v/>
      </c>
      <c r="AW1649" s="31">
        <f>IF($AU1649="","",IF(MATCH($AU1649,$AU$8:$AU$2007,0)=ROW()-7,MAX($AW$7:$AW1648)+1,""))</f>
        <v/>
      </c>
      <c r="AX1649" s="31">
        <f>IF(OR($AS1649="",$D$6=""),"",TRIM(INDEX($A:$AP,ROW(),$D$6)&amp;""))</f>
        <v/>
      </c>
      <c r="AY1649" s="31">
        <f>IF($AU1649="","",INDEX($AW$8:$AW$2007,MATCH($AU1649,$AU$8:$AU$2007,0)))</f>
        <v/>
      </c>
      <c r="AZ1649" s="31">
        <f>IF(OR($AS1649="",$C$6=""),"",TRIM(INDEX($A:$AP,ROW(),$C$6)&amp;""))</f>
        <v/>
      </c>
      <c r="BA1649" s="31">
        <f>IF($AZ1649="","",IF(COUNTIF($AZ$8:$AZ1649,$AZ1649)&gt;1,1,0))</f>
        <v/>
      </c>
    </row>
    <row r="1650">
      <c r="AR1650" s="31">
        <f>IF(OR($A$5="",$B$6="",ROW()&lt;$A$5),"",IF(INDEX($A:$AP,ROW(),$B$6)="","",INDEX($A:$AP,ROW(),$B$6)))</f>
        <v/>
      </c>
      <c r="AS1650" s="32">
        <f>IF($AR1650="","",IF(ISNUMBER($AR1650),IF($AR1650&gt;=10000000,IFERROR(DATE(INT($AR1650/10000),MOD(INT($AR1650/100),100),MOD($AR1650,100)),""),INT($AR1650)),IFERROR(DATE(--LEFT(LEFT(SUBSTITUTE(SUBSTITUTE(SUBSTITUTE(SUBSTITUTE(TRIM($AR1650),"-",""),".",""),"/","")," ",""),8),4),--MID(LEFT(SUBSTITUTE(SUBSTITUTE(SUBSTITUTE(SUBSTITUTE(TRIM($AR1650),"-",""),".",""),"/","")," ",""),8),5,2),--MID(LEFT(SUBSTITUTE(SUBSTITUTE(SUBSTITUTE(SUBSTITUTE(TRIM($AR1650),"-",""),".",""),"/","")," ",""),8),7,2)),"")))</f>
        <v/>
      </c>
      <c r="AT1650" s="33">
        <f>IF($AS1650="","",IF($F$6="",0,IF(ISNUMBER(INDEX($A:$AP,ROW(),$F$6)),INDEX($A:$AP,ROW(),$F$6),IFERROR(--SUBSTITUTE(SUBSTITUTE(TRIM(INDEX($A:$AP,ROW(),$F$6)),",",""),"원",""),0))))</f>
        <v/>
      </c>
      <c r="AU1650" s="31">
        <f>IF($AS1650="","",IF($AX1650&lt;&gt;"",SUBSTITUTE(SUBSTITUTE($AX1650,"-","")," ",""),"N:"&amp;$AV1650))</f>
        <v/>
      </c>
      <c r="AV1650" s="31">
        <f>IF(OR($AS1650="",$E$6=""),"",TRIM(INDEX($A:$AP,ROW(),$E$6)&amp;""))</f>
        <v/>
      </c>
      <c r="AW1650" s="31">
        <f>IF($AU1650="","",IF(MATCH($AU1650,$AU$8:$AU$2007,0)=ROW()-7,MAX($AW$7:$AW1649)+1,""))</f>
        <v/>
      </c>
      <c r="AX1650" s="31">
        <f>IF(OR($AS1650="",$D$6=""),"",TRIM(INDEX($A:$AP,ROW(),$D$6)&amp;""))</f>
        <v/>
      </c>
      <c r="AY1650" s="31">
        <f>IF($AU1650="","",INDEX($AW$8:$AW$2007,MATCH($AU1650,$AU$8:$AU$2007,0)))</f>
        <v/>
      </c>
      <c r="AZ1650" s="31">
        <f>IF(OR($AS1650="",$C$6=""),"",TRIM(INDEX($A:$AP,ROW(),$C$6)&amp;""))</f>
        <v/>
      </c>
      <c r="BA1650" s="31">
        <f>IF($AZ1650="","",IF(COUNTIF($AZ$8:$AZ1650,$AZ1650)&gt;1,1,0))</f>
        <v/>
      </c>
    </row>
    <row r="1651">
      <c r="AR1651" s="31">
        <f>IF(OR($A$5="",$B$6="",ROW()&lt;$A$5),"",IF(INDEX($A:$AP,ROW(),$B$6)="","",INDEX($A:$AP,ROW(),$B$6)))</f>
        <v/>
      </c>
      <c r="AS1651" s="32">
        <f>IF($AR1651="","",IF(ISNUMBER($AR1651),IF($AR1651&gt;=10000000,IFERROR(DATE(INT($AR1651/10000),MOD(INT($AR1651/100),100),MOD($AR1651,100)),""),INT($AR1651)),IFERROR(DATE(--LEFT(LEFT(SUBSTITUTE(SUBSTITUTE(SUBSTITUTE(SUBSTITUTE(TRIM($AR1651),"-",""),".",""),"/","")," ",""),8),4),--MID(LEFT(SUBSTITUTE(SUBSTITUTE(SUBSTITUTE(SUBSTITUTE(TRIM($AR1651),"-",""),".",""),"/","")," ",""),8),5,2),--MID(LEFT(SUBSTITUTE(SUBSTITUTE(SUBSTITUTE(SUBSTITUTE(TRIM($AR1651),"-",""),".",""),"/","")," ",""),8),7,2)),"")))</f>
        <v/>
      </c>
      <c r="AT1651" s="33">
        <f>IF($AS1651="","",IF($F$6="",0,IF(ISNUMBER(INDEX($A:$AP,ROW(),$F$6)),INDEX($A:$AP,ROW(),$F$6),IFERROR(--SUBSTITUTE(SUBSTITUTE(TRIM(INDEX($A:$AP,ROW(),$F$6)),",",""),"원",""),0))))</f>
        <v/>
      </c>
      <c r="AU1651" s="31">
        <f>IF($AS1651="","",IF($AX1651&lt;&gt;"",SUBSTITUTE(SUBSTITUTE($AX1651,"-","")," ",""),"N:"&amp;$AV1651))</f>
        <v/>
      </c>
      <c r="AV1651" s="31">
        <f>IF(OR($AS1651="",$E$6=""),"",TRIM(INDEX($A:$AP,ROW(),$E$6)&amp;""))</f>
        <v/>
      </c>
      <c r="AW1651" s="31">
        <f>IF($AU1651="","",IF(MATCH($AU1651,$AU$8:$AU$2007,0)=ROW()-7,MAX($AW$7:$AW1650)+1,""))</f>
        <v/>
      </c>
      <c r="AX1651" s="31">
        <f>IF(OR($AS1651="",$D$6=""),"",TRIM(INDEX($A:$AP,ROW(),$D$6)&amp;""))</f>
        <v/>
      </c>
      <c r="AY1651" s="31">
        <f>IF($AU1651="","",INDEX($AW$8:$AW$2007,MATCH($AU1651,$AU$8:$AU$2007,0)))</f>
        <v/>
      </c>
      <c r="AZ1651" s="31">
        <f>IF(OR($AS1651="",$C$6=""),"",TRIM(INDEX($A:$AP,ROW(),$C$6)&amp;""))</f>
        <v/>
      </c>
      <c r="BA1651" s="31">
        <f>IF($AZ1651="","",IF(COUNTIF($AZ$8:$AZ1651,$AZ1651)&gt;1,1,0))</f>
        <v/>
      </c>
    </row>
    <row r="1652">
      <c r="AR1652" s="31">
        <f>IF(OR($A$5="",$B$6="",ROW()&lt;$A$5),"",IF(INDEX($A:$AP,ROW(),$B$6)="","",INDEX($A:$AP,ROW(),$B$6)))</f>
        <v/>
      </c>
      <c r="AS1652" s="32">
        <f>IF($AR1652="","",IF(ISNUMBER($AR1652),IF($AR1652&gt;=10000000,IFERROR(DATE(INT($AR1652/10000),MOD(INT($AR1652/100),100),MOD($AR1652,100)),""),INT($AR1652)),IFERROR(DATE(--LEFT(LEFT(SUBSTITUTE(SUBSTITUTE(SUBSTITUTE(SUBSTITUTE(TRIM($AR1652),"-",""),".",""),"/","")," ",""),8),4),--MID(LEFT(SUBSTITUTE(SUBSTITUTE(SUBSTITUTE(SUBSTITUTE(TRIM($AR1652),"-",""),".",""),"/","")," ",""),8),5,2),--MID(LEFT(SUBSTITUTE(SUBSTITUTE(SUBSTITUTE(SUBSTITUTE(TRIM($AR1652),"-",""),".",""),"/","")," ",""),8),7,2)),"")))</f>
        <v/>
      </c>
      <c r="AT1652" s="33">
        <f>IF($AS1652="","",IF($F$6="",0,IF(ISNUMBER(INDEX($A:$AP,ROW(),$F$6)),INDEX($A:$AP,ROW(),$F$6),IFERROR(--SUBSTITUTE(SUBSTITUTE(TRIM(INDEX($A:$AP,ROW(),$F$6)),",",""),"원",""),0))))</f>
        <v/>
      </c>
      <c r="AU1652" s="31">
        <f>IF($AS1652="","",IF($AX1652&lt;&gt;"",SUBSTITUTE(SUBSTITUTE($AX1652,"-","")," ",""),"N:"&amp;$AV1652))</f>
        <v/>
      </c>
      <c r="AV1652" s="31">
        <f>IF(OR($AS1652="",$E$6=""),"",TRIM(INDEX($A:$AP,ROW(),$E$6)&amp;""))</f>
        <v/>
      </c>
      <c r="AW1652" s="31">
        <f>IF($AU1652="","",IF(MATCH($AU1652,$AU$8:$AU$2007,0)=ROW()-7,MAX($AW$7:$AW1651)+1,""))</f>
        <v/>
      </c>
      <c r="AX1652" s="31">
        <f>IF(OR($AS1652="",$D$6=""),"",TRIM(INDEX($A:$AP,ROW(),$D$6)&amp;""))</f>
        <v/>
      </c>
      <c r="AY1652" s="31">
        <f>IF($AU1652="","",INDEX($AW$8:$AW$2007,MATCH($AU1652,$AU$8:$AU$2007,0)))</f>
        <v/>
      </c>
      <c r="AZ1652" s="31">
        <f>IF(OR($AS1652="",$C$6=""),"",TRIM(INDEX($A:$AP,ROW(),$C$6)&amp;""))</f>
        <v/>
      </c>
      <c r="BA1652" s="31">
        <f>IF($AZ1652="","",IF(COUNTIF($AZ$8:$AZ1652,$AZ1652)&gt;1,1,0))</f>
        <v/>
      </c>
    </row>
    <row r="1653">
      <c r="AR1653" s="31">
        <f>IF(OR($A$5="",$B$6="",ROW()&lt;$A$5),"",IF(INDEX($A:$AP,ROW(),$B$6)="","",INDEX($A:$AP,ROW(),$B$6)))</f>
        <v/>
      </c>
      <c r="AS1653" s="32">
        <f>IF($AR1653="","",IF(ISNUMBER($AR1653),IF($AR1653&gt;=10000000,IFERROR(DATE(INT($AR1653/10000),MOD(INT($AR1653/100),100),MOD($AR1653,100)),""),INT($AR1653)),IFERROR(DATE(--LEFT(LEFT(SUBSTITUTE(SUBSTITUTE(SUBSTITUTE(SUBSTITUTE(TRIM($AR1653),"-",""),".",""),"/","")," ",""),8),4),--MID(LEFT(SUBSTITUTE(SUBSTITUTE(SUBSTITUTE(SUBSTITUTE(TRIM($AR1653),"-",""),".",""),"/","")," ",""),8),5,2),--MID(LEFT(SUBSTITUTE(SUBSTITUTE(SUBSTITUTE(SUBSTITUTE(TRIM($AR1653),"-",""),".",""),"/","")," ",""),8),7,2)),"")))</f>
        <v/>
      </c>
      <c r="AT1653" s="33">
        <f>IF($AS1653="","",IF($F$6="",0,IF(ISNUMBER(INDEX($A:$AP,ROW(),$F$6)),INDEX($A:$AP,ROW(),$F$6),IFERROR(--SUBSTITUTE(SUBSTITUTE(TRIM(INDEX($A:$AP,ROW(),$F$6)),",",""),"원",""),0))))</f>
        <v/>
      </c>
      <c r="AU1653" s="31">
        <f>IF($AS1653="","",IF($AX1653&lt;&gt;"",SUBSTITUTE(SUBSTITUTE($AX1653,"-","")," ",""),"N:"&amp;$AV1653))</f>
        <v/>
      </c>
      <c r="AV1653" s="31">
        <f>IF(OR($AS1653="",$E$6=""),"",TRIM(INDEX($A:$AP,ROW(),$E$6)&amp;""))</f>
        <v/>
      </c>
      <c r="AW1653" s="31">
        <f>IF($AU1653="","",IF(MATCH($AU1653,$AU$8:$AU$2007,0)=ROW()-7,MAX($AW$7:$AW1652)+1,""))</f>
        <v/>
      </c>
      <c r="AX1653" s="31">
        <f>IF(OR($AS1653="",$D$6=""),"",TRIM(INDEX($A:$AP,ROW(),$D$6)&amp;""))</f>
        <v/>
      </c>
      <c r="AY1653" s="31">
        <f>IF($AU1653="","",INDEX($AW$8:$AW$2007,MATCH($AU1653,$AU$8:$AU$2007,0)))</f>
        <v/>
      </c>
      <c r="AZ1653" s="31">
        <f>IF(OR($AS1653="",$C$6=""),"",TRIM(INDEX($A:$AP,ROW(),$C$6)&amp;""))</f>
        <v/>
      </c>
      <c r="BA1653" s="31">
        <f>IF($AZ1653="","",IF(COUNTIF($AZ$8:$AZ1653,$AZ1653)&gt;1,1,0))</f>
        <v/>
      </c>
    </row>
    <row r="1654">
      <c r="AR1654" s="31">
        <f>IF(OR($A$5="",$B$6="",ROW()&lt;$A$5),"",IF(INDEX($A:$AP,ROW(),$B$6)="","",INDEX($A:$AP,ROW(),$B$6)))</f>
        <v/>
      </c>
      <c r="AS1654" s="32">
        <f>IF($AR1654="","",IF(ISNUMBER($AR1654),IF($AR1654&gt;=10000000,IFERROR(DATE(INT($AR1654/10000),MOD(INT($AR1654/100),100),MOD($AR1654,100)),""),INT($AR1654)),IFERROR(DATE(--LEFT(LEFT(SUBSTITUTE(SUBSTITUTE(SUBSTITUTE(SUBSTITUTE(TRIM($AR1654),"-",""),".",""),"/","")," ",""),8),4),--MID(LEFT(SUBSTITUTE(SUBSTITUTE(SUBSTITUTE(SUBSTITUTE(TRIM($AR1654),"-",""),".",""),"/","")," ",""),8),5,2),--MID(LEFT(SUBSTITUTE(SUBSTITUTE(SUBSTITUTE(SUBSTITUTE(TRIM($AR1654),"-",""),".",""),"/","")," ",""),8),7,2)),"")))</f>
        <v/>
      </c>
      <c r="AT1654" s="33">
        <f>IF($AS1654="","",IF($F$6="",0,IF(ISNUMBER(INDEX($A:$AP,ROW(),$F$6)),INDEX($A:$AP,ROW(),$F$6),IFERROR(--SUBSTITUTE(SUBSTITUTE(TRIM(INDEX($A:$AP,ROW(),$F$6)),",",""),"원",""),0))))</f>
        <v/>
      </c>
      <c r="AU1654" s="31">
        <f>IF($AS1654="","",IF($AX1654&lt;&gt;"",SUBSTITUTE(SUBSTITUTE($AX1654,"-","")," ",""),"N:"&amp;$AV1654))</f>
        <v/>
      </c>
      <c r="AV1654" s="31">
        <f>IF(OR($AS1654="",$E$6=""),"",TRIM(INDEX($A:$AP,ROW(),$E$6)&amp;""))</f>
        <v/>
      </c>
      <c r="AW1654" s="31">
        <f>IF($AU1654="","",IF(MATCH($AU1654,$AU$8:$AU$2007,0)=ROW()-7,MAX($AW$7:$AW1653)+1,""))</f>
        <v/>
      </c>
      <c r="AX1654" s="31">
        <f>IF(OR($AS1654="",$D$6=""),"",TRIM(INDEX($A:$AP,ROW(),$D$6)&amp;""))</f>
        <v/>
      </c>
      <c r="AY1654" s="31">
        <f>IF($AU1654="","",INDEX($AW$8:$AW$2007,MATCH($AU1654,$AU$8:$AU$2007,0)))</f>
        <v/>
      </c>
      <c r="AZ1654" s="31">
        <f>IF(OR($AS1654="",$C$6=""),"",TRIM(INDEX($A:$AP,ROW(),$C$6)&amp;""))</f>
        <v/>
      </c>
      <c r="BA1654" s="31">
        <f>IF($AZ1654="","",IF(COUNTIF($AZ$8:$AZ1654,$AZ1654)&gt;1,1,0))</f>
        <v/>
      </c>
    </row>
    <row r="1655">
      <c r="AR1655" s="31">
        <f>IF(OR($A$5="",$B$6="",ROW()&lt;$A$5),"",IF(INDEX($A:$AP,ROW(),$B$6)="","",INDEX($A:$AP,ROW(),$B$6)))</f>
        <v/>
      </c>
      <c r="AS1655" s="32">
        <f>IF($AR1655="","",IF(ISNUMBER($AR1655),IF($AR1655&gt;=10000000,IFERROR(DATE(INT($AR1655/10000),MOD(INT($AR1655/100),100),MOD($AR1655,100)),""),INT($AR1655)),IFERROR(DATE(--LEFT(LEFT(SUBSTITUTE(SUBSTITUTE(SUBSTITUTE(SUBSTITUTE(TRIM($AR1655),"-",""),".",""),"/","")," ",""),8),4),--MID(LEFT(SUBSTITUTE(SUBSTITUTE(SUBSTITUTE(SUBSTITUTE(TRIM($AR1655),"-",""),".",""),"/","")," ",""),8),5,2),--MID(LEFT(SUBSTITUTE(SUBSTITUTE(SUBSTITUTE(SUBSTITUTE(TRIM($AR1655),"-",""),".",""),"/","")," ",""),8),7,2)),"")))</f>
        <v/>
      </c>
      <c r="AT1655" s="33">
        <f>IF($AS1655="","",IF($F$6="",0,IF(ISNUMBER(INDEX($A:$AP,ROW(),$F$6)),INDEX($A:$AP,ROW(),$F$6),IFERROR(--SUBSTITUTE(SUBSTITUTE(TRIM(INDEX($A:$AP,ROW(),$F$6)),",",""),"원",""),0))))</f>
        <v/>
      </c>
      <c r="AU1655" s="31">
        <f>IF($AS1655="","",IF($AX1655&lt;&gt;"",SUBSTITUTE(SUBSTITUTE($AX1655,"-","")," ",""),"N:"&amp;$AV1655))</f>
        <v/>
      </c>
      <c r="AV1655" s="31">
        <f>IF(OR($AS1655="",$E$6=""),"",TRIM(INDEX($A:$AP,ROW(),$E$6)&amp;""))</f>
        <v/>
      </c>
      <c r="AW1655" s="31">
        <f>IF($AU1655="","",IF(MATCH($AU1655,$AU$8:$AU$2007,0)=ROW()-7,MAX($AW$7:$AW1654)+1,""))</f>
        <v/>
      </c>
      <c r="AX1655" s="31">
        <f>IF(OR($AS1655="",$D$6=""),"",TRIM(INDEX($A:$AP,ROW(),$D$6)&amp;""))</f>
        <v/>
      </c>
      <c r="AY1655" s="31">
        <f>IF($AU1655="","",INDEX($AW$8:$AW$2007,MATCH($AU1655,$AU$8:$AU$2007,0)))</f>
        <v/>
      </c>
      <c r="AZ1655" s="31">
        <f>IF(OR($AS1655="",$C$6=""),"",TRIM(INDEX($A:$AP,ROW(),$C$6)&amp;""))</f>
        <v/>
      </c>
      <c r="BA1655" s="31">
        <f>IF($AZ1655="","",IF(COUNTIF($AZ$8:$AZ1655,$AZ1655)&gt;1,1,0))</f>
        <v/>
      </c>
    </row>
    <row r="1656">
      <c r="AR1656" s="31">
        <f>IF(OR($A$5="",$B$6="",ROW()&lt;$A$5),"",IF(INDEX($A:$AP,ROW(),$B$6)="","",INDEX($A:$AP,ROW(),$B$6)))</f>
        <v/>
      </c>
      <c r="AS1656" s="32">
        <f>IF($AR1656="","",IF(ISNUMBER($AR1656),IF($AR1656&gt;=10000000,IFERROR(DATE(INT($AR1656/10000),MOD(INT($AR1656/100),100),MOD($AR1656,100)),""),INT($AR1656)),IFERROR(DATE(--LEFT(LEFT(SUBSTITUTE(SUBSTITUTE(SUBSTITUTE(SUBSTITUTE(TRIM($AR1656),"-",""),".",""),"/","")," ",""),8),4),--MID(LEFT(SUBSTITUTE(SUBSTITUTE(SUBSTITUTE(SUBSTITUTE(TRIM($AR1656),"-",""),".",""),"/","")," ",""),8),5,2),--MID(LEFT(SUBSTITUTE(SUBSTITUTE(SUBSTITUTE(SUBSTITUTE(TRIM($AR1656),"-",""),".",""),"/","")," ",""),8),7,2)),"")))</f>
        <v/>
      </c>
      <c r="AT1656" s="33">
        <f>IF($AS1656="","",IF($F$6="",0,IF(ISNUMBER(INDEX($A:$AP,ROW(),$F$6)),INDEX($A:$AP,ROW(),$F$6),IFERROR(--SUBSTITUTE(SUBSTITUTE(TRIM(INDEX($A:$AP,ROW(),$F$6)),",",""),"원",""),0))))</f>
        <v/>
      </c>
      <c r="AU1656" s="31">
        <f>IF($AS1656="","",IF($AX1656&lt;&gt;"",SUBSTITUTE(SUBSTITUTE($AX1656,"-","")," ",""),"N:"&amp;$AV1656))</f>
        <v/>
      </c>
      <c r="AV1656" s="31">
        <f>IF(OR($AS1656="",$E$6=""),"",TRIM(INDEX($A:$AP,ROW(),$E$6)&amp;""))</f>
        <v/>
      </c>
      <c r="AW1656" s="31">
        <f>IF($AU1656="","",IF(MATCH($AU1656,$AU$8:$AU$2007,0)=ROW()-7,MAX($AW$7:$AW1655)+1,""))</f>
        <v/>
      </c>
      <c r="AX1656" s="31">
        <f>IF(OR($AS1656="",$D$6=""),"",TRIM(INDEX($A:$AP,ROW(),$D$6)&amp;""))</f>
        <v/>
      </c>
      <c r="AY1656" s="31">
        <f>IF($AU1656="","",INDEX($AW$8:$AW$2007,MATCH($AU1656,$AU$8:$AU$2007,0)))</f>
        <v/>
      </c>
      <c r="AZ1656" s="31">
        <f>IF(OR($AS1656="",$C$6=""),"",TRIM(INDEX($A:$AP,ROW(),$C$6)&amp;""))</f>
        <v/>
      </c>
      <c r="BA1656" s="31">
        <f>IF($AZ1656="","",IF(COUNTIF($AZ$8:$AZ1656,$AZ1656)&gt;1,1,0))</f>
        <v/>
      </c>
    </row>
    <row r="1657">
      <c r="AR1657" s="31">
        <f>IF(OR($A$5="",$B$6="",ROW()&lt;$A$5),"",IF(INDEX($A:$AP,ROW(),$B$6)="","",INDEX($A:$AP,ROW(),$B$6)))</f>
        <v/>
      </c>
      <c r="AS1657" s="32">
        <f>IF($AR1657="","",IF(ISNUMBER($AR1657),IF($AR1657&gt;=10000000,IFERROR(DATE(INT($AR1657/10000),MOD(INT($AR1657/100),100),MOD($AR1657,100)),""),INT($AR1657)),IFERROR(DATE(--LEFT(LEFT(SUBSTITUTE(SUBSTITUTE(SUBSTITUTE(SUBSTITUTE(TRIM($AR1657),"-",""),".",""),"/","")," ",""),8),4),--MID(LEFT(SUBSTITUTE(SUBSTITUTE(SUBSTITUTE(SUBSTITUTE(TRIM($AR1657),"-",""),".",""),"/","")," ",""),8),5,2),--MID(LEFT(SUBSTITUTE(SUBSTITUTE(SUBSTITUTE(SUBSTITUTE(TRIM($AR1657),"-",""),".",""),"/","")," ",""),8),7,2)),"")))</f>
        <v/>
      </c>
      <c r="AT1657" s="33">
        <f>IF($AS1657="","",IF($F$6="",0,IF(ISNUMBER(INDEX($A:$AP,ROW(),$F$6)),INDEX($A:$AP,ROW(),$F$6),IFERROR(--SUBSTITUTE(SUBSTITUTE(TRIM(INDEX($A:$AP,ROW(),$F$6)),",",""),"원",""),0))))</f>
        <v/>
      </c>
      <c r="AU1657" s="31">
        <f>IF($AS1657="","",IF($AX1657&lt;&gt;"",SUBSTITUTE(SUBSTITUTE($AX1657,"-","")," ",""),"N:"&amp;$AV1657))</f>
        <v/>
      </c>
      <c r="AV1657" s="31">
        <f>IF(OR($AS1657="",$E$6=""),"",TRIM(INDEX($A:$AP,ROW(),$E$6)&amp;""))</f>
        <v/>
      </c>
      <c r="AW1657" s="31">
        <f>IF($AU1657="","",IF(MATCH($AU1657,$AU$8:$AU$2007,0)=ROW()-7,MAX($AW$7:$AW1656)+1,""))</f>
        <v/>
      </c>
      <c r="AX1657" s="31">
        <f>IF(OR($AS1657="",$D$6=""),"",TRIM(INDEX($A:$AP,ROW(),$D$6)&amp;""))</f>
        <v/>
      </c>
      <c r="AY1657" s="31">
        <f>IF($AU1657="","",INDEX($AW$8:$AW$2007,MATCH($AU1657,$AU$8:$AU$2007,0)))</f>
        <v/>
      </c>
      <c r="AZ1657" s="31">
        <f>IF(OR($AS1657="",$C$6=""),"",TRIM(INDEX($A:$AP,ROW(),$C$6)&amp;""))</f>
        <v/>
      </c>
      <c r="BA1657" s="31">
        <f>IF($AZ1657="","",IF(COUNTIF($AZ$8:$AZ1657,$AZ1657)&gt;1,1,0))</f>
        <v/>
      </c>
    </row>
    <row r="1658">
      <c r="AR1658" s="31">
        <f>IF(OR($A$5="",$B$6="",ROW()&lt;$A$5),"",IF(INDEX($A:$AP,ROW(),$B$6)="","",INDEX($A:$AP,ROW(),$B$6)))</f>
        <v/>
      </c>
      <c r="AS1658" s="32">
        <f>IF($AR1658="","",IF(ISNUMBER($AR1658),IF($AR1658&gt;=10000000,IFERROR(DATE(INT($AR1658/10000),MOD(INT($AR1658/100),100),MOD($AR1658,100)),""),INT($AR1658)),IFERROR(DATE(--LEFT(LEFT(SUBSTITUTE(SUBSTITUTE(SUBSTITUTE(SUBSTITUTE(TRIM($AR1658),"-",""),".",""),"/","")," ",""),8),4),--MID(LEFT(SUBSTITUTE(SUBSTITUTE(SUBSTITUTE(SUBSTITUTE(TRIM($AR1658),"-",""),".",""),"/","")," ",""),8),5,2),--MID(LEFT(SUBSTITUTE(SUBSTITUTE(SUBSTITUTE(SUBSTITUTE(TRIM($AR1658),"-",""),".",""),"/","")," ",""),8),7,2)),"")))</f>
        <v/>
      </c>
      <c r="AT1658" s="33">
        <f>IF($AS1658="","",IF($F$6="",0,IF(ISNUMBER(INDEX($A:$AP,ROW(),$F$6)),INDEX($A:$AP,ROW(),$F$6),IFERROR(--SUBSTITUTE(SUBSTITUTE(TRIM(INDEX($A:$AP,ROW(),$F$6)),",",""),"원",""),0))))</f>
        <v/>
      </c>
      <c r="AU1658" s="31">
        <f>IF($AS1658="","",IF($AX1658&lt;&gt;"",SUBSTITUTE(SUBSTITUTE($AX1658,"-","")," ",""),"N:"&amp;$AV1658))</f>
        <v/>
      </c>
      <c r="AV1658" s="31">
        <f>IF(OR($AS1658="",$E$6=""),"",TRIM(INDEX($A:$AP,ROW(),$E$6)&amp;""))</f>
        <v/>
      </c>
      <c r="AW1658" s="31">
        <f>IF($AU1658="","",IF(MATCH($AU1658,$AU$8:$AU$2007,0)=ROW()-7,MAX($AW$7:$AW1657)+1,""))</f>
        <v/>
      </c>
      <c r="AX1658" s="31">
        <f>IF(OR($AS1658="",$D$6=""),"",TRIM(INDEX($A:$AP,ROW(),$D$6)&amp;""))</f>
        <v/>
      </c>
      <c r="AY1658" s="31">
        <f>IF($AU1658="","",INDEX($AW$8:$AW$2007,MATCH($AU1658,$AU$8:$AU$2007,0)))</f>
        <v/>
      </c>
      <c r="AZ1658" s="31">
        <f>IF(OR($AS1658="",$C$6=""),"",TRIM(INDEX($A:$AP,ROW(),$C$6)&amp;""))</f>
        <v/>
      </c>
      <c r="BA1658" s="31">
        <f>IF($AZ1658="","",IF(COUNTIF($AZ$8:$AZ1658,$AZ1658)&gt;1,1,0))</f>
        <v/>
      </c>
    </row>
    <row r="1659">
      <c r="AR1659" s="31">
        <f>IF(OR($A$5="",$B$6="",ROW()&lt;$A$5),"",IF(INDEX($A:$AP,ROW(),$B$6)="","",INDEX($A:$AP,ROW(),$B$6)))</f>
        <v/>
      </c>
      <c r="AS1659" s="32">
        <f>IF($AR1659="","",IF(ISNUMBER($AR1659),IF($AR1659&gt;=10000000,IFERROR(DATE(INT($AR1659/10000),MOD(INT($AR1659/100),100),MOD($AR1659,100)),""),INT($AR1659)),IFERROR(DATE(--LEFT(LEFT(SUBSTITUTE(SUBSTITUTE(SUBSTITUTE(SUBSTITUTE(TRIM($AR1659),"-",""),".",""),"/","")," ",""),8),4),--MID(LEFT(SUBSTITUTE(SUBSTITUTE(SUBSTITUTE(SUBSTITUTE(TRIM($AR1659),"-",""),".",""),"/","")," ",""),8),5,2),--MID(LEFT(SUBSTITUTE(SUBSTITUTE(SUBSTITUTE(SUBSTITUTE(TRIM($AR1659),"-",""),".",""),"/","")," ",""),8),7,2)),"")))</f>
        <v/>
      </c>
      <c r="AT1659" s="33">
        <f>IF($AS1659="","",IF($F$6="",0,IF(ISNUMBER(INDEX($A:$AP,ROW(),$F$6)),INDEX($A:$AP,ROW(),$F$6),IFERROR(--SUBSTITUTE(SUBSTITUTE(TRIM(INDEX($A:$AP,ROW(),$F$6)),",",""),"원",""),0))))</f>
        <v/>
      </c>
      <c r="AU1659" s="31">
        <f>IF($AS1659="","",IF($AX1659&lt;&gt;"",SUBSTITUTE(SUBSTITUTE($AX1659,"-","")," ",""),"N:"&amp;$AV1659))</f>
        <v/>
      </c>
      <c r="AV1659" s="31">
        <f>IF(OR($AS1659="",$E$6=""),"",TRIM(INDEX($A:$AP,ROW(),$E$6)&amp;""))</f>
        <v/>
      </c>
      <c r="AW1659" s="31">
        <f>IF($AU1659="","",IF(MATCH($AU1659,$AU$8:$AU$2007,0)=ROW()-7,MAX($AW$7:$AW1658)+1,""))</f>
        <v/>
      </c>
      <c r="AX1659" s="31">
        <f>IF(OR($AS1659="",$D$6=""),"",TRIM(INDEX($A:$AP,ROW(),$D$6)&amp;""))</f>
        <v/>
      </c>
      <c r="AY1659" s="31">
        <f>IF($AU1659="","",INDEX($AW$8:$AW$2007,MATCH($AU1659,$AU$8:$AU$2007,0)))</f>
        <v/>
      </c>
      <c r="AZ1659" s="31">
        <f>IF(OR($AS1659="",$C$6=""),"",TRIM(INDEX($A:$AP,ROW(),$C$6)&amp;""))</f>
        <v/>
      </c>
      <c r="BA1659" s="31">
        <f>IF($AZ1659="","",IF(COUNTIF($AZ$8:$AZ1659,$AZ1659)&gt;1,1,0))</f>
        <v/>
      </c>
    </row>
    <row r="1660">
      <c r="AR1660" s="31">
        <f>IF(OR($A$5="",$B$6="",ROW()&lt;$A$5),"",IF(INDEX($A:$AP,ROW(),$B$6)="","",INDEX($A:$AP,ROW(),$B$6)))</f>
        <v/>
      </c>
      <c r="AS1660" s="32">
        <f>IF($AR1660="","",IF(ISNUMBER($AR1660),IF($AR1660&gt;=10000000,IFERROR(DATE(INT($AR1660/10000),MOD(INT($AR1660/100),100),MOD($AR1660,100)),""),INT($AR1660)),IFERROR(DATE(--LEFT(LEFT(SUBSTITUTE(SUBSTITUTE(SUBSTITUTE(SUBSTITUTE(TRIM($AR1660),"-",""),".",""),"/","")," ",""),8),4),--MID(LEFT(SUBSTITUTE(SUBSTITUTE(SUBSTITUTE(SUBSTITUTE(TRIM($AR1660),"-",""),".",""),"/","")," ",""),8),5,2),--MID(LEFT(SUBSTITUTE(SUBSTITUTE(SUBSTITUTE(SUBSTITUTE(TRIM($AR1660),"-",""),".",""),"/","")," ",""),8),7,2)),"")))</f>
        <v/>
      </c>
      <c r="AT1660" s="33">
        <f>IF($AS1660="","",IF($F$6="",0,IF(ISNUMBER(INDEX($A:$AP,ROW(),$F$6)),INDEX($A:$AP,ROW(),$F$6),IFERROR(--SUBSTITUTE(SUBSTITUTE(TRIM(INDEX($A:$AP,ROW(),$F$6)),",",""),"원",""),0))))</f>
        <v/>
      </c>
      <c r="AU1660" s="31">
        <f>IF($AS1660="","",IF($AX1660&lt;&gt;"",SUBSTITUTE(SUBSTITUTE($AX1660,"-","")," ",""),"N:"&amp;$AV1660))</f>
        <v/>
      </c>
      <c r="AV1660" s="31">
        <f>IF(OR($AS1660="",$E$6=""),"",TRIM(INDEX($A:$AP,ROW(),$E$6)&amp;""))</f>
        <v/>
      </c>
      <c r="AW1660" s="31">
        <f>IF($AU1660="","",IF(MATCH($AU1660,$AU$8:$AU$2007,0)=ROW()-7,MAX($AW$7:$AW1659)+1,""))</f>
        <v/>
      </c>
      <c r="AX1660" s="31">
        <f>IF(OR($AS1660="",$D$6=""),"",TRIM(INDEX($A:$AP,ROW(),$D$6)&amp;""))</f>
        <v/>
      </c>
      <c r="AY1660" s="31">
        <f>IF($AU1660="","",INDEX($AW$8:$AW$2007,MATCH($AU1660,$AU$8:$AU$2007,0)))</f>
        <v/>
      </c>
      <c r="AZ1660" s="31">
        <f>IF(OR($AS1660="",$C$6=""),"",TRIM(INDEX($A:$AP,ROW(),$C$6)&amp;""))</f>
        <v/>
      </c>
      <c r="BA1660" s="31">
        <f>IF($AZ1660="","",IF(COUNTIF($AZ$8:$AZ1660,$AZ1660)&gt;1,1,0))</f>
        <v/>
      </c>
    </row>
    <row r="1661">
      <c r="AR1661" s="31">
        <f>IF(OR($A$5="",$B$6="",ROW()&lt;$A$5),"",IF(INDEX($A:$AP,ROW(),$B$6)="","",INDEX($A:$AP,ROW(),$B$6)))</f>
        <v/>
      </c>
      <c r="AS1661" s="32">
        <f>IF($AR1661="","",IF(ISNUMBER($AR1661),IF($AR1661&gt;=10000000,IFERROR(DATE(INT($AR1661/10000),MOD(INT($AR1661/100),100),MOD($AR1661,100)),""),INT($AR1661)),IFERROR(DATE(--LEFT(LEFT(SUBSTITUTE(SUBSTITUTE(SUBSTITUTE(SUBSTITUTE(TRIM($AR1661),"-",""),".",""),"/","")," ",""),8),4),--MID(LEFT(SUBSTITUTE(SUBSTITUTE(SUBSTITUTE(SUBSTITUTE(TRIM($AR1661),"-",""),".",""),"/","")," ",""),8),5,2),--MID(LEFT(SUBSTITUTE(SUBSTITUTE(SUBSTITUTE(SUBSTITUTE(TRIM($AR1661),"-",""),".",""),"/","")," ",""),8),7,2)),"")))</f>
        <v/>
      </c>
      <c r="AT1661" s="33">
        <f>IF($AS1661="","",IF($F$6="",0,IF(ISNUMBER(INDEX($A:$AP,ROW(),$F$6)),INDEX($A:$AP,ROW(),$F$6),IFERROR(--SUBSTITUTE(SUBSTITUTE(TRIM(INDEX($A:$AP,ROW(),$F$6)),",",""),"원",""),0))))</f>
        <v/>
      </c>
      <c r="AU1661" s="31">
        <f>IF($AS1661="","",IF($AX1661&lt;&gt;"",SUBSTITUTE(SUBSTITUTE($AX1661,"-","")," ",""),"N:"&amp;$AV1661))</f>
        <v/>
      </c>
      <c r="AV1661" s="31">
        <f>IF(OR($AS1661="",$E$6=""),"",TRIM(INDEX($A:$AP,ROW(),$E$6)&amp;""))</f>
        <v/>
      </c>
      <c r="AW1661" s="31">
        <f>IF($AU1661="","",IF(MATCH($AU1661,$AU$8:$AU$2007,0)=ROW()-7,MAX($AW$7:$AW1660)+1,""))</f>
        <v/>
      </c>
      <c r="AX1661" s="31">
        <f>IF(OR($AS1661="",$D$6=""),"",TRIM(INDEX($A:$AP,ROW(),$D$6)&amp;""))</f>
        <v/>
      </c>
      <c r="AY1661" s="31">
        <f>IF($AU1661="","",INDEX($AW$8:$AW$2007,MATCH($AU1661,$AU$8:$AU$2007,0)))</f>
        <v/>
      </c>
      <c r="AZ1661" s="31">
        <f>IF(OR($AS1661="",$C$6=""),"",TRIM(INDEX($A:$AP,ROW(),$C$6)&amp;""))</f>
        <v/>
      </c>
      <c r="BA1661" s="31">
        <f>IF($AZ1661="","",IF(COUNTIF($AZ$8:$AZ1661,$AZ1661)&gt;1,1,0))</f>
        <v/>
      </c>
    </row>
    <row r="1662">
      <c r="AR1662" s="31">
        <f>IF(OR($A$5="",$B$6="",ROW()&lt;$A$5),"",IF(INDEX($A:$AP,ROW(),$B$6)="","",INDEX($A:$AP,ROW(),$B$6)))</f>
        <v/>
      </c>
      <c r="AS1662" s="32">
        <f>IF($AR1662="","",IF(ISNUMBER($AR1662),IF($AR1662&gt;=10000000,IFERROR(DATE(INT($AR1662/10000),MOD(INT($AR1662/100),100),MOD($AR1662,100)),""),INT($AR1662)),IFERROR(DATE(--LEFT(LEFT(SUBSTITUTE(SUBSTITUTE(SUBSTITUTE(SUBSTITUTE(TRIM($AR1662),"-",""),".",""),"/","")," ",""),8),4),--MID(LEFT(SUBSTITUTE(SUBSTITUTE(SUBSTITUTE(SUBSTITUTE(TRIM($AR1662),"-",""),".",""),"/","")," ",""),8),5,2),--MID(LEFT(SUBSTITUTE(SUBSTITUTE(SUBSTITUTE(SUBSTITUTE(TRIM($AR1662),"-",""),".",""),"/","")," ",""),8),7,2)),"")))</f>
        <v/>
      </c>
      <c r="AT1662" s="33">
        <f>IF($AS1662="","",IF($F$6="",0,IF(ISNUMBER(INDEX($A:$AP,ROW(),$F$6)),INDEX($A:$AP,ROW(),$F$6),IFERROR(--SUBSTITUTE(SUBSTITUTE(TRIM(INDEX($A:$AP,ROW(),$F$6)),",",""),"원",""),0))))</f>
        <v/>
      </c>
      <c r="AU1662" s="31">
        <f>IF($AS1662="","",IF($AX1662&lt;&gt;"",SUBSTITUTE(SUBSTITUTE($AX1662,"-","")," ",""),"N:"&amp;$AV1662))</f>
        <v/>
      </c>
      <c r="AV1662" s="31">
        <f>IF(OR($AS1662="",$E$6=""),"",TRIM(INDEX($A:$AP,ROW(),$E$6)&amp;""))</f>
        <v/>
      </c>
      <c r="AW1662" s="31">
        <f>IF($AU1662="","",IF(MATCH($AU1662,$AU$8:$AU$2007,0)=ROW()-7,MAX($AW$7:$AW1661)+1,""))</f>
        <v/>
      </c>
      <c r="AX1662" s="31">
        <f>IF(OR($AS1662="",$D$6=""),"",TRIM(INDEX($A:$AP,ROW(),$D$6)&amp;""))</f>
        <v/>
      </c>
      <c r="AY1662" s="31">
        <f>IF($AU1662="","",INDEX($AW$8:$AW$2007,MATCH($AU1662,$AU$8:$AU$2007,0)))</f>
        <v/>
      </c>
      <c r="AZ1662" s="31">
        <f>IF(OR($AS1662="",$C$6=""),"",TRIM(INDEX($A:$AP,ROW(),$C$6)&amp;""))</f>
        <v/>
      </c>
      <c r="BA1662" s="31">
        <f>IF($AZ1662="","",IF(COUNTIF($AZ$8:$AZ1662,$AZ1662)&gt;1,1,0))</f>
        <v/>
      </c>
    </row>
    <row r="1663">
      <c r="AR1663" s="31">
        <f>IF(OR($A$5="",$B$6="",ROW()&lt;$A$5),"",IF(INDEX($A:$AP,ROW(),$B$6)="","",INDEX($A:$AP,ROW(),$B$6)))</f>
        <v/>
      </c>
      <c r="AS1663" s="32">
        <f>IF($AR1663="","",IF(ISNUMBER($AR1663),IF($AR1663&gt;=10000000,IFERROR(DATE(INT($AR1663/10000),MOD(INT($AR1663/100),100),MOD($AR1663,100)),""),INT($AR1663)),IFERROR(DATE(--LEFT(LEFT(SUBSTITUTE(SUBSTITUTE(SUBSTITUTE(SUBSTITUTE(TRIM($AR1663),"-",""),".",""),"/","")," ",""),8),4),--MID(LEFT(SUBSTITUTE(SUBSTITUTE(SUBSTITUTE(SUBSTITUTE(TRIM($AR1663),"-",""),".",""),"/","")," ",""),8),5,2),--MID(LEFT(SUBSTITUTE(SUBSTITUTE(SUBSTITUTE(SUBSTITUTE(TRIM($AR1663),"-",""),".",""),"/","")," ",""),8),7,2)),"")))</f>
        <v/>
      </c>
      <c r="AT1663" s="33">
        <f>IF($AS1663="","",IF($F$6="",0,IF(ISNUMBER(INDEX($A:$AP,ROW(),$F$6)),INDEX($A:$AP,ROW(),$F$6),IFERROR(--SUBSTITUTE(SUBSTITUTE(TRIM(INDEX($A:$AP,ROW(),$F$6)),",",""),"원",""),0))))</f>
        <v/>
      </c>
      <c r="AU1663" s="31">
        <f>IF($AS1663="","",IF($AX1663&lt;&gt;"",SUBSTITUTE(SUBSTITUTE($AX1663,"-","")," ",""),"N:"&amp;$AV1663))</f>
        <v/>
      </c>
      <c r="AV1663" s="31">
        <f>IF(OR($AS1663="",$E$6=""),"",TRIM(INDEX($A:$AP,ROW(),$E$6)&amp;""))</f>
        <v/>
      </c>
      <c r="AW1663" s="31">
        <f>IF($AU1663="","",IF(MATCH($AU1663,$AU$8:$AU$2007,0)=ROW()-7,MAX($AW$7:$AW1662)+1,""))</f>
        <v/>
      </c>
      <c r="AX1663" s="31">
        <f>IF(OR($AS1663="",$D$6=""),"",TRIM(INDEX($A:$AP,ROW(),$D$6)&amp;""))</f>
        <v/>
      </c>
      <c r="AY1663" s="31">
        <f>IF($AU1663="","",INDEX($AW$8:$AW$2007,MATCH($AU1663,$AU$8:$AU$2007,0)))</f>
        <v/>
      </c>
      <c r="AZ1663" s="31">
        <f>IF(OR($AS1663="",$C$6=""),"",TRIM(INDEX($A:$AP,ROW(),$C$6)&amp;""))</f>
        <v/>
      </c>
      <c r="BA1663" s="31">
        <f>IF($AZ1663="","",IF(COUNTIF($AZ$8:$AZ1663,$AZ1663)&gt;1,1,0))</f>
        <v/>
      </c>
    </row>
    <row r="1664">
      <c r="AR1664" s="31">
        <f>IF(OR($A$5="",$B$6="",ROW()&lt;$A$5),"",IF(INDEX($A:$AP,ROW(),$B$6)="","",INDEX($A:$AP,ROW(),$B$6)))</f>
        <v/>
      </c>
      <c r="AS1664" s="32">
        <f>IF($AR1664="","",IF(ISNUMBER($AR1664),IF($AR1664&gt;=10000000,IFERROR(DATE(INT($AR1664/10000),MOD(INT($AR1664/100),100),MOD($AR1664,100)),""),INT($AR1664)),IFERROR(DATE(--LEFT(LEFT(SUBSTITUTE(SUBSTITUTE(SUBSTITUTE(SUBSTITUTE(TRIM($AR1664),"-",""),".",""),"/","")," ",""),8),4),--MID(LEFT(SUBSTITUTE(SUBSTITUTE(SUBSTITUTE(SUBSTITUTE(TRIM($AR1664),"-",""),".",""),"/","")," ",""),8),5,2),--MID(LEFT(SUBSTITUTE(SUBSTITUTE(SUBSTITUTE(SUBSTITUTE(TRIM($AR1664),"-",""),".",""),"/","")," ",""),8),7,2)),"")))</f>
        <v/>
      </c>
      <c r="AT1664" s="33">
        <f>IF($AS1664="","",IF($F$6="",0,IF(ISNUMBER(INDEX($A:$AP,ROW(),$F$6)),INDEX($A:$AP,ROW(),$F$6),IFERROR(--SUBSTITUTE(SUBSTITUTE(TRIM(INDEX($A:$AP,ROW(),$F$6)),",",""),"원",""),0))))</f>
        <v/>
      </c>
      <c r="AU1664" s="31">
        <f>IF($AS1664="","",IF($AX1664&lt;&gt;"",SUBSTITUTE(SUBSTITUTE($AX1664,"-","")," ",""),"N:"&amp;$AV1664))</f>
        <v/>
      </c>
      <c r="AV1664" s="31">
        <f>IF(OR($AS1664="",$E$6=""),"",TRIM(INDEX($A:$AP,ROW(),$E$6)&amp;""))</f>
        <v/>
      </c>
      <c r="AW1664" s="31">
        <f>IF($AU1664="","",IF(MATCH($AU1664,$AU$8:$AU$2007,0)=ROW()-7,MAX($AW$7:$AW1663)+1,""))</f>
        <v/>
      </c>
      <c r="AX1664" s="31">
        <f>IF(OR($AS1664="",$D$6=""),"",TRIM(INDEX($A:$AP,ROW(),$D$6)&amp;""))</f>
        <v/>
      </c>
      <c r="AY1664" s="31">
        <f>IF($AU1664="","",INDEX($AW$8:$AW$2007,MATCH($AU1664,$AU$8:$AU$2007,0)))</f>
        <v/>
      </c>
      <c r="AZ1664" s="31">
        <f>IF(OR($AS1664="",$C$6=""),"",TRIM(INDEX($A:$AP,ROW(),$C$6)&amp;""))</f>
        <v/>
      </c>
      <c r="BA1664" s="31">
        <f>IF($AZ1664="","",IF(COUNTIF($AZ$8:$AZ1664,$AZ1664)&gt;1,1,0))</f>
        <v/>
      </c>
    </row>
    <row r="1665">
      <c r="AR1665" s="31">
        <f>IF(OR($A$5="",$B$6="",ROW()&lt;$A$5),"",IF(INDEX($A:$AP,ROW(),$B$6)="","",INDEX($A:$AP,ROW(),$B$6)))</f>
        <v/>
      </c>
      <c r="AS1665" s="32">
        <f>IF($AR1665="","",IF(ISNUMBER($AR1665),IF($AR1665&gt;=10000000,IFERROR(DATE(INT($AR1665/10000),MOD(INT($AR1665/100),100),MOD($AR1665,100)),""),INT($AR1665)),IFERROR(DATE(--LEFT(LEFT(SUBSTITUTE(SUBSTITUTE(SUBSTITUTE(SUBSTITUTE(TRIM($AR1665),"-",""),".",""),"/","")," ",""),8),4),--MID(LEFT(SUBSTITUTE(SUBSTITUTE(SUBSTITUTE(SUBSTITUTE(TRIM($AR1665),"-",""),".",""),"/","")," ",""),8),5,2),--MID(LEFT(SUBSTITUTE(SUBSTITUTE(SUBSTITUTE(SUBSTITUTE(TRIM($AR1665),"-",""),".",""),"/","")," ",""),8),7,2)),"")))</f>
        <v/>
      </c>
      <c r="AT1665" s="33">
        <f>IF($AS1665="","",IF($F$6="",0,IF(ISNUMBER(INDEX($A:$AP,ROW(),$F$6)),INDEX($A:$AP,ROW(),$F$6),IFERROR(--SUBSTITUTE(SUBSTITUTE(TRIM(INDEX($A:$AP,ROW(),$F$6)),",",""),"원",""),0))))</f>
        <v/>
      </c>
      <c r="AU1665" s="31">
        <f>IF($AS1665="","",IF($AX1665&lt;&gt;"",SUBSTITUTE(SUBSTITUTE($AX1665,"-","")," ",""),"N:"&amp;$AV1665))</f>
        <v/>
      </c>
      <c r="AV1665" s="31">
        <f>IF(OR($AS1665="",$E$6=""),"",TRIM(INDEX($A:$AP,ROW(),$E$6)&amp;""))</f>
        <v/>
      </c>
      <c r="AW1665" s="31">
        <f>IF($AU1665="","",IF(MATCH($AU1665,$AU$8:$AU$2007,0)=ROW()-7,MAX($AW$7:$AW1664)+1,""))</f>
        <v/>
      </c>
      <c r="AX1665" s="31">
        <f>IF(OR($AS1665="",$D$6=""),"",TRIM(INDEX($A:$AP,ROW(),$D$6)&amp;""))</f>
        <v/>
      </c>
      <c r="AY1665" s="31">
        <f>IF($AU1665="","",INDEX($AW$8:$AW$2007,MATCH($AU1665,$AU$8:$AU$2007,0)))</f>
        <v/>
      </c>
      <c r="AZ1665" s="31">
        <f>IF(OR($AS1665="",$C$6=""),"",TRIM(INDEX($A:$AP,ROW(),$C$6)&amp;""))</f>
        <v/>
      </c>
      <c r="BA1665" s="31">
        <f>IF($AZ1665="","",IF(COUNTIF($AZ$8:$AZ1665,$AZ1665)&gt;1,1,0))</f>
        <v/>
      </c>
    </row>
    <row r="1666">
      <c r="AR1666" s="31">
        <f>IF(OR($A$5="",$B$6="",ROW()&lt;$A$5),"",IF(INDEX($A:$AP,ROW(),$B$6)="","",INDEX($A:$AP,ROW(),$B$6)))</f>
        <v/>
      </c>
      <c r="AS1666" s="32">
        <f>IF($AR1666="","",IF(ISNUMBER($AR1666),IF($AR1666&gt;=10000000,IFERROR(DATE(INT($AR1666/10000),MOD(INT($AR1666/100),100),MOD($AR1666,100)),""),INT($AR1666)),IFERROR(DATE(--LEFT(LEFT(SUBSTITUTE(SUBSTITUTE(SUBSTITUTE(SUBSTITUTE(TRIM($AR1666),"-",""),".",""),"/","")," ",""),8),4),--MID(LEFT(SUBSTITUTE(SUBSTITUTE(SUBSTITUTE(SUBSTITUTE(TRIM($AR1666),"-",""),".",""),"/","")," ",""),8),5,2),--MID(LEFT(SUBSTITUTE(SUBSTITUTE(SUBSTITUTE(SUBSTITUTE(TRIM($AR1666),"-",""),".",""),"/","")," ",""),8),7,2)),"")))</f>
        <v/>
      </c>
      <c r="AT1666" s="33">
        <f>IF($AS1666="","",IF($F$6="",0,IF(ISNUMBER(INDEX($A:$AP,ROW(),$F$6)),INDEX($A:$AP,ROW(),$F$6),IFERROR(--SUBSTITUTE(SUBSTITUTE(TRIM(INDEX($A:$AP,ROW(),$F$6)),",",""),"원",""),0))))</f>
        <v/>
      </c>
      <c r="AU1666" s="31">
        <f>IF($AS1666="","",IF($AX1666&lt;&gt;"",SUBSTITUTE(SUBSTITUTE($AX1666,"-","")," ",""),"N:"&amp;$AV1666))</f>
        <v/>
      </c>
      <c r="AV1666" s="31">
        <f>IF(OR($AS1666="",$E$6=""),"",TRIM(INDEX($A:$AP,ROW(),$E$6)&amp;""))</f>
        <v/>
      </c>
      <c r="AW1666" s="31">
        <f>IF($AU1666="","",IF(MATCH($AU1666,$AU$8:$AU$2007,0)=ROW()-7,MAX($AW$7:$AW1665)+1,""))</f>
        <v/>
      </c>
      <c r="AX1666" s="31">
        <f>IF(OR($AS1666="",$D$6=""),"",TRIM(INDEX($A:$AP,ROW(),$D$6)&amp;""))</f>
        <v/>
      </c>
      <c r="AY1666" s="31">
        <f>IF($AU1666="","",INDEX($AW$8:$AW$2007,MATCH($AU1666,$AU$8:$AU$2007,0)))</f>
        <v/>
      </c>
      <c r="AZ1666" s="31">
        <f>IF(OR($AS1666="",$C$6=""),"",TRIM(INDEX($A:$AP,ROW(),$C$6)&amp;""))</f>
        <v/>
      </c>
      <c r="BA1666" s="31">
        <f>IF($AZ1666="","",IF(COUNTIF($AZ$8:$AZ1666,$AZ1666)&gt;1,1,0))</f>
        <v/>
      </c>
    </row>
    <row r="1667">
      <c r="AR1667" s="31">
        <f>IF(OR($A$5="",$B$6="",ROW()&lt;$A$5),"",IF(INDEX($A:$AP,ROW(),$B$6)="","",INDEX($A:$AP,ROW(),$B$6)))</f>
        <v/>
      </c>
      <c r="AS1667" s="32">
        <f>IF($AR1667="","",IF(ISNUMBER($AR1667),IF($AR1667&gt;=10000000,IFERROR(DATE(INT($AR1667/10000),MOD(INT($AR1667/100),100),MOD($AR1667,100)),""),INT($AR1667)),IFERROR(DATE(--LEFT(LEFT(SUBSTITUTE(SUBSTITUTE(SUBSTITUTE(SUBSTITUTE(TRIM($AR1667),"-",""),".",""),"/","")," ",""),8),4),--MID(LEFT(SUBSTITUTE(SUBSTITUTE(SUBSTITUTE(SUBSTITUTE(TRIM($AR1667),"-",""),".",""),"/","")," ",""),8),5,2),--MID(LEFT(SUBSTITUTE(SUBSTITUTE(SUBSTITUTE(SUBSTITUTE(TRIM($AR1667),"-",""),".",""),"/","")," ",""),8),7,2)),"")))</f>
        <v/>
      </c>
      <c r="AT1667" s="33">
        <f>IF($AS1667="","",IF($F$6="",0,IF(ISNUMBER(INDEX($A:$AP,ROW(),$F$6)),INDEX($A:$AP,ROW(),$F$6),IFERROR(--SUBSTITUTE(SUBSTITUTE(TRIM(INDEX($A:$AP,ROW(),$F$6)),",",""),"원",""),0))))</f>
        <v/>
      </c>
      <c r="AU1667" s="31">
        <f>IF($AS1667="","",IF($AX1667&lt;&gt;"",SUBSTITUTE(SUBSTITUTE($AX1667,"-","")," ",""),"N:"&amp;$AV1667))</f>
        <v/>
      </c>
      <c r="AV1667" s="31">
        <f>IF(OR($AS1667="",$E$6=""),"",TRIM(INDEX($A:$AP,ROW(),$E$6)&amp;""))</f>
        <v/>
      </c>
      <c r="AW1667" s="31">
        <f>IF($AU1667="","",IF(MATCH($AU1667,$AU$8:$AU$2007,0)=ROW()-7,MAX($AW$7:$AW1666)+1,""))</f>
        <v/>
      </c>
      <c r="AX1667" s="31">
        <f>IF(OR($AS1667="",$D$6=""),"",TRIM(INDEX($A:$AP,ROW(),$D$6)&amp;""))</f>
        <v/>
      </c>
      <c r="AY1667" s="31">
        <f>IF($AU1667="","",INDEX($AW$8:$AW$2007,MATCH($AU1667,$AU$8:$AU$2007,0)))</f>
        <v/>
      </c>
      <c r="AZ1667" s="31">
        <f>IF(OR($AS1667="",$C$6=""),"",TRIM(INDEX($A:$AP,ROW(),$C$6)&amp;""))</f>
        <v/>
      </c>
      <c r="BA1667" s="31">
        <f>IF($AZ1667="","",IF(COUNTIF($AZ$8:$AZ1667,$AZ1667)&gt;1,1,0))</f>
        <v/>
      </c>
    </row>
    <row r="1668">
      <c r="AR1668" s="31">
        <f>IF(OR($A$5="",$B$6="",ROW()&lt;$A$5),"",IF(INDEX($A:$AP,ROW(),$B$6)="","",INDEX($A:$AP,ROW(),$B$6)))</f>
        <v/>
      </c>
      <c r="AS1668" s="32">
        <f>IF($AR1668="","",IF(ISNUMBER($AR1668),IF($AR1668&gt;=10000000,IFERROR(DATE(INT($AR1668/10000),MOD(INT($AR1668/100),100),MOD($AR1668,100)),""),INT($AR1668)),IFERROR(DATE(--LEFT(LEFT(SUBSTITUTE(SUBSTITUTE(SUBSTITUTE(SUBSTITUTE(TRIM($AR1668),"-",""),".",""),"/","")," ",""),8),4),--MID(LEFT(SUBSTITUTE(SUBSTITUTE(SUBSTITUTE(SUBSTITUTE(TRIM($AR1668),"-",""),".",""),"/","")," ",""),8),5,2),--MID(LEFT(SUBSTITUTE(SUBSTITUTE(SUBSTITUTE(SUBSTITUTE(TRIM($AR1668),"-",""),".",""),"/","")," ",""),8),7,2)),"")))</f>
        <v/>
      </c>
      <c r="AT1668" s="33">
        <f>IF($AS1668="","",IF($F$6="",0,IF(ISNUMBER(INDEX($A:$AP,ROW(),$F$6)),INDEX($A:$AP,ROW(),$F$6),IFERROR(--SUBSTITUTE(SUBSTITUTE(TRIM(INDEX($A:$AP,ROW(),$F$6)),",",""),"원",""),0))))</f>
        <v/>
      </c>
      <c r="AU1668" s="31">
        <f>IF($AS1668="","",IF($AX1668&lt;&gt;"",SUBSTITUTE(SUBSTITUTE($AX1668,"-","")," ",""),"N:"&amp;$AV1668))</f>
        <v/>
      </c>
      <c r="AV1668" s="31">
        <f>IF(OR($AS1668="",$E$6=""),"",TRIM(INDEX($A:$AP,ROW(),$E$6)&amp;""))</f>
        <v/>
      </c>
      <c r="AW1668" s="31">
        <f>IF($AU1668="","",IF(MATCH($AU1668,$AU$8:$AU$2007,0)=ROW()-7,MAX($AW$7:$AW1667)+1,""))</f>
        <v/>
      </c>
      <c r="AX1668" s="31">
        <f>IF(OR($AS1668="",$D$6=""),"",TRIM(INDEX($A:$AP,ROW(),$D$6)&amp;""))</f>
        <v/>
      </c>
      <c r="AY1668" s="31">
        <f>IF($AU1668="","",INDEX($AW$8:$AW$2007,MATCH($AU1668,$AU$8:$AU$2007,0)))</f>
        <v/>
      </c>
      <c r="AZ1668" s="31">
        <f>IF(OR($AS1668="",$C$6=""),"",TRIM(INDEX($A:$AP,ROW(),$C$6)&amp;""))</f>
        <v/>
      </c>
      <c r="BA1668" s="31">
        <f>IF($AZ1668="","",IF(COUNTIF($AZ$8:$AZ1668,$AZ1668)&gt;1,1,0))</f>
        <v/>
      </c>
    </row>
    <row r="1669">
      <c r="AR1669" s="31">
        <f>IF(OR($A$5="",$B$6="",ROW()&lt;$A$5),"",IF(INDEX($A:$AP,ROW(),$B$6)="","",INDEX($A:$AP,ROW(),$B$6)))</f>
        <v/>
      </c>
      <c r="AS1669" s="32">
        <f>IF($AR1669="","",IF(ISNUMBER($AR1669),IF($AR1669&gt;=10000000,IFERROR(DATE(INT($AR1669/10000),MOD(INT($AR1669/100),100),MOD($AR1669,100)),""),INT($AR1669)),IFERROR(DATE(--LEFT(LEFT(SUBSTITUTE(SUBSTITUTE(SUBSTITUTE(SUBSTITUTE(TRIM($AR1669),"-",""),".",""),"/","")," ",""),8),4),--MID(LEFT(SUBSTITUTE(SUBSTITUTE(SUBSTITUTE(SUBSTITUTE(TRIM($AR1669),"-",""),".",""),"/","")," ",""),8),5,2),--MID(LEFT(SUBSTITUTE(SUBSTITUTE(SUBSTITUTE(SUBSTITUTE(TRIM($AR1669),"-",""),".",""),"/","")," ",""),8),7,2)),"")))</f>
        <v/>
      </c>
      <c r="AT1669" s="33">
        <f>IF($AS1669="","",IF($F$6="",0,IF(ISNUMBER(INDEX($A:$AP,ROW(),$F$6)),INDEX($A:$AP,ROW(),$F$6),IFERROR(--SUBSTITUTE(SUBSTITUTE(TRIM(INDEX($A:$AP,ROW(),$F$6)),",",""),"원",""),0))))</f>
        <v/>
      </c>
      <c r="AU1669" s="31">
        <f>IF($AS1669="","",IF($AX1669&lt;&gt;"",SUBSTITUTE(SUBSTITUTE($AX1669,"-","")," ",""),"N:"&amp;$AV1669))</f>
        <v/>
      </c>
      <c r="AV1669" s="31">
        <f>IF(OR($AS1669="",$E$6=""),"",TRIM(INDEX($A:$AP,ROW(),$E$6)&amp;""))</f>
        <v/>
      </c>
      <c r="AW1669" s="31">
        <f>IF($AU1669="","",IF(MATCH($AU1669,$AU$8:$AU$2007,0)=ROW()-7,MAX($AW$7:$AW1668)+1,""))</f>
        <v/>
      </c>
      <c r="AX1669" s="31">
        <f>IF(OR($AS1669="",$D$6=""),"",TRIM(INDEX($A:$AP,ROW(),$D$6)&amp;""))</f>
        <v/>
      </c>
      <c r="AY1669" s="31">
        <f>IF($AU1669="","",INDEX($AW$8:$AW$2007,MATCH($AU1669,$AU$8:$AU$2007,0)))</f>
        <v/>
      </c>
      <c r="AZ1669" s="31">
        <f>IF(OR($AS1669="",$C$6=""),"",TRIM(INDEX($A:$AP,ROW(),$C$6)&amp;""))</f>
        <v/>
      </c>
      <c r="BA1669" s="31">
        <f>IF($AZ1669="","",IF(COUNTIF($AZ$8:$AZ1669,$AZ1669)&gt;1,1,0))</f>
        <v/>
      </c>
    </row>
    <row r="1670">
      <c r="AR1670" s="31">
        <f>IF(OR($A$5="",$B$6="",ROW()&lt;$A$5),"",IF(INDEX($A:$AP,ROW(),$B$6)="","",INDEX($A:$AP,ROW(),$B$6)))</f>
        <v/>
      </c>
      <c r="AS1670" s="32">
        <f>IF($AR1670="","",IF(ISNUMBER($AR1670),IF($AR1670&gt;=10000000,IFERROR(DATE(INT($AR1670/10000),MOD(INT($AR1670/100),100),MOD($AR1670,100)),""),INT($AR1670)),IFERROR(DATE(--LEFT(LEFT(SUBSTITUTE(SUBSTITUTE(SUBSTITUTE(SUBSTITUTE(TRIM($AR1670),"-",""),".",""),"/","")," ",""),8),4),--MID(LEFT(SUBSTITUTE(SUBSTITUTE(SUBSTITUTE(SUBSTITUTE(TRIM($AR1670),"-",""),".",""),"/","")," ",""),8),5,2),--MID(LEFT(SUBSTITUTE(SUBSTITUTE(SUBSTITUTE(SUBSTITUTE(TRIM($AR1670),"-",""),".",""),"/","")," ",""),8),7,2)),"")))</f>
        <v/>
      </c>
      <c r="AT1670" s="33">
        <f>IF($AS1670="","",IF($F$6="",0,IF(ISNUMBER(INDEX($A:$AP,ROW(),$F$6)),INDEX($A:$AP,ROW(),$F$6),IFERROR(--SUBSTITUTE(SUBSTITUTE(TRIM(INDEX($A:$AP,ROW(),$F$6)),",",""),"원",""),0))))</f>
        <v/>
      </c>
      <c r="AU1670" s="31">
        <f>IF($AS1670="","",IF($AX1670&lt;&gt;"",SUBSTITUTE(SUBSTITUTE($AX1670,"-","")," ",""),"N:"&amp;$AV1670))</f>
        <v/>
      </c>
      <c r="AV1670" s="31">
        <f>IF(OR($AS1670="",$E$6=""),"",TRIM(INDEX($A:$AP,ROW(),$E$6)&amp;""))</f>
        <v/>
      </c>
      <c r="AW1670" s="31">
        <f>IF($AU1670="","",IF(MATCH($AU1670,$AU$8:$AU$2007,0)=ROW()-7,MAX($AW$7:$AW1669)+1,""))</f>
        <v/>
      </c>
      <c r="AX1670" s="31">
        <f>IF(OR($AS1670="",$D$6=""),"",TRIM(INDEX($A:$AP,ROW(),$D$6)&amp;""))</f>
        <v/>
      </c>
      <c r="AY1670" s="31">
        <f>IF($AU1670="","",INDEX($AW$8:$AW$2007,MATCH($AU1670,$AU$8:$AU$2007,0)))</f>
        <v/>
      </c>
      <c r="AZ1670" s="31">
        <f>IF(OR($AS1670="",$C$6=""),"",TRIM(INDEX($A:$AP,ROW(),$C$6)&amp;""))</f>
        <v/>
      </c>
      <c r="BA1670" s="31">
        <f>IF($AZ1670="","",IF(COUNTIF($AZ$8:$AZ1670,$AZ1670)&gt;1,1,0))</f>
        <v/>
      </c>
    </row>
    <row r="1671">
      <c r="AR1671" s="31">
        <f>IF(OR($A$5="",$B$6="",ROW()&lt;$A$5),"",IF(INDEX($A:$AP,ROW(),$B$6)="","",INDEX($A:$AP,ROW(),$B$6)))</f>
        <v/>
      </c>
      <c r="AS1671" s="32">
        <f>IF($AR1671="","",IF(ISNUMBER($AR1671),IF($AR1671&gt;=10000000,IFERROR(DATE(INT($AR1671/10000),MOD(INT($AR1671/100),100),MOD($AR1671,100)),""),INT($AR1671)),IFERROR(DATE(--LEFT(LEFT(SUBSTITUTE(SUBSTITUTE(SUBSTITUTE(SUBSTITUTE(TRIM($AR1671),"-",""),".",""),"/","")," ",""),8),4),--MID(LEFT(SUBSTITUTE(SUBSTITUTE(SUBSTITUTE(SUBSTITUTE(TRIM($AR1671),"-",""),".",""),"/","")," ",""),8),5,2),--MID(LEFT(SUBSTITUTE(SUBSTITUTE(SUBSTITUTE(SUBSTITUTE(TRIM($AR1671),"-",""),".",""),"/","")," ",""),8),7,2)),"")))</f>
        <v/>
      </c>
      <c r="AT1671" s="33">
        <f>IF($AS1671="","",IF($F$6="",0,IF(ISNUMBER(INDEX($A:$AP,ROW(),$F$6)),INDEX($A:$AP,ROW(),$F$6),IFERROR(--SUBSTITUTE(SUBSTITUTE(TRIM(INDEX($A:$AP,ROW(),$F$6)),",",""),"원",""),0))))</f>
        <v/>
      </c>
      <c r="AU1671" s="31">
        <f>IF($AS1671="","",IF($AX1671&lt;&gt;"",SUBSTITUTE(SUBSTITUTE($AX1671,"-","")," ",""),"N:"&amp;$AV1671))</f>
        <v/>
      </c>
      <c r="AV1671" s="31">
        <f>IF(OR($AS1671="",$E$6=""),"",TRIM(INDEX($A:$AP,ROW(),$E$6)&amp;""))</f>
        <v/>
      </c>
      <c r="AW1671" s="31">
        <f>IF($AU1671="","",IF(MATCH($AU1671,$AU$8:$AU$2007,0)=ROW()-7,MAX($AW$7:$AW1670)+1,""))</f>
        <v/>
      </c>
      <c r="AX1671" s="31">
        <f>IF(OR($AS1671="",$D$6=""),"",TRIM(INDEX($A:$AP,ROW(),$D$6)&amp;""))</f>
        <v/>
      </c>
      <c r="AY1671" s="31">
        <f>IF($AU1671="","",INDEX($AW$8:$AW$2007,MATCH($AU1671,$AU$8:$AU$2007,0)))</f>
        <v/>
      </c>
      <c r="AZ1671" s="31">
        <f>IF(OR($AS1671="",$C$6=""),"",TRIM(INDEX($A:$AP,ROW(),$C$6)&amp;""))</f>
        <v/>
      </c>
      <c r="BA1671" s="31">
        <f>IF($AZ1671="","",IF(COUNTIF($AZ$8:$AZ1671,$AZ1671)&gt;1,1,0))</f>
        <v/>
      </c>
    </row>
    <row r="1672">
      <c r="AR1672" s="31">
        <f>IF(OR($A$5="",$B$6="",ROW()&lt;$A$5),"",IF(INDEX($A:$AP,ROW(),$B$6)="","",INDEX($A:$AP,ROW(),$B$6)))</f>
        <v/>
      </c>
      <c r="AS1672" s="32">
        <f>IF($AR1672="","",IF(ISNUMBER($AR1672),IF($AR1672&gt;=10000000,IFERROR(DATE(INT($AR1672/10000),MOD(INT($AR1672/100),100),MOD($AR1672,100)),""),INT($AR1672)),IFERROR(DATE(--LEFT(LEFT(SUBSTITUTE(SUBSTITUTE(SUBSTITUTE(SUBSTITUTE(TRIM($AR1672),"-",""),".",""),"/","")," ",""),8),4),--MID(LEFT(SUBSTITUTE(SUBSTITUTE(SUBSTITUTE(SUBSTITUTE(TRIM($AR1672),"-",""),".",""),"/","")," ",""),8),5,2),--MID(LEFT(SUBSTITUTE(SUBSTITUTE(SUBSTITUTE(SUBSTITUTE(TRIM($AR1672),"-",""),".",""),"/","")," ",""),8),7,2)),"")))</f>
        <v/>
      </c>
      <c r="AT1672" s="33">
        <f>IF($AS1672="","",IF($F$6="",0,IF(ISNUMBER(INDEX($A:$AP,ROW(),$F$6)),INDEX($A:$AP,ROW(),$F$6),IFERROR(--SUBSTITUTE(SUBSTITUTE(TRIM(INDEX($A:$AP,ROW(),$F$6)),",",""),"원",""),0))))</f>
        <v/>
      </c>
      <c r="AU1672" s="31">
        <f>IF($AS1672="","",IF($AX1672&lt;&gt;"",SUBSTITUTE(SUBSTITUTE($AX1672,"-","")," ",""),"N:"&amp;$AV1672))</f>
        <v/>
      </c>
      <c r="AV1672" s="31">
        <f>IF(OR($AS1672="",$E$6=""),"",TRIM(INDEX($A:$AP,ROW(),$E$6)&amp;""))</f>
        <v/>
      </c>
      <c r="AW1672" s="31">
        <f>IF($AU1672="","",IF(MATCH($AU1672,$AU$8:$AU$2007,0)=ROW()-7,MAX($AW$7:$AW1671)+1,""))</f>
        <v/>
      </c>
      <c r="AX1672" s="31">
        <f>IF(OR($AS1672="",$D$6=""),"",TRIM(INDEX($A:$AP,ROW(),$D$6)&amp;""))</f>
        <v/>
      </c>
      <c r="AY1672" s="31">
        <f>IF($AU1672="","",INDEX($AW$8:$AW$2007,MATCH($AU1672,$AU$8:$AU$2007,0)))</f>
        <v/>
      </c>
      <c r="AZ1672" s="31">
        <f>IF(OR($AS1672="",$C$6=""),"",TRIM(INDEX($A:$AP,ROW(),$C$6)&amp;""))</f>
        <v/>
      </c>
      <c r="BA1672" s="31">
        <f>IF($AZ1672="","",IF(COUNTIF($AZ$8:$AZ1672,$AZ1672)&gt;1,1,0))</f>
        <v/>
      </c>
    </row>
    <row r="1673">
      <c r="AR1673" s="31">
        <f>IF(OR($A$5="",$B$6="",ROW()&lt;$A$5),"",IF(INDEX($A:$AP,ROW(),$B$6)="","",INDEX($A:$AP,ROW(),$B$6)))</f>
        <v/>
      </c>
      <c r="AS1673" s="32">
        <f>IF($AR1673="","",IF(ISNUMBER($AR1673),IF($AR1673&gt;=10000000,IFERROR(DATE(INT($AR1673/10000),MOD(INT($AR1673/100),100),MOD($AR1673,100)),""),INT($AR1673)),IFERROR(DATE(--LEFT(LEFT(SUBSTITUTE(SUBSTITUTE(SUBSTITUTE(SUBSTITUTE(TRIM($AR1673),"-",""),".",""),"/","")," ",""),8),4),--MID(LEFT(SUBSTITUTE(SUBSTITUTE(SUBSTITUTE(SUBSTITUTE(TRIM($AR1673),"-",""),".",""),"/","")," ",""),8),5,2),--MID(LEFT(SUBSTITUTE(SUBSTITUTE(SUBSTITUTE(SUBSTITUTE(TRIM($AR1673),"-",""),".",""),"/","")," ",""),8),7,2)),"")))</f>
        <v/>
      </c>
      <c r="AT1673" s="33">
        <f>IF($AS1673="","",IF($F$6="",0,IF(ISNUMBER(INDEX($A:$AP,ROW(),$F$6)),INDEX($A:$AP,ROW(),$F$6),IFERROR(--SUBSTITUTE(SUBSTITUTE(TRIM(INDEX($A:$AP,ROW(),$F$6)),",",""),"원",""),0))))</f>
        <v/>
      </c>
      <c r="AU1673" s="31">
        <f>IF($AS1673="","",IF($AX1673&lt;&gt;"",SUBSTITUTE(SUBSTITUTE($AX1673,"-","")," ",""),"N:"&amp;$AV1673))</f>
        <v/>
      </c>
      <c r="AV1673" s="31">
        <f>IF(OR($AS1673="",$E$6=""),"",TRIM(INDEX($A:$AP,ROW(),$E$6)&amp;""))</f>
        <v/>
      </c>
      <c r="AW1673" s="31">
        <f>IF($AU1673="","",IF(MATCH($AU1673,$AU$8:$AU$2007,0)=ROW()-7,MAX($AW$7:$AW1672)+1,""))</f>
        <v/>
      </c>
      <c r="AX1673" s="31">
        <f>IF(OR($AS1673="",$D$6=""),"",TRIM(INDEX($A:$AP,ROW(),$D$6)&amp;""))</f>
        <v/>
      </c>
      <c r="AY1673" s="31">
        <f>IF($AU1673="","",INDEX($AW$8:$AW$2007,MATCH($AU1673,$AU$8:$AU$2007,0)))</f>
        <v/>
      </c>
      <c r="AZ1673" s="31">
        <f>IF(OR($AS1673="",$C$6=""),"",TRIM(INDEX($A:$AP,ROW(),$C$6)&amp;""))</f>
        <v/>
      </c>
      <c r="BA1673" s="31">
        <f>IF($AZ1673="","",IF(COUNTIF($AZ$8:$AZ1673,$AZ1673)&gt;1,1,0))</f>
        <v/>
      </c>
    </row>
    <row r="1674">
      <c r="AR1674" s="31">
        <f>IF(OR($A$5="",$B$6="",ROW()&lt;$A$5),"",IF(INDEX($A:$AP,ROW(),$B$6)="","",INDEX($A:$AP,ROW(),$B$6)))</f>
        <v/>
      </c>
      <c r="AS1674" s="32">
        <f>IF($AR1674="","",IF(ISNUMBER($AR1674),IF($AR1674&gt;=10000000,IFERROR(DATE(INT($AR1674/10000),MOD(INT($AR1674/100),100),MOD($AR1674,100)),""),INT($AR1674)),IFERROR(DATE(--LEFT(LEFT(SUBSTITUTE(SUBSTITUTE(SUBSTITUTE(SUBSTITUTE(TRIM($AR1674),"-",""),".",""),"/","")," ",""),8),4),--MID(LEFT(SUBSTITUTE(SUBSTITUTE(SUBSTITUTE(SUBSTITUTE(TRIM($AR1674),"-",""),".",""),"/","")," ",""),8),5,2),--MID(LEFT(SUBSTITUTE(SUBSTITUTE(SUBSTITUTE(SUBSTITUTE(TRIM($AR1674),"-",""),".",""),"/","")," ",""),8),7,2)),"")))</f>
        <v/>
      </c>
      <c r="AT1674" s="33">
        <f>IF($AS1674="","",IF($F$6="",0,IF(ISNUMBER(INDEX($A:$AP,ROW(),$F$6)),INDEX($A:$AP,ROW(),$F$6),IFERROR(--SUBSTITUTE(SUBSTITUTE(TRIM(INDEX($A:$AP,ROW(),$F$6)),",",""),"원",""),0))))</f>
        <v/>
      </c>
      <c r="AU1674" s="31">
        <f>IF($AS1674="","",IF($AX1674&lt;&gt;"",SUBSTITUTE(SUBSTITUTE($AX1674,"-","")," ",""),"N:"&amp;$AV1674))</f>
        <v/>
      </c>
      <c r="AV1674" s="31">
        <f>IF(OR($AS1674="",$E$6=""),"",TRIM(INDEX($A:$AP,ROW(),$E$6)&amp;""))</f>
        <v/>
      </c>
      <c r="AW1674" s="31">
        <f>IF($AU1674="","",IF(MATCH($AU1674,$AU$8:$AU$2007,0)=ROW()-7,MAX($AW$7:$AW1673)+1,""))</f>
        <v/>
      </c>
      <c r="AX1674" s="31">
        <f>IF(OR($AS1674="",$D$6=""),"",TRIM(INDEX($A:$AP,ROW(),$D$6)&amp;""))</f>
        <v/>
      </c>
      <c r="AY1674" s="31">
        <f>IF($AU1674="","",INDEX($AW$8:$AW$2007,MATCH($AU1674,$AU$8:$AU$2007,0)))</f>
        <v/>
      </c>
      <c r="AZ1674" s="31">
        <f>IF(OR($AS1674="",$C$6=""),"",TRIM(INDEX($A:$AP,ROW(),$C$6)&amp;""))</f>
        <v/>
      </c>
      <c r="BA1674" s="31">
        <f>IF($AZ1674="","",IF(COUNTIF($AZ$8:$AZ1674,$AZ1674)&gt;1,1,0))</f>
        <v/>
      </c>
    </row>
    <row r="1675">
      <c r="AR1675" s="31">
        <f>IF(OR($A$5="",$B$6="",ROW()&lt;$A$5),"",IF(INDEX($A:$AP,ROW(),$B$6)="","",INDEX($A:$AP,ROW(),$B$6)))</f>
        <v/>
      </c>
      <c r="AS1675" s="32">
        <f>IF($AR1675="","",IF(ISNUMBER($AR1675),IF($AR1675&gt;=10000000,IFERROR(DATE(INT($AR1675/10000),MOD(INT($AR1675/100),100),MOD($AR1675,100)),""),INT($AR1675)),IFERROR(DATE(--LEFT(LEFT(SUBSTITUTE(SUBSTITUTE(SUBSTITUTE(SUBSTITUTE(TRIM($AR1675),"-",""),".",""),"/","")," ",""),8),4),--MID(LEFT(SUBSTITUTE(SUBSTITUTE(SUBSTITUTE(SUBSTITUTE(TRIM($AR1675),"-",""),".",""),"/","")," ",""),8),5,2),--MID(LEFT(SUBSTITUTE(SUBSTITUTE(SUBSTITUTE(SUBSTITUTE(TRIM($AR1675),"-",""),".",""),"/","")," ",""),8),7,2)),"")))</f>
        <v/>
      </c>
      <c r="AT1675" s="33">
        <f>IF($AS1675="","",IF($F$6="",0,IF(ISNUMBER(INDEX($A:$AP,ROW(),$F$6)),INDEX($A:$AP,ROW(),$F$6),IFERROR(--SUBSTITUTE(SUBSTITUTE(TRIM(INDEX($A:$AP,ROW(),$F$6)),",",""),"원",""),0))))</f>
        <v/>
      </c>
      <c r="AU1675" s="31">
        <f>IF($AS1675="","",IF($AX1675&lt;&gt;"",SUBSTITUTE(SUBSTITUTE($AX1675,"-","")," ",""),"N:"&amp;$AV1675))</f>
        <v/>
      </c>
      <c r="AV1675" s="31">
        <f>IF(OR($AS1675="",$E$6=""),"",TRIM(INDEX($A:$AP,ROW(),$E$6)&amp;""))</f>
        <v/>
      </c>
      <c r="AW1675" s="31">
        <f>IF($AU1675="","",IF(MATCH($AU1675,$AU$8:$AU$2007,0)=ROW()-7,MAX($AW$7:$AW1674)+1,""))</f>
        <v/>
      </c>
      <c r="AX1675" s="31">
        <f>IF(OR($AS1675="",$D$6=""),"",TRIM(INDEX($A:$AP,ROW(),$D$6)&amp;""))</f>
        <v/>
      </c>
      <c r="AY1675" s="31">
        <f>IF($AU1675="","",INDEX($AW$8:$AW$2007,MATCH($AU1675,$AU$8:$AU$2007,0)))</f>
        <v/>
      </c>
      <c r="AZ1675" s="31">
        <f>IF(OR($AS1675="",$C$6=""),"",TRIM(INDEX($A:$AP,ROW(),$C$6)&amp;""))</f>
        <v/>
      </c>
      <c r="BA1675" s="31">
        <f>IF($AZ1675="","",IF(COUNTIF($AZ$8:$AZ1675,$AZ1675)&gt;1,1,0))</f>
        <v/>
      </c>
    </row>
    <row r="1676">
      <c r="AR1676" s="31">
        <f>IF(OR($A$5="",$B$6="",ROW()&lt;$A$5),"",IF(INDEX($A:$AP,ROW(),$B$6)="","",INDEX($A:$AP,ROW(),$B$6)))</f>
        <v/>
      </c>
      <c r="AS1676" s="32">
        <f>IF($AR1676="","",IF(ISNUMBER($AR1676),IF($AR1676&gt;=10000000,IFERROR(DATE(INT($AR1676/10000),MOD(INT($AR1676/100),100),MOD($AR1676,100)),""),INT($AR1676)),IFERROR(DATE(--LEFT(LEFT(SUBSTITUTE(SUBSTITUTE(SUBSTITUTE(SUBSTITUTE(TRIM($AR1676),"-",""),".",""),"/","")," ",""),8),4),--MID(LEFT(SUBSTITUTE(SUBSTITUTE(SUBSTITUTE(SUBSTITUTE(TRIM($AR1676),"-",""),".",""),"/","")," ",""),8),5,2),--MID(LEFT(SUBSTITUTE(SUBSTITUTE(SUBSTITUTE(SUBSTITUTE(TRIM($AR1676),"-",""),".",""),"/","")," ",""),8),7,2)),"")))</f>
        <v/>
      </c>
      <c r="AT1676" s="33">
        <f>IF($AS1676="","",IF($F$6="",0,IF(ISNUMBER(INDEX($A:$AP,ROW(),$F$6)),INDEX($A:$AP,ROW(),$F$6),IFERROR(--SUBSTITUTE(SUBSTITUTE(TRIM(INDEX($A:$AP,ROW(),$F$6)),",",""),"원",""),0))))</f>
        <v/>
      </c>
      <c r="AU1676" s="31">
        <f>IF($AS1676="","",IF($AX1676&lt;&gt;"",SUBSTITUTE(SUBSTITUTE($AX1676,"-","")," ",""),"N:"&amp;$AV1676))</f>
        <v/>
      </c>
      <c r="AV1676" s="31">
        <f>IF(OR($AS1676="",$E$6=""),"",TRIM(INDEX($A:$AP,ROW(),$E$6)&amp;""))</f>
        <v/>
      </c>
      <c r="AW1676" s="31">
        <f>IF($AU1676="","",IF(MATCH($AU1676,$AU$8:$AU$2007,0)=ROW()-7,MAX($AW$7:$AW1675)+1,""))</f>
        <v/>
      </c>
      <c r="AX1676" s="31">
        <f>IF(OR($AS1676="",$D$6=""),"",TRIM(INDEX($A:$AP,ROW(),$D$6)&amp;""))</f>
        <v/>
      </c>
      <c r="AY1676" s="31">
        <f>IF($AU1676="","",INDEX($AW$8:$AW$2007,MATCH($AU1676,$AU$8:$AU$2007,0)))</f>
        <v/>
      </c>
      <c r="AZ1676" s="31">
        <f>IF(OR($AS1676="",$C$6=""),"",TRIM(INDEX($A:$AP,ROW(),$C$6)&amp;""))</f>
        <v/>
      </c>
      <c r="BA1676" s="31">
        <f>IF($AZ1676="","",IF(COUNTIF($AZ$8:$AZ1676,$AZ1676)&gt;1,1,0))</f>
        <v/>
      </c>
    </row>
    <row r="1677">
      <c r="AR1677" s="31">
        <f>IF(OR($A$5="",$B$6="",ROW()&lt;$A$5),"",IF(INDEX($A:$AP,ROW(),$B$6)="","",INDEX($A:$AP,ROW(),$B$6)))</f>
        <v/>
      </c>
      <c r="AS1677" s="32">
        <f>IF($AR1677="","",IF(ISNUMBER($AR1677),IF($AR1677&gt;=10000000,IFERROR(DATE(INT($AR1677/10000),MOD(INT($AR1677/100),100),MOD($AR1677,100)),""),INT($AR1677)),IFERROR(DATE(--LEFT(LEFT(SUBSTITUTE(SUBSTITUTE(SUBSTITUTE(SUBSTITUTE(TRIM($AR1677),"-",""),".",""),"/","")," ",""),8),4),--MID(LEFT(SUBSTITUTE(SUBSTITUTE(SUBSTITUTE(SUBSTITUTE(TRIM($AR1677),"-",""),".",""),"/","")," ",""),8),5,2),--MID(LEFT(SUBSTITUTE(SUBSTITUTE(SUBSTITUTE(SUBSTITUTE(TRIM($AR1677),"-",""),".",""),"/","")," ",""),8),7,2)),"")))</f>
        <v/>
      </c>
      <c r="AT1677" s="33">
        <f>IF($AS1677="","",IF($F$6="",0,IF(ISNUMBER(INDEX($A:$AP,ROW(),$F$6)),INDEX($A:$AP,ROW(),$F$6),IFERROR(--SUBSTITUTE(SUBSTITUTE(TRIM(INDEX($A:$AP,ROW(),$F$6)),",",""),"원",""),0))))</f>
        <v/>
      </c>
      <c r="AU1677" s="31">
        <f>IF($AS1677="","",IF($AX1677&lt;&gt;"",SUBSTITUTE(SUBSTITUTE($AX1677,"-","")," ",""),"N:"&amp;$AV1677))</f>
        <v/>
      </c>
      <c r="AV1677" s="31">
        <f>IF(OR($AS1677="",$E$6=""),"",TRIM(INDEX($A:$AP,ROW(),$E$6)&amp;""))</f>
        <v/>
      </c>
      <c r="AW1677" s="31">
        <f>IF($AU1677="","",IF(MATCH($AU1677,$AU$8:$AU$2007,0)=ROW()-7,MAX($AW$7:$AW1676)+1,""))</f>
        <v/>
      </c>
      <c r="AX1677" s="31">
        <f>IF(OR($AS1677="",$D$6=""),"",TRIM(INDEX($A:$AP,ROW(),$D$6)&amp;""))</f>
        <v/>
      </c>
      <c r="AY1677" s="31">
        <f>IF($AU1677="","",INDEX($AW$8:$AW$2007,MATCH($AU1677,$AU$8:$AU$2007,0)))</f>
        <v/>
      </c>
      <c r="AZ1677" s="31">
        <f>IF(OR($AS1677="",$C$6=""),"",TRIM(INDEX($A:$AP,ROW(),$C$6)&amp;""))</f>
        <v/>
      </c>
      <c r="BA1677" s="31">
        <f>IF($AZ1677="","",IF(COUNTIF($AZ$8:$AZ1677,$AZ1677)&gt;1,1,0))</f>
        <v/>
      </c>
    </row>
    <row r="1678">
      <c r="AR1678" s="31">
        <f>IF(OR($A$5="",$B$6="",ROW()&lt;$A$5),"",IF(INDEX($A:$AP,ROW(),$B$6)="","",INDEX($A:$AP,ROW(),$B$6)))</f>
        <v/>
      </c>
      <c r="AS1678" s="32">
        <f>IF($AR1678="","",IF(ISNUMBER($AR1678),IF($AR1678&gt;=10000000,IFERROR(DATE(INT($AR1678/10000),MOD(INT($AR1678/100),100),MOD($AR1678,100)),""),INT($AR1678)),IFERROR(DATE(--LEFT(LEFT(SUBSTITUTE(SUBSTITUTE(SUBSTITUTE(SUBSTITUTE(TRIM($AR1678),"-",""),".",""),"/","")," ",""),8),4),--MID(LEFT(SUBSTITUTE(SUBSTITUTE(SUBSTITUTE(SUBSTITUTE(TRIM($AR1678),"-",""),".",""),"/","")," ",""),8),5,2),--MID(LEFT(SUBSTITUTE(SUBSTITUTE(SUBSTITUTE(SUBSTITUTE(TRIM($AR1678),"-",""),".",""),"/","")," ",""),8),7,2)),"")))</f>
        <v/>
      </c>
      <c r="AT1678" s="33">
        <f>IF($AS1678="","",IF($F$6="",0,IF(ISNUMBER(INDEX($A:$AP,ROW(),$F$6)),INDEX($A:$AP,ROW(),$F$6),IFERROR(--SUBSTITUTE(SUBSTITUTE(TRIM(INDEX($A:$AP,ROW(),$F$6)),",",""),"원",""),0))))</f>
        <v/>
      </c>
      <c r="AU1678" s="31">
        <f>IF($AS1678="","",IF($AX1678&lt;&gt;"",SUBSTITUTE(SUBSTITUTE($AX1678,"-","")," ",""),"N:"&amp;$AV1678))</f>
        <v/>
      </c>
      <c r="AV1678" s="31">
        <f>IF(OR($AS1678="",$E$6=""),"",TRIM(INDEX($A:$AP,ROW(),$E$6)&amp;""))</f>
        <v/>
      </c>
      <c r="AW1678" s="31">
        <f>IF($AU1678="","",IF(MATCH($AU1678,$AU$8:$AU$2007,0)=ROW()-7,MAX($AW$7:$AW1677)+1,""))</f>
        <v/>
      </c>
      <c r="AX1678" s="31">
        <f>IF(OR($AS1678="",$D$6=""),"",TRIM(INDEX($A:$AP,ROW(),$D$6)&amp;""))</f>
        <v/>
      </c>
      <c r="AY1678" s="31">
        <f>IF($AU1678="","",INDEX($AW$8:$AW$2007,MATCH($AU1678,$AU$8:$AU$2007,0)))</f>
        <v/>
      </c>
      <c r="AZ1678" s="31">
        <f>IF(OR($AS1678="",$C$6=""),"",TRIM(INDEX($A:$AP,ROW(),$C$6)&amp;""))</f>
        <v/>
      </c>
      <c r="BA1678" s="31">
        <f>IF($AZ1678="","",IF(COUNTIF($AZ$8:$AZ1678,$AZ1678)&gt;1,1,0))</f>
        <v/>
      </c>
    </row>
    <row r="1679">
      <c r="AR1679" s="31">
        <f>IF(OR($A$5="",$B$6="",ROW()&lt;$A$5),"",IF(INDEX($A:$AP,ROW(),$B$6)="","",INDEX($A:$AP,ROW(),$B$6)))</f>
        <v/>
      </c>
      <c r="AS1679" s="32">
        <f>IF($AR1679="","",IF(ISNUMBER($AR1679),IF($AR1679&gt;=10000000,IFERROR(DATE(INT($AR1679/10000),MOD(INT($AR1679/100),100),MOD($AR1679,100)),""),INT($AR1679)),IFERROR(DATE(--LEFT(LEFT(SUBSTITUTE(SUBSTITUTE(SUBSTITUTE(SUBSTITUTE(TRIM($AR1679),"-",""),".",""),"/","")," ",""),8),4),--MID(LEFT(SUBSTITUTE(SUBSTITUTE(SUBSTITUTE(SUBSTITUTE(TRIM($AR1679),"-",""),".",""),"/","")," ",""),8),5,2),--MID(LEFT(SUBSTITUTE(SUBSTITUTE(SUBSTITUTE(SUBSTITUTE(TRIM($AR1679),"-",""),".",""),"/","")," ",""),8),7,2)),"")))</f>
        <v/>
      </c>
      <c r="AT1679" s="33">
        <f>IF($AS1679="","",IF($F$6="",0,IF(ISNUMBER(INDEX($A:$AP,ROW(),$F$6)),INDEX($A:$AP,ROW(),$F$6),IFERROR(--SUBSTITUTE(SUBSTITUTE(TRIM(INDEX($A:$AP,ROW(),$F$6)),",",""),"원",""),0))))</f>
        <v/>
      </c>
      <c r="AU1679" s="31">
        <f>IF($AS1679="","",IF($AX1679&lt;&gt;"",SUBSTITUTE(SUBSTITUTE($AX1679,"-","")," ",""),"N:"&amp;$AV1679))</f>
        <v/>
      </c>
      <c r="AV1679" s="31">
        <f>IF(OR($AS1679="",$E$6=""),"",TRIM(INDEX($A:$AP,ROW(),$E$6)&amp;""))</f>
        <v/>
      </c>
      <c r="AW1679" s="31">
        <f>IF($AU1679="","",IF(MATCH($AU1679,$AU$8:$AU$2007,0)=ROW()-7,MAX($AW$7:$AW1678)+1,""))</f>
        <v/>
      </c>
      <c r="AX1679" s="31">
        <f>IF(OR($AS1679="",$D$6=""),"",TRIM(INDEX($A:$AP,ROW(),$D$6)&amp;""))</f>
        <v/>
      </c>
      <c r="AY1679" s="31">
        <f>IF($AU1679="","",INDEX($AW$8:$AW$2007,MATCH($AU1679,$AU$8:$AU$2007,0)))</f>
        <v/>
      </c>
      <c r="AZ1679" s="31">
        <f>IF(OR($AS1679="",$C$6=""),"",TRIM(INDEX($A:$AP,ROW(),$C$6)&amp;""))</f>
        <v/>
      </c>
      <c r="BA1679" s="31">
        <f>IF($AZ1679="","",IF(COUNTIF($AZ$8:$AZ1679,$AZ1679)&gt;1,1,0))</f>
        <v/>
      </c>
    </row>
    <row r="1680">
      <c r="AR1680" s="31">
        <f>IF(OR($A$5="",$B$6="",ROW()&lt;$A$5),"",IF(INDEX($A:$AP,ROW(),$B$6)="","",INDEX($A:$AP,ROW(),$B$6)))</f>
        <v/>
      </c>
      <c r="AS1680" s="32">
        <f>IF($AR1680="","",IF(ISNUMBER($AR1680),IF($AR1680&gt;=10000000,IFERROR(DATE(INT($AR1680/10000),MOD(INT($AR1680/100),100),MOD($AR1680,100)),""),INT($AR1680)),IFERROR(DATE(--LEFT(LEFT(SUBSTITUTE(SUBSTITUTE(SUBSTITUTE(SUBSTITUTE(TRIM($AR1680),"-",""),".",""),"/","")," ",""),8),4),--MID(LEFT(SUBSTITUTE(SUBSTITUTE(SUBSTITUTE(SUBSTITUTE(TRIM($AR1680),"-",""),".",""),"/","")," ",""),8),5,2),--MID(LEFT(SUBSTITUTE(SUBSTITUTE(SUBSTITUTE(SUBSTITUTE(TRIM($AR1680),"-",""),".",""),"/","")," ",""),8),7,2)),"")))</f>
        <v/>
      </c>
      <c r="AT1680" s="33">
        <f>IF($AS1680="","",IF($F$6="",0,IF(ISNUMBER(INDEX($A:$AP,ROW(),$F$6)),INDEX($A:$AP,ROW(),$F$6),IFERROR(--SUBSTITUTE(SUBSTITUTE(TRIM(INDEX($A:$AP,ROW(),$F$6)),",",""),"원",""),0))))</f>
        <v/>
      </c>
      <c r="AU1680" s="31">
        <f>IF($AS1680="","",IF($AX1680&lt;&gt;"",SUBSTITUTE(SUBSTITUTE($AX1680,"-","")," ",""),"N:"&amp;$AV1680))</f>
        <v/>
      </c>
      <c r="AV1680" s="31">
        <f>IF(OR($AS1680="",$E$6=""),"",TRIM(INDEX($A:$AP,ROW(),$E$6)&amp;""))</f>
        <v/>
      </c>
      <c r="AW1680" s="31">
        <f>IF($AU1680="","",IF(MATCH($AU1680,$AU$8:$AU$2007,0)=ROW()-7,MAX($AW$7:$AW1679)+1,""))</f>
        <v/>
      </c>
      <c r="AX1680" s="31">
        <f>IF(OR($AS1680="",$D$6=""),"",TRIM(INDEX($A:$AP,ROW(),$D$6)&amp;""))</f>
        <v/>
      </c>
      <c r="AY1680" s="31">
        <f>IF($AU1680="","",INDEX($AW$8:$AW$2007,MATCH($AU1680,$AU$8:$AU$2007,0)))</f>
        <v/>
      </c>
      <c r="AZ1680" s="31">
        <f>IF(OR($AS1680="",$C$6=""),"",TRIM(INDEX($A:$AP,ROW(),$C$6)&amp;""))</f>
        <v/>
      </c>
      <c r="BA1680" s="31">
        <f>IF($AZ1680="","",IF(COUNTIF($AZ$8:$AZ1680,$AZ1680)&gt;1,1,0))</f>
        <v/>
      </c>
    </row>
    <row r="1681">
      <c r="AR1681" s="31">
        <f>IF(OR($A$5="",$B$6="",ROW()&lt;$A$5),"",IF(INDEX($A:$AP,ROW(),$B$6)="","",INDEX($A:$AP,ROW(),$B$6)))</f>
        <v/>
      </c>
      <c r="AS1681" s="32">
        <f>IF($AR1681="","",IF(ISNUMBER($AR1681),IF($AR1681&gt;=10000000,IFERROR(DATE(INT($AR1681/10000),MOD(INT($AR1681/100),100),MOD($AR1681,100)),""),INT($AR1681)),IFERROR(DATE(--LEFT(LEFT(SUBSTITUTE(SUBSTITUTE(SUBSTITUTE(SUBSTITUTE(TRIM($AR1681),"-",""),".",""),"/","")," ",""),8),4),--MID(LEFT(SUBSTITUTE(SUBSTITUTE(SUBSTITUTE(SUBSTITUTE(TRIM($AR1681),"-",""),".",""),"/","")," ",""),8),5,2),--MID(LEFT(SUBSTITUTE(SUBSTITUTE(SUBSTITUTE(SUBSTITUTE(TRIM($AR1681),"-",""),".",""),"/","")," ",""),8),7,2)),"")))</f>
        <v/>
      </c>
      <c r="AT1681" s="33">
        <f>IF($AS1681="","",IF($F$6="",0,IF(ISNUMBER(INDEX($A:$AP,ROW(),$F$6)),INDEX($A:$AP,ROW(),$F$6),IFERROR(--SUBSTITUTE(SUBSTITUTE(TRIM(INDEX($A:$AP,ROW(),$F$6)),",",""),"원",""),0))))</f>
        <v/>
      </c>
      <c r="AU1681" s="31">
        <f>IF($AS1681="","",IF($AX1681&lt;&gt;"",SUBSTITUTE(SUBSTITUTE($AX1681,"-","")," ",""),"N:"&amp;$AV1681))</f>
        <v/>
      </c>
      <c r="AV1681" s="31">
        <f>IF(OR($AS1681="",$E$6=""),"",TRIM(INDEX($A:$AP,ROW(),$E$6)&amp;""))</f>
        <v/>
      </c>
      <c r="AW1681" s="31">
        <f>IF($AU1681="","",IF(MATCH($AU1681,$AU$8:$AU$2007,0)=ROW()-7,MAX($AW$7:$AW1680)+1,""))</f>
        <v/>
      </c>
      <c r="AX1681" s="31">
        <f>IF(OR($AS1681="",$D$6=""),"",TRIM(INDEX($A:$AP,ROW(),$D$6)&amp;""))</f>
        <v/>
      </c>
      <c r="AY1681" s="31">
        <f>IF($AU1681="","",INDEX($AW$8:$AW$2007,MATCH($AU1681,$AU$8:$AU$2007,0)))</f>
        <v/>
      </c>
      <c r="AZ1681" s="31">
        <f>IF(OR($AS1681="",$C$6=""),"",TRIM(INDEX($A:$AP,ROW(),$C$6)&amp;""))</f>
        <v/>
      </c>
      <c r="BA1681" s="31">
        <f>IF($AZ1681="","",IF(COUNTIF($AZ$8:$AZ1681,$AZ1681)&gt;1,1,0))</f>
        <v/>
      </c>
    </row>
    <row r="1682">
      <c r="AR1682" s="31">
        <f>IF(OR($A$5="",$B$6="",ROW()&lt;$A$5),"",IF(INDEX($A:$AP,ROW(),$B$6)="","",INDEX($A:$AP,ROW(),$B$6)))</f>
        <v/>
      </c>
      <c r="AS1682" s="32">
        <f>IF($AR1682="","",IF(ISNUMBER($AR1682),IF($AR1682&gt;=10000000,IFERROR(DATE(INT($AR1682/10000),MOD(INT($AR1682/100),100),MOD($AR1682,100)),""),INT($AR1682)),IFERROR(DATE(--LEFT(LEFT(SUBSTITUTE(SUBSTITUTE(SUBSTITUTE(SUBSTITUTE(TRIM($AR1682),"-",""),".",""),"/","")," ",""),8),4),--MID(LEFT(SUBSTITUTE(SUBSTITUTE(SUBSTITUTE(SUBSTITUTE(TRIM($AR1682),"-",""),".",""),"/","")," ",""),8),5,2),--MID(LEFT(SUBSTITUTE(SUBSTITUTE(SUBSTITUTE(SUBSTITUTE(TRIM($AR1682),"-",""),".",""),"/","")," ",""),8),7,2)),"")))</f>
        <v/>
      </c>
      <c r="AT1682" s="33">
        <f>IF($AS1682="","",IF($F$6="",0,IF(ISNUMBER(INDEX($A:$AP,ROW(),$F$6)),INDEX($A:$AP,ROW(),$F$6),IFERROR(--SUBSTITUTE(SUBSTITUTE(TRIM(INDEX($A:$AP,ROW(),$F$6)),",",""),"원",""),0))))</f>
        <v/>
      </c>
      <c r="AU1682" s="31">
        <f>IF($AS1682="","",IF($AX1682&lt;&gt;"",SUBSTITUTE(SUBSTITUTE($AX1682,"-","")," ",""),"N:"&amp;$AV1682))</f>
        <v/>
      </c>
      <c r="AV1682" s="31">
        <f>IF(OR($AS1682="",$E$6=""),"",TRIM(INDEX($A:$AP,ROW(),$E$6)&amp;""))</f>
        <v/>
      </c>
      <c r="AW1682" s="31">
        <f>IF($AU1682="","",IF(MATCH($AU1682,$AU$8:$AU$2007,0)=ROW()-7,MAX($AW$7:$AW1681)+1,""))</f>
        <v/>
      </c>
      <c r="AX1682" s="31">
        <f>IF(OR($AS1682="",$D$6=""),"",TRIM(INDEX($A:$AP,ROW(),$D$6)&amp;""))</f>
        <v/>
      </c>
      <c r="AY1682" s="31">
        <f>IF($AU1682="","",INDEX($AW$8:$AW$2007,MATCH($AU1682,$AU$8:$AU$2007,0)))</f>
        <v/>
      </c>
      <c r="AZ1682" s="31">
        <f>IF(OR($AS1682="",$C$6=""),"",TRIM(INDEX($A:$AP,ROW(),$C$6)&amp;""))</f>
        <v/>
      </c>
      <c r="BA1682" s="31">
        <f>IF($AZ1682="","",IF(COUNTIF($AZ$8:$AZ1682,$AZ1682)&gt;1,1,0))</f>
        <v/>
      </c>
    </row>
    <row r="1683">
      <c r="AR1683" s="31">
        <f>IF(OR($A$5="",$B$6="",ROW()&lt;$A$5),"",IF(INDEX($A:$AP,ROW(),$B$6)="","",INDEX($A:$AP,ROW(),$B$6)))</f>
        <v/>
      </c>
      <c r="AS1683" s="32">
        <f>IF($AR1683="","",IF(ISNUMBER($AR1683),IF($AR1683&gt;=10000000,IFERROR(DATE(INT($AR1683/10000),MOD(INT($AR1683/100),100),MOD($AR1683,100)),""),INT($AR1683)),IFERROR(DATE(--LEFT(LEFT(SUBSTITUTE(SUBSTITUTE(SUBSTITUTE(SUBSTITUTE(TRIM($AR1683),"-",""),".",""),"/","")," ",""),8),4),--MID(LEFT(SUBSTITUTE(SUBSTITUTE(SUBSTITUTE(SUBSTITUTE(TRIM($AR1683),"-",""),".",""),"/","")," ",""),8),5,2),--MID(LEFT(SUBSTITUTE(SUBSTITUTE(SUBSTITUTE(SUBSTITUTE(TRIM($AR1683),"-",""),".",""),"/","")," ",""),8),7,2)),"")))</f>
        <v/>
      </c>
      <c r="AT1683" s="33">
        <f>IF($AS1683="","",IF($F$6="",0,IF(ISNUMBER(INDEX($A:$AP,ROW(),$F$6)),INDEX($A:$AP,ROW(),$F$6),IFERROR(--SUBSTITUTE(SUBSTITUTE(TRIM(INDEX($A:$AP,ROW(),$F$6)),",",""),"원",""),0))))</f>
        <v/>
      </c>
      <c r="AU1683" s="31">
        <f>IF($AS1683="","",IF($AX1683&lt;&gt;"",SUBSTITUTE(SUBSTITUTE($AX1683,"-","")," ",""),"N:"&amp;$AV1683))</f>
        <v/>
      </c>
      <c r="AV1683" s="31">
        <f>IF(OR($AS1683="",$E$6=""),"",TRIM(INDEX($A:$AP,ROW(),$E$6)&amp;""))</f>
        <v/>
      </c>
      <c r="AW1683" s="31">
        <f>IF($AU1683="","",IF(MATCH($AU1683,$AU$8:$AU$2007,0)=ROW()-7,MAX($AW$7:$AW1682)+1,""))</f>
        <v/>
      </c>
      <c r="AX1683" s="31">
        <f>IF(OR($AS1683="",$D$6=""),"",TRIM(INDEX($A:$AP,ROW(),$D$6)&amp;""))</f>
        <v/>
      </c>
      <c r="AY1683" s="31">
        <f>IF($AU1683="","",INDEX($AW$8:$AW$2007,MATCH($AU1683,$AU$8:$AU$2007,0)))</f>
        <v/>
      </c>
      <c r="AZ1683" s="31">
        <f>IF(OR($AS1683="",$C$6=""),"",TRIM(INDEX($A:$AP,ROW(),$C$6)&amp;""))</f>
        <v/>
      </c>
      <c r="BA1683" s="31">
        <f>IF($AZ1683="","",IF(COUNTIF($AZ$8:$AZ1683,$AZ1683)&gt;1,1,0))</f>
        <v/>
      </c>
    </row>
    <row r="1684">
      <c r="AR1684" s="31">
        <f>IF(OR($A$5="",$B$6="",ROW()&lt;$A$5),"",IF(INDEX($A:$AP,ROW(),$B$6)="","",INDEX($A:$AP,ROW(),$B$6)))</f>
        <v/>
      </c>
      <c r="AS1684" s="32">
        <f>IF($AR1684="","",IF(ISNUMBER($AR1684),IF($AR1684&gt;=10000000,IFERROR(DATE(INT($AR1684/10000),MOD(INT($AR1684/100),100),MOD($AR1684,100)),""),INT($AR1684)),IFERROR(DATE(--LEFT(LEFT(SUBSTITUTE(SUBSTITUTE(SUBSTITUTE(SUBSTITUTE(TRIM($AR1684),"-",""),".",""),"/","")," ",""),8),4),--MID(LEFT(SUBSTITUTE(SUBSTITUTE(SUBSTITUTE(SUBSTITUTE(TRIM($AR1684),"-",""),".",""),"/","")," ",""),8),5,2),--MID(LEFT(SUBSTITUTE(SUBSTITUTE(SUBSTITUTE(SUBSTITUTE(TRIM($AR1684),"-",""),".",""),"/","")," ",""),8),7,2)),"")))</f>
        <v/>
      </c>
      <c r="AT1684" s="33">
        <f>IF($AS1684="","",IF($F$6="",0,IF(ISNUMBER(INDEX($A:$AP,ROW(),$F$6)),INDEX($A:$AP,ROW(),$F$6),IFERROR(--SUBSTITUTE(SUBSTITUTE(TRIM(INDEX($A:$AP,ROW(),$F$6)),",",""),"원",""),0))))</f>
        <v/>
      </c>
      <c r="AU1684" s="31">
        <f>IF($AS1684="","",IF($AX1684&lt;&gt;"",SUBSTITUTE(SUBSTITUTE($AX1684,"-","")," ",""),"N:"&amp;$AV1684))</f>
        <v/>
      </c>
      <c r="AV1684" s="31">
        <f>IF(OR($AS1684="",$E$6=""),"",TRIM(INDEX($A:$AP,ROW(),$E$6)&amp;""))</f>
        <v/>
      </c>
      <c r="AW1684" s="31">
        <f>IF($AU1684="","",IF(MATCH($AU1684,$AU$8:$AU$2007,0)=ROW()-7,MAX($AW$7:$AW1683)+1,""))</f>
        <v/>
      </c>
      <c r="AX1684" s="31">
        <f>IF(OR($AS1684="",$D$6=""),"",TRIM(INDEX($A:$AP,ROW(),$D$6)&amp;""))</f>
        <v/>
      </c>
      <c r="AY1684" s="31">
        <f>IF($AU1684="","",INDEX($AW$8:$AW$2007,MATCH($AU1684,$AU$8:$AU$2007,0)))</f>
        <v/>
      </c>
      <c r="AZ1684" s="31">
        <f>IF(OR($AS1684="",$C$6=""),"",TRIM(INDEX($A:$AP,ROW(),$C$6)&amp;""))</f>
        <v/>
      </c>
      <c r="BA1684" s="31">
        <f>IF($AZ1684="","",IF(COUNTIF($AZ$8:$AZ1684,$AZ1684)&gt;1,1,0))</f>
        <v/>
      </c>
    </row>
    <row r="1685">
      <c r="AR1685" s="31">
        <f>IF(OR($A$5="",$B$6="",ROW()&lt;$A$5),"",IF(INDEX($A:$AP,ROW(),$B$6)="","",INDEX($A:$AP,ROW(),$B$6)))</f>
        <v/>
      </c>
      <c r="AS1685" s="32">
        <f>IF($AR1685="","",IF(ISNUMBER($AR1685),IF($AR1685&gt;=10000000,IFERROR(DATE(INT($AR1685/10000),MOD(INT($AR1685/100),100),MOD($AR1685,100)),""),INT($AR1685)),IFERROR(DATE(--LEFT(LEFT(SUBSTITUTE(SUBSTITUTE(SUBSTITUTE(SUBSTITUTE(TRIM($AR1685),"-",""),".",""),"/","")," ",""),8),4),--MID(LEFT(SUBSTITUTE(SUBSTITUTE(SUBSTITUTE(SUBSTITUTE(TRIM($AR1685),"-",""),".",""),"/","")," ",""),8),5,2),--MID(LEFT(SUBSTITUTE(SUBSTITUTE(SUBSTITUTE(SUBSTITUTE(TRIM($AR1685),"-",""),".",""),"/","")," ",""),8),7,2)),"")))</f>
        <v/>
      </c>
      <c r="AT1685" s="33">
        <f>IF($AS1685="","",IF($F$6="",0,IF(ISNUMBER(INDEX($A:$AP,ROW(),$F$6)),INDEX($A:$AP,ROW(),$F$6),IFERROR(--SUBSTITUTE(SUBSTITUTE(TRIM(INDEX($A:$AP,ROW(),$F$6)),",",""),"원",""),0))))</f>
        <v/>
      </c>
      <c r="AU1685" s="31">
        <f>IF($AS1685="","",IF($AX1685&lt;&gt;"",SUBSTITUTE(SUBSTITUTE($AX1685,"-","")," ",""),"N:"&amp;$AV1685))</f>
        <v/>
      </c>
      <c r="AV1685" s="31">
        <f>IF(OR($AS1685="",$E$6=""),"",TRIM(INDEX($A:$AP,ROW(),$E$6)&amp;""))</f>
        <v/>
      </c>
      <c r="AW1685" s="31">
        <f>IF($AU1685="","",IF(MATCH($AU1685,$AU$8:$AU$2007,0)=ROW()-7,MAX($AW$7:$AW1684)+1,""))</f>
        <v/>
      </c>
      <c r="AX1685" s="31">
        <f>IF(OR($AS1685="",$D$6=""),"",TRIM(INDEX($A:$AP,ROW(),$D$6)&amp;""))</f>
        <v/>
      </c>
      <c r="AY1685" s="31">
        <f>IF($AU1685="","",INDEX($AW$8:$AW$2007,MATCH($AU1685,$AU$8:$AU$2007,0)))</f>
        <v/>
      </c>
      <c r="AZ1685" s="31">
        <f>IF(OR($AS1685="",$C$6=""),"",TRIM(INDEX($A:$AP,ROW(),$C$6)&amp;""))</f>
        <v/>
      </c>
      <c r="BA1685" s="31">
        <f>IF($AZ1685="","",IF(COUNTIF($AZ$8:$AZ1685,$AZ1685)&gt;1,1,0))</f>
        <v/>
      </c>
    </row>
    <row r="1686">
      <c r="AR1686" s="31">
        <f>IF(OR($A$5="",$B$6="",ROW()&lt;$A$5),"",IF(INDEX($A:$AP,ROW(),$B$6)="","",INDEX($A:$AP,ROW(),$B$6)))</f>
        <v/>
      </c>
      <c r="AS1686" s="32">
        <f>IF($AR1686="","",IF(ISNUMBER($AR1686),IF($AR1686&gt;=10000000,IFERROR(DATE(INT($AR1686/10000),MOD(INT($AR1686/100),100),MOD($AR1686,100)),""),INT($AR1686)),IFERROR(DATE(--LEFT(LEFT(SUBSTITUTE(SUBSTITUTE(SUBSTITUTE(SUBSTITUTE(TRIM($AR1686),"-",""),".",""),"/","")," ",""),8),4),--MID(LEFT(SUBSTITUTE(SUBSTITUTE(SUBSTITUTE(SUBSTITUTE(TRIM($AR1686),"-",""),".",""),"/","")," ",""),8),5,2),--MID(LEFT(SUBSTITUTE(SUBSTITUTE(SUBSTITUTE(SUBSTITUTE(TRIM($AR1686),"-",""),".",""),"/","")," ",""),8),7,2)),"")))</f>
        <v/>
      </c>
      <c r="AT1686" s="33">
        <f>IF($AS1686="","",IF($F$6="",0,IF(ISNUMBER(INDEX($A:$AP,ROW(),$F$6)),INDEX($A:$AP,ROW(),$F$6),IFERROR(--SUBSTITUTE(SUBSTITUTE(TRIM(INDEX($A:$AP,ROW(),$F$6)),",",""),"원",""),0))))</f>
        <v/>
      </c>
      <c r="AU1686" s="31">
        <f>IF($AS1686="","",IF($AX1686&lt;&gt;"",SUBSTITUTE(SUBSTITUTE($AX1686,"-","")," ",""),"N:"&amp;$AV1686))</f>
        <v/>
      </c>
      <c r="AV1686" s="31">
        <f>IF(OR($AS1686="",$E$6=""),"",TRIM(INDEX($A:$AP,ROW(),$E$6)&amp;""))</f>
        <v/>
      </c>
      <c r="AW1686" s="31">
        <f>IF($AU1686="","",IF(MATCH($AU1686,$AU$8:$AU$2007,0)=ROW()-7,MAX($AW$7:$AW1685)+1,""))</f>
        <v/>
      </c>
      <c r="AX1686" s="31">
        <f>IF(OR($AS1686="",$D$6=""),"",TRIM(INDEX($A:$AP,ROW(),$D$6)&amp;""))</f>
        <v/>
      </c>
      <c r="AY1686" s="31">
        <f>IF($AU1686="","",INDEX($AW$8:$AW$2007,MATCH($AU1686,$AU$8:$AU$2007,0)))</f>
        <v/>
      </c>
      <c r="AZ1686" s="31">
        <f>IF(OR($AS1686="",$C$6=""),"",TRIM(INDEX($A:$AP,ROW(),$C$6)&amp;""))</f>
        <v/>
      </c>
      <c r="BA1686" s="31">
        <f>IF($AZ1686="","",IF(COUNTIF($AZ$8:$AZ1686,$AZ1686)&gt;1,1,0))</f>
        <v/>
      </c>
    </row>
    <row r="1687">
      <c r="AR1687" s="31">
        <f>IF(OR($A$5="",$B$6="",ROW()&lt;$A$5),"",IF(INDEX($A:$AP,ROW(),$B$6)="","",INDEX($A:$AP,ROW(),$B$6)))</f>
        <v/>
      </c>
      <c r="AS1687" s="32">
        <f>IF($AR1687="","",IF(ISNUMBER($AR1687),IF($AR1687&gt;=10000000,IFERROR(DATE(INT($AR1687/10000),MOD(INT($AR1687/100),100),MOD($AR1687,100)),""),INT($AR1687)),IFERROR(DATE(--LEFT(LEFT(SUBSTITUTE(SUBSTITUTE(SUBSTITUTE(SUBSTITUTE(TRIM($AR1687),"-",""),".",""),"/","")," ",""),8),4),--MID(LEFT(SUBSTITUTE(SUBSTITUTE(SUBSTITUTE(SUBSTITUTE(TRIM($AR1687),"-",""),".",""),"/","")," ",""),8),5,2),--MID(LEFT(SUBSTITUTE(SUBSTITUTE(SUBSTITUTE(SUBSTITUTE(TRIM($AR1687),"-",""),".",""),"/","")," ",""),8),7,2)),"")))</f>
        <v/>
      </c>
      <c r="AT1687" s="33">
        <f>IF($AS1687="","",IF($F$6="",0,IF(ISNUMBER(INDEX($A:$AP,ROW(),$F$6)),INDEX($A:$AP,ROW(),$F$6),IFERROR(--SUBSTITUTE(SUBSTITUTE(TRIM(INDEX($A:$AP,ROW(),$F$6)),",",""),"원",""),0))))</f>
        <v/>
      </c>
      <c r="AU1687" s="31">
        <f>IF($AS1687="","",IF($AX1687&lt;&gt;"",SUBSTITUTE(SUBSTITUTE($AX1687,"-","")," ",""),"N:"&amp;$AV1687))</f>
        <v/>
      </c>
      <c r="AV1687" s="31">
        <f>IF(OR($AS1687="",$E$6=""),"",TRIM(INDEX($A:$AP,ROW(),$E$6)&amp;""))</f>
        <v/>
      </c>
      <c r="AW1687" s="31">
        <f>IF($AU1687="","",IF(MATCH($AU1687,$AU$8:$AU$2007,0)=ROW()-7,MAX($AW$7:$AW1686)+1,""))</f>
        <v/>
      </c>
      <c r="AX1687" s="31">
        <f>IF(OR($AS1687="",$D$6=""),"",TRIM(INDEX($A:$AP,ROW(),$D$6)&amp;""))</f>
        <v/>
      </c>
      <c r="AY1687" s="31">
        <f>IF($AU1687="","",INDEX($AW$8:$AW$2007,MATCH($AU1687,$AU$8:$AU$2007,0)))</f>
        <v/>
      </c>
      <c r="AZ1687" s="31">
        <f>IF(OR($AS1687="",$C$6=""),"",TRIM(INDEX($A:$AP,ROW(),$C$6)&amp;""))</f>
        <v/>
      </c>
      <c r="BA1687" s="31">
        <f>IF($AZ1687="","",IF(COUNTIF($AZ$8:$AZ1687,$AZ1687)&gt;1,1,0))</f>
        <v/>
      </c>
    </row>
    <row r="1688">
      <c r="AR1688" s="31">
        <f>IF(OR($A$5="",$B$6="",ROW()&lt;$A$5),"",IF(INDEX($A:$AP,ROW(),$B$6)="","",INDEX($A:$AP,ROW(),$B$6)))</f>
        <v/>
      </c>
      <c r="AS1688" s="32">
        <f>IF($AR1688="","",IF(ISNUMBER($AR1688),IF($AR1688&gt;=10000000,IFERROR(DATE(INT($AR1688/10000),MOD(INT($AR1688/100),100),MOD($AR1688,100)),""),INT($AR1688)),IFERROR(DATE(--LEFT(LEFT(SUBSTITUTE(SUBSTITUTE(SUBSTITUTE(SUBSTITUTE(TRIM($AR1688),"-",""),".",""),"/","")," ",""),8),4),--MID(LEFT(SUBSTITUTE(SUBSTITUTE(SUBSTITUTE(SUBSTITUTE(TRIM($AR1688),"-",""),".",""),"/","")," ",""),8),5,2),--MID(LEFT(SUBSTITUTE(SUBSTITUTE(SUBSTITUTE(SUBSTITUTE(TRIM($AR1688),"-",""),".",""),"/","")," ",""),8),7,2)),"")))</f>
        <v/>
      </c>
      <c r="AT1688" s="33">
        <f>IF($AS1688="","",IF($F$6="",0,IF(ISNUMBER(INDEX($A:$AP,ROW(),$F$6)),INDEX($A:$AP,ROW(),$F$6),IFERROR(--SUBSTITUTE(SUBSTITUTE(TRIM(INDEX($A:$AP,ROW(),$F$6)),",",""),"원",""),0))))</f>
        <v/>
      </c>
      <c r="AU1688" s="31">
        <f>IF($AS1688="","",IF($AX1688&lt;&gt;"",SUBSTITUTE(SUBSTITUTE($AX1688,"-","")," ",""),"N:"&amp;$AV1688))</f>
        <v/>
      </c>
      <c r="AV1688" s="31">
        <f>IF(OR($AS1688="",$E$6=""),"",TRIM(INDEX($A:$AP,ROW(),$E$6)&amp;""))</f>
        <v/>
      </c>
      <c r="AW1688" s="31">
        <f>IF($AU1688="","",IF(MATCH($AU1688,$AU$8:$AU$2007,0)=ROW()-7,MAX($AW$7:$AW1687)+1,""))</f>
        <v/>
      </c>
      <c r="AX1688" s="31">
        <f>IF(OR($AS1688="",$D$6=""),"",TRIM(INDEX($A:$AP,ROW(),$D$6)&amp;""))</f>
        <v/>
      </c>
      <c r="AY1688" s="31">
        <f>IF($AU1688="","",INDEX($AW$8:$AW$2007,MATCH($AU1688,$AU$8:$AU$2007,0)))</f>
        <v/>
      </c>
      <c r="AZ1688" s="31">
        <f>IF(OR($AS1688="",$C$6=""),"",TRIM(INDEX($A:$AP,ROW(),$C$6)&amp;""))</f>
        <v/>
      </c>
      <c r="BA1688" s="31">
        <f>IF($AZ1688="","",IF(COUNTIF($AZ$8:$AZ1688,$AZ1688)&gt;1,1,0))</f>
        <v/>
      </c>
    </row>
    <row r="1689">
      <c r="AR1689" s="31">
        <f>IF(OR($A$5="",$B$6="",ROW()&lt;$A$5),"",IF(INDEX($A:$AP,ROW(),$B$6)="","",INDEX($A:$AP,ROW(),$B$6)))</f>
        <v/>
      </c>
      <c r="AS1689" s="32">
        <f>IF($AR1689="","",IF(ISNUMBER($AR1689),IF($AR1689&gt;=10000000,IFERROR(DATE(INT($AR1689/10000),MOD(INT($AR1689/100),100),MOD($AR1689,100)),""),INT($AR1689)),IFERROR(DATE(--LEFT(LEFT(SUBSTITUTE(SUBSTITUTE(SUBSTITUTE(SUBSTITUTE(TRIM($AR1689),"-",""),".",""),"/","")," ",""),8),4),--MID(LEFT(SUBSTITUTE(SUBSTITUTE(SUBSTITUTE(SUBSTITUTE(TRIM($AR1689),"-",""),".",""),"/","")," ",""),8),5,2),--MID(LEFT(SUBSTITUTE(SUBSTITUTE(SUBSTITUTE(SUBSTITUTE(TRIM($AR1689),"-",""),".",""),"/","")," ",""),8),7,2)),"")))</f>
        <v/>
      </c>
      <c r="AT1689" s="33">
        <f>IF($AS1689="","",IF($F$6="",0,IF(ISNUMBER(INDEX($A:$AP,ROW(),$F$6)),INDEX($A:$AP,ROW(),$F$6),IFERROR(--SUBSTITUTE(SUBSTITUTE(TRIM(INDEX($A:$AP,ROW(),$F$6)),",",""),"원",""),0))))</f>
        <v/>
      </c>
      <c r="AU1689" s="31">
        <f>IF($AS1689="","",IF($AX1689&lt;&gt;"",SUBSTITUTE(SUBSTITUTE($AX1689,"-","")," ",""),"N:"&amp;$AV1689))</f>
        <v/>
      </c>
      <c r="AV1689" s="31">
        <f>IF(OR($AS1689="",$E$6=""),"",TRIM(INDEX($A:$AP,ROW(),$E$6)&amp;""))</f>
        <v/>
      </c>
      <c r="AW1689" s="31">
        <f>IF($AU1689="","",IF(MATCH($AU1689,$AU$8:$AU$2007,0)=ROW()-7,MAX($AW$7:$AW1688)+1,""))</f>
        <v/>
      </c>
      <c r="AX1689" s="31">
        <f>IF(OR($AS1689="",$D$6=""),"",TRIM(INDEX($A:$AP,ROW(),$D$6)&amp;""))</f>
        <v/>
      </c>
      <c r="AY1689" s="31">
        <f>IF($AU1689="","",INDEX($AW$8:$AW$2007,MATCH($AU1689,$AU$8:$AU$2007,0)))</f>
        <v/>
      </c>
      <c r="AZ1689" s="31">
        <f>IF(OR($AS1689="",$C$6=""),"",TRIM(INDEX($A:$AP,ROW(),$C$6)&amp;""))</f>
        <v/>
      </c>
      <c r="BA1689" s="31">
        <f>IF($AZ1689="","",IF(COUNTIF($AZ$8:$AZ1689,$AZ1689)&gt;1,1,0))</f>
        <v/>
      </c>
    </row>
    <row r="1690">
      <c r="AR1690" s="31">
        <f>IF(OR($A$5="",$B$6="",ROW()&lt;$A$5),"",IF(INDEX($A:$AP,ROW(),$B$6)="","",INDEX($A:$AP,ROW(),$B$6)))</f>
        <v/>
      </c>
      <c r="AS1690" s="32">
        <f>IF($AR1690="","",IF(ISNUMBER($AR1690),IF($AR1690&gt;=10000000,IFERROR(DATE(INT($AR1690/10000),MOD(INT($AR1690/100),100),MOD($AR1690,100)),""),INT($AR1690)),IFERROR(DATE(--LEFT(LEFT(SUBSTITUTE(SUBSTITUTE(SUBSTITUTE(SUBSTITUTE(TRIM($AR1690),"-",""),".",""),"/","")," ",""),8),4),--MID(LEFT(SUBSTITUTE(SUBSTITUTE(SUBSTITUTE(SUBSTITUTE(TRIM($AR1690),"-",""),".",""),"/","")," ",""),8),5,2),--MID(LEFT(SUBSTITUTE(SUBSTITUTE(SUBSTITUTE(SUBSTITUTE(TRIM($AR1690),"-",""),".",""),"/","")," ",""),8),7,2)),"")))</f>
        <v/>
      </c>
      <c r="AT1690" s="33">
        <f>IF($AS1690="","",IF($F$6="",0,IF(ISNUMBER(INDEX($A:$AP,ROW(),$F$6)),INDEX($A:$AP,ROW(),$F$6),IFERROR(--SUBSTITUTE(SUBSTITUTE(TRIM(INDEX($A:$AP,ROW(),$F$6)),",",""),"원",""),0))))</f>
        <v/>
      </c>
      <c r="AU1690" s="31">
        <f>IF($AS1690="","",IF($AX1690&lt;&gt;"",SUBSTITUTE(SUBSTITUTE($AX1690,"-","")," ",""),"N:"&amp;$AV1690))</f>
        <v/>
      </c>
      <c r="AV1690" s="31">
        <f>IF(OR($AS1690="",$E$6=""),"",TRIM(INDEX($A:$AP,ROW(),$E$6)&amp;""))</f>
        <v/>
      </c>
      <c r="AW1690" s="31">
        <f>IF($AU1690="","",IF(MATCH($AU1690,$AU$8:$AU$2007,0)=ROW()-7,MAX($AW$7:$AW1689)+1,""))</f>
        <v/>
      </c>
      <c r="AX1690" s="31">
        <f>IF(OR($AS1690="",$D$6=""),"",TRIM(INDEX($A:$AP,ROW(),$D$6)&amp;""))</f>
        <v/>
      </c>
      <c r="AY1690" s="31">
        <f>IF($AU1690="","",INDEX($AW$8:$AW$2007,MATCH($AU1690,$AU$8:$AU$2007,0)))</f>
        <v/>
      </c>
      <c r="AZ1690" s="31">
        <f>IF(OR($AS1690="",$C$6=""),"",TRIM(INDEX($A:$AP,ROW(),$C$6)&amp;""))</f>
        <v/>
      </c>
      <c r="BA1690" s="31">
        <f>IF($AZ1690="","",IF(COUNTIF($AZ$8:$AZ1690,$AZ1690)&gt;1,1,0))</f>
        <v/>
      </c>
    </row>
    <row r="1691">
      <c r="AR1691" s="31">
        <f>IF(OR($A$5="",$B$6="",ROW()&lt;$A$5),"",IF(INDEX($A:$AP,ROW(),$B$6)="","",INDEX($A:$AP,ROW(),$B$6)))</f>
        <v/>
      </c>
      <c r="AS1691" s="32">
        <f>IF($AR1691="","",IF(ISNUMBER($AR1691),IF($AR1691&gt;=10000000,IFERROR(DATE(INT($AR1691/10000),MOD(INT($AR1691/100),100),MOD($AR1691,100)),""),INT($AR1691)),IFERROR(DATE(--LEFT(LEFT(SUBSTITUTE(SUBSTITUTE(SUBSTITUTE(SUBSTITUTE(TRIM($AR1691),"-",""),".",""),"/","")," ",""),8),4),--MID(LEFT(SUBSTITUTE(SUBSTITUTE(SUBSTITUTE(SUBSTITUTE(TRIM($AR1691),"-",""),".",""),"/","")," ",""),8),5,2),--MID(LEFT(SUBSTITUTE(SUBSTITUTE(SUBSTITUTE(SUBSTITUTE(TRIM($AR1691),"-",""),".",""),"/","")," ",""),8),7,2)),"")))</f>
        <v/>
      </c>
      <c r="AT1691" s="33">
        <f>IF($AS1691="","",IF($F$6="",0,IF(ISNUMBER(INDEX($A:$AP,ROW(),$F$6)),INDEX($A:$AP,ROW(),$F$6),IFERROR(--SUBSTITUTE(SUBSTITUTE(TRIM(INDEX($A:$AP,ROW(),$F$6)),",",""),"원",""),0))))</f>
        <v/>
      </c>
      <c r="AU1691" s="31">
        <f>IF($AS1691="","",IF($AX1691&lt;&gt;"",SUBSTITUTE(SUBSTITUTE($AX1691,"-","")," ",""),"N:"&amp;$AV1691))</f>
        <v/>
      </c>
      <c r="AV1691" s="31">
        <f>IF(OR($AS1691="",$E$6=""),"",TRIM(INDEX($A:$AP,ROW(),$E$6)&amp;""))</f>
        <v/>
      </c>
      <c r="AW1691" s="31">
        <f>IF($AU1691="","",IF(MATCH($AU1691,$AU$8:$AU$2007,0)=ROW()-7,MAX($AW$7:$AW1690)+1,""))</f>
        <v/>
      </c>
      <c r="AX1691" s="31">
        <f>IF(OR($AS1691="",$D$6=""),"",TRIM(INDEX($A:$AP,ROW(),$D$6)&amp;""))</f>
        <v/>
      </c>
      <c r="AY1691" s="31">
        <f>IF($AU1691="","",INDEX($AW$8:$AW$2007,MATCH($AU1691,$AU$8:$AU$2007,0)))</f>
        <v/>
      </c>
      <c r="AZ1691" s="31">
        <f>IF(OR($AS1691="",$C$6=""),"",TRIM(INDEX($A:$AP,ROW(),$C$6)&amp;""))</f>
        <v/>
      </c>
      <c r="BA1691" s="31">
        <f>IF($AZ1691="","",IF(COUNTIF($AZ$8:$AZ1691,$AZ1691)&gt;1,1,0))</f>
        <v/>
      </c>
    </row>
    <row r="1692">
      <c r="AR1692" s="31">
        <f>IF(OR($A$5="",$B$6="",ROW()&lt;$A$5),"",IF(INDEX($A:$AP,ROW(),$B$6)="","",INDEX($A:$AP,ROW(),$B$6)))</f>
        <v/>
      </c>
      <c r="AS1692" s="32">
        <f>IF($AR1692="","",IF(ISNUMBER($AR1692),IF($AR1692&gt;=10000000,IFERROR(DATE(INT($AR1692/10000),MOD(INT($AR1692/100),100),MOD($AR1692,100)),""),INT($AR1692)),IFERROR(DATE(--LEFT(LEFT(SUBSTITUTE(SUBSTITUTE(SUBSTITUTE(SUBSTITUTE(TRIM($AR1692),"-",""),".",""),"/","")," ",""),8),4),--MID(LEFT(SUBSTITUTE(SUBSTITUTE(SUBSTITUTE(SUBSTITUTE(TRIM($AR1692),"-",""),".",""),"/","")," ",""),8),5,2),--MID(LEFT(SUBSTITUTE(SUBSTITUTE(SUBSTITUTE(SUBSTITUTE(TRIM($AR1692),"-",""),".",""),"/","")," ",""),8),7,2)),"")))</f>
        <v/>
      </c>
      <c r="AT1692" s="33">
        <f>IF($AS1692="","",IF($F$6="",0,IF(ISNUMBER(INDEX($A:$AP,ROW(),$F$6)),INDEX($A:$AP,ROW(),$F$6),IFERROR(--SUBSTITUTE(SUBSTITUTE(TRIM(INDEX($A:$AP,ROW(),$F$6)),",",""),"원",""),0))))</f>
        <v/>
      </c>
      <c r="AU1692" s="31">
        <f>IF($AS1692="","",IF($AX1692&lt;&gt;"",SUBSTITUTE(SUBSTITUTE($AX1692,"-","")," ",""),"N:"&amp;$AV1692))</f>
        <v/>
      </c>
      <c r="AV1692" s="31">
        <f>IF(OR($AS1692="",$E$6=""),"",TRIM(INDEX($A:$AP,ROW(),$E$6)&amp;""))</f>
        <v/>
      </c>
      <c r="AW1692" s="31">
        <f>IF($AU1692="","",IF(MATCH($AU1692,$AU$8:$AU$2007,0)=ROW()-7,MAX($AW$7:$AW1691)+1,""))</f>
        <v/>
      </c>
      <c r="AX1692" s="31">
        <f>IF(OR($AS1692="",$D$6=""),"",TRIM(INDEX($A:$AP,ROW(),$D$6)&amp;""))</f>
        <v/>
      </c>
      <c r="AY1692" s="31">
        <f>IF($AU1692="","",INDEX($AW$8:$AW$2007,MATCH($AU1692,$AU$8:$AU$2007,0)))</f>
        <v/>
      </c>
      <c r="AZ1692" s="31">
        <f>IF(OR($AS1692="",$C$6=""),"",TRIM(INDEX($A:$AP,ROW(),$C$6)&amp;""))</f>
        <v/>
      </c>
      <c r="BA1692" s="31">
        <f>IF($AZ1692="","",IF(COUNTIF($AZ$8:$AZ1692,$AZ1692)&gt;1,1,0))</f>
        <v/>
      </c>
    </row>
    <row r="1693">
      <c r="AR1693" s="31">
        <f>IF(OR($A$5="",$B$6="",ROW()&lt;$A$5),"",IF(INDEX($A:$AP,ROW(),$B$6)="","",INDEX($A:$AP,ROW(),$B$6)))</f>
        <v/>
      </c>
      <c r="AS1693" s="32">
        <f>IF($AR1693="","",IF(ISNUMBER($AR1693),IF($AR1693&gt;=10000000,IFERROR(DATE(INT($AR1693/10000),MOD(INT($AR1693/100),100),MOD($AR1693,100)),""),INT($AR1693)),IFERROR(DATE(--LEFT(LEFT(SUBSTITUTE(SUBSTITUTE(SUBSTITUTE(SUBSTITUTE(TRIM($AR1693),"-",""),".",""),"/","")," ",""),8),4),--MID(LEFT(SUBSTITUTE(SUBSTITUTE(SUBSTITUTE(SUBSTITUTE(TRIM($AR1693),"-",""),".",""),"/","")," ",""),8),5,2),--MID(LEFT(SUBSTITUTE(SUBSTITUTE(SUBSTITUTE(SUBSTITUTE(TRIM($AR1693),"-",""),".",""),"/","")," ",""),8),7,2)),"")))</f>
        <v/>
      </c>
      <c r="AT1693" s="33">
        <f>IF($AS1693="","",IF($F$6="",0,IF(ISNUMBER(INDEX($A:$AP,ROW(),$F$6)),INDEX($A:$AP,ROW(),$F$6),IFERROR(--SUBSTITUTE(SUBSTITUTE(TRIM(INDEX($A:$AP,ROW(),$F$6)),",",""),"원",""),0))))</f>
        <v/>
      </c>
      <c r="AU1693" s="31">
        <f>IF($AS1693="","",IF($AX1693&lt;&gt;"",SUBSTITUTE(SUBSTITUTE($AX1693,"-","")," ",""),"N:"&amp;$AV1693))</f>
        <v/>
      </c>
      <c r="AV1693" s="31">
        <f>IF(OR($AS1693="",$E$6=""),"",TRIM(INDEX($A:$AP,ROW(),$E$6)&amp;""))</f>
        <v/>
      </c>
      <c r="AW1693" s="31">
        <f>IF($AU1693="","",IF(MATCH($AU1693,$AU$8:$AU$2007,0)=ROW()-7,MAX($AW$7:$AW1692)+1,""))</f>
        <v/>
      </c>
      <c r="AX1693" s="31">
        <f>IF(OR($AS1693="",$D$6=""),"",TRIM(INDEX($A:$AP,ROW(),$D$6)&amp;""))</f>
        <v/>
      </c>
      <c r="AY1693" s="31">
        <f>IF($AU1693="","",INDEX($AW$8:$AW$2007,MATCH($AU1693,$AU$8:$AU$2007,0)))</f>
        <v/>
      </c>
      <c r="AZ1693" s="31">
        <f>IF(OR($AS1693="",$C$6=""),"",TRIM(INDEX($A:$AP,ROW(),$C$6)&amp;""))</f>
        <v/>
      </c>
      <c r="BA1693" s="31">
        <f>IF($AZ1693="","",IF(COUNTIF($AZ$8:$AZ1693,$AZ1693)&gt;1,1,0))</f>
        <v/>
      </c>
    </row>
    <row r="1694">
      <c r="AR1694" s="31">
        <f>IF(OR($A$5="",$B$6="",ROW()&lt;$A$5),"",IF(INDEX($A:$AP,ROW(),$B$6)="","",INDEX($A:$AP,ROW(),$B$6)))</f>
        <v/>
      </c>
      <c r="AS1694" s="32">
        <f>IF($AR1694="","",IF(ISNUMBER($AR1694),IF($AR1694&gt;=10000000,IFERROR(DATE(INT($AR1694/10000),MOD(INT($AR1694/100),100),MOD($AR1694,100)),""),INT($AR1694)),IFERROR(DATE(--LEFT(LEFT(SUBSTITUTE(SUBSTITUTE(SUBSTITUTE(SUBSTITUTE(TRIM($AR1694),"-",""),".",""),"/","")," ",""),8),4),--MID(LEFT(SUBSTITUTE(SUBSTITUTE(SUBSTITUTE(SUBSTITUTE(TRIM($AR1694),"-",""),".",""),"/","")," ",""),8),5,2),--MID(LEFT(SUBSTITUTE(SUBSTITUTE(SUBSTITUTE(SUBSTITUTE(TRIM($AR1694),"-",""),".",""),"/","")," ",""),8),7,2)),"")))</f>
        <v/>
      </c>
      <c r="AT1694" s="33">
        <f>IF($AS1694="","",IF($F$6="",0,IF(ISNUMBER(INDEX($A:$AP,ROW(),$F$6)),INDEX($A:$AP,ROW(),$F$6),IFERROR(--SUBSTITUTE(SUBSTITUTE(TRIM(INDEX($A:$AP,ROW(),$F$6)),",",""),"원",""),0))))</f>
        <v/>
      </c>
      <c r="AU1694" s="31">
        <f>IF($AS1694="","",IF($AX1694&lt;&gt;"",SUBSTITUTE(SUBSTITUTE($AX1694,"-","")," ",""),"N:"&amp;$AV1694))</f>
        <v/>
      </c>
      <c r="AV1694" s="31">
        <f>IF(OR($AS1694="",$E$6=""),"",TRIM(INDEX($A:$AP,ROW(),$E$6)&amp;""))</f>
        <v/>
      </c>
      <c r="AW1694" s="31">
        <f>IF($AU1694="","",IF(MATCH($AU1694,$AU$8:$AU$2007,0)=ROW()-7,MAX($AW$7:$AW1693)+1,""))</f>
        <v/>
      </c>
      <c r="AX1694" s="31">
        <f>IF(OR($AS1694="",$D$6=""),"",TRIM(INDEX($A:$AP,ROW(),$D$6)&amp;""))</f>
        <v/>
      </c>
      <c r="AY1694" s="31">
        <f>IF($AU1694="","",INDEX($AW$8:$AW$2007,MATCH($AU1694,$AU$8:$AU$2007,0)))</f>
        <v/>
      </c>
      <c r="AZ1694" s="31">
        <f>IF(OR($AS1694="",$C$6=""),"",TRIM(INDEX($A:$AP,ROW(),$C$6)&amp;""))</f>
        <v/>
      </c>
      <c r="BA1694" s="31">
        <f>IF($AZ1694="","",IF(COUNTIF($AZ$8:$AZ1694,$AZ1694)&gt;1,1,0))</f>
        <v/>
      </c>
    </row>
    <row r="1695">
      <c r="AR1695" s="31">
        <f>IF(OR($A$5="",$B$6="",ROW()&lt;$A$5),"",IF(INDEX($A:$AP,ROW(),$B$6)="","",INDEX($A:$AP,ROW(),$B$6)))</f>
        <v/>
      </c>
      <c r="AS1695" s="32">
        <f>IF($AR1695="","",IF(ISNUMBER($AR1695),IF($AR1695&gt;=10000000,IFERROR(DATE(INT($AR1695/10000),MOD(INT($AR1695/100),100),MOD($AR1695,100)),""),INT($AR1695)),IFERROR(DATE(--LEFT(LEFT(SUBSTITUTE(SUBSTITUTE(SUBSTITUTE(SUBSTITUTE(TRIM($AR1695),"-",""),".",""),"/","")," ",""),8),4),--MID(LEFT(SUBSTITUTE(SUBSTITUTE(SUBSTITUTE(SUBSTITUTE(TRIM($AR1695),"-",""),".",""),"/","")," ",""),8),5,2),--MID(LEFT(SUBSTITUTE(SUBSTITUTE(SUBSTITUTE(SUBSTITUTE(TRIM($AR1695),"-",""),".",""),"/","")," ",""),8),7,2)),"")))</f>
        <v/>
      </c>
      <c r="AT1695" s="33">
        <f>IF($AS1695="","",IF($F$6="",0,IF(ISNUMBER(INDEX($A:$AP,ROW(),$F$6)),INDEX($A:$AP,ROW(),$F$6),IFERROR(--SUBSTITUTE(SUBSTITUTE(TRIM(INDEX($A:$AP,ROW(),$F$6)),",",""),"원",""),0))))</f>
        <v/>
      </c>
      <c r="AU1695" s="31">
        <f>IF($AS1695="","",IF($AX1695&lt;&gt;"",SUBSTITUTE(SUBSTITUTE($AX1695,"-","")," ",""),"N:"&amp;$AV1695))</f>
        <v/>
      </c>
      <c r="AV1695" s="31">
        <f>IF(OR($AS1695="",$E$6=""),"",TRIM(INDEX($A:$AP,ROW(),$E$6)&amp;""))</f>
        <v/>
      </c>
      <c r="AW1695" s="31">
        <f>IF($AU1695="","",IF(MATCH($AU1695,$AU$8:$AU$2007,0)=ROW()-7,MAX($AW$7:$AW1694)+1,""))</f>
        <v/>
      </c>
      <c r="AX1695" s="31">
        <f>IF(OR($AS1695="",$D$6=""),"",TRIM(INDEX($A:$AP,ROW(),$D$6)&amp;""))</f>
        <v/>
      </c>
      <c r="AY1695" s="31">
        <f>IF($AU1695="","",INDEX($AW$8:$AW$2007,MATCH($AU1695,$AU$8:$AU$2007,0)))</f>
        <v/>
      </c>
      <c r="AZ1695" s="31">
        <f>IF(OR($AS1695="",$C$6=""),"",TRIM(INDEX($A:$AP,ROW(),$C$6)&amp;""))</f>
        <v/>
      </c>
      <c r="BA1695" s="31">
        <f>IF($AZ1695="","",IF(COUNTIF($AZ$8:$AZ1695,$AZ1695)&gt;1,1,0))</f>
        <v/>
      </c>
    </row>
    <row r="1696">
      <c r="AR1696" s="31">
        <f>IF(OR($A$5="",$B$6="",ROW()&lt;$A$5),"",IF(INDEX($A:$AP,ROW(),$B$6)="","",INDEX($A:$AP,ROW(),$B$6)))</f>
        <v/>
      </c>
      <c r="AS1696" s="32">
        <f>IF($AR1696="","",IF(ISNUMBER($AR1696),IF($AR1696&gt;=10000000,IFERROR(DATE(INT($AR1696/10000),MOD(INT($AR1696/100),100),MOD($AR1696,100)),""),INT($AR1696)),IFERROR(DATE(--LEFT(LEFT(SUBSTITUTE(SUBSTITUTE(SUBSTITUTE(SUBSTITUTE(TRIM($AR1696),"-",""),".",""),"/","")," ",""),8),4),--MID(LEFT(SUBSTITUTE(SUBSTITUTE(SUBSTITUTE(SUBSTITUTE(TRIM($AR1696),"-",""),".",""),"/","")," ",""),8),5,2),--MID(LEFT(SUBSTITUTE(SUBSTITUTE(SUBSTITUTE(SUBSTITUTE(TRIM($AR1696),"-",""),".",""),"/","")," ",""),8),7,2)),"")))</f>
        <v/>
      </c>
      <c r="AT1696" s="33">
        <f>IF($AS1696="","",IF($F$6="",0,IF(ISNUMBER(INDEX($A:$AP,ROW(),$F$6)),INDEX($A:$AP,ROW(),$F$6),IFERROR(--SUBSTITUTE(SUBSTITUTE(TRIM(INDEX($A:$AP,ROW(),$F$6)),",",""),"원",""),0))))</f>
        <v/>
      </c>
      <c r="AU1696" s="31">
        <f>IF($AS1696="","",IF($AX1696&lt;&gt;"",SUBSTITUTE(SUBSTITUTE($AX1696,"-","")," ",""),"N:"&amp;$AV1696))</f>
        <v/>
      </c>
      <c r="AV1696" s="31">
        <f>IF(OR($AS1696="",$E$6=""),"",TRIM(INDEX($A:$AP,ROW(),$E$6)&amp;""))</f>
        <v/>
      </c>
      <c r="AW1696" s="31">
        <f>IF($AU1696="","",IF(MATCH($AU1696,$AU$8:$AU$2007,0)=ROW()-7,MAX($AW$7:$AW1695)+1,""))</f>
        <v/>
      </c>
      <c r="AX1696" s="31">
        <f>IF(OR($AS1696="",$D$6=""),"",TRIM(INDEX($A:$AP,ROW(),$D$6)&amp;""))</f>
        <v/>
      </c>
      <c r="AY1696" s="31">
        <f>IF($AU1696="","",INDEX($AW$8:$AW$2007,MATCH($AU1696,$AU$8:$AU$2007,0)))</f>
        <v/>
      </c>
      <c r="AZ1696" s="31">
        <f>IF(OR($AS1696="",$C$6=""),"",TRIM(INDEX($A:$AP,ROW(),$C$6)&amp;""))</f>
        <v/>
      </c>
      <c r="BA1696" s="31">
        <f>IF($AZ1696="","",IF(COUNTIF($AZ$8:$AZ1696,$AZ1696)&gt;1,1,0))</f>
        <v/>
      </c>
    </row>
    <row r="1697">
      <c r="AR1697" s="31">
        <f>IF(OR($A$5="",$B$6="",ROW()&lt;$A$5),"",IF(INDEX($A:$AP,ROW(),$B$6)="","",INDEX($A:$AP,ROW(),$B$6)))</f>
        <v/>
      </c>
      <c r="AS1697" s="32">
        <f>IF($AR1697="","",IF(ISNUMBER($AR1697),IF($AR1697&gt;=10000000,IFERROR(DATE(INT($AR1697/10000),MOD(INT($AR1697/100),100),MOD($AR1697,100)),""),INT($AR1697)),IFERROR(DATE(--LEFT(LEFT(SUBSTITUTE(SUBSTITUTE(SUBSTITUTE(SUBSTITUTE(TRIM($AR1697),"-",""),".",""),"/","")," ",""),8),4),--MID(LEFT(SUBSTITUTE(SUBSTITUTE(SUBSTITUTE(SUBSTITUTE(TRIM($AR1697),"-",""),".",""),"/","")," ",""),8),5,2),--MID(LEFT(SUBSTITUTE(SUBSTITUTE(SUBSTITUTE(SUBSTITUTE(TRIM($AR1697),"-",""),".",""),"/","")," ",""),8),7,2)),"")))</f>
        <v/>
      </c>
      <c r="AT1697" s="33">
        <f>IF($AS1697="","",IF($F$6="",0,IF(ISNUMBER(INDEX($A:$AP,ROW(),$F$6)),INDEX($A:$AP,ROW(),$F$6),IFERROR(--SUBSTITUTE(SUBSTITUTE(TRIM(INDEX($A:$AP,ROW(),$F$6)),",",""),"원",""),0))))</f>
        <v/>
      </c>
      <c r="AU1697" s="31">
        <f>IF($AS1697="","",IF($AX1697&lt;&gt;"",SUBSTITUTE(SUBSTITUTE($AX1697,"-","")," ",""),"N:"&amp;$AV1697))</f>
        <v/>
      </c>
      <c r="AV1697" s="31">
        <f>IF(OR($AS1697="",$E$6=""),"",TRIM(INDEX($A:$AP,ROW(),$E$6)&amp;""))</f>
        <v/>
      </c>
      <c r="AW1697" s="31">
        <f>IF($AU1697="","",IF(MATCH($AU1697,$AU$8:$AU$2007,0)=ROW()-7,MAX($AW$7:$AW1696)+1,""))</f>
        <v/>
      </c>
      <c r="AX1697" s="31">
        <f>IF(OR($AS1697="",$D$6=""),"",TRIM(INDEX($A:$AP,ROW(),$D$6)&amp;""))</f>
        <v/>
      </c>
      <c r="AY1697" s="31">
        <f>IF($AU1697="","",INDEX($AW$8:$AW$2007,MATCH($AU1697,$AU$8:$AU$2007,0)))</f>
        <v/>
      </c>
      <c r="AZ1697" s="31">
        <f>IF(OR($AS1697="",$C$6=""),"",TRIM(INDEX($A:$AP,ROW(),$C$6)&amp;""))</f>
        <v/>
      </c>
      <c r="BA1697" s="31">
        <f>IF($AZ1697="","",IF(COUNTIF($AZ$8:$AZ1697,$AZ1697)&gt;1,1,0))</f>
        <v/>
      </c>
    </row>
    <row r="1698">
      <c r="AR1698" s="31">
        <f>IF(OR($A$5="",$B$6="",ROW()&lt;$A$5),"",IF(INDEX($A:$AP,ROW(),$B$6)="","",INDEX($A:$AP,ROW(),$B$6)))</f>
        <v/>
      </c>
      <c r="AS1698" s="32">
        <f>IF($AR1698="","",IF(ISNUMBER($AR1698),IF($AR1698&gt;=10000000,IFERROR(DATE(INT($AR1698/10000),MOD(INT($AR1698/100),100),MOD($AR1698,100)),""),INT($AR1698)),IFERROR(DATE(--LEFT(LEFT(SUBSTITUTE(SUBSTITUTE(SUBSTITUTE(SUBSTITUTE(TRIM($AR1698),"-",""),".",""),"/","")," ",""),8),4),--MID(LEFT(SUBSTITUTE(SUBSTITUTE(SUBSTITUTE(SUBSTITUTE(TRIM($AR1698),"-",""),".",""),"/","")," ",""),8),5,2),--MID(LEFT(SUBSTITUTE(SUBSTITUTE(SUBSTITUTE(SUBSTITUTE(TRIM($AR1698),"-",""),".",""),"/","")," ",""),8),7,2)),"")))</f>
        <v/>
      </c>
      <c r="AT1698" s="33">
        <f>IF($AS1698="","",IF($F$6="",0,IF(ISNUMBER(INDEX($A:$AP,ROW(),$F$6)),INDEX($A:$AP,ROW(),$F$6),IFERROR(--SUBSTITUTE(SUBSTITUTE(TRIM(INDEX($A:$AP,ROW(),$F$6)),",",""),"원",""),0))))</f>
        <v/>
      </c>
      <c r="AU1698" s="31">
        <f>IF($AS1698="","",IF($AX1698&lt;&gt;"",SUBSTITUTE(SUBSTITUTE($AX1698,"-","")," ",""),"N:"&amp;$AV1698))</f>
        <v/>
      </c>
      <c r="AV1698" s="31">
        <f>IF(OR($AS1698="",$E$6=""),"",TRIM(INDEX($A:$AP,ROW(),$E$6)&amp;""))</f>
        <v/>
      </c>
      <c r="AW1698" s="31">
        <f>IF($AU1698="","",IF(MATCH($AU1698,$AU$8:$AU$2007,0)=ROW()-7,MAX($AW$7:$AW1697)+1,""))</f>
        <v/>
      </c>
      <c r="AX1698" s="31">
        <f>IF(OR($AS1698="",$D$6=""),"",TRIM(INDEX($A:$AP,ROW(),$D$6)&amp;""))</f>
        <v/>
      </c>
      <c r="AY1698" s="31">
        <f>IF($AU1698="","",INDEX($AW$8:$AW$2007,MATCH($AU1698,$AU$8:$AU$2007,0)))</f>
        <v/>
      </c>
      <c r="AZ1698" s="31">
        <f>IF(OR($AS1698="",$C$6=""),"",TRIM(INDEX($A:$AP,ROW(),$C$6)&amp;""))</f>
        <v/>
      </c>
      <c r="BA1698" s="31">
        <f>IF($AZ1698="","",IF(COUNTIF($AZ$8:$AZ1698,$AZ1698)&gt;1,1,0))</f>
        <v/>
      </c>
    </row>
    <row r="1699">
      <c r="AR1699" s="31">
        <f>IF(OR($A$5="",$B$6="",ROW()&lt;$A$5),"",IF(INDEX($A:$AP,ROW(),$B$6)="","",INDEX($A:$AP,ROW(),$B$6)))</f>
        <v/>
      </c>
      <c r="AS1699" s="32">
        <f>IF($AR1699="","",IF(ISNUMBER($AR1699),IF($AR1699&gt;=10000000,IFERROR(DATE(INT($AR1699/10000),MOD(INT($AR1699/100),100),MOD($AR1699,100)),""),INT($AR1699)),IFERROR(DATE(--LEFT(LEFT(SUBSTITUTE(SUBSTITUTE(SUBSTITUTE(SUBSTITUTE(TRIM($AR1699),"-",""),".",""),"/","")," ",""),8),4),--MID(LEFT(SUBSTITUTE(SUBSTITUTE(SUBSTITUTE(SUBSTITUTE(TRIM($AR1699),"-",""),".",""),"/","")," ",""),8),5,2),--MID(LEFT(SUBSTITUTE(SUBSTITUTE(SUBSTITUTE(SUBSTITUTE(TRIM($AR1699),"-",""),".",""),"/","")," ",""),8),7,2)),"")))</f>
        <v/>
      </c>
      <c r="AT1699" s="33">
        <f>IF($AS1699="","",IF($F$6="",0,IF(ISNUMBER(INDEX($A:$AP,ROW(),$F$6)),INDEX($A:$AP,ROW(),$F$6),IFERROR(--SUBSTITUTE(SUBSTITUTE(TRIM(INDEX($A:$AP,ROW(),$F$6)),",",""),"원",""),0))))</f>
        <v/>
      </c>
      <c r="AU1699" s="31">
        <f>IF($AS1699="","",IF($AX1699&lt;&gt;"",SUBSTITUTE(SUBSTITUTE($AX1699,"-","")," ",""),"N:"&amp;$AV1699))</f>
        <v/>
      </c>
      <c r="AV1699" s="31">
        <f>IF(OR($AS1699="",$E$6=""),"",TRIM(INDEX($A:$AP,ROW(),$E$6)&amp;""))</f>
        <v/>
      </c>
      <c r="AW1699" s="31">
        <f>IF($AU1699="","",IF(MATCH($AU1699,$AU$8:$AU$2007,0)=ROW()-7,MAX($AW$7:$AW1698)+1,""))</f>
        <v/>
      </c>
      <c r="AX1699" s="31">
        <f>IF(OR($AS1699="",$D$6=""),"",TRIM(INDEX($A:$AP,ROW(),$D$6)&amp;""))</f>
        <v/>
      </c>
      <c r="AY1699" s="31">
        <f>IF($AU1699="","",INDEX($AW$8:$AW$2007,MATCH($AU1699,$AU$8:$AU$2007,0)))</f>
        <v/>
      </c>
      <c r="AZ1699" s="31">
        <f>IF(OR($AS1699="",$C$6=""),"",TRIM(INDEX($A:$AP,ROW(),$C$6)&amp;""))</f>
        <v/>
      </c>
      <c r="BA1699" s="31">
        <f>IF($AZ1699="","",IF(COUNTIF($AZ$8:$AZ1699,$AZ1699)&gt;1,1,0))</f>
        <v/>
      </c>
    </row>
    <row r="1700">
      <c r="AR1700" s="31">
        <f>IF(OR($A$5="",$B$6="",ROW()&lt;$A$5),"",IF(INDEX($A:$AP,ROW(),$B$6)="","",INDEX($A:$AP,ROW(),$B$6)))</f>
        <v/>
      </c>
      <c r="AS1700" s="32">
        <f>IF($AR1700="","",IF(ISNUMBER($AR1700),IF($AR1700&gt;=10000000,IFERROR(DATE(INT($AR1700/10000),MOD(INT($AR1700/100),100),MOD($AR1700,100)),""),INT($AR1700)),IFERROR(DATE(--LEFT(LEFT(SUBSTITUTE(SUBSTITUTE(SUBSTITUTE(SUBSTITUTE(TRIM($AR1700),"-",""),".",""),"/","")," ",""),8),4),--MID(LEFT(SUBSTITUTE(SUBSTITUTE(SUBSTITUTE(SUBSTITUTE(TRIM($AR1700),"-",""),".",""),"/","")," ",""),8),5,2),--MID(LEFT(SUBSTITUTE(SUBSTITUTE(SUBSTITUTE(SUBSTITUTE(TRIM($AR1700),"-",""),".",""),"/","")," ",""),8),7,2)),"")))</f>
        <v/>
      </c>
      <c r="AT1700" s="33">
        <f>IF($AS1700="","",IF($F$6="",0,IF(ISNUMBER(INDEX($A:$AP,ROW(),$F$6)),INDEX($A:$AP,ROW(),$F$6),IFERROR(--SUBSTITUTE(SUBSTITUTE(TRIM(INDEX($A:$AP,ROW(),$F$6)),",",""),"원",""),0))))</f>
        <v/>
      </c>
      <c r="AU1700" s="31">
        <f>IF($AS1700="","",IF($AX1700&lt;&gt;"",SUBSTITUTE(SUBSTITUTE($AX1700,"-","")," ",""),"N:"&amp;$AV1700))</f>
        <v/>
      </c>
      <c r="AV1700" s="31">
        <f>IF(OR($AS1700="",$E$6=""),"",TRIM(INDEX($A:$AP,ROW(),$E$6)&amp;""))</f>
        <v/>
      </c>
      <c r="AW1700" s="31">
        <f>IF($AU1700="","",IF(MATCH($AU1700,$AU$8:$AU$2007,0)=ROW()-7,MAX($AW$7:$AW1699)+1,""))</f>
        <v/>
      </c>
      <c r="AX1700" s="31">
        <f>IF(OR($AS1700="",$D$6=""),"",TRIM(INDEX($A:$AP,ROW(),$D$6)&amp;""))</f>
        <v/>
      </c>
      <c r="AY1700" s="31">
        <f>IF($AU1700="","",INDEX($AW$8:$AW$2007,MATCH($AU1700,$AU$8:$AU$2007,0)))</f>
        <v/>
      </c>
      <c r="AZ1700" s="31">
        <f>IF(OR($AS1700="",$C$6=""),"",TRIM(INDEX($A:$AP,ROW(),$C$6)&amp;""))</f>
        <v/>
      </c>
      <c r="BA1700" s="31">
        <f>IF($AZ1700="","",IF(COUNTIF($AZ$8:$AZ1700,$AZ1700)&gt;1,1,0))</f>
        <v/>
      </c>
    </row>
    <row r="1701">
      <c r="AR1701" s="31">
        <f>IF(OR($A$5="",$B$6="",ROW()&lt;$A$5),"",IF(INDEX($A:$AP,ROW(),$B$6)="","",INDEX($A:$AP,ROW(),$B$6)))</f>
        <v/>
      </c>
      <c r="AS1701" s="32">
        <f>IF($AR1701="","",IF(ISNUMBER($AR1701),IF($AR1701&gt;=10000000,IFERROR(DATE(INT($AR1701/10000),MOD(INT($AR1701/100),100),MOD($AR1701,100)),""),INT($AR1701)),IFERROR(DATE(--LEFT(LEFT(SUBSTITUTE(SUBSTITUTE(SUBSTITUTE(SUBSTITUTE(TRIM($AR1701),"-",""),".",""),"/","")," ",""),8),4),--MID(LEFT(SUBSTITUTE(SUBSTITUTE(SUBSTITUTE(SUBSTITUTE(TRIM($AR1701),"-",""),".",""),"/","")," ",""),8),5,2),--MID(LEFT(SUBSTITUTE(SUBSTITUTE(SUBSTITUTE(SUBSTITUTE(TRIM($AR1701),"-",""),".",""),"/","")," ",""),8),7,2)),"")))</f>
        <v/>
      </c>
      <c r="AT1701" s="33">
        <f>IF($AS1701="","",IF($F$6="",0,IF(ISNUMBER(INDEX($A:$AP,ROW(),$F$6)),INDEX($A:$AP,ROW(),$F$6),IFERROR(--SUBSTITUTE(SUBSTITUTE(TRIM(INDEX($A:$AP,ROW(),$F$6)),",",""),"원",""),0))))</f>
        <v/>
      </c>
      <c r="AU1701" s="31">
        <f>IF($AS1701="","",IF($AX1701&lt;&gt;"",SUBSTITUTE(SUBSTITUTE($AX1701,"-","")," ",""),"N:"&amp;$AV1701))</f>
        <v/>
      </c>
      <c r="AV1701" s="31">
        <f>IF(OR($AS1701="",$E$6=""),"",TRIM(INDEX($A:$AP,ROW(),$E$6)&amp;""))</f>
        <v/>
      </c>
      <c r="AW1701" s="31">
        <f>IF($AU1701="","",IF(MATCH($AU1701,$AU$8:$AU$2007,0)=ROW()-7,MAX($AW$7:$AW1700)+1,""))</f>
        <v/>
      </c>
      <c r="AX1701" s="31">
        <f>IF(OR($AS1701="",$D$6=""),"",TRIM(INDEX($A:$AP,ROW(),$D$6)&amp;""))</f>
        <v/>
      </c>
      <c r="AY1701" s="31">
        <f>IF($AU1701="","",INDEX($AW$8:$AW$2007,MATCH($AU1701,$AU$8:$AU$2007,0)))</f>
        <v/>
      </c>
      <c r="AZ1701" s="31">
        <f>IF(OR($AS1701="",$C$6=""),"",TRIM(INDEX($A:$AP,ROW(),$C$6)&amp;""))</f>
        <v/>
      </c>
      <c r="BA1701" s="31">
        <f>IF($AZ1701="","",IF(COUNTIF($AZ$8:$AZ1701,$AZ1701)&gt;1,1,0))</f>
        <v/>
      </c>
    </row>
    <row r="1702">
      <c r="AR1702" s="31">
        <f>IF(OR($A$5="",$B$6="",ROW()&lt;$A$5),"",IF(INDEX($A:$AP,ROW(),$B$6)="","",INDEX($A:$AP,ROW(),$B$6)))</f>
        <v/>
      </c>
      <c r="AS1702" s="32">
        <f>IF($AR1702="","",IF(ISNUMBER($AR1702),IF($AR1702&gt;=10000000,IFERROR(DATE(INT($AR1702/10000),MOD(INT($AR1702/100),100),MOD($AR1702,100)),""),INT($AR1702)),IFERROR(DATE(--LEFT(LEFT(SUBSTITUTE(SUBSTITUTE(SUBSTITUTE(SUBSTITUTE(TRIM($AR1702),"-",""),".",""),"/","")," ",""),8),4),--MID(LEFT(SUBSTITUTE(SUBSTITUTE(SUBSTITUTE(SUBSTITUTE(TRIM($AR1702),"-",""),".",""),"/","")," ",""),8),5,2),--MID(LEFT(SUBSTITUTE(SUBSTITUTE(SUBSTITUTE(SUBSTITUTE(TRIM($AR1702),"-",""),".",""),"/","")," ",""),8),7,2)),"")))</f>
        <v/>
      </c>
      <c r="AT1702" s="33">
        <f>IF($AS1702="","",IF($F$6="",0,IF(ISNUMBER(INDEX($A:$AP,ROW(),$F$6)),INDEX($A:$AP,ROW(),$F$6),IFERROR(--SUBSTITUTE(SUBSTITUTE(TRIM(INDEX($A:$AP,ROW(),$F$6)),",",""),"원",""),0))))</f>
        <v/>
      </c>
      <c r="AU1702" s="31">
        <f>IF($AS1702="","",IF($AX1702&lt;&gt;"",SUBSTITUTE(SUBSTITUTE($AX1702,"-","")," ",""),"N:"&amp;$AV1702))</f>
        <v/>
      </c>
      <c r="AV1702" s="31">
        <f>IF(OR($AS1702="",$E$6=""),"",TRIM(INDEX($A:$AP,ROW(),$E$6)&amp;""))</f>
        <v/>
      </c>
      <c r="AW1702" s="31">
        <f>IF($AU1702="","",IF(MATCH($AU1702,$AU$8:$AU$2007,0)=ROW()-7,MAX($AW$7:$AW1701)+1,""))</f>
        <v/>
      </c>
      <c r="AX1702" s="31">
        <f>IF(OR($AS1702="",$D$6=""),"",TRIM(INDEX($A:$AP,ROW(),$D$6)&amp;""))</f>
        <v/>
      </c>
      <c r="AY1702" s="31">
        <f>IF($AU1702="","",INDEX($AW$8:$AW$2007,MATCH($AU1702,$AU$8:$AU$2007,0)))</f>
        <v/>
      </c>
      <c r="AZ1702" s="31">
        <f>IF(OR($AS1702="",$C$6=""),"",TRIM(INDEX($A:$AP,ROW(),$C$6)&amp;""))</f>
        <v/>
      </c>
      <c r="BA1702" s="31">
        <f>IF($AZ1702="","",IF(COUNTIF($AZ$8:$AZ1702,$AZ1702)&gt;1,1,0))</f>
        <v/>
      </c>
    </row>
    <row r="1703">
      <c r="AR1703" s="31">
        <f>IF(OR($A$5="",$B$6="",ROW()&lt;$A$5),"",IF(INDEX($A:$AP,ROW(),$B$6)="","",INDEX($A:$AP,ROW(),$B$6)))</f>
        <v/>
      </c>
      <c r="AS1703" s="32">
        <f>IF($AR1703="","",IF(ISNUMBER($AR1703),IF($AR1703&gt;=10000000,IFERROR(DATE(INT($AR1703/10000),MOD(INT($AR1703/100),100),MOD($AR1703,100)),""),INT($AR1703)),IFERROR(DATE(--LEFT(LEFT(SUBSTITUTE(SUBSTITUTE(SUBSTITUTE(SUBSTITUTE(TRIM($AR1703),"-",""),".",""),"/","")," ",""),8),4),--MID(LEFT(SUBSTITUTE(SUBSTITUTE(SUBSTITUTE(SUBSTITUTE(TRIM($AR1703),"-",""),".",""),"/","")," ",""),8),5,2),--MID(LEFT(SUBSTITUTE(SUBSTITUTE(SUBSTITUTE(SUBSTITUTE(TRIM($AR1703),"-",""),".",""),"/","")," ",""),8),7,2)),"")))</f>
        <v/>
      </c>
      <c r="AT1703" s="33">
        <f>IF($AS1703="","",IF($F$6="",0,IF(ISNUMBER(INDEX($A:$AP,ROW(),$F$6)),INDEX($A:$AP,ROW(),$F$6),IFERROR(--SUBSTITUTE(SUBSTITUTE(TRIM(INDEX($A:$AP,ROW(),$F$6)),",",""),"원",""),0))))</f>
        <v/>
      </c>
      <c r="AU1703" s="31">
        <f>IF($AS1703="","",IF($AX1703&lt;&gt;"",SUBSTITUTE(SUBSTITUTE($AX1703,"-","")," ",""),"N:"&amp;$AV1703))</f>
        <v/>
      </c>
      <c r="AV1703" s="31">
        <f>IF(OR($AS1703="",$E$6=""),"",TRIM(INDEX($A:$AP,ROW(),$E$6)&amp;""))</f>
        <v/>
      </c>
      <c r="AW1703" s="31">
        <f>IF($AU1703="","",IF(MATCH($AU1703,$AU$8:$AU$2007,0)=ROW()-7,MAX($AW$7:$AW1702)+1,""))</f>
        <v/>
      </c>
      <c r="AX1703" s="31">
        <f>IF(OR($AS1703="",$D$6=""),"",TRIM(INDEX($A:$AP,ROW(),$D$6)&amp;""))</f>
        <v/>
      </c>
      <c r="AY1703" s="31">
        <f>IF($AU1703="","",INDEX($AW$8:$AW$2007,MATCH($AU1703,$AU$8:$AU$2007,0)))</f>
        <v/>
      </c>
      <c r="AZ1703" s="31">
        <f>IF(OR($AS1703="",$C$6=""),"",TRIM(INDEX($A:$AP,ROW(),$C$6)&amp;""))</f>
        <v/>
      </c>
      <c r="BA1703" s="31">
        <f>IF($AZ1703="","",IF(COUNTIF($AZ$8:$AZ1703,$AZ1703)&gt;1,1,0))</f>
        <v/>
      </c>
    </row>
    <row r="1704">
      <c r="AR1704" s="31">
        <f>IF(OR($A$5="",$B$6="",ROW()&lt;$A$5),"",IF(INDEX($A:$AP,ROW(),$B$6)="","",INDEX($A:$AP,ROW(),$B$6)))</f>
        <v/>
      </c>
      <c r="AS1704" s="32">
        <f>IF($AR1704="","",IF(ISNUMBER($AR1704),IF($AR1704&gt;=10000000,IFERROR(DATE(INT($AR1704/10000),MOD(INT($AR1704/100),100),MOD($AR1704,100)),""),INT($AR1704)),IFERROR(DATE(--LEFT(LEFT(SUBSTITUTE(SUBSTITUTE(SUBSTITUTE(SUBSTITUTE(TRIM($AR1704),"-",""),".",""),"/","")," ",""),8),4),--MID(LEFT(SUBSTITUTE(SUBSTITUTE(SUBSTITUTE(SUBSTITUTE(TRIM($AR1704),"-",""),".",""),"/","")," ",""),8),5,2),--MID(LEFT(SUBSTITUTE(SUBSTITUTE(SUBSTITUTE(SUBSTITUTE(TRIM($AR1704),"-",""),".",""),"/","")," ",""),8),7,2)),"")))</f>
        <v/>
      </c>
      <c r="AT1704" s="33">
        <f>IF($AS1704="","",IF($F$6="",0,IF(ISNUMBER(INDEX($A:$AP,ROW(),$F$6)),INDEX($A:$AP,ROW(),$F$6),IFERROR(--SUBSTITUTE(SUBSTITUTE(TRIM(INDEX($A:$AP,ROW(),$F$6)),",",""),"원",""),0))))</f>
        <v/>
      </c>
      <c r="AU1704" s="31">
        <f>IF($AS1704="","",IF($AX1704&lt;&gt;"",SUBSTITUTE(SUBSTITUTE($AX1704,"-","")," ",""),"N:"&amp;$AV1704))</f>
        <v/>
      </c>
      <c r="AV1704" s="31">
        <f>IF(OR($AS1704="",$E$6=""),"",TRIM(INDEX($A:$AP,ROW(),$E$6)&amp;""))</f>
        <v/>
      </c>
      <c r="AW1704" s="31">
        <f>IF($AU1704="","",IF(MATCH($AU1704,$AU$8:$AU$2007,0)=ROW()-7,MAX($AW$7:$AW1703)+1,""))</f>
        <v/>
      </c>
      <c r="AX1704" s="31">
        <f>IF(OR($AS1704="",$D$6=""),"",TRIM(INDEX($A:$AP,ROW(),$D$6)&amp;""))</f>
        <v/>
      </c>
      <c r="AY1704" s="31">
        <f>IF($AU1704="","",INDEX($AW$8:$AW$2007,MATCH($AU1704,$AU$8:$AU$2007,0)))</f>
        <v/>
      </c>
      <c r="AZ1704" s="31">
        <f>IF(OR($AS1704="",$C$6=""),"",TRIM(INDEX($A:$AP,ROW(),$C$6)&amp;""))</f>
        <v/>
      </c>
      <c r="BA1704" s="31">
        <f>IF($AZ1704="","",IF(COUNTIF($AZ$8:$AZ1704,$AZ1704)&gt;1,1,0))</f>
        <v/>
      </c>
    </row>
    <row r="1705">
      <c r="AR1705" s="31">
        <f>IF(OR($A$5="",$B$6="",ROW()&lt;$A$5),"",IF(INDEX($A:$AP,ROW(),$B$6)="","",INDEX($A:$AP,ROW(),$B$6)))</f>
        <v/>
      </c>
      <c r="AS1705" s="32">
        <f>IF($AR1705="","",IF(ISNUMBER($AR1705),IF($AR1705&gt;=10000000,IFERROR(DATE(INT($AR1705/10000),MOD(INT($AR1705/100),100),MOD($AR1705,100)),""),INT($AR1705)),IFERROR(DATE(--LEFT(LEFT(SUBSTITUTE(SUBSTITUTE(SUBSTITUTE(SUBSTITUTE(TRIM($AR1705),"-",""),".",""),"/","")," ",""),8),4),--MID(LEFT(SUBSTITUTE(SUBSTITUTE(SUBSTITUTE(SUBSTITUTE(TRIM($AR1705),"-",""),".",""),"/","")," ",""),8),5,2),--MID(LEFT(SUBSTITUTE(SUBSTITUTE(SUBSTITUTE(SUBSTITUTE(TRIM($AR1705),"-",""),".",""),"/","")," ",""),8),7,2)),"")))</f>
        <v/>
      </c>
      <c r="AT1705" s="33">
        <f>IF($AS1705="","",IF($F$6="",0,IF(ISNUMBER(INDEX($A:$AP,ROW(),$F$6)),INDEX($A:$AP,ROW(),$F$6),IFERROR(--SUBSTITUTE(SUBSTITUTE(TRIM(INDEX($A:$AP,ROW(),$F$6)),",",""),"원",""),0))))</f>
        <v/>
      </c>
      <c r="AU1705" s="31">
        <f>IF($AS1705="","",IF($AX1705&lt;&gt;"",SUBSTITUTE(SUBSTITUTE($AX1705,"-","")," ",""),"N:"&amp;$AV1705))</f>
        <v/>
      </c>
      <c r="AV1705" s="31">
        <f>IF(OR($AS1705="",$E$6=""),"",TRIM(INDEX($A:$AP,ROW(),$E$6)&amp;""))</f>
        <v/>
      </c>
      <c r="AW1705" s="31">
        <f>IF($AU1705="","",IF(MATCH($AU1705,$AU$8:$AU$2007,0)=ROW()-7,MAX($AW$7:$AW1704)+1,""))</f>
        <v/>
      </c>
      <c r="AX1705" s="31">
        <f>IF(OR($AS1705="",$D$6=""),"",TRIM(INDEX($A:$AP,ROW(),$D$6)&amp;""))</f>
        <v/>
      </c>
      <c r="AY1705" s="31">
        <f>IF($AU1705="","",INDEX($AW$8:$AW$2007,MATCH($AU1705,$AU$8:$AU$2007,0)))</f>
        <v/>
      </c>
      <c r="AZ1705" s="31">
        <f>IF(OR($AS1705="",$C$6=""),"",TRIM(INDEX($A:$AP,ROW(),$C$6)&amp;""))</f>
        <v/>
      </c>
      <c r="BA1705" s="31">
        <f>IF($AZ1705="","",IF(COUNTIF($AZ$8:$AZ1705,$AZ1705)&gt;1,1,0))</f>
        <v/>
      </c>
    </row>
    <row r="1706">
      <c r="AR1706" s="31">
        <f>IF(OR($A$5="",$B$6="",ROW()&lt;$A$5),"",IF(INDEX($A:$AP,ROW(),$B$6)="","",INDEX($A:$AP,ROW(),$B$6)))</f>
        <v/>
      </c>
      <c r="AS1706" s="32">
        <f>IF($AR1706="","",IF(ISNUMBER($AR1706),IF($AR1706&gt;=10000000,IFERROR(DATE(INT($AR1706/10000),MOD(INT($AR1706/100),100),MOD($AR1706,100)),""),INT($AR1706)),IFERROR(DATE(--LEFT(LEFT(SUBSTITUTE(SUBSTITUTE(SUBSTITUTE(SUBSTITUTE(TRIM($AR1706),"-",""),".",""),"/","")," ",""),8),4),--MID(LEFT(SUBSTITUTE(SUBSTITUTE(SUBSTITUTE(SUBSTITUTE(TRIM($AR1706),"-",""),".",""),"/","")," ",""),8),5,2),--MID(LEFT(SUBSTITUTE(SUBSTITUTE(SUBSTITUTE(SUBSTITUTE(TRIM($AR1706),"-",""),".",""),"/","")," ",""),8),7,2)),"")))</f>
        <v/>
      </c>
      <c r="AT1706" s="33">
        <f>IF($AS1706="","",IF($F$6="",0,IF(ISNUMBER(INDEX($A:$AP,ROW(),$F$6)),INDEX($A:$AP,ROW(),$F$6),IFERROR(--SUBSTITUTE(SUBSTITUTE(TRIM(INDEX($A:$AP,ROW(),$F$6)),",",""),"원",""),0))))</f>
        <v/>
      </c>
      <c r="AU1706" s="31">
        <f>IF($AS1706="","",IF($AX1706&lt;&gt;"",SUBSTITUTE(SUBSTITUTE($AX1706,"-","")," ",""),"N:"&amp;$AV1706))</f>
        <v/>
      </c>
      <c r="AV1706" s="31">
        <f>IF(OR($AS1706="",$E$6=""),"",TRIM(INDEX($A:$AP,ROW(),$E$6)&amp;""))</f>
        <v/>
      </c>
      <c r="AW1706" s="31">
        <f>IF($AU1706="","",IF(MATCH($AU1706,$AU$8:$AU$2007,0)=ROW()-7,MAX($AW$7:$AW1705)+1,""))</f>
        <v/>
      </c>
      <c r="AX1706" s="31">
        <f>IF(OR($AS1706="",$D$6=""),"",TRIM(INDEX($A:$AP,ROW(),$D$6)&amp;""))</f>
        <v/>
      </c>
      <c r="AY1706" s="31">
        <f>IF($AU1706="","",INDEX($AW$8:$AW$2007,MATCH($AU1706,$AU$8:$AU$2007,0)))</f>
        <v/>
      </c>
      <c r="AZ1706" s="31">
        <f>IF(OR($AS1706="",$C$6=""),"",TRIM(INDEX($A:$AP,ROW(),$C$6)&amp;""))</f>
        <v/>
      </c>
      <c r="BA1706" s="31">
        <f>IF($AZ1706="","",IF(COUNTIF($AZ$8:$AZ1706,$AZ1706)&gt;1,1,0))</f>
        <v/>
      </c>
    </row>
    <row r="1707">
      <c r="AR1707" s="31">
        <f>IF(OR($A$5="",$B$6="",ROW()&lt;$A$5),"",IF(INDEX($A:$AP,ROW(),$B$6)="","",INDEX($A:$AP,ROW(),$B$6)))</f>
        <v/>
      </c>
      <c r="AS1707" s="32">
        <f>IF($AR1707="","",IF(ISNUMBER($AR1707),IF($AR1707&gt;=10000000,IFERROR(DATE(INT($AR1707/10000),MOD(INT($AR1707/100),100),MOD($AR1707,100)),""),INT($AR1707)),IFERROR(DATE(--LEFT(LEFT(SUBSTITUTE(SUBSTITUTE(SUBSTITUTE(SUBSTITUTE(TRIM($AR1707),"-",""),".",""),"/","")," ",""),8),4),--MID(LEFT(SUBSTITUTE(SUBSTITUTE(SUBSTITUTE(SUBSTITUTE(TRIM($AR1707),"-",""),".",""),"/","")," ",""),8),5,2),--MID(LEFT(SUBSTITUTE(SUBSTITUTE(SUBSTITUTE(SUBSTITUTE(TRIM($AR1707),"-",""),".",""),"/","")," ",""),8),7,2)),"")))</f>
        <v/>
      </c>
      <c r="AT1707" s="33">
        <f>IF($AS1707="","",IF($F$6="",0,IF(ISNUMBER(INDEX($A:$AP,ROW(),$F$6)),INDEX($A:$AP,ROW(),$F$6),IFERROR(--SUBSTITUTE(SUBSTITUTE(TRIM(INDEX($A:$AP,ROW(),$F$6)),",",""),"원",""),0))))</f>
        <v/>
      </c>
      <c r="AU1707" s="31">
        <f>IF($AS1707="","",IF($AX1707&lt;&gt;"",SUBSTITUTE(SUBSTITUTE($AX1707,"-","")," ",""),"N:"&amp;$AV1707))</f>
        <v/>
      </c>
      <c r="AV1707" s="31">
        <f>IF(OR($AS1707="",$E$6=""),"",TRIM(INDEX($A:$AP,ROW(),$E$6)&amp;""))</f>
        <v/>
      </c>
      <c r="AW1707" s="31">
        <f>IF($AU1707="","",IF(MATCH($AU1707,$AU$8:$AU$2007,0)=ROW()-7,MAX($AW$7:$AW1706)+1,""))</f>
        <v/>
      </c>
      <c r="AX1707" s="31">
        <f>IF(OR($AS1707="",$D$6=""),"",TRIM(INDEX($A:$AP,ROW(),$D$6)&amp;""))</f>
        <v/>
      </c>
      <c r="AY1707" s="31">
        <f>IF($AU1707="","",INDEX($AW$8:$AW$2007,MATCH($AU1707,$AU$8:$AU$2007,0)))</f>
        <v/>
      </c>
      <c r="AZ1707" s="31">
        <f>IF(OR($AS1707="",$C$6=""),"",TRIM(INDEX($A:$AP,ROW(),$C$6)&amp;""))</f>
        <v/>
      </c>
      <c r="BA1707" s="31">
        <f>IF($AZ1707="","",IF(COUNTIF($AZ$8:$AZ1707,$AZ1707)&gt;1,1,0))</f>
        <v/>
      </c>
    </row>
    <row r="1708">
      <c r="AR1708" s="31">
        <f>IF(OR($A$5="",$B$6="",ROW()&lt;$A$5),"",IF(INDEX($A:$AP,ROW(),$B$6)="","",INDEX($A:$AP,ROW(),$B$6)))</f>
        <v/>
      </c>
      <c r="AS1708" s="32">
        <f>IF($AR1708="","",IF(ISNUMBER($AR1708),IF($AR1708&gt;=10000000,IFERROR(DATE(INT($AR1708/10000),MOD(INT($AR1708/100),100),MOD($AR1708,100)),""),INT($AR1708)),IFERROR(DATE(--LEFT(LEFT(SUBSTITUTE(SUBSTITUTE(SUBSTITUTE(SUBSTITUTE(TRIM($AR1708),"-",""),".",""),"/","")," ",""),8),4),--MID(LEFT(SUBSTITUTE(SUBSTITUTE(SUBSTITUTE(SUBSTITUTE(TRIM($AR1708),"-",""),".",""),"/","")," ",""),8),5,2),--MID(LEFT(SUBSTITUTE(SUBSTITUTE(SUBSTITUTE(SUBSTITUTE(TRIM($AR1708),"-",""),".",""),"/","")," ",""),8),7,2)),"")))</f>
        <v/>
      </c>
      <c r="AT1708" s="33">
        <f>IF($AS1708="","",IF($F$6="",0,IF(ISNUMBER(INDEX($A:$AP,ROW(),$F$6)),INDEX($A:$AP,ROW(),$F$6),IFERROR(--SUBSTITUTE(SUBSTITUTE(TRIM(INDEX($A:$AP,ROW(),$F$6)),",",""),"원",""),0))))</f>
        <v/>
      </c>
      <c r="AU1708" s="31">
        <f>IF($AS1708="","",IF($AX1708&lt;&gt;"",SUBSTITUTE(SUBSTITUTE($AX1708,"-","")," ",""),"N:"&amp;$AV1708))</f>
        <v/>
      </c>
      <c r="AV1708" s="31">
        <f>IF(OR($AS1708="",$E$6=""),"",TRIM(INDEX($A:$AP,ROW(),$E$6)&amp;""))</f>
        <v/>
      </c>
      <c r="AW1708" s="31">
        <f>IF($AU1708="","",IF(MATCH($AU1708,$AU$8:$AU$2007,0)=ROW()-7,MAX($AW$7:$AW1707)+1,""))</f>
        <v/>
      </c>
      <c r="AX1708" s="31">
        <f>IF(OR($AS1708="",$D$6=""),"",TRIM(INDEX($A:$AP,ROW(),$D$6)&amp;""))</f>
        <v/>
      </c>
      <c r="AY1708" s="31">
        <f>IF($AU1708="","",INDEX($AW$8:$AW$2007,MATCH($AU1708,$AU$8:$AU$2007,0)))</f>
        <v/>
      </c>
      <c r="AZ1708" s="31">
        <f>IF(OR($AS1708="",$C$6=""),"",TRIM(INDEX($A:$AP,ROW(),$C$6)&amp;""))</f>
        <v/>
      </c>
      <c r="BA1708" s="31">
        <f>IF($AZ1708="","",IF(COUNTIF($AZ$8:$AZ1708,$AZ1708)&gt;1,1,0))</f>
        <v/>
      </c>
    </row>
    <row r="1709">
      <c r="AR1709" s="31">
        <f>IF(OR($A$5="",$B$6="",ROW()&lt;$A$5),"",IF(INDEX($A:$AP,ROW(),$B$6)="","",INDEX($A:$AP,ROW(),$B$6)))</f>
        <v/>
      </c>
      <c r="AS1709" s="32">
        <f>IF($AR1709="","",IF(ISNUMBER($AR1709),IF($AR1709&gt;=10000000,IFERROR(DATE(INT($AR1709/10000),MOD(INT($AR1709/100),100),MOD($AR1709,100)),""),INT($AR1709)),IFERROR(DATE(--LEFT(LEFT(SUBSTITUTE(SUBSTITUTE(SUBSTITUTE(SUBSTITUTE(TRIM($AR1709),"-",""),".",""),"/","")," ",""),8),4),--MID(LEFT(SUBSTITUTE(SUBSTITUTE(SUBSTITUTE(SUBSTITUTE(TRIM($AR1709),"-",""),".",""),"/","")," ",""),8),5,2),--MID(LEFT(SUBSTITUTE(SUBSTITUTE(SUBSTITUTE(SUBSTITUTE(TRIM($AR1709),"-",""),".",""),"/","")," ",""),8),7,2)),"")))</f>
        <v/>
      </c>
      <c r="AT1709" s="33">
        <f>IF($AS1709="","",IF($F$6="",0,IF(ISNUMBER(INDEX($A:$AP,ROW(),$F$6)),INDEX($A:$AP,ROW(),$F$6),IFERROR(--SUBSTITUTE(SUBSTITUTE(TRIM(INDEX($A:$AP,ROW(),$F$6)),",",""),"원",""),0))))</f>
        <v/>
      </c>
      <c r="AU1709" s="31">
        <f>IF($AS1709="","",IF($AX1709&lt;&gt;"",SUBSTITUTE(SUBSTITUTE($AX1709,"-","")," ",""),"N:"&amp;$AV1709))</f>
        <v/>
      </c>
      <c r="AV1709" s="31">
        <f>IF(OR($AS1709="",$E$6=""),"",TRIM(INDEX($A:$AP,ROW(),$E$6)&amp;""))</f>
        <v/>
      </c>
      <c r="AW1709" s="31">
        <f>IF($AU1709="","",IF(MATCH($AU1709,$AU$8:$AU$2007,0)=ROW()-7,MAX($AW$7:$AW1708)+1,""))</f>
        <v/>
      </c>
      <c r="AX1709" s="31">
        <f>IF(OR($AS1709="",$D$6=""),"",TRIM(INDEX($A:$AP,ROW(),$D$6)&amp;""))</f>
        <v/>
      </c>
      <c r="AY1709" s="31">
        <f>IF($AU1709="","",INDEX($AW$8:$AW$2007,MATCH($AU1709,$AU$8:$AU$2007,0)))</f>
        <v/>
      </c>
      <c r="AZ1709" s="31">
        <f>IF(OR($AS1709="",$C$6=""),"",TRIM(INDEX($A:$AP,ROW(),$C$6)&amp;""))</f>
        <v/>
      </c>
      <c r="BA1709" s="31">
        <f>IF($AZ1709="","",IF(COUNTIF($AZ$8:$AZ1709,$AZ1709)&gt;1,1,0))</f>
        <v/>
      </c>
    </row>
    <row r="1710">
      <c r="AR1710" s="31">
        <f>IF(OR($A$5="",$B$6="",ROW()&lt;$A$5),"",IF(INDEX($A:$AP,ROW(),$B$6)="","",INDEX($A:$AP,ROW(),$B$6)))</f>
        <v/>
      </c>
      <c r="AS1710" s="32">
        <f>IF($AR1710="","",IF(ISNUMBER($AR1710),IF($AR1710&gt;=10000000,IFERROR(DATE(INT($AR1710/10000),MOD(INT($AR1710/100),100),MOD($AR1710,100)),""),INT($AR1710)),IFERROR(DATE(--LEFT(LEFT(SUBSTITUTE(SUBSTITUTE(SUBSTITUTE(SUBSTITUTE(TRIM($AR1710),"-",""),".",""),"/","")," ",""),8),4),--MID(LEFT(SUBSTITUTE(SUBSTITUTE(SUBSTITUTE(SUBSTITUTE(TRIM($AR1710),"-",""),".",""),"/","")," ",""),8),5,2),--MID(LEFT(SUBSTITUTE(SUBSTITUTE(SUBSTITUTE(SUBSTITUTE(TRIM($AR1710),"-",""),".",""),"/","")," ",""),8),7,2)),"")))</f>
        <v/>
      </c>
      <c r="AT1710" s="33">
        <f>IF($AS1710="","",IF($F$6="",0,IF(ISNUMBER(INDEX($A:$AP,ROW(),$F$6)),INDEX($A:$AP,ROW(),$F$6),IFERROR(--SUBSTITUTE(SUBSTITUTE(TRIM(INDEX($A:$AP,ROW(),$F$6)),",",""),"원",""),0))))</f>
        <v/>
      </c>
      <c r="AU1710" s="31">
        <f>IF($AS1710="","",IF($AX1710&lt;&gt;"",SUBSTITUTE(SUBSTITUTE($AX1710,"-","")," ",""),"N:"&amp;$AV1710))</f>
        <v/>
      </c>
      <c r="AV1710" s="31">
        <f>IF(OR($AS1710="",$E$6=""),"",TRIM(INDEX($A:$AP,ROW(),$E$6)&amp;""))</f>
        <v/>
      </c>
      <c r="AW1710" s="31">
        <f>IF($AU1710="","",IF(MATCH($AU1710,$AU$8:$AU$2007,0)=ROW()-7,MAX($AW$7:$AW1709)+1,""))</f>
        <v/>
      </c>
      <c r="AX1710" s="31">
        <f>IF(OR($AS1710="",$D$6=""),"",TRIM(INDEX($A:$AP,ROW(),$D$6)&amp;""))</f>
        <v/>
      </c>
      <c r="AY1710" s="31">
        <f>IF($AU1710="","",INDEX($AW$8:$AW$2007,MATCH($AU1710,$AU$8:$AU$2007,0)))</f>
        <v/>
      </c>
      <c r="AZ1710" s="31">
        <f>IF(OR($AS1710="",$C$6=""),"",TRIM(INDEX($A:$AP,ROW(),$C$6)&amp;""))</f>
        <v/>
      </c>
      <c r="BA1710" s="31">
        <f>IF($AZ1710="","",IF(COUNTIF($AZ$8:$AZ1710,$AZ1710)&gt;1,1,0))</f>
        <v/>
      </c>
    </row>
    <row r="1711">
      <c r="AR1711" s="31">
        <f>IF(OR($A$5="",$B$6="",ROW()&lt;$A$5),"",IF(INDEX($A:$AP,ROW(),$B$6)="","",INDEX($A:$AP,ROW(),$B$6)))</f>
        <v/>
      </c>
      <c r="AS1711" s="32">
        <f>IF($AR1711="","",IF(ISNUMBER($AR1711),IF($AR1711&gt;=10000000,IFERROR(DATE(INT($AR1711/10000),MOD(INT($AR1711/100),100),MOD($AR1711,100)),""),INT($AR1711)),IFERROR(DATE(--LEFT(LEFT(SUBSTITUTE(SUBSTITUTE(SUBSTITUTE(SUBSTITUTE(TRIM($AR1711),"-",""),".",""),"/","")," ",""),8),4),--MID(LEFT(SUBSTITUTE(SUBSTITUTE(SUBSTITUTE(SUBSTITUTE(TRIM($AR1711),"-",""),".",""),"/","")," ",""),8),5,2),--MID(LEFT(SUBSTITUTE(SUBSTITUTE(SUBSTITUTE(SUBSTITUTE(TRIM($AR1711),"-",""),".",""),"/","")," ",""),8),7,2)),"")))</f>
        <v/>
      </c>
      <c r="AT1711" s="33">
        <f>IF($AS1711="","",IF($F$6="",0,IF(ISNUMBER(INDEX($A:$AP,ROW(),$F$6)),INDEX($A:$AP,ROW(),$F$6),IFERROR(--SUBSTITUTE(SUBSTITUTE(TRIM(INDEX($A:$AP,ROW(),$F$6)),",",""),"원",""),0))))</f>
        <v/>
      </c>
      <c r="AU1711" s="31">
        <f>IF($AS1711="","",IF($AX1711&lt;&gt;"",SUBSTITUTE(SUBSTITUTE($AX1711,"-","")," ",""),"N:"&amp;$AV1711))</f>
        <v/>
      </c>
      <c r="AV1711" s="31">
        <f>IF(OR($AS1711="",$E$6=""),"",TRIM(INDEX($A:$AP,ROW(),$E$6)&amp;""))</f>
        <v/>
      </c>
      <c r="AW1711" s="31">
        <f>IF($AU1711="","",IF(MATCH($AU1711,$AU$8:$AU$2007,0)=ROW()-7,MAX($AW$7:$AW1710)+1,""))</f>
        <v/>
      </c>
      <c r="AX1711" s="31">
        <f>IF(OR($AS1711="",$D$6=""),"",TRIM(INDEX($A:$AP,ROW(),$D$6)&amp;""))</f>
        <v/>
      </c>
      <c r="AY1711" s="31">
        <f>IF($AU1711="","",INDEX($AW$8:$AW$2007,MATCH($AU1711,$AU$8:$AU$2007,0)))</f>
        <v/>
      </c>
      <c r="AZ1711" s="31">
        <f>IF(OR($AS1711="",$C$6=""),"",TRIM(INDEX($A:$AP,ROW(),$C$6)&amp;""))</f>
        <v/>
      </c>
      <c r="BA1711" s="31">
        <f>IF($AZ1711="","",IF(COUNTIF($AZ$8:$AZ1711,$AZ1711)&gt;1,1,0))</f>
        <v/>
      </c>
    </row>
    <row r="1712">
      <c r="AR1712" s="31">
        <f>IF(OR($A$5="",$B$6="",ROW()&lt;$A$5),"",IF(INDEX($A:$AP,ROW(),$B$6)="","",INDEX($A:$AP,ROW(),$B$6)))</f>
        <v/>
      </c>
      <c r="AS1712" s="32">
        <f>IF($AR1712="","",IF(ISNUMBER($AR1712),IF($AR1712&gt;=10000000,IFERROR(DATE(INT($AR1712/10000),MOD(INT($AR1712/100),100),MOD($AR1712,100)),""),INT($AR1712)),IFERROR(DATE(--LEFT(LEFT(SUBSTITUTE(SUBSTITUTE(SUBSTITUTE(SUBSTITUTE(TRIM($AR1712),"-",""),".",""),"/","")," ",""),8),4),--MID(LEFT(SUBSTITUTE(SUBSTITUTE(SUBSTITUTE(SUBSTITUTE(TRIM($AR1712),"-",""),".",""),"/","")," ",""),8),5,2),--MID(LEFT(SUBSTITUTE(SUBSTITUTE(SUBSTITUTE(SUBSTITUTE(TRIM($AR1712),"-",""),".",""),"/","")," ",""),8),7,2)),"")))</f>
        <v/>
      </c>
      <c r="AT1712" s="33">
        <f>IF($AS1712="","",IF($F$6="",0,IF(ISNUMBER(INDEX($A:$AP,ROW(),$F$6)),INDEX($A:$AP,ROW(),$F$6),IFERROR(--SUBSTITUTE(SUBSTITUTE(TRIM(INDEX($A:$AP,ROW(),$F$6)),",",""),"원",""),0))))</f>
        <v/>
      </c>
      <c r="AU1712" s="31">
        <f>IF($AS1712="","",IF($AX1712&lt;&gt;"",SUBSTITUTE(SUBSTITUTE($AX1712,"-","")," ",""),"N:"&amp;$AV1712))</f>
        <v/>
      </c>
      <c r="AV1712" s="31">
        <f>IF(OR($AS1712="",$E$6=""),"",TRIM(INDEX($A:$AP,ROW(),$E$6)&amp;""))</f>
        <v/>
      </c>
      <c r="AW1712" s="31">
        <f>IF($AU1712="","",IF(MATCH($AU1712,$AU$8:$AU$2007,0)=ROW()-7,MAX($AW$7:$AW1711)+1,""))</f>
        <v/>
      </c>
      <c r="AX1712" s="31">
        <f>IF(OR($AS1712="",$D$6=""),"",TRIM(INDEX($A:$AP,ROW(),$D$6)&amp;""))</f>
        <v/>
      </c>
      <c r="AY1712" s="31">
        <f>IF($AU1712="","",INDEX($AW$8:$AW$2007,MATCH($AU1712,$AU$8:$AU$2007,0)))</f>
        <v/>
      </c>
      <c r="AZ1712" s="31">
        <f>IF(OR($AS1712="",$C$6=""),"",TRIM(INDEX($A:$AP,ROW(),$C$6)&amp;""))</f>
        <v/>
      </c>
      <c r="BA1712" s="31">
        <f>IF($AZ1712="","",IF(COUNTIF($AZ$8:$AZ1712,$AZ1712)&gt;1,1,0))</f>
        <v/>
      </c>
    </row>
    <row r="1713">
      <c r="AR1713" s="31">
        <f>IF(OR($A$5="",$B$6="",ROW()&lt;$A$5),"",IF(INDEX($A:$AP,ROW(),$B$6)="","",INDEX($A:$AP,ROW(),$B$6)))</f>
        <v/>
      </c>
      <c r="AS1713" s="32">
        <f>IF($AR1713="","",IF(ISNUMBER($AR1713),IF($AR1713&gt;=10000000,IFERROR(DATE(INT($AR1713/10000),MOD(INT($AR1713/100),100),MOD($AR1713,100)),""),INT($AR1713)),IFERROR(DATE(--LEFT(LEFT(SUBSTITUTE(SUBSTITUTE(SUBSTITUTE(SUBSTITUTE(TRIM($AR1713),"-",""),".",""),"/","")," ",""),8),4),--MID(LEFT(SUBSTITUTE(SUBSTITUTE(SUBSTITUTE(SUBSTITUTE(TRIM($AR1713),"-",""),".",""),"/","")," ",""),8),5,2),--MID(LEFT(SUBSTITUTE(SUBSTITUTE(SUBSTITUTE(SUBSTITUTE(TRIM($AR1713),"-",""),".",""),"/","")," ",""),8),7,2)),"")))</f>
        <v/>
      </c>
      <c r="AT1713" s="33">
        <f>IF($AS1713="","",IF($F$6="",0,IF(ISNUMBER(INDEX($A:$AP,ROW(),$F$6)),INDEX($A:$AP,ROW(),$F$6),IFERROR(--SUBSTITUTE(SUBSTITUTE(TRIM(INDEX($A:$AP,ROW(),$F$6)),",",""),"원",""),0))))</f>
        <v/>
      </c>
      <c r="AU1713" s="31">
        <f>IF($AS1713="","",IF($AX1713&lt;&gt;"",SUBSTITUTE(SUBSTITUTE($AX1713,"-","")," ",""),"N:"&amp;$AV1713))</f>
        <v/>
      </c>
      <c r="AV1713" s="31">
        <f>IF(OR($AS1713="",$E$6=""),"",TRIM(INDEX($A:$AP,ROW(),$E$6)&amp;""))</f>
        <v/>
      </c>
      <c r="AW1713" s="31">
        <f>IF($AU1713="","",IF(MATCH($AU1713,$AU$8:$AU$2007,0)=ROW()-7,MAX($AW$7:$AW1712)+1,""))</f>
        <v/>
      </c>
      <c r="AX1713" s="31">
        <f>IF(OR($AS1713="",$D$6=""),"",TRIM(INDEX($A:$AP,ROW(),$D$6)&amp;""))</f>
        <v/>
      </c>
      <c r="AY1713" s="31">
        <f>IF($AU1713="","",INDEX($AW$8:$AW$2007,MATCH($AU1713,$AU$8:$AU$2007,0)))</f>
        <v/>
      </c>
      <c r="AZ1713" s="31">
        <f>IF(OR($AS1713="",$C$6=""),"",TRIM(INDEX($A:$AP,ROW(),$C$6)&amp;""))</f>
        <v/>
      </c>
      <c r="BA1713" s="31">
        <f>IF($AZ1713="","",IF(COUNTIF($AZ$8:$AZ1713,$AZ1713)&gt;1,1,0))</f>
        <v/>
      </c>
    </row>
    <row r="1714">
      <c r="AR1714" s="31">
        <f>IF(OR($A$5="",$B$6="",ROW()&lt;$A$5),"",IF(INDEX($A:$AP,ROW(),$B$6)="","",INDEX($A:$AP,ROW(),$B$6)))</f>
        <v/>
      </c>
      <c r="AS1714" s="32">
        <f>IF($AR1714="","",IF(ISNUMBER($AR1714),IF($AR1714&gt;=10000000,IFERROR(DATE(INT($AR1714/10000),MOD(INT($AR1714/100),100),MOD($AR1714,100)),""),INT($AR1714)),IFERROR(DATE(--LEFT(LEFT(SUBSTITUTE(SUBSTITUTE(SUBSTITUTE(SUBSTITUTE(TRIM($AR1714),"-",""),".",""),"/","")," ",""),8),4),--MID(LEFT(SUBSTITUTE(SUBSTITUTE(SUBSTITUTE(SUBSTITUTE(TRIM($AR1714),"-",""),".",""),"/","")," ",""),8),5,2),--MID(LEFT(SUBSTITUTE(SUBSTITUTE(SUBSTITUTE(SUBSTITUTE(TRIM($AR1714),"-",""),".",""),"/","")," ",""),8),7,2)),"")))</f>
        <v/>
      </c>
      <c r="AT1714" s="33">
        <f>IF($AS1714="","",IF($F$6="",0,IF(ISNUMBER(INDEX($A:$AP,ROW(),$F$6)),INDEX($A:$AP,ROW(),$F$6),IFERROR(--SUBSTITUTE(SUBSTITUTE(TRIM(INDEX($A:$AP,ROW(),$F$6)),",",""),"원",""),0))))</f>
        <v/>
      </c>
      <c r="AU1714" s="31">
        <f>IF($AS1714="","",IF($AX1714&lt;&gt;"",SUBSTITUTE(SUBSTITUTE($AX1714,"-","")," ",""),"N:"&amp;$AV1714))</f>
        <v/>
      </c>
      <c r="AV1714" s="31">
        <f>IF(OR($AS1714="",$E$6=""),"",TRIM(INDEX($A:$AP,ROW(),$E$6)&amp;""))</f>
        <v/>
      </c>
      <c r="AW1714" s="31">
        <f>IF($AU1714="","",IF(MATCH($AU1714,$AU$8:$AU$2007,0)=ROW()-7,MAX($AW$7:$AW1713)+1,""))</f>
        <v/>
      </c>
      <c r="AX1714" s="31">
        <f>IF(OR($AS1714="",$D$6=""),"",TRIM(INDEX($A:$AP,ROW(),$D$6)&amp;""))</f>
        <v/>
      </c>
      <c r="AY1714" s="31">
        <f>IF($AU1714="","",INDEX($AW$8:$AW$2007,MATCH($AU1714,$AU$8:$AU$2007,0)))</f>
        <v/>
      </c>
      <c r="AZ1714" s="31">
        <f>IF(OR($AS1714="",$C$6=""),"",TRIM(INDEX($A:$AP,ROW(),$C$6)&amp;""))</f>
        <v/>
      </c>
      <c r="BA1714" s="31">
        <f>IF($AZ1714="","",IF(COUNTIF($AZ$8:$AZ1714,$AZ1714)&gt;1,1,0))</f>
        <v/>
      </c>
    </row>
    <row r="1715">
      <c r="AR1715" s="31">
        <f>IF(OR($A$5="",$B$6="",ROW()&lt;$A$5),"",IF(INDEX($A:$AP,ROW(),$B$6)="","",INDEX($A:$AP,ROW(),$B$6)))</f>
        <v/>
      </c>
      <c r="AS1715" s="32">
        <f>IF($AR1715="","",IF(ISNUMBER($AR1715),IF($AR1715&gt;=10000000,IFERROR(DATE(INT($AR1715/10000),MOD(INT($AR1715/100),100),MOD($AR1715,100)),""),INT($AR1715)),IFERROR(DATE(--LEFT(LEFT(SUBSTITUTE(SUBSTITUTE(SUBSTITUTE(SUBSTITUTE(TRIM($AR1715),"-",""),".",""),"/","")," ",""),8),4),--MID(LEFT(SUBSTITUTE(SUBSTITUTE(SUBSTITUTE(SUBSTITUTE(TRIM($AR1715),"-",""),".",""),"/","")," ",""),8),5,2),--MID(LEFT(SUBSTITUTE(SUBSTITUTE(SUBSTITUTE(SUBSTITUTE(TRIM($AR1715),"-",""),".",""),"/","")," ",""),8),7,2)),"")))</f>
        <v/>
      </c>
      <c r="AT1715" s="33">
        <f>IF($AS1715="","",IF($F$6="",0,IF(ISNUMBER(INDEX($A:$AP,ROW(),$F$6)),INDEX($A:$AP,ROW(),$F$6),IFERROR(--SUBSTITUTE(SUBSTITUTE(TRIM(INDEX($A:$AP,ROW(),$F$6)),",",""),"원",""),0))))</f>
        <v/>
      </c>
      <c r="AU1715" s="31">
        <f>IF($AS1715="","",IF($AX1715&lt;&gt;"",SUBSTITUTE(SUBSTITUTE($AX1715,"-","")," ",""),"N:"&amp;$AV1715))</f>
        <v/>
      </c>
      <c r="AV1715" s="31">
        <f>IF(OR($AS1715="",$E$6=""),"",TRIM(INDEX($A:$AP,ROW(),$E$6)&amp;""))</f>
        <v/>
      </c>
      <c r="AW1715" s="31">
        <f>IF($AU1715="","",IF(MATCH($AU1715,$AU$8:$AU$2007,0)=ROW()-7,MAX($AW$7:$AW1714)+1,""))</f>
        <v/>
      </c>
      <c r="AX1715" s="31">
        <f>IF(OR($AS1715="",$D$6=""),"",TRIM(INDEX($A:$AP,ROW(),$D$6)&amp;""))</f>
        <v/>
      </c>
      <c r="AY1715" s="31">
        <f>IF($AU1715="","",INDEX($AW$8:$AW$2007,MATCH($AU1715,$AU$8:$AU$2007,0)))</f>
        <v/>
      </c>
      <c r="AZ1715" s="31">
        <f>IF(OR($AS1715="",$C$6=""),"",TRIM(INDEX($A:$AP,ROW(),$C$6)&amp;""))</f>
        <v/>
      </c>
      <c r="BA1715" s="31">
        <f>IF($AZ1715="","",IF(COUNTIF($AZ$8:$AZ1715,$AZ1715)&gt;1,1,0))</f>
        <v/>
      </c>
    </row>
    <row r="1716">
      <c r="AR1716" s="31">
        <f>IF(OR($A$5="",$B$6="",ROW()&lt;$A$5),"",IF(INDEX($A:$AP,ROW(),$B$6)="","",INDEX($A:$AP,ROW(),$B$6)))</f>
        <v/>
      </c>
      <c r="AS1716" s="32">
        <f>IF($AR1716="","",IF(ISNUMBER($AR1716),IF($AR1716&gt;=10000000,IFERROR(DATE(INT($AR1716/10000),MOD(INT($AR1716/100),100),MOD($AR1716,100)),""),INT($AR1716)),IFERROR(DATE(--LEFT(LEFT(SUBSTITUTE(SUBSTITUTE(SUBSTITUTE(SUBSTITUTE(TRIM($AR1716),"-",""),".",""),"/","")," ",""),8),4),--MID(LEFT(SUBSTITUTE(SUBSTITUTE(SUBSTITUTE(SUBSTITUTE(TRIM($AR1716),"-",""),".",""),"/","")," ",""),8),5,2),--MID(LEFT(SUBSTITUTE(SUBSTITUTE(SUBSTITUTE(SUBSTITUTE(TRIM($AR1716),"-",""),".",""),"/","")," ",""),8),7,2)),"")))</f>
        <v/>
      </c>
      <c r="AT1716" s="33">
        <f>IF($AS1716="","",IF($F$6="",0,IF(ISNUMBER(INDEX($A:$AP,ROW(),$F$6)),INDEX($A:$AP,ROW(),$F$6),IFERROR(--SUBSTITUTE(SUBSTITUTE(TRIM(INDEX($A:$AP,ROW(),$F$6)),",",""),"원",""),0))))</f>
        <v/>
      </c>
      <c r="AU1716" s="31">
        <f>IF($AS1716="","",IF($AX1716&lt;&gt;"",SUBSTITUTE(SUBSTITUTE($AX1716,"-","")," ",""),"N:"&amp;$AV1716))</f>
        <v/>
      </c>
      <c r="AV1716" s="31">
        <f>IF(OR($AS1716="",$E$6=""),"",TRIM(INDEX($A:$AP,ROW(),$E$6)&amp;""))</f>
        <v/>
      </c>
      <c r="AW1716" s="31">
        <f>IF($AU1716="","",IF(MATCH($AU1716,$AU$8:$AU$2007,0)=ROW()-7,MAX($AW$7:$AW1715)+1,""))</f>
        <v/>
      </c>
      <c r="AX1716" s="31">
        <f>IF(OR($AS1716="",$D$6=""),"",TRIM(INDEX($A:$AP,ROW(),$D$6)&amp;""))</f>
        <v/>
      </c>
      <c r="AY1716" s="31">
        <f>IF($AU1716="","",INDEX($AW$8:$AW$2007,MATCH($AU1716,$AU$8:$AU$2007,0)))</f>
        <v/>
      </c>
      <c r="AZ1716" s="31">
        <f>IF(OR($AS1716="",$C$6=""),"",TRIM(INDEX($A:$AP,ROW(),$C$6)&amp;""))</f>
        <v/>
      </c>
      <c r="BA1716" s="31">
        <f>IF($AZ1716="","",IF(COUNTIF($AZ$8:$AZ1716,$AZ1716)&gt;1,1,0))</f>
        <v/>
      </c>
    </row>
    <row r="1717">
      <c r="AR1717" s="31">
        <f>IF(OR($A$5="",$B$6="",ROW()&lt;$A$5),"",IF(INDEX($A:$AP,ROW(),$B$6)="","",INDEX($A:$AP,ROW(),$B$6)))</f>
        <v/>
      </c>
      <c r="AS1717" s="32">
        <f>IF($AR1717="","",IF(ISNUMBER($AR1717),IF($AR1717&gt;=10000000,IFERROR(DATE(INT($AR1717/10000),MOD(INT($AR1717/100),100),MOD($AR1717,100)),""),INT($AR1717)),IFERROR(DATE(--LEFT(LEFT(SUBSTITUTE(SUBSTITUTE(SUBSTITUTE(SUBSTITUTE(TRIM($AR1717),"-",""),".",""),"/","")," ",""),8),4),--MID(LEFT(SUBSTITUTE(SUBSTITUTE(SUBSTITUTE(SUBSTITUTE(TRIM($AR1717),"-",""),".",""),"/","")," ",""),8),5,2),--MID(LEFT(SUBSTITUTE(SUBSTITUTE(SUBSTITUTE(SUBSTITUTE(TRIM($AR1717),"-",""),".",""),"/","")," ",""),8),7,2)),"")))</f>
        <v/>
      </c>
      <c r="AT1717" s="33">
        <f>IF($AS1717="","",IF($F$6="",0,IF(ISNUMBER(INDEX($A:$AP,ROW(),$F$6)),INDEX($A:$AP,ROW(),$F$6),IFERROR(--SUBSTITUTE(SUBSTITUTE(TRIM(INDEX($A:$AP,ROW(),$F$6)),",",""),"원",""),0))))</f>
        <v/>
      </c>
      <c r="AU1717" s="31">
        <f>IF($AS1717="","",IF($AX1717&lt;&gt;"",SUBSTITUTE(SUBSTITUTE($AX1717,"-","")," ",""),"N:"&amp;$AV1717))</f>
        <v/>
      </c>
      <c r="AV1717" s="31">
        <f>IF(OR($AS1717="",$E$6=""),"",TRIM(INDEX($A:$AP,ROW(),$E$6)&amp;""))</f>
        <v/>
      </c>
      <c r="AW1717" s="31">
        <f>IF($AU1717="","",IF(MATCH($AU1717,$AU$8:$AU$2007,0)=ROW()-7,MAX($AW$7:$AW1716)+1,""))</f>
        <v/>
      </c>
      <c r="AX1717" s="31">
        <f>IF(OR($AS1717="",$D$6=""),"",TRIM(INDEX($A:$AP,ROW(),$D$6)&amp;""))</f>
        <v/>
      </c>
      <c r="AY1717" s="31">
        <f>IF($AU1717="","",INDEX($AW$8:$AW$2007,MATCH($AU1717,$AU$8:$AU$2007,0)))</f>
        <v/>
      </c>
      <c r="AZ1717" s="31">
        <f>IF(OR($AS1717="",$C$6=""),"",TRIM(INDEX($A:$AP,ROW(),$C$6)&amp;""))</f>
        <v/>
      </c>
      <c r="BA1717" s="31">
        <f>IF($AZ1717="","",IF(COUNTIF($AZ$8:$AZ1717,$AZ1717)&gt;1,1,0))</f>
        <v/>
      </c>
    </row>
    <row r="1718">
      <c r="AR1718" s="31">
        <f>IF(OR($A$5="",$B$6="",ROW()&lt;$A$5),"",IF(INDEX($A:$AP,ROW(),$B$6)="","",INDEX($A:$AP,ROW(),$B$6)))</f>
        <v/>
      </c>
      <c r="AS1718" s="32">
        <f>IF($AR1718="","",IF(ISNUMBER($AR1718),IF($AR1718&gt;=10000000,IFERROR(DATE(INT($AR1718/10000),MOD(INT($AR1718/100),100),MOD($AR1718,100)),""),INT($AR1718)),IFERROR(DATE(--LEFT(LEFT(SUBSTITUTE(SUBSTITUTE(SUBSTITUTE(SUBSTITUTE(TRIM($AR1718),"-",""),".",""),"/","")," ",""),8),4),--MID(LEFT(SUBSTITUTE(SUBSTITUTE(SUBSTITUTE(SUBSTITUTE(TRIM($AR1718),"-",""),".",""),"/","")," ",""),8),5,2),--MID(LEFT(SUBSTITUTE(SUBSTITUTE(SUBSTITUTE(SUBSTITUTE(TRIM($AR1718),"-",""),".",""),"/","")," ",""),8),7,2)),"")))</f>
        <v/>
      </c>
      <c r="AT1718" s="33">
        <f>IF($AS1718="","",IF($F$6="",0,IF(ISNUMBER(INDEX($A:$AP,ROW(),$F$6)),INDEX($A:$AP,ROW(),$F$6),IFERROR(--SUBSTITUTE(SUBSTITUTE(TRIM(INDEX($A:$AP,ROW(),$F$6)),",",""),"원",""),0))))</f>
        <v/>
      </c>
      <c r="AU1718" s="31">
        <f>IF($AS1718="","",IF($AX1718&lt;&gt;"",SUBSTITUTE(SUBSTITUTE($AX1718,"-","")," ",""),"N:"&amp;$AV1718))</f>
        <v/>
      </c>
      <c r="AV1718" s="31">
        <f>IF(OR($AS1718="",$E$6=""),"",TRIM(INDEX($A:$AP,ROW(),$E$6)&amp;""))</f>
        <v/>
      </c>
      <c r="AW1718" s="31">
        <f>IF($AU1718="","",IF(MATCH($AU1718,$AU$8:$AU$2007,0)=ROW()-7,MAX($AW$7:$AW1717)+1,""))</f>
        <v/>
      </c>
      <c r="AX1718" s="31">
        <f>IF(OR($AS1718="",$D$6=""),"",TRIM(INDEX($A:$AP,ROW(),$D$6)&amp;""))</f>
        <v/>
      </c>
      <c r="AY1718" s="31">
        <f>IF($AU1718="","",INDEX($AW$8:$AW$2007,MATCH($AU1718,$AU$8:$AU$2007,0)))</f>
        <v/>
      </c>
      <c r="AZ1718" s="31">
        <f>IF(OR($AS1718="",$C$6=""),"",TRIM(INDEX($A:$AP,ROW(),$C$6)&amp;""))</f>
        <v/>
      </c>
      <c r="BA1718" s="31">
        <f>IF($AZ1718="","",IF(COUNTIF($AZ$8:$AZ1718,$AZ1718)&gt;1,1,0))</f>
        <v/>
      </c>
    </row>
    <row r="1719">
      <c r="AR1719" s="31">
        <f>IF(OR($A$5="",$B$6="",ROW()&lt;$A$5),"",IF(INDEX($A:$AP,ROW(),$B$6)="","",INDEX($A:$AP,ROW(),$B$6)))</f>
        <v/>
      </c>
      <c r="AS1719" s="32">
        <f>IF($AR1719="","",IF(ISNUMBER($AR1719),IF($AR1719&gt;=10000000,IFERROR(DATE(INT($AR1719/10000),MOD(INT($AR1719/100),100),MOD($AR1719,100)),""),INT($AR1719)),IFERROR(DATE(--LEFT(LEFT(SUBSTITUTE(SUBSTITUTE(SUBSTITUTE(SUBSTITUTE(TRIM($AR1719),"-",""),".",""),"/","")," ",""),8),4),--MID(LEFT(SUBSTITUTE(SUBSTITUTE(SUBSTITUTE(SUBSTITUTE(TRIM($AR1719),"-",""),".",""),"/","")," ",""),8),5,2),--MID(LEFT(SUBSTITUTE(SUBSTITUTE(SUBSTITUTE(SUBSTITUTE(TRIM($AR1719),"-",""),".",""),"/","")," ",""),8),7,2)),"")))</f>
        <v/>
      </c>
      <c r="AT1719" s="33">
        <f>IF($AS1719="","",IF($F$6="",0,IF(ISNUMBER(INDEX($A:$AP,ROW(),$F$6)),INDEX($A:$AP,ROW(),$F$6),IFERROR(--SUBSTITUTE(SUBSTITUTE(TRIM(INDEX($A:$AP,ROW(),$F$6)),",",""),"원",""),0))))</f>
        <v/>
      </c>
      <c r="AU1719" s="31">
        <f>IF($AS1719="","",IF($AX1719&lt;&gt;"",SUBSTITUTE(SUBSTITUTE($AX1719,"-","")," ",""),"N:"&amp;$AV1719))</f>
        <v/>
      </c>
      <c r="AV1719" s="31">
        <f>IF(OR($AS1719="",$E$6=""),"",TRIM(INDEX($A:$AP,ROW(),$E$6)&amp;""))</f>
        <v/>
      </c>
      <c r="AW1719" s="31">
        <f>IF($AU1719="","",IF(MATCH($AU1719,$AU$8:$AU$2007,0)=ROW()-7,MAX($AW$7:$AW1718)+1,""))</f>
        <v/>
      </c>
      <c r="AX1719" s="31">
        <f>IF(OR($AS1719="",$D$6=""),"",TRIM(INDEX($A:$AP,ROW(),$D$6)&amp;""))</f>
        <v/>
      </c>
      <c r="AY1719" s="31">
        <f>IF($AU1719="","",INDEX($AW$8:$AW$2007,MATCH($AU1719,$AU$8:$AU$2007,0)))</f>
        <v/>
      </c>
      <c r="AZ1719" s="31">
        <f>IF(OR($AS1719="",$C$6=""),"",TRIM(INDEX($A:$AP,ROW(),$C$6)&amp;""))</f>
        <v/>
      </c>
      <c r="BA1719" s="31">
        <f>IF($AZ1719="","",IF(COUNTIF($AZ$8:$AZ1719,$AZ1719)&gt;1,1,0))</f>
        <v/>
      </c>
    </row>
    <row r="1720">
      <c r="AR1720" s="31">
        <f>IF(OR($A$5="",$B$6="",ROW()&lt;$A$5),"",IF(INDEX($A:$AP,ROW(),$B$6)="","",INDEX($A:$AP,ROW(),$B$6)))</f>
        <v/>
      </c>
      <c r="AS1720" s="32">
        <f>IF($AR1720="","",IF(ISNUMBER($AR1720),IF($AR1720&gt;=10000000,IFERROR(DATE(INT($AR1720/10000),MOD(INT($AR1720/100),100),MOD($AR1720,100)),""),INT($AR1720)),IFERROR(DATE(--LEFT(LEFT(SUBSTITUTE(SUBSTITUTE(SUBSTITUTE(SUBSTITUTE(TRIM($AR1720),"-",""),".",""),"/","")," ",""),8),4),--MID(LEFT(SUBSTITUTE(SUBSTITUTE(SUBSTITUTE(SUBSTITUTE(TRIM($AR1720),"-",""),".",""),"/","")," ",""),8),5,2),--MID(LEFT(SUBSTITUTE(SUBSTITUTE(SUBSTITUTE(SUBSTITUTE(TRIM($AR1720),"-",""),".",""),"/","")," ",""),8),7,2)),"")))</f>
        <v/>
      </c>
      <c r="AT1720" s="33">
        <f>IF($AS1720="","",IF($F$6="",0,IF(ISNUMBER(INDEX($A:$AP,ROW(),$F$6)),INDEX($A:$AP,ROW(),$F$6),IFERROR(--SUBSTITUTE(SUBSTITUTE(TRIM(INDEX($A:$AP,ROW(),$F$6)),",",""),"원",""),0))))</f>
        <v/>
      </c>
      <c r="AU1720" s="31">
        <f>IF($AS1720="","",IF($AX1720&lt;&gt;"",SUBSTITUTE(SUBSTITUTE($AX1720,"-","")," ",""),"N:"&amp;$AV1720))</f>
        <v/>
      </c>
      <c r="AV1720" s="31">
        <f>IF(OR($AS1720="",$E$6=""),"",TRIM(INDEX($A:$AP,ROW(),$E$6)&amp;""))</f>
        <v/>
      </c>
      <c r="AW1720" s="31">
        <f>IF($AU1720="","",IF(MATCH($AU1720,$AU$8:$AU$2007,0)=ROW()-7,MAX($AW$7:$AW1719)+1,""))</f>
        <v/>
      </c>
      <c r="AX1720" s="31">
        <f>IF(OR($AS1720="",$D$6=""),"",TRIM(INDEX($A:$AP,ROW(),$D$6)&amp;""))</f>
        <v/>
      </c>
      <c r="AY1720" s="31">
        <f>IF($AU1720="","",INDEX($AW$8:$AW$2007,MATCH($AU1720,$AU$8:$AU$2007,0)))</f>
        <v/>
      </c>
      <c r="AZ1720" s="31">
        <f>IF(OR($AS1720="",$C$6=""),"",TRIM(INDEX($A:$AP,ROW(),$C$6)&amp;""))</f>
        <v/>
      </c>
      <c r="BA1720" s="31">
        <f>IF($AZ1720="","",IF(COUNTIF($AZ$8:$AZ1720,$AZ1720)&gt;1,1,0))</f>
        <v/>
      </c>
    </row>
    <row r="1721">
      <c r="AR1721" s="31">
        <f>IF(OR($A$5="",$B$6="",ROW()&lt;$A$5),"",IF(INDEX($A:$AP,ROW(),$B$6)="","",INDEX($A:$AP,ROW(),$B$6)))</f>
        <v/>
      </c>
      <c r="AS1721" s="32">
        <f>IF($AR1721="","",IF(ISNUMBER($AR1721),IF($AR1721&gt;=10000000,IFERROR(DATE(INT($AR1721/10000),MOD(INT($AR1721/100),100),MOD($AR1721,100)),""),INT($AR1721)),IFERROR(DATE(--LEFT(LEFT(SUBSTITUTE(SUBSTITUTE(SUBSTITUTE(SUBSTITUTE(TRIM($AR1721),"-",""),".",""),"/","")," ",""),8),4),--MID(LEFT(SUBSTITUTE(SUBSTITUTE(SUBSTITUTE(SUBSTITUTE(TRIM($AR1721),"-",""),".",""),"/","")," ",""),8),5,2),--MID(LEFT(SUBSTITUTE(SUBSTITUTE(SUBSTITUTE(SUBSTITUTE(TRIM($AR1721),"-",""),".",""),"/","")," ",""),8),7,2)),"")))</f>
        <v/>
      </c>
      <c r="AT1721" s="33">
        <f>IF($AS1721="","",IF($F$6="",0,IF(ISNUMBER(INDEX($A:$AP,ROW(),$F$6)),INDEX($A:$AP,ROW(),$F$6),IFERROR(--SUBSTITUTE(SUBSTITUTE(TRIM(INDEX($A:$AP,ROW(),$F$6)),",",""),"원",""),0))))</f>
        <v/>
      </c>
      <c r="AU1721" s="31">
        <f>IF($AS1721="","",IF($AX1721&lt;&gt;"",SUBSTITUTE(SUBSTITUTE($AX1721,"-","")," ",""),"N:"&amp;$AV1721))</f>
        <v/>
      </c>
      <c r="AV1721" s="31">
        <f>IF(OR($AS1721="",$E$6=""),"",TRIM(INDEX($A:$AP,ROW(),$E$6)&amp;""))</f>
        <v/>
      </c>
      <c r="AW1721" s="31">
        <f>IF($AU1721="","",IF(MATCH($AU1721,$AU$8:$AU$2007,0)=ROW()-7,MAX($AW$7:$AW1720)+1,""))</f>
        <v/>
      </c>
      <c r="AX1721" s="31">
        <f>IF(OR($AS1721="",$D$6=""),"",TRIM(INDEX($A:$AP,ROW(),$D$6)&amp;""))</f>
        <v/>
      </c>
      <c r="AY1721" s="31">
        <f>IF($AU1721="","",INDEX($AW$8:$AW$2007,MATCH($AU1721,$AU$8:$AU$2007,0)))</f>
        <v/>
      </c>
      <c r="AZ1721" s="31">
        <f>IF(OR($AS1721="",$C$6=""),"",TRIM(INDEX($A:$AP,ROW(),$C$6)&amp;""))</f>
        <v/>
      </c>
      <c r="BA1721" s="31">
        <f>IF($AZ1721="","",IF(COUNTIF($AZ$8:$AZ1721,$AZ1721)&gt;1,1,0))</f>
        <v/>
      </c>
    </row>
    <row r="1722">
      <c r="AR1722" s="31">
        <f>IF(OR($A$5="",$B$6="",ROW()&lt;$A$5),"",IF(INDEX($A:$AP,ROW(),$B$6)="","",INDEX($A:$AP,ROW(),$B$6)))</f>
        <v/>
      </c>
      <c r="AS1722" s="32">
        <f>IF($AR1722="","",IF(ISNUMBER($AR1722),IF($AR1722&gt;=10000000,IFERROR(DATE(INT($AR1722/10000),MOD(INT($AR1722/100),100),MOD($AR1722,100)),""),INT($AR1722)),IFERROR(DATE(--LEFT(LEFT(SUBSTITUTE(SUBSTITUTE(SUBSTITUTE(SUBSTITUTE(TRIM($AR1722),"-",""),".",""),"/","")," ",""),8),4),--MID(LEFT(SUBSTITUTE(SUBSTITUTE(SUBSTITUTE(SUBSTITUTE(TRIM($AR1722),"-",""),".",""),"/","")," ",""),8),5,2),--MID(LEFT(SUBSTITUTE(SUBSTITUTE(SUBSTITUTE(SUBSTITUTE(TRIM($AR1722),"-",""),".",""),"/","")," ",""),8),7,2)),"")))</f>
        <v/>
      </c>
      <c r="AT1722" s="33">
        <f>IF($AS1722="","",IF($F$6="",0,IF(ISNUMBER(INDEX($A:$AP,ROW(),$F$6)),INDEX($A:$AP,ROW(),$F$6),IFERROR(--SUBSTITUTE(SUBSTITUTE(TRIM(INDEX($A:$AP,ROW(),$F$6)),",",""),"원",""),0))))</f>
        <v/>
      </c>
      <c r="AU1722" s="31">
        <f>IF($AS1722="","",IF($AX1722&lt;&gt;"",SUBSTITUTE(SUBSTITUTE($AX1722,"-","")," ",""),"N:"&amp;$AV1722))</f>
        <v/>
      </c>
      <c r="AV1722" s="31">
        <f>IF(OR($AS1722="",$E$6=""),"",TRIM(INDEX($A:$AP,ROW(),$E$6)&amp;""))</f>
        <v/>
      </c>
      <c r="AW1722" s="31">
        <f>IF($AU1722="","",IF(MATCH($AU1722,$AU$8:$AU$2007,0)=ROW()-7,MAX($AW$7:$AW1721)+1,""))</f>
        <v/>
      </c>
      <c r="AX1722" s="31">
        <f>IF(OR($AS1722="",$D$6=""),"",TRIM(INDEX($A:$AP,ROW(),$D$6)&amp;""))</f>
        <v/>
      </c>
      <c r="AY1722" s="31">
        <f>IF($AU1722="","",INDEX($AW$8:$AW$2007,MATCH($AU1722,$AU$8:$AU$2007,0)))</f>
        <v/>
      </c>
      <c r="AZ1722" s="31">
        <f>IF(OR($AS1722="",$C$6=""),"",TRIM(INDEX($A:$AP,ROW(),$C$6)&amp;""))</f>
        <v/>
      </c>
      <c r="BA1722" s="31">
        <f>IF($AZ1722="","",IF(COUNTIF($AZ$8:$AZ1722,$AZ1722)&gt;1,1,0))</f>
        <v/>
      </c>
    </row>
    <row r="1723">
      <c r="AR1723" s="31">
        <f>IF(OR($A$5="",$B$6="",ROW()&lt;$A$5),"",IF(INDEX($A:$AP,ROW(),$B$6)="","",INDEX($A:$AP,ROW(),$B$6)))</f>
        <v/>
      </c>
      <c r="AS1723" s="32">
        <f>IF($AR1723="","",IF(ISNUMBER($AR1723),IF($AR1723&gt;=10000000,IFERROR(DATE(INT($AR1723/10000),MOD(INT($AR1723/100),100),MOD($AR1723,100)),""),INT($AR1723)),IFERROR(DATE(--LEFT(LEFT(SUBSTITUTE(SUBSTITUTE(SUBSTITUTE(SUBSTITUTE(TRIM($AR1723),"-",""),".",""),"/","")," ",""),8),4),--MID(LEFT(SUBSTITUTE(SUBSTITUTE(SUBSTITUTE(SUBSTITUTE(TRIM($AR1723),"-",""),".",""),"/","")," ",""),8),5,2),--MID(LEFT(SUBSTITUTE(SUBSTITUTE(SUBSTITUTE(SUBSTITUTE(TRIM($AR1723),"-",""),".",""),"/","")," ",""),8),7,2)),"")))</f>
        <v/>
      </c>
      <c r="AT1723" s="33">
        <f>IF($AS1723="","",IF($F$6="",0,IF(ISNUMBER(INDEX($A:$AP,ROW(),$F$6)),INDEX($A:$AP,ROW(),$F$6),IFERROR(--SUBSTITUTE(SUBSTITUTE(TRIM(INDEX($A:$AP,ROW(),$F$6)),",",""),"원",""),0))))</f>
        <v/>
      </c>
      <c r="AU1723" s="31">
        <f>IF($AS1723="","",IF($AX1723&lt;&gt;"",SUBSTITUTE(SUBSTITUTE($AX1723,"-","")," ",""),"N:"&amp;$AV1723))</f>
        <v/>
      </c>
      <c r="AV1723" s="31">
        <f>IF(OR($AS1723="",$E$6=""),"",TRIM(INDEX($A:$AP,ROW(),$E$6)&amp;""))</f>
        <v/>
      </c>
      <c r="AW1723" s="31">
        <f>IF($AU1723="","",IF(MATCH($AU1723,$AU$8:$AU$2007,0)=ROW()-7,MAX($AW$7:$AW1722)+1,""))</f>
        <v/>
      </c>
      <c r="AX1723" s="31">
        <f>IF(OR($AS1723="",$D$6=""),"",TRIM(INDEX($A:$AP,ROW(),$D$6)&amp;""))</f>
        <v/>
      </c>
      <c r="AY1723" s="31">
        <f>IF($AU1723="","",INDEX($AW$8:$AW$2007,MATCH($AU1723,$AU$8:$AU$2007,0)))</f>
        <v/>
      </c>
      <c r="AZ1723" s="31">
        <f>IF(OR($AS1723="",$C$6=""),"",TRIM(INDEX($A:$AP,ROW(),$C$6)&amp;""))</f>
        <v/>
      </c>
      <c r="BA1723" s="31">
        <f>IF($AZ1723="","",IF(COUNTIF($AZ$8:$AZ1723,$AZ1723)&gt;1,1,0))</f>
        <v/>
      </c>
    </row>
    <row r="1724">
      <c r="AR1724" s="31">
        <f>IF(OR($A$5="",$B$6="",ROW()&lt;$A$5),"",IF(INDEX($A:$AP,ROW(),$B$6)="","",INDEX($A:$AP,ROW(),$B$6)))</f>
        <v/>
      </c>
      <c r="AS1724" s="32">
        <f>IF($AR1724="","",IF(ISNUMBER($AR1724),IF($AR1724&gt;=10000000,IFERROR(DATE(INT($AR1724/10000),MOD(INT($AR1724/100),100),MOD($AR1724,100)),""),INT($AR1724)),IFERROR(DATE(--LEFT(LEFT(SUBSTITUTE(SUBSTITUTE(SUBSTITUTE(SUBSTITUTE(TRIM($AR1724),"-",""),".",""),"/","")," ",""),8),4),--MID(LEFT(SUBSTITUTE(SUBSTITUTE(SUBSTITUTE(SUBSTITUTE(TRIM($AR1724),"-",""),".",""),"/","")," ",""),8),5,2),--MID(LEFT(SUBSTITUTE(SUBSTITUTE(SUBSTITUTE(SUBSTITUTE(TRIM($AR1724),"-",""),".",""),"/","")," ",""),8),7,2)),"")))</f>
        <v/>
      </c>
      <c r="AT1724" s="33">
        <f>IF($AS1724="","",IF($F$6="",0,IF(ISNUMBER(INDEX($A:$AP,ROW(),$F$6)),INDEX($A:$AP,ROW(),$F$6),IFERROR(--SUBSTITUTE(SUBSTITUTE(TRIM(INDEX($A:$AP,ROW(),$F$6)),",",""),"원",""),0))))</f>
        <v/>
      </c>
      <c r="AU1724" s="31">
        <f>IF($AS1724="","",IF($AX1724&lt;&gt;"",SUBSTITUTE(SUBSTITUTE($AX1724,"-","")," ",""),"N:"&amp;$AV1724))</f>
        <v/>
      </c>
      <c r="AV1724" s="31">
        <f>IF(OR($AS1724="",$E$6=""),"",TRIM(INDEX($A:$AP,ROW(),$E$6)&amp;""))</f>
        <v/>
      </c>
      <c r="AW1724" s="31">
        <f>IF($AU1724="","",IF(MATCH($AU1724,$AU$8:$AU$2007,0)=ROW()-7,MAX($AW$7:$AW1723)+1,""))</f>
        <v/>
      </c>
      <c r="AX1724" s="31">
        <f>IF(OR($AS1724="",$D$6=""),"",TRIM(INDEX($A:$AP,ROW(),$D$6)&amp;""))</f>
        <v/>
      </c>
      <c r="AY1724" s="31">
        <f>IF($AU1724="","",INDEX($AW$8:$AW$2007,MATCH($AU1724,$AU$8:$AU$2007,0)))</f>
        <v/>
      </c>
      <c r="AZ1724" s="31">
        <f>IF(OR($AS1724="",$C$6=""),"",TRIM(INDEX($A:$AP,ROW(),$C$6)&amp;""))</f>
        <v/>
      </c>
      <c r="BA1724" s="31">
        <f>IF($AZ1724="","",IF(COUNTIF($AZ$8:$AZ1724,$AZ1724)&gt;1,1,0))</f>
        <v/>
      </c>
    </row>
    <row r="1725">
      <c r="AR1725" s="31">
        <f>IF(OR($A$5="",$B$6="",ROW()&lt;$A$5),"",IF(INDEX($A:$AP,ROW(),$B$6)="","",INDEX($A:$AP,ROW(),$B$6)))</f>
        <v/>
      </c>
      <c r="AS1725" s="32">
        <f>IF($AR1725="","",IF(ISNUMBER($AR1725),IF($AR1725&gt;=10000000,IFERROR(DATE(INT($AR1725/10000),MOD(INT($AR1725/100),100),MOD($AR1725,100)),""),INT($AR1725)),IFERROR(DATE(--LEFT(LEFT(SUBSTITUTE(SUBSTITUTE(SUBSTITUTE(SUBSTITUTE(TRIM($AR1725),"-",""),".",""),"/","")," ",""),8),4),--MID(LEFT(SUBSTITUTE(SUBSTITUTE(SUBSTITUTE(SUBSTITUTE(TRIM($AR1725),"-",""),".",""),"/","")," ",""),8),5,2),--MID(LEFT(SUBSTITUTE(SUBSTITUTE(SUBSTITUTE(SUBSTITUTE(TRIM($AR1725),"-",""),".",""),"/","")," ",""),8),7,2)),"")))</f>
        <v/>
      </c>
      <c r="AT1725" s="33">
        <f>IF($AS1725="","",IF($F$6="",0,IF(ISNUMBER(INDEX($A:$AP,ROW(),$F$6)),INDEX($A:$AP,ROW(),$F$6),IFERROR(--SUBSTITUTE(SUBSTITUTE(TRIM(INDEX($A:$AP,ROW(),$F$6)),",",""),"원",""),0))))</f>
        <v/>
      </c>
      <c r="AU1725" s="31">
        <f>IF($AS1725="","",IF($AX1725&lt;&gt;"",SUBSTITUTE(SUBSTITUTE($AX1725,"-","")," ",""),"N:"&amp;$AV1725))</f>
        <v/>
      </c>
      <c r="AV1725" s="31">
        <f>IF(OR($AS1725="",$E$6=""),"",TRIM(INDEX($A:$AP,ROW(),$E$6)&amp;""))</f>
        <v/>
      </c>
      <c r="AW1725" s="31">
        <f>IF($AU1725="","",IF(MATCH($AU1725,$AU$8:$AU$2007,0)=ROW()-7,MAX($AW$7:$AW1724)+1,""))</f>
        <v/>
      </c>
      <c r="AX1725" s="31">
        <f>IF(OR($AS1725="",$D$6=""),"",TRIM(INDEX($A:$AP,ROW(),$D$6)&amp;""))</f>
        <v/>
      </c>
      <c r="AY1725" s="31">
        <f>IF($AU1725="","",INDEX($AW$8:$AW$2007,MATCH($AU1725,$AU$8:$AU$2007,0)))</f>
        <v/>
      </c>
      <c r="AZ1725" s="31">
        <f>IF(OR($AS1725="",$C$6=""),"",TRIM(INDEX($A:$AP,ROW(),$C$6)&amp;""))</f>
        <v/>
      </c>
      <c r="BA1725" s="31">
        <f>IF($AZ1725="","",IF(COUNTIF($AZ$8:$AZ1725,$AZ1725)&gt;1,1,0))</f>
        <v/>
      </c>
    </row>
    <row r="1726">
      <c r="AR1726" s="31">
        <f>IF(OR($A$5="",$B$6="",ROW()&lt;$A$5),"",IF(INDEX($A:$AP,ROW(),$B$6)="","",INDEX($A:$AP,ROW(),$B$6)))</f>
        <v/>
      </c>
      <c r="AS1726" s="32">
        <f>IF($AR1726="","",IF(ISNUMBER($AR1726),IF($AR1726&gt;=10000000,IFERROR(DATE(INT($AR1726/10000),MOD(INT($AR1726/100),100),MOD($AR1726,100)),""),INT($AR1726)),IFERROR(DATE(--LEFT(LEFT(SUBSTITUTE(SUBSTITUTE(SUBSTITUTE(SUBSTITUTE(TRIM($AR1726),"-",""),".",""),"/","")," ",""),8),4),--MID(LEFT(SUBSTITUTE(SUBSTITUTE(SUBSTITUTE(SUBSTITUTE(TRIM($AR1726),"-",""),".",""),"/","")," ",""),8),5,2),--MID(LEFT(SUBSTITUTE(SUBSTITUTE(SUBSTITUTE(SUBSTITUTE(TRIM($AR1726),"-",""),".",""),"/","")," ",""),8),7,2)),"")))</f>
        <v/>
      </c>
      <c r="AT1726" s="33">
        <f>IF($AS1726="","",IF($F$6="",0,IF(ISNUMBER(INDEX($A:$AP,ROW(),$F$6)),INDEX($A:$AP,ROW(),$F$6),IFERROR(--SUBSTITUTE(SUBSTITUTE(TRIM(INDEX($A:$AP,ROW(),$F$6)),",",""),"원",""),0))))</f>
        <v/>
      </c>
      <c r="AU1726" s="31">
        <f>IF($AS1726="","",IF($AX1726&lt;&gt;"",SUBSTITUTE(SUBSTITUTE($AX1726,"-","")," ",""),"N:"&amp;$AV1726))</f>
        <v/>
      </c>
      <c r="AV1726" s="31">
        <f>IF(OR($AS1726="",$E$6=""),"",TRIM(INDEX($A:$AP,ROW(),$E$6)&amp;""))</f>
        <v/>
      </c>
      <c r="AW1726" s="31">
        <f>IF($AU1726="","",IF(MATCH($AU1726,$AU$8:$AU$2007,0)=ROW()-7,MAX($AW$7:$AW1725)+1,""))</f>
        <v/>
      </c>
      <c r="AX1726" s="31">
        <f>IF(OR($AS1726="",$D$6=""),"",TRIM(INDEX($A:$AP,ROW(),$D$6)&amp;""))</f>
        <v/>
      </c>
      <c r="AY1726" s="31">
        <f>IF($AU1726="","",INDEX($AW$8:$AW$2007,MATCH($AU1726,$AU$8:$AU$2007,0)))</f>
        <v/>
      </c>
      <c r="AZ1726" s="31">
        <f>IF(OR($AS1726="",$C$6=""),"",TRIM(INDEX($A:$AP,ROW(),$C$6)&amp;""))</f>
        <v/>
      </c>
      <c r="BA1726" s="31">
        <f>IF($AZ1726="","",IF(COUNTIF($AZ$8:$AZ1726,$AZ1726)&gt;1,1,0))</f>
        <v/>
      </c>
    </row>
    <row r="1727">
      <c r="AR1727" s="31">
        <f>IF(OR($A$5="",$B$6="",ROW()&lt;$A$5),"",IF(INDEX($A:$AP,ROW(),$B$6)="","",INDEX($A:$AP,ROW(),$B$6)))</f>
        <v/>
      </c>
      <c r="AS1727" s="32">
        <f>IF($AR1727="","",IF(ISNUMBER($AR1727),IF($AR1727&gt;=10000000,IFERROR(DATE(INT($AR1727/10000),MOD(INT($AR1727/100),100),MOD($AR1727,100)),""),INT($AR1727)),IFERROR(DATE(--LEFT(LEFT(SUBSTITUTE(SUBSTITUTE(SUBSTITUTE(SUBSTITUTE(TRIM($AR1727),"-",""),".",""),"/","")," ",""),8),4),--MID(LEFT(SUBSTITUTE(SUBSTITUTE(SUBSTITUTE(SUBSTITUTE(TRIM($AR1727),"-",""),".",""),"/","")," ",""),8),5,2),--MID(LEFT(SUBSTITUTE(SUBSTITUTE(SUBSTITUTE(SUBSTITUTE(TRIM($AR1727),"-",""),".",""),"/","")," ",""),8),7,2)),"")))</f>
        <v/>
      </c>
      <c r="AT1727" s="33">
        <f>IF($AS1727="","",IF($F$6="",0,IF(ISNUMBER(INDEX($A:$AP,ROW(),$F$6)),INDEX($A:$AP,ROW(),$F$6),IFERROR(--SUBSTITUTE(SUBSTITUTE(TRIM(INDEX($A:$AP,ROW(),$F$6)),",",""),"원",""),0))))</f>
        <v/>
      </c>
      <c r="AU1727" s="31">
        <f>IF($AS1727="","",IF($AX1727&lt;&gt;"",SUBSTITUTE(SUBSTITUTE($AX1727,"-","")," ",""),"N:"&amp;$AV1727))</f>
        <v/>
      </c>
      <c r="AV1727" s="31">
        <f>IF(OR($AS1727="",$E$6=""),"",TRIM(INDEX($A:$AP,ROW(),$E$6)&amp;""))</f>
        <v/>
      </c>
      <c r="AW1727" s="31">
        <f>IF($AU1727="","",IF(MATCH($AU1727,$AU$8:$AU$2007,0)=ROW()-7,MAX($AW$7:$AW1726)+1,""))</f>
        <v/>
      </c>
      <c r="AX1727" s="31">
        <f>IF(OR($AS1727="",$D$6=""),"",TRIM(INDEX($A:$AP,ROW(),$D$6)&amp;""))</f>
        <v/>
      </c>
      <c r="AY1727" s="31">
        <f>IF($AU1727="","",INDEX($AW$8:$AW$2007,MATCH($AU1727,$AU$8:$AU$2007,0)))</f>
        <v/>
      </c>
      <c r="AZ1727" s="31">
        <f>IF(OR($AS1727="",$C$6=""),"",TRIM(INDEX($A:$AP,ROW(),$C$6)&amp;""))</f>
        <v/>
      </c>
      <c r="BA1727" s="31">
        <f>IF($AZ1727="","",IF(COUNTIF($AZ$8:$AZ1727,$AZ1727)&gt;1,1,0))</f>
        <v/>
      </c>
    </row>
    <row r="1728">
      <c r="AR1728" s="31">
        <f>IF(OR($A$5="",$B$6="",ROW()&lt;$A$5),"",IF(INDEX($A:$AP,ROW(),$B$6)="","",INDEX($A:$AP,ROW(),$B$6)))</f>
        <v/>
      </c>
      <c r="AS1728" s="32">
        <f>IF($AR1728="","",IF(ISNUMBER($AR1728),IF($AR1728&gt;=10000000,IFERROR(DATE(INT($AR1728/10000),MOD(INT($AR1728/100),100),MOD($AR1728,100)),""),INT($AR1728)),IFERROR(DATE(--LEFT(LEFT(SUBSTITUTE(SUBSTITUTE(SUBSTITUTE(SUBSTITUTE(TRIM($AR1728),"-",""),".",""),"/","")," ",""),8),4),--MID(LEFT(SUBSTITUTE(SUBSTITUTE(SUBSTITUTE(SUBSTITUTE(TRIM($AR1728),"-",""),".",""),"/","")," ",""),8),5,2),--MID(LEFT(SUBSTITUTE(SUBSTITUTE(SUBSTITUTE(SUBSTITUTE(TRIM($AR1728),"-",""),".",""),"/","")," ",""),8),7,2)),"")))</f>
        <v/>
      </c>
      <c r="AT1728" s="33">
        <f>IF($AS1728="","",IF($F$6="",0,IF(ISNUMBER(INDEX($A:$AP,ROW(),$F$6)),INDEX($A:$AP,ROW(),$F$6),IFERROR(--SUBSTITUTE(SUBSTITUTE(TRIM(INDEX($A:$AP,ROW(),$F$6)),",",""),"원",""),0))))</f>
        <v/>
      </c>
      <c r="AU1728" s="31">
        <f>IF($AS1728="","",IF($AX1728&lt;&gt;"",SUBSTITUTE(SUBSTITUTE($AX1728,"-","")," ",""),"N:"&amp;$AV1728))</f>
        <v/>
      </c>
      <c r="AV1728" s="31">
        <f>IF(OR($AS1728="",$E$6=""),"",TRIM(INDEX($A:$AP,ROW(),$E$6)&amp;""))</f>
        <v/>
      </c>
      <c r="AW1728" s="31">
        <f>IF($AU1728="","",IF(MATCH($AU1728,$AU$8:$AU$2007,0)=ROW()-7,MAX($AW$7:$AW1727)+1,""))</f>
        <v/>
      </c>
      <c r="AX1728" s="31">
        <f>IF(OR($AS1728="",$D$6=""),"",TRIM(INDEX($A:$AP,ROW(),$D$6)&amp;""))</f>
        <v/>
      </c>
      <c r="AY1728" s="31">
        <f>IF($AU1728="","",INDEX($AW$8:$AW$2007,MATCH($AU1728,$AU$8:$AU$2007,0)))</f>
        <v/>
      </c>
      <c r="AZ1728" s="31">
        <f>IF(OR($AS1728="",$C$6=""),"",TRIM(INDEX($A:$AP,ROW(),$C$6)&amp;""))</f>
        <v/>
      </c>
      <c r="BA1728" s="31">
        <f>IF($AZ1728="","",IF(COUNTIF($AZ$8:$AZ1728,$AZ1728)&gt;1,1,0))</f>
        <v/>
      </c>
    </row>
    <row r="1729">
      <c r="AR1729" s="31">
        <f>IF(OR($A$5="",$B$6="",ROW()&lt;$A$5),"",IF(INDEX($A:$AP,ROW(),$B$6)="","",INDEX($A:$AP,ROW(),$B$6)))</f>
        <v/>
      </c>
      <c r="AS1729" s="32">
        <f>IF($AR1729="","",IF(ISNUMBER($AR1729),IF($AR1729&gt;=10000000,IFERROR(DATE(INT($AR1729/10000),MOD(INT($AR1729/100),100),MOD($AR1729,100)),""),INT($AR1729)),IFERROR(DATE(--LEFT(LEFT(SUBSTITUTE(SUBSTITUTE(SUBSTITUTE(SUBSTITUTE(TRIM($AR1729),"-",""),".",""),"/","")," ",""),8),4),--MID(LEFT(SUBSTITUTE(SUBSTITUTE(SUBSTITUTE(SUBSTITUTE(TRIM($AR1729),"-",""),".",""),"/","")," ",""),8),5,2),--MID(LEFT(SUBSTITUTE(SUBSTITUTE(SUBSTITUTE(SUBSTITUTE(TRIM($AR1729),"-",""),".",""),"/","")," ",""),8),7,2)),"")))</f>
        <v/>
      </c>
      <c r="AT1729" s="33">
        <f>IF($AS1729="","",IF($F$6="",0,IF(ISNUMBER(INDEX($A:$AP,ROW(),$F$6)),INDEX($A:$AP,ROW(),$F$6),IFERROR(--SUBSTITUTE(SUBSTITUTE(TRIM(INDEX($A:$AP,ROW(),$F$6)),",",""),"원",""),0))))</f>
        <v/>
      </c>
      <c r="AU1729" s="31">
        <f>IF($AS1729="","",IF($AX1729&lt;&gt;"",SUBSTITUTE(SUBSTITUTE($AX1729,"-","")," ",""),"N:"&amp;$AV1729))</f>
        <v/>
      </c>
      <c r="AV1729" s="31">
        <f>IF(OR($AS1729="",$E$6=""),"",TRIM(INDEX($A:$AP,ROW(),$E$6)&amp;""))</f>
        <v/>
      </c>
      <c r="AW1729" s="31">
        <f>IF($AU1729="","",IF(MATCH($AU1729,$AU$8:$AU$2007,0)=ROW()-7,MAX($AW$7:$AW1728)+1,""))</f>
        <v/>
      </c>
      <c r="AX1729" s="31">
        <f>IF(OR($AS1729="",$D$6=""),"",TRIM(INDEX($A:$AP,ROW(),$D$6)&amp;""))</f>
        <v/>
      </c>
      <c r="AY1729" s="31">
        <f>IF($AU1729="","",INDEX($AW$8:$AW$2007,MATCH($AU1729,$AU$8:$AU$2007,0)))</f>
        <v/>
      </c>
      <c r="AZ1729" s="31">
        <f>IF(OR($AS1729="",$C$6=""),"",TRIM(INDEX($A:$AP,ROW(),$C$6)&amp;""))</f>
        <v/>
      </c>
      <c r="BA1729" s="31">
        <f>IF($AZ1729="","",IF(COUNTIF($AZ$8:$AZ1729,$AZ1729)&gt;1,1,0))</f>
        <v/>
      </c>
    </row>
    <row r="1730">
      <c r="AR1730" s="31">
        <f>IF(OR($A$5="",$B$6="",ROW()&lt;$A$5),"",IF(INDEX($A:$AP,ROW(),$B$6)="","",INDEX($A:$AP,ROW(),$B$6)))</f>
        <v/>
      </c>
      <c r="AS1730" s="32">
        <f>IF($AR1730="","",IF(ISNUMBER($AR1730),IF($AR1730&gt;=10000000,IFERROR(DATE(INT($AR1730/10000),MOD(INT($AR1730/100),100),MOD($AR1730,100)),""),INT($AR1730)),IFERROR(DATE(--LEFT(LEFT(SUBSTITUTE(SUBSTITUTE(SUBSTITUTE(SUBSTITUTE(TRIM($AR1730),"-",""),".",""),"/","")," ",""),8),4),--MID(LEFT(SUBSTITUTE(SUBSTITUTE(SUBSTITUTE(SUBSTITUTE(TRIM($AR1730),"-",""),".",""),"/","")," ",""),8),5,2),--MID(LEFT(SUBSTITUTE(SUBSTITUTE(SUBSTITUTE(SUBSTITUTE(TRIM($AR1730),"-",""),".",""),"/","")," ",""),8),7,2)),"")))</f>
        <v/>
      </c>
      <c r="AT1730" s="33">
        <f>IF($AS1730="","",IF($F$6="",0,IF(ISNUMBER(INDEX($A:$AP,ROW(),$F$6)),INDEX($A:$AP,ROW(),$F$6),IFERROR(--SUBSTITUTE(SUBSTITUTE(TRIM(INDEX($A:$AP,ROW(),$F$6)),",",""),"원",""),0))))</f>
        <v/>
      </c>
      <c r="AU1730" s="31">
        <f>IF($AS1730="","",IF($AX1730&lt;&gt;"",SUBSTITUTE(SUBSTITUTE($AX1730,"-","")," ",""),"N:"&amp;$AV1730))</f>
        <v/>
      </c>
      <c r="AV1730" s="31">
        <f>IF(OR($AS1730="",$E$6=""),"",TRIM(INDEX($A:$AP,ROW(),$E$6)&amp;""))</f>
        <v/>
      </c>
      <c r="AW1730" s="31">
        <f>IF($AU1730="","",IF(MATCH($AU1730,$AU$8:$AU$2007,0)=ROW()-7,MAX($AW$7:$AW1729)+1,""))</f>
        <v/>
      </c>
      <c r="AX1730" s="31">
        <f>IF(OR($AS1730="",$D$6=""),"",TRIM(INDEX($A:$AP,ROW(),$D$6)&amp;""))</f>
        <v/>
      </c>
      <c r="AY1730" s="31">
        <f>IF($AU1730="","",INDEX($AW$8:$AW$2007,MATCH($AU1730,$AU$8:$AU$2007,0)))</f>
        <v/>
      </c>
      <c r="AZ1730" s="31">
        <f>IF(OR($AS1730="",$C$6=""),"",TRIM(INDEX($A:$AP,ROW(),$C$6)&amp;""))</f>
        <v/>
      </c>
      <c r="BA1730" s="31">
        <f>IF($AZ1730="","",IF(COUNTIF($AZ$8:$AZ1730,$AZ1730)&gt;1,1,0))</f>
        <v/>
      </c>
    </row>
    <row r="1731">
      <c r="AR1731" s="31">
        <f>IF(OR($A$5="",$B$6="",ROW()&lt;$A$5),"",IF(INDEX($A:$AP,ROW(),$B$6)="","",INDEX($A:$AP,ROW(),$B$6)))</f>
        <v/>
      </c>
      <c r="AS1731" s="32">
        <f>IF($AR1731="","",IF(ISNUMBER($AR1731),IF($AR1731&gt;=10000000,IFERROR(DATE(INT($AR1731/10000),MOD(INT($AR1731/100),100),MOD($AR1731,100)),""),INT($AR1731)),IFERROR(DATE(--LEFT(LEFT(SUBSTITUTE(SUBSTITUTE(SUBSTITUTE(SUBSTITUTE(TRIM($AR1731),"-",""),".",""),"/","")," ",""),8),4),--MID(LEFT(SUBSTITUTE(SUBSTITUTE(SUBSTITUTE(SUBSTITUTE(TRIM($AR1731),"-",""),".",""),"/","")," ",""),8),5,2),--MID(LEFT(SUBSTITUTE(SUBSTITUTE(SUBSTITUTE(SUBSTITUTE(TRIM($AR1731),"-",""),".",""),"/","")," ",""),8),7,2)),"")))</f>
        <v/>
      </c>
      <c r="AT1731" s="33">
        <f>IF($AS1731="","",IF($F$6="",0,IF(ISNUMBER(INDEX($A:$AP,ROW(),$F$6)),INDEX($A:$AP,ROW(),$F$6),IFERROR(--SUBSTITUTE(SUBSTITUTE(TRIM(INDEX($A:$AP,ROW(),$F$6)),",",""),"원",""),0))))</f>
        <v/>
      </c>
      <c r="AU1731" s="31">
        <f>IF($AS1731="","",IF($AX1731&lt;&gt;"",SUBSTITUTE(SUBSTITUTE($AX1731,"-","")," ",""),"N:"&amp;$AV1731))</f>
        <v/>
      </c>
      <c r="AV1731" s="31">
        <f>IF(OR($AS1731="",$E$6=""),"",TRIM(INDEX($A:$AP,ROW(),$E$6)&amp;""))</f>
        <v/>
      </c>
      <c r="AW1731" s="31">
        <f>IF($AU1731="","",IF(MATCH($AU1731,$AU$8:$AU$2007,0)=ROW()-7,MAX($AW$7:$AW1730)+1,""))</f>
        <v/>
      </c>
      <c r="AX1731" s="31">
        <f>IF(OR($AS1731="",$D$6=""),"",TRIM(INDEX($A:$AP,ROW(),$D$6)&amp;""))</f>
        <v/>
      </c>
      <c r="AY1731" s="31">
        <f>IF($AU1731="","",INDEX($AW$8:$AW$2007,MATCH($AU1731,$AU$8:$AU$2007,0)))</f>
        <v/>
      </c>
      <c r="AZ1731" s="31">
        <f>IF(OR($AS1731="",$C$6=""),"",TRIM(INDEX($A:$AP,ROW(),$C$6)&amp;""))</f>
        <v/>
      </c>
      <c r="BA1731" s="31">
        <f>IF($AZ1731="","",IF(COUNTIF($AZ$8:$AZ1731,$AZ1731)&gt;1,1,0))</f>
        <v/>
      </c>
    </row>
    <row r="1732">
      <c r="AR1732" s="31">
        <f>IF(OR($A$5="",$B$6="",ROW()&lt;$A$5),"",IF(INDEX($A:$AP,ROW(),$B$6)="","",INDEX($A:$AP,ROW(),$B$6)))</f>
        <v/>
      </c>
      <c r="AS1732" s="32">
        <f>IF($AR1732="","",IF(ISNUMBER($AR1732),IF($AR1732&gt;=10000000,IFERROR(DATE(INT($AR1732/10000),MOD(INT($AR1732/100),100),MOD($AR1732,100)),""),INT($AR1732)),IFERROR(DATE(--LEFT(LEFT(SUBSTITUTE(SUBSTITUTE(SUBSTITUTE(SUBSTITUTE(TRIM($AR1732),"-",""),".",""),"/","")," ",""),8),4),--MID(LEFT(SUBSTITUTE(SUBSTITUTE(SUBSTITUTE(SUBSTITUTE(TRIM($AR1732),"-",""),".",""),"/","")," ",""),8),5,2),--MID(LEFT(SUBSTITUTE(SUBSTITUTE(SUBSTITUTE(SUBSTITUTE(TRIM($AR1732),"-",""),".",""),"/","")," ",""),8),7,2)),"")))</f>
        <v/>
      </c>
      <c r="AT1732" s="33">
        <f>IF($AS1732="","",IF($F$6="",0,IF(ISNUMBER(INDEX($A:$AP,ROW(),$F$6)),INDEX($A:$AP,ROW(),$F$6),IFERROR(--SUBSTITUTE(SUBSTITUTE(TRIM(INDEX($A:$AP,ROW(),$F$6)),",",""),"원",""),0))))</f>
        <v/>
      </c>
      <c r="AU1732" s="31">
        <f>IF($AS1732="","",IF($AX1732&lt;&gt;"",SUBSTITUTE(SUBSTITUTE($AX1732,"-","")," ",""),"N:"&amp;$AV1732))</f>
        <v/>
      </c>
      <c r="AV1732" s="31">
        <f>IF(OR($AS1732="",$E$6=""),"",TRIM(INDEX($A:$AP,ROW(),$E$6)&amp;""))</f>
        <v/>
      </c>
      <c r="AW1732" s="31">
        <f>IF($AU1732="","",IF(MATCH($AU1732,$AU$8:$AU$2007,0)=ROW()-7,MAX($AW$7:$AW1731)+1,""))</f>
        <v/>
      </c>
      <c r="AX1732" s="31">
        <f>IF(OR($AS1732="",$D$6=""),"",TRIM(INDEX($A:$AP,ROW(),$D$6)&amp;""))</f>
        <v/>
      </c>
      <c r="AY1732" s="31">
        <f>IF($AU1732="","",INDEX($AW$8:$AW$2007,MATCH($AU1732,$AU$8:$AU$2007,0)))</f>
        <v/>
      </c>
      <c r="AZ1732" s="31">
        <f>IF(OR($AS1732="",$C$6=""),"",TRIM(INDEX($A:$AP,ROW(),$C$6)&amp;""))</f>
        <v/>
      </c>
      <c r="BA1732" s="31">
        <f>IF($AZ1732="","",IF(COUNTIF($AZ$8:$AZ1732,$AZ1732)&gt;1,1,0))</f>
        <v/>
      </c>
    </row>
    <row r="1733">
      <c r="AR1733" s="31">
        <f>IF(OR($A$5="",$B$6="",ROW()&lt;$A$5),"",IF(INDEX($A:$AP,ROW(),$B$6)="","",INDEX($A:$AP,ROW(),$B$6)))</f>
        <v/>
      </c>
      <c r="AS1733" s="32">
        <f>IF($AR1733="","",IF(ISNUMBER($AR1733),IF($AR1733&gt;=10000000,IFERROR(DATE(INT($AR1733/10000),MOD(INT($AR1733/100),100),MOD($AR1733,100)),""),INT($AR1733)),IFERROR(DATE(--LEFT(LEFT(SUBSTITUTE(SUBSTITUTE(SUBSTITUTE(SUBSTITUTE(TRIM($AR1733),"-",""),".",""),"/","")," ",""),8),4),--MID(LEFT(SUBSTITUTE(SUBSTITUTE(SUBSTITUTE(SUBSTITUTE(TRIM($AR1733),"-",""),".",""),"/","")," ",""),8),5,2),--MID(LEFT(SUBSTITUTE(SUBSTITUTE(SUBSTITUTE(SUBSTITUTE(TRIM($AR1733),"-",""),".",""),"/","")," ",""),8),7,2)),"")))</f>
        <v/>
      </c>
      <c r="AT1733" s="33">
        <f>IF($AS1733="","",IF($F$6="",0,IF(ISNUMBER(INDEX($A:$AP,ROW(),$F$6)),INDEX($A:$AP,ROW(),$F$6),IFERROR(--SUBSTITUTE(SUBSTITUTE(TRIM(INDEX($A:$AP,ROW(),$F$6)),",",""),"원",""),0))))</f>
        <v/>
      </c>
      <c r="AU1733" s="31">
        <f>IF($AS1733="","",IF($AX1733&lt;&gt;"",SUBSTITUTE(SUBSTITUTE($AX1733,"-","")," ",""),"N:"&amp;$AV1733))</f>
        <v/>
      </c>
      <c r="AV1733" s="31">
        <f>IF(OR($AS1733="",$E$6=""),"",TRIM(INDEX($A:$AP,ROW(),$E$6)&amp;""))</f>
        <v/>
      </c>
      <c r="AW1733" s="31">
        <f>IF($AU1733="","",IF(MATCH($AU1733,$AU$8:$AU$2007,0)=ROW()-7,MAX($AW$7:$AW1732)+1,""))</f>
        <v/>
      </c>
      <c r="AX1733" s="31">
        <f>IF(OR($AS1733="",$D$6=""),"",TRIM(INDEX($A:$AP,ROW(),$D$6)&amp;""))</f>
        <v/>
      </c>
      <c r="AY1733" s="31">
        <f>IF($AU1733="","",INDEX($AW$8:$AW$2007,MATCH($AU1733,$AU$8:$AU$2007,0)))</f>
        <v/>
      </c>
      <c r="AZ1733" s="31">
        <f>IF(OR($AS1733="",$C$6=""),"",TRIM(INDEX($A:$AP,ROW(),$C$6)&amp;""))</f>
        <v/>
      </c>
      <c r="BA1733" s="31">
        <f>IF($AZ1733="","",IF(COUNTIF($AZ$8:$AZ1733,$AZ1733)&gt;1,1,0))</f>
        <v/>
      </c>
    </row>
    <row r="1734">
      <c r="AR1734" s="31">
        <f>IF(OR($A$5="",$B$6="",ROW()&lt;$A$5),"",IF(INDEX($A:$AP,ROW(),$B$6)="","",INDEX($A:$AP,ROW(),$B$6)))</f>
        <v/>
      </c>
      <c r="AS1734" s="32">
        <f>IF($AR1734="","",IF(ISNUMBER($AR1734),IF($AR1734&gt;=10000000,IFERROR(DATE(INT($AR1734/10000),MOD(INT($AR1734/100),100),MOD($AR1734,100)),""),INT($AR1734)),IFERROR(DATE(--LEFT(LEFT(SUBSTITUTE(SUBSTITUTE(SUBSTITUTE(SUBSTITUTE(TRIM($AR1734),"-",""),".",""),"/","")," ",""),8),4),--MID(LEFT(SUBSTITUTE(SUBSTITUTE(SUBSTITUTE(SUBSTITUTE(TRIM($AR1734),"-",""),".",""),"/","")," ",""),8),5,2),--MID(LEFT(SUBSTITUTE(SUBSTITUTE(SUBSTITUTE(SUBSTITUTE(TRIM($AR1734),"-",""),".",""),"/","")," ",""),8),7,2)),"")))</f>
        <v/>
      </c>
      <c r="AT1734" s="33">
        <f>IF($AS1734="","",IF($F$6="",0,IF(ISNUMBER(INDEX($A:$AP,ROW(),$F$6)),INDEX($A:$AP,ROW(),$F$6),IFERROR(--SUBSTITUTE(SUBSTITUTE(TRIM(INDEX($A:$AP,ROW(),$F$6)),",",""),"원",""),0))))</f>
        <v/>
      </c>
      <c r="AU1734" s="31">
        <f>IF($AS1734="","",IF($AX1734&lt;&gt;"",SUBSTITUTE(SUBSTITUTE($AX1734,"-","")," ",""),"N:"&amp;$AV1734))</f>
        <v/>
      </c>
      <c r="AV1734" s="31">
        <f>IF(OR($AS1734="",$E$6=""),"",TRIM(INDEX($A:$AP,ROW(),$E$6)&amp;""))</f>
        <v/>
      </c>
      <c r="AW1734" s="31">
        <f>IF($AU1734="","",IF(MATCH($AU1734,$AU$8:$AU$2007,0)=ROW()-7,MAX($AW$7:$AW1733)+1,""))</f>
        <v/>
      </c>
      <c r="AX1734" s="31">
        <f>IF(OR($AS1734="",$D$6=""),"",TRIM(INDEX($A:$AP,ROW(),$D$6)&amp;""))</f>
        <v/>
      </c>
      <c r="AY1734" s="31">
        <f>IF($AU1734="","",INDEX($AW$8:$AW$2007,MATCH($AU1734,$AU$8:$AU$2007,0)))</f>
        <v/>
      </c>
      <c r="AZ1734" s="31">
        <f>IF(OR($AS1734="",$C$6=""),"",TRIM(INDEX($A:$AP,ROW(),$C$6)&amp;""))</f>
        <v/>
      </c>
      <c r="BA1734" s="31">
        <f>IF($AZ1734="","",IF(COUNTIF($AZ$8:$AZ1734,$AZ1734)&gt;1,1,0))</f>
        <v/>
      </c>
    </row>
    <row r="1735">
      <c r="AR1735" s="31">
        <f>IF(OR($A$5="",$B$6="",ROW()&lt;$A$5),"",IF(INDEX($A:$AP,ROW(),$B$6)="","",INDEX($A:$AP,ROW(),$B$6)))</f>
        <v/>
      </c>
      <c r="AS1735" s="32">
        <f>IF($AR1735="","",IF(ISNUMBER($AR1735),IF($AR1735&gt;=10000000,IFERROR(DATE(INT($AR1735/10000),MOD(INT($AR1735/100),100),MOD($AR1735,100)),""),INT($AR1735)),IFERROR(DATE(--LEFT(LEFT(SUBSTITUTE(SUBSTITUTE(SUBSTITUTE(SUBSTITUTE(TRIM($AR1735),"-",""),".",""),"/","")," ",""),8),4),--MID(LEFT(SUBSTITUTE(SUBSTITUTE(SUBSTITUTE(SUBSTITUTE(TRIM($AR1735),"-",""),".",""),"/","")," ",""),8),5,2),--MID(LEFT(SUBSTITUTE(SUBSTITUTE(SUBSTITUTE(SUBSTITUTE(TRIM($AR1735),"-",""),".",""),"/","")," ",""),8),7,2)),"")))</f>
        <v/>
      </c>
      <c r="AT1735" s="33">
        <f>IF($AS1735="","",IF($F$6="",0,IF(ISNUMBER(INDEX($A:$AP,ROW(),$F$6)),INDEX($A:$AP,ROW(),$F$6),IFERROR(--SUBSTITUTE(SUBSTITUTE(TRIM(INDEX($A:$AP,ROW(),$F$6)),",",""),"원",""),0))))</f>
        <v/>
      </c>
      <c r="AU1735" s="31">
        <f>IF($AS1735="","",IF($AX1735&lt;&gt;"",SUBSTITUTE(SUBSTITUTE($AX1735,"-","")," ",""),"N:"&amp;$AV1735))</f>
        <v/>
      </c>
      <c r="AV1735" s="31">
        <f>IF(OR($AS1735="",$E$6=""),"",TRIM(INDEX($A:$AP,ROW(),$E$6)&amp;""))</f>
        <v/>
      </c>
      <c r="AW1735" s="31">
        <f>IF($AU1735="","",IF(MATCH($AU1735,$AU$8:$AU$2007,0)=ROW()-7,MAX($AW$7:$AW1734)+1,""))</f>
        <v/>
      </c>
      <c r="AX1735" s="31">
        <f>IF(OR($AS1735="",$D$6=""),"",TRIM(INDEX($A:$AP,ROW(),$D$6)&amp;""))</f>
        <v/>
      </c>
      <c r="AY1735" s="31">
        <f>IF($AU1735="","",INDEX($AW$8:$AW$2007,MATCH($AU1735,$AU$8:$AU$2007,0)))</f>
        <v/>
      </c>
      <c r="AZ1735" s="31">
        <f>IF(OR($AS1735="",$C$6=""),"",TRIM(INDEX($A:$AP,ROW(),$C$6)&amp;""))</f>
        <v/>
      </c>
      <c r="BA1735" s="31">
        <f>IF($AZ1735="","",IF(COUNTIF($AZ$8:$AZ1735,$AZ1735)&gt;1,1,0))</f>
        <v/>
      </c>
    </row>
    <row r="1736">
      <c r="AR1736" s="31">
        <f>IF(OR($A$5="",$B$6="",ROW()&lt;$A$5),"",IF(INDEX($A:$AP,ROW(),$B$6)="","",INDEX($A:$AP,ROW(),$B$6)))</f>
        <v/>
      </c>
      <c r="AS1736" s="32">
        <f>IF($AR1736="","",IF(ISNUMBER($AR1736),IF($AR1736&gt;=10000000,IFERROR(DATE(INT($AR1736/10000),MOD(INT($AR1736/100),100),MOD($AR1736,100)),""),INT($AR1736)),IFERROR(DATE(--LEFT(LEFT(SUBSTITUTE(SUBSTITUTE(SUBSTITUTE(SUBSTITUTE(TRIM($AR1736),"-",""),".",""),"/","")," ",""),8),4),--MID(LEFT(SUBSTITUTE(SUBSTITUTE(SUBSTITUTE(SUBSTITUTE(TRIM($AR1736),"-",""),".",""),"/","")," ",""),8),5,2),--MID(LEFT(SUBSTITUTE(SUBSTITUTE(SUBSTITUTE(SUBSTITUTE(TRIM($AR1736),"-",""),".",""),"/","")," ",""),8),7,2)),"")))</f>
        <v/>
      </c>
      <c r="AT1736" s="33">
        <f>IF($AS1736="","",IF($F$6="",0,IF(ISNUMBER(INDEX($A:$AP,ROW(),$F$6)),INDEX($A:$AP,ROW(),$F$6),IFERROR(--SUBSTITUTE(SUBSTITUTE(TRIM(INDEX($A:$AP,ROW(),$F$6)),",",""),"원",""),0))))</f>
        <v/>
      </c>
      <c r="AU1736" s="31">
        <f>IF($AS1736="","",IF($AX1736&lt;&gt;"",SUBSTITUTE(SUBSTITUTE($AX1736,"-","")," ",""),"N:"&amp;$AV1736))</f>
        <v/>
      </c>
      <c r="AV1736" s="31">
        <f>IF(OR($AS1736="",$E$6=""),"",TRIM(INDEX($A:$AP,ROW(),$E$6)&amp;""))</f>
        <v/>
      </c>
      <c r="AW1736" s="31">
        <f>IF($AU1736="","",IF(MATCH($AU1736,$AU$8:$AU$2007,0)=ROW()-7,MAX($AW$7:$AW1735)+1,""))</f>
        <v/>
      </c>
      <c r="AX1736" s="31">
        <f>IF(OR($AS1736="",$D$6=""),"",TRIM(INDEX($A:$AP,ROW(),$D$6)&amp;""))</f>
        <v/>
      </c>
      <c r="AY1736" s="31">
        <f>IF($AU1736="","",INDEX($AW$8:$AW$2007,MATCH($AU1736,$AU$8:$AU$2007,0)))</f>
        <v/>
      </c>
      <c r="AZ1736" s="31">
        <f>IF(OR($AS1736="",$C$6=""),"",TRIM(INDEX($A:$AP,ROW(),$C$6)&amp;""))</f>
        <v/>
      </c>
      <c r="BA1736" s="31">
        <f>IF($AZ1736="","",IF(COUNTIF($AZ$8:$AZ1736,$AZ1736)&gt;1,1,0))</f>
        <v/>
      </c>
    </row>
    <row r="1737">
      <c r="AR1737" s="31">
        <f>IF(OR($A$5="",$B$6="",ROW()&lt;$A$5),"",IF(INDEX($A:$AP,ROW(),$B$6)="","",INDEX($A:$AP,ROW(),$B$6)))</f>
        <v/>
      </c>
      <c r="AS1737" s="32">
        <f>IF($AR1737="","",IF(ISNUMBER($AR1737),IF($AR1737&gt;=10000000,IFERROR(DATE(INT($AR1737/10000),MOD(INT($AR1737/100),100),MOD($AR1737,100)),""),INT($AR1737)),IFERROR(DATE(--LEFT(LEFT(SUBSTITUTE(SUBSTITUTE(SUBSTITUTE(SUBSTITUTE(TRIM($AR1737),"-",""),".",""),"/","")," ",""),8),4),--MID(LEFT(SUBSTITUTE(SUBSTITUTE(SUBSTITUTE(SUBSTITUTE(TRIM($AR1737),"-",""),".",""),"/","")," ",""),8),5,2),--MID(LEFT(SUBSTITUTE(SUBSTITUTE(SUBSTITUTE(SUBSTITUTE(TRIM($AR1737),"-",""),".",""),"/","")," ",""),8),7,2)),"")))</f>
        <v/>
      </c>
      <c r="AT1737" s="33">
        <f>IF($AS1737="","",IF($F$6="",0,IF(ISNUMBER(INDEX($A:$AP,ROW(),$F$6)),INDEX($A:$AP,ROW(),$F$6),IFERROR(--SUBSTITUTE(SUBSTITUTE(TRIM(INDEX($A:$AP,ROW(),$F$6)),",",""),"원",""),0))))</f>
        <v/>
      </c>
      <c r="AU1737" s="31">
        <f>IF($AS1737="","",IF($AX1737&lt;&gt;"",SUBSTITUTE(SUBSTITUTE($AX1737,"-","")," ",""),"N:"&amp;$AV1737))</f>
        <v/>
      </c>
      <c r="AV1737" s="31">
        <f>IF(OR($AS1737="",$E$6=""),"",TRIM(INDEX($A:$AP,ROW(),$E$6)&amp;""))</f>
        <v/>
      </c>
      <c r="AW1737" s="31">
        <f>IF($AU1737="","",IF(MATCH($AU1737,$AU$8:$AU$2007,0)=ROW()-7,MAX($AW$7:$AW1736)+1,""))</f>
        <v/>
      </c>
      <c r="AX1737" s="31">
        <f>IF(OR($AS1737="",$D$6=""),"",TRIM(INDEX($A:$AP,ROW(),$D$6)&amp;""))</f>
        <v/>
      </c>
      <c r="AY1737" s="31">
        <f>IF($AU1737="","",INDEX($AW$8:$AW$2007,MATCH($AU1737,$AU$8:$AU$2007,0)))</f>
        <v/>
      </c>
      <c r="AZ1737" s="31">
        <f>IF(OR($AS1737="",$C$6=""),"",TRIM(INDEX($A:$AP,ROW(),$C$6)&amp;""))</f>
        <v/>
      </c>
      <c r="BA1737" s="31">
        <f>IF($AZ1737="","",IF(COUNTIF($AZ$8:$AZ1737,$AZ1737)&gt;1,1,0))</f>
        <v/>
      </c>
    </row>
    <row r="1738">
      <c r="AR1738" s="31">
        <f>IF(OR($A$5="",$B$6="",ROW()&lt;$A$5),"",IF(INDEX($A:$AP,ROW(),$B$6)="","",INDEX($A:$AP,ROW(),$B$6)))</f>
        <v/>
      </c>
      <c r="AS1738" s="32">
        <f>IF($AR1738="","",IF(ISNUMBER($AR1738),IF($AR1738&gt;=10000000,IFERROR(DATE(INT($AR1738/10000),MOD(INT($AR1738/100),100),MOD($AR1738,100)),""),INT($AR1738)),IFERROR(DATE(--LEFT(LEFT(SUBSTITUTE(SUBSTITUTE(SUBSTITUTE(SUBSTITUTE(TRIM($AR1738),"-",""),".",""),"/","")," ",""),8),4),--MID(LEFT(SUBSTITUTE(SUBSTITUTE(SUBSTITUTE(SUBSTITUTE(TRIM($AR1738),"-",""),".",""),"/","")," ",""),8),5,2),--MID(LEFT(SUBSTITUTE(SUBSTITUTE(SUBSTITUTE(SUBSTITUTE(TRIM($AR1738),"-",""),".",""),"/","")," ",""),8),7,2)),"")))</f>
        <v/>
      </c>
      <c r="AT1738" s="33">
        <f>IF($AS1738="","",IF($F$6="",0,IF(ISNUMBER(INDEX($A:$AP,ROW(),$F$6)),INDEX($A:$AP,ROW(),$F$6),IFERROR(--SUBSTITUTE(SUBSTITUTE(TRIM(INDEX($A:$AP,ROW(),$F$6)),",",""),"원",""),0))))</f>
        <v/>
      </c>
      <c r="AU1738" s="31">
        <f>IF($AS1738="","",IF($AX1738&lt;&gt;"",SUBSTITUTE(SUBSTITUTE($AX1738,"-","")," ",""),"N:"&amp;$AV1738))</f>
        <v/>
      </c>
      <c r="AV1738" s="31">
        <f>IF(OR($AS1738="",$E$6=""),"",TRIM(INDEX($A:$AP,ROW(),$E$6)&amp;""))</f>
        <v/>
      </c>
      <c r="AW1738" s="31">
        <f>IF($AU1738="","",IF(MATCH($AU1738,$AU$8:$AU$2007,0)=ROW()-7,MAX($AW$7:$AW1737)+1,""))</f>
        <v/>
      </c>
      <c r="AX1738" s="31">
        <f>IF(OR($AS1738="",$D$6=""),"",TRIM(INDEX($A:$AP,ROW(),$D$6)&amp;""))</f>
        <v/>
      </c>
      <c r="AY1738" s="31">
        <f>IF($AU1738="","",INDEX($AW$8:$AW$2007,MATCH($AU1738,$AU$8:$AU$2007,0)))</f>
        <v/>
      </c>
      <c r="AZ1738" s="31">
        <f>IF(OR($AS1738="",$C$6=""),"",TRIM(INDEX($A:$AP,ROW(),$C$6)&amp;""))</f>
        <v/>
      </c>
      <c r="BA1738" s="31">
        <f>IF($AZ1738="","",IF(COUNTIF($AZ$8:$AZ1738,$AZ1738)&gt;1,1,0))</f>
        <v/>
      </c>
    </row>
    <row r="1739">
      <c r="AR1739" s="31">
        <f>IF(OR($A$5="",$B$6="",ROW()&lt;$A$5),"",IF(INDEX($A:$AP,ROW(),$B$6)="","",INDEX($A:$AP,ROW(),$B$6)))</f>
        <v/>
      </c>
      <c r="AS1739" s="32">
        <f>IF($AR1739="","",IF(ISNUMBER($AR1739),IF($AR1739&gt;=10000000,IFERROR(DATE(INT($AR1739/10000),MOD(INT($AR1739/100),100),MOD($AR1739,100)),""),INT($AR1739)),IFERROR(DATE(--LEFT(LEFT(SUBSTITUTE(SUBSTITUTE(SUBSTITUTE(SUBSTITUTE(TRIM($AR1739),"-",""),".",""),"/","")," ",""),8),4),--MID(LEFT(SUBSTITUTE(SUBSTITUTE(SUBSTITUTE(SUBSTITUTE(TRIM($AR1739),"-",""),".",""),"/","")," ",""),8),5,2),--MID(LEFT(SUBSTITUTE(SUBSTITUTE(SUBSTITUTE(SUBSTITUTE(TRIM($AR1739),"-",""),".",""),"/","")," ",""),8),7,2)),"")))</f>
        <v/>
      </c>
      <c r="AT1739" s="33">
        <f>IF($AS1739="","",IF($F$6="",0,IF(ISNUMBER(INDEX($A:$AP,ROW(),$F$6)),INDEX($A:$AP,ROW(),$F$6),IFERROR(--SUBSTITUTE(SUBSTITUTE(TRIM(INDEX($A:$AP,ROW(),$F$6)),",",""),"원",""),0))))</f>
        <v/>
      </c>
      <c r="AU1739" s="31">
        <f>IF($AS1739="","",IF($AX1739&lt;&gt;"",SUBSTITUTE(SUBSTITUTE($AX1739,"-","")," ",""),"N:"&amp;$AV1739))</f>
        <v/>
      </c>
      <c r="AV1739" s="31">
        <f>IF(OR($AS1739="",$E$6=""),"",TRIM(INDEX($A:$AP,ROW(),$E$6)&amp;""))</f>
        <v/>
      </c>
      <c r="AW1739" s="31">
        <f>IF($AU1739="","",IF(MATCH($AU1739,$AU$8:$AU$2007,0)=ROW()-7,MAX($AW$7:$AW1738)+1,""))</f>
        <v/>
      </c>
      <c r="AX1739" s="31">
        <f>IF(OR($AS1739="",$D$6=""),"",TRIM(INDEX($A:$AP,ROW(),$D$6)&amp;""))</f>
        <v/>
      </c>
      <c r="AY1739" s="31">
        <f>IF($AU1739="","",INDEX($AW$8:$AW$2007,MATCH($AU1739,$AU$8:$AU$2007,0)))</f>
        <v/>
      </c>
      <c r="AZ1739" s="31">
        <f>IF(OR($AS1739="",$C$6=""),"",TRIM(INDEX($A:$AP,ROW(),$C$6)&amp;""))</f>
        <v/>
      </c>
      <c r="BA1739" s="31">
        <f>IF($AZ1739="","",IF(COUNTIF($AZ$8:$AZ1739,$AZ1739)&gt;1,1,0))</f>
        <v/>
      </c>
    </row>
    <row r="1740">
      <c r="AR1740" s="31">
        <f>IF(OR($A$5="",$B$6="",ROW()&lt;$A$5),"",IF(INDEX($A:$AP,ROW(),$B$6)="","",INDEX($A:$AP,ROW(),$B$6)))</f>
        <v/>
      </c>
      <c r="AS1740" s="32">
        <f>IF($AR1740="","",IF(ISNUMBER($AR1740),IF($AR1740&gt;=10000000,IFERROR(DATE(INT($AR1740/10000),MOD(INT($AR1740/100),100),MOD($AR1740,100)),""),INT($AR1740)),IFERROR(DATE(--LEFT(LEFT(SUBSTITUTE(SUBSTITUTE(SUBSTITUTE(SUBSTITUTE(TRIM($AR1740),"-",""),".",""),"/","")," ",""),8),4),--MID(LEFT(SUBSTITUTE(SUBSTITUTE(SUBSTITUTE(SUBSTITUTE(TRIM($AR1740),"-",""),".",""),"/","")," ",""),8),5,2),--MID(LEFT(SUBSTITUTE(SUBSTITUTE(SUBSTITUTE(SUBSTITUTE(TRIM($AR1740),"-",""),".",""),"/","")," ",""),8),7,2)),"")))</f>
        <v/>
      </c>
      <c r="AT1740" s="33">
        <f>IF($AS1740="","",IF($F$6="",0,IF(ISNUMBER(INDEX($A:$AP,ROW(),$F$6)),INDEX($A:$AP,ROW(),$F$6),IFERROR(--SUBSTITUTE(SUBSTITUTE(TRIM(INDEX($A:$AP,ROW(),$F$6)),",",""),"원",""),0))))</f>
        <v/>
      </c>
      <c r="AU1740" s="31">
        <f>IF($AS1740="","",IF($AX1740&lt;&gt;"",SUBSTITUTE(SUBSTITUTE($AX1740,"-","")," ",""),"N:"&amp;$AV1740))</f>
        <v/>
      </c>
      <c r="AV1740" s="31">
        <f>IF(OR($AS1740="",$E$6=""),"",TRIM(INDEX($A:$AP,ROW(),$E$6)&amp;""))</f>
        <v/>
      </c>
      <c r="AW1740" s="31">
        <f>IF($AU1740="","",IF(MATCH($AU1740,$AU$8:$AU$2007,0)=ROW()-7,MAX($AW$7:$AW1739)+1,""))</f>
        <v/>
      </c>
      <c r="AX1740" s="31">
        <f>IF(OR($AS1740="",$D$6=""),"",TRIM(INDEX($A:$AP,ROW(),$D$6)&amp;""))</f>
        <v/>
      </c>
      <c r="AY1740" s="31">
        <f>IF($AU1740="","",INDEX($AW$8:$AW$2007,MATCH($AU1740,$AU$8:$AU$2007,0)))</f>
        <v/>
      </c>
      <c r="AZ1740" s="31">
        <f>IF(OR($AS1740="",$C$6=""),"",TRIM(INDEX($A:$AP,ROW(),$C$6)&amp;""))</f>
        <v/>
      </c>
      <c r="BA1740" s="31">
        <f>IF($AZ1740="","",IF(COUNTIF($AZ$8:$AZ1740,$AZ1740)&gt;1,1,0))</f>
        <v/>
      </c>
    </row>
    <row r="1741">
      <c r="AR1741" s="31">
        <f>IF(OR($A$5="",$B$6="",ROW()&lt;$A$5),"",IF(INDEX($A:$AP,ROW(),$B$6)="","",INDEX($A:$AP,ROW(),$B$6)))</f>
        <v/>
      </c>
      <c r="AS1741" s="32">
        <f>IF($AR1741="","",IF(ISNUMBER($AR1741),IF($AR1741&gt;=10000000,IFERROR(DATE(INT($AR1741/10000),MOD(INT($AR1741/100),100),MOD($AR1741,100)),""),INT($AR1741)),IFERROR(DATE(--LEFT(LEFT(SUBSTITUTE(SUBSTITUTE(SUBSTITUTE(SUBSTITUTE(TRIM($AR1741),"-",""),".",""),"/","")," ",""),8),4),--MID(LEFT(SUBSTITUTE(SUBSTITUTE(SUBSTITUTE(SUBSTITUTE(TRIM($AR1741),"-",""),".",""),"/","")," ",""),8),5,2),--MID(LEFT(SUBSTITUTE(SUBSTITUTE(SUBSTITUTE(SUBSTITUTE(TRIM($AR1741),"-",""),".",""),"/","")," ",""),8),7,2)),"")))</f>
        <v/>
      </c>
      <c r="AT1741" s="33">
        <f>IF($AS1741="","",IF($F$6="",0,IF(ISNUMBER(INDEX($A:$AP,ROW(),$F$6)),INDEX($A:$AP,ROW(),$F$6),IFERROR(--SUBSTITUTE(SUBSTITUTE(TRIM(INDEX($A:$AP,ROW(),$F$6)),",",""),"원",""),0))))</f>
        <v/>
      </c>
      <c r="AU1741" s="31">
        <f>IF($AS1741="","",IF($AX1741&lt;&gt;"",SUBSTITUTE(SUBSTITUTE($AX1741,"-","")," ",""),"N:"&amp;$AV1741))</f>
        <v/>
      </c>
      <c r="AV1741" s="31">
        <f>IF(OR($AS1741="",$E$6=""),"",TRIM(INDEX($A:$AP,ROW(),$E$6)&amp;""))</f>
        <v/>
      </c>
      <c r="AW1741" s="31">
        <f>IF($AU1741="","",IF(MATCH($AU1741,$AU$8:$AU$2007,0)=ROW()-7,MAX($AW$7:$AW1740)+1,""))</f>
        <v/>
      </c>
      <c r="AX1741" s="31">
        <f>IF(OR($AS1741="",$D$6=""),"",TRIM(INDEX($A:$AP,ROW(),$D$6)&amp;""))</f>
        <v/>
      </c>
      <c r="AY1741" s="31">
        <f>IF($AU1741="","",INDEX($AW$8:$AW$2007,MATCH($AU1741,$AU$8:$AU$2007,0)))</f>
        <v/>
      </c>
      <c r="AZ1741" s="31">
        <f>IF(OR($AS1741="",$C$6=""),"",TRIM(INDEX($A:$AP,ROW(),$C$6)&amp;""))</f>
        <v/>
      </c>
      <c r="BA1741" s="31">
        <f>IF($AZ1741="","",IF(COUNTIF($AZ$8:$AZ1741,$AZ1741)&gt;1,1,0))</f>
        <v/>
      </c>
    </row>
    <row r="1742">
      <c r="AR1742" s="31">
        <f>IF(OR($A$5="",$B$6="",ROW()&lt;$A$5),"",IF(INDEX($A:$AP,ROW(),$B$6)="","",INDEX($A:$AP,ROW(),$B$6)))</f>
        <v/>
      </c>
      <c r="AS1742" s="32">
        <f>IF($AR1742="","",IF(ISNUMBER($AR1742),IF($AR1742&gt;=10000000,IFERROR(DATE(INT($AR1742/10000),MOD(INT($AR1742/100),100),MOD($AR1742,100)),""),INT($AR1742)),IFERROR(DATE(--LEFT(LEFT(SUBSTITUTE(SUBSTITUTE(SUBSTITUTE(SUBSTITUTE(TRIM($AR1742),"-",""),".",""),"/","")," ",""),8),4),--MID(LEFT(SUBSTITUTE(SUBSTITUTE(SUBSTITUTE(SUBSTITUTE(TRIM($AR1742),"-",""),".",""),"/","")," ",""),8),5,2),--MID(LEFT(SUBSTITUTE(SUBSTITUTE(SUBSTITUTE(SUBSTITUTE(TRIM($AR1742),"-",""),".",""),"/","")," ",""),8),7,2)),"")))</f>
        <v/>
      </c>
      <c r="AT1742" s="33">
        <f>IF($AS1742="","",IF($F$6="",0,IF(ISNUMBER(INDEX($A:$AP,ROW(),$F$6)),INDEX($A:$AP,ROW(),$F$6),IFERROR(--SUBSTITUTE(SUBSTITUTE(TRIM(INDEX($A:$AP,ROW(),$F$6)),",",""),"원",""),0))))</f>
        <v/>
      </c>
      <c r="AU1742" s="31">
        <f>IF($AS1742="","",IF($AX1742&lt;&gt;"",SUBSTITUTE(SUBSTITUTE($AX1742,"-","")," ",""),"N:"&amp;$AV1742))</f>
        <v/>
      </c>
      <c r="AV1742" s="31">
        <f>IF(OR($AS1742="",$E$6=""),"",TRIM(INDEX($A:$AP,ROW(),$E$6)&amp;""))</f>
        <v/>
      </c>
      <c r="AW1742" s="31">
        <f>IF($AU1742="","",IF(MATCH($AU1742,$AU$8:$AU$2007,0)=ROW()-7,MAX($AW$7:$AW1741)+1,""))</f>
        <v/>
      </c>
      <c r="AX1742" s="31">
        <f>IF(OR($AS1742="",$D$6=""),"",TRIM(INDEX($A:$AP,ROW(),$D$6)&amp;""))</f>
        <v/>
      </c>
      <c r="AY1742" s="31">
        <f>IF($AU1742="","",INDEX($AW$8:$AW$2007,MATCH($AU1742,$AU$8:$AU$2007,0)))</f>
        <v/>
      </c>
      <c r="AZ1742" s="31">
        <f>IF(OR($AS1742="",$C$6=""),"",TRIM(INDEX($A:$AP,ROW(),$C$6)&amp;""))</f>
        <v/>
      </c>
      <c r="BA1742" s="31">
        <f>IF($AZ1742="","",IF(COUNTIF($AZ$8:$AZ1742,$AZ1742)&gt;1,1,0))</f>
        <v/>
      </c>
    </row>
    <row r="1743">
      <c r="AR1743" s="31">
        <f>IF(OR($A$5="",$B$6="",ROW()&lt;$A$5),"",IF(INDEX($A:$AP,ROW(),$B$6)="","",INDEX($A:$AP,ROW(),$B$6)))</f>
        <v/>
      </c>
      <c r="AS1743" s="32">
        <f>IF($AR1743="","",IF(ISNUMBER($AR1743),IF($AR1743&gt;=10000000,IFERROR(DATE(INT($AR1743/10000),MOD(INT($AR1743/100),100),MOD($AR1743,100)),""),INT($AR1743)),IFERROR(DATE(--LEFT(LEFT(SUBSTITUTE(SUBSTITUTE(SUBSTITUTE(SUBSTITUTE(TRIM($AR1743),"-",""),".",""),"/","")," ",""),8),4),--MID(LEFT(SUBSTITUTE(SUBSTITUTE(SUBSTITUTE(SUBSTITUTE(TRIM($AR1743),"-",""),".",""),"/","")," ",""),8),5,2),--MID(LEFT(SUBSTITUTE(SUBSTITUTE(SUBSTITUTE(SUBSTITUTE(TRIM($AR1743),"-",""),".",""),"/","")," ",""),8),7,2)),"")))</f>
        <v/>
      </c>
      <c r="AT1743" s="33">
        <f>IF($AS1743="","",IF($F$6="",0,IF(ISNUMBER(INDEX($A:$AP,ROW(),$F$6)),INDEX($A:$AP,ROW(),$F$6),IFERROR(--SUBSTITUTE(SUBSTITUTE(TRIM(INDEX($A:$AP,ROW(),$F$6)),",",""),"원",""),0))))</f>
        <v/>
      </c>
      <c r="AU1743" s="31">
        <f>IF($AS1743="","",IF($AX1743&lt;&gt;"",SUBSTITUTE(SUBSTITUTE($AX1743,"-","")," ",""),"N:"&amp;$AV1743))</f>
        <v/>
      </c>
      <c r="AV1743" s="31">
        <f>IF(OR($AS1743="",$E$6=""),"",TRIM(INDEX($A:$AP,ROW(),$E$6)&amp;""))</f>
        <v/>
      </c>
      <c r="AW1743" s="31">
        <f>IF($AU1743="","",IF(MATCH($AU1743,$AU$8:$AU$2007,0)=ROW()-7,MAX($AW$7:$AW1742)+1,""))</f>
        <v/>
      </c>
      <c r="AX1743" s="31">
        <f>IF(OR($AS1743="",$D$6=""),"",TRIM(INDEX($A:$AP,ROW(),$D$6)&amp;""))</f>
        <v/>
      </c>
      <c r="AY1743" s="31">
        <f>IF($AU1743="","",INDEX($AW$8:$AW$2007,MATCH($AU1743,$AU$8:$AU$2007,0)))</f>
        <v/>
      </c>
      <c r="AZ1743" s="31">
        <f>IF(OR($AS1743="",$C$6=""),"",TRIM(INDEX($A:$AP,ROW(),$C$6)&amp;""))</f>
        <v/>
      </c>
      <c r="BA1743" s="31">
        <f>IF($AZ1743="","",IF(COUNTIF($AZ$8:$AZ1743,$AZ1743)&gt;1,1,0))</f>
        <v/>
      </c>
    </row>
    <row r="1744">
      <c r="AR1744" s="31">
        <f>IF(OR($A$5="",$B$6="",ROW()&lt;$A$5),"",IF(INDEX($A:$AP,ROW(),$B$6)="","",INDEX($A:$AP,ROW(),$B$6)))</f>
        <v/>
      </c>
      <c r="AS1744" s="32">
        <f>IF($AR1744="","",IF(ISNUMBER($AR1744),IF($AR1744&gt;=10000000,IFERROR(DATE(INT($AR1744/10000),MOD(INT($AR1744/100),100),MOD($AR1744,100)),""),INT($AR1744)),IFERROR(DATE(--LEFT(LEFT(SUBSTITUTE(SUBSTITUTE(SUBSTITUTE(SUBSTITUTE(TRIM($AR1744),"-",""),".",""),"/","")," ",""),8),4),--MID(LEFT(SUBSTITUTE(SUBSTITUTE(SUBSTITUTE(SUBSTITUTE(TRIM($AR1744),"-",""),".",""),"/","")," ",""),8),5,2),--MID(LEFT(SUBSTITUTE(SUBSTITUTE(SUBSTITUTE(SUBSTITUTE(TRIM($AR1744),"-",""),".",""),"/","")," ",""),8),7,2)),"")))</f>
        <v/>
      </c>
      <c r="AT1744" s="33">
        <f>IF($AS1744="","",IF($F$6="",0,IF(ISNUMBER(INDEX($A:$AP,ROW(),$F$6)),INDEX($A:$AP,ROW(),$F$6),IFERROR(--SUBSTITUTE(SUBSTITUTE(TRIM(INDEX($A:$AP,ROW(),$F$6)),",",""),"원",""),0))))</f>
        <v/>
      </c>
      <c r="AU1744" s="31">
        <f>IF($AS1744="","",IF($AX1744&lt;&gt;"",SUBSTITUTE(SUBSTITUTE($AX1744,"-","")," ",""),"N:"&amp;$AV1744))</f>
        <v/>
      </c>
      <c r="AV1744" s="31">
        <f>IF(OR($AS1744="",$E$6=""),"",TRIM(INDEX($A:$AP,ROW(),$E$6)&amp;""))</f>
        <v/>
      </c>
      <c r="AW1744" s="31">
        <f>IF($AU1744="","",IF(MATCH($AU1744,$AU$8:$AU$2007,0)=ROW()-7,MAX($AW$7:$AW1743)+1,""))</f>
        <v/>
      </c>
      <c r="AX1744" s="31">
        <f>IF(OR($AS1744="",$D$6=""),"",TRIM(INDEX($A:$AP,ROW(),$D$6)&amp;""))</f>
        <v/>
      </c>
      <c r="AY1744" s="31">
        <f>IF($AU1744="","",INDEX($AW$8:$AW$2007,MATCH($AU1744,$AU$8:$AU$2007,0)))</f>
        <v/>
      </c>
      <c r="AZ1744" s="31">
        <f>IF(OR($AS1744="",$C$6=""),"",TRIM(INDEX($A:$AP,ROW(),$C$6)&amp;""))</f>
        <v/>
      </c>
      <c r="BA1744" s="31">
        <f>IF($AZ1744="","",IF(COUNTIF($AZ$8:$AZ1744,$AZ1744)&gt;1,1,0))</f>
        <v/>
      </c>
    </row>
    <row r="1745">
      <c r="AR1745" s="31">
        <f>IF(OR($A$5="",$B$6="",ROW()&lt;$A$5),"",IF(INDEX($A:$AP,ROW(),$B$6)="","",INDEX($A:$AP,ROW(),$B$6)))</f>
        <v/>
      </c>
      <c r="AS1745" s="32">
        <f>IF($AR1745="","",IF(ISNUMBER($AR1745),IF($AR1745&gt;=10000000,IFERROR(DATE(INT($AR1745/10000),MOD(INT($AR1745/100),100),MOD($AR1745,100)),""),INT($AR1745)),IFERROR(DATE(--LEFT(LEFT(SUBSTITUTE(SUBSTITUTE(SUBSTITUTE(SUBSTITUTE(TRIM($AR1745),"-",""),".",""),"/","")," ",""),8),4),--MID(LEFT(SUBSTITUTE(SUBSTITUTE(SUBSTITUTE(SUBSTITUTE(TRIM($AR1745),"-",""),".",""),"/","")," ",""),8),5,2),--MID(LEFT(SUBSTITUTE(SUBSTITUTE(SUBSTITUTE(SUBSTITUTE(TRIM($AR1745),"-",""),".",""),"/","")," ",""),8),7,2)),"")))</f>
        <v/>
      </c>
      <c r="AT1745" s="33">
        <f>IF($AS1745="","",IF($F$6="",0,IF(ISNUMBER(INDEX($A:$AP,ROW(),$F$6)),INDEX($A:$AP,ROW(),$F$6),IFERROR(--SUBSTITUTE(SUBSTITUTE(TRIM(INDEX($A:$AP,ROW(),$F$6)),",",""),"원",""),0))))</f>
        <v/>
      </c>
      <c r="AU1745" s="31">
        <f>IF($AS1745="","",IF($AX1745&lt;&gt;"",SUBSTITUTE(SUBSTITUTE($AX1745,"-","")," ",""),"N:"&amp;$AV1745))</f>
        <v/>
      </c>
      <c r="AV1745" s="31">
        <f>IF(OR($AS1745="",$E$6=""),"",TRIM(INDEX($A:$AP,ROW(),$E$6)&amp;""))</f>
        <v/>
      </c>
      <c r="AW1745" s="31">
        <f>IF($AU1745="","",IF(MATCH($AU1745,$AU$8:$AU$2007,0)=ROW()-7,MAX($AW$7:$AW1744)+1,""))</f>
        <v/>
      </c>
      <c r="AX1745" s="31">
        <f>IF(OR($AS1745="",$D$6=""),"",TRIM(INDEX($A:$AP,ROW(),$D$6)&amp;""))</f>
        <v/>
      </c>
      <c r="AY1745" s="31">
        <f>IF($AU1745="","",INDEX($AW$8:$AW$2007,MATCH($AU1745,$AU$8:$AU$2007,0)))</f>
        <v/>
      </c>
      <c r="AZ1745" s="31">
        <f>IF(OR($AS1745="",$C$6=""),"",TRIM(INDEX($A:$AP,ROW(),$C$6)&amp;""))</f>
        <v/>
      </c>
      <c r="BA1745" s="31">
        <f>IF($AZ1745="","",IF(COUNTIF($AZ$8:$AZ1745,$AZ1745)&gt;1,1,0))</f>
        <v/>
      </c>
    </row>
    <row r="1746">
      <c r="AR1746" s="31">
        <f>IF(OR($A$5="",$B$6="",ROW()&lt;$A$5),"",IF(INDEX($A:$AP,ROW(),$B$6)="","",INDEX($A:$AP,ROW(),$B$6)))</f>
        <v/>
      </c>
      <c r="AS1746" s="32">
        <f>IF($AR1746="","",IF(ISNUMBER($AR1746),IF($AR1746&gt;=10000000,IFERROR(DATE(INT($AR1746/10000),MOD(INT($AR1746/100),100),MOD($AR1746,100)),""),INT($AR1746)),IFERROR(DATE(--LEFT(LEFT(SUBSTITUTE(SUBSTITUTE(SUBSTITUTE(SUBSTITUTE(TRIM($AR1746),"-",""),".",""),"/","")," ",""),8),4),--MID(LEFT(SUBSTITUTE(SUBSTITUTE(SUBSTITUTE(SUBSTITUTE(TRIM($AR1746),"-",""),".",""),"/","")," ",""),8),5,2),--MID(LEFT(SUBSTITUTE(SUBSTITUTE(SUBSTITUTE(SUBSTITUTE(TRIM($AR1746),"-",""),".",""),"/","")," ",""),8),7,2)),"")))</f>
        <v/>
      </c>
      <c r="AT1746" s="33">
        <f>IF($AS1746="","",IF($F$6="",0,IF(ISNUMBER(INDEX($A:$AP,ROW(),$F$6)),INDEX($A:$AP,ROW(),$F$6),IFERROR(--SUBSTITUTE(SUBSTITUTE(TRIM(INDEX($A:$AP,ROW(),$F$6)),",",""),"원",""),0))))</f>
        <v/>
      </c>
      <c r="AU1746" s="31">
        <f>IF($AS1746="","",IF($AX1746&lt;&gt;"",SUBSTITUTE(SUBSTITUTE($AX1746,"-","")," ",""),"N:"&amp;$AV1746))</f>
        <v/>
      </c>
      <c r="AV1746" s="31">
        <f>IF(OR($AS1746="",$E$6=""),"",TRIM(INDEX($A:$AP,ROW(),$E$6)&amp;""))</f>
        <v/>
      </c>
      <c r="AW1746" s="31">
        <f>IF($AU1746="","",IF(MATCH($AU1746,$AU$8:$AU$2007,0)=ROW()-7,MAX($AW$7:$AW1745)+1,""))</f>
        <v/>
      </c>
      <c r="AX1746" s="31">
        <f>IF(OR($AS1746="",$D$6=""),"",TRIM(INDEX($A:$AP,ROW(),$D$6)&amp;""))</f>
        <v/>
      </c>
      <c r="AY1746" s="31">
        <f>IF($AU1746="","",INDEX($AW$8:$AW$2007,MATCH($AU1746,$AU$8:$AU$2007,0)))</f>
        <v/>
      </c>
      <c r="AZ1746" s="31">
        <f>IF(OR($AS1746="",$C$6=""),"",TRIM(INDEX($A:$AP,ROW(),$C$6)&amp;""))</f>
        <v/>
      </c>
      <c r="BA1746" s="31">
        <f>IF($AZ1746="","",IF(COUNTIF($AZ$8:$AZ1746,$AZ1746)&gt;1,1,0))</f>
        <v/>
      </c>
    </row>
    <row r="1747">
      <c r="AR1747" s="31">
        <f>IF(OR($A$5="",$B$6="",ROW()&lt;$A$5),"",IF(INDEX($A:$AP,ROW(),$B$6)="","",INDEX($A:$AP,ROW(),$B$6)))</f>
        <v/>
      </c>
      <c r="AS1747" s="32">
        <f>IF($AR1747="","",IF(ISNUMBER($AR1747),IF($AR1747&gt;=10000000,IFERROR(DATE(INT($AR1747/10000),MOD(INT($AR1747/100),100),MOD($AR1747,100)),""),INT($AR1747)),IFERROR(DATE(--LEFT(LEFT(SUBSTITUTE(SUBSTITUTE(SUBSTITUTE(SUBSTITUTE(TRIM($AR1747),"-",""),".",""),"/","")," ",""),8),4),--MID(LEFT(SUBSTITUTE(SUBSTITUTE(SUBSTITUTE(SUBSTITUTE(TRIM($AR1747),"-",""),".",""),"/","")," ",""),8),5,2),--MID(LEFT(SUBSTITUTE(SUBSTITUTE(SUBSTITUTE(SUBSTITUTE(TRIM($AR1747),"-",""),".",""),"/","")," ",""),8),7,2)),"")))</f>
        <v/>
      </c>
      <c r="AT1747" s="33">
        <f>IF($AS1747="","",IF($F$6="",0,IF(ISNUMBER(INDEX($A:$AP,ROW(),$F$6)),INDEX($A:$AP,ROW(),$F$6),IFERROR(--SUBSTITUTE(SUBSTITUTE(TRIM(INDEX($A:$AP,ROW(),$F$6)),",",""),"원",""),0))))</f>
        <v/>
      </c>
      <c r="AU1747" s="31">
        <f>IF($AS1747="","",IF($AX1747&lt;&gt;"",SUBSTITUTE(SUBSTITUTE($AX1747,"-","")," ",""),"N:"&amp;$AV1747))</f>
        <v/>
      </c>
      <c r="AV1747" s="31">
        <f>IF(OR($AS1747="",$E$6=""),"",TRIM(INDEX($A:$AP,ROW(),$E$6)&amp;""))</f>
        <v/>
      </c>
      <c r="AW1747" s="31">
        <f>IF($AU1747="","",IF(MATCH($AU1747,$AU$8:$AU$2007,0)=ROW()-7,MAX($AW$7:$AW1746)+1,""))</f>
        <v/>
      </c>
      <c r="AX1747" s="31">
        <f>IF(OR($AS1747="",$D$6=""),"",TRIM(INDEX($A:$AP,ROW(),$D$6)&amp;""))</f>
        <v/>
      </c>
      <c r="AY1747" s="31">
        <f>IF($AU1747="","",INDEX($AW$8:$AW$2007,MATCH($AU1747,$AU$8:$AU$2007,0)))</f>
        <v/>
      </c>
      <c r="AZ1747" s="31">
        <f>IF(OR($AS1747="",$C$6=""),"",TRIM(INDEX($A:$AP,ROW(),$C$6)&amp;""))</f>
        <v/>
      </c>
      <c r="BA1747" s="31">
        <f>IF($AZ1747="","",IF(COUNTIF($AZ$8:$AZ1747,$AZ1747)&gt;1,1,0))</f>
        <v/>
      </c>
    </row>
    <row r="1748">
      <c r="AR1748" s="31">
        <f>IF(OR($A$5="",$B$6="",ROW()&lt;$A$5),"",IF(INDEX($A:$AP,ROW(),$B$6)="","",INDEX($A:$AP,ROW(),$B$6)))</f>
        <v/>
      </c>
      <c r="AS1748" s="32">
        <f>IF($AR1748="","",IF(ISNUMBER($AR1748),IF($AR1748&gt;=10000000,IFERROR(DATE(INT($AR1748/10000),MOD(INT($AR1748/100),100),MOD($AR1748,100)),""),INT($AR1748)),IFERROR(DATE(--LEFT(LEFT(SUBSTITUTE(SUBSTITUTE(SUBSTITUTE(SUBSTITUTE(TRIM($AR1748),"-",""),".",""),"/","")," ",""),8),4),--MID(LEFT(SUBSTITUTE(SUBSTITUTE(SUBSTITUTE(SUBSTITUTE(TRIM($AR1748),"-",""),".",""),"/","")," ",""),8),5,2),--MID(LEFT(SUBSTITUTE(SUBSTITUTE(SUBSTITUTE(SUBSTITUTE(TRIM($AR1748),"-",""),".",""),"/","")," ",""),8),7,2)),"")))</f>
        <v/>
      </c>
      <c r="AT1748" s="33">
        <f>IF($AS1748="","",IF($F$6="",0,IF(ISNUMBER(INDEX($A:$AP,ROW(),$F$6)),INDEX($A:$AP,ROW(),$F$6),IFERROR(--SUBSTITUTE(SUBSTITUTE(TRIM(INDEX($A:$AP,ROW(),$F$6)),",",""),"원",""),0))))</f>
        <v/>
      </c>
      <c r="AU1748" s="31">
        <f>IF($AS1748="","",IF($AX1748&lt;&gt;"",SUBSTITUTE(SUBSTITUTE($AX1748,"-","")," ",""),"N:"&amp;$AV1748))</f>
        <v/>
      </c>
      <c r="AV1748" s="31">
        <f>IF(OR($AS1748="",$E$6=""),"",TRIM(INDEX($A:$AP,ROW(),$E$6)&amp;""))</f>
        <v/>
      </c>
      <c r="AW1748" s="31">
        <f>IF($AU1748="","",IF(MATCH($AU1748,$AU$8:$AU$2007,0)=ROW()-7,MAX($AW$7:$AW1747)+1,""))</f>
        <v/>
      </c>
      <c r="AX1748" s="31">
        <f>IF(OR($AS1748="",$D$6=""),"",TRIM(INDEX($A:$AP,ROW(),$D$6)&amp;""))</f>
        <v/>
      </c>
      <c r="AY1748" s="31">
        <f>IF($AU1748="","",INDEX($AW$8:$AW$2007,MATCH($AU1748,$AU$8:$AU$2007,0)))</f>
        <v/>
      </c>
      <c r="AZ1748" s="31">
        <f>IF(OR($AS1748="",$C$6=""),"",TRIM(INDEX($A:$AP,ROW(),$C$6)&amp;""))</f>
        <v/>
      </c>
      <c r="BA1748" s="31">
        <f>IF($AZ1748="","",IF(COUNTIF($AZ$8:$AZ1748,$AZ1748)&gt;1,1,0))</f>
        <v/>
      </c>
    </row>
    <row r="1749">
      <c r="AR1749" s="31">
        <f>IF(OR($A$5="",$B$6="",ROW()&lt;$A$5),"",IF(INDEX($A:$AP,ROW(),$B$6)="","",INDEX($A:$AP,ROW(),$B$6)))</f>
        <v/>
      </c>
      <c r="AS1749" s="32">
        <f>IF($AR1749="","",IF(ISNUMBER($AR1749),IF($AR1749&gt;=10000000,IFERROR(DATE(INT($AR1749/10000),MOD(INT($AR1749/100),100),MOD($AR1749,100)),""),INT($AR1749)),IFERROR(DATE(--LEFT(LEFT(SUBSTITUTE(SUBSTITUTE(SUBSTITUTE(SUBSTITUTE(TRIM($AR1749),"-",""),".",""),"/","")," ",""),8),4),--MID(LEFT(SUBSTITUTE(SUBSTITUTE(SUBSTITUTE(SUBSTITUTE(TRIM($AR1749),"-",""),".",""),"/","")," ",""),8),5,2),--MID(LEFT(SUBSTITUTE(SUBSTITUTE(SUBSTITUTE(SUBSTITUTE(TRIM($AR1749),"-",""),".",""),"/","")," ",""),8),7,2)),"")))</f>
        <v/>
      </c>
      <c r="AT1749" s="33">
        <f>IF($AS1749="","",IF($F$6="",0,IF(ISNUMBER(INDEX($A:$AP,ROW(),$F$6)),INDEX($A:$AP,ROW(),$F$6),IFERROR(--SUBSTITUTE(SUBSTITUTE(TRIM(INDEX($A:$AP,ROW(),$F$6)),",",""),"원",""),0))))</f>
        <v/>
      </c>
      <c r="AU1749" s="31">
        <f>IF($AS1749="","",IF($AX1749&lt;&gt;"",SUBSTITUTE(SUBSTITUTE($AX1749,"-","")," ",""),"N:"&amp;$AV1749))</f>
        <v/>
      </c>
      <c r="AV1749" s="31">
        <f>IF(OR($AS1749="",$E$6=""),"",TRIM(INDEX($A:$AP,ROW(),$E$6)&amp;""))</f>
        <v/>
      </c>
      <c r="AW1749" s="31">
        <f>IF($AU1749="","",IF(MATCH($AU1749,$AU$8:$AU$2007,0)=ROW()-7,MAX($AW$7:$AW1748)+1,""))</f>
        <v/>
      </c>
      <c r="AX1749" s="31">
        <f>IF(OR($AS1749="",$D$6=""),"",TRIM(INDEX($A:$AP,ROW(),$D$6)&amp;""))</f>
        <v/>
      </c>
      <c r="AY1749" s="31">
        <f>IF($AU1749="","",INDEX($AW$8:$AW$2007,MATCH($AU1749,$AU$8:$AU$2007,0)))</f>
        <v/>
      </c>
      <c r="AZ1749" s="31">
        <f>IF(OR($AS1749="",$C$6=""),"",TRIM(INDEX($A:$AP,ROW(),$C$6)&amp;""))</f>
        <v/>
      </c>
      <c r="BA1749" s="31">
        <f>IF($AZ1749="","",IF(COUNTIF($AZ$8:$AZ1749,$AZ1749)&gt;1,1,0))</f>
        <v/>
      </c>
    </row>
    <row r="1750">
      <c r="AR1750" s="31">
        <f>IF(OR($A$5="",$B$6="",ROW()&lt;$A$5),"",IF(INDEX($A:$AP,ROW(),$B$6)="","",INDEX($A:$AP,ROW(),$B$6)))</f>
        <v/>
      </c>
      <c r="AS1750" s="32">
        <f>IF($AR1750="","",IF(ISNUMBER($AR1750),IF($AR1750&gt;=10000000,IFERROR(DATE(INT($AR1750/10000),MOD(INT($AR1750/100),100),MOD($AR1750,100)),""),INT($AR1750)),IFERROR(DATE(--LEFT(LEFT(SUBSTITUTE(SUBSTITUTE(SUBSTITUTE(SUBSTITUTE(TRIM($AR1750),"-",""),".",""),"/","")," ",""),8),4),--MID(LEFT(SUBSTITUTE(SUBSTITUTE(SUBSTITUTE(SUBSTITUTE(TRIM($AR1750),"-",""),".",""),"/","")," ",""),8),5,2),--MID(LEFT(SUBSTITUTE(SUBSTITUTE(SUBSTITUTE(SUBSTITUTE(TRIM($AR1750),"-",""),".",""),"/","")," ",""),8),7,2)),"")))</f>
        <v/>
      </c>
      <c r="AT1750" s="33">
        <f>IF($AS1750="","",IF($F$6="",0,IF(ISNUMBER(INDEX($A:$AP,ROW(),$F$6)),INDEX($A:$AP,ROW(),$F$6),IFERROR(--SUBSTITUTE(SUBSTITUTE(TRIM(INDEX($A:$AP,ROW(),$F$6)),",",""),"원",""),0))))</f>
        <v/>
      </c>
      <c r="AU1750" s="31">
        <f>IF($AS1750="","",IF($AX1750&lt;&gt;"",SUBSTITUTE(SUBSTITUTE($AX1750,"-","")," ",""),"N:"&amp;$AV1750))</f>
        <v/>
      </c>
      <c r="AV1750" s="31">
        <f>IF(OR($AS1750="",$E$6=""),"",TRIM(INDEX($A:$AP,ROW(),$E$6)&amp;""))</f>
        <v/>
      </c>
      <c r="AW1750" s="31">
        <f>IF($AU1750="","",IF(MATCH($AU1750,$AU$8:$AU$2007,0)=ROW()-7,MAX($AW$7:$AW1749)+1,""))</f>
        <v/>
      </c>
      <c r="AX1750" s="31">
        <f>IF(OR($AS1750="",$D$6=""),"",TRIM(INDEX($A:$AP,ROW(),$D$6)&amp;""))</f>
        <v/>
      </c>
      <c r="AY1750" s="31">
        <f>IF($AU1750="","",INDEX($AW$8:$AW$2007,MATCH($AU1750,$AU$8:$AU$2007,0)))</f>
        <v/>
      </c>
      <c r="AZ1750" s="31">
        <f>IF(OR($AS1750="",$C$6=""),"",TRIM(INDEX($A:$AP,ROW(),$C$6)&amp;""))</f>
        <v/>
      </c>
      <c r="BA1750" s="31">
        <f>IF($AZ1750="","",IF(COUNTIF($AZ$8:$AZ1750,$AZ1750)&gt;1,1,0))</f>
        <v/>
      </c>
    </row>
    <row r="1751">
      <c r="AR1751" s="31">
        <f>IF(OR($A$5="",$B$6="",ROW()&lt;$A$5),"",IF(INDEX($A:$AP,ROW(),$B$6)="","",INDEX($A:$AP,ROW(),$B$6)))</f>
        <v/>
      </c>
      <c r="AS1751" s="32">
        <f>IF($AR1751="","",IF(ISNUMBER($AR1751),IF($AR1751&gt;=10000000,IFERROR(DATE(INT($AR1751/10000),MOD(INT($AR1751/100),100),MOD($AR1751,100)),""),INT($AR1751)),IFERROR(DATE(--LEFT(LEFT(SUBSTITUTE(SUBSTITUTE(SUBSTITUTE(SUBSTITUTE(TRIM($AR1751),"-",""),".",""),"/","")," ",""),8),4),--MID(LEFT(SUBSTITUTE(SUBSTITUTE(SUBSTITUTE(SUBSTITUTE(TRIM($AR1751),"-",""),".",""),"/","")," ",""),8),5,2),--MID(LEFT(SUBSTITUTE(SUBSTITUTE(SUBSTITUTE(SUBSTITUTE(TRIM($AR1751),"-",""),".",""),"/","")," ",""),8),7,2)),"")))</f>
        <v/>
      </c>
      <c r="AT1751" s="33">
        <f>IF($AS1751="","",IF($F$6="",0,IF(ISNUMBER(INDEX($A:$AP,ROW(),$F$6)),INDEX($A:$AP,ROW(),$F$6),IFERROR(--SUBSTITUTE(SUBSTITUTE(TRIM(INDEX($A:$AP,ROW(),$F$6)),",",""),"원",""),0))))</f>
        <v/>
      </c>
      <c r="AU1751" s="31">
        <f>IF($AS1751="","",IF($AX1751&lt;&gt;"",SUBSTITUTE(SUBSTITUTE($AX1751,"-","")," ",""),"N:"&amp;$AV1751))</f>
        <v/>
      </c>
      <c r="AV1751" s="31">
        <f>IF(OR($AS1751="",$E$6=""),"",TRIM(INDEX($A:$AP,ROW(),$E$6)&amp;""))</f>
        <v/>
      </c>
      <c r="AW1751" s="31">
        <f>IF($AU1751="","",IF(MATCH($AU1751,$AU$8:$AU$2007,0)=ROW()-7,MAX($AW$7:$AW1750)+1,""))</f>
        <v/>
      </c>
      <c r="AX1751" s="31">
        <f>IF(OR($AS1751="",$D$6=""),"",TRIM(INDEX($A:$AP,ROW(),$D$6)&amp;""))</f>
        <v/>
      </c>
      <c r="AY1751" s="31">
        <f>IF($AU1751="","",INDEX($AW$8:$AW$2007,MATCH($AU1751,$AU$8:$AU$2007,0)))</f>
        <v/>
      </c>
      <c r="AZ1751" s="31">
        <f>IF(OR($AS1751="",$C$6=""),"",TRIM(INDEX($A:$AP,ROW(),$C$6)&amp;""))</f>
        <v/>
      </c>
      <c r="BA1751" s="31">
        <f>IF($AZ1751="","",IF(COUNTIF($AZ$8:$AZ1751,$AZ1751)&gt;1,1,0))</f>
        <v/>
      </c>
    </row>
    <row r="1752">
      <c r="AR1752" s="31">
        <f>IF(OR($A$5="",$B$6="",ROW()&lt;$A$5),"",IF(INDEX($A:$AP,ROW(),$B$6)="","",INDEX($A:$AP,ROW(),$B$6)))</f>
        <v/>
      </c>
      <c r="AS1752" s="32">
        <f>IF($AR1752="","",IF(ISNUMBER($AR1752),IF($AR1752&gt;=10000000,IFERROR(DATE(INT($AR1752/10000),MOD(INT($AR1752/100),100),MOD($AR1752,100)),""),INT($AR1752)),IFERROR(DATE(--LEFT(LEFT(SUBSTITUTE(SUBSTITUTE(SUBSTITUTE(SUBSTITUTE(TRIM($AR1752),"-",""),".",""),"/","")," ",""),8),4),--MID(LEFT(SUBSTITUTE(SUBSTITUTE(SUBSTITUTE(SUBSTITUTE(TRIM($AR1752),"-",""),".",""),"/","")," ",""),8),5,2),--MID(LEFT(SUBSTITUTE(SUBSTITUTE(SUBSTITUTE(SUBSTITUTE(TRIM($AR1752),"-",""),".",""),"/","")," ",""),8),7,2)),"")))</f>
        <v/>
      </c>
      <c r="AT1752" s="33">
        <f>IF($AS1752="","",IF($F$6="",0,IF(ISNUMBER(INDEX($A:$AP,ROW(),$F$6)),INDEX($A:$AP,ROW(),$F$6),IFERROR(--SUBSTITUTE(SUBSTITUTE(TRIM(INDEX($A:$AP,ROW(),$F$6)),",",""),"원",""),0))))</f>
        <v/>
      </c>
      <c r="AU1752" s="31">
        <f>IF($AS1752="","",IF($AX1752&lt;&gt;"",SUBSTITUTE(SUBSTITUTE($AX1752,"-","")," ",""),"N:"&amp;$AV1752))</f>
        <v/>
      </c>
      <c r="AV1752" s="31">
        <f>IF(OR($AS1752="",$E$6=""),"",TRIM(INDEX($A:$AP,ROW(),$E$6)&amp;""))</f>
        <v/>
      </c>
      <c r="AW1752" s="31">
        <f>IF($AU1752="","",IF(MATCH($AU1752,$AU$8:$AU$2007,0)=ROW()-7,MAX($AW$7:$AW1751)+1,""))</f>
        <v/>
      </c>
      <c r="AX1752" s="31">
        <f>IF(OR($AS1752="",$D$6=""),"",TRIM(INDEX($A:$AP,ROW(),$D$6)&amp;""))</f>
        <v/>
      </c>
      <c r="AY1752" s="31">
        <f>IF($AU1752="","",INDEX($AW$8:$AW$2007,MATCH($AU1752,$AU$8:$AU$2007,0)))</f>
        <v/>
      </c>
      <c r="AZ1752" s="31">
        <f>IF(OR($AS1752="",$C$6=""),"",TRIM(INDEX($A:$AP,ROW(),$C$6)&amp;""))</f>
        <v/>
      </c>
      <c r="BA1752" s="31">
        <f>IF($AZ1752="","",IF(COUNTIF($AZ$8:$AZ1752,$AZ1752)&gt;1,1,0))</f>
        <v/>
      </c>
    </row>
    <row r="1753">
      <c r="AR1753" s="31">
        <f>IF(OR($A$5="",$B$6="",ROW()&lt;$A$5),"",IF(INDEX($A:$AP,ROW(),$B$6)="","",INDEX($A:$AP,ROW(),$B$6)))</f>
        <v/>
      </c>
      <c r="AS1753" s="32">
        <f>IF($AR1753="","",IF(ISNUMBER($AR1753),IF($AR1753&gt;=10000000,IFERROR(DATE(INT($AR1753/10000),MOD(INT($AR1753/100),100),MOD($AR1753,100)),""),INT($AR1753)),IFERROR(DATE(--LEFT(LEFT(SUBSTITUTE(SUBSTITUTE(SUBSTITUTE(SUBSTITUTE(TRIM($AR1753),"-",""),".",""),"/","")," ",""),8),4),--MID(LEFT(SUBSTITUTE(SUBSTITUTE(SUBSTITUTE(SUBSTITUTE(TRIM($AR1753),"-",""),".",""),"/","")," ",""),8),5,2),--MID(LEFT(SUBSTITUTE(SUBSTITUTE(SUBSTITUTE(SUBSTITUTE(TRIM($AR1753),"-",""),".",""),"/","")," ",""),8),7,2)),"")))</f>
        <v/>
      </c>
      <c r="AT1753" s="33">
        <f>IF($AS1753="","",IF($F$6="",0,IF(ISNUMBER(INDEX($A:$AP,ROW(),$F$6)),INDEX($A:$AP,ROW(),$F$6),IFERROR(--SUBSTITUTE(SUBSTITUTE(TRIM(INDEX($A:$AP,ROW(),$F$6)),",",""),"원",""),0))))</f>
        <v/>
      </c>
      <c r="AU1753" s="31">
        <f>IF($AS1753="","",IF($AX1753&lt;&gt;"",SUBSTITUTE(SUBSTITUTE($AX1753,"-","")," ",""),"N:"&amp;$AV1753))</f>
        <v/>
      </c>
      <c r="AV1753" s="31">
        <f>IF(OR($AS1753="",$E$6=""),"",TRIM(INDEX($A:$AP,ROW(),$E$6)&amp;""))</f>
        <v/>
      </c>
      <c r="AW1753" s="31">
        <f>IF($AU1753="","",IF(MATCH($AU1753,$AU$8:$AU$2007,0)=ROW()-7,MAX($AW$7:$AW1752)+1,""))</f>
        <v/>
      </c>
      <c r="AX1753" s="31">
        <f>IF(OR($AS1753="",$D$6=""),"",TRIM(INDEX($A:$AP,ROW(),$D$6)&amp;""))</f>
        <v/>
      </c>
      <c r="AY1753" s="31">
        <f>IF($AU1753="","",INDEX($AW$8:$AW$2007,MATCH($AU1753,$AU$8:$AU$2007,0)))</f>
        <v/>
      </c>
      <c r="AZ1753" s="31">
        <f>IF(OR($AS1753="",$C$6=""),"",TRIM(INDEX($A:$AP,ROW(),$C$6)&amp;""))</f>
        <v/>
      </c>
      <c r="BA1753" s="31">
        <f>IF($AZ1753="","",IF(COUNTIF($AZ$8:$AZ1753,$AZ1753)&gt;1,1,0))</f>
        <v/>
      </c>
    </row>
    <row r="1754">
      <c r="AR1754" s="31">
        <f>IF(OR($A$5="",$B$6="",ROW()&lt;$A$5),"",IF(INDEX($A:$AP,ROW(),$B$6)="","",INDEX($A:$AP,ROW(),$B$6)))</f>
        <v/>
      </c>
      <c r="AS1754" s="32">
        <f>IF($AR1754="","",IF(ISNUMBER($AR1754),IF($AR1754&gt;=10000000,IFERROR(DATE(INT($AR1754/10000),MOD(INT($AR1754/100),100),MOD($AR1754,100)),""),INT($AR1754)),IFERROR(DATE(--LEFT(LEFT(SUBSTITUTE(SUBSTITUTE(SUBSTITUTE(SUBSTITUTE(TRIM($AR1754),"-",""),".",""),"/","")," ",""),8),4),--MID(LEFT(SUBSTITUTE(SUBSTITUTE(SUBSTITUTE(SUBSTITUTE(TRIM($AR1754),"-",""),".",""),"/","")," ",""),8),5,2),--MID(LEFT(SUBSTITUTE(SUBSTITUTE(SUBSTITUTE(SUBSTITUTE(TRIM($AR1754),"-",""),".",""),"/","")," ",""),8),7,2)),"")))</f>
        <v/>
      </c>
      <c r="AT1754" s="33">
        <f>IF($AS1754="","",IF($F$6="",0,IF(ISNUMBER(INDEX($A:$AP,ROW(),$F$6)),INDEX($A:$AP,ROW(),$F$6),IFERROR(--SUBSTITUTE(SUBSTITUTE(TRIM(INDEX($A:$AP,ROW(),$F$6)),",",""),"원",""),0))))</f>
        <v/>
      </c>
      <c r="AU1754" s="31">
        <f>IF($AS1754="","",IF($AX1754&lt;&gt;"",SUBSTITUTE(SUBSTITUTE($AX1754,"-","")," ",""),"N:"&amp;$AV1754))</f>
        <v/>
      </c>
      <c r="AV1754" s="31">
        <f>IF(OR($AS1754="",$E$6=""),"",TRIM(INDEX($A:$AP,ROW(),$E$6)&amp;""))</f>
        <v/>
      </c>
      <c r="AW1754" s="31">
        <f>IF($AU1754="","",IF(MATCH($AU1754,$AU$8:$AU$2007,0)=ROW()-7,MAX($AW$7:$AW1753)+1,""))</f>
        <v/>
      </c>
      <c r="AX1754" s="31">
        <f>IF(OR($AS1754="",$D$6=""),"",TRIM(INDEX($A:$AP,ROW(),$D$6)&amp;""))</f>
        <v/>
      </c>
      <c r="AY1754" s="31">
        <f>IF($AU1754="","",INDEX($AW$8:$AW$2007,MATCH($AU1754,$AU$8:$AU$2007,0)))</f>
        <v/>
      </c>
      <c r="AZ1754" s="31">
        <f>IF(OR($AS1754="",$C$6=""),"",TRIM(INDEX($A:$AP,ROW(),$C$6)&amp;""))</f>
        <v/>
      </c>
      <c r="BA1754" s="31">
        <f>IF($AZ1754="","",IF(COUNTIF($AZ$8:$AZ1754,$AZ1754)&gt;1,1,0))</f>
        <v/>
      </c>
    </row>
    <row r="1755">
      <c r="AR1755" s="31">
        <f>IF(OR($A$5="",$B$6="",ROW()&lt;$A$5),"",IF(INDEX($A:$AP,ROW(),$B$6)="","",INDEX($A:$AP,ROW(),$B$6)))</f>
        <v/>
      </c>
      <c r="AS1755" s="32">
        <f>IF($AR1755="","",IF(ISNUMBER($AR1755),IF($AR1755&gt;=10000000,IFERROR(DATE(INT($AR1755/10000),MOD(INT($AR1755/100),100),MOD($AR1755,100)),""),INT($AR1755)),IFERROR(DATE(--LEFT(LEFT(SUBSTITUTE(SUBSTITUTE(SUBSTITUTE(SUBSTITUTE(TRIM($AR1755),"-",""),".",""),"/","")," ",""),8),4),--MID(LEFT(SUBSTITUTE(SUBSTITUTE(SUBSTITUTE(SUBSTITUTE(TRIM($AR1755),"-",""),".",""),"/","")," ",""),8),5,2),--MID(LEFT(SUBSTITUTE(SUBSTITUTE(SUBSTITUTE(SUBSTITUTE(TRIM($AR1755),"-",""),".",""),"/","")," ",""),8),7,2)),"")))</f>
        <v/>
      </c>
      <c r="AT1755" s="33">
        <f>IF($AS1755="","",IF($F$6="",0,IF(ISNUMBER(INDEX($A:$AP,ROW(),$F$6)),INDEX($A:$AP,ROW(),$F$6),IFERROR(--SUBSTITUTE(SUBSTITUTE(TRIM(INDEX($A:$AP,ROW(),$F$6)),",",""),"원",""),0))))</f>
        <v/>
      </c>
      <c r="AU1755" s="31">
        <f>IF($AS1755="","",IF($AX1755&lt;&gt;"",SUBSTITUTE(SUBSTITUTE($AX1755,"-","")," ",""),"N:"&amp;$AV1755))</f>
        <v/>
      </c>
      <c r="AV1755" s="31">
        <f>IF(OR($AS1755="",$E$6=""),"",TRIM(INDEX($A:$AP,ROW(),$E$6)&amp;""))</f>
        <v/>
      </c>
      <c r="AW1755" s="31">
        <f>IF($AU1755="","",IF(MATCH($AU1755,$AU$8:$AU$2007,0)=ROW()-7,MAX($AW$7:$AW1754)+1,""))</f>
        <v/>
      </c>
      <c r="AX1755" s="31">
        <f>IF(OR($AS1755="",$D$6=""),"",TRIM(INDEX($A:$AP,ROW(),$D$6)&amp;""))</f>
        <v/>
      </c>
      <c r="AY1755" s="31">
        <f>IF($AU1755="","",INDEX($AW$8:$AW$2007,MATCH($AU1755,$AU$8:$AU$2007,0)))</f>
        <v/>
      </c>
      <c r="AZ1755" s="31">
        <f>IF(OR($AS1755="",$C$6=""),"",TRIM(INDEX($A:$AP,ROW(),$C$6)&amp;""))</f>
        <v/>
      </c>
      <c r="BA1755" s="31">
        <f>IF($AZ1755="","",IF(COUNTIF($AZ$8:$AZ1755,$AZ1755)&gt;1,1,0))</f>
        <v/>
      </c>
    </row>
    <row r="1756">
      <c r="AR1756" s="31">
        <f>IF(OR($A$5="",$B$6="",ROW()&lt;$A$5),"",IF(INDEX($A:$AP,ROW(),$B$6)="","",INDEX($A:$AP,ROW(),$B$6)))</f>
        <v/>
      </c>
      <c r="AS1756" s="32">
        <f>IF($AR1756="","",IF(ISNUMBER($AR1756),IF($AR1756&gt;=10000000,IFERROR(DATE(INT($AR1756/10000),MOD(INT($AR1756/100),100),MOD($AR1756,100)),""),INT($AR1756)),IFERROR(DATE(--LEFT(LEFT(SUBSTITUTE(SUBSTITUTE(SUBSTITUTE(SUBSTITUTE(TRIM($AR1756),"-",""),".",""),"/","")," ",""),8),4),--MID(LEFT(SUBSTITUTE(SUBSTITUTE(SUBSTITUTE(SUBSTITUTE(TRIM($AR1756),"-",""),".",""),"/","")," ",""),8),5,2),--MID(LEFT(SUBSTITUTE(SUBSTITUTE(SUBSTITUTE(SUBSTITUTE(TRIM($AR1756),"-",""),".",""),"/","")," ",""),8),7,2)),"")))</f>
        <v/>
      </c>
      <c r="AT1756" s="33">
        <f>IF($AS1756="","",IF($F$6="",0,IF(ISNUMBER(INDEX($A:$AP,ROW(),$F$6)),INDEX($A:$AP,ROW(),$F$6),IFERROR(--SUBSTITUTE(SUBSTITUTE(TRIM(INDEX($A:$AP,ROW(),$F$6)),",",""),"원",""),0))))</f>
        <v/>
      </c>
      <c r="AU1756" s="31">
        <f>IF($AS1756="","",IF($AX1756&lt;&gt;"",SUBSTITUTE(SUBSTITUTE($AX1756,"-","")," ",""),"N:"&amp;$AV1756))</f>
        <v/>
      </c>
      <c r="AV1756" s="31">
        <f>IF(OR($AS1756="",$E$6=""),"",TRIM(INDEX($A:$AP,ROW(),$E$6)&amp;""))</f>
        <v/>
      </c>
      <c r="AW1756" s="31">
        <f>IF($AU1756="","",IF(MATCH($AU1756,$AU$8:$AU$2007,0)=ROW()-7,MAX($AW$7:$AW1755)+1,""))</f>
        <v/>
      </c>
      <c r="AX1756" s="31">
        <f>IF(OR($AS1756="",$D$6=""),"",TRIM(INDEX($A:$AP,ROW(),$D$6)&amp;""))</f>
        <v/>
      </c>
      <c r="AY1756" s="31">
        <f>IF($AU1756="","",INDEX($AW$8:$AW$2007,MATCH($AU1756,$AU$8:$AU$2007,0)))</f>
        <v/>
      </c>
      <c r="AZ1756" s="31">
        <f>IF(OR($AS1756="",$C$6=""),"",TRIM(INDEX($A:$AP,ROW(),$C$6)&amp;""))</f>
        <v/>
      </c>
      <c r="BA1756" s="31">
        <f>IF($AZ1756="","",IF(COUNTIF($AZ$8:$AZ1756,$AZ1756)&gt;1,1,0))</f>
        <v/>
      </c>
    </row>
    <row r="1757">
      <c r="AR1757" s="31">
        <f>IF(OR($A$5="",$B$6="",ROW()&lt;$A$5),"",IF(INDEX($A:$AP,ROW(),$B$6)="","",INDEX($A:$AP,ROW(),$B$6)))</f>
        <v/>
      </c>
      <c r="AS1757" s="32">
        <f>IF($AR1757="","",IF(ISNUMBER($AR1757),IF($AR1757&gt;=10000000,IFERROR(DATE(INT($AR1757/10000),MOD(INT($AR1757/100),100),MOD($AR1757,100)),""),INT($AR1757)),IFERROR(DATE(--LEFT(LEFT(SUBSTITUTE(SUBSTITUTE(SUBSTITUTE(SUBSTITUTE(TRIM($AR1757),"-",""),".",""),"/","")," ",""),8),4),--MID(LEFT(SUBSTITUTE(SUBSTITUTE(SUBSTITUTE(SUBSTITUTE(TRIM($AR1757),"-",""),".",""),"/","")," ",""),8),5,2),--MID(LEFT(SUBSTITUTE(SUBSTITUTE(SUBSTITUTE(SUBSTITUTE(TRIM($AR1757),"-",""),".",""),"/","")," ",""),8),7,2)),"")))</f>
        <v/>
      </c>
      <c r="AT1757" s="33">
        <f>IF($AS1757="","",IF($F$6="",0,IF(ISNUMBER(INDEX($A:$AP,ROW(),$F$6)),INDEX($A:$AP,ROW(),$F$6),IFERROR(--SUBSTITUTE(SUBSTITUTE(TRIM(INDEX($A:$AP,ROW(),$F$6)),",",""),"원",""),0))))</f>
        <v/>
      </c>
      <c r="AU1757" s="31">
        <f>IF($AS1757="","",IF($AX1757&lt;&gt;"",SUBSTITUTE(SUBSTITUTE($AX1757,"-","")," ",""),"N:"&amp;$AV1757))</f>
        <v/>
      </c>
      <c r="AV1757" s="31">
        <f>IF(OR($AS1757="",$E$6=""),"",TRIM(INDEX($A:$AP,ROW(),$E$6)&amp;""))</f>
        <v/>
      </c>
      <c r="AW1757" s="31">
        <f>IF($AU1757="","",IF(MATCH($AU1757,$AU$8:$AU$2007,0)=ROW()-7,MAX($AW$7:$AW1756)+1,""))</f>
        <v/>
      </c>
      <c r="AX1757" s="31">
        <f>IF(OR($AS1757="",$D$6=""),"",TRIM(INDEX($A:$AP,ROW(),$D$6)&amp;""))</f>
        <v/>
      </c>
      <c r="AY1757" s="31">
        <f>IF($AU1757="","",INDEX($AW$8:$AW$2007,MATCH($AU1757,$AU$8:$AU$2007,0)))</f>
        <v/>
      </c>
      <c r="AZ1757" s="31">
        <f>IF(OR($AS1757="",$C$6=""),"",TRIM(INDEX($A:$AP,ROW(),$C$6)&amp;""))</f>
        <v/>
      </c>
      <c r="BA1757" s="31">
        <f>IF($AZ1757="","",IF(COUNTIF($AZ$8:$AZ1757,$AZ1757)&gt;1,1,0))</f>
        <v/>
      </c>
    </row>
    <row r="1758">
      <c r="AR1758" s="31">
        <f>IF(OR($A$5="",$B$6="",ROW()&lt;$A$5),"",IF(INDEX($A:$AP,ROW(),$B$6)="","",INDEX($A:$AP,ROW(),$B$6)))</f>
        <v/>
      </c>
      <c r="AS1758" s="32">
        <f>IF($AR1758="","",IF(ISNUMBER($AR1758),IF($AR1758&gt;=10000000,IFERROR(DATE(INT($AR1758/10000),MOD(INT($AR1758/100),100),MOD($AR1758,100)),""),INT($AR1758)),IFERROR(DATE(--LEFT(LEFT(SUBSTITUTE(SUBSTITUTE(SUBSTITUTE(SUBSTITUTE(TRIM($AR1758),"-",""),".",""),"/","")," ",""),8),4),--MID(LEFT(SUBSTITUTE(SUBSTITUTE(SUBSTITUTE(SUBSTITUTE(TRIM($AR1758),"-",""),".",""),"/","")," ",""),8),5,2),--MID(LEFT(SUBSTITUTE(SUBSTITUTE(SUBSTITUTE(SUBSTITUTE(TRIM($AR1758),"-",""),".",""),"/","")," ",""),8),7,2)),"")))</f>
        <v/>
      </c>
      <c r="AT1758" s="33">
        <f>IF($AS1758="","",IF($F$6="",0,IF(ISNUMBER(INDEX($A:$AP,ROW(),$F$6)),INDEX($A:$AP,ROW(),$F$6),IFERROR(--SUBSTITUTE(SUBSTITUTE(TRIM(INDEX($A:$AP,ROW(),$F$6)),",",""),"원",""),0))))</f>
        <v/>
      </c>
      <c r="AU1758" s="31">
        <f>IF($AS1758="","",IF($AX1758&lt;&gt;"",SUBSTITUTE(SUBSTITUTE($AX1758,"-","")," ",""),"N:"&amp;$AV1758))</f>
        <v/>
      </c>
      <c r="AV1758" s="31">
        <f>IF(OR($AS1758="",$E$6=""),"",TRIM(INDEX($A:$AP,ROW(),$E$6)&amp;""))</f>
        <v/>
      </c>
      <c r="AW1758" s="31">
        <f>IF($AU1758="","",IF(MATCH($AU1758,$AU$8:$AU$2007,0)=ROW()-7,MAX($AW$7:$AW1757)+1,""))</f>
        <v/>
      </c>
      <c r="AX1758" s="31">
        <f>IF(OR($AS1758="",$D$6=""),"",TRIM(INDEX($A:$AP,ROW(),$D$6)&amp;""))</f>
        <v/>
      </c>
      <c r="AY1758" s="31">
        <f>IF($AU1758="","",INDEX($AW$8:$AW$2007,MATCH($AU1758,$AU$8:$AU$2007,0)))</f>
        <v/>
      </c>
      <c r="AZ1758" s="31">
        <f>IF(OR($AS1758="",$C$6=""),"",TRIM(INDEX($A:$AP,ROW(),$C$6)&amp;""))</f>
        <v/>
      </c>
      <c r="BA1758" s="31">
        <f>IF($AZ1758="","",IF(COUNTIF($AZ$8:$AZ1758,$AZ1758)&gt;1,1,0))</f>
        <v/>
      </c>
    </row>
    <row r="1759">
      <c r="AR1759" s="31">
        <f>IF(OR($A$5="",$B$6="",ROW()&lt;$A$5),"",IF(INDEX($A:$AP,ROW(),$B$6)="","",INDEX($A:$AP,ROW(),$B$6)))</f>
        <v/>
      </c>
      <c r="AS1759" s="32">
        <f>IF($AR1759="","",IF(ISNUMBER($AR1759),IF($AR1759&gt;=10000000,IFERROR(DATE(INT($AR1759/10000),MOD(INT($AR1759/100),100),MOD($AR1759,100)),""),INT($AR1759)),IFERROR(DATE(--LEFT(LEFT(SUBSTITUTE(SUBSTITUTE(SUBSTITUTE(SUBSTITUTE(TRIM($AR1759),"-",""),".",""),"/","")," ",""),8),4),--MID(LEFT(SUBSTITUTE(SUBSTITUTE(SUBSTITUTE(SUBSTITUTE(TRIM($AR1759),"-",""),".",""),"/","")," ",""),8),5,2),--MID(LEFT(SUBSTITUTE(SUBSTITUTE(SUBSTITUTE(SUBSTITUTE(TRIM($AR1759),"-",""),".",""),"/","")," ",""),8),7,2)),"")))</f>
        <v/>
      </c>
      <c r="AT1759" s="33">
        <f>IF($AS1759="","",IF($F$6="",0,IF(ISNUMBER(INDEX($A:$AP,ROW(),$F$6)),INDEX($A:$AP,ROW(),$F$6),IFERROR(--SUBSTITUTE(SUBSTITUTE(TRIM(INDEX($A:$AP,ROW(),$F$6)),",",""),"원",""),0))))</f>
        <v/>
      </c>
      <c r="AU1759" s="31">
        <f>IF($AS1759="","",IF($AX1759&lt;&gt;"",SUBSTITUTE(SUBSTITUTE($AX1759,"-","")," ",""),"N:"&amp;$AV1759))</f>
        <v/>
      </c>
      <c r="AV1759" s="31">
        <f>IF(OR($AS1759="",$E$6=""),"",TRIM(INDEX($A:$AP,ROW(),$E$6)&amp;""))</f>
        <v/>
      </c>
      <c r="AW1759" s="31">
        <f>IF($AU1759="","",IF(MATCH($AU1759,$AU$8:$AU$2007,0)=ROW()-7,MAX($AW$7:$AW1758)+1,""))</f>
        <v/>
      </c>
      <c r="AX1759" s="31">
        <f>IF(OR($AS1759="",$D$6=""),"",TRIM(INDEX($A:$AP,ROW(),$D$6)&amp;""))</f>
        <v/>
      </c>
      <c r="AY1759" s="31">
        <f>IF($AU1759="","",INDEX($AW$8:$AW$2007,MATCH($AU1759,$AU$8:$AU$2007,0)))</f>
        <v/>
      </c>
      <c r="AZ1759" s="31">
        <f>IF(OR($AS1759="",$C$6=""),"",TRIM(INDEX($A:$AP,ROW(),$C$6)&amp;""))</f>
        <v/>
      </c>
      <c r="BA1759" s="31">
        <f>IF($AZ1759="","",IF(COUNTIF($AZ$8:$AZ1759,$AZ1759)&gt;1,1,0))</f>
        <v/>
      </c>
    </row>
    <row r="1760">
      <c r="AR1760" s="31">
        <f>IF(OR($A$5="",$B$6="",ROW()&lt;$A$5),"",IF(INDEX($A:$AP,ROW(),$B$6)="","",INDEX($A:$AP,ROW(),$B$6)))</f>
        <v/>
      </c>
      <c r="AS1760" s="32">
        <f>IF($AR1760="","",IF(ISNUMBER($AR1760),IF($AR1760&gt;=10000000,IFERROR(DATE(INT($AR1760/10000),MOD(INT($AR1760/100),100),MOD($AR1760,100)),""),INT($AR1760)),IFERROR(DATE(--LEFT(LEFT(SUBSTITUTE(SUBSTITUTE(SUBSTITUTE(SUBSTITUTE(TRIM($AR1760),"-",""),".",""),"/","")," ",""),8),4),--MID(LEFT(SUBSTITUTE(SUBSTITUTE(SUBSTITUTE(SUBSTITUTE(TRIM($AR1760),"-",""),".",""),"/","")," ",""),8),5,2),--MID(LEFT(SUBSTITUTE(SUBSTITUTE(SUBSTITUTE(SUBSTITUTE(TRIM($AR1760),"-",""),".",""),"/","")," ",""),8),7,2)),"")))</f>
        <v/>
      </c>
      <c r="AT1760" s="33">
        <f>IF($AS1760="","",IF($F$6="",0,IF(ISNUMBER(INDEX($A:$AP,ROW(),$F$6)),INDEX($A:$AP,ROW(),$F$6),IFERROR(--SUBSTITUTE(SUBSTITUTE(TRIM(INDEX($A:$AP,ROW(),$F$6)),",",""),"원",""),0))))</f>
        <v/>
      </c>
      <c r="AU1760" s="31">
        <f>IF($AS1760="","",IF($AX1760&lt;&gt;"",SUBSTITUTE(SUBSTITUTE($AX1760,"-","")," ",""),"N:"&amp;$AV1760))</f>
        <v/>
      </c>
      <c r="AV1760" s="31">
        <f>IF(OR($AS1760="",$E$6=""),"",TRIM(INDEX($A:$AP,ROW(),$E$6)&amp;""))</f>
        <v/>
      </c>
      <c r="AW1760" s="31">
        <f>IF($AU1760="","",IF(MATCH($AU1760,$AU$8:$AU$2007,0)=ROW()-7,MAX($AW$7:$AW1759)+1,""))</f>
        <v/>
      </c>
      <c r="AX1760" s="31">
        <f>IF(OR($AS1760="",$D$6=""),"",TRIM(INDEX($A:$AP,ROW(),$D$6)&amp;""))</f>
        <v/>
      </c>
      <c r="AY1760" s="31">
        <f>IF($AU1760="","",INDEX($AW$8:$AW$2007,MATCH($AU1760,$AU$8:$AU$2007,0)))</f>
        <v/>
      </c>
      <c r="AZ1760" s="31">
        <f>IF(OR($AS1760="",$C$6=""),"",TRIM(INDEX($A:$AP,ROW(),$C$6)&amp;""))</f>
        <v/>
      </c>
      <c r="BA1760" s="31">
        <f>IF($AZ1760="","",IF(COUNTIF($AZ$8:$AZ1760,$AZ1760)&gt;1,1,0))</f>
        <v/>
      </c>
    </row>
    <row r="1761">
      <c r="AR1761" s="31">
        <f>IF(OR($A$5="",$B$6="",ROW()&lt;$A$5),"",IF(INDEX($A:$AP,ROW(),$B$6)="","",INDEX($A:$AP,ROW(),$B$6)))</f>
        <v/>
      </c>
      <c r="AS1761" s="32">
        <f>IF($AR1761="","",IF(ISNUMBER($AR1761),IF($AR1761&gt;=10000000,IFERROR(DATE(INT($AR1761/10000),MOD(INT($AR1761/100),100),MOD($AR1761,100)),""),INT($AR1761)),IFERROR(DATE(--LEFT(LEFT(SUBSTITUTE(SUBSTITUTE(SUBSTITUTE(SUBSTITUTE(TRIM($AR1761),"-",""),".",""),"/","")," ",""),8),4),--MID(LEFT(SUBSTITUTE(SUBSTITUTE(SUBSTITUTE(SUBSTITUTE(TRIM($AR1761),"-",""),".",""),"/","")," ",""),8),5,2),--MID(LEFT(SUBSTITUTE(SUBSTITUTE(SUBSTITUTE(SUBSTITUTE(TRIM($AR1761),"-",""),".",""),"/","")," ",""),8),7,2)),"")))</f>
        <v/>
      </c>
      <c r="AT1761" s="33">
        <f>IF($AS1761="","",IF($F$6="",0,IF(ISNUMBER(INDEX($A:$AP,ROW(),$F$6)),INDEX($A:$AP,ROW(),$F$6),IFERROR(--SUBSTITUTE(SUBSTITUTE(TRIM(INDEX($A:$AP,ROW(),$F$6)),",",""),"원",""),0))))</f>
        <v/>
      </c>
      <c r="AU1761" s="31">
        <f>IF($AS1761="","",IF($AX1761&lt;&gt;"",SUBSTITUTE(SUBSTITUTE($AX1761,"-","")," ",""),"N:"&amp;$AV1761))</f>
        <v/>
      </c>
      <c r="AV1761" s="31">
        <f>IF(OR($AS1761="",$E$6=""),"",TRIM(INDEX($A:$AP,ROW(),$E$6)&amp;""))</f>
        <v/>
      </c>
      <c r="AW1761" s="31">
        <f>IF($AU1761="","",IF(MATCH($AU1761,$AU$8:$AU$2007,0)=ROW()-7,MAX($AW$7:$AW1760)+1,""))</f>
        <v/>
      </c>
      <c r="AX1761" s="31">
        <f>IF(OR($AS1761="",$D$6=""),"",TRIM(INDEX($A:$AP,ROW(),$D$6)&amp;""))</f>
        <v/>
      </c>
      <c r="AY1761" s="31">
        <f>IF($AU1761="","",INDEX($AW$8:$AW$2007,MATCH($AU1761,$AU$8:$AU$2007,0)))</f>
        <v/>
      </c>
      <c r="AZ1761" s="31">
        <f>IF(OR($AS1761="",$C$6=""),"",TRIM(INDEX($A:$AP,ROW(),$C$6)&amp;""))</f>
        <v/>
      </c>
      <c r="BA1761" s="31">
        <f>IF($AZ1761="","",IF(COUNTIF($AZ$8:$AZ1761,$AZ1761)&gt;1,1,0))</f>
        <v/>
      </c>
    </row>
    <row r="1762">
      <c r="AR1762" s="31">
        <f>IF(OR($A$5="",$B$6="",ROW()&lt;$A$5),"",IF(INDEX($A:$AP,ROW(),$B$6)="","",INDEX($A:$AP,ROW(),$B$6)))</f>
        <v/>
      </c>
      <c r="AS1762" s="32">
        <f>IF($AR1762="","",IF(ISNUMBER($AR1762),IF($AR1762&gt;=10000000,IFERROR(DATE(INT($AR1762/10000),MOD(INT($AR1762/100),100),MOD($AR1762,100)),""),INT($AR1762)),IFERROR(DATE(--LEFT(LEFT(SUBSTITUTE(SUBSTITUTE(SUBSTITUTE(SUBSTITUTE(TRIM($AR1762),"-",""),".",""),"/","")," ",""),8),4),--MID(LEFT(SUBSTITUTE(SUBSTITUTE(SUBSTITUTE(SUBSTITUTE(TRIM($AR1762),"-",""),".",""),"/","")," ",""),8),5,2),--MID(LEFT(SUBSTITUTE(SUBSTITUTE(SUBSTITUTE(SUBSTITUTE(TRIM($AR1762),"-",""),".",""),"/","")," ",""),8),7,2)),"")))</f>
        <v/>
      </c>
      <c r="AT1762" s="33">
        <f>IF($AS1762="","",IF($F$6="",0,IF(ISNUMBER(INDEX($A:$AP,ROW(),$F$6)),INDEX($A:$AP,ROW(),$F$6),IFERROR(--SUBSTITUTE(SUBSTITUTE(TRIM(INDEX($A:$AP,ROW(),$F$6)),",",""),"원",""),0))))</f>
        <v/>
      </c>
      <c r="AU1762" s="31">
        <f>IF($AS1762="","",IF($AX1762&lt;&gt;"",SUBSTITUTE(SUBSTITUTE($AX1762,"-","")," ",""),"N:"&amp;$AV1762))</f>
        <v/>
      </c>
      <c r="AV1762" s="31">
        <f>IF(OR($AS1762="",$E$6=""),"",TRIM(INDEX($A:$AP,ROW(),$E$6)&amp;""))</f>
        <v/>
      </c>
      <c r="AW1762" s="31">
        <f>IF($AU1762="","",IF(MATCH($AU1762,$AU$8:$AU$2007,0)=ROW()-7,MAX($AW$7:$AW1761)+1,""))</f>
        <v/>
      </c>
      <c r="AX1762" s="31">
        <f>IF(OR($AS1762="",$D$6=""),"",TRIM(INDEX($A:$AP,ROW(),$D$6)&amp;""))</f>
        <v/>
      </c>
      <c r="AY1762" s="31">
        <f>IF($AU1762="","",INDEX($AW$8:$AW$2007,MATCH($AU1762,$AU$8:$AU$2007,0)))</f>
        <v/>
      </c>
      <c r="AZ1762" s="31">
        <f>IF(OR($AS1762="",$C$6=""),"",TRIM(INDEX($A:$AP,ROW(),$C$6)&amp;""))</f>
        <v/>
      </c>
      <c r="BA1762" s="31">
        <f>IF($AZ1762="","",IF(COUNTIF($AZ$8:$AZ1762,$AZ1762)&gt;1,1,0))</f>
        <v/>
      </c>
    </row>
    <row r="1763">
      <c r="AR1763" s="31">
        <f>IF(OR($A$5="",$B$6="",ROW()&lt;$A$5),"",IF(INDEX($A:$AP,ROW(),$B$6)="","",INDEX($A:$AP,ROW(),$B$6)))</f>
        <v/>
      </c>
      <c r="AS1763" s="32">
        <f>IF($AR1763="","",IF(ISNUMBER($AR1763),IF($AR1763&gt;=10000000,IFERROR(DATE(INT($AR1763/10000),MOD(INT($AR1763/100),100),MOD($AR1763,100)),""),INT($AR1763)),IFERROR(DATE(--LEFT(LEFT(SUBSTITUTE(SUBSTITUTE(SUBSTITUTE(SUBSTITUTE(TRIM($AR1763),"-",""),".",""),"/","")," ",""),8),4),--MID(LEFT(SUBSTITUTE(SUBSTITUTE(SUBSTITUTE(SUBSTITUTE(TRIM($AR1763),"-",""),".",""),"/","")," ",""),8),5,2),--MID(LEFT(SUBSTITUTE(SUBSTITUTE(SUBSTITUTE(SUBSTITUTE(TRIM($AR1763),"-",""),".",""),"/","")," ",""),8),7,2)),"")))</f>
        <v/>
      </c>
      <c r="AT1763" s="33">
        <f>IF($AS1763="","",IF($F$6="",0,IF(ISNUMBER(INDEX($A:$AP,ROW(),$F$6)),INDEX($A:$AP,ROW(),$F$6),IFERROR(--SUBSTITUTE(SUBSTITUTE(TRIM(INDEX($A:$AP,ROW(),$F$6)),",",""),"원",""),0))))</f>
        <v/>
      </c>
      <c r="AU1763" s="31">
        <f>IF($AS1763="","",IF($AX1763&lt;&gt;"",SUBSTITUTE(SUBSTITUTE($AX1763,"-","")," ",""),"N:"&amp;$AV1763))</f>
        <v/>
      </c>
      <c r="AV1763" s="31">
        <f>IF(OR($AS1763="",$E$6=""),"",TRIM(INDEX($A:$AP,ROW(),$E$6)&amp;""))</f>
        <v/>
      </c>
      <c r="AW1763" s="31">
        <f>IF($AU1763="","",IF(MATCH($AU1763,$AU$8:$AU$2007,0)=ROW()-7,MAX($AW$7:$AW1762)+1,""))</f>
        <v/>
      </c>
      <c r="AX1763" s="31">
        <f>IF(OR($AS1763="",$D$6=""),"",TRIM(INDEX($A:$AP,ROW(),$D$6)&amp;""))</f>
        <v/>
      </c>
      <c r="AY1763" s="31">
        <f>IF($AU1763="","",INDEX($AW$8:$AW$2007,MATCH($AU1763,$AU$8:$AU$2007,0)))</f>
        <v/>
      </c>
      <c r="AZ1763" s="31">
        <f>IF(OR($AS1763="",$C$6=""),"",TRIM(INDEX($A:$AP,ROW(),$C$6)&amp;""))</f>
        <v/>
      </c>
      <c r="BA1763" s="31">
        <f>IF($AZ1763="","",IF(COUNTIF($AZ$8:$AZ1763,$AZ1763)&gt;1,1,0))</f>
        <v/>
      </c>
    </row>
    <row r="1764">
      <c r="AR1764" s="31">
        <f>IF(OR($A$5="",$B$6="",ROW()&lt;$A$5),"",IF(INDEX($A:$AP,ROW(),$B$6)="","",INDEX($A:$AP,ROW(),$B$6)))</f>
        <v/>
      </c>
      <c r="AS1764" s="32">
        <f>IF($AR1764="","",IF(ISNUMBER($AR1764),IF($AR1764&gt;=10000000,IFERROR(DATE(INT($AR1764/10000),MOD(INT($AR1764/100),100),MOD($AR1764,100)),""),INT($AR1764)),IFERROR(DATE(--LEFT(LEFT(SUBSTITUTE(SUBSTITUTE(SUBSTITUTE(SUBSTITUTE(TRIM($AR1764),"-",""),".",""),"/","")," ",""),8),4),--MID(LEFT(SUBSTITUTE(SUBSTITUTE(SUBSTITUTE(SUBSTITUTE(TRIM($AR1764),"-",""),".",""),"/","")," ",""),8),5,2),--MID(LEFT(SUBSTITUTE(SUBSTITUTE(SUBSTITUTE(SUBSTITUTE(TRIM($AR1764),"-",""),".",""),"/","")," ",""),8),7,2)),"")))</f>
        <v/>
      </c>
      <c r="AT1764" s="33">
        <f>IF($AS1764="","",IF($F$6="",0,IF(ISNUMBER(INDEX($A:$AP,ROW(),$F$6)),INDEX($A:$AP,ROW(),$F$6),IFERROR(--SUBSTITUTE(SUBSTITUTE(TRIM(INDEX($A:$AP,ROW(),$F$6)),",",""),"원",""),0))))</f>
        <v/>
      </c>
      <c r="AU1764" s="31">
        <f>IF($AS1764="","",IF($AX1764&lt;&gt;"",SUBSTITUTE(SUBSTITUTE($AX1764,"-","")," ",""),"N:"&amp;$AV1764))</f>
        <v/>
      </c>
      <c r="AV1764" s="31">
        <f>IF(OR($AS1764="",$E$6=""),"",TRIM(INDEX($A:$AP,ROW(),$E$6)&amp;""))</f>
        <v/>
      </c>
      <c r="AW1764" s="31">
        <f>IF($AU1764="","",IF(MATCH($AU1764,$AU$8:$AU$2007,0)=ROW()-7,MAX($AW$7:$AW1763)+1,""))</f>
        <v/>
      </c>
      <c r="AX1764" s="31">
        <f>IF(OR($AS1764="",$D$6=""),"",TRIM(INDEX($A:$AP,ROW(),$D$6)&amp;""))</f>
        <v/>
      </c>
      <c r="AY1764" s="31">
        <f>IF($AU1764="","",INDEX($AW$8:$AW$2007,MATCH($AU1764,$AU$8:$AU$2007,0)))</f>
        <v/>
      </c>
      <c r="AZ1764" s="31">
        <f>IF(OR($AS1764="",$C$6=""),"",TRIM(INDEX($A:$AP,ROW(),$C$6)&amp;""))</f>
        <v/>
      </c>
      <c r="BA1764" s="31">
        <f>IF($AZ1764="","",IF(COUNTIF($AZ$8:$AZ1764,$AZ1764)&gt;1,1,0))</f>
        <v/>
      </c>
    </row>
    <row r="1765">
      <c r="AR1765" s="31">
        <f>IF(OR($A$5="",$B$6="",ROW()&lt;$A$5),"",IF(INDEX($A:$AP,ROW(),$B$6)="","",INDEX($A:$AP,ROW(),$B$6)))</f>
        <v/>
      </c>
      <c r="AS1765" s="32">
        <f>IF($AR1765="","",IF(ISNUMBER($AR1765),IF($AR1765&gt;=10000000,IFERROR(DATE(INT($AR1765/10000),MOD(INT($AR1765/100),100),MOD($AR1765,100)),""),INT($AR1765)),IFERROR(DATE(--LEFT(LEFT(SUBSTITUTE(SUBSTITUTE(SUBSTITUTE(SUBSTITUTE(TRIM($AR1765),"-",""),".",""),"/","")," ",""),8),4),--MID(LEFT(SUBSTITUTE(SUBSTITUTE(SUBSTITUTE(SUBSTITUTE(TRIM($AR1765),"-",""),".",""),"/","")," ",""),8),5,2),--MID(LEFT(SUBSTITUTE(SUBSTITUTE(SUBSTITUTE(SUBSTITUTE(TRIM($AR1765),"-",""),".",""),"/","")," ",""),8),7,2)),"")))</f>
        <v/>
      </c>
      <c r="AT1765" s="33">
        <f>IF($AS1765="","",IF($F$6="",0,IF(ISNUMBER(INDEX($A:$AP,ROW(),$F$6)),INDEX($A:$AP,ROW(),$F$6),IFERROR(--SUBSTITUTE(SUBSTITUTE(TRIM(INDEX($A:$AP,ROW(),$F$6)),",",""),"원",""),0))))</f>
        <v/>
      </c>
      <c r="AU1765" s="31">
        <f>IF($AS1765="","",IF($AX1765&lt;&gt;"",SUBSTITUTE(SUBSTITUTE($AX1765,"-","")," ",""),"N:"&amp;$AV1765))</f>
        <v/>
      </c>
      <c r="AV1765" s="31">
        <f>IF(OR($AS1765="",$E$6=""),"",TRIM(INDEX($A:$AP,ROW(),$E$6)&amp;""))</f>
        <v/>
      </c>
      <c r="AW1765" s="31">
        <f>IF($AU1765="","",IF(MATCH($AU1765,$AU$8:$AU$2007,0)=ROW()-7,MAX($AW$7:$AW1764)+1,""))</f>
        <v/>
      </c>
      <c r="AX1765" s="31">
        <f>IF(OR($AS1765="",$D$6=""),"",TRIM(INDEX($A:$AP,ROW(),$D$6)&amp;""))</f>
        <v/>
      </c>
      <c r="AY1765" s="31">
        <f>IF($AU1765="","",INDEX($AW$8:$AW$2007,MATCH($AU1765,$AU$8:$AU$2007,0)))</f>
        <v/>
      </c>
      <c r="AZ1765" s="31">
        <f>IF(OR($AS1765="",$C$6=""),"",TRIM(INDEX($A:$AP,ROW(),$C$6)&amp;""))</f>
        <v/>
      </c>
      <c r="BA1765" s="31">
        <f>IF($AZ1765="","",IF(COUNTIF($AZ$8:$AZ1765,$AZ1765)&gt;1,1,0))</f>
        <v/>
      </c>
    </row>
    <row r="1766">
      <c r="AR1766" s="31">
        <f>IF(OR($A$5="",$B$6="",ROW()&lt;$A$5),"",IF(INDEX($A:$AP,ROW(),$B$6)="","",INDEX($A:$AP,ROW(),$B$6)))</f>
        <v/>
      </c>
      <c r="AS1766" s="32">
        <f>IF($AR1766="","",IF(ISNUMBER($AR1766),IF($AR1766&gt;=10000000,IFERROR(DATE(INT($AR1766/10000),MOD(INT($AR1766/100),100),MOD($AR1766,100)),""),INT($AR1766)),IFERROR(DATE(--LEFT(LEFT(SUBSTITUTE(SUBSTITUTE(SUBSTITUTE(SUBSTITUTE(TRIM($AR1766),"-",""),".",""),"/","")," ",""),8),4),--MID(LEFT(SUBSTITUTE(SUBSTITUTE(SUBSTITUTE(SUBSTITUTE(TRIM($AR1766),"-",""),".",""),"/","")," ",""),8),5,2),--MID(LEFT(SUBSTITUTE(SUBSTITUTE(SUBSTITUTE(SUBSTITUTE(TRIM($AR1766),"-",""),".",""),"/","")," ",""),8),7,2)),"")))</f>
        <v/>
      </c>
      <c r="AT1766" s="33">
        <f>IF($AS1766="","",IF($F$6="",0,IF(ISNUMBER(INDEX($A:$AP,ROW(),$F$6)),INDEX($A:$AP,ROW(),$F$6),IFERROR(--SUBSTITUTE(SUBSTITUTE(TRIM(INDEX($A:$AP,ROW(),$F$6)),",",""),"원",""),0))))</f>
        <v/>
      </c>
      <c r="AU1766" s="31">
        <f>IF($AS1766="","",IF($AX1766&lt;&gt;"",SUBSTITUTE(SUBSTITUTE($AX1766,"-","")," ",""),"N:"&amp;$AV1766))</f>
        <v/>
      </c>
      <c r="AV1766" s="31">
        <f>IF(OR($AS1766="",$E$6=""),"",TRIM(INDEX($A:$AP,ROW(),$E$6)&amp;""))</f>
        <v/>
      </c>
      <c r="AW1766" s="31">
        <f>IF($AU1766="","",IF(MATCH($AU1766,$AU$8:$AU$2007,0)=ROW()-7,MAX($AW$7:$AW1765)+1,""))</f>
        <v/>
      </c>
      <c r="AX1766" s="31">
        <f>IF(OR($AS1766="",$D$6=""),"",TRIM(INDEX($A:$AP,ROW(),$D$6)&amp;""))</f>
        <v/>
      </c>
      <c r="AY1766" s="31">
        <f>IF($AU1766="","",INDEX($AW$8:$AW$2007,MATCH($AU1766,$AU$8:$AU$2007,0)))</f>
        <v/>
      </c>
      <c r="AZ1766" s="31">
        <f>IF(OR($AS1766="",$C$6=""),"",TRIM(INDEX($A:$AP,ROW(),$C$6)&amp;""))</f>
        <v/>
      </c>
      <c r="BA1766" s="31">
        <f>IF($AZ1766="","",IF(COUNTIF($AZ$8:$AZ1766,$AZ1766)&gt;1,1,0))</f>
        <v/>
      </c>
    </row>
    <row r="1767">
      <c r="AR1767" s="31">
        <f>IF(OR($A$5="",$B$6="",ROW()&lt;$A$5),"",IF(INDEX($A:$AP,ROW(),$B$6)="","",INDEX($A:$AP,ROW(),$B$6)))</f>
        <v/>
      </c>
      <c r="AS1767" s="32">
        <f>IF($AR1767="","",IF(ISNUMBER($AR1767),IF($AR1767&gt;=10000000,IFERROR(DATE(INT($AR1767/10000),MOD(INT($AR1767/100),100),MOD($AR1767,100)),""),INT($AR1767)),IFERROR(DATE(--LEFT(LEFT(SUBSTITUTE(SUBSTITUTE(SUBSTITUTE(SUBSTITUTE(TRIM($AR1767),"-",""),".",""),"/","")," ",""),8),4),--MID(LEFT(SUBSTITUTE(SUBSTITUTE(SUBSTITUTE(SUBSTITUTE(TRIM($AR1767),"-",""),".",""),"/","")," ",""),8),5,2),--MID(LEFT(SUBSTITUTE(SUBSTITUTE(SUBSTITUTE(SUBSTITUTE(TRIM($AR1767),"-",""),".",""),"/","")," ",""),8),7,2)),"")))</f>
        <v/>
      </c>
      <c r="AT1767" s="33">
        <f>IF($AS1767="","",IF($F$6="",0,IF(ISNUMBER(INDEX($A:$AP,ROW(),$F$6)),INDEX($A:$AP,ROW(),$F$6),IFERROR(--SUBSTITUTE(SUBSTITUTE(TRIM(INDEX($A:$AP,ROW(),$F$6)),",",""),"원",""),0))))</f>
        <v/>
      </c>
      <c r="AU1767" s="31">
        <f>IF($AS1767="","",IF($AX1767&lt;&gt;"",SUBSTITUTE(SUBSTITUTE($AX1767,"-","")," ",""),"N:"&amp;$AV1767))</f>
        <v/>
      </c>
      <c r="AV1767" s="31">
        <f>IF(OR($AS1767="",$E$6=""),"",TRIM(INDEX($A:$AP,ROW(),$E$6)&amp;""))</f>
        <v/>
      </c>
      <c r="AW1767" s="31">
        <f>IF($AU1767="","",IF(MATCH($AU1767,$AU$8:$AU$2007,0)=ROW()-7,MAX($AW$7:$AW1766)+1,""))</f>
        <v/>
      </c>
      <c r="AX1767" s="31">
        <f>IF(OR($AS1767="",$D$6=""),"",TRIM(INDEX($A:$AP,ROW(),$D$6)&amp;""))</f>
        <v/>
      </c>
      <c r="AY1767" s="31">
        <f>IF($AU1767="","",INDEX($AW$8:$AW$2007,MATCH($AU1767,$AU$8:$AU$2007,0)))</f>
        <v/>
      </c>
      <c r="AZ1767" s="31">
        <f>IF(OR($AS1767="",$C$6=""),"",TRIM(INDEX($A:$AP,ROW(),$C$6)&amp;""))</f>
        <v/>
      </c>
      <c r="BA1767" s="31">
        <f>IF($AZ1767="","",IF(COUNTIF($AZ$8:$AZ1767,$AZ1767)&gt;1,1,0))</f>
        <v/>
      </c>
    </row>
    <row r="1768">
      <c r="AR1768" s="31">
        <f>IF(OR($A$5="",$B$6="",ROW()&lt;$A$5),"",IF(INDEX($A:$AP,ROW(),$B$6)="","",INDEX($A:$AP,ROW(),$B$6)))</f>
        <v/>
      </c>
      <c r="AS1768" s="32">
        <f>IF($AR1768="","",IF(ISNUMBER($AR1768),IF($AR1768&gt;=10000000,IFERROR(DATE(INT($AR1768/10000),MOD(INT($AR1768/100),100),MOD($AR1768,100)),""),INT($AR1768)),IFERROR(DATE(--LEFT(LEFT(SUBSTITUTE(SUBSTITUTE(SUBSTITUTE(SUBSTITUTE(TRIM($AR1768),"-",""),".",""),"/","")," ",""),8),4),--MID(LEFT(SUBSTITUTE(SUBSTITUTE(SUBSTITUTE(SUBSTITUTE(TRIM($AR1768),"-",""),".",""),"/","")," ",""),8),5,2),--MID(LEFT(SUBSTITUTE(SUBSTITUTE(SUBSTITUTE(SUBSTITUTE(TRIM($AR1768),"-",""),".",""),"/","")," ",""),8),7,2)),"")))</f>
        <v/>
      </c>
      <c r="AT1768" s="33">
        <f>IF($AS1768="","",IF($F$6="",0,IF(ISNUMBER(INDEX($A:$AP,ROW(),$F$6)),INDEX($A:$AP,ROW(),$F$6),IFERROR(--SUBSTITUTE(SUBSTITUTE(TRIM(INDEX($A:$AP,ROW(),$F$6)),",",""),"원",""),0))))</f>
        <v/>
      </c>
      <c r="AU1768" s="31">
        <f>IF($AS1768="","",IF($AX1768&lt;&gt;"",SUBSTITUTE(SUBSTITUTE($AX1768,"-","")," ",""),"N:"&amp;$AV1768))</f>
        <v/>
      </c>
      <c r="AV1768" s="31">
        <f>IF(OR($AS1768="",$E$6=""),"",TRIM(INDEX($A:$AP,ROW(),$E$6)&amp;""))</f>
        <v/>
      </c>
      <c r="AW1768" s="31">
        <f>IF($AU1768="","",IF(MATCH($AU1768,$AU$8:$AU$2007,0)=ROW()-7,MAX($AW$7:$AW1767)+1,""))</f>
        <v/>
      </c>
      <c r="AX1768" s="31">
        <f>IF(OR($AS1768="",$D$6=""),"",TRIM(INDEX($A:$AP,ROW(),$D$6)&amp;""))</f>
        <v/>
      </c>
      <c r="AY1768" s="31">
        <f>IF($AU1768="","",INDEX($AW$8:$AW$2007,MATCH($AU1768,$AU$8:$AU$2007,0)))</f>
        <v/>
      </c>
      <c r="AZ1768" s="31">
        <f>IF(OR($AS1768="",$C$6=""),"",TRIM(INDEX($A:$AP,ROW(),$C$6)&amp;""))</f>
        <v/>
      </c>
      <c r="BA1768" s="31">
        <f>IF($AZ1768="","",IF(COUNTIF($AZ$8:$AZ1768,$AZ1768)&gt;1,1,0))</f>
        <v/>
      </c>
    </row>
    <row r="1769">
      <c r="AR1769" s="31">
        <f>IF(OR($A$5="",$B$6="",ROW()&lt;$A$5),"",IF(INDEX($A:$AP,ROW(),$B$6)="","",INDEX($A:$AP,ROW(),$B$6)))</f>
        <v/>
      </c>
      <c r="AS1769" s="32">
        <f>IF($AR1769="","",IF(ISNUMBER($AR1769),IF($AR1769&gt;=10000000,IFERROR(DATE(INT($AR1769/10000),MOD(INT($AR1769/100),100),MOD($AR1769,100)),""),INT($AR1769)),IFERROR(DATE(--LEFT(LEFT(SUBSTITUTE(SUBSTITUTE(SUBSTITUTE(SUBSTITUTE(TRIM($AR1769),"-",""),".",""),"/","")," ",""),8),4),--MID(LEFT(SUBSTITUTE(SUBSTITUTE(SUBSTITUTE(SUBSTITUTE(TRIM($AR1769),"-",""),".",""),"/","")," ",""),8),5,2),--MID(LEFT(SUBSTITUTE(SUBSTITUTE(SUBSTITUTE(SUBSTITUTE(TRIM($AR1769),"-",""),".",""),"/","")," ",""),8),7,2)),"")))</f>
        <v/>
      </c>
      <c r="AT1769" s="33">
        <f>IF($AS1769="","",IF($F$6="",0,IF(ISNUMBER(INDEX($A:$AP,ROW(),$F$6)),INDEX($A:$AP,ROW(),$F$6),IFERROR(--SUBSTITUTE(SUBSTITUTE(TRIM(INDEX($A:$AP,ROW(),$F$6)),",",""),"원",""),0))))</f>
        <v/>
      </c>
      <c r="AU1769" s="31">
        <f>IF($AS1769="","",IF($AX1769&lt;&gt;"",SUBSTITUTE(SUBSTITUTE($AX1769,"-","")," ",""),"N:"&amp;$AV1769))</f>
        <v/>
      </c>
      <c r="AV1769" s="31">
        <f>IF(OR($AS1769="",$E$6=""),"",TRIM(INDEX($A:$AP,ROW(),$E$6)&amp;""))</f>
        <v/>
      </c>
      <c r="AW1769" s="31">
        <f>IF($AU1769="","",IF(MATCH($AU1769,$AU$8:$AU$2007,0)=ROW()-7,MAX($AW$7:$AW1768)+1,""))</f>
        <v/>
      </c>
      <c r="AX1769" s="31">
        <f>IF(OR($AS1769="",$D$6=""),"",TRIM(INDEX($A:$AP,ROW(),$D$6)&amp;""))</f>
        <v/>
      </c>
      <c r="AY1769" s="31">
        <f>IF($AU1769="","",INDEX($AW$8:$AW$2007,MATCH($AU1769,$AU$8:$AU$2007,0)))</f>
        <v/>
      </c>
      <c r="AZ1769" s="31">
        <f>IF(OR($AS1769="",$C$6=""),"",TRIM(INDEX($A:$AP,ROW(),$C$6)&amp;""))</f>
        <v/>
      </c>
      <c r="BA1769" s="31">
        <f>IF($AZ1769="","",IF(COUNTIF($AZ$8:$AZ1769,$AZ1769)&gt;1,1,0))</f>
        <v/>
      </c>
    </row>
    <row r="1770">
      <c r="AR1770" s="31">
        <f>IF(OR($A$5="",$B$6="",ROW()&lt;$A$5),"",IF(INDEX($A:$AP,ROW(),$B$6)="","",INDEX($A:$AP,ROW(),$B$6)))</f>
        <v/>
      </c>
      <c r="AS1770" s="32">
        <f>IF($AR1770="","",IF(ISNUMBER($AR1770),IF($AR1770&gt;=10000000,IFERROR(DATE(INT($AR1770/10000),MOD(INT($AR1770/100),100),MOD($AR1770,100)),""),INT($AR1770)),IFERROR(DATE(--LEFT(LEFT(SUBSTITUTE(SUBSTITUTE(SUBSTITUTE(SUBSTITUTE(TRIM($AR1770),"-",""),".",""),"/","")," ",""),8),4),--MID(LEFT(SUBSTITUTE(SUBSTITUTE(SUBSTITUTE(SUBSTITUTE(TRIM($AR1770),"-",""),".",""),"/","")," ",""),8),5,2),--MID(LEFT(SUBSTITUTE(SUBSTITUTE(SUBSTITUTE(SUBSTITUTE(TRIM($AR1770),"-",""),".",""),"/","")," ",""),8),7,2)),"")))</f>
        <v/>
      </c>
      <c r="AT1770" s="33">
        <f>IF($AS1770="","",IF($F$6="",0,IF(ISNUMBER(INDEX($A:$AP,ROW(),$F$6)),INDEX($A:$AP,ROW(),$F$6),IFERROR(--SUBSTITUTE(SUBSTITUTE(TRIM(INDEX($A:$AP,ROW(),$F$6)),",",""),"원",""),0))))</f>
        <v/>
      </c>
      <c r="AU1770" s="31">
        <f>IF($AS1770="","",IF($AX1770&lt;&gt;"",SUBSTITUTE(SUBSTITUTE($AX1770,"-","")," ",""),"N:"&amp;$AV1770))</f>
        <v/>
      </c>
      <c r="AV1770" s="31">
        <f>IF(OR($AS1770="",$E$6=""),"",TRIM(INDEX($A:$AP,ROW(),$E$6)&amp;""))</f>
        <v/>
      </c>
      <c r="AW1770" s="31">
        <f>IF($AU1770="","",IF(MATCH($AU1770,$AU$8:$AU$2007,0)=ROW()-7,MAX($AW$7:$AW1769)+1,""))</f>
        <v/>
      </c>
      <c r="AX1770" s="31">
        <f>IF(OR($AS1770="",$D$6=""),"",TRIM(INDEX($A:$AP,ROW(),$D$6)&amp;""))</f>
        <v/>
      </c>
      <c r="AY1770" s="31">
        <f>IF($AU1770="","",INDEX($AW$8:$AW$2007,MATCH($AU1770,$AU$8:$AU$2007,0)))</f>
        <v/>
      </c>
      <c r="AZ1770" s="31">
        <f>IF(OR($AS1770="",$C$6=""),"",TRIM(INDEX($A:$AP,ROW(),$C$6)&amp;""))</f>
        <v/>
      </c>
      <c r="BA1770" s="31">
        <f>IF($AZ1770="","",IF(COUNTIF($AZ$8:$AZ1770,$AZ1770)&gt;1,1,0))</f>
        <v/>
      </c>
    </row>
    <row r="1771">
      <c r="AR1771" s="31">
        <f>IF(OR($A$5="",$B$6="",ROW()&lt;$A$5),"",IF(INDEX($A:$AP,ROW(),$B$6)="","",INDEX($A:$AP,ROW(),$B$6)))</f>
        <v/>
      </c>
      <c r="AS1771" s="32">
        <f>IF($AR1771="","",IF(ISNUMBER($AR1771),IF($AR1771&gt;=10000000,IFERROR(DATE(INT($AR1771/10000),MOD(INT($AR1771/100),100),MOD($AR1771,100)),""),INT($AR1771)),IFERROR(DATE(--LEFT(LEFT(SUBSTITUTE(SUBSTITUTE(SUBSTITUTE(SUBSTITUTE(TRIM($AR1771),"-",""),".",""),"/","")," ",""),8),4),--MID(LEFT(SUBSTITUTE(SUBSTITUTE(SUBSTITUTE(SUBSTITUTE(TRIM($AR1771),"-",""),".",""),"/","")," ",""),8),5,2),--MID(LEFT(SUBSTITUTE(SUBSTITUTE(SUBSTITUTE(SUBSTITUTE(TRIM($AR1771),"-",""),".",""),"/","")," ",""),8),7,2)),"")))</f>
        <v/>
      </c>
      <c r="AT1771" s="33">
        <f>IF($AS1771="","",IF($F$6="",0,IF(ISNUMBER(INDEX($A:$AP,ROW(),$F$6)),INDEX($A:$AP,ROW(),$F$6),IFERROR(--SUBSTITUTE(SUBSTITUTE(TRIM(INDEX($A:$AP,ROW(),$F$6)),",",""),"원",""),0))))</f>
        <v/>
      </c>
      <c r="AU1771" s="31">
        <f>IF($AS1771="","",IF($AX1771&lt;&gt;"",SUBSTITUTE(SUBSTITUTE($AX1771,"-","")," ",""),"N:"&amp;$AV1771))</f>
        <v/>
      </c>
      <c r="AV1771" s="31">
        <f>IF(OR($AS1771="",$E$6=""),"",TRIM(INDEX($A:$AP,ROW(),$E$6)&amp;""))</f>
        <v/>
      </c>
      <c r="AW1771" s="31">
        <f>IF($AU1771="","",IF(MATCH($AU1771,$AU$8:$AU$2007,0)=ROW()-7,MAX($AW$7:$AW1770)+1,""))</f>
        <v/>
      </c>
      <c r="AX1771" s="31">
        <f>IF(OR($AS1771="",$D$6=""),"",TRIM(INDEX($A:$AP,ROW(),$D$6)&amp;""))</f>
        <v/>
      </c>
      <c r="AY1771" s="31">
        <f>IF($AU1771="","",INDEX($AW$8:$AW$2007,MATCH($AU1771,$AU$8:$AU$2007,0)))</f>
        <v/>
      </c>
      <c r="AZ1771" s="31">
        <f>IF(OR($AS1771="",$C$6=""),"",TRIM(INDEX($A:$AP,ROW(),$C$6)&amp;""))</f>
        <v/>
      </c>
      <c r="BA1771" s="31">
        <f>IF($AZ1771="","",IF(COUNTIF($AZ$8:$AZ1771,$AZ1771)&gt;1,1,0))</f>
        <v/>
      </c>
    </row>
    <row r="1772">
      <c r="AR1772" s="31">
        <f>IF(OR($A$5="",$B$6="",ROW()&lt;$A$5),"",IF(INDEX($A:$AP,ROW(),$B$6)="","",INDEX($A:$AP,ROW(),$B$6)))</f>
        <v/>
      </c>
      <c r="AS1772" s="32">
        <f>IF($AR1772="","",IF(ISNUMBER($AR1772),IF($AR1772&gt;=10000000,IFERROR(DATE(INT($AR1772/10000),MOD(INT($AR1772/100),100),MOD($AR1772,100)),""),INT($AR1772)),IFERROR(DATE(--LEFT(LEFT(SUBSTITUTE(SUBSTITUTE(SUBSTITUTE(SUBSTITUTE(TRIM($AR1772),"-",""),".",""),"/","")," ",""),8),4),--MID(LEFT(SUBSTITUTE(SUBSTITUTE(SUBSTITUTE(SUBSTITUTE(TRIM($AR1772),"-",""),".",""),"/","")," ",""),8),5,2),--MID(LEFT(SUBSTITUTE(SUBSTITUTE(SUBSTITUTE(SUBSTITUTE(TRIM($AR1772),"-",""),".",""),"/","")," ",""),8),7,2)),"")))</f>
        <v/>
      </c>
      <c r="AT1772" s="33">
        <f>IF($AS1772="","",IF($F$6="",0,IF(ISNUMBER(INDEX($A:$AP,ROW(),$F$6)),INDEX($A:$AP,ROW(),$F$6),IFERROR(--SUBSTITUTE(SUBSTITUTE(TRIM(INDEX($A:$AP,ROW(),$F$6)),",",""),"원",""),0))))</f>
        <v/>
      </c>
      <c r="AU1772" s="31">
        <f>IF($AS1772="","",IF($AX1772&lt;&gt;"",SUBSTITUTE(SUBSTITUTE($AX1772,"-","")," ",""),"N:"&amp;$AV1772))</f>
        <v/>
      </c>
      <c r="AV1772" s="31">
        <f>IF(OR($AS1772="",$E$6=""),"",TRIM(INDEX($A:$AP,ROW(),$E$6)&amp;""))</f>
        <v/>
      </c>
      <c r="AW1772" s="31">
        <f>IF($AU1772="","",IF(MATCH($AU1772,$AU$8:$AU$2007,0)=ROW()-7,MAX($AW$7:$AW1771)+1,""))</f>
        <v/>
      </c>
      <c r="AX1772" s="31">
        <f>IF(OR($AS1772="",$D$6=""),"",TRIM(INDEX($A:$AP,ROW(),$D$6)&amp;""))</f>
        <v/>
      </c>
      <c r="AY1772" s="31">
        <f>IF($AU1772="","",INDEX($AW$8:$AW$2007,MATCH($AU1772,$AU$8:$AU$2007,0)))</f>
        <v/>
      </c>
      <c r="AZ1772" s="31">
        <f>IF(OR($AS1772="",$C$6=""),"",TRIM(INDEX($A:$AP,ROW(),$C$6)&amp;""))</f>
        <v/>
      </c>
      <c r="BA1772" s="31">
        <f>IF($AZ1772="","",IF(COUNTIF($AZ$8:$AZ1772,$AZ1772)&gt;1,1,0))</f>
        <v/>
      </c>
    </row>
    <row r="1773">
      <c r="AR1773" s="31">
        <f>IF(OR($A$5="",$B$6="",ROW()&lt;$A$5),"",IF(INDEX($A:$AP,ROW(),$B$6)="","",INDEX($A:$AP,ROW(),$B$6)))</f>
        <v/>
      </c>
      <c r="AS1773" s="32">
        <f>IF($AR1773="","",IF(ISNUMBER($AR1773),IF($AR1773&gt;=10000000,IFERROR(DATE(INT($AR1773/10000),MOD(INT($AR1773/100),100),MOD($AR1773,100)),""),INT($AR1773)),IFERROR(DATE(--LEFT(LEFT(SUBSTITUTE(SUBSTITUTE(SUBSTITUTE(SUBSTITUTE(TRIM($AR1773),"-",""),".",""),"/","")," ",""),8),4),--MID(LEFT(SUBSTITUTE(SUBSTITUTE(SUBSTITUTE(SUBSTITUTE(TRIM($AR1773),"-",""),".",""),"/","")," ",""),8),5,2),--MID(LEFT(SUBSTITUTE(SUBSTITUTE(SUBSTITUTE(SUBSTITUTE(TRIM($AR1773),"-",""),".",""),"/","")," ",""),8),7,2)),"")))</f>
        <v/>
      </c>
      <c r="AT1773" s="33">
        <f>IF($AS1773="","",IF($F$6="",0,IF(ISNUMBER(INDEX($A:$AP,ROW(),$F$6)),INDEX($A:$AP,ROW(),$F$6),IFERROR(--SUBSTITUTE(SUBSTITUTE(TRIM(INDEX($A:$AP,ROW(),$F$6)),",",""),"원",""),0))))</f>
        <v/>
      </c>
      <c r="AU1773" s="31">
        <f>IF($AS1773="","",IF($AX1773&lt;&gt;"",SUBSTITUTE(SUBSTITUTE($AX1773,"-","")," ",""),"N:"&amp;$AV1773))</f>
        <v/>
      </c>
      <c r="AV1773" s="31">
        <f>IF(OR($AS1773="",$E$6=""),"",TRIM(INDEX($A:$AP,ROW(),$E$6)&amp;""))</f>
        <v/>
      </c>
      <c r="AW1773" s="31">
        <f>IF($AU1773="","",IF(MATCH($AU1773,$AU$8:$AU$2007,0)=ROW()-7,MAX($AW$7:$AW1772)+1,""))</f>
        <v/>
      </c>
      <c r="AX1773" s="31">
        <f>IF(OR($AS1773="",$D$6=""),"",TRIM(INDEX($A:$AP,ROW(),$D$6)&amp;""))</f>
        <v/>
      </c>
      <c r="AY1773" s="31">
        <f>IF($AU1773="","",INDEX($AW$8:$AW$2007,MATCH($AU1773,$AU$8:$AU$2007,0)))</f>
        <v/>
      </c>
      <c r="AZ1773" s="31">
        <f>IF(OR($AS1773="",$C$6=""),"",TRIM(INDEX($A:$AP,ROW(),$C$6)&amp;""))</f>
        <v/>
      </c>
      <c r="BA1773" s="31">
        <f>IF($AZ1773="","",IF(COUNTIF($AZ$8:$AZ1773,$AZ1773)&gt;1,1,0))</f>
        <v/>
      </c>
    </row>
    <row r="1774">
      <c r="AR1774" s="31">
        <f>IF(OR($A$5="",$B$6="",ROW()&lt;$A$5),"",IF(INDEX($A:$AP,ROW(),$B$6)="","",INDEX($A:$AP,ROW(),$B$6)))</f>
        <v/>
      </c>
      <c r="AS1774" s="32">
        <f>IF($AR1774="","",IF(ISNUMBER($AR1774),IF($AR1774&gt;=10000000,IFERROR(DATE(INT($AR1774/10000),MOD(INT($AR1774/100),100),MOD($AR1774,100)),""),INT($AR1774)),IFERROR(DATE(--LEFT(LEFT(SUBSTITUTE(SUBSTITUTE(SUBSTITUTE(SUBSTITUTE(TRIM($AR1774),"-",""),".",""),"/","")," ",""),8),4),--MID(LEFT(SUBSTITUTE(SUBSTITUTE(SUBSTITUTE(SUBSTITUTE(TRIM($AR1774),"-",""),".",""),"/","")," ",""),8),5,2),--MID(LEFT(SUBSTITUTE(SUBSTITUTE(SUBSTITUTE(SUBSTITUTE(TRIM($AR1774),"-",""),".",""),"/","")," ",""),8),7,2)),"")))</f>
        <v/>
      </c>
      <c r="AT1774" s="33">
        <f>IF($AS1774="","",IF($F$6="",0,IF(ISNUMBER(INDEX($A:$AP,ROW(),$F$6)),INDEX($A:$AP,ROW(),$F$6),IFERROR(--SUBSTITUTE(SUBSTITUTE(TRIM(INDEX($A:$AP,ROW(),$F$6)),",",""),"원",""),0))))</f>
        <v/>
      </c>
      <c r="AU1774" s="31">
        <f>IF($AS1774="","",IF($AX1774&lt;&gt;"",SUBSTITUTE(SUBSTITUTE($AX1774,"-","")," ",""),"N:"&amp;$AV1774))</f>
        <v/>
      </c>
      <c r="AV1774" s="31">
        <f>IF(OR($AS1774="",$E$6=""),"",TRIM(INDEX($A:$AP,ROW(),$E$6)&amp;""))</f>
        <v/>
      </c>
      <c r="AW1774" s="31">
        <f>IF($AU1774="","",IF(MATCH($AU1774,$AU$8:$AU$2007,0)=ROW()-7,MAX($AW$7:$AW1773)+1,""))</f>
        <v/>
      </c>
      <c r="AX1774" s="31">
        <f>IF(OR($AS1774="",$D$6=""),"",TRIM(INDEX($A:$AP,ROW(),$D$6)&amp;""))</f>
        <v/>
      </c>
      <c r="AY1774" s="31">
        <f>IF($AU1774="","",INDEX($AW$8:$AW$2007,MATCH($AU1774,$AU$8:$AU$2007,0)))</f>
        <v/>
      </c>
      <c r="AZ1774" s="31">
        <f>IF(OR($AS1774="",$C$6=""),"",TRIM(INDEX($A:$AP,ROW(),$C$6)&amp;""))</f>
        <v/>
      </c>
      <c r="BA1774" s="31">
        <f>IF($AZ1774="","",IF(COUNTIF($AZ$8:$AZ1774,$AZ1774)&gt;1,1,0))</f>
        <v/>
      </c>
    </row>
    <row r="1775">
      <c r="AR1775" s="31">
        <f>IF(OR($A$5="",$B$6="",ROW()&lt;$A$5),"",IF(INDEX($A:$AP,ROW(),$B$6)="","",INDEX($A:$AP,ROW(),$B$6)))</f>
        <v/>
      </c>
      <c r="AS1775" s="32">
        <f>IF($AR1775="","",IF(ISNUMBER($AR1775),IF($AR1775&gt;=10000000,IFERROR(DATE(INT($AR1775/10000),MOD(INT($AR1775/100),100),MOD($AR1775,100)),""),INT($AR1775)),IFERROR(DATE(--LEFT(LEFT(SUBSTITUTE(SUBSTITUTE(SUBSTITUTE(SUBSTITUTE(TRIM($AR1775),"-",""),".",""),"/","")," ",""),8),4),--MID(LEFT(SUBSTITUTE(SUBSTITUTE(SUBSTITUTE(SUBSTITUTE(TRIM($AR1775),"-",""),".",""),"/","")," ",""),8),5,2),--MID(LEFT(SUBSTITUTE(SUBSTITUTE(SUBSTITUTE(SUBSTITUTE(TRIM($AR1775),"-",""),".",""),"/","")," ",""),8),7,2)),"")))</f>
        <v/>
      </c>
      <c r="AT1775" s="33">
        <f>IF($AS1775="","",IF($F$6="",0,IF(ISNUMBER(INDEX($A:$AP,ROW(),$F$6)),INDEX($A:$AP,ROW(),$F$6),IFERROR(--SUBSTITUTE(SUBSTITUTE(TRIM(INDEX($A:$AP,ROW(),$F$6)),",",""),"원",""),0))))</f>
        <v/>
      </c>
      <c r="AU1775" s="31">
        <f>IF($AS1775="","",IF($AX1775&lt;&gt;"",SUBSTITUTE(SUBSTITUTE($AX1775,"-","")," ",""),"N:"&amp;$AV1775))</f>
        <v/>
      </c>
      <c r="AV1775" s="31">
        <f>IF(OR($AS1775="",$E$6=""),"",TRIM(INDEX($A:$AP,ROW(),$E$6)&amp;""))</f>
        <v/>
      </c>
      <c r="AW1775" s="31">
        <f>IF($AU1775="","",IF(MATCH($AU1775,$AU$8:$AU$2007,0)=ROW()-7,MAX($AW$7:$AW1774)+1,""))</f>
        <v/>
      </c>
      <c r="AX1775" s="31">
        <f>IF(OR($AS1775="",$D$6=""),"",TRIM(INDEX($A:$AP,ROW(),$D$6)&amp;""))</f>
        <v/>
      </c>
      <c r="AY1775" s="31">
        <f>IF($AU1775="","",INDEX($AW$8:$AW$2007,MATCH($AU1775,$AU$8:$AU$2007,0)))</f>
        <v/>
      </c>
      <c r="AZ1775" s="31">
        <f>IF(OR($AS1775="",$C$6=""),"",TRIM(INDEX($A:$AP,ROW(),$C$6)&amp;""))</f>
        <v/>
      </c>
      <c r="BA1775" s="31">
        <f>IF($AZ1775="","",IF(COUNTIF($AZ$8:$AZ1775,$AZ1775)&gt;1,1,0))</f>
        <v/>
      </c>
    </row>
    <row r="1776">
      <c r="AR1776" s="31">
        <f>IF(OR($A$5="",$B$6="",ROW()&lt;$A$5),"",IF(INDEX($A:$AP,ROW(),$B$6)="","",INDEX($A:$AP,ROW(),$B$6)))</f>
        <v/>
      </c>
      <c r="AS1776" s="32">
        <f>IF($AR1776="","",IF(ISNUMBER($AR1776),IF($AR1776&gt;=10000000,IFERROR(DATE(INT($AR1776/10000),MOD(INT($AR1776/100),100),MOD($AR1776,100)),""),INT($AR1776)),IFERROR(DATE(--LEFT(LEFT(SUBSTITUTE(SUBSTITUTE(SUBSTITUTE(SUBSTITUTE(TRIM($AR1776),"-",""),".",""),"/","")," ",""),8),4),--MID(LEFT(SUBSTITUTE(SUBSTITUTE(SUBSTITUTE(SUBSTITUTE(TRIM($AR1776),"-",""),".",""),"/","")," ",""),8),5,2),--MID(LEFT(SUBSTITUTE(SUBSTITUTE(SUBSTITUTE(SUBSTITUTE(TRIM($AR1776),"-",""),".",""),"/","")," ",""),8),7,2)),"")))</f>
        <v/>
      </c>
      <c r="AT1776" s="33">
        <f>IF($AS1776="","",IF($F$6="",0,IF(ISNUMBER(INDEX($A:$AP,ROW(),$F$6)),INDEX($A:$AP,ROW(),$F$6),IFERROR(--SUBSTITUTE(SUBSTITUTE(TRIM(INDEX($A:$AP,ROW(),$F$6)),",",""),"원",""),0))))</f>
        <v/>
      </c>
      <c r="AU1776" s="31">
        <f>IF($AS1776="","",IF($AX1776&lt;&gt;"",SUBSTITUTE(SUBSTITUTE($AX1776,"-","")," ",""),"N:"&amp;$AV1776))</f>
        <v/>
      </c>
      <c r="AV1776" s="31">
        <f>IF(OR($AS1776="",$E$6=""),"",TRIM(INDEX($A:$AP,ROW(),$E$6)&amp;""))</f>
        <v/>
      </c>
      <c r="AW1776" s="31">
        <f>IF($AU1776="","",IF(MATCH($AU1776,$AU$8:$AU$2007,0)=ROW()-7,MAX($AW$7:$AW1775)+1,""))</f>
        <v/>
      </c>
      <c r="AX1776" s="31">
        <f>IF(OR($AS1776="",$D$6=""),"",TRIM(INDEX($A:$AP,ROW(),$D$6)&amp;""))</f>
        <v/>
      </c>
      <c r="AY1776" s="31">
        <f>IF($AU1776="","",INDEX($AW$8:$AW$2007,MATCH($AU1776,$AU$8:$AU$2007,0)))</f>
        <v/>
      </c>
      <c r="AZ1776" s="31">
        <f>IF(OR($AS1776="",$C$6=""),"",TRIM(INDEX($A:$AP,ROW(),$C$6)&amp;""))</f>
        <v/>
      </c>
      <c r="BA1776" s="31">
        <f>IF($AZ1776="","",IF(COUNTIF($AZ$8:$AZ1776,$AZ1776)&gt;1,1,0))</f>
        <v/>
      </c>
    </row>
    <row r="1777">
      <c r="AR1777" s="31">
        <f>IF(OR($A$5="",$B$6="",ROW()&lt;$A$5),"",IF(INDEX($A:$AP,ROW(),$B$6)="","",INDEX($A:$AP,ROW(),$B$6)))</f>
        <v/>
      </c>
      <c r="AS1777" s="32">
        <f>IF($AR1777="","",IF(ISNUMBER($AR1777),IF($AR1777&gt;=10000000,IFERROR(DATE(INT($AR1777/10000),MOD(INT($AR1777/100),100),MOD($AR1777,100)),""),INT($AR1777)),IFERROR(DATE(--LEFT(LEFT(SUBSTITUTE(SUBSTITUTE(SUBSTITUTE(SUBSTITUTE(TRIM($AR1777),"-",""),".",""),"/","")," ",""),8),4),--MID(LEFT(SUBSTITUTE(SUBSTITUTE(SUBSTITUTE(SUBSTITUTE(TRIM($AR1777),"-",""),".",""),"/","")," ",""),8),5,2),--MID(LEFT(SUBSTITUTE(SUBSTITUTE(SUBSTITUTE(SUBSTITUTE(TRIM($AR1777),"-",""),".",""),"/","")," ",""),8),7,2)),"")))</f>
        <v/>
      </c>
      <c r="AT1777" s="33">
        <f>IF($AS1777="","",IF($F$6="",0,IF(ISNUMBER(INDEX($A:$AP,ROW(),$F$6)),INDEX($A:$AP,ROW(),$F$6),IFERROR(--SUBSTITUTE(SUBSTITUTE(TRIM(INDEX($A:$AP,ROW(),$F$6)),",",""),"원",""),0))))</f>
        <v/>
      </c>
      <c r="AU1777" s="31">
        <f>IF($AS1777="","",IF($AX1777&lt;&gt;"",SUBSTITUTE(SUBSTITUTE($AX1777,"-","")," ",""),"N:"&amp;$AV1777))</f>
        <v/>
      </c>
      <c r="AV1777" s="31">
        <f>IF(OR($AS1777="",$E$6=""),"",TRIM(INDEX($A:$AP,ROW(),$E$6)&amp;""))</f>
        <v/>
      </c>
      <c r="AW1777" s="31">
        <f>IF($AU1777="","",IF(MATCH($AU1777,$AU$8:$AU$2007,0)=ROW()-7,MAX($AW$7:$AW1776)+1,""))</f>
        <v/>
      </c>
      <c r="AX1777" s="31">
        <f>IF(OR($AS1777="",$D$6=""),"",TRIM(INDEX($A:$AP,ROW(),$D$6)&amp;""))</f>
        <v/>
      </c>
      <c r="AY1777" s="31">
        <f>IF($AU1777="","",INDEX($AW$8:$AW$2007,MATCH($AU1777,$AU$8:$AU$2007,0)))</f>
        <v/>
      </c>
      <c r="AZ1777" s="31">
        <f>IF(OR($AS1777="",$C$6=""),"",TRIM(INDEX($A:$AP,ROW(),$C$6)&amp;""))</f>
        <v/>
      </c>
      <c r="BA1777" s="31">
        <f>IF($AZ1777="","",IF(COUNTIF($AZ$8:$AZ1777,$AZ1777)&gt;1,1,0))</f>
        <v/>
      </c>
    </row>
    <row r="1778">
      <c r="AR1778" s="31">
        <f>IF(OR($A$5="",$B$6="",ROW()&lt;$A$5),"",IF(INDEX($A:$AP,ROW(),$B$6)="","",INDEX($A:$AP,ROW(),$B$6)))</f>
        <v/>
      </c>
      <c r="AS1778" s="32">
        <f>IF($AR1778="","",IF(ISNUMBER($AR1778),IF($AR1778&gt;=10000000,IFERROR(DATE(INT($AR1778/10000),MOD(INT($AR1778/100),100),MOD($AR1778,100)),""),INT($AR1778)),IFERROR(DATE(--LEFT(LEFT(SUBSTITUTE(SUBSTITUTE(SUBSTITUTE(SUBSTITUTE(TRIM($AR1778),"-",""),".",""),"/","")," ",""),8),4),--MID(LEFT(SUBSTITUTE(SUBSTITUTE(SUBSTITUTE(SUBSTITUTE(TRIM($AR1778),"-",""),".",""),"/","")," ",""),8),5,2),--MID(LEFT(SUBSTITUTE(SUBSTITUTE(SUBSTITUTE(SUBSTITUTE(TRIM($AR1778),"-",""),".",""),"/","")," ",""),8),7,2)),"")))</f>
        <v/>
      </c>
      <c r="AT1778" s="33">
        <f>IF($AS1778="","",IF($F$6="",0,IF(ISNUMBER(INDEX($A:$AP,ROW(),$F$6)),INDEX($A:$AP,ROW(),$F$6),IFERROR(--SUBSTITUTE(SUBSTITUTE(TRIM(INDEX($A:$AP,ROW(),$F$6)),",",""),"원",""),0))))</f>
        <v/>
      </c>
      <c r="AU1778" s="31">
        <f>IF($AS1778="","",IF($AX1778&lt;&gt;"",SUBSTITUTE(SUBSTITUTE($AX1778,"-","")," ",""),"N:"&amp;$AV1778))</f>
        <v/>
      </c>
      <c r="AV1778" s="31">
        <f>IF(OR($AS1778="",$E$6=""),"",TRIM(INDEX($A:$AP,ROW(),$E$6)&amp;""))</f>
        <v/>
      </c>
      <c r="AW1778" s="31">
        <f>IF($AU1778="","",IF(MATCH($AU1778,$AU$8:$AU$2007,0)=ROW()-7,MAX($AW$7:$AW1777)+1,""))</f>
        <v/>
      </c>
      <c r="AX1778" s="31">
        <f>IF(OR($AS1778="",$D$6=""),"",TRIM(INDEX($A:$AP,ROW(),$D$6)&amp;""))</f>
        <v/>
      </c>
      <c r="AY1778" s="31">
        <f>IF($AU1778="","",INDEX($AW$8:$AW$2007,MATCH($AU1778,$AU$8:$AU$2007,0)))</f>
        <v/>
      </c>
      <c r="AZ1778" s="31">
        <f>IF(OR($AS1778="",$C$6=""),"",TRIM(INDEX($A:$AP,ROW(),$C$6)&amp;""))</f>
        <v/>
      </c>
      <c r="BA1778" s="31">
        <f>IF($AZ1778="","",IF(COUNTIF($AZ$8:$AZ1778,$AZ1778)&gt;1,1,0))</f>
        <v/>
      </c>
    </row>
    <row r="1779">
      <c r="AR1779" s="31">
        <f>IF(OR($A$5="",$B$6="",ROW()&lt;$A$5),"",IF(INDEX($A:$AP,ROW(),$B$6)="","",INDEX($A:$AP,ROW(),$B$6)))</f>
        <v/>
      </c>
      <c r="AS1779" s="32">
        <f>IF($AR1779="","",IF(ISNUMBER($AR1779),IF($AR1779&gt;=10000000,IFERROR(DATE(INT($AR1779/10000),MOD(INT($AR1779/100),100),MOD($AR1779,100)),""),INT($AR1779)),IFERROR(DATE(--LEFT(LEFT(SUBSTITUTE(SUBSTITUTE(SUBSTITUTE(SUBSTITUTE(TRIM($AR1779),"-",""),".",""),"/","")," ",""),8),4),--MID(LEFT(SUBSTITUTE(SUBSTITUTE(SUBSTITUTE(SUBSTITUTE(TRIM($AR1779),"-",""),".",""),"/","")," ",""),8),5,2),--MID(LEFT(SUBSTITUTE(SUBSTITUTE(SUBSTITUTE(SUBSTITUTE(TRIM($AR1779),"-",""),".",""),"/","")," ",""),8),7,2)),"")))</f>
        <v/>
      </c>
      <c r="AT1779" s="33">
        <f>IF($AS1779="","",IF($F$6="",0,IF(ISNUMBER(INDEX($A:$AP,ROW(),$F$6)),INDEX($A:$AP,ROW(),$F$6),IFERROR(--SUBSTITUTE(SUBSTITUTE(TRIM(INDEX($A:$AP,ROW(),$F$6)),",",""),"원",""),0))))</f>
        <v/>
      </c>
      <c r="AU1779" s="31">
        <f>IF($AS1779="","",IF($AX1779&lt;&gt;"",SUBSTITUTE(SUBSTITUTE($AX1779,"-","")," ",""),"N:"&amp;$AV1779))</f>
        <v/>
      </c>
      <c r="AV1779" s="31">
        <f>IF(OR($AS1779="",$E$6=""),"",TRIM(INDEX($A:$AP,ROW(),$E$6)&amp;""))</f>
        <v/>
      </c>
      <c r="AW1779" s="31">
        <f>IF($AU1779="","",IF(MATCH($AU1779,$AU$8:$AU$2007,0)=ROW()-7,MAX($AW$7:$AW1778)+1,""))</f>
        <v/>
      </c>
      <c r="AX1779" s="31">
        <f>IF(OR($AS1779="",$D$6=""),"",TRIM(INDEX($A:$AP,ROW(),$D$6)&amp;""))</f>
        <v/>
      </c>
      <c r="AY1779" s="31">
        <f>IF($AU1779="","",INDEX($AW$8:$AW$2007,MATCH($AU1779,$AU$8:$AU$2007,0)))</f>
        <v/>
      </c>
      <c r="AZ1779" s="31">
        <f>IF(OR($AS1779="",$C$6=""),"",TRIM(INDEX($A:$AP,ROW(),$C$6)&amp;""))</f>
        <v/>
      </c>
      <c r="BA1779" s="31">
        <f>IF($AZ1779="","",IF(COUNTIF($AZ$8:$AZ1779,$AZ1779)&gt;1,1,0))</f>
        <v/>
      </c>
    </row>
    <row r="1780">
      <c r="AR1780" s="31">
        <f>IF(OR($A$5="",$B$6="",ROW()&lt;$A$5),"",IF(INDEX($A:$AP,ROW(),$B$6)="","",INDEX($A:$AP,ROW(),$B$6)))</f>
        <v/>
      </c>
      <c r="AS1780" s="32">
        <f>IF($AR1780="","",IF(ISNUMBER($AR1780),IF($AR1780&gt;=10000000,IFERROR(DATE(INT($AR1780/10000),MOD(INT($AR1780/100),100),MOD($AR1780,100)),""),INT($AR1780)),IFERROR(DATE(--LEFT(LEFT(SUBSTITUTE(SUBSTITUTE(SUBSTITUTE(SUBSTITUTE(TRIM($AR1780),"-",""),".",""),"/","")," ",""),8),4),--MID(LEFT(SUBSTITUTE(SUBSTITUTE(SUBSTITUTE(SUBSTITUTE(TRIM($AR1780),"-",""),".",""),"/","")," ",""),8),5,2),--MID(LEFT(SUBSTITUTE(SUBSTITUTE(SUBSTITUTE(SUBSTITUTE(TRIM($AR1780),"-",""),".",""),"/","")," ",""),8),7,2)),"")))</f>
        <v/>
      </c>
      <c r="AT1780" s="33">
        <f>IF($AS1780="","",IF($F$6="",0,IF(ISNUMBER(INDEX($A:$AP,ROW(),$F$6)),INDEX($A:$AP,ROW(),$F$6),IFERROR(--SUBSTITUTE(SUBSTITUTE(TRIM(INDEX($A:$AP,ROW(),$F$6)),",",""),"원",""),0))))</f>
        <v/>
      </c>
      <c r="AU1780" s="31">
        <f>IF($AS1780="","",IF($AX1780&lt;&gt;"",SUBSTITUTE(SUBSTITUTE($AX1780,"-","")," ",""),"N:"&amp;$AV1780))</f>
        <v/>
      </c>
      <c r="AV1780" s="31">
        <f>IF(OR($AS1780="",$E$6=""),"",TRIM(INDEX($A:$AP,ROW(),$E$6)&amp;""))</f>
        <v/>
      </c>
      <c r="AW1780" s="31">
        <f>IF($AU1780="","",IF(MATCH($AU1780,$AU$8:$AU$2007,0)=ROW()-7,MAX($AW$7:$AW1779)+1,""))</f>
        <v/>
      </c>
      <c r="AX1780" s="31">
        <f>IF(OR($AS1780="",$D$6=""),"",TRIM(INDEX($A:$AP,ROW(),$D$6)&amp;""))</f>
        <v/>
      </c>
      <c r="AY1780" s="31">
        <f>IF($AU1780="","",INDEX($AW$8:$AW$2007,MATCH($AU1780,$AU$8:$AU$2007,0)))</f>
        <v/>
      </c>
      <c r="AZ1780" s="31">
        <f>IF(OR($AS1780="",$C$6=""),"",TRIM(INDEX($A:$AP,ROW(),$C$6)&amp;""))</f>
        <v/>
      </c>
      <c r="BA1780" s="31">
        <f>IF($AZ1780="","",IF(COUNTIF($AZ$8:$AZ1780,$AZ1780)&gt;1,1,0))</f>
        <v/>
      </c>
    </row>
    <row r="1781">
      <c r="AR1781" s="31">
        <f>IF(OR($A$5="",$B$6="",ROW()&lt;$A$5),"",IF(INDEX($A:$AP,ROW(),$B$6)="","",INDEX($A:$AP,ROW(),$B$6)))</f>
        <v/>
      </c>
      <c r="AS1781" s="32">
        <f>IF($AR1781="","",IF(ISNUMBER($AR1781),IF($AR1781&gt;=10000000,IFERROR(DATE(INT($AR1781/10000),MOD(INT($AR1781/100),100),MOD($AR1781,100)),""),INT($AR1781)),IFERROR(DATE(--LEFT(LEFT(SUBSTITUTE(SUBSTITUTE(SUBSTITUTE(SUBSTITUTE(TRIM($AR1781),"-",""),".",""),"/","")," ",""),8),4),--MID(LEFT(SUBSTITUTE(SUBSTITUTE(SUBSTITUTE(SUBSTITUTE(TRIM($AR1781),"-",""),".",""),"/","")," ",""),8),5,2),--MID(LEFT(SUBSTITUTE(SUBSTITUTE(SUBSTITUTE(SUBSTITUTE(TRIM($AR1781),"-",""),".",""),"/","")," ",""),8),7,2)),"")))</f>
        <v/>
      </c>
      <c r="AT1781" s="33">
        <f>IF($AS1781="","",IF($F$6="",0,IF(ISNUMBER(INDEX($A:$AP,ROW(),$F$6)),INDEX($A:$AP,ROW(),$F$6),IFERROR(--SUBSTITUTE(SUBSTITUTE(TRIM(INDEX($A:$AP,ROW(),$F$6)),",",""),"원",""),0))))</f>
        <v/>
      </c>
      <c r="AU1781" s="31">
        <f>IF($AS1781="","",IF($AX1781&lt;&gt;"",SUBSTITUTE(SUBSTITUTE($AX1781,"-","")," ",""),"N:"&amp;$AV1781))</f>
        <v/>
      </c>
      <c r="AV1781" s="31">
        <f>IF(OR($AS1781="",$E$6=""),"",TRIM(INDEX($A:$AP,ROW(),$E$6)&amp;""))</f>
        <v/>
      </c>
      <c r="AW1781" s="31">
        <f>IF($AU1781="","",IF(MATCH($AU1781,$AU$8:$AU$2007,0)=ROW()-7,MAX($AW$7:$AW1780)+1,""))</f>
        <v/>
      </c>
      <c r="AX1781" s="31">
        <f>IF(OR($AS1781="",$D$6=""),"",TRIM(INDEX($A:$AP,ROW(),$D$6)&amp;""))</f>
        <v/>
      </c>
      <c r="AY1781" s="31">
        <f>IF($AU1781="","",INDEX($AW$8:$AW$2007,MATCH($AU1781,$AU$8:$AU$2007,0)))</f>
        <v/>
      </c>
      <c r="AZ1781" s="31">
        <f>IF(OR($AS1781="",$C$6=""),"",TRIM(INDEX($A:$AP,ROW(),$C$6)&amp;""))</f>
        <v/>
      </c>
      <c r="BA1781" s="31">
        <f>IF($AZ1781="","",IF(COUNTIF($AZ$8:$AZ1781,$AZ1781)&gt;1,1,0))</f>
        <v/>
      </c>
    </row>
    <row r="1782">
      <c r="AR1782" s="31">
        <f>IF(OR($A$5="",$B$6="",ROW()&lt;$A$5),"",IF(INDEX($A:$AP,ROW(),$B$6)="","",INDEX($A:$AP,ROW(),$B$6)))</f>
        <v/>
      </c>
      <c r="AS1782" s="32">
        <f>IF($AR1782="","",IF(ISNUMBER($AR1782),IF($AR1782&gt;=10000000,IFERROR(DATE(INT($AR1782/10000),MOD(INT($AR1782/100),100),MOD($AR1782,100)),""),INT($AR1782)),IFERROR(DATE(--LEFT(LEFT(SUBSTITUTE(SUBSTITUTE(SUBSTITUTE(SUBSTITUTE(TRIM($AR1782),"-",""),".",""),"/","")," ",""),8),4),--MID(LEFT(SUBSTITUTE(SUBSTITUTE(SUBSTITUTE(SUBSTITUTE(TRIM($AR1782),"-",""),".",""),"/","")," ",""),8),5,2),--MID(LEFT(SUBSTITUTE(SUBSTITUTE(SUBSTITUTE(SUBSTITUTE(TRIM($AR1782),"-",""),".",""),"/","")," ",""),8),7,2)),"")))</f>
        <v/>
      </c>
      <c r="AT1782" s="33">
        <f>IF($AS1782="","",IF($F$6="",0,IF(ISNUMBER(INDEX($A:$AP,ROW(),$F$6)),INDEX($A:$AP,ROW(),$F$6),IFERROR(--SUBSTITUTE(SUBSTITUTE(TRIM(INDEX($A:$AP,ROW(),$F$6)),",",""),"원",""),0))))</f>
        <v/>
      </c>
      <c r="AU1782" s="31">
        <f>IF($AS1782="","",IF($AX1782&lt;&gt;"",SUBSTITUTE(SUBSTITUTE($AX1782,"-","")," ",""),"N:"&amp;$AV1782))</f>
        <v/>
      </c>
      <c r="AV1782" s="31">
        <f>IF(OR($AS1782="",$E$6=""),"",TRIM(INDEX($A:$AP,ROW(),$E$6)&amp;""))</f>
        <v/>
      </c>
      <c r="AW1782" s="31">
        <f>IF($AU1782="","",IF(MATCH($AU1782,$AU$8:$AU$2007,0)=ROW()-7,MAX($AW$7:$AW1781)+1,""))</f>
        <v/>
      </c>
      <c r="AX1782" s="31">
        <f>IF(OR($AS1782="",$D$6=""),"",TRIM(INDEX($A:$AP,ROW(),$D$6)&amp;""))</f>
        <v/>
      </c>
      <c r="AY1782" s="31">
        <f>IF($AU1782="","",INDEX($AW$8:$AW$2007,MATCH($AU1782,$AU$8:$AU$2007,0)))</f>
        <v/>
      </c>
      <c r="AZ1782" s="31">
        <f>IF(OR($AS1782="",$C$6=""),"",TRIM(INDEX($A:$AP,ROW(),$C$6)&amp;""))</f>
        <v/>
      </c>
      <c r="BA1782" s="31">
        <f>IF($AZ1782="","",IF(COUNTIF($AZ$8:$AZ1782,$AZ1782)&gt;1,1,0))</f>
        <v/>
      </c>
    </row>
    <row r="1783">
      <c r="AR1783" s="31">
        <f>IF(OR($A$5="",$B$6="",ROW()&lt;$A$5),"",IF(INDEX($A:$AP,ROW(),$B$6)="","",INDEX($A:$AP,ROW(),$B$6)))</f>
        <v/>
      </c>
      <c r="AS1783" s="32">
        <f>IF($AR1783="","",IF(ISNUMBER($AR1783),IF($AR1783&gt;=10000000,IFERROR(DATE(INT($AR1783/10000),MOD(INT($AR1783/100),100),MOD($AR1783,100)),""),INT($AR1783)),IFERROR(DATE(--LEFT(LEFT(SUBSTITUTE(SUBSTITUTE(SUBSTITUTE(SUBSTITUTE(TRIM($AR1783),"-",""),".",""),"/","")," ",""),8),4),--MID(LEFT(SUBSTITUTE(SUBSTITUTE(SUBSTITUTE(SUBSTITUTE(TRIM($AR1783),"-",""),".",""),"/","")," ",""),8),5,2),--MID(LEFT(SUBSTITUTE(SUBSTITUTE(SUBSTITUTE(SUBSTITUTE(TRIM($AR1783),"-",""),".",""),"/","")," ",""),8),7,2)),"")))</f>
        <v/>
      </c>
      <c r="AT1783" s="33">
        <f>IF($AS1783="","",IF($F$6="",0,IF(ISNUMBER(INDEX($A:$AP,ROW(),$F$6)),INDEX($A:$AP,ROW(),$F$6),IFERROR(--SUBSTITUTE(SUBSTITUTE(TRIM(INDEX($A:$AP,ROW(),$F$6)),",",""),"원",""),0))))</f>
        <v/>
      </c>
      <c r="AU1783" s="31">
        <f>IF($AS1783="","",IF($AX1783&lt;&gt;"",SUBSTITUTE(SUBSTITUTE($AX1783,"-","")," ",""),"N:"&amp;$AV1783))</f>
        <v/>
      </c>
      <c r="AV1783" s="31">
        <f>IF(OR($AS1783="",$E$6=""),"",TRIM(INDEX($A:$AP,ROW(),$E$6)&amp;""))</f>
        <v/>
      </c>
      <c r="AW1783" s="31">
        <f>IF($AU1783="","",IF(MATCH($AU1783,$AU$8:$AU$2007,0)=ROW()-7,MAX($AW$7:$AW1782)+1,""))</f>
        <v/>
      </c>
      <c r="AX1783" s="31">
        <f>IF(OR($AS1783="",$D$6=""),"",TRIM(INDEX($A:$AP,ROW(),$D$6)&amp;""))</f>
        <v/>
      </c>
      <c r="AY1783" s="31">
        <f>IF($AU1783="","",INDEX($AW$8:$AW$2007,MATCH($AU1783,$AU$8:$AU$2007,0)))</f>
        <v/>
      </c>
      <c r="AZ1783" s="31">
        <f>IF(OR($AS1783="",$C$6=""),"",TRIM(INDEX($A:$AP,ROW(),$C$6)&amp;""))</f>
        <v/>
      </c>
      <c r="BA1783" s="31">
        <f>IF($AZ1783="","",IF(COUNTIF($AZ$8:$AZ1783,$AZ1783)&gt;1,1,0))</f>
        <v/>
      </c>
    </row>
    <row r="1784">
      <c r="AR1784" s="31">
        <f>IF(OR($A$5="",$B$6="",ROW()&lt;$A$5),"",IF(INDEX($A:$AP,ROW(),$B$6)="","",INDEX($A:$AP,ROW(),$B$6)))</f>
        <v/>
      </c>
      <c r="AS1784" s="32">
        <f>IF($AR1784="","",IF(ISNUMBER($AR1784),IF($AR1784&gt;=10000000,IFERROR(DATE(INT($AR1784/10000),MOD(INT($AR1784/100),100),MOD($AR1784,100)),""),INT($AR1784)),IFERROR(DATE(--LEFT(LEFT(SUBSTITUTE(SUBSTITUTE(SUBSTITUTE(SUBSTITUTE(TRIM($AR1784),"-",""),".",""),"/","")," ",""),8),4),--MID(LEFT(SUBSTITUTE(SUBSTITUTE(SUBSTITUTE(SUBSTITUTE(TRIM($AR1784),"-",""),".",""),"/","")," ",""),8),5,2),--MID(LEFT(SUBSTITUTE(SUBSTITUTE(SUBSTITUTE(SUBSTITUTE(TRIM($AR1784),"-",""),".",""),"/","")," ",""),8),7,2)),"")))</f>
        <v/>
      </c>
      <c r="AT1784" s="33">
        <f>IF($AS1784="","",IF($F$6="",0,IF(ISNUMBER(INDEX($A:$AP,ROW(),$F$6)),INDEX($A:$AP,ROW(),$F$6),IFERROR(--SUBSTITUTE(SUBSTITUTE(TRIM(INDEX($A:$AP,ROW(),$F$6)),",",""),"원",""),0))))</f>
        <v/>
      </c>
      <c r="AU1784" s="31">
        <f>IF($AS1784="","",IF($AX1784&lt;&gt;"",SUBSTITUTE(SUBSTITUTE($AX1784,"-","")," ",""),"N:"&amp;$AV1784))</f>
        <v/>
      </c>
      <c r="AV1784" s="31">
        <f>IF(OR($AS1784="",$E$6=""),"",TRIM(INDEX($A:$AP,ROW(),$E$6)&amp;""))</f>
        <v/>
      </c>
      <c r="AW1784" s="31">
        <f>IF($AU1784="","",IF(MATCH($AU1784,$AU$8:$AU$2007,0)=ROW()-7,MAX($AW$7:$AW1783)+1,""))</f>
        <v/>
      </c>
      <c r="AX1784" s="31">
        <f>IF(OR($AS1784="",$D$6=""),"",TRIM(INDEX($A:$AP,ROW(),$D$6)&amp;""))</f>
        <v/>
      </c>
      <c r="AY1784" s="31">
        <f>IF($AU1784="","",INDEX($AW$8:$AW$2007,MATCH($AU1784,$AU$8:$AU$2007,0)))</f>
        <v/>
      </c>
      <c r="AZ1784" s="31">
        <f>IF(OR($AS1784="",$C$6=""),"",TRIM(INDEX($A:$AP,ROW(),$C$6)&amp;""))</f>
        <v/>
      </c>
      <c r="BA1784" s="31">
        <f>IF($AZ1784="","",IF(COUNTIF($AZ$8:$AZ1784,$AZ1784)&gt;1,1,0))</f>
        <v/>
      </c>
    </row>
    <row r="1785">
      <c r="AR1785" s="31">
        <f>IF(OR($A$5="",$B$6="",ROW()&lt;$A$5),"",IF(INDEX($A:$AP,ROW(),$B$6)="","",INDEX($A:$AP,ROW(),$B$6)))</f>
        <v/>
      </c>
      <c r="AS1785" s="32">
        <f>IF($AR1785="","",IF(ISNUMBER($AR1785),IF($AR1785&gt;=10000000,IFERROR(DATE(INT($AR1785/10000),MOD(INT($AR1785/100),100),MOD($AR1785,100)),""),INT($AR1785)),IFERROR(DATE(--LEFT(LEFT(SUBSTITUTE(SUBSTITUTE(SUBSTITUTE(SUBSTITUTE(TRIM($AR1785),"-",""),".",""),"/","")," ",""),8),4),--MID(LEFT(SUBSTITUTE(SUBSTITUTE(SUBSTITUTE(SUBSTITUTE(TRIM($AR1785),"-",""),".",""),"/","")," ",""),8),5,2),--MID(LEFT(SUBSTITUTE(SUBSTITUTE(SUBSTITUTE(SUBSTITUTE(TRIM($AR1785),"-",""),".",""),"/","")," ",""),8),7,2)),"")))</f>
        <v/>
      </c>
      <c r="AT1785" s="33">
        <f>IF($AS1785="","",IF($F$6="",0,IF(ISNUMBER(INDEX($A:$AP,ROW(),$F$6)),INDEX($A:$AP,ROW(),$F$6),IFERROR(--SUBSTITUTE(SUBSTITUTE(TRIM(INDEX($A:$AP,ROW(),$F$6)),",",""),"원",""),0))))</f>
        <v/>
      </c>
      <c r="AU1785" s="31">
        <f>IF($AS1785="","",IF($AX1785&lt;&gt;"",SUBSTITUTE(SUBSTITUTE($AX1785,"-","")," ",""),"N:"&amp;$AV1785))</f>
        <v/>
      </c>
      <c r="AV1785" s="31">
        <f>IF(OR($AS1785="",$E$6=""),"",TRIM(INDEX($A:$AP,ROW(),$E$6)&amp;""))</f>
        <v/>
      </c>
      <c r="AW1785" s="31">
        <f>IF($AU1785="","",IF(MATCH($AU1785,$AU$8:$AU$2007,0)=ROW()-7,MAX($AW$7:$AW1784)+1,""))</f>
        <v/>
      </c>
      <c r="AX1785" s="31">
        <f>IF(OR($AS1785="",$D$6=""),"",TRIM(INDEX($A:$AP,ROW(),$D$6)&amp;""))</f>
        <v/>
      </c>
      <c r="AY1785" s="31">
        <f>IF($AU1785="","",INDEX($AW$8:$AW$2007,MATCH($AU1785,$AU$8:$AU$2007,0)))</f>
        <v/>
      </c>
      <c r="AZ1785" s="31">
        <f>IF(OR($AS1785="",$C$6=""),"",TRIM(INDEX($A:$AP,ROW(),$C$6)&amp;""))</f>
        <v/>
      </c>
      <c r="BA1785" s="31">
        <f>IF($AZ1785="","",IF(COUNTIF($AZ$8:$AZ1785,$AZ1785)&gt;1,1,0))</f>
        <v/>
      </c>
    </row>
    <row r="1786">
      <c r="AR1786" s="31">
        <f>IF(OR($A$5="",$B$6="",ROW()&lt;$A$5),"",IF(INDEX($A:$AP,ROW(),$B$6)="","",INDEX($A:$AP,ROW(),$B$6)))</f>
        <v/>
      </c>
      <c r="AS1786" s="32">
        <f>IF($AR1786="","",IF(ISNUMBER($AR1786),IF($AR1786&gt;=10000000,IFERROR(DATE(INT($AR1786/10000),MOD(INT($AR1786/100),100),MOD($AR1786,100)),""),INT($AR1786)),IFERROR(DATE(--LEFT(LEFT(SUBSTITUTE(SUBSTITUTE(SUBSTITUTE(SUBSTITUTE(TRIM($AR1786),"-",""),".",""),"/","")," ",""),8),4),--MID(LEFT(SUBSTITUTE(SUBSTITUTE(SUBSTITUTE(SUBSTITUTE(TRIM($AR1786),"-",""),".",""),"/","")," ",""),8),5,2),--MID(LEFT(SUBSTITUTE(SUBSTITUTE(SUBSTITUTE(SUBSTITUTE(TRIM($AR1786),"-",""),".",""),"/","")," ",""),8),7,2)),"")))</f>
        <v/>
      </c>
      <c r="AT1786" s="33">
        <f>IF($AS1786="","",IF($F$6="",0,IF(ISNUMBER(INDEX($A:$AP,ROW(),$F$6)),INDEX($A:$AP,ROW(),$F$6),IFERROR(--SUBSTITUTE(SUBSTITUTE(TRIM(INDEX($A:$AP,ROW(),$F$6)),",",""),"원",""),0))))</f>
        <v/>
      </c>
      <c r="AU1786" s="31">
        <f>IF($AS1786="","",IF($AX1786&lt;&gt;"",SUBSTITUTE(SUBSTITUTE($AX1786,"-","")," ",""),"N:"&amp;$AV1786))</f>
        <v/>
      </c>
      <c r="AV1786" s="31">
        <f>IF(OR($AS1786="",$E$6=""),"",TRIM(INDEX($A:$AP,ROW(),$E$6)&amp;""))</f>
        <v/>
      </c>
      <c r="AW1786" s="31">
        <f>IF($AU1786="","",IF(MATCH($AU1786,$AU$8:$AU$2007,0)=ROW()-7,MAX($AW$7:$AW1785)+1,""))</f>
        <v/>
      </c>
      <c r="AX1786" s="31">
        <f>IF(OR($AS1786="",$D$6=""),"",TRIM(INDEX($A:$AP,ROW(),$D$6)&amp;""))</f>
        <v/>
      </c>
      <c r="AY1786" s="31">
        <f>IF($AU1786="","",INDEX($AW$8:$AW$2007,MATCH($AU1786,$AU$8:$AU$2007,0)))</f>
        <v/>
      </c>
      <c r="AZ1786" s="31">
        <f>IF(OR($AS1786="",$C$6=""),"",TRIM(INDEX($A:$AP,ROW(),$C$6)&amp;""))</f>
        <v/>
      </c>
      <c r="BA1786" s="31">
        <f>IF($AZ1786="","",IF(COUNTIF($AZ$8:$AZ1786,$AZ1786)&gt;1,1,0))</f>
        <v/>
      </c>
    </row>
    <row r="1787">
      <c r="AR1787" s="31">
        <f>IF(OR($A$5="",$B$6="",ROW()&lt;$A$5),"",IF(INDEX($A:$AP,ROW(),$B$6)="","",INDEX($A:$AP,ROW(),$B$6)))</f>
        <v/>
      </c>
      <c r="AS1787" s="32">
        <f>IF($AR1787="","",IF(ISNUMBER($AR1787),IF($AR1787&gt;=10000000,IFERROR(DATE(INT($AR1787/10000),MOD(INT($AR1787/100),100),MOD($AR1787,100)),""),INT($AR1787)),IFERROR(DATE(--LEFT(LEFT(SUBSTITUTE(SUBSTITUTE(SUBSTITUTE(SUBSTITUTE(TRIM($AR1787),"-",""),".",""),"/","")," ",""),8),4),--MID(LEFT(SUBSTITUTE(SUBSTITUTE(SUBSTITUTE(SUBSTITUTE(TRIM($AR1787),"-",""),".",""),"/","")," ",""),8),5,2),--MID(LEFT(SUBSTITUTE(SUBSTITUTE(SUBSTITUTE(SUBSTITUTE(TRIM($AR1787),"-",""),".",""),"/","")," ",""),8),7,2)),"")))</f>
        <v/>
      </c>
      <c r="AT1787" s="33">
        <f>IF($AS1787="","",IF($F$6="",0,IF(ISNUMBER(INDEX($A:$AP,ROW(),$F$6)),INDEX($A:$AP,ROW(),$F$6),IFERROR(--SUBSTITUTE(SUBSTITUTE(TRIM(INDEX($A:$AP,ROW(),$F$6)),",",""),"원",""),0))))</f>
        <v/>
      </c>
      <c r="AU1787" s="31">
        <f>IF($AS1787="","",IF($AX1787&lt;&gt;"",SUBSTITUTE(SUBSTITUTE($AX1787,"-","")," ",""),"N:"&amp;$AV1787))</f>
        <v/>
      </c>
      <c r="AV1787" s="31">
        <f>IF(OR($AS1787="",$E$6=""),"",TRIM(INDEX($A:$AP,ROW(),$E$6)&amp;""))</f>
        <v/>
      </c>
      <c r="AW1787" s="31">
        <f>IF($AU1787="","",IF(MATCH($AU1787,$AU$8:$AU$2007,0)=ROW()-7,MAX($AW$7:$AW1786)+1,""))</f>
        <v/>
      </c>
      <c r="AX1787" s="31">
        <f>IF(OR($AS1787="",$D$6=""),"",TRIM(INDEX($A:$AP,ROW(),$D$6)&amp;""))</f>
        <v/>
      </c>
      <c r="AY1787" s="31">
        <f>IF($AU1787="","",INDEX($AW$8:$AW$2007,MATCH($AU1787,$AU$8:$AU$2007,0)))</f>
        <v/>
      </c>
      <c r="AZ1787" s="31">
        <f>IF(OR($AS1787="",$C$6=""),"",TRIM(INDEX($A:$AP,ROW(),$C$6)&amp;""))</f>
        <v/>
      </c>
      <c r="BA1787" s="31">
        <f>IF($AZ1787="","",IF(COUNTIF($AZ$8:$AZ1787,$AZ1787)&gt;1,1,0))</f>
        <v/>
      </c>
    </row>
    <row r="1788">
      <c r="AR1788" s="31">
        <f>IF(OR($A$5="",$B$6="",ROW()&lt;$A$5),"",IF(INDEX($A:$AP,ROW(),$B$6)="","",INDEX($A:$AP,ROW(),$B$6)))</f>
        <v/>
      </c>
      <c r="AS1788" s="32">
        <f>IF($AR1788="","",IF(ISNUMBER($AR1788),IF($AR1788&gt;=10000000,IFERROR(DATE(INT($AR1788/10000),MOD(INT($AR1788/100),100),MOD($AR1788,100)),""),INT($AR1788)),IFERROR(DATE(--LEFT(LEFT(SUBSTITUTE(SUBSTITUTE(SUBSTITUTE(SUBSTITUTE(TRIM($AR1788),"-",""),".",""),"/","")," ",""),8),4),--MID(LEFT(SUBSTITUTE(SUBSTITUTE(SUBSTITUTE(SUBSTITUTE(TRIM($AR1788),"-",""),".",""),"/","")," ",""),8),5,2),--MID(LEFT(SUBSTITUTE(SUBSTITUTE(SUBSTITUTE(SUBSTITUTE(TRIM($AR1788),"-",""),".",""),"/","")," ",""),8),7,2)),"")))</f>
        <v/>
      </c>
      <c r="AT1788" s="33">
        <f>IF($AS1788="","",IF($F$6="",0,IF(ISNUMBER(INDEX($A:$AP,ROW(),$F$6)),INDEX($A:$AP,ROW(),$F$6),IFERROR(--SUBSTITUTE(SUBSTITUTE(TRIM(INDEX($A:$AP,ROW(),$F$6)),",",""),"원",""),0))))</f>
        <v/>
      </c>
      <c r="AU1788" s="31">
        <f>IF($AS1788="","",IF($AX1788&lt;&gt;"",SUBSTITUTE(SUBSTITUTE($AX1788,"-","")," ",""),"N:"&amp;$AV1788))</f>
        <v/>
      </c>
      <c r="AV1788" s="31">
        <f>IF(OR($AS1788="",$E$6=""),"",TRIM(INDEX($A:$AP,ROW(),$E$6)&amp;""))</f>
        <v/>
      </c>
      <c r="AW1788" s="31">
        <f>IF($AU1788="","",IF(MATCH($AU1788,$AU$8:$AU$2007,0)=ROW()-7,MAX($AW$7:$AW1787)+1,""))</f>
        <v/>
      </c>
      <c r="AX1788" s="31">
        <f>IF(OR($AS1788="",$D$6=""),"",TRIM(INDEX($A:$AP,ROW(),$D$6)&amp;""))</f>
        <v/>
      </c>
      <c r="AY1788" s="31">
        <f>IF($AU1788="","",INDEX($AW$8:$AW$2007,MATCH($AU1788,$AU$8:$AU$2007,0)))</f>
        <v/>
      </c>
      <c r="AZ1788" s="31">
        <f>IF(OR($AS1788="",$C$6=""),"",TRIM(INDEX($A:$AP,ROW(),$C$6)&amp;""))</f>
        <v/>
      </c>
      <c r="BA1788" s="31">
        <f>IF($AZ1788="","",IF(COUNTIF($AZ$8:$AZ1788,$AZ1788)&gt;1,1,0))</f>
        <v/>
      </c>
    </row>
    <row r="1789">
      <c r="AR1789" s="31">
        <f>IF(OR($A$5="",$B$6="",ROW()&lt;$A$5),"",IF(INDEX($A:$AP,ROW(),$B$6)="","",INDEX($A:$AP,ROW(),$B$6)))</f>
        <v/>
      </c>
      <c r="AS1789" s="32">
        <f>IF($AR1789="","",IF(ISNUMBER($AR1789),IF($AR1789&gt;=10000000,IFERROR(DATE(INT($AR1789/10000),MOD(INT($AR1789/100),100),MOD($AR1789,100)),""),INT($AR1789)),IFERROR(DATE(--LEFT(LEFT(SUBSTITUTE(SUBSTITUTE(SUBSTITUTE(SUBSTITUTE(TRIM($AR1789),"-",""),".",""),"/","")," ",""),8),4),--MID(LEFT(SUBSTITUTE(SUBSTITUTE(SUBSTITUTE(SUBSTITUTE(TRIM($AR1789),"-",""),".",""),"/","")," ",""),8),5,2),--MID(LEFT(SUBSTITUTE(SUBSTITUTE(SUBSTITUTE(SUBSTITUTE(TRIM($AR1789),"-",""),".",""),"/","")," ",""),8),7,2)),"")))</f>
        <v/>
      </c>
      <c r="AT1789" s="33">
        <f>IF($AS1789="","",IF($F$6="",0,IF(ISNUMBER(INDEX($A:$AP,ROW(),$F$6)),INDEX($A:$AP,ROW(),$F$6),IFERROR(--SUBSTITUTE(SUBSTITUTE(TRIM(INDEX($A:$AP,ROW(),$F$6)),",",""),"원",""),0))))</f>
        <v/>
      </c>
      <c r="AU1789" s="31">
        <f>IF($AS1789="","",IF($AX1789&lt;&gt;"",SUBSTITUTE(SUBSTITUTE($AX1789,"-","")," ",""),"N:"&amp;$AV1789))</f>
        <v/>
      </c>
      <c r="AV1789" s="31">
        <f>IF(OR($AS1789="",$E$6=""),"",TRIM(INDEX($A:$AP,ROW(),$E$6)&amp;""))</f>
        <v/>
      </c>
      <c r="AW1789" s="31">
        <f>IF($AU1789="","",IF(MATCH($AU1789,$AU$8:$AU$2007,0)=ROW()-7,MAX($AW$7:$AW1788)+1,""))</f>
        <v/>
      </c>
      <c r="AX1789" s="31">
        <f>IF(OR($AS1789="",$D$6=""),"",TRIM(INDEX($A:$AP,ROW(),$D$6)&amp;""))</f>
        <v/>
      </c>
      <c r="AY1789" s="31">
        <f>IF($AU1789="","",INDEX($AW$8:$AW$2007,MATCH($AU1789,$AU$8:$AU$2007,0)))</f>
        <v/>
      </c>
      <c r="AZ1789" s="31">
        <f>IF(OR($AS1789="",$C$6=""),"",TRIM(INDEX($A:$AP,ROW(),$C$6)&amp;""))</f>
        <v/>
      </c>
      <c r="BA1789" s="31">
        <f>IF($AZ1789="","",IF(COUNTIF($AZ$8:$AZ1789,$AZ1789)&gt;1,1,0))</f>
        <v/>
      </c>
    </row>
    <row r="1790">
      <c r="AR1790" s="31">
        <f>IF(OR($A$5="",$B$6="",ROW()&lt;$A$5),"",IF(INDEX($A:$AP,ROW(),$B$6)="","",INDEX($A:$AP,ROW(),$B$6)))</f>
        <v/>
      </c>
      <c r="AS1790" s="32">
        <f>IF($AR1790="","",IF(ISNUMBER($AR1790),IF($AR1790&gt;=10000000,IFERROR(DATE(INT($AR1790/10000),MOD(INT($AR1790/100),100),MOD($AR1790,100)),""),INT($AR1790)),IFERROR(DATE(--LEFT(LEFT(SUBSTITUTE(SUBSTITUTE(SUBSTITUTE(SUBSTITUTE(TRIM($AR1790),"-",""),".",""),"/","")," ",""),8),4),--MID(LEFT(SUBSTITUTE(SUBSTITUTE(SUBSTITUTE(SUBSTITUTE(TRIM($AR1790),"-",""),".",""),"/","")," ",""),8),5,2),--MID(LEFT(SUBSTITUTE(SUBSTITUTE(SUBSTITUTE(SUBSTITUTE(TRIM($AR1790),"-",""),".",""),"/","")," ",""),8),7,2)),"")))</f>
        <v/>
      </c>
      <c r="AT1790" s="33">
        <f>IF($AS1790="","",IF($F$6="",0,IF(ISNUMBER(INDEX($A:$AP,ROW(),$F$6)),INDEX($A:$AP,ROW(),$F$6),IFERROR(--SUBSTITUTE(SUBSTITUTE(TRIM(INDEX($A:$AP,ROW(),$F$6)),",",""),"원",""),0))))</f>
        <v/>
      </c>
      <c r="AU1790" s="31">
        <f>IF($AS1790="","",IF($AX1790&lt;&gt;"",SUBSTITUTE(SUBSTITUTE($AX1790,"-","")," ",""),"N:"&amp;$AV1790))</f>
        <v/>
      </c>
      <c r="AV1790" s="31">
        <f>IF(OR($AS1790="",$E$6=""),"",TRIM(INDEX($A:$AP,ROW(),$E$6)&amp;""))</f>
        <v/>
      </c>
      <c r="AW1790" s="31">
        <f>IF($AU1790="","",IF(MATCH($AU1790,$AU$8:$AU$2007,0)=ROW()-7,MAX($AW$7:$AW1789)+1,""))</f>
        <v/>
      </c>
      <c r="AX1790" s="31">
        <f>IF(OR($AS1790="",$D$6=""),"",TRIM(INDEX($A:$AP,ROW(),$D$6)&amp;""))</f>
        <v/>
      </c>
      <c r="AY1790" s="31">
        <f>IF($AU1790="","",INDEX($AW$8:$AW$2007,MATCH($AU1790,$AU$8:$AU$2007,0)))</f>
        <v/>
      </c>
      <c r="AZ1790" s="31">
        <f>IF(OR($AS1790="",$C$6=""),"",TRIM(INDEX($A:$AP,ROW(),$C$6)&amp;""))</f>
        <v/>
      </c>
      <c r="BA1790" s="31">
        <f>IF($AZ1790="","",IF(COUNTIF($AZ$8:$AZ1790,$AZ1790)&gt;1,1,0))</f>
        <v/>
      </c>
    </row>
    <row r="1791">
      <c r="AR1791" s="31">
        <f>IF(OR($A$5="",$B$6="",ROW()&lt;$A$5),"",IF(INDEX($A:$AP,ROW(),$B$6)="","",INDEX($A:$AP,ROW(),$B$6)))</f>
        <v/>
      </c>
      <c r="AS1791" s="32">
        <f>IF($AR1791="","",IF(ISNUMBER($AR1791),IF($AR1791&gt;=10000000,IFERROR(DATE(INT($AR1791/10000),MOD(INT($AR1791/100),100),MOD($AR1791,100)),""),INT($AR1791)),IFERROR(DATE(--LEFT(LEFT(SUBSTITUTE(SUBSTITUTE(SUBSTITUTE(SUBSTITUTE(TRIM($AR1791),"-",""),".",""),"/","")," ",""),8),4),--MID(LEFT(SUBSTITUTE(SUBSTITUTE(SUBSTITUTE(SUBSTITUTE(TRIM($AR1791),"-",""),".",""),"/","")," ",""),8),5,2),--MID(LEFT(SUBSTITUTE(SUBSTITUTE(SUBSTITUTE(SUBSTITUTE(TRIM($AR1791),"-",""),".",""),"/","")," ",""),8),7,2)),"")))</f>
        <v/>
      </c>
      <c r="AT1791" s="33">
        <f>IF($AS1791="","",IF($F$6="",0,IF(ISNUMBER(INDEX($A:$AP,ROW(),$F$6)),INDEX($A:$AP,ROW(),$F$6),IFERROR(--SUBSTITUTE(SUBSTITUTE(TRIM(INDEX($A:$AP,ROW(),$F$6)),",",""),"원",""),0))))</f>
        <v/>
      </c>
      <c r="AU1791" s="31">
        <f>IF($AS1791="","",IF($AX1791&lt;&gt;"",SUBSTITUTE(SUBSTITUTE($AX1791,"-","")," ",""),"N:"&amp;$AV1791))</f>
        <v/>
      </c>
      <c r="AV1791" s="31">
        <f>IF(OR($AS1791="",$E$6=""),"",TRIM(INDEX($A:$AP,ROW(),$E$6)&amp;""))</f>
        <v/>
      </c>
      <c r="AW1791" s="31">
        <f>IF($AU1791="","",IF(MATCH($AU1791,$AU$8:$AU$2007,0)=ROW()-7,MAX($AW$7:$AW1790)+1,""))</f>
        <v/>
      </c>
      <c r="AX1791" s="31">
        <f>IF(OR($AS1791="",$D$6=""),"",TRIM(INDEX($A:$AP,ROW(),$D$6)&amp;""))</f>
        <v/>
      </c>
      <c r="AY1791" s="31">
        <f>IF($AU1791="","",INDEX($AW$8:$AW$2007,MATCH($AU1791,$AU$8:$AU$2007,0)))</f>
        <v/>
      </c>
      <c r="AZ1791" s="31">
        <f>IF(OR($AS1791="",$C$6=""),"",TRIM(INDEX($A:$AP,ROW(),$C$6)&amp;""))</f>
        <v/>
      </c>
      <c r="BA1791" s="31">
        <f>IF($AZ1791="","",IF(COUNTIF($AZ$8:$AZ1791,$AZ1791)&gt;1,1,0))</f>
        <v/>
      </c>
    </row>
    <row r="1792">
      <c r="AR1792" s="31">
        <f>IF(OR($A$5="",$B$6="",ROW()&lt;$A$5),"",IF(INDEX($A:$AP,ROW(),$B$6)="","",INDEX($A:$AP,ROW(),$B$6)))</f>
        <v/>
      </c>
      <c r="AS1792" s="32">
        <f>IF($AR1792="","",IF(ISNUMBER($AR1792),IF($AR1792&gt;=10000000,IFERROR(DATE(INT($AR1792/10000),MOD(INT($AR1792/100),100),MOD($AR1792,100)),""),INT($AR1792)),IFERROR(DATE(--LEFT(LEFT(SUBSTITUTE(SUBSTITUTE(SUBSTITUTE(SUBSTITUTE(TRIM($AR1792),"-",""),".",""),"/","")," ",""),8),4),--MID(LEFT(SUBSTITUTE(SUBSTITUTE(SUBSTITUTE(SUBSTITUTE(TRIM($AR1792),"-",""),".",""),"/","")," ",""),8),5,2),--MID(LEFT(SUBSTITUTE(SUBSTITUTE(SUBSTITUTE(SUBSTITUTE(TRIM($AR1792),"-",""),".",""),"/","")," ",""),8),7,2)),"")))</f>
        <v/>
      </c>
      <c r="AT1792" s="33">
        <f>IF($AS1792="","",IF($F$6="",0,IF(ISNUMBER(INDEX($A:$AP,ROW(),$F$6)),INDEX($A:$AP,ROW(),$F$6),IFERROR(--SUBSTITUTE(SUBSTITUTE(TRIM(INDEX($A:$AP,ROW(),$F$6)),",",""),"원",""),0))))</f>
        <v/>
      </c>
      <c r="AU1792" s="31">
        <f>IF($AS1792="","",IF($AX1792&lt;&gt;"",SUBSTITUTE(SUBSTITUTE($AX1792,"-","")," ",""),"N:"&amp;$AV1792))</f>
        <v/>
      </c>
      <c r="AV1792" s="31">
        <f>IF(OR($AS1792="",$E$6=""),"",TRIM(INDEX($A:$AP,ROW(),$E$6)&amp;""))</f>
        <v/>
      </c>
      <c r="AW1792" s="31">
        <f>IF($AU1792="","",IF(MATCH($AU1792,$AU$8:$AU$2007,0)=ROW()-7,MAX($AW$7:$AW1791)+1,""))</f>
        <v/>
      </c>
      <c r="AX1792" s="31">
        <f>IF(OR($AS1792="",$D$6=""),"",TRIM(INDEX($A:$AP,ROW(),$D$6)&amp;""))</f>
        <v/>
      </c>
      <c r="AY1792" s="31">
        <f>IF($AU1792="","",INDEX($AW$8:$AW$2007,MATCH($AU1792,$AU$8:$AU$2007,0)))</f>
        <v/>
      </c>
      <c r="AZ1792" s="31">
        <f>IF(OR($AS1792="",$C$6=""),"",TRIM(INDEX($A:$AP,ROW(),$C$6)&amp;""))</f>
        <v/>
      </c>
      <c r="BA1792" s="31">
        <f>IF($AZ1792="","",IF(COUNTIF($AZ$8:$AZ1792,$AZ1792)&gt;1,1,0))</f>
        <v/>
      </c>
    </row>
    <row r="1793">
      <c r="AR1793" s="31">
        <f>IF(OR($A$5="",$B$6="",ROW()&lt;$A$5),"",IF(INDEX($A:$AP,ROW(),$B$6)="","",INDEX($A:$AP,ROW(),$B$6)))</f>
        <v/>
      </c>
      <c r="AS1793" s="32">
        <f>IF($AR1793="","",IF(ISNUMBER($AR1793),IF($AR1793&gt;=10000000,IFERROR(DATE(INT($AR1793/10000),MOD(INT($AR1793/100),100),MOD($AR1793,100)),""),INT($AR1793)),IFERROR(DATE(--LEFT(LEFT(SUBSTITUTE(SUBSTITUTE(SUBSTITUTE(SUBSTITUTE(TRIM($AR1793),"-",""),".",""),"/","")," ",""),8),4),--MID(LEFT(SUBSTITUTE(SUBSTITUTE(SUBSTITUTE(SUBSTITUTE(TRIM($AR1793),"-",""),".",""),"/","")," ",""),8),5,2),--MID(LEFT(SUBSTITUTE(SUBSTITUTE(SUBSTITUTE(SUBSTITUTE(TRIM($AR1793),"-",""),".",""),"/","")," ",""),8),7,2)),"")))</f>
        <v/>
      </c>
      <c r="AT1793" s="33">
        <f>IF($AS1793="","",IF($F$6="",0,IF(ISNUMBER(INDEX($A:$AP,ROW(),$F$6)),INDEX($A:$AP,ROW(),$F$6),IFERROR(--SUBSTITUTE(SUBSTITUTE(TRIM(INDEX($A:$AP,ROW(),$F$6)),",",""),"원",""),0))))</f>
        <v/>
      </c>
      <c r="AU1793" s="31">
        <f>IF($AS1793="","",IF($AX1793&lt;&gt;"",SUBSTITUTE(SUBSTITUTE($AX1793,"-","")," ",""),"N:"&amp;$AV1793))</f>
        <v/>
      </c>
      <c r="AV1793" s="31">
        <f>IF(OR($AS1793="",$E$6=""),"",TRIM(INDEX($A:$AP,ROW(),$E$6)&amp;""))</f>
        <v/>
      </c>
      <c r="AW1793" s="31">
        <f>IF($AU1793="","",IF(MATCH($AU1793,$AU$8:$AU$2007,0)=ROW()-7,MAX($AW$7:$AW1792)+1,""))</f>
        <v/>
      </c>
      <c r="AX1793" s="31">
        <f>IF(OR($AS1793="",$D$6=""),"",TRIM(INDEX($A:$AP,ROW(),$D$6)&amp;""))</f>
        <v/>
      </c>
      <c r="AY1793" s="31">
        <f>IF($AU1793="","",INDEX($AW$8:$AW$2007,MATCH($AU1793,$AU$8:$AU$2007,0)))</f>
        <v/>
      </c>
      <c r="AZ1793" s="31">
        <f>IF(OR($AS1793="",$C$6=""),"",TRIM(INDEX($A:$AP,ROW(),$C$6)&amp;""))</f>
        <v/>
      </c>
      <c r="BA1793" s="31">
        <f>IF($AZ1793="","",IF(COUNTIF($AZ$8:$AZ1793,$AZ1793)&gt;1,1,0))</f>
        <v/>
      </c>
    </row>
    <row r="1794">
      <c r="AR1794" s="31">
        <f>IF(OR($A$5="",$B$6="",ROW()&lt;$A$5),"",IF(INDEX($A:$AP,ROW(),$B$6)="","",INDEX($A:$AP,ROW(),$B$6)))</f>
        <v/>
      </c>
      <c r="AS1794" s="32">
        <f>IF($AR1794="","",IF(ISNUMBER($AR1794),IF($AR1794&gt;=10000000,IFERROR(DATE(INT($AR1794/10000),MOD(INT($AR1794/100),100),MOD($AR1794,100)),""),INT($AR1794)),IFERROR(DATE(--LEFT(LEFT(SUBSTITUTE(SUBSTITUTE(SUBSTITUTE(SUBSTITUTE(TRIM($AR1794),"-",""),".",""),"/","")," ",""),8),4),--MID(LEFT(SUBSTITUTE(SUBSTITUTE(SUBSTITUTE(SUBSTITUTE(TRIM($AR1794),"-",""),".",""),"/","")," ",""),8),5,2),--MID(LEFT(SUBSTITUTE(SUBSTITUTE(SUBSTITUTE(SUBSTITUTE(TRIM($AR1794),"-",""),".",""),"/","")," ",""),8),7,2)),"")))</f>
        <v/>
      </c>
      <c r="AT1794" s="33">
        <f>IF($AS1794="","",IF($F$6="",0,IF(ISNUMBER(INDEX($A:$AP,ROW(),$F$6)),INDEX($A:$AP,ROW(),$F$6),IFERROR(--SUBSTITUTE(SUBSTITUTE(TRIM(INDEX($A:$AP,ROW(),$F$6)),",",""),"원",""),0))))</f>
        <v/>
      </c>
      <c r="AU1794" s="31">
        <f>IF($AS1794="","",IF($AX1794&lt;&gt;"",SUBSTITUTE(SUBSTITUTE($AX1794,"-","")," ",""),"N:"&amp;$AV1794))</f>
        <v/>
      </c>
      <c r="AV1794" s="31">
        <f>IF(OR($AS1794="",$E$6=""),"",TRIM(INDEX($A:$AP,ROW(),$E$6)&amp;""))</f>
        <v/>
      </c>
      <c r="AW1794" s="31">
        <f>IF($AU1794="","",IF(MATCH($AU1794,$AU$8:$AU$2007,0)=ROW()-7,MAX($AW$7:$AW1793)+1,""))</f>
        <v/>
      </c>
      <c r="AX1794" s="31">
        <f>IF(OR($AS1794="",$D$6=""),"",TRIM(INDEX($A:$AP,ROW(),$D$6)&amp;""))</f>
        <v/>
      </c>
      <c r="AY1794" s="31">
        <f>IF($AU1794="","",INDEX($AW$8:$AW$2007,MATCH($AU1794,$AU$8:$AU$2007,0)))</f>
        <v/>
      </c>
      <c r="AZ1794" s="31">
        <f>IF(OR($AS1794="",$C$6=""),"",TRIM(INDEX($A:$AP,ROW(),$C$6)&amp;""))</f>
        <v/>
      </c>
      <c r="BA1794" s="31">
        <f>IF($AZ1794="","",IF(COUNTIF($AZ$8:$AZ1794,$AZ1794)&gt;1,1,0))</f>
        <v/>
      </c>
    </row>
    <row r="1795">
      <c r="AR1795" s="31">
        <f>IF(OR($A$5="",$B$6="",ROW()&lt;$A$5),"",IF(INDEX($A:$AP,ROW(),$B$6)="","",INDEX($A:$AP,ROW(),$B$6)))</f>
        <v/>
      </c>
      <c r="AS1795" s="32">
        <f>IF($AR1795="","",IF(ISNUMBER($AR1795),IF($AR1795&gt;=10000000,IFERROR(DATE(INT($AR1795/10000),MOD(INT($AR1795/100),100),MOD($AR1795,100)),""),INT($AR1795)),IFERROR(DATE(--LEFT(LEFT(SUBSTITUTE(SUBSTITUTE(SUBSTITUTE(SUBSTITUTE(TRIM($AR1795),"-",""),".",""),"/","")," ",""),8),4),--MID(LEFT(SUBSTITUTE(SUBSTITUTE(SUBSTITUTE(SUBSTITUTE(TRIM($AR1795),"-",""),".",""),"/","")," ",""),8),5,2),--MID(LEFT(SUBSTITUTE(SUBSTITUTE(SUBSTITUTE(SUBSTITUTE(TRIM($AR1795),"-",""),".",""),"/","")," ",""),8),7,2)),"")))</f>
        <v/>
      </c>
      <c r="AT1795" s="33">
        <f>IF($AS1795="","",IF($F$6="",0,IF(ISNUMBER(INDEX($A:$AP,ROW(),$F$6)),INDEX($A:$AP,ROW(),$F$6),IFERROR(--SUBSTITUTE(SUBSTITUTE(TRIM(INDEX($A:$AP,ROW(),$F$6)),",",""),"원",""),0))))</f>
        <v/>
      </c>
      <c r="AU1795" s="31">
        <f>IF($AS1795="","",IF($AX1795&lt;&gt;"",SUBSTITUTE(SUBSTITUTE($AX1795,"-","")," ",""),"N:"&amp;$AV1795))</f>
        <v/>
      </c>
      <c r="AV1795" s="31">
        <f>IF(OR($AS1795="",$E$6=""),"",TRIM(INDEX($A:$AP,ROW(),$E$6)&amp;""))</f>
        <v/>
      </c>
      <c r="AW1795" s="31">
        <f>IF($AU1795="","",IF(MATCH($AU1795,$AU$8:$AU$2007,0)=ROW()-7,MAX($AW$7:$AW1794)+1,""))</f>
        <v/>
      </c>
      <c r="AX1795" s="31">
        <f>IF(OR($AS1795="",$D$6=""),"",TRIM(INDEX($A:$AP,ROW(),$D$6)&amp;""))</f>
        <v/>
      </c>
      <c r="AY1795" s="31">
        <f>IF($AU1795="","",INDEX($AW$8:$AW$2007,MATCH($AU1795,$AU$8:$AU$2007,0)))</f>
        <v/>
      </c>
      <c r="AZ1795" s="31">
        <f>IF(OR($AS1795="",$C$6=""),"",TRIM(INDEX($A:$AP,ROW(),$C$6)&amp;""))</f>
        <v/>
      </c>
      <c r="BA1795" s="31">
        <f>IF($AZ1795="","",IF(COUNTIF($AZ$8:$AZ1795,$AZ1795)&gt;1,1,0))</f>
        <v/>
      </c>
    </row>
    <row r="1796">
      <c r="AR1796" s="31">
        <f>IF(OR($A$5="",$B$6="",ROW()&lt;$A$5),"",IF(INDEX($A:$AP,ROW(),$B$6)="","",INDEX($A:$AP,ROW(),$B$6)))</f>
        <v/>
      </c>
      <c r="AS1796" s="32">
        <f>IF($AR1796="","",IF(ISNUMBER($AR1796),IF($AR1796&gt;=10000000,IFERROR(DATE(INT($AR1796/10000),MOD(INT($AR1796/100),100),MOD($AR1796,100)),""),INT($AR1796)),IFERROR(DATE(--LEFT(LEFT(SUBSTITUTE(SUBSTITUTE(SUBSTITUTE(SUBSTITUTE(TRIM($AR1796),"-",""),".",""),"/","")," ",""),8),4),--MID(LEFT(SUBSTITUTE(SUBSTITUTE(SUBSTITUTE(SUBSTITUTE(TRIM($AR1796),"-",""),".",""),"/","")," ",""),8),5,2),--MID(LEFT(SUBSTITUTE(SUBSTITUTE(SUBSTITUTE(SUBSTITUTE(TRIM($AR1796),"-",""),".",""),"/","")," ",""),8),7,2)),"")))</f>
        <v/>
      </c>
      <c r="AT1796" s="33">
        <f>IF($AS1796="","",IF($F$6="",0,IF(ISNUMBER(INDEX($A:$AP,ROW(),$F$6)),INDEX($A:$AP,ROW(),$F$6),IFERROR(--SUBSTITUTE(SUBSTITUTE(TRIM(INDEX($A:$AP,ROW(),$F$6)),",",""),"원",""),0))))</f>
        <v/>
      </c>
      <c r="AU1796" s="31">
        <f>IF($AS1796="","",IF($AX1796&lt;&gt;"",SUBSTITUTE(SUBSTITUTE($AX1796,"-","")," ",""),"N:"&amp;$AV1796))</f>
        <v/>
      </c>
      <c r="AV1796" s="31">
        <f>IF(OR($AS1796="",$E$6=""),"",TRIM(INDEX($A:$AP,ROW(),$E$6)&amp;""))</f>
        <v/>
      </c>
      <c r="AW1796" s="31">
        <f>IF($AU1796="","",IF(MATCH($AU1796,$AU$8:$AU$2007,0)=ROW()-7,MAX($AW$7:$AW1795)+1,""))</f>
        <v/>
      </c>
      <c r="AX1796" s="31">
        <f>IF(OR($AS1796="",$D$6=""),"",TRIM(INDEX($A:$AP,ROW(),$D$6)&amp;""))</f>
        <v/>
      </c>
      <c r="AY1796" s="31">
        <f>IF($AU1796="","",INDEX($AW$8:$AW$2007,MATCH($AU1796,$AU$8:$AU$2007,0)))</f>
        <v/>
      </c>
      <c r="AZ1796" s="31">
        <f>IF(OR($AS1796="",$C$6=""),"",TRIM(INDEX($A:$AP,ROW(),$C$6)&amp;""))</f>
        <v/>
      </c>
      <c r="BA1796" s="31">
        <f>IF($AZ1796="","",IF(COUNTIF($AZ$8:$AZ1796,$AZ1796)&gt;1,1,0))</f>
        <v/>
      </c>
    </row>
    <row r="1797">
      <c r="AR1797" s="31">
        <f>IF(OR($A$5="",$B$6="",ROW()&lt;$A$5),"",IF(INDEX($A:$AP,ROW(),$B$6)="","",INDEX($A:$AP,ROW(),$B$6)))</f>
        <v/>
      </c>
      <c r="AS1797" s="32">
        <f>IF($AR1797="","",IF(ISNUMBER($AR1797),IF($AR1797&gt;=10000000,IFERROR(DATE(INT($AR1797/10000),MOD(INT($AR1797/100),100),MOD($AR1797,100)),""),INT($AR1797)),IFERROR(DATE(--LEFT(LEFT(SUBSTITUTE(SUBSTITUTE(SUBSTITUTE(SUBSTITUTE(TRIM($AR1797),"-",""),".",""),"/","")," ",""),8),4),--MID(LEFT(SUBSTITUTE(SUBSTITUTE(SUBSTITUTE(SUBSTITUTE(TRIM($AR1797),"-",""),".",""),"/","")," ",""),8),5,2),--MID(LEFT(SUBSTITUTE(SUBSTITUTE(SUBSTITUTE(SUBSTITUTE(TRIM($AR1797),"-",""),".",""),"/","")," ",""),8),7,2)),"")))</f>
        <v/>
      </c>
      <c r="AT1797" s="33">
        <f>IF($AS1797="","",IF($F$6="",0,IF(ISNUMBER(INDEX($A:$AP,ROW(),$F$6)),INDEX($A:$AP,ROW(),$F$6),IFERROR(--SUBSTITUTE(SUBSTITUTE(TRIM(INDEX($A:$AP,ROW(),$F$6)),",",""),"원",""),0))))</f>
        <v/>
      </c>
      <c r="AU1797" s="31">
        <f>IF($AS1797="","",IF($AX1797&lt;&gt;"",SUBSTITUTE(SUBSTITUTE($AX1797,"-","")," ",""),"N:"&amp;$AV1797))</f>
        <v/>
      </c>
      <c r="AV1797" s="31">
        <f>IF(OR($AS1797="",$E$6=""),"",TRIM(INDEX($A:$AP,ROW(),$E$6)&amp;""))</f>
        <v/>
      </c>
      <c r="AW1797" s="31">
        <f>IF($AU1797="","",IF(MATCH($AU1797,$AU$8:$AU$2007,0)=ROW()-7,MAX($AW$7:$AW1796)+1,""))</f>
        <v/>
      </c>
      <c r="AX1797" s="31">
        <f>IF(OR($AS1797="",$D$6=""),"",TRIM(INDEX($A:$AP,ROW(),$D$6)&amp;""))</f>
        <v/>
      </c>
      <c r="AY1797" s="31">
        <f>IF($AU1797="","",INDEX($AW$8:$AW$2007,MATCH($AU1797,$AU$8:$AU$2007,0)))</f>
        <v/>
      </c>
      <c r="AZ1797" s="31">
        <f>IF(OR($AS1797="",$C$6=""),"",TRIM(INDEX($A:$AP,ROW(),$C$6)&amp;""))</f>
        <v/>
      </c>
      <c r="BA1797" s="31">
        <f>IF($AZ1797="","",IF(COUNTIF($AZ$8:$AZ1797,$AZ1797)&gt;1,1,0))</f>
        <v/>
      </c>
    </row>
    <row r="1798">
      <c r="AR1798" s="31">
        <f>IF(OR($A$5="",$B$6="",ROW()&lt;$A$5),"",IF(INDEX($A:$AP,ROW(),$B$6)="","",INDEX($A:$AP,ROW(),$B$6)))</f>
        <v/>
      </c>
      <c r="AS1798" s="32">
        <f>IF($AR1798="","",IF(ISNUMBER($AR1798),IF($AR1798&gt;=10000000,IFERROR(DATE(INT($AR1798/10000),MOD(INT($AR1798/100),100),MOD($AR1798,100)),""),INT($AR1798)),IFERROR(DATE(--LEFT(LEFT(SUBSTITUTE(SUBSTITUTE(SUBSTITUTE(SUBSTITUTE(TRIM($AR1798),"-",""),".",""),"/","")," ",""),8),4),--MID(LEFT(SUBSTITUTE(SUBSTITUTE(SUBSTITUTE(SUBSTITUTE(TRIM($AR1798),"-",""),".",""),"/","")," ",""),8),5,2),--MID(LEFT(SUBSTITUTE(SUBSTITUTE(SUBSTITUTE(SUBSTITUTE(TRIM($AR1798),"-",""),".",""),"/","")," ",""),8),7,2)),"")))</f>
        <v/>
      </c>
      <c r="AT1798" s="33">
        <f>IF($AS1798="","",IF($F$6="",0,IF(ISNUMBER(INDEX($A:$AP,ROW(),$F$6)),INDEX($A:$AP,ROW(),$F$6),IFERROR(--SUBSTITUTE(SUBSTITUTE(TRIM(INDEX($A:$AP,ROW(),$F$6)),",",""),"원",""),0))))</f>
        <v/>
      </c>
      <c r="AU1798" s="31">
        <f>IF($AS1798="","",IF($AX1798&lt;&gt;"",SUBSTITUTE(SUBSTITUTE($AX1798,"-","")," ",""),"N:"&amp;$AV1798))</f>
        <v/>
      </c>
      <c r="AV1798" s="31">
        <f>IF(OR($AS1798="",$E$6=""),"",TRIM(INDEX($A:$AP,ROW(),$E$6)&amp;""))</f>
        <v/>
      </c>
      <c r="AW1798" s="31">
        <f>IF($AU1798="","",IF(MATCH($AU1798,$AU$8:$AU$2007,0)=ROW()-7,MAX($AW$7:$AW1797)+1,""))</f>
        <v/>
      </c>
      <c r="AX1798" s="31">
        <f>IF(OR($AS1798="",$D$6=""),"",TRIM(INDEX($A:$AP,ROW(),$D$6)&amp;""))</f>
        <v/>
      </c>
      <c r="AY1798" s="31">
        <f>IF($AU1798="","",INDEX($AW$8:$AW$2007,MATCH($AU1798,$AU$8:$AU$2007,0)))</f>
        <v/>
      </c>
      <c r="AZ1798" s="31">
        <f>IF(OR($AS1798="",$C$6=""),"",TRIM(INDEX($A:$AP,ROW(),$C$6)&amp;""))</f>
        <v/>
      </c>
      <c r="BA1798" s="31">
        <f>IF($AZ1798="","",IF(COUNTIF($AZ$8:$AZ1798,$AZ1798)&gt;1,1,0))</f>
        <v/>
      </c>
    </row>
    <row r="1799">
      <c r="AR1799" s="31">
        <f>IF(OR($A$5="",$B$6="",ROW()&lt;$A$5),"",IF(INDEX($A:$AP,ROW(),$B$6)="","",INDEX($A:$AP,ROW(),$B$6)))</f>
        <v/>
      </c>
      <c r="AS1799" s="32">
        <f>IF($AR1799="","",IF(ISNUMBER($AR1799),IF($AR1799&gt;=10000000,IFERROR(DATE(INT($AR1799/10000),MOD(INT($AR1799/100),100),MOD($AR1799,100)),""),INT($AR1799)),IFERROR(DATE(--LEFT(LEFT(SUBSTITUTE(SUBSTITUTE(SUBSTITUTE(SUBSTITUTE(TRIM($AR1799),"-",""),".",""),"/","")," ",""),8),4),--MID(LEFT(SUBSTITUTE(SUBSTITUTE(SUBSTITUTE(SUBSTITUTE(TRIM($AR1799),"-",""),".",""),"/","")," ",""),8),5,2),--MID(LEFT(SUBSTITUTE(SUBSTITUTE(SUBSTITUTE(SUBSTITUTE(TRIM($AR1799),"-",""),".",""),"/","")," ",""),8),7,2)),"")))</f>
        <v/>
      </c>
      <c r="AT1799" s="33">
        <f>IF($AS1799="","",IF($F$6="",0,IF(ISNUMBER(INDEX($A:$AP,ROW(),$F$6)),INDEX($A:$AP,ROW(),$F$6),IFERROR(--SUBSTITUTE(SUBSTITUTE(TRIM(INDEX($A:$AP,ROW(),$F$6)),",",""),"원",""),0))))</f>
        <v/>
      </c>
      <c r="AU1799" s="31">
        <f>IF($AS1799="","",IF($AX1799&lt;&gt;"",SUBSTITUTE(SUBSTITUTE($AX1799,"-","")," ",""),"N:"&amp;$AV1799))</f>
        <v/>
      </c>
      <c r="AV1799" s="31">
        <f>IF(OR($AS1799="",$E$6=""),"",TRIM(INDEX($A:$AP,ROW(),$E$6)&amp;""))</f>
        <v/>
      </c>
      <c r="AW1799" s="31">
        <f>IF($AU1799="","",IF(MATCH($AU1799,$AU$8:$AU$2007,0)=ROW()-7,MAX($AW$7:$AW1798)+1,""))</f>
        <v/>
      </c>
      <c r="AX1799" s="31">
        <f>IF(OR($AS1799="",$D$6=""),"",TRIM(INDEX($A:$AP,ROW(),$D$6)&amp;""))</f>
        <v/>
      </c>
      <c r="AY1799" s="31">
        <f>IF($AU1799="","",INDEX($AW$8:$AW$2007,MATCH($AU1799,$AU$8:$AU$2007,0)))</f>
        <v/>
      </c>
      <c r="AZ1799" s="31">
        <f>IF(OR($AS1799="",$C$6=""),"",TRIM(INDEX($A:$AP,ROW(),$C$6)&amp;""))</f>
        <v/>
      </c>
      <c r="BA1799" s="31">
        <f>IF($AZ1799="","",IF(COUNTIF($AZ$8:$AZ1799,$AZ1799)&gt;1,1,0))</f>
        <v/>
      </c>
    </row>
    <row r="1800">
      <c r="AR1800" s="31">
        <f>IF(OR($A$5="",$B$6="",ROW()&lt;$A$5),"",IF(INDEX($A:$AP,ROW(),$B$6)="","",INDEX($A:$AP,ROW(),$B$6)))</f>
        <v/>
      </c>
      <c r="AS1800" s="32">
        <f>IF($AR1800="","",IF(ISNUMBER($AR1800),IF($AR1800&gt;=10000000,IFERROR(DATE(INT($AR1800/10000),MOD(INT($AR1800/100),100),MOD($AR1800,100)),""),INT($AR1800)),IFERROR(DATE(--LEFT(LEFT(SUBSTITUTE(SUBSTITUTE(SUBSTITUTE(SUBSTITUTE(TRIM($AR1800),"-",""),".",""),"/","")," ",""),8),4),--MID(LEFT(SUBSTITUTE(SUBSTITUTE(SUBSTITUTE(SUBSTITUTE(TRIM($AR1800),"-",""),".",""),"/","")," ",""),8),5,2),--MID(LEFT(SUBSTITUTE(SUBSTITUTE(SUBSTITUTE(SUBSTITUTE(TRIM($AR1800),"-",""),".",""),"/","")," ",""),8),7,2)),"")))</f>
        <v/>
      </c>
      <c r="AT1800" s="33">
        <f>IF($AS1800="","",IF($F$6="",0,IF(ISNUMBER(INDEX($A:$AP,ROW(),$F$6)),INDEX($A:$AP,ROW(),$F$6),IFERROR(--SUBSTITUTE(SUBSTITUTE(TRIM(INDEX($A:$AP,ROW(),$F$6)),",",""),"원",""),0))))</f>
        <v/>
      </c>
      <c r="AU1800" s="31">
        <f>IF($AS1800="","",IF($AX1800&lt;&gt;"",SUBSTITUTE(SUBSTITUTE($AX1800,"-","")," ",""),"N:"&amp;$AV1800))</f>
        <v/>
      </c>
      <c r="AV1800" s="31">
        <f>IF(OR($AS1800="",$E$6=""),"",TRIM(INDEX($A:$AP,ROW(),$E$6)&amp;""))</f>
        <v/>
      </c>
      <c r="AW1800" s="31">
        <f>IF($AU1800="","",IF(MATCH($AU1800,$AU$8:$AU$2007,0)=ROW()-7,MAX($AW$7:$AW1799)+1,""))</f>
        <v/>
      </c>
      <c r="AX1800" s="31">
        <f>IF(OR($AS1800="",$D$6=""),"",TRIM(INDEX($A:$AP,ROW(),$D$6)&amp;""))</f>
        <v/>
      </c>
      <c r="AY1800" s="31">
        <f>IF($AU1800="","",INDEX($AW$8:$AW$2007,MATCH($AU1800,$AU$8:$AU$2007,0)))</f>
        <v/>
      </c>
      <c r="AZ1800" s="31">
        <f>IF(OR($AS1800="",$C$6=""),"",TRIM(INDEX($A:$AP,ROW(),$C$6)&amp;""))</f>
        <v/>
      </c>
      <c r="BA1800" s="31">
        <f>IF($AZ1800="","",IF(COUNTIF($AZ$8:$AZ1800,$AZ1800)&gt;1,1,0))</f>
        <v/>
      </c>
    </row>
    <row r="1801">
      <c r="AR1801" s="31">
        <f>IF(OR($A$5="",$B$6="",ROW()&lt;$A$5),"",IF(INDEX($A:$AP,ROW(),$B$6)="","",INDEX($A:$AP,ROW(),$B$6)))</f>
        <v/>
      </c>
      <c r="AS1801" s="32">
        <f>IF($AR1801="","",IF(ISNUMBER($AR1801),IF($AR1801&gt;=10000000,IFERROR(DATE(INT($AR1801/10000),MOD(INT($AR1801/100),100),MOD($AR1801,100)),""),INT($AR1801)),IFERROR(DATE(--LEFT(LEFT(SUBSTITUTE(SUBSTITUTE(SUBSTITUTE(SUBSTITUTE(TRIM($AR1801),"-",""),".",""),"/","")," ",""),8),4),--MID(LEFT(SUBSTITUTE(SUBSTITUTE(SUBSTITUTE(SUBSTITUTE(TRIM($AR1801),"-",""),".",""),"/","")," ",""),8),5,2),--MID(LEFT(SUBSTITUTE(SUBSTITUTE(SUBSTITUTE(SUBSTITUTE(TRIM($AR1801),"-",""),".",""),"/","")," ",""),8),7,2)),"")))</f>
        <v/>
      </c>
      <c r="AT1801" s="33">
        <f>IF($AS1801="","",IF($F$6="",0,IF(ISNUMBER(INDEX($A:$AP,ROW(),$F$6)),INDEX($A:$AP,ROW(),$F$6),IFERROR(--SUBSTITUTE(SUBSTITUTE(TRIM(INDEX($A:$AP,ROW(),$F$6)),",",""),"원",""),0))))</f>
        <v/>
      </c>
      <c r="AU1801" s="31">
        <f>IF($AS1801="","",IF($AX1801&lt;&gt;"",SUBSTITUTE(SUBSTITUTE($AX1801,"-","")," ",""),"N:"&amp;$AV1801))</f>
        <v/>
      </c>
      <c r="AV1801" s="31">
        <f>IF(OR($AS1801="",$E$6=""),"",TRIM(INDEX($A:$AP,ROW(),$E$6)&amp;""))</f>
        <v/>
      </c>
      <c r="AW1801" s="31">
        <f>IF($AU1801="","",IF(MATCH($AU1801,$AU$8:$AU$2007,0)=ROW()-7,MAX($AW$7:$AW1800)+1,""))</f>
        <v/>
      </c>
      <c r="AX1801" s="31">
        <f>IF(OR($AS1801="",$D$6=""),"",TRIM(INDEX($A:$AP,ROW(),$D$6)&amp;""))</f>
        <v/>
      </c>
      <c r="AY1801" s="31">
        <f>IF($AU1801="","",INDEX($AW$8:$AW$2007,MATCH($AU1801,$AU$8:$AU$2007,0)))</f>
        <v/>
      </c>
      <c r="AZ1801" s="31">
        <f>IF(OR($AS1801="",$C$6=""),"",TRIM(INDEX($A:$AP,ROW(),$C$6)&amp;""))</f>
        <v/>
      </c>
      <c r="BA1801" s="31">
        <f>IF($AZ1801="","",IF(COUNTIF($AZ$8:$AZ1801,$AZ1801)&gt;1,1,0))</f>
        <v/>
      </c>
    </row>
    <row r="1802">
      <c r="AR1802" s="31">
        <f>IF(OR($A$5="",$B$6="",ROW()&lt;$A$5),"",IF(INDEX($A:$AP,ROW(),$B$6)="","",INDEX($A:$AP,ROW(),$B$6)))</f>
        <v/>
      </c>
      <c r="AS1802" s="32">
        <f>IF($AR1802="","",IF(ISNUMBER($AR1802),IF($AR1802&gt;=10000000,IFERROR(DATE(INT($AR1802/10000),MOD(INT($AR1802/100),100),MOD($AR1802,100)),""),INT($AR1802)),IFERROR(DATE(--LEFT(LEFT(SUBSTITUTE(SUBSTITUTE(SUBSTITUTE(SUBSTITUTE(TRIM($AR1802),"-",""),".",""),"/","")," ",""),8),4),--MID(LEFT(SUBSTITUTE(SUBSTITUTE(SUBSTITUTE(SUBSTITUTE(TRIM($AR1802),"-",""),".",""),"/","")," ",""),8),5,2),--MID(LEFT(SUBSTITUTE(SUBSTITUTE(SUBSTITUTE(SUBSTITUTE(TRIM($AR1802),"-",""),".",""),"/","")," ",""),8),7,2)),"")))</f>
        <v/>
      </c>
      <c r="AT1802" s="33">
        <f>IF($AS1802="","",IF($F$6="",0,IF(ISNUMBER(INDEX($A:$AP,ROW(),$F$6)),INDEX($A:$AP,ROW(),$F$6),IFERROR(--SUBSTITUTE(SUBSTITUTE(TRIM(INDEX($A:$AP,ROW(),$F$6)),",",""),"원",""),0))))</f>
        <v/>
      </c>
      <c r="AU1802" s="31">
        <f>IF($AS1802="","",IF($AX1802&lt;&gt;"",SUBSTITUTE(SUBSTITUTE($AX1802,"-","")," ",""),"N:"&amp;$AV1802))</f>
        <v/>
      </c>
      <c r="AV1802" s="31">
        <f>IF(OR($AS1802="",$E$6=""),"",TRIM(INDEX($A:$AP,ROW(),$E$6)&amp;""))</f>
        <v/>
      </c>
      <c r="AW1802" s="31">
        <f>IF($AU1802="","",IF(MATCH($AU1802,$AU$8:$AU$2007,0)=ROW()-7,MAX($AW$7:$AW1801)+1,""))</f>
        <v/>
      </c>
      <c r="AX1802" s="31">
        <f>IF(OR($AS1802="",$D$6=""),"",TRIM(INDEX($A:$AP,ROW(),$D$6)&amp;""))</f>
        <v/>
      </c>
      <c r="AY1802" s="31">
        <f>IF($AU1802="","",INDEX($AW$8:$AW$2007,MATCH($AU1802,$AU$8:$AU$2007,0)))</f>
        <v/>
      </c>
      <c r="AZ1802" s="31">
        <f>IF(OR($AS1802="",$C$6=""),"",TRIM(INDEX($A:$AP,ROW(),$C$6)&amp;""))</f>
        <v/>
      </c>
      <c r="BA1802" s="31">
        <f>IF($AZ1802="","",IF(COUNTIF($AZ$8:$AZ1802,$AZ1802)&gt;1,1,0))</f>
        <v/>
      </c>
    </row>
    <row r="1803">
      <c r="AR1803" s="31">
        <f>IF(OR($A$5="",$B$6="",ROW()&lt;$A$5),"",IF(INDEX($A:$AP,ROW(),$B$6)="","",INDEX($A:$AP,ROW(),$B$6)))</f>
        <v/>
      </c>
      <c r="AS1803" s="32">
        <f>IF($AR1803="","",IF(ISNUMBER($AR1803),IF($AR1803&gt;=10000000,IFERROR(DATE(INT($AR1803/10000),MOD(INT($AR1803/100),100),MOD($AR1803,100)),""),INT($AR1803)),IFERROR(DATE(--LEFT(LEFT(SUBSTITUTE(SUBSTITUTE(SUBSTITUTE(SUBSTITUTE(TRIM($AR1803),"-",""),".",""),"/","")," ",""),8),4),--MID(LEFT(SUBSTITUTE(SUBSTITUTE(SUBSTITUTE(SUBSTITUTE(TRIM($AR1803),"-",""),".",""),"/","")," ",""),8),5,2),--MID(LEFT(SUBSTITUTE(SUBSTITUTE(SUBSTITUTE(SUBSTITUTE(TRIM($AR1803),"-",""),".",""),"/","")," ",""),8),7,2)),"")))</f>
        <v/>
      </c>
      <c r="AT1803" s="33">
        <f>IF($AS1803="","",IF($F$6="",0,IF(ISNUMBER(INDEX($A:$AP,ROW(),$F$6)),INDEX($A:$AP,ROW(),$F$6),IFERROR(--SUBSTITUTE(SUBSTITUTE(TRIM(INDEX($A:$AP,ROW(),$F$6)),",",""),"원",""),0))))</f>
        <v/>
      </c>
      <c r="AU1803" s="31">
        <f>IF($AS1803="","",IF($AX1803&lt;&gt;"",SUBSTITUTE(SUBSTITUTE($AX1803,"-","")," ",""),"N:"&amp;$AV1803))</f>
        <v/>
      </c>
      <c r="AV1803" s="31">
        <f>IF(OR($AS1803="",$E$6=""),"",TRIM(INDEX($A:$AP,ROW(),$E$6)&amp;""))</f>
        <v/>
      </c>
      <c r="AW1803" s="31">
        <f>IF($AU1803="","",IF(MATCH($AU1803,$AU$8:$AU$2007,0)=ROW()-7,MAX($AW$7:$AW1802)+1,""))</f>
        <v/>
      </c>
      <c r="AX1803" s="31">
        <f>IF(OR($AS1803="",$D$6=""),"",TRIM(INDEX($A:$AP,ROW(),$D$6)&amp;""))</f>
        <v/>
      </c>
      <c r="AY1803" s="31">
        <f>IF($AU1803="","",INDEX($AW$8:$AW$2007,MATCH($AU1803,$AU$8:$AU$2007,0)))</f>
        <v/>
      </c>
      <c r="AZ1803" s="31">
        <f>IF(OR($AS1803="",$C$6=""),"",TRIM(INDEX($A:$AP,ROW(),$C$6)&amp;""))</f>
        <v/>
      </c>
      <c r="BA1803" s="31">
        <f>IF($AZ1803="","",IF(COUNTIF($AZ$8:$AZ1803,$AZ1803)&gt;1,1,0))</f>
        <v/>
      </c>
    </row>
    <row r="1804">
      <c r="AR1804" s="31">
        <f>IF(OR($A$5="",$B$6="",ROW()&lt;$A$5),"",IF(INDEX($A:$AP,ROW(),$B$6)="","",INDEX($A:$AP,ROW(),$B$6)))</f>
        <v/>
      </c>
      <c r="AS1804" s="32">
        <f>IF($AR1804="","",IF(ISNUMBER($AR1804),IF($AR1804&gt;=10000000,IFERROR(DATE(INT($AR1804/10000),MOD(INT($AR1804/100),100),MOD($AR1804,100)),""),INT($AR1804)),IFERROR(DATE(--LEFT(LEFT(SUBSTITUTE(SUBSTITUTE(SUBSTITUTE(SUBSTITUTE(TRIM($AR1804),"-",""),".",""),"/","")," ",""),8),4),--MID(LEFT(SUBSTITUTE(SUBSTITUTE(SUBSTITUTE(SUBSTITUTE(TRIM($AR1804),"-",""),".",""),"/","")," ",""),8),5,2),--MID(LEFT(SUBSTITUTE(SUBSTITUTE(SUBSTITUTE(SUBSTITUTE(TRIM($AR1804),"-",""),".",""),"/","")," ",""),8),7,2)),"")))</f>
        <v/>
      </c>
      <c r="AT1804" s="33">
        <f>IF($AS1804="","",IF($F$6="",0,IF(ISNUMBER(INDEX($A:$AP,ROW(),$F$6)),INDEX($A:$AP,ROW(),$F$6),IFERROR(--SUBSTITUTE(SUBSTITUTE(TRIM(INDEX($A:$AP,ROW(),$F$6)),",",""),"원",""),0))))</f>
        <v/>
      </c>
      <c r="AU1804" s="31">
        <f>IF($AS1804="","",IF($AX1804&lt;&gt;"",SUBSTITUTE(SUBSTITUTE($AX1804,"-","")," ",""),"N:"&amp;$AV1804))</f>
        <v/>
      </c>
      <c r="AV1804" s="31">
        <f>IF(OR($AS1804="",$E$6=""),"",TRIM(INDEX($A:$AP,ROW(),$E$6)&amp;""))</f>
        <v/>
      </c>
      <c r="AW1804" s="31">
        <f>IF($AU1804="","",IF(MATCH($AU1804,$AU$8:$AU$2007,0)=ROW()-7,MAX($AW$7:$AW1803)+1,""))</f>
        <v/>
      </c>
      <c r="AX1804" s="31">
        <f>IF(OR($AS1804="",$D$6=""),"",TRIM(INDEX($A:$AP,ROW(),$D$6)&amp;""))</f>
        <v/>
      </c>
      <c r="AY1804" s="31">
        <f>IF($AU1804="","",INDEX($AW$8:$AW$2007,MATCH($AU1804,$AU$8:$AU$2007,0)))</f>
        <v/>
      </c>
      <c r="AZ1804" s="31">
        <f>IF(OR($AS1804="",$C$6=""),"",TRIM(INDEX($A:$AP,ROW(),$C$6)&amp;""))</f>
        <v/>
      </c>
      <c r="BA1804" s="31">
        <f>IF($AZ1804="","",IF(COUNTIF($AZ$8:$AZ1804,$AZ1804)&gt;1,1,0))</f>
        <v/>
      </c>
    </row>
    <row r="1805">
      <c r="AR1805" s="31">
        <f>IF(OR($A$5="",$B$6="",ROW()&lt;$A$5),"",IF(INDEX($A:$AP,ROW(),$B$6)="","",INDEX($A:$AP,ROW(),$B$6)))</f>
        <v/>
      </c>
      <c r="AS1805" s="32">
        <f>IF($AR1805="","",IF(ISNUMBER($AR1805),IF($AR1805&gt;=10000000,IFERROR(DATE(INT($AR1805/10000),MOD(INT($AR1805/100),100),MOD($AR1805,100)),""),INT($AR1805)),IFERROR(DATE(--LEFT(LEFT(SUBSTITUTE(SUBSTITUTE(SUBSTITUTE(SUBSTITUTE(TRIM($AR1805),"-",""),".",""),"/","")," ",""),8),4),--MID(LEFT(SUBSTITUTE(SUBSTITUTE(SUBSTITUTE(SUBSTITUTE(TRIM($AR1805),"-",""),".",""),"/","")," ",""),8),5,2),--MID(LEFT(SUBSTITUTE(SUBSTITUTE(SUBSTITUTE(SUBSTITUTE(TRIM($AR1805),"-",""),".",""),"/","")," ",""),8),7,2)),"")))</f>
        <v/>
      </c>
      <c r="AT1805" s="33">
        <f>IF($AS1805="","",IF($F$6="",0,IF(ISNUMBER(INDEX($A:$AP,ROW(),$F$6)),INDEX($A:$AP,ROW(),$F$6),IFERROR(--SUBSTITUTE(SUBSTITUTE(TRIM(INDEX($A:$AP,ROW(),$F$6)),",",""),"원",""),0))))</f>
        <v/>
      </c>
      <c r="AU1805" s="31">
        <f>IF($AS1805="","",IF($AX1805&lt;&gt;"",SUBSTITUTE(SUBSTITUTE($AX1805,"-","")," ",""),"N:"&amp;$AV1805))</f>
        <v/>
      </c>
      <c r="AV1805" s="31">
        <f>IF(OR($AS1805="",$E$6=""),"",TRIM(INDEX($A:$AP,ROW(),$E$6)&amp;""))</f>
        <v/>
      </c>
      <c r="AW1805" s="31">
        <f>IF($AU1805="","",IF(MATCH($AU1805,$AU$8:$AU$2007,0)=ROW()-7,MAX($AW$7:$AW1804)+1,""))</f>
        <v/>
      </c>
      <c r="AX1805" s="31">
        <f>IF(OR($AS1805="",$D$6=""),"",TRIM(INDEX($A:$AP,ROW(),$D$6)&amp;""))</f>
        <v/>
      </c>
      <c r="AY1805" s="31">
        <f>IF($AU1805="","",INDEX($AW$8:$AW$2007,MATCH($AU1805,$AU$8:$AU$2007,0)))</f>
        <v/>
      </c>
      <c r="AZ1805" s="31">
        <f>IF(OR($AS1805="",$C$6=""),"",TRIM(INDEX($A:$AP,ROW(),$C$6)&amp;""))</f>
        <v/>
      </c>
      <c r="BA1805" s="31">
        <f>IF($AZ1805="","",IF(COUNTIF($AZ$8:$AZ1805,$AZ1805)&gt;1,1,0))</f>
        <v/>
      </c>
    </row>
    <row r="1806">
      <c r="AR1806" s="31">
        <f>IF(OR($A$5="",$B$6="",ROW()&lt;$A$5),"",IF(INDEX($A:$AP,ROW(),$B$6)="","",INDEX($A:$AP,ROW(),$B$6)))</f>
        <v/>
      </c>
      <c r="AS1806" s="32">
        <f>IF($AR1806="","",IF(ISNUMBER($AR1806),IF($AR1806&gt;=10000000,IFERROR(DATE(INT($AR1806/10000),MOD(INT($AR1806/100),100),MOD($AR1806,100)),""),INT($AR1806)),IFERROR(DATE(--LEFT(LEFT(SUBSTITUTE(SUBSTITUTE(SUBSTITUTE(SUBSTITUTE(TRIM($AR1806),"-",""),".",""),"/","")," ",""),8),4),--MID(LEFT(SUBSTITUTE(SUBSTITUTE(SUBSTITUTE(SUBSTITUTE(TRIM($AR1806),"-",""),".",""),"/","")," ",""),8),5,2),--MID(LEFT(SUBSTITUTE(SUBSTITUTE(SUBSTITUTE(SUBSTITUTE(TRIM($AR1806),"-",""),".",""),"/","")," ",""),8),7,2)),"")))</f>
        <v/>
      </c>
      <c r="AT1806" s="33">
        <f>IF($AS1806="","",IF($F$6="",0,IF(ISNUMBER(INDEX($A:$AP,ROW(),$F$6)),INDEX($A:$AP,ROW(),$F$6),IFERROR(--SUBSTITUTE(SUBSTITUTE(TRIM(INDEX($A:$AP,ROW(),$F$6)),",",""),"원",""),0))))</f>
        <v/>
      </c>
      <c r="AU1806" s="31">
        <f>IF($AS1806="","",IF($AX1806&lt;&gt;"",SUBSTITUTE(SUBSTITUTE($AX1806,"-","")," ",""),"N:"&amp;$AV1806))</f>
        <v/>
      </c>
      <c r="AV1806" s="31">
        <f>IF(OR($AS1806="",$E$6=""),"",TRIM(INDEX($A:$AP,ROW(),$E$6)&amp;""))</f>
        <v/>
      </c>
      <c r="AW1806" s="31">
        <f>IF($AU1806="","",IF(MATCH($AU1806,$AU$8:$AU$2007,0)=ROW()-7,MAX($AW$7:$AW1805)+1,""))</f>
        <v/>
      </c>
      <c r="AX1806" s="31">
        <f>IF(OR($AS1806="",$D$6=""),"",TRIM(INDEX($A:$AP,ROW(),$D$6)&amp;""))</f>
        <v/>
      </c>
      <c r="AY1806" s="31">
        <f>IF($AU1806="","",INDEX($AW$8:$AW$2007,MATCH($AU1806,$AU$8:$AU$2007,0)))</f>
        <v/>
      </c>
      <c r="AZ1806" s="31">
        <f>IF(OR($AS1806="",$C$6=""),"",TRIM(INDEX($A:$AP,ROW(),$C$6)&amp;""))</f>
        <v/>
      </c>
      <c r="BA1806" s="31">
        <f>IF($AZ1806="","",IF(COUNTIF($AZ$8:$AZ1806,$AZ1806)&gt;1,1,0))</f>
        <v/>
      </c>
    </row>
    <row r="1807">
      <c r="AR1807" s="31">
        <f>IF(OR($A$5="",$B$6="",ROW()&lt;$A$5),"",IF(INDEX($A:$AP,ROW(),$B$6)="","",INDEX($A:$AP,ROW(),$B$6)))</f>
        <v/>
      </c>
      <c r="AS1807" s="32">
        <f>IF($AR1807="","",IF(ISNUMBER($AR1807),IF($AR1807&gt;=10000000,IFERROR(DATE(INT($AR1807/10000),MOD(INT($AR1807/100),100),MOD($AR1807,100)),""),INT($AR1807)),IFERROR(DATE(--LEFT(LEFT(SUBSTITUTE(SUBSTITUTE(SUBSTITUTE(SUBSTITUTE(TRIM($AR1807),"-",""),".",""),"/","")," ",""),8),4),--MID(LEFT(SUBSTITUTE(SUBSTITUTE(SUBSTITUTE(SUBSTITUTE(TRIM($AR1807),"-",""),".",""),"/","")," ",""),8),5,2),--MID(LEFT(SUBSTITUTE(SUBSTITUTE(SUBSTITUTE(SUBSTITUTE(TRIM($AR1807),"-",""),".",""),"/","")," ",""),8),7,2)),"")))</f>
        <v/>
      </c>
      <c r="AT1807" s="33">
        <f>IF($AS1807="","",IF($F$6="",0,IF(ISNUMBER(INDEX($A:$AP,ROW(),$F$6)),INDEX($A:$AP,ROW(),$F$6),IFERROR(--SUBSTITUTE(SUBSTITUTE(TRIM(INDEX($A:$AP,ROW(),$F$6)),",",""),"원",""),0))))</f>
        <v/>
      </c>
      <c r="AU1807" s="31">
        <f>IF($AS1807="","",IF($AX1807&lt;&gt;"",SUBSTITUTE(SUBSTITUTE($AX1807,"-","")," ",""),"N:"&amp;$AV1807))</f>
        <v/>
      </c>
      <c r="AV1807" s="31">
        <f>IF(OR($AS1807="",$E$6=""),"",TRIM(INDEX($A:$AP,ROW(),$E$6)&amp;""))</f>
        <v/>
      </c>
      <c r="AW1807" s="31">
        <f>IF($AU1807="","",IF(MATCH($AU1807,$AU$8:$AU$2007,0)=ROW()-7,MAX($AW$7:$AW1806)+1,""))</f>
        <v/>
      </c>
      <c r="AX1807" s="31">
        <f>IF(OR($AS1807="",$D$6=""),"",TRIM(INDEX($A:$AP,ROW(),$D$6)&amp;""))</f>
        <v/>
      </c>
      <c r="AY1807" s="31">
        <f>IF($AU1807="","",INDEX($AW$8:$AW$2007,MATCH($AU1807,$AU$8:$AU$2007,0)))</f>
        <v/>
      </c>
      <c r="AZ1807" s="31">
        <f>IF(OR($AS1807="",$C$6=""),"",TRIM(INDEX($A:$AP,ROW(),$C$6)&amp;""))</f>
        <v/>
      </c>
      <c r="BA1807" s="31">
        <f>IF($AZ1807="","",IF(COUNTIF($AZ$8:$AZ1807,$AZ1807)&gt;1,1,0))</f>
        <v/>
      </c>
    </row>
    <row r="1808">
      <c r="AR1808" s="31">
        <f>IF(OR($A$5="",$B$6="",ROW()&lt;$A$5),"",IF(INDEX($A:$AP,ROW(),$B$6)="","",INDEX($A:$AP,ROW(),$B$6)))</f>
        <v/>
      </c>
      <c r="AS1808" s="32">
        <f>IF($AR1808="","",IF(ISNUMBER($AR1808),IF($AR1808&gt;=10000000,IFERROR(DATE(INT($AR1808/10000),MOD(INT($AR1808/100),100),MOD($AR1808,100)),""),INT($AR1808)),IFERROR(DATE(--LEFT(LEFT(SUBSTITUTE(SUBSTITUTE(SUBSTITUTE(SUBSTITUTE(TRIM($AR1808),"-",""),".",""),"/","")," ",""),8),4),--MID(LEFT(SUBSTITUTE(SUBSTITUTE(SUBSTITUTE(SUBSTITUTE(TRIM($AR1808),"-",""),".",""),"/","")," ",""),8),5,2),--MID(LEFT(SUBSTITUTE(SUBSTITUTE(SUBSTITUTE(SUBSTITUTE(TRIM($AR1808),"-",""),".",""),"/","")," ",""),8),7,2)),"")))</f>
        <v/>
      </c>
      <c r="AT1808" s="33">
        <f>IF($AS1808="","",IF($F$6="",0,IF(ISNUMBER(INDEX($A:$AP,ROW(),$F$6)),INDEX($A:$AP,ROW(),$F$6),IFERROR(--SUBSTITUTE(SUBSTITUTE(TRIM(INDEX($A:$AP,ROW(),$F$6)),",",""),"원",""),0))))</f>
        <v/>
      </c>
      <c r="AU1808" s="31">
        <f>IF($AS1808="","",IF($AX1808&lt;&gt;"",SUBSTITUTE(SUBSTITUTE($AX1808,"-","")," ",""),"N:"&amp;$AV1808))</f>
        <v/>
      </c>
      <c r="AV1808" s="31">
        <f>IF(OR($AS1808="",$E$6=""),"",TRIM(INDEX($A:$AP,ROW(),$E$6)&amp;""))</f>
        <v/>
      </c>
      <c r="AW1808" s="31">
        <f>IF($AU1808="","",IF(MATCH($AU1808,$AU$8:$AU$2007,0)=ROW()-7,MAX($AW$7:$AW1807)+1,""))</f>
        <v/>
      </c>
      <c r="AX1808" s="31">
        <f>IF(OR($AS1808="",$D$6=""),"",TRIM(INDEX($A:$AP,ROW(),$D$6)&amp;""))</f>
        <v/>
      </c>
      <c r="AY1808" s="31">
        <f>IF($AU1808="","",INDEX($AW$8:$AW$2007,MATCH($AU1808,$AU$8:$AU$2007,0)))</f>
        <v/>
      </c>
      <c r="AZ1808" s="31">
        <f>IF(OR($AS1808="",$C$6=""),"",TRIM(INDEX($A:$AP,ROW(),$C$6)&amp;""))</f>
        <v/>
      </c>
      <c r="BA1808" s="31">
        <f>IF($AZ1808="","",IF(COUNTIF($AZ$8:$AZ1808,$AZ1808)&gt;1,1,0))</f>
        <v/>
      </c>
    </row>
    <row r="1809">
      <c r="AR1809" s="31">
        <f>IF(OR($A$5="",$B$6="",ROW()&lt;$A$5),"",IF(INDEX($A:$AP,ROW(),$B$6)="","",INDEX($A:$AP,ROW(),$B$6)))</f>
        <v/>
      </c>
      <c r="AS1809" s="32">
        <f>IF($AR1809="","",IF(ISNUMBER($AR1809),IF($AR1809&gt;=10000000,IFERROR(DATE(INT($AR1809/10000),MOD(INT($AR1809/100),100),MOD($AR1809,100)),""),INT($AR1809)),IFERROR(DATE(--LEFT(LEFT(SUBSTITUTE(SUBSTITUTE(SUBSTITUTE(SUBSTITUTE(TRIM($AR1809),"-",""),".",""),"/","")," ",""),8),4),--MID(LEFT(SUBSTITUTE(SUBSTITUTE(SUBSTITUTE(SUBSTITUTE(TRIM($AR1809),"-",""),".",""),"/","")," ",""),8),5,2),--MID(LEFT(SUBSTITUTE(SUBSTITUTE(SUBSTITUTE(SUBSTITUTE(TRIM($AR1809),"-",""),".",""),"/","")," ",""),8),7,2)),"")))</f>
        <v/>
      </c>
      <c r="AT1809" s="33">
        <f>IF($AS1809="","",IF($F$6="",0,IF(ISNUMBER(INDEX($A:$AP,ROW(),$F$6)),INDEX($A:$AP,ROW(),$F$6),IFERROR(--SUBSTITUTE(SUBSTITUTE(TRIM(INDEX($A:$AP,ROW(),$F$6)),",",""),"원",""),0))))</f>
        <v/>
      </c>
      <c r="AU1809" s="31">
        <f>IF($AS1809="","",IF($AX1809&lt;&gt;"",SUBSTITUTE(SUBSTITUTE($AX1809,"-","")," ",""),"N:"&amp;$AV1809))</f>
        <v/>
      </c>
      <c r="AV1809" s="31">
        <f>IF(OR($AS1809="",$E$6=""),"",TRIM(INDEX($A:$AP,ROW(),$E$6)&amp;""))</f>
        <v/>
      </c>
      <c r="AW1809" s="31">
        <f>IF($AU1809="","",IF(MATCH($AU1809,$AU$8:$AU$2007,0)=ROW()-7,MAX($AW$7:$AW1808)+1,""))</f>
        <v/>
      </c>
      <c r="AX1809" s="31">
        <f>IF(OR($AS1809="",$D$6=""),"",TRIM(INDEX($A:$AP,ROW(),$D$6)&amp;""))</f>
        <v/>
      </c>
      <c r="AY1809" s="31">
        <f>IF($AU1809="","",INDEX($AW$8:$AW$2007,MATCH($AU1809,$AU$8:$AU$2007,0)))</f>
        <v/>
      </c>
      <c r="AZ1809" s="31">
        <f>IF(OR($AS1809="",$C$6=""),"",TRIM(INDEX($A:$AP,ROW(),$C$6)&amp;""))</f>
        <v/>
      </c>
      <c r="BA1809" s="31">
        <f>IF($AZ1809="","",IF(COUNTIF($AZ$8:$AZ1809,$AZ1809)&gt;1,1,0))</f>
        <v/>
      </c>
    </row>
    <row r="1810">
      <c r="AR1810" s="31">
        <f>IF(OR($A$5="",$B$6="",ROW()&lt;$A$5),"",IF(INDEX($A:$AP,ROW(),$B$6)="","",INDEX($A:$AP,ROW(),$B$6)))</f>
        <v/>
      </c>
      <c r="AS1810" s="32">
        <f>IF($AR1810="","",IF(ISNUMBER($AR1810),IF($AR1810&gt;=10000000,IFERROR(DATE(INT($AR1810/10000),MOD(INT($AR1810/100),100),MOD($AR1810,100)),""),INT($AR1810)),IFERROR(DATE(--LEFT(LEFT(SUBSTITUTE(SUBSTITUTE(SUBSTITUTE(SUBSTITUTE(TRIM($AR1810),"-",""),".",""),"/","")," ",""),8),4),--MID(LEFT(SUBSTITUTE(SUBSTITUTE(SUBSTITUTE(SUBSTITUTE(TRIM($AR1810),"-",""),".",""),"/","")," ",""),8),5,2),--MID(LEFT(SUBSTITUTE(SUBSTITUTE(SUBSTITUTE(SUBSTITUTE(TRIM($AR1810),"-",""),".",""),"/","")," ",""),8),7,2)),"")))</f>
        <v/>
      </c>
      <c r="AT1810" s="33">
        <f>IF($AS1810="","",IF($F$6="",0,IF(ISNUMBER(INDEX($A:$AP,ROW(),$F$6)),INDEX($A:$AP,ROW(),$F$6),IFERROR(--SUBSTITUTE(SUBSTITUTE(TRIM(INDEX($A:$AP,ROW(),$F$6)),",",""),"원",""),0))))</f>
        <v/>
      </c>
      <c r="AU1810" s="31">
        <f>IF($AS1810="","",IF($AX1810&lt;&gt;"",SUBSTITUTE(SUBSTITUTE($AX1810,"-","")," ",""),"N:"&amp;$AV1810))</f>
        <v/>
      </c>
      <c r="AV1810" s="31">
        <f>IF(OR($AS1810="",$E$6=""),"",TRIM(INDEX($A:$AP,ROW(),$E$6)&amp;""))</f>
        <v/>
      </c>
      <c r="AW1810" s="31">
        <f>IF($AU1810="","",IF(MATCH($AU1810,$AU$8:$AU$2007,0)=ROW()-7,MAX($AW$7:$AW1809)+1,""))</f>
        <v/>
      </c>
      <c r="AX1810" s="31">
        <f>IF(OR($AS1810="",$D$6=""),"",TRIM(INDEX($A:$AP,ROW(),$D$6)&amp;""))</f>
        <v/>
      </c>
      <c r="AY1810" s="31">
        <f>IF($AU1810="","",INDEX($AW$8:$AW$2007,MATCH($AU1810,$AU$8:$AU$2007,0)))</f>
        <v/>
      </c>
      <c r="AZ1810" s="31">
        <f>IF(OR($AS1810="",$C$6=""),"",TRIM(INDEX($A:$AP,ROW(),$C$6)&amp;""))</f>
        <v/>
      </c>
      <c r="BA1810" s="31">
        <f>IF($AZ1810="","",IF(COUNTIF($AZ$8:$AZ1810,$AZ1810)&gt;1,1,0))</f>
        <v/>
      </c>
    </row>
    <row r="1811">
      <c r="AR1811" s="31">
        <f>IF(OR($A$5="",$B$6="",ROW()&lt;$A$5),"",IF(INDEX($A:$AP,ROW(),$B$6)="","",INDEX($A:$AP,ROW(),$B$6)))</f>
        <v/>
      </c>
      <c r="AS1811" s="32">
        <f>IF($AR1811="","",IF(ISNUMBER($AR1811),IF($AR1811&gt;=10000000,IFERROR(DATE(INT($AR1811/10000),MOD(INT($AR1811/100),100),MOD($AR1811,100)),""),INT($AR1811)),IFERROR(DATE(--LEFT(LEFT(SUBSTITUTE(SUBSTITUTE(SUBSTITUTE(SUBSTITUTE(TRIM($AR1811),"-",""),".",""),"/","")," ",""),8),4),--MID(LEFT(SUBSTITUTE(SUBSTITUTE(SUBSTITUTE(SUBSTITUTE(TRIM($AR1811),"-",""),".",""),"/","")," ",""),8),5,2),--MID(LEFT(SUBSTITUTE(SUBSTITUTE(SUBSTITUTE(SUBSTITUTE(TRIM($AR1811),"-",""),".",""),"/","")," ",""),8),7,2)),"")))</f>
        <v/>
      </c>
      <c r="AT1811" s="33">
        <f>IF($AS1811="","",IF($F$6="",0,IF(ISNUMBER(INDEX($A:$AP,ROW(),$F$6)),INDEX($A:$AP,ROW(),$F$6),IFERROR(--SUBSTITUTE(SUBSTITUTE(TRIM(INDEX($A:$AP,ROW(),$F$6)),",",""),"원",""),0))))</f>
        <v/>
      </c>
      <c r="AU1811" s="31">
        <f>IF($AS1811="","",IF($AX1811&lt;&gt;"",SUBSTITUTE(SUBSTITUTE($AX1811,"-","")," ",""),"N:"&amp;$AV1811))</f>
        <v/>
      </c>
      <c r="AV1811" s="31">
        <f>IF(OR($AS1811="",$E$6=""),"",TRIM(INDEX($A:$AP,ROW(),$E$6)&amp;""))</f>
        <v/>
      </c>
      <c r="AW1811" s="31">
        <f>IF($AU1811="","",IF(MATCH($AU1811,$AU$8:$AU$2007,0)=ROW()-7,MAX($AW$7:$AW1810)+1,""))</f>
        <v/>
      </c>
      <c r="AX1811" s="31">
        <f>IF(OR($AS1811="",$D$6=""),"",TRIM(INDEX($A:$AP,ROW(),$D$6)&amp;""))</f>
        <v/>
      </c>
      <c r="AY1811" s="31">
        <f>IF($AU1811="","",INDEX($AW$8:$AW$2007,MATCH($AU1811,$AU$8:$AU$2007,0)))</f>
        <v/>
      </c>
      <c r="AZ1811" s="31">
        <f>IF(OR($AS1811="",$C$6=""),"",TRIM(INDEX($A:$AP,ROW(),$C$6)&amp;""))</f>
        <v/>
      </c>
      <c r="BA1811" s="31">
        <f>IF($AZ1811="","",IF(COUNTIF($AZ$8:$AZ1811,$AZ1811)&gt;1,1,0))</f>
        <v/>
      </c>
    </row>
    <row r="1812">
      <c r="AR1812" s="31">
        <f>IF(OR($A$5="",$B$6="",ROW()&lt;$A$5),"",IF(INDEX($A:$AP,ROW(),$B$6)="","",INDEX($A:$AP,ROW(),$B$6)))</f>
        <v/>
      </c>
      <c r="AS1812" s="32">
        <f>IF($AR1812="","",IF(ISNUMBER($AR1812),IF($AR1812&gt;=10000000,IFERROR(DATE(INT($AR1812/10000),MOD(INT($AR1812/100),100),MOD($AR1812,100)),""),INT($AR1812)),IFERROR(DATE(--LEFT(LEFT(SUBSTITUTE(SUBSTITUTE(SUBSTITUTE(SUBSTITUTE(TRIM($AR1812),"-",""),".",""),"/","")," ",""),8),4),--MID(LEFT(SUBSTITUTE(SUBSTITUTE(SUBSTITUTE(SUBSTITUTE(TRIM($AR1812),"-",""),".",""),"/","")," ",""),8),5,2),--MID(LEFT(SUBSTITUTE(SUBSTITUTE(SUBSTITUTE(SUBSTITUTE(TRIM($AR1812),"-",""),".",""),"/","")," ",""),8),7,2)),"")))</f>
        <v/>
      </c>
      <c r="AT1812" s="33">
        <f>IF($AS1812="","",IF($F$6="",0,IF(ISNUMBER(INDEX($A:$AP,ROW(),$F$6)),INDEX($A:$AP,ROW(),$F$6),IFERROR(--SUBSTITUTE(SUBSTITUTE(TRIM(INDEX($A:$AP,ROW(),$F$6)),",",""),"원",""),0))))</f>
        <v/>
      </c>
      <c r="AU1812" s="31">
        <f>IF($AS1812="","",IF($AX1812&lt;&gt;"",SUBSTITUTE(SUBSTITUTE($AX1812,"-","")," ",""),"N:"&amp;$AV1812))</f>
        <v/>
      </c>
      <c r="AV1812" s="31">
        <f>IF(OR($AS1812="",$E$6=""),"",TRIM(INDEX($A:$AP,ROW(),$E$6)&amp;""))</f>
        <v/>
      </c>
      <c r="AW1812" s="31">
        <f>IF($AU1812="","",IF(MATCH($AU1812,$AU$8:$AU$2007,0)=ROW()-7,MAX($AW$7:$AW1811)+1,""))</f>
        <v/>
      </c>
      <c r="AX1812" s="31">
        <f>IF(OR($AS1812="",$D$6=""),"",TRIM(INDEX($A:$AP,ROW(),$D$6)&amp;""))</f>
        <v/>
      </c>
      <c r="AY1812" s="31">
        <f>IF($AU1812="","",INDEX($AW$8:$AW$2007,MATCH($AU1812,$AU$8:$AU$2007,0)))</f>
        <v/>
      </c>
      <c r="AZ1812" s="31">
        <f>IF(OR($AS1812="",$C$6=""),"",TRIM(INDEX($A:$AP,ROW(),$C$6)&amp;""))</f>
        <v/>
      </c>
      <c r="BA1812" s="31">
        <f>IF($AZ1812="","",IF(COUNTIF($AZ$8:$AZ1812,$AZ1812)&gt;1,1,0))</f>
        <v/>
      </c>
    </row>
    <row r="1813">
      <c r="AR1813" s="31">
        <f>IF(OR($A$5="",$B$6="",ROW()&lt;$A$5),"",IF(INDEX($A:$AP,ROW(),$B$6)="","",INDEX($A:$AP,ROW(),$B$6)))</f>
        <v/>
      </c>
      <c r="AS1813" s="32">
        <f>IF($AR1813="","",IF(ISNUMBER($AR1813),IF($AR1813&gt;=10000000,IFERROR(DATE(INT($AR1813/10000),MOD(INT($AR1813/100),100),MOD($AR1813,100)),""),INT($AR1813)),IFERROR(DATE(--LEFT(LEFT(SUBSTITUTE(SUBSTITUTE(SUBSTITUTE(SUBSTITUTE(TRIM($AR1813),"-",""),".",""),"/","")," ",""),8),4),--MID(LEFT(SUBSTITUTE(SUBSTITUTE(SUBSTITUTE(SUBSTITUTE(TRIM($AR1813),"-",""),".",""),"/","")," ",""),8),5,2),--MID(LEFT(SUBSTITUTE(SUBSTITUTE(SUBSTITUTE(SUBSTITUTE(TRIM($AR1813),"-",""),".",""),"/","")," ",""),8),7,2)),"")))</f>
        <v/>
      </c>
      <c r="AT1813" s="33">
        <f>IF($AS1813="","",IF($F$6="",0,IF(ISNUMBER(INDEX($A:$AP,ROW(),$F$6)),INDEX($A:$AP,ROW(),$F$6),IFERROR(--SUBSTITUTE(SUBSTITUTE(TRIM(INDEX($A:$AP,ROW(),$F$6)),",",""),"원",""),0))))</f>
        <v/>
      </c>
      <c r="AU1813" s="31">
        <f>IF($AS1813="","",IF($AX1813&lt;&gt;"",SUBSTITUTE(SUBSTITUTE($AX1813,"-","")," ",""),"N:"&amp;$AV1813))</f>
        <v/>
      </c>
      <c r="AV1813" s="31">
        <f>IF(OR($AS1813="",$E$6=""),"",TRIM(INDEX($A:$AP,ROW(),$E$6)&amp;""))</f>
        <v/>
      </c>
      <c r="AW1813" s="31">
        <f>IF($AU1813="","",IF(MATCH($AU1813,$AU$8:$AU$2007,0)=ROW()-7,MAX($AW$7:$AW1812)+1,""))</f>
        <v/>
      </c>
      <c r="AX1813" s="31">
        <f>IF(OR($AS1813="",$D$6=""),"",TRIM(INDEX($A:$AP,ROW(),$D$6)&amp;""))</f>
        <v/>
      </c>
      <c r="AY1813" s="31">
        <f>IF($AU1813="","",INDEX($AW$8:$AW$2007,MATCH($AU1813,$AU$8:$AU$2007,0)))</f>
        <v/>
      </c>
      <c r="AZ1813" s="31">
        <f>IF(OR($AS1813="",$C$6=""),"",TRIM(INDEX($A:$AP,ROW(),$C$6)&amp;""))</f>
        <v/>
      </c>
      <c r="BA1813" s="31">
        <f>IF($AZ1813="","",IF(COUNTIF($AZ$8:$AZ1813,$AZ1813)&gt;1,1,0))</f>
        <v/>
      </c>
    </row>
    <row r="1814">
      <c r="AR1814" s="31">
        <f>IF(OR($A$5="",$B$6="",ROW()&lt;$A$5),"",IF(INDEX($A:$AP,ROW(),$B$6)="","",INDEX($A:$AP,ROW(),$B$6)))</f>
        <v/>
      </c>
      <c r="AS1814" s="32">
        <f>IF($AR1814="","",IF(ISNUMBER($AR1814),IF($AR1814&gt;=10000000,IFERROR(DATE(INT($AR1814/10000),MOD(INT($AR1814/100),100),MOD($AR1814,100)),""),INT($AR1814)),IFERROR(DATE(--LEFT(LEFT(SUBSTITUTE(SUBSTITUTE(SUBSTITUTE(SUBSTITUTE(TRIM($AR1814),"-",""),".",""),"/","")," ",""),8),4),--MID(LEFT(SUBSTITUTE(SUBSTITUTE(SUBSTITUTE(SUBSTITUTE(TRIM($AR1814),"-",""),".",""),"/","")," ",""),8),5,2),--MID(LEFT(SUBSTITUTE(SUBSTITUTE(SUBSTITUTE(SUBSTITUTE(TRIM($AR1814),"-",""),".",""),"/","")," ",""),8),7,2)),"")))</f>
        <v/>
      </c>
      <c r="AT1814" s="33">
        <f>IF($AS1814="","",IF($F$6="",0,IF(ISNUMBER(INDEX($A:$AP,ROW(),$F$6)),INDEX($A:$AP,ROW(),$F$6),IFERROR(--SUBSTITUTE(SUBSTITUTE(TRIM(INDEX($A:$AP,ROW(),$F$6)),",",""),"원",""),0))))</f>
        <v/>
      </c>
      <c r="AU1814" s="31">
        <f>IF($AS1814="","",IF($AX1814&lt;&gt;"",SUBSTITUTE(SUBSTITUTE($AX1814,"-","")," ",""),"N:"&amp;$AV1814))</f>
        <v/>
      </c>
      <c r="AV1814" s="31">
        <f>IF(OR($AS1814="",$E$6=""),"",TRIM(INDEX($A:$AP,ROW(),$E$6)&amp;""))</f>
        <v/>
      </c>
      <c r="AW1814" s="31">
        <f>IF($AU1814="","",IF(MATCH($AU1814,$AU$8:$AU$2007,0)=ROW()-7,MAX($AW$7:$AW1813)+1,""))</f>
        <v/>
      </c>
      <c r="AX1814" s="31">
        <f>IF(OR($AS1814="",$D$6=""),"",TRIM(INDEX($A:$AP,ROW(),$D$6)&amp;""))</f>
        <v/>
      </c>
      <c r="AY1814" s="31">
        <f>IF($AU1814="","",INDEX($AW$8:$AW$2007,MATCH($AU1814,$AU$8:$AU$2007,0)))</f>
        <v/>
      </c>
      <c r="AZ1814" s="31">
        <f>IF(OR($AS1814="",$C$6=""),"",TRIM(INDEX($A:$AP,ROW(),$C$6)&amp;""))</f>
        <v/>
      </c>
      <c r="BA1814" s="31">
        <f>IF($AZ1814="","",IF(COUNTIF($AZ$8:$AZ1814,$AZ1814)&gt;1,1,0))</f>
        <v/>
      </c>
    </row>
    <row r="1815">
      <c r="AR1815" s="31">
        <f>IF(OR($A$5="",$B$6="",ROW()&lt;$A$5),"",IF(INDEX($A:$AP,ROW(),$B$6)="","",INDEX($A:$AP,ROW(),$B$6)))</f>
        <v/>
      </c>
      <c r="AS1815" s="32">
        <f>IF($AR1815="","",IF(ISNUMBER($AR1815),IF($AR1815&gt;=10000000,IFERROR(DATE(INT($AR1815/10000),MOD(INT($AR1815/100),100),MOD($AR1815,100)),""),INT($AR1815)),IFERROR(DATE(--LEFT(LEFT(SUBSTITUTE(SUBSTITUTE(SUBSTITUTE(SUBSTITUTE(TRIM($AR1815),"-",""),".",""),"/","")," ",""),8),4),--MID(LEFT(SUBSTITUTE(SUBSTITUTE(SUBSTITUTE(SUBSTITUTE(TRIM($AR1815),"-",""),".",""),"/","")," ",""),8),5,2),--MID(LEFT(SUBSTITUTE(SUBSTITUTE(SUBSTITUTE(SUBSTITUTE(TRIM($AR1815),"-",""),".",""),"/","")," ",""),8),7,2)),"")))</f>
        <v/>
      </c>
      <c r="AT1815" s="33">
        <f>IF($AS1815="","",IF($F$6="",0,IF(ISNUMBER(INDEX($A:$AP,ROW(),$F$6)),INDEX($A:$AP,ROW(),$F$6),IFERROR(--SUBSTITUTE(SUBSTITUTE(TRIM(INDEX($A:$AP,ROW(),$F$6)),",",""),"원",""),0))))</f>
        <v/>
      </c>
      <c r="AU1815" s="31">
        <f>IF($AS1815="","",IF($AX1815&lt;&gt;"",SUBSTITUTE(SUBSTITUTE($AX1815,"-","")," ",""),"N:"&amp;$AV1815))</f>
        <v/>
      </c>
      <c r="AV1815" s="31">
        <f>IF(OR($AS1815="",$E$6=""),"",TRIM(INDEX($A:$AP,ROW(),$E$6)&amp;""))</f>
        <v/>
      </c>
      <c r="AW1815" s="31">
        <f>IF($AU1815="","",IF(MATCH($AU1815,$AU$8:$AU$2007,0)=ROW()-7,MAX($AW$7:$AW1814)+1,""))</f>
        <v/>
      </c>
      <c r="AX1815" s="31">
        <f>IF(OR($AS1815="",$D$6=""),"",TRIM(INDEX($A:$AP,ROW(),$D$6)&amp;""))</f>
        <v/>
      </c>
      <c r="AY1815" s="31">
        <f>IF($AU1815="","",INDEX($AW$8:$AW$2007,MATCH($AU1815,$AU$8:$AU$2007,0)))</f>
        <v/>
      </c>
      <c r="AZ1815" s="31">
        <f>IF(OR($AS1815="",$C$6=""),"",TRIM(INDEX($A:$AP,ROW(),$C$6)&amp;""))</f>
        <v/>
      </c>
      <c r="BA1815" s="31">
        <f>IF($AZ1815="","",IF(COUNTIF($AZ$8:$AZ1815,$AZ1815)&gt;1,1,0))</f>
        <v/>
      </c>
    </row>
    <row r="1816">
      <c r="AR1816" s="31">
        <f>IF(OR($A$5="",$B$6="",ROW()&lt;$A$5),"",IF(INDEX($A:$AP,ROW(),$B$6)="","",INDEX($A:$AP,ROW(),$B$6)))</f>
        <v/>
      </c>
      <c r="AS1816" s="32">
        <f>IF($AR1816="","",IF(ISNUMBER($AR1816),IF($AR1816&gt;=10000000,IFERROR(DATE(INT($AR1816/10000),MOD(INT($AR1816/100),100),MOD($AR1816,100)),""),INT($AR1816)),IFERROR(DATE(--LEFT(LEFT(SUBSTITUTE(SUBSTITUTE(SUBSTITUTE(SUBSTITUTE(TRIM($AR1816),"-",""),".",""),"/","")," ",""),8),4),--MID(LEFT(SUBSTITUTE(SUBSTITUTE(SUBSTITUTE(SUBSTITUTE(TRIM($AR1816),"-",""),".",""),"/","")," ",""),8),5,2),--MID(LEFT(SUBSTITUTE(SUBSTITUTE(SUBSTITUTE(SUBSTITUTE(TRIM($AR1816),"-",""),".",""),"/","")," ",""),8),7,2)),"")))</f>
        <v/>
      </c>
      <c r="AT1816" s="33">
        <f>IF($AS1816="","",IF($F$6="",0,IF(ISNUMBER(INDEX($A:$AP,ROW(),$F$6)),INDEX($A:$AP,ROW(),$F$6),IFERROR(--SUBSTITUTE(SUBSTITUTE(TRIM(INDEX($A:$AP,ROW(),$F$6)),",",""),"원",""),0))))</f>
        <v/>
      </c>
      <c r="AU1816" s="31">
        <f>IF($AS1816="","",IF($AX1816&lt;&gt;"",SUBSTITUTE(SUBSTITUTE($AX1816,"-","")," ",""),"N:"&amp;$AV1816))</f>
        <v/>
      </c>
      <c r="AV1816" s="31">
        <f>IF(OR($AS1816="",$E$6=""),"",TRIM(INDEX($A:$AP,ROW(),$E$6)&amp;""))</f>
        <v/>
      </c>
      <c r="AW1816" s="31">
        <f>IF($AU1816="","",IF(MATCH($AU1816,$AU$8:$AU$2007,0)=ROW()-7,MAX($AW$7:$AW1815)+1,""))</f>
        <v/>
      </c>
      <c r="AX1816" s="31">
        <f>IF(OR($AS1816="",$D$6=""),"",TRIM(INDEX($A:$AP,ROW(),$D$6)&amp;""))</f>
        <v/>
      </c>
      <c r="AY1816" s="31">
        <f>IF($AU1816="","",INDEX($AW$8:$AW$2007,MATCH($AU1816,$AU$8:$AU$2007,0)))</f>
        <v/>
      </c>
      <c r="AZ1816" s="31">
        <f>IF(OR($AS1816="",$C$6=""),"",TRIM(INDEX($A:$AP,ROW(),$C$6)&amp;""))</f>
        <v/>
      </c>
      <c r="BA1816" s="31">
        <f>IF($AZ1816="","",IF(COUNTIF($AZ$8:$AZ1816,$AZ1816)&gt;1,1,0))</f>
        <v/>
      </c>
    </row>
    <row r="1817">
      <c r="AR1817" s="31">
        <f>IF(OR($A$5="",$B$6="",ROW()&lt;$A$5),"",IF(INDEX($A:$AP,ROW(),$B$6)="","",INDEX($A:$AP,ROW(),$B$6)))</f>
        <v/>
      </c>
      <c r="AS1817" s="32">
        <f>IF($AR1817="","",IF(ISNUMBER($AR1817),IF($AR1817&gt;=10000000,IFERROR(DATE(INT($AR1817/10000),MOD(INT($AR1817/100),100),MOD($AR1817,100)),""),INT($AR1817)),IFERROR(DATE(--LEFT(LEFT(SUBSTITUTE(SUBSTITUTE(SUBSTITUTE(SUBSTITUTE(TRIM($AR1817),"-",""),".",""),"/","")," ",""),8),4),--MID(LEFT(SUBSTITUTE(SUBSTITUTE(SUBSTITUTE(SUBSTITUTE(TRIM($AR1817),"-",""),".",""),"/","")," ",""),8),5,2),--MID(LEFT(SUBSTITUTE(SUBSTITUTE(SUBSTITUTE(SUBSTITUTE(TRIM($AR1817),"-",""),".",""),"/","")," ",""),8),7,2)),"")))</f>
        <v/>
      </c>
      <c r="AT1817" s="33">
        <f>IF($AS1817="","",IF($F$6="",0,IF(ISNUMBER(INDEX($A:$AP,ROW(),$F$6)),INDEX($A:$AP,ROW(),$F$6),IFERROR(--SUBSTITUTE(SUBSTITUTE(TRIM(INDEX($A:$AP,ROW(),$F$6)),",",""),"원",""),0))))</f>
        <v/>
      </c>
      <c r="AU1817" s="31">
        <f>IF($AS1817="","",IF($AX1817&lt;&gt;"",SUBSTITUTE(SUBSTITUTE($AX1817,"-","")," ",""),"N:"&amp;$AV1817))</f>
        <v/>
      </c>
      <c r="AV1817" s="31">
        <f>IF(OR($AS1817="",$E$6=""),"",TRIM(INDEX($A:$AP,ROW(),$E$6)&amp;""))</f>
        <v/>
      </c>
      <c r="AW1817" s="31">
        <f>IF($AU1817="","",IF(MATCH($AU1817,$AU$8:$AU$2007,0)=ROW()-7,MAX($AW$7:$AW1816)+1,""))</f>
        <v/>
      </c>
      <c r="AX1817" s="31">
        <f>IF(OR($AS1817="",$D$6=""),"",TRIM(INDEX($A:$AP,ROW(),$D$6)&amp;""))</f>
        <v/>
      </c>
      <c r="AY1817" s="31">
        <f>IF($AU1817="","",INDEX($AW$8:$AW$2007,MATCH($AU1817,$AU$8:$AU$2007,0)))</f>
        <v/>
      </c>
      <c r="AZ1817" s="31">
        <f>IF(OR($AS1817="",$C$6=""),"",TRIM(INDEX($A:$AP,ROW(),$C$6)&amp;""))</f>
        <v/>
      </c>
      <c r="BA1817" s="31">
        <f>IF($AZ1817="","",IF(COUNTIF($AZ$8:$AZ1817,$AZ1817)&gt;1,1,0))</f>
        <v/>
      </c>
    </row>
    <row r="1818">
      <c r="AR1818" s="31">
        <f>IF(OR($A$5="",$B$6="",ROW()&lt;$A$5),"",IF(INDEX($A:$AP,ROW(),$B$6)="","",INDEX($A:$AP,ROW(),$B$6)))</f>
        <v/>
      </c>
      <c r="AS1818" s="32">
        <f>IF($AR1818="","",IF(ISNUMBER($AR1818),IF($AR1818&gt;=10000000,IFERROR(DATE(INT($AR1818/10000),MOD(INT($AR1818/100),100),MOD($AR1818,100)),""),INT($AR1818)),IFERROR(DATE(--LEFT(LEFT(SUBSTITUTE(SUBSTITUTE(SUBSTITUTE(SUBSTITUTE(TRIM($AR1818),"-",""),".",""),"/","")," ",""),8),4),--MID(LEFT(SUBSTITUTE(SUBSTITUTE(SUBSTITUTE(SUBSTITUTE(TRIM($AR1818),"-",""),".",""),"/","")," ",""),8),5,2),--MID(LEFT(SUBSTITUTE(SUBSTITUTE(SUBSTITUTE(SUBSTITUTE(TRIM($AR1818),"-",""),".",""),"/","")," ",""),8),7,2)),"")))</f>
        <v/>
      </c>
      <c r="AT1818" s="33">
        <f>IF($AS1818="","",IF($F$6="",0,IF(ISNUMBER(INDEX($A:$AP,ROW(),$F$6)),INDEX($A:$AP,ROW(),$F$6),IFERROR(--SUBSTITUTE(SUBSTITUTE(TRIM(INDEX($A:$AP,ROW(),$F$6)),",",""),"원",""),0))))</f>
        <v/>
      </c>
      <c r="AU1818" s="31">
        <f>IF($AS1818="","",IF($AX1818&lt;&gt;"",SUBSTITUTE(SUBSTITUTE($AX1818,"-","")," ",""),"N:"&amp;$AV1818))</f>
        <v/>
      </c>
      <c r="AV1818" s="31">
        <f>IF(OR($AS1818="",$E$6=""),"",TRIM(INDEX($A:$AP,ROW(),$E$6)&amp;""))</f>
        <v/>
      </c>
      <c r="AW1818" s="31">
        <f>IF($AU1818="","",IF(MATCH($AU1818,$AU$8:$AU$2007,0)=ROW()-7,MAX($AW$7:$AW1817)+1,""))</f>
        <v/>
      </c>
      <c r="AX1818" s="31">
        <f>IF(OR($AS1818="",$D$6=""),"",TRIM(INDEX($A:$AP,ROW(),$D$6)&amp;""))</f>
        <v/>
      </c>
      <c r="AY1818" s="31">
        <f>IF($AU1818="","",INDEX($AW$8:$AW$2007,MATCH($AU1818,$AU$8:$AU$2007,0)))</f>
        <v/>
      </c>
      <c r="AZ1818" s="31">
        <f>IF(OR($AS1818="",$C$6=""),"",TRIM(INDEX($A:$AP,ROW(),$C$6)&amp;""))</f>
        <v/>
      </c>
      <c r="BA1818" s="31">
        <f>IF($AZ1818="","",IF(COUNTIF($AZ$8:$AZ1818,$AZ1818)&gt;1,1,0))</f>
        <v/>
      </c>
    </row>
    <row r="1819">
      <c r="AR1819" s="31">
        <f>IF(OR($A$5="",$B$6="",ROW()&lt;$A$5),"",IF(INDEX($A:$AP,ROW(),$B$6)="","",INDEX($A:$AP,ROW(),$B$6)))</f>
        <v/>
      </c>
      <c r="AS1819" s="32">
        <f>IF($AR1819="","",IF(ISNUMBER($AR1819),IF($AR1819&gt;=10000000,IFERROR(DATE(INT($AR1819/10000),MOD(INT($AR1819/100),100),MOD($AR1819,100)),""),INT($AR1819)),IFERROR(DATE(--LEFT(LEFT(SUBSTITUTE(SUBSTITUTE(SUBSTITUTE(SUBSTITUTE(TRIM($AR1819),"-",""),".",""),"/","")," ",""),8),4),--MID(LEFT(SUBSTITUTE(SUBSTITUTE(SUBSTITUTE(SUBSTITUTE(TRIM($AR1819),"-",""),".",""),"/","")," ",""),8),5,2),--MID(LEFT(SUBSTITUTE(SUBSTITUTE(SUBSTITUTE(SUBSTITUTE(TRIM($AR1819),"-",""),".",""),"/","")," ",""),8),7,2)),"")))</f>
        <v/>
      </c>
      <c r="AT1819" s="33">
        <f>IF($AS1819="","",IF($F$6="",0,IF(ISNUMBER(INDEX($A:$AP,ROW(),$F$6)),INDEX($A:$AP,ROW(),$F$6),IFERROR(--SUBSTITUTE(SUBSTITUTE(TRIM(INDEX($A:$AP,ROW(),$F$6)),",",""),"원",""),0))))</f>
        <v/>
      </c>
      <c r="AU1819" s="31">
        <f>IF($AS1819="","",IF($AX1819&lt;&gt;"",SUBSTITUTE(SUBSTITUTE($AX1819,"-","")," ",""),"N:"&amp;$AV1819))</f>
        <v/>
      </c>
      <c r="AV1819" s="31">
        <f>IF(OR($AS1819="",$E$6=""),"",TRIM(INDEX($A:$AP,ROW(),$E$6)&amp;""))</f>
        <v/>
      </c>
      <c r="AW1819" s="31">
        <f>IF($AU1819="","",IF(MATCH($AU1819,$AU$8:$AU$2007,0)=ROW()-7,MAX($AW$7:$AW1818)+1,""))</f>
        <v/>
      </c>
      <c r="AX1819" s="31">
        <f>IF(OR($AS1819="",$D$6=""),"",TRIM(INDEX($A:$AP,ROW(),$D$6)&amp;""))</f>
        <v/>
      </c>
      <c r="AY1819" s="31">
        <f>IF($AU1819="","",INDEX($AW$8:$AW$2007,MATCH($AU1819,$AU$8:$AU$2007,0)))</f>
        <v/>
      </c>
      <c r="AZ1819" s="31">
        <f>IF(OR($AS1819="",$C$6=""),"",TRIM(INDEX($A:$AP,ROW(),$C$6)&amp;""))</f>
        <v/>
      </c>
      <c r="BA1819" s="31">
        <f>IF($AZ1819="","",IF(COUNTIF($AZ$8:$AZ1819,$AZ1819)&gt;1,1,0))</f>
        <v/>
      </c>
    </row>
    <row r="1820">
      <c r="AR1820" s="31">
        <f>IF(OR($A$5="",$B$6="",ROW()&lt;$A$5),"",IF(INDEX($A:$AP,ROW(),$B$6)="","",INDEX($A:$AP,ROW(),$B$6)))</f>
        <v/>
      </c>
      <c r="AS1820" s="32">
        <f>IF($AR1820="","",IF(ISNUMBER($AR1820),IF($AR1820&gt;=10000000,IFERROR(DATE(INT($AR1820/10000),MOD(INT($AR1820/100),100),MOD($AR1820,100)),""),INT($AR1820)),IFERROR(DATE(--LEFT(LEFT(SUBSTITUTE(SUBSTITUTE(SUBSTITUTE(SUBSTITUTE(TRIM($AR1820),"-",""),".",""),"/","")," ",""),8),4),--MID(LEFT(SUBSTITUTE(SUBSTITUTE(SUBSTITUTE(SUBSTITUTE(TRIM($AR1820),"-",""),".",""),"/","")," ",""),8),5,2),--MID(LEFT(SUBSTITUTE(SUBSTITUTE(SUBSTITUTE(SUBSTITUTE(TRIM($AR1820),"-",""),".",""),"/","")," ",""),8),7,2)),"")))</f>
        <v/>
      </c>
      <c r="AT1820" s="33">
        <f>IF($AS1820="","",IF($F$6="",0,IF(ISNUMBER(INDEX($A:$AP,ROW(),$F$6)),INDEX($A:$AP,ROW(),$F$6),IFERROR(--SUBSTITUTE(SUBSTITUTE(TRIM(INDEX($A:$AP,ROW(),$F$6)),",",""),"원",""),0))))</f>
        <v/>
      </c>
      <c r="AU1820" s="31">
        <f>IF($AS1820="","",IF($AX1820&lt;&gt;"",SUBSTITUTE(SUBSTITUTE($AX1820,"-","")," ",""),"N:"&amp;$AV1820))</f>
        <v/>
      </c>
      <c r="AV1820" s="31">
        <f>IF(OR($AS1820="",$E$6=""),"",TRIM(INDEX($A:$AP,ROW(),$E$6)&amp;""))</f>
        <v/>
      </c>
      <c r="AW1820" s="31">
        <f>IF($AU1820="","",IF(MATCH($AU1820,$AU$8:$AU$2007,0)=ROW()-7,MAX($AW$7:$AW1819)+1,""))</f>
        <v/>
      </c>
      <c r="AX1820" s="31">
        <f>IF(OR($AS1820="",$D$6=""),"",TRIM(INDEX($A:$AP,ROW(),$D$6)&amp;""))</f>
        <v/>
      </c>
      <c r="AY1820" s="31">
        <f>IF($AU1820="","",INDEX($AW$8:$AW$2007,MATCH($AU1820,$AU$8:$AU$2007,0)))</f>
        <v/>
      </c>
      <c r="AZ1820" s="31">
        <f>IF(OR($AS1820="",$C$6=""),"",TRIM(INDEX($A:$AP,ROW(),$C$6)&amp;""))</f>
        <v/>
      </c>
      <c r="BA1820" s="31">
        <f>IF($AZ1820="","",IF(COUNTIF($AZ$8:$AZ1820,$AZ1820)&gt;1,1,0))</f>
        <v/>
      </c>
    </row>
    <row r="1821">
      <c r="AR1821" s="31">
        <f>IF(OR($A$5="",$B$6="",ROW()&lt;$A$5),"",IF(INDEX($A:$AP,ROW(),$B$6)="","",INDEX($A:$AP,ROW(),$B$6)))</f>
        <v/>
      </c>
      <c r="AS1821" s="32">
        <f>IF($AR1821="","",IF(ISNUMBER($AR1821),IF($AR1821&gt;=10000000,IFERROR(DATE(INT($AR1821/10000),MOD(INT($AR1821/100),100),MOD($AR1821,100)),""),INT($AR1821)),IFERROR(DATE(--LEFT(LEFT(SUBSTITUTE(SUBSTITUTE(SUBSTITUTE(SUBSTITUTE(TRIM($AR1821),"-",""),".",""),"/","")," ",""),8),4),--MID(LEFT(SUBSTITUTE(SUBSTITUTE(SUBSTITUTE(SUBSTITUTE(TRIM($AR1821),"-",""),".",""),"/","")," ",""),8),5,2),--MID(LEFT(SUBSTITUTE(SUBSTITUTE(SUBSTITUTE(SUBSTITUTE(TRIM($AR1821),"-",""),".",""),"/","")," ",""),8),7,2)),"")))</f>
        <v/>
      </c>
      <c r="AT1821" s="33">
        <f>IF($AS1821="","",IF($F$6="",0,IF(ISNUMBER(INDEX($A:$AP,ROW(),$F$6)),INDEX($A:$AP,ROW(),$F$6),IFERROR(--SUBSTITUTE(SUBSTITUTE(TRIM(INDEX($A:$AP,ROW(),$F$6)),",",""),"원",""),0))))</f>
        <v/>
      </c>
      <c r="AU1821" s="31">
        <f>IF($AS1821="","",IF($AX1821&lt;&gt;"",SUBSTITUTE(SUBSTITUTE($AX1821,"-","")," ",""),"N:"&amp;$AV1821))</f>
        <v/>
      </c>
      <c r="AV1821" s="31">
        <f>IF(OR($AS1821="",$E$6=""),"",TRIM(INDEX($A:$AP,ROW(),$E$6)&amp;""))</f>
        <v/>
      </c>
      <c r="AW1821" s="31">
        <f>IF($AU1821="","",IF(MATCH($AU1821,$AU$8:$AU$2007,0)=ROW()-7,MAX($AW$7:$AW1820)+1,""))</f>
        <v/>
      </c>
      <c r="AX1821" s="31">
        <f>IF(OR($AS1821="",$D$6=""),"",TRIM(INDEX($A:$AP,ROW(),$D$6)&amp;""))</f>
        <v/>
      </c>
      <c r="AY1821" s="31">
        <f>IF($AU1821="","",INDEX($AW$8:$AW$2007,MATCH($AU1821,$AU$8:$AU$2007,0)))</f>
        <v/>
      </c>
      <c r="AZ1821" s="31">
        <f>IF(OR($AS1821="",$C$6=""),"",TRIM(INDEX($A:$AP,ROW(),$C$6)&amp;""))</f>
        <v/>
      </c>
      <c r="BA1821" s="31">
        <f>IF($AZ1821="","",IF(COUNTIF($AZ$8:$AZ1821,$AZ1821)&gt;1,1,0))</f>
        <v/>
      </c>
    </row>
    <row r="1822">
      <c r="AR1822" s="31">
        <f>IF(OR($A$5="",$B$6="",ROW()&lt;$A$5),"",IF(INDEX($A:$AP,ROW(),$B$6)="","",INDEX($A:$AP,ROW(),$B$6)))</f>
        <v/>
      </c>
      <c r="AS1822" s="32">
        <f>IF($AR1822="","",IF(ISNUMBER($AR1822),IF($AR1822&gt;=10000000,IFERROR(DATE(INT($AR1822/10000),MOD(INT($AR1822/100),100),MOD($AR1822,100)),""),INT($AR1822)),IFERROR(DATE(--LEFT(LEFT(SUBSTITUTE(SUBSTITUTE(SUBSTITUTE(SUBSTITUTE(TRIM($AR1822),"-",""),".",""),"/","")," ",""),8),4),--MID(LEFT(SUBSTITUTE(SUBSTITUTE(SUBSTITUTE(SUBSTITUTE(TRIM($AR1822),"-",""),".",""),"/","")," ",""),8),5,2),--MID(LEFT(SUBSTITUTE(SUBSTITUTE(SUBSTITUTE(SUBSTITUTE(TRIM($AR1822),"-",""),".",""),"/","")," ",""),8),7,2)),"")))</f>
        <v/>
      </c>
      <c r="AT1822" s="33">
        <f>IF($AS1822="","",IF($F$6="",0,IF(ISNUMBER(INDEX($A:$AP,ROW(),$F$6)),INDEX($A:$AP,ROW(),$F$6),IFERROR(--SUBSTITUTE(SUBSTITUTE(TRIM(INDEX($A:$AP,ROW(),$F$6)),",",""),"원",""),0))))</f>
        <v/>
      </c>
      <c r="AU1822" s="31">
        <f>IF($AS1822="","",IF($AX1822&lt;&gt;"",SUBSTITUTE(SUBSTITUTE($AX1822,"-","")," ",""),"N:"&amp;$AV1822))</f>
        <v/>
      </c>
      <c r="AV1822" s="31">
        <f>IF(OR($AS1822="",$E$6=""),"",TRIM(INDEX($A:$AP,ROW(),$E$6)&amp;""))</f>
        <v/>
      </c>
      <c r="AW1822" s="31">
        <f>IF($AU1822="","",IF(MATCH($AU1822,$AU$8:$AU$2007,0)=ROW()-7,MAX($AW$7:$AW1821)+1,""))</f>
        <v/>
      </c>
      <c r="AX1822" s="31">
        <f>IF(OR($AS1822="",$D$6=""),"",TRIM(INDEX($A:$AP,ROW(),$D$6)&amp;""))</f>
        <v/>
      </c>
      <c r="AY1822" s="31">
        <f>IF($AU1822="","",INDEX($AW$8:$AW$2007,MATCH($AU1822,$AU$8:$AU$2007,0)))</f>
        <v/>
      </c>
      <c r="AZ1822" s="31">
        <f>IF(OR($AS1822="",$C$6=""),"",TRIM(INDEX($A:$AP,ROW(),$C$6)&amp;""))</f>
        <v/>
      </c>
      <c r="BA1822" s="31">
        <f>IF($AZ1822="","",IF(COUNTIF($AZ$8:$AZ1822,$AZ1822)&gt;1,1,0))</f>
        <v/>
      </c>
    </row>
    <row r="1823">
      <c r="AR1823" s="31">
        <f>IF(OR($A$5="",$B$6="",ROW()&lt;$A$5),"",IF(INDEX($A:$AP,ROW(),$B$6)="","",INDEX($A:$AP,ROW(),$B$6)))</f>
        <v/>
      </c>
      <c r="AS1823" s="32">
        <f>IF($AR1823="","",IF(ISNUMBER($AR1823),IF($AR1823&gt;=10000000,IFERROR(DATE(INT($AR1823/10000),MOD(INT($AR1823/100),100),MOD($AR1823,100)),""),INT($AR1823)),IFERROR(DATE(--LEFT(LEFT(SUBSTITUTE(SUBSTITUTE(SUBSTITUTE(SUBSTITUTE(TRIM($AR1823),"-",""),".",""),"/","")," ",""),8),4),--MID(LEFT(SUBSTITUTE(SUBSTITUTE(SUBSTITUTE(SUBSTITUTE(TRIM($AR1823),"-",""),".",""),"/","")," ",""),8),5,2),--MID(LEFT(SUBSTITUTE(SUBSTITUTE(SUBSTITUTE(SUBSTITUTE(TRIM($AR1823),"-",""),".",""),"/","")," ",""),8),7,2)),"")))</f>
        <v/>
      </c>
      <c r="AT1823" s="33">
        <f>IF($AS1823="","",IF($F$6="",0,IF(ISNUMBER(INDEX($A:$AP,ROW(),$F$6)),INDEX($A:$AP,ROW(),$F$6),IFERROR(--SUBSTITUTE(SUBSTITUTE(TRIM(INDEX($A:$AP,ROW(),$F$6)),",",""),"원",""),0))))</f>
        <v/>
      </c>
      <c r="AU1823" s="31">
        <f>IF($AS1823="","",IF($AX1823&lt;&gt;"",SUBSTITUTE(SUBSTITUTE($AX1823,"-","")," ",""),"N:"&amp;$AV1823))</f>
        <v/>
      </c>
      <c r="AV1823" s="31">
        <f>IF(OR($AS1823="",$E$6=""),"",TRIM(INDEX($A:$AP,ROW(),$E$6)&amp;""))</f>
        <v/>
      </c>
      <c r="AW1823" s="31">
        <f>IF($AU1823="","",IF(MATCH($AU1823,$AU$8:$AU$2007,0)=ROW()-7,MAX($AW$7:$AW1822)+1,""))</f>
        <v/>
      </c>
      <c r="AX1823" s="31">
        <f>IF(OR($AS1823="",$D$6=""),"",TRIM(INDEX($A:$AP,ROW(),$D$6)&amp;""))</f>
        <v/>
      </c>
      <c r="AY1823" s="31">
        <f>IF($AU1823="","",INDEX($AW$8:$AW$2007,MATCH($AU1823,$AU$8:$AU$2007,0)))</f>
        <v/>
      </c>
      <c r="AZ1823" s="31">
        <f>IF(OR($AS1823="",$C$6=""),"",TRIM(INDEX($A:$AP,ROW(),$C$6)&amp;""))</f>
        <v/>
      </c>
      <c r="BA1823" s="31">
        <f>IF($AZ1823="","",IF(COUNTIF($AZ$8:$AZ1823,$AZ1823)&gt;1,1,0))</f>
        <v/>
      </c>
    </row>
    <row r="1824">
      <c r="AR1824" s="31">
        <f>IF(OR($A$5="",$B$6="",ROW()&lt;$A$5),"",IF(INDEX($A:$AP,ROW(),$B$6)="","",INDEX($A:$AP,ROW(),$B$6)))</f>
        <v/>
      </c>
      <c r="AS1824" s="32">
        <f>IF($AR1824="","",IF(ISNUMBER($AR1824),IF($AR1824&gt;=10000000,IFERROR(DATE(INT($AR1824/10000),MOD(INT($AR1824/100),100),MOD($AR1824,100)),""),INT($AR1824)),IFERROR(DATE(--LEFT(LEFT(SUBSTITUTE(SUBSTITUTE(SUBSTITUTE(SUBSTITUTE(TRIM($AR1824),"-",""),".",""),"/","")," ",""),8),4),--MID(LEFT(SUBSTITUTE(SUBSTITUTE(SUBSTITUTE(SUBSTITUTE(TRIM($AR1824),"-",""),".",""),"/","")," ",""),8),5,2),--MID(LEFT(SUBSTITUTE(SUBSTITUTE(SUBSTITUTE(SUBSTITUTE(TRIM($AR1824),"-",""),".",""),"/","")," ",""),8),7,2)),"")))</f>
        <v/>
      </c>
      <c r="AT1824" s="33">
        <f>IF($AS1824="","",IF($F$6="",0,IF(ISNUMBER(INDEX($A:$AP,ROW(),$F$6)),INDEX($A:$AP,ROW(),$F$6),IFERROR(--SUBSTITUTE(SUBSTITUTE(TRIM(INDEX($A:$AP,ROW(),$F$6)),",",""),"원",""),0))))</f>
        <v/>
      </c>
      <c r="AU1824" s="31">
        <f>IF($AS1824="","",IF($AX1824&lt;&gt;"",SUBSTITUTE(SUBSTITUTE($AX1824,"-","")," ",""),"N:"&amp;$AV1824))</f>
        <v/>
      </c>
      <c r="AV1824" s="31">
        <f>IF(OR($AS1824="",$E$6=""),"",TRIM(INDEX($A:$AP,ROW(),$E$6)&amp;""))</f>
        <v/>
      </c>
      <c r="AW1824" s="31">
        <f>IF($AU1824="","",IF(MATCH($AU1824,$AU$8:$AU$2007,0)=ROW()-7,MAX($AW$7:$AW1823)+1,""))</f>
        <v/>
      </c>
      <c r="AX1824" s="31">
        <f>IF(OR($AS1824="",$D$6=""),"",TRIM(INDEX($A:$AP,ROW(),$D$6)&amp;""))</f>
        <v/>
      </c>
      <c r="AY1824" s="31">
        <f>IF($AU1824="","",INDEX($AW$8:$AW$2007,MATCH($AU1824,$AU$8:$AU$2007,0)))</f>
        <v/>
      </c>
      <c r="AZ1824" s="31">
        <f>IF(OR($AS1824="",$C$6=""),"",TRIM(INDEX($A:$AP,ROW(),$C$6)&amp;""))</f>
        <v/>
      </c>
      <c r="BA1824" s="31">
        <f>IF($AZ1824="","",IF(COUNTIF($AZ$8:$AZ1824,$AZ1824)&gt;1,1,0))</f>
        <v/>
      </c>
    </row>
    <row r="1825">
      <c r="AR1825" s="31">
        <f>IF(OR($A$5="",$B$6="",ROW()&lt;$A$5),"",IF(INDEX($A:$AP,ROW(),$B$6)="","",INDEX($A:$AP,ROW(),$B$6)))</f>
        <v/>
      </c>
      <c r="AS1825" s="32">
        <f>IF($AR1825="","",IF(ISNUMBER($AR1825),IF($AR1825&gt;=10000000,IFERROR(DATE(INT($AR1825/10000),MOD(INT($AR1825/100),100),MOD($AR1825,100)),""),INT($AR1825)),IFERROR(DATE(--LEFT(LEFT(SUBSTITUTE(SUBSTITUTE(SUBSTITUTE(SUBSTITUTE(TRIM($AR1825),"-",""),".",""),"/","")," ",""),8),4),--MID(LEFT(SUBSTITUTE(SUBSTITUTE(SUBSTITUTE(SUBSTITUTE(TRIM($AR1825),"-",""),".",""),"/","")," ",""),8),5,2),--MID(LEFT(SUBSTITUTE(SUBSTITUTE(SUBSTITUTE(SUBSTITUTE(TRIM($AR1825),"-",""),".",""),"/","")," ",""),8),7,2)),"")))</f>
        <v/>
      </c>
      <c r="AT1825" s="33">
        <f>IF($AS1825="","",IF($F$6="",0,IF(ISNUMBER(INDEX($A:$AP,ROW(),$F$6)),INDEX($A:$AP,ROW(),$F$6),IFERROR(--SUBSTITUTE(SUBSTITUTE(TRIM(INDEX($A:$AP,ROW(),$F$6)),",",""),"원",""),0))))</f>
        <v/>
      </c>
      <c r="AU1825" s="31">
        <f>IF($AS1825="","",IF($AX1825&lt;&gt;"",SUBSTITUTE(SUBSTITUTE($AX1825,"-","")," ",""),"N:"&amp;$AV1825))</f>
        <v/>
      </c>
      <c r="AV1825" s="31">
        <f>IF(OR($AS1825="",$E$6=""),"",TRIM(INDEX($A:$AP,ROW(),$E$6)&amp;""))</f>
        <v/>
      </c>
      <c r="AW1825" s="31">
        <f>IF($AU1825="","",IF(MATCH($AU1825,$AU$8:$AU$2007,0)=ROW()-7,MAX($AW$7:$AW1824)+1,""))</f>
        <v/>
      </c>
      <c r="AX1825" s="31">
        <f>IF(OR($AS1825="",$D$6=""),"",TRIM(INDEX($A:$AP,ROW(),$D$6)&amp;""))</f>
        <v/>
      </c>
      <c r="AY1825" s="31">
        <f>IF($AU1825="","",INDEX($AW$8:$AW$2007,MATCH($AU1825,$AU$8:$AU$2007,0)))</f>
        <v/>
      </c>
      <c r="AZ1825" s="31">
        <f>IF(OR($AS1825="",$C$6=""),"",TRIM(INDEX($A:$AP,ROW(),$C$6)&amp;""))</f>
        <v/>
      </c>
      <c r="BA1825" s="31">
        <f>IF($AZ1825="","",IF(COUNTIF($AZ$8:$AZ1825,$AZ1825)&gt;1,1,0))</f>
        <v/>
      </c>
    </row>
    <row r="1826">
      <c r="AR1826" s="31">
        <f>IF(OR($A$5="",$B$6="",ROW()&lt;$A$5),"",IF(INDEX($A:$AP,ROW(),$B$6)="","",INDEX($A:$AP,ROW(),$B$6)))</f>
        <v/>
      </c>
      <c r="AS1826" s="32">
        <f>IF($AR1826="","",IF(ISNUMBER($AR1826),IF($AR1826&gt;=10000000,IFERROR(DATE(INT($AR1826/10000),MOD(INT($AR1826/100),100),MOD($AR1826,100)),""),INT($AR1826)),IFERROR(DATE(--LEFT(LEFT(SUBSTITUTE(SUBSTITUTE(SUBSTITUTE(SUBSTITUTE(TRIM($AR1826),"-",""),".",""),"/","")," ",""),8),4),--MID(LEFT(SUBSTITUTE(SUBSTITUTE(SUBSTITUTE(SUBSTITUTE(TRIM($AR1826),"-",""),".",""),"/","")," ",""),8),5,2),--MID(LEFT(SUBSTITUTE(SUBSTITUTE(SUBSTITUTE(SUBSTITUTE(TRIM($AR1826),"-",""),".",""),"/","")," ",""),8),7,2)),"")))</f>
        <v/>
      </c>
      <c r="AT1826" s="33">
        <f>IF($AS1826="","",IF($F$6="",0,IF(ISNUMBER(INDEX($A:$AP,ROW(),$F$6)),INDEX($A:$AP,ROW(),$F$6),IFERROR(--SUBSTITUTE(SUBSTITUTE(TRIM(INDEX($A:$AP,ROW(),$F$6)),",",""),"원",""),0))))</f>
        <v/>
      </c>
      <c r="AU1826" s="31">
        <f>IF($AS1826="","",IF($AX1826&lt;&gt;"",SUBSTITUTE(SUBSTITUTE($AX1826,"-","")," ",""),"N:"&amp;$AV1826))</f>
        <v/>
      </c>
      <c r="AV1826" s="31">
        <f>IF(OR($AS1826="",$E$6=""),"",TRIM(INDEX($A:$AP,ROW(),$E$6)&amp;""))</f>
        <v/>
      </c>
      <c r="AW1826" s="31">
        <f>IF($AU1826="","",IF(MATCH($AU1826,$AU$8:$AU$2007,0)=ROW()-7,MAX($AW$7:$AW1825)+1,""))</f>
        <v/>
      </c>
      <c r="AX1826" s="31">
        <f>IF(OR($AS1826="",$D$6=""),"",TRIM(INDEX($A:$AP,ROW(),$D$6)&amp;""))</f>
        <v/>
      </c>
      <c r="AY1826" s="31">
        <f>IF($AU1826="","",INDEX($AW$8:$AW$2007,MATCH($AU1826,$AU$8:$AU$2007,0)))</f>
        <v/>
      </c>
      <c r="AZ1826" s="31">
        <f>IF(OR($AS1826="",$C$6=""),"",TRIM(INDEX($A:$AP,ROW(),$C$6)&amp;""))</f>
        <v/>
      </c>
      <c r="BA1826" s="31">
        <f>IF($AZ1826="","",IF(COUNTIF($AZ$8:$AZ1826,$AZ1826)&gt;1,1,0))</f>
        <v/>
      </c>
    </row>
    <row r="1827">
      <c r="AR1827" s="31">
        <f>IF(OR($A$5="",$B$6="",ROW()&lt;$A$5),"",IF(INDEX($A:$AP,ROW(),$B$6)="","",INDEX($A:$AP,ROW(),$B$6)))</f>
        <v/>
      </c>
      <c r="AS1827" s="32">
        <f>IF($AR1827="","",IF(ISNUMBER($AR1827),IF($AR1827&gt;=10000000,IFERROR(DATE(INT($AR1827/10000),MOD(INT($AR1827/100),100),MOD($AR1827,100)),""),INT($AR1827)),IFERROR(DATE(--LEFT(LEFT(SUBSTITUTE(SUBSTITUTE(SUBSTITUTE(SUBSTITUTE(TRIM($AR1827),"-",""),".",""),"/","")," ",""),8),4),--MID(LEFT(SUBSTITUTE(SUBSTITUTE(SUBSTITUTE(SUBSTITUTE(TRIM($AR1827),"-",""),".",""),"/","")," ",""),8),5,2),--MID(LEFT(SUBSTITUTE(SUBSTITUTE(SUBSTITUTE(SUBSTITUTE(TRIM($AR1827),"-",""),".",""),"/","")," ",""),8),7,2)),"")))</f>
        <v/>
      </c>
      <c r="AT1827" s="33">
        <f>IF($AS1827="","",IF($F$6="",0,IF(ISNUMBER(INDEX($A:$AP,ROW(),$F$6)),INDEX($A:$AP,ROW(),$F$6),IFERROR(--SUBSTITUTE(SUBSTITUTE(TRIM(INDEX($A:$AP,ROW(),$F$6)),",",""),"원",""),0))))</f>
        <v/>
      </c>
      <c r="AU1827" s="31">
        <f>IF($AS1827="","",IF($AX1827&lt;&gt;"",SUBSTITUTE(SUBSTITUTE($AX1827,"-","")," ",""),"N:"&amp;$AV1827))</f>
        <v/>
      </c>
      <c r="AV1827" s="31">
        <f>IF(OR($AS1827="",$E$6=""),"",TRIM(INDEX($A:$AP,ROW(),$E$6)&amp;""))</f>
        <v/>
      </c>
      <c r="AW1827" s="31">
        <f>IF($AU1827="","",IF(MATCH($AU1827,$AU$8:$AU$2007,0)=ROW()-7,MAX($AW$7:$AW1826)+1,""))</f>
        <v/>
      </c>
      <c r="AX1827" s="31">
        <f>IF(OR($AS1827="",$D$6=""),"",TRIM(INDEX($A:$AP,ROW(),$D$6)&amp;""))</f>
        <v/>
      </c>
      <c r="AY1827" s="31">
        <f>IF($AU1827="","",INDEX($AW$8:$AW$2007,MATCH($AU1827,$AU$8:$AU$2007,0)))</f>
        <v/>
      </c>
      <c r="AZ1827" s="31">
        <f>IF(OR($AS1827="",$C$6=""),"",TRIM(INDEX($A:$AP,ROW(),$C$6)&amp;""))</f>
        <v/>
      </c>
      <c r="BA1827" s="31">
        <f>IF($AZ1827="","",IF(COUNTIF($AZ$8:$AZ1827,$AZ1827)&gt;1,1,0))</f>
        <v/>
      </c>
    </row>
    <row r="1828">
      <c r="AR1828" s="31">
        <f>IF(OR($A$5="",$B$6="",ROW()&lt;$A$5),"",IF(INDEX($A:$AP,ROW(),$B$6)="","",INDEX($A:$AP,ROW(),$B$6)))</f>
        <v/>
      </c>
      <c r="AS1828" s="32">
        <f>IF($AR1828="","",IF(ISNUMBER($AR1828),IF($AR1828&gt;=10000000,IFERROR(DATE(INT($AR1828/10000),MOD(INT($AR1828/100),100),MOD($AR1828,100)),""),INT($AR1828)),IFERROR(DATE(--LEFT(LEFT(SUBSTITUTE(SUBSTITUTE(SUBSTITUTE(SUBSTITUTE(TRIM($AR1828),"-",""),".",""),"/","")," ",""),8),4),--MID(LEFT(SUBSTITUTE(SUBSTITUTE(SUBSTITUTE(SUBSTITUTE(TRIM($AR1828),"-",""),".",""),"/","")," ",""),8),5,2),--MID(LEFT(SUBSTITUTE(SUBSTITUTE(SUBSTITUTE(SUBSTITUTE(TRIM($AR1828),"-",""),".",""),"/","")," ",""),8),7,2)),"")))</f>
        <v/>
      </c>
      <c r="AT1828" s="33">
        <f>IF($AS1828="","",IF($F$6="",0,IF(ISNUMBER(INDEX($A:$AP,ROW(),$F$6)),INDEX($A:$AP,ROW(),$F$6),IFERROR(--SUBSTITUTE(SUBSTITUTE(TRIM(INDEX($A:$AP,ROW(),$F$6)),",",""),"원",""),0))))</f>
        <v/>
      </c>
      <c r="AU1828" s="31">
        <f>IF($AS1828="","",IF($AX1828&lt;&gt;"",SUBSTITUTE(SUBSTITUTE($AX1828,"-","")," ",""),"N:"&amp;$AV1828))</f>
        <v/>
      </c>
      <c r="AV1828" s="31">
        <f>IF(OR($AS1828="",$E$6=""),"",TRIM(INDEX($A:$AP,ROW(),$E$6)&amp;""))</f>
        <v/>
      </c>
      <c r="AW1828" s="31">
        <f>IF($AU1828="","",IF(MATCH($AU1828,$AU$8:$AU$2007,0)=ROW()-7,MAX($AW$7:$AW1827)+1,""))</f>
        <v/>
      </c>
      <c r="AX1828" s="31">
        <f>IF(OR($AS1828="",$D$6=""),"",TRIM(INDEX($A:$AP,ROW(),$D$6)&amp;""))</f>
        <v/>
      </c>
      <c r="AY1828" s="31">
        <f>IF($AU1828="","",INDEX($AW$8:$AW$2007,MATCH($AU1828,$AU$8:$AU$2007,0)))</f>
        <v/>
      </c>
      <c r="AZ1828" s="31">
        <f>IF(OR($AS1828="",$C$6=""),"",TRIM(INDEX($A:$AP,ROW(),$C$6)&amp;""))</f>
        <v/>
      </c>
      <c r="BA1828" s="31">
        <f>IF($AZ1828="","",IF(COUNTIF($AZ$8:$AZ1828,$AZ1828)&gt;1,1,0))</f>
        <v/>
      </c>
    </row>
    <row r="1829">
      <c r="AR1829" s="31">
        <f>IF(OR($A$5="",$B$6="",ROW()&lt;$A$5),"",IF(INDEX($A:$AP,ROW(),$B$6)="","",INDEX($A:$AP,ROW(),$B$6)))</f>
        <v/>
      </c>
      <c r="AS1829" s="32">
        <f>IF($AR1829="","",IF(ISNUMBER($AR1829),IF($AR1829&gt;=10000000,IFERROR(DATE(INT($AR1829/10000),MOD(INT($AR1829/100),100),MOD($AR1829,100)),""),INT($AR1829)),IFERROR(DATE(--LEFT(LEFT(SUBSTITUTE(SUBSTITUTE(SUBSTITUTE(SUBSTITUTE(TRIM($AR1829),"-",""),".",""),"/","")," ",""),8),4),--MID(LEFT(SUBSTITUTE(SUBSTITUTE(SUBSTITUTE(SUBSTITUTE(TRIM($AR1829),"-",""),".",""),"/","")," ",""),8),5,2),--MID(LEFT(SUBSTITUTE(SUBSTITUTE(SUBSTITUTE(SUBSTITUTE(TRIM($AR1829),"-",""),".",""),"/","")," ",""),8),7,2)),"")))</f>
        <v/>
      </c>
      <c r="AT1829" s="33">
        <f>IF($AS1829="","",IF($F$6="",0,IF(ISNUMBER(INDEX($A:$AP,ROW(),$F$6)),INDEX($A:$AP,ROW(),$F$6),IFERROR(--SUBSTITUTE(SUBSTITUTE(TRIM(INDEX($A:$AP,ROW(),$F$6)),",",""),"원",""),0))))</f>
        <v/>
      </c>
      <c r="AU1829" s="31">
        <f>IF($AS1829="","",IF($AX1829&lt;&gt;"",SUBSTITUTE(SUBSTITUTE($AX1829,"-","")," ",""),"N:"&amp;$AV1829))</f>
        <v/>
      </c>
      <c r="AV1829" s="31">
        <f>IF(OR($AS1829="",$E$6=""),"",TRIM(INDEX($A:$AP,ROW(),$E$6)&amp;""))</f>
        <v/>
      </c>
      <c r="AW1829" s="31">
        <f>IF($AU1829="","",IF(MATCH($AU1829,$AU$8:$AU$2007,0)=ROW()-7,MAX($AW$7:$AW1828)+1,""))</f>
        <v/>
      </c>
      <c r="AX1829" s="31">
        <f>IF(OR($AS1829="",$D$6=""),"",TRIM(INDEX($A:$AP,ROW(),$D$6)&amp;""))</f>
        <v/>
      </c>
      <c r="AY1829" s="31">
        <f>IF($AU1829="","",INDEX($AW$8:$AW$2007,MATCH($AU1829,$AU$8:$AU$2007,0)))</f>
        <v/>
      </c>
      <c r="AZ1829" s="31">
        <f>IF(OR($AS1829="",$C$6=""),"",TRIM(INDEX($A:$AP,ROW(),$C$6)&amp;""))</f>
        <v/>
      </c>
      <c r="BA1829" s="31">
        <f>IF($AZ1829="","",IF(COUNTIF($AZ$8:$AZ1829,$AZ1829)&gt;1,1,0))</f>
        <v/>
      </c>
    </row>
    <row r="1830">
      <c r="AR1830" s="31">
        <f>IF(OR($A$5="",$B$6="",ROW()&lt;$A$5),"",IF(INDEX($A:$AP,ROW(),$B$6)="","",INDEX($A:$AP,ROW(),$B$6)))</f>
        <v/>
      </c>
      <c r="AS1830" s="32">
        <f>IF($AR1830="","",IF(ISNUMBER($AR1830),IF($AR1830&gt;=10000000,IFERROR(DATE(INT($AR1830/10000),MOD(INT($AR1830/100),100),MOD($AR1830,100)),""),INT($AR1830)),IFERROR(DATE(--LEFT(LEFT(SUBSTITUTE(SUBSTITUTE(SUBSTITUTE(SUBSTITUTE(TRIM($AR1830),"-",""),".",""),"/","")," ",""),8),4),--MID(LEFT(SUBSTITUTE(SUBSTITUTE(SUBSTITUTE(SUBSTITUTE(TRIM($AR1830),"-",""),".",""),"/","")," ",""),8),5,2),--MID(LEFT(SUBSTITUTE(SUBSTITUTE(SUBSTITUTE(SUBSTITUTE(TRIM($AR1830),"-",""),".",""),"/","")," ",""),8),7,2)),"")))</f>
        <v/>
      </c>
      <c r="AT1830" s="33">
        <f>IF($AS1830="","",IF($F$6="",0,IF(ISNUMBER(INDEX($A:$AP,ROW(),$F$6)),INDEX($A:$AP,ROW(),$F$6),IFERROR(--SUBSTITUTE(SUBSTITUTE(TRIM(INDEX($A:$AP,ROW(),$F$6)),",",""),"원",""),0))))</f>
        <v/>
      </c>
      <c r="AU1830" s="31">
        <f>IF($AS1830="","",IF($AX1830&lt;&gt;"",SUBSTITUTE(SUBSTITUTE($AX1830,"-","")," ",""),"N:"&amp;$AV1830))</f>
        <v/>
      </c>
      <c r="AV1830" s="31">
        <f>IF(OR($AS1830="",$E$6=""),"",TRIM(INDEX($A:$AP,ROW(),$E$6)&amp;""))</f>
        <v/>
      </c>
      <c r="AW1830" s="31">
        <f>IF($AU1830="","",IF(MATCH($AU1830,$AU$8:$AU$2007,0)=ROW()-7,MAX($AW$7:$AW1829)+1,""))</f>
        <v/>
      </c>
      <c r="AX1830" s="31">
        <f>IF(OR($AS1830="",$D$6=""),"",TRIM(INDEX($A:$AP,ROW(),$D$6)&amp;""))</f>
        <v/>
      </c>
      <c r="AY1830" s="31">
        <f>IF($AU1830="","",INDEX($AW$8:$AW$2007,MATCH($AU1830,$AU$8:$AU$2007,0)))</f>
        <v/>
      </c>
      <c r="AZ1830" s="31">
        <f>IF(OR($AS1830="",$C$6=""),"",TRIM(INDEX($A:$AP,ROW(),$C$6)&amp;""))</f>
        <v/>
      </c>
      <c r="BA1830" s="31">
        <f>IF($AZ1830="","",IF(COUNTIF($AZ$8:$AZ1830,$AZ1830)&gt;1,1,0))</f>
        <v/>
      </c>
    </row>
    <row r="1831">
      <c r="AR1831" s="31">
        <f>IF(OR($A$5="",$B$6="",ROW()&lt;$A$5),"",IF(INDEX($A:$AP,ROW(),$B$6)="","",INDEX($A:$AP,ROW(),$B$6)))</f>
        <v/>
      </c>
      <c r="AS1831" s="32">
        <f>IF($AR1831="","",IF(ISNUMBER($AR1831),IF($AR1831&gt;=10000000,IFERROR(DATE(INT($AR1831/10000),MOD(INT($AR1831/100),100),MOD($AR1831,100)),""),INT($AR1831)),IFERROR(DATE(--LEFT(LEFT(SUBSTITUTE(SUBSTITUTE(SUBSTITUTE(SUBSTITUTE(TRIM($AR1831),"-",""),".",""),"/","")," ",""),8),4),--MID(LEFT(SUBSTITUTE(SUBSTITUTE(SUBSTITUTE(SUBSTITUTE(TRIM($AR1831),"-",""),".",""),"/","")," ",""),8),5,2),--MID(LEFT(SUBSTITUTE(SUBSTITUTE(SUBSTITUTE(SUBSTITUTE(TRIM($AR1831),"-",""),".",""),"/","")," ",""),8),7,2)),"")))</f>
        <v/>
      </c>
      <c r="AT1831" s="33">
        <f>IF($AS1831="","",IF($F$6="",0,IF(ISNUMBER(INDEX($A:$AP,ROW(),$F$6)),INDEX($A:$AP,ROW(),$F$6),IFERROR(--SUBSTITUTE(SUBSTITUTE(TRIM(INDEX($A:$AP,ROW(),$F$6)),",",""),"원",""),0))))</f>
        <v/>
      </c>
      <c r="AU1831" s="31">
        <f>IF($AS1831="","",IF($AX1831&lt;&gt;"",SUBSTITUTE(SUBSTITUTE($AX1831,"-","")," ",""),"N:"&amp;$AV1831))</f>
        <v/>
      </c>
      <c r="AV1831" s="31">
        <f>IF(OR($AS1831="",$E$6=""),"",TRIM(INDEX($A:$AP,ROW(),$E$6)&amp;""))</f>
        <v/>
      </c>
      <c r="AW1831" s="31">
        <f>IF($AU1831="","",IF(MATCH($AU1831,$AU$8:$AU$2007,0)=ROW()-7,MAX($AW$7:$AW1830)+1,""))</f>
        <v/>
      </c>
      <c r="AX1831" s="31">
        <f>IF(OR($AS1831="",$D$6=""),"",TRIM(INDEX($A:$AP,ROW(),$D$6)&amp;""))</f>
        <v/>
      </c>
      <c r="AY1831" s="31">
        <f>IF($AU1831="","",INDEX($AW$8:$AW$2007,MATCH($AU1831,$AU$8:$AU$2007,0)))</f>
        <v/>
      </c>
      <c r="AZ1831" s="31">
        <f>IF(OR($AS1831="",$C$6=""),"",TRIM(INDEX($A:$AP,ROW(),$C$6)&amp;""))</f>
        <v/>
      </c>
      <c r="BA1831" s="31">
        <f>IF($AZ1831="","",IF(COUNTIF($AZ$8:$AZ1831,$AZ1831)&gt;1,1,0))</f>
        <v/>
      </c>
    </row>
    <row r="1832">
      <c r="AR1832" s="31">
        <f>IF(OR($A$5="",$B$6="",ROW()&lt;$A$5),"",IF(INDEX($A:$AP,ROW(),$B$6)="","",INDEX($A:$AP,ROW(),$B$6)))</f>
        <v/>
      </c>
      <c r="AS1832" s="32">
        <f>IF($AR1832="","",IF(ISNUMBER($AR1832),IF($AR1832&gt;=10000000,IFERROR(DATE(INT($AR1832/10000),MOD(INT($AR1832/100),100),MOD($AR1832,100)),""),INT($AR1832)),IFERROR(DATE(--LEFT(LEFT(SUBSTITUTE(SUBSTITUTE(SUBSTITUTE(SUBSTITUTE(TRIM($AR1832),"-",""),".",""),"/","")," ",""),8),4),--MID(LEFT(SUBSTITUTE(SUBSTITUTE(SUBSTITUTE(SUBSTITUTE(TRIM($AR1832),"-",""),".",""),"/","")," ",""),8),5,2),--MID(LEFT(SUBSTITUTE(SUBSTITUTE(SUBSTITUTE(SUBSTITUTE(TRIM($AR1832),"-",""),".",""),"/","")," ",""),8),7,2)),"")))</f>
        <v/>
      </c>
      <c r="AT1832" s="33">
        <f>IF($AS1832="","",IF($F$6="",0,IF(ISNUMBER(INDEX($A:$AP,ROW(),$F$6)),INDEX($A:$AP,ROW(),$F$6),IFERROR(--SUBSTITUTE(SUBSTITUTE(TRIM(INDEX($A:$AP,ROW(),$F$6)),",",""),"원",""),0))))</f>
        <v/>
      </c>
      <c r="AU1832" s="31">
        <f>IF($AS1832="","",IF($AX1832&lt;&gt;"",SUBSTITUTE(SUBSTITUTE($AX1832,"-","")," ",""),"N:"&amp;$AV1832))</f>
        <v/>
      </c>
      <c r="AV1832" s="31">
        <f>IF(OR($AS1832="",$E$6=""),"",TRIM(INDEX($A:$AP,ROW(),$E$6)&amp;""))</f>
        <v/>
      </c>
      <c r="AW1832" s="31">
        <f>IF($AU1832="","",IF(MATCH($AU1832,$AU$8:$AU$2007,0)=ROW()-7,MAX($AW$7:$AW1831)+1,""))</f>
        <v/>
      </c>
      <c r="AX1832" s="31">
        <f>IF(OR($AS1832="",$D$6=""),"",TRIM(INDEX($A:$AP,ROW(),$D$6)&amp;""))</f>
        <v/>
      </c>
      <c r="AY1832" s="31">
        <f>IF($AU1832="","",INDEX($AW$8:$AW$2007,MATCH($AU1832,$AU$8:$AU$2007,0)))</f>
        <v/>
      </c>
      <c r="AZ1832" s="31">
        <f>IF(OR($AS1832="",$C$6=""),"",TRIM(INDEX($A:$AP,ROW(),$C$6)&amp;""))</f>
        <v/>
      </c>
      <c r="BA1832" s="31">
        <f>IF($AZ1832="","",IF(COUNTIF($AZ$8:$AZ1832,$AZ1832)&gt;1,1,0))</f>
        <v/>
      </c>
    </row>
    <row r="1833">
      <c r="AR1833" s="31">
        <f>IF(OR($A$5="",$B$6="",ROW()&lt;$A$5),"",IF(INDEX($A:$AP,ROW(),$B$6)="","",INDEX($A:$AP,ROW(),$B$6)))</f>
        <v/>
      </c>
      <c r="AS1833" s="32">
        <f>IF($AR1833="","",IF(ISNUMBER($AR1833),IF($AR1833&gt;=10000000,IFERROR(DATE(INT($AR1833/10000),MOD(INT($AR1833/100),100),MOD($AR1833,100)),""),INT($AR1833)),IFERROR(DATE(--LEFT(LEFT(SUBSTITUTE(SUBSTITUTE(SUBSTITUTE(SUBSTITUTE(TRIM($AR1833),"-",""),".",""),"/","")," ",""),8),4),--MID(LEFT(SUBSTITUTE(SUBSTITUTE(SUBSTITUTE(SUBSTITUTE(TRIM($AR1833),"-",""),".",""),"/","")," ",""),8),5,2),--MID(LEFT(SUBSTITUTE(SUBSTITUTE(SUBSTITUTE(SUBSTITUTE(TRIM($AR1833),"-",""),".",""),"/","")," ",""),8),7,2)),"")))</f>
        <v/>
      </c>
      <c r="AT1833" s="33">
        <f>IF($AS1833="","",IF($F$6="",0,IF(ISNUMBER(INDEX($A:$AP,ROW(),$F$6)),INDEX($A:$AP,ROW(),$F$6),IFERROR(--SUBSTITUTE(SUBSTITUTE(TRIM(INDEX($A:$AP,ROW(),$F$6)),",",""),"원",""),0))))</f>
        <v/>
      </c>
      <c r="AU1833" s="31">
        <f>IF($AS1833="","",IF($AX1833&lt;&gt;"",SUBSTITUTE(SUBSTITUTE($AX1833,"-","")," ",""),"N:"&amp;$AV1833))</f>
        <v/>
      </c>
      <c r="AV1833" s="31">
        <f>IF(OR($AS1833="",$E$6=""),"",TRIM(INDEX($A:$AP,ROW(),$E$6)&amp;""))</f>
        <v/>
      </c>
      <c r="AW1833" s="31">
        <f>IF($AU1833="","",IF(MATCH($AU1833,$AU$8:$AU$2007,0)=ROW()-7,MAX($AW$7:$AW1832)+1,""))</f>
        <v/>
      </c>
      <c r="AX1833" s="31">
        <f>IF(OR($AS1833="",$D$6=""),"",TRIM(INDEX($A:$AP,ROW(),$D$6)&amp;""))</f>
        <v/>
      </c>
      <c r="AY1833" s="31">
        <f>IF($AU1833="","",INDEX($AW$8:$AW$2007,MATCH($AU1833,$AU$8:$AU$2007,0)))</f>
        <v/>
      </c>
      <c r="AZ1833" s="31">
        <f>IF(OR($AS1833="",$C$6=""),"",TRIM(INDEX($A:$AP,ROW(),$C$6)&amp;""))</f>
        <v/>
      </c>
      <c r="BA1833" s="31">
        <f>IF($AZ1833="","",IF(COUNTIF($AZ$8:$AZ1833,$AZ1833)&gt;1,1,0))</f>
        <v/>
      </c>
    </row>
    <row r="1834">
      <c r="AR1834" s="31">
        <f>IF(OR($A$5="",$B$6="",ROW()&lt;$A$5),"",IF(INDEX($A:$AP,ROW(),$B$6)="","",INDEX($A:$AP,ROW(),$B$6)))</f>
        <v/>
      </c>
      <c r="AS1834" s="32">
        <f>IF($AR1834="","",IF(ISNUMBER($AR1834),IF($AR1834&gt;=10000000,IFERROR(DATE(INT($AR1834/10000),MOD(INT($AR1834/100),100),MOD($AR1834,100)),""),INT($AR1834)),IFERROR(DATE(--LEFT(LEFT(SUBSTITUTE(SUBSTITUTE(SUBSTITUTE(SUBSTITUTE(TRIM($AR1834),"-",""),".",""),"/","")," ",""),8),4),--MID(LEFT(SUBSTITUTE(SUBSTITUTE(SUBSTITUTE(SUBSTITUTE(TRIM($AR1834),"-",""),".",""),"/","")," ",""),8),5,2),--MID(LEFT(SUBSTITUTE(SUBSTITUTE(SUBSTITUTE(SUBSTITUTE(TRIM($AR1834),"-",""),".",""),"/","")," ",""),8),7,2)),"")))</f>
        <v/>
      </c>
      <c r="AT1834" s="33">
        <f>IF($AS1834="","",IF($F$6="",0,IF(ISNUMBER(INDEX($A:$AP,ROW(),$F$6)),INDEX($A:$AP,ROW(),$F$6),IFERROR(--SUBSTITUTE(SUBSTITUTE(TRIM(INDEX($A:$AP,ROW(),$F$6)),",",""),"원",""),0))))</f>
        <v/>
      </c>
      <c r="AU1834" s="31">
        <f>IF($AS1834="","",IF($AX1834&lt;&gt;"",SUBSTITUTE(SUBSTITUTE($AX1834,"-","")," ",""),"N:"&amp;$AV1834))</f>
        <v/>
      </c>
      <c r="AV1834" s="31">
        <f>IF(OR($AS1834="",$E$6=""),"",TRIM(INDEX($A:$AP,ROW(),$E$6)&amp;""))</f>
        <v/>
      </c>
      <c r="AW1834" s="31">
        <f>IF($AU1834="","",IF(MATCH($AU1834,$AU$8:$AU$2007,0)=ROW()-7,MAX($AW$7:$AW1833)+1,""))</f>
        <v/>
      </c>
      <c r="AX1834" s="31">
        <f>IF(OR($AS1834="",$D$6=""),"",TRIM(INDEX($A:$AP,ROW(),$D$6)&amp;""))</f>
        <v/>
      </c>
      <c r="AY1834" s="31">
        <f>IF($AU1834="","",INDEX($AW$8:$AW$2007,MATCH($AU1834,$AU$8:$AU$2007,0)))</f>
        <v/>
      </c>
      <c r="AZ1834" s="31">
        <f>IF(OR($AS1834="",$C$6=""),"",TRIM(INDEX($A:$AP,ROW(),$C$6)&amp;""))</f>
        <v/>
      </c>
      <c r="BA1834" s="31">
        <f>IF($AZ1834="","",IF(COUNTIF($AZ$8:$AZ1834,$AZ1834)&gt;1,1,0))</f>
        <v/>
      </c>
    </row>
    <row r="1835">
      <c r="AR1835" s="31">
        <f>IF(OR($A$5="",$B$6="",ROW()&lt;$A$5),"",IF(INDEX($A:$AP,ROW(),$B$6)="","",INDEX($A:$AP,ROW(),$B$6)))</f>
        <v/>
      </c>
      <c r="AS1835" s="32">
        <f>IF($AR1835="","",IF(ISNUMBER($AR1835),IF($AR1835&gt;=10000000,IFERROR(DATE(INT($AR1835/10000),MOD(INT($AR1835/100),100),MOD($AR1835,100)),""),INT($AR1835)),IFERROR(DATE(--LEFT(LEFT(SUBSTITUTE(SUBSTITUTE(SUBSTITUTE(SUBSTITUTE(TRIM($AR1835),"-",""),".",""),"/","")," ",""),8),4),--MID(LEFT(SUBSTITUTE(SUBSTITUTE(SUBSTITUTE(SUBSTITUTE(TRIM($AR1835),"-",""),".",""),"/","")," ",""),8),5,2),--MID(LEFT(SUBSTITUTE(SUBSTITUTE(SUBSTITUTE(SUBSTITUTE(TRIM($AR1835),"-",""),".",""),"/","")," ",""),8),7,2)),"")))</f>
        <v/>
      </c>
      <c r="AT1835" s="33">
        <f>IF($AS1835="","",IF($F$6="",0,IF(ISNUMBER(INDEX($A:$AP,ROW(),$F$6)),INDEX($A:$AP,ROW(),$F$6),IFERROR(--SUBSTITUTE(SUBSTITUTE(TRIM(INDEX($A:$AP,ROW(),$F$6)),",",""),"원",""),0))))</f>
        <v/>
      </c>
      <c r="AU1835" s="31">
        <f>IF($AS1835="","",IF($AX1835&lt;&gt;"",SUBSTITUTE(SUBSTITUTE($AX1835,"-","")," ",""),"N:"&amp;$AV1835))</f>
        <v/>
      </c>
      <c r="AV1835" s="31">
        <f>IF(OR($AS1835="",$E$6=""),"",TRIM(INDEX($A:$AP,ROW(),$E$6)&amp;""))</f>
        <v/>
      </c>
      <c r="AW1835" s="31">
        <f>IF($AU1835="","",IF(MATCH($AU1835,$AU$8:$AU$2007,0)=ROW()-7,MAX($AW$7:$AW1834)+1,""))</f>
        <v/>
      </c>
      <c r="AX1835" s="31">
        <f>IF(OR($AS1835="",$D$6=""),"",TRIM(INDEX($A:$AP,ROW(),$D$6)&amp;""))</f>
        <v/>
      </c>
      <c r="AY1835" s="31">
        <f>IF($AU1835="","",INDEX($AW$8:$AW$2007,MATCH($AU1835,$AU$8:$AU$2007,0)))</f>
        <v/>
      </c>
      <c r="AZ1835" s="31">
        <f>IF(OR($AS1835="",$C$6=""),"",TRIM(INDEX($A:$AP,ROW(),$C$6)&amp;""))</f>
        <v/>
      </c>
      <c r="BA1835" s="31">
        <f>IF($AZ1835="","",IF(COUNTIF($AZ$8:$AZ1835,$AZ1835)&gt;1,1,0))</f>
        <v/>
      </c>
    </row>
    <row r="1836">
      <c r="AR1836" s="31">
        <f>IF(OR($A$5="",$B$6="",ROW()&lt;$A$5),"",IF(INDEX($A:$AP,ROW(),$B$6)="","",INDEX($A:$AP,ROW(),$B$6)))</f>
        <v/>
      </c>
      <c r="AS1836" s="32">
        <f>IF($AR1836="","",IF(ISNUMBER($AR1836),IF($AR1836&gt;=10000000,IFERROR(DATE(INT($AR1836/10000),MOD(INT($AR1836/100),100),MOD($AR1836,100)),""),INT($AR1836)),IFERROR(DATE(--LEFT(LEFT(SUBSTITUTE(SUBSTITUTE(SUBSTITUTE(SUBSTITUTE(TRIM($AR1836),"-",""),".",""),"/","")," ",""),8),4),--MID(LEFT(SUBSTITUTE(SUBSTITUTE(SUBSTITUTE(SUBSTITUTE(TRIM($AR1836),"-",""),".",""),"/","")," ",""),8),5,2),--MID(LEFT(SUBSTITUTE(SUBSTITUTE(SUBSTITUTE(SUBSTITUTE(TRIM($AR1836),"-",""),".",""),"/","")," ",""),8),7,2)),"")))</f>
        <v/>
      </c>
      <c r="AT1836" s="33">
        <f>IF($AS1836="","",IF($F$6="",0,IF(ISNUMBER(INDEX($A:$AP,ROW(),$F$6)),INDEX($A:$AP,ROW(),$F$6),IFERROR(--SUBSTITUTE(SUBSTITUTE(TRIM(INDEX($A:$AP,ROW(),$F$6)),",",""),"원",""),0))))</f>
        <v/>
      </c>
      <c r="AU1836" s="31">
        <f>IF($AS1836="","",IF($AX1836&lt;&gt;"",SUBSTITUTE(SUBSTITUTE($AX1836,"-","")," ",""),"N:"&amp;$AV1836))</f>
        <v/>
      </c>
      <c r="AV1836" s="31">
        <f>IF(OR($AS1836="",$E$6=""),"",TRIM(INDEX($A:$AP,ROW(),$E$6)&amp;""))</f>
        <v/>
      </c>
      <c r="AW1836" s="31">
        <f>IF($AU1836="","",IF(MATCH($AU1836,$AU$8:$AU$2007,0)=ROW()-7,MAX($AW$7:$AW1835)+1,""))</f>
        <v/>
      </c>
      <c r="AX1836" s="31">
        <f>IF(OR($AS1836="",$D$6=""),"",TRIM(INDEX($A:$AP,ROW(),$D$6)&amp;""))</f>
        <v/>
      </c>
      <c r="AY1836" s="31">
        <f>IF($AU1836="","",INDEX($AW$8:$AW$2007,MATCH($AU1836,$AU$8:$AU$2007,0)))</f>
        <v/>
      </c>
      <c r="AZ1836" s="31">
        <f>IF(OR($AS1836="",$C$6=""),"",TRIM(INDEX($A:$AP,ROW(),$C$6)&amp;""))</f>
        <v/>
      </c>
      <c r="BA1836" s="31">
        <f>IF($AZ1836="","",IF(COUNTIF($AZ$8:$AZ1836,$AZ1836)&gt;1,1,0))</f>
        <v/>
      </c>
    </row>
    <row r="1837">
      <c r="AR1837" s="31">
        <f>IF(OR($A$5="",$B$6="",ROW()&lt;$A$5),"",IF(INDEX($A:$AP,ROW(),$B$6)="","",INDEX($A:$AP,ROW(),$B$6)))</f>
        <v/>
      </c>
      <c r="AS1837" s="32">
        <f>IF($AR1837="","",IF(ISNUMBER($AR1837),IF($AR1837&gt;=10000000,IFERROR(DATE(INT($AR1837/10000),MOD(INT($AR1837/100),100),MOD($AR1837,100)),""),INT($AR1837)),IFERROR(DATE(--LEFT(LEFT(SUBSTITUTE(SUBSTITUTE(SUBSTITUTE(SUBSTITUTE(TRIM($AR1837),"-",""),".",""),"/","")," ",""),8),4),--MID(LEFT(SUBSTITUTE(SUBSTITUTE(SUBSTITUTE(SUBSTITUTE(TRIM($AR1837),"-",""),".",""),"/","")," ",""),8),5,2),--MID(LEFT(SUBSTITUTE(SUBSTITUTE(SUBSTITUTE(SUBSTITUTE(TRIM($AR1837),"-",""),".",""),"/","")," ",""),8),7,2)),"")))</f>
        <v/>
      </c>
      <c r="AT1837" s="33">
        <f>IF($AS1837="","",IF($F$6="",0,IF(ISNUMBER(INDEX($A:$AP,ROW(),$F$6)),INDEX($A:$AP,ROW(),$F$6),IFERROR(--SUBSTITUTE(SUBSTITUTE(TRIM(INDEX($A:$AP,ROW(),$F$6)),",",""),"원",""),0))))</f>
        <v/>
      </c>
      <c r="AU1837" s="31">
        <f>IF($AS1837="","",IF($AX1837&lt;&gt;"",SUBSTITUTE(SUBSTITUTE($AX1837,"-","")," ",""),"N:"&amp;$AV1837))</f>
        <v/>
      </c>
      <c r="AV1837" s="31">
        <f>IF(OR($AS1837="",$E$6=""),"",TRIM(INDEX($A:$AP,ROW(),$E$6)&amp;""))</f>
        <v/>
      </c>
      <c r="AW1837" s="31">
        <f>IF($AU1837="","",IF(MATCH($AU1837,$AU$8:$AU$2007,0)=ROW()-7,MAX($AW$7:$AW1836)+1,""))</f>
        <v/>
      </c>
      <c r="AX1837" s="31">
        <f>IF(OR($AS1837="",$D$6=""),"",TRIM(INDEX($A:$AP,ROW(),$D$6)&amp;""))</f>
        <v/>
      </c>
      <c r="AY1837" s="31">
        <f>IF($AU1837="","",INDEX($AW$8:$AW$2007,MATCH($AU1837,$AU$8:$AU$2007,0)))</f>
        <v/>
      </c>
      <c r="AZ1837" s="31">
        <f>IF(OR($AS1837="",$C$6=""),"",TRIM(INDEX($A:$AP,ROW(),$C$6)&amp;""))</f>
        <v/>
      </c>
      <c r="BA1837" s="31">
        <f>IF($AZ1837="","",IF(COUNTIF($AZ$8:$AZ1837,$AZ1837)&gt;1,1,0))</f>
        <v/>
      </c>
    </row>
    <row r="1838">
      <c r="AR1838" s="31">
        <f>IF(OR($A$5="",$B$6="",ROW()&lt;$A$5),"",IF(INDEX($A:$AP,ROW(),$B$6)="","",INDEX($A:$AP,ROW(),$B$6)))</f>
        <v/>
      </c>
      <c r="AS1838" s="32">
        <f>IF($AR1838="","",IF(ISNUMBER($AR1838),IF($AR1838&gt;=10000000,IFERROR(DATE(INT($AR1838/10000),MOD(INT($AR1838/100),100),MOD($AR1838,100)),""),INT($AR1838)),IFERROR(DATE(--LEFT(LEFT(SUBSTITUTE(SUBSTITUTE(SUBSTITUTE(SUBSTITUTE(TRIM($AR1838),"-",""),".",""),"/","")," ",""),8),4),--MID(LEFT(SUBSTITUTE(SUBSTITUTE(SUBSTITUTE(SUBSTITUTE(TRIM($AR1838),"-",""),".",""),"/","")," ",""),8),5,2),--MID(LEFT(SUBSTITUTE(SUBSTITUTE(SUBSTITUTE(SUBSTITUTE(TRIM($AR1838),"-",""),".",""),"/","")," ",""),8),7,2)),"")))</f>
        <v/>
      </c>
      <c r="AT1838" s="33">
        <f>IF($AS1838="","",IF($F$6="",0,IF(ISNUMBER(INDEX($A:$AP,ROW(),$F$6)),INDEX($A:$AP,ROW(),$F$6),IFERROR(--SUBSTITUTE(SUBSTITUTE(TRIM(INDEX($A:$AP,ROW(),$F$6)),",",""),"원",""),0))))</f>
        <v/>
      </c>
      <c r="AU1838" s="31">
        <f>IF($AS1838="","",IF($AX1838&lt;&gt;"",SUBSTITUTE(SUBSTITUTE($AX1838,"-","")," ",""),"N:"&amp;$AV1838))</f>
        <v/>
      </c>
      <c r="AV1838" s="31">
        <f>IF(OR($AS1838="",$E$6=""),"",TRIM(INDEX($A:$AP,ROW(),$E$6)&amp;""))</f>
        <v/>
      </c>
      <c r="AW1838" s="31">
        <f>IF($AU1838="","",IF(MATCH($AU1838,$AU$8:$AU$2007,0)=ROW()-7,MAX($AW$7:$AW1837)+1,""))</f>
        <v/>
      </c>
      <c r="AX1838" s="31">
        <f>IF(OR($AS1838="",$D$6=""),"",TRIM(INDEX($A:$AP,ROW(),$D$6)&amp;""))</f>
        <v/>
      </c>
      <c r="AY1838" s="31">
        <f>IF($AU1838="","",INDEX($AW$8:$AW$2007,MATCH($AU1838,$AU$8:$AU$2007,0)))</f>
        <v/>
      </c>
      <c r="AZ1838" s="31">
        <f>IF(OR($AS1838="",$C$6=""),"",TRIM(INDEX($A:$AP,ROW(),$C$6)&amp;""))</f>
        <v/>
      </c>
      <c r="BA1838" s="31">
        <f>IF($AZ1838="","",IF(COUNTIF($AZ$8:$AZ1838,$AZ1838)&gt;1,1,0))</f>
        <v/>
      </c>
    </row>
    <row r="1839">
      <c r="AR1839" s="31">
        <f>IF(OR($A$5="",$B$6="",ROW()&lt;$A$5),"",IF(INDEX($A:$AP,ROW(),$B$6)="","",INDEX($A:$AP,ROW(),$B$6)))</f>
        <v/>
      </c>
      <c r="AS1839" s="32">
        <f>IF($AR1839="","",IF(ISNUMBER($AR1839),IF($AR1839&gt;=10000000,IFERROR(DATE(INT($AR1839/10000),MOD(INT($AR1839/100),100),MOD($AR1839,100)),""),INT($AR1839)),IFERROR(DATE(--LEFT(LEFT(SUBSTITUTE(SUBSTITUTE(SUBSTITUTE(SUBSTITUTE(TRIM($AR1839),"-",""),".",""),"/","")," ",""),8),4),--MID(LEFT(SUBSTITUTE(SUBSTITUTE(SUBSTITUTE(SUBSTITUTE(TRIM($AR1839),"-",""),".",""),"/","")," ",""),8),5,2),--MID(LEFT(SUBSTITUTE(SUBSTITUTE(SUBSTITUTE(SUBSTITUTE(TRIM($AR1839),"-",""),".",""),"/","")," ",""),8),7,2)),"")))</f>
        <v/>
      </c>
      <c r="AT1839" s="33">
        <f>IF($AS1839="","",IF($F$6="",0,IF(ISNUMBER(INDEX($A:$AP,ROW(),$F$6)),INDEX($A:$AP,ROW(),$F$6),IFERROR(--SUBSTITUTE(SUBSTITUTE(TRIM(INDEX($A:$AP,ROW(),$F$6)),",",""),"원",""),0))))</f>
        <v/>
      </c>
      <c r="AU1839" s="31">
        <f>IF($AS1839="","",IF($AX1839&lt;&gt;"",SUBSTITUTE(SUBSTITUTE($AX1839,"-","")," ",""),"N:"&amp;$AV1839))</f>
        <v/>
      </c>
      <c r="AV1839" s="31">
        <f>IF(OR($AS1839="",$E$6=""),"",TRIM(INDEX($A:$AP,ROW(),$E$6)&amp;""))</f>
        <v/>
      </c>
      <c r="AW1839" s="31">
        <f>IF($AU1839="","",IF(MATCH($AU1839,$AU$8:$AU$2007,0)=ROW()-7,MAX($AW$7:$AW1838)+1,""))</f>
        <v/>
      </c>
      <c r="AX1839" s="31">
        <f>IF(OR($AS1839="",$D$6=""),"",TRIM(INDEX($A:$AP,ROW(),$D$6)&amp;""))</f>
        <v/>
      </c>
      <c r="AY1839" s="31">
        <f>IF($AU1839="","",INDEX($AW$8:$AW$2007,MATCH($AU1839,$AU$8:$AU$2007,0)))</f>
        <v/>
      </c>
      <c r="AZ1839" s="31">
        <f>IF(OR($AS1839="",$C$6=""),"",TRIM(INDEX($A:$AP,ROW(),$C$6)&amp;""))</f>
        <v/>
      </c>
      <c r="BA1839" s="31">
        <f>IF($AZ1839="","",IF(COUNTIF($AZ$8:$AZ1839,$AZ1839)&gt;1,1,0))</f>
        <v/>
      </c>
    </row>
    <row r="1840">
      <c r="AR1840" s="31">
        <f>IF(OR($A$5="",$B$6="",ROW()&lt;$A$5),"",IF(INDEX($A:$AP,ROW(),$B$6)="","",INDEX($A:$AP,ROW(),$B$6)))</f>
        <v/>
      </c>
      <c r="AS1840" s="32">
        <f>IF($AR1840="","",IF(ISNUMBER($AR1840),IF($AR1840&gt;=10000000,IFERROR(DATE(INT($AR1840/10000),MOD(INT($AR1840/100),100),MOD($AR1840,100)),""),INT($AR1840)),IFERROR(DATE(--LEFT(LEFT(SUBSTITUTE(SUBSTITUTE(SUBSTITUTE(SUBSTITUTE(TRIM($AR1840),"-",""),".",""),"/","")," ",""),8),4),--MID(LEFT(SUBSTITUTE(SUBSTITUTE(SUBSTITUTE(SUBSTITUTE(TRIM($AR1840),"-",""),".",""),"/","")," ",""),8),5,2),--MID(LEFT(SUBSTITUTE(SUBSTITUTE(SUBSTITUTE(SUBSTITUTE(TRIM($AR1840),"-",""),".",""),"/","")," ",""),8),7,2)),"")))</f>
        <v/>
      </c>
      <c r="AT1840" s="33">
        <f>IF($AS1840="","",IF($F$6="",0,IF(ISNUMBER(INDEX($A:$AP,ROW(),$F$6)),INDEX($A:$AP,ROW(),$F$6),IFERROR(--SUBSTITUTE(SUBSTITUTE(TRIM(INDEX($A:$AP,ROW(),$F$6)),",",""),"원",""),0))))</f>
        <v/>
      </c>
      <c r="AU1840" s="31">
        <f>IF($AS1840="","",IF($AX1840&lt;&gt;"",SUBSTITUTE(SUBSTITUTE($AX1840,"-","")," ",""),"N:"&amp;$AV1840))</f>
        <v/>
      </c>
      <c r="AV1840" s="31">
        <f>IF(OR($AS1840="",$E$6=""),"",TRIM(INDEX($A:$AP,ROW(),$E$6)&amp;""))</f>
        <v/>
      </c>
      <c r="AW1840" s="31">
        <f>IF($AU1840="","",IF(MATCH($AU1840,$AU$8:$AU$2007,0)=ROW()-7,MAX($AW$7:$AW1839)+1,""))</f>
        <v/>
      </c>
      <c r="AX1840" s="31">
        <f>IF(OR($AS1840="",$D$6=""),"",TRIM(INDEX($A:$AP,ROW(),$D$6)&amp;""))</f>
        <v/>
      </c>
      <c r="AY1840" s="31">
        <f>IF($AU1840="","",INDEX($AW$8:$AW$2007,MATCH($AU1840,$AU$8:$AU$2007,0)))</f>
        <v/>
      </c>
      <c r="AZ1840" s="31">
        <f>IF(OR($AS1840="",$C$6=""),"",TRIM(INDEX($A:$AP,ROW(),$C$6)&amp;""))</f>
        <v/>
      </c>
      <c r="BA1840" s="31">
        <f>IF($AZ1840="","",IF(COUNTIF($AZ$8:$AZ1840,$AZ1840)&gt;1,1,0))</f>
        <v/>
      </c>
    </row>
    <row r="1841">
      <c r="AR1841" s="31">
        <f>IF(OR($A$5="",$B$6="",ROW()&lt;$A$5),"",IF(INDEX($A:$AP,ROW(),$B$6)="","",INDEX($A:$AP,ROW(),$B$6)))</f>
        <v/>
      </c>
      <c r="AS1841" s="32">
        <f>IF($AR1841="","",IF(ISNUMBER($AR1841),IF($AR1841&gt;=10000000,IFERROR(DATE(INT($AR1841/10000),MOD(INT($AR1841/100),100),MOD($AR1841,100)),""),INT($AR1841)),IFERROR(DATE(--LEFT(LEFT(SUBSTITUTE(SUBSTITUTE(SUBSTITUTE(SUBSTITUTE(TRIM($AR1841),"-",""),".",""),"/","")," ",""),8),4),--MID(LEFT(SUBSTITUTE(SUBSTITUTE(SUBSTITUTE(SUBSTITUTE(TRIM($AR1841),"-",""),".",""),"/","")," ",""),8),5,2),--MID(LEFT(SUBSTITUTE(SUBSTITUTE(SUBSTITUTE(SUBSTITUTE(TRIM($AR1841),"-",""),".",""),"/","")," ",""),8),7,2)),"")))</f>
        <v/>
      </c>
      <c r="AT1841" s="33">
        <f>IF($AS1841="","",IF($F$6="",0,IF(ISNUMBER(INDEX($A:$AP,ROW(),$F$6)),INDEX($A:$AP,ROW(),$F$6),IFERROR(--SUBSTITUTE(SUBSTITUTE(TRIM(INDEX($A:$AP,ROW(),$F$6)),",",""),"원",""),0))))</f>
        <v/>
      </c>
      <c r="AU1841" s="31">
        <f>IF($AS1841="","",IF($AX1841&lt;&gt;"",SUBSTITUTE(SUBSTITUTE($AX1841,"-","")," ",""),"N:"&amp;$AV1841))</f>
        <v/>
      </c>
      <c r="AV1841" s="31">
        <f>IF(OR($AS1841="",$E$6=""),"",TRIM(INDEX($A:$AP,ROW(),$E$6)&amp;""))</f>
        <v/>
      </c>
      <c r="AW1841" s="31">
        <f>IF($AU1841="","",IF(MATCH($AU1841,$AU$8:$AU$2007,0)=ROW()-7,MAX($AW$7:$AW1840)+1,""))</f>
        <v/>
      </c>
      <c r="AX1841" s="31">
        <f>IF(OR($AS1841="",$D$6=""),"",TRIM(INDEX($A:$AP,ROW(),$D$6)&amp;""))</f>
        <v/>
      </c>
      <c r="AY1841" s="31">
        <f>IF($AU1841="","",INDEX($AW$8:$AW$2007,MATCH($AU1841,$AU$8:$AU$2007,0)))</f>
        <v/>
      </c>
      <c r="AZ1841" s="31">
        <f>IF(OR($AS1841="",$C$6=""),"",TRIM(INDEX($A:$AP,ROW(),$C$6)&amp;""))</f>
        <v/>
      </c>
      <c r="BA1841" s="31">
        <f>IF($AZ1841="","",IF(COUNTIF($AZ$8:$AZ1841,$AZ1841)&gt;1,1,0))</f>
        <v/>
      </c>
    </row>
    <row r="1842">
      <c r="AR1842" s="31">
        <f>IF(OR($A$5="",$B$6="",ROW()&lt;$A$5),"",IF(INDEX($A:$AP,ROW(),$B$6)="","",INDEX($A:$AP,ROW(),$B$6)))</f>
        <v/>
      </c>
      <c r="AS1842" s="32">
        <f>IF($AR1842="","",IF(ISNUMBER($AR1842),IF($AR1842&gt;=10000000,IFERROR(DATE(INT($AR1842/10000),MOD(INT($AR1842/100),100),MOD($AR1842,100)),""),INT($AR1842)),IFERROR(DATE(--LEFT(LEFT(SUBSTITUTE(SUBSTITUTE(SUBSTITUTE(SUBSTITUTE(TRIM($AR1842),"-",""),".",""),"/","")," ",""),8),4),--MID(LEFT(SUBSTITUTE(SUBSTITUTE(SUBSTITUTE(SUBSTITUTE(TRIM($AR1842),"-",""),".",""),"/","")," ",""),8),5,2),--MID(LEFT(SUBSTITUTE(SUBSTITUTE(SUBSTITUTE(SUBSTITUTE(TRIM($AR1842),"-",""),".",""),"/","")," ",""),8),7,2)),"")))</f>
        <v/>
      </c>
      <c r="AT1842" s="33">
        <f>IF($AS1842="","",IF($F$6="",0,IF(ISNUMBER(INDEX($A:$AP,ROW(),$F$6)),INDEX($A:$AP,ROW(),$F$6),IFERROR(--SUBSTITUTE(SUBSTITUTE(TRIM(INDEX($A:$AP,ROW(),$F$6)),",",""),"원",""),0))))</f>
        <v/>
      </c>
      <c r="AU1842" s="31">
        <f>IF($AS1842="","",IF($AX1842&lt;&gt;"",SUBSTITUTE(SUBSTITUTE($AX1842,"-","")," ",""),"N:"&amp;$AV1842))</f>
        <v/>
      </c>
      <c r="AV1842" s="31">
        <f>IF(OR($AS1842="",$E$6=""),"",TRIM(INDEX($A:$AP,ROW(),$E$6)&amp;""))</f>
        <v/>
      </c>
      <c r="AW1842" s="31">
        <f>IF($AU1842="","",IF(MATCH($AU1842,$AU$8:$AU$2007,0)=ROW()-7,MAX($AW$7:$AW1841)+1,""))</f>
        <v/>
      </c>
      <c r="AX1842" s="31">
        <f>IF(OR($AS1842="",$D$6=""),"",TRIM(INDEX($A:$AP,ROW(),$D$6)&amp;""))</f>
        <v/>
      </c>
      <c r="AY1842" s="31">
        <f>IF($AU1842="","",INDEX($AW$8:$AW$2007,MATCH($AU1842,$AU$8:$AU$2007,0)))</f>
        <v/>
      </c>
      <c r="AZ1842" s="31">
        <f>IF(OR($AS1842="",$C$6=""),"",TRIM(INDEX($A:$AP,ROW(),$C$6)&amp;""))</f>
        <v/>
      </c>
      <c r="BA1842" s="31">
        <f>IF($AZ1842="","",IF(COUNTIF($AZ$8:$AZ1842,$AZ1842)&gt;1,1,0))</f>
        <v/>
      </c>
    </row>
    <row r="1843">
      <c r="AR1843" s="31">
        <f>IF(OR($A$5="",$B$6="",ROW()&lt;$A$5),"",IF(INDEX($A:$AP,ROW(),$B$6)="","",INDEX($A:$AP,ROW(),$B$6)))</f>
        <v/>
      </c>
      <c r="AS1843" s="32">
        <f>IF($AR1843="","",IF(ISNUMBER($AR1843),IF($AR1843&gt;=10000000,IFERROR(DATE(INT($AR1843/10000),MOD(INT($AR1843/100),100),MOD($AR1843,100)),""),INT($AR1843)),IFERROR(DATE(--LEFT(LEFT(SUBSTITUTE(SUBSTITUTE(SUBSTITUTE(SUBSTITUTE(TRIM($AR1843),"-",""),".",""),"/","")," ",""),8),4),--MID(LEFT(SUBSTITUTE(SUBSTITUTE(SUBSTITUTE(SUBSTITUTE(TRIM($AR1843),"-",""),".",""),"/","")," ",""),8),5,2),--MID(LEFT(SUBSTITUTE(SUBSTITUTE(SUBSTITUTE(SUBSTITUTE(TRIM($AR1843),"-",""),".",""),"/","")," ",""),8),7,2)),"")))</f>
        <v/>
      </c>
      <c r="AT1843" s="33">
        <f>IF($AS1843="","",IF($F$6="",0,IF(ISNUMBER(INDEX($A:$AP,ROW(),$F$6)),INDEX($A:$AP,ROW(),$F$6),IFERROR(--SUBSTITUTE(SUBSTITUTE(TRIM(INDEX($A:$AP,ROW(),$F$6)),",",""),"원",""),0))))</f>
        <v/>
      </c>
      <c r="AU1843" s="31">
        <f>IF($AS1843="","",IF($AX1843&lt;&gt;"",SUBSTITUTE(SUBSTITUTE($AX1843,"-","")," ",""),"N:"&amp;$AV1843))</f>
        <v/>
      </c>
      <c r="AV1843" s="31">
        <f>IF(OR($AS1843="",$E$6=""),"",TRIM(INDEX($A:$AP,ROW(),$E$6)&amp;""))</f>
        <v/>
      </c>
      <c r="AW1843" s="31">
        <f>IF($AU1843="","",IF(MATCH($AU1843,$AU$8:$AU$2007,0)=ROW()-7,MAX($AW$7:$AW1842)+1,""))</f>
        <v/>
      </c>
      <c r="AX1843" s="31">
        <f>IF(OR($AS1843="",$D$6=""),"",TRIM(INDEX($A:$AP,ROW(),$D$6)&amp;""))</f>
        <v/>
      </c>
      <c r="AY1843" s="31">
        <f>IF($AU1843="","",INDEX($AW$8:$AW$2007,MATCH($AU1843,$AU$8:$AU$2007,0)))</f>
        <v/>
      </c>
      <c r="AZ1843" s="31">
        <f>IF(OR($AS1843="",$C$6=""),"",TRIM(INDEX($A:$AP,ROW(),$C$6)&amp;""))</f>
        <v/>
      </c>
      <c r="BA1843" s="31">
        <f>IF($AZ1843="","",IF(COUNTIF($AZ$8:$AZ1843,$AZ1843)&gt;1,1,0))</f>
        <v/>
      </c>
    </row>
    <row r="1844">
      <c r="AR1844" s="31">
        <f>IF(OR($A$5="",$B$6="",ROW()&lt;$A$5),"",IF(INDEX($A:$AP,ROW(),$B$6)="","",INDEX($A:$AP,ROW(),$B$6)))</f>
        <v/>
      </c>
      <c r="AS1844" s="32">
        <f>IF($AR1844="","",IF(ISNUMBER($AR1844),IF($AR1844&gt;=10000000,IFERROR(DATE(INT($AR1844/10000),MOD(INT($AR1844/100),100),MOD($AR1844,100)),""),INT($AR1844)),IFERROR(DATE(--LEFT(LEFT(SUBSTITUTE(SUBSTITUTE(SUBSTITUTE(SUBSTITUTE(TRIM($AR1844),"-",""),".",""),"/","")," ",""),8),4),--MID(LEFT(SUBSTITUTE(SUBSTITUTE(SUBSTITUTE(SUBSTITUTE(TRIM($AR1844),"-",""),".",""),"/","")," ",""),8),5,2),--MID(LEFT(SUBSTITUTE(SUBSTITUTE(SUBSTITUTE(SUBSTITUTE(TRIM($AR1844),"-",""),".",""),"/","")," ",""),8),7,2)),"")))</f>
        <v/>
      </c>
      <c r="AT1844" s="33">
        <f>IF($AS1844="","",IF($F$6="",0,IF(ISNUMBER(INDEX($A:$AP,ROW(),$F$6)),INDEX($A:$AP,ROW(),$F$6),IFERROR(--SUBSTITUTE(SUBSTITUTE(TRIM(INDEX($A:$AP,ROW(),$F$6)),",",""),"원",""),0))))</f>
        <v/>
      </c>
      <c r="AU1844" s="31">
        <f>IF($AS1844="","",IF($AX1844&lt;&gt;"",SUBSTITUTE(SUBSTITUTE($AX1844,"-","")," ",""),"N:"&amp;$AV1844))</f>
        <v/>
      </c>
      <c r="AV1844" s="31">
        <f>IF(OR($AS1844="",$E$6=""),"",TRIM(INDEX($A:$AP,ROW(),$E$6)&amp;""))</f>
        <v/>
      </c>
      <c r="AW1844" s="31">
        <f>IF($AU1844="","",IF(MATCH($AU1844,$AU$8:$AU$2007,0)=ROW()-7,MAX($AW$7:$AW1843)+1,""))</f>
        <v/>
      </c>
      <c r="AX1844" s="31">
        <f>IF(OR($AS1844="",$D$6=""),"",TRIM(INDEX($A:$AP,ROW(),$D$6)&amp;""))</f>
        <v/>
      </c>
      <c r="AY1844" s="31">
        <f>IF($AU1844="","",INDEX($AW$8:$AW$2007,MATCH($AU1844,$AU$8:$AU$2007,0)))</f>
        <v/>
      </c>
      <c r="AZ1844" s="31">
        <f>IF(OR($AS1844="",$C$6=""),"",TRIM(INDEX($A:$AP,ROW(),$C$6)&amp;""))</f>
        <v/>
      </c>
      <c r="BA1844" s="31">
        <f>IF($AZ1844="","",IF(COUNTIF($AZ$8:$AZ1844,$AZ1844)&gt;1,1,0))</f>
        <v/>
      </c>
    </row>
    <row r="1845">
      <c r="AR1845" s="31">
        <f>IF(OR($A$5="",$B$6="",ROW()&lt;$A$5),"",IF(INDEX($A:$AP,ROW(),$B$6)="","",INDEX($A:$AP,ROW(),$B$6)))</f>
        <v/>
      </c>
      <c r="AS1845" s="32">
        <f>IF($AR1845="","",IF(ISNUMBER($AR1845),IF($AR1845&gt;=10000000,IFERROR(DATE(INT($AR1845/10000),MOD(INT($AR1845/100),100),MOD($AR1845,100)),""),INT($AR1845)),IFERROR(DATE(--LEFT(LEFT(SUBSTITUTE(SUBSTITUTE(SUBSTITUTE(SUBSTITUTE(TRIM($AR1845),"-",""),".",""),"/","")," ",""),8),4),--MID(LEFT(SUBSTITUTE(SUBSTITUTE(SUBSTITUTE(SUBSTITUTE(TRIM($AR1845),"-",""),".",""),"/","")," ",""),8),5,2),--MID(LEFT(SUBSTITUTE(SUBSTITUTE(SUBSTITUTE(SUBSTITUTE(TRIM($AR1845),"-",""),".",""),"/","")," ",""),8),7,2)),"")))</f>
        <v/>
      </c>
      <c r="AT1845" s="33">
        <f>IF($AS1845="","",IF($F$6="",0,IF(ISNUMBER(INDEX($A:$AP,ROW(),$F$6)),INDEX($A:$AP,ROW(),$F$6),IFERROR(--SUBSTITUTE(SUBSTITUTE(TRIM(INDEX($A:$AP,ROW(),$F$6)),",",""),"원",""),0))))</f>
        <v/>
      </c>
      <c r="AU1845" s="31">
        <f>IF($AS1845="","",IF($AX1845&lt;&gt;"",SUBSTITUTE(SUBSTITUTE($AX1845,"-","")," ",""),"N:"&amp;$AV1845))</f>
        <v/>
      </c>
      <c r="AV1845" s="31">
        <f>IF(OR($AS1845="",$E$6=""),"",TRIM(INDEX($A:$AP,ROW(),$E$6)&amp;""))</f>
        <v/>
      </c>
      <c r="AW1845" s="31">
        <f>IF($AU1845="","",IF(MATCH($AU1845,$AU$8:$AU$2007,0)=ROW()-7,MAX($AW$7:$AW1844)+1,""))</f>
        <v/>
      </c>
      <c r="AX1845" s="31">
        <f>IF(OR($AS1845="",$D$6=""),"",TRIM(INDEX($A:$AP,ROW(),$D$6)&amp;""))</f>
        <v/>
      </c>
      <c r="AY1845" s="31">
        <f>IF($AU1845="","",INDEX($AW$8:$AW$2007,MATCH($AU1845,$AU$8:$AU$2007,0)))</f>
        <v/>
      </c>
      <c r="AZ1845" s="31">
        <f>IF(OR($AS1845="",$C$6=""),"",TRIM(INDEX($A:$AP,ROW(),$C$6)&amp;""))</f>
        <v/>
      </c>
      <c r="BA1845" s="31">
        <f>IF($AZ1845="","",IF(COUNTIF($AZ$8:$AZ1845,$AZ1845)&gt;1,1,0))</f>
        <v/>
      </c>
    </row>
    <row r="1846">
      <c r="AR1846" s="31">
        <f>IF(OR($A$5="",$B$6="",ROW()&lt;$A$5),"",IF(INDEX($A:$AP,ROW(),$B$6)="","",INDEX($A:$AP,ROW(),$B$6)))</f>
        <v/>
      </c>
      <c r="AS1846" s="32">
        <f>IF($AR1846="","",IF(ISNUMBER($AR1846),IF($AR1846&gt;=10000000,IFERROR(DATE(INT($AR1846/10000),MOD(INT($AR1846/100),100),MOD($AR1846,100)),""),INT($AR1846)),IFERROR(DATE(--LEFT(LEFT(SUBSTITUTE(SUBSTITUTE(SUBSTITUTE(SUBSTITUTE(TRIM($AR1846),"-",""),".",""),"/","")," ",""),8),4),--MID(LEFT(SUBSTITUTE(SUBSTITUTE(SUBSTITUTE(SUBSTITUTE(TRIM($AR1846),"-",""),".",""),"/","")," ",""),8),5,2),--MID(LEFT(SUBSTITUTE(SUBSTITUTE(SUBSTITUTE(SUBSTITUTE(TRIM($AR1846),"-",""),".",""),"/","")," ",""),8),7,2)),"")))</f>
        <v/>
      </c>
      <c r="AT1846" s="33">
        <f>IF($AS1846="","",IF($F$6="",0,IF(ISNUMBER(INDEX($A:$AP,ROW(),$F$6)),INDEX($A:$AP,ROW(),$F$6),IFERROR(--SUBSTITUTE(SUBSTITUTE(TRIM(INDEX($A:$AP,ROW(),$F$6)),",",""),"원",""),0))))</f>
        <v/>
      </c>
      <c r="AU1846" s="31">
        <f>IF($AS1846="","",IF($AX1846&lt;&gt;"",SUBSTITUTE(SUBSTITUTE($AX1846,"-","")," ",""),"N:"&amp;$AV1846))</f>
        <v/>
      </c>
      <c r="AV1846" s="31">
        <f>IF(OR($AS1846="",$E$6=""),"",TRIM(INDEX($A:$AP,ROW(),$E$6)&amp;""))</f>
        <v/>
      </c>
      <c r="AW1846" s="31">
        <f>IF($AU1846="","",IF(MATCH($AU1846,$AU$8:$AU$2007,0)=ROW()-7,MAX($AW$7:$AW1845)+1,""))</f>
        <v/>
      </c>
      <c r="AX1846" s="31">
        <f>IF(OR($AS1846="",$D$6=""),"",TRIM(INDEX($A:$AP,ROW(),$D$6)&amp;""))</f>
        <v/>
      </c>
      <c r="AY1846" s="31">
        <f>IF($AU1846="","",INDEX($AW$8:$AW$2007,MATCH($AU1846,$AU$8:$AU$2007,0)))</f>
        <v/>
      </c>
      <c r="AZ1846" s="31">
        <f>IF(OR($AS1846="",$C$6=""),"",TRIM(INDEX($A:$AP,ROW(),$C$6)&amp;""))</f>
        <v/>
      </c>
      <c r="BA1846" s="31">
        <f>IF($AZ1846="","",IF(COUNTIF($AZ$8:$AZ1846,$AZ1846)&gt;1,1,0))</f>
        <v/>
      </c>
    </row>
    <row r="1847">
      <c r="AR1847" s="31">
        <f>IF(OR($A$5="",$B$6="",ROW()&lt;$A$5),"",IF(INDEX($A:$AP,ROW(),$B$6)="","",INDEX($A:$AP,ROW(),$B$6)))</f>
        <v/>
      </c>
      <c r="AS1847" s="32">
        <f>IF($AR1847="","",IF(ISNUMBER($AR1847),IF($AR1847&gt;=10000000,IFERROR(DATE(INT($AR1847/10000),MOD(INT($AR1847/100),100),MOD($AR1847,100)),""),INT($AR1847)),IFERROR(DATE(--LEFT(LEFT(SUBSTITUTE(SUBSTITUTE(SUBSTITUTE(SUBSTITUTE(TRIM($AR1847),"-",""),".",""),"/","")," ",""),8),4),--MID(LEFT(SUBSTITUTE(SUBSTITUTE(SUBSTITUTE(SUBSTITUTE(TRIM($AR1847),"-",""),".",""),"/","")," ",""),8),5,2),--MID(LEFT(SUBSTITUTE(SUBSTITUTE(SUBSTITUTE(SUBSTITUTE(TRIM($AR1847),"-",""),".",""),"/","")," ",""),8),7,2)),"")))</f>
        <v/>
      </c>
      <c r="AT1847" s="33">
        <f>IF($AS1847="","",IF($F$6="",0,IF(ISNUMBER(INDEX($A:$AP,ROW(),$F$6)),INDEX($A:$AP,ROW(),$F$6),IFERROR(--SUBSTITUTE(SUBSTITUTE(TRIM(INDEX($A:$AP,ROW(),$F$6)),",",""),"원",""),0))))</f>
        <v/>
      </c>
      <c r="AU1847" s="31">
        <f>IF($AS1847="","",IF($AX1847&lt;&gt;"",SUBSTITUTE(SUBSTITUTE($AX1847,"-","")," ",""),"N:"&amp;$AV1847))</f>
        <v/>
      </c>
      <c r="AV1847" s="31">
        <f>IF(OR($AS1847="",$E$6=""),"",TRIM(INDEX($A:$AP,ROW(),$E$6)&amp;""))</f>
        <v/>
      </c>
      <c r="AW1847" s="31">
        <f>IF($AU1847="","",IF(MATCH($AU1847,$AU$8:$AU$2007,0)=ROW()-7,MAX($AW$7:$AW1846)+1,""))</f>
        <v/>
      </c>
      <c r="AX1847" s="31">
        <f>IF(OR($AS1847="",$D$6=""),"",TRIM(INDEX($A:$AP,ROW(),$D$6)&amp;""))</f>
        <v/>
      </c>
      <c r="AY1847" s="31">
        <f>IF($AU1847="","",INDEX($AW$8:$AW$2007,MATCH($AU1847,$AU$8:$AU$2007,0)))</f>
        <v/>
      </c>
      <c r="AZ1847" s="31">
        <f>IF(OR($AS1847="",$C$6=""),"",TRIM(INDEX($A:$AP,ROW(),$C$6)&amp;""))</f>
        <v/>
      </c>
      <c r="BA1847" s="31">
        <f>IF($AZ1847="","",IF(COUNTIF($AZ$8:$AZ1847,$AZ1847)&gt;1,1,0))</f>
        <v/>
      </c>
    </row>
    <row r="1848">
      <c r="AR1848" s="31">
        <f>IF(OR($A$5="",$B$6="",ROW()&lt;$A$5),"",IF(INDEX($A:$AP,ROW(),$B$6)="","",INDEX($A:$AP,ROW(),$B$6)))</f>
        <v/>
      </c>
      <c r="AS1848" s="32">
        <f>IF($AR1848="","",IF(ISNUMBER($AR1848),IF($AR1848&gt;=10000000,IFERROR(DATE(INT($AR1848/10000),MOD(INT($AR1848/100),100),MOD($AR1848,100)),""),INT($AR1848)),IFERROR(DATE(--LEFT(LEFT(SUBSTITUTE(SUBSTITUTE(SUBSTITUTE(SUBSTITUTE(TRIM($AR1848),"-",""),".",""),"/","")," ",""),8),4),--MID(LEFT(SUBSTITUTE(SUBSTITUTE(SUBSTITUTE(SUBSTITUTE(TRIM($AR1848),"-",""),".",""),"/","")," ",""),8),5,2),--MID(LEFT(SUBSTITUTE(SUBSTITUTE(SUBSTITUTE(SUBSTITUTE(TRIM($AR1848),"-",""),".",""),"/","")," ",""),8),7,2)),"")))</f>
        <v/>
      </c>
      <c r="AT1848" s="33">
        <f>IF($AS1848="","",IF($F$6="",0,IF(ISNUMBER(INDEX($A:$AP,ROW(),$F$6)),INDEX($A:$AP,ROW(),$F$6),IFERROR(--SUBSTITUTE(SUBSTITUTE(TRIM(INDEX($A:$AP,ROW(),$F$6)),",",""),"원",""),0))))</f>
        <v/>
      </c>
      <c r="AU1848" s="31">
        <f>IF($AS1848="","",IF($AX1848&lt;&gt;"",SUBSTITUTE(SUBSTITUTE($AX1848,"-","")," ",""),"N:"&amp;$AV1848))</f>
        <v/>
      </c>
      <c r="AV1848" s="31">
        <f>IF(OR($AS1848="",$E$6=""),"",TRIM(INDEX($A:$AP,ROW(),$E$6)&amp;""))</f>
        <v/>
      </c>
      <c r="AW1848" s="31">
        <f>IF($AU1848="","",IF(MATCH($AU1848,$AU$8:$AU$2007,0)=ROW()-7,MAX($AW$7:$AW1847)+1,""))</f>
        <v/>
      </c>
      <c r="AX1848" s="31">
        <f>IF(OR($AS1848="",$D$6=""),"",TRIM(INDEX($A:$AP,ROW(),$D$6)&amp;""))</f>
        <v/>
      </c>
      <c r="AY1848" s="31">
        <f>IF($AU1848="","",INDEX($AW$8:$AW$2007,MATCH($AU1848,$AU$8:$AU$2007,0)))</f>
        <v/>
      </c>
      <c r="AZ1848" s="31">
        <f>IF(OR($AS1848="",$C$6=""),"",TRIM(INDEX($A:$AP,ROW(),$C$6)&amp;""))</f>
        <v/>
      </c>
      <c r="BA1848" s="31">
        <f>IF($AZ1848="","",IF(COUNTIF($AZ$8:$AZ1848,$AZ1848)&gt;1,1,0))</f>
        <v/>
      </c>
    </row>
    <row r="1849">
      <c r="AR1849" s="31">
        <f>IF(OR($A$5="",$B$6="",ROW()&lt;$A$5),"",IF(INDEX($A:$AP,ROW(),$B$6)="","",INDEX($A:$AP,ROW(),$B$6)))</f>
        <v/>
      </c>
      <c r="AS1849" s="32">
        <f>IF($AR1849="","",IF(ISNUMBER($AR1849),IF($AR1849&gt;=10000000,IFERROR(DATE(INT($AR1849/10000),MOD(INT($AR1849/100),100),MOD($AR1849,100)),""),INT($AR1849)),IFERROR(DATE(--LEFT(LEFT(SUBSTITUTE(SUBSTITUTE(SUBSTITUTE(SUBSTITUTE(TRIM($AR1849),"-",""),".",""),"/","")," ",""),8),4),--MID(LEFT(SUBSTITUTE(SUBSTITUTE(SUBSTITUTE(SUBSTITUTE(TRIM($AR1849),"-",""),".",""),"/","")," ",""),8),5,2),--MID(LEFT(SUBSTITUTE(SUBSTITUTE(SUBSTITUTE(SUBSTITUTE(TRIM($AR1849),"-",""),".",""),"/","")," ",""),8),7,2)),"")))</f>
        <v/>
      </c>
      <c r="AT1849" s="33">
        <f>IF($AS1849="","",IF($F$6="",0,IF(ISNUMBER(INDEX($A:$AP,ROW(),$F$6)),INDEX($A:$AP,ROW(),$F$6),IFERROR(--SUBSTITUTE(SUBSTITUTE(TRIM(INDEX($A:$AP,ROW(),$F$6)),",",""),"원",""),0))))</f>
        <v/>
      </c>
      <c r="AU1849" s="31">
        <f>IF($AS1849="","",IF($AX1849&lt;&gt;"",SUBSTITUTE(SUBSTITUTE($AX1849,"-","")," ",""),"N:"&amp;$AV1849))</f>
        <v/>
      </c>
      <c r="AV1849" s="31">
        <f>IF(OR($AS1849="",$E$6=""),"",TRIM(INDEX($A:$AP,ROW(),$E$6)&amp;""))</f>
        <v/>
      </c>
      <c r="AW1849" s="31">
        <f>IF($AU1849="","",IF(MATCH($AU1849,$AU$8:$AU$2007,0)=ROW()-7,MAX($AW$7:$AW1848)+1,""))</f>
        <v/>
      </c>
      <c r="AX1849" s="31">
        <f>IF(OR($AS1849="",$D$6=""),"",TRIM(INDEX($A:$AP,ROW(),$D$6)&amp;""))</f>
        <v/>
      </c>
      <c r="AY1849" s="31">
        <f>IF($AU1849="","",INDEX($AW$8:$AW$2007,MATCH($AU1849,$AU$8:$AU$2007,0)))</f>
        <v/>
      </c>
      <c r="AZ1849" s="31">
        <f>IF(OR($AS1849="",$C$6=""),"",TRIM(INDEX($A:$AP,ROW(),$C$6)&amp;""))</f>
        <v/>
      </c>
      <c r="BA1849" s="31">
        <f>IF($AZ1849="","",IF(COUNTIF($AZ$8:$AZ1849,$AZ1849)&gt;1,1,0))</f>
        <v/>
      </c>
    </row>
    <row r="1850">
      <c r="AR1850" s="31">
        <f>IF(OR($A$5="",$B$6="",ROW()&lt;$A$5),"",IF(INDEX($A:$AP,ROW(),$B$6)="","",INDEX($A:$AP,ROW(),$B$6)))</f>
        <v/>
      </c>
      <c r="AS1850" s="32">
        <f>IF($AR1850="","",IF(ISNUMBER($AR1850),IF($AR1850&gt;=10000000,IFERROR(DATE(INT($AR1850/10000),MOD(INT($AR1850/100),100),MOD($AR1850,100)),""),INT($AR1850)),IFERROR(DATE(--LEFT(LEFT(SUBSTITUTE(SUBSTITUTE(SUBSTITUTE(SUBSTITUTE(TRIM($AR1850),"-",""),".",""),"/","")," ",""),8),4),--MID(LEFT(SUBSTITUTE(SUBSTITUTE(SUBSTITUTE(SUBSTITUTE(TRIM($AR1850),"-",""),".",""),"/","")," ",""),8),5,2),--MID(LEFT(SUBSTITUTE(SUBSTITUTE(SUBSTITUTE(SUBSTITUTE(TRIM($AR1850),"-",""),".",""),"/","")," ",""),8),7,2)),"")))</f>
        <v/>
      </c>
      <c r="AT1850" s="33">
        <f>IF($AS1850="","",IF($F$6="",0,IF(ISNUMBER(INDEX($A:$AP,ROW(),$F$6)),INDEX($A:$AP,ROW(),$F$6),IFERROR(--SUBSTITUTE(SUBSTITUTE(TRIM(INDEX($A:$AP,ROW(),$F$6)),",",""),"원",""),0))))</f>
        <v/>
      </c>
      <c r="AU1850" s="31">
        <f>IF($AS1850="","",IF($AX1850&lt;&gt;"",SUBSTITUTE(SUBSTITUTE($AX1850,"-","")," ",""),"N:"&amp;$AV1850))</f>
        <v/>
      </c>
      <c r="AV1850" s="31">
        <f>IF(OR($AS1850="",$E$6=""),"",TRIM(INDEX($A:$AP,ROW(),$E$6)&amp;""))</f>
        <v/>
      </c>
      <c r="AW1850" s="31">
        <f>IF($AU1850="","",IF(MATCH($AU1850,$AU$8:$AU$2007,0)=ROW()-7,MAX($AW$7:$AW1849)+1,""))</f>
        <v/>
      </c>
      <c r="AX1850" s="31">
        <f>IF(OR($AS1850="",$D$6=""),"",TRIM(INDEX($A:$AP,ROW(),$D$6)&amp;""))</f>
        <v/>
      </c>
      <c r="AY1850" s="31">
        <f>IF($AU1850="","",INDEX($AW$8:$AW$2007,MATCH($AU1850,$AU$8:$AU$2007,0)))</f>
        <v/>
      </c>
      <c r="AZ1850" s="31">
        <f>IF(OR($AS1850="",$C$6=""),"",TRIM(INDEX($A:$AP,ROW(),$C$6)&amp;""))</f>
        <v/>
      </c>
      <c r="BA1850" s="31">
        <f>IF($AZ1850="","",IF(COUNTIF($AZ$8:$AZ1850,$AZ1850)&gt;1,1,0))</f>
        <v/>
      </c>
    </row>
    <row r="1851">
      <c r="AR1851" s="31">
        <f>IF(OR($A$5="",$B$6="",ROW()&lt;$A$5),"",IF(INDEX($A:$AP,ROW(),$B$6)="","",INDEX($A:$AP,ROW(),$B$6)))</f>
        <v/>
      </c>
      <c r="AS1851" s="32">
        <f>IF($AR1851="","",IF(ISNUMBER($AR1851),IF($AR1851&gt;=10000000,IFERROR(DATE(INT($AR1851/10000),MOD(INT($AR1851/100),100),MOD($AR1851,100)),""),INT($AR1851)),IFERROR(DATE(--LEFT(LEFT(SUBSTITUTE(SUBSTITUTE(SUBSTITUTE(SUBSTITUTE(TRIM($AR1851),"-",""),".",""),"/","")," ",""),8),4),--MID(LEFT(SUBSTITUTE(SUBSTITUTE(SUBSTITUTE(SUBSTITUTE(TRIM($AR1851),"-",""),".",""),"/","")," ",""),8),5,2),--MID(LEFT(SUBSTITUTE(SUBSTITUTE(SUBSTITUTE(SUBSTITUTE(TRIM($AR1851),"-",""),".",""),"/","")," ",""),8),7,2)),"")))</f>
        <v/>
      </c>
      <c r="AT1851" s="33">
        <f>IF($AS1851="","",IF($F$6="",0,IF(ISNUMBER(INDEX($A:$AP,ROW(),$F$6)),INDEX($A:$AP,ROW(),$F$6),IFERROR(--SUBSTITUTE(SUBSTITUTE(TRIM(INDEX($A:$AP,ROW(),$F$6)),",",""),"원",""),0))))</f>
        <v/>
      </c>
      <c r="AU1851" s="31">
        <f>IF($AS1851="","",IF($AX1851&lt;&gt;"",SUBSTITUTE(SUBSTITUTE($AX1851,"-","")," ",""),"N:"&amp;$AV1851))</f>
        <v/>
      </c>
      <c r="AV1851" s="31">
        <f>IF(OR($AS1851="",$E$6=""),"",TRIM(INDEX($A:$AP,ROW(),$E$6)&amp;""))</f>
        <v/>
      </c>
      <c r="AW1851" s="31">
        <f>IF($AU1851="","",IF(MATCH($AU1851,$AU$8:$AU$2007,0)=ROW()-7,MAX($AW$7:$AW1850)+1,""))</f>
        <v/>
      </c>
      <c r="AX1851" s="31">
        <f>IF(OR($AS1851="",$D$6=""),"",TRIM(INDEX($A:$AP,ROW(),$D$6)&amp;""))</f>
        <v/>
      </c>
      <c r="AY1851" s="31">
        <f>IF($AU1851="","",INDEX($AW$8:$AW$2007,MATCH($AU1851,$AU$8:$AU$2007,0)))</f>
        <v/>
      </c>
      <c r="AZ1851" s="31">
        <f>IF(OR($AS1851="",$C$6=""),"",TRIM(INDEX($A:$AP,ROW(),$C$6)&amp;""))</f>
        <v/>
      </c>
      <c r="BA1851" s="31">
        <f>IF($AZ1851="","",IF(COUNTIF($AZ$8:$AZ1851,$AZ1851)&gt;1,1,0))</f>
        <v/>
      </c>
    </row>
    <row r="1852">
      <c r="AR1852" s="31">
        <f>IF(OR($A$5="",$B$6="",ROW()&lt;$A$5),"",IF(INDEX($A:$AP,ROW(),$B$6)="","",INDEX($A:$AP,ROW(),$B$6)))</f>
        <v/>
      </c>
      <c r="AS1852" s="32">
        <f>IF($AR1852="","",IF(ISNUMBER($AR1852),IF($AR1852&gt;=10000000,IFERROR(DATE(INT($AR1852/10000),MOD(INT($AR1852/100),100),MOD($AR1852,100)),""),INT($AR1852)),IFERROR(DATE(--LEFT(LEFT(SUBSTITUTE(SUBSTITUTE(SUBSTITUTE(SUBSTITUTE(TRIM($AR1852),"-",""),".",""),"/","")," ",""),8),4),--MID(LEFT(SUBSTITUTE(SUBSTITUTE(SUBSTITUTE(SUBSTITUTE(TRIM($AR1852),"-",""),".",""),"/","")," ",""),8),5,2),--MID(LEFT(SUBSTITUTE(SUBSTITUTE(SUBSTITUTE(SUBSTITUTE(TRIM($AR1852),"-",""),".",""),"/","")," ",""),8),7,2)),"")))</f>
        <v/>
      </c>
      <c r="AT1852" s="33">
        <f>IF($AS1852="","",IF($F$6="",0,IF(ISNUMBER(INDEX($A:$AP,ROW(),$F$6)),INDEX($A:$AP,ROW(),$F$6),IFERROR(--SUBSTITUTE(SUBSTITUTE(TRIM(INDEX($A:$AP,ROW(),$F$6)),",",""),"원",""),0))))</f>
        <v/>
      </c>
      <c r="AU1852" s="31">
        <f>IF($AS1852="","",IF($AX1852&lt;&gt;"",SUBSTITUTE(SUBSTITUTE($AX1852,"-","")," ",""),"N:"&amp;$AV1852))</f>
        <v/>
      </c>
      <c r="AV1852" s="31">
        <f>IF(OR($AS1852="",$E$6=""),"",TRIM(INDEX($A:$AP,ROW(),$E$6)&amp;""))</f>
        <v/>
      </c>
      <c r="AW1852" s="31">
        <f>IF($AU1852="","",IF(MATCH($AU1852,$AU$8:$AU$2007,0)=ROW()-7,MAX($AW$7:$AW1851)+1,""))</f>
        <v/>
      </c>
      <c r="AX1852" s="31">
        <f>IF(OR($AS1852="",$D$6=""),"",TRIM(INDEX($A:$AP,ROW(),$D$6)&amp;""))</f>
        <v/>
      </c>
      <c r="AY1852" s="31">
        <f>IF($AU1852="","",INDEX($AW$8:$AW$2007,MATCH($AU1852,$AU$8:$AU$2007,0)))</f>
        <v/>
      </c>
      <c r="AZ1852" s="31">
        <f>IF(OR($AS1852="",$C$6=""),"",TRIM(INDEX($A:$AP,ROW(),$C$6)&amp;""))</f>
        <v/>
      </c>
      <c r="BA1852" s="31">
        <f>IF($AZ1852="","",IF(COUNTIF($AZ$8:$AZ1852,$AZ1852)&gt;1,1,0))</f>
        <v/>
      </c>
    </row>
    <row r="1853">
      <c r="AR1853" s="31">
        <f>IF(OR($A$5="",$B$6="",ROW()&lt;$A$5),"",IF(INDEX($A:$AP,ROW(),$B$6)="","",INDEX($A:$AP,ROW(),$B$6)))</f>
        <v/>
      </c>
      <c r="AS1853" s="32">
        <f>IF($AR1853="","",IF(ISNUMBER($AR1853),IF($AR1853&gt;=10000000,IFERROR(DATE(INT($AR1853/10000),MOD(INT($AR1853/100),100),MOD($AR1853,100)),""),INT($AR1853)),IFERROR(DATE(--LEFT(LEFT(SUBSTITUTE(SUBSTITUTE(SUBSTITUTE(SUBSTITUTE(TRIM($AR1853),"-",""),".",""),"/","")," ",""),8),4),--MID(LEFT(SUBSTITUTE(SUBSTITUTE(SUBSTITUTE(SUBSTITUTE(TRIM($AR1853),"-",""),".",""),"/","")," ",""),8),5,2),--MID(LEFT(SUBSTITUTE(SUBSTITUTE(SUBSTITUTE(SUBSTITUTE(TRIM($AR1853),"-",""),".",""),"/","")," ",""),8),7,2)),"")))</f>
        <v/>
      </c>
      <c r="AT1853" s="33">
        <f>IF($AS1853="","",IF($F$6="",0,IF(ISNUMBER(INDEX($A:$AP,ROW(),$F$6)),INDEX($A:$AP,ROW(),$F$6),IFERROR(--SUBSTITUTE(SUBSTITUTE(TRIM(INDEX($A:$AP,ROW(),$F$6)),",",""),"원",""),0))))</f>
        <v/>
      </c>
      <c r="AU1853" s="31">
        <f>IF($AS1853="","",IF($AX1853&lt;&gt;"",SUBSTITUTE(SUBSTITUTE($AX1853,"-","")," ",""),"N:"&amp;$AV1853))</f>
        <v/>
      </c>
      <c r="AV1853" s="31">
        <f>IF(OR($AS1853="",$E$6=""),"",TRIM(INDEX($A:$AP,ROW(),$E$6)&amp;""))</f>
        <v/>
      </c>
      <c r="AW1853" s="31">
        <f>IF($AU1853="","",IF(MATCH($AU1853,$AU$8:$AU$2007,0)=ROW()-7,MAX($AW$7:$AW1852)+1,""))</f>
        <v/>
      </c>
      <c r="AX1853" s="31">
        <f>IF(OR($AS1853="",$D$6=""),"",TRIM(INDEX($A:$AP,ROW(),$D$6)&amp;""))</f>
        <v/>
      </c>
      <c r="AY1853" s="31">
        <f>IF($AU1853="","",INDEX($AW$8:$AW$2007,MATCH($AU1853,$AU$8:$AU$2007,0)))</f>
        <v/>
      </c>
      <c r="AZ1853" s="31">
        <f>IF(OR($AS1853="",$C$6=""),"",TRIM(INDEX($A:$AP,ROW(),$C$6)&amp;""))</f>
        <v/>
      </c>
      <c r="BA1853" s="31">
        <f>IF($AZ1853="","",IF(COUNTIF($AZ$8:$AZ1853,$AZ1853)&gt;1,1,0))</f>
        <v/>
      </c>
    </row>
    <row r="1854">
      <c r="AR1854" s="31">
        <f>IF(OR($A$5="",$B$6="",ROW()&lt;$A$5),"",IF(INDEX($A:$AP,ROW(),$B$6)="","",INDEX($A:$AP,ROW(),$B$6)))</f>
        <v/>
      </c>
      <c r="AS1854" s="32">
        <f>IF($AR1854="","",IF(ISNUMBER($AR1854),IF($AR1854&gt;=10000000,IFERROR(DATE(INT($AR1854/10000),MOD(INT($AR1854/100),100),MOD($AR1854,100)),""),INT($AR1854)),IFERROR(DATE(--LEFT(LEFT(SUBSTITUTE(SUBSTITUTE(SUBSTITUTE(SUBSTITUTE(TRIM($AR1854),"-",""),".",""),"/","")," ",""),8),4),--MID(LEFT(SUBSTITUTE(SUBSTITUTE(SUBSTITUTE(SUBSTITUTE(TRIM($AR1854),"-",""),".",""),"/","")," ",""),8),5,2),--MID(LEFT(SUBSTITUTE(SUBSTITUTE(SUBSTITUTE(SUBSTITUTE(TRIM($AR1854),"-",""),".",""),"/","")," ",""),8),7,2)),"")))</f>
        <v/>
      </c>
      <c r="AT1854" s="33">
        <f>IF($AS1854="","",IF($F$6="",0,IF(ISNUMBER(INDEX($A:$AP,ROW(),$F$6)),INDEX($A:$AP,ROW(),$F$6),IFERROR(--SUBSTITUTE(SUBSTITUTE(TRIM(INDEX($A:$AP,ROW(),$F$6)),",",""),"원",""),0))))</f>
        <v/>
      </c>
      <c r="AU1854" s="31">
        <f>IF($AS1854="","",IF($AX1854&lt;&gt;"",SUBSTITUTE(SUBSTITUTE($AX1854,"-","")," ",""),"N:"&amp;$AV1854))</f>
        <v/>
      </c>
      <c r="AV1854" s="31">
        <f>IF(OR($AS1854="",$E$6=""),"",TRIM(INDEX($A:$AP,ROW(),$E$6)&amp;""))</f>
        <v/>
      </c>
      <c r="AW1854" s="31">
        <f>IF($AU1854="","",IF(MATCH($AU1854,$AU$8:$AU$2007,0)=ROW()-7,MAX($AW$7:$AW1853)+1,""))</f>
        <v/>
      </c>
      <c r="AX1854" s="31">
        <f>IF(OR($AS1854="",$D$6=""),"",TRIM(INDEX($A:$AP,ROW(),$D$6)&amp;""))</f>
        <v/>
      </c>
      <c r="AY1854" s="31">
        <f>IF($AU1854="","",INDEX($AW$8:$AW$2007,MATCH($AU1854,$AU$8:$AU$2007,0)))</f>
        <v/>
      </c>
      <c r="AZ1854" s="31">
        <f>IF(OR($AS1854="",$C$6=""),"",TRIM(INDEX($A:$AP,ROW(),$C$6)&amp;""))</f>
        <v/>
      </c>
      <c r="BA1854" s="31">
        <f>IF($AZ1854="","",IF(COUNTIF($AZ$8:$AZ1854,$AZ1854)&gt;1,1,0))</f>
        <v/>
      </c>
    </row>
    <row r="1855">
      <c r="AR1855" s="31">
        <f>IF(OR($A$5="",$B$6="",ROW()&lt;$A$5),"",IF(INDEX($A:$AP,ROW(),$B$6)="","",INDEX($A:$AP,ROW(),$B$6)))</f>
        <v/>
      </c>
      <c r="AS1855" s="32">
        <f>IF($AR1855="","",IF(ISNUMBER($AR1855),IF($AR1855&gt;=10000000,IFERROR(DATE(INT($AR1855/10000),MOD(INT($AR1855/100),100),MOD($AR1855,100)),""),INT($AR1855)),IFERROR(DATE(--LEFT(LEFT(SUBSTITUTE(SUBSTITUTE(SUBSTITUTE(SUBSTITUTE(TRIM($AR1855),"-",""),".",""),"/","")," ",""),8),4),--MID(LEFT(SUBSTITUTE(SUBSTITUTE(SUBSTITUTE(SUBSTITUTE(TRIM($AR1855),"-",""),".",""),"/","")," ",""),8),5,2),--MID(LEFT(SUBSTITUTE(SUBSTITUTE(SUBSTITUTE(SUBSTITUTE(TRIM($AR1855),"-",""),".",""),"/","")," ",""),8),7,2)),"")))</f>
        <v/>
      </c>
      <c r="AT1855" s="33">
        <f>IF($AS1855="","",IF($F$6="",0,IF(ISNUMBER(INDEX($A:$AP,ROW(),$F$6)),INDEX($A:$AP,ROW(),$F$6),IFERROR(--SUBSTITUTE(SUBSTITUTE(TRIM(INDEX($A:$AP,ROW(),$F$6)),",",""),"원",""),0))))</f>
        <v/>
      </c>
      <c r="AU1855" s="31">
        <f>IF($AS1855="","",IF($AX1855&lt;&gt;"",SUBSTITUTE(SUBSTITUTE($AX1855,"-","")," ",""),"N:"&amp;$AV1855))</f>
        <v/>
      </c>
      <c r="AV1855" s="31">
        <f>IF(OR($AS1855="",$E$6=""),"",TRIM(INDEX($A:$AP,ROW(),$E$6)&amp;""))</f>
        <v/>
      </c>
      <c r="AW1855" s="31">
        <f>IF($AU1855="","",IF(MATCH($AU1855,$AU$8:$AU$2007,0)=ROW()-7,MAX($AW$7:$AW1854)+1,""))</f>
        <v/>
      </c>
      <c r="AX1855" s="31">
        <f>IF(OR($AS1855="",$D$6=""),"",TRIM(INDEX($A:$AP,ROW(),$D$6)&amp;""))</f>
        <v/>
      </c>
      <c r="AY1855" s="31">
        <f>IF($AU1855="","",INDEX($AW$8:$AW$2007,MATCH($AU1855,$AU$8:$AU$2007,0)))</f>
        <v/>
      </c>
      <c r="AZ1855" s="31">
        <f>IF(OR($AS1855="",$C$6=""),"",TRIM(INDEX($A:$AP,ROW(),$C$6)&amp;""))</f>
        <v/>
      </c>
      <c r="BA1855" s="31">
        <f>IF($AZ1855="","",IF(COUNTIF($AZ$8:$AZ1855,$AZ1855)&gt;1,1,0))</f>
        <v/>
      </c>
    </row>
    <row r="1856">
      <c r="AR1856" s="31">
        <f>IF(OR($A$5="",$B$6="",ROW()&lt;$A$5),"",IF(INDEX($A:$AP,ROW(),$B$6)="","",INDEX($A:$AP,ROW(),$B$6)))</f>
        <v/>
      </c>
      <c r="AS1856" s="32">
        <f>IF($AR1856="","",IF(ISNUMBER($AR1856),IF($AR1856&gt;=10000000,IFERROR(DATE(INT($AR1856/10000),MOD(INT($AR1856/100),100),MOD($AR1856,100)),""),INT($AR1856)),IFERROR(DATE(--LEFT(LEFT(SUBSTITUTE(SUBSTITUTE(SUBSTITUTE(SUBSTITUTE(TRIM($AR1856),"-",""),".",""),"/","")," ",""),8),4),--MID(LEFT(SUBSTITUTE(SUBSTITUTE(SUBSTITUTE(SUBSTITUTE(TRIM($AR1856),"-",""),".",""),"/","")," ",""),8),5,2),--MID(LEFT(SUBSTITUTE(SUBSTITUTE(SUBSTITUTE(SUBSTITUTE(TRIM($AR1856),"-",""),".",""),"/","")," ",""),8),7,2)),"")))</f>
        <v/>
      </c>
      <c r="AT1856" s="33">
        <f>IF($AS1856="","",IF($F$6="",0,IF(ISNUMBER(INDEX($A:$AP,ROW(),$F$6)),INDEX($A:$AP,ROW(),$F$6),IFERROR(--SUBSTITUTE(SUBSTITUTE(TRIM(INDEX($A:$AP,ROW(),$F$6)),",",""),"원",""),0))))</f>
        <v/>
      </c>
      <c r="AU1856" s="31">
        <f>IF($AS1856="","",IF($AX1856&lt;&gt;"",SUBSTITUTE(SUBSTITUTE($AX1856,"-","")," ",""),"N:"&amp;$AV1856))</f>
        <v/>
      </c>
      <c r="AV1856" s="31">
        <f>IF(OR($AS1856="",$E$6=""),"",TRIM(INDEX($A:$AP,ROW(),$E$6)&amp;""))</f>
        <v/>
      </c>
      <c r="AW1856" s="31">
        <f>IF($AU1856="","",IF(MATCH($AU1856,$AU$8:$AU$2007,0)=ROW()-7,MAX($AW$7:$AW1855)+1,""))</f>
        <v/>
      </c>
      <c r="AX1856" s="31">
        <f>IF(OR($AS1856="",$D$6=""),"",TRIM(INDEX($A:$AP,ROW(),$D$6)&amp;""))</f>
        <v/>
      </c>
      <c r="AY1856" s="31">
        <f>IF($AU1856="","",INDEX($AW$8:$AW$2007,MATCH($AU1856,$AU$8:$AU$2007,0)))</f>
        <v/>
      </c>
      <c r="AZ1856" s="31">
        <f>IF(OR($AS1856="",$C$6=""),"",TRIM(INDEX($A:$AP,ROW(),$C$6)&amp;""))</f>
        <v/>
      </c>
      <c r="BA1856" s="31">
        <f>IF($AZ1856="","",IF(COUNTIF($AZ$8:$AZ1856,$AZ1856)&gt;1,1,0))</f>
        <v/>
      </c>
    </row>
    <row r="1857">
      <c r="AR1857" s="31">
        <f>IF(OR($A$5="",$B$6="",ROW()&lt;$A$5),"",IF(INDEX($A:$AP,ROW(),$B$6)="","",INDEX($A:$AP,ROW(),$B$6)))</f>
        <v/>
      </c>
      <c r="AS1857" s="32">
        <f>IF($AR1857="","",IF(ISNUMBER($AR1857),IF($AR1857&gt;=10000000,IFERROR(DATE(INT($AR1857/10000),MOD(INT($AR1857/100),100),MOD($AR1857,100)),""),INT($AR1857)),IFERROR(DATE(--LEFT(LEFT(SUBSTITUTE(SUBSTITUTE(SUBSTITUTE(SUBSTITUTE(TRIM($AR1857),"-",""),".",""),"/","")," ",""),8),4),--MID(LEFT(SUBSTITUTE(SUBSTITUTE(SUBSTITUTE(SUBSTITUTE(TRIM($AR1857),"-",""),".",""),"/","")," ",""),8),5,2),--MID(LEFT(SUBSTITUTE(SUBSTITUTE(SUBSTITUTE(SUBSTITUTE(TRIM($AR1857),"-",""),".",""),"/","")," ",""),8),7,2)),"")))</f>
        <v/>
      </c>
      <c r="AT1857" s="33">
        <f>IF($AS1857="","",IF($F$6="",0,IF(ISNUMBER(INDEX($A:$AP,ROW(),$F$6)),INDEX($A:$AP,ROW(),$F$6),IFERROR(--SUBSTITUTE(SUBSTITUTE(TRIM(INDEX($A:$AP,ROW(),$F$6)),",",""),"원",""),0))))</f>
        <v/>
      </c>
      <c r="AU1857" s="31">
        <f>IF($AS1857="","",IF($AX1857&lt;&gt;"",SUBSTITUTE(SUBSTITUTE($AX1857,"-","")," ",""),"N:"&amp;$AV1857))</f>
        <v/>
      </c>
      <c r="AV1857" s="31">
        <f>IF(OR($AS1857="",$E$6=""),"",TRIM(INDEX($A:$AP,ROW(),$E$6)&amp;""))</f>
        <v/>
      </c>
      <c r="AW1857" s="31">
        <f>IF($AU1857="","",IF(MATCH($AU1857,$AU$8:$AU$2007,0)=ROW()-7,MAX($AW$7:$AW1856)+1,""))</f>
        <v/>
      </c>
      <c r="AX1857" s="31">
        <f>IF(OR($AS1857="",$D$6=""),"",TRIM(INDEX($A:$AP,ROW(),$D$6)&amp;""))</f>
        <v/>
      </c>
      <c r="AY1857" s="31">
        <f>IF($AU1857="","",INDEX($AW$8:$AW$2007,MATCH($AU1857,$AU$8:$AU$2007,0)))</f>
        <v/>
      </c>
      <c r="AZ1857" s="31">
        <f>IF(OR($AS1857="",$C$6=""),"",TRIM(INDEX($A:$AP,ROW(),$C$6)&amp;""))</f>
        <v/>
      </c>
      <c r="BA1857" s="31">
        <f>IF($AZ1857="","",IF(COUNTIF($AZ$8:$AZ1857,$AZ1857)&gt;1,1,0))</f>
        <v/>
      </c>
    </row>
    <row r="1858">
      <c r="AR1858" s="31">
        <f>IF(OR($A$5="",$B$6="",ROW()&lt;$A$5),"",IF(INDEX($A:$AP,ROW(),$B$6)="","",INDEX($A:$AP,ROW(),$B$6)))</f>
        <v/>
      </c>
      <c r="AS1858" s="32">
        <f>IF($AR1858="","",IF(ISNUMBER($AR1858),IF($AR1858&gt;=10000000,IFERROR(DATE(INT($AR1858/10000),MOD(INT($AR1858/100),100),MOD($AR1858,100)),""),INT($AR1858)),IFERROR(DATE(--LEFT(LEFT(SUBSTITUTE(SUBSTITUTE(SUBSTITUTE(SUBSTITUTE(TRIM($AR1858),"-",""),".",""),"/","")," ",""),8),4),--MID(LEFT(SUBSTITUTE(SUBSTITUTE(SUBSTITUTE(SUBSTITUTE(TRIM($AR1858),"-",""),".",""),"/","")," ",""),8),5,2),--MID(LEFT(SUBSTITUTE(SUBSTITUTE(SUBSTITUTE(SUBSTITUTE(TRIM($AR1858),"-",""),".",""),"/","")," ",""),8),7,2)),"")))</f>
        <v/>
      </c>
      <c r="AT1858" s="33">
        <f>IF($AS1858="","",IF($F$6="",0,IF(ISNUMBER(INDEX($A:$AP,ROW(),$F$6)),INDEX($A:$AP,ROW(),$F$6),IFERROR(--SUBSTITUTE(SUBSTITUTE(TRIM(INDEX($A:$AP,ROW(),$F$6)),",",""),"원",""),0))))</f>
        <v/>
      </c>
      <c r="AU1858" s="31">
        <f>IF($AS1858="","",IF($AX1858&lt;&gt;"",SUBSTITUTE(SUBSTITUTE($AX1858,"-","")," ",""),"N:"&amp;$AV1858))</f>
        <v/>
      </c>
      <c r="AV1858" s="31">
        <f>IF(OR($AS1858="",$E$6=""),"",TRIM(INDEX($A:$AP,ROW(),$E$6)&amp;""))</f>
        <v/>
      </c>
      <c r="AW1858" s="31">
        <f>IF($AU1858="","",IF(MATCH($AU1858,$AU$8:$AU$2007,0)=ROW()-7,MAX($AW$7:$AW1857)+1,""))</f>
        <v/>
      </c>
      <c r="AX1858" s="31">
        <f>IF(OR($AS1858="",$D$6=""),"",TRIM(INDEX($A:$AP,ROW(),$D$6)&amp;""))</f>
        <v/>
      </c>
      <c r="AY1858" s="31">
        <f>IF($AU1858="","",INDEX($AW$8:$AW$2007,MATCH($AU1858,$AU$8:$AU$2007,0)))</f>
        <v/>
      </c>
      <c r="AZ1858" s="31">
        <f>IF(OR($AS1858="",$C$6=""),"",TRIM(INDEX($A:$AP,ROW(),$C$6)&amp;""))</f>
        <v/>
      </c>
      <c r="BA1858" s="31">
        <f>IF($AZ1858="","",IF(COUNTIF($AZ$8:$AZ1858,$AZ1858)&gt;1,1,0))</f>
        <v/>
      </c>
    </row>
    <row r="1859">
      <c r="AR1859" s="31">
        <f>IF(OR($A$5="",$B$6="",ROW()&lt;$A$5),"",IF(INDEX($A:$AP,ROW(),$B$6)="","",INDEX($A:$AP,ROW(),$B$6)))</f>
        <v/>
      </c>
      <c r="AS1859" s="32">
        <f>IF($AR1859="","",IF(ISNUMBER($AR1859),IF($AR1859&gt;=10000000,IFERROR(DATE(INT($AR1859/10000),MOD(INT($AR1859/100),100),MOD($AR1859,100)),""),INT($AR1859)),IFERROR(DATE(--LEFT(LEFT(SUBSTITUTE(SUBSTITUTE(SUBSTITUTE(SUBSTITUTE(TRIM($AR1859),"-",""),".",""),"/","")," ",""),8),4),--MID(LEFT(SUBSTITUTE(SUBSTITUTE(SUBSTITUTE(SUBSTITUTE(TRIM($AR1859),"-",""),".",""),"/","")," ",""),8),5,2),--MID(LEFT(SUBSTITUTE(SUBSTITUTE(SUBSTITUTE(SUBSTITUTE(TRIM($AR1859),"-",""),".",""),"/","")," ",""),8),7,2)),"")))</f>
        <v/>
      </c>
      <c r="AT1859" s="33">
        <f>IF($AS1859="","",IF($F$6="",0,IF(ISNUMBER(INDEX($A:$AP,ROW(),$F$6)),INDEX($A:$AP,ROW(),$F$6),IFERROR(--SUBSTITUTE(SUBSTITUTE(TRIM(INDEX($A:$AP,ROW(),$F$6)),",",""),"원",""),0))))</f>
        <v/>
      </c>
      <c r="AU1859" s="31">
        <f>IF($AS1859="","",IF($AX1859&lt;&gt;"",SUBSTITUTE(SUBSTITUTE($AX1859,"-","")," ",""),"N:"&amp;$AV1859))</f>
        <v/>
      </c>
      <c r="AV1859" s="31">
        <f>IF(OR($AS1859="",$E$6=""),"",TRIM(INDEX($A:$AP,ROW(),$E$6)&amp;""))</f>
        <v/>
      </c>
      <c r="AW1859" s="31">
        <f>IF($AU1859="","",IF(MATCH($AU1859,$AU$8:$AU$2007,0)=ROW()-7,MAX($AW$7:$AW1858)+1,""))</f>
        <v/>
      </c>
      <c r="AX1859" s="31">
        <f>IF(OR($AS1859="",$D$6=""),"",TRIM(INDEX($A:$AP,ROW(),$D$6)&amp;""))</f>
        <v/>
      </c>
      <c r="AY1859" s="31">
        <f>IF($AU1859="","",INDEX($AW$8:$AW$2007,MATCH($AU1859,$AU$8:$AU$2007,0)))</f>
        <v/>
      </c>
      <c r="AZ1859" s="31">
        <f>IF(OR($AS1859="",$C$6=""),"",TRIM(INDEX($A:$AP,ROW(),$C$6)&amp;""))</f>
        <v/>
      </c>
      <c r="BA1859" s="31">
        <f>IF($AZ1859="","",IF(COUNTIF($AZ$8:$AZ1859,$AZ1859)&gt;1,1,0))</f>
        <v/>
      </c>
    </row>
    <row r="1860">
      <c r="AR1860" s="31">
        <f>IF(OR($A$5="",$B$6="",ROW()&lt;$A$5),"",IF(INDEX($A:$AP,ROW(),$B$6)="","",INDEX($A:$AP,ROW(),$B$6)))</f>
        <v/>
      </c>
      <c r="AS1860" s="32">
        <f>IF($AR1860="","",IF(ISNUMBER($AR1860),IF($AR1860&gt;=10000000,IFERROR(DATE(INT($AR1860/10000),MOD(INT($AR1860/100),100),MOD($AR1860,100)),""),INT($AR1860)),IFERROR(DATE(--LEFT(LEFT(SUBSTITUTE(SUBSTITUTE(SUBSTITUTE(SUBSTITUTE(TRIM($AR1860),"-",""),".",""),"/","")," ",""),8),4),--MID(LEFT(SUBSTITUTE(SUBSTITUTE(SUBSTITUTE(SUBSTITUTE(TRIM($AR1860),"-",""),".",""),"/","")," ",""),8),5,2),--MID(LEFT(SUBSTITUTE(SUBSTITUTE(SUBSTITUTE(SUBSTITUTE(TRIM($AR1860),"-",""),".",""),"/","")," ",""),8),7,2)),"")))</f>
        <v/>
      </c>
      <c r="AT1860" s="33">
        <f>IF($AS1860="","",IF($F$6="",0,IF(ISNUMBER(INDEX($A:$AP,ROW(),$F$6)),INDEX($A:$AP,ROW(),$F$6),IFERROR(--SUBSTITUTE(SUBSTITUTE(TRIM(INDEX($A:$AP,ROW(),$F$6)),",",""),"원",""),0))))</f>
        <v/>
      </c>
      <c r="AU1860" s="31">
        <f>IF($AS1860="","",IF($AX1860&lt;&gt;"",SUBSTITUTE(SUBSTITUTE($AX1860,"-","")," ",""),"N:"&amp;$AV1860))</f>
        <v/>
      </c>
      <c r="AV1860" s="31">
        <f>IF(OR($AS1860="",$E$6=""),"",TRIM(INDEX($A:$AP,ROW(),$E$6)&amp;""))</f>
        <v/>
      </c>
      <c r="AW1860" s="31">
        <f>IF($AU1860="","",IF(MATCH($AU1860,$AU$8:$AU$2007,0)=ROW()-7,MAX($AW$7:$AW1859)+1,""))</f>
        <v/>
      </c>
      <c r="AX1860" s="31">
        <f>IF(OR($AS1860="",$D$6=""),"",TRIM(INDEX($A:$AP,ROW(),$D$6)&amp;""))</f>
        <v/>
      </c>
      <c r="AY1860" s="31">
        <f>IF($AU1860="","",INDEX($AW$8:$AW$2007,MATCH($AU1860,$AU$8:$AU$2007,0)))</f>
        <v/>
      </c>
      <c r="AZ1860" s="31">
        <f>IF(OR($AS1860="",$C$6=""),"",TRIM(INDEX($A:$AP,ROW(),$C$6)&amp;""))</f>
        <v/>
      </c>
      <c r="BA1860" s="31">
        <f>IF($AZ1860="","",IF(COUNTIF($AZ$8:$AZ1860,$AZ1860)&gt;1,1,0))</f>
        <v/>
      </c>
    </row>
    <row r="1861">
      <c r="AR1861" s="31">
        <f>IF(OR($A$5="",$B$6="",ROW()&lt;$A$5),"",IF(INDEX($A:$AP,ROW(),$B$6)="","",INDEX($A:$AP,ROW(),$B$6)))</f>
        <v/>
      </c>
      <c r="AS1861" s="32">
        <f>IF($AR1861="","",IF(ISNUMBER($AR1861),IF($AR1861&gt;=10000000,IFERROR(DATE(INT($AR1861/10000),MOD(INT($AR1861/100),100),MOD($AR1861,100)),""),INT($AR1861)),IFERROR(DATE(--LEFT(LEFT(SUBSTITUTE(SUBSTITUTE(SUBSTITUTE(SUBSTITUTE(TRIM($AR1861),"-",""),".",""),"/","")," ",""),8),4),--MID(LEFT(SUBSTITUTE(SUBSTITUTE(SUBSTITUTE(SUBSTITUTE(TRIM($AR1861),"-",""),".",""),"/","")," ",""),8),5,2),--MID(LEFT(SUBSTITUTE(SUBSTITUTE(SUBSTITUTE(SUBSTITUTE(TRIM($AR1861),"-",""),".",""),"/","")," ",""),8),7,2)),"")))</f>
        <v/>
      </c>
      <c r="AT1861" s="33">
        <f>IF($AS1861="","",IF($F$6="",0,IF(ISNUMBER(INDEX($A:$AP,ROW(),$F$6)),INDEX($A:$AP,ROW(),$F$6),IFERROR(--SUBSTITUTE(SUBSTITUTE(TRIM(INDEX($A:$AP,ROW(),$F$6)),",",""),"원",""),0))))</f>
        <v/>
      </c>
      <c r="AU1861" s="31">
        <f>IF($AS1861="","",IF($AX1861&lt;&gt;"",SUBSTITUTE(SUBSTITUTE($AX1861,"-","")," ",""),"N:"&amp;$AV1861))</f>
        <v/>
      </c>
      <c r="AV1861" s="31">
        <f>IF(OR($AS1861="",$E$6=""),"",TRIM(INDEX($A:$AP,ROW(),$E$6)&amp;""))</f>
        <v/>
      </c>
      <c r="AW1861" s="31">
        <f>IF($AU1861="","",IF(MATCH($AU1861,$AU$8:$AU$2007,0)=ROW()-7,MAX($AW$7:$AW1860)+1,""))</f>
        <v/>
      </c>
      <c r="AX1861" s="31">
        <f>IF(OR($AS1861="",$D$6=""),"",TRIM(INDEX($A:$AP,ROW(),$D$6)&amp;""))</f>
        <v/>
      </c>
      <c r="AY1861" s="31">
        <f>IF($AU1861="","",INDEX($AW$8:$AW$2007,MATCH($AU1861,$AU$8:$AU$2007,0)))</f>
        <v/>
      </c>
      <c r="AZ1861" s="31">
        <f>IF(OR($AS1861="",$C$6=""),"",TRIM(INDEX($A:$AP,ROW(),$C$6)&amp;""))</f>
        <v/>
      </c>
      <c r="BA1861" s="31">
        <f>IF($AZ1861="","",IF(COUNTIF($AZ$8:$AZ1861,$AZ1861)&gt;1,1,0))</f>
        <v/>
      </c>
    </row>
    <row r="1862">
      <c r="AR1862" s="31">
        <f>IF(OR($A$5="",$B$6="",ROW()&lt;$A$5),"",IF(INDEX($A:$AP,ROW(),$B$6)="","",INDEX($A:$AP,ROW(),$B$6)))</f>
        <v/>
      </c>
      <c r="AS1862" s="32">
        <f>IF($AR1862="","",IF(ISNUMBER($AR1862),IF($AR1862&gt;=10000000,IFERROR(DATE(INT($AR1862/10000),MOD(INT($AR1862/100),100),MOD($AR1862,100)),""),INT($AR1862)),IFERROR(DATE(--LEFT(LEFT(SUBSTITUTE(SUBSTITUTE(SUBSTITUTE(SUBSTITUTE(TRIM($AR1862),"-",""),".",""),"/","")," ",""),8),4),--MID(LEFT(SUBSTITUTE(SUBSTITUTE(SUBSTITUTE(SUBSTITUTE(TRIM($AR1862),"-",""),".",""),"/","")," ",""),8),5,2),--MID(LEFT(SUBSTITUTE(SUBSTITUTE(SUBSTITUTE(SUBSTITUTE(TRIM($AR1862),"-",""),".",""),"/","")," ",""),8),7,2)),"")))</f>
        <v/>
      </c>
      <c r="AT1862" s="33">
        <f>IF($AS1862="","",IF($F$6="",0,IF(ISNUMBER(INDEX($A:$AP,ROW(),$F$6)),INDEX($A:$AP,ROW(),$F$6),IFERROR(--SUBSTITUTE(SUBSTITUTE(TRIM(INDEX($A:$AP,ROW(),$F$6)),",",""),"원",""),0))))</f>
        <v/>
      </c>
      <c r="AU1862" s="31">
        <f>IF($AS1862="","",IF($AX1862&lt;&gt;"",SUBSTITUTE(SUBSTITUTE($AX1862,"-","")," ",""),"N:"&amp;$AV1862))</f>
        <v/>
      </c>
      <c r="AV1862" s="31">
        <f>IF(OR($AS1862="",$E$6=""),"",TRIM(INDEX($A:$AP,ROW(),$E$6)&amp;""))</f>
        <v/>
      </c>
      <c r="AW1862" s="31">
        <f>IF($AU1862="","",IF(MATCH($AU1862,$AU$8:$AU$2007,0)=ROW()-7,MAX($AW$7:$AW1861)+1,""))</f>
        <v/>
      </c>
      <c r="AX1862" s="31">
        <f>IF(OR($AS1862="",$D$6=""),"",TRIM(INDEX($A:$AP,ROW(),$D$6)&amp;""))</f>
        <v/>
      </c>
      <c r="AY1862" s="31">
        <f>IF($AU1862="","",INDEX($AW$8:$AW$2007,MATCH($AU1862,$AU$8:$AU$2007,0)))</f>
        <v/>
      </c>
      <c r="AZ1862" s="31">
        <f>IF(OR($AS1862="",$C$6=""),"",TRIM(INDEX($A:$AP,ROW(),$C$6)&amp;""))</f>
        <v/>
      </c>
      <c r="BA1862" s="31">
        <f>IF($AZ1862="","",IF(COUNTIF($AZ$8:$AZ1862,$AZ1862)&gt;1,1,0))</f>
        <v/>
      </c>
    </row>
    <row r="1863">
      <c r="AR1863" s="31">
        <f>IF(OR($A$5="",$B$6="",ROW()&lt;$A$5),"",IF(INDEX($A:$AP,ROW(),$B$6)="","",INDEX($A:$AP,ROW(),$B$6)))</f>
        <v/>
      </c>
      <c r="AS1863" s="32">
        <f>IF($AR1863="","",IF(ISNUMBER($AR1863),IF($AR1863&gt;=10000000,IFERROR(DATE(INT($AR1863/10000),MOD(INT($AR1863/100),100),MOD($AR1863,100)),""),INT($AR1863)),IFERROR(DATE(--LEFT(LEFT(SUBSTITUTE(SUBSTITUTE(SUBSTITUTE(SUBSTITUTE(TRIM($AR1863),"-",""),".",""),"/","")," ",""),8),4),--MID(LEFT(SUBSTITUTE(SUBSTITUTE(SUBSTITUTE(SUBSTITUTE(TRIM($AR1863),"-",""),".",""),"/","")," ",""),8),5,2),--MID(LEFT(SUBSTITUTE(SUBSTITUTE(SUBSTITUTE(SUBSTITUTE(TRIM($AR1863),"-",""),".",""),"/","")," ",""),8),7,2)),"")))</f>
        <v/>
      </c>
      <c r="AT1863" s="33">
        <f>IF($AS1863="","",IF($F$6="",0,IF(ISNUMBER(INDEX($A:$AP,ROW(),$F$6)),INDEX($A:$AP,ROW(),$F$6),IFERROR(--SUBSTITUTE(SUBSTITUTE(TRIM(INDEX($A:$AP,ROW(),$F$6)),",",""),"원",""),0))))</f>
        <v/>
      </c>
      <c r="AU1863" s="31">
        <f>IF($AS1863="","",IF($AX1863&lt;&gt;"",SUBSTITUTE(SUBSTITUTE($AX1863,"-","")," ",""),"N:"&amp;$AV1863))</f>
        <v/>
      </c>
      <c r="AV1863" s="31">
        <f>IF(OR($AS1863="",$E$6=""),"",TRIM(INDEX($A:$AP,ROW(),$E$6)&amp;""))</f>
        <v/>
      </c>
      <c r="AW1863" s="31">
        <f>IF($AU1863="","",IF(MATCH($AU1863,$AU$8:$AU$2007,0)=ROW()-7,MAX($AW$7:$AW1862)+1,""))</f>
        <v/>
      </c>
      <c r="AX1863" s="31">
        <f>IF(OR($AS1863="",$D$6=""),"",TRIM(INDEX($A:$AP,ROW(),$D$6)&amp;""))</f>
        <v/>
      </c>
      <c r="AY1863" s="31">
        <f>IF($AU1863="","",INDEX($AW$8:$AW$2007,MATCH($AU1863,$AU$8:$AU$2007,0)))</f>
        <v/>
      </c>
      <c r="AZ1863" s="31">
        <f>IF(OR($AS1863="",$C$6=""),"",TRIM(INDEX($A:$AP,ROW(),$C$6)&amp;""))</f>
        <v/>
      </c>
      <c r="BA1863" s="31">
        <f>IF($AZ1863="","",IF(COUNTIF($AZ$8:$AZ1863,$AZ1863)&gt;1,1,0))</f>
        <v/>
      </c>
    </row>
    <row r="1864">
      <c r="AR1864" s="31">
        <f>IF(OR($A$5="",$B$6="",ROW()&lt;$A$5),"",IF(INDEX($A:$AP,ROW(),$B$6)="","",INDEX($A:$AP,ROW(),$B$6)))</f>
        <v/>
      </c>
      <c r="AS1864" s="32">
        <f>IF($AR1864="","",IF(ISNUMBER($AR1864),IF($AR1864&gt;=10000000,IFERROR(DATE(INT($AR1864/10000),MOD(INT($AR1864/100),100),MOD($AR1864,100)),""),INT($AR1864)),IFERROR(DATE(--LEFT(LEFT(SUBSTITUTE(SUBSTITUTE(SUBSTITUTE(SUBSTITUTE(TRIM($AR1864),"-",""),".",""),"/","")," ",""),8),4),--MID(LEFT(SUBSTITUTE(SUBSTITUTE(SUBSTITUTE(SUBSTITUTE(TRIM($AR1864),"-",""),".",""),"/","")," ",""),8),5,2),--MID(LEFT(SUBSTITUTE(SUBSTITUTE(SUBSTITUTE(SUBSTITUTE(TRIM($AR1864),"-",""),".",""),"/","")," ",""),8),7,2)),"")))</f>
        <v/>
      </c>
      <c r="AT1864" s="33">
        <f>IF($AS1864="","",IF($F$6="",0,IF(ISNUMBER(INDEX($A:$AP,ROW(),$F$6)),INDEX($A:$AP,ROW(),$F$6),IFERROR(--SUBSTITUTE(SUBSTITUTE(TRIM(INDEX($A:$AP,ROW(),$F$6)),",",""),"원",""),0))))</f>
        <v/>
      </c>
      <c r="AU1864" s="31">
        <f>IF($AS1864="","",IF($AX1864&lt;&gt;"",SUBSTITUTE(SUBSTITUTE($AX1864,"-","")," ",""),"N:"&amp;$AV1864))</f>
        <v/>
      </c>
      <c r="AV1864" s="31">
        <f>IF(OR($AS1864="",$E$6=""),"",TRIM(INDEX($A:$AP,ROW(),$E$6)&amp;""))</f>
        <v/>
      </c>
      <c r="AW1864" s="31">
        <f>IF($AU1864="","",IF(MATCH($AU1864,$AU$8:$AU$2007,0)=ROW()-7,MAX($AW$7:$AW1863)+1,""))</f>
        <v/>
      </c>
      <c r="AX1864" s="31">
        <f>IF(OR($AS1864="",$D$6=""),"",TRIM(INDEX($A:$AP,ROW(),$D$6)&amp;""))</f>
        <v/>
      </c>
      <c r="AY1864" s="31">
        <f>IF($AU1864="","",INDEX($AW$8:$AW$2007,MATCH($AU1864,$AU$8:$AU$2007,0)))</f>
        <v/>
      </c>
      <c r="AZ1864" s="31">
        <f>IF(OR($AS1864="",$C$6=""),"",TRIM(INDEX($A:$AP,ROW(),$C$6)&amp;""))</f>
        <v/>
      </c>
      <c r="BA1864" s="31">
        <f>IF($AZ1864="","",IF(COUNTIF($AZ$8:$AZ1864,$AZ1864)&gt;1,1,0))</f>
        <v/>
      </c>
    </row>
    <row r="1865">
      <c r="AR1865" s="31">
        <f>IF(OR($A$5="",$B$6="",ROW()&lt;$A$5),"",IF(INDEX($A:$AP,ROW(),$B$6)="","",INDEX($A:$AP,ROW(),$B$6)))</f>
        <v/>
      </c>
      <c r="AS1865" s="32">
        <f>IF($AR1865="","",IF(ISNUMBER($AR1865),IF($AR1865&gt;=10000000,IFERROR(DATE(INT($AR1865/10000),MOD(INT($AR1865/100),100),MOD($AR1865,100)),""),INT($AR1865)),IFERROR(DATE(--LEFT(LEFT(SUBSTITUTE(SUBSTITUTE(SUBSTITUTE(SUBSTITUTE(TRIM($AR1865),"-",""),".",""),"/","")," ",""),8),4),--MID(LEFT(SUBSTITUTE(SUBSTITUTE(SUBSTITUTE(SUBSTITUTE(TRIM($AR1865),"-",""),".",""),"/","")," ",""),8),5,2),--MID(LEFT(SUBSTITUTE(SUBSTITUTE(SUBSTITUTE(SUBSTITUTE(TRIM($AR1865),"-",""),".",""),"/","")," ",""),8),7,2)),"")))</f>
        <v/>
      </c>
      <c r="AT1865" s="33">
        <f>IF($AS1865="","",IF($F$6="",0,IF(ISNUMBER(INDEX($A:$AP,ROW(),$F$6)),INDEX($A:$AP,ROW(),$F$6),IFERROR(--SUBSTITUTE(SUBSTITUTE(TRIM(INDEX($A:$AP,ROW(),$F$6)),",",""),"원",""),0))))</f>
        <v/>
      </c>
      <c r="AU1865" s="31">
        <f>IF($AS1865="","",IF($AX1865&lt;&gt;"",SUBSTITUTE(SUBSTITUTE($AX1865,"-","")," ",""),"N:"&amp;$AV1865))</f>
        <v/>
      </c>
      <c r="AV1865" s="31">
        <f>IF(OR($AS1865="",$E$6=""),"",TRIM(INDEX($A:$AP,ROW(),$E$6)&amp;""))</f>
        <v/>
      </c>
      <c r="AW1865" s="31">
        <f>IF($AU1865="","",IF(MATCH($AU1865,$AU$8:$AU$2007,0)=ROW()-7,MAX($AW$7:$AW1864)+1,""))</f>
        <v/>
      </c>
      <c r="AX1865" s="31">
        <f>IF(OR($AS1865="",$D$6=""),"",TRIM(INDEX($A:$AP,ROW(),$D$6)&amp;""))</f>
        <v/>
      </c>
      <c r="AY1865" s="31">
        <f>IF($AU1865="","",INDEX($AW$8:$AW$2007,MATCH($AU1865,$AU$8:$AU$2007,0)))</f>
        <v/>
      </c>
      <c r="AZ1865" s="31">
        <f>IF(OR($AS1865="",$C$6=""),"",TRIM(INDEX($A:$AP,ROW(),$C$6)&amp;""))</f>
        <v/>
      </c>
      <c r="BA1865" s="31">
        <f>IF($AZ1865="","",IF(COUNTIF($AZ$8:$AZ1865,$AZ1865)&gt;1,1,0))</f>
        <v/>
      </c>
    </row>
    <row r="1866">
      <c r="AR1866" s="31">
        <f>IF(OR($A$5="",$B$6="",ROW()&lt;$A$5),"",IF(INDEX($A:$AP,ROW(),$B$6)="","",INDEX($A:$AP,ROW(),$B$6)))</f>
        <v/>
      </c>
      <c r="AS1866" s="32">
        <f>IF($AR1866="","",IF(ISNUMBER($AR1866),IF($AR1866&gt;=10000000,IFERROR(DATE(INT($AR1866/10000),MOD(INT($AR1866/100),100),MOD($AR1866,100)),""),INT($AR1866)),IFERROR(DATE(--LEFT(LEFT(SUBSTITUTE(SUBSTITUTE(SUBSTITUTE(SUBSTITUTE(TRIM($AR1866),"-",""),".",""),"/","")," ",""),8),4),--MID(LEFT(SUBSTITUTE(SUBSTITUTE(SUBSTITUTE(SUBSTITUTE(TRIM($AR1866),"-",""),".",""),"/","")," ",""),8),5,2),--MID(LEFT(SUBSTITUTE(SUBSTITUTE(SUBSTITUTE(SUBSTITUTE(TRIM($AR1866),"-",""),".",""),"/","")," ",""),8),7,2)),"")))</f>
        <v/>
      </c>
      <c r="AT1866" s="33">
        <f>IF($AS1866="","",IF($F$6="",0,IF(ISNUMBER(INDEX($A:$AP,ROW(),$F$6)),INDEX($A:$AP,ROW(),$F$6),IFERROR(--SUBSTITUTE(SUBSTITUTE(TRIM(INDEX($A:$AP,ROW(),$F$6)),",",""),"원",""),0))))</f>
        <v/>
      </c>
      <c r="AU1866" s="31">
        <f>IF($AS1866="","",IF($AX1866&lt;&gt;"",SUBSTITUTE(SUBSTITUTE($AX1866,"-","")," ",""),"N:"&amp;$AV1866))</f>
        <v/>
      </c>
      <c r="AV1866" s="31">
        <f>IF(OR($AS1866="",$E$6=""),"",TRIM(INDEX($A:$AP,ROW(),$E$6)&amp;""))</f>
        <v/>
      </c>
      <c r="AW1866" s="31">
        <f>IF($AU1866="","",IF(MATCH($AU1866,$AU$8:$AU$2007,0)=ROW()-7,MAX($AW$7:$AW1865)+1,""))</f>
        <v/>
      </c>
      <c r="AX1866" s="31">
        <f>IF(OR($AS1866="",$D$6=""),"",TRIM(INDEX($A:$AP,ROW(),$D$6)&amp;""))</f>
        <v/>
      </c>
      <c r="AY1866" s="31">
        <f>IF($AU1866="","",INDEX($AW$8:$AW$2007,MATCH($AU1866,$AU$8:$AU$2007,0)))</f>
        <v/>
      </c>
      <c r="AZ1866" s="31">
        <f>IF(OR($AS1866="",$C$6=""),"",TRIM(INDEX($A:$AP,ROW(),$C$6)&amp;""))</f>
        <v/>
      </c>
      <c r="BA1866" s="31">
        <f>IF($AZ1866="","",IF(COUNTIF($AZ$8:$AZ1866,$AZ1866)&gt;1,1,0))</f>
        <v/>
      </c>
    </row>
    <row r="1867">
      <c r="AR1867" s="31">
        <f>IF(OR($A$5="",$B$6="",ROW()&lt;$A$5),"",IF(INDEX($A:$AP,ROW(),$B$6)="","",INDEX($A:$AP,ROW(),$B$6)))</f>
        <v/>
      </c>
      <c r="AS1867" s="32">
        <f>IF($AR1867="","",IF(ISNUMBER($AR1867),IF($AR1867&gt;=10000000,IFERROR(DATE(INT($AR1867/10000),MOD(INT($AR1867/100),100),MOD($AR1867,100)),""),INT($AR1867)),IFERROR(DATE(--LEFT(LEFT(SUBSTITUTE(SUBSTITUTE(SUBSTITUTE(SUBSTITUTE(TRIM($AR1867),"-",""),".",""),"/","")," ",""),8),4),--MID(LEFT(SUBSTITUTE(SUBSTITUTE(SUBSTITUTE(SUBSTITUTE(TRIM($AR1867),"-",""),".",""),"/","")," ",""),8),5,2),--MID(LEFT(SUBSTITUTE(SUBSTITUTE(SUBSTITUTE(SUBSTITUTE(TRIM($AR1867),"-",""),".",""),"/","")," ",""),8),7,2)),"")))</f>
        <v/>
      </c>
      <c r="AT1867" s="33">
        <f>IF($AS1867="","",IF($F$6="",0,IF(ISNUMBER(INDEX($A:$AP,ROW(),$F$6)),INDEX($A:$AP,ROW(),$F$6),IFERROR(--SUBSTITUTE(SUBSTITUTE(TRIM(INDEX($A:$AP,ROW(),$F$6)),",",""),"원",""),0))))</f>
        <v/>
      </c>
      <c r="AU1867" s="31">
        <f>IF($AS1867="","",IF($AX1867&lt;&gt;"",SUBSTITUTE(SUBSTITUTE($AX1867,"-","")," ",""),"N:"&amp;$AV1867))</f>
        <v/>
      </c>
      <c r="AV1867" s="31">
        <f>IF(OR($AS1867="",$E$6=""),"",TRIM(INDEX($A:$AP,ROW(),$E$6)&amp;""))</f>
        <v/>
      </c>
      <c r="AW1867" s="31">
        <f>IF($AU1867="","",IF(MATCH($AU1867,$AU$8:$AU$2007,0)=ROW()-7,MAX($AW$7:$AW1866)+1,""))</f>
        <v/>
      </c>
      <c r="AX1867" s="31">
        <f>IF(OR($AS1867="",$D$6=""),"",TRIM(INDEX($A:$AP,ROW(),$D$6)&amp;""))</f>
        <v/>
      </c>
      <c r="AY1867" s="31">
        <f>IF($AU1867="","",INDEX($AW$8:$AW$2007,MATCH($AU1867,$AU$8:$AU$2007,0)))</f>
        <v/>
      </c>
      <c r="AZ1867" s="31">
        <f>IF(OR($AS1867="",$C$6=""),"",TRIM(INDEX($A:$AP,ROW(),$C$6)&amp;""))</f>
        <v/>
      </c>
      <c r="BA1867" s="31">
        <f>IF($AZ1867="","",IF(COUNTIF($AZ$8:$AZ1867,$AZ1867)&gt;1,1,0))</f>
        <v/>
      </c>
    </row>
    <row r="1868">
      <c r="AR1868" s="31">
        <f>IF(OR($A$5="",$B$6="",ROW()&lt;$A$5),"",IF(INDEX($A:$AP,ROW(),$B$6)="","",INDEX($A:$AP,ROW(),$B$6)))</f>
        <v/>
      </c>
      <c r="AS1868" s="32">
        <f>IF($AR1868="","",IF(ISNUMBER($AR1868),IF($AR1868&gt;=10000000,IFERROR(DATE(INT($AR1868/10000),MOD(INT($AR1868/100),100),MOD($AR1868,100)),""),INT($AR1868)),IFERROR(DATE(--LEFT(LEFT(SUBSTITUTE(SUBSTITUTE(SUBSTITUTE(SUBSTITUTE(TRIM($AR1868),"-",""),".",""),"/","")," ",""),8),4),--MID(LEFT(SUBSTITUTE(SUBSTITUTE(SUBSTITUTE(SUBSTITUTE(TRIM($AR1868),"-",""),".",""),"/","")," ",""),8),5,2),--MID(LEFT(SUBSTITUTE(SUBSTITUTE(SUBSTITUTE(SUBSTITUTE(TRIM($AR1868),"-",""),".",""),"/","")," ",""),8),7,2)),"")))</f>
        <v/>
      </c>
      <c r="AT1868" s="33">
        <f>IF($AS1868="","",IF($F$6="",0,IF(ISNUMBER(INDEX($A:$AP,ROW(),$F$6)),INDEX($A:$AP,ROW(),$F$6),IFERROR(--SUBSTITUTE(SUBSTITUTE(TRIM(INDEX($A:$AP,ROW(),$F$6)),",",""),"원",""),0))))</f>
        <v/>
      </c>
      <c r="AU1868" s="31">
        <f>IF($AS1868="","",IF($AX1868&lt;&gt;"",SUBSTITUTE(SUBSTITUTE($AX1868,"-","")," ",""),"N:"&amp;$AV1868))</f>
        <v/>
      </c>
      <c r="AV1868" s="31">
        <f>IF(OR($AS1868="",$E$6=""),"",TRIM(INDEX($A:$AP,ROW(),$E$6)&amp;""))</f>
        <v/>
      </c>
      <c r="AW1868" s="31">
        <f>IF($AU1868="","",IF(MATCH($AU1868,$AU$8:$AU$2007,0)=ROW()-7,MAX($AW$7:$AW1867)+1,""))</f>
        <v/>
      </c>
      <c r="AX1868" s="31">
        <f>IF(OR($AS1868="",$D$6=""),"",TRIM(INDEX($A:$AP,ROW(),$D$6)&amp;""))</f>
        <v/>
      </c>
      <c r="AY1868" s="31">
        <f>IF($AU1868="","",INDEX($AW$8:$AW$2007,MATCH($AU1868,$AU$8:$AU$2007,0)))</f>
        <v/>
      </c>
      <c r="AZ1868" s="31">
        <f>IF(OR($AS1868="",$C$6=""),"",TRIM(INDEX($A:$AP,ROW(),$C$6)&amp;""))</f>
        <v/>
      </c>
      <c r="BA1868" s="31">
        <f>IF($AZ1868="","",IF(COUNTIF($AZ$8:$AZ1868,$AZ1868)&gt;1,1,0))</f>
        <v/>
      </c>
    </row>
    <row r="1869">
      <c r="AR1869" s="31">
        <f>IF(OR($A$5="",$B$6="",ROW()&lt;$A$5),"",IF(INDEX($A:$AP,ROW(),$B$6)="","",INDEX($A:$AP,ROW(),$B$6)))</f>
        <v/>
      </c>
      <c r="AS1869" s="32">
        <f>IF($AR1869="","",IF(ISNUMBER($AR1869),IF($AR1869&gt;=10000000,IFERROR(DATE(INT($AR1869/10000),MOD(INT($AR1869/100),100),MOD($AR1869,100)),""),INT($AR1869)),IFERROR(DATE(--LEFT(LEFT(SUBSTITUTE(SUBSTITUTE(SUBSTITUTE(SUBSTITUTE(TRIM($AR1869),"-",""),".",""),"/","")," ",""),8),4),--MID(LEFT(SUBSTITUTE(SUBSTITUTE(SUBSTITUTE(SUBSTITUTE(TRIM($AR1869),"-",""),".",""),"/","")," ",""),8),5,2),--MID(LEFT(SUBSTITUTE(SUBSTITUTE(SUBSTITUTE(SUBSTITUTE(TRIM($AR1869),"-",""),".",""),"/","")," ",""),8),7,2)),"")))</f>
        <v/>
      </c>
      <c r="AT1869" s="33">
        <f>IF($AS1869="","",IF($F$6="",0,IF(ISNUMBER(INDEX($A:$AP,ROW(),$F$6)),INDEX($A:$AP,ROW(),$F$6),IFERROR(--SUBSTITUTE(SUBSTITUTE(TRIM(INDEX($A:$AP,ROW(),$F$6)),",",""),"원",""),0))))</f>
        <v/>
      </c>
      <c r="AU1869" s="31">
        <f>IF($AS1869="","",IF($AX1869&lt;&gt;"",SUBSTITUTE(SUBSTITUTE($AX1869,"-","")," ",""),"N:"&amp;$AV1869))</f>
        <v/>
      </c>
      <c r="AV1869" s="31">
        <f>IF(OR($AS1869="",$E$6=""),"",TRIM(INDEX($A:$AP,ROW(),$E$6)&amp;""))</f>
        <v/>
      </c>
      <c r="AW1869" s="31">
        <f>IF($AU1869="","",IF(MATCH($AU1869,$AU$8:$AU$2007,0)=ROW()-7,MAX($AW$7:$AW1868)+1,""))</f>
        <v/>
      </c>
      <c r="AX1869" s="31">
        <f>IF(OR($AS1869="",$D$6=""),"",TRIM(INDEX($A:$AP,ROW(),$D$6)&amp;""))</f>
        <v/>
      </c>
      <c r="AY1869" s="31">
        <f>IF($AU1869="","",INDEX($AW$8:$AW$2007,MATCH($AU1869,$AU$8:$AU$2007,0)))</f>
        <v/>
      </c>
      <c r="AZ1869" s="31">
        <f>IF(OR($AS1869="",$C$6=""),"",TRIM(INDEX($A:$AP,ROW(),$C$6)&amp;""))</f>
        <v/>
      </c>
      <c r="BA1869" s="31">
        <f>IF($AZ1869="","",IF(COUNTIF($AZ$8:$AZ1869,$AZ1869)&gt;1,1,0))</f>
        <v/>
      </c>
    </row>
    <row r="1870">
      <c r="AR1870" s="31">
        <f>IF(OR($A$5="",$B$6="",ROW()&lt;$A$5),"",IF(INDEX($A:$AP,ROW(),$B$6)="","",INDEX($A:$AP,ROW(),$B$6)))</f>
        <v/>
      </c>
      <c r="AS1870" s="32">
        <f>IF($AR1870="","",IF(ISNUMBER($AR1870),IF($AR1870&gt;=10000000,IFERROR(DATE(INT($AR1870/10000),MOD(INT($AR1870/100),100),MOD($AR1870,100)),""),INT($AR1870)),IFERROR(DATE(--LEFT(LEFT(SUBSTITUTE(SUBSTITUTE(SUBSTITUTE(SUBSTITUTE(TRIM($AR1870),"-",""),".",""),"/","")," ",""),8),4),--MID(LEFT(SUBSTITUTE(SUBSTITUTE(SUBSTITUTE(SUBSTITUTE(TRIM($AR1870),"-",""),".",""),"/","")," ",""),8),5,2),--MID(LEFT(SUBSTITUTE(SUBSTITUTE(SUBSTITUTE(SUBSTITUTE(TRIM($AR1870),"-",""),".",""),"/","")," ",""),8),7,2)),"")))</f>
        <v/>
      </c>
      <c r="AT1870" s="33">
        <f>IF($AS1870="","",IF($F$6="",0,IF(ISNUMBER(INDEX($A:$AP,ROW(),$F$6)),INDEX($A:$AP,ROW(),$F$6),IFERROR(--SUBSTITUTE(SUBSTITUTE(TRIM(INDEX($A:$AP,ROW(),$F$6)),",",""),"원",""),0))))</f>
        <v/>
      </c>
      <c r="AU1870" s="31">
        <f>IF($AS1870="","",IF($AX1870&lt;&gt;"",SUBSTITUTE(SUBSTITUTE($AX1870,"-","")," ",""),"N:"&amp;$AV1870))</f>
        <v/>
      </c>
      <c r="AV1870" s="31">
        <f>IF(OR($AS1870="",$E$6=""),"",TRIM(INDEX($A:$AP,ROW(),$E$6)&amp;""))</f>
        <v/>
      </c>
      <c r="AW1870" s="31">
        <f>IF($AU1870="","",IF(MATCH($AU1870,$AU$8:$AU$2007,0)=ROW()-7,MAX($AW$7:$AW1869)+1,""))</f>
        <v/>
      </c>
      <c r="AX1870" s="31">
        <f>IF(OR($AS1870="",$D$6=""),"",TRIM(INDEX($A:$AP,ROW(),$D$6)&amp;""))</f>
        <v/>
      </c>
      <c r="AY1870" s="31">
        <f>IF($AU1870="","",INDEX($AW$8:$AW$2007,MATCH($AU1870,$AU$8:$AU$2007,0)))</f>
        <v/>
      </c>
      <c r="AZ1870" s="31">
        <f>IF(OR($AS1870="",$C$6=""),"",TRIM(INDEX($A:$AP,ROW(),$C$6)&amp;""))</f>
        <v/>
      </c>
      <c r="BA1870" s="31">
        <f>IF($AZ1870="","",IF(COUNTIF($AZ$8:$AZ1870,$AZ1870)&gt;1,1,0))</f>
        <v/>
      </c>
    </row>
    <row r="1871">
      <c r="AR1871" s="31">
        <f>IF(OR($A$5="",$B$6="",ROW()&lt;$A$5),"",IF(INDEX($A:$AP,ROW(),$B$6)="","",INDEX($A:$AP,ROW(),$B$6)))</f>
        <v/>
      </c>
      <c r="AS1871" s="32">
        <f>IF($AR1871="","",IF(ISNUMBER($AR1871),IF($AR1871&gt;=10000000,IFERROR(DATE(INT($AR1871/10000),MOD(INT($AR1871/100),100),MOD($AR1871,100)),""),INT($AR1871)),IFERROR(DATE(--LEFT(LEFT(SUBSTITUTE(SUBSTITUTE(SUBSTITUTE(SUBSTITUTE(TRIM($AR1871),"-",""),".",""),"/","")," ",""),8),4),--MID(LEFT(SUBSTITUTE(SUBSTITUTE(SUBSTITUTE(SUBSTITUTE(TRIM($AR1871),"-",""),".",""),"/","")," ",""),8),5,2),--MID(LEFT(SUBSTITUTE(SUBSTITUTE(SUBSTITUTE(SUBSTITUTE(TRIM($AR1871),"-",""),".",""),"/","")," ",""),8),7,2)),"")))</f>
        <v/>
      </c>
      <c r="AT1871" s="33">
        <f>IF($AS1871="","",IF($F$6="",0,IF(ISNUMBER(INDEX($A:$AP,ROW(),$F$6)),INDEX($A:$AP,ROW(),$F$6),IFERROR(--SUBSTITUTE(SUBSTITUTE(TRIM(INDEX($A:$AP,ROW(),$F$6)),",",""),"원",""),0))))</f>
        <v/>
      </c>
      <c r="AU1871" s="31">
        <f>IF($AS1871="","",IF($AX1871&lt;&gt;"",SUBSTITUTE(SUBSTITUTE($AX1871,"-","")," ",""),"N:"&amp;$AV1871))</f>
        <v/>
      </c>
      <c r="AV1871" s="31">
        <f>IF(OR($AS1871="",$E$6=""),"",TRIM(INDEX($A:$AP,ROW(),$E$6)&amp;""))</f>
        <v/>
      </c>
      <c r="AW1871" s="31">
        <f>IF($AU1871="","",IF(MATCH($AU1871,$AU$8:$AU$2007,0)=ROW()-7,MAX($AW$7:$AW1870)+1,""))</f>
        <v/>
      </c>
      <c r="AX1871" s="31">
        <f>IF(OR($AS1871="",$D$6=""),"",TRIM(INDEX($A:$AP,ROW(),$D$6)&amp;""))</f>
        <v/>
      </c>
      <c r="AY1871" s="31">
        <f>IF($AU1871="","",INDEX($AW$8:$AW$2007,MATCH($AU1871,$AU$8:$AU$2007,0)))</f>
        <v/>
      </c>
      <c r="AZ1871" s="31">
        <f>IF(OR($AS1871="",$C$6=""),"",TRIM(INDEX($A:$AP,ROW(),$C$6)&amp;""))</f>
        <v/>
      </c>
      <c r="BA1871" s="31">
        <f>IF($AZ1871="","",IF(COUNTIF($AZ$8:$AZ1871,$AZ1871)&gt;1,1,0))</f>
        <v/>
      </c>
    </row>
    <row r="1872">
      <c r="AR1872" s="31">
        <f>IF(OR($A$5="",$B$6="",ROW()&lt;$A$5),"",IF(INDEX($A:$AP,ROW(),$B$6)="","",INDEX($A:$AP,ROW(),$B$6)))</f>
        <v/>
      </c>
      <c r="AS1872" s="32">
        <f>IF($AR1872="","",IF(ISNUMBER($AR1872),IF($AR1872&gt;=10000000,IFERROR(DATE(INT($AR1872/10000),MOD(INT($AR1872/100),100),MOD($AR1872,100)),""),INT($AR1872)),IFERROR(DATE(--LEFT(LEFT(SUBSTITUTE(SUBSTITUTE(SUBSTITUTE(SUBSTITUTE(TRIM($AR1872),"-",""),".",""),"/","")," ",""),8),4),--MID(LEFT(SUBSTITUTE(SUBSTITUTE(SUBSTITUTE(SUBSTITUTE(TRIM($AR1872),"-",""),".",""),"/","")," ",""),8),5,2),--MID(LEFT(SUBSTITUTE(SUBSTITUTE(SUBSTITUTE(SUBSTITUTE(TRIM($AR1872),"-",""),".",""),"/","")," ",""),8),7,2)),"")))</f>
        <v/>
      </c>
      <c r="AT1872" s="33">
        <f>IF($AS1872="","",IF($F$6="",0,IF(ISNUMBER(INDEX($A:$AP,ROW(),$F$6)),INDEX($A:$AP,ROW(),$F$6),IFERROR(--SUBSTITUTE(SUBSTITUTE(TRIM(INDEX($A:$AP,ROW(),$F$6)),",",""),"원",""),0))))</f>
        <v/>
      </c>
      <c r="AU1872" s="31">
        <f>IF($AS1872="","",IF($AX1872&lt;&gt;"",SUBSTITUTE(SUBSTITUTE($AX1872,"-","")," ",""),"N:"&amp;$AV1872))</f>
        <v/>
      </c>
      <c r="AV1872" s="31">
        <f>IF(OR($AS1872="",$E$6=""),"",TRIM(INDEX($A:$AP,ROW(),$E$6)&amp;""))</f>
        <v/>
      </c>
      <c r="AW1872" s="31">
        <f>IF($AU1872="","",IF(MATCH($AU1872,$AU$8:$AU$2007,0)=ROW()-7,MAX($AW$7:$AW1871)+1,""))</f>
        <v/>
      </c>
      <c r="AX1872" s="31">
        <f>IF(OR($AS1872="",$D$6=""),"",TRIM(INDEX($A:$AP,ROW(),$D$6)&amp;""))</f>
        <v/>
      </c>
      <c r="AY1872" s="31">
        <f>IF($AU1872="","",INDEX($AW$8:$AW$2007,MATCH($AU1872,$AU$8:$AU$2007,0)))</f>
        <v/>
      </c>
      <c r="AZ1872" s="31">
        <f>IF(OR($AS1872="",$C$6=""),"",TRIM(INDEX($A:$AP,ROW(),$C$6)&amp;""))</f>
        <v/>
      </c>
      <c r="BA1872" s="31">
        <f>IF($AZ1872="","",IF(COUNTIF($AZ$8:$AZ1872,$AZ1872)&gt;1,1,0))</f>
        <v/>
      </c>
    </row>
    <row r="1873">
      <c r="AR1873" s="31">
        <f>IF(OR($A$5="",$B$6="",ROW()&lt;$A$5),"",IF(INDEX($A:$AP,ROW(),$B$6)="","",INDEX($A:$AP,ROW(),$B$6)))</f>
        <v/>
      </c>
      <c r="AS1873" s="32">
        <f>IF($AR1873="","",IF(ISNUMBER($AR1873),IF($AR1873&gt;=10000000,IFERROR(DATE(INT($AR1873/10000),MOD(INT($AR1873/100),100),MOD($AR1873,100)),""),INT($AR1873)),IFERROR(DATE(--LEFT(LEFT(SUBSTITUTE(SUBSTITUTE(SUBSTITUTE(SUBSTITUTE(TRIM($AR1873),"-",""),".",""),"/","")," ",""),8),4),--MID(LEFT(SUBSTITUTE(SUBSTITUTE(SUBSTITUTE(SUBSTITUTE(TRIM($AR1873),"-",""),".",""),"/","")," ",""),8),5,2),--MID(LEFT(SUBSTITUTE(SUBSTITUTE(SUBSTITUTE(SUBSTITUTE(TRIM($AR1873),"-",""),".",""),"/","")," ",""),8),7,2)),"")))</f>
        <v/>
      </c>
      <c r="AT1873" s="33">
        <f>IF($AS1873="","",IF($F$6="",0,IF(ISNUMBER(INDEX($A:$AP,ROW(),$F$6)),INDEX($A:$AP,ROW(),$F$6),IFERROR(--SUBSTITUTE(SUBSTITUTE(TRIM(INDEX($A:$AP,ROW(),$F$6)),",",""),"원",""),0))))</f>
        <v/>
      </c>
      <c r="AU1873" s="31">
        <f>IF($AS1873="","",IF($AX1873&lt;&gt;"",SUBSTITUTE(SUBSTITUTE($AX1873,"-","")," ",""),"N:"&amp;$AV1873))</f>
        <v/>
      </c>
      <c r="AV1873" s="31">
        <f>IF(OR($AS1873="",$E$6=""),"",TRIM(INDEX($A:$AP,ROW(),$E$6)&amp;""))</f>
        <v/>
      </c>
      <c r="AW1873" s="31">
        <f>IF($AU1873="","",IF(MATCH($AU1873,$AU$8:$AU$2007,0)=ROW()-7,MAX($AW$7:$AW1872)+1,""))</f>
        <v/>
      </c>
      <c r="AX1873" s="31">
        <f>IF(OR($AS1873="",$D$6=""),"",TRIM(INDEX($A:$AP,ROW(),$D$6)&amp;""))</f>
        <v/>
      </c>
      <c r="AY1873" s="31">
        <f>IF($AU1873="","",INDEX($AW$8:$AW$2007,MATCH($AU1873,$AU$8:$AU$2007,0)))</f>
        <v/>
      </c>
      <c r="AZ1873" s="31">
        <f>IF(OR($AS1873="",$C$6=""),"",TRIM(INDEX($A:$AP,ROW(),$C$6)&amp;""))</f>
        <v/>
      </c>
      <c r="BA1873" s="31">
        <f>IF($AZ1873="","",IF(COUNTIF($AZ$8:$AZ1873,$AZ1873)&gt;1,1,0))</f>
        <v/>
      </c>
    </row>
    <row r="1874">
      <c r="AR1874" s="31">
        <f>IF(OR($A$5="",$B$6="",ROW()&lt;$A$5),"",IF(INDEX($A:$AP,ROW(),$B$6)="","",INDEX($A:$AP,ROW(),$B$6)))</f>
        <v/>
      </c>
      <c r="AS1874" s="32">
        <f>IF($AR1874="","",IF(ISNUMBER($AR1874),IF($AR1874&gt;=10000000,IFERROR(DATE(INT($AR1874/10000),MOD(INT($AR1874/100),100),MOD($AR1874,100)),""),INT($AR1874)),IFERROR(DATE(--LEFT(LEFT(SUBSTITUTE(SUBSTITUTE(SUBSTITUTE(SUBSTITUTE(TRIM($AR1874),"-",""),".",""),"/","")," ",""),8),4),--MID(LEFT(SUBSTITUTE(SUBSTITUTE(SUBSTITUTE(SUBSTITUTE(TRIM($AR1874),"-",""),".",""),"/","")," ",""),8),5,2),--MID(LEFT(SUBSTITUTE(SUBSTITUTE(SUBSTITUTE(SUBSTITUTE(TRIM($AR1874),"-",""),".",""),"/","")," ",""),8),7,2)),"")))</f>
        <v/>
      </c>
      <c r="AT1874" s="33">
        <f>IF($AS1874="","",IF($F$6="",0,IF(ISNUMBER(INDEX($A:$AP,ROW(),$F$6)),INDEX($A:$AP,ROW(),$F$6),IFERROR(--SUBSTITUTE(SUBSTITUTE(TRIM(INDEX($A:$AP,ROW(),$F$6)),",",""),"원",""),0))))</f>
        <v/>
      </c>
      <c r="AU1874" s="31">
        <f>IF($AS1874="","",IF($AX1874&lt;&gt;"",SUBSTITUTE(SUBSTITUTE($AX1874,"-","")," ",""),"N:"&amp;$AV1874))</f>
        <v/>
      </c>
      <c r="AV1874" s="31">
        <f>IF(OR($AS1874="",$E$6=""),"",TRIM(INDEX($A:$AP,ROW(),$E$6)&amp;""))</f>
        <v/>
      </c>
      <c r="AW1874" s="31">
        <f>IF($AU1874="","",IF(MATCH($AU1874,$AU$8:$AU$2007,0)=ROW()-7,MAX($AW$7:$AW1873)+1,""))</f>
        <v/>
      </c>
      <c r="AX1874" s="31">
        <f>IF(OR($AS1874="",$D$6=""),"",TRIM(INDEX($A:$AP,ROW(),$D$6)&amp;""))</f>
        <v/>
      </c>
      <c r="AY1874" s="31">
        <f>IF($AU1874="","",INDEX($AW$8:$AW$2007,MATCH($AU1874,$AU$8:$AU$2007,0)))</f>
        <v/>
      </c>
      <c r="AZ1874" s="31">
        <f>IF(OR($AS1874="",$C$6=""),"",TRIM(INDEX($A:$AP,ROW(),$C$6)&amp;""))</f>
        <v/>
      </c>
      <c r="BA1874" s="31">
        <f>IF($AZ1874="","",IF(COUNTIF($AZ$8:$AZ1874,$AZ1874)&gt;1,1,0))</f>
        <v/>
      </c>
    </row>
    <row r="1875">
      <c r="AR1875" s="31">
        <f>IF(OR($A$5="",$B$6="",ROW()&lt;$A$5),"",IF(INDEX($A:$AP,ROW(),$B$6)="","",INDEX($A:$AP,ROW(),$B$6)))</f>
        <v/>
      </c>
      <c r="AS1875" s="32">
        <f>IF($AR1875="","",IF(ISNUMBER($AR1875),IF($AR1875&gt;=10000000,IFERROR(DATE(INT($AR1875/10000),MOD(INT($AR1875/100),100),MOD($AR1875,100)),""),INT($AR1875)),IFERROR(DATE(--LEFT(LEFT(SUBSTITUTE(SUBSTITUTE(SUBSTITUTE(SUBSTITUTE(TRIM($AR1875),"-",""),".",""),"/","")," ",""),8),4),--MID(LEFT(SUBSTITUTE(SUBSTITUTE(SUBSTITUTE(SUBSTITUTE(TRIM($AR1875),"-",""),".",""),"/","")," ",""),8),5,2),--MID(LEFT(SUBSTITUTE(SUBSTITUTE(SUBSTITUTE(SUBSTITUTE(TRIM($AR1875),"-",""),".",""),"/","")," ",""),8),7,2)),"")))</f>
        <v/>
      </c>
      <c r="AT1875" s="33">
        <f>IF($AS1875="","",IF($F$6="",0,IF(ISNUMBER(INDEX($A:$AP,ROW(),$F$6)),INDEX($A:$AP,ROW(),$F$6),IFERROR(--SUBSTITUTE(SUBSTITUTE(TRIM(INDEX($A:$AP,ROW(),$F$6)),",",""),"원",""),0))))</f>
        <v/>
      </c>
      <c r="AU1875" s="31">
        <f>IF($AS1875="","",IF($AX1875&lt;&gt;"",SUBSTITUTE(SUBSTITUTE($AX1875,"-","")," ",""),"N:"&amp;$AV1875))</f>
        <v/>
      </c>
      <c r="AV1875" s="31">
        <f>IF(OR($AS1875="",$E$6=""),"",TRIM(INDEX($A:$AP,ROW(),$E$6)&amp;""))</f>
        <v/>
      </c>
      <c r="AW1875" s="31">
        <f>IF($AU1875="","",IF(MATCH($AU1875,$AU$8:$AU$2007,0)=ROW()-7,MAX($AW$7:$AW1874)+1,""))</f>
        <v/>
      </c>
      <c r="AX1875" s="31">
        <f>IF(OR($AS1875="",$D$6=""),"",TRIM(INDEX($A:$AP,ROW(),$D$6)&amp;""))</f>
        <v/>
      </c>
      <c r="AY1875" s="31">
        <f>IF($AU1875="","",INDEX($AW$8:$AW$2007,MATCH($AU1875,$AU$8:$AU$2007,0)))</f>
        <v/>
      </c>
      <c r="AZ1875" s="31">
        <f>IF(OR($AS1875="",$C$6=""),"",TRIM(INDEX($A:$AP,ROW(),$C$6)&amp;""))</f>
        <v/>
      </c>
      <c r="BA1875" s="31">
        <f>IF($AZ1875="","",IF(COUNTIF($AZ$8:$AZ1875,$AZ1875)&gt;1,1,0))</f>
        <v/>
      </c>
    </row>
    <row r="1876">
      <c r="AR1876" s="31">
        <f>IF(OR($A$5="",$B$6="",ROW()&lt;$A$5),"",IF(INDEX($A:$AP,ROW(),$B$6)="","",INDEX($A:$AP,ROW(),$B$6)))</f>
        <v/>
      </c>
      <c r="AS1876" s="32">
        <f>IF($AR1876="","",IF(ISNUMBER($AR1876),IF($AR1876&gt;=10000000,IFERROR(DATE(INT($AR1876/10000),MOD(INT($AR1876/100),100),MOD($AR1876,100)),""),INT($AR1876)),IFERROR(DATE(--LEFT(LEFT(SUBSTITUTE(SUBSTITUTE(SUBSTITUTE(SUBSTITUTE(TRIM($AR1876),"-",""),".",""),"/","")," ",""),8),4),--MID(LEFT(SUBSTITUTE(SUBSTITUTE(SUBSTITUTE(SUBSTITUTE(TRIM($AR1876),"-",""),".",""),"/","")," ",""),8),5,2),--MID(LEFT(SUBSTITUTE(SUBSTITUTE(SUBSTITUTE(SUBSTITUTE(TRIM($AR1876),"-",""),".",""),"/","")," ",""),8),7,2)),"")))</f>
        <v/>
      </c>
      <c r="AT1876" s="33">
        <f>IF($AS1876="","",IF($F$6="",0,IF(ISNUMBER(INDEX($A:$AP,ROW(),$F$6)),INDEX($A:$AP,ROW(),$F$6),IFERROR(--SUBSTITUTE(SUBSTITUTE(TRIM(INDEX($A:$AP,ROW(),$F$6)),",",""),"원",""),0))))</f>
        <v/>
      </c>
      <c r="AU1876" s="31">
        <f>IF($AS1876="","",IF($AX1876&lt;&gt;"",SUBSTITUTE(SUBSTITUTE($AX1876,"-","")," ",""),"N:"&amp;$AV1876))</f>
        <v/>
      </c>
      <c r="AV1876" s="31">
        <f>IF(OR($AS1876="",$E$6=""),"",TRIM(INDEX($A:$AP,ROW(),$E$6)&amp;""))</f>
        <v/>
      </c>
      <c r="AW1876" s="31">
        <f>IF($AU1876="","",IF(MATCH($AU1876,$AU$8:$AU$2007,0)=ROW()-7,MAX($AW$7:$AW1875)+1,""))</f>
        <v/>
      </c>
      <c r="AX1876" s="31">
        <f>IF(OR($AS1876="",$D$6=""),"",TRIM(INDEX($A:$AP,ROW(),$D$6)&amp;""))</f>
        <v/>
      </c>
      <c r="AY1876" s="31">
        <f>IF($AU1876="","",INDEX($AW$8:$AW$2007,MATCH($AU1876,$AU$8:$AU$2007,0)))</f>
        <v/>
      </c>
      <c r="AZ1876" s="31">
        <f>IF(OR($AS1876="",$C$6=""),"",TRIM(INDEX($A:$AP,ROW(),$C$6)&amp;""))</f>
        <v/>
      </c>
      <c r="BA1876" s="31">
        <f>IF($AZ1876="","",IF(COUNTIF($AZ$8:$AZ1876,$AZ1876)&gt;1,1,0))</f>
        <v/>
      </c>
    </row>
    <row r="1877">
      <c r="AR1877" s="31">
        <f>IF(OR($A$5="",$B$6="",ROW()&lt;$A$5),"",IF(INDEX($A:$AP,ROW(),$B$6)="","",INDEX($A:$AP,ROW(),$B$6)))</f>
        <v/>
      </c>
      <c r="AS1877" s="32">
        <f>IF($AR1877="","",IF(ISNUMBER($AR1877),IF($AR1877&gt;=10000000,IFERROR(DATE(INT($AR1877/10000),MOD(INT($AR1877/100),100),MOD($AR1877,100)),""),INT($AR1877)),IFERROR(DATE(--LEFT(LEFT(SUBSTITUTE(SUBSTITUTE(SUBSTITUTE(SUBSTITUTE(TRIM($AR1877),"-",""),".",""),"/","")," ",""),8),4),--MID(LEFT(SUBSTITUTE(SUBSTITUTE(SUBSTITUTE(SUBSTITUTE(TRIM($AR1877),"-",""),".",""),"/","")," ",""),8),5,2),--MID(LEFT(SUBSTITUTE(SUBSTITUTE(SUBSTITUTE(SUBSTITUTE(TRIM($AR1877),"-",""),".",""),"/","")," ",""),8),7,2)),"")))</f>
        <v/>
      </c>
      <c r="AT1877" s="33">
        <f>IF($AS1877="","",IF($F$6="",0,IF(ISNUMBER(INDEX($A:$AP,ROW(),$F$6)),INDEX($A:$AP,ROW(),$F$6),IFERROR(--SUBSTITUTE(SUBSTITUTE(TRIM(INDEX($A:$AP,ROW(),$F$6)),",",""),"원",""),0))))</f>
        <v/>
      </c>
      <c r="AU1877" s="31">
        <f>IF($AS1877="","",IF($AX1877&lt;&gt;"",SUBSTITUTE(SUBSTITUTE($AX1877,"-","")," ",""),"N:"&amp;$AV1877))</f>
        <v/>
      </c>
      <c r="AV1877" s="31">
        <f>IF(OR($AS1877="",$E$6=""),"",TRIM(INDEX($A:$AP,ROW(),$E$6)&amp;""))</f>
        <v/>
      </c>
      <c r="AW1877" s="31">
        <f>IF($AU1877="","",IF(MATCH($AU1877,$AU$8:$AU$2007,0)=ROW()-7,MAX($AW$7:$AW1876)+1,""))</f>
        <v/>
      </c>
      <c r="AX1877" s="31">
        <f>IF(OR($AS1877="",$D$6=""),"",TRIM(INDEX($A:$AP,ROW(),$D$6)&amp;""))</f>
        <v/>
      </c>
      <c r="AY1877" s="31">
        <f>IF($AU1877="","",INDEX($AW$8:$AW$2007,MATCH($AU1877,$AU$8:$AU$2007,0)))</f>
        <v/>
      </c>
      <c r="AZ1877" s="31">
        <f>IF(OR($AS1877="",$C$6=""),"",TRIM(INDEX($A:$AP,ROW(),$C$6)&amp;""))</f>
        <v/>
      </c>
      <c r="BA1877" s="31">
        <f>IF($AZ1877="","",IF(COUNTIF($AZ$8:$AZ1877,$AZ1877)&gt;1,1,0))</f>
        <v/>
      </c>
    </row>
    <row r="1878">
      <c r="AR1878" s="31">
        <f>IF(OR($A$5="",$B$6="",ROW()&lt;$A$5),"",IF(INDEX($A:$AP,ROW(),$B$6)="","",INDEX($A:$AP,ROW(),$B$6)))</f>
        <v/>
      </c>
      <c r="AS1878" s="32">
        <f>IF($AR1878="","",IF(ISNUMBER($AR1878),IF($AR1878&gt;=10000000,IFERROR(DATE(INT($AR1878/10000),MOD(INT($AR1878/100),100),MOD($AR1878,100)),""),INT($AR1878)),IFERROR(DATE(--LEFT(LEFT(SUBSTITUTE(SUBSTITUTE(SUBSTITUTE(SUBSTITUTE(TRIM($AR1878),"-",""),".",""),"/","")," ",""),8),4),--MID(LEFT(SUBSTITUTE(SUBSTITUTE(SUBSTITUTE(SUBSTITUTE(TRIM($AR1878),"-",""),".",""),"/","")," ",""),8),5,2),--MID(LEFT(SUBSTITUTE(SUBSTITUTE(SUBSTITUTE(SUBSTITUTE(TRIM($AR1878),"-",""),".",""),"/","")," ",""),8),7,2)),"")))</f>
        <v/>
      </c>
      <c r="AT1878" s="33">
        <f>IF($AS1878="","",IF($F$6="",0,IF(ISNUMBER(INDEX($A:$AP,ROW(),$F$6)),INDEX($A:$AP,ROW(),$F$6),IFERROR(--SUBSTITUTE(SUBSTITUTE(TRIM(INDEX($A:$AP,ROW(),$F$6)),",",""),"원",""),0))))</f>
        <v/>
      </c>
      <c r="AU1878" s="31">
        <f>IF($AS1878="","",IF($AX1878&lt;&gt;"",SUBSTITUTE(SUBSTITUTE($AX1878,"-","")," ",""),"N:"&amp;$AV1878))</f>
        <v/>
      </c>
      <c r="AV1878" s="31">
        <f>IF(OR($AS1878="",$E$6=""),"",TRIM(INDEX($A:$AP,ROW(),$E$6)&amp;""))</f>
        <v/>
      </c>
      <c r="AW1878" s="31">
        <f>IF($AU1878="","",IF(MATCH($AU1878,$AU$8:$AU$2007,0)=ROW()-7,MAX($AW$7:$AW1877)+1,""))</f>
        <v/>
      </c>
      <c r="AX1878" s="31">
        <f>IF(OR($AS1878="",$D$6=""),"",TRIM(INDEX($A:$AP,ROW(),$D$6)&amp;""))</f>
        <v/>
      </c>
      <c r="AY1878" s="31">
        <f>IF($AU1878="","",INDEX($AW$8:$AW$2007,MATCH($AU1878,$AU$8:$AU$2007,0)))</f>
        <v/>
      </c>
      <c r="AZ1878" s="31">
        <f>IF(OR($AS1878="",$C$6=""),"",TRIM(INDEX($A:$AP,ROW(),$C$6)&amp;""))</f>
        <v/>
      </c>
      <c r="BA1878" s="31">
        <f>IF($AZ1878="","",IF(COUNTIF($AZ$8:$AZ1878,$AZ1878)&gt;1,1,0))</f>
        <v/>
      </c>
    </row>
    <row r="1879">
      <c r="AR1879" s="31">
        <f>IF(OR($A$5="",$B$6="",ROW()&lt;$A$5),"",IF(INDEX($A:$AP,ROW(),$B$6)="","",INDEX($A:$AP,ROW(),$B$6)))</f>
        <v/>
      </c>
      <c r="AS1879" s="32">
        <f>IF($AR1879="","",IF(ISNUMBER($AR1879),IF($AR1879&gt;=10000000,IFERROR(DATE(INT($AR1879/10000),MOD(INT($AR1879/100),100),MOD($AR1879,100)),""),INT($AR1879)),IFERROR(DATE(--LEFT(LEFT(SUBSTITUTE(SUBSTITUTE(SUBSTITUTE(SUBSTITUTE(TRIM($AR1879),"-",""),".",""),"/","")," ",""),8),4),--MID(LEFT(SUBSTITUTE(SUBSTITUTE(SUBSTITUTE(SUBSTITUTE(TRIM($AR1879),"-",""),".",""),"/","")," ",""),8),5,2),--MID(LEFT(SUBSTITUTE(SUBSTITUTE(SUBSTITUTE(SUBSTITUTE(TRIM($AR1879),"-",""),".",""),"/","")," ",""),8),7,2)),"")))</f>
        <v/>
      </c>
      <c r="AT1879" s="33">
        <f>IF($AS1879="","",IF($F$6="",0,IF(ISNUMBER(INDEX($A:$AP,ROW(),$F$6)),INDEX($A:$AP,ROW(),$F$6),IFERROR(--SUBSTITUTE(SUBSTITUTE(TRIM(INDEX($A:$AP,ROW(),$F$6)),",",""),"원",""),0))))</f>
        <v/>
      </c>
      <c r="AU1879" s="31">
        <f>IF($AS1879="","",IF($AX1879&lt;&gt;"",SUBSTITUTE(SUBSTITUTE($AX1879,"-","")," ",""),"N:"&amp;$AV1879))</f>
        <v/>
      </c>
      <c r="AV1879" s="31">
        <f>IF(OR($AS1879="",$E$6=""),"",TRIM(INDEX($A:$AP,ROW(),$E$6)&amp;""))</f>
        <v/>
      </c>
      <c r="AW1879" s="31">
        <f>IF($AU1879="","",IF(MATCH($AU1879,$AU$8:$AU$2007,0)=ROW()-7,MAX($AW$7:$AW1878)+1,""))</f>
        <v/>
      </c>
      <c r="AX1879" s="31">
        <f>IF(OR($AS1879="",$D$6=""),"",TRIM(INDEX($A:$AP,ROW(),$D$6)&amp;""))</f>
        <v/>
      </c>
      <c r="AY1879" s="31">
        <f>IF($AU1879="","",INDEX($AW$8:$AW$2007,MATCH($AU1879,$AU$8:$AU$2007,0)))</f>
        <v/>
      </c>
      <c r="AZ1879" s="31">
        <f>IF(OR($AS1879="",$C$6=""),"",TRIM(INDEX($A:$AP,ROW(),$C$6)&amp;""))</f>
        <v/>
      </c>
      <c r="BA1879" s="31">
        <f>IF($AZ1879="","",IF(COUNTIF($AZ$8:$AZ1879,$AZ1879)&gt;1,1,0))</f>
        <v/>
      </c>
    </row>
    <row r="1880">
      <c r="AR1880" s="31">
        <f>IF(OR($A$5="",$B$6="",ROW()&lt;$A$5),"",IF(INDEX($A:$AP,ROW(),$B$6)="","",INDEX($A:$AP,ROW(),$B$6)))</f>
        <v/>
      </c>
      <c r="AS1880" s="32">
        <f>IF($AR1880="","",IF(ISNUMBER($AR1880),IF($AR1880&gt;=10000000,IFERROR(DATE(INT($AR1880/10000),MOD(INT($AR1880/100),100),MOD($AR1880,100)),""),INT($AR1880)),IFERROR(DATE(--LEFT(LEFT(SUBSTITUTE(SUBSTITUTE(SUBSTITUTE(SUBSTITUTE(TRIM($AR1880),"-",""),".",""),"/","")," ",""),8),4),--MID(LEFT(SUBSTITUTE(SUBSTITUTE(SUBSTITUTE(SUBSTITUTE(TRIM($AR1880),"-",""),".",""),"/","")," ",""),8),5,2),--MID(LEFT(SUBSTITUTE(SUBSTITUTE(SUBSTITUTE(SUBSTITUTE(TRIM($AR1880),"-",""),".",""),"/","")," ",""),8),7,2)),"")))</f>
        <v/>
      </c>
      <c r="AT1880" s="33">
        <f>IF($AS1880="","",IF($F$6="",0,IF(ISNUMBER(INDEX($A:$AP,ROW(),$F$6)),INDEX($A:$AP,ROW(),$F$6),IFERROR(--SUBSTITUTE(SUBSTITUTE(TRIM(INDEX($A:$AP,ROW(),$F$6)),",",""),"원",""),0))))</f>
        <v/>
      </c>
      <c r="AU1880" s="31">
        <f>IF($AS1880="","",IF($AX1880&lt;&gt;"",SUBSTITUTE(SUBSTITUTE($AX1880,"-","")," ",""),"N:"&amp;$AV1880))</f>
        <v/>
      </c>
      <c r="AV1880" s="31">
        <f>IF(OR($AS1880="",$E$6=""),"",TRIM(INDEX($A:$AP,ROW(),$E$6)&amp;""))</f>
        <v/>
      </c>
      <c r="AW1880" s="31">
        <f>IF($AU1880="","",IF(MATCH($AU1880,$AU$8:$AU$2007,0)=ROW()-7,MAX($AW$7:$AW1879)+1,""))</f>
        <v/>
      </c>
      <c r="AX1880" s="31">
        <f>IF(OR($AS1880="",$D$6=""),"",TRIM(INDEX($A:$AP,ROW(),$D$6)&amp;""))</f>
        <v/>
      </c>
      <c r="AY1880" s="31">
        <f>IF($AU1880="","",INDEX($AW$8:$AW$2007,MATCH($AU1880,$AU$8:$AU$2007,0)))</f>
        <v/>
      </c>
      <c r="AZ1880" s="31">
        <f>IF(OR($AS1880="",$C$6=""),"",TRIM(INDEX($A:$AP,ROW(),$C$6)&amp;""))</f>
        <v/>
      </c>
      <c r="BA1880" s="31">
        <f>IF($AZ1880="","",IF(COUNTIF($AZ$8:$AZ1880,$AZ1880)&gt;1,1,0))</f>
        <v/>
      </c>
    </row>
    <row r="1881">
      <c r="AR1881" s="31">
        <f>IF(OR($A$5="",$B$6="",ROW()&lt;$A$5),"",IF(INDEX($A:$AP,ROW(),$B$6)="","",INDEX($A:$AP,ROW(),$B$6)))</f>
        <v/>
      </c>
      <c r="AS1881" s="32">
        <f>IF($AR1881="","",IF(ISNUMBER($AR1881),IF($AR1881&gt;=10000000,IFERROR(DATE(INT($AR1881/10000),MOD(INT($AR1881/100),100),MOD($AR1881,100)),""),INT($AR1881)),IFERROR(DATE(--LEFT(LEFT(SUBSTITUTE(SUBSTITUTE(SUBSTITUTE(SUBSTITUTE(TRIM($AR1881),"-",""),".",""),"/","")," ",""),8),4),--MID(LEFT(SUBSTITUTE(SUBSTITUTE(SUBSTITUTE(SUBSTITUTE(TRIM($AR1881),"-",""),".",""),"/","")," ",""),8),5,2),--MID(LEFT(SUBSTITUTE(SUBSTITUTE(SUBSTITUTE(SUBSTITUTE(TRIM($AR1881),"-",""),".",""),"/","")," ",""),8),7,2)),"")))</f>
        <v/>
      </c>
      <c r="AT1881" s="33">
        <f>IF($AS1881="","",IF($F$6="",0,IF(ISNUMBER(INDEX($A:$AP,ROW(),$F$6)),INDEX($A:$AP,ROW(),$F$6),IFERROR(--SUBSTITUTE(SUBSTITUTE(TRIM(INDEX($A:$AP,ROW(),$F$6)),",",""),"원",""),0))))</f>
        <v/>
      </c>
      <c r="AU1881" s="31">
        <f>IF($AS1881="","",IF($AX1881&lt;&gt;"",SUBSTITUTE(SUBSTITUTE($AX1881,"-","")," ",""),"N:"&amp;$AV1881))</f>
        <v/>
      </c>
      <c r="AV1881" s="31">
        <f>IF(OR($AS1881="",$E$6=""),"",TRIM(INDEX($A:$AP,ROW(),$E$6)&amp;""))</f>
        <v/>
      </c>
      <c r="AW1881" s="31">
        <f>IF($AU1881="","",IF(MATCH($AU1881,$AU$8:$AU$2007,0)=ROW()-7,MAX($AW$7:$AW1880)+1,""))</f>
        <v/>
      </c>
      <c r="AX1881" s="31">
        <f>IF(OR($AS1881="",$D$6=""),"",TRIM(INDEX($A:$AP,ROW(),$D$6)&amp;""))</f>
        <v/>
      </c>
      <c r="AY1881" s="31">
        <f>IF($AU1881="","",INDEX($AW$8:$AW$2007,MATCH($AU1881,$AU$8:$AU$2007,0)))</f>
        <v/>
      </c>
      <c r="AZ1881" s="31">
        <f>IF(OR($AS1881="",$C$6=""),"",TRIM(INDEX($A:$AP,ROW(),$C$6)&amp;""))</f>
        <v/>
      </c>
      <c r="BA1881" s="31">
        <f>IF($AZ1881="","",IF(COUNTIF($AZ$8:$AZ1881,$AZ1881)&gt;1,1,0))</f>
        <v/>
      </c>
    </row>
    <row r="1882">
      <c r="AR1882" s="31">
        <f>IF(OR($A$5="",$B$6="",ROW()&lt;$A$5),"",IF(INDEX($A:$AP,ROW(),$B$6)="","",INDEX($A:$AP,ROW(),$B$6)))</f>
        <v/>
      </c>
      <c r="AS1882" s="32">
        <f>IF($AR1882="","",IF(ISNUMBER($AR1882),IF($AR1882&gt;=10000000,IFERROR(DATE(INT($AR1882/10000),MOD(INT($AR1882/100),100),MOD($AR1882,100)),""),INT($AR1882)),IFERROR(DATE(--LEFT(LEFT(SUBSTITUTE(SUBSTITUTE(SUBSTITUTE(SUBSTITUTE(TRIM($AR1882),"-",""),".",""),"/","")," ",""),8),4),--MID(LEFT(SUBSTITUTE(SUBSTITUTE(SUBSTITUTE(SUBSTITUTE(TRIM($AR1882),"-",""),".",""),"/","")," ",""),8),5,2),--MID(LEFT(SUBSTITUTE(SUBSTITUTE(SUBSTITUTE(SUBSTITUTE(TRIM($AR1882),"-",""),".",""),"/","")," ",""),8),7,2)),"")))</f>
        <v/>
      </c>
      <c r="AT1882" s="33">
        <f>IF($AS1882="","",IF($F$6="",0,IF(ISNUMBER(INDEX($A:$AP,ROW(),$F$6)),INDEX($A:$AP,ROW(),$F$6),IFERROR(--SUBSTITUTE(SUBSTITUTE(TRIM(INDEX($A:$AP,ROW(),$F$6)),",",""),"원",""),0))))</f>
        <v/>
      </c>
      <c r="AU1882" s="31">
        <f>IF($AS1882="","",IF($AX1882&lt;&gt;"",SUBSTITUTE(SUBSTITUTE($AX1882,"-","")," ",""),"N:"&amp;$AV1882))</f>
        <v/>
      </c>
      <c r="AV1882" s="31">
        <f>IF(OR($AS1882="",$E$6=""),"",TRIM(INDEX($A:$AP,ROW(),$E$6)&amp;""))</f>
        <v/>
      </c>
      <c r="AW1882" s="31">
        <f>IF($AU1882="","",IF(MATCH($AU1882,$AU$8:$AU$2007,0)=ROW()-7,MAX($AW$7:$AW1881)+1,""))</f>
        <v/>
      </c>
      <c r="AX1882" s="31">
        <f>IF(OR($AS1882="",$D$6=""),"",TRIM(INDEX($A:$AP,ROW(),$D$6)&amp;""))</f>
        <v/>
      </c>
      <c r="AY1882" s="31">
        <f>IF($AU1882="","",INDEX($AW$8:$AW$2007,MATCH($AU1882,$AU$8:$AU$2007,0)))</f>
        <v/>
      </c>
      <c r="AZ1882" s="31">
        <f>IF(OR($AS1882="",$C$6=""),"",TRIM(INDEX($A:$AP,ROW(),$C$6)&amp;""))</f>
        <v/>
      </c>
      <c r="BA1882" s="31">
        <f>IF($AZ1882="","",IF(COUNTIF($AZ$8:$AZ1882,$AZ1882)&gt;1,1,0))</f>
        <v/>
      </c>
    </row>
    <row r="1883">
      <c r="AR1883" s="31">
        <f>IF(OR($A$5="",$B$6="",ROW()&lt;$A$5),"",IF(INDEX($A:$AP,ROW(),$B$6)="","",INDEX($A:$AP,ROW(),$B$6)))</f>
        <v/>
      </c>
      <c r="AS1883" s="32">
        <f>IF($AR1883="","",IF(ISNUMBER($AR1883),IF($AR1883&gt;=10000000,IFERROR(DATE(INT($AR1883/10000),MOD(INT($AR1883/100),100),MOD($AR1883,100)),""),INT($AR1883)),IFERROR(DATE(--LEFT(LEFT(SUBSTITUTE(SUBSTITUTE(SUBSTITUTE(SUBSTITUTE(TRIM($AR1883),"-",""),".",""),"/","")," ",""),8),4),--MID(LEFT(SUBSTITUTE(SUBSTITUTE(SUBSTITUTE(SUBSTITUTE(TRIM($AR1883),"-",""),".",""),"/","")," ",""),8),5,2),--MID(LEFT(SUBSTITUTE(SUBSTITUTE(SUBSTITUTE(SUBSTITUTE(TRIM($AR1883),"-",""),".",""),"/","")," ",""),8),7,2)),"")))</f>
        <v/>
      </c>
      <c r="AT1883" s="33">
        <f>IF($AS1883="","",IF($F$6="",0,IF(ISNUMBER(INDEX($A:$AP,ROW(),$F$6)),INDEX($A:$AP,ROW(),$F$6),IFERROR(--SUBSTITUTE(SUBSTITUTE(TRIM(INDEX($A:$AP,ROW(),$F$6)),",",""),"원",""),0))))</f>
        <v/>
      </c>
      <c r="AU1883" s="31">
        <f>IF($AS1883="","",IF($AX1883&lt;&gt;"",SUBSTITUTE(SUBSTITUTE($AX1883,"-","")," ",""),"N:"&amp;$AV1883))</f>
        <v/>
      </c>
      <c r="AV1883" s="31">
        <f>IF(OR($AS1883="",$E$6=""),"",TRIM(INDEX($A:$AP,ROW(),$E$6)&amp;""))</f>
        <v/>
      </c>
      <c r="AW1883" s="31">
        <f>IF($AU1883="","",IF(MATCH($AU1883,$AU$8:$AU$2007,0)=ROW()-7,MAX($AW$7:$AW1882)+1,""))</f>
        <v/>
      </c>
      <c r="AX1883" s="31">
        <f>IF(OR($AS1883="",$D$6=""),"",TRIM(INDEX($A:$AP,ROW(),$D$6)&amp;""))</f>
        <v/>
      </c>
      <c r="AY1883" s="31">
        <f>IF($AU1883="","",INDEX($AW$8:$AW$2007,MATCH($AU1883,$AU$8:$AU$2007,0)))</f>
        <v/>
      </c>
      <c r="AZ1883" s="31">
        <f>IF(OR($AS1883="",$C$6=""),"",TRIM(INDEX($A:$AP,ROW(),$C$6)&amp;""))</f>
        <v/>
      </c>
      <c r="BA1883" s="31">
        <f>IF($AZ1883="","",IF(COUNTIF($AZ$8:$AZ1883,$AZ1883)&gt;1,1,0))</f>
        <v/>
      </c>
    </row>
    <row r="1884">
      <c r="AR1884" s="31">
        <f>IF(OR($A$5="",$B$6="",ROW()&lt;$A$5),"",IF(INDEX($A:$AP,ROW(),$B$6)="","",INDEX($A:$AP,ROW(),$B$6)))</f>
        <v/>
      </c>
      <c r="AS1884" s="32">
        <f>IF($AR1884="","",IF(ISNUMBER($AR1884),IF($AR1884&gt;=10000000,IFERROR(DATE(INT($AR1884/10000),MOD(INT($AR1884/100),100),MOD($AR1884,100)),""),INT($AR1884)),IFERROR(DATE(--LEFT(LEFT(SUBSTITUTE(SUBSTITUTE(SUBSTITUTE(SUBSTITUTE(TRIM($AR1884),"-",""),".",""),"/","")," ",""),8),4),--MID(LEFT(SUBSTITUTE(SUBSTITUTE(SUBSTITUTE(SUBSTITUTE(TRIM($AR1884),"-",""),".",""),"/","")," ",""),8),5,2),--MID(LEFT(SUBSTITUTE(SUBSTITUTE(SUBSTITUTE(SUBSTITUTE(TRIM($AR1884),"-",""),".",""),"/","")," ",""),8),7,2)),"")))</f>
        <v/>
      </c>
      <c r="AT1884" s="33">
        <f>IF($AS1884="","",IF($F$6="",0,IF(ISNUMBER(INDEX($A:$AP,ROW(),$F$6)),INDEX($A:$AP,ROW(),$F$6),IFERROR(--SUBSTITUTE(SUBSTITUTE(TRIM(INDEX($A:$AP,ROW(),$F$6)),",",""),"원",""),0))))</f>
        <v/>
      </c>
      <c r="AU1884" s="31">
        <f>IF($AS1884="","",IF($AX1884&lt;&gt;"",SUBSTITUTE(SUBSTITUTE($AX1884,"-","")," ",""),"N:"&amp;$AV1884))</f>
        <v/>
      </c>
      <c r="AV1884" s="31">
        <f>IF(OR($AS1884="",$E$6=""),"",TRIM(INDEX($A:$AP,ROW(),$E$6)&amp;""))</f>
        <v/>
      </c>
      <c r="AW1884" s="31">
        <f>IF($AU1884="","",IF(MATCH($AU1884,$AU$8:$AU$2007,0)=ROW()-7,MAX($AW$7:$AW1883)+1,""))</f>
        <v/>
      </c>
      <c r="AX1884" s="31">
        <f>IF(OR($AS1884="",$D$6=""),"",TRIM(INDEX($A:$AP,ROW(),$D$6)&amp;""))</f>
        <v/>
      </c>
      <c r="AY1884" s="31">
        <f>IF($AU1884="","",INDEX($AW$8:$AW$2007,MATCH($AU1884,$AU$8:$AU$2007,0)))</f>
        <v/>
      </c>
      <c r="AZ1884" s="31">
        <f>IF(OR($AS1884="",$C$6=""),"",TRIM(INDEX($A:$AP,ROW(),$C$6)&amp;""))</f>
        <v/>
      </c>
      <c r="BA1884" s="31">
        <f>IF($AZ1884="","",IF(COUNTIF($AZ$8:$AZ1884,$AZ1884)&gt;1,1,0))</f>
        <v/>
      </c>
    </row>
    <row r="1885">
      <c r="AR1885" s="31">
        <f>IF(OR($A$5="",$B$6="",ROW()&lt;$A$5),"",IF(INDEX($A:$AP,ROW(),$B$6)="","",INDEX($A:$AP,ROW(),$B$6)))</f>
        <v/>
      </c>
      <c r="AS1885" s="32">
        <f>IF($AR1885="","",IF(ISNUMBER($AR1885),IF($AR1885&gt;=10000000,IFERROR(DATE(INT($AR1885/10000),MOD(INT($AR1885/100),100),MOD($AR1885,100)),""),INT($AR1885)),IFERROR(DATE(--LEFT(LEFT(SUBSTITUTE(SUBSTITUTE(SUBSTITUTE(SUBSTITUTE(TRIM($AR1885),"-",""),".",""),"/","")," ",""),8),4),--MID(LEFT(SUBSTITUTE(SUBSTITUTE(SUBSTITUTE(SUBSTITUTE(TRIM($AR1885),"-",""),".",""),"/","")," ",""),8),5,2),--MID(LEFT(SUBSTITUTE(SUBSTITUTE(SUBSTITUTE(SUBSTITUTE(TRIM($AR1885),"-",""),".",""),"/","")," ",""),8),7,2)),"")))</f>
        <v/>
      </c>
      <c r="AT1885" s="33">
        <f>IF($AS1885="","",IF($F$6="",0,IF(ISNUMBER(INDEX($A:$AP,ROW(),$F$6)),INDEX($A:$AP,ROW(),$F$6),IFERROR(--SUBSTITUTE(SUBSTITUTE(TRIM(INDEX($A:$AP,ROW(),$F$6)),",",""),"원",""),0))))</f>
        <v/>
      </c>
      <c r="AU1885" s="31">
        <f>IF($AS1885="","",IF($AX1885&lt;&gt;"",SUBSTITUTE(SUBSTITUTE($AX1885,"-","")," ",""),"N:"&amp;$AV1885))</f>
        <v/>
      </c>
      <c r="AV1885" s="31">
        <f>IF(OR($AS1885="",$E$6=""),"",TRIM(INDEX($A:$AP,ROW(),$E$6)&amp;""))</f>
        <v/>
      </c>
      <c r="AW1885" s="31">
        <f>IF($AU1885="","",IF(MATCH($AU1885,$AU$8:$AU$2007,0)=ROW()-7,MAX($AW$7:$AW1884)+1,""))</f>
        <v/>
      </c>
      <c r="AX1885" s="31">
        <f>IF(OR($AS1885="",$D$6=""),"",TRIM(INDEX($A:$AP,ROW(),$D$6)&amp;""))</f>
        <v/>
      </c>
      <c r="AY1885" s="31">
        <f>IF($AU1885="","",INDEX($AW$8:$AW$2007,MATCH($AU1885,$AU$8:$AU$2007,0)))</f>
        <v/>
      </c>
      <c r="AZ1885" s="31">
        <f>IF(OR($AS1885="",$C$6=""),"",TRIM(INDEX($A:$AP,ROW(),$C$6)&amp;""))</f>
        <v/>
      </c>
      <c r="BA1885" s="31">
        <f>IF($AZ1885="","",IF(COUNTIF($AZ$8:$AZ1885,$AZ1885)&gt;1,1,0))</f>
        <v/>
      </c>
    </row>
    <row r="1886">
      <c r="AR1886" s="31">
        <f>IF(OR($A$5="",$B$6="",ROW()&lt;$A$5),"",IF(INDEX($A:$AP,ROW(),$B$6)="","",INDEX($A:$AP,ROW(),$B$6)))</f>
        <v/>
      </c>
      <c r="AS1886" s="32">
        <f>IF($AR1886="","",IF(ISNUMBER($AR1886),IF($AR1886&gt;=10000000,IFERROR(DATE(INT($AR1886/10000),MOD(INT($AR1886/100),100),MOD($AR1886,100)),""),INT($AR1886)),IFERROR(DATE(--LEFT(LEFT(SUBSTITUTE(SUBSTITUTE(SUBSTITUTE(SUBSTITUTE(TRIM($AR1886),"-",""),".",""),"/","")," ",""),8),4),--MID(LEFT(SUBSTITUTE(SUBSTITUTE(SUBSTITUTE(SUBSTITUTE(TRIM($AR1886),"-",""),".",""),"/","")," ",""),8),5,2),--MID(LEFT(SUBSTITUTE(SUBSTITUTE(SUBSTITUTE(SUBSTITUTE(TRIM($AR1886),"-",""),".",""),"/","")," ",""),8),7,2)),"")))</f>
        <v/>
      </c>
      <c r="AT1886" s="33">
        <f>IF($AS1886="","",IF($F$6="",0,IF(ISNUMBER(INDEX($A:$AP,ROW(),$F$6)),INDEX($A:$AP,ROW(),$F$6),IFERROR(--SUBSTITUTE(SUBSTITUTE(TRIM(INDEX($A:$AP,ROW(),$F$6)),",",""),"원",""),0))))</f>
        <v/>
      </c>
      <c r="AU1886" s="31">
        <f>IF($AS1886="","",IF($AX1886&lt;&gt;"",SUBSTITUTE(SUBSTITUTE($AX1886,"-","")," ",""),"N:"&amp;$AV1886))</f>
        <v/>
      </c>
      <c r="AV1886" s="31">
        <f>IF(OR($AS1886="",$E$6=""),"",TRIM(INDEX($A:$AP,ROW(),$E$6)&amp;""))</f>
        <v/>
      </c>
      <c r="AW1886" s="31">
        <f>IF($AU1886="","",IF(MATCH($AU1886,$AU$8:$AU$2007,0)=ROW()-7,MAX($AW$7:$AW1885)+1,""))</f>
        <v/>
      </c>
      <c r="AX1886" s="31">
        <f>IF(OR($AS1886="",$D$6=""),"",TRIM(INDEX($A:$AP,ROW(),$D$6)&amp;""))</f>
        <v/>
      </c>
      <c r="AY1886" s="31">
        <f>IF($AU1886="","",INDEX($AW$8:$AW$2007,MATCH($AU1886,$AU$8:$AU$2007,0)))</f>
        <v/>
      </c>
      <c r="AZ1886" s="31">
        <f>IF(OR($AS1886="",$C$6=""),"",TRIM(INDEX($A:$AP,ROW(),$C$6)&amp;""))</f>
        <v/>
      </c>
      <c r="BA1886" s="31">
        <f>IF($AZ1886="","",IF(COUNTIF($AZ$8:$AZ1886,$AZ1886)&gt;1,1,0))</f>
        <v/>
      </c>
    </row>
    <row r="1887">
      <c r="AR1887" s="31">
        <f>IF(OR($A$5="",$B$6="",ROW()&lt;$A$5),"",IF(INDEX($A:$AP,ROW(),$B$6)="","",INDEX($A:$AP,ROW(),$B$6)))</f>
        <v/>
      </c>
      <c r="AS1887" s="32">
        <f>IF($AR1887="","",IF(ISNUMBER($AR1887),IF($AR1887&gt;=10000000,IFERROR(DATE(INT($AR1887/10000),MOD(INT($AR1887/100),100),MOD($AR1887,100)),""),INT($AR1887)),IFERROR(DATE(--LEFT(LEFT(SUBSTITUTE(SUBSTITUTE(SUBSTITUTE(SUBSTITUTE(TRIM($AR1887),"-",""),".",""),"/","")," ",""),8),4),--MID(LEFT(SUBSTITUTE(SUBSTITUTE(SUBSTITUTE(SUBSTITUTE(TRIM($AR1887),"-",""),".",""),"/","")," ",""),8),5,2),--MID(LEFT(SUBSTITUTE(SUBSTITUTE(SUBSTITUTE(SUBSTITUTE(TRIM($AR1887),"-",""),".",""),"/","")," ",""),8),7,2)),"")))</f>
        <v/>
      </c>
      <c r="AT1887" s="33">
        <f>IF($AS1887="","",IF($F$6="",0,IF(ISNUMBER(INDEX($A:$AP,ROW(),$F$6)),INDEX($A:$AP,ROW(),$F$6),IFERROR(--SUBSTITUTE(SUBSTITUTE(TRIM(INDEX($A:$AP,ROW(),$F$6)),",",""),"원",""),0))))</f>
        <v/>
      </c>
      <c r="AU1887" s="31">
        <f>IF($AS1887="","",IF($AX1887&lt;&gt;"",SUBSTITUTE(SUBSTITUTE($AX1887,"-","")," ",""),"N:"&amp;$AV1887))</f>
        <v/>
      </c>
      <c r="AV1887" s="31">
        <f>IF(OR($AS1887="",$E$6=""),"",TRIM(INDEX($A:$AP,ROW(),$E$6)&amp;""))</f>
        <v/>
      </c>
      <c r="AW1887" s="31">
        <f>IF($AU1887="","",IF(MATCH($AU1887,$AU$8:$AU$2007,0)=ROW()-7,MAX($AW$7:$AW1886)+1,""))</f>
        <v/>
      </c>
      <c r="AX1887" s="31">
        <f>IF(OR($AS1887="",$D$6=""),"",TRIM(INDEX($A:$AP,ROW(),$D$6)&amp;""))</f>
        <v/>
      </c>
      <c r="AY1887" s="31">
        <f>IF($AU1887="","",INDEX($AW$8:$AW$2007,MATCH($AU1887,$AU$8:$AU$2007,0)))</f>
        <v/>
      </c>
      <c r="AZ1887" s="31">
        <f>IF(OR($AS1887="",$C$6=""),"",TRIM(INDEX($A:$AP,ROW(),$C$6)&amp;""))</f>
        <v/>
      </c>
      <c r="BA1887" s="31">
        <f>IF($AZ1887="","",IF(COUNTIF($AZ$8:$AZ1887,$AZ1887)&gt;1,1,0))</f>
        <v/>
      </c>
    </row>
    <row r="1888">
      <c r="AR1888" s="31">
        <f>IF(OR($A$5="",$B$6="",ROW()&lt;$A$5),"",IF(INDEX($A:$AP,ROW(),$B$6)="","",INDEX($A:$AP,ROW(),$B$6)))</f>
        <v/>
      </c>
      <c r="AS1888" s="32">
        <f>IF($AR1888="","",IF(ISNUMBER($AR1888),IF($AR1888&gt;=10000000,IFERROR(DATE(INT($AR1888/10000),MOD(INT($AR1888/100),100),MOD($AR1888,100)),""),INT($AR1888)),IFERROR(DATE(--LEFT(LEFT(SUBSTITUTE(SUBSTITUTE(SUBSTITUTE(SUBSTITUTE(TRIM($AR1888),"-",""),".",""),"/","")," ",""),8),4),--MID(LEFT(SUBSTITUTE(SUBSTITUTE(SUBSTITUTE(SUBSTITUTE(TRIM($AR1888),"-",""),".",""),"/","")," ",""),8),5,2),--MID(LEFT(SUBSTITUTE(SUBSTITUTE(SUBSTITUTE(SUBSTITUTE(TRIM($AR1888),"-",""),".",""),"/","")," ",""),8),7,2)),"")))</f>
        <v/>
      </c>
      <c r="AT1888" s="33">
        <f>IF($AS1888="","",IF($F$6="",0,IF(ISNUMBER(INDEX($A:$AP,ROW(),$F$6)),INDEX($A:$AP,ROW(),$F$6),IFERROR(--SUBSTITUTE(SUBSTITUTE(TRIM(INDEX($A:$AP,ROW(),$F$6)),",",""),"원",""),0))))</f>
        <v/>
      </c>
      <c r="AU1888" s="31">
        <f>IF($AS1888="","",IF($AX1888&lt;&gt;"",SUBSTITUTE(SUBSTITUTE($AX1888,"-","")," ",""),"N:"&amp;$AV1888))</f>
        <v/>
      </c>
      <c r="AV1888" s="31">
        <f>IF(OR($AS1888="",$E$6=""),"",TRIM(INDEX($A:$AP,ROW(),$E$6)&amp;""))</f>
        <v/>
      </c>
      <c r="AW1888" s="31">
        <f>IF($AU1888="","",IF(MATCH($AU1888,$AU$8:$AU$2007,0)=ROW()-7,MAX($AW$7:$AW1887)+1,""))</f>
        <v/>
      </c>
      <c r="AX1888" s="31">
        <f>IF(OR($AS1888="",$D$6=""),"",TRIM(INDEX($A:$AP,ROW(),$D$6)&amp;""))</f>
        <v/>
      </c>
      <c r="AY1888" s="31">
        <f>IF($AU1888="","",INDEX($AW$8:$AW$2007,MATCH($AU1888,$AU$8:$AU$2007,0)))</f>
        <v/>
      </c>
      <c r="AZ1888" s="31">
        <f>IF(OR($AS1888="",$C$6=""),"",TRIM(INDEX($A:$AP,ROW(),$C$6)&amp;""))</f>
        <v/>
      </c>
      <c r="BA1888" s="31">
        <f>IF($AZ1888="","",IF(COUNTIF($AZ$8:$AZ1888,$AZ1888)&gt;1,1,0))</f>
        <v/>
      </c>
    </row>
    <row r="1889">
      <c r="AR1889" s="31">
        <f>IF(OR($A$5="",$B$6="",ROW()&lt;$A$5),"",IF(INDEX($A:$AP,ROW(),$B$6)="","",INDEX($A:$AP,ROW(),$B$6)))</f>
        <v/>
      </c>
      <c r="AS1889" s="32">
        <f>IF($AR1889="","",IF(ISNUMBER($AR1889),IF($AR1889&gt;=10000000,IFERROR(DATE(INT($AR1889/10000),MOD(INT($AR1889/100),100),MOD($AR1889,100)),""),INT($AR1889)),IFERROR(DATE(--LEFT(LEFT(SUBSTITUTE(SUBSTITUTE(SUBSTITUTE(SUBSTITUTE(TRIM($AR1889),"-",""),".",""),"/","")," ",""),8),4),--MID(LEFT(SUBSTITUTE(SUBSTITUTE(SUBSTITUTE(SUBSTITUTE(TRIM($AR1889),"-",""),".",""),"/","")," ",""),8),5,2),--MID(LEFT(SUBSTITUTE(SUBSTITUTE(SUBSTITUTE(SUBSTITUTE(TRIM($AR1889),"-",""),".",""),"/","")," ",""),8),7,2)),"")))</f>
        <v/>
      </c>
      <c r="AT1889" s="33">
        <f>IF($AS1889="","",IF($F$6="",0,IF(ISNUMBER(INDEX($A:$AP,ROW(),$F$6)),INDEX($A:$AP,ROW(),$F$6),IFERROR(--SUBSTITUTE(SUBSTITUTE(TRIM(INDEX($A:$AP,ROW(),$F$6)),",",""),"원",""),0))))</f>
        <v/>
      </c>
      <c r="AU1889" s="31">
        <f>IF($AS1889="","",IF($AX1889&lt;&gt;"",SUBSTITUTE(SUBSTITUTE($AX1889,"-","")," ",""),"N:"&amp;$AV1889))</f>
        <v/>
      </c>
      <c r="AV1889" s="31">
        <f>IF(OR($AS1889="",$E$6=""),"",TRIM(INDEX($A:$AP,ROW(),$E$6)&amp;""))</f>
        <v/>
      </c>
      <c r="AW1889" s="31">
        <f>IF($AU1889="","",IF(MATCH($AU1889,$AU$8:$AU$2007,0)=ROW()-7,MAX($AW$7:$AW1888)+1,""))</f>
        <v/>
      </c>
      <c r="AX1889" s="31">
        <f>IF(OR($AS1889="",$D$6=""),"",TRIM(INDEX($A:$AP,ROW(),$D$6)&amp;""))</f>
        <v/>
      </c>
      <c r="AY1889" s="31">
        <f>IF($AU1889="","",INDEX($AW$8:$AW$2007,MATCH($AU1889,$AU$8:$AU$2007,0)))</f>
        <v/>
      </c>
      <c r="AZ1889" s="31">
        <f>IF(OR($AS1889="",$C$6=""),"",TRIM(INDEX($A:$AP,ROW(),$C$6)&amp;""))</f>
        <v/>
      </c>
      <c r="BA1889" s="31">
        <f>IF($AZ1889="","",IF(COUNTIF($AZ$8:$AZ1889,$AZ1889)&gt;1,1,0))</f>
        <v/>
      </c>
    </row>
    <row r="1890">
      <c r="AR1890" s="31">
        <f>IF(OR($A$5="",$B$6="",ROW()&lt;$A$5),"",IF(INDEX($A:$AP,ROW(),$B$6)="","",INDEX($A:$AP,ROW(),$B$6)))</f>
        <v/>
      </c>
      <c r="AS1890" s="32">
        <f>IF($AR1890="","",IF(ISNUMBER($AR1890),IF($AR1890&gt;=10000000,IFERROR(DATE(INT($AR1890/10000),MOD(INT($AR1890/100),100),MOD($AR1890,100)),""),INT($AR1890)),IFERROR(DATE(--LEFT(LEFT(SUBSTITUTE(SUBSTITUTE(SUBSTITUTE(SUBSTITUTE(TRIM($AR1890),"-",""),".",""),"/","")," ",""),8),4),--MID(LEFT(SUBSTITUTE(SUBSTITUTE(SUBSTITUTE(SUBSTITUTE(TRIM($AR1890),"-",""),".",""),"/","")," ",""),8),5,2),--MID(LEFT(SUBSTITUTE(SUBSTITUTE(SUBSTITUTE(SUBSTITUTE(TRIM($AR1890),"-",""),".",""),"/","")," ",""),8),7,2)),"")))</f>
        <v/>
      </c>
      <c r="AT1890" s="33">
        <f>IF($AS1890="","",IF($F$6="",0,IF(ISNUMBER(INDEX($A:$AP,ROW(),$F$6)),INDEX($A:$AP,ROW(),$F$6),IFERROR(--SUBSTITUTE(SUBSTITUTE(TRIM(INDEX($A:$AP,ROW(),$F$6)),",",""),"원",""),0))))</f>
        <v/>
      </c>
      <c r="AU1890" s="31">
        <f>IF($AS1890="","",IF($AX1890&lt;&gt;"",SUBSTITUTE(SUBSTITUTE($AX1890,"-","")," ",""),"N:"&amp;$AV1890))</f>
        <v/>
      </c>
      <c r="AV1890" s="31">
        <f>IF(OR($AS1890="",$E$6=""),"",TRIM(INDEX($A:$AP,ROW(),$E$6)&amp;""))</f>
        <v/>
      </c>
      <c r="AW1890" s="31">
        <f>IF($AU1890="","",IF(MATCH($AU1890,$AU$8:$AU$2007,0)=ROW()-7,MAX($AW$7:$AW1889)+1,""))</f>
        <v/>
      </c>
      <c r="AX1890" s="31">
        <f>IF(OR($AS1890="",$D$6=""),"",TRIM(INDEX($A:$AP,ROW(),$D$6)&amp;""))</f>
        <v/>
      </c>
      <c r="AY1890" s="31">
        <f>IF($AU1890="","",INDEX($AW$8:$AW$2007,MATCH($AU1890,$AU$8:$AU$2007,0)))</f>
        <v/>
      </c>
      <c r="AZ1890" s="31">
        <f>IF(OR($AS1890="",$C$6=""),"",TRIM(INDEX($A:$AP,ROW(),$C$6)&amp;""))</f>
        <v/>
      </c>
      <c r="BA1890" s="31">
        <f>IF($AZ1890="","",IF(COUNTIF($AZ$8:$AZ1890,$AZ1890)&gt;1,1,0))</f>
        <v/>
      </c>
    </row>
    <row r="1891">
      <c r="AR1891" s="31">
        <f>IF(OR($A$5="",$B$6="",ROW()&lt;$A$5),"",IF(INDEX($A:$AP,ROW(),$B$6)="","",INDEX($A:$AP,ROW(),$B$6)))</f>
        <v/>
      </c>
      <c r="AS1891" s="32">
        <f>IF($AR1891="","",IF(ISNUMBER($AR1891),IF($AR1891&gt;=10000000,IFERROR(DATE(INT($AR1891/10000),MOD(INT($AR1891/100),100),MOD($AR1891,100)),""),INT($AR1891)),IFERROR(DATE(--LEFT(LEFT(SUBSTITUTE(SUBSTITUTE(SUBSTITUTE(SUBSTITUTE(TRIM($AR1891),"-",""),".",""),"/","")," ",""),8),4),--MID(LEFT(SUBSTITUTE(SUBSTITUTE(SUBSTITUTE(SUBSTITUTE(TRIM($AR1891),"-",""),".",""),"/","")," ",""),8),5,2),--MID(LEFT(SUBSTITUTE(SUBSTITUTE(SUBSTITUTE(SUBSTITUTE(TRIM($AR1891),"-",""),".",""),"/","")," ",""),8),7,2)),"")))</f>
        <v/>
      </c>
      <c r="AT1891" s="33">
        <f>IF($AS1891="","",IF($F$6="",0,IF(ISNUMBER(INDEX($A:$AP,ROW(),$F$6)),INDEX($A:$AP,ROW(),$F$6),IFERROR(--SUBSTITUTE(SUBSTITUTE(TRIM(INDEX($A:$AP,ROW(),$F$6)),",",""),"원",""),0))))</f>
        <v/>
      </c>
      <c r="AU1891" s="31">
        <f>IF($AS1891="","",IF($AX1891&lt;&gt;"",SUBSTITUTE(SUBSTITUTE($AX1891,"-","")," ",""),"N:"&amp;$AV1891))</f>
        <v/>
      </c>
      <c r="AV1891" s="31">
        <f>IF(OR($AS1891="",$E$6=""),"",TRIM(INDEX($A:$AP,ROW(),$E$6)&amp;""))</f>
        <v/>
      </c>
      <c r="AW1891" s="31">
        <f>IF($AU1891="","",IF(MATCH($AU1891,$AU$8:$AU$2007,0)=ROW()-7,MAX($AW$7:$AW1890)+1,""))</f>
        <v/>
      </c>
      <c r="AX1891" s="31">
        <f>IF(OR($AS1891="",$D$6=""),"",TRIM(INDEX($A:$AP,ROW(),$D$6)&amp;""))</f>
        <v/>
      </c>
      <c r="AY1891" s="31">
        <f>IF($AU1891="","",INDEX($AW$8:$AW$2007,MATCH($AU1891,$AU$8:$AU$2007,0)))</f>
        <v/>
      </c>
      <c r="AZ1891" s="31">
        <f>IF(OR($AS1891="",$C$6=""),"",TRIM(INDEX($A:$AP,ROW(),$C$6)&amp;""))</f>
        <v/>
      </c>
      <c r="BA1891" s="31">
        <f>IF($AZ1891="","",IF(COUNTIF($AZ$8:$AZ1891,$AZ1891)&gt;1,1,0))</f>
        <v/>
      </c>
    </row>
    <row r="1892">
      <c r="AR1892" s="31">
        <f>IF(OR($A$5="",$B$6="",ROW()&lt;$A$5),"",IF(INDEX($A:$AP,ROW(),$B$6)="","",INDEX($A:$AP,ROW(),$B$6)))</f>
        <v/>
      </c>
      <c r="AS1892" s="32">
        <f>IF($AR1892="","",IF(ISNUMBER($AR1892),IF($AR1892&gt;=10000000,IFERROR(DATE(INT($AR1892/10000),MOD(INT($AR1892/100),100),MOD($AR1892,100)),""),INT($AR1892)),IFERROR(DATE(--LEFT(LEFT(SUBSTITUTE(SUBSTITUTE(SUBSTITUTE(SUBSTITUTE(TRIM($AR1892),"-",""),".",""),"/","")," ",""),8),4),--MID(LEFT(SUBSTITUTE(SUBSTITUTE(SUBSTITUTE(SUBSTITUTE(TRIM($AR1892),"-",""),".",""),"/","")," ",""),8),5,2),--MID(LEFT(SUBSTITUTE(SUBSTITUTE(SUBSTITUTE(SUBSTITUTE(TRIM($AR1892),"-",""),".",""),"/","")," ",""),8),7,2)),"")))</f>
        <v/>
      </c>
      <c r="AT1892" s="33">
        <f>IF($AS1892="","",IF($F$6="",0,IF(ISNUMBER(INDEX($A:$AP,ROW(),$F$6)),INDEX($A:$AP,ROW(),$F$6),IFERROR(--SUBSTITUTE(SUBSTITUTE(TRIM(INDEX($A:$AP,ROW(),$F$6)),",",""),"원",""),0))))</f>
        <v/>
      </c>
      <c r="AU1892" s="31">
        <f>IF($AS1892="","",IF($AX1892&lt;&gt;"",SUBSTITUTE(SUBSTITUTE($AX1892,"-","")," ",""),"N:"&amp;$AV1892))</f>
        <v/>
      </c>
      <c r="AV1892" s="31">
        <f>IF(OR($AS1892="",$E$6=""),"",TRIM(INDEX($A:$AP,ROW(),$E$6)&amp;""))</f>
        <v/>
      </c>
      <c r="AW1892" s="31">
        <f>IF($AU1892="","",IF(MATCH($AU1892,$AU$8:$AU$2007,0)=ROW()-7,MAX($AW$7:$AW1891)+1,""))</f>
        <v/>
      </c>
      <c r="AX1892" s="31">
        <f>IF(OR($AS1892="",$D$6=""),"",TRIM(INDEX($A:$AP,ROW(),$D$6)&amp;""))</f>
        <v/>
      </c>
      <c r="AY1892" s="31">
        <f>IF($AU1892="","",INDEX($AW$8:$AW$2007,MATCH($AU1892,$AU$8:$AU$2007,0)))</f>
        <v/>
      </c>
      <c r="AZ1892" s="31">
        <f>IF(OR($AS1892="",$C$6=""),"",TRIM(INDEX($A:$AP,ROW(),$C$6)&amp;""))</f>
        <v/>
      </c>
      <c r="BA1892" s="31">
        <f>IF($AZ1892="","",IF(COUNTIF($AZ$8:$AZ1892,$AZ1892)&gt;1,1,0))</f>
        <v/>
      </c>
    </row>
    <row r="1893">
      <c r="AR1893" s="31">
        <f>IF(OR($A$5="",$B$6="",ROW()&lt;$A$5),"",IF(INDEX($A:$AP,ROW(),$B$6)="","",INDEX($A:$AP,ROW(),$B$6)))</f>
        <v/>
      </c>
      <c r="AS1893" s="32">
        <f>IF($AR1893="","",IF(ISNUMBER($AR1893),IF($AR1893&gt;=10000000,IFERROR(DATE(INT($AR1893/10000),MOD(INT($AR1893/100),100),MOD($AR1893,100)),""),INT($AR1893)),IFERROR(DATE(--LEFT(LEFT(SUBSTITUTE(SUBSTITUTE(SUBSTITUTE(SUBSTITUTE(TRIM($AR1893),"-",""),".",""),"/","")," ",""),8),4),--MID(LEFT(SUBSTITUTE(SUBSTITUTE(SUBSTITUTE(SUBSTITUTE(TRIM($AR1893),"-",""),".",""),"/","")," ",""),8),5,2),--MID(LEFT(SUBSTITUTE(SUBSTITUTE(SUBSTITUTE(SUBSTITUTE(TRIM($AR1893),"-",""),".",""),"/","")," ",""),8),7,2)),"")))</f>
        <v/>
      </c>
      <c r="AT1893" s="33">
        <f>IF($AS1893="","",IF($F$6="",0,IF(ISNUMBER(INDEX($A:$AP,ROW(),$F$6)),INDEX($A:$AP,ROW(),$F$6),IFERROR(--SUBSTITUTE(SUBSTITUTE(TRIM(INDEX($A:$AP,ROW(),$F$6)),",",""),"원",""),0))))</f>
        <v/>
      </c>
      <c r="AU1893" s="31">
        <f>IF($AS1893="","",IF($AX1893&lt;&gt;"",SUBSTITUTE(SUBSTITUTE($AX1893,"-","")," ",""),"N:"&amp;$AV1893))</f>
        <v/>
      </c>
      <c r="AV1893" s="31">
        <f>IF(OR($AS1893="",$E$6=""),"",TRIM(INDEX($A:$AP,ROW(),$E$6)&amp;""))</f>
        <v/>
      </c>
      <c r="AW1893" s="31">
        <f>IF($AU1893="","",IF(MATCH($AU1893,$AU$8:$AU$2007,0)=ROW()-7,MAX($AW$7:$AW1892)+1,""))</f>
        <v/>
      </c>
      <c r="AX1893" s="31">
        <f>IF(OR($AS1893="",$D$6=""),"",TRIM(INDEX($A:$AP,ROW(),$D$6)&amp;""))</f>
        <v/>
      </c>
      <c r="AY1893" s="31">
        <f>IF($AU1893="","",INDEX($AW$8:$AW$2007,MATCH($AU1893,$AU$8:$AU$2007,0)))</f>
        <v/>
      </c>
      <c r="AZ1893" s="31">
        <f>IF(OR($AS1893="",$C$6=""),"",TRIM(INDEX($A:$AP,ROW(),$C$6)&amp;""))</f>
        <v/>
      </c>
      <c r="BA1893" s="31">
        <f>IF($AZ1893="","",IF(COUNTIF($AZ$8:$AZ1893,$AZ1893)&gt;1,1,0))</f>
        <v/>
      </c>
    </row>
    <row r="1894">
      <c r="AR1894" s="31">
        <f>IF(OR($A$5="",$B$6="",ROW()&lt;$A$5),"",IF(INDEX($A:$AP,ROW(),$B$6)="","",INDEX($A:$AP,ROW(),$B$6)))</f>
        <v/>
      </c>
      <c r="AS1894" s="32">
        <f>IF($AR1894="","",IF(ISNUMBER($AR1894),IF($AR1894&gt;=10000000,IFERROR(DATE(INT($AR1894/10000),MOD(INT($AR1894/100),100),MOD($AR1894,100)),""),INT($AR1894)),IFERROR(DATE(--LEFT(LEFT(SUBSTITUTE(SUBSTITUTE(SUBSTITUTE(SUBSTITUTE(TRIM($AR1894),"-",""),".",""),"/","")," ",""),8),4),--MID(LEFT(SUBSTITUTE(SUBSTITUTE(SUBSTITUTE(SUBSTITUTE(TRIM($AR1894),"-",""),".",""),"/","")," ",""),8),5,2),--MID(LEFT(SUBSTITUTE(SUBSTITUTE(SUBSTITUTE(SUBSTITUTE(TRIM($AR1894),"-",""),".",""),"/","")," ",""),8),7,2)),"")))</f>
        <v/>
      </c>
      <c r="AT1894" s="33">
        <f>IF($AS1894="","",IF($F$6="",0,IF(ISNUMBER(INDEX($A:$AP,ROW(),$F$6)),INDEX($A:$AP,ROW(),$F$6),IFERROR(--SUBSTITUTE(SUBSTITUTE(TRIM(INDEX($A:$AP,ROW(),$F$6)),",",""),"원",""),0))))</f>
        <v/>
      </c>
      <c r="AU1894" s="31">
        <f>IF($AS1894="","",IF($AX1894&lt;&gt;"",SUBSTITUTE(SUBSTITUTE($AX1894,"-","")," ",""),"N:"&amp;$AV1894))</f>
        <v/>
      </c>
      <c r="AV1894" s="31">
        <f>IF(OR($AS1894="",$E$6=""),"",TRIM(INDEX($A:$AP,ROW(),$E$6)&amp;""))</f>
        <v/>
      </c>
      <c r="AW1894" s="31">
        <f>IF($AU1894="","",IF(MATCH($AU1894,$AU$8:$AU$2007,0)=ROW()-7,MAX($AW$7:$AW1893)+1,""))</f>
        <v/>
      </c>
      <c r="AX1894" s="31">
        <f>IF(OR($AS1894="",$D$6=""),"",TRIM(INDEX($A:$AP,ROW(),$D$6)&amp;""))</f>
        <v/>
      </c>
      <c r="AY1894" s="31">
        <f>IF($AU1894="","",INDEX($AW$8:$AW$2007,MATCH($AU1894,$AU$8:$AU$2007,0)))</f>
        <v/>
      </c>
      <c r="AZ1894" s="31">
        <f>IF(OR($AS1894="",$C$6=""),"",TRIM(INDEX($A:$AP,ROW(),$C$6)&amp;""))</f>
        <v/>
      </c>
      <c r="BA1894" s="31">
        <f>IF($AZ1894="","",IF(COUNTIF($AZ$8:$AZ1894,$AZ1894)&gt;1,1,0))</f>
        <v/>
      </c>
    </row>
    <row r="1895">
      <c r="AR1895" s="31">
        <f>IF(OR($A$5="",$B$6="",ROW()&lt;$A$5),"",IF(INDEX($A:$AP,ROW(),$B$6)="","",INDEX($A:$AP,ROW(),$B$6)))</f>
        <v/>
      </c>
      <c r="AS1895" s="32">
        <f>IF($AR1895="","",IF(ISNUMBER($AR1895),IF($AR1895&gt;=10000000,IFERROR(DATE(INT($AR1895/10000),MOD(INT($AR1895/100),100),MOD($AR1895,100)),""),INT($AR1895)),IFERROR(DATE(--LEFT(LEFT(SUBSTITUTE(SUBSTITUTE(SUBSTITUTE(SUBSTITUTE(TRIM($AR1895),"-",""),".",""),"/","")," ",""),8),4),--MID(LEFT(SUBSTITUTE(SUBSTITUTE(SUBSTITUTE(SUBSTITUTE(TRIM($AR1895),"-",""),".",""),"/","")," ",""),8),5,2),--MID(LEFT(SUBSTITUTE(SUBSTITUTE(SUBSTITUTE(SUBSTITUTE(TRIM($AR1895),"-",""),".",""),"/","")," ",""),8),7,2)),"")))</f>
        <v/>
      </c>
      <c r="AT1895" s="33">
        <f>IF($AS1895="","",IF($F$6="",0,IF(ISNUMBER(INDEX($A:$AP,ROW(),$F$6)),INDEX($A:$AP,ROW(),$F$6),IFERROR(--SUBSTITUTE(SUBSTITUTE(TRIM(INDEX($A:$AP,ROW(),$F$6)),",",""),"원",""),0))))</f>
        <v/>
      </c>
      <c r="AU1895" s="31">
        <f>IF($AS1895="","",IF($AX1895&lt;&gt;"",SUBSTITUTE(SUBSTITUTE($AX1895,"-","")," ",""),"N:"&amp;$AV1895))</f>
        <v/>
      </c>
      <c r="AV1895" s="31">
        <f>IF(OR($AS1895="",$E$6=""),"",TRIM(INDEX($A:$AP,ROW(),$E$6)&amp;""))</f>
        <v/>
      </c>
      <c r="AW1895" s="31">
        <f>IF($AU1895="","",IF(MATCH($AU1895,$AU$8:$AU$2007,0)=ROW()-7,MAX($AW$7:$AW1894)+1,""))</f>
        <v/>
      </c>
      <c r="AX1895" s="31">
        <f>IF(OR($AS1895="",$D$6=""),"",TRIM(INDEX($A:$AP,ROW(),$D$6)&amp;""))</f>
        <v/>
      </c>
      <c r="AY1895" s="31">
        <f>IF($AU1895="","",INDEX($AW$8:$AW$2007,MATCH($AU1895,$AU$8:$AU$2007,0)))</f>
        <v/>
      </c>
      <c r="AZ1895" s="31">
        <f>IF(OR($AS1895="",$C$6=""),"",TRIM(INDEX($A:$AP,ROW(),$C$6)&amp;""))</f>
        <v/>
      </c>
      <c r="BA1895" s="31">
        <f>IF($AZ1895="","",IF(COUNTIF($AZ$8:$AZ1895,$AZ1895)&gt;1,1,0))</f>
        <v/>
      </c>
    </row>
    <row r="1896">
      <c r="AR1896" s="31">
        <f>IF(OR($A$5="",$B$6="",ROW()&lt;$A$5),"",IF(INDEX($A:$AP,ROW(),$B$6)="","",INDEX($A:$AP,ROW(),$B$6)))</f>
        <v/>
      </c>
      <c r="AS1896" s="32">
        <f>IF($AR1896="","",IF(ISNUMBER($AR1896),IF($AR1896&gt;=10000000,IFERROR(DATE(INT($AR1896/10000),MOD(INT($AR1896/100),100),MOD($AR1896,100)),""),INT($AR1896)),IFERROR(DATE(--LEFT(LEFT(SUBSTITUTE(SUBSTITUTE(SUBSTITUTE(SUBSTITUTE(TRIM($AR1896),"-",""),".",""),"/","")," ",""),8),4),--MID(LEFT(SUBSTITUTE(SUBSTITUTE(SUBSTITUTE(SUBSTITUTE(TRIM($AR1896),"-",""),".",""),"/","")," ",""),8),5,2),--MID(LEFT(SUBSTITUTE(SUBSTITUTE(SUBSTITUTE(SUBSTITUTE(TRIM($AR1896),"-",""),".",""),"/","")," ",""),8),7,2)),"")))</f>
        <v/>
      </c>
      <c r="AT1896" s="33">
        <f>IF($AS1896="","",IF($F$6="",0,IF(ISNUMBER(INDEX($A:$AP,ROW(),$F$6)),INDEX($A:$AP,ROW(),$F$6),IFERROR(--SUBSTITUTE(SUBSTITUTE(TRIM(INDEX($A:$AP,ROW(),$F$6)),",",""),"원",""),0))))</f>
        <v/>
      </c>
      <c r="AU1896" s="31">
        <f>IF($AS1896="","",IF($AX1896&lt;&gt;"",SUBSTITUTE(SUBSTITUTE($AX1896,"-","")," ",""),"N:"&amp;$AV1896))</f>
        <v/>
      </c>
      <c r="AV1896" s="31">
        <f>IF(OR($AS1896="",$E$6=""),"",TRIM(INDEX($A:$AP,ROW(),$E$6)&amp;""))</f>
        <v/>
      </c>
      <c r="AW1896" s="31">
        <f>IF($AU1896="","",IF(MATCH($AU1896,$AU$8:$AU$2007,0)=ROW()-7,MAX($AW$7:$AW1895)+1,""))</f>
        <v/>
      </c>
      <c r="AX1896" s="31">
        <f>IF(OR($AS1896="",$D$6=""),"",TRIM(INDEX($A:$AP,ROW(),$D$6)&amp;""))</f>
        <v/>
      </c>
      <c r="AY1896" s="31">
        <f>IF($AU1896="","",INDEX($AW$8:$AW$2007,MATCH($AU1896,$AU$8:$AU$2007,0)))</f>
        <v/>
      </c>
      <c r="AZ1896" s="31">
        <f>IF(OR($AS1896="",$C$6=""),"",TRIM(INDEX($A:$AP,ROW(),$C$6)&amp;""))</f>
        <v/>
      </c>
      <c r="BA1896" s="31">
        <f>IF($AZ1896="","",IF(COUNTIF($AZ$8:$AZ1896,$AZ1896)&gt;1,1,0))</f>
        <v/>
      </c>
    </row>
    <row r="1897">
      <c r="AR1897" s="31">
        <f>IF(OR($A$5="",$B$6="",ROW()&lt;$A$5),"",IF(INDEX($A:$AP,ROW(),$B$6)="","",INDEX($A:$AP,ROW(),$B$6)))</f>
        <v/>
      </c>
      <c r="AS1897" s="32">
        <f>IF($AR1897="","",IF(ISNUMBER($AR1897),IF($AR1897&gt;=10000000,IFERROR(DATE(INT($AR1897/10000),MOD(INT($AR1897/100),100),MOD($AR1897,100)),""),INT($AR1897)),IFERROR(DATE(--LEFT(LEFT(SUBSTITUTE(SUBSTITUTE(SUBSTITUTE(SUBSTITUTE(TRIM($AR1897),"-",""),".",""),"/","")," ",""),8),4),--MID(LEFT(SUBSTITUTE(SUBSTITUTE(SUBSTITUTE(SUBSTITUTE(TRIM($AR1897),"-",""),".",""),"/","")," ",""),8),5,2),--MID(LEFT(SUBSTITUTE(SUBSTITUTE(SUBSTITUTE(SUBSTITUTE(TRIM($AR1897),"-",""),".",""),"/","")," ",""),8),7,2)),"")))</f>
        <v/>
      </c>
      <c r="AT1897" s="33">
        <f>IF($AS1897="","",IF($F$6="",0,IF(ISNUMBER(INDEX($A:$AP,ROW(),$F$6)),INDEX($A:$AP,ROW(),$F$6),IFERROR(--SUBSTITUTE(SUBSTITUTE(TRIM(INDEX($A:$AP,ROW(),$F$6)),",",""),"원",""),0))))</f>
        <v/>
      </c>
      <c r="AU1897" s="31">
        <f>IF($AS1897="","",IF($AX1897&lt;&gt;"",SUBSTITUTE(SUBSTITUTE($AX1897,"-","")," ",""),"N:"&amp;$AV1897))</f>
        <v/>
      </c>
      <c r="AV1897" s="31">
        <f>IF(OR($AS1897="",$E$6=""),"",TRIM(INDEX($A:$AP,ROW(),$E$6)&amp;""))</f>
        <v/>
      </c>
      <c r="AW1897" s="31">
        <f>IF($AU1897="","",IF(MATCH($AU1897,$AU$8:$AU$2007,0)=ROW()-7,MAX($AW$7:$AW1896)+1,""))</f>
        <v/>
      </c>
      <c r="AX1897" s="31">
        <f>IF(OR($AS1897="",$D$6=""),"",TRIM(INDEX($A:$AP,ROW(),$D$6)&amp;""))</f>
        <v/>
      </c>
      <c r="AY1897" s="31">
        <f>IF($AU1897="","",INDEX($AW$8:$AW$2007,MATCH($AU1897,$AU$8:$AU$2007,0)))</f>
        <v/>
      </c>
      <c r="AZ1897" s="31">
        <f>IF(OR($AS1897="",$C$6=""),"",TRIM(INDEX($A:$AP,ROW(),$C$6)&amp;""))</f>
        <v/>
      </c>
      <c r="BA1897" s="31">
        <f>IF($AZ1897="","",IF(COUNTIF($AZ$8:$AZ1897,$AZ1897)&gt;1,1,0))</f>
        <v/>
      </c>
    </row>
    <row r="1898">
      <c r="AR1898" s="31">
        <f>IF(OR($A$5="",$B$6="",ROW()&lt;$A$5),"",IF(INDEX($A:$AP,ROW(),$B$6)="","",INDEX($A:$AP,ROW(),$B$6)))</f>
        <v/>
      </c>
      <c r="AS1898" s="32">
        <f>IF($AR1898="","",IF(ISNUMBER($AR1898),IF($AR1898&gt;=10000000,IFERROR(DATE(INT($AR1898/10000),MOD(INT($AR1898/100),100),MOD($AR1898,100)),""),INT($AR1898)),IFERROR(DATE(--LEFT(LEFT(SUBSTITUTE(SUBSTITUTE(SUBSTITUTE(SUBSTITUTE(TRIM($AR1898),"-",""),".",""),"/","")," ",""),8),4),--MID(LEFT(SUBSTITUTE(SUBSTITUTE(SUBSTITUTE(SUBSTITUTE(TRIM($AR1898),"-",""),".",""),"/","")," ",""),8),5,2),--MID(LEFT(SUBSTITUTE(SUBSTITUTE(SUBSTITUTE(SUBSTITUTE(TRIM($AR1898),"-",""),".",""),"/","")," ",""),8),7,2)),"")))</f>
        <v/>
      </c>
      <c r="AT1898" s="33">
        <f>IF($AS1898="","",IF($F$6="",0,IF(ISNUMBER(INDEX($A:$AP,ROW(),$F$6)),INDEX($A:$AP,ROW(),$F$6),IFERROR(--SUBSTITUTE(SUBSTITUTE(TRIM(INDEX($A:$AP,ROW(),$F$6)),",",""),"원",""),0))))</f>
        <v/>
      </c>
      <c r="AU1898" s="31">
        <f>IF($AS1898="","",IF($AX1898&lt;&gt;"",SUBSTITUTE(SUBSTITUTE($AX1898,"-","")," ",""),"N:"&amp;$AV1898))</f>
        <v/>
      </c>
      <c r="AV1898" s="31">
        <f>IF(OR($AS1898="",$E$6=""),"",TRIM(INDEX($A:$AP,ROW(),$E$6)&amp;""))</f>
        <v/>
      </c>
      <c r="AW1898" s="31">
        <f>IF($AU1898="","",IF(MATCH($AU1898,$AU$8:$AU$2007,0)=ROW()-7,MAX($AW$7:$AW1897)+1,""))</f>
        <v/>
      </c>
      <c r="AX1898" s="31">
        <f>IF(OR($AS1898="",$D$6=""),"",TRIM(INDEX($A:$AP,ROW(),$D$6)&amp;""))</f>
        <v/>
      </c>
      <c r="AY1898" s="31">
        <f>IF($AU1898="","",INDEX($AW$8:$AW$2007,MATCH($AU1898,$AU$8:$AU$2007,0)))</f>
        <v/>
      </c>
      <c r="AZ1898" s="31">
        <f>IF(OR($AS1898="",$C$6=""),"",TRIM(INDEX($A:$AP,ROW(),$C$6)&amp;""))</f>
        <v/>
      </c>
      <c r="BA1898" s="31">
        <f>IF($AZ1898="","",IF(COUNTIF($AZ$8:$AZ1898,$AZ1898)&gt;1,1,0))</f>
        <v/>
      </c>
    </row>
    <row r="1899">
      <c r="AR1899" s="31">
        <f>IF(OR($A$5="",$B$6="",ROW()&lt;$A$5),"",IF(INDEX($A:$AP,ROW(),$B$6)="","",INDEX($A:$AP,ROW(),$B$6)))</f>
        <v/>
      </c>
      <c r="AS1899" s="32">
        <f>IF($AR1899="","",IF(ISNUMBER($AR1899),IF($AR1899&gt;=10000000,IFERROR(DATE(INT($AR1899/10000),MOD(INT($AR1899/100),100),MOD($AR1899,100)),""),INT($AR1899)),IFERROR(DATE(--LEFT(LEFT(SUBSTITUTE(SUBSTITUTE(SUBSTITUTE(SUBSTITUTE(TRIM($AR1899),"-",""),".",""),"/","")," ",""),8),4),--MID(LEFT(SUBSTITUTE(SUBSTITUTE(SUBSTITUTE(SUBSTITUTE(TRIM($AR1899),"-",""),".",""),"/","")," ",""),8),5,2),--MID(LEFT(SUBSTITUTE(SUBSTITUTE(SUBSTITUTE(SUBSTITUTE(TRIM($AR1899),"-",""),".",""),"/","")," ",""),8),7,2)),"")))</f>
        <v/>
      </c>
      <c r="AT1899" s="33">
        <f>IF($AS1899="","",IF($F$6="",0,IF(ISNUMBER(INDEX($A:$AP,ROW(),$F$6)),INDEX($A:$AP,ROW(),$F$6),IFERROR(--SUBSTITUTE(SUBSTITUTE(TRIM(INDEX($A:$AP,ROW(),$F$6)),",",""),"원",""),0))))</f>
        <v/>
      </c>
      <c r="AU1899" s="31">
        <f>IF($AS1899="","",IF($AX1899&lt;&gt;"",SUBSTITUTE(SUBSTITUTE($AX1899,"-","")," ",""),"N:"&amp;$AV1899))</f>
        <v/>
      </c>
      <c r="AV1899" s="31">
        <f>IF(OR($AS1899="",$E$6=""),"",TRIM(INDEX($A:$AP,ROW(),$E$6)&amp;""))</f>
        <v/>
      </c>
      <c r="AW1899" s="31">
        <f>IF($AU1899="","",IF(MATCH($AU1899,$AU$8:$AU$2007,0)=ROW()-7,MAX($AW$7:$AW1898)+1,""))</f>
        <v/>
      </c>
      <c r="AX1899" s="31">
        <f>IF(OR($AS1899="",$D$6=""),"",TRIM(INDEX($A:$AP,ROW(),$D$6)&amp;""))</f>
        <v/>
      </c>
      <c r="AY1899" s="31">
        <f>IF($AU1899="","",INDEX($AW$8:$AW$2007,MATCH($AU1899,$AU$8:$AU$2007,0)))</f>
        <v/>
      </c>
      <c r="AZ1899" s="31">
        <f>IF(OR($AS1899="",$C$6=""),"",TRIM(INDEX($A:$AP,ROW(),$C$6)&amp;""))</f>
        <v/>
      </c>
      <c r="BA1899" s="31">
        <f>IF($AZ1899="","",IF(COUNTIF($AZ$8:$AZ1899,$AZ1899)&gt;1,1,0))</f>
        <v/>
      </c>
    </row>
    <row r="1900">
      <c r="AR1900" s="31">
        <f>IF(OR($A$5="",$B$6="",ROW()&lt;$A$5),"",IF(INDEX($A:$AP,ROW(),$B$6)="","",INDEX($A:$AP,ROW(),$B$6)))</f>
        <v/>
      </c>
      <c r="AS1900" s="32">
        <f>IF($AR1900="","",IF(ISNUMBER($AR1900),IF($AR1900&gt;=10000000,IFERROR(DATE(INT($AR1900/10000),MOD(INT($AR1900/100),100),MOD($AR1900,100)),""),INT($AR1900)),IFERROR(DATE(--LEFT(LEFT(SUBSTITUTE(SUBSTITUTE(SUBSTITUTE(SUBSTITUTE(TRIM($AR1900),"-",""),".",""),"/","")," ",""),8),4),--MID(LEFT(SUBSTITUTE(SUBSTITUTE(SUBSTITUTE(SUBSTITUTE(TRIM($AR1900),"-",""),".",""),"/","")," ",""),8),5,2),--MID(LEFT(SUBSTITUTE(SUBSTITUTE(SUBSTITUTE(SUBSTITUTE(TRIM($AR1900),"-",""),".",""),"/","")," ",""),8),7,2)),"")))</f>
        <v/>
      </c>
      <c r="AT1900" s="33">
        <f>IF($AS1900="","",IF($F$6="",0,IF(ISNUMBER(INDEX($A:$AP,ROW(),$F$6)),INDEX($A:$AP,ROW(),$F$6),IFERROR(--SUBSTITUTE(SUBSTITUTE(TRIM(INDEX($A:$AP,ROW(),$F$6)),",",""),"원",""),0))))</f>
        <v/>
      </c>
      <c r="AU1900" s="31">
        <f>IF($AS1900="","",IF($AX1900&lt;&gt;"",SUBSTITUTE(SUBSTITUTE($AX1900,"-","")," ",""),"N:"&amp;$AV1900))</f>
        <v/>
      </c>
      <c r="AV1900" s="31">
        <f>IF(OR($AS1900="",$E$6=""),"",TRIM(INDEX($A:$AP,ROW(),$E$6)&amp;""))</f>
        <v/>
      </c>
      <c r="AW1900" s="31">
        <f>IF($AU1900="","",IF(MATCH($AU1900,$AU$8:$AU$2007,0)=ROW()-7,MAX($AW$7:$AW1899)+1,""))</f>
        <v/>
      </c>
      <c r="AX1900" s="31">
        <f>IF(OR($AS1900="",$D$6=""),"",TRIM(INDEX($A:$AP,ROW(),$D$6)&amp;""))</f>
        <v/>
      </c>
      <c r="AY1900" s="31">
        <f>IF($AU1900="","",INDEX($AW$8:$AW$2007,MATCH($AU1900,$AU$8:$AU$2007,0)))</f>
        <v/>
      </c>
      <c r="AZ1900" s="31">
        <f>IF(OR($AS1900="",$C$6=""),"",TRIM(INDEX($A:$AP,ROW(),$C$6)&amp;""))</f>
        <v/>
      </c>
      <c r="BA1900" s="31">
        <f>IF($AZ1900="","",IF(COUNTIF($AZ$8:$AZ1900,$AZ1900)&gt;1,1,0))</f>
        <v/>
      </c>
    </row>
    <row r="1901">
      <c r="AR1901" s="31">
        <f>IF(OR($A$5="",$B$6="",ROW()&lt;$A$5),"",IF(INDEX($A:$AP,ROW(),$B$6)="","",INDEX($A:$AP,ROW(),$B$6)))</f>
        <v/>
      </c>
      <c r="AS1901" s="32">
        <f>IF($AR1901="","",IF(ISNUMBER($AR1901),IF($AR1901&gt;=10000000,IFERROR(DATE(INT($AR1901/10000),MOD(INT($AR1901/100),100),MOD($AR1901,100)),""),INT($AR1901)),IFERROR(DATE(--LEFT(LEFT(SUBSTITUTE(SUBSTITUTE(SUBSTITUTE(SUBSTITUTE(TRIM($AR1901),"-",""),".",""),"/","")," ",""),8),4),--MID(LEFT(SUBSTITUTE(SUBSTITUTE(SUBSTITUTE(SUBSTITUTE(TRIM($AR1901),"-",""),".",""),"/","")," ",""),8),5,2),--MID(LEFT(SUBSTITUTE(SUBSTITUTE(SUBSTITUTE(SUBSTITUTE(TRIM($AR1901),"-",""),".",""),"/","")," ",""),8),7,2)),"")))</f>
        <v/>
      </c>
      <c r="AT1901" s="33">
        <f>IF($AS1901="","",IF($F$6="",0,IF(ISNUMBER(INDEX($A:$AP,ROW(),$F$6)),INDEX($A:$AP,ROW(),$F$6),IFERROR(--SUBSTITUTE(SUBSTITUTE(TRIM(INDEX($A:$AP,ROW(),$F$6)),",",""),"원",""),0))))</f>
        <v/>
      </c>
      <c r="AU1901" s="31">
        <f>IF($AS1901="","",IF($AX1901&lt;&gt;"",SUBSTITUTE(SUBSTITUTE($AX1901,"-","")," ",""),"N:"&amp;$AV1901))</f>
        <v/>
      </c>
      <c r="AV1901" s="31">
        <f>IF(OR($AS1901="",$E$6=""),"",TRIM(INDEX($A:$AP,ROW(),$E$6)&amp;""))</f>
        <v/>
      </c>
      <c r="AW1901" s="31">
        <f>IF($AU1901="","",IF(MATCH($AU1901,$AU$8:$AU$2007,0)=ROW()-7,MAX($AW$7:$AW1900)+1,""))</f>
        <v/>
      </c>
      <c r="AX1901" s="31">
        <f>IF(OR($AS1901="",$D$6=""),"",TRIM(INDEX($A:$AP,ROW(),$D$6)&amp;""))</f>
        <v/>
      </c>
      <c r="AY1901" s="31">
        <f>IF($AU1901="","",INDEX($AW$8:$AW$2007,MATCH($AU1901,$AU$8:$AU$2007,0)))</f>
        <v/>
      </c>
      <c r="AZ1901" s="31">
        <f>IF(OR($AS1901="",$C$6=""),"",TRIM(INDEX($A:$AP,ROW(),$C$6)&amp;""))</f>
        <v/>
      </c>
      <c r="BA1901" s="31">
        <f>IF($AZ1901="","",IF(COUNTIF($AZ$8:$AZ1901,$AZ1901)&gt;1,1,0))</f>
        <v/>
      </c>
    </row>
    <row r="1902">
      <c r="AR1902" s="31">
        <f>IF(OR($A$5="",$B$6="",ROW()&lt;$A$5),"",IF(INDEX($A:$AP,ROW(),$B$6)="","",INDEX($A:$AP,ROW(),$B$6)))</f>
        <v/>
      </c>
      <c r="AS1902" s="32">
        <f>IF($AR1902="","",IF(ISNUMBER($AR1902),IF($AR1902&gt;=10000000,IFERROR(DATE(INT($AR1902/10000),MOD(INT($AR1902/100),100),MOD($AR1902,100)),""),INT($AR1902)),IFERROR(DATE(--LEFT(LEFT(SUBSTITUTE(SUBSTITUTE(SUBSTITUTE(SUBSTITUTE(TRIM($AR1902),"-",""),".",""),"/","")," ",""),8),4),--MID(LEFT(SUBSTITUTE(SUBSTITUTE(SUBSTITUTE(SUBSTITUTE(TRIM($AR1902),"-",""),".",""),"/","")," ",""),8),5,2),--MID(LEFT(SUBSTITUTE(SUBSTITUTE(SUBSTITUTE(SUBSTITUTE(TRIM($AR1902),"-",""),".",""),"/","")," ",""),8),7,2)),"")))</f>
        <v/>
      </c>
      <c r="AT1902" s="33">
        <f>IF($AS1902="","",IF($F$6="",0,IF(ISNUMBER(INDEX($A:$AP,ROW(),$F$6)),INDEX($A:$AP,ROW(),$F$6),IFERROR(--SUBSTITUTE(SUBSTITUTE(TRIM(INDEX($A:$AP,ROW(),$F$6)),",",""),"원",""),0))))</f>
        <v/>
      </c>
      <c r="AU1902" s="31">
        <f>IF($AS1902="","",IF($AX1902&lt;&gt;"",SUBSTITUTE(SUBSTITUTE($AX1902,"-","")," ",""),"N:"&amp;$AV1902))</f>
        <v/>
      </c>
      <c r="AV1902" s="31">
        <f>IF(OR($AS1902="",$E$6=""),"",TRIM(INDEX($A:$AP,ROW(),$E$6)&amp;""))</f>
        <v/>
      </c>
      <c r="AW1902" s="31">
        <f>IF($AU1902="","",IF(MATCH($AU1902,$AU$8:$AU$2007,0)=ROW()-7,MAX($AW$7:$AW1901)+1,""))</f>
        <v/>
      </c>
      <c r="AX1902" s="31">
        <f>IF(OR($AS1902="",$D$6=""),"",TRIM(INDEX($A:$AP,ROW(),$D$6)&amp;""))</f>
        <v/>
      </c>
      <c r="AY1902" s="31">
        <f>IF($AU1902="","",INDEX($AW$8:$AW$2007,MATCH($AU1902,$AU$8:$AU$2007,0)))</f>
        <v/>
      </c>
      <c r="AZ1902" s="31">
        <f>IF(OR($AS1902="",$C$6=""),"",TRIM(INDEX($A:$AP,ROW(),$C$6)&amp;""))</f>
        <v/>
      </c>
      <c r="BA1902" s="31">
        <f>IF($AZ1902="","",IF(COUNTIF($AZ$8:$AZ1902,$AZ1902)&gt;1,1,0))</f>
        <v/>
      </c>
    </row>
    <row r="1903">
      <c r="AR1903" s="31">
        <f>IF(OR($A$5="",$B$6="",ROW()&lt;$A$5),"",IF(INDEX($A:$AP,ROW(),$B$6)="","",INDEX($A:$AP,ROW(),$B$6)))</f>
        <v/>
      </c>
      <c r="AS1903" s="32">
        <f>IF($AR1903="","",IF(ISNUMBER($AR1903),IF($AR1903&gt;=10000000,IFERROR(DATE(INT($AR1903/10000),MOD(INT($AR1903/100),100),MOD($AR1903,100)),""),INT($AR1903)),IFERROR(DATE(--LEFT(LEFT(SUBSTITUTE(SUBSTITUTE(SUBSTITUTE(SUBSTITUTE(TRIM($AR1903),"-",""),".",""),"/","")," ",""),8),4),--MID(LEFT(SUBSTITUTE(SUBSTITUTE(SUBSTITUTE(SUBSTITUTE(TRIM($AR1903),"-",""),".",""),"/","")," ",""),8),5,2),--MID(LEFT(SUBSTITUTE(SUBSTITUTE(SUBSTITUTE(SUBSTITUTE(TRIM($AR1903),"-",""),".",""),"/","")," ",""),8),7,2)),"")))</f>
        <v/>
      </c>
      <c r="AT1903" s="33">
        <f>IF($AS1903="","",IF($F$6="",0,IF(ISNUMBER(INDEX($A:$AP,ROW(),$F$6)),INDEX($A:$AP,ROW(),$F$6),IFERROR(--SUBSTITUTE(SUBSTITUTE(TRIM(INDEX($A:$AP,ROW(),$F$6)),",",""),"원",""),0))))</f>
        <v/>
      </c>
      <c r="AU1903" s="31">
        <f>IF($AS1903="","",IF($AX1903&lt;&gt;"",SUBSTITUTE(SUBSTITUTE($AX1903,"-","")," ",""),"N:"&amp;$AV1903))</f>
        <v/>
      </c>
      <c r="AV1903" s="31">
        <f>IF(OR($AS1903="",$E$6=""),"",TRIM(INDEX($A:$AP,ROW(),$E$6)&amp;""))</f>
        <v/>
      </c>
      <c r="AW1903" s="31">
        <f>IF($AU1903="","",IF(MATCH($AU1903,$AU$8:$AU$2007,0)=ROW()-7,MAX($AW$7:$AW1902)+1,""))</f>
        <v/>
      </c>
      <c r="AX1903" s="31">
        <f>IF(OR($AS1903="",$D$6=""),"",TRIM(INDEX($A:$AP,ROW(),$D$6)&amp;""))</f>
        <v/>
      </c>
      <c r="AY1903" s="31">
        <f>IF($AU1903="","",INDEX($AW$8:$AW$2007,MATCH($AU1903,$AU$8:$AU$2007,0)))</f>
        <v/>
      </c>
      <c r="AZ1903" s="31">
        <f>IF(OR($AS1903="",$C$6=""),"",TRIM(INDEX($A:$AP,ROW(),$C$6)&amp;""))</f>
        <v/>
      </c>
      <c r="BA1903" s="31">
        <f>IF($AZ1903="","",IF(COUNTIF($AZ$8:$AZ1903,$AZ1903)&gt;1,1,0))</f>
        <v/>
      </c>
    </row>
    <row r="1904">
      <c r="AR1904" s="31">
        <f>IF(OR($A$5="",$B$6="",ROW()&lt;$A$5),"",IF(INDEX($A:$AP,ROW(),$B$6)="","",INDEX($A:$AP,ROW(),$B$6)))</f>
        <v/>
      </c>
      <c r="AS1904" s="32">
        <f>IF($AR1904="","",IF(ISNUMBER($AR1904),IF($AR1904&gt;=10000000,IFERROR(DATE(INT($AR1904/10000),MOD(INT($AR1904/100),100),MOD($AR1904,100)),""),INT($AR1904)),IFERROR(DATE(--LEFT(LEFT(SUBSTITUTE(SUBSTITUTE(SUBSTITUTE(SUBSTITUTE(TRIM($AR1904),"-",""),".",""),"/","")," ",""),8),4),--MID(LEFT(SUBSTITUTE(SUBSTITUTE(SUBSTITUTE(SUBSTITUTE(TRIM($AR1904),"-",""),".",""),"/","")," ",""),8),5,2),--MID(LEFT(SUBSTITUTE(SUBSTITUTE(SUBSTITUTE(SUBSTITUTE(TRIM($AR1904),"-",""),".",""),"/","")," ",""),8),7,2)),"")))</f>
        <v/>
      </c>
      <c r="AT1904" s="33">
        <f>IF($AS1904="","",IF($F$6="",0,IF(ISNUMBER(INDEX($A:$AP,ROW(),$F$6)),INDEX($A:$AP,ROW(),$F$6),IFERROR(--SUBSTITUTE(SUBSTITUTE(TRIM(INDEX($A:$AP,ROW(),$F$6)),",",""),"원",""),0))))</f>
        <v/>
      </c>
      <c r="AU1904" s="31">
        <f>IF($AS1904="","",IF($AX1904&lt;&gt;"",SUBSTITUTE(SUBSTITUTE($AX1904,"-","")," ",""),"N:"&amp;$AV1904))</f>
        <v/>
      </c>
      <c r="AV1904" s="31">
        <f>IF(OR($AS1904="",$E$6=""),"",TRIM(INDEX($A:$AP,ROW(),$E$6)&amp;""))</f>
        <v/>
      </c>
      <c r="AW1904" s="31">
        <f>IF($AU1904="","",IF(MATCH($AU1904,$AU$8:$AU$2007,0)=ROW()-7,MAX($AW$7:$AW1903)+1,""))</f>
        <v/>
      </c>
      <c r="AX1904" s="31">
        <f>IF(OR($AS1904="",$D$6=""),"",TRIM(INDEX($A:$AP,ROW(),$D$6)&amp;""))</f>
        <v/>
      </c>
      <c r="AY1904" s="31">
        <f>IF($AU1904="","",INDEX($AW$8:$AW$2007,MATCH($AU1904,$AU$8:$AU$2007,0)))</f>
        <v/>
      </c>
      <c r="AZ1904" s="31">
        <f>IF(OR($AS1904="",$C$6=""),"",TRIM(INDEX($A:$AP,ROW(),$C$6)&amp;""))</f>
        <v/>
      </c>
      <c r="BA1904" s="31">
        <f>IF($AZ1904="","",IF(COUNTIF($AZ$8:$AZ1904,$AZ1904)&gt;1,1,0))</f>
        <v/>
      </c>
    </row>
    <row r="1905">
      <c r="AR1905" s="31">
        <f>IF(OR($A$5="",$B$6="",ROW()&lt;$A$5),"",IF(INDEX($A:$AP,ROW(),$B$6)="","",INDEX($A:$AP,ROW(),$B$6)))</f>
        <v/>
      </c>
      <c r="AS1905" s="32">
        <f>IF($AR1905="","",IF(ISNUMBER($AR1905),IF($AR1905&gt;=10000000,IFERROR(DATE(INT($AR1905/10000),MOD(INT($AR1905/100),100),MOD($AR1905,100)),""),INT($AR1905)),IFERROR(DATE(--LEFT(LEFT(SUBSTITUTE(SUBSTITUTE(SUBSTITUTE(SUBSTITUTE(TRIM($AR1905),"-",""),".",""),"/","")," ",""),8),4),--MID(LEFT(SUBSTITUTE(SUBSTITUTE(SUBSTITUTE(SUBSTITUTE(TRIM($AR1905),"-",""),".",""),"/","")," ",""),8),5,2),--MID(LEFT(SUBSTITUTE(SUBSTITUTE(SUBSTITUTE(SUBSTITUTE(TRIM($AR1905),"-",""),".",""),"/","")," ",""),8),7,2)),"")))</f>
        <v/>
      </c>
      <c r="AT1905" s="33">
        <f>IF($AS1905="","",IF($F$6="",0,IF(ISNUMBER(INDEX($A:$AP,ROW(),$F$6)),INDEX($A:$AP,ROW(),$F$6),IFERROR(--SUBSTITUTE(SUBSTITUTE(TRIM(INDEX($A:$AP,ROW(),$F$6)),",",""),"원",""),0))))</f>
        <v/>
      </c>
      <c r="AU1905" s="31">
        <f>IF($AS1905="","",IF($AX1905&lt;&gt;"",SUBSTITUTE(SUBSTITUTE($AX1905,"-","")," ",""),"N:"&amp;$AV1905))</f>
        <v/>
      </c>
      <c r="AV1905" s="31">
        <f>IF(OR($AS1905="",$E$6=""),"",TRIM(INDEX($A:$AP,ROW(),$E$6)&amp;""))</f>
        <v/>
      </c>
      <c r="AW1905" s="31">
        <f>IF($AU1905="","",IF(MATCH($AU1905,$AU$8:$AU$2007,0)=ROW()-7,MAX($AW$7:$AW1904)+1,""))</f>
        <v/>
      </c>
      <c r="AX1905" s="31">
        <f>IF(OR($AS1905="",$D$6=""),"",TRIM(INDEX($A:$AP,ROW(),$D$6)&amp;""))</f>
        <v/>
      </c>
      <c r="AY1905" s="31">
        <f>IF($AU1905="","",INDEX($AW$8:$AW$2007,MATCH($AU1905,$AU$8:$AU$2007,0)))</f>
        <v/>
      </c>
      <c r="AZ1905" s="31">
        <f>IF(OR($AS1905="",$C$6=""),"",TRIM(INDEX($A:$AP,ROW(),$C$6)&amp;""))</f>
        <v/>
      </c>
      <c r="BA1905" s="31">
        <f>IF($AZ1905="","",IF(COUNTIF($AZ$8:$AZ1905,$AZ1905)&gt;1,1,0))</f>
        <v/>
      </c>
    </row>
    <row r="1906">
      <c r="AR1906" s="31">
        <f>IF(OR($A$5="",$B$6="",ROW()&lt;$A$5),"",IF(INDEX($A:$AP,ROW(),$B$6)="","",INDEX($A:$AP,ROW(),$B$6)))</f>
        <v/>
      </c>
      <c r="AS1906" s="32">
        <f>IF($AR1906="","",IF(ISNUMBER($AR1906),IF($AR1906&gt;=10000000,IFERROR(DATE(INT($AR1906/10000),MOD(INT($AR1906/100),100),MOD($AR1906,100)),""),INT($AR1906)),IFERROR(DATE(--LEFT(LEFT(SUBSTITUTE(SUBSTITUTE(SUBSTITUTE(SUBSTITUTE(TRIM($AR1906),"-",""),".",""),"/","")," ",""),8),4),--MID(LEFT(SUBSTITUTE(SUBSTITUTE(SUBSTITUTE(SUBSTITUTE(TRIM($AR1906),"-",""),".",""),"/","")," ",""),8),5,2),--MID(LEFT(SUBSTITUTE(SUBSTITUTE(SUBSTITUTE(SUBSTITUTE(TRIM($AR1906),"-",""),".",""),"/","")," ",""),8),7,2)),"")))</f>
        <v/>
      </c>
      <c r="AT1906" s="33">
        <f>IF($AS1906="","",IF($F$6="",0,IF(ISNUMBER(INDEX($A:$AP,ROW(),$F$6)),INDEX($A:$AP,ROW(),$F$6),IFERROR(--SUBSTITUTE(SUBSTITUTE(TRIM(INDEX($A:$AP,ROW(),$F$6)),",",""),"원",""),0))))</f>
        <v/>
      </c>
      <c r="AU1906" s="31">
        <f>IF($AS1906="","",IF($AX1906&lt;&gt;"",SUBSTITUTE(SUBSTITUTE($AX1906,"-","")," ",""),"N:"&amp;$AV1906))</f>
        <v/>
      </c>
      <c r="AV1906" s="31">
        <f>IF(OR($AS1906="",$E$6=""),"",TRIM(INDEX($A:$AP,ROW(),$E$6)&amp;""))</f>
        <v/>
      </c>
      <c r="AW1906" s="31">
        <f>IF($AU1906="","",IF(MATCH($AU1906,$AU$8:$AU$2007,0)=ROW()-7,MAX($AW$7:$AW1905)+1,""))</f>
        <v/>
      </c>
      <c r="AX1906" s="31">
        <f>IF(OR($AS1906="",$D$6=""),"",TRIM(INDEX($A:$AP,ROW(),$D$6)&amp;""))</f>
        <v/>
      </c>
      <c r="AY1906" s="31">
        <f>IF($AU1906="","",INDEX($AW$8:$AW$2007,MATCH($AU1906,$AU$8:$AU$2007,0)))</f>
        <v/>
      </c>
      <c r="AZ1906" s="31">
        <f>IF(OR($AS1906="",$C$6=""),"",TRIM(INDEX($A:$AP,ROW(),$C$6)&amp;""))</f>
        <v/>
      </c>
      <c r="BA1906" s="31">
        <f>IF($AZ1906="","",IF(COUNTIF($AZ$8:$AZ1906,$AZ1906)&gt;1,1,0))</f>
        <v/>
      </c>
    </row>
    <row r="1907">
      <c r="AR1907" s="31">
        <f>IF(OR($A$5="",$B$6="",ROW()&lt;$A$5),"",IF(INDEX($A:$AP,ROW(),$B$6)="","",INDEX($A:$AP,ROW(),$B$6)))</f>
        <v/>
      </c>
      <c r="AS1907" s="32">
        <f>IF($AR1907="","",IF(ISNUMBER($AR1907),IF($AR1907&gt;=10000000,IFERROR(DATE(INT($AR1907/10000),MOD(INT($AR1907/100),100),MOD($AR1907,100)),""),INT($AR1907)),IFERROR(DATE(--LEFT(LEFT(SUBSTITUTE(SUBSTITUTE(SUBSTITUTE(SUBSTITUTE(TRIM($AR1907),"-",""),".",""),"/","")," ",""),8),4),--MID(LEFT(SUBSTITUTE(SUBSTITUTE(SUBSTITUTE(SUBSTITUTE(TRIM($AR1907),"-",""),".",""),"/","")," ",""),8),5,2),--MID(LEFT(SUBSTITUTE(SUBSTITUTE(SUBSTITUTE(SUBSTITUTE(TRIM($AR1907),"-",""),".",""),"/","")," ",""),8),7,2)),"")))</f>
        <v/>
      </c>
      <c r="AT1907" s="33">
        <f>IF($AS1907="","",IF($F$6="",0,IF(ISNUMBER(INDEX($A:$AP,ROW(),$F$6)),INDEX($A:$AP,ROW(),$F$6),IFERROR(--SUBSTITUTE(SUBSTITUTE(TRIM(INDEX($A:$AP,ROW(),$F$6)),",",""),"원",""),0))))</f>
        <v/>
      </c>
      <c r="AU1907" s="31">
        <f>IF($AS1907="","",IF($AX1907&lt;&gt;"",SUBSTITUTE(SUBSTITUTE($AX1907,"-","")," ",""),"N:"&amp;$AV1907))</f>
        <v/>
      </c>
      <c r="AV1907" s="31">
        <f>IF(OR($AS1907="",$E$6=""),"",TRIM(INDEX($A:$AP,ROW(),$E$6)&amp;""))</f>
        <v/>
      </c>
      <c r="AW1907" s="31">
        <f>IF($AU1907="","",IF(MATCH($AU1907,$AU$8:$AU$2007,0)=ROW()-7,MAX($AW$7:$AW1906)+1,""))</f>
        <v/>
      </c>
      <c r="AX1907" s="31">
        <f>IF(OR($AS1907="",$D$6=""),"",TRIM(INDEX($A:$AP,ROW(),$D$6)&amp;""))</f>
        <v/>
      </c>
      <c r="AY1907" s="31">
        <f>IF($AU1907="","",INDEX($AW$8:$AW$2007,MATCH($AU1907,$AU$8:$AU$2007,0)))</f>
        <v/>
      </c>
      <c r="AZ1907" s="31">
        <f>IF(OR($AS1907="",$C$6=""),"",TRIM(INDEX($A:$AP,ROW(),$C$6)&amp;""))</f>
        <v/>
      </c>
      <c r="BA1907" s="31">
        <f>IF($AZ1907="","",IF(COUNTIF($AZ$8:$AZ1907,$AZ1907)&gt;1,1,0))</f>
        <v/>
      </c>
    </row>
    <row r="1908">
      <c r="AR1908" s="31">
        <f>IF(OR($A$5="",$B$6="",ROW()&lt;$A$5),"",IF(INDEX($A:$AP,ROW(),$B$6)="","",INDEX($A:$AP,ROW(),$B$6)))</f>
        <v/>
      </c>
      <c r="AS1908" s="32">
        <f>IF($AR1908="","",IF(ISNUMBER($AR1908),IF($AR1908&gt;=10000000,IFERROR(DATE(INT($AR1908/10000),MOD(INT($AR1908/100),100),MOD($AR1908,100)),""),INT($AR1908)),IFERROR(DATE(--LEFT(LEFT(SUBSTITUTE(SUBSTITUTE(SUBSTITUTE(SUBSTITUTE(TRIM($AR1908),"-",""),".",""),"/","")," ",""),8),4),--MID(LEFT(SUBSTITUTE(SUBSTITUTE(SUBSTITUTE(SUBSTITUTE(TRIM($AR1908),"-",""),".",""),"/","")," ",""),8),5,2),--MID(LEFT(SUBSTITUTE(SUBSTITUTE(SUBSTITUTE(SUBSTITUTE(TRIM($AR1908),"-",""),".",""),"/","")," ",""),8),7,2)),"")))</f>
        <v/>
      </c>
      <c r="AT1908" s="33">
        <f>IF($AS1908="","",IF($F$6="",0,IF(ISNUMBER(INDEX($A:$AP,ROW(),$F$6)),INDEX($A:$AP,ROW(),$F$6),IFERROR(--SUBSTITUTE(SUBSTITUTE(TRIM(INDEX($A:$AP,ROW(),$F$6)),",",""),"원",""),0))))</f>
        <v/>
      </c>
      <c r="AU1908" s="31">
        <f>IF($AS1908="","",IF($AX1908&lt;&gt;"",SUBSTITUTE(SUBSTITUTE($AX1908,"-","")," ",""),"N:"&amp;$AV1908))</f>
        <v/>
      </c>
      <c r="AV1908" s="31">
        <f>IF(OR($AS1908="",$E$6=""),"",TRIM(INDEX($A:$AP,ROW(),$E$6)&amp;""))</f>
        <v/>
      </c>
      <c r="AW1908" s="31">
        <f>IF($AU1908="","",IF(MATCH($AU1908,$AU$8:$AU$2007,0)=ROW()-7,MAX($AW$7:$AW1907)+1,""))</f>
        <v/>
      </c>
      <c r="AX1908" s="31">
        <f>IF(OR($AS1908="",$D$6=""),"",TRIM(INDEX($A:$AP,ROW(),$D$6)&amp;""))</f>
        <v/>
      </c>
      <c r="AY1908" s="31">
        <f>IF($AU1908="","",INDEX($AW$8:$AW$2007,MATCH($AU1908,$AU$8:$AU$2007,0)))</f>
        <v/>
      </c>
      <c r="AZ1908" s="31">
        <f>IF(OR($AS1908="",$C$6=""),"",TRIM(INDEX($A:$AP,ROW(),$C$6)&amp;""))</f>
        <v/>
      </c>
      <c r="BA1908" s="31">
        <f>IF($AZ1908="","",IF(COUNTIF($AZ$8:$AZ1908,$AZ1908)&gt;1,1,0))</f>
        <v/>
      </c>
    </row>
    <row r="1909">
      <c r="AR1909" s="31">
        <f>IF(OR($A$5="",$B$6="",ROW()&lt;$A$5),"",IF(INDEX($A:$AP,ROW(),$B$6)="","",INDEX($A:$AP,ROW(),$B$6)))</f>
        <v/>
      </c>
      <c r="AS1909" s="32">
        <f>IF($AR1909="","",IF(ISNUMBER($AR1909),IF($AR1909&gt;=10000000,IFERROR(DATE(INT($AR1909/10000),MOD(INT($AR1909/100),100),MOD($AR1909,100)),""),INT($AR1909)),IFERROR(DATE(--LEFT(LEFT(SUBSTITUTE(SUBSTITUTE(SUBSTITUTE(SUBSTITUTE(TRIM($AR1909),"-",""),".",""),"/","")," ",""),8),4),--MID(LEFT(SUBSTITUTE(SUBSTITUTE(SUBSTITUTE(SUBSTITUTE(TRIM($AR1909),"-",""),".",""),"/","")," ",""),8),5,2),--MID(LEFT(SUBSTITUTE(SUBSTITUTE(SUBSTITUTE(SUBSTITUTE(TRIM($AR1909),"-",""),".",""),"/","")," ",""),8),7,2)),"")))</f>
        <v/>
      </c>
      <c r="AT1909" s="33">
        <f>IF($AS1909="","",IF($F$6="",0,IF(ISNUMBER(INDEX($A:$AP,ROW(),$F$6)),INDEX($A:$AP,ROW(),$F$6),IFERROR(--SUBSTITUTE(SUBSTITUTE(TRIM(INDEX($A:$AP,ROW(),$F$6)),",",""),"원",""),0))))</f>
        <v/>
      </c>
      <c r="AU1909" s="31">
        <f>IF($AS1909="","",IF($AX1909&lt;&gt;"",SUBSTITUTE(SUBSTITUTE($AX1909,"-","")," ",""),"N:"&amp;$AV1909))</f>
        <v/>
      </c>
      <c r="AV1909" s="31">
        <f>IF(OR($AS1909="",$E$6=""),"",TRIM(INDEX($A:$AP,ROW(),$E$6)&amp;""))</f>
        <v/>
      </c>
      <c r="AW1909" s="31">
        <f>IF($AU1909="","",IF(MATCH($AU1909,$AU$8:$AU$2007,0)=ROW()-7,MAX($AW$7:$AW1908)+1,""))</f>
        <v/>
      </c>
      <c r="AX1909" s="31">
        <f>IF(OR($AS1909="",$D$6=""),"",TRIM(INDEX($A:$AP,ROW(),$D$6)&amp;""))</f>
        <v/>
      </c>
      <c r="AY1909" s="31">
        <f>IF($AU1909="","",INDEX($AW$8:$AW$2007,MATCH($AU1909,$AU$8:$AU$2007,0)))</f>
        <v/>
      </c>
      <c r="AZ1909" s="31">
        <f>IF(OR($AS1909="",$C$6=""),"",TRIM(INDEX($A:$AP,ROW(),$C$6)&amp;""))</f>
        <v/>
      </c>
      <c r="BA1909" s="31">
        <f>IF($AZ1909="","",IF(COUNTIF($AZ$8:$AZ1909,$AZ1909)&gt;1,1,0))</f>
        <v/>
      </c>
    </row>
    <row r="1910">
      <c r="AR1910" s="31">
        <f>IF(OR($A$5="",$B$6="",ROW()&lt;$A$5),"",IF(INDEX($A:$AP,ROW(),$B$6)="","",INDEX($A:$AP,ROW(),$B$6)))</f>
        <v/>
      </c>
      <c r="AS1910" s="32">
        <f>IF($AR1910="","",IF(ISNUMBER($AR1910),IF($AR1910&gt;=10000000,IFERROR(DATE(INT($AR1910/10000),MOD(INT($AR1910/100),100),MOD($AR1910,100)),""),INT($AR1910)),IFERROR(DATE(--LEFT(LEFT(SUBSTITUTE(SUBSTITUTE(SUBSTITUTE(SUBSTITUTE(TRIM($AR1910),"-",""),".",""),"/","")," ",""),8),4),--MID(LEFT(SUBSTITUTE(SUBSTITUTE(SUBSTITUTE(SUBSTITUTE(TRIM($AR1910),"-",""),".",""),"/","")," ",""),8),5,2),--MID(LEFT(SUBSTITUTE(SUBSTITUTE(SUBSTITUTE(SUBSTITUTE(TRIM($AR1910),"-",""),".",""),"/","")," ",""),8),7,2)),"")))</f>
        <v/>
      </c>
      <c r="AT1910" s="33">
        <f>IF($AS1910="","",IF($F$6="",0,IF(ISNUMBER(INDEX($A:$AP,ROW(),$F$6)),INDEX($A:$AP,ROW(),$F$6),IFERROR(--SUBSTITUTE(SUBSTITUTE(TRIM(INDEX($A:$AP,ROW(),$F$6)),",",""),"원",""),0))))</f>
        <v/>
      </c>
      <c r="AU1910" s="31">
        <f>IF($AS1910="","",IF($AX1910&lt;&gt;"",SUBSTITUTE(SUBSTITUTE($AX1910,"-","")," ",""),"N:"&amp;$AV1910))</f>
        <v/>
      </c>
      <c r="AV1910" s="31">
        <f>IF(OR($AS1910="",$E$6=""),"",TRIM(INDEX($A:$AP,ROW(),$E$6)&amp;""))</f>
        <v/>
      </c>
      <c r="AW1910" s="31">
        <f>IF($AU1910="","",IF(MATCH($AU1910,$AU$8:$AU$2007,0)=ROW()-7,MAX($AW$7:$AW1909)+1,""))</f>
        <v/>
      </c>
      <c r="AX1910" s="31">
        <f>IF(OR($AS1910="",$D$6=""),"",TRIM(INDEX($A:$AP,ROW(),$D$6)&amp;""))</f>
        <v/>
      </c>
      <c r="AY1910" s="31">
        <f>IF($AU1910="","",INDEX($AW$8:$AW$2007,MATCH($AU1910,$AU$8:$AU$2007,0)))</f>
        <v/>
      </c>
      <c r="AZ1910" s="31">
        <f>IF(OR($AS1910="",$C$6=""),"",TRIM(INDEX($A:$AP,ROW(),$C$6)&amp;""))</f>
        <v/>
      </c>
      <c r="BA1910" s="31">
        <f>IF($AZ1910="","",IF(COUNTIF($AZ$8:$AZ1910,$AZ1910)&gt;1,1,0))</f>
        <v/>
      </c>
    </row>
    <row r="1911">
      <c r="AR1911" s="31">
        <f>IF(OR($A$5="",$B$6="",ROW()&lt;$A$5),"",IF(INDEX($A:$AP,ROW(),$B$6)="","",INDEX($A:$AP,ROW(),$B$6)))</f>
        <v/>
      </c>
      <c r="AS1911" s="32">
        <f>IF($AR1911="","",IF(ISNUMBER($AR1911),IF($AR1911&gt;=10000000,IFERROR(DATE(INT($AR1911/10000),MOD(INT($AR1911/100),100),MOD($AR1911,100)),""),INT($AR1911)),IFERROR(DATE(--LEFT(LEFT(SUBSTITUTE(SUBSTITUTE(SUBSTITUTE(SUBSTITUTE(TRIM($AR1911),"-",""),".",""),"/","")," ",""),8),4),--MID(LEFT(SUBSTITUTE(SUBSTITUTE(SUBSTITUTE(SUBSTITUTE(TRIM($AR1911),"-",""),".",""),"/","")," ",""),8),5,2),--MID(LEFT(SUBSTITUTE(SUBSTITUTE(SUBSTITUTE(SUBSTITUTE(TRIM($AR1911),"-",""),".",""),"/","")," ",""),8),7,2)),"")))</f>
        <v/>
      </c>
      <c r="AT1911" s="33">
        <f>IF($AS1911="","",IF($F$6="",0,IF(ISNUMBER(INDEX($A:$AP,ROW(),$F$6)),INDEX($A:$AP,ROW(),$F$6),IFERROR(--SUBSTITUTE(SUBSTITUTE(TRIM(INDEX($A:$AP,ROW(),$F$6)),",",""),"원",""),0))))</f>
        <v/>
      </c>
      <c r="AU1911" s="31">
        <f>IF($AS1911="","",IF($AX1911&lt;&gt;"",SUBSTITUTE(SUBSTITUTE($AX1911,"-","")," ",""),"N:"&amp;$AV1911))</f>
        <v/>
      </c>
      <c r="AV1911" s="31">
        <f>IF(OR($AS1911="",$E$6=""),"",TRIM(INDEX($A:$AP,ROW(),$E$6)&amp;""))</f>
        <v/>
      </c>
      <c r="AW1911" s="31">
        <f>IF($AU1911="","",IF(MATCH($AU1911,$AU$8:$AU$2007,0)=ROW()-7,MAX($AW$7:$AW1910)+1,""))</f>
        <v/>
      </c>
      <c r="AX1911" s="31">
        <f>IF(OR($AS1911="",$D$6=""),"",TRIM(INDEX($A:$AP,ROW(),$D$6)&amp;""))</f>
        <v/>
      </c>
      <c r="AY1911" s="31">
        <f>IF($AU1911="","",INDEX($AW$8:$AW$2007,MATCH($AU1911,$AU$8:$AU$2007,0)))</f>
        <v/>
      </c>
      <c r="AZ1911" s="31">
        <f>IF(OR($AS1911="",$C$6=""),"",TRIM(INDEX($A:$AP,ROW(),$C$6)&amp;""))</f>
        <v/>
      </c>
      <c r="BA1911" s="31">
        <f>IF($AZ1911="","",IF(COUNTIF($AZ$8:$AZ1911,$AZ1911)&gt;1,1,0))</f>
        <v/>
      </c>
    </row>
    <row r="1912">
      <c r="AR1912" s="31">
        <f>IF(OR($A$5="",$B$6="",ROW()&lt;$A$5),"",IF(INDEX($A:$AP,ROW(),$B$6)="","",INDEX($A:$AP,ROW(),$B$6)))</f>
        <v/>
      </c>
      <c r="AS1912" s="32">
        <f>IF($AR1912="","",IF(ISNUMBER($AR1912),IF($AR1912&gt;=10000000,IFERROR(DATE(INT($AR1912/10000),MOD(INT($AR1912/100),100),MOD($AR1912,100)),""),INT($AR1912)),IFERROR(DATE(--LEFT(LEFT(SUBSTITUTE(SUBSTITUTE(SUBSTITUTE(SUBSTITUTE(TRIM($AR1912),"-",""),".",""),"/","")," ",""),8),4),--MID(LEFT(SUBSTITUTE(SUBSTITUTE(SUBSTITUTE(SUBSTITUTE(TRIM($AR1912),"-",""),".",""),"/","")," ",""),8),5,2),--MID(LEFT(SUBSTITUTE(SUBSTITUTE(SUBSTITUTE(SUBSTITUTE(TRIM($AR1912),"-",""),".",""),"/","")," ",""),8),7,2)),"")))</f>
        <v/>
      </c>
      <c r="AT1912" s="33">
        <f>IF($AS1912="","",IF($F$6="",0,IF(ISNUMBER(INDEX($A:$AP,ROW(),$F$6)),INDEX($A:$AP,ROW(),$F$6),IFERROR(--SUBSTITUTE(SUBSTITUTE(TRIM(INDEX($A:$AP,ROW(),$F$6)),",",""),"원",""),0))))</f>
        <v/>
      </c>
      <c r="AU1912" s="31">
        <f>IF($AS1912="","",IF($AX1912&lt;&gt;"",SUBSTITUTE(SUBSTITUTE($AX1912,"-","")," ",""),"N:"&amp;$AV1912))</f>
        <v/>
      </c>
      <c r="AV1912" s="31">
        <f>IF(OR($AS1912="",$E$6=""),"",TRIM(INDEX($A:$AP,ROW(),$E$6)&amp;""))</f>
        <v/>
      </c>
      <c r="AW1912" s="31">
        <f>IF($AU1912="","",IF(MATCH($AU1912,$AU$8:$AU$2007,0)=ROW()-7,MAX($AW$7:$AW1911)+1,""))</f>
        <v/>
      </c>
      <c r="AX1912" s="31">
        <f>IF(OR($AS1912="",$D$6=""),"",TRIM(INDEX($A:$AP,ROW(),$D$6)&amp;""))</f>
        <v/>
      </c>
      <c r="AY1912" s="31">
        <f>IF($AU1912="","",INDEX($AW$8:$AW$2007,MATCH($AU1912,$AU$8:$AU$2007,0)))</f>
        <v/>
      </c>
      <c r="AZ1912" s="31">
        <f>IF(OR($AS1912="",$C$6=""),"",TRIM(INDEX($A:$AP,ROW(),$C$6)&amp;""))</f>
        <v/>
      </c>
      <c r="BA1912" s="31">
        <f>IF($AZ1912="","",IF(COUNTIF($AZ$8:$AZ1912,$AZ1912)&gt;1,1,0))</f>
        <v/>
      </c>
    </row>
    <row r="1913">
      <c r="AR1913" s="31">
        <f>IF(OR($A$5="",$B$6="",ROW()&lt;$A$5),"",IF(INDEX($A:$AP,ROW(),$B$6)="","",INDEX($A:$AP,ROW(),$B$6)))</f>
        <v/>
      </c>
      <c r="AS1913" s="32">
        <f>IF($AR1913="","",IF(ISNUMBER($AR1913),IF($AR1913&gt;=10000000,IFERROR(DATE(INT($AR1913/10000),MOD(INT($AR1913/100),100),MOD($AR1913,100)),""),INT($AR1913)),IFERROR(DATE(--LEFT(LEFT(SUBSTITUTE(SUBSTITUTE(SUBSTITUTE(SUBSTITUTE(TRIM($AR1913),"-",""),".",""),"/","")," ",""),8),4),--MID(LEFT(SUBSTITUTE(SUBSTITUTE(SUBSTITUTE(SUBSTITUTE(TRIM($AR1913),"-",""),".",""),"/","")," ",""),8),5,2),--MID(LEFT(SUBSTITUTE(SUBSTITUTE(SUBSTITUTE(SUBSTITUTE(TRIM($AR1913),"-",""),".",""),"/","")," ",""),8),7,2)),"")))</f>
        <v/>
      </c>
      <c r="AT1913" s="33">
        <f>IF($AS1913="","",IF($F$6="",0,IF(ISNUMBER(INDEX($A:$AP,ROW(),$F$6)),INDEX($A:$AP,ROW(),$F$6),IFERROR(--SUBSTITUTE(SUBSTITUTE(TRIM(INDEX($A:$AP,ROW(),$F$6)),",",""),"원",""),0))))</f>
        <v/>
      </c>
      <c r="AU1913" s="31">
        <f>IF($AS1913="","",IF($AX1913&lt;&gt;"",SUBSTITUTE(SUBSTITUTE($AX1913,"-","")," ",""),"N:"&amp;$AV1913))</f>
        <v/>
      </c>
      <c r="AV1913" s="31">
        <f>IF(OR($AS1913="",$E$6=""),"",TRIM(INDEX($A:$AP,ROW(),$E$6)&amp;""))</f>
        <v/>
      </c>
      <c r="AW1913" s="31">
        <f>IF($AU1913="","",IF(MATCH($AU1913,$AU$8:$AU$2007,0)=ROW()-7,MAX($AW$7:$AW1912)+1,""))</f>
        <v/>
      </c>
      <c r="AX1913" s="31">
        <f>IF(OR($AS1913="",$D$6=""),"",TRIM(INDEX($A:$AP,ROW(),$D$6)&amp;""))</f>
        <v/>
      </c>
      <c r="AY1913" s="31">
        <f>IF($AU1913="","",INDEX($AW$8:$AW$2007,MATCH($AU1913,$AU$8:$AU$2007,0)))</f>
        <v/>
      </c>
      <c r="AZ1913" s="31">
        <f>IF(OR($AS1913="",$C$6=""),"",TRIM(INDEX($A:$AP,ROW(),$C$6)&amp;""))</f>
        <v/>
      </c>
      <c r="BA1913" s="31">
        <f>IF($AZ1913="","",IF(COUNTIF($AZ$8:$AZ1913,$AZ1913)&gt;1,1,0))</f>
        <v/>
      </c>
    </row>
    <row r="1914">
      <c r="AR1914" s="31">
        <f>IF(OR($A$5="",$B$6="",ROW()&lt;$A$5),"",IF(INDEX($A:$AP,ROW(),$B$6)="","",INDEX($A:$AP,ROW(),$B$6)))</f>
        <v/>
      </c>
      <c r="AS1914" s="32">
        <f>IF($AR1914="","",IF(ISNUMBER($AR1914),IF($AR1914&gt;=10000000,IFERROR(DATE(INT($AR1914/10000),MOD(INT($AR1914/100),100),MOD($AR1914,100)),""),INT($AR1914)),IFERROR(DATE(--LEFT(LEFT(SUBSTITUTE(SUBSTITUTE(SUBSTITUTE(SUBSTITUTE(TRIM($AR1914),"-",""),".",""),"/","")," ",""),8),4),--MID(LEFT(SUBSTITUTE(SUBSTITUTE(SUBSTITUTE(SUBSTITUTE(TRIM($AR1914),"-",""),".",""),"/","")," ",""),8),5,2),--MID(LEFT(SUBSTITUTE(SUBSTITUTE(SUBSTITUTE(SUBSTITUTE(TRIM($AR1914),"-",""),".",""),"/","")," ",""),8),7,2)),"")))</f>
        <v/>
      </c>
      <c r="AT1914" s="33">
        <f>IF($AS1914="","",IF($F$6="",0,IF(ISNUMBER(INDEX($A:$AP,ROW(),$F$6)),INDEX($A:$AP,ROW(),$F$6),IFERROR(--SUBSTITUTE(SUBSTITUTE(TRIM(INDEX($A:$AP,ROW(),$F$6)),",",""),"원",""),0))))</f>
        <v/>
      </c>
      <c r="AU1914" s="31">
        <f>IF($AS1914="","",IF($AX1914&lt;&gt;"",SUBSTITUTE(SUBSTITUTE($AX1914,"-","")," ",""),"N:"&amp;$AV1914))</f>
        <v/>
      </c>
      <c r="AV1914" s="31">
        <f>IF(OR($AS1914="",$E$6=""),"",TRIM(INDEX($A:$AP,ROW(),$E$6)&amp;""))</f>
        <v/>
      </c>
      <c r="AW1914" s="31">
        <f>IF($AU1914="","",IF(MATCH($AU1914,$AU$8:$AU$2007,0)=ROW()-7,MAX($AW$7:$AW1913)+1,""))</f>
        <v/>
      </c>
      <c r="AX1914" s="31">
        <f>IF(OR($AS1914="",$D$6=""),"",TRIM(INDEX($A:$AP,ROW(),$D$6)&amp;""))</f>
        <v/>
      </c>
      <c r="AY1914" s="31">
        <f>IF($AU1914="","",INDEX($AW$8:$AW$2007,MATCH($AU1914,$AU$8:$AU$2007,0)))</f>
        <v/>
      </c>
      <c r="AZ1914" s="31">
        <f>IF(OR($AS1914="",$C$6=""),"",TRIM(INDEX($A:$AP,ROW(),$C$6)&amp;""))</f>
        <v/>
      </c>
      <c r="BA1914" s="31">
        <f>IF($AZ1914="","",IF(COUNTIF($AZ$8:$AZ1914,$AZ1914)&gt;1,1,0))</f>
        <v/>
      </c>
    </row>
    <row r="1915">
      <c r="AR1915" s="31">
        <f>IF(OR($A$5="",$B$6="",ROW()&lt;$A$5),"",IF(INDEX($A:$AP,ROW(),$B$6)="","",INDEX($A:$AP,ROW(),$B$6)))</f>
        <v/>
      </c>
      <c r="AS1915" s="32">
        <f>IF($AR1915="","",IF(ISNUMBER($AR1915),IF($AR1915&gt;=10000000,IFERROR(DATE(INT($AR1915/10000),MOD(INT($AR1915/100),100),MOD($AR1915,100)),""),INT($AR1915)),IFERROR(DATE(--LEFT(LEFT(SUBSTITUTE(SUBSTITUTE(SUBSTITUTE(SUBSTITUTE(TRIM($AR1915),"-",""),".",""),"/","")," ",""),8),4),--MID(LEFT(SUBSTITUTE(SUBSTITUTE(SUBSTITUTE(SUBSTITUTE(TRIM($AR1915),"-",""),".",""),"/","")," ",""),8),5,2),--MID(LEFT(SUBSTITUTE(SUBSTITUTE(SUBSTITUTE(SUBSTITUTE(TRIM($AR1915),"-",""),".",""),"/","")," ",""),8),7,2)),"")))</f>
        <v/>
      </c>
      <c r="AT1915" s="33">
        <f>IF($AS1915="","",IF($F$6="",0,IF(ISNUMBER(INDEX($A:$AP,ROW(),$F$6)),INDEX($A:$AP,ROW(),$F$6),IFERROR(--SUBSTITUTE(SUBSTITUTE(TRIM(INDEX($A:$AP,ROW(),$F$6)),",",""),"원",""),0))))</f>
        <v/>
      </c>
      <c r="AU1915" s="31">
        <f>IF($AS1915="","",IF($AX1915&lt;&gt;"",SUBSTITUTE(SUBSTITUTE($AX1915,"-","")," ",""),"N:"&amp;$AV1915))</f>
        <v/>
      </c>
      <c r="AV1915" s="31">
        <f>IF(OR($AS1915="",$E$6=""),"",TRIM(INDEX($A:$AP,ROW(),$E$6)&amp;""))</f>
        <v/>
      </c>
      <c r="AW1915" s="31">
        <f>IF($AU1915="","",IF(MATCH($AU1915,$AU$8:$AU$2007,0)=ROW()-7,MAX($AW$7:$AW1914)+1,""))</f>
        <v/>
      </c>
      <c r="AX1915" s="31">
        <f>IF(OR($AS1915="",$D$6=""),"",TRIM(INDEX($A:$AP,ROW(),$D$6)&amp;""))</f>
        <v/>
      </c>
      <c r="AY1915" s="31">
        <f>IF($AU1915="","",INDEX($AW$8:$AW$2007,MATCH($AU1915,$AU$8:$AU$2007,0)))</f>
        <v/>
      </c>
      <c r="AZ1915" s="31">
        <f>IF(OR($AS1915="",$C$6=""),"",TRIM(INDEX($A:$AP,ROW(),$C$6)&amp;""))</f>
        <v/>
      </c>
      <c r="BA1915" s="31">
        <f>IF($AZ1915="","",IF(COUNTIF($AZ$8:$AZ1915,$AZ1915)&gt;1,1,0))</f>
        <v/>
      </c>
    </row>
    <row r="1916">
      <c r="AR1916" s="31">
        <f>IF(OR($A$5="",$B$6="",ROW()&lt;$A$5),"",IF(INDEX($A:$AP,ROW(),$B$6)="","",INDEX($A:$AP,ROW(),$B$6)))</f>
        <v/>
      </c>
      <c r="AS1916" s="32">
        <f>IF($AR1916="","",IF(ISNUMBER($AR1916),IF($AR1916&gt;=10000000,IFERROR(DATE(INT($AR1916/10000),MOD(INT($AR1916/100),100),MOD($AR1916,100)),""),INT($AR1916)),IFERROR(DATE(--LEFT(LEFT(SUBSTITUTE(SUBSTITUTE(SUBSTITUTE(SUBSTITUTE(TRIM($AR1916),"-",""),".",""),"/","")," ",""),8),4),--MID(LEFT(SUBSTITUTE(SUBSTITUTE(SUBSTITUTE(SUBSTITUTE(TRIM($AR1916),"-",""),".",""),"/","")," ",""),8),5,2),--MID(LEFT(SUBSTITUTE(SUBSTITUTE(SUBSTITUTE(SUBSTITUTE(TRIM($AR1916),"-",""),".",""),"/","")," ",""),8),7,2)),"")))</f>
        <v/>
      </c>
      <c r="AT1916" s="33">
        <f>IF($AS1916="","",IF($F$6="",0,IF(ISNUMBER(INDEX($A:$AP,ROW(),$F$6)),INDEX($A:$AP,ROW(),$F$6),IFERROR(--SUBSTITUTE(SUBSTITUTE(TRIM(INDEX($A:$AP,ROW(),$F$6)),",",""),"원",""),0))))</f>
        <v/>
      </c>
      <c r="AU1916" s="31">
        <f>IF($AS1916="","",IF($AX1916&lt;&gt;"",SUBSTITUTE(SUBSTITUTE($AX1916,"-","")," ",""),"N:"&amp;$AV1916))</f>
        <v/>
      </c>
      <c r="AV1916" s="31">
        <f>IF(OR($AS1916="",$E$6=""),"",TRIM(INDEX($A:$AP,ROW(),$E$6)&amp;""))</f>
        <v/>
      </c>
      <c r="AW1916" s="31">
        <f>IF($AU1916="","",IF(MATCH($AU1916,$AU$8:$AU$2007,0)=ROW()-7,MAX($AW$7:$AW1915)+1,""))</f>
        <v/>
      </c>
      <c r="AX1916" s="31">
        <f>IF(OR($AS1916="",$D$6=""),"",TRIM(INDEX($A:$AP,ROW(),$D$6)&amp;""))</f>
        <v/>
      </c>
      <c r="AY1916" s="31">
        <f>IF($AU1916="","",INDEX($AW$8:$AW$2007,MATCH($AU1916,$AU$8:$AU$2007,0)))</f>
        <v/>
      </c>
      <c r="AZ1916" s="31">
        <f>IF(OR($AS1916="",$C$6=""),"",TRIM(INDEX($A:$AP,ROW(),$C$6)&amp;""))</f>
        <v/>
      </c>
      <c r="BA1916" s="31">
        <f>IF($AZ1916="","",IF(COUNTIF($AZ$8:$AZ1916,$AZ1916)&gt;1,1,0))</f>
        <v/>
      </c>
    </row>
    <row r="1917">
      <c r="AR1917" s="31">
        <f>IF(OR($A$5="",$B$6="",ROW()&lt;$A$5),"",IF(INDEX($A:$AP,ROW(),$B$6)="","",INDEX($A:$AP,ROW(),$B$6)))</f>
        <v/>
      </c>
      <c r="AS1917" s="32">
        <f>IF($AR1917="","",IF(ISNUMBER($AR1917),IF($AR1917&gt;=10000000,IFERROR(DATE(INT($AR1917/10000),MOD(INT($AR1917/100),100),MOD($AR1917,100)),""),INT($AR1917)),IFERROR(DATE(--LEFT(LEFT(SUBSTITUTE(SUBSTITUTE(SUBSTITUTE(SUBSTITUTE(TRIM($AR1917),"-",""),".",""),"/","")," ",""),8),4),--MID(LEFT(SUBSTITUTE(SUBSTITUTE(SUBSTITUTE(SUBSTITUTE(TRIM($AR1917),"-",""),".",""),"/","")," ",""),8),5,2),--MID(LEFT(SUBSTITUTE(SUBSTITUTE(SUBSTITUTE(SUBSTITUTE(TRIM($AR1917),"-",""),".",""),"/","")," ",""),8),7,2)),"")))</f>
        <v/>
      </c>
      <c r="AT1917" s="33">
        <f>IF($AS1917="","",IF($F$6="",0,IF(ISNUMBER(INDEX($A:$AP,ROW(),$F$6)),INDEX($A:$AP,ROW(),$F$6),IFERROR(--SUBSTITUTE(SUBSTITUTE(TRIM(INDEX($A:$AP,ROW(),$F$6)),",",""),"원",""),0))))</f>
        <v/>
      </c>
      <c r="AU1917" s="31">
        <f>IF($AS1917="","",IF($AX1917&lt;&gt;"",SUBSTITUTE(SUBSTITUTE($AX1917,"-","")," ",""),"N:"&amp;$AV1917))</f>
        <v/>
      </c>
      <c r="AV1917" s="31">
        <f>IF(OR($AS1917="",$E$6=""),"",TRIM(INDEX($A:$AP,ROW(),$E$6)&amp;""))</f>
        <v/>
      </c>
      <c r="AW1917" s="31">
        <f>IF($AU1917="","",IF(MATCH($AU1917,$AU$8:$AU$2007,0)=ROW()-7,MAX($AW$7:$AW1916)+1,""))</f>
        <v/>
      </c>
      <c r="AX1917" s="31">
        <f>IF(OR($AS1917="",$D$6=""),"",TRIM(INDEX($A:$AP,ROW(),$D$6)&amp;""))</f>
        <v/>
      </c>
      <c r="AY1917" s="31">
        <f>IF($AU1917="","",INDEX($AW$8:$AW$2007,MATCH($AU1917,$AU$8:$AU$2007,0)))</f>
        <v/>
      </c>
      <c r="AZ1917" s="31">
        <f>IF(OR($AS1917="",$C$6=""),"",TRIM(INDEX($A:$AP,ROW(),$C$6)&amp;""))</f>
        <v/>
      </c>
      <c r="BA1917" s="31">
        <f>IF($AZ1917="","",IF(COUNTIF($AZ$8:$AZ1917,$AZ1917)&gt;1,1,0))</f>
        <v/>
      </c>
    </row>
    <row r="1918">
      <c r="AR1918" s="31">
        <f>IF(OR($A$5="",$B$6="",ROW()&lt;$A$5),"",IF(INDEX($A:$AP,ROW(),$B$6)="","",INDEX($A:$AP,ROW(),$B$6)))</f>
        <v/>
      </c>
      <c r="AS1918" s="32">
        <f>IF($AR1918="","",IF(ISNUMBER($AR1918),IF($AR1918&gt;=10000000,IFERROR(DATE(INT($AR1918/10000),MOD(INT($AR1918/100),100),MOD($AR1918,100)),""),INT($AR1918)),IFERROR(DATE(--LEFT(LEFT(SUBSTITUTE(SUBSTITUTE(SUBSTITUTE(SUBSTITUTE(TRIM($AR1918),"-",""),".",""),"/","")," ",""),8),4),--MID(LEFT(SUBSTITUTE(SUBSTITUTE(SUBSTITUTE(SUBSTITUTE(TRIM($AR1918),"-",""),".",""),"/","")," ",""),8),5,2),--MID(LEFT(SUBSTITUTE(SUBSTITUTE(SUBSTITUTE(SUBSTITUTE(TRIM($AR1918),"-",""),".",""),"/","")," ",""),8),7,2)),"")))</f>
        <v/>
      </c>
      <c r="AT1918" s="33">
        <f>IF($AS1918="","",IF($F$6="",0,IF(ISNUMBER(INDEX($A:$AP,ROW(),$F$6)),INDEX($A:$AP,ROW(),$F$6),IFERROR(--SUBSTITUTE(SUBSTITUTE(TRIM(INDEX($A:$AP,ROW(),$F$6)),",",""),"원",""),0))))</f>
        <v/>
      </c>
      <c r="AU1918" s="31">
        <f>IF($AS1918="","",IF($AX1918&lt;&gt;"",SUBSTITUTE(SUBSTITUTE($AX1918,"-","")," ",""),"N:"&amp;$AV1918))</f>
        <v/>
      </c>
      <c r="AV1918" s="31">
        <f>IF(OR($AS1918="",$E$6=""),"",TRIM(INDEX($A:$AP,ROW(),$E$6)&amp;""))</f>
        <v/>
      </c>
      <c r="AW1918" s="31">
        <f>IF($AU1918="","",IF(MATCH($AU1918,$AU$8:$AU$2007,0)=ROW()-7,MAX($AW$7:$AW1917)+1,""))</f>
        <v/>
      </c>
      <c r="AX1918" s="31">
        <f>IF(OR($AS1918="",$D$6=""),"",TRIM(INDEX($A:$AP,ROW(),$D$6)&amp;""))</f>
        <v/>
      </c>
      <c r="AY1918" s="31">
        <f>IF($AU1918="","",INDEX($AW$8:$AW$2007,MATCH($AU1918,$AU$8:$AU$2007,0)))</f>
        <v/>
      </c>
      <c r="AZ1918" s="31">
        <f>IF(OR($AS1918="",$C$6=""),"",TRIM(INDEX($A:$AP,ROW(),$C$6)&amp;""))</f>
        <v/>
      </c>
      <c r="BA1918" s="31">
        <f>IF($AZ1918="","",IF(COUNTIF($AZ$8:$AZ1918,$AZ1918)&gt;1,1,0))</f>
        <v/>
      </c>
    </row>
    <row r="1919">
      <c r="AR1919" s="31">
        <f>IF(OR($A$5="",$B$6="",ROW()&lt;$A$5),"",IF(INDEX($A:$AP,ROW(),$B$6)="","",INDEX($A:$AP,ROW(),$B$6)))</f>
        <v/>
      </c>
      <c r="AS1919" s="32">
        <f>IF($AR1919="","",IF(ISNUMBER($AR1919),IF($AR1919&gt;=10000000,IFERROR(DATE(INT($AR1919/10000),MOD(INT($AR1919/100),100),MOD($AR1919,100)),""),INT($AR1919)),IFERROR(DATE(--LEFT(LEFT(SUBSTITUTE(SUBSTITUTE(SUBSTITUTE(SUBSTITUTE(TRIM($AR1919),"-",""),".",""),"/","")," ",""),8),4),--MID(LEFT(SUBSTITUTE(SUBSTITUTE(SUBSTITUTE(SUBSTITUTE(TRIM($AR1919),"-",""),".",""),"/","")," ",""),8),5,2),--MID(LEFT(SUBSTITUTE(SUBSTITUTE(SUBSTITUTE(SUBSTITUTE(TRIM($AR1919),"-",""),".",""),"/","")," ",""),8),7,2)),"")))</f>
        <v/>
      </c>
      <c r="AT1919" s="33">
        <f>IF($AS1919="","",IF($F$6="",0,IF(ISNUMBER(INDEX($A:$AP,ROW(),$F$6)),INDEX($A:$AP,ROW(),$F$6),IFERROR(--SUBSTITUTE(SUBSTITUTE(TRIM(INDEX($A:$AP,ROW(),$F$6)),",",""),"원",""),0))))</f>
        <v/>
      </c>
      <c r="AU1919" s="31">
        <f>IF($AS1919="","",IF($AX1919&lt;&gt;"",SUBSTITUTE(SUBSTITUTE($AX1919,"-","")," ",""),"N:"&amp;$AV1919))</f>
        <v/>
      </c>
      <c r="AV1919" s="31">
        <f>IF(OR($AS1919="",$E$6=""),"",TRIM(INDEX($A:$AP,ROW(),$E$6)&amp;""))</f>
        <v/>
      </c>
      <c r="AW1919" s="31">
        <f>IF($AU1919="","",IF(MATCH($AU1919,$AU$8:$AU$2007,0)=ROW()-7,MAX($AW$7:$AW1918)+1,""))</f>
        <v/>
      </c>
      <c r="AX1919" s="31">
        <f>IF(OR($AS1919="",$D$6=""),"",TRIM(INDEX($A:$AP,ROW(),$D$6)&amp;""))</f>
        <v/>
      </c>
      <c r="AY1919" s="31">
        <f>IF($AU1919="","",INDEX($AW$8:$AW$2007,MATCH($AU1919,$AU$8:$AU$2007,0)))</f>
        <v/>
      </c>
      <c r="AZ1919" s="31">
        <f>IF(OR($AS1919="",$C$6=""),"",TRIM(INDEX($A:$AP,ROW(),$C$6)&amp;""))</f>
        <v/>
      </c>
      <c r="BA1919" s="31">
        <f>IF($AZ1919="","",IF(COUNTIF($AZ$8:$AZ1919,$AZ1919)&gt;1,1,0))</f>
        <v/>
      </c>
    </row>
    <row r="1920">
      <c r="AR1920" s="31">
        <f>IF(OR($A$5="",$B$6="",ROW()&lt;$A$5),"",IF(INDEX($A:$AP,ROW(),$B$6)="","",INDEX($A:$AP,ROW(),$B$6)))</f>
        <v/>
      </c>
      <c r="AS1920" s="32">
        <f>IF($AR1920="","",IF(ISNUMBER($AR1920),IF($AR1920&gt;=10000000,IFERROR(DATE(INT($AR1920/10000),MOD(INT($AR1920/100),100),MOD($AR1920,100)),""),INT($AR1920)),IFERROR(DATE(--LEFT(LEFT(SUBSTITUTE(SUBSTITUTE(SUBSTITUTE(SUBSTITUTE(TRIM($AR1920),"-",""),".",""),"/","")," ",""),8),4),--MID(LEFT(SUBSTITUTE(SUBSTITUTE(SUBSTITUTE(SUBSTITUTE(TRIM($AR1920),"-",""),".",""),"/","")," ",""),8),5,2),--MID(LEFT(SUBSTITUTE(SUBSTITUTE(SUBSTITUTE(SUBSTITUTE(TRIM($AR1920),"-",""),".",""),"/","")," ",""),8),7,2)),"")))</f>
        <v/>
      </c>
      <c r="AT1920" s="33">
        <f>IF($AS1920="","",IF($F$6="",0,IF(ISNUMBER(INDEX($A:$AP,ROW(),$F$6)),INDEX($A:$AP,ROW(),$F$6),IFERROR(--SUBSTITUTE(SUBSTITUTE(TRIM(INDEX($A:$AP,ROW(),$F$6)),",",""),"원",""),0))))</f>
        <v/>
      </c>
      <c r="AU1920" s="31">
        <f>IF($AS1920="","",IF($AX1920&lt;&gt;"",SUBSTITUTE(SUBSTITUTE($AX1920,"-","")," ",""),"N:"&amp;$AV1920))</f>
        <v/>
      </c>
      <c r="AV1920" s="31">
        <f>IF(OR($AS1920="",$E$6=""),"",TRIM(INDEX($A:$AP,ROW(),$E$6)&amp;""))</f>
        <v/>
      </c>
      <c r="AW1920" s="31">
        <f>IF($AU1920="","",IF(MATCH($AU1920,$AU$8:$AU$2007,0)=ROW()-7,MAX($AW$7:$AW1919)+1,""))</f>
        <v/>
      </c>
      <c r="AX1920" s="31">
        <f>IF(OR($AS1920="",$D$6=""),"",TRIM(INDEX($A:$AP,ROW(),$D$6)&amp;""))</f>
        <v/>
      </c>
      <c r="AY1920" s="31">
        <f>IF($AU1920="","",INDEX($AW$8:$AW$2007,MATCH($AU1920,$AU$8:$AU$2007,0)))</f>
        <v/>
      </c>
      <c r="AZ1920" s="31">
        <f>IF(OR($AS1920="",$C$6=""),"",TRIM(INDEX($A:$AP,ROW(),$C$6)&amp;""))</f>
        <v/>
      </c>
      <c r="BA1920" s="31">
        <f>IF($AZ1920="","",IF(COUNTIF($AZ$8:$AZ1920,$AZ1920)&gt;1,1,0))</f>
        <v/>
      </c>
    </row>
    <row r="1921">
      <c r="AR1921" s="31">
        <f>IF(OR($A$5="",$B$6="",ROW()&lt;$A$5),"",IF(INDEX($A:$AP,ROW(),$B$6)="","",INDEX($A:$AP,ROW(),$B$6)))</f>
        <v/>
      </c>
      <c r="AS1921" s="32">
        <f>IF($AR1921="","",IF(ISNUMBER($AR1921),IF($AR1921&gt;=10000000,IFERROR(DATE(INT($AR1921/10000),MOD(INT($AR1921/100),100),MOD($AR1921,100)),""),INT($AR1921)),IFERROR(DATE(--LEFT(LEFT(SUBSTITUTE(SUBSTITUTE(SUBSTITUTE(SUBSTITUTE(TRIM($AR1921),"-",""),".",""),"/","")," ",""),8),4),--MID(LEFT(SUBSTITUTE(SUBSTITUTE(SUBSTITUTE(SUBSTITUTE(TRIM($AR1921),"-",""),".",""),"/","")," ",""),8),5,2),--MID(LEFT(SUBSTITUTE(SUBSTITUTE(SUBSTITUTE(SUBSTITUTE(TRIM($AR1921),"-",""),".",""),"/","")," ",""),8),7,2)),"")))</f>
        <v/>
      </c>
      <c r="AT1921" s="33">
        <f>IF($AS1921="","",IF($F$6="",0,IF(ISNUMBER(INDEX($A:$AP,ROW(),$F$6)),INDEX($A:$AP,ROW(),$F$6),IFERROR(--SUBSTITUTE(SUBSTITUTE(TRIM(INDEX($A:$AP,ROW(),$F$6)),",",""),"원",""),0))))</f>
        <v/>
      </c>
      <c r="AU1921" s="31">
        <f>IF($AS1921="","",IF($AX1921&lt;&gt;"",SUBSTITUTE(SUBSTITUTE($AX1921,"-","")," ",""),"N:"&amp;$AV1921))</f>
        <v/>
      </c>
      <c r="AV1921" s="31">
        <f>IF(OR($AS1921="",$E$6=""),"",TRIM(INDEX($A:$AP,ROW(),$E$6)&amp;""))</f>
        <v/>
      </c>
      <c r="AW1921" s="31">
        <f>IF($AU1921="","",IF(MATCH($AU1921,$AU$8:$AU$2007,0)=ROW()-7,MAX($AW$7:$AW1920)+1,""))</f>
        <v/>
      </c>
      <c r="AX1921" s="31">
        <f>IF(OR($AS1921="",$D$6=""),"",TRIM(INDEX($A:$AP,ROW(),$D$6)&amp;""))</f>
        <v/>
      </c>
      <c r="AY1921" s="31">
        <f>IF($AU1921="","",INDEX($AW$8:$AW$2007,MATCH($AU1921,$AU$8:$AU$2007,0)))</f>
        <v/>
      </c>
      <c r="AZ1921" s="31">
        <f>IF(OR($AS1921="",$C$6=""),"",TRIM(INDEX($A:$AP,ROW(),$C$6)&amp;""))</f>
        <v/>
      </c>
      <c r="BA1921" s="31">
        <f>IF($AZ1921="","",IF(COUNTIF($AZ$8:$AZ1921,$AZ1921)&gt;1,1,0))</f>
        <v/>
      </c>
    </row>
    <row r="1922">
      <c r="AR1922" s="31">
        <f>IF(OR($A$5="",$B$6="",ROW()&lt;$A$5),"",IF(INDEX($A:$AP,ROW(),$B$6)="","",INDEX($A:$AP,ROW(),$B$6)))</f>
        <v/>
      </c>
      <c r="AS1922" s="32">
        <f>IF($AR1922="","",IF(ISNUMBER($AR1922),IF($AR1922&gt;=10000000,IFERROR(DATE(INT($AR1922/10000),MOD(INT($AR1922/100),100),MOD($AR1922,100)),""),INT($AR1922)),IFERROR(DATE(--LEFT(LEFT(SUBSTITUTE(SUBSTITUTE(SUBSTITUTE(SUBSTITUTE(TRIM($AR1922),"-",""),".",""),"/","")," ",""),8),4),--MID(LEFT(SUBSTITUTE(SUBSTITUTE(SUBSTITUTE(SUBSTITUTE(TRIM($AR1922),"-",""),".",""),"/","")," ",""),8),5,2),--MID(LEFT(SUBSTITUTE(SUBSTITUTE(SUBSTITUTE(SUBSTITUTE(TRIM($AR1922),"-",""),".",""),"/","")," ",""),8),7,2)),"")))</f>
        <v/>
      </c>
      <c r="AT1922" s="33">
        <f>IF($AS1922="","",IF($F$6="",0,IF(ISNUMBER(INDEX($A:$AP,ROW(),$F$6)),INDEX($A:$AP,ROW(),$F$6),IFERROR(--SUBSTITUTE(SUBSTITUTE(TRIM(INDEX($A:$AP,ROW(),$F$6)),",",""),"원",""),0))))</f>
        <v/>
      </c>
      <c r="AU1922" s="31">
        <f>IF($AS1922="","",IF($AX1922&lt;&gt;"",SUBSTITUTE(SUBSTITUTE($AX1922,"-","")," ",""),"N:"&amp;$AV1922))</f>
        <v/>
      </c>
      <c r="AV1922" s="31">
        <f>IF(OR($AS1922="",$E$6=""),"",TRIM(INDEX($A:$AP,ROW(),$E$6)&amp;""))</f>
        <v/>
      </c>
      <c r="AW1922" s="31">
        <f>IF($AU1922="","",IF(MATCH($AU1922,$AU$8:$AU$2007,0)=ROW()-7,MAX($AW$7:$AW1921)+1,""))</f>
        <v/>
      </c>
      <c r="AX1922" s="31">
        <f>IF(OR($AS1922="",$D$6=""),"",TRIM(INDEX($A:$AP,ROW(),$D$6)&amp;""))</f>
        <v/>
      </c>
      <c r="AY1922" s="31">
        <f>IF($AU1922="","",INDEX($AW$8:$AW$2007,MATCH($AU1922,$AU$8:$AU$2007,0)))</f>
        <v/>
      </c>
      <c r="AZ1922" s="31">
        <f>IF(OR($AS1922="",$C$6=""),"",TRIM(INDEX($A:$AP,ROW(),$C$6)&amp;""))</f>
        <v/>
      </c>
      <c r="BA1922" s="31">
        <f>IF($AZ1922="","",IF(COUNTIF($AZ$8:$AZ1922,$AZ1922)&gt;1,1,0))</f>
        <v/>
      </c>
    </row>
    <row r="1923">
      <c r="AR1923" s="31">
        <f>IF(OR($A$5="",$B$6="",ROW()&lt;$A$5),"",IF(INDEX($A:$AP,ROW(),$B$6)="","",INDEX($A:$AP,ROW(),$B$6)))</f>
        <v/>
      </c>
      <c r="AS1923" s="32">
        <f>IF($AR1923="","",IF(ISNUMBER($AR1923),IF($AR1923&gt;=10000000,IFERROR(DATE(INT($AR1923/10000),MOD(INT($AR1923/100),100),MOD($AR1923,100)),""),INT($AR1923)),IFERROR(DATE(--LEFT(LEFT(SUBSTITUTE(SUBSTITUTE(SUBSTITUTE(SUBSTITUTE(TRIM($AR1923),"-",""),".",""),"/","")," ",""),8),4),--MID(LEFT(SUBSTITUTE(SUBSTITUTE(SUBSTITUTE(SUBSTITUTE(TRIM($AR1923),"-",""),".",""),"/","")," ",""),8),5,2),--MID(LEFT(SUBSTITUTE(SUBSTITUTE(SUBSTITUTE(SUBSTITUTE(TRIM($AR1923),"-",""),".",""),"/","")," ",""),8),7,2)),"")))</f>
        <v/>
      </c>
      <c r="AT1923" s="33">
        <f>IF($AS1923="","",IF($F$6="",0,IF(ISNUMBER(INDEX($A:$AP,ROW(),$F$6)),INDEX($A:$AP,ROW(),$F$6),IFERROR(--SUBSTITUTE(SUBSTITUTE(TRIM(INDEX($A:$AP,ROW(),$F$6)),",",""),"원",""),0))))</f>
        <v/>
      </c>
      <c r="AU1923" s="31">
        <f>IF($AS1923="","",IF($AX1923&lt;&gt;"",SUBSTITUTE(SUBSTITUTE($AX1923,"-","")," ",""),"N:"&amp;$AV1923))</f>
        <v/>
      </c>
      <c r="AV1923" s="31">
        <f>IF(OR($AS1923="",$E$6=""),"",TRIM(INDEX($A:$AP,ROW(),$E$6)&amp;""))</f>
        <v/>
      </c>
      <c r="AW1923" s="31">
        <f>IF($AU1923="","",IF(MATCH($AU1923,$AU$8:$AU$2007,0)=ROW()-7,MAX($AW$7:$AW1922)+1,""))</f>
        <v/>
      </c>
      <c r="AX1923" s="31">
        <f>IF(OR($AS1923="",$D$6=""),"",TRIM(INDEX($A:$AP,ROW(),$D$6)&amp;""))</f>
        <v/>
      </c>
      <c r="AY1923" s="31">
        <f>IF($AU1923="","",INDEX($AW$8:$AW$2007,MATCH($AU1923,$AU$8:$AU$2007,0)))</f>
        <v/>
      </c>
      <c r="AZ1923" s="31">
        <f>IF(OR($AS1923="",$C$6=""),"",TRIM(INDEX($A:$AP,ROW(),$C$6)&amp;""))</f>
        <v/>
      </c>
      <c r="BA1923" s="31">
        <f>IF($AZ1923="","",IF(COUNTIF($AZ$8:$AZ1923,$AZ1923)&gt;1,1,0))</f>
        <v/>
      </c>
    </row>
    <row r="1924">
      <c r="AR1924" s="31">
        <f>IF(OR($A$5="",$B$6="",ROW()&lt;$A$5),"",IF(INDEX($A:$AP,ROW(),$B$6)="","",INDEX($A:$AP,ROW(),$B$6)))</f>
        <v/>
      </c>
      <c r="AS1924" s="32">
        <f>IF($AR1924="","",IF(ISNUMBER($AR1924),IF($AR1924&gt;=10000000,IFERROR(DATE(INT($AR1924/10000),MOD(INT($AR1924/100),100),MOD($AR1924,100)),""),INT($AR1924)),IFERROR(DATE(--LEFT(LEFT(SUBSTITUTE(SUBSTITUTE(SUBSTITUTE(SUBSTITUTE(TRIM($AR1924),"-",""),".",""),"/","")," ",""),8),4),--MID(LEFT(SUBSTITUTE(SUBSTITUTE(SUBSTITUTE(SUBSTITUTE(TRIM($AR1924),"-",""),".",""),"/","")," ",""),8),5,2),--MID(LEFT(SUBSTITUTE(SUBSTITUTE(SUBSTITUTE(SUBSTITUTE(TRIM($AR1924),"-",""),".",""),"/","")," ",""),8),7,2)),"")))</f>
        <v/>
      </c>
      <c r="AT1924" s="33">
        <f>IF($AS1924="","",IF($F$6="",0,IF(ISNUMBER(INDEX($A:$AP,ROW(),$F$6)),INDEX($A:$AP,ROW(),$F$6),IFERROR(--SUBSTITUTE(SUBSTITUTE(TRIM(INDEX($A:$AP,ROW(),$F$6)),",",""),"원",""),0))))</f>
        <v/>
      </c>
      <c r="AU1924" s="31">
        <f>IF($AS1924="","",IF($AX1924&lt;&gt;"",SUBSTITUTE(SUBSTITUTE($AX1924,"-","")," ",""),"N:"&amp;$AV1924))</f>
        <v/>
      </c>
      <c r="AV1924" s="31">
        <f>IF(OR($AS1924="",$E$6=""),"",TRIM(INDEX($A:$AP,ROW(),$E$6)&amp;""))</f>
        <v/>
      </c>
      <c r="AW1924" s="31">
        <f>IF($AU1924="","",IF(MATCH($AU1924,$AU$8:$AU$2007,0)=ROW()-7,MAX($AW$7:$AW1923)+1,""))</f>
        <v/>
      </c>
      <c r="AX1924" s="31">
        <f>IF(OR($AS1924="",$D$6=""),"",TRIM(INDEX($A:$AP,ROW(),$D$6)&amp;""))</f>
        <v/>
      </c>
      <c r="AY1924" s="31">
        <f>IF($AU1924="","",INDEX($AW$8:$AW$2007,MATCH($AU1924,$AU$8:$AU$2007,0)))</f>
        <v/>
      </c>
      <c r="AZ1924" s="31">
        <f>IF(OR($AS1924="",$C$6=""),"",TRIM(INDEX($A:$AP,ROW(),$C$6)&amp;""))</f>
        <v/>
      </c>
      <c r="BA1924" s="31">
        <f>IF($AZ1924="","",IF(COUNTIF($AZ$8:$AZ1924,$AZ1924)&gt;1,1,0))</f>
        <v/>
      </c>
    </row>
    <row r="1925">
      <c r="AR1925" s="31">
        <f>IF(OR($A$5="",$B$6="",ROW()&lt;$A$5),"",IF(INDEX($A:$AP,ROW(),$B$6)="","",INDEX($A:$AP,ROW(),$B$6)))</f>
        <v/>
      </c>
      <c r="AS1925" s="32">
        <f>IF($AR1925="","",IF(ISNUMBER($AR1925),IF($AR1925&gt;=10000000,IFERROR(DATE(INT($AR1925/10000),MOD(INT($AR1925/100),100),MOD($AR1925,100)),""),INT($AR1925)),IFERROR(DATE(--LEFT(LEFT(SUBSTITUTE(SUBSTITUTE(SUBSTITUTE(SUBSTITUTE(TRIM($AR1925),"-",""),".",""),"/","")," ",""),8),4),--MID(LEFT(SUBSTITUTE(SUBSTITUTE(SUBSTITUTE(SUBSTITUTE(TRIM($AR1925),"-",""),".",""),"/","")," ",""),8),5,2),--MID(LEFT(SUBSTITUTE(SUBSTITUTE(SUBSTITUTE(SUBSTITUTE(TRIM($AR1925),"-",""),".",""),"/","")," ",""),8),7,2)),"")))</f>
        <v/>
      </c>
      <c r="AT1925" s="33">
        <f>IF($AS1925="","",IF($F$6="",0,IF(ISNUMBER(INDEX($A:$AP,ROW(),$F$6)),INDEX($A:$AP,ROW(),$F$6),IFERROR(--SUBSTITUTE(SUBSTITUTE(TRIM(INDEX($A:$AP,ROW(),$F$6)),",",""),"원",""),0))))</f>
        <v/>
      </c>
      <c r="AU1925" s="31">
        <f>IF($AS1925="","",IF($AX1925&lt;&gt;"",SUBSTITUTE(SUBSTITUTE($AX1925,"-","")," ",""),"N:"&amp;$AV1925))</f>
        <v/>
      </c>
      <c r="AV1925" s="31">
        <f>IF(OR($AS1925="",$E$6=""),"",TRIM(INDEX($A:$AP,ROW(),$E$6)&amp;""))</f>
        <v/>
      </c>
      <c r="AW1925" s="31">
        <f>IF($AU1925="","",IF(MATCH($AU1925,$AU$8:$AU$2007,0)=ROW()-7,MAX($AW$7:$AW1924)+1,""))</f>
        <v/>
      </c>
      <c r="AX1925" s="31">
        <f>IF(OR($AS1925="",$D$6=""),"",TRIM(INDEX($A:$AP,ROW(),$D$6)&amp;""))</f>
        <v/>
      </c>
      <c r="AY1925" s="31">
        <f>IF($AU1925="","",INDEX($AW$8:$AW$2007,MATCH($AU1925,$AU$8:$AU$2007,0)))</f>
        <v/>
      </c>
      <c r="AZ1925" s="31">
        <f>IF(OR($AS1925="",$C$6=""),"",TRIM(INDEX($A:$AP,ROW(),$C$6)&amp;""))</f>
        <v/>
      </c>
      <c r="BA1925" s="31">
        <f>IF($AZ1925="","",IF(COUNTIF($AZ$8:$AZ1925,$AZ1925)&gt;1,1,0))</f>
        <v/>
      </c>
    </row>
    <row r="1926">
      <c r="AR1926" s="31">
        <f>IF(OR($A$5="",$B$6="",ROW()&lt;$A$5),"",IF(INDEX($A:$AP,ROW(),$B$6)="","",INDEX($A:$AP,ROW(),$B$6)))</f>
        <v/>
      </c>
      <c r="AS1926" s="32">
        <f>IF($AR1926="","",IF(ISNUMBER($AR1926),IF($AR1926&gt;=10000000,IFERROR(DATE(INT($AR1926/10000),MOD(INT($AR1926/100),100),MOD($AR1926,100)),""),INT($AR1926)),IFERROR(DATE(--LEFT(LEFT(SUBSTITUTE(SUBSTITUTE(SUBSTITUTE(SUBSTITUTE(TRIM($AR1926),"-",""),".",""),"/","")," ",""),8),4),--MID(LEFT(SUBSTITUTE(SUBSTITUTE(SUBSTITUTE(SUBSTITUTE(TRIM($AR1926),"-",""),".",""),"/","")," ",""),8),5,2),--MID(LEFT(SUBSTITUTE(SUBSTITUTE(SUBSTITUTE(SUBSTITUTE(TRIM($AR1926),"-",""),".",""),"/","")," ",""),8),7,2)),"")))</f>
        <v/>
      </c>
      <c r="AT1926" s="33">
        <f>IF($AS1926="","",IF($F$6="",0,IF(ISNUMBER(INDEX($A:$AP,ROW(),$F$6)),INDEX($A:$AP,ROW(),$F$6),IFERROR(--SUBSTITUTE(SUBSTITUTE(TRIM(INDEX($A:$AP,ROW(),$F$6)),",",""),"원",""),0))))</f>
        <v/>
      </c>
      <c r="AU1926" s="31">
        <f>IF($AS1926="","",IF($AX1926&lt;&gt;"",SUBSTITUTE(SUBSTITUTE($AX1926,"-","")," ",""),"N:"&amp;$AV1926))</f>
        <v/>
      </c>
      <c r="AV1926" s="31">
        <f>IF(OR($AS1926="",$E$6=""),"",TRIM(INDEX($A:$AP,ROW(),$E$6)&amp;""))</f>
        <v/>
      </c>
      <c r="AW1926" s="31">
        <f>IF($AU1926="","",IF(MATCH($AU1926,$AU$8:$AU$2007,0)=ROW()-7,MAX($AW$7:$AW1925)+1,""))</f>
        <v/>
      </c>
      <c r="AX1926" s="31">
        <f>IF(OR($AS1926="",$D$6=""),"",TRIM(INDEX($A:$AP,ROW(),$D$6)&amp;""))</f>
        <v/>
      </c>
      <c r="AY1926" s="31">
        <f>IF($AU1926="","",INDEX($AW$8:$AW$2007,MATCH($AU1926,$AU$8:$AU$2007,0)))</f>
        <v/>
      </c>
      <c r="AZ1926" s="31">
        <f>IF(OR($AS1926="",$C$6=""),"",TRIM(INDEX($A:$AP,ROW(),$C$6)&amp;""))</f>
        <v/>
      </c>
      <c r="BA1926" s="31">
        <f>IF($AZ1926="","",IF(COUNTIF($AZ$8:$AZ1926,$AZ1926)&gt;1,1,0))</f>
        <v/>
      </c>
    </row>
    <row r="1927">
      <c r="AR1927" s="31">
        <f>IF(OR($A$5="",$B$6="",ROW()&lt;$A$5),"",IF(INDEX($A:$AP,ROW(),$B$6)="","",INDEX($A:$AP,ROW(),$B$6)))</f>
        <v/>
      </c>
      <c r="AS1927" s="32">
        <f>IF($AR1927="","",IF(ISNUMBER($AR1927),IF($AR1927&gt;=10000000,IFERROR(DATE(INT($AR1927/10000),MOD(INT($AR1927/100),100),MOD($AR1927,100)),""),INT($AR1927)),IFERROR(DATE(--LEFT(LEFT(SUBSTITUTE(SUBSTITUTE(SUBSTITUTE(SUBSTITUTE(TRIM($AR1927),"-",""),".",""),"/","")," ",""),8),4),--MID(LEFT(SUBSTITUTE(SUBSTITUTE(SUBSTITUTE(SUBSTITUTE(TRIM($AR1927),"-",""),".",""),"/","")," ",""),8),5,2),--MID(LEFT(SUBSTITUTE(SUBSTITUTE(SUBSTITUTE(SUBSTITUTE(TRIM($AR1927),"-",""),".",""),"/","")," ",""),8),7,2)),"")))</f>
        <v/>
      </c>
      <c r="AT1927" s="33">
        <f>IF($AS1927="","",IF($F$6="",0,IF(ISNUMBER(INDEX($A:$AP,ROW(),$F$6)),INDEX($A:$AP,ROW(),$F$6),IFERROR(--SUBSTITUTE(SUBSTITUTE(TRIM(INDEX($A:$AP,ROW(),$F$6)),",",""),"원",""),0))))</f>
        <v/>
      </c>
      <c r="AU1927" s="31">
        <f>IF($AS1927="","",IF($AX1927&lt;&gt;"",SUBSTITUTE(SUBSTITUTE($AX1927,"-","")," ",""),"N:"&amp;$AV1927))</f>
        <v/>
      </c>
      <c r="AV1927" s="31">
        <f>IF(OR($AS1927="",$E$6=""),"",TRIM(INDEX($A:$AP,ROW(),$E$6)&amp;""))</f>
        <v/>
      </c>
      <c r="AW1927" s="31">
        <f>IF($AU1927="","",IF(MATCH($AU1927,$AU$8:$AU$2007,0)=ROW()-7,MAX($AW$7:$AW1926)+1,""))</f>
        <v/>
      </c>
      <c r="AX1927" s="31">
        <f>IF(OR($AS1927="",$D$6=""),"",TRIM(INDEX($A:$AP,ROW(),$D$6)&amp;""))</f>
        <v/>
      </c>
      <c r="AY1927" s="31">
        <f>IF($AU1927="","",INDEX($AW$8:$AW$2007,MATCH($AU1927,$AU$8:$AU$2007,0)))</f>
        <v/>
      </c>
      <c r="AZ1927" s="31">
        <f>IF(OR($AS1927="",$C$6=""),"",TRIM(INDEX($A:$AP,ROW(),$C$6)&amp;""))</f>
        <v/>
      </c>
      <c r="BA1927" s="31">
        <f>IF($AZ1927="","",IF(COUNTIF($AZ$8:$AZ1927,$AZ1927)&gt;1,1,0))</f>
        <v/>
      </c>
    </row>
    <row r="1928">
      <c r="AR1928" s="31">
        <f>IF(OR($A$5="",$B$6="",ROW()&lt;$A$5),"",IF(INDEX($A:$AP,ROW(),$B$6)="","",INDEX($A:$AP,ROW(),$B$6)))</f>
        <v/>
      </c>
      <c r="AS1928" s="32">
        <f>IF($AR1928="","",IF(ISNUMBER($AR1928),IF($AR1928&gt;=10000000,IFERROR(DATE(INT($AR1928/10000),MOD(INT($AR1928/100),100),MOD($AR1928,100)),""),INT($AR1928)),IFERROR(DATE(--LEFT(LEFT(SUBSTITUTE(SUBSTITUTE(SUBSTITUTE(SUBSTITUTE(TRIM($AR1928),"-",""),".",""),"/","")," ",""),8),4),--MID(LEFT(SUBSTITUTE(SUBSTITUTE(SUBSTITUTE(SUBSTITUTE(TRIM($AR1928),"-",""),".",""),"/","")," ",""),8),5,2),--MID(LEFT(SUBSTITUTE(SUBSTITUTE(SUBSTITUTE(SUBSTITUTE(TRIM($AR1928),"-",""),".",""),"/","")," ",""),8),7,2)),"")))</f>
        <v/>
      </c>
      <c r="AT1928" s="33">
        <f>IF($AS1928="","",IF($F$6="",0,IF(ISNUMBER(INDEX($A:$AP,ROW(),$F$6)),INDEX($A:$AP,ROW(),$F$6),IFERROR(--SUBSTITUTE(SUBSTITUTE(TRIM(INDEX($A:$AP,ROW(),$F$6)),",",""),"원",""),0))))</f>
        <v/>
      </c>
      <c r="AU1928" s="31">
        <f>IF($AS1928="","",IF($AX1928&lt;&gt;"",SUBSTITUTE(SUBSTITUTE($AX1928,"-","")," ",""),"N:"&amp;$AV1928))</f>
        <v/>
      </c>
      <c r="AV1928" s="31">
        <f>IF(OR($AS1928="",$E$6=""),"",TRIM(INDEX($A:$AP,ROW(),$E$6)&amp;""))</f>
        <v/>
      </c>
      <c r="AW1928" s="31">
        <f>IF($AU1928="","",IF(MATCH($AU1928,$AU$8:$AU$2007,0)=ROW()-7,MAX($AW$7:$AW1927)+1,""))</f>
        <v/>
      </c>
      <c r="AX1928" s="31">
        <f>IF(OR($AS1928="",$D$6=""),"",TRIM(INDEX($A:$AP,ROW(),$D$6)&amp;""))</f>
        <v/>
      </c>
      <c r="AY1928" s="31">
        <f>IF($AU1928="","",INDEX($AW$8:$AW$2007,MATCH($AU1928,$AU$8:$AU$2007,0)))</f>
        <v/>
      </c>
      <c r="AZ1928" s="31">
        <f>IF(OR($AS1928="",$C$6=""),"",TRIM(INDEX($A:$AP,ROW(),$C$6)&amp;""))</f>
        <v/>
      </c>
      <c r="BA1928" s="31">
        <f>IF($AZ1928="","",IF(COUNTIF($AZ$8:$AZ1928,$AZ1928)&gt;1,1,0))</f>
        <v/>
      </c>
    </row>
    <row r="1929">
      <c r="AR1929" s="31">
        <f>IF(OR($A$5="",$B$6="",ROW()&lt;$A$5),"",IF(INDEX($A:$AP,ROW(),$B$6)="","",INDEX($A:$AP,ROW(),$B$6)))</f>
        <v/>
      </c>
      <c r="AS1929" s="32">
        <f>IF($AR1929="","",IF(ISNUMBER($AR1929),IF($AR1929&gt;=10000000,IFERROR(DATE(INT($AR1929/10000),MOD(INT($AR1929/100),100),MOD($AR1929,100)),""),INT($AR1929)),IFERROR(DATE(--LEFT(LEFT(SUBSTITUTE(SUBSTITUTE(SUBSTITUTE(SUBSTITUTE(TRIM($AR1929),"-",""),".",""),"/","")," ",""),8),4),--MID(LEFT(SUBSTITUTE(SUBSTITUTE(SUBSTITUTE(SUBSTITUTE(TRIM($AR1929),"-",""),".",""),"/","")," ",""),8),5,2),--MID(LEFT(SUBSTITUTE(SUBSTITUTE(SUBSTITUTE(SUBSTITUTE(TRIM($AR1929),"-",""),".",""),"/","")," ",""),8),7,2)),"")))</f>
        <v/>
      </c>
      <c r="AT1929" s="33">
        <f>IF($AS1929="","",IF($F$6="",0,IF(ISNUMBER(INDEX($A:$AP,ROW(),$F$6)),INDEX($A:$AP,ROW(),$F$6),IFERROR(--SUBSTITUTE(SUBSTITUTE(TRIM(INDEX($A:$AP,ROW(),$F$6)),",",""),"원",""),0))))</f>
        <v/>
      </c>
      <c r="AU1929" s="31">
        <f>IF($AS1929="","",IF($AX1929&lt;&gt;"",SUBSTITUTE(SUBSTITUTE($AX1929,"-","")," ",""),"N:"&amp;$AV1929))</f>
        <v/>
      </c>
      <c r="AV1929" s="31">
        <f>IF(OR($AS1929="",$E$6=""),"",TRIM(INDEX($A:$AP,ROW(),$E$6)&amp;""))</f>
        <v/>
      </c>
      <c r="AW1929" s="31">
        <f>IF($AU1929="","",IF(MATCH($AU1929,$AU$8:$AU$2007,0)=ROW()-7,MAX($AW$7:$AW1928)+1,""))</f>
        <v/>
      </c>
      <c r="AX1929" s="31">
        <f>IF(OR($AS1929="",$D$6=""),"",TRIM(INDEX($A:$AP,ROW(),$D$6)&amp;""))</f>
        <v/>
      </c>
      <c r="AY1929" s="31">
        <f>IF($AU1929="","",INDEX($AW$8:$AW$2007,MATCH($AU1929,$AU$8:$AU$2007,0)))</f>
        <v/>
      </c>
      <c r="AZ1929" s="31">
        <f>IF(OR($AS1929="",$C$6=""),"",TRIM(INDEX($A:$AP,ROW(),$C$6)&amp;""))</f>
        <v/>
      </c>
      <c r="BA1929" s="31">
        <f>IF($AZ1929="","",IF(COUNTIF($AZ$8:$AZ1929,$AZ1929)&gt;1,1,0))</f>
        <v/>
      </c>
    </row>
    <row r="1930">
      <c r="AR1930" s="31">
        <f>IF(OR($A$5="",$B$6="",ROW()&lt;$A$5),"",IF(INDEX($A:$AP,ROW(),$B$6)="","",INDEX($A:$AP,ROW(),$B$6)))</f>
        <v/>
      </c>
      <c r="AS1930" s="32">
        <f>IF($AR1930="","",IF(ISNUMBER($AR1930),IF($AR1930&gt;=10000000,IFERROR(DATE(INT($AR1930/10000),MOD(INT($AR1930/100),100),MOD($AR1930,100)),""),INT($AR1930)),IFERROR(DATE(--LEFT(LEFT(SUBSTITUTE(SUBSTITUTE(SUBSTITUTE(SUBSTITUTE(TRIM($AR1930),"-",""),".",""),"/","")," ",""),8),4),--MID(LEFT(SUBSTITUTE(SUBSTITUTE(SUBSTITUTE(SUBSTITUTE(TRIM($AR1930),"-",""),".",""),"/","")," ",""),8),5,2),--MID(LEFT(SUBSTITUTE(SUBSTITUTE(SUBSTITUTE(SUBSTITUTE(TRIM($AR1930),"-",""),".",""),"/","")," ",""),8),7,2)),"")))</f>
        <v/>
      </c>
      <c r="AT1930" s="33">
        <f>IF($AS1930="","",IF($F$6="",0,IF(ISNUMBER(INDEX($A:$AP,ROW(),$F$6)),INDEX($A:$AP,ROW(),$F$6),IFERROR(--SUBSTITUTE(SUBSTITUTE(TRIM(INDEX($A:$AP,ROW(),$F$6)),",",""),"원",""),0))))</f>
        <v/>
      </c>
      <c r="AU1930" s="31">
        <f>IF($AS1930="","",IF($AX1930&lt;&gt;"",SUBSTITUTE(SUBSTITUTE($AX1930,"-","")," ",""),"N:"&amp;$AV1930))</f>
        <v/>
      </c>
      <c r="AV1930" s="31">
        <f>IF(OR($AS1930="",$E$6=""),"",TRIM(INDEX($A:$AP,ROW(),$E$6)&amp;""))</f>
        <v/>
      </c>
      <c r="AW1930" s="31">
        <f>IF($AU1930="","",IF(MATCH($AU1930,$AU$8:$AU$2007,0)=ROW()-7,MAX($AW$7:$AW1929)+1,""))</f>
        <v/>
      </c>
      <c r="AX1930" s="31">
        <f>IF(OR($AS1930="",$D$6=""),"",TRIM(INDEX($A:$AP,ROW(),$D$6)&amp;""))</f>
        <v/>
      </c>
      <c r="AY1930" s="31">
        <f>IF($AU1930="","",INDEX($AW$8:$AW$2007,MATCH($AU1930,$AU$8:$AU$2007,0)))</f>
        <v/>
      </c>
      <c r="AZ1930" s="31">
        <f>IF(OR($AS1930="",$C$6=""),"",TRIM(INDEX($A:$AP,ROW(),$C$6)&amp;""))</f>
        <v/>
      </c>
      <c r="BA1930" s="31">
        <f>IF($AZ1930="","",IF(COUNTIF($AZ$8:$AZ1930,$AZ1930)&gt;1,1,0))</f>
        <v/>
      </c>
    </row>
    <row r="1931">
      <c r="AR1931" s="31">
        <f>IF(OR($A$5="",$B$6="",ROW()&lt;$A$5),"",IF(INDEX($A:$AP,ROW(),$B$6)="","",INDEX($A:$AP,ROW(),$B$6)))</f>
        <v/>
      </c>
      <c r="AS1931" s="32">
        <f>IF($AR1931="","",IF(ISNUMBER($AR1931),IF($AR1931&gt;=10000000,IFERROR(DATE(INT($AR1931/10000),MOD(INT($AR1931/100),100),MOD($AR1931,100)),""),INT($AR1931)),IFERROR(DATE(--LEFT(LEFT(SUBSTITUTE(SUBSTITUTE(SUBSTITUTE(SUBSTITUTE(TRIM($AR1931),"-",""),".",""),"/","")," ",""),8),4),--MID(LEFT(SUBSTITUTE(SUBSTITUTE(SUBSTITUTE(SUBSTITUTE(TRIM($AR1931),"-",""),".",""),"/","")," ",""),8),5,2),--MID(LEFT(SUBSTITUTE(SUBSTITUTE(SUBSTITUTE(SUBSTITUTE(TRIM($AR1931),"-",""),".",""),"/","")," ",""),8),7,2)),"")))</f>
        <v/>
      </c>
      <c r="AT1931" s="33">
        <f>IF($AS1931="","",IF($F$6="",0,IF(ISNUMBER(INDEX($A:$AP,ROW(),$F$6)),INDEX($A:$AP,ROW(),$F$6),IFERROR(--SUBSTITUTE(SUBSTITUTE(TRIM(INDEX($A:$AP,ROW(),$F$6)),",",""),"원",""),0))))</f>
        <v/>
      </c>
      <c r="AU1931" s="31">
        <f>IF($AS1931="","",IF($AX1931&lt;&gt;"",SUBSTITUTE(SUBSTITUTE($AX1931,"-","")," ",""),"N:"&amp;$AV1931))</f>
        <v/>
      </c>
      <c r="AV1931" s="31">
        <f>IF(OR($AS1931="",$E$6=""),"",TRIM(INDEX($A:$AP,ROW(),$E$6)&amp;""))</f>
        <v/>
      </c>
      <c r="AW1931" s="31">
        <f>IF($AU1931="","",IF(MATCH($AU1931,$AU$8:$AU$2007,0)=ROW()-7,MAX($AW$7:$AW1930)+1,""))</f>
        <v/>
      </c>
      <c r="AX1931" s="31">
        <f>IF(OR($AS1931="",$D$6=""),"",TRIM(INDEX($A:$AP,ROW(),$D$6)&amp;""))</f>
        <v/>
      </c>
      <c r="AY1931" s="31">
        <f>IF($AU1931="","",INDEX($AW$8:$AW$2007,MATCH($AU1931,$AU$8:$AU$2007,0)))</f>
        <v/>
      </c>
      <c r="AZ1931" s="31">
        <f>IF(OR($AS1931="",$C$6=""),"",TRIM(INDEX($A:$AP,ROW(),$C$6)&amp;""))</f>
        <v/>
      </c>
      <c r="BA1931" s="31">
        <f>IF($AZ1931="","",IF(COUNTIF($AZ$8:$AZ1931,$AZ1931)&gt;1,1,0))</f>
        <v/>
      </c>
    </row>
    <row r="1932">
      <c r="AR1932" s="31">
        <f>IF(OR($A$5="",$B$6="",ROW()&lt;$A$5),"",IF(INDEX($A:$AP,ROW(),$B$6)="","",INDEX($A:$AP,ROW(),$B$6)))</f>
        <v/>
      </c>
      <c r="AS1932" s="32">
        <f>IF($AR1932="","",IF(ISNUMBER($AR1932),IF($AR1932&gt;=10000000,IFERROR(DATE(INT($AR1932/10000),MOD(INT($AR1932/100),100),MOD($AR1932,100)),""),INT($AR1932)),IFERROR(DATE(--LEFT(LEFT(SUBSTITUTE(SUBSTITUTE(SUBSTITUTE(SUBSTITUTE(TRIM($AR1932),"-",""),".",""),"/","")," ",""),8),4),--MID(LEFT(SUBSTITUTE(SUBSTITUTE(SUBSTITUTE(SUBSTITUTE(TRIM($AR1932),"-",""),".",""),"/","")," ",""),8),5,2),--MID(LEFT(SUBSTITUTE(SUBSTITUTE(SUBSTITUTE(SUBSTITUTE(TRIM($AR1932),"-",""),".",""),"/","")," ",""),8),7,2)),"")))</f>
        <v/>
      </c>
      <c r="AT1932" s="33">
        <f>IF($AS1932="","",IF($F$6="",0,IF(ISNUMBER(INDEX($A:$AP,ROW(),$F$6)),INDEX($A:$AP,ROW(),$F$6),IFERROR(--SUBSTITUTE(SUBSTITUTE(TRIM(INDEX($A:$AP,ROW(),$F$6)),",",""),"원",""),0))))</f>
        <v/>
      </c>
      <c r="AU1932" s="31">
        <f>IF($AS1932="","",IF($AX1932&lt;&gt;"",SUBSTITUTE(SUBSTITUTE($AX1932,"-","")," ",""),"N:"&amp;$AV1932))</f>
        <v/>
      </c>
      <c r="AV1932" s="31">
        <f>IF(OR($AS1932="",$E$6=""),"",TRIM(INDEX($A:$AP,ROW(),$E$6)&amp;""))</f>
        <v/>
      </c>
      <c r="AW1932" s="31">
        <f>IF($AU1932="","",IF(MATCH($AU1932,$AU$8:$AU$2007,0)=ROW()-7,MAX($AW$7:$AW1931)+1,""))</f>
        <v/>
      </c>
      <c r="AX1932" s="31">
        <f>IF(OR($AS1932="",$D$6=""),"",TRIM(INDEX($A:$AP,ROW(),$D$6)&amp;""))</f>
        <v/>
      </c>
      <c r="AY1932" s="31">
        <f>IF($AU1932="","",INDEX($AW$8:$AW$2007,MATCH($AU1932,$AU$8:$AU$2007,0)))</f>
        <v/>
      </c>
      <c r="AZ1932" s="31">
        <f>IF(OR($AS1932="",$C$6=""),"",TRIM(INDEX($A:$AP,ROW(),$C$6)&amp;""))</f>
        <v/>
      </c>
      <c r="BA1932" s="31">
        <f>IF($AZ1932="","",IF(COUNTIF($AZ$8:$AZ1932,$AZ1932)&gt;1,1,0))</f>
        <v/>
      </c>
    </row>
    <row r="1933">
      <c r="AR1933" s="31">
        <f>IF(OR($A$5="",$B$6="",ROW()&lt;$A$5),"",IF(INDEX($A:$AP,ROW(),$B$6)="","",INDEX($A:$AP,ROW(),$B$6)))</f>
        <v/>
      </c>
      <c r="AS1933" s="32">
        <f>IF($AR1933="","",IF(ISNUMBER($AR1933),IF($AR1933&gt;=10000000,IFERROR(DATE(INT($AR1933/10000),MOD(INT($AR1933/100),100),MOD($AR1933,100)),""),INT($AR1933)),IFERROR(DATE(--LEFT(LEFT(SUBSTITUTE(SUBSTITUTE(SUBSTITUTE(SUBSTITUTE(TRIM($AR1933),"-",""),".",""),"/","")," ",""),8),4),--MID(LEFT(SUBSTITUTE(SUBSTITUTE(SUBSTITUTE(SUBSTITUTE(TRIM($AR1933),"-",""),".",""),"/","")," ",""),8),5,2),--MID(LEFT(SUBSTITUTE(SUBSTITUTE(SUBSTITUTE(SUBSTITUTE(TRIM($AR1933),"-",""),".",""),"/","")," ",""),8),7,2)),"")))</f>
        <v/>
      </c>
      <c r="AT1933" s="33">
        <f>IF($AS1933="","",IF($F$6="",0,IF(ISNUMBER(INDEX($A:$AP,ROW(),$F$6)),INDEX($A:$AP,ROW(),$F$6),IFERROR(--SUBSTITUTE(SUBSTITUTE(TRIM(INDEX($A:$AP,ROW(),$F$6)),",",""),"원",""),0))))</f>
        <v/>
      </c>
      <c r="AU1933" s="31">
        <f>IF($AS1933="","",IF($AX1933&lt;&gt;"",SUBSTITUTE(SUBSTITUTE($AX1933,"-","")," ",""),"N:"&amp;$AV1933))</f>
        <v/>
      </c>
      <c r="AV1933" s="31">
        <f>IF(OR($AS1933="",$E$6=""),"",TRIM(INDEX($A:$AP,ROW(),$E$6)&amp;""))</f>
        <v/>
      </c>
      <c r="AW1933" s="31">
        <f>IF($AU1933="","",IF(MATCH($AU1933,$AU$8:$AU$2007,0)=ROW()-7,MAX($AW$7:$AW1932)+1,""))</f>
        <v/>
      </c>
      <c r="AX1933" s="31">
        <f>IF(OR($AS1933="",$D$6=""),"",TRIM(INDEX($A:$AP,ROW(),$D$6)&amp;""))</f>
        <v/>
      </c>
      <c r="AY1933" s="31">
        <f>IF($AU1933="","",INDEX($AW$8:$AW$2007,MATCH($AU1933,$AU$8:$AU$2007,0)))</f>
        <v/>
      </c>
      <c r="AZ1933" s="31">
        <f>IF(OR($AS1933="",$C$6=""),"",TRIM(INDEX($A:$AP,ROW(),$C$6)&amp;""))</f>
        <v/>
      </c>
      <c r="BA1933" s="31">
        <f>IF($AZ1933="","",IF(COUNTIF($AZ$8:$AZ1933,$AZ1933)&gt;1,1,0))</f>
        <v/>
      </c>
    </row>
    <row r="1934">
      <c r="AR1934" s="31">
        <f>IF(OR($A$5="",$B$6="",ROW()&lt;$A$5),"",IF(INDEX($A:$AP,ROW(),$B$6)="","",INDEX($A:$AP,ROW(),$B$6)))</f>
        <v/>
      </c>
      <c r="AS1934" s="32">
        <f>IF($AR1934="","",IF(ISNUMBER($AR1934),IF($AR1934&gt;=10000000,IFERROR(DATE(INT($AR1934/10000),MOD(INT($AR1934/100),100),MOD($AR1934,100)),""),INT($AR1934)),IFERROR(DATE(--LEFT(LEFT(SUBSTITUTE(SUBSTITUTE(SUBSTITUTE(SUBSTITUTE(TRIM($AR1934),"-",""),".",""),"/","")," ",""),8),4),--MID(LEFT(SUBSTITUTE(SUBSTITUTE(SUBSTITUTE(SUBSTITUTE(TRIM($AR1934),"-",""),".",""),"/","")," ",""),8),5,2),--MID(LEFT(SUBSTITUTE(SUBSTITUTE(SUBSTITUTE(SUBSTITUTE(TRIM($AR1934),"-",""),".",""),"/","")," ",""),8),7,2)),"")))</f>
        <v/>
      </c>
      <c r="AT1934" s="33">
        <f>IF($AS1934="","",IF($F$6="",0,IF(ISNUMBER(INDEX($A:$AP,ROW(),$F$6)),INDEX($A:$AP,ROW(),$F$6),IFERROR(--SUBSTITUTE(SUBSTITUTE(TRIM(INDEX($A:$AP,ROW(),$F$6)),",",""),"원",""),0))))</f>
        <v/>
      </c>
      <c r="AU1934" s="31">
        <f>IF($AS1934="","",IF($AX1934&lt;&gt;"",SUBSTITUTE(SUBSTITUTE($AX1934,"-","")," ",""),"N:"&amp;$AV1934))</f>
        <v/>
      </c>
      <c r="AV1934" s="31">
        <f>IF(OR($AS1934="",$E$6=""),"",TRIM(INDEX($A:$AP,ROW(),$E$6)&amp;""))</f>
        <v/>
      </c>
      <c r="AW1934" s="31">
        <f>IF($AU1934="","",IF(MATCH($AU1934,$AU$8:$AU$2007,0)=ROW()-7,MAX($AW$7:$AW1933)+1,""))</f>
        <v/>
      </c>
      <c r="AX1934" s="31">
        <f>IF(OR($AS1934="",$D$6=""),"",TRIM(INDEX($A:$AP,ROW(),$D$6)&amp;""))</f>
        <v/>
      </c>
      <c r="AY1934" s="31">
        <f>IF($AU1934="","",INDEX($AW$8:$AW$2007,MATCH($AU1934,$AU$8:$AU$2007,0)))</f>
        <v/>
      </c>
      <c r="AZ1934" s="31">
        <f>IF(OR($AS1934="",$C$6=""),"",TRIM(INDEX($A:$AP,ROW(),$C$6)&amp;""))</f>
        <v/>
      </c>
      <c r="BA1934" s="31">
        <f>IF($AZ1934="","",IF(COUNTIF($AZ$8:$AZ1934,$AZ1934)&gt;1,1,0))</f>
        <v/>
      </c>
    </row>
    <row r="1935">
      <c r="AR1935" s="31">
        <f>IF(OR($A$5="",$B$6="",ROW()&lt;$A$5),"",IF(INDEX($A:$AP,ROW(),$B$6)="","",INDEX($A:$AP,ROW(),$B$6)))</f>
        <v/>
      </c>
      <c r="AS1935" s="32">
        <f>IF($AR1935="","",IF(ISNUMBER($AR1935),IF($AR1935&gt;=10000000,IFERROR(DATE(INT($AR1935/10000),MOD(INT($AR1935/100),100),MOD($AR1935,100)),""),INT($AR1935)),IFERROR(DATE(--LEFT(LEFT(SUBSTITUTE(SUBSTITUTE(SUBSTITUTE(SUBSTITUTE(TRIM($AR1935),"-",""),".",""),"/","")," ",""),8),4),--MID(LEFT(SUBSTITUTE(SUBSTITUTE(SUBSTITUTE(SUBSTITUTE(TRIM($AR1935),"-",""),".",""),"/","")," ",""),8),5,2),--MID(LEFT(SUBSTITUTE(SUBSTITUTE(SUBSTITUTE(SUBSTITUTE(TRIM($AR1935),"-",""),".",""),"/","")," ",""),8),7,2)),"")))</f>
        <v/>
      </c>
      <c r="AT1935" s="33">
        <f>IF($AS1935="","",IF($F$6="",0,IF(ISNUMBER(INDEX($A:$AP,ROW(),$F$6)),INDEX($A:$AP,ROW(),$F$6),IFERROR(--SUBSTITUTE(SUBSTITUTE(TRIM(INDEX($A:$AP,ROW(),$F$6)),",",""),"원",""),0))))</f>
        <v/>
      </c>
      <c r="AU1935" s="31">
        <f>IF($AS1935="","",IF($AX1935&lt;&gt;"",SUBSTITUTE(SUBSTITUTE($AX1935,"-","")," ",""),"N:"&amp;$AV1935))</f>
        <v/>
      </c>
      <c r="AV1935" s="31">
        <f>IF(OR($AS1935="",$E$6=""),"",TRIM(INDEX($A:$AP,ROW(),$E$6)&amp;""))</f>
        <v/>
      </c>
      <c r="AW1935" s="31">
        <f>IF($AU1935="","",IF(MATCH($AU1935,$AU$8:$AU$2007,0)=ROW()-7,MAX($AW$7:$AW1934)+1,""))</f>
        <v/>
      </c>
      <c r="AX1935" s="31">
        <f>IF(OR($AS1935="",$D$6=""),"",TRIM(INDEX($A:$AP,ROW(),$D$6)&amp;""))</f>
        <v/>
      </c>
      <c r="AY1935" s="31">
        <f>IF($AU1935="","",INDEX($AW$8:$AW$2007,MATCH($AU1935,$AU$8:$AU$2007,0)))</f>
        <v/>
      </c>
      <c r="AZ1935" s="31">
        <f>IF(OR($AS1935="",$C$6=""),"",TRIM(INDEX($A:$AP,ROW(),$C$6)&amp;""))</f>
        <v/>
      </c>
      <c r="BA1935" s="31">
        <f>IF($AZ1935="","",IF(COUNTIF($AZ$8:$AZ1935,$AZ1935)&gt;1,1,0))</f>
        <v/>
      </c>
    </row>
    <row r="1936">
      <c r="AR1936" s="31">
        <f>IF(OR($A$5="",$B$6="",ROW()&lt;$A$5),"",IF(INDEX($A:$AP,ROW(),$B$6)="","",INDEX($A:$AP,ROW(),$B$6)))</f>
        <v/>
      </c>
      <c r="AS1936" s="32">
        <f>IF($AR1936="","",IF(ISNUMBER($AR1936),IF($AR1936&gt;=10000000,IFERROR(DATE(INT($AR1936/10000),MOD(INT($AR1936/100),100),MOD($AR1936,100)),""),INT($AR1936)),IFERROR(DATE(--LEFT(LEFT(SUBSTITUTE(SUBSTITUTE(SUBSTITUTE(SUBSTITUTE(TRIM($AR1936),"-",""),".",""),"/","")," ",""),8),4),--MID(LEFT(SUBSTITUTE(SUBSTITUTE(SUBSTITUTE(SUBSTITUTE(TRIM($AR1936),"-",""),".",""),"/","")," ",""),8),5,2),--MID(LEFT(SUBSTITUTE(SUBSTITUTE(SUBSTITUTE(SUBSTITUTE(TRIM($AR1936),"-",""),".",""),"/","")," ",""),8),7,2)),"")))</f>
        <v/>
      </c>
      <c r="AT1936" s="33">
        <f>IF($AS1936="","",IF($F$6="",0,IF(ISNUMBER(INDEX($A:$AP,ROW(),$F$6)),INDEX($A:$AP,ROW(),$F$6),IFERROR(--SUBSTITUTE(SUBSTITUTE(TRIM(INDEX($A:$AP,ROW(),$F$6)),",",""),"원",""),0))))</f>
        <v/>
      </c>
      <c r="AU1936" s="31">
        <f>IF($AS1936="","",IF($AX1936&lt;&gt;"",SUBSTITUTE(SUBSTITUTE($AX1936,"-","")," ",""),"N:"&amp;$AV1936))</f>
        <v/>
      </c>
      <c r="AV1936" s="31">
        <f>IF(OR($AS1936="",$E$6=""),"",TRIM(INDEX($A:$AP,ROW(),$E$6)&amp;""))</f>
        <v/>
      </c>
      <c r="AW1936" s="31">
        <f>IF($AU1936="","",IF(MATCH($AU1936,$AU$8:$AU$2007,0)=ROW()-7,MAX($AW$7:$AW1935)+1,""))</f>
        <v/>
      </c>
      <c r="AX1936" s="31">
        <f>IF(OR($AS1936="",$D$6=""),"",TRIM(INDEX($A:$AP,ROW(),$D$6)&amp;""))</f>
        <v/>
      </c>
      <c r="AY1936" s="31">
        <f>IF($AU1936="","",INDEX($AW$8:$AW$2007,MATCH($AU1936,$AU$8:$AU$2007,0)))</f>
        <v/>
      </c>
      <c r="AZ1936" s="31">
        <f>IF(OR($AS1936="",$C$6=""),"",TRIM(INDEX($A:$AP,ROW(),$C$6)&amp;""))</f>
        <v/>
      </c>
      <c r="BA1936" s="31">
        <f>IF($AZ1936="","",IF(COUNTIF($AZ$8:$AZ1936,$AZ1936)&gt;1,1,0))</f>
        <v/>
      </c>
    </row>
    <row r="1937">
      <c r="AR1937" s="31">
        <f>IF(OR($A$5="",$B$6="",ROW()&lt;$A$5),"",IF(INDEX($A:$AP,ROW(),$B$6)="","",INDEX($A:$AP,ROW(),$B$6)))</f>
        <v/>
      </c>
      <c r="AS1937" s="32">
        <f>IF($AR1937="","",IF(ISNUMBER($AR1937),IF($AR1937&gt;=10000000,IFERROR(DATE(INT($AR1937/10000),MOD(INT($AR1937/100),100),MOD($AR1937,100)),""),INT($AR1937)),IFERROR(DATE(--LEFT(LEFT(SUBSTITUTE(SUBSTITUTE(SUBSTITUTE(SUBSTITUTE(TRIM($AR1937),"-",""),".",""),"/","")," ",""),8),4),--MID(LEFT(SUBSTITUTE(SUBSTITUTE(SUBSTITUTE(SUBSTITUTE(TRIM($AR1937),"-",""),".",""),"/","")," ",""),8),5,2),--MID(LEFT(SUBSTITUTE(SUBSTITUTE(SUBSTITUTE(SUBSTITUTE(TRIM($AR1937),"-",""),".",""),"/","")," ",""),8),7,2)),"")))</f>
        <v/>
      </c>
      <c r="AT1937" s="33">
        <f>IF($AS1937="","",IF($F$6="",0,IF(ISNUMBER(INDEX($A:$AP,ROW(),$F$6)),INDEX($A:$AP,ROW(),$F$6),IFERROR(--SUBSTITUTE(SUBSTITUTE(TRIM(INDEX($A:$AP,ROW(),$F$6)),",",""),"원",""),0))))</f>
        <v/>
      </c>
      <c r="AU1937" s="31">
        <f>IF($AS1937="","",IF($AX1937&lt;&gt;"",SUBSTITUTE(SUBSTITUTE($AX1937,"-","")," ",""),"N:"&amp;$AV1937))</f>
        <v/>
      </c>
      <c r="AV1937" s="31">
        <f>IF(OR($AS1937="",$E$6=""),"",TRIM(INDEX($A:$AP,ROW(),$E$6)&amp;""))</f>
        <v/>
      </c>
      <c r="AW1937" s="31">
        <f>IF($AU1937="","",IF(MATCH($AU1937,$AU$8:$AU$2007,0)=ROW()-7,MAX($AW$7:$AW1936)+1,""))</f>
        <v/>
      </c>
      <c r="AX1937" s="31">
        <f>IF(OR($AS1937="",$D$6=""),"",TRIM(INDEX($A:$AP,ROW(),$D$6)&amp;""))</f>
        <v/>
      </c>
      <c r="AY1937" s="31">
        <f>IF($AU1937="","",INDEX($AW$8:$AW$2007,MATCH($AU1937,$AU$8:$AU$2007,0)))</f>
        <v/>
      </c>
      <c r="AZ1937" s="31">
        <f>IF(OR($AS1937="",$C$6=""),"",TRIM(INDEX($A:$AP,ROW(),$C$6)&amp;""))</f>
        <v/>
      </c>
      <c r="BA1937" s="31">
        <f>IF($AZ1937="","",IF(COUNTIF($AZ$8:$AZ1937,$AZ1937)&gt;1,1,0))</f>
        <v/>
      </c>
    </row>
    <row r="1938">
      <c r="AR1938" s="31">
        <f>IF(OR($A$5="",$B$6="",ROW()&lt;$A$5),"",IF(INDEX($A:$AP,ROW(),$B$6)="","",INDEX($A:$AP,ROW(),$B$6)))</f>
        <v/>
      </c>
      <c r="AS1938" s="32">
        <f>IF($AR1938="","",IF(ISNUMBER($AR1938),IF($AR1938&gt;=10000000,IFERROR(DATE(INT($AR1938/10000),MOD(INT($AR1938/100),100),MOD($AR1938,100)),""),INT($AR1938)),IFERROR(DATE(--LEFT(LEFT(SUBSTITUTE(SUBSTITUTE(SUBSTITUTE(SUBSTITUTE(TRIM($AR1938),"-",""),".",""),"/","")," ",""),8),4),--MID(LEFT(SUBSTITUTE(SUBSTITUTE(SUBSTITUTE(SUBSTITUTE(TRIM($AR1938),"-",""),".",""),"/","")," ",""),8),5,2),--MID(LEFT(SUBSTITUTE(SUBSTITUTE(SUBSTITUTE(SUBSTITUTE(TRIM($AR1938),"-",""),".",""),"/","")," ",""),8),7,2)),"")))</f>
        <v/>
      </c>
      <c r="AT1938" s="33">
        <f>IF($AS1938="","",IF($F$6="",0,IF(ISNUMBER(INDEX($A:$AP,ROW(),$F$6)),INDEX($A:$AP,ROW(),$F$6),IFERROR(--SUBSTITUTE(SUBSTITUTE(TRIM(INDEX($A:$AP,ROW(),$F$6)),",",""),"원",""),0))))</f>
        <v/>
      </c>
      <c r="AU1938" s="31">
        <f>IF($AS1938="","",IF($AX1938&lt;&gt;"",SUBSTITUTE(SUBSTITUTE($AX1938,"-","")," ",""),"N:"&amp;$AV1938))</f>
        <v/>
      </c>
      <c r="AV1938" s="31">
        <f>IF(OR($AS1938="",$E$6=""),"",TRIM(INDEX($A:$AP,ROW(),$E$6)&amp;""))</f>
        <v/>
      </c>
      <c r="AW1938" s="31">
        <f>IF($AU1938="","",IF(MATCH($AU1938,$AU$8:$AU$2007,0)=ROW()-7,MAX($AW$7:$AW1937)+1,""))</f>
        <v/>
      </c>
      <c r="AX1938" s="31">
        <f>IF(OR($AS1938="",$D$6=""),"",TRIM(INDEX($A:$AP,ROW(),$D$6)&amp;""))</f>
        <v/>
      </c>
      <c r="AY1938" s="31">
        <f>IF($AU1938="","",INDEX($AW$8:$AW$2007,MATCH($AU1938,$AU$8:$AU$2007,0)))</f>
        <v/>
      </c>
      <c r="AZ1938" s="31">
        <f>IF(OR($AS1938="",$C$6=""),"",TRIM(INDEX($A:$AP,ROW(),$C$6)&amp;""))</f>
        <v/>
      </c>
      <c r="BA1938" s="31">
        <f>IF($AZ1938="","",IF(COUNTIF($AZ$8:$AZ1938,$AZ1938)&gt;1,1,0))</f>
        <v/>
      </c>
    </row>
    <row r="1939">
      <c r="AR1939" s="31">
        <f>IF(OR($A$5="",$B$6="",ROW()&lt;$A$5),"",IF(INDEX($A:$AP,ROW(),$B$6)="","",INDEX($A:$AP,ROW(),$B$6)))</f>
        <v/>
      </c>
      <c r="AS1939" s="32">
        <f>IF($AR1939="","",IF(ISNUMBER($AR1939),IF($AR1939&gt;=10000000,IFERROR(DATE(INT($AR1939/10000),MOD(INT($AR1939/100),100),MOD($AR1939,100)),""),INT($AR1939)),IFERROR(DATE(--LEFT(LEFT(SUBSTITUTE(SUBSTITUTE(SUBSTITUTE(SUBSTITUTE(TRIM($AR1939),"-",""),".",""),"/","")," ",""),8),4),--MID(LEFT(SUBSTITUTE(SUBSTITUTE(SUBSTITUTE(SUBSTITUTE(TRIM($AR1939),"-",""),".",""),"/","")," ",""),8),5,2),--MID(LEFT(SUBSTITUTE(SUBSTITUTE(SUBSTITUTE(SUBSTITUTE(TRIM($AR1939),"-",""),".",""),"/","")," ",""),8),7,2)),"")))</f>
        <v/>
      </c>
      <c r="AT1939" s="33">
        <f>IF($AS1939="","",IF($F$6="",0,IF(ISNUMBER(INDEX($A:$AP,ROW(),$F$6)),INDEX($A:$AP,ROW(),$F$6),IFERROR(--SUBSTITUTE(SUBSTITUTE(TRIM(INDEX($A:$AP,ROW(),$F$6)),",",""),"원",""),0))))</f>
        <v/>
      </c>
      <c r="AU1939" s="31">
        <f>IF($AS1939="","",IF($AX1939&lt;&gt;"",SUBSTITUTE(SUBSTITUTE($AX1939,"-","")," ",""),"N:"&amp;$AV1939))</f>
        <v/>
      </c>
      <c r="AV1939" s="31">
        <f>IF(OR($AS1939="",$E$6=""),"",TRIM(INDEX($A:$AP,ROW(),$E$6)&amp;""))</f>
        <v/>
      </c>
      <c r="AW1939" s="31">
        <f>IF($AU1939="","",IF(MATCH($AU1939,$AU$8:$AU$2007,0)=ROW()-7,MAX($AW$7:$AW1938)+1,""))</f>
        <v/>
      </c>
      <c r="AX1939" s="31">
        <f>IF(OR($AS1939="",$D$6=""),"",TRIM(INDEX($A:$AP,ROW(),$D$6)&amp;""))</f>
        <v/>
      </c>
      <c r="AY1939" s="31">
        <f>IF($AU1939="","",INDEX($AW$8:$AW$2007,MATCH($AU1939,$AU$8:$AU$2007,0)))</f>
        <v/>
      </c>
      <c r="AZ1939" s="31">
        <f>IF(OR($AS1939="",$C$6=""),"",TRIM(INDEX($A:$AP,ROW(),$C$6)&amp;""))</f>
        <v/>
      </c>
      <c r="BA1939" s="31">
        <f>IF($AZ1939="","",IF(COUNTIF($AZ$8:$AZ1939,$AZ1939)&gt;1,1,0))</f>
        <v/>
      </c>
    </row>
    <row r="1940">
      <c r="AR1940" s="31">
        <f>IF(OR($A$5="",$B$6="",ROW()&lt;$A$5),"",IF(INDEX($A:$AP,ROW(),$B$6)="","",INDEX($A:$AP,ROW(),$B$6)))</f>
        <v/>
      </c>
      <c r="AS1940" s="32">
        <f>IF($AR1940="","",IF(ISNUMBER($AR1940),IF($AR1940&gt;=10000000,IFERROR(DATE(INT($AR1940/10000),MOD(INT($AR1940/100),100),MOD($AR1940,100)),""),INT($AR1940)),IFERROR(DATE(--LEFT(LEFT(SUBSTITUTE(SUBSTITUTE(SUBSTITUTE(SUBSTITUTE(TRIM($AR1940),"-",""),".",""),"/","")," ",""),8),4),--MID(LEFT(SUBSTITUTE(SUBSTITUTE(SUBSTITUTE(SUBSTITUTE(TRIM($AR1940),"-",""),".",""),"/","")," ",""),8),5,2),--MID(LEFT(SUBSTITUTE(SUBSTITUTE(SUBSTITUTE(SUBSTITUTE(TRIM($AR1940),"-",""),".",""),"/","")," ",""),8),7,2)),"")))</f>
        <v/>
      </c>
      <c r="AT1940" s="33">
        <f>IF($AS1940="","",IF($F$6="",0,IF(ISNUMBER(INDEX($A:$AP,ROW(),$F$6)),INDEX($A:$AP,ROW(),$F$6),IFERROR(--SUBSTITUTE(SUBSTITUTE(TRIM(INDEX($A:$AP,ROW(),$F$6)),",",""),"원",""),0))))</f>
        <v/>
      </c>
      <c r="AU1940" s="31">
        <f>IF($AS1940="","",IF($AX1940&lt;&gt;"",SUBSTITUTE(SUBSTITUTE($AX1940,"-","")," ",""),"N:"&amp;$AV1940))</f>
        <v/>
      </c>
      <c r="AV1940" s="31">
        <f>IF(OR($AS1940="",$E$6=""),"",TRIM(INDEX($A:$AP,ROW(),$E$6)&amp;""))</f>
        <v/>
      </c>
      <c r="AW1940" s="31">
        <f>IF($AU1940="","",IF(MATCH($AU1940,$AU$8:$AU$2007,0)=ROW()-7,MAX($AW$7:$AW1939)+1,""))</f>
        <v/>
      </c>
      <c r="AX1940" s="31">
        <f>IF(OR($AS1940="",$D$6=""),"",TRIM(INDEX($A:$AP,ROW(),$D$6)&amp;""))</f>
        <v/>
      </c>
      <c r="AY1940" s="31">
        <f>IF($AU1940="","",INDEX($AW$8:$AW$2007,MATCH($AU1940,$AU$8:$AU$2007,0)))</f>
        <v/>
      </c>
      <c r="AZ1940" s="31">
        <f>IF(OR($AS1940="",$C$6=""),"",TRIM(INDEX($A:$AP,ROW(),$C$6)&amp;""))</f>
        <v/>
      </c>
      <c r="BA1940" s="31">
        <f>IF($AZ1940="","",IF(COUNTIF($AZ$8:$AZ1940,$AZ1940)&gt;1,1,0))</f>
        <v/>
      </c>
    </row>
    <row r="1941">
      <c r="AR1941" s="31">
        <f>IF(OR($A$5="",$B$6="",ROW()&lt;$A$5),"",IF(INDEX($A:$AP,ROW(),$B$6)="","",INDEX($A:$AP,ROW(),$B$6)))</f>
        <v/>
      </c>
      <c r="AS1941" s="32">
        <f>IF($AR1941="","",IF(ISNUMBER($AR1941),IF($AR1941&gt;=10000000,IFERROR(DATE(INT($AR1941/10000),MOD(INT($AR1941/100),100),MOD($AR1941,100)),""),INT($AR1941)),IFERROR(DATE(--LEFT(LEFT(SUBSTITUTE(SUBSTITUTE(SUBSTITUTE(SUBSTITUTE(TRIM($AR1941),"-",""),".",""),"/","")," ",""),8),4),--MID(LEFT(SUBSTITUTE(SUBSTITUTE(SUBSTITUTE(SUBSTITUTE(TRIM($AR1941),"-",""),".",""),"/","")," ",""),8),5,2),--MID(LEFT(SUBSTITUTE(SUBSTITUTE(SUBSTITUTE(SUBSTITUTE(TRIM($AR1941),"-",""),".",""),"/","")," ",""),8),7,2)),"")))</f>
        <v/>
      </c>
      <c r="AT1941" s="33">
        <f>IF($AS1941="","",IF($F$6="",0,IF(ISNUMBER(INDEX($A:$AP,ROW(),$F$6)),INDEX($A:$AP,ROW(),$F$6),IFERROR(--SUBSTITUTE(SUBSTITUTE(TRIM(INDEX($A:$AP,ROW(),$F$6)),",",""),"원",""),0))))</f>
        <v/>
      </c>
      <c r="AU1941" s="31">
        <f>IF($AS1941="","",IF($AX1941&lt;&gt;"",SUBSTITUTE(SUBSTITUTE($AX1941,"-","")," ",""),"N:"&amp;$AV1941))</f>
        <v/>
      </c>
      <c r="AV1941" s="31">
        <f>IF(OR($AS1941="",$E$6=""),"",TRIM(INDEX($A:$AP,ROW(),$E$6)&amp;""))</f>
        <v/>
      </c>
      <c r="AW1941" s="31">
        <f>IF($AU1941="","",IF(MATCH($AU1941,$AU$8:$AU$2007,0)=ROW()-7,MAX($AW$7:$AW1940)+1,""))</f>
        <v/>
      </c>
      <c r="AX1941" s="31">
        <f>IF(OR($AS1941="",$D$6=""),"",TRIM(INDEX($A:$AP,ROW(),$D$6)&amp;""))</f>
        <v/>
      </c>
      <c r="AY1941" s="31">
        <f>IF($AU1941="","",INDEX($AW$8:$AW$2007,MATCH($AU1941,$AU$8:$AU$2007,0)))</f>
        <v/>
      </c>
      <c r="AZ1941" s="31">
        <f>IF(OR($AS1941="",$C$6=""),"",TRIM(INDEX($A:$AP,ROW(),$C$6)&amp;""))</f>
        <v/>
      </c>
      <c r="BA1941" s="31">
        <f>IF($AZ1941="","",IF(COUNTIF($AZ$8:$AZ1941,$AZ1941)&gt;1,1,0))</f>
        <v/>
      </c>
    </row>
    <row r="1942">
      <c r="AR1942" s="31">
        <f>IF(OR($A$5="",$B$6="",ROW()&lt;$A$5),"",IF(INDEX($A:$AP,ROW(),$B$6)="","",INDEX($A:$AP,ROW(),$B$6)))</f>
        <v/>
      </c>
      <c r="AS1942" s="32">
        <f>IF($AR1942="","",IF(ISNUMBER($AR1942),IF($AR1942&gt;=10000000,IFERROR(DATE(INT($AR1942/10000),MOD(INT($AR1942/100),100),MOD($AR1942,100)),""),INT($AR1942)),IFERROR(DATE(--LEFT(LEFT(SUBSTITUTE(SUBSTITUTE(SUBSTITUTE(SUBSTITUTE(TRIM($AR1942),"-",""),".",""),"/","")," ",""),8),4),--MID(LEFT(SUBSTITUTE(SUBSTITUTE(SUBSTITUTE(SUBSTITUTE(TRIM($AR1942),"-",""),".",""),"/","")," ",""),8),5,2),--MID(LEFT(SUBSTITUTE(SUBSTITUTE(SUBSTITUTE(SUBSTITUTE(TRIM($AR1942),"-",""),".",""),"/","")," ",""),8),7,2)),"")))</f>
        <v/>
      </c>
      <c r="AT1942" s="33">
        <f>IF($AS1942="","",IF($F$6="",0,IF(ISNUMBER(INDEX($A:$AP,ROW(),$F$6)),INDEX($A:$AP,ROW(),$F$6),IFERROR(--SUBSTITUTE(SUBSTITUTE(TRIM(INDEX($A:$AP,ROW(),$F$6)),",",""),"원",""),0))))</f>
        <v/>
      </c>
      <c r="AU1942" s="31">
        <f>IF($AS1942="","",IF($AX1942&lt;&gt;"",SUBSTITUTE(SUBSTITUTE($AX1942,"-","")," ",""),"N:"&amp;$AV1942))</f>
        <v/>
      </c>
      <c r="AV1942" s="31">
        <f>IF(OR($AS1942="",$E$6=""),"",TRIM(INDEX($A:$AP,ROW(),$E$6)&amp;""))</f>
        <v/>
      </c>
      <c r="AW1942" s="31">
        <f>IF($AU1942="","",IF(MATCH($AU1942,$AU$8:$AU$2007,0)=ROW()-7,MAX($AW$7:$AW1941)+1,""))</f>
        <v/>
      </c>
      <c r="AX1942" s="31">
        <f>IF(OR($AS1942="",$D$6=""),"",TRIM(INDEX($A:$AP,ROW(),$D$6)&amp;""))</f>
        <v/>
      </c>
      <c r="AY1942" s="31">
        <f>IF($AU1942="","",INDEX($AW$8:$AW$2007,MATCH($AU1942,$AU$8:$AU$2007,0)))</f>
        <v/>
      </c>
      <c r="AZ1942" s="31">
        <f>IF(OR($AS1942="",$C$6=""),"",TRIM(INDEX($A:$AP,ROW(),$C$6)&amp;""))</f>
        <v/>
      </c>
      <c r="BA1942" s="31">
        <f>IF($AZ1942="","",IF(COUNTIF($AZ$8:$AZ1942,$AZ1942)&gt;1,1,0))</f>
        <v/>
      </c>
    </row>
    <row r="1943">
      <c r="AR1943" s="31">
        <f>IF(OR($A$5="",$B$6="",ROW()&lt;$A$5),"",IF(INDEX($A:$AP,ROW(),$B$6)="","",INDEX($A:$AP,ROW(),$B$6)))</f>
        <v/>
      </c>
      <c r="AS1943" s="32">
        <f>IF($AR1943="","",IF(ISNUMBER($AR1943),IF($AR1943&gt;=10000000,IFERROR(DATE(INT($AR1943/10000),MOD(INT($AR1943/100),100),MOD($AR1943,100)),""),INT($AR1943)),IFERROR(DATE(--LEFT(LEFT(SUBSTITUTE(SUBSTITUTE(SUBSTITUTE(SUBSTITUTE(TRIM($AR1943),"-",""),".",""),"/","")," ",""),8),4),--MID(LEFT(SUBSTITUTE(SUBSTITUTE(SUBSTITUTE(SUBSTITUTE(TRIM($AR1943),"-",""),".",""),"/","")," ",""),8),5,2),--MID(LEFT(SUBSTITUTE(SUBSTITUTE(SUBSTITUTE(SUBSTITUTE(TRIM($AR1943),"-",""),".",""),"/","")," ",""),8),7,2)),"")))</f>
        <v/>
      </c>
      <c r="AT1943" s="33">
        <f>IF($AS1943="","",IF($F$6="",0,IF(ISNUMBER(INDEX($A:$AP,ROW(),$F$6)),INDEX($A:$AP,ROW(),$F$6),IFERROR(--SUBSTITUTE(SUBSTITUTE(TRIM(INDEX($A:$AP,ROW(),$F$6)),",",""),"원",""),0))))</f>
        <v/>
      </c>
      <c r="AU1943" s="31">
        <f>IF($AS1943="","",IF($AX1943&lt;&gt;"",SUBSTITUTE(SUBSTITUTE($AX1943,"-","")," ",""),"N:"&amp;$AV1943))</f>
        <v/>
      </c>
      <c r="AV1943" s="31">
        <f>IF(OR($AS1943="",$E$6=""),"",TRIM(INDEX($A:$AP,ROW(),$E$6)&amp;""))</f>
        <v/>
      </c>
      <c r="AW1943" s="31">
        <f>IF($AU1943="","",IF(MATCH($AU1943,$AU$8:$AU$2007,0)=ROW()-7,MAX($AW$7:$AW1942)+1,""))</f>
        <v/>
      </c>
      <c r="AX1943" s="31">
        <f>IF(OR($AS1943="",$D$6=""),"",TRIM(INDEX($A:$AP,ROW(),$D$6)&amp;""))</f>
        <v/>
      </c>
      <c r="AY1943" s="31">
        <f>IF($AU1943="","",INDEX($AW$8:$AW$2007,MATCH($AU1943,$AU$8:$AU$2007,0)))</f>
        <v/>
      </c>
      <c r="AZ1943" s="31">
        <f>IF(OR($AS1943="",$C$6=""),"",TRIM(INDEX($A:$AP,ROW(),$C$6)&amp;""))</f>
        <v/>
      </c>
      <c r="BA1943" s="31">
        <f>IF($AZ1943="","",IF(COUNTIF($AZ$8:$AZ1943,$AZ1943)&gt;1,1,0))</f>
        <v/>
      </c>
    </row>
    <row r="1944">
      <c r="AR1944" s="31">
        <f>IF(OR($A$5="",$B$6="",ROW()&lt;$A$5),"",IF(INDEX($A:$AP,ROW(),$B$6)="","",INDEX($A:$AP,ROW(),$B$6)))</f>
        <v/>
      </c>
      <c r="AS1944" s="32">
        <f>IF($AR1944="","",IF(ISNUMBER($AR1944),IF($AR1944&gt;=10000000,IFERROR(DATE(INT($AR1944/10000),MOD(INT($AR1944/100),100),MOD($AR1944,100)),""),INT($AR1944)),IFERROR(DATE(--LEFT(LEFT(SUBSTITUTE(SUBSTITUTE(SUBSTITUTE(SUBSTITUTE(TRIM($AR1944),"-",""),".",""),"/","")," ",""),8),4),--MID(LEFT(SUBSTITUTE(SUBSTITUTE(SUBSTITUTE(SUBSTITUTE(TRIM($AR1944),"-",""),".",""),"/","")," ",""),8),5,2),--MID(LEFT(SUBSTITUTE(SUBSTITUTE(SUBSTITUTE(SUBSTITUTE(TRIM($AR1944),"-",""),".",""),"/","")," ",""),8),7,2)),"")))</f>
        <v/>
      </c>
      <c r="AT1944" s="33">
        <f>IF($AS1944="","",IF($F$6="",0,IF(ISNUMBER(INDEX($A:$AP,ROW(),$F$6)),INDEX($A:$AP,ROW(),$F$6),IFERROR(--SUBSTITUTE(SUBSTITUTE(TRIM(INDEX($A:$AP,ROW(),$F$6)),",",""),"원",""),0))))</f>
        <v/>
      </c>
      <c r="AU1944" s="31">
        <f>IF($AS1944="","",IF($AX1944&lt;&gt;"",SUBSTITUTE(SUBSTITUTE($AX1944,"-","")," ",""),"N:"&amp;$AV1944))</f>
        <v/>
      </c>
      <c r="AV1944" s="31">
        <f>IF(OR($AS1944="",$E$6=""),"",TRIM(INDEX($A:$AP,ROW(),$E$6)&amp;""))</f>
        <v/>
      </c>
      <c r="AW1944" s="31">
        <f>IF($AU1944="","",IF(MATCH($AU1944,$AU$8:$AU$2007,0)=ROW()-7,MAX($AW$7:$AW1943)+1,""))</f>
        <v/>
      </c>
      <c r="AX1944" s="31">
        <f>IF(OR($AS1944="",$D$6=""),"",TRIM(INDEX($A:$AP,ROW(),$D$6)&amp;""))</f>
        <v/>
      </c>
      <c r="AY1944" s="31">
        <f>IF($AU1944="","",INDEX($AW$8:$AW$2007,MATCH($AU1944,$AU$8:$AU$2007,0)))</f>
        <v/>
      </c>
      <c r="AZ1944" s="31">
        <f>IF(OR($AS1944="",$C$6=""),"",TRIM(INDEX($A:$AP,ROW(),$C$6)&amp;""))</f>
        <v/>
      </c>
      <c r="BA1944" s="31">
        <f>IF($AZ1944="","",IF(COUNTIF($AZ$8:$AZ1944,$AZ1944)&gt;1,1,0))</f>
        <v/>
      </c>
    </row>
    <row r="1945">
      <c r="AR1945" s="31">
        <f>IF(OR($A$5="",$B$6="",ROW()&lt;$A$5),"",IF(INDEX($A:$AP,ROW(),$B$6)="","",INDEX($A:$AP,ROW(),$B$6)))</f>
        <v/>
      </c>
      <c r="AS1945" s="32">
        <f>IF($AR1945="","",IF(ISNUMBER($AR1945),IF($AR1945&gt;=10000000,IFERROR(DATE(INT($AR1945/10000),MOD(INT($AR1945/100),100),MOD($AR1945,100)),""),INT($AR1945)),IFERROR(DATE(--LEFT(LEFT(SUBSTITUTE(SUBSTITUTE(SUBSTITUTE(SUBSTITUTE(TRIM($AR1945),"-",""),".",""),"/","")," ",""),8),4),--MID(LEFT(SUBSTITUTE(SUBSTITUTE(SUBSTITUTE(SUBSTITUTE(TRIM($AR1945),"-",""),".",""),"/","")," ",""),8),5,2),--MID(LEFT(SUBSTITUTE(SUBSTITUTE(SUBSTITUTE(SUBSTITUTE(TRIM($AR1945),"-",""),".",""),"/","")," ",""),8),7,2)),"")))</f>
        <v/>
      </c>
      <c r="AT1945" s="33">
        <f>IF($AS1945="","",IF($F$6="",0,IF(ISNUMBER(INDEX($A:$AP,ROW(),$F$6)),INDEX($A:$AP,ROW(),$F$6),IFERROR(--SUBSTITUTE(SUBSTITUTE(TRIM(INDEX($A:$AP,ROW(),$F$6)),",",""),"원",""),0))))</f>
        <v/>
      </c>
      <c r="AU1945" s="31">
        <f>IF($AS1945="","",IF($AX1945&lt;&gt;"",SUBSTITUTE(SUBSTITUTE($AX1945,"-","")," ",""),"N:"&amp;$AV1945))</f>
        <v/>
      </c>
      <c r="AV1945" s="31">
        <f>IF(OR($AS1945="",$E$6=""),"",TRIM(INDEX($A:$AP,ROW(),$E$6)&amp;""))</f>
        <v/>
      </c>
      <c r="AW1945" s="31">
        <f>IF($AU1945="","",IF(MATCH($AU1945,$AU$8:$AU$2007,0)=ROW()-7,MAX($AW$7:$AW1944)+1,""))</f>
        <v/>
      </c>
      <c r="AX1945" s="31">
        <f>IF(OR($AS1945="",$D$6=""),"",TRIM(INDEX($A:$AP,ROW(),$D$6)&amp;""))</f>
        <v/>
      </c>
      <c r="AY1945" s="31">
        <f>IF($AU1945="","",INDEX($AW$8:$AW$2007,MATCH($AU1945,$AU$8:$AU$2007,0)))</f>
        <v/>
      </c>
      <c r="AZ1945" s="31">
        <f>IF(OR($AS1945="",$C$6=""),"",TRIM(INDEX($A:$AP,ROW(),$C$6)&amp;""))</f>
        <v/>
      </c>
      <c r="BA1945" s="31">
        <f>IF($AZ1945="","",IF(COUNTIF($AZ$8:$AZ1945,$AZ1945)&gt;1,1,0))</f>
        <v/>
      </c>
    </row>
    <row r="1946">
      <c r="AR1946" s="31">
        <f>IF(OR($A$5="",$B$6="",ROW()&lt;$A$5),"",IF(INDEX($A:$AP,ROW(),$B$6)="","",INDEX($A:$AP,ROW(),$B$6)))</f>
        <v/>
      </c>
      <c r="AS1946" s="32">
        <f>IF($AR1946="","",IF(ISNUMBER($AR1946),IF($AR1946&gt;=10000000,IFERROR(DATE(INT($AR1946/10000),MOD(INT($AR1946/100),100),MOD($AR1946,100)),""),INT($AR1946)),IFERROR(DATE(--LEFT(LEFT(SUBSTITUTE(SUBSTITUTE(SUBSTITUTE(SUBSTITUTE(TRIM($AR1946),"-",""),".",""),"/","")," ",""),8),4),--MID(LEFT(SUBSTITUTE(SUBSTITUTE(SUBSTITUTE(SUBSTITUTE(TRIM($AR1946),"-",""),".",""),"/","")," ",""),8),5,2),--MID(LEFT(SUBSTITUTE(SUBSTITUTE(SUBSTITUTE(SUBSTITUTE(TRIM($AR1946),"-",""),".",""),"/","")," ",""),8),7,2)),"")))</f>
        <v/>
      </c>
      <c r="AT1946" s="33">
        <f>IF($AS1946="","",IF($F$6="",0,IF(ISNUMBER(INDEX($A:$AP,ROW(),$F$6)),INDEX($A:$AP,ROW(),$F$6),IFERROR(--SUBSTITUTE(SUBSTITUTE(TRIM(INDEX($A:$AP,ROW(),$F$6)),",",""),"원",""),0))))</f>
        <v/>
      </c>
      <c r="AU1946" s="31">
        <f>IF($AS1946="","",IF($AX1946&lt;&gt;"",SUBSTITUTE(SUBSTITUTE($AX1946,"-","")," ",""),"N:"&amp;$AV1946))</f>
        <v/>
      </c>
      <c r="AV1946" s="31">
        <f>IF(OR($AS1946="",$E$6=""),"",TRIM(INDEX($A:$AP,ROW(),$E$6)&amp;""))</f>
        <v/>
      </c>
      <c r="AW1946" s="31">
        <f>IF($AU1946="","",IF(MATCH($AU1946,$AU$8:$AU$2007,0)=ROW()-7,MAX($AW$7:$AW1945)+1,""))</f>
        <v/>
      </c>
      <c r="AX1946" s="31">
        <f>IF(OR($AS1946="",$D$6=""),"",TRIM(INDEX($A:$AP,ROW(),$D$6)&amp;""))</f>
        <v/>
      </c>
      <c r="AY1946" s="31">
        <f>IF($AU1946="","",INDEX($AW$8:$AW$2007,MATCH($AU1946,$AU$8:$AU$2007,0)))</f>
        <v/>
      </c>
      <c r="AZ1946" s="31">
        <f>IF(OR($AS1946="",$C$6=""),"",TRIM(INDEX($A:$AP,ROW(),$C$6)&amp;""))</f>
        <v/>
      </c>
      <c r="BA1946" s="31">
        <f>IF($AZ1946="","",IF(COUNTIF($AZ$8:$AZ1946,$AZ1946)&gt;1,1,0))</f>
        <v/>
      </c>
    </row>
    <row r="1947">
      <c r="AR1947" s="31">
        <f>IF(OR($A$5="",$B$6="",ROW()&lt;$A$5),"",IF(INDEX($A:$AP,ROW(),$B$6)="","",INDEX($A:$AP,ROW(),$B$6)))</f>
        <v/>
      </c>
      <c r="AS1947" s="32">
        <f>IF($AR1947="","",IF(ISNUMBER($AR1947),IF($AR1947&gt;=10000000,IFERROR(DATE(INT($AR1947/10000),MOD(INT($AR1947/100),100),MOD($AR1947,100)),""),INT($AR1947)),IFERROR(DATE(--LEFT(LEFT(SUBSTITUTE(SUBSTITUTE(SUBSTITUTE(SUBSTITUTE(TRIM($AR1947),"-",""),".",""),"/","")," ",""),8),4),--MID(LEFT(SUBSTITUTE(SUBSTITUTE(SUBSTITUTE(SUBSTITUTE(TRIM($AR1947),"-",""),".",""),"/","")," ",""),8),5,2),--MID(LEFT(SUBSTITUTE(SUBSTITUTE(SUBSTITUTE(SUBSTITUTE(TRIM($AR1947),"-",""),".",""),"/","")," ",""),8),7,2)),"")))</f>
        <v/>
      </c>
      <c r="AT1947" s="33">
        <f>IF($AS1947="","",IF($F$6="",0,IF(ISNUMBER(INDEX($A:$AP,ROW(),$F$6)),INDEX($A:$AP,ROW(),$F$6),IFERROR(--SUBSTITUTE(SUBSTITUTE(TRIM(INDEX($A:$AP,ROW(),$F$6)),",",""),"원",""),0))))</f>
        <v/>
      </c>
      <c r="AU1947" s="31">
        <f>IF($AS1947="","",IF($AX1947&lt;&gt;"",SUBSTITUTE(SUBSTITUTE($AX1947,"-","")," ",""),"N:"&amp;$AV1947))</f>
        <v/>
      </c>
      <c r="AV1947" s="31">
        <f>IF(OR($AS1947="",$E$6=""),"",TRIM(INDEX($A:$AP,ROW(),$E$6)&amp;""))</f>
        <v/>
      </c>
      <c r="AW1947" s="31">
        <f>IF($AU1947="","",IF(MATCH($AU1947,$AU$8:$AU$2007,0)=ROW()-7,MAX($AW$7:$AW1946)+1,""))</f>
        <v/>
      </c>
      <c r="AX1947" s="31">
        <f>IF(OR($AS1947="",$D$6=""),"",TRIM(INDEX($A:$AP,ROW(),$D$6)&amp;""))</f>
        <v/>
      </c>
      <c r="AY1947" s="31">
        <f>IF($AU1947="","",INDEX($AW$8:$AW$2007,MATCH($AU1947,$AU$8:$AU$2007,0)))</f>
        <v/>
      </c>
      <c r="AZ1947" s="31">
        <f>IF(OR($AS1947="",$C$6=""),"",TRIM(INDEX($A:$AP,ROW(),$C$6)&amp;""))</f>
        <v/>
      </c>
      <c r="BA1947" s="31">
        <f>IF($AZ1947="","",IF(COUNTIF($AZ$8:$AZ1947,$AZ1947)&gt;1,1,0))</f>
        <v/>
      </c>
    </row>
    <row r="1948">
      <c r="AR1948" s="31">
        <f>IF(OR($A$5="",$B$6="",ROW()&lt;$A$5),"",IF(INDEX($A:$AP,ROW(),$B$6)="","",INDEX($A:$AP,ROW(),$B$6)))</f>
        <v/>
      </c>
      <c r="AS1948" s="32">
        <f>IF($AR1948="","",IF(ISNUMBER($AR1948),IF($AR1948&gt;=10000000,IFERROR(DATE(INT($AR1948/10000),MOD(INT($AR1948/100),100),MOD($AR1948,100)),""),INT($AR1948)),IFERROR(DATE(--LEFT(LEFT(SUBSTITUTE(SUBSTITUTE(SUBSTITUTE(SUBSTITUTE(TRIM($AR1948),"-",""),".",""),"/","")," ",""),8),4),--MID(LEFT(SUBSTITUTE(SUBSTITUTE(SUBSTITUTE(SUBSTITUTE(TRIM($AR1948),"-",""),".",""),"/","")," ",""),8),5,2),--MID(LEFT(SUBSTITUTE(SUBSTITUTE(SUBSTITUTE(SUBSTITUTE(TRIM($AR1948),"-",""),".",""),"/","")," ",""),8),7,2)),"")))</f>
        <v/>
      </c>
      <c r="AT1948" s="33">
        <f>IF($AS1948="","",IF($F$6="",0,IF(ISNUMBER(INDEX($A:$AP,ROW(),$F$6)),INDEX($A:$AP,ROW(),$F$6),IFERROR(--SUBSTITUTE(SUBSTITUTE(TRIM(INDEX($A:$AP,ROW(),$F$6)),",",""),"원",""),0))))</f>
        <v/>
      </c>
      <c r="AU1948" s="31">
        <f>IF($AS1948="","",IF($AX1948&lt;&gt;"",SUBSTITUTE(SUBSTITUTE($AX1948,"-","")," ",""),"N:"&amp;$AV1948))</f>
        <v/>
      </c>
      <c r="AV1948" s="31">
        <f>IF(OR($AS1948="",$E$6=""),"",TRIM(INDEX($A:$AP,ROW(),$E$6)&amp;""))</f>
        <v/>
      </c>
      <c r="AW1948" s="31">
        <f>IF($AU1948="","",IF(MATCH($AU1948,$AU$8:$AU$2007,0)=ROW()-7,MAX($AW$7:$AW1947)+1,""))</f>
        <v/>
      </c>
      <c r="AX1948" s="31">
        <f>IF(OR($AS1948="",$D$6=""),"",TRIM(INDEX($A:$AP,ROW(),$D$6)&amp;""))</f>
        <v/>
      </c>
      <c r="AY1948" s="31">
        <f>IF($AU1948="","",INDEX($AW$8:$AW$2007,MATCH($AU1948,$AU$8:$AU$2007,0)))</f>
        <v/>
      </c>
      <c r="AZ1948" s="31">
        <f>IF(OR($AS1948="",$C$6=""),"",TRIM(INDEX($A:$AP,ROW(),$C$6)&amp;""))</f>
        <v/>
      </c>
      <c r="BA1948" s="31">
        <f>IF($AZ1948="","",IF(COUNTIF($AZ$8:$AZ1948,$AZ1948)&gt;1,1,0))</f>
        <v/>
      </c>
    </row>
    <row r="1949">
      <c r="AR1949" s="31">
        <f>IF(OR($A$5="",$B$6="",ROW()&lt;$A$5),"",IF(INDEX($A:$AP,ROW(),$B$6)="","",INDEX($A:$AP,ROW(),$B$6)))</f>
        <v/>
      </c>
      <c r="AS1949" s="32">
        <f>IF($AR1949="","",IF(ISNUMBER($AR1949),IF($AR1949&gt;=10000000,IFERROR(DATE(INT($AR1949/10000),MOD(INT($AR1949/100),100),MOD($AR1949,100)),""),INT($AR1949)),IFERROR(DATE(--LEFT(LEFT(SUBSTITUTE(SUBSTITUTE(SUBSTITUTE(SUBSTITUTE(TRIM($AR1949),"-",""),".",""),"/","")," ",""),8),4),--MID(LEFT(SUBSTITUTE(SUBSTITUTE(SUBSTITUTE(SUBSTITUTE(TRIM($AR1949),"-",""),".",""),"/","")," ",""),8),5,2),--MID(LEFT(SUBSTITUTE(SUBSTITUTE(SUBSTITUTE(SUBSTITUTE(TRIM($AR1949),"-",""),".",""),"/","")," ",""),8),7,2)),"")))</f>
        <v/>
      </c>
      <c r="AT1949" s="33">
        <f>IF($AS1949="","",IF($F$6="",0,IF(ISNUMBER(INDEX($A:$AP,ROW(),$F$6)),INDEX($A:$AP,ROW(),$F$6),IFERROR(--SUBSTITUTE(SUBSTITUTE(TRIM(INDEX($A:$AP,ROW(),$F$6)),",",""),"원",""),0))))</f>
        <v/>
      </c>
      <c r="AU1949" s="31">
        <f>IF($AS1949="","",IF($AX1949&lt;&gt;"",SUBSTITUTE(SUBSTITUTE($AX1949,"-","")," ",""),"N:"&amp;$AV1949))</f>
        <v/>
      </c>
      <c r="AV1949" s="31">
        <f>IF(OR($AS1949="",$E$6=""),"",TRIM(INDEX($A:$AP,ROW(),$E$6)&amp;""))</f>
        <v/>
      </c>
      <c r="AW1949" s="31">
        <f>IF($AU1949="","",IF(MATCH($AU1949,$AU$8:$AU$2007,0)=ROW()-7,MAX($AW$7:$AW1948)+1,""))</f>
        <v/>
      </c>
      <c r="AX1949" s="31">
        <f>IF(OR($AS1949="",$D$6=""),"",TRIM(INDEX($A:$AP,ROW(),$D$6)&amp;""))</f>
        <v/>
      </c>
      <c r="AY1949" s="31">
        <f>IF($AU1949="","",INDEX($AW$8:$AW$2007,MATCH($AU1949,$AU$8:$AU$2007,0)))</f>
        <v/>
      </c>
      <c r="AZ1949" s="31">
        <f>IF(OR($AS1949="",$C$6=""),"",TRIM(INDEX($A:$AP,ROW(),$C$6)&amp;""))</f>
        <v/>
      </c>
      <c r="BA1949" s="31">
        <f>IF($AZ1949="","",IF(COUNTIF($AZ$8:$AZ1949,$AZ1949)&gt;1,1,0))</f>
        <v/>
      </c>
    </row>
    <row r="1950">
      <c r="AR1950" s="31">
        <f>IF(OR($A$5="",$B$6="",ROW()&lt;$A$5),"",IF(INDEX($A:$AP,ROW(),$B$6)="","",INDEX($A:$AP,ROW(),$B$6)))</f>
        <v/>
      </c>
      <c r="AS1950" s="32">
        <f>IF($AR1950="","",IF(ISNUMBER($AR1950),IF($AR1950&gt;=10000000,IFERROR(DATE(INT($AR1950/10000),MOD(INT($AR1950/100),100),MOD($AR1950,100)),""),INT($AR1950)),IFERROR(DATE(--LEFT(LEFT(SUBSTITUTE(SUBSTITUTE(SUBSTITUTE(SUBSTITUTE(TRIM($AR1950),"-",""),".",""),"/","")," ",""),8),4),--MID(LEFT(SUBSTITUTE(SUBSTITUTE(SUBSTITUTE(SUBSTITUTE(TRIM($AR1950),"-",""),".",""),"/","")," ",""),8),5,2),--MID(LEFT(SUBSTITUTE(SUBSTITUTE(SUBSTITUTE(SUBSTITUTE(TRIM($AR1950),"-",""),".",""),"/","")," ",""),8),7,2)),"")))</f>
        <v/>
      </c>
      <c r="AT1950" s="33">
        <f>IF($AS1950="","",IF($F$6="",0,IF(ISNUMBER(INDEX($A:$AP,ROW(),$F$6)),INDEX($A:$AP,ROW(),$F$6),IFERROR(--SUBSTITUTE(SUBSTITUTE(TRIM(INDEX($A:$AP,ROW(),$F$6)),",",""),"원",""),0))))</f>
        <v/>
      </c>
      <c r="AU1950" s="31">
        <f>IF($AS1950="","",IF($AX1950&lt;&gt;"",SUBSTITUTE(SUBSTITUTE($AX1950,"-","")," ",""),"N:"&amp;$AV1950))</f>
        <v/>
      </c>
      <c r="AV1950" s="31">
        <f>IF(OR($AS1950="",$E$6=""),"",TRIM(INDEX($A:$AP,ROW(),$E$6)&amp;""))</f>
        <v/>
      </c>
      <c r="AW1950" s="31">
        <f>IF($AU1950="","",IF(MATCH($AU1950,$AU$8:$AU$2007,0)=ROW()-7,MAX($AW$7:$AW1949)+1,""))</f>
        <v/>
      </c>
      <c r="AX1950" s="31">
        <f>IF(OR($AS1950="",$D$6=""),"",TRIM(INDEX($A:$AP,ROW(),$D$6)&amp;""))</f>
        <v/>
      </c>
      <c r="AY1950" s="31">
        <f>IF($AU1950="","",INDEX($AW$8:$AW$2007,MATCH($AU1950,$AU$8:$AU$2007,0)))</f>
        <v/>
      </c>
      <c r="AZ1950" s="31">
        <f>IF(OR($AS1950="",$C$6=""),"",TRIM(INDEX($A:$AP,ROW(),$C$6)&amp;""))</f>
        <v/>
      </c>
      <c r="BA1950" s="31">
        <f>IF($AZ1950="","",IF(COUNTIF($AZ$8:$AZ1950,$AZ1950)&gt;1,1,0))</f>
        <v/>
      </c>
    </row>
    <row r="1951">
      <c r="AR1951" s="31">
        <f>IF(OR($A$5="",$B$6="",ROW()&lt;$A$5),"",IF(INDEX($A:$AP,ROW(),$B$6)="","",INDEX($A:$AP,ROW(),$B$6)))</f>
        <v/>
      </c>
      <c r="AS1951" s="32">
        <f>IF($AR1951="","",IF(ISNUMBER($AR1951),IF($AR1951&gt;=10000000,IFERROR(DATE(INT($AR1951/10000),MOD(INT($AR1951/100),100),MOD($AR1951,100)),""),INT($AR1951)),IFERROR(DATE(--LEFT(LEFT(SUBSTITUTE(SUBSTITUTE(SUBSTITUTE(SUBSTITUTE(TRIM($AR1951),"-",""),".",""),"/","")," ",""),8),4),--MID(LEFT(SUBSTITUTE(SUBSTITUTE(SUBSTITUTE(SUBSTITUTE(TRIM($AR1951),"-",""),".",""),"/","")," ",""),8),5,2),--MID(LEFT(SUBSTITUTE(SUBSTITUTE(SUBSTITUTE(SUBSTITUTE(TRIM($AR1951),"-",""),".",""),"/","")," ",""),8),7,2)),"")))</f>
        <v/>
      </c>
      <c r="AT1951" s="33">
        <f>IF($AS1951="","",IF($F$6="",0,IF(ISNUMBER(INDEX($A:$AP,ROW(),$F$6)),INDEX($A:$AP,ROW(),$F$6),IFERROR(--SUBSTITUTE(SUBSTITUTE(TRIM(INDEX($A:$AP,ROW(),$F$6)),",",""),"원",""),0))))</f>
        <v/>
      </c>
      <c r="AU1951" s="31">
        <f>IF($AS1951="","",IF($AX1951&lt;&gt;"",SUBSTITUTE(SUBSTITUTE($AX1951,"-","")," ",""),"N:"&amp;$AV1951))</f>
        <v/>
      </c>
      <c r="AV1951" s="31">
        <f>IF(OR($AS1951="",$E$6=""),"",TRIM(INDEX($A:$AP,ROW(),$E$6)&amp;""))</f>
        <v/>
      </c>
      <c r="AW1951" s="31">
        <f>IF($AU1951="","",IF(MATCH($AU1951,$AU$8:$AU$2007,0)=ROW()-7,MAX($AW$7:$AW1950)+1,""))</f>
        <v/>
      </c>
      <c r="AX1951" s="31">
        <f>IF(OR($AS1951="",$D$6=""),"",TRIM(INDEX($A:$AP,ROW(),$D$6)&amp;""))</f>
        <v/>
      </c>
      <c r="AY1951" s="31">
        <f>IF($AU1951="","",INDEX($AW$8:$AW$2007,MATCH($AU1951,$AU$8:$AU$2007,0)))</f>
        <v/>
      </c>
      <c r="AZ1951" s="31">
        <f>IF(OR($AS1951="",$C$6=""),"",TRIM(INDEX($A:$AP,ROW(),$C$6)&amp;""))</f>
        <v/>
      </c>
      <c r="BA1951" s="31">
        <f>IF($AZ1951="","",IF(COUNTIF($AZ$8:$AZ1951,$AZ1951)&gt;1,1,0))</f>
        <v/>
      </c>
    </row>
    <row r="1952">
      <c r="AR1952" s="31">
        <f>IF(OR($A$5="",$B$6="",ROW()&lt;$A$5),"",IF(INDEX($A:$AP,ROW(),$B$6)="","",INDEX($A:$AP,ROW(),$B$6)))</f>
        <v/>
      </c>
      <c r="AS1952" s="32">
        <f>IF($AR1952="","",IF(ISNUMBER($AR1952),IF($AR1952&gt;=10000000,IFERROR(DATE(INT($AR1952/10000),MOD(INT($AR1952/100),100),MOD($AR1952,100)),""),INT($AR1952)),IFERROR(DATE(--LEFT(LEFT(SUBSTITUTE(SUBSTITUTE(SUBSTITUTE(SUBSTITUTE(TRIM($AR1952),"-",""),".",""),"/","")," ",""),8),4),--MID(LEFT(SUBSTITUTE(SUBSTITUTE(SUBSTITUTE(SUBSTITUTE(TRIM($AR1952),"-",""),".",""),"/","")," ",""),8),5,2),--MID(LEFT(SUBSTITUTE(SUBSTITUTE(SUBSTITUTE(SUBSTITUTE(TRIM($AR1952),"-",""),".",""),"/","")," ",""),8),7,2)),"")))</f>
        <v/>
      </c>
      <c r="AT1952" s="33">
        <f>IF($AS1952="","",IF($F$6="",0,IF(ISNUMBER(INDEX($A:$AP,ROW(),$F$6)),INDEX($A:$AP,ROW(),$F$6),IFERROR(--SUBSTITUTE(SUBSTITUTE(TRIM(INDEX($A:$AP,ROW(),$F$6)),",",""),"원",""),0))))</f>
        <v/>
      </c>
      <c r="AU1952" s="31">
        <f>IF($AS1952="","",IF($AX1952&lt;&gt;"",SUBSTITUTE(SUBSTITUTE($AX1952,"-","")," ",""),"N:"&amp;$AV1952))</f>
        <v/>
      </c>
      <c r="AV1952" s="31">
        <f>IF(OR($AS1952="",$E$6=""),"",TRIM(INDEX($A:$AP,ROW(),$E$6)&amp;""))</f>
        <v/>
      </c>
      <c r="AW1952" s="31">
        <f>IF($AU1952="","",IF(MATCH($AU1952,$AU$8:$AU$2007,0)=ROW()-7,MAX($AW$7:$AW1951)+1,""))</f>
        <v/>
      </c>
      <c r="AX1952" s="31">
        <f>IF(OR($AS1952="",$D$6=""),"",TRIM(INDEX($A:$AP,ROW(),$D$6)&amp;""))</f>
        <v/>
      </c>
      <c r="AY1952" s="31">
        <f>IF($AU1952="","",INDEX($AW$8:$AW$2007,MATCH($AU1952,$AU$8:$AU$2007,0)))</f>
        <v/>
      </c>
      <c r="AZ1952" s="31">
        <f>IF(OR($AS1952="",$C$6=""),"",TRIM(INDEX($A:$AP,ROW(),$C$6)&amp;""))</f>
        <v/>
      </c>
      <c r="BA1952" s="31">
        <f>IF($AZ1952="","",IF(COUNTIF($AZ$8:$AZ1952,$AZ1952)&gt;1,1,0))</f>
        <v/>
      </c>
    </row>
    <row r="1953">
      <c r="AR1953" s="31">
        <f>IF(OR($A$5="",$B$6="",ROW()&lt;$A$5),"",IF(INDEX($A:$AP,ROW(),$B$6)="","",INDEX($A:$AP,ROW(),$B$6)))</f>
        <v/>
      </c>
      <c r="AS1953" s="32">
        <f>IF($AR1953="","",IF(ISNUMBER($AR1953),IF($AR1953&gt;=10000000,IFERROR(DATE(INT($AR1953/10000),MOD(INT($AR1953/100),100),MOD($AR1953,100)),""),INT($AR1953)),IFERROR(DATE(--LEFT(LEFT(SUBSTITUTE(SUBSTITUTE(SUBSTITUTE(SUBSTITUTE(TRIM($AR1953),"-",""),".",""),"/","")," ",""),8),4),--MID(LEFT(SUBSTITUTE(SUBSTITUTE(SUBSTITUTE(SUBSTITUTE(TRIM($AR1953),"-",""),".",""),"/","")," ",""),8),5,2),--MID(LEFT(SUBSTITUTE(SUBSTITUTE(SUBSTITUTE(SUBSTITUTE(TRIM($AR1953),"-",""),".",""),"/","")," ",""),8),7,2)),"")))</f>
        <v/>
      </c>
      <c r="AT1953" s="33">
        <f>IF($AS1953="","",IF($F$6="",0,IF(ISNUMBER(INDEX($A:$AP,ROW(),$F$6)),INDEX($A:$AP,ROW(),$F$6),IFERROR(--SUBSTITUTE(SUBSTITUTE(TRIM(INDEX($A:$AP,ROW(),$F$6)),",",""),"원",""),0))))</f>
        <v/>
      </c>
      <c r="AU1953" s="31">
        <f>IF($AS1953="","",IF($AX1953&lt;&gt;"",SUBSTITUTE(SUBSTITUTE($AX1953,"-","")," ",""),"N:"&amp;$AV1953))</f>
        <v/>
      </c>
      <c r="AV1953" s="31">
        <f>IF(OR($AS1953="",$E$6=""),"",TRIM(INDEX($A:$AP,ROW(),$E$6)&amp;""))</f>
        <v/>
      </c>
      <c r="AW1953" s="31">
        <f>IF($AU1953="","",IF(MATCH($AU1953,$AU$8:$AU$2007,0)=ROW()-7,MAX($AW$7:$AW1952)+1,""))</f>
        <v/>
      </c>
      <c r="AX1953" s="31">
        <f>IF(OR($AS1953="",$D$6=""),"",TRIM(INDEX($A:$AP,ROW(),$D$6)&amp;""))</f>
        <v/>
      </c>
      <c r="AY1953" s="31">
        <f>IF($AU1953="","",INDEX($AW$8:$AW$2007,MATCH($AU1953,$AU$8:$AU$2007,0)))</f>
        <v/>
      </c>
      <c r="AZ1953" s="31">
        <f>IF(OR($AS1953="",$C$6=""),"",TRIM(INDEX($A:$AP,ROW(),$C$6)&amp;""))</f>
        <v/>
      </c>
      <c r="BA1953" s="31">
        <f>IF($AZ1953="","",IF(COUNTIF($AZ$8:$AZ1953,$AZ1953)&gt;1,1,0))</f>
        <v/>
      </c>
    </row>
    <row r="1954">
      <c r="AR1954" s="31">
        <f>IF(OR($A$5="",$B$6="",ROW()&lt;$A$5),"",IF(INDEX($A:$AP,ROW(),$B$6)="","",INDEX($A:$AP,ROW(),$B$6)))</f>
        <v/>
      </c>
      <c r="AS1954" s="32">
        <f>IF($AR1954="","",IF(ISNUMBER($AR1954),IF($AR1954&gt;=10000000,IFERROR(DATE(INT($AR1954/10000),MOD(INT($AR1954/100),100),MOD($AR1954,100)),""),INT($AR1954)),IFERROR(DATE(--LEFT(LEFT(SUBSTITUTE(SUBSTITUTE(SUBSTITUTE(SUBSTITUTE(TRIM($AR1954),"-",""),".",""),"/","")," ",""),8),4),--MID(LEFT(SUBSTITUTE(SUBSTITUTE(SUBSTITUTE(SUBSTITUTE(TRIM($AR1954),"-",""),".",""),"/","")," ",""),8),5,2),--MID(LEFT(SUBSTITUTE(SUBSTITUTE(SUBSTITUTE(SUBSTITUTE(TRIM($AR1954),"-",""),".",""),"/","")," ",""),8),7,2)),"")))</f>
        <v/>
      </c>
      <c r="AT1954" s="33">
        <f>IF($AS1954="","",IF($F$6="",0,IF(ISNUMBER(INDEX($A:$AP,ROW(),$F$6)),INDEX($A:$AP,ROW(),$F$6),IFERROR(--SUBSTITUTE(SUBSTITUTE(TRIM(INDEX($A:$AP,ROW(),$F$6)),",",""),"원",""),0))))</f>
        <v/>
      </c>
      <c r="AU1954" s="31">
        <f>IF($AS1954="","",IF($AX1954&lt;&gt;"",SUBSTITUTE(SUBSTITUTE($AX1954,"-","")," ",""),"N:"&amp;$AV1954))</f>
        <v/>
      </c>
      <c r="AV1954" s="31">
        <f>IF(OR($AS1954="",$E$6=""),"",TRIM(INDEX($A:$AP,ROW(),$E$6)&amp;""))</f>
        <v/>
      </c>
      <c r="AW1954" s="31">
        <f>IF($AU1954="","",IF(MATCH($AU1954,$AU$8:$AU$2007,0)=ROW()-7,MAX($AW$7:$AW1953)+1,""))</f>
        <v/>
      </c>
      <c r="AX1954" s="31">
        <f>IF(OR($AS1954="",$D$6=""),"",TRIM(INDEX($A:$AP,ROW(),$D$6)&amp;""))</f>
        <v/>
      </c>
      <c r="AY1954" s="31">
        <f>IF($AU1954="","",INDEX($AW$8:$AW$2007,MATCH($AU1954,$AU$8:$AU$2007,0)))</f>
        <v/>
      </c>
      <c r="AZ1954" s="31">
        <f>IF(OR($AS1954="",$C$6=""),"",TRIM(INDEX($A:$AP,ROW(),$C$6)&amp;""))</f>
        <v/>
      </c>
      <c r="BA1954" s="31">
        <f>IF($AZ1954="","",IF(COUNTIF($AZ$8:$AZ1954,$AZ1954)&gt;1,1,0))</f>
        <v/>
      </c>
    </row>
    <row r="1955">
      <c r="AR1955" s="31">
        <f>IF(OR($A$5="",$B$6="",ROW()&lt;$A$5),"",IF(INDEX($A:$AP,ROW(),$B$6)="","",INDEX($A:$AP,ROW(),$B$6)))</f>
        <v/>
      </c>
      <c r="AS1955" s="32">
        <f>IF($AR1955="","",IF(ISNUMBER($AR1955),IF($AR1955&gt;=10000000,IFERROR(DATE(INT($AR1955/10000),MOD(INT($AR1955/100),100),MOD($AR1955,100)),""),INT($AR1955)),IFERROR(DATE(--LEFT(LEFT(SUBSTITUTE(SUBSTITUTE(SUBSTITUTE(SUBSTITUTE(TRIM($AR1955),"-",""),".",""),"/","")," ",""),8),4),--MID(LEFT(SUBSTITUTE(SUBSTITUTE(SUBSTITUTE(SUBSTITUTE(TRIM($AR1955),"-",""),".",""),"/","")," ",""),8),5,2),--MID(LEFT(SUBSTITUTE(SUBSTITUTE(SUBSTITUTE(SUBSTITUTE(TRIM($AR1955),"-",""),".",""),"/","")," ",""),8),7,2)),"")))</f>
        <v/>
      </c>
      <c r="AT1955" s="33">
        <f>IF($AS1955="","",IF($F$6="",0,IF(ISNUMBER(INDEX($A:$AP,ROW(),$F$6)),INDEX($A:$AP,ROW(),$F$6),IFERROR(--SUBSTITUTE(SUBSTITUTE(TRIM(INDEX($A:$AP,ROW(),$F$6)),",",""),"원",""),0))))</f>
        <v/>
      </c>
      <c r="AU1955" s="31">
        <f>IF($AS1955="","",IF($AX1955&lt;&gt;"",SUBSTITUTE(SUBSTITUTE($AX1955,"-","")," ",""),"N:"&amp;$AV1955))</f>
        <v/>
      </c>
      <c r="AV1955" s="31">
        <f>IF(OR($AS1955="",$E$6=""),"",TRIM(INDEX($A:$AP,ROW(),$E$6)&amp;""))</f>
        <v/>
      </c>
      <c r="AW1955" s="31">
        <f>IF($AU1955="","",IF(MATCH($AU1955,$AU$8:$AU$2007,0)=ROW()-7,MAX($AW$7:$AW1954)+1,""))</f>
        <v/>
      </c>
      <c r="AX1955" s="31">
        <f>IF(OR($AS1955="",$D$6=""),"",TRIM(INDEX($A:$AP,ROW(),$D$6)&amp;""))</f>
        <v/>
      </c>
      <c r="AY1955" s="31">
        <f>IF($AU1955="","",INDEX($AW$8:$AW$2007,MATCH($AU1955,$AU$8:$AU$2007,0)))</f>
        <v/>
      </c>
      <c r="AZ1955" s="31">
        <f>IF(OR($AS1955="",$C$6=""),"",TRIM(INDEX($A:$AP,ROW(),$C$6)&amp;""))</f>
        <v/>
      </c>
      <c r="BA1955" s="31">
        <f>IF($AZ1955="","",IF(COUNTIF($AZ$8:$AZ1955,$AZ1955)&gt;1,1,0))</f>
        <v/>
      </c>
    </row>
    <row r="1956">
      <c r="AR1956" s="31">
        <f>IF(OR($A$5="",$B$6="",ROW()&lt;$A$5),"",IF(INDEX($A:$AP,ROW(),$B$6)="","",INDEX($A:$AP,ROW(),$B$6)))</f>
        <v/>
      </c>
      <c r="AS1956" s="32">
        <f>IF($AR1956="","",IF(ISNUMBER($AR1956),IF($AR1956&gt;=10000000,IFERROR(DATE(INT($AR1956/10000),MOD(INT($AR1956/100),100),MOD($AR1956,100)),""),INT($AR1956)),IFERROR(DATE(--LEFT(LEFT(SUBSTITUTE(SUBSTITUTE(SUBSTITUTE(SUBSTITUTE(TRIM($AR1956),"-",""),".",""),"/","")," ",""),8),4),--MID(LEFT(SUBSTITUTE(SUBSTITUTE(SUBSTITUTE(SUBSTITUTE(TRIM($AR1956),"-",""),".",""),"/","")," ",""),8),5,2),--MID(LEFT(SUBSTITUTE(SUBSTITUTE(SUBSTITUTE(SUBSTITUTE(TRIM($AR1956),"-",""),".",""),"/","")," ",""),8),7,2)),"")))</f>
        <v/>
      </c>
      <c r="AT1956" s="33">
        <f>IF($AS1956="","",IF($F$6="",0,IF(ISNUMBER(INDEX($A:$AP,ROW(),$F$6)),INDEX($A:$AP,ROW(),$F$6),IFERROR(--SUBSTITUTE(SUBSTITUTE(TRIM(INDEX($A:$AP,ROW(),$F$6)),",",""),"원",""),0))))</f>
        <v/>
      </c>
      <c r="AU1956" s="31">
        <f>IF($AS1956="","",IF($AX1956&lt;&gt;"",SUBSTITUTE(SUBSTITUTE($AX1956,"-","")," ",""),"N:"&amp;$AV1956))</f>
        <v/>
      </c>
      <c r="AV1956" s="31">
        <f>IF(OR($AS1956="",$E$6=""),"",TRIM(INDEX($A:$AP,ROW(),$E$6)&amp;""))</f>
        <v/>
      </c>
      <c r="AW1956" s="31">
        <f>IF($AU1956="","",IF(MATCH($AU1956,$AU$8:$AU$2007,0)=ROW()-7,MAX($AW$7:$AW1955)+1,""))</f>
        <v/>
      </c>
      <c r="AX1956" s="31">
        <f>IF(OR($AS1956="",$D$6=""),"",TRIM(INDEX($A:$AP,ROW(),$D$6)&amp;""))</f>
        <v/>
      </c>
      <c r="AY1956" s="31">
        <f>IF($AU1956="","",INDEX($AW$8:$AW$2007,MATCH($AU1956,$AU$8:$AU$2007,0)))</f>
        <v/>
      </c>
      <c r="AZ1956" s="31">
        <f>IF(OR($AS1956="",$C$6=""),"",TRIM(INDEX($A:$AP,ROW(),$C$6)&amp;""))</f>
        <v/>
      </c>
      <c r="BA1956" s="31">
        <f>IF($AZ1956="","",IF(COUNTIF($AZ$8:$AZ1956,$AZ1956)&gt;1,1,0))</f>
        <v/>
      </c>
    </row>
    <row r="1957">
      <c r="AR1957" s="31">
        <f>IF(OR($A$5="",$B$6="",ROW()&lt;$A$5),"",IF(INDEX($A:$AP,ROW(),$B$6)="","",INDEX($A:$AP,ROW(),$B$6)))</f>
        <v/>
      </c>
      <c r="AS1957" s="32">
        <f>IF($AR1957="","",IF(ISNUMBER($AR1957),IF($AR1957&gt;=10000000,IFERROR(DATE(INT($AR1957/10000),MOD(INT($AR1957/100),100),MOD($AR1957,100)),""),INT($AR1957)),IFERROR(DATE(--LEFT(LEFT(SUBSTITUTE(SUBSTITUTE(SUBSTITUTE(SUBSTITUTE(TRIM($AR1957),"-",""),".",""),"/","")," ",""),8),4),--MID(LEFT(SUBSTITUTE(SUBSTITUTE(SUBSTITUTE(SUBSTITUTE(TRIM($AR1957),"-",""),".",""),"/","")," ",""),8),5,2),--MID(LEFT(SUBSTITUTE(SUBSTITUTE(SUBSTITUTE(SUBSTITUTE(TRIM($AR1957),"-",""),".",""),"/","")," ",""),8),7,2)),"")))</f>
        <v/>
      </c>
      <c r="AT1957" s="33">
        <f>IF($AS1957="","",IF($F$6="",0,IF(ISNUMBER(INDEX($A:$AP,ROW(),$F$6)),INDEX($A:$AP,ROW(),$F$6),IFERROR(--SUBSTITUTE(SUBSTITUTE(TRIM(INDEX($A:$AP,ROW(),$F$6)),",",""),"원",""),0))))</f>
        <v/>
      </c>
      <c r="AU1957" s="31">
        <f>IF($AS1957="","",IF($AX1957&lt;&gt;"",SUBSTITUTE(SUBSTITUTE($AX1957,"-","")," ",""),"N:"&amp;$AV1957))</f>
        <v/>
      </c>
      <c r="AV1957" s="31">
        <f>IF(OR($AS1957="",$E$6=""),"",TRIM(INDEX($A:$AP,ROW(),$E$6)&amp;""))</f>
        <v/>
      </c>
      <c r="AW1957" s="31">
        <f>IF($AU1957="","",IF(MATCH($AU1957,$AU$8:$AU$2007,0)=ROW()-7,MAX($AW$7:$AW1956)+1,""))</f>
        <v/>
      </c>
      <c r="AX1957" s="31">
        <f>IF(OR($AS1957="",$D$6=""),"",TRIM(INDEX($A:$AP,ROW(),$D$6)&amp;""))</f>
        <v/>
      </c>
      <c r="AY1957" s="31">
        <f>IF($AU1957="","",INDEX($AW$8:$AW$2007,MATCH($AU1957,$AU$8:$AU$2007,0)))</f>
        <v/>
      </c>
      <c r="AZ1957" s="31">
        <f>IF(OR($AS1957="",$C$6=""),"",TRIM(INDEX($A:$AP,ROW(),$C$6)&amp;""))</f>
        <v/>
      </c>
      <c r="BA1957" s="31">
        <f>IF($AZ1957="","",IF(COUNTIF($AZ$8:$AZ1957,$AZ1957)&gt;1,1,0))</f>
        <v/>
      </c>
    </row>
    <row r="1958">
      <c r="AR1958" s="31">
        <f>IF(OR($A$5="",$B$6="",ROW()&lt;$A$5),"",IF(INDEX($A:$AP,ROW(),$B$6)="","",INDEX($A:$AP,ROW(),$B$6)))</f>
        <v/>
      </c>
      <c r="AS1958" s="32">
        <f>IF($AR1958="","",IF(ISNUMBER($AR1958),IF($AR1958&gt;=10000000,IFERROR(DATE(INT($AR1958/10000),MOD(INT($AR1958/100),100),MOD($AR1958,100)),""),INT($AR1958)),IFERROR(DATE(--LEFT(LEFT(SUBSTITUTE(SUBSTITUTE(SUBSTITUTE(SUBSTITUTE(TRIM($AR1958),"-",""),".",""),"/","")," ",""),8),4),--MID(LEFT(SUBSTITUTE(SUBSTITUTE(SUBSTITUTE(SUBSTITUTE(TRIM($AR1958),"-",""),".",""),"/","")," ",""),8),5,2),--MID(LEFT(SUBSTITUTE(SUBSTITUTE(SUBSTITUTE(SUBSTITUTE(TRIM($AR1958),"-",""),".",""),"/","")," ",""),8),7,2)),"")))</f>
        <v/>
      </c>
      <c r="AT1958" s="33">
        <f>IF($AS1958="","",IF($F$6="",0,IF(ISNUMBER(INDEX($A:$AP,ROW(),$F$6)),INDEX($A:$AP,ROW(),$F$6),IFERROR(--SUBSTITUTE(SUBSTITUTE(TRIM(INDEX($A:$AP,ROW(),$F$6)),",",""),"원",""),0))))</f>
        <v/>
      </c>
      <c r="AU1958" s="31">
        <f>IF($AS1958="","",IF($AX1958&lt;&gt;"",SUBSTITUTE(SUBSTITUTE($AX1958,"-","")," ",""),"N:"&amp;$AV1958))</f>
        <v/>
      </c>
      <c r="AV1958" s="31">
        <f>IF(OR($AS1958="",$E$6=""),"",TRIM(INDEX($A:$AP,ROW(),$E$6)&amp;""))</f>
        <v/>
      </c>
      <c r="AW1958" s="31">
        <f>IF($AU1958="","",IF(MATCH($AU1958,$AU$8:$AU$2007,0)=ROW()-7,MAX($AW$7:$AW1957)+1,""))</f>
        <v/>
      </c>
      <c r="AX1958" s="31">
        <f>IF(OR($AS1958="",$D$6=""),"",TRIM(INDEX($A:$AP,ROW(),$D$6)&amp;""))</f>
        <v/>
      </c>
      <c r="AY1958" s="31">
        <f>IF($AU1958="","",INDEX($AW$8:$AW$2007,MATCH($AU1958,$AU$8:$AU$2007,0)))</f>
        <v/>
      </c>
      <c r="AZ1958" s="31">
        <f>IF(OR($AS1958="",$C$6=""),"",TRIM(INDEX($A:$AP,ROW(),$C$6)&amp;""))</f>
        <v/>
      </c>
      <c r="BA1958" s="31">
        <f>IF($AZ1958="","",IF(COUNTIF($AZ$8:$AZ1958,$AZ1958)&gt;1,1,0))</f>
        <v/>
      </c>
    </row>
    <row r="1959">
      <c r="AR1959" s="31">
        <f>IF(OR($A$5="",$B$6="",ROW()&lt;$A$5),"",IF(INDEX($A:$AP,ROW(),$B$6)="","",INDEX($A:$AP,ROW(),$B$6)))</f>
        <v/>
      </c>
      <c r="AS1959" s="32">
        <f>IF($AR1959="","",IF(ISNUMBER($AR1959),IF($AR1959&gt;=10000000,IFERROR(DATE(INT($AR1959/10000),MOD(INT($AR1959/100),100),MOD($AR1959,100)),""),INT($AR1959)),IFERROR(DATE(--LEFT(LEFT(SUBSTITUTE(SUBSTITUTE(SUBSTITUTE(SUBSTITUTE(TRIM($AR1959),"-",""),".",""),"/","")," ",""),8),4),--MID(LEFT(SUBSTITUTE(SUBSTITUTE(SUBSTITUTE(SUBSTITUTE(TRIM($AR1959),"-",""),".",""),"/","")," ",""),8),5,2),--MID(LEFT(SUBSTITUTE(SUBSTITUTE(SUBSTITUTE(SUBSTITUTE(TRIM($AR1959),"-",""),".",""),"/","")," ",""),8),7,2)),"")))</f>
        <v/>
      </c>
      <c r="AT1959" s="33">
        <f>IF($AS1959="","",IF($F$6="",0,IF(ISNUMBER(INDEX($A:$AP,ROW(),$F$6)),INDEX($A:$AP,ROW(),$F$6),IFERROR(--SUBSTITUTE(SUBSTITUTE(TRIM(INDEX($A:$AP,ROW(),$F$6)),",",""),"원",""),0))))</f>
        <v/>
      </c>
      <c r="AU1959" s="31">
        <f>IF($AS1959="","",IF($AX1959&lt;&gt;"",SUBSTITUTE(SUBSTITUTE($AX1959,"-","")," ",""),"N:"&amp;$AV1959))</f>
        <v/>
      </c>
      <c r="AV1959" s="31">
        <f>IF(OR($AS1959="",$E$6=""),"",TRIM(INDEX($A:$AP,ROW(),$E$6)&amp;""))</f>
        <v/>
      </c>
      <c r="AW1959" s="31">
        <f>IF($AU1959="","",IF(MATCH($AU1959,$AU$8:$AU$2007,0)=ROW()-7,MAX($AW$7:$AW1958)+1,""))</f>
        <v/>
      </c>
      <c r="AX1959" s="31">
        <f>IF(OR($AS1959="",$D$6=""),"",TRIM(INDEX($A:$AP,ROW(),$D$6)&amp;""))</f>
        <v/>
      </c>
      <c r="AY1959" s="31">
        <f>IF($AU1959="","",INDEX($AW$8:$AW$2007,MATCH($AU1959,$AU$8:$AU$2007,0)))</f>
        <v/>
      </c>
      <c r="AZ1959" s="31">
        <f>IF(OR($AS1959="",$C$6=""),"",TRIM(INDEX($A:$AP,ROW(),$C$6)&amp;""))</f>
        <v/>
      </c>
      <c r="BA1959" s="31">
        <f>IF($AZ1959="","",IF(COUNTIF($AZ$8:$AZ1959,$AZ1959)&gt;1,1,0))</f>
        <v/>
      </c>
    </row>
    <row r="1960">
      <c r="AR1960" s="31">
        <f>IF(OR($A$5="",$B$6="",ROW()&lt;$A$5),"",IF(INDEX($A:$AP,ROW(),$B$6)="","",INDEX($A:$AP,ROW(),$B$6)))</f>
        <v/>
      </c>
      <c r="AS1960" s="32">
        <f>IF($AR1960="","",IF(ISNUMBER($AR1960),IF($AR1960&gt;=10000000,IFERROR(DATE(INT($AR1960/10000),MOD(INT($AR1960/100),100),MOD($AR1960,100)),""),INT($AR1960)),IFERROR(DATE(--LEFT(LEFT(SUBSTITUTE(SUBSTITUTE(SUBSTITUTE(SUBSTITUTE(TRIM($AR1960),"-",""),".",""),"/","")," ",""),8),4),--MID(LEFT(SUBSTITUTE(SUBSTITUTE(SUBSTITUTE(SUBSTITUTE(TRIM($AR1960),"-",""),".",""),"/","")," ",""),8),5,2),--MID(LEFT(SUBSTITUTE(SUBSTITUTE(SUBSTITUTE(SUBSTITUTE(TRIM($AR1960),"-",""),".",""),"/","")," ",""),8),7,2)),"")))</f>
        <v/>
      </c>
      <c r="AT1960" s="33">
        <f>IF($AS1960="","",IF($F$6="",0,IF(ISNUMBER(INDEX($A:$AP,ROW(),$F$6)),INDEX($A:$AP,ROW(),$F$6),IFERROR(--SUBSTITUTE(SUBSTITUTE(TRIM(INDEX($A:$AP,ROW(),$F$6)),",",""),"원",""),0))))</f>
        <v/>
      </c>
      <c r="AU1960" s="31">
        <f>IF($AS1960="","",IF($AX1960&lt;&gt;"",SUBSTITUTE(SUBSTITUTE($AX1960,"-","")," ",""),"N:"&amp;$AV1960))</f>
        <v/>
      </c>
      <c r="AV1960" s="31">
        <f>IF(OR($AS1960="",$E$6=""),"",TRIM(INDEX($A:$AP,ROW(),$E$6)&amp;""))</f>
        <v/>
      </c>
      <c r="AW1960" s="31">
        <f>IF($AU1960="","",IF(MATCH($AU1960,$AU$8:$AU$2007,0)=ROW()-7,MAX($AW$7:$AW1959)+1,""))</f>
        <v/>
      </c>
      <c r="AX1960" s="31">
        <f>IF(OR($AS1960="",$D$6=""),"",TRIM(INDEX($A:$AP,ROW(),$D$6)&amp;""))</f>
        <v/>
      </c>
      <c r="AY1960" s="31">
        <f>IF($AU1960="","",INDEX($AW$8:$AW$2007,MATCH($AU1960,$AU$8:$AU$2007,0)))</f>
        <v/>
      </c>
      <c r="AZ1960" s="31">
        <f>IF(OR($AS1960="",$C$6=""),"",TRIM(INDEX($A:$AP,ROW(),$C$6)&amp;""))</f>
        <v/>
      </c>
      <c r="BA1960" s="31">
        <f>IF($AZ1960="","",IF(COUNTIF($AZ$8:$AZ1960,$AZ1960)&gt;1,1,0))</f>
        <v/>
      </c>
    </row>
    <row r="1961">
      <c r="AR1961" s="31">
        <f>IF(OR($A$5="",$B$6="",ROW()&lt;$A$5),"",IF(INDEX($A:$AP,ROW(),$B$6)="","",INDEX($A:$AP,ROW(),$B$6)))</f>
        <v/>
      </c>
      <c r="AS1961" s="32">
        <f>IF($AR1961="","",IF(ISNUMBER($AR1961),IF($AR1961&gt;=10000000,IFERROR(DATE(INT($AR1961/10000),MOD(INT($AR1961/100),100),MOD($AR1961,100)),""),INT($AR1961)),IFERROR(DATE(--LEFT(LEFT(SUBSTITUTE(SUBSTITUTE(SUBSTITUTE(SUBSTITUTE(TRIM($AR1961),"-",""),".",""),"/","")," ",""),8),4),--MID(LEFT(SUBSTITUTE(SUBSTITUTE(SUBSTITUTE(SUBSTITUTE(TRIM($AR1961),"-",""),".",""),"/","")," ",""),8),5,2),--MID(LEFT(SUBSTITUTE(SUBSTITUTE(SUBSTITUTE(SUBSTITUTE(TRIM($AR1961),"-",""),".",""),"/","")," ",""),8),7,2)),"")))</f>
        <v/>
      </c>
      <c r="AT1961" s="33">
        <f>IF($AS1961="","",IF($F$6="",0,IF(ISNUMBER(INDEX($A:$AP,ROW(),$F$6)),INDEX($A:$AP,ROW(),$F$6),IFERROR(--SUBSTITUTE(SUBSTITUTE(TRIM(INDEX($A:$AP,ROW(),$F$6)),",",""),"원",""),0))))</f>
        <v/>
      </c>
      <c r="AU1961" s="31">
        <f>IF($AS1961="","",IF($AX1961&lt;&gt;"",SUBSTITUTE(SUBSTITUTE($AX1961,"-","")," ",""),"N:"&amp;$AV1961))</f>
        <v/>
      </c>
      <c r="AV1961" s="31">
        <f>IF(OR($AS1961="",$E$6=""),"",TRIM(INDEX($A:$AP,ROW(),$E$6)&amp;""))</f>
        <v/>
      </c>
      <c r="AW1961" s="31">
        <f>IF($AU1961="","",IF(MATCH($AU1961,$AU$8:$AU$2007,0)=ROW()-7,MAX($AW$7:$AW1960)+1,""))</f>
        <v/>
      </c>
      <c r="AX1961" s="31">
        <f>IF(OR($AS1961="",$D$6=""),"",TRIM(INDEX($A:$AP,ROW(),$D$6)&amp;""))</f>
        <v/>
      </c>
      <c r="AY1961" s="31">
        <f>IF($AU1961="","",INDEX($AW$8:$AW$2007,MATCH($AU1961,$AU$8:$AU$2007,0)))</f>
        <v/>
      </c>
      <c r="AZ1961" s="31">
        <f>IF(OR($AS1961="",$C$6=""),"",TRIM(INDEX($A:$AP,ROW(),$C$6)&amp;""))</f>
        <v/>
      </c>
      <c r="BA1961" s="31">
        <f>IF($AZ1961="","",IF(COUNTIF($AZ$8:$AZ1961,$AZ1961)&gt;1,1,0))</f>
        <v/>
      </c>
    </row>
    <row r="1962">
      <c r="AR1962" s="31">
        <f>IF(OR($A$5="",$B$6="",ROW()&lt;$A$5),"",IF(INDEX($A:$AP,ROW(),$B$6)="","",INDEX($A:$AP,ROW(),$B$6)))</f>
        <v/>
      </c>
      <c r="AS1962" s="32">
        <f>IF($AR1962="","",IF(ISNUMBER($AR1962),IF($AR1962&gt;=10000000,IFERROR(DATE(INT($AR1962/10000),MOD(INT($AR1962/100),100),MOD($AR1962,100)),""),INT($AR1962)),IFERROR(DATE(--LEFT(LEFT(SUBSTITUTE(SUBSTITUTE(SUBSTITUTE(SUBSTITUTE(TRIM($AR1962),"-",""),".",""),"/","")," ",""),8),4),--MID(LEFT(SUBSTITUTE(SUBSTITUTE(SUBSTITUTE(SUBSTITUTE(TRIM($AR1962),"-",""),".",""),"/","")," ",""),8),5,2),--MID(LEFT(SUBSTITUTE(SUBSTITUTE(SUBSTITUTE(SUBSTITUTE(TRIM($AR1962),"-",""),".",""),"/","")," ",""),8),7,2)),"")))</f>
        <v/>
      </c>
      <c r="AT1962" s="33">
        <f>IF($AS1962="","",IF($F$6="",0,IF(ISNUMBER(INDEX($A:$AP,ROW(),$F$6)),INDEX($A:$AP,ROW(),$F$6),IFERROR(--SUBSTITUTE(SUBSTITUTE(TRIM(INDEX($A:$AP,ROW(),$F$6)),",",""),"원",""),0))))</f>
        <v/>
      </c>
      <c r="AU1962" s="31">
        <f>IF($AS1962="","",IF($AX1962&lt;&gt;"",SUBSTITUTE(SUBSTITUTE($AX1962,"-","")," ",""),"N:"&amp;$AV1962))</f>
        <v/>
      </c>
      <c r="AV1962" s="31">
        <f>IF(OR($AS1962="",$E$6=""),"",TRIM(INDEX($A:$AP,ROW(),$E$6)&amp;""))</f>
        <v/>
      </c>
      <c r="AW1962" s="31">
        <f>IF($AU1962="","",IF(MATCH($AU1962,$AU$8:$AU$2007,0)=ROW()-7,MAX($AW$7:$AW1961)+1,""))</f>
        <v/>
      </c>
      <c r="AX1962" s="31">
        <f>IF(OR($AS1962="",$D$6=""),"",TRIM(INDEX($A:$AP,ROW(),$D$6)&amp;""))</f>
        <v/>
      </c>
      <c r="AY1962" s="31">
        <f>IF($AU1962="","",INDEX($AW$8:$AW$2007,MATCH($AU1962,$AU$8:$AU$2007,0)))</f>
        <v/>
      </c>
      <c r="AZ1962" s="31">
        <f>IF(OR($AS1962="",$C$6=""),"",TRIM(INDEX($A:$AP,ROW(),$C$6)&amp;""))</f>
        <v/>
      </c>
      <c r="BA1962" s="31">
        <f>IF($AZ1962="","",IF(COUNTIF($AZ$8:$AZ1962,$AZ1962)&gt;1,1,0))</f>
        <v/>
      </c>
    </row>
    <row r="1963">
      <c r="AR1963" s="31">
        <f>IF(OR($A$5="",$B$6="",ROW()&lt;$A$5),"",IF(INDEX($A:$AP,ROW(),$B$6)="","",INDEX($A:$AP,ROW(),$B$6)))</f>
        <v/>
      </c>
      <c r="AS1963" s="32">
        <f>IF($AR1963="","",IF(ISNUMBER($AR1963),IF($AR1963&gt;=10000000,IFERROR(DATE(INT($AR1963/10000),MOD(INT($AR1963/100),100),MOD($AR1963,100)),""),INT($AR1963)),IFERROR(DATE(--LEFT(LEFT(SUBSTITUTE(SUBSTITUTE(SUBSTITUTE(SUBSTITUTE(TRIM($AR1963),"-",""),".",""),"/","")," ",""),8),4),--MID(LEFT(SUBSTITUTE(SUBSTITUTE(SUBSTITUTE(SUBSTITUTE(TRIM($AR1963),"-",""),".",""),"/","")," ",""),8),5,2),--MID(LEFT(SUBSTITUTE(SUBSTITUTE(SUBSTITUTE(SUBSTITUTE(TRIM($AR1963),"-",""),".",""),"/","")," ",""),8),7,2)),"")))</f>
        <v/>
      </c>
      <c r="AT1963" s="33">
        <f>IF($AS1963="","",IF($F$6="",0,IF(ISNUMBER(INDEX($A:$AP,ROW(),$F$6)),INDEX($A:$AP,ROW(),$F$6),IFERROR(--SUBSTITUTE(SUBSTITUTE(TRIM(INDEX($A:$AP,ROW(),$F$6)),",",""),"원",""),0))))</f>
        <v/>
      </c>
      <c r="AU1963" s="31">
        <f>IF($AS1963="","",IF($AX1963&lt;&gt;"",SUBSTITUTE(SUBSTITUTE($AX1963,"-","")," ",""),"N:"&amp;$AV1963))</f>
        <v/>
      </c>
      <c r="AV1963" s="31">
        <f>IF(OR($AS1963="",$E$6=""),"",TRIM(INDEX($A:$AP,ROW(),$E$6)&amp;""))</f>
        <v/>
      </c>
      <c r="AW1963" s="31">
        <f>IF($AU1963="","",IF(MATCH($AU1963,$AU$8:$AU$2007,0)=ROW()-7,MAX($AW$7:$AW1962)+1,""))</f>
        <v/>
      </c>
      <c r="AX1963" s="31">
        <f>IF(OR($AS1963="",$D$6=""),"",TRIM(INDEX($A:$AP,ROW(),$D$6)&amp;""))</f>
        <v/>
      </c>
      <c r="AY1963" s="31">
        <f>IF($AU1963="","",INDEX($AW$8:$AW$2007,MATCH($AU1963,$AU$8:$AU$2007,0)))</f>
        <v/>
      </c>
      <c r="AZ1963" s="31">
        <f>IF(OR($AS1963="",$C$6=""),"",TRIM(INDEX($A:$AP,ROW(),$C$6)&amp;""))</f>
        <v/>
      </c>
      <c r="BA1963" s="31">
        <f>IF($AZ1963="","",IF(COUNTIF($AZ$8:$AZ1963,$AZ1963)&gt;1,1,0))</f>
        <v/>
      </c>
    </row>
    <row r="1964">
      <c r="AR1964" s="31">
        <f>IF(OR($A$5="",$B$6="",ROW()&lt;$A$5),"",IF(INDEX($A:$AP,ROW(),$B$6)="","",INDEX($A:$AP,ROW(),$B$6)))</f>
        <v/>
      </c>
      <c r="AS1964" s="32">
        <f>IF($AR1964="","",IF(ISNUMBER($AR1964),IF($AR1964&gt;=10000000,IFERROR(DATE(INT($AR1964/10000),MOD(INT($AR1964/100),100),MOD($AR1964,100)),""),INT($AR1964)),IFERROR(DATE(--LEFT(LEFT(SUBSTITUTE(SUBSTITUTE(SUBSTITUTE(SUBSTITUTE(TRIM($AR1964),"-",""),".",""),"/","")," ",""),8),4),--MID(LEFT(SUBSTITUTE(SUBSTITUTE(SUBSTITUTE(SUBSTITUTE(TRIM($AR1964),"-",""),".",""),"/","")," ",""),8),5,2),--MID(LEFT(SUBSTITUTE(SUBSTITUTE(SUBSTITUTE(SUBSTITUTE(TRIM($AR1964),"-",""),".",""),"/","")," ",""),8),7,2)),"")))</f>
        <v/>
      </c>
      <c r="AT1964" s="33">
        <f>IF($AS1964="","",IF($F$6="",0,IF(ISNUMBER(INDEX($A:$AP,ROW(),$F$6)),INDEX($A:$AP,ROW(),$F$6),IFERROR(--SUBSTITUTE(SUBSTITUTE(TRIM(INDEX($A:$AP,ROW(),$F$6)),",",""),"원",""),0))))</f>
        <v/>
      </c>
      <c r="AU1964" s="31">
        <f>IF($AS1964="","",IF($AX1964&lt;&gt;"",SUBSTITUTE(SUBSTITUTE($AX1964,"-","")," ",""),"N:"&amp;$AV1964))</f>
        <v/>
      </c>
      <c r="AV1964" s="31">
        <f>IF(OR($AS1964="",$E$6=""),"",TRIM(INDEX($A:$AP,ROW(),$E$6)&amp;""))</f>
        <v/>
      </c>
      <c r="AW1964" s="31">
        <f>IF($AU1964="","",IF(MATCH($AU1964,$AU$8:$AU$2007,0)=ROW()-7,MAX($AW$7:$AW1963)+1,""))</f>
        <v/>
      </c>
      <c r="AX1964" s="31">
        <f>IF(OR($AS1964="",$D$6=""),"",TRIM(INDEX($A:$AP,ROW(),$D$6)&amp;""))</f>
        <v/>
      </c>
      <c r="AY1964" s="31">
        <f>IF($AU1964="","",INDEX($AW$8:$AW$2007,MATCH($AU1964,$AU$8:$AU$2007,0)))</f>
        <v/>
      </c>
      <c r="AZ1964" s="31">
        <f>IF(OR($AS1964="",$C$6=""),"",TRIM(INDEX($A:$AP,ROW(),$C$6)&amp;""))</f>
        <v/>
      </c>
      <c r="BA1964" s="31">
        <f>IF($AZ1964="","",IF(COUNTIF($AZ$8:$AZ1964,$AZ1964)&gt;1,1,0))</f>
        <v/>
      </c>
    </row>
    <row r="1965">
      <c r="AR1965" s="31">
        <f>IF(OR($A$5="",$B$6="",ROW()&lt;$A$5),"",IF(INDEX($A:$AP,ROW(),$B$6)="","",INDEX($A:$AP,ROW(),$B$6)))</f>
        <v/>
      </c>
      <c r="AS1965" s="32">
        <f>IF($AR1965="","",IF(ISNUMBER($AR1965),IF($AR1965&gt;=10000000,IFERROR(DATE(INT($AR1965/10000),MOD(INT($AR1965/100),100),MOD($AR1965,100)),""),INT($AR1965)),IFERROR(DATE(--LEFT(LEFT(SUBSTITUTE(SUBSTITUTE(SUBSTITUTE(SUBSTITUTE(TRIM($AR1965),"-",""),".",""),"/","")," ",""),8),4),--MID(LEFT(SUBSTITUTE(SUBSTITUTE(SUBSTITUTE(SUBSTITUTE(TRIM($AR1965),"-",""),".",""),"/","")," ",""),8),5,2),--MID(LEFT(SUBSTITUTE(SUBSTITUTE(SUBSTITUTE(SUBSTITUTE(TRIM($AR1965),"-",""),".",""),"/","")," ",""),8),7,2)),"")))</f>
        <v/>
      </c>
      <c r="AT1965" s="33">
        <f>IF($AS1965="","",IF($F$6="",0,IF(ISNUMBER(INDEX($A:$AP,ROW(),$F$6)),INDEX($A:$AP,ROW(),$F$6),IFERROR(--SUBSTITUTE(SUBSTITUTE(TRIM(INDEX($A:$AP,ROW(),$F$6)),",",""),"원",""),0))))</f>
        <v/>
      </c>
      <c r="AU1965" s="31">
        <f>IF($AS1965="","",IF($AX1965&lt;&gt;"",SUBSTITUTE(SUBSTITUTE($AX1965,"-","")," ",""),"N:"&amp;$AV1965))</f>
        <v/>
      </c>
      <c r="AV1965" s="31">
        <f>IF(OR($AS1965="",$E$6=""),"",TRIM(INDEX($A:$AP,ROW(),$E$6)&amp;""))</f>
        <v/>
      </c>
      <c r="AW1965" s="31">
        <f>IF($AU1965="","",IF(MATCH($AU1965,$AU$8:$AU$2007,0)=ROW()-7,MAX($AW$7:$AW1964)+1,""))</f>
        <v/>
      </c>
      <c r="AX1965" s="31">
        <f>IF(OR($AS1965="",$D$6=""),"",TRIM(INDEX($A:$AP,ROW(),$D$6)&amp;""))</f>
        <v/>
      </c>
      <c r="AY1965" s="31">
        <f>IF($AU1965="","",INDEX($AW$8:$AW$2007,MATCH($AU1965,$AU$8:$AU$2007,0)))</f>
        <v/>
      </c>
      <c r="AZ1965" s="31">
        <f>IF(OR($AS1965="",$C$6=""),"",TRIM(INDEX($A:$AP,ROW(),$C$6)&amp;""))</f>
        <v/>
      </c>
      <c r="BA1965" s="31">
        <f>IF($AZ1965="","",IF(COUNTIF($AZ$8:$AZ1965,$AZ1965)&gt;1,1,0))</f>
        <v/>
      </c>
    </row>
    <row r="1966">
      <c r="AR1966" s="31">
        <f>IF(OR($A$5="",$B$6="",ROW()&lt;$A$5),"",IF(INDEX($A:$AP,ROW(),$B$6)="","",INDEX($A:$AP,ROW(),$B$6)))</f>
        <v/>
      </c>
      <c r="AS1966" s="32">
        <f>IF($AR1966="","",IF(ISNUMBER($AR1966),IF($AR1966&gt;=10000000,IFERROR(DATE(INT($AR1966/10000),MOD(INT($AR1966/100),100),MOD($AR1966,100)),""),INT($AR1966)),IFERROR(DATE(--LEFT(LEFT(SUBSTITUTE(SUBSTITUTE(SUBSTITUTE(SUBSTITUTE(TRIM($AR1966),"-",""),".",""),"/","")," ",""),8),4),--MID(LEFT(SUBSTITUTE(SUBSTITUTE(SUBSTITUTE(SUBSTITUTE(TRIM($AR1966),"-",""),".",""),"/","")," ",""),8),5,2),--MID(LEFT(SUBSTITUTE(SUBSTITUTE(SUBSTITUTE(SUBSTITUTE(TRIM($AR1966),"-",""),".",""),"/","")," ",""),8),7,2)),"")))</f>
        <v/>
      </c>
      <c r="AT1966" s="33">
        <f>IF($AS1966="","",IF($F$6="",0,IF(ISNUMBER(INDEX($A:$AP,ROW(),$F$6)),INDEX($A:$AP,ROW(),$F$6),IFERROR(--SUBSTITUTE(SUBSTITUTE(TRIM(INDEX($A:$AP,ROW(),$F$6)),",",""),"원",""),0))))</f>
        <v/>
      </c>
      <c r="AU1966" s="31">
        <f>IF($AS1966="","",IF($AX1966&lt;&gt;"",SUBSTITUTE(SUBSTITUTE($AX1966,"-","")," ",""),"N:"&amp;$AV1966))</f>
        <v/>
      </c>
      <c r="AV1966" s="31">
        <f>IF(OR($AS1966="",$E$6=""),"",TRIM(INDEX($A:$AP,ROW(),$E$6)&amp;""))</f>
        <v/>
      </c>
      <c r="AW1966" s="31">
        <f>IF($AU1966="","",IF(MATCH($AU1966,$AU$8:$AU$2007,0)=ROW()-7,MAX($AW$7:$AW1965)+1,""))</f>
        <v/>
      </c>
      <c r="AX1966" s="31">
        <f>IF(OR($AS1966="",$D$6=""),"",TRIM(INDEX($A:$AP,ROW(),$D$6)&amp;""))</f>
        <v/>
      </c>
      <c r="AY1966" s="31">
        <f>IF($AU1966="","",INDEX($AW$8:$AW$2007,MATCH($AU1966,$AU$8:$AU$2007,0)))</f>
        <v/>
      </c>
      <c r="AZ1966" s="31">
        <f>IF(OR($AS1966="",$C$6=""),"",TRIM(INDEX($A:$AP,ROW(),$C$6)&amp;""))</f>
        <v/>
      </c>
      <c r="BA1966" s="31">
        <f>IF($AZ1966="","",IF(COUNTIF($AZ$8:$AZ1966,$AZ1966)&gt;1,1,0))</f>
        <v/>
      </c>
    </row>
    <row r="1967">
      <c r="AR1967" s="31">
        <f>IF(OR($A$5="",$B$6="",ROW()&lt;$A$5),"",IF(INDEX($A:$AP,ROW(),$B$6)="","",INDEX($A:$AP,ROW(),$B$6)))</f>
        <v/>
      </c>
      <c r="AS1967" s="32">
        <f>IF($AR1967="","",IF(ISNUMBER($AR1967),IF($AR1967&gt;=10000000,IFERROR(DATE(INT($AR1967/10000),MOD(INT($AR1967/100),100),MOD($AR1967,100)),""),INT($AR1967)),IFERROR(DATE(--LEFT(LEFT(SUBSTITUTE(SUBSTITUTE(SUBSTITUTE(SUBSTITUTE(TRIM($AR1967),"-",""),".",""),"/","")," ",""),8),4),--MID(LEFT(SUBSTITUTE(SUBSTITUTE(SUBSTITUTE(SUBSTITUTE(TRIM($AR1967),"-",""),".",""),"/","")," ",""),8),5,2),--MID(LEFT(SUBSTITUTE(SUBSTITUTE(SUBSTITUTE(SUBSTITUTE(TRIM($AR1967),"-",""),".",""),"/","")," ",""),8),7,2)),"")))</f>
        <v/>
      </c>
      <c r="AT1967" s="33">
        <f>IF($AS1967="","",IF($F$6="",0,IF(ISNUMBER(INDEX($A:$AP,ROW(),$F$6)),INDEX($A:$AP,ROW(),$F$6),IFERROR(--SUBSTITUTE(SUBSTITUTE(TRIM(INDEX($A:$AP,ROW(),$F$6)),",",""),"원",""),0))))</f>
        <v/>
      </c>
      <c r="AU1967" s="31">
        <f>IF($AS1967="","",IF($AX1967&lt;&gt;"",SUBSTITUTE(SUBSTITUTE($AX1967,"-","")," ",""),"N:"&amp;$AV1967))</f>
        <v/>
      </c>
      <c r="AV1967" s="31">
        <f>IF(OR($AS1967="",$E$6=""),"",TRIM(INDEX($A:$AP,ROW(),$E$6)&amp;""))</f>
        <v/>
      </c>
      <c r="AW1967" s="31">
        <f>IF($AU1967="","",IF(MATCH($AU1967,$AU$8:$AU$2007,0)=ROW()-7,MAX($AW$7:$AW1966)+1,""))</f>
        <v/>
      </c>
      <c r="AX1967" s="31">
        <f>IF(OR($AS1967="",$D$6=""),"",TRIM(INDEX($A:$AP,ROW(),$D$6)&amp;""))</f>
        <v/>
      </c>
      <c r="AY1967" s="31">
        <f>IF($AU1967="","",INDEX($AW$8:$AW$2007,MATCH($AU1967,$AU$8:$AU$2007,0)))</f>
        <v/>
      </c>
      <c r="AZ1967" s="31">
        <f>IF(OR($AS1967="",$C$6=""),"",TRIM(INDEX($A:$AP,ROW(),$C$6)&amp;""))</f>
        <v/>
      </c>
      <c r="BA1967" s="31">
        <f>IF($AZ1967="","",IF(COUNTIF($AZ$8:$AZ1967,$AZ1967)&gt;1,1,0))</f>
        <v/>
      </c>
    </row>
    <row r="1968">
      <c r="AR1968" s="31">
        <f>IF(OR($A$5="",$B$6="",ROW()&lt;$A$5),"",IF(INDEX($A:$AP,ROW(),$B$6)="","",INDEX($A:$AP,ROW(),$B$6)))</f>
        <v/>
      </c>
      <c r="AS1968" s="32">
        <f>IF($AR1968="","",IF(ISNUMBER($AR1968),IF($AR1968&gt;=10000000,IFERROR(DATE(INT($AR1968/10000),MOD(INT($AR1968/100),100),MOD($AR1968,100)),""),INT($AR1968)),IFERROR(DATE(--LEFT(LEFT(SUBSTITUTE(SUBSTITUTE(SUBSTITUTE(SUBSTITUTE(TRIM($AR1968),"-",""),".",""),"/","")," ",""),8),4),--MID(LEFT(SUBSTITUTE(SUBSTITUTE(SUBSTITUTE(SUBSTITUTE(TRIM($AR1968),"-",""),".",""),"/","")," ",""),8),5,2),--MID(LEFT(SUBSTITUTE(SUBSTITUTE(SUBSTITUTE(SUBSTITUTE(TRIM($AR1968),"-",""),".",""),"/","")," ",""),8),7,2)),"")))</f>
        <v/>
      </c>
      <c r="AT1968" s="33">
        <f>IF($AS1968="","",IF($F$6="",0,IF(ISNUMBER(INDEX($A:$AP,ROW(),$F$6)),INDEX($A:$AP,ROW(),$F$6),IFERROR(--SUBSTITUTE(SUBSTITUTE(TRIM(INDEX($A:$AP,ROW(),$F$6)),",",""),"원",""),0))))</f>
        <v/>
      </c>
      <c r="AU1968" s="31">
        <f>IF($AS1968="","",IF($AX1968&lt;&gt;"",SUBSTITUTE(SUBSTITUTE($AX1968,"-","")," ",""),"N:"&amp;$AV1968))</f>
        <v/>
      </c>
      <c r="AV1968" s="31">
        <f>IF(OR($AS1968="",$E$6=""),"",TRIM(INDEX($A:$AP,ROW(),$E$6)&amp;""))</f>
        <v/>
      </c>
      <c r="AW1968" s="31">
        <f>IF($AU1968="","",IF(MATCH($AU1968,$AU$8:$AU$2007,0)=ROW()-7,MAX($AW$7:$AW1967)+1,""))</f>
        <v/>
      </c>
      <c r="AX1968" s="31">
        <f>IF(OR($AS1968="",$D$6=""),"",TRIM(INDEX($A:$AP,ROW(),$D$6)&amp;""))</f>
        <v/>
      </c>
      <c r="AY1968" s="31">
        <f>IF($AU1968="","",INDEX($AW$8:$AW$2007,MATCH($AU1968,$AU$8:$AU$2007,0)))</f>
        <v/>
      </c>
      <c r="AZ1968" s="31">
        <f>IF(OR($AS1968="",$C$6=""),"",TRIM(INDEX($A:$AP,ROW(),$C$6)&amp;""))</f>
        <v/>
      </c>
      <c r="BA1968" s="31">
        <f>IF($AZ1968="","",IF(COUNTIF($AZ$8:$AZ1968,$AZ1968)&gt;1,1,0))</f>
        <v/>
      </c>
    </row>
    <row r="1969">
      <c r="AR1969" s="31">
        <f>IF(OR($A$5="",$B$6="",ROW()&lt;$A$5),"",IF(INDEX($A:$AP,ROW(),$B$6)="","",INDEX($A:$AP,ROW(),$B$6)))</f>
        <v/>
      </c>
      <c r="AS1969" s="32">
        <f>IF($AR1969="","",IF(ISNUMBER($AR1969),IF($AR1969&gt;=10000000,IFERROR(DATE(INT($AR1969/10000),MOD(INT($AR1969/100),100),MOD($AR1969,100)),""),INT($AR1969)),IFERROR(DATE(--LEFT(LEFT(SUBSTITUTE(SUBSTITUTE(SUBSTITUTE(SUBSTITUTE(TRIM($AR1969),"-",""),".",""),"/","")," ",""),8),4),--MID(LEFT(SUBSTITUTE(SUBSTITUTE(SUBSTITUTE(SUBSTITUTE(TRIM($AR1969),"-",""),".",""),"/","")," ",""),8),5,2),--MID(LEFT(SUBSTITUTE(SUBSTITUTE(SUBSTITUTE(SUBSTITUTE(TRIM($AR1969),"-",""),".",""),"/","")," ",""),8),7,2)),"")))</f>
        <v/>
      </c>
      <c r="AT1969" s="33">
        <f>IF($AS1969="","",IF($F$6="",0,IF(ISNUMBER(INDEX($A:$AP,ROW(),$F$6)),INDEX($A:$AP,ROW(),$F$6),IFERROR(--SUBSTITUTE(SUBSTITUTE(TRIM(INDEX($A:$AP,ROW(),$F$6)),",",""),"원",""),0))))</f>
        <v/>
      </c>
      <c r="AU1969" s="31">
        <f>IF($AS1969="","",IF($AX1969&lt;&gt;"",SUBSTITUTE(SUBSTITUTE($AX1969,"-","")," ",""),"N:"&amp;$AV1969))</f>
        <v/>
      </c>
      <c r="AV1969" s="31">
        <f>IF(OR($AS1969="",$E$6=""),"",TRIM(INDEX($A:$AP,ROW(),$E$6)&amp;""))</f>
        <v/>
      </c>
      <c r="AW1969" s="31">
        <f>IF($AU1969="","",IF(MATCH($AU1969,$AU$8:$AU$2007,0)=ROW()-7,MAX($AW$7:$AW1968)+1,""))</f>
        <v/>
      </c>
      <c r="AX1969" s="31">
        <f>IF(OR($AS1969="",$D$6=""),"",TRIM(INDEX($A:$AP,ROW(),$D$6)&amp;""))</f>
        <v/>
      </c>
      <c r="AY1969" s="31">
        <f>IF($AU1969="","",INDEX($AW$8:$AW$2007,MATCH($AU1969,$AU$8:$AU$2007,0)))</f>
        <v/>
      </c>
      <c r="AZ1969" s="31">
        <f>IF(OR($AS1969="",$C$6=""),"",TRIM(INDEX($A:$AP,ROW(),$C$6)&amp;""))</f>
        <v/>
      </c>
      <c r="BA1969" s="31">
        <f>IF($AZ1969="","",IF(COUNTIF($AZ$8:$AZ1969,$AZ1969)&gt;1,1,0))</f>
        <v/>
      </c>
    </row>
    <row r="1970">
      <c r="AR1970" s="31">
        <f>IF(OR($A$5="",$B$6="",ROW()&lt;$A$5),"",IF(INDEX($A:$AP,ROW(),$B$6)="","",INDEX($A:$AP,ROW(),$B$6)))</f>
        <v/>
      </c>
      <c r="AS1970" s="32">
        <f>IF($AR1970="","",IF(ISNUMBER($AR1970),IF($AR1970&gt;=10000000,IFERROR(DATE(INT($AR1970/10000),MOD(INT($AR1970/100),100),MOD($AR1970,100)),""),INT($AR1970)),IFERROR(DATE(--LEFT(LEFT(SUBSTITUTE(SUBSTITUTE(SUBSTITUTE(SUBSTITUTE(TRIM($AR1970),"-",""),".",""),"/","")," ",""),8),4),--MID(LEFT(SUBSTITUTE(SUBSTITUTE(SUBSTITUTE(SUBSTITUTE(TRIM($AR1970),"-",""),".",""),"/","")," ",""),8),5,2),--MID(LEFT(SUBSTITUTE(SUBSTITUTE(SUBSTITUTE(SUBSTITUTE(TRIM($AR1970),"-",""),".",""),"/","")," ",""),8),7,2)),"")))</f>
        <v/>
      </c>
      <c r="AT1970" s="33">
        <f>IF($AS1970="","",IF($F$6="",0,IF(ISNUMBER(INDEX($A:$AP,ROW(),$F$6)),INDEX($A:$AP,ROW(),$F$6),IFERROR(--SUBSTITUTE(SUBSTITUTE(TRIM(INDEX($A:$AP,ROW(),$F$6)),",",""),"원",""),0))))</f>
        <v/>
      </c>
      <c r="AU1970" s="31">
        <f>IF($AS1970="","",IF($AX1970&lt;&gt;"",SUBSTITUTE(SUBSTITUTE($AX1970,"-","")," ",""),"N:"&amp;$AV1970))</f>
        <v/>
      </c>
      <c r="AV1970" s="31">
        <f>IF(OR($AS1970="",$E$6=""),"",TRIM(INDEX($A:$AP,ROW(),$E$6)&amp;""))</f>
        <v/>
      </c>
      <c r="AW1970" s="31">
        <f>IF($AU1970="","",IF(MATCH($AU1970,$AU$8:$AU$2007,0)=ROW()-7,MAX($AW$7:$AW1969)+1,""))</f>
        <v/>
      </c>
      <c r="AX1970" s="31">
        <f>IF(OR($AS1970="",$D$6=""),"",TRIM(INDEX($A:$AP,ROW(),$D$6)&amp;""))</f>
        <v/>
      </c>
      <c r="AY1970" s="31">
        <f>IF($AU1970="","",INDEX($AW$8:$AW$2007,MATCH($AU1970,$AU$8:$AU$2007,0)))</f>
        <v/>
      </c>
      <c r="AZ1970" s="31">
        <f>IF(OR($AS1970="",$C$6=""),"",TRIM(INDEX($A:$AP,ROW(),$C$6)&amp;""))</f>
        <v/>
      </c>
      <c r="BA1970" s="31">
        <f>IF($AZ1970="","",IF(COUNTIF($AZ$8:$AZ1970,$AZ1970)&gt;1,1,0))</f>
        <v/>
      </c>
    </row>
    <row r="1971">
      <c r="AR1971" s="31">
        <f>IF(OR($A$5="",$B$6="",ROW()&lt;$A$5),"",IF(INDEX($A:$AP,ROW(),$B$6)="","",INDEX($A:$AP,ROW(),$B$6)))</f>
        <v/>
      </c>
      <c r="AS1971" s="32">
        <f>IF($AR1971="","",IF(ISNUMBER($AR1971),IF($AR1971&gt;=10000000,IFERROR(DATE(INT($AR1971/10000),MOD(INT($AR1971/100),100),MOD($AR1971,100)),""),INT($AR1971)),IFERROR(DATE(--LEFT(LEFT(SUBSTITUTE(SUBSTITUTE(SUBSTITUTE(SUBSTITUTE(TRIM($AR1971),"-",""),".",""),"/","")," ",""),8),4),--MID(LEFT(SUBSTITUTE(SUBSTITUTE(SUBSTITUTE(SUBSTITUTE(TRIM($AR1971),"-",""),".",""),"/","")," ",""),8),5,2),--MID(LEFT(SUBSTITUTE(SUBSTITUTE(SUBSTITUTE(SUBSTITUTE(TRIM($AR1971),"-",""),".",""),"/","")," ",""),8),7,2)),"")))</f>
        <v/>
      </c>
      <c r="AT1971" s="33">
        <f>IF($AS1971="","",IF($F$6="",0,IF(ISNUMBER(INDEX($A:$AP,ROW(),$F$6)),INDEX($A:$AP,ROW(),$F$6),IFERROR(--SUBSTITUTE(SUBSTITUTE(TRIM(INDEX($A:$AP,ROW(),$F$6)),",",""),"원",""),0))))</f>
        <v/>
      </c>
      <c r="AU1971" s="31">
        <f>IF($AS1971="","",IF($AX1971&lt;&gt;"",SUBSTITUTE(SUBSTITUTE($AX1971,"-","")," ",""),"N:"&amp;$AV1971))</f>
        <v/>
      </c>
      <c r="AV1971" s="31">
        <f>IF(OR($AS1971="",$E$6=""),"",TRIM(INDEX($A:$AP,ROW(),$E$6)&amp;""))</f>
        <v/>
      </c>
      <c r="AW1971" s="31">
        <f>IF($AU1971="","",IF(MATCH($AU1971,$AU$8:$AU$2007,0)=ROW()-7,MAX($AW$7:$AW1970)+1,""))</f>
        <v/>
      </c>
      <c r="AX1971" s="31">
        <f>IF(OR($AS1971="",$D$6=""),"",TRIM(INDEX($A:$AP,ROW(),$D$6)&amp;""))</f>
        <v/>
      </c>
      <c r="AY1971" s="31">
        <f>IF($AU1971="","",INDEX($AW$8:$AW$2007,MATCH($AU1971,$AU$8:$AU$2007,0)))</f>
        <v/>
      </c>
      <c r="AZ1971" s="31">
        <f>IF(OR($AS1971="",$C$6=""),"",TRIM(INDEX($A:$AP,ROW(),$C$6)&amp;""))</f>
        <v/>
      </c>
      <c r="BA1971" s="31">
        <f>IF($AZ1971="","",IF(COUNTIF($AZ$8:$AZ1971,$AZ1971)&gt;1,1,0))</f>
        <v/>
      </c>
    </row>
    <row r="1972">
      <c r="AR1972" s="31">
        <f>IF(OR($A$5="",$B$6="",ROW()&lt;$A$5),"",IF(INDEX($A:$AP,ROW(),$B$6)="","",INDEX($A:$AP,ROW(),$B$6)))</f>
        <v/>
      </c>
      <c r="AS1972" s="32">
        <f>IF($AR1972="","",IF(ISNUMBER($AR1972),IF($AR1972&gt;=10000000,IFERROR(DATE(INT($AR1972/10000),MOD(INT($AR1972/100),100),MOD($AR1972,100)),""),INT($AR1972)),IFERROR(DATE(--LEFT(LEFT(SUBSTITUTE(SUBSTITUTE(SUBSTITUTE(SUBSTITUTE(TRIM($AR1972),"-",""),".",""),"/","")," ",""),8),4),--MID(LEFT(SUBSTITUTE(SUBSTITUTE(SUBSTITUTE(SUBSTITUTE(TRIM($AR1972),"-",""),".",""),"/","")," ",""),8),5,2),--MID(LEFT(SUBSTITUTE(SUBSTITUTE(SUBSTITUTE(SUBSTITUTE(TRIM($AR1972),"-",""),".",""),"/","")," ",""),8),7,2)),"")))</f>
        <v/>
      </c>
      <c r="AT1972" s="33">
        <f>IF($AS1972="","",IF($F$6="",0,IF(ISNUMBER(INDEX($A:$AP,ROW(),$F$6)),INDEX($A:$AP,ROW(),$F$6),IFERROR(--SUBSTITUTE(SUBSTITUTE(TRIM(INDEX($A:$AP,ROW(),$F$6)),",",""),"원",""),0))))</f>
        <v/>
      </c>
      <c r="AU1972" s="31">
        <f>IF($AS1972="","",IF($AX1972&lt;&gt;"",SUBSTITUTE(SUBSTITUTE($AX1972,"-","")," ",""),"N:"&amp;$AV1972))</f>
        <v/>
      </c>
      <c r="AV1972" s="31">
        <f>IF(OR($AS1972="",$E$6=""),"",TRIM(INDEX($A:$AP,ROW(),$E$6)&amp;""))</f>
        <v/>
      </c>
      <c r="AW1972" s="31">
        <f>IF($AU1972="","",IF(MATCH($AU1972,$AU$8:$AU$2007,0)=ROW()-7,MAX($AW$7:$AW1971)+1,""))</f>
        <v/>
      </c>
      <c r="AX1972" s="31">
        <f>IF(OR($AS1972="",$D$6=""),"",TRIM(INDEX($A:$AP,ROW(),$D$6)&amp;""))</f>
        <v/>
      </c>
      <c r="AY1972" s="31">
        <f>IF($AU1972="","",INDEX($AW$8:$AW$2007,MATCH($AU1972,$AU$8:$AU$2007,0)))</f>
        <v/>
      </c>
      <c r="AZ1972" s="31">
        <f>IF(OR($AS1972="",$C$6=""),"",TRIM(INDEX($A:$AP,ROW(),$C$6)&amp;""))</f>
        <v/>
      </c>
      <c r="BA1972" s="31">
        <f>IF($AZ1972="","",IF(COUNTIF($AZ$8:$AZ1972,$AZ1972)&gt;1,1,0))</f>
        <v/>
      </c>
    </row>
    <row r="1973">
      <c r="AR1973" s="31">
        <f>IF(OR($A$5="",$B$6="",ROW()&lt;$A$5),"",IF(INDEX($A:$AP,ROW(),$B$6)="","",INDEX($A:$AP,ROW(),$B$6)))</f>
        <v/>
      </c>
      <c r="AS1973" s="32">
        <f>IF($AR1973="","",IF(ISNUMBER($AR1973),IF($AR1973&gt;=10000000,IFERROR(DATE(INT($AR1973/10000),MOD(INT($AR1973/100),100),MOD($AR1973,100)),""),INT($AR1973)),IFERROR(DATE(--LEFT(LEFT(SUBSTITUTE(SUBSTITUTE(SUBSTITUTE(SUBSTITUTE(TRIM($AR1973),"-",""),".",""),"/","")," ",""),8),4),--MID(LEFT(SUBSTITUTE(SUBSTITUTE(SUBSTITUTE(SUBSTITUTE(TRIM($AR1973),"-",""),".",""),"/","")," ",""),8),5,2),--MID(LEFT(SUBSTITUTE(SUBSTITUTE(SUBSTITUTE(SUBSTITUTE(TRIM($AR1973),"-",""),".",""),"/","")," ",""),8),7,2)),"")))</f>
        <v/>
      </c>
      <c r="AT1973" s="33">
        <f>IF($AS1973="","",IF($F$6="",0,IF(ISNUMBER(INDEX($A:$AP,ROW(),$F$6)),INDEX($A:$AP,ROW(),$F$6),IFERROR(--SUBSTITUTE(SUBSTITUTE(TRIM(INDEX($A:$AP,ROW(),$F$6)),",",""),"원",""),0))))</f>
        <v/>
      </c>
      <c r="AU1973" s="31">
        <f>IF($AS1973="","",IF($AX1973&lt;&gt;"",SUBSTITUTE(SUBSTITUTE($AX1973,"-","")," ",""),"N:"&amp;$AV1973))</f>
        <v/>
      </c>
      <c r="AV1973" s="31">
        <f>IF(OR($AS1973="",$E$6=""),"",TRIM(INDEX($A:$AP,ROW(),$E$6)&amp;""))</f>
        <v/>
      </c>
      <c r="AW1973" s="31">
        <f>IF($AU1973="","",IF(MATCH($AU1973,$AU$8:$AU$2007,0)=ROW()-7,MAX($AW$7:$AW1972)+1,""))</f>
        <v/>
      </c>
      <c r="AX1973" s="31">
        <f>IF(OR($AS1973="",$D$6=""),"",TRIM(INDEX($A:$AP,ROW(),$D$6)&amp;""))</f>
        <v/>
      </c>
      <c r="AY1973" s="31">
        <f>IF($AU1973="","",INDEX($AW$8:$AW$2007,MATCH($AU1973,$AU$8:$AU$2007,0)))</f>
        <v/>
      </c>
      <c r="AZ1973" s="31">
        <f>IF(OR($AS1973="",$C$6=""),"",TRIM(INDEX($A:$AP,ROW(),$C$6)&amp;""))</f>
        <v/>
      </c>
      <c r="BA1973" s="31">
        <f>IF($AZ1973="","",IF(COUNTIF($AZ$8:$AZ1973,$AZ1973)&gt;1,1,0))</f>
        <v/>
      </c>
    </row>
    <row r="1974">
      <c r="AR1974" s="31">
        <f>IF(OR($A$5="",$B$6="",ROW()&lt;$A$5),"",IF(INDEX($A:$AP,ROW(),$B$6)="","",INDEX($A:$AP,ROW(),$B$6)))</f>
        <v/>
      </c>
      <c r="AS1974" s="32">
        <f>IF($AR1974="","",IF(ISNUMBER($AR1974),IF($AR1974&gt;=10000000,IFERROR(DATE(INT($AR1974/10000),MOD(INT($AR1974/100),100),MOD($AR1974,100)),""),INT($AR1974)),IFERROR(DATE(--LEFT(LEFT(SUBSTITUTE(SUBSTITUTE(SUBSTITUTE(SUBSTITUTE(TRIM($AR1974),"-",""),".",""),"/","")," ",""),8),4),--MID(LEFT(SUBSTITUTE(SUBSTITUTE(SUBSTITUTE(SUBSTITUTE(TRIM($AR1974),"-",""),".",""),"/","")," ",""),8),5,2),--MID(LEFT(SUBSTITUTE(SUBSTITUTE(SUBSTITUTE(SUBSTITUTE(TRIM($AR1974),"-",""),".",""),"/","")," ",""),8),7,2)),"")))</f>
        <v/>
      </c>
      <c r="AT1974" s="33">
        <f>IF($AS1974="","",IF($F$6="",0,IF(ISNUMBER(INDEX($A:$AP,ROW(),$F$6)),INDEX($A:$AP,ROW(),$F$6),IFERROR(--SUBSTITUTE(SUBSTITUTE(TRIM(INDEX($A:$AP,ROW(),$F$6)),",",""),"원",""),0))))</f>
        <v/>
      </c>
      <c r="AU1974" s="31">
        <f>IF($AS1974="","",IF($AX1974&lt;&gt;"",SUBSTITUTE(SUBSTITUTE($AX1974,"-","")," ",""),"N:"&amp;$AV1974))</f>
        <v/>
      </c>
      <c r="AV1974" s="31">
        <f>IF(OR($AS1974="",$E$6=""),"",TRIM(INDEX($A:$AP,ROW(),$E$6)&amp;""))</f>
        <v/>
      </c>
      <c r="AW1974" s="31">
        <f>IF($AU1974="","",IF(MATCH($AU1974,$AU$8:$AU$2007,0)=ROW()-7,MAX($AW$7:$AW1973)+1,""))</f>
        <v/>
      </c>
      <c r="AX1974" s="31">
        <f>IF(OR($AS1974="",$D$6=""),"",TRIM(INDEX($A:$AP,ROW(),$D$6)&amp;""))</f>
        <v/>
      </c>
      <c r="AY1974" s="31">
        <f>IF($AU1974="","",INDEX($AW$8:$AW$2007,MATCH($AU1974,$AU$8:$AU$2007,0)))</f>
        <v/>
      </c>
      <c r="AZ1974" s="31">
        <f>IF(OR($AS1974="",$C$6=""),"",TRIM(INDEX($A:$AP,ROW(),$C$6)&amp;""))</f>
        <v/>
      </c>
      <c r="BA1974" s="31">
        <f>IF($AZ1974="","",IF(COUNTIF($AZ$8:$AZ1974,$AZ1974)&gt;1,1,0))</f>
        <v/>
      </c>
    </row>
    <row r="1975">
      <c r="AR1975" s="31">
        <f>IF(OR($A$5="",$B$6="",ROW()&lt;$A$5),"",IF(INDEX($A:$AP,ROW(),$B$6)="","",INDEX($A:$AP,ROW(),$B$6)))</f>
        <v/>
      </c>
      <c r="AS1975" s="32">
        <f>IF($AR1975="","",IF(ISNUMBER($AR1975),IF($AR1975&gt;=10000000,IFERROR(DATE(INT($AR1975/10000),MOD(INT($AR1975/100),100),MOD($AR1975,100)),""),INT($AR1975)),IFERROR(DATE(--LEFT(LEFT(SUBSTITUTE(SUBSTITUTE(SUBSTITUTE(SUBSTITUTE(TRIM($AR1975),"-",""),".",""),"/","")," ",""),8),4),--MID(LEFT(SUBSTITUTE(SUBSTITUTE(SUBSTITUTE(SUBSTITUTE(TRIM($AR1975),"-",""),".",""),"/","")," ",""),8),5,2),--MID(LEFT(SUBSTITUTE(SUBSTITUTE(SUBSTITUTE(SUBSTITUTE(TRIM($AR1975),"-",""),".",""),"/","")," ",""),8),7,2)),"")))</f>
        <v/>
      </c>
      <c r="AT1975" s="33">
        <f>IF($AS1975="","",IF($F$6="",0,IF(ISNUMBER(INDEX($A:$AP,ROW(),$F$6)),INDEX($A:$AP,ROW(),$F$6),IFERROR(--SUBSTITUTE(SUBSTITUTE(TRIM(INDEX($A:$AP,ROW(),$F$6)),",",""),"원",""),0))))</f>
        <v/>
      </c>
      <c r="AU1975" s="31">
        <f>IF($AS1975="","",IF($AX1975&lt;&gt;"",SUBSTITUTE(SUBSTITUTE($AX1975,"-","")," ",""),"N:"&amp;$AV1975))</f>
        <v/>
      </c>
      <c r="AV1975" s="31">
        <f>IF(OR($AS1975="",$E$6=""),"",TRIM(INDEX($A:$AP,ROW(),$E$6)&amp;""))</f>
        <v/>
      </c>
      <c r="AW1975" s="31">
        <f>IF($AU1975="","",IF(MATCH($AU1975,$AU$8:$AU$2007,0)=ROW()-7,MAX($AW$7:$AW1974)+1,""))</f>
        <v/>
      </c>
      <c r="AX1975" s="31">
        <f>IF(OR($AS1975="",$D$6=""),"",TRIM(INDEX($A:$AP,ROW(),$D$6)&amp;""))</f>
        <v/>
      </c>
      <c r="AY1975" s="31">
        <f>IF($AU1975="","",INDEX($AW$8:$AW$2007,MATCH($AU1975,$AU$8:$AU$2007,0)))</f>
        <v/>
      </c>
      <c r="AZ1975" s="31">
        <f>IF(OR($AS1975="",$C$6=""),"",TRIM(INDEX($A:$AP,ROW(),$C$6)&amp;""))</f>
        <v/>
      </c>
      <c r="BA1975" s="31">
        <f>IF($AZ1975="","",IF(COUNTIF($AZ$8:$AZ1975,$AZ1975)&gt;1,1,0))</f>
        <v/>
      </c>
    </row>
    <row r="1976">
      <c r="AR1976" s="31">
        <f>IF(OR($A$5="",$B$6="",ROW()&lt;$A$5),"",IF(INDEX($A:$AP,ROW(),$B$6)="","",INDEX($A:$AP,ROW(),$B$6)))</f>
        <v/>
      </c>
      <c r="AS1976" s="32">
        <f>IF($AR1976="","",IF(ISNUMBER($AR1976),IF($AR1976&gt;=10000000,IFERROR(DATE(INT($AR1976/10000),MOD(INT($AR1976/100),100),MOD($AR1976,100)),""),INT($AR1976)),IFERROR(DATE(--LEFT(LEFT(SUBSTITUTE(SUBSTITUTE(SUBSTITUTE(SUBSTITUTE(TRIM($AR1976),"-",""),".",""),"/","")," ",""),8),4),--MID(LEFT(SUBSTITUTE(SUBSTITUTE(SUBSTITUTE(SUBSTITUTE(TRIM($AR1976),"-",""),".",""),"/","")," ",""),8),5,2),--MID(LEFT(SUBSTITUTE(SUBSTITUTE(SUBSTITUTE(SUBSTITUTE(TRIM($AR1976),"-",""),".",""),"/","")," ",""),8),7,2)),"")))</f>
        <v/>
      </c>
      <c r="AT1976" s="33">
        <f>IF($AS1976="","",IF($F$6="",0,IF(ISNUMBER(INDEX($A:$AP,ROW(),$F$6)),INDEX($A:$AP,ROW(),$F$6),IFERROR(--SUBSTITUTE(SUBSTITUTE(TRIM(INDEX($A:$AP,ROW(),$F$6)),",",""),"원",""),0))))</f>
        <v/>
      </c>
      <c r="AU1976" s="31">
        <f>IF($AS1976="","",IF($AX1976&lt;&gt;"",SUBSTITUTE(SUBSTITUTE($AX1976,"-","")," ",""),"N:"&amp;$AV1976))</f>
        <v/>
      </c>
      <c r="AV1976" s="31">
        <f>IF(OR($AS1976="",$E$6=""),"",TRIM(INDEX($A:$AP,ROW(),$E$6)&amp;""))</f>
        <v/>
      </c>
      <c r="AW1976" s="31">
        <f>IF($AU1976="","",IF(MATCH($AU1976,$AU$8:$AU$2007,0)=ROW()-7,MAX($AW$7:$AW1975)+1,""))</f>
        <v/>
      </c>
      <c r="AX1976" s="31">
        <f>IF(OR($AS1976="",$D$6=""),"",TRIM(INDEX($A:$AP,ROW(),$D$6)&amp;""))</f>
        <v/>
      </c>
      <c r="AY1976" s="31">
        <f>IF($AU1976="","",INDEX($AW$8:$AW$2007,MATCH($AU1976,$AU$8:$AU$2007,0)))</f>
        <v/>
      </c>
      <c r="AZ1976" s="31">
        <f>IF(OR($AS1976="",$C$6=""),"",TRIM(INDEX($A:$AP,ROW(),$C$6)&amp;""))</f>
        <v/>
      </c>
      <c r="BA1976" s="31">
        <f>IF($AZ1976="","",IF(COUNTIF($AZ$8:$AZ1976,$AZ1976)&gt;1,1,0))</f>
        <v/>
      </c>
    </row>
    <row r="1977">
      <c r="AR1977" s="31">
        <f>IF(OR($A$5="",$B$6="",ROW()&lt;$A$5),"",IF(INDEX($A:$AP,ROW(),$B$6)="","",INDEX($A:$AP,ROW(),$B$6)))</f>
        <v/>
      </c>
      <c r="AS1977" s="32">
        <f>IF($AR1977="","",IF(ISNUMBER($AR1977),IF($AR1977&gt;=10000000,IFERROR(DATE(INT($AR1977/10000),MOD(INT($AR1977/100),100),MOD($AR1977,100)),""),INT($AR1977)),IFERROR(DATE(--LEFT(LEFT(SUBSTITUTE(SUBSTITUTE(SUBSTITUTE(SUBSTITUTE(TRIM($AR1977),"-",""),".",""),"/","")," ",""),8),4),--MID(LEFT(SUBSTITUTE(SUBSTITUTE(SUBSTITUTE(SUBSTITUTE(TRIM($AR1977),"-",""),".",""),"/","")," ",""),8),5,2),--MID(LEFT(SUBSTITUTE(SUBSTITUTE(SUBSTITUTE(SUBSTITUTE(TRIM($AR1977),"-",""),".",""),"/","")," ",""),8),7,2)),"")))</f>
        <v/>
      </c>
      <c r="AT1977" s="33">
        <f>IF($AS1977="","",IF($F$6="",0,IF(ISNUMBER(INDEX($A:$AP,ROW(),$F$6)),INDEX($A:$AP,ROW(),$F$6),IFERROR(--SUBSTITUTE(SUBSTITUTE(TRIM(INDEX($A:$AP,ROW(),$F$6)),",",""),"원",""),0))))</f>
        <v/>
      </c>
      <c r="AU1977" s="31">
        <f>IF($AS1977="","",IF($AX1977&lt;&gt;"",SUBSTITUTE(SUBSTITUTE($AX1977,"-","")," ",""),"N:"&amp;$AV1977))</f>
        <v/>
      </c>
      <c r="AV1977" s="31">
        <f>IF(OR($AS1977="",$E$6=""),"",TRIM(INDEX($A:$AP,ROW(),$E$6)&amp;""))</f>
        <v/>
      </c>
      <c r="AW1977" s="31">
        <f>IF($AU1977="","",IF(MATCH($AU1977,$AU$8:$AU$2007,0)=ROW()-7,MAX($AW$7:$AW1976)+1,""))</f>
        <v/>
      </c>
      <c r="AX1977" s="31">
        <f>IF(OR($AS1977="",$D$6=""),"",TRIM(INDEX($A:$AP,ROW(),$D$6)&amp;""))</f>
        <v/>
      </c>
      <c r="AY1977" s="31">
        <f>IF($AU1977="","",INDEX($AW$8:$AW$2007,MATCH($AU1977,$AU$8:$AU$2007,0)))</f>
        <v/>
      </c>
      <c r="AZ1977" s="31">
        <f>IF(OR($AS1977="",$C$6=""),"",TRIM(INDEX($A:$AP,ROW(),$C$6)&amp;""))</f>
        <v/>
      </c>
      <c r="BA1977" s="31">
        <f>IF($AZ1977="","",IF(COUNTIF($AZ$8:$AZ1977,$AZ1977)&gt;1,1,0))</f>
        <v/>
      </c>
    </row>
    <row r="1978">
      <c r="AR1978" s="31">
        <f>IF(OR($A$5="",$B$6="",ROW()&lt;$A$5),"",IF(INDEX($A:$AP,ROW(),$B$6)="","",INDEX($A:$AP,ROW(),$B$6)))</f>
        <v/>
      </c>
      <c r="AS1978" s="32">
        <f>IF($AR1978="","",IF(ISNUMBER($AR1978),IF($AR1978&gt;=10000000,IFERROR(DATE(INT($AR1978/10000),MOD(INT($AR1978/100),100),MOD($AR1978,100)),""),INT($AR1978)),IFERROR(DATE(--LEFT(LEFT(SUBSTITUTE(SUBSTITUTE(SUBSTITUTE(SUBSTITUTE(TRIM($AR1978),"-",""),".",""),"/","")," ",""),8),4),--MID(LEFT(SUBSTITUTE(SUBSTITUTE(SUBSTITUTE(SUBSTITUTE(TRIM($AR1978),"-",""),".",""),"/","")," ",""),8),5,2),--MID(LEFT(SUBSTITUTE(SUBSTITUTE(SUBSTITUTE(SUBSTITUTE(TRIM($AR1978),"-",""),".",""),"/","")," ",""),8),7,2)),"")))</f>
        <v/>
      </c>
      <c r="AT1978" s="33">
        <f>IF($AS1978="","",IF($F$6="",0,IF(ISNUMBER(INDEX($A:$AP,ROW(),$F$6)),INDEX($A:$AP,ROW(),$F$6),IFERROR(--SUBSTITUTE(SUBSTITUTE(TRIM(INDEX($A:$AP,ROW(),$F$6)),",",""),"원",""),0))))</f>
        <v/>
      </c>
      <c r="AU1978" s="31">
        <f>IF($AS1978="","",IF($AX1978&lt;&gt;"",SUBSTITUTE(SUBSTITUTE($AX1978,"-","")," ",""),"N:"&amp;$AV1978))</f>
        <v/>
      </c>
      <c r="AV1978" s="31">
        <f>IF(OR($AS1978="",$E$6=""),"",TRIM(INDEX($A:$AP,ROW(),$E$6)&amp;""))</f>
        <v/>
      </c>
      <c r="AW1978" s="31">
        <f>IF($AU1978="","",IF(MATCH($AU1978,$AU$8:$AU$2007,0)=ROW()-7,MAX($AW$7:$AW1977)+1,""))</f>
        <v/>
      </c>
      <c r="AX1978" s="31">
        <f>IF(OR($AS1978="",$D$6=""),"",TRIM(INDEX($A:$AP,ROW(),$D$6)&amp;""))</f>
        <v/>
      </c>
      <c r="AY1978" s="31">
        <f>IF($AU1978="","",INDEX($AW$8:$AW$2007,MATCH($AU1978,$AU$8:$AU$2007,0)))</f>
        <v/>
      </c>
      <c r="AZ1978" s="31">
        <f>IF(OR($AS1978="",$C$6=""),"",TRIM(INDEX($A:$AP,ROW(),$C$6)&amp;""))</f>
        <v/>
      </c>
      <c r="BA1978" s="31">
        <f>IF($AZ1978="","",IF(COUNTIF($AZ$8:$AZ1978,$AZ1978)&gt;1,1,0))</f>
        <v/>
      </c>
    </row>
    <row r="1979">
      <c r="AR1979" s="31">
        <f>IF(OR($A$5="",$B$6="",ROW()&lt;$A$5),"",IF(INDEX($A:$AP,ROW(),$B$6)="","",INDEX($A:$AP,ROW(),$B$6)))</f>
        <v/>
      </c>
      <c r="AS1979" s="32">
        <f>IF($AR1979="","",IF(ISNUMBER($AR1979),IF($AR1979&gt;=10000000,IFERROR(DATE(INT($AR1979/10000),MOD(INT($AR1979/100),100),MOD($AR1979,100)),""),INT($AR1979)),IFERROR(DATE(--LEFT(LEFT(SUBSTITUTE(SUBSTITUTE(SUBSTITUTE(SUBSTITUTE(TRIM($AR1979),"-",""),".",""),"/","")," ",""),8),4),--MID(LEFT(SUBSTITUTE(SUBSTITUTE(SUBSTITUTE(SUBSTITUTE(TRIM($AR1979),"-",""),".",""),"/","")," ",""),8),5,2),--MID(LEFT(SUBSTITUTE(SUBSTITUTE(SUBSTITUTE(SUBSTITUTE(TRIM($AR1979),"-",""),".",""),"/","")," ",""),8),7,2)),"")))</f>
        <v/>
      </c>
      <c r="AT1979" s="33">
        <f>IF($AS1979="","",IF($F$6="",0,IF(ISNUMBER(INDEX($A:$AP,ROW(),$F$6)),INDEX($A:$AP,ROW(),$F$6),IFERROR(--SUBSTITUTE(SUBSTITUTE(TRIM(INDEX($A:$AP,ROW(),$F$6)),",",""),"원",""),0))))</f>
        <v/>
      </c>
      <c r="AU1979" s="31">
        <f>IF($AS1979="","",IF($AX1979&lt;&gt;"",SUBSTITUTE(SUBSTITUTE($AX1979,"-","")," ",""),"N:"&amp;$AV1979))</f>
        <v/>
      </c>
      <c r="AV1979" s="31">
        <f>IF(OR($AS1979="",$E$6=""),"",TRIM(INDEX($A:$AP,ROW(),$E$6)&amp;""))</f>
        <v/>
      </c>
      <c r="AW1979" s="31">
        <f>IF($AU1979="","",IF(MATCH($AU1979,$AU$8:$AU$2007,0)=ROW()-7,MAX($AW$7:$AW1978)+1,""))</f>
        <v/>
      </c>
      <c r="AX1979" s="31">
        <f>IF(OR($AS1979="",$D$6=""),"",TRIM(INDEX($A:$AP,ROW(),$D$6)&amp;""))</f>
        <v/>
      </c>
      <c r="AY1979" s="31">
        <f>IF($AU1979="","",INDEX($AW$8:$AW$2007,MATCH($AU1979,$AU$8:$AU$2007,0)))</f>
        <v/>
      </c>
      <c r="AZ1979" s="31">
        <f>IF(OR($AS1979="",$C$6=""),"",TRIM(INDEX($A:$AP,ROW(),$C$6)&amp;""))</f>
        <v/>
      </c>
      <c r="BA1979" s="31">
        <f>IF($AZ1979="","",IF(COUNTIF($AZ$8:$AZ1979,$AZ1979)&gt;1,1,0))</f>
        <v/>
      </c>
    </row>
    <row r="1980">
      <c r="AR1980" s="31">
        <f>IF(OR($A$5="",$B$6="",ROW()&lt;$A$5),"",IF(INDEX($A:$AP,ROW(),$B$6)="","",INDEX($A:$AP,ROW(),$B$6)))</f>
        <v/>
      </c>
      <c r="AS1980" s="32">
        <f>IF($AR1980="","",IF(ISNUMBER($AR1980),IF($AR1980&gt;=10000000,IFERROR(DATE(INT($AR1980/10000),MOD(INT($AR1980/100),100),MOD($AR1980,100)),""),INT($AR1980)),IFERROR(DATE(--LEFT(LEFT(SUBSTITUTE(SUBSTITUTE(SUBSTITUTE(SUBSTITUTE(TRIM($AR1980),"-",""),".",""),"/","")," ",""),8),4),--MID(LEFT(SUBSTITUTE(SUBSTITUTE(SUBSTITUTE(SUBSTITUTE(TRIM($AR1980),"-",""),".",""),"/","")," ",""),8),5,2),--MID(LEFT(SUBSTITUTE(SUBSTITUTE(SUBSTITUTE(SUBSTITUTE(TRIM($AR1980),"-",""),".",""),"/","")," ",""),8),7,2)),"")))</f>
        <v/>
      </c>
      <c r="AT1980" s="33">
        <f>IF($AS1980="","",IF($F$6="",0,IF(ISNUMBER(INDEX($A:$AP,ROW(),$F$6)),INDEX($A:$AP,ROW(),$F$6),IFERROR(--SUBSTITUTE(SUBSTITUTE(TRIM(INDEX($A:$AP,ROW(),$F$6)),",",""),"원",""),0))))</f>
        <v/>
      </c>
      <c r="AU1980" s="31">
        <f>IF($AS1980="","",IF($AX1980&lt;&gt;"",SUBSTITUTE(SUBSTITUTE($AX1980,"-","")," ",""),"N:"&amp;$AV1980))</f>
        <v/>
      </c>
      <c r="AV1980" s="31">
        <f>IF(OR($AS1980="",$E$6=""),"",TRIM(INDEX($A:$AP,ROW(),$E$6)&amp;""))</f>
        <v/>
      </c>
      <c r="AW1980" s="31">
        <f>IF($AU1980="","",IF(MATCH($AU1980,$AU$8:$AU$2007,0)=ROW()-7,MAX($AW$7:$AW1979)+1,""))</f>
        <v/>
      </c>
      <c r="AX1980" s="31">
        <f>IF(OR($AS1980="",$D$6=""),"",TRIM(INDEX($A:$AP,ROW(),$D$6)&amp;""))</f>
        <v/>
      </c>
      <c r="AY1980" s="31">
        <f>IF($AU1980="","",INDEX($AW$8:$AW$2007,MATCH($AU1980,$AU$8:$AU$2007,0)))</f>
        <v/>
      </c>
      <c r="AZ1980" s="31">
        <f>IF(OR($AS1980="",$C$6=""),"",TRIM(INDEX($A:$AP,ROW(),$C$6)&amp;""))</f>
        <v/>
      </c>
      <c r="BA1980" s="31">
        <f>IF($AZ1980="","",IF(COUNTIF($AZ$8:$AZ1980,$AZ1980)&gt;1,1,0))</f>
        <v/>
      </c>
    </row>
    <row r="1981">
      <c r="AR1981" s="31">
        <f>IF(OR($A$5="",$B$6="",ROW()&lt;$A$5),"",IF(INDEX($A:$AP,ROW(),$B$6)="","",INDEX($A:$AP,ROW(),$B$6)))</f>
        <v/>
      </c>
      <c r="AS1981" s="32">
        <f>IF($AR1981="","",IF(ISNUMBER($AR1981),IF($AR1981&gt;=10000000,IFERROR(DATE(INT($AR1981/10000),MOD(INT($AR1981/100),100),MOD($AR1981,100)),""),INT($AR1981)),IFERROR(DATE(--LEFT(LEFT(SUBSTITUTE(SUBSTITUTE(SUBSTITUTE(SUBSTITUTE(TRIM($AR1981),"-",""),".",""),"/","")," ",""),8),4),--MID(LEFT(SUBSTITUTE(SUBSTITUTE(SUBSTITUTE(SUBSTITUTE(TRIM($AR1981),"-",""),".",""),"/","")," ",""),8),5,2),--MID(LEFT(SUBSTITUTE(SUBSTITUTE(SUBSTITUTE(SUBSTITUTE(TRIM($AR1981),"-",""),".",""),"/","")," ",""),8),7,2)),"")))</f>
        <v/>
      </c>
      <c r="AT1981" s="33">
        <f>IF($AS1981="","",IF($F$6="",0,IF(ISNUMBER(INDEX($A:$AP,ROW(),$F$6)),INDEX($A:$AP,ROW(),$F$6),IFERROR(--SUBSTITUTE(SUBSTITUTE(TRIM(INDEX($A:$AP,ROW(),$F$6)),",",""),"원",""),0))))</f>
        <v/>
      </c>
      <c r="AU1981" s="31">
        <f>IF($AS1981="","",IF($AX1981&lt;&gt;"",SUBSTITUTE(SUBSTITUTE($AX1981,"-","")," ",""),"N:"&amp;$AV1981))</f>
        <v/>
      </c>
      <c r="AV1981" s="31">
        <f>IF(OR($AS1981="",$E$6=""),"",TRIM(INDEX($A:$AP,ROW(),$E$6)&amp;""))</f>
        <v/>
      </c>
      <c r="AW1981" s="31">
        <f>IF($AU1981="","",IF(MATCH($AU1981,$AU$8:$AU$2007,0)=ROW()-7,MAX($AW$7:$AW1980)+1,""))</f>
        <v/>
      </c>
      <c r="AX1981" s="31">
        <f>IF(OR($AS1981="",$D$6=""),"",TRIM(INDEX($A:$AP,ROW(),$D$6)&amp;""))</f>
        <v/>
      </c>
      <c r="AY1981" s="31">
        <f>IF($AU1981="","",INDEX($AW$8:$AW$2007,MATCH($AU1981,$AU$8:$AU$2007,0)))</f>
        <v/>
      </c>
      <c r="AZ1981" s="31">
        <f>IF(OR($AS1981="",$C$6=""),"",TRIM(INDEX($A:$AP,ROW(),$C$6)&amp;""))</f>
        <v/>
      </c>
      <c r="BA1981" s="31">
        <f>IF($AZ1981="","",IF(COUNTIF($AZ$8:$AZ1981,$AZ1981)&gt;1,1,0))</f>
        <v/>
      </c>
    </row>
    <row r="1982">
      <c r="AR1982" s="31">
        <f>IF(OR($A$5="",$B$6="",ROW()&lt;$A$5),"",IF(INDEX($A:$AP,ROW(),$B$6)="","",INDEX($A:$AP,ROW(),$B$6)))</f>
        <v/>
      </c>
      <c r="AS1982" s="32">
        <f>IF($AR1982="","",IF(ISNUMBER($AR1982),IF($AR1982&gt;=10000000,IFERROR(DATE(INT($AR1982/10000),MOD(INT($AR1982/100),100),MOD($AR1982,100)),""),INT($AR1982)),IFERROR(DATE(--LEFT(LEFT(SUBSTITUTE(SUBSTITUTE(SUBSTITUTE(SUBSTITUTE(TRIM($AR1982),"-",""),".",""),"/","")," ",""),8),4),--MID(LEFT(SUBSTITUTE(SUBSTITUTE(SUBSTITUTE(SUBSTITUTE(TRIM($AR1982),"-",""),".",""),"/","")," ",""),8),5,2),--MID(LEFT(SUBSTITUTE(SUBSTITUTE(SUBSTITUTE(SUBSTITUTE(TRIM($AR1982),"-",""),".",""),"/","")," ",""),8),7,2)),"")))</f>
        <v/>
      </c>
      <c r="AT1982" s="33">
        <f>IF($AS1982="","",IF($F$6="",0,IF(ISNUMBER(INDEX($A:$AP,ROW(),$F$6)),INDEX($A:$AP,ROW(),$F$6),IFERROR(--SUBSTITUTE(SUBSTITUTE(TRIM(INDEX($A:$AP,ROW(),$F$6)),",",""),"원",""),0))))</f>
        <v/>
      </c>
      <c r="AU1982" s="31">
        <f>IF($AS1982="","",IF($AX1982&lt;&gt;"",SUBSTITUTE(SUBSTITUTE($AX1982,"-","")," ",""),"N:"&amp;$AV1982))</f>
        <v/>
      </c>
      <c r="AV1982" s="31">
        <f>IF(OR($AS1982="",$E$6=""),"",TRIM(INDEX($A:$AP,ROW(),$E$6)&amp;""))</f>
        <v/>
      </c>
      <c r="AW1982" s="31">
        <f>IF($AU1982="","",IF(MATCH($AU1982,$AU$8:$AU$2007,0)=ROW()-7,MAX($AW$7:$AW1981)+1,""))</f>
        <v/>
      </c>
      <c r="AX1982" s="31">
        <f>IF(OR($AS1982="",$D$6=""),"",TRIM(INDEX($A:$AP,ROW(),$D$6)&amp;""))</f>
        <v/>
      </c>
      <c r="AY1982" s="31">
        <f>IF($AU1982="","",INDEX($AW$8:$AW$2007,MATCH($AU1982,$AU$8:$AU$2007,0)))</f>
        <v/>
      </c>
      <c r="AZ1982" s="31">
        <f>IF(OR($AS1982="",$C$6=""),"",TRIM(INDEX($A:$AP,ROW(),$C$6)&amp;""))</f>
        <v/>
      </c>
      <c r="BA1982" s="31">
        <f>IF($AZ1982="","",IF(COUNTIF($AZ$8:$AZ1982,$AZ1982)&gt;1,1,0))</f>
        <v/>
      </c>
    </row>
    <row r="1983">
      <c r="AR1983" s="31">
        <f>IF(OR($A$5="",$B$6="",ROW()&lt;$A$5),"",IF(INDEX($A:$AP,ROW(),$B$6)="","",INDEX($A:$AP,ROW(),$B$6)))</f>
        <v/>
      </c>
      <c r="AS1983" s="32">
        <f>IF($AR1983="","",IF(ISNUMBER($AR1983),IF($AR1983&gt;=10000000,IFERROR(DATE(INT($AR1983/10000),MOD(INT($AR1983/100),100),MOD($AR1983,100)),""),INT($AR1983)),IFERROR(DATE(--LEFT(LEFT(SUBSTITUTE(SUBSTITUTE(SUBSTITUTE(SUBSTITUTE(TRIM($AR1983),"-",""),".",""),"/","")," ",""),8),4),--MID(LEFT(SUBSTITUTE(SUBSTITUTE(SUBSTITUTE(SUBSTITUTE(TRIM($AR1983),"-",""),".",""),"/","")," ",""),8),5,2),--MID(LEFT(SUBSTITUTE(SUBSTITUTE(SUBSTITUTE(SUBSTITUTE(TRIM($AR1983),"-",""),".",""),"/","")," ",""),8),7,2)),"")))</f>
        <v/>
      </c>
      <c r="AT1983" s="33">
        <f>IF($AS1983="","",IF($F$6="",0,IF(ISNUMBER(INDEX($A:$AP,ROW(),$F$6)),INDEX($A:$AP,ROW(),$F$6),IFERROR(--SUBSTITUTE(SUBSTITUTE(TRIM(INDEX($A:$AP,ROW(),$F$6)),",",""),"원",""),0))))</f>
        <v/>
      </c>
      <c r="AU1983" s="31">
        <f>IF($AS1983="","",IF($AX1983&lt;&gt;"",SUBSTITUTE(SUBSTITUTE($AX1983,"-","")," ",""),"N:"&amp;$AV1983))</f>
        <v/>
      </c>
      <c r="AV1983" s="31">
        <f>IF(OR($AS1983="",$E$6=""),"",TRIM(INDEX($A:$AP,ROW(),$E$6)&amp;""))</f>
        <v/>
      </c>
      <c r="AW1983" s="31">
        <f>IF($AU1983="","",IF(MATCH($AU1983,$AU$8:$AU$2007,0)=ROW()-7,MAX($AW$7:$AW1982)+1,""))</f>
        <v/>
      </c>
      <c r="AX1983" s="31">
        <f>IF(OR($AS1983="",$D$6=""),"",TRIM(INDEX($A:$AP,ROW(),$D$6)&amp;""))</f>
        <v/>
      </c>
      <c r="AY1983" s="31">
        <f>IF($AU1983="","",INDEX($AW$8:$AW$2007,MATCH($AU1983,$AU$8:$AU$2007,0)))</f>
        <v/>
      </c>
      <c r="AZ1983" s="31">
        <f>IF(OR($AS1983="",$C$6=""),"",TRIM(INDEX($A:$AP,ROW(),$C$6)&amp;""))</f>
        <v/>
      </c>
      <c r="BA1983" s="31">
        <f>IF($AZ1983="","",IF(COUNTIF($AZ$8:$AZ1983,$AZ1983)&gt;1,1,0))</f>
        <v/>
      </c>
    </row>
    <row r="1984">
      <c r="AR1984" s="31">
        <f>IF(OR($A$5="",$B$6="",ROW()&lt;$A$5),"",IF(INDEX($A:$AP,ROW(),$B$6)="","",INDEX($A:$AP,ROW(),$B$6)))</f>
        <v/>
      </c>
      <c r="AS1984" s="32">
        <f>IF($AR1984="","",IF(ISNUMBER($AR1984),IF($AR1984&gt;=10000000,IFERROR(DATE(INT($AR1984/10000),MOD(INT($AR1984/100),100),MOD($AR1984,100)),""),INT($AR1984)),IFERROR(DATE(--LEFT(LEFT(SUBSTITUTE(SUBSTITUTE(SUBSTITUTE(SUBSTITUTE(TRIM($AR1984),"-",""),".",""),"/","")," ",""),8),4),--MID(LEFT(SUBSTITUTE(SUBSTITUTE(SUBSTITUTE(SUBSTITUTE(TRIM($AR1984),"-",""),".",""),"/","")," ",""),8),5,2),--MID(LEFT(SUBSTITUTE(SUBSTITUTE(SUBSTITUTE(SUBSTITUTE(TRIM($AR1984),"-",""),".",""),"/","")," ",""),8),7,2)),"")))</f>
        <v/>
      </c>
      <c r="AT1984" s="33">
        <f>IF($AS1984="","",IF($F$6="",0,IF(ISNUMBER(INDEX($A:$AP,ROW(),$F$6)),INDEX($A:$AP,ROW(),$F$6),IFERROR(--SUBSTITUTE(SUBSTITUTE(TRIM(INDEX($A:$AP,ROW(),$F$6)),",",""),"원",""),0))))</f>
        <v/>
      </c>
      <c r="AU1984" s="31">
        <f>IF($AS1984="","",IF($AX1984&lt;&gt;"",SUBSTITUTE(SUBSTITUTE($AX1984,"-","")," ",""),"N:"&amp;$AV1984))</f>
        <v/>
      </c>
      <c r="AV1984" s="31">
        <f>IF(OR($AS1984="",$E$6=""),"",TRIM(INDEX($A:$AP,ROW(),$E$6)&amp;""))</f>
        <v/>
      </c>
      <c r="AW1984" s="31">
        <f>IF($AU1984="","",IF(MATCH($AU1984,$AU$8:$AU$2007,0)=ROW()-7,MAX($AW$7:$AW1983)+1,""))</f>
        <v/>
      </c>
      <c r="AX1984" s="31">
        <f>IF(OR($AS1984="",$D$6=""),"",TRIM(INDEX($A:$AP,ROW(),$D$6)&amp;""))</f>
        <v/>
      </c>
      <c r="AY1984" s="31">
        <f>IF($AU1984="","",INDEX($AW$8:$AW$2007,MATCH($AU1984,$AU$8:$AU$2007,0)))</f>
        <v/>
      </c>
      <c r="AZ1984" s="31">
        <f>IF(OR($AS1984="",$C$6=""),"",TRIM(INDEX($A:$AP,ROW(),$C$6)&amp;""))</f>
        <v/>
      </c>
      <c r="BA1984" s="31">
        <f>IF($AZ1984="","",IF(COUNTIF($AZ$8:$AZ1984,$AZ1984)&gt;1,1,0))</f>
        <v/>
      </c>
    </row>
    <row r="1985">
      <c r="AR1985" s="31">
        <f>IF(OR($A$5="",$B$6="",ROW()&lt;$A$5),"",IF(INDEX($A:$AP,ROW(),$B$6)="","",INDEX($A:$AP,ROW(),$B$6)))</f>
        <v/>
      </c>
      <c r="AS1985" s="32">
        <f>IF($AR1985="","",IF(ISNUMBER($AR1985),IF($AR1985&gt;=10000000,IFERROR(DATE(INT($AR1985/10000),MOD(INT($AR1985/100),100),MOD($AR1985,100)),""),INT($AR1985)),IFERROR(DATE(--LEFT(LEFT(SUBSTITUTE(SUBSTITUTE(SUBSTITUTE(SUBSTITUTE(TRIM($AR1985),"-",""),".",""),"/","")," ",""),8),4),--MID(LEFT(SUBSTITUTE(SUBSTITUTE(SUBSTITUTE(SUBSTITUTE(TRIM($AR1985),"-",""),".",""),"/","")," ",""),8),5,2),--MID(LEFT(SUBSTITUTE(SUBSTITUTE(SUBSTITUTE(SUBSTITUTE(TRIM($AR1985),"-",""),".",""),"/","")," ",""),8),7,2)),"")))</f>
        <v/>
      </c>
      <c r="AT1985" s="33">
        <f>IF($AS1985="","",IF($F$6="",0,IF(ISNUMBER(INDEX($A:$AP,ROW(),$F$6)),INDEX($A:$AP,ROW(),$F$6),IFERROR(--SUBSTITUTE(SUBSTITUTE(TRIM(INDEX($A:$AP,ROW(),$F$6)),",",""),"원",""),0))))</f>
        <v/>
      </c>
      <c r="AU1985" s="31">
        <f>IF($AS1985="","",IF($AX1985&lt;&gt;"",SUBSTITUTE(SUBSTITUTE($AX1985,"-","")," ",""),"N:"&amp;$AV1985))</f>
        <v/>
      </c>
      <c r="AV1985" s="31">
        <f>IF(OR($AS1985="",$E$6=""),"",TRIM(INDEX($A:$AP,ROW(),$E$6)&amp;""))</f>
        <v/>
      </c>
      <c r="AW1985" s="31">
        <f>IF($AU1985="","",IF(MATCH($AU1985,$AU$8:$AU$2007,0)=ROW()-7,MAX($AW$7:$AW1984)+1,""))</f>
        <v/>
      </c>
      <c r="AX1985" s="31">
        <f>IF(OR($AS1985="",$D$6=""),"",TRIM(INDEX($A:$AP,ROW(),$D$6)&amp;""))</f>
        <v/>
      </c>
      <c r="AY1985" s="31">
        <f>IF($AU1985="","",INDEX($AW$8:$AW$2007,MATCH($AU1985,$AU$8:$AU$2007,0)))</f>
        <v/>
      </c>
      <c r="AZ1985" s="31">
        <f>IF(OR($AS1985="",$C$6=""),"",TRIM(INDEX($A:$AP,ROW(),$C$6)&amp;""))</f>
        <v/>
      </c>
      <c r="BA1985" s="31">
        <f>IF($AZ1985="","",IF(COUNTIF($AZ$8:$AZ1985,$AZ1985)&gt;1,1,0))</f>
        <v/>
      </c>
    </row>
    <row r="1986">
      <c r="AR1986" s="31">
        <f>IF(OR($A$5="",$B$6="",ROW()&lt;$A$5),"",IF(INDEX($A:$AP,ROW(),$B$6)="","",INDEX($A:$AP,ROW(),$B$6)))</f>
        <v/>
      </c>
      <c r="AS1986" s="32">
        <f>IF($AR1986="","",IF(ISNUMBER($AR1986),IF($AR1986&gt;=10000000,IFERROR(DATE(INT($AR1986/10000),MOD(INT($AR1986/100),100),MOD($AR1986,100)),""),INT($AR1986)),IFERROR(DATE(--LEFT(LEFT(SUBSTITUTE(SUBSTITUTE(SUBSTITUTE(SUBSTITUTE(TRIM($AR1986),"-",""),".",""),"/","")," ",""),8),4),--MID(LEFT(SUBSTITUTE(SUBSTITUTE(SUBSTITUTE(SUBSTITUTE(TRIM($AR1986),"-",""),".",""),"/","")," ",""),8),5,2),--MID(LEFT(SUBSTITUTE(SUBSTITUTE(SUBSTITUTE(SUBSTITUTE(TRIM($AR1986),"-",""),".",""),"/","")," ",""),8),7,2)),"")))</f>
        <v/>
      </c>
      <c r="AT1986" s="33">
        <f>IF($AS1986="","",IF($F$6="",0,IF(ISNUMBER(INDEX($A:$AP,ROW(),$F$6)),INDEX($A:$AP,ROW(),$F$6),IFERROR(--SUBSTITUTE(SUBSTITUTE(TRIM(INDEX($A:$AP,ROW(),$F$6)),",",""),"원",""),0))))</f>
        <v/>
      </c>
      <c r="AU1986" s="31">
        <f>IF($AS1986="","",IF($AX1986&lt;&gt;"",SUBSTITUTE(SUBSTITUTE($AX1986,"-","")," ",""),"N:"&amp;$AV1986))</f>
        <v/>
      </c>
      <c r="AV1986" s="31">
        <f>IF(OR($AS1986="",$E$6=""),"",TRIM(INDEX($A:$AP,ROW(),$E$6)&amp;""))</f>
        <v/>
      </c>
      <c r="AW1986" s="31">
        <f>IF($AU1986="","",IF(MATCH($AU1986,$AU$8:$AU$2007,0)=ROW()-7,MAX($AW$7:$AW1985)+1,""))</f>
        <v/>
      </c>
      <c r="AX1986" s="31">
        <f>IF(OR($AS1986="",$D$6=""),"",TRIM(INDEX($A:$AP,ROW(),$D$6)&amp;""))</f>
        <v/>
      </c>
      <c r="AY1986" s="31">
        <f>IF($AU1986="","",INDEX($AW$8:$AW$2007,MATCH($AU1986,$AU$8:$AU$2007,0)))</f>
        <v/>
      </c>
      <c r="AZ1986" s="31">
        <f>IF(OR($AS1986="",$C$6=""),"",TRIM(INDEX($A:$AP,ROW(),$C$6)&amp;""))</f>
        <v/>
      </c>
      <c r="BA1986" s="31">
        <f>IF($AZ1986="","",IF(COUNTIF($AZ$8:$AZ1986,$AZ1986)&gt;1,1,0))</f>
        <v/>
      </c>
    </row>
    <row r="1987">
      <c r="AR1987" s="31">
        <f>IF(OR($A$5="",$B$6="",ROW()&lt;$A$5),"",IF(INDEX($A:$AP,ROW(),$B$6)="","",INDEX($A:$AP,ROW(),$B$6)))</f>
        <v/>
      </c>
      <c r="AS1987" s="32">
        <f>IF($AR1987="","",IF(ISNUMBER($AR1987),IF($AR1987&gt;=10000000,IFERROR(DATE(INT($AR1987/10000),MOD(INT($AR1987/100),100),MOD($AR1987,100)),""),INT($AR1987)),IFERROR(DATE(--LEFT(LEFT(SUBSTITUTE(SUBSTITUTE(SUBSTITUTE(SUBSTITUTE(TRIM($AR1987),"-",""),".",""),"/","")," ",""),8),4),--MID(LEFT(SUBSTITUTE(SUBSTITUTE(SUBSTITUTE(SUBSTITUTE(TRIM($AR1987),"-",""),".",""),"/","")," ",""),8),5,2),--MID(LEFT(SUBSTITUTE(SUBSTITUTE(SUBSTITUTE(SUBSTITUTE(TRIM($AR1987),"-",""),".",""),"/","")," ",""),8),7,2)),"")))</f>
        <v/>
      </c>
      <c r="AT1987" s="33">
        <f>IF($AS1987="","",IF($F$6="",0,IF(ISNUMBER(INDEX($A:$AP,ROW(),$F$6)),INDEX($A:$AP,ROW(),$F$6),IFERROR(--SUBSTITUTE(SUBSTITUTE(TRIM(INDEX($A:$AP,ROW(),$F$6)),",",""),"원",""),0))))</f>
        <v/>
      </c>
      <c r="AU1987" s="31">
        <f>IF($AS1987="","",IF($AX1987&lt;&gt;"",SUBSTITUTE(SUBSTITUTE($AX1987,"-","")," ",""),"N:"&amp;$AV1987))</f>
        <v/>
      </c>
      <c r="AV1987" s="31">
        <f>IF(OR($AS1987="",$E$6=""),"",TRIM(INDEX($A:$AP,ROW(),$E$6)&amp;""))</f>
        <v/>
      </c>
      <c r="AW1987" s="31">
        <f>IF($AU1987="","",IF(MATCH($AU1987,$AU$8:$AU$2007,0)=ROW()-7,MAX($AW$7:$AW1986)+1,""))</f>
        <v/>
      </c>
      <c r="AX1987" s="31">
        <f>IF(OR($AS1987="",$D$6=""),"",TRIM(INDEX($A:$AP,ROW(),$D$6)&amp;""))</f>
        <v/>
      </c>
      <c r="AY1987" s="31">
        <f>IF($AU1987="","",INDEX($AW$8:$AW$2007,MATCH($AU1987,$AU$8:$AU$2007,0)))</f>
        <v/>
      </c>
      <c r="AZ1987" s="31">
        <f>IF(OR($AS1987="",$C$6=""),"",TRIM(INDEX($A:$AP,ROW(),$C$6)&amp;""))</f>
        <v/>
      </c>
      <c r="BA1987" s="31">
        <f>IF($AZ1987="","",IF(COUNTIF($AZ$8:$AZ1987,$AZ1987)&gt;1,1,0))</f>
        <v/>
      </c>
    </row>
    <row r="1988">
      <c r="AR1988" s="31">
        <f>IF(OR($A$5="",$B$6="",ROW()&lt;$A$5),"",IF(INDEX($A:$AP,ROW(),$B$6)="","",INDEX($A:$AP,ROW(),$B$6)))</f>
        <v/>
      </c>
      <c r="AS1988" s="32">
        <f>IF($AR1988="","",IF(ISNUMBER($AR1988),IF($AR1988&gt;=10000000,IFERROR(DATE(INT($AR1988/10000),MOD(INT($AR1988/100),100),MOD($AR1988,100)),""),INT($AR1988)),IFERROR(DATE(--LEFT(LEFT(SUBSTITUTE(SUBSTITUTE(SUBSTITUTE(SUBSTITUTE(TRIM($AR1988),"-",""),".",""),"/","")," ",""),8),4),--MID(LEFT(SUBSTITUTE(SUBSTITUTE(SUBSTITUTE(SUBSTITUTE(TRIM($AR1988),"-",""),".",""),"/","")," ",""),8),5,2),--MID(LEFT(SUBSTITUTE(SUBSTITUTE(SUBSTITUTE(SUBSTITUTE(TRIM($AR1988),"-",""),".",""),"/","")," ",""),8),7,2)),"")))</f>
        <v/>
      </c>
      <c r="AT1988" s="33">
        <f>IF($AS1988="","",IF($F$6="",0,IF(ISNUMBER(INDEX($A:$AP,ROW(),$F$6)),INDEX($A:$AP,ROW(),$F$6),IFERROR(--SUBSTITUTE(SUBSTITUTE(TRIM(INDEX($A:$AP,ROW(),$F$6)),",",""),"원",""),0))))</f>
        <v/>
      </c>
      <c r="AU1988" s="31">
        <f>IF($AS1988="","",IF($AX1988&lt;&gt;"",SUBSTITUTE(SUBSTITUTE($AX1988,"-","")," ",""),"N:"&amp;$AV1988))</f>
        <v/>
      </c>
      <c r="AV1988" s="31">
        <f>IF(OR($AS1988="",$E$6=""),"",TRIM(INDEX($A:$AP,ROW(),$E$6)&amp;""))</f>
        <v/>
      </c>
      <c r="AW1988" s="31">
        <f>IF($AU1988="","",IF(MATCH($AU1988,$AU$8:$AU$2007,0)=ROW()-7,MAX($AW$7:$AW1987)+1,""))</f>
        <v/>
      </c>
      <c r="AX1988" s="31">
        <f>IF(OR($AS1988="",$D$6=""),"",TRIM(INDEX($A:$AP,ROW(),$D$6)&amp;""))</f>
        <v/>
      </c>
      <c r="AY1988" s="31">
        <f>IF($AU1988="","",INDEX($AW$8:$AW$2007,MATCH($AU1988,$AU$8:$AU$2007,0)))</f>
        <v/>
      </c>
      <c r="AZ1988" s="31">
        <f>IF(OR($AS1988="",$C$6=""),"",TRIM(INDEX($A:$AP,ROW(),$C$6)&amp;""))</f>
        <v/>
      </c>
      <c r="BA1988" s="31">
        <f>IF($AZ1988="","",IF(COUNTIF($AZ$8:$AZ1988,$AZ1988)&gt;1,1,0))</f>
        <v/>
      </c>
    </row>
    <row r="1989">
      <c r="AR1989" s="31">
        <f>IF(OR($A$5="",$B$6="",ROW()&lt;$A$5),"",IF(INDEX($A:$AP,ROW(),$B$6)="","",INDEX($A:$AP,ROW(),$B$6)))</f>
        <v/>
      </c>
      <c r="AS1989" s="32">
        <f>IF($AR1989="","",IF(ISNUMBER($AR1989),IF($AR1989&gt;=10000000,IFERROR(DATE(INT($AR1989/10000),MOD(INT($AR1989/100),100),MOD($AR1989,100)),""),INT($AR1989)),IFERROR(DATE(--LEFT(LEFT(SUBSTITUTE(SUBSTITUTE(SUBSTITUTE(SUBSTITUTE(TRIM($AR1989),"-",""),".",""),"/","")," ",""),8),4),--MID(LEFT(SUBSTITUTE(SUBSTITUTE(SUBSTITUTE(SUBSTITUTE(TRIM($AR1989),"-",""),".",""),"/","")," ",""),8),5,2),--MID(LEFT(SUBSTITUTE(SUBSTITUTE(SUBSTITUTE(SUBSTITUTE(TRIM($AR1989),"-",""),".",""),"/","")," ",""),8),7,2)),"")))</f>
        <v/>
      </c>
      <c r="AT1989" s="33">
        <f>IF($AS1989="","",IF($F$6="",0,IF(ISNUMBER(INDEX($A:$AP,ROW(),$F$6)),INDEX($A:$AP,ROW(),$F$6),IFERROR(--SUBSTITUTE(SUBSTITUTE(TRIM(INDEX($A:$AP,ROW(),$F$6)),",",""),"원",""),0))))</f>
        <v/>
      </c>
      <c r="AU1989" s="31">
        <f>IF($AS1989="","",IF($AX1989&lt;&gt;"",SUBSTITUTE(SUBSTITUTE($AX1989,"-","")," ",""),"N:"&amp;$AV1989))</f>
        <v/>
      </c>
      <c r="AV1989" s="31">
        <f>IF(OR($AS1989="",$E$6=""),"",TRIM(INDEX($A:$AP,ROW(),$E$6)&amp;""))</f>
        <v/>
      </c>
      <c r="AW1989" s="31">
        <f>IF($AU1989="","",IF(MATCH($AU1989,$AU$8:$AU$2007,0)=ROW()-7,MAX($AW$7:$AW1988)+1,""))</f>
        <v/>
      </c>
      <c r="AX1989" s="31">
        <f>IF(OR($AS1989="",$D$6=""),"",TRIM(INDEX($A:$AP,ROW(),$D$6)&amp;""))</f>
        <v/>
      </c>
      <c r="AY1989" s="31">
        <f>IF($AU1989="","",INDEX($AW$8:$AW$2007,MATCH($AU1989,$AU$8:$AU$2007,0)))</f>
        <v/>
      </c>
      <c r="AZ1989" s="31">
        <f>IF(OR($AS1989="",$C$6=""),"",TRIM(INDEX($A:$AP,ROW(),$C$6)&amp;""))</f>
        <v/>
      </c>
      <c r="BA1989" s="31">
        <f>IF($AZ1989="","",IF(COUNTIF($AZ$8:$AZ1989,$AZ1989)&gt;1,1,0))</f>
        <v/>
      </c>
    </row>
    <row r="1990">
      <c r="AR1990" s="31">
        <f>IF(OR($A$5="",$B$6="",ROW()&lt;$A$5),"",IF(INDEX($A:$AP,ROW(),$B$6)="","",INDEX($A:$AP,ROW(),$B$6)))</f>
        <v/>
      </c>
      <c r="AS1990" s="32">
        <f>IF($AR1990="","",IF(ISNUMBER($AR1990),IF($AR1990&gt;=10000000,IFERROR(DATE(INT($AR1990/10000),MOD(INT($AR1990/100),100),MOD($AR1990,100)),""),INT($AR1990)),IFERROR(DATE(--LEFT(LEFT(SUBSTITUTE(SUBSTITUTE(SUBSTITUTE(SUBSTITUTE(TRIM($AR1990),"-",""),".",""),"/","")," ",""),8),4),--MID(LEFT(SUBSTITUTE(SUBSTITUTE(SUBSTITUTE(SUBSTITUTE(TRIM($AR1990),"-",""),".",""),"/","")," ",""),8),5,2),--MID(LEFT(SUBSTITUTE(SUBSTITUTE(SUBSTITUTE(SUBSTITUTE(TRIM($AR1990),"-",""),".",""),"/","")," ",""),8),7,2)),"")))</f>
        <v/>
      </c>
      <c r="AT1990" s="33">
        <f>IF($AS1990="","",IF($F$6="",0,IF(ISNUMBER(INDEX($A:$AP,ROW(),$F$6)),INDEX($A:$AP,ROW(),$F$6),IFERROR(--SUBSTITUTE(SUBSTITUTE(TRIM(INDEX($A:$AP,ROW(),$F$6)),",",""),"원",""),0))))</f>
        <v/>
      </c>
      <c r="AU1990" s="31">
        <f>IF($AS1990="","",IF($AX1990&lt;&gt;"",SUBSTITUTE(SUBSTITUTE($AX1990,"-","")," ",""),"N:"&amp;$AV1990))</f>
        <v/>
      </c>
      <c r="AV1990" s="31">
        <f>IF(OR($AS1990="",$E$6=""),"",TRIM(INDEX($A:$AP,ROW(),$E$6)&amp;""))</f>
        <v/>
      </c>
      <c r="AW1990" s="31">
        <f>IF($AU1990="","",IF(MATCH($AU1990,$AU$8:$AU$2007,0)=ROW()-7,MAX($AW$7:$AW1989)+1,""))</f>
        <v/>
      </c>
      <c r="AX1990" s="31">
        <f>IF(OR($AS1990="",$D$6=""),"",TRIM(INDEX($A:$AP,ROW(),$D$6)&amp;""))</f>
        <v/>
      </c>
      <c r="AY1990" s="31">
        <f>IF($AU1990="","",INDEX($AW$8:$AW$2007,MATCH($AU1990,$AU$8:$AU$2007,0)))</f>
        <v/>
      </c>
      <c r="AZ1990" s="31">
        <f>IF(OR($AS1990="",$C$6=""),"",TRIM(INDEX($A:$AP,ROW(),$C$6)&amp;""))</f>
        <v/>
      </c>
      <c r="BA1990" s="31">
        <f>IF($AZ1990="","",IF(COUNTIF($AZ$8:$AZ1990,$AZ1990)&gt;1,1,0))</f>
        <v/>
      </c>
    </row>
    <row r="1991">
      <c r="AR1991" s="31">
        <f>IF(OR($A$5="",$B$6="",ROW()&lt;$A$5),"",IF(INDEX($A:$AP,ROW(),$B$6)="","",INDEX($A:$AP,ROW(),$B$6)))</f>
        <v/>
      </c>
      <c r="AS1991" s="32">
        <f>IF($AR1991="","",IF(ISNUMBER($AR1991),IF($AR1991&gt;=10000000,IFERROR(DATE(INT($AR1991/10000),MOD(INT($AR1991/100),100),MOD($AR1991,100)),""),INT($AR1991)),IFERROR(DATE(--LEFT(LEFT(SUBSTITUTE(SUBSTITUTE(SUBSTITUTE(SUBSTITUTE(TRIM($AR1991),"-",""),".",""),"/","")," ",""),8),4),--MID(LEFT(SUBSTITUTE(SUBSTITUTE(SUBSTITUTE(SUBSTITUTE(TRIM($AR1991),"-",""),".",""),"/","")," ",""),8),5,2),--MID(LEFT(SUBSTITUTE(SUBSTITUTE(SUBSTITUTE(SUBSTITUTE(TRIM($AR1991),"-",""),".",""),"/","")," ",""),8),7,2)),"")))</f>
        <v/>
      </c>
      <c r="AT1991" s="33">
        <f>IF($AS1991="","",IF($F$6="",0,IF(ISNUMBER(INDEX($A:$AP,ROW(),$F$6)),INDEX($A:$AP,ROW(),$F$6),IFERROR(--SUBSTITUTE(SUBSTITUTE(TRIM(INDEX($A:$AP,ROW(),$F$6)),",",""),"원",""),0))))</f>
        <v/>
      </c>
      <c r="AU1991" s="31">
        <f>IF($AS1991="","",IF($AX1991&lt;&gt;"",SUBSTITUTE(SUBSTITUTE($AX1991,"-","")," ",""),"N:"&amp;$AV1991))</f>
        <v/>
      </c>
      <c r="AV1991" s="31">
        <f>IF(OR($AS1991="",$E$6=""),"",TRIM(INDEX($A:$AP,ROW(),$E$6)&amp;""))</f>
        <v/>
      </c>
      <c r="AW1991" s="31">
        <f>IF($AU1991="","",IF(MATCH($AU1991,$AU$8:$AU$2007,0)=ROW()-7,MAX($AW$7:$AW1990)+1,""))</f>
        <v/>
      </c>
      <c r="AX1991" s="31">
        <f>IF(OR($AS1991="",$D$6=""),"",TRIM(INDEX($A:$AP,ROW(),$D$6)&amp;""))</f>
        <v/>
      </c>
      <c r="AY1991" s="31">
        <f>IF($AU1991="","",INDEX($AW$8:$AW$2007,MATCH($AU1991,$AU$8:$AU$2007,0)))</f>
        <v/>
      </c>
      <c r="AZ1991" s="31">
        <f>IF(OR($AS1991="",$C$6=""),"",TRIM(INDEX($A:$AP,ROW(),$C$6)&amp;""))</f>
        <v/>
      </c>
      <c r="BA1991" s="31">
        <f>IF($AZ1991="","",IF(COUNTIF($AZ$8:$AZ1991,$AZ1991)&gt;1,1,0))</f>
        <v/>
      </c>
    </row>
    <row r="1992">
      <c r="AR1992" s="31">
        <f>IF(OR($A$5="",$B$6="",ROW()&lt;$A$5),"",IF(INDEX($A:$AP,ROW(),$B$6)="","",INDEX($A:$AP,ROW(),$B$6)))</f>
        <v/>
      </c>
      <c r="AS1992" s="32">
        <f>IF($AR1992="","",IF(ISNUMBER($AR1992),IF($AR1992&gt;=10000000,IFERROR(DATE(INT($AR1992/10000),MOD(INT($AR1992/100),100),MOD($AR1992,100)),""),INT($AR1992)),IFERROR(DATE(--LEFT(LEFT(SUBSTITUTE(SUBSTITUTE(SUBSTITUTE(SUBSTITUTE(TRIM($AR1992),"-",""),".",""),"/","")," ",""),8),4),--MID(LEFT(SUBSTITUTE(SUBSTITUTE(SUBSTITUTE(SUBSTITUTE(TRIM($AR1992),"-",""),".",""),"/","")," ",""),8),5,2),--MID(LEFT(SUBSTITUTE(SUBSTITUTE(SUBSTITUTE(SUBSTITUTE(TRIM($AR1992),"-",""),".",""),"/","")," ",""),8),7,2)),"")))</f>
        <v/>
      </c>
      <c r="AT1992" s="33">
        <f>IF($AS1992="","",IF($F$6="",0,IF(ISNUMBER(INDEX($A:$AP,ROW(),$F$6)),INDEX($A:$AP,ROW(),$F$6),IFERROR(--SUBSTITUTE(SUBSTITUTE(TRIM(INDEX($A:$AP,ROW(),$F$6)),",",""),"원",""),0))))</f>
        <v/>
      </c>
      <c r="AU1992" s="31">
        <f>IF($AS1992="","",IF($AX1992&lt;&gt;"",SUBSTITUTE(SUBSTITUTE($AX1992,"-","")," ",""),"N:"&amp;$AV1992))</f>
        <v/>
      </c>
      <c r="AV1992" s="31">
        <f>IF(OR($AS1992="",$E$6=""),"",TRIM(INDEX($A:$AP,ROW(),$E$6)&amp;""))</f>
        <v/>
      </c>
      <c r="AW1992" s="31">
        <f>IF($AU1992="","",IF(MATCH($AU1992,$AU$8:$AU$2007,0)=ROW()-7,MAX($AW$7:$AW1991)+1,""))</f>
        <v/>
      </c>
      <c r="AX1992" s="31">
        <f>IF(OR($AS1992="",$D$6=""),"",TRIM(INDEX($A:$AP,ROW(),$D$6)&amp;""))</f>
        <v/>
      </c>
      <c r="AY1992" s="31">
        <f>IF($AU1992="","",INDEX($AW$8:$AW$2007,MATCH($AU1992,$AU$8:$AU$2007,0)))</f>
        <v/>
      </c>
      <c r="AZ1992" s="31">
        <f>IF(OR($AS1992="",$C$6=""),"",TRIM(INDEX($A:$AP,ROW(),$C$6)&amp;""))</f>
        <v/>
      </c>
      <c r="BA1992" s="31">
        <f>IF($AZ1992="","",IF(COUNTIF($AZ$8:$AZ1992,$AZ1992)&gt;1,1,0))</f>
        <v/>
      </c>
    </row>
    <row r="1993">
      <c r="AR1993" s="31">
        <f>IF(OR($A$5="",$B$6="",ROW()&lt;$A$5),"",IF(INDEX($A:$AP,ROW(),$B$6)="","",INDEX($A:$AP,ROW(),$B$6)))</f>
        <v/>
      </c>
      <c r="AS1993" s="32">
        <f>IF($AR1993="","",IF(ISNUMBER($AR1993),IF($AR1993&gt;=10000000,IFERROR(DATE(INT($AR1993/10000),MOD(INT($AR1993/100),100),MOD($AR1993,100)),""),INT($AR1993)),IFERROR(DATE(--LEFT(LEFT(SUBSTITUTE(SUBSTITUTE(SUBSTITUTE(SUBSTITUTE(TRIM($AR1993),"-",""),".",""),"/","")," ",""),8),4),--MID(LEFT(SUBSTITUTE(SUBSTITUTE(SUBSTITUTE(SUBSTITUTE(TRIM($AR1993),"-",""),".",""),"/","")," ",""),8),5,2),--MID(LEFT(SUBSTITUTE(SUBSTITUTE(SUBSTITUTE(SUBSTITUTE(TRIM($AR1993),"-",""),".",""),"/","")," ",""),8),7,2)),"")))</f>
        <v/>
      </c>
      <c r="AT1993" s="33">
        <f>IF($AS1993="","",IF($F$6="",0,IF(ISNUMBER(INDEX($A:$AP,ROW(),$F$6)),INDEX($A:$AP,ROW(),$F$6),IFERROR(--SUBSTITUTE(SUBSTITUTE(TRIM(INDEX($A:$AP,ROW(),$F$6)),",",""),"원",""),0))))</f>
        <v/>
      </c>
      <c r="AU1993" s="31">
        <f>IF($AS1993="","",IF($AX1993&lt;&gt;"",SUBSTITUTE(SUBSTITUTE($AX1993,"-","")," ",""),"N:"&amp;$AV1993))</f>
        <v/>
      </c>
      <c r="AV1993" s="31">
        <f>IF(OR($AS1993="",$E$6=""),"",TRIM(INDEX($A:$AP,ROW(),$E$6)&amp;""))</f>
        <v/>
      </c>
      <c r="AW1993" s="31">
        <f>IF($AU1993="","",IF(MATCH($AU1993,$AU$8:$AU$2007,0)=ROW()-7,MAX($AW$7:$AW1992)+1,""))</f>
        <v/>
      </c>
      <c r="AX1993" s="31">
        <f>IF(OR($AS1993="",$D$6=""),"",TRIM(INDEX($A:$AP,ROW(),$D$6)&amp;""))</f>
        <v/>
      </c>
      <c r="AY1993" s="31">
        <f>IF($AU1993="","",INDEX($AW$8:$AW$2007,MATCH($AU1993,$AU$8:$AU$2007,0)))</f>
        <v/>
      </c>
      <c r="AZ1993" s="31">
        <f>IF(OR($AS1993="",$C$6=""),"",TRIM(INDEX($A:$AP,ROW(),$C$6)&amp;""))</f>
        <v/>
      </c>
      <c r="BA1993" s="31">
        <f>IF($AZ1993="","",IF(COUNTIF($AZ$8:$AZ1993,$AZ1993)&gt;1,1,0))</f>
        <v/>
      </c>
    </row>
    <row r="1994">
      <c r="AR1994" s="31">
        <f>IF(OR($A$5="",$B$6="",ROW()&lt;$A$5),"",IF(INDEX($A:$AP,ROW(),$B$6)="","",INDEX($A:$AP,ROW(),$B$6)))</f>
        <v/>
      </c>
      <c r="AS1994" s="32">
        <f>IF($AR1994="","",IF(ISNUMBER($AR1994),IF($AR1994&gt;=10000000,IFERROR(DATE(INT($AR1994/10000),MOD(INT($AR1994/100),100),MOD($AR1994,100)),""),INT($AR1994)),IFERROR(DATE(--LEFT(LEFT(SUBSTITUTE(SUBSTITUTE(SUBSTITUTE(SUBSTITUTE(TRIM($AR1994),"-",""),".",""),"/","")," ",""),8),4),--MID(LEFT(SUBSTITUTE(SUBSTITUTE(SUBSTITUTE(SUBSTITUTE(TRIM($AR1994),"-",""),".",""),"/","")," ",""),8),5,2),--MID(LEFT(SUBSTITUTE(SUBSTITUTE(SUBSTITUTE(SUBSTITUTE(TRIM($AR1994),"-",""),".",""),"/","")," ",""),8),7,2)),"")))</f>
        <v/>
      </c>
      <c r="AT1994" s="33">
        <f>IF($AS1994="","",IF($F$6="",0,IF(ISNUMBER(INDEX($A:$AP,ROW(),$F$6)),INDEX($A:$AP,ROW(),$F$6),IFERROR(--SUBSTITUTE(SUBSTITUTE(TRIM(INDEX($A:$AP,ROW(),$F$6)),",",""),"원",""),0))))</f>
        <v/>
      </c>
      <c r="AU1994" s="31">
        <f>IF($AS1994="","",IF($AX1994&lt;&gt;"",SUBSTITUTE(SUBSTITUTE($AX1994,"-","")," ",""),"N:"&amp;$AV1994))</f>
        <v/>
      </c>
      <c r="AV1994" s="31">
        <f>IF(OR($AS1994="",$E$6=""),"",TRIM(INDEX($A:$AP,ROW(),$E$6)&amp;""))</f>
        <v/>
      </c>
      <c r="AW1994" s="31">
        <f>IF($AU1994="","",IF(MATCH($AU1994,$AU$8:$AU$2007,0)=ROW()-7,MAX($AW$7:$AW1993)+1,""))</f>
        <v/>
      </c>
      <c r="AX1994" s="31">
        <f>IF(OR($AS1994="",$D$6=""),"",TRIM(INDEX($A:$AP,ROW(),$D$6)&amp;""))</f>
        <v/>
      </c>
      <c r="AY1994" s="31">
        <f>IF($AU1994="","",INDEX($AW$8:$AW$2007,MATCH($AU1994,$AU$8:$AU$2007,0)))</f>
        <v/>
      </c>
      <c r="AZ1994" s="31">
        <f>IF(OR($AS1994="",$C$6=""),"",TRIM(INDEX($A:$AP,ROW(),$C$6)&amp;""))</f>
        <v/>
      </c>
      <c r="BA1994" s="31">
        <f>IF($AZ1994="","",IF(COUNTIF($AZ$8:$AZ1994,$AZ1994)&gt;1,1,0))</f>
        <v/>
      </c>
    </row>
    <row r="1995">
      <c r="AR1995" s="31">
        <f>IF(OR($A$5="",$B$6="",ROW()&lt;$A$5),"",IF(INDEX($A:$AP,ROW(),$B$6)="","",INDEX($A:$AP,ROW(),$B$6)))</f>
        <v/>
      </c>
      <c r="AS1995" s="32">
        <f>IF($AR1995="","",IF(ISNUMBER($AR1995),IF($AR1995&gt;=10000000,IFERROR(DATE(INT($AR1995/10000),MOD(INT($AR1995/100),100),MOD($AR1995,100)),""),INT($AR1995)),IFERROR(DATE(--LEFT(LEFT(SUBSTITUTE(SUBSTITUTE(SUBSTITUTE(SUBSTITUTE(TRIM($AR1995),"-",""),".",""),"/","")," ",""),8),4),--MID(LEFT(SUBSTITUTE(SUBSTITUTE(SUBSTITUTE(SUBSTITUTE(TRIM($AR1995),"-",""),".",""),"/","")," ",""),8),5,2),--MID(LEFT(SUBSTITUTE(SUBSTITUTE(SUBSTITUTE(SUBSTITUTE(TRIM($AR1995),"-",""),".",""),"/","")," ",""),8),7,2)),"")))</f>
        <v/>
      </c>
      <c r="AT1995" s="33">
        <f>IF($AS1995="","",IF($F$6="",0,IF(ISNUMBER(INDEX($A:$AP,ROW(),$F$6)),INDEX($A:$AP,ROW(),$F$6),IFERROR(--SUBSTITUTE(SUBSTITUTE(TRIM(INDEX($A:$AP,ROW(),$F$6)),",",""),"원",""),0))))</f>
        <v/>
      </c>
      <c r="AU1995" s="31">
        <f>IF($AS1995="","",IF($AX1995&lt;&gt;"",SUBSTITUTE(SUBSTITUTE($AX1995,"-","")," ",""),"N:"&amp;$AV1995))</f>
        <v/>
      </c>
      <c r="AV1995" s="31">
        <f>IF(OR($AS1995="",$E$6=""),"",TRIM(INDEX($A:$AP,ROW(),$E$6)&amp;""))</f>
        <v/>
      </c>
      <c r="AW1995" s="31">
        <f>IF($AU1995="","",IF(MATCH($AU1995,$AU$8:$AU$2007,0)=ROW()-7,MAX($AW$7:$AW1994)+1,""))</f>
        <v/>
      </c>
      <c r="AX1995" s="31">
        <f>IF(OR($AS1995="",$D$6=""),"",TRIM(INDEX($A:$AP,ROW(),$D$6)&amp;""))</f>
        <v/>
      </c>
      <c r="AY1995" s="31">
        <f>IF($AU1995="","",INDEX($AW$8:$AW$2007,MATCH($AU1995,$AU$8:$AU$2007,0)))</f>
        <v/>
      </c>
      <c r="AZ1995" s="31">
        <f>IF(OR($AS1995="",$C$6=""),"",TRIM(INDEX($A:$AP,ROW(),$C$6)&amp;""))</f>
        <v/>
      </c>
      <c r="BA1995" s="31">
        <f>IF($AZ1995="","",IF(COUNTIF($AZ$8:$AZ1995,$AZ1995)&gt;1,1,0))</f>
        <v/>
      </c>
    </row>
    <row r="1996">
      <c r="AR1996" s="31">
        <f>IF(OR($A$5="",$B$6="",ROW()&lt;$A$5),"",IF(INDEX($A:$AP,ROW(),$B$6)="","",INDEX($A:$AP,ROW(),$B$6)))</f>
        <v/>
      </c>
      <c r="AS1996" s="32">
        <f>IF($AR1996="","",IF(ISNUMBER($AR1996),IF($AR1996&gt;=10000000,IFERROR(DATE(INT($AR1996/10000),MOD(INT($AR1996/100),100),MOD($AR1996,100)),""),INT($AR1996)),IFERROR(DATE(--LEFT(LEFT(SUBSTITUTE(SUBSTITUTE(SUBSTITUTE(SUBSTITUTE(TRIM($AR1996),"-",""),".",""),"/","")," ",""),8),4),--MID(LEFT(SUBSTITUTE(SUBSTITUTE(SUBSTITUTE(SUBSTITUTE(TRIM($AR1996),"-",""),".",""),"/","")," ",""),8),5,2),--MID(LEFT(SUBSTITUTE(SUBSTITUTE(SUBSTITUTE(SUBSTITUTE(TRIM($AR1996),"-",""),".",""),"/","")," ",""),8),7,2)),"")))</f>
        <v/>
      </c>
      <c r="AT1996" s="33">
        <f>IF($AS1996="","",IF($F$6="",0,IF(ISNUMBER(INDEX($A:$AP,ROW(),$F$6)),INDEX($A:$AP,ROW(),$F$6),IFERROR(--SUBSTITUTE(SUBSTITUTE(TRIM(INDEX($A:$AP,ROW(),$F$6)),",",""),"원",""),0))))</f>
        <v/>
      </c>
      <c r="AU1996" s="31">
        <f>IF($AS1996="","",IF($AX1996&lt;&gt;"",SUBSTITUTE(SUBSTITUTE($AX1996,"-","")," ",""),"N:"&amp;$AV1996))</f>
        <v/>
      </c>
      <c r="AV1996" s="31">
        <f>IF(OR($AS1996="",$E$6=""),"",TRIM(INDEX($A:$AP,ROW(),$E$6)&amp;""))</f>
        <v/>
      </c>
      <c r="AW1996" s="31">
        <f>IF($AU1996="","",IF(MATCH($AU1996,$AU$8:$AU$2007,0)=ROW()-7,MAX($AW$7:$AW1995)+1,""))</f>
        <v/>
      </c>
      <c r="AX1996" s="31">
        <f>IF(OR($AS1996="",$D$6=""),"",TRIM(INDEX($A:$AP,ROW(),$D$6)&amp;""))</f>
        <v/>
      </c>
      <c r="AY1996" s="31">
        <f>IF($AU1996="","",INDEX($AW$8:$AW$2007,MATCH($AU1996,$AU$8:$AU$2007,0)))</f>
        <v/>
      </c>
      <c r="AZ1996" s="31">
        <f>IF(OR($AS1996="",$C$6=""),"",TRIM(INDEX($A:$AP,ROW(),$C$6)&amp;""))</f>
        <v/>
      </c>
      <c r="BA1996" s="31">
        <f>IF($AZ1996="","",IF(COUNTIF($AZ$8:$AZ1996,$AZ1996)&gt;1,1,0))</f>
        <v/>
      </c>
    </row>
    <row r="1997">
      <c r="AR1997" s="31">
        <f>IF(OR($A$5="",$B$6="",ROW()&lt;$A$5),"",IF(INDEX($A:$AP,ROW(),$B$6)="","",INDEX($A:$AP,ROW(),$B$6)))</f>
        <v/>
      </c>
      <c r="AS1997" s="32">
        <f>IF($AR1997="","",IF(ISNUMBER($AR1997),IF($AR1997&gt;=10000000,IFERROR(DATE(INT($AR1997/10000),MOD(INT($AR1997/100),100),MOD($AR1997,100)),""),INT($AR1997)),IFERROR(DATE(--LEFT(LEFT(SUBSTITUTE(SUBSTITUTE(SUBSTITUTE(SUBSTITUTE(TRIM($AR1997),"-",""),".",""),"/","")," ",""),8),4),--MID(LEFT(SUBSTITUTE(SUBSTITUTE(SUBSTITUTE(SUBSTITUTE(TRIM($AR1997),"-",""),".",""),"/","")," ",""),8),5,2),--MID(LEFT(SUBSTITUTE(SUBSTITUTE(SUBSTITUTE(SUBSTITUTE(TRIM($AR1997),"-",""),".",""),"/","")," ",""),8),7,2)),"")))</f>
        <v/>
      </c>
      <c r="AT1997" s="33">
        <f>IF($AS1997="","",IF($F$6="",0,IF(ISNUMBER(INDEX($A:$AP,ROW(),$F$6)),INDEX($A:$AP,ROW(),$F$6),IFERROR(--SUBSTITUTE(SUBSTITUTE(TRIM(INDEX($A:$AP,ROW(),$F$6)),",",""),"원",""),0))))</f>
        <v/>
      </c>
      <c r="AU1997" s="31">
        <f>IF($AS1997="","",IF($AX1997&lt;&gt;"",SUBSTITUTE(SUBSTITUTE($AX1997,"-","")," ",""),"N:"&amp;$AV1997))</f>
        <v/>
      </c>
      <c r="AV1997" s="31">
        <f>IF(OR($AS1997="",$E$6=""),"",TRIM(INDEX($A:$AP,ROW(),$E$6)&amp;""))</f>
        <v/>
      </c>
      <c r="AW1997" s="31">
        <f>IF($AU1997="","",IF(MATCH($AU1997,$AU$8:$AU$2007,0)=ROW()-7,MAX($AW$7:$AW1996)+1,""))</f>
        <v/>
      </c>
      <c r="AX1997" s="31">
        <f>IF(OR($AS1997="",$D$6=""),"",TRIM(INDEX($A:$AP,ROW(),$D$6)&amp;""))</f>
        <v/>
      </c>
      <c r="AY1997" s="31">
        <f>IF($AU1997="","",INDEX($AW$8:$AW$2007,MATCH($AU1997,$AU$8:$AU$2007,0)))</f>
        <v/>
      </c>
      <c r="AZ1997" s="31">
        <f>IF(OR($AS1997="",$C$6=""),"",TRIM(INDEX($A:$AP,ROW(),$C$6)&amp;""))</f>
        <v/>
      </c>
      <c r="BA1997" s="31">
        <f>IF($AZ1997="","",IF(COUNTIF($AZ$8:$AZ1997,$AZ1997)&gt;1,1,0))</f>
        <v/>
      </c>
    </row>
    <row r="1998">
      <c r="AR1998" s="31">
        <f>IF(OR($A$5="",$B$6="",ROW()&lt;$A$5),"",IF(INDEX($A:$AP,ROW(),$B$6)="","",INDEX($A:$AP,ROW(),$B$6)))</f>
        <v/>
      </c>
      <c r="AS1998" s="32">
        <f>IF($AR1998="","",IF(ISNUMBER($AR1998),IF($AR1998&gt;=10000000,IFERROR(DATE(INT($AR1998/10000),MOD(INT($AR1998/100),100),MOD($AR1998,100)),""),INT($AR1998)),IFERROR(DATE(--LEFT(LEFT(SUBSTITUTE(SUBSTITUTE(SUBSTITUTE(SUBSTITUTE(TRIM($AR1998),"-",""),".",""),"/","")," ",""),8),4),--MID(LEFT(SUBSTITUTE(SUBSTITUTE(SUBSTITUTE(SUBSTITUTE(TRIM($AR1998),"-",""),".",""),"/","")," ",""),8),5,2),--MID(LEFT(SUBSTITUTE(SUBSTITUTE(SUBSTITUTE(SUBSTITUTE(TRIM($AR1998),"-",""),".",""),"/","")," ",""),8),7,2)),"")))</f>
        <v/>
      </c>
      <c r="AT1998" s="33">
        <f>IF($AS1998="","",IF($F$6="",0,IF(ISNUMBER(INDEX($A:$AP,ROW(),$F$6)),INDEX($A:$AP,ROW(),$F$6),IFERROR(--SUBSTITUTE(SUBSTITUTE(TRIM(INDEX($A:$AP,ROW(),$F$6)),",",""),"원",""),0))))</f>
        <v/>
      </c>
      <c r="AU1998" s="31">
        <f>IF($AS1998="","",IF($AX1998&lt;&gt;"",SUBSTITUTE(SUBSTITUTE($AX1998,"-","")," ",""),"N:"&amp;$AV1998))</f>
        <v/>
      </c>
      <c r="AV1998" s="31">
        <f>IF(OR($AS1998="",$E$6=""),"",TRIM(INDEX($A:$AP,ROW(),$E$6)&amp;""))</f>
        <v/>
      </c>
      <c r="AW1998" s="31">
        <f>IF($AU1998="","",IF(MATCH($AU1998,$AU$8:$AU$2007,0)=ROW()-7,MAX($AW$7:$AW1997)+1,""))</f>
        <v/>
      </c>
      <c r="AX1998" s="31">
        <f>IF(OR($AS1998="",$D$6=""),"",TRIM(INDEX($A:$AP,ROW(),$D$6)&amp;""))</f>
        <v/>
      </c>
      <c r="AY1998" s="31">
        <f>IF($AU1998="","",INDEX($AW$8:$AW$2007,MATCH($AU1998,$AU$8:$AU$2007,0)))</f>
        <v/>
      </c>
      <c r="AZ1998" s="31">
        <f>IF(OR($AS1998="",$C$6=""),"",TRIM(INDEX($A:$AP,ROW(),$C$6)&amp;""))</f>
        <v/>
      </c>
      <c r="BA1998" s="31">
        <f>IF($AZ1998="","",IF(COUNTIF($AZ$8:$AZ1998,$AZ1998)&gt;1,1,0))</f>
        <v/>
      </c>
    </row>
    <row r="1999">
      <c r="AR1999" s="31">
        <f>IF(OR($A$5="",$B$6="",ROW()&lt;$A$5),"",IF(INDEX($A:$AP,ROW(),$B$6)="","",INDEX($A:$AP,ROW(),$B$6)))</f>
        <v/>
      </c>
      <c r="AS1999" s="32">
        <f>IF($AR1999="","",IF(ISNUMBER($AR1999),IF($AR1999&gt;=10000000,IFERROR(DATE(INT($AR1999/10000),MOD(INT($AR1999/100),100),MOD($AR1999,100)),""),INT($AR1999)),IFERROR(DATE(--LEFT(LEFT(SUBSTITUTE(SUBSTITUTE(SUBSTITUTE(SUBSTITUTE(TRIM($AR1999),"-",""),".",""),"/","")," ",""),8),4),--MID(LEFT(SUBSTITUTE(SUBSTITUTE(SUBSTITUTE(SUBSTITUTE(TRIM($AR1999),"-",""),".",""),"/","")," ",""),8),5,2),--MID(LEFT(SUBSTITUTE(SUBSTITUTE(SUBSTITUTE(SUBSTITUTE(TRIM($AR1999),"-",""),".",""),"/","")," ",""),8),7,2)),"")))</f>
        <v/>
      </c>
      <c r="AT1999" s="33">
        <f>IF($AS1999="","",IF($F$6="",0,IF(ISNUMBER(INDEX($A:$AP,ROW(),$F$6)),INDEX($A:$AP,ROW(),$F$6),IFERROR(--SUBSTITUTE(SUBSTITUTE(TRIM(INDEX($A:$AP,ROW(),$F$6)),",",""),"원",""),0))))</f>
        <v/>
      </c>
      <c r="AU1999" s="31">
        <f>IF($AS1999="","",IF($AX1999&lt;&gt;"",SUBSTITUTE(SUBSTITUTE($AX1999,"-","")," ",""),"N:"&amp;$AV1999))</f>
        <v/>
      </c>
      <c r="AV1999" s="31">
        <f>IF(OR($AS1999="",$E$6=""),"",TRIM(INDEX($A:$AP,ROW(),$E$6)&amp;""))</f>
        <v/>
      </c>
      <c r="AW1999" s="31">
        <f>IF($AU1999="","",IF(MATCH($AU1999,$AU$8:$AU$2007,0)=ROW()-7,MAX($AW$7:$AW1998)+1,""))</f>
        <v/>
      </c>
      <c r="AX1999" s="31">
        <f>IF(OR($AS1999="",$D$6=""),"",TRIM(INDEX($A:$AP,ROW(),$D$6)&amp;""))</f>
        <v/>
      </c>
      <c r="AY1999" s="31">
        <f>IF($AU1999="","",INDEX($AW$8:$AW$2007,MATCH($AU1999,$AU$8:$AU$2007,0)))</f>
        <v/>
      </c>
      <c r="AZ1999" s="31">
        <f>IF(OR($AS1999="",$C$6=""),"",TRIM(INDEX($A:$AP,ROW(),$C$6)&amp;""))</f>
        <v/>
      </c>
      <c r="BA1999" s="31">
        <f>IF($AZ1999="","",IF(COUNTIF($AZ$8:$AZ1999,$AZ1999)&gt;1,1,0))</f>
        <v/>
      </c>
    </row>
    <row r="2000">
      <c r="AR2000" s="31">
        <f>IF(OR($A$5="",$B$6="",ROW()&lt;$A$5),"",IF(INDEX($A:$AP,ROW(),$B$6)="","",INDEX($A:$AP,ROW(),$B$6)))</f>
        <v/>
      </c>
      <c r="AS2000" s="32">
        <f>IF($AR2000="","",IF(ISNUMBER($AR2000),IF($AR2000&gt;=10000000,IFERROR(DATE(INT($AR2000/10000),MOD(INT($AR2000/100),100),MOD($AR2000,100)),""),INT($AR2000)),IFERROR(DATE(--LEFT(LEFT(SUBSTITUTE(SUBSTITUTE(SUBSTITUTE(SUBSTITUTE(TRIM($AR2000),"-",""),".",""),"/","")," ",""),8),4),--MID(LEFT(SUBSTITUTE(SUBSTITUTE(SUBSTITUTE(SUBSTITUTE(TRIM($AR2000),"-",""),".",""),"/","")," ",""),8),5,2),--MID(LEFT(SUBSTITUTE(SUBSTITUTE(SUBSTITUTE(SUBSTITUTE(TRIM($AR2000),"-",""),".",""),"/","")," ",""),8),7,2)),"")))</f>
        <v/>
      </c>
      <c r="AT2000" s="33">
        <f>IF($AS2000="","",IF($F$6="",0,IF(ISNUMBER(INDEX($A:$AP,ROW(),$F$6)),INDEX($A:$AP,ROW(),$F$6),IFERROR(--SUBSTITUTE(SUBSTITUTE(TRIM(INDEX($A:$AP,ROW(),$F$6)),",",""),"원",""),0))))</f>
        <v/>
      </c>
      <c r="AU2000" s="31">
        <f>IF($AS2000="","",IF($AX2000&lt;&gt;"",SUBSTITUTE(SUBSTITUTE($AX2000,"-","")," ",""),"N:"&amp;$AV2000))</f>
        <v/>
      </c>
      <c r="AV2000" s="31">
        <f>IF(OR($AS2000="",$E$6=""),"",TRIM(INDEX($A:$AP,ROW(),$E$6)&amp;""))</f>
        <v/>
      </c>
      <c r="AW2000" s="31">
        <f>IF($AU2000="","",IF(MATCH($AU2000,$AU$8:$AU$2007,0)=ROW()-7,MAX($AW$7:$AW1999)+1,""))</f>
        <v/>
      </c>
      <c r="AX2000" s="31">
        <f>IF(OR($AS2000="",$D$6=""),"",TRIM(INDEX($A:$AP,ROW(),$D$6)&amp;""))</f>
        <v/>
      </c>
      <c r="AY2000" s="31">
        <f>IF($AU2000="","",INDEX($AW$8:$AW$2007,MATCH($AU2000,$AU$8:$AU$2007,0)))</f>
        <v/>
      </c>
      <c r="AZ2000" s="31">
        <f>IF(OR($AS2000="",$C$6=""),"",TRIM(INDEX($A:$AP,ROW(),$C$6)&amp;""))</f>
        <v/>
      </c>
      <c r="BA2000" s="31">
        <f>IF($AZ2000="","",IF(COUNTIF($AZ$8:$AZ2000,$AZ2000)&gt;1,1,0))</f>
        <v/>
      </c>
    </row>
    <row r="2001">
      <c r="AR2001" s="31">
        <f>IF(OR($A$5="",$B$6="",ROW()&lt;$A$5),"",IF(INDEX($A:$AP,ROW(),$B$6)="","",INDEX($A:$AP,ROW(),$B$6)))</f>
        <v/>
      </c>
      <c r="AS2001" s="32">
        <f>IF($AR2001="","",IF(ISNUMBER($AR2001),IF($AR2001&gt;=10000000,IFERROR(DATE(INT($AR2001/10000),MOD(INT($AR2001/100),100),MOD($AR2001,100)),""),INT($AR2001)),IFERROR(DATE(--LEFT(LEFT(SUBSTITUTE(SUBSTITUTE(SUBSTITUTE(SUBSTITUTE(TRIM($AR2001),"-",""),".",""),"/","")," ",""),8),4),--MID(LEFT(SUBSTITUTE(SUBSTITUTE(SUBSTITUTE(SUBSTITUTE(TRIM($AR2001),"-",""),".",""),"/","")," ",""),8),5,2),--MID(LEFT(SUBSTITUTE(SUBSTITUTE(SUBSTITUTE(SUBSTITUTE(TRIM($AR2001),"-",""),".",""),"/","")," ",""),8),7,2)),"")))</f>
        <v/>
      </c>
      <c r="AT2001" s="33">
        <f>IF($AS2001="","",IF($F$6="",0,IF(ISNUMBER(INDEX($A:$AP,ROW(),$F$6)),INDEX($A:$AP,ROW(),$F$6),IFERROR(--SUBSTITUTE(SUBSTITUTE(TRIM(INDEX($A:$AP,ROW(),$F$6)),",",""),"원",""),0))))</f>
        <v/>
      </c>
      <c r="AU2001" s="31">
        <f>IF($AS2001="","",IF($AX2001&lt;&gt;"",SUBSTITUTE(SUBSTITUTE($AX2001,"-","")," ",""),"N:"&amp;$AV2001))</f>
        <v/>
      </c>
      <c r="AV2001" s="31">
        <f>IF(OR($AS2001="",$E$6=""),"",TRIM(INDEX($A:$AP,ROW(),$E$6)&amp;""))</f>
        <v/>
      </c>
      <c r="AW2001" s="31">
        <f>IF($AU2001="","",IF(MATCH($AU2001,$AU$8:$AU$2007,0)=ROW()-7,MAX($AW$7:$AW2000)+1,""))</f>
        <v/>
      </c>
      <c r="AX2001" s="31">
        <f>IF(OR($AS2001="",$D$6=""),"",TRIM(INDEX($A:$AP,ROW(),$D$6)&amp;""))</f>
        <v/>
      </c>
      <c r="AY2001" s="31">
        <f>IF($AU2001="","",INDEX($AW$8:$AW$2007,MATCH($AU2001,$AU$8:$AU$2007,0)))</f>
        <v/>
      </c>
      <c r="AZ2001" s="31">
        <f>IF(OR($AS2001="",$C$6=""),"",TRIM(INDEX($A:$AP,ROW(),$C$6)&amp;""))</f>
        <v/>
      </c>
      <c r="BA2001" s="31">
        <f>IF($AZ2001="","",IF(COUNTIF($AZ$8:$AZ2001,$AZ2001)&gt;1,1,0))</f>
        <v/>
      </c>
    </row>
    <row r="2002">
      <c r="AR2002" s="31">
        <f>IF(OR($A$5="",$B$6="",ROW()&lt;$A$5),"",IF(INDEX($A:$AP,ROW(),$B$6)="","",INDEX($A:$AP,ROW(),$B$6)))</f>
        <v/>
      </c>
      <c r="AS2002" s="32">
        <f>IF($AR2002="","",IF(ISNUMBER($AR2002),IF($AR2002&gt;=10000000,IFERROR(DATE(INT($AR2002/10000),MOD(INT($AR2002/100),100),MOD($AR2002,100)),""),INT($AR2002)),IFERROR(DATE(--LEFT(LEFT(SUBSTITUTE(SUBSTITUTE(SUBSTITUTE(SUBSTITUTE(TRIM($AR2002),"-",""),".",""),"/","")," ",""),8),4),--MID(LEFT(SUBSTITUTE(SUBSTITUTE(SUBSTITUTE(SUBSTITUTE(TRIM($AR2002),"-",""),".",""),"/","")," ",""),8),5,2),--MID(LEFT(SUBSTITUTE(SUBSTITUTE(SUBSTITUTE(SUBSTITUTE(TRIM($AR2002),"-",""),".",""),"/","")," ",""),8),7,2)),"")))</f>
        <v/>
      </c>
      <c r="AT2002" s="33">
        <f>IF($AS2002="","",IF($F$6="",0,IF(ISNUMBER(INDEX($A:$AP,ROW(),$F$6)),INDEX($A:$AP,ROW(),$F$6),IFERROR(--SUBSTITUTE(SUBSTITUTE(TRIM(INDEX($A:$AP,ROW(),$F$6)),",",""),"원",""),0))))</f>
        <v/>
      </c>
      <c r="AU2002" s="31">
        <f>IF($AS2002="","",IF($AX2002&lt;&gt;"",SUBSTITUTE(SUBSTITUTE($AX2002,"-","")," ",""),"N:"&amp;$AV2002))</f>
        <v/>
      </c>
      <c r="AV2002" s="31">
        <f>IF(OR($AS2002="",$E$6=""),"",TRIM(INDEX($A:$AP,ROW(),$E$6)&amp;""))</f>
        <v/>
      </c>
      <c r="AW2002" s="31">
        <f>IF($AU2002="","",IF(MATCH($AU2002,$AU$8:$AU$2007,0)=ROW()-7,MAX($AW$7:$AW2001)+1,""))</f>
        <v/>
      </c>
      <c r="AX2002" s="31">
        <f>IF(OR($AS2002="",$D$6=""),"",TRIM(INDEX($A:$AP,ROW(),$D$6)&amp;""))</f>
        <v/>
      </c>
      <c r="AY2002" s="31">
        <f>IF($AU2002="","",INDEX($AW$8:$AW$2007,MATCH($AU2002,$AU$8:$AU$2007,0)))</f>
        <v/>
      </c>
      <c r="AZ2002" s="31">
        <f>IF(OR($AS2002="",$C$6=""),"",TRIM(INDEX($A:$AP,ROW(),$C$6)&amp;""))</f>
        <v/>
      </c>
      <c r="BA2002" s="31">
        <f>IF($AZ2002="","",IF(COUNTIF($AZ$8:$AZ2002,$AZ2002)&gt;1,1,0))</f>
        <v/>
      </c>
    </row>
    <row r="2003">
      <c r="AR2003" s="31">
        <f>IF(OR($A$5="",$B$6="",ROW()&lt;$A$5),"",IF(INDEX($A:$AP,ROW(),$B$6)="","",INDEX($A:$AP,ROW(),$B$6)))</f>
        <v/>
      </c>
      <c r="AS2003" s="32">
        <f>IF($AR2003="","",IF(ISNUMBER($AR2003),IF($AR2003&gt;=10000000,IFERROR(DATE(INT($AR2003/10000),MOD(INT($AR2003/100),100),MOD($AR2003,100)),""),INT($AR2003)),IFERROR(DATE(--LEFT(LEFT(SUBSTITUTE(SUBSTITUTE(SUBSTITUTE(SUBSTITUTE(TRIM($AR2003),"-",""),".",""),"/","")," ",""),8),4),--MID(LEFT(SUBSTITUTE(SUBSTITUTE(SUBSTITUTE(SUBSTITUTE(TRIM($AR2003),"-",""),".",""),"/","")," ",""),8),5,2),--MID(LEFT(SUBSTITUTE(SUBSTITUTE(SUBSTITUTE(SUBSTITUTE(TRIM($AR2003),"-",""),".",""),"/","")," ",""),8),7,2)),"")))</f>
        <v/>
      </c>
      <c r="AT2003" s="33">
        <f>IF($AS2003="","",IF($F$6="",0,IF(ISNUMBER(INDEX($A:$AP,ROW(),$F$6)),INDEX($A:$AP,ROW(),$F$6),IFERROR(--SUBSTITUTE(SUBSTITUTE(TRIM(INDEX($A:$AP,ROW(),$F$6)),",",""),"원",""),0))))</f>
        <v/>
      </c>
      <c r="AU2003" s="31">
        <f>IF($AS2003="","",IF($AX2003&lt;&gt;"",SUBSTITUTE(SUBSTITUTE($AX2003,"-","")," ",""),"N:"&amp;$AV2003))</f>
        <v/>
      </c>
      <c r="AV2003" s="31">
        <f>IF(OR($AS2003="",$E$6=""),"",TRIM(INDEX($A:$AP,ROW(),$E$6)&amp;""))</f>
        <v/>
      </c>
      <c r="AW2003" s="31">
        <f>IF($AU2003="","",IF(MATCH($AU2003,$AU$8:$AU$2007,0)=ROW()-7,MAX($AW$7:$AW2002)+1,""))</f>
        <v/>
      </c>
      <c r="AX2003" s="31">
        <f>IF(OR($AS2003="",$D$6=""),"",TRIM(INDEX($A:$AP,ROW(),$D$6)&amp;""))</f>
        <v/>
      </c>
      <c r="AY2003" s="31">
        <f>IF($AU2003="","",INDEX($AW$8:$AW$2007,MATCH($AU2003,$AU$8:$AU$2007,0)))</f>
        <v/>
      </c>
      <c r="AZ2003" s="31">
        <f>IF(OR($AS2003="",$C$6=""),"",TRIM(INDEX($A:$AP,ROW(),$C$6)&amp;""))</f>
        <v/>
      </c>
      <c r="BA2003" s="31">
        <f>IF($AZ2003="","",IF(COUNTIF($AZ$8:$AZ2003,$AZ2003)&gt;1,1,0))</f>
        <v/>
      </c>
    </row>
    <row r="2004">
      <c r="AR2004" s="31">
        <f>IF(OR($A$5="",$B$6="",ROW()&lt;$A$5),"",IF(INDEX($A:$AP,ROW(),$B$6)="","",INDEX($A:$AP,ROW(),$B$6)))</f>
        <v/>
      </c>
      <c r="AS2004" s="32">
        <f>IF($AR2004="","",IF(ISNUMBER($AR2004),IF($AR2004&gt;=10000000,IFERROR(DATE(INT($AR2004/10000),MOD(INT($AR2004/100),100),MOD($AR2004,100)),""),INT($AR2004)),IFERROR(DATE(--LEFT(LEFT(SUBSTITUTE(SUBSTITUTE(SUBSTITUTE(SUBSTITUTE(TRIM($AR2004),"-",""),".",""),"/","")," ",""),8),4),--MID(LEFT(SUBSTITUTE(SUBSTITUTE(SUBSTITUTE(SUBSTITUTE(TRIM($AR2004),"-",""),".",""),"/","")," ",""),8),5,2),--MID(LEFT(SUBSTITUTE(SUBSTITUTE(SUBSTITUTE(SUBSTITUTE(TRIM($AR2004),"-",""),".",""),"/","")," ",""),8),7,2)),"")))</f>
        <v/>
      </c>
      <c r="AT2004" s="33">
        <f>IF($AS2004="","",IF($F$6="",0,IF(ISNUMBER(INDEX($A:$AP,ROW(),$F$6)),INDEX($A:$AP,ROW(),$F$6),IFERROR(--SUBSTITUTE(SUBSTITUTE(TRIM(INDEX($A:$AP,ROW(),$F$6)),",",""),"원",""),0))))</f>
        <v/>
      </c>
      <c r="AU2004" s="31">
        <f>IF($AS2004="","",IF($AX2004&lt;&gt;"",SUBSTITUTE(SUBSTITUTE($AX2004,"-","")," ",""),"N:"&amp;$AV2004))</f>
        <v/>
      </c>
      <c r="AV2004" s="31">
        <f>IF(OR($AS2004="",$E$6=""),"",TRIM(INDEX($A:$AP,ROW(),$E$6)&amp;""))</f>
        <v/>
      </c>
      <c r="AW2004" s="31">
        <f>IF($AU2004="","",IF(MATCH($AU2004,$AU$8:$AU$2007,0)=ROW()-7,MAX($AW$7:$AW2003)+1,""))</f>
        <v/>
      </c>
      <c r="AX2004" s="31">
        <f>IF(OR($AS2004="",$D$6=""),"",TRIM(INDEX($A:$AP,ROW(),$D$6)&amp;""))</f>
        <v/>
      </c>
      <c r="AY2004" s="31">
        <f>IF($AU2004="","",INDEX($AW$8:$AW$2007,MATCH($AU2004,$AU$8:$AU$2007,0)))</f>
        <v/>
      </c>
      <c r="AZ2004" s="31">
        <f>IF(OR($AS2004="",$C$6=""),"",TRIM(INDEX($A:$AP,ROW(),$C$6)&amp;""))</f>
        <v/>
      </c>
      <c r="BA2004" s="31">
        <f>IF($AZ2004="","",IF(COUNTIF($AZ$8:$AZ2004,$AZ2004)&gt;1,1,0))</f>
        <v/>
      </c>
    </row>
    <row r="2005">
      <c r="AR2005" s="31">
        <f>IF(OR($A$5="",$B$6="",ROW()&lt;$A$5),"",IF(INDEX($A:$AP,ROW(),$B$6)="","",INDEX($A:$AP,ROW(),$B$6)))</f>
        <v/>
      </c>
      <c r="AS2005" s="32">
        <f>IF($AR2005="","",IF(ISNUMBER($AR2005),IF($AR2005&gt;=10000000,IFERROR(DATE(INT($AR2005/10000),MOD(INT($AR2005/100),100),MOD($AR2005,100)),""),INT($AR2005)),IFERROR(DATE(--LEFT(LEFT(SUBSTITUTE(SUBSTITUTE(SUBSTITUTE(SUBSTITUTE(TRIM($AR2005),"-",""),".",""),"/","")," ",""),8),4),--MID(LEFT(SUBSTITUTE(SUBSTITUTE(SUBSTITUTE(SUBSTITUTE(TRIM($AR2005),"-",""),".",""),"/","")," ",""),8),5,2),--MID(LEFT(SUBSTITUTE(SUBSTITUTE(SUBSTITUTE(SUBSTITUTE(TRIM($AR2005),"-",""),".",""),"/","")," ",""),8),7,2)),"")))</f>
        <v/>
      </c>
      <c r="AT2005" s="33">
        <f>IF($AS2005="","",IF($F$6="",0,IF(ISNUMBER(INDEX($A:$AP,ROW(),$F$6)),INDEX($A:$AP,ROW(),$F$6),IFERROR(--SUBSTITUTE(SUBSTITUTE(TRIM(INDEX($A:$AP,ROW(),$F$6)),",",""),"원",""),0))))</f>
        <v/>
      </c>
      <c r="AU2005" s="31">
        <f>IF($AS2005="","",IF($AX2005&lt;&gt;"",SUBSTITUTE(SUBSTITUTE($AX2005,"-","")," ",""),"N:"&amp;$AV2005))</f>
        <v/>
      </c>
      <c r="AV2005" s="31">
        <f>IF(OR($AS2005="",$E$6=""),"",TRIM(INDEX($A:$AP,ROW(),$E$6)&amp;""))</f>
        <v/>
      </c>
      <c r="AW2005" s="31">
        <f>IF($AU2005="","",IF(MATCH($AU2005,$AU$8:$AU$2007,0)=ROW()-7,MAX($AW$7:$AW2004)+1,""))</f>
        <v/>
      </c>
      <c r="AX2005" s="31">
        <f>IF(OR($AS2005="",$D$6=""),"",TRIM(INDEX($A:$AP,ROW(),$D$6)&amp;""))</f>
        <v/>
      </c>
      <c r="AY2005" s="31">
        <f>IF($AU2005="","",INDEX($AW$8:$AW$2007,MATCH($AU2005,$AU$8:$AU$2007,0)))</f>
        <v/>
      </c>
      <c r="AZ2005" s="31">
        <f>IF(OR($AS2005="",$C$6=""),"",TRIM(INDEX($A:$AP,ROW(),$C$6)&amp;""))</f>
        <v/>
      </c>
      <c r="BA2005" s="31">
        <f>IF($AZ2005="","",IF(COUNTIF($AZ$8:$AZ2005,$AZ2005)&gt;1,1,0))</f>
        <v/>
      </c>
    </row>
    <row r="2006">
      <c r="AR2006" s="31">
        <f>IF(OR($A$5="",$B$6="",ROW()&lt;$A$5),"",IF(INDEX($A:$AP,ROW(),$B$6)="","",INDEX($A:$AP,ROW(),$B$6)))</f>
        <v/>
      </c>
      <c r="AS2006" s="32">
        <f>IF($AR2006="","",IF(ISNUMBER($AR2006),IF($AR2006&gt;=10000000,IFERROR(DATE(INT($AR2006/10000),MOD(INT($AR2006/100),100),MOD($AR2006,100)),""),INT($AR2006)),IFERROR(DATE(--LEFT(LEFT(SUBSTITUTE(SUBSTITUTE(SUBSTITUTE(SUBSTITUTE(TRIM($AR2006),"-",""),".",""),"/","")," ",""),8),4),--MID(LEFT(SUBSTITUTE(SUBSTITUTE(SUBSTITUTE(SUBSTITUTE(TRIM($AR2006),"-",""),".",""),"/","")," ",""),8),5,2),--MID(LEFT(SUBSTITUTE(SUBSTITUTE(SUBSTITUTE(SUBSTITUTE(TRIM($AR2006),"-",""),".",""),"/","")," ",""),8),7,2)),"")))</f>
        <v/>
      </c>
      <c r="AT2006" s="33">
        <f>IF($AS2006="","",IF($F$6="",0,IF(ISNUMBER(INDEX($A:$AP,ROW(),$F$6)),INDEX($A:$AP,ROW(),$F$6),IFERROR(--SUBSTITUTE(SUBSTITUTE(TRIM(INDEX($A:$AP,ROW(),$F$6)),",",""),"원",""),0))))</f>
        <v/>
      </c>
      <c r="AU2006" s="31">
        <f>IF($AS2006="","",IF($AX2006&lt;&gt;"",SUBSTITUTE(SUBSTITUTE($AX2006,"-","")," ",""),"N:"&amp;$AV2006))</f>
        <v/>
      </c>
      <c r="AV2006" s="31">
        <f>IF(OR($AS2006="",$E$6=""),"",TRIM(INDEX($A:$AP,ROW(),$E$6)&amp;""))</f>
        <v/>
      </c>
      <c r="AW2006" s="31">
        <f>IF($AU2006="","",IF(MATCH($AU2006,$AU$8:$AU$2007,0)=ROW()-7,MAX($AW$7:$AW2005)+1,""))</f>
        <v/>
      </c>
      <c r="AX2006" s="31">
        <f>IF(OR($AS2006="",$D$6=""),"",TRIM(INDEX($A:$AP,ROW(),$D$6)&amp;""))</f>
        <v/>
      </c>
      <c r="AY2006" s="31">
        <f>IF($AU2006="","",INDEX($AW$8:$AW$2007,MATCH($AU2006,$AU$8:$AU$2007,0)))</f>
        <v/>
      </c>
      <c r="AZ2006" s="31">
        <f>IF(OR($AS2006="",$C$6=""),"",TRIM(INDEX($A:$AP,ROW(),$C$6)&amp;""))</f>
        <v/>
      </c>
      <c r="BA2006" s="31">
        <f>IF($AZ2006="","",IF(COUNTIF($AZ$8:$AZ2006,$AZ2006)&gt;1,1,0))</f>
        <v/>
      </c>
    </row>
    <row r="2007">
      <c r="AR2007" s="31">
        <f>IF(OR($A$5="",$B$6="",ROW()&lt;$A$5),"",IF(INDEX($A:$AP,ROW(),$B$6)="","",INDEX($A:$AP,ROW(),$B$6)))</f>
        <v/>
      </c>
      <c r="AS2007" s="32">
        <f>IF($AR2007="","",IF(ISNUMBER($AR2007),IF($AR2007&gt;=10000000,IFERROR(DATE(INT($AR2007/10000),MOD(INT($AR2007/100),100),MOD($AR2007,100)),""),INT($AR2007)),IFERROR(DATE(--LEFT(LEFT(SUBSTITUTE(SUBSTITUTE(SUBSTITUTE(SUBSTITUTE(TRIM($AR2007),"-",""),".",""),"/","")," ",""),8),4),--MID(LEFT(SUBSTITUTE(SUBSTITUTE(SUBSTITUTE(SUBSTITUTE(TRIM($AR2007),"-",""),".",""),"/","")," ",""),8),5,2),--MID(LEFT(SUBSTITUTE(SUBSTITUTE(SUBSTITUTE(SUBSTITUTE(TRIM($AR2007),"-",""),".",""),"/","")," ",""),8),7,2)),"")))</f>
        <v/>
      </c>
      <c r="AT2007" s="33">
        <f>IF($AS2007="","",IF($F$6="",0,IF(ISNUMBER(INDEX($A:$AP,ROW(),$F$6)),INDEX($A:$AP,ROW(),$F$6),IFERROR(--SUBSTITUTE(SUBSTITUTE(TRIM(INDEX($A:$AP,ROW(),$F$6)),",",""),"원",""),0))))</f>
        <v/>
      </c>
      <c r="AU2007" s="31">
        <f>IF($AS2007="","",IF($AX2007&lt;&gt;"",SUBSTITUTE(SUBSTITUTE($AX2007,"-","")," ",""),"N:"&amp;$AV2007))</f>
        <v/>
      </c>
      <c r="AV2007" s="31">
        <f>IF(OR($AS2007="",$E$6=""),"",TRIM(INDEX($A:$AP,ROW(),$E$6)&amp;""))</f>
        <v/>
      </c>
      <c r="AW2007" s="31">
        <f>IF($AU2007="","",IF(MATCH($AU2007,$AU$8:$AU$2007,0)=ROW()-7,MAX($AW$7:$AW2006)+1,""))</f>
        <v/>
      </c>
      <c r="AX2007" s="31">
        <f>IF(OR($AS2007="",$D$6=""),"",TRIM(INDEX($A:$AP,ROW(),$D$6)&amp;""))</f>
        <v/>
      </c>
      <c r="AY2007" s="31">
        <f>IF($AU2007="","",INDEX($AW$8:$AW$2007,MATCH($AU2007,$AU$8:$AU$2007,0)))</f>
        <v/>
      </c>
      <c r="AZ2007" s="31">
        <f>IF(OR($AS2007="",$C$6=""),"",TRIM(INDEX($A:$AP,ROW(),$C$6)&amp;""))</f>
        <v/>
      </c>
      <c r="BA2007" s="31">
        <f>IF($AZ2007="","",IF(COUNTIF($AZ$8:$AZ2007,$AZ2007)&gt;1,1,0))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1" t="inlineStr">
        <is>
          <t>입금_은행1 — 은행 입금내역 붙여넣기 (1번째 계좌)</t>
        </is>
      </c>
    </row>
    <row r="2">
      <c r="A2" s="12" t="inlineStr">
        <is>
          <t>✍ 직접 입력: 은행(인터넷뱅킹)에서 내려받은 거래내역 엑셀을 A8 셀부터 통째로 붙여넣고, 5행 노란 칸에 데이터 시작 행과 날짜·입금·보낸 분(내용) 열을 확인하세요. 입금·출금이 섞여 있어도 됩니다.</t>
        </is>
      </c>
    </row>
    <row r="3">
      <c r="A3" s="2" t="inlineStr">
        <is>
          <t>⚙ 자동 계산: W~AE열 회색 수식 — 수정 금지. 오른쪽 '인식 결과'가 ✔로 뜨면 성공. 처음 쓸 때: 8행 아래 예시를 전체 선택 → Delete 로 먼저 지우세요. 은행이 한 곳뿐이면 쓰지 않는 쪽은 비워 두세요.</t>
        </is>
      </c>
    </row>
    <row r="4">
      <c r="A4" s="25" t="inlineStr">
        <is>
          <t>은행·계좌 이름</t>
        </is>
      </c>
      <c r="B4" s="25" t="inlineStr">
        <is>
          <t>데이터 시작 행</t>
        </is>
      </c>
      <c r="C4" s="25" t="inlineStr">
        <is>
          <t>날짜 열</t>
        </is>
      </c>
      <c r="D4" s="25" t="inlineStr">
        <is>
          <t>입금 열</t>
        </is>
      </c>
      <c r="E4" s="25" t="inlineStr">
        <is>
          <t>보낸 분·내용 열 1</t>
        </is>
      </c>
      <c r="F4" s="25" t="inlineStr">
        <is>
          <t>내용 열 2 (선택)</t>
        </is>
      </c>
      <c r="H4" s="26" t="inlineStr">
        <is>
          <t>인식 결과 (자동)</t>
        </is>
      </c>
    </row>
    <row r="5">
      <c r="A5" s="27" t="inlineStr">
        <is>
          <t>두리은행 결제계좌 (예시)</t>
        </is>
      </c>
      <c r="B5" s="27" t="n">
        <v>9</v>
      </c>
      <c r="C5" s="27" t="inlineStr">
        <is>
          <t>B</t>
        </is>
      </c>
      <c r="D5" s="27" t="inlineStr">
        <is>
          <t>E</t>
        </is>
      </c>
      <c r="E5" s="27" t="inlineStr">
        <is>
          <t>C</t>
        </is>
      </c>
      <c r="F5" s="27" t="inlineStr">
        <is>
          <t>G</t>
        </is>
      </c>
      <c r="H5" s="16">
        <f>IF(COUNT($Y$8:$Y$2007)=0,"비어 있음 (또는 아직 인식된 거래가 없습니다 — 붙여넣기와 열 설정을 확인하세요)","✔ 거래 "&amp;COUNT($Y$8:$Y$2007)&amp;"건 · 입금 "&amp;COUNTIF($Z$8:$Z$2007,"&gt;0")&amp;"건 "&amp;TEXT(SUMIF($Z$8:$Z$2007,"&gt;0"),"#,##0")&amp;"원 · 거래처로 매칭 "&amp;COUNTIF($AC$8:$AC$2007,"&gt;0")&amp;"건 / 미매칭 "&amp;COUNT($AD$8:$AD$2007)&amp;"건")</f>
        <v/>
      </c>
    </row>
    <row r="6">
      <c r="A6" s="28" t="inlineStr">
        <is>
          <t>▼ 8행(A8 셀)부터 붙여넣기</t>
        </is>
      </c>
      <c r="C6" s="29">
        <f>IF($C$5="","",IF(LEN(TRIM($C$5))=1,CODE(UPPER(TRIM($C$5)))-64,(CODE(UPPER(LEFT(TRIM($C$5),1)))-64)*26+CODE(UPPER(RIGHT(TRIM($C$5),1)))-64))</f>
        <v/>
      </c>
      <c r="D6" s="29">
        <f>IF($D$5="","",IF(LEN(TRIM($D$5))=1,CODE(UPPER(TRIM($D$5)))-64,(CODE(UPPER(LEFT(TRIM($D$5),1)))-64)*26+CODE(UPPER(RIGHT(TRIM($D$5),1)))-64))</f>
        <v/>
      </c>
      <c r="E6" s="29">
        <f>IF($E$5="","",IF(LEN(TRIM($E$5))=1,CODE(UPPER(TRIM($E$5)))-64,(CODE(UPPER(LEFT(TRIM($E$5),1)))-64)*26+CODE(UPPER(RIGHT(TRIM($E$5),1)))-64))</f>
        <v/>
      </c>
      <c r="F6" s="29">
        <f>IF($F$5="","",IF(LEN(TRIM($F$5))=1,CODE(UPPER(TRIM($F$5)))-64,(CODE(UPPER(LEFT(TRIM($F$5),1)))-64)*26+CODE(UPPER(RIGHT(TRIM($F$5),1)))-64))</f>
        <v/>
      </c>
      <c r="H6" s="14">
        <f>IF(COUNTIF($A$8:$U$2007,"*가상예시*")&gt;0,"⚠ 예시 데이터 "&amp;COUNTIF($A$8:$U$2007,"*가상예시*")&amp;"줄이 남아 있습니다 — 지우고 쓰세요 (8행 아래 전체 선택 → Delete)","")</f>
        <v/>
      </c>
    </row>
    <row r="7">
      <c r="W7" s="26" t="inlineStr">
        <is>
          <t>원본날짜(자동)</t>
        </is>
      </c>
      <c r="X7" s="26" t="inlineStr">
        <is>
          <t>거래일(자동)</t>
        </is>
      </c>
      <c r="Y7" s="26" t="inlineStr">
        <is>
          <t>날짜(자동)</t>
        </is>
      </c>
      <c r="Z7" s="26" t="inlineStr">
        <is>
          <t>입금액(자동)</t>
        </is>
      </c>
      <c r="AA7" s="26" t="inlineStr">
        <is>
          <t>내용 원문(자동)</t>
        </is>
      </c>
      <c r="AB7" s="26" t="inlineStr">
        <is>
          <t>내용 정리(자동)</t>
        </is>
      </c>
      <c r="AC7" s="26" t="inlineStr">
        <is>
          <t>거래처번호(자동)</t>
        </is>
      </c>
      <c r="AD7" s="26" t="inlineStr">
        <is>
          <t>미매칭순번(자동)</t>
        </is>
      </c>
      <c r="AE7" s="26" t="inlineStr">
        <is>
          <t>날짜수치(자동)</t>
        </is>
      </c>
    </row>
    <row r="8">
      <c r="A8" s="30" t="inlineStr">
        <is>
          <t>번호</t>
        </is>
      </c>
      <c r="B8" s="30" t="inlineStr">
        <is>
          <t>거래일자</t>
        </is>
      </c>
      <c r="C8" s="30" t="inlineStr">
        <is>
          <t>기재내용</t>
        </is>
      </c>
      <c r="D8" s="30" t="inlineStr">
        <is>
          <t>찾으신금액</t>
        </is>
      </c>
      <c r="E8" s="30" t="inlineStr">
        <is>
          <t>맡기신금액</t>
        </is>
      </c>
      <c r="F8" s="30" t="inlineStr">
        <is>
          <t>거래후잔액</t>
        </is>
      </c>
      <c r="G8" s="30" t="inlineStr">
        <is>
          <t>메모</t>
        </is>
      </c>
      <c r="W8" s="31">
        <f>IF(OR($B$5="",$C$6="",ROW()&lt;$B$5),"",IF(INDEX($A:$U,ROW(),$C$6)="","",INDEX($A:$U,ROW(),$C$6)))</f>
        <v/>
      </c>
      <c r="X8" s="32">
        <f>IF($W8="","",IF(ISNUMBER($W8),IF($W8&gt;=10000000,IFERROR(DATE(INT($W8/10000),MOD(INT($W8/100),100),MOD($W8,100)),""),INT($W8)),IFERROR(DATE(--LEFT(LEFT(SUBSTITUTE(SUBSTITUTE(SUBSTITUTE(SUBSTITUTE(TRIM($W8),"-",""),".",""),"/","")," ",""),8),4),--MID(LEFT(SUBSTITUTE(SUBSTITUTE(SUBSTITUTE(SUBSTITUTE(TRIM($W8),"-",""),".",""),"/","")," ",""),8),5,2),--MID(LEFT(SUBSTITUTE(SUBSTITUTE(SUBSTITUTE(SUBSTITUTE(TRIM($W8),"-",""),".",""),"/","")," ",""),8),7,2)),"")))</f>
        <v/>
      </c>
      <c r="Y8" s="32">
        <f>IF($X8="","",INT($X8))</f>
        <v/>
      </c>
      <c r="Z8" s="33">
        <f>IF(OR($Y8="",$D$6=""),"",IF(INDEX($A:$U,ROW(),$D$6)="",0,IF(ISNUMBER(INDEX($A:$U,ROW(),$D$6)),INDEX($A:$U,ROW(),$D$6),IFERROR(--SUBSTITUTE(SUBSTITUTE(TRIM(INDEX($A:$U,ROW(),$D$6)),",",""),"원",""),0))))</f>
        <v/>
      </c>
      <c r="AA8" s="31">
        <f>IF($Y8="","",TRIM(INDEX($A:$U,ROW(),$E$6)&amp;IF($F$6="",""," "&amp;INDEX($A:$U,ROW(),$F$6))))</f>
        <v/>
      </c>
      <c r="AB8" s="31">
        <f>IF($AA8="","",SUBSTITUTE(SUBSTITUTE(SUBSTITUTE(SUBSTITUTE(SUBSTITUTE(SUBSTITUTE(SUBSTITUTE(SUBSTITUTE(SUBSTITUTE($AA8," ",""),"　",""),"(주)",""),"（주）",""),"㈜",""),"주식회사",""),"(유)",""),"（유）",""),"유한회사",""))</f>
        <v/>
      </c>
      <c r="AC8" s="31">
        <f>IF(OR($Y8="",N($Z8)&lt;=0,$AB8=""),0,IFERROR(LOOKUP(2,1/((거래처별!$AC$8:$AC$307&lt;&gt;"")*ISNUMBER(SEARCH(거래처별!$AC$8:$AC$307,$AB8))),거래처별!$A$8:$A$307),IFERROR(LOOKUP(2,1/((거래처별!$AD$8:$AD$307&lt;&gt;"")*ISNUMBER(SEARCH(거래처별!$AD$8:$AD$307,$AB8))),거래처별!$A$8:$A$307),IFERROR(LOOKUP(2,1/((거래처별!$AE$8:$AE$307&lt;&gt;"")*ISNUMBER(SEARCH(거래처별!$AE$8:$AE$307,$AB8))),거래처별!$A$8:$A$307),0))))</f>
        <v/>
      </c>
      <c r="AD8" s="31">
        <f>IF(AND($Y8&lt;&gt;"",N($Z8)&gt;0,$AC8=0),MAX($AD$7:$AD7)+1,"")</f>
        <v/>
      </c>
      <c r="AE8" s="31">
        <f>IF($Y8="",0,$Y8)</f>
        <v/>
      </c>
    </row>
    <row r="9">
      <c r="A9" s="30" t="n">
        <v>1</v>
      </c>
      <c r="B9" s="30" t="inlineStr">
        <is>
          <t>2026-07-02 00:00:00</t>
        </is>
      </c>
      <c r="C9" s="30" t="inlineStr">
        <is>
          <t>소나무상사</t>
        </is>
      </c>
      <c r="D9" s="30" t="n"/>
      <c r="E9" s="30" t="inlineStr">
        <is>
          <t>400,000</t>
        </is>
      </c>
      <c r="F9" s="30" t="inlineStr">
        <is>
          <t>2,400,000</t>
        </is>
      </c>
      <c r="G9" s="30" t="inlineStr">
        <is>
          <t>가상예시</t>
        </is>
      </c>
      <c r="W9" s="31">
        <f>IF(OR($B$5="",$C$6="",ROW()&lt;$B$5),"",IF(INDEX($A:$U,ROW(),$C$6)="","",INDEX($A:$U,ROW(),$C$6)))</f>
        <v/>
      </c>
      <c r="X9" s="32">
        <f>IF($W9="","",IF(ISNUMBER($W9),IF($W9&gt;=10000000,IFERROR(DATE(INT($W9/10000),MOD(INT($W9/100),100),MOD($W9,100)),""),INT($W9)),IFERROR(DATE(--LEFT(LEFT(SUBSTITUTE(SUBSTITUTE(SUBSTITUTE(SUBSTITUTE(TRIM($W9),"-",""),".",""),"/","")," ",""),8),4),--MID(LEFT(SUBSTITUTE(SUBSTITUTE(SUBSTITUTE(SUBSTITUTE(TRIM($W9),"-",""),".",""),"/","")," ",""),8),5,2),--MID(LEFT(SUBSTITUTE(SUBSTITUTE(SUBSTITUTE(SUBSTITUTE(TRIM($W9),"-",""),".",""),"/","")," ",""),8),7,2)),"")))</f>
        <v/>
      </c>
      <c r="Y9" s="32">
        <f>IF($X9="","",INT($X9))</f>
        <v/>
      </c>
      <c r="Z9" s="33">
        <f>IF(OR($Y9="",$D$6=""),"",IF(INDEX($A:$U,ROW(),$D$6)="",0,IF(ISNUMBER(INDEX($A:$U,ROW(),$D$6)),INDEX($A:$U,ROW(),$D$6),IFERROR(--SUBSTITUTE(SUBSTITUTE(TRIM(INDEX($A:$U,ROW(),$D$6)),",",""),"원",""),0))))</f>
        <v/>
      </c>
      <c r="AA9" s="31">
        <f>IF($Y9="","",TRIM(INDEX($A:$U,ROW(),$E$6)&amp;IF($F$6="",""," "&amp;INDEX($A:$U,ROW(),$F$6))))</f>
        <v/>
      </c>
      <c r="AB9" s="31">
        <f>IF($AA9="","",SUBSTITUTE(SUBSTITUTE(SUBSTITUTE(SUBSTITUTE(SUBSTITUTE(SUBSTITUTE(SUBSTITUTE(SUBSTITUTE(SUBSTITUTE($AA9," ",""),"　",""),"(주)",""),"（주）",""),"㈜",""),"주식회사",""),"(유)",""),"（유）",""),"유한회사",""))</f>
        <v/>
      </c>
      <c r="AC9" s="31">
        <f>IF(OR($Y9="",N($Z9)&lt;=0,$AB9=""),0,IFERROR(LOOKUP(2,1/((거래처별!$AC$8:$AC$307&lt;&gt;"")*ISNUMBER(SEARCH(거래처별!$AC$8:$AC$307,$AB9))),거래처별!$A$8:$A$307),IFERROR(LOOKUP(2,1/((거래처별!$AD$8:$AD$307&lt;&gt;"")*ISNUMBER(SEARCH(거래처별!$AD$8:$AD$307,$AB9))),거래처별!$A$8:$A$307),IFERROR(LOOKUP(2,1/((거래처별!$AE$8:$AE$307&lt;&gt;"")*ISNUMBER(SEARCH(거래처별!$AE$8:$AE$307,$AB9))),거래처별!$A$8:$A$307),0))))</f>
        <v/>
      </c>
      <c r="AD9" s="31">
        <f>IF(AND($Y9&lt;&gt;"",N($Z9)&gt;0,$AC9=0),MAX($AD$7:$AD8)+1,"")</f>
        <v/>
      </c>
      <c r="AE9" s="31">
        <f>IF($Y9="",0,$Y9)</f>
        <v/>
      </c>
    </row>
    <row r="10">
      <c r="A10" s="30" t="n">
        <v>2</v>
      </c>
      <c r="B10" s="30" t="inlineStr">
        <is>
          <t>2026-07-10 00:00:00</t>
        </is>
      </c>
      <c r="C10" s="30" t="inlineStr">
        <is>
          <t>(주)하늘정밀</t>
        </is>
      </c>
      <c r="D10" s="30" t="n"/>
      <c r="E10" s="30" t="inlineStr">
        <is>
          <t>4,620,000</t>
        </is>
      </c>
      <c r="F10" s="30" t="inlineStr">
        <is>
          <t>9,000,000</t>
        </is>
      </c>
      <c r="G10" s="30" t="inlineStr">
        <is>
          <t>가상예시</t>
        </is>
      </c>
      <c r="W10" s="31">
        <f>IF(OR($B$5="",$C$6="",ROW()&lt;$B$5),"",IF(INDEX($A:$U,ROW(),$C$6)="","",INDEX($A:$U,ROW(),$C$6)))</f>
        <v/>
      </c>
      <c r="X10" s="32">
        <f>IF($W10="","",IF(ISNUMBER($W10),IF($W10&gt;=10000000,IFERROR(DATE(INT($W10/10000),MOD(INT($W10/100),100),MOD($W10,100)),""),INT($W10)),IFERROR(DATE(--LEFT(LEFT(SUBSTITUTE(SUBSTITUTE(SUBSTITUTE(SUBSTITUTE(TRIM($W10),"-",""),".",""),"/","")," ",""),8),4),--MID(LEFT(SUBSTITUTE(SUBSTITUTE(SUBSTITUTE(SUBSTITUTE(TRIM($W10),"-",""),".",""),"/","")," ",""),8),5,2),--MID(LEFT(SUBSTITUTE(SUBSTITUTE(SUBSTITUTE(SUBSTITUTE(TRIM($W10),"-",""),".",""),"/","")," ",""),8),7,2)),"")))</f>
        <v/>
      </c>
      <c r="Y10" s="32">
        <f>IF($X10="","",INT($X10))</f>
        <v/>
      </c>
      <c r="Z10" s="33">
        <f>IF(OR($Y10="",$D$6=""),"",IF(INDEX($A:$U,ROW(),$D$6)="",0,IF(ISNUMBER(INDEX($A:$U,ROW(),$D$6)),INDEX($A:$U,ROW(),$D$6),IFERROR(--SUBSTITUTE(SUBSTITUTE(TRIM(INDEX($A:$U,ROW(),$D$6)),",",""),"원",""),0))))</f>
        <v/>
      </c>
      <c r="AA10" s="31">
        <f>IF($Y10="","",TRIM(INDEX($A:$U,ROW(),$E$6)&amp;IF($F$6="",""," "&amp;INDEX($A:$U,ROW(),$F$6))))</f>
        <v/>
      </c>
      <c r="AB10" s="31">
        <f>IF($AA10="","",SUBSTITUTE(SUBSTITUTE(SUBSTITUTE(SUBSTITUTE(SUBSTITUTE(SUBSTITUTE(SUBSTITUTE(SUBSTITUTE(SUBSTITUTE($AA10," ",""),"　",""),"(주)",""),"（주）",""),"㈜",""),"주식회사",""),"(유)",""),"（유）",""),"유한회사",""))</f>
        <v/>
      </c>
      <c r="AC10" s="31">
        <f>IF(OR($Y10="",N($Z10)&lt;=0,$AB10=""),0,IFERROR(LOOKUP(2,1/((거래처별!$AC$8:$AC$307&lt;&gt;"")*ISNUMBER(SEARCH(거래처별!$AC$8:$AC$307,$AB10))),거래처별!$A$8:$A$307),IFERROR(LOOKUP(2,1/((거래처별!$AD$8:$AD$307&lt;&gt;"")*ISNUMBER(SEARCH(거래처별!$AD$8:$AD$307,$AB10))),거래처별!$A$8:$A$307),IFERROR(LOOKUP(2,1/((거래처별!$AE$8:$AE$307&lt;&gt;"")*ISNUMBER(SEARCH(거래처별!$AE$8:$AE$307,$AB10))),거래처별!$A$8:$A$307),0))))</f>
        <v/>
      </c>
      <c r="AD10" s="31">
        <f>IF(AND($Y10&lt;&gt;"",N($Z10)&gt;0,$AC10=0),MAX($AD$7:$AD9)+1,"")</f>
        <v/>
      </c>
      <c r="AE10" s="31">
        <f>IF($Y10="",0,$Y10)</f>
        <v/>
      </c>
    </row>
    <row r="11">
      <c r="A11" s="30" t="n">
        <v>3</v>
      </c>
      <c r="B11" s="30" t="inlineStr">
        <is>
          <t>2026-07-25 00:00:00</t>
        </is>
      </c>
      <c r="C11" s="30" t="inlineStr">
        <is>
          <t>새봄유통</t>
        </is>
      </c>
      <c r="D11" s="30" t="n"/>
      <c r="E11" s="30" t="inlineStr">
        <is>
          <t>6,600,000</t>
        </is>
      </c>
      <c r="F11" s="30" t="inlineStr">
        <is>
          <t>15,600,000</t>
        </is>
      </c>
      <c r="G11" s="30" t="inlineStr">
        <is>
          <t>가상예시</t>
        </is>
      </c>
      <c r="W11" s="31">
        <f>IF(OR($B$5="",$C$6="",ROW()&lt;$B$5),"",IF(INDEX($A:$U,ROW(),$C$6)="","",INDEX($A:$U,ROW(),$C$6)))</f>
        <v/>
      </c>
      <c r="X11" s="32">
        <f>IF($W11="","",IF(ISNUMBER($W11),IF($W11&gt;=10000000,IFERROR(DATE(INT($W11/10000),MOD(INT($W11/100),100),MOD($W11,100)),""),INT($W11)),IFERROR(DATE(--LEFT(LEFT(SUBSTITUTE(SUBSTITUTE(SUBSTITUTE(SUBSTITUTE(TRIM($W11),"-",""),".",""),"/","")," ",""),8),4),--MID(LEFT(SUBSTITUTE(SUBSTITUTE(SUBSTITUTE(SUBSTITUTE(TRIM($W11),"-",""),".",""),"/","")," ",""),8),5,2),--MID(LEFT(SUBSTITUTE(SUBSTITUTE(SUBSTITUTE(SUBSTITUTE(TRIM($W11),"-",""),".",""),"/","")," ",""),8),7,2)),"")))</f>
        <v/>
      </c>
      <c r="Y11" s="32">
        <f>IF($X11="","",INT($X11))</f>
        <v/>
      </c>
      <c r="Z11" s="33">
        <f>IF(OR($Y11="",$D$6=""),"",IF(INDEX($A:$U,ROW(),$D$6)="",0,IF(ISNUMBER(INDEX($A:$U,ROW(),$D$6)),INDEX($A:$U,ROW(),$D$6),IFERROR(--SUBSTITUTE(SUBSTITUTE(TRIM(INDEX($A:$U,ROW(),$D$6)),",",""),"원",""),0))))</f>
        <v/>
      </c>
      <c r="AA11" s="31">
        <f>IF($Y11="","",TRIM(INDEX($A:$U,ROW(),$E$6)&amp;IF($F$6="",""," "&amp;INDEX($A:$U,ROW(),$F$6))))</f>
        <v/>
      </c>
      <c r="AB11" s="31">
        <f>IF($AA11="","",SUBSTITUTE(SUBSTITUTE(SUBSTITUTE(SUBSTITUTE(SUBSTITUTE(SUBSTITUTE(SUBSTITUTE(SUBSTITUTE(SUBSTITUTE($AA11," ",""),"　",""),"(주)",""),"（주）",""),"㈜",""),"주식회사",""),"(유)",""),"（유）",""),"유한회사",""))</f>
        <v/>
      </c>
      <c r="AC11" s="31">
        <f>IF(OR($Y11="",N($Z11)&lt;=0,$AB11=""),0,IFERROR(LOOKUP(2,1/((거래처별!$AC$8:$AC$307&lt;&gt;"")*ISNUMBER(SEARCH(거래처별!$AC$8:$AC$307,$AB11))),거래처별!$A$8:$A$307),IFERROR(LOOKUP(2,1/((거래처별!$AD$8:$AD$307&lt;&gt;"")*ISNUMBER(SEARCH(거래처별!$AD$8:$AD$307,$AB11))),거래처별!$A$8:$A$307),IFERROR(LOOKUP(2,1/((거래처별!$AE$8:$AE$307&lt;&gt;"")*ISNUMBER(SEARCH(거래처별!$AE$8:$AE$307,$AB11))),거래처별!$A$8:$A$307),0))))</f>
        <v/>
      </c>
      <c r="AD11" s="31">
        <f>IF(AND($Y11&lt;&gt;"",N($Z11)&gt;0,$AC11=0),MAX($AD$7:$AD10)+1,"")</f>
        <v/>
      </c>
      <c r="AE11" s="31">
        <f>IF($Y11="",0,$Y11)</f>
        <v/>
      </c>
    </row>
    <row r="12">
      <c r="A12" s="30" t="n">
        <v>4</v>
      </c>
      <c r="B12" s="30" t="inlineStr">
        <is>
          <t>2026-07-30 00:00:00</t>
        </is>
      </c>
      <c r="C12" s="30" t="inlineStr">
        <is>
          <t>바람테크</t>
        </is>
      </c>
      <c r="D12" s="30" t="n"/>
      <c r="E12" s="30" t="inlineStr">
        <is>
          <t>1,650,000</t>
        </is>
      </c>
      <c r="F12" s="30" t="inlineStr">
        <is>
          <t>17,250,000</t>
        </is>
      </c>
      <c r="G12" s="30" t="inlineStr">
        <is>
          <t>가상예시</t>
        </is>
      </c>
      <c r="W12" s="31">
        <f>IF(OR($B$5="",$C$6="",ROW()&lt;$B$5),"",IF(INDEX($A:$U,ROW(),$C$6)="","",INDEX($A:$U,ROW(),$C$6)))</f>
        <v/>
      </c>
      <c r="X12" s="32">
        <f>IF($W12="","",IF(ISNUMBER($W12),IF($W12&gt;=10000000,IFERROR(DATE(INT($W12/10000),MOD(INT($W12/100),100),MOD($W12,100)),""),INT($W12)),IFERROR(DATE(--LEFT(LEFT(SUBSTITUTE(SUBSTITUTE(SUBSTITUTE(SUBSTITUTE(TRIM($W12),"-",""),".",""),"/","")," ",""),8),4),--MID(LEFT(SUBSTITUTE(SUBSTITUTE(SUBSTITUTE(SUBSTITUTE(TRIM($W12),"-",""),".",""),"/","")," ",""),8),5,2),--MID(LEFT(SUBSTITUTE(SUBSTITUTE(SUBSTITUTE(SUBSTITUTE(TRIM($W12),"-",""),".",""),"/","")," ",""),8),7,2)),"")))</f>
        <v/>
      </c>
      <c r="Y12" s="32">
        <f>IF($X12="","",INT($X12))</f>
        <v/>
      </c>
      <c r="Z12" s="33">
        <f>IF(OR($Y12="",$D$6=""),"",IF(INDEX($A:$U,ROW(),$D$6)="",0,IF(ISNUMBER(INDEX($A:$U,ROW(),$D$6)),INDEX($A:$U,ROW(),$D$6),IFERROR(--SUBSTITUTE(SUBSTITUTE(TRIM(INDEX($A:$U,ROW(),$D$6)),",",""),"원",""),0))))</f>
        <v/>
      </c>
      <c r="AA12" s="31">
        <f>IF($Y12="","",TRIM(INDEX($A:$U,ROW(),$E$6)&amp;IF($F$6="",""," "&amp;INDEX($A:$U,ROW(),$F$6))))</f>
        <v/>
      </c>
      <c r="AB12" s="31">
        <f>IF($AA12="","",SUBSTITUTE(SUBSTITUTE(SUBSTITUTE(SUBSTITUTE(SUBSTITUTE(SUBSTITUTE(SUBSTITUTE(SUBSTITUTE(SUBSTITUTE($AA12," ",""),"　",""),"(주)",""),"（주）",""),"㈜",""),"주식회사",""),"(유)",""),"（유）",""),"유한회사",""))</f>
        <v/>
      </c>
      <c r="AC12" s="31">
        <f>IF(OR($Y12="",N($Z12)&lt;=0,$AB12=""),0,IFERROR(LOOKUP(2,1/((거래처별!$AC$8:$AC$307&lt;&gt;"")*ISNUMBER(SEARCH(거래처별!$AC$8:$AC$307,$AB12))),거래처별!$A$8:$A$307),IFERROR(LOOKUP(2,1/((거래처별!$AD$8:$AD$307&lt;&gt;"")*ISNUMBER(SEARCH(거래처별!$AD$8:$AD$307,$AB12))),거래처별!$A$8:$A$307),IFERROR(LOOKUP(2,1/((거래처별!$AE$8:$AE$307&lt;&gt;"")*ISNUMBER(SEARCH(거래처별!$AE$8:$AE$307,$AB12))),거래처별!$A$8:$A$307),0))))</f>
        <v/>
      </c>
      <c r="AD12" s="31">
        <f>IF(AND($Y12&lt;&gt;"",N($Z12)&gt;0,$AC12=0),MAX($AD$7:$AD11)+1,"")</f>
        <v/>
      </c>
      <c r="AE12" s="31">
        <f>IF($Y12="",0,$Y12)</f>
        <v/>
      </c>
    </row>
    <row r="13">
      <c r="A13" s="30" t="n">
        <v>5</v>
      </c>
      <c r="B13" s="30" t="inlineStr">
        <is>
          <t>2026-09-02 00:00:00</t>
        </is>
      </c>
      <c r="C13" s="30" t="inlineStr">
        <is>
          <t>하늘정밀</t>
        </is>
      </c>
      <c r="D13" s="30" t="n"/>
      <c r="E13" s="30" t="inlineStr">
        <is>
          <t>3,300,000</t>
        </is>
      </c>
      <c r="F13" s="30" t="inlineStr">
        <is>
          <t>20,550,000</t>
        </is>
      </c>
      <c r="G13" s="30" t="inlineStr">
        <is>
          <t>가상예시</t>
        </is>
      </c>
      <c r="W13" s="31">
        <f>IF(OR($B$5="",$C$6="",ROW()&lt;$B$5),"",IF(INDEX($A:$U,ROW(),$C$6)="","",INDEX($A:$U,ROW(),$C$6)))</f>
        <v/>
      </c>
      <c r="X13" s="32">
        <f>IF($W13="","",IF(ISNUMBER($W13),IF($W13&gt;=10000000,IFERROR(DATE(INT($W13/10000),MOD(INT($W13/100),100),MOD($W13,100)),""),INT($W13)),IFERROR(DATE(--LEFT(LEFT(SUBSTITUTE(SUBSTITUTE(SUBSTITUTE(SUBSTITUTE(TRIM($W13),"-",""),".",""),"/","")," ",""),8),4),--MID(LEFT(SUBSTITUTE(SUBSTITUTE(SUBSTITUTE(SUBSTITUTE(TRIM($W13),"-",""),".",""),"/","")," ",""),8),5,2),--MID(LEFT(SUBSTITUTE(SUBSTITUTE(SUBSTITUTE(SUBSTITUTE(TRIM($W13),"-",""),".",""),"/","")," ",""),8),7,2)),"")))</f>
        <v/>
      </c>
      <c r="Y13" s="32">
        <f>IF($X13="","",INT($X13))</f>
        <v/>
      </c>
      <c r="Z13" s="33">
        <f>IF(OR($Y13="",$D$6=""),"",IF(INDEX($A:$U,ROW(),$D$6)="",0,IF(ISNUMBER(INDEX($A:$U,ROW(),$D$6)),INDEX($A:$U,ROW(),$D$6),IFERROR(--SUBSTITUTE(SUBSTITUTE(TRIM(INDEX($A:$U,ROW(),$D$6)),",",""),"원",""),0))))</f>
        <v/>
      </c>
      <c r="AA13" s="31">
        <f>IF($Y13="","",TRIM(INDEX($A:$U,ROW(),$E$6)&amp;IF($F$6="",""," "&amp;INDEX($A:$U,ROW(),$F$6))))</f>
        <v/>
      </c>
      <c r="AB13" s="31">
        <f>IF($AA13="","",SUBSTITUTE(SUBSTITUTE(SUBSTITUTE(SUBSTITUTE(SUBSTITUTE(SUBSTITUTE(SUBSTITUTE(SUBSTITUTE(SUBSTITUTE($AA13," ",""),"　",""),"(주)",""),"（주）",""),"㈜",""),"주식회사",""),"(유)",""),"（유）",""),"유한회사",""))</f>
        <v/>
      </c>
      <c r="AC13" s="31">
        <f>IF(OR($Y13="",N($Z13)&lt;=0,$AB13=""),0,IFERROR(LOOKUP(2,1/((거래처별!$AC$8:$AC$307&lt;&gt;"")*ISNUMBER(SEARCH(거래처별!$AC$8:$AC$307,$AB13))),거래처별!$A$8:$A$307),IFERROR(LOOKUP(2,1/((거래처별!$AD$8:$AD$307&lt;&gt;"")*ISNUMBER(SEARCH(거래처별!$AD$8:$AD$307,$AB13))),거래처별!$A$8:$A$307),IFERROR(LOOKUP(2,1/((거래처별!$AE$8:$AE$307&lt;&gt;"")*ISNUMBER(SEARCH(거래처별!$AE$8:$AE$307,$AB13))),거래처별!$A$8:$A$307),0))))</f>
        <v/>
      </c>
      <c r="AD13" s="31">
        <f>IF(AND($Y13&lt;&gt;"",N($Z13)&gt;0,$AC13=0),MAX($AD$7:$AD12)+1,"")</f>
        <v/>
      </c>
      <c r="AE13" s="31">
        <f>IF($Y13="",0,$Y13)</f>
        <v/>
      </c>
    </row>
    <row r="14">
      <c r="A14" s="30" t="n">
        <v>6</v>
      </c>
      <c r="B14" s="30" t="inlineStr">
        <is>
          <t>2026-09-05 00:00:00</t>
        </is>
      </c>
      <c r="C14" s="30" t="inlineStr">
        <is>
          <t>대출실행</t>
        </is>
      </c>
      <c r="D14" s="30" t="n"/>
      <c r="E14" s="30" t="inlineStr">
        <is>
          <t>20,000,000</t>
        </is>
      </c>
      <c r="F14" s="30" t="inlineStr">
        <is>
          <t>40,550,000</t>
        </is>
      </c>
      <c r="G14" s="30" t="inlineStr">
        <is>
          <t>가상예시</t>
        </is>
      </c>
      <c r="W14" s="31">
        <f>IF(OR($B$5="",$C$6="",ROW()&lt;$B$5),"",IF(INDEX($A:$U,ROW(),$C$6)="","",INDEX($A:$U,ROW(),$C$6)))</f>
        <v/>
      </c>
      <c r="X14" s="32">
        <f>IF($W14="","",IF(ISNUMBER($W14),IF($W14&gt;=10000000,IFERROR(DATE(INT($W14/10000),MOD(INT($W14/100),100),MOD($W14,100)),""),INT($W14)),IFERROR(DATE(--LEFT(LEFT(SUBSTITUTE(SUBSTITUTE(SUBSTITUTE(SUBSTITUTE(TRIM($W14),"-",""),".",""),"/","")," ",""),8),4),--MID(LEFT(SUBSTITUTE(SUBSTITUTE(SUBSTITUTE(SUBSTITUTE(TRIM($W14),"-",""),".",""),"/","")," ",""),8),5,2),--MID(LEFT(SUBSTITUTE(SUBSTITUTE(SUBSTITUTE(SUBSTITUTE(TRIM($W14),"-",""),".",""),"/","")," ",""),8),7,2)),"")))</f>
        <v/>
      </c>
      <c r="Y14" s="32">
        <f>IF($X14="","",INT($X14))</f>
        <v/>
      </c>
      <c r="Z14" s="33">
        <f>IF(OR($Y14="",$D$6=""),"",IF(INDEX($A:$U,ROW(),$D$6)="",0,IF(ISNUMBER(INDEX($A:$U,ROW(),$D$6)),INDEX($A:$U,ROW(),$D$6),IFERROR(--SUBSTITUTE(SUBSTITUTE(TRIM(INDEX($A:$U,ROW(),$D$6)),",",""),"원",""),0))))</f>
        <v/>
      </c>
      <c r="AA14" s="31">
        <f>IF($Y14="","",TRIM(INDEX($A:$U,ROW(),$E$6)&amp;IF($F$6="",""," "&amp;INDEX($A:$U,ROW(),$F$6))))</f>
        <v/>
      </c>
      <c r="AB14" s="31">
        <f>IF($AA14="","",SUBSTITUTE(SUBSTITUTE(SUBSTITUTE(SUBSTITUTE(SUBSTITUTE(SUBSTITUTE(SUBSTITUTE(SUBSTITUTE(SUBSTITUTE($AA14," ",""),"　",""),"(주)",""),"（주）",""),"㈜",""),"주식회사",""),"(유)",""),"（유）",""),"유한회사",""))</f>
        <v/>
      </c>
      <c r="AC14" s="31">
        <f>IF(OR($Y14="",N($Z14)&lt;=0,$AB14=""),0,IFERROR(LOOKUP(2,1/((거래처별!$AC$8:$AC$307&lt;&gt;"")*ISNUMBER(SEARCH(거래처별!$AC$8:$AC$307,$AB14))),거래처별!$A$8:$A$307),IFERROR(LOOKUP(2,1/((거래처별!$AD$8:$AD$307&lt;&gt;"")*ISNUMBER(SEARCH(거래처별!$AD$8:$AD$307,$AB14))),거래처별!$A$8:$A$307),IFERROR(LOOKUP(2,1/((거래처별!$AE$8:$AE$307&lt;&gt;"")*ISNUMBER(SEARCH(거래처별!$AE$8:$AE$307,$AB14))),거래처별!$A$8:$A$307),0))))</f>
        <v/>
      </c>
      <c r="AD14" s="31">
        <f>IF(AND($Y14&lt;&gt;"",N($Z14)&gt;0,$AC14=0),MAX($AD$7:$AD13)+1,"")</f>
        <v/>
      </c>
      <c r="AE14" s="31">
        <f>IF($Y14="",0,$Y14)</f>
        <v/>
      </c>
    </row>
    <row r="15">
      <c r="A15" s="30" t="n">
        <v>7</v>
      </c>
      <c r="B15" s="30" t="inlineStr">
        <is>
          <t>2026-09-15 00:00:00</t>
        </is>
      </c>
      <c r="C15" s="30" t="inlineStr">
        <is>
          <t>해솔물산</t>
        </is>
      </c>
      <c r="D15" s="30" t="n"/>
      <c r="E15" s="30" t="inlineStr">
        <is>
          <t>1,320,000</t>
        </is>
      </c>
      <c r="F15" s="30" t="inlineStr">
        <is>
          <t>41,870,000</t>
        </is>
      </c>
      <c r="G15" s="30" t="inlineStr">
        <is>
          <t>가상예시</t>
        </is>
      </c>
      <c r="W15" s="31">
        <f>IF(OR($B$5="",$C$6="",ROW()&lt;$B$5),"",IF(INDEX($A:$U,ROW(),$C$6)="","",INDEX($A:$U,ROW(),$C$6)))</f>
        <v/>
      </c>
      <c r="X15" s="32">
        <f>IF($W15="","",IF(ISNUMBER($W15),IF($W15&gt;=10000000,IFERROR(DATE(INT($W15/10000),MOD(INT($W15/100),100),MOD($W15,100)),""),INT($W15)),IFERROR(DATE(--LEFT(LEFT(SUBSTITUTE(SUBSTITUTE(SUBSTITUTE(SUBSTITUTE(TRIM($W15),"-",""),".",""),"/","")," ",""),8),4),--MID(LEFT(SUBSTITUTE(SUBSTITUTE(SUBSTITUTE(SUBSTITUTE(TRIM($W15),"-",""),".",""),"/","")," ",""),8),5,2),--MID(LEFT(SUBSTITUTE(SUBSTITUTE(SUBSTITUTE(SUBSTITUTE(TRIM($W15),"-",""),".",""),"/","")," ",""),8),7,2)),"")))</f>
        <v/>
      </c>
      <c r="Y15" s="32">
        <f>IF($X15="","",INT($X15))</f>
        <v/>
      </c>
      <c r="Z15" s="33">
        <f>IF(OR($Y15="",$D$6=""),"",IF(INDEX($A:$U,ROW(),$D$6)="",0,IF(ISNUMBER(INDEX($A:$U,ROW(),$D$6)),INDEX($A:$U,ROW(),$D$6),IFERROR(--SUBSTITUTE(SUBSTITUTE(TRIM(INDEX($A:$U,ROW(),$D$6)),",",""),"원",""),0))))</f>
        <v/>
      </c>
      <c r="AA15" s="31">
        <f>IF($Y15="","",TRIM(INDEX($A:$U,ROW(),$E$6)&amp;IF($F$6="",""," "&amp;INDEX($A:$U,ROW(),$F$6))))</f>
        <v/>
      </c>
      <c r="AB15" s="31">
        <f>IF($AA15="","",SUBSTITUTE(SUBSTITUTE(SUBSTITUTE(SUBSTITUTE(SUBSTITUTE(SUBSTITUTE(SUBSTITUTE(SUBSTITUTE(SUBSTITUTE($AA15," ",""),"　",""),"(주)",""),"（주）",""),"㈜",""),"주식회사",""),"(유)",""),"（유）",""),"유한회사",""))</f>
        <v/>
      </c>
      <c r="AC15" s="31">
        <f>IF(OR($Y15="",N($Z15)&lt;=0,$AB15=""),0,IFERROR(LOOKUP(2,1/((거래처별!$AC$8:$AC$307&lt;&gt;"")*ISNUMBER(SEARCH(거래처별!$AC$8:$AC$307,$AB15))),거래처별!$A$8:$A$307),IFERROR(LOOKUP(2,1/((거래처별!$AD$8:$AD$307&lt;&gt;"")*ISNUMBER(SEARCH(거래처별!$AD$8:$AD$307,$AB15))),거래처별!$A$8:$A$307),IFERROR(LOOKUP(2,1/((거래처별!$AE$8:$AE$307&lt;&gt;"")*ISNUMBER(SEARCH(거래처별!$AE$8:$AE$307,$AB15))),거래처별!$A$8:$A$307),0))))</f>
        <v/>
      </c>
      <c r="AD15" s="31">
        <f>IF(AND($Y15&lt;&gt;"",N($Z15)&gt;0,$AC15=0),MAX($AD$7:$AD14)+1,"")</f>
        <v/>
      </c>
      <c r="AE15" s="31">
        <f>IF($Y15="",0,$Y15)</f>
        <v/>
      </c>
    </row>
    <row r="16">
      <c r="A16" s="30" t="n">
        <v>8</v>
      </c>
      <c r="B16" s="30" t="inlineStr">
        <is>
          <t>2026-09-20 00:00:00</t>
        </is>
      </c>
      <c r="C16" s="30" t="inlineStr">
        <is>
          <t>새봄유통(주)</t>
        </is>
      </c>
      <c r="D16" s="30" t="n"/>
      <c r="E16" s="30" t="inlineStr">
        <is>
          <t>2,000,000</t>
        </is>
      </c>
      <c r="F16" s="30" t="inlineStr">
        <is>
          <t>43,870,000</t>
        </is>
      </c>
      <c r="G16" s="30" t="inlineStr">
        <is>
          <t>가상예시</t>
        </is>
      </c>
      <c r="W16" s="31">
        <f>IF(OR($B$5="",$C$6="",ROW()&lt;$B$5),"",IF(INDEX($A:$U,ROW(),$C$6)="","",INDEX($A:$U,ROW(),$C$6)))</f>
        <v/>
      </c>
      <c r="X16" s="32">
        <f>IF($W16="","",IF(ISNUMBER($W16),IF($W16&gt;=10000000,IFERROR(DATE(INT($W16/10000),MOD(INT($W16/100),100),MOD($W16,100)),""),INT($W16)),IFERROR(DATE(--LEFT(LEFT(SUBSTITUTE(SUBSTITUTE(SUBSTITUTE(SUBSTITUTE(TRIM($W16),"-",""),".",""),"/","")," ",""),8),4),--MID(LEFT(SUBSTITUTE(SUBSTITUTE(SUBSTITUTE(SUBSTITUTE(TRIM($W16),"-",""),".",""),"/","")," ",""),8),5,2),--MID(LEFT(SUBSTITUTE(SUBSTITUTE(SUBSTITUTE(SUBSTITUTE(TRIM($W16),"-",""),".",""),"/","")," ",""),8),7,2)),"")))</f>
        <v/>
      </c>
      <c r="Y16" s="32">
        <f>IF($X16="","",INT($X16))</f>
        <v/>
      </c>
      <c r="Z16" s="33">
        <f>IF(OR($Y16="",$D$6=""),"",IF(INDEX($A:$U,ROW(),$D$6)="",0,IF(ISNUMBER(INDEX($A:$U,ROW(),$D$6)),INDEX($A:$U,ROW(),$D$6),IFERROR(--SUBSTITUTE(SUBSTITUTE(TRIM(INDEX($A:$U,ROW(),$D$6)),",",""),"원",""),0))))</f>
        <v/>
      </c>
      <c r="AA16" s="31">
        <f>IF($Y16="","",TRIM(INDEX($A:$U,ROW(),$E$6)&amp;IF($F$6="",""," "&amp;INDEX($A:$U,ROW(),$F$6))))</f>
        <v/>
      </c>
      <c r="AB16" s="31">
        <f>IF($AA16="","",SUBSTITUTE(SUBSTITUTE(SUBSTITUTE(SUBSTITUTE(SUBSTITUTE(SUBSTITUTE(SUBSTITUTE(SUBSTITUTE(SUBSTITUTE($AA16," ",""),"　",""),"(주)",""),"（주）",""),"㈜",""),"주식회사",""),"(유)",""),"（유）",""),"유한회사",""))</f>
        <v/>
      </c>
      <c r="AC16" s="31">
        <f>IF(OR($Y16="",N($Z16)&lt;=0,$AB16=""),0,IFERROR(LOOKUP(2,1/((거래처별!$AC$8:$AC$307&lt;&gt;"")*ISNUMBER(SEARCH(거래처별!$AC$8:$AC$307,$AB16))),거래처별!$A$8:$A$307),IFERROR(LOOKUP(2,1/((거래처별!$AD$8:$AD$307&lt;&gt;"")*ISNUMBER(SEARCH(거래처별!$AD$8:$AD$307,$AB16))),거래처별!$A$8:$A$307),IFERROR(LOOKUP(2,1/((거래처별!$AE$8:$AE$307&lt;&gt;"")*ISNUMBER(SEARCH(거래처별!$AE$8:$AE$307,$AB16))),거래처별!$A$8:$A$307),0))))</f>
        <v/>
      </c>
      <c r="AD16" s="31">
        <f>IF(AND($Y16&lt;&gt;"",N($Z16)&gt;0,$AC16=0),MAX($AD$7:$AD15)+1,"")</f>
        <v/>
      </c>
      <c r="AE16" s="31">
        <f>IF($Y16="",0,$Y16)</f>
        <v/>
      </c>
    </row>
    <row r="17">
      <c r="A17" s="30" t="n">
        <v>9</v>
      </c>
      <c r="B17" s="30" t="inlineStr">
        <is>
          <t>2026-10-02 00:00:00</t>
        </is>
      </c>
      <c r="C17" s="30" t="inlineStr">
        <is>
          <t>해솔물산</t>
        </is>
      </c>
      <c r="D17" s="30" t="n"/>
      <c r="E17" s="30" t="inlineStr">
        <is>
          <t>1,320,000</t>
        </is>
      </c>
      <c r="F17" s="30" t="inlineStr">
        <is>
          <t>45,190,000</t>
        </is>
      </c>
      <c r="G17" s="30" t="inlineStr">
        <is>
          <t>가상예시</t>
        </is>
      </c>
      <c r="W17" s="31">
        <f>IF(OR($B$5="",$C$6="",ROW()&lt;$B$5),"",IF(INDEX($A:$U,ROW(),$C$6)="","",INDEX($A:$U,ROW(),$C$6)))</f>
        <v/>
      </c>
      <c r="X17" s="32">
        <f>IF($W17="","",IF(ISNUMBER($W17),IF($W17&gt;=10000000,IFERROR(DATE(INT($W17/10000),MOD(INT($W17/100),100),MOD($W17,100)),""),INT($W17)),IFERROR(DATE(--LEFT(LEFT(SUBSTITUTE(SUBSTITUTE(SUBSTITUTE(SUBSTITUTE(TRIM($W17),"-",""),".",""),"/","")," ",""),8),4),--MID(LEFT(SUBSTITUTE(SUBSTITUTE(SUBSTITUTE(SUBSTITUTE(TRIM($W17),"-",""),".",""),"/","")," ",""),8),5,2),--MID(LEFT(SUBSTITUTE(SUBSTITUTE(SUBSTITUTE(SUBSTITUTE(TRIM($W17),"-",""),".",""),"/","")," ",""),8),7,2)),"")))</f>
        <v/>
      </c>
      <c r="Y17" s="32">
        <f>IF($X17="","",INT($X17))</f>
        <v/>
      </c>
      <c r="Z17" s="33">
        <f>IF(OR($Y17="",$D$6=""),"",IF(INDEX($A:$U,ROW(),$D$6)="",0,IF(ISNUMBER(INDEX($A:$U,ROW(),$D$6)),INDEX($A:$U,ROW(),$D$6),IFERROR(--SUBSTITUTE(SUBSTITUTE(TRIM(INDEX($A:$U,ROW(),$D$6)),",",""),"원",""),0))))</f>
        <v/>
      </c>
      <c r="AA17" s="31">
        <f>IF($Y17="","",TRIM(INDEX($A:$U,ROW(),$E$6)&amp;IF($F$6="",""," "&amp;INDEX($A:$U,ROW(),$F$6))))</f>
        <v/>
      </c>
      <c r="AB17" s="31">
        <f>IF($AA17="","",SUBSTITUTE(SUBSTITUTE(SUBSTITUTE(SUBSTITUTE(SUBSTITUTE(SUBSTITUTE(SUBSTITUTE(SUBSTITUTE(SUBSTITUTE($AA17," ",""),"　",""),"(주)",""),"（주）",""),"㈜",""),"주식회사",""),"(유)",""),"（유）",""),"유한회사",""))</f>
        <v/>
      </c>
      <c r="AC17" s="31">
        <f>IF(OR($Y17="",N($Z17)&lt;=0,$AB17=""),0,IFERROR(LOOKUP(2,1/((거래처별!$AC$8:$AC$307&lt;&gt;"")*ISNUMBER(SEARCH(거래처별!$AC$8:$AC$307,$AB17))),거래처별!$A$8:$A$307),IFERROR(LOOKUP(2,1/((거래처별!$AD$8:$AD$307&lt;&gt;"")*ISNUMBER(SEARCH(거래처별!$AD$8:$AD$307,$AB17))),거래처별!$A$8:$A$307),IFERROR(LOOKUP(2,1/((거래처별!$AE$8:$AE$307&lt;&gt;"")*ISNUMBER(SEARCH(거래처별!$AE$8:$AE$307,$AB17))),거래처별!$A$8:$A$307),0))))</f>
        <v/>
      </c>
      <c r="AD17" s="31">
        <f>IF(AND($Y17&lt;&gt;"",N($Z17)&gt;0,$AC17=0),MAX($AD$7:$AD16)+1,"")</f>
        <v/>
      </c>
      <c r="AE17" s="31">
        <f>IF($Y17="",0,$Y17)</f>
        <v/>
      </c>
    </row>
    <row r="18">
      <c r="W18" s="31">
        <f>IF(OR($B$5="",$C$6="",ROW()&lt;$B$5),"",IF(INDEX($A:$U,ROW(),$C$6)="","",INDEX($A:$U,ROW(),$C$6)))</f>
        <v/>
      </c>
      <c r="X18" s="32">
        <f>IF($W18="","",IF(ISNUMBER($W18),IF($W18&gt;=10000000,IFERROR(DATE(INT($W18/10000),MOD(INT($W18/100),100),MOD($W18,100)),""),INT($W18)),IFERROR(DATE(--LEFT(LEFT(SUBSTITUTE(SUBSTITUTE(SUBSTITUTE(SUBSTITUTE(TRIM($W18),"-",""),".",""),"/","")," ",""),8),4),--MID(LEFT(SUBSTITUTE(SUBSTITUTE(SUBSTITUTE(SUBSTITUTE(TRIM($W18),"-",""),".",""),"/","")," ",""),8),5,2),--MID(LEFT(SUBSTITUTE(SUBSTITUTE(SUBSTITUTE(SUBSTITUTE(TRIM($W18),"-",""),".",""),"/","")," ",""),8),7,2)),"")))</f>
        <v/>
      </c>
      <c r="Y18" s="32">
        <f>IF($X18="","",INT($X18))</f>
        <v/>
      </c>
      <c r="Z18" s="33">
        <f>IF(OR($Y18="",$D$6=""),"",IF(INDEX($A:$U,ROW(),$D$6)="",0,IF(ISNUMBER(INDEX($A:$U,ROW(),$D$6)),INDEX($A:$U,ROW(),$D$6),IFERROR(--SUBSTITUTE(SUBSTITUTE(TRIM(INDEX($A:$U,ROW(),$D$6)),",",""),"원",""),0))))</f>
        <v/>
      </c>
      <c r="AA18" s="31">
        <f>IF($Y18="","",TRIM(INDEX($A:$U,ROW(),$E$6)&amp;IF($F$6="",""," "&amp;INDEX($A:$U,ROW(),$F$6))))</f>
        <v/>
      </c>
      <c r="AB18" s="31">
        <f>IF($AA18="","",SUBSTITUTE(SUBSTITUTE(SUBSTITUTE(SUBSTITUTE(SUBSTITUTE(SUBSTITUTE(SUBSTITUTE(SUBSTITUTE(SUBSTITUTE($AA18," ",""),"　",""),"(주)",""),"（주）",""),"㈜",""),"주식회사",""),"(유)",""),"（유）",""),"유한회사",""))</f>
        <v/>
      </c>
      <c r="AC18" s="31">
        <f>IF(OR($Y18="",N($Z18)&lt;=0,$AB18=""),0,IFERROR(LOOKUP(2,1/((거래처별!$AC$8:$AC$307&lt;&gt;"")*ISNUMBER(SEARCH(거래처별!$AC$8:$AC$307,$AB18))),거래처별!$A$8:$A$307),IFERROR(LOOKUP(2,1/((거래처별!$AD$8:$AD$307&lt;&gt;"")*ISNUMBER(SEARCH(거래처별!$AD$8:$AD$307,$AB18))),거래처별!$A$8:$A$307),IFERROR(LOOKUP(2,1/((거래처별!$AE$8:$AE$307&lt;&gt;"")*ISNUMBER(SEARCH(거래처별!$AE$8:$AE$307,$AB18))),거래처별!$A$8:$A$307),0))))</f>
        <v/>
      </c>
      <c r="AD18" s="31">
        <f>IF(AND($Y18&lt;&gt;"",N($Z18)&gt;0,$AC18=0),MAX($AD$7:$AD17)+1,"")</f>
        <v/>
      </c>
      <c r="AE18" s="31">
        <f>IF($Y18="",0,$Y18)</f>
        <v/>
      </c>
    </row>
    <row r="19">
      <c r="W19" s="31">
        <f>IF(OR($B$5="",$C$6="",ROW()&lt;$B$5),"",IF(INDEX($A:$U,ROW(),$C$6)="","",INDEX($A:$U,ROW(),$C$6)))</f>
        <v/>
      </c>
      <c r="X19" s="32">
        <f>IF($W19="","",IF(ISNUMBER($W19),IF($W19&gt;=10000000,IFERROR(DATE(INT($W19/10000),MOD(INT($W19/100),100),MOD($W19,100)),""),INT($W19)),IFERROR(DATE(--LEFT(LEFT(SUBSTITUTE(SUBSTITUTE(SUBSTITUTE(SUBSTITUTE(TRIM($W19),"-",""),".",""),"/","")," ",""),8),4),--MID(LEFT(SUBSTITUTE(SUBSTITUTE(SUBSTITUTE(SUBSTITUTE(TRIM($W19),"-",""),".",""),"/","")," ",""),8),5,2),--MID(LEFT(SUBSTITUTE(SUBSTITUTE(SUBSTITUTE(SUBSTITUTE(TRIM($W19),"-",""),".",""),"/","")," ",""),8),7,2)),"")))</f>
        <v/>
      </c>
      <c r="Y19" s="32">
        <f>IF($X19="","",INT($X19))</f>
        <v/>
      </c>
      <c r="Z19" s="33">
        <f>IF(OR($Y19="",$D$6=""),"",IF(INDEX($A:$U,ROW(),$D$6)="",0,IF(ISNUMBER(INDEX($A:$U,ROW(),$D$6)),INDEX($A:$U,ROW(),$D$6),IFERROR(--SUBSTITUTE(SUBSTITUTE(TRIM(INDEX($A:$U,ROW(),$D$6)),",",""),"원",""),0))))</f>
        <v/>
      </c>
      <c r="AA19" s="31">
        <f>IF($Y19="","",TRIM(INDEX($A:$U,ROW(),$E$6)&amp;IF($F$6="",""," "&amp;INDEX($A:$U,ROW(),$F$6))))</f>
        <v/>
      </c>
      <c r="AB19" s="31">
        <f>IF($AA19="","",SUBSTITUTE(SUBSTITUTE(SUBSTITUTE(SUBSTITUTE(SUBSTITUTE(SUBSTITUTE(SUBSTITUTE(SUBSTITUTE(SUBSTITUTE($AA19," ",""),"　",""),"(주)",""),"（주）",""),"㈜",""),"주식회사",""),"(유)",""),"（유）",""),"유한회사",""))</f>
        <v/>
      </c>
      <c r="AC19" s="31">
        <f>IF(OR($Y19="",N($Z19)&lt;=0,$AB19=""),0,IFERROR(LOOKUP(2,1/((거래처별!$AC$8:$AC$307&lt;&gt;"")*ISNUMBER(SEARCH(거래처별!$AC$8:$AC$307,$AB19))),거래처별!$A$8:$A$307),IFERROR(LOOKUP(2,1/((거래처별!$AD$8:$AD$307&lt;&gt;"")*ISNUMBER(SEARCH(거래처별!$AD$8:$AD$307,$AB19))),거래처별!$A$8:$A$307),IFERROR(LOOKUP(2,1/((거래처별!$AE$8:$AE$307&lt;&gt;"")*ISNUMBER(SEARCH(거래처별!$AE$8:$AE$307,$AB19))),거래처별!$A$8:$A$307),0))))</f>
        <v/>
      </c>
      <c r="AD19" s="31">
        <f>IF(AND($Y19&lt;&gt;"",N($Z19)&gt;0,$AC19=0),MAX($AD$7:$AD18)+1,"")</f>
        <v/>
      </c>
      <c r="AE19" s="31">
        <f>IF($Y19="",0,$Y19)</f>
        <v/>
      </c>
    </row>
    <row r="20">
      <c r="W20" s="31">
        <f>IF(OR($B$5="",$C$6="",ROW()&lt;$B$5),"",IF(INDEX($A:$U,ROW(),$C$6)="","",INDEX($A:$U,ROW(),$C$6)))</f>
        <v/>
      </c>
      <c r="X20" s="32">
        <f>IF($W20="","",IF(ISNUMBER($W20),IF($W20&gt;=10000000,IFERROR(DATE(INT($W20/10000),MOD(INT($W20/100),100),MOD($W20,100)),""),INT($W20)),IFERROR(DATE(--LEFT(LEFT(SUBSTITUTE(SUBSTITUTE(SUBSTITUTE(SUBSTITUTE(TRIM($W20),"-",""),".",""),"/","")," ",""),8),4),--MID(LEFT(SUBSTITUTE(SUBSTITUTE(SUBSTITUTE(SUBSTITUTE(TRIM($W20),"-",""),".",""),"/","")," ",""),8),5,2),--MID(LEFT(SUBSTITUTE(SUBSTITUTE(SUBSTITUTE(SUBSTITUTE(TRIM($W20),"-",""),".",""),"/","")," ",""),8),7,2)),"")))</f>
        <v/>
      </c>
      <c r="Y20" s="32">
        <f>IF($X20="","",INT($X20))</f>
        <v/>
      </c>
      <c r="Z20" s="33">
        <f>IF(OR($Y20="",$D$6=""),"",IF(INDEX($A:$U,ROW(),$D$6)="",0,IF(ISNUMBER(INDEX($A:$U,ROW(),$D$6)),INDEX($A:$U,ROW(),$D$6),IFERROR(--SUBSTITUTE(SUBSTITUTE(TRIM(INDEX($A:$U,ROW(),$D$6)),",",""),"원",""),0))))</f>
        <v/>
      </c>
      <c r="AA20" s="31">
        <f>IF($Y20="","",TRIM(INDEX($A:$U,ROW(),$E$6)&amp;IF($F$6="",""," "&amp;INDEX($A:$U,ROW(),$F$6))))</f>
        <v/>
      </c>
      <c r="AB20" s="31">
        <f>IF($AA20="","",SUBSTITUTE(SUBSTITUTE(SUBSTITUTE(SUBSTITUTE(SUBSTITUTE(SUBSTITUTE(SUBSTITUTE(SUBSTITUTE(SUBSTITUTE($AA20," ",""),"　",""),"(주)",""),"（주）",""),"㈜",""),"주식회사",""),"(유)",""),"（유）",""),"유한회사",""))</f>
        <v/>
      </c>
      <c r="AC20" s="31">
        <f>IF(OR($Y20="",N($Z20)&lt;=0,$AB20=""),0,IFERROR(LOOKUP(2,1/((거래처별!$AC$8:$AC$307&lt;&gt;"")*ISNUMBER(SEARCH(거래처별!$AC$8:$AC$307,$AB20))),거래처별!$A$8:$A$307),IFERROR(LOOKUP(2,1/((거래처별!$AD$8:$AD$307&lt;&gt;"")*ISNUMBER(SEARCH(거래처별!$AD$8:$AD$307,$AB20))),거래처별!$A$8:$A$307),IFERROR(LOOKUP(2,1/((거래처별!$AE$8:$AE$307&lt;&gt;"")*ISNUMBER(SEARCH(거래처별!$AE$8:$AE$307,$AB20))),거래처별!$A$8:$A$307),0))))</f>
        <v/>
      </c>
      <c r="AD20" s="31">
        <f>IF(AND($Y20&lt;&gt;"",N($Z20)&gt;0,$AC20=0),MAX($AD$7:$AD19)+1,"")</f>
        <v/>
      </c>
      <c r="AE20" s="31">
        <f>IF($Y20="",0,$Y20)</f>
        <v/>
      </c>
    </row>
    <row r="21">
      <c r="W21" s="31">
        <f>IF(OR($B$5="",$C$6="",ROW()&lt;$B$5),"",IF(INDEX($A:$U,ROW(),$C$6)="","",INDEX($A:$U,ROW(),$C$6)))</f>
        <v/>
      </c>
      <c r="X21" s="32">
        <f>IF($W21="","",IF(ISNUMBER($W21),IF($W21&gt;=10000000,IFERROR(DATE(INT($W21/10000),MOD(INT($W21/100),100),MOD($W21,100)),""),INT($W21)),IFERROR(DATE(--LEFT(LEFT(SUBSTITUTE(SUBSTITUTE(SUBSTITUTE(SUBSTITUTE(TRIM($W21),"-",""),".",""),"/","")," ",""),8),4),--MID(LEFT(SUBSTITUTE(SUBSTITUTE(SUBSTITUTE(SUBSTITUTE(TRIM($W21),"-",""),".",""),"/","")," ",""),8),5,2),--MID(LEFT(SUBSTITUTE(SUBSTITUTE(SUBSTITUTE(SUBSTITUTE(TRIM($W21),"-",""),".",""),"/","")," ",""),8),7,2)),"")))</f>
        <v/>
      </c>
      <c r="Y21" s="32">
        <f>IF($X21="","",INT($X21))</f>
        <v/>
      </c>
      <c r="Z21" s="33">
        <f>IF(OR($Y21="",$D$6=""),"",IF(INDEX($A:$U,ROW(),$D$6)="",0,IF(ISNUMBER(INDEX($A:$U,ROW(),$D$6)),INDEX($A:$U,ROW(),$D$6),IFERROR(--SUBSTITUTE(SUBSTITUTE(TRIM(INDEX($A:$U,ROW(),$D$6)),",",""),"원",""),0))))</f>
        <v/>
      </c>
      <c r="AA21" s="31">
        <f>IF($Y21="","",TRIM(INDEX($A:$U,ROW(),$E$6)&amp;IF($F$6="",""," "&amp;INDEX($A:$U,ROW(),$F$6))))</f>
        <v/>
      </c>
      <c r="AB21" s="31">
        <f>IF($AA21="","",SUBSTITUTE(SUBSTITUTE(SUBSTITUTE(SUBSTITUTE(SUBSTITUTE(SUBSTITUTE(SUBSTITUTE(SUBSTITUTE(SUBSTITUTE($AA21," ",""),"　",""),"(주)",""),"（주）",""),"㈜",""),"주식회사",""),"(유)",""),"（유）",""),"유한회사",""))</f>
        <v/>
      </c>
      <c r="AC21" s="31">
        <f>IF(OR($Y21="",N($Z21)&lt;=0,$AB21=""),0,IFERROR(LOOKUP(2,1/((거래처별!$AC$8:$AC$307&lt;&gt;"")*ISNUMBER(SEARCH(거래처별!$AC$8:$AC$307,$AB21))),거래처별!$A$8:$A$307),IFERROR(LOOKUP(2,1/((거래처별!$AD$8:$AD$307&lt;&gt;"")*ISNUMBER(SEARCH(거래처별!$AD$8:$AD$307,$AB21))),거래처별!$A$8:$A$307),IFERROR(LOOKUP(2,1/((거래처별!$AE$8:$AE$307&lt;&gt;"")*ISNUMBER(SEARCH(거래처별!$AE$8:$AE$307,$AB21))),거래처별!$A$8:$A$307),0))))</f>
        <v/>
      </c>
      <c r="AD21" s="31">
        <f>IF(AND($Y21&lt;&gt;"",N($Z21)&gt;0,$AC21=0),MAX($AD$7:$AD20)+1,"")</f>
        <v/>
      </c>
      <c r="AE21" s="31">
        <f>IF($Y21="",0,$Y21)</f>
        <v/>
      </c>
    </row>
    <row r="22">
      <c r="W22" s="31">
        <f>IF(OR($B$5="",$C$6="",ROW()&lt;$B$5),"",IF(INDEX($A:$U,ROW(),$C$6)="","",INDEX($A:$U,ROW(),$C$6)))</f>
        <v/>
      </c>
      <c r="X22" s="32">
        <f>IF($W22="","",IF(ISNUMBER($W22),IF($W22&gt;=10000000,IFERROR(DATE(INT($W22/10000),MOD(INT($W22/100),100),MOD($W22,100)),""),INT($W22)),IFERROR(DATE(--LEFT(LEFT(SUBSTITUTE(SUBSTITUTE(SUBSTITUTE(SUBSTITUTE(TRIM($W22),"-",""),".",""),"/","")," ",""),8),4),--MID(LEFT(SUBSTITUTE(SUBSTITUTE(SUBSTITUTE(SUBSTITUTE(TRIM($W22),"-",""),".",""),"/","")," ",""),8),5,2),--MID(LEFT(SUBSTITUTE(SUBSTITUTE(SUBSTITUTE(SUBSTITUTE(TRIM($W22),"-",""),".",""),"/","")," ",""),8),7,2)),"")))</f>
        <v/>
      </c>
      <c r="Y22" s="32">
        <f>IF($X22="","",INT($X22))</f>
        <v/>
      </c>
      <c r="Z22" s="33">
        <f>IF(OR($Y22="",$D$6=""),"",IF(INDEX($A:$U,ROW(),$D$6)="",0,IF(ISNUMBER(INDEX($A:$U,ROW(),$D$6)),INDEX($A:$U,ROW(),$D$6),IFERROR(--SUBSTITUTE(SUBSTITUTE(TRIM(INDEX($A:$U,ROW(),$D$6)),",",""),"원",""),0))))</f>
        <v/>
      </c>
      <c r="AA22" s="31">
        <f>IF($Y22="","",TRIM(INDEX($A:$U,ROW(),$E$6)&amp;IF($F$6="",""," "&amp;INDEX($A:$U,ROW(),$F$6))))</f>
        <v/>
      </c>
      <c r="AB22" s="31">
        <f>IF($AA22="","",SUBSTITUTE(SUBSTITUTE(SUBSTITUTE(SUBSTITUTE(SUBSTITUTE(SUBSTITUTE(SUBSTITUTE(SUBSTITUTE(SUBSTITUTE($AA22," ",""),"　",""),"(주)",""),"（주）",""),"㈜",""),"주식회사",""),"(유)",""),"（유）",""),"유한회사",""))</f>
        <v/>
      </c>
      <c r="AC22" s="31">
        <f>IF(OR($Y22="",N($Z22)&lt;=0,$AB22=""),0,IFERROR(LOOKUP(2,1/((거래처별!$AC$8:$AC$307&lt;&gt;"")*ISNUMBER(SEARCH(거래처별!$AC$8:$AC$307,$AB22))),거래처별!$A$8:$A$307),IFERROR(LOOKUP(2,1/((거래처별!$AD$8:$AD$307&lt;&gt;"")*ISNUMBER(SEARCH(거래처별!$AD$8:$AD$307,$AB22))),거래처별!$A$8:$A$307),IFERROR(LOOKUP(2,1/((거래처별!$AE$8:$AE$307&lt;&gt;"")*ISNUMBER(SEARCH(거래처별!$AE$8:$AE$307,$AB22))),거래처별!$A$8:$A$307),0))))</f>
        <v/>
      </c>
      <c r="AD22" s="31">
        <f>IF(AND($Y22&lt;&gt;"",N($Z22)&gt;0,$AC22=0),MAX($AD$7:$AD21)+1,"")</f>
        <v/>
      </c>
      <c r="AE22" s="31">
        <f>IF($Y22="",0,$Y22)</f>
        <v/>
      </c>
    </row>
    <row r="23">
      <c r="W23" s="31">
        <f>IF(OR($B$5="",$C$6="",ROW()&lt;$B$5),"",IF(INDEX($A:$U,ROW(),$C$6)="","",INDEX($A:$U,ROW(),$C$6)))</f>
        <v/>
      </c>
      <c r="X23" s="32">
        <f>IF($W23="","",IF(ISNUMBER($W23),IF($W23&gt;=10000000,IFERROR(DATE(INT($W23/10000),MOD(INT($W23/100),100),MOD($W23,100)),""),INT($W23)),IFERROR(DATE(--LEFT(LEFT(SUBSTITUTE(SUBSTITUTE(SUBSTITUTE(SUBSTITUTE(TRIM($W23),"-",""),".",""),"/","")," ",""),8),4),--MID(LEFT(SUBSTITUTE(SUBSTITUTE(SUBSTITUTE(SUBSTITUTE(TRIM($W23),"-",""),".",""),"/","")," ",""),8),5,2),--MID(LEFT(SUBSTITUTE(SUBSTITUTE(SUBSTITUTE(SUBSTITUTE(TRIM($W23),"-",""),".",""),"/","")," ",""),8),7,2)),"")))</f>
        <v/>
      </c>
      <c r="Y23" s="32">
        <f>IF($X23="","",INT($X23))</f>
        <v/>
      </c>
      <c r="Z23" s="33">
        <f>IF(OR($Y23="",$D$6=""),"",IF(INDEX($A:$U,ROW(),$D$6)="",0,IF(ISNUMBER(INDEX($A:$U,ROW(),$D$6)),INDEX($A:$U,ROW(),$D$6),IFERROR(--SUBSTITUTE(SUBSTITUTE(TRIM(INDEX($A:$U,ROW(),$D$6)),",",""),"원",""),0))))</f>
        <v/>
      </c>
      <c r="AA23" s="31">
        <f>IF($Y23="","",TRIM(INDEX($A:$U,ROW(),$E$6)&amp;IF($F$6="",""," "&amp;INDEX($A:$U,ROW(),$F$6))))</f>
        <v/>
      </c>
      <c r="AB23" s="31">
        <f>IF($AA23="","",SUBSTITUTE(SUBSTITUTE(SUBSTITUTE(SUBSTITUTE(SUBSTITUTE(SUBSTITUTE(SUBSTITUTE(SUBSTITUTE(SUBSTITUTE($AA23," ",""),"　",""),"(주)",""),"（주）",""),"㈜",""),"주식회사",""),"(유)",""),"（유）",""),"유한회사",""))</f>
        <v/>
      </c>
      <c r="AC23" s="31">
        <f>IF(OR($Y23="",N($Z23)&lt;=0,$AB23=""),0,IFERROR(LOOKUP(2,1/((거래처별!$AC$8:$AC$307&lt;&gt;"")*ISNUMBER(SEARCH(거래처별!$AC$8:$AC$307,$AB23))),거래처별!$A$8:$A$307),IFERROR(LOOKUP(2,1/((거래처별!$AD$8:$AD$307&lt;&gt;"")*ISNUMBER(SEARCH(거래처별!$AD$8:$AD$307,$AB23))),거래처별!$A$8:$A$307),IFERROR(LOOKUP(2,1/((거래처별!$AE$8:$AE$307&lt;&gt;"")*ISNUMBER(SEARCH(거래처별!$AE$8:$AE$307,$AB23))),거래처별!$A$8:$A$307),0))))</f>
        <v/>
      </c>
      <c r="AD23" s="31">
        <f>IF(AND($Y23&lt;&gt;"",N($Z23)&gt;0,$AC23=0),MAX($AD$7:$AD22)+1,"")</f>
        <v/>
      </c>
      <c r="AE23" s="31">
        <f>IF($Y23="",0,$Y23)</f>
        <v/>
      </c>
    </row>
    <row r="24">
      <c r="W24" s="31">
        <f>IF(OR($B$5="",$C$6="",ROW()&lt;$B$5),"",IF(INDEX($A:$U,ROW(),$C$6)="","",INDEX($A:$U,ROW(),$C$6)))</f>
        <v/>
      </c>
      <c r="X24" s="32">
        <f>IF($W24="","",IF(ISNUMBER($W24),IF($W24&gt;=10000000,IFERROR(DATE(INT($W24/10000),MOD(INT($W24/100),100),MOD($W24,100)),""),INT($W24)),IFERROR(DATE(--LEFT(LEFT(SUBSTITUTE(SUBSTITUTE(SUBSTITUTE(SUBSTITUTE(TRIM($W24),"-",""),".",""),"/","")," ",""),8),4),--MID(LEFT(SUBSTITUTE(SUBSTITUTE(SUBSTITUTE(SUBSTITUTE(TRIM($W24),"-",""),".",""),"/","")," ",""),8),5,2),--MID(LEFT(SUBSTITUTE(SUBSTITUTE(SUBSTITUTE(SUBSTITUTE(TRIM($W24),"-",""),".",""),"/","")," ",""),8),7,2)),"")))</f>
        <v/>
      </c>
      <c r="Y24" s="32">
        <f>IF($X24="","",INT($X24))</f>
        <v/>
      </c>
      <c r="Z24" s="33">
        <f>IF(OR($Y24="",$D$6=""),"",IF(INDEX($A:$U,ROW(),$D$6)="",0,IF(ISNUMBER(INDEX($A:$U,ROW(),$D$6)),INDEX($A:$U,ROW(),$D$6),IFERROR(--SUBSTITUTE(SUBSTITUTE(TRIM(INDEX($A:$U,ROW(),$D$6)),",",""),"원",""),0))))</f>
        <v/>
      </c>
      <c r="AA24" s="31">
        <f>IF($Y24="","",TRIM(INDEX($A:$U,ROW(),$E$6)&amp;IF($F$6="",""," "&amp;INDEX($A:$U,ROW(),$F$6))))</f>
        <v/>
      </c>
      <c r="AB24" s="31">
        <f>IF($AA24="","",SUBSTITUTE(SUBSTITUTE(SUBSTITUTE(SUBSTITUTE(SUBSTITUTE(SUBSTITUTE(SUBSTITUTE(SUBSTITUTE(SUBSTITUTE($AA24," ",""),"　",""),"(주)",""),"（주）",""),"㈜",""),"주식회사",""),"(유)",""),"（유）",""),"유한회사",""))</f>
        <v/>
      </c>
      <c r="AC24" s="31">
        <f>IF(OR($Y24="",N($Z24)&lt;=0,$AB24=""),0,IFERROR(LOOKUP(2,1/((거래처별!$AC$8:$AC$307&lt;&gt;"")*ISNUMBER(SEARCH(거래처별!$AC$8:$AC$307,$AB24))),거래처별!$A$8:$A$307),IFERROR(LOOKUP(2,1/((거래처별!$AD$8:$AD$307&lt;&gt;"")*ISNUMBER(SEARCH(거래처별!$AD$8:$AD$307,$AB24))),거래처별!$A$8:$A$307),IFERROR(LOOKUP(2,1/((거래처별!$AE$8:$AE$307&lt;&gt;"")*ISNUMBER(SEARCH(거래처별!$AE$8:$AE$307,$AB24))),거래처별!$A$8:$A$307),0))))</f>
        <v/>
      </c>
      <c r="AD24" s="31">
        <f>IF(AND($Y24&lt;&gt;"",N($Z24)&gt;0,$AC24=0),MAX($AD$7:$AD23)+1,"")</f>
        <v/>
      </c>
      <c r="AE24" s="31">
        <f>IF($Y24="",0,$Y24)</f>
        <v/>
      </c>
    </row>
    <row r="25">
      <c r="W25" s="31">
        <f>IF(OR($B$5="",$C$6="",ROW()&lt;$B$5),"",IF(INDEX($A:$U,ROW(),$C$6)="","",INDEX($A:$U,ROW(),$C$6)))</f>
        <v/>
      </c>
      <c r="X25" s="32">
        <f>IF($W25="","",IF(ISNUMBER($W25),IF($W25&gt;=10000000,IFERROR(DATE(INT($W25/10000),MOD(INT($W25/100),100),MOD($W25,100)),""),INT($W25)),IFERROR(DATE(--LEFT(LEFT(SUBSTITUTE(SUBSTITUTE(SUBSTITUTE(SUBSTITUTE(TRIM($W25),"-",""),".",""),"/","")," ",""),8),4),--MID(LEFT(SUBSTITUTE(SUBSTITUTE(SUBSTITUTE(SUBSTITUTE(TRIM($W25),"-",""),".",""),"/","")," ",""),8),5,2),--MID(LEFT(SUBSTITUTE(SUBSTITUTE(SUBSTITUTE(SUBSTITUTE(TRIM($W25),"-",""),".",""),"/","")," ",""),8),7,2)),"")))</f>
        <v/>
      </c>
      <c r="Y25" s="32">
        <f>IF($X25="","",INT($X25))</f>
        <v/>
      </c>
      <c r="Z25" s="33">
        <f>IF(OR($Y25="",$D$6=""),"",IF(INDEX($A:$U,ROW(),$D$6)="",0,IF(ISNUMBER(INDEX($A:$U,ROW(),$D$6)),INDEX($A:$U,ROW(),$D$6),IFERROR(--SUBSTITUTE(SUBSTITUTE(TRIM(INDEX($A:$U,ROW(),$D$6)),",",""),"원",""),0))))</f>
        <v/>
      </c>
      <c r="AA25" s="31">
        <f>IF($Y25="","",TRIM(INDEX($A:$U,ROW(),$E$6)&amp;IF($F$6="",""," "&amp;INDEX($A:$U,ROW(),$F$6))))</f>
        <v/>
      </c>
      <c r="AB25" s="31">
        <f>IF($AA25="","",SUBSTITUTE(SUBSTITUTE(SUBSTITUTE(SUBSTITUTE(SUBSTITUTE(SUBSTITUTE(SUBSTITUTE(SUBSTITUTE(SUBSTITUTE($AA25," ",""),"　",""),"(주)",""),"（주）",""),"㈜",""),"주식회사",""),"(유)",""),"（유）",""),"유한회사",""))</f>
        <v/>
      </c>
      <c r="AC25" s="31">
        <f>IF(OR($Y25="",N($Z25)&lt;=0,$AB25=""),0,IFERROR(LOOKUP(2,1/((거래처별!$AC$8:$AC$307&lt;&gt;"")*ISNUMBER(SEARCH(거래처별!$AC$8:$AC$307,$AB25))),거래처별!$A$8:$A$307),IFERROR(LOOKUP(2,1/((거래처별!$AD$8:$AD$307&lt;&gt;"")*ISNUMBER(SEARCH(거래처별!$AD$8:$AD$307,$AB25))),거래처별!$A$8:$A$307),IFERROR(LOOKUP(2,1/((거래처별!$AE$8:$AE$307&lt;&gt;"")*ISNUMBER(SEARCH(거래처별!$AE$8:$AE$307,$AB25))),거래처별!$A$8:$A$307),0))))</f>
        <v/>
      </c>
      <c r="AD25" s="31">
        <f>IF(AND($Y25&lt;&gt;"",N($Z25)&gt;0,$AC25=0),MAX($AD$7:$AD24)+1,"")</f>
        <v/>
      </c>
      <c r="AE25" s="31">
        <f>IF($Y25="",0,$Y25)</f>
        <v/>
      </c>
    </row>
    <row r="26">
      <c r="W26" s="31">
        <f>IF(OR($B$5="",$C$6="",ROW()&lt;$B$5),"",IF(INDEX($A:$U,ROW(),$C$6)="","",INDEX($A:$U,ROW(),$C$6)))</f>
        <v/>
      </c>
      <c r="X26" s="32">
        <f>IF($W26="","",IF(ISNUMBER($W26),IF($W26&gt;=10000000,IFERROR(DATE(INT($W26/10000),MOD(INT($W26/100),100),MOD($W26,100)),""),INT($W26)),IFERROR(DATE(--LEFT(LEFT(SUBSTITUTE(SUBSTITUTE(SUBSTITUTE(SUBSTITUTE(TRIM($W26),"-",""),".",""),"/","")," ",""),8),4),--MID(LEFT(SUBSTITUTE(SUBSTITUTE(SUBSTITUTE(SUBSTITUTE(TRIM($W26),"-",""),".",""),"/","")," ",""),8),5,2),--MID(LEFT(SUBSTITUTE(SUBSTITUTE(SUBSTITUTE(SUBSTITUTE(TRIM($W26),"-",""),".",""),"/","")," ",""),8),7,2)),"")))</f>
        <v/>
      </c>
      <c r="Y26" s="32">
        <f>IF($X26="","",INT($X26))</f>
        <v/>
      </c>
      <c r="Z26" s="33">
        <f>IF(OR($Y26="",$D$6=""),"",IF(INDEX($A:$U,ROW(),$D$6)="",0,IF(ISNUMBER(INDEX($A:$U,ROW(),$D$6)),INDEX($A:$U,ROW(),$D$6),IFERROR(--SUBSTITUTE(SUBSTITUTE(TRIM(INDEX($A:$U,ROW(),$D$6)),",",""),"원",""),0))))</f>
        <v/>
      </c>
      <c r="AA26" s="31">
        <f>IF($Y26="","",TRIM(INDEX($A:$U,ROW(),$E$6)&amp;IF($F$6="",""," "&amp;INDEX($A:$U,ROW(),$F$6))))</f>
        <v/>
      </c>
      <c r="AB26" s="31">
        <f>IF($AA26="","",SUBSTITUTE(SUBSTITUTE(SUBSTITUTE(SUBSTITUTE(SUBSTITUTE(SUBSTITUTE(SUBSTITUTE(SUBSTITUTE(SUBSTITUTE($AA26," ",""),"　",""),"(주)",""),"（주）",""),"㈜",""),"주식회사",""),"(유)",""),"（유）",""),"유한회사",""))</f>
        <v/>
      </c>
      <c r="AC26" s="31">
        <f>IF(OR($Y26="",N($Z26)&lt;=0,$AB26=""),0,IFERROR(LOOKUP(2,1/((거래처별!$AC$8:$AC$307&lt;&gt;"")*ISNUMBER(SEARCH(거래처별!$AC$8:$AC$307,$AB26))),거래처별!$A$8:$A$307),IFERROR(LOOKUP(2,1/((거래처별!$AD$8:$AD$307&lt;&gt;"")*ISNUMBER(SEARCH(거래처별!$AD$8:$AD$307,$AB26))),거래처별!$A$8:$A$307),IFERROR(LOOKUP(2,1/((거래처별!$AE$8:$AE$307&lt;&gt;"")*ISNUMBER(SEARCH(거래처별!$AE$8:$AE$307,$AB26))),거래처별!$A$8:$A$307),0))))</f>
        <v/>
      </c>
      <c r="AD26" s="31">
        <f>IF(AND($Y26&lt;&gt;"",N($Z26)&gt;0,$AC26=0),MAX($AD$7:$AD25)+1,"")</f>
        <v/>
      </c>
      <c r="AE26" s="31">
        <f>IF($Y26="",0,$Y26)</f>
        <v/>
      </c>
    </row>
    <row r="27">
      <c r="W27" s="31">
        <f>IF(OR($B$5="",$C$6="",ROW()&lt;$B$5),"",IF(INDEX($A:$U,ROW(),$C$6)="","",INDEX($A:$U,ROW(),$C$6)))</f>
        <v/>
      </c>
      <c r="X27" s="32">
        <f>IF($W27="","",IF(ISNUMBER($W27),IF($W27&gt;=10000000,IFERROR(DATE(INT($W27/10000),MOD(INT($W27/100),100),MOD($W27,100)),""),INT($W27)),IFERROR(DATE(--LEFT(LEFT(SUBSTITUTE(SUBSTITUTE(SUBSTITUTE(SUBSTITUTE(TRIM($W27),"-",""),".",""),"/","")," ",""),8),4),--MID(LEFT(SUBSTITUTE(SUBSTITUTE(SUBSTITUTE(SUBSTITUTE(TRIM($W27),"-",""),".",""),"/","")," ",""),8),5,2),--MID(LEFT(SUBSTITUTE(SUBSTITUTE(SUBSTITUTE(SUBSTITUTE(TRIM($W27),"-",""),".",""),"/","")," ",""),8),7,2)),"")))</f>
        <v/>
      </c>
      <c r="Y27" s="32">
        <f>IF($X27="","",INT($X27))</f>
        <v/>
      </c>
      <c r="Z27" s="33">
        <f>IF(OR($Y27="",$D$6=""),"",IF(INDEX($A:$U,ROW(),$D$6)="",0,IF(ISNUMBER(INDEX($A:$U,ROW(),$D$6)),INDEX($A:$U,ROW(),$D$6),IFERROR(--SUBSTITUTE(SUBSTITUTE(TRIM(INDEX($A:$U,ROW(),$D$6)),",",""),"원",""),0))))</f>
        <v/>
      </c>
      <c r="AA27" s="31">
        <f>IF($Y27="","",TRIM(INDEX($A:$U,ROW(),$E$6)&amp;IF($F$6="",""," "&amp;INDEX($A:$U,ROW(),$F$6))))</f>
        <v/>
      </c>
      <c r="AB27" s="31">
        <f>IF($AA27="","",SUBSTITUTE(SUBSTITUTE(SUBSTITUTE(SUBSTITUTE(SUBSTITUTE(SUBSTITUTE(SUBSTITUTE(SUBSTITUTE(SUBSTITUTE($AA27," ",""),"　",""),"(주)",""),"（주）",""),"㈜",""),"주식회사",""),"(유)",""),"（유）",""),"유한회사",""))</f>
        <v/>
      </c>
      <c r="AC27" s="31">
        <f>IF(OR($Y27="",N($Z27)&lt;=0,$AB27=""),0,IFERROR(LOOKUP(2,1/((거래처별!$AC$8:$AC$307&lt;&gt;"")*ISNUMBER(SEARCH(거래처별!$AC$8:$AC$307,$AB27))),거래처별!$A$8:$A$307),IFERROR(LOOKUP(2,1/((거래처별!$AD$8:$AD$307&lt;&gt;"")*ISNUMBER(SEARCH(거래처별!$AD$8:$AD$307,$AB27))),거래처별!$A$8:$A$307),IFERROR(LOOKUP(2,1/((거래처별!$AE$8:$AE$307&lt;&gt;"")*ISNUMBER(SEARCH(거래처별!$AE$8:$AE$307,$AB27))),거래처별!$A$8:$A$307),0))))</f>
        <v/>
      </c>
      <c r="AD27" s="31">
        <f>IF(AND($Y27&lt;&gt;"",N($Z27)&gt;0,$AC27=0),MAX($AD$7:$AD26)+1,"")</f>
        <v/>
      </c>
      <c r="AE27" s="31">
        <f>IF($Y27="",0,$Y27)</f>
        <v/>
      </c>
    </row>
    <row r="28">
      <c r="W28" s="31">
        <f>IF(OR($B$5="",$C$6="",ROW()&lt;$B$5),"",IF(INDEX($A:$U,ROW(),$C$6)="","",INDEX($A:$U,ROW(),$C$6)))</f>
        <v/>
      </c>
      <c r="X28" s="32">
        <f>IF($W28="","",IF(ISNUMBER($W28),IF($W28&gt;=10000000,IFERROR(DATE(INT($W28/10000),MOD(INT($W28/100),100),MOD($W28,100)),""),INT($W28)),IFERROR(DATE(--LEFT(LEFT(SUBSTITUTE(SUBSTITUTE(SUBSTITUTE(SUBSTITUTE(TRIM($W28),"-",""),".",""),"/","")," ",""),8),4),--MID(LEFT(SUBSTITUTE(SUBSTITUTE(SUBSTITUTE(SUBSTITUTE(TRIM($W28),"-",""),".",""),"/","")," ",""),8),5,2),--MID(LEFT(SUBSTITUTE(SUBSTITUTE(SUBSTITUTE(SUBSTITUTE(TRIM($W28),"-",""),".",""),"/","")," ",""),8),7,2)),"")))</f>
        <v/>
      </c>
      <c r="Y28" s="32">
        <f>IF($X28="","",INT($X28))</f>
        <v/>
      </c>
      <c r="Z28" s="33">
        <f>IF(OR($Y28="",$D$6=""),"",IF(INDEX($A:$U,ROW(),$D$6)="",0,IF(ISNUMBER(INDEX($A:$U,ROW(),$D$6)),INDEX($A:$U,ROW(),$D$6),IFERROR(--SUBSTITUTE(SUBSTITUTE(TRIM(INDEX($A:$U,ROW(),$D$6)),",",""),"원",""),0))))</f>
        <v/>
      </c>
      <c r="AA28" s="31">
        <f>IF($Y28="","",TRIM(INDEX($A:$U,ROW(),$E$6)&amp;IF($F$6="",""," "&amp;INDEX($A:$U,ROW(),$F$6))))</f>
        <v/>
      </c>
      <c r="AB28" s="31">
        <f>IF($AA28="","",SUBSTITUTE(SUBSTITUTE(SUBSTITUTE(SUBSTITUTE(SUBSTITUTE(SUBSTITUTE(SUBSTITUTE(SUBSTITUTE(SUBSTITUTE($AA28," ",""),"　",""),"(주)",""),"（주）",""),"㈜",""),"주식회사",""),"(유)",""),"（유）",""),"유한회사",""))</f>
        <v/>
      </c>
      <c r="AC28" s="31">
        <f>IF(OR($Y28="",N($Z28)&lt;=0,$AB28=""),0,IFERROR(LOOKUP(2,1/((거래처별!$AC$8:$AC$307&lt;&gt;"")*ISNUMBER(SEARCH(거래처별!$AC$8:$AC$307,$AB28))),거래처별!$A$8:$A$307),IFERROR(LOOKUP(2,1/((거래처별!$AD$8:$AD$307&lt;&gt;"")*ISNUMBER(SEARCH(거래처별!$AD$8:$AD$307,$AB28))),거래처별!$A$8:$A$307),IFERROR(LOOKUP(2,1/((거래처별!$AE$8:$AE$307&lt;&gt;"")*ISNUMBER(SEARCH(거래처별!$AE$8:$AE$307,$AB28))),거래처별!$A$8:$A$307),0))))</f>
        <v/>
      </c>
      <c r="AD28" s="31">
        <f>IF(AND($Y28&lt;&gt;"",N($Z28)&gt;0,$AC28=0),MAX($AD$7:$AD27)+1,"")</f>
        <v/>
      </c>
      <c r="AE28" s="31">
        <f>IF($Y28="",0,$Y28)</f>
        <v/>
      </c>
    </row>
    <row r="29">
      <c r="W29" s="31">
        <f>IF(OR($B$5="",$C$6="",ROW()&lt;$B$5),"",IF(INDEX($A:$U,ROW(),$C$6)="","",INDEX($A:$U,ROW(),$C$6)))</f>
        <v/>
      </c>
      <c r="X29" s="32">
        <f>IF($W29="","",IF(ISNUMBER($W29),IF($W29&gt;=10000000,IFERROR(DATE(INT($W29/10000),MOD(INT($W29/100),100),MOD($W29,100)),""),INT($W29)),IFERROR(DATE(--LEFT(LEFT(SUBSTITUTE(SUBSTITUTE(SUBSTITUTE(SUBSTITUTE(TRIM($W29),"-",""),".",""),"/","")," ",""),8),4),--MID(LEFT(SUBSTITUTE(SUBSTITUTE(SUBSTITUTE(SUBSTITUTE(TRIM($W29),"-",""),".",""),"/","")," ",""),8),5,2),--MID(LEFT(SUBSTITUTE(SUBSTITUTE(SUBSTITUTE(SUBSTITUTE(TRIM($W29),"-",""),".",""),"/","")," ",""),8),7,2)),"")))</f>
        <v/>
      </c>
      <c r="Y29" s="32">
        <f>IF($X29="","",INT($X29))</f>
        <v/>
      </c>
      <c r="Z29" s="33">
        <f>IF(OR($Y29="",$D$6=""),"",IF(INDEX($A:$U,ROW(),$D$6)="",0,IF(ISNUMBER(INDEX($A:$U,ROW(),$D$6)),INDEX($A:$U,ROW(),$D$6),IFERROR(--SUBSTITUTE(SUBSTITUTE(TRIM(INDEX($A:$U,ROW(),$D$6)),",",""),"원",""),0))))</f>
        <v/>
      </c>
      <c r="AA29" s="31">
        <f>IF($Y29="","",TRIM(INDEX($A:$U,ROW(),$E$6)&amp;IF($F$6="",""," "&amp;INDEX($A:$U,ROW(),$F$6))))</f>
        <v/>
      </c>
      <c r="AB29" s="31">
        <f>IF($AA29="","",SUBSTITUTE(SUBSTITUTE(SUBSTITUTE(SUBSTITUTE(SUBSTITUTE(SUBSTITUTE(SUBSTITUTE(SUBSTITUTE(SUBSTITUTE($AA29," ",""),"　",""),"(주)",""),"（주）",""),"㈜",""),"주식회사",""),"(유)",""),"（유）",""),"유한회사",""))</f>
        <v/>
      </c>
      <c r="AC29" s="31">
        <f>IF(OR($Y29="",N($Z29)&lt;=0,$AB29=""),0,IFERROR(LOOKUP(2,1/((거래처별!$AC$8:$AC$307&lt;&gt;"")*ISNUMBER(SEARCH(거래처별!$AC$8:$AC$307,$AB29))),거래처별!$A$8:$A$307),IFERROR(LOOKUP(2,1/((거래처별!$AD$8:$AD$307&lt;&gt;"")*ISNUMBER(SEARCH(거래처별!$AD$8:$AD$307,$AB29))),거래처별!$A$8:$A$307),IFERROR(LOOKUP(2,1/((거래처별!$AE$8:$AE$307&lt;&gt;"")*ISNUMBER(SEARCH(거래처별!$AE$8:$AE$307,$AB29))),거래처별!$A$8:$A$307),0))))</f>
        <v/>
      </c>
      <c r="AD29" s="31">
        <f>IF(AND($Y29&lt;&gt;"",N($Z29)&gt;0,$AC29=0),MAX($AD$7:$AD28)+1,"")</f>
        <v/>
      </c>
      <c r="AE29" s="31">
        <f>IF($Y29="",0,$Y29)</f>
        <v/>
      </c>
    </row>
    <row r="30">
      <c r="W30" s="31">
        <f>IF(OR($B$5="",$C$6="",ROW()&lt;$B$5),"",IF(INDEX($A:$U,ROW(),$C$6)="","",INDEX($A:$U,ROW(),$C$6)))</f>
        <v/>
      </c>
      <c r="X30" s="32">
        <f>IF($W30="","",IF(ISNUMBER($W30),IF($W30&gt;=10000000,IFERROR(DATE(INT($W30/10000),MOD(INT($W30/100),100),MOD($W30,100)),""),INT($W30)),IFERROR(DATE(--LEFT(LEFT(SUBSTITUTE(SUBSTITUTE(SUBSTITUTE(SUBSTITUTE(TRIM($W30),"-",""),".",""),"/","")," ",""),8),4),--MID(LEFT(SUBSTITUTE(SUBSTITUTE(SUBSTITUTE(SUBSTITUTE(TRIM($W30),"-",""),".",""),"/","")," ",""),8),5,2),--MID(LEFT(SUBSTITUTE(SUBSTITUTE(SUBSTITUTE(SUBSTITUTE(TRIM($W30),"-",""),".",""),"/","")," ",""),8),7,2)),"")))</f>
        <v/>
      </c>
      <c r="Y30" s="32">
        <f>IF($X30="","",INT($X30))</f>
        <v/>
      </c>
      <c r="Z30" s="33">
        <f>IF(OR($Y30="",$D$6=""),"",IF(INDEX($A:$U,ROW(),$D$6)="",0,IF(ISNUMBER(INDEX($A:$U,ROW(),$D$6)),INDEX($A:$U,ROW(),$D$6),IFERROR(--SUBSTITUTE(SUBSTITUTE(TRIM(INDEX($A:$U,ROW(),$D$6)),",",""),"원",""),0))))</f>
        <v/>
      </c>
      <c r="AA30" s="31">
        <f>IF($Y30="","",TRIM(INDEX($A:$U,ROW(),$E$6)&amp;IF($F$6="",""," "&amp;INDEX($A:$U,ROW(),$F$6))))</f>
        <v/>
      </c>
      <c r="AB30" s="31">
        <f>IF($AA30="","",SUBSTITUTE(SUBSTITUTE(SUBSTITUTE(SUBSTITUTE(SUBSTITUTE(SUBSTITUTE(SUBSTITUTE(SUBSTITUTE(SUBSTITUTE($AA30," ",""),"　",""),"(주)",""),"（주）",""),"㈜",""),"주식회사",""),"(유)",""),"（유）",""),"유한회사",""))</f>
        <v/>
      </c>
      <c r="AC30" s="31">
        <f>IF(OR($Y30="",N($Z30)&lt;=0,$AB30=""),0,IFERROR(LOOKUP(2,1/((거래처별!$AC$8:$AC$307&lt;&gt;"")*ISNUMBER(SEARCH(거래처별!$AC$8:$AC$307,$AB30))),거래처별!$A$8:$A$307),IFERROR(LOOKUP(2,1/((거래처별!$AD$8:$AD$307&lt;&gt;"")*ISNUMBER(SEARCH(거래처별!$AD$8:$AD$307,$AB30))),거래처별!$A$8:$A$307),IFERROR(LOOKUP(2,1/((거래처별!$AE$8:$AE$307&lt;&gt;"")*ISNUMBER(SEARCH(거래처별!$AE$8:$AE$307,$AB30))),거래처별!$A$8:$A$307),0))))</f>
        <v/>
      </c>
      <c r="AD30" s="31">
        <f>IF(AND($Y30&lt;&gt;"",N($Z30)&gt;0,$AC30=0),MAX($AD$7:$AD29)+1,"")</f>
        <v/>
      </c>
      <c r="AE30" s="31">
        <f>IF($Y30="",0,$Y30)</f>
        <v/>
      </c>
    </row>
    <row r="31">
      <c r="W31" s="31">
        <f>IF(OR($B$5="",$C$6="",ROW()&lt;$B$5),"",IF(INDEX($A:$U,ROW(),$C$6)="","",INDEX($A:$U,ROW(),$C$6)))</f>
        <v/>
      </c>
      <c r="X31" s="32">
        <f>IF($W31="","",IF(ISNUMBER($W31),IF($W31&gt;=10000000,IFERROR(DATE(INT($W31/10000),MOD(INT($W31/100),100),MOD($W31,100)),""),INT($W31)),IFERROR(DATE(--LEFT(LEFT(SUBSTITUTE(SUBSTITUTE(SUBSTITUTE(SUBSTITUTE(TRIM($W31),"-",""),".",""),"/","")," ",""),8),4),--MID(LEFT(SUBSTITUTE(SUBSTITUTE(SUBSTITUTE(SUBSTITUTE(TRIM($W31),"-",""),".",""),"/","")," ",""),8),5,2),--MID(LEFT(SUBSTITUTE(SUBSTITUTE(SUBSTITUTE(SUBSTITUTE(TRIM($W31),"-",""),".",""),"/","")," ",""),8),7,2)),"")))</f>
        <v/>
      </c>
      <c r="Y31" s="32">
        <f>IF($X31="","",INT($X31))</f>
        <v/>
      </c>
      <c r="Z31" s="33">
        <f>IF(OR($Y31="",$D$6=""),"",IF(INDEX($A:$U,ROW(),$D$6)="",0,IF(ISNUMBER(INDEX($A:$U,ROW(),$D$6)),INDEX($A:$U,ROW(),$D$6),IFERROR(--SUBSTITUTE(SUBSTITUTE(TRIM(INDEX($A:$U,ROW(),$D$6)),",",""),"원",""),0))))</f>
        <v/>
      </c>
      <c r="AA31" s="31">
        <f>IF($Y31="","",TRIM(INDEX($A:$U,ROW(),$E$6)&amp;IF($F$6="",""," "&amp;INDEX($A:$U,ROW(),$F$6))))</f>
        <v/>
      </c>
      <c r="AB31" s="31">
        <f>IF($AA31="","",SUBSTITUTE(SUBSTITUTE(SUBSTITUTE(SUBSTITUTE(SUBSTITUTE(SUBSTITUTE(SUBSTITUTE(SUBSTITUTE(SUBSTITUTE($AA31," ",""),"　",""),"(주)",""),"（주）",""),"㈜",""),"주식회사",""),"(유)",""),"（유）",""),"유한회사",""))</f>
        <v/>
      </c>
      <c r="AC31" s="31">
        <f>IF(OR($Y31="",N($Z31)&lt;=0,$AB31=""),0,IFERROR(LOOKUP(2,1/((거래처별!$AC$8:$AC$307&lt;&gt;"")*ISNUMBER(SEARCH(거래처별!$AC$8:$AC$307,$AB31))),거래처별!$A$8:$A$307),IFERROR(LOOKUP(2,1/((거래처별!$AD$8:$AD$307&lt;&gt;"")*ISNUMBER(SEARCH(거래처별!$AD$8:$AD$307,$AB31))),거래처별!$A$8:$A$307),IFERROR(LOOKUP(2,1/((거래처별!$AE$8:$AE$307&lt;&gt;"")*ISNUMBER(SEARCH(거래처별!$AE$8:$AE$307,$AB31))),거래처별!$A$8:$A$307),0))))</f>
        <v/>
      </c>
      <c r="AD31" s="31">
        <f>IF(AND($Y31&lt;&gt;"",N($Z31)&gt;0,$AC31=0),MAX($AD$7:$AD30)+1,"")</f>
        <v/>
      </c>
      <c r="AE31" s="31">
        <f>IF($Y31="",0,$Y31)</f>
        <v/>
      </c>
    </row>
    <row r="32">
      <c r="W32" s="31">
        <f>IF(OR($B$5="",$C$6="",ROW()&lt;$B$5),"",IF(INDEX($A:$U,ROW(),$C$6)="","",INDEX($A:$U,ROW(),$C$6)))</f>
        <v/>
      </c>
      <c r="X32" s="32">
        <f>IF($W32="","",IF(ISNUMBER($W32),IF($W32&gt;=10000000,IFERROR(DATE(INT($W32/10000),MOD(INT($W32/100),100),MOD($W32,100)),""),INT($W32)),IFERROR(DATE(--LEFT(LEFT(SUBSTITUTE(SUBSTITUTE(SUBSTITUTE(SUBSTITUTE(TRIM($W32),"-",""),".",""),"/","")," ",""),8),4),--MID(LEFT(SUBSTITUTE(SUBSTITUTE(SUBSTITUTE(SUBSTITUTE(TRIM($W32),"-",""),".",""),"/","")," ",""),8),5,2),--MID(LEFT(SUBSTITUTE(SUBSTITUTE(SUBSTITUTE(SUBSTITUTE(TRIM($W32),"-",""),".",""),"/","")," ",""),8),7,2)),"")))</f>
        <v/>
      </c>
      <c r="Y32" s="32">
        <f>IF($X32="","",INT($X32))</f>
        <v/>
      </c>
      <c r="Z32" s="33">
        <f>IF(OR($Y32="",$D$6=""),"",IF(INDEX($A:$U,ROW(),$D$6)="",0,IF(ISNUMBER(INDEX($A:$U,ROW(),$D$6)),INDEX($A:$U,ROW(),$D$6),IFERROR(--SUBSTITUTE(SUBSTITUTE(TRIM(INDEX($A:$U,ROW(),$D$6)),",",""),"원",""),0))))</f>
        <v/>
      </c>
      <c r="AA32" s="31">
        <f>IF($Y32="","",TRIM(INDEX($A:$U,ROW(),$E$6)&amp;IF($F$6="",""," "&amp;INDEX($A:$U,ROW(),$F$6))))</f>
        <v/>
      </c>
      <c r="AB32" s="31">
        <f>IF($AA32="","",SUBSTITUTE(SUBSTITUTE(SUBSTITUTE(SUBSTITUTE(SUBSTITUTE(SUBSTITUTE(SUBSTITUTE(SUBSTITUTE(SUBSTITUTE($AA32," ",""),"　",""),"(주)",""),"（주）",""),"㈜",""),"주식회사",""),"(유)",""),"（유）",""),"유한회사",""))</f>
        <v/>
      </c>
      <c r="AC32" s="31">
        <f>IF(OR($Y32="",N($Z32)&lt;=0,$AB32=""),0,IFERROR(LOOKUP(2,1/((거래처별!$AC$8:$AC$307&lt;&gt;"")*ISNUMBER(SEARCH(거래처별!$AC$8:$AC$307,$AB32))),거래처별!$A$8:$A$307),IFERROR(LOOKUP(2,1/((거래처별!$AD$8:$AD$307&lt;&gt;"")*ISNUMBER(SEARCH(거래처별!$AD$8:$AD$307,$AB32))),거래처별!$A$8:$A$307),IFERROR(LOOKUP(2,1/((거래처별!$AE$8:$AE$307&lt;&gt;"")*ISNUMBER(SEARCH(거래처별!$AE$8:$AE$307,$AB32))),거래처별!$A$8:$A$307),0))))</f>
        <v/>
      </c>
      <c r="AD32" s="31">
        <f>IF(AND($Y32&lt;&gt;"",N($Z32)&gt;0,$AC32=0),MAX($AD$7:$AD31)+1,"")</f>
        <v/>
      </c>
      <c r="AE32" s="31">
        <f>IF($Y32="",0,$Y32)</f>
        <v/>
      </c>
    </row>
    <row r="33">
      <c r="W33" s="31">
        <f>IF(OR($B$5="",$C$6="",ROW()&lt;$B$5),"",IF(INDEX($A:$U,ROW(),$C$6)="","",INDEX($A:$U,ROW(),$C$6)))</f>
        <v/>
      </c>
      <c r="X33" s="32">
        <f>IF($W33="","",IF(ISNUMBER($W33),IF($W33&gt;=10000000,IFERROR(DATE(INT($W33/10000),MOD(INT($W33/100),100),MOD($W33,100)),""),INT($W33)),IFERROR(DATE(--LEFT(LEFT(SUBSTITUTE(SUBSTITUTE(SUBSTITUTE(SUBSTITUTE(TRIM($W33),"-",""),".",""),"/","")," ",""),8),4),--MID(LEFT(SUBSTITUTE(SUBSTITUTE(SUBSTITUTE(SUBSTITUTE(TRIM($W33),"-",""),".",""),"/","")," ",""),8),5,2),--MID(LEFT(SUBSTITUTE(SUBSTITUTE(SUBSTITUTE(SUBSTITUTE(TRIM($W33),"-",""),".",""),"/","")," ",""),8),7,2)),"")))</f>
        <v/>
      </c>
      <c r="Y33" s="32">
        <f>IF($X33="","",INT($X33))</f>
        <v/>
      </c>
      <c r="Z33" s="33">
        <f>IF(OR($Y33="",$D$6=""),"",IF(INDEX($A:$U,ROW(),$D$6)="",0,IF(ISNUMBER(INDEX($A:$U,ROW(),$D$6)),INDEX($A:$U,ROW(),$D$6),IFERROR(--SUBSTITUTE(SUBSTITUTE(TRIM(INDEX($A:$U,ROW(),$D$6)),",",""),"원",""),0))))</f>
        <v/>
      </c>
      <c r="AA33" s="31">
        <f>IF($Y33="","",TRIM(INDEX($A:$U,ROW(),$E$6)&amp;IF($F$6="",""," "&amp;INDEX($A:$U,ROW(),$F$6))))</f>
        <v/>
      </c>
      <c r="AB33" s="31">
        <f>IF($AA33="","",SUBSTITUTE(SUBSTITUTE(SUBSTITUTE(SUBSTITUTE(SUBSTITUTE(SUBSTITUTE(SUBSTITUTE(SUBSTITUTE(SUBSTITUTE($AA33," ",""),"　",""),"(주)",""),"（주）",""),"㈜",""),"주식회사",""),"(유)",""),"（유）",""),"유한회사",""))</f>
        <v/>
      </c>
      <c r="AC33" s="31">
        <f>IF(OR($Y33="",N($Z33)&lt;=0,$AB33=""),0,IFERROR(LOOKUP(2,1/((거래처별!$AC$8:$AC$307&lt;&gt;"")*ISNUMBER(SEARCH(거래처별!$AC$8:$AC$307,$AB33))),거래처별!$A$8:$A$307),IFERROR(LOOKUP(2,1/((거래처별!$AD$8:$AD$307&lt;&gt;"")*ISNUMBER(SEARCH(거래처별!$AD$8:$AD$307,$AB33))),거래처별!$A$8:$A$307),IFERROR(LOOKUP(2,1/((거래처별!$AE$8:$AE$307&lt;&gt;"")*ISNUMBER(SEARCH(거래처별!$AE$8:$AE$307,$AB33))),거래처별!$A$8:$A$307),0))))</f>
        <v/>
      </c>
      <c r="AD33" s="31">
        <f>IF(AND($Y33&lt;&gt;"",N($Z33)&gt;0,$AC33=0),MAX($AD$7:$AD32)+1,"")</f>
        <v/>
      </c>
      <c r="AE33" s="31">
        <f>IF($Y33="",0,$Y33)</f>
        <v/>
      </c>
    </row>
    <row r="34">
      <c r="W34" s="31">
        <f>IF(OR($B$5="",$C$6="",ROW()&lt;$B$5),"",IF(INDEX($A:$U,ROW(),$C$6)="","",INDEX($A:$U,ROW(),$C$6)))</f>
        <v/>
      </c>
      <c r="X34" s="32">
        <f>IF($W34="","",IF(ISNUMBER($W34),IF($W34&gt;=10000000,IFERROR(DATE(INT($W34/10000),MOD(INT($W34/100),100),MOD($W34,100)),""),INT($W34)),IFERROR(DATE(--LEFT(LEFT(SUBSTITUTE(SUBSTITUTE(SUBSTITUTE(SUBSTITUTE(TRIM($W34),"-",""),".",""),"/","")," ",""),8),4),--MID(LEFT(SUBSTITUTE(SUBSTITUTE(SUBSTITUTE(SUBSTITUTE(TRIM($W34),"-",""),".",""),"/","")," ",""),8),5,2),--MID(LEFT(SUBSTITUTE(SUBSTITUTE(SUBSTITUTE(SUBSTITUTE(TRIM($W34),"-",""),".",""),"/","")," ",""),8),7,2)),"")))</f>
        <v/>
      </c>
      <c r="Y34" s="32">
        <f>IF($X34="","",INT($X34))</f>
        <v/>
      </c>
      <c r="Z34" s="33">
        <f>IF(OR($Y34="",$D$6=""),"",IF(INDEX($A:$U,ROW(),$D$6)="",0,IF(ISNUMBER(INDEX($A:$U,ROW(),$D$6)),INDEX($A:$U,ROW(),$D$6),IFERROR(--SUBSTITUTE(SUBSTITUTE(TRIM(INDEX($A:$U,ROW(),$D$6)),",",""),"원",""),0))))</f>
        <v/>
      </c>
      <c r="AA34" s="31">
        <f>IF($Y34="","",TRIM(INDEX($A:$U,ROW(),$E$6)&amp;IF($F$6="",""," "&amp;INDEX($A:$U,ROW(),$F$6))))</f>
        <v/>
      </c>
      <c r="AB34" s="31">
        <f>IF($AA34="","",SUBSTITUTE(SUBSTITUTE(SUBSTITUTE(SUBSTITUTE(SUBSTITUTE(SUBSTITUTE(SUBSTITUTE(SUBSTITUTE(SUBSTITUTE($AA34," ",""),"　",""),"(주)",""),"（주）",""),"㈜",""),"주식회사",""),"(유)",""),"（유）",""),"유한회사",""))</f>
        <v/>
      </c>
      <c r="AC34" s="31">
        <f>IF(OR($Y34="",N($Z34)&lt;=0,$AB34=""),0,IFERROR(LOOKUP(2,1/((거래처별!$AC$8:$AC$307&lt;&gt;"")*ISNUMBER(SEARCH(거래처별!$AC$8:$AC$307,$AB34))),거래처별!$A$8:$A$307),IFERROR(LOOKUP(2,1/((거래처별!$AD$8:$AD$307&lt;&gt;"")*ISNUMBER(SEARCH(거래처별!$AD$8:$AD$307,$AB34))),거래처별!$A$8:$A$307),IFERROR(LOOKUP(2,1/((거래처별!$AE$8:$AE$307&lt;&gt;"")*ISNUMBER(SEARCH(거래처별!$AE$8:$AE$307,$AB34))),거래처별!$A$8:$A$307),0))))</f>
        <v/>
      </c>
      <c r="AD34" s="31">
        <f>IF(AND($Y34&lt;&gt;"",N($Z34)&gt;0,$AC34=0),MAX($AD$7:$AD33)+1,"")</f>
        <v/>
      </c>
      <c r="AE34" s="31">
        <f>IF($Y34="",0,$Y34)</f>
        <v/>
      </c>
    </row>
    <row r="35">
      <c r="W35" s="31">
        <f>IF(OR($B$5="",$C$6="",ROW()&lt;$B$5),"",IF(INDEX($A:$U,ROW(),$C$6)="","",INDEX($A:$U,ROW(),$C$6)))</f>
        <v/>
      </c>
      <c r="X35" s="32">
        <f>IF($W35="","",IF(ISNUMBER($W35),IF($W35&gt;=10000000,IFERROR(DATE(INT($W35/10000),MOD(INT($W35/100),100),MOD($W35,100)),""),INT($W35)),IFERROR(DATE(--LEFT(LEFT(SUBSTITUTE(SUBSTITUTE(SUBSTITUTE(SUBSTITUTE(TRIM($W35),"-",""),".",""),"/","")," ",""),8),4),--MID(LEFT(SUBSTITUTE(SUBSTITUTE(SUBSTITUTE(SUBSTITUTE(TRIM($W35),"-",""),".",""),"/","")," ",""),8),5,2),--MID(LEFT(SUBSTITUTE(SUBSTITUTE(SUBSTITUTE(SUBSTITUTE(TRIM($W35),"-",""),".",""),"/","")," ",""),8),7,2)),"")))</f>
        <v/>
      </c>
      <c r="Y35" s="32">
        <f>IF($X35="","",INT($X35))</f>
        <v/>
      </c>
      <c r="Z35" s="33">
        <f>IF(OR($Y35="",$D$6=""),"",IF(INDEX($A:$U,ROW(),$D$6)="",0,IF(ISNUMBER(INDEX($A:$U,ROW(),$D$6)),INDEX($A:$U,ROW(),$D$6),IFERROR(--SUBSTITUTE(SUBSTITUTE(TRIM(INDEX($A:$U,ROW(),$D$6)),",",""),"원",""),0))))</f>
        <v/>
      </c>
      <c r="AA35" s="31">
        <f>IF($Y35="","",TRIM(INDEX($A:$U,ROW(),$E$6)&amp;IF($F$6="",""," "&amp;INDEX($A:$U,ROW(),$F$6))))</f>
        <v/>
      </c>
      <c r="AB35" s="31">
        <f>IF($AA35="","",SUBSTITUTE(SUBSTITUTE(SUBSTITUTE(SUBSTITUTE(SUBSTITUTE(SUBSTITUTE(SUBSTITUTE(SUBSTITUTE(SUBSTITUTE($AA35," ",""),"　",""),"(주)",""),"（주）",""),"㈜",""),"주식회사",""),"(유)",""),"（유）",""),"유한회사",""))</f>
        <v/>
      </c>
      <c r="AC35" s="31">
        <f>IF(OR($Y35="",N($Z35)&lt;=0,$AB35=""),0,IFERROR(LOOKUP(2,1/((거래처별!$AC$8:$AC$307&lt;&gt;"")*ISNUMBER(SEARCH(거래처별!$AC$8:$AC$307,$AB35))),거래처별!$A$8:$A$307),IFERROR(LOOKUP(2,1/((거래처별!$AD$8:$AD$307&lt;&gt;"")*ISNUMBER(SEARCH(거래처별!$AD$8:$AD$307,$AB35))),거래처별!$A$8:$A$307),IFERROR(LOOKUP(2,1/((거래처별!$AE$8:$AE$307&lt;&gt;"")*ISNUMBER(SEARCH(거래처별!$AE$8:$AE$307,$AB35))),거래처별!$A$8:$A$307),0))))</f>
        <v/>
      </c>
      <c r="AD35" s="31">
        <f>IF(AND($Y35&lt;&gt;"",N($Z35)&gt;0,$AC35=0),MAX($AD$7:$AD34)+1,"")</f>
        <v/>
      </c>
      <c r="AE35" s="31">
        <f>IF($Y35="",0,$Y35)</f>
        <v/>
      </c>
    </row>
    <row r="36">
      <c r="W36" s="31">
        <f>IF(OR($B$5="",$C$6="",ROW()&lt;$B$5),"",IF(INDEX($A:$U,ROW(),$C$6)="","",INDEX($A:$U,ROW(),$C$6)))</f>
        <v/>
      </c>
      <c r="X36" s="32">
        <f>IF($W36="","",IF(ISNUMBER($W36),IF($W36&gt;=10000000,IFERROR(DATE(INT($W36/10000),MOD(INT($W36/100),100),MOD($W36,100)),""),INT($W36)),IFERROR(DATE(--LEFT(LEFT(SUBSTITUTE(SUBSTITUTE(SUBSTITUTE(SUBSTITUTE(TRIM($W36),"-",""),".",""),"/","")," ",""),8),4),--MID(LEFT(SUBSTITUTE(SUBSTITUTE(SUBSTITUTE(SUBSTITUTE(TRIM($W36),"-",""),".",""),"/","")," ",""),8),5,2),--MID(LEFT(SUBSTITUTE(SUBSTITUTE(SUBSTITUTE(SUBSTITUTE(TRIM($W36),"-",""),".",""),"/","")," ",""),8),7,2)),"")))</f>
        <v/>
      </c>
      <c r="Y36" s="32">
        <f>IF($X36="","",INT($X36))</f>
        <v/>
      </c>
      <c r="Z36" s="33">
        <f>IF(OR($Y36="",$D$6=""),"",IF(INDEX($A:$U,ROW(),$D$6)="",0,IF(ISNUMBER(INDEX($A:$U,ROW(),$D$6)),INDEX($A:$U,ROW(),$D$6),IFERROR(--SUBSTITUTE(SUBSTITUTE(TRIM(INDEX($A:$U,ROW(),$D$6)),",",""),"원",""),0))))</f>
        <v/>
      </c>
      <c r="AA36" s="31">
        <f>IF($Y36="","",TRIM(INDEX($A:$U,ROW(),$E$6)&amp;IF($F$6="",""," "&amp;INDEX($A:$U,ROW(),$F$6))))</f>
        <v/>
      </c>
      <c r="AB36" s="31">
        <f>IF($AA36="","",SUBSTITUTE(SUBSTITUTE(SUBSTITUTE(SUBSTITUTE(SUBSTITUTE(SUBSTITUTE(SUBSTITUTE(SUBSTITUTE(SUBSTITUTE($AA36," ",""),"　",""),"(주)",""),"（주）",""),"㈜",""),"주식회사",""),"(유)",""),"（유）",""),"유한회사",""))</f>
        <v/>
      </c>
      <c r="AC36" s="31">
        <f>IF(OR($Y36="",N($Z36)&lt;=0,$AB36=""),0,IFERROR(LOOKUP(2,1/((거래처별!$AC$8:$AC$307&lt;&gt;"")*ISNUMBER(SEARCH(거래처별!$AC$8:$AC$307,$AB36))),거래처별!$A$8:$A$307),IFERROR(LOOKUP(2,1/((거래처별!$AD$8:$AD$307&lt;&gt;"")*ISNUMBER(SEARCH(거래처별!$AD$8:$AD$307,$AB36))),거래처별!$A$8:$A$307),IFERROR(LOOKUP(2,1/((거래처별!$AE$8:$AE$307&lt;&gt;"")*ISNUMBER(SEARCH(거래처별!$AE$8:$AE$307,$AB36))),거래처별!$A$8:$A$307),0))))</f>
        <v/>
      </c>
      <c r="AD36" s="31">
        <f>IF(AND($Y36&lt;&gt;"",N($Z36)&gt;0,$AC36=0),MAX($AD$7:$AD35)+1,"")</f>
        <v/>
      </c>
      <c r="AE36" s="31">
        <f>IF($Y36="",0,$Y36)</f>
        <v/>
      </c>
    </row>
    <row r="37">
      <c r="W37" s="31">
        <f>IF(OR($B$5="",$C$6="",ROW()&lt;$B$5),"",IF(INDEX($A:$U,ROW(),$C$6)="","",INDEX($A:$U,ROW(),$C$6)))</f>
        <v/>
      </c>
      <c r="X37" s="32">
        <f>IF($W37="","",IF(ISNUMBER($W37),IF($W37&gt;=10000000,IFERROR(DATE(INT($W37/10000),MOD(INT($W37/100),100),MOD($W37,100)),""),INT($W37)),IFERROR(DATE(--LEFT(LEFT(SUBSTITUTE(SUBSTITUTE(SUBSTITUTE(SUBSTITUTE(TRIM($W37),"-",""),".",""),"/","")," ",""),8),4),--MID(LEFT(SUBSTITUTE(SUBSTITUTE(SUBSTITUTE(SUBSTITUTE(TRIM($W37),"-",""),".",""),"/","")," ",""),8),5,2),--MID(LEFT(SUBSTITUTE(SUBSTITUTE(SUBSTITUTE(SUBSTITUTE(TRIM($W37),"-",""),".",""),"/","")," ",""),8),7,2)),"")))</f>
        <v/>
      </c>
      <c r="Y37" s="32">
        <f>IF($X37="","",INT($X37))</f>
        <v/>
      </c>
      <c r="Z37" s="33">
        <f>IF(OR($Y37="",$D$6=""),"",IF(INDEX($A:$U,ROW(),$D$6)="",0,IF(ISNUMBER(INDEX($A:$U,ROW(),$D$6)),INDEX($A:$U,ROW(),$D$6),IFERROR(--SUBSTITUTE(SUBSTITUTE(TRIM(INDEX($A:$U,ROW(),$D$6)),",",""),"원",""),0))))</f>
        <v/>
      </c>
      <c r="AA37" s="31">
        <f>IF($Y37="","",TRIM(INDEX($A:$U,ROW(),$E$6)&amp;IF($F$6="",""," "&amp;INDEX($A:$U,ROW(),$F$6))))</f>
        <v/>
      </c>
      <c r="AB37" s="31">
        <f>IF($AA37="","",SUBSTITUTE(SUBSTITUTE(SUBSTITUTE(SUBSTITUTE(SUBSTITUTE(SUBSTITUTE(SUBSTITUTE(SUBSTITUTE(SUBSTITUTE($AA37," ",""),"　",""),"(주)",""),"（주）",""),"㈜",""),"주식회사",""),"(유)",""),"（유）",""),"유한회사",""))</f>
        <v/>
      </c>
      <c r="AC37" s="31">
        <f>IF(OR($Y37="",N($Z37)&lt;=0,$AB37=""),0,IFERROR(LOOKUP(2,1/((거래처별!$AC$8:$AC$307&lt;&gt;"")*ISNUMBER(SEARCH(거래처별!$AC$8:$AC$307,$AB37))),거래처별!$A$8:$A$307),IFERROR(LOOKUP(2,1/((거래처별!$AD$8:$AD$307&lt;&gt;"")*ISNUMBER(SEARCH(거래처별!$AD$8:$AD$307,$AB37))),거래처별!$A$8:$A$307),IFERROR(LOOKUP(2,1/((거래처별!$AE$8:$AE$307&lt;&gt;"")*ISNUMBER(SEARCH(거래처별!$AE$8:$AE$307,$AB37))),거래처별!$A$8:$A$307),0))))</f>
        <v/>
      </c>
      <c r="AD37" s="31">
        <f>IF(AND($Y37&lt;&gt;"",N($Z37)&gt;0,$AC37=0),MAX($AD$7:$AD36)+1,"")</f>
        <v/>
      </c>
      <c r="AE37" s="31">
        <f>IF($Y37="",0,$Y37)</f>
        <v/>
      </c>
    </row>
    <row r="38">
      <c r="W38" s="31">
        <f>IF(OR($B$5="",$C$6="",ROW()&lt;$B$5),"",IF(INDEX($A:$U,ROW(),$C$6)="","",INDEX($A:$U,ROW(),$C$6)))</f>
        <v/>
      </c>
      <c r="X38" s="32">
        <f>IF($W38="","",IF(ISNUMBER($W38),IF($W38&gt;=10000000,IFERROR(DATE(INT($W38/10000),MOD(INT($W38/100),100),MOD($W38,100)),""),INT($W38)),IFERROR(DATE(--LEFT(LEFT(SUBSTITUTE(SUBSTITUTE(SUBSTITUTE(SUBSTITUTE(TRIM($W38),"-",""),".",""),"/","")," ",""),8),4),--MID(LEFT(SUBSTITUTE(SUBSTITUTE(SUBSTITUTE(SUBSTITUTE(TRIM($W38),"-",""),".",""),"/","")," ",""),8),5,2),--MID(LEFT(SUBSTITUTE(SUBSTITUTE(SUBSTITUTE(SUBSTITUTE(TRIM($W38),"-",""),".",""),"/","")," ",""),8),7,2)),"")))</f>
        <v/>
      </c>
      <c r="Y38" s="32">
        <f>IF($X38="","",INT($X38))</f>
        <v/>
      </c>
      <c r="Z38" s="33">
        <f>IF(OR($Y38="",$D$6=""),"",IF(INDEX($A:$U,ROW(),$D$6)="",0,IF(ISNUMBER(INDEX($A:$U,ROW(),$D$6)),INDEX($A:$U,ROW(),$D$6),IFERROR(--SUBSTITUTE(SUBSTITUTE(TRIM(INDEX($A:$U,ROW(),$D$6)),",",""),"원",""),0))))</f>
        <v/>
      </c>
      <c r="AA38" s="31">
        <f>IF($Y38="","",TRIM(INDEX($A:$U,ROW(),$E$6)&amp;IF($F$6="",""," "&amp;INDEX($A:$U,ROW(),$F$6))))</f>
        <v/>
      </c>
      <c r="AB38" s="31">
        <f>IF($AA38="","",SUBSTITUTE(SUBSTITUTE(SUBSTITUTE(SUBSTITUTE(SUBSTITUTE(SUBSTITUTE(SUBSTITUTE(SUBSTITUTE(SUBSTITUTE($AA38," ",""),"　",""),"(주)",""),"（주）",""),"㈜",""),"주식회사",""),"(유)",""),"（유）",""),"유한회사",""))</f>
        <v/>
      </c>
      <c r="AC38" s="31">
        <f>IF(OR($Y38="",N($Z38)&lt;=0,$AB38=""),0,IFERROR(LOOKUP(2,1/((거래처별!$AC$8:$AC$307&lt;&gt;"")*ISNUMBER(SEARCH(거래처별!$AC$8:$AC$307,$AB38))),거래처별!$A$8:$A$307),IFERROR(LOOKUP(2,1/((거래처별!$AD$8:$AD$307&lt;&gt;"")*ISNUMBER(SEARCH(거래처별!$AD$8:$AD$307,$AB38))),거래처별!$A$8:$A$307),IFERROR(LOOKUP(2,1/((거래처별!$AE$8:$AE$307&lt;&gt;"")*ISNUMBER(SEARCH(거래처별!$AE$8:$AE$307,$AB38))),거래처별!$A$8:$A$307),0))))</f>
        <v/>
      </c>
      <c r="AD38" s="31">
        <f>IF(AND($Y38&lt;&gt;"",N($Z38)&gt;0,$AC38=0),MAX($AD$7:$AD37)+1,"")</f>
        <v/>
      </c>
      <c r="AE38" s="31">
        <f>IF($Y38="",0,$Y38)</f>
        <v/>
      </c>
    </row>
    <row r="39">
      <c r="W39" s="31">
        <f>IF(OR($B$5="",$C$6="",ROW()&lt;$B$5),"",IF(INDEX($A:$U,ROW(),$C$6)="","",INDEX($A:$U,ROW(),$C$6)))</f>
        <v/>
      </c>
      <c r="X39" s="32">
        <f>IF($W39="","",IF(ISNUMBER($W39),IF($W39&gt;=10000000,IFERROR(DATE(INT($W39/10000),MOD(INT($W39/100),100),MOD($W39,100)),""),INT($W39)),IFERROR(DATE(--LEFT(LEFT(SUBSTITUTE(SUBSTITUTE(SUBSTITUTE(SUBSTITUTE(TRIM($W39),"-",""),".",""),"/","")," ",""),8),4),--MID(LEFT(SUBSTITUTE(SUBSTITUTE(SUBSTITUTE(SUBSTITUTE(TRIM($W39),"-",""),".",""),"/","")," ",""),8),5,2),--MID(LEFT(SUBSTITUTE(SUBSTITUTE(SUBSTITUTE(SUBSTITUTE(TRIM($W39),"-",""),".",""),"/","")," ",""),8),7,2)),"")))</f>
        <v/>
      </c>
      <c r="Y39" s="32">
        <f>IF($X39="","",INT($X39))</f>
        <v/>
      </c>
      <c r="Z39" s="33">
        <f>IF(OR($Y39="",$D$6=""),"",IF(INDEX($A:$U,ROW(),$D$6)="",0,IF(ISNUMBER(INDEX($A:$U,ROW(),$D$6)),INDEX($A:$U,ROW(),$D$6),IFERROR(--SUBSTITUTE(SUBSTITUTE(TRIM(INDEX($A:$U,ROW(),$D$6)),",",""),"원",""),0))))</f>
        <v/>
      </c>
      <c r="AA39" s="31">
        <f>IF($Y39="","",TRIM(INDEX($A:$U,ROW(),$E$6)&amp;IF($F$6="",""," "&amp;INDEX($A:$U,ROW(),$F$6))))</f>
        <v/>
      </c>
      <c r="AB39" s="31">
        <f>IF($AA39="","",SUBSTITUTE(SUBSTITUTE(SUBSTITUTE(SUBSTITUTE(SUBSTITUTE(SUBSTITUTE(SUBSTITUTE(SUBSTITUTE(SUBSTITUTE($AA39," ",""),"　",""),"(주)",""),"（주）",""),"㈜",""),"주식회사",""),"(유)",""),"（유）",""),"유한회사",""))</f>
        <v/>
      </c>
      <c r="AC39" s="31">
        <f>IF(OR($Y39="",N($Z39)&lt;=0,$AB39=""),0,IFERROR(LOOKUP(2,1/((거래처별!$AC$8:$AC$307&lt;&gt;"")*ISNUMBER(SEARCH(거래처별!$AC$8:$AC$307,$AB39))),거래처별!$A$8:$A$307),IFERROR(LOOKUP(2,1/((거래처별!$AD$8:$AD$307&lt;&gt;"")*ISNUMBER(SEARCH(거래처별!$AD$8:$AD$307,$AB39))),거래처별!$A$8:$A$307),IFERROR(LOOKUP(2,1/((거래처별!$AE$8:$AE$307&lt;&gt;"")*ISNUMBER(SEARCH(거래처별!$AE$8:$AE$307,$AB39))),거래처별!$A$8:$A$307),0))))</f>
        <v/>
      </c>
      <c r="AD39" s="31">
        <f>IF(AND($Y39&lt;&gt;"",N($Z39)&gt;0,$AC39=0),MAX($AD$7:$AD38)+1,"")</f>
        <v/>
      </c>
      <c r="AE39" s="31">
        <f>IF($Y39="",0,$Y39)</f>
        <v/>
      </c>
    </row>
    <row r="40">
      <c r="W40" s="31">
        <f>IF(OR($B$5="",$C$6="",ROW()&lt;$B$5),"",IF(INDEX($A:$U,ROW(),$C$6)="","",INDEX($A:$U,ROW(),$C$6)))</f>
        <v/>
      </c>
      <c r="X40" s="32">
        <f>IF($W40="","",IF(ISNUMBER($W40),IF($W40&gt;=10000000,IFERROR(DATE(INT($W40/10000),MOD(INT($W40/100),100),MOD($W40,100)),""),INT($W40)),IFERROR(DATE(--LEFT(LEFT(SUBSTITUTE(SUBSTITUTE(SUBSTITUTE(SUBSTITUTE(TRIM($W40),"-",""),".",""),"/","")," ",""),8),4),--MID(LEFT(SUBSTITUTE(SUBSTITUTE(SUBSTITUTE(SUBSTITUTE(TRIM($W40),"-",""),".",""),"/","")," ",""),8),5,2),--MID(LEFT(SUBSTITUTE(SUBSTITUTE(SUBSTITUTE(SUBSTITUTE(TRIM($W40),"-",""),".",""),"/","")," ",""),8),7,2)),"")))</f>
        <v/>
      </c>
      <c r="Y40" s="32">
        <f>IF($X40="","",INT($X40))</f>
        <v/>
      </c>
      <c r="Z40" s="33">
        <f>IF(OR($Y40="",$D$6=""),"",IF(INDEX($A:$U,ROW(),$D$6)="",0,IF(ISNUMBER(INDEX($A:$U,ROW(),$D$6)),INDEX($A:$U,ROW(),$D$6),IFERROR(--SUBSTITUTE(SUBSTITUTE(TRIM(INDEX($A:$U,ROW(),$D$6)),",",""),"원",""),0))))</f>
        <v/>
      </c>
      <c r="AA40" s="31">
        <f>IF($Y40="","",TRIM(INDEX($A:$U,ROW(),$E$6)&amp;IF($F$6="",""," "&amp;INDEX($A:$U,ROW(),$F$6))))</f>
        <v/>
      </c>
      <c r="AB40" s="31">
        <f>IF($AA40="","",SUBSTITUTE(SUBSTITUTE(SUBSTITUTE(SUBSTITUTE(SUBSTITUTE(SUBSTITUTE(SUBSTITUTE(SUBSTITUTE(SUBSTITUTE($AA40," ",""),"　",""),"(주)",""),"（주）",""),"㈜",""),"주식회사",""),"(유)",""),"（유）",""),"유한회사",""))</f>
        <v/>
      </c>
      <c r="AC40" s="31">
        <f>IF(OR($Y40="",N($Z40)&lt;=0,$AB40=""),0,IFERROR(LOOKUP(2,1/((거래처별!$AC$8:$AC$307&lt;&gt;"")*ISNUMBER(SEARCH(거래처별!$AC$8:$AC$307,$AB40))),거래처별!$A$8:$A$307),IFERROR(LOOKUP(2,1/((거래처별!$AD$8:$AD$307&lt;&gt;"")*ISNUMBER(SEARCH(거래처별!$AD$8:$AD$307,$AB40))),거래처별!$A$8:$A$307),IFERROR(LOOKUP(2,1/((거래처별!$AE$8:$AE$307&lt;&gt;"")*ISNUMBER(SEARCH(거래처별!$AE$8:$AE$307,$AB40))),거래처별!$A$8:$A$307),0))))</f>
        <v/>
      </c>
      <c r="AD40" s="31">
        <f>IF(AND($Y40&lt;&gt;"",N($Z40)&gt;0,$AC40=0),MAX($AD$7:$AD39)+1,"")</f>
        <v/>
      </c>
      <c r="AE40" s="31">
        <f>IF($Y40="",0,$Y40)</f>
        <v/>
      </c>
    </row>
    <row r="41">
      <c r="W41" s="31">
        <f>IF(OR($B$5="",$C$6="",ROW()&lt;$B$5),"",IF(INDEX($A:$U,ROW(),$C$6)="","",INDEX($A:$U,ROW(),$C$6)))</f>
        <v/>
      </c>
      <c r="X41" s="32">
        <f>IF($W41="","",IF(ISNUMBER($W41),IF($W41&gt;=10000000,IFERROR(DATE(INT($W41/10000),MOD(INT($W41/100),100),MOD($W41,100)),""),INT($W41)),IFERROR(DATE(--LEFT(LEFT(SUBSTITUTE(SUBSTITUTE(SUBSTITUTE(SUBSTITUTE(TRIM($W41),"-",""),".",""),"/","")," ",""),8),4),--MID(LEFT(SUBSTITUTE(SUBSTITUTE(SUBSTITUTE(SUBSTITUTE(TRIM($W41),"-",""),".",""),"/","")," ",""),8),5,2),--MID(LEFT(SUBSTITUTE(SUBSTITUTE(SUBSTITUTE(SUBSTITUTE(TRIM($W41),"-",""),".",""),"/","")," ",""),8),7,2)),"")))</f>
        <v/>
      </c>
      <c r="Y41" s="32">
        <f>IF($X41="","",INT($X41))</f>
        <v/>
      </c>
      <c r="Z41" s="33">
        <f>IF(OR($Y41="",$D$6=""),"",IF(INDEX($A:$U,ROW(),$D$6)="",0,IF(ISNUMBER(INDEX($A:$U,ROW(),$D$6)),INDEX($A:$U,ROW(),$D$6),IFERROR(--SUBSTITUTE(SUBSTITUTE(TRIM(INDEX($A:$U,ROW(),$D$6)),",",""),"원",""),0))))</f>
        <v/>
      </c>
      <c r="AA41" s="31">
        <f>IF($Y41="","",TRIM(INDEX($A:$U,ROW(),$E$6)&amp;IF($F$6="",""," "&amp;INDEX($A:$U,ROW(),$F$6))))</f>
        <v/>
      </c>
      <c r="AB41" s="31">
        <f>IF($AA41="","",SUBSTITUTE(SUBSTITUTE(SUBSTITUTE(SUBSTITUTE(SUBSTITUTE(SUBSTITUTE(SUBSTITUTE(SUBSTITUTE(SUBSTITUTE($AA41," ",""),"　",""),"(주)",""),"（주）",""),"㈜",""),"주식회사",""),"(유)",""),"（유）",""),"유한회사",""))</f>
        <v/>
      </c>
      <c r="AC41" s="31">
        <f>IF(OR($Y41="",N($Z41)&lt;=0,$AB41=""),0,IFERROR(LOOKUP(2,1/((거래처별!$AC$8:$AC$307&lt;&gt;"")*ISNUMBER(SEARCH(거래처별!$AC$8:$AC$307,$AB41))),거래처별!$A$8:$A$307),IFERROR(LOOKUP(2,1/((거래처별!$AD$8:$AD$307&lt;&gt;"")*ISNUMBER(SEARCH(거래처별!$AD$8:$AD$307,$AB41))),거래처별!$A$8:$A$307),IFERROR(LOOKUP(2,1/((거래처별!$AE$8:$AE$307&lt;&gt;"")*ISNUMBER(SEARCH(거래처별!$AE$8:$AE$307,$AB41))),거래처별!$A$8:$A$307),0))))</f>
        <v/>
      </c>
      <c r="AD41" s="31">
        <f>IF(AND($Y41&lt;&gt;"",N($Z41)&gt;0,$AC41=0),MAX($AD$7:$AD40)+1,"")</f>
        <v/>
      </c>
      <c r="AE41" s="31">
        <f>IF($Y41="",0,$Y41)</f>
        <v/>
      </c>
    </row>
    <row r="42">
      <c r="W42" s="31">
        <f>IF(OR($B$5="",$C$6="",ROW()&lt;$B$5),"",IF(INDEX($A:$U,ROW(),$C$6)="","",INDEX($A:$U,ROW(),$C$6)))</f>
        <v/>
      </c>
      <c r="X42" s="32">
        <f>IF($W42="","",IF(ISNUMBER($W42),IF($W42&gt;=10000000,IFERROR(DATE(INT($W42/10000),MOD(INT($W42/100),100),MOD($W42,100)),""),INT($W42)),IFERROR(DATE(--LEFT(LEFT(SUBSTITUTE(SUBSTITUTE(SUBSTITUTE(SUBSTITUTE(TRIM($W42),"-",""),".",""),"/","")," ",""),8),4),--MID(LEFT(SUBSTITUTE(SUBSTITUTE(SUBSTITUTE(SUBSTITUTE(TRIM($W42),"-",""),".",""),"/","")," ",""),8),5,2),--MID(LEFT(SUBSTITUTE(SUBSTITUTE(SUBSTITUTE(SUBSTITUTE(TRIM($W42),"-",""),".",""),"/","")," ",""),8),7,2)),"")))</f>
        <v/>
      </c>
      <c r="Y42" s="32">
        <f>IF($X42="","",INT($X42))</f>
        <v/>
      </c>
      <c r="Z42" s="33">
        <f>IF(OR($Y42="",$D$6=""),"",IF(INDEX($A:$U,ROW(),$D$6)="",0,IF(ISNUMBER(INDEX($A:$U,ROW(),$D$6)),INDEX($A:$U,ROW(),$D$6),IFERROR(--SUBSTITUTE(SUBSTITUTE(TRIM(INDEX($A:$U,ROW(),$D$6)),",",""),"원",""),0))))</f>
        <v/>
      </c>
      <c r="AA42" s="31">
        <f>IF($Y42="","",TRIM(INDEX($A:$U,ROW(),$E$6)&amp;IF($F$6="",""," "&amp;INDEX($A:$U,ROW(),$F$6))))</f>
        <v/>
      </c>
      <c r="AB42" s="31">
        <f>IF($AA42="","",SUBSTITUTE(SUBSTITUTE(SUBSTITUTE(SUBSTITUTE(SUBSTITUTE(SUBSTITUTE(SUBSTITUTE(SUBSTITUTE(SUBSTITUTE($AA42," ",""),"　",""),"(주)",""),"（주）",""),"㈜",""),"주식회사",""),"(유)",""),"（유）",""),"유한회사",""))</f>
        <v/>
      </c>
      <c r="AC42" s="31">
        <f>IF(OR($Y42="",N($Z42)&lt;=0,$AB42=""),0,IFERROR(LOOKUP(2,1/((거래처별!$AC$8:$AC$307&lt;&gt;"")*ISNUMBER(SEARCH(거래처별!$AC$8:$AC$307,$AB42))),거래처별!$A$8:$A$307),IFERROR(LOOKUP(2,1/((거래처별!$AD$8:$AD$307&lt;&gt;"")*ISNUMBER(SEARCH(거래처별!$AD$8:$AD$307,$AB42))),거래처별!$A$8:$A$307),IFERROR(LOOKUP(2,1/((거래처별!$AE$8:$AE$307&lt;&gt;"")*ISNUMBER(SEARCH(거래처별!$AE$8:$AE$307,$AB42))),거래처별!$A$8:$A$307),0))))</f>
        <v/>
      </c>
      <c r="AD42" s="31">
        <f>IF(AND($Y42&lt;&gt;"",N($Z42)&gt;0,$AC42=0),MAX($AD$7:$AD41)+1,"")</f>
        <v/>
      </c>
      <c r="AE42" s="31">
        <f>IF($Y42="",0,$Y42)</f>
        <v/>
      </c>
    </row>
    <row r="43">
      <c r="W43" s="31">
        <f>IF(OR($B$5="",$C$6="",ROW()&lt;$B$5),"",IF(INDEX($A:$U,ROW(),$C$6)="","",INDEX($A:$U,ROW(),$C$6)))</f>
        <v/>
      </c>
      <c r="X43" s="32">
        <f>IF($W43="","",IF(ISNUMBER($W43),IF($W43&gt;=10000000,IFERROR(DATE(INT($W43/10000),MOD(INT($W43/100),100),MOD($W43,100)),""),INT($W43)),IFERROR(DATE(--LEFT(LEFT(SUBSTITUTE(SUBSTITUTE(SUBSTITUTE(SUBSTITUTE(TRIM($W43),"-",""),".",""),"/","")," ",""),8),4),--MID(LEFT(SUBSTITUTE(SUBSTITUTE(SUBSTITUTE(SUBSTITUTE(TRIM($W43),"-",""),".",""),"/","")," ",""),8),5,2),--MID(LEFT(SUBSTITUTE(SUBSTITUTE(SUBSTITUTE(SUBSTITUTE(TRIM($W43),"-",""),".",""),"/","")," ",""),8),7,2)),"")))</f>
        <v/>
      </c>
      <c r="Y43" s="32">
        <f>IF($X43="","",INT($X43))</f>
        <v/>
      </c>
      <c r="Z43" s="33">
        <f>IF(OR($Y43="",$D$6=""),"",IF(INDEX($A:$U,ROW(),$D$6)="",0,IF(ISNUMBER(INDEX($A:$U,ROW(),$D$6)),INDEX($A:$U,ROW(),$D$6),IFERROR(--SUBSTITUTE(SUBSTITUTE(TRIM(INDEX($A:$U,ROW(),$D$6)),",",""),"원",""),0))))</f>
        <v/>
      </c>
      <c r="AA43" s="31">
        <f>IF($Y43="","",TRIM(INDEX($A:$U,ROW(),$E$6)&amp;IF($F$6="",""," "&amp;INDEX($A:$U,ROW(),$F$6))))</f>
        <v/>
      </c>
      <c r="AB43" s="31">
        <f>IF($AA43="","",SUBSTITUTE(SUBSTITUTE(SUBSTITUTE(SUBSTITUTE(SUBSTITUTE(SUBSTITUTE(SUBSTITUTE(SUBSTITUTE(SUBSTITUTE($AA43," ",""),"　",""),"(주)",""),"（주）",""),"㈜",""),"주식회사",""),"(유)",""),"（유）",""),"유한회사",""))</f>
        <v/>
      </c>
      <c r="AC43" s="31">
        <f>IF(OR($Y43="",N($Z43)&lt;=0,$AB43=""),0,IFERROR(LOOKUP(2,1/((거래처별!$AC$8:$AC$307&lt;&gt;"")*ISNUMBER(SEARCH(거래처별!$AC$8:$AC$307,$AB43))),거래처별!$A$8:$A$307),IFERROR(LOOKUP(2,1/((거래처별!$AD$8:$AD$307&lt;&gt;"")*ISNUMBER(SEARCH(거래처별!$AD$8:$AD$307,$AB43))),거래처별!$A$8:$A$307),IFERROR(LOOKUP(2,1/((거래처별!$AE$8:$AE$307&lt;&gt;"")*ISNUMBER(SEARCH(거래처별!$AE$8:$AE$307,$AB43))),거래처별!$A$8:$A$307),0))))</f>
        <v/>
      </c>
      <c r="AD43" s="31">
        <f>IF(AND($Y43&lt;&gt;"",N($Z43)&gt;0,$AC43=0),MAX($AD$7:$AD42)+1,"")</f>
        <v/>
      </c>
      <c r="AE43" s="31">
        <f>IF($Y43="",0,$Y43)</f>
        <v/>
      </c>
    </row>
    <row r="44">
      <c r="W44" s="31">
        <f>IF(OR($B$5="",$C$6="",ROW()&lt;$B$5),"",IF(INDEX($A:$U,ROW(),$C$6)="","",INDEX($A:$U,ROW(),$C$6)))</f>
        <v/>
      </c>
      <c r="X44" s="32">
        <f>IF($W44="","",IF(ISNUMBER($W44),IF($W44&gt;=10000000,IFERROR(DATE(INT($W44/10000),MOD(INT($W44/100),100),MOD($W44,100)),""),INT($W44)),IFERROR(DATE(--LEFT(LEFT(SUBSTITUTE(SUBSTITUTE(SUBSTITUTE(SUBSTITUTE(TRIM($W44),"-",""),".",""),"/","")," ",""),8),4),--MID(LEFT(SUBSTITUTE(SUBSTITUTE(SUBSTITUTE(SUBSTITUTE(TRIM($W44),"-",""),".",""),"/","")," ",""),8),5,2),--MID(LEFT(SUBSTITUTE(SUBSTITUTE(SUBSTITUTE(SUBSTITUTE(TRIM($W44),"-",""),".",""),"/","")," ",""),8),7,2)),"")))</f>
        <v/>
      </c>
      <c r="Y44" s="32">
        <f>IF($X44="","",INT($X44))</f>
        <v/>
      </c>
      <c r="Z44" s="33">
        <f>IF(OR($Y44="",$D$6=""),"",IF(INDEX($A:$U,ROW(),$D$6)="",0,IF(ISNUMBER(INDEX($A:$U,ROW(),$D$6)),INDEX($A:$U,ROW(),$D$6),IFERROR(--SUBSTITUTE(SUBSTITUTE(TRIM(INDEX($A:$U,ROW(),$D$6)),",",""),"원",""),0))))</f>
        <v/>
      </c>
      <c r="AA44" s="31">
        <f>IF($Y44="","",TRIM(INDEX($A:$U,ROW(),$E$6)&amp;IF($F$6="",""," "&amp;INDEX($A:$U,ROW(),$F$6))))</f>
        <v/>
      </c>
      <c r="AB44" s="31">
        <f>IF($AA44="","",SUBSTITUTE(SUBSTITUTE(SUBSTITUTE(SUBSTITUTE(SUBSTITUTE(SUBSTITUTE(SUBSTITUTE(SUBSTITUTE(SUBSTITUTE($AA44," ",""),"　",""),"(주)",""),"（주）",""),"㈜",""),"주식회사",""),"(유)",""),"（유）",""),"유한회사",""))</f>
        <v/>
      </c>
      <c r="AC44" s="31">
        <f>IF(OR($Y44="",N($Z44)&lt;=0,$AB44=""),0,IFERROR(LOOKUP(2,1/((거래처별!$AC$8:$AC$307&lt;&gt;"")*ISNUMBER(SEARCH(거래처별!$AC$8:$AC$307,$AB44))),거래처별!$A$8:$A$307),IFERROR(LOOKUP(2,1/((거래처별!$AD$8:$AD$307&lt;&gt;"")*ISNUMBER(SEARCH(거래처별!$AD$8:$AD$307,$AB44))),거래처별!$A$8:$A$307),IFERROR(LOOKUP(2,1/((거래처별!$AE$8:$AE$307&lt;&gt;"")*ISNUMBER(SEARCH(거래처별!$AE$8:$AE$307,$AB44))),거래처별!$A$8:$A$307),0))))</f>
        <v/>
      </c>
      <c r="AD44" s="31">
        <f>IF(AND($Y44&lt;&gt;"",N($Z44)&gt;0,$AC44=0),MAX($AD$7:$AD43)+1,"")</f>
        <v/>
      </c>
      <c r="AE44" s="31">
        <f>IF($Y44="",0,$Y44)</f>
        <v/>
      </c>
    </row>
    <row r="45">
      <c r="W45" s="31">
        <f>IF(OR($B$5="",$C$6="",ROW()&lt;$B$5),"",IF(INDEX($A:$U,ROW(),$C$6)="","",INDEX($A:$U,ROW(),$C$6)))</f>
        <v/>
      </c>
      <c r="X45" s="32">
        <f>IF($W45="","",IF(ISNUMBER($W45),IF($W45&gt;=10000000,IFERROR(DATE(INT($W45/10000),MOD(INT($W45/100),100),MOD($W45,100)),""),INT($W45)),IFERROR(DATE(--LEFT(LEFT(SUBSTITUTE(SUBSTITUTE(SUBSTITUTE(SUBSTITUTE(TRIM($W45),"-",""),".",""),"/","")," ",""),8),4),--MID(LEFT(SUBSTITUTE(SUBSTITUTE(SUBSTITUTE(SUBSTITUTE(TRIM($W45),"-",""),".",""),"/","")," ",""),8),5,2),--MID(LEFT(SUBSTITUTE(SUBSTITUTE(SUBSTITUTE(SUBSTITUTE(TRIM($W45),"-",""),".",""),"/","")," ",""),8),7,2)),"")))</f>
        <v/>
      </c>
      <c r="Y45" s="32">
        <f>IF($X45="","",INT($X45))</f>
        <v/>
      </c>
      <c r="Z45" s="33">
        <f>IF(OR($Y45="",$D$6=""),"",IF(INDEX($A:$U,ROW(),$D$6)="",0,IF(ISNUMBER(INDEX($A:$U,ROW(),$D$6)),INDEX($A:$U,ROW(),$D$6),IFERROR(--SUBSTITUTE(SUBSTITUTE(TRIM(INDEX($A:$U,ROW(),$D$6)),",",""),"원",""),0))))</f>
        <v/>
      </c>
      <c r="AA45" s="31">
        <f>IF($Y45="","",TRIM(INDEX($A:$U,ROW(),$E$6)&amp;IF($F$6="",""," "&amp;INDEX($A:$U,ROW(),$F$6))))</f>
        <v/>
      </c>
      <c r="AB45" s="31">
        <f>IF($AA45="","",SUBSTITUTE(SUBSTITUTE(SUBSTITUTE(SUBSTITUTE(SUBSTITUTE(SUBSTITUTE(SUBSTITUTE(SUBSTITUTE(SUBSTITUTE($AA45," ",""),"　",""),"(주)",""),"（주）",""),"㈜",""),"주식회사",""),"(유)",""),"（유）",""),"유한회사",""))</f>
        <v/>
      </c>
      <c r="AC45" s="31">
        <f>IF(OR($Y45="",N($Z45)&lt;=0,$AB45=""),0,IFERROR(LOOKUP(2,1/((거래처별!$AC$8:$AC$307&lt;&gt;"")*ISNUMBER(SEARCH(거래처별!$AC$8:$AC$307,$AB45))),거래처별!$A$8:$A$307),IFERROR(LOOKUP(2,1/((거래처별!$AD$8:$AD$307&lt;&gt;"")*ISNUMBER(SEARCH(거래처별!$AD$8:$AD$307,$AB45))),거래처별!$A$8:$A$307),IFERROR(LOOKUP(2,1/((거래처별!$AE$8:$AE$307&lt;&gt;"")*ISNUMBER(SEARCH(거래처별!$AE$8:$AE$307,$AB45))),거래처별!$A$8:$A$307),0))))</f>
        <v/>
      </c>
      <c r="AD45" s="31">
        <f>IF(AND($Y45&lt;&gt;"",N($Z45)&gt;0,$AC45=0),MAX($AD$7:$AD44)+1,"")</f>
        <v/>
      </c>
      <c r="AE45" s="31">
        <f>IF($Y45="",0,$Y45)</f>
        <v/>
      </c>
    </row>
    <row r="46">
      <c r="W46" s="31">
        <f>IF(OR($B$5="",$C$6="",ROW()&lt;$B$5),"",IF(INDEX($A:$U,ROW(),$C$6)="","",INDEX($A:$U,ROW(),$C$6)))</f>
        <v/>
      </c>
      <c r="X46" s="32">
        <f>IF($W46="","",IF(ISNUMBER($W46),IF($W46&gt;=10000000,IFERROR(DATE(INT($W46/10000),MOD(INT($W46/100),100),MOD($W46,100)),""),INT($W46)),IFERROR(DATE(--LEFT(LEFT(SUBSTITUTE(SUBSTITUTE(SUBSTITUTE(SUBSTITUTE(TRIM($W46),"-",""),".",""),"/","")," ",""),8),4),--MID(LEFT(SUBSTITUTE(SUBSTITUTE(SUBSTITUTE(SUBSTITUTE(TRIM($W46),"-",""),".",""),"/","")," ",""),8),5,2),--MID(LEFT(SUBSTITUTE(SUBSTITUTE(SUBSTITUTE(SUBSTITUTE(TRIM($W46),"-",""),".",""),"/","")," ",""),8),7,2)),"")))</f>
        <v/>
      </c>
      <c r="Y46" s="32">
        <f>IF($X46="","",INT($X46))</f>
        <v/>
      </c>
      <c r="Z46" s="33">
        <f>IF(OR($Y46="",$D$6=""),"",IF(INDEX($A:$U,ROW(),$D$6)="",0,IF(ISNUMBER(INDEX($A:$U,ROW(),$D$6)),INDEX($A:$U,ROW(),$D$6),IFERROR(--SUBSTITUTE(SUBSTITUTE(TRIM(INDEX($A:$U,ROW(),$D$6)),",",""),"원",""),0))))</f>
        <v/>
      </c>
      <c r="AA46" s="31">
        <f>IF($Y46="","",TRIM(INDEX($A:$U,ROW(),$E$6)&amp;IF($F$6="",""," "&amp;INDEX($A:$U,ROW(),$F$6))))</f>
        <v/>
      </c>
      <c r="AB46" s="31">
        <f>IF($AA46="","",SUBSTITUTE(SUBSTITUTE(SUBSTITUTE(SUBSTITUTE(SUBSTITUTE(SUBSTITUTE(SUBSTITUTE(SUBSTITUTE(SUBSTITUTE($AA46," ",""),"　",""),"(주)",""),"（주）",""),"㈜",""),"주식회사",""),"(유)",""),"（유）",""),"유한회사",""))</f>
        <v/>
      </c>
      <c r="AC46" s="31">
        <f>IF(OR($Y46="",N($Z46)&lt;=0,$AB46=""),0,IFERROR(LOOKUP(2,1/((거래처별!$AC$8:$AC$307&lt;&gt;"")*ISNUMBER(SEARCH(거래처별!$AC$8:$AC$307,$AB46))),거래처별!$A$8:$A$307),IFERROR(LOOKUP(2,1/((거래처별!$AD$8:$AD$307&lt;&gt;"")*ISNUMBER(SEARCH(거래처별!$AD$8:$AD$307,$AB46))),거래처별!$A$8:$A$307),IFERROR(LOOKUP(2,1/((거래처별!$AE$8:$AE$307&lt;&gt;"")*ISNUMBER(SEARCH(거래처별!$AE$8:$AE$307,$AB46))),거래처별!$A$8:$A$307),0))))</f>
        <v/>
      </c>
      <c r="AD46" s="31">
        <f>IF(AND($Y46&lt;&gt;"",N($Z46)&gt;0,$AC46=0),MAX($AD$7:$AD45)+1,"")</f>
        <v/>
      </c>
      <c r="AE46" s="31">
        <f>IF($Y46="",0,$Y46)</f>
        <v/>
      </c>
    </row>
    <row r="47">
      <c r="W47" s="31">
        <f>IF(OR($B$5="",$C$6="",ROW()&lt;$B$5),"",IF(INDEX($A:$U,ROW(),$C$6)="","",INDEX($A:$U,ROW(),$C$6)))</f>
        <v/>
      </c>
      <c r="X47" s="32">
        <f>IF($W47="","",IF(ISNUMBER($W47),IF($W47&gt;=10000000,IFERROR(DATE(INT($W47/10000),MOD(INT($W47/100),100),MOD($W47,100)),""),INT($W47)),IFERROR(DATE(--LEFT(LEFT(SUBSTITUTE(SUBSTITUTE(SUBSTITUTE(SUBSTITUTE(TRIM($W47),"-",""),".",""),"/","")," ",""),8),4),--MID(LEFT(SUBSTITUTE(SUBSTITUTE(SUBSTITUTE(SUBSTITUTE(TRIM($W47),"-",""),".",""),"/","")," ",""),8),5,2),--MID(LEFT(SUBSTITUTE(SUBSTITUTE(SUBSTITUTE(SUBSTITUTE(TRIM($W47),"-",""),".",""),"/","")," ",""),8),7,2)),"")))</f>
        <v/>
      </c>
      <c r="Y47" s="32">
        <f>IF($X47="","",INT($X47))</f>
        <v/>
      </c>
      <c r="Z47" s="33">
        <f>IF(OR($Y47="",$D$6=""),"",IF(INDEX($A:$U,ROW(),$D$6)="",0,IF(ISNUMBER(INDEX($A:$U,ROW(),$D$6)),INDEX($A:$U,ROW(),$D$6),IFERROR(--SUBSTITUTE(SUBSTITUTE(TRIM(INDEX($A:$U,ROW(),$D$6)),",",""),"원",""),0))))</f>
        <v/>
      </c>
      <c r="AA47" s="31">
        <f>IF($Y47="","",TRIM(INDEX($A:$U,ROW(),$E$6)&amp;IF($F$6="",""," "&amp;INDEX($A:$U,ROW(),$F$6))))</f>
        <v/>
      </c>
      <c r="AB47" s="31">
        <f>IF($AA47="","",SUBSTITUTE(SUBSTITUTE(SUBSTITUTE(SUBSTITUTE(SUBSTITUTE(SUBSTITUTE(SUBSTITUTE(SUBSTITUTE(SUBSTITUTE($AA47," ",""),"　",""),"(주)",""),"（주）",""),"㈜",""),"주식회사",""),"(유)",""),"（유）",""),"유한회사",""))</f>
        <v/>
      </c>
      <c r="AC47" s="31">
        <f>IF(OR($Y47="",N($Z47)&lt;=0,$AB47=""),0,IFERROR(LOOKUP(2,1/((거래처별!$AC$8:$AC$307&lt;&gt;"")*ISNUMBER(SEARCH(거래처별!$AC$8:$AC$307,$AB47))),거래처별!$A$8:$A$307),IFERROR(LOOKUP(2,1/((거래처별!$AD$8:$AD$307&lt;&gt;"")*ISNUMBER(SEARCH(거래처별!$AD$8:$AD$307,$AB47))),거래처별!$A$8:$A$307),IFERROR(LOOKUP(2,1/((거래처별!$AE$8:$AE$307&lt;&gt;"")*ISNUMBER(SEARCH(거래처별!$AE$8:$AE$307,$AB47))),거래처별!$A$8:$A$307),0))))</f>
        <v/>
      </c>
      <c r="AD47" s="31">
        <f>IF(AND($Y47&lt;&gt;"",N($Z47)&gt;0,$AC47=0),MAX($AD$7:$AD46)+1,"")</f>
        <v/>
      </c>
      <c r="AE47" s="31">
        <f>IF($Y47="",0,$Y47)</f>
        <v/>
      </c>
    </row>
    <row r="48">
      <c r="W48" s="31">
        <f>IF(OR($B$5="",$C$6="",ROW()&lt;$B$5),"",IF(INDEX($A:$U,ROW(),$C$6)="","",INDEX($A:$U,ROW(),$C$6)))</f>
        <v/>
      </c>
      <c r="X48" s="32">
        <f>IF($W48="","",IF(ISNUMBER($W48),IF($W48&gt;=10000000,IFERROR(DATE(INT($W48/10000),MOD(INT($W48/100),100),MOD($W48,100)),""),INT($W48)),IFERROR(DATE(--LEFT(LEFT(SUBSTITUTE(SUBSTITUTE(SUBSTITUTE(SUBSTITUTE(TRIM($W48),"-",""),".",""),"/","")," ",""),8),4),--MID(LEFT(SUBSTITUTE(SUBSTITUTE(SUBSTITUTE(SUBSTITUTE(TRIM($W48),"-",""),".",""),"/","")," ",""),8),5,2),--MID(LEFT(SUBSTITUTE(SUBSTITUTE(SUBSTITUTE(SUBSTITUTE(TRIM($W48),"-",""),".",""),"/","")," ",""),8),7,2)),"")))</f>
        <v/>
      </c>
      <c r="Y48" s="32">
        <f>IF($X48="","",INT($X48))</f>
        <v/>
      </c>
      <c r="Z48" s="33">
        <f>IF(OR($Y48="",$D$6=""),"",IF(INDEX($A:$U,ROW(),$D$6)="",0,IF(ISNUMBER(INDEX($A:$U,ROW(),$D$6)),INDEX($A:$U,ROW(),$D$6),IFERROR(--SUBSTITUTE(SUBSTITUTE(TRIM(INDEX($A:$U,ROW(),$D$6)),",",""),"원",""),0))))</f>
        <v/>
      </c>
      <c r="AA48" s="31">
        <f>IF($Y48="","",TRIM(INDEX($A:$U,ROW(),$E$6)&amp;IF($F$6="",""," "&amp;INDEX($A:$U,ROW(),$F$6))))</f>
        <v/>
      </c>
      <c r="AB48" s="31">
        <f>IF($AA48="","",SUBSTITUTE(SUBSTITUTE(SUBSTITUTE(SUBSTITUTE(SUBSTITUTE(SUBSTITUTE(SUBSTITUTE(SUBSTITUTE(SUBSTITUTE($AA48," ",""),"　",""),"(주)",""),"（주）",""),"㈜",""),"주식회사",""),"(유)",""),"（유）",""),"유한회사",""))</f>
        <v/>
      </c>
      <c r="AC48" s="31">
        <f>IF(OR($Y48="",N($Z48)&lt;=0,$AB48=""),0,IFERROR(LOOKUP(2,1/((거래처별!$AC$8:$AC$307&lt;&gt;"")*ISNUMBER(SEARCH(거래처별!$AC$8:$AC$307,$AB48))),거래처별!$A$8:$A$307),IFERROR(LOOKUP(2,1/((거래처별!$AD$8:$AD$307&lt;&gt;"")*ISNUMBER(SEARCH(거래처별!$AD$8:$AD$307,$AB48))),거래처별!$A$8:$A$307),IFERROR(LOOKUP(2,1/((거래처별!$AE$8:$AE$307&lt;&gt;"")*ISNUMBER(SEARCH(거래처별!$AE$8:$AE$307,$AB48))),거래처별!$A$8:$A$307),0))))</f>
        <v/>
      </c>
      <c r="AD48" s="31">
        <f>IF(AND($Y48&lt;&gt;"",N($Z48)&gt;0,$AC48=0),MAX($AD$7:$AD47)+1,"")</f>
        <v/>
      </c>
      <c r="AE48" s="31">
        <f>IF($Y48="",0,$Y48)</f>
        <v/>
      </c>
    </row>
    <row r="49">
      <c r="W49" s="31">
        <f>IF(OR($B$5="",$C$6="",ROW()&lt;$B$5),"",IF(INDEX($A:$U,ROW(),$C$6)="","",INDEX($A:$U,ROW(),$C$6)))</f>
        <v/>
      </c>
      <c r="X49" s="32">
        <f>IF($W49="","",IF(ISNUMBER($W49),IF($W49&gt;=10000000,IFERROR(DATE(INT($W49/10000),MOD(INT($W49/100),100),MOD($W49,100)),""),INT($W49)),IFERROR(DATE(--LEFT(LEFT(SUBSTITUTE(SUBSTITUTE(SUBSTITUTE(SUBSTITUTE(TRIM($W49),"-",""),".",""),"/","")," ",""),8),4),--MID(LEFT(SUBSTITUTE(SUBSTITUTE(SUBSTITUTE(SUBSTITUTE(TRIM($W49),"-",""),".",""),"/","")," ",""),8),5,2),--MID(LEFT(SUBSTITUTE(SUBSTITUTE(SUBSTITUTE(SUBSTITUTE(TRIM($W49),"-",""),".",""),"/","")," ",""),8),7,2)),"")))</f>
        <v/>
      </c>
      <c r="Y49" s="32">
        <f>IF($X49="","",INT($X49))</f>
        <v/>
      </c>
      <c r="Z49" s="33">
        <f>IF(OR($Y49="",$D$6=""),"",IF(INDEX($A:$U,ROW(),$D$6)="",0,IF(ISNUMBER(INDEX($A:$U,ROW(),$D$6)),INDEX($A:$U,ROW(),$D$6),IFERROR(--SUBSTITUTE(SUBSTITUTE(TRIM(INDEX($A:$U,ROW(),$D$6)),",",""),"원",""),0))))</f>
        <v/>
      </c>
      <c r="AA49" s="31">
        <f>IF($Y49="","",TRIM(INDEX($A:$U,ROW(),$E$6)&amp;IF($F$6="",""," "&amp;INDEX($A:$U,ROW(),$F$6))))</f>
        <v/>
      </c>
      <c r="AB49" s="31">
        <f>IF($AA49="","",SUBSTITUTE(SUBSTITUTE(SUBSTITUTE(SUBSTITUTE(SUBSTITUTE(SUBSTITUTE(SUBSTITUTE(SUBSTITUTE(SUBSTITUTE($AA49," ",""),"　",""),"(주)",""),"（주）",""),"㈜",""),"주식회사",""),"(유)",""),"（유）",""),"유한회사",""))</f>
        <v/>
      </c>
      <c r="AC49" s="31">
        <f>IF(OR($Y49="",N($Z49)&lt;=0,$AB49=""),0,IFERROR(LOOKUP(2,1/((거래처별!$AC$8:$AC$307&lt;&gt;"")*ISNUMBER(SEARCH(거래처별!$AC$8:$AC$307,$AB49))),거래처별!$A$8:$A$307),IFERROR(LOOKUP(2,1/((거래처별!$AD$8:$AD$307&lt;&gt;"")*ISNUMBER(SEARCH(거래처별!$AD$8:$AD$307,$AB49))),거래처별!$A$8:$A$307),IFERROR(LOOKUP(2,1/((거래처별!$AE$8:$AE$307&lt;&gt;"")*ISNUMBER(SEARCH(거래처별!$AE$8:$AE$307,$AB49))),거래처별!$A$8:$A$307),0))))</f>
        <v/>
      </c>
      <c r="AD49" s="31">
        <f>IF(AND($Y49&lt;&gt;"",N($Z49)&gt;0,$AC49=0),MAX($AD$7:$AD48)+1,"")</f>
        <v/>
      </c>
      <c r="AE49" s="31">
        <f>IF($Y49="",0,$Y49)</f>
        <v/>
      </c>
    </row>
    <row r="50">
      <c r="W50" s="31">
        <f>IF(OR($B$5="",$C$6="",ROW()&lt;$B$5),"",IF(INDEX($A:$U,ROW(),$C$6)="","",INDEX($A:$U,ROW(),$C$6)))</f>
        <v/>
      </c>
      <c r="X50" s="32">
        <f>IF($W50="","",IF(ISNUMBER($W50),IF($W50&gt;=10000000,IFERROR(DATE(INT($W50/10000),MOD(INT($W50/100),100),MOD($W50,100)),""),INT($W50)),IFERROR(DATE(--LEFT(LEFT(SUBSTITUTE(SUBSTITUTE(SUBSTITUTE(SUBSTITUTE(TRIM($W50),"-",""),".",""),"/","")," ",""),8),4),--MID(LEFT(SUBSTITUTE(SUBSTITUTE(SUBSTITUTE(SUBSTITUTE(TRIM($W50),"-",""),".",""),"/","")," ",""),8),5,2),--MID(LEFT(SUBSTITUTE(SUBSTITUTE(SUBSTITUTE(SUBSTITUTE(TRIM($W50),"-",""),".",""),"/","")," ",""),8),7,2)),"")))</f>
        <v/>
      </c>
      <c r="Y50" s="32">
        <f>IF($X50="","",INT($X50))</f>
        <v/>
      </c>
      <c r="Z50" s="33">
        <f>IF(OR($Y50="",$D$6=""),"",IF(INDEX($A:$U,ROW(),$D$6)="",0,IF(ISNUMBER(INDEX($A:$U,ROW(),$D$6)),INDEX($A:$U,ROW(),$D$6),IFERROR(--SUBSTITUTE(SUBSTITUTE(TRIM(INDEX($A:$U,ROW(),$D$6)),",",""),"원",""),0))))</f>
        <v/>
      </c>
      <c r="AA50" s="31">
        <f>IF($Y50="","",TRIM(INDEX($A:$U,ROW(),$E$6)&amp;IF($F$6="",""," "&amp;INDEX($A:$U,ROW(),$F$6))))</f>
        <v/>
      </c>
      <c r="AB50" s="31">
        <f>IF($AA50="","",SUBSTITUTE(SUBSTITUTE(SUBSTITUTE(SUBSTITUTE(SUBSTITUTE(SUBSTITUTE(SUBSTITUTE(SUBSTITUTE(SUBSTITUTE($AA50," ",""),"　",""),"(주)",""),"（주）",""),"㈜",""),"주식회사",""),"(유)",""),"（유）",""),"유한회사",""))</f>
        <v/>
      </c>
      <c r="AC50" s="31">
        <f>IF(OR($Y50="",N($Z50)&lt;=0,$AB50=""),0,IFERROR(LOOKUP(2,1/((거래처별!$AC$8:$AC$307&lt;&gt;"")*ISNUMBER(SEARCH(거래처별!$AC$8:$AC$307,$AB50))),거래처별!$A$8:$A$307),IFERROR(LOOKUP(2,1/((거래처별!$AD$8:$AD$307&lt;&gt;"")*ISNUMBER(SEARCH(거래처별!$AD$8:$AD$307,$AB50))),거래처별!$A$8:$A$307),IFERROR(LOOKUP(2,1/((거래처별!$AE$8:$AE$307&lt;&gt;"")*ISNUMBER(SEARCH(거래처별!$AE$8:$AE$307,$AB50))),거래처별!$A$8:$A$307),0))))</f>
        <v/>
      </c>
      <c r="AD50" s="31">
        <f>IF(AND($Y50&lt;&gt;"",N($Z50)&gt;0,$AC50=0),MAX($AD$7:$AD49)+1,"")</f>
        <v/>
      </c>
      <c r="AE50" s="31">
        <f>IF($Y50="",0,$Y50)</f>
        <v/>
      </c>
    </row>
    <row r="51">
      <c r="W51" s="31">
        <f>IF(OR($B$5="",$C$6="",ROW()&lt;$B$5),"",IF(INDEX($A:$U,ROW(),$C$6)="","",INDEX($A:$U,ROW(),$C$6)))</f>
        <v/>
      </c>
      <c r="X51" s="32">
        <f>IF($W51="","",IF(ISNUMBER($W51),IF($W51&gt;=10000000,IFERROR(DATE(INT($W51/10000),MOD(INT($W51/100),100),MOD($W51,100)),""),INT($W51)),IFERROR(DATE(--LEFT(LEFT(SUBSTITUTE(SUBSTITUTE(SUBSTITUTE(SUBSTITUTE(TRIM($W51),"-",""),".",""),"/","")," ",""),8),4),--MID(LEFT(SUBSTITUTE(SUBSTITUTE(SUBSTITUTE(SUBSTITUTE(TRIM($W51),"-",""),".",""),"/","")," ",""),8),5,2),--MID(LEFT(SUBSTITUTE(SUBSTITUTE(SUBSTITUTE(SUBSTITUTE(TRIM($W51),"-",""),".",""),"/","")," ",""),8),7,2)),"")))</f>
        <v/>
      </c>
      <c r="Y51" s="32">
        <f>IF($X51="","",INT($X51))</f>
        <v/>
      </c>
      <c r="Z51" s="33">
        <f>IF(OR($Y51="",$D$6=""),"",IF(INDEX($A:$U,ROW(),$D$6)="",0,IF(ISNUMBER(INDEX($A:$U,ROW(),$D$6)),INDEX($A:$U,ROW(),$D$6),IFERROR(--SUBSTITUTE(SUBSTITUTE(TRIM(INDEX($A:$U,ROW(),$D$6)),",",""),"원",""),0))))</f>
        <v/>
      </c>
      <c r="AA51" s="31">
        <f>IF($Y51="","",TRIM(INDEX($A:$U,ROW(),$E$6)&amp;IF($F$6="",""," "&amp;INDEX($A:$U,ROW(),$F$6))))</f>
        <v/>
      </c>
      <c r="AB51" s="31">
        <f>IF($AA51="","",SUBSTITUTE(SUBSTITUTE(SUBSTITUTE(SUBSTITUTE(SUBSTITUTE(SUBSTITUTE(SUBSTITUTE(SUBSTITUTE(SUBSTITUTE($AA51," ",""),"　",""),"(주)",""),"（주）",""),"㈜",""),"주식회사",""),"(유)",""),"（유）",""),"유한회사",""))</f>
        <v/>
      </c>
      <c r="AC51" s="31">
        <f>IF(OR($Y51="",N($Z51)&lt;=0,$AB51=""),0,IFERROR(LOOKUP(2,1/((거래처별!$AC$8:$AC$307&lt;&gt;"")*ISNUMBER(SEARCH(거래처별!$AC$8:$AC$307,$AB51))),거래처별!$A$8:$A$307),IFERROR(LOOKUP(2,1/((거래처별!$AD$8:$AD$307&lt;&gt;"")*ISNUMBER(SEARCH(거래처별!$AD$8:$AD$307,$AB51))),거래처별!$A$8:$A$307),IFERROR(LOOKUP(2,1/((거래처별!$AE$8:$AE$307&lt;&gt;"")*ISNUMBER(SEARCH(거래처별!$AE$8:$AE$307,$AB51))),거래처별!$A$8:$A$307),0))))</f>
        <v/>
      </c>
      <c r="AD51" s="31">
        <f>IF(AND($Y51&lt;&gt;"",N($Z51)&gt;0,$AC51=0),MAX($AD$7:$AD50)+1,"")</f>
        <v/>
      </c>
      <c r="AE51" s="31">
        <f>IF($Y51="",0,$Y51)</f>
        <v/>
      </c>
    </row>
    <row r="52">
      <c r="W52" s="31">
        <f>IF(OR($B$5="",$C$6="",ROW()&lt;$B$5),"",IF(INDEX($A:$U,ROW(),$C$6)="","",INDEX($A:$U,ROW(),$C$6)))</f>
        <v/>
      </c>
      <c r="X52" s="32">
        <f>IF($W52="","",IF(ISNUMBER($W52),IF($W52&gt;=10000000,IFERROR(DATE(INT($W52/10000),MOD(INT($W52/100),100),MOD($W52,100)),""),INT($W52)),IFERROR(DATE(--LEFT(LEFT(SUBSTITUTE(SUBSTITUTE(SUBSTITUTE(SUBSTITUTE(TRIM($W52),"-",""),".",""),"/","")," ",""),8),4),--MID(LEFT(SUBSTITUTE(SUBSTITUTE(SUBSTITUTE(SUBSTITUTE(TRIM($W52),"-",""),".",""),"/","")," ",""),8),5,2),--MID(LEFT(SUBSTITUTE(SUBSTITUTE(SUBSTITUTE(SUBSTITUTE(TRIM($W52),"-",""),".",""),"/","")," ",""),8),7,2)),"")))</f>
        <v/>
      </c>
      <c r="Y52" s="32">
        <f>IF($X52="","",INT($X52))</f>
        <v/>
      </c>
      <c r="Z52" s="33">
        <f>IF(OR($Y52="",$D$6=""),"",IF(INDEX($A:$U,ROW(),$D$6)="",0,IF(ISNUMBER(INDEX($A:$U,ROW(),$D$6)),INDEX($A:$U,ROW(),$D$6),IFERROR(--SUBSTITUTE(SUBSTITUTE(TRIM(INDEX($A:$U,ROW(),$D$6)),",",""),"원",""),0))))</f>
        <v/>
      </c>
      <c r="AA52" s="31">
        <f>IF($Y52="","",TRIM(INDEX($A:$U,ROW(),$E$6)&amp;IF($F$6="",""," "&amp;INDEX($A:$U,ROW(),$F$6))))</f>
        <v/>
      </c>
      <c r="AB52" s="31">
        <f>IF($AA52="","",SUBSTITUTE(SUBSTITUTE(SUBSTITUTE(SUBSTITUTE(SUBSTITUTE(SUBSTITUTE(SUBSTITUTE(SUBSTITUTE(SUBSTITUTE($AA52," ",""),"　",""),"(주)",""),"（주）",""),"㈜",""),"주식회사",""),"(유)",""),"（유）",""),"유한회사",""))</f>
        <v/>
      </c>
      <c r="AC52" s="31">
        <f>IF(OR($Y52="",N($Z52)&lt;=0,$AB52=""),0,IFERROR(LOOKUP(2,1/((거래처별!$AC$8:$AC$307&lt;&gt;"")*ISNUMBER(SEARCH(거래처별!$AC$8:$AC$307,$AB52))),거래처별!$A$8:$A$307),IFERROR(LOOKUP(2,1/((거래처별!$AD$8:$AD$307&lt;&gt;"")*ISNUMBER(SEARCH(거래처별!$AD$8:$AD$307,$AB52))),거래처별!$A$8:$A$307),IFERROR(LOOKUP(2,1/((거래처별!$AE$8:$AE$307&lt;&gt;"")*ISNUMBER(SEARCH(거래처별!$AE$8:$AE$307,$AB52))),거래처별!$A$8:$A$307),0))))</f>
        <v/>
      </c>
      <c r="AD52" s="31">
        <f>IF(AND($Y52&lt;&gt;"",N($Z52)&gt;0,$AC52=0),MAX($AD$7:$AD51)+1,"")</f>
        <v/>
      </c>
      <c r="AE52" s="31">
        <f>IF($Y52="",0,$Y52)</f>
        <v/>
      </c>
    </row>
    <row r="53">
      <c r="W53" s="31">
        <f>IF(OR($B$5="",$C$6="",ROW()&lt;$B$5),"",IF(INDEX($A:$U,ROW(),$C$6)="","",INDEX($A:$U,ROW(),$C$6)))</f>
        <v/>
      </c>
      <c r="X53" s="32">
        <f>IF($W53="","",IF(ISNUMBER($W53),IF($W53&gt;=10000000,IFERROR(DATE(INT($W53/10000),MOD(INT($W53/100),100),MOD($W53,100)),""),INT($W53)),IFERROR(DATE(--LEFT(LEFT(SUBSTITUTE(SUBSTITUTE(SUBSTITUTE(SUBSTITUTE(TRIM($W53),"-",""),".",""),"/","")," ",""),8),4),--MID(LEFT(SUBSTITUTE(SUBSTITUTE(SUBSTITUTE(SUBSTITUTE(TRIM($W53),"-",""),".",""),"/","")," ",""),8),5,2),--MID(LEFT(SUBSTITUTE(SUBSTITUTE(SUBSTITUTE(SUBSTITUTE(TRIM($W53),"-",""),".",""),"/","")," ",""),8),7,2)),"")))</f>
        <v/>
      </c>
      <c r="Y53" s="32">
        <f>IF($X53="","",INT($X53))</f>
        <v/>
      </c>
      <c r="Z53" s="33">
        <f>IF(OR($Y53="",$D$6=""),"",IF(INDEX($A:$U,ROW(),$D$6)="",0,IF(ISNUMBER(INDEX($A:$U,ROW(),$D$6)),INDEX($A:$U,ROW(),$D$6),IFERROR(--SUBSTITUTE(SUBSTITUTE(TRIM(INDEX($A:$U,ROW(),$D$6)),",",""),"원",""),0))))</f>
        <v/>
      </c>
      <c r="AA53" s="31">
        <f>IF($Y53="","",TRIM(INDEX($A:$U,ROW(),$E$6)&amp;IF($F$6="",""," "&amp;INDEX($A:$U,ROW(),$F$6))))</f>
        <v/>
      </c>
      <c r="AB53" s="31">
        <f>IF($AA53="","",SUBSTITUTE(SUBSTITUTE(SUBSTITUTE(SUBSTITUTE(SUBSTITUTE(SUBSTITUTE(SUBSTITUTE(SUBSTITUTE(SUBSTITUTE($AA53," ",""),"　",""),"(주)",""),"（주）",""),"㈜",""),"주식회사",""),"(유)",""),"（유）",""),"유한회사",""))</f>
        <v/>
      </c>
      <c r="AC53" s="31">
        <f>IF(OR($Y53="",N($Z53)&lt;=0,$AB53=""),0,IFERROR(LOOKUP(2,1/((거래처별!$AC$8:$AC$307&lt;&gt;"")*ISNUMBER(SEARCH(거래처별!$AC$8:$AC$307,$AB53))),거래처별!$A$8:$A$307),IFERROR(LOOKUP(2,1/((거래처별!$AD$8:$AD$307&lt;&gt;"")*ISNUMBER(SEARCH(거래처별!$AD$8:$AD$307,$AB53))),거래처별!$A$8:$A$307),IFERROR(LOOKUP(2,1/((거래처별!$AE$8:$AE$307&lt;&gt;"")*ISNUMBER(SEARCH(거래처별!$AE$8:$AE$307,$AB53))),거래처별!$A$8:$A$307),0))))</f>
        <v/>
      </c>
      <c r="AD53" s="31">
        <f>IF(AND($Y53&lt;&gt;"",N($Z53)&gt;0,$AC53=0),MAX($AD$7:$AD52)+1,"")</f>
        <v/>
      </c>
      <c r="AE53" s="31">
        <f>IF($Y53="",0,$Y53)</f>
        <v/>
      </c>
    </row>
    <row r="54">
      <c r="W54" s="31">
        <f>IF(OR($B$5="",$C$6="",ROW()&lt;$B$5),"",IF(INDEX($A:$U,ROW(),$C$6)="","",INDEX($A:$U,ROW(),$C$6)))</f>
        <v/>
      </c>
      <c r="X54" s="32">
        <f>IF($W54="","",IF(ISNUMBER($W54),IF($W54&gt;=10000000,IFERROR(DATE(INT($W54/10000),MOD(INT($W54/100),100),MOD($W54,100)),""),INT($W54)),IFERROR(DATE(--LEFT(LEFT(SUBSTITUTE(SUBSTITUTE(SUBSTITUTE(SUBSTITUTE(TRIM($W54),"-",""),".",""),"/","")," ",""),8),4),--MID(LEFT(SUBSTITUTE(SUBSTITUTE(SUBSTITUTE(SUBSTITUTE(TRIM($W54),"-",""),".",""),"/","")," ",""),8),5,2),--MID(LEFT(SUBSTITUTE(SUBSTITUTE(SUBSTITUTE(SUBSTITUTE(TRIM($W54),"-",""),".",""),"/","")," ",""),8),7,2)),"")))</f>
        <v/>
      </c>
      <c r="Y54" s="32">
        <f>IF($X54="","",INT($X54))</f>
        <v/>
      </c>
      <c r="Z54" s="33">
        <f>IF(OR($Y54="",$D$6=""),"",IF(INDEX($A:$U,ROW(),$D$6)="",0,IF(ISNUMBER(INDEX($A:$U,ROW(),$D$6)),INDEX($A:$U,ROW(),$D$6),IFERROR(--SUBSTITUTE(SUBSTITUTE(TRIM(INDEX($A:$U,ROW(),$D$6)),",",""),"원",""),0))))</f>
        <v/>
      </c>
      <c r="AA54" s="31">
        <f>IF($Y54="","",TRIM(INDEX($A:$U,ROW(),$E$6)&amp;IF($F$6="",""," "&amp;INDEX($A:$U,ROW(),$F$6))))</f>
        <v/>
      </c>
      <c r="AB54" s="31">
        <f>IF($AA54="","",SUBSTITUTE(SUBSTITUTE(SUBSTITUTE(SUBSTITUTE(SUBSTITUTE(SUBSTITUTE(SUBSTITUTE(SUBSTITUTE(SUBSTITUTE($AA54," ",""),"　",""),"(주)",""),"（주）",""),"㈜",""),"주식회사",""),"(유)",""),"（유）",""),"유한회사",""))</f>
        <v/>
      </c>
      <c r="AC54" s="31">
        <f>IF(OR($Y54="",N($Z54)&lt;=0,$AB54=""),0,IFERROR(LOOKUP(2,1/((거래처별!$AC$8:$AC$307&lt;&gt;"")*ISNUMBER(SEARCH(거래처별!$AC$8:$AC$307,$AB54))),거래처별!$A$8:$A$307),IFERROR(LOOKUP(2,1/((거래처별!$AD$8:$AD$307&lt;&gt;"")*ISNUMBER(SEARCH(거래처별!$AD$8:$AD$307,$AB54))),거래처별!$A$8:$A$307),IFERROR(LOOKUP(2,1/((거래처별!$AE$8:$AE$307&lt;&gt;"")*ISNUMBER(SEARCH(거래처별!$AE$8:$AE$307,$AB54))),거래처별!$A$8:$A$307),0))))</f>
        <v/>
      </c>
      <c r="AD54" s="31">
        <f>IF(AND($Y54&lt;&gt;"",N($Z54)&gt;0,$AC54=0),MAX($AD$7:$AD53)+1,"")</f>
        <v/>
      </c>
      <c r="AE54" s="31">
        <f>IF($Y54="",0,$Y54)</f>
        <v/>
      </c>
    </row>
    <row r="55">
      <c r="W55" s="31">
        <f>IF(OR($B$5="",$C$6="",ROW()&lt;$B$5),"",IF(INDEX($A:$U,ROW(),$C$6)="","",INDEX($A:$U,ROW(),$C$6)))</f>
        <v/>
      </c>
      <c r="X55" s="32">
        <f>IF($W55="","",IF(ISNUMBER($W55),IF($W55&gt;=10000000,IFERROR(DATE(INT($W55/10000),MOD(INT($W55/100),100),MOD($W55,100)),""),INT($W55)),IFERROR(DATE(--LEFT(LEFT(SUBSTITUTE(SUBSTITUTE(SUBSTITUTE(SUBSTITUTE(TRIM($W55),"-",""),".",""),"/","")," ",""),8),4),--MID(LEFT(SUBSTITUTE(SUBSTITUTE(SUBSTITUTE(SUBSTITUTE(TRIM($W55),"-",""),".",""),"/","")," ",""),8),5,2),--MID(LEFT(SUBSTITUTE(SUBSTITUTE(SUBSTITUTE(SUBSTITUTE(TRIM($W55),"-",""),".",""),"/","")," ",""),8),7,2)),"")))</f>
        <v/>
      </c>
      <c r="Y55" s="32">
        <f>IF($X55="","",INT($X55))</f>
        <v/>
      </c>
      <c r="Z55" s="33">
        <f>IF(OR($Y55="",$D$6=""),"",IF(INDEX($A:$U,ROW(),$D$6)="",0,IF(ISNUMBER(INDEX($A:$U,ROW(),$D$6)),INDEX($A:$U,ROW(),$D$6),IFERROR(--SUBSTITUTE(SUBSTITUTE(TRIM(INDEX($A:$U,ROW(),$D$6)),",",""),"원",""),0))))</f>
        <v/>
      </c>
      <c r="AA55" s="31">
        <f>IF($Y55="","",TRIM(INDEX($A:$U,ROW(),$E$6)&amp;IF($F$6="",""," "&amp;INDEX($A:$U,ROW(),$F$6))))</f>
        <v/>
      </c>
      <c r="AB55" s="31">
        <f>IF($AA55="","",SUBSTITUTE(SUBSTITUTE(SUBSTITUTE(SUBSTITUTE(SUBSTITUTE(SUBSTITUTE(SUBSTITUTE(SUBSTITUTE(SUBSTITUTE($AA55," ",""),"　",""),"(주)",""),"（주）",""),"㈜",""),"주식회사",""),"(유)",""),"（유）",""),"유한회사",""))</f>
        <v/>
      </c>
      <c r="AC55" s="31">
        <f>IF(OR($Y55="",N($Z55)&lt;=0,$AB55=""),0,IFERROR(LOOKUP(2,1/((거래처별!$AC$8:$AC$307&lt;&gt;"")*ISNUMBER(SEARCH(거래처별!$AC$8:$AC$307,$AB55))),거래처별!$A$8:$A$307),IFERROR(LOOKUP(2,1/((거래처별!$AD$8:$AD$307&lt;&gt;"")*ISNUMBER(SEARCH(거래처별!$AD$8:$AD$307,$AB55))),거래처별!$A$8:$A$307),IFERROR(LOOKUP(2,1/((거래처별!$AE$8:$AE$307&lt;&gt;"")*ISNUMBER(SEARCH(거래처별!$AE$8:$AE$307,$AB55))),거래처별!$A$8:$A$307),0))))</f>
        <v/>
      </c>
      <c r="AD55" s="31">
        <f>IF(AND($Y55&lt;&gt;"",N($Z55)&gt;0,$AC55=0),MAX($AD$7:$AD54)+1,"")</f>
        <v/>
      </c>
      <c r="AE55" s="31">
        <f>IF($Y55="",0,$Y55)</f>
        <v/>
      </c>
    </row>
    <row r="56">
      <c r="W56" s="31">
        <f>IF(OR($B$5="",$C$6="",ROW()&lt;$B$5),"",IF(INDEX($A:$U,ROW(),$C$6)="","",INDEX($A:$U,ROW(),$C$6)))</f>
        <v/>
      </c>
      <c r="X56" s="32">
        <f>IF($W56="","",IF(ISNUMBER($W56),IF($W56&gt;=10000000,IFERROR(DATE(INT($W56/10000),MOD(INT($W56/100),100),MOD($W56,100)),""),INT($W56)),IFERROR(DATE(--LEFT(LEFT(SUBSTITUTE(SUBSTITUTE(SUBSTITUTE(SUBSTITUTE(TRIM($W56),"-",""),".",""),"/","")," ",""),8),4),--MID(LEFT(SUBSTITUTE(SUBSTITUTE(SUBSTITUTE(SUBSTITUTE(TRIM($W56),"-",""),".",""),"/","")," ",""),8),5,2),--MID(LEFT(SUBSTITUTE(SUBSTITUTE(SUBSTITUTE(SUBSTITUTE(TRIM($W56),"-",""),".",""),"/","")," ",""),8),7,2)),"")))</f>
        <v/>
      </c>
      <c r="Y56" s="32">
        <f>IF($X56="","",INT($X56))</f>
        <v/>
      </c>
      <c r="Z56" s="33">
        <f>IF(OR($Y56="",$D$6=""),"",IF(INDEX($A:$U,ROW(),$D$6)="",0,IF(ISNUMBER(INDEX($A:$U,ROW(),$D$6)),INDEX($A:$U,ROW(),$D$6),IFERROR(--SUBSTITUTE(SUBSTITUTE(TRIM(INDEX($A:$U,ROW(),$D$6)),",",""),"원",""),0))))</f>
        <v/>
      </c>
      <c r="AA56" s="31">
        <f>IF($Y56="","",TRIM(INDEX($A:$U,ROW(),$E$6)&amp;IF($F$6="",""," "&amp;INDEX($A:$U,ROW(),$F$6))))</f>
        <v/>
      </c>
      <c r="AB56" s="31">
        <f>IF($AA56="","",SUBSTITUTE(SUBSTITUTE(SUBSTITUTE(SUBSTITUTE(SUBSTITUTE(SUBSTITUTE(SUBSTITUTE(SUBSTITUTE(SUBSTITUTE($AA56," ",""),"　",""),"(주)",""),"（주）",""),"㈜",""),"주식회사",""),"(유)",""),"（유）",""),"유한회사",""))</f>
        <v/>
      </c>
      <c r="AC56" s="31">
        <f>IF(OR($Y56="",N($Z56)&lt;=0,$AB56=""),0,IFERROR(LOOKUP(2,1/((거래처별!$AC$8:$AC$307&lt;&gt;"")*ISNUMBER(SEARCH(거래처별!$AC$8:$AC$307,$AB56))),거래처별!$A$8:$A$307),IFERROR(LOOKUP(2,1/((거래처별!$AD$8:$AD$307&lt;&gt;"")*ISNUMBER(SEARCH(거래처별!$AD$8:$AD$307,$AB56))),거래처별!$A$8:$A$307),IFERROR(LOOKUP(2,1/((거래처별!$AE$8:$AE$307&lt;&gt;"")*ISNUMBER(SEARCH(거래처별!$AE$8:$AE$307,$AB56))),거래처별!$A$8:$A$307),0))))</f>
        <v/>
      </c>
      <c r="AD56" s="31">
        <f>IF(AND($Y56&lt;&gt;"",N($Z56)&gt;0,$AC56=0),MAX($AD$7:$AD55)+1,"")</f>
        <v/>
      </c>
      <c r="AE56" s="31">
        <f>IF($Y56="",0,$Y56)</f>
        <v/>
      </c>
    </row>
    <row r="57">
      <c r="W57" s="31">
        <f>IF(OR($B$5="",$C$6="",ROW()&lt;$B$5),"",IF(INDEX($A:$U,ROW(),$C$6)="","",INDEX($A:$U,ROW(),$C$6)))</f>
        <v/>
      </c>
      <c r="X57" s="32">
        <f>IF($W57="","",IF(ISNUMBER($W57),IF($W57&gt;=10000000,IFERROR(DATE(INT($W57/10000),MOD(INT($W57/100),100),MOD($W57,100)),""),INT($W57)),IFERROR(DATE(--LEFT(LEFT(SUBSTITUTE(SUBSTITUTE(SUBSTITUTE(SUBSTITUTE(TRIM($W57),"-",""),".",""),"/","")," ",""),8),4),--MID(LEFT(SUBSTITUTE(SUBSTITUTE(SUBSTITUTE(SUBSTITUTE(TRIM($W57),"-",""),".",""),"/","")," ",""),8),5,2),--MID(LEFT(SUBSTITUTE(SUBSTITUTE(SUBSTITUTE(SUBSTITUTE(TRIM($W57),"-",""),".",""),"/","")," ",""),8),7,2)),"")))</f>
        <v/>
      </c>
      <c r="Y57" s="32">
        <f>IF($X57="","",INT($X57))</f>
        <v/>
      </c>
      <c r="Z57" s="33">
        <f>IF(OR($Y57="",$D$6=""),"",IF(INDEX($A:$U,ROW(),$D$6)="",0,IF(ISNUMBER(INDEX($A:$U,ROW(),$D$6)),INDEX($A:$U,ROW(),$D$6),IFERROR(--SUBSTITUTE(SUBSTITUTE(TRIM(INDEX($A:$U,ROW(),$D$6)),",",""),"원",""),0))))</f>
        <v/>
      </c>
      <c r="AA57" s="31">
        <f>IF($Y57="","",TRIM(INDEX($A:$U,ROW(),$E$6)&amp;IF($F$6="",""," "&amp;INDEX($A:$U,ROW(),$F$6))))</f>
        <v/>
      </c>
      <c r="AB57" s="31">
        <f>IF($AA57="","",SUBSTITUTE(SUBSTITUTE(SUBSTITUTE(SUBSTITUTE(SUBSTITUTE(SUBSTITUTE(SUBSTITUTE(SUBSTITUTE(SUBSTITUTE($AA57," ",""),"　",""),"(주)",""),"（주）",""),"㈜",""),"주식회사",""),"(유)",""),"（유）",""),"유한회사",""))</f>
        <v/>
      </c>
      <c r="AC57" s="31">
        <f>IF(OR($Y57="",N($Z57)&lt;=0,$AB57=""),0,IFERROR(LOOKUP(2,1/((거래처별!$AC$8:$AC$307&lt;&gt;"")*ISNUMBER(SEARCH(거래처별!$AC$8:$AC$307,$AB57))),거래처별!$A$8:$A$307),IFERROR(LOOKUP(2,1/((거래처별!$AD$8:$AD$307&lt;&gt;"")*ISNUMBER(SEARCH(거래처별!$AD$8:$AD$307,$AB57))),거래처별!$A$8:$A$307),IFERROR(LOOKUP(2,1/((거래처별!$AE$8:$AE$307&lt;&gt;"")*ISNUMBER(SEARCH(거래처별!$AE$8:$AE$307,$AB57))),거래처별!$A$8:$A$307),0))))</f>
        <v/>
      </c>
      <c r="AD57" s="31">
        <f>IF(AND($Y57&lt;&gt;"",N($Z57)&gt;0,$AC57=0),MAX($AD$7:$AD56)+1,"")</f>
        <v/>
      </c>
      <c r="AE57" s="31">
        <f>IF($Y57="",0,$Y57)</f>
        <v/>
      </c>
    </row>
    <row r="58">
      <c r="W58" s="31">
        <f>IF(OR($B$5="",$C$6="",ROW()&lt;$B$5),"",IF(INDEX($A:$U,ROW(),$C$6)="","",INDEX($A:$U,ROW(),$C$6)))</f>
        <v/>
      </c>
      <c r="X58" s="32">
        <f>IF($W58="","",IF(ISNUMBER($W58),IF($W58&gt;=10000000,IFERROR(DATE(INT($W58/10000),MOD(INT($W58/100),100),MOD($W58,100)),""),INT($W58)),IFERROR(DATE(--LEFT(LEFT(SUBSTITUTE(SUBSTITUTE(SUBSTITUTE(SUBSTITUTE(TRIM($W58),"-",""),".",""),"/","")," ",""),8),4),--MID(LEFT(SUBSTITUTE(SUBSTITUTE(SUBSTITUTE(SUBSTITUTE(TRIM($W58),"-",""),".",""),"/","")," ",""),8),5,2),--MID(LEFT(SUBSTITUTE(SUBSTITUTE(SUBSTITUTE(SUBSTITUTE(TRIM($W58),"-",""),".",""),"/","")," ",""),8),7,2)),"")))</f>
        <v/>
      </c>
      <c r="Y58" s="32">
        <f>IF($X58="","",INT($X58))</f>
        <v/>
      </c>
      <c r="Z58" s="33">
        <f>IF(OR($Y58="",$D$6=""),"",IF(INDEX($A:$U,ROW(),$D$6)="",0,IF(ISNUMBER(INDEX($A:$U,ROW(),$D$6)),INDEX($A:$U,ROW(),$D$6),IFERROR(--SUBSTITUTE(SUBSTITUTE(TRIM(INDEX($A:$U,ROW(),$D$6)),",",""),"원",""),0))))</f>
        <v/>
      </c>
      <c r="AA58" s="31">
        <f>IF($Y58="","",TRIM(INDEX($A:$U,ROW(),$E$6)&amp;IF($F$6="",""," "&amp;INDEX($A:$U,ROW(),$F$6))))</f>
        <v/>
      </c>
      <c r="AB58" s="31">
        <f>IF($AA58="","",SUBSTITUTE(SUBSTITUTE(SUBSTITUTE(SUBSTITUTE(SUBSTITUTE(SUBSTITUTE(SUBSTITUTE(SUBSTITUTE(SUBSTITUTE($AA58," ",""),"　",""),"(주)",""),"（주）",""),"㈜",""),"주식회사",""),"(유)",""),"（유）",""),"유한회사",""))</f>
        <v/>
      </c>
      <c r="AC58" s="31">
        <f>IF(OR($Y58="",N($Z58)&lt;=0,$AB58=""),0,IFERROR(LOOKUP(2,1/((거래처별!$AC$8:$AC$307&lt;&gt;"")*ISNUMBER(SEARCH(거래처별!$AC$8:$AC$307,$AB58))),거래처별!$A$8:$A$307),IFERROR(LOOKUP(2,1/((거래처별!$AD$8:$AD$307&lt;&gt;"")*ISNUMBER(SEARCH(거래처별!$AD$8:$AD$307,$AB58))),거래처별!$A$8:$A$307),IFERROR(LOOKUP(2,1/((거래처별!$AE$8:$AE$307&lt;&gt;"")*ISNUMBER(SEARCH(거래처별!$AE$8:$AE$307,$AB58))),거래처별!$A$8:$A$307),0))))</f>
        <v/>
      </c>
      <c r="AD58" s="31">
        <f>IF(AND($Y58&lt;&gt;"",N($Z58)&gt;0,$AC58=0),MAX($AD$7:$AD57)+1,"")</f>
        <v/>
      </c>
      <c r="AE58" s="31">
        <f>IF($Y58="",0,$Y58)</f>
        <v/>
      </c>
    </row>
    <row r="59">
      <c r="W59" s="31">
        <f>IF(OR($B$5="",$C$6="",ROW()&lt;$B$5),"",IF(INDEX($A:$U,ROW(),$C$6)="","",INDEX($A:$U,ROW(),$C$6)))</f>
        <v/>
      </c>
      <c r="X59" s="32">
        <f>IF($W59="","",IF(ISNUMBER($W59),IF($W59&gt;=10000000,IFERROR(DATE(INT($W59/10000),MOD(INT($W59/100),100),MOD($W59,100)),""),INT($W59)),IFERROR(DATE(--LEFT(LEFT(SUBSTITUTE(SUBSTITUTE(SUBSTITUTE(SUBSTITUTE(TRIM($W59),"-",""),".",""),"/","")," ",""),8),4),--MID(LEFT(SUBSTITUTE(SUBSTITUTE(SUBSTITUTE(SUBSTITUTE(TRIM($W59),"-",""),".",""),"/","")," ",""),8),5,2),--MID(LEFT(SUBSTITUTE(SUBSTITUTE(SUBSTITUTE(SUBSTITUTE(TRIM($W59),"-",""),".",""),"/","")," ",""),8),7,2)),"")))</f>
        <v/>
      </c>
      <c r="Y59" s="32">
        <f>IF($X59="","",INT($X59))</f>
        <v/>
      </c>
      <c r="Z59" s="33">
        <f>IF(OR($Y59="",$D$6=""),"",IF(INDEX($A:$U,ROW(),$D$6)="",0,IF(ISNUMBER(INDEX($A:$U,ROW(),$D$6)),INDEX($A:$U,ROW(),$D$6),IFERROR(--SUBSTITUTE(SUBSTITUTE(TRIM(INDEX($A:$U,ROW(),$D$6)),",",""),"원",""),0))))</f>
        <v/>
      </c>
      <c r="AA59" s="31">
        <f>IF($Y59="","",TRIM(INDEX($A:$U,ROW(),$E$6)&amp;IF($F$6="",""," "&amp;INDEX($A:$U,ROW(),$F$6))))</f>
        <v/>
      </c>
      <c r="AB59" s="31">
        <f>IF($AA59="","",SUBSTITUTE(SUBSTITUTE(SUBSTITUTE(SUBSTITUTE(SUBSTITUTE(SUBSTITUTE(SUBSTITUTE(SUBSTITUTE(SUBSTITUTE($AA59," ",""),"　",""),"(주)",""),"（주）",""),"㈜",""),"주식회사",""),"(유)",""),"（유）",""),"유한회사",""))</f>
        <v/>
      </c>
      <c r="AC59" s="31">
        <f>IF(OR($Y59="",N($Z59)&lt;=0,$AB59=""),0,IFERROR(LOOKUP(2,1/((거래처별!$AC$8:$AC$307&lt;&gt;"")*ISNUMBER(SEARCH(거래처별!$AC$8:$AC$307,$AB59))),거래처별!$A$8:$A$307),IFERROR(LOOKUP(2,1/((거래처별!$AD$8:$AD$307&lt;&gt;"")*ISNUMBER(SEARCH(거래처별!$AD$8:$AD$307,$AB59))),거래처별!$A$8:$A$307),IFERROR(LOOKUP(2,1/((거래처별!$AE$8:$AE$307&lt;&gt;"")*ISNUMBER(SEARCH(거래처별!$AE$8:$AE$307,$AB59))),거래처별!$A$8:$A$307),0))))</f>
        <v/>
      </c>
      <c r="AD59" s="31">
        <f>IF(AND($Y59&lt;&gt;"",N($Z59)&gt;0,$AC59=0),MAX($AD$7:$AD58)+1,"")</f>
        <v/>
      </c>
      <c r="AE59" s="31">
        <f>IF($Y59="",0,$Y59)</f>
        <v/>
      </c>
    </row>
    <row r="60">
      <c r="W60" s="31">
        <f>IF(OR($B$5="",$C$6="",ROW()&lt;$B$5),"",IF(INDEX($A:$U,ROW(),$C$6)="","",INDEX($A:$U,ROW(),$C$6)))</f>
        <v/>
      </c>
      <c r="X60" s="32">
        <f>IF($W60="","",IF(ISNUMBER($W60),IF($W60&gt;=10000000,IFERROR(DATE(INT($W60/10000),MOD(INT($W60/100),100),MOD($W60,100)),""),INT($W60)),IFERROR(DATE(--LEFT(LEFT(SUBSTITUTE(SUBSTITUTE(SUBSTITUTE(SUBSTITUTE(TRIM($W60),"-",""),".",""),"/","")," ",""),8),4),--MID(LEFT(SUBSTITUTE(SUBSTITUTE(SUBSTITUTE(SUBSTITUTE(TRIM($W60),"-",""),".",""),"/","")," ",""),8),5,2),--MID(LEFT(SUBSTITUTE(SUBSTITUTE(SUBSTITUTE(SUBSTITUTE(TRIM($W60),"-",""),".",""),"/","")," ",""),8),7,2)),"")))</f>
        <v/>
      </c>
      <c r="Y60" s="32">
        <f>IF($X60="","",INT($X60))</f>
        <v/>
      </c>
      <c r="Z60" s="33">
        <f>IF(OR($Y60="",$D$6=""),"",IF(INDEX($A:$U,ROW(),$D$6)="",0,IF(ISNUMBER(INDEX($A:$U,ROW(),$D$6)),INDEX($A:$U,ROW(),$D$6),IFERROR(--SUBSTITUTE(SUBSTITUTE(TRIM(INDEX($A:$U,ROW(),$D$6)),",",""),"원",""),0))))</f>
        <v/>
      </c>
      <c r="AA60" s="31">
        <f>IF($Y60="","",TRIM(INDEX($A:$U,ROW(),$E$6)&amp;IF($F$6="",""," "&amp;INDEX($A:$U,ROW(),$F$6))))</f>
        <v/>
      </c>
      <c r="AB60" s="31">
        <f>IF($AA60="","",SUBSTITUTE(SUBSTITUTE(SUBSTITUTE(SUBSTITUTE(SUBSTITUTE(SUBSTITUTE(SUBSTITUTE(SUBSTITUTE(SUBSTITUTE($AA60," ",""),"　",""),"(주)",""),"（주）",""),"㈜",""),"주식회사",""),"(유)",""),"（유）",""),"유한회사",""))</f>
        <v/>
      </c>
      <c r="AC60" s="31">
        <f>IF(OR($Y60="",N($Z60)&lt;=0,$AB60=""),0,IFERROR(LOOKUP(2,1/((거래처별!$AC$8:$AC$307&lt;&gt;"")*ISNUMBER(SEARCH(거래처별!$AC$8:$AC$307,$AB60))),거래처별!$A$8:$A$307),IFERROR(LOOKUP(2,1/((거래처별!$AD$8:$AD$307&lt;&gt;"")*ISNUMBER(SEARCH(거래처별!$AD$8:$AD$307,$AB60))),거래처별!$A$8:$A$307),IFERROR(LOOKUP(2,1/((거래처별!$AE$8:$AE$307&lt;&gt;"")*ISNUMBER(SEARCH(거래처별!$AE$8:$AE$307,$AB60))),거래처별!$A$8:$A$307),0))))</f>
        <v/>
      </c>
      <c r="AD60" s="31">
        <f>IF(AND($Y60&lt;&gt;"",N($Z60)&gt;0,$AC60=0),MAX($AD$7:$AD59)+1,"")</f>
        <v/>
      </c>
      <c r="AE60" s="31">
        <f>IF($Y60="",0,$Y60)</f>
        <v/>
      </c>
    </row>
    <row r="61">
      <c r="W61" s="31">
        <f>IF(OR($B$5="",$C$6="",ROW()&lt;$B$5),"",IF(INDEX($A:$U,ROW(),$C$6)="","",INDEX($A:$U,ROW(),$C$6)))</f>
        <v/>
      </c>
      <c r="X61" s="32">
        <f>IF($W61="","",IF(ISNUMBER($W61),IF($W61&gt;=10000000,IFERROR(DATE(INT($W61/10000),MOD(INT($W61/100),100),MOD($W61,100)),""),INT($W61)),IFERROR(DATE(--LEFT(LEFT(SUBSTITUTE(SUBSTITUTE(SUBSTITUTE(SUBSTITUTE(TRIM($W61),"-",""),".",""),"/","")," ",""),8),4),--MID(LEFT(SUBSTITUTE(SUBSTITUTE(SUBSTITUTE(SUBSTITUTE(TRIM($W61),"-",""),".",""),"/","")," ",""),8),5,2),--MID(LEFT(SUBSTITUTE(SUBSTITUTE(SUBSTITUTE(SUBSTITUTE(TRIM($W61),"-",""),".",""),"/","")," ",""),8),7,2)),"")))</f>
        <v/>
      </c>
      <c r="Y61" s="32">
        <f>IF($X61="","",INT($X61))</f>
        <v/>
      </c>
      <c r="Z61" s="33">
        <f>IF(OR($Y61="",$D$6=""),"",IF(INDEX($A:$U,ROW(),$D$6)="",0,IF(ISNUMBER(INDEX($A:$U,ROW(),$D$6)),INDEX($A:$U,ROW(),$D$6),IFERROR(--SUBSTITUTE(SUBSTITUTE(TRIM(INDEX($A:$U,ROW(),$D$6)),",",""),"원",""),0))))</f>
        <v/>
      </c>
      <c r="AA61" s="31">
        <f>IF($Y61="","",TRIM(INDEX($A:$U,ROW(),$E$6)&amp;IF($F$6="",""," "&amp;INDEX($A:$U,ROW(),$F$6))))</f>
        <v/>
      </c>
      <c r="AB61" s="31">
        <f>IF($AA61="","",SUBSTITUTE(SUBSTITUTE(SUBSTITUTE(SUBSTITUTE(SUBSTITUTE(SUBSTITUTE(SUBSTITUTE(SUBSTITUTE(SUBSTITUTE($AA61," ",""),"　",""),"(주)",""),"（주）",""),"㈜",""),"주식회사",""),"(유)",""),"（유）",""),"유한회사",""))</f>
        <v/>
      </c>
      <c r="AC61" s="31">
        <f>IF(OR($Y61="",N($Z61)&lt;=0,$AB61=""),0,IFERROR(LOOKUP(2,1/((거래처별!$AC$8:$AC$307&lt;&gt;"")*ISNUMBER(SEARCH(거래처별!$AC$8:$AC$307,$AB61))),거래처별!$A$8:$A$307),IFERROR(LOOKUP(2,1/((거래처별!$AD$8:$AD$307&lt;&gt;"")*ISNUMBER(SEARCH(거래처별!$AD$8:$AD$307,$AB61))),거래처별!$A$8:$A$307),IFERROR(LOOKUP(2,1/((거래처별!$AE$8:$AE$307&lt;&gt;"")*ISNUMBER(SEARCH(거래처별!$AE$8:$AE$307,$AB61))),거래처별!$A$8:$A$307),0))))</f>
        <v/>
      </c>
      <c r="AD61" s="31">
        <f>IF(AND($Y61&lt;&gt;"",N($Z61)&gt;0,$AC61=0),MAX($AD$7:$AD60)+1,"")</f>
        <v/>
      </c>
      <c r="AE61" s="31">
        <f>IF($Y61="",0,$Y61)</f>
        <v/>
      </c>
    </row>
    <row r="62">
      <c r="W62" s="31">
        <f>IF(OR($B$5="",$C$6="",ROW()&lt;$B$5),"",IF(INDEX($A:$U,ROW(),$C$6)="","",INDEX($A:$U,ROW(),$C$6)))</f>
        <v/>
      </c>
      <c r="X62" s="32">
        <f>IF($W62="","",IF(ISNUMBER($W62),IF($W62&gt;=10000000,IFERROR(DATE(INT($W62/10000),MOD(INT($W62/100),100),MOD($W62,100)),""),INT($W62)),IFERROR(DATE(--LEFT(LEFT(SUBSTITUTE(SUBSTITUTE(SUBSTITUTE(SUBSTITUTE(TRIM($W62),"-",""),".",""),"/","")," ",""),8),4),--MID(LEFT(SUBSTITUTE(SUBSTITUTE(SUBSTITUTE(SUBSTITUTE(TRIM($W62),"-",""),".",""),"/","")," ",""),8),5,2),--MID(LEFT(SUBSTITUTE(SUBSTITUTE(SUBSTITUTE(SUBSTITUTE(TRIM($W62),"-",""),".",""),"/","")," ",""),8),7,2)),"")))</f>
        <v/>
      </c>
      <c r="Y62" s="32">
        <f>IF($X62="","",INT($X62))</f>
        <v/>
      </c>
      <c r="Z62" s="33">
        <f>IF(OR($Y62="",$D$6=""),"",IF(INDEX($A:$U,ROW(),$D$6)="",0,IF(ISNUMBER(INDEX($A:$U,ROW(),$D$6)),INDEX($A:$U,ROW(),$D$6),IFERROR(--SUBSTITUTE(SUBSTITUTE(TRIM(INDEX($A:$U,ROW(),$D$6)),",",""),"원",""),0))))</f>
        <v/>
      </c>
      <c r="AA62" s="31">
        <f>IF($Y62="","",TRIM(INDEX($A:$U,ROW(),$E$6)&amp;IF($F$6="",""," "&amp;INDEX($A:$U,ROW(),$F$6))))</f>
        <v/>
      </c>
      <c r="AB62" s="31">
        <f>IF($AA62="","",SUBSTITUTE(SUBSTITUTE(SUBSTITUTE(SUBSTITUTE(SUBSTITUTE(SUBSTITUTE(SUBSTITUTE(SUBSTITUTE(SUBSTITUTE($AA62," ",""),"　",""),"(주)",""),"（주）",""),"㈜",""),"주식회사",""),"(유)",""),"（유）",""),"유한회사",""))</f>
        <v/>
      </c>
      <c r="AC62" s="31">
        <f>IF(OR($Y62="",N($Z62)&lt;=0,$AB62=""),0,IFERROR(LOOKUP(2,1/((거래처별!$AC$8:$AC$307&lt;&gt;"")*ISNUMBER(SEARCH(거래처별!$AC$8:$AC$307,$AB62))),거래처별!$A$8:$A$307),IFERROR(LOOKUP(2,1/((거래처별!$AD$8:$AD$307&lt;&gt;"")*ISNUMBER(SEARCH(거래처별!$AD$8:$AD$307,$AB62))),거래처별!$A$8:$A$307),IFERROR(LOOKUP(2,1/((거래처별!$AE$8:$AE$307&lt;&gt;"")*ISNUMBER(SEARCH(거래처별!$AE$8:$AE$307,$AB62))),거래처별!$A$8:$A$307),0))))</f>
        <v/>
      </c>
      <c r="AD62" s="31">
        <f>IF(AND($Y62&lt;&gt;"",N($Z62)&gt;0,$AC62=0),MAX($AD$7:$AD61)+1,"")</f>
        <v/>
      </c>
      <c r="AE62" s="31">
        <f>IF($Y62="",0,$Y62)</f>
        <v/>
      </c>
    </row>
    <row r="63">
      <c r="W63" s="31">
        <f>IF(OR($B$5="",$C$6="",ROW()&lt;$B$5),"",IF(INDEX($A:$U,ROW(),$C$6)="","",INDEX($A:$U,ROW(),$C$6)))</f>
        <v/>
      </c>
      <c r="X63" s="32">
        <f>IF($W63="","",IF(ISNUMBER($W63),IF($W63&gt;=10000000,IFERROR(DATE(INT($W63/10000),MOD(INT($W63/100),100),MOD($W63,100)),""),INT($W63)),IFERROR(DATE(--LEFT(LEFT(SUBSTITUTE(SUBSTITUTE(SUBSTITUTE(SUBSTITUTE(TRIM($W63),"-",""),".",""),"/","")," ",""),8),4),--MID(LEFT(SUBSTITUTE(SUBSTITUTE(SUBSTITUTE(SUBSTITUTE(TRIM($W63),"-",""),".",""),"/","")," ",""),8),5,2),--MID(LEFT(SUBSTITUTE(SUBSTITUTE(SUBSTITUTE(SUBSTITUTE(TRIM($W63),"-",""),".",""),"/","")," ",""),8),7,2)),"")))</f>
        <v/>
      </c>
      <c r="Y63" s="32">
        <f>IF($X63="","",INT($X63))</f>
        <v/>
      </c>
      <c r="Z63" s="33">
        <f>IF(OR($Y63="",$D$6=""),"",IF(INDEX($A:$U,ROW(),$D$6)="",0,IF(ISNUMBER(INDEX($A:$U,ROW(),$D$6)),INDEX($A:$U,ROW(),$D$6),IFERROR(--SUBSTITUTE(SUBSTITUTE(TRIM(INDEX($A:$U,ROW(),$D$6)),",",""),"원",""),0))))</f>
        <v/>
      </c>
      <c r="AA63" s="31">
        <f>IF($Y63="","",TRIM(INDEX($A:$U,ROW(),$E$6)&amp;IF($F$6="",""," "&amp;INDEX($A:$U,ROW(),$F$6))))</f>
        <v/>
      </c>
      <c r="AB63" s="31">
        <f>IF($AA63="","",SUBSTITUTE(SUBSTITUTE(SUBSTITUTE(SUBSTITUTE(SUBSTITUTE(SUBSTITUTE(SUBSTITUTE(SUBSTITUTE(SUBSTITUTE($AA63," ",""),"　",""),"(주)",""),"（주）",""),"㈜",""),"주식회사",""),"(유)",""),"（유）",""),"유한회사",""))</f>
        <v/>
      </c>
      <c r="AC63" s="31">
        <f>IF(OR($Y63="",N($Z63)&lt;=0,$AB63=""),0,IFERROR(LOOKUP(2,1/((거래처별!$AC$8:$AC$307&lt;&gt;"")*ISNUMBER(SEARCH(거래처별!$AC$8:$AC$307,$AB63))),거래처별!$A$8:$A$307),IFERROR(LOOKUP(2,1/((거래처별!$AD$8:$AD$307&lt;&gt;"")*ISNUMBER(SEARCH(거래처별!$AD$8:$AD$307,$AB63))),거래처별!$A$8:$A$307),IFERROR(LOOKUP(2,1/((거래처별!$AE$8:$AE$307&lt;&gt;"")*ISNUMBER(SEARCH(거래처별!$AE$8:$AE$307,$AB63))),거래처별!$A$8:$A$307),0))))</f>
        <v/>
      </c>
      <c r="AD63" s="31">
        <f>IF(AND($Y63&lt;&gt;"",N($Z63)&gt;0,$AC63=0),MAX($AD$7:$AD62)+1,"")</f>
        <v/>
      </c>
      <c r="AE63" s="31">
        <f>IF($Y63="",0,$Y63)</f>
        <v/>
      </c>
    </row>
    <row r="64">
      <c r="W64" s="31">
        <f>IF(OR($B$5="",$C$6="",ROW()&lt;$B$5),"",IF(INDEX($A:$U,ROW(),$C$6)="","",INDEX($A:$U,ROW(),$C$6)))</f>
        <v/>
      </c>
      <c r="X64" s="32">
        <f>IF($W64="","",IF(ISNUMBER($W64),IF($W64&gt;=10000000,IFERROR(DATE(INT($W64/10000),MOD(INT($W64/100),100),MOD($W64,100)),""),INT($W64)),IFERROR(DATE(--LEFT(LEFT(SUBSTITUTE(SUBSTITUTE(SUBSTITUTE(SUBSTITUTE(TRIM($W64),"-",""),".",""),"/","")," ",""),8),4),--MID(LEFT(SUBSTITUTE(SUBSTITUTE(SUBSTITUTE(SUBSTITUTE(TRIM($W64),"-",""),".",""),"/","")," ",""),8),5,2),--MID(LEFT(SUBSTITUTE(SUBSTITUTE(SUBSTITUTE(SUBSTITUTE(TRIM($W64),"-",""),".",""),"/","")," ",""),8),7,2)),"")))</f>
        <v/>
      </c>
      <c r="Y64" s="32">
        <f>IF($X64="","",INT($X64))</f>
        <v/>
      </c>
      <c r="Z64" s="33">
        <f>IF(OR($Y64="",$D$6=""),"",IF(INDEX($A:$U,ROW(),$D$6)="",0,IF(ISNUMBER(INDEX($A:$U,ROW(),$D$6)),INDEX($A:$U,ROW(),$D$6),IFERROR(--SUBSTITUTE(SUBSTITUTE(TRIM(INDEX($A:$U,ROW(),$D$6)),",",""),"원",""),0))))</f>
        <v/>
      </c>
      <c r="AA64" s="31">
        <f>IF($Y64="","",TRIM(INDEX($A:$U,ROW(),$E$6)&amp;IF($F$6="",""," "&amp;INDEX($A:$U,ROW(),$F$6))))</f>
        <v/>
      </c>
      <c r="AB64" s="31">
        <f>IF($AA64="","",SUBSTITUTE(SUBSTITUTE(SUBSTITUTE(SUBSTITUTE(SUBSTITUTE(SUBSTITUTE(SUBSTITUTE(SUBSTITUTE(SUBSTITUTE($AA64," ",""),"　",""),"(주)",""),"（주）",""),"㈜",""),"주식회사",""),"(유)",""),"（유）",""),"유한회사",""))</f>
        <v/>
      </c>
      <c r="AC64" s="31">
        <f>IF(OR($Y64="",N($Z64)&lt;=0,$AB64=""),0,IFERROR(LOOKUP(2,1/((거래처별!$AC$8:$AC$307&lt;&gt;"")*ISNUMBER(SEARCH(거래처별!$AC$8:$AC$307,$AB64))),거래처별!$A$8:$A$307),IFERROR(LOOKUP(2,1/((거래처별!$AD$8:$AD$307&lt;&gt;"")*ISNUMBER(SEARCH(거래처별!$AD$8:$AD$307,$AB64))),거래처별!$A$8:$A$307),IFERROR(LOOKUP(2,1/((거래처별!$AE$8:$AE$307&lt;&gt;"")*ISNUMBER(SEARCH(거래처별!$AE$8:$AE$307,$AB64))),거래처별!$A$8:$A$307),0))))</f>
        <v/>
      </c>
      <c r="AD64" s="31">
        <f>IF(AND($Y64&lt;&gt;"",N($Z64)&gt;0,$AC64=0),MAX($AD$7:$AD63)+1,"")</f>
        <v/>
      </c>
      <c r="AE64" s="31">
        <f>IF($Y64="",0,$Y64)</f>
        <v/>
      </c>
    </row>
    <row r="65">
      <c r="W65" s="31">
        <f>IF(OR($B$5="",$C$6="",ROW()&lt;$B$5),"",IF(INDEX($A:$U,ROW(),$C$6)="","",INDEX($A:$U,ROW(),$C$6)))</f>
        <v/>
      </c>
      <c r="X65" s="32">
        <f>IF($W65="","",IF(ISNUMBER($W65),IF($W65&gt;=10000000,IFERROR(DATE(INT($W65/10000),MOD(INT($W65/100),100),MOD($W65,100)),""),INT($W65)),IFERROR(DATE(--LEFT(LEFT(SUBSTITUTE(SUBSTITUTE(SUBSTITUTE(SUBSTITUTE(TRIM($W65),"-",""),".",""),"/","")," ",""),8),4),--MID(LEFT(SUBSTITUTE(SUBSTITUTE(SUBSTITUTE(SUBSTITUTE(TRIM($W65),"-",""),".",""),"/","")," ",""),8),5,2),--MID(LEFT(SUBSTITUTE(SUBSTITUTE(SUBSTITUTE(SUBSTITUTE(TRIM($W65),"-",""),".",""),"/","")," ",""),8),7,2)),"")))</f>
        <v/>
      </c>
      <c r="Y65" s="32">
        <f>IF($X65="","",INT($X65))</f>
        <v/>
      </c>
      <c r="Z65" s="33">
        <f>IF(OR($Y65="",$D$6=""),"",IF(INDEX($A:$U,ROW(),$D$6)="",0,IF(ISNUMBER(INDEX($A:$U,ROW(),$D$6)),INDEX($A:$U,ROW(),$D$6),IFERROR(--SUBSTITUTE(SUBSTITUTE(TRIM(INDEX($A:$U,ROW(),$D$6)),",",""),"원",""),0))))</f>
        <v/>
      </c>
      <c r="AA65" s="31">
        <f>IF($Y65="","",TRIM(INDEX($A:$U,ROW(),$E$6)&amp;IF($F$6="",""," "&amp;INDEX($A:$U,ROW(),$F$6))))</f>
        <v/>
      </c>
      <c r="AB65" s="31">
        <f>IF($AA65="","",SUBSTITUTE(SUBSTITUTE(SUBSTITUTE(SUBSTITUTE(SUBSTITUTE(SUBSTITUTE(SUBSTITUTE(SUBSTITUTE(SUBSTITUTE($AA65," ",""),"　",""),"(주)",""),"（주）",""),"㈜",""),"주식회사",""),"(유)",""),"（유）",""),"유한회사",""))</f>
        <v/>
      </c>
      <c r="AC65" s="31">
        <f>IF(OR($Y65="",N($Z65)&lt;=0,$AB65=""),0,IFERROR(LOOKUP(2,1/((거래처별!$AC$8:$AC$307&lt;&gt;"")*ISNUMBER(SEARCH(거래처별!$AC$8:$AC$307,$AB65))),거래처별!$A$8:$A$307),IFERROR(LOOKUP(2,1/((거래처별!$AD$8:$AD$307&lt;&gt;"")*ISNUMBER(SEARCH(거래처별!$AD$8:$AD$307,$AB65))),거래처별!$A$8:$A$307),IFERROR(LOOKUP(2,1/((거래처별!$AE$8:$AE$307&lt;&gt;"")*ISNUMBER(SEARCH(거래처별!$AE$8:$AE$307,$AB65))),거래처별!$A$8:$A$307),0))))</f>
        <v/>
      </c>
      <c r="AD65" s="31">
        <f>IF(AND($Y65&lt;&gt;"",N($Z65)&gt;0,$AC65=0),MAX($AD$7:$AD64)+1,"")</f>
        <v/>
      </c>
      <c r="AE65" s="31">
        <f>IF($Y65="",0,$Y65)</f>
        <v/>
      </c>
    </row>
    <row r="66">
      <c r="W66" s="31">
        <f>IF(OR($B$5="",$C$6="",ROW()&lt;$B$5),"",IF(INDEX($A:$U,ROW(),$C$6)="","",INDEX($A:$U,ROW(),$C$6)))</f>
        <v/>
      </c>
      <c r="X66" s="32">
        <f>IF($W66="","",IF(ISNUMBER($W66),IF($W66&gt;=10000000,IFERROR(DATE(INT($W66/10000),MOD(INT($W66/100),100),MOD($W66,100)),""),INT($W66)),IFERROR(DATE(--LEFT(LEFT(SUBSTITUTE(SUBSTITUTE(SUBSTITUTE(SUBSTITUTE(TRIM($W66),"-",""),".",""),"/","")," ",""),8),4),--MID(LEFT(SUBSTITUTE(SUBSTITUTE(SUBSTITUTE(SUBSTITUTE(TRIM($W66),"-",""),".",""),"/","")," ",""),8),5,2),--MID(LEFT(SUBSTITUTE(SUBSTITUTE(SUBSTITUTE(SUBSTITUTE(TRIM($W66),"-",""),".",""),"/","")," ",""),8),7,2)),"")))</f>
        <v/>
      </c>
      <c r="Y66" s="32">
        <f>IF($X66="","",INT($X66))</f>
        <v/>
      </c>
      <c r="Z66" s="33">
        <f>IF(OR($Y66="",$D$6=""),"",IF(INDEX($A:$U,ROW(),$D$6)="",0,IF(ISNUMBER(INDEX($A:$U,ROW(),$D$6)),INDEX($A:$U,ROW(),$D$6),IFERROR(--SUBSTITUTE(SUBSTITUTE(TRIM(INDEX($A:$U,ROW(),$D$6)),",",""),"원",""),0))))</f>
        <v/>
      </c>
      <c r="AA66" s="31">
        <f>IF($Y66="","",TRIM(INDEX($A:$U,ROW(),$E$6)&amp;IF($F$6="",""," "&amp;INDEX($A:$U,ROW(),$F$6))))</f>
        <v/>
      </c>
      <c r="AB66" s="31">
        <f>IF($AA66="","",SUBSTITUTE(SUBSTITUTE(SUBSTITUTE(SUBSTITUTE(SUBSTITUTE(SUBSTITUTE(SUBSTITUTE(SUBSTITUTE(SUBSTITUTE($AA66," ",""),"　",""),"(주)",""),"（주）",""),"㈜",""),"주식회사",""),"(유)",""),"（유）",""),"유한회사",""))</f>
        <v/>
      </c>
      <c r="AC66" s="31">
        <f>IF(OR($Y66="",N($Z66)&lt;=0,$AB66=""),0,IFERROR(LOOKUP(2,1/((거래처별!$AC$8:$AC$307&lt;&gt;"")*ISNUMBER(SEARCH(거래처별!$AC$8:$AC$307,$AB66))),거래처별!$A$8:$A$307),IFERROR(LOOKUP(2,1/((거래처별!$AD$8:$AD$307&lt;&gt;"")*ISNUMBER(SEARCH(거래처별!$AD$8:$AD$307,$AB66))),거래처별!$A$8:$A$307),IFERROR(LOOKUP(2,1/((거래처별!$AE$8:$AE$307&lt;&gt;"")*ISNUMBER(SEARCH(거래처별!$AE$8:$AE$307,$AB66))),거래처별!$A$8:$A$307),0))))</f>
        <v/>
      </c>
      <c r="AD66" s="31">
        <f>IF(AND($Y66&lt;&gt;"",N($Z66)&gt;0,$AC66=0),MAX($AD$7:$AD65)+1,"")</f>
        <v/>
      </c>
      <c r="AE66" s="31">
        <f>IF($Y66="",0,$Y66)</f>
        <v/>
      </c>
    </row>
    <row r="67">
      <c r="W67" s="31">
        <f>IF(OR($B$5="",$C$6="",ROW()&lt;$B$5),"",IF(INDEX($A:$U,ROW(),$C$6)="","",INDEX($A:$U,ROW(),$C$6)))</f>
        <v/>
      </c>
      <c r="X67" s="32">
        <f>IF($W67="","",IF(ISNUMBER($W67),IF($W67&gt;=10000000,IFERROR(DATE(INT($W67/10000),MOD(INT($W67/100),100),MOD($W67,100)),""),INT($W67)),IFERROR(DATE(--LEFT(LEFT(SUBSTITUTE(SUBSTITUTE(SUBSTITUTE(SUBSTITUTE(TRIM($W67),"-",""),".",""),"/","")," ",""),8),4),--MID(LEFT(SUBSTITUTE(SUBSTITUTE(SUBSTITUTE(SUBSTITUTE(TRIM($W67),"-",""),".",""),"/","")," ",""),8),5,2),--MID(LEFT(SUBSTITUTE(SUBSTITUTE(SUBSTITUTE(SUBSTITUTE(TRIM($W67),"-",""),".",""),"/","")," ",""),8),7,2)),"")))</f>
        <v/>
      </c>
      <c r="Y67" s="32">
        <f>IF($X67="","",INT($X67))</f>
        <v/>
      </c>
      <c r="Z67" s="33">
        <f>IF(OR($Y67="",$D$6=""),"",IF(INDEX($A:$U,ROW(),$D$6)="",0,IF(ISNUMBER(INDEX($A:$U,ROW(),$D$6)),INDEX($A:$U,ROW(),$D$6),IFERROR(--SUBSTITUTE(SUBSTITUTE(TRIM(INDEX($A:$U,ROW(),$D$6)),",",""),"원",""),0))))</f>
        <v/>
      </c>
      <c r="AA67" s="31">
        <f>IF($Y67="","",TRIM(INDEX($A:$U,ROW(),$E$6)&amp;IF($F$6="",""," "&amp;INDEX($A:$U,ROW(),$F$6))))</f>
        <v/>
      </c>
      <c r="AB67" s="31">
        <f>IF($AA67="","",SUBSTITUTE(SUBSTITUTE(SUBSTITUTE(SUBSTITUTE(SUBSTITUTE(SUBSTITUTE(SUBSTITUTE(SUBSTITUTE(SUBSTITUTE($AA67," ",""),"　",""),"(주)",""),"（주）",""),"㈜",""),"주식회사",""),"(유)",""),"（유）",""),"유한회사",""))</f>
        <v/>
      </c>
      <c r="AC67" s="31">
        <f>IF(OR($Y67="",N($Z67)&lt;=0,$AB67=""),0,IFERROR(LOOKUP(2,1/((거래처별!$AC$8:$AC$307&lt;&gt;"")*ISNUMBER(SEARCH(거래처별!$AC$8:$AC$307,$AB67))),거래처별!$A$8:$A$307),IFERROR(LOOKUP(2,1/((거래처별!$AD$8:$AD$307&lt;&gt;"")*ISNUMBER(SEARCH(거래처별!$AD$8:$AD$307,$AB67))),거래처별!$A$8:$A$307),IFERROR(LOOKUP(2,1/((거래처별!$AE$8:$AE$307&lt;&gt;"")*ISNUMBER(SEARCH(거래처별!$AE$8:$AE$307,$AB67))),거래처별!$A$8:$A$307),0))))</f>
        <v/>
      </c>
      <c r="AD67" s="31">
        <f>IF(AND($Y67&lt;&gt;"",N($Z67)&gt;0,$AC67=0),MAX($AD$7:$AD66)+1,"")</f>
        <v/>
      </c>
      <c r="AE67" s="31">
        <f>IF($Y67="",0,$Y67)</f>
        <v/>
      </c>
    </row>
    <row r="68">
      <c r="W68" s="31">
        <f>IF(OR($B$5="",$C$6="",ROW()&lt;$B$5),"",IF(INDEX($A:$U,ROW(),$C$6)="","",INDEX($A:$U,ROW(),$C$6)))</f>
        <v/>
      </c>
      <c r="X68" s="32">
        <f>IF($W68="","",IF(ISNUMBER($W68),IF($W68&gt;=10000000,IFERROR(DATE(INT($W68/10000),MOD(INT($W68/100),100),MOD($W68,100)),""),INT($W68)),IFERROR(DATE(--LEFT(LEFT(SUBSTITUTE(SUBSTITUTE(SUBSTITUTE(SUBSTITUTE(TRIM($W68),"-",""),".",""),"/","")," ",""),8),4),--MID(LEFT(SUBSTITUTE(SUBSTITUTE(SUBSTITUTE(SUBSTITUTE(TRIM($W68),"-",""),".",""),"/","")," ",""),8),5,2),--MID(LEFT(SUBSTITUTE(SUBSTITUTE(SUBSTITUTE(SUBSTITUTE(TRIM($W68),"-",""),".",""),"/","")," ",""),8),7,2)),"")))</f>
        <v/>
      </c>
      <c r="Y68" s="32">
        <f>IF($X68="","",INT($X68))</f>
        <v/>
      </c>
      <c r="Z68" s="33">
        <f>IF(OR($Y68="",$D$6=""),"",IF(INDEX($A:$U,ROW(),$D$6)="",0,IF(ISNUMBER(INDEX($A:$U,ROW(),$D$6)),INDEX($A:$U,ROW(),$D$6),IFERROR(--SUBSTITUTE(SUBSTITUTE(TRIM(INDEX($A:$U,ROW(),$D$6)),",",""),"원",""),0))))</f>
        <v/>
      </c>
      <c r="AA68" s="31">
        <f>IF($Y68="","",TRIM(INDEX($A:$U,ROW(),$E$6)&amp;IF($F$6="",""," "&amp;INDEX($A:$U,ROW(),$F$6))))</f>
        <v/>
      </c>
      <c r="AB68" s="31">
        <f>IF($AA68="","",SUBSTITUTE(SUBSTITUTE(SUBSTITUTE(SUBSTITUTE(SUBSTITUTE(SUBSTITUTE(SUBSTITUTE(SUBSTITUTE(SUBSTITUTE($AA68," ",""),"　",""),"(주)",""),"（주）",""),"㈜",""),"주식회사",""),"(유)",""),"（유）",""),"유한회사",""))</f>
        <v/>
      </c>
      <c r="AC68" s="31">
        <f>IF(OR($Y68="",N($Z68)&lt;=0,$AB68=""),0,IFERROR(LOOKUP(2,1/((거래처별!$AC$8:$AC$307&lt;&gt;"")*ISNUMBER(SEARCH(거래처별!$AC$8:$AC$307,$AB68))),거래처별!$A$8:$A$307),IFERROR(LOOKUP(2,1/((거래처별!$AD$8:$AD$307&lt;&gt;"")*ISNUMBER(SEARCH(거래처별!$AD$8:$AD$307,$AB68))),거래처별!$A$8:$A$307),IFERROR(LOOKUP(2,1/((거래처별!$AE$8:$AE$307&lt;&gt;"")*ISNUMBER(SEARCH(거래처별!$AE$8:$AE$307,$AB68))),거래처별!$A$8:$A$307),0))))</f>
        <v/>
      </c>
      <c r="AD68" s="31">
        <f>IF(AND($Y68&lt;&gt;"",N($Z68)&gt;0,$AC68=0),MAX($AD$7:$AD67)+1,"")</f>
        <v/>
      </c>
      <c r="AE68" s="31">
        <f>IF($Y68="",0,$Y68)</f>
        <v/>
      </c>
    </row>
    <row r="69">
      <c r="W69" s="31">
        <f>IF(OR($B$5="",$C$6="",ROW()&lt;$B$5),"",IF(INDEX($A:$U,ROW(),$C$6)="","",INDEX($A:$U,ROW(),$C$6)))</f>
        <v/>
      </c>
      <c r="X69" s="32">
        <f>IF($W69="","",IF(ISNUMBER($W69),IF($W69&gt;=10000000,IFERROR(DATE(INT($W69/10000),MOD(INT($W69/100),100),MOD($W69,100)),""),INT($W69)),IFERROR(DATE(--LEFT(LEFT(SUBSTITUTE(SUBSTITUTE(SUBSTITUTE(SUBSTITUTE(TRIM($W69),"-",""),".",""),"/","")," ",""),8),4),--MID(LEFT(SUBSTITUTE(SUBSTITUTE(SUBSTITUTE(SUBSTITUTE(TRIM($W69),"-",""),".",""),"/","")," ",""),8),5,2),--MID(LEFT(SUBSTITUTE(SUBSTITUTE(SUBSTITUTE(SUBSTITUTE(TRIM($W69),"-",""),".",""),"/","")," ",""),8),7,2)),"")))</f>
        <v/>
      </c>
      <c r="Y69" s="32">
        <f>IF($X69="","",INT($X69))</f>
        <v/>
      </c>
      <c r="Z69" s="33">
        <f>IF(OR($Y69="",$D$6=""),"",IF(INDEX($A:$U,ROW(),$D$6)="",0,IF(ISNUMBER(INDEX($A:$U,ROW(),$D$6)),INDEX($A:$U,ROW(),$D$6),IFERROR(--SUBSTITUTE(SUBSTITUTE(TRIM(INDEX($A:$U,ROW(),$D$6)),",",""),"원",""),0))))</f>
        <v/>
      </c>
      <c r="AA69" s="31">
        <f>IF($Y69="","",TRIM(INDEX($A:$U,ROW(),$E$6)&amp;IF($F$6="",""," "&amp;INDEX($A:$U,ROW(),$F$6))))</f>
        <v/>
      </c>
      <c r="AB69" s="31">
        <f>IF($AA69="","",SUBSTITUTE(SUBSTITUTE(SUBSTITUTE(SUBSTITUTE(SUBSTITUTE(SUBSTITUTE(SUBSTITUTE(SUBSTITUTE(SUBSTITUTE($AA69," ",""),"　",""),"(주)",""),"（주）",""),"㈜",""),"주식회사",""),"(유)",""),"（유）",""),"유한회사",""))</f>
        <v/>
      </c>
      <c r="AC69" s="31">
        <f>IF(OR($Y69="",N($Z69)&lt;=0,$AB69=""),0,IFERROR(LOOKUP(2,1/((거래처별!$AC$8:$AC$307&lt;&gt;"")*ISNUMBER(SEARCH(거래처별!$AC$8:$AC$307,$AB69))),거래처별!$A$8:$A$307),IFERROR(LOOKUP(2,1/((거래처별!$AD$8:$AD$307&lt;&gt;"")*ISNUMBER(SEARCH(거래처별!$AD$8:$AD$307,$AB69))),거래처별!$A$8:$A$307),IFERROR(LOOKUP(2,1/((거래처별!$AE$8:$AE$307&lt;&gt;"")*ISNUMBER(SEARCH(거래처별!$AE$8:$AE$307,$AB69))),거래처별!$A$8:$A$307),0))))</f>
        <v/>
      </c>
      <c r="AD69" s="31">
        <f>IF(AND($Y69&lt;&gt;"",N($Z69)&gt;0,$AC69=0),MAX($AD$7:$AD68)+1,"")</f>
        <v/>
      </c>
      <c r="AE69" s="31">
        <f>IF($Y69="",0,$Y69)</f>
        <v/>
      </c>
    </row>
    <row r="70">
      <c r="W70" s="31">
        <f>IF(OR($B$5="",$C$6="",ROW()&lt;$B$5),"",IF(INDEX($A:$U,ROW(),$C$6)="","",INDEX($A:$U,ROW(),$C$6)))</f>
        <v/>
      </c>
      <c r="X70" s="32">
        <f>IF($W70="","",IF(ISNUMBER($W70),IF($W70&gt;=10000000,IFERROR(DATE(INT($W70/10000),MOD(INT($W70/100),100),MOD($W70,100)),""),INT($W70)),IFERROR(DATE(--LEFT(LEFT(SUBSTITUTE(SUBSTITUTE(SUBSTITUTE(SUBSTITUTE(TRIM($W70),"-",""),".",""),"/","")," ",""),8),4),--MID(LEFT(SUBSTITUTE(SUBSTITUTE(SUBSTITUTE(SUBSTITUTE(TRIM($W70),"-",""),".",""),"/","")," ",""),8),5,2),--MID(LEFT(SUBSTITUTE(SUBSTITUTE(SUBSTITUTE(SUBSTITUTE(TRIM($W70),"-",""),".",""),"/","")," ",""),8),7,2)),"")))</f>
        <v/>
      </c>
      <c r="Y70" s="32">
        <f>IF($X70="","",INT($X70))</f>
        <v/>
      </c>
      <c r="Z70" s="33">
        <f>IF(OR($Y70="",$D$6=""),"",IF(INDEX($A:$U,ROW(),$D$6)="",0,IF(ISNUMBER(INDEX($A:$U,ROW(),$D$6)),INDEX($A:$U,ROW(),$D$6),IFERROR(--SUBSTITUTE(SUBSTITUTE(TRIM(INDEX($A:$U,ROW(),$D$6)),",",""),"원",""),0))))</f>
        <v/>
      </c>
      <c r="AA70" s="31">
        <f>IF($Y70="","",TRIM(INDEX($A:$U,ROW(),$E$6)&amp;IF($F$6="",""," "&amp;INDEX($A:$U,ROW(),$F$6))))</f>
        <v/>
      </c>
      <c r="AB70" s="31">
        <f>IF($AA70="","",SUBSTITUTE(SUBSTITUTE(SUBSTITUTE(SUBSTITUTE(SUBSTITUTE(SUBSTITUTE(SUBSTITUTE(SUBSTITUTE(SUBSTITUTE($AA70," ",""),"　",""),"(주)",""),"（주）",""),"㈜",""),"주식회사",""),"(유)",""),"（유）",""),"유한회사",""))</f>
        <v/>
      </c>
      <c r="AC70" s="31">
        <f>IF(OR($Y70="",N($Z70)&lt;=0,$AB70=""),0,IFERROR(LOOKUP(2,1/((거래처별!$AC$8:$AC$307&lt;&gt;"")*ISNUMBER(SEARCH(거래처별!$AC$8:$AC$307,$AB70))),거래처별!$A$8:$A$307),IFERROR(LOOKUP(2,1/((거래처별!$AD$8:$AD$307&lt;&gt;"")*ISNUMBER(SEARCH(거래처별!$AD$8:$AD$307,$AB70))),거래처별!$A$8:$A$307),IFERROR(LOOKUP(2,1/((거래처별!$AE$8:$AE$307&lt;&gt;"")*ISNUMBER(SEARCH(거래처별!$AE$8:$AE$307,$AB70))),거래처별!$A$8:$A$307),0))))</f>
        <v/>
      </c>
      <c r="AD70" s="31">
        <f>IF(AND($Y70&lt;&gt;"",N($Z70)&gt;0,$AC70=0),MAX($AD$7:$AD69)+1,"")</f>
        <v/>
      </c>
      <c r="AE70" s="31">
        <f>IF($Y70="",0,$Y70)</f>
        <v/>
      </c>
    </row>
    <row r="71">
      <c r="W71" s="31">
        <f>IF(OR($B$5="",$C$6="",ROW()&lt;$B$5),"",IF(INDEX($A:$U,ROW(),$C$6)="","",INDEX($A:$U,ROW(),$C$6)))</f>
        <v/>
      </c>
      <c r="X71" s="32">
        <f>IF($W71="","",IF(ISNUMBER($W71),IF($W71&gt;=10000000,IFERROR(DATE(INT($W71/10000),MOD(INT($W71/100),100),MOD($W71,100)),""),INT($W71)),IFERROR(DATE(--LEFT(LEFT(SUBSTITUTE(SUBSTITUTE(SUBSTITUTE(SUBSTITUTE(TRIM($W71),"-",""),".",""),"/","")," ",""),8),4),--MID(LEFT(SUBSTITUTE(SUBSTITUTE(SUBSTITUTE(SUBSTITUTE(TRIM($W71),"-",""),".",""),"/","")," ",""),8),5,2),--MID(LEFT(SUBSTITUTE(SUBSTITUTE(SUBSTITUTE(SUBSTITUTE(TRIM($W71),"-",""),".",""),"/","")," ",""),8),7,2)),"")))</f>
        <v/>
      </c>
      <c r="Y71" s="32">
        <f>IF($X71="","",INT($X71))</f>
        <v/>
      </c>
      <c r="Z71" s="33">
        <f>IF(OR($Y71="",$D$6=""),"",IF(INDEX($A:$U,ROW(),$D$6)="",0,IF(ISNUMBER(INDEX($A:$U,ROW(),$D$6)),INDEX($A:$U,ROW(),$D$6),IFERROR(--SUBSTITUTE(SUBSTITUTE(TRIM(INDEX($A:$U,ROW(),$D$6)),",",""),"원",""),0))))</f>
        <v/>
      </c>
      <c r="AA71" s="31">
        <f>IF($Y71="","",TRIM(INDEX($A:$U,ROW(),$E$6)&amp;IF($F$6="",""," "&amp;INDEX($A:$U,ROW(),$F$6))))</f>
        <v/>
      </c>
      <c r="AB71" s="31">
        <f>IF($AA71="","",SUBSTITUTE(SUBSTITUTE(SUBSTITUTE(SUBSTITUTE(SUBSTITUTE(SUBSTITUTE(SUBSTITUTE(SUBSTITUTE(SUBSTITUTE($AA71," ",""),"　",""),"(주)",""),"（주）",""),"㈜",""),"주식회사",""),"(유)",""),"（유）",""),"유한회사",""))</f>
        <v/>
      </c>
      <c r="AC71" s="31">
        <f>IF(OR($Y71="",N($Z71)&lt;=0,$AB71=""),0,IFERROR(LOOKUP(2,1/((거래처별!$AC$8:$AC$307&lt;&gt;"")*ISNUMBER(SEARCH(거래처별!$AC$8:$AC$307,$AB71))),거래처별!$A$8:$A$307),IFERROR(LOOKUP(2,1/((거래처별!$AD$8:$AD$307&lt;&gt;"")*ISNUMBER(SEARCH(거래처별!$AD$8:$AD$307,$AB71))),거래처별!$A$8:$A$307),IFERROR(LOOKUP(2,1/((거래처별!$AE$8:$AE$307&lt;&gt;"")*ISNUMBER(SEARCH(거래처별!$AE$8:$AE$307,$AB71))),거래처별!$A$8:$A$307),0))))</f>
        <v/>
      </c>
      <c r="AD71" s="31">
        <f>IF(AND($Y71&lt;&gt;"",N($Z71)&gt;0,$AC71=0),MAX($AD$7:$AD70)+1,"")</f>
        <v/>
      </c>
      <c r="AE71" s="31">
        <f>IF($Y71="",0,$Y71)</f>
        <v/>
      </c>
    </row>
    <row r="72">
      <c r="W72" s="31">
        <f>IF(OR($B$5="",$C$6="",ROW()&lt;$B$5),"",IF(INDEX($A:$U,ROW(),$C$6)="","",INDEX($A:$U,ROW(),$C$6)))</f>
        <v/>
      </c>
      <c r="X72" s="32">
        <f>IF($W72="","",IF(ISNUMBER($W72),IF($W72&gt;=10000000,IFERROR(DATE(INT($W72/10000),MOD(INT($W72/100),100),MOD($W72,100)),""),INT($W72)),IFERROR(DATE(--LEFT(LEFT(SUBSTITUTE(SUBSTITUTE(SUBSTITUTE(SUBSTITUTE(TRIM($W72),"-",""),".",""),"/","")," ",""),8),4),--MID(LEFT(SUBSTITUTE(SUBSTITUTE(SUBSTITUTE(SUBSTITUTE(TRIM($W72),"-",""),".",""),"/","")," ",""),8),5,2),--MID(LEFT(SUBSTITUTE(SUBSTITUTE(SUBSTITUTE(SUBSTITUTE(TRIM($W72),"-",""),".",""),"/","")," ",""),8),7,2)),"")))</f>
        <v/>
      </c>
      <c r="Y72" s="32">
        <f>IF($X72="","",INT($X72))</f>
        <v/>
      </c>
      <c r="Z72" s="33">
        <f>IF(OR($Y72="",$D$6=""),"",IF(INDEX($A:$U,ROW(),$D$6)="",0,IF(ISNUMBER(INDEX($A:$U,ROW(),$D$6)),INDEX($A:$U,ROW(),$D$6),IFERROR(--SUBSTITUTE(SUBSTITUTE(TRIM(INDEX($A:$U,ROW(),$D$6)),",",""),"원",""),0))))</f>
        <v/>
      </c>
      <c r="AA72" s="31">
        <f>IF($Y72="","",TRIM(INDEX($A:$U,ROW(),$E$6)&amp;IF($F$6="",""," "&amp;INDEX($A:$U,ROW(),$F$6))))</f>
        <v/>
      </c>
      <c r="AB72" s="31">
        <f>IF($AA72="","",SUBSTITUTE(SUBSTITUTE(SUBSTITUTE(SUBSTITUTE(SUBSTITUTE(SUBSTITUTE(SUBSTITUTE(SUBSTITUTE(SUBSTITUTE($AA72," ",""),"　",""),"(주)",""),"（주）",""),"㈜",""),"주식회사",""),"(유)",""),"（유）",""),"유한회사",""))</f>
        <v/>
      </c>
      <c r="AC72" s="31">
        <f>IF(OR($Y72="",N($Z72)&lt;=0,$AB72=""),0,IFERROR(LOOKUP(2,1/((거래처별!$AC$8:$AC$307&lt;&gt;"")*ISNUMBER(SEARCH(거래처별!$AC$8:$AC$307,$AB72))),거래처별!$A$8:$A$307),IFERROR(LOOKUP(2,1/((거래처별!$AD$8:$AD$307&lt;&gt;"")*ISNUMBER(SEARCH(거래처별!$AD$8:$AD$307,$AB72))),거래처별!$A$8:$A$307),IFERROR(LOOKUP(2,1/((거래처별!$AE$8:$AE$307&lt;&gt;"")*ISNUMBER(SEARCH(거래처별!$AE$8:$AE$307,$AB72))),거래처별!$A$8:$A$307),0))))</f>
        <v/>
      </c>
      <c r="AD72" s="31">
        <f>IF(AND($Y72&lt;&gt;"",N($Z72)&gt;0,$AC72=0),MAX($AD$7:$AD71)+1,"")</f>
        <v/>
      </c>
      <c r="AE72" s="31">
        <f>IF($Y72="",0,$Y72)</f>
        <v/>
      </c>
    </row>
    <row r="73">
      <c r="W73" s="31">
        <f>IF(OR($B$5="",$C$6="",ROW()&lt;$B$5),"",IF(INDEX($A:$U,ROW(),$C$6)="","",INDEX($A:$U,ROW(),$C$6)))</f>
        <v/>
      </c>
      <c r="X73" s="32">
        <f>IF($W73="","",IF(ISNUMBER($W73),IF($W73&gt;=10000000,IFERROR(DATE(INT($W73/10000),MOD(INT($W73/100),100),MOD($W73,100)),""),INT($W73)),IFERROR(DATE(--LEFT(LEFT(SUBSTITUTE(SUBSTITUTE(SUBSTITUTE(SUBSTITUTE(TRIM($W73),"-",""),".",""),"/","")," ",""),8),4),--MID(LEFT(SUBSTITUTE(SUBSTITUTE(SUBSTITUTE(SUBSTITUTE(TRIM($W73),"-",""),".",""),"/","")," ",""),8),5,2),--MID(LEFT(SUBSTITUTE(SUBSTITUTE(SUBSTITUTE(SUBSTITUTE(TRIM($W73),"-",""),".",""),"/","")," ",""),8),7,2)),"")))</f>
        <v/>
      </c>
      <c r="Y73" s="32">
        <f>IF($X73="","",INT($X73))</f>
        <v/>
      </c>
      <c r="Z73" s="33">
        <f>IF(OR($Y73="",$D$6=""),"",IF(INDEX($A:$U,ROW(),$D$6)="",0,IF(ISNUMBER(INDEX($A:$U,ROW(),$D$6)),INDEX($A:$U,ROW(),$D$6),IFERROR(--SUBSTITUTE(SUBSTITUTE(TRIM(INDEX($A:$U,ROW(),$D$6)),",",""),"원",""),0))))</f>
        <v/>
      </c>
      <c r="AA73" s="31">
        <f>IF($Y73="","",TRIM(INDEX($A:$U,ROW(),$E$6)&amp;IF($F$6="",""," "&amp;INDEX($A:$U,ROW(),$F$6))))</f>
        <v/>
      </c>
      <c r="AB73" s="31">
        <f>IF($AA73="","",SUBSTITUTE(SUBSTITUTE(SUBSTITUTE(SUBSTITUTE(SUBSTITUTE(SUBSTITUTE(SUBSTITUTE(SUBSTITUTE(SUBSTITUTE($AA73," ",""),"　",""),"(주)",""),"（주）",""),"㈜",""),"주식회사",""),"(유)",""),"（유）",""),"유한회사",""))</f>
        <v/>
      </c>
      <c r="AC73" s="31">
        <f>IF(OR($Y73="",N($Z73)&lt;=0,$AB73=""),0,IFERROR(LOOKUP(2,1/((거래처별!$AC$8:$AC$307&lt;&gt;"")*ISNUMBER(SEARCH(거래처별!$AC$8:$AC$307,$AB73))),거래처별!$A$8:$A$307),IFERROR(LOOKUP(2,1/((거래처별!$AD$8:$AD$307&lt;&gt;"")*ISNUMBER(SEARCH(거래처별!$AD$8:$AD$307,$AB73))),거래처별!$A$8:$A$307),IFERROR(LOOKUP(2,1/((거래처별!$AE$8:$AE$307&lt;&gt;"")*ISNUMBER(SEARCH(거래처별!$AE$8:$AE$307,$AB73))),거래처별!$A$8:$A$307),0))))</f>
        <v/>
      </c>
      <c r="AD73" s="31">
        <f>IF(AND($Y73&lt;&gt;"",N($Z73)&gt;0,$AC73=0),MAX($AD$7:$AD72)+1,"")</f>
        <v/>
      </c>
      <c r="AE73" s="31">
        <f>IF($Y73="",0,$Y73)</f>
        <v/>
      </c>
    </row>
    <row r="74">
      <c r="W74" s="31">
        <f>IF(OR($B$5="",$C$6="",ROW()&lt;$B$5),"",IF(INDEX($A:$U,ROW(),$C$6)="","",INDEX($A:$U,ROW(),$C$6)))</f>
        <v/>
      </c>
      <c r="X74" s="32">
        <f>IF($W74="","",IF(ISNUMBER($W74),IF($W74&gt;=10000000,IFERROR(DATE(INT($W74/10000),MOD(INT($W74/100),100),MOD($W74,100)),""),INT($W74)),IFERROR(DATE(--LEFT(LEFT(SUBSTITUTE(SUBSTITUTE(SUBSTITUTE(SUBSTITUTE(TRIM($W74),"-",""),".",""),"/","")," ",""),8),4),--MID(LEFT(SUBSTITUTE(SUBSTITUTE(SUBSTITUTE(SUBSTITUTE(TRIM($W74),"-",""),".",""),"/","")," ",""),8),5,2),--MID(LEFT(SUBSTITUTE(SUBSTITUTE(SUBSTITUTE(SUBSTITUTE(TRIM($W74),"-",""),".",""),"/","")," ",""),8),7,2)),"")))</f>
        <v/>
      </c>
      <c r="Y74" s="32">
        <f>IF($X74="","",INT($X74))</f>
        <v/>
      </c>
      <c r="Z74" s="33">
        <f>IF(OR($Y74="",$D$6=""),"",IF(INDEX($A:$U,ROW(),$D$6)="",0,IF(ISNUMBER(INDEX($A:$U,ROW(),$D$6)),INDEX($A:$U,ROW(),$D$6),IFERROR(--SUBSTITUTE(SUBSTITUTE(TRIM(INDEX($A:$U,ROW(),$D$6)),",",""),"원",""),0))))</f>
        <v/>
      </c>
      <c r="AA74" s="31">
        <f>IF($Y74="","",TRIM(INDEX($A:$U,ROW(),$E$6)&amp;IF($F$6="",""," "&amp;INDEX($A:$U,ROW(),$F$6))))</f>
        <v/>
      </c>
      <c r="AB74" s="31">
        <f>IF($AA74="","",SUBSTITUTE(SUBSTITUTE(SUBSTITUTE(SUBSTITUTE(SUBSTITUTE(SUBSTITUTE(SUBSTITUTE(SUBSTITUTE(SUBSTITUTE($AA74," ",""),"　",""),"(주)",""),"（주）",""),"㈜",""),"주식회사",""),"(유)",""),"（유）",""),"유한회사",""))</f>
        <v/>
      </c>
      <c r="AC74" s="31">
        <f>IF(OR($Y74="",N($Z74)&lt;=0,$AB74=""),0,IFERROR(LOOKUP(2,1/((거래처별!$AC$8:$AC$307&lt;&gt;"")*ISNUMBER(SEARCH(거래처별!$AC$8:$AC$307,$AB74))),거래처별!$A$8:$A$307),IFERROR(LOOKUP(2,1/((거래처별!$AD$8:$AD$307&lt;&gt;"")*ISNUMBER(SEARCH(거래처별!$AD$8:$AD$307,$AB74))),거래처별!$A$8:$A$307),IFERROR(LOOKUP(2,1/((거래처별!$AE$8:$AE$307&lt;&gt;"")*ISNUMBER(SEARCH(거래처별!$AE$8:$AE$307,$AB74))),거래처별!$A$8:$A$307),0))))</f>
        <v/>
      </c>
      <c r="AD74" s="31">
        <f>IF(AND($Y74&lt;&gt;"",N($Z74)&gt;0,$AC74=0),MAX($AD$7:$AD73)+1,"")</f>
        <v/>
      </c>
      <c r="AE74" s="31">
        <f>IF($Y74="",0,$Y74)</f>
        <v/>
      </c>
    </row>
    <row r="75">
      <c r="W75" s="31">
        <f>IF(OR($B$5="",$C$6="",ROW()&lt;$B$5),"",IF(INDEX($A:$U,ROW(),$C$6)="","",INDEX($A:$U,ROW(),$C$6)))</f>
        <v/>
      </c>
      <c r="X75" s="32">
        <f>IF($W75="","",IF(ISNUMBER($W75),IF($W75&gt;=10000000,IFERROR(DATE(INT($W75/10000),MOD(INT($W75/100),100),MOD($W75,100)),""),INT($W75)),IFERROR(DATE(--LEFT(LEFT(SUBSTITUTE(SUBSTITUTE(SUBSTITUTE(SUBSTITUTE(TRIM($W75),"-",""),".",""),"/","")," ",""),8),4),--MID(LEFT(SUBSTITUTE(SUBSTITUTE(SUBSTITUTE(SUBSTITUTE(TRIM($W75),"-",""),".",""),"/","")," ",""),8),5,2),--MID(LEFT(SUBSTITUTE(SUBSTITUTE(SUBSTITUTE(SUBSTITUTE(TRIM($W75),"-",""),".",""),"/","")," ",""),8),7,2)),"")))</f>
        <v/>
      </c>
      <c r="Y75" s="32">
        <f>IF($X75="","",INT($X75))</f>
        <v/>
      </c>
      <c r="Z75" s="33">
        <f>IF(OR($Y75="",$D$6=""),"",IF(INDEX($A:$U,ROW(),$D$6)="",0,IF(ISNUMBER(INDEX($A:$U,ROW(),$D$6)),INDEX($A:$U,ROW(),$D$6),IFERROR(--SUBSTITUTE(SUBSTITUTE(TRIM(INDEX($A:$U,ROW(),$D$6)),",",""),"원",""),0))))</f>
        <v/>
      </c>
      <c r="AA75" s="31">
        <f>IF($Y75="","",TRIM(INDEX($A:$U,ROW(),$E$6)&amp;IF($F$6="",""," "&amp;INDEX($A:$U,ROW(),$F$6))))</f>
        <v/>
      </c>
      <c r="AB75" s="31">
        <f>IF($AA75="","",SUBSTITUTE(SUBSTITUTE(SUBSTITUTE(SUBSTITUTE(SUBSTITUTE(SUBSTITUTE(SUBSTITUTE(SUBSTITUTE(SUBSTITUTE($AA75," ",""),"　",""),"(주)",""),"（주）",""),"㈜",""),"주식회사",""),"(유)",""),"（유）",""),"유한회사",""))</f>
        <v/>
      </c>
      <c r="AC75" s="31">
        <f>IF(OR($Y75="",N($Z75)&lt;=0,$AB75=""),0,IFERROR(LOOKUP(2,1/((거래처별!$AC$8:$AC$307&lt;&gt;"")*ISNUMBER(SEARCH(거래처별!$AC$8:$AC$307,$AB75))),거래처별!$A$8:$A$307),IFERROR(LOOKUP(2,1/((거래처별!$AD$8:$AD$307&lt;&gt;"")*ISNUMBER(SEARCH(거래처별!$AD$8:$AD$307,$AB75))),거래처별!$A$8:$A$307),IFERROR(LOOKUP(2,1/((거래처별!$AE$8:$AE$307&lt;&gt;"")*ISNUMBER(SEARCH(거래처별!$AE$8:$AE$307,$AB75))),거래처별!$A$8:$A$307),0))))</f>
        <v/>
      </c>
      <c r="AD75" s="31">
        <f>IF(AND($Y75&lt;&gt;"",N($Z75)&gt;0,$AC75=0),MAX($AD$7:$AD74)+1,"")</f>
        <v/>
      </c>
      <c r="AE75" s="31">
        <f>IF($Y75="",0,$Y75)</f>
        <v/>
      </c>
    </row>
    <row r="76">
      <c r="W76" s="31">
        <f>IF(OR($B$5="",$C$6="",ROW()&lt;$B$5),"",IF(INDEX($A:$U,ROW(),$C$6)="","",INDEX($A:$U,ROW(),$C$6)))</f>
        <v/>
      </c>
      <c r="X76" s="32">
        <f>IF($W76="","",IF(ISNUMBER($W76),IF($W76&gt;=10000000,IFERROR(DATE(INT($W76/10000),MOD(INT($W76/100),100),MOD($W76,100)),""),INT($W76)),IFERROR(DATE(--LEFT(LEFT(SUBSTITUTE(SUBSTITUTE(SUBSTITUTE(SUBSTITUTE(TRIM($W76),"-",""),".",""),"/","")," ",""),8),4),--MID(LEFT(SUBSTITUTE(SUBSTITUTE(SUBSTITUTE(SUBSTITUTE(TRIM($W76),"-",""),".",""),"/","")," ",""),8),5,2),--MID(LEFT(SUBSTITUTE(SUBSTITUTE(SUBSTITUTE(SUBSTITUTE(TRIM($W76),"-",""),".",""),"/","")," ",""),8),7,2)),"")))</f>
        <v/>
      </c>
      <c r="Y76" s="32">
        <f>IF($X76="","",INT($X76))</f>
        <v/>
      </c>
      <c r="Z76" s="33">
        <f>IF(OR($Y76="",$D$6=""),"",IF(INDEX($A:$U,ROW(),$D$6)="",0,IF(ISNUMBER(INDEX($A:$U,ROW(),$D$6)),INDEX($A:$U,ROW(),$D$6),IFERROR(--SUBSTITUTE(SUBSTITUTE(TRIM(INDEX($A:$U,ROW(),$D$6)),",",""),"원",""),0))))</f>
        <v/>
      </c>
      <c r="AA76" s="31">
        <f>IF($Y76="","",TRIM(INDEX($A:$U,ROW(),$E$6)&amp;IF($F$6="",""," "&amp;INDEX($A:$U,ROW(),$F$6))))</f>
        <v/>
      </c>
      <c r="AB76" s="31">
        <f>IF($AA76="","",SUBSTITUTE(SUBSTITUTE(SUBSTITUTE(SUBSTITUTE(SUBSTITUTE(SUBSTITUTE(SUBSTITUTE(SUBSTITUTE(SUBSTITUTE($AA76," ",""),"　",""),"(주)",""),"（주）",""),"㈜",""),"주식회사",""),"(유)",""),"（유）",""),"유한회사",""))</f>
        <v/>
      </c>
      <c r="AC76" s="31">
        <f>IF(OR($Y76="",N($Z76)&lt;=0,$AB76=""),0,IFERROR(LOOKUP(2,1/((거래처별!$AC$8:$AC$307&lt;&gt;"")*ISNUMBER(SEARCH(거래처별!$AC$8:$AC$307,$AB76))),거래처별!$A$8:$A$307),IFERROR(LOOKUP(2,1/((거래처별!$AD$8:$AD$307&lt;&gt;"")*ISNUMBER(SEARCH(거래처별!$AD$8:$AD$307,$AB76))),거래처별!$A$8:$A$307),IFERROR(LOOKUP(2,1/((거래처별!$AE$8:$AE$307&lt;&gt;"")*ISNUMBER(SEARCH(거래처별!$AE$8:$AE$307,$AB76))),거래처별!$A$8:$A$307),0))))</f>
        <v/>
      </c>
      <c r="AD76" s="31">
        <f>IF(AND($Y76&lt;&gt;"",N($Z76)&gt;0,$AC76=0),MAX($AD$7:$AD75)+1,"")</f>
        <v/>
      </c>
      <c r="AE76" s="31">
        <f>IF($Y76="",0,$Y76)</f>
        <v/>
      </c>
    </row>
    <row r="77">
      <c r="W77" s="31">
        <f>IF(OR($B$5="",$C$6="",ROW()&lt;$B$5),"",IF(INDEX($A:$U,ROW(),$C$6)="","",INDEX($A:$U,ROW(),$C$6)))</f>
        <v/>
      </c>
      <c r="X77" s="32">
        <f>IF($W77="","",IF(ISNUMBER($W77),IF($W77&gt;=10000000,IFERROR(DATE(INT($W77/10000),MOD(INT($W77/100),100),MOD($W77,100)),""),INT($W77)),IFERROR(DATE(--LEFT(LEFT(SUBSTITUTE(SUBSTITUTE(SUBSTITUTE(SUBSTITUTE(TRIM($W77),"-",""),".",""),"/","")," ",""),8),4),--MID(LEFT(SUBSTITUTE(SUBSTITUTE(SUBSTITUTE(SUBSTITUTE(TRIM($W77),"-",""),".",""),"/","")," ",""),8),5,2),--MID(LEFT(SUBSTITUTE(SUBSTITUTE(SUBSTITUTE(SUBSTITUTE(TRIM($W77),"-",""),".",""),"/","")," ",""),8),7,2)),"")))</f>
        <v/>
      </c>
      <c r="Y77" s="32">
        <f>IF($X77="","",INT($X77))</f>
        <v/>
      </c>
      <c r="Z77" s="33">
        <f>IF(OR($Y77="",$D$6=""),"",IF(INDEX($A:$U,ROW(),$D$6)="",0,IF(ISNUMBER(INDEX($A:$U,ROW(),$D$6)),INDEX($A:$U,ROW(),$D$6),IFERROR(--SUBSTITUTE(SUBSTITUTE(TRIM(INDEX($A:$U,ROW(),$D$6)),",",""),"원",""),0))))</f>
        <v/>
      </c>
      <c r="AA77" s="31">
        <f>IF($Y77="","",TRIM(INDEX($A:$U,ROW(),$E$6)&amp;IF($F$6="",""," "&amp;INDEX($A:$U,ROW(),$F$6))))</f>
        <v/>
      </c>
      <c r="AB77" s="31">
        <f>IF($AA77="","",SUBSTITUTE(SUBSTITUTE(SUBSTITUTE(SUBSTITUTE(SUBSTITUTE(SUBSTITUTE(SUBSTITUTE(SUBSTITUTE(SUBSTITUTE($AA77," ",""),"　",""),"(주)",""),"（주）",""),"㈜",""),"주식회사",""),"(유)",""),"（유）",""),"유한회사",""))</f>
        <v/>
      </c>
      <c r="AC77" s="31">
        <f>IF(OR($Y77="",N($Z77)&lt;=0,$AB77=""),0,IFERROR(LOOKUP(2,1/((거래처별!$AC$8:$AC$307&lt;&gt;"")*ISNUMBER(SEARCH(거래처별!$AC$8:$AC$307,$AB77))),거래처별!$A$8:$A$307),IFERROR(LOOKUP(2,1/((거래처별!$AD$8:$AD$307&lt;&gt;"")*ISNUMBER(SEARCH(거래처별!$AD$8:$AD$307,$AB77))),거래처별!$A$8:$A$307),IFERROR(LOOKUP(2,1/((거래처별!$AE$8:$AE$307&lt;&gt;"")*ISNUMBER(SEARCH(거래처별!$AE$8:$AE$307,$AB77))),거래처별!$A$8:$A$307),0))))</f>
        <v/>
      </c>
      <c r="AD77" s="31">
        <f>IF(AND($Y77&lt;&gt;"",N($Z77)&gt;0,$AC77=0),MAX($AD$7:$AD76)+1,"")</f>
        <v/>
      </c>
      <c r="AE77" s="31">
        <f>IF($Y77="",0,$Y77)</f>
        <v/>
      </c>
    </row>
    <row r="78">
      <c r="W78" s="31">
        <f>IF(OR($B$5="",$C$6="",ROW()&lt;$B$5),"",IF(INDEX($A:$U,ROW(),$C$6)="","",INDEX($A:$U,ROW(),$C$6)))</f>
        <v/>
      </c>
      <c r="X78" s="32">
        <f>IF($W78="","",IF(ISNUMBER($W78),IF($W78&gt;=10000000,IFERROR(DATE(INT($W78/10000),MOD(INT($W78/100),100),MOD($W78,100)),""),INT($W78)),IFERROR(DATE(--LEFT(LEFT(SUBSTITUTE(SUBSTITUTE(SUBSTITUTE(SUBSTITUTE(TRIM($W78),"-",""),".",""),"/","")," ",""),8),4),--MID(LEFT(SUBSTITUTE(SUBSTITUTE(SUBSTITUTE(SUBSTITUTE(TRIM($W78),"-",""),".",""),"/","")," ",""),8),5,2),--MID(LEFT(SUBSTITUTE(SUBSTITUTE(SUBSTITUTE(SUBSTITUTE(TRIM($W78),"-",""),".",""),"/","")," ",""),8),7,2)),"")))</f>
        <v/>
      </c>
      <c r="Y78" s="32">
        <f>IF($X78="","",INT($X78))</f>
        <v/>
      </c>
      <c r="Z78" s="33">
        <f>IF(OR($Y78="",$D$6=""),"",IF(INDEX($A:$U,ROW(),$D$6)="",0,IF(ISNUMBER(INDEX($A:$U,ROW(),$D$6)),INDEX($A:$U,ROW(),$D$6),IFERROR(--SUBSTITUTE(SUBSTITUTE(TRIM(INDEX($A:$U,ROW(),$D$6)),",",""),"원",""),0))))</f>
        <v/>
      </c>
      <c r="AA78" s="31">
        <f>IF($Y78="","",TRIM(INDEX($A:$U,ROW(),$E$6)&amp;IF($F$6="",""," "&amp;INDEX($A:$U,ROW(),$F$6))))</f>
        <v/>
      </c>
      <c r="AB78" s="31">
        <f>IF($AA78="","",SUBSTITUTE(SUBSTITUTE(SUBSTITUTE(SUBSTITUTE(SUBSTITUTE(SUBSTITUTE(SUBSTITUTE(SUBSTITUTE(SUBSTITUTE($AA78," ",""),"　",""),"(주)",""),"（주）",""),"㈜",""),"주식회사",""),"(유)",""),"（유）",""),"유한회사",""))</f>
        <v/>
      </c>
      <c r="AC78" s="31">
        <f>IF(OR($Y78="",N($Z78)&lt;=0,$AB78=""),0,IFERROR(LOOKUP(2,1/((거래처별!$AC$8:$AC$307&lt;&gt;"")*ISNUMBER(SEARCH(거래처별!$AC$8:$AC$307,$AB78))),거래처별!$A$8:$A$307),IFERROR(LOOKUP(2,1/((거래처별!$AD$8:$AD$307&lt;&gt;"")*ISNUMBER(SEARCH(거래처별!$AD$8:$AD$307,$AB78))),거래처별!$A$8:$A$307),IFERROR(LOOKUP(2,1/((거래처별!$AE$8:$AE$307&lt;&gt;"")*ISNUMBER(SEARCH(거래처별!$AE$8:$AE$307,$AB78))),거래처별!$A$8:$A$307),0))))</f>
        <v/>
      </c>
      <c r="AD78" s="31">
        <f>IF(AND($Y78&lt;&gt;"",N($Z78)&gt;0,$AC78=0),MAX($AD$7:$AD77)+1,"")</f>
        <v/>
      </c>
      <c r="AE78" s="31">
        <f>IF($Y78="",0,$Y78)</f>
        <v/>
      </c>
    </row>
    <row r="79">
      <c r="W79" s="31">
        <f>IF(OR($B$5="",$C$6="",ROW()&lt;$B$5),"",IF(INDEX($A:$U,ROW(),$C$6)="","",INDEX($A:$U,ROW(),$C$6)))</f>
        <v/>
      </c>
      <c r="X79" s="32">
        <f>IF($W79="","",IF(ISNUMBER($W79),IF($W79&gt;=10000000,IFERROR(DATE(INT($W79/10000),MOD(INT($W79/100),100),MOD($W79,100)),""),INT($W79)),IFERROR(DATE(--LEFT(LEFT(SUBSTITUTE(SUBSTITUTE(SUBSTITUTE(SUBSTITUTE(TRIM($W79),"-",""),".",""),"/","")," ",""),8),4),--MID(LEFT(SUBSTITUTE(SUBSTITUTE(SUBSTITUTE(SUBSTITUTE(TRIM($W79),"-",""),".",""),"/","")," ",""),8),5,2),--MID(LEFT(SUBSTITUTE(SUBSTITUTE(SUBSTITUTE(SUBSTITUTE(TRIM($W79),"-",""),".",""),"/","")," ",""),8),7,2)),"")))</f>
        <v/>
      </c>
      <c r="Y79" s="32">
        <f>IF($X79="","",INT($X79))</f>
        <v/>
      </c>
      <c r="Z79" s="33">
        <f>IF(OR($Y79="",$D$6=""),"",IF(INDEX($A:$U,ROW(),$D$6)="",0,IF(ISNUMBER(INDEX($A:$U,ROW(),$D$6)),INDEX($A:$U,ROW(),$D$6),IFERROR(--SUBSTITUTE(SUBSTITUTE(TRIM(INDEX($A:$U,ROW(),$D$6)),",",""),"원",""),0))))</f>
        <v/>
      </c>
      <c r="AA79" s="31">
        <f>IF($Y79="","",TRIM(INDEX($A:$U,ROW(),$E$6)&amp;IF($F$6="",""," "&amp;INDEX($A:$U,ROW(),$F$6))))</f>
        <v/>
      </c>
      <c r="AB79" s="31">
        <f>IF($AA79="","",SUBSTITUTE(SUBSTITUTE(SUBSTITUTE(SUBSTITUTE(SUBSTITUTE(SUBSTITUTE(SUBSTITUTE(SUBSTITUTE(SUBSTITUTE($AA79," ",""),"　",""),"(주)",""),"（주）",""),"㈜",""),"주식회사",""),"(유)",""),"（유）",""),"유한회사",""))</f>
        <v/>
      </c>
      <c r="AC79" s="31">
        <f>IF(OR($Y79="",N($Z79)&lt;=0,$AB79=""),0,IFERROR(LOOKUP(2,1/((거래처별!$AC$8:$AC$307&lt;&gt;"")*ISNUMBER(SEARCH(거래처별!$AC$8:$AC$307,$AB79))),거래처별!$A$8:$A$307),IFERROR(LOOKUP(2,1/((거래처별!$AD$8:$AD$307&lt;&gt;"")*ISNUMBER(SEARCH(거래처별!$AD$8:$AD$307,$AB79))),거래처별!$A$8:$A$307),IFERROR(LOOKUP(2,1/((거래처별!$AE$8:$AE$307&lt;&gt;"")*ISNUMBER(SEARCH(거래처별!$AE$8:$AE$307,$AB79))),거래처별!$A$8:$A$307),0))))</f>
        <v/>
      </c>
      <c r="AD79" s="31">
        <f>IF(AND($Y79&lt;&gt;"",N($Z79)&gt;0,$AC79=0),MAX($AD$7:$AD78)+1,"")</f>
        <v/>
      </c>
      <c r="AE79" s="31">
        <f>IF($Y79="",0,$Y79)</f>
        <v/>
      </c>
    </row>
    <row r="80">
      <c r="W80" s="31">
        <f>IF(OR($B$5="",$C$6="",ROW()&lt;$B$5),"",IF(INDEX($A:$U,ROW(),$C$6)="","",INDEX($A:$U,ROW(),$C$6)))</f>
        <v/>
      </c>
      <c r="X80" s="32">
        <f>IF($W80="","",IF(ISNUMBER($W80),IF($W80&gt;=10000000,IFERROR(DATE(INT($W80/10000),MOD(INT($W80/100),100),MOD($W80,100)),""),INT($W80)),IFERROR(DATE(--LEFT(LEFT(SUBSTITUTE(SUBSTITUTE(SUBSTITUTE(SUBSTITUTE(TRIM($W80),"-",""),".",""),"/","")," ",""),8),4),--MID(LEFT(SUBSTITUTE(SUBSTITUTE(SUBSTITUTE(SUBSTITUTE(TRIM($W80),"-",""),".",""),"/","")," ",""),8),5,2),--MID(LEFT(SUBSTITUTE(SUBSTITUTE(SUBSTITUTE(SUBSTITUTE(TRIM($W80),"-",""),".",""),"/","")," ",""),8),7,2)),"")))</f>
        <v/>
      </c>
      <c r="Y80" s="32">
        <f>IF($X80="","",INT($X80))</f>
        <v/>
      </c>
      <c r="Z80" s="33">
        <f>IF(OR($Y80="",$D$6=""),"",IF(INDEX($A:$U,ROW(),$D$6)="",0,IF(ISNUMBER(INDEX($A:$U,ROW(),$D$6)),INDEX($A:$U,ROW(),$D$6),IFERROR(--SUBSTITUTE(SUBSTITUTE(TRIM(INDEX($A:$U,ROW(),$D$6)),",",""),"원",""),0))))</f>
        <v/>
      </c>
      <c r="AA80" s="31">
        <f>IF($Y80="","",TRIM(INDEX($A:$U,ROW(),$E$6)&amp;IF($F$6="",""," "&amp;INDEX($A:$U,ROW(),$F$6))))</f>
        <v/>
      </c>
      <c r="AB80" s="31">
        <f>IF($AA80="","",SUBSTITUTE(SUBSTITUTE(SUBSTITUTE(SUBSTITUTE(SUBSTITUTE(SUBSTITUTE(SUBSTITUTE(SUBSTITUTE(SUBSTITUTE($AA80," ",""),"　",""),"(주)",""),"（주）",""),"㈜",""),"주식회사",""),"(유)",""),"（유）",""),"유한회사",""))</f>
        <v/>
      </c>
      <c r="AC80" s="31">
        <f>IF(OR($Y80="",N($Z80)&lt;=0,$AB80=""),0,IFERROR(LOOKUP(2,1/((거래처별!$AC$8:$AC$307&lt;&gt;"")*ISNUMBER(SEARCH(거래처별!$AC$8:$AC$307,$AB80))),거래처별!$A$8:$A$307),IFERROR(LOOKUP(2,1/((거래처별!$AD$8:$AD$307&lt;&gt;"")*ISNUMBER(SEARCH(거래처별!$AD$8:$AD$307,$AB80))),거래처별!$A$8:$A$307),IFERROR(LOOKUP(2,1/((거래처별!$AE$8:$AE$307&lt;&gt;"")*ISNUMBER(SEARCH(거래처별!$AE$8:$AE$307,$AB80))),거래처별!$A$8:$A$307),0))))</f>
        <v/>
      </c>
      <c r="AD80" s="31">
        <f>IF(AND($Y80&lt;&gt;"",N($Z80)&gt;0,$AC80=0),MAX($AD$7:$AD79)+1,"")</f>
        <v/>
      </c>
      <c r="AE80" s="31">
        <f>IF($Y80="",0,$Y80)</f>
        <v/>
      </c>
    </row>
    <row r="81">
      <c r="W81" s="31">
        <f>IF(OR($B$5="",$C$6="",ROW()&lt;$B$5),"",IF(INDEX($A:$U,ROW(),$C$6)="","",INDEX($A:$U,ROW(),$C$6)))</f>
        <v/>
      </c>
      <c r="X81" s="32">
        <f>IF($W81="","",IF(ISNUMBER($W81),IF($W81&gt;=10000000,IFERROR(DATE(INT($W81/10000),MOD(INT($W81/100),100),MOD($W81,100)),""),INT($W81)),IFERROR(DATE(--LEFT(LEFT(SUBSTITUTE(SUBSTITUTE(SUBSTITUTE(SUBSTITUTE(TRIM($W81),"-",""),".",""),"/","")," ",""),8),4),--MID(LEFT(SUBSTITUTE(SUBSTITUTE(SUBSTITUTE(SUBSTITUTE(TRIM($W81),"-",""),".",""),"/","")," ",""),8),5,2),--MID(LEFT(SUBSTITUTE(SUBSTITUTE(SUBSTITUTE(SUBSTITUTE(TRIM($W81),"-",""),".",""),"/","")," ",""),8),7,2)),"")))</f>
        <v/>
      </c>
      <c r="Y81" s="32">
        <f>IF($X81="","",INT($X81))</f>
        <v/>
      </c>
      <c r="Z81" s="33">
        <f>IF(OR($Y81="",$D$6=""),"",IF(INDEX($A:$U,ROW(),$D$6)="",0,IF(ISNUMBER(INDEX($A:$U,ROW(),$D$6)),INDEX($A:$U,ROW(),$D$6),IFERROR(--SUBSTITUTE(SUBSTITUTE(TRIM(INDEX($A:$U,ROW(),$D$6)),",",""),"원",""),0))))</f>
        <v/>
      </c>
      <c r="AA81" s="31">
        <f>IF($Y81="","",TRIM(INDEX($A:$U,ROW(),$E$6)&amp;IF($F$6="",""," "&amp;INDEX($A:$U,ROW(),$F$6))))</f>
        <v/>
      </c>
      <c r="AB81" s="31">
        <f>IF($AA81="","",SUBSTITUTE(SUBSTITUTE(SUBSTITUTE(SUBSTITUTE(SUBSTITUTE(SUBSTITUTE(SUBSTITUTE(SUBSTITUTE(SUBSTITUTE($AA81," ",""),"　",""),"(주)",""),"（주）",""),"㈜",""),"주식회사",""),"(유)",""),"（유）",""),"유한회사",""))</f>
        <v/>
      </c>
      <c r="AC81" s="31">
        <f>IF(OR($Y81="",N($Z81)&lt;=0,$AB81=""),0,IFERROR(LOOKUP(2,1/((거래처별!$AC$8:$AC$307&lt;&gt;"")*ISNUMBER(SEARCH(거래처별!$AC$8:$AC$307,$AB81))),거래처별!$A$8:$A$307),IFERROR(LOOKUP(2,1/((거래처별!$AD$8:$AD$307&lt;&gt;"")*ISNUMBER(SEARCH(거래처별!$AD$8:$AD$307,$AB81))),거래처별!$A$8:$A$307),IFERROR(LOOKUP(2,1/((거래처별!$AE$8:$AE$307&lt;&gt;"")*ISNUMBER(SEARCH(거래처별!$AE$8:$AE$307,$AB81))),거래처별!$A$8:$A$307),0))))</f>
        <v/>
      </c>
      <c r="AD81" s="31">
        <f>IF(AND($Y81&lt;&gt;"",N($Z81)&gt;0,$AC81=0),MAX($AD$7:$AD80)+1,"")</f>
        <v/>
      </c>
      <c r="AE81" s="31">
        <f>IF($Y81="",0,$Y81)</f>
        <v/>
      </c>
    </row>
    <row r="82">
      <c r="W82" s="31">
        <f>IF(OR($B$5="",$C$6="",ROW()&lt;$B$5),"",IF(INDEX($A:$U,ROW(),$C$6)="","",INDEX($A:$U,ROW(),$C$6)))</f>
        <v/>
      </c>
      <c r="X82" s="32">
        <f>IF($W82="","",IF(ISNUMBER($W82),IF($W82&gt;=10000000,IFERROR(DATE(INT($W82/10000),MOD(INT($W82/100),100),MOD($W82,100)),""),INT($W82)),IFERROR(DATE(--LEFT(LEFT(SUBSTITUTE(SUBSTITUTE(SUBSTITUTE(SUBSTITUTE(TRIM($W82),"-",""),".",""),"/","")," ",""),8),4),--MID(LEFT(SUBSTITUTE(SUBSTITUTE(SUBSTITUTE(SUBSTITUTE(TRIM($W82),"-",""),".",""),"/","")," ",""),8),5,2),--MID(LEFT(SUBSTITUTE(SUBSTITUTE(SUBSTITUTE(SUBSTITUTE(TRIM($W82),"-",""),".",""),"/","")," ",""),8),7,2)),"")))</f>
        <v/>
      </c>
      <c r="Y82" s="32">
        <f>IF($X82="","",INT($X82))</f>
        <v/>
      </c>
      <c r="Z82" s="33">
        <f>IF(OR($Y82="",$D$6=""),"",IF(INDEX($A:$U,ROW(),$D$6)="",0,IF(ISNUMBER(INDEX($A:$U,ROW(),$D$6)),INDEX($A:$U,ROW(),$D$6),IFERROR(--SUBSTITUTE(SUBSTITUTE(TRIM(INDEX($A:$U,ROW(),$D$6)),",",""),"원",""),0))))</f>
        <v/>
      </c>
      <c r="AA82" s="31">
        <f>IF($Y82="","",TRIM(INDEX($A:$U,ROW(),$E$6)&amp;IF($F$6="",""," "&amp;INDEX($A:$U,ROW(),$F$6))))</f>
        <v/>
      </c>
      <c r="AB82" s="31">
        <f>IF($AA82="","",SUBSTITUTE(SUBSTITUTE(SUBSTITUTE(SUBSTITUTE(SUBSTITUTE(SUBSTITUTE(SUBSTITUTE(SUBSTITUTE(SUBSTITUTE($AA82," ",""),"　",""),"(주)",""),"（주）",""),"㈜",""),"주식회사",""),"(유)",""),"（유）",""),"유한회사",""))</f>
        <v/>
      </c>
      <c r="AC82" s="31">
        <f>IF(OR($Y82="",N($Z82)&lt;=0,$AB82=""),0,IFERROR(LOOKUP(2,1/((거래처별!$AC$8:$AC$307&lt;&gt;"")*ISNUMBER(SEARCH(거래처별!$AC$8:$AC$307,$AB82))),거래처별!$A$8:$A$307),IFERROR(LOOKUP(2,1/((거래처별!$AD$8:$AD$307&lt;&gt;"")*ISNUMBER(SEARCH(거래처별!$AD$8:$AD$307,$AB82))),거래처별!$A$8:$A$307),IFERROR(LOOKUP(2,1/((거래처별!$AE$8:$AE$307&lt;&gt;"")*ISNUMBER(SEARCH(거래처별!$AE$8:$AE$307,$AB82))),거래처별!$A$8:$A$307),0))))</f>
        <v/>
      </c>
      <c r="AD82" s="31">
        <f>IF(AND($Y82&lt;&gt;"",N($Z82)&gt;0,$AC82=0),MAX($AD$7:$AD81)+1,"")</f>
        <v/>
      </c>
      <c r="AE82" s="31">
        <f>IF($Y82="",0,$Y82)</f>
        <v/>
      </c>
    </row>
    <row r="83">
      <c r="W83" s="31">
        <f>IF(OR($B$5="",$C$6="",ROW()&lt;$B$5),"",IF(INDEX($A:$U,ROW(),$C$6)="","",INDEX($A:$U,ROW(),$C$6)))</f>
        <v/>
      </c>
      <c r="X83" s="32">
        <f>IF($W83="","",IF(ISNUMBER($W83),IF($W83&gt;=10000000,IFERROR(DATE(INT($W83/10000),MOD(INT($W83/100),100),MOD($W83,100)),""),INT($W83)),IFERROR(DATE(--LEFT(LEFT(SUBSTITUTE(SUBSTITUTE(SUBSTITUTE(SUBSTITUTE(TRIM($W83),"-",""),".",""),"/","")," ",""),8),4),--MID(LEFT(SUBSTITUTE(SUBSTITUTE(SUBSTITUTE(SUBSTITUTE(TRIM($W83),"-",""),".",""),"/","")," ",""),8),5,2),--MID(LEFT(SUBSTITUTE(SUBSTITUTE(SUBSTITUTE(SUBSTITUTE(TRIM($W83),"-",""),".",""),"/","")," ",""),8),7,2)),"")))</f>
        <v/>
      </c>
      <c r="Y83" s="32">
        <f>IF($X83="","",INT($X83))</f>
        <v/>
      </c>
      <c r="Z83" s="33">
        <f>IF(OR($Y83="",$D$6=""),"",IF(INDEX($A:$U,ROW(),$D$6)="",0,IF(ISNUMBER(INDEX($A:$U,ROW(),$D$6)),INDEX($A:$U,ROW(),$D$6),IFERROR(--SUBSTITUTE(SUBSTITUTE(TRIM(INDEX($A:$U,ROW(),$D$6)),",",""),"원",""),0))))</f>
        <v/>
      </c>
      <c r="AA83" s="31">
        <f>IF($Y83="","",TRIM(INDEX($A:$U,ROW(),$E$6)&amp;IF($F$6="",""," "&amp;INDEX($A:$U,ROW(),$F$6))))</f>
        <v/>
      </c>
      <c r="AB83" s="31">
        <f>IF($AA83="","",SUBSTITUTE(SUBSTITUTE(SUBSTITUTE(SUBSTITUTE(SUBSTITUTE(SUBSTITUTE(SUBSTITUTE(SUBSTITUTE(SUBSTITUTE($AA83," ",""),"　",""),"(주)",""),"（주）",""),"㈜",""),"주식회사",""),"(유)",""),"（유）",""),"유한회사",""))</f>
        <v/>
      </c>
      <c r="AC83" s="31">
        <f>IF(OR($Y83="",N($Z83)&lt;=0,$AB83=""),0,IFERROR(LOOKUP(2,1/((거래처별!$AC$8:$AC$307&lt;&gt;"")*ISNUMBER(SEARCH(거래처별!$AC$8:$AC$307,$AB83))),거래처별!$A$8:$A$307),IFERROR(LOOKUP(2,1/((거래처별!$AD$8:$AD$307&lt;&gt;"")*ISNUMBER(SEARCH(거래처별!$AD$8:$AD$307,$AB83))),거래처별!$A$8:$A$307),IFERROR(LOOKUP(2,1/((거래처별!$AE$8:$AE$307&lt;&gt;"")*ISNUMBER(SEARCH(거래처별!$AE$8:$AE$307,$AB83))),거래처별!$A$8:$A$307),0))))</f>
        <v/>
      </c>
      <c r="AD83" s="31">
        <f>IF(AND($Y83&lt;&gt;"",N($Z83)&gt;0,$AC83=0),MAX($AD$7:$AD82)+1,"")</f>
        <v/>
      </c>
      <c r="AE83" s="31">
        <f>IF($Y83="",0,$Y83)</f>
        <v/>
      </c>
    </row>
    <row r="84">
      <c r="W84" s="31">
        <f>IF(OR($B$5="",$C$6="",ROW()&lt;$B$5),"",IF(INDEX($A:$U,ROW(),$C$6)="","",INDEX($A:$U,ROW(),$C$6)))</f>
        <v/>
      </c>
      <c r="X84" s="32">
        <f>IF($W84="","",IF(ISNUMBER($W84),IF($W84&gt;=10000000,IFERROR(DATE(INT($W84/10000),MOD(INT($W84/100),100),MOD($W84,100)),""),INT($W84)),IFERROR(DATE(--LEFT(LEFT(SUBSTITUTE(SUBSTITUTE(SUBSTITUTE(SUBSTITUTE(TRIM($W84),"-",""),".",""),"/","")," ",""),8),4),--MID(LEFT(SUBSTITUTE(SUBSTITUTE(SUBSTITUTE(SUBSTITUTE(TRIM($W84),"-",""),".",""),"/","")," ",""),8),5,2),--MID(LEFT(SUBSTITUTE(SUBSTITUTE(SUBSTITUTE(SUBSTITUTE(TRIM($W84),"-",""),".",""),"/","")," ",""),8),7,2)),"")))</f>
        <v/>
      </c>
      <c r="Y84" s="32">
        <f>IF($X84="","",INT($X84))</f>
        <v/>
      </c>
      <c r="Z84" s="33">
        <f>IF(OR($Y84="",$D$6=""),"",IF(INDEX($A:$U,ROW(),$D$6)="",0,IF(ISNUMBER(INDEX($A:$U,ROW(),$D$6)),INDEX($A:$U,ROW(),$D$6),IFERROR(--SUBSTITUTE(SUBSTITUTE(TRIM(INDEX($A:$U,ROW(),$D$6)),",",""),"원",""),0))))</f>
        <v/>
      </c>
      <c r="AA84" s="31">
        <f>IF($Y84="","",TRIM(INDEX($A:$U,ROW(),$E$6)&amp;IF($F$6="",""," "&amp;INDEX($A:$U,ROW(),$F$6))))</f>
        <v/>
      </c>
      <c r="AB84" s="31">
        <f>IF($AA84="","",SUBSTITUTE(SUBSTITUTE(SUBSTITUTE(SUBSTITUTE(SUBSTITUTE(SUBSTITUTE(SUBSTITUTE(SUBSTITUTE(SUBSTITUTE($AA84," ",""),"　",""),"(주)",""),"（주）",""),"㈜",""),"주식회사",""),"(유)",""),"（유）",""),"유한회사",""))</f>
        <v/>
      </c>
      <c r="AC84" s="31">
        <f>IF(OR($Y84="",N($Z84)&lt;=0,$AB84=""),0,IFERROR(LOOKUP(2,1/((거래처별!$AC$8:$AC$307&lt;&gt;"")*ISNUMBER(SEARCH(거래처별!$AC$8:$AC$307,$AB84))),거래처별!$A$8:$A$307),IFERROR(LOOKUP(2,1/((거래처별!$AD$8:$AD$307&lt;&gt;"")*ISNUMBER(SEARCH(거래처별!$AD$8:$AD$307,$AB84))),거래처별!$A$8:$A$307),IFERROR(LOOKUP(2,1/((거래처별!$AE$8:$AE$307&lt;&gt;"")*ISNUMBER(SEARCH(거래처별!$AE$8:$AE$307,$AB84))),거래처별!$A$8:$A$307),0))))</f>
        <v/>
      </c>
      <c r="AD84" s="31">
        <f>IF(AND($Y84&lt;&gt;"",N($Z84)&gt;0,$AC84=0),MAX($AD$7:$AD83)+1,"")</f>
        <v/>
      </c>
      <c r="AE84" s="31">
        <f>IF($Y84="",0,$Y84)</f>
        <v/>
      </c>
    </row>
    <row r="85">
      <c r="W85" s="31">
        <f>IF(OR($B$5="",$C$6="",ROW()&lt;$B$5),"",IF(INDEX($A:$U,ROW(),$C$6)="","",INDEX($A:$U,ROW(),$C$6)))</f>
        <v/>
      </c>
      <c r="X85" s="32">
        <f>IF($W85="","",IF(ISNUMBER($W85),IF($W85&gt;=10000000,IFERROR(DATE(INT($W85/10000),MOD(INT($W85/100),100),MOD($W85,100)),""),INT($W85)),IFERROR(DATE(--LEFT(LEFT(SUBSTITUTE(SUBSTITUTE(SUBSTITUTE(SUBSTITUTE(TRIM($W85),"-",""),".",""),"/","")," ",""),8),4),--MID(LEFT(SUBSTITUTE(SUBSTITUTE(SUBSTITUTE(SUBSTITUTE(TRIM($W85),"-",""),".",""),"/","")," ",""),8),5,2),--MID(LEFT(SUBSTITUTE(SUBSTITUTE(SUBSTITUTE(SUBSTITUTE(TRIM($W85),"-",""),".",""),"/","")," ",""),8),7,2)),"")))</f>
        <v/>
      </c>
      <c r="Y85" s="32">
        <f>IF($X85="","",INT($X85))</f>
        <v/>
      </c>
      <c r="Z85" s="33">
        <f>IF(OR($Y85="",$D$6=""),"",IF(INDEX($A:$U,ROW(),$D$6)="",0,IF(ISNUMBER(INDEX($A:$U,ROW(),$D$6)),INDEX($A:$U,ROW(),$D$6),IFERROR(--SUBSTITUTE(SUBSTITUTE(TRIM(INDEX($A:$U,ROW(),$D$6)),",",""),"원",""),0))))</f>
        <v/>
      </c>
      <c r="AA85" s="31">
        <f>IF($Y85="","",TRIM(INDEX($A:$U,ROW(),$E$6)&amp;IF($F$6="",""," "&amp;INDEX($A:$U,ROW(),$F$6))))</f>
        <v/>
      </c>
      <c r="AB85" s="31">
        <f>IF($AA85="","",SUBSTITUTE(SUBSTITUTE(SUBSTITUTE(SUBSTITUTE(SUBSTITUTE(SUBSTITUTE(SUBSTITUTE(SUBSTITUTE(SUBSTITUTE($AA85," ",""),"　",""),"(주)",""),"（주）",""),"㈜",""),"주식회사",""),"(유)",""),"（유）",""),"유한회사",""))</f>
        <v/>
      </c>
      <c r="AC85" s="31">
        <f>IF(OR($Y85="",N($Z85)&lt;=0,$AB85=""),0,IFERROR(LOOKUP(2,1/((거래처별!$AC$8:$AC$307&lt;&gt;"")*ISNUMBER(SEARCH(거래처별!$AC$8:$AC$307,$AB85))),거래처별!$A$8:$A$307),IFERROR(LOOKUP(2,1/((거래처별!$AD$8:$AD$307&lt;&gt;"")*ISNUMBER(SEARCH(거래처별!$AD$8:$AD$307,$AB85))),거래처별!$A$8:$A$307),IFERROR(LOOKUP(2,1/((거래처별!$AE$8:$AE$307&lt;&gt;"")*ISNUMBER(SEARCH(거래처별!$AE$8:$AE$307,$AB85))),거래처별!$A$8:$A$307),0))))</f>
        <v/>
      </c>
      <c r="AD85" s="31">
        <f>IF(AND($Y85&lt;&gt;"",N($Z85)&gt;0,$AC85=0),MAX($AD$7:$AD84)+1,"")</f>
        <v/>
      </c>
      <c r="AE85" s="31">
        <f>IF($Y85="",0,$Y85)</f>
        <v/>
      </c>
    </row>
    <row r="86">
      <c r="W86" s="31">
        <f>IF(OR($B$5="",$C$6="",ROW()&lt;$B$5),"",IF(INDEX($A:$U,ROW(),$C$6)="","",INDEX($A:$U,ROW(),$C$6)))</f>
        <v/>
      </c>
      <c r="X86" s="32">
        <f>IF($W86="","",IF(ISNUMBER($W86),IF($W86&gt;=10000000,IFERROR(DATE(INT($W86/10000),MOD(INT($W86/100),100),MOD($W86,100)),""),INT($W86)),IFERROR(DATE(--LEFT(LEFT(SUBSTITUTE(SUBSTITUTE(SUBSTITUTE(SUBSTITUTE(TRIM($W86),"-",""),".",""),"/","")," ",""),8),4),--MID(LEFT(SUBSTITUTE(SUBSTITUTE(SUBSTITUTE(SUBSTITUTE(TRIM($W86),"-",""),".",""),"/","")," ",""),8),5,2),--MID(LEFT(SUBSTITUTE(SUBSTITUTE(SUBSTITUTE(SUBSTITUTE(TRIM($W86),"-",""),".",""),"/","")," ",""),8),7,2)),"")))</f>
        <v/>
      </c>
      <c r="Y86" s="32">
        <f>IF($X86="","",INT($X86))</f>
        <v/>
      </c>
      <c r="Z86" s="33">
        <f>IF(OR($Y86="",$D$6=""),"",IF(INDEX($A:$U,ROW(),$D$6)="",0,IF(ISNUMBER(INDEX($A:$U,ROW(),$D$6)),INDEX($A:$U,ROW(),$D$6),IFERROR(--SUBSTITUTE(SUBSTITUTE(TRIM(INDEX($A:$U,ROW(),$D$6)),",",""),"원",""),0))))</f>
        <v/>
      </c>
      <c r="AA86" s="31">
        <f>IF($Y86="","",TRIM(INDEX($A:$U,ROW(),$E$6)&amp;IF($F$6="",""," "&amp;INDEX($A:$U,ROW(),$F$6))))</f>
        <v/>
      </c>
      <c r="AB86" s="31">
        <f>IF($AA86="","",SUBSTITUTE(SUBSTITUTE(SUBSTITUTE(SUBSTITUTE(SUBSTITUTE(SUBSTITUTE(SUBSTITUTE(SUBSTITUTE(SUBSTITUTE($AA86," ",""),"　",""),"(주)",""),"（주）",""),"㈜",""),"주식회사",""),"(유)",""),"（유）",""),"유한회사",""))</f>
        <v/>
      </c>
      <c r="AC86" s="31">
        <f>IF(OR($Y86="",N($Z86)&lt;=0,$AB86=""),0,IFERROR(LOOKUP(2,1/((거래처별!$AC$8:$AC$307&lt;&gt;"")*ISNUMBER(SEARCH(거래처별!$AC$8:$AC$307,$AB86))),거래처별!$A$8:$A$307),IFERROR(LOOKUP(2,1/((거래처별!$AD$8:$AD$307&lt;&gt;"")*ISNUMBER(SEARCH(거래처별!$AD$8:$AD$307,$AB86))),거래처별!$A$8:$A$307),IFERROR(LOOKUP(2,1/((거래처별!$AE$8:$AE$307&lt;&gt;"")*ISNUMBER(SEARCH(거래처별!$AE$8:$AE$307,$AB86))),거래처별!$A$8:$A$307),0))))</f>
        <v/>
      </c>
      <c r="AD86" s="31">
        <f>IF(AND($Y86&lt;&gt;"",N($Z86)&gt;0,$AC86=0),MAX($AD$7:$AD85)+1,"")</f>
        <v/>
      </c>
      <c r="AE86" s="31">
        <f>IF($Y86="",0,$Y86)</f>
        <v/>
      </c>
    </row>
    <row r="87">
      <c r="W87" s="31">
        <f>IF(OR($B$5="",$C$6="",ROW()&lt;$B$5),"",IF(INDEX($A:$U,ROW(),$C$6)="","",INDEX($A:$U,ROW(),$C$6)))</f>
        <v/>
      </c>
      <c r="X87" s="32">
        <f>IF($W87="","",IF(ISNUMBER($W87),IF($W87&gt;=10000000,IFERROR(DATE(INT($W87/10000),MOD(INT($W87/100),100),MOD($W87,100)),""),INT($W87)),IFERROR(DATE(--LEFT(LEFT(SUBSTITUTE(SUBSTITUTE(SUBSTITUTE(SUBSTITUTE(TRIM($W87),"-",""),".",""),"/","")," ",""),8),4),--MID(LEFT(SUBSTITUTE(SUBSTITUTE(SUBSTITUTE(SUBSTITUTE(TRIM($W87),"-",""),".",""),"/","")," ",""),8),5,2),--MID(LEFT(SUBSTITUTE(SUBSTITUTE(SUBSTITUTE(SUBSTITUTE(TRIM($W87),"-",""),".",""),"/","")," ",""),8),7,2)),"")))</f>
        <v/>
      </c>
      <c r="Y87" s="32">
        <f>IF($X87="","",INT($X87))</f>
        <v/>
      </c>
      <c r="Z87" s="33">
        <f>IF(OR($Y87="",$D$6=""),"",IF(INDEX($A:$U,ROW(),$D$6)="",0,IF(ISNUMBER(INDEX($A:$U,ROW(),$D$6)),INDEX($A:$U,ROW(),$D$6),IFERROR(--SUBSTITUTE(SUBSTITUTE(TRIM(INDEX($A:$U,ROW(),$D$6)),",",""),"원",""),0))))</f>
        <v/>
      </c>
      <c r="AA87" s="31">
        <f>IF($Y87="","",TRIM(INDEX($A:$U,ROW(),$E$6)&amp;IF($F$6="",""," "&amp;INDEX($A:$U,ROW(),$F$6))))</f>
        <v/>
      </c>
      <c r="AB87" s="31">
        <f>IF($AA87="","",SUBSTITUTE(SUBSTITUTE(SUBSTITUTE(SUBSTITUTE(SUBSTITUTE(SUBSTITUTE(SUBSTITUTE(SUBSTITUTE(SUBSTITUTE($AA87," ",""),"　",""),"(주)",""),"（주）",""),"㈜",""),"주식회사",""),"(유)",""),"（유）",""),"유한회사",""))</f>
        <v/>
      </c>
      <c r="AC87" s="31">
        <f>IF(OR($Y87="",N($Z87)&lt;=0,$AB87=""),0,IFERROR(LOOKUP(2,1/((거래처별!$AC$8:$AC$307&lt;&gt;"")*ISNUMBER(SEARCH(거래처별!$AC$8:$AC$307,$AB87))),거래처별!$A$8:$A$307),IFERROR(LOOKUP(2,1/((거래처별!$AD$8:$AD$307&lt;&gt;"")*ISNUMBER(SEARCH(거래처별!$AD$8:$AD$307,$AB87))),거래처별!$A$8:$A$307),IFERROR(LOOKUP(2,1/((거래처별!$AE$8:$AE$307&lt;&gt;"")*ISNUMBER(SEARCH(거래처별!$AE$8:$AE$307,$AB87))),거래처별!$A$8:$A$307),0))))</f>
        <v/>
      </c>
      <c r="AD87" s="31">
        <f>IF(AND($Y87&lt;&gt;"",N($Z87)&gt;0,$AC87=0),MAX($AD$7:$AD86)+1,"")</f>
        <v/>
      </c>
      <c r="AE87" s="31">
        <f>IF($Y87="",0,$Y87)</f>
        <v/>
      </c>
    </row>
    <row r="88">
      <c r="W88" s="31">
        <f>IF(OR($B$5="",$C$6="",ROW()&lt;$B$5),"",IF(INDEX($A:$U,ROW(),$C$6)="","",INDEX($A:$U,ROW(),$C$6)))</f>
        <v/>
      </c>
      <c r="X88" s="32">
        <f>IF($W88="","",IF(ISNUMBER($W88),IF($W88&gt;=10000000,IFERROR(DATE(INT($W88/10000),MOD(INT($W88/100),100),MOD($W88,100)),""),INT($W88)),IFERROR(DATE(--LEFT(LEFT(SUBSTITUTE(SUBSTITUTE(SUBSTITUTE(SUBSTITUTE(TRIM($W88),"-",""),".",""),"/","")," ",""),8),4),--MID(LEFT(SUBSTITUTE(SUBSTITUTE(SUBSTITUTE(SUBSTITUTE(TRIM($W88),"-",""),".",""),"/","")," ",""),8),5,2),--MID(LEFT(SUBSTITUTE(SUBSTITUTE(SUBSTITUTE(SUBSTITUTE(TRIM($W88),"-",""),".",""),"/","")," ",""),8),7,2)),"")))</f>
        <v/>
      </c>
      <c r="Y88" s="32">
        <f>IF($X88="","",INT($X88))</f>
        <v/>
      </c>
      <c r="Z88" s="33">
        <f>IF(OR($Y88="",$D$6=""),"",IF(INDEX($A:$U,ROW(),$D$6)="",0,IF(ISNUMBER(INDEX($A:$U,ROW(),$D$6)),INDEX($A:$U,ROW(),$D$6),IFERROR(--SUBSTITUTE(SUBSTITUTE(TRIM(INDEX($A:$U,ROW(),$D$6)),",",""),"원",""),0))))</f>
        <v/>
      </c>
      <c r="AA88" s="31">
        <f>IF($Y88="","",TRIM(INDEX($A:$U,ROW(),$E$6)&amp;IF($F$6="",""," "&amp;INDEX($A:$U,ROW(),$F$6))))</f>
        <v/>
      </c>
      <c r="AB88" s="31">
        <f>IF($AA88="","",SUBSTITUTE(SUBSTITUTE(SUBSTITUTE(SUBSTITUTE(SUBSTITUTE(SUBSTITUTE(SUBSTITUTE(SUBSTITUTE(SUBSTITUTE($AA88," ",""),"　",""),"(주)",""),"（주）",""),"㈜",""),"주식회사",""),"(유)",""),"（유）",""),"유한회사",""))</f>
        <v/>
      </c>
      <c r="AC88" s="31">
        <f>IF(OR($Y88="",N($Z88)&lt;=0,$AB88=""),0,IFERROR(LOOKUP(2,1/((거래처별!$AC$8:$AC$307&lt;&gt;"")*ISNUMBER(SEARCH(거래처별!$AC$8:$AC$307,$AB88))),거래처별!$A$8:$A$307),IFERROR(LOOKUP(2,1/((거래처별!$AD$8:$AD$307&lt;&gt;"")*ISNUMBER(SEARCH(거래처별!$AD$8:$AD$307,$AB88))),거래처별!$A$8:$A$307),IFERROR(LOOKUP(2,1/((거래처별!$AE$8:$AE$307&lt;&gt;"")*ISNUMBER(SEARCH(거래처별!$AE$8:$AE$307,$AB88))),거래처별!$A$8:$A$307),0))))</f>
        <v/>
      </c>
      <c r="AD88" s="31">
        <f>IF(AND($Y88&lt;&gt;"",N($Z88)&gt;0,$AC88=0),MAX($AD$7:$AD87)+1,"")</f>
        <v/>
      </c>
      <c r="AE88" s="31">
        <f>IF($Y88="",0,$Y88)</f>
        <v/>
      </c>
    </row>
    <row r="89">
      <c r="W89" s="31">
        <f>IF(OR($B$5="",$C$6="",ROW()&lt;$B$5),"",IF(INDEX($A:$U,ROW(),$C$6)="","",INDEX($A:$U,ROW(),$C$6)))</f>
        <v/>
      </c>
      <c r="X89" s="32">
        <f>IF($W89="","",IF(ISNUMBER($W89),IF($W89&gt;=10000000,IFERROR(DATE(INT($W89/10000),MOD(INT($W89/100),100),MOD($W89,100)),""),INT($W89)),IFERROR(DATE(--LEFT(LEFT(SUBSTITUTE(SUBSTITUTE(SUBSTITUTE(SUBSTITUTE(TRIM($W89),"-",""),".",""),"/","")," ",""),8),4),--MID(LEFT(SUBSTITUTE(SUBSTITUTE(SUBSTITUTE(SUBSTITUTE(TRIM($W89),"-",""),".",""),"/","")," ",""),8),5,2),--MID(LEFT(SUBSTITUTE(SUBSTITUTE(SUBSTITUTE(SUBSTITUTE(TRIM($W89),"-",""),".",""),"/","")," ",""),8),7,2)),"")))</f>
        <v/>
      </c>
      <c r="Y89" s="32">
        <f>IF($X89="","",INT($X89))</f>
        <v/>
      </c>
      <c r="Z89" s="33">
        <f>IF(OR($Y89="",$D$6=""),"",IF(INDEX($A:$U,ROW(),$D$6)="",0,IF(ISNUMBER(INDEX($A:$U,ROW(),$D$6)),INDEX($A:$U,ROW(),$D$6),IFERROR(--SUBSTITUTE(SUBSTITUTE(TRIM(INDEX($A:$U,ROW(),$D$6)),",",""),"원",""),0))))</f>
        <v/>
      </c>
      <c r="AA89" s="31">
        <f>IF($Y89="","",TRIM(INDEX($A:$U,ROW(),$E$6)&amp;IF($F$6="",""," "&amp;INDEX($A:$U,ROW(),$F$6))))</f>
        <v/>
      </c>
      <c r="AB89" s="31">
        <f>IF($AA89="","",SUBSTITUTE(SUBSTITUTE(SUBSTITUTE(SUBSTITUTE(SUBSTITUTE(SUBSTITUTE(SUBSTITUTE(SUBSTITUTE(SUBSTITUTE($AA89," ",""),"　",""),"(주)",""),"（주）",""),"㈜",""),"주식회사",""),"(유)",""),"（유）",""),"유한회사",""))</f>
        <v/>
      </c>
      <c r="AC89" s="31">
        <f>IF(OR($Y89="",N($Z89)&lt;=0,$AB89=""),0,IFERROR(LOOKUP(2,1/((거래처별!$AC$8:$AC$307&lt;&gt;"")*ISNUMBER(SEARCH(거래처별!$AC$8:$AC$307,$AB89))),거래처별!$A$8:$A$307),IFERROR(LOOKUP(2,1/((거래처별!$AD$8:$AD$307&lt;&gt;"")*ISNUMBER(SEARCH(거래처별!$AD$8:$AD$307,$AB89))),거래처별!$A$8:$A$307),IFERROR(LOOKUP(2,1/((거래처별!$AE$8:$AE$307&lt;&gt;"")*ISNUMBER(SEARCH(거래처별!$AE$8:$AE$307,$AB89))),거래처별!$A$8:$A$307),0))))</f>
        <v/>
      </c>
      <c r="AD89" s="31">
        <f>IF(AND($Y89&lt;&gt;"",N($Z89)&gt;0,$AC89=0),MAX($AD$7:$AD88)+1,"")</f>
        <v/>
      </c>
      <c r="AE89" s="31">
        <f>IF($Y89="",0,$Y89)</f>
        <v/>
      </c>
    </row>
    <row r="90">
      <c r="W90" s="31">
        <f>IF(OR($B$5="",$C$6="",ROW()&lt;$B$5),"",IF(INDEX($A:$U,ROW(),$C$6)="","",INDEX($A:$U,ROW(),$C$6)))</f>
        <v/>
      </c>
      <c r="X90" s="32">
        <f>IF($W90="","",IF(ISNUMBER($W90),IF($W90&gt;=10000000,IFERROR(DATE(INT($W90/10000),MOD(INT($W90/100),100),MOD($W90,100)),""),INT($W90)),IFERROR(DATE(--LEFT(LEFT(SUBSTITUTE(SUBSTITUTE(SUBSTITUTE(SUBSTITUTE(TRIM($W90),"-",""),".",""),"/","")," ",""),8),4),--MID(LEFT(SUBSTITUTE(SUBSTITUTE(SUBSTITUTE(SUBSTITUTE(TRIM($W90),"-",""),".",""),"/","")," ",""),8),5,2),--MID(LEFT(SUBSTITUTE(SUBSTITUTE(SUBSTITUTE(SUBSTITUTE(TRIM($W90),"-",""),".",""),"/","")," ",""),8),7,2)),"")))</f>
        <v/>
      </c>
      <c r="Y90" s="32">
        <f>IF($X90="","",INT($X90))</f>
        <v/>
      </c>
      <c r="Z90" s="33">
        <f>IF(OR($Y90="",$D$6=""),"",IF(INDEX($A:$U,ROW(),$D$6)="",0,IF(ISNUMBER(INDEX($A:$U,ROW(),$D$6)),INDEX($A:$U,ROW(),$D$6),IFERROR(--SUBSTITUTE(SUBSTITUTE(TRIM(INDEX($A:$U,ROW(),$D$6)),",",""),"원",""),0))))</f>
        <v/>
      </c>
      <c r="AA90" s="31">
        <f>IF($Y90="","",TRIM(INDEX($A:$U,ROW(),$E$6)&amp;IF($F$6="",""," "&amp;INDEX($A:$U,ROW(),$F$6))))</f>
        <v/>
      </c>
      <c r="AB90" s="31">
        <f>IF($AA90="","",SUBSTITUTE(SUBSTITUTE(SUBSTITUTE(SUBSTITUTE(SUBSTITUTE(SUBSTITUTE(SUBSTITUTE(SUBSTITUTE(SUBSTITUTE($AA90," ",""),"　",""),"(주)",""),"（주）",""),"㈜",""),"주식회사",""),"(유)",""),"（유）",""),"유한회사",""))</f>
        <v/>
      </c>
      <c r="AC90" s="31">
        <f>IF(OR($Y90="",N($Z90)&lt;=0,$AB90=""),0,IFERROR(LOOKUP(2,1/((거래처별!$AC$8:$AC$307&lt;&gt;"")*ISNUMBER(SEARCH(거래처별!$AC$8:$AC$307,$AB90))),거래처별!$A$8:$A$307),IFERROR(LOOKUP(2,1/((거래처별!$AD$8:$AD$307&lt;&gt;"")*ISNUMBER(SEARCH(거래처별!$AD$8:$AD$307,$AB90))),거래처별!$A$8:$A$307),IFERROR(LOOKUP(2,1/((거래처별!$AE$8:$AE$307&lt;&gt;"")*ISNUMBER(SEARCH(거래처별!$AE$8:$AE$307,$AB90))),거래처별!$A$8:$A$307),0))))</f>
        <v/>
      </c>
      <c r="AD90" s="31">
        <f>IF(AND($Y90&lt;&gt;"",N($Z90)&gt;0,$AC90=0),MAX($AD$7:$AD89)+1,"")</f>
        <v/>
      </c>
      <c r="AE90" s="31">
        <f>IF($Y90="",0,$Y90)</f>
        <v/>
      </c>
    </row>
    <row r="91">
      <c r="W91" s="31">
        <f>IF(OR($B$5="",$C$6="",ROW()&lt;$B$5),"",IF(INDEX($A:$U,ROW(),$C$6)="","",INDEX($A:$U,ROW(),$C$6)))</f>
        <v/>
      </c>
      <c r="X91" s="32">
        <f>IF($W91="","",IF(ISNUMBER($W91),IF($W91&gt;=10000000,IFERROR(DATE(INT($W91/10000),MOD(INT($W91/100),100),MOD($W91,100)),""),INT($W91)),IFERROR(DATE(--LEFT(LEFT(SUBSTITUTE(SUBSTITUTE(SUBSTITUTE(SUBSTITUTE(TRIM($W91),"-",""),".",""),"/","")," ",""),8),4),--MID(LEFT(SUBSTITUTE(SUBSTITUTE(SUBSTITUTE(SUBSTITUTE(TRIM($W91),"-",""),".",""),"/","")," ",""),8),5,2),--MID(LEFT(SUBSTITUTE(SUBSTITUTE(SUBSTITUTE(SUBSTITUTE(TRIM($W91),"-",""),".",""),"/","")," ",""),8),7,2)),"")))</f>
        <v/>
      </c>
      <c r="Y91" s="32">
        <f>IF($X91="","",INT($X91))</f>
        <v/>
      </c>
      <c r="Z91" s="33">
        <f>IF(OR($Y91="",$D$6=""),"",IF(INDEX($A:$U,ROW(),$D$6)="",0,IF(ISNUMBER(INDEX($A:$U,ROW(),$D$6)),INDEX($A:$U,ROW(),$D$6),IFERROR(--SUBSTITUTE(SUBSTITUTE(TRIM(INDEX($A:$U,ROW(),$D$6)),",",""),"원",""),0))))</f>
        <v/>
      </c>
      <c r="AA91" s="31">
        <f>IF($Y91="","",TRIM(INDEX($A:$U,ROW(),$E$6)&amp;IF($F$6="",""," "&amp;INDEX($A:$U,ROW(),$F$6))))</f>
        <v/>
      </c>
      <c r="AB91" s="31">
        <f>IF($AA91="","",SUBSTITUTE(SUBSTITUTE(SUBSTITUTE(SUBSTITUTE(SUBSTITUTE(SUBSTITUTE(SUBSTITUTE(SUBSTITUTE(SUBSTITUTE($AA91," ",""),"　",""),"(주)",""),"（주）",""),"㈜",""),"주식회사",""),"(유)",""),"（유）",""),"유한회사",""))</f>
        <v/>
      </c>
      <c r="AC91" s="31">
        <f>IF(OR($Y91="",N($Z91)&lt;=0,$AB91=""),0,IFERROR(LOOKUP(2,1/((거래처별!$AC$8:$AC$307&lt;&gt;"")*ISNUMBER(SEARCH(거래처별!$AC$8:$AC$307,$AB91))),거래처별!$A$8:$A$307),IFERROR(LOOKUP(2,1/((거래처별!$AD$8:$AD$307&lt;&gt;"")*ISNUMBER(SEARCH(거래처별!$AD$8:$AD$307,$AB91))),거래처별!$A$8:$A$307),IFERROR(LOOKUP(2,1/((거래처별!$AE$8:$AE$307&lt;&gt;"")*ISNUMBER(SEARCH(거래처별!$AE$8:$AE$307,$AB91))),거래처별!$A$8:$A$307),0))))</f>
        <v/>
      </c>
      <c r="AD91" s="31">
        <f>IF(AND($Y91&lt;&gt;"",N($Z91)&gt;0,$AC91=0),MAX($AD$7:$AD90)+1,"")</f>
        <v/>
      </c>
      <c r="AE91" s="31">
        <f>IF($Y91="",0,$Y91)</f>
        <v/>
      </c>
    </row>
    <row r="92">
      <c r="W92" s="31">
        <f>IF(OR($B$5="",$C$6="",ROW()&lt;$B$5),"",IF(INDEX($A:$U,ROW(),$C$6)="","",INDEX($A:$U,ROW(),$C$6)))</f>
        <v/>
      </c>
      <c r="X92" s="32">
        <f>IF($W92="","",IF(ISNUMBER($W92),IF($W92&gt;=10000000,IFERROR(DATE(INT($W92/10000),MOD(INT($W92/100),100),MOD($W92,100)),""),INT($W92)),IFERROR(DATE(--LEFT(LEFT(SUBSTITUTE(SUBSTITUTE(SUBSTITUTE(SUBSTITUTE(TRIM($W92),"-",""),".",""),"/","")," ",""),8),4),--MID(LEFT(SUBSTITUTE(SUBSTITUTE(SUBSTITUTE(SUBSTITUTE(TRIM($W92),"-",""),".",""),"/","")," ",""),8),5,2),--MID(LEFT(SUBSTITUTE(SUBSTITUTE(SUBSTITUTE(SUBSTITUTE(TRIM($W92),"-",""),".",""),"/","")," ",""),8),7,2)),"")))</f>
        <v/>
      </c>
      <c r="Y92" s="32">
        <f>IF($X92="","",INT($X92))</f>
        <v/>
      </c>
      <c r="Z92" s="33">
        <f>IF(OR($Y92="",$D$6=""),"",IF(INDEX($A:$U,ROW(),$D$6)="",0,IF(ISNUMBER(INDEX($A:$U,ROW(),$D$6)),INDEX($A:$U,ROW(),$D$6),IFERROR(--SUBSTITUTE(SUBSTITUTE(TRIM(INDEX($A:$U,ROW(),$D$6)),",",""),"원",""),0))))</f>
        <v/>
      </c>
      <c r="AA92" s="31">
        <f>IF($Y92="","",TRIM(INDEX($A:$U,ROW(),$E$6)&amp;IF($F$6="",""," "&amp;INDEX($A:$U,ROW(),$F$6))))</f>
        <v/>
      </c>
      <c r="AB92" s="31">
        <f>IF($AA92="","",SUBSTITUTE(SUBSTITUTE(SUBSTITUTE(SUBSTITUTE(SUBSTITUTE(SUBSTITUTE(SUBSTITUTE(SUBSTITUTE(SUBSTITUTE($AA92," ",""),"　",""),"(주)",""),"（주）",""),"㈜",""),"주식회사",""),"(유)",""),"（유）",""),"유한회사",""))</f>
        <v/>
      </c>
      <c r="AC92" s="31">
        <f>IF(OR($Y92="",N($Z92)&lt;=0,$AB92=""),0,IFERROR(LOOKUP(2,1/((거래처별!$AC$8:$AC$307&lt;&gt;"")*ISNUMBER(SEARCH(거래처별!$AC$8:$AC$307,$AB92))),거래처별!$A$8:$A$307),IFERROR(LOOKUP(2,1/((거래처별!$AD$8:$AD$307&lt;&gt;"")*ISNUMBER(SEARCH(거래처별!$AD$8:$AD$307,$AB92))),거래처별!$A$8:$A$307),IFERROR(LOOKUP(2,1/((거래처별!$AE$8:$AE$307&lt;&gt;"")*ISNUMBER(SEARCH(거래처별!$AE$8:$AE$307,$AB92))),거래처별!$A$8:$A$307),0))))</f>
        <v/>
      </c>
      <c r="AD92" s="31">
        <f>IF(AND($Y92&lt;&gt;"",N($Z92)&gt;0,$AC92=0),MAX($AD$7:$AD91)+1,"")</f>
        <v/>
      </c>
      <c r="AE92" s="31">
        <f>IF($Y92="",0,$Y92)</f>
        <v/>
      </c>
    </row>
    <row r="93">
      <c r="W93" s="31">
        <f>IF(OR($B$5="",$C$6="",ROW()&lt;$B$5),"",IF(INDEX($A:$U,ROW(),$C$6)="","",INDEX($A:$U,ROW(),$C$6)))</f>
        <v/>
      </c>
      <c r="X93" s="32">
        <f>IF($W93="","",IF(ISNUMBER($W93),IF($W93&gt;=10000000,IFERROR(DATE(INT($W93/10000),MOD(INT($W93/100),100),MOD($W93,100)),""),INT($W93)),IFERROR(DATE(--LEFT(LEFT(SUBSTITUTE(SUBSTITUTE(SUBSTITUTE(SUBSTITUTE(TRIM($W93),"-",""),".",""),"/","")," ",""),8),4),--MID(LEFT(SUBSTITUTE(SUBSTITUTE(SUBSTITUTE(SUBSTITUTE(TRIM($W93),"-",""),".",""),"/","")," ",""),8),5,2),--MID(LEFT(SUBSTITUTE(SUBSTITUTE(SUBSTITUTE(SUBSTITUTE(TRIM($W93),"-",""),".",""),"/","")," ",""),8),7,2)),"")))</f>
        <v/>
      </c>
      <c r="Y93" s="32">
        <f>IF($X93="","",INT($X93))</f>
        <v/>
      </c>
      <c r="Z93" s="33">
        <f>IF(OR($Y93="",$D$6=""),"",IF(INDEX($A:$U,ROW(),$D$6)="",0,IF(ISNUMBER(INDEX($A:$U,ROW(),$D$6)),INDEX($A:$U,ROW(),$D$6),IFERROR(--SUBSTITUTE(SUBSTITUTE(TRIM(INDEX($A:$U,ROW(),$D$6)),",",""),"원",""),0))))</f>
        <v/>
      </c>
      <c r="AA93" s="31">
        <f>IF($Y93="","",TRIM(INDEX($A:$U,ROW(),$E$6)&amp;IF($F$6="",""," "&amp;INDEX($A:$U,ROW(),$F$6))))</f>
        <v/>
      </c>
      <c r="AB93" s="31">
        <f>IF($AA93="","",SUBSTITUTE(SUBSTITUTE(SUBSTITUTE(SUBSTITUTE(SUBSTITUTE(SUBSTITUTE(SUBSTITUTE(SUBSTITUTE(SUBSTITUTE($AA93," ",""),"　",""),"(주)",""),"（주）",""),"㈜",""),"주식회사",""),"(유)",""),"（유）",""),"유한회사",""))</f>
        <v/>
      </c>
      <c r="AC93" s="31">
        <f>IF(OR($Y93="",N($Z93)&lt;=0,$AB93=""),0,IFERROR(LOOKUP(2,1/((거래처별!$AC$8:$AC$307&lt;&gt;"")*ISNUMBER(SEARCH(거래처별!$AC$8:$AC$307,$AB93))),거래처별!$A$8:$A$307),IFERROR(LOOKUP(2,1/((거래처별!$AD$8:$AD$307&lt;&gt;"")*ISNUMBER(SEARCH(거래처별!$AD$8:$AD$307,$AB93))),거래처별!$A$8:$A$307),IFERROR(LOOKUP(2,1/((거래처별!$AE$8:$AE$307&lt;&gt;"")*ISNUMBER(SEARCH(거래처별!$AE$8:$AE$307,$AB93))),거래처별!$A$8:$A$307),0))))</f>
        <v/>
      </c>
      <c r="AD93" s="31">
        <f>IF(AND($Y93&lt;&gt;"",N($Z93)&gt;0,$AC93=0),MAX($AD$7:$AD92)+1,"")</f>
        <v/>
      </c>
      <c r="AE93" s="31">
        <f>IF($Y93="",0,$Y93)</f>
        <v/>
      </c>
    </row>
    <row r="94">
      <c r="W94" s="31">
        <f>IF(OR($B$5="",$C$6="",ROW()&lt;$B$5),"",IF(INDEX($A:$U,ROW(),$C$6)="","",INDEX($A:$U,ROW(),$C$6)))</f>
        <v/>
      </c>
      <c r="X94" s="32">
        <f>IF($W94="","",IF(ISNUMBER($W94),IF($W94&gt;=10000000,IFERROR(DATE(INT($W94/10000),MOD(INT($W94/100),100),MOD($W94,100)),""),INT($W94)),IFERROR(DATE(--LEFT(LEFT(SUBSTITUTE(SUBSTITUTE(SUBSTITUTE(SUBSTITUTE(TRIM($W94),"-",""),".",""),"/","")," ",""),8),4),--MID(LEFT(SUBSTITUTE(SUBSTITUTE(SUBSTITUTE(SUBSTITUTE(TRIM($W94),"-",""),".",""),"/","")," ",""),8),5,2),--MID(LEFT(SUBSTITUTE(SUBSTITUTE(SUBSTITUTE(SUBSTITUTE(TRIM($W94),"-",""),".",""),"/","")," ",""),8),7,2)),"")))</f>
        <v/>
      </c>
      <c r="Y94" s="32">
        <f>IF($X94="","",INT($X94))</f>
        <v/>
      </c>
      <c r="Z94" s="33">
        <f>IF(OR($Y94="",$D$6=""),"",IF(INDEX($A:$U,ROW(),$D$6)="",0,IF(ISNUMBER(INDEX($A:$U,ROW(),$D$6)),INDEX($A:$U,ROW(),$D$6),IFERROR(--SUBSTITUTE(SUBSTITUTE(TRIM(INDEX($A:$U,ROW(),$D$6)),",",""),"원",""),0))))</f>
        <v/>
      </c>
      <c r="AA94" s="31">
        <f>IF($Y94="","",TRIM(INDEX($A:$U,ROW(),$E$6)&amp;IF($F$6="",""," "&amp;INDEX($A:$U,ROW(),$F$6))))</f>
        <v/>
      </c>
      <c r="AB94" s="31">
        <f>IF($AA94="","",SUBSTITUTE(SUBSTITUTE(SUBSTITUTE(SUBSTITUTE(SUBSTITUTE(SUBSTITUTE(SUBSTITUTE(SUBSTITUTE(SUBSTITUTE($AA94," ",""),"　",""),"(주)",""),"（주）",""),"㈜",""),"주식회사",""),"(유)",""),"（유）",""),"유한회사",""))</f>
        <v/>
      </c>
      <c r="AC94" s="31">
        <f>IF(OR($Y94="",N($Z94)&lt;=0,$AB94=""),0,IFERROR(LOOKUP(2,1/((거래처별!$AC$8:$AC$307&lt;&gt;"")*ISNUMBER(SEARCH(거래처별!$AC$8:$AC$307,$AB94))),거래처별!$A$8:$A$307),IFERROR(LOOKUP(2,1/((거래처별!$AD$8:$AD$307&lt;&gt;"")*ISNUMBER(SEARCH(거래처별!$AD$8:$AD$307,$AB94))),거래처별!$A$8:$A$307),IFERROR(LOOKUP(2,1/((거래처별!$AE$8:$AE$307&lt;&gt;"")*ISNUMBER(SEARCH(거래처별!$AE$8:$AE$307,$AB94))),거래처별!$A$8:$A$307),0))))</f>
        <v/>
      </c>
      <c r="AD94" s="31">
        <f>IF(AND($Y94&lt;&gt;"",N($Z94)&gt;0,$AC94=0),MAX($AD$7:$AD93)+1,"")</f>
        <v/>
      </c>
      <c r="AE94" s="31">
        <f>IF($Y94="",0,$Y94)</f>
        <v/>
      </c>
    </row>
    <row r="95">
      <c r="W95" s="31">
        <f>IF(OR($B$5="",$C$6="",ROW()&lt;$B$5),"",IF(INDEX($A:$U,ROW(),$C$6)="","",INDEX($A:$U,ROW(),$C$6)))</f>
        <v/>
      </c>
      <c r="X95" s="32">
        <f>IF($W95="","",IF(ISNUMBER($W95),IF($W95&gt;=10000000,IFERROR(DATE(INT($W95/10000),MOD(INT($W95/100),100),MOD($W95,100)),""),INT($W95)),IFERROR(DATE(--LEFT(LEFT(SUBSTITUTE(SUBSTITUTE(SUBSTITUTE(SUBSTITUTE(TRIM($W95),"-",""),".",""),"/","")," ",""),8),4),--MID(LEFT(SUBSTITUTE(SUBSTITUTE(SUBSTITUTE(SUBSTITUTE(TRIM($W95),"-",""),".",""),"/","")," ",""),8),5,2),--MID(LEFT(SUBSTITUTE(SUBSTITUTE(SUBSTITUTE(SUBSTITUTE(TRIM($W95),"-",""),".",""),"/","")," ",""),8),7,2)),"")))</f>
        <v/>
      </c>
      <c r="Y95" s="32">
        <f>IF($X95="","",INT($X95))</f>
        <v/>
      </c>
      <c r="Z95" s="33">
        <f>IF(OR($Y95="",$D$6=""),"",IF(INDEX($A:$U,ROW(),$D$6)="",0,IF(ISNUMBER(INDEX($A:$U,ROW(),$D$6)),INDEX($A:$U,ROW(),$D$6),IFERROR(--SUBSTITUTE(SUBSTITUTE(TRIM(INDEX($A:$U,ROW(),$D$6)),",",""),"원",""),0))))</f>
        <v/>
      </c>
      <c r="AA95" s="31">
        <f>IF($Y95="","",TRIM(INDEX($A:$U,ROW(),$E$6)&amp;IF($F$6="",""," "&amp;INDEX($A:$U,ROW(),$F$6))))</f>
        <v/>
      </c>
      <c r="AB95" s="31">
        <f>IF($AA95="","",SUBSTITUTE(SUBSTITUTE(SUBSTITUTE(SUBSTITUTE(SUBSTITUTE(SUBSTITUTE(SUBSTITUTE(SUBSTITUTE(SUBSTITUTE($AA95," ",""),"　",""),"(주)",""),"（주）",""),"㈜",""),"주식회사",""),"(유)",""),"（유）",""),"유한회사",""))</f>
        <v/>
      </c>
      <c r="AC95" s="31">
        <f>IF(OR($Y95="",N($Z95)&lt;=0,$AB95=""),0,IFERROR(LOOKUP(2,1/((거래처별!$AC$8:$AC$307&lt;&gt;"")*ISNUMBER(SEARCH(거래처별!$AC$8:$AC$307,$AB95))),거래처별!$A$8:$A$307),IFERROR(LOOKUP(2,1/((거래처별!$AD$8:$AD$307&lt;&gt;"")*ISNUMBER(SEARCH(거래처별!$AD$8:$AD$307,$AB95))),거래처별!$A$8:$A$307),IFERROR(LOOKUP(2,1/((거래처별!$AE$8:$AE$307&lt;&gt;"")*ISNUMBER(SEARCH(거래처별!$AE$8:$AE$307,$AB95))),거래처별!$A$8:$A$307),0))))</f>
        <v/>
      </c>
      <c r="AD95" s="31">
        <f>IF(AND($Y95&lt;&gt;"",N($Z95)&gt;0,$AC95=0),MAX($AD$7:$AD94)+1,"")</f>
        <v/>
      </c>
      <c r="AE95" s="31">
        <f>IF($Y95="",0,$Y95)</f>
        <v/>
      </c>
    </row>
    <row r="96">
      <c r="W96" s="31">
        <f>IF(OR($B$5="",$C$6="",ROW()&lt;$B$5),"",IF(INDEX($A:$U,ROW(),$C$6)="","",INDEX($A:$U,ROW(),$C$6)))</f>
        <v/>
      </c>
      <c r="X96" s="32">
        <f>IF($W96="","",IF(ISNUMBER($W96),IF($W96&gt;=10000000,IFERROR(DATE(INT($W96/10000),MOD(INT($W96/100),100),MOD($W96,100)),""),INT($W96)),IFERROR(DATE(--LEFT(LEFT(SUBSTITUTE(SUBSTITUTE(SUBSTITUTE(SUBSTITUTE(TRIM($W96),"-",""),".",""),"/","")," ",""),8),4),--MID(LEFT(SUBSTITUTE(SUBSTITUTE(SUBSTITUTE(SUBSTITUTE(TRIM($W96),"-",""),".",""),"/","")," ",""),8),5,2),--MID(LEFT(SUBSTITUTE(SUBSTITUTE(SUBSTITUTE(SUBSTITUTE(TRIM($W96),"-",""),".",""),"/","")," ",""),8),7,2)),"")))</f>
        <v/>
      </c>
      <c r="Y96" s="32">
        <f>IF($X96="","",INT($X96))</f>
        <v/>
      </c>
      <c r="Z96" s="33">
        <f>IF(OR($Y96="",$D$6=""),"",IF(INDEX($A:$U,ROW(),$D$6)="",0,IF(ISNUMBER(INDEX($A:$U,ROW(),$D$6)),INDEX($A:$U,ROW(),$D$6),IFERROR(--SUBSTITUTE(SUBSTITUTE(TRIM(INDEX($A:$U,ROW(),$D$6)),",",""),"원",""),0))))</f>
        <v/>
      </c>
      <c r="AA96" s="31">
        <f>IF($Y96="","",TRIM(INDEX($A:$U,ROW(),$E$6)&amp;IF($F$6="",""," "&amp;INDEX($A:$U,ROW(),$F$6))))</f>
        <v/>
      </c>
      <c r="AB96" s="31">
        <f>IF($AA96="","",SUBSTITUTE(SUBSTITUTE(SUBSTITUTE(SUBSTITUTE(SUBSTITUTE(SUBSTITUTE(SUBSTITUTE(SUBSTITUTE(SUBSTITUTE($AA96," ",""),"　",""),"(주)",""),"（주）",""),"㈜",""),"주식회사",""),"(유)",""),"（유）",""),"유한회사",""))</f>
        <v/>
      </c>
      <c r="AC96" s="31">
        <f>IF(OR($Y96="",N($Z96)&lt;=0,$AB96=""),0,IFERROR(LOOKUP(2,1/((거래처별!$AC$8:$AC$307&lt;&gt;"")*ISNUMBER(SEARCH(거래처별!$AC$8:$AC$307,$AB96))),거래처별!$A$8:$A$307),IFERROR(LOOKUP(2,1/((거래처별!$AD$8:$AD$307&lt;&gt;"")*ISNUMBER(SEARCH(거래처별!$AD$8:$AD$307,$AB96))),거래처별!$A$8:$A$307),IFERROR(LOOKUP(2,1/((거래처별!$AE$8:$AE$307&lt;&gt;"")*ISNUMBER(SEARCH(거래처별!$AE$8:$AE$307,$AB96))),거래처별!$A$8:$A$307),0))))</f>
        <v/>
      </c>
      <c r="AD96" s="31">
        <f>IF(AND($Y96&lt;&gt;"",N($Z96)&gt;0,$AC96=0),MAX($AD$7:$AD95)+1,"")</f>
        <v/>
      </c>
      <c r="AE96" s="31">
        <f>IF($Y96="",0,$Y96)</f>
        <v/>
      </c>
    </row>
    <row r="97">
      <c r="W97" s="31">
        <f>IF(OR($B$5="",$C$6="",ROW()&lt;$B$5),"",IF(INDEX($A:$U,ROW(),$C$6)="","",INDEX($A:$U,ROW(),$C$6)))</f>
        <v/>
      </c>
      <c r="X97" s="32">
        <f>IF($W97="","",IF(ISNUMBER($W97),IF($W97&gt;=10000000,IFERROR(DATE(INT($W97/10000),MOD(INT($W97/100),100),MOD($W97,100)),""),INT($W97)),IFERROR(DATE(--LEFT(LEFT(SUBSTITUTE(SUBSTITUTE(SUBSTITUTE(SUBSTITUTE(TRIM($W97),"-",""),".",""),"/","")," ",""),8),4),--MID(LEFT(SUBSTITUTE(SUBSTITUTE(SUBSTITUTE(SUBSTITUTE(TRIM($W97),"-",""),".",""),"/","")," ",""),8),5,2),--MID(LEFT(SUBSTITUTE(SUBSTITUTE(SUBSTITUTE(SUBSTITUTE(TRIM($W97),"-",""),".",""),"/","")," ",""),8),7,2)),"")))</f>
        <v/>
      </c>
      <c r="Y97" s="32">
        <f>IF($X97="","",INT($X97))</f>
        <v/>
      </c>
      <c r="Z97" s="33">
        <f>IF(OR($Y97="",$D$6=""),"",IF(INDEX($A:$U,ROW(),$D$6)="",0,IF(ISNUMBER(INDEX($A:$U,ROW(),$D$6)),INDEX($A:$U,ROW(),$D$6),IFERROR(--SUBSTITUTE(SUBSTITUTE(TRIM(INDEX($A:$U,ROW(),$D$6)),",",""),"원",""),0))))</f>
        <v/>
      </c>
      <c r="AA97" s="31">
        <f>IF($Y97="","",TRIM(INDEX($A:$U,ROW(),$E$6)&amp;IF($F$6="",""," "&amp;INDEX($A:$U,ROW(),$F$6))))</f>
        <v/>
      </c>
      <c r="AB97" s="31">
        <f>IF($AA97="","",SUBSTITUTE(SUBSTITUTE(SUBSTITUTE(SUBSTITUTE(SUBSTITUTE(SUBSTITUTE(SUBSTITUTE(SUBSTITUTE(SUBSTITUTE($AA97," ",""),"　",""),"(주)",""),"（주）",""),"㈜",""),"주식회사",""),"(유)",""),"（유）",""),"유한회사",""))</f>
        <v/>
      </c>
      <c r="AC97" s="31">
        <f>IF(OR($Y97="",N($Z97)&lt;=0,$AB97=""),0,IFERROR(LOOKUP(2,1/((거래처별!$AC$8:$AC$307&lt;&gt;"")*ISNUMBER(SEARCH(거래처별!$AC$8:$AC$307,$AB97))),거래처별!$A$8:$A$307),IFERROR(LOOKUP(2,1/((거래처별!$AD$8:$AD$307&lt;&gt;"")*ISNUMBER(SEARCH(거래처별!$AD$8:$AD$307,$AB97))),거래처별!$A$8:$A$307),IFERROR(LOOKUP(2,1/((거래처별!$AE$8:$AE$307&lt;&gt;"")*ISNUMBER(SEARCH(거래처별!$AE$8:$AE$307,$AB97))),거래처별!$A$8:$A$307),0))))</f>
        <v/>
      </c>
      <c r="AD97" s="31">
        <f>IF(AND($Y97&lt;&gt;"",N($Z97)&gt;0,$AC97=0),MAX($AD$7:$AD96)+1,"")</f>
        <v/>
      </c>
      <c r="AE97" s="31">
        <f>IF($Y97="",0,$Y97)</f>
        <v/>
      </c>
    </row>
    <row r="98">
      <c r="W98" s="31">
        <f>IF(OR($B$5="",$C$6="",ROW()&lt;$B$5),"",IF(INDEX($A:$U,ROW(),$C$6)="","",INDEX($A:$U,ROW(),$C$6)))</f>
        <v/>
      </c>
      <c r="X98" s="32">
        <f>IF($W98="","",IF(ISNUMBER($W98),IF($W98&gt;=10000000,IFERROR(DATE(INT($W98/10000),MOD(INT($W98/100),100),MOD($W98,100)),""),INT($W98)),IFERROR(DATE(--LEFT(LEFT(SUBSTITUTE(SUBSTITUTE(SUBSTITUTE(SUBSTITUTE(TRIM($W98),"-",""),".",""),"/","")," ",""),8),4),--MID(LEFT(SUBSTITUTE(SUBSTITUTE(SUBSTITUTE(SUBSTITUTE(TRIM($W98),"-",""),".",""),"/","")," ",""),8),5,2),--MID(LEFT(SUBSTITUTE(SUBSTITUTE(SUBSTITUTE(SUBSTITUTE(TRIM($W98),"-",""),".",""),"/","")," ",""),8),7,2)),"")))</f>
        <v/>
      </c>
      <c r="Y98" s="32">
        <f>IF($X98="","",INT($X98))</f>
        <v/>
      </c>
      <c r="Z98" s="33">
        <f>IF(OR($Y98="",$D$6=""),"",IF(INDEX($A:$U,ROW(),$D$6)="",0,IF(ISNUMBER(INDEX($A:$U,ROW(),$D$6)),INDEX($A:$U,ROW(),$D$6),IFERROR(--SUBSTITUTE(SUBSTITUTE(TRIM(INDEX($A:$U,ROW(),$D$6)),",",""),"원",""),0))))</f>
        <v/>
      </c>
      <c r="AA98" s="31">
        <f>IF($Y98="","",TRIM(INDEX($A:$U,ROW(),$E$6)&amp;IF($F$6="",""," "&amp;INDEX($A:$U,ROW(),$F$6))))</f>
        <v/>
      </c>
      <c r="AB98" s="31">
        <f>IF($AA98="","",SUBSTITUTE(SUBSTITUTE(SUBSTITUTE(SUBSTITUTE(SUBSTITUTE(SUBSTITUTE(SUBSTITUTE(SUBSTITUTE(SUBSTITUTE($AA98," ",""),"　",""),"(주)",""),"（주）",""),"㈜",""),"주식회사",""),"(유)",""),"（유）",""),"유한회사",""))</f>
        <v/>
      </c>
      <c r="AC98" s="31">
        <f>IF(OR($Y98="",N($Z98)&lt;=0,$AB98=""),0,IFERROR(LOOKUP(2,1/((거래처별!$AC$8:$AC$307&lt;&gt;"")*ISNUMBER(SEARCH(거래처별!$AC$8:$AC$307,$AB98))),거래처별!$A$8:$A$307),IFERROR(LOOKUP(2,1/((거래처별!$AD$8:$AD$307&lt;&gt;"")*ISNUMBER(SEARCH(거래처별!$AD$8:$AD$307,$AB98))),거래처별!$A$8:$A$307),IFERROR(LOOKUP(2,1/((거래처별!$AE$8:$AE$307&lt;&gt;"")*ISNUMBER(SEARCH(거래처별!$AE$8:$AE$307,$AB98))),거래처별!$A$8:$A$307),0))))</f>
        <v/>
      </c>
      <c r="AD98" s="31">
        <f>IF(AND($Y98&lt;&gt;"",N($Z98)&gt;0,$AC98=0),MAX($AD$7:$AD97)+1,"")</f>
        <v/>
      </c>
      <c r="AE98" s="31">
        <f>IF($Y98="",0,$Y98)</f>
        <v/>
      </c>
    </row>
    <row r="99">
      <c r="W99" s="31">
        <f>IF(OR($B$5="",$C$6="",ROW()&lt;$B$5),"",IF(INDEX($A:$U,ROW(),$C$6)="","",INDEX($A:$U,ROW(),$C$6)))</f>
        <v/>
      </c>
      <c r="X99" s="32">
        <f>IF($W99="","",IF(ISNUMBER($W99),IF($W99&gt;=10000000,IFERROR(DATE(INT($W99/10000),MOD(INT($W99/100),100),MOD($W99,100)),""),INT($W99)),IFERROR(DATE(--LEFT(LEFT(SUBSTITUTE(SUBSTITUTE(SUBSTITUTE(SUBSTITUTE(TRIM($W99),"-",""),".",""),"/","")," ",""),8),4),--MID(LEFT(SUBSTITUTE(SUBSTITUTE(SUBSTITUTE(SUBSTITUTE(TRIM($W99),"-",""),".",""),"/","")," ",""),8),5,2),--MID(LEFT(SUBSTITUTE(SUBSTITUTE(SUBSTITUTE(SUBSTITUTE(TRIM($W99),"-",""),".",""),"/","")," ",""),8),7,2)),"")))</f>
        <v/>
      </c>
      <c r="Y99" s="32">
        <f>IF($X99="","",INT($X99))</f>
        <v/>
      </c>
      <c r="Z99" s="33">
        <f>IF(OR($Y99="",$D$6=""),"",IF(INDEX($A:$U,ROW(),$D$6)="",0,IF(ISNUMBER(INDEX($A:$U,ROW(),$D$6)),INDEX($A:$U,ROW(),$D$6),IFERROR(--SUBSTITUTE(SUBSTITUTE(TRIM(INDEX($A:$U,ROW(),$D$6)),",",""),"원",""),0))))</f>
        <v/>
      </c>
      <c r="AA99" s="31">
        <f>IF($Y99="","",TRIM(INDEX($A:$U,ROW(),$E$6)&amp;IF($F$6="",""," "&amp;INDEX($A:$U,ROW(),$F$6))))</f>
        <v/>
      </c>
      <c r="AB99" s="31">
        <f>IF($AA99="","",SUBSTITUTE(SUBSTITUTE(SUBSTITUTE(SUBSTITUTE(SUBSTITUTE(SUBSTITUTE(SUBSTITUTE(SUBSTITUTE(SUBSTITUTE($AA99," ",""),"　",""),"(주)",""),"（주）",""),"㈜",""),"주식회사",""),"(유)",""),"（유）",""),"유한회사",""))</f>
        <v/>
      </c>
      <c r="AC99" s="31">
        <f>IF(OR($Y99="",N($Z99)&lt;=0,$AB99=""),0,IFERROR(LOOKUP(2,1/((거래처별!$AC$8:$AC$307&lt;&gt;"")*ISNUMBER(SEARCH(거래처별!$AC$8:$AC$307,$AB99))),거래처별!$A$8:$A$307),IFERROR(LOOKUP(2,1/((거래처별!$AD$8:$AD$307&lt;&gt;"")*ISNUMBER(SEARCH(거래처별!$AD$8:$AD$307,$AB99))),거래처별!$A$8:$A$307),IFERROR(LOOKUP(2,1/((거래처별!$AE$8:$AE$307&lt;&gt;"")*ISNUMBER(SEARCH(거래처별!$AE$8:$AE$307,$AB99))),거래처별!$A$8:$A$307),0))))</f>
        <v/>
      </c>
      <c r="AD99" s="31">
        <f>IF(AND($Y99&lt;&gt;"",N($Z99)&gt;0,$AC99=0),MAX($AD$7:$AD98)+1,"")</f>
        <v/>
      </c>
      <c r="AE99" s="31">
        <f>IF($Y99="",0,$Y99)</f>
        <v/>
      </c>
    </row>
    <row r="100">
      <c r="W100" s="31">
        <f>IF(OR($B$5="",$C$6="",ROW()&lt;$B$5),"",IF(INDEX($A:$U,ROW(),$C$6)="","",INDEX($A:$U,ROW(),$C$6)))</f>
        <v/>
      </c>
      <c r="X100" s="32">
        <f>IF($W100="","",IF(ISNUMBER($W100),IF($W100&gt;=10000000,IFERROR(DATE(INT($W100/10000),MOD(INT($W100/100),100),MOD($W100,100)),""),INT($W100)),IFERROR(DATE(--LEFT(LEFT(SUBSTITUTE(SUBSTITUTE(SUBSTITUTE(SUBSTITUTE(TRIM($W100),"-",""),".",""),"/","")," ",""),8),4),--MID(LEFT(SUBSTITUTE(SUBSTITUTE(SUBSTITUTE(SUBSTITUTE(TRIM($W100),"-",""),".",""),"/","")," ",""),8),5,2),--MID(LEFT(SUBSTITUTE(SUBSTITUTE(SUBSTITUTE(SUBSTITUTE(TRIM($W100),"-",""),".",""),"/","")," ",""),8),7,2)),"")))</f>
        <v/>
      </c>
      <c r="Y100" s="32">
        <f>IF($X100="","",INT($X100))</f>
        <v/>
      </c>
      <c r="Z100" s="33">
        <f>IF(OR($Y100="",$D$6=""),"",IF(INDEX($A:$U,ROW(),$D$6)="",0,IF(ISNUMBER(INDEX($A:$U,ROW(),$D$6)),INDEX($A:$U,ROW(),$D$6),IFERROR(--SUBSTITUTE(SUBSTITUTE(TRIM(INDEX($A:$U,ROW(),$D$6)),",",""),"원",""),0))))</f>
        <v/>
      </c>
      <c r="AA100" s="31">
        <f>IF($Y100="","",TRIM(INDEX($A:$U,ROW(),$E$6)&amp;IF($F$6="",""," "&amp;INDEX($A:$U,ROW(),$F$6))))</f>
        <v/>
      </c>
      <c r="AB100" s="31">
        <f>IF($AA100="","",SUBSTITUTE(SUBSTITUTE(SUBSTITUTE(SUBSTITUTE(SUBSTITUTE(SUBSTITUTE(SUBSTITUTE(SUBSTITUTE(SUBSTITUTE($AA100," ",""),"　",""),"(주)",""),"（주）",""),"㈜",""),"주식회사",""),"(유)",""),"（유）",""),"유한회사",""))</f>
        <v/>
      </c>
      <c r="AC100" s="31">
        <f>IF(OR($Y100="",N($Z100)&lt;=0,$AB100=""),0,IFERROR(LOOKUP(2,1/((거래처별!$AC$8:$AC$307&lt;&gt;"")*ISNUMBER(SEARCH(거래처별!$AC$8:$AC$307,$AB100))),거래처별!$A$8:$A$307),IFERROR(LOOKUP(2,1/((거래처별!$AD$8:$AD$307&lt;&gt;"")*ISNUMBER(SEARCH(거래처별!$AD$8:$AD$307,$AB100))),거래처별!$A$8:$A$307),IFERROR(LOOKUP(2,1/((거래처별!$AE$8:$AE$307&lt;&gt;"")*ISNUMBER(SEARCH(거래처별!$AE$8:$AE$307,$AB100))),거래처별!$A$8:$A$307),0))))</f>
        <v/>
      </c>
      <c r="AD100" s="31">
        <f>IF(AND($Y100&lt;&gt;"",N($Z100)&gt;0,$AC100=0),MAX($AD$7:$AD99)+1,"")</f>
        <v/>
      </c>
      <c r="AE100" s="31">
        <f>IF($Y100="",0,$Y100)</f>
        <v/>
      </c>
    </row>
    <row r="101">
      <c r="W101" s="31">
        <f>IF(OR($B$5="",$C$6="",ROW()&lt;$B$5),"",IF(INDEX($A:$U,ROW(),$C$6)="","",INDEX($A:$U,ROW(),$C$6)))</f>
        <v/>
      </c>
      <c r="X101" s="32">
        <f>IF($W101="","",IF(ISNUMBER($W101),IF($W101&gt;=10000000,IFERROR(DATE(INT($W101/10000),MOD(INT($W101/100),100),MOD($W101,100)),""),INT($W101)),IFERROR(DATE(--LEFT(LEFT(SUBSTITUTE(SUBSTITUTE(SUBSTITUTE(SUBSTITUTE(TRIM($W101),"-",""),".",""),"/","")," ",""),8),4),--MID(LEFT(SUBSTITUTE(SUBSTITUTE(SUBSTITUTE(SUBSTITUTE(TRIM($W101),"-",""),".",""),"/","")," ",""),8),5,2),--MID(LEFT(SUBSTITUTE(SUBSTITUTE(SUBSTITUTE(SUBSTITUTE(TRIM($W101),"-",""),".",""),"/","")," ",""),8),7,2)),"")))</f>
        <v/>
      </c>
      <c r="Y101" s="32">
        <f>IF($X101="","",INT($X101))</f>
        <v/>
      </c>
      <c r="Z101" s="33">
        <f>IF(OR($Y101="",$D$6=""),"",IF(INDEX($A:$U,ROW(),$D$6)="",0,IF(ISNUMBER(INDEX($A:$U,ROW(),$D$6)),INDEX($A:$U,ROW(),$D$6),IFERROR(--SUBSTITUTE(SUBSTITUTE(TRIM(INDEX($A:$U,ROW(),$D$6)),",",""),"원",""),0))))</f>
        <v/>
      </c>
      <c r="AA101" s="31">
        <f>IF($Y101="","",TRIM(INDEX($A:$U,ROW(),$E$6)&amp;IF($F$6="",""," "&amp;INDEX($A:$U,ROW(),$F$6))))</f>
        <v/>
      </c>
      <c r="AB101" s="31">
        <f>IF($AA101="","",SUBSTITUTE(SUBSTITUTE(SUBSTITUTE(SUBSTITUTE(SUBSTITUTE(SUBSTITUTE(SUBSTITUTE(SUBSTITUTE(SUBSTITUTE($AA101," ",""),"　",""),"(주)",""),"（주）",""),"㈜",""),"주식회사",""),"(유)",""),"（유）",""),"유한회사",""))</f>
        <v/>
      </c>
      <c r="AC101" s="31">
        <f>IF(OR($Y101="",N($Z101)&lt;=0,$AB101=""),0,IFERROR(LOOKUP(2,1/((거래처별!$AC$8:$AC$307&lt;&gt;"")*ISNUMBER(SEARCH(거래처별!$AC$8:$AC$307,$AB101))),거래처별!$A$8:$A$307),IFERROR(LOOKUP(2,1/((거래처별!$AD$8:$AD$307&lt;&gt;"")*ISNUMBER(SEARCH(거래처별!$AD$8:$AD$307,$AB101))),거래처별!$A$8:$A$307),IFERROR(LOOKUP(2,1/((거래처별!$AE$8:$AE$307&lt;&gt;"")*ISNUMBER(SEARCH(거래처별!$AE$8:$AE$307,$AB101))),거래처별!$A$8:$A$307),0))))</f>
        <v/>
      </c>
      <c r="AD101" s="31">
        <f>IF(AND($Y101&lt;&gt;"",N($Z101)&gt;0,$AC101=0),MAX($AD$7:$AD100)+1,"")</f>
        <v/>
      </c>
      <c r="AE101" s="31">
        <f>IF($Y101="",0,$Y101)</f>
        <v/>
      </c>
    </row>
    <row r="102">
      <c r="W102" s="31">
        <f>IF(OR($B$5="",$C$6="",ROW()&lt;$B$5),"",IF(INDEX($A:$U,ROW(),$C$6)="","",INDEX($A:$U,ROW(),$C$6)))</f>
        <v/>
      </c>
      <c r="X102" s="32">
        <f>IF($W102="","",IF(ISNUMBER($W102),IF($W102&gt;=10000000,IFERROR(DATE(INT($W102/10000),MOD(INT($W102/100),100),MOD($W102,100)),""),INT($W102)),IFERROR(DATE(--LEFT(LEFT(SUBSTITUTE(SUBSTITUTE(SUBSTITUTE(SUBSTITUTE(TRIM($W102),"-",""),".",""),"/","")," ",""),8),4),--MID(LEFT(SUBSTITUTE(SUBSTITUTE(SUBSTITUTE(SUBSTITUTE(TRIM($W102),"-",""),".",""),"/","")," ",""),8),5,2),--MID(LEFT(SUBSTITUTE(SUBSTITUTE(SUBSTITUTE(SUBSTITUTE(TRIM($W102),"-",""),".",""),"/","")," ",""),8),7,2)),"")))</f>
        <v/>
      </c>
      <c r="Y102" s="32">
        <f>IF($X102="","",INT($X102))</f>
        <v/>
      </c>
      <c r="Z102" s="33">
        <f>IF(OR($Y102="",$D$6=""),"",IF(INDEX($A:$U,ROW(),$D$6)="",0,IF(ISNUMBER(INDEX($A:$U,ROW(),$D$6)),INDEX($A:$U,ROW(),$D$6),IFERROR(--SUBSTITUTE(SUBSTITUTE(TRIM(INDEX($A:$U,ROW(),$D$6)),",",""),"원",""),0))))</f>
        <v/>
      </c>
      <c r="AA102" s="31">
        <f>IF($Y102="","",TRIM(INDEX($A:$U,ROW(),$E$6)&amp;IF($F$6="",""," "&amp;INDEX($A:$U,ROW(),$F$6))))</f>
        <v/>
      </c>
      <c r="AB102" s="31">
        <f>IF($AA102="","",SUBSTITUTE(SUBSTITUTE(SUBSTITUTE(SUBSTITUTE(SUBSTITUTE(SUBSTITUTE(SUBSTITUTE(SUBSTITUTE(SUBSTITUTE($AA102," ",""),"　",""),"(주)",""),"（주）",""),"㈜",""),"주식회사",""),"(유)",""),"（유）",""),"유한회사",""))</f>
        <v/>
      </c>
      <c r="AC102" s="31">
        <f>IF(OR($Y102="",N($Z102)&lt;=0,$AB102=""),0,IFERROR(LOOKUP(2,1/((거래처별!$AC$8:$AC$307&lt;&gt;"")*ISNUMBER(SEARCH(거래처별!$AC$8:$AC$307,$AB102))),거래처별!$A$8:$A$307),IFERROR(LOOKUP(2,1/((거래처별!$AD$8:$AD$307&lt;&gt;"")*ISNUMBER(SEARCH(거래처별!$AD$8:$AD$307,$AB102))),거래처별!$A$8:$A$307),IFERROR(LOOKUP(2,1/((거래처별!$AE$8:$AE$307&lt;&gt;"")*ISNUMBER(SEARCH(거래처별!$AE$8:$AE$307,$AB102))),거래처별!$A$8:$A$307),0))))</f>
        <v/>
      </c>
      <c r="AD102" s="31">
        <f>IF(AND($Y102&lt;&gt;"",N($Z102)&gt;0,$AC102=0),MAX($AD$7:$AD101)+1,"")</f>
        <v/>
      </c>
      <c r="AE102" s="31">
        <f>IF($Y102="",0,$Y102)</f>
        <v/>
      </c>
    </row>
    <row r="103">
      <c r="W103" s="31">
        <f>IF(OR($B$5="",$C$6="",ROW()&lt;$B$5),"",IF(INDEX($A:$U,ROW(),$C$6)="","",INDEX($A:$U,ROW(),$C$6)))</f>
        <v/>
      </c>
      <c r="X103" s="32">
        <f>IF($W103="","",IF(ISNUMBER($W103),IF($W103&gt;=10000000,IFERROR(DATE(INT($W103/10000),MOD(INT($W103/100),100),MOD($W103,100)),""),INT($W103)),IFERROR(DATE(--LEFT(LEFT(SUBSTITUTE(SUBSTITUTE(SUBSTITUTE(SUBSTITUTE(TRIM($W103),"-",""),".",""),"/","")," ",""),8),4),--MID(LEFT(SUBSTITUTE(SUBSTITUTE(SUBSTITUTE(SUBSTITUTE(TRIM($W103),"-",""),".",""),"/","")," ",""),8),5,2),--MID(LEFT(SUBSTITUTE(SUBSTITUTE(SUBSTITUTE(SUBSTITUTE(TRIM($W103),"-",""),".",""),"/","")," ",""),8),7,2)),"")))</f>
        <v/>
      </c>
      <c r="Y103" s="32">
        <f>IF($X103="","",INT($X103))</f>
        <v/>
      </c>
      <c r="Z103" s="33">
        <f>IF(OR($Y103="",$D$6=""),"",IF(INDEX($A:$U,ROW(),$D$6)="",0,IF(ISNUMBER(INDEX($A:$U,ROW(),$D$6)),INDEX($A:$U,ROW(),$D$6),IFERROR(--SUBSTITUTE(SUBSTITUTE(TRIM(INDEX($A:$U,ROW(),$D$6)),",",""),"원",""),0))))</f>
        <v/>
      </c>
      <c r="AA103" s="31">
        <f>IF($Y103="","",TRIM(INDEX($A:$U,ROW(),$E$6)&amp;IF($F$6="",""," "&amp;INDEX($A:$U,ROW(),$F$6))))</f>
        <v/>
      </c>
      <c r="AB103" s="31">
        <f>IF($AA103="","",SUBSTITUTE(SUBSTITUTE(SUBSTITUTE(SUBSTITUTE(SUBSTITUTE(SUBSTITUTE(SUBSTITUTE(SUBSTITUTE(SUBSTITUTE($AA103," ",""),"　",""),"(주)",""),"（주）",""),"㈜",""),"주식회사",""),"(유)",""),"（유）",""),"유한회사",""))</f>
        <v/>
      </c>
      <c r="AC103" s="31">
        <f>IF(OR($Y103="",N($Z103)&lt;=0,$AB103=""),0,IFERROR(LOOKUP(2,1/((거래처별!$AC$8:$AC$307&lt;&gt;"")*ISNUMBER(SEARCH(거래처별!$AC$8:$AC$307,$AB103))),거래처별!$A$8:$A$307),IFERROR(LOOKUP(2,1/((거래처별!$AD$8:$AD$307&lt;&gt;"")*ISNUMBER(SEARCH(거래처별!$AD$8:$AD$307,$AB103))),거래처별!$A$8:$A$307),IFERROR(LOOKUP(2,1/((거래처별!$AE$8:$AE$307&lt;&gt;"")*ISNUMBER(SEARCH(거래처별!$AE$8:$AE$307,$AB103))),거래처별!$A$8:$A$307),0))))</f>
        <v/>
      </c>
      <c r="AD103" s="31">
        <f>IF(AND($Y103&lt;&gt;"",N($Z103)&gt;0,$AC103=0),MAX($AD$7:$AD102)+1,"")</f>
        <v/>
      </c>
      <c r="AE103" s="31">
        <f>IF($Y103="",0,$Y103)</f>
        <v/>
      </c>
    </row>
    <row r="104">
      <c r="W104" s="31">
        <f>IF(OR($B$5="",$C$6="",ROW()&lt;$B$5),"",IF(INDEX($A:$U,ROW(),$C$6)="","",INDEX($A:$U,ROW(),$C$6)))</f>
        <v/>
      </c>
      <c r="X104" s="32">
        <f>IF($W104="","",IF(ISNUMBER($W104),IF($W104&gt;=10000000,IFERROR(DATE(INT($W104/10000),MOD(INT($W104/100),100),MOD($W104,100)),""),INT($W104)),IFERROR(DATE(--LEFT(LEFT(SUBSTITUTE(SUBSTITUTE(SUBSTITUTE(SUBSTITUTE(TRIM($W104),"-",""),".",""),"/","")," ",""),8),4),--MID(LEFT(SUBSTITUTE(SUBSTITUTE(SUBSTITUTE(SUBSTITUTE(TRIM($W104),"-",""),".",""),"/","")," ",""),8),5,2),--MID(LEFT(SUBSTITUTE(SUBSTITUTE(SUBSTITUTE(SUBSTITUTE(TRIM($W104),"-",""),".",""),"/","")," ",""),8),7,2)),"")))</f>
        <v/>
      </c>
      <c r="Y104" s="32">
        <f>IF($X104="","",INT($X104))</f>
        <v/>
      </c>
      <c r="Z104" s="33">
        <f>IF(OR($Y104="",$D$6=""),"",IF(INDEX($A:$U,ROW(),$D$6)="",0,IF(ISNUMBER(INDEX($A:$U,ROW(),$D$6)),INDEX($A:$U,ROW(),$D$6),IFERROR(--SUBSTITUTE(SUBSTITUTE(TRIM(INDEX($A:$U,ROW(),$D$6)),",",""),"원",""),0))))</f>
        <v/>
      </c>
      <c r="AA104" s="31">
        <f>IF($Y104="","",TRIM(INDEX($A:$U,ROW(),$E$6)&amp;IF($F$6="",""," "&amp;INDEX($A:$U,ROW(),$F$6))))</f>
        <v/>
      </c>
      <c r="AB104" s="31">
        <f>IF($AA104="","",SUBSTITUTE(SUBSTITUTE(SUBSTITUTE(SUBSTITUTE(SUBSTITUTE(SUBSTITUTE(SUBSTITUTE(SUBSTITUTE(SUBSTITUTE($AA104," ",""),"　",""),"(주)",""),"（주）",""),"㈜",""),"주식회사",""),"(유)",""),"（유）",""),"유한회사",""))</f>
        <v/>
      </c>
      <c r="AC104" s="31">
        <f>IF(OR($Y104="",N($Z104)&lt;=0,$AB104=""),0,IFERROR(LOOKUP(2,1/((거래처별!$AC$8:$AC$307&lt;&gt;"")*ISNUMBER(SEARCH(거래처별!$AC$8:$AC$307,$AB104))),거래처별!$A$8:$A$307),IFERROR(LOOKUP(2,1/((거래처별!$AD$8:$AD$307&lt;&gt;"")*ISNUMBER(SEARCH(거래처별!$AD$8:$AD$307,$AB104))),거래처별!$A$8:$A$307),IFERROR(LOOKUP(2,1/((거래처별!$AE$8:$AE$307&lt;&gt;"")*ISNUMBER(SEARCH(거래처별!$AE$8:$AE$307,$AB104))),거래처별!$A$8:$A$307),0))))</f>
        <v/>
      </c>
      <c r="AD104" s="31">
        <f>IF(AND($Y104&lt;&gt;"",N($Z104)&gt;0,$AC104=0),MAX($AD$7:$AD103)+1,"")</f>
        <v/>
      </c>
      <c r="AE104" s="31">
        <f>IF($Y104="",0,$Y104)</f>
        <v/>
      </c>
    </row>
    <row r="105">
      <c r="W105" s="31">
        <f>IF(OR($B$5="",$C$6="",ROW()&lt;$B$5),"",IF(INDEX($A:$U,ROW(),$C$6)="","",INDEX($A:$U,ROW(),$C$6)))</f>
        <v/>
      </c>
      <c r="X105" s="32">
        <f>IF($W105="","",IF(ISNUMBER($W105),IF($W105&gt;=10000000,IFERROR(DATE(INT($W105/10000),MOD(INT($W105/100),100),MOD($W105,100)),""),INT($W105)),IFERROR(DATE(--LEFT(LEFT(SUBSTITUTE(SUBSTITUTE(SUBSTITUTE(SUBSTITUTE(TRIM($W105),"-",""),".",""),"/","")," ",""),8),4),--MID(LEFT(SUBSTITUTE(SUBSTITUTE(SUBSTITUTE(SUBSTITUTE(TRIM($W105),"-",""),".",""),"/","")," ",""),8),5,2),--MID(LEFT(SUBSTITUTE(SUBSTITUTE(SUBSTITUTE(SUBSTITUTE(TRIM($W105),"-",""),".",""),"/","")," ",""),8),7,2)),"")))</f>
        <v/>
      </c>
      <c r="Y105" s="32">
        <f>IF($X105="","",INT($X105))</f>
        <v/>
      </c>
      <c r="Z105" s="33">
        <f>IF(OR($Y105="",$D$6=""),"",IF(INDEX($A:$U,ROW(),$D$6)="",0,IF(ISNUMBER(INDEX($A:$U,ROW(),$D$6)),INDEX($A:$U,ROW(),$D$6),IFERROR(--SUBSTITUTE(SUBSTITUTE(TRIM(INDEX($A:$U,ROW(),$D$6)),",",""),"원",""),0))))</f>
        <v/>
      </c>
      <c r="AA105" s="31">
        <f>IF($Y105="","",TRIM(INDEX($A:$U,ROW(),$E$6)&amp;IF($F$6="",""," "&amp;INDEX($A:$U,ROW(),$F$6))))</f>
        <v/>
      </c>
      <c r="AB105" s="31">
        <f>IF($AA105="","",SUBSTITUTE(SUBSTITUTE(SUBSTITUTE(SUBSTITUTE(SUBSTITUTE(SUBSTITUTE(SUBSTITUTE(SUBSTITUTE(SUBSTITUTE($AA105," ",""),"　",""),"(주)",""),"（주）",""),"㈜",""),"주식회사",""),"(유)",""),"（유）",""),"유한회사",""))</f>
        <v/>
      </c>
      <c r="AC105" s="31">
        <f>IF(OR($Y105="",N($Z105)&lt;=0,$AB105=""),0,IFERROR(LOOKUP(2,1/((거래처별!$AC$8:$AC$307&lt;&gt;"")*ISNUMBER(SEARCH(거래처별!$AC$8:$AC$307,$AB105))),거래처별!$A$8:$A$307),IFERROR(LOOKUP(2,1/((거래처별!$AD$8:$AD$307&lt;&gt;"")*ISNUMBER(SEARCH(거래처별!$AD$8:$AD$307,$AB105))),거래처별!$A$8:$A$307),IFERROR(LOOKUP(2,1/((거래처별!$AE$8:$AE$307&lt;&gt;"")*ISNUMBER(SEARCH(거래처별!$AE$8:$AE$307,$AB105))),거래처별!$A$8:$A$307),0))))</f>
        <v/>
      </c>
      <c r="AD105" s="31">
        <f>IF(AND($Y105&lt;&gt;"",N($Z105)&gt;0,$AC105=0),MAX($AD$7:$AD104)+1,"")</f>
        <v/>
      </c>
      <c r="AE105" s="31">
        <f>IF($Y105="",0,$Y105)</f>
        <v/>
      </c>
    </row>
    <row r="106">
      <c r="W106" s="31">
        <f>IF(OR($B$5="",$C$6="",ROW()&lt;$B$5),"",IF(INDEX($A:$U,ROW(),$C$6)="","",INDEX($A:$U,ROW(),$C$6)))</f>
        <v/>
      </c>
      <c r="X106" s="32">
        <f>IF($W106="","",IF(ISNUMBER($W106),IF($W106&gt;=10000000,IFERROR(DATE(INT($W106/10000),MOD(INT($W106/100),100),MOD($W106,100)),""),INT($W106)),IFERROR(DATE(--LEFT(LEFT(SUBSTITUTE(SUBSTITUTE(SUBSTITUTE(SUBSTITUTE(TRIM($W106),"-",""),".",""),"/","")," ",""),8),4),--MID(LEFT(SUBSTITUTE(SUBSTITUTE(SUBSTITUTE(SUBSTITUTE(TRIM($W106),"-",""),".",""),"/","")," ",""),8),5,2),--MID(LEFT(SUBSTITUTE(SUBSTITUTE(SUBSTITUTE(SUBSTITUTE(TRIM($W106),"-",""),".",""),"/","")," ",""),8),7,2)),"")))</f>
        <v/>
      </c>
      <c r="Y106" s="32">
        <f>IF($X106="","",INT($X106))</f>
        <v/>
      </c>
      <c r="Z106" s="33">
        <f>IF(OR($Y106="",$D$6=""),"",IF(INDEX($A:$U,ROW(),$D$6)="",0,IF(ISNUMBER(INDEX($A:$U,ROW(),$D$6)),INDEX($A:$U,ROW(),$D$6),IFERROR(--SUBSTITUTE(SUBSTITUTE(TRIM(INDEX($A:$U,ROW(),$D$6)),",",""),"원",""),0))))</f>
        <v/>
      </c>
      <c r="AA106" s="31">
        <f>IF($Y106="","",TRIM(INDEX($A:$U,ROW(),$E$6)&amp;IF($F$6="",""," "&amp;INDEX($A:$U,ROW(),$F$6))))</f>
        <v/>
      </c>
      <c r="AB106" s="31">
        <f>IF($AA106="","",SUBSTITUTE(SUBSTITUTE(SUBSTITUTE(SUBSTITUTE(SUBSTITUTE(SUBSTITUTE(SUBSTITUTE(SUBSTITUTE(SUBSTITUTE($AA106," ",""),"　",""),"(주)",""),"（주）",""),"㈜",""),"주식회사",""),"(유)",""),"（유）",""),"유한회사",""))</f>
        <v/>
      </c>
      <c r="AC106" s="31">
        <f>IF(OR($Y106="",N($Z106)&lt;=0,$AB106=""),0,IFERROR(LOOKUP(2,1/((거래처별!$AC$8:$AC$307&lt;&gt;"")*ISNUMBER(SEARCH(거래처별!$AC$8:$AC$307,$AB106))),거래처별!$A$8:$A$307),IFERROR(LOOKUP(2,1/((거래처별!$AD$8:$AD$307&lt;&gt;"")*ISNUMBER(SEARCH(거래처별!$AD$8:$AD$307,$AB106))),거래처별!$A$8:$A$307),IFERROR(LOOKUP(2,1/((거래처별!$AE$8:$AE$307&lt;&gt;"")*ISNUMBER(SEARCH(거래처별!$AE$8:$AE$307,$AB106))),거래처별!$A$8:$A$307),0))))</f>
        <v/>
      </c>
      <c r="AD106" s="31">
        <f>IF(AND($Y106&lt;&gt;"",N($Z106)&gt;0,$AC106=0),MAX($AD$7:$AD105)+1,"")</f>
        <v/>
      </c>
      <c r="AE106" s="31">
        <f>IF($Y106="",0,$Y106)</f>
        <v/>
      </c>
    </row>
    <row r="107">
      <c r="W107" s="31">
        <f>IF(OR($B$5="",$C$6="",ROW()&lt;$B$5),"",IF(INDEX($A:$U,ROW(),$C$6)="","",INDEX($A:$U,ROW(),$C$6)))</f>
        <v/>
      </c>
      <c r="X107" s="32">
        <f>IF($W107="","",IF(ISNUMBER($W107),IF($W107&gt;=10000000,IFERROR(DATE(INT($W107/10000),MOD(INT($W107/100),100),MOD($W107,100)),""),INT($W107)),IFERROR(DATE(--LEFT(LEFT(SUBSTITUTE(SUBSTITUTE(SUBSTITUTE(SUBSTITUTE(TRIM($W107),"-",""),".",""),"/","")," ",""),8),4),--MID(LEFT(SUBSTITUTE(SUBSTITUTE(SUBSTITUTE(SUBSTITUTE(TRIM($W107),"-",""),".",""),"/","")," ",""),8),5,2),--MID(LEFT(SUBSTITUTE(SUBSTITUTE(SUBSTITUTE(SUBSTITUTE(TRIM($W107),"-",""),".",""),"/","")," ",""),8),7,2)),"")))</f>
        <v/>
      </c>
      <c r="Y107" s="32">
        <f>IF($X107="","",INT($X107))</f>
        <v/>
      </c>
      <c r="Z107" s="33">
        <f>IF(OR($Y107="",$D$6=""),"",IF(INDEX($A:$U,ROW(),$D$6)="",0,IF(ISNUMBER(INDEX($A:$U,ROW(),$D$6)),INDEX($A:$U,ROW(),$D$6),IFERROR(--SUBSTITUTE(SUBSTITUTE(TRIM(INDEX($A:$U,ROW(),$D$6)),",",""),"원",""),0))))</f>
        <v/>
      </c>
      <c r="AA107" s="31">
        <f>IF($Y107="","",TRIM(INDEX($A:$U,ROW(),$E$6)&amp;IF($F$6="",""," "&amp;INDEX($A:$U,ROW(),$F$6))))</f>
        <v/>
      </c>
      <c r="AB107" s="31">
        <f>IF($AA107="","",SUBSTITUTE(SUBSTITUTE(SUBSTITUTE(SUBSTITUTE(SUBSTITUTE(SUBSTITUTE(SUBSTITUTE(SUBSTITUTE(SUBSTITUTE($AA107," ",""),"　",""),"(주)",""),"（주）",""),"㈜",""),"주식회사",""),"(유)",""),"（유）",""),"유한회사",""))</f>
        <v/>
      </c>
      <c r="AC107" s="31">
        <f>IF(OR($Y107="",N($Z107)&lt;=0,$AB107=""),0,IFERROR(LOOKUP(2,1/((거래처별!$AC$8:$AC$307&lt;&gt;"")*ISNUMBER(SEARCH(거래처별!$AC$8:$AC$307,$AB107))),거래처별!$A$8:$A$307),IFERROR(LOOKUP(2,1/((거래처별!$AD$8:$AD$307&lt;&gt;"")*ISNUMBER(SEARCH(거래처별!$AD$8:$AD$307,$AB107))),거래처별!$A$8:$A$307),IFERROR(LOOKUP(2,1/((거래처별!$AE$8:$AE$307&lt;&gt;"")*ISNUMBER(SEARCH(거래처별!$AE$8:$AE$307,$AB107))),거래처별!$A$8:$A$307),0))))</f>
        <v/>
      </c>
      <c r="AD107" s="31">
        <f>IF(AND($Y107&lt;&gt;"",N($Z107)&gt;0,$AC107=0),MAX($AD$7:$AD106)+1,"")</f>
        <v/>
      </c>
      <c r="AE107" s="31">
        <f>IF($Y107="",0,$Y107)</f>
        <v/>
      </c>
    </row>
    <row r="108">
      <c r="W108" s="31">
        <f>IF(OR($B$5="",$C$6="",ROW()&lt;$B$5),"",IF(INDEX($A:$U,ROW(),$C$6)="","",INDEX($A:$U,ROW(),$C$6)))</f>
        <v/>
      </c>
      <c r="X108" s="32">
        <f>IF($W108="","",IF(ISNUMBER($W108),IF($W108&gt;=10000000,IFERROR(DATE(INT($W108/10000),MOD(INT($W108/100),100),MOD($W108,100)),""),INT($W108)),IFERROR(DATE(--LEFT(LEFT(SUBSTITUTE(SUBSTITUTE(SUBSTITUTE(SUBSTITUTE(TRIM($W108),"-",""),".",""),"/","")," ",""),8),4),--MID(LEFT(SUBSTITUTE(SUBSTITUTE(SUBSTITUTE(SUBSTITUTE(TRIM($W108),"-",""),".",""),"/","")," ",""),8),5,2),--MID(LEFT(SUBSTITUTE(SUBSTITUTE(SUBSTITUTE(SUBSTITUTE(TRIM($W108),"-",""),".",""),"/","")," ",""),8),7,2)),"")))</f>
        <v/>
      </c>
      <c r="Y108" s="32">
        <f>IF($X108="","",INT($X108))</f>
        <v/>
      </c>
      <c r="Z108" s="33">
        <f>IF(OR($Y108="",$D$6=""),"",IF(INDEX($A:$U,ROW(),$D$6)="",0,IF(ISNUMBER(INDEX($A:$U,ROW(),$D$6)),INDEX($A:$U,ROW(),$D$6),IFERROR(--SUBSTITUTE(SUBSTITUTE(TRIM(INDEX($A:$U,ROW(),$D$6)),",",""),"원",""),0))))</f>
        <v/>
      </c>
      <c r="AA108" s="31">
        <f>IF($Y108="","",TRIM(INDEX($A:$U,ROW(),$E$6)&amp;IF($F$6="",""," "&amp;INDEX($A:$U,ROW(),$F$6))))</f>
        <v/>
      </c>
      <c r="AB108" s="31">
        <f>IF($AA108="","",SUBSTITUTE(SUBSTITUTE(SUBSTITUTE(SUBSTITUTE(SUBSTITUTE(SUBSTITUTE(SUBSTITUTE(SUBSTITUTE(SUBSTITUTE($AA108," ",""),"　",""),"(주)",""),"（주）",""),"㈜",""),"주식회사",""),"(유)",""),"（유）",""),"유한회사",""))</f>
        <v/>
      </c>
      <c r="AC108" s="31">
        <f>IF(OR($Y108="",N($Z108)&lt;=0,$AB108=""),0,IFERROR(LOOKUP(2,1/((거래처별!$AC$8:$AC$307&lt;&gt;"")*ISNUMBER(SEARCH(거래처별!$AC$8:$AC$307,$AB108))),거래처별!$A$8:$A$307),IFERROR(LOOKUP(2,1/((거래처별!$AD$8:$AD$307&lt;&gt;"")*ISNUMBER(SEARCH(거래처별!$AD$8:$AD$307,$AB108))),거래처별!$A$8:$A$307),IFERROR(LOOKUP(2,1/((거래처별!$AE$8:$AE$307&lt;&gt;"")*ISNUMBER(SEARCH(거래처별!$AE$8:$AE$307,$AB108))),거래처별!$A$8:$A$307),0))))</f>
        <v/>
      </c>
      <c r="AD108" s="31">
        <f>IF(AND($Y108&lt;&gt;"",N($Z108)&gt;0,$AC108=0),MAX($AD$7:$AD107)+1,"")</f>
        <v/>
      </c>
      <c r="AE108" s="31">
        <f>IF($Y108="",0,$Y108)</f>
        <v/>
      </c>
    </row>
    <row r="109">
      <c r="W109" s="31">
        <f>IF(OR($B$5="",$C$6="",ROW()&lt;$B$5),"",IF(INDEX($A:$U,ROW(),$C$6)="","",INDEX($A:$U,ROW(),$C$6)))</f>
        <v/>
      </c>
      <c r="X109" s="32">
        <f>IF($W109="","",IF(ISNUMBER($W109),IF($W109&gt;=10000000,IFERROR(DATE(INT($W109/10000),MOD(INT($W109/100),100),MOD($W109,100)),""),INT($W109)),IFERROR(DATE(--LEFT(LEFT(SUBSTITUTE(SUBSTITUTE(SUBSTITUTE(SUBSTITUTE(TRIM($W109),"-",""),".",""),"/","")," ",""),8),4),--MID(LEFT(SUBSTITUTE(SUBSTITUTE(SUBSTITUTE(SUBSTITUTE(TRIM($W109),"-",""),".",""),"/","")," ",""),8),5,2),--MID(LEFT(SUBSTITUTE(SUBSTITUTE(SUBSTITUTE(SUBSTITUTE(TRIM($W109),"-",""),".",""),"/","")," ",""),8),7,2)),"")))</f>
        <v/>
      </c>
      <c r="Y109" s="32">
        <f>IF($X109="","",INT($X109))</f>
        <v/>
      </c>
      <c r="Z109" s="33">
        <f>IF(OR($Y109="",$D$6=""),"",IF(INDEX($A:$U,ROW(),$D$6)="",0,IF(ISNUMBER(INDEX($A:$U,ROW(),$D$6)),INDEX($A:$U,ROW(),$D$6),IFERROR(--SUBSTITUTE(SUBSTITUTE(TRIM(INDEX($A:$U,ROW(),$D$6)),",",""),"원",""),0))))</f>
        <v/>
      </c>
      <c r="AA109" s="31">
        <f>IF($Y109="","",TRIM(INDEX($A:$U,ROW(),$E$6)&amp;IF($F$6="",""," "&amp;INDEX($A:$U,ROW(),$F$6))))</f>
        <v/>
      </c>
      <c r="AB109" s="31">
        <f>IF($AA109="","",SUBSTITUTE(SUBSTITUTE(SUBSTITUTE(SUBSTITUTE(SUBSTITUTE(SUBSTITUTE(SUBSTITUTE(SUBSTITUTE(SUBSTITUTE($AA109," ",""),"　",""),"(주)",""),"（주）",""),"㈜",""),"주식회사",""),"(유)",""),"（유）",""),"유한회사",""))</f>
        <v/>
      </c>
      <c r="AC109" s="31">
        <f>IF(OR($Y109="",N($Z109)&lt;=0,$AB109=""),0,IFERROR(LOOKUP(2,1/((거래처별!$AC$8:$AC$307&lt;&gt;"")*ISNUMBER(SEARCH(거래처별!$AC$8:$AC$307,$AB109))),거래처별!$A$8:$A$307),IFERROR(LOOKUP(2,1/((거래처별!$AD$8:$AD$307&lt;&gt;"")*ISNUMBER(SEARCH(거래처별!$AD$8:$AD$307,$AB109))),거래처별!$A$8:$A$307),IFERROR(LOOKUP(2,1/((거래처별!$AE$8:$AE$307&lt;&gt;"")*ISNUMBER(SEARCH(거래처별!$AE$8:$AE$307,$AB109))),거래처별!$A$8:$A$307),0))))</f>
        <v/>
      </c>
      <c r="AD109" s="31">
        <f>IF(AND($Y109&lt;&gt;"",N($Z109)&gt;0,$AC109=0),MAX($AD$7:$AD108)+1,"")</f>
        <v/>
      </c>
      <c r="AE109" s="31">
        <f>IF($Y109="",0,$Y109)</f>
        <v/>
      </c>
    </row>
    <row r="110">
      <c r="W110" s="31">
        <f>IF(OR($B$5="",$C$6="",ROW()&lt;$B$5),"",IF(INDEX($A:$U,ROW(),$C$6)="","",INDEX($A:$U,ROW(),$C$6)))</f>
        <v/>
      </c>
      <c r="X110" s="32">
        <f>IF($W110="","",IF(ISNUMBER($W110),IF($W110&gt;=10000000,IFERROR(DATE(INT($W110/10000),MOD(INT($W110/100),100),MOD($W110,100)),""),INT($W110)),IFERROR(DATE(--LEFT(LEFT(SUBSTITUTE(SUBSTITUTE(SUBSTITUTE(SUBSTITUTE(TRIM($W110),"-",""),".",""),"/","")," ",""),8),4),--MID(LEFT(SUBSTITUTE(SUBSTITUTE(SUBSTITUTE(SUBSTITUTE(TRIM($W110),"-",""),".",""),"/","")," ",""),8),5,2),--MID(LEFT(SUBSTITUTE(SUBSTITUTE(SUBSTITUTE(SUBSTITUTE(TRIM($W110),"-",""),".",""),"/","")," ",""),8),7,2)),"")))</f>
        <v/>
      </c>
      <c r="Y110" s="32">
        <f>IF($X110="","",INT($X110))</f>
        <v/>
      </c>
      <c r="Z110" s="33">
        <f>IF(OR($Y110="",$D$6=""),"",IF(INDEX($A:$U,ROW(),$D$6)="",0,IF(ISNUMBER(INDEX($A:$U,ROW(),$D$6)),INDEX($A:$U,ROW(),$D$6),IFERROR(--SUBSTITUTE(SUBSTITUTE(TRIM(INDEX($A:$U,ROW(),$D$6)),",",""),"원",""),0))))</f>
        <v/>
      </c>
      <c r="AA110" s="31">
        <f>IF($Y110="","",TRIM(INDEX($A:$U,ROW(),$E$6)&amp;IF($F$6="",""," "&amp;INDEX($A:$U,ROW(),$F$6))))</f>
        <v/>
      </c>
      <c r="AB110" s="31">
        <f>IF($AA110="","",SUBSTITUTE(SUBSTITUTE(SUBSTITUTE(SUBSTITUTE(SUBSTITUTE(SUBSTITUTE(SUBSTITUTE(SUBSTITUTE(SUBSTITUTE($AA110," ",""),"　",""),"(주)",""),"（주）",""),"㈜",""),"주식회사",""),"(유)",""),"（유）",""),"유한회사",""))</f>
        <v/>
      </c>
      <c r="AC110" s="31">
        <f>IF(OR($Y110="",N($Z110)&lt;=0,$AB110=""),0,IFERROR(LOOKUP(2,1/((거래처별!$AC$8:$AC$307&lt;&gt;"")*ISNUMBER(SEARCH(거래처별!$AC$8:$AC$307,$AB110))),거래처별!$A$8:$A$307),IFERROR(LOOKUP(2,1/((거래처별!$AD$8:$AD$307&lt;&gt;"")*ISNUMBER(SEARCH(거래처별!$AD$8:$AD$307,$AB110))),거래처별!$A$8:$A$307),IFERROR(LOOKUP(2,1/((거래처별!$AE$8:$AE$307&lt;&gt;"")*ISNUMBER(SEARCH(거래처별!$AE$8:$AE$307,$AB110))),거래처별!$A$8:$A$307),0))))</f>
        <v/>
      </c>
      <c r="AD110" s="31">
        <f>IF(AND($Y110&lt;&gt;"",N($Z110)&gt;0,$AC110=0),MAX($AD$7:$AD109)+1,"")</f>
        <v/>
      </c>
      <c r="AE110" s="31">
        <f>IF($Y110="",0,$Y110)</f>
        <v/>
      </c>
    </row>
    <row r="111">
      <c r="W111" s="31">
        <f>IF(OR($B$5="",$C$6="",ROW()&lt;$B$5),"",IF(INDEX($A:$U,ROW(),$C$6)="","",INDEX($A:$U,ROW(),$C$6)))</f>
        <v/>
      </c>
      <c r="X111" s="32">
        <f>IF($W111="","",IF(ISNUMBER($W111),IF($W111&gt;=10000000,IFERROR(DATE(INT($W111/10000),MOD(INT($W111/100),100),MOD($W111,100)),""),INT($W111)),IFERROR(DATE(--LEFT(LEFT(SUBSTITUTE(SUBSTITUTE(SUBSTITUTE(SUBSTITUTE(TRIM($W111),"-",""),".",""),"/","")," ",""),8),4),--MID(LEFT(SUBSTITUTE(SUBSTITUTE(SUBSTITUTE(SUBSTITUTE(TRIM($W111),"-",""),".",""),"/","")," ",""),8),5,2),--MID(LEFT(SUBSTITUTE(SUBSTITUTE(SUBSTITUTE(SUBSTITUTE(TRIM($W111),"-",""),".",""),"/","")," ",""),8),7,2)),"")))</f>
        <v/>
      </c>
      <c r="Y111" s="32">
        <f>IF($X111="","",INT($X111))</f>
        <v/>
      </c>
      <c r="Z111" s="33">
        <f>IF(OR($Y111="",$D$6=""),"",IF(INDEX($A:$U,ROW(),$D$6)="",0,IF(ISNUMBER(INDEX($A:$U,ROW(),$D$6)),INDEX($A:$U,ROW(),$D$6),IFERROR(--SUBSTITUTE(SUBSTITUTE(TRIM(INDEX($A:$U,ROW(),$D$6)),",",""),"원",""),0))))</f>
        <v/>
      </c>
      <c r="AA111" s="31">
        <f>IF($Y111="","",TRIM(INDEX($A:$U,ROW(),$E$6)&amp;IF($F$6="",""," "&amp;INDEX($A:$U,ROW(),$F$6))))</f>
        <v/>
      </c>
      <c r="AB111" s="31">
        <f>IF($AA111="","",SUBSTITUTE(SUBSTITUTE(SUBSTITUTE(SUBSTITUTE(SUBSTITUTE(SUBSTITUTE(SUBSTITUTE(SUBSTITUTE(SUBSTITUTE($AA111," ",""),"　",""),"(주)",""),"（주）",""),"㈜",""),"주식회사",""),"(유)",""),"（유）",""),"유한회사",""))</f>
        <v/>
      </c>
      <c r="AC111" s="31">
        <f>IF(OR($Y111="",N($Z111)&lt;=0,$AB111=""),0,IFERROR(LOOKUP(2,1/((거래처별!$AC$8:$AC$307&lt;&gt;"")*ISNUMBER(SEARCH(거래처별!$AC$8:$AC$307,$AB111))),거래처별!$A$8:$A$307),IFERROR(LOOKUP(2,1/((거래처별!$AD$8:$AD$307&lt;&gt;"")*ISNUMBER(SEARCH(거래처별!$AD$8:$AD$307,$AB111))),거래처별!$A$8:$A$307),IFERROR(LOOKUP(2,1/((거래처별!$AE$8:$AE$307&lt;&gt;"")*ISNUMBER(SEARCH(거래처별!$AE$8:$AE$307,$AB111))),거래처별!$A$8:$A$307),0))))</f>
        <v/>
      </c>
      <c r="AD111" s="31">
        <f>IF(AND($Y111&lt;&gt;"",N($Z111)&gt;0,$AC111=0),MAX($AD$7:$AD110)+1,"")</f>
        <v/>
      </c>
      <c r="AE111" s="31">
        <f>IF($Y111="",0,$Y111)</f>
        <v/>
      </c>
    </row>
    <row r="112">
      <c r="W112" s="31">
        <f>IF(OR($B$5="",$C$6="",ROW()&lt;$B$5),"",IF(INDEX($A:$U,ROW(),$C$6)="","",INDEX($A:$U,ROW(),$C$6)))</f>
        <v/>
      </c>
      <c r="X112" s="32">
        <f>IF($W112="","",IF(ISNUMBER($W112),IF($W112&gt;=10000000,IFERROR(DATE(INT($W112/10000),MOD(INT($W112/100),100),MOD($W112,100)),""),INT($W112)),IFERROR(DATE(--LEFT(LEFT(SUBSTITUTE(SUBSTITUTE(SUBSTITUTE(SUBSTITUTE(TRIM($W112),"-",""),".",""),"/","")," ",""),8),4),--MID(LEFT(SUBSTITUTE(SUBSTITUTE(SUBSTITUTE(SUBSTITUTE(TRIM($W112),"-",""),".",""),"/","")," ",""),8),5,2),--MID(LEFT(SUBSTITUTE(SUBSTITUTE(SUBSTITUTE(SUBSTITUTE(TRIM($W112),"-",""),".",""),"/","")," ",""),8),7,2)),"")))</f>
        <v/>
      </c>
      <c r="Y112" s="32">
        <f>IF($X112="","",INT($X112))</f>
        <v/>
      </c>
      <c r="Z112" s="33">
        <f>IF(OR($Y112="",$D$6=""),"",IF(INDEX($A:$U,ROW(),$D$6)="",0,IF(ISNUMBER(INDEX($A:$U,ROW(),$D$6)),INDEX($A:$U,ROW(),$D$6),IFERROR(--SUBSTITUTE(SUBSTITUTE(TRIM(INDEX($A:$U,ROW(),$D$6)),",",""),"원",""),0))))</f>
        <v/>
      </c>
      <c r="AA112" s="31">
        <f>IF($Y112="","",TRIM(INDEX($A:$U,ROW(),$E$6)&amp;IF($F$6="",""," "&amp;INDEX($A:$U,ROW(),$F$6))))</f>
        <v/>
      </c>
      <c r="AB112" s="31">
        <f>IF($AA112="","",SUBSTITUTE(SUBSTITUTE(SUBSTITUTE(SUBSTITUTE(SUBSTITUTE(SUBSTITUTE(SUBSTITUTE(SUBSTITUTE(SUBSTITUTE($AA112," ",""),"　",""),"(주)",""),"（주）",""),"㈜",""),"주식회사",""),"(유)",""),"（유）",""),"유한회사",""))</f>
        <v/>
      </c>
      <c r="AC112" s="31">
        <f>IF(OR($Y112="",N($Z112)&lt;=0,$AB112=""),0,IFERROR(LOOKUP(2,1/((거래처별!$AC$8:$AC$307&lt;&gt;"")*ISNUMBER(SEARCH(거래처별!$AC$8:$AC$307,$AB112))),거래처별!$A$8:$A$307),IFERROR(LOOKUP(2,1/((거래처별!$AD$8:$AD$307&lt;&gt;"")*ISNUMBER(SEARCH(거래처별!$AD$8:$AD$307,$AB112))),거래처별!$A$8:$A$307),IFERROR(LOOKUP(2,1/((거래처별!$AE$8:$AE$307&lt;&gt;"")*ISNUMBER(SEARCH(거래처별!$AE$8:$AE$307,$AB112))),거래처별!$A$8:$A$307),0))))</f>
        <v/>
      </c>
      <c r="AD112" s="31">
        <f>IF(AND($Y112&lt;&gt;"",N($Z112)&gt;0,$AC112=0),MAX($AD$7:$AD111)+1,"")</f>
        <v/>
      </c>
      <c r="AE112" s="31">
        <f>IF($Y112="",0,$Y112)</f>
        <v/>
      </c>
    </row>
    <row r="113">
      <c r="W113" s="31">
        <f>IF(OR($B$5="",$C$6="",ROW()&lt;$B$5),"",IF(INDEX($A:$U,ROW(),$C$6)="","",INDEX($A:$U,ROW(),$C$6)))</f>
        <v/>
      </c>
      <c r="X113" s="32">
        <f>IF($W113="","",IF(ISNUMBER($W113),IF($W113&gt;=10000000,IFERROR(DATE(INT($W113/10000),MOD(INT($W113/100),100),MOD($W113,100)),""),INT($W113)),IFERROR(DATE(--LEFT(LEFT(SUBSTITUTE(SUBSTITUTE(SUBSTITUTE(SUBSTITUTE(TRIM($W113),"-",""),".",""),"/","")," ",""),8),4),--MID(LEFT(SUBSTITUTE(SUBSTITUTE(SUBSTITUTE(SUBSTITUTE(TRIM($W113),"-",""),".",""),"/","")," ",""),8),5,2),--MID(LEFT(SUBSTITUTE(SUBSTITUTE(SUBSTITUTE(SUBSTITUTE(TRIM($W113),"-",""),".",""),"/","")," ",""),8),7,2)),"")))</f>
        <v/>
      </c>
      <c r="Y113" s="32">
        <f>IF($X113="","",INT($X113))</f>
        <v/>
      </c>
      <c r="Z113" s="33">
        <f>IF(OR($Y113="",$D$6=""),"",IF(INDEX($A:$U,ROW(),$D$6)="",0,IF(ISNUMBER(INDEX($A:$U,ROW(),$D$6)),INDEX($A:$U,ROW(),$D$6),IFERROR(--SUBSTITUTE(SUBSTITUTE(TRIM(INDEX($A:$U,ROW(),$D$6)),",",""),"원",""),0))))</f>
        <v/>
      </c>
      <c r="AA113" s="31">
        <f>IF($Y113="","",TRIM(INDEX($A:$U,ROW(),$E$6)&amp;IF($F$6="",""," "&amp;INDEX($A:$U,ROW(),$F$6))))</f>
        <v/>
      </c>
      <c r="AB113" s="31">
        <f>IF($AA113="","",SUBSTITUTE(SUBSTITUTE(SUBSTITUTE(SUBSTITUTE(SUBSTITUTE(SUBSTITUTE(SUBSTITUTE(SUBSTITUTE(SUBSTITUTE($AA113," ",""),"　",""),"(주)",""),"（주）",""),"㈜",""),"주식회사",""),"(유)",""),"（유）",""),"유한회사",""))</f>
        <v/>
      </c>
      <c r="AC113" s="31">
        <f>IF(OR($Y113="",N($Z113)&lt;=0,$AB113=""),0,IFERROR(LOOKUP(2,1/((거래처별!$AC$8:$AC$307&lt;&gt;"")*ISNUMBER(SEARCH(거래처별!$AC$8:$AC$307,$AB113))),거래처별!$A$8:$A$307),IFERROR(LOOKUP(2,1/((거래처별!$AD$8:$AD$307&lt;&gt;"")*ISNUMBER(SEARCH(거래처별!$AD$8:$AD$307,$AB113))),거래처별!$A$8:$A$307),IFERROR(LOOKUP(2,1/((거래처별!$AE$8:$AE$307&lt;&gt;"")*ISNUMBER(SEARCH(거래처별!$AE$8:$AE$307,$AB113))),거래처별!$A$8:$A$307),0))))</f>
        <v/>
      </c>
      <c r="AD113" s="31">
        <f>IF(AND($Y113&lt;&gt;"",N($Z113)&gt;0,$AC113=0),MAX($AD$7:$AD112)+1,"")</f>
        <v/>
      </c>
      <c r="AE113" s="31">
        <f>IF($Y113="",0,$Y113)</f>
        <v/>
      </c>
    </row>
    <row r="114">
      <c r="W114" s="31">
        <f>IF(OR($B$5="",$C$6="",ROW()&lt;$B$5),"",IF(INDEX($A:$U,ROW(),$C$6)="","",INDEX($A:$U,ROW(),$C$6)))</f>
        <v/>
      </c>
      <c r="X114" s="32">
        <f>IF($W114="","",IF(ISNUMBER($W114),IF($W114&gt;=10000000,IFERROR(DATE(INT($W114/10000),MOD(INT($W114/100),100),MOD($W114,100)),""),INT($W114)),IFERROR(DATE(--LEFT(LEFT(SUBSTITUTE(SUBSTITUTE(SUBSTITUTE(SUBSTITUTE(TRIM($W114),"-",""),".",""),"/","")," ",""),8),4),--MID(LEFT(SUBSTITUTE(SUBSTITUTE(SUBSTITUTE(SUBSTITUTE(TRIM($W114),"-",""),".",""),"/","")," ",""),8),5,2),--MID(LEFT(SUBSTITUTE(SUBSTITUTE(SUBSTITUTE(SUBSTITUTE(TRIM($W114),"-",""),".",""),"/","")," ",""),8),7,2)),"")))</f>
        <v/>
      </c>
      <c r="Y114" s="32">
        <f>IF($X114="","",INT($X114))</f>
        <v/>
      </c>
      <c r="Z114" s="33">
        <f>IF(OR($Y114="",$D$6=""),"",IF(INDEX($A:$U,ROW(),$D$6)="",0,IF(ISNUMBER(INDEX($A:$U,ROW(),$D$6)),INDEX($A:$U,ROW(),$D$6),IFERROR(--SUBSTITUTE(SUBSTITUTE(TRIM(INDEX($A:$U,ROW(),$D$6)),",",""),"원",""),0))))</f>
        <v/>
      </c>
      <c r="AA114" s="31">
        <f>IF($Y114="","",TRIM(INDEX($A:$U,ROW(),$E$6)&amp;IF($F$6="",""," "&amp;INDEX($A:$U,ROW(),$F$6))))</f>
        <v/>
      </c>
      <c r="AB114" s="31">
        <f>IF($AA114="","",SUBSTITUTE(SUBSTITUTE(SUBSTITUTE(SUBSTITUTE(SUBSTITUTE(SUBSTITUTE(SUBSTITUTE(SUBSTITUTE(SUBSTITUTE($AA114," ",""),"　",""),"(주)",""),"（주）",""),"㈜",""),"주식회사",""),"(유)",""),"（유）",""),"유한회사",""))</f>
        <v/>
      </c>
      <c r="AC114" s="31">
        <f>IF(OR($Y114="",N($Z114)&lt;=0,$AB114=""),0,IFERROR(LOOKUP(2,1/((거래처별!$AC$8:$AC$307&lt;&gt;"")*ISNUMBER(SEARCH(거래처별!$AC$8:$AC$307,$AB114))),거래처별!$A$8:$A$307),IFERROR(LOOKUP(2,1/((거래처별!$AD$8:$AD$307&lt;&gt;"")*ISNUMBER(SEARCH(거래처별!$AD$8:$AD$307,$AB114))),거래처별!$A$8:$A$307),IFERROR(LOOKUP(2,1/((거래처별!$AE$8:$AE$307&lt;&gt;"")*ISNUMBER(SEARCH(거래처별!$AE$8:$AE$307,$AB114))),거래처별!$A$8:$A$307),0))))</f>
        <v/>
      </c>
      <c r="AD114" s="31">
        <f>IF(AND($Y114&lt;&gt;"",N($Z114)&gt;0,$AC114=0),MAX($AD$7:$AD113)+1,"")</f>
        <v/>
      </c>
      <c r="AE114" s="31">
        <f>IF($Y114="",0,$Y114)</f>
        <v/>
      </c>
    </row>
    <row r="115">
      <c r="W115" s="31">
        <f>IF(OR($B$5="",$C$6="",ROW()&lt;$B$5),"",IF(INDEX($A:$U,ROW(),$C$6)="","",INDEX($A:$U,ROW(),$C$6)))</f>
        <v/>
      </c>
      <c r="X115" s="32">
        <f>IF($W115="","",IF(ISNUMBER($W115),IF($W115&gt;=10000000,IFERROR(DATE(INT($W115/10000),MOD(INT($W115/100),100),MOD($W115,100)),""),INT($W115)),IFERROR(DATE(--LEFT(LEFT(SUBSTITUTE(SUBSTITUTE(SUBSTITUTE(SUBSTITUTE(TRIM($W115),"-",""),".",""),"/","")," ",""),8),4),--MID(LEFT(SUBSTITUTE(SUBSTITUTE(SUBSTITUTE(SUBSTITUTE(TRIM($W115),"-",""),".",""),"/","")," ",""),8),5,2),--MID(LEFT(SUBSTITUTE(SUBSTITUTE(SUBSTITUTE(SUBSTITUTE(TRIM($W115),"-",""),".",""),"/","")," ",""),8),7,2)),"")))</f>
        <v/>
      </c>
      <c r="Y115" s="32">
        <f>IF($X115="","",INT($X115))</f>
        <v/>
      </c>
      <c r="Z115" s="33">
        <f>IF(OR($Y115="",$D$6=""),"",IF(INDEX($A:$U,ROW(),$D$6)="",0,IF(ISNUMBER(INDEX($A:$U,ROW(),$D$6)),INDEX($A:$U,ROW(),$D$6),IFERROR(--SUBSTITUTE(SUBSTITUTE(TRIM(INDEX($A:$U,ROW(),$D$6)),",",""),"원",""),0))))</f>
        <v/>
      </c>
      <c r="AA115" s="31">
        <f>IF($Y115="","",TRIM(INDEX($A:$U,ROW(),$E$6)&amp;IF($F$6="",""," "&amp;INDEX($A:$U,ROW(),$F$6))))</f>
        <v/>
      </c>
      <c r="AB115" s="31">
        <f>IF($AA115="","",SUBSTITUTE(SUBSTITUTE(SUBSTITUTE(SUBSTITUTE(SUBSTITUTE(SUBSTITUTE(SUBSTITUTE(SUBSTITUTE(SUBSTITUTE($AA115," ",""),"　",""),"(주)",""),"（주）",""),"㈜",""),"주식회사",""),"(유)",""),"（유）",""),"유한회사",""))</f>
        <v/>
      </c>
      <c r="AC115" s="31">
        <f>IF(OR($Y115="",N($Z115)&lt;=0,$AB115=""),0,IFERROR(LOOKUP(2,1/((거래처별!$AC$8:$AC$307&lt;&gt;"")*ISNUMBER(SEARCH(거래처별!$AC$8:$AC$307,$AB115))),거래처별!$A$8:$A$307),IFERROR(LOOKUP(2,1/((거래처별!$AD$8:$AD$307&lt;&gt;"")*ISNUMBER(SEARCH(거래처별!$AD$8:$AD$307,$AB115))),거래처별!$A$8:$A$307),IFERROR(LOOKUP(2,1/((거래처별!$AE$8:$AE$307&lt;&gt;"")*ISNUMBER(SEARCH(거래처별!$AE$8:$AE$307,$AB115))),거래처별!$A$8:$A$307),0))))</f>
        <v/>
      </c>
      <c r="AD115" s="31">
        <f>IF(AND($Y115&lt;&gt;"",N($Z115)&gt;0,$AC115=0),MAX($AD$7:$AD114)+1,"")</f>
        <v/>
      </c>
      <c r="AE115" s="31">
        <f>IF($Y115="",0,$Y115)</f>
        <v/>
      </c>
    </row>
    <row r="116">
      <c r="W116" s="31">
        <f>IF(OR($B$5="",$C$6="",ROW()&lt;$B$5),"",IF(INDEX($A:$U,ROW(),$C$6)="","",INDEX($A:$U,ROW(),$C$6)))</f>
        <v/>
      </c>
      <c r="X116" s="32">
        <f>IF($W116="","",IF(ISNUMBER($W116),IF($W116&gt;=10000000,IFERROR(DATE(INT($W116/10000),MOD(INT($W116/100),100),MOD($W116,100)),""),INT($W116)),IFERROR(DATE(--LEFT(LEFT(SUBSTITUTE(SUBSTITUTE(SUBSTITUTE(SUBSTITUTE(TRIM($W116),"-",""),".",""),"/","")," ",""),8),4),--MID(LEFT(SUBSTITUTE(SUBSTITUTE(SUBSTITUTE(SUBSTITUTE(TRIM($W116),"-",""),".",""),"/","")," ",""),8),5,2),--MID(LEFT(SUBSTITUTE(SUBSTITUTE(SUBSTITUTE(SUBSTITUTE(TRIM($W116),"-",""),".",""),"/","")," ",""),8),7,2)),"")))</f>
        <v/>
      </c>
      <c r="Y116" s="32">
        <f>IF($X116="","",INT($X116))</f>
        <v/>
      </c>
      <c r="Z116" s="33">
        <f>IF(OR($Y116="",$D$6=""),"",IF(INDEX($A:$U,ROW(),$D$6)="",0,IF(ISNUMBER(INDEX($A:$U,ROW(),$D$6)),INDEX($A:$U,ROW(),$D$6),IFERROR(--SUBSTITUTE(SUBSTITUTE(TRIM(INDEX($A:$U,ROW(),$D$6)),",",""),"원",""),0))))</f>
        <v/>
      </c>
      <c r="AA116" s="31">
        <f>IF($Y116="","",TRIM(INDEX($A:$U,ROW(),$E$6)&amp;IF($F$6="",""," "&amp;INDEX($A:$U,ROW(),$F$6))))</f>
        <v/>
      </c>
      <c r="AB116" s="31">
        <f>IF($AA116="","",SUBSTITUTE(SUBSTITUTE(SUBSTITUTE(SUBSTITUTE(SUBSTITUTE(SUBSTITUTE(SUBSTITUTE(SUBSTITUTE(SUBSTITUTE($AA116," ",""),"　",""),"(주)",""),"（주）",""),"㈜",""),"주식회사",""),"(유)",""),"（유）",""),"유한회사",""))</f>
        <v/>
      </c>
      <c r="AC116" s="31">
        <f>IF(OR($Y116="",N($Z116)&lt;=0,$AB116=""),0,IFERROR(LOOKUP(2,1/((거래처별!$AC$8:$AC$307&lt;&gt;"")*ISNUMBER(SEARCH(거래처별!$AC$8:$AC$307,$AB116))),거래처별!$A$8:$A$307),IFERROR(LOOKUP(2,1/((거래처별!$AD$8:$AD$307&lt;&gt;"")*ISNUMBER(SEARCH(거래처별!$AD$8:$AD$307,$AB116))),거래처별!$A$8:$A$307),IFERROR(LOOKUP(2,1/((거래처별!$AE$8:$AE$307&lt;&gt;"")*ISNUMBER(SEARCH(거래처별!$AE$8:$AE$307,$AB116))),거래처별!$A$8:$A$307),0))))</f>
        <v/>
      </c>
      <c r="AD116" s="31">
        <f>IF(AND($Y116&lt;&gt;"",N($Z116)&gt;0,$AC116=0),MAX($AD$7:$AD115)+1,"")</f>
        <v/>
      </c>
      <c r="AE116" s="31">
        <f>IF($Y116="",0,$Y116)</f>
        <v/>
      </c>
    </row>
    <row r="117">
      <c r="W117" s="31">
        <f>IF(OR($B$5="",$C$6="",ROW()&lt;$B$5),"",IF(INDEX($A:$U,ROW(),$C$6)="","",INDEX($A:$U,ROW(),$C$6)))</f>
        <v/>
      </c>
      <c r="X117" s="32">
        <f>IF($W117="","",IF(ISNUMBER($W117),IF($W117&gt;=10000000,IFERROR(DATE(INT($W117/10000),MOD(INT($W117/100),100),MOD($W117,100)),""),INT($W117)),IFERROR(DATE(--LEFT(LEFT(SUBSTITUTE(SUBSTITUTE(SUBSTITUTE(SUBSTITUTE(TRIM($W117),"-",""),".",""),"/","")," ",""),8),4),--MID(LEFT(SUBSTITUTE(SUBSTITUTE(SUBSTITUTE(SUBSTITUTE(TRIM($W117),"-",""),".",""),"/","")," ",""),8),5,2),--MID(LEFT(SUBSTITUTE(SUBSTITUTE(SUBSTITUTE(SUBSTITUTE(TRIM($W117),"-",""),".",""),"/","")," ",""),8),7,2)),"")))</f>
        <v/>
      </c>
      <c r="Y117" s="32">
        <f>IF($X117="","",INT($X117))</f>
        <v/>
      </c>
      <c r="Z117" s="33">
        <f>IF(OR($Y117="",$D$6=""),"",IF(INDEX($A:$U,ROW(),$D$6)="",0,IF(ISNUMBER(INDEX($A:$U,ROW(),$D$6)),INDEX($A:$U,ROW(),$D$6),IFERROR(--SUBSTITUTE(SUBSTITUTE(TRIM(INDEX($A:$U,ROW(),$D$6)),",",""),"원",""),0))))</f>
        <v/>
      </c>
      <c r="AA117" s="31">
        <f>IF($Y117="","",TRIM(INDEX($A:$U,ROW(),$E$6)&amp;IF($F$6="",""," "&amp;INDEX($A:$U,ROW(),$F$6))))</f>
        <v/>
      </c>
      <c r="AB117" s="31">
        <f>IF($AA117="","",SUBSTITUTE(SUBSTITUTE(SUBSTITUTE(SUBSTITUTE(SUBSTITUTE(SUBSTITUTE(SUBSTITUTE(SUBSTITUTE(SUBSTITUTE($AA117," ",""),"　",""),"(주)",""),"（주）",""),"㈜",""),"주식회사",""),"(유)",""),"（유）",""),"유한회사",""))</f>
        <v/>
      </c>
      <c r="AC117" s="31">
        <f>IF(OR($Y117="",N($Z117)&lt;=0,$AB117=""),0,IFERROR(LOOKUP(2,1/((거래처별!$AC$8:$AC$307&lt;&gt;"")*ISNUMBER(SEARCH(거래처별!$AC$8:$AC$307,$AB117))),거래처별!$A$8:$A$307),IFERROR(LOOKUP(2,1/((거래처별!$AD$8:$AD$307&lt;&gt;"")*ISNUMBER(SEARCH(거래처별!$AD$8:$AD$307,$AB117))),거래처별!$A$8:$A$307),IFERROR(LOOKUP(2,1/((거래처별!$AE$8:$AE$307&lt;&gt;"")*ISNUMBER(SEARCH(거래처별!$AE$8:$AE$307,$AB117))),거래처별!$A$8:$A$307),0))))</f>
        <v/>
      </c>
      <c r="AD117" s="31">
        <f>IF(AND($Y117&lt;&gt;"",N($Z117)&gt;0,$AC117=0),MAX($AD$7:$AD116)+1,"")</f>
        <v/>
      </c>
      <c r="AE117" s="31">
        <f>IF($Y117="",0,$Y117)</f>
        <v/>
      </c>
    </row>
    <row r="118">
      <c r="W118" s="31">
        <f>IF(OR($B$5="",$C$6="",ROW()&lt;$B$5),"",IF(INDEX($A:$U,ROW(),$C$6)="","",INDEX($A:$U,ROW(),$C$6)))</f>
        <v/>
      </c>
      <c r="X118" s="32">
        <f>IF($W118="","",IF(ISNUMBER($W118),IF($W118&gt;=10000000,IFERROR(DATE(INT($W118/10000),MOD(INT($W118/100),100),MOD($W118,100)),""),INT($W118)),IFERROR(DATE(--LEFT(LEFT(SUBSTITUTE(SUBSTITUTE(SUBSTITUTE(SUBSTITUTE(TRIM($W118),"-",""),".",""),"/","")," ",""),8),4),--MID(LEFT(SUBSTITUTE(SUBSTITUTE(SUBSTITUTE(SUBSTITUTE(TRIM($W118),"-",""),".",""),"/","")," ",""),8),5,2),--MID(LEFT(SUBSTITUTE(SUBSTITUTE(SUBSTITUTE(SUBSTITUTE(TRIM($W118),"-",""),".",""),"/","")," ",""),8),7,2)),"")))</f>
        <v/>
      </c>
      <c r="Y118" s="32">
        <f>IF($X118="","",INT($X118))</f>
        <v/>
      </c>
      <c r="Z118" s="33">
        <f>IF(OR($Y118="",$D$6=""),"",IF(INDEX($A:$U,ROW(),$D$6)="",0,IF(ISNUMBER(INDEX($A:$U,ROW(),$D$6)),INDEX($A:$U,ROW(),$D$6),IFERROR(--SUBSTITUTE(SUBSTITUTE(TRIM(INDEX($A:$U,ROW(),$D$6)),",",""),"원",""),0))))</f>
        <v/>
      </c>
      <c r="AA118" s="31">
        <f>IF($Y118="","",TRIM(INDEX($A:$U,ROW(),$E$6)&amp;IF($F$6="",""," "&amp;INDEX($A:$U,ROW(),$F$6))))</f>
        <v/>
      </c>
      <c r="AB118" s="31">
        <f>IF($AA118="","",SUBSTITUTE(SUBSTITUTE(SUBSTITUTE(SUBSTITUTE(SUBSTITUTE(SUBSTITUTE(SUBSTITUTE(SUBSTITUTE(SUBSTITUTE($AA118," ",""),"　",""),"(주)",""),"（주）",""),"㈜",""),"주식회사",""),"(유)",""),"（유）",""),"유한회사",""))</f>
        <v/>
      </c>
      <c r="AC118" s="31">
        <f>IF(OR($Y118="",N($Z118)&lt;=0,$AB118=""),0,IFERROR(LOOKUP(2,1/((거래처별!$AC$8:$AC$307&lt;&gt;"")*ISNUMBER(SEARCH(거래처별!$AC$8:$AC$307,$AB118))),거래처별!$A$8:$A$307),IFERROR(LOOKUP(2,1/((거래처별!$AD$8:$AD$307&lt;&gt;"")*ISNUMBER(SEARCH(거래처별!$AD$8:$AD$307,$AB118))),거래처별!$A$8:$A$307),IFERROR(LOOKUP(2,1/((거래처별!$AE$8:$AE$307&lt;&gt;"")*ISNUMBER(SEARCH(거래처별!$AE$8:$AE$307,$AB118))),거래처별!$A$8:$A$307),0))))</f>
        <v/>
      </c>
      <c r="AD118" s="31">
        <f>IF(AND($Y118&lt;&gt;"",N($Z118)&gt;0,$AC118=0),MAX($AD$7:$AD117)+1,"")</f>
        <v/>
      </c>
      <c r="AE118" s="31">
        <f>IF($Y118="",0,$Y118)</f>
        <v/>
      </c>
    </row>
    <row r="119">
      <c r="W119" s="31">
        <f>IF(OR($B$5="",$C$6="",ROW()&lt;$B$5),"",IF(INDEX($A:$U,ROW(),$C$6)="","",INDEX($A:$U,ROW(),$C$6)))</f>
        <v/>
      </c>
      <c r="X119" s="32">
        <f>IF($W119="","",IF(ISNUMBER($W119),IF($W119&gt;=10000000,IFERROR(DATE(INT($W119/10000),MOD(INT($W119/100),100),MOD($W119,100)),""),INT($W119)),IFERROR(DATE(--LEFT(LEFT(SUBSTITUTE(SUBSTITUTE(SUBSTITUTE(SUBSTITUTE(TRIM($W119),"-",""),".",""),"/","")," ",""),8),4),--MID(LEFT(SUBSTITUTE(SUBSTITUTE(SUBSTITUTE(SUBSTITUTE(TRIM($W119),"-",""),".",""),"/","")," ",""),8),5,2),--MID(LEFT(SUBSTITUTE(SUBSTITUTE(SUBSTITUTE(SUBSTITUTE(TRIM($W119),"-",""),".",""),"/","")," ",""),8),7,2)),"")))</f>
        <v/>
      </c>
      <c r="Y119" s="32">
        <f>IF($X119="","",INT($X119))</f>
        <v/>
      </c>
      <c r="Z119" s="33">
        <f>IF(OR($Y119="",$D$6=""),"",IF(INDEX($A:$U,ROW(),$D$6)="",0,IF(ISNUMBER(INDEX($A:$U,ROW(),$D$6)),INDEX($A:$U,ROW(),$D$6),IFERROR(--SUBSTITUTE(SUBSTITUTE(TRIM(INDEX($A:$U,ROW(),$D$6)),",",""),"원",""),0))))</f>
        <v/>
      </c>
      <c r="AA119" s="31">
        <f>IF($Y119="","",TRIM(INDEX($A:$U,ROW(),$E$6)&amp;IF($F$6="",""," "&amp;INDEX($A:$U,ROW(),$F$6))))</f>
        <v/>
      </c>
      <c r="AB119" s="31">
        <f>IF($AA119="","",SUBSTITUTE(SUBSTITUTE(SUBSTITUTE(SUBSTITUTE(SUBSTITUTE(SUBSTITUTE(SUBSTITUTE(SUBSTITUTE(SUBSTITUTE($AA119," ",""),"　",""),"(주)",""),"（주）",""),"㈜",""),"주식회사",""),"(유)",""),"（유）",""),"유한회사",""))</f>
        <v/>
      </c>
      <c r="AC119" s="31">
        <f>IF(OR($Y119="",N($Z119)&lt;=0,$AB119=""),0,IFERROR(LOOKUP(2,1/((거래처별!$AC$8:$AC$307&lt;&gt;"")*ISNUMBER(SEARCH(거래처별!$AC$8:$AC$307,$AB119))),거래처별!$A$8:$A$307),IFERROR(LOOKUP(2,1/((거래처별!$AD$8:$AD$307&lt;&gt;"")*ISNUMBER(SEARCH(거래처별!$AD$8:$AD$307,$AB119))),거래처별!$A$8:$A$307),IFERROR(LOOKUP(2,1/((거래처별!$AE$8:$AE$307&lt;&gt;"")*ISNUMBER(SEARCH(거래처별!$AE$8:$AE$307,$AB119))),거래처별!$A$8:$A$307),0))))</f>
        <v/>
      </c>
      <c r="AD119" s="31">
        <f>IF(AND($Y119&lt;&gt;"",N($Z119)&gt;0,$AC119=0),MAX($AD$7:$AD118)+1,"")</f>
        <v/>
      </c>
      <c r="AE119" s="31">
        <f>IF($Y119="",0,$Y119)</f>
        <v/>
      </c>
    </row>
    <row r="120">
      <c r="W120" s="31">
        <f>IF(OR($B$5="",$C$6="",ROW()&lt;$B$5),"",IF(INDEX($A:$U,ROW(),$C$6)="","",INDEX($A:$U,ROW(),$C$6)))</f>
        <v/>
      </c>
      <c r="X120" s="32">
        <f>IF($W120="","",IF(ISNUMBER($W120),IF($W120&gt;=10000000,IFERROR(DATE(INT($W120/10000),MOD(INT($W120/100),100),MOD($W120,100)),""),INT($W120)),IFERROR(DATE(--LEFT(LEFT(SUBSTITUTE(SUBSTITUTE(SUBSTITUTE(SUBSTITUTE(TRIM($W120),"-",""),".",""),"/","")," ",""),8),4),--MID(LEFT(SUBSTITUTE(SUBSTITUTE(SUBSTITUTE(SUBSTITUTE(TRIM($W120),"-",""),".",""),"/","")," ",""),8),5,2),--MID(LEFT(SUBSTITUTE(SUBSTITUTE(SUBSTITUTE(SUBSTITUTE(TRIM($W120),"-",""),".",""),"/","")," ",""),8),7,2)),"")))</f>
        <v/>
      </c>
      <c r="Y120" s="32">
        <f>IF($X120="","",INT($X120))</f>
        <v/>
      </c>
      <c r="Z120" s="33">
        <f>IF(OR($Y120="",$D$6=""),"",IF(INDEX($A:$U,ROW(),$D$6)="",0,IF(ISNUMBER(INDEX($A:$U,ROW(),$D$6)),INDEX($A:$U,ROW(),$D$6),IFERROR(--SUBSTITUTE(SUBSTITUTE(TRIM(INDEX($A:$U,ROW(),$D$6)),",",""),"원",""),0))))</f>
        <v/>
      </c>
      <c r="AA120" s="31">
        <f>IF($Y120="","",TRIM(INDEX($A:$U,ROW(),$E$6)&amp;IF($F$6="",""," "&amp;INDEX($A:$U,ROW(),$F$6))))</f>
        <v/>
      </c>
      <c r="AB120" s="31">
        <f>IF($AA120="","",SUBSTITUTE(SUBSTITUTE(SUBSTITUTE(SUBSTITUTE(SUBSTITUTE(SUBSTITUTE(SUBSTITUTE(SUBSTITUTE(SUBSTITUTE($AA120," ",""),"　",""),"(주)",""),"（주）",""),"㈜",""),"주식회사",""),"(유)",""),"（유）",""),"유한회사",""))</f>
        <v/>
      </c>
      <c r="AC120" s="31">
        <f>IF(OR($Y120="",N($Z120)&lt;=0,$AB120=""),0,IFERROR(LOOKUP(2,1/((거래처별!$AC$8:$AC$307&lt;&gt;"")*ISNUMBER(SEARCH(거래처별!$AC$8:$AC$307,$AB120))),거래처별!$A$8:$A$307),IFERROR(LOOKUP(2,1/((거래처별!$AD$8:$AD$307&lt;&gt;"")*ISNUMBER(SEARCH(거래처별!$AD$8:$AD$307,$AB120))),거래처별!$A$8:$A$307),IFERROR(LOOKUP(2,1/((거래처별!$AE$8:$AE$307&lt;&gt;"")*ISNUMBER(SEARCH(거래처별!$AE$8:$AE$307,$AB120))),거래처별!$A$8:$A$307),0))))</f>
        <v/>
      </c>
      <c r="AD120" s="31">
        <f>IF(AND($Y120&lt;&gt;"",N($Z120)&gt;0,$AC120=0),MAX($AD$7:$AD119)+1,"")</f>
        <v/>
      </c>
      <c r="AE120" s="31">
        <f>IF($Y120="",0,$Y120)</f>
        <v/>
      </c>
    </row>
    <row r="121">
      <c r="W121" s="31">
        <f>IF(OR($B$5="",$C$6="",ROW()&lt;$B$5),"",IF(INDEX($A:$U,ROW(),$C$6)="","",INDEX($A:$U,ROW(),$C$6)))</f>
        <v/>
      </c>
      <c r="X121" s="32">
        <f>IF($W121="","",IF(ISNUMBER($W121),IF($W121&gt;=10000000,IFERROR(DATE(INT($W121/10000),MOD(INT($W121/100),100),MOD($W121,100)),""),INT($W121)),IFERROR(DATE(--LEFT(LEFT(SUBSTITUTE(SUBSTITUTE(SUBSTITUTE(SUBSTITUTE(TRIM($W121),"-",""),".",""),"/","")," ",""),8),4),--MID(LEFT(SUBSTITUTE(SUBSTITUTE(SUBSTITUTE(SUBSTITUTE(TRIM($W121),"-",""),".",""),"/","")," ",""),8),5,2),--MID(LEFT(SUBSTITUTE(SUBSTITUTE(SUBSTITUTE(SUBSTITUTE(TRIM($W121),"-",""),".",""),"/","")," ",""),8),7,2)),"")))</f>
        <v/>
      </c>
      <c r="Y121" s="32">
        <f>IF($X121="","",INT($X121))</f>
        <v/>
      </c>
      <c r="Z121" s="33">
        <f>IF(OR($Y121="",$D$6=""),"",IF(INDEX($A:$U,ROW(),$D$6)="",0,IF(ISNUMBER(INDEX($A:$U,ROW(),$D$6)),INDEX($A:$U,ROW(),$D$6),IFERROR(--SUBSTITUTE(SUBSTITUTE(TRIM(INDEX($A:$U,ROW(),$D$6)),",",""),"원",""),0))))</f>
        <v/>
      </c>
      <c r="AA121" s="31">
        <f>IF($Y121="","",TRIM(INDEX($A:$U,ROW(),$E$6)&amp;IF($F$6="",""," "&amp;INDEX($A:$U,ROW(),$F$6))))</f>
        <v/>
      </c>
      <c r="AB121" s="31">
        <f>IF($AA121="","",SUBSTITUTE(SUBSTITUTE(SUBSTITUTE(SUBSTITUTE(SUBSTITUTE(SUBSTITUTE(SUBSTITUTE(SUBSTITUTE(SUBSTITUTE($AA121," ",""),"　",""),"(주)",""),"（주）",""),"㈜",""),"주식회사",""),"(유)",""),"（유）",""),"유한회사",""))</f>
        <v/>
      </c>
      <c r="AC121" s="31">
        <f>IF(OR($Y121="",N($Z121)&lt;=0,$AB121=""),0,IFERROR(LOOKUP(2,1/((거래처별!$AC$8:$AC$307&lt;&gt;"")*ISNUMBER(SEARCH(거래처별!$AC$8:$AC$307,$AB121))),거래처별!$A$8:$A$307),IFERROR(LOOKUP(2,1/((거래처별!$AD$8:$AD$307&lt;&gt;"")*ISNUMBER(SEARCH(거래처별!$AD$8:$AD$307,$AB121))),거래처별!$A$8:$A$307),IFERROR(LOOKUP(2,1/((거래처별!$AE$8:$AE$307&lt;&gt;"")*ISNUMBER(SEARCH(거래처별!$AE$8:$AE$307,$AB121))),거래처별!$A$8:$A$307),0))))</f>
        <v/>
      </c>
      <c r="AD121" s="31">
        <f>IF(AND($Y121&lt;&gt;"",N($Z121)&gt;0,$AC121=0),MAX($AD$7:$AD120)+1,"")</f>
        <v/>
      </c>
      <c r="AE121" s="31">
        <f>IF($Y121="",0,$Y121)</f>
        <v/>
      </c>
    </row>
    <row r="122">
      <c r="W122" s="31">
        <f>IF(OR($B$5="",$C$6="",ROW()&lt;$B$5),"",IF(INDEX($A:$U,ROW(),$C$6)="","",INDEX($A:$U,ROW(),$C$6)))</f>
        <v/>
      </c>
      <c r="X122" s="32">
        <f>IF($W122="","",IF(ISNUMBER($W122),IF($W122&gt;=10000000,IFERROR(DATE(INT($W122/10000),MOD(INT($W122/100),100),MOD($W122,100)),""),INT($W122)),IFERROR(DATE(--LEFT(LEFT(SUBSTITUTE(SUBSTITUTE(SUBSTITUTE(SUBSTITUTE(TRIM($W122),"-",""),".",""),"/","")," ",""),8),4),--MID(LEFT(SUBSTITUTE(SUBSTITUTE(SUBSTITUTE(SUBSTITUTE(TRIM($W122),"-",""),".",""),"/","")," ",""),8),5,2),--MID(LEFT(SUBSTITUTE(SUBSTITUTE(SUBSTITUTE(SUBSTITUTE(TRIM($W122),"-",""),".",""),"/","")," ",""),8),7,2)),"")))</f>
        <v/>
      </c>
      <c r="Y122" s="32">
        <f>IF($X122="","",INT($X122))</f>
        <v/>
      </c>
      <c r="Z122" s="33">
        <f>IF(OR($Y122="",$D$6=""),"",IF(INDEX($A:$U,ROW(),$D$6)="",0,IF(ISNUMBER(INDEX($A:$U,ROW(),$D$6)),INDEX($A:$U,ROW(),$D$6),IFERROR(--SUBSTITUTE(SUBSTITUTE(TRIM(INDEX($A:$U,ROW(),$D$6)),",",""),"원",""),0))))</f>
        <v/>
      </c>
      <c r="AA122" s="31">
        <f>IF($Y122="","",TRIM(INDEX($A:$U,ROW(),$E$6)&amp;IF($F$6="",""," "&amp;INDEX($A:$U,ROW(),$F$6))))</f>
        <v/>
      </c>
      <c r="AB122" s="31">
        <f>IF($AA122="","",SUBSTITUTE(SUBSTITUTE(SUBSTITUTE(SUBSTITUTE(SUBSTITUTE(SUBSTITUTE(SUBSTITUTE(SUBSTITUTE(SUBSTITUTE($AA122," ",""),"　",""),"(주)",""),"（주）",""),"㈜",""),"주식회사",""),"(유)",""),"（유）",""),"유한회사",""))</f>
        <v/>
      </c>
      <c r="AC122" s="31">
        <f>IF(OR($Y122="",N($Z122)&lt;=0,$AB122=""),0,IFERROR(LOOKUP(2,1/((거래처별!$AC$8:$AC$307&lt;&gt;"")*ISNUMBER(SEARCH(거래처별!$AC$8:$AC$307,$AB122))),거래처별!$A$8:$A$307),IFERROR(LOOKUP(2,1/((거래처별!$AD$8:$AD$307&lt;&gt;"")*ISNUMBER(SEARCH(거래처별!$AD$8:$AD$307,$AB122))),거래처별!$A$8:$A$307),IFERROR(LOOKUP(2,1/((거래처별!$AE$8:$AE$307&lt;&gt;"")*ISNUMBER(SEARCH(거래처별!$AE$8:$AE$307,$AB122))),거래처별!$A$8:$A$307),0))))</f>
        <v/>
      </c>
      <c r="AD122" s="31">
        <f>IF(AND($Y122&lt;&gt;"",N($Z122)&gt;0,$AC122=0),MAX($AD$7:$AD121)+1,"")</f>
        <v/>
      </c>
      <c r="AE122" s="31">
        <f>IF($Y122="",0,$Y122)</f>
        <v/>
      </c>
    </row>
    <row r="123">
      <c r="W123" s="31">
        <f>IF(OR($B$5="",$C$6="",ROW()&lt;$B$5),"",IF(INDEX($A:$U,ROW(),$C$6)="","",INDEX($A:$U,ROW(),$C$6)))</f>
        <v/>
      </c>
      <c r="X123" s="32">
        <f>IF($W123="","",IF(ISNUMBER($W123),IF($W123&gt;=10000000,IFERROR(DATE(INT($W123/10000),MOD(INT($W123/100),100),MOD($W123,100)),""),INT($W123)),IFERROR(DATE(--LEFT(LEFT(SUBSTITUTE(SUBSTITUTE(SUBSTITUTE(SUBSTITUTE(TRIM($W123),"-",""),".",""),"/","")," ",""),8),4),--MID(LEFT(SUBSTITUTE(SUBSTITUTE(SUBSTITUTE(SUBSTITUTE(TRIM($W123),"-",""),".",""),"/","")," ",""),8),5,2),--MID(LEFT(SUBSTITUTE(SUBSTITUTE(SUBSTITUTE(SUBSTITUTE(TRIM($W123),"-",""),".",""),"/","")," ",""),8),7,2)),"")))</f>
        <v/>
      </c>
      <c r="Y123" s="32">
        <f>IF($X123="","",INT($X123))</f>
        <v/>
      </c>
      <c r="Z123" s="33">
        <f>IF(OR($Y123="",$D$6=""),"",IF(INDEX($A:$U,ROW(),$D$6)="",0,IF(ISNUMBER(INDEX($A:$U,ROW(),$D$6)),INDEX($A:$U,ROW(),$D$6),IFERROR(--SUBSTITUTE(SUBSTITUTE(TRIM(INDEX($A:$U,ROW(),$D$6)),",",""),"원",""),0))))</f>
        <v/>
      </c>
      <c r="AA123" s="31">
        <f>IF($Y123="","",TRIM(INDEX($A:$U,ROW(),$E$6)&amp;IF($F$6="",""," "&amp;INDEX($A:$U,ROW(),$F$6))))</f>
        <v/>
      </c>
      <c r="AB123" s="31">
        <f>IF($AA123="","",SUBSTITUTE(SUBSTITUTE(SUBSTITUTE(SUBSTITUTE(SUBSTITUTE(SUBSTITUTE(SUBSTITUTE(SUBSTITUTE(SUBSTITUTE($AA123," ",""),"　",""),"(주)",""),"（주）",""),"㈜",""),"주식회사",""),"(유)",""),"（유）",""),"유한회사",""))</f>
        <v/>
      </c>
      <c r="AC123" s="31">
        <f>IF(OR($Y123="",N($Z123)&lt;=0,$AB123=""),0,IFERROR(LOOKUP(2,1/((거래처별!$AC$8:$AC$307&lt;&gt;"")*ISNUMBER(SEARCH(거래처별!$AC$8:$AC$307,$AB123))),거래처별!$A$8:$A$307),IFERROR(LOOKUP(2,1/((거래처별!$AD$8:$AD$307&lt;&gt;"")*ISNUMBER(SEARCH(거래처별!$AD$8:$AD$307,$AB123))),거래처별!$A$8:$A$307),IFERROR(LOOKUP(2,1/((거래처별!$AE$8:$AE$307&lt;&gt;"")*ISNUMBER(SEARCH(거래처별!$AE$8:$AE$307,$AB123))),거래처별!$A$8:$A$307),0))))</f>
        <v/>
      </c>
      <c r="AD123" s="31">
        <f>IF(AND($Y123&lt;&gt;"",N($Z123)&gt;0,$AC123=0),MAX($AD$7:$AD122)+1,"")</f>
        <v/>
      </c>
      <c r="AE123" s="31">
        <f>IF($Y123="",0,$Y123)</f>
        <v/>
      </c>
    </row>
    <row r="124">
      <c r="W124" s="31">
        <f>IF(OR($B$5="",$C$6="",ROW()&lt;$B$5),"",IF(INDEX($A:$U,ROW(),$C$6)="","",INDEX($A:$U,ROW(),$C$6)))</f>
        <v/>
      </c>
      <c r="X124" s="32">
        <f>IF($W124="","",IF(ISNUMBER($W124),IF($W124&gt;=10000000,IFERROR(DATE(INT($W124/10000),MOD(INT($W124/100),100),MOD($W124,100)),""),INT($W124)),IFERROR(DATE(--LEFT(LEFT(SUBSTITUTE(SUBSTITUTE(SUBSTITUTE(SUBSTITUTE(TRIM($W124),"-",""),".",""),"/","")," ",""),8),4),--MID(LEFT(SUBSTITUTE(SUBSTITUTE(SUBSTITUTE(SUBSTITUTE(TRIM($W124),"-",""),".",""),"/","")," ",""),8),5,2),--MID(LEFT(SUBSTITUTE(SUBSTITUTE(SUBSTITUTE(SUBSTITUTE(TRIM($W124),"-",""),".",""),"/","")," ",""),8),7,2)),"")))</f>
        <v/>
      </c>
      <c r="Y124" s="32">
        <f>IF($X124="","",INT($X124))</f>
        <v/>
      </c>
      <c r="Z124" s="33">
        <f>IF(OR($Y124="",$D$6=""),"",IF(INDEX($A:$U,ROW(),$D$6)="",0,IF(ISNUMBER(INDEX($A:$U,ROW(),$D$6)),INDEX($A:$U,ROW(),$D$6),IFERROR(--SUBSTITUTE(SUBSTITUTE(TRIM(INDEX($A:$U,ROW(),$D$6)),",",""),"원",""),0))))</f>
        <v/>
      </c>
      <c r="AA124" s="31">
        <f>IF($Y124="","",TRIM(INDEX($A:$U,ROW(),$E$6)&amp;IF($F$6="",""," "&amp;INDEX($A:$U,ROW(),$F$6))))</f>
        <v/>
      </c>
      <c r="AB124" s="31">
        <f>IF($AA124="","",SUBSTITUTE(SUBSTITUTE(SUBSTITUTE(SUBSTITUTE(SUBSTITUTE(SUBSTITUTE(SUBSTITUTE(SUBSTITUTE(SUBSTITUTE($AA124," ",""),"　",""),"(주)",""),"（주）",""),"㈜",""),"주식회사",""),"(유)",""),"（유）",""),"유한회사",""))</f>
        <v/>
      </c>
      <c r="AC124" s="31">
        <f>IF(OR($Y124="",N($Z124)&lt;=0,$AB124=""),0,IFERROR(LOOKUP(2,1/((거래처별!$AC$8:$AC$307&lt;&gt;"")*ISNUMBER(SEARCH(거래처별!$AC$8:$AC$307,$AB124))),거래처별!$A$8:$A$307),IFERROR(LOOKUP(2,1/((거래처별!$AD$8:$AD$307&lt;&gt;"")*ISNUMBER(SEARCH(거래처별!$AD$8:$AD$307,$AB124))),거래처별!$A$8:$A$307),IFERROR(LOOKUP(2,1/((거래처별!$AE$8:$AE$307&lt;&gt;"")*ISNUMBER(SEARCH(거래처별!$AE$8:$AE$307,$AB124))),거래처별!$A$8:$A$307),0))))</f>
        <v/>
      </c>
      <c r="AD124" s="31">
        <f>IF(AND($Y124&lt;&gt;"",N($Z124)&gt;0,$AC124=0),MAX($AD$7:$AD123)+1,"")</f>
        <v/>
      </c>
      <c r="AE124" s="31">
        <f>IF($Y124="",0,$Y124)</f>
        <v/>
      </c>
    </row>
    <row r="125">
      <c r="W125" s="31">
        <f>IF(OR($B$5="",$C$6="",ROW()&lt;$B$5),"",IF(INDEX($A:$U,ROW(),$C$6)="","",INDEX($A:$U,ROW(),$C$6)))</f>
        <v/>
      </c>
      <c r="X125" s="32">
        <f>IF($W125="","",IF(ISNUMBER($W125),IF($W125&gt;=10000000,IFERROR(DATE(INT($W125/10000),MOD(INT($W125/100),100),MOD($W125,100)),""),INT($W125)),IFERROR(DATE(--LEFT(LEFT(SUBSTITUTE(SUBSTITUTE(SUBSTITUTE(SUBSTITUTE(TRIM($W125),"-",""),".",""),"/","")," ",""),8),4),--MID(LEFT(SUBSTITUTE(SUBSTITUTE(SUBSTITUTE(SUBSTITUTE(TRIM($W125),"-",""),".",""),"/","")," ",""),8),5,2),--MID(LEFT(SUBSTITUTE(SUBSTITUTE(SUBSTITUTE(SUBSTITUTE(TRIM($W125),"-",""),".",""),"/","")," ",""),8),7,2)),"")))</f>
        <v/>
      </c>
      <c r="Y125" s="32">
        <f>IF($X125="","",INT($X125))</f>
        <v/>
      </c>
      <c r="Z125" s="33">
        <f>IF(OR($Y125="",$D$6=""),"",IF(INDEX($A:$U,ROW(),$D$6)="",0,IF(ISNUMBER(INDEX($A:$U,ROW(),$D$6)),INDEX($A:$U,ROW(),$D$6),IFERROR(--SUBSTITUTE(SUBSTITUTE(TRIM(INDEX($A:$U,ROW(),$D$6)),",",""),"원",""),0))))</f>
        <v/>
      </c>
      <c r="AA125" s="31">
        <f>IF($Y125="","",TRIM(INDEX($A:$U,ROW(),$E$6)&amp;IF($F$6="",""," "&amp;INDEX($A:$U,ROW(),$F$6))))</f>
        <v/>
      </c>
      <c r="AB125" s="31">
        <f>IF($AA125="","",SUBSTITUTE(SUBSTITUTE(SUBSTITUTE(SUBSTITUTE(SUBSTITUTE(SUBSTITUTE(SUBSTITUTE(SUBSTITUTE(SUBSTITUTE($AA125," ",""),"　",""),"(주)",""),"（주）",""),"㈜",""),"주식회사",""),"(유)",""),"（유）",""),"유한회사",""))</f>
        <v/>
      </c>
      <c r="AC125" s="31">
        <f>IF(OR($Y125="",N($Z125)&lt;=0,$AB125=""),0,IFERROR(LOOKUP(2,1/((거래처별!$AC$8:$AC$307&lt;&gt;"")*ISNUMBER(SEARCH(거래처별!$AC$8:$AC$307,$AB125))),거래처별!$A$8:$A$307),IFERROR(LOOKUP(2,1/((거래처별!$AD$8:$AD$307&lt;&gt;"")*ISNUMBER(SEARCH(거래처별!$AD$8:$AD$307,$AB125))),거래처별!$A$8:$A$307),IFERROR(LOOKUP(2,1/((거래처별!$AE$8:$AE$307&lt;&gt;"")*ISNUMBER(SEARCH(거래처별!$AE$8:$AE$307,$AB125))),거래처별!$A$8:$A$307),0))))</f>
        <v/>
      </c>
      <c r="AD125" s="31">
        <f>IF(AND($Y125&lt;&gt;"",N($Z125)&gt;0,$AC125=0),MAX($AD$7:$AD124)+1,"")</f>
        <v/>
      </c>
      <c r="AE125" s="31">
        <f>IF($Y125="",0,$Y125)</f>
        <v/>
      </c>
    </row>
    <row r="126">
      <c r="W126" s="31">
        <f>IF(OR($B$5="",$C$6="",ROW()&lt;$B$5),"",IF(INDEX($A:$U,ROW(),$C$6)="","",INDEX($A:$U,ROW(),$C$6)))</f>
        <v/>
      </c>
      <c r="X126" s="32">
        <f>IF($W126="","",IF(ISNUMBER($W126),IF($W126&gt;=10000000,IFERROR(DATE(INT($W126/10000),MOD(INT($W126/100),100),MOD($W126,100)),""),INT($W126)),IFERROR(DATE(--LEFT(LEFT(SUBSTITUTE(SUBSTITUTE(SUBSTITUTE(SUBSTITUTE(TRIM($W126),"-",""),".",""),"/","")," ",""),8),4),--MID(LEFT(SUBSTITUTE(SUBSTITUTE(SUBSTITUTE(SUBSTITUTE(TRIM($W126),"-",""),".",""),"/","")," ",""),8),5,2),--MID(LEFT(SUBSTITUTE(SUBSTITUTE(SUBSTITUTE(SUBSTITUTE(TRIM($W126),"-",""),".",""),"/","")," ",""),8),7,2)),"")))</f>
        <v/>
      </c>
      <c r="Y126" s="32">
        <f>IF($X126="","",INT($X126))</f>
        <v/>
      </c>
      <c r="Z126" s="33">
        <f>IF(OR($Y126="",$D$6=""),"",IF(INDEX($A:$U,ROW(),$D$6)="",0,IF(ISNUMBER(INDEX($A:$U,ROW(),$D$6)),INDEX($A:$U,ROW(),$D$6),IFERROR(--SUBSTITUTE(SUBSTITUTE(TRIM(INDEX($A:$U,ROW(),$D$6)),",",""),"원",""),0))))</f>
        <v/>
      </c>
      <c r="AA126" s="31">
        <f>IF($Y126="","",TRIM(INDEX($A:$U,ROW(),$E$6)&amp;IF($F$6="",""," "&amp;INDEX($A:$U,ROW(),$F$6))))</f>
        <v/>
      </c>
      <c r="AB126" s="31">
        <f>IF($AA126="","",SUBSTITUTE(SUBSTITUTE(SUBSTITUTE(SUBSTITUTE(SUBSTITUTE(SUBSTITUTE(SUBSTITUTE(SUBSTITUTE(SUBSTITUTE($AA126," ",""),"　",""),"(주)",""),"（주）",""),"㈜",""),"주식회사",""),"(유)",""),"（유）",""),"유한회사",""))</f>
        <v/>
      </c>
      <c r="AC126" s="31">
        <f>IF(OR($Y126="",N($Z126)&lt;=0,$AB126=""),0,IFERROR(LOOKUP(2,1/((거래처별!$AC$8:$AC$307&lt;&gt;"")*ISNUMBER(SEARCH(거래처별!$AC$8:$AC$307,$AB126))),거래처별!$A$8:$A$307),IFERROR(LOOKUP(2,1/((거래처별!$AD$8:$AD$307&lt;&gt;"")*ISNUMBER(SEARCH(거래처별!$AD$8:$AD$307,$AB126))),거래처별!$A$8:$A$307),IFERROR(LOOKUP(2,1/((거래처별!$AE$8:$AE$307&lt;&gt;"")*ISNUMBER(SEARCH(거래처별!$AE$8:$AE$307,$AB126))),거래처별!$A$8:$A$307),0))))</f>
        <v/>
      </c>
      <c r="AD126" s="31">
        <f>IF(AND($Y126&lt;&gt;"",N($Z126)&gt;0,$AC126=0),MAX($AD$7:$AD125)+1,"")</f>
        <v/>
      </c>
      <c r="AE126" s="31">
        <f>IF($Y126="",0,$Y126)</f>
        <v/>
      </c>
    </row>
    <row r="127">
      <c r="W127" s="31">
        <f>IF(OR($B$5="",$C$6="",ROW()&lt;$B$5),"",IF(INDEX($A:$U,ROW(),$C$6)="","",INDEX($A:$U,ROW(),$C$6)))</f>
        <v/>
      </c>
      <c r="X127" s="32">
        <f>IF($W127="","",IF(ISNUMBER($W127),IF($W127&gt;=10000000,IFERROR(DATE(INT($W127/10000),MOD(INT($W127/100),100),MOD($W127,100)),""),INT($W127)),IFERROR(DATE(--LEFT(LEFT(SUBSTITUTE(SUBSTITUTE(SUBSTITUTE(SUBSTITUTE(TRIM($W127),"-",""),".",""),"/","")," ",""),8),4),--MID(LEFT(SUBSTITUTE(SUBSTITUTE(SUBSTITUTE(SUBSTITUTE(TRIM($W127),"-",""),".",""),"/","")," ",""),8),5,2),--MID(LEFT(SUBSTITUTE(SUBSTITUTE(SUBSTITUTE(SUBSTITUTE(TRIM($W127),"-",""),".",""),"/","")," ",""),8),7,2)),"")))</f>
        <v/>
      </c>
      <c r="Y127" s="32">
        <f>IF($X127="","",INT($X127))</f>
        <v/>
      </c>
      <c r="Z127" s="33">
        <f>IF(OR($Y127="",$D$6=""),"",IF(INDEX($A:$U,ROW(),$D$6)="",0,IF(ISNUMBER(INDEX($A:$U,ROW(),$D$6)),INDEX($A:$U,ROW(),$D$6),IFERROR(--SUBSTITUTE(SUBSTITUTE(TRIM(INDEX($A:$U,ROW(),$D$6)),",",""),"원",""),0))))</f>
        <v/>
      </c>
      <c r="AA127" s="31">
        <f>IF($Y127="","",TRIM(INDEX($A:$U,ROW(),$E$6)&amp;IF($F$6="",""," "&amp;INDEX($A:$U,ROW(),$F$6))))</f>
        <v/>
      </c>
      <c r="AB127" s="31">
        <f>IF($AA127="","",SUBSTITUTE(SUBSTITUTE(SUBSTITUTE(SUBSTITUTE(SUBSTITUTE(SUBSTITUTE(SUBSTITUTE(SUBSTITUTE(SUBSTITUTE($AA127," ",""),"　",""),"(주)",""),"（주）",""),"㈜",""),"주식회사",""),"(유)",""),"（유）",""),"유한회사",""))</f>
        <v/>
      </c>
      <c r="AC127" s="31">
        <f>IF(OR($Y127="",N($Z127)&lt;=0,$AB127=""),0,IFERROR(LOOKUP(2,1/((거래처별!$AC$8:$AC$307&lt;&gt;"")*ISNUMBER(SEARCH(거래처별!$AC$8:$AC$307,$AB127))),거래처별!$A$8:$A$307),IFERROR(LOOKUP(2,1/((거래처별!$AD$8:$AD$307&lt;&gt;"")*ISNUMBER(SEARCH(거래처별!$AD$8:$AD$307,$AB127))),거래처별!$A$8:$A$307),IFERROR(LOOKUP(2,1/((거래처별!$AE$8:$AE$307&lt;&gt;"")*ISNUMBER(SEARCH(거래처별!$AE$8:$AE$307,$AB127))),거래처별!$A$8:$A$307),0))))</f>
        <v/>
      </c>
      <c r="AD127" s="31">
        <f>IF(AND($Y127&lt;&gt;"",N($Z127)&gt;0,$AC127=0),MAX($AD$7:$AD126)+1,"")</f>
        <v/>
      </c>
      <c r="AE127" s="31">
        <f>IF($Y127="",0,$Y127)</f>
        <v/>
      </c>
    </row>
    <row r="128">
      <c r="W128" s="31">
        <f>IF(OR($B$5="",$C$6="",ROW()&lt;$B$5),"",IF(INDEX($A:$U,ROW(),$C$6)="","",INDEX($A:$U,ROW(),$C$6)))</f>
        <v/>
      </c>
      <c r="X128" s="32">
        <f>IF($W128="","",IF(ISNUMBER($W128),IF($W128&gt;=10000000,IFERROR(DATE(INT($W128/10000),MOD(INT($W128/100),100),MOD($W128,100)),""),INT($W128)),IFERROR(DATE(--LEFT(LEFT(SUBSTITUTE(SUBSTITUTE(SUBSTITUTE(SUBSTITUTE(TRIM($W128),"-",""),".",""),"/","")," ",""),8),4),--MID(LEFT(SUBSTITUTE(SUBSTITUTE(SUBSTITUTE(SUBSTITUTE(TRIM($W128),"-",""),".",""),"/","")," ",""),8),5,2),--MID(LEFT(SUBSTITUTE(SUBSTITUTE(SUBSTITUTE(SUBSTITUTE(TRIM($W128),"-",""),".",""),"/","")," ",""),8),7,2)),"")))</f>
        <v/>
      </c>
      <c r="Y128" s="32">
        <f>IF($X128="","",INT($X128))</f>
        <v/>
      </c>
      <c r="Z128" s="33">
        <f>IF(OR($Y128="",$D$6=""),"",IF(INDEX($A:$U,ROW(),$D$6)="",0,IF(ISNUMBER(INDEX($A:$U,ROW(),$D$6)),INDEX($A:$U,ROW(),$D$6),IFERROR(--SUBSTITUTE(SUBSTITUTE(TRIM(INDEX($A:$U,ROW(),$D$6)),",",""),"원",""),0))))</f>
        <v/>
      </c>
      <c r="AA128" s="31">
        <f>IF($Y128="","",TRIM(INDEX($A:$U,ROW(),$E$6)&amp;IF($F$6="",""," "&amp;INDEX($A:$U,ROW(),$F$6))))</f>
        <v/>
      </c>
      <c r="AB128" s="31">
        <f>IF($AA128="","",SUBSTITUTE(SUBSTITUTE(SUBSTITUTE(SUBSTITUTE(SUBSTITUTE(SUBSTITUTE(SUBSTITUTE(SUBSTITUTE(SUBSTITUTE($AA128," ",""),"　",""),"(주)",""),"（주）",""),"㈜",""),"주식회사",""),"(유)",""),"（유）",""),"유한회사",""))</f>
        <v/>
      </c>
      <c r="AC128" s="31">
        <f>IF(OR($Y128="",N($Z128)&lt;=0,$AB128=""),0,IFERROR(LOOKUP(2,1/((거래처별!$AC$8:$AC$307&lt;&gt;"")*ISNUMBER(SEARCH(거래처별!$AC$8:$AC$307,$AB128))),거래처별!$A$8:$A$307),IFERROR(LOOKUP(2,1/((거래처별!$AD$8:$AD$307&lt;&gt;"")*ISNUMBER(SEARCH(거래처별!$AD$8:$AD$307,$AB128))),거래처별!$A$8:$A$307),IFERROR(LOOKUP(2,1/((거래처별!$AE$8:$AE$307&lt;&gt;"")*ISNUMBER(SEARCH(거래처별!$AE$8:$AE$307,$AB128))),거래처별!$A$8:$A$307),0))))</f>
        <v/>
      </c>
      <c r="AD128" s="31">
        <f>IF(AND($Y128&lt;&gt;"",N($Z128)&gt;0,$AC128=0),MAX($AD$7:$AD127)+1,"")</f>
        <v/>
      </c>
      <c r="AE128" s="31">
        <f>IF($Y128="",0,$Y128)</f>
        <v/>
      </c>
    </row>
    <row r="129">
      <c r="W129" s="31">
        <f>IF(OR($B$5="",$C$6="",ROW()&lt;$B$5),"",IF(INDEX($A:$U,ROW(),$C$6)="","",INDEX($A:$U,ROW(),$C$6)))</f>
        <v/>
      </c>
      <c r="X129" s="32">
        <f>IF($W129="","",IF(ISNUMBER($W129),IF($W129&gt;=10000000,IFERROR(DATE(INT($W129/10000),MOD(INT($W129/100),100),MOD($W129,100)),""),INT($W129)),IFERROR(DATE(--LEFT(LEFT(SUBSTITUTE(SUBSTITUTE(SUBSTITUTE(SUBSTITUTE(TRIM($W129),"-",""),".",""),"/","")," ",""),8),4),--MID(LEFT(SUBSTITUTE(SUBSTITUTE(SUBSTITUTE(SUBSTITUTE(TRIM($W129),"-",""),".",""),"/","")," ",""),8),5,2),--MID(LEFT(SUBSTITUTE(SUBSTITUTE(SUBSTITUTE(SUBSTITUTE(TRIM($W129),"-",""),".",""),"/","")," ",""),8),7,2)),"")))</f>
        <v/>
      </c>
      <c r="Y129" s="32">
        <f>IF($X129="","",INT($X129))</f>
        <v/>
      </c>
      <c r="Z129" s="33">
        <f>IF(OR($Y129="",$D$6=""),"",IF(INDEX($A:$U,ROW(),$D$6)="",0,IF(ISNUMBER(INDEX($A:$U,ROW(),$D$6)),INDEX($A:$U,ROW(),$D$6),IFERROR(--SUBSTITUTE(SUBSTITUTE(TRIM(INDEX($A:$U,ROW(),$D$6)),",",""),"원",""),0))))</f>
        <v/>
      </c>
      <c r="AA129" s="31">
        <f>IF($Y129="","",TRIM(INDEX($A:$U,ROW(),$E$6)&amp;IF($F$6="",""," "&amp;INDEX($A:$U,ROW(),$F$6))))</f>
        <v/>
      </c>
      <c r="AB129" s="31">
        <f>IF($AA129="","",SUBSTITUTE(SUBSTITUTE(SUBSTITUTE(SUBSTITUTE(SUBSTITUTE(SUBSTITUTE(SUBSTITUTE(SUBSTITUTE(SUBSTITUTE($AA129," ",""),"　",""),"(주)",""),"（주）",""),"㈜",""),"주식회사",""),"(유)",""),"（유）",""),"유한회사",""))</f>
        <v/>
      </c>
      <c r="AC129" s="31">
        <f>IF(OR($Y129="",N($Z129)&lt;=0,$AB129=""),0,IFERROR(LOOKUP(2,1/((거래처별!$AC$8:$AC$307&lt;&gt;"")*ISNUMBER(SEARCH(거래처별!$AC$8:$AC$307,$AB129))),거래처별!$A$8:$A$307),IFERROR(LOOKUP(2,1/((거래처별!$AD$8:$AD$307&lt;&gt;"")*ISNUMBER(SEARCH(거래처별!$AD$8:$AD$307,$AB129))),거래처별!$A$8:$A$307),IFERROR(LOOKUP(2,1/((거래처별!$AE$8:$AE$307&lt;&gt;"")*ISNUMBER(SEARCH(거래처별!$AE$8:$AE$307,$AB129))),거래처별!$A$8:$A$307),0))))</f>
        <v/>
      </c>
      <c r="AD129" s="31">
        <f>IF(AND($Y129&lt;&gt;"",N($Z129)&gt;0,$AC129=0),MAX($AD$7:$AD128)+1,"")</f>
        <v/>
      </c>
      <c r="AE129" s="31">
        <f>IF($Y129="",0,$Y129)</f>
        <v/>
      </c>
    </row>
    <row r="130">
      <c r="W130" s="31">
        <f>IF(OR($B$5="",$C$6="",ROW()&lt;$B$5),"",IF(INDEX($A:$U,ROW(),$C$6)="","",INDEX($A:$U,ROW(),$C$6)))</f>
        <v/>
      </c>
      <c r="X130" s="32">
        <f>IF($W130="","",IF(ISNUMBER($W130),IF($W130&gt;=10000000,IFERROR(DATE(INT($W130/10000),MOD(INT($W130/100),100),MOD($W130,100)),""),INT($W130)),IFERROR(DATE(--LEFT(LEFT(SUBSTITUTE(SUBSTITUTE(SUBSTITUTE(SUBSTITUTE(TRIM($W130),"-",""),".",""),"/","")," ",""),8),4),--MID(LEFT(SUBSTITUTE(SUBSTITUTE(SUBSTITUTE(SUBSTITUTE(TRIM($W130),"-",""),".",""),"/","")," ",""),8),5,2),--MID(LEFT(SUBSTITUTE(SUBSTITUTE(SUBSTITUTE(SUBSTITUTE(TRIM($W130),"-",""),".",""),"/","")," ",""),8),7,2)),"")))</f>
        <v/>
      </c>
      <c r="Y130" s="32">
        <f>IF($X130="","",INT($X130))</f>
        <v/>
      </c>
      <c r="Z130" s="33">
        <f>IF(OR($Y130="",$D$6=""),"",IF(INDEX($A:$U,ROW(),$D$6)="",0,IF(ISNUMBER(INDEX($A:$U,ROW(),$D$6)),INDEX($A:$U,ROW(),$D$6),IFERROR(--SUBSTITUTE(SUBSTITUTE(TRIM(INDEX($A:$U,ROW(),$D$6)),",",""),"원",""),0))))</f>
        <v/>
      </c>
      <c r="AA130" s="31">
        <f>IF($Y130="","",TRIM(INDEX($A:$U,ROW(),$E$6)&amp;IF($F$6="",""," "&amp;INDEX($A:$U,ROW(),$F$6))))</f>
        <v/>
      </c>
      <c r="AB130" s="31">
        <f>IF($AA130="","",SUBSTITUTE(SUBSTITUTE(SUBSTITUTE(SUBSTITUTE(SUBSTITUTE(SUBSTITUTE(SUBSTITUTE(SUBSTITUTE(SUBSTITUTE($AA130," ",""),"　",""),"(주)",""),"（주）",""),"㈜",""),"주식회사",""),"(유)",""),"（유）",""),"유한회사",""))</f>
        <v/>
      </c>
      <c r="AC130" s="31">
        <f>IF(OR($Y130="",N($Z130)&lt;=0,$AB130=""),0,IFERROR(LOOKUP(2,1/((거래처별!$AC$8:$AC$307&lt;&gt;"")*ISNUMBER(SEARCH(거래처별!$AC$8:$AC$307,$AB130))),거래처별!$A$8:$A$307),IFERROR(LOOKUP(2,1/((거래처별!$AD$8:$AD$307&lt;&gt;"")*ISNUMBER(SEARCH(거래처별!$AD$8:$AD$307,$AB130))),거래처별!$A$8:$A$307),IFERROR(LOOKUP(2,1/((거래처별!$AE$8:$AE$307&lt;&gt;"")*ISNUMBER(SEARCH(거래처별!$AE$8:$AE$307,$AB130))),거래처별!$A$8:$A$307),0))))</f>
        <v/>
      </c>
      <c r="AD130" s="31">
        <f>IF(AND($Y130&lt;&gt;"",N($Z130)&gt;0,$AC130=0),MAX($AD$7:$AD129)+1,"")</f>
        <v/>
      </c>
      <c r="AE130" s="31">
        <f>IF($Y130="",0,$Y130)</f>
        <v/>
      </c>
    </row>
    <row r="131">
      <c r="W131" s="31">
        <f>IF(OR($B$5="",$C$6="",ROW()&lt;$B$5),"",IF(INDEX($A:$U,ROW(),$C$6)="","",INDEX($A:$U,ROW(),$C$6)))</f>
        <v/>
      </c>
      <c r="X131" s="32">
        <f>IF($W131="","",IF(ISNUMBER($W131),IF($W131&gt;=10000000,IFERROR(DATE(INT($W131/10000),MOD(INT($W131/100),100),MOD($W131,100)),""),INT($W131)),IFERROR(DATE(--LEFT(LEFT(SUBSTITUTE(SUBSTITUTE(SUBSTITUTE(SUBSTITUTE(TRIM($W131),"-",""),".",""),"/","")," ",""),8),4),--MID(LEFT(SUBSTITUTE(SUBSTITUTE(SUBSTITUTE(SUBSTITUTE(TRIM($W131),"-",""),".",""),"/","")," ",""),8),5,2),--MID(LEFT(SUBSTITUTE(SUBSTITUTE(SUBSTITUTE(SUBSTITUTE(TRIM($W131),"-",""),".",""),"/","")," ",""),8),7,2)),"")))</f>
        <v/>
      </c>
      <c r="Y131" s="32">
        <f>IF($X131="","",INT($X131))</f>
        <v/>
      </c>
      <c r="Z131" s="33">
        <f>IF(OR($Y131="",$D$6=""),"",IF(INDEX($A:$U,ROW(),$D$6)="",0,IF(ISNUMBER(INDEX($A:$U,ROW(),$D$6)),INDEX($A:$U,ROW(),$D$6),IFERROR(--SUBSTITUTE(SUBSTITUTE(TRIM(INDEX($A:$U,ROW(),$D$6)),",",""),"원",""),0))))</f>
        <v/>
      </c>
      <c r="AA131" s="31">
        <f>IF($Y131="","",TRIM(INDEX($A:$U,ROW(),$E$6)&amp;IF($F$6="",""," "&amp;INDEX($A:$U,ROW(),$F$6))))</f>
        <v/>
      </c>
      <c r="AB131" s="31">
        <f>IF($AA131="","",SUBSTITUTE(SUBSTITUTE(SUBSTITUTE(SUBSTITUTE(SUBSTITUTE(SUBSTITUTE(SUBSTITUTE(SUBSTITUTE(SUBSTITUTE($AA131," ",""),"　",""),"(주)",""),"（주）",""),"㈜",""),"주식회사",""),"(유)",""),"（유）",""),"유한회사",""))</f>
        <v/>
      </c>
      <c r="AC131" s="31">
        <f>IF(OR($Y131="",N($Z131)&lt;=0,$AB131=""),0,IFERROR(LOOKUP(2,1/((거래처별!$AC$8:$AC$307&lt;&gt;"")*ISNUMBER(SEARCH(거래처별!$AC$8:$AC$307,$AB131))),거래처별!$A$8:$A$307),IFERROR(LOOKUP(2,1/((거래처별!$AD$8:$AD$307&lt;&gt;"")*ISNUMBER(SEARCH(거래처별!$AD$8:$AD$307,$AB131))),거래처별!$A$8:$A$307),IFERROR(LOOKUP(2,1/((거래처별!$AE$8:$AE$307&lt;&gt;"")*ISNUMBER(SEARCH(거래처별!$AE$8:$AE$307,$AB131))),거래처별!$A$8:$A$307),0))))</f>
        <v/>
      </c>
      <c r="AD131" s="31">
        <f>IF(AND($Y131&lt;&gt;"",N($Z131)&gt;0,$AC131=0),MAX($AD$7:$AD130)+1,"")</f>
        <v/>
      </c>
      <c r="AE131" s="31">
        <f>IF($Y131="",0,$Y131)</f>
        <v/>
      </c>
    </row>
    <row r="132">
      <c r="W132" s="31">
        <f>IF(OR($B$5="",$C$6="",ROW()&lt;$B$5),"",IF(INDEX($A:$U,ROW(),$C$6)="","",INDEX($A:$U,ROW(),$C$6)))</f>
        <v/>
      </c>
      <c r="X132" s="32">
        <f>IF($W132="","",IF(ISNUMBER($W132),IF($W132&gt;=10000000,IFERROR(DATE(INT($W132/10000),MOD(INT($W132/100),100),MOD($W132,100)),""),INT($W132)),IFERROR(DATE(--LEFT(LEFT(SUBSTITUTE(SUBSTITUTE(SUBSTITUTE(SUBSTITUTE(TRIM($W132),"-",""),".",""),"/","")," ",""),8),4),--MID(LEFT(SUBSTITUTE(SUBSTITUTE(SUBSTITUTE(SUBSTITUTE(TRIM($W132),"-",""),".",""),"/","")," ",""),8),5,2),--MID(LEFT(SUBSTITUTE(SUBSTITUTE(SUBSTITUTE(SUBSTITUTE(TRIM($W132),"-",""),".",""),"/","")," ",""),8),7,2)),"")))</f>
        <v/>
      </c>
      <c r="Y132" s="32">
        <f>IF($X132="","",INT($X132))</f>
        <v/>
      </c>
      <c r="Z132" s="33">
        <f>IF(OR($Y132="",$D$6=""),"",IF(INDEX($A:$U,ROW(),$D$6)="",0,IF(ISNUMBER(INDEX($A:$U,ROW(),$D$6)),INDEX($A:$U,ROW(),$D$6),IFERROR(--SUBSTITUTE(SUBSTITUTE(TRIM(INDEX($A:$U,ROW(),$D$6)),",",""),"원",""),0))))</f>
        <v/>
      </c>
      <c r="AA132" s="31">
        <f>IF($Y132="","",TRIM(INDEX($A:$U,ROW(),$E$6)&amp;IF($F$6="",""," "&amp;INDEX($A:$U,ROW(),$F$6))))</f>
        <v/>
      </c>
      <c r="AB132" s="31">
        <f>IF($AA132="","",SUBSTITUTE(SUBSTITUTE(SUBSTITUTE(SUBSTITUTE(SUBSTITUTE(SUBSTITUTE(SUBSTITUTE(SUBSTITUTE(SUBSTITUTE($AA132," ",""),"　",""),"(주)",""),"（주）",""),"㈜",""),"주식회사",""),"(유)",""),"（유）",""),"유한회사",""))</f>
        <v/>
      </c>
      <c r="AC132" s="31">
        <f>IF(OR($Y132="",N($Z132)&lt;=0,$AB132=""),0,IFERROR(LOOKUP(2,1/((거래처별!$AC$8:$AC$307&lt;&gt;"")*ISNUMBER(SEARCH(거래처별!$AC$8:$AC$307,$AB132))),거래처별!$A$8:$A$307),IFERROR(LOOKUP(2,1/((거래처별!$AD$8:$AD$307&lt;&gt;"")*ISNUMBER(SEARCH(거래처별!$AD$8:$AD$307,$AB132))),거래처별!$A$8:$A$307),IFERROR(LOOKUP(2,1/((거래처별!$AE$8:$AE$307&lt;&gt;"")*ISNUMBER(SEARCH(거래처별!$AE$8:$AE$307,$AB132))),거래처별!$A$8:$A$307),0))))</f>
        <v/>
      </c>
      <c r="AD132" s="31">
        <f>IF(AND($Y132&lt;&gt;"",N($Z132)&gt;0,$AC132=0),MAX($AD$7:$AD131)+1,"")</f>
        <v/>
      </c>
      <c r="AE132" s="31">
        <f>IF($Y132="",0,$Y132)</f>
        <v/>
      </c>
    </row>
    <row r="133">
      <c r="W133" s="31">
        <f>IF(OR($B$5="",$C$6="",ROW()&lt;$B$5),"",IF(INDEX($A:$U,ROW(),$C$6)="","",INDEX($A:$U,ROW(),$C$6)))</f>
        <v/>
      </c>
      <c r="X133" s="32">
        <f>IF($W133="","",IF(ISNUMBER($W133),IF($W133&gt;=10000000,IFERROR(DATE(INT($W133/10000),MOD(INT($W133/100),100),MOD($W133,100)),""),INT($W133)),IFERROR(DATE(--LEFT(LEFT(SUBSTITUTE(SUBSTITUTE(SUBSTITUTE(SUBSTITUTE(TRIM($W133),"-",""),".",""),"/","")," ",""),8),4),--MID(LEFT(SUBSTITUTE(SUBSTITUTE(SUBSTITUTE(SUBSTITUTE(TRIM($W133),"-",""),".",""),"/","")," ",""),8),5,2),--MID(LEFT(SUBSTITUTE(SUBSTITUTE(SUBSTITUTE(SUBSTITUTE(TRIM($W133),"-",""),".",""),"/","")," ",""),8),7,2)),"")))</f>
        <v/>
      </c>
      <c r="Y133" s="32">
        <f>IF($X133="","",INT($X133))</f>
        <v/>
      </c>
      <c r="Z133" s="33">
        <f>IF(OR($Y133="",$D$6=""),"",IF(INDEX($A:$U,ROW(),$D$6)="",0,IF(ISNUMBER(INDEX($A:$U,ROW(),$D$6)),INDEX($A:$U,ROW(),$D$6),IFERROR(--SUBSTITUTE(SUBSTITUTE(TRIM(INDEX($A:$U,ROW(),$D$6)),",",""),"원",""),0))))</f>
        <v/>
      </c>
      <c r="AA133" s="31">
        <f>IF($Y133="","",TRIM(INDEX($A:$U,ROW(),$E$6)&amp;IF($F$6="",""," "&amp;INDEX($A:$U,ROW(),$F$6))))</f>
        <v/>
      </c>
      <c r="AB133" s="31">
        <f>IF($AA133="","",SUBSTITUTE(SUBSTITUTE(SUBSTITUTE(SUBSTITUTE(SUBSTITUTE(SUBSTITUTE(SUBSTITUTE(SUBSTITUTE(SUBSTITUTE($AA133," ",""),"　",""),"(주)",""),"（주）",""),"㈜",""),"주식회사",""),"(유)",""),"（유）",""),"유한회사",""))</f>
        <v/>
      </c>
      <c r="AC133" s="31">
        <f>IF(OR($Y133="",N($Z133)&lt;=0,$AB133=""),0,IFERROR(LOOKUP(2,1/((거래처별!$AC$8:$AC$307&lt;&gt;"")*ISNUMBER(SEARCH(거래처별!$AC$8:$AC$307,$AB133))),거래처별!$A$8:$A$307),IFERROR(LOOKUP(2,1/((거래처별!$AD$8:$AD$307&lt;&gt;"")*ISNUMBER(SEARCH(거래처별!$AD$8:$AD$307,$AB133))),거래처별!$A$8:$A$307),IFERROR(LOOKUP(2,1/((거래처별!$AE$8:$AE$307&lt;&gt;"")*ISNUMBER(SEARCH(거래처별!$AE$8:$AE$307,$AB133))),거래처별!$A$8:$A$307),0))))</f>
        <v/>
      </c>
      <c r="AD133" s="31">
        <f>IF(AND($Y133&lt;&gt;"",N($Z133)&gt;0,$AC133=0),MAX($AD$7:$AD132)+1,"")</f>
        <v/>
      </c>
      <c r="AE133" s="31">
        <f>IF($Y133="",0,$Y133)</f>
        <v/>
      </c>
    </row>
    <row r="134">
      <c r="W134" s="31">
        <f>IF(OR($B$5="",$C$6="",ROW()&lt;$B$5),"",IF(INDEX($A:$U,ROW(),$C$6)="","",INDEX($A:$U,ROW(),$C$6)))</f>
        <v/>
      </c>
      <c r="X134" s="32">
        <f>IF($W134="","",IF(ISNUMBER($W134),IF($W134&gt;=10000000,IFERROR(DATE(INT($W134/10000),MOD(INT($W134/100),100),MOD($W134,100)),""),INT($W134)),IFERROR(DATE(--LEFT(LEFT(SUBSTITUTE(SUBSTITUTE(SUBSTITUTE(SUBSTITUTE(TRIM($W134),"-",""),".",""),"/","")," ",""),8),4),--MID(LEFT(SUBSTITUTE(SUBSTITUTE(SUBSTITUTE(SUBSTITUTE(TRIM($W134),"-",""),".",""),"/","")," ",""),8),5,2),--MID(LEFT(SUBSTITUTE(SUBSTITUTE(SUBSTITUTE(SUBSTITUTE(TRIM($W134),"-",""),".",""),"/","")," ",""),8),7,2)),"")))</f>
        <v/>
      </c>
      <c r="Y134" s="32">
        <f>IF($X134="","",INT($X134))</f>
        <v/>
      </c>
      <c r="Z134" s="33">
        <f>IF(OR($Y134="",$D$6=""),"",IF(INDEX($A:$U,ROW(),$D$6)="",0,IF(ISNUMBER(INDEX($A:$U,ROW(),$D$6)),INDEX($A:$U,ROW(),$D$6),IFERROR(--SUBSTITUTE(SUBSTITUTE(TRIM(INDEX($A:$U,ROW(),$D$6)),",",""),"원",""),0))))</f>
        <v/>
      </c>
      <c r="AA134" s="31">
        <f>IF($Y134="","",TRIM(INDEX($A:$U,ROW(),$E$6)&amp;IF($F$6="",""," "&amp;INDEX($A:$U,ROW(),$F$6))))</f>
        <v/>
      </c>
      <c r="AB134" s="31">
        <f>IF($AA134="","",SUBSTITUTE(SUBSTITUTE(SUBSTITUTE(SUBSTITUTE(SUBSTITUTE(SUBSTITUTE(SUBSTITUTE(SUBSTITUTE(SUBSTITUTE($AA134," ",""),"　",""),"(주)",""),"（주）",""),"㈜",""),"주식회사",""),"(유)",""),"（유）",""),"유한회사",""))</f>
        <v/>
      </c>
      <c r="AC134" s="31">
        <f>IF(OR($Y134="",N($Z134)&lt;=0,$AB134=""),0,IFERROR(LOOKUP(2,1/((거래처별!$AC$8:$AC$307&lt;&gt;"")*ISNUMBER(SEARCH(거래처별!$AC$8:$AC$307,$AB134))),거래처별!$A$8:$A$307),IFERROR(LOOKUP(2,1/((거래처별!$AD$8:$AD$307&lt;&gt;"")*ISNUMBER(SEARCH(거래처별!$AD$8:$AD$307,$AB134))),거래처별!$A$8:$A$307),IFERROR(LOOKUP(2,1/((거래처별!$AE$8:$AE$307&lt;&gt;"")*ISNUMBER(SEARCH(거래처별!$AE$8:$AE$307,$AB134))),거래처별!$A$8:$A$307),0))))</f>
        <v/>
      </c>
      <c r="AD134" s="31">
        <f>IF(AND($Y134&lt;&gt;"",N($Z134)&gt;0,$AC134=0),MAX($AD$7:$AD133)+1,"")</f>
        <v/>
      </c>
      <c r="AE134" s="31">
        <f>IF($Y134="",0,$Y134)</f>
        <v/>
      </c>
    </row>
    <row r="135">
      <c r="W135" s="31">
        <f>IF(OR($B$5="",$C$6="",ROW()&lt;$B$5),"",IF(INDEX($A:$U,ROW(),$C$6)="","",INDEX($A:$U,ROW(),$C$6)))</f>
        <v/>
      </c>
      <c r="X135" s="32">
        <f>IF($W135="","",IF(ISNUMBER($W135),IF($W135&gt;=10000000,IFERROR(DATE(INT($W135/10000),MOD(INT($W135/100),100),MOD($W135,100)),""),INT($W135)),IFERROR(DATE(--LEFT(LEFT(SUBSTITUTE(SUBSTITUTE(SUBSTITUTE(SUBSTITUTE(TRIM($W135),"-",""),".",""),"/","")," ",""),8),4),--MID(LEFT(SUBSTITUTE(SUBSTITUTE(SUBSTITUTE(SUBSTITUTE(TRIM($W135),"-",""),".",""),"/","")," ",""),8),5,2),--MID(LEFT(SUBSTITUTE(SUBSTITUTE(SUBSTITUTE(SUBSTITUTE(TRIM($W135),"-",""),".",""),"/","")," ",""),8),7,2)),"")))</f>
        <v/>
      </c>
      <c r="Y135" s="32">
        <f>IF($X135="","",INT($X135))</f>
        <v/>
      </c>
      <c r="Z135" s="33">
        <f>IF(OR($Y135="",$D$6=""),"",IF(INDEX($A:$U,ROW(),$D$6)="",0,IF(ISNUMBER(INDEX($A:$U,ROW(),$D$6)),INDEX($A:$U,ROW(),$D$6),IFERROR(--SUBSTITUTE(SUBSTITUTE(TRIM(INDEX($A:$U,ROW(),$D$6)),",",""),"원",""),0))))</f>
        <v/>
      </c>
      <c r="AA135" s="31">
        <f>IF($Y135="","",TRIM(INDEX($A:$U,ROW(),$E$6)&amp;IF($F$6="",""," "&amp;INDEX($A:$U,ROW(),$F$6))))</f>
        <v/>
      </c>
      <c r="AB135" s="31">
        <f>IF($AA135="","",SUBSTITUTE(SUBSTITUTE(SUBSTITUTE(SUBSTITUTE(SUBSTITUTE(SUBSTITUTE(SUBSTITUTE(SUBSTITUTE(SUBSTITUTE($AA135," ",""),"　",""),"(주)",""),"（주）",""),"㈜",""),"주식회사",""),"(유)",""),"（유）",""),"유한회사",""))</f>
        <v/>
      </c>
      <c r="AC135" s="31">
        <f>IF(OR($Y135="",N($Z135)&lt;=0,$AB135=""),0,IFERROR(LOOKUP(2,1/((거래처별!$AC$8:$AC$307&lt;&gt;"")*ISNUMBER(SEARCH(거래처별!$AC$8:$AC$307,$AB135))),거래처별!$A$8:$A$307),IFERROR(LOOKUP(2,1/((거래처별!$AD$8:$AD$307&lt;&gt;"")*ISNUMBER(SEARCH(거래처별!$AD$8:$AD$307,$AB135))),거래처별!$A$8:$A$307),IFERROR(LOOKUP(2,1/((거래처별!$AE$8:$AE$307&lt;&gt;"")*ISNUMBER(SEARCH(거래처별!$AE$8:$AE$307,$AB135))),거래처별!$A$8:$A$307),0))))</f>
        <v/>
      </c>
      <c r="AD135" s="31">
        <f>IF(AND($Y135&lt;&gt;"",N($Z135)&gt;0,$AC135=0),MAX($AD$7:$AD134)+1,"")</f>
        <v/>
      </c>
      <c r="AE135" s="31">
        <f>IF($Y135="",0,$Y135)</f>
        <v/>
      </c>
    </row>
    <row r="136">
      <c r="W136" s="31">
        <f>IF(OR($B$5="",$C$6="",ROW()&lt;$B$5),"",IF(INDEX($A:$U,ROW(),$C$6)="","",INDEX($A:$U,ROW(),$C$6)))</f>
        <v/>
      </c>
      <c r="X136" s="32">
        <f>IF($W136="","",IF(ISNUMBER($W136),IF($W136&gt;=10000000,IFERROR(DATE(INT($W136/10000),MOD(INT($W136/100),100),MOD($W136,100)),""),INT($W136)),IFERROR(DATE(--LEFT(LEFT(SUBSTITUTE(SUBSTITUTE(SUBSTITUTE(SUBSTITUTE(TRIM($W136),"-",""),".",""),"/","")," ",""),8),4),--MID(LEFT(SUBSTITUTE(SUBSTITUTE(SUBSTITUTE(SUBSTITUTE(TRIM($W136),"-",""),".",""),"/","")," ",""),8),5,2),--MID(LEFT(SUBSTITUTE(SUBSTITUTE(SUBSTITUTE(SUBSTITUTE(TRIM($W136),"-",""),".",""),"/","")," ",""),8),7,2)),"")))</f>
        <v/>
      </c>
      <c r="Y136" s="32">
        <f>IF($X136="","",INT($X136))</f>
        <v/>
      </c>
      <c r="Z136" s="33">
        <f>IF(OR($Y136="",$D$6=""),"",IF(INDEX($A:$U,ROW(),$D$6)="",0,IF(ISNUMBER(INDEX($A:$U,ROW(),$D$6)),INDEX($A:$U,ROW(),$D$6),IFERROR(--SUBSTITUTE(SUBSTITUTE(TRIM(INDEX($A:$U,ROW(),$D$6)),",",""),"원",""),0))))</f>
        <v/>
      </c>
      <c r="AA136" s="31">
        <f>IF($Y136="","",TRIM(INDEX($A:$U,ROW(),$E$6)&amp;IF($F$6="",""," "&amp;INDEX($A:$U,ROW(),$F$6))))</f>
        <v/>
      </c>
      <c r="AB136" s="31">
        <f>IF($AA136="","",SUBSTITUTE(SUBSTITUTE(SUBSTITUTE(SUBSTITUTE(SUBSTITUTE(SUBSTITUTE(SUBSTITUTE(SUBSTITUTE(SUBSTITUTE($AA136," ",""),"　",""),"(주)",""),"（주）",""),"㈜",""),"주식회사",""),"(유)",""),"（유）",""),"유한회사",""))</f>
        <v/>
      </c>
      <c r="AC136" s="31">
        <f>IF(OR($Y136="",N($Z136)&lt;=0,$AB136=""),0,IFERROR(LOOKUP(2,1/((거래처별!$AC$8:$AC$307&lt;&gt;"")*ISNUMBER(SEARCH(거래처별!$AC$8:$AC$307,$AB136))),거래처별!$A$8:$A$307),IFERROR(LOOKUP(2,1/((거래처별!$AD$8:$AD$307&lt;&gt;"")*ISNUMBER(SEARCH(거래처별!$AD$8:$AD$307,$AB136))),거래처별!$A$8:$A$307),IFERROR(LOOKUP(2,1/((거래처별!$AE$8:$AE$307&lt;&gt;"")*ISNUMBER(SEARCH(거래처별!$AE$8:$AE$307,$AB136))),거래처별!$A$8:$A$307),0))))</f>
        <v/>
      </c>
      <c r="AD136" s="31">
        <f>IF(AND($Y136&lt;&gt;"",N($Z136)&gt;0,$AC136=0),MAX($AD$7:$AD135)+1,"")</f>
        <v/>
      </c>
      <c r="AE136" s="31">
        <f>IF($Y136="",0,$Y136)</f>
        <v/>
      </c>
    </row>
    <row r="137">
      <c r="W137" s="31">
        <f>IF(OR($B$5="",$C$6="",ROW()&lt;$B$5),"",IF(INDEX($A:$U,ROW(),$C$6)="","",INDEX($A:$U,ROW(),$C$6)))</f>
        <v/>
      </c>
      <c r="X137" s="32">
        <f>IF($W137="","",IF(ISNUMBER($W137),IF($W137&gt;=10000000,IFERROR(DATE(INT($W137/10000),MOD(INT($W137/100),100),MOD($W137,100)),""),INT($W137)),IFERROR(DATE(--LEFT(LEFT(SUBSTITUTE(SUBSTITUTE(SUBSTITUTE(SUBSTITUTE(TRIM($W137),"-",""),".",""),"/","")," ",""),8),4),--MID(LEFT(SUBSTITUTE(SUBSTITUTE(SUBSTITUTE(SUBSTITUTE(TRIM($W137),"-",""),".",""),"/","")," ",""),8),5,2),--MID(LEFT(SUBSTITUTE(SUBSTITUTE(SUBSTITUTE(SUBSTITUTE(TRIM($W137),"-",""),".",""),"/","")," ",""),8),7,2)),"")))</f>
        <v/>
      </c>
      <c r="Y137" s="32">
        <f>IF($X137="","",INT($X137))</f>
        <v/>
      </c>
      <c r="Z137" s="33">
        <f>IF(OR($Y137="",$D$6=""),"",IF(INDEX($A:$U,ROW(),$D$6)="",0,IF(ISNUMBER(INDEX($A:$U,ROW(),$D$6)),INDEX($A:$U,ROW(),$D$6),IFERROR(--SUBSTITUTE(SUBSTITUTE(TRIM(INDEX($A:$U,ROW(),$D$6)),",",""),"원",""),0))))</f>
        <v/>
      </c>
      <c r="AA137" s="31">
        <f>IF($Y137="","",TRIM(INDEX($A:$U,ROW(),$E$6)&amp;IF($F$6="",""," "&amp;INDEX($A:$U,ROW(),$F$6))))</f>
        <v/>
      </c>
      <c r="AB137" s="31">
        <f>IF($AA137="","",SUBSTITUTE(SUBSTITUTE(SUBSTITUTE(SUBSTITUTE(SUBSTITUTE(SUBSTITUTE(SUBSTITUTE(SUBSTITUTE(SUBSTITUTE($AA137," ",""),"　",""),"(주)",""),"（주）",""),"㈜",""),"주식회사",""),"(유)",""),"（유）",""),"유한회사",""))</f>
        <v/>
      </c>
      <c r="AC137" s="31">
        <f>IF(OR($Y137="",N($Z137)&lt;=0,$AB137=""),0,IFERROR(LOOKUP(2,1/((거래처별!$AC$8:$AC$307&lt;&gt;"")*ISNUMBER(SEARCH(거래처별!$AC$8:$AC$307,$AB137))),거래처별!$A$8:$A$307),IFERROR(LOOKUP(2,1/((거래처별!$AD$8:$AD$307&lt;&gt;"")*ISNUMBER(SEARCH(거래처별!$AD$8:$AD$307,$AB137))),거래처별!$A$8:$A$307),IFERROR(LOOKUP(2,1/((거래처별!$AE$8:$AE$307&lt;&gt;"")*ISNUMBER(SEARCH(거래처별!$AE$8:$AE$307,$AB137))),거래처별!$A$8:$A$307),0))))</f>
        <v/>
      </c>
      <c r="AD137" s="31">
        <f>IF(AND($Y137&lt;&gt;"",N($Z137)&gt;0,$AC137=0),MAX($AD$7:$AD136)+1,"")</f>
        <v/>
      </c>
      <c r="AE137" s="31">
        <f>IF($Y137="",0,$Y137)</f>
        <v/>
      </c>
    </row>
    <row r="138">
      <c r="W138" s="31">
        <f>IF(OR($B$5="",$C$6="",ROW()&lt;$B$5),"",IF(INDEX($A:$U,ROW(),$C$6)="","",INDEX($A:$U,ROW(),$C$6)))</f>
        <v/>
      </c>
      <c r="X138" s="32">
        <f>IF($W138="","",IF(ISNUMBER($W138),IF($W138&gt;=10000000,IFERROR(DATE(INT($W138/10000),MOD(INT($W138/100),100),MOD($W138,100)),""),INT($W138)),IFERROR(DATE(--LEFT(LEFT(SUBSTITUTE(SUBSTITUTE(SUBSTITUTE(SUBSTITUTE(TRIM($W138),"-",""),".",""),"/","")," ",""),8),4),--MID(LEFT(SUBSTITUTE(SUBSTITUTE(SUBSTITUTE(SUBSTITUTE(TRIM($W138),"-",""),".",""),"/","")," ",""),8),5,2),--MID(LEFT(SUBSTITUTE(SUBSTITUTE(SUBSTITUTE(SUBSTITUTE(TRIM($W138),"-",""),".",""),"/","")," ",""),8),7,2)),"")))</f>
        <v/>
      </c>
      <c r="Y138" s="32">
        <f>IF($X138="","",INT($X138))</f>
        <v/>
      </c>
      <c r="Z138" s="33">
        <f>IF(OR($Y138="",$D$6=""),"",IF(INDEX($A:$U,ROW(),$D$6)="",0,IF(ISNUMBER(INDEX($A:$U,ROW(),$D$6)),INDEX($A:$U,ROW(),$D$6),IFERROR(--SUBSTITUTE(SUBSTITUTE(TRIM(INDEX($A:$U,ROW(),$D$6)),",",""),"원",""),0))))</f>
        <v/>
      </c>
      <c r="AA138" s="31">
        <f>IF($Y138="","",TRIM(INDEX($A:$U,ROW(),$E$6)&amp;IF($F$6="",""," "&amp;INDEX($A:$U,ROW(),$F$6))))</f>
        <v/>
      </c>
      <c r="AB138" s="31">
        <f>IF($AA138="","",SUBSTITUTE(SUBSTITUTE(SUBSTITUTE(SUBSTITUTE(SUBSTITUTE(SUBSTITUTE(SUBSTITUTE(SUBSTITUTE(SUBSTITUTE($AA138," ",""),"　",""),"(주)",""),"（주）",""),"㈜",""),"주식회사",""),"(유)",""),"（유）",""),"유한회사",""))</f>
        <v/>
      </c>
      <c r="AC138" s="31">
        <f>IF(OR($Y138="",N($Z138)&lt;=0,$AB138=""),0,IFERROR(LOOKUP(2,1/((거래처별!$AC$8:$AC$307&lt;&gt;"")*ISNUMBER(SEARCH(거래처별!$AC$8:$AC$307,$AB138))),거래처별!$A$8:$A$307),IFERROR(LOOKUP(2,1/((거래처별!$AD$8:$AD$307&lt;&gt;"")*ISNUMBER(SEARCH(거래처별!$AD$8:$AD$307,$AB138))),거래처별!$A$8:$A$307),IFERROR(LOOKUP(2,1/((거래처별!$AE$8:$AE$307&lt;&gt;"")*ISNUMBER(SEARCH(거래처별!$AE$8:$AE$307,$AB138))),거래처별!$A$8:$A$307),0))))</f>
        <v/>
      </c>
      <c r="AD138" s="31">
        <f>IF(AND($Y138&lt;&gt;"",N($Z138)&gt;0,$AC138=0),MAX($AD$7:$AD137)+1,"")</f>
        <v/>
      </c>
      <c r="AE138" s="31">
        <f>IF($Y138="",0,$Y138)</f>
        <v/>
      </c>
    </row>
    <row r="139">
      <c r="W139" s="31">
        <f>IF(OR($B$5="",$C$6="",ROW()&lt;$B$5),"",IF(INDEX($A:$U,ROW(),$C$6)="","",INDEX($A:$U,ROW(),$C$6)))</f>
        <v/>
      </c>
      <c r="X139" s="32">
        <f>IF($W139="","",IF(ISNUMBER($W139),IF($W139&gt;=10000000,IFERROR(DATE(INT($W139/10000),MOD(INT($W139/100),100),MOD($W139,100)),""),INT($W139)),IFERROR(DATE(--LEFT(LEFT(SUBSTITUTE(SUBSTITUTE(SUBSTITUTE(SUBSTITUTE(TRIM($W139),"-",""),".",""),"/","")," ",""),8),4),--MID(LEFT(SUBSTITUTE(SUBSTITUTE(SUBSTITUTE(SUBSTITUTE(TRIM($W139),"-",""),".",""),"/","")," ",""),8),5,2),--MID(LEFT(SUBSTITUTE(SUBSTITUTE(SUBSTITUTE(SUBSTITUTE(TRIM($W139),"-",""),".",""),"/","")," ",""),8),7,2)),"")))</f>
        <v/>
      </c>
      <c r="Y139" s="32">
        <f>IF($X139="","",INT($X139))</f>
        <v/>
      </c>
      <c r="Z139" s="33">
        <f>IF(OR($Y139="",$D$6=""),"",IF(INDEX($A:$U,ROW(),$D$6)="",0,IF(ISNUMBER(INDEX($A:$U,ROW(),$D$6)),INDEX($A:$U,ROW(),$D$6),IFERROR(--SUBSTITUTE(SUBSTITUTE(TRIM(INDEX($A:$U,ROW(),$D$6)),",",""),"원",""),0))))</f>
        <v/>
      </c>
      <c r="AA139" s="31">
        <f>IF($Y139="","",TRIM(INDEX($A:$U,ROW(),$E$6)&amp;IF($F$6="",""," "&amp;INDEX($A:$U,ROW(),$F$6))))</f>
        <v/>
      </c>
      <c r="AB139" s="31">
        <f>IF($AA139="","",SUBSTITUTE(SUBSTITUTE(SUBSTITUTE(SUBSTITUTE(SUBSTITUTE(SUBSTITUTE(SUBSTITUTE(SUBSTITUTE(SUBSTITUTE($AA139," ",""),"　",""),"(주)",""),"（주）",""),"㈜",""),"주식회사",""),"(유)",""),"（유）",""),"유한회사",""))</f>
        <v/>
      </c>
      <c r="AC139" s="31">
        <f>IF(OR($Y139="",N($Z139)&lt;=0,$AB139=""),0,IFERROR(LOOKUP(2,1/((거래처별!$AC$8:$AC$307&lt;&gt;"")*ISNUMBER(SEARCH(거래처별!$AC$8:$AC$307,$AB139))),거래처별!$A$8:$A$307),IFERROR(LOOKUP(2,1/((거래처별!$AD$8:$AD$307&lt;&gt;"")*ISNUMBER(SEARCH(거래처별!$AD$8:$AD$307,$AB139))),거래처별!$A$8:$A$307),IFERROR(LOOKUP(2,1/((거래처별!$AE$8:$AE$307&lt;&gt;"")*ISNUMBER(SEARCH(거래처별!$AE$8:$AE$307,$AB139))),거래처별!$A$8:$A$307),0))))</f>
        <v/>
      </c>
      <c r="AD139" s="31">
        <f>IF(AND($Y139&lt;&gt;"",N($Z139)&gt;0,$AC139=0),MAX($AD$7:$AD138)+1,"")</f>
        <v/>
      </c>
      <c r="AE139" s="31">
        <f>IF($Y139="",0,$Y139)</f>
        <v/>
      </c>
    </row>
    <row r="140">
      <c r="W140" s="31">
        <f>IF(OR($B$5="",$C$6="",ROW()&lt;$B$5),"",IF(INDEX($A:$U,ROW(),$C$6)="","",INDEX($A:$U,ROW(),$C$6)))</f>
        <v/>
      </c>
      <c r="X140" s="32">
        <f>IF($W140="","",IF(ISNUMBER($W140),IF($W140&gt;=10000000,IFERROR(DATE(INT($W140/10000),MOD(INT($W140/100),100),MOD($W140,100)),""),INT($W140)),IFERROR(DATE(--LEFT(LEFT(SUBSTITUTE(SUBSTITUTE(SUBSTITUTE(SUBSTITUTE(TRIM($W140),"-",""),".",""),"/","")," ",""),8),4),--MID(LEFT(SUBSTITUTE(SUBSTITUTE(SUBSTITUTE(SUBSTITUTE(TRIM($W140),"-",""),".",""),"/","")," ",""),8),5,2),--MID(LEFT(SUBSTITUTE(SUBSTITUTE(SUBSTITUTE(SUBSTITUTE(TRIM($W140),"-",""),".",""),"/","")," ",""),8),7,2)),"")))</f>
        <v/>
      </c>
      <c r="Y140" s="32">
        <f>IF($X140="","",INT($X140))</f>
        <v/>
      </c>
      <c r="Z140" s="33">
        <f>IF(OR($Y140="",$D$6=""),"",IF(INDEX($A:$U,ROW(),$D$6)="",0,IF(ISNUMBER(INDEX($A:$U,ROW(),$D$6)),INDEX($A:$U,ROW(),$D$6),IFERROR(--SUBSTITUTE(SUBSTITUTE(TRIM(INDEX($A:$U,ROW(),$D$6)),",",""),"원",""),0))))</f>
        <v/>
      </c>
      <c r="AA140" s="31">
        <f>IF($Y140="","",TRIM(INDEX($A:$U,ROW(),$E$6)&amp;IF($F$6="",""," "&amp;INDEX($A:$U,ROW(),$F$6))))</f>
        <v/>
      </c>
      <c r="AB140" s="31">
        <f>IF($AA140="","",SUBSTITUTE(SUBSTITUTE(SUBSTITUTE(SUBSTITUTE(SUBSTITUTE(SUBSTITUTE(SUBSTITUTE(SUBSTITUTE(SUBSTITUTE($AA140," ",""),"　",""),"(주)",""),"（주）",""),"㈜",""),"주식회사",""),"(유)",""),"（유）",""),"유한회사",""))</f>
        <v/>
      </c>
      <c r="AC140" s="31">
        <f>IF(OR($Y140="",N($Z140)&lt;=0,$AB140=""),0,IFERROR(LOOKUP(2,1/((거래처별!$AC$8:$AC$307&lt;&gt;"")*ISNUMBER(SEARCH(거래처별!$AC$8:$AC$307,$AB140))),거래처별!$A$8:$A$307),IFERROR(LOOKUP(2,1/((거래처별!$AD$8:$AD$307&lt;&gt;"")*ISNUMBER(SEARCH(거래처별!$AD$8:$AD$307,$AB140))),거래처별!$A$8:$A$307),IFERROR(LOOKUP(2,1/((거래처별!$AE$8:$AE$307&lt;&gt;"")*ISNUMBER(SEARCH(거래처별!$AE$8:$AE$307,$AB140))),거래처별!$A$8:$A$307),0))))</f>
        <v/>
      </c>
      <c r="AD140" s="31">
        <f>IF(AND($Y140&lt;&gt;"",N($Z140)&gt;0,$AC140=0),MAX($AD$7:$AD139)+1,"")</f>
        <v/>
      </c>
      <c r="AE140" s="31">
        <f>IF($Y140="",0,$Y140)</f>
        <v/>
      </c>
    </row>
    <row r="141">
      <c r="W141" s="31">
        <f>IF(OR($B$5="",$C$6="",ROW()&lt;$B$5),"",IF(INDEX($A:$U,ROW(),$C$6)="","",INDEX($A:$U,ROW(),$C$6)))</f>
        <v/>
      </c>
      <c r="X141" s="32">
        <f>IF($W141="","",IF(ISNUMBER($W141),IF($W141&gt;=10000000,IFERROR(DATE(INT($W141/10000),MOD(INT($W141/100),100),MOD($W141,100)),""),INT($W141)),IFERROR(DATE(--LEFT(LEFT(SUBSTITUTE(SUBSTITUTE(SUBSTITUTE(SUBSTITUTE(TRIM($W141),"-",""),".",""),"/","")," ",""),8),4),--MID(LEFT(SUBSTITUTE(SUBSTITUTE(SUBSTITUTE(SUBSTITUTE(TRIM($W141),"-",""),".",""),"/","")," ",""),8),5,2),--MID(LEFT(SUBSTITUTE(SUBSTITUTE(SUBSTITUTE(SUBSTITUTE(TRIM($W141),"-",""),".",""),"/","")," ",""),8),7,2)),"")))</f>
        <v/>
      </c>
      <c r="Y141" s="32">
        <f>IF($X141="","",INT($X141))</f>
        <v/>
      </c>
      <c r="Z141" s="33">
        <f>IF(OR($Y141="",$D$6=""),"",IF(INDEX($A:$U,ROW(),$D$6)="",0,IF(ISNUMBER(INDEX($A:$U,ROW(),$D$6)),INDEX($A:$U,ROW(),$D$6),IFERROR(--SUBSTITUTE(SUBSTITUTE(TRIM(INDEX($A:$U,ROW(),$D$6)),",",""),"원",""),0))))</f>
        <v/>
      </c>
      <c r="AA141" s="31">
        <f>IF($Y141="","",TRIM(INDEX($A:$U,ROW(),$E$6)&amp;IF($F$6="",""," "&amp;INDEX($A:$U,ROW(),$F$6))))</f>
        <v/>
      </c>
      <c r="AB141" s="31">
        <f>IF($AA141="","",SUBSTITUTE(SUBSTITUTE(SUBSTITUTE(SUBSTITUTE(SUBSTITUTE(SUBSTITUTE(SUBSTITUTE(SUBSTITUTE(SUBSTITUTE($AA141," ",""),"　",""),"(주)",""),"（주）",""),"㈜",""),"주식회사",""),"(유)",""),"（유）",""),"유한회사",""))</f>
        <v/>
      </c>
      <c r="AC141" s="31">
        <f>IF(OR($Y141="",N($Z141)&lt;=0,$AB141=""),0,IFERROR(LOOKUP(2,1/((거래처별!$AC$8:$AC$307&lt;&gt;"")*ISNUMBER(SEARCH(거래처별!$AC$8:$AC$307,$AB141))),거래처별!$A$8:$A$307),IFERROR(LOOKUP(2,1/((거래처별!$AD$8:$AD$307&lt;&gt;"")*ISNUMBER(SEARCH(거래처별!$AD$8:$AD$307,$AB141))),거래처별!$A$8:$A$307),IFERROR(LOOKUP(2,1/((거래처별!$AE$8:$AE$307&lt;&gt;"")*ISNUMBER(SEARCH(거래처별!$AE$8:$AE$307,$AB141))),거래처별!$A$8:$A$307),0))))</f>
        <v/>
      </c>
      <c r="AD141" s="31">
        <f>IF(AND($Y141&lt;&gt;"",N($Z141)&gt;0,$AC141=0),MAX($AD$7:$AD140)+1,"")</f>
        <v/>
      </c>
      <c r="AE141" s="31">
        <f>IF($Y141="",0,$Y141)</f>
        <v/>
      </c>
    </row>
    <row r="142">
      <c r="W142" s="31">
        <f>IF(OR($B$5="",$C$6="",ROW()&lt;$B$5),"",IF(INDEX($A:$U,ROW(),$C$6)="","",INDEX($A:$U,ROW(),$C$6)))</f>
        <v/>
      </c>
      <c r="X142" s="32">
        <f>IF($W142="","",IF(ISNUMBER($W142),IF($W142&gt;=10000000,IFERROR(DATE(INT($W142/10000),MOD(INT($W142/100),100),MOD($W142,100)),""),INT($W142)),IFERROR(DATE(--LEFT(LEFT(SUBSTITUTE(SUBSTITUTE(SUBSTITUTE(SUBSTITUTE(TRIM($W142),"-",""),".",""),"/","")," ",""),8),4),--MID(LEFT(SUBSTITUTE(SUBSTITUTE(SUBSTITUTE(SUBSTITUTE(TRIM($W142),"-",""),".",""),"/","")," ",""),8),5,2),--MID(LEFT(SUBSTITUTE(SUBSTITUTE(SUBSTITUTE(SUBSTITUTE(TRIM($W142),"-",""),".",""),"/","")," ",""),8),7,2)),"")))</f>
        <v/>
      </c>
      <c r="Y142" s="32">
        <f>IF($X142="","",INT($X142))</f>
        <v/>
      </c>
      <c r="Z142" s="33">
        <f>IF(OR($Y142="",$D$6=""),"",IF(INDEX($A:$U,ROW(),$D$6)="",0,IF(ISNUMBER(INDEX($A:$U,ROW(),$D$6)),INDEX($A:$U,ROW(),$D$6),IFERROR(--SUBSTITUTE(SUBSTITUTE(TRIM(INDEX($A:$U,ROW(),$D$6)),",",""),"원",""),0))))</f>
        <v/>
      </c>
      <c r="AA142" s="31">
        <f>IF($Y142="","",TRIM(INDEX($A:$U,ROW(),$E$6)&amp;IF($F$6="",""," "&amp;INDEX($A:$U,ROW(),$F$6))))</f>
        <v/>
      </c>
      <c r="AB142" s="31">
        <f>IF($AA142="","",SUBSTITUTE(SUBSTITUTE(SUBSTITUTE(SUBSTITUTE(SUBSTITUTE(SUBSTITUTE(SUBSTITUTE(SUBSTITUTE(SUBSTITUTE($AA142," ",""),"　",""),"(주)",""),"（주）",""),"㈜",""),"주식회사",""),"(유)",""),"（유）",""),"유한회사",""))</f>
        <v/>
      </c>
      <c r="AC142" s="31">
        <f>IF(OR($Y142="",N($Z142)&lt;=0,$AB142=""),0,IFERROR(LOOKUP(2,1/((거래처별!$AC$8:$AC$307&lt;&gt;"")*ISNUMBER(SEARCH(거래처별!$AC$8:$AC$307,$AB142))),거래처별!$A$8:$A$307),IFERROR(LOOKUP(2,1/((거래처별!$AD$8:$AD$307&lt;&gt;"")*ISNUMBER(SEARCH(거래처별!$AD$8:$AD$307,$AB142))),거래처별!$A$8:$A$307),IFERROR(LOOKUP(2,1/((거래처별!$AE$8:$AE$307&lt;&gt;"")*ISNUMBER(SEARCH(거래처별!$AE$8:$AE$307,$AB142))),거래처별!$A$8:$A$307),0))))</f>
        <v/>
      </c>
      <c r="AD142" s="31">
        <f>IF(AND($Y142&lt;&gt;"",N($Z142)&gt;0,$AC142=0),MAX($AD$7:$AD141)+1,"")</f>
        <v/>
      </c>
      <c r="AE142" s="31">
        <f>IF($Y142="",0,$Y142)</f>
        <v/>
      </c>
    </row>
    <row r="143">
      <c r="W143" s="31">
        <f>IF(OR($B$5="",$C$6="",ROW()&lt;$B$5),"",IF(INDEX($A:$U,ROW(),$C$6)="","",INDEX($A:$U,ROW(),$C$6)))</f>
        <v/>
      </c>
      <c r="X143" s="32">
        <f>IF($W143="","",IF(ISNUMBER($W143),IF($W143&gt;=10000000,IFERROR(DATE(INT($W143/10000),MOD(INT($W143/100),100),MOD($W143,100)),""),INT($W143)),IFERROR(DATE(--LEFT(LEFT(SUBSTITUTE(SUBSTITUTE(SUBSTITUTE(SUBSTITUTE(TRIM($W143),"-",""),".",""),"/","")," ",""),8),4),--MID(LEFT(SUBSTITUTE(SUBSTITUTE(SUBSTITUTE(SUBSTITUTE(TRIM($W143),"-",""),".",""),"/","")," ",""),8),5,2),--MID(LEFT(SUBSTITUTE(SUBSTITUTE(SUBSTITUTE(SUBSTITUTE(TRIM($W143),"-",""),".",""),"/","")," ",""),8),7,2)),"")))</f>
        <v/>
      </c>
      <c r="Y143" s="32">
        <f>IF($X143="","",INT($X143))</f>
        <v/>
      </c>
      <c r="Z143" s="33">
        <f>IF(OR($Y143="",$D$6=""),"",IF(INDEX($A:$U,ROW(),$D$6)="",0,IF(ISNUMBER(INDEX($A:$U,ROW(),$D$6)),INDEX($A:$U,ROW(),$D$6),IFERROR(--SUBSTITUTE(SUBSTITUTE(TRIM(INDEX($A:$U,ROW(),$D$6)),",",""),"원",""),0))))</f>
        <v/>
      </c>
      <c r="AA143" s="31">
        <f>IF($Y143="","",TRIM(INDEX($A:$U,ROW(),$E$6)&amp;IF($F$6="",""," "&amp;INDEX($A:$U,ROW(),$F$6))))</f>
        <v/>
      </c>
      <c r="AB143" s="31">
        <f>IF($AA143="","",SUBSTITUTE(SUBSTITUTE(SUBSTITUTE(SUBSTITUTE(SUBSTITUTE(SUBSTITUTE(SUBSTITUTE(SUBSTITUTE(SUBSTITUTE($AA143," ",""),"　",""),"(주)",""),"（주）",""),"㈜",""),"주식회사",""),"(유)",""),"（유）",""),"유한회사",""))</f>
        <v/>
      </c>
      <c r="AC143" s="31">
        <f>IF(OR($Y143="",N($Z143)&lt;=0,$AB143=""),0,IFERROR(LOOKUP(2,1/((거래처별!$AC$8:$AC$307&lt;&gt;"")*ISNUMBER(SEARCH(거래처별!$AC$8:$AC$307,$AB143))),거래처별!$A$8:$A$307),IFERROR(LOOKUP(2,1/((거래처별!$AD$8:$AD$307&lt;&gt;"")*ISNUMBER(SEARCH(거래처별!$AD$8:$AD$307,$AB143))),거래처별!$A$8:$A$307),IFERROR(LOOKUP(2,1/((거래처별!$AE$8:$AE$307&lt;&gt;"")*ISNUMBER(SEARCH(거래처별!$AE$8:$AE$307,$AB143))),거래처별!$A$8:$A$307),0))))</f>
        <v/>
      </c>
      <c r="AD143" s="31">
        <f>IF(AND($Y143&lt;&gt;"",N($Z143)&gt;0,$AC143=0),MAX($AD$7:$AD142)+1,"")</f>
        <v/>
      </c>
      <c r="AE143" s="31">
        <f>IF($Y143="",0,$Y143)</f>
        <v/>
      </c>
    </row>
    <row r="144">
      <c r="W144" s="31">
        <f>IF(OR($B$5="",$C$6="",ROW()&lt;$B$5),"",IF(INDEX($A:$U,ROW(),$C$6)="","",INDEX($A:$U,ROW(),$C$6)))</f>
        <v/>
      </c>
      <c r="X144" s="32">
        <f>IF($W144="","",IF(ISNUMBER($W144),IF($W144&gt;=10000000,IFERROR(DATE(INT($W144/10000),MOD(INT($W144/100),100),MOD($W144,100)),""),INT($W144)),IFERROR(DATE(--LEFT(LEFT(SUBSTITUTE(SUBSTITUTE(SUBSTITUTE(SUBSTITUTE(TRIM($W144),"-",""),".",""),"/","")," ",""),8),4),--MID(LEFT(SUBSTITUTE(SUBSTITUTE(SUBSTITUTE(SUBSTITUTE(TRIM($W144),"-",""),".",""),"/","")," ",""),8),5,2),--MID(LEFT(SUBSTITUTE(SUBSTITUTE(SUBSTITUTE(SUBSTITUTE(TRIM($W144),"-",""),".",""),"/","")," ",""),8),7,2)),"")))</f>
        <v/>
      </c>
      <c r="Y144" s="32">
        <f>IF($X144="","",INT($X144))</f>
        <v/>
      </c>
      <c r="Z144" s="33">
        <f>IF(OR($Y144="",$D$6=""),"",IF(INDEX($A:$U,ROW(),$D$6)="",0,IF(ISNUMBER(INDEX($A:$U,ROW(),$D$6)),INDEX($A:$U,ROW(),$D$6),IFERROR(--SUBSTITUTE(SUBSTITUTE(TRIM(INDEX($A:$U,ROW(),$D$6)),",",""),"원",""),0))))</f>
        <v/>
      </c>
      <c r="AA144" s="31">
        <f>IF($Y144="","",TRIM(INDEX($A:$U,ROW(),$E$6)&amp;IF($F$6="",""," "&amp;INDEX($A:$U,ROW(),$F$6))))</f>
        <v/>
      </c>
      <c r="AB144" s="31">
        <f>IF($AA144="","",SUBSTITUTE(SUBSTITUTE(SUBSTITUTE(SUBSTITUTE(SUBSTITUTE(SUBSTITUTE(SUBSTITUTE(SUBSTITUTE(SUBSTITUTE($AA144," ",""),"　",""),"(주)",""),"（주）",""),"㈜",""),"주식회사",""),"(유)",""),"（유）",""),"유한회사",""))</f>
        <v/>
      </c>
      <c r="AC144" s="31">
        <f>IF(OR($Y144="",N($Z144)&lt;=0,$AB144=""),0,IFERROR(LOOKUP(2,1/((거래처별!$AC$8:$AC$307&lt;&gt;"")*ISNUMBER(SEARCH(거래처별!$AC$8:$AC$307,$AB144))),거래처별!$A$8:$A$307),IFERROR(LOOKUP(2,1/((거래처별!$AD$8:$AD$307&lt;&gt;"")*ISNUMBER(SEARCH(거래처별!$AD$8:$AD$307,$AB144))),거래처별!$A$8:$A$307),IFERROR(LOOKUP(2,1/((거래처별!$AE$8:$AE$307&lt;&gt;"")*ISNUMBER(SEARCH(거래처별!$AE$8:$AE$307,$AB144))),거래처별!$A$8:$A$307),0))))</f>
        <v/>
      </c>
      <c r="AD144" s="31">
        <f>IF(AND($Y144&lt;&gt;"",N($Z144)&gt;0,$AC144=0),MAX($AD$7:$AD143)+1,"")</f>
        <v/>
      </c>
      <c r="AE144" s="31">
        <f>IF($Y144="",0,$Y144)</f>
        <v/>
      </c>
    </row>
    <row r="145">
      <c r="W145" s="31">
        <f>IF(OR($B$5="",$C$6="",ROW()&lt;$B$5),"",IF(INDEX($A:$U,ROW(),$C$6)="","",INDEX($A:$U,ROW(),$C$6)))</f>
        <v/>
      </c>
      <c r="X145" s="32">
        <f>IF($W145="","",IF(ISNUMBER($W145),IF($W145&gt;=10000000,IFERROR(DATE(INT($W145/10000),MOD(INT($W145/100),100),MOD($W145,100)),""),INT($W145)),IFERROR(DATE(--LEFT(LEFT(SUBSTITUTE(SUBSTITUTE(SUBSTITUTE(SUBSTITUTE(TRIM($W145),"-",""),".",""),"/","")," ",""),8),4),--MID(LEFT(SUBSTITUTE(SUBSTITUTE(SUBSTITUTE(SUBSTITUTE(TRIM($W145),"-",""),".",""),"/","")," ",""),8),5,2),--MID(LEFT(SUBSTITUTE(SUBSTITUTE(SUBSTITUTE(SUBSTITUTE(TRIM($W145),"-",""),".",""),"/","")," ",""),8),7,2)),"")))</f>
        <v/>
      </c>
      <c r="Y145" s="32">
        <f>IF($X145="","",INT($X145))</f>
        <v/>
      </c>
      <c r="Z145" s="33">
        <f>IF(OR($Y145="",$D$6=""),"",IF(INDEX($A:$U,ROW(),$D$6)="",0,IF(ISNUMBER(INDEX($A:$U,ROW(),$D$6)),INDEX($A:$U,ROW(),$D$6),IFERROR(--SUBSTITUTE(SUBSTITUTE(TRIM(INDEX($A:$U,ROW(),$D$6)),",",""),"원",""),0))))</f>
        <v/>
      </c>
      <c r="AA145" s="31">
        <f>IF($Y145="","",TRIM(INDEX($A:$U,ROW(),$E$6)&amp;IF($F$6="",""," "&amp;INDEX($A:$U,ROW(),$F$6))))</f>
        <v/>
      </c>
      <c r="AB145" s="31">
        <f>IF($AA145="","",SUBSTITUTE(SUBSTITUTE(SUBSTITUTE(SUBSTITUTE(SUBSTITUTE(SUBSTITUTE(SUBSTITUTE(SUBSTITUTE(SUBSTITUTE($AA145," ",""),"　",""),"(주)",""),"（주）",""),"㈜",""),"주식회사",""),"(유)",""),"（유）",""),"유한회사",""))</f>
        <v/>
      </c>
      <c r="AC145" s="31">
        <f>IF(OR($Y145="",N($Z145)&lt;=0,$AB145=""),0,IFERROR(LOOKUP(2,1/((거래처별!$AC$8:$AC$307&lt;&gt;"")*ISNUMBER(SEARCH(거래처별!$AC$8:$AC$307,$AB145))),거래처별!$A$8:$A$307),IFERROR(LOOKUP(2,1/((거래처별!$AD$8:$AD$307&lt;&gt;"")*ISNUMBER(SEARCH(거래처별!$AD$8:$AD$307,$AB145))),거래처별!$A$8:$A$307),IFERROR(LOOKUP(2,1/((거래처별!$AE$8:$AE$307&lt;&gt;"")*ISNUMBER(SEARCH(거래처별!$AE$8:$AE$307,$AB145))),거래처별!$A$8:$A$307),0))))</f>
        <v/>
      </c>
      <c r="AD145" s="31">
        <f>IF(AND($Y145&lt;&gt;"",N($Z145)&gt;0,$AC145=0),MAX($AD$7:$AD144)+1,"")</f>
        <v/>
      </c>
      <c r="AE145" s="31">
        <f>IF($Y145="",0,$Y145)</f>
        <v/>
      </c>
    </row>
    <row r="146">
      <c r="W146" s="31">
        <f>IF(OR($B$5="",$C$6="",ROW()&lt;$B$5),"",IF(INDEX($A:$U,ROW(),$C$6)="","",INDEX($A:$U,ROW(),$C$6)))</f>
        <v/>
      </c>
      <c r="X146" s="32">
        <f>IF($W146="","",IF(ISNUMBER($W146),IF($W146&gt;=10000000,IFERROR(DATE(INT($W146/10000),MOD(INT($W146/100),100),MOD($W146,100)),""),INT($W146)),IFERROR(DATE(--LEFT(LEFT(SUBSTITUTE(SUBSTITUTE(SUBSTITUTE(SUBSTITUTE(TRIM($W146),"-",""),".",""),"/","")," ",""),8),4),--MID(LEFT(SUBSTITUTE(SUBSTITUTE(SUBSTITUTE(SUBSTITUTE(TRIM($W146),"-",""),".",""),"/","")," ",""),8),5,2),--MID(LEFT(SUBSTITUTE(SUBSTITUTE(SUBSTITUTE(SUBSTITUTE(TRIM($W146),"-",""),".",""),"/","")," ",""),8),7,2)),"")))</f>
        <v/>
      </c>
      <c r="Y146" s="32">
        <f>IF($X146="","",INT($X146))</f>
        <v/>
      </c>
      <c r="Z146" s="33">
        <f>IF(OR($Y146="",$D$6=""),"",IF(INDEX($A:$U,ROW(),$D$6)="",0,IF(ISNUMBER(INDEX($A:$U,ROW(),$D$6)),INDEX($A:$U,ROW(),$D$6),IFERROR(--SUBSTITUTE(SUBSTITUTE(TRIM(INDEX($A:$U,ROW(),$D$6)),",",""),"원",""),0))))</f>
        <v/>
      </c>
      <c r="AA146" s="31">
        <f>IF($Y146="","",TRIM(INDEX($A:$U,ROW(),$E$6)&amp;IF($F$6="",""," "&amp;INDEX($A:$U,ROW(),$F$6))))</f>
        <v/>
      </c>
      <c r="AB146" s="31">
        <f>IF($AA146="","",SUBSTITUTE(SUBSTITUTE(SUBSTITUTE(SUBSTITUTE(SUBSTITUTE(SUBSTITUTE(SUBSTITUTE(SUBSTITUTE(SUBSTITUTE($AA146," ",""),"　",""),"(주)",""),"（주）",""),"㈜",""),"주식회사",""),"(유)",""),"（유）",""),"유한회사",""))</f>
        <v/>
      </c>
      <c r="AC146" s="31">
        <f>IF(OR($Y146="",N($Z146)&lt;=0,$AB146=""),0,IFERROR(LOOKUP(2,1/((거래처별!$AC$8:$AC$307&lt;&gt;"")*ISNUMBER(SEARCH(거래처별!$AC$8:$AC$307,$AB146))),거래처별!$A$8:$A$307),IFERROR(LOOKUP(2,1/((거래처별!$AD$8:$AD$307&lt;&gt;"")*ISNUMBER(SEARCH(거래처별!$AD$8:$AD$307,$AB146))),거래처별!$A$8:$A$307),IFERROR(LOOKUP(2,1/((거래처별!$AE$8:$AE$307&lt;&gt;"")*ISNUMBER(SEARCH(거래처별!$AE$8:$AE$307,$AB146))),거래처별!$A$8:$A$307),0))))</f>
        <v/>
      </c>
      <c r="AD146" s="31">
        <f>IF(AND($Y146&lt;&gt;"",N($Z146)&gt;0,$AC146=0),MAX($AD$7:$AD145)+1,"")</f>
        <v/>
      </c>
      <c r="AE146" s="31">
        <f>IF($Y146="",0,$Y146)</f>
        <v/>
      </c>
    </row>
    <row r="147">
      <c r="W147" s="31">
        <f>IF(OR($B$5="",$C$6="",ROW()&lt;$B$5),"",IF(INDEX($A:$U,ROW(),$C$6)="","",INDEX($A:$U,ROW(),$C$6)))</f>
        <v/>
      </c>
      <c r="X147" s="32">
        <f>IF($W147="","",IF(ISNUMBER($W147),IF($W147&gt;=10000000,IFERROR(DATE(INT($W147/10000),MOD(INT($W147/100),100),MOD($W147,100)),""),INT($W147)),IFERROR(DATE(--LEFT(LEFT(SUBSTITUTE(SUBSTITUTE(SUBSTITUTE(SUBSTITUTE(TRIM($W147),"-",""),".",""),"/","")," ",""),8),4),--MID(LEFT(SUBSTITUTE(SUBSTITUTE(SUBSTITUTE(SUBSTITUTE(TRIM($W147),"-",""),".",""),"/","")," ",""),8),5,2),--MID(LEFT(SUBSTITUTE(SUBSTITUTE(SUBSTITUTE(SUBSTITUTE(TRIM($W147),"-",""),".",""),"/","")," ",""),8),7,2)),"")))</f>
        <v/>
      </c>
      <c r="Y147" s="32">
        <f>IF($X147="","",INT($X147))</f>
        <v/>
      </c>
      <c r="Z147" s="33">
        <f>IF(OR($Y147="",$D$6=""),"",IF(INDEX($A:$U,ROW(),$D$6)="",0,IF(ISNUMBER(INDEX($A:$U,ROW(),$D$6)),INDEX($A:$U,ROW(),$D$6),IFERROR(--SUBSTITUTE(SUBSTITUTE(TRIM(INDEX($A:$U,ROW(),$D$6)),",",""),"원",""),0))))</f>
        <v/>
      </c>
      <c r="AA147" s="31">
        <f>IF($Y147="","",TRIM(INDEX($A:$U,ROW(),$E$6)&amp;IF($F$6="",""," "&amp;INDEX($A:$U,ROW(),$F$6))))</f>
        <v/>
      </c>
      <c r="AB147" s="31">
        <f>IF($AA147="","",SUBSTITUTE(SUBSTITUTE(SUBSTITUTE(SUBSTITUTE(SUBSTITUTE(SUBSTITUTE(SUBSTITUTE(SUBSTITUTE(SUBSTITUTE($AA147," ",""),"　",""),"(주)",""),"（주）",""),"㈜",""),"주식회사",""),"(유)",""),"（유）",""),"유한회사",""))</f>
        <v/>
      </c>
      <c r="AC147" s="31">
        <f>IF(OR($Y147="",N($Z147)&lt;=0,$AB147=""),0,IFERROR(LOOKUP(2,1/((거래처별!$AC$8:$AC$307&lt;&gt;"")*ISNUMBER(SEARCH(거래처별!$AC$8:$AC$307,$AB147))),거래처별!$A$8:$A$307),IFERROR(LOOKUP(2,1/((거래처별!$AD$8:$AD$307&lt;&gt;"")*ISNUMBER(SEARCH(거래처별!$AD$8:$AD$307,$AB147))),거래처별!$A$8:$A$307),IFERROR(LOOKUP(2,1/((거래처별!$AE$8:$AE$307&lt;&gt;"")*ISNUMBER(SEARCH(거래처별!$AE$8:$AE$307,$AB147))),거래처별!$A$8:$A$307),0))))</f>
        <v/>
      </c>
      <c r="AD147" s="31">
        <f>IF(AND($Y147&lt;&gt;"",N($Z147)&gt;0,$AC147=0),MAX($AD$7:$AD146)+1,"")</f>
        <v/>
      </c>
      <c r="AE147" s="31">
        <f>IF($Y147="",0,$Y147)</f>
        <v/>
      </c>
    </row>
    <row r="148">
      <c r="W148" s="31">
        <f>IF(OR($B$5="",$C$6="",ROW()&lt;$B$5),"",IF(INDEX($A:$U,ROW(),$C$6)="","",INDEX($A:$U,ROW(),$C$6)))</f>
        <v/>
      </c>
      <c r="X148" s="32">
        <f>IF($W148="","",IF(ISNUMBER($W148),IF($W148&gt;=10000000,IFERROR(DATE(INT($W148/10000),MOD(INT($W148/100),100),MOD($W148,100)),""),INT($W148)),IFERROR(DATE(--LEFT(LEFT(SUBSTITUTE(SUBSTITUTE(SUBSTITUTE(SUBSTITUTE(TRIM($W148),"-",""),".",""),"/","")," ",""),8),4),--MID(LEFT(SUBSTITUTE(SUBSTITUTE(SUBSTITUTE(SUBSTITUTE(TRIM($W148),"-",""),".",""),"/","")," ",""),8),5,2),--MID(LEFT(SUBSTITUTE(SUBSTITUTE(SUBSTITUTE(SUBSTITUTE(TRIM($W148),"-",""),".",""),"/","")," ",""),8),7,2)),"")))</f>
        <v/>
      </c>
      <c r="Y148" s="32">
        <f>IF($X148="","",INT($X148))</f>
        <v/>
      </c>
      <c r="Z148" s="33">
        <f>IF(OR($Y148="",$D$6=""),"",IF(INDEX($A:$U,ROW(),$D$6)="",0,IF(ISNUMBER(INDEX($A:$U,ROW(),$D$6)),INDEX($A:$U,ROW(),$D$6),IFERROR(--SUBSTITUTE(SUBSTITUTE(TRIM(INDEX($A:$U,ROW(),$D$6)),",",""),"원",""),0))))</f>
        <v/>
      </c>
      <c r="AA148" s="31">
        <f>IF($Y148="","",TRIM(INDEX($A:$U,ROW(),$E$6)&amp;IF($F$6="",""," "&amp;INDEX($A:$U,ROW(),$F$6))))</f>
        <v/>
      </c>
      <c r="AB148" s="31">
        <f>IF($AA148="","",SUBSTITUTE(SUBSTITUTE(SUBSTITUTE(SUBSTITUTE(SUBSTITUTE(SUBSTITUTE(SUBSTITUTE(SUBSTITUTE(SUBSTITUTE($AA148," ",""),"　",""),"(주)",""),"（주）",""),"㈜",""),"주식회사",""),"(유)",""),"（유）",""),"유한회사",""))</f>
        <v/>
      </c>
      <c r="AC148" s="31">
        <f>IF(OR($Y148="",N($Z148)&lt;=0,$AB148=""),0,IFERROR(LOOKUP(2,1/((거래처별!$AC$8:$AC$307&lt;&gt;"")*ISNUMBER(SEARCH(거래처별!$AC$8:$AC$307,$AB148))),거래처별!$A$8:$A$307),IFERROR(LOOKUP(2,1/((거래처별!$AD$8:$AD$307&lt;&gt;"")*ISNUMBER(SEARCH(거래처별!$AD$8:$AD$307,$AB148))),거래처별!$A$8:$A$307),IFERROR(LOOKUP(2,1/((거래처별!$AE$8:$AE$307&lt;&gt;"")*ISNUMBER(SEARCH(거래처별!$AE$8:$AE$307,$AB148))),거래처별!$A$8:$A$307),0))))</f>
        <v/>
      </c>
      <c r="AD148" s="31">
        <f>IF(AND($Y148&lt;&gt;"",N($Z148)&gt;0,$AC148=0),MAX($AD$7:$AD147)+1,"")</f>
        <v/>
      </c>
      <c r="AE148" s="31">
        <f>IF($Y148="",0,$Y148)</f>
        <v/>
      </c>
    </row>
    <row r="149">
      <c r="W149" s="31">
        <f>IF(OR($B$5="",$C$6="",ROW()&lt;$B$5),"",IF(INDEX($A:$U,ROW(),$C$6)="","",INDEX($A:$U,ROW(),$C$6)))</f>
        <v/>
      </c>
      <c r="X149" s="32">
        <f>IF($W149="","",IF(ISNUMBER($W149),IF($W149&gt;=10000000,IFERROR(DATE(INT($W149/10000),MOD(INT($W149/100),100),MOD($W149,100)),""),INT($W149)),IFERROR(DATE(--LEFT(LEFT(SUBSTITUTE(SUBSTITUTE(SUBSTITUTE(SUBSTITUTE(TRIM($W149),"-",""),".",""),"/","")," ",""),8),4),--MID(LEFT(SUBSTITUTE(SUBSTITUTE(SUBSTITUTE(SUBSTITUTE(TRIM($W149),"-",""),".",""),"/","")," ",""),8),5,2),--MID(LEFT(SUBSTITUTE(SUBSTITUTE(SUBSTITUTE(SUBSTITUTE(TRIM($W149),"-",""),".",""),"/","")," ",""),8),7,2)),"")))</f>
        <v/>
      </c>
      <c r="Y149" s="32">
        <f>IF($X149="","",INT($X149))</f>
        <v/>
      </c>
      <c r="Z149" s="33">
        <f>IF(OR($Y149="",$D$6=""),"",IF(INDEX($A:$U,ROW(),$D$6)="",0,IF(ISNUMBER(INDEX($A:$U,ROW(),$D$6)),INDEX($A:$U,ROW(),$D$6),IFERROR(--SUBSTITUTE(SUBSTITUTE(TRIM(INDEX($A:$U,ROW(),$D$6)),",",""),"원",""),0))))</f>
        <v/>
      </c>
      <c r="AA149" s="31">
        <f>IF($Y149="","",TRIM(INDEX($A:$U,ROW(),$E$6)&amp;IF($F$6="",""," "&amp;INDEX($A:$U,ROW(),$F$6))))</f>
        <v/>
      </c>
      <c r="AB149" s="31">
        <f>IF($AA149="","",SUBSTITUTE(SUBSTITUTE(SUBSTITUTE(SUBSTITUTE(SUBSTITUTE(SUBSTITUTE(SUBSTITUTE(SUBSTITUTE(SUBSTITUTE($AA149," ",""),"　",""),"(주)",""),"（주）",""),"㈜",""),"주식회사",""),"(유)",""),"（유）",""),"유한회사",""))</f>
        <v/>
      </c>
      <c r="AC149" s="31">
        <f>IF(OR($Y149="",N($Z149)&lt;=0,$AB149=""),0,IFERROR(LOOKUP(2,1/((거래처별!$AC$8:$AC$307&lt;&gt;"")*ISNUMBER(SEARCH(거래처별!$AC$8:$AC$307,$AB149))),거래처별!$A$8:$A$307),IFERROR(LOOKUP(2,1/((거래처별!$AD$8:$AD$307&lt;&gt;"")*ISNUMBER(SEARCH(거래처별!$AD$8:$AD$307,$AB149))),거래처별!$A$8:$A$307),IFERROR(LOOKUP(2,1/((거래처별!$AE$8:$AE$307&lt;&gt;"")*ISNUMBER(SEARCH(거래처별!$AE$8:$AE$307,$AB149))),거래처별!$A$8:$A$307),0))))</f>
        <v/>
      </c>
      <c r="AD149" s="31">
        <f>IF(AND($Y149&lt;&gt;"",N($Z149)&gt;0,$AC149=0),MAX($AD$7:$AD148)+1,"")</f>
        <v/>
      </c>
      <c r="AE149" s="31">
        <f>IF($Y149="",0,$Y149)</f>
        <v/>
      </c>
    </row>
    <row r="150">
      <c r="W150" s="31">
        <f>IF(OR($B$5="",$C$6="",ROW()&lt;$B$5),"",IF(INDEX($A:$U,ROW(),$C$6)="","",INDEX($A:$U,ROW(),$C$6)))</f>
        <v/>
      </c>
      <c r="X150" s="32">
        <f>IF($W150="","",IF(ISNUMBER($W150),IF($W150&gt;=10000000,IFERROR(DATE(INT($W150/10000),MOD(INT($W150/100),100),MOD($W150,100)),""),INT($W150)),IFERROR(DATE(--LEFT(LEFT(SUBSTITUTE(SUBSTITUTE(SUBSTITUTE(SUBSTITUTE(TRIM($W150),"-",""),".",""),"/","")," ",""),8),4),--MID(LEFT(SUBSTITUTE(SUBSTITUTE(SUBSTITUTE(SUBSTITUTE(TRIM($W150),"-",""),".",""),"/","")," ",""),8),5,2),--MID(LEFT(SUBSTITUTE(SUBSTITUTE(SUBSTITUTE(SUBSTITUTE(TRIM($W150),"-",""),".",""),"/","")," ",""),8),7,2)),"")))</f>
        <v/>
      </c>
      <c r="Y150" s="32">
        <f>IF($X150="","",INT($X150))</f>
        <v/>
      </c>
      <c r="Z150" s="33">
        <f>IF(OR($Y150="",$D$6=""),"",IF(INDEX($A:$U,ROW(),$D$6)="",0,IF(ISNUMBER(INDEX($A:$U,ROW(),$D$6)),INDEX($A:$U,ROW(),$D$6),IFERROR(--SUBSTITUTE(SUBSTITUTE(TRIM(INDEX($A:$U,ROW(),$D$6)),",",""),"원",""),0))))</f>
        <v/>
      </c>
      <c r="AA150" s="31">
        <f>IF($Y150="","",TRIM(INDEX($A:$U,ROW(),$E$6)&amp;IF($F$6="",""," "&amp;INDEX($A:$U,ROW(),$F$6))))</f>
        <v/>
      </c>
      <c r="AB150" s="31">
        <f>IF($AA150="","",SUBSTITUTE(SUBSTITUTE(SUBSTITUTE(SUBSTITUTE(SUBSTITUTE(SUBSTITUTE(SUBSTITUTE(SUBSTITUTE(SUBSTITUTE($AA150," ",""),"　",""),"(주)",""),"（주）",""),"㈜",""),"주식회사",""),"(유)",""),"（유）",""),"유한회사",""))</f>
        <v/>
      </c>
      <c r="AC150" s="31">
        <f>IF(OR($Y150="",N($Z150)&lt;=0,$AB150=""),0,IFERROR(LOOKUP(2,1/((거래처별!$AC$8:$AC$307&lt;&gt;"")*ISNUMBER(SEARCH(거래처별!$AC$8:$AC$307,$AB150))),거래처별!$A$8:$A$307),IFERROR(LOOKUP(2,1/((거래처별!$AD$8:$AD$307&lt;&gt;"")*ISNUMBER(SEARCH(거래처별!$AD$8:$AD$307,$AB150))),거래처별!$A$8:$A$307),IFERROR(LOOKUP(2,1/((거래처별!$AE$8:$AE$307&lt;&gt;"")*ISNUMBER(SEARCH(거래처별!$AE$8:$AE$307,$AB150))),거래처별!$A$8:$A$307),0))))</f>
        <v/>
      </c>
      <c r="AD150" s="31">
        <f>IF(AND($Y150&lt;&gt;"",N($Z150)&gt;0,$AC150=0),MAX($AD$7:$AD149)+1,"")</f>
        <v/>
      </c>
      <c r="AE150" s="31">
        <f>IF($Y150="",0,$Y150)</f>
        <v/>
      </c>
    </row>
    <row r="151">
      <c r="W151" s="31">
        <f>IF(OR($B$5="",$C$6="",ROW()&lt;$B$5),"",IF(INDEX($A:$U,ROW(),$C$6)="","",INDEX($A:$U,ROW(),$C$6)))</f>
        <v/>
      </c>
      <c r="X151" s="32">
        <f>IF($W151="","",IF(ISNUMBER($W151),IF($W151&gt;=10000000,IFERROR(DATE(INT($W151/10000),MOD(INT($W151/100),100),MOD($W151,100)),""),INT($W151)),IFERROR(DATE(--LEFT(LEFT(SUBSTITUTE(SUBSTITUTE(SUBSTITUTE(SUBSTITUTE(TRIM($W151),"-",""),".",""),"/","")," ",""),8),4),--MID(LEFT(SUBSTITUTE(SUBSTITUTE(SUBSTITUTE(SUBSTITUTE(TRIM($W151),"-",""),".",""),"/","")," ",""),8),5,2),--MID(LEFT(SUBSTITUTE(SUBSTITUTE(SUBSTITUTE(SUBSTITUTE(TRIM($W151),"-",""),".",""),"/","")," ",""),8),7,2)),"")))</f>
        <v/>
      </c>
      <c r="Y151" s="32">
        <f>IF($X151="","",INT($X151))</f>
        <v/>
      </c>
      <c r="Z151" s="33">
        <f>IF(OR($Y151="",$D$6=""),"",IF(INDEX($A:$U,ROW(),$D$6)="",0,IF(ISNUMBER(INDEX($A:$U,ROW(),$D$6)),INDEX($A:$U,ROW(),$D$6),IFERROR(--SUBSTITUTE(SUBSTITUTE(TRIM(INDEX($A:$U,ROW(),$D$6)),",",""),"원",""),0))))</f>
        <v/>
      </c>
      <c r="AA151" s="31">
        <f>IF($Y151="","",TRIM(INDEX($A:$U,ROW(),$E$6)&amp;IF($F$6="",""," "&amp;INDEX($A:$U,ROW(),$F$6))))</f>
        <v/>
      </c>
      <c r="AB151" s="31">
        <f>IF($AA151="","",SUBSTITUTE(SUBSTITUTE(SUBSTITUTE(SUBSTITUTE(SUBSTITUTE(SUBSTITUTE(SUBSTITUTE(SUBSTITUTE(SUBSTITUTE($AA151," ",""),"　",""),"(주)",""),"（주）",""),"㈜",""),"주식회사",""),"(유)",""),"（유）",""),"유한회사",""))</f>
        <v/>
      </c>
      <c r="AC151" s="31">
        <f>IF(OR($Y151="",N($Z151)&lt;=0,$AB151=""),0,IFERROR(LOOKUP(2,1/((거래처별!$AC$8:$AC$307&lt;&gt;"")*ISNUMBER(SEARCH(거래처별!$AC$8:$AC$307,$AB151))),거래처별!$A$8:$A$307),IFERROR(LOOKUP(2,1/((거래처별!$AD$8:$AD$307&lt;&gt;"")*ISNUMBER(SEARCH(거래처별!$AD$8:$AD$307,$AB151))),거래처별!$A$8:$A$307),IFERROR(LOOKUP(2,1/((거래처별!$AE$8:$AE$307&lt;&gt;"")*ISNUMBER(SEARCH(거래처별!$AE$8:$AE$307,$AB151))),거래처별!$A$8:$A$307),0))))</f>
        <v/>
      </c>
      <c r="AD151" s="31">
        <f>IF(AND($Y151&lt;&gt;"",N($Z151)&gt;0,$AC151=0),MAX($AD$7:$AD150)+1,"")</f>
        <v/>
      </c>
      <c r="AE151" s="31">
        <f>IF($Y151="",0,$Y151)</f>
        <v/>
      </c>
    </row>
    <row r="152">
      <c r="W152" s="31">
        <f>IF(OR($B$5="",$C$6="",ROW()&lt;$B$5),"",IF(INDEX($A:$U,ROW(),$C$6)="","",INDEX($A:$U,ROW(),$C$6)))</f>
        <v/>
      </c>
      <c r="X152" s="32">
        <f>IF($W152="","",IF(ISNUMBER($W152),IF($W152&gt;=10000000,IFERROR(DATE(INT($W152/10000),MOD(INT($W152/100),100),MOD($W152,100)),""),INT($W152)),IFERROR(DATE(--LEFT(LEFT(SUBSTITUTE(SUBSTITUTE(SUBSTITUTE(SUBSTITUTE(TRIM($W152),"-",""),".",""),"/","")," ",""),8),4),--MID(LEFT(SUBSTITUTE(SUBSTITUTE(SUBSTITUTE(SUBSTITUTE(TRIM($W152),"-",""),".",""),"/","")," ",""),8),5,2),--MID(LEFT(SUBSTITUTE(SUBSTITUTE(SUBSTITUTE(SUBSTITUTE(TRIM($W152),"-",""),".",""),"/","")," ",""),8),7,2)),"")))</f>
        <v/>
      </c>
      <c r="Y152" s="32">
        <f>IF($X152="","",INT($X152))</f>
        <v/>
      </c>
      <c r="Z152" s="33">
        <f>IF(OR($Y152="",$D$6=""),"",IF(INDEX($A:$U,ROW(),$D$6)="",0,IF(ISNUMBER(INDEX($A:$U,ROW(),$D$6)),INDEX($A:$U,ROW(),$D$6),IFERROR(--SUBSTITUTE(SUBSTITUTE(TRIM(INDEX($A:$U,ROW(),$D$6)),",",""),"원",""),0))))</f>
        <v/>
      </c>
      <c r="AA152" s="31">
        <f>IF($Y152="","",TRIM(INDEX($A:$U,ROW(),$E$6)&amp;IF($F$6="",""," "&amp;INDEX($A:$U,ROW(),$F$6))))</f>
        <v/>
      </c>
      <c r="AB152" s="31">
        <f>IF($AA152="","",SUBSTITUTE(SUBSTITUTE(SUBSTITUTE(SUBSTITUTE(SUBSTITUTE(SUBSTITUTE(SUBSTITUTE(SUBSTITUTE(SUBSTITUTE($AA152," ",""),"　",""),"(주)",""),"（주）",""),"㈜",""),"주식회사",""),"(유)",""),"（유）",""),"유한회사",""))</f>
        <v/>
      </c>
      <c r="AC152" s="31">
        <f>IF(OR($Y152="",N($Z152)&lt;=0,$AB152=""),0,IFERROR(LOOKUP(2,1/((거래처별!$AC$8:$AC$307&lt;&gt;"")*ISNUMBER(SEARCH(거래처별!$AC$8:$AC$307,$AB152))),거래처별!$A$8:$A$307),IFERROR(LOOKUP(2,1/((거래처별!$AD$8:$AD$307&lt;&gt;"")*ISNUMBER(SEARCH(거래처별!$AD$8:$AD$307,$AB152))),거래처별!$A$8:$A$307),IFERROR(LOOKUP(2,1/((거래처별!$AE$8:$AE$307&lt;&gt;"")*ISNUMBER(SEARCH(거래처별!$AE$8:$AE$307,$AB152))),거래처별!$A$8:$A$307),0))))</f>
        <v/>
      </c>
      <c r="AD152" s="31">
        <f>IF(AND($Y152&lt;&gt;"",N($Z152)&gt;0,$AC152=0),MAX($AD$7:$AD151)+1,"")</f>
        <v/>
      </c>
      <c r="AE152" s="31">
        <f>IF($Y152="",0,$Y152)</f>
        <v/>
      </c>
    </row>
    <row r="153">
      <c r="W153" s="31">
        <f>IF(OR($B$5="",$C$6="",ROW()&lt;$B$5),"",IF(INDEX($A:$U,ROW(),$C$6)="","",INDEX($A:$U,ROW(),$C$6)))</f>
        <v/>
      </c>
      <c r="X153" s="32">
        <f>IF($W153="","",IF(ISNUMBER($W153),IF($W153&gt;=10000000,IFERROR(DATE(INT($W153/10000),MOD(INT($W153/100),100),MOD($W153,100)),""),INT($W153)),IFERROR(DATE(--LEFT(LEFT(SUBSTITUTE(SUBSTITUTE(SUBSTITUTE(SUBSTITUTE(TRIM($W153),"-",""),".",""),"/","")," ",""),8),4),--MID(LEFT(SUBSTITUTE(SUBSTITUTE(SUBSTITUTE(SUBSTITUTE(TRIM($W153),"-",""),".",""),"/","")," ",""),8),5,2),--MID(LEFT(SUBSTITUTE(SUBSTITUTE(SUBSTITUTE(SUBSTITUTE(TRIM($W153),"-",""),".",""),"/","")," ",""),8),7,2)),"")))</f>
        <v/>
      </c>
      <c r="Y153" s="32">
        <f>IF($X153="","",INT($X153))</f>
        <v/>
      </c>
      <c r="Z153" s="33">
        <f>IF(OR($Y153="",$D$6=""),"",IF(INDEX($A:$U,ROW(),$D$6)="",0,IF(ISNUMBER(INDEX($A:$U,ROW(),$D$6)),INDEX($A:$U,ROW(),$D$6),IFERROR(--SUBSTITUTE(SUBSTITUTE(TRIM(INDEX($A:$U,ROW(),$D$6)),",",""),"원",""),0))))</f>
        <v/>
      </c>
      <c r="AA153" s="31">
        <f>IF($Y153="","",TRIM(INDEX($A:$U,ROW(),$E$6)&amp;IF($F$6="",""," "&amp;INDEX($A:$U,ROW(),$F$6))))</f>
        <v/>
      </c>
      <c r="AB153" s="31">
        <f>IF($AA153="","",SUBSTITUTE(SUBSTITUTE(SUBSTITUTE(SUBSTITUTE(SUBSTITUTE(SUBSTITUTE(SUBSTITUTE(SUBSTITUTE(SUBSTITUTE($AA153," ",""),"　",""),"(주)",""),"（주）",""),"㈜",""),"주식회사",""),"(유)",""),"（유）",""),"유한회사",""))</f>
        <v/>
      </c>
      <c r="AC153" s="31">
        <f>IF(OR($Y153="",N($Z153)&lt;=0,$AB153=""),0,IFERROR(LOOKUP(2,1/((거래처별!$AC$8:$AC$307&lt;&gt;"")*ISNUMBER(SEARCH(거래처별!$AC$8:$AC$307,$AB153))),거래처별!$A$8:$A$307),IFERROR(LOOKUP(2,1/((거래처별!$AD$8:$AD$307&lt;&gt;"")*ISNUMBER(SEARCH(거래처별!$AD$8:$AD$307,$AB153))),거래처별!$A$8:$A$307),IFERROR(LOOKUP(2,1/((거래처별!$AE$8:$AE$307&lt;&gt;"")*ISNUMBER(SEARCH(거래처별!$AE$8:$AE$307,$AB153))),거래처별!$A$8:$A$307),0))))</f>
        <v/>
      </c>
      <c r="AD153" s="31">
        <f>IF(AND($Y153&lt;&gt;"",N($Z153)&gt;0,$AC153=0),MAX($AD$7:$AD152)+1,"")</f>
        <v/>
      </c>
      <c r="AE153" s="31">
        <f>IF($Y153="",0,$Y153)</f>
        <v/>
      </c>
    </row>
    <row r="154">
      <c r="W154" s="31">
        <f>IF(OR($B$5="",$C$6="",ROW()&lt;$B$5),"",IF(INDEX($A:$U,ROW(),$C$6)="","",INDEX($A:$U,ROW(),$C$6)))</f>
        <v/>
      </c>
      <c r="X154" s="32">
        <f>IF($W154="","",IF(ISNUMBER($W154),IF($W154&gt;=10000000,IFERROR(DATE(INT($W154/10000),MOD(INT($W154/100),100),MOD($W154,100)),""),INT($W154)),IFERROR(DATE(--LEFT(LEFT(SUBSTITUTE(SUBSTITUTE(SUBSTITUTE(SUBSTITUTE(TRIM($W154),"-",""),".",""),"/","")," ",""),8),4),--MID(LEFT(SUBSTITUTE(SUBSTITUTE(SUBSTITUTE(SUBSTITUTE(TRIM($W154),"-",""),".",""),"/","")," ",""),8),5,2),--MID(LEFT(SUBSTITUTE(SUBSTITUTE(SUBSTITUTE(SUBSTITUTE(TRIM($W154),"-",""),".",""),"/","")," ",""),8),7,2)),"")))</f>
        <v/>
      </c>
      <c r="Y154" s="32">
        <f>IF($X154="","",INT($X154))</f>
        <v/>
      </c>
      <c r="Z154" s="33">
        <f>IF(OR($Y154="",$D$6=""),"",IF(INDEX($A:$U,ROW(),$D$6)="",0,IF(ISNUMBER(INDEX($A:$U,ROW(),$D$6)),INDEX($A:$U,ROW(),$D$6),IFERROR(--SUBSTITUTE(SUBSTITUTE(TRIM(INDEX($A:$U,ROW(),$D$6)),",",""),"원",""),0))))</f>
        <v/>
      </c>
      <c r="AA154" s="31">
        <f>IF($Y154="","",TRIM(INDEX($A:$U,ROW(),$E$6)&amp;IF($F$6="",""," "&amp;INDEX($A:$U,ROW(),$F$6))))</f>
        <v/>
      </c>
      <c r="AB154" s="31">
        <f>IF($AA154="","",SUBSTITUTE(SUBSTITUTE(SUBSTITUTE(SUBSTITUTE(SUBSTITUTE(SUBSTITUTE(SUBSTITUTE(SUBSTITUTE(SUBSTITUTE($AA154," ",""),"　",""),"(주)",""),"（주）",""),"㈜",""),"주식회사",""),"(유)",""),"（유）",""),"유한회사",""))</f>
        <v/>
      </c>
      <c r="AC154" s="31">
        <f>IF(OR($Y154="",N($Z154)&lt;=0,$AB154=""),0,IFERROR(LOOKUP(2,1/((거래처별!$AC$8:$AC$307&lt;&gt;"")*ISNUMBER(SEARCH(거래처별!$AC$8:$AC$307,$AB154))),거래처별!$A$8:$A$307),IFERROR(LOOKUP(2,1/((거래처별!$AD$8:$AD$307&lt;&gt;"")*ISNUMBER(SEARCH(거래처별!$AD$8:$AD$307,$AB154))),거래처별!$A$8:$A$307),IFERROR(LOOKUP(2,1/((거래처별!$AE$8:$AE$307&lt;&gt;"")*ISNUMBER(SEARCH(거래처별!$AE$8:$AE$307,$AB154))),거래처별!$A$8:$A$307),0))))</f>
        <v/>
      </c>
      <c r="AD154" s="31">
        <f>IF(AND($Y154&lt;&gt;"",N($Z154)&gt;0,$AC154=0),MAX($AD$7:$AD153)+1,"")</f>
        <v/>
      </c>
      <c r="AE154" s="31">
        <f>IF($Y154="",0,$Y154)</f>
        <v/>
      </c>
    </row>
    <row r="155">
      <c r="W155" s="31">
        <f>IF(OR($B$5="",$C$6="",ROW()&lt;$B$5),"",IF(INDEX($A:$U,ROW(),$C$6)="","",INDEX($A:$U,ROW(),$C$6)))</f>
        <v/>
      </c>
      <c r="X155" s="32">
        <f>IF($W155="","",IF(ISNUMBER($W155),IF($W155&gt;=10000000,IFERROR(DATE(INT($W155/10000),MOD(INT($W155/100),100),MOD($W155,100)),""),INT($W155)),IFERROR(DATE(--LEFT(LEFT(SUBSTITUTE(SUBSTITUTE(SUBSTITUTE(SUBSTITUTE(TRIM($W155),"-",""),".",""),"/","")," ",""),8),4),--MID(LEFT(SUBSTITUTE(SUBSTITUTE(SUBSTITUTE(SUBSTITUTE(TRIM($W155),"-",""),".",""),"/","")," ",""),8),5,2),--MID(LEFT(SUBSTITUTE(SUBSTITUTE(SUBSTITUTE(SUBSTITUTE(TRIM($W155),"-",""),".",""),"/","")," ",""),8),7,2)),"")))</f>
        <v/>
      </c>
      <c r="Y155" s="32">
        <f>IF($X155="","",INT($X155))</f>
        <v/>
      </c>
      <c r="Z155" s="33">
        <f>IF(OR($Y155="",$D$6=""),"",IF(INDEX($A:$U,ROW(),$D$6)="",0,IF(ISNUMBER(INDEX($A:$U,ROW(),$D$6)),INDEX($A:$U,ROW(),$D$6),IFERROR(--SUBSTITUTE(SUBSTITUTE(TRIM(INDEX($A:$U,ROW(),$D$6)),",",""),"원",""),0))))</f>
        <v/>
      </c>
      <c r="AA155" s="31">
        <f>IF($Y155="","",TRIM(INDEX($A:$U,ROW(),$E$6)&amp;IF($F$6="",""," "&amp;INDEX($A:$U,ROW(),$F$6))))</f>
        <v/>
      </c>
      <c r="AB155" s="31">
        <f>IF($AA155="","",SUBSTITUTE(SUBSTITUTE(SUBSTITUTE(SUBSTITUTE(SUBSTITUTE(SUBSTITUTE(SUBSTITUTE(SUBSTITUTE(SUBSTITUTE($AA155," ",""),"　",""),"(주)",""),"（주）",""),"㈜",""),"주식회사",""),"(유)",""),"（유）",""),"유한회사",""))</f>
        <v/>
      </c>
      <c r="AC155" s="31">
        <f>IF(OR($Y155="",N($Z155)&lt;=0,$AB155=""),0,IFERROR(LOOKUP(2,1/((거래처별!$AC$8:$AC$307&lt;&gt;"")*ISNUMBER(SEARCH(거래처별!$AC$8:$AC$307,$AB155))),거래처별!$A$8:$A$307),IFERROR(LOOKUP(2,1/((거래처별!$AD$8:$AD$307&lt;&gt;"")*ISNUMBER(SEARCH(거래처별!$AD$8:$AD$307,$AB155))),거래처별!$A$8:$A$307),IFERROR(LOOKUP(2,1/((거래처별!$AE$8:$AE$307&lt;&gt;"")*ISNUMBER(SEARCH(거래처별!$AE$8:$AE$307,$AB155))),거래처별!$A$8:$A$307),0))))</f>
        <v/>
      </c>
      <c r="AD155" s="31">
        <f>IF(AND($Y155&lt;&gt;"",N($Z155)&gt;0,$AC155=0),MAX($AD$7:$AD154)+1,"")</f>
        <v/>
      </c>
      <c r="AE155" s="31">
        <f>IF($Y155="",0,$Y155)</f>
        <v/>
      </c>
    </row>
    <row r="156">
      <c r="W156" s="31">
        <f>IF(OR($B$5="",$C$6="",ROW()&lt;$B$5),"",IF(INDEX($A:$U,ROW(),$C$6)="","",INDEX($A:$U,ROW(),$C$6)))</f>
        <v/>
      </c>
      <c r="X156" s="32">
        <f>IF($W156="","",IF(ISNUMBER($W156),IF($W156&gt;=10000000,IFERROR(DATE(INT($W156/10000),MOD(INT($W156/100),100),MOD($W156,100)),""),INT($W156)),IFERROR(DATE(--LEFT(LEFT(SUBSTITUTE(SUBSTITUTE(SUBSTITUTE(SUBSTITUTE(TRIM($W156),"-",""),".",""),"/","")," ",""),8),4),--MID(LEFT(SUBSTITUTE(SUBSTITUTE(SUBSTITUTE(SUBSTITUTE(TRIM($W156),"-",""),".",""),"/","")," ",""),8),5,2),--MID(LEFT(SUBSTITUTE(SUBSTITUTE(SUBSTITUTE(SUBSTITUTE(TRIM($W156),"-",""),".",""),"/","")," ",""),8),7,2)),"")))</f>
        <v/>
      </c>
      <c r="Y156" s="32">
        <f>IF($X156="","",INT($X156))</f>
        <v/>
      </c>
      <c r="Z156" s="33">
        <f>IF(OR($Y156="",$D$6=""),"",IF(INDEX($A:$U,ROW(),$D$6)="",0,IF(ISNUMBER(INDEX($A:$U,ROW(),$D$6)),INDEX($A:$U,ROW(),$D$6),IFERROR(--SUBSTITUTE(SUBSTITUTE(TRIM(INDEX($A:$U,ROW(),$D$6)),",",""),"원",""),0))))</f>
        <v/>
      </c>
      <c r="AA156" s="31">
        <f>IF($Y156="","",TRIM(INDEX($A:$U,ROW(),$E$6)&amp;IF($F$6="",""," "&amp;INDEX($A:$U,ROW(),$F$6))))</f>
        <v/>
      </c>
      <c r="AB156" s="31">
        <f>IF($AA156="","",SUBSTITUTE(SUBSTITUTE(SUBSTITUTE(SUBSTITUTE(SUBSTITUTE(SUBSTITUTE(SUBSTITUTE(SUBSTITUTE(SUBSTITUTE($AA156," ",""),"　",""),"(주)",""),"（주）",""),"㈜",""),"주식회사",""),"(유)",""),"（유）",""),"유한회사",""))</f>
        <v/>
      </c>
      <c r="AC156" s="31">
        <f>IF(OR($Y156="",N($Z156)&lt;=0,$AB156=""),0,IFERROR(LOOKUP(2,1/((거래처별!$AC$8:$AC$307&lt;&gt;"")*ISNUMBER(SEARCH(거래처별!$AC$8:$AC$307,$AB156))),거래처별!$A$8:$A$307),IFERROR(LOOKUP(2,1/((거래처별!$AD$8:$AD$307&lt;&gt;"")*ISNUMBER(SEARCH(거래처별!$AD$8:$AD$307,$AB156))),거래처별!$A$8:$A$307),IFERROR(LOOKUP(2,1/((거래처별!$AE$8:$AE$307&lt;&gt;"")*ISNUMBER(SEARCH(거래처별!$AE$8:$AE$307,$AB156))),거래처별!$A$8:$A$307),0))))</f>
        <v/>
      </c>
      <c r="AD156" s="31">
        <f>IF(AND($Y156&lt;&gt;"",N($Z156)&gt;0,$AC156=0),MAX($AD$7:$AD155)+1,"")</f>
        <v/>
      </c>
      <c r="AE156" s="31">
        <f>IF($Y156="",0,$Y156)</f>
        <v/>
      </c>
    </row>
    <row r="157">
      <c r="W157" s="31">
        <f>IF(OR($B$5="",$C$6="",ROW()&lt;$B$5),"",IF(INDEX($A:$U,ROW(),$C$6)="","",INDEX($A:$U,ROW(),$C$6)))</f>
        <v/>
      </c>
      <c r="X157" s="32">
        <f>IF($W157="","",IF(ISNUMBER($W157),IF($W157&gt;=10000000,IFERROR(DATE(INT($W157/10000),MOD(INT($W157/100),100),MOD($W157,100)),""),INT($W157)),IFERROR(DATE(--LEFT(LEFT(SUBSTITUTE(SUBSTITUTE(SUBSTITUTE(SUBSTITUTE(TRIM($W157),"-",""),".",""),"/","")," ",""),8),4),--MID(LEFT(SUBSTITUTE(SUBSTITUTE(SUBSTITUTE(SUBSTITUTE(TRIM($W157),"-",""),".",""),"/","")," ",""),8),5,2),--MID(LEFT(SUBSTITUTE(SUBSTITUTE(SUBSTITUTE(SUBSTITUTE(TRIM($W157),"-",""),".",""),"/","")," ",""),8),7,2)),"")))</f>
        <v/>
      </c>
      <c r="Y157" s="32">
        <f>IF($X157="","",INT($X157))</f>
        <v/>
      </c>
      <c r="Z157" s="33">
        <f>IF(OR($Y157="",$D$6=""),"",IF(INDEX($A:$U,ROW(),$D$6)="",0,IF(ISNUMBER(INDEX($A:$U,ROW(),$D$6)),INDEX($A:$U,ROW(),$D$6),IFERROR(--SUBSTITUTE(SUBSTITUTE(TRIM(INDEX($A:$U,ROW(),$D$6)),",",""),"원",""),0))))</f>
        <v/>
      </c>
      <c r="AA157" s="31">
        <f>IF($Y157="","",TRIM(INDEX($A:$U,ROW(),$E$6)&amp;IF($F$6="",""," "&amp;INDEX($A:$U,ROW(),$F$6))))</f>
        <v/>
      </c>
      <c r="AB157" s="31">
        <f>IF($AA157="","",SUBSTITUTE(SUBSTITUTE(SUBSTITUTE(SUBSTITUTE(SUBSTITUTE(SUBSTITUTE(SUBSTITUTE(SUBSTITUTE(SUBSTITUTE($AA157," ",""),"　",""),"(주)",""),"（주）",""),"㈜",""),"주식회사",""),"(유)",""),"（유）",""),"유한회사",""))</f>
        <v/>
      </c>
      <c r="AC157" s="31">
        <f>IF(OR($Y157="",N($Z157)&lt;=0,$AB157=""),0,IFERROR(LOOKUP(2,1/((거래처별!$AC$8:$AC$307&lt;&gt;"")*ISNUMBER(SEARCH(거래처별!$AC$8:$AC$307,$AB157))),거래처별!$A$8:$A$307),IFERROR(LOOKUP(2,1/((거래처별!$AD$8:$AD$307&lt;&gt;"")*ISNUMBER(SEARCH(거래처별!$AD$8:$AD$307,$AB157))),거래처별!$A$8:$A$307),IFERROR(LOOKUP(2,1/((거래처별!$AE$8:$AE$307&lt;&gt;"")*ISNUMBER(SEARCH(거래처별!$AE$8:$AE$307,$AB157))),거래처별!$A$8:$A$307),0))))</f>
        <v/>
      </c>
      <c r="AD157" s="31">
        <f>IF(AND($Y157&lt;&gt;"",N($Z157)&gt;0,$AC157=0),MAX($AD$7:$AD156)+1,"")</f>
        <v/>
      </c>
      <c r="AE157" s="31">
        <f>IF($Y157="",0,$Y157)</f>
        <v/>
      </c>
    </row>
    <row r="158">
      <c r="W158" s="31">
        <f>IF(OR($B$5="",$C$6="",ROW()&lt;$B$5),"",IF(INDEX($A:$U,ROW(),$C$6)="","",INDEX($A:$U,ROW(),$C$6)))</f>
        <v/>
      </c>
      <c r="X158" s="32">
        <f>IF($W158="","",IF(ISNUMBER($W158),IF($W158&gt;=10000000,IFERROR(DATE(INT($W158/10000),MOD(INT($W158/100),100),MOD($W158,100)),""),INT($W158)),IFERROR(DATE(--LEFT(LEFT(SUBSTITUTE(SUBSTITUTE(SUBSTITUTE(SUBSTITUTE(TRIM($W158),"-",""),".",""),"/","")," ",""),8),4),--MID(LEFT(SUBSTITUTE(SUBSTITUTE(SUBSTITUTE(SUBSTITUTE(TRIM($W158),"-",""),".",""),"/","")," ",""),8),5,2),--MID(LEFT(SUBSTITUTE(SUBSTITUTE(SUBSTITUTE(SUBSTITUTE(TRIM($W158),"-",""),".",""),"/","")," ",""),8),7,2)),"")))</f>
        <v/>
      </c>
      <c r="Y158" s="32">
        <f>IF($X158="","",INT($X158))</f>
        <v/>
      </c>
      <c r="Z158" s="33">
        <f>IF(OR($Y158="",$D$6=""),"",IF(INDEX($A:$U,ROW(),$D$6)="",0,IF(ISNUMBER(INDEX($A:$U,ROW(),$D$6)),INDEX($A:$U,ROW(),$D$6),IFERROR(--SUBSTITUTE(SUBSTITUTE(TRIM(INDEX($A:$U,ROW(),$D$6)),",",""),"원",""),0))))</f>
        <v/>
      </c>
      <c r="AA158" s="31">
        <f>IF($Y158="","",TRIM(INDEX($A:$U,ROW(),$E$6)&amp;IF($F$6="",""," "&amp;INDEX($A:$U,ROW(),$F$6))))</f>
        <v/>
      </c>
      <c r="AB158" s="31">
        <f>IF($AA158="","",SUBSTITUTE(SUBSTITUTE(SUBSTITUTE(SUBSTITUTE(SUBSTITUTE(SUBSTITUTE(SUBSTITUTE(SUBSTITUTE(SUBSTITUTE($AA158," ",""),"　",""),"(주)",""),"（주）",""),"㈜",""),"주식회사",""),"(유)",""),"（유）",""),"유한회사",""))</f>
        <v/>
      </c>
      <c r="AC158" s="31">
        <f>IF(OR($Y158="",N($Z158)&lt;=0,$AB158=""),0,IFERROR(LOOKUP(2,1/((거래처별!$AC$8:$AC$307&lt;&gt;"")*ISNUMBER(SEARCH(거래처별!$AC$8:$AC$307,$AB158))),거래처별!$A$8:$A$307),IFERROR(LOOKUP(2,1/((거래처별!$AD$8:$AD$307&lt;&gt;"")*ISNUMBER(SEARCH(거래처별!$AD$8:$AD$307,$AB158))),거래처별!$A$8:$A$307),IFERROR(LOOKUP(2,1/((거래처별!$AE$8:$AE$307&lt;&gt;"")*ISNUMBER(SEARCH(거래처별!$AE$8:$AE$307,$AB158))),거래처별!$A$8:$A$307),0))))</f>
        <v/>
      </c>
      <c r="AD158" s="31">
        <f>IF(AND($Y158&lt;&gt;"",N($Z158)&gt;0,$AC158=0),MAX($AD$7:$AD157)+1,"")</f>
        <v/>
      </c>
      <c r="AE158" s="31">
        <f>IF($Y158="",0,$Y158)</f>
        <v/>
      </c>
    </row>
    <row r="159">
      <c r="W159" s="31">
        <f>IF(OR($B$5="",$C$6="",ROW()&lt;$B$5),"",IF(INDEX($A:$U,ROW(),$C$6)="","",INDEX($A:$U,ROW(),$C$6)))</f>
        <v/>
      </c>
      <c r="X159" s="32">
        <f>IF($W159="","",IF(ISNUMBER($W159),IF($W159&gt;=10000000,IFERROR(DATE(INT($W159/10000),MOD(INT($W159/100),100),MOD($W159,100)),""),INT($W159)),IFERROR(DATE(--LEFT(LEFT(SUBSTITUTE(SUBSTITUTE(SUBSTITUTE(SUBSTITUTE(TRIM($W159),"-",""),".",""),"/","")," ",""),8),4),--MID(LEFT(SUBSTITUTE(SUBSTITUTE(SUBSTITUTE(SUBSTITUTE(TRIM($W159),"-",""),".",""),"/","")," ",""),8),5,2),--MID(LEFT(SUBSTITUTE(SUBSTITUTE(SUBSTITUTE(SUBSTITUTE(TRIM($W159),"-",""),".",""),"/","")," ",""),8),7,2)),"")))</f>
        <v/>
      </c>
      <c r="Y159" s="32">
        <f>IF($X159="","",INT($X159))</f>
        <v/>
      </c>
      <c r="Z159" s="33">
        <f>IF(OR($Y159="",$D$6=""),"",IF(INDEX($A:$U,ROW(),$D$6)="",0,IF(ISNUMBER(INDEX($A:$U,ROW(),$D$6)),INDEX($A:$U,ROW(),$D$6),IFERROR(--SUBSTITUTE(SUBSTITUTE(TRIM(INDEX($A:$U,ROW(),$D$6)),",",""),"원",""),0))))</f>
        <v/>
      </c>
      <c r="AA159" s="31">
        <f>IF($Y159="","",TRIM(INDEX($A:$U,ROW(),$E$6)&amp;IF($F$6="",""," "&amp;INDEX($A:$U,ROW(),$F$6))))</f>
        <v/>
      </c>
      <c r="AB159" s="31">
        <f>IF($AA159="","",SUBSTITUTE(SUBSTITUTE(SUBSTITUTE(SUBSTITUTE(SUBSTITUTE(SUBSTITUTE(SUBSTITUTE(SUBSTITUTE(SUBSTITUTE($AA159," ",""),"　",""),"(주)",""),"（주）",""),"㈜",""),"주식회사",""),"(유)",""),"（유）",""),"유한회사",""))</f>
        <v/>
      </c>
      <c r="AC159" s="31">
        <f>IF(OR($Y159="",N($Z159)&lt;=0,$AB159=""),0,IFERROR(LOOKUP(2,1/((거래처별!$AC$8:$AC$307&lt;&gt;"")*ISNUMBER(SEARCH(거래처별!$AC$8:$AC$307,$AB159))),거래처별!$A$8:$A$307),IFERROR(LOOKUP(2,1/((거래처별!$AD$8:$AD$307&lt;&gt;"")*ISNUMBER(SEARCH(거래처별!$AD$8:$AD$307,$AB159))),거래처별!$A$8:$A$307),IFERROR(LOOKUP(2,1/((거래처별!$AE$8:$AE$307&lt;&gt;"")*ISNUMBER(SEARCH(거래처별!$AE$8:$AE$307,$AB159))),거래처별!$A$8:$A$307),0))))</f>
        <v/>
      </c>
      <c r="AD159" s="31">
        <f>IF(AND($Y159&lt;&gt;"",N($Z159)&gt;0,$AC159=0),MAX($AD$7:$AD158)+1,"")</f>
        <v/>
      </c>
      <c r="AE159" s="31">
        <f>IF($Y159="",0,$Y159)</f>
        <v/>
      </c>
    </row>
    <row r="160">
      <c r="W160" s="31">
        <f>IF(OR($B$5="",$C$6="",ROW()&lt;$B$5),"",IF(INDEX($A:$U,ROW(),$C$6)="","",INDEX($A:$U,ROW(),$C$6)))</f>
        <v/>
      </c>
      <c r="X160" s="32">
        <f>IF($W160="","",IF(ISNUMBER($W160),IF($W160&gt;=10000000,IFERROR(DATE(INT($W160/10000),MOD(INT($W160/100),100),MOD($W160,100)),""),INT($W160)),IFERROR(DATE(--LEFT(LEFT(SUBSTITUTE(SUBSTITUTE(SUBSTITUTE(SUBSTITUTE(TRIM($W160),"-",""),".",""),"/","")," ",""),8),4),--MID(LEFT(SUBSTITUTE(SUBSTITUTE(SUBSTITUTE(SUBSTITUTE(TRIM($W160),"-",""),".",""),"/","")," ",""),8),5,2),--MID(LEFT(SUBSTITUTE(SUBSTITUTE(SUBSTITUTE(SUBSTITUTE(TRIM($W160),"-",""),".",""),"/","")," ",""),8),7,2)),"")))</f>
        <v/>
      </c>
      <c r="Y160" s="32">
        <f>IF($X160="","",INT($X160))</f>
        <v/>
      </c>
      <c r="Z160" s="33">
        <f>IF(OR($Y160="",$D$6=""),"",IF(INDEX($A:$U,ROW(),$D$6)="",0,IF(ISNUMBER(INDEX($A:$U,ROW(),$D$6)),INDEX($A:$U,ROW(),$D$6),IFERROR(--SUBSTITUTE(SUBSTITUTE(TRIM(INDEX($A:$U,ROW(),$D$6)),",",""),"원",""),0))))</f>
        <v/>
      </c>
      <c r="AA160" s="31">
        <f>IF($Y160="","",TRIM(INDEX($A:$U,ROW(),$E$6)&amp;IF($F$6="",""," "&amp;INDEX($A:$U,ROW(),$F$6))))</f>
        <v/>
      </c>
      <c r="AB160" s="31">
        <f>IF($AA160="","",SUBSTITUTE(SUBSTITUTE(SUBSTITUTE(SUBSTITUTE(SUBSTITUTE(SUBSTITUTE(SUBSTITUTE(SUBSTITUTE(SUBSTITUTE($AA160," ",""),"　",""),"(주)",""),"（주）",""),"㈜",""),"주식회사",""),"(유)",""),"（유）",""),"유한회사",""))</f>
        <v/>
      </c>
      <c r="AC160" s="31">
        <f>IF(OR($Y160="",N($Z160)&lt;=0,$AB160=""),0,IFERROR(LOOKUP(2,1/((거래처별!$AC$8:$AC$307&lt;&gt;"")*ISNUMBER(SEARCH(거래처별!$AC$8:$AC$307,$AB160))),거래처별!$A$8:$A$307),IFERROR(LOOKUP(2,1/((거래처별!$AD$8:$AD$307&lt;&gt;"")*ISNUMBER(SEARCH(거래처별!$AD$8:$AD$307,$AB160))),거래처별!$A$8:$A$307),IFERROR(LOOKUP(2,1/((거래처별!$AE$8:$AE$307&lt;&gt;"")*ISNUMBER(SEARCH(거래처별!$AE$8:$AE$307,$AB160))),거래처별!$A$8:$A$307),0))))</f>
        <v/>
      </c>
      <c r="AD160" s="31">
        <f>IF(AND($Y160&lt;&gt;"",N($Z160)&gt;0,$AC160=0),MAX($AD$7:$AD159)+1,"")</f>
        <v/>
      </c>
      <c r="AE160" s="31">
        <f>IF($Y160="",0,$Y160)</f>
        <v/>
      </c>
    </row>
    <row r="161">
      <c r="W161" s="31">
        <f>IF(OR($B$5="",$C$6="",ROW()&lt;$B$5),"",IF(INDEX($A:$U,ROW(),$C$6)="","",INDEX($A:$U,ROW(),$C$6)))</f>
        <v/>
      </c>
      <c r="X161" s="32">
        <f>IF($W161="","",IF(ISNUMBER($W161),IF($W161&gt;=10000000,IFERROR(DATE(INT($W161/10000),MOD(INT($W161/100),100),MOD($W161,100)),""),INT($W161)),IFERROR(DATE(--LEFT(LEFT(SUBSTITUTE(SUBSTITUTE(SUBSTITUTE(SUBSTITUTE(TRIM($W161),"-",""),".",""),"/","")," ",""),8),4),--MID(LEFT(SUBSTITUTE(SUBSTITUTE(SUBSTITUTE(SUBSTITUTE(TRIM($W161),"-",""),".",""),"/","")," ",""),8),5,2),--MID(LEFT(SUBSTITUTE(SUBSTITUTE(SUBSTITUTE(SUBSTITUTE(TRIM($W161),"-",""),".",""),"/","")," ",""),8),7,2)),"")))</f>
        <v/>
      </c>
      <c r="Y161" s="32">
        <f>IF($X161="","",INT($X161))</f>
        <v/>
      </c>
      <c r="Z161" s="33">
        <f>IF(OR($Y161="",$D$6=""),"",IF(INDEX($A:$U,ROW(),$D$6)="",0,IF(ISNUMBER(INDEX($A:$U,ROW(),$D$6)),INDEX($A:$U,ROW(),$D$6),IFERROR(--SUBSTITUTE(SUBSTITUTE(TRIM(INDEX($A:$U,ROW(),$D$6)),",",""),"원",""),0))))</f>
        <v/>
      </c>
      <c r="AA161" s="31">
        <f>IF($Y161="","",TRIM(INDEX($A:$U,ROW(),$E$6)&amp;IF($F$6="",""," "&amp;INDEX($A:$U,ROW(),$F$6))))</f>
        <v/>
      </c>
      <c r="AB161" s="31">
        <f>IF($AA161="","",SUBSTITUTE(SUBSTITUTE(SUBSTITUTE(SUBSTITUTE(SUBSTITUTE(SUBSTITUTE(SUBSTITUTE(SUBSTITUTE(SUBSTITUTE($AA161," ",""),"　",""),"(주)",""),"（주）",""),"㈜",""),"주식회사",""),"(유)",""),"（유）",""),"유한회사",""))</f>
        <v/>
      </c>
      <c r="AC161" s="31">
        <f>IF(OR($Y161="",N($Z161)&lt;=0,$AB161=""),0,IFERROR(LOOKUP(2,1/((거래처별!$AC$8:$AC$307&lt;&gt;"")*ISNUMBER(SEARCH(거래처별!$AC$8:$AC$307,$AB161))),거래처별!$A$8:$A$307),IFERROR(LOOKUP(2,1/((거래처별!$AD$8:$AD$307&lt;&gt;"")*ISNUMBER(SEARCH(거래처별!$AD$8:$AD$307,$AB161))),거래처별!$A$8:$A$307),IFERROR(LOOKUP(2,1/((거래처별!$AE$8:$AE$307&lt;&gt;"")*ISNUMBER(SEARCH(거래처별!$AE$8:$AE$307,$AB161))),거래처별!$A$8:$A$307),0))))</f>
        <v/>
      </c>
      <c r="AD161" s="31">
        <f>IF(AND($Y161&lt;&gt;"",N($Z161)&gt;0,$AC161=0),MAX($AD$7:$AD160)+1,"")</f>
        <v/>
      </c>
      <c r="AE161" s="31">
        <f>IF($Y161="",0,$Y161)</f>
        <v/>
      </c>
    </row>
    <row r="162">
      <c r="W162" s="31">
        <f>IF(OR($B$5="",$C$6="",ROW()&lt;$B$5),"",IF(INDEX($A:$U,ROW(),$C$6)="","",INDEX($A:$U,ROW(),$C$6)))</f>
        <v/>
      </c>
      <c r="X162" s="32">
        <f>IF($W162="","",IF(ISNUMBER($W162),IF($W162&gt;=10000000,IFERROR(DATE(INT($W162/10000),MOD(INT($W162/100),100),MOD($W162,100)),""),INT($W162)),IFERROR(DATE(--LEFT(LEFT(SUBSTITUTE(SUBSTITUTE(SUBSTITUTE(SUBSTITUTE(TRIM($W162),"-",""),".",""),"/","")," ",""),8),4),--MID(LEFT(SUBSTITUTE(SUBSTITUTE(SUBSTITUTE(SUBSTITUTE(TRIM($W162),"-",""),".",""),"/","")," ",""),8),5,2),--MID(LEFT(SUBSTITUTE(SUBSTITUTE(SUBSTITUTE(SUBSTITUTE(TRIM($W162),"-",""),".",""),"/","")," ",""),8),7,2)),"")))</f>
        <v/>
      </c>
      <c r="Y162" s="32">
        <f>IF($X162="","",INT($X162))</f>
        <v/>
      </c>
      <c r="Z162" s="33">
        <f>IF(OR($Y162="",$D$6=""),"",IF(INDEX($A:$U,ROW(),$D$6)="",0,IF(ISNUMBER(INDEX($A:$U,ROW(),$D$6)),INDEX($A:$U,ROW(),$D$6),IFERROR(--SUBSTITUTE(SUBSTITUTE(TRIM(INDEX($A:$U,ROW(),$D$6)),",",""),"원",""),0))))</f>
        <v/>
      </c>
      <c r="AA162" s="31">
        <f>IF($Y162="","",TRIM(INDEX($A:$U,ROW(),$E$6)&amp;IF($F$6="",""," "&amp;INDEX($A:$U,ROW(),$F$6))))</f>
        <v/>
      </c>
      <c r="AB162" s="31">
        <f>IF($AA162="","",SUBSTITUTE(SUBSTITUTE(SUBSTITUTE(SUBSTITUTE(SUBSTITUTE(SUBSTITUTE(SUBSTITUTE(SUBSTITUTE(SUBSTITUTE($AA162," ",""),"　",""),"(주)",""),"（주）",""),"㈜",""),"주식회사",""),"(유)",""),"（유）",""),"유한회사",""))</f>
        <v/>
      </c>
      <c r="AC162" s="31">
        <f>IF(OR($Y162="",N($Z162)&lt;=0,$AB162=""),0,IFERROR(LOOKUP(2,1/((거래처별!$AC$8:$AC$307&lt;&gt;"")*ISNUMBER(SEARCH(거래처별!$AC$8:$AC$307,$AB162))),거래처별!$A$8:$A$307),IFERROR(LOOKUP(2,1/((거래처별!$AD$8:$AD$307&lt;&gt;"")*ISNUMBER(SEARCH(거래처별!$AD$8:$AD$307,$AB162))),거래처별!$A$8:$A$307),IFERROR(LOOKUP(2,1/((거래처별!$AE$8:$AE$307&lt;&gt;"")*ISNUMBER(SEARCH(거래처별!$AE$8:$AE$307,$AB162))),거래처별!$A$8:$A$307),0))))</f>
        <v/>
      </c>
      <c r="AD162" s="31">
        <f>IF(AND($Y162&lt;&gt;"",N($Z162)&gt;0,$AC162=0),MAX($AD$7:$AD161)+1,"")</f>
        <v/>
      </c>
      <c r="AE162" s="31">
        <f>IF($Y162="",0,$Y162)</f>
        <v/>
      </c>
    </row>
    <row r="163">
      <c r="W163" s="31">
        <f>IF(OR($B$5="",$C$6="",ROW()&lt;$B$5),"",IF(INDEX($A:$U,ROW(),$C$6)="","",INDEX($A:$U,ROW(),$C$6)))</f>
        <v/>
      </c>
      <c r="X163" s="32">
        <f>IF($W163="","",IF(ISNUMBER($W163),IF($W163&gt;=10000000,IFERROR(DATE(INT($W163/10000),MOD(INT($W163/100),100),MOD($W163,100)),""),INT($W163)),IFERROR(DATE(--LEFT(LEFT(SUBSTITUTE(SUBSTITUTE(SUBSTITUTE(SUBSTITUTE(TRIM($W163),"-",""),".",""),"/","")," ",""),8),4),--MID(LEFT(SUBSTITUTE(SUBSTITUTE(SUBSTITUTE(SUBSTITUTE(TRIM($W163),"-",""),".",""),"/","")," ",""),8),5,2),--MID(LEFT(SUBSTITUTE(SUBSTITUTE(SUBSTITUTE(SUBSTITUTE(TRIM($W163),"-",""),".",""),"/","")," ",""),8),7,2)),"")))</f>
        <v/>
      </c>
      <c r="Y163" s="32">
        <f>IF($X163="","",INT($X163))</f>
        <v/>
      </c>
      <c r="Z163" s="33">
        <f>IF(OR($Y163="",$D$6=""),"",IF(INDEX($A:$U,ROW(),$D$6)="",0,IF(ISNUMBER(INDEX($A:$U,ROW(),$D$6)),INDEX($A:$U,ROW(),$D$6),IFERROR(--SUBSTITUTE(SUBSTITUTE(TRIM(INDEX($A:$U,ROW(),$D$6)),",",""),"원",""),0))))</f>
        <v/>
      </c>
      <c r="AA163" s="31">
        <f>IF($Y163="","",TRIM(INDEX($A:$U,ROW(),$E$6)&amp;IF($F$6="",""," "&amp;INDEX($A:$U,ROW(),$F$6))))</f>
        <v/>
      </c>
      <c r="AB163" s="31">
        <f>IF($AA163="","",SUBSTITUTE(SUBSTITUTE(SUBSTITUTE(SUBSTITUTE(SUBSTITUTE(SUBSTITUTE(SUBSTITUTE(SUBSTITUTE(SUBSTITUTE($AA163," ",""),"　",""),"(주)",""),"（주）",""),"㈜",""),"주식회사",""),"(유)",""),"（유）",""),"유한회사",""))</f>
        <v/>
      </c>
      <c r="AC163" s="31">
        <f>IF(OR($Y163="",N($Z163)&lt;=0,$AB163=""),0,IFERROR(LOOKUP(2,1/((거래처별!$AC$8:$AC$307&lt;&gt;"")*ISNUMBER(SEARCH(거래처별!$AC$8:$AC$307,$AB163))),거래처별!$A$8:$A$307),IFERROR(LOOKUP(2,1/((거래처별!$AD$8:$AD$307&lt;&gt;"")*ISNUMBER(SEARCH(거래처별!$AD$8:$AD$307,$AB163))),거래처별!$A$8:$A$307),IFERROR(LOOKUP(2,1/((거래처별!$AE$8:$AE$307&lt;&gt;"")*ISNUMBER(SEARCH(거래처별!$AE$8:$AE$307,$AB163))),거래처별!$A$8:$A$307),0))))</f>
        <v/>
      </c>
      <c r="AD163" s="31">
        <f>IF(AND($Y163&lt;&gt;"",N($Z163)&gt;0,$AC163=0),MAX($AD$7:$AD162)+1,"")</f>
        <v/>
      </c>
      <c r="AE163" s="31">
        <f>IF($Y163="",0,$Y163)</f>
        <v/>
      </c>
    </row>
    <row r="164">
      <c r="W164" s="31">
        <f>IF(OR($B$5="",$C$6="",ROW()&lt;$B$5),"",IF(INDEX($A:$U,ROW(),$C$6)="","",INDEX($A:$U,ROW(),$C$6)))</f>
        <v/>
      </c>
      <c r="X164" s="32">
        <f>IF($W164="","",IF(ISNUMBER($W164),IF($W164&gt;=10000000,IFERROR(DATE(INT($W164/10000),MOD(INT($W164/100),100),MOD($W164,100)),""),INT($W164)),IFERROR(DATE(--LEFT(LEFT(SUBSTITUTE(SUBSTITUTE(SUBSTITUTE(SUBSTITUTE(TRIM($W164),"-",""),".",""),"/","")," ",""),8),4),--MID(LEFT(SUBSTITUTE(SUBSTITUTE(SUBSTITUTE(SUBSTITUTE(TRIM($W164),"-",""),".",""),"/","")," ",""),8),5,2),--MID(LEFT(SUBSTITUTE(SUBSTITUTE(SUBSTITUTE(SUBSTITUTE(TRIM($W164),"-",""),".",""),"/","")," ",""),8),7,2)),"")))</f>
        <v/>
      </c>
      <c r="Y164" s="32">
        <f>IF($X164="","",INT($X164))</f>
        <v/>
      </c>
      <c r="Z164" s="33">
        <f>IF(OR($Y164="",$D$6=""),"",IF(INDEX($A:$U,ROW(),$D$6)="",0,IF(ISNUMBER(INDEX($A:$U,ROW(),$D$6)),INDEX($A:$U,ROW(),$D$6),IFERROR(--SUBSTITUTE(SUBSTITUTE(TRIM(INDEX($A:$U,ROW(),$D$6)),",",""),"원",""),0))))</f>
        <v/>
      </c>
      <c r="AA164" s="31">
        <f>IF($Y164="","",TRIM(INDEX($A:$U,ROW(),$E$6)&amp;IF($F$6="",""," "&amp;INDEX($A:$U,ROW(),$F$6))))</f>
        <v/>
      </c>
      <c r="AB164" s="31">
        <f>IF($AA164="","",SUBSTITUTE(SUBSTITUTE(SUBSTITUTE(SUBSTITUTE(SUBSTITUTE(SUBSTITUTE(SUBSTITUTE(SUBSTITUTE(SUBSTITUTE($AA164," ",""),"　",""),"(주)",""),"（주）",""),"㈜",""),"주식회사",""),"(유)",""),"（유）",""),"유한회사",""))</f>
        <v/>
      </c>
      <c r="AC164" s="31">
        <f>IF(OR($Y164="",N($Z164)&lt;=0,$AB164=""),0,IFERROR(LOOKUP(2,1/((거래처별!$AC$8:$AC$307&lt;&gt;"")*ISNUMBER(SEARCH(거래처별!$AC$8:$AC$307,$AB164))),거래처별!$A$8:$A$307),IFERROR(LOOKUP(2,1/((거래처별!$AD$8:$AD$307&lt;&gt;"")*ISNUMBER(SEARCH(거래처별!$AD$8:$AD$307,$AB164))),거래처별!$A$8:$A$307),IFERROR(LOOKUP(2,1/((거래처별!$AE$8:$AE$307&lt;&gt;"")*ISNUMBER(SEARCH(거래처별!$AE$8:$AE$307,$AB164))),거래처별!$A$8:$A$307),0))))</f>
        <v/>
      </c>
      <c r="AD164" s="31">
        <f>IF(AND($Y164&lt;&gt;"",N($Z164)&gt;0,$AC164=0),MAX($AD$7:$AD163)+1,"")</f>
        <v/>
      </c>
      <c r="AE164" s="31">
        <f>IF($Y164="",0,$Y164)</f>
        <v/>
      </c>
    </row>
    <row r="165">
      <c r="W165" s="31">
        <f>IF(OR($B$5="",$C$6="",ROW()&lt;$B$5),"",IF(INDEX($A:$U,ROW(),$C$6)="","",INDEX($A:$U,ROW(),$C$6)))</f>
        <v/>
      </c>
      <c r="X165" s="32">
        <f>IF($W165="","",IF(ISNUMBER($W165),IF($W165&gt;=10000000,IFERROR(DATE(INT($W165/10000),MOD(INT($W165/100),100),MOD($W165,100)),""),INT($W165)),IFERROR(DATE(--LEFT(LEFT(SUBSTITUTE(SUBSTITUTE(SUBSTITUTE(SUBSTITUTE(TRIM($W165),"-",""),".",""),"/","")," ",""),8),4),--MID(LEFT(SUBSTITUTE(SUBSTITUTE(SUBSTITUTE(SUBSTITUTE(TRIM($W165),"-",""),".",""),"/","")," ",""),8),5,2),--MID(LEFT(SUBSTITUTE(SUBSTITUTE(SUBSTITUTE(SUBSTITUTE(TRIM($W165),"-",""),".",""),"/","")," ",""),8),7,2)),"")))</f>
        <v/>
      </c>
      <c r="Y165" s="32">
        <f>IF($X165="","",INT($X165))</f>
        <v/>
      </c>
      <c r="Z165" s="33">
        <f>IF(OR($Y165="",$D$6=""),"",IF(INDEX($A:$U,ROW(),$D$6)="",0,IF(ISNUMBER(INDEX($A:$U,ROW(),$D$6)),INDEX($A:$U,ROW(),$D$6),IFERROR(--SUBSTITUTE(SUBSTITUTE(TRIM(INDEX($A:$U,ROW(),$D$6)),",",""),"원",""),0))))</f>
        <v/>
      </c>
      <c r="AA165" s="31">
        <f>IF($Y165="","",TRIM(INDEX($A:$U,ROW(),$E$6)&amp;IF($F$6="",""," "&amp;INDEX($A:$U,ROW(),$F$6))))</f>
        <v/>
      </c>
      <c r="AB165" s="31">
        <f>IF($AA165="","",SUBSTITUTE(SUBSTITUTE(SUBSTITUTE(SUBSTITUTE(SUBSTITUTE(SUBSTITUTE(SUBSTITUTE(SUBSTITUTE(SUBSTITUTE($AA165," ",""),"　",""),"(주)",""),"（주）",""),"㈜",""),"주식회사",""),"(유)",""),"（유）",""),"유한회사",""))</f>
        <v/>
      </c>
      <c r="AC165" s="31">
        <f>IF(OR($Y165="",N($Z165)&lt;=0,$AB165=""),0,IFERROR(LOOKUP(2,1/((거래처별!$AC$8:$AC$307&lt;&gt;"")*ISNUMBER(SEARCH(거래처별!$AC$8:$AC$307,$AB165))),거래처별!$A$8:$A$307),IFERROR(LOOKUP(2,1/((거래처별!$AD$8:$AD$307&lt;&gt;"")*ISNUMBER(SEARCH(거래처별!$AD$8:$AD$307,$AB165))),거래처별!$A$8:$A$307),IFERROR(LOOKUP(2,1/((거래처별!$AE$8:$AE$307&lt;&gt;"")*ISNUMBER(SEARCH(거래처별!$AE$8:$AE$307,$AB165))),거래처별!$A$8:$A$307),0))))</f>
        <v/>
      </c>
      <c r="AD165" s="31">
        <f>IF(AND($Y165&lt;&gt;"",N($Z165)&gt;0,$AC165=0),MAX($AD$7:$AD164)+1,"")</f>
        <v/>
      </c>
      <c r="AE165" s="31">
        <f>IF($Y165="",0,$Y165)</f>
        <v/>
      </c>
    </row>
    <row r="166">
      <c r="W166" s="31">
        <f>IF(OR($B$5="",$C$6="",ROW()&lt;$B$5),"",IF(INDEX($A:$U,ROW(),$C$6)="","",INDEX($A:$U,ROW(),$C$6)))</f>
        <v/>
      </c>
      <c r="X166" s="32">
        <f>IF($W166="","",IF(ISNUMBER($W166),IF($W166&gt;=10000000,IFERROR(DATE(INT($W166/10000),MOD(INT($W166/100),100),MOD($W166,100)),""),INT($W166)),IFERROR(DATE(--LEFT(LEFT(SUBSTITUTE(SUBSTITUTE(SUBSTITUTE(SUBSTITUTE(TRIM($W166),"-",""),".",""),"/","")," ",""),8),4),--MID(LEFT(SUBSTITUTE(SUBSTITUTE(SUBSTITUTE(SUBSTITUTE(TRIM($W166),"-",""),".",""),"/","")," ",""),8),5,2),--MID(LEFT(SUBSTITUTE(SUBSTITUTE(SUBSTITUTE(SUBSTITUTE(TRIM($W166),"-",""),".",""),"/","")," ",""),8),7,2)),"")))</f>
        <v/>
      </c>
      <c r="Y166" s="32">
        <f>IF($X166="","",INT($X166))</f>
        <v/>
      </c>
      <c r="Z166" s="33">
        <f>IF(OR($Y166="",$D$6=""),"",IF(INDEX($A:$U,ROW(),$D$6)="",0,IF(ISNUMBER(INDEX($A:$U,ROW(),$D$6)),INDEX($A:$U,ROW(),$D$6),IFERROR(--SUBSTITUTE(SUBSTITUTE(TRIM(INDEX($A:$U,ROW(),$D$6)),",",""),"원",""),0))))</f>
        <v/>
      </c>
      <c r="AA166" s="31">
        <f>IF($Y166="","",TRIM(INDEX($A:$U,ROW(),$E$6)&amp;IF($F$6="",""," "&amp;INDEX($A:$U,ROW(),$F$6))))</f>
        <v/>
      </c>
      <c r="AB166" s="31">
        <f>IF($AA166="","",SUBSTITUTE(SUBSTITUTE(SUBSTITUTE(SUBSTITUTE(SUBSTITUTE(SUBSTITUTE(SUBSTITUTE(SUBSTITUTE(SUBSTITUTE($AA166," ",""),"　",""),"(주)",""),"（주）",""),"㈜",""),"주식회사",""),"(유)",""),"（유）",""),"유한회사",""))</f>
        <v/>
      </c>
      <c r="AC166" s="31">
        <f>IF(OR($Y166="",N($Z166)&lt;=0,$AB166=""),0,IFERROR(LOOKUP(2,1/((거래처별!$AC$8:$AC$307&lt;&gt;"")*ISNUMBER(SEARCH(거래처별!$AC$8:$AC$307,$AB166))),거래처별!$A$8:$A$307),IFERROR(LOOKUP(2,1/((거래처별!$AD$8:$AD$307&lt;&gt;"")*ISNUMBER(SEARCH(거래처별!$AD$8:$AD$307,$AB166))),거래처별!$A$8:$A$307),IFERROR(LOOKUP(2,1/((거래처별!$AE$8:$AE$307&lt;&gt;"")*ISNUMBER(SEARCH(거래처별!$AE$8:$AE$307,$AB166))),거래처별!$A$8:$A$307),0))))</f>
        <v/>
      </c>
      <c r="AD166" s="31">
        <f>IF(AND($Y166&lt;&gt;"",N($Z166)&gt;0,$AC166=0),MAX($AD$7:$AD165)+1,"")</f>
        <v/>
      </c>
      <c r="AE166" s="31">
        <f>IF($Y166="",0,$Y166)</f>
        <v/>
      </c>
    </row>
    <row r="167">
      <c r="W167" s="31">
        <f>IF(OR($B$5="",$C$6="",ROW()&lt;$B$5),"",IF(INDEX($A:$U,ROW(),$C$6)="","",INDEX($A:$U,ROW(),$C$6)))</f>
        <v/>
      </c>
      <c r="X167" s="32">
        <f>IF($W167="","",IF(ISNUMBER($W167),IF($W167&gt;=10000000,IFERROR(DATE(INT($W167/10000),MOD(INT($W167/100),100),MOD($W167,100)),""),INT($W167)),IFERROR(DATE(--LEFT(LEFT(SUBSTITUTE(SUBSTITUTE(SUBSTITUTE(SUBSTITUTE(TRIM($W167),"-",""),".",""),"/","")," ",""),8),4),--MID(LEFT(SUBSTITUTE(SUBSTITUTE(SUBSTITUTE(SUBSTITUTE(TRIM($W167),"-",""),".",""),"/","")," ",""),8),5,2),--MID(LEFT(SUBSTITUTE(SUBSTITUTE(SUBSTITUTE(SUBSTITUTE(TRIM($W167),"-",""),".",""),"/","")," ",""),8),7,2)),"")))</f>
        <v/>
      </c>
      <c r="Y167" s="32">
        <f>IF($X167="","",INT($X167))</f>
        <v/>
      </c>
      <c r="Z167" s="33">
        <f>IF(OR($Y167="",$D$6=""),"",IF(INDEX($A:$U,ROW(),$D$6)="",0,IF(ISNUMBER(INDEX($A:$U,ROW(),$D$6)),INDEX($A:$U,ROW(),$D$6),IFERROR(--SUBSTITUTE(SUBSTITUTE(TRIM(INDEX($A:$U,ROW(),$D$6)),",",""),"원",""),0))))</f>
        <v/>
      </c>
      <c r="AA167" s="31">
        <f>IF($Y167="","",TRIM(INDEX($A:$U,ROW(),$E$6)&amp;IF($F$6="",""," "&amp;INDEX($A:$U,ROW(),$F$6))))</f>
        <v/>
      </c>
      <c r="AB167" s="31">
        <f>IF($AA167="","",SUBSTITUTE(SUBSTITUTE(SUBSTITUTE(SUBSTITUTE(SUBSTITUTE(SUBSTITUTE(SUBSTITUTE(SUBSTITUTE(SUBSTITUTE($AA167," ",""),"　",""),"(주)",""),"（주）",""),"㈜",""),"주식회사",""),"(유)",""),"（유）",""),"유한회사",""))</f>
        <v/>
      </c>
      <c r="AC167" s="31">
        <f>IF(OR($Y167="",N($Z167)&lt;=0,$AB167=""),0,IFERROR(LOOKUP(2,1/((거래처별!$AC$8:$AC$307&lt;&gt;"")*ISNUMBER(SEARCH(거래처별!$AC$8:$AC$307,$AB167))),거래처별!$A$8:$A$307),IFERROR(LOOKUP(2,1/((거래처별!$AD$8:$AD$307&lt;&gt;"")*ISNUMBER(SEARCH(거래처별!$AD$8:$AD$307,$AB167))),거래처별!$A$8:$A$307),IFERROR(LOOKUP(2,1/((거래처별!$AE$8:$AE$307&lt;&gt;"")*ISNUMBER(SEARCH(거래처별!$AE$8:$AE$307,$AB167))),거래처별!$A$8:$A$307),0))))</f>
        <v/>
      </c>
      <c r="AD167" s="31">
        <f>IF(AND($Y167&lt;&gt;"",N($Z167)&gt;0,$AC167=0),MAX($AD$7:$AD166)+1,"")</f>
        <v/>
      </c>
      <c r="AE167" s="31">
        <f>IF($Y167="",0,$Y167)</f>
        <v/>
      </c>
    </row>
    <row r="168">
      <c r="W168" s="31">
        <f>IF(OR($B$5="",$C$6="",ROW()&lt;$B$5),"",IF(INDEX($A:$U,ROW(),$C$6)="","",INDEX($A:$U,ROW(),$C$6)))</f>
        <v/>
      </c>
      <c r="X168" s="32">
        <f>IF($W168="","",IF(ISNUMBER($W168),IF($W168&gt;=10000000,IFERROR(DATE(INT($W168/10000),MOD(INT($W168/100),100),MOD($W168,100)),""),INT($W168)),IFERROR(DATE(--LEFT(LEFT(SUBSTITUTE(SUBSTITUTE(SUBSTITUTE(SUBSTITUTE(TRIM($W168),"-",""),".",""),"/","")," ",""),8),4),--MID(LEFT(SUBSTITUTE(SUBSTITUTE(SUBSTITUTE(SUBSTITUTE(TRIM($W168),"-",""),".",""),"/","")," ",""),8),5,2),--MID(LEFT(SUBSTITUTE(SUBSTITUTE(SUBSTITUTE(SUBSTITUTE(TRIM($W168),"-",""),".",""),"/","")," ",""),8),7,2)),"")))</f>
        <v/>
      </c>
      <c r="Y168" s="32">
        <f>IF($X168="","",INT($X168))</f>
        <v/>
      </c>
      <c r="Z168" s="33">
        <f>IF(OR($Y168="",$D$6=""),"",IF(INDEX($A:$U,ROW(),$D$6)="",0,IF(ISNUMBER(INDEX($A:$U,ROW(),$D$6)),INDEX($A:$U,ROW(),$D$6),IFERROR(--SUBSTITUTE(SUBSTITUTE(TRIM(INDEX($A:$U,ROW(),$D$6)),",",""),"원",""),0))))</f>
        <v/>
      </c>
      <c r="AA168" s="31">
        <f>IF($Y168="","",TRIM(INDEX($A:$U,ROW(),$E$6)&amp;IF($F$6="",""," "&amp;INDEX($A:$U,ROW(),$F$6))))</f>
        <v/>
      </c>
      <c r="AB168" s="31">
        <f>IF($AA168="","",SUBSTITUTE(SUBSTITUTE(SUBSTITUTE(SUBSTITUTE(SUBSTITUTE(SUBSTITUTE(SUBSTITUTE(SUBSTITUTE(SUBSTITUTE($AA168," ",""),"　",""),"(주)",""),"（주）",""),"㈜",""),"주식회사",""),"(유)",""),"（유）",""),"유한회사",""))</f>
        <v/>
      </c>
      <c r="AC168" s="31">
        <f>IF(OR($Y168="",N($Z168)&lt;=0,$AB168=""),0,IFERROR(LOOKUP(2,1/((거래처별!$AC$8:$AC$307&lt;&gt;"")*ISNUMBER(SEARCH(거래처별!$AC$8:$AC$307,$AB168))),거래처별!$A$8:$A$307),IFERROR(LOOKUP(2,1/((거래처별!$AD$8:$AD$307&lt;&gt;"")*ISNUMBER(SEARCH(거래처별!$AD$8:$AD$307,$AB168))),거래처별!$A$8:$A$307),IFERROR(LOOKUP(2,1/((거래처별!$AE$8:$AE$307&lt;&gt;"")*ISNUMBER(SEARCH(거래처별!$AE$8:$AE$307,$AB168))),거래처별!$A$8:$A$307),0))))</f>
        <v/>
      </c>
      <c r="AD168" s="31">
        <f>IF(AND($Y168&lt;&gt;"",N($Z168)&gt;0,$AC168=0),MAX($AD$7:$AD167)+1,"")</f>
        <v/>
      </c>
      <c r="AE168" s="31">
        <f>IF($Y168="",0,$Y168)</f>
        <v/>
      </c>
    </row>
    <row r="169">
      <c r="W169" s="31">
        <f>IF(OR($B$5="",$C$6="",ROW()&lt;$B$5),"",IF(INDEX($A:$U,ROW(),$C$6)="","",INDEX($A:$U,ROW(),$C$6)))</f>
        <v/>
      </c>
      <c r="X169" s="32">
        <f>IF($W169="","",IF(ISNUMBER($W169),IF($W169&gt;=10000000,IFERROR(DATE(INT($W169/10000),MOD(INT($W169/100),100),MOD($W169,100)),""),INT($W169)),IFERROR(DATE(--LEFT(LEFT(SUBSTITUTE(SUBSTITUTE(SUBSTITUTE(SUBSTITUTE(TRIM($W169),"-",""),".",""),"/","")," ",""),8),4),--MID(LEFT(SUBSTITUTE(SUBSTITUTE(SUBSTITUTE(SUBSTITUTE(TRIM($W169),"-",""),".",""),"/","")," ",""),8),5,2),--MID(LEFT(SUBSTITUTE(SUBSTITUTE(SUBSTITUTE(SUBSTITUTE(TRIM($W169),"-",""),".",""),"/","")," ",""),8),7,2)),"")))</f>
        <v/>
      </c>
      <c r="Y169" s="32">
        <f>IF($X169="","",INT($X169))</f>
        <v/>
      </c>
      <c r="Z169" s="33">
        <f>IF(OR($Y169="",$D$6=""),"",IF(INDEX($A:$U,ROW(),$D$6)="",0,IF(ISNUMBER(INDEX($A:$U,ROW(),$D$6)),INDEX($A:$U,ROW(),$D$6),IFERROR(--SUBSTITUTE(SUBSTITUTE(TRIM(INDEX($A:$U,ROW(),$D$6)),",",""),"원",""),0))))</f>
        <v/>
      </c>
      <c r="AA169" s="31">
        <f>IF($Y169="","",TRIM(INDEX($A:$U,ROW(),$E$6)&amp;IF($F$6="",""," "&amp;INDEX($A:$U,ROW(),$F$6))))</f>
        <v/>
      </c>
      <c r="AB169" s="31">
        <f>IF($AA169="","",SUBSTITUTE(SUBSTITUTE(SUBSTITUTE(SUBSTITUTE(SUBSTITUTE(SUBSTITUTE(SUBSTITUTE(SUBSTITUTE(SUBSTITUTE($AA169," ",""),"　",""),"(주)",""),"（주）",""),"㈜",""),"주식회사",""),"(유)",""),"（유）",""),"유한회사",""))</f>
        <v/>
      </c>
      <c r="AC169" s="31">
        <f>IF(OR($Y169="",N($Z169)&lt;=0,$AB169=""),0,IFERROR(LOOKUP(2,1/((거래처별!$AC$8:$AC$307&lt;&gt;"")*ISNUMBER(SEARCH(거래처별!$AC$8:$AC$307,$AB169))),거래처별!$A$8:$A$307),IFERROR(LOOKUP(2,1/((거래처별!$AD$8:$AD$307&lt;&gt;"")*ISNUMBER(SEARCH(거래처별!$AD$8:$AD$307,$AB169))),거래처별!$A$8:$A$307),IFERROR(LOOKUP(2,1/((거래처별!$AE$8:$AE$307&lt;&gt;"")*ISNUMBER(SEARCH(거래처별!$AE$8:$AE$307,$AB169))),거래처별!$A$8:$A$307),0))))</f>
        <v/>
      </c>
      <c r="AD169" s="31">
        <f>IF(AND($Y169&lt;&gt;"",N($Z169)&gt;0,$AC169=0),MAX($AD$7:$AD168)+1,"")</f>
        <v/>
      </c>
      <c r="AE169" s="31">
        <f>IF($Y169="",0,$Y169)</f>
        <v/>
      </c>
    </row>
    <row r="170">
      <c r="W170" s="31">
        <f>IF(OR($B$5="",$C$6="",ROW()&lt;$B$5),"",IF(INDEX($A:$U,ROW(),$C$6)="","",INDEX($A:$U,ROW(),$C$6)))</f>
        <v/>
      </c>
      <c r="X170" s="32">
        <f>IF($W170="","",IF(ISNUMBER($W170),IF($W170&gt;=10000000,IFERROR(DATE(INT($W170/10000),MOD(INT($W170/100),100),MOD($W170,100)),""),INT($W170)),IFERROR(DATE(--LEFT(LEFT(SUBSTITUTE(SUBSTITUTE(SUBSTITUTE(SUBSTITUTE(TRIM($W170),"-",""),".",""),"/","")," ",""),8),4),--MID(LEFT(SUBSTITUTE(SUBSTITUTE(SUBSTITUTE(SUBSTITUTE(TRIM($W170),"-",""),".",""),"/","")," ",""),8),5,2),--MID(LEFT(SUBSTITUTE(SUBSTITUTE(SUBSTITUTE(SUBSTITUTE(TRIM($W170),"-",""),".",""),"/","")," ",""),8),7,2)),"")))</f>
        <v/>
      </c>
      <c r="Y170" s="32">
        <f>IF($X170="","",INT($X170))</f>
        <v/>
      </c>
      <c r="Z170" s="33">
        <f>IF(OR($Y170="",$D$6=""),"",IF(INDEX($A:$U,ROW(),$D$6)="",0,IF(ISNUMBER(INDEX($A:$U,ROW(),$D$6)),INDEX($A:$U,ROW(),$D$6),IFERROR(--SUBSTITUTE(SUBSTITUTE(TRIM(INDEX($A:$U,ROW(),$D$6)),",",""),"원",""),0))))</f>
        <v/>
      </c>
      <c r="AA170" s="31">
        <f>IF($Y170="","",TRIM(INDEX($A:$U,ROW(),$E$6)&amp;IF($F$6="",""," "&amp;INDEX($A:$U,ROW(),$F$6))))</f>
        <v/>
      </c>
      <c r="AB170" s="31">
        <f>IF($AA170="","",SUBSTITUTE(SUBSTITUTE(SUBSTITUTE(SUBSTITUTE(SUBSTITUTE(SUBSTITUTE(SUBSTITUTE(SUBSTITUTE(SUBSTITUTE($AA170," ",""),"　",""),"(주)",""),"（주）",""),"㈜",""),"주식회사",""),"(유)",""),"（유）",""),"유한회사",""))</f>
        <v/>
      </c>
      <c r="AC170" s="31">
        <f>IF(OR($Y170="",N($Z170)&lt;=0,$AB170=""),0,IFERROR(LOOKUP(2,1/((거래처별!$AC$8:$AC$307&lt;&gt;"")*ISNUMBER(SEARCH(거래처별!$AC$8:$AC$307,$AB170))),거래처별!$A$8:$A$307),IFERROR(LOOKUP(2,1/((거래처별!$AD$8:$AD$307&lt;&gt;"")*ISNUMBER(SEARCH(거래처별!$AD$8:$AD$307,$AB170))),거래처별!$A$8:$A$307),IFERROR(LOOKUP(2,1/((거래처별!$AE$8:$AE$307&lt;&gt;"")*ISNUMBER(SEARCH(거래처별!$AE$8:$AE$307,$AB170))),거래처별!$A$8:$A$307),0))))</f>
        <v/>
      </c>
      <c r="AD170" s="31">
        <f>IF(AND($Y170&lt;&gt;"",N($Z170)&gt;0,$AC170=0),MAX($AD$7:$AD169)+1,"")</f>
        <v/>
      </c>
      <c r="AE170" s="31">
        <f>IF($Y170="",0,$Y170)</f>
        <v/>
      </c>
    </row>
    <row r="171">
      <c r="W171" s="31">
        <f>IF(OR($B$5="",$C$6="",ROW()&lt;$B$5),"",IF(INDEX($A:$U,ROW(),$C$6)="","",INDEX($A:$U,ROW(),$C$6)))</f>
        <v/>
      </c>
      <c r="X171" s="32">
        <f>IF($W171="","",IF(ISNUMBER($W171),IF($W171&gt;=10000000,IFERROR(DATE(INT($W171/10000),MOD(INT($W171/100),100),MOD($W171,100)),""),INT($W171)),IFERROR(DATE(--LEFT(LEFT(SUBSTITUTE(SUBSTITUTE(SUBSTITUTE(SUBSTITUTE(TRIM($W171),"-",""),".",""),"/","")," ",""),8),4),--MID(LEFT(SUBSTITUTE(SUBSTITUTE(SUBSTITUTE(SUBSTITUTE(TRIM($W171),"-",""),".",""),"/","")," ",""),8),5,2),--MID(LEFT(SUBSTITUTE(SUBSTITUTE(SUBSTITUTE(SUBSTITUTE(TRIM($W171),"-",""),".",""),"/","")," ",""),8),7,2)),"")))</f>
        <v/>
      </c>
      <c r="Y171" s="32">
        <f>IF($X171="","",INT($X171))</f>
        <v/>
      </c>
      <c r="Z171" s="33">
        <f>IF(OR($Y171="",$D$6=""),"",IF(INDEX($A:$U,ROW(),$D$6)="",0,IF(ISNUMBER(INDEX($A:$U,ROW(),$D$6)),INDEX($A:$U,ROW(),$D$6),IFERROR(--SUBSTITUTE(SUBSTITUTE(TRIM(INDEX($A:$U,ROW(),$D$6)),",",""),"원",""),0))))</f>
        <v/>
      </c>
      <c r="AA171" s="31">
        <f>IF($Y171="","",TRIM(INDEX($A:$U,ROW(),$E$6)&amp;IF($F$6="",""," "&amp;INDEX($A:$U,ROW(),$F$6))))</f>
        <v/>
      </c>
      <c r="AB171" s="31">
        <f>IF($AA171="","",SUBSTITUTE(SUBSTITUTE(SUBSTITUTE(SUBSTITUTE(SUBSTITUTE(SUBSTITUTE(SUBSTITUTE(SUBSTITUTE(SUBSTITUTE($AA171," ",""),"　",""),"(주)",""),"（주）",""),"㈜",""),"주식회사",""),"(유)",""),"（유）",""),"유한회사",""))</f>
        <v/>
      </c>
      <c r="AC171" s="31">
        <f>IF(OR($Y171="",N($Z171)&lt;=0,$AB171=""),0,IFERROR(LOOKUP(2,1/((거래처별!$AC$8:$AC$307&lt;&gt;"")*ISNUMBER(SEARCH(거래처별!$AC$8:$AC$307,$AB171))),거래처별!$A$8:$A$307),IFERROR(LOOKUP(2,1/((거래처별!$AD$8:$AD$307&lt;&gt;"")*ISNUMBER(SEARCH(거래처별!$AD$8:$AD$307,$AB171))),거래처별!$A$8:$A$307),IFERROR(LOOKUP(2,1/((거래처별!$AE$8:$AE$307&lt;&gt;"")*ISNUMBER(SEARCH(거래처별!$AE$8:$AE$307,$AB171))),거래처별!$A$8:$A$307),0))))</f>
        <v/>
      </c>
      <c r="AD171" s="31">
        <f>IF(AND($Y171&lt;&gt;"",N($Z171)&gt;0,$AC171=0),MAX($AD$7:$AD170)+1,"")</f>
        <v/>
      </c>
      <c r="AE171" s="31">
        <f>IF($Y171="",0,$Y171)</f>
        <v/>
      </c>
    </row>
    <row r="172">
      <c r="W172" s="31">
        <f>IF(OR($B$5="",$C$6="",ROW()&lt;$B$5),"",IF(INDEX($A:$U,ROW(),$C$6)="","",INDEX($A:$U,ROW(),$C$6)))</f>
        <v/>
      </c>
      <c r="X172" s="32">
        <f>IF($W172="","",IF(ISNUMBER($W172),IF($W172&gt;=10000000,IFERROR(DATE(INT($W172/10000),MOD(INT($W172/100),100),MOD($W172,100)),""),INT($W172)),IFERROR(DATE(--LEFT(LEFT(SUBSTITUTE(SUBSTITUTE(SUBSTITUTE(SUBSTITUTE(TRIM($W172),"-",""),".",""),"/","")," ",""),8),4),--MID(LEFT(SUBSTITUTE(SUBSTITUTE(SUBSTITUTE(SUBSTITUTE(TRIM($W172),"-",""),".",""),"/","")," ",""),8),5,2),--MID(LEFT(SUBSTITUTE(SUBSTITUTE(SUBSTITUTE(SUBSTITUTE(TRIM($W172),"-",""),".",""),"/","")," ",""),8),7,2)),"")))</f>
        <v/>
      </c>
      <c r="Y172" s="32">
        <f>IF($X172="","",INT($X172))</f>
        <v/>
      </c>
      <c r="Z172" s="33">
        <f>IF(OR($Y172="",$D$6=""),"",IF(INDEX($A:$U,ROW(),$D$6)="",0,IF(ISNUMBER(INDEX($A:$U,ROW(),$D$6)),INDEX($A:$U,ROW(),$D$6),IFERROR(--SUBSTITUTE(SUBSTITUTE(TRIM(INDEX($A:$U,ROW(),$D$6)),",",""),"원",""),0))))</f>
        <v/>
      </c>
      <c r="AA172" s="31">
        <f>IF($Y172="","",TRIM(INDEX($A:$U,ROW(),$E$6)&amp;IF($F$6="",""," "&amp;INDEX($A:$U,ROW(),$F$6))))</f>
        <v/>
      </c>
      <c r="AB172" s="31">
        <f>IF($AA172="","",SUBSTITUTE(SUBSTITUTE(SUBSTITUTE(SUBSTITUTE(SUBSTITUTE(SUBSTITUTE(SUBSTITUTE(SUBSTITUTE(SUBSTITUTE($AA172," ",""),"　",""),"(주)",""),"（주）",""),"㈜",""),"주식회사",""),"(유)",""),"（유）",""),"유한회사",""))</f>
        <v/>
      </c>
      <c r="AC172" s="31">
        <f>IF(OR($Y172="",N($Z172)&lt;=0,$AB172=""),0,IFERROR(LOOKUP(2,1/((거래처별!$AC$8:$AC$307&lt;&gt;"")*ISNUMBER(SEARCH(거래처별!$AC$8:$AC$307,$AB172))),거래처별!$A$8:$A$307),IFERROR(LOOKUP(2,1/((거래처별!$AD$8:$AD$307&lt;&gt;"")*ISNUMBER(SEARCH(거래처별!$AD$8:$AD$307,$AB172))),거래처별!$A$8:$A$307),IFERROR(LOOKUP(2,1/((거래처별!$AE$8:$AE$307&lt;&gt;"")*ISNUMBER(SEARCH(거래처별!$AE$8:$AE$307,$AB172))),거래처별!$A$8:$A$307),0))))</f>
        <v/>
      </c>
      <c r="AD172" s="31">
        <f>IF(AND($Y172&lt;&gt;"",N($Z172)&gt;0,$AC172=0),MAX($AD$7:$AD171)+1,"")</f>
        <v/>
      </c>
      <c r="AE172" s="31">
        <f>IF($Y172="",0,$Y172)</f>
        <v/>
      </c>
    </row>
    <row r="173">
      <c r="W173" s="31">
        <f>IF(OR($B$5="",$C$6="",ROW()&lt;$B$5),"",IF(INDEX($A:$U,ROW(),$C$6)="","",INDEX($A:$U,ROW(),$C$6)))</f>
        <v/>
      </c>
      <c r="X173" s="32">
        <f>IF($W173="","",IF(ISNUMBER($W173),IF($W173&gt;=10000000,IFERROR(DATE(INT($W173/10000),MOD(INT($W173/100),100),MOD($W173,100)),""),INT($W173)),IFERROR(DATE(--LEFT(LEFT(SUBSTITUTE(SUBSTITUTE(SUBSTITUTE(SUBSTITUTE(TRIM($W173),"-",""),".",""),"/","")," ",""),8),4),--MID(LEFT(SUBSTITUTE(SUBSTITUTE(SUBSTITUTE(SUBSTITUTE(TRIM($W173),"-",""),".",""),"/","")," ",""),8),5,2),--MID(LEFT(SUBSTITUTE(SUBSTITUTE(SUBSTITUTE(SUBSTITUTE(TRIM($W173),"-",""),".",""),"/","")," ",""),8),7,2)),"")))</f>
        <v/>
      </c>
      <c r="Y173" s="32">
        <f>IF($X173="","",INT($X173))</f>
        <v/>
      </c>
      <c r="Z173" s="33">
        <f>IF(OR($Y173="",$D$6=""),"",IF(INDEX($A:$U,ROW(),$D$6)="",0,IF(ISNUMBER(INDEX($A:$U,ROW(),$D$6)),INDEX($A:$U,ROW(),$D$6),IFERROR(--SUBSTITUTE(SUBSTITUTE(TRIM(INDEX($A:$U,ROW(),$D$6)),",",""),"원",""),0))))</f>
        <v/>
      </c>
      <c r="AA173" s="31">
        <f>IF($Y173="","",TRIM(INDEX($A:$U,ROW(),$E$6)&amp;IF($F$6="",""," "&amp;INDEX($A:$U,ROW(),$F$6))))</f>
        <v/>
      </c>
      <c r="AB173" s="31">
        <f>IF($AA173="","",SUBSTITUTE(SUBSTITUTE(SUBSTITUTE(SUBSTITUTE(SUBSTITUTE(SUBSTITUTE(SUBSTITUTE(SUBSTITUTE(SUBSTITUTE($AA173," ",""),"　",""),"(주)",""),"（주）",""),"㈜",""),"주식회사",""),"(유)",""),"（유）",""),"유한회사",""))</f>
        <v/>
      </c>
      <c r="AC173" s="31">
        <f>IF(OR($Y173="",N($Z173)&lt;=0,$AB173=""),0,IFERROR(LOOKUP(2,1/((거래처별!$AC$8:$AC$307&lt;&gt;"")*ISNUMBER(SEARCH(거래처별!$AC$8:$AC$307,$AB173))),거래처별!$A$8:$A$307),IFERROR(LOOKUP(2,1/((거래처별!$AD$8:$AD$307&lt;&gt;"")*ISNUMBER(SEARCH(거래처별!$AD$8:$AD$307,$AB173))),거래처별!$A$8:$A$307),IFERROR(LOOKUP(2,1/((거래처별!$AE$8:$AE$307&lt;&gt;"")*ISNUMBER(SEARCH(거래처별!$AE$8:$AE$307,$AB173))),거래처별!$A$8:$A$307),0))))</f>
        <v/>
      </c>
      <c r="AD173" s="31">
        <f>IF(AND($Y173&lt;&gt;"",N($Z173)&gt;0,$AC173=0),MAX($AD$7:$AD172)+1,"")</f>
        <v/>
      </c>
      <c r="AE173" s="31">
        <f>IF($Y173="",0,$Y173)</f>
        <v/>
      </c>
    </row>
    <row r="174">
      <c r="W174" s="31">
        <f>IF(OR($B$5="",$C$6="",ROW()&lt;$B$5),"",IF(INDEX($A:$U,ROW(),$C$6)="","",INDEX($A:$U,ROW(),$C$6)))</f>
        <v/>
      </c>
      <c r="X174" s="32">
        <f>IF($W174="","",IF(ISNUMBER($W174),IF($W174&gt;=10000000,IFERROR(DATE(INT($W174/10000),MOD(INT($W174/100),100),MOD($W174,100)),""),INT($W174)),IFERROR(DATE(--LEFT(LEFT(SUBSTITUTE(SUBSTITUTE(SUBSTITUTE(SUBSTITUTE(TRIM($W174),"-",""),".",""),"/","")," ",""),8),4),--MID(LEFT(SUBSTITUTE(SUBSTITUTE(SUBSTITUTE(SUBSTITUTE(TRIM($W174),"-",""),".",""),"/","")," ",""),8),5,2),--MID(LEFT(SUBSTITUTE(SUBSTITUTE(SUBSTITUTE(SUBSTITUTE(TRIM($W174),"-",""),".",""),"/","")," ",""),8),7,2)),"")))</f>
        <v/>
      </c>
      <c r="Y174" s="32">
        <f>IF($X174="","",INT($X174))</f>
        <v/>
      </c>
      <c r="Z174" s="33">
        <f>IF(OR($Y174="",$D$6=""),"",IF(INDEX($A:$U,ROW(),$D$6)="",0,IF(ISNUMBER(INDEX($A:$U,ROW(),$D$6)),INDEX($A:$U,ROW(),$D$6),IFERROR(--SUBSTITUTE(SUBSTITUTE(TRIM(INDEX($A:$U,ROW(),$D$6)),",",""),"원",""),0))))</f>
        <v/>
      </c>
      <c r="AA174" s="31">
        <f>IF($Y174="","",TRIM(INDEX($A:$U,ROW(),$E$6)&amp;IF($F$6="",""," "&amp;INDEX($A:$U,ROW(),$F$6))))</f>
        <v/>
      </c>
      <c r="AB174" s="31">
        <f>IF($AA174="","",SUBSTITUTE(SUBSTITUTE(SUBSTITUTE(SUBSTITUTE(SUBSTITUTE(SUBSTITUTE(SUBSTITUTE(SUBSTITUTE(SUBSTITUTE($AA174," ",""),"　",""),"(주)",""),"（주）",""),"㈜",""),"주식회사",""),"(유)",""),"（유）",""),"유한회사",""))</f>
        <v/>
      </c>
      <c r="AC174" s="31">
        <f>IF(OR($Y174="",N($Z174)&lt;=0,$AB174=""),0,IFERROR(LOOKUP(2,1/((거래처별!$AC$8:$AC$307&lt;&gt;"")*ISNUMBER(SEARCH(거래처별!$AC$8:$AC$307,$AB174))),거래처별!$A$8:$A$307),IFERROR(LOOKUP(2,1/((거래처별!$AD$8:$AD$307&lt;&gt;"")*ISNUMBER(SEARCH(거래처별!$AD$8:$AD$307,$AB174))),거래처별!$A$8:$A$307),IFERROR(LOOKUP(2,1/((거래처별!$AE$8:$AE$307&lt;&gt;"")*ISNUMBER(SEARCH(거래처별!$AE$8:$AE$307,$AB174))),거래처별!$A$8:$A$307),0))))</f>
        <v/>
      </c>
      <c r="AD174" s="31">
        <f>IF(AND($Y174&lt;&gt;"",N($Z174)&gt;0,$AC174=0),MAX($AD$7:$AD173)+1,"")</f>
        <v/>
      </c>
      <c r="AE174" s="31">
        <f>IF($Y174="",0,$Y174)</f>
        <v/>
      </c>
    </row>
    <row r="175">
      <c r="W175" s="31">
        <f>IF(OR($B$5="",$C$6="",ROW()&lt;$B$5),"",IF(INDEX($A:$U,ROW(),$C$6)="","",INDEX($A:$U,ROW(),$C$6)))</f>
        <v/>
      </c>
      <c r="X175" s="32">
        <f>IF($W175="","",IF(ISNUMBER($W175),IF($W175&gt;=10000000,IFERROR(DATE(INT($W175/10000),MOD(INT($W175/100),100),MOD($W175,100)),""),INT($W175)),IFERROR(DATE(--LEFT(LEFT(SUBSTITUTE(SUBSTITUTE(SUBSTITUTE(SUBSTITUTE(TRIM($W175),"-",""),".",""),"/","")," ",""),8),4),--MID(LEFT(SUBSTITUTE(SUBSTITUTE(SUBSTITUTE(SUBSTITUTE(TRIM($W175),"-",""),".",""),"/","")," ",""),8),5,2),--MID(LEFT(SUBSTITUTE(SUBSTITUTE(SUBSTITUTE(SUBSTITUTE(TRIM($W175),"-",""),".",""),"/","")," ",""),8),7,2)),"")))</f>
        <v/>
      </c>
      <c r="Y175" s="32">
        <f>IF($X175="","",INT($X175))</f>
        <v/>
      </c>
      <c r="Z175" s="33">
        <f>IF(OR($Y175="",$D$6=""),"",IF(INDEX($A:$U,ROW(),$D$6)="",0,IF(ISNUMBER(INDEX($A:$U,ROW(),$D$6)),INDEX($A:$U,ROW(),$D$6),IFERROR(--SUBSTITUTE(SUBSTITUTE(TRIM(INDEX($A:$U,ROW(),$D$6)),",",""),"원",""),0))))</f>
        <v/>
      </c>
      <c r="AA175" s="31">
        <f>IF($Y175="","",TRIM(INDEX($A:$U,ROW(),$E$6)&amp;IF($F$6="",""," "&amp;INDEX($A:$U,ROW(),$F$6))))</f>
        <v/>
      </c>
      <c r="AB175" s="31">
        <f>IF($AA175="","",SUBSTITUTE(SUBSTITUTE(SUBSTITUTE(SUBSTITUTE(SUBSTITUTE(SUBSTITUTE(SUBSTITUTE(SUBSTITUTE(SUBSTITUTE($AA175," ",""),"　",""),"(주)",""),"（주）",""),"㈜",""),"주식회사",""),"(유)",""),"（유）",""),"유한회사",""))</f>
        <v/>
      </c>
      <c r="AC175" s="31">
        <f>IF(OR($Y175="",N($Z175)&lt;=0,$AB175=""),0,IFERROR(LOOKUP(2,1/((거래처별!$AC$8:$AC$307&lt;&gt;"")*ISNUMBER(SEARCH(거래처별!$AC$8:$AC$307,$AB175))),거래처별!$A$8:$A$307),IFERROR(LOOKUP(2,1/((거래처별!$AD$8:$AD$307&lt;&gt;"")*ISNUMBER(SEARCH(거래처별!$AD$8:$AD$307,$AB175))),거래처별!$A$8:$A$307),IFERROR(LOOKUP(2,1/((거래처별!$AE$8:$AE$307&lt;&gt;"")*ISNUMBER(SEARCH(거래처별!$AE$8:$AE$307,$AB175))),거래처별!$A$8:$A$307),0))))</f>
        <v/>
      </c>
      <c r="AD175" s="31">
        <f>IF(AND($Y175&lt;&gt;"",N($Z175)&gt;0,$AC175=0),MAX($AD$7:$AD174)+1,"")</f>
        <v/>
      </c>
      <c r="AE175" s="31">
        <f>IF($Y175="",0,$Y175)</f>
        <v/>
      </c>
    </row>
    <row r="176">
      <c r="W176" s="31">
        <f>IF(OR($B$5="",$C$6="",ROW()&lt;$B$5),"",IF(INDEX($A:$U,ROW(),$C$6)="","",INDEX($A:$U,ROW(),$C$6)))</f>
        <v/>
      </c>
      <c r="X176" s="32">
        <f>IF($W176="","",IF(ISNUMBER($W176),IF($W176&gt;=10000000,IFERROR(DATE(INT($W176/10000),MOD(INT($W176/100),100),MOD($W176,100)),""),INT($W176)),IFERROR(DATE(--LEFT(LEFT(SUBSTITUTE(SUBSTITUTE(SUBSTITUTE(SUBSTITUTE(TRIM($W176),"-",""),".",""),"/","")," ",""),8),4),--MID(LEFT(SUBSTITUTE(SUBSTITUTE(SUBSTITUTE(SUBSTITUTE(TRIM($W176),"-",""),".",""),"/","")," ",""),8),5,2),--MID(LEFT(SUBSTITUTE(SUBSTITUTE(SUBSTITUTE(SUBSTITUTE(TRIM($W176),"-",""),".",""),"/","")," ",""),8),7,2)),"")))</f>
        <v/>
      </c>
      <c r="Y176" s="32">
        <f>IF($X176="","",INT($X176))</f>
        <v/>
      </c>
      <c r="Z176" s="33">
        <f>IF(OR($Y176="",$D$6=""),"",IF(INDEX($A:$U,ROW(),$D$6)="",0,IF(ISNUMBER(INDEX($A:$U,ROW(),$D$6)),INDEX($A:$U,ROW(),$D$6),IFERROR(--SUBSTITUTE(SUBSTITUTE(TRIM(INDEX($A:$U,ROW(),$D$6)),",",""),"원",""),0))))</f>
        <v/>
      </c>
      <c r="AA176" s="31">
        <f>IF($Y176="","",TRIM(INDEX($A:$U,ROW(),$E$6)&amp;IF($F$6="",""," "&amp;INDEX($A:$U,ROW(),$F$6))))</f>
        <v/>
      </c>
      <c r="AB176" s="31">
        <f>IF($AA176="","",SUBSTITUTE(SUBSTITUTE(SUBSTITUTE(SUBSTITUTE(SUBSTITUTE(SUBSTITUTE(SUBSTITUTE(SUBSTITUTE(SUBSTITUTE($AA176," ",""),"　",""),"(주)",""),"（주）",""),"㈜",""),"주식회사",""),"(유)",""),"（유）",""),"유한회사",""))</f>
        <v/>
      </c>
      <c r="AC176" s="31">
        <f>IF(OR($Y176="",N($Z176)&lt;=0,$AB176=""),0,IFERROR(LOOKUP(2,1/((거래처별!$AC$8:$AC$307&lt;&gt;"")*ISNUMBER(SEARCH(거래처별!$AC$8:$AC$307,$AB176))),거래처별!$A$8:$A$307),IFERROR(LOOKUP(2,1/((거래처별!$AD$8:$AD$307&lt;&gt;"")*ISNUMBER(SEARCH(거래처별!$AD$8:$AD$307,$AB176))),거래처별!$A$8:$A$307),IFERROR(LOOKUP(2,1/((거래처별!$AE$8:$AE$307&lt;&gt;"")*ISNUMBER(SEARCH(거래처별!$AE$8:$AE$307,$AB176))),거래처별!$A$8:$A$307),0))))</f>
        <v/>
      </c>
      <c r="AD176" s="31">
        <f>IF(AND($Y176&lt;&gt;"",N($Z176)&gt;0,$AC176=0),MAX($AD$7:$AD175)+1,"")</f>
        <v/>
      </c>
      <c r="AE176" s="31">
        <f>IF($Y176="",0,$Y176)</f>
        <v/>
      </c>
    </row>
    <row r="177">
      <c r="W177" s="31">
        <f>IF(OR($B$5="",$C$6="",ROW()&lt;$B$5),"",IF(INDEX($A:$U,ROW(),$C$6)="","",INDEX($A:$U,ROW(),$C$6)))</f>
        <v/>
      </c>
      <c r="X177" s="32">
        <f>IF($W177="","",IF(ISNUMBER($W177),IF($W177&gt;=10000000,IFERROR(DATE(INT($W177/10000),MOD(INT($W177/100),100),MOD($W177,100)),""),INT($W177)),IFERROR(DATE(--LEFT(LEFT(SUBSTITUTE(SUBSTITUTE(SUBSTITUTE(SUBSTITUTE(TRIM($W177),"-",""),".",""),"/","")," ",""),8),4),--MID(LEFT(SUBSTITUTE(SUBSTITUTE(SUBSTITUTE(SUBSTITUTE(TRIM($W177),"-",""),".",""),"/","")," ",""),8),5,2),--MID(LEFT(SUBSTITUTE(SUBSTITUTE(SUBSTITUTE(SUBSTITUTE(TRIM($W177),"-",""),".",""),"/","")," ",""),8),7,2)),"")))</f>
        <v/>
      </c>
      <c r="Y177" s="32">
        <f>IF($X177="","",INT($X177))</f>
        <v/>
      </c>
      <c r="Z177" s="33">
        <f>IF(OR($Y177="",$D$6=""),"",IF(INDEX($A:$U,ROW(),$D$6)="",0,IF(ISNUMBER(INDEX($A:$U,ROW(),$D$6)),INDEX($A:$U,ROW(),$D$6),IFERROR(--SUBSTITUTE(SUBSTITUTE(TRIM(INDEX($A:$U,ROW(),$D$6)),",",""),"원",""),0))))</f>
        <v/>
      </c>
      <c r="AA177" s="31">
        <f>IF($Y177="","",TRIM(INDEX($A:$U,ROW(),$E$6)&amp;IF($F$6="",""," "&amp;INDEX($A:$U,ROW(),$F$6))))</f>
        <v/>
      </c>
      <c r="AB177" s="31">
        <f>IF($AA177="","",SUBSTITUTE(SUBSTITUTE(SUBSTITUTE(SUBSTITUTE(SUBSTITUTE(SUBSTITUTE(SUBSTITUTE(SUBSTITUTE(SUBSTITUTE($AA177," ",""),"　",""),"(주)",""),"（주）",""),"㈜",""),"주식회사",""),"(유)",""),"（유）",""),"유한회사",""))</f>
        <v/>
      </c>
      <c r="AC177" s="31">
        <f>IF(OR($Y177="",N($Z177)&lt;=0,$AB177=""),0,IFERROR(LOOKUP(2,1/((거래처별!$AC$8:$AC$307&lt;&gt;"")*ISNUMBER(SEARCH(거래처별!$AC$8:$AC$307,$AB177))),거래처별!$A$8:$A$307),IFERROR(LOOKUP(2,1/((거래처별!$AD$8:$AD$307&lt;&gt;"")*ISNUMBER(SEARCH(거래처별!$AD$8:$AD$307,$AB177))),거래처별!$A$8:$A$307),IFERROR(LOOKUP(2,1/((거래처별!$AE$8:$AE$307&lt;&gt;"")*ISNUMBER(SEARCH(거래처별!$AE$8:$AE$307,$AB177))),거래처별!$A$8:$A$307),0))))</f>
        <v/>
      </c>
      <c r="AD177" s="31">
        <f>IF(AND($Y177&lt;&gt;"",N($Z177)&gt;0,$AC177=0),MAX($AD$7:$AD176)+1,"")</f>
        <v/>
      </c>
      <c r="AE177" s="31">
        <f>IF($Y177="",0,$Y177)</f>
        <v/>
      </c>
    </row>
    <row r="178">
      <c r="W178" s="31">
        <f>IF(OR($B$5="",$C$6="",ROW()&lt;$B$5),"",IF(INDEX($A:$U,ROW(),$C$6)="","",INDEX($A:$U,ROW(),$C$6)))</f>
        <v/>
      </c>
      <c r="X178" s="32">
        <f>IF($W178="","",IF(ISNUMBER($W178),IF($W178&gt;=10000000,IFERROR(DATE(INT($W178/10000),MOD(INT($W178/100),100),MOD($W178,100)),""),INT($W178)),IFERROR(DATE(--LEFT(LEFT(SUBSTITUTE(SUBSTITUTE(SUBSTITUTE(SUBSTITUTE(TRIM($W178),"-",""),".",""),"/","")," ",""),8),4),--MID(LEFT(SUBSTITUTE(SUBSTITUTE(SUBSTITUTE(SUBSTITUTE(TRIM($W178),"-",""),".",""),"/","")," ",""),8),5,2),--MID(LEFT(SUBSTITUTE(SUBSTITUTE(SUBSTITUTE(SUBSTITUTE(TRIM($W178),"-",""),".",""),"/","")," ",""),8),7,2)),"")))</f>
        <v/>
      </c>
      <c r="Y178" s="32">
        <f>IF($X178="","",INT($X178))</f>
        <v/>
      </c>
      <c r="Z178" s="33">
        <f>IF(OR($Y178="",$D$6=""),"",IF(INDEX($A:$U,ROW(),$D$6)="",0,IF(ISNUMBER(INDEX($A:$U,ROW(),$D$6)),INDEX($A:$U,ROW(),$D$6),IFERROR(--SUBSTITUTE(SUBSTITUTE(TRIM(INDEX($A:$U,ROW(),$D$6)),",",""),"원",""),0))))</f>
        <v/>
      </c>
      <c r="AA178" s="31">
        <f>IF($Y178="","",TRIM(INDEX($A:$U,ROW(),$E$6)&amp;IF($F$6="",""," "&amp;INDEX($A:$U,ROW(),$F$6))))</f>
        <v/>
      </c>
      <c r="AB178" s="31">
        <f>IF($AA178="","",SUBSTITUTE(SUBSTITUTE(SUBSTITUTE(SUBSTITUTE(SUBSTITUTE(SUBSTITUTE(SUBSTITUTE(SUBSTITUTE(SUBSTITUTE($AA178," ",""),"　",""),"(주)",""),"（주）",""),"㈜",""),"주식회사",""),"(유)",""),"（유）",""),"유한회사",""))</f>
        <v/>
      </c>
      <c r="AC178" s="31">
        <f>IF(OR($Y178="",N($Z178)&lt;=0,$AB178=""),0,IFERROR(LOOKUP(2,1/((거래처별!$AC$8:$AC$307&lt;&gt;"")*ISNUMBER(SEARCH(거래처별!$AC$8:$AC$307,$AB178))),거래처별!$A$8:$A$307),IFERROR(LOOKUP(2,1/((거래처별!$AD$8:$AD$307&lt;&gt;"")*ISNUMBER(SEARCH(거래처별!$AD$8:$AD$307,$AB178))),거래처별!$A$8:$A$307),IFERROR(LOOKUP(2,1/((거래처별!$AE$8:$AE$307&lt;&gt;"")*ISNUMBER(SEARCH(거래처별!$AE$8:$AE$307,$AB178))),거래처별!$A$8:$A$307),0))))</f>
        <v/>
      </c>
      <c r="AD178" s="31">
        <f>IF(AND($Y178&lt;&gt;"",N($Z178)&gt;0,$AC178=0),MAX($AD$7:$AD177)+1,"")</f>
        <v/>
      </c>
      <c r="AE178" s="31">
        <f>IF($Y178="",0,$Y178)</f>
        <v/>
      </c>
    </row>
    <row r="179">
      <c r="W179" s="31">
        <f>IF(OR($B$5="",$C$6="",ROW()&lt;$B$5),"",IF(INDEX($A:$U,ROW(),$C$6)="","",INDEX($A:$U,ROW(),$C$6)))</f>
        <v/>
      </c>
      <c r="X179" s="32">
        <f>IF($W179="","",IF(ISNUMBER($W179),IF($W179&gt;=10000000,IFERROR(DATE(INT($W179/10000),MOD(INT($W179/100),100),MOD($W179,100)),""),INT($W179)),IFERROR(DATE(--LEFT(LEFT(SUBSTITUTE(SUBSTITUTE(SUBSTITUTE(SUBSTITUTE(TRIM($W179),"-",""),".",""),"/","")," ",""),8),4),--MID(LEFT(SUBSTITUTE(SUBSTITUTE(SUBSTITUTE(SUBSTITUTE(TRIM($W179),"-",""),".",""),"/","")," ",""),8),5,2),--MID(LEFT(SUBSTITUTE(SUBSTITUTE(SUBSTITUTE(SUBSTITUTE(TRIM($W179),"-",""),".",""),"/","")," ",""),8),7,2)),"")))</f>
        <v/>
      </c>
      <c r="Y179" s="32">
        <f>IF($X179="","",INT($X179))</f>
        <v/>
      </c>
      <c r="Z179" s="33">
        <f>IF(OR($Y179="",$D$6=""),"",IF(INDEX($A:$U,ROW(),$D$6)="",0,IF(ISNUMBER(INDEX($A:$U,ROW(),$D$6)),INDEX($A:$U,ROW(),$D$6),IFERROR(--SUBSTITUTE(SUBSTITUTE(TRIM(INDEX($A:$U,ROW(),$D$6)),",",""),"원",""),0))))</f>
        <v/>
      </c>
      <c r="AA179" s="31">
        <f>IF($Y179="","",TRIM(INDEX($A:$U,ROW(),$E$6)&amp;IF($F$6="",""," "&amp;INDEX($A:$U,ROW(),$F$6))))</f>
        <v/>
      </c>
      <c r="AB179" s="31">
        <f>IF($AA179="","",SUBSTITUTE(SUBSTITUTE(SUBSTITUTE(SUBSTITUTE(SUBSTITUTE(SUBSTITUTE(SUBSTITUTE(SUBSTITUTE(SUBSTITUTE($AA179," ",""),"　",""),"(주)",""),"（주）",""),"㈜",""),"주식회사",""),"(유)",""),"（유）",""),"유한회사",""))</f>
        <v/>
      </c>
      <c r="AC179" s="31">
        <f>IF(OR($Y179="",N($Z179)&lt;=0,$AB179=""),0,IFERROR(LOOKUP(2,1/((거래처별!$AC$8:$AC$307&lt;&gt;"")*ISNUMBER(SEARCH(거래처별!$AC$8:$AC$307,$AB179))),거래처별!$A$8:$A$307),IFERROR(LOOKUP(2,1/((거래처별!$AD$8:$AD$307&lt;&gt;"")*ISNUMBER(SEARCH(거래처별!$AD$8:$AD$307,$AB179))),거래처별!$A$8:$A$307),IFERROR(LOOKUP(2,1/((거래처별!$AE$8:$AE$307&lt;&gt;"")*ISNUMBER(SEARCH(거래처별!$AE$8:$AE$307,$AB179))),거래처별!$A$8:$A$307),0))))</f>
        <v/>
      </c>
      <c r="AD179" s="31">
        <f>IF(AND($Y179&lt;&gt;"",N($Z179)&gt;0,$AC179=0),MAX($AD$7:$AD178)+1,"")</f>
        <v/>
      </c>
      <c r="AE179" s="31">
        <f>IF($Y179="",0,$Y179)</f>
        <v/>
      </c>
    </row>
    <row r="180">
      <c r="W180" s="31">
        <f>IF(OR($B$5="",$C$6="",ROW()&lt;$B$5),"",IF(INDEX($A:$U,ROW(),$C$6)="","",INDEX($A:$U,ROW(),$C$6)))</f>
        <v/>
      </c>
      <c r="X180" s="32">
        <f>IF($W180="","",IF(ISNUMBER($W180),IF($W180&gt;=10000000,IFERROR(DATE(INT($W180/10000),MOD(INT($W180/100),100),MOD($W180,100)),""),INT($W180)),IFERROR(DATE(--LEFT(LEFT(SUBSTITUTE(SUBSTITUTE(SUBSTITUTE(SUBSTITUTE(TRIM($W180),"-",""),".",""),"/","")," ",""),8),4),--MID(LEFT(SUBSTITUTE(SUBSTITUTE(SUBSTITUTE(SUBSTITUTE(TRIM($W180),"-",""),".",""),"/","")," ",""),8),5,2),--MID(LEFT(SUBSTITUTE(SUBSTITUTE(SUBSTITUTE(SUBSTITUTE(TRIM($W180),"-",""),".",""),"/","")," ",""),8),7,2)),"")))</f>
        <v/>
      </c>
      <c r="Y180" s="32">
        <f>IF($X180="","",INT($X180))</f>
        <v/>
      </c>
      <c r="Z180" s="33">
        <f>IF(OR($Y180="",$D$6=""),"",IF(INDEX($A:$U,ROW(),$D$6)="",0,IF(ISNUMBER(INDEX($A:$U,ROW(),$D$6)),INDEX($A:$U,ROW(),$D$6),IFERROR(--SUBSTITUTE(SUBSTITUTE(TRIM(INDEX($A:$U,ROW(),$D$6)),",",""),"원",""),0))))</f>
        <v/>
      </c>
      <c r="AA180" s="31">
        <f>IF($Y180="","",TRIM(INDEX($A:$U,ROW(),$E$6)&amp;IF($F$6="",""," "&amp;INDEX($A:$U,ROW(),$F$6))))</f>
        <v/>
      </c>
      <c r="AB180" s="31">
        <f>IF($AA180="","",SUBSTITUTE(SUBSTITUTE(SUBSTITUTE(SUBSTITUTE(SUBSTITUTE(SUBSTITUTE(SUBSTITUTE(SUBSTITUTE(SUBSTITUTE($AA180," ",""),"　",""),"(주)",""),"（주）",""),"㈜",""),"주식회사",""),"(유)",""),"（유）",""),"유한회사",""))</f>
        <v/>
      </c>
      <c r="AC180" s="31">
        <f>IF(OR($Y180="",N($Z180)&lt;=0,$AB180=""),0,IFERROR(LOOKUP(2,1/((거래처별!$AC$8:$AC$307&lt;&gt;"")*ISNUMBER(SEARCH(거래처별!$AC$8:$AC$307,$AB180))),거래처별!$A$8:$A$307),IFERROR(LOOKUP(2,1/((거래처별!$AD$8:$AD$307&lt;&gt;"")*ISNUMBER(SEARCH(거래처별!$AD$8:$AD$307,$AB180))),거래처별!$A$8:$A$307),IFERROR(LOOKUP(2,1/((거래처별!$AE$8:$AE$307&lt;&gt;"")*ISNUMBER(SEARCH(거래처별!$AE$8:$AE$307,$AB180))),거래처별!$A$8:$A$307),0))))</f>
        <v/>
      </c>
      <c r="AD180" s="31">
        <f>IF(AND($Y180&lt;&gt;"",N($Z180)&gt;0,$AC180=0),MAX($AD$7:$AD179)+1,"")</f>
        <v/>
      </c>
      <c r="AE180" s="31">
        <f>IF($Y180="",0,$Y180)</f>
        <v/>
      </c>
    </row>
    <row r="181">
      <c r="W181" s="31">
        <f>IF(OR($B$5="",$C$6="",ROW()&lt;$B$5),"",IF(INDEX($A:$U,ROW(),$C$6)="","",INDEX($A:$U,ROW(),$C$6)))</f>
        <v/>
      </c>
      <c r="X181" s="32">
        <f>IF($W181="","",IF(ISNUMBER($W181),IF($W181&gt;=10000000,IFERROR(DATE(INT($W181/10000),MOD(INT($W181/100),100),MOD($W181,100)),""),INT($W181)),IFERROR(DATE(--LEFT(LEFT(SUBSTITUTE(SUBSTITUTE(SUBSTITUTE(SUBSTITUTE(TRIM($W181),"-",""),".",""),"/","")," ",""),8),4),--MID(LEFT(SUBSTITUTE(SUBSTITUTE(SUBSTITUTE(SUBSTITUTE(TRIM($W181),"-",""),".",""),"/","")," ",""),8),5,2),--MID(LEFT(SUBSTITUTE(SUBSTITUTE(SUBSTITUTE(SUBSTITUTE(TRIM($W181),"-",""),".",""),"/","")," ",""),8),7,2)),"")))</f>
        <v/>
      </c>
      <c r="Y181" s="32">
        <f>IF($X181="","",INT($X181))</f>
        <v/>
      </c>
      <c r="Z181" s="33">
        <f>IF(OR($Y181="",$D$6=""),"",IF(INDEX($A:$U,ROW(),$D$6)="",0,IF(ISNUMBER(INDEX($A:$U,ROW(),$D$6)),INDEX($A:$U,ROW(),$D$6),IFERROR(--SUBSTITUTE(SUBSTITUTE(TRIM(INDEX($A:$U,ROW(),$D$6)),",",""),"원",""),0))))</f>
        <v/>
      </c>
      <c r="AA181" s="31">
        <f>IF($Y181="","",TRIM(INDEX($A:$U,ROW(),$E$6)&amp;IF($F$6="",""," "&amp;INDEX($A:$U,ROW(),$F$6))))</f>
        <v/>
      </c>
      <c r="AB181" s="31">
        <f>IF($AA181="","",SUBSTITUTE(SUBSTITUTE(SUBSTITUTE(SUBSTITUTE(SUBSTITUTE(SUBSTITUTE(SUBSTITUTE(SUBSTITUTE(SUBSTITUTE($AA181," ",""),"　",""),"(주)",""),"（주）",""),"㈜",""),"주식회사",""),"(유)",""),"（유）",""),"유한회사",""))</f>
        <v/>
      </c>
      <c r="AC181" s="31">
        <f>IF(OR($Y181="",N($Z181)&lt;=0,$AB181=""),0,IFERROR(LOOKUP(2,1/((거래처별!$AC$8:$AC$307&lt;&gt;"")*ISNUMBER(SEARCH(거래처별!$AC$8:$AC$307,$AB181))),거래처별!$A$8:$A$307),IFERROR(LOOKUP(2,1/((거래처별!$AD$8:$AD$307&lt;&gt;"")*ISNUMBER(SEARCH(거래처별!$AD$8:$AD$307,$AB181))),거래처별!$A$8:$A$307),IFERROR(LOOKUP(2,1/((거래처별!$AE$8:$AE$307&lt;&gt;"")*ISNUMBER(SEARCH(거래처별!$AE$8:$AE$307,$AB181))),거래처별!$A$8:$A$307),0))))</f>
        <v/>
      </c>
      <c r="AD181" s="31">
        <f>IF(AND($Y181&lt;&gt;"",N($Z181)&gt;0,$AC181=0),MAX($AD$7:$AD180)+1,"")</f>
        <v/>
      </c>
      <c r="AE181" s="31">
        <f>IF($Y181="",0,$Y181)</f>
        <v/>
      </c>
    </row>
    <row r="182">
      <c r="W182" s="31">
        <f>IF(OR($B$5="",$C$6="",ROW()&lt;$B$5),"",IF(INDEX($A:$U,ROW(),$C$6)="","",INDEX($A:$U,ROW(),$C$6)))</f>
        <v/>
      </c>
      <c r="X182" s="32">
        <f>IF($W182="","",IF(ISNUMBER($W182),IF($W182&gt;=10000000,IFERROR(DATE(INT($W182/10000),MOD(INT($W182/100),100),MOD($W182,100)),""),INT($W182)),IFERROR(DATE(--LEFT(LEFT(SUBSTITUTE(SUBSTITUTE(SUBSTITUTE(SUBSTITUTE(TRIM($W182),"-",""),".",""),"/","")," ",""),8),4),--MID(LEFT(SUBSTITUTE(SUBSTITUTE(SUBSTITUTE(SUBSTITUTE(TRIM($W182),"-",""),".",""),"/","")," ",""),8),5,2),--MID(LEFT(SUBSTITUTE(SUBSTITUTE(SUBSTITUTE(SUBSTITUTE(TRIM($W182),"-",""),".",""),"/","")," ",""),8),7,2)),"")))</f>
        <v/>
      </c>
      <c r="Y182" s="32">
        <f>IF($X182="","",INT($X182))</f>
        <v/>
      </c>
      <c r="Z182" s="33">
        <f>IF(OR($Y182="",$D$6=""),"",IF(INDEX($A:$U,ROW(),$D$6)="",0,IF(ISNUMBER(INDEX($A:$U,ROW(),$D$6)),INDEX($A:$U,ROW(),$D$6),IFERROR(--SUBSTITUTE(SUBSTITUTE(TRIM(INDEX($A:$U,ROW(),$D$6)),",",""),"원",""),0))))</f>
        <v/>
      </c>
      <c r="AA182" s="31">
        <f>IF($Y182="","",TRIM(INDEX($A:$U,ROW(),$E$6)&amp;IF($F$6="",""," "&amp;INDEX($A:$U,ROW(),$F$6))))</f>
        <v/>
      </c>
      <c r="AB182" s="31">
        <f>IF($AA182="","",SUBSTITUTE(SUBSTITUTE(SUBSTITUTE(SUBSTITUTE(SUBSTITUTE(SUBSTITUTE(SUBSTITUTE(SUBSTITUTE(SUBSTITUTE($AA182," ",""),"　",""),"(주)",""),"（주）",""),"㈜",""),"주식회사",""),"(유)",""),"（유）",""),"유한회사",""))</f>
        <v/>
      </c>
      <c r="AC182" s="31">
        <f>IF(OR($Y182="",N($Z182)&lt;=0,$AB182=""),0,IFERROR(LOOKUP(2,1/((거래처별!$AC$8:$AC$307&lt;&gt;"")*ISNUMBER(SEARCH(거래처별!$AC$8:$AC$307,$AB182))),거래처별!$A$8:$A$307),IFERROR(LOOKUP(2,1/((거래처별!$AD$8:$AD$307&lt;&gt;"")*ISNUMBER(SEARCH(거래처별!$AD$8:$AD$307,$AB182))),거래처별!$A$8:$A$307),IFERROR(LOOKUP(2,1/((거래처별!$AE$8:$AE$307&lt;&gt;"")*ISNUMBER(SEARCH(거래처별!$AE$8:$AE$307,$AB182))),거래처별!$A$8:$A$307),0))))</f>
        <v/>
      </c>
      <c r="AD182" s="31">
        <f>IF(AND($Y182&lt;&gt;"",N($Z182)&gt;0,$AC182=0),MAX($AD$7:$AD181)+1,"")</f>
        <v/>
      </c>
      <c r="AE182" s="31">
        <f>IF($Y182="",0,$Y182)</f>
        <v/>
      </c>
    </row>
    <row r="183">
      <c r="W183" s="31">
        <f>IF(OR($B$5="",$C$6="",ROW()&lt;$B$5),"",IF(INDEX($A:$U,ROW(),$C$6)="","",INDEX($A:$U,ROW(),$C$6)))</f>
        <v/>
      </c>
      <c r="X183" s="32">
        <f>IF($W183="","",IF(ISNUMBER($W183),IF($W183&gt;=10000000,IFERROR(DATE(INT($W183/10000),MOD(INT($W183/100),100),MOD($W183,100)),""),INT($W183)),IFERROR(DATE(--LEFT(LEFT(SUBSTITUTE(SUBSTITUTE(SUBSTITUTE(SUBSTITUTE(TRIM($W183),"-",""),".",""),"/","")," ",""),8),4),--MID(LEFT(SUBSTITUTE(SUBSTITUTE(SUBSTITUTE(SUBSTITUTE(TRIM($W183),"-",""),".",""),"/","")," ",""),8),5,2),--MID(LEFT(SUBSTITUTE(SUBSTITUTE(SUBSTITUTE(SUBSTITUTE(TRIM($W183),"-",""),".",""),"/","")," ",""),8),7,2)),"")))</f>
        <v/>
      </c>
      <c r="Y183" s="32">
        <f>IF($X183="","",INT($X183))</f>
        <v/>
      </c>
      <c r="Z183" s="33">
        <f>IF(OR($Y183="",$D$6=""),"",IF(INDEX($A:$U,ROW(),$D$6)="",0,IF(ISNUMBER(INDEX($A:$U,ROW(),$D$6)),INDEX($A:$U,ROW(),$D$6),IFERROR(--SUBSTITUTE(SUBSTITUTE(TRIM(INDEX($A:$U,ROW(),$D$6)),",",""),"원",""),0))))</f>
        <v/>
      </c>
      <c r="AA183" s="31">
        <f>IF($Y183="","",TRIM(INDEX($A:$U,ROW(),$E$6)&amp;IF($F$6="",""," "&amp;INDEX($A:$U,ROW(),$F$6))))</f>
        <v/>
      </c>
      <c r="AB183" s="31">
        <f>IF($AA183="","",SUBSTITUTE(SUBSTITUTE(SUBSTITUTE(SUBSTITUTE(SUBSTITUTE(SUBSTITUTE(SUBSTITUTE(SUBSTITUTE(SUBSTITUTE($AA183," ",""),"　",""),"(주)",""),"（주）",""),"㈜",""),"주식회사",""),"(유)",""),"（유）",""),"유한회사",""))</f>
        <v/>
      </c>
      <c r="AC183" s="31">
        <f>IF(OR($Y183="",N($Z183)&lt;=0,$AB183=""),0,IFERROR(LOOKUP(2,1/((거래처별!$AC$8:$AC$307&lt;&gt;"")*ISNUMBER(SEARCH(거래처별!$AC$8:$AC$307,$AB183))),거래처별!$A$8:$A$307),IFERROR(LOOKUP(2,1/((거래처별!$AD$8:$AD$307&lt;&gt;"")*ISNUMBER(SEARCH(거래처별!$AD$8:$AD$307,$AB183))),거래처별!$A$8:$A$307),IFERROR(LOOKUP(2,1/((거래처별!$AE$8:$AE$307&lt;&gt;"")*ISNUMBER(SEARCH(거래처별!$AE$8:$AE$307,$AB183))),거래처별!$A$8:$A$307),0))))</f>
        <v/>
      </c>
      <c r="AD183" s="31">
        <f>IF(AND($Y183&lt;&gt;"",N($Z183)&gt;0,$AC183=0),MAX($AD$7:$AD182)+1,"")</f>
        <v/>
      </c>
      <c r="AE183" s="31">
        <f>IF($Y183="",0,$Y183)</f>
        <v/>
      </c>
    </row>
    <row r="184">
      <c r="W184" s="31">
        <f>IF(OR($B$5="",$C$6="",ROW()&lt;$B$5),"",IF(INDEX($A:$U,ROW(),$C$6)="","",INDEX($A:$U,ROW(),$C$6)))</f>
        <v/>
      </c>
      <c r="X184" s="32">
        <f>IF($W184="","",IF(ISNUMBER($W184),IF($W184&gt;=10000000,IFERROR(DATE(INT($W184/10000),MOD(INT($W184/100),100),MOD($W184,100)),""),INT($W184)),IFERROR(DATE(--LEFT(LEFT(SUBSTITUTE(SUBSTITUTE(SUBSTITUTE(SUBSTITUTE(TRIM($W184),"-",""),".",""),"/","")," ",""),8),4),--MID(LEFT(SUBSTITUTE(SUBSTITUTE(SUBSTITUTE(SUBSTITUTE(TRIM($W184),"-",""),".",""),"/","")," ",""),8),5,2),--MID(LEFT(SUBSTITUTE(SUBSTITUTE(SUBSTITUTE(SUBSTITUTE(TRIM($W184),"-",""),".",""),"/","")," ",""),8),7,2)),"")))</f>
        <v/>
      </c>
      <c r="Y184" s="32">
        <f>IF($X184="","",INT($X184))</f>
        <v/>
      </c>
      <c r="Z184" s="33">
        <f>IF(OR($Y184="",$D$6=""),"",IF(INDEX($A:$U,ROW(),$D$6)="",0,IF(ISNUMBER(INDEX($A:$U,ROW(),$D$6)),INDEX($A:$U,ROW(),$D$6),IFERROR(--SUBSTITUTE(SUBSTITUTE(TRIM(INDEX($A:$U,ROW(),$D$6)),",",""),"원",""),0))))</f>
        <v/>
      </c>
      <c r="AA184" s="31">
        <f>IF($Y184="","",TRIM(INDEX($A:$U,ROW(),$E$6)&amp;IF($F$6="",""," "&amp;INDEX($A:$U,ROW(),$F$6))))</f>
        <v/>
      </c>
      <c r="AB184" s="31">
        <f>IF($AA184="","",SUBSTITUTE(SUBSTITUTE(SUBSTITUTE(SUBSTITUTE(SUBSTITUTE(SUBSTITUTE(SUBSTITUTE(SUBSTITUTE(SUBSTITUTE($AA184," ",""),"　",""),"(주)",""),"（주）",""),"㈜",""),"주식회사",""),"(유)",""),"（유）",""),"유한회사",""))</f>
        <v/>
      </c>
      <c r="AC184" s="31">
        <f>IF(OR($Y184="",N($Z184)&lt;=0,$AB184=""),0,IFERROR(LOOKUP(2,1/((거래처별!$AC$8:$AC$307&lt;&gt;"")*ISNUMBER(SEARCH(거래처별!$AC$8:$AC$307,$AB184))),거래처별!$A$8:$A$307),IFERROR(LOOKUP(2,1/((거래처별!$AD$8:$AD$307&lt;&gt;"")*ISNUMBER(SEARCH(거래처별!$AD$8:$AD$307,$AB184))),거래처별!$A$8:$A$307),IFERROR(LOOKUP(2,1/((거래처별!$AE$8:$AE$307&lt;&gt;"")*ISNUMBER(SEARCH(거래처별!$AE$8:$AE$307,$AB184))),거래처별!$A$8:$A$307),0))))</f>
        <v/>
      </c>
      <c r="AD184" s="31">
        <f>IF(AND($Y184&lt;&gt;"",N($Z184)&gt;0,$AC184=0),MAX($AD$7:$AD183)+1,"")</f>
        <v/>
      </c>
      <c r="AE184" s="31">
        <f>IF($Y184="",0,$Y184)</f>
        <v/>
      </c>
    </row>
    <row r="185">
      <c r="W185" s="31">
        <f>IF(OR($B$5="",$C$6="",ROW()&lt;$B$5),"",IF(INDEX($A:$U,ROW(),$C$6)="","",INDEX($A:$U,ROW(),$C$6)))</f>
        <v/>
      </c>
      <c r="X185" s="32">
        <f>IF($W185="","",IF(ISNUMBER($W185),IF($W185&gt;=10000000,IFERROR(DATE(INT($W185/10000),MOD(INT($W185/100),100),MOD($W185,100)),""),INT($W185)),IFERROR(DATE(--LEFT(LEFT(SUBSTITUTE(SUBSTITUTE(SUBSTITUTE(SUBSTITUTE(TRIM($W185),"-",""),".",""),"/","")," ",""),8),4),--MID(LEFT(SUBSTITUTE(SUBSTITUTE(SUBSTITUTE(SUBSTITUTE(TRIM($W185),"-",""),".",""),"/","")," ",""),8),5,2),--MID(LEFT(SUBSTITUTE(SUBSTITUTE(SUBSTITUTE(SUBSTITUTE(TRIM($W185),"-",""),".",""),"/","")," ",""),8),7,2)),"")))</f>
        <v/>
      </c>
      <c r="Y185" s="32">
        <f>IF($X185="","",INT($X185))</f>
        <v/>
      </c>
      <c r="Z185" s="33">
        <f>IF(OR($Y185="",$D$6=""),"",IF(INDEX($A:$U,ROW(),$D$6)="",0,IF(ISNUMBER(INDEX($A:$U,ROW(),$D$6)),INDEX($A:$U,ROW(),$D$6),IFERROR(--SUBSTITUTE(SUBSTITUTE(TRIM(INDEX($A:$U,ROW(),$D$6)),",",""),"원",""),0))))</f>
        <v/>
      </c>
      <c r="AA185" s="31">
        <f>IF($Y185="","",TRIM(INDEX($A:$U,ROW(),$E$6)&amp;IF($F$6="",""," "&amp;INDEX($A:$U,ROW(),$F$6))))</f>
        <v/>
      </c>
      <c r="AB185" s="31">
        <f>IF($AA185="","",SUBSTITUTE(SUBSTITUTE(SUBSTITUTE(SUBSTITUTE(SUBSTITUTE(SUBSTITUTE(SUBSTITUTE(SUBSTITUTE(SUBSTITUTE($AA185," ",""),"　",""),"(주)",""),"（주）",""),"㈜",""),"주식회사",""),"(유)",""),"（유）",""),"유한회사",""))</f>
        <v/>
      </c>
      <c r="AC185" s="31">
        <f>IF(OR($Y185="",N($Z185)&lt;=0,$AB185=""),0,IFERROR(LOOKUP(2,1/((거래처별!$AC$8:$AC$307&lt;&gt;"")*ISNUMBER(SEARCH(거래처별!$AC$8:$AC$307,$AB185))),거래처별!$A$8:$A$307),IFERROR(LOOKUP(2,1/((거래처별!$AD$8:$AD$307&lt;&gt;"")*ISNUMBER(SEARCH(거래처별!$AD$8:$AD$307,$AB185))),거래처별!$A$8:$A$307),IFERROR(LOOKUP(2,1/((거래처별!$AE$8:$AE$307&lt;&gt;"")*ISNUMBER(SEARCH(거래처별!$AE$8:$AE$307,$AB185))),거래처별!$A$8:$A$307),0))))</f>
        <v/>
      </c>
      <c r="AD185" s="31">
        <f>IF(AND($Y185&lt;&gt;"",N($Z185)&gt;0,$AC185=0),MAX($AD$7:$AD184)+1,"")</f>
        <v/>
      </c>
      <c r="AE185" s="31">
        <f>IF($Y185="",0,$Y185)</f>
        <v/>
      </c>
    </row>
    <row r="186">
      <c r="W186" s="31">
        <f>IF(OR($B$5="",$C$6="",ROW()&lt;$B$5),"",IF(INDEX($A:$U,ROW(),$C$6)="","",INDEX($A:$U,ROW(),$C$6)))</f>
        <v/>
      </c>
      <c r="X186" s="32">
        <f>IF($W186="","",IF(ISNUMBER($W186),IF($W186&gt;=10000000,IFERROR(DATE(INT($W186/10000),MOD(INT($W186/100),100),MOD($W186,100)),""),INT($W186)),IFERROR(DATE(--LEFT(LEFT(SUBSTITUTE(SUBSTITUTE(SUBSTITUTE(SUBSTITUTE(TRIM($W186),"-",""),".",""),"/","")," ",""),8),4),--MID(LEFT(SUBSTITUTE(SUBSTITUTE(SUBSTITUTE(SUBSTITUTE(TRIM($W186),"-",""),".",""),"/","")," ",""),8),5,2),--MID(LEFT(SUBSTITUTE(SUBSTITUTE(SUBSTITUTE(SUBSTITUTE(TRIM($W186),"-",""),".",""),"/","")," ",""),8),7,2)),"")))</f>
        <v/>
      </c>
      <c r="Y186" s="32">
        <f>IF($X186="","",INT($X186))</f>
        <v/>
      </c>
      <c r="Z186" s="33">
        <f>IF(OR($Y186="",$D$6=""),"",IF(INDEX($A:$U,ROW(),$D$6)="",0,IF(ISNUMBER(INDEX($A:$U,ROW(),$D$6)),INDEX($A:$U,ROW(),$D$6),IFERROR(--SUBSTITUTE(SUBSTITUTE(TRIM(INDEX($A:$U,ROW(),$D$6)),",",""),"원",""),0))))</f>
        <v/>
      </c>
      <c r="AA186" s="31">
        <f>IF($Y186="","",TRIM(INDEX($A:$U,ROW(),$E$6)&amp;IF($F$6="",""," "&amp;INDEX($A:$U,ROW(),$F$6))))</f>
        <v/>
      </c>
      <c r="AB186" s="31">
        <f>IF($AA186="","",SUBSTITUTE(SUBSTITUTE(SUBSTITUTE(SUBSTITUTE(SUBSTITUTE(SUBSTITUTE(SUBSTITUTE(SUBSTITUTE(SUBSTITUTE($AA186," ",""),"　",""),"(주)",""),"（주）",""),"㈜",""),"주식회사",""),"(유)",""),"（유）",""),"유한회사",""))</f>
        <v/>
      </c>
      <c r="AC186" s="31">
        <f>IF(OR($Y186="",N($Z186)&lt;=0,$AB186=""),0,IFERROR(LOOKUP(2,1/((거래처별!$AC$8:$AC$307&lt;&gt;"")*ISNUMBER(SEARCH(거래처별!$AC$8:$AC$307,$AB186))),거래처별!$A$8:$A$307),IFERROR(LOOKUP(2,1/((거래처별!$AD$8:$AD$307&lt;&gt;"")*ISNUMBER(SEARCH(거래처별!$AD$8:$AD$307,$AB186))),거래처별!$A$8:$A$307),IFERROR(LOOKUP(2,1/((거래처별!$AE$8:$AE$307&lt;&gt;"")*ISNUMBER(SEARCH(거래처별!$AE$8:$AE$307,$AB186))),거래처별!$A$8:$A$307),0))))</f>
        <v/>
      </c>
      <c r="AD186" s="31">
        <f>IF(AND($Y186&lt;&gt;"",N($Z186)&gt;0,$AC186=0),MAX($AD$7:$AD185)+1,"")</f>
        <v/>
      </c>
      <c r="AE186" s="31">
        <f>IF($Y186="",0,$Y186)</f>
        <v/>
      </c>
    </row>
    <row r="187">
      <c r="W187" s="31">
        <f>IF(OR($B$5="",$C$6="",ROW()&lt;$B$5),"",IF(INDEX($A:$U,ROW(),$C$6)="","",INDEX($A:$U,ROW(),$C$6)))</f>
        <v/>
      </c>
      <c r="X187" s="32">
        <f>IF($W187="","",IF(ISNUMBER($W187),IF($W187&gt;=10000000,IFERROR(DATE(INT($W187/10000),MOD(INT($W187/100),100),MOD($W187,100)),""),INT($W187)),IFERROR(DATE(--LEFT(LEFT(SUBSTITUTE(SUBSTITUTE(SUBSTITUTE(SUBSTITUTE(TRIM($W187),"-",""),".",""),"/","")," ",""),8),4),--MID(LEFT(SUBSTITUTE(SUBSTITUTE(SUBSTITUTE(SUBSTITUTE(TRIM($W187),"-",""),".",""),"/","")," ",""),8),5,2),--MID(LEFT(SUBSTITUTE(SUBSTITUTE(SUBSTITUTE(SUBSTITUTE(TRIM($W187),"-",""),".",""),"/","")," ",""),8),7,2)),"")))</f>
        <v/>
      </c>
      <c r="Y187" s="32">
        <f>IF($X187="","",INT($X187))</f>
        <v/>
      </c>
      <c r="Z187" s="33">
        <f>IF(OR($Y187="",$D$6=""),"",IF(INDEX($A:$U,ROW(),$D$6)="",0,IF(ISNUMBER(INDEX($A:$U,ROW(),$D$6)),INDEX($A:$U,ROW(),$D$6),IFERROR(--SUBSTITUTE(SUBSTITUTE(TRIM(INDEX($A:$U,ROW(),$D$6)),",",""),"원",""),0))))</f>
        <v/>
      </c>
      <c r="AA187" s="31">
        <f>IF($Y187="","",TRIM(INDEX($A:$U,ROW(),$E$6)&amp;IF($F$6="",""," "&amp;INDEX($A:$U,ROW(),$F$6))))</f>
        <v/>
      </c>
      <c r="AB187" s="31">
        <f>IF($AA187="","",SUBSTITUTE(SUBSTITUTE(SUBSTITUTE(SUBSTITUTE(SUBSTITUTE(SUBSTITUTE(SUBSTITUTE(SUBSTITUTE(SUBSTITUTE($AA187," ",""),"　",""),"(주)",""),"（주）",""),"㈜",""),"주식회사",""),"(유)",""),"（유）",""),"유한회사",""))</f>
        <v/>
      </c>
      <c r="AC187" s="31">
        <f>IF(OR($Y187="",N($Z187)&lt;=0,$AB187=""),0,IFERROR(LOOKUP(2,1/((거래처별!$AC$8:$AC$307&lt;&gt;"")*ISNUMBER(SEARCH(거래처별!$AC$8:$AC$307,$AB187))),거래처별!$A$8:$A$307),IFERROR(LOOKUP(2,1/((거래처별!$AD$8:$AD$307&lt;&gt;"")*ISNUMBER(SEARCH(거래처별!$AD$8:$AD$307,$AB187))),거래처별!$A$8:$A$307),IFERROR(LOOKUP(2,1/((거래처별!$AE$8:$AE$307&lt;&gt;"")*ISNUMBER(SEARCH(거래처별!$AE$8:$AE$307,$AB187))),거래처별!$A$8:$A$307),0))))</f>
        <v/>
      </c>
      <c r="AD187" s="31">
        <f>IF(AND($Y187&lt;&gt;"",N($Z187)&gt;0,$AC187=0),MAX($AD$7:$AD186)+1,"")</f>
        <v/>
      </c>
      <c r="AE187" s="31">
        <f>IF($Y187="",0,$Y187)</f>
        <v/>
      </c>
    </row>
    <row r="188">
      <c r="W188" s="31">
        <f>IF(OR($B$5="",$C$6="",ROW()&lt;$B$5),"",IF(INDEX($A:$U,ROW(),$C$6)="","",INDEX($A:$U,ROW(),$C$6)))</f>
        <v/>
      </c>
      <c r="X188" s="32">
        <f>IF($W188="","",IF(ISNUMBER($W188),IF($W188&gt;=10000000,IFERROR(DATE(INT($W188/10000),MOD(INT($W188/100),100),MOD($W188,100)),""),INT($W188)),IFERROR(DATE(--LEFT(LEFT(SUBSTITUTE(SUBSTITUTE(SUBSTITUTE(SUBSTITUTE(TRIM($W188),"-",""),".",""),"/","")," ",""),8),4),--MID(LEFT(SUBSTITUTE(SUBSTITUTE(SUBSTITUTE(SUBSTITUTE(TRIM($W188),"-",""),".",""),"/","")," ",""),8),5,2),--MID(LEFT(SUBSTITUTE(SUBSTITUTE(SUBSTITUTE(SUBSTITUTE(TRIM($W188),"-",""),".",""),"/","")," ",""),8),7,2)),"")))</f>
        <v/>
      </c>
      <c r="Y188" s="32">
        <f>IF($X188="","",INT($X188))</f>
        <v/>
      </c>
      <c r="Z188" s="33">
        <f>IF(OR($Y188="",$D$6=""),"",IF(INDEX($A:$U,ROW(),$D$6)="",0,IF(ISNUMBER(INDEX($A:$U,ROW(),$D$6)),INDEX($A:$U,ROW(),$D$6),IFERROR(--SUBSTITUTE(SUBSTITUTE(TRIM(INDEX($A:$U,ROW(),$D$6)),",",""),"원",""),0))))</f>
        <v/>
      </c>
      <c r="AA188" s="31">
        <f>IF($Y188="","",TRIM(INDEX($A:$U,ROW(),$E$6)&amp;IF($F$6="",""," "&amp;INDEX($A:$U,ROW(),$F$6))))</f>
        <v/>
      </c>
      <c r="AB188" s="31">
        <f>IF($AA188="","",SUBSTITUTE(SUBSTITUTE(SUBSTITUTE(SUBSTITUTE(SUBSTITUTE(SUBSTITUTE(SUBSTITUTE(SUBSTITUTE(SUBSTITUTE($AA188," ",""),"　",""),"(주)",""),"（주）",""),"㈜",""),"주식회사",""),"(유)",""),"（유）",""),"유한회사",""))</f>
        <v/>
      </c>
      <c r="AC188" s="31">
        <f>IF(OR($Y188="",N($Z188)&lt;=0,$AB188=""),0,IFERROR(LOOKUP(2,1/((거래처별!$AC$8:$AC$307&lt;&gt;"")*ISNUMBER(SEARCH(거래처별!$AC$8:$AC$307,$AB188))),거래처별!$A$8:$A$307),IFERROR(LOOKUP(2,1/((거래처별!$AD$8:$AD$307&lt;&gt;"")*ISNUMBER(SEARCH(거래처별!$AD$8:$AD$307,$AB188))),거래처별!$A$8:$A$307),IFERROR(LOOKUP(2,1/((거래처별!$AE$8:$AE$307&lt;&gt;"")*ISNUMBER(SEARCH(거래처별!$AE$8:$AE$307,$AB188))),거래처별!$A$8:$A$307),0))))</f>
        <v/>
      </c>
      <c r="AD188" s="31">
        <f>IF(AND($Y188&lt;&gt;"",N($Z188)&gt;0,$AC188=0),MAX($AD$7:$AD187)+1,"")</f>
        <v/>
      </c>
      <c r="AE188" s="31">
        <f>IF($Y188="",0,$Y188)</f>
        <v/>
      </c>
    </row>
    <row r="189">
      <c r="W189" s="31">
        <f>IF(OR($B$5="",$C$6="",ROW()&lt;$B$5),"",IF(INDEX($A:$U,ROW(),$C$6)="","",INDEX($A:$U,ROW(),$C$6)))</f>
        <v/>
      </c>
      <c r="X189" s="32">
        <f>IF($W189="","",IF(ISNUMBER($W189),IF($W189&gt;=10000000,IFERROR(DATE(INT($W189/10000),MOD(INT($W189/100),100),MOD($W189,100)),""),INT($W189)),IFERROR(DATE(--LEFT(LEFT(SUBSTITUTE(SUBSTITUTE(SUBSTITUTE(SUBSTITUTE(TRIM($W189),"-",""),".",""),"/","")," ",""),8),4),--MID(LEFT(SUBSTITUTE(SUBSTITUTE(SUBSTITUTE(SUBSTITUTE(TRIM($W189),"-",""),".",""),"/","")," ",""),8),5,2),--MID(LEFT(SUBSTITUTE(SUBSTITUTE(SUBSTITUTE(SUBSTITUTE(TRIM($W189),"-",""),".",""),"/","")," ",""),8),7,2)),"")))</f>
        <v/>
      </c>
      <c r="Y189" s="32">
        <f>IF($X189="","",INT($X189))</f>
        <v/>
      </c>
      <c r="Z189" s="33">
        <f>IF(OR($Y189="",$D$6=""),"",IF(INDEX($A:$U,ROW(),$D$6)="",0,IF(ISNUMBER(INDEX($A:$U,ROW(),$D$6)),INDEX($A:$U,ROW(),$D$6),IFERROR(--SUBSTITUTE(SUBSTITUTE(TRIM(INDEX($A:$U,ROW(),$D$6)),",",""),"원",""),0))))</f>
        <v/>
      </c>
      <c r="AA189" s="31">
        <f>IF($Y189="","",TRIM(INDEX($A:$U,ROW(),$E$6)&amp;IF($F$6="",""," "&amp;INDEX($A:$U,ROW(),$F$6))))</f>
        <v/>
      </c>
      <c r="AB189" s="31">
        <f>IF($AA189="","",SUBSTITUTE(SUBSTITUTE(SUBSTITUTE(SUBSTITUTE(SUBSTITUTE(SUBSTITUTE(SUBSTITUTE(SUBSTITUTE(SUBSTITUTE($AA189," ",""),"　",""),"(주)",""),"（주）",""),"㈜",""),"주식회사",""),"(유)",""),"（유）",""),"유한회사",""))</f>
        <v/>
      </c>
      <c r="AC189" s="31">
        <f>IF(OR($Y189="",N($Z189)&lt;=0,$AB189=""),0,IFERROR(LOOKUP(2,1/((거래처별!$AC$8:$AC$307&lt;&gt;"")*ISNUMBER(SEARCH(거래처별!$AC$8:$AC$307,$AB189))),거래처별!$A$8:$A$307),IFERROR(LOOKUP(2,1/((거래처별!$AD$8:$AD$307&lt;&gt;"")*ISNUMBER(SEARCH(거래처별!$AD$8:$AD$307,$AB189))),거래처별!$A$8:$A$307),IFERROR(LOOKUP(2,1/((거래처별!$AE$8:$AE$307&lt;&gt;"")*ISNUMBER(SEARCH(거래처별!$AE$8:$AE$307,$AB189))),거래처별!$A$8:$A$307),0))))</f>
        <v/>
      </c>
      <c r="AD189" s="31">
        <f>IF(AND($Y189&lt;&gt;"",N($Z189)&gt;0,$AC189=0),MAX($AD$7:$AD188)+1,"")</f>
        <v/>
      </c>
      <c r="AE189" s="31">
        <f>IF($Y189="",0,$Y189)</f>
        <v/>
      </c>
    </row>
    <row r="190">
      <c r="W190" s="31">
        <f>IF(OR($B$5="",$C$6="",ROW()&lt;$B$5),"",IF(INDEX($A:$U,ROW(),$C$6)="","",INDEX($A:$U,ROW(),$C$6)))</f>
        <v/>
      </c>
      <c r="X190" s="32">
        <f>IF($W190="","",IF(ISNUMBER($W190),IF($W190&gt;=10000000,IFERROR(DATE(INT($W190/10000),MOD(INT($W190/100),100),MOD($W190,100)),""),INT($W190)),IFERROR(DATE(--LEFT(LEFT(SUBSTITUTE(SUBSTITUTE(SUBSTITUTE(SUBSTITUTE(TRIM($W190),"-",""),".",""),"/","")," ",""),8),4),--MID(LEFT(SUBSTITUTE(SUBSTITUTE(SUBSTITUTE(SUBSTITUTE(TRIM($W190),"-",""),".",""),"/","")," ",""),8),5,2),--MID(LEFT(SUBSTITUTE(SUBSTITUTE(SUBSTITUTE(SUBSTITUTE(TRIM($W190),"-",""),".",""),"/","")," ",""),8),7,2)),"")))</f>
        <v/>
      </c>
      <c r="Y190" s="32">
        <f>IF($X190="","",INT($X190))</f>
        <v/>
      </c>
      <c r="Z190" s="33">
        <f>IF(OR($Y190="",$D$6=""),"",IF(INDEX($A:$U,ROW(),$D$6)="",0,IF(ISNUMBER(INDEX($A:$U,ROW(),$D$6)),INDEX($A:$U,ROW(),$D$6),IFERROR(--SUBSTITUTE(SUBSTITUTE(TRIM(INDEX($A:$U,ROW(),$D$6)),",",""),"원",""),0))))</f>
        <v/>
      </c>
      <c r="AA190" s="31">
        <f>IF($Y190="","",TRIM(INDEX($A:$U,ROW(),$E$6)&amp;IF($F$6="",""," "&amp;INDEX($A:$U,ROW(),$F$6))))</f>
        <v/>
      </c>
      <c r="AB190" s="31">
        <f>IF($AA190="","",SUBSTITUTE(SUBSTITUTE(SUBSTITUTE(SUBSTITUTE(SUBSTITUTE(SUBSTITUTE(SUBSTITUTE(SUBSTITUTE(SUBSTITUTE($AA190," ",""),"　",""),"(주)",""),"（주）",""),"㈜",""),"주식회사",""),"(유)",""),"（유）",""),"유한회사",""))</f>
        <v/>
      </c>
      <c r="AC190" s="31">
        <f>IF(OR($Y190="",N($Z190)&lt;=0,$AB190=""),0,IFERROR(LOOKUP(2,1/((거래처별!$AC$8:$AC$307&lt;&gt;"")*ISNUMBER(SEARCH(거래처별!$AC$8:$AC$307,$AB190))),거래처별!$A$8:$A$307),IFERROR(LOOKUP(2,1/((거래처별!$AD$8:$AD$307&lt;&gt;"")*ISNUMBER(SEARCH(거래처별!$AD$8:$AD$307,$AB190))),거래처별!$A$8:$A$307),IFERROR(LOOKUP(2,1/((거래처별!$AE$8:$AE$307&lt;&gt;"")*ISNUMBER(SEARCH(거래처별!$AE$8:$AE$307,$AB190))),거래처별!$A$8:$A$307),0))))</f>
        <v/>
      </c>
      <c r="AD190" s="31">
        <f>IF(AND($Y190&lt;&gt;"",N($Z190)&gt;0,$AC190=0),MAX($AD$7:$AD189)+1,"")</f>
        <v/>
      </c>
      <c r="AE190" s="31">
        <f>IF($Y190="",0,$Y190)</f>
        <v/>
      </c>
    </row>
    <row r="191">
      <c r="W191" s="31">
        <f>IF(OR($B$5="",$C$6="",ROW()&lt;$B$5),"",IF(INDEX($A:$U,ROW(),$C$6)="","",INDEX($A:$U,ROW(),$C$6)))</f>
        <v/>
      </c>
      <c r="X191" s="32">
        <f>IF($W191="","",IF(ISNUMBER($W191),IF($W191&gt;=10000000,IFERROR(DATE(INT($W191/10000),MOD(INT($W191/100),100),MOD($W191,100)),""),INT($W191)),IFERROR(DATE(--LEFT(LEFT(SUBSTITUTE(SUBSTITUTE(SUBSTITUTE(SUBSTITUTE(TRIM($W191),"-",""),".",""),"/","")," ",""),8),4),--MID(LEFT(SUBSTITUTE(SUBSTITUTE(SUBSTITUTE(SUBSTITUTE(TRIM($W191),"-",""),".",""),"/","")," ",""),8),5,2),--MID(LEFT(SUBSTITUTE(SUBSTITUTE(SUBSTITUTE(SUBSTITUTE(TRIM($W191),"-",""),".",""),"/","")," ",""),8),7,2)),"")))</f>
        <v/>
      </c>
      <c r="Y191" s="32">
        <f>IF($X191="","",INT($X191))</f>
        <v/>
      </c>
      <c r="Z191" s="33">
        <f>IF(OR($Y191="",$D$6=""),"",IF(INDEX($A:$U,ROW(),$D$6)="",0,IF(ISNUMBER(INDEX($A:$U,ROW(),$D$6)),INDEX($A:$U,ROW(),$D$6),IFERROR(--SUBSTITUTE(SUBSTITUTE(TRIM(INDEX($A:$U,ROW(),$D$6)),",",""),"원",""),0))))</f>
        <v/>
      </c>
      <c r="AA191" s="31">
        <f>IF($Y191="","",TRIM(INDEX($A:$U,ROW(),$E$6)&amp;IF($F$6="",""," "&amp;INDEX($A:$U,ROW(),$F$6))))</f>
        <v/>
      </c>
      <c r="AB191" s="31">
        <f>IF($AA191="","",SUBSTITUTE(SUBSTITUTE(SUBSTITUTE(SUBSTITUTE(SUBSTITUTE(SUBSTITUTE(SUBSTITUTE(SUBSTITUTE(SUBSTITUTE($AA191," ",""),"　",""),"(주)",""),"（주）",""),"㈜",""),"주식회사",""),"(유)",""),"（유）",""),"유한회사",""))</f>
        <v/>
      </c>
      <c r="AC191" s="31">
        <f>IF(OR($Y191="",N($Z191)&lt;=0,$AB191=""),0,IFERROR(LOOKUP(2,1/((거래처별!$AC$8:$AC$307&lt;&gt;"")*ISNUMBER(SEARCH(거래처별!$AC$8:$AC$307,$AB191))),거래처별!$A$8:$A$307),IFERROR(LOOKUP(2,1/((거래처별!$AD$8:$AD$307&lt;&gt;"")*ISNUMBER(SEARCH(거래처별!$AD$8:$AD$307,$AB191))),거래처별!$A$8:$A$307),IFERROR(LOOKUP(2,1/((거래처별!$AE$8:$AE$307&lt;&gt;"")*ISNUMBER(SEARCH(거래처별!$AE$8:$AE$307,$AB191))),거래처별!$A$8:$A$307),0))))</f>
        <v/>
      </c>
      <c r="AD191" s="31">
        <f>IF(AND($Y191&lt;&gt;"",N($Z191)&gt;0,$AC191=0),MAX($AD$7:$AD190)+1,"")</f>
        <v/>
      </c>
      <c r="AE191" s="31">
        <f>IF($Y191="",0,$Y191)</f>
        <v/>
      </c>
    </row>
    <row r="192">
      <c r="W192" s="31">
        <f>IF(OR($B$5="",$C$6="",ROW()&lt;$B$5),"",IF(INDEX($A:$U,ROW(),$C$6)="","",INDEX($A:$U,ROW(),$C$6)))</f>
        <v/>
      </c>
      <c r="X192" s="32">
        <f>IF($W192="","",IF(ISNUMBER($W192),IF($W192&gt;=10000000,IFERROR(DATE(INT($W192/10000),MOD(INT($W192/100),100),MOD($W192,100)),""),INT($W192)),IFERROR(DATE(--LEFT(LEFT(SUBSTITUTE(SUBSTITUTE(SUBSTITUTE(SUBSTITUTE(TRIM($W192),"-",""),".",""),"/","")," ",""),8),4),--MID(LEFT(SUBSTITUTE(SUBSTITUTE(SUBSTITUTE(SUBSTITUTE(TRIM($W192),"-",""),".",""),"/","")," ",""),8),5,2),--MID(LEFT(SUBSTITUTE(SUBSTITUTE(SUBSTITUTE(SUBSTITUTE(TRIM($W192),"-",""),".",""),"/","")," ",""),8),7,2)),"")))</f>
        <v/>
      </c>
      <c r="Y192" s="32">
        <f>IF($X192="","",INT($X192))</f>
        <v/>
      </c>
      <c r="Z192" s="33">
        <f>IF(OR($Y192="",$D$6=""),"",IF(INDEX($A:$U,ROW(),$D$6)="",0,IF(ISNUMBER(INDEX($A:$U,ROW(),$D$6)),INDEX($A:$U,ROW(),$D$6),IFERROR(--SUBSTITUTE(SUBSTITUTE(TRIM(INDEX($A:$U,ROW(),$D$6)),",",""),"원",""),0))))</f>
        <v/>
      </c>
      <c r="AA192" s="31">
        <f>IF($Y192="","",TRIM(INDEX($A:$U,ROW(),$E$6)&amp;IF($F$6="",""," "&amp;INDEX($A:$U,ROW(),$F$6))))</f>
        <v/>
      </c>
      <c r="AB192" s="31">
        <f>IF($AA192="","",SUBSTITUTE(SUBSTITUTE(SUBSTITUTE(SUBSTITUTE(SUBSTITUTE(SUBSTITUTE(SUBSTITUTE(SUBSTITUTE(SUBSTITUTE($AA192," ",""),"　",""),"(주)",""),"（주）",""),"㈜",""),"주식회사",""),"(유)",""),"（유）",""),"유한회사",""))</f>
        <v/>
      </c>
      <c r="AC192" s="31">
        <f>IF(OR($Y192="",N($Z192)&lt;=0,$AB192=""),0,IFERROR(LOOKUP(2,1/((거래처별!$AC$8:$AC$307&lt;&gt;"")*ISNUMBER(SEARCH(거래처별!$AC$8:$AC$307,$AB192))),거래처별!$A$8:$A$307),IFERROR(LOOKUP(2,1/((거래처별!$AD$8:$AD$307&lt;&gt;"")*ISNUMBER(SEARCH(거래처별!$AD$8:$AD$307,$AB192))),거래처별!$A$8:$A$307),IFERROR(LOOKUP(2,1/((거래처별!$AE$8:$AE$307&lt;&gt;"")*ISNUMBER(SEARCH(거래처별!$AE$8:$AE$307,$AB192))),거래처별!$A$8:$A$307),0))))</f>
        <v/>
      </c>
      <c r="AD192" s="31">
        <f>IF(AND($Y192&lt;&gt;"",N($Z192)&gt;0,$AC192=0),MAX($AD$7:$AD191)+1,"")</f>
        <v/>
      </c>
      <c r="AE192" s="31">
        <f>IF($Y192="",0,$Y192)</f>
        <v/>
      </c>
    </row>
    <row r="193">
      <c r="W193" s="31">
        <f>IF(OR($B$5="",$C$6="",ROW()&lt;$B$5),"",IF(INDEX($A:$U,ROW(),$C$6)="","",INDEX($A:$U,ROW(),$C$6)))</f>
        <v/>
      </c>
      <c r="X193" s="32">
        <f>IF($W193="","",IF(ISNUMBER($W193),IF($W193&gt;=10000000,IFERROR(DATE(INT($W193/10000),MOD(INT($W193/100),100),MOD($W193,100)),""),INT($W193)),IFERROR(DATE(--LEFT(LEFT(SUBSTITUTE(SUBSTITUTE(SUBSTITUTE(SUBSTITUTE(TRIM($W193),"-",""),".",""),"/","")," ",""),8),4),--MID(LEFT(SUBSTITUTE(SUBSTITUTE(SUBSTITUTE(SUBSTITUTE(TRIM($W193),"-",""),".",""),"/","")," ",""),8),5,2),--MID(LEFT(SUBSTITUTE(SUBSTITUTE(SUBSTITUTE(SUBSTITUTE(TRIM($W193),"-",""),".",""),"/","")," ",""),8),7,2)),"")))</f>
        <v/>
      </c>
      <c r="Y193" s="32">
        <f>IF($X193="","",INT($X193))</f>
        <v/>
      </c>
      <c r="Z193" s="33">
        <f>IF(OR($Y193="",$D$6=""),"",IF(INDEX($A:$U,ROW(),$D$6)="",0,IF(ISNUMBER(INDEX($A:$U,ROW(),$D$6)),INDEX($A:$U,ROW(),$D$6),IFERROR(--SUBSTITUTE(SUBSTITUTE(TRIM(INDEX($A:$U,ROW(),$D$6)),",",""),"원",""),0))))</f>
        <v/>
      </c>
      <c r="AA193" s="31">
        <f>IF($Y193="","",TRIM(INDEX($A:$U,ROW(),$E$6)&amp;IF($F$6="",""," "&amp;INDEX($A:$U,ROW(),$F$6))))</f>
        <v/>
      </c>
      <c r="AB193" s="31">
        <f>IF($AA193="","",SUBSTITUTE(SUBSTITUTE(SUBSTITUTE(SUBSTITUTE(SUBSTITUTE(SUBSTITUTE(SUBSTITUTE(SUBSTITUTE(SUBSTITUTE($AA193," ",""),"　",""),"(주)",""),"（주）",""),"㈜",""),"주식회사",""),"(유)",""),"（유）",""),"유한회사",""))</f>
        <v/>
      </c>
      <c r="AC193" s="31">
        <f>IF(OR($Y193="",N($Z193)&lt;=0,$AB193=""),0,IFERROR(LOOKUP(2,1/((거래처별!$AC$8:$AC$307&lt;&gt;"")*ISNUMBER(SEARCH(거래처별!$AC$8:$AC$307,$AB193))),거래처별!$A$8:$A$307),IFERROR(LOOKUP(2,1/((거래처별!$AD$8:$AD$307&lt;&gt;"")*ISNUMBER(SEARCH(거래처별!$AD$8:$AD$307,$AB193))),거래처별!$A$8:$A$307),IFERROR(LOOKUP(2,1/((거래처별!$AE$8:$AE$307&lt;&gt;"")*ISNUMBER(SEARCH(거래처별!$AE$8:$AE$307,$AB193))),거래처별!$A$8:$A$307),0))))</f>
        <v/>
      </c>
      <c r="AD193" s="31">
        <f>IF(AND($Y193&lt;&gt;"",N($Z193)&gt;0,$AC193=0),MAX($AD$7:$AD192)+1,"")</f>
        <v/>
      </c>
      <c r="AE193" s="31">
        <f>IF($Y193="",0,$Y193)</f>
        <v/>
      </c>
    </row>
    <row r="194">
      <c r="W194" s="31">
        <f>IF(OR($B$5="",$C$6="",ROW()&lt;$B$5),"",IF(INDEX($A:$U,ROW(),$C$6)="","",INDEX($A:$U,ROW(),$C$6)))</f>
        <v/>
      </c>
      <c r="X194" s="32">
        <f>IF($W194="","",IF(ISNUMBER($W194),IF($W194&gt;=10000000,IFERROR(DATE(INT($W194/10000),MOD(INT($W194/100),100),MOD($W194,100)),""),INT($W194)),IFERROR(DATE(--LEFT(LEFT(SUBSTITUTE(SUBSTITUTE(SUBSTITUTE(SUBSTITUTE(TRIM($W194),"-",""),".",""),"/","")," ",""),8),4),--MID(LEFT(SUBSTITUTE(SUBSTITUTE(SUBSTITUTE(SUBSTITUTE(TRIM($W194),"-",""),".",""),"/","")," ",""),8),5,2),--MID(LEFT(SUBSTITUTE(SUBSTITUTE(SUBSTITUTE(SUBSTITUTE(TRIM($W194),"-",""),".",""),"/","")," ",""),8),7,2)),"")))</f>
        <v/>
      </c>
      <c r="Y194" s="32">
        <f>IF($X194="","",INT($X194))</f>
        <v/>
      </c>
      <c r="Z194" s="33">
        <f>IF(OR($Y194="",$D$6=""),"",IF(INDEX($A:$U,ROW(),$D$6)="",0,IF(ISNUMBER(INDEX($A:$U,ROW(),$D$6)),INDEX($A:$U,ROW(),$D$6),IFERROR(--SUBSTITUTE(SUBSTITUTE(TRIM(INDEX($A:$U,ROW(),$D$6)),",",""),"원",""),0))))</f>
        <v/>
      </c>
      <c r="AA194" s="31">
        <f>IF($Y194="","",TRIM(INDEX($A:$U,ROW(),$E$6)&amp;IF($F$6="",""," "&amp;INDEX($A:$U,ROW(),$F$6))))</f>
        <v/>
      </c>
      <c r="AB194" s="31">
        <f>IF($AA194="","",SUBSTITUTE(SUBSTITUTE(SUBSTITUTE(SUBSTITUTE(SUBSTITUTE(SUBSTITUTE(SUBSTITUTE(SUBSTITUTE(SUBSTITUTE($AA194," ",""),"　",""),"(주)",""),"（주）",""),"㈜",""),"주식회사",""),"(유)",""),"（유）",""),"유한회사",""))</f>
        <v/>
      </c>
      <c r="AC194" s="31">
        <f>IF(OR($Y194="",N($Z194)&lt;=0,$AB194=""),0,IFERROR(LOOKUP(2,1/((거래처별!$AC$8:$AC$307&lt;&gt;"")*ISNUMBER(SEARCH(거래처별!$AC$8:$AC$307,$AB194))),거래처별!$A$8:$A$307),IFERROR(LOOKUP(2,1/((거래처별!$AD$8:$AD$307&lt;&gt;"")*ISNUMBER(SEARCH(거래처별!$AD$8:$AD$307,$AB194))),거래처별!$A$8:$A$307),IFERROR(LOOKUP(2,1/((거래처별!$AE$8:$AE$307&lt;&gt;"")*ISNUMBER(SEARCH(거래처별!$AE$8:$AE$307,$AB194))),거래처별!$A$8:$A$307),0))))</f>
        <v/>
      </c>
      <c r="AD194" s="31">
        <f>IF(AND($Y194&lt;&gt;"",N($Z194)&gt;0,$AC194=0),MAX($AD$7:$AD193)+1,"")</f>
        <v/>
      </c>
      <c r="AE194" s="31">
        <f>IF($Y194="",0,$Y194)</f>
        <v/>
      </c>
    </row>
    <row r="195">
      <c r="W195" s="31">
        <f>IF(OR($B$5="",$C$6="",ROW()&lt;$B$5),"",IF(INDEX($A:$U,ROW(),$C$6)="","",INDEX($A:$U,ROW(),$C$6)))</f>
        <v/>
      </c>
      <c r="X195" s="32">
        <f>IF($W195="","",IF(ISNUMBER($W195),IF($W195&gt;=10000000,IFERROR(DATE(INT($W195/10000),MOD(INT($W195/100),100),MOD($W195,100)),""),INT($W195)),IFERROR(DATE(--LEFT(LEFT(SUBSTITUTE(SUBSTITUTE(SUBSTITUTE(SUBSTITUTE(TRIM($W195),"-",""),".",""),"/","")," ",""),8),4),--MID(LEFT(SUBSTITUTE(SUBSTITUTE(SUBSTITUTE(SUBSTITUTE(TRIM($W195),"-",""),".",""),"/","")," ",""),8),5,2),--MID(LEFT(SUBSTITUTE(SUBSTITUTE(SUBSTITUTE(SUBSTITUTE(TRIM($W195),"-",""),".",""),"/","")," ",""),8),7,2)),"")))</f>
        <v/>
      </c>
      <c r="Y195" s="32">
        <f>IF($X195="","",INT($X195))</f>
        <v/>
      </c>
      <c r="Z195" s="33">
        <f>IF(OR($Y195="",$D$6=""),"",IF(INDEX($A:$U,ROW(),$D$6)="",0,IF(ISNUMBER(INDEX($A:$U,ROW(),$D$6)),INDEX($A:$U,ROW(),$D$6),IFERROR(--SUBSTITUTE(SUBSTITUTE(TRIM(INDEX($A:$U,ROW(),$D$6)),",",""),"원",""),0))))</f>
        <v/>
      </c>
      <c r="AA195" s="31">
        <f>IF($Y195="","",TRIM(INDEX($A:$U,ROW(),$E$6)&amp;IF($F$6="",""," "&amp;INDEX($A:$U,ROW(),$F$6))))</f>
        <v/>
      </c>
      <c r="AB195" s="31">
        <f>IF($AA195="","",SUBSTITUTE(SUBSTITUTE(SUBSTITUTE(SUBSTITUTE(SUBSTITUTE(SUBSTITUTE(SUBSTITUTE(SUBSTITUTE(SUBSTITUTE($AA195," ",""),"　",""),"(주)",""),"（주）",""),"㈜",""),"주식회사",""),"(유)",""),"（유）",""),"유한회사",""))</f>
        <v/>
      </c>
      <c r="AC195" s="31">
        <f>IF(OR($Y195="",N($Z195)&lt;=0,$AB195=""),0,IFERROR(LOOKUP(2,1/((거래처별!$AC$8:$AC$307&lt;&gt;"")*ISNUMBER(SEARCH(거래처별!$AC$8:$AC$307,$AB195))),거래처별!$A$8:$A$307),IFERROR(LOOKUP(2,1/((거래처별!$AD$8:$AD$307&lt;&gt;"")*ISNUMBER(SEARCH(거래처별!$AD$8:$AD$307,$AB195))),거래처별!$A$8:$A$307),IFERROR(LOOKUP(2,1/((거래처별!$AE$8:$AE$307&lt;&gt;"")*ISNUMBER(SEARCH(거래처별!$AE$8:$AE$307,$AB195))),거래처별!$A$8:$A$307),0))))</f>
        <v/>
      </c>
      <c r="AD195" s="31">
        <f>IF(AND($Y195&lt;&gt;"",N($Z195)&gt;0,$AC195=0),MAX($AD$7:$AD194)+1,"")</f>
        <v/>
      </c>
      <c r="AE195" s="31">
        <f>IF($Y195="",0,$Y195)</f>
        <v/>
      </c>
    </row>
    <row r="196">
      <c r="W196" s="31">
        <f>IF(OR($B$5="",$C$6="",ROW()&lt;$B$5),"",IF(INDEX($A:$U,ROW(),$C$6)="","",INDEX($A:$U,ROW(),$C$6)))</f>
        <v/>
      </c>
      <c r="X196" s="32">
        <f>IF($W196="","",IF(ISNUMBER($W196),IF($W196&gt;=10000000,IFERROR(DATE(INT($W196/10000),MOD(INT($W196/100),100),MOD($W196,100)),""),INT($W196)),IFERROR(DATE(--LEFT(LEFT(SUBSTITUTE(SUBSTITUTE(SUBSTITUTE(SUBSTITUTE(TRIM($W196),"-",""),".",""),"/","")," ",""),8),4),--MID(LEFT(SUBSTITUTE(SUBSTITUTE(SUBSTITUTE(SUBSTITUTE(TRIM($W196),"-",""),".",""),"/","")," ",""),8),5,2),--MID(LEFT(SUBSTITUTE(SUBSTITUTE(SUBSTITUTE(SUBSTITUTE(TRIM($W196),"-",""),".",""),"/","")," ",""),8),7,2)),"")))</f>
        <v/>
      </c>
      <c r="Y196" s="32">
        <f>IF($X196="","",INT($X196))</f>
        <v/>
      </c>
      <c r="Z196" s="33">
        <f>IF(OR($Y196="",$D$6=""),"",IF(INDEX($A:$U,ROW(),$D$6)="",0,IF(ISNUMBER(INDEX($A:$U,ROW(),$D$6)),INDEX($A:$U,ROW(),$D$6),IFERROR(--SUBSTITUTE(SUBSTITUTE(TRIM(INDEX($A:$U,ROW(),$D$6)),",",""),"원",""),0))))</f>
        <v/>
      </c>
      <c r="AA196" s="31">
        <f>IF($Y196="","",TRIM(INDEX($A:$U,ROW(),$E$6)&amp;IF($F$6="",""," "&amp;INDEX($A:$U,ROW(),$F$6))))</f>
        <v/>
      </c>
      <c r="AB196" s="31">
        <f>IF($AA196="","",SUBSTITUTE(SUBSTITUTE(SUBSTITUTE(SUBSTITUTE(SUBSTITUTE(SUBSTITUTE(SUBSTITUTE(SUBSTITUTE(SUBSTITUTE($AA196," ",""),"　",""),"(주)",""),"（주）",""),"㈜",""),"주식회사",""),"(유)",""),"（유）",""),"유한회사",""))</f>
        <v/>
      </c>
      <c r="AC196" s="31">
        <f>IF(OR($Y196="",N($Z196)&lt;=0,$AB196=""),0,IFERROR(LOOKUP(2,1/((거래처별!$AC$8:$AC$307&lt;&gt;"")*ISNUMBER(SEARCH(거래처별!$AC$8:$AC$307,$AB196))),거래처별!$A$8:$A$307),IFERROR(LOOKUP(2,1/((거래처별!$AD$8:$AD$307&lt;&gt;"")*ISNUMBER(SEARCH(거래처별!$AD$8:$AD$307,$AB196))),거래처별!$A$8:$A$307),IFERROR(LOOKUP(2,1/((거래처별!$AE$8:$AE$307&lt;&gt;"")*ISNUMBER(SEARCH(거래처별!$AE$8:$AE$307,$AB196))),거래처별!$A$8:$A$307),0))))</f>
        <v/>
      </c>
      <c r="AD196" s="31">
        <f>IF(AND($Y196&lt;&gt;"",N($Z196)&gt;0,$AC196=0),MAX($AD$7:$AD195)+1,"")</f>
        <v/>
      </c>
      <c r="AE196" s="31">
        <f>IF($Y196="",0,$Y196)</f>
        <v/>
      </c>
    </row>
    <row r="197">
      <c r="W197" s="31">
        <f>IF(OR($B$5="",$C$6="",ROW()&lt;$B$5),"",IF(INDEX($A:$U,ROW(),$C$6)="","",INDEX($A:$U,ROW(),$C$6)))</f>
        <v/>
      </c>
      <c r="X197" s="32">
        <f>IF($W197="","",IF(ISNUMBER($W197),IF($W197&gt;=10000000,IFERROR(DATE(INT($W197/10000),MOD(INT($W197/100),100),MOD($W197,100)),""),INT($W197)),IFERROR(DATE(--LEFT(LEFT(SUBSTITUTE(SUBSTITUTE(SUBSTITUTE(SUBSTITUTE(TRIM($W197),"-",""),".",""),"/","")," ",""),8),4),--MID(LEFT(SUBSTITUTE(SUBSTITUTE(SUBSTITUTE(SUBSTITUTE(TRIM($W197),"-",""),".",""),"/","")," ",""),8),5,2),--MID(LEFT(SUBSTITUTE(SUBSTITUTE(SUBSTITUTE(SUBSTITUTE(TRIM($W197),"-",""),".",""),"/","")," ",""),8),7,2)),"")))</f>
        <v/>
      </c>
      <c r="Y197" s="32">
        <f>IF($X197="","",INT($X197))</f>
        <v/>
      </c>
      <c r="Z197" s="33">
        <f>IF(OR($Y197="",$D$6=""),"",IF(INDEX($A:$U,ROW(),$D$6)="",0,IF(ISNUMBER(INDEX($A:$U,ROW(),$D$6)),INDEX($A:$U,ROW(),$D$6),IFERROR(--SUBSTITUTE(SUBSTITUTE(TRIM(INDEX($A:$U,ROW(),$D$6)),",",""),"원",""),0))))</f>
        <v/>
      </c>
      <c r="AA197" s="31">
        <f>IF($Y197="","",TRIM(INDEX($A:$U,ROW(),$E$6)&amp;IF($F$6="",""," "&amp;INDEX($A:$U,ROW(),$F$6))))</f>
        <v/>
      </c>
      <c r="AB197" s="31">
        <f>IF($AA197="","",SUBSTITUTE(SUBSTITUTE(SUBSTITUTE(SUBSTITUTE(SUBSTITUTE(SUBSTITUTE(SUBSTITUTE(SUBSTITUTE(SUBSTITUTE($AA197," ",""),"　",""),"(주)",""),"（주）",""),"㈜",""),"주식회사",""),"(유)",""),"（유）",""),"유한회사",""))</f>
        <v/>
      </c>
      <c r="AC197" s="31">
        <f>IF(OR($Y197="",N($Z197)&lt;=0,$AB197=""),0,IFERROR(LOOKUP(2,1/((거래처별!$AC$8:$AC$307&lt;&gt;"")*ISNUMBER(SEARCH(거래처별!$AC$8:$AC$307,$AB197))),거래처별!$A$8:$A$307),IFERROR(LOOKUP(2,1/((거래처별!$AD$8:$AD$307&lt;&gt;"")*ISNUMBER(SEARCH(거래처별!$AD$8:$AD$307,$AB197))),거래처별!$A$8:$A$307),IFERROR(LOOKUP(2,1/((거래처별!$AE$8:$AE$307&lt;&gt;"")*ISNUMBER(SEARCH(거래처별!$AE$8:$AE$307,$AB197))),거래처별!$A$8:$A$307),0))))</f>
        <v/>
      </c>
      <c r="AD197" s="31">
        <f>IF(AND($Y197&lt;&gt;"",N($Z197)&gt;0,$AC197=0),MAX($AD$7:$AD196)+1,"")</f>
        <v/>
      </c>
      <c r="AE197" s="31">
        <f>IF($Y197="",0,$Y197)</f>
        <v/>
      </c>
    </row>
    <row r="198">
      <c r="W198" s="31">
        <f>IF(OR($B$5="",$C$6="",ROW()&lt;$B$5),"",IF(INDEX($A:$U,ROW(),$C$6)="","",INDEX($A:$U,ROW(),$C$6)))</f>
        <v/>
      </c>
      <c r="X198" s="32">
        <f>IF($W198="","",IF(ISNUMBER($W198),IF($W198&gt;=10000000,IFERROR(DATE(INT($W198/10000),MOD(INT($W198/100),100),MOD($W198,100)),""),INT($W198)),IFERROR(DATE(--LEFT(LEFT(SUBSTITUTE(SUBSTITUTE(SUBSTITUTE(SUBSTITUTE(TRIM($W198),"-",""),".",""),"/","")," ",""),8),4),--MID(LEFT(SUBSTITUTE(SUBSTITUTE(SUBSTITUTE(SUBSTITUTE(TRIM($W198),"-",""),".",""),"/","")," ",""),8),5,2),--MID(LEFT(SUBSTITUTE(SUBSTITUTE(SUBSTITUTE(SUBSTITUTE(TRIM($W198),"-",""),".",""),"/","")," ",""),8),7,2)),"")))</f>
        <v/>
      </c>
      <c r="Y198" s="32">
        <f>IF($X198="","",INT($X198))</f>
        <v/>
      </c>
      <c r="Z198" s="33">
        <f>IF(OR($Y198="",$D$6=""),"",IF(INDEX($A:$U,ROW(),$D$6)="",0,IF(ISNUMBER(INDEX($A:$U,ROW(),$D$6)),INDEX($A:$U,ROW(),$D$6),IFERROR(--SUBSTITUTE(SUBSTITUTE(TRIM(INDEX($A:$U,ROW(),$D$6)),",",""),"원",""),0))))</f>
        <v/>
      </c>
      <c r="AA198" s="31">
        <f>IF($Y198="","",TRIM(INDEX($A:$U,ROW(),$E$6)&amp;IF($F$6="",""," "&amp;INDEX($A:$U,ROW(),$F$6))))</f>
        <v/>
      </c>
      <c r="AB198" s="31">
        <f>IF($AA198="","",SUBSTITUTE(SUBSTITUTE(SUBSTITUTE(SUBSTITUTE(SUBSTITUTE(SUBSTITUTE(SUBSTITUTE(SUBSTITUTE(SUBSTITUTE($AA198," ",""),"　",""),"(주)",""),"（주）",""),"㈜",""),"주식회사",""),"(유)",""),"（유）",""),"유한회사",""))</f>
        <v/>
      </c>
      <c r="AC198" s="31">
        <f>IF(OR($Y198="",N($Z198)&lt;=0,$AB198=""),0,IFERROR(LOOKUP(2,1/((거래처별!$AC$8:$AC$307&lt;&gt;"")*ISNUMBER(SEARCH(거래처별!$AC$8:$AC$307,$AB198))),거래처별!$A$8:$A$307),IFERROR(LOOKUP(2,1/((거래처별!$AD$8:$AD$307&lt;&gt;"")*ISNUMBER(SEARCH(거래처별!$AD$8:$AD$307,$AB198))),거래처별!$A$8:$A$307),IFERROR(LOOKUP(2,1/((거래처별!$AE$8:$AE$307&lt;&gt;"")*ISNUMBER(SEARCH(거래처별!$AE$8:$AE$307,$AB198))),거래처별!$A$8:$A$307),0))))</f>
        <v/>
      </c>
      <c r="AD198" s="31">
        <f>IF(AND($Y198&lt;&gt;"",N($Z198)&gt;0,$AC198=0),MAX($AD$7:$AD197)+1,"")</f>
        <v/>
      </c>
      <c r="AE198" s="31">
        <f>IF($Y198="",0,$Y198)</f>
        <v/>
      </c>
    </row>
    <row r="199">
      <c r="W199" s="31">
        <f>IF(OR($B$5="",$C$6="",ROW()&lt;$B$5),"",IF(INDEX($A:$U,ROW(),$C$6)="","",INDEX($A:$U,ROW(),$C$6)))</f>
        <v/>
      </c>
      <c r="X199" s="32">
        <f>IF($W199="","",IF(ISNUMBER($W199),IF($W199&gt;=10000000,IFERROR(DATE(INT($W199/10000),MOD(INT($W199/100),100),MOD($W199,100)),""),INT($W199)),IFERROR(DATE(--LEFT(LEFT(SUBSTITUTE(SUBSTITUTE(SUBSTITUTE(SUBSTITUTE(TRIM($W199),"-",""),".",""),"/","")," ",""),8),4),--MID(LEFT(SUBSTITUTE(SUBSTITUTE(SUBSTITUTE(SUBSTITUTE(TRIM($W199),"-",""),".",""),"/","")," ",""),8),5,2),--MID(LEFT(SUBSTITUTE(SUBSTITUTE(SUBSTITUTE(SUBSTITUTE(TRIM($W199),"-",""),".",""),"/","")," ",""),8),7,2)),"")))</f>
        <v/>
      </c>
      <c r="Y199" s="32">
        <f>IF($X199="","",INT($X199))</f>
        <v/>
      </c>
      <c r="Z199" s="33">
        <f>IF(OR($Y199="",$D$6=""),"",IF(INDEX($A:$U,ROW(),$D$6)="",0,IF(ISNUMBER(INDEX($A:$U,ROW(),$D$6)),INDEX($A:$U,ROW(),$D$6),IFERROR(--SUBSTITUTE(SUBSTITUTE(TRIM(INDEX($A:$U,ROW(),$D$6)),",",""),"원",""),0))))</f>
        <v/>
      </c>
      <c r="AA199" s="31">
        <f>IF($Y199="","",TRIM(INDEX($A:$U,ROW(),$E$6)&amp;IF($F$6="",""," "&amp;INDEX($A:$U,ROW(),$F$6))))</f>
        <v/>
      </c>
      <c r="AB199" s="31">
        <f>IF($AA199="","",SUBSTITUTE(SUBSTITUTE(SUBSTITUTE(SUBSTITUTE(SUBSTITUTE(SUBSTITUTE(SUBSTITUTE(SUBSTITUTE(SUBSTITUTE($AA199," ",""),"　",""),"(주)",""),"（주）",""),"㈜",""),"주식회사",""),"(유)",""),"（유）",""),"유한회사",""))</f>
        <v/>
      </c>
      <c r="AC199" s="31">
        <f>IF(OR($Y199="",N($Z199)&lt;=0,$AB199=""),0,IFERROR(LOOKUP(2,1/((거래처별!$AC$8:$AC$307&lt;&gt;"")*ISNUMBER(SEARCH(거래처별!$AC$8:$AC$307,$AB199))),거래처별!$A$8:$A$307),IFERROR(LOOKUP(2,1/((거래처별!$AD$8:$AD$307&lt;&gt;"")*ISNUMBER(SEARCH(거래처별!$AD$8:$AD$307,$AB199))),거래처별!$A$8:$A$307),IFERROR(LOOKUP(2,1/((거래처별!$AE$8:$AE$307&lt;&gt;"")*ISNUMBER(SEARCH(거래처별!$AE$8:$AE$307,$AB199))),거래처별!$A$8:$A$307),0))))</f>
        <v/>
      </c>
      <c r="AD199" s="31">
        <f>IF(AND($Y199&lt;&gt;"",N($Z199)&gt;0,$AC199=0),MAX($AD$7:$AD198)+1,"")</f>
        <v/>
      </c>
      <c r="AE199" s="31">
        <f>IF($Y199="",0,$Y199)</f>
        <v/>
      </c>
    </row>
    <row r="200">
      <c r="W200" s="31">
        <f>IF(OR($B$5="",$C$6="",ROW()&lt;$B$5),"",IF(INDEX($A:$U,ROW(),$C$6)="","",INDEX($A:$U,ROW(),$C$6)))</f>
        <v/>
      </c>
      <c r="X200" s="32">
        <f>IF($W200="","",IF(ISNUMBER($W200),IF($W200&gt;=10000000,IFERROR(DATE(INT($W200/10000),MOD(INT($W200/100),100),MOD($W200,100)),""),INT($W200)),IFERROR(DATE(--LEFT(LEFT(SUBSTITUTE(SUBSTITUTE(SUBSTITUTE(SUBSTITUTE(TRIM($W200),"-",""),".",""),"/","")," ",""),8),4),--MID(LEFT(SUBSTITUTE(SUBSTITUTE(SUBSTITUTE(SUBSTITUTE(TRIM($W200),"-",""),".",""),"/","")," ",""),8),5,2),--MID(LEFT(SUBSTITUTE(SUBSTITUTE(SUBSTITUTE(SUBSTITUTE(TRIM($W200),"-",""),".",""),"/","")," ",""),8),7,2)),"")))</f>
        <v/>
      </c>
      <c r="Y200" s="32">
        <f>IF($X200="","",INT($X200))</f>
        <v/>
      </c>
      <c r="Z200" s="33">
        <f>IF(OR($Y200="",$D$6=""),"",IF(INDEX($A:$U,ROW(),$D$6)="",0,IF(ISNUMBER(INDEX($A:$U,ROW(),$D$6)),INDEX($A:$U,ROW(),$D$6),IFERROR(--SUBSTITUTE(SUBSTITUTE(TRIM(INDEX($A:$U,ROW(),$D$6)),",",""),"원",""),0))))</f>
        <v/>
      </c>
      <c r="AA200" s="31">
        <f>IF($Y200="","",TRIM(INDEX($A:$U,ROW(),$E$6)&amp;IF($F$6="",""," "&amp;INDEX($A:$U,ROW(),$F$6))))</f>
        <v/>
      </c>
      <c r="AB200" s="31">
        <f>IF($AA200="","",SUBSTITUTE(SUBSTITUTE(SUBSTITUTE(SUBSTITUTE(SUBSTITUTE(SUBSTITUTE(SUBSTITUTE(SUBSTITUTE(SUBSTITUTE($AA200," ",""),"　",""),"(주)",""),"（주）",""),"㈜",""),"주식회사",""),"(유)",""),"（유）",""),"유한회사",""))</f>
        <v/>
      </c>
      <c r="AC200" s="31">
        <f>IF(OR($Y200="",N($Z200)&lt;=0,$AB200=""),0,IFERROR(LOOKUP(2,1/((거래처별!$AC$8:$AC$307&lt;&gt;"")*ISNUMBER(SEARCH(거래처별!$AC$8:$AC$307,$AB200))),거래처별!$A$8:$A$307),IFERROR(LOOKUP(2,1/((거래처별!$AD$8:$AD$307&lt;&gt;"")*ISNUMBER(SEARCH(거래처별!$AD$8:$AD$307,$AB200))),거래처별!$A$8:$A$307),IFERROR(LOOKUP(2,1/((거래처별!$AE$8:$AE$307&lt;&gt;"")*ISNUMBER(SEARCH(거래처별!$AE$8:$AE$307,$AB200))),거래처별!$A$8:$A$307),0))))</f>
        <v/>
      </c>
      <c r="AD200" s="31">
        <f>IF(AND($Y200&lt;&gt;"",N($Z200)&gt;0,$AC200=0),MAX($AD$7:$AD199)+1,"")</f>
        <v/>
      </c>
      <c r="AE200" s="31">
        <f>IF($Y200="",0,$Y200)</f>
        <v/>
      </c>
    </row>
    <row r="201">
      <c r="W201" s="31">
        <f>IF(OR($B$5="",$C$6="",ROW()&lt;$B$5),"",IF(INDEX($A:$U,ROW(),$C$6)="","",INDEX($A:$U,ROW(),$C$6)))</f>
        <v/>
      </c>
      <c r="X201" s="32">
        <f>IF($W201="","",IF(ISNUMBER($W201),IF($W201&gt;=10000000,IFERROR(DATE(INT($W201/10000),MOD(INT($W201/100),100),MOD($W201,100)),""),INT($W201)),IFERROR(DATE(--LEFT(LEFT(SUBSTITUTE(SUBSTITUTE(SUBSTITUTE(SUBSTITUTE(TRIM($W201),"-",""),".",""),"/","")," ",""),8),4),--MID(LEFT(SUBSTITUTE(SUBSTITUTE(SUBSTITUTE(SUBSTITUTE(TRIM($W201),"-",""),".",""),"/","")," ",""),8),5,2),--MID(LEFT(SUBSTITUTE(SUBSTITUTE(SUBSTITUTE(SUBSTITUTE(TRIM($W201),"-",""),".",""),"/","")," ",""),8),7,2)),"")))</f>
        <v/>
      </c>
      <c r="Y201" s="32">
        <f>IF($X201="","",INT($X201))</f>
        <v/>
      </c>
      <c r="Z201" s="33">
        <f>IF(OR($Y201="",$D$6=""),"",IF(INDEX($A:$U,ROW(),$D$6)="",0,IF(ISNUMBER(INDEX($A:$U,ROW(),$D$6)),INDEX($A:$U,ROW(),$D$6),IFERROR(--SUBSTITUTE(SUBSTITUTE(TRIM(INDEX($A:$U,ROW(),$D$6)),",",""),"원",""),0))))</f>
        <v/>
      </c>
      <c r="AA201" s="31">
        <f>IF($Y201="","",TRIM(INDEX($A:$U,ROW(),$E$6)&amp;IF($F$6="",""," "&amp;INDEX($A:$U,ROW(),$F$6))))</f>
        <v/>
      </c>
      <c r="AB201" s="31">
        <f>IF($AA201="","",SUBSTITUTE(SUBSTITUTE(SUBSTITUTE(SUBSTITUTE(SUBSTITUTE(SUBSTITUTE(SUBSTITUTE(SUBSTITUTE(SUBSTITUTE($AA201," ",""),"　",""),"(주)",""),"（주）",""),"㈜",""),"주식회사",""),"(유)",""),"（유）",""),"유한회사",""))</f>
        <v/>
      </c>
      <c r="AC201" s="31">
        <f>IF(OR($Y201="",N($Z201)&lt;=0,$AB201=""),0,IFERROR(LOOKUP(2,1/((거래처별!$AC$8:$AC$307&lt;&gt;"")*ISNUMBER(SEARCH(거래처별!$AC$8:$AC$307,$AB201))),거래처별!$A$8:$A$307),IFERROR(LOOKUP(2,1/((거래처별!$AD$8:$AD$307&lt;&gt;"")*ISNUMBER(SEARCH(거래처별!$AD$8:$AD$307,$AB201))),거래처별!$A$8:$A$307),IFERROR(LOOKUP(2,1/((거래처별!$AE$8:$AE$307&lt;&gt;"")*ISNUMBER(SEARCH(거래처별!$AE$8:$AE$307,$AB201))),거래처별!$A$8:$A$307),0))))</f>
        <v/>
      </c>
      <c r="AD201" s="31">
        <f>IF(AND($Y201&lt;&gt;"",N($Z201)&gt;0,$AC201=0),MAX($AD$7:$AD200)+1,"")</f>
        <v/>
      </c>
      <c r="AE201" s="31">
        <f>IF($Y201="",0,$Y201)</f>
        <v/>
      </c>
    </row>
    <row r="202">
      <c r="W202" s="31">
        <f>IF(OR($B$5="",$C$6="",ROW()&lt;$B$5),"",IF(INDEX($A:$U,ROW(),$C$6)="","",INDEX($A:$U,ROW(),$C$6)))</f>
        <v/>
      </c>
      <c r="X202" s="32">
        <f>IF($W202="","",IF(ISNUMBER($W202),IF($W202&gt;=10000000,IFERROR(DATE(INT($W202/10000),MOD(INT($W202/100),100),MOD($W202,100)),""),INT($W202)),IFERROR(DATE(--LEFT(LEFT(SUBSTITUTE(SUBSTITUTE(SUBSTITUTE(SUBSTITUTE(TRIM($W202),"-",""),".",""),"/","")," ",""),8),4),--MID(LEFT(SUBSTITUTE(SUBSTITUTE(SUBSTITUTE(SUBSTITUTE(TRIM($W202),"-",""),".",""),"/","")," ",""),8),5,2),--MID(LEFT(SUBSTITUTE(SUBSTITUTE(SUBSTITUTE(SUBSTITUTE(TRIM($W202),"-",""),".",""),"/","")," ",""),8),7,2)),"")))</f>
        <v/>
      </c>
      <c r="Y202" s="32">
        <f>IF($X202="","",INT($X202))</f>
        <v/>
      </c>
      <c r="Z202" s="33">
        <f>IF(OR($Y202="",$D$6=""),"",IF(INDEX($A:$U,ROW(),$D$6)="",0,IF(ISNUMBER(INDEX($A:$U,ROW(),$D$6)),INDEX($A:$U,ROW(),$D$6),IFERROR(--SUBSTITUTE(SUBSTITUTE(TRIM(INDEX($A:$U,ROW(),$D$6)),",",""),"원",""),0))))</f>
        <v/>
      </c>
      <c r="AA202" s="31">
        <f>IF($Y202="","",TRIM(INDEX($A:$U,ROW(),$E$6)&amp;IF($F$6="",""," "&amp;INDEX($A:$U,ROW(),$F$6))))</f>
        <v/>
      </c>
      <c r="AB202" s="31">
        <f>IF($AA202="","",SUBSTITUTE(SUBSTITUTE(SUBSTITUTE(SUBSTITUTE(SUBSTITUTE(SUBSTITUTE(SUBSTITUTE(SUBSTITUTE(SUBSTITUTE($AA202," ",""),"　",""),"(주)",""),"（주）",""),"㈜",""),"주식회사",""),"(유)",""),"（유）",""),"유한회사",""))</f>
        <v/>
      </c>
      <c r="AC202" s="31">
        <f>IF(OR($Y202="",N($Z202)&lt;=0,$AB202=""),0,IFERROR(LOOKUP(2,1/((거래처별!$AC$8:$AC$307&lt;&gt;"")*ISNUMBER(SEARCH(거래처별!$AC$8:$AC$307,$AB202))),거래처별!$A$8:$A$307),IFERROR(LOOKUP(2,1/((거래처별!$AD$8:$AD$307&lt;&gt;"")*ISNUMBER(SEARCH(거래처별!$AD$8:$AD$307,$AB202))),거래처별!$A$8:$A$307),IFERROR(LOOKUP(2,1/((거래처별!$AE$8:$AE$307&lt;&gt;"")*ISNUMBER(SEARCH(거래처별!$AE$8:$AE$307,$AB202))),거래처별!$A$8:$A$307),0))))</f>
        <v/>
      </c>
      <c r="AD202" s="31">
        <f>IF(AND($Y202&lt;&gt;"",N($Z202)&gt;0,$AC202=0),MAX($AD$7:$AD201)+1,"")</f>
        <v/>
      </c>
      <c r="AE202" s="31">
        <f>IF($Y202="",0,$Y202)</f>
        <v/>
      </c>
    </row>
    <row r="203">
      <c r="W203" s="31">
        <f>IF(OR($B$5="",$C$6="",ROW()&lt;$B$5),"",IF(INDEX($A:$U,ROW(),$C$6)="","",INDEX($A:$U,ROW(),$C$6)))</f>
        <v/>
      </c>
      <c r="X203" s="32">
        <f>IF($W203="","",IF(ISNUMBER($W203),IF($W203&gt;=10000000,IFERROR(DATE(INT($W203/10000),MOD(INT($W203/100),100),MOD($W203,100)),""),INT($W203)),IFERROR(DATE(--LEFT(LEFT(SUBSTITUTE(SUBSTITUTE(SUBSTITUTE(SUBSTITUTE(TRIM($W203),"-",""),".",""),"/","")," ",""),8),4),--MID(LEFT(SUBSTITUTE(SUBSTITUTE(SUBSTITUTE(SUBSTITUTE(TRIM($W203),"-",""),".",""),"/","")," ",""),8),5,2),--MID(LEFT(SUBSTITUTE(SUBSTITUTE(SUBSTITUTE(SUBSTITUTE(TRIM($W203),"-",""),".",""),"/","")," ",""),8),7,2)),"")))</f>
        <v/>
      </c>
      <c r="Y203" s="32">
        <f>IF($X203="","",INT($X203))</f>
        <v/>
      </c>
      <c r="Z203" s="33">
        <f>IF(OR($Y203="",$D$6=""),"",IF(INDEX($A:$U,ROW(),$D$6)="",0,IF(ISNUMBER(INDEX($A:$U,ROW(),$D$6)),INDEX($A:$U,ROW(),$D$6),IFERROR(--SUBSTITUTE(SUBSTITUTE(TRIM(INDEX($A:$U,ROW(),$D$6)),",",""),"원",""),0))))</f>
        <v/>
      </c>
      <c r="AA203" s="31">
        <f>IF($Y203="","",TRIM(INDEX($A:$U,ROW(),$E$6)&amp;IF($F$6="",""," "&amp;INDEX($A:$U,ROW(),$F$6))))</f>
        <v/>
      </c>
      <c r="AB203" s="31">
        <f>IF($AA203="","",SUBSTITUTE(SUBSTITUTE(SUBSTITUTE(SUBSTITUTE(SUBSTITUTE(SUBSTITUTE(SUBSTITUTE(SUBSTITUTE(SUBSTITUTE($AA203," ",""),"　",""),"(주)",""),"（주）",""),"㈜",""),"주식회사",""),"(유)",""),"（유）",""),"유한회사",""))</f>
        <v/>
      </c>
      <c r="AC203" s="31">
        <f>IF(OR($Y203="",N($Z203)&lt;=0,$AB203=""),0,IFERROR(LOOKUP(2,1/((거래처별!$AC$8:$AC$307&lt;&gt;"")*ISNUMBER(SEARCH(거래처별!$AC$8:$AC$307,$AB203))),거래처별!$A$8:$A$307),IFERROR(LOOKUP(2,1/((거래처별!$AD$8:$AD$307&lt;&gt;"")*ISNUMBER(SEARCH(거래처별!$AD$8:$AD$307,$AB203))),거래처별!$A$8:$A$307),IFERROR(LOOKUP(2,1/((거래처별!$AE$8:$AE$307&lt;&gt;"")*ISNUMBER(SEARCH(거래처별!$AE$8:$AE$307,$AB203))),거래처별!$A$8:$A$307),0))))</f>
        <v/>
      </c>
      <c r="AD203" s="31">
        <f>IF(AND($Y203&lt;&gt;"",N($Z203)&gt;0,$AC203=0),MAX($AD$7:$AD202)+1,"")</f>
        <v/>
      </c>
      <c r="AE203" s="31">
        <f>IF($Y203="",0,$Y203)</f>
        <v/>
      </c>
    </row>
    <row r="204">
      <c r="W204" s="31">
        <f>IF(OR($B$5="",$C$6="",ROW()&lt;$B$5),"",IF(INDEX($A:$U,ROW(),$C$6)="","",INDEX($A:$U,ROW(),$C$6)))</f>
        <v/>
      </c>
      <c r="X204" s="32">
        <f>IF($W204="","",IF(ISNUMBER($W204),IF($W204&gt;=10000000,IFERROR(DATE(INT($W204/10000),MOD(INT($W204/100),100),MOD($W204,100)),""),INT($W204)),IFERROR(DATE(--LEFT(LEFT(SUBSTITUTE(SUBSTITUTE(SUBSTITUTE(SUBSTITUTE(TRIM($W204),"-",""),".",""),"/","")," ",""),8),4),--MID(LEFT(SUBSTITUTE(SUBSTITUTE(SUBSTITUTE(SUBSTITUTE(TRIM($W204),"-",""),".",""),"/","")," ",""),8),5,2),--MID(LEFT(SUBSTITUTE(SUBSTITUTE(SUBSTITUTE(SUBSTITUTE(TRIM($W204),"-",""),".",""),"/","")," ",""),8),7,2)),"")))</f>
        <v/>
      </c>
      <c r="Y204" s="32">
        <f>IF($X204="","",INT($X204))</f>
        <v/>
      </c>
      <c r="Z204" s="33">
        <f>IF(OR($Y204="",$D$6=""),"",IF(INDEX($A:$U,ROW(),$D$6)="",0,IF(ISNUMBER(INDEX($A:$U,ROW(),$D$6)),INDEX($A:$U,ROW(),$D$6),IFERROR(--SUBSTITUTE(SUBSTITUTE(TRIM(INDEX($A:$U,ROW(),$D$6)),",",""),"원",""),0))))</f>
        <v/>
      </c>
      <c r="AA204" s="31">
        <f>IF($Y204="","",TRIM(INDEX($A:$U,ROW(),$E$6)&amp;IF($F$6="",""," "&amp;INDEX($A:$U,ROW(),$F$6))))</f>
        <v/>
      </c>
      <c r="AB204" s="31">
        <f>IF($AA204="","",SUBSTITUTE(SUBSTITUTE(SUBSTITUTE(SUBSTITUTE(SUBSTITUTE(SUBSTITUTE(SUBSTITUTE(SUBSTITUTE(SUBSTITUTE($AA204," ",""),"　",""),"(주)",""),"（주）",""),"㈜",""),"주식회사",""),"(유)",""),"（유）",""),"유한회사",""))</f>
        <v/>
      </c>
      <c r="AC204" s="31">
        <f>IF(OR($Y204="",N($Z204)&lt;=0,$AB204=""),0,IFERROR(LOOKUP(2,1/((거래처별!$AC$8:$AC$307&lt;&gt;"")*ISNUMBER(SEARCH(거래처별!$AC$8:$AC$307,$AB204))),거래처별!$A$8:$A$307),IFERROR(LOOKUP(2,1/((거래처별!$AD$8:$AD$307&lt;&gt;"")*ISNUMBER(SEARCH(거래처별!$AD$8:$AD$307,$AB204))),거래처별!$A$8:$A$307),IFERROR(LOOKUP(2,1/((거래처별!$AE$8:$AE$307&lt;&gt;"")*ISNUMBER(SEARCH(거래처별!$AE$8:$AE$307,$AB204))),거래처별!$A$8:$A$307),0))))</f>
        <v/>
      </c>
      <c r="AD204" s="31">
        <f>IF(AND($Y204&lt;&gt;"",N($Z204)&gt;0,$AC204=0),MAX($AD$7:$AD203)+1,"")</f>
        <v/>
      </c>
      <c r="AE204" s="31">
        <f>IF($Y204="",0,$Y204)</f>
        <v/>
      </c>
    </row>
    <row r="205">
      <c r="W205" s="31">
        <f>IF(OR($B$5="",$C$6="",ROW()&lt;$B$5),"",IF(INDEX($A:$U,ROW(),$C$6)="","",INDEX($A:$U,ROW(),$C$6)))</f>
        <v/>
      </c>
      <c r="X205" s="32">
        <f>IF($W205="","",IF(ISNUMBER($W205),IF($W205&gt;=10000000,IFERROR(DATE(INT($W205/10000),MOD(INT($W205/100),100),MOD($W205,100)),""),INT($W205)),IFERROR(DATE(--LEFT(LEFT(SUBSTITUTE(SUBSTITUTE(SUBSTITUTE(SUBSTITUTE(TRIM($W205),"-",""),".",""),"/","")," ",""),8),4),--MID(LEFT(SUBSTITUTE(SUBSTITUTE(SUBSTITUTE(SUBSTITUTE(TRIM($W205),"-",""),".",""),"/","")," ",""),8),5,2),--MID(LEFT(SUBSTITUTE(SUBSTITUTE(SUBSTITUTE(SUBSTITUTE(TRIM($W205),"-",""),".",""),"/","")," ",""),8),7,2)),"")))</f>
        <v/>
      </c>
      <c r="Y205" s="32">
        <f>IF($X205="","",INT($X205))</f>
        <v/>
      </c>
      <c r="Z205" s="33">
        <f>IF(OR($Y205="",$D$6=""),"",IF(INDEX($A:$U,ROW(),$D$6)="",0,IF(ISNUMBER(INDEX($A:$U,ROW(),$D$6)),INDEX($A:$U,ROW(),$D$6),IFERROR(--SUBSTITUTE(SUBSTITUTE(TRIM(INDEX($A:$U,ROW(),$D$6)),",",""),"원",""),0))))</f>
        <v/>
      </c>
      <c r="AA205" s="31">
        <f>IF($Y205="","",TRIM(INDEX($A:$U,ROW(),$E$6)&amp;IF($F$6="",""," "&amp;INDEX($A:$U,ROW(),$F$6))))</f>
        <v/>
      </c>
      <c r="AB205" s="31">
        <f>IF($AA205="","",SUBSTITUTE(SUBSTITUTE(SUBSTITUTE(SUBSTITUTE(SUBSTITUTE(SUBSTITUTE(SUBSTITUTE(SUBSTITUTE(SUBSTITUTE($AA205," ",""),"　",""),"(주)",""),"（주）",""),"㈜",""),"주식회사",""),"(유)",""),"（유）",""),"유한회사",""))</f>
        <v/>
      </c>
      <c r="AC205" s="31">
        <f>IF(OR($Y205="",N($Z205)&lt;=0,$AB205=""),0,IFERROR(LOOKUP(2,1/((거래처별!$AC$8:$AC$307&lt;&gt;"")*ISNUMBER(SEARCH(거래처별!$AC$8:$AC$307,$AB205))),거래처별!$A$8:$A$307),IFERROR(LOOKUP(2,1/((거래처별!$AD$8:$AD$307&lt;&gt;"")*ISNUMBER(SEARCH(거래처별!$AD$8:$AD$307,$AB205))),거래처별!$A$8:$A$307),IFERROR(LOOKUP(2,1/((거래처별!$AE$8:$AE$307&lt;&gt;"")*ISNUMBER(SEARCH(거래처별!$AE$8:$AE$307,$AB205))),거래처별!$A$8:$A$307),0))))</f>
        <v/>
      </c>
      <c r="AD205" s="31">
        <f>IF(AND($Y205&lt;&gt;"",N($Z205)&gt;0,$AC205=0),MAX($AD$7:$AD204)+1,"")</f>
        <v/>
      </c>
      <c r="AE205" s="31">
        <f>IF($Y205="",0,$Y205)</f>
        <v/>
      </c>
    </row>
    <row r="206">
      <c r="W206" s="31">
        <f>IF(OR($B$5="",$C$6="",ROW()&lt;$B$5),"",IF(INDEX($A:$U,ROW(),$C$6)="","",INDEX($A:$U,ROW(),$C$6)))</f>
        <v/>
      </c>
      <c r="X206" s="32">
        <f>IF($W206="","",IF(ISNUMBER($W206),IF($W206&gt;=10000000,IFERROR(DATE(INT($W206/10000),MOD(INT($W206/100),100),MOD($W206,100)),""),INT($W206)),IFERROR(DATE(--LEFT(LEFT(SUBSTITUTE(SUBSTITUTE(SUBSTITUTE(SUBSTITUTE(TRIM($W206),"-",""),".",""),"/","")," ",""),8),4),--MID(LEFT(SUBSTITUTE(SUBSTITUTE(SUBSTITUTE(SUBSTITUTE(TRIM($W206),"-",""),".",""),"/","")," ",""),8),5,2),--MID(LEFT(SUBSTITUTE(SUBSTITUTE(SUBSTITUTE(SUBSTITUTE(TRIM($W206),"-",""),".",""),"/","")," ",""),8),7,2)),"")))</f>
        <v/>
      </c>
      <c r="Y206" s="32">
        <f>IF($X206="","",INT($X206))</f>
        <v/>
      </c>
      <c r="Z206" s="33">
        <f>IF(OR($Y206="",$D$6=""),"",IF(INDEX($A:$U,ROW(),$D$6)="",0,IF(ISNUMBER(INDEX($A:$U,ROW(),$D$6)),INDEX($A:$U,ROW(),$D$6),IFERROR(--SUBSTITUTE(SUBSTITUTE(TRIM(INDEX($A:$U,ROW(),$D$6)),",",""),"원",""),0))))</f>
        <v/>
      </c>
      <c r="AA206" s="31">
        <f>IF($Y206="","",TRIM(INDEX($A:$U,ROW(),$E$6)&amp;IF($F$6="",""," "&amp;INDEX($A:$U,ROW(),$F$6))))</f>
        <v/>
      </c>
      <c r="AB206" s="31">
        <f>IF($AA206="","",SUBSTITUTE(SUBSTITUTE(SUBSTITUTE(SUBSTITUTE(SUBSTITUTE(SUBSTITUTE(SUBSTITUTE(SUBSTITUTE(SUBSTITUTE($AA206," ",""),"　",""),"(주)",""),"（주）",""),"㈜",""),"주식회사",""),"(유)",""),"（유）",""),"유한회사",""))</f>
        <v/>
      </c>
      <c r="AC206" s="31">
        <f>IF(OR($Y206="",N($Z206)&lt;=0,$AB206=""),0,IFERROR(LOOKUP(2,1/((거래처별!$AC$8:$AC$307&lt;&gt;"")*ISNUMBER(SEARCH(거래처별!$AC$8:$AC$307,$AB206))),거래처별!$A$8:$A$307),IFERROR(LOOKUP(2,1/((거래처별!$AD$8:$AD$307&lt;&gt;"")*ISNUMBER(SEARCH(거래처별!$AD$8:$AD$307,$AB206))),거래처별!$A$8:$A$307),IFERROR(LOOKUP(2,1/((거래처별!$AE$8:$AE$307&lt;&gt;"")*ISNUMBER(SEARCH(거래처별!$AE$8:$AE$307,$AB206))),거래처별!$A$8:$A$307),0))))</f>
        <v/>
      </c>
      <c r="AD206" s="31">
        <f>IF(AND($Y206&lt;&gt;"",N($Z206)&gt;0,$AC206=0),MAX($AD$7:$AD205)+1,"")</f>
        <v/>
      </c>
      <c r="AE206" s="31">
        <f>IF($Y206="",0,$Y206)</f>
        <v/>
      </c>
    </row>
    <row r="207">
      <c r="W207" s="31">
        <f>IF(OR($B$5="",$C$6="",ROW()&lt;$B$5),"",IF(INDEX($A:$U,ROW(),$C$6)="","",INDEX($A:$U,ROW(),$C$6)))</f>
        <v/>
      </c>
      <c r="X207" s="32">
        <f>IF($W207="","",IF(ISNUMBER($W207),IF($W207&gt;=10000000,IFERROR(DATE(INT($W207/10000),MOD(INT($W207/100),100),MOD($W207,100)),""),INT($W207)),IFERROR(DATE(--LEFT(LEFT(SUBSTITUTE(SUBSTITUTE(SUBSTITUTE(SUBSTITUTE(TRIM($W207),"-",""),".",""),"/","")," ",""),8),4),--MID(LEFT(SUBSTITUTE(SUBSTITUTE(SUBSTITUTE(SUBSTITUTE(TRIM($W207),"-",""),".",""),"/","")," ",""),8),5,2),--MID(LEFT(SUBSTITUTE(SUBSTITUTE(SUBSTITUTE(SUBSTITUTE(TRIM($W207),"-",""),".",""),"/","")," ",""),8),7,2)),"")))</f>
        <v/>
      </c>
      <c r="Y207" s="32">
        <f>IF($X207="","",INT($X207))</f>
        <v/>
      </c>
      <c r="Z207" s="33">
        <f>IF(OR($Y207="",$D$6=""),"",IF(INDEX($A:$U,ROW(),$D$6)="",0,IF(ISNUMBER(INDEX($A:$U,ROW(),$D$6)),INDEX($A:$U,ROW(),$D$6),IFERROR(--SUBSTITUTE(SUBSTITUTE(TRIM(INDEX($A:$U,ROW(),$D$6)),",",""),"원",""),0))))</f>
        <v/>
      </c>
      <c r="AA207" s="31">
        <f>IF($Y207="","",TRIM(INDEX($A:$U,ROW(),$E$6)&amp;IF($F$6="",""," "&amp;INDEX($A:$U,ROW(),$F$6))))</f>
        <v/>
      </c>
      <c r="AB207" s="31">
        <f>IF($AA207="","",SUBSTITUTE(SUBSTITUTE(SUBSTITUTE(SUBSTITUTE(SUBSTITUTE(SUBSTITUTE(SUBSTITUTE(SUBSTITUTE(SUBSTITUTE($AA207," ",""),"　",""),"(주)",""),"（주）",""),"㈜",""),"주식회사",""),"(유)",""),"（유）",""),"유한회사",""))</f>
        <v/>
      </c>
      <c r="AC207" s="31">
        <f>IF(OR($Y207="",N($Z207)&lt;=0,$AB207=""),0,IFERROR(LOOKUP(2,1/((거래처별!$AC$8:$AC$307&lt;&gt;"")*ISNUMBER(SEARCH(거래처별!$AC$8:$AC$307,$AB207))),거래처별!$A$8:$A$307),IFERROR(LOOKUP(2,1/((거래처별!$AD$8:$AD$307&lt;&gt;"")*ISNUMBER(SEARCH(거래처별!$AD$8:$AD$307,$AB207))),거래처별!$A$8:$A$307),IFERROR(LOOKUP(2,1/((거래처별!$AE$8:$AE$307&lt;&gt;"")*ISNUMBER(SEARCH(거래처별!$AE$8:$AE$307,$AB207))),거래처별!$A$8:$A$307),0))))</f>
        <v/>
      </c>
      <c r="AD207" s="31">
        <f>IF(AND($Y207&lt;&gt;"",N($Z207)&gt;0,$AC207=0),MAX($AD$7:$AD206)+1,"")</f>
        <v/>
      </c>
      <c r="AE207" s="31">
        <f>IF($Y207="",0,$Y207)</f>
        <v/>
      </c>
    </row>
    <row r="208">
      <c r="W208" s="31">
        <f>IF(OR($B$5="",$C$6="",ROW()&lt;$B$5),"",IF(INDEX($A:$U,ROW(),$C$6)="","",INDEX($A:$U,ROW(),$C$6)))</f>
        <v/>
      </c>
      <c r="X208" s="32">
        <f>IF($W208="","",IF(ISNUMBER($W208),IF($W208&gt;=10000000,IFERROR(DATE(INT($W208/10000),MOD(INT($W208/100),100),MOD($W208,100)),""),INT($W208)),IFERROR(DATE(--LEFT(LEFT(SUBSTITUTE(SUBSTITUTE(SUBSTITUTE(SUBSTITUTE(TRIM($W208),"-",""),".",""),"/","")," ",""),8),4),--MID(LEFT(SUBSTITUTE(SUBSTITUTE(SUBSTITUTE(SUBSTITUTE(TRIM($W208),"-",""),".",""),"/","")," ",""),8),5,2),--MID(LEFT(SUBSTITUTE(SUBSTITUTE(SUBSTITUTE(SUBSTITUTE(TRIM($W208),"-",""),".",""),"/","")," ",""),8),7,2)),"")))</f>
        <v/>
      </c>
      <c r="Y208" s="32">
        <f>IF($X208="","",INT($X208))</f>
        <v/>
      </c>
      <c r="Z208" s="33">
        <f>IF(OR($Y208="",$D$6=""),"",IF(INDEX($A:$U,ROW(),$D$6)="",0,IF(ISNUMBER(INDEX($A:$U,ROW(),$D$6)),INDEX($A:$U,ROW(),$D$6),IFERROR(--SUBSTITUTE(SUBSTITUTE(TRIM(INDEX($A:$U,ROW(),$D$6)),",",""),"원",""),0))))</f>
        <v/>
      </c>
      <c r="AA208" s="31">
        <f>IF($Y208="","",TRIM(INDEX($A:$U,ROW(),$E$6)&amp;IF($F$6="",""," "&amp;INDEX($A:$U,ROW(),$F$6))))</f>
        <v/>
      </c>
      <c r="AB208" s="31">
        <f>IF($AA208="","",SUBSTITUTE(SUBSTITUTE(SUBSTITUTE(SUBSTITUTE(SUBSTITUTE(SUBSTITUTE(SUBSTITUTE(SUBSTITUTE(SUBSTITUTE($AA208," ",""),"　",""),"(주)",""),"（주）",""),"㈜",""),"주식회사",""),"(유)",""),"（유）",""),"유한회사",""))</f>
        <v/>
      </c>
      <c r="AC208" s="31">
        <f>IF(OR($Y208="",N($Z208)&lt;=0,$AB208=""),0,IFERROR(LOOKUP(2,1/((거래처별!$AC$8:$AC$307&lt;&gt;"")*ISNUMBER(SEARCH(거래처별!$AC$8:$AC$307,$AB208))),거래처별!$A$8:$A$307),IFERROR(LOOKUP(2,1/((거래처별!$AD$8:$AD$307&lt;&gt;"")*ISNUMBER(SEARCH(거래처별!$AD$8:$AD$307,$AB208))),거래처별!$A$8:$A$307),IFERROR(LOOKUP(2,1/((거래처별!$AE$8:$AE$307&lt;&gt;"")*ISNUMBER(SEARCH(거래처별!$AE$8:$AE$307,$AB208))),거래처별!$A$8:$A$307),0))))</f>
        <v/>
      </c>
      <c r="AD208" s="31">
        <f>IF(AND($Y208&lt;&gt;"",N($Z208)&gt;0,$AC208=0),MAX($AD$7:$AD207)+1,"")</f>
        <v/>
      </c>
      <c r="AE208" s="31">
        <f>IF($Y208="",0,$Y208)</f>
        <v/>
      </c>
    </row>
    <row r="209">
      <c r="W209" s="31">
        <f>IF(OR($B$5="",$C$6="",ROW()&lt;$B$5),"",IF(INDEX($A:$U,ROW(),$C$6)="","",INDEX($A:$U,ROW(),$C$6)))</f>
        <v/>
      </c>
      <c r="X209" s="32">
        <f>IF($W209="","",IF(ISNUMBER($W209),IF($W209&gt;=10000000,IFERROR(DATE(INT($W209/10000),MOD(INT($W209/100),100),MOD($W209,100)),""),INT($W209)),IFERROR(DATE(--LEFT(LEFT(SUBSTITUTE(SUBSTITUTE(SUBSTITUTE(SUBSTITUTE(TRIM($W209),"-",""),".",""),"/","")," ",""),8),4),--MID(LEFT(SUBSTITUTE(SUBSTITUTE(SUBSTITUTE(SUBSTITUTE(TRIM($W209),"-",""),".",""),"/","")," ",""),8),5,2),--MID(LEFT(SUBSTITUTE(SUBSTITUTE(SUBSTITUTE(SUBSTITUTE(TRIM($W209),"-",""),".",""),"/","")," ",""),8),7,2)),"")))</f>
        <v/>
      </c>
      <c r="Y209" s="32">
        <f>IF($X209="","",INT($X209))</f>
        <v/>
      </c>
      <c r="Z209" s="33">
        <f>IF(OR($Y209="",$D$6=""),"",IF(INDEX($A:$U,ROW(),$D$6)="",0,IF(ISNUMBER(INDEX($A:$U,ROW(),$D$6)),INDEX($A:$U,ROW(),$D$6),IFERROR(--SUBSTITUTE(SUBSTITUTE(TRIM(INDEX($A:$U,ROW(),$D$6)),",",""),"원",""),0))))</f>
        <v/>
      </c>
      <c r="AA209" s="31">
        <f>IF($Y209="","",TRIM(INDEX($A:$U,ROW(),$E$6)&amp;IF($F$6="",""," "&amp;INDEX($A:$U,ROW(),$F$6))))</f>
        <v/>
      </c>
      <c r="AB209" s="31">
        <f>IF($AA209="","",SUBSTITUTE(SUBSTITUTE(SUBSTITUTE(SUBSTITUTE(SUBSTITUTE(SUBSTITUTE(SUBSTITUTE(SUBSTITUTE(SUBSTITUTE($AA209," ",""),"　",""),"(주)",""),"（주）",""),"㈜",""),"주식회사",""),"(유)",""),"（유）",""),"유한회사",""))</f>
        <v/>
      </c>
      <c r="AC209" s="31">
        <f>IF(OR($Y209="",N($Z209)&lt;=0,$AB209=""),0,IFERROR(LOOKUP(2,1/((거래처별!$AC$8:$AC$307&lt;&gt;"")*ISNUMBER(SEARCH(거래처별!$AC$8:$AC$307,$AB209))),거래처별!$A$8:$A$307),IFERROR(LOOKUP(2,1/((거래처별!$AD$8:$AD$307&lt;&gt;"")*ISNUMBER(SEARCH(거래처별!$AD$8:$AD$307,$AB209))),거래처별!$A$8:$A$307),IFERROR(LOOKUP(2,1/((거래처별!$AE$8:$AE$307&lt;&gt;"")*ISNUMBER(SEARCH(거래처별!$AE$8:$AE$307,$AB209))),거래처별!$A$8:$A$307),0))))</f>
        <v/>
      </c>
      <c r="AD209" s="31">
        <f>IF(AND($Y209&lt;&gt;"",N($Z209)&gt;0,$AC209=0),MAX($AD$7:$AD208)+1,"")</f>
        <v/>
      </c>
      <c r="AE209" s="31">
        <f>IF($Y209="",0,$Y209)</f>
        <v/>
      </c>
    </row>
    <row r="210">
      <c r="W210" s="31">
        <f>IF(OR($B$5="",$C$6="",ROW()&lt;$B$5),"",IF(INDEX($A:$U,ROW(),$C$6)="","",INDEX($A:$U,ROW(),$C$6)))</f>
        <v/>
      </c>
      <c r="X210" s="32">
        <f>IF($W210="","",IF(ISNUMBER($W210),IF($W210&gt;=10000000,IFERROR(DATE(INT($W210/10000),MOD(INT($W210/100),100),MOD($W210,100)),""),INT($W210)),IFERROR(DATE(--LEFT(LEFT(SUBSTITUTE(SUBSTITUTE(SUBSTITUTE(SUBSTITUTE(TRIM($W210),"-",""),".",""),"/","")," ",""),8),4),--MID(LEFT(SUBSTITUTE(SUBSTITUTE(SUBSTITUTE(SUBSTITUTE(TRIM($W210),"-",""),".",""),"/","")," ",""),8),5,2),--MID(LEFT(SUBSTITUTE(SUBSTITUTE(SUBSTITUTE(SUBSTITUTE(TRIM($W210),"-",""),".",""),"/","")," ",""),8),7,2)),"")))</f>
        <v/>
      </c>
      <c r="Y210" s="32">
        <f>IF($X210="","",INT($X210))</f>
        <v/>
      </c>
      <c r="Z210" s="33">
        <f>IF(OR($Y210="",$D$6=""),"",IF(INDEX($A:$U,ROW(),$D$6)="",0,IF(ISNUMBER(INDEX($A:$U,ROW(),$D$6)),INDEX($A:$U,ROW(),$D$6),IFERROR(--SUBSTITUTE(SUBSTITUTE(TRIM(INDEX($A:$U,ROW(),$D$6)),",",""),"원",""),0))))</f>
        <v/>
      </c>
      <c r="AA210" s="31">
        <f>IF($Y210="","",TRIM(INDEX($A:$U,ROW(),$E$6)&amp;IF($F$6="",""," "&amp;INDEX($A:$U,ROW(),$F$6))))</f>
        <v/>
      </c>
      <c r="AB210" s="31">
        <f>IF($AA210="","",SUBSTITUTE(SUBSTITUTE(SUBSTITUTE(SUBSTITUTE(SUBSTITUTE(SUBSTITUTE(SUBSTITUTE(SUBSTITUTE(SUBSTITUTE($AA210," ",""),"　",""),"(주)",""),"（주）",""),"㈜",""),"주식회사",""),"(유)",""),"（유）",""),"유한회사",""))</f>
        <v/>
      </c>
      <c r="AC210" s="31">
        <f>IF(OR($Y210="",N($Z210)&lt;=0,$AB210=""),0,IFERROR(LOOKUP(2,1/((거래처별!$AC$8:$AC$307&lt;&gt;"")*ISNUMBER(SEARCH(거래처별!$AC$8:$AC$307,$AB210))),거래처별!$A$8:$A$307),IFERROR(LOOKUP(2,1/((거래처별!$AD$8:$AD$307&lt;&gt;"")*ISNUMBER(SEARCH(거래처별!$AD$8:$AD$307,$AB210))),거래처별!$A$8:$A$307),IFERROR(LOOKUP(2,1/((거래처별!$AE$8:$AE$307&lt;&gt;"")*ISNUMBER(SEARCH(거래처별!$AE$8:$AE$307,$AB210))),거래처별!$A$8:$A$307),0))))</f>
        <v/>
      </c>
      <c r="AD210" s="31">
        <f>IF(AND($Y210&lt;&gt;"",N($Z210)&gt;0,$AC210=0),MAX($AD$7:$AD209)+1,"")</f>
        <v/>
      </c>
      <c r="AE210" s="31">
        <f>IF($Y210="",0,$Y210)</f>
        <v/>
      </c>
    </row>
    <row r="211">
      <c r="W211" s="31">
        <f>IF(OR($B$5="",$C$6="",ROW()&lt;$B$5),"",IF(INDEX($A:$U,ROW(),$C$6)="","",INDEX($A:$U,ROW(),$C$6)))</f>
        <v/>
      </c>
      <c r="X211" s="32">
        <f>IF($W211="","",IF(ISNUMBER($W211),IF($W211&gt;=10000000,IFERROR(DATE(INT($W211/10000),MOD(INT($W211/100),100),MOD($W211,100)),""),INT($W211)),IFERROR(DATE(--LEFT(LEFT(SUBSTITUTE(SUBSTITUTE(SUBSTITUTE(SUBSTITUTE(TRIM($W211),"-",""),".",""),"/","")," ",""),8),4),--MID(LEFT(SUBSTITUTE(SUBSTITUTE(SUBSTITUTE(SUBSTITUTE(TRIM($W211),"-",""),".",""),"/","")," ",""),8),5,2),--MID(LEFT(SUBSTITUTE(SUBSTITUTE(SUBSTITUTE(SUBSTITUTE(TRIM($W211),"-",""),".",""),"/","")," ",""),8),7,2)),"")))</f>
        <v/>
      </c>
      <c r="Y211" s="32">
        <f>IF($X211="","",INT($X211))</f>
        <v/>
      </c>
      <c r="Z211" s="33">
        <f>IF(OR($Y211="",$D$6=""),"",IF(INDEX($A:$U,ROW(),$D$6)="",0,IF(ISNUMBER(INDEX($A:$U,ROW(),$D$6)),INDEX($A:$U,ROW(),$D$6),IFERROR(--SUBSTITUTE(SUBSTITUTE(TRIM(INDEX($A:$U,ROW(),$D$6)),",",""),"원",""),0))))</f>
        <v/>
      </c>
      <c r="AA211" s="31">
        <f>IF($Y211="","",TRIM(INDEX($A:$U,ROW(),$E$6)&amp;IF($F$6="",""," "&amp;INDEX($A:$U,ROW(),$F$6))))</f>
        <v/>
      </c>
      <c r="AB211" s="31">
        <f>IF($AA211="","",SUBSTITUTE(SUBSTITUTE(SUBSTITUTE(SUBSTITUTE(SUBSTITUTE(SUBSTITUTE(SUBSTITUTE(SUBSTITUTE(SUBSTITUTE($AA211," ",""),"　",""),"(주)",""),"（주）",""),"㈜",""),"주식회사",""),"(유)",""),"（유）",""),"유한회사",""))</f>
        <v/>
      </c>
      <c r="AC211" s="31">
        <f>IF(OR($Y211="",N($Z211)&lt;=0,$AB211=""),0,IFERROR(LOOKUP(2,1/((거래처별!$AC$8:$AC$307&lt;&gt;"")*ISNUMBER(SEARCH(거래처별!$AC$8:$AC$307,$AB211))),거래처별!$A$8:$A$307),IFERROR(LOOKUP(2,1/((거래처별!$AD$8:$AD$307&lt;&gt;"")*ISNUMBER(SEARCH(거래처별!$AD$8:$AD$307,$AB211))),거래처별!$A$8:$A$307),IFERROR(LOOKUP(2,1/((거래처별!$AE$8:$AE$307&lt;&gt;"")*ISNUMBER(SEARCH(거래처별!$AE$8:$AE$307,$AB211))),거래처별!$A$8:$A$307),0))))</f>
        <v/>
      </c>
      <c r="AD211" s="31">
        <f>IF(AND($Y211&lt;&gt;"",N($Z211)&gt;0,$AC211=0),MAX($AD$7:$AD210)+1,"")</f>
        <v/>
      </c>
      <c r="AE211" s="31">
        <f>IF($Y211="",0,$Y211)</f>
        <v/>
      </c>
    </row>
    <row r="212">
      <c r="W212" s="31">
        <f>IF(OR($B$5="",$C$6="",ROW()&lt;$B$5),"",IF(INDEX($A:$U,ROW(),$C$6)="","",INDEX($A:$U,ROW(),$C$6)))</f>
        <v/>
      </c>
      <c r="X212" s="32">
        <f>IF($W212="","",IF(ISNUMBER($W212),IF($W212&gt;=10000000,IFERROR(DATE(INT($W212/10000),MOD(INT($W212/100),100),MOD($W212,100)),""),INT($W212)),IFERROR(DATE(--LEFT(LEFT(SUBSTITUTE(SUBSTITUTE(SUBSTITUTE(SUBSTITUTE(TRIM($W212),"-",""),".",""),"/","")," ",""),8),4),--MID(LEFT(SUBSTITUTE(SUBSTITUTE(SUBSTITUTE(SUBSTITUTE(TRIM($W212),"-",""),".",""),"/","")," ",""),8),5,2),--MID(LEFT(SUBSTITUTE(SUBSTITUTE(SUBSTITUTE(SUBSTITUTE(TRIM($W212),"-",""),".",""),"/","")," ",""),8),7,2)),"")))</f>
        <v/>
      </c>
      <c r="Y212" s="32">
        <f>IF($X212="","",INT($X212))</f>
        <v/>
      </c>
      <c r="Z212" s="33">
        <f>IF(OR($Y212="",$D$6=""),"",IF(INDEX($A:$U,ROW(),$D$6)="",0,IF(ISNUMBER(INDEX($A:$U,ROW(),$D$6)),INDEX($A:$U,ROW(),$D$6),IFERROR(--SUBSTITUTE(SUBSTITUTE(TRIM(INDEX($A:$U,ROW(),$D$6)),",",""),"원",""),0))))</f>
        <v/>
      </c>
      <c r="AA212" s="31">
        <f>IF($Y212="","",TRIM(INDEX($A:$U,ROW(),$E$6)&amp;IF($F$6="",""," "&amp;INDEX($A:$U,ROW(),$F$6))))</f>
        <v/>
      </c>
      <c r="AB212" s="31">
        <f>IF($AA212="","",SUBSTITUTE(SUBSTITUTE(SUBSTITUTE(SUBSTITUTE(SUBSTITUTE(SUBSTITUTE(SUBSTITUTE(SUBSTITUTE(SUBSTITUTE($AA212," ",""),"　",""),"(주)",""),"（주）",""),"㈜",""),"주식회사",""),"(유)",""),"（유）",""),"유한회사",""))</f>
        <v/>
      </c>
      <c r="AC212" s="31">
        <f>IF(OR($Y212="",N($Z212)&lt;=0,$AB212=""),0,IFERROR(LOOKUP(2,1/((거래처별!$AC$8:$AC$307&lt;&gt;"")*ISNUMBER(SEARCH(거래처별!$AC$8:$AC$307,$AB212))),거래처별!$A$8:$A$307),IFERROR(LOOKUP(2,1/((거래처별!$AD$8:$AD$307&lt;&gt;"")*ISNUMBER(SEARCH(거래처별!$AD$8:$AD$307,$AB212))),거래처별!$A$8:$A$307),IFERROR(LOOKUP(2,1/((거래처별!$AE$8:$AE$307&lt;&gt;"")*ISNUMBER(SEARCH(거래처별!$AE$8:$AE$307,$AB212))),거래처별!$A$8:$A$307),0))))</f>
        <v/>
      </c>
      <c r="AD212" s="31">
        <f>IF(AND($Y212&lt;&gt;"",N($Z212)&gt;0,$AC212=0),MAX($AD$7:$AD211)+1,"")</f>
        <v/>
      </c>
      <c r="AE212" s="31">
        <f>IF($Y212="",0,$Y212)</f>
        <v/>
      </c>
    </row>
    <row r="213">
      <c r="W213" s="31">
        <f>IF(OR($B$5="",$C$6="",ROW()&lt;$B$5),"",IF(INDEX($A:$U,ROW(),$C$6)="","",INDEX($A:$U,ROW(),$C$6)))</f>
        <v/>
      </c>
      <c r="X213" s="32">
        <f>IF($W213="","",IF(ISNUMBER($W213),IF($W213&gt;=10000000,IFERROR(DATE(INT($W213/10000),MOD(INT($W213/100),100),MOD($W213,100)),""),INT($W213)),IFERROR(DATE(--LEFT(LEFT(SUBSTITUTE(SUBSTITUTE(SUBSTITUTE(SUBSTITUTE(TRIM($W213),"-",""),".",""),"/","")," ",""),8),4),--MID(LEFT(SUBSTITUTE(SUBSTITUTE(SUBSTITUTE(SUBSTITUTE(TRIM($W213),"-",""),".",""),"/","")," ",""),8),5,2),--MID(LEFT(SUBSTITUTE(SUBSTITUTE(SUBSTITUTE(SUBSTITUTE(TRIM($W213),"-",""),".",""),"/","")," ",""),8),7,2)),"")))</f>
        <v/>
      </c>
      <c r="Y213" s="32">
        <f>IF($X213="","",INT($X213))</f>
        <v/>
      </c>
      <c r="Z213" s="33">
        <f>IF(OR($Y213="",$D$6=""),"",IF(INDEX($A:$U,ROW(),$D$6)="",0,IF(ISNUMBER(INDEX($A:$U,ROW(),$D$6)),INDEX($A:$U,ROW(),$D$6),IFERROR(--SUBSTITUTE(SUBSTITUTE(TRIM(INDEX($A:$U,ROW(),$D$6)),",",""),"원",""),0))))</f>
        <v/>
      </c>
      <c r="AA213" s="31">
        <f>IF($Y213="","",TRIM(INDEX($A:$U,ROW(),$E$6)&amp;IF($F$6="",""," "&amp;INDEX($A:$U,ROW(),$F$6))))</f>
        <v/>
      </c>
      <c r="AB213" s="31">
        <f>IF($AA213="","",SUBSTITUTE(SUBSTITUTE(SUBSTITUTE(SUBSTITUTE(SUBSTITUTE(SUBSTITUTE(SUBSTITUTE(SUBSTITUTE(SUBSTITUTE($AA213," ",""),"　",""),"(주)",""),"（주）",""),"㈜",""),"주식회사",""),"(유)",""),"（유）",""),"유한회사",""))</f>
        <v/>
      </c>
      <c r="AC213" s="31">
        <f>IF(OR($Y213="",N($Z213)&lt;=0,$AB213=""),0,IFERROR(LOOKUP(2,1/((거래처별!$AC$8:$AC$307&lt;&gt;"")*ISNUMBER(SEARCH(거래처별!$AC$8:$AC$307,$AB213))),거래처별!$A$8:$A$307),IFERROR(LOOKUP(2,1/((거래처별!$AD$8:$AD$307&lt;&gt;"")*ISNUMBER(SEARCH(거래처별!$AD$8:$AD$307,$AB213))),거래처별!$A$8:$A$307),IFERROR(LOOKUP(2,1/((거래처별!$AE$8:$AE$307&lt;&gt;"")*ISNUMBER(SEARCH(거래처별!$AE$8:$AE$307,$AB213))),거래처별!$A$8:$A$307),0))))</f>
        <v/>
      </c>
      <c r="AD213" s="31">
        <f>IF(AND($Y213&lt;&gt;"",N($Z213)&gt;0,$AC213=0),MAX($AD$7:$AD212)+1,"")</f>
        <v/>
      </c>
      <c r="AE213" s="31">
        <f>IF($Y213="",0,$Y213)</f>
        <v/>
      </c>
    </row>
    <row r="214">
      <c r="W214" s="31">
        <f>IF(OR($B$5="",$C$6="",ROW()&lt;$B$5),"",IF(INDEX($A:$U,ROW(),$C$6)="","",INDEX($A:$U,ROW(),$C$6)))</f>
        <v/>
      </c>
      <c r="X214" s="32">
        <f>IF($W214="","",IF(ISNUMBER($W214),IF($W214&gt;=10000000,IFERROR(DATE(INT($W214/10000),MOD(INT($W214/100),100),MOD($W214,100)),""),INT($W214)),IFERROR(DATE(--LEFT(LEFT(SUBSTITUTE(SUBSTITUTE(SUBSTITUTE(SUBSTITUTE(TRIM($W214),"-",""),".",""),"/","")," ",""),8),4),--MID(LEFT(SUBSTITUTE(SUBSTITUTE(SUBSTITUTE(SUBSTITUTE(TRIM($W214),"-",""),".",""),"/","")," ",""),8),5,2),--MID(LEFT(SUBSTITUTE(SUBSTITUTE(SUBSTITUTE(SUBSTITUTE(TRIM($W214),"-",""),".",""),"/","")," ",""),8),7,2)),"")))</f>
        <v/>
      </c>
      <c r="Y214" s="32">
        <f>IF($X214="","",INT($X214))</f>
        <v/>
      </c>
      <c r="Z214" s="33">
        <f>IF(OR($Y214="",$D$6=""),"",IF(INDEX($A:$U,ROW(),$D$6)="",0,IF(ISNUMBER(INDEX($A:$U,ROW(),$D$6)),INDEX($A:$U,ROW(),$D$6),IFERROR(--SUBSTITUTE(SUBSTITUTE(TRIM(INDEX($A:$U,ROW(),$D$6)),",",""),"원",""),0))))</f>
        <v/>
      </c>
      <c r="AA214" s="31">
        <f>IF($Y214="","",TRIM(INDEX($A:$U,ROW(),$E$6)&amp;IF($F$6="",""," "&amp;INDEX($A:$U,ROW(),$F$6))))</f>
        <v/>
      </c>
      <c r="AB214" s="31">
        <f>IF($AA214="","",SUBSTITUTE(SUBSTITUTE(SUBSTITUTE(SUBSTITUTE(SUBSTITUTE(SUBSTITUTE(SUBSTITUTE(SUBSTITUTE(SUBSTITUTE($AA214," ",""),"　",""),"(주)",""),"（주）",""),"㈜",""),"주식회사",""),"(유)",""),"（유）",""),"유한회사",""))</f>
        <v/>
      </c>
      <c r="AC214" s="31">
        <f>IF(OR($Y214="",N($Z214)&lt;=0,$AB214=""),0,IFERROR(LOOKUP(2,1/((거래처별!$AC$8:$AC$307&lt;&gt;"")*ISNUMBER(SEARCH(거래처별!$AC$8:$AC$307,$AB214))),거래처별!$A$8:$A$307),IFERROR(LOOKUP(2,1/((거래처별!$AD$8:$AD$307&lt;&gt;"")*ISNUMBER(SEARCH(거래처별!$AD$8:$AD$307,$AB214))),거래처별!$A$8:$A$307),IFERROR(LOOKUP(2,1/((거래처별!$AE$8:$AE$307&lt;&gt;"")*ISNUMBER(SEARCH(거래처별!$AE$8:$AE$307,$AB214))),거래처별!$A$8:$A$307),0))))</f>
        <v/>
      </c>
      <c r="AD214" s="31">
        <f>IF(AND($Y214&lt;&gt;"",N($Z214)&gt;0,$AC214=0),MAX($AD$7:$AD213)+1,"")</f>
        <v/>
      </c>
      <c r="AE214" s="31">
        <f>IF($Y214="",0,$Y214)</f>
        <v/>
      </c>
    </row>
    <row r="215">
      <c r="W215" s="31">
        <f>IF(OR($B$5="",$C$6="",ROW()&lt;$B$5),"",IF(INDEX($A:$U,ROW(),$C$6)="","",INDEX($A:$U,ROW(),$C$6)))</f>
        <v/>
      </c>
      <c r="X215" s="32">
        <f>IF($W215="","",IF(ISNUMBER($W215),IF($W215&gt;=10000000,IFERROR(DATE(INT($W215/10000),MOD(INT($W215/100),100),MOD($W215,100)),""),INT($W215)),IFERROR(DATE(--LEFT(LEFT(SUBSTITUTE(SUBSTITUTE(SUBSTITUTE(SUBSTITUTE(TRIM($W215),"-",""),".",""),"/","")," ",""),8),4),--MID(LEFT(SUBSTITUTE(SUBSTITUTE(SUBSTITUTE(SUBSTITUTE(TRIM($W215),"-",""),".",""),"/","")," ",""),8),5,2),--MID(LEFT(SUBSTITUTE(SUBSTITUTE(SUBSTITUTE(SUBSTITUTE(TRIM($W215),"-",""),".",""),"/","")," ",""),8),7,2)),"")))</f>
        <v/>
      </c>
      <c r="Y215" s="32">
        <f>IF($X215="","",INT($X215))</f>
        <v/>
      </c>
      <c r="Z215" s="33">
        <f>IF(OR($Y215="",$D$6=""),"",IF(INDEX($A:$U,ROW(),$D$6)="",0,IF(ISNUMBER(INDEX($A:$U,ROW(),$D$6)),INDEX($A:$U,ROW(),$D$6),IFERROR(--SUBSTITUTE(SUBSTITUTE(TRIM(INDEX($A:$U,ROW(),$D$6)),",",""),"원",""),0))))</f>
        <v/>
      </c>
      <c r="AA215" s="31">
        <f>IF($Y215="","",TRIM(INDEX($A:$U,ROW(),$E$6)&amp;IF($F$6="",""," "&amp;INDEX($A:$U,ROW(),$F$6))))</f>
        <v/>
      </c>
      <c r="AB215" s="31">
        <f>IF($AA215="","",SUBSTITUTE(SUBSTITUTE(SUBSTITUTE(SUBSTITUTE(SUBSTITUTE(SUBSTITUTE(SUBSTITUTE(SUBSTITUTE(SUBSTITUTE($AA215," ",""),"　",""),"(주)",""),"（주）",""),"㈜",""),"주식회사",""),"(유)",""),"（유）",""),"유한회사",""))</f>
        <v/>
      </c>
      <c r="AC215" s="31">
        <f>IF(OR($Y215="",N($Z215)&lt;=0,$AB215=""),0,IFERROR(LOOKUP(2,1/((거래처별!$AC$8:$AC$307&lt;&gt;"")*ISNUMBER(SEARCH(거래처별!$AC$8:$AC$307,$AB215))),거래처별!$A$8:$A$307),IFERROR(LOOKUP(2,1/((거래처별!$AD$8:$AD$307&lt;&gt;"")*ISNUMBER(SEARCH(거래처별!$AD$8:$AD$307,$AB215))),거래처별!$A$8:$A$307),IFERROR(LOOKUP(2,1/((거래처별!$AE$8:$AE$307&lt;&gt;"")*ISNUMBER(SEARCH(거래처별!$AE$8:$AE$307,$AB215))),거래처별!$A$8:$A$307),0))))</f>
        <v/>
      </c>
      <c r="AD215" s="31">
        <f>IF(AND($Y215&lt;&gt;"",N($Z215)&gt;0,$AC215=0),MAX($AD$7:$AD214)+1,"")</f>
        <v/>
      </c>
      <c r="AE215" s="31">
        <f>IF($Y215="",0,$Y215)</f>
        <v/>
      </c>
    </row>
    <row r="216">
      <c r="W216" s="31">
        <f>IF(OR($B$5="",$C$6="",ROW()&lt;$B$5),"",IF(INDEX($A:$U,ROW(),$C$6)="","",INDEX($A:$U,ROW(),$C$6)))</f>
        <v/>
      </c>
      <c r="X216" s="32">
        <f>IF($W216="","",IF(ISNUMBER($W216),IF($W216&gt;=10000000,IFERROR(DATE(INT($W216/10000),MOD(INT($W216/100),100),MOD($W216,100)),""),INT($W216)),IFERROR(DATE(--LEFT(LEFT(SUBSTITUTE(SUBSTITUTE(SUBSTITUTE(SUBSTITUTE(TRIM($W216),"-",""),".",""),"/","")," ",""),8),4),--MID(LEFT(SUBSTITUTE(SUBSTITUTE(SUBSTITUTE(SUBSTITUTE(TRIM($W216),"-",""),".",""),"/","")," ",""),8),5,2),--MID(LEFT(SUBSTITUTE(SUBSTITUTE(SUBSTITUTE(SUBSTITUTE(TRIM($W216),"-",""),".",""),"/","")," ",""),8),7,2)),"")))</f>
        <v/>
      </c>
      <c r="Y216" s="32">
        <f>IF($X216="","",INT($X216))</f>
        <v/>
      </c>
      <c r="Z216" s="33">
        <f>IF(OR($Y216="",$D$6=""),"",IF(INDEX($A:$U,ROW(),$D$6)="",0,IF(ISNUMBER(INDEX($A:$U,ROW(),$D$6)),INDEX($A:$U,ROW(),$D$6),IFERROR(--SUBSTITUTE(SUBSTITUTE(TRIM(INDEX($A:$U,ROW(),$D$6)),",",""),"원",""),0))))</f>
        <v/>
      </c>
      <c r="AA216" s="31">
        <f>IF($Y216="","",TRIM(INDEX($A:$U,ROW(),$E$6)&amp;IF($F$6="",""," "&amp;INDEX($A:$U,ROW(),$F$6))))</f>
        <v/>
      </c>
      <c r="AB216" s="31">
        <f>IF($AA216="","",SUBSTITUTE(SUBSTITUTE(SUBSTITUTE(SUBSTITUTE(SUBSTITUTE(SUBSTITUTE(SUBSTITUTE(SUBSTITUTE(SUBSTITUTE($AA216," ",""),"　",""),"(주)",""),"（주）",""),"㈜",""),"주식회사",""),"(유)",""),"（유）",""),"유한회사",""))</f>
        <v/>
      </c>
      <c r="AC216" s="31">
        <f>IF(OR($Y216="",N($Z216)&lt;=0,$AB216=""),0,IFERROR(LOOKUP(2,1/((거래처별!$AC$8:$AC$307&lt;&gt;"")*ISNUMBER(SEARCH(거래처별!$AC$8:$AC$307,$AB216))),거래처별!$A$8:$A$307),IFERROR(LOOKUP(2,1/((거래처별!$AD$8:$AD$307&lt;&gt;"")*ISNUMBER(SEARCH(거래처별!$AD$8:$AD$307,$AB216))),거래처별!$A$8:$A$307),IFERROR(LOOKUP(2,1/((거래처별!$AE$8:$AE$307&lt;&gt;"")*ISNUMBER(SEARCH(거래처별!$AE$8:$AE$307,$AB216))),거래처별!$A$8:$A$307),0))))</f>
        <v/>
      </c>
      <c r="AD216" s="31">
        <f>IF(AND($Y216&lt;&gt;"",N($Z216)&gt;0,$AC216=0),MAX($AD$7:$AD215)+1,"")</f>
        <v/>
      </c>
      <c r="AE216" s="31">
        <f>IF($Y216="",0,$Y216)</f>
        <v/>
      </c>
    </row>
    <row r="217">
      <c r="W217" s="31">
        <f>IF(OR($B$5="",$C$6="",ROW()&lt;$B$5),"",IF(INDEX($A:$U,ROW(),$C$6)="","",INDEX($A:$U,ROW(),$C$6)))</f>
        <v/>
      </c>
      <c r="X217" s="32">
        <f>IF($W217="","",IF(ISNUMBER($W217),IF($W217&gt;=10000000,IFERROR(DATE(INT($W217/10000),MOD(INT($W217/100),100),MOD($W217,100)),""),INT($W217)),IFERROR(DATE(--LEFT(LEFT(SUBSTITUTE(SUBSTITUTE(SUBSTITUTE(SUBSTITUTE(TRIM($W217),"-",""),".",""),"/","")," ",""),8),4),--MID(LEFT(SUBSTITUTE(SUBSTITUTE(SUBSTITUTE(SUBSTITUTE(TRIM($W217),"-",""),".",""),"/","")," ",""),8),5,2),--MID(LEFT(SUBSTITUTE(SUBSTITUTE(SUBSTITUTE(SUBSTITUTE(TRIM($W217),"-",""),".",""),"/","")," ",""),8),7,2)),"")))</f>
        <v/>
      </c>
      <c r="Y217" s="32">
        <f>IF($X217="","",INT($X217))</f>
        <v/>
      </c>
      <c r="Z217" s="33">
        <f>IF(OR($Y217="",$D$6=""),"",IF(INDEX($A:$U,ROW(),$D$6)="",0,IF(ISNUMBER(INDEX($A:$U,ROW(),$D$6)),INDEX($A:$U,ROW(),$D$6),IFERROR(--SUBSTITUTE(SUBSTITUTE(TRIM(INDEX($A:$U,ROW(),$D$6)),",",""),"원",""),0))))</f>
        <v/>
      </c>
      <c r="AA217" s="31">
        <f>IF($Y217="","",TRIM(INDEX($A:$U,ROW(),$E$6)&amp;IF($F$6="",""," "&amp;INDEX($A:$U,ROW(),$F$6))))</f>
        <v/>
      </c>
      <c r="AB217" s="31">
        <f>IF($AA217="","",SUBSTITUTE(SUBSTITUTE(SUBSTITUTE(SUBSTITUTE(SUBSTITUTE(SUBSTITUTE(SUBSTITUTE(SUBSTITUTE(SUBSTITUTE($AA217," ",""),"　",""),"(주)",""),"（주）",""),"㈜",""),"주식회사",""),"(유)",""),"（유）",""),"유한회사",""))</f>
        <v/>
      </c>
      <c r="AC217" s="31">
        <f>IF(OR($Y217="",N($Z217)&lt;=0,$AB217=""),0,IFERROR(LOOKUP(2,1/((거래처별!$AC$8:$AC$307&lt;&gt;"")*ISNUMBER(SEARCH(거래처별!$AC$8:$AC$307,$AB217))),거래처별!$A$8:$A$307),IFERROR(LOOKUP(2,1/((거래처별!$AD$8:$AD$307&lt;&gt;"")*ISNUMBER(SEARCH(거래처별!$AD$8:$AD$307,$AB217))),거래처별!$A$8:$A$307),IFERROR(LOOKUP(2,1/((거래처별!$AE$8:$AE$307&lt;&gt;"")*ISNUMBER(SEARCH(거래처별!$AE$8:$AE$307,$AB217))),거래처별!$A$8:$A$307),0))))</f>
        <v/>
      </c>
      <c r="AD217" s="31">
        <f>IF(AND($Y217&lt;&gt;"",N($Z217)&gt;0,$AC217=0),MAX($AD$7:$AD216)+1,"")</f>
        <v/>
      </c>
      <c r="AE217" s="31">
        <f>IF($Y217="",0,$Y217)</f>
        <v/>
      </c>
    </row>
    <row r="218">
      <c r="W218" s="31">
        <f>IF(OR($B$5="",$C$6="",ROW()&lt;$B$5),"",IF(INDEX($A:$U,ROW(),$C$6)="","",INDEX($A:$U,ROW(),$C$6)))</f>
        <v/>
      </c>
      <c r="X218" s="32">
        <f>IF($W218="","",IF(ISNUMBER($W218),IF($W218&gt;=10000000,IFERROR(DATE(INT($W218/10000),MOD(INT($W218/100),100),MOD($W218,100)),""),INT($W218)),IFERROR(DATE(--LEFT(LEFT(SUBSTITUTE(SUBSTITUTE(SUBSTITUTE(SUBSTITUTE(TRIM($W218),"-",""),".",""),"/","")," ",""),8),4),--MID(LEFT(SUBSTITUTE(SUBSTITUTE(SUBSTITUTE(SUBSTITUTE(TRIM($W218),"-",""),".",""),"/","")," ",""),8),5,2),--MID(LEFT(SUBSTITUTE(SUBSTITUTE(SUBSTITUTE(SUBSTITUTE(TRIM($W218),"-",""),".",""),"/","")," ",""),8),7,2)),"")))</f>
        <v/>
      </c>
      <c r="Y218" s="32">
        <f>IF($X218="","",INT($X218))</f>
        <v/>
      </c>
      <c r="Z218" s="33">
        <f>IF(OR($Y218="",$D$6=""),"",IF(INDEX($A:$U,ROW(),$D$6)="",0,IF(ISNUMBER(INDEX($A:$U,ROW(),$D$6)),INDEX($A:$U,ROW(),$D$6),IFERROR(--SUBSTITUTE(SUBSTITUTE(TRIM(INDEX($A:$U,ROW(),$D$6)),",",""),"원",""),0))))</f>
        <v/>
      </c>
      <c r="AA218" s="31">
        <f>IF($Y218="","",TRIM(INDEX($A:$U,ROW(),$E$6)&amp;IF($F$6="",""," "&amp;INDEX($A:$U,ROW(),$F$6))))</f>
        <v/>
      </c>
      <c r="AB218" s="31">
        <f>IF($AA218="","",SUBSTITUTE(SUBSTITUTE(SUBSTITUTE(SUBSTITUTE(SUBSTITUTE(SUBSTITUTE(SUBSTITUTE(SUBSTITUTE(SUBSTITUTE($AA218," ",""),"　",""),"(주)",""),"（주）",""),"㈜",""),"주식회사",""),"(유)",""),"（유）",""),"유한회사",""))</f>
        <v/>
      </c>
      <c r="AC218" s="31">
        <f>IF(OR($Y218="",N($Z218)&lt;=0,$AB218=""),0,IFERROR(LOOKUP(2,1/((거래처별!$AC$8:$AC$307&lt;&gt;"")*ISNUMBER(SEARCH(거래처별!$AC$8:$AC$307,$AB218))),거래처별!$A$8:$A$307),IFERROR(LOOKUP(2,1/((거래처별!$AD$8:$AD$307&lt;&gt;"")*ISNUMBER(SEARCH(거래처별!$AD$8:$AD$307,$AB218))),거래처별!$A$8:$A$307),IFERROR(LOOKUP(2,1/((거래처별!$AE$8:$AE$307&lt;&gt;"")*ISNUMBER(SEARCH(거래처별!$AE$8:$AE$307,$AB218))),거래처별!$A$8:$A$307),0))))</f>
        <v/>
      </c>
      <c r="AD218" s="31">
        <f>IF(AND($Y218&lt;&gt;"",N($Z218)&gt;0,$AC218=0),MAX($AD$7:$AD217)+1,"")</f>
        <v/>
      </c>
      <c r="AE218" s="31">
        <f>IF($Y218="",0,$Y218)</f>
        <v/>
      </c>
    </row>
    <row r="219">
      <c r="W219" s="31">
        <f>IF(OR($B$5="",$C$6="",ROW()&lt;$B$5),"",IF(INDEX($A:$U,ROW(),$C$6)="","",INDEX($A:$U,ROW(),$C$6)))</f>
        <v/>
      </c>
      <c r="X219" s="32">
        <f>IF($W219="","",IF(ISNUMBER($W219),IF($W219&gt;=10000000,IFERROR(DATE(INT($W219/10000),MOD(INT($W219/100),100),MOD($W219,100)),""),INT($W219)),IFERROR(DATE(--LEFT(LEFT(SUBSTITUTE(SUBSTITUTE(SUBSTITUTE(SUBSTITUTE(TRIM($W219),"-",""),".",""),"/","")," ",""),8),4),--MID(LEFT(SUBSTITUTE(SUBSTITUTE(SUBSTITUTE(SUBSTITUTE(TRIM($W219),"-",""),".",""),"/","")," ",""),8),5,2),--MID(LEFT(SUBSTITUTE(SUBSTITUTE(SUBSTITUTE(SUBSTITUTE(TRIM($W219),"-",""),".",""),"/","")," ",""),8),7,2)),"")))</f>
        <v/>
      </c>
      <c r="Y219" s="32">
        <f>IF($X219="","",INT($X219))</f>
        <v/>
      </c>
      <c r="Z219" s="33">
        <f>IF(OR($Y219="",$D$6=""),"",IF(INDEX($A:$U,ROW(),$D$6)="",0,IF(ISNUMBER(INDEX($A:$U,ROW(),$D$6)),INDEX($A:$U,ROW(),$D$6),IFERROR(--SUBSTITUTE(SUBSTITUTE(TRIM(INDEX($A:$U,ROW(),$D$6)),",",""),"원",""),0))))</f>
        <v/>
      </c>
      <c r="AA219" s="31">
        <f>IF($Y219="","",TRIM(INDEX($A:$U,ROW(),$E$6)&amp;IF($F$6="",""," "&amp;INDEX($A:$U,ROW(),$F$6))))</f>
        <v/>
      </c>
      <c r="AB219" s="31">
        <f>IF($AA219="","",SUBSTITUTE(SUBSTITUTE(SUBSTITUTE(SUBSTITUTE(SUBSTITUTE(SUBSTITUTE(SUBSTITUTE(SUBSTITUTE(SUBSTITUTE($AA219," ",""),"　",""),"(주)",""),"（주）",""),"㈜",""),"주식회사",""),"(유)",""),"（유）",""),"유한회사",""))</f>
        <v/>
      </c>
      <c r="AC219" s="31">
        <f>IF(OR($Y219="",N($Z219)&lt;=0,$AB219=""),0,IFERROR(LOOKUP(2,1/((거래처별!$AC$8:$AC$307&lt;&gt;"")*ISNUMBER(SEARCH(거래처별!$AC$8:$AC$307,$AB219))),거래처별!$A$8:$A$307),IFERROR(LOOKUP(2,1/((거래처별!$AD$8:$AD$307&lt;&gt;"")*ISNUMBER(SEARCH(거래처별!$AD$8:$AD$307,$AB219))),거래처별!$A$8:$A$307),IFERROR(LOOKUP(2,1/((거래처별!$AE$8:$AE$307&lt;&gt;"")*ISNUMBER(SEARCH(거래처별!$AE$8:$AE$307,$AB219))),거래처별!$A$8:$A$307),0))))</f>
        <v/>
      </c>
      <c r="AD219" s="31">
        <f>IF(AND($Y219&lt;&gt;"",N($Z219)&gt;0,$AC219=0),MAX($AD$7:$AD218)+1,"")</f>
        <v/>
      </c>
      <c r="AE219" s="31">
        <f>IF($Y219="",0,$Y219)</f>
        <v/>
      </c>
    </row>
    <row r="220">
      <c r="W220" s="31">
        <f>IF(OR($B$5="",$C$6="",ROW()&lt;$B$5),"",IF(INDEX($A:$U,ROW(),$C$6)="","",INDEX($A:$U,ROW(),$C$6)))</f>
        <v/>
      </c>
      <c r="X220" s="32">
        <f>IF($W220="","",IF(ISNUMBER($W220),IF($W220&gt;=10000000,IFERROR(DATE(INT($W220/10000),MOD(INT($W220/100),100),MOD($W220,100)),""),INT($W220)),IFERROR(DATE(--LEFT(LEFT(SUBSTITUTE(SUBSTITUTE(SUBSTITUTE(SUBSTITUTE(TRIM($W220),"-",""),".",""),"/","")," ",""),8),4),--MID(LEFT(SUBSTITUTE(SUBSTITUTE(SUBSTITUTE(SUBSTITUTE(TRIM($W220),"-",""),".",""),"/","")," ",""),8),5,2),--MID(LEFT(SUBSTITUTE(SUBSTITUTE(SUBSTITUTE(SUBSTITUTE(TRIM($W220),"-",""),".",""),"/","")," ",""),8),7,2)),"")))</f>
        <v/>
      </c>
      <c r="Y220" s="32">
        <f>IF($X220="","",INT($X220))</f>
        <v/>
      </c>
      <c r="Z220" s="33">
        <f>IF(OR($Y220="",$D$6=""),"",IF(INDEX($A:$U,ROW(),$D$6)="",0,IF(ISNUMBER(INDEX($A:$U,ROW(),$D$6)),INDEX($A:$U,ROW(),$D$6),IFERROR(--SUBSTITUTE(SUBSTITUTE(TRIM(INDEX($A:$U,ROW(),$D$6)),",",""),"원",""),0))))</f>
        <v/>
      </c>
      <c r="AA220" s="31">
        <f>IF($Y220="","",TRIM(INDEX($A:$U,ROW(),$E$6)&amp;IF($F$6="",""," "&amp;INDEX($A:$U,ROW(),$F$6))))</f>
        <v/>
      </c>
      <c r="AB220" s="31">
        <f>IF($AA220="","",SUBSTITUTE(SUBSTITUTE(SUBSTITUTE(SUBSTITUTE(SUBSTITUTE(SUBSTITUTE(SUBSTITUTE(SUBSTITUTE(SUBSTITUTE($AA220," ",""),"　",""),"(주)",""),"（주）",""),"㈜",""),"주식회사",""),"(유)",""),"（유）",""),"유한회사",""))</f>
        <v/>
      </c>
      <c r="AC220" s="31">
        <f>IF(OR($Y220="",N($Z220)&lt;=0,$AB220=""),0,IFERROR(LOOKUP(2,1/((거래처별!$AC$8:$AC$307&lt;&gt;"")*ISNUMBER(SEARCH(거래처별!$AC$8:$AC$307,$AB220))),거래처별!$A$8:$A$307),IFERROR(LOOKUP(2,1/((거래처별!$AD$8:$AD$307&lt;&gt;"")*ISNUMBER(SEARCH(거래처별!$AD$8:$AD$307,$AB220))),거래처별!$A$8:$A$307),IFERROR(LOOKUP(2,1/((거래처별!$AE$8:$AE$307&lt;&gt;"")*ISNUMBER(SEARCH(거래처별!$AE$8:$AE$307,$AB220))),거래처별!$A$8:$A$307),0))))</f>
        <v/>
      </c>
      <c r="AD220" s="31">
        <f>IF(AND($Y220&lt;&gt;"",N($Z220)&gt;0,$AC220=0),MAX($AD$7:$AD219)+1,"")</f>
        <v/>
      </c>
      <c r="AE220" s="31">
        <f>IF($Y220="",0,$Y220)</f>
        <v/>
      </c>
    </row>
    <row r="221">
      <c r="W221" s="31">
        <f>IF(OR($B$5="",$C$6="",ROW()&lt;$B$5),"",IF(INDEX($A:$U,ROW(),$C$6)="","",INDEX($A:$U,ROW(),$C$6)))</f>
        <v/>
      </c>
      <c r="X221" s="32">
        <f>IF($W221="","",IF(ISNUMBER($W221),IF($W221&gt;=10000000,IFERROR(DATE(INT($W221/10000),MOD(INT($W221/100),100),MOD($W221,100)),""),INT($W221)),IFERROR(DATE(--LEFT(LEFT(SUBSTITUTE(SUBSTITUTE(SUBSTITUTE(SUBSTITUTE(TRIM($W221),"-",""),".",""),"/","")," ",""),8),4),--MID(LEFT(SUBSTITUTE(SUBSTITUTE(SUBSTITUTE(SUBSTITUTE(TRIM($W221),"-",""),".",""),"/","")," ",""),8),5,2),--MID(LEFT(SUBSTITUTE(SUBSTITUTE(SUBSTITUTE(SUBSTITUTE(TRIM($W221),"-",""),".",""),"/","")," ",""),8),7,2)),"")))</f>
        <v/>
      </c>
      <c r="Y221" s="32">
        <f>IF($X221="","",INT($X221))</f>
        <v/>
      </c>
      <c r="Z221" s="33">
        <f>IF(OR($Y221="",$D$6=""),"",IF(INDEX($A:$U,ROW(),$D$6)="",0,IF(ISNUMBER(INDEX($A:$U,ROW(),$D$6)),INDEX($A:$U,ROW(),$D$6),IFERROR(--SUBSTITUTE(SUBSTITUTE(TRIM(INDEX($A:$U,ROW(),$D$6)),",",""),"원",""),0))))</f>
        <v/>
      </c>
      <c r="AA221" s="31">
        <f>IF($Y221="","",TRIM(INDEX($A:$U,ROW(),$E$6)&amp;IF($F$6="",""," "&amp;INDEX($A:$U,ROW(),$F$6))))</f>
        <v/>
      </c>
      <c r="AB221" s="31">
        <f>IF($AA221="","",SUBSTITUTE(SUBSTITUTE(SUBSTITUTE(SUBSTITUTE(SUBSTITUTE(SUBSTITUTE(SUBSTITUTE(SUBSTITUTE(SUBSTITUTE($AA221," ",""),"　",""),"(주)",""),"（주）",""),"㈜",""),"주식회사",""),"(유)",""),"（유）",""),"유한회사",""))</f>
        <v/>
      </c>
      <c r="AC221" s="31">
        <f>IF(OR($Y221="",N($Z221)&lt;=0,$AB221=""),0,IFERROR(LOOKUP(2,1/((거래처별!$AC$8:$AC$307&lt;&gt;"")*ISNUMBER(SEARCH(거래처별!$AC$8:$AC$307,$AB221))),거래처별!$A$8:$A$307),IFERROR(LOOKUP(2,1/((거래처별!$AD$8:$AD$307&lt;&gt;"")*ISNUMBER(SEARCH(거래처별!$AD$8:$AD$307,$AB221))),거래처별!$A$8:$A$307),IFERROR(LOOKUP(2,1/((거래처별!$AE$8:$AE$307&lt;&gt;"")*ISNUMBER(SEARCH(거래처별!$AE$8:$AE$307,$AB221))),거래처별!$A$8:$A$307),0))))</f>
        <v/>
      </c>
      <c r="AD221" s="31">
        <f>IF(AND($Y221&lt;&gt;"",N($Z221)&gt;0,$AC221=0),MAX($AD$7:$AD220)+1,"")</f>
        <v/>
      </c>
      <c r="AE221" s="31">
        <f>IF($Y221="",0,$Y221)</f>
        <v/>
      </c>
    </row>
    <row r="222">
      <c r="W222" s="31">
        <f>IF(OR($B$5="",$C$6="",ROW()&lt;$B$5),"",IF(INDEX($A:$U,ROW(),$C$6)="","",INDEX($A:$U,ROW(),$C$6)))</f>
        <v/>
      </c>
      <c r="X222" s="32">
        <f>IF($W222="","",IF(ISNUMBER($W222),IF($W222&gt;=10000000,IFERROR(DATE(INT($W222/10000),MOD(INT($W222/100),100),MOD($W222,100)),""),INT($W222)),IFERROR(DATE(--LEFT(LEFT(SUBSTITUTE(SUBSTITUTE(SUBSTITUTE(SUBSTITUTE(TRIM($W222),"-",""),".",""),"/","")," ",""),8),4),--MID(LEFT(SUBSTITUTE(SUBSTITUTE(SUBSTITUTE(SUBSTITUTE(TRIM($W222),"-",""),".",""),"/","")," ",""),8),5,2),--MID(LEFT(SUBSTITUTE(SUBSTITUTE(SUBSTITUTE(SUBSTITUTE(TRIM($W222),"-",""),".",""),"/","")," ",""),8),7,2)),"")))</f>
        <v/>
      </c>
      <c r="Y222" s="32">
        <f>IF($X222="","",INT($X222))</f>
        <v/>
      </c>
      <c r="Z222" s="33">
        <f>IF(OR($Y222="",$D$6=""),"",IF(INDEX($A:$U,ROW(),$D$6)="",0,IF(ISNUMBER(INDEX($A:$U,ROW(),$D$6)),INDEX($A:$U,ROW(),$D$6),IFERROR(--SUBSTITUTE(SUBSTITUTE(TRIM(INDEX($A:$U,ROW(),$D$6)),",",""),"원",""),0))))</f>
        <v/>
      </c>
      <c r="AA222" s="31">
        <f>IF($Y222="","",TRIM(INDEX($A:$U,ROW(),$E$6)&amp;IF($F$6="",""," "&amp;INDEX($A:$U,ROW(),$F$6))))</f>
        <v/>
      </c>
      <c r="AB222" s="31">
        <f>IF($AA222="","",SUBSTITUTE(SUBSTITUTE(SUBSTITUTE(SUBSTITUTE(SUBSTITUTE(SUBSTITUTE(SUBSTITUTE(SUBSTITUTE(SUBSTITUTE($AA222," ",""),"　",""),"(주)",""),"（주）",""),"㈜",""),"주식회사",""),"(유)",""),"（유）",""),"유한회사",""))</f>
        <v/>
      </c>
      <c r="AC222" s="31">
        <f>IF(OR($Y222="",N($Z222)&lt;=0,$AB222=""),0,IFERROR(LOOKUP(2,1/((거래처별!$AC$8:$AC$307&lt;&gt;"")*ISNUMBER(SEARCH(거래처별!$AC$8:$AC$307,$AB222))),거래처별!$A$8:$A$307),IFERROR(LOOKUP(2,1/((거래처별!$AD$8:$AD$307&lt;&gt;"")*ISNUMBER(SEARCH(거래처별!$AD$8:$AD$307,$AB222))),거래처별!$A$8:$A$307),IFERROR(LOOKUP(2,1/((거래처별!$AE$8:$AE$307&lt;&gt;"")*ISNUMBER(SEARCH(거래처별!$AE$8:$AE$307,$AB222))),거래처별!$A$8:$A$307),0))))</f>
        <v/>
      </c>
      <c r="AD222" s="31">
        <f>IF(AND($Y222&lt;&gt;"",N($Z222)&gt;0,$AC222=0),MAX($AD$7:$AD221)+1,"")</f>
        <v/>
      </c>
      <c r="AE222" s="31">
        <f>IF($Y222="",0,$Y222)</f>
        <v/>
      </c>
    </row>
    <row r="223">
      <c r="W223" s="31">
        <f>IF(OR($B$5="",$C$6="",ROW()&lt;$B$5),"",IF(INDEX($A:$U,ROW(),$C$6)="","",INDEX($A:$U,ROW(),$C$6)))</f>
        <v/>
      </c>
      <c r="X223" s="32">
        <f>IF($W223="","",IF(ISNUMBER($W223),IF($W223&gt;=10000000,IFERROR(DATE(INT($W223/10000),MOD(INT($W223/100),100),MOD($W223,100)),""),INT($W223)),IFERROR(DATE(--LEFT(LEFT(SUBSTITUTE(SUBSTITUTE(SUBSTITUTE(SUBSTITUTE(TRIM($W223),"-",""),".",""),"/","")," ",""),8),4),--MID(LEFT(SUBSTITUTE(SUBSTITUTE(SUBSTITUTE(SUBSTITUTE(TRIM($W223),"-",""),".",""),"/","")," ",""),8),5,2),--MID(LEFT(SUBSTITUTE(SUBSTITUTE(SUBSTITUTE(SUBSTITUTE(TRIM($W223),"-",""),".",""),"/","")," ",""),8),7,2)),"")))</f>
        <v/>
      </c>
      <c r="Y223" s="32">
        <f>IF($X223="","",INT($X223))</f>
        <v/>
      </c>
      <c r="Z223" s="33">
        <f>IF(OR($Y223="",$D$6=""),"",IF(INDEX($A:$U,ROW(),$D$6)="",0,IF(ISNUMBER(INDEX($A:$U,ROW(),$D$6)),INDEX($A:$U,ROW(),$D$6),IFERROR(--SUBSTITUTE(SUBSTITUTE(TRIM(INDEX($A:$U,ROW(),$D$6)),",",""),"원",""),0))))</f>
        <v/>
      </c>
      <c r="AA223" s="31">
        <f>IF($Y223="","",TRIM(INDEX($A:$U,ROW(),$E$6)&amp;IF($F$6="",""," "&amp;INDEX($A:$U,ROW(),$F$6))))</f>
        <v/>
      </c>
      <c r="AB223" s="31">
        <f>IF($AA223="","",SUBSTITUTE(SUBSTITUTE(SUBSTITUTE(SUBSTITUTE(SUBSTITUTE(SUBSTITUTE(SUBSTITUTE(SUBSTITUTE(SUBSTITUTE($AA223," ",""),"　",""),"(주)",""),"（주）",""),"㈜",""),"주식회사",""),"(유)",""),"（유）",""),"유한회사",""))</f>
        <v/>
      </c>
      <c r="AC223" s="31">
        <f>IF(OR($Y223="",N($Z223)&lt;=0,$AB223=""),0,IFERROR(LOOKUP(2,1/((거래처별!$AC$8:$AC$307&lt;&gt;"")*ISNUMBER(SEARCH(거래처별!$AC$8:$AC$307,$AB223))),거래처별!$A$8:$A$307),IFERROR(LOOKUP(2,1/((거래처별!$AD$8:$AD$307&lt;&gt;"")*ISNUMBER(SEARCH(거래처별!$AD$8:$AD$307,$AB223))),거래처별!$A$8:$A$307),IFERROR(LOOKUP(2,1/((거래처별!$AE$8:$AE$307&lt;&gt;"")*ISNUMBER(SEARCH(거래처별!$AE$8:$AE$307,$AB223))),거래처별!$A$8:$A$307),0))))</f>
        <v/>
      </c>
      <c r="AD223" s="31">
        <f>IF(AND($Y223&lt;&gt;"",N($Z223)&gt;0,$AC223=0),MAX($AD$7:$AD222)+1,"")</f>
        <v/>
      </c>
      <c r="AE223" s="31">
        <f>IF($Y223="",0,$Y223)</f>
        <v/>
      </c>
    </row>
    <row r="224">
      <c r="W224" s="31">
        <f>IF(OR($B$5="",$C$6="",ROW()&lt;$B$5),"",IF(INDEX($A:$U,ROW(),$C$6)="","",INDEX($A:$U,ROW(),$C$6)))</f>
        <v/>
      </c>
      <c r="X224" s="32">
        <f>IF($W224="","",IF(ISNUMBER($W224),IF($W224&gt;=10000000,IFERROR(DATE(INT($W224/10000),MOD(INT($W224/100),100),MOD($W224,100)),""),INT($W224)),IFERROR(DATE(--LEFT(LEFT(SUBSTITUTE(SUBSTITUTE(SUBSTITUTE(SUBSTITUTE(TRIM($W224),"-",""),".",""),"/","")," ",""),8),4),--MID(LEFT(SUBSTITUTE(SUBSTITUTE(SUBSTITUTE(SUBSTITUTE(TRIM($W224),"-",""),".",""),"/","")," ",""),8),5,2),--MID(LEFT(SUBSTITUTE(SUBSTITUTE(SUBSTITUTE(SUBSTITUTE(TRIM($W224),"-",""),".",""),"/","")," ",""),8),7,2)),"")))</f>
        <v/>
      </c>
      <c r="Y224" s="32">
        <f>IF($X224="","",INT($X224))</f>
        <v/>
      </c>
      <c r="Z224" s="33">
        <f>IF(OR($Y224="",$D$6=""),"",IF(INDEX($A:$U,ROW(),$D$6)="",0,IF(ISNUMBER(INDEX($A:$U,ROW(),$D$6)),INDEX($A:$U,ROW(),$D$6),IFERROR(--SUBSTITUTE(SUBSTITUTE(TRIM(INDEX($A:$U,ROW(),$D$6)),",",""),"원",""),0))))</f>
        <v/>
      </c>
      <c r="AA224" s="31">
        <f>IF($Y224="","",TRIM(INDEX($A:$U,ROW(),$E$6)&amp;IF($F$6="",""," "&amp;INDEX($A:$U,ROW(),$F$6))))</f>
        <v/>
      </c>
      <c r="AB224" s="31">
        <f>IF($AA224="","",SUBSTITUTE(SUBSTITUTE(SUBSTITUTE(SUBSTITUTE(SUBSTITUTE(SUBSTITUTE(SUBSTITUTE(SUBSTITUTE(SUBSTITUTE($AA224," ",""),"　",""),"(주)",""),"（주）",""),"㈜",""),"주식회사",""),"(유)",""),"（유）",""),"유한회사",""))</f>
        <v/>
      </c>
      <c r="AC224" s="31">
        <f>IF(OR($Y224="",N($Z224)&lt;=0,$AB224=""),0,IFERROR(LOOKUP(2,1/((거래처별!$AC$8:$AC$307&lt;&gt;"")*ISNUMBER(SEARCH(거래처별!$AC$8:$AC$307,$AB224))),거래처별!$A$8:$A$307),IFERROR(LOOKUP(2,1/((거래처별!$AD$8:$AD$307&lt;&gt;"")*ISNUMBER(SEARCH(거래처별!$AD$8:$AD$307,$AB224))),거래처별!$A$8:$A$307),IFERROR(LOOKUP(2,1/((거래처별!$AE$8:$AE$307&lt;&gt;"")*ISNUMBER(SEARCH(거래처별!$AE$8:$AE$307,$AB224))),거래처별!$A$8:$A$307),0))))</f>
        <v/>
      </c>
      <c r="AD224" s="31">
        <f>IF(AND($Y224&lt;&gt;"",N($Z224)&gt;0,$AC224=0),MAX($AD$7:$AD223)+1,"")</f>
        <v/>
      </c>
      <c r="AE224" s="31">
        <f>IF($Y224="",0,$Y224)</f>
        <v/>
      </c>
    </row>
    <row r="225">
      <c r="W225" s="31">
        <f>IF(OR($B$5="",$C$6="",ROW()&lt;$B$5),"",IF(INDEX($A:$U,ROW(),$C$6)="","",INDEX($A:$U,ROW(),$C$6)))</f>
        <v/>
      </c>
      <c r="X225" s="32">
        <f>IF($W225="","",IF(ISNUMBER($W225),IF($W225&gt;=10000000,IFERROR(DATE(INT($W225/10000),MOD(INT($W225/100),100),MOD($W225,100)),""),INT($W225)),IFERROR(DATE(--LEFT(LEFT(SUBSTITUTE(SUBSTITUTE(SUBSTITUTE(SUBSTITUTE(TRIM($W225),"-",""),".",""),"/","")," ",""),8),4),--MID(LEFT(SUBSTITUTE(SUBSTITUTE(SUBSTITUTE(SUBSTITUTE(TRIM($W225),"-",""),".",""),"/","")," ",""),8),5,2),--MID(LEFT(SUBSTITUTE(SUBSTITUTE(SUBSTITUTE(SUBSTITUTE(TRIM($W225),"-",""),".",""),"/","")," ",""),8),7,2)),"")))</f>
        <v/>
      </c>
      <c r="Y225" s="32">
        <f>IF($X225="","",INT($X225))</f>
        <v/>
      </c>
      <c r="Z225" s="33">
        <f>IF(OR($Y225="",$D$6=""),"",IF(INDEX($A:$U,ROW(),$D$6)="",0,IF(ISNUMBER(INDEX($A:$U,ROW(),$D$6)),INDEX($A:$U,ROW(),$D$6),IFERROR(--SUBSTITUTE(SUBSTITUTE(TRIM(INDEX($A:$U,ROW(),$D$6)),",",""),"원",""),0))))</f>
        <v/>
      </c>
      <c r="AA225" s="31">
        <f>IF($Y225="","",TRIM(INDEX($A:$U,ROW(),$E$6)&amp;IF($F$6="",""," "&amp;INDEX($A:$U,ROW(),$F$6))))</f>
        <v/>
      </c>
      <c r="AB225" s="31">
        <f>IF($AA225="","",SUBSTITUTE(SUBSTITUTE(SUBSTITUTE(SUBSTITUTE(SUBSTITUTE(SUBSTITUTE(SUBSTITUTE(SUBSTITUTE(SUBSTITUTE($AA225," ",""),"　",""),"(주)",""),"（주）",""),"㈜",""),"주식회사",""),"(유)",""),"（유）",""),"유한회사",""))</f>
        <v/>
      </c>
      <c r="AC225" s="31">
        <f>IF(OR($Y225="",N($Z225)&lt;=0,$AB225=""),0,IFERROR(LOOKUP(2,1/((거래처별!$AC$8:$AC$307&lt;&gt;"")*ISNUMBER(SEARCH(거래처별!$AC$8:$AC$307,$AB225))),거래처별!$A$8:$A$307),IFERROR(LOOKUP(2,1/((거래처별!$AD$8:$AD$307&lt;&gt;"")*ISNUMBER(SEARCH(거래처별!$AD$8:$AD$307,$AB225))),거래처별!$A$8:$A$307),IFERROR(LOOKUP(2,1/((거래처별!$AE$8:$AE$307&lt;&gt;"")*ISNUMBER(SEARCH(거래처별!$AE$8:$AE$307,$AB225))),거래처별!$A$8:$A$307),0))))</f>
        <v/>
      </c>
      <c r="AD225" s="31">
        <f>IF(AND($Y225&lt;&gt;"",N($Z225)&gt;0,$AC225=0),MAX($AD$7:$AD224)+1,"")</f>
        <v/>
      </c>
      <c r="AE225" s="31">
        <f>IF($Y225="",0,$Y225)</f>
        <v/>
      </c>
    </row>
    <row r="226">
      <c r="W226" s="31">
        <f>IF(OR($B$5="",$C$6="",ROW()&lt;$B$5),"",IF(INDEX($A:$U,ROW(),$C$6)="","",INDEX($A:$U,ROW(),$C$6)))</f>
        <v/>
      </c>
      <c r="X226" s="32">
        <f>IF($W226="","",IF(ISNUMBER($W226),IF($W226&gt;=10000000,IFERROR(DATE(INT($W226/10000),MOD(INT($W226/100),100),MOD($W226,100)),""),INT($W226)),IFERROR(DATE(--LEFT(LEFT(SUBSTITUTE(SUBSTITUTE(SUBSTITUTE(SUBSTITUTE(TRIM($W226),"-",""),".",""),"/","")," ",""),8),4),--MID(LEFT(SUBSTITUTE(SUBSTITUTE(SUBSTITUTE(SUBSTITUTE(TRIM($W226),"-",""),".",""),"/","")," ",""),8),5,2),--MID(LEFT(SUBSTITUTE(SUBSTITUTE(SUBSTITUTE(SUBSTITUTE(TRIM($W226),"-",""),".",""),"/","")," ",""),8),7,2)),"")))</f>
        <v/>
      </c>
      <c r="Y226" s="32">
        <f>IF($X226="","",INT($X226))</f>
        <v/>
      </c>
      <c r="Z226" s="33">
        <f>IF(OR($Y226="",$D$6=""),"",IF(INDEX($A:$U,ROW(),$D$6)="",0,IF(ISNUMBER(INDEX($A:$U,ROW(),$D$6)),INDEX($A:$U,ROW(),$D$6),IFERROR(--SUBSTITUTE(SUBSTITUTE(TRIM(INDEX($A:$U,ROW(),$D$6)),",",""),"원",""),0))))</f>
        <v/>
      </c>
      <c r="AA226" s="31">
        <f>IF($Y226="","",TRIM(INDEX($A:$U,ROW(),$E$6)&amp;IF($F$6="",""," "&amp;INDEX($A:$U,ROW(),$F$6))))</f>
        <v/>
      </c>
      <c r="AB226" s="31">
        <f>IF($AA226="","",SUBSTITUTE(SUBSTITUTE(SUBSTITUTE(SUBSTITUTE(SUBSTITUTE(SUBSTITUTE(SUBSTITUTE(SUBSTITUTE(SUBSTITUTE($AA226," ",""),"　",""),"(주)",""),"（주）",""),"㈜",""),"주식회사",""),"(유)",""),"（유）",""),"유한회사",""))</f>
        <v/>
      </c>
      <c r="AC226" s="31">
        <f>IF(OR($Y226="",N($Z226)&lt;=0,$AB226=""),0,IFERROR(LOOKUP(2,1/((거래처별!$AC$8:$AC$307&lt;&gt;"")*ISNUMBER(SEARCH(거래처별!$AC$8:$AC$307,$AB226))),거래처별!$A$8:$A$307),IFERROR(LOOKUP(2,1/((거래처별!$AD$8:$AD$307&lt;&gt;"")*ISNUMBER(SEARCH(거래처별!$AD$8:$AD$307,$AB226))),거래처별!$A$8:$A$307),IFERROR(LOOKUP(2,1/((거래처별!$AE$8:$AE$307&lt;&gt;"")*ISNUMBER(SEARCH(거래처별!$AE$8:$AE$307,$AB226))),거래처별!$A$8:$A$307),0))))</f>
        <v/>
      </c>
      <c r="AD226" s="31">
        <f>IF(AND($Y226&lt;&gt;"",N($Z226)&gt;0,$AC226=0),MAX($AD$7:$AD225)+1,"")</f>
        <v/>
      </c>
      <c r="AE226" s="31">
        <f>IF($Y226="",0,$Y226)</f>
        <v/>
      </c>
    </row>
    <row r="227">
      <c r="W227" s="31">
        <f>IF(OR($B$5="",$C$6="",ROW()&lt;$B$5),"",IF(INDEX($A:$U,ROW(),$C$6)="","",INDEX($A:$U,ROW(),$C$6)))</f>
        <v/>
      </c>
      <c r="X227" s="32">
        <f>IF($W227="","",IF(ISNUMBER($W227),IF($W227&gt;=10000000,IFERROR(DATE(INT($W227/10000),MOD(INT($W227/100),100),MOD($W227,100)),""),INT($W227)),IFERROR(DATE(--LEFT(LEFT(SUBSTITUTE(SUBSTITUTE(SUBSTITUTE(SUBSTITUTE(TRIM($W227),"-",""),".",""),"/","")," ",""),8),4),--MID(LEFT(SUBSTITUTE(SUBSTITUTE(SUBSTITUTE(SUBSTITUTE(TRIM($W227),"-",""),".",""),"/","")," ",""),8),5,2),--MID(LEFT(SUBSTITUTE(SUBSTITUTE(SUBSTITUTE(SUBSTITUTE(TRIM($W227),"-",""),".",""),"/","")," ",""),8),7,2)),"")))</f>
        <v/>
      </c>
      <c r="Y227" s="32">
        <f>IF($X227="","",INT($X227))</f>
        <v/>
      </c>
      <c r="Z227" s="33">
        <f>IF(OR($Y227="",$D$6=""),"",IF(INDEX($A:$U,ROW(),$D$6)="",0,IF(ISNUMBER(INDEX($A:$U,ROW(),$D$6)),INDEX($A:$U,ROW(),$D$6),IFERROR(--SUBSTITUTE(SUBSTITUTE(TRIM(INDEX($A:$U,ROW(),$D$6)),",",""),"원",""),0))))</f>
        <v/>
      </c>
      <c r="AA227" s="31">
        <f>IF($Y227="","",TRIM(INDEX($A:$U,ROW(),$E$6)&amp;IF($F$6="",""," "&amp;INDEX($A:$U,ROW(),$F$6))))</f>
        <v/>
      </c>
      <c r="AB227" s="31">
        <f>IF($AA227="","",SUBSTITUTE(SUBSTITUTE(SUBSTITUTE(SUBSTITUTE(SUBSTITUTE(SUBSTITUTE(SUBSTITUTE(SUBSTITUTE(SUBSTITUTE($AA227," ",""),"　",""),"(주)",""),"（주）",""),"㈜",""),"주식회사",""),"(유)",""),"（유）",""),"유한회사",""))</f>
        <v/>
      </c>
      <c r="AC227" s="31">
        <f>IF(OR($Y227="",N($Z227)&lt;=0,$AB227=""),0,IFERROR(LOOKUP(2,1/((거래처별!$AC$8:$AC$307&lt;&gt;"")*ISNUMBER(SEARCH(거래처별!$AC$8:$AC$307,$AB227))),거래처별!$A$8:$A$307),IFERROR(LOOKUP(2,1/((거래처별!$AD$8:$AD$307&lt;&gt;"")*ISNUMBER(SEARCH(거래처별!$AD$8:$AD$307,$AB227))),거래처별!$A$8:$A$307),IFERROR(LOOKUP(2,1/((거래처별!$AE$8:$AE$307&lt;&gt;"")*ISNUMBER(SEARCH(거래처별!$AE$8:$AE$307,$AB227))),거래처별!$A$8:$A$307),0))))</f>
        <v/>
      </c>
      <c r="AD227" s="31">
        <f>IF(AND($Y227&lt;&gt;"",N($Z227)&gt;0,$AC227=0),MAX($AD$7:$AD226)+1,"")</f>
        <v/>
      </c>
      <c r="AE227" s="31">
        <f>IF($Y227="",0,$Y227)</f>
        <v/>
      </c>
    </row>
    <row r="228">
      <c r="W228" s="31">
        <f>IF(OR($B$5="",$C$6="",ROW()&lt;$B$5),"",IF(INDEX($A:$U,ROW(),$C$6)="","",INDEX($A:$U,ROW(),$C$6)))</f>
        <v/>
      </c>
      <c r="X228" s="32">
        <f>IF($W228="","",IF(ISNUMBER($W228),IF($W228&gt;=10000000,IFERROR(DATE(INT($W228/10000),MOD(INT($W228/100),100),MOD($W228,100)),""),INT($W228)),IFERROR(DATE(--LEFT(LEFT(SUBSTITUTE(SUBSTITUTE(SUBSTITUTE(SUBSTITUTE(TRIM($W228),"-",""),".",""),"/","")," ",""),8),4),--MID(LEFT(SUBSTITUTE(SUBSTITUTE(SUBSTITUTE(SUBSTITUTE(TRIM($W228),"-",""),".",""),"/","")," ",""),8),5,2),--MID(LEFT(SUBSTITUTE(SUBSTITUTE(SUBSTITUTE(SUBSTITUTE(TRIM($W228),"-",""),".",""),"/","")," ",""),8),7,2)),"")))</f>
        <v/>
      </c>
      <c r="Y228" s="32">
        <f>IF($X228="","",INT($X228))</f>
        <v/>
      </c>
      <c r="Z228" s="33">
        <f>IF(OR($Y228="",$D$6=""),"",IF(INDEX($A:$U,ROW(),$D$6)="",0,IF(ISNUMBER(INDEX($A:$U,ROW(),$D$6)),INDEX($A:$U,ROW(),$D$6),IFERROR(--SUBSTITUTE(SUBSTITUTE(TRIM(INDEX($A:$U,ROW(),$D$6)),",",""),"원",""),0))))</f>
        <v/>
      </c>
      <c r="AA228" s="31">
        <f>IF($Y228="","",TRIM(INDEX($A:$U,ROW(),$E$6)&amp;IF($F$6="",""," "&amp;INDEX($A:$U,ROW(),$F$6))))</f>
        <v/>
      </c>
      <c r="AB228" s="31">
        <f>IF($AA228="","",SUBSTITUTE(SUBSTITUTE(SUBSTITUTE(SUBSTITUTE(SUBSTITUTE(SUBSTITUTE(SUBSTITUTE(SUBSTITUTE(SUBSTITUTE($AA228," ",""),"　",""),"(주)",""),"（주）",""),"㈜",""),"주식회사",""),"(유)",""),"（유）",""),"유한회사",""))</f>
        <v/>
      </c>
      <c r="AC228" s="31">
        <f>IF(OR($Y228="",N($Z228)&lt;=0,$AB228=""),0,IFERROR(LOOKUP(2,1/((거래처별!$AC$8:$AC$307&lt;&gt;"")*ISNUMBER(SEARCH(거래처별!$AC$8:$AC$307,$AB228))),거래처별!$A$8:$A$307),IFERROR(LOOKUP(2,1/((거래처별!$AD$8:$AD$307&lt;&gt;"")*ISNUMBER(SEARCH(거래처별!$AD$8:$AD$307,$AB228))),거래처별!$A$8:$A$307),IFERROR(LOOKUP(2,1/((거래처별!$AE$8:$AE$307&lt;&gt;"")*ISNUMBER(SEARCH(거래처별!$AE$8:$AE$307,$AB228))),거래처별!$A$8:$A$307),0))))</f>
        <v/>
      </c>
      <c r="AD228" s="31">
        <f>IF(AND($Y228&lt;&gt;"",N($Z228)&gt;0,$AC228=0),MAX($AD$7:$AD227)+1,"")</f>
        <v/>
      </c>
      <c r="AE228" s="31">
        <f>IF($Y228="",0,$Y228)</f>
        <v/>
      </c>
    </row>
    <row r="229">
      <c r="W229" s="31">
        <f>IF(OR($B$5="",$C$6="",ROW()&lt;$B$5),"",IF(INDEX($A:$U,ROW(),$C$6)="","",INDEX($A:$U,ROW(),$C$6)))</f>
        <v/>
      </c>
      <c r="X229" s="32">
        <f>IF($W229="","",IF(ISNUMBER($W229),IF($W229&gt;=10000000,IFERROR(DATE(INT($W229/10000),MOD(INT($W229/100),100),MOD($W229,100)),""),INT($W229)),IFERROR(DATE(--LEFT(LEFT(SUBSTITUTE(SUBSTITUTE(SUBSTITUTE(SUBSTITUTE(TRIM($W229),"-",""),".",""),"/","")," ",""),8),4),--MID(LEFT(SUBSTITUTE(SUBSTITUTE(SUBSTITUTE(SUBSTITUTE(TRIM($W229),"-",""),".",""),"/","")," ",""),8),5,2),--MID(LEFT(SUBSTITUTE(SUBSTITUTE(SUBSTITUTE(SUBSTITUTE(TRIM($W229),"-",""),".",""),"/","")," ",""),8),7,2)),"")))</f>
        <v/>
      </c>
      <c r="Y229" s="32">
        <f>IF($X229="","",INT($X229))</f>
        <v/>
      </c>
      <c r="Z229" s="33">
        <f>IF(OR($Y229="",$D$6=""),"",IF(INDEX($A:$U,ROW(),$D$6)="",0,IF(ISNUMBER(INDEX($A:$U,ROW(),$D$6)),INDEX($A:$U,ROW(),$D$6),IFERROR(--SUBSTITUTE(SUBSTITUTE(TRIM(INDEX($A:$U,ROW(),$D$6)),",",""),"원",""),0))))</f>
        <v/>
      </c>
      <c r="AA229" s="31">
        <f>IF($Y229="","",TRIM(INDEX($A:$U,ROW(),$E$6)&amp;IF($F$6="",""," "&amp;INDEX($A:$U,ROW(),$F$6))))</f>
        <v/>
      </c>
      <c r="AB229" s="31">
        <f>IF($AA229="","",SUBSTITUTE(SUBSTITUTE(SUBSTITUTE(SUBSTITUTE(SUBSTITUTE(SUBSTITUTE(SUBSTITUTE(SUBSTITUTE(SUBSTITUTE($AA229," ",""),"　",""),"(주)",""),"（주）",""),"㈜",""),"주식회사",""),"(유)",""),"（유）",""),"유한회사",""))</f>
        <v/>
      </c>
      <c r="AC229" s="31">
        <f>IF(OR($Y229="",N($Z229)&lt;=0,$AB229=""),0,IFERROR(LOOKUP(2,1/((거래처별!$AC$8:$AC$307&lt;&gt;"")*ISNUMBER(SEARCH(거래처별!$AC$8:$AC$307,$AB229))),거래처별!$A$8:$A$307),IFERROR(LOOKUP(2,1/((거래처별!$AD$8:$AD$307&lt;&gt;"")*ISNUMBER(SEARCH(거래처별!$AD$8:$AD$307,$AB229))),거래처별!$A$8:$A$307),IFERROR(LOOKUP(2,1/((거래처별!$AE$8:$AE$307&lt;&gt;"")*ISNUMBER(SEARCH(거래처별!$AE$8:$AE$307,$AB229))),거래처별!$A$8:$A$307),0))))</f>
        <v/>
      </c>
      <c r="AD229" s="31">
        <f>IF(AND($Y229&lt;&gt;"",N($Z229)&gt;0,$AC229=0),MAX($AD$7:$AD228)+1,"")</f>
        <v/>
      </c>
      <c r="AE229" s="31">
        <f>IF($Y229="",0,$Y229)</f>
        <v/>
      </c>
    </row>
    <row r="230">
      <c r="W230" s="31">
        <f>IF(OR($B$5="",$C$6="",ROW()&lt;$B$5),"",IF(INDEX($A:$U,ROW(),$C$6)="","",INDEX($A:$U,ROW(),$C$6)))</f>
        <v/>
      </c>
      <c r="X230" s="32">
        <f>IF($W230="","",IF(ISNUMBER($W230),IF($W230&gt;=10000000,IFERROR(DATE(INT($W230/10000),MOD(INT($W230/100),100),MOD($W230,100)),""),INT($W230)),IFERROR(DATE(--LEFT(LEFT(SUBSTITUTE(SUBSTITUTE(SUBSTITUTE(SUBSTITUTE(TRIM($W230),"-",""),".",""),"/","")," ",""),8),4),--MID(LEFT(SUBSTITUTE(SUBSTITUTE(SUBSTITUTE(SUBSTITUTE(TRIM($W230),"-",""),".",""),"/","")," ",""),8),5,2),--MID(LEFT(SUBSTITUTE(SUBSTITUTE(SUBSTITUTE(SUBSTITUTE(TRIM($W230),"-",""),".",""),"/","")," ",""),8),7,2)),"")))</f>
        <v/>
      </c>
      <c r="Y230" s="32">
        <f>IF($X230="","",INT($X230))</f>
        <v/>
      </c>
      <c r="Z230" s="33">
        <f>IF(OR($Y230="",$D$6=""),"",IF(INDEX($A:$U,ROW(),$D$6)="",0,IF(ISNUMBER(INDEX($A:$U,ROW(),$D$6)),INDEX($A:$U,ROW(),$D$6),IFERROR(--SUBSTITUTE(SUBSTITUTE(TRIM(INDEX($A:$U,ROW(),$D$6)),",",""),"원",""),0))))</f>
        <v/>
      </c>
      <c r="AA230" s="31">
        <f>IF($Y230="","",TRIM(INDEX($A:$U,ROW(),$E$6)&amp;IF($F$6="",""," "&amp;INDEX($A:$U,ROW(),$F$6))))</f>
        <v/>
      </c>
      <c r="AB230" s="31">
        <f>IF($AA230="","",SUBSTITUTE(SUBSTITUTE(SUBSTITUTE(SUBSTITUTE(SUBSTITUTE(SUBSTITUTE(SUBSTITUTE(SUBSTITUTE(SUBSTITUTE($AA230," ",""),"　",""),"(주)",""),"（주）",""),"㈜",""),"주식회사",""),"(유)",""),"（유）",""),"유한회사",""))</f>
        <v/>
      </c>
      <c r="AC230" s="31">
        <f>IF(OR($Y230="",N($Z230)&lt;=0,$AB230=""),0,IFERROR(LOOKUP(2,1/((거래처별!$AC$8:$AC$307&lt;&gt;"")*ISNUMBER(SEARCH(거래처별!$AC$8:$AC$307,$AB230))),거래처별!$A$8:$A$307),IFERROR(LOOKUP(2,1/((거래처별!$AD$8:$AD$307&lt;&gt;"")*ISNUMBER(SEARCH(거래처별!$AD$8:$AD$307,$AB230))),거래처별!$A$8:$A$307),IFERROR(LOOKUP(2,1/((거래처별!$AE$8:$AE$307&lt;&gt;"")*ISNUMBER(SEARCH(거래처별!$AE$8:$AE$307,$AB230))),거래처별!$A$8:$A$307),0))))</f>
        <v/>
      </c>
      <c r="AD230" s="31">
        <f>IF(AND($Y230&lt;&gt;"",N($Z230)&gt;0,$AC230=0),MAX($AD$7:$AD229)+1,"")</f>
        <v/>
      </c>
      <c r="AE230" s="31">
        <f>IF($Y230="",0,$Y230)</f>
        <v/>
      </c>
    </row>
    <row r="231">
      <c r="W231" s="31">
        <f>IF(OR($B$5="",$C$6="",ROW()&lt;$B$5),"",IF(INDEX($A:$U,ROW(),$C$6)="","",INDEX($A:$U,ROW(),$C$6)))</f>
        <v/>
      </c>
      <c r="X231" s="32">
        <f>IF($W231="","",IF(ISNUMBER($W231),IF($W231&gt;=10000000,IFERROR(DATE(INT($W231/10000),MOD(INT($W231/100),100),MOD($W231,100)),""),INT($W231)),IFERROR(DATE(--LEFT(LEFT(SUBSTITUTE(SUBSTITUTE(SUBSTITUTE(SUBSTITUTE(TRIM($W231),"-",""),".",""),"/","")," ",""),8),4),--MID(LEFT(SUBSTITUTE(SUBSTITUTE(SUBSTITUTE(SUBSTITUTE(TRIM($W231),"-",""),".",""),"/","")," ",""),8),5,2),--MID(LEFT(SUBSTITUTE(SUBSTITUTE(SUBSTITUTE(SUBSTITUTE(TRIM($W231),"-",""),".",""),"/","")," ",""),8),7,2)),"")))</f>
        <v/>
      </c>
      <c r="Y231" s="32">
        <f>IF($X231="","",INT($X231))</f>
        <v/>
      </c>
      <c r="Z231" s="33">
        <f>IF(OR($Y231="",$D$6=""),"",IF(INDEX($A:$U,ROW(),$D$6)="",0,IF(ISNUMBER(INDEX($A:$U,ROW(),$D$6)),INDEX($A:$U,ROW(),$D$6),IFERROR(--SUBSTITUTE(SUBSTITUTE(TRIM(INDEX($A:$U,ROW(),$D$6)),",",""),"원",""),0))))</f>
        <v/>
      </c>
      <c r="AA231" s="31">
        <f>IF($Y231="","",TRIM(INDEX($A:$U,ROW(),$E$6)&amp;IF($F$6="",""," "&amp;INDEX($A:$U,ROW(),$F$6))))</f>
        <v/>
      </c>
      <c r="AB231" s="31">
        <f>IF($AA231="","",SUBSTITUTE(SUBSTITUTE(SUBSTITUTE(SUBSTITUTE(SUBSTITUTE(SUBSTITUTE(SUBSTITUTE(SUBSTITUTE(SUBSTITUTE($AA231," ",""),"　",""),"(주)",""),"（주）",""),"㈜",""),"주식회사",""),"(유)",""),"（유）",""),"유한회사",""))</f>
        <v/>
      </c>
      <c r="AC231" s="31">
        <f>IF(OR($Y231="",N($Z231)&lt;=0,$AB231=""),0,IFERROR(LOOKUP(2,1/((거래처별!$AC$8:$AC$307&lt;&gt;"")*ISNUMBER(SEARCH(거래처별!$AC$8:$AC$307,$AB231))),거래처별!$A$8:$A$307),IFERROR(LOOKUP(2,1/((거래처별!$AD$8:$AD$307&lt;&gt;"")*ISNUMBER(SEARCH(거래처별!$AD$8:$AD$307,$AB231))),거래처별!$A$8:$A$307),IFERROR(LOOKUP(2,1/((거래처별!$AE$8:$AE$307&lt;&gt;"")*ISNUMBER(SEARCH(거래처별!$AE$8:$AE$307,$AB231))),거래처별!$A$8:$A$307),0))))</f>
        <v/>
      </c>
      <c r="AD231" s="31">
        <f>IF(AND($Y231&lt;&gt;"",N($Z231)&gt;0,$AC231=0),MAX($AD$7:$AD230)+1,"")</f>
        <v/>
      </c>
      <c r="AE231" s="31">
        <f>IF($Y231="",0,$Y231)</f>
        <v/>
      </c>
    </row>
    <row r="232">
      <c r="W232" s="31">
        <f>IF(OR($B$5="",$C$6="",ROW()&lt;$B$5),"",IF(INDEX($A:$U,ROW(),$C$6)="","",INDEX($A:$U,ROW(),$C$6)))</f>
        <v/>
      </c>
      <c r="X232" s="32">
        <f>IF($W232="","",IF(ISNUMBER($W232),IF($W232&gt;=10000000,IFERROR(DATE(INT($W232/10000),MOD(INT($W232/100),100),MOD($W232,100)),""),INT($W232)),IFERROR(DATE(--LEFT(LEFT(SUBSTITUTE(SUBSTITUTE(SUBSTITUTE(SUBSTITUTE(TRIM($W232),"-",""),".",""),"/","")," ",""),8),4),--MID(LEFT(SUBSTITUTE(SUBSTITUTE(SUBSTITUTE(SUBSTITUTE(TRIM($W232),"-",""),".",""),"/","")," ",""),8),5,2),--MID(LEFT(SUBSTITUTE(SUBSTITUTE(SUBSTITUTE(SUBSTITUTE(TRIM($W232),"-",""),".",""),"/","")," ",""),8),7,2)),"")))</f>
        <v/>
      </c>
      <c r="Y232" s="32">
        <f>IF($X232="","",INT($X232))</f>
        <v/>
      </c>
      <c r="Z232" s="33">
        <f>IF(OR($Y232="",$D$6=""),"",IF(INDEX($A:$U,ROW(),$D$6)="",0,IF(ISNUMBER(INDEX($A:$U,ROW(),$D$6)),INDEX($A:$U,ROW(),$D$6),IFERROR(--SUBSTITUTE(SUBSTITUTE(TRIM(INDEX($A:$U,ROW(),$D$6)),",",""),"원",""),0))))</f>
        <v/>
      </c>
      <c r="AA232" s="31">
        <f>IF($Y232="","",TRIM(INDEX($A:$U,ROW(),$E$6)&amp;IF($F$6="",""," "&amp;INDEX($A:$U,ROW(),$F$6))))</f>
        <v/>
      </c>
      <c r="AB232" s="31">
        <f>IF($AA232="","",SUBSTITUTE(SUBSTITUTE(SUBSTITUTE(SUBSTITUTE(SUBSTITUTE(SUBSTITUTE(SUBSTITUTE(SUBSTITUTE(SUBSTITUTE($AA232," ",""),"　",""),"(주)",""),"（주）",""),"㈜",""),"주식회사",""),"(유)",""),"（유）",""),"유한회사",""))</f>
        <v/>
      </c>
      <c r="AC232" s="31">
        <f>IF(OR($Y232="",N($Z232)&lt;=0,$AB232=""),0,IFERROR(LOOKUP(2,1/((거래처별!$AC$8:$AC$307&lt;&gt;"")*ISNUMBER(SEARCH(거래처별!$AC$8:$AC$307,$AB232))),거래처별!$A$8:$A$307),IFERROR(LOOKUP(2,1/((거래처별!$AD$8:$AD$307&lt;&gt;"")*ISNUMBER(SEARCH(거래처별!$AD$8:$AD$307,$AB232))),거래처별!$A$8:$A$307),IFERROR(LOOKUP(2,1/((거래처별!$AE$8:$AE$307&lt;&gt;"")*ISNUMBER(SEARCH(거래처별!$AE$8:$AE$307,$AB232))),거래처별!$A$8:$A$307),0))))</f>
        <v/>
      </c>
      <c r="AD232" s="31">
        <f>IF(AND($Y232&lt;&gt;"",N($Z232)&gt;0,$AC232=0),MAX($AD$7:$AD231)+1,"")</f>
        <v/>
      </c>
      <c r="AE232" s="31">
        <f>IF($Y232="",0,$Y232)</f>
        <v/>
      </c>
    </row>
    <row r="233">
      <c r="W233" s="31">
        <f>IF(OR($B$5="",$C$6="",ROW()&lt;$B$5),"",IF(INDEX($A:$U,ROW(),$C$6)="","",INDEX($A:$U,ROW(),$C$6)))</f>
        <v/>
      </c>
      <c r="X233" s="32">
        <f>IF($W233="","",IF(ISNUMBER($W233),IF($W233&gt;=10000000,IFERROR(DATE(INT($W233/10000),MOD(INT($W233/100),100),MOD($W233,100)),""),INT($W233)),IFERROR(DATE(--LEFT(LEFT(SUBSTITUTE(SUBSTITUTE(SUBSTITUTE(SUBSTITUTE(TRIM($W233),"-",""),".",""),"/","")," ",""),8),4),--MID(LEFT(SUBSTITUTE(SUBSTITUTE(SUBSTITUTE(SUBSTITUTE(TRIM($W233),"-",""),".",""),"/","")," ",""),8),5,2),--MID(LEFT(SUBSTITUTE(SUBSTITUTE(SUBSTITUTE(SUBSTITUTE(TRIM($W233),"-",""),".",""),"/","")," ",""),8),7,2)),"")))</f>
        <v/>
      </c>
      <c r="Y233" s="32">
        <f>IF($X233="","",INT($X233))</f>
        <v/>
      </c>
      <c r="Z233" s="33">
        <f>IF(OR($Y233="",$D$6=""),"",IF(INDEX($A:$U,ROW(),$D$6)="",0,IF(ISNUMBER(INDEX($A:$U,ROW(),$D$6)),INDEX($A:$U,ROW(),$D$6),IFERROR(--SUBSTITUTE(SUBSTITUTE(TRIM(INDEX($A:$U,ROW(),$D$6)),",",""),"원",""),0))))</f>
        <v/>
      </c>
      <c r="AA233" s="31">
        <f>IF($Y233="","",TRIM(INDEX($A:$U,ROW(),$E$6)&amp;IF($F$6="",""," "&amp;INDEX($A:$U,ROW(),$F$6))))</f>
        <v/>
      </c>
      <c r="AB233" s="31">
        <f>IF($AA233="","",SUBSTITUTE(SUBSTITUTE(SUBSTITUTE(SUBSTITUTE(SUBSTITUTE(SUBSTITUTE(SUBSTITUTE(SUBSTITUTE(SUBSTITUTE($AA233," ",""),"　",""),"(주)",""),"（주）",""),"㈜",""),"주식회사",""),"(유)",""),"（유）",""),"유한회사",""))</f>
        <v/>
      </c>
      <c r="AC233" s="31">
        <f>IF(OR($Y233="",N($Z233)&lt;=0,$AB233=""),0,IFERROR(LOOKUP(2,1/((거래처별!$AC$8:$AC$307&lt;&gt;"")*ISNUMBER(SEARCH(거래처별!$AC$8:$AC$307,$AB233))),거래처별!$A$8:$A$307),IFERROR(LOOKUP(2,1/((거래처별!$AD$8:$AD$307&lt;&gt;"")*ISNUMBER(SEARCH(거래처별!$AD$8:$AD$307,$AB233))),거래처별!$A$8:$A$307),IFERROR(LOOKUP(2,1/((거래처별!$AE$8:$AE$307&lt;&gt;"")*ISNUMBER(SEARCH(거래처별!$AE$8:$AE$307,$AB233))),거래처별!$A$8:$A$307),0))))</f>
        <v/>
      </c>
      <c r="AD233" s="31">
        <f>IF(AND($Y233&lt;&gt;"",N($Z233)&gt;0,$AC233=0),MAX($AD$7:$AD232)+1,"")</f>
        <v/>
      </c>
      <c r="AE233" s="31">
        <f>IF($Y233="",0,$Y233)</f>
        <v/>
      </c>
    </row>
    <row r="234">
      <c r="W234" s="31">
        <f>IF(OR($B$5="",$C$6="",ROW()&lt;$B$5),"",IF(INDEX($A:$U,ROW(),$C$6)="","",INDEX($A:$U,ROW(),$C$6)))</f>
        <v/>
      </c>
      <c r="X234" s="32">
        <f>IF($W234="","",IF(ISNUMBER($W234),IF($W234&gt;=10000000,IFERROR(DATE(INT($W234/10000),MOD(INT($W234/100),100),MOD($W234,100)),""),INT($W234)),IFERROR(DATE(--LEFT(LEFT(SUBSTITUTE(SUBSTITUTE(SUBSTITUTE(SUBSTITUTE(TRIM($W234),"-",""),".",""),"/","")," ",""),8),4),--MID(LEFT(SUBSTITUTE(SUBSTITUTE(SUBSTITUTE(SUBSTITUTE(TRIM($W234),"-",""),".",""),"/","")," ",""),8),5,2),--MID(LEFT(SUBSTITUTE(SUBSTITUTE(SUBSTITUTE(SUBSTITUTE(TRIM($W234),"-",""),".",""),"/","")," ",""),8),7,2)),"")))</f>
        <v/>
      </c>
      <c r="Y234" s="32">
        <f>IF($X234="","",INT($X234))</f>
        <v/>
      </c>
      <c r="Z234" s="33">
        <f>IF(OR($Y234="",$D$6=""),"",IF(INDEX($A:$U,ROW(),$D$6)="",0,IF(ISNUMBER(INDEX($A:$U,ROW(),$D$6)),INDEX($A:$U,ROW(),$D$6),IFERROR(--SUBSTITUTE(SUBSTITUTE(TRIM(INDEX($A:$U,ROW(),$D$6)),",",""),"원",""),0))))</f>
        <v/>
      </c>
      <c r="AA234" s="31">
        <f>IF($Y234="","",TRIM(INDEX($A:$U,ROW(),$E$6)&amp;IF($F$6="",""," "&amp;INDEX($A:$U,ROW(),$F$6))))</f>
        <v/>
      </c>
      <c r="AB234" s="31">
        <f>IF($AA234="","",SUBSTITUTE(SUBSTITUTE(SUBSTITUTE(SUBSTITUTE(SUBSTITUTE(SUBSTITUTE(SUBSTITUTE(SUBSTITUTE(SUBSTITUTE($AA234," ",""),"　",""),"(주)",""),"（주）",""),"㈜",""),"주식회사",""),"(유)",""),"（유）",""),"유한회사",""))</f>
        <v/>
      </c>
      <c r="AC234" s="31">
        <f>IF(OR($Y234="",N($Z234)&lt;=0,$AB234=""),0,IFERROR(LOOKUP(2,1/((거래처별!$AC$8:$AC$307&lt;&gt;"")*ISNUMBER(SEARCH(거래처별!$AC$8:$AC$307,$AB234))),거래처별!$A$8:$A$307),IFERROR(LOOKUP(2,1/((거래처별!$AD$8:$AD$307&lt;&gt;"")*ISNUMBER(SEARCH(거래처별!$AD$8:$AD$307,$AB234))),거래처별!$A$8:$A$307),IFERROR(LOOKUP(2,1/((거래처별!$AE$8:$AE$307&lt;&gt;"")*ISNUMBER(SEARCH(거래처별!$AE$8:$AE$307,$AB234))),거래처별!$A$8:$A$307),0))))</f>
        <v/>
      </c>
      <c r="AD234" s="31">
        <f>IF(AND($Y234&lt;&gt;"",N($Z234)&gt;0,$AC234=0),MAX($AD$7:$AD233)+1,"")</f>
        <v/>
      </c>
      <c r="AE234" s="31">
        <f>IF($Y234="",0,$Y234)</f>
        <v/>
      </c>
    </row>
    <row r="235">
      <c r="W235" s="31">
        <f>IF(OR($B$5="",$C$6="",ROW()&lt;$B$5),"",IF(INDEX($A:$U,ROW(),$C$6)="","",INDEX($A:$U,ROW(),$C$6)))</f>
        <v/>
      </c>
      <c r="X235" s="32">
        <f>IF($W235="","",IF(ISNUMBER($W235),IF($W235&gt;=10000000,IFERROR(DATE(INT($W235/10000),MOD(INT($W235/100),100),MOD($W235,100)),""),INT($W235)),IFERROR(DATE(--LEFT(LEFT(SUBSTITUTE(SUBSTITUTE(SUBSTITUTE(SUBSTITUTE(TRIM($W235),"-",""),".",""),"/","")," ",""),8),4),--MID(LEFT(SUBSTITUTE(SUBSTITUTE(SUBSTITUTE(SUBSTITUTE(TRIM($W235),"-",""),".",""),"/","")," ",""),8),5,2),--MID(LEFT(SUBSTITUTE(SUBSTITUTE(SUBSTITUTE(SUBSTITUTE(TRIM($W235),"-",""),".",""),"/","")," ",""),8),7,2)),"")))</f>
        <v/>
      </c>
      <c r="Y235" s="32">
        <f>IF($X235="","",INT($X235))</f>
        <v/>
      </c>
      <c r="Z235" s="33">
        <f>IF(OR($Y235="",$D$6=""),"",IF(INDEX($A:$U,ROW(),$D$6)="",0,IF(ISNUMBER(INDEX($A:$U,ROW(),$D$6)),INDEX($A:$U,ROW(),$D$6),IFERROR(--SUBSTITUTE(SUBSTITUTE(TRIM(INDEX($A:$U,ROW(),$D$6)),",",""),"원",""),0))))</f>
        <v/>
      </c>
      <c r="AA235" s="31">
        <f>IF($Y235="","",TRIM(INDEX($A:$U,ROW(),$E$6)&amp;IF($F$6="",""," "&amp;INDEX($A:$U,ROW(),$F$6))))</f>
        <v/>
      </c>
      <c r="AB235" s="31">
        <f>IF($AA235="","",SUBSTITUTE(SUBSTITUTE(SUBSTITUTE(SUBSTITUTE(SUBSTITUTE(SUBSTITUTE(SUBSTITUTE(SUBSTITUTE(SUBSTITUTE($AA235," ",""),"　",""),"(주)",""),"（주）",""),"㈜",""),"주식회사",""),"(유)",""),"（유）",""),"유한회사",""))</f>
        <v/>
      </c>
      <c r="AC235" s="31">
        <f>IF(OR($Y235="",N($Z235)&lt;=0,$AB235=""),0,IFERROR(LOOKUP(2,1/((거래처별!$AC$8:$AC$307&lt;&gt;"")*ISNUMBER(SEARCH(거래처별!$AC$8:$AC$307,$AB235))),거래처별!$A$8:$A$307),IFERROR(LOOKUP(2,1/((거래처별!$AD$8:$AD$307&lt;&gt;"")*ISNUMBER(SEARCH(거래처별!$AD$8:$AD$307,$AB235))),거래처별!$A$8:$A$307),IFERROR(LOOKUP(2,1/((거래처별!$AE$8:$AE$307&lt;&gt;"")*ISNUMBER(SEARCH(거래처별!$AE$8:$AE$307,$AB235))),거래처별!$A$8:$A$307),0))))</f>
        <v/>
      </c>
      <c r="AD235" s="31">
        <f>IF(AND($Y235&lt;&gt;"",N($Z235)&gt;0,$AC235=0),MAX($AD$7:$AD234)+1,"")</f>
        <v/>
      </c>
      <c r="AE235" s="31">
        <f>IF($Y235="",0,$Y235)</f>
        <v/>
      </c>
    </row>
    <row r="236">
      <c r="W236" s="31">
        <f>IF(OR($B$5="",$C$6="",ROW()&lt;$B$5),"",IF(INDEX($A:$U,ROW(),$C$6)="","",INDEX($A:$U,ROW(),$C$6)))</f>
        <v/>
      </c>
      <c r="X236" s="32">
        <f>IF($W236="","",IF(ISNUMBER($W236),IF($W236&gt;=10000000,IFERROR(DATE(INT($W236/10000),MOD(INT($W236/100),100),MOD($W236,100)),""),INT($W236)),IFERROR(DATE(--LEFT(LEFT(SUBSTITUTE(SUBSTITUTE(SUBSTITUTE(SUBSTITUTE(TRIM($W236),"-",""),".",""),"/","")," ",""),8),4),--MID(LEFT(SUBSTITUTE(SUBSTITUTE(SUBSTITUTE(SUBSTITUTE(TRIM($W236),"-",""),".",""),"/","")," ",""),8),5,2),--MID(LEFT(SUBSTITUTE(SUBSTITUTE(SUBSTITUTE(SUBSTITUTE(TRIM($W236),"-",""),".",""),"/","")," ",""),8),7,2)),"")))</f>
        <v/>
      </c>
      <c r="Y236" s="32">
        <f>IF($X236="","",INT($X236))</f>
        <v/>
      </c>
      <c r="Z236" s="33">
        <f>IF(OR($Y236="",$D$6=""),"",IF(INDEX($A:$U,ROW(),$D$6)="",0,IF(ISNUMBER(INDEX($A:$U,ROW(),$D$6)),INDEX($A:$U,ROW(),$D$6),IFERROR(--SUBSTITUTE(SUBSTITUTE(TRIM(INDEX($A:$U,ROW(),$D$6)),",",""),"원",""),0))))</f>
        <v/>
      </c>
      <c r="AA236" s="31">
        <f>IF($Y236="","",TRIM(INDEX($A:$U,ROW(),$E$6)&amp;IF($F$6="",""," "&amp;INDEX($A:$U,ROW(),$F$6))))</f>
        <v/>
      </c>
      <c r="AB236" s="31">
        <f>IF($AA236="","",SUBSTITUTE(SUBSTITUTE(SUBSTITUTE(SUBSTITUTE(SUBSTITUTE(SUBSTITUTE(SUBSTITUTE(SUBSTITUTE(SUBSTITUTE($AA236," ",""),"　",""),"(주)",""),"（주）",""),"㈜",""),"주식회사",""),"(유)",""),"（유）",""),"유한회사",""))</f>
        <v/>
      </c>
      <c r="AC236" s="31">
        <f>IF(OR($Y236="",N($Z236)&lt;=0,$AB236=""),0,IFERROR(LOOKUP(2,1/((거래처별!$AC$8:$AC$307&lt;&gt;"")*ISNUMBER(SEARCH(거래처별!$AC$8:$AC$307,$AB236))),거래처별!$A$8:$A$307),IFERROR(LOOKUP(2,1/((거래처별!$AD$8:$AD$307&lt;&gt;"")*ISNUMBER(SEARCH(거래처별!$AD$8:$AD$307,$AB236))),거래처별!$A$8:$A$307),IFERROR(LOOKUP(2,1/((거래처별!$AE$8:$AE$307&lt;&gt;"")*ISNUMBER(SEARCH(거래처별!$AE$8:$AE$307,$AB236))),거래처별!$A$8:$A$307),0))))</f>
        <v/>
      </c>
      <c r="AD236" s="31">
        <f>IF(AND($Y236&lt;&gt;"",N($Z236)&gt;0,$AC236=0),MAX($AD$7:$AD235)+1,"")</f>
        <v/>
      </c>
      <c r="AE236" s="31">
        <f>IF($Y236="",0,$Y236)</f>
        <v/>
      </c>
    </row>
    <row r="237">
      <c r="W237" s="31">
        <f>IF(OR($B$5="",$C$6="",ROW()&lt;$B$5),"",IF(INDEX($A:$U,ROW(),$C$6)="","",INDEX($A:$U,ROW(),$C$6)))</f>
        <v/>
      </c>
      <c r="X237" s="32">
        <f>IF($W237="","",IF(ISNUMBER($W237),IF($W237&gt;=10000000,IFERROR(DATE(INT($W237/10000),MOD(INT($W237/100),100),MOD($W237,100)),""),INT($W237)),IFERROR(DATE(--LEFT(LEFT(SUBSTITUTE(SUBSTITUTE(SUBSTITUTE(SUBSTITUTE(TRIM($W237),"-",""),".",""),"/","")," ",""),8),4),--MID(LEFT(SUBSTITUTE(SUBSTITUTE(SUBSTITUTE(SUBSTITUTE(TRIM($W237),"-",""),".",""),"/","")," ",""),8),5,2),--MID(LEFT(SUBSTITUTE(SUBSTITUTE(SUBSTITUTE(SUBSTITUTE(TRIM($W237),"-",""),".",""),"/","")," ",""),8),7,2)),"")))</f>
        <v/>
      </c>
      <c r="Y237" s="32">
        <f>IF($X237="","",INT($X237))</f>
        <v/>
      </c>
      <c r="Z237" s="33">
        <f>IF(OR($Y237="",$D$6=""),"",IF(INDEX($A:$U,ROW(),$D$6)="",0,IF(ISNUMBER(INDEX($A:$U,ROW(),$D$6)),INDEX($A:$U,ROW(),$D$6),IFERROR(--SUBSTITUTE(SUBSTITUTE(TRIM(INDEX($A:$U,ROW(),$D$6)),",",""),"원",""),0))))</f>
        <v/>
      </c>
      <c r="AA237" s="31">
        <f>IF($Y237="","",TRIM(INDEX($A:$U,ROW(),$E$6)&amp;IF($F$6="",""," "&amp;INDEX($A:$U,ROW(),$F$6))))</f>
        <v/>
      </c>
      <c r="AB237" s="31">
        <f>IF($AA237="","",SUBSTITUTE(SUBSTITUTE(SUBSTITUTE(SUBSTITUTE(SUBSTITUTE(SUBSTITUTE(SUBSTITUTE(SUBSTITUTE(SUBSTITUTE($AA237," ",""),"　",""),"(주)",""),"（주）",""),"㈜",""),"주식회사",""),"(유)",""),"（유）",""),"유한회사",""))</f>
        <v/>
      </c>
      <c r="AC237" s="31">
        <f>IF(OR($Y237="",N($Z237)&lt;=0,$AB237=""),0,IFERROR(LOOKUP(2,1/((거래처별!$AC$8:$AC$307&lt;&gt;"")*ISNUMBER(SEARCH(거래처별!$AC$8:$AC$307,$AB237))),거래처별!$A$8:$A$307),IFERROR(LOOKUP(2,1/((거래처별!$AD$8:$AD$307&lt;&gt;"")*ISNUMBER(SEARCH(거래처별!$AD$8:$AD$307,$AB237))),거래처별!$A$8:$A$307),IFERROR(LOOKUP(2,1/((거래처별!$AE$8:$AE$307&lt;&gt;"")*ISNUMBER(SEARCH(거래처별!$AE$8:$AE$307,$AB237))),거래처별!$A$8:$A$307),0))))</f>
        <v/>
      </c>
      <c r="AD237" s="31">
        <f>IF(AND($Y237&lt;&gt;"",N($Z237)&gt;0,$AC237=0),MAX($AD$7:$AD236)+1,"")</f>
        <v/>
      </c>
      <c r="AE237" s="31">
        <f>IF($Y237="",0,$Y237)</f>
        <v/>
      </c>
    </row>
    <row r="238">
      <c r="W238" s="31">
        <f>IF(OR($B$5="",$C$6="",ROW()&lt;$B$5),"",IF(INDEX($A:$U,ROW(),$C$6)="","",INDEX($A:$U,ROW(),$C$6)))</f>
        <v/>
      </c>
      <c r="X238" s="32">
        <f>IF($W238="","",IF(ISNUMBER($W238),IF($W238&gt;=10000000,IFERROR(DATE(INT($W238/10000),MOD(INT($W238/100),100),MOD($W238,100)),""),INT($W238)),IFERROR(DATE(--LEFT(LEFT(SUBSTITUTE(SUBSTITUTE(SUBSTITUTE(SUBSTITUTE(TRIM($W238),"-",""),".",""),"/","")," ",""),8),4),--MID(LEFT(SUBSTITUTE(SUBSTITUTE(SUBSTITUTE(SUBSTITUTE(TRIM($W238),"-",""),".",""),"/","")," ",""),8),5,2),--MID(LEFT(SUBSTITUTE(SUBSTITUTE(SUBSTITUTE(SUBSTITUTE(TRIM($W238),"-",""),".",""),"/","")," ",""),8),7,2)),"")))</f>
        <v/>
      </c>
      <c r="Y238" s="32">
        <f>IF($X238="","",INT($X238))</f>
        <v/>
      </c>
      <c r="Z238" s="33">
        <f>IF(OR($Y238="",$D$6=""),"",IF(INDEX($A:$U,ROW(),$D$6)="",0,IF(ISNUMBER(INDEX($A:$U,ROW(),$D$6)),INDEX($A:$U,ROW(),$D$6),IFERROR(--SUBSTITUTE(SUBSTITUTE(TRIM(INDEX($A:$U,ROW(),$D$6)),",",""),"원",""),0))))</f>
        <v/>
      </c>
      <c r="AA238" s="31">
        <f>IF($Y238="","",TRIM(INDEX($A:$U,ROW(),$E$6)&amp;IF($F$6="",""," "&amp;INDEX($A:$U,ROW(),$F$6))))</f>
        <v/>
      </c>
      <c r="AB238" s="31">
        <f>IF($AA238="","",SUBSTITUTE(SUBSTITUTE(SUBSTITUTE(SUBSTITUTE(SUBSTITUTE(SUBSTITUTE(SUBSTITUTE(SUBSTITUTE(SUBSTITUTE($AA238," ",""),"　",""),"(주)",""),"（주）",""),"㈜",""),"주식회사",""),"(유)",""),"（유）",""),"유한회사",""))</f>
        <v/>
      </c>
      <c r="AC238" s="31">
        <f>IF(OR($Y238="",N($Z238)&lt;=0,$AB238=""),0,IFERROR(LOOKUP(2,1/((거래처별!$AC$8:$AC$307&lt;&gt;"")*ISNUMBER(SEARCH(거래처별!$AC$8:$AC$307,$AB238))),거래처별!$A$8:$A$307),IFERROR(LOOKUP(2,1/((거래처별!$AD$8:$AD$307&lt;&gt;"")*ISNUMBER(SEARCH(거래처별!$AD$8:$AD$307,$AB238))),거래처별!$A$8:$A$307),IFERROR(LOOKUP(2,1/((거래처별!$AE$8:$AE$307&lt;&gt;"")*ISNUMBER(SEARCH(거래처별!$AE$8:$AE$307,$AB238))),거래처별!$A$8:$A$307),0))))</f>
        <v/>
      </c>
      <c r="AD238" s="31">
        <f>IF(AND($Y238&lt;&gt;"",N($Z238)&gt;0,$AC238=0),MAX($AD$7:$AD237)+1,"")</f>
        <v/>
      </c>
      <c r="AE238" s="31">
        <f>IF($Y238="",0,$Y238)</f>
        <v/>
      </c>
    </row>
    <row r="239">
      <c r="W239" s="31">
        <f>IF(OR($B$5="",$C$6="",ROW()&lt;$B$5),"",IF(INDEX($A:$U,ROW(),$C$6)="","",INDEX($A:$U,ROW(),$C$6)))</f>
        <v/>
      </c>
      <c r="X239" s="32">
        <f>IF($W239="","",IF(ISNUMBER($W239),IF($W239&gt;=10000000,IFERROR(DATE(INT($W239/10000),MOD(INT($W239/100),100),MOD($W239,100)),""),INT($W239)),IFERROR(DATE(--LEFT(LEFT(SUBSTITUTE(SUBSTITUTE(SUBSTITUTE(SUBSTITUTE(TRIM($W239),"-",""),".",""),"/","")," ",""),8),4),--MID(LEFT(SUBSTITUTE(SUBSTITUTE(SUBSTITUTE(SUBSTITUTE(TRIM($W239),"-",""),".",""),"/","")," ",""),8),5,2),--MID(LEFT(SUBSTITUTE(SUBSTITUTE(SUBSTITUTE(SUBSTITUTE(TRIM($W239),"-",""),".",""),"/","")," ",""),8),7,2)),"")))</f>
        <v/>
      </c>
      <c r="Y239" s="32">
        <f>IF($X239="","",INT($X239))</f>
        <v/>
      </c>
      <c r="Z239" s="33">
        <f>IF(OR($Y239="",$D$6=""),"",IF(INDEX($A:$U,ROW(),$D$6)="",0,IF(ISNUMBER(INDEX($A:$U,ROW(),$D$6)),INDEX($A:$U,ROW(),$D$6),IFERROR(--SUBSTITUTE(SUBSTITUTE(TRIM(INDEX($A:$U,ROW(),$D$6)),",",""),"원",""),0))))</f>
        <v/>
      </c>
      <c r="AA239" s="31">
        <f>IF($Y239="","",TRIM(INDEX($A:$U,ROW(),$E$6)&amp;IF($F$6="",""," "&amp;INDEX($A:$U,ROW(),$F$6))))</f>
        <v/>
      </c>
      <c r="AB239" s="31">
        <f>IF($AA239="","",SUBSTITUTE(SUBSTITUTE(SUBSTITUTE(SUBSTITUTE(SUBSTITUTE(SUBSTITUTE(SUBSTITUTE(SUBSTITUTE(SUBSTITUTE($AA239," ",""),"　",""),"(주)",""),"（주）",""),"㈜",""),"주식회사",""),"(유)",""),"（유）",""),"유한회사",""))</f>
        <v/>
      </c>
      <c r="AC239" s="31">
        <f>IF(OR($Y239="",N($Z239)&lt;=0,$AB239=""),0,IFERROR(LOOKUP(2,1/((거래처별!$AC$8:$AC$307&lt;&gt;"")*ISNUMBER(SEARCH(거래처별!$AC$8:$AC$307,$AB239))),거래처별!$A$8:$A$307),IFERROR(LOOKUP(2,1/((거래처별!$AD$8:$AD$307&lt;&gt;"")*ISNUMBER(SEARCH(거래처별!$AD$8:$AD$307,$AB239))),거래처별!$A$8:$A$307),IFERROR(LOOKUP(2,1/((거래처별!$AE$8:$AE$307&lt;&gt;"")*ISNUMBER(SEARCH(거래처별!$AE$8:$AE$307,$AB239))),거래처별!$A$8:$A$307),0))))</f>
        <v/>
      </c>
      <c r="AD239" s="31">
        <f>IF(AND($Y239&lt;&gt;"",N($Z239)&gt;0,$AC239=0),MAX($AD$7:$AD238)+1,"")</f>
        <v/>
      </c>
      <c r="AE239" s="31">
        <f>IF($Y239="",0,$Y239)</f>
        <v/>
      </c>
    </row>
    <row r="240">
      <c r="W240" s="31">
        <f>IF(OR($B$5="",$C$6="",ROW()&lt;$B$5),"",IF(INDEX($A:$U,ROW(),$C$6)="","",INDEX($A:$U,ROW(),$C$6)))</f>
        <v/>
      </c>
      <c r="X240" s="32">
        <f>IF($W240="","",IF(ISNUMBER($W240),IF($W240&gt;=10000000,IFERROR(DATE(INT($W240/10000),MOD(INT($W240/100),100),MOD($W240,100)),""),INT($W240)),IFERROR(DATE(--LEFT(LEFT(SUBSTITUTE(SUBSTITUTE(SUBSTITUTE(SUBSTITUTE(TRIM($W240),"-",""),".",""),"/","")," ",""),8),4),--MID(LEFT(SUBSTITUTE(SUBSTITUTE(SUBSTITUTE(SUBSTITUTE(TRIM($W240),"-",""),".",""),"/","")," ",""),8),5,2),--MID(LEFT(SUBSTITUTE(SUBSTITUTE(SUBSTITUTE(SUBSTITUTE(TRIM($W240),"-",""),".",""),"/","")," ",""),8),7,2)),"")))</f>
        <v/>
      </c>
      <c r="Y240" s="32">
        <f>IF($X240="","",INT($X240))</f>
        <v/>
      </c>
      <c r="Z240" s="33">
        <f>IF(OR($Y240="",$D$6=""),"",IF(INDEX($A:$U,ROW(),$D$6)="",0,IF(ISNUMBER(INDEX($A:$U,ROW(),$D$6)),INDEX($A:$U,ROW(),$D$6),IFERROR(--SUBSTITUTE(SUBSTITUTE(TRIM(INDEX($A:$U,ROW(),$D$6)),",",""),"원",""),0))))</f>
        <v/>
      </c>
      <c r="AA240" s="31">
        <f>IF($Y240="","",TRIM(INDEX($A:$U,ROW(),$E$6)&amp;IF($F$6="",""," "&amp;INDEX($A:$U,ROW(),$F$6))))</f>
        <v/>
      </c>
      <c r="AB240" s="31">
        <f>IF($AA240="","",SUBSTITUTE(SUBSTITUTE(SUBSTITUTE(SUBSTITUTE(SUBSTITUTE(SUBSTITUTE(SUBSTITUTE(SUBSTITUTE(SUBSTITUTE($AA240," ",""),"　",""),"(주)",""),"（주）",""),"㈜",""),"주식회사",""),"(유)",""),"（유）",""),"유한회사",""))</f>
        <v/>
      </c>
      <c r="AC240" s="31">
        <f>IF(OR($Y240="",N($Z240)&lt;=0,$AB240=""),0,IFERROR(LOOKUP(2,1/((거래처별!$AC$8:$AC$307&lt;&gt;"")*ISNUMBER(SEARCH(거래처별!$AC$8:$AC$307,$AB240))),거래처별!$A$8:$A$307),IFERROR(LOOKUP(2,1/((거래처별!$AD$8:$AD$307&lt;&gt;"")*ISNUMBER(SEARCH(거래처별!$AD$8:$AD$307,$AB240))),거래처별!$A$8:$A$307),IFERROR(LOOKUP(2,1/((거래처별!$AE$8:$AE$307&lt;&gt;"")*ISNUMBER(SEARCH(거래처별!$AE$8:$AE$307,$AB240))),거래처별!$A$8:$A$307),0))))</f>
        <v/>
      </c>
      <c r="AD240" s="31">
        <f>IF(AND($Y240&lt;&gt;"",N($Z240)&gt;0,$AC240=0),MAX($AD$7:$AD239)+1,"")</f>
        <v/>
      </c>
      <c r="AE240" s="31">
        <f>IF($Y240="",0,$Y240)</f>
        <v/>
      </c>
    </row>
    <row r="241">
      <c r="W241" s="31">
        <f>IF(OR($B$5="",$C$6="",ROW()&lt;$B$5),"",IF(INDEX($A:$U,ROW(),$C$6)="","",INDEX($A:$U,ROW(),$C$6)))</f>
        <v/>
      </c>
      <c r="X241" s="32">
        <f>IF($W241="","",IF(ISNUMBER($W241),IF($W241&gt;=10000000,IFERROR(DATE(INT($W241/10000),MOD(INT($W241/100),100),MOD($W241,100)),""),INT($W241)),IFERROR(DATE(--LEFT(LEFT(SUBSTITUTE(SUBSTITUTE(SUBSTITUTE(SUBSTITUTE(TRIM($W241),"-",""),".",""),"/","")," ",""),8),4),--MID(LEFT(SUBSTITUTE(SUBSTITUTE(SUBSTITUTE(SUBSTITUTE(TRIM($W241),"-",""),".",""),"/","")," ",""),8),5,2),--MID(LEFT(SUBSTITUTE(SUBSTITUTE(SUBSTITUTE(SUBSTITUTE(TRIM($W241),"-",""),".",""),"/","")," ",""),8),7,2)),"")))</f>
        <v/>
      </c>
      <c r="Y241" s="32">
        <f>IF($X241="","",INT($X241))</f>
        <v/>
      </c>
      <c r="Z241" s="33">
        <f>IF(OR($Y241="",$D$6=""),"",IF(INDEX($A:$U,ROW(),$D$6)="",0,IF(ISNUMBER(INDEX($A:$U,ROW(),$D$6)),INDEX($A:$U,ROW(),$D$6),IFERROR(--SUBSTITUTE(SUBSTITUTE(TRIM(INDEX($A:$U,ROW(),$D$6)),",",""),"원",""),0))))</f>
        <v/>
      </c>
      <c r="AA241" s="31">
        <f>IF($Y241="","",TRIM(INDEX($A:$U,ROW(),$E$6)&amp;IF($F$6="",""," "&amp;INDEX($A:$U,ROW(),$F$6))))</f>
        <v/>
      </c>
      <c r="AB241" s="31">
        <f>IF($AA241="","",SUBSTITUTE(SUBSTITUTE(SUBSTITUTE(SUBSTITUTE(SUBSTITUTE(SUBSTITUTE(SUBSTITUTE(SUBSTITUTE(SUBSTITUTE($AA241," ",""),"　",""),"(주)",""),"（주）",""),"㈜",""),"주식회사",""),"(유)",""),"（유）",""),"유한회사",""))</f>
        <v/>
      </c>
      <c r="AC241" s="31">
        <f>IF(OR($Y241="",N($Z241)&lt;=0,$AB241=""),0,IFERROR(LOOKUP(2,1/((거래처별!$AC$8:$AC$307&lt;&gt;"")*ISNUMBER(SEARCH(거래처별!$AC$8:$AC$307,$AB241))),거래처별!$A$8:$A$307),IFERROR(LOOKUP(2,1/((거래처별!$AD$8:$AD$307&lt;&gt;"")*ISNUMBER(SEARCH(거래처별!$AD$8:$AD$307,$AB241))),거래처별!$A$8:$A$307),IFERROR(LOOKUP(2,1/((거래처별!$AE$8:$AE$307&lt;&gt;"")*ISNUMBER(SEARCH(거래처별!$AE$8:$AE$307,$AB241))),거래처별!$A$8:$A$307),0))))</f>
        <v/>
      </c>
      <c r="AD241" s="31">
        <f>IF(AND($Y241&lt;&gt;"",N($Z241)&gt;0,$AC241=0),MAX($AD$7:$AD240)+1,"")</f>
        <v/>
      </c>
      <c r="AE241" s="31">
        <f>IF($Y241="",0,$Y241)</f>
        <v/>
      </c>
    </row>
    <row r="242">
      <c r="W242" s="31">
        <f>IF(OR($B$5="",$C$6="",ROW()&lt;$B$5),"",IF(INDEX($A:$U,ROW(),$C$6)="","",INDEX($A:$U,ROW(),$C$6)))</f>
        <v/>
      </c>
      <c r="X242" s="32">
        <f>IF($W242="","",IF(ISNUMBER($W242),IF($W242&gt;=10000000,IFERROR(DATE(INT($W242/10000),MOD(INT($W242/100),100),MOD($W242,100)),""),INT($W242)),IFERROR(DATE(--LEFT(LEFT(SUBSTITUTE(SUBSTITUTE(SUBSTITUTE(SUBSTITUTE(TRIM($W242),"-",""),".",""),"/","")," ",""),8),4),--MID(LEFT(SUBSTITUTE(SUBSTITUTE(SUBSTITUTE(SUBSTITUTE(TRIM($W242),"-",""),".",""),"/","")," ",""),8),5,2),--MID(LEFT(SUBSTITUTE(SUBSTITUTE(SUBSTITUTE(SUBSTITUTE(TRIM($W242),"-",""),".",""),"/","")," ",""),8),7,2)),"")))</f>
        <v/>
      </c>
      <c r="Y242" s="32">
        <f>IF($X242="","",INT($X242))</f>
        <v/>
      </c>
      <c r="Z242" s="33">
        <f>IF(OR($Y242="",$D$6=""),"",IF(INDEX($A:$U,ROW(),$D$6)="",0,IF(ISNUMBER(INDEX($A:$U,ROW(),$D$6)),INDEX($A:$U,ROW(),$D$6),IFERROR(--SUBSTITUTE(SUBSTITUTE(TRIM(INDEX($A:$U,ROW(),$D$6)),",",""),"원",""),0))))</f>
        <v/>
      </c>
      <c r="AA242" s="31">
        <f>IF($Y242="","",TRIM(INDEX($A:$U,ROW(),$E$6)&amp;IF($F$6="",""," "&amp;INDEX($A:$U,ROW(),$F$6))))</f>
        <v/>
      </c>
      <c r="AB242" s="31">
        <f>IF($AA242="","",SUBSTITUTE(SUBSTITUTE(SUBSTITUTE(SUBSTITUTE(SUBSTITUTE(SUBSTITUTE(SUBSTITUTE(SUBSTITUTE(SUBSTITUTE($AA242," ",""),"　",""),"(주)",""),"（주）",""),"㈜",""),"주식회사",""),"(유)",""),"（유）",""),"유한회사",""))</f>
        <v/>
      </c>
      <c r="AC242" s="31">
        <f>IF(OR($Y242="",N($Z242)&lt;=0,$AB242=""),0,IFERROR(LOOKUP(2,1/((거래처별!$AC$8:$AC$307&lt;&gt;"")*ISNUMBER(SEARCH(거래처별!$AC$8:$AC$307,$AB242))),거래처별!$A$8:$A$307),IFERROR(LOOKUP(2,1/((거래처별!$AD$8:$AD$307&lt;&gt;"")*ISNUMBER(SEARCH(거래처별!$AD$8:$AD$307,$AB242))),거래처별!$A$8:$A$307),IFERROR(LOOKUP(2,1/((거래처별!$AE$8:$AE$307&lt;&gt;"")*ISNUMBER(SEARCH(거래처별!$AE$8:$AE$307,$AB242))),거래처별!$A$8:$A$307),0))))</f>
        <v/>
      </c>
      <c r="AD242" s="31">
        <f>IF(AND($Y242&lt;&gt;"",N($Z242)&gt;0,$AC242=0),MAX($AD$7:$AD241)+1,"")</f>
        <v/>
      </c>
      <c r="AE242" s="31">
        <f>IF($Y242="",0,$Y242)</f>
        <v/>
      </c>
    </row>
    <row r="243">
      <c r="W243" s="31">
        <f>IF(OR($B$5="",$C$6="",ROW()&lt;$B$5),"",IF(INDEX($A:$U,ROW(),$C$6)="","",INDEX($A:$U,ROW(),$C$6)))</f>
        <v/>
      </c>
      <c r="X243" s="32">
        <f>IF($W243="","",IF(ISNUMBER($W243),IF($W243&gt;=10000000,IFERROR(DATE(INT($W243/10000),MOD(INT($W243/100),100),MOD($W243,100)),""),INT($W243)),IFERROR(DATE(--LEFT(LEFT(SUBSTITUTE(SUBSTITUTE(SUBSTITUTE(SUBSTITUTE(TRIM($W243),"-",""),".",""),"/","")," ",""),8),4),--MID(LEFT(SUBSTITUTE(SUBSTITUTE(SUBSTITUTE(SUBSTITUTE(TRIM($W243),"-",""),".",""),"/","")," ",""),8),5,2),--MID(LEFT(SUBSTITUTE(SUBSTITUTE(SUBSTITUTE(SUBSTITUTE(TRIM($W243),"-",""),".",""),"/","")," ",""),8),7,2)),"")))</f>
        <v/>
      </c>
      <c r="Y243" s="32">
        <f>IF($X243="","",INT($X243))</f>
        <v/>
      </c>
      <c r="Z243" s="33">
        <f>IF(OR($Y243="",$D$6=""),"",IF(INDEX($A:$U,ROW(),$D$6)="",0,IF(ISNUMBER(INDEX($A:$U,ROW(),$D$6)),INDEX($A:$U,ROW(),$D$6),IFERROR(--SUBSTITUTE(SUBSTITUTE(TRIM(INDEX($A:$U,ROW(),$D$6)),",",""),"원",""),0))))</f>
        <v/>
      </c>
      <c r="AA243" s="31">
        <f>IF($Y243="","",TRIM(INDEX($A:$U,ROW(),$E$6)&amp;IF($F$6="",""," "&amp;INDEX($A:$U,ROW(),$F$6))))</f>
        <v/>
      </c>
      <c r="AB243" s="31">
        <f>IF($AA243="","",SUBSTITUTE(SUBSTITUTE(SUBSTITUTE(SUBSTITUTE(SUBSTITUTE(SUBSTITUTE(SUBSTITUTE(SUBSTITUTE(SUBSTITUTE($AA243," ",""),"　",""),"(주)",""),"（주）",""),"㈜",""),"주식회사",""),"(유)",""),"（유）",""),"유한회사",""))</f>
        <v/>
      </c>
      <c r="AC243" s="31">
        <f>IF(OR($Y243="",N($Z243)&lt;=0,$AB243=""),0,IFERROR(LOOKUP(2,1/((거래처별!$AC$8:$AC$307&lt;&gt;"")*ISNUMBER(SEARCH(거래처별!$AC$8:$AC$307,$AB243))),거래처별!$A$8:$A$307),IFERROR(LOOKUP(2,1/((거래처별!$AD$8:$AD$307&lt;&gt;"")*ISNUMBER(SEARCH(거래처별!$AD$8:$AD$307,$AB243))),거래처별!$A$8:$A$307),IFERROR(LOOKUP(2,1/((거래처별!$AE$8:$AE$307&lt;&gt;"")*ISNUMBER(SEARCH(거래처별!$AE$8:$AE$307,$AB243))),거래처별!$A$8:$A$307),0))))</f>
        <v/>
      </c>
      <c r="AD243" s="31">
        <f>IF(AND($Y243&lt;&gt;"",N($Z243)&gt;0,$AC243=0),MAX($AD$7:$AD242)+1,"")</f>
        <v/>
      </c>
      <c r="AE243" s="31">
        <f>IF($Y243="",0,$Y243)</f>
        <v/>
      </c>
    </row>
    <row r="244">
      <c r="W244" s="31">
        <f>IF(OR($B$5="",$C$6="",ROW()&lt;$B$5),"",IF(INDEX($A:$U,ROW(),$C$6)="","",INDEX($A:$U,ROW(),$C$6)))</f>
        <v/>
      </c>
      <c r="X244" s="32">
        <f>IF($W244="","",IF(ISNUMBER($W244),IF($W244&gt;=10000000,IFERROR(DATE(INT($W244/10000),MOD(INT($W244/100),100),MOD($W244,100)),""),INT($W244)),IFERROR(DATE(--LEFT(LEFT(SUBSTITUTE(SUBSTITUTE(SUBSTITUTE(SUBSTITUTE(TRIM($W244),"-",""),".",""),"/","")," ",""),8),4),--MID(LEFT(SUBSTITUTE(SUBSTITUTE(SUBSTITUTE(SUBSTITUTE(TRIM($W244),"-",""),".",""),"/","")," ",""),8),5,2),--MID(LEFT(SUBSTITUTE(SUBSTITUTE(SUBSTITUTE(SUBSTITUTE(TRIM($W244),"-",""),".",""),"/","")," ",""),8),7,2)),"")))</f>
        <v/>
      </c>
      <c r="Y244" s="32">
        <f>IF($X244="","",INT($X244))</f>
        <v/>
      </c>
      <c r="Z244" s="33">
        <f>IF(OR($Y244="",$D$6=""),"",IF(INDEX($A:$U,ROW(),$D$6)="",0,IF(ISNUMBER(INDEX($A:$U,ROW(),$D$6)),INDEX($A:$U,ROW(),$D$6),IFERROR(--SUBSTITUTE(SUBSTITUTE(TRIM(INDEX($A:$U,ROW(),$D$6)),",",""),"원",""),0))))</f>
        <v/>
      </c>
      <c r="AA244" s="31">
        <f>IF($Y244="","",TRIM(INDEX($A:$U,ROW(),$E$6)&amp;IF($F$6="",""," "&amp;INDEX($A:$U,ROW(),$F$6))))</f>
        <v/>
      </c>
      <c r="AB244" s="31">
        <f>IF($AA244="","",SUBSTITUTE(SUBSTITUTE(SUBSTITUTE(SUBSTITUTE(SUBSTITUTE(SUBSTITUTE(SUBSTITUTE(SUBSTITUTE(SUBSTITUTE($AA244," ",""),"　",""),"(주)",""),"（주）",""),"㈜",""),"주식회사",""),"(유)",""),"（유）",""),"유한회사",""))</f>
        <v/>
      </c>
      <c r="AC244" s="31">
        <f>IF(OR($Y244="",N($Z244)&lt;=0,$AB244=""),0,IFERROR(LOOKUP(2,1/((거래처별!$AC$8:$AC$307&lt;&gt;"")*ISNUMBER(SEARCH(거래처별!$AC$8:$AC$307,$AB244))),거래처별!$A$8:$A$307),IFERROR(LOOKUP(2,1/((거래처별!$AD$8:$AD$307&lt;&gt;"")*ISNUMBER(SEARCH(거래처별!$AD$8:$AD$307,$AB244))),거래처별!$A$8:$A$307),IFERROR(LOOKUP(2,1/((거래처별!$AE$8:$AE$307&lt;&gt;"")*ISNUMBER(SEARCH(거래처별!$AE$8:$AE$307,$AB244))),거래처별!$A$8:$A$307),0))))</f>
        <v/>
      </c>
      <c r="AD244" s="31">
        <f>IF(AND($Y244&lt;&gt;"",N($Z244)&gt;0,$AC244=0),MAX($AD$7:$AD243)+1,"")</f>
        <v/>
      </c>
      <c r="AE244" s="31">
        <f>IF($Y244="",0,$Y244)</f>
        <v/>
      </c>
    </row>
    <row r="245">
      <c r="W245" s="31">
        <f>IF(OR($B$5="",$C$6="",ROW()&lt;$B$5),"",IF(INDEX($A:$U,ROW(),$C$6)="","",INDEX($A:$U,ROW(),$C$6)))</f>
        <v/>
      </c>
      <c r="X245" s="32">
        <f>IF($W245="","",IF(ISNUMBER($W245),IF($W245&gt;=10000000,IFERROR(DATE(INT($W245/10000),MOD(INT($W245/100),100),MOD($W245,100)),""),INT($W245)),IFERROR(DATE(--LEFT(LEFT(SUBSTITUTE(SUBSTITUTE(SUBSTITUTE(SUBSTITUTE(TRIM($W245),"-",""),".",""),"/","")," ",""),8),4),--MID(LEFT(SUBSTITUTE(SUBSTITUTE(SUBSTITUTE(SUBSTITUTE(TRIM($W245),"-",""),".",""),"/","")," ",""),8),5,2),--MID(LEFT(SUBSTITUTE(SUBSTITUTE(SUBSTITUTE(SUBSTITUTE(TRIM($W245),"-",""),".",""),"/","")," ",""),8),7,2)),"")))</f>
        <v/>
      </c>
      <c r="Y245" s="32">
        <f>IF($X245="","",INT($X245))</f>
        <v/>
      </c>
      <c r="Z245" s="33">
        <f>IF(OR($Y245="",$D$6=""),"",IF(INDEX($A:$U,ROW(),$D$6)="",0,IF(ISNUMBER(INDEX($A:$U,ROW(),$D$6)),INDEX($A:$U,ROW(),$D$6),IFERROR(--SUBSTITUTE(SUBSTITUTE(TRIM(INDEX($A:$U,ROW(),$D$6)),",",""),"원",""),0))))</f>
        <v/>
      </c>
      <c r="AA245" s="31">
        <f>IF($Y245="","",TRIM(INDEX($A:$U,ROW(),$E$6)&amp;IF($F$6="",""," "&amp;INDEX($A:$U,ROW(),$F$6))))</f>
        <v/>
      </c>
      <c r="AB245" s="31">
        <f>IF($AA245="","",SUBSTITUTE(SUBSTITUTE(SUBSTITUTE(SUBSTITUTE(SUBSTITUTE(SUBSTITUTE(SUBSTITUTE(SUBSTITUTE(SUBSTITUTE($AA245," ",""),"　",""),"(주)",""),"（주）",""),"㈜",""),"주식회사",""),"(유)",""),"（유）",""),"유한회사",""))</f>
        <v/>
      </c>
      <c r="AC245" s="31">
        <f>IF(OR($Y245="",N($Z245)&lt;=0,$AB245=""),0,IFERROR(LOOKUP(2,1/((거래처별!$AC$8:$AC$307&lt;&gt;"")*ISNUMBER(SEARCH(거래처별!$AC$8:$AC$307,$AB245))),거래처별!$A$8:$A$307),IFERROR(LOOKUP(2,1/((거래처별!$AD$8:$AD$307&lt;&gt;"")*ISNUMBER(SEARCH(거래처별!$AD$8:$AD$307,$AB245))),거래처별!$A$8:$A$307),IFERROR(LOOKUP(2,1/((거래처별!$AE$8:$AE$307&lt;&gt;"")*ISNUMBER(SEARCH(거래처별!$AE$8:$AE$307,$AB245))),거래처별!$A$8:$A$307),0))))</f>
        <v/>
      </c>
      <c r="AD245" s="31">
        <f>IF(AND($Y245&lt;&gt;"",N($Z245)&gt;0,$AC245=0),MAX($AD$7:$AD244)+1,"")</f>
        <v/>
      </c>
      <c r="AE245" s="31">
        <f>IF($Y245="",0,$Y245)</f>
        <v/>
      </c>
    </row>
    <row r="246">
      <c r="W246" s="31">
        <f>IF(OR($B$5="",$C$6="",ROW()&lt;$B$5),"",IF(INDEX($A:$U,ROW(),$C$6)="","",INDEX($A:$U,ROW(),$C$6)))</f>
        <v/>
      </c>
      <c r="X246" s="32">
        <f>IF($W246="","",IF(ISNUMBER($W246),IF($W246&gt;=10000000,IFERROR(DATE(INT($W246/10000),MOD(INT($W246/100),100),MOD($W246,100)),""),INT($W246)),IFERROR(DATE(--LEFT(LEFT(SUBSTITUTE(SUBSTITUTE(SUBSTITUTE(SUBSTITUTE(TRIM($W246),"-",""),".",""),"/","")," ",""),8),4),--MID(LEFT(SUBSTITUTE(SUBSTITUTE(SUBSTITUTE(SUBSTITUTE(TRIM($W246),"-",""),".",""),"/","")," ",""),8),5,2),--MID(LEFT(SUBSTITUTE(SUBSTITUTE(SUBSTITUTE(SUBSTITUTE(TRIM($W246),"-",""),".",""),"/","")," ",""),8),7,2)),"")))</f>
        <v/>
      </c>
      <c r="Y246" s="32">
        <f>IF($X246="","",INT($X246))</f>
        <v/>
      </c>
      <c r="Z246" s="33">
        <f>IF(OR($Y246="",$D$6=""),"",IF(INDEX($A:$U,ROW(),$D$6)="",0,IF(ISNUMBER(INDEX($A:$U,ROW(),$D$6)),INDEX($A:$U,ROW(),$D$6),IFERROR(--SUBSTITUTE(SUBSTITUTE(TRIM(INDEX($A:$U,ROW(),$D$6)),",",""),"원",""),0))))</f>
        <v/>
      </c>
      <c r="AA246" s="31">
        <f>IF($Y246="","",TRIM(INDEX($A:$U,ROW(),$E$6)&amp;IF($F$6="",""," "&amp;INDEX($A:$U,ROW(),$F$6))))</f>
        <v/>
      </c>
      <c r="AB246" s="31">
        <f>IF($AA246="","",SUBSTITUTE(SUBSTITUTE(SUBSTITUTE(SUBSTITUTE(SUBSTITUTE(SUBSTITUTE(SUBSTITUTE(SUBSTITUTE(SUBSTITUTE($AA246," ",""),"　",""),"(주)",""),"（주）",""),"㈜",""),"주식회사",""),"(유)",""),"（유）",""),"유한회사",""))</f>
        <v/>
      </c>
      <c r="AC246" s="31">
        <f>IF(OR($Y246="",N($Z246)&lt;=0,$AB246=""),0,IFERROR(LOOKUP(2,1/((거래처별!$AC$8:$AC$307&lt;&gt;"")*ISNUMBER(SEARCH(거래처별!$AC$8:$AC$307,$AB246))),거래처별!$A$8:$A$307),IFERROR(LOOKUP(2,1/((거래처별!$AD$8:$AD$307&lt;&gt;"")*ISNUMBER(SEARCH(거래처별!$AD$8:$AD$307,$AB246))),거래처별!$A$8:$A$307),IFERROR(LOOKUP(2,1/((거래처별!$AE$8:$AE$307&lt;&gt;"")*ISNUMBER(SEARCH(거래처별!$AE$8:$AE$307,$AB246))),거래처별!$A$8:$A$307),0))))</f>
        <v/>
      </c>
      <c r="AD246" s="31">
        <f>IF(AND($Y246&lt;&gt;"",N($Z246)&gt;0,$AC246=0),MAX($AD$7:$AD245)+1,"")</f>
        <v/>
      </c>
      <c r="AE246" s="31">
        <f>IF($Y246="",0,$Y246)</f>
        <v/>
      </c>
    </row>
    <row r="247">
      <c r="W247" s="31">
        <f>IF(OR($B$5="",$C$6="",ROW()&lt;$B$5),"",IF(INDEX($A:$U,ROW(),$C$6)="","",INDEX($A:$U,ROW(),$C$6)))</f>
        <v/>
      </c>
      <c r="X247" s="32">
        <f>IF($W247="","",IF(ISNUMBER($W247),IF($W247&gt;=10000000,IFERROR(DATE(INT($W247/10000),MOD(INT($W247/100),100),MOD($W247,100)),""),INT($W247)),IFERROR(DATE(--LEFT(LEFT(SUBSTITUTE(SUBSTITUTE(SUBSTITUTE(SUBSTITUTE(TRIM($W247),"-",""),".",""),"/","")," ",""),8),4),--MID(LEFT(SUBSTITUTE(SUBSTITUTE(SUBSTITUTE(SUBSTITUTE(TRIM($W247),"-",""),".",""),"/","")," ",""),8),5,2),--MID(LEFT(SUBSTITUTE(SUBSTITUTE(SUBSTITUTE(SUBSTITUTE(TRIM($W247),"-",""),".",""),"/","")," ",""),8),7,2)),"")))</f>
        <v/>
      </c>
      <c r="Y247" s="32">
        <f>IF($X247="","",INT($X247))</f>
        <v/>
      </c>
      <c r="Z247" s="33">
        <f>IF(OR($Y247="",$D$6=""),"",IF(INDEX($A:$U,ROW(),$D$6)="",0,IF(ISNUMBER(INDEX($A:$U,ROW(),$D$6)),INDEX($A:$U,ROW(),$D$6),IFERROR(--SUBSTITUTE(SUBSTITUTE(TRIM(INDEX($A:$U,ROW(),$D$6)),",",""),"원",""),0))))</f>
        <v/>
      </c>
      <c r="AA247" s="31">
        <f>IF($Y247="","",TRIM(INDEX($A:$U,ROW(),$E$6)&amp;IF($F$6="",""," "&amp;INDEX($A:$U,ROW(),$F$6))))</f>
        <v/>
      </c>
      <c r="AB247" s="31">
        <f>IF($AA247="","",SUBSTITUTE(SUBSTITUTE(SUBSTITUTE(SUBSTITUTE(SUBSTITUTE(SUBSTITUTE(SUBSTITUTE(SUBSTITUTE(SUBSTITUTE($AA247," ",""),"　",""),"(주)",""),"（주）",""),"㈜",""),"주식회사",""),"(유)",""),"（유）",""),"유한회사",""))</f>
        <v/>
      </c>
      <c r="AC247" s="31">
        <f>IF(OR($Y247="",N($Z247)&lt;=0,$AB247=""),0,IFERROR(LOOKUP(2,1/((거래처별!$AC$8:$AC$307&lt;&gt;"")*ISNUMBER(SEARCH(거래처별!$AC$8:$AC$307,$AB247))),거래처별!$A$8:$A$307),IFERROR(LOOKUP(2,1/((거래처별!$AD$8:$AD$307&lt;&gt;"")*ISNUMBER(SEARCH(거래처별!$AD$8:$AD$307,$AB247))),거래처별!$A$8:$A$307),IFERROR(LOOKUP(2,1/((거래처별!$AE$8:$AE$307&lt;&gt;"")*ISNUMBER(SEARCH(거래처별!$AE$8:$AE$307,$AB247))),거래처별!$A$8:$A$307),0))))</f>
        <v/>
      </c>
      <c r="AD247" s="31">
        <f>IF(AND($Y247&lt;&gt;"",N($Z247)&gt;0,$AC247=0),MAX($AD$7:$AD246)+1,"")</f>
        <v/>
      </c>
      <c r="AE247" s="31">
        <f>IF($Y247="",0,$Y247)</f>
        <v/>
      </c>
    </row>
    <row r="248">
      <c r="W248" s="31">
        <f>IF(OR($B$5="",$C$6="",ROW()&lt;$B$5),"",IF(INDEX($A:$U,ROW(),$C$6)="","",INDEX($A:$U,ROW(),$C$6)))</f>
        <v/>
      </c>
      <c r="X248" s="32">
        <f>IF($W248="","",IF(ISNUMBER($W248),IF($W248&gt;=10000000,IFERROR(DATE(INT($W248/10000),MOD(INT($W248/100),100),MOD($W248,100)),""),INT($W248)),IFERROR(DATE(--LEFT(LEFT(SUBSTITUTE(SUBSTITUTE(SUBSTITUTE(SUBSTITUTE(TRIM($W248),"-",""),".",""),"/","")," ",""),8),4),--MID(LEFT(SUBSTITUTE(SUBSTITUTE(SUBSTITUTE(SUBSTITUTE(TRIM($W248),"-",""),".",""),"/","")," ",""),8),5,2),--MID(LEFT(SUBSTITUTE(SUBSTITUTE(SUBSTITUTE(SUBSTITUTE(TRIM($W248),"-",""),".",""),"/","")," ",""),8),7,2)),"")))</f>
        <v/>
      </c>
      <c r="Y248" s="32">
        <f>IF($X248="","",INT($X248))</f>
        <v/>
      </c>
      <c r="Z248" s="33">
        <f>IF(OR($Y248="",$D$6=""),"",IF(INDEX($A:$U,ROW(),$D$6)="",0,IF(ISNUMBER(INDEX($A:$U,ROW(),$D$6)),INDEX($A:$U,ROW(),$D$6),IFERROR(--SUBSTITUTE(SUBSTITUTE(TRIM(INDEX($A:$U,ROW(),$D$6)),",",""),"원",""),0))))</f>
        <v/>
      </c>
      <c r="AA248" s="31">
        <f>IF($Y248="","",TRIM(INDEX($A:$U,ROW(),$E$6)&amp;IF($F$6="",""," "&amp;INDEX($A:$U,ROW(),$F$6))))</f>
        <v/>
      </c>
      <c r="AB248" s="31">
        <f>IF($AA248="","",SUBSTITUTE(SUBSTITUTE(SUBSTITUTE(SUBSTITUTE(SUBSTITUTE(SUBSTITUTE(SUBSTITUTE(SUBSTITUTE(SUBSTITUTE($AA248," ",""),"　",""),"(주)",""),"（주）",""),"㈜",""),"주식회사",""),"(유)",""),"（유）",""),"유한회사",""))</f>
        <v/>
      </c>
      <c r="AC248" s="31">
        <f>IF(OR($Y248="",N($Z248)&lt;=0,$AB248=""),0,IFERROR(LOOKUP(2,1/((거래처별!$AC$8:$AC$307&lt;&gt;"")*ISNUMBER(SEARCH(거래처별!$AC$8:$AC$307,$AB248))),거래처별!$A$8:$A$307),IFERROR(LOOKUP(2,1/((거래처별!$AD$8:$AD$307&lt;&gt;"")*ISNUMBER(SEARCH(거래처별!$AD$8:$AD$307,$AB248))),거래처별!$A$8:$A$307),IFERROR(LOOKUP(2,1/((거래처별!$AE$8:$AE$307&lt;&gt;"")*ISNUMBER(SEARCH(거래처별!$AE$8:$AE$307,$AB248))),거래처별!$A$8:$A$307),0))))</f>
        <v/>
      </c>
      <c r="AD248" s="31">
        <f>IF(AND($Y248&lt;&gt;"",N($Z248)&gt;0,$AC248=0),MAX($AD$7:$AD247)+1,"")</f>
        <v/>
      </c>
      <c r="AE248" s="31">
        <f>IF($Y248="",0,$Y248)</f>
        <v/>
      </c>
    </row>
    <row r="249">
      <c r="W249" s="31">
        <f>IF(OR($B$5="",$C$6="",ROW()&lt;$B$5),"",IF(INDEX($A:$U,ROW(),$C$6)="","",INDEX($A:$U,ROW(),$C$6)))</f>
        <v/>
      </c>
      <c r="X249" s="32">
        <f>IF($W249="","",IF(ISNUMBER($W249),IF($W249&gt;=10000000,IFERROR(DATE(INT($W249/10000),MOD(INT($W249/100),100),MOD($W249,100)),""),INT($W249)),IFERROR(DATE(--LEFT(LEFT(SUBSTITUTE(SUBSTITUTE(SUBSTITUTE(SUBSTITUTE(TRIM($W249),"-",""),".",""),"/","")," ",""),8),4),--MID(LEFT(SUBSTITUTE(SUBSTITUTE(SUBSTITUTE(SUBSTITUTE(TRIM($W249),"-",""),".",""),"/","")," ",""),8),5,2),--MID(LEFT(SUBSTITUTE(SUBSTITUTE(SUBSTITUTE(SUBSTITUTE(TRIM($W249),"-",""),".",""),"/","")," ",""),8),7,2)),"")))</f>
        <v/>
      </c>
      <c r="Y249" s="32">
        <f>IF($X249="","",INT($X249))</f>
        <v/>
      </c>
      <c r="Z249" s="33">
        <f>IF(OR($Y249="",$D$6=""),"",IF(INDEX($A:$U,ROW(),$D$6)="",0,IF(ISNUMBER(INDEX($A:$U,ROW(),$D$6)),INDEX($A:$U,ROW(),$D$6),IFERROR(--SUBSTITUTE(SUBSTITUTE(TRIM(INDEX($A:$U,ROW(),$D$6)),",",""),"원",""),0))))</f>
        <v/>
      </c>
      <c r="AA249" s="31">
        <f>IF($Y249="","",TRIM(INDEX($A:$U,ROW(),$E$6)&amp;IF($F$6="",""," "&amp;INDEX($A:$U,ROW(),$F$6))))</f>
        <v/>
      </c>
      <c r="AB249" s="31">
        <f>IF($AA249="","",SUBSTITUTE(SUBSTITUTE(SUBSTITUTE(SUBSTITUTE(SUBSTITUTE(SUBSTITUTE(SUBSTITUTE(SUBSTITUTE(SUBSTITUTE($AA249," ",""),"　",""),"(주)",""),"（주）",""),"㈜",""),"주식회사",""),"(유)",""),"（유）",""),"유한회사",""))</f>
        <v/>
      </c>
      <c r="AC249" s="31">
        <f>IF(OR($Y249="",N($Z249)&lt;=0,$AB249=""),0,IFERROR(LOOKUP(2,1/((거래처별!$AC$8:$AC$307&lt;&gt;"")*ISNUMBER(SEARCH(거래처별!$AC$8:$AC$307,$AB249))),거래처별!$A$8:$A$307),IFERROR(LOOKUP(2,1/((거래처별!$AD$8:$AD$307&lt;&gt;"")*ISNUMBER(SEARCH(거래처별!$AD$8:$AD$307,$AB249))),거래처별!$A$8:$A$307),IFERROR(LOOKUP(2,1/((거래처별!$AE$8:$AE$307&lt;&gt;"")*ISNUMBER(SEARCH(거래처별!$AE$8:$AE$307,$AB249))),거래처별!$A$8:$A$307),0))))</f>
        <v/>
      </c>
      <c r="AD249" s="31">
        <f>IF(AND($Y249&lt;&gt;"",N($Z249)&gt;0,$AC249=0),MAX($AD$7:$AD248)+1,"")</f>
        <v/>
      </c>
      <c r="AE249" s="31">
        <f>IF($Y249="",0,$Y249)</f>
        <v/>
      </c>
    </row>
    <row r="250">
      <c r="W250" s="31">
        <f>IF(OR($B$5="",$C$6="",ROW()&lt;$B$5),"",IF(INDEX($A:$U,ROW(),$C$6)="","",INDEX($A:$U,ROW(),$C$6)))</f>
        <v/>
      </c>
      <c r="X250" s="32">
        <f>IF($W250="","",IF(ISNUMBER($W250),IF($W250&gt;=10000000,IFERROR(DATE(INT($W250/10000),MOD(INT($W250/100),100),MOD($W250,100)),""),INT($W250)),IFERROR(DATE(--LEFT(LEFT(SUBSTITUTE(SUBSTITUTE(SUBSTITUTE(SUBSTITUTE(TRIM($W250),"-",""),".",""),"/","")," ",""),8),4),--MID(LEFT(SUBSTITUTE(SUBSTITUTE(SUBSTITUTE(SUBSTITUTE(TRIM($W250),"-",""),".",""),"/","")," ",""),8),5,2),--MID(LEFT(SUBSTITUTE(SUBSTITUTE(SUBSTITUTE(SUBSTITUTE(TRIM($W250),"-",""),".",""),"/","")," ",""),8),7,2)),"")))</f>
        <v/>
      </c>
      <c r="Y250" s="32">
        <f>IF($X250="","",INT($X250))</f>
        <v/>
      </c>
      <c r="Z250" s="33">
        <f>IF(OR($Y250="",$D$6=""),"",IF(INDEX($A:$U,ROW(),$D$6)="",0,IF(ISNUMBER(INDEX($A:$U,ROW(),$D$6)),INDEX($A:$U,ROW(),$D$6),IFERROR(--SUBSTITUTE(SUBSTITUTE(TRIM(INDEX($A:$U,ROW(),$D$6)),",",""),"원",""),0))))</f>
        <v/>
      </c>
      <c r="AA250" s="31">
        <f>IF($Y250="","",TRIM(INDEX($A:$U,ROW(),$E$6)&amp;IF($F$6="",""," "&amp;INDEX($A:$U,ROW(),$F$6))))</f>
        <v/>
      </c>
      <c r="AB250" s="31">
        <f>IF($AA250="","",SUBSTITUTE(SUBSTITUTE(SUBSTITUTE(SUBSTITUTE(SUBSTITUTE(SUBSTITUTE(SUBSTITUTE(SUBSTITUTE(SUBSTITUTE($AA250," ",""),"　",""),"(주)",""),"（주）",""),"㈜",""),"주식회사",""),"(유)",""),"（유）",""),"유한회사",""))</f>
        <v/>
      </c>
      <c r="AC250" s="31">
        <f>IF(OR($Y250="",N($Z250)&lt;=0,$AB250=""),0,IFERROR(LOOKUP(2,1/((거래처별!$AC$8:$AC$307&lt;&gt;"")*ISNUMBER(SEARCH(거래처별!$AC$8:$AC$307,$AB250))),거래처별!$A$8:$A$307),IFERROR(LOOKUP(2,1/((거래처별!$AD$8:$AD$307&lt;&gt;"")*ISNUMBER(SEARCH(거래처별!$AD$8:$AD$307,$AB250))),거래처별!$A$8:$A$307),IFERROR(LOOKUP(2,1/((거래처별!$AE$8:$AE$307&lt;&gt;"")*ISNUMBER(SEARCH(거래처별!$AE$8:$AE$307,$AB250))),거래처별!$A$8:$A$307),0))))</f>
        <v/>
      </c>
      <c r="AD250" s="31">
        <f>IF(AND($Y250&lt;&gt;"",N($Z250)&gt;0,$AC250=0),MAX($AD$7:$AD249)+1,"")</f>
        <v/>
      </c>
      <c r="AE250" s="31">
        <f>IF($Y250="",0,$Y250)</f>
        <v/>
      </c>
    </row>
    <row r="251">
      <c r="W251" s="31">
        <f>IF(OR($B$5="",$C$6="",ROW()&lt;$B$5),"",IF(INDEX($A:$U,ROW(),$C$6)="","",INDEX($A:$U,ROW(),$C$6)))</f>
        <v/>
      </c>
      <c r="X251" s="32">
        <f>IF($W251="","",IF(ISNUMBER($W251),IF($W251&gt;=10000000,IFERROR(DATE(INT($W251/10000),MOD(INT($W251/100),100),MOD($W251,100)),""),INT($W251)),IFERROR(DATE(--LEFT(LEFT(SUBSTITUTE(SUBSTITUTE(SUBSTITUTE(SUBSTITUTE(TRIM($W251),"-",""),".",""),"/","")," ",""),8),4),--MID(LEFT(SUBSTITUTE(SUBSTITUTE(SUBSTITUTE(SUBSTITUTE(TRIM($W251),"-",""),".",""),"/","")," ",""),8),5,2),--MID(LEFT(SUBSTITUTE(SUBSTITUTE(SUBSTITUTE(SUBSTITUTE(TRIM($W251),"-",""),".",""),"/","")," ",""),8),7,2)),"")))</f>
        <v/>
      </c>
      <c r="Y251" s="32">
        <f>IF($X251="","",INT($X251))</f>
        <v/>
      </c>
      <c r="Z251" s="33">
        <f>IF(OR($Y251="",$D$6=""),"",IF(INDEX($A:$U,ROW(),$D$6)="",0,IF(ISNUMBER(INDEX($A:$U,ROW(),$D$6)),INDEX($A:$U,ROW(),$D$6),IFERROR(--SUBSTITUTE(SUBSTITUTE(TRIM(INDEX($A:$U,ROW(),$D$6)),",",""),"원",""),0))))</f>
        <v/>
      </c>
      <c r="AA251" s="31">
        <f>IF($Y251="","",TRIM(INDEX($A:$U,ROW(),$E$6)&amp;IF($F$6="",""," "&amp;INDEX($A:$U,ROW(),$F$6))))</f>
        <v/>
      </c>
      <c r="AB251" s="31">
        <f>IF($AA251="","",SUBSTITUTE(SUBSTITUTE(SUBSTITUTE(SUBSTITUTE(SUBSTITUTE(SUBSTITUTE(SUBSTITUTE(SUBSTITUTE(SUBSTITUTE($AA251," ",""),"　",""),"(주)",""),"（주）",""),"㈜",""),"주식회사",""),"(유)",""),"（유）",""),"유한회사",""))</f>
        <v/>
      </c>
      <c r="AC251" s="31">
        <f>IF(OR($Y251="",N($Z251)&lt;=0,$AB251=""),0,IFERROR(LOOKUP(2,1/((거래처별!$AC$8:$AC$307&lt;&gt;"")*ISNUMBER(SEARCH(거래처별!$AC$8:$AC$307,$AB251))),거래처별!$A$8:$A$307),IFERROR(LOOKUP(2,1/((거래처별!$AD$8:$AD$307&lt;&gt;"")*ISNUMBER(SEARCH(거래처별!$AD$8:$AD$307,$AB251))),거래처별!$A$8:$A$307),IFERROR(LOOKUP(2,1/((거래처별!$AE$8:$AE$307&lt;&gt;"")*ISNUMBER(SEARCH(거래처별!$AE$8:$AE$307,$AB251))),거래처별!$A$8:$A$307),0))))</f>
        <v/>
      </c>
      <c r="AD251" s="31">
        <f>IF(AND($Y251&lt;&gt;"",N($Z251)&gt;0,$AC251=0),MAX($AD$7:$AD250)+1,"")</f>
        <v/>
      </c>
      <c r="AE251" s="31">
        <f>IF($Y251="",0,$Y251)</f>
        <v/>
      </c>
    </row>
    <row r="252">
      <c r="W252" s="31">
        <f>IF(OR($B$5="",$C$6="",ROW()&lt;$B$5),"",IF(INDEX($A:$U,ROW(),$C$6)="","",INDEX($A:$U,ROW(),$C$6)))</f>
        <v/>
      </c>
      <c r="X252" s="32">
        <f>IF($W252="","",IF(ISNUMBER($W252),IF($W252&gt;=10000000,IFERROR(DATE(INT($W252/10000),MOD(INT($W252/100),100),MOD($W252,100)),""),INT($W252)),IFERROR(DATE(--LEFT(LEFT(SUBSTITUTE(SUBSTITUTE(SUBSTITUTE(SUBSTITUTE(TRIM($W252),"-",""),".",""),"/","")," ",""),8),4),--MID(LEFT(SUBSTITUTE(SUBSTITUTE(SUBSTITUTE(SUBSTITUTE(TRIM($W252),"-",""),".",""),"/","")," ",""),8),5,2),--MID(LEFT(SUBSTITUTE(SUBSTITUTE(SUBSTITUTE(SUBSTITUTE(TRIM($W252),"-",""),".",""),"/","")," ",""),8),7,2)),"")))</f>
        <v/>
      </c>
      <c r="Y252" s="32">
        <f>IF($X252="","",INT($X252))</f>
        <v/>
      </c>
      <c r="Z252" s="33">
        <f>IF(OR($Y252="",$D$6=""),"",IF(INDEX($A:$U,ROW(),$D$6)="",0,IF(ISNUMBER(INDEX($A:$U,ROW(),$D$6)),INDEX($A:$U,ROW(),$D$6),IFERROR(--SUBSTITUTE(SUBSTITUTE(TRIM(INDEX($A:$U,ROW(),$D$6)),",",""),"원",""),0))))</f>
        <v/>
      </c>
      <c r="AA252" s="31">
        <f>IF($Y252="","",TRIM(INDEX($A:$U,ROW(),$E$6)&amp;IF($F$6="",""," "&amp;INDEX($A:$U,ROW(),$F$6))))</f>
        <v/>
      </c>
      <c r="AB252" s="31">
        <f>IF($AA252="","",SUBSTITUTE(SUBSTITUTE(SUBSTITUTE(SUBSTITUTE(SUBSTITUTE(SUBSTITUTE(SUBSTITUTE(SUBSTITUTE(SUBSTITUTE($AA252," ",""),"　",""),"(주)",""),"（주）",""),"㈜",""),"주식회사",""),"(유)",""),"（유）",""),"유한회사",""))</f>
        <v/>
      </c>
      <c r="AC252" s="31">
        <f>IF(OR($Y252="",N($Z252)&lt;=0,$AB252=""),0,IFERROR(LOOKUP(2,1/((거래처별!$AC$8:$AC$307&lt;&gt;"")*ISNUMBER(SEARCH(거래처별!$AC$8:$AC$307,$AB252))),거래처별!$A$8:$A$307),IFERROR(LOOKUP(2,1/((거래처별!$AD$8:$AD$307&lt;&gt;"")*ISNUMBER(SEARCH(거래처별!$AD$8:$AD$307,$AB252))),거래처별!$A$8:$A$307),IFERROR(LOOKUP(2,1/((거래처별!$AE$8:$AE$307&lt;&gt;"")*ISNUMBER(SEARCH(거래처별!$AE$8:$AE$307,$AB252))),거래처별!$A$8:$A$307),0))))</f>
        <v/>
      </c>
      <c r="AD252" s="31">
        <f>IF(AND($Y252&lt;&gt;"",N($Z252)&gt;0,$AC252=0),MAX($AD$7:$AD251)+1,"")</f>
        <v/>
      </c>
      <c r="AE252" s="31">
        <f>IF($Y252="",0,$Y252)</f>
        <v/>
      </c>
    </row>
    <row r="253">
      <c r="W253" s="31">
        <f>IF(OR($B$5="",$C$6="",ROW()&lt;$B$5),"",IF(INDEX($A:$U,ROW(),$C$6)="","",INDEX($A:$U,ROW(),$C$6)))</f>
        <v/>
      </c>
      <c r="X253" s="32">
        <f>IF($W253="","",IF(ISNUMBER($W253),IF($W253&gt;=10000000,IFERROR(DATE(INT($W253/10000),MOD(INT($W253/100),100),MOD($W253,100)),""),INT($W253)),IFERROR(DATE(--LEFT(LEFT(SUBSTITUTE(SUBSTITUTE(SUBSTITUTE(SUBSTITUTE(TRIM($W253),"-",""),".",""),"/","")," ",""),8),4),--MID(LEFT(SUBSTITUTE(SUBSTITUTE(SUBSTITUTE(SUBSTITUTE(TRIM($W253),"-",""),".",""),"/","")," ",""),8),5,2),--MID(LEFT(SUBSTITUTE(SUBSTITUTE(SUBSTITUTE(SUBSTITUTE(TRIM($W253),"-",""),".",""),"/","")," ",""),8),7,2)),"")))</f>
        <v/>
      </c>
      <c r="Y253" s="32">
        <f>IF($X253="","",INT($X253))</f>
        <v/>
      </c>
      <c r="Z253" s="33">
        <f>IF(OR($Y253="",$D$6=""),"",IF(INDEX($A:$U,ROW(),$D$6)="",0,IF(ISNUMBER(INDEX($A:$U,ROW(),$D$6)),INDEX($A:$U,ROW(),$D$6),IFERROR(--SUBSTITUTE(SUBSTITUTE(TRIM(INDEX($A:$U,ROW(),$D$6)),",",""),"원",""),0))))</f>
        <v/>
      </c>
      <c r="AA253" s="31">
        <f>IF($Y253="","",TRIM(INDEX($A:$U,ROW(),$E$6)&amp;IF($F$6="",""," "&amp;INDEX($A:$U,ROW(),$F$6))))</f>
        <v/>
      </c>
      <c r="AB253" s="31">
        <f>IF($AA253="","",SUBSTITUTE(SUBSTITUTE(SUBSTITUTE(SUBSTITUTE(SUBSTITUTE(SUBSTITUTE(SUBSTITUTE(SUBSTITUTE(SUBSTITUTE($AA253," ",""),"　",""),"(주)",""),"（주）",""),"㈜",""),"주식회사",""),"(유)",""),"（유）",""),"유한회사",""))</f>
        <v/>
      </c>
      <c r="AC253" s="31">
        <f>IF(OR($Y253="",N($Z253)&lt;=0,$AB253=""),0,IFERROR(LOOKUP(2,1/((거래처별!$AC$8:$AC$307&lt;&gt;"")*ISNUMBER(SEARCH(거래처별!$AC$8:$AC$307,$AB253))),거래처별!$A$8:$A$307),IFERROR(LOOKUP(2,1/((거래처별!$AD$8:$AD$307&lt;&gt;"")*ISNUMBER(SEARCH(거래처별!$AD$8:$AD$307,$AB253))),거래처별!$A$8:$A$307),IFERROR(LOOKUP(2,1/((거래처별!$AE$8:$AE$307&lt;&gt;"")*ISNUMBER(SEARCH(거래처별!$AE$8:$AE$307,$AB253))),거래처별!$A$8:$A$307),0))))</f>
        <v/>
      </c>
      <c r="AD253" s="31">
        <f>IF(AND($Y253&lt;&gt;"",N($Z253)&gt;0,$AC253=0),MAX($AD$7:$AD252)+1,"")</f>
        <v/>
      </c>
      <c r="AE253" s="31">
        <f>IF($Y253="",0,$Y253)</f>
        <v/>
      </c>
    </row>
    <row r="254">
      <c r="W254" s="31">
        <f>IF(OR($B$5="",$C$6="",ROW()&lt;$B$5),"",IF(INDEX($A:$U,ROW(),$C$6)="","",INDEX($A:$U,ROW(),$C$6)))</f>
        <v/>
      </c>
      <c r="X254" s="32">
        <f>IF($W254="","",IF(ISNUMBER($W254),IF($W254&gt;=10000000,IFERROR(DATE(INT($W254/10000),MOD(INT($W254/100),100),MOD($W254,100)),""),INT($W254)),IFERROR(DATE(--LEFT(LEFT(SUBSTITUTE(SUBSTITUTE(SUBSTITUTE(SUBSTITUTE(TRIM($W254),"-",""),".",""),"/","")," ",""),8),4),--MID(LEFT(SUBSTITUTE(SUBSTITUTE(SUBSTITUTE(SUBSTITUTE(TRIM($W254),"-",""),".",""),"/","")," ",""),8),5,2),--MID(LEFT(SUBSTITUTE(SUBSTITUTE(SUBSTITUTE(SUBSTITUTE(TRIM($W254),"-",""),".",""),"/","")," ",""),8),7,2)),"")))</f>
        <v/>
      </c>
      <c r="Y254" s="32">
        <f>IF($X254="","",INT($X254))</f>
        <v/>
      </c>
      <c r="Z254" s="33">
        <f>IF(OR($Y254="",$D$6=""),"",IF(INDEX($A:$U,ROW(),$D$6)="",0,IF(ISNUMBER(INDEX($A:$U,ROW(),$D$6)),INDEX($A:$U,ROW(),$D$6),IFERROR(--SUBSTITUTE(SUBSTITUTE(TRIM(INDEX($A:$U,ROW(),$D$6)),",",""),"원",""),0))))</f>
        <v/>
      </c>
      <c r="AA254" s="31">
        <f>IF($Y254="","",TRIM(INDEX($A:$U,ROW(),$E$6)&amp;IF($F$6="",""," "&amp;INDEX($A:$U,ROW(),$F$6))))</f>
        <v/>
      </c>
      <c r="AB254" s="31">
        <f>IF($AA254="","",SUBSTITUTE(SUBSTITUTE(SUBSTITUTE(SUBSTITUTE(SUBSTITUTE(SUBSTITUTE(SUBSTITUTE(SUBSTITUTE(SUBSTITUTE($AA254," ",""),"　",""),"(주)",""),"（주）",""),"㈜",""),"주식회사",""),"(유)",""),"（유）",""),"유한회사",""))</f>
        <v/>
      </c>
      <c r="AC254" s="31">
        <f>IF(OR($Y254="",N($Z254)&lt;=0,$AB254=""),0,IFERROR(LOOKUP(2,1/((거래처별!$AC$8:$AC$307&lt;&gt;"")*ISNUMBER(SEARCH(거래처별!$AC$8:$AC$307,$AB254))),거래처별!$A$8:$A$307),IFERROR(LOOKUP(2,1/((거래처별!$AD$8:$AD$307&lt;&gt;"")*ISNUMBER(SEARCH(거래처별!$AD$8:$AD$307,$AB254))),거래처별!$A$8:$A$307),IFERROR(LOOKUP(2,1/((거래처별!$AE$8:$AE$307&lt;&gt;"")*ISNUMBER(SEARCH(거래처별!$AE$8:$AE$307,$AB254))),거래처별!$A$8:$A$307),0))))</f>
        <v/>
      </c>
      <c r="AD254" s="31">
        <f>IF(AND($Y254&lt;&gt;"",N($Z254)&gt;0,$AC254=0),MAX($AD$7:$AD253)+1,"")</f>
        <v/>
      </c>
      <c r="AE254" s="31">
        <f>IF($Y254="",0,$Y254)</f>
        <v/>
      </c>
    </row>
    <row r="255">
      <c r="W255" s="31">
        <f>IF(OR($B$5="",$C$6="",ROW()&lt;$B$5),"",IF(INDEX($A:$U,ROW(),$C$6)="","",INDEX($A:$U,ROW(),$C$6)))</f>
        <v/>
      </c>
      <c r="X255" s="32">
        <f>IF($W255="","",IF(ISNUMBER($W255),IF($W255&gt;=10000000,IFERROR(DATE(INT($W255/10000),MOD(INT($W255/100),100),MOD($W255,100)),""),INT($W255)),IFERROR(DATE(--LEFT(LEFT(SUBSTITUTE(SUBSTITUTE(SUBSTITUTE(SUBSTITUTE(TRIM($W255),"-",""),".",""),"/","")," ",""),8),4),--MID(LEFT(SUBSTITUTE(SUBSTITUTE(SUBSTITUTE(SUBSTITUTE(TRIM($W255),"-",""),".",""),"/","")," ",""),8),5,2),--MID(LEFT(SUBSTITUTE(SUBSTITUTE(SUBSTITUTE(SUBSTITUTE(TRIM($W255),"-",""),".",""),"/","")," ",""),8),7,2)),"")))</f>
        <v/>
      </c>
      <c r="Y255" s="32">
        <f>IF($X255="","",INT($X255))</f>
        <v/>
      </c>
      <c r="Z255" s="33">
        <f>IF(OR($Y255="",$D$6=""),"",IF(INDEX($A:$U,ROW(),$D$6)="",0,IF(ISNUMBER(INDEX($A:$U,ROW(),$D$6)),INDEX($A:$U,ROW(),$D$6),IFERROR(--SUBSTITUTE(SUBSTITUTE(TRIM(INDEX($A:$U,ROW(),$D$6)),",",""),"원",""),0))))</f>
        <v/>
      </c>
      <c r="AA255" s="31">
        <f>IF($Y255="","",TRIM(INDEX($A:$U,ROW(),$E$6)&amp;IF($F$6="",""," "&amp;INDEX($A:$U,ROW(),$F$6))))</f>
        <v/>
      </c>
      <c r="AB255" s="31">
        <f>IF($AA255="","",SUBSTITUTE(SUBSTITUTE(SUBSTITUTE(SUBSTITUTE(SUBSTITUTE(SUBSTITUTE(SUBSTITUTE(SUBSTITUTE(SUBSTITUTE($AA255," ",""),"　",""),"(주)",""),"（주）",""),"㈜",""),"주식회사",""),"(유)",""),"（유）",""),"유한회사",""))</f>
        <v/>
      </c>
      <c r="AC255" s="31">
        <f>IF(OR($Y255="",N($Z255)&lt;=0,$AB255=""),0,IFERROR(LOOKUP(2,1/((거래처별!$AC$8:$AC$307&lt;&gt;"")*ISNUMBER(SEARCH(거래처별!$AC$8:$AC$307,$AB255))),거래처별!$A$8:$A$307),IFERROR(LOOKUP(2,1/((거래처별!$AD$8:$AD$307&lt;&gt;"")*ISNUMBER(SEARCH(거래처별!$AD$8:$AD$307,$AB255))),거래처별!$A$8:$A$307),IFERROR(LOOKUP(2,1/((거래처별!$AE$8:$AE$307&lt;&gt;"")*ISNUMBER(SEARCH(거래처별!$AE$8:$AE$307,$AB255))),거래처별!$A$8:$A$307),0))))</f>
        <v/>
      </c>
      <c r="AD255" s="31">
        <f>IF(AND($Y255&lt;&gt;"",N($Z255)&gt;0,$AC255=0),MAX($AD$7:$AD254)+1,"")</f>
        <v/>
      </c>
      <c r="AE255" s="31">
        <f>IF($Y255="",0,$Y255)</f>
        <v/>
      </c>
    </row>
    <row r="256">
      <c r="W256" s="31">
        <f>IF(OR($B$5="",$C$6="",ROW()&lt;$B$5),"",IF(INDEX($A:$U,ROW(),$C$6)="","",INDEX($A:$U,ROW(),$C$6)))</f>
        <v/>
      </c>
      <c r="X256" s="32">
        <f>IF($W256="","",IF(ISNUMBER($W256),IF($W256&gt;=10000000,IFERROR(DATE(INT($W256/10000),MOD(INT($W256/100),100),MOD($W256,100)),""),INT($W256)),IFERROR(DATE(--LEFT(LEFT(SUBSTITUTE(SUBSTITUTE(SUBSTITUTE(SUBSTITUTE(TRIM($W256),"-",""),".",""),"/","")," ",""),8),4),--MID(LEFT(SUBSTITUTE(SUBSTITUTE(SUBSTITUTE(SUBSTITUTE(TRIM($W256),"-",""),".",""),"/","")," ",""),8),5,2),--MID(LEFT(SUBSTITUTE(SUBSTITUTE(SUBSTITUTE(SUBSTITUTE(TRIM($W256),"-",""),".",""),"/","")," ",""),8),7,2)),"")))</f>
        <v/>
      </c>
      <c r="Y256" s="32">
        <f>IF($X256="","",INT($X256))</f>
        <v/>
      </c>
      <c r="Z256" s="33">
        <f>IF(OR($Y256="",$D$6=""),"",IF(INDEX($A:$U,ROW(),$D$6)="",0,IF(ISNUMBER(INDEX($A:$U,ROW(),$D$6)),INDEX($A:$U,ROW(),$D$6),IFERROR(--SUBSTITUTE(SUBSTITUTE(TRIM(INDEX($A:$U,ROW(),$D$6)),",",""),"원",""),0))))</f>
        <v/>
      </c>
      <c r="AA256" s="31">
        <f>IF($Y256="","",TRIM(INDEX($A:$U,ROW(),$E$6)&amp;IF($F$6="",""," "&amp;INDEX($A:$U,ROW(),$F$6))))</f>
        <v/>
      </c>
      <c r="AB256" s="31">
        <f>IF($AA256="","",SUBSTITUTE(SUBSTITUTE(SUBSTITUTE(SUBSTITUTE(SUBSTITUTE(SUBSTITUTE(SUBSTITUTE(SUBSTITUTE(SUBSTITUTE($AA256," ",""),"　",""),"(주)",""),"（주）",""),"㈜",""),"주식회사",""),"(유)",""),"（유）",""),"유한회사",""))</f>
        <v/>
      </c>
      <c r="AC256" s="31">
        <f>IF(OR($Y256="",N($Z256)&lt;=0,$AB256=""),0,IFERROR(LOOKUP(2,1/((거래처별!$AC$8:$AC$307&lt;&gt;"")*ISNUMBER(SEARCH(거래처별!$AC$8:$AC$307,$AB256))),거래처별!$A$8:$A$307),IFERROR(LOOKUP(2,1/((거래처별!$AD$8:$AD$307&lt;&gt;"")*ISNUMBER(SEARCH(거래처별!$AD$8:$AD$307,$AB256))),거래처별!$A$8:$A$307),IFERROR(LOOKUP(2,1/((거래처별!$AE$8:$AE$307&lt;&gt;"")*ISNUMBER(SEARCH(거래처별!$AE$8:$AE$307,$AB256))),거래처별!$A$8:$A$307),0))))</f>
        <v/>
      </c>
      <c r="AD256" s="31">
        <f>IF(AND($Y256&lt;&gt;"",N($Z256)&gt;0,$AC256=0),MAX($AD$7:$AD255)+1,"")</f>
        <v/>
      </c>
      <c r="AE256" s="31">
        <f>IF($Y256="",0,$Y256)</f>
        <v/>
      </c>
    </row>
    <row r="257">
      <c r="W257" s="31">
        <f>IF(OR($B$5="",$C$6="",ROW()&lt;$B$5),"",IF(INDEX($A:$U,ROW(),$C$6)="","",INDEX($A:$U,ROW(),$C$6)))</f>
        <v/>
      </c>
      <c r="X257" s="32">
        <f>IF($W257="","",IF(ISNUMBER($W257),IF($W257&gt;=10000000,IFERROR(DATE(INT($W257/10000),MOD(INT($W257/100),100),MOD($W257,100)),""),INT($W257)),IFERROR(DATE(--LEFT(LEFT(SUBSTITUTE(SUBSTITUTE(SUBSTITUTE(SUBSTITUTE(TRIM($W257),"-",""),".",""),"/","")," ",""),8),4),--MID(LEFT(SUBSTITUTE(SUBSTITUTE(SUBSTITUTE(SUBSTITUTE(TRIM($W257),"-",""),".",""),"/","")," ",""),8),5,2),--MID(LEFT(SUBSTITUTE(SUBSTITUTE(SUBSTITUTE(SUBSTITUTE(TRIM($W257),"-",""),".",""),"/","")," ",""),8),7,2)),"")))</f>
        <v/>
      </c>
      <c r="Y257" s="32">
        <f>IF($X257="","",INT($X257))</f>
        <v/>
      </c>
      <c r="Z257" s="33">
        <f>IF(OR($Y257="",$D$6=""),"",IF(INDEX($A:$U,ROW(),$D$6)="",0,IF(ISNUMBER(INDEX($A:$U,ROW(),$D$6)),INDEX($A:$U,ROW(),$D$6),IFERROR(--SUBSTITUTE(SUBSTITUTE(TRIM(INDEX($A:$U,ROW(),$D$6)),",",""),"원",""),0))))</f>
        <v/>
      </c>
      <c r="AA257" s="31">
        <f>IF($Y257="","",TRIM(INDEX($A:$U,ROW(),$E$6)&amp;IF($F$6="",""," "&amp;INDEX($A:$U,ROW(),$F$6))))</f>
        <v/>
      </c>
      <c r="AB257" s="31">
        <f>IF($AA257="","",SUBSTITUTE(SUBSTITUTE(SUBSTITUTE(SUBSTITUTE(SUBSTITUTE(SUBSTITUTE(SUBSTITUTE(SUBSTITUTE(SUBSTITUTE($AA257," ",""),"　",""),"(주)",""),"（주）",""),"㈜",""),"주식회사",""),"(유)",""),"（유）",""),"유한회사",""))</f>
        <v/>
      </c>
      <c r="AC257" s="31">
        <f>IF(OR($Y257="",N($Z257)&lt;=0,$AB257=""),0,IFERROR(LOOKUP(2,1/((거래처별!$AC$8:$AC$307&lt;&gt;"")*ISNUMBER(SEARCH(거래처별!$AC$8:$AC$307,$AB257))),거래처별!$A$8:$A$307),IFERROR(LOOKUP(2,1/((거래처별!$AD$8:$AD$307&lt;&gt;"")*ISNUMBER(SEARCH(거래처별!$AD$8:$AD$307,$AB257))),거래처별!$A$8:$A$307),IFERROR(LOOKUP(2,1/((거래처별!$AE$8:$AE$307&lt;&gt;"")*ISNUMBER(SEARCH(거래처별!$AE$8:$AE$307,$AB257))),거래처별!$A$8:$A$307),0))))</f>
        <v/>
      </c>
      <c r="AD257" s="31">
        <f>IF(AND($Y257&lt;&gt;"",N($Z257)&gt;0,$AC257=0),MAX($AD$7:$AD256)+1,"")</f>
        <v/>
      </c>
      <c r="AE257" s="31">
        <f>IF($Y257="",0,$Y257)</f>
        <v/>
      </c>
    </row>
    <row r="258">
      <c r="W258" s="31">
        <f>IF(OR($B$5="",$C$6="",ROW()&lt;$B$5),"",IF(INDEX($A:$U,ROW(),$C$6)="","",INDEX($A:$U,ROW(),$C$6)))</f>
        <v/>
      </c>
      <c r="X258" s="32">
        <f>IF($W258="","",IF(ISNUMBER($W258),IF($W258&gt;=10000000,IFERROR(DATE(INT($W258/10000),MOD(INT($W258/100),100),MOD($W258,100)),""),INT($W258)),IFERROR(DATE(--LEFT(LEFT(SUBSTITUTE(SUBSTITUTE(SUBSTITUTE(SUBSTITUTE(TRIM($W258),"-",""),".",""),"/","")," ",""),8),4),--MID(LEFT(SUBSTITUTE(SUBSTITUTE(SUBSTITUTE(SUBSTITUTE(TRIM($W258),"-",""),".",""),"/","")," ",""),8),5,2),--MID(LEFT(SUBSTITUTE(SUBSTITUTE(SUBSTITUTE(SUBSTITUTE(TRIM($W258),"-",""),".",""),"/","")," ",""),8),7,2)),"")))</f>
        <v/>
      </c>
      <c r="Y258" s="32">
        <f>IF($X258="","",INT($X258))</f>
        <v/>
      </c>
      <c r="Z258" s="33">
        <f>IF(OR($Y258="",$D$6=""),"",IF(INDEX($A:$U,ROW(),$D$6)="",0,IF(ISNUMBER(INDEX($A:$U,ROW(),$D$6)),INDEX($A:$U,ROW(),$D$6),IFERROR(--SUBSTITUTE(SUBSTITUTE(TRIM(INDEX($A:$U,ROW(),$D$6)),",",""),"원",""),0))))</f>
        <v/>
      </c>
      <c r="AA258" s="31">
        <f>IF($Y258="","",TRIM(INDEX($A:$U,ROW(),$E$6)&amp;IF($F$6="",""," "&amp;INDEX($A:$U,ROW(),$F$6))))</f>
        <v/>
      </c>
      <c r="AB258" s="31">
        <f>IF($AA258="","",SUBSTITUTE(SUBSTITUTE(SUBSTITUTE(SUBSTITUTE(SUBSTITUTE(SUBSTITUTE(SUBSTITUTE(SUBSTITUTE(SUBSTITUTE($AA258," ",""),"　",""),"(주)",""),"（주）",""),"㈜",""),"주식회사",""),"(유)",""),"（유）",""),"유한회사",""))</f>
        <v/>
      </c>
      <c r="AC258" s="31">
        <f>IF(OR($Y258="",N($Z258)&lt;=0,$AB258=""),0,IFERROR(LOOKUP(2,1/((거래처별!$AC$8:$AC$307&lt;&gt;"")*ISNUMBER(SEARCH(거래처별!$AC$8:$AC$307,$AB258))),거래처별!$A$8:$A$307),IFERROR(LOOKUP(2,1/((거래처별!$AD$8:$AD$307&lt;&gt;"")*ISNUMBER(SEARCH(거래처별!$AD$8:$AD$307,$AB258))),거래처별!$A$8:$A$307),IFERROR(LOOKUP(2,1/((거래처별!$AE$8:$AE$307&lt;&gt;"")*ISNUMBER(SEARCH(거래처별!$AE$8:$AE$307,$AB258))),거래처별!$A$8:$A$307),0))))</f>
        <v/>
      </c>
      <c r="AD258" s="31">
        <f>IF(AND($Y258&lt;&gt;"",N($Z258)&gt;0,$AC258=0),MAX($AD$7:$AD257)+1,"")</f>
        <v/>
      </c>
      <c r="AE258" s="31">
        <f>IF($Y258="",0,$Y258)</f>
        <v/>
      </c>
    </row>
    <row r="259">
      <c r="W259" s="31">
        <f>IF(OR($B$5="",$C$6="",ROW()&lt;$B$5),"",IF(INDEX($A:$U,ROW(),$C$6)="","",INDEX($A:$U,ROW(),$C$6)))</f>
        <v/>
      </c>
      <c r="X259" s="32">
        <f>IF($W259="","",IF(ISNUMBER($W259),IF($W259&gt;=10000000,IFERROR(DATE(INT($W259/10000),MOD(INT($W259/100),100),MOD($W259,100)),""),INT($W259)),IFERROR(DATE(--LEFT(LEFT(SUBSTITUTE(SUBSTITUTE(SUBSTITUTE(SUBSTITUTE(TRIM($W259),"-",""),".",""),"/","")," ",""),8),4),--MID(LEFT(SUBSTITUTE(SUBSTITUTE(SUBSTITUTE(SUBSTITUTE(TRIM($W259),"-",""),".",""),"/","")," ",""),8),5,2),--MID(LEFT(SUBSTITUTE(SUBSTITUTE(SUBSTITUTE(SUBSTITUTE(TRIM($W259),"-",""),".",""),"/","")," ",""),8),7,2)),"")))</f>
        <v/>
      </c>
      <c r="Y259" s="32">
        <f>IF($X259="","",INT($X259))</f>
        <v/>
      </c>
      <c r="Z259" s="33">
        <f>IF(OR($Y259="",$D$6=""),"",IF(INDEX($A:$U,ROW(),$D$6)="",0,IF(ISNUMBER(INDEX($A:$U,ROW(),$D$6)),INDEX($A:$U,ROW(),$D$6),IFERROR(--SUBSTITUTE(SUBSTITUTE(TRIM(INDEX($A:$U,ROW(),$D$6)),",",""),"원",""),0))))</f>
        <v/>
      </c>
      <c r="AA259" s="31">
        <f>IF($Y259="","",TRIM(INDEX($A:$U,ROW(),$E$6)&amp;IF($F$6="",""," "&amp;INDEX($A:$U,ROW(),$F$6))))</f>
        <v/>
      </c>
      <c r="AB259" s="31">
        <f>IF($AA259="","",SUBSTITUTE(SUBSTITUTE(SUBSTITUTE(SUBSTITUTE(SUBSTITUTE(SUBSTITUTE(SUBSTITUTE(SUBSTITUTE(SUBSTITUTE($AA259," ",""),"　",""),"(주)",""),"（주）",""),"㈜",""),"주식회사",""),"(유)",""),"（유）",""),"유한회사",""))</f>
        <v/>
      </c>
      <c r="AC259" s="31">
        <f>IF(OR($Y259="",N($Z259)&lt;=0,$AB259=""),0,IFERROR(LOOKUP(2,1/((거래처별!$AC$8:$AC$307&lt;&gt;"")*ISNUMBER(SEARCH(거래처별!$AC$8:$AC$307,$AB259))),거래처별!$A$8:$A$307),IFERROR(LOOKUP(2,1/((거래처별!$AD$8:$AD$307&lt;&gt;"")*ISNUMBER(SEARCH(거래처별!$AD$8:$AD$307,$AB259))),거래처별!$A$8:$A$307),IFERROR(LOOKUP(2,1/((거래처별!$AE$8:$AE$307&lt;&gt;"")*ISNUMBER(SEARCH(거래처별!$AE$8:$AE$307,$AB259))),거래처별!$A$8:$A$307),0))))</f>
        <v/>
      </c>
      <c r="AD259" s="31">
        <f>IF(AND($Y259&lt;&gt;"",N($Z259)&gt;0,$AC259=0),MAX($AD$7:$AD258)+1,"")</f>
        <v/>
      </c>
      <c r="AE259" s="31">
        <f>IF($Y259="",0,$Y259)</f>
        <v/>
      </c>
    </row>
    <row r="260">
      <c r="W260" s="31">
        <f>IF(OR($B$5="",$C$6="",ROW()&lt;$B$5),"",IF(INDEX($A:$U,ROW(),$C$6)="","",INDEX($A:$U,ROW(),$C$6)))</f>
        <v/>
      </c>
      <c r="X260" s="32">
        <f>IF($W260="","",IF(ISNUMBER($W260),IF($W260&gt;=10000000,IFERROR(DATE(INT($W260/10000),MOD(INT($W260/100),100),MOD($W260,100)),""),INT($W260)),IFERROR(DATE(--LEFT(LEFT(SUBSTITUTE(SUBSTITUTE(SUBSTITUTE(SUBSTITUTE(TRIM($W260),"-",""),".",""),"/","")," ",""),8),4),--MID(LEFT(SUBSTITUTE(SUBSTITUTE(SUBSTITUTE(SUBSTITUTE(TRIM($W260),"-",""),".",""),"/","")," ",""),8),5,2),--MID(LEFT(SUBSTITUTE(SUBSTITUTE(SUBSTITUTE(SUBSTITUTE(TRIM($W260),"-",""),".",""),"/","")," ",""),8),7,2)),"")))</f>
        <v/>
      </c>
      <c r="Y260" s="32">
        <f>IF($X260="","",INT($X260))</f>
        <v/>
      </c>
      <c r="Z260" s="33">
        <f>IF(OR($Y260="",$D$6=""),"",IF(INDEX($A:$U,ROW(),$D$6)="",0,IF(ISNUMBER(INDEX($A:$U,ROW(),$D$6)),INDEX($A:$U,ROW(),$D$6),IFERROR(--SUBSTITUTE(SUBSTITUTE(TRIM(INDEX($A:$U,ROW(),$D$6)),",",""),"원",""),0))))</f>
        <v/>
      </c>
      <c r="AA260" s="31">
        <f>IF($Y260="","",TRIM(INDEX($A:$U,ROW(),$E$6)&amp;IF($F$6="",""," "&amp;INDEX($A:$U,ROW(),$F$6))))</f>
        <v/>
      </c>
      <c r="AB260" s="31">
        <f>IF($AA260="","",SUBSTITUTE(SUBSTITUTE(SUBSTITUTE(SUBSTITUTE(SUBSTITUTE(SUBSTITUTE(SUBSTITUTE(SUBSTITUTE(SUBSTITUTE($AA260," ",""),"　",""),"(주)",""),"（주）",""),"㈜",""),"주식회사",""),"(유)",""),"（유）",""),"유한회사",""))</f>
        <v/>
      </c>
      <c r="AC260" s="31">
        <f>IF(OR($Y260="",N($Z260)&lt;=0,$AB260=""),0,IFERROR(LOOKUP(2,1/((거래처별!$AC$8:$AC$307&lt;&gt;"")*ISNUMBER(SEARCH(거래처별!$AC$8:$AC$307,$AB260))),거래처별!$A$8:$A$307),IFERROR(LOOKUP(2,1/((거래처별!$AD$8:$AD$307&lt;&gt;"")*ISNUMBER(SEARCH(거래처별!$AD$8:$AD$307,$AB260))),거래처별!$A$8:$A$307),IFERROR(LOOKUP(2,1/((거래처별!$AE$8:$AE$307&lt;&gt;"")*ISNUMBER(SEARCH(거래처별!$AE$8:$AE$307,$AB260))),거래처별!$A$8:$A$307),0))))</f>
        <v/>
      </c>
      <c r="AD260" s="31">
        <f>IF(AND($Y260&lt;&gt;"",N($Z260)&gt;0,$AC260=0),MAX($AD$7:$AD259)+1,"")</f>
        <v/>
      </c>
      <c r="AE260" s="31">
        <f>IF($Y260="",0,$Y260)</f>
        <v/>
      </c>
    </row>
    <row r="261">
      <c r="W261" s="31">
        <f>IF(OR($B$5="",$C$6="",ROW()&lt;$B$5),"",IF(INDEX($A:$U,ROW(),$C$6)="","",INDEX($A:$U,ROW(),$C$6)))</f>
        <v/>
      </c>
      <c r="X261" s="32">
        <f>IF($W261="","",IF(ISNUMBER($W261),IF($W261&gt;=10000000,IFERROR(DATE(INT($W261/10000),MOD(INT($W261/100),100),MOD($W261,100)),""),INT($W261)),IFERROR(DATE(--LEFT(LEFT(SUBSTITUTE(SUBSTITUTE(SUBSTITUTE(SUBSTITUTE(TRIM($W261),"-",""),".",""),"/","")," ",""),8),4),--MID(LEFT(SUBSTITUTE(SUBSTITUTE(SUBSTITUTE(SUBSTITUTE(TRIM($W261),"-",""),".",""),"/","")," ",""),8),5,2),--MID(LEFT(SUBSTITUTE(SUBSTITUTE(SUBSTITUTE(SUBSTITUTE(TRIM($W261),"-",""),".",""),"/","")," ",""),8),7,2)),"")))</f>
        <v/>
      </c>
      <c r="Y261" s="32">
        <f>IF($X261="","",INT($X261))</f>
        <v/>
      </c>
      <c r="Z261" s="33">
        <f>IF(OR($Y261="",$D$6=""),"",IF(INDEX($A:$U,ROW(),$D$6)="",0,IF(ISNUMBER(INDEX($A:$U,ROW(),$D$6)),INDEX($A:$U,ROW(),$D$6),IFERROR(--SUBSTITUTE(SUBSTITUTE(TRIM(INDEX($A:$U,ROW(),$D$6)),",",""),"원",""),0))))</f>
        <v/>
      </c>
      <c r="AA261" s="31">
        <f>IF($Y261="","",TRIM(INDEX($A:$U,ROW(),$E$6)&amp;IF($F$6="",""," "&amp;INDEX($A:$U,ROW(),$F$6))))</f>
        <v/>
      </c>
      <c r="AB261" s="31">
        <f>IF($AA261="","",SUBSTITUTE(SUBSTITUTE(SUBSTITUTE(SUBSTITUTE(SUBSTITUTE(SUBSTITUTE(SUBSTITUTE(SUBSTITUTE(SUBSTITUTE($AA261," ",""),"　",""),"(주)",""),"（주）",""),"㈜",""),"주식회사",""),"(유)",""),"（유）",""),"유한회사",""))</f>
        <v/>
      </c>
      <c r="AC261" s="31">
        <f>IF(OR($Y261="",N($Z261)&lt;=0,$AB261=""),0,IFERROR(LOOKUP(2,1/((거래처별!$AC$8:$AC$307&lt;&gt;"")*ISNUMBER(SEARCH(거래처별!$AC$8:$AC$307,$AB261))),거래처별!$A$8:$A$307),IFERROR(LOOKUP(2,1/((거래처별!$AD$8:$AD$307&lt;&gt;"")*ISNUMBER(SEARCH(거래처별!$AD$8:$AD$307,$AB261))),거래처별!$A$8:$A$307),IFERROR(LOOKUP(2,1/((거래처별!$AE$8:$AE$307&lt;&gt;"")*ISNUMBER(SEARCH(거래처별!$AE$8:$AE$307,$AB261))),거래처별!$A$8:$A$307),0))))</f>
        <v/>
      </c>
      <c r="AD261" s="31">
        <f>IF(AND($Y261&lt;&gt;"",N($Z261)&gt;0,$AC261=0),MAX($AD$7:$AD260)+1,"")</f>
        <v/>
      </c>
      <c r="AE261" s="31">
        <f>IF($Y261="",0,$Y261)</f>
        <v/>
      </c>
    </row>
    <row r="262">
      <c r="W262" s="31">
        <f>IF(OR($B$5="",$C$6="",ROW()&lt;$B$5),"",IF(INDEX($A:$U,ROW(),$C$6)="","",INDEX($A:$U,ROW(),$C$6)))</f>
        <v/>
      </c>
      <c r="X262" s="32">
        <f>IF($W262="","",IF(ISNUMBER($W262),IF($W262&gt;=10000000,IFERROR(DATE(INT($W262/10000),MOD(INT($W262/100),100),MOD($W262,100)),""),INT($W262)),IFERROR(DATE(--LEFT(LEFT(SUBSTITUTE(SUBSTITUTE(SUBSTITUTE(SUBSTITUTE(TRIM($W262),"-",""),".",""),"/","")," ",""),8),4),--MID(LEFT(SUBSTITUTE(SUBSTITUTE(SUBSTITUTE(SUBSTITUTE(TRIM($W262),"-",""),".",""),"/","")," ",""),8),5,2),--MID(LEFT(SUBSTITUTE(SUBSTITUTE(SUBSTITUTE(SUBSTITUTE(TRIM($W262),"-",""),".",""),"/","")," ",""),8),7,2)),"")))</f>
        <v/>
      </c>
      <c r="Y262" s="32">
        <f>IF($X262="","",INT($X262))</f>
        <v/>
      </c>
      <c r="Z262" s="33">
        <f>IF(OR($Y262="",$D$6=""),"",IF(INDEX($A:$U,ROW(),$D$6)="",0,IF(ISNUMBER(INDEX($A:$U,ROW(),$D$6)),INDEX($A:$U,ROW(),$D$6),IFERROR(--SUBSTITUTE(SUBSTITUTE(TRIM(INDEX($A:$U,ROW(),$D$6)),",",""),"원",""),0))))</f>
        <v/>
      </c>
      <c r="AA262" s="31">
        <f>IF($Y262="","",TRIM(INDEX($A:$U,ROW(),$E$6)&amp;IF($F$6="",""," "&amp;INDEX($A:$U,ROW(),$F$6))))</f>
        <v/>
      </c>
      <c r="AB262" s="31">
        <f>IF($AA262="","",SUBSTITUTE(SUBSTITUTE(SUBSTITUTE(SUBSTITUTE(SUBSTITUTE(SUBSTITUTE(SUBSTITUTE(SUBSTITUTE(SUBSTITUTE($AA262," ",""),"　",""),"(주)",""),"（주）",""),"㈜",""),"주식회사",""),"(유)",""),"（유）",""),"유한회사",""))</f>
        <v/>
      </c>
      <c r="AC262" s="31">
        <f>IF(OR($Y262="",N($Z262)&lt;=0,$AB262=""),0,IFERROR(LOOKUP(2,1/((거래처별!$AC$8:$AC$307&lt;&gt;"")*ISNUMBER(SEARCH(거래처별!$AC$8:$AC$307,$AB262))),거래처별!$A$8:$A$307),IFERROR(LOOKUP(2,1/((거래처별!$AD$8:$AD$307&lt;&gt;"")*ISNUMBER(SEARCH(거래처별!$AD$8:$AD$307,$AB262))),거래처별!$A$8:$A$307),IFERROR(LOOKUP(2,1/((거래처별!$AE$8:$AE$307&lt;&gt;"")*ISNUMBER(SEARCH(거래처별!$AE$8:$AE$307,$AB262))),거래처별!$A$8:$A$307),0))))</f>
        <v/>
      </c>
      <c r="AD262" s="31">
        <f>IF(AND($Y262&lt;&gt;"",N($Z262)&gt;0,$AC262=0),MAX($AD$7:$AD261)+1,"")</f>
        <v/>
      </c>
      <c r="AE262" s="31">
        <f>IF($Y262="",0,$Y262)</f>
        <v/>
      </c>
    </row>
    <row r="263">
      <c r="W263" s="31">
        <f>IF(OR($B$5="",$C$6="",ROW()&lt;$B$5),"",IF(INDEX($A:$U,ROW(),$C$6)="","",INDEX($A:$U,ROW(),$C$6)))</f>
        <v/>
      </c>
      <c r="X263" s="32">
        <f>IF($W263="","",IF(ISNUMBER($W263),IF($W263&gt;=10000000,IFERROR(DATE(INT($W263/10000),MOD(INT($W263/100),100),MOD($W263,100)),""),INT($W263)),IFERROR(DATE(--LEFT(LEFT(SUBSTITUTE(SUBSTITUTE(SUBSTITUTE(SUBSTITUTE(TRIM($W263),"-",""),".",""),"/","")," ",""),8),4),--MID(LEFT(SUBSTITUTE(SUBSTITUTE(SUBSTITUTE(SUBSTITUTE(TRIM($W263),"-",""),".",""),"/","")," ",""),8),5,2),--MID(LEFT(SUBSTITUTE(SUBSTITUTE(SUBSTITUTE(SUBSTITUTE(TRIM($W263),"-",""),".",""),"/","")," ",""),8),7,2)),"")))</f>
        <v/>
      </c>
      <c r="Y263" s="32">
        <f>IF($X263="","",INT($X263))</f>
        <v/>
      </c>
      <c r="Z263" s="33">
        <f>IF(OR($Y263="",$D$6=""),"",IF(INDEX($A:$U,ROW(),$D$6)="",0,IF(ISNUMBER(INDEX($A:$U,ROW(),$D$6)),INDEX($A:$U,ROW(),$D$6),IFERROR(--SUBSTITUTE(SUBSTITUTE(TRIM(INDEX($A:$U,ROW(),$D$6)),",",""),"원",""),0))))</f>
        <v/>
      </c>
      <c r="AA263" s="31">
        <f>IF($Y263="","",TRIM(INDEX($A:$U,ROW(),$E$6)&amp;IF($F$6="",""," "&amp;INDEX($A:$U,ROW(),$F$6))))</f>
        <v/>
      </c>
      <c r="AB263" s="31">
        <f>IF($AA263="","",SUBSTITUTE(SUBSTITUTE(SUBSTITUTE(SUBSTITUTE(SUBSTITUTE(SUBSTITUTE(SUBSTITUTE(SUBSTITUTE(SUBSTITUTE($AA263," ",""),"　",""),"(주)",""),"（주）",""),"㈜",""),"주식회사",""),"(유)",""),"（유）",""),"유한회사",""))</f>
        <v/>
      </c>
      <c r="AC263" s="31">
        <f>IF(OR($Y263="",N($Z263)&lt;=0,$AB263=""),0,IFERROR(LOOKUP(2,1/((거래처별!$AC$8:$AC$307&lt;&gt;"")*ISNUMBER(SEARCH(거래처별!$AC$8:$AC$307,$AB263))),거래처별!$A$8:$A$307),IFERROR(LOOKUP(2,1/((거래처별!$AD$8:$AD$307&lt;&gt;"")*ISNUMBER(SEARCH(거래처별!$AD$8:$AD$307,$AB263))),거래처별!$A$8:$A$307),IFERROR(LOOKUP(2,1/((거래처별!$AE$8:$AE$307&lt;&gt;"")*ISNUMBER(SEARCH(거래처별!$AE$8:$AE$307,$AB263))),거래처별!$A$8:$A$307),0))))</f>
        <v/>
      </c>
      <c r="AD263" s="31">
        <f>IF(AND($Y263&lt;&gt;"",N($Z263)&gt;0,$AC263=0),MAX($AD$7:$AD262)+1,"")</f>
        <v/>
      </c>
      <c r="AE263" s="31">
        <f>IF($Y263="",0,$Y263)</f>
        <v/>
      </c>
    </row>
    <row r="264">
      <c r="W264" s="31">
        <f>IF(OR($B$5="",$C$6="",ROW()&lt;$B$5),"",IF(INDEX($A:$U,ROW(),$C$6)="","",INDEX($A:$U,ROW(),$C$6)))</f>
        <v/>
      </c>
      <c r="X264" s="32">
        <f>IF($W264="","",IF(ISNUMBER($W264),IF($W264&gt;=10000000,IFERROR(DATE(INT($W264/10000),MOD(INT($W264/100),100),MOD($W264,100)),""),INT($W264)),IFERROR(DATE(--LEFT(LEFT(SUBSTITUTE(SUBSTITUTE(SUBSTITUTE(SUBSTITUTE(TRIM($W264),"-",""),".",""),"/","")," ",""),8),4),--MID(LEFT(SUBSTITUTE(SUBSTITUTE(SUBSTITUTE(SUBSTITUTE(TRIM($W264),"-",""),".",""),"/","")," ",""),8),5,2),--MID(LEFT(SUBSTITUTE(SUBSTITUTE(SUBSTITUTE(SUBSTITUTE(TRIM($W264),"-",""),".",""),"/","")," ",""),8),7,2)),"")))</f>
        <v/>
      </c>
      <c r="Y264" s="32">
        <f>IF($X264="","",INT($X264))</f>
        <v/>
      </c>
      <c r="Z264" s="33">
        <f>IF(OR($Y264="",$D$6=""),"",IF(INDEX($A:$U,ROW(),$D$6)="",0,IF(ISNUMBER(INDEX($A:$U,ROW(),$D$6)),INDEX($A:$U,ROW(),$D$6),IFERROR(--SUBSTITUTE(SUBSTITUTE(TRIM(INDEX($A:$U,ROW(),$D$6)),",",""),"원",""),0))))</f>
        <v/>
      </c>
      <c r="AA264" s="31">
        <f>IF($Y264="","",TRIM(INDEX($A:$U,ROW(),$E$6)&amp;IF($F$6="",""," "&amp;INDEX($A:$U,ROW(),$F$6))))</f>
        <v/>
      </c>
      <c r="AB264" s="31">
        <f>IF($AA264="","",SUBSTITUTE(SUBSTITUTE(SUBSTITUTE(SUBSTITUTE(SUBSTITUTE(SUBSTITUTE(SUBSTITUTE(SUBSTITUTE(SUBSTITUTE($AA264," ",""),"　",""),"(주)",""),"（주）",""),"㈜",""),"주식회사",""),"(유)",""),"（유）",""),"유한회사",""))</f>
        <v/>
      </c>
      <c r="AC264" s="31">
        <f>IF(OR($Y264="",N($Z264)&lt;=0,$AB264=""),0,IFERROR(LOOKUP(2,1/((거래처별!$AC$8:$AC$307&lt;&gt;"")*ISNUMBER(SEARCH(거래처별!$AC$8:$AC$307,$AB264))),거래처별!$A$8:$A$307),IFERROR(LOOKUP(2,1/((거래처별!$AD$8:$AD$307&lt;&gt;"")*ISNUMBER(SEARCH(거래처별!$AD$8:$AD$307,$AB264))),거래처별!$A$8:$A$307),IFERROR(LOOKUP(2,1/((거래처별!$AE$8:$AE$307&lt;&gt;"")*ISNUMBER(SEARCH(거래처별!$AE$8:$AE$307,$AB264))),거래처별!$A$8:$A$307),0))))</f>
        <v/>
      </c>
      <c r="AD264" s="31">
        <f>IF(AND($Y264&lt;&gt;"",N($Z264)&gt;0,$AC264=0),MAX($AD$7:$AD263)+1,"")</f>
        <v/>
      </c>
      <c r="AE264" s="31">
        <f>IF($Y264="",0,$Y264)</f>
        <v/>
      </c>
    </row>
    <row r="265">
      <c r="W265" s="31">
        <f>IF(OR($B$5="",$C$6="",ROW()&lt;$B$5),"",IF(INDEX($A:$U,ROW(),$C$6)="","",INDEX($A:$U,ROW(),$C$6)))</f>
        <v/>
      </c>
      <c r="X265" s="32">
        <f>IF($W265="","",IF(ISNUMBER($W265),IF($W265&gt;=10000000,IFERROR(DATE(INT($W265/10000),MOD(INT($W265/100),100),MOD($W265,100)),""),INT($W265)),IFERROR(DATE(--LEFT(LEFT(SUBSTITUTE(SUBSTITUTE(SUBSTITUTE(SUBSTITUTE(TRIM($W265),"-",""),".",""),"/","")," ",""),8),4),--MID(LEFT(SUBSTITUTE(SUBSTITUTE(SUBSTITUTE(SUBSTITUTE(TRIM($W265),"-",""),".",""),"/","")," ",""),8),5,2),--MID(LEFT(SUBSTITUTE(SUBSTITUTE(SUBSTITUTE(SUBSTITUTE(TRIM($W265),"-",""),".",""),"/","")," ",""),8),7,2)),"")))</f>
        <v/>
      </c>
      <c r="Y265" s="32">
        <f>IF($X265="","",INT($X265))</f>
        <v/>
      </c>
      <c r="Z265" s="33">
        <f>IF(OR($Y265="",$D$6=""),"",IF(INDEX($A:$U,ROW(),$D$6)="",0,IF(ISNUMBER(INDEX($A:$U,ROW(),$D$6)),INDEX($A:$U,ROW(),$D$6),IFERROR(--SUBSTITUTE(SUBSTITUTE(TRIM(INDEX($A:$U,ROW(),$D$6)),",",""),"원",""),0))))</f>
        <v/>
      </c>
      <c r="AA265" s="31">
        <f>IF($Y265="","",TRIM(INDEX($A:$U,ROW(),$E$6)&amp;IF($F$6="",""," "&amp;INDEX($A:$U,ROW(),$F$6))))</f>
        <v/>
      </c>
      <c r="AB265" s="31">
        <f>IF($AA265="","",SUBSTITUTE(SUBSTITUTE(SUBSTITUTE(SUBSTITUTE(SUBSTITUTE(SUBSTITUTE(SUBSTITUTE(SUBSTITUTE(SUBSTITUTE($AA265," ",""),"　",""),"(주)",""),"（주）",""),"㈜",""),"주식회사",""),"(유)",""),"（유）",""),"유한회사",""))</f>
        <v/>
      </c>
      <c r="AC265" s="31">
        <f>IF(OR($Y265="",N($Z265)&lt;=0,$AB265=""),0,IFERROR(LOOKUP(2,1/((거래처별!$AC$8:$AC$307&lt;&gt;"")*ISNUMBER(SEARCH(거래처별!$AC$8:$AC$307,$AB265))),거래처별!$A$8:$A$307),IFERROR(LOOKUP(2,1/((거래처별!$AD$8:$AD$307&lt;&gt;"")*ISNUMBER(SEARCH(거래처별!$AD$8:$AD$307,$AB265))),거래처별!$A$8:$A$307),IFERROR(LOOKUP(2,1/((거래처별!$AE$8:$AE$307&lt;&gt;"")*ISNUMBER(SEARCH(거래처별!$AE$8:$AE$307,$AB265))),거래처별!$A$8:$A$307),0))))</f>
        <v/>
      </c>
      <c r="AD265" s="31">
        <f>IF(AND($Y265&lt;&gt;"",N($Z265)&gt;0,$AC265=0),MAX($AD$7:$AD264)+1,"")</f>
        <v/>
      </c>
      <c r="AE265" s="31">
        <f>IF($Y265="",0,$Y265)</f>
        <v/>
      </c>
    </row>
    <row r="266">
      <c r="W266" s="31">
        <f>IF(OR($B$5="",$C$6="",ROW()&lt;$B$5),"",IF(INDEX($A:$U,ROW(),$C$6)="","",INDEX($A:$U,ROW(),$C$6)))</f>
        <v/>
      </c>
      <c r="X266" s="32">
        <f>IF($W266="","",IF(ISNUMBER($W266),IF($W266&gt;=10000000,IFERROR(DATE(INT($W266/10000),MOD(INT($W266/100),100),MOD($W266,100)),""),INT($W266)),IFERROR(DATE(--LEFT(LEFT(SUBSTITUTE(SUBSTITUTE(SUBSTITUTE(SUBSTITUTE(TRIM($W266),"-",""),".",""),"/","")," ",""),8),4),--MID(LEFT(SUBSTITUTE(SUBSTITUTE(SUBSTITUTE(SUBSTITUTE(TRIM($W266),"-",""),".",""),"/","")," ",""),8),5,2),--MID(LEFT(SUBSTITUTE(SUBSTITUTE(SUBSTITUTE(SUBSTITUTE(TRIM($W266),"-",""),".",""),"/","")," ",""),8),7,2)),"")))</f>
        <v/>
      </c>
      <c r="Y266" s="32">
        <f>IF($X266="","",INT($X266))</f>
        <v/>
      </c>
      <c r="Z266" s="33">
        <f>IF(OR($Y266="",$D$6=""),"",IF(INDEX($A:$U,ROW(),$D$6)="",0,IF(ISNUMBER(INDEX($A:$U,ROW(),$D$6)),INDEX($A:$U,ROW(),$D$6),IFERROR(--SUBSTITUTE(SUBSTITUTE(TRIM(INDEX($A:$U,ROW(),$D$6)),",",""),"원",""),0))))</f>
        <v/>
      </c>
      <c r="AA266" s="31">
        <f>IF($Y266="","",TRIM(INDEX($A:$U,ROW(),$E$6)&amp;IF($F$6="",""," "&amp;INDEX($A:$U,ROW(),$F$6))))</f>
        <v/>
      </c>
      <c r="AB266" s="31">
        <f>IF($AA266="","",SUBSTITUTE(SUBSTITUTE(SUBSTITUTE(SUBSTITUTE(SUBSTITUTE(SUBSTITUTE(SUBSTITUTE(SUBSTITUTE(SUBSTITUTE($AA266," ",""),"　",""),"(주)",""),"（주）",""),"㈜",""),"주식회사",""),"(유)",""),"（유）",""),"유한회사",""))</f>
        <v/>
      </c>
      <c r="AC266" s="31">
        <f>IF(OR($Y266="",N($Z266)&lt;=0,$AB266=""),0,IFERROR(LOOKUP(2,1/((거래처별!$AC$8:$AC$307&lt;&gt;"")*ISNUMBER(SEARCH(거래처별!$AC$8:$AC$307,$AB266))),거래처별!$A$8:$A$307),IFERROR(LOOKUP(2,1/((거래처별!$AD$8:$AD$307&lt;&gt;"")*ISNUMBER(SEARCH(거래처별!$AD$8:$AD$307,$AB266))),거래처별!$A$8:$A$307),IFERROR(LOOKUP(2,1/((거래처별!$AE$8:$AE$307&lt;&gt;"")*ISNUMBER(SEARCH(거래처별!$AE$8:$AE$307,$AB266))),거래처별!$A$8:$A$307),0))))</f>
        <v/>
      </c>
      <c r="AD266" s="31">
        <f>IF(AND($Y266&lt;&gt;"",N($Z266)&gt;0,$AC266=0),MAX($AD$7:$AD265)+1,"")</f>
        <v/>
      </c>
      <c r="AE266" s="31">
        <f>IF($Y266="",0,$Y266)</f>
        <v/>
      </c>
    </row>
    <row r="267">
      <c r="W267" s="31">
        <f>IF(OR($B$5="",$C$6="",ROW()&lt;$B$5),"",IF(INDEX($A:$U,ROW(),$C$6)="","",INDEX($A:$U,ROW(),$C$6)))</f>
        <v/>
      </c>
      <c r="X267" s="32">
        <f>IF($W267="","",IF(ISNUMBER($W267),IF($W267&gt;=10000000,IFERROR(DATE(INT($W267/10000),MOD(INT($W267/100),100),MOD($W267,100)),""),INT($W267)),IFERROR(DATE(--LEFT(LEFT(SUBSTITUTE(SUBSTITUTE(SUBSTITUTE(SUBSTITUTE(TRIM($W267),"-",""),".",""),"/","")," ",""),8),4),--MID(LEFT(SUBSTITUTE(SUBSTITUTE(SUBSTITUTE(SUBSTITUTE(TRIM($W267),"-",""),".",""),"/","")," ",""),8),5,2),--MID(LEFT(SUBSTITUTE(SUBSTITUTE(SUBSTITUTE(SUBSTITUTE(TRIM($W267),"-",""),".",""),"/","")," ",""),8),7,2)),"")))</f>
        <v/>
      </c>
      <c r="Y267" s="32">
        <f>IF($X267="","",INT($X267))</f>
        <v/>
      </c>
      <c r="Z267" s="33">
        <f>IF(OR($Y267="",$D$6=""),"",IF(INDEX($A:$U,ROW(),$D$6)="",0,IF(ISNUMBER(INDEX($A:$U,ROW(),$D$6)),INDEX($A:$U,ROW(),$D$6),IFERROR(--SUBSTITUTE(SUBSTITUTE(TRIM(INDEX($A:$U,ROW(),$D$6)),",",""),"원",""),0))))</f>
        <v/>
      </c>
      <c r="AA267" s="31">
        <f>IF($Y267="","",TRIM(INDEX($A:$U,ROW(),$E$6)&amp;IF($F$6="",""," "&amp;INDEX($A:$U,ROW(),$F$6))))</f>
        <v/>
      </c>
      <c r="AB267" s="31">
        <f>IF($AA267="","",SUBSTITUTE(SUBSTITUTE(SUBSTITUTE(SUBSTITUTE(SUBSTITUTE(SUBSTITUTE(SUBSTITUTE(SUBSTITUTE(SUBSTITUTE($AA267," ",""),"　",""),"(주)",""),"（주）",""),"㈜",""),"주식회사",""),"(유)",""),"（유）",""),"유한회사",""))</f>
        <v/>
      </c>
      <c r="AC267" s="31">
        <f>IF(OR($Y267="",N($Z267)&lt;=0,$AB267=""),0,IFERROR(LOOKUP(2,1/((거래처별!$AC$8:$AC$307&lt;&gt;"")*ISNUMBER(SEARCH(거래처별!$AC$8:$AC$307,$AB267))),거래처별!$A$8:$A$307),IFERROR(LOOKUP(2,1/((거래처별!$AD$8:$AD$307&lt;&gt;"")*ISNUMBER(SEARCH(거래처별!$AD$8:$AD$307,$AB267))),거래처별!$A$8:$A$307),IFERROR(LOOKUP(2,1/((거래처별!$AE$8:$AE$307&lt;&gt;"")*ISNUMBER(SEARCH(거래처별!$AE$8:$AE$307,$AB267))),거래처별!$A$8:$A$307),0))))</f>
        <v/>
      </c>
      <c r="AD267" s="31">
        <f>IF(AND($Y267&lt;&gt;"",N($Z267)&gt;0,$AC267=0),MAX($AD$7:$AD266)+1,"")</f>
        <v/>
      </c>
      <c r="AE267" s="31">
        <f>IF($Y267="",0,$Y267)</f>
        <v/>
      </c>
    </row>
    <row r="268">
      <c r="W268" s="31">
        <f>IF(OR($B$5="",$C$6="",ROW()&lt;$B$5),"",IF(INDEX($A:$U,ROW(),$C$6)="","",INDEX($A:$U,ROW(),$C$6)))</f>
        <v/>
      </c>
      <c r="X268" s="32">
        <f>IF($W268="","",IF(ISNUMBER($W268),IF($W268&gt;=10000000,IFERROR(DATE(INT($W268/10000),MOD(INT($W268/100),100),MOD($W268,100)),""),INT($W268)),IFERROR(DATE(--LEFT(LEFT(SUBSTITUTE(SUBSTITUTE(SUBSTITUTE(SUBSTITUTE(TRIM($W268),"-",""),".",""),"/","")," ",""),8),4),--MID(LEFT(SUBSTITUTE(SUBSTITUTE(SUBSTITUTE(SUBSTITUTE(TRIM($W268),"-",""),".",""),"/","")," ",""),8),5,2),--MID(LEFT(SUBSTITUTE(SUBSTITUTE(SUBSTITUTE(SUBSTITUTE(TRIM($W268),"-",""),".",""),"/","")," ",""),8),7,2)),"")))</f>
        <v/>
      </c>
      <c r="Y268" s="32">
        <f>IF($X268="","",INT($X268))</f>
        <v/>
      </c>
      <c r="Z268" s="33">
        <f>IF(OR($Y268="",$D$6=""),"",IF(INDEX($A:$U,ROW(),$D$6)="",0,IF(ISNUMBER(INDEX($A:$U,ROW(),$D$6)),INDEX($A:$U,ROW(),$D$6),IFERROR(--SUBSTITUTE(SUBSTITUTE(TRIM(INDEX($A:$U,ROW(),$D$6)),",",""),"원",""),0))))</f>
        <v/>
      </c>
      <c r="AA268" s="31">
        <f>IF($Y268="","",TRIM(INDEX($A:$U,ROW(),$E$6)&amp;IF($F$6="",""," "&amp;INDEX($A:$U,ROW(),$F$6))))</f>
        <v/>
      </c>
      <c r="AB268" s="31">
        <f>IF($AA268="","",SUBSTITUTE(SUBSTITUTE(SUBSTITUTE(SUBSTITUTE(SUBSTITUTE(SUBSTITUTE(SUBSTITUTE(SUBSTITUTE(SUBSTITUTE($AA268," ",""),"　",""),"(주)",""),"（주）",""),"㈜",""),"주식회사",""),"(유)",""),"（유）",""),"유한회사",""))</f>
        <v/>
      </c>
      <c r="AC268" s="31">
        <f>IF(OR($Y268="",N($Z268)&lt;=0,$AB268=""),0,IFERROR(LOOKUP(2,1/((거래처별!$AC$8:$AC$307&lt;&gt;"")*ISNUMBER(SEARCH(거래처별!$AC$8:$AC$307,$AB268))),거래처별!$A$8:$A$307),IFERROR(LOOKUP(2,1/((거래처별!$AD$8:$AD$307&lt;&gt;"")*ISNUMBER(SEARCH(거래처별!$AD$8:$AD$307,$AB268))),거래처별!$A$8:$A$307),IFERROR(LOOKUP(2,1/((거래처별!$AE$8:$AE$307&lt;&gt;"")*ISNUMBER(SEARCH(거래처별!$AE$8:$AE$307,$AB268))),거래처별!$A$8:$A$307),0))))</f>
        <v/>
      </c>
      <c r="AD268" s="31">
        <f>IF(AND($Y268&lt;&gt;"",N($Z268)&gt;0,$AC268=0),MAX($AD$7:$AD267)+1,"")</f>
        <v/>
      </c>
      <c r="AE268" s="31">
        <f>IF($Y268="",0,$Y268)</f>
        <v/>
      </c>
    </row>
    <row r="269">
      <c r="W269" s="31">
        <f>IF(OR($B$5="",$C$6="",ROW()&lt;$B$5),"",IF(INDEX($A:$U,ROW(),$C$6)="","",INDEX($A:$U,ROW(),$C$6)))</f>
        <v/>
      </c>
      <c r="X269" s="32">
        <f>IF($W269="","",IF(ISNUMBER($W269),IF($W269&gt;=10000000,IFERROR(DATE(INT($W269/10000),MOD(INT($W269/100),100),MOD($W269,100)),""),INT($W269)),IFERROR(DATE(--LEFT(LEFT(SUBSTITUTE(SUBSTITUTE(SUBSTITUTE(SUBSTITUTE(TRIM($W269),"-",""),".",""),"/","")," ",""),8),4),--MID(LEFT(SUBSTITUTE(SUBSTITUTE(SUBSTITUTE(SUBSTITUTE(TRIM($W269),"-",""),".",""),"/","")," ",""),8),5,2),--MID(LEFT(SUBSTITUTE(SUBSTITUTE(SUBSTITUTE(SUBSTITUTE(TRIM($W269),"-",""),".",""),"/","")," ",""),8),7,2)),"")))</f>
        <v/>
      </c>
      <c r="Y269" s="32">
        <f>IF($X269="","",INT($X269))</f>
        <v/>
      </c>
      <c r="Z269" s="33">
        <f>IF(OR($Y269="",$D$6=""),"",IF(INDEX($A:$U,ROW(),$D$6)="",0,IF(ISNUMBER(INDEX($A:$U,ROW(),$D$6)),INDEX($A:$U,ROW(),$D$6),IFERROR(--SUBSTITUTE(SUBSTITUTE(TRIM(INDEX($A:$U,ROW(),$D$6)),",",""),"원",""),0))))</f>
        <v/>
      </c>
      <c r="AA269" s="31">
        <f>IF($Y269="","",TRIM(INDEX($A:$U,ROW(),$E$6)&amp;IF($F$6="",""," "&amp;INDEX($A:$U,ROW(),$F$6))))</f>
        <v/>
      </c>
      <c r="AB269" s="31">
        <f>IF($AA269="","",SUBSTITUTE(SUBSTITUTE(SUBSTITUTE(SUBSTITUTE(SUBSTITUTE(SUBSTITUTE(SUBSTITUTE(SUBSTITUTE(SUBSTITUTE($AA269," ",""),"　",""),"(주)",""),"（주）",""),"㈜",""),"주식회사",""),"(유)",""),"（유）",""),"유한회사",""))</f>
        <v/>
      </c>
      <c r="AC269" s="31">
        <f>IF(OR($Y269="",N($Z269)&lt;=0,$AB269=""),0,IFERROR(LOOKUP(2,1/((거래처별!$AC$8:$AC$307&lt;&gt;"")*ISNUMBER(SEARCH(거래처별!$AC$8:$AC$307,$AB269))),거래처별!$A$8:$A$307),IFERROR(LOOKUP(2,1/((거래처별!$AD$8:$AD$307&lt;&gt;"")*ISNUMBER(SEARCH(거래처별!$AD$8:$AD$307,$AB269))),거래처별!$A$8:$A$307),IFERROR(LOOKUP(2,1/((거래처별!$AE$8:$AE$307&lt;&gt;"")*ISNUMBER(SEARCH(거래처별!$AE$8:$AE$307,$AB269))),거래처별!$A$8:$A$307),0))))</f>
        <v/>
      </c>
      <c r="AD269" s="31">
        <f>IF(AND($Y269&lt;&gt;"",N($Z269)&gt;0,$AC269=0),MAX($AD$7:$AD268)+1,"")</f>
        <v/>
      </c>
      <c r="AE269" s="31">
        <f>IF($Y269="",0,$Y269)</f>
        <v/>
      </c>
    </row>
    <row r="270">
      <c r="W270" s="31">
        <f>IF(OR($B$5="",$C$6="",ROW()&lt;$B$5),"",IF(INDEX($A:$U,ROW(),$C$6)="","",INDEX($A:$U,ROW(),$C$6)))</f>
        <v/>
      </c>
      <c r="X270" s="32">
        <f>IF($W270="","",IF(ISNUMBER($W270),IF($W270&gt;=10000000,IFERROR(DATE(INT($W270/10000),MOD(INT($W270/100),100),MOD($W270,100)),""),INT($W270)),IFERROR(DATE(--LEFT(LEFT(SUBSTITUTE(SUBSTITUTE(SUBSTITUTE(SUBSTITUTE(TRIM($W270),"-",""),".",""),"/","")," ",""),8),4),--MID(LEFT(SUBSTITUTE(SUBSTITUTE(SUBSTITUTE(SUBSTITUTE(TRIM($W270),"-",""),".",""),"/","")," ",""),8),5,2),--MID(LEFT(SUBSTITUTE(SUBSTITUTE(SUBSTITUTE(SUBSTITUTE(TRIM($W270),"-",""),".",""),"/","")," ",""),8),7,2)),"")))</f>
        <v/>
      </c>
      <c r="Y270" s="32">
        <f>IF($X270="","",INT($X270))</f>
        <v/>
      </c>
      <c r="Z270" s="33">
        <f>IF(OR($Y270="",$D$6=""),"",IF(INDEX($A:$U,ROW(),$D$6)="",0,IF(ISNUMBER(INDEX($A:$U,ROW(),$D$6)),INDEX($A:$U,ROW(),$D$6),IFERROR(--SUBSTITUTE(SUBSTITUTE(TRIM(INDEX($A:$U,ROW(),$D$6)),",",""),"원",""),0))))</f>
        <v/>
      </c>
      <c r="AA270" s="31">
        <f>IF($Y270="","",TRIM(INDEX($A:$U,ROW(),$E$6)&amp;IF($F$6="",""," "&amp;INDEX($A:$U,ROW(),$F$6))))</f>
        <v/>
      </c>
      <c r="AB270" s="31">
        <f>IF($AA270="","",SUBSTITUTE(SUBSTITUTE(SUBSTITUTE(SUBSTITUTE(SUBSTITUTE(SUBSTITUTE(SUBSTITUTE(SUBSTITUTE(SUBSTITUTE($AA270," ",""),"　",""),"(주)",""),"（주）",""),"㈜",""),"주식회사",""),"(유)",""),"（유）",""),"유한회사",""))</f>
        <v/>
      </c>
      <c r="AC270" s="31">
        <f>IF(OR($Y270="",N($Z270)&lt;=0,$AB270=""),0,IFERROR(LOOKUP(2,1/((거래처별!$AC$8:$AC$307&lt;&gt;"")*ISNUMBER(SEARCH(거래처별!$AC$8:$AC$307,$AB270))),거래처별!$A$8:$A$307),IFERROR(LOOKUP(2,1/((거래처별!$AD$8:$AD$307&lt;&gt;"")*ISNUMBER(SEARCH(거래처별!$AD$8:$AD$307,$AB270))),거래처별!$A$8:$A$307),IFERROR(LOOKUP(2,1/((거래처별!$AE$8:$AE$307&lt;&gt;"")*ISNUMBER(SEARCH(거래처별!$AE$8:$AE$307,$AB270))),거래처별!$A$8:$A$307),0))))</f>
        <v/>
      </c>
      <c r="AD270" s="31">
        <f>IF(AND($Y270&lt;&gt;"",N($Z270)&gt;0,$AC270=0),MAX($AD$7:$AD269)+1,"")</f>
        <v/>
      </c>
      <c r="AE270" s="31">
        <f>IF($Y270="",0,$Y270)</f>
        <v/>
      </c>
    </row>
    <row r="271">
      <c r="W271" s="31">
        <f>IF(OR($B$5="",$C$6="",ROW()&lt;$B$5),"",IF(INDEX($A:$U,ROW(),$C$6)="","",INDEX($A:$U,ROW(),$C$6)))</f>
        <v/>
      </c>
      <c r="X271" s="32">
        <f>IF($W271="","",IF(ISNUMBER($W271),IF($W271&gt;=10000000,IFERROR(DATE(INT($W271/10000),MOD(INT($W271/100),100),MOD($W271,100)),""),INT($W271)),IFERROR(DATE(--LEFT(LEFT(SUBSTITUTE(SUBSTITUTE(SUBSTITUTE(SUBSTITUTE(TRIM($W271),"-",""),".",""),"/","")," ",""),8),4),--MID(LEFT(SUBSTITUTE(SUBSTITUTE(SUBSTITUTE(SUBSTITUTE(TRIM($W271),"-",""),".",""),"/","")," ",""),8),5,2),--MID(LEFT(SUBSTITUTE(SUBSTITUTE(SUBSTITUTE(SUBSTITUTE(TRIM($W271),"-",""),".",""),"/","")," ",""),8),7,2)),"")))</f>
        <v/>
      </c>
      <c r="Y271" s="32">
        <f>IF($X271="","",INT($X271))</f>
        <v/>
      </c>
      <c r="Z271" s="33">
        <f>IF(OR($Y271="",$D$6=""),"",IF(INDEX($A:$U,ROW(),$D$6)="",0,IF(ISNUMBER(INDEX($A:$U,ROW(),$D$6)),INDEX($A:$U,ROW(),$D$6),IFERROR(--SUBSTITUTE(SUBSTITUTE(TRIM(INDEX($A:$U,ROW(),$D$6)),",",""),"원",""),0))))</f>
        <v/>
      </c>
      <c r="AA271" s="31">
        <f>IF($Y271="","",TRIM(INDEX($A:$U,ROW(),$E$6)&amp;IF($F$6="",""," "&amp;INDEX($A:$U,ROW(),$F$6))))</f>
        <v/>
      </c>
      <c r="AB271" s="31">
        <f>IF($AA271="","",SUBSTITUTE(SUBSTITUTE(SUBSTITUTE(SUBSTITUTE(SUBSTITUTE(SUBSTITUTE(SUBSTITUTE(SUBSTITUTE(SUBSTITUTE($AA271," ",""),"　",""),"(주)",""),"（주）",""),"㈜",""),"주식회사",""),"(유)",""),"（유）",""),"유한회사",""))</f>
        <v/>
      </c>
      <c r="AC271" s="31">
        <f>IF(OR($Y271="",N($Z271)&lt;=0,$AB271=""),0,IFERROR(LOOKUP(2,1/((거래처별!$AC$8:$AC$307&lt;&gt;"")*ISNUMBER(SEARCH(거래처별!$AC$8:$AC$307,$AB271))),거래처별!$A$8:$A$307),IFERROR(LOOKUP(2,1/((거래처별!$AD$8:$AD$307&lt;&gt;"")*ISNUMBER(SEARCH(거래처별!$AD$8:$AD$307,$AB271))),거래처별!$A$8:$A$307),IFERROR(LOOKUP(2,1/((거래처별!$AE$8:$AE$307&lt;&gt;"")*ISNUMBER(SEARCH(거래처별!$AE$8:$AE$307,$AB271))),거래처별!$A$8:$A$307),0))))</f>
        <v/>
      </c>
      <c r="AD271" s="31">
        <f>IF(AND($Y271&lt;&gt;"",N($Z271)&gt;0,$AC271=0),MAX($AD$7:$AD270)+1,"")</f>
        <v/>
      </c>
      <c r="AE271" s="31">
        <f>IF($Y271="",0,$Y271)</f>
        <v/>
      </c>
    </row>
    <row r="272">
      <c r="W272" s="31">
        <f>IF(OR($B$5="",$C$6="",ROW()&lt;$B$5),"",IF(INDEX($A:$U,ROW(),$C$6)="","",INDEX($A:$U,ROW(),$C$6)))</f>
        <v/>
      </c>
      <c r="X272" s="32">
        <f>IF($W272="","",IF(ISNUMBER($W272),IF($W272&gt;=10000000,IFERROR(DATE(INT($W272/10000),MOD(INT($W272/100),100),MOD($W272,100)),""),INT($W272)),IFERROR(DATE(--LEFT(LEFT(SUBSTITUTE(SUBSTITUTE(SUBSTITUTE(SUBSTITUTE(TRIM($W272),"-",""),".",""),"/","")," ",""),8),4),--MID(LEFT(SUBSTITUTE(SUBSTITUTE(SUBSTITUTE(SUBSTITUTE(TRIM($W272),"-",""),".",""),"/","")," ",""),8),5,2),--MID(LEFT(SUBSTITUTE(SUBSTITUTE(SUBSTITUTE(SUBSTITUTE(TRIM($W272),"-",""),".",""),"/","")," ",""),8),7,2)),"")))</f>
        <v/>
      </c>
      <c r="Y272" s="32">
        <f>IF($X272="","",INT($X272))</f>
        <v/>
      </c>
      <c r="Z272" s="33">
        <f>IF(OR($Y272="",$D$6=""),"",IF(INDEX($A:$U,ROW(),$D$6)="",0,IF(ISNUMBER(INDEX($A:$U,ROW(),$D$6)),INDEX($A:$U,ROW(),$D$6),IFERROR(--SUBSTITUTE(SUBSTITUTE(TRIM(INDEX($A:$U,ROW(),$D$6)),",",""),"원",""),0))))</f>
        <v/>
      </c>
      <c r="AA272" s="31">
        <f>IF($Y272="","",TRIM(INDEX($A:$U,ROW(),$E$6)&amp;IF($F$6="",""," "&amp;INDEX($A:$U,ROW(),$F$6))))</f>
        <v/>
      </c>
      <c r="AB272" s="31">
        <f>IF($AA272="","",SUBSTITUTE(SUBSTITUTE(SUBSTITUTE(SUBSTITUTE(SUBSTITUTE(SUBSTITUTE(SUBSTITUTE(SUBSTITUTE(SUBSTITUTE($AA272," ",""),"　",""),"(주)",""),"（주）",""),"㈜",""),"주식회사",""),"(유)",""),"（유）",""),"유한회사",""))</f>
        <v/>
      </c>
      <c r="AC272" s="31">
        <f>IF(OR($Y272="",N($Z272)&lt;=0,$AB272=""),0,IFERROR(LOOKUP(2,1/((거래처별!$AC$8:$AC$307&lt;&gt;"")*ISNUMBER(SEARCH(거래처별!$AC$8:$AC$307,$AB272))),거래처별!$A$8:$A$307),IFERROR(LOOKUP(2,1/((거래처별!$AD$8:$AD$307&lt;&gt;"")*ISNUMBER(SEARCH(거래처별!$AD$8:$AD$307,$AB272))),거래처별!$A$8:$A$307),IFERROR(LOOKUP(2,1/((거래처별!$AE$8:$AE$307&lt;&gt;"")*ISNUMBER(SEARCH(거래처별!$AE$8:$AE$307,$AB272))),거래처별!$A$8:$A$307),0))))</f>
        <v/>
      </c>
      <c r="AD272" s="31">
        <f>IF(AND($Y272&lt;&gt;"",N($Z272)&gt;0,$AC272=0),MAX($AD$7:$AD271)+1,"")</f>
        <v/>
      </c>
      <c r="AE272" s="31">
        <f>IF($Y272="",0,$Y272)</f>
        <v/>
      </c>
    </row>
    <row r="273">
      <c r="W273" s="31">
        <f>IF(OR($B$5="",$C$6="",ROW()&lt;$B$5),"",IF(INDEX($A:$U,ROW(),$C$6)="","",INDEX($A:$U,ROW(),$C$6)))</f>
        <v/>
      </c>
      <c r="X273" s="32">
        <f>IF($W273="","",IF(ISNUMBER($W273),IF($W273&gt;=10000000,IFERROR(DATE(INT($W273/10000),MOD(INT($W273/100),100),MOD($W273,100)),""),INT($W273)),IFERROR(DATE(--LEFT(LEFT(SUBSTITUTE(SUBSTITUTE(SUBSTITUTE(SUBSTITUTE(TRIM($W273),"-",""),".",""),"/","")," ",""),8),4),--MID(LEFT(SUBSTITUTE(SUBSTITUTE(SUBSTITUTE(SUBSTITUTE(TRIM($W273),"-",""),".",""),"/","")," ",""),8),5,2),--MID(LEFT(SUBSTITUTE(SUBSTITUTE(SUBSTITUTE(SUBSTITUTE(TRIM($W273),"-",""),".",""),"/","")," ",""),8),7,2)),"")))</f>
        <v/>
      </c>
      <c r="Y273" s="32">
        <f>IF($X273="","",INT($X273))</f>
        <v/>
      </c>
      <c r="Z273" s="33">
        <f>IF(OR($Y273="",$D$6=""),"",IF(INDEX($A:$U,ROW(),$D$6)="",0,IF(ISNUMBER(INDEX($A:$U,ROW(),$D$6)),INDEX($A:$U,ROW(),$D$6),IFERROR(--SUBSTITUTE(SUBSTITUTE(TRIM(INDEX($A:$U,ROW(),$D$6)),",",""),"원",""),0))))</f>
        <v/>
      </c>
      <c r="AA273" s="31">
        <f>IF($Y273="","",TRIM(INDEX($A:$U,ROW(),$E$6)&amp;IF($F$6="",""," "&amp;INDEX($A:$U,ROW(),$F$6))))</f>
        <v/>
      </c>
      <c r="AB273" s="31">
        <f>IF($AA273="","",SUBSTITUTE(SUBSTITUTE(SUBSTITUTE(SUBSTITUTE(SUBSTITUTE(SUBSTITUTE(SUBSTITUTE(SUBSTITUTE(SUBSTITUTE($AA273," ",""),"　",""),"(주)",""),"（주）",""),"㈜",""),"주식회사",""),"(유)",""),"（유）",""),"유한회사",""))</f>
        <v/>
      </c>
      <c r="AC273" s="31">
        <f>IF(OR($Y273="",N($Z273)&lt;=0,$AB273=""),0,IFERROR(LOOKUP(2,1/((거래처별!$AC$8:$AC$307&lt;&gt;"")*ISNUMBER(SEARCH(거래처별!$AC$8:$AC$307,$AB273))),거래처별!$A$8:$A$307),IFERROR(LOOKUP(2,1/((거래처별!$AD$8:$AD$307&lt;&gt;"")*ISNUMBER(SEARCH(거래처별!$AD$8:$AD$307,$AB273))),거래처별!$A$8:$A$307),IFERROR(LOOKUP(2,1/((거래처별!$AE$8:$AE$307&lt;&gt;"")*ISNUMBER(SEARCH(거래처별!$AE$8:$AE$307,$AB273))),거래처별!$A$8:$A$307),0))))</f>
        <v/>
      </c>
      <c r="AD273" s="31">
        <f>IF(AND($Y273&lt;&gt;"",N($Z273)&gt;0,$AC273=0),MAX($AD$7:$AD272)+1,"")</f>
        <v/>
      </c>
      <c r="AE273" s="31">
        <f>IF($Y273="",0,$Y273)</f>
        <v/>
      </c>
    </row>
    <row r="274">
      <c r="W274" s="31">
        <f>IF(OR($B$5="",$C$6="",ROW()&lt;$B$5),"",IF(INDEX($A:$U,ROW(),$C$6)="","",INDEX($A:$U,ROW(),$C$6)))</f>
        <v/>
      </c>
      <c r="X274" s="32">
        <f>IF($W274="","",IF(ISNUMBER($W274),IF($W274&gt;=10000000,IFERROR(DATE(INT($W274/10000),MOD(INT($W274/100),100),MOD($W274,100)),""),INT($W274)),IFERROR(DATE(--LEFT(LEFT(SUBSTITUTE(SUBSTITUTE(SUBSTITUTE(SUBSTITUTE(TRIM($W274),"-",""),".",""),"/","")," ",""),8),4),--MID(LEFT(SUBSTITUTE(SUBSTITUTE(SUBSTITUTE(SUBSTITUTE(TRIM($W274),"-",""),".",""),"/","")," ",""),8),5,2),--MID(LEFT(SUBSTITUTE(SUBSTITUTE(SUBSTITUTE(SUBSTITUTE(TRIM($W274),"-",""),".",""),"/","")," ",""),8),7,2)),"")))</f>
        <v/>
      </c>
      <c r="Y274" s="32">
        <f>IF($X274="","",INT($X274))</f>
        <v/>
      </c>
      <c r="Z274" s="33">
        <f>IF(OR($Y274="",$D$6=""),"",IF(INDEX($A:$U,ROW(),$D$6)="",0,IF(ISNUMBER(INDEX($A:$U,ROW(),$D$6)),INDEX($A:$U,ROW(),$D$6),IFERROR(--SUBSTITUTE(SUBSTITUTE(TRIM(INDEX($A:$U,ROW(),$D$6)),",",""),"원",""),0))))</f>
        <v/>
      </c>
      <c r="AA274" s="31">
        <f>IF($Y274="","",TRIM(INDEX($A:$U,ROW(),$E$6)&amp;IF($F$6="",""," "&amp;INDEX($A:$U,ROW(),$F$6))))</f>
        <v/>
      </c>
      <c r="AB274" s="31">
        <f>IF($AA274="","",SUBSTITUTE(SUBSTITUTE(SUBSTITUTE(SUBSTITUTE(SUBSTITUTE(SUBSTITUTE(SUBSTITUTE(SUBSTITUTE(SUBSTITUTE($AA274," ",""),"　",""),"(주)",""),"（주）",""),"㈜",""),"주식회사",""),"(유)",""),"（유）",""),"유한회사",""))</f>
        <v/>
      </c>
      <c r="AC274" s="31">
        <f>IF(OR($Y274="",N($Z274)&lt;=0,$AB274=""),0,IFERROR(LOOKUP(2,1/((거래처별!$AC$8:$AC$307&lt;&gt;"")*ISNUMBER(SEARCH(거래처별!$AC$8:$AC$307,$AB274))),거래처별!$A$8:$A$307),IFERROR(LOOKUP(2,1/((거래처별!$AD$8:$AD$307&lt;&gt;"")*ISNUMBER(SEARCH(거래처별!$AD$8:$AD$307,$AB274))),거래처별!$A$8:$A$307),IFERROR(LOOKUP(2,1/((거래처별!$AE$8:$AE$307&lt;&gt;"")*ISNUMBER(SEARCH(거래처별!$AE$8:$AE$307,$AB274))),거래처별!$A$8:$A$307),0))))</f>
        <v/>
      </c>
      <c r="AD274" s="31">
        <f>IF(AND($Y274&lt;&gt;"",N($Z274)&gt;0,$AC274=0),MAX($AD$7:$AD273)+1,"")</f>
        <v/>
      </c>
      <c r="AE274" s="31">
        <f>IF($Y274="",0,$Y274)</f>
        <v/>
      </c>
    </row>
    <row r="275">
      <c r="W275" s="31">
        <f>IF(OR($B$5="",$C$6="",ROW()&lt;$B$5),"",IF(INDEX($A:$U,ROW(),$C$6)="","",INDEX($A:$U,ROW(),$C$6)))</f>
        <v/>
      </c>
      <c r="X275" s="32">
        <f>IF($W275="","",IF(ISNUMBER($W275),IF($W275&gt;=10000000,IFERROR(DATE(INT($W275/10000),MOD(INT($W275/100),100),MOD($W275,100)),""),INT($W275)),IFERROR(DATE(--LEFT(LEFT(SUBSTITUTE(SUBSTITUTE(SUBSTITUTE(SUBSTITUTE(TRIM($W275),"-",""),".",""),"/","")," ",""),8),4),--MID(LEFT(SUBSTITUTE(SUBSTITUTE(SUBSTITUTE(SUBSTITUTE(TRIM($W275),"-",""),".",""),"/","")," ",""),8),5,2),--MID(LEFT(SUBSTITUTE(SUBSTITUTE(SUBSTITUTE(SUBSTITUTE(TRIM($W275),"-",""),".",""),"/","")," ",""),8),7,2)),"")))</f>
        <v/>
      </c>
      <c r="Y275" s="32">
        <f>IF($X275="","",INT($X275))</f>
        <v/>
      </c>
      <c r="Z275" s="33">
        <f>IF(OR($Y275="",$D$6=""),"",IF(INDEX($A:$U,ROW(),$D$6)="",0,IF(ISNUMBER(INDEX($A:$U,ROW(),$D$6)),INDEX($A:$U,ROW(),$D$6),IFERROR(--SUBSTITUTE(SUBSTITUTE(TRIM(INDEX($A:$U,ROW(),$D$6)),",",""),"원",""),0))))</f>
        <v/>
      </c>
      <c r="AA275" s="31">
        <f>IF($Y275="","",TRIM(INDEX($A:$U,ROW(),$E$6)&amp;IF($F$6="",""," "&amp;INDEX($A:$U,ROW(),$F$6))))</f>
        <v/>
      </c>
      <c r="AB275" s="31">
        <f>IF($AA275="","",SUBSTITUTE(SUBSTITUTE(SUBSTITUTE(SUBSTITUTE(SUBSTITUTE(SUBSTITUTE(SUBSTITUTE(SUBSTITUTE(SUBSTITUTE($AA275," ",""),"　",""),"(주)",""),"（주）",""),"㈜",""),"주식회사",""),"(유)",""),"（유）",""),"유한회사",""))</f>
        <v/>
      </c>
      <c r="AC275" s="31">
        <f>IF(OR($Y275="",N($Z275)&lt;=0,$AB275=""),0,IFERROR(LOOKUP(2,1/((거래처별!$AC$8:$AC$307&lt;&gt;"")*ISNUMBER(SEARCH(거래처별!$AC$8:$AC$307,$AB275))),거래처별!$A$8:$A$307),IFERROR(LOOKUP(2,1/((거래처별!$AD$8:$AD$307&lt;&gt;"")*ISNUMBER(SEARCH(거래처별!$AD$8:$AD$307,$AB275))),거래처별!$A$8:$A$307),IFERROR(LOOKUP(2,1/((거래처별!$AE$8:$AE$307&lt;&gt;"")*ISNUMBER(SEARCH(거래처별!$AE$8:$AE$307,$AB275))),거래처별!$A$8:$A$307),0))))</f>
        <v/>
      </c>
      <c r="AD275" s="31">
        <f>IF(AND($Y275&lt;&gt;"",N($Z275)&gt;0,$AC275=0),MAX($AD$7:$AD274)+1,"")</f>
        <v/>
      </c>
      <c r="AE275" s="31">
        <f>IF($Y275="",0,$Y275)</f>
        <v/>
      </c>
    </row>
    <row r="276">
      <c r="W276" s="31">
        <f>IF(OR($B$5="",$C$6="",ROW()&lt;$B$5),"",IF(INDEX($A:$U,ROW(),$C$6)="","",INDEX($A:$U,ROW(),$C$6)))</f>
        <v/>
      </c>
      <c r="X276" s="32">
        <f>IF($W276="","",IF(ISNUMBER($W276),IF($W276&gt;=10000000,IFERROR(DATE(INT($W276/10000),MOD(INT($W276/100),100),MOD($W276,100)),""),INT($W276)),IFERROR(DATE(--LEFT(LEFT(SUBSTITUTE(SUBSTITUTE(SUBSTITUTE(SUBSTITUTE(TRIM($W276),"-",""),".",""),"/","")," ",""),8),4),--MID(LEFT(SUBSTITUTE(SUBSTITUTE(SUBSTITUTE(SUBSTITUTE(TRIM($W276),"-",""),".",""),"/","")," ",""),8),5,2),--MID(LEFT(SUBSTITUTE(SUBSTITUTE(SUBSTITUTE(SUBSTITUTE(TRIM($W276),"-",""),".",""),"/","")," ",""),8),7,2)),"")))</f>
        <v/>
      </c>
      <c r="Y276" s="32">
        <f>IF($X276="","",INT($X276))</f>
        <v/>
      </c>
      <c r="Z276" s="33">
        <f>IF(OR($Y276="",$D$6=""),"",IF(INDEX($A:$U,ROW(),$D$6)="",0,IF(ISNUMBER(INDEX($A:$U,ROW(),$D$6)),INDEX($A:$U,ROW(),$D$6),IFERROR(--SUBSTITUTE(SUBSTITUTE(TRIM(INDEX($A:$U,ROW(),$D$6)),",",""),"원",""),0))))</f>
        <v/>
      </c>
      <c r="AA276" s="31">
        <f>IF($Y276="","",TRIM(INDEX($A:$U,ROW(),$E$6)&amp;IF($F$6="",""," "&amp;INDEX($A:$U,ROW(),$F$6))))</f>
        <v/>
      </c>
      <c r="AB276" s="31">
        <f>IF($AA276="","",SUBSTITUTE(SUBSTITUTE(SUBSTITUTE(SUBSTITUTE(SUBSTITUTE(SUBSTITUTE(SUBSTITUTE(SUBSTITUTE(SUBSTITUTE($AA276," ",""),"　",""),"(주)",""),"（주）",""),"㈜",""),"주식회사",""),"(유)",""),"（유）",""),"유한회사",""))</f>
        <v/>
      </c>
      <c r="AC276" s="31">
        <f>IF(OR($Y276="",N($Z276)&lt;=0,$AB276=""),0,IFERROR(LOOKUP(2,1/((거래처별!$AC$8:$AC$307&lt;&gt;"")*ISNUMBER(SEARCH(거래처별!$AC$8:$AC$307,$AB276))),거래처별!$A$8:$A$307),IFERROR(LOOKUP(2,1/((거래처별!$AD$8:$AD$307&lt;&gt;"")*ISNUMBER(SEARCH(거래처별!$AD$8:$AD$307,$AB276))),거래처별!$A$8:$A$307),IFERROR(LOOKUP(2,1/((거래처별!$AE$8:$AE$307&lt;&gt;"")*ISNUMBER(SEARCH(거래처별!$AE$8:$AE$307,$AB276))),거래처별!$A$8:$A$307),0))))</f>
        <v/>
      </c>
      <c r="AD276" s="31">
        <f>IF(AND($Y276&lt;&gt;"",N($Z276)&gt;0,$AC276=0),MAX($AD$7:$AD275)+1,"")</f>
        <v/>
      </c>
      <c r="AE276" s="31">
        <f>IF($Y276="",0,$Y276)</f>
        <v/>
      </c>
    </row>
    <row r="277">
      <c r="W277" s="31">
        <f>IF(OR($B$5="",$C$6="",ROW()&lt;$B$5),"",IF(INDEX($A:$U,ROW(),$C$6)="","",INDEX($A:$U,ROW(),$C$6)))</f>
        <v/>
      </c>
      <c r="X277" s="32">
        <f>IF($W277="","",IF(ISNUMBER($W277),IF($W277&gt;=10000000,IFERROR(DATE(INT($W277/10000),MOD(INT($W277/100),100),MOD($W277,100)),""),INT($W277)),IFERROR(DATE(--LEFT(LEFT(SUBSTITUTE(SUBSTITUTE(SUBSTITUTE(SUBSTITUTE(TRIM($W277),"-",""),".",""),"/","")," ",""),8),4),--MID(LEFT(SUBSTITUTE(SUBSTITUTE(SUBSTITUTE(SUBSTITUTE(TRIM($W277),"-",""),".",""),"/","")," ",""),8),5,2),--MID(LEFT(SUBSTITUTE(SUBSTITUTE(SUBSTITUTE(SUBSTITUTE(TRIM($W277),"-",""),".",""),"/","")," ",""),8),7,2)),"")))</f>
        <v/>
      </c>
      <c r="Y277" s="32">
        <f>IF($X277="","",INT($X277))</f>
        <v/>
      </c>
      <c r="Z277" s="33">
        <f>IF(OR($Y277="",$D$6=""),"",IF(INDEX($A:$U,ROW(),$D$6)="",0,IF(ISNUMBER(INDEX($A:$U,ROW(),$D$6)),INDEX($A:$U,ROW(),$D$6),IFERROR(--SUBSTITUTE(SUBSTITUTE(TRIM(INDEX($A:$U,ROW(),$D$6)),",",""),"원",""),0))))</f>
        <v/>
      </c>
      <c r="AA277" s="31">
        <f>IF($Y277="","",TRIM(INDEX($A:$U,ROW(),$E$6)&amp;IF($F$6="",""," "&amp;INDEX($A:$U,ROW(),$F$6))))</f>
        <v/>
      </c>
      <c r="AB277" s="31">
        <f>IF($AA277="","",SUBSTITUTE(SUBSTITUTE(SUBSTITUTE(SUBSTITUTE(SUBSTITUTE(SUBSTITUTE(SUBSTITUTE(SUBSTITUTE(SUBSTITUTE($AA277," ",""),"　",""),"(주)",""),"（주）",""),"㈜",""),"주식회사",""),"(유)",""),"（유）",""),"유한회사",""))</f>
        <v/>
      </c>
      <c r="AC277" s="31">
        <f>IF(OR($Y277="",N($Z277)&lt;=0,$AB277=""),0,IFERROR(LOOKUP(2,1/((거래처별!$AC$8:$AC$307&lt;&gt;"")*ISNUMBER(SEARCH(거래처별!$AC$8:$AC$307,$AB277))),거래처별!$A$8:$A$307),IFERROR(LOOKUP(2,1/((거래처별!$AD$8:$AD$307&lt;&gt;"")*ISNUMBER(SEARCH(거래처별!$AD$8:$AD$307,$AB277))),거래처별!$A$8:$A$307),IFERROR(LOOKUP(2,1/((거래처별!$AE$8:$AE$307&lt;&gt;"")*ISNUMBER(SEARCH(거래처별!$AE$8:$AE$307,$AB277))),거래처별!$A$8:$A$307),0))))</f>
        <v/>
      </c>
      <c r="AD277" s="31">
        <f>IF(AND($Y277&lt;&gt;"",N($Z277)&gt;0,$AC277=0),MAX($AD$7:$AD276)+1,"")</f>
        <v/>
      </c>
      <c r="AE277" s="31">
        <f>IF($Y277="",0,$Y277)</f>
        <v/>
      </c>
    </row>
    <row r="278">
      <c r="W278" s="31">
        <f>IF(OR($B$5="",$C$6="",ROW()&lt;$B$5),"",IF(INDEX($A:$U,ROW(),$C$6)="","",INDEX($A:$U,ROW(),$C$6)))</f>
        <v/>
      </c>
      <c r="X278" s="32">
        <f>IF($W278="","",IF(ISNUMBER($W278),IF($W278&gt;=10000000,IFERROR(DATE(INT($W278/10000),MOD(INT($W278/100),100),MOD($W278,100)),""),INT($W278)),IFERROR(DATE(--LEFT(LEFT(SUBSTITUTE(SUBSTITUTE(SUBSTITUTE(SUBSTITUTE(TRIM($W278),"-",""),".",""),"/","")," ",""),8),4),--MID(LEFT(SUBSTITUTE(SUBSTITUTE(SUBSTITUTE(SUBSTITUTE(TRIM($W278),"-",""),".",""),"/","")," ",""),8),5,2),--MID(LEFT(SUBSTITUTE(SUBSTITUTE(SUBSTITUTE(SUBSTITUTE(TRIM($W278),"-",""),".",""),"/","")," ",""),8),7,2)),"")))</f>
        <v/>
      </c>
      <c r="Y278" s="32">
        <f>IF($X278="","",INT($X278))</f>
        <v/>
      </c>
      <c r="Z278" s="33">
        <f>IF(OR($Y278="",$D$6=""),"",IF(INDEX($A:$U,ROW(),$D$6)="",0,IF(ISNUMBER(INDEX($A:$U,ROW(),$D$6)),INDEX($A:$U,ROW(),$D$6),IFERROR(--SUBSTITUTE(SUBSTITUTE(TRIM(INDEX($A:$U,ROW(),$D$6)),",",""),"원",""),0))))</f>
        <v/>
      </c>
      <c r="AA278" s="31">
        <f>IF($Y278="","",TRIM(INDEX($A:$U,ROW(),$E$6)&amp;IF($F$6="",""," "&amp;INDEX($A:$U,ROW(),$F$6))))</f>
        <v/>
      </c>
      <c r="AB278" s="31">
        <f>IF($AA278="","",SUBSTITUTE(SUBSTITUTE(SUBSTITUTE(SUBSTITUTE(SUBSTITUTE(SUBSTITUTE(SUBSTITUTE(SUBSTITUTE(SUBSTITUTE($AA278," ",""),"　",""),"(주)",""),"（주）",""),"㈜",""),"주식회사",""),"(유)",""),"（유）",""),"유한회사",""))</f>
        <v/>
      </c>
      <c r="AC278" s="31">
        <f>IF(OR($Y278="",N($Z278)&lt;=0,$AB278=""),0,IFERROR(LOOKUP(2,1/((거래처별!$AC$8:$AC$307&lt;&gt;"")*ISNUMBER(SEARCH(거래처별!$AC$8:$AC$307,$AB278))),거래처별!$A$8:$A$307),IFERROR(LOOKUP(2,1/((거래처별!$AD$8:$AD$307&lt;&gt;"")*ISNUMBER(SEARCH(거래처별!$AD$8:$AD$307,$AB278))),거래처별!$A$8:$A$307),IFERROR(LOOKUP(2,1/((거래처별!$AE$8:$AE$307&lt;&gt;"")*ISNUMBER(SEARCH(거래처별!$AE$8:$AE$307,$AB278))),거래처별!$A$8:$A$307),0))))</f>
        <v/>
      </c>
      <c r="AD278" s="31">
        <f>IF(AND($Y278&lt;&gt;"",N($Z278)&gt;0,$AC278=0),MAX($AD$7:$AD277)+1,"")</f>
        <v/>
      </c>
      <c r="AE278" s="31">
        <f>IF($Y278="",0,$Y278)</f>
        <v/>
      </c>
    </row>
    <row r="279">
      <c r="W279" s="31">
        <f>IF(OR($B$5="",$C$6="",ROW()&lt;$B$5),"",IF(INDEX($A:$U,ROW(),$C$6)="","",INDEX($A:$U,ROW(),$C$6)))</f>
        <v/>
      </c>
      <c r="X279" s="32">
        <f>IF($W279="","",IF(ISNUMBER($W279),IF($W279&gt;=10000000,IFERROR(DATE(INT($W279/10000),MOD(INT($W279/100),100),MOD($W279,100)),""),INT($W279)),IFERROR(DATE(--LEFT(LEFT(SUBSTITUTE(SUBSTITUTE(SUBSTITUTE(SUBSTITUTE(TRIM($W279),"-",""),".",""),"/","")," ",""),8),4),--MID(LEFT(SUBSTITUTE(SUBSTITUTE(SUBSTITUTE(SUBSTITUTE(TRIM($W279),"-",""),".",""),"/","")," ",""),8),5,2),--MID(LEFT(SUBSTITUTE(SUBSTITUTE(SUBSTITUTE(SUBSTITUTE(TRIM($W279),"-",""),".",""),"/","")," ",""),8),7,2)),"")))</f>
        <v/>
      </c>
      <c r="Y279" s="32">
        <f>IF($X279="","",INT($X279))</f>
        <v/>
      </c>
      <c r="Z279" s="33">
        <f>IF(OR($Y279="",$D$6=""),"",IF(INDEX($A:$U,ROW(),$D$6)="",0,IF(ISNUMBER(INDEX($A:$U,ROW(),$D$6)),INDEX($A:$U,ROW(),$D$6),IFERROR(--SUBSTITUTE(SUBSTITUTE(TRIM(INDEX($A:$U,ROW(),$D$6)),",",""),"원",""),0))))</f>
        <v/>
      </c>
      <c r="AA279" s="31">
        <f>IF($Y279="","",TRIM(INDEX($A:$U,ROW(),$E$6)&amp;IF($F$6="",""," "&amp;INDEX($A:$U,ROW(),$F$6))))</f>
        <v/>
      </c>
      <c r="AB279" s="31">
        <f>IF($AA279="","",SUBSTITUTE(SUBSTITUTE(SUBSTITUTE(SUBSTITUTE(SUBSTITUTE(SUBSTITUTE(SUBSTITUTE(SUBSTITUTE(SUBSTITUTE($AA279," ",""),"　",""),"(주)",""),"（주）",""),"㈜",""),"주식회사",""),"(유)",""),"（유）",""),"유한회사",""))</f>
        <v/>
      </c>
      <c r="AC279" s="31">
        <f>IF(OR($Y279="",N($Z279)&lt;=0,$AB279=""),0,IFERROR(LOOKUP(2,1/((거래처별!$AC$8:$AC$307&lt;&gt;"")*ISNUMBER(SEARCH(거래처별!$AC$8:$AC$307,$AB279))),거래처별!$A$8:$A$307),IFERROR(LOOKUP(2,1/((거래처별!$AD$8:$AD$307&lt;&gt;"")*ISNUMBER(SEARCH(거래처별!$AD$8:$AD$307,$AB279))),거래처별!$A$8:$A$307),IFERROR(LOOKUP(2,1/((거래처별!$AE$8:$AE$307&lt;&gt;"")*ISNUMBER(SEARCH(거래처별!$AE$8:$AE$307,$AB279))),거래처별!$A$8:$A$307),0))))</f>
        <v/>
      </c>
      <c r="AD279" s="31">
        <f>IF(AND($Y279&lt;&gt;"",N($Z279)&gt;0,$AC279=0),MAX($AD$7:$AD278)+1,"")</f>
        <v/>
      </c>
      <c r="AE279" s="31">
        <f>IF($Y279="",0,$Y279)</f>
        <v/>
      </c>
    </row>
    <row r="280">
      <c r="W280" s="31">
        <f>IF(OR($B$5="",$C$6="",ROW()&lt;$B$5),"",IF(INDEX($A:$U,ROW(),$C$6)="","",INDEX($A:$U,ROW(),$C$6)))</f>
        <v/>
      </c>
      <c r="X280" s="32">
        <f>IF($W280="","",IF(ISNUMBER($W280),IF($W280&gt;=10000000,IFERROR(DATE(INT($W280/10000),MOD(INT($W280/100),100),MOD($W280,100)),""),INT($W280)),IFERROR(DATE(--LEFT(LEFT(SUBSTITUTE(SUBSTITUTE(SUBSTITUTE(SUBSTITUTE(TRIM($W280),"-",""),".",""),"/","")," ",""),8),4),--MID(LEFT(SUBSTITUTE(SUBSTITUTE(SUBSTITUTE(SUBSTITUTE(TRIM($W280),"-",""),".",""),"/","")," ",""),8),5,2),--MID(LEFT(SUBSTITUTE(SUBSTITUTE(SUBSTITUTE(SUBSTITUTE(TRIM($W280),"-",""),".",""),"/","")," ",""),8),7,2)),"")))</f>
        <v/>
      </c>
      <c r="Y280" s="32">
        <f>IF($X280="","",INT($X280))</f>
        <v/>
      </c>
      <c r="Z280" s="33">
        <f>IF(OR($Y280="",$D$6=""),"",IF(INDEX($A:$U,ROW(),$D$6)="",0,IF(ISNUMBER(INDEX($A:$U,ROW(),$D$6)),INDEX($A:$U,ROW(),$D$6),IFERROR(--SUBSTITUTE(SUBSTITUTE(TRIM(INDEX($A:$U,ROW(),$D$6)),",",""),"원",""),0))))</f>
        <v/>
      </c>
      <c r="AA280" s="31">
        <f>IF($Y280="","",TRIM(INDEX($A:$U,ROW(),$E$6)&amp;IF($F$6="",""," "&amp;INDEX($A:$U,ROW(),$F$6))))</f>
        <v/>
      </c>
      <c r="AB280" s="31">
        <f>IF($AA280="","",SUBSTITUTE(SUBSTITUTE(SUBSTITUTE(SUBSTITUTE(SUBSTITUTE(SUBSTITUTE(SUBSTITUTE(SUBSTITUTE(SUBSTITUTE($AA280," ",""),"　",""),"(주)",""),"（주）",""),"㈜",""),"주식회사",""),"(유)",""),"（유）",""),"유한회사",""))</f>
        <v/>
      </c>
      <c r="AC280" s="31">
        <f>IF(OR($Y280="",N($Z280)&lt;=0,$AB280=""),0,IFERROR(LOOKUP(2,1/((거래처별!$AC$8:$AC$307&lt;&gt;"")*ISNUMBER(SEARCH(거래처별!$AC$8:$AC$307,$AB280))),거래처별!$A$8:$A$307),IFERROR(LOOKUP(2,1/((거래처별!$AD$8:$AD$307&lt;&gt;"")*ISNUMBER(SEARCH(거래처별!$AD$8:$AD$307,$AB280))),거래처별!$A$8:$A$307),IFERROR(LOOKUP(2,1/((거래처별!$AE$8:$AE$307&lt;&gt;"")*ISNUMBER(SEARCH(거래처별!$AE$8:$AE$307,$AB280))),거래처별!$A$8:$A$307),0))))</f>
        <v/>
      </c>
      <c r="AD280" s="31">
        <f>IF(AND($Y280&lt;&gt;"",N($Z280)&gt;0,$AC280=0),MAX($AD$7:$AD279)+1,"")</f>
        <v/>
      </c>
      <c r="AE280" s="31">
        <f>IF($Y280="",0,$Y280)</f>
        <v/>
      </c>
    </row>
    <row r="281">
      <c r="W281" s="31">
        <f>IF(OR($B$5="",$C$6="",ROW()&lt;$B$5),"",IF(INDEX($A:$U,ROW(),$C$6)="","",INDEX($A:$U,ROW(),$C$6)))</f>
        <v/>
      </c>
      <c r="X281" s="32">
        <f>IF($W281="","",IF(ISNUMBER($W281),IF($W281&gt;=10000000,IFERROR(DATE(INT($W281/10000),MOD(INT($W281/100),100),MOD($W281,100)),""),INT($W281)),IFERROR(DATE(--LEFT(LEFT(SUBSTITUTE(SUBSTITUTE(SUBSTITUTE(SUBSTITUTE(TRIM($W281),"-",""),".",""),"/","")," ",""),8),4),--MID(LEFT(SUBSTITUTE(SUBSTITUTE(SUBSTITUTE(SUBSTITUTE(TRIM($W281),"-",""),".",""),"/","")," ",""),8),5,2),--MID(LEFT(SUBSTITUTE(SUBSTITUTE(SUBSTITUTE(SUBSTITUTE(TRIM($W281),"-",""),".",""),"/","")," ",""),8),7,2)),"")))</f>
        <v/>
      </c>
      <c r="Y281" s="32">
        <f>IF($X281="","",INT($X281))</f>
        <v/>
      </c>
      <c r="Z281" s="33">
        <f>IF(OR($Y281="",$D$6=""),"",IF(INDEX($A:$U,ROW(),$D$6)="",0,IF(ISNUMBER(INDEX($A:$U,ROW(),$D$6)),INDEX($A:$U,ROW(),$D$6),IFERROR(--SUBSTITUTE(SUBSTITUTE(TRIM(INDEX($A:$U,ROW(),$D$6)),",",""),"원",""),0))))</f>
        <v/>
      </c>
      <c r="AA281" s="31">
        <f>IF($Y281="","",TRIM(INDEX($A:$U,ROW(),$E$6)&amp;IF($F$6="",""," "&amp;INDEX($A:$U,ROW(),$F$6))))</f>
        <v/>
      </c>
      <c r="AB281" s="31">
        <f>IF($AA281="","",SUBSTITUTE(SUBSTITUTE(SUBSTITUTE(SUBSTITUTE(SUBSTITUTE(SUBSTITUTE(SUBSTITUTE(SUBSTITUTE(SUBSTITUTE($AA281," ",""),"　",""),"(주)",""),"（주）",""),"㈜",""),"주식회사",""),"(유)",""),"（유）",""),"유한회사",""))</f>
        <v/>
      </c>
      <c r="AC281" s="31">
        <f>IF(OR($Y281="",N($Z281)&lt;=0,$AB281=""),0,IFERROR(LOOKUP(2,1/((거래처별!$AC$8:$AC$307&lt;&gt;"")*ISNUMBER(SEARCH(거래처별!$AC$8:$AC$307,$AB281))),거래처별!$A$8:$A$307),IFERROR(LOOKUP(2,1/((거래처별!$AD$8:$AD$307&lt;&gt;"")*ISNUMBER(SEARCH(거래처별!$AD$8:$AD$307,$AB281))),거래처별!$A$8:$A$307),IFERROR(LOOKUP(2,1/((거래처별!$AE$8:$AE$307&lt;&gt;"")*ISNUMBER(SEARCH(거래처별!$AE$8:$AE$307,$AB281))),거래처별!$A$8:$A$307),0))))</f>
        <v/>
      </c>
      <c r="AD281" s="31">
        <f>IF(AND($Y281&lt;&gt;"",N($Z281)&gt;0,$AC281=0),MAX($AD$7:$AD280)+1,"")</f>
        <v/>
      </c>
      <c r="AE281" s="31">
        <f>IF($Y281="",0,$Y281)</f>
        <v/>
      </c>
    </row>
    <row r="282">
      <c r="W282" s="31">
        <f>IF(OR($B$5="",$C$6="",ROW()&lt;$B$5),"",IF(INDEX($A:$U,ROW(),$C$6)="","",INDEX($A:$U,ROW(),$C$6)))</f>
        <v/>
      </c>
      <c r="X282" s="32">
        <f>IF($W282="","",IF(ISNUMBER($W282),IF($W282&gt;=10000000,IFERROR(DATE(INT($W282/10000),MOD(INT($W282/100),100),MOD($W282,100)),""),INT($W282)),IFERROR(DATE(--LEFT(LEFT(SUBSTITUTE(SUBSTITUTE(SUBSTITUTE(SUBSTITUTE(TRIM($W282),"-",""),".",""),"/","")," ",""),8),4),--MID(LEFT(SUBSTITUTE(SUBSTITUTE(SUBSTITUTE(SUBSTITUTE(TRIM($W282),"-",""),".",""),"/","")," ",""),8),5,2),--MID(LEFT(SUBSTITUTE(SUBSTITUTE(SUBSTITUTE(SUBSTITUTE(TRIM($W282),"-",""),".",""),"/","")," ",""),8),7,2)),"")))</f>
        <v/>
      </c>
      <c r="Y282" s="32">
        <f>IF($X282="","",INT($X282))</f>
        <v/>
      </c>
      <c r="Z282" s="33">
        <f>IF(OR($Y282="",$D$6=""),"",IF(INDEX($A:$U,ROW(),$D$6)="",0,IF(ISNUMBER(INDEX($A:$U,ROW(),$D$6)),INDEX($A:$U,ROW(),$D$6),IFERROR(--SUBSTITUTE(SUBSTITUTE(TRIM(INDEX($A:$U,ROW(),$D$6)),",",""),"원",""),0))))</f>
        <v/>
      </c>
      <c r="AA282" s="31">
        <f>IF($Y282="","",TRIM(INDEX($A:$U,ROW(),$E$6)&amp;IF($F$6="",""," "&amp;INDEX($A:$U,ROW(),$F$6))))</f>
        <v/>
      </c>
      <c r="AB282" s="31">
        <f>IF($AA282="","",SUBSTITUTE(SUBSTITUTE(SUBSTITUTE(SUBSTITUTE(SUBSTITUTE(SUBSTITUTE(SUBSTITUTE(SUBSTITUTE(SUBSTITUTE($AA282," ",""),"　",""),"(주)",""),"（주）",""),"㈜",""),"주식회사",""),"(유)",""),"（유）",""),"유한회사",""))</f>
        <v/>
      </c>
      <c r="AC282" s="31">
        <f>IF(OR($Y282="",N($Z282)&lt;=0,$AB282=""),0,IFERROR(LOOKUP(2,1/((거래처별!$AC$8:$AC$307&lt;&gt;"")*ISNUMBER(SEARCH(거래처별!$AC$8:$AC$307,$AB282))),거래처별!$A$8:$A$307),IFERROR(LOOKUP(2,1/((거래처별!$AD$8:$AD$307&lt;&gt;"")*ISNUMBER(SEARCH(거래처별!$AD$8:$AD$307,$AB282))),거래처별!$A$8:$A$307),IFERROR(LOOKUP(2,1/((거래처별!$AE$8:$AE$307&lt;&gt;"")*ISNUMBER(SEARCH(거래처별!$AE$8:$AE$307,$AB282))),거래처별!$A$8:$A$307),0))))</f>
        <v/>
      </c>
      <c r="AD282" s="31">
        <f>IF(AND($Y282&lt;&gt;"",N($Z282)&gt;0,$AC282=0),MAX($AD$7:$AD281)+1,"")</f>
        <v/>
      </c>
      <c r="AE282" s="31">
        <f>IF($Y282="",0,$Y282)</f>
        <v/>
      </c>
    </row>
    <row r="283">
      <c r="W283" s="31">
        <f>IF(OR($B$5="",$C$6="",ROW()&lt;$B$5),"",IF(INDEX($A:$U,ROW(),$C$6)="","",INDEX($A:$U,ROW(),$C$6)))</f>
        <v/>
      </c>
      <c r="X283" s="32">
        <f>IF($W283="","",IF(ISNUMBER($W283),IF($W283&gt;=10000000,IFERROR(DATE(INT($W283/10000),MOD(INT($W283/100),100),MOD($W283,100)),""),INT($W283)),IFERROR(DATE(--LEFT(LEFT(SUBSTITUTE(SUBSTITUTE(SUBSTITUTE(SUBSTITUTE(TRIM($W283),"-",""),".",""),"/","")," ",""),8),4),--MID(LEFT(SUBSTITUTE(SUBSTITUTE(SUBSTITUTE(SUBSTITUTE(TRIM($W283),"-",""),".",""),"/","")," ",""),8),5,2),--MID(LEFT(SUBSTITUTE(SUBSTITUTE(SUBSTITUTE(SUBSTITUTE(TRIM($W283),"-",""),".",""),"/","")," ",""),8),7,2)),"")))</f>
        <v/>
      </c>
      <c r="Y283" s="32">
        <f>IF($X283="","",INT($X283))</f>
        <v/>
      </c>
      <c r="Z283" s="33">
        <f>IF(OR($Y283="",$D$6=""),"",IF(INDEX($A:$U,ROW(),$D$6)="",0,IF(ISNUMBER(INDEX($A:$U,ROW(),$D$6)),INDEX($A:$U,ROW(),$D$6),IFERROR(--SUBSTITUTE(SUBSTITUTE(TRIM(INDEX($A:$U,ROW(),$D$6)),",",""),"원",""),0))))</f>
        <v/>
      </c>
      <c r="AA283" s="31">
        <f>IF($Y283="","",TRIM(INDEX($A:$U,ROW(),$E$6)&amp;IF($F$6="",""," "&amp;INDEX($A:$U,ROW(),$F$6))))</f>
        <v/>
      </c>
      <c r="AB283" s="31">
        <f>IF($AA283="","",SUBSTITUTE(SUBSTITUTE(SUBSTITUTE(SUBSTITUTE(SUBSTITUTE(SUBSTITUTE(SUBSTITUTE(SUBSTITUTE(SUBSTITUTE($AA283," ",""),"　",""),"(주)",""),"（주）",""),"㈜",""),"주식회사",""),"(유)",""),"（유）",""),"유한회사",""))</f>
        <v/>
      </c>
      <c r="AC283" s="31">
        <f>IF(OR($Y283="",N($Z283)&lt;=0,$AB283=""),0,IFERROR(LOOKUP(2,1/((거래처별!$AC$8:$AC$307&lt;&gt;"")*ISNUMBER(SEARCH(거래처별!$AC$8:$AC$307,$AB283))),거래처별!$A$8:$A$307),IFERROR(LOOKUP(2,1/((거래처별!$AD$8:$AD$307&lt;&gt;"")*ISNUMBER(SEARCH(거래처별!$AD$8:$AD$307,$AB283))),거래처별!$A$8:$A$307),IFERROR(LOOKUP(2,1/((거래처별!$AE$8:$AE$307&lt;&gt;"")*ISNUMBER(SEARCH(거래처별!$AE$8:$AE$307,$AB283))),거래처별!$A$8:$A$307),0))))</f>
        <v/>
      </c>
      <c r="AD283" s="31">
        <f>IF(AND($Y283&lt;&gt;"",N($Z283)&gt;0,$AC283=0),MAX($AD$7:$AD282)+1,"")</f>
        <v/>
      </c>
      <c r="AE283" s="31">
        <f>IF($Y283="",0,$Y283)</f>
        <v/>
      </c>
    </row>
    <row r="284">
      <c r="W284" s="31">
        <f>IF(OR($B$5="",$C$6="",ROW()&lt;$B$5),"",IF(INDEX($A:$U,ROW(),$C$6)="","",INDEX($A:$U,ROW(),$C$6)))</f>
        <v/>
      </c>
      <c r="X284" s="32">
        <f>IF($W284="","",IF(ISNUMBER($W284),IF($W284&gt;=10000000,IFERROR(DATE(INT($W284/10000),MOD(INT($W284/100),100),MOD($W284,100)),""),INT($W284)),IFERROR(DATE(--LEFT(LEFT(SUBSTITUTE(SUBSTITUTE(SUBSTITUTE(SUBSTITUTE(TRIM($W284),"-",""),".",""),"/","")," ",""),8),4),--MID(LEFT(SUBSTITUTE(SUBSTITUTE(SUBSTITUTE(SUBSTITUTE(TRIM($W284),"-",""),".",""),"/","")," ",""),8),5,2),--MID(LEFT(SUBSTITUTE(SUBSTITUTE(SUBSTITUTE(SUBSTITUTE(TRIM($W284),"-",""),".",""),"/","")," ",""),8),7,2)),"")))</f>
        <v/>
      </c>
      <c r="Y284" s="32">
        <f>IF($X284="","",INT($X284))</f>
        <v/>
      </c>
      <c r="Z284" s="33">
        <f>IF(OR($Y284="",$D$6=""),"",IF(INDEX($A:$U,ROW(),$D$6)="",0,IF(ISNUMBER(INDEX($A:$U,ROW(),$D$6)),INDEX($A:$U,ROW(),$D$6),IFERROR(--SUBSTITUTE(SUBSTITUTE(TRIM(INDEX($A:$U,ROW(),$D$6)),",",""),"원",""),0))))</f>
        <v/>
      </c>
      <c r="AA284" s="31">
        <f>IF($Y284="","",TRIM(INDEX($A:$U,ROW(),$E$6)&amp;IF($F$6="",""," "&amp;INDEX($A:$U,ROW(),$F$6))))</f>
        <v/>
      </c>
      <c r="AB284" s="31">
        <f>IF($AA284="","",SUBSTITUTE(SUBSTITUTE(SUBSTITUTE(SUBSTITUTE(SUBSTITUTE(SUBSTITUTE(SUBSTITUTE(SUBSTITUTE(SUBSTITUTE($AA284," ",""),"　",""),"(주)",""),"（주）",""),"㈜",""),"주식회사",""),"(유)",""),"（유）",""),"유한회사",""))</f>
        <v/>
      </c>
      <c r="AC284" s="31">
        <f>IF(OR($Y284="",N($Z284)&lt;=0,$AB284=""),0,IFERROR(LOOKUP(2,1/((거래처별!$AC$8:$AC$307&lt;&gt;"")*ISNUMBER(SEARCH(거래처별!$AC$8:$AC$307,$AB284))),거래처별!$A$8:$A$307),IFERROR(LOOKUP(2,1/((거래처별!$AD$8:$AD$307&lt;&gt;"")*ISNUMBER(SEARCH(거래처별!$AD$8:$AD$307,$AB284))),거래처별!$A$8:$A$307),IFERROR(LOOKUP(2,1/((거래처별!$AE$8:$AE$307&lt;&gt;"")*ISNUMBER(SEARCH(거래처별!$AE$8:$AE$307,$AB284))),거래처별!$A$8:$A$307),0))))</f>
        <v/>
      </c>
      <c r="AD284" s="31">
        <f>IF(AND($Y284&lt;&gt;"",N($Z284)&gt;0,$AC284=0),MAX($AD$7:$AD283)+1,"")</f>
        <v/>
      </c>
      <c r="AE284" s="31">
        <f>IF($Y284="",0,$Y284)</f>
        <v/>
      </c>
    </row>
    <row r="285">
      <c r="W285" s="31">
        <f>IF(OR($B$5="",$C$6="",ROW()&lt;$B$5),"",IF(INDEX($A:$U,ROW(),$C$6)="","",INDEX($A:$U,ROW(),$C$6)))</f>
        <v/>
      </c>
      <c r="X285" s="32">
        <f>IF($W285="","",IF(ISNUMBER($W285),IF($W285&gt;=10000000,IFERROR(DATE(INT($W285/10000),MOD(INT($W285/100),100),MOD($W285,100)),""),INT($W285)),IFERROR(DATE(--LEFT(LEFT(SUBSTITUTE(SUBSTITUTE(SUBSTITUTE(SUBSTITUTE(TRIM($W285),"-",""),".",""),"/","")," ",""),8),4),--MID(LEFT(SUBSTITUTE(SUBSTITUTE(SUBSTITUTE(SUBSTITUTE(TRIM($W285),"-",""),".",""),"/","")," ",""),8),5,2),--MID(LEFT(SUBSTITUTE(SUBSTITUTE(SUBSTITUTE(SUBSTITUTE(TRIM($W285),"-",""),".",""),"/","")," ",""),8),7,2)),"")))</f>
        <v/>
      </c>
      <c r="Y285" s="32">
        <f>IF($X285="","",INT($X285))</f>
        <v/>
      </c>
      <c r="Z285" s="33">
        <f>IF(OR($Y285="",$D$6=""),"",IF(INDEX($A:$U,ROW(),$D$6)="",0,IF(ISNUMBER(INDEX($A:$U,ROW(),$D$6)),INDEX($A:$U,ROW(),$D$6),IFERROR(--SUBSTITUTE(SUBSTITUTE(TRIM(INDEX($A:$U,ROW(),$D$6)),",",""),"원",""),0))))</f>
        <v/>
      </c>
      <c r="AA285" s="31">
        <f>IF($Y285="","",TRIM(INDEX($A:$U,ROW(),$E$6)&amp;IF($F$6="",""," "&amp;INDEX($A:$U,ROW(),$F$6))))</f>
        <v/>
      </c>
      <c r="AB285" s="31">
        <f>IF($AA285="","",SUBSTITUTE(SUBSTITUTE(SUBSTITUTE(SUBSTITUTE(SUBSTITUTE(SUBSTITUTE(SUBSTITUTE(SUBSTITUTE(SUBSTITUTE($AA285," ",""),"　",""),"(주)",""),"（주）",""),"㈜",""),"주식회사",""),"(유)",""),"（유）",""),"유한회사",""))</f>
        <v/>
      </c>
      <c r="AC285" s="31">
        <f>IF(OR($Y285="",N($Z285)&lt;=0,$AB285=""),0,IFERROR(LOOKUP(2,1/((거래처별!$AC$8:$AC$307&lt;&gt;"")*ISNUMBER(SEARCH(거래처별!$AC$8:$AC$307,$AB285))),거래처별!$A$8:$A$307),IFERROR(LOOKUP(2,1/((거래처별!$AD$8:$AD$307&lt;&gt;"")*ISNUMBER(SEARCH(거래처별!$AD$8:$AD$307,$AB285))),거래처별!$A$8:$A$307),IFERROR(LOOKUP(2,1/((거래처별!$AE$8:$AE$307&lt;&gt;"")*ISNUMBER(SEARCH(거래처별!$AE$8:$AE$307,$AB285))),거래처별!$A$8:$A$307),0))))</f>
        <v/>
      </c>
      <c r="AD285" s="31">
        <f>IF(AND($Y285&lt;&gt;"",N($Z285)&gt;0,$AC285=0),MAX($AD$7:$AD284)+1,"")</f>
        <v/>
      </c>
      <c r="AE285" s="31">
        <f>IF($Y285="",0,$Y285)</f>
        <v/>
      </c>
    </row>
    <row r="286">
      <c r="W286" s="31">
        <f>IF(OR($B$5="",$C$6="",ROW()&lt;$B$5),"",IF(INDEX($A:$U,ROW(),$C$6)="","",INDEX($A:$U,ROW(),$C$6)))</f>
        <v/>
      </c>
      <c r="X286" s="32">
        <f>IF($W286="","",IF(ISNUMBER($W286),IF($W286&gt;=10000000,IFERROR(DATE(INT($W286/10000),MOD(INT($W286/100),100),MOD($W286,100)),""),INT($W286)),IFERROR(DATE(--LEFT(LEFT(SUBSTITUTE(SUBSTITUTE(SUBSTITUTE(SUBSTITUTE(TRIM($W286),"-",""),".",""),"/","")," ",""),8),4),--MID(LEFT(SUBSTITUTE(SUBSTITUTE(SUBSTITUTE(SUBSTITUTE(TRIM($W286),"-",""),".",""),"/","")," ",""),8),5,2),--MID(LEFT(SUBSTITUTE(SUBSTITUTE(SUBSTITUTE(SUBSTITUTE(TRIM($W286),"-",""),".",""),"/","")," ",""),8),7,2)),"")))</f>
        <v/>
      </c>
      <c r="Y286" s="32">
        <f>IF($X286="","",INT($X286))</f>
        <v/>
      </c>
      <c r="Z286" s="33">
        <f>IF(OR($Y286="",$D$6=""),"",IF(INDEX($A:$U,ROW(),$D$6)="",0,IF(ISNUMBER(INDEX($A:$U,ROW(),$D$6)),INDEX($A:$U,ROW(),$D$6),IFERROR(--SUBSTITUTE(SUBSTITUTE(TRIM(INDEX($A:$U,ROW(),$D$6)),",",""),"원",""),0))))</f>
        <v/>
      </c>
      <c r="AA286" s="31">
        <f>IF($Y286="","",TRIM(INDEX($A:$U,ROW(),$E$6)&amp;IF($F$6="",""," "&amp;INDEX($A:$U,ROW(),$F$6))))</f>
        <v/>
      </c>
      <c r="AB286" s="31">
        <f>IF($AA286="","",SUBSTITUTE(SUBSTITUTE(SUBSTITUTE(SUBSTITUTE(SUBSTITUTE(SUBSTITUTE(SUBSTITUTE(SUBSTITUTE(SUBSTITUTE($AA286," ",""),"　",""),"(주)",""),"（주）",""),"㈜",""),"주식회사",""),"(유)",""),"（유）",""),"유한회사",""))</f>
        <v/>
      </c>
      <c r="AC286" s="31">
        <f>IF(OR($Y286="",N($Z286)&lt;=0,$AB286=""),0,IFERROR(LOOKUP(2,1/((거래처별!$AC$8:$AC$307&lt;&gt;"")*ISNUMBER(SEARCH(거래처별!$AC$8:$AC$307,$AB286))),거래처별!$A$8:$A$307),IFERROR(LOOKUP(2,1/((거래처별!$AD$8:$AD$307&lt;&gt;"")*ISNUMBER(SEARCH(거래처별!$AD$8:$AD$307,$AB286))),거래처별!$A$8:$A$307),IFERROR(LOOKUP(2,1/((거래처별!$AE$8:$AE$307&lt;&gt;"")*ISNUMBER(SEARCH(거래처별!$AE$8:$AE$307,$AB286))),거래처별!$A$8:$A$307),0))))</f>
        <v/>
      </c>
      <c r="AD286" s="31">
        <f>IF(AND($Y286&lt;&gt;"",N($Z286)&gt;0,$AC286=0),MAX($AD$7:$AD285)+1,"")</f>
        <v/>
      </c>
      <c r="AE286" s="31">
        <f>IF($Y286="",0,$Y286)</f>
        <v/>
      </c>
    </row>
    <row r="287">
      <c r="W287" s="31">
        <f>IF(OR($B$5="",$C$6="",ROW()&lt;$B$5),"",IF(INDEX($A:$U,ROW(),$C$6)="","",INDEX($A:$U,ROW(),$C$6)))</f>
        <v/>
      </c>
      <c r="X287" s="32">
        <f>IF($W287="","",IF(ISNUMBER($W287),IF($W287&gt;=10000000,IFERROR(DATE(INT($W287/10000),MOD(INT($W287/100),100),MOD($W287,100)),""),INT($W287)),IFERROR(DATE(--LEFT(LEFT(SUBSTITUTE(SUBSTITUTE(SUBSTITUTE(SUBSTITUTE(TRIM($W287),"-",""),".",""),"/","")," ",""),8),4),--MID(LEFT(SUBSTITUTE(SUBSTITUTE(SUBSTITUTE(SUBSTITUTE(TRIM($W287),"-",""),".",""),"/","")," ",""),8),5,2),--MID(LEFT(SUBSTITUTE(SUBSTITUTE(SUBSTITUTE(SUBSTITUTE(TRIM($W287),"-",""),".",""),"/","")," ",""),8),7,2)),"")))</f>
        <v/>
      </c>
      <c r="Y287" s="32">
        <f>IF($X287="","",INT($X287))</f>
        <v/>
      </c>
      <c r="Z287" s="33">
        <f>IF(OR($Y287="",$D$6=""),"",IF(INDEX($A:$U,ROW(),$D$6)="",0,IF(ISNUMBER(INDEX($A:$U,ROW(),$D$6)),INDEX($A:$U,ROW(),$D$6),IFERROR(--SUBSTITUTE(SUBSTITUTE(TRIM(INDEX($A:$U,ROW(),$D$6)),",",""),"원",""),0))))</f>
        <v/>
      </c>
      <c r="AA287" s="31">
        <f>IF($Y287="","",TRIM(INDEX($A:$U,ROW(),$E$6)&amp;IF($F$6="",""," "&amp;INDEX($A:$U,ROW(),$F$6))))</f>
        <v/>
      </c>
      <c r="AB287" s="31">
        <f>IF($AA287="","",SUBSTITUTE(SUBSTITUTE(SUBSTITUTE(SUBSTITUTE(SUBSTITUTE(SUBSTITUTE(SUBSTITUTE(SUBSTITUTE(SUBSTITUTE($AA287," ",""),"　",""),"(주)",""),"（주）",""),"㈜",""),"주식회사",""),"(유)",""),"（유）",""),"유한회사",""))</f>
        <v/>
      </c>
      <c r="AC287" s="31">
        <f>IF(OR($Y287="",N($Z287)&lt;=0,$AB287=""),0,IFERROR(LOOKUP(2,1/((거래처별!$AC$8:$AC$307&lt;&gt;"")*ISNUMBER(SEARCH(거래처별!$AC$8:$AC$307,$AB287))),거래처별!$A$8:$A$307),IFERROR(LOOKUP(2,1/((거래처별!$AD$8:$AD$307&lt;&gt;"")*ISNUMBER(SEARCH(거래처별!$AD$8:$AD$307,$AB287))),거래처별!$A$8:$A$307),IFERROR(LOOKUP(2,1/((거래처별!$AE$8:$AE$307&lt;&gt;"")*ISNUMBER(SEARCH(거래처별!$AE$8:$AE$307,$AB287))),거래처별!$A$8:$A$307),0))))</f>
        <v/>
      </c>
      <c r="AD287" s="31">
        <f>IF(AND($Y287&lt;&gt;"",N($Z287)&gt;0,$AC287=0),MAX($AD$7:$AD286)+1,"")</f>
        <v/>
      </c>
      <c r="AE287" s="31">
        <f>IF($Y287="",0,$Y287)</f>
        <v/>
      </c>
    </row>
    <row r="288">
      <c r="W288" s="31">
        <f>IF(OR($B$5="",$C$6="",ROW()&lt;$B$5),"",IF(INDEX($A:$U,ROW(),$C$6)="","",INDEX($A:$U,ROW(),$C$6)))</f>
        <v/>
      </c>
      <c r="X288" s="32">
        <f>IF($W288="","",IF(ISNUMBER($W288),IF($W288&gt;=10000000,IFERROR(DATE(INT($W288/10000),MOD(INT($W288/100),100),MOD($W288,100)),""),INT($W288)),IFERROR(DATE(--LEFT(LEFT(SUBSTITUTE(SUBSTITUTE(SUBSTITUTE(SUBSTITUTE(TRIM($W288),"-",""),".",""),"/","")," ",""),8),4),--MID(LEFT(SUBSTITUTE(SUBSTITUTE(SUBSTITUTE(SUBSTITUTE(TRIM($W288),"-",""),".",""),"/","")," ",""),8),5,2),--MID(LEFT(SUBSTITUTE(SUBSTITUTE(SUBSTITUTE(SUBSTITUTE(TRIM($W288),"-",""),".",""),"/","")," ",""),8),7,2)),"")))</f>
        <v/>
      </c>
      <c r="Y288" s="32">
        <f>IF($X288="","",INT($X288))</f>
        <v/>
      </c>
      <c r="Z288" s="33">
        <f>IF(OR($Y288="",$D$6=""),"",IF(INDEX($A:$U,ROW(),$D$6)="",0,IF(ISNUMBER(INDEX($A:$U,ROW(),$D$6)),INDEX($A:$U,ROW(),$D$6),IFERROR(--SUBSTITUTE(SUBSTITUTE(TRIM(INDEX($A:$U,ROW(),$D$6)),",",""),"원",""),0))))</f>
        <v/>
      </c>
      <c r="AA288" s="31">
        <f>IF($Y288="","",TRIM(INDEX($A:$U,ROW(),$E$6)&amp;IF($F$6="",""," "&amp;INDEX($A:$U,ROW(),$F$6))))</f>
        <v/>
      </c>
      <c r="AB288" s="31">
        <f>IF($AA288="","",SUBSTITUTE(SUBSTITUTE(SUBSTITUTE(SUBSTITUTE(SUBSTITUTE(SUBSTITUTE(SUBSTITUTE(SUBSTITUTE(SUBSTITUTE($AA288," ",""),"　",""),"(주)",""),"（주）",""),"㈜",""),"주식회사",""),"(유)",""),"（유）",""),"유한회사",""))</f>
        <v/>
      </c>
      <c r="AC288" s="31">
        <f>IF(OR($Y288="",N($Z288)&lt;=0,$AB288=""),0,IFERROR(LOOKUP(2,1/((거래처별!$AC$8:$AC$307&lt;&gt;"")*ISNUMBER(SEARCH(거래처별!$AC$8:$AC$307,$AB288))),거래처별!$A$8:$A$307),IFERROR(LOOKUP(2,1/((거래처별!$AD$8:$AD$307&lt;&gt;"")*ISNUMBER(SEARCH(거래처별!$AD$8:$AD$307,$AB288))),거래처별!$A$8:$A$307),IFERROR(LOOKUP(2,1/((거래처별!$AE$8:$AE$307&lt;&gt;"")*ISNUMBER(SEARCH(거래처별!$AE$8:$AE$307,$AB288))),거래처별!$A$8:$A$307),0))))</f>
        <v/>
      </c>
      <c r="AD288" s="31">
        <f>IF(AND($Y288&lt;&gt;"",N($Z288)&gt;0,$AC288=0),MAX($AD$7:$AD287)+1,"")</f>
        <v/>
      </c>
      <c r="AE288" s="31">
        <f>IF($Y288="",0,$Y288)</f>
        <v/>
      </c>
    </row>
    <row r="289">
      <c r="W289" s="31">
        <f>IF(OR($B$5="",$C$6="",ROW()&lt;$B$5),"",IF(INDEX($A:$U,ROW(),$C$6)="","",INDEX($A:$U,ROW(),$C$6)))</f>
        <v/>
      </c>
      <c r="X289" s="32">
        <f>IF($W289="","",IF(ISNUMBER($W289),IF($W289&gt;=10000000,IFERROR(DATE(INT($W289/10000),MOD(INT($W289/100),100),MOD($W289,100)),""),INT($W289)),IFERROR(DATE(--LEFT(LEFT(SUBSTITUTE(SUBSTITUTE(SUBSTITUTE(SUBSTITUTE(TRIM($W289),"-",""),".",""),"/","")," ",""),8),4),--MID(LEFT(SUBSTITUTE(SUBSTITUTE(SUBSTITUTE(SUBSTITUTE(TRIM($W289),"-",""),".",""),"/","")," ",""),8),5,2),--MID(LEFT(SUBSTITUTE(SUBSTITUTE(SUBSTITUTE(SUBSTITUTE(TRIM($W289),"-",""),".",""),"/","")," ",""),8),7,2)),"")))</f>
        <v/>
      </c>
      <c r="Y289" s="32">
        <f>IF($X289="","",INT($X289))</f>
        <v/>
      </c>
      <c r="Z289" s="33">
        <f>IF(OR($Y289="",$D$6=""),"",IF(INDEX($A:$U,ROW(),$D$6)="",0,IF(ISNUMBER(INDEX($A:$U,ROW(),$D$6)),INDEX($A:$U,ROW(),$D$6),IFERROR(--SUBSTITUTE(SUBSTITUTE(TRIM(INDEX($A:$U,ROW(),$D$6)),",",""),"원",""),0))))</f>
        <v/>
      </c>
      <c r="AA289" s="31">
        <f>IF($Y289="","",TRIM(INDEX($A:$U,ROW(),$E$6)&amp;IF($F$6="",""," "&amp;INDEX($A:$U,ROW(),$F$6))))</f>
        <v/>
      </c>
      <c r="AB289" s="31">
        <f>IF($AA289="","",SUBSTITUTE(SUBSTITUTE(SUBSTITUTE(SUBSTITUTE(SUBSTITUTE(SUBSTITUTE(SUBSTITUTE(SUBSTITUTE(SUBSTITUTE($AA289," ",""),"　",""),"(주)",""),"（주）",""),"㈜",""),"주식회사",""),"(유)",""),"（유）",""),"유한회사",""))</f>
        <v/>
      </c>
      <c r="AC289" s="31">
        <f>IF(OR($Y289="",N($Z289)&lt;=0,$AB289=""),0,IFERROR(LOOKUP(2,1/((거래처별!$AC$8:$AC$307&lt;&gt;"")*ISNUMBER(SEARCH(거래처별!$AC$8:$AC$307,$AB289))),거래처별!$A$8:$A$307),IFERROR(LOOKUP(2,1/((거래처별!$AD$8:$AD$307&lt;&gt;"")*ISNUMBER(SEARCH(거래처별!$AD$8:$AD$307,$AB289))),거래처별!$A$8:$A$307),IFERROR(LOOKUP(2,1/((거래처별!$AE$8:$AE$307&lt;&gt;"")*ISNUMBER(SEARCH(거래처별!$AE$8:$AE$307,$AB289))),거래처별!$A$8:$A$307),0))))</f>
        <v/>
      </c>
      <c r="AD289" s="31">
        <f>IF(AND($Y289&lt;&gt;"",N($Z289)&gt;0,$AC289=0),MAX($AD$7:$AD288)+1,"")</f>
        <v/>
      </c>
      <c r="AE289" s="31">
        <f>IF($Y289="",0,$Y289)</f>
        <v/>
      </c>
    </row>
    <row r="290">
      <c r="W290" s="31">
        <f>IF(OR($B$5="",$C$6="",ROW()&lt;$B$5),"",IF(INDEX($A:$U,ROW(),$C$6)="","",INDEX($A:$U,ROW(),$C$6)))</f>
        <v/>
      </c>
      <c r="X290" s="32">
        <f>IF($W290="","",IF(ISNUMBER($W290),IF($W290&gt;=10000000,IFERROR(DATE(INT($W290/10000),MOD(INT($W290/100),100),MOD($W290,100)),""),INT($W290)),IFERROR(DATE(--LEFT(LEFT(SUBSTITUTE(SUBSTITUTE(SUBSTITUTE(SUBSTITUTE(TRIM($W290),"-",""),".",""),"/","")," ",""),8),4),--MID(LEFT(SUBSTITUTE(SUBSTITUTE(SUBSTITUTE(SUBSTITUTE(TRIM($W290),"-",""),".",""),"/","")," ",""),8),5,2),--MID(LEFT(SUBSTITUTE(SUBSTITUTE(SUBSTITUTE(SUBSTITUTE(TRIM($W290),"-",""),".",""),"/","")," ",""),8),7,2)),"")))</f>
        <v/>
      </c>
      <c r="Y290" s="32">
        <f>IF($X290="","",INT($X290))</f>
        <v/>
      </c>
      <c r="Z290" s="33">
        <f>IF(OR($Y290="",$D$6=""),"",IF(INDEX($A:$U,ROW(),$D$6)="",0,IF(ISNUMBER(INDEX($A:$U,ROW(),$D$6)),INDEX($A:$U,ROW(),$D$6),IFERROR(--SUBSTITUTE(SUBSTITUTE(TRIM(INDEX($A:$U,ROW(),$D$6)),",",""),"원",""),0))))</f>
        <v/>
      </c>
      <c r="AA290" s="31">
        <f>IF($Y290="","",TRIM(INDEX($A:$U,ROW(),$E$6)&amp;IF($F$6="",""," "&amp;INDEX($A:$U,ROW(),$F$6))))</f>
        <v/>
      </c>
      <c r="AB290" s="31">
        <f>IF($AA290="","",SUBSTITUTE(SUBSTITUTE(SUBSTITUTE(SUBSTITUTE(SUBSTITUTE(SUBSTITUTE(SUBSTITUTE(SUBSTITUTE(SUBSTITUTE($AA290," ",""),"　",""),"(주)",""),"（주）",""),"㈜",""),"주식회사",""),"(유)",""),"（유）",""),"유한회사",""))</f>
        <v/>
      </c>
      <c r="AC290" s="31">
        <f>IF(OR($Y290="",N($Z290)&lt;=0,$AB290=""),0,IFERROR(LOOKUP(2,1/((거래처별!$AC$8:$AC$307&lt;&gt;"")*ISNUMBER(SEARCH(거래처별!$AC$8:$AC$307,$AB290))),거래처별!$A$8:$A$307),IFERROR(LOOKUP(2,1/((거래처별!$AD$8:$AD$307&lt;&gt;"")*ISNUMBER(SEARCH(거래처별!$AD$8:$AD$307,$AB290))),거래처별!$A$8:$A$307),IFERROR(LOOKUP(2,1/((거래처별!$AE$8:$AE$307&lt;&gt;"")*ISNUMBER(SEARCH(거래처별!$AE$8:$AE$307,$AB290))),거래처별!$A$8:$A$307),0))))</f>
        <v/>
      </c>
      <c r="AD290" s="31">
        <f>IF(AND($Y290&lt;&gt;"",N($Z290)&gt;0,$AC290=0),MAX($AD$7:$AD289)+1,"")</f>
        <v/>
      </c>
      <c r="AE290" s="31">
        <f>IF($Y290="",0,$Y290)</f>
        <v/>
      </c>
    </row>
    <row r="291">
      <c r="W291" s="31">
        <f>IF(OR($B$5="",$C$6="",ROW()&lt;$B$5),"",IF(INDEX($A:$U,ROW(),$C$6)="","",INDEX($A:$U,ROW(),$C$6)))</f>
        <v/>
      </c>
      <c r="X291" s="32">
        <f>IF($W291="","",IF(ISNUMBER($W291),IF($W291&gt;=10000000,IFERROR(DATE(INT($W291/10000),MOD(INT($W291/100),100),MOD($W291,100)),""),INT($W291)),IFERROR(DATE(--LEFT(LEFT(SUBSTITUTE(SUBSTITUTE(SUBSTITUTE(SUBSTITUTE(TRIM($W291),"-",""),".",""),"/","")," ",""),8),4),--MID(LEFT(SUBSTITUTE(SUBSTITUTE(SUBSTITUTE(SUBSTITUTE(TRIM($W291),"-",""),".",""),"/","")," ",""),8),5,2),--MID(LEFT(SUBSTITUTE(SUBSTITUTE(SUBSTITUTE(SUBSTITUTE(TRIM($W291),"-",""),".",""),"/","")," ",""),8),7,2)),"")))</f>
        <v/>
      </c>
      <c r="Y291" s="32">
        <f>IF($X291="","",INT($X291))</f>
        <v/>
      </c>
      <c r="Z291" s="33">
        <f>IF(OR($Y291="",$D$6=""),"",IF(INDEX($A:$U,ROW(),$D$6)="",0,IF(ISNUMBER(INDEX($A:$U,ROW(),$D$6)),INDEX($A:$U,ROW(),$D$6),IFERROR(--SUBSTITUTE(SUBSTITUTE(TRIM(INDEX($A:$U,ROW(),$D$6)),",",""),"원",""),0))))</f>
        <v/>
      </c>
      <c r="AA291" s="31">
        <f>IF($Y291="","",TRIM(INDEX($A:$U,ROW(),$E$6)&amp;IF($F$6="",""," "&amp;INDEX($A:$U,ROW(),$F$6))))</f>
        <v/>
      </c>
      <c r="AB291" s="31">
        <f>IF($AA291="","",SUBSTITUTE(SUBSTITUTE(SUBSTITUTE(SUBSTITUTE(SUBSTITUTE(SUBSTITUTE(SUBSTITUTE(SUBSTITUTE(SUBSTITUTE($AA291," ",""),"　",""),"(주)",""),"（주）",""),"㈜",""),"주식회사",""),"(유)",""),"（유）",""),"유한회사",""))</f>
        <v/>
      </c>
      <c r="AC291" s="31">
        <f>IF(OR($Y291="",N($Z291)&lt;=0,$AB291=""),0,IFERROR(LOOKUP(2,1/((거래처별!$AC$8:$AC$307&lt;&gt;"")*ISNUMBER(SEARCH(거래처별!$AC$8:$AC$307,$AB291))),거래처별!$A$8:$A$307),IFERROR(LOOKUP(2,1/((거래처별!$AD$8:$AD$307&lt;&gt;"")*ISNUMBER(SEARCH(거래처별!$AD$8:$AD$307,$AB291))),거래처별!$A$8:$A$307),IFERROR(LOOKUP(2,1/((거래처별!$AE$8:$AE$307&lt;&gt;"")*ISNUMBER(SEARCH(거래처별!$AE$8:$AE$307,$AB291))),거래처별!$A$8:$A$307),0))))</f>
        <v/>
      </c>
      <c r="AD291" s="31">
        <f>IF(AND($Y291&lt;&gt;"",N($Z291)&gt;0,$AC291=0),MAX($AD$7:$AD290)+1,"")</f>
        <v/>
      </c>
      <c r="AE291" s="31">
        <f>IF($Y291="",0,$Y291)</f>
        <v/>
      </c>
    </row>
    <row r="292">
      <c r="W292" s="31">
        <f>IF(OR($B$5="",$C$6="",ROW()&lt;$B$5),"",IF(INDEX($A:$U,ROW(),$C$6)="","",INDEX($A:$U,ROW(),$C$6)))</f>
        <v/>
      </c>
      <c r="X292" s="32">
        <f>IF($W292="","",IF(ISNUMBER($W292),IF($W292&gt;=10000000,IFERROR(DATE(INT($W292/10000),MOD(INT($W292/100),100),MOD($W292,100)),""),INT($W292)),IFERROR(DATE(--LEFT(LEFT(SUBSTITUTE(SUBSTITUTE(SUBSTITUTE(SUBSTITUTE(TRIM($W292),"-",""),".",""),"/","")," ",""),8),4),--MID(LEFT(SUBSTITUTE(SUBSTITUTE(SUBSTITUTE(SUBSTITUTE(TRIM($W292),"-",""),".",""),"/","")," ",""),8),5,2),--MID(LEFT(SUBSTITUTE(SUBSTITUTE(SUBSTITUTE(SUBSTITUTE(TRIM($W292),"-",""),".",""),"/","")," ",""),8),7,2)),"")))</f>
        <v/>
      </c>
      <c r="Y292" s="32">
        <f>IF($X292="","",INT($X292))</f>
        <v/>
      </c>
      <c r="Z292" s="33">
        <f>IF(OR($Y292="",$D$6=""),"",IF(INDEX($A:$U,ROW(),$D$6)="",0,IF(ISNUMBER(INDEX($A:$U,ROW(),$D$6)),INDEX($A:$U,ROW(),$D$6),IFERROR(--SUBSTITUTE(SUBSTITUTE(TRIM(INDEX($A:$U,ROW(),$D$6)),",",""),"원",""),0))))</f>
        <v/>
      </c>
      <c r="AA292" s="31">
        <f>IF($Y292="","",TRIM(INDEX($A:$U,ROW(),$E$6)&amp;IF($F$6="",""," "&amp;INDEX($A:$U,ROW(),$F$6))))</f>
        <v/>
      </c>
      <c r="AB292" s="31">
        <f>IF($AA292="","",SUBSTITUTE(SUBSTITUTE(SUBSTITUTE(SUBSTITUTE(SUBSTITUTE(SUBSTITUTE(SUBSTITUTE(SUBSTITUTE(SUBSTITUTE($AA292," ",""),"　",""),"(주)",""),"（주）",""),"㈜",""),"주식회사",""),"(유)",""),"（유）",""),"유한회사",""))</f>
        <v/>
      </c>
      <c r="AC292" s="31">
        <f>IF(OR($Y292="",N($Z292)&lt;=0,$AB292=""),0,IFERROR(LOOKUP(2,1/((거래처별!$AC$8:$AC$307&lt;&gt;"")*ISNUMBER(SEARCH(거래처별!$AC$8:$AC$307,$AB292))),거래처별!$A$8:$A$307),IFERROR(LOOKUP(2,1/((거래처별!$AD$8:$AD$307&lt;&gt;"")*ISNUMBER(SEARCH(거래처별!$AD$8:$AD$307,$AB292))),거래처별!$A$8:$A$307),IFERROR(LOOKUP(2,1/((거래처별!$AE$8:$AE$307&lt;&gt;"")*ISNUMBER(SEARCH(거래처별!$AE$8:$AE$307,$AB292))),거래처별!$A$8:$A$307),0))))</f>
        <v/>
      </c>
      <c r="AD292" s="31">
        <f>IF(AND($Y292&lt;&gt;"",N($Z292)&gt;0,$AC292=0),MAX($AD$7:$AD291)+1,"")</f>
        <v/>
      </c>
      <c r="AE292" s="31">
        <f>IF($Y292="",0,$Y292)</f>
        <v/>
      </c>
    </row>
    <row r="293">
      <c r="W293" s="31">
        <f>IF(OR($B$5="",$C$6="",ROW()&lt;$B$5),"",IF(INDEX($A:$U,ROW(),$C$6)="","",INDEX($A:$U,ROW(),$C$6)))</f>
        <v/>
      </c>
      <c r="X293" s="32">
        <f>IF($W293="","",IF(ISNUMBER($W293),IF($W293&gt;=10000000,IFERROR(DATE(INT($W293/10000),MOD(INT($W293/100),100),MOD($W293,100)),""),INT($W293)),IFERROR(DATE(--LEFT(LEFT(SUBSTITUTE(SUBSTITUTE(SUBSTITUTE(SUBSTITUTE(TRIM($W293),"-",""),".",""),"/","")," ",""),8),4),--MID(LEFT(SUBSTITUTE(SUBSTITUTE(SUBSTITUTE(SUBSTITUTE(TRIM($W293),"-",""),".",""),"/","")," ",""),8),5,2),--MID(LEFT(SUBSTITUTE(SUBSTITUTE(SUBSTITUTE(SUBSTITUTE(TRIM($W293),"-",""),".",""),"/","")," ",""),8),7,2)),"")))</f>
        <v/>
      </c>
      <c r="Y293" s="32">
        <f>IF($X293="","",INT($X293))</f>
        <v/>
      </c>
      <c r="Z293" s="33">
        <f>IF(OR($Y293="",$D$6=""),"",IF(INDEX($A:$U,ROW(),$D$6)="",0,IF(ISNUMBER(INDEX($A:$U,ROW(),$D$6)),INDEX($A:$U,ROW(),$D$6),IFERROR(--SUBSTITUTE(SUBSTITUTE(TRIM(INDEX($A:$U,ROW(),$D$6)),",",""),"원",""),0))))</f>
        <v/>
      </c>
      <c r="AA293" s="31">
        <f>IF($Y293="","",TRIM(INDEX($A:$U,ROW(),$E$6)&amp;IF($F$6="",""," "&amp;INDEX($A:$U,ROW(),$F$6))))</f>
        <v/>
      </c>
      <c r="AB293" s="31">
        <f>IF($AA293="","",SUBSTITUTE(SUBSTITUTE(SUBSTITUTE(SUBSTITUTE(SUBSTITUTE(SUBSTITUTE(SUBSTITUTE(SUBSTITUTE(SUBSTITUTE($AA293," ",""),"　",""),"(주)",""),"（주）",""),"㈜",""),"주식회사",""),"(유)",""),"（유）",""),"유한회사",""))</f>
        <v/>
      </c>
      <c r="AC293" s="31">
        <f>IF(OR($Y293="",N($Z293)&lt;=0,$AB293=""),0,IFERROR(LOOKUP(2,1/((거래처별!$AC$8:$AC$307&lt;&gt;"")*ISNUMBER(SEARCH(거래처별!$AC$8:$AC$307,$AB293))),거래처별!$A$8:$A$307),IFERROR(LOOKUP(2,1/((거래처별!$AD$8:$AD$307&lt;&gt;"")*ISNUMBER(SEARCH(거래처별!$AD$8:$AD$307,$AB293))),거래처별!$A$8:$A$307),IFERROR(LOOKUP(2,1/((거래처별!$AE$8:$AE$307&lt;&gt;"")*ISNUMBER(SEARCH(거래처별!$AE$8:$AE$307,$AB293))),거래처별!$A$8:$A$307),0))))</f>
        <v/>
      </c>
      <c r="AD293" s="31">
        <f>IF(AND($Y293&lt;&gt;"",N($Z293)&gt;0,$AC293=0),MAX($AD$7:$AD292)+1,"")</f>
        <v/>
      </c>
      <c r="AE293" s="31">
        <f>IF($Y293="",0,$Y293)</f>
        <v/>
      </c>
    </row>
    <row r="294">
      <c r="W294" s="31">
        <f>IF(OR($B$5="",$C$6="",ROW()&lt;$B$5),"",IF(INDEX($A:$U,ROW(),$C$6)="","",INDEX($A:$U,ROW(),$C$6)))</f>
        <v/>
      </c>
      <c r="X294" s="32">
        <f>IF($W294="","",IF(ISNUMBER($W294),IF($W294&gt;=10000000,IFERROR(DATE(INT($W294/10000),MOD(INT($W294/100),100),MOD($W294,100)),""),INT($W294)),IFERROR(DATE(--LEFT(LEFT(SUBSTITUTE(SUBSTITUTE(SUBSTITUTE(SUBSTITUTE(TRIM($W294),"-",""),".",""),"/","")," ",""),8),4),--MID(LEFT(SUBSTITUTE(SUBSTITUTE(SUBSTITUTE(SUBSTITUTE(TRIM($W294),"-",""),".",""),"/","")," ",""),8),5,2),--MID(LEFT(SUBSTITUTE(SUBSTITUTE(SUBSTITUTE(SUBSTITUTE(TRIM($W294),"-",""),".",""),"/","")," ",""),8),7,2)),"")))</f>
        <v/>
      </c>
      <c r="Y294" s="32">
        <f>IF($X294="","",INT($X294))</f>
        <v/>
      </c>
      <c r="Z294" s="33">
        <f>IF(OR($Y294="",$D$6=""),"",IF(INDEX($A:$U,ROW(),$D$6)="",0,IF(ISNUMBER(INDEX($A:$U,ROW(),$D$6)),INDEX($A:$U,ROW(),$D$6),IFERROR(--SUBSTITUTE(SUBSTITUTE(TRIM(INDEX($A:$U,ROW(),$D$6)),",",""),"원",""),0))))</f>
        <v/>
      </c>
      <c r="AA294" s="31">
        <f>IF($Y294="","",TRIM(INDEX($A:$U,ROW(),$E$6)&amp;IF($F$6="",""," "&amp;INDEX($A:$U,ROW(),$F$6))))</f>
        <v/>
      </c>
      <c r="AB294" s="31">
        <f>IF($AA294="","",SUBSTITUTE(SUBSTITUTE(SUBSTITUTE(SUBSTITUTE(SUBSTITUTE(SUBSTITUTE(SUBSTITUTE(SUBSTITUTE(SUBSTITUTE($AA294," ",""),"　",""),"(주)",""),"（주）",""),"㈜",""),"주식회사",""),"(유)",""),"（유）",""),"유한회사",""))</f>
        <v/>
      </c>
      <c r="AC294" s="31">
        <f>IF(OR($Y294="",N($Z294)&lt;=0,$AB294=""),0,IFERROR(LOOKUP(2,1/((거래처별!$AC$8:$AC$307&lt;&gt;"")*ISNUMBER(SEARCH(거래처별!$AC$8:$AC$307,$AB294))),거래처별!$A$8:$A$307),IFERROR(LOOKUP(2,1/((거래처별!$AD$8:$AD$307&lt;&gt;"")*ISNUMBER(SEARCH(거래처별!$AD$8:$AD$307,$AB294))),거래처별!$A$8:$A$307),IFERROR(LOOKUP(2,1/((거래처별!$AE$8:$AE$307&lt;&gt;"")*ISNUMBER(SEARCH(거래처별!$AE$8:$AE$307,$AB294))),거래처별!$A$8:$A$307),0))))</f>
        <v/>
      </c>
      <c r="AD294" s="31">
        <f>IF(AND($Y294&lt;&gt;"",N($Z294)&gt;0,$AC294=0),MAX($AD$7:$AD293)+1,"")</f>
        <v/>
      </c>
      <c r="AE294" s="31">
        <f>IF($Y294="",0,$Y294)</f>
        <v/>
      </c>
    </row>
    <row r="295">
      <c r="W295" s="31">
        <f>IF(OR($B$5="",$C$6="",ROW()&lt;$B$5),"",IF(INDEX($A:$U,ROW(),$C$6)="","",INDEX($A:$U,ROW(),$C$6)))</f>
        <v/>
      </c>
      <c r="X295" s="32">
        <f>IF($W295="","",IF(ISNUMBER($W295),IF($W295&gt;=10000000,IFERROR(DATE(INT($W295/10000),MOD(INT($W295/100),100),MOD($W295,100)),""),INT($W295)),IFERROR(DATE(--LEFT(LEFT(SUBSTITUTE(SUBSTITUTE(SUBSTITUTE(SUBSTITUTE(TRIM($W295),"-",""),".",""),"/","")," ",""),8),4),--MID(LEFT(SUBSTITUTE(SUBSTITUTE(SUBSTITUTE(SUBSTITUTE(TRIM($W295),"-",""),".",""),"/","")," ",""),8),5,2),--MID(LEFT(SUBSTITUTE(SUBSTITUTE(SUBSTITUTE(SUBSTITUTE(TRIM($W295),"-",""),".",""),"/","")," ",""),8),7,2)),"")))</f>
        <v/>
      </c>
      <c r="Y295" s="32">
        <f>IF($X295="","",INT($X295))</f>
        <v/>
      </c>
      <c r="Z295" s="33">
        <f>IF(OR($Y295="",$D$6=""),"",IF(INDEX($A:$U,ROW(),$D$6)="",0,IF(ISNUMBER(INDEX($A:$U,ROW(),$D$6)),INDEX($A:$U,ROW(),$D$6),IFERROR(--SUBSTITUTE(SUBSTITUTE(TRIM(INDEX($A:$U,ROW(),$D$6)),",",""),"원",""),0))))</f>
        <v/>
      </c>
      <c r="AA295" s="31">
        <f>IF($Y295="","",TRIM(INDEX($A:$U,ROW(),$E$6)&amp;IF($F$6="",""," "&amp;INDEX($A:$U,ROW(),$F$6))))</f>
        <v/>
      </c>
      <c r="AB295" s="31">
        <f>IF($AA295="","",SUBSTITUTE(SUBSTITUTE(SUBSTITUTE(SUBSTITUTE(SUBSTITUTE(SUBSTITUTE(SUBSTITUTE(SUBSTITUTE(SUBSTITUTE($AA295," ",""),"　",""),"(주)",""),"（주）",""),"㈜",""),"주식회사",""),"(유)",""),"（유）",""),"유한회사",""))</f>
        <v/>
      </c>
      <c r="AC295" s="31">
        <f>IF(OR($Y295="",N($Z295)&lt;=0,$AB295=""),0,IFERROR(LOOKUP(2,1/((거래처별!$AC$8:$AC$307&lt;&gt;"")*ISNUMBER(SEARCH(거래처별!$AC$8:$AC$307,$AB295))),거래처별!$A$8:$A$307),IFERROR(LOOKUP(2,1/((거래처별!$AD$8:$AD$307&lt;&gt;"")*ISNUMBER(SEARCH(거래처별!$AD$8:$AD$307,$AB295))),거래처별!$A$8:$A$307),IFERROR(LOOKUP(2,1/((거래처별!$AE$8:$AE$307&lt;&gt;"")*ISNUMBER(SEARCH(거래처별!$AE$8:$AE$307,$AB295))),거래처별!$A$8:$A$307),0))))</f>
        <v/>
      </c>
      <c r="AD295" s="31">
        <f>IF(AND($Y295&lt;&gt;"",N($Z295)&gt;0,$AC295=0),MAX($AD$7:$AD294)+1,"")</f>
        <v/>
      </c>
      <c r="AE295" s="31">
        <f>IF($Y295="",0,$Y295)</f>
        <v/>
      </c>
    </row>
    <row r="296">
      <c r="W296" s="31">
        <f>IF(OR($B$5="",$C$6="",ROW()&lt;$B$5),"",IF(INDEX($A:$U,ROW(),$C$6)="","",INDEX($A:$U,ROW(),$C$6)))</f>
        <v/>
      </c>
      <c r="X296" s="32">
        <f>IF($W296="","",IF(ISNUMBER($W296),IF($W296&gt;=10000000,IFERROR(DATE(INT($W296/10000),MOD(INT($W296/100),100),MOD($W296,100)),""),INT($W296)),IFERROR(DATE(--LEFT(LEFT(SUBSTITUTE(SUBSTITUTE(SUBSTITUTE(SUBSTITUTE(TRIM($W296),"-",""),".",""),"/","")," ",""),8),4),--MID(LEFT(SUBSTITUTE(SUBSTITUTE(SUBSTITUTE(SUBSTITUTE(TRIM($W296),"-",""),".",""),"/","")," ",""),8),5,2),--MID(LEFT(SUBSTITUTE(SUBSTITUTE(SUBSTITUTE(SUBSTITUTE(TRIM($W296),"-",""),".",""),"/","")," ",""),8),7,2)),"")))</f>
        <v/>
      </c>
      <c r="Y296" s="32">
        <f>IF($X296="","",INT($X296))</f>
        <v/>
      </c>
      <c r="Z296" s="33">
        <f>IF(OR($Y296="",$D$6=""),"",IF(INDEX($A:$U,ROW(),$D$6)="",0,IF(ISNUMBER(INDEX($A:$U,ROW(),$D$6)),INDEX($A:$U,ROW(),$D$6),IFERROR(--SUBSTITUTE(SUBSTITUTE(TRIM(INDEX($A:$U,ROW(),$D$6)),",",""),"원",""),0))))</f>
        <v/>
      </c>
      <c r="AA296" s="31">
        <f>IF($Y296="","",TRIM(INDEX($A:$U,ROW(),$E$6)&amp;IF($F$6="",""," "&amp;INDEX($A:$U,ROW(),$F$6))))</f>
        <v/>
      </c>
      <c r="AB296" s="31">
        <f>IF($AA296="","",SUBSTITUTE(SUBSTITUTE(SUBSTITUTE(SUBSTITUTE(SUBSTITUTE(SUBSTITUTE(SUBSTITUTE(SUBSTITUTE(SUBSTITUTE($AA296," ",""),"　",""),"(주)",""),"（주）",""),"㈜",""),"주식회사",""),"(유)",""),"（유）",""),"유한회사",""))</f>
        <v/>
      </c>
      <c r="AC296" s="31">
        <f>IF(OR($Y296="",N($Z296)&lt;=0,$AB296=""),0,IFERROR(LOOKUP(2,1/((거래처별!$AC$8:$AC$307&lt;&gt;"")*ISNUMBER(SEARCH(거래처별!$AC$8:$AC$307,$AB296))),거래처별!$A$8:$A$307),IFERROR(LOOKUP(2,1/((거래처별!$AD$8:$AD$307&lt;&gt;"")*ISNUMBER(SEARCH(거래처별!$AD$8:$AD$307,$AB296))),거래처별!$A$8:$A$307),IFERROR(LOOKUP(2,1/((거래처별!$AE$8:$AE$307&lt;&gt;"")*ISNUMBER(SEARCH(거래처별!$AE$8:$AE$307,$AB296))),거래처별!$A$8:$A$307),0))))</f>
        <v/>
      </c>
      <c r="AD296" s="31">
        <f>IF(AND($Y296&lt;&gt;"",N($Z296)&gt;0,$AC296=0),MAX($AD$7:$AD295)+1,"")</f>
        <v/>
      </c>
      <c r="AE296" s="31">
        <f>IF($Y296="",0,$Y296)</f>
        <v/>
      </c>
    </row>
    <row r="297">
      <c r="W297" s="31">
        <f>IF(OR($B$5="",$C$6="",ROW()&lt;$B$5),"",IF(INDEX($A:$U,ROW(),$C$6)="","",INDEX($A:$U,ROW(),$C$6)))</f>
        <v/>
      </c>
      <c r="X297" s="32">
        <f>IF($W297="","",IF(ISNUMBER($W297),IF($W297&gt;=10000000,IFERROR(DATE(INT($W297/10000),MOD(INT($W297/100),100),MOD($W297,100)),""),INT($W297)),IFERROR(DATE(--LEFT(LEFT(SUBSTITUTE(SUBSTITUTE(SUBSTITUTE(SUBSTITUTE(TRIM($W297),"-",""),".",""),"/","")," ",""),8),4),--MID(LEFT(SUBSTITUTE(SUBSTITUTE(SUBSTITUTE(SUBSTITUTE(TRIM($W297),"-",""),".",""),"/","")," ",""),8),5,2),--MID(LEFT(SUBSTITUTE(SUBSTITUTE(SUBSTITUTE(SUBSTITUTE(TRIM($W297),"-",""),".",""),"/","")," ",""),8),7,2)),"")))</f>
        <v/>
      </c>
      <c r="Y297" s="32">
        <f>IF($X297="","",INT($X297))</f>
        <v/>
      </c>
      <c r="Z297" s="33">
        <f>IF(OR($Y297="",$D$6=""),"",IF(INDEX($A:$U,ROW(),$D$6)="",0,IF(ISNUMBER(INDEX($A:$U,ROW(),$D$6)),INDEX($A:$U,ROW(),$D$6),IFERROR(--SUBSTITUTE(SUBSTITUTE(TRIM(INDEX($A:$U,ROW(),$D$6)),",",""),"원",""),0))))</f>
        <v/>
      </c>
      <c r="AA297" s="31">
        <f>IF($Y297="","",TRIM(INDEX($A:$U,ROW(),$E$6)&amp;IF($F$6="",""," "&amp;INDEX($A:$U,ROW(),$F$6))))</f>
        <v/>
      </c>
      <c r="AB297" s="31">
        <f>IF($AA297="","",SUBSTITUTE(SUBSTITUTE(SUBSTITUTE(SUBSTITUTE(SUBSTITUTE(SUBSTITUTE(SUBSTITUTE(SUBSTITUTE(SUBSTITUTE($AA297," ",""),"　",""),"(주)",""),"（주）",""),"㈜",""),"주식회사",""),"(유)",""),"（유）",""),"유한회사",""))</f>
        <v/>
      </c>
      <c r="AC297" s="31">
        <f>IF(OR($Y297="",N($Z297)&lt;=0,$AB297=""),0,IFERROR(LOOKUP(2,1/((거래처별!$AC$8:$AC$307&lt;&gt;"")*ISNUMBER(SEARCH(거래처별!$AC$8:$AC$307,$AB297))),거래처별!$A$8:$A$307),IFERROR(LOOKUP(2,1/((거래처별!$AD$8:$AD$307&lt;&gt;"")*ISNUMBER(SEARCH(거래처별!$AD$8:$AD$307,$AB297))),거래처별!$A$8:$A$307),IFERROR(LOOKUP(2,1/((거래처별!$AE$8:$AE$307&lt;&gt;"")*ISNUMBER(SEARCH(거래처별!$AE$8:$AE$307,$AB297))),거래처별!$A$8:$A$307),0))))</f>
        <v/>
      </c>
      <c r="AD297" s="31">
        <f>IF(AND($Y297&lt;&gt;"",N($Z297)&gt;0,$AC297=0),MAX($AD$7:$AD296)+1,"")</f>
        <v/>
      </c>
      <c r="AE297" s="31">
        <f>IF($Y297="",0,$Y297)</f>
        <v/>
      </c>
    </row>
    <row r="298">
      <c r="W298" s="31">
        <f>IF(OR($B$5="",$C$6="",ROW()&lt;$B$5),"",IF(INDEX($A:$U,ROW(),$C$6)="","",INDEX($A:$U,ROW(),$C$6)))</f>
        <v/>
      </c>
      <c r="X298" s="32">
        <f>IF($W298="","",IF(ISNUMBER($W298),IF($W298&gt;=10000000,IFERROR(DATE(INT($W298/10000),MOD(INT($W298/100),100),MOD($W298,100)),""),INT($W298)),IFERROR(DATE(--LEFT(LEFT(SUBSTITUTE(SUBSTITUTE(SUBSTITUTE(SUBSTITUTE(TRIM($W298),"-",""),".",""),"/","")," ",""),8),4),--MID(LEFT(SUBSTITUTE(SUBSTITUTE(SUBSTITUTE(SUBSTITUTE(TRIM($W298),"-",""),".",""),"/","")," ",""),8),5,2),--MID(LEFT(SUBSTITUTE(SUBSTITUTE(SUBSTITUTE(SUBSTITUTE(TRIM($W298),"-",""),".",""),"/","")," ",""),8),7,2)),"")))</f>
        <v/>
      </c>
      <c r="Y298" s="32">
        <f>IF($X298="","",INT($X298))</f>
        <v/>
      </c>
      <c r="Z298" s="33">
        <f>IF(OR($Y298="",$D$6=""),"",IF(INDEX($A:$U,ROW(),$D$6)="",0,IF(ISNUMBER(INDEX($A:$U,ROW(),$D$6)),INDEX($A:$U,ROW(),$D$6),IFERROR(--SUBSTITUTE(SUBSTITUTE(TRIM(INDEX($A:$U,ROW(),$D$6)),",",""),"원",""),0))))</f>
        <v/>
      </c>
      <c r="AA298" s="31">
        <f>IF($Y298="","",TRIM(INDEX($A:$U,ROW(),$E$6)&amp;IF($F$6="",""," "&amp;INDEX($A:$U,ROW(),$F$6))))</f>
        <v/>
      </c>
      <c r="AB298" s="31">
        <f>IF($AA298="","",SUBSTITUTE(SUBSTITUTE(SUBSTITUTE(SUBSTITUTE(SUBSTITUTE(SUBSTITUTE(SUBSTITUTE(SUBSTITUTE(SUBSTITUTE($AA298," ",""),"　",""),"(주)",""),"（주）",""),"㈜",""),"주식회사",""),"(유)",""),"（유）",""),"유한회사",""))</f>
        <v/>
      </c>
      <c r="AC298" s="31">
        <f>IF(OR($Y298="",N($Z298)&lt;=0,$AB298=""),0,IFERROR(LOOKUP(2,1/((거래처별!$AC$8:$AC$307&lt;&gt;"")*ISNUMBER(SEARCH(거래처별!$AC$8:$AC$307,$AB298))),거래처별!$A$8:$A$307),IFERROR(LOOKUP(2,1/((거래처별!$AD$8:$AD$307&lt;&gt;"")*ISNUMBER(SEARCH(거래처별!$AD$8:$AD$307,$AB298))),거래처별!$A$8:$A$307),IFERROR(LOOKUP(2,1/((거래처별!$AE$8:$AE$307&lt;&gt;"")*ISNUMBER(SEARCH(거래처별!$AE$8:$AE$307,$AB298))),거래처별!$A$8:$A$307),0))))</f>
        <v/>
      </c>
      <c r="AD298" s="31">
        <f>IF(AND($Y298&lt;&gt;"",N($Z298)&gt;0,$AC298=0),MAX($AD$7:$AD297)+1,"")</f>
        <v/>
      </c>
      <c r="AE298" s="31">
        <f>IF($Y298="",0,$Y298)</f>
        <v/>
      </c>
    </row>
    <row r="299">
      <c r="W299" s="31">
        <f>IF(OR($B$5="",$C$6="",ROW()&lt;$B$5),"",IF(INDEX($A:$U,ROW(),$C$6)="","",INDEX($A:$U,ROW(),$C$6)))</f>
        <v/>
      </c>
      <c r="X299" s="32">
        <f>IF($W299="","",IF(ISNUMBER($W299),IF($W299&gt;=10000000,IFERROR(DATE(INT($W299/10000),MOD(INT($W299/100),100),MOD($W299,100)),""),INT($W299)),IFERROR(DATE(--LEFT(LEFT(SUBSTITUTE(SUBSTITUTE(SUBSTITUTE(SUBSTITUTE(TRIM($W299),"-",""),".",""),"/","")," ",""),8),4),--MID(LEFT(SUBSTITUTE(SUBSTITUTE(SUBSTITUTE(SUBSTITUTE(TRIM($W299),"-",""),".",""),"/","")," ",""),8),5,2),--MID(LEFT(SUBSTITUTE(SUBSTITUTE(SUBSTITUTE(SUBSTITUTE(TRIM($W299),"-",""),".",""),"/","")," ",""),8),7,2)),"")))</f>
        <v/>
      </c>
      <c r="Y299" s="32">
        <f>IF($X299="","",INT($X299))</f>
        <v/>
      </c>
      <c r="Z299" s="33">
        <f>IF(OR($Y299="",$D$6=""),"",IF(INDEX($A:$U,ROW(),$D$6)="",0,IF(ISNUMBER(INDEX($A:$U,ROW(),$D$6)),INDEX($A:$U,ROW(),$D$6),IFERROR(--SUBSTITUTE(SUBSTITUTE(TRIM(INDEX($A:$U,ROW(),$D$6)),",",""),"원",""),0))))</f>
        <v/>
      </c>
      <c r="AA299" s="31">
        <f>IF($Y299="","",TRIM(INDEX($A:$U,ROW(),$E$6)&amp;IF($F$6="",""," "&amp;INDEX($A:$U,ROW(),$F$6))))</f>
        <v/>
      </c>
      <c r="AB299" s="31">
        <f>IF($AA299="","",SUBSTITUTE(SUBSTITUTE(SUBSTITUTE(SUBSTITUTE(SUBSTITUTE(SUBSTITUTE(SUBSTITUTE(SUBSTITUTE(SUBSTITUTE($AA299," ",""),"　",""),"(주)",""),"（주）",""),"㈜",""),"주식회사",""),"(유)",""),"（유）",""),"유한회사",""))</f>
        <v/>
      </c>
      <c r="AC299" s="31">
        <f>IF(OR($Y299="",N($Z299)&lt;=0,$AB299=""),0,IFERROR(LOOKUP(2,1/((거래처별!$AC$8:$AC$307&lt;&gt;"")*ISNUMBER(SEARCH(거래처별!$AC$8:$AC$307,$AB299))),거래처별!$A$8:$A$307),IFERROR(LOOKUP(2,1/((거래처별!$AD$8:$AD$307&lt;&gt;"")*ISNUMBER(SEARCH(거래처별!$AD$8:$AD$307,$AB299))),거래처별!$A$8:$A$307),IFERROR(LOOKUP(2,1/((거래처별!$AE$8:$AE$307&lt;&gt;"")*ISNUMBER(SEARCH(거래처별!$AE$8:$AE$307,$AB299))),거래처별!$A$8:$A$307),0))))</f>
        <v/>
      </c>
      <c r="AD299" s="31">
        <f>IF(AND($Y299&lt;&gt;"",N($Z299)&gt;0,$AC299=0),MAX($AD$7:$AD298)+1,"")</f>
        <v/>
      </c>
      <c r="AE299" s="31">
        <f>IF($Y299="",0,$Y299)</f>
        <v/>
      </c>
    </row>
    <row r="300">
      <c r="W300" s="31">
        <f>IF(OR($B$5="",$C$6="",ROW()&lt;$B$5),"",IF(INDEX($A:$U,ROW(),$C$6)="","",INDEX($A:$U,ROW(),$C$6)))</f>
        <v/>
      </c>
      <c r="X300" s="32">
        <f>IF($W300="","",IF(ISNUMBER($W300),IF($W300&gt;=10000000,IFERROR(DATE(INT($W300/10000),MOD(INT($W300/100),100),MOD($W300,100)),""),INT($W300)),IFERROR(DATE(--LEFT(LEFT(SUBSTITUTE(SUBSTITUTE(SUBSTITUTE(SUBSTITUTE(TRIM($W300),"-",""),".",""),"/","")," ",""),8),4),--MID(LEFT(SUBSTITUTE(SUBSTITUTE(SUBSTITUTE(SUBSTITUTE(TRIM($W300),"-",""),".",""),"/","")," ",""),8),5,2),--MID(LEFT(SUBSTITUTE(SUBSTITUTE(SUBSTITUTE(SUBSTITUTE(TRIM($W300),"-",""),".",""),"/","")," ",""),8),7,2)),"")))</f>
        <v/>
      </c>
      <c r="Y300" s="32">
        <f>IF($X300="","",INT($X300))</f>
        <v/>
      </c>
      <c r="Z300" s="33">
        <f>IF(OR($Y300="",$D$6=""),"",IF(INDEX($A:$U,ROW(),$D$6)="",0,IF(ISNUMBER(INDEX($A:$U,ROW(),$D$6)),INDEX($A:$U,ROW(),$D$6),IFERROR(--SUBSTITUTE(SUBSTITUTE(TRIM(INDEX($A:$U,ROW(),$D$6)),",",""),"원",""),0))))</f>
        <v/>
      </c>
      <c r="AA300" s="31">
        <f>IF($Y300="","",TRIM(INDEX($A:$U,ROW(),$E$6)&amp;IF($F$6="",""," "&amp;INDEX($A:$U,ROW(),$F$6))))</f>
        <v/>
      </c>
      <c r="AB300" s="31">
        <f>IF($AA300="","",SUBSTITUTE(SUBSTITUTE(SUBSTITUTE(SUBSTITUTE(SUBSTITUTE(SUBSTITUTE(SUBSTITUTE(SUBSTITUTE(SUBSTITUTE($AA300," ",""),"　",""),"(주)",""),"（주）",""),"㈜",""),"주식회사",""),"(유)",""),"（유）",""),"유한회사",""))</f>
        <v/>
      </c>
      <c r="AC300" s="31">
        <f>IF(OR($Y300="",N($Z300)&lt;=0,$AB300=""),0,IFERROR(LOOKUP(2,1/((거래처별!$AC$8:$AC$307&lt;&gt;"")*ISNUMBER(SEARCH(거래처별!$AC$8:$AC$307,$AB300))),거래처별!$A$8:$A$307),IFERROR(LOOKUP(2,1/((거래처별!$AD$8:$AD$307&lt;&gt;"")*ISNUMBER(SEARCH(거래처별!$AD$8:$AD$307,$AB300))),거래처별!$A$8:$A$307),IFERROR(LOOKUP(2,1/((거래처별!$AE$8:$AE$307&lt;&gt;"")*ISNUMBER(SEARCH(거래처별!$AE$8:$AE$307,$AB300))),거래처별!$A$8:$A$307),0))))</f>
        <v/>
      </c>
      <c r="AD300" s="31">
        <f>IF(AND($Y300&lt;&gt;"",N($Z300)&gt;0,$AC300=0),MAX($AD$7:$AD299)+1,"")</f>
        <v/>
      </c>
      <c r="AE300" s="31">
        <f>IF($Y300="",0,$Y300)</f>
        <v/>
      </c>
    </row>
    <row r="301">
      <c r="W301" s="31">
        <f>IF(OR($B$5="",$C$6="",ROW()&lt;$B$5),"",IF(INDEX($A:$U,ROW(),$C$6)="","",INDEX($A:$U,ROW(),$C$6)))</f>
        <v/>
      </c>
      <c r="X301" s="32">
        <f>IF($W301="","",IF(ISNUMBER($W301),IF($W301&gt;=10000000,IFERROR(DATE(INT($W301/10000),MOD(INT($W301/100),100),MOD($W301,100)),""),INT($W301)),IFERROR(DATE(--LEFT(LEFT(SUBSTITUTE(SUBSTITUTE(SUBSTITUTE(SUBSTITUTE(TRIM($W301),"-",""),".",""),"/","")," ",""),8),4),--MID(LEFT(SUBSTITUTE(SUBSTITUTE(SUBSTITUTE(SUBSTITUTE(TRIM($W301),"-",""),".",""),"/","")," ",""),8),5,2),--MID(LEFT(SUBSTITUTE(SUBSTITUTE(SUBSTITUTE(SUBSTITUTE(TRIM($W301),"-",""),".",""),"/","")," ",""),8),7,2)),"")))</f>
        <v/>
      </c>
      <c r="Y301" s="32">
        <f>IF($X301="","",INT($X301))</f>
        <v/>
      </c>
      <c r="Z301" s="33">
        <f>IF(OR($Y301="",$D$6=""),"",IF(INDEX($A:$U,ROW(),$D$6)="",0,IF(ISNUMBER(INDEX($A:$U,ROW(),$D$6)),INDEX($A:$U,ROW(),$D$6),IFERROR(--SUBSTITUTE(SUBSTITUTE(TRIM(INDEX($A:$U,ROW(),$D$6)),",",""),"원",""),0))))</f>
        <v/>
      </c>
      <c r="AA301" s="31">
        <f>IF($Y301="","",TRIM(INDEX($A:$U,ROW(),$E$6)&amp;IF($F$6="",""," "&amp;INDEX($A:$U,ROW(),$F$6))))</f>
        <v/>
      </c>
      <c r="AB301" s="31">
        <f>IF($AA301="","",SUBSTITUTE(SUBSTITUTE(SUBSTITUTE(SUBSTITUTE(SUBSTITUTE(SUBSTITUTE(SUBSTITUTE(SUBSTITUTE(SUBSTITUTE($AA301," ",""),"　",""),"(주)",""),"（주）",""),"㈜",""),"주식회사",""),"(유)",""),"（유）",""),"유한회사",""))</f>
        <v/>
      </c>
      <c r="AC301" s="31">
        <f>IF(OR($Y301="",N($Z301)&lt;=0,$AB301=""),0,IFERROR(LOOKUP(2,1/((거래처별!$AC$8:$AC$307&lt;&gt;"")*ISNUMBER(SEARCH(거래처별!$AC$8:$AC$307,$AB301))),거래처별!$A$8:$A$307),IFERROR(LOOKUP(2,1/((거래처별!$AD$8:$AD$307&lt;&gt;"")*ISNUMBER(SEARCH(거래처별!$AD$8:$AD$307,$AB301))),거래처별!$A$8:$A$307),IFERROR(LOOKUP(2,1/((거래처별!$AE$8:$AE$307&lt;&gt;"")*ISNUMBER(SEARCH(거래처별!$AE$8:$AE$307,$AB301))),거래처별!$A$8:$A$307),0))))</f>
        <v/>
      </c>
      <c r="AD301" s="31">
        <f>IF(AND($Y301&lt;&gt;"",N($Z301)&gt;0,$AC301=0),MAX($AD$7:$AD300)+1,"")</f>
        <v/>
      </c>
      <c r="AE301" s="31">
        <f>IF($Y301="",0,$Y301)</f>
        <v/>
      </c>
    </row>
    <row r="302">
      <c r="W302" s="31">
        <f>IF(OR($B$5="",$C$6="",ROW()&lt;$B$5),"",IF(INDEX($A:$U,ROW(),$C$6)="","",INDEX($A:$U,ROW(),$C$6)))</f>
        <v/>
      </c>
      <c r="X302" s="32">
        <f>IF($W302="","",IF(ISNUMBER($W302),IF($W302&gt;=10000000,IFERROR(DATE(INT($W302/10000),MOD(INT($W302/100),100),MOD($W302,100)),""),INT($W302)),IFERROR(DATE(--LEFT(LEFT(SUBSTITUTE(SUBSTITUTE(SUBSTITUTE(SUBSTITUTE(TRIM($W302),"-",""),".",""),"/","")," ",""),8),4),--MID(LEFT(SUBSTITUTE(SUBSTITUTE(SUBSTITUTE(SUBSTITUTE(TRIM($W302),"-",""),".",""),"/","")," ",""),8),5,2),--MID(LEFT(SUBSTITUTE(SUBSTITUTE(SUBSTITUTE(SUBSTITUTE(TRIM($W302),"-",""),".",""),"/","")," ",""),8),7,2)),"")))</f>
        <v/>
      </c>
      <c r="Y302" s="32">
        <f>IF($X302="","",INT($X302))</f>
        <v/>
      </c>
      <c r="Z302" s="33">
        <f>IF(OR($Y302="",$D$6=""),"",IF(INDEX($A:$U,ROW(),$D$6)="",0,IF(ISNUMBER(INDEX($A:$U,ROW(),$D$6)),INDEX($A:$U,ROW(),$D$6),IFERROR(--SUBSTITUTE(SUBSTITUTE(TRIM(INDEX($A:$U,ROW(),$D$6)),",",""),"원",""),0))))</f>
        <v/>
      </c>
      <c r="AA302" s="31">
        <f>IF($Y302="","",TRIM(INDEX($A:$U,ROW(),$E$6)&amp;IF($F$6="",""," "&amp;INDEX($A:$U,ROW(),$F$6))))</f>
        <v/>
      </c>
      <c r="AB302" s="31">
        <f>IF($AA302="","",SUBSTITUTE(SUBSTITUTE(SUBSTITUTE(SUBSTITUTE(SUBSTITUTE(SUBSTITUTE(SUBSTITUTE(SUBSTITUTE(SUBSTITUTE($AA302," ",""),"　",""),"(주)",""),"（주）",""),"㈜",""),"주식회사",""),"(유)",""),"（유）",""),"유한회사",""))</f>
        <v/>
      </c>
      <c r="AC302" s="31">
        <f>IF(OR($Y302="",N($Z302)&lt;=0,$AB302=""),0,IFERROR(LOOKUP(2,1/((거래처별!$AC$8:$AC$307&lt;&gt;"")*ISNUMBER(SEARCH(거래처별!$AC$8:$AC$307,$AB302))),거래처별!$A$8:$A$307),IFERROR(LOOKUP(2,1/((거래처별!$AD$8:$AD$307&lt;&gt;"")*ISNUMBER(SEARCH(거래처별!$AD$8:$AD$307,$AB302))),거래처별!$A$8:$A$307),IFERROR(LOOKUP(2,1/((거래처별!$AE$8:$AE$307&lt;&gt;"")*ISNUMBER(SEARCH(거래처별!$AE$8:$AE$307,$AB302))),거래처별!$A$8:$A$307),0))))</f>
        <v/>
      </c>
      <c r="AD302" s="31">
        <f>IF(AND($Y302&lt;&gt;"",N($Z302)&gt;0,$AC302=0),MAX($AD$7:$AD301)+1,"")</f>
        <v/>
      </c>
      <c r="AE302" s="31">
        <f>IF($Y302="",0,$Y302)</f>
        <v/>
      </c>
    </row>
    <row r="303">
      <c r="W303" s="31">
        <f>IF(OR($B$5="",$C$6="",ROW()&lt;$B$5),"",IF(INDEX($A:$U,ROW(),$C$6)="","",INDEX($A:$U,ROW(),$C$6)))</f>
        <v/>
      </c>
      <c r="X303" s="32">
        <f>IF($W303="","",IF(ISNUMBER($W303),IF($W303&gt;=10000000,IFERROR(DATE(INT($W303/10000),MOD(INT($W303/100),100),MOD($W303,100)),""),INT($W303)),IFERROR(DATE(--LEFT(LEFT(SUBSTITUTE(SUBSTITUTE(SUBSTITUTE(SUBSTITUTE(TRIM($W303),"-",""),".",""),"/","")," ",""),8),4),--MID(LEFT(SUBSTITUTE(SUBSTITUTE(SUBSTITUTE(SUBSTITUTE(TRIM($W303),"-",""),".",""),"/","")," ",""),8),5,2),--MID(LEFT(SUBSTITUTE(SUBSTITUTE(SUBSTITUTE(SUBSTITUTE(TRIM($W303),"-",""),".",""),"/","")," ",""),8),7,2)),"")))</f>
        <v/>
      </c>
      <c r="Y303" s="32">
        <f>IF($X303="","",INT($X303))</f>
        <v/>
      </c>
      <c r="Z303" s="33">
        <f>IF(OR($Y303="",$D$6=""),"",IF(INDEX($A:$U,ROW(),$D$6)="",0,IF(ISNUMBER(INDEX($A:$U,ROW(),$D$6)),INDEX($A:$U,ROW(),$D$6),IFERROR(--SUBSTITUTE(SUBSTITUTE(TRIM(INDEX($A:$U,ROW(),$D$6)),",",""),"원",""),0))))</f>
        <v/>
      </c>
      <c r="AA303" s="31">
        <f>IF($Y303="","",TRIM(INDEX($A:$U,ROW(),$E$6)&amp;IF($F$6="",""," "&amp;INDEX($A:$U,ROW(),$F$6))))</f>
        <v/>
      </c>
      <c r="AB303" s="31">
        <f>IF($AA303="","",SUBSTITUTE(SUBSTITUTE(SUBSTITUTE(SUBSTITUTE(SUBSTITUTE(SUBSTITUTE(SUBSTITUTE(SUBSTITUTE(SUBSTITUTE($AA303," ",""),"　",""),"(주)",""),"（주）",""),"㈜",""),"주식회사",""),"(유)",""),"（유）",""),"유한회사",""))</f>
        <v/>
      </c>
      <c r="AC303" s="31">
        <f>IF(OR($Y303="",N($Z303)&lt;=0,$AB303=""),0,IFERROR(LOOKUP(2,1/((거래처별!$AC$8:$AC$307&lt;&gt;"")*ISNUMBER(SEARCH(거래처별!$AC$8:$AC$307,$AB303))),거래처별!$A$8:$A$307),IFERROR(LOOKUP(2,1/((거래처별!$AD$8:$AD$307&lt;&gt;"")*ISNUMBER(SEARCH(거래처별!$AD$8:$AD$307,$AB303))),거래처별!$A$8:$A$307),IFERROR(LOOKUP(2,1/((거래처별!$AE$8:$AE$307&lt;&gt;"")*ISNUMBER(SEARCH(거래처별!$AE$8:$AE$307,$AB303))),거래처별!$A$8:$A$307),0))))</f>
        <v/>
      </c>
      <c r="AD303" s="31">
        <f>IF(AND($Y303&lt;&gt;"",N($Z303)&gt;0,$AC303=0),MAX($AD$7:$AD302)+1,"")</f>
        <v/>
      </c>
      <c r="AE303" s="31">
        <f>IF($Y303="",0,$Y303)</f>
        <v/>
      </c>
    </row>
    <row r="304">
      <c r="W304" s="31">
        <f>IF(OR($B$5="",$C$6="",ROW()&lt;$B$5),"",IF(INDEX($A:$U,ROW(),$C$6)="","",INDEX($A:$U,ROW(),$C$6)))</f>
        <v/>
      </c>
      <c r="X304" s="32">
        <f>IF($W304="","",IF(ISNUMBER($W304),IF($W304&gt;=10000000,IFERROR(DATE(INT($W304/10000),MOD(INT($W304/100),100),MOD($W304,100)),""),INT($W304)),IFERROR(DATE(--LEFT(LEFT(SUBSTITUTE(SUBSTITUTE(SUBSTITUTE(SUBSTITUTE(TRIM($W304),"-",""),".",""),"/","")," ",""),8),4),--MID(LEFT(SUBSTITUTE(SUBSTITUTE(SUBSTITUTE(SUBSTITUTE(TRIM($W304),"-",""),".",""),"/","")," ",""),8),5,2),--MID(LEFT(SUBSTITUTE(SUBSTITUTE(SUBSTITUTE(SUBSTITUTE(TRIM($W304),"-",""),".",""),"/","")," ",""),8),7,2)),"")))</f>
        <v/>
      </c>
      <c r="Y304" s="32">
        <f>IF($X304="","",INT($X304))</f>
        <v/>
      </c>
      <c r="Z304" s="33">
        <f>IF(OR($Y304="",$D$6=""),"",IF(INDEX($A:$U,ROW(),$D$6)="",0,IF(ISNUMBER(INDEX($A:$U,ROW(),$D$6)),INDEX($A:$U,ROW(),$D$6),IFERROR(--SUBSTITUTE(SUBSTITUTE(TRIM(INDEX($A:$U,ROW(),$D$6)),",",""),"원",""),0))))</f>
        <v/>
      </c>
      <c r="AA304" s="31">
        <f>IF($Y304="","",TRIM(INDEX($A:$U,ROW(),$E$6)&amp;IF($F$6="",""," "&amp;INDEX($A:$U,ROW(),$F$6))))</f>
        <v/>
      </c>
      <c r="AB304" s="31">
        <f>IF($AA304="","",SUBSTITUTE(SUBSTITUTE(SUBSTITUTE(SUBSTITUTE(SUBSTITUTE(SUBSTITUTE(SUBSTITUTE(SUBSTITUTE(SUBSTITUTE($AA304," ",""),"　",""),"(주)",""),"（주）",""),"㈜",""),"주식회사",""),"(유)",""),"（유）",""),"유한회사",""))</f>
        <v/>
      </c>
      <c r="AC304" s="31">
        <f>IF(OR($Y304="",N($Z304)&lt;=0,$AB304=""),0,IFERROR(LOOKUP(2,1/((거래처별!$AC$8:$AC$307&lt;&gt;"")*ISNUMBER(SEARCH(거래처별!$AC$8:$AC$307,$AB304))),거래처별!$A$8:$A$307),IFERROR(LOOKUP(2,1/((거래처별!$AD$8:$AD$307&lt;&gt;"")*ISNUMBER(SEARCH(거래처별!$AD$8:$AD$307,$AB304))),거래처별!$A$8:$A$307),IFERROR(LOOKUP(2,1/((거래처별!$AE$8:$AE$307&lt;&gt;"")*ISNUMBER(SEARCH(거래처별!$AE$8:$AE$307,$AB304))),거래처별!$A$8:$A$307),0))))</f>
        <v/>
      </c>
      <c r="AD304" s="31">
        <f>IF(AND($Y304&lt;&gt;"",N($Z304)&gt;0,$AC304=0),MAX($AD$7:$AD303)+1,"")</f>
        <v/>
      </c>
      <c r="AE304" s="31">
        <f>IF($Y304="",0,$Y304)</f>
        <v/>
      </c>
    </row>
    <row r="305">
      <c r="W305" s="31">
        <f>IF(OR($B$5="",$C$6="",ROW()&lt;$B$5),"",IF(INDEX($A:$U,ROW(),$C$6)="","",INDEX($A:$U,ROW(),$C$6)))</f>
        <v/>
      </c>
      <c r="X305" s="32">
        <f>IF($W305="","",IF(ISNUMBER($W305),IF($W305&gt;=10000000,IFERROR(DATE(INT($W305/10000),MOD(INT($W305/100),100),MOD($W305,100)),""),INT($W305)),IFERROR(DATE(--LEFT(LEFT(SUBSTITUTE(SUBSTITUTE(SUBSTITUTE(SUBSTITUTE(TRIM($W305),"-",""),".",""),"/","")," ",""),8),4),--MID(LEFT(SUBSTITUTE(SUBSTITUTE(SUBSTITUTE(SUBSTITUTE(TRIM($W305),"-",""),".",""),"/","")," ",""),8),5,2),--MID(LEFT(SUBSTITUTE(SUBSTITUTE(SUBSTITUTE(SUBSTITUTE(TRIM($W305),"-",""),".",""),"/","")," ",""),8),7,2)),"")))</f>
        <v/>
      </c>
      <c r="Y305" s="32">
        <f>IF($X305="","",INT($X305))</f>
        <v/>
      </c>
      <c r="Z305" s="33">
        <f>IF(OR($Y305="",$D$6=""),"",IF(INDEX($A:$U,ROW(),$D$6)="",0,IF(ISNUMBER(INDEX($A:$U,ROW(),$D$6)),INDEX($A:$U,ROW(),$D$6),IFERROR(--SUBSTITUTE(SUBSTITUTE(TRIM(INDEX($A:$U,ROW(),$D$6)),",",""),"원",""),0))))</f>
        <v/>
      </c>
      <c r="AA305" s="31">
        <f>IF($Y305="","",TRIM(INDEX($A:$U,ROW(),$E$6)&amp;IF($F$6="",""," "&amp;INDEX($A:$U,ROW(),$F$6))))</f>
        <v/>
      </c>
      <c r="AB305" s="31">
        <f>IF($AA305="","",SUBSTITUTE(SUBSTITUTE(SUBSTITUTE(SUBSTITUTE(SUBSTITUTE(SUBSTITUTE(SUBSTITUTE(SUBSTITUTE(SUBSTITUTE($AA305," ",""),"　",""),"(주)",""),"（주）",""),"㈜",""),"주식회사",""),"(유)",""),"（유）",""),"유한회사",""))</f>
        <v/>
      </c>
      <c r="AC305" s="31">
        <f>IF(OR($Y305="",N($Z305)&lt;=0,$AB305=""),0,IFERROR(LOOKUP(2,1/((거래처별!$AC$8:$AC$307&lt;&gt;"")*ISNUMBER(SEARCH(거래처별!$AC$8:$AC$307,$AB305))),거래처별!$A$8:$A$307),IFERROR(LOOKUP(2,1/((거래처별!$AD$8:$AD$307&lt;&gt;"")*ISNUMBER(SEARCH(거래처별!$AD$8:$AD$307,$AB305))),거래처별!$A$8:$A$307),IFERROR(LOOKUP(2,1/((거래처별!$AE$8:$AE$307&lt;&gt;"")*ISNUMBER(SEARCH(거래처별!$AE$8:$AE$307,$AB305))),거래처별!$A$8:$A$307),0))))</f>
        <v/>
      </c>
      <c r="AD305" s="31">
        <f>IF(AND($Y305&lt;&gt;"",N($Z305)&gt;0,$AC305=0),MAX($AD$7:$AD304)+1,"")</f>
        <v/>
      </c>
      <c r="AE305" s="31">
        <f>IF($Y305="",0,$Y305)</f>
        <v/>
      </c>
    </row>
    <row r="306">
      <c r="W306" s="31">
        <f>IF(OR($B$5="",$C$6="",ROW()&lt;$B$5),"",IF(INDEX($A:$U,ROW(),$C$6)="","",INDEX($A:$U,ROW(),$C$6)))</f>
        <v/>
      </c>
      <c r="X306" s="32">
        <f>IF($W306="","",IF(ISNUMBER($W306),IF($W306&gt;=10000000,IFERROR(DATE(INT($W306/10000),MOD(INT($W306/100),100),MOD($W306,100)),""),INT($W306)),IFERROR(DATE(--LEFT(LEFT(SUBSTITUTE(SUBSTITUTE(SUBSTITUTE(SUBSTITUTE(TRIM($W306),"-",""),".",""),"/","")," ",""),8),4),--MID(LEFT(SUBSTITUTE(SUBSTITUTE(SUBSTITUTE(SUBSTITUTE(TRIM($W306),"-",""),".",""),"/","")," ",""),8),5,2),--MID(LEFT(SUBSTITUTE(SUBSTITUTE(SUBSTITUTE(SUBSTITUTE(TRIM($W306),"-",""),".",""),"/","")," ",""),8),7,2)),"")))</f>
        <v/>
      </c>
      <c r="Y306" s="32">
        <f>IF($X306="","",INT($X306))</f>
        <v/>
      </c>
      <c r="Z306" s="33">
        <f>IF(OR($Y306="",$D$6=""),"",IF(INDEX($A:$U,ROW(),$D$6)="",0,IF(ISNUMBER(INDEX($A:$U,ROW(),$D$6)),INDEX($A:$U,ROW(),$D$6),IFERROR(--SUBSTITUTE(SUBSTITUTE(TRIM(INDEX($A:$U,ROW(),$D$6)),",",""),"원",""),0))))</f>
        <v/>
      </c>
      <c r="AA306" s="31">
        <f>IF($Y306="","",TRIM(INDEX($A:$U,ROW(),$E$6)&amp;IF($F$6="",""," "&amp;INDEX($A:$U,ROW(),$F$6))))</f>
        <v/>
      </c>
      <c r="AB306" s="31">
        <f>IF($AA306="","",SUBSTITUTE(SUBSTITUTE(SUBSTITUTE(SUBSTITUTE(SUBSTITUTE(SUBSTITUTE(SUBSTITUTE(SUBSTITUTE(SUBSTITUTE($AA306," ",""),"　",""),"(주)",""),"（주）",""),"㈜",""),"주식회사",""),"(유)",""),"（유）",""),"유한회사",""))</f>
        <v/>
      </c>
      <c r="AC306" s="31">
        <f>IF(OR($Y306="",N($Z306)&lt;=0,$AB306=""),0,IFERROR(LOOKUP(2,1/((거래처별!$AC$8:$AC$307&lt;&gt;"")*ISNUMBER(SEARCH(거래처별!$AC$8:$AC$307,$AB306))),거래처별!$A$8:$A$307),IFERROR(LOOKUP(2,1/((거래처별!$AD$8:$AD$307&lt;&gt;"")*ISNUMBER(SEARCH(거래처별!$AD$8:$AD$307,$AB306))),거래처별!$A$8:$A$307),IFERROR(LOOKUP(2,1/((거래처별!$AE$8:$AE$307&lt;&gt;"")*ISNUMBER(SEARCH(거래처별!$AE$8:$AE$307,$AB306))),거래처별!$A$8:$A$307),0))))</f>
        <v/>
      </c>
      <c r="AD306" s="31">
        <f>IF(AND($Y306&lt;&gt;"",N($Z306)&gt;0,$AC306=0),MAX($AD$7:$AD305)+1,"")</f>
        <v/>
      </c>
      <c r="AE306" s="31">
        <f>IF($Y306="",0,$Y306)</f>
        <v/>
      </c>
    </row>
    <row r="307">
      <c r="W307" s="31">
        <f>IF(OR($B$5="",$C$6="",ROW()&lt;$B$5),"",IF(INDEX($A:$U,ROW(),$C$6)="","",INDEX($A:$U,ROW(),$C$6)))</f>
        <v/>
      </c>
      <c r="X307" s="32">
        <f>IF($W307="","",IF(ISNUMBER($W307),IF($W307&gt;=10000000,IFERROR(DATE(INT($W307/10000),MOD(INT($W307/100),100),MOD($W307,100)),""),INT($W307)),IFERROR(DATE(--LEFT(LEFT(SUBSTITUTE(SUBSTITUTE(SUBSTITUTE(SUBSTITUTE(TRIM($W307),"-",""),".",""),"/","")," ",""),8),4),--MID(LEFT(SUBSTITUTE(SUBSTITUTE(SUBSTITUTE(SUBSTITUTE(TRIM($W307),"-",""),".",""),"/","")," ",""),8),5,2),--MID(LEFT(SUBSTITUTE(SUBSTITUTE(SUBSTITUTE(SUBSTITUTE(TRIM($W307),"-",""),".",""),"/","")," ",""),8),7,2)),"")))</f>
        <v/>
      </c>
      <c r="Y307" s="32">
        <f>IF($X307="","",INT($X307))</f>
        <v/>
      </c>
      <c r="Z307" s="33">
        <f>IF(OR($Y307="",$D$6=""),"",IF(INDEX($A:$U,ROW(),$D$6)="",0,IF(ISNUMBER(INDEX($A:$U,ROW(),$D$6)),INDEX($A:$U,ROW(),$D$6),IFERROR(--SUBSTITUTE(SUBSTITUTE(TRIM(INDEX($A:$U,ROW(),$D$6)),",",""),"원",""),0))))</f>
        <v/>
      </c>
      <c r="AA307" s="31">
        <f>IF($Y307="","",TRIM(INDEX($A:$U,ROW(),$E$6)&amp;IF($F$6="",""," "&amp;INDEX($A:$U,ROW(),$F$6))))</f>
        <v/>
      </c>
      <c r="AB307" s="31">
        <f>IF($AA307="","",SUBSTITUTE(SUBSTITUTE(SUBSTITUTE(SUBSTITUTE(SUBSTITUTE(SUBSTITUTE(SUBSTITUTE(SUBSTITUTE(SUBSTITUTE($AA307," ",""),"　",""),"(주)",""),"（주）",""),"㈜",""),"주식회사",""),"(유)",""),"（유）",""),"유한회사",""))</f>
        <v/>
      </c>
      <c r="AC307" s="31">
        <f>IF(OR($Y307="",N($Z307)&lt;=0,$AB307=""),0,IFERROR(LOOKUP(2,1/((거래처별!$AC$8:$AC$307&lt;&gt;"")*ISNUMBER(SEARCH(거래처별!$AC$8:$AC$307,$AB307))),거래처별!$A$8:$A$307),IFERROR(LOOKUP(2,1/((거래처별!$AD$8:$AD$307&lt;&gt;"")*ISNUMBER(SEARCH(거래처별!$AD$8:$AD$307,$AB307))),거래처별!$A$8:$A$307),IFERROR(LOOKUP(2,1/((거래처별!$AE$8:$AE$307&lt;&gt;"")*ISNUMBER(SEARCH(거래처별!$AE$8:$AE$307,$AB307))),거래처별!$A$8:$A$307),0))))</f>
        <v/>
      </c>
      <c r="AD307" s="31">
        <f>IF(AND($Y307&lt;&gt;"",N($Z307)&gt;0,$AC307=0),MAX($AD$7:$AD306)+1,"")</f>
        <v/>
      </c>
      <c r="AE307" s="31">
        <f>IF($Y307="",0,$Y307)</f>
        <v/>
      </c>
    </row>
    <row r="308">
      <c r="W308" s="31">
        <f>IF(OR($B$5="",$C$6="",ROW()&lt;$B$5),"",IF(INDEX($A:$U,ROW(),$C$6)="","",INDEX($A:$U,ROW(),$C$6)))</f>
        <v/>
      </c>
      <c r="X308" s="32">
        <f>IF($W308="","",IF(ISNUMBER($W308),IF($W308&gt;=10000000,IFERROR(DATE(INT($W308/10000),MOD(INT($W308/100),100),MOD($W308,100)),""),INT($W308)),IFERROR(DATE(--LEFT(LEFT(SUBSTITUTE(SUBSTITUTE(SUBSTITUTE(SUBSTITUTE(TRIM($W308),"-",""),".",""),"/","")," ",""),8),4),--MID(LEFT(SUBSTITUTE(SUBSTITUTE(SUBSTITUTE(SUBSTITUTE(TRIM($W308),"-",""),".",""),"/","")," ",""),8),5,2),--MID(LEFT(SUBSTITUTE(SUBSTITUTE(SUBSTITUTE(SUBSTITUTE(TRIM($W308),"-",""),".",""),"/","")," ",""),8),7,2)),"")))</f>
        <v/>
      </c>
      <c r="Y308" s="32">
        <f>IF($X308="","",INT($X308))</f>
        <v/>
      </c>
      <c r="Z308" s="33">
        <f>IF(OR($Y308="",$D$6=""),"",IF(INDEX($A:$U,ROW(),$D$6)="",0,IF(ISNUMBER(INDEX($A:$U,ROW(),$D$6)),INDEX($A:$U,ROW(),$D$6),IFERROR(--SUBSTITUTE(SUBSTITUTE(TRIM(INDEX($A:$U,ROW(),$D$6)),",",""),"원",""),0))))</f>
        <v/>
      </c>
      <c r="AA308" s="31">
        <f>IF($Y308="","",TRIM(INDEX($A:$U,ROW(),$E$6)&amp;IF($F$6="",""," "&amp;INDEX($A:$U,ROW(),$F$6))))</f>
        <v/>
      </c>
      <c r="AB308" s="31">
        <f>IF($AA308="","",SUBSTITUTE(SUBSTITUTE(SUBSTITUTE(SUBSTITUTE(SUBSTITUTE(SUBSTITUTE(SUBSTITUTE(SUBSTITUTE(SUBSTITUTE($AA308," ",""),"　",""),"(주)",""),"（주）",""),"㈜",""),"주식회사",""),"(유)",""),"（유）",""),"유한회사",""))</f>
        <v/>
      </c>
      <c r="AC308" s="31">
        <f>IF(OR($Y308="",N($Z308)&lt;=0,$AB308=""),0,IFERROR(LOOKUP(2,1/((거래처별!$AC$8:$AC$307&lt;&gt;"")*ISNUMBER(SEARCH(거래처별!$AC$8:$AC$307,$AB308))),거래처별!$A$8:$A$307),IFERROR(LOOKUP(2,1/((거래처별!$AD$8:$AD$307&lt;&gt;"")*ISNUMBER(SEARCH(거래처별!$AD$8:$AD$307,$AB308))),거래처별!$A$8:$A$307),IFERROR(LOOKUP(2,1/((거래처별!$AE$8:$AE$307&lt;&gt;"")*ISNUMBER(SEARCH(거래처별!$AE$8:$AE$307,$AB308))),거래처별!$A$8:$A$307),0))))</f>
        <v/>
      </c>
      <c r="AD308" s="31">
        <f>IF(AND($Y308&lt;&gt;"",N($Z308)&gt;0,$AC308=0),MAX($AD$7:$AD307)+1,"")</f>
        <v/>
      </c>
      <c r="AE308" s="31">
        <f>IF($Y308="",0,$Y308)</f>
        <v/>
      </c>
    </row>
    <row r="309">
      <c r="W309" s="31">
        <f>IF(OR($B$5="",$C$6="",ROW()&lt;$B$5),"",IF(INDEX($A:$U,ROW(),$C$6)="","",INDEX($A:$U,ROW(),$C$6)))</f>
        <v/>
      </c>
      <c r="X309" s="32">
        <f>IF($W309="","",IF(ISNUMBER($W309),IF($W309&gt;=10000000,IFERROR(DATE(INT($W309/10000),MOD(INT($W309/100),100),MOD($W309,100)),""),INT($W309)),IFERROR(DATE(--LEFT(LEFT(SUBSTITUTE(SUBSTITUTE(SUBSTITUTE(SUBSTITUTE(TRIM($W309),"-",""),".",""),"/","")," ",""),8),4),--MID(LEFT(SUBSTITUTE(SUBSTITUTE(SUBSTITUTE(SUBSTITUTE(TRIM($W309),"-",""),".",""),"/","")," ",""),8),5,2),--MID(LEFT(SUBSTITUTE(SUBSTITUTE(SUBSTITUTE(SUBSTITUTE(TRIM($W309),"-",""),".",""),"/","")," ",""),8),7,2)),"")))</f>
        <v/>
      </c>
      <c r="Y309" s="32">
        <f>IF($X309="","",INT($X309))</f>
        <v/>
      </c>
      <c r="Z309" s="33">
        <f>IF(OR($Y309="",$D$6=""),"",IF(INDEX($A:$U,ROW(),$D$6)="",0,IF(ISNUMBER(INDEX($A:$U,ROW(),$D$6)),INDEX($A:$U,ROW(),$D$6),IFERROR(--SUBSTITUTE(SUBSTITUTE(TRIM(INDEX($A:$U,ROW(),$D$6)),",",""),"원",""),0))))</f>
        <v/>
      </c>
      <c r="AA309" s="31">
        <f>IF($Y309="","",TRIM(INDEX($A:$U,ROW(),$E$6)&amp;IF($F$6="",""," "&amp;INDEX($A:$U,ROW(),$F$6))))</f>
        <v/>
      </c>
      <c r="AB309" s="31">
        <f>IF($AA309="","",SUBSTITUTE(SUBSTITUTE(SUBSTITUTE(SUBSTITUTE(SUBSTITUTE(SUBSTITUTE(SUBSTITUTE(SUBSTITUTE(SUBSTITUTE($AA309," ",""),"　",""),"(주)",""),"（주）",""),"㈜",""),"주식회사",""),"(유)",""),"（유）",""),"유한회사",""))</f>
        <v/>
      </c>
      <c r="AC309" s="31">
        <f>IF(OR($Y309="",N($Z309)&lt;=0,$AB309=""),0,IFERROR(LOOKUP(2,1/((거래처별!$AC$8:$AC$307&lt;&gt;"")*ISNUMBER(SEARCH(거래처별!$AC$8:$AC$307,$AB309))),거래처별!$A$8:$A$307),IFERROR(LOOKUP(2,1/((거래처별!$AD$8:$AD$307&lt;&gt;"")*ISNUMBER(SEARCH(거래처별!$AD$8:$AD$307,$AB309))),거래처별!$A$8:$A$307),IFERROR(LOOKUP(2,1/((거래처별!$AE$8:$AE$307&lt;&gt;"")*ISNUMBER(SEARCH(거래처별!$AE$8:$AE$307,$AB309))),거래처별!$A$8:$A$307),0))))</f>
        <v/>
      </c>
      <c r="AD309" s="31">
        <f>IF(AND($Y309&lt;&gt;"",N($Z309)&gt;0,$AC309=0),MAX($AD$7:$AD308)+1,"")</f>
        <v/>
      </c>
      <c r="AE309" s="31">
        <f>IF($Y309="",0,$Y309)</f>
        <v/>
      </c>
    </row>
    <row r="310">
      <c r="W310" s="31">
        <f>IF(OR($B$5="",$C$6="",ROW()&lt;$B$5),"",IF(INDEX($A:$U,ROW(),$C$6)="","",INDEX($A:$U,ROW(),$C$6)))</f>
        <v/>
      </c>
      <c r="X310" s="32">
        <f>IF($W310="","",IF(ISNUMBER($W310),IF($W310&gt;=10000000,IFERROR(DATE(INT($W310/10000),MOD(INT($W310/100),100),MOD($W310,100)),""),INT($W310)),IFERROR(DATE(--LEFT(LEFT(SUBSTITUTE(SUBSTITUTE(SUBSTITUTE(SUBSTITUTE(TRIM($W310),"-",""),".",""),"/","")," ",""),8),4),--MID(LEFT(SUBSTITUTE(SUBSTITUTE(SUBSTITUTE(SUBSTITUTE(TRIM($W310),"-",""),".",""),"/","")," ",""),8),5,2),--MID(LEFT(SUBSTITUTE(SUBSTITUTE(SUBSTITUTE(SUBSTITUTE(TRIM($W310),"-",""),".",""),"/","")," ",""),8),7,2)),"")))</f>
        <v/>
      </c>
      <c r="Y310" s="32">
        <f>IF($X310="","",INT($X310))</f>
        <v/>
      </c>
      <c r="Z310" s="33">
        <f>IF(OR($Y310="",$D$6=""),"",IF(INDEX($A:$U,ROW(),$D$6)="",0,IF(ISNUMBER(INDEX($A:$U,ROW(),$D$6)),INDEX($A:$U,ROW(),$D$6),IFERROR(--SUBSTITUTE(SUBSTITUTE(TRIM(INDEX($A:$U,ROW(),$D$6)),",",""),"원",""),0))))</f>
        <v/>
      </c>
      <c r="AA310" s="31">
        <f>IF($Y310="","",TRIM(INDEX($A:$U,ROW(),$E$6)&amp;IF($F$6="",""," "&amp;INDEX($A:$U,ROW(),$F$6))))</f>
        <v/>
      </c>
      <c r="AB310" s="31">
        <f>IF($AA310="","",SUBSTITUTE(SUBSTITUTE(SUBSTITUTE(SUBSTITUTE(SUBSTITUTE(SUBSTITUTE(SUBSTITUTE(SUBSTITUTE(SUBSTITUTE($AA310," ",""),"　",""),"(주)",""),"（주）",""),"㈜",""),"주식회사",""),"(유)",""),"（유）",""),"유한회사",""))</f>
        <v/>
      </c>
      <c r="AC310" s="31">
        <f>IF(OR($Y310="",N($Z310)&lt;=0,$AB310=""),0,IFERROR(LOOKUP(2,1/((거래처별!$AC$8:$AC$307&lt;&gt;"")*ISNUMBER(SEARCH(거래처별!$AC$8:$AC$307,$AB310))),거래처별!$A$8:$A$307),IFERROR(LOOKUP(2,1/((거래처별!$AD$8:$AD$307&lt;&gt;"")*ISNUMBER(SEARCH(거래처별!$AD$8:$AD$307,$AB310))),거래처별!$A$8:$A$307),IFERROR(LOOKUP(2,1/((거래처별!$AE$8:$AE$307&lt;&gt;"")*ISNUMBER(SEARCH(거래처별!$AE$8:$AE$307,$AB310))),거래처별!$A$8:$A$307),0))))</f>
        <v/>
      </c>
      <c r="AD310" s="31">
        <f>IF(AND($Y310&lt;&gt;"",N($Z310)&gt;0,$AC310=0),MAX($AD$7:$AD309)+1,"")</f>
        <v/>
      </c>
      <c r="AE310" s="31">
        <f>IF($Y310="",0,$Y310)</f>
        <v/>
      </c>
    </row>
    <row r="311">
      <c r="W311" s="31">
        <f>IF(OR($B$5="",$C$6="",ROW()&lt;$B$5),"",IF(INDEX($A:$U,ROW(),$C$6)="","",INDEX($A:$U,ROW(),$C$6)))</f>
        <v/>
      </c>
      <c r="X311" s="32">
        <f>IF($W311="","",IF(ISNUMBER($W311),IF($W311&gt;=10000000,IFERROR(DATE(INT($W311/10000),MOD(INT($W311/100),100),MOD($W311,100)),""),INT($W311)),IFERROR(DATE(--LEFT(LEFT(SUBSTITUTE(SUBSTITUTE(SUBSTITUTE(SUBSTITUTE(TRIM($W311),"-",""),".",""),"/","")," ",""),8),4),--MID(LEFT(SUBSTITUTE(SUBSTITUTE(SUBSTITUTE(SUBSTITUTE(TRIM($W311),"-",""),".",""),"/","")," ",""),8),5,2),--MID(LEFT(SUBSTITUTE(SUBSTITUTE(SUBSTITUTE(SUBSTITUTE(TRIM($W311),"-",""),".",""),"/","")," ",""),8),7,2)),"")))</f>
        <v/>
      </c>
      <c r="Y311" s="32">
        <f>IF($X311="","",INT($X311))</f>
        <v/>
      </c>
      <c r="Z311" s="33">
        <f>IF(OR($Y311="",$D$6=""),"",IF(INDEX($A:$U,ROW(),$D$6)="",0,IF(ISNUMBER(INDEX($A:$U,ROW(),$D$6)),INDEX($A:$U,ROW(),$D$6),IFERROR(--SUBSTITUTE(SUBSTITUTE(TRIM(INDEX($A:$U,ROW(),$D$6)),",",""),"원",""),0))))</f>
        <v/>
      </c>
      <c r="AA311" s="31">
        <f>IF($Y311="","",TRIM(INDEX($A:$U,ROW(),$E$6)&amp;IF($F$6="",""," "&amp;INDEX($A:$U,ROW(),$F$6))))</f>
        <v/>
      </c>
      <c r="AB311" s="31">
        <f>IF($AA311="","",SUBSTITUTE(SUBSTITUTE(SUBSTITUTE(SUBSTITUTE(SUBSTITUTE(SUBSTITUTE(SUBSTITUTE(SUBSTITUTE(SUBSTITUTE($AA311," ",""),"　",""),"(주)",""),"（주）",""),"㈜",""),"주식회사",""),"(유)",""),"（유）",""),"유한회사",""))</f>
        <v/>
      </c>
      <c r="AC311" s="31">
        <f>IF(OR($Y311="",N($Z311)&lt;=0,$AB311=""),0,IFERROR(LOOKUP(2,1/((거래처별!$AC$8:$AC$307&lt;&gt;"")*ISNUMBER(SEARCH(거래처별!$AC$8:$AC$307,$AB311))),거래처별!$A$8:$A$307),IFERROR(LOOKUP(2,1/((거래처별!$AD$8:$AD$307&lt;&gt;"")*ISNUMBER(SEARCH(거래처별!$AD$8:$AD$307,$AB311))),거래처별!$A$8:$A$307),IFERROR(LOOKUP(2,1/((거래처별!$AE$8:$AE$307&lt;&gt;"")*ISNUMBER(SEARCH(거래처별!$AE$8:$AE$307,$AB311))),거래처별!$A$8:$A$307),0))))</f>
        <v/>
      </c>
      <c r="AD311" s="31">
        <f>IF(AND($Y311&lt;&gt;"",N($Z311)&gt;0,$AC311=0),MAX($AD$7:$AD310)+1,"")</f>
        <v/>
      </c>
      <c r="AE311" s="31">
        <f>IF($Y311="",0,$Y311)</f>
        <v/>
      </c>
    </row>
    <row r="312">
      <c r="W312" s="31">
        <f>IF(OR($B$5="",$C$6="",ROW()&lt;$B$5),"",IF(INDEX($A:$U,ROW(),$C$6)="","",INDEX($A:$U,ROW(),$C$6)))</f>
        <v/>
      </c>
      <c r="X312" s="32">
        <f>IF($W312="","",IF(ISNUMBER($W312),IF($W312&gt;=10000000,IFERROR(DATE(INT($W312/10000),MOD(INT($W312/100),100),MOD($W312,100)),""),INT($W312)),IFERROR(DATE(--LEFT(LEFT(SUBSTITUTE(SUBSTITUTE(SUBSTITUTE(SUBSTITUTE(TRIM($W312),"-",""),".",""),"/","")," ",""),8),4),--MID(LEFT(SUBSTITUTE(SUBSTITUTE(SUBSTITUTE(SUBSTITUTE(TRIM($W312),"-",""),".",""),"/","")," ",""),8),5,2),--MID(LEFT(SUBSTITUTE(SUBSTITUTE(SUBSTITUTE(SUBSTITUTE(TRIM($W312),"-",""),".",""),"/","")," ",""),8),7,2)),"")))</f>
        <v/>
      </c>
      <c r="Y312" s="32">
        <f>IF($X312="","",INT($X312))</f>
        <v/>
      </c>
      <c r="Z312" s="33">
        <f>IF(OR($Y312="",$D$6=""),"",IF(INDEX($A:$U,ROW(),$D$6)="",0,IF(ISNUMBER(INDEX($A:$U,ROW(),$D$6)),INDEX($A:$U,ROW(),$D$6),IFERROR(--SUBSTITUTE(SUBSTITUTE(TRIM(INDEX($A:$U,ROW(),$D$6)),",",""),"원",""),0))))</f>
        <v/>
      </c>
      <c r="AA312" s="31">
        <f>IF($Y312="","",TRIM(INDEX($A:$U,ROW(),$E$6)&amp;IF($F$6="",""," "&amp;INDEX($A:$U,ROW(),$F$6))))</f>
        <v/>
      </c>
      <c r="AB312" s="31">
        <f>IF($AA312="","",SUBSTITUTE(SUBSTITUTE(SUBSTITUTE(SUBSTITUTE(SUBSTITUTE(SUBSTITUTE(SUBSTITUTE(SUBSTITUTE(SUBSTITUTE($AA312," ",""),"　",""),"(주)",""),"（주）",""),"㈜",""),"주식회사",""),"(유)",""),"（유）",""),"유한회사",""))</f>
        <v/>
      </c>
      <c r="AC312" s="31">
        <f>IF(OR($Y312="",N($Z312)&lt;=0,$AB312=""),0,IFERROR(LOOKUP(2,1/((거래처별!$AC$8:$AC$307&lt;&gt;"")*ISNUMBER(SEARCH(거래처별!$AC$8:$AC$307,$AB312))),거래처별!$A$8:$A$307),IFERROR(LOOKUP(2,1/((거래처별!$AD$8:$AD$307&lt;&gt;"")*ISNUMBER(SEARCH(거래처별!$AD$8:$AD$307,$AB312))),거래처별!$A$8:$A$307),IFERROR(LOOKUP(2,1/((거래처별!$AE$8:$AE$307&lt;&gt;"")*ISNUMBER(SEARCH(거래처별!$AE$8:$AE$307,$AB312))),거래처별!$A$8:$A$307),0))))</f>
        <v/>
      </c>
      <c r="AD312" s="31">
        <f>IF(AND($Y312&lt;&gt;"",N($Z312)&gt;0,$AC312=0),MAX($AD$7:$AD311)+1,"")</f>
        <v/>
      </c>
      <c r="AE312" s="31">
        <f>IF($Y312="",0,$Y312)</f>
        <v/>
      </c>
    </row>
    <row r="313">
      <c r="W313" s="31">
        <f>IF(OR($B$5="",$C$6="",ROW()&lt;$B$5),"",IF(INDEX($A:$U,ROW(),$C$6)="","",INDEX($A:$U,ROW(),$C$6)))</f>
        <v/>
      </c>
      <c r="X313" s="32">
        <f>IF($W313="","",IF(ISNUMBER($W313),IF($W313&gt;=10000000,IFERROR(DATE(INT($W313/10000),MOD(INT($W313/100),100),MOD($W313,100)),""),INT($W313)),IFERROR(DATE(--LEFT(LEFT(SUBSTITUTE(SUBSTITUTE(SUBSTITUTE(SUBSTITUTE(TRIM($W313),"-",""),".",""),"/","")," ",""),8),4),--MID(LEFT(SUBSTITUTE(SUBSTITUTE(SUBSTITUTE(SUBSTITUTE(TRIM($W313),"-",""),".",""),"/","")," ",""),8),5,2),--MID(LEFT(SUBSTITUTE(SUBSTITUTE(SUBSTITUTE(SUBSTITUTE(TRIM($W313),"-",""),".",""),"/","")," ",""),8),7,2)),"")))</f>
        <v/>
      </c>
      <c r="Y313" s="32">
        <f>IF($X313="","",INT($X313))</f>
        <v/>
      </c>
      <c r="Z313" s="33">
        <f>IF(OR($Y313="",$D$6=""),"",IF(INDEX($A:$U,ROW(),$D$6)="",0,IF(ISNUMBER(INDEX($A:$U,ROW(),$D$6)),INDEX($A:$U,ROW(),$D$6),IFERROR(--SUBSTITUTE(SUBSTITUTE(TRIM(INDEX($A:$U,ROW(),$D$6)),",",""),"원",""),0))))</f>
        <v/>
      </c>
      <c r="AA313" s="31">
        <f>IF($Y313="","",TRIM(INDEX($A:$U,ROW(),$E$6)&amp;IF($F$6="",""," "&amp;INDEX($A:$U,ROW(),$F$6))))</f>
        <v/>
      </c>
      <c r="AB313" s="31">
        <f>IF($AA313="","",SUBSTITUTE(SUBSTITUTE(SUBSTITUTE(SUBSTITUTE(SUBSTITUTE(SUBSTITUTE(SUBSTITUTE(SUBSTITUTE(SUBSTITUTE($AA313," ",""),"　",""),"(주)",""),"（주）",""),"㈜",""),"주식회사",""),"(유)",""),"（유）",""),"유한회사",""))</f>
        <v/>
      </c>
      <c r="AC313" s="31">
        <f>IF(OR($Y313="",N($Z313)&lt;=0,$AB313=""),0,IFERROR(LOOKUP(2,1/((거래처별!$AC$8:$AC$307&lt;&gt;"")*ISNUMBER(SEARCH(거래처별!$AC$8:$AC$307,$AB313))),거래처별!$A$8:$A$307),IFERROR(LOOKUP(2,1/((거래처별!$AD$8:$AD$307&lt;&gt;"")*ISNUMBER(SEARCH(거래처별!$AD$8:$AD$307,$AB313))),거래처별!$A$8:$A$307),IFERROR(LOOKUP(2,1/((거래처별!$AE$8:$AE$307&lt;&gt;"")*ISNUMBER(SEARCH(거래처별!$AE$8:$AE$307,$AB313))),거래처별!$A$8:$A$307),0))))</f>
        <v/>
      </c>
      <c r="AD313" s="31">
        <f>IF(AND($Y313&lt;&gt;"",N($Z313)&gt;0,$AC313=0),MAX($AD$7:$AD312)+1,"")</f>
        <v/>
      </c>
      <c r="AE313" s="31">
        <f>IF($Y313="",0,$Y313)</f>
        <v/>
      </c>
    </row>
    <row r="314">
      <c r="W314" s="31">
        <f>IF(OR($B$5="",$C$6="",ROW()&lt;$B$5),"",IF(INDEX($A:$U,ROW(),$C$6)="","",INDEX($A:$U,ROW(),$C$6)))</f>
        <v/>
      </c>
      <c r="X314" s="32">
        <f>IF($W314="","",IF(ISNUMBER($W314),IF($W314&gt;=10000000,IFERROR(DATE(INT($W314/10000),MOD(INT($W314/100),100),MOD($W314,100)),""),INT($W314)),IFERROR(DATE(--LEFT(LEFT(SUBSTITUTE(SUBSTITUTE(SUBSTITUTE(SUBSTITUTE(TRIM($W314),"-",""),".",""),"/","")," ",""),8),4),--MID(LEFT(SUBSTITUTE(SUBSTITUTE(SUBSTITUTE(SUBSTITUTE(TRIM($W314),"-",""),".",""),"/","")," ",""),8),5,2),--MID(LEFT(SUBSTITUTE(SUBSTITUTE(SUBSTITUTE(SUBSTITUTE(TRIM($W314),"-",""),".",""),"/","")," ",""),8),7,2)),"")))</f>
        <v/>
      </c>
      <c r="Y314" s="32">
        <f>IF($X314="","",INT($X314))</f>
        <v/>
      </c>
      <c r="Z314" s="33">
        <f>IF(OR($Y314="",$D$6=""),"",IF(INDEX($A:$U,ROW(),$D$6)="",0,IF(ISNUMBER(INDEX($A:$U,ROW(),$D$6)),INDEX($A:$U,ROW(),$D$6),IFERROR(--SUBSTITUTE(SUBSTITUTE(TRIM(INDEX($A:$U,ROW(),$D$6)),",",""),"원",""),0))))</f>
        <v/>
      </c>
      <c r="AA314" s="31">
        <f>IF($Y314="","",TRIM(INDEX($A:$U,ROW(),$E$6)&amp;IF($F$6="",""," "&amp;INDEX($A:$U,ROW(),$F$6))))</f>
        <v/>
      </c>
      <c r="AB314" s="31">
        <f>IF($AA314="","",SUBSTITUTE(SUBSTITUTE(SUBSTITUTE(SUBSTITUTE(SUBSTITUTE(SUBSTITUTE(SUBSTITUTE(SUBSTITUTE(SUBSTITUTE($AA314," ",""),"　",""),"(주)",""),"（주）",""),"㈜",""),"주식회사",""),"(유)",""),"（유）",""),"유한회사",""))</f>
        <v/>
      </c>
      <c r="AC314" s="31">
        <f>IF(OR($Y314="",N($Z314)&lt;=0,$AB314=""),0,IFERROR(LOOKUP(2,1/((거래처별!$AC$8:$AC$307&lt;&gt;"")*ISNUMBER(SEARCH(거래처별!$AC$8:$AC$307,$AB314))),거래처별!$A$8:$A$307),IFERROR(LOOKUP(2,1/((거래처별!$AD$8:$AD$307&lt;&gt;"")*ISNUMBER(SEARCH(거래처별!$AD$8:$AD$307,$AB314))),거래처별!$A$8:$A$307),IFERROR(LOOKUP(2,1/((거래처별!$AE$8:$AE$307&lt;&gt;"")*ISNUMBER(SEARCH(거래처별!$AE$8:$AE$307,$AB314))),거래처별!$A$8:$A$307),0))))</f>
        <v/>
      </c>
      <c r="AD314" s="31">
        <f>IF(AND($Y314&lt;&gt;"",N($Z314)&gt;0,$AC314=0),MAX($AD$7:$AD313)+1,"")</f>
        <v/>
      </c>
      <c r="AE314" s="31">
        <f>IF($Y314="",0,$Y314)</f>
        <v/>
      </c>
    </row>
    <row r="315">
      <c r="W315" s="31">
        <f>IF(OR($B$5="",$C$6="",ROW()&lt;$B$5),"",IF(INDEX($A:$U,ROW(),$C$6)="","",INDEX($A:$U,ROW(),$C$6)))</f>
        <v/>
      </c>
      <c r="X315" s="32">
        <f>IF($W315="","",IF(ISNUMBER($W315),IF($W315&gt;=10000000,IFERROR(DATE(INT($W315/10000),MOD(INT($W315/100),100),MOD($W315,100)),""),INT($W315)),IFERROR(DATE(--LEFT(LEFT(SUBSTITUTE(SUBSTITUTE(SUBSTITUTE(SUBSTITUTE(TRIM($W315),"-",""),".",""),"/","")," ",""),8),4),--MID(LEFT(SUBSTITUTE(SUBSTITUTE(SUBSTITUTE(SUBSTITUTE(TRIM($W315),"-",""),".",""),"/","")," ",""),8),5,2),--MID(LEFT(SUBSTITUTE(SUBSTITUTE(SUBSTITUTE(SUBSTITUTE(TRIM($W315),"-",""),".",""),"/","")," ",""),8),7,2)),"")))</f>
        <v/>
      </c>
      <c r="Y315" s="32">
        <f>IF($X315="","",INT($X315))</f>
        <v/>
      </c>
      <c r="Z315" s="33">
        <f>IF(OR($Y315="",$D$6=""),"",IF(INDEX($A:$U,ROW(),$D$6)="",0,IF(ISNUMBER(INDEX($A:$U,ROW(),$D$6)),INDEX($A:$U,ROW(),$D$6),IFERROR(--SUBSTITUTE(SUBSTITUTE(TRIM(INDEX($A:$U,ROW(),$D$6)),",",""),"원",""),0))))</f>
        <v/>
      </c>
      <c r="AA315" s="31">
        <f>IF($Y315="","",TRIM(INDEX($A:$U,ROW(),$E$6)&amp;IF($F$6="",""," "&amp;INDEX($A:$U,ROW(),$F$6))))</f>
        <v/>
      </c>
      <c r="AB315" s="31">
        <f>IF($AA315="","",SUBSTITUTE(SUBSTITUTE(SUBSTITUTE(SUBSTITUTE(SUBSTITUTE(SUBSTITUTE(SUBSTITUTE(SUBSTITUTE(SUBSTITUTE($AA315," ",""),"　",""),"(주)",""),"（주）",""),"㈜",""),"주식회사",""),"(유)",""),"（유）",""),"유한회사",""))</f>
        <v/>
      </c>
      <c r="AC315" s="31">
        <f>IF(OR($Y315="",N($Z315)&lt;=0,$AB315=""),0,IFERROR(LOOKUP(2,1/((거래처별!$AC$8:$AC$307&lt;&gt;"")*ISNUMBER(SEARCH(거래처별!$AC$8:$AC$307,$AB315))),거래처별!$A$8:$A$307),IFERROR(LOOKUP(2,1/((거래처별!$AD$8:$AD$307&lt;&gt;"")*ISNUMBER(SEARCH(거래처별!$AD$8:$AD$307,$AB315))),거래처별!$A$8:$A$307),IFERROR(LOOKUP(2,1/((거래처별!$AE$8:$AE$307&lt;&gt;"")*ISNUMBER(SEARCH(거래처별!$AE$8:$AE$307,$AB315))),거래처별!$A$8:$A$307),0))))</f>
        <v/>
      </c>
      <c r="AD315" s="31">
        <f>IF(AND($Y315&lt;&gt;"",N($Z315)&gt;0,$AC315=0),MAX($AD$7:$AD314)+1,"")</f>
        <v/>
      </c>
      <c r="AE315" s="31">
        <f>IF($Y315="",0,$Y315)</f>
        <v/>
      </c>
    </row>
    <row r="316">
      <c r="W316" s="31">
        <f>IF(OR($B$5="",$C$6="",ROW()&lt;$B$5),"",IF(INDEX($A:$U,ROW(),$C$6)="","",INDEX($A:$U,ROW(),$C$6)))</f>
        <v/>
      </c>
      <c r="X316" s="32">
        <f>IF($W316="","",IF(ISNUMBER($W316),IF($W316&gt;=10000000,IFERROR(DATE(INT($W316/10000),MOD(INT($W316/100),100),MOD($W316,100)),""),INT($W316)),IFERROR(DATE(--LEFT(LEFT(SUBSTITUTE(SUBSTITUTE(SUBSTITUTE(SUBSTITUTE(TRIM($W316),"-",""),".",""),"/","")," ",""),8),4),--MID(LEFT(SUBSTITUTE(SUBSTITUTE(SUBSTITUTE(SUBSTITUTE(TRIM($W316),"-",""),".",""),"/","")," ",""),8),5,2),--MID(LEFT(SUBSTITUTE(SUBSTITUTE(SUBSTITUTE(SUBSTITUTE(TRIM($W316),"-",""),".",""),"/","")," ",""),8),7,2)),"")))</f>
        <v/>
      </c>
      <c r="Y316" s="32">
        <f>IF($X316="","",INT($X316))</f>
        <v/>
      </c>
      <c r="Z316" s="33">
        <f>IF(OR($Y316="",$D$6=""),"",IF(INDEX($A:$U,ROW(),$D$6)="",0,IF(ISNUMBER(INDEX($A:$U,ROW(),$D$6)),INDEX($A:$U,ROW(),$D$6),IFERROR(--SUBSTITUTE(SUBSTITUTE(TRIM(INDEX($A:$U,ROW(),$D$6)),",",""),"원",""),0))))</f>
        <v/>
      </c>
      <c r="AA316" s="31">
        <f>IF($Y316="","",TRIM(INDEX($A:$U,ROW(),$E$6)&amp;IF($F$6="",""," "&amp;INDEX($A:$U,ROW(),$F$6))))</f>
        <v/>
      </c>
      <c r="AB316" s="31">
        <f>IF($AA316="","",SUBSTITUTE(SUBSTITUTE(SUBSTITUTE(SUBSTITUTE(SUBSTITUTE(SUBSTITUTE(SUBSTITUTE(SUBSTITUTE(SUBSTITUTE($AA316," ",""),"　",""),"(주)",""),"（주）",""),"㈜",""),"주식회사",""),"(유)",""),"（유）",""),"유한회사",""))</f>
        <v/>
      </c>
      <c r="AC316" s="31">
        <f>IF(OR($Y316="",N($Z316)&lt;=0,$AB316=""),0,IFERROR(LOOKUP(2,1/((거래처별!$AC$8:$AC$307&lt;&gt;"")*ISNUMBER(SEARCH(거래처별!$AC$8:$AC$307,$AB316))),거래처별!$A$8:$A$307),IFERROR(LOOKUP(2,1/((거래처별!$AD$8:$AD$307&lt;&gt;"")*ISNUMBER(SEARCH(거래처별!$AD$8:$AD$307,$AB316))),거래처별!$A$8:$A$307),IFERROR(LOOKUP(2,1/((거래처별!$AE$8:$AE$307&lt;&gt;"")*ISNUMBER(SEARCH(거래처별!$AE$8:$AE$307,$AB316))),거래처별!$A$8:$A$307),0))))</f>
        <v/>
      </c>
      <c r="AD316" s="31">
        <f>IF(AND($Y316&lt;&gt;"",N($Z316)&gt;0,$AC316=0),MAX($AD$7:$AD315)+1,"")</f>
        <v/>
      </c>
      <c r="AE316" s="31">
        <f>IF($Y316="",0,$Y316)</f>
        <v/>
      </c>
    </row>
    <row r="317">
      <c r="W317" s="31">
        <f>IF(OR($B$5="",$C$6="",ROW()&lt;$B$5),"",IF(INDEX($A:$U,ROW(),$C$6)="","",INDEX($A:$U,ROW(),$C$6)))</f>
        <v/>
      </c>
      <c r="X317" s="32">
        <f>IF($W317="","",IF(ISNUMBER($W317),IF($W317&gt;=10000000,IFERROR(DATE(INT($W317/10000),MOD(INT($W317/100),100),MOD($W317,100)),""),INT($W317)),IFERROR(DATE(--LEFT(LEFT(SUBSTITUTE(SUBSTITUTE(SUBSTITUTE(SUBSTITUTE(TRIM($W317),"-",""),".",""),"/","")," ",""),8),4),--MID(LEFT(SUBSTITUTE(SUBSTITUTE(SUBSTITUTE(SUBSTITUTE(TRIM($W317),"-",""),".",""),"/","")," ",""),8),5,2),--MID(LEFT(SUBSTITUTE(SUBSTITUTE(SUBSTITUTE(SUBSTITUTE(TRIM($W317),"-",""),".",""),"/","")," ",""),8),7,2)),"")))</f>
        <v/>
      </c>
      <c r="Y317" s="32">
        <f>IF($X317="","",INT($X317))</f>
        <v/>
      </c>
      <c r="Z317" s="33">
        <f>IF(OR($Y317="",$D$6=""),"",IF(INDEX($A:$U,ROW(),$D$6)="",0,IF(ISNUMBER(INDEX($A:$U,ROW(),$D$6)),INDEX($A:$U,ROW(),$D$6),IFERROR(--SUBSTITUTE(SUBSTITUTE(TRIM(INDEX($A:$U,ROW(),$D$6)),",",""),"원",""),0))))</f>
        <v/>
      </c>
      <c r="AA317" s="31">
        <f>IF($Y317="","",TRIM(INDEX($A:$U,ROW(),$E$6)&amp;IF($F$6="",""," "&amp;INDEX($A:$U,ROW(),$F$6))))</f>
        <v/>
      </c>
      <c r="AB317" s="31">
        <f>IF($AA317="","",SUBSTITUTE(SUBSTITUTE(SUBSTITUTE(SUBSTITUTE(SUBSTITUTE(SUBSTITUTE(SUBSTITUTE(SUBSTITUTE(SUBSTITUTE($AA317," ",""),"　",""),"(주)",""),"（주）",""),"㈜",""),"주식회사",""),"(유)",""),"（유）",""),"유한회사",""))</f>
        <v/>
      </c>
      <c r="AC317" s="31">
        <f>IF(OR($Y317="",N($Z317)&lt;=0,$AB317=""),0,IFERROR(LOOKUP(2,1/((거래처별!$AC$8:$AC$307&lt;&gt;"")*ISNUMBER(SEARCH(거래처별!$AC$8:$AC$307,$AB317))),거래처별!$A$8:$A$307),IFERROR(LOOKUP(2,1/((거래처별!$AD$8:$AD$307&lt;&gt;"")*ISNUMBER(SEARCH(거래처별!$AD$8:$AD$307,$AB317))),거래처별!$A$8:$A$307),IFERROR(LOOKUP(2,1/((거래처별!$AE$8:$AE$307&lt;&gt;"")*ISNUMBER(SEARCH(거래처별!$AE$8:$AE$307,$AB317))),거래처별!$A$8:$A$307),0))))</f>
        <v/>
      </c>
      <c r="AD317" s="31">
        <f>IF(AND($Y317&lt;&gt;"",N($Z317)&gt;0,$AC317=0),MAX($AD$7:$AD316)+1,"")</f>
        <v/>
      </c>
      <c r="AE317" s="31">
        <f>IF($Y317="",0,$Y317)</f>
        <v/>
      </c>
    </row>
    <row r="318">
      <c r="W318" s="31">
        <f>IF(OR($B$5="",$C$6="",ROW()&lt;$B$5),"",IF(INDEX($A:$U,ROW(),$C$6)="","",INDEX($A:$U,ROW(),$C$6)))</f>
        <v/>
      </c>
      <c r="X318" s="32">
        <f>IF($W318="","",IF(ISNUMBER($W318),IF($W318&gt;=10000000,IFERROR(DATE(INT($W318/10000),MOD(INT($W318/100),100),MOD($W318,100)),""),INT($W318)),IFERROR(DATE(--LEFT(LEFT(SUBSTITUTE(SUBSTITUTE(SUBSTITUTE(SUBSTITUTE(TRIM($W318),"-",""),".",""),"/","")," ",""),8),4),--MID(LEFT(SUBSTITUTE(SUBSTITUTE(SUBSTITUTE(SUBSTITUTE(TRIM($W318),"-",""),".",""),"/","")," ",""),8),5,2),--MID(LEFT(SUBSTITUTE(SUBSTITUTE(SUBSTITUTE(SUBSTITUTE(TRIM($W318),"-",""),".",""),"/","")," ",""),8),7,2)),"")))</f>
        <v/>
      </c>
      <c r="Y318" s="32">
        <f>IF($X318="","",INT($X318))</f>
        <v/>
      </c>
      <c r="Z318" s="33">
        <f>IF(OR($Y318="",$D$6=""),"",IF(INDEX($A:$U,ROW(),$D$6)="",0,IF(ISNUMBER(INDEX($A:$U,ROW(),$D$6)),INDEX($A:$U,ROW(),$D$6),IFERROR(--SUBSTITUTE(SUBSTITUTE(TRIM(INDEX($A:$U,ROW(),$D$6)),",",""),"원",""),0))))</f>
        <v/>
      </c>
      <c r="AA318" s="31">
        <f>IF($Y318="","",TRIM(INDEX($A:$U,ROW(),$E$6)&amp;IF($F$6="",""," "&amp;INDEX($A:$U,ROW(),$F$6))))</f>
        <v/>
      </c>
      <c r="AB318" s="31">
        <f>IF($AA318="","",SUBSTITUTE(SUBSTITUTE(SUBSTITUTE(SUBSTITUTE(SUBSTITUTE(SUBSTITUTE(SUBSTITUTE(SUBSTITUTE(SUBSTITUTE($AA318," ",""),"　",""),"(주)",""),"（주）",""),"㈜",""),"주식회사",""),"(유)",""),"（유）",""),"유한회사",""))</f>
        <v/>
      </c>
      <c r="AC318" s="31">
        <f>IF(OR($Y318="",N($Z318)&lt;=0,$AB318=""),0,IFERROR(LOOKUP(2,1/((거래처별!$AC$8:$AC$307&lt;&gt;"")*ISNUMBER(SEARCH(거래처별!$AC$8:$AC$307,$AB318))),거래처별!$A$8:$A$307),IFERROR(LOOKUP(2,1/((거래처별!$AD$8:$AD$307&lt;&gt;"")*ISNUMBER(SEARCH(거래처별!$AD$8:$AD$307,$AB318))),거래처별!$A$8:$A$307),IFERROR(LOOKUP(2,1/((거래처별!$AE$8:$AE$307&lt;&gt;"")*ISNUMBER(SEARCH(거래처별!$AE$8:$AE$307,$AB318))),거래처별!$A$8:$A$307),0))))</f>
        <v/>
      </c>
      <c r="AD318" s="31">
        <f>IF(AND($Y318&lt;&gt;"",N($Z318)&gt;0,$AC318=0),MAX($AD$7:$AD317)+1,"")</f>
        <v/>
      </c>
      <c r="AE318" s="31">
        <f>IF($Y318="",0,$Y318)</f>
        <v/>
      </c>
    </row>
    <row r="319">
      <c r="W319" s="31">
        <f>IF(OR($B$5="",$C$6="",ROW()&lt;$B$5),"",IF(INDEX($A:$U,ROW(),$C$6)="","",INDEX($A:$U,ROW(),$C$6)))</f>
        <v/>
      </c>
      <c r="X319" s="32">
        <f>IF($W319="","",IF(ISNUMBER($W319),IF($W319&gt;=10000000,IFERROR(DATE(INT($W319/10000),MOD(INT($W319/100),100),MOD($W319,100)),""),INT($W319)),IFERROR(DATE(--LEFT(LEFT(SUBSTITUTE(SUBSTITUTE(SUBSTITUTE(SUBSTITUTE(TRIM($W319),"-",""),".",""),"/","")," ",""),8),4),--MID(LEFT(SUBSTITUTE(SUBSTITUTE(SUBSTITUTE(SUBSTITUTE(TRIM($W319),"-",""),".",""),"/","")," ",""),8),5,2),--MID(LEFT(SUBSTITUTE(SUBSTITUTE(SUBSTITUTE(SUBSTITUTE(TRIM($W319),"-",""),".",""),"/","")," ",""),8),7,2)),"")))</f>
        <v/>
      </c>
      <c r="Y319" s="32">
        <f>IF($X319="","",INT($X319))</f>
        <v/>
      </c>
      <c r="Z319" s="33">
        <f>IF(OR($Y319="",$D$6=""),"",IF(INDEX($A:$U,ROW(),$D$6)="",0,IF(ISNUMBER(INDEX($A:$U,ROW(),$D$6)),INDEX($A:$U,ROW(),$D$6),IFERROR(--SUBSTITUTE(SUBSTITUTE(TRIM(INDEX($A:$U,ROW(),$D$6)),",",""),"원",""),0))))</f>
        <v/>
      </c>
      <c r="AA319" s="31">
        <f>IF($Y319="","",TRIM(INDEX($A:$U,ROW(),$E$6)&amp;IF($F$6="",""," "&amp;INDEX($A:$U,ROW(),$F$6))))</f>
        <v/>
      </c>
      <c r="AB319" s="31">
        <f>IF($AA319="","",SUBSTITUTE(SUBSTITUTE(SUBSTITUTE(SUBSTITUTE(SUBSTITUTE(SUBSTITUTE(SUBSTITUTE(SUBSTITUTE(SUBSTITUTE($AA319," ",""),"　",""),"(주)",""),"（주）",""),"㈜",""),"주식회사",""),"(유)",""),"（유）",""),"유한회사",""))</f>
        <v/>
      </c>
      <c r="AC319" s="31">
        <f>IF(OR($Y319="",N($Z319)&lt;=0,$AB319=""),0,IFERROR(LOOKUP(2,1/((거래처별!$AC$8:$AC$307&lt;&gt;"")*ISNUMBER(SEARCH(거래처별!$AC$8:$AC$307,$AB319))),거래처별!$A$8:$A$307),IFERROR(LOOKUP(2,1/((거래처별!$AD$8:$AD$307&lt;&gt;"")*ISNUMBER(SEARCH(거래처별!$AD$8:$AD$307,$AB319))),거래처별!$A$8:$A$307),IFERROR(LOOKUP(2,1/((거래처별!$AE$8:$AE$307&lt;&gt;"")*ISNUMBER(SEARCH(거래처별!$AE$8:$AE$307,$AB319))),거래처별!$A$8:$A$307),0))))</f>
        <v/>
      </c>
      <c r="AD319" s="31">
        <f>IF(AND($Y319&lt;&gt;"",N($Z319)&gt;0,$AC319=0),MAX($AD$7:$AD318)+1,"")</f>
        <v/>
      </c>
      <c r="AE319" s="31">
        <f>IF($Y319="",0,$Y319)</f>
        <v/>
      </c>
    </row>
    <row r="320">
      <c r="W320" s="31">
        <f>IF(OR($B$5="",$C$6="",ROW()&lt;$B$5),"",IF(INDEX($A:$U,ROW(),$C$6)="","",INDEX($A:$U,ROW(),$C$6)))</f>
        <v/>
      </c>
      <c r="X320" s="32">
        <f>IF($W320="","",IF(ISNUMBER($W320),IF($W320&gt;=10000000,IFERROR(DATE(INT($W320/10000),MOD(INT($W320/100),100),MOD($W320,100)),""),INT($W320)),IFERROR(DATE(--LEFT(LEFT(SUBSTITUTE(SUBSTITUTE(SUBSTITUTE(SUBSTITUTE(TRIM($W320),"-",""),".",""),"/","")," ",""),8),4),--MID(LEFT(SUBSTITUTE(SUBSTITUTE(SUBSTITUTE(SUBSTITUTE(TRIM($W320),"-",""),".",""),"/","")," ",""),8),5,2),--MID(LEFT(SUBSTITUTE(SUBSTITUTE(SUBSTITUTE(SUBSTITUTE(TRIM($W320),"-",""),".",""),"/","")," ",""),8),7,2)),"")))</f>
        <v/>
      </c>
      <c r="Y320" s="32">
        <f>IF($X320="","",INT($X320))</f>
        <v/>
      </c>
      <c r="Z320" s="33">
        <f>IF(OR($Y320="",$D$6=""),"",IF(INDEX($A:$U,ROW(),$D$6)="",0,IF(ISNUMBER(INDEX($A:$U,ROW(),$D$6)),INDEX($A:$U,ROW(),$D$6),IFERROR(--SUBSTITUTE(SUBSTITUTE(TRIM(INDEX($A:$U,ROW(),$D$6)),",",""),"원",""),0))))</f>
        <v/>
      </c>
      <c r="AA320" s="31">
        <f>IF($Y320="","",TRIM(INDEX($A:$U,ROW(),$E$6)&amp;IF($F$6="",""," "&amp;INDEX($A:$U,ROW(),$F$6))))</f>
        <v/>
      </c>
      <c r="AB320" s="31">
        <f>IF($AA320="","",SUBSTITUTE(SUBSTITUTE(SUBSTITUTE(SUBSTITUTE(SUBSTITUTE(SUBSTITUTE(SUBSTITUTE(SUBSTITUTE(SUBSTITUTE($AA320," ",""),"　",""),"(주)",""),"（주）",""),"㈜",""),"주식회사",""),"(유)",""),"（유）",""),"유한회사",""))</f>
        <v/>
      </c>
      <c r="AC320" s="31">
        <f>IF(OR($Y320="",N($Z320)&lt;=0,$AB320=""),0,IFERROR(LOOKUP(2,1/((거래처별!$AC$8:$AC$307&lt;&gt;"")*ISNUMBER(SEARCH(거래처별!$AC$8:$AC$307,$AB320))),거래처별!$A$8:$A$307),IFERROR(LOOKUP(2,1/((거래처별!$AD$8:$AD$307&lt;&gt;"")*ISNUMBER(SEARCH(거래처별!$AD$8:$AD$307,$AB320))),거래처별!$A$8:$A$307),IFERROR(LOOKUP(2,1/((거래처별!$AE$8:$AE$307&lt;&gt;"")*ISNUMBER(SEARCH(거래처별!$AE$8:$AE$307,$AB320))),거래처별!$A$8:$A$307),0))))</f>
        <v/>
      </c>
      <c r="AD320" s="31">
        <f>IF(AND($Y320&lt;&gt;"",N($Z320)&gt;0,$AC320=0),MAX($AD$7:$AD319)+1,"")</f>
        <v/>
      </c>
      <c r="AE320" s="31">
        <f>IF($Y320="",0,$Y320)</f>
        <v/>
      </c>
    </row>
    <row r="321">
      <c r="W321" s="31">
        <f>IF(OR($B$5="",$C$6="",ROW()&lt;$B$5),"",IF(INDEX($A:$U,ROW(),$C$6)="","",INDEX($A:$U,ROW(),$C$6)))</f>
        <v/>
      </c>
      <c r="X321" s="32">
        <f>IF($W321="","",IF(ISNUMBER($W321),IF($W321&gt;=10000000,IFERROR(DATE(INT($W321/10000),MOD(INT($W321/100),100),MOD($W321,100)),""),INT($W321)),IFERROR(DATE(--LEFT(LEFT(SUBSTITUTE(SUBSTITUTE(SUBSTITUTE(SUBSTITUTE(TRIM($W321),"-",""),".",""),"/","")," ",""),8),4),--MID(LEFT(SUBSTITUTE(SUBSTITUTE(SUBSTITUTE(SUBSTITUTE(TRIM($W321),"-",""),".",""),"/","")," ",""),8),5,2),--MID(LEFT(SUBSTITUTE(SUBSTITUTE(SUBSTITUTE(SUBSTITUTE(TRIM($W321),"-",""),".",""),"/","")," ",""),8),7,2)),"")))</f>
        <v/>
      </c>
      <c r="Y321" s="32">
        <f>IF($X321="","",INT($X321))</f>
        <v/>
      </c>
      <c r="Z321" s="33">
        <f>IF(OR($Y321="",$D$6=""),"",IF(INDEX($A:$U,ROW(),$D$6)="",0,IF(ISNUMBER(INDEX($A:$U,ROW(),$D$6)),INDEX($A:$U,ROW(),$D$6),IFERROR(--SUBSTITUTE(SUBSTITUTE(TRIM(INDEX($A:$U,ROW(),$D$6)),",",""),"원",""),0))))</f>
        <v/>
      </c>
      <c r="AA321" s="31">
        <f>IF($Y321="","",TRIM(INDEX($A:$U,ROW(),$E$6)&amp;IF($F$6="",""," "&amp;INDEX($A:$U,ROW(),$F$6))))</f>
        <v/>
      </c>
      <c r="AB321" s="31">
        <f>IF($AA321="","",SUBSTITUTE(SUBSTITUTE(SUBSTITUTE(SUBSTITUTE(SUBSTITUTE(SUBSTITUTE(SUBSTITUTE(SUBSTITUTE(SUBSTITUTE($AA321," ",""),"　",""),"(주)",""),"（주）",""),"㈜",""),"주식회사",""),"(유)",""),"（유）",""),"유한회사",""))</f>
        <v/>
      </c>
      <c r="AC321" s="31">
        <f>IF(OR($Y321="",N($Z321)&lt;=0,$AB321=""),0,IFERROR(LOOKUP(2,1/((거래처별!$AC$8:$AC$307&lt;&gt;"")*ISNUMBER(SEARCH(거래처별!$AC$8:$AC$307,$AB321))),거래처별!$A$8:$A$307),IFERROR(LOOKUP(2,1/((거래처별!$AD$8:$AD$307&lt;&gt;"")*ISNUMBER(SEARCH(거래처별!$AD$8:$AD$307,$AB321))),거래처별!$A$8:$A$307),IFERROR(LOOKUP(2,1/((거래처별!$AE$8:$AE$307&lt;&gt;"")*ISNUMBER(SEARCH(거래처별!$AE$8:$AE$307,$AB321))),거래처별!$A$8:$A$307),0))))</f>
        <v/>
      </c>
      <c r="AD321" s="31">
        <f>IF(AND($Y321&lt;&gt;"",N($Z321)&gt;0,$AC321=0),MAX($AD$7:$AD320)+1,"")</f>
        <v/>
      </c>
      <c r="AE321" s="31">
        <f>IF($Y321="",0,$Y321)</f>
        <v/>
      </c>
    </row>
    <row r="322">
      <c r="W322" s="31">
        <f>IF(OR($B$5="",$C$6="",ROW()&lt;$B$5),"",IF(INDEX($A:$U,ROW(),$C$6)="","",INDEX($A:$U,ROW(),$C$6)))</f>
        <v/>
      </c>
      <c r="X322" s="32">
        <f>IF($W322="","",IF(ISNUMBER($W322),IF($W322&gt;=10000000,IFERROR(DATE(INT($W322/10000),MOD(INT($W322/100),100),MOD($W322,100)),""),INT($W322)),IFERROR(DATE(--LEFT(LEFT(SUBSTITUTE(SUBSTITUTE(SUBSTITUTE(SUBSTITUTE(TRIM($W322),"-",""),".",""),"/","")," ",""),8),4),--MID(LEFT(SUBSTITUTE(SUBSTITUTE(SUBSTITUTE(SUBSTITUTE(TRIM($W322),"-",""),".",""),"/","")," ",""),8),5,2),--MID(LEFT(SUBSTITUTE(SUBSTITUTE(SUBSTITUTE(SUBSTITUTE(TRIM($W322),"-",""),".",""),"/","")," ",""),8),7,2)),"")))</f>
        <v/>
      </c>
      <c r="Y322" s="32">
        <f>IF($X322="","",INT($X322))</f>
        <v/>
      </c>
      <c r="Z322" s="33">
        <f>IF(OR($Y322="",$D$6=""),"",IF(INDEX($A:$U,ROW(),$D$6)="",0,IF(ISNUMBER(INDEX($A:$U,ROW(),$D$6)),INDEX($A:$U,ROW(),$D$6),IFERROR(--SUBSTITUTE(SUBSTITUTE(TRIM(INDEX($A:$U,ROW(),$D$6)),",",""),"원",""),0))))</f>
        <v/>
      </c>
      <c r="AA322" s="31">
        <f>IF($Y322="","",TRIM(INDEX($A:$U,ROW(),$E$6)&amp;IF($F$6="",""," "&amp;INDEX($A:$U,ROW(),$F$6))))</f>
        <v/>
      </c>
      <c r="AB322" s="31">
        <f>IF($AA322="","",SUBSTITUTE(SUBSTITUTE(SUBSTITUTE(SUBSTITUTE(SUBSTITUTE(SUBSTITUTE(SUBSTITUTE(SUBSTITUTE(SUBSTITUTE($AA322," ",""),"　",""),"(주)",""),"（주）",""),"㈜",""),"주식회사",""),"(유)",""),"（유）",""),"유한회사",""))</f>
        <v/>
      </c>
      <c r="AC322" s="31">
        <f>IF(OR($Y322="",N($Z322)&lt;=0,$AB322=""),0,IFERROR(LOOKUP(2,1/((거래처별!$AC$8:$AC$307&lt;&gt;"")*ISNUMBER(SEARCH(거래처별!$AC$8:$AC$307,$AB322))),거래처별!$A$8:$A$307),IFERROR(LOOKUP(2,1/((거래처별!$AD$8:$AD$307&lt;&gt;"")*ISNUMBER(SEARCH(거래처별!$AD$8:$AD$307,$AB322))),거래처별!$A$8:$A$307),IFERROR(LOOKUP(2,1/((거래처별!$AE$8:$AE$307&lt;&gt;"")*ISNUMBER(SEARCH(거래처별!$AE$8:$AE$307,$AB322))),거래처별!$A$8:$A$307),0))))</f>
        <v/>
      </c>
      <c r="AD322" s="31">
        <f>IF(AND($Y322&lt;&gt;"",N($Z322)&gt;0,$AC322=0),MAX($AD$7:$AD321)+1,"")</f>
        <v/>
      </c>
      <c r="AE322" s="31">
        <f>IF($Y322="",0,$Y322)</f>
        <v/>
      </c>
    </row>
    <row r="323">
      <c r="W323" s="31">
        <f>IF(OR($B$5="",$C$6="",ROW()&lt;$B$5),"",IF(INDEX($A:$U,ROW(),$C$6)="","",INDEX($A:$U,ROW(),$C$6)))</f>
        <v/>
      </c>
      <c r="X323" s="32">
        <f>IF($W323="","",IF(ISNUMBER($W323),IF($W323&gt;=10000000,IFERROR(DATE(INT($W323/10000),MOD(INT($W323/100),100),MOD($W323,100)),""),INT($W323)),IFERROR(DATE(--LEFT(LEFT(SUBSTITUTE(SUBSTITUTE(SUBSTITUTE(SUBSTITUTE(TRIM($W323),"-",""),".",""),"/","")," ",""),8),4),--MID(LEFT(SUBSTITUTE(SUBSTITUTE(SUBSTITUTE(SUBSTITUTE(TRIM($W323),"-",""),".",""),"/","")," ",""),8),5,2),--MID(LEFT(SUBSTITUTE(SUBSTITUTE(SUBSTITUTE(SUBSTITUTE(TRIM($W323),"-",""),".",""),"/","")," ",""),8),7,2)),"")))</f>
        <v/>
      </c>
      <c r="Y323" s="32">
        <f>IF($X323="","",INT($X323))</f>
        <v/>
      </c>
      <c r="Z323" s="33">
        <f>IF(OR($Y323="",$D$6=""),"",IF(INDEX($A:$U,ROW(),$D$6)="",0,IF(ISNUMBER(INDEX($A:$U,ROW(),$D$6)),INDEX($A:$U,ROW(),$D$6),IFERROR(--SUBSTITUTE(SUBSTITUTE(TRIM(INDEX($A:$U,ROW(),$D$6)),",",""),"원",""),0))))</f>
        <v/>
      </c>
      <c r="AA323" s="31">
        <f>IF($Y323="","",TRIM(INDEX($A:$U,ROW(),$E$6)&amp;IF($F$6="",""," "&amp;INDEX($A:$U,ROW(),$F$6))))</f>
        <v/>
      </c>
      <c r="AB323" s="31">
        <f>IF($AA323="","",SUBSTITUTE(SUBSTITUTE(SUBSTITUTE(SUBSTITUTE(SUBSTITUTE(SUBSTITUTE(SUBSTITUTE(SUBSTITUTE(SUBSTITUTE($AA323," ",""),"　",""),"(주)",""),"（주）",""),"㈜",""),"주식회사",""),"(유)",""),"（유）",""),"유한회사",""))</f>
        <v/>
      </c>
      <c r="AC323" s="31">
        <f>IF(OR($Y323="",N($Z323)&lt;=0,$AB323=""),0,IFERROR(LOOKUP(2,1/((거래처별!$AC$8:$AC$307&lt;&gt;"")*ISNUMBER(SEARCH(거래처별!$AC$8:$AC$307,$AB323))),거래처별!$A$8:$A$307),IFERROR(LOOKUP(2,1/((거래처별!$AD$8:$AD$307&lt;&gt;"")*ISNUMBER(SEARCH(거래처별!$AD$8:$AD$307,$AB323))),거래처별!$A$8:$A$307),IFERROR(LOOKUP(2,1/((거래처별!$AE$8:$AE$307&lt;&gt;"")*ISNUMBER(SEARCH(거래처별!$AE$8:$AE$307,$AB323))),거래처별!$A$8:$A$307),0))))</f>
        <v/>
      </c>
      <c r="AD323" s="31">
        <f>IF(AND($Y323&lt;&gt;"",N($Z323)&gt;0,$AC323=0),MAX($AD$7:$AD322)+1,"")</f>
        <v/>
      </c>
      <c r="AE323" s="31">
        <f>IF($Y323="",0,$Y323)</f>
        <v/>
      </c>
    </row>
    <row r="324">
      <c r="W324" s="31">
        <f>IF(OR($B$5="",$C$6="",ROW()&lt;$B$5),"",IF(INDEX($A:$U,ROW(),$C$6)="","",INDEX($A:$U,ROW(),$C$6)))</f>
        <v/>
      </c>
      <c r="X324" s="32">
        <f>IF($W324="","",IF(ISNUMBER($W324),IF($W324&gt;=10000000,IFERROR(DATE(INT($W324/10000),MOD(INT($W324/100),100),MOD($W324,100)),""),INT($W324)),IFERROR(DATE(--LEFT(LEFT(SUBSTITUTE(SUBSTITUTE(SUBSTITUTE(SUBSTITUTE(TRIM($W324),"-",""),".",""),"/","")," ",""),8),4),--MID(LEFT(SUBSTITUTE(SUBSTITUTE(SUBSTITUTE(SUBSTITUTE(TRIM($W324),"-",""),".",""),"/","")," ",""),8),5,2),--MID(LEFT(SUBSTITUTE(SUBSTITUTE(SUBSTITUTE(SUBSTITUTE(TRIM($W324),"-",""),".",""),"/","")," ",""),8),7,2)),"")))</f>
        <v/>
      </c>
      <c r="Y324" s="32">
        <f>IF($X324="","",INT($X324))</f>
        <v/>
      </c>
      <c r="Z324" s="33">
        <f>IF(OR($Y324="",$D$6=""),"",IF(INDEX($A:$U,ROW(),$D$6)="",0,IF(ISNUMBER(INDEX($A:$U,ROW(),$D$6)),INDEX($A:$U,ROW(),$D$6),IFERROR(--SUBSTITUTE(SUBSTITUTE(TRIM(INDEX($A:$U,ROW(),$D$6)),",",""),"원",""),0))))</f>
        <v/>
      </c>
      <c r="AA324" s="31">
        <f>IF($Y324="","",TRIM(INDEX($A:$U,ROW(),$E$6)&amp;IF($F$6="",""," "&amp;INDEX($A:$U,ROW(),$F$6))))</f>
        <v/>
      </c>
      <c r="AB324" s="31">
        <f>IF($AA324="","",SUBSTITUTE(SUBSTITUTE(SUBSTITUTE(SUBSTITUTE(SUBSTITUTE(SUBSTITUTE(SUBSTITUTE(SUBSTITUTE(SUBSTITUTE($AA324," ",""),"　",""),"(주)",""),"（주）",""),"㈜",""),"주식회사",""),"(유)",""),"（유）",""),"유한회사",""))</f>
        <v/>
      </c>
      <c r="AC324" s="31">
        <f>IF(OR($Y324="",N($Z324)&lt;=0,$AB324=""),0,IFERROR(LOOKUP(2,1/((거래처별!$AC$8:$AC$307&lt;&gt;"")*ISNUMBER(SEARCH(거래처별!$AC$8:$AC$307,$AB324))),거래처별!$A$8:$A$307),IFERROR(LOOKUP(2,1/((거래처별!$AD$8:$AD$307&lt;&gt;"")*ISNUMBER(SEARCH(거래처별!$AD$8:$AD$307,$AB324))),거래처별!$A$8:$A$307),IFERROR(LOOKUP(2,1/((거래처별!$AE$8:$AE$307&lt;&gt;"")*ISNUMBER(SEARCH(거래처별!$AE$8:$AE$307,$AB324))),거래처별!$A$8:$A$307),0))))</f>
        <v/>
      </c>
      <c r="AD324" s="31">
        <f>IF(AND($Y324&lt;&gt;"",N($Z324)&gt;0,$AC324=0),MAX($AD$7:$AD323)+1,"")</f>
        <v/>
      </c>
      <c r="AE324" s="31">
        <f>IF($Y324="",0,$Y324)</f>
        <v/>
      </c>
    </row>
    <row r="325">
      <c r="W325" s="31">
        <f>IF(OR($B$5="",$C$6="",ROW()&lt;$B$5),"",IF(INDEX($A:$U,ROW(),$C$6)="","",INDEX($A:$U,ROW(),$C$6)))</f>
        <v/>
      </c>
      <c r="X325" s="32">
        <f>IF($W325="","",IF(ISNUMBER($W325),IF($W325&gt;=10000000,IFERROR(DATE(INT($W325/10000),MOD(INT($W325/100),100),MOD($W325,100)),""),INT($W325)),IFERROR(DATE(--LEFT(LEFT(SUBSTITUTE(SUBSTITUTE(SUBSTITUTE(SUBSTITUTE(TRIM($W325),"-",""),".",""),"/","")," ",""),8),4),--MID(LEFT(SUBSTITUTE(SUBSTITUTE(SUBSTITUTE(SUBSTITUTE(TRIM($W325),"-",""),".",""),"/","")," ",""),8),5,2),--MID(LEFT(SUBSTITUTE(SUBSTITUTE(SUBSTITUTE(SUBSTITUTE(TRIM($W325),"-",""),".",""),"/","")," ",""),8),7,2)),"")))</f>
        <v/>
      </c>
      <c r="Y325" s="32">
        <f>IF($X325="","",INT($X325))</f>
        <v/>
      </c>
      <c r="Z325" s="33">
        <f>IF(OR($Y325="",$D$6=""),"",IF(INDEX($A:$U,ROW(),$D$6)="",0,IF(ISNUMBER(INDEX($A:$U,ROW(),$D$6)),INDEX($A:$U,ROW(),$D$6),IFERROR(--SUBSTITUTE(SUBSTITUTE(TRIM(INDEX($A:$U,ROW(),$D$6)),",",""),"원",""),0))))</f>
        <v/>
      </c>
      <c r="AA325" s="31">
        <f>IF($Y325="","",TRIM(INDEX($A:$U,ROW(),$E$6)&amp;IF($F$6="",""," "&amp;INDEX($A:$U,ROW(),$F$6))))</f>
        <v/>
      </c>
      <c r="AB325" s="31">
        <f>IF($AA325="","",SUBSTITUTE(SUBSTITUTE(SUBSTITUTE(SUBSTITUTE(SUBSTITUTE(SUBSTITUTE(SUBSTITUTE(SUBSTITUTE(SUBSTITUTE($AA325," ",""),"　",""),"(주)",""),"（주）",""),"㈜",""),"주식회사",""),"(유)",""),"（유）",""),"유한회사",""))</f>
        <v/>
      </c>
      <c r="AC325" s="31">
        <f>IF(OR($Y325="",N($Z325)&lt;=0,$AB325=""),0,IFERROR(LOOKUP(2,1/((거래처별!$AC$8:$AC$307&lt;&gt;"")*ISNUMBER(SEARCH(거래처별!$AC$8:$AC$307,$AB325))),거래처별!$A$8:$A$307),IFERROR(LOOKUP(2,1/((거래처별!$AD$8:$AD$307&lt;&gt;"")*ISNUMBER(SEARCH(거래처별!$AD$8:$AD$307,$AB325))),거래처별!$A$8:$A$307),IFERROR(LOOKUP(2,1/((거래처별!$AE$8:$AE$307&lt;&gt;"")*ISNUMBER(SEARCH(거래처별!$AE$8:$AE$307,$AB325))),거래처별!$A$8:$A$307),0))))</f>
        <v/>
      </c>
      <c r="AD325" s="31">
        <f>IF(AND($Y325&lt;&gt;"",N($Z325)&gt;0,$AC325=0),MAX($AD$7:$AD324)+1,"")</f>
        <v/>
      </c>
      <c r="AE325" s="31">
        <f>IF($Y325="",0,$Y325)</f>
        <v/>
      </c>
    </row>
    <row r="326">
      <c r="W326" s="31">
        <f>IF(OR($B$5="",$C$6="",ROW()&lt;$B$5),"",IF(INDEX($A:$U,ROW(),$C$6)="","",INDEX($A:$U,ROW(),$C$6)))</f>
        <v/>
      </c>
      <c r="X326" s="32">
        <f>IF($W326="","",IF(ISNUMBER($W326),IF($W326&gt;=10000000,IFERROR(DATE(INT($W326/10000),MOD(INT($W326/100),100),MOD($W326,100)),""),INT($W326)),IFERROR(DATE(--LEFT(LEFT(SUBSTITUTE(SUBSTITUTE(SUBSTITUTE(SUBSTITUTE(TRIM($W326),"-",""),".",""),"/","")," ",""),8),4),--MID(LEFT(SUBSTITUTE(SUBSTITUTE(SUBSTITUTE(SUBSTITUTE(TRIM($W326),"-",""),".",""),"/","")," ",""),8),5,2),--MID(LEFT(SUBSTITUTE(SUBSTITUTE(SUBSTITUTE(SUBSTITUTE(TRIM($W326),"-",""),".",""),"/","")," ",""),8),7,2)),"")))</f>
        <v/>
      </c>
      <c r="Y326" s="32">
        <f>IF($X326="","",INT($X326))</f>
        <v/>
      </c>
      <c r="Z326" s="33">
        <f>IF(OR($Y326="",$D$6=""),"",IF(INDEX($A:$U,ROW(),$D$6)="",0,IF(ISNUMBER(INDEX($A:$U,ROW(),$D$6)),INDEX($A:$U,ROW(),$D$6),IFERROR(--SUBSTITUTE(SUBSTITUTE(TRIM(INDEX($A:$U,ROW(),$D$6)),",",""),"원",""),0))))</f>
        <v/>
      </c>
      <c r="AA326" s="31">
        <f>IF($Y326="","",TRIM(INDEX($A:$U,ROW(),$E$6)&amp;IF($F$6="",""," "&amp;INDEX($A:$U,ROW(),$F$6))))</f>
        <v/>
      </c>
      <c r="AB326" s="31">
        <f>IF($AA326="","",SUBSTITUTE(SUBSTITUTE(SUBSTITUTE(SUBSTITUTE(SUBSTITUTE(SUBSTITUTE(SUBSTITUTE(SUBSTITUTE(SUBSTITUTE($AA326," ",""),"　",""),"(주)",""),"（주）",""),"㈜",""),"주식회사",""),"(유)",""),"（유）",""),"유한회사",""))</f>
        <v/>
      </c>
      <c r="AC326" s="31">
        <f>IF(OR($Y326="",N($Z326)&lt;=0,$AB326=""),0,IFERROR(LOOKUP(2,1/((거래처별!$AC$8:$AC$307&lt;&gt;"")*ISNUMBER(SEARCH(거래처별!$AC$8:$AC$307,$AB326))),거래처별!$A$8:$A$307),IFERROR(LOOKUP(2,1/((거래처별!$AD$8:$AD$307&lt;&gt;"")*ISNUMBER(SEARCH(거래처별!$AD$8:$AD$307,$AB326))),거래처별!$A$8:$A$307),IFERROR(LOOKUP(2,1/((거래처별!$AE$8:$AE$307&lt;&gt;"")*ISNUMBER(SEARCH(거래처별!$AE$8:$AE$307,$AB326))),거래처별!$A$8:$A$307),0))))</f>
        <v/>
      </c>
      <c r="AD326" s="31">
        <f>IF(AND($Y326&lt;&gt;"",N($Z326)&gt;0,$AC326=0),MAX($AD$7:$AD325)+1,"")</f>
        <v/>
      </c>
      <c r="AE326" s="31">
        <f>IF($Y326="",0,$Y326)</f>
        <v/>
      </c>
    </row>
    <row r="327">
      <c r="W327" s="31">
        <f>IF(OR($B$5="",$C$6="",ROW()&lt;$B$5),"",IF(INDEX($A:$U,ROW(),$C$6)="","",INDEX($A:$U,ROW(),$C$6)))</f>
        <v/>
      </c>
      <c r="X327" s="32">
        <f>IF($W327="","",IF(ISNUMBER($W327),IF($W327&gt;=10000000,IFERROR(DATE(INT($W327/10000),MOD(INT($W327/100),100),MOD($W327,100)),""),INT($W327)),IFERROR(DATE(--LEFT(LEFT(SUBSTITUTE(SUBSTITUTE(SUBSTITUTE(SUBSTITUTE(TRIM($W327),"-",""),".",""),"/","")," ",""),8),4),--MID(LEFT(SUBSTITUTE(SUBSTITUTE(SUBSTITUTE(SUBSTITUTE(TRIM($W327),"-",""),".",""),"/","")," ",""),8),5,2),--MID(LEFT(SUBSTITUTE(SUBSTITUTE(SUBSTITUTE(SUBSTITUTE(TRIM($W327),"-",""),".",""),"/","")," ",""),8),7,2)),"")))</f>
        <v/>
      </c>
      <c r="Y327" s="32">
        <f>IF($X327="","",INT($X327))</f>
        <v/>
      </c>
      <c r="Z327" s="33">
        <f>IF(OR($Y327="",$D$6=""),"",IF(INDEX($A:$U,ROW(),$D$6)="",0,IF(ISNUMBER(INDEX($A:$U,ROW(),$D$6)),INDEX($A:$U,ROW(),$D$6),IFERROR(--SUBSTITUTE(SUBSTITUTE(TRIM(INDEX($A:$U,ROW(),$D$6)),",",""),"원",""),0))))</f>
        <v/>
      </c>
      <c r="AA327" s="31">
        <f>IF($Y327="","",TRIM(INDEX($A:$U,ROW(),$E$6)&amp;IF($F$6="",""," "&amp;INDEX($A:$U,ROW(),$F$6))))</f>
        <v/>
      </c>
      <c r="AB327" s="31">
        <f>IF($AA327="","",SUBSTITUTE(SUBSTITUTE(SUBSTITUTE(SUBSTITUTE(SUBSTITUTE(SUBSTITUTE(SUBSTITUTE(SUBSTITUTE(SUBSTITUTE($AA327," ",""),"　",""),"(주)",""),"（주）",""),"㈜",""),"주식회사",""),"(유)",""),"（유）",""),"유한회사",""))</f>
        <v/>
      </c>
      <c r="AC327" s="31">
        <f>IF(OR($Y327="",N($Z327)&lt;=0,$AB327=""),0,IFERROR(LOOKUP(2,1/((거래처별!$AC$8:$AC$307&lt;&gt;"")*ISNUMBER(SEARCH(거래처별!$AC$8:$AC$307,$AB327))),거래처별!$A$8:$A$307),IFERROR(LOOKUP(2,1/((거래처별!$AD$8:$AD$307&lt;&gt;"")*ISNUMBER(SEARCH(거래처별!$AD$8:$AD$307,$AB327))),거래처별!$A$8:$A$307),IFERROR(LOOKUP(2,1/((거래처별!$AE$8:$AE$307&lt;&gt;"")*ISNUMBER(SEARCH(거래처별!$AE$8:$AE$307,$AB327))),거래처별!$A$8:$A$307),0))))</f>
        <v/>
      </c>
      <c r="AD327" s="31">
        <f>IF(AND($Y327&lt;&gt;"",N($Z327)&gt;0,$AC327=0),MAX($AD$7:$AD326)+1,"")</f>
        <v/>
      </c>
      <c r="AE327" s="31">
        <f>IF($Y327="",0,$Y327)</f>
        <v/>
      </c>
    </row>
    <row r="328">
      <c r="W328" s="31">
        <f>IF(OR($B$5="",$C$6="",ROW()&lt;$B$5),"",IF(INDEX($A:$U,ROW(),$C$6)="","",INDEX($A:$U,ROW(),$C$6)))</f>
        <v/>
      </c>
      <c r="X328" s="32">
        <f>IF($W328="","",IF(ISNUMBER($W328),IF($W328&gt;=10000000,IFERROR(DATE(INT($W328/10000),MOD(INT($W328/100),100),MOD($W328,100)),""),INT($W328)),IFERROR(DATE(--LEFT(LEFT(SUBSTITUTE(SUBSTITUTE(SUBSTITUTE(SUBSTITUTE(TRIM($W328),"-",""),".",""),"/","")," ",""),8),4),--MID(LEFT(SUBSTITUTE(SUBSTITUTE(SUBSTITUTE(SUBSTITUTE(TRIM($W328),"-",""),".",""),"/","")," ",""),8),5,2),--MID(LEFT(SUBSTITUTE(SUBSTITUTE(SUBSTITUTE(SUBSTITUTE(TRIM($W328),"-",""),".",""),"/","")," ",""),8),7,2)),"")))</f>
        <v/>
      </c>
      <c r="Y328" s="32">
        <f>IF($X328="","",INT($X328))</f>
        <v/>
      </c>
      <c r="Z328" s="33">
        <f>IF(OR($Y328="",$D$6=""),"",IF(INDEX($A:$U,ROW(),$D$6)="",0,IF(ISNUMBER(INDEX($A:$U,ROW(),$D$6)),INDEX($A:$U,ROW(),$D$6),IFERROR(--SUBSTITUTE(SUBSTITUTE(TRIM(INDEX($A:$U,ROW(),$D$6)),",",""),"원",""),0))))</f>
        <v/>
      </c>
      <c r="AA328" s="31">
        <f>IF($Y328="","",TRIM(INDEX($A:$U,ROW(),$E$6)&amp;IF($F$6="",""," "&amp;INDEX($A:$U,ROW(),$F$6))))</f>
        <v/>
      </c>
      <c r="AB328" s="31">
        <f>IF($AA328="","",SUBSTITUTE(SUBSTITUTE(SUBSTITUTE(SUBSTITUTE(SUBSTITUTE(SUBSTITUTE(SUBSTITUTE(SUBSTITUTE(SUBSTITUTE($AA328," ",""),"　",""),"(주)",""),"（주）",""),"㈜",""),"주식회사",""),"(유)",""),"（유）",""),"유한회사",""))</f>
        <v/>
      </c>
      <c r="AC328" s="31">
        <f>IF(OR($Y328="",N($Z328)&lt;=0,$AB328=""),0,IFERROR(LOOKUP(2,1/((거래처별!$AC$8:$AC$307&lt;&gt;"")*ISNUMBER(SEARCH(거래처별!$AC$8:$AC$307,$AB328))),거래처별!$A$8:$A$307),IFERROR(LOOKUP(2,1/((거래처별!$AD$8:$AD$307&lt;&gt;"")*ISNUMBER(SEARCH(거래처별!$AD$8:$AD$307,$AB328))),거래처별!$A$8:$A$307),IFERROR(LOOKUP(2,1/((거래처별!$AE$8:$AE$307&lt;&gt;"")*ISNUMBER(SEARCH(거래처별!$AE$8:$AE$307,$AB328))),거래처별!$A$8:$A$307),0))))</f>
        <v/>
      </c>
      <c r="AD328" s="31">
        <f>IF(AND($Y328&lt;&gt;"",N($Z328)&gt;0,$AC328=0),MAX($AD$7:$AD327)+1,"")</f>
        <v/>
      </c>
      <c r="AE328" s="31">
        <f>IF($Y328="",0,$Y328)</f>
        <v/>
      </c>
    </row>
    <row r="329">
      <c r="W329" s="31">
        <f>IF(OR($B$5="",$C$6="",ROW()&lt;$B$5),"",IF(INDEX($A:$U,ROW(),$C$6)="","",INDEX($A:$U,ROW(),$C$6)))</f>
        <v/>
      </c>
      <c r="X329" s="32">
        <f>IF($W329="","",IF(ISNUMBER($W329),IF($W329&gt;=10000000,IFERROR(DATE(INT($W329/10000),MOD(INT($W329/100),100),MOD($W329,100)),""),INT($W329)),IFERROR(DATE(--LEFT(LEFT(SUBSTITUTE(SUBSTITUTE(SUBSTITUTE(SUBSTITUTE(TRIM($W329),"-",""),".",""),"/","")," ",""),8),4),--MID(LEFT(SUBSTITUTE(SUBSTITUTE(SUBSTITUTE(SUBSTITUTE(TRIM($W329),"-",""),".",""),"/","")," ",""),8),5,2),--MID(LEFT(SUBSTITUTE(SUBSTITUTE(SUBSTITUTE(SUBSTITUTE(TRIM($W329),"-",""),".",""),"/","")," ",""),8),7,2)),"")))</f>
        <v/>
      </c>
      <c r="Y329" s="32">
        <f>IF($X329="","",INT($X329))</f>
        <v/>
      </c>
      <c r="Z329" s="33">
        <f>IF(OR($Y329="",$D$6=""),"",IF(INDEX($A:$U,ROW(),$D$6)="",0,IF(ISNUMBER(INDEX($A:$U,ROW(),$D$6)),INDEX($A:$U,ROW(),$D$6),IFERROR(--SUBSTITUTE(SUBSTITUTE(TRIM(INDEX($A:$U,ROW(),$D$6)),",",""),"원",""),0))))</f>
        <v/>
      </c>
      <c r="AA329" s="31">
        <f>IF($Y329="","",TRIM(INDEX($A:$U,ROW(),$E$6)&amp;IF($F$6="",""," "&amp;INDEX($A:$U,ROW(),$F$6))))</f>
        <v/>
      </c>
      <c r="AB329" s="31">
        <f>IF($AA329="","",SUBSTITUTE(SUBSTITUTE(SUBSTITUTE(SUBSTITUTE(SUBSTITUTE(SUBSTITUTE(SUBSTITUTE(SUBSTITUTE(SUBSTITUTE($AA329," ",""),"　",""),"(주)",""),"（주）",""),"㈜",""),"주식회사",""),"(유)",""),"（유）",""),"유한회사",""))</f>
        <v/>
      </c>
      <c r="AC329" s="31">
        <f>IF(OR($Y329="",N($Z329)&lt;=0,$AB329=""),0,IFERROR(LOOKUP(2,1/((거래처별!$AC$8:$AC$307&lt;&gt;"")*ISNUMBER(SEARCH(거래처별!$AC$8:$AC$307,$AB329))),거래처별!$A$8:$A$307),IFERROR(LOOKUP(2,1/((거래처별!$AD$8:$AD$307&lt;&gt;"")*ISNUMBER(SEARCH(거래처별!$AD$8:$AD$307,$AB329))),거래처별!$A$8:$A$307),IFERROR(LOOKUP(2,1/((거래처별!$AE$8:$AE$307&lt;&gt;"")*ISNUMBER(SEARCH(거래처별!$AE$8:$AE$307,$AB329))),거래처별!$A$8:$A$307),0))))</f>
        <v/>
      </c>
      <c r="AD329" s="31">
        <f>IF(AND($Y329&lt;&gt;"",N($Z329)&gt;0,$AC329=0),MAX($AD$7:$AD328)+1,"")</f>
        <v/>
      </c>
      <c r="AE329" s="31">
        <f>IF($Y329="",0,$Y329)</f>
        <v/>
      </c>
    </row>
    <row r="330">
      <c r="W330" s="31">
        <f>IF(OR($B$5="",$C$6="",ROW()&lt;$B$5),"",IF(INDEX($A:$U,ROW(),$C$6)="","",INDEX($A:$U,ROW(),$C$6)))</f>
        <v/>
      </c>
      <c r="X330" s="32">
        <f>IF($W330="","",IF(ISNUMBER($W330),IF($W330&gt;=10000000,IFERROR(DATE(INT($W330/10000),MOD(INT($W330/100),100),MOD($W330,100)),""),INT($W330)),IFERROR(DATE(--LEFT(LEFT(SUBSTITUTE(SUBSTITUTE(SUBSTITUTE(SUBSTITUTE(TRIM($W330),"-",""),".",""),"/","")," ",""),8),4),--MID(LEFT(SUBSTITUTE(SUBSTITUTE(SUBSTITUTE(SUBSTITUTE(TRIM($W330),"-",""),".",""),"/","")," ",""),8),5,2),--MID(LEFT(SUBSTITUTE(SUBSTITUTE(SUBSTITUTE(SUBSTITUTE(TRIM($W330),"-",""),".",""),"/","")," ",""),8),7,2)),"")))</f>
        <v/>
      </c>
      <c r="Y330" s="32">
        <f>IF($X330="","",INT($X330))</f>
        <v/>
      </c>
      <c r="Z330" s="33">
        <f>IF(OR($Y330="",$D$6=""),"",IF(INDEX($A:$U,ROW(),$D$6)="",0,IF(ISNUMBER(INDEX($A:$U,ROW(),$D$6)),INDEX($A:$U,ROW(),$D$6),IFERROR(--SUBSTITUTE(SUBSTITUTE(TRIM(INDEX($A:$U,ROW(),$D$6)),",",""),"원",""),0))))</f>
        <v/>
      </c>
      <c r="AA330" s="31">
        <f>IF($Y330="","",TRIM(INDEX($A:$U,ROW(),$E$6)&amp;IF($F$6="",""," "&amp;INDEX($A:$U,ROW(),$F$6))))</f>
        <v/>
      </c>
      <c r="AB330" s="31">
        <f>IF($AA330="","",SUBSTITUTE(SUBSTITUTE(SUBSTITUTE(SUBSTITUTE(SUBSTITUTE(SUBSTITUTE(SUBSTITUTE(SUBSTITUTE(SUBSTITUTE($AA330," ",""),"　",""),"(주)",""),"（주）",""),"㈜",""),"주식회사",""),"(유)",""),"（유）",""),"유한회사",""))</f>
        <v/>
      </c>
      <c r="AC330" s="31">
        <f>IF(OR($Y330="",N($Z330)&lt;=0,$AB330=""),0,IFERROR(LOOKUP(2,1/((거래처별!$AC$8:$AC$307&lt;&gt;"")*ISNUMBER(SEARCH(거래처별!$AC$8:$AC$307,$AB330))),거래처별!$A$8:$A$307),IFERROR(LOOKUP(2,1/((거래처별!$AD$8:$AD$307&lt;&gt;"")*ISNUMBER(SEARCH(거래처별!$AD$8:$AD$307,$AB330))),거래처별!$A$8:$A$307),IFERROR(LOOKUP(2,1/((거래처별!$AE$8:$AE$307&lt;&gt;"")*ISNUMBER(SEARCH(거래처별!$AE$8:$AE$307,$AB330))),거래처별!$A$8:$A$307),0))))</f>
        <v/>
      </c>
      <c r="AD330" s="31">
        <f>IF(AND($Y330&lt;&gt;"",N($Z330)&gt;0,$AC330=0),MAX($AD$7:$AD329)+1,"")</f>
        <v/>
      </c>
      <c r="AE330" s="31">
        <f>IF($Y330="",0,$Y330)</f>
        <v/>
      </c>
    </row>
    <row r="331">
      <c r="W331" s="31">
        <f>IF(OR($B$5="",$C$6="",ROW()&lt;$B$5),"",IF(INDEX($A:$U,ROW(),$C$6)="","",INDEX($A:$U,ROW(),$C$6)))</f>
        <v/>
      </c>
      <c r="X331" s="32">
        <f>IF($W331="","",IF(ISNUMBER($W331),IF($W331&gt;=10000000,IFERROR(DATE(INT($W331/10000),MOD(INT($W331/100),100),MOD($W331,100)),""),INT($W331)),IFERROR(DATE(--LEFT(LEFT(SUBSTITUTE(SUBSTITUTE(SUBSTITUTE(SUBSTITUTE(TRIM($W331),"-",""),".",""),"/","")," ",""),8),4),--MID(LEFT(SUBSTITUTE(SUBSTITUTE(SUBSTITUTE(SUBSTITUTE(TRIM($W331),"-",""),".",""),"/","")," ",""),8),5,2),--MID(LEFT(SUBSTITUTE(SUBSTITUTE(SUBSTITUTE(SUBSTITUTE(TRIM($W331),"-",""),".",""),"/","")," ",""),8),7,2)),"")))</f>
        <v/>
      </c>
      <c r="Y331" s="32">
        <f>IF($X331="","",INT($X331))</f>
        <v/>
      </c>
      <c r="Z331" s="33">
        <f>IF(OR($Y331="",$D$6=""),"",IF(INDEX($A:$U,ROW(),$D$6)="",0,IF(ISNUMBER(INDEX($A:$U,ROW(),$D$6)),INDEX($A:$U,ROW(),$D$6),IFERROR(--SUBSTITUTE(SUBSTITUTE(TRIM(INDEX($A:$U,ROW(),$D$6)),",",""),"원",""),0))))</f>
        <v/>
      </c>
      <c r="AA331" s="31">
        <f>IF($Y331="","",TRIM(INDEX($A:$U,ROW(),$E$6)&amp;IF($F$6="",""," "&amp;INDEX($A:$U,ROW(),$F$6))))</f>
        <v/>
      </c>
      <c r="AB331" s="31">
        <f>IF($AA331="","",SUBSTITUTE(SUBSTITUTE(SUBSTITUTE(SUBSTITUTE(SUBSTITUTE(SUBSTITUTE(SUBSTITUTE(SUBSTITUTE(SUBSTITUTE($AA331," ",""),"　",""),"(주)",""),"（주）",""),"㈜",""),"주식회사",""),"(유)",""),"（유）",""),"유한회사",""))</f>
        <v/>
      </c>
      <c r="AC331" s="31">
        <f>IF(OR($Y331="",N($Z331)&lt;=0,$AB331=""),0,IFERROR(LOOKUP(2,1/((거래처별!$AC$8:$AC$307&lt;&gt;"")*ISNUMBER(SEARCH(거래처별!$AC$8:$AC$307,$AB331))),거래처별!$A$8:$A$307),IFERROR(LOOKUP(2,1/((거래처별!$AD$8:$AD$307&lt;&gt;"")*ISNUMBER(SEARCH(거래처별!$AD$8:$AD$307,$AB331))),거래처별!$A$8:$A$307),IFERROR(LOOKUP(2,1/((거래처별!$AE$8:$AE$307&lt;&gt;"")*ISNUMBER(SEARCH(거래처별!$AE$8:$AE$307,$AB331))),거래처별!$A$8:$A$307),0))))</f>
        <v/>
      </c>
      <c r="AD331" s="31">
        <f>IF(AND($Y331&lt;&gt;"",N($Z331)&gt;0,$AC331=0),MAX($AD$7:$AD330)+1,"")</f>
        <v/>
      </c>
      <c r="AE331" s="31">
        <f>IF($Y331="",0,$Y331)</f>
        <v/>
      </c>
    </row>
    <row r="332">
      <c r="W332" s="31">
        <f>IF(OR($B$5="",$C$6="",ROW()&lt;$B$5),"",IF(INDEX($A:$U,ROW(),$C$6)="","",INDEX($A:$U,ROW(),$C$6)))</f>
        <v/>
      </c>
      <c r="X332" s="32">
        <f>IF($W332="","",IF(ISNUMBER($W332),IF($W332&gt;=10000000,IFERROR(DATE(INT($W332/10000),MOD(INT($W332/100),100),MOD($W332,100)),""),INT($W332)),IFERROR(DATE(--LEFT(LEFT(SUBSTITUTE(SUBSTITUTE(SUBSTITUTE(SUBSTITUTE(TRIM($W332),"-",""),".",""),"/","")," ",""),8),4),--MID(LEFT(SUBSTITUTE(SUBSTITUTE(SUBSTITUTE(SUBSTITUTE(TRIM($W332),"-",""),".",""),"/","")," ",""),8),5,2),--MID(LEFT(SUBSTITUTE(SUBSTITUTE(SUBSTITUTE(SUBSTITUTE(TRIM($W332),"-",""),".",""),"/","")," ",""),8),7,2)),"")))</f>
        <v/>
      </c>
      <c r="Y332" s="32">
        <f>IF($X332="","",INT($X332))</f>
        <v/>
      </c>
      <c r="Z332" s="33">
        <f>IF(OR($Y332="",$D$6=""),"",IF(INDEX($A:$U,ROW(),$D$6)="",0,IF(ISNUMBER(INDEX($A:$U,ROW(),$D$6)),INDEX($A:$U,ROW(),$D$6),IFERROR(--SUBSTITUTE(SUBSTITUTE(TRIM(INDEX($A:$U,ROW(),$D$6)),",",""),"원",""),0))))</f>
        <v/>
      </c>
      <c r="AA332" s="31">
        <f>IF($Y332="","",TRIM(INDEX($A:$U,ROW(),$E$6)&amp;IF($F$6="",""," "&amp;INDEX($A:$U,ROW(),$F$6))))</f>
        <v/>
      </c>
      <c r="AB332" s="31">
        <f>IF($AA332="","",SUBSTITUTE(SUBSTITUTE(SUBSTITUTE(SUBSTITUTE(SUBSTITUTE(SUBSTITUTE(SUBSTITUTE(SUBSTITUTE(SUBSTITUTE($AA332," ",""),"　",""),"(주)",""),"（주）",""),"㈜",""),"주식회사",""),"(유)",""),"（유）",""),"유한회사",""))</f>
        <v/>
      </c>
      <c r="AC332" s="31">
        <f>IF(OR($Y332="",N($Z332)&lt;=0,$AB332=""),0,IFERROR(LOOKUP(2,1/((거래처별!$AC$8:$AC$307&lt;&gt;"")*ISNUMBER(SEARCH(거래처별!$AC$8:$AC$307,$AB332))),거래처별!$A$8:$A$307),IFERROR(LOOKUP(2,1/((거래처별!$AD$8:$AD$307&lt;&gt;"")*ISNUMBER(SEARCH(거래처별!$AD$8:$AD$307,$AB332))),거래처별!$A$8:$A$307),IFERROR(LOOKUP(2,1/((거래처별!$AE$8:$AE$307&lt;&gt;"")*ISNUMBER(SEARCH(거래처별!$AE$8:$AE$307,$AB332))),거래처별!$A$8:$A$307),0))))</f>
        <v/>
      </c>
      <c r="AD332" s="31">
        <f>IF(AND($Y332&lt;&gt;"",N($Z332)&gt;0,$AC332=0),MAX($AD$7:$AD331)+1,"")</f>
        <v/>
      </c>
      <c r="AE332" s="31">
        <f>IF($Y332="",0,$Y332)</f>
        <v/>
      </c>
    </row>
    <row r="333">
      <c r="W333" s="31">
        <f>IF(OR($B$5="",$C$6="",ROW()&lt;$B$5),"",IF(INDEX($A:$U,ROW(),$C$6)="","",INDEX($A:$U,ROW(),$C$6)))</f>
        <v/>
      </c>
      <c r="X333" s="32">
        <f>IF($W333="","",IF(ISNUMBER($W333),IF($W333&gt;=10000000,IFERROR(DATE(INT($W333/10000),MOD(INT($W333/100),100),MOD($W333,100)),""),INT($W333)),IFERROR(DATE(--LEFT(LEFT(SUBSTITUTE(SUBSTITUTE(SUBSTITUTE(SUBSTITUTE(TRIM($W333),"-",""),".",""),"/","")," ",""),8),4),--MID(LEFT(SUBSTITUTE(SUBSTITUTE(SUBSTITUTE(SUBSTITUTE(TRIM($W333),"-",""),".",""),"/","")," ",""),8),5,2),--MID(LEFT(SUBSTITUTE(SUBSTITUTE(SUBSTITUTE(SUBSTITUTE(TRIM($W333),"-",""),".",""),"/","")," ",""),8),7,2)),"")))</f>
        <v/>
      </c>
      <c r="Y333" s="32">
        <f>IF($X333="","",INT($X333))</f>
        <v/>
      </c>
      <c r="Z333" s="33">
        <f>IF(OR($Y333="",$D$6=""),"",IF(INDEX($A:$U,ROW(),$D$6)="",0,IF(ISNUMBER(INDEX($A:$U,ROW(),$D$6)),INDEX($A:$U,ROW(),$D$6),IFERROR(--SUBSTITUTE(SUBSTITUTE(TRIM(INDEX($A:$U,ROW(),$D$6)),",",""),"원",""),0))))</f>
        <v/>
      </c>
      <c r="AA333" s="31">
        <f>IF($Y333="","",TRIM(INDEX($A:$U,ROW(),$E$6)&amp;IF($F$6="",""," "&amp;INDEX($A:$U,ROW(),$F$6))))</f>
        <v/>
      </c>
      <c r="AB333" s="31">
        <f>IF($AA333="","",SUBSTITUTE(SUBSTITUTE(SUBSTITUTE(SUBSTITUTE(SUBSTITUTE(SUBSTITUTE(SUBSTITUTE(SUBSTITUTE(SUBSTITUTE($AA333," ",""),"　",""),"(주)",""),"（주）",""),"㈜",""),"주식회사",""),"(유)",""),"（유）",""),"유한회사",""))</f>
        <v/>
      </c>
      <c r="AC333" s="31">
        <f>IF(OR($Y333="",N($Z333)&lt;=0,$AB333=""),0,IFERROR(LOOKUP(2,1/((거래처별!$AC$8:$AC$307&lt;&gt;"")*ISNUMBER(SEARCH(거래처별!$AC$8:$AC$307,$AB333))),거래처별!$A$8:$A$307),IFERROR(LOOKUP(2,1/((거래처별!$AD$8:$AD$307&lt;&gt;"")*ISNUMBER(SEARCH(거래처별!$AD$8:$AD$307,$AB333))),거래처별!$A$8:$A$307),IFERROR(LOOKUP(2,1/((거래처별!$AE$8:$AE$307&lt;&gt;"")*ISNUMBER(SEARCH(거래처별!$AE$8:$AE$307,$AB333))),거래처별!$A$8:$A$307),0))))</f>
        <v/>
      </c>
      <c r="AD333" s="31">
        <f>IF(AND($Y333&lt;&gt;"",N($Z333)&gt;0,$AC333=0),MAX($AD$7:$AD332)+1,"")</f>
        <v/>
      </c>
      <c r="AE333" s="31">
        <f>IF($Y333="",0,$Y333)</f>
        <v/>
      </c>
    </row>
    <row r="334">
      <c r="W334" s="31">
        <f>IF(OR($B$5="",$C$6="",ROW()&lt;$B$5),"",IF(INDEX($A:$U,ROW(),$C$6)="","",INDEX($A:$U,ROW(),$C$6)))</f>
        <v/>
      </c>
      <c r="X334" s="32">
        <f>IF($W334="","",IF(ISNUMBER($W334),IF($W334&gt;=10000000,IFERROR(DATE(INT($W334/10000),MOD(INT($W334/100),100),MOD($W334,100)),""),INT($W334)),IFERROR(DATE(--LEFT(LEFT(SUBSTITUTE(SUBSTITUTE(SUBSTITUTE(SUBSTITUTE(TRIM($W334),"-",""),".",""),"/","")," ",""),8),4),--MID(LEFT(SUBSTITUTE(SUBSTITUTE(SUBSTITUTE(SUBSTITUTE(TRIM($W334),"-",""),".",""),"/","")," ",""),8),5,2),--MID(LEFT(SUBSTITUTE(SUBSTITUTE(SUBSTITUTE(SUBSTITUTE(TRIM($W334),"-",""),".",""),"/","")," ",""),8),7,2)),"")))</f>
        <v/>
      </c>
      <c r="Y334" s="32">
        <f>IF($X334="","",INT($X334))</f>
        <v/>
      </c>
      <c r="Z334" s="33">
        <f>IF(OR($Y334="",$D$6=""),"",IF(INDEX($A:$U,ROW(),$D$6)="",0,IF(ISNUMBER(INDEX($A:$U,ROW(),$D$6)),INDEX($A:$U,ROW(),$D$6),IFERROR(--SUBSTITUTE(SUBSTITUTE(TRIM(INDEX($A:$U,ROW(),$D$6)),",",""),"원",""),0))))</f>
        <v/>
      </c>
      <c r="AA334" s="31">
        <f>IF($Y334="","",TRIM(INDEX($A:$U,ROW(),$E$6)&amp;IF($F$6="",""," "&amp;INDEX($A:$U,ROW(),$F$6))))</f>
        <v/>
      </c>
      <c r="AB334" s="31">
        <f>IF($AA334="","",SUBSTITUTE(SUBSTITUTE(SUBSTITUTE(SUBSTITUTE(SUBSTITUTE(SUBSTITUTE(SUBSTITUTE(SUBSTITUTE(SUBSTITUTE($AA334," ",""),"　",""),"(주)",""),"（주）",""),"㈜",""),"주식회사",""),"(유)",""),"（유）",""),"유한회사",""))</f>
        <v/>
      </c>
      <c r="AC334" s="31">
        <f>IF(OR($Y334="",N($Z334)&lt;=0,$AB334=""),0,IFERROR(LOOKUP(2,1/((거래처별!$AC$8:$AC$307&lt;&gt;"")*ISNUMBER(SEARCH(거래처별!$AC$8:$AC$307,$AB334))),거래처별!$A$8:$A$307),IFERROR(LOOKUP(2,1/((거래처별!$AD$8:$AD$307&lt;&gt;"")*ISNUMBER(SEARCH(거래처별!$AD$8:$AD$307,$AB334))),거래처별!$A$8:$A$307),IFERROR(LOOKUP(2,1/((거래처별!$AE$8:$AE$307&lt;&gt;"")*ISNUMBER(SEARCH(거래처별!$AE$8:$AE$307,$AB334))),거래처별!$A$8:$A$307),0))))</f>
        <v/>
      </c>
      <c r="AD334" s="31">
        <f>IF(AND($Y334&lt;&gt;"",N($Z334)&gt;0,$AC334=0),MAX($AD$7:$AD333)+1,"")</f>
        <v/>
      </c>
      <c r="AE334" s="31">
        <f>IF($Y334="",0,$Y334)</f>
        <v/>
      </c>
    </row>
    <row r="335">
      <c r="W335" s="31">
        <f>IF(OR($B$5="",$C$6="",ROW()&lt;$B$5),"",IF(INDEX($A:$U,ROW(),$C$6)="","",INDEX($A:$U,ROW(),$C$6)))</f>
        <v/>
      </c>
      <c r="X335" s="32">
        <f>IF($W335="","",IF(ISNUMBER($W335),IF($W335&gt;=10000000,IFERROR(DATE(INT($W335/10000),MOD(INT($W335/100),100),MOD($W335,100)),""),INT($W335)),IFERROR(DATE(--LEFT(LEFT(SUBSTITUTE(SUBSTITUTE(SUBSTITUTE(SUBSTITUTE(TRIM($W335),"-",""),".",""),"/","")," ",""),8),4),--MID(LEFT(SUBSTITUTE(SUBSTITUTE(SUBSTITUTE(SUBSTITUTE(TRIM($W335),"-",""),".",""),"/","")," ",""),8),5,2),--MID(LEFT(SUBSTITUTE(SUBSTITUTE(SUBSTITUTE(SUBSTITUTE(TRIM($W335),"-",""),".",""),"/","")," ",""),8),7,2)),"")))</f>
        <v/>
      </c>
      <c r="Y335" s="32">
        <f>IF($X335="","",INT($X335))</f>
        <v/>
      </c>
      <c r="Z335" s="33">
        <f>IF(OR($Y335="",$D$6=""),"",IF(INDEX($A:$U,ROW(),$D$6)="",0,IF(ISNUMBER(INDEX($A:$U,ROW(),$D$6)),INDEX($A:$U,ROW(),$D$6),IFERROR(--SUBSTITUTE(SUBSTITUTE(TRIM(INDEX($A:$U,ROW(),$D$6)),",",""),"원",""),0))))</f>
        <v/>
      </c>
      <c r="AA335" s="31">
        <f>IF($Y335="","",TRIM(INDEX($A:$U,ROW(),$E$6)&amp;IF($F$6="",""," "&amp;INDEX($A:$U,ROW(),$F$6))))</f>
        <v/>
      </c>
      <c r="AB335" s="31">
        <f>IF($AA335="","",SUBSTITUTE(SUBSTITUTE(SUBSTITUTE(SUBSTITUTE(SUBSTITUTE(SUBSTITUTE(SUBSTITUTE(SUBSTITUTE(SUBSTITUTE($AA335," ",""),"　",""),"(주)",""),"（주）",""),"㈜",""),"주식회사",""),"(유)",""),"（유）",""),"유한회사",""))</f>
        <v/>
      </c>
      <c r="AC335" s="31">
        <f>IF(OR($Y335="",N($Z335)&lt;=0,$AB335=""),0,IFERROR(LOOKUP(2,1/((거래처별!$AC$8:$AC$307&lt;&gt;"")*ISNUMBER(SEARCH(거래처별!$AC$8:$AC$307,$AB335))),거래처별!$A$8:$A$307),IFERROR(LOOKUP(2,1/((거래처별!$AD$8:$AD$307&lt;&gt;"")*ISNUMBER(SEARCH(거래처별!$AD$8:$AD$307,$AB335))),거래처별!$A$8:$A$307),IFERROR(LOOKUP(2,1/((거래처별!$AE$8:$AE$307&lt;&gt;"")*ISNUMBER(SEARCH(거래처별!$AE$8:$AE$307,$AB335))),거래처별!$A$8:$A$307),0))))</f>
        <v/>
      </c>
      <c r="AD335" s="31">
        <f>IF(AND($Y335&lt;&gt;"",N($Z335)&gt;0,$AC335=0),MAX($AD$7:$AD334)+1,"")</f>
        <v/>
      </c>
      <c r="AE335" s="31">
        <f>IF($Y335="",0,$Y335)</f>
        <v/>
      </c>
    </row>
    <row r="336">
      <c r="W336" s="31">
        <f>IF(OR($B$5="",$C$6="",ROW()&lt;$B$5),"",IF(INDEX($A:$U,ROW(),$C$6)="","",INDEX($A:$U,ROW(),$C$6)))</f>
        <v/>
      </c>
      <c r="X336" s="32">
        <f>IF($W336="","",IF(ISNUMBER($W336),IF($W336&gt;=10000000,IFERROR(DATE(INT($W336/10000),MOD(INT($W336/100),100),MOD($W336,100)),""),INT($W336)),IFERROR(DATE(--LEFT(LEFT(SUBSTITUTE(SUBSTITUTE(SUBSTITUTE(SUBSTITUTE(TRIM($W336),"-",""),".",""),"/","")," ",""),8),4),--MID(LEFT(SUBSTITUTE(SUBSTITUTE(SUBSTITUTE(SUBSTITUTE(TRIM($W336),"-",""),".",""),"/","")," ",""),8),5,2),--MID(LEFT(SUBSTITUTE(SUBSTITUTE(SUBSTITUTE(SUBSTITUTE(TRIM($W336),"-",""),".",""),"/","")," ",""),8),7,2)),"")))</f>
        <v/>
      </c>
      <c r="Y336" s="32">
        <f>IF($X336="","",INT($X336))</f>
        <v/>
      </c>
      <c r="Z336" s="33">
        <f>IF(OR($Y336="",$D$6=""),"",IF(INDEX($A:$U,ROW(),$D$6)="",0,IF(ISNUMBER(INDEX($A:$U,ROW(),$D$6)),INDEX($A:$U,ROW(),$D$6),IFERROR(--SUBSTITUTE(SUBSTITUTE(TRIM(INDEX($A:$U,ROW(),$D$6)),",",""),"원",""),0))))</f>
        <v/>
      </c>
      <c r="AA336" s="31">
        <f>IF($Y336="","",TRIM(INDEX($A:$U,ROW(),$E$6)&amp;IF($F$6="",""," "&amp;INDEX($A:$U,ROW(),$F$6))))</f>
        <v/>
      </c>
      <c r="AB336" s="31">
        <f>IF($AA336="","",SUBSTITUTE(SUBSTITUTE(SUBSTITUTE(SUBSTITUTE(SUBSTITUTE(SUBSTITUTE(SUBSTITUTE(SUBSTITUTE(SUBSTITUTE($AA336," ",""),"　",""),"(주)",""),"（주）",""),"㈜",""),"주식회사",""),"(유)",""),"（유）",""),"유한회사",""))</f>
        <v/>
      </c>
      <c r="AC336" s="31">
        <f>IF(OR($Y336="",N($Z336)&lt;=0,$AB336=""),0,IFERROR(LOOKUP(2,1/((거래처별!$AC$8:$AC$307&lt;&gt;"")*ISNUMBER(SEARCH(거래처별!$AC$8:$AC$307,$AB336))),거래처별!$A$8:$A$307),IFERROR(LOOKUP(2,1/((거래처별!$AD$8:$AD$307&lt;&gt;"")*ISNUMBER(SEARCH(거래처별!$AD$8:$AD$307,$AB336))),거래처별!$A$8:$A$307),IFERROR(LOOKUP(2,1/((거래처별!$AE$8:$AE$307&lt;&gt;"")*ISNUMBER(SEARCH(거래처별!$AE$8:$AE$307,$AB336))),거래처별!$A$8:$A$307),0))))</f>
        <v/>
      </c>
      <c r="AD336" s="31">
        <f>IF(AND($Y336&lt;&gt;"",N($Z336)&gt;0,$AC336=0),MAX($AD$7:$AD335)+1,"")</f>
        <v/>
      </c>
      <c r="AE336" s="31">
        <f>IF($Y336="",0,$Y336)</f>
        <v/>
      </c>
    </row>
    <row r="337">
      <c r="W337" s="31">
        <f>IF(OR($B$5="",$C$6="",ROW()&lt;$B$5),"",IF(INDEX($A:$U,ROW(),$C$6)="","",INDEX($A:$U,ROW(),$C$6)))</f>
        <v/>
      </c>
      <c r="X337" s="32">
        <f>IF($W337="","",IF(ISNUMBER($W337),IF($W337&gt;=10000000,IFERROR(DATE(INT($W337/10000),MOD(INT($W337/100),100),MOD($W337,100)),""),INT($W337)),IFERROR(DATE(--LEFT(LEFT(SUBSTITUTE(SUBSTITUTE(SUBSTITUTE(SUBSTITUTE(TRIM($W337),"-",""),".",""),"/","")," ",""),8),4),--MID(LEFT(SUBSTITUTE(SUBSTITUTE(SUBSTITUTE(SUBSTITUTE(TRIM($W337),"-",""),".",""),"/","")," ",""),8),5,2),--MID(LEFT(SUBSTITUTE(SUBSTITUTE(SUBSTITUTE(SUBSTITUTE(TRIM($W337),"-",""),".",""),"/","")," ",""),8),7,2)),"")))</f>
        <v/>
      </c>
      <c r="Y337" s="32">
        <f>IF($X337="","",INT($X337))</f>
        <v/>
      </c>
      <c r="Z337" s="33">
        <f>IF(OR($Y337="",$D$6=""),"",IF(INDEX($A:$U,ROW(),$D$6)="",0,IF(ISNUMBER(INDEX($A:$U,ROW(),$D$6)),INDEX($A:$U,ROW(),$D$6),IFERROR(--SUBSTITUTE(SUBSTITUTE(TRIM(INDEX($A:$U,ROW(),$D$6)),",",""),"원",""),0))))</f>
        <v/>
      </c>
      <c r="AA337" s="31">
        <f>IF($Y337="","",TRIM(INDEX($A:$U,ROW(),$E$6)&amp;IF($F$6="",""," "&amp;INDEX($A:$U,ROW(),$F$6))))</f>
        <v/>
      </c>
      <c r="AB337" s="31">
        <f>IF($AA337="","",SUBSTITUTE(SUBSTITUTE(SUBSTITUTE(SUBSTITUTE(SUBSTITUTE(SUBSTITUTE(SUBSTITUTE(SUBSTITUTE(SUBSTITUTE($AA337," ",""),"　",""),"(주)",""),"（주）",""),"㈜",""),"주식회사",""),"(유)",""),"（유）",""),"유한회사",""))</f>
        <v/>
      </c>
      <c r="AC337" s="31">
        <f>IF(OR($Y337="",N($Z337)&lt;=0,$AB337=""),0,IFERROR(LOOKUP(2,1/((거래처별!$AC$8:$AC$307&lt;&gt;"")*ISNUMBER(SEARCH(거래처별!$AC$8:$AC$307,$AB337))),거래처별!$A$8:$A$307),IFERROR(LOOKUP(2,1/((거래처별!$AD$8:$AD$307&lt;&gt;"")*ISNUMBER(SEARCH(거래처별!$AD$8:$AD$307,$AB337))),거래처별!$A$8:$A$307),IFERROR(LOOKUP(2,1/((거래처별!$AE$8:$AE$307&lt;&gt;"")*ISNUMBER(SEARCH(거래처별!$AE$8:$AE$307,$AB337))),거래처별!$A$8:$A$307),0))))</f>
        <v/>
      </c>
      <c r="AD337" s="31">
        <f>IF(AND($Y337&lt;&gt;"",N($Z337)&gt;0,$AC337=0),MAX($AD$7:$AD336)+1,"")</f>
        <v/>
      </c>
      <c r="AE337" s="31">
        <f>IF($Y337="",0,$Y337)</f>
        <v/>
      </c>
    </row>
    <row r="338">
      <c r="W338" s="31">
        <f>IF(OR($B$5="",$C$6="",ROW()&lt;$B$5),"",IF(INDEX($A:$U,ROW(),$C$6)="","",INDEX($A:$U,ROW(),$C$6)))</f>
        <v/>
      </c>
      <c r="X338" s="32">
        <f>IF($W338="","",IF(ISNUMBER($W338),IF($W338&gt;=10000000,IFERROR(DATE(INT($W338/10000),MOD(INT($W338/100),100),MOD($W338,100)),""),INT($W338)),IFERROR(DATE(--LEFT(LEFT(SUBSTITUTE(SUBSTITUTE(SUBSTITUTE(SUBSTITUTE(TRIM($W338),"-",""),".",""),"/","")," ",""),8),4),--MID(LEFT(SUBSTITUTE(SUBSTITUTE(SUBSTITUTE(SUBSTITUTE(TRIM($W338),"-",""),".",""),"/","")," ",""),8),5,2),--MID(LEFT(SUBSTITUTE(SUBSTITUTE(SUBSTITUTE(SUBSTITUTE(TRIM($W338),"-",""),".",""),"/","")," ",""),8),7,2)),"")))</f>
        <v/>
      </c>
      <c r="Y338" s="32">
        <f>IF($X338="","",INT($X338))</f>
        <v/>
      </c>
      <c r="Z338" s="33">
        <f>IF(OR($Y338="",$D$6=""),"",IF(INDEX($A:$U,ROW(),$D$6)="",0,IF(ISNUMBER(INDEX($A:$U,ROW(),$D$6)),INDEX($A:$U,ROW(),$D$6),IFERROR(--SUBSTITUTE(SUBSTITUTE(TRIM(INDEX($A:$U,ROW(),$D$6)),",",""),"원",""),0))))</f>
        <v/>
      </c>
      <c r="AA338" s="31">
        <f>IF($Y338="","",TRIM(INDEX($A:$U,ROW(),$E$6)&amp;IF($F$6="",""," "&amp;INDEX($A:$U,ROW(),$F$6))))</f>
        <v/>
      </c>
      <c r="AB338" s="31">
        <f>IF($AA338="","",SUBSTITUTE(SUBSTITUTE(SUBSTITUTE(SUBSTITUTE(SUBSTITUTE(SUBSTITUTE(SUBSTITUTE(SUBSTITUTE(SUBSTITUTE($AA338," ",""),"　",""),"(주)",""),"（주）",""),"㈜",""),"주식회사",""),"(유)",""),"（유）",""),"유한회사",""))</f>
        <v/>
      </c>
      <c r="AC338" s="31">
        <f>IF(OR($Y338="",N($Z338)&lt;=0,$AB338=""),0,IFERROR(LOOKUP(2,1/((거래처별!$AC$8:$AC$307&lt;&gt;"")*ISNUMBER(SEARCH(거래처별!$AC$8:$AC$307,$AB338))),거래처별!$A$8:$A$307),IFERROR(LOOKUP(2,1/((거래처별!$AD$8:$AD$307&lt;&gt;"")*ISNUMBER(SEARCH(거래처별!$AD$8:$AD$307,$AB338))),거래처별!$A$8:$A$307),IFERROR(LOOKUP(2,1/((거래처별!$AE$8:$AE$307&lt;&gt;"")*ISNUMBER(SEARCH(거래처별!$AE$8:$AE$307,$AB338))),거래처별!$A$8:$A$307),0))))</f>
        <v/>
      </c>
      <c r="AD338" s="31">
        <f>IF(AND($Y338&lt;&gt;"",N($Z338)&gt;0,$AC338=0),MAX($AD$7:$AD337)+1,"")</f>
        <v/>
      </c>
      <c r="AE338" s="31">
        <f>IF($Y338="",0,$Y338)</f>
        <v/>
      </c>
    </row>
    <row r="339">
      <c r="W339" s="31">
        <f>IF(OR($B$5="",$C$6="",ROW()&lt;$B$5),"",IF(INDEX($A:$U,ROW(),$C$6)="","",INDEX($A:$U,ROW(),$C$6)))</f>
        <v/>
      </c>
      <c r="X339" s="32">
        <f>IF($W339="","",IF(ISNUMBER($W339),IF($W339&gt;=10000000,IFERROR(DATE(INT($W339/10000),MOD(INT($W339/100),100),MOD($W339,100)),""),INT($W339)),IFERROR(DATE(--LEFT(LEFT(SUBSTITUTE(SUBSTITUTE(SUBSTITUTE(SUBSTITUTE(TRIM($W339),"-",""),".",""),"/","")," ",""),8),4),--MID(LEFT(SUBSTITUTE(SUBSTITUTE(SUBSTITUTE(SUBSTITUTE(TRIM($W339),"-",""),".",""),"/","")," ",""),8),5,2),--MID(LEFT(SUBSTITUTE(SUBSTITUTE(SUBSTITUTE(SUBSTITUTE(TRIM($W339),"-",""),".",""),"/","")," ",""),8),7,2)),"")))</f>
        <v/>
      </c>
      <c r="Y339" s="32">
        <f>IF($X339="","",INT($X339))</f>
        <v/>
      </c>
      <c r="Z339" s="33">
        <f>IF(OR($Y339="",$D$6=""),"",IF(INDEX($A:$U,ROW(),$D$6)="",0,IF(ISNUMBER(INDEX($A:$U,ROW(),$D$6)),INDEX($A:$U,ROW(),$D$6),IFERROR(--SUBSTITUTE(SUBSTITUTE(TRIM(INDEX($A:$U,ROW(),$D$6)),",",""),"원",""),0))))</f>
        <v/>
      </c>
      <c r="AA339" s="31">
        <f>IF($Y339="","",TRIM(INDEX($A:$U,ROW(),$E$6)&amp;IF($F$6="",""," "&amp;INDEX($A:$U,ROW(),$F$6))))</f>
        <v/>
      </c>
      <c r="AB339" s="31">
        <f>IF($AA339="","",SUBSTITUTE(SUBSTITUTE(SUBSTITUTE(SUBSTITUTE(SUBSTITUTE(SUBSTITUTE(SUBSTITUTE(SUBSTITUTE(SUBSTITUTE($AA339," ",""),"　",""),"(주)",""),"（주）",""),"㈜",""),"주식회사",""),"(유)",""),"（유）",""),"유한회사",""))</f>
        <v/>
      </c>
      <c r="AC339" s="31">
        <f>IF(OR($Y339="",N($Z339)&lt;=0,$AB339=""),0,IFERROR(LOOKUP(2,1/((거래처별!$AC$8:$AC$307&lt;&gt;"")*ISNUMBER(SEARCH(거래처별!$AC$8:$AC$307,$AB339))),거래처별!$A$8:$A$307),IFERROR(LOOKUP(2,1/((거래처별!$AD$8:$AD$307&lt;&gt;"")*ISNUMBER(SEARCH(거래처별!$AD$8:$AD$307,$AB339))),거래처별!$A$8:$A$307),IFERROR(LOOKUP(2,1/((거래처별!$AE$8:$AE$307&lt;&gt;"")*ISNUMBER(SEARCH(거래처별!$AE$8:$AE$307,$AB339))),거래처별!$A$8:$A$307),0))))</f>
        <v/>
      </c>
      <c r="AD339" s="31">
        <f>IF(AND($Y339&lt;&gt;"",N($Z339)&gt;0,$AC339=0),MAX($AD$7:$AD338)+1,"")</f>
        <v/>
      </c>
      <c r="AE339" s="31">
        <f>IF($Y339="",0,$Y339)</f>
        <v/>
      </c>
    </row>
    <row r="340">
      <c r="W340" s="31">
        <f>IF(OR($B$5="",$C$6="",ROW()&lt;$B$5),"",IF(INDEX($A:$U,ROW(),$C$6)="","",INDEX($A:$U,ROW(),$C$6)))</f>
        <v/>
      </c>
      <c r="X340" s="32">
        <f>IF($W340="","",IF(ISNUMBER($W340),IF($W340&gt;=10000000,IFERROR(DATE(INT($W340/10000),MOD(INT($W340/100),100),MOD($W340,100)),""),INT($W340)),IFERROR(DATE(--LEFT(LEFT(SUBSTITUTE(SUBSTITUTE(SUBSTITUTE(SUBSTITUTE(TRIM($W340),"-",""),".",""),"/","")," ",""),8),4),--MID(LEFT(SUBSTITUTE(SUBSTITUTE(SUBSTITUTE(SUBSTITUTE(TRIM($W340),"-",""),".",""),"/","")," ",""),8),5,2),--MID(LEFT(SUBSTITUTE(SUBSTITUTE(SUBSTITUTE(SUBSTITUTE(TRIM($W340),"-",""),".",""),"/","")," ",""),8),7,2)),"")))</f>
        <v/>
      </c>
      <c r="Y340" s="32">
        <f>IF($X340="","",INT($X340))</f>
        <v/>
      </c>
      <c r="Z340" s="33">
        <f>IF(OR($Y340="",$D$6=""),"",IF(INDEX($A:$U,ROW(),$D$6)="",0,IF(ISNUMBER(INDEX($A:$U,ROW(),$D$6)),INDEX($A:$U,ROW(),$D$6),IFERROR(--SUBSTITUTE(SUBSTITUTE(TRIM(INDEX($A:$U,ROW(),$D$6)),",",""),"원",""),0))))</f>
        <v/>
      </c>
      <c r="AA340" s="31">
        <f>IF($Y340="","",TRIM(INDEX($A:$U,ROW(),$E$6)&amp;IF($F$6="",""," "&amp;INDEX($A:$U,ROW(),$F$6))))</f>
        <v/>
      </c>
      <c r="AB340" s="31">
        <f>IF($AA340="","",SUBSTITUTE(SUBSTITUTE(SUBSTITUTE(SUBSTITUTE(SUBSTITUTE(SUBSTITUTE(SUBSTITUTE(SUBSTITUTE(SUBSTITUTE($AA340," ",""),"　",""),"(주)",""),"（주）",""),"㈜",""),"주식회사",""),"(유)",""),"（유）",""),"유한회사",""))</f>
        <v/>
      </c>
      <c r="AC340" s="31">
        <f>IF(OR($Y340="",N($Z340)&lt;=0,$AB340=""),0,IFERROR(LOOKUP(2,1/((거래처별!$AC$8:$AC$307&lt;&gt;"")*ISNUMBER(SEARCH(거래처별!$AC$8:$AC$307,$AB340))),거래처별!$A$8:$A$307),IFERROR(LOOKUP(2,1/((거래처별!$AD$8:$AD$307&lt;&gt;"")*ISNUMBER(SEARCH(거래처별!$AD$8:$AD$307,$AB340))),거래처별!$A$8:$A$307),IFERROR(LOOKUP(2,1/((거래처별!$AE$8:$AE$307&lt;&gt;"")*ISNUMBER(SEARCH(거래처별!$AE$8:$AE$307,$AB340))),거래처별!$A$8:$A$307),0))))</f>
        <v/>
      </c>
      <c r="AD340" s="31">
        <f>IF(AND($Y340&lt;&gt;"",N($Z340)&gt;0,$AC340=0),MAX($AD$7:$AD339)+1,"")</f>
        <v/>
      </c>
      <c r="AE340" s="31">
        <f>IF($Y340="",0,$Y340)</f>
        <v/>
      </c>
    </row>
    <row r="341">
      <c r="W341" s="31">
        <f>IF(OR($B$5="",$C$6="",ROW()&lt;$B$5),"",IF(INDEX($A:$U,ROW(),$C$6)="","",INDEX($A:$U,ROW(),$C$6)))</f>
        <v/>
      </c>
      <c r="X341" s="32">
        <f>IF($W341="","",IF(ISNUMBER($W341),IF($W341&gt;=10000000,IFERROR(DATE(INT($W341/10000),MOD(INT($W341/100),100),MOD($W341,100)),""),INT($W341)),IFERROR(DATE(--LEFT(LEFT(SUBSTITUTE(SUBSTITUTE(SUBSTITUTE(SUBSTITUTE(TRIM($W341),"-",""),".",""),"/","")," ",""),8),4),--MID(LEFT(SUBSTITUTE(SUBSTITUTE(SUBSTITUTE(SUBSTITUTE(TRIM($W341),"-",""),".",""),"/","")," ",""),8),5,2),--MID(LEFT(SUBSTITUTE(SUBSTITUTE(SUBSTITUTE(SUBSTITUTE(TRIM($W341),"-",""),".",""),"/","")," ",""),8),7,2)),"")))</f>
        <v/>
      </c>
      <c r="Y341" s="32">
        <f>IF($X341="","",INT($X341))</f>
        <v/>
      </c>
      <c r="Z341" s="33">
        <f>IF(OR($Y341="",$D$6=""),"",IF(INDEX($A:$U,ROW(),$D$6)="",0,IF(ISNUMBER(INDEX($A:$U,ROW(),$D$6)),INDEX($A:$U,ROW(),$D$6),IFERROR(--SUBSTITUTE(SUBSTITUTE(TRIM(INDEX($A:$U,ROW(),$D$6)),",",""),"원",""),0))))</f>
        <v/>
      </c>
      <c r="AA341" s="31">
        <f>IF($Y341="","",TRIM(INDEX($A:$U,ROW(),$E$6)&amp;IF($F$6="",""," "&amp;INDEX($A:$U,ROW(),$F$6))))</f>
        <v/>
      </c>
      <c r="AB341" s="31">
        <f>IF($AA341="","",SUBSTITUTE(SUBSTITUTE(SUBSTITUTE(SUBSTITUTE(SUBSTITUTE(SUBSTITUTE(SUBSTITUTE(SUBSTITUTE(SUBSTITUTE($AA341," ",""),"　",""),"(주)",""),"（주）",""),"㈜",""),"주식회사",""),"(유)",""),"（유）",""),"유한회사",""))</f>
        <v/>
      </c>
      <c r="AC341" s="31">
        <f>IF(OR($Y341="",N($Z341)&lt;=0,$AB341=""),0,IFERROR(LOOKUP(2,1/((거래처별!$AC$8:$AC$307&lt;&gt;"")*ISNUMBER(SEARCH(거래처별!$AC$8:$AC$307,$AB341))),거래처별!$A$8:$A$307),IFERROR(LOOKUP(2,1/((거래처별!$AD$8:$AD$307&lt;&gt;"")*ISNUMBER(SEARCH(거래처별!$AD$8:$AD$307,$AB341))),거래처별!$A$8:$A$307),IFERROR(LOOKUP(2,1/((거래처별!$AE$8:$AE$307&lt;&gt;"")*ISNUMBER(SEARCH(거래처별!$AE$8:$AE$307,$AB341))),거래처별!$A$8:$A$307),0))))</f>
        <v/>
      </c>
      <c r="AD341" s="31">
        <f>IF(AND($Y341&lt;&gt;"",N($Z341)&gt;0,$AC341=0),MAX($AD$7:$AD340)+1,"")</f>
        <v/>
      </c>
      <c r="AE341" s="31">
        <f>IF($Y341="",0,$Y341)</f>
        <v/>
      </c>
    </row>
    <row r="342">
      <c r="W342" s="31">
        <f>IF(OR($B$5="",$C$6="",ROW()&lt;$B$5),"",IF(INDEX($A:$U,ROW(),$C$6)="","",INDEX($A:$U,ROW(),$C$6)))</f>
        <v/>
      </c>
      <c r="X342" s="32">
        <f>IF($W342="","",IF(ISNUMBER($W342),IF($W342&gt;=10000000,IFERROR(DATE(INT($W342/10000),MOD(INT($W342/100),100),MOD($W342,100)),""),INT($W342)),IFERROR(DATE(--LEFT(LEFT(SUBSTITUTE(SUBSTITUTE(SUBSTITUTE(SUBSTITUTE(TRIM($W342),"-",""),".",""),"/","")," ",""),8),4),--MID(LEFT(SUBSTITUTE(SUBSTITUTE(SUBSTITUTE(SUBSTITUTE(TRIM($W342),"-",""),".",""),"/","")," ",""),8),5,2),--MID(LEFT(SUBSTITUTE(SUBSTITUTE(SUBSTITUTE(SUBSTITUTE(TRIM($W342),"-",""),".",""),"/","")," ",""),8),7,2)),"")))</f>
        <v/>
      </c>
      <c r="Y342" s="32">
        <f>IF($X342="","",INT($X342))</f>
        <v/>
      </c>
      <c r="Z342" s="33">
        <f>IF(OR($Y342="",$D$6=""),"",IF(INDEX($A:$U,ROW(),$D$6)="",0,IF(ISNUMBER(INDEX($A:$U,ROW(),$D$6)),INDEX($A:$U,ROW(),$D$6),IFERROR(--SUBSTITUTE(SUBSTITUTE(TRIM(INDEX($A:$U,ROW(),$D$6)),",",""),"원",""),0))))</f>
        <v/>
      </c>
      <c r="AA342" s="31">
        <f>IF($Y342="","",TRIM(INDEX($A:$U,ROW(),$E$6)&amp;IF($F$6="",""," "&amp;INDEX($A:$U,ROW(),$F$6))))</f>
        <v/>
      </c>
      <c r="AB342" s="31">
        <f>IF($AA342="","",SUBSTITUTE(SUBSTITUTE(SUBSTITUTE(SUBSTITUTE(SUBSTITUTE(SUBSTITUTE(SUBSTITUTE(SUBSTITUTE(SUBSTITUTE($AA342," ",""),"　",""),"(주)",""),"（주）",""),"㈜",""),"주식회사",""),"(유)",""),"（유）",""),"유한회사",""))</f>
        <v/>
      </c>
      <c r="AC342" s="31">
        <f>IF(OR($Y342="",N($Z342)&lt;=0,$AB342=""),0,IFERROR(LOOKUP(2,1/((거래처별!$AC$8:$AC$307&lt;&gt;"")*ISNUMBER(SEARCH(거래처별!$AC$8:$AC$307,$AB342))),거래처별!$A$8:$A$307),IFERROR(LOOKUP(2,1/((거래처별!$AD$8:$AD$307&lt;&gt;"")*ISNUMBER(SEARCH(거래처별!$AD$8:$AD$307,$AB342))),거래처별!$A$8:$A$307),IFERROR(LOOKUP(2,1/((거래처별!$AE$8:$AE$307&lt;&gt;"")*ISNUMBER(SEARCH(거래처별!$AE$8:$AE$307,$AB342))),거래처별!$A$8:$A$307),0))))</f>
        <v/>
      </c>
      <c r="AD342" s="31">
        <f>IF(AND($Y342&lt;&gt;"",N($Z342)&gt;0,$AC342=0),MAX($AD$7:$AD341)+1,"")</f>
        <v/>
      </c>
      <c r="AE342" s="31">
        <f>IF($Y342="",0,$Y342)</f>
        <v/>
      </c>
    </row>
    <row r="343">
      <c r="W343" s="31">
        <f>IF(OR($B$5="",$C$6="",ROW()&lt;$B$5),"",IF(INDEX($A:$U,ROW(),$C$6)="","",INDEX($A:$U,ROW(),$C$6)))</f>
        <v/>
      </c>
      <c r="X343" s="32">
        <f>IF($W343="","",IF(ISNUMBER($W343),IF($W343&gt;=10000000,IFERROR(DATE(INT($W343/10000),MOD(INT($W343/100),100),MOD($W343,100)),""),INT($W343)),IFERROR(DATE(--LEFT(LEFT(SUBSTITUTE(SUBSTITUTE(SUBSTITUTE(SUBSTITUTE(TRIM($W343),"-",""),".",""),"/","")," ",""),8),4),--MID(LEFT(SUBSTITUTE(SUBSTITUTE(SUBSTITUTE(SUBSTITUTE(TRIM($W343),"-",""),".",""),"/","")," ",""),8),5,2),--MID(LEFT(SUBSTITUTE(SUBSTITUTE(SUBSTITUTE(SUBSTITUTE(TRIM($W343),"-",""),".",""),"/","")," ",""),8),7,2)),"")))</f>
        <v/>
      </c>
      <c r="Y343" s="32">
        <f>IF($X343="","",INT($X343))</f>
        <v/>
      </c>
      <c r="Z343" s="33">
        <f>IF(OR($Y343="",$D$6=""),"",IF(INDEX($A:$U,ROW(),$D$6)="",0,IF(ISNUMBER(INDEX($A:$U,ROW(),$D$6)),INDEX($A:$U,ROW(),$D$6),IFERROR(--SUBSTITUTE(SUBSTITUTE(TRIM(INDEX($A:$U,ROW(),$D$6)),",",""),"원",""),0))))</f>
        <v/>
      </c>
      <c r="AA343" s="31">
        <f>IF($Y343="","",TRIM(INDEX($A:$U,ROW(),$E$6)&amp;IF($F$6="",""," "&amp;INDEX($A:$U,ROW(),$F$6))))</f>
        <v/>
      </c>
      <c r="AB343" s="31">
        <f>IF($AA343="","",SUBSTITUTE(SUBSTITUTE(SUBSTITUTE(SUBSTITUTE(SUBSTITUTE(SUBSTITUTE(SUBSTITUTE(SUBSTITUTE(SUBSTITUTE($AA343," ",""),"　",""),"(주)",""),"（주）",""),"㈜",""),"주식회사",""),"(유)",""),"（유）",""),"유한회사",""))</f>
        <v/>
      </c>
      <c r="AC343" s="31">
        <f>IF(OR($Y343="",N($Z343)&lt;=0,$AB343=""),0,IFERROR(LOOKUP(2,1/((거래처별!$AC$8:$AC$307&lt;&gt;"")*ISNUMBER(SEARCH(거래처별!$AC$8:$AC$307,$AB343))),거래처별!$A$8:$A$307),IFERROR(LOOKUP(2,1/((거래처별!$AD$8:$AD$307&lt;&gt;"")*ISNUMBER(SEARCH(거래처별!$AD$8:$AD$307,$AB343))),거래처별!$A$8:$A$307),IFERROR(LOOKUP(2,1/((거래처별!$AE$8:$AE$307&lt;&gt;"")*ISNUMBER(SEARCH(거래처별!$AE$8:$AE$307,$AB343))),거래처별!$A$8:$A$307),0))))</f>
        <v/>
      </c>
      <c r="AD343" s="31">
        <f>IF(AND($Y343&lt;&gt;"",N($Z343)&gt;0,$AC343=0),MAX($AD$7:$AD342)+1,"")</f>
        <v/>
      </c>
      <c r="AE343" s="31">
        <f>IF($Y343="",0,$Y343)</f>
        <v/>
      </c>
    </row>
    <row r="344">
      <c r="W344" s="31">
        <f>IF(OR($B$5="",$C$6="",ROW()&lt;$B$5),"",IF(INDEX($A:$U,ROW(),$C$6)="","",INDEX($A:$U,ROW(),$C$6)))</f>
        <v/>
      </c>
      <c r="X344" s="32">
        <f>IF($W344="","",IF(ISNUMBER($W344),IF($W344&gt;=10000000,IFERROR(DATE(INT($W344/10000),MOD(INT($W344/100),100),MOD($W344,100)),""),INT($W344)),IFERROR(DATE(--LEFT(LEFT(SUBSTITUTE(SUBSTITUTE(SUBSTITUTE(SUBSTITUTE(TRIM($W344),"-",""),".",""),"/","")," ",""),8),4),--MID(LEFT(SUBSTITUTE(SUBSTITUTE(SUBSTITUTE(SUBSTITUTE(TRIM($W344),"-",""),".",""),"/","")," ",""),8),5,2),--MID(LEFT(SUBSTITUTE(SUBSTITUTE(SUBSTITUTE(SUBSTITUTE(TRIM($W344),"-",""),".",""),"/","")," ",""),8),7,2)),"")))</f>
        <v/>
      </c>
      <c r="Y344" s="32">
        <f>IF($X344="","",INT($X344))</f>
        <v/>
      </c>
      <c r="Z344" s="33">
        <f>IF(OR($Y344="",$D$6=""),"",IF(INDEX($A:$U,ROW(),$D$6)="",0,IF(ISNUMBER(INDEX($A:$U,ROW(),$D$6)),INDEX($A:$U,ROW(),$D$6),IFERROR(--SUBSTITUTE(SUBSTITUTE(TRIM(INDEX($A:$U,ROW(),$D$6)),",",""),"원",""),0))))</f>
        <v/>
      </c>
      <c r="AA344" s="31">
        <f>IF($Y344="","",TRIM(INDEX($A:$U,ROW(),$E$6)&amp;IF($F$6="",""," "&amp;INDEX($A:$U,ROW(),$F$6))))</f>
        <v/>
      </c>
      <c r="AB344" s="31">
        <f>IF($AA344="","",SUBSTITUTE(SUBSTITUTE(SUBSTITUTE(SUBSTITUTE(SUBSTITUTE(SUBSTITUTE(SUBSTITUTE(SUBSTITUTE(SUBSTITUTE($AA344," ",""),"　",""),"(주)",""),"（주）",""),"㈜",""),"주식회사",""),"(유)",""),"（유）",""),"유한회사",""))</f>
        <v/>
      </c>
      <c r="AC344" s="31">
        <f>IF(OR($Y344="",N($Z344)&lt;=0,$AB344=""),0,IFERROR(LOOKUP(2,1/((거래처별!$AC$8:$AC$307&lt;&gt;"")*ISNUMBER(SEARCH(거래처별!$AC$8:$AC$307,$AB344))),거래처별!$A$8:$A$307),IFERROR(LOOKUP(2,1/((거래처별!$AD$8:$AD$307&lt;&gt;"")*ISNUMBER(SEARCH(거래처별!$AD$8:$AD$307,$AB344))),거래처별!$A$8:$A$307),IFERROR(LOOKUP(2,1/((거래처별!$AE$8:$AE$307&lt;&gt;"")*ISNUMBER(SEARCH(거래처별!$AE$8:$AE$307,$AB344))),거래처별!$A$8:$A$307),0))))</f>
        <v/>
      </c>
      <c r="AD344" s="31">
        <f>IF(AND($Y344&lt;&gt;"",N($Z344)&gt;0,$AC344=0),MAX($AD$7:$AD343)+1,"")</f>
        <v/>
      </c>
      <c r="AE344" s="31">
        <f>IF($Y344="",0,$Y344)</f>
        <v/>
      </c>
    </row>
    <row r="345">
      <c r="W345" s="31">
        <f>IF(OR($B$5="",$C$6="",ROW()&lt;$B$5),"",IF(INDEX($A:$U,ROW(),$C$6)="","",INDEX($A:$U,ROW(),$C$6)))</f>
        <v/>
      </c>
      <c r="X345" s="32">
        <f>IF($W345="","",IF(ISNUMBER($W345),IF($W345&gt;=10000000,IFERROR(DATE(INT($W345/10000),MOD(INT($W345/100),100),MOD($W345,100)),""),INT($W345)),IFERROR(DATE(--LEFT(LEFT(SUBSTITUTE(SUBSTITUTE(SUBSTITUTE(SUBSTITUTE(TRIM($W345),"-",""),".",""),"/","")," ",""),8),4),--MID(LEFT(SUBSTITUTE(SUBSTITUTE(SUBSTITUTE(SUBSTITUTE(TRIM($W345),"-",""),".",""),"/","")," ",""),8),5,2),--MID(LEFT(SUBSTITUTE(SUBSTITUTE(SUBSTITUTE(SUBSTITUTE(TRIM($W345),"-",""),".",""),"/","")," ",""),8),7,2)),"")))</f>
        <v/>
      </c>
      <c r="Y345" s="32">
        <f>IF($X345="","",INT($X345))</f>
        <v/>
      </c>
      <c r="Z345" s="33">
        <f>IF(OR($Y345="",$D$6=""),"",IF(INDEX($A:$U,ROW(),$D$6)="",0,IF(ISNUMBER(INDEX($A:$U,ROW(),$D$6)),INDEX($A:$U,ROW(),$D$6),IFERROR(--SUBSTITUTE(SUBSTITUTE(TRIM(INDEX($A:$U,ROW(),$D$6)),",",""),"원",""),0))))</f>
        <v/>
      </c>
      <c r="AA345" s="31">
        <f>IF($Y345="","",TRIM(INDEX($A:$U,ROW(),$E$6)&amp;IF($F$6="",""," "&amp;INDEX($A:$U,ROW(),$F$6))))</f>
        <v/>
      </c>
      <c r="AB345" s="31">
        <f>IF($AA345="","",SUBSTITUTE(SUBSTITUTE(SUBSTITUTE(SUBSTITUTE(SUBSTITUTE(SUBSTITUTE(SUBSTITUTE(SUBSTITUTE(SUBSTITUTE($AA345," ",""),"　",""),"(주)",""),"（주）",""),"㈜",""),"주식회사",""),"(유)",""),"（유）",""),"유한회사",""))</f>
        <v/>
      </c>
      <c r="AC345" s="31">
        <f>IF(OR($Y345="",N($Z345)&lt;=0,$AB345=""),0,IFERROR(LOOKUP(2,1/((거래처별!$AC$8:$AC$307&lt;&gt;"")*ISNUMBER(SEARCH(거래처별!$AC$8:$AC$307,$AB345))),거래처별!$A$8:$A$307),IFERROR(LOOKUP(2,1/((거래처별!$AD$8:$AD$307&lt;&gt;"")*ISNUMBER(SEARCH(거래처별!$AD$8:$AD$307,$AB345))),거래처별!$A$8:$A$307),IFERROR(LOOKUP(2,1/((거래처별!$AE$8:$AE$307&lt;&gt;"")*ISNUMBER(SEARCH(거래처별!$AE$8:$AE$307,$AB345))),거래처별!$A$8:$A$307),0))))</f>
        <v/>
      </c>
      <c r="AD345" s="31">
        <f>IF(AND($Y345&lt;&gt;"",N($Z345)&gt;0,$AC345=0),MAX($AD$7:$AD344)+1,"")</f>
        <v/>
      </c>
      <c r="AE345" s="31">
        <f>IF($Y345="",0,$Y345)</f>
        <v/>
      </c>
    </row>
    <row r="346">
      <c r="W346" s="31">
        <f>IF(OR($B$5="",$C$6="",ROW()&lt;$B$5),"",IF(INDEX($A:$U,ROW(),$C$6)="","",INDEX($A:$U,ROW(),$C$6)))</f>
        <v/>
      </c>
      <c r="X346" s="32">
        <f>IF($W346="","",IF(ISNUMBER($W346),IF($W346&gt;=10000000,IFERROR(DATE(INT($W346/10000),MOD(INT($W346/100),100),MOD($W346,100)),""),INT($W346)),IFERROR(DATE(--LEFT(LEFT(SUBSTITUTE(SUBSTITUTE(SUBSTITUTE(SUBSTITUTE(TRIM($W346),"-",""),".",""),"/","")," ",""),8),4),--MID(LEFT(SUBSTITUTE(SUBSTITUTE(SUBSTITUTE(SUBSTITUTE(TRIM($W346),"-",""),".",""),"/","")," ",""),8),5,2),--MID(LEFT(SUBSTITUTE(SUBSTITUTE(SUBSTITUTE(SUBSTITUTE(TRIM($W346),"-",""),".",""),"/","")," ",""),8),7,2)),"")))</f>
        <v/>
      </c>
      <c r="Y346" s="32">
        <f>IF($X346="","",INT($X346))</f>
        <v/>
      </c>
      <c r="Z346" s="33">
        <f>IF(OR($Y346="",$D$6=""),"",IF(INDEX($A:$U,ROW(),$D$6)="",0,IF(ISNUMBER(INDEX($A:$U,ROW(),$D$6)),INDEX($A:$U,ROW(),$D$6),IFERROR(--SUBSTITUTE(SUBSTITUTE(TRIM(INDEX($A:$U,ROW(),$D$6)),",",""),"원",""),0))))</f>
        <v/>
      </c>
      <c r="AA346" s="31">
        <f>IF($Y346="","",TRIM(INDEX($A:$U,ROW(),$E$6)&amp;IF($F$6="",""," "&amp;INDEX($A:$U,ROW(),$F$6))))</f>
        <v/>
      </c>
      <c r="AB346" s="31">
        <f>IF($AA346="","",SUBSTITUTE(SUBSTITUTE(SUBSTITUTE(SUBSTITUTE(SUBSTITUTE(SUBSTITUTE(SUBSTITUTE(SUBSTITUTE(SUBSTITUTE($AA346," ",""),"　",""),"(주)",""),"（주）",""),"㈜",""),"주식회사",""),"(유)",""),"（유）",""),"유한회사",""))</f>
        <v/>
      </c>
      <c r="AC346" s="31">
        <f>IF(OR($Y346="",N($Z346)&lt;=0,$AB346=""),0,IFERROR(LOOKUP(2,1/((거래처별!$AC$8:$AC$307&lt;&gt;"")*ISNUMBER(SEARCH(거래처별!$AC$8:$AC$307,$AB346))),거래처별!$A$8:$A$307),IFERROR(LOOKUP(2,1/((거래처별!$AD$8:$AD$307&lt;&gt;"")*ISNUMBER(SEARCH(거래처별!$AD$8:$AD$307,$AB346))),거래처별!$A$8:$A$307),IFERROR(LOOKUP(2,1/((거래처별!$AE$8:$AE$307&lt;&gt;"")*ISNUMBER(SEARCH(거래처별!$AE$8:$AE$307,$AB346))),거래처별!$A$8:$A$307),0))))</f>
        <v/>
      </c>
      <c r="AD346" s="31">
        <f>IF(AND($Y346&lt;&gt;"",N($Z346)&gt;0,$AC346=0),MAX($AD$7:$AD345)+1,"")</f>
        <v/>
      </c>
      <c r="AE346" s="31">
        <f>IF($Y346="",0,$Y346)</f>
        <v/>
      </c>
    </row>
    <row r="347">
      <c r="W347" s="31">
        <f>IF(OR($B$5="",$C$6="",ROW()&lt;$B$5),"",IF(INDEX($A:$U,ROW(),$C$6)="","",INDEX($A:$U,ROW(),$C$6)))</f>
        <v/>
      </c>
      <c r="X347" s="32">
        <f>IF($W347="","",IF(ISNUMBER($W347),IF($W347&gt;=10000000,IFERROR(DATE(INT($W347/10000),MOD(INT($W347/100),100),MOD($W347,100)),""),INT($W347)),IFERROR(DATE(--LEFT(LEFT(SUBSTITUTE(SUBSTITUTE(SUBSTITUTE(SUBSTITUTE(TRIM($W347),"-",""),".",""),"/","")," ",""),8),4),--MID(LEFT(SUBSTITUTE(SUBSTITUTE(SUBSTITUTE(SUBSTITUTE(TRIM($W347),"-",""),".",""),"/","")," ",""),8),5,2),--MID(LEFT(SUBSTITUTE(SUBSTITUTE(SUBSTITUTE(SUBSTITUTE(TRIM($W347),"-",""),".",""),"/","")," ",""),8),7,2)),"")))</f>
        <v/>
      </c>
      <c r="Y347" s="32">
        <f>IF($X347="","",INT($X347))</f>
        <v/>
      </c>
      <c r="Z347" s="33">
        <f>IF(OR($Y347="",$D$6=""),"",IF(INDEX($A:$U,ROW(),$D$6)="",0,IF(ISNUMBER(INDEX($A:$U,ROW(),$D$6)),INDEX($A:$U,ROW(),$D$6),IFERROR(--SUBSTITUTE(SUBSTITUTE(TRIM(INDEX($A:$U,ROW(),$D$6)),",",""),"원",""),0))))</f>
        <v/>
      </c>
      <c r="AA347" s="31">
        <f>IF($Y347="","",TRIM(INDEX($A:$U,ROW(),$E$6)&amp;IF($F$6="",""," "&amp;INDEX($A:$U,ROW(),$F$6))))</f>
        <v/>
      </c>
      <c r="AB347" s="31">
        <f>IF($AA347="","",SUBSTITUTE(SUBSTITUTE(SUBSTITUTE(SUBSTITUTE(SUBSTITUTE(SUBSTITUTE(SUBSTITUTE(SUBSTITUTE(SUBSTITUTE($AA347," ",""),"　",""),"(주)",""),"（주）",""),"㈜",""),"주식회사",""),"(유)",""),"（유）",""),"유한회사",""))</f>
        <v/>
      </c>
      <c r="AC347" s="31">
        <f>IF(OR($Y347="",N($Z347)&lt;=0,$AB347=""),0,IFERROR(LOOKUP(2,1/((거래처별!$AC$8:$AC$307&lt;&gt;"")*ISNUMBER(SEARCH(거래처별!$AC$8:$AC$307,$AB347))),거래처별!$A$8:$A$307),IFERROR(LOOKUP(2,1/((거래처별!$AD$8:$AD$307&lt;&gt;"")*ISNUMBER(SEARCH(거래처별!$AD$8:$AD$307,$AB347))),거래처별!$A$8:$A$307),IFERROR(LOOKUP(2,1/((거래처별!$AE$8:$AE$307&lt;&gt;"")*ISNUMBER(SEARCH(거래처별!$AE$8:$AE$307,$AB347))),거래처별!$A$8:$A$307),0))))</f>
        <v/>
      </c>
      <c r="AD347" s="31">
        <f>IF(AND($Y347&lt;&gt;"",N($Z347)&gt;0,$AC347=0),MAX($AD$7:$AD346)+1,"")</f>
        <v/>
      </c>
      <c r="AE347" s="31">
        <f>IF($Y347="",0,$Y347)</f>
        <v/>
      </c>
    </row>
    <row r="348">
      <c r="W348" s="31">
        <f>IF(OR($B$5="",$C$6="",ROW()&lt;$B$5),"",IF(INDEX($A:$U,ROW(),$C$6)="","",INDEX($A:$U,ROW(),$C$6)))</f>
        <v/>
      </c>
      <c r="X348" s="32">
        <f>IF($W348="","",IF(ISNUMBER($W348),IF($W348&gt;=10000000,IFERROR(DATE(INT($W348/10000),MOD(INT($W348/100),100),MOD($W348,100)),""),INT($W348)),IFERROR(DATE(--LEFT(LEFT(SUBSTITUTE(SUBSTITUTE(SUBSTITUTE(SUBSTITUTE(TRIM($W348),"-",""),".",""),"/","")," ",""),8),4),--MID(LEFT(SUBSTITUTE(SUBSTITUTE(SUBSTITUTE(SUBSTITUTE(TRIM($W348),"-",""),".",""),"/","")," ",""),8),5,2),--MID(LEFT(SUBSTITUTE(SUBSTITUTE(SUBSTITUTE(SUBSTITUTE(TRIM($W348),"-",""),".",""),"/","")," ",""),8),7,2)),"")))</f>
        <v/>
      </c>
      <c r="Y348" s="32">
        <f>IF($X348="","",INT($X348))</f>
        <v/>
      </c>
      <c r="Z348" s="33">
        <f>IF(OR($Y348="",$D$6=""),"",IF(INDEX($A:$U,ROW(),$D$6)="",0,IF(ISNUMBER(INDEX($A:$U,ROW(),$D$6)),INDEX($A:$U,ROW(),$D$6),IFERROR(--SUBSTITUTE(SUBSTITUTE(TRIM(INDEX($A:$U,ROW(),$D$6)),",",""),"원",""),0))))</f>
        <v/>
      </c>
      <c r="AA348" s="31">
        <f>IF($Y348="","",TRIM(INDEX($A:$U,ROW(),$E$6)&amp;IF($F$6="",""," "&amp;INDEX($A:$U,ROW(),$F$6))))</f>
        <v/>
      </c>
      <c r="AB348" s="31">
        <f>IF($AA348="","",SUBSTITUTE(SUBSTITUTE(SUBSTITUTE(SUBSTITUTE(SUBSTITUTE(SUBSTITUTE(SUBSTITUTE(SUBSTITUTE(SUBSTITUTE($AA348," ",""),"　",""),"(주)",""),"（주）",""),"㈜",""),"주식회사",""),"(유)",""),"（유）",""),"유한회사",""))</f>
        <v/>
      </c>
      <c r="AC348" s="31">
        <f>IF(OR($Y348="",N($Z348)&lt;=0,$AB348=""),0,IFERROR(LOOKUP(2,1/((거래처별!$AC$8:$AC$307&lt;&gt;"")*ISNUMBER(SEARCH(거래처별!$AC$8:$AC$307,$AB348))),거래처별!$A$8:$A$307),IFERROR(LOOKUP(2,1/((거래처별!$AD$8:$AD$307&lt;&gt;"")*ISNUMBER(SEARCH(거래처별!$AD$8:$AD$307,$AB348))),거래처별!$A$8:$A$307),IFERROR(LOOKUP(2,1/((거래처별!$AE$8:$AE$307&lt;&gt;"")*ISNUMBER(SEARCH(거래처별!$AE$8:$AE$307,$AB348))),거래처별!$A$8:$A$307),0))))</f>
        <v/>
      </c>
      <c r="AD348" s="31">
        <f>IF(AND($Y348&lt;&gt;"",N($Z348)&gt;0,$AC348=0),MAX($AD$7:$AD347)+1,"")</f>
        <v/>
      </c>
      <c r="AE348" s="31">
        <f>IF($Y348="",0,$Y348)</f>
        <v/>
      </c>
    </row>
    <row r="349">
      <c r="W349" s="31">
        <f>IF(OR($B$5="",$C$6="",ROW()&lt;$B$5),"",IF(INDEX($A:$U,ROW(),$C$6)="","",INDEX($A:$U,ROW(),$C$6)))</f>
        <v/>
      </c>
      <c r="X349" s="32">
        <f>IF($W349="","",IF(ISNUMBER($W349),IF($W349&gt;=10000000,IFERROR(DATE(INT($W349/10000),MOD(INT($W349/100),100),MOD($W349,100)),""),INT($W349)),IFERROR(DATE(--LEFT(LEFT(SUBSTITUTE(SUBSTITUTE(SUBSTITUTE(SUBSTITUTE(TRIM($W349),"-",""),".",""),"/","")," ",""),8),4),--MID(LEFT(SUBSTITUTE(SUBSTITUTE(SUBSTITUTE(SUBSTITUTE(TRIM($W349),"-",""),".",""),"/","")," ",""),8),5,2),--MID(LEFT(SUBSTITUTE(SUBSTITUTE(SUBSTITUTE(SUBSTITUTE(TRIM($W349),"-",""),".",""),"/","")," ",""),8),7,2)),"")))</f>
        <v/>
      </c>
      <c r="Y349" s="32">
        <f>IF($X349="","",INT($X349))</f>
        <v/>
      </c>
      <c r="Z349" s="33">
        <f>IF(OR($Y349="",$D$6=""),"",IF(INDEX($A:$U,ROW(),$D$6)="",0,IF(ISNUMBER(INDEX($A:$U,ROW(),$D$6)),INDEX($A:$U,ROW(),$D$6),IFERROR(--SUBSTITUTE(SUBSTITUTE(TRIM(INDEX($A:$U,ROW(),$D$6)),",",""),"원",""),0))))</f>
        <v/>
      </c>
      <c r="AA349" s="31">
        <f>IF($Y349="","",TRIM(INDEX($A:$U,ROW(),$E$6)&amp;IF($F$6="",""," "&amp;INDEX($A:$U,ROW(),$F$6))))</f>
        <v/>
      </c>
      <c r="AB349" s="31">
        <f>IF($AA349="","",SUBSTITUTE(SUBSTITUTE(SUBSTITUTE(SUBSTITUTE(SUBSTITUTE(SUBSTITUTE(SUBSTITUTE(SUBSTITUTE(SUBSTITUTE($AA349," ",""),"　",""),"(주)",""),"（주）",""),"㈜",""),"주식회사",""),"(유)",""),"（유）",""),"유한회사",""))</f>
        <v/>
      </c>
      <c r="AC349" s="31">
        <f>IF(OR($Y349="",N($Z349)&lt;=0,$AB349=""),0,IFERROR(LOOKUP(2,1/((거래처별!$AC$8:$AC$307&lt;&gt;"")*ISNUMBER(SEARCH(거래처별!$AC$8:$AC$307,$AB349))),거래처별!$A$8:$A$307),IFERROR(LOOKUP(2,1/((거래처별!$AD$8:$AD$307&lt;&gt;"")*ISNUMBER(SEARCH(거래처별!$AD$8:$AD$307,$AB349))),거래처별!$A$8:$A$307),IFERROR(LOOKUP(2,1/((거래처별!$AE$8:$AE$307&lt;&gt;"")*ISNUMBER(SEARCH(거래처별!$AE$8:$AE$307,$AB349))),거래처별!$A$8:$A$307),0))))</f>
        <v/>
      </c>
      <c r="AD349" s="31">
        <f>IF(AND($Y349&lt;&gt;"",N($Z349)&gt;0,$AC349=0),MAX($AD$7:$AD348)+1,"")</f>
        <v/>
      </c>
      <c r="AE349" s="31">
        <f>IF($Y349="",0,$Y349)</f>
        <v/>
      </c>
    </row>
    <row r="350">
      <c r="W350" s="31">
        <f>IF(OR($B$5="",$C$6="",ROW()&lt;$B$5),"",IF(INDEX($A:$U,ROW(),$C$6)="","",INDEX($A:$U,ROW(),$C$6)))</f>
        <v/>
      </c>
      <c r="X350" s="32">
        <f>IF($W350="","",IF(ISNUMBER($W350),IF($W350&gt;=10000000,IFERROR(DATE(INT($W350/10000),MOD(INT($W350/100),100),MOD($W350,100)),""),INT($W350)),IFERROR(DATE(--LEFT(LEFT(SUBSTITUTE(SUBSTITUTE(SUBSTITUTE(SUBSTITUTE(TRIM($W350),"-",""),".",""),"/","")," ",""),8),4),--MID(LEFT(SUBSTITUTE(SUBSTITUTE(SUBSTITUTE(SUBSTITUTE(TRIM($W350),"-",""),".",""),"/","")," ",""),8),5,2),--MID(LEFT(SUBSTITUTE(SUBSTITUTE(SUBSTITUTE(SUBSTITUTE(TRIM($W350),"-",""),".",""),"/","")," ",""),8),7,2)),"")))</f>
        <v/>
      </c>
      <c r="Y350" s="32">
        <f>IF($X350="","",INT($X350))</f>
        <v/>
      </c>
      <c r="Z350" s="33">
        <f>IF(OR($Y350="",$D$6=""),"",IF(INDEX($A:$U,ROW(),$D$6)="",0,IF(ISNUMBER(INDEX($A:$U,ROW(),$D$6)),INDEX($A:$U,ROW(),$D$6),IFERROR(--SUBSTITUTE(SUBSTITUTE(TRIM(INDEX($A:$U,ROW(),$D$6)),",",""),"원",""),0))))</f>
        <v/>
      </c>
      <c r="AA350" s="31">
        <f>IF($Y350="","",TRIM(INDEX($A:$U,ROW(),$E$6)&amp;IF($F$6="",""," "&amp;INDEX($A:$U,ROW(),$F$6))))</f>
        <v/>
      </c>
      <c r="AB350" s="31">
        <f>IF($AA350="","",SUBSTITUTE(SUBSTITUTE(SUBSTITUTE(SUBSTITUTE(SUBSTITUTE(SUBSTITUTE(SUBSTITUTE(SUBSTITUTE(SUBSTITUTE($AA350," ",""),"　",""),"(주)",""),"（주）",""),"㈜",""),"주식회사",""),"(유)",""),"（유）",""),"유한회사",""))</f>
        <v/>
      </c>
      <c r="AC350" s="31">
        <f>IF(OR($Y350="",N($Z350)&lt;=0,$AB350=""),0,IFERROR(LOOKUP(2,1/((거래처별!$AC$8:$AC$307&lt;&gt;"")*ISNUMBER(SEARCH(거래처별!$AC$8:$AC$307,$AB350))),거래처별!$A$8:$A$307),IFERROR(LOOKUP(2,1/((거래처별!$AD$8:$AD$307&lt;&gt;"")*ISNUMBER(SEARCH(거래처별!$AD$8:$AD$307,$AB350))),거래처별!$A$8:$A$307),IFERROR(LOOKUP(2,1/((거래처별!$AE$8:$AE$307&lt;&gt;"")*ISNUMBER(SEARCH(거래처별!$AE$8:$AE$307,$AB350))),거래처별!$A$8:$A$307),0))))</f>
        <v/>
      </c>
      <c r="AD350" s="31">
        <f>IF(AND($Y350&lt;&gt;"",N($Z350)&gt;0,$AC350=0),MAX($AD$7:$AD349)+1,"")</f>
        <v/>
      </c>
      <c r="AE350" s="31">
        <f>IF($Y350="",0,$Y350)</f>
        <v/>
      </c>
    </row>
    <row r="351">
      <c r="W351" s="31">
        <f>IF(OR($B$5="",$C$6="",ROW()&lt;$B$5),"",IF(INDEX($A:$U,ROW(),$C$6)="","",INDEX($A:$U,ROW(),$C$6)))</f>
        <v/>
      </c>
      <c r="X351" s="32">
        <f>IF($W351="","",IF(ISNUMBER($W351),IF($W351&gt;=10000000,IFERROR(DATE(INT($W351/10000),MOD(INT($W351/100),100),MOD($W351,100)),""),INT($W351)),IFERROR(DATE(--LEFT(LEFT(SUBSTITUTE(SUBSTITUTE(SUBSTITUTE(SUBSTITUTE(TRIM($W351),"-",""),".",""),"/","")," ",""),8),4),--MID(LEFT(SUBSTITUTE(SUBSTITUTE(SUBSTITUTE(SUBSTITUTE(TRIM($W351),"-",""),".",""),"/","")," ",""),8),5,2),--MID(LEFT(SUBSTITUTE(SUBSTITUTE(SUBSTITUTE(SUBSTITUTE(TRIM($W351),"-",""),".",""),"/","")," ",""),8),7,2)),"")))</f>
        <v/>
      </c>
      <c r="Y351" s="32">
        <f>IF($X351="","",INT($X351))</f>
        <v/>
      </c>
      <c r="Z351" s="33">
        <f>IF(OR($Y351="",$D$6=""),"",IF(INDEX($A:$U,ROW(),$D$6)="",0,IF(ISNUMBER(INDEX($A:$U,ROW(),$D$6)),INDEX($A:$U,ROW(),$D$6),IFERROR(--SUBSTITUTE(SUBSTITUTE(TRIM(INDEX($A:$U,ROW(),$D$6)),",",""),"원",""),0))))</f>
        <v/>
      </c>
      <c r="AA351" s="31">
        <f>IF($Y351="","",TRIM(INDEX($A:$U,ROW(),$E$6)&amp;IF($F$6="",""," "&amp;INDEX($A:$U,ROW(),$F$6))))</f>
        <v/>
      </c>
      <c r="AB351" s="31">
        <f>IF($AA351="","",SUBSTITUTE(SUBSTITUTE(SUBSTITUTE(SUBSTITUTE(SUBSTITUTE(SUBSTITUTE(SUBSTITUTE(SUBSTITUTE(SUBSTITUTE($AA351," ",""),"　",""),"(주)",""),"（주）",""),"㈜",""),"주식회사",""),"(유)",""),"（유）",""),"유한회사",""))</f>
        <v/>
      </c>
      <c r="AC351" s="31">
        <f>IF(OR($Y351="",N($Z351)&lt;=0,$AB351=""),0,IFERROR(LOOKUP(2,1/((거래처별!$AC$8:$AC$307&lt;&gt;"")*ISNUMBER(SEARCH(거래처별!$AC$8:$AC$307,$AB351))),거래처별!$A$8:$A$307),IFERROR(LOOKUP(2,1/((거래처별!$AD$8:$AD$307&lt;&gt;"")*ISNUMBER(SEARCH(거래처별!$AD$8:$AD$307,$AB351))),거래처별!$A$8:$A$307),IFERROR(LOOKUP(2,1/((거래처별!$AE$8:$AE$307&lt;&gt;"")*ISNUMBER(SEARCH(거래처별!$AE$8:$AE$307,$AB351))),거래처별!$A$8:$A$307),0))))</f>
        <v/>
      </c>
      <c r="AD351" s="31">
        <f>IF(AND($Y351&lt;&gt;"",N($Z351)&gt;0,$AC351=0),MAX($AD$7:$AD350)+1,"")</f>
        <v/>
      </c>
      <c r="AE351" s="31">
        <f>IF($Y351="",0,$Y351)</f>
        <v/>
      </c>
    </row>
    <row r="352">
      <c r="W352" s="31">
        <f>IF(OR($B$5="",$C$6="",ROW()&lt;$B$5),"",IF(INDEX($A:$U,ROW(),$C$6)="","",INDEX($A:$U,ROW(),$C$6)))</f>
        <v/>
      </c>
      <c r="X352" s="32">
        <f>IF($W352="","",IF(ISNUMBER($W352),IF($W352&gt;=10000000,IFERROR(DATE(INT($W352/10000),MOD(INT($W352/100),100),MOD($W352,100)),""),INT($W352)),IFERROR(DATE(--LEFT(LEFT(SUBSTITUTE(SUBSTITUTE(SUBSTITUTE(SUBSTITUTE(TRIM($W352),"-",""),".",""),"/","")," ",""),8),4),--MID(LEFT(SUBSTITUTE(SUBSTITUTE(SUBSTITUTE(SUBSTITUTE(TRIM($W352),"-",""),".",""),"/","")," ",""),8),5,2),--MID(LEFT(SUBSTITUTE(SUBSTITUTE(SUBSTITUTE(SUBSTITUTE(TRIM($W352),"-",""),".",""),"/","")," ",""),8),7,2)),"")))</f>
        <v/>
      </c>
      <c r="Y352" s="32">
        <f>IF($X352="","",INT($X352))</f>
        <v/>
      </c>
      <c r="Z352" s="33">
        <f>IF(OR($Y352="",$D$6=""),"",IF(INDEX($A:$U,ROW(),$D$6)="",0,IF(ISNUMBER(INDEX($A:$U,ROW(),$D$6)),INDEX($A:$U,ROW(),$D$6),IFERROR(--SUBSTITUTE(SUBSTITUTE(TRIM(INDEX($A:$U,ROW(),$D$6)),",",""),"원",""),0))))</f>
        <v/>
      </c>
      <c r="AA352" s="31">
        <f>IF($Y352="","",TRIM(INDEX($A:$U,ROW(),$E$6)&amp;IF($F$6="",""," "&amp;INDEX($A:$U,ROW(),$F$6))))</f>
        <v/>
      </c>
      <c r="AB352" s="31">
        <f>IF($AA352="","",SUBSTITUTE(SUBSTITUTE(SUBSTITUTE(SUBSTITUTE(SUBSTITUTE(SUBSTITUTE(SUBSTITUTE(SUBSTITUTE(SUBSTITUTE($AA352," ",""),"　",""),"(주)",""),"（주）",""),"㈜",""),"주식회사",""),"(유)",""),"（유）",""),"유한회사",""))</f>
        <v/>
      </c>
      <c r="AC352" s="31">
        <f>IF(OR($Y352="",N($Z352)&lt;=0,$AB352=""),0,IFERROR(LOOKUP(2,1/((거래처별!$AC$8:$AC$307&lt;&gt;"")*ISNUMBER(SEARCH(거래처별!$AC$8:$AC$307,$AB352))),거래처별!$A$8:$A$307),IFERROR(LOOKUP(2,1/((거래처별!$AD$8:$AD$307&lt;&gt;"")*ISNUMBER(SEARCH(거래처별!$AD$8:$AD$307,$AB352))),거래처별!$A$8:$A$307),IFERROR(LOOKUP(2,1/((거래처별!$AE$8:$AE$307&lt;&gt;"")*ISNUMBER(SEARCH(거래처별!$AE$8:$AE$307,$AB352))),거래처별!$A$8:$A$307),0))))</f>
        <v/>
      </c>
      <c r="AD352" s="31">
        <f>IF(AND($Y352&lt;&gt;"",N($Z352)&gt;0,$AC352=0),MAX($AD$7:$AD351)+1,"")</f>
        <v/>
      </c>
      <c r="AE352" s="31">
        <f>IF($Y352="",0,$Y352)</f>
        <v/>
      </c>
    </row>
    <row r="353">
      <c r="W353" s="31">
        <f>IF(OR($B$5="",$C$6="",ROW()&lt;$B$5),"",IF(INDEX($A:$U,ROW(),$C$6)="","",INDEX($A:$U,ROW(),$C$6)))</f>
        <v/>
      </c>
      <c r="X353" s="32">
        <f>IF($W353="","",IF(ISNUMBER($W353),IF($W353&gt;=10000000,IFERROR(DATE(INT($W353/10000),MOD(INT($W353/100),100),MOD($W353,100)),""),INT($W353)),IFERROR(DATE(--LEFT(LEFT(SUBSTITUTE(SUBSTITUTE(SUBSTITUTE(SUBSTITUTE(TRIM($W353),"-",""),".",""),"/","")," ",""),8),4),--MID(LEFT(SUBSTITUTE(SUBSTITUTE(SUBSTITUTE(SUBSTITUTE(TRIM($W353),"-",""),".",""),"/","")," ",""),8),5,2),--MID(LEFT(SUBSTITUTE(SUBSTITUTE(SUBSTITUTE(SUBSTITUTE(TRIM($W353),"-",""),".",""),"/","")," ",""),8),7,2)),"")))</f>
        <v/>
      </c>
      <c r="Y353" s="32">
        <f>IF($X353="","",INT($X353))</f>
        <v/>
      </c>
      <c r="Z353" s="33">
        <f>IF(OR($Y353="",$D$6=""),"",IF(INDEX($A:$U,ROW(),$D$6)="",0,IF(ISNUMBER(INDEX($A:$U,ROW(),$D$6)),INDEX($A:$U,ROW(),$D$6),IFERROR(--SUBSTITUTE(SUBSTITUTE(TRIM(INDEX($A:$U,ROW(),$D$6)),",",""),"원",""),0))))</f>
        <v/>
      </c>
      <c r="AA353" s="31">
        <f>IF($Y353="","",TRIM(INDEX($A:$U,ROW(),$E$6)&amp;IF($F$6="",""," "&amp;INDEX($A:$U,ROW(),$F$6))))</f>
        <v/>
      </c>
      <c r="AB353" s="31">
        <f>IF($AA353="","",SUBSTITUTE(SUBSTITUTE(SUBSTITUTE(SUBSTITUTE(SUBSTITUTE(SUBSTITUTE(SUBSTITUTE(SUBSTITUTE(SUBSTITUTE($AA353," ",""),"　",""),"(주)",""),"（주）",""),"㈜",""),"주식회사",""),"(유)",""),"（유）",""),"유한회사",""))</f>
        <v/>
      </c>
      <c r="AC353" s="31">
        <f>IF(OR($Y353="",N($Z353)&lt;=0,$AB353=""),0,IFERROR(LOOKUP(2,1/((거래처별!$AC$8:$AC$307&lt;&gt;"")*ISNUMBER(SEARCH(거래처별!$AC$8:$AC$307,$AB353))),거래처별!$A$8:$A$307),IFERROR(LOOKUP(2,1/((거래처별!$AD$8:$AD$307&lt;&gt;"")*ISNUMBER(SEARCH(거래처별!$AD$8:$AD$307,$AB353))),거래처별!$A$8:$A$307),IFERROR(LOOKUP(2,1/((거래처별!$AE$8:$AE$307&lt;&gt;"")*ISNUMBER(SEARCH(거래처별!$AE$8:$AE$307,$AB353))),거래처별!$A$8:$A$307),0))))</f>
        <v/>
      </c>
      <c r="AD353" s="31">
        <f>IF(AND($Y353&lt;&gt;"",N($Z353)&gt;0,$AC353=0),MAX($AD$7:$AD352)+1,"")</f>
        <v/>
      </c>
      <c r="AE353" s="31">
        <f>IF($Y353="",0,$Y353)</f>
        <v/>
      </c>
    </row>
    <row r="354">
      <c r="W354" s="31">
        <f>IF(OR($B$5="",$C$6="",ROW()&lt;$B$5),"",IF(INDEX($A:$U,ROW(),$C$6)="","",INDEX($A:$U,ROW(),$C$6)))</f>
        <v/>
      </c>
      <c r="X354" s="32">
        <f>IF($W354="","",IF(ISNUMBER($W354),IF($W354&gt;=10000000,IFERROR(DATE(INT($W354/10000),MOD(INT($W354/100),100),MOD($W354,100)),""),INT($W354)),IFERROR(DATE(--LEFT(LEFT(SUBSTITUTE(SUBSTITUTE(SUBSTITUTE(SUBSTITUTE(TRIM($W354),"-",""),".",""),"/","")," ",""),8),4),--MID(LEFT(SUBSTITUTE(SUBSTITUTE(SUBSTITUTE(SUBSTITUTE(TRIM($W354),"-",""),".",""),"/","")," ",""),8),5,2),--MID(LEFT(SUBSTITUTE(SUBSTITUTE(SUBSTITUTE(SUBSTITUTE(TRIM($W354),"-",""),".",""),"/","")," ",""),8),7,2)),"")))</f>
        <v/>
      </c>
      <c r="Y354" s="32">
        <f>IF($X354="","",INT($X354))</f>
        <v/>
      </c>
      <c r="Z354" s="33">
        <f>IF(OR($Y354="",$D$6=""),"",IF(INDEX($A:$U,ROW(),$D$6)="",0,IF(ISNUMBER(INDEX($A:$U,ROW(),$D$6)),INDEX($A:$U,ROW(),$D$6),IFERROR(--SUBSTITUTE(SUBSTITUTE(TRIM(INDEX($A:$U,ROW(),$D$6)),",",""),"원",""),0))))</f>
        <v/>
      </c>
      <c r="AA354" s="31">
        <f>IF($Y354="","",TRIM(INDEX($A:$U,ROW(),$E$6)&amp;IF($F$6="",""," "&amp;INDEX($A:$U,ROW(),$F$6))))</f>
        <v/>
      </c>
      <c r="AB354" s="31">
        <f>IF($AA354="","",SUBSTITUTE(SUBSTITUTE(SUBSTITUTE(SUBSTITUTE(SUBSTITUTE(SUBSTITUTE(SUBSTITUTE(SUBSTITUTE(SUBSTITUTE($AA354," ",""),"　",""),"(주)",""),"（주）",""),"㈜",""),"주식회사",""),"(유)",""),"（유）",""),"유한회사",""))</f>
        <v/>
      </c>
      <c r="AC354" s="31">
        <f>IF(OR($Y354="",N($Z354)&lt;=0,$AB354=""),0,IFERROR(LOOKUP(2,1/((거래처별!$AC$8:$AC$307&lt;&gt;"")*ISNUMBER(SEARCH(거래처별!$AC$8:$AC$307,$AB354))),거래처별!$A$8:$A$307),IFERROR(LOOKUP(2,1/((거래처별!$AD$8:$AD$307&lt;&gt;"")*ISNUMBER(SEARCH(거래처별!$AD$8:$AD$307,$AB354))),거래처별!$A$8:$A$307),IFERROR(LOOKUP(2,1/((거래처별!$AE$8:$AE$307&lt;&gt;"")*ISNUMBER(SEARCH(거래처별!$AE$8:$AE$307,$AB354))),거래처별!$A$8:$A$307),0))))</f>
        <v/>
      </c>
      <c r="AD354" s="31">
        <f>IF(AND($Y354&lt;&gt;"",N($Z354)&gt;0,$AC354=0),MAX($AD$7:$AD353)+1,"")</f>
        <v/>
      </c>
      <c r="AE354" s="31">
        <f>IF($Y354="",0,$Y354)</f>
        <v/>
      </c>
    </row>
    <row r="355">
      <c r="W355" s="31">
        <f>IF(OR($B$5="",$C$6="",ROW()&lt;$B$5),"",IF(INDEX($A:$U,ROW(),$C$6)="","",INDEX($A:$U,ROW(),$C$6)))</f>
        <v/>
      </c>
      <c r="X355" s="32">
        <f>IF($W355="","",IF(ISNUMBER($W355),IF($W355&gt;=10000000,IFERROR(DATE(INT($W355/10000),MOD(INT($W355/100),100),MOD($W355,100)),""),INT($W355)),IFERROR(DATE(--LEFT(LEFT(SUBSTITUTE(SUBSTITUTE(SUBSTITUTE(SUBSTITUTE(TRIM($W355),"-",""),".",""),"/","")," ",""),8),4),--MID(LEFT(SUBSTITUTE(SUBSTITUTE(SUBSTITUTE(SUBSTITUTE(TRIM($W355),"-",""),".",""),"/","")," ",""),8),5,2),--MID(LEFT(SUBSTITUTE(SUBSTITUTE(SUBSTITUTE(SUBSTITUTE(TRIM($W355),"-",""),".",""),"/","")," ",""),8),7,2)),"")))</f>
        <v/>
      </c>
      <c r="Y355" s="32">
        <f>IF($X355="","",INT($X355))</f>
        <v/>
      </c>
      <c r="Z355" s="33">
        <f>IF(OR($Y355="",$D$6=""),"",IF(INDEX($A:$U,ROW(),$D$6)="",0,IF(ISNUMBER(INDEX($A:$U,ROW(),$D$6)),INDEX($A:$U,ROW(),$D$6),IFERROR(--SUBSTITUTE(SUBSTITUTE(TRIM(INDEX($A:$U,ROW(),$D$6)),",",""),"원",""),0))))</f>
        <v/>
      </c>
      <c r="AA355" s="31">
        <f>IF($Y355="","",TRIM(INDEX($A:$U,ROW(),$E$6)&amp;IF($F$6="",""," "&amp;INDEX($A:$U,ROW(),$F$6))))</f>
        <v/>
      </c>
      <c r="AB355" s="31">
        <f>IF($AA355="","",SUBSTITUTE(SUBSTITUTE(SUBSTITUTE(SUBSTITUTE(SUBSTITUTE(SUBSTITUTE(SUBSTITUTE(SUBSTITUTE(SUBSTITUTE($AA355," ",""),"　",""),"(주)",""),"（주）",""),"㈜",""),"주식회사",""),"(유)",""),"（유）",""),"유한회사",""))</f>
        <v/>
      </c>
      <c r="AC355" s="31">
        <f>IF(OR($Y355="",N($Z355)&lt;=0,$AB355=""),0,IFERROR(LOOKUP(2,1/((거래처별!$AC$8:$AC$307&lt;&gt;"")*ISNUMBER(SEARCH(거래처별!$AC$8:$AC$307,$AB355))),거래처별!$A$8:$A$307),IFERROR(LOOKUP(2,1/((거래처별!$AD$8:$AD$307&lt;&gt;"")*ISNUMBER(SEARCH(거래처별!$AD$8:$AD$307,$AB355))),거래처별!$A$8:$A$307),IFERROR(LOOKUP(2,1/((거래처별!$AE$8:$AE$307&lt;&gt;"")*ISNUMBER(SEARCH(거래처별!$AE$8:$AE$307,$AB355))),거래처별!$A$8:$A$307),0))))</f>
        <v/>
      </c>
      <c r="AD355" s="31">
        <f>IF(AND($Y355&lt;&gt;"",N($Z355)&gt;0,$AC355=0),MAX($AD$7:$AD354)+1,"")</f>
        <v/>
      </c>
      <c r="AE355" s="31">
        <f>IF($Y355="",0,$Y355)</f>
        <v/>
      </c>
    </row>
    <row r="356">
      <c r="W356" s="31">
        <f>IF(OR($B$5="",$C$6="",ROW()&lt;$B$5),"",IF(INDEX($A:$U,ROW(),$C$6)="","",INDEX($A:$U,ROW(),$C$6)))</f>
        <v/>
      </c>
      <c r="X356" s="32">
        <f>IF($W356="","",IF(ISNUMBER($W356),IF($W356&gt;=10000000,IFERROR(DATE(INT($W356/10000),MOD(INT($W356/100),100),MOD($W356,100)),""),INT($W356)),IFERROR(DATE(--LEFT(LEFT(SUBSTITUTE(SUBSTITUTE(SUBSTITUTE(SUBSTITUTE(TRIM($W356),"-",""),".",""),"/","")," ",""),8),4),--MID(LEFT(SUBSTITUTE(SUBSTITUTE(SUBSTITUTE(SUBSTITUTE(TRIM($W356),"-",""),".",""),"/","")," ",""),8),5,2),--MID(LEFT(SUBSTITUTE(SUBSTITUTE(SUBSTITUTE(SUBSTITUTE(TRIM($W356),"-",""),".",""),"/","")," ",""),8),7,2)),"")))</f>
        <v/>
      </c>
      <c r="Y356" s="32">
        <f>IF($X356="","",INT($X356))</f>
        <v/>
      </c>
      <c r="Z356" s="33">
        <f>IF(OR($Y356="",$D$6=""),"",IF(INDEX($A:$U,ROW(),$D$6)="",0,IF(ISNUMBER(INDEX($A:$U,ROW(),$D$6)),INDEX($A:$U,ROW(),$D$6),IFERROR(--SUBSTITUTE(SUBSTITUTE(TRIM(INDEX($A:$U,ROW(),$D$6)),",",""),"원",""),0))))</f>
        <v/>
      </c>
      <c r="AA356" s="31">
        <f>IF($Y356="","",TRIM(INDEX($A:$U,ROW(),$E$6)&amp;IF($F$6="",""," "&amp;INDEX($A:$U,ROW(),$F$6))))</f>
        <v/>
      </c>
      <c r="AB356" s="31">
        <f>IF($AA356="","",SUBSTITUTE(SUBSTITUTE(SUBSTITUTE(SUBSTITUTE(SUBSTITUTE(SUBSTITUTE(SUBSTITUTE(SUBSTITUTE(SUBSTITUTE($AA356," ",""),"　",""),"(주)",""),"（주）",""),"㈜",""),"주식회사",""),"(유)",""),"（유）",""),"유한회사",""))</f>
        <v/>
      </c>
      <c r="AC356" s="31">
        <f>IF(OR($Y356="",N($Z356)&lt;=0,$AB356=""),0,IFERROR(LOOKUP(2,1/((거래처별!$AC$8:$AC$307&lt;&gt;"")*ISNUMBER(SEARCH(거래처별!$AC$8:$AC$307,$AB356))),거래처별!$A$8:$A$307),IFERROR(LOOKUP(2,1/((거래처별!$AD$8:$AD$307&lt;&gt;"")*ISNUMBER(SEARCH(거래처별!$AD$8:$AD$307,$AB356))),거래처별!$A$8:$A$307),IFERROR(LOOKUP(2,1/((거래처별!$AE$8:$AE$307&lt;&gt;"")*ISNUMBER(SEARCH(거래처별!$AE$8:$AE$307,$AB356))),거래처별!$A$8:$A$307),0))))</f>
        <v/>
      </c>
      <c r="AD356" s="31">
        <f>IF(AND($Y356&lt;&gt;"",N($Z356)&gt;0,$AC356=0),MAX($AD$7:$AD355)+1,"")</f>
        <v/>
      </c>
      <c r="AE356" s="31">
        <f>IF($Y356="",0,$Y356)</f>
        <v/>
      </c>
    </row>
    <row r="357">
      <c r="W357" s="31">
        <f>IF(OR($B$5="",$C$6="",ROW()&lt;$B$5),"",IF(INDEX($A:$U,ROW(),$C$6)="","",INDEX($A:$U,ROW(),$C$6)))</f>
        <v/>
      </c>
      <c r="X357" s="32">
        <f>IF($W357="","",IF(ISNUMBER($W357),IF($W357&gt;=10000000,IFERROR(DATE(INT($W357/10000),MOD(INT($W357/100),100),MOD($W357,100)),""),INT($W357)),IFERROR(DATE(--LEFT(LEFT(SUBSTITUTE(SUBSTITUTE(SUBSTITUTE(SUBSTITUTE(TRIM($W357),"-",""),".",""),"/","")," ",""),8),4),--MID(LEFT(SUBSTITUTE(SUBSTITUTE(SUBSTITUTE(SUBSTITUTE(TRIM($W357),"-",""),".",""),"/","")," ",""),8),5,2),--MID(LEFT(SUBSTITUTE(SUBSTITUTE(SUBSTITUTE(SUBSTITUTE(TRIM($W357),"-",""),".",""),"/","")," ",""),8),7,2)),"")))</f>
        <v/>
      </c>
      <c r="Y357" s="32">
        <f>IF($X357="","",INT($X357))</f>
        <v/>
      </c>
      <c r="Z357" s="33">
        <f>IF(OR($Y357="",$D$6=""),"",IF(INDEX($A:$U,ROW(),$D$6)="",0,IF(ISNUMBER(INDEX($A:$U,ROW(),$D$6)),INDEX($A:$U,ROW(),$D$6),IFERROR(--SUBSTITUTE(SUBSTITUTE(TRIM(INDEX($A:$U,ROW(),$D$6)),",",""),"원",""),0))))</f>
        <v/>
      </c>
      <c r="AA357" s="31">
        <f>IF($Y357="","",TRIM(INDEX($A:$U,ROW(),$E$6)&amp;IF($F$6="",""," "&amp;INDEX($A:$U,ROW(),$F$6))))</f>
        <v/>
      </c>
      <c r="AB357" s="31">
        <f>IF($AA357="","",SUBSTITUTE(SUBSTITUTE(SUBSTITUTE(SUBSTITUTE(SUBSTITUTE(SUBSTITUTE(SUBSTITUTE(SUBSTITUTE(SUBSTITUTE($AA357," ",""),"　",""),"(주)",""),"（주）",""),"㈜",""),"주식회사",""),"(유)",""),"（유）",""),"유한회사",""))</f>
        <v/>
      </c>
      <c r="AC357" s="31">
        <f>IF(OR($Y357="",N($Z357)&lt;=0,$AB357=""),0,IFERROR(LOOKUP(2,1/((거래처별!$AC$8:$AC$307&lt;&gt;"")*ISNUMBER(SEARCH(거래처별!$AC$8:$AC$307,$AB357))),거래처별!$A$8:$A$307),IFERROR(LOOKUP(2,1/((거래처별!$AD$8:$AD$307&lt;&gt;"")*ISNUMBER(SEARCH(거래처별!$AD$8:$AD$307,$AB357))),거래처별!$A$8:$A$307),IFERROR(LOOKUP(2,1/((거래처별!$AE$8:$AE$307&lt;&gt;"")*ISNUMBER(SEARCH(거래처별!$AE$8:$AE$307,$AB357))),거래처별!$A$8:$A$307),0))))</f>
        <v/>
      </c>
      <c r="AD357" s="31">
        <f>IF(AND($Y357&lt;&gt;"",N($Z357)&gt;0,$AC357=0),MAX($AD$7:$AD356)+1,"")</f>
        <v/>
      </c>
      <c r="AE357" s="31">
        <f>IF($Y357="",0,$Y357)</f>
        <v/>
      </c>
    </row>
    <row r="358">
      <c r="W358" s="31">
        <f>IF(OR($B$5="",$C$6="",ROW()&lt;$B$5),"",IF(INDEX($A:$U,ROW(),$C$6)="","",INDEX($A:$U,ROW(),$C$6)))</f>
        <v/>
      </c>
      <c r="X358" s="32">
        <f>IF($W358="","",IF(ISNUMBER($W358),IF($W358&gt;=10000000,IFERROR(DATE(INT($W358/10000),MOD(INT($W358/100),100),MOD($W358,100)),""),INT($W358)),IFERROR(DATE(--LEFT(LEFT(SUBSTITUTE(SUBSTITUTE(SUBSTITUTE(SUBSTITUTE(TRIM($W358),"-",""),".",""),"/","")," ",""),8),4),--MID(LEFT(SUBSTITUTE(SUBSTITUTE(SUBSTITUTE(SUBSTITUTE(TRIM($W358),"-",""),".",""),"/","")," ",""),8),5,2),--MID(LEFT(SUBSTITUTE(SUBSTITUTE(SUBSTITUTE(SUBSTITUTE(TRIM($W358),"-",""),".",""),"/","")," ",""),8),7,2)),"")))</f>
        <v/>
      </c>
      <c r="Y358" s="32">
        <f>IF($X358="","",INT($X358))</f>
        <v/>
      </c>
      <c r="Z358" s="33">
        <f>IF(OR($Y358="",$D$6=""),"",IF(INDEX($A:$U,ROW(),$D$6)="",0,IF(ISNUMBER(INDEX($A:$U,ROW(),$D$6)),INDEX($A:$U,ROW(),$D$6),IFERROR(--SUBSTITUTE(SUBSTITUTE(TRIM(INDEX($A:$U,ROW(),$D$6)),",",""),"원",""),0))))</f>
        <v/>
      </c>
      <c r="AA358" s="31">
        <f>IF($Y358="","",TRIM(INDEX($A:$U,ROW(),$E$6)&amp;IF($F$6="",""," "&amp;INDEX($A:$U,ROW(),$F$6))))</f>
        <v/>
      </c>
      <c r="AB358" s="31">
        <f>IF($AA358="","",SUBSTITUTE(SUBSTITUTE(SUBSTITUTE(SUBSTITUTE(SUBSTITUTE(SUBSTITUTE(SUBSTITUTE(SUBSTITUTE(SUBSTITUTE($AA358," ",""),"　",""),"(주)",""),"（주）",""),"㈜",""),"주식회사",""),"(유)",""),"（유）",""),"유한회사",""))</f>
        <v/>
      </c>
      <c r="AC358" s="31">
        <f>IF(OR($Y358="",N($Z358)&lt;=0,$AB358=""),0,IFERROR(LOOKUP(2,1/((거래처별!$AC$8:$AC$307&lt;&gt;"")*ISNUMBER(SEARCH(거래처별!$AC$8:$AC$307,$AB358))),거래처별!$A$8:$A$307),IFERROR(LOOKUP(2,1/((거래처별!$AD$8:$AD$307&lt;&gt;"")*ISNUMBER(SEARCH(거래처별!$AD$8:$AD$307,$AB358))),거래처별!$A$8:$A$307),IFERROR(LOOKUP(2,1/((거래처별!$AE$8:$AE$307&lt;&gt;"")*ISNUMBER(SEARCH(거래처별!$AE$8:$AE$307,$AB358))),거래처별!$A$8:$A$307),0))))</f>
        <v/>
      </c>
      <c r="AD358" s="31">
        <f>IF(AND($Y358&lt;&gt;"",N($Z358)&gt;0,$AC358=0),MAX($AD$7:$AD357)+1,"")</f>
        <v/>
      </c>
      <c r="AE358" s="31">
        <f>IF($Y358="",0,$Y358)</f>
        <v/>
      </c>
    </row>
    <row r="359">
      <c r="W359" s="31">
        <f>IF(OR($B$5="",$C$6="",ROW()&lt;$B$5),"",IF(INDEX($A:$U,ROW(),$C$6)="","",INDEX($A:$U,ROW(),$C$6)))</f>
        <v/>
      </c>
      <c r="X359" s="32">
        <f>IF($W359="","",IF(ISNUMBER($W359),IF($W359&gt;=10000000,IFERROR(DATE(INT($W359/10000),MOD(INT($W359/100),100),MOD($W359,100)),""),INT($W359)),IFERROR(DATE(--LEFT(LEFT(SUBSTITUTE(SUBSTITUTE(SUBSTITUTE(SUBSTITUTE(TRIM($W359),"-",""),".",""),"/","")," ",""),8),4),--MID(LEFT(SUBSTITUTE(SUBSTITUTE(SUBSTITUTE(SUBSTITUTE(TRIM($W359),"-",""),".",""),"/","")," ",""),8),5,2),--MID(LEFT(SUBSTITUTE(SUBSTITUTE(SUBSTITUTE(SUBSTITUTE(TRIM($W359),"-",""),".",""),"/","")," ",""),8),7,2)),"")))</f>
        <v/>
      </c>
      <c r="Y359" s="32">
        <f>IF($X359="","",INT($X359))</f>
        <v/>
      </c>
      <c r="Z359" s="33">
        <f>IF(OR($Y359="",$D$6=""),"",IF(INDEX($A:$U,ROW(),$D$6)="",0,IF(ISNUMBER(INDEX($A:$U,ROW(),$D$6)),INDEX($A:$U,ROW(),$D$6),IFERROR(--SUBSTITUTE(SUBSTITUTE(TRIM(INDEX($A:$U,ROW(),$D$6)),",",""),"원",""),0))))</f>
        <v/>
      </c>
      <c r="AA359" s="31">
        <f>IF($Y359="","",TRIM(INDEX($A:$U,ROW(),$E$6)&amp;IF($F$6="",""," "&amp;INDEX($A:$U,ROW(),$F$6))))</f>
        <v/>
      </c>
      <c r="AB359" s="31">
        <f>IF($AA359="","",SUBSTITUTE(SUBSTITUTE(SUBSTITUTE(SUBSTITUTE(SUBSTITUTE(SUBSTITUTE(SUBSTITUTE(SUBSTITUTE(SUBSTITUTE($AA359," ",""),"　",""),"(주)",""),"（주）",""),"㈜",""),"주식회사",""),"(유)",""),"（유）",""),"유한회사",""))</f>
        <v/>
      </c>
      <c r="AC359" s="31">
        <f>IF(OR($Y359="",N($Z359)&lt;=0,$AB359=""),0,IFERROR(LOOKUP(2,1/((거래처별!$AC$8:$AC$307&lt;&gt;"")*ISNUMBER(SEARCH(거래처별!$AC$8:$AC$307,$AB359))),거래처별!$A$8:$A$307),IFERROR(LOOKUP(2,1/((거래처별!$AD$8:$AD$307&lt;&gt;"")*ISNUMBER(SEARCH(거래처별!$AD$8:$AD$307,$AB359))),거래처별!$A$8:$A$307),IFERROR(LOOKUP(2,1/((거래처별!$AE$8:$AE$307&lt;&gt;"")*ISNUMBER(SEARCH(거래처별!$AE$8:$AE$307,$AB359))),거래처별!$A$8:$A$307),0))))</f>
        <v/>
      </c>
      <c r="AD359" s="31">
        <f>IF(AND($Y359&lt;&gt;"",N($Z359)&gt;0,$AC359=0),MAX($AD$7:$AD358)+1,"")</f>
        <v/>
      </c>
      <c r="AE359" s="31">
        <f>IF($Y359="",0,$Y359)</f>
        <v/>
      </c>
    </row>
    <row r="360">
      <c r="W360" s="31">
        <f>IF(OR($B$5="",$C$6="",ROW()&lt;$B$5),"",IF(INDEX($A:$U,ROW(),$C$6)="","",INDEX($A:$U,ROW(),$C$6)))</f>
        <v/>
      </c>
      <c r="X360" s="32">
        <f>IF($W360="","",IF(ISNUMBER($W360),IF($W360&gt;=10000000,IFERROR(DATE(INT($W360/10000),MOD(INT($W360/100),100),MOD($W360,100)),""),INT($W360)),IFERROR(DATE(--LEFT(LEFT(SUBSTITUTE(SUBSTITUTE(SUBSTITUTE(SUBSTITUTE(TRIM($W360),"-",""),".",""),"/","")," ",""),8),4),--MID(LEFT(SUBSTITUTE(SUBSTITUTE(SUBSTITUTE(SUBSTITUTE(TRIM($W360),"-",""),".",""),"/","")," ",""),8),5,2),--MID(LEFT(SUBSTITUTE(SUBSTITUTE(SUBSTITUTE(SUBSTITUTE(TRIM($W360),"-",""),".",""),"/","")," ",""),8),7,2)),"")))</f>
        <v/>
      </c>
      <c r="Y360" s="32">
        <f>IF($X360="","",INT($X360))</f>
        <v/>
      </c>
      <c r="Z360" s="33">
        <f>IF(OR($Y360="",$D$6=""),"",IF(INDEX($A:$U,ROW(),$D$6)="",0,IF(ISNUMBER(INDEX($A:$U,ROW(),$D$6)),INDEX($A:$U,ROW(),$D$6),IFERROR(--SUBSTITUTE(SUBSTITUTE(TRIM(INDEX($A:$U,ROW(),$D$6)),",",""),"원",""),0))))</f>
        <v/>
      </c>
      <c r="AA360" s="31">
        <f>IF($Y360="","",TRIM(INDEX($A:$U,ROW(),$E$6)&amp;IF($F$6="",""," "&amp;INDEX($A:$U,ROW(),$F$6))))</f>
        <v/>
      </c>
      <c r="AB360" s="31">
        <f>IF($AA360="","",SUBSTITUTE(SUBSTITUTE(SUBSTITUTE(SUBSTITUTE(SUBSTITUTE(SUBSTITUTE(SUBSTITUTE(SUBSTITUTE(SUBSTITUTE($AA360," ",""),"　",""),"(주)",""),"（주）",""),"㈜",""),"주식회사",""),"(유)",""),"（유）",""),"유한회사",""))</f>
        <v/>
      </c>
      <c r="AC360" s="31">
        <f>IF(OR($Y360="",N($Z360)&lt;=0,$AB360=""),0,IFERROR(LOOKUP(2,1/((거래처별!$AC$8:$AC$307&lt;&gt;"")*ISNUMBER(SEARCH(거래처별!$AC$8:$AC$307,$AB360))),거래처별!$A$8:$A$307),IFERROR(LOOKUP(2,1/((거래처별!$AD$8:$AD$307&lt;&gt;"")*ISNUMBER(SEARCH(거래처별!$AD$8:$AD$307,$AB360))),거래처별!$A$8:$A$307),IFERROR(LOOKUP(2,1/((거래처별!$AE$8:$AE$307&lt;&gt;"")*ISNUMBER(SEARCH(거래처별!$AE$8:$AE$307,$AB360))),거래처별!$A$8:$A$307),0))))</f>
        <v/>
      </c>
      <c r="AD360" s="31">
        <f>IF(AND($Y360&lt;&gt;"",N($Z360)&gt;0,$AC360=0),MAX($AD$7:$AD359)+1,"")</f>
        <v/>
      </c>
      <c r="AE360" s="31">
        <f>IF($Y360="",0,$Y360)</f>
        <v/>
      </c>
    </row>
    <row r="361">
      <c r="W361" s="31">
        <f>IF(OR($B$5="",$C$6="",ROW()&lt;$B$5),"",IF(INDEX($A:$U,ROW(),$C$6)="","",INDEX($A:$U,ROW(),$C$6)))</f>
        <v/>
      </c>
      <c r="X361" s="32">
        <f>IF($W361="","",IF(ISNUMBER($W361),IF($W361&gt;=10000000,IFERROR(DATE(INT($W361/10000),MOD(INT($W361/100),100),MOD($W361,100)),""),INT($W361)),IFERROR(DATE(--LEFT(LEFT(SUBSTITUTE(SUBSTITUTE(SUBSTITUTE(SUBSTITUTE(TRIM($W361),"-",""),".",""),"/","")," ",""),8),4),--MID(LEFT(SUBSTITUTE(SUBSTITUTE(SUBSTITUTE(SUBSTITUTE(TRIM($W361),"-",""),".",""),"/","")," ",""),8),5,2),--MID(LEFT(SUBSTITUTE(SUBSTITUTE(SUBSTITUTE(SUBSTITUTE(TRIM($W361),"-",""),".",""),"/","")," ",""),8),7,2)),"")))</f>
        <v/>
      </c>
      <c r="Y361" s="32">
        <f>IF($X361="","",INT($X361))</f>
        <v/>
      </c>
      <c r="Z361" s="33">
        <f>IF(OR($Y361="",$D$6=""),"",IF(INDEX($A:$U,ROW(),$D$6)="",0,IF(ISNUMBER(INDEX($A:$U,ROW(),$D$6)),INDEX($A:$U,ROW(),$D$6),IFERROR(--SUBSTITUTE(SUBSTITUTE(TRIM(INDEX($A:$U,ROW(),$D$6)),",",""),"원",""),0))))</f>
        <v/>
      </c>
      <c r="AA361" s="31">
        <f>IF($Y361="","",TRIM(INDEX($A:$U,ROW(),$E$6)&amp;IF($F$6="",""," "&amp;INDEX($A:$U,ROW(),$F$6))))</f>
        <v/>
      </c>
      <c r="AB361" s="31">
        <f>IF($AA361="","",SUBSTITUTE(SUBSTITUTE(SUBSTITUTE(SUBSTITUTE(SUBSTITUTE(SUBSTITUTE(SUBSTITUTE(SUBSTITUTE(SUBSTITUTE($AA361," ",""),"　",""),"(주)",""),"（주）",""),"㈜",""),"주식회사",""),"(유)",""),"（유）",""),"유한회사",""))</f>
        <v/>
      </c>
      <c r="AC361" s="31">
        <f>IF(OR($Y361="",N($Z361)&lt;=0,$AB361=""),0,IFERROR(LOOKUP(2,1/((거래처별!$AC$8:$AC$307&lt;&gt;"")*ISNUMBER(SEARCH(거래처별!$AC$8:$AC$307,$AB361))),거래처별!$A$8:$A$307),IFERROR(LOOKUP(2,1/((거래처별!$AD$8:$AD$307&lt;&gt;"")*ISNUMBER(SEARCH(거래처별!$AD$8:$AD$307,$AB361))),거래처별!$A$8:$A$307),IFERROR(LOOKUP(2,1/((거래처별!$AE$8:$AE$307&lt;&gt;"")*ISNUMBER(SEARCH(거래처별!$AE$8:$AE$307,$AB361))),거래처별!$A$8:$A$307),0))))</f>
        <v/>
      </c>
      <c r="AD361" s="31">
        <f>IF(AND($Y361&lt;&gt;"",N($Z361)&gt;0,$AC361=0),MAX($AD$7:$AD360)+1,"")</f>
        <v/>
      </c>
      <c r="AE361" s="31">
        <f>IF($Y361="",0,$Y361)</f>
        <v/>
      </c>
    </row>
    <row r="362">
      <c r="W362" s="31">
        <f>IF(OR($B$5="",$C$6="",ROW()&lt;$B$5),"",IF(INDEX($A:$U,ROW(),$C$6)="","",INDEX($A:$U,ROW(),$C$6)))</f>
        <v/>
      </c>
      <c r="X362" s="32">
        <f>IF($W362="","",IF(ISNUMBER($W362),IF($W362&gt;=10000000,IFERROR(DATE(INT($W362/10000),MOD(INT($W362/100),100),MOD($W362,100)),""),INT($W362)),IFERROR(DATE(--LEFT(LEFT(SUBSTITUTE(SUBSTITUTE(SUBSTITUTE(SUBSTITUTE(TRIM($W362),"-",""),".",""),"/","")," ",""),8),4),--MID(LEFT(SUBSTITUTE(SUBSTITUTE(SUBSTITUTE(SUBSTITUTE(TRIM($W362),"-",""),".",""),"/","")," ",""),8),5,2),--MID(LEFT(SUBSTITUTE(SUBSTITUTE(SUBSTITUTE(SUBSTITUTE(TRIM($W362),"-",""),".",""),"/","")," ",""),8),7,2)),"")))</f>
        <v/>
      </c>
      <c r="Y362" s="32">
        <f>IF($X362="","",INT($X362))</f>
        <v/>
      </c>
      <c r="Z362" s="33">
        <f>IF(OR($Y362="",$D$6=""),"",IF(INDEX($A:$U,ROW(),$D$6)="",0,IF(ISNUMBER(INDEX($A:$U,ROW(),$D$6)),INDEX($A:$U,ROW(),$D$6),IFERROR(--SUBSTITUTE(SUBSTITUTE(TRIM(INDEX($A:$U,ROW(),$D$6)),",",""),"원",""),0))))</f>
        <v/>
      </c>
      <c r="AA362" s="31">
        <f>IF($Y362="","",TRIM(INDEX($A:$U,ROW(),$E$6)&amp;IF($F$6="",""," "&amp;INDEX($A:$U,ROW(),$F$6))))</f>
        <v/>
      </c>
      <c r="AB362" s="31">
        <f>IF($AA362="","",SUBSTITUTE(SUBSTITUTE(SUBSTITUTE(SUBSTITUTE(SUBSTITUTE(SUBSTITUTE(SUBSTITUTE(SUBSTITUTE(SUBSTITUTE($AA362," ",""),"　",""),"(주)",""),"（주）",""),"㈜",""),"주식회사",""),"(유)",""),"（유）",""),"유한회사",""))</f>
        <v/>
      </c>
      <c r="AC362" s="31">
        <f>IF(OR($Y362="",N($Z362)&lt;=0,$AB362=""),0,IFERROR(LOOKUP(2,1/((거래처별!$AC$8:$AC$307&lt;&gt;"")*ISNUMBER(SEARCH(거래처별!$AC$8:$AC$307,$AB362))),거래처별!$A$8:$A$307),IFERROR(LOOKUP(2,1/((거래처별!$AD$8:$AD$307&lt;&gt;"")*ISNUMBER(SEARCH(거래처별!$AD$8:$AD$307,$AB362))),거래처별!$A$8:$A$307),IFERROR(LOOKUP(2,1/((거래처별!$AE$8:$AE$307&lt;&gt;"")*ISNUMBER(SEARCH(거래처별!$AE$8:$AE$307,$AB362))),거래처별!$A$8:$A$307),0))))</f>
        <v/>
      </c>
      <c r="AD362" s="31">
        <f>IF(AND($Y362&lt;&gt;"",N($Z362)&gt;0,$AC362=0),MAX($AD$7:$AD361)+1,"")</f>
        <v/>
      </c>
      <c r="AE362" s="31">
        <f>IF($Y362="",0,$Y362)</f>
        <v/>
      </c>
    </row>
    <row r="363">
      <c r="W363" s="31">
        <f>IF(OR($B$5="",$C$6="",ROW()&lt;$B$5),"",IF(INDEX($A:$U,ROW(),$C$6)="","",INDEX($A:$U,ROW(),$C$6)))</f>
        <v/>
      </c>
      <c r="X363" s="32">
        <f>IF($W363="","",IF(ISNUMBER($W363),IF($W363&gt;=10000000,IFERROR(DATE(INT($W363/10000),MOD(INT($W363/100),100),MOD($W363,100)),""),INT($W363)),IFERROR(DATE(--LEFT(LEFT(SUBSTITUTE(SUBSTITUTE(SUBSTITUTE(SUBSTITUTE(TRIM($W363),"-",""),".",""),"/","")," ",""),8),4),--MID(LEFT(SUBSTITUTE(SUBSTITUTE(SUBSTITUTE(SUBSTITUTE(TRIM($W363),"-",""),".",""),"/","")," ",""),8),5,2),--MID(LEFT(SUBSTITUTE(SUBSTITUTE(SUBSTITUTE(SUBSTITUTE(TRIM($W363),"-",""),".",""),"/","")," ",""),8),7,2)),"")))</f>
        <v/>
      </c>
      <c r="Y363" s="32">
        <f>IF($X363="","",INT($X363))</f>
        <v/>
      </c>
      <c r="Z363" s="33">
        <f>IF(OR($Y363="",$D$6=""),"",IF(INDEX($A:$U,ROW(),$D$6)="",0,IF(ISNUMBER(INDEX($A:$U,ROW(),$D$6)),INDEX($A:$U,ROW(),$D$6),IFERROR(--SUBSTITUTE(SUBSTITUTE(TRIM(INDEX($A:$U,ROW(),$D$6)),",",""),"원",""),0))))</f>
        <v/>
      </c>
      <c r="AA363" s="31">
        <f>IF($Y363="","",TRIM(INDEX($A:$U,ROW(),$E$6)&amp;IF($F$6="",""," "&amp;INDEX($A:$U,ROW(),$F$6))))</f>
        <v/>
      </c>
      <c r="AB363" s="31">
        <f>IF($AA363="","",SUBSTITUTE(SUBSTITUTE(SUBSTITUTE(SUBSTITUTE(SUBSTITUTE(SUBSTITUTE(SUBSTITUTE(SUBSTITUTE(SUBSTITUTE($AA363," ",""),"　",""),"(주)",""),"（주）",""),"㈜",""),"주식회사",""),"(유)",""),"（유）",""),"유한회사",""))</f>
        <v/>
      </c>
      <c r="AC363" s="31">
        <f>IF(OR($Y363="",N($Z363)&lt;=0,$AB363=""),0,IFERROR(LOOKUP(2,1/((거래처별!$AC$8:$AC$307&lt;&gt;"")*ISNUMBER(SEARCH(거래처별!$AC$8:$AC$307,$AB363))),거래처별!$A$8:$A$307),IFERROR(LOOKUP(2,1/((거래처별!$AD$8:$AD$307&lt;&gt;"")*ISNUMBER(SEARCH(거래처별!$AD$8:$AD$307,$AB363))),거래처별!$A$8:$A$307),IFERROR(LOOKUP(2,1/((거래처별!$AE$8:$AE$307&lt;&gt;"")*ISNUMBER(SEARCH(거래처별!$AE$8:$AE$307,$AB363))),거래처별!$A$8:$A$307),0))))</f>
        <v/>
      </c>
      <c r="AD363" s="31">
        <f>IF(AND($Y363&lt;&gt;"",N($Z363)&gt;0,$AC363=0),MAX($AD$7:$AD362)+1,"")</f>
        <v/>
      </c>
      <c r="AE363" s="31">
        <f>IF($Y363="",0,$Y363)</f>
        <v/>
      </c>
    </row>
    <row r="364">
      <c r="W364" s="31">
        <f>IF(OR($B$5="",$C$6="",ROW()&lt;$B$5),"",IF(INDEX($A:$U,ROW(),$C$6)="","",INDEX($A:$U,ROW(),$C$6)))</f>
        <v/>
      </c>
      <c r="X364" s="32">
        <f>IF($W364="","",IF(ISNUMBER($W364),IF($W364&gt;=10000000,IFERROR(DATE(INT($W364/10000),MOD(INT($W364/100),100),MOD($W364,100)),""),INT($W364)),IFERROR(DATE(--LEFT(LEFT(SUBSTITUTE(SUBSTITUTE(SUBSTITUTE(SUBSTITUTE(TRIM($W364),"-",""),".",""),"/","")," ",""),8),4),--MID(LEFT(SUBSTITUTE(SUBSTITUTE(SUBSTITUTE(SUBSTITUTE(TRIM($W364),"-",""),".",""),"/","")," ",""),8),5,2),--MID(LEFT(SUBSTITUTE(SUBSTITUTE(SUBSTITUTE(SUBSTITUTE(TRIM($W364),"-",""),".",""),"/","")," ",""),8),7,2)),"")))</f>
        <v/>
      </c>
      <c r="Y364" s="32">
        <f>IF($X364="","",INT($X364))</f>
        <v/>
      </c>
      <c r="Z364" s="33">
        <f>IF(OR($Y364="",$D$6=""),"",IF(INDEX($A:$U,ROW(),$D$6)="",0,IF(ISNUMBER(INDEX($A:$U,ROW(),$D$6)),INDEX($A:$U,ROW(),$D$6),IFERROR(--SUBSTITUTE(SUBSTITUTE(TRIM(INDEX($A:$U,ROW(),$D$6)),",",""),"원",""),0))))</f>
        <v/>
      </c>
      <c r="AA364" s="31">
        <f>IF($Y364="","",TRIM(INDEX($A:$U,ROW(),$E$6)&amp;IF($F$6="",""," "&amp;INDEX($A:$U,ROW(),$F$6))))</f>
        <v/>
      </c>
      <c r="AB364" s="31">
        <f>IF($AA364="","",SUBSTITUTE(SUBSTITUTE(SUBSTITUTE(SUBSTITUTE(SUBSTITUTE(SUBSTITUTE(SUBSTITUTE(SUBSTITUTE(SUBSTITUTE($AA364," ",""),"　",""),"(주)",""),"（주）",""),"㈜",""),"주식회사",""),"(유)",""),"（유）",""),"유한회사",""))</f>
        <v/>
      </c>
      <c r="AC364" s="31">
        <f>IF(OR($Y364="",N($Z364)&lt;=0,$AB364=""),0,IFERROR(LOOKUP(2,1/((거래처별!$AC$8:$AC$307&lt;&gt;"")*ISNUMBER(SEARCH(거래처별!$AC$8:$AC$307,$AB364))),거래처별!$A$8:$A$307),IFERROR(LOOKUP(2,1/((거래처별!$AD$8:$AD$307&lt;&gt;"")*ISNUMBER(SEARCH(거래처별!$AD$8:$AD$307,$AB364))),거래처별!$A$8:$A$307),IFERROR(LOOKUP(2,1/((거래처별!$AE$8:$AE$307&lt;&gt;"")*ISNUMBER(SEARCH(거래처별!$AE$8:$AE$307,$AB364))),거래처별!$A$8:$A$307),0))))</f>
        <v/>
      </c>
      <c r="AD364" s="31">
        <f>IF(AND($Y364&lt;&gt;"",N($Z364)&gt;0,$AC364=0),MAX($AD$7:$AD363)+1,"")</f>
        <v/>
      </c>
      <c r="AE364" s="31">
        <f>IF($Y364="",0,$Y364)</f>
        <v/>
      </c>
    </row>
    <row r="365">
      <c r="W365" s="31">
        <f>IF(OR($B$5="",$C$6="",ROW()&lt;$B$5),"",IF(INDEX($A:$U,ROW(),$C$6)="","",INDEX($A:$U,ROW(),$C$6)))</f>
        <v/>
      </c>
      <c r="X365" s="32">
        <f>IF($W365="","",IF(ISNUMBER($W365),IF($W365&gt;=10000000,IFERROR(DATE(INT($W365/10000),MOD(INT($W365/100),100),MOD($W365,100)),""),INT($W365)),IFERROR(DATE(--LEFT(LEFT(SUBSTITUTE(SUBSTITUTE(SUBSTITUTE(SUBSTITUTE(TRIM($W365),"-",""),".",""),"/","")," ",""),8),4),--MID(LEFT(SUBSTITUTE(SUBSTITUTE(SUBSTITUTE(SUBSTITUTE(TRIM($W365),"-",""),".",""),"/","")," ",""),8),5,2),--MID(LEFT(SUBSTITUTE(SUBSTITUTE(SUBSTITUTE(SUBSTITUTE(TRIM($W365),"-",""),".",""),"/","")," ",""),8),7,2)),"")))</f>
        <v/>
      </c>
      <c r="Y365" s="32">
        <f>IF($X365="","",INT($X365))</f>
        <v/>
      </c>
      <c r="Z365" s="33">
        <f>IF(OR($Y365="",$D$6=""),"",IF(INDEX($A:$U,ROW(),$D$6)="",0,IF(ISNUMBER(INDEX($A:$U,ROW(),$D$6)),INDEX($A:$U,ROW(),$D$6),IFERROR(--SUBSTITUTE(SUBSTITUTE(TRIM(INDEX($A:$U,ROW(),$D$6)),",",""),"원",""),0))))</f>
        <v/>
      </c>
      <c r="AA365" s="31">
        <f>IF($Y365="","",TRIM(INDEX($A:$U,ROW(),$E$6)&amp;IF($F$6="",""," "&amp;INDEX($A:$U,ROW(),$F$6))))</f>
        <v/>
      </c>
      <c r="AB365" s="31">
        <f>IF($AA365="","",SUBSTITUTE(SUBSTITUTE(SUBSTITUTE(SUBSTITUTE(SUBSTITUTE(SUBSTITUTE(SUBSTITUTE(SUBSTITUTE(SUBSTITUTE($AA365," ",""),"　",""),"(주)",""),"（주）",""),"㈜",""),"주식회사",""),"(유)",""),"（유）",""),"유한회사",""))</f>
        <v/>
      </c>
      <c r="AC365" s="31">
        <f>IF(OR($Y365="",N($Z365)&lt;=0,$AB365=""),0,IFERROR(LOOKUP(2,1/((거래처별!$AC$8:$AC$307&lt;&gt;"")*ISNUMBER(SEARCH(거래처별!$AC$8:$AC$307,$AB365))),거래처별!$A$8:$A$307),IFERROR(LOOKUP(2,1/((거래처별!$AD$8:$AD$307&lt;&gt;"")*ISNUMBER(SEARCH(거래처별!$AD$8:$AD$307,$AB365))),거래처별!$A$8:$A$307),IFERROR(LOOKUP(2,1/((거래처별!$AE$8:$AE$307&lt;&gt;"")*ISNUMBER(SEARCH(거래처별!$AE$8:$AE$307,$AB365))),거래처별!$A$8:$A$307),0))))</f>
        <v/>
      </c>
      <c r="AD365" s="31">
        <f>IF(AND($Y365&lt;&gt;"",N($Z365)&gt;0,$AC365=0),MAX($AD$7:$AD364)+1,"")</f>
        <v/>
      </c>
      <c r="AE365" s="31">
        <f>IF($Y365="",0,$Y365)</f>
        <v/>
      </c>
    </row>
    <row r="366">
      <c r="W366" s="31">
        <f>IF(OR($B$5="",$C$6="",ROW()&lt;$B$5),"",IF(INDEX($A:$U,ROW(),$C$6)="","",INDEX($A:$U,ROW(),$C$6)))</f>
        <v/>
      </c>
      <c r="X366" s="32">
        <f>IF($W366="","",IF(ISNUMBER($W366),IF($W366&gt;=10000000,IFERROR(DATE(INT($W366/10000),MOD(INT($W366/100),100),MOD($W366,100)),""),INT($W366)),IFERROR(DATE(--LEFT(LEFT(SUBSTITUTE(SUBSTITUTE(SUBSTITUTE(SUBSTITUTE(TRIM($W366),"-",""),".",""),"/","")," ",""),8),4),--MID(LEFT(SUBSTITUTE(SUBSTITUTE(SUBSTITUTE(SUBSTITUTE(TRIM($W366),"-",""),".",""),"/","")," ",""),8),5,2),--MID(LEFT(SUBSTITUTE(SUBSTITUTE(SUBSTITUTE(SUBSTITUTE(TRIM($W366),"-",""),".",""),"/","")," ",""),8),7,2)),"")))</f>
        <v/>
      </c>
      <c r="Y366" s="32">
        <f>IF($X366="","",INT($X366))</f>
        <v/>
      </c>
      <c r="Z366" s="33">
        <f>IF(OR($Y366="",$D$6=""),"",IF(INDEX($A:$U,ROW(),$D$6)="",0,IF(ISNUMBER(INDEX($A:$U,ROW(),$D$6)),INDEX($A:$U,ROW(),$D$6),IFERROR(--SUBSTITUTE(SUBSTITUTE(TRIM(INDEX($A:$U,ROW(),$D$6)),",",""),"원",""),0))))</f>
        <v/>
      </c>
      <c r="AA366" s="31">
        <f>IF($Y366="","",TRIM(INDEX($A:$U,ROW(),$E$6)&amp;IF($F$6="",""," "&amp;INDEX($A:$U,ROW(),$F$6))))</f>
        <v/>
      </c>
      <c r="AB366" s="31">
        <f>IF($AA366="","",SUBSTITUTE(SUBSTITUTE(SUBSTITUTE(SUBSTITUTE(SUBSTITUTE(SUBSTITUTE(SUBSTITUTE(SUBSTITUTE(SUBSTITUTE($AA366," ",""),"　",""),"(주)",""),"（주）",""),"㈜",""),"주식회사",""),"(유)",""),"（유）",""),"유한회사",""))</f>
        <v/>
      </c>
      <c r="AC366" s="31">
        <f>IF(OR($Y366="",N($Z366)&lt;=0,$AB366=""),0,IFERROR(LOOKUP(2,1/((거래처별!$AC$8:$AC$307&lt;&gt;"")*ISNUMBER(SEARCH(거래처별!$AC$8:$AC$307,$AB366))),거래처별!$A$8:$A$307),IFERROR(LOOKUP(2,1/((거래처별!$AD$8:$AD$307&lt;&gt;"")*ISNUMBER(SEARCH(거래처별!$AD$8:$AD$307,$AB366))),거래처별!$A$8:$A$307),IFERROR(LOOKUP(2,1/((거래처별!$AE$8:$AE$307&lt;&gt;"")*ISNUMBER(SEARCH(거래처별!$AE$8:$AE$307,$AB366))),거래처별!$A$8:$A$307),0))))</f>
        <v/>
      </c>
      <c r="AD366" s="31">
        <f>IF(AND($Y366&lt;&gt;"",N($Z366)&gt;0,$AC366=0),MAX($AD$7:$AD365)+1,"")</f>
        <v/>
      </c>
      <c r="AE366" s="31">
        <f>IF($Y366="",0,$Y366)</f>
        <v/>
      </c>
    </row>
    <row r="367">
      <c r="W367" s="31">
        <f>IF(OR($B$5="",$C$6="",ROW()&lt;$B$5),"",IF(INDEX($A:$U,ROW(),$C$6)="","",INDEX($A:$U,ROW(),$C$6)))</f>
        <v/>
      </c>
      <c r="X367" s="32">
        <f>IF($W367="","",IF(ISNUMBER($W367),IF($W367&gt;=10000000,IFERROR(DATE(INT($W367/10000),MOD(INT($W367/100),100),MOD($W367,100)),""),INT($W367)),IFERROR(DATE(--LEFT(LEFT(SUBSTITUTE(SUBSTITUTE(SUBSTITUTE(SUBSTITUTE(TRIM($W367),"-",""),".",""),"/","")," ",""),8),4),--MID(LEFT(SUBSTITUTE(SUBSTITUTE(SUBSTITUTE(SUBSTITUTE(TRIM($W367),"-",""),".",""),"/","")," ",""),8),5,2),--MID(LEFT(SUBSTITUTE(SUBSTITUTE(SUBSTITUTE(SUBSTITUTE(TRIM($W367),"-",""),".",""),"/","")," ",""),8),7,2)),"")))</f>
        <v/>
      </c>
      <c r="Y367" s="32">
        <f>IF($X367="","",INT($X367))</f>
        <v/>
      </c>
      <c r="Z367" s="33">
        <f>IF(OR($Y367="",$D$6=""),"",IF(INDEX($A:$U,ROW(),$D$6)="",0,IF(ISNUMBER(INDEX($A:$U,ROW(),$D$6)),INDEX($A:$U,ROW(),$D$6),IFERROR(--SUBSTITUTE(SUBSTITUTE(TRIM(INDEX($A:$U,ROW(),$D$6)),",",""),"원",""),0))))</f>
        <v/>
      </c>
      <c r="AA367" s="31">
        <f>IF($Y367="","",TRIM(INDEX($A:$U,ROW(),$E$6)&amp;IF($F$6="",""," "&amp;INDEX($A:$U,ROW(),$F$6))))</f>
        <v/>
      </c>
      <c r="AB367" s="31">
        <f>IF($AA367="","",SUBSTITUTE(SUBSTITUTE(SUBSTITUTE(SUBSTITUTE(SUBSTITUTE(SUBSTITUTE(SUBSTITUTE(SUBSTITUTE(SUBSTITUTE($AA367," ",""),"　",""),"(주)",""),"（주）",""),"㈜",""),"주식회사",""),"(유)",""),"（유）",""),"유한회사",""))</f>
        <v/>
      </c>
      <c r="AC367" s="31">
        <f>IF(OR($Y367="",N($Z367)&lt;=0,$AB367=""),0,IFERROR(LOOKUP(2,1/((거래처별!$AC$8:$AC$307&lt;&gt;"")*ISNUMBER(SEARCH(거래처별!$AC$8:$AC$307,$AB367))),거래처별!$A$8:$A$307),IFERROR(LOOKUP(2,1/((거래처별!$AD$8:$AD$307&lt;&gt;"")*ISNUMBER(SEARCH(거래처별!$AD$8:$AD$307,$AB367))),거래처별!$A$8:$A$307),IFERROR(LOOKUP(2,1/((거래처별!$AE$8:$AE$307&lt;&gt;"")*ISNUMBER(SEARCH(거래처별!$AE$8:$AE$307,$AB367))),거래처별!$A$8:$A$307),0))))</f>
        <v/>
      </c>
      <c r="AD367" s="31">
        <f>IF(AND($Y367&lt;&gt;"",N($Z367)&gt;0,$AC367=0),MAX($AD$7:$AD366)+1,"")</f>
        <v/>
      </c>
      <c r="AE367" s="31">
        <f>IF($Y367="",0,$Y367)</f>
        <v/>
      </c>
    </row>
    <row r="368">
      <c r="W368" s="31">
        <f>IF(OR($B$5="",$C$6="",ROW()&lt;$B$5),"",IF(INDEX($A:$U,ROW(),$C$6)="","",INDEX($A:$U,ROW(),$C$6)))</f>
        <v/>
      </c>
      <c r="X368" s="32">
        <f>IF($W368="","",IF(ISNUMBER($W368),IF($W368&gt;=10000000,IFERROR(DATE(INT($W368/10000),MOD(INT($W368/100),100),MOD($W368,100)),""),INT($W368)),IFERROR(DATE(--LEFT(LEFT(SUBSTITUTE(SUBSTITUTE(SUBSTITUTE(SUBSTITUTE(TRIM($W368),"-",""),".",""),"/","")," ",""),8),4),--MID(LEFT(SUBSTITUTE(SUBSTITUTE(SUBSTITUTE(SUBSTITUTE(TRIM($W368),"-",""),".",""),"/","")," ",""),8),5,2),--MID(LEFT(SUBSTITUTE(SUBSTITUTE(SUBSTITUTE(SUBSTITUTE(TRIM($W368),"-",""),".",""),"/","")," ",""),8),7,2)),"")))</f>
        <v/>
      </c>
      <c r="Y368" s="32">
        <f>IF($X368="","",INT($X368))</f>
        <v/>
      </c>
      <c r="Z368" s="33">
        <f>IF(OR($Y368="",$D$6=""),"",IF(INDEX($A:$U,ROW(),$D$6)="",0,IF(ISNUMBER(INDEX($A:$U,ROW(),$D$6)),INDEX($A:$U,ROW(),$D$6),IFERROR(--SUBSTITUTE(SUBSTITUTE(TRIM(INDEX($A:$U,ROW(),$D$6)),",",""),"원",""),0))))</f>
        <v/>
      </c>
      <c r="AA368" s="31">
        <f>IF($Y368="","",TRIM(INDEX($A:$U,ROW(),$E$6)&amp;IF($F$6="",""," "&amp;INDEX($A:$U,ROW(),$F$6))))</f>
        <v/>
      </c>
      <c r="AB368" s="31">
        <f>IF($AA368="","",SUBSTITUTE(SUBSTITUTE(SUBSTITUTE(SUBSTITUTE(SUBSTITUTE(SUBSTITUTE(SUBSTITUTE(SUBSTITUTE(SUBSTITUTE($AA368," ",""),"　",""),"(주)",""),"（주）",""),"㈜",""),"주식회사",""),"(유)",""),"（유）",""),"유한회사",""))</f>
        <v/>
      </c>
      <c r="AC368" s="31">
        <f>IF(OR($Y368="",N($Z368)&lt;=0,$AB368=""),0,IFERROR(LOOKUP(2,1/((거래처별!$AC$8:$AC$307&lt;&gt;"")*ISNUMBER(SEARCH(거래처별!$AC$8:$AC$307,$AB368))),거래처별!$A$8:$A$307),IFERROR(LOOKUP(2,1/((거래처별!$AD$8:$AD$307&lt;&gt;"")*ISNUMBER(SEARCH(거래처별!$AD$8:$AD$307,$AB368))),거래처별!$A$8:$A$307),IFERROR(LOOKUP(2,1/((거래처별!$AE$8:$AE$307&lt;&gt;"")*ISNUMBER(SEARCH(거래처별!$AE$8:$AE$307,$AB368))),거래처별!$A$8:$A$307),0))))</f>
        <v/>
      </c>
      <c r="AD368" s="31">
        <f>IF(AND($Y368&lt;&gt;"",N($Z368)&gt;0,$AC368=0),MAX($AD$7:$AD367)+1,"")</f>
        <v/>
      </c>
      <c r="AE368" s="31">
        <f>IF($Y368="",0,$Y368)</f>
        <v/>
      </c>
    </row>
    <row r="369">
      <c r="W369" s="31">
        <f>IF(OR($B$5="",$C$6="",ROW()&lt;$B$5),"",IF(INDEX($A:$U,ROW(),$C$6)="","",INDEX($A:$U,ROW(),$C$6)))</f>
        <v/>
      </c>
      <c r="X369" s="32">
        <f>IF($W369="","",IF(ISNUMBER($W369),IF($W369&gt;=10000000,IFERROR(DATE(INT($W369/10000),MOD(INT($W369/100),100),MOD($W369,100)),""),INT($W369)),IFERROR(DATE(--LEFT(LEFT(SUBSTITUTE(SUBSTITUTE(SUBSTITUTE(SUBSTITUTE(TRIM($W369),"-",""),".",""),"/","")," ",""),8),4),--MID(LEFT(SUBSTITUTE(SUBSTITUTE(SUBSTITUTE(SUBSTITUTE(TRIM($W369),"-",""),".",""),"/","")," ",""),8),5,2),--MID(LEFT(SUBSTITUTE(SUBSTITUTE(SUBSTITUTE(SUBSTITUTE(TRIM($W369),"-",""),".",""),"/","")," ",""),8),7,2)),"")))</f>
        <v/>
      </c>
      <c r="Y369" s="32">
        <f>IF($X369="","",INT($X369))</f>
        <v/>
      </c>
      <c r="Z369" s="33">
        <f>IF(OR($Y369="",$D$6=""),"",IF(INDEX($A:$U,ROW(),$D$6)="",0,IF(ISNUMBER(INDEX($A:$U,ROW(),$D$6)),INDEX($A:$U,ROW(),$D$6),IFERROR(--SUBSTITUTE(SUBSTITUTE(TRIM(INDEX($A:$U,ROW(),$D$6)),",",""),"원",""),0))))</f>
        <v/>
      </c>
      <c r="AA369" s="31">
        <f>IF($Y369="","",TRIM(INDEX($A:$U,ROW(),$E$6)&amp;IF($F$6="",""," "&amp;INDEX($A:$U,ROW(),$F$6))))</f>
        <v/>
      </c>
      <c r="AB369" s="31">
        <f>IF($AA369="","",SUBSTITUTE(SUBSTITUTE(SUBSTITUTE(SUBSTITUTE(SUBSTITUTE(SUBSTITUTE(SUBSTITUTE(SUBSTITUTE(SUBSTITUTE($AA369," ",""),"　",""),"(주)",""),"（주）",""),"㈜",""),"주식회사",""),"(유)",""),"（유）",""),"유한회사",""))</f>
        <v/>
      </c>
      <c r="AC369" s="31">
        <f>IF(OR($Y369="",N($Z369)&lt;=0,$AB369=""),0,IFERROR(LOOKUP(2,1/((거래처별!$AC$8:$AC$307&lt;&gt;"")*ISNUMBER(SEARCH(거래처별!$AC$8:$AC$307,$AB369))),거래처별!$A$8:$A$307),IFERROR(LOOKUP(2,1/((거래처별!$AD$8:$AD$307&lt;&gt;"")*ISNUMBER(SEARCH(거래처별!$AD$8:$AD$307,$AB369))),거래처별!$A$8:$A$307),IFERROR(LOOKUP(2,1/((거래처별!$AE$8:$AE$307&lt;&gt;"")*ISNUMBER(SEARCH(거래처별!$AE$8:$AE$307,$AB369))),거래처별!$A$8:$A$307),0))))</f>
        <v/>
      </c>
      <c r="AD369" s="31">
        <f>IF(AND($Y369&lt;&gt;"",N($Z369)&gt;0,$AC369=0),MAX($AD$7:$AD368)+1,"")</f>
        <v/>
      </c>
      <c r="AE369" s="31">
        <f>IF($Y369="",0,$Y369)</f>
        <v/>
      </c>
    </row>
    <row r="370">
      <c r="W370" s="31">
        <f>IF(OR($B$5="",$C$6="",ROW()&lt;$B$5),"",IF(INDEX($A:$U,ROW(),$C$6)="","",INDEX($A:$U,ROW(),$C$6)))</f>
        <v/>
      </c>
      <c r="X370" s="32">
        <f>IF($W370="","",IF(ISNUMBER($W370),IF($W370&gt;=10000000,IFERROR(DATE(INT($W370/10000),MOD(INT($W370/100),100),MOD($W370,100)),""),INT($W370)),IFERROR(DATE(--LEFT(LEFT(SUBSTITUTE(SUBSTITUTE(SUBSTITUTE(SUBSTITUTE(TRIM($W370),"-",""),".",""),"/","")," ",""),8),4),--MID(LEFT(SUBSTITUTE(SUBSTITUTE(SUBSTITUTE(SUBSTITUTE(TRIM($W370),"-",""),".",""),"/","")," ",""),8),5,2),--MID(LEFT(SUBSTITUTE(SUBSTITUTE(SUBSTITUTE(SUBSTITUTE(TRIM($W370),"-",""),".",""),"/","")," ",""),8),7,2)),"")))</f>
        <v/>
      </c>
      <c r="Y370" s="32">
        <f>IF($X370="","",INT($X370))</f>
        <v/>
      </c>
      <c r="Z370" s="33">
        <f>IF(OR($Y370="",$D$6=""),"",IF(INDEX($A:$U,ROW(),$D$6)="",0,IF(ISNUMBER(INDEX($A:$U,ROW(),$D$6)),INDEX($A:$U,ROW(),$D$6),IFERROR(--SUBSTITUTE(SUBSTITUTE(TRIM(INDEX($A:$U,ROW(),$D$6)),",",""),"원",""),0))))</f>
        <v/>
      </c>
      <c r="AA370" s="31">
        <f>IF($Y370="","",TRIM(INDEX($A:$U,ROW(),$E$6)&amp;IF($F$6="",""," "&amp;INDEX($A:$U,ROW(),$F$6))))</f>
        <v/>
      </c>
      <c r="AB370" s="31">
        <f>IF($AA370="","",SUBSTITUTE(SUBSTITUTE(SUBSTITUTE(SUBSTITUTE(SUBSTITUTE(SUBSTITUTE(SUBSTITUTE(SUBSTITUTE(SUBSTITUTE($AA370," ",""),"　",""),"(주)",""),"（주）",""),"㈜",""),"주식회사",""),"(유)",""),"（유）",""),"유한회사",""))</f>
        <v/>
      </c>
      <c r="AC370" s="31">
        <f>IF(OR($Y370="",N($Z370)&lt;=0,$AB370=""),0,IFERROR(LOOKUP(2,1/((거래처별!$AC$8:$AC$307&lt;&gt;"")*ISNUMBER(SEARCH(거래처별!$AC$8:$AC$307,$AB370))),거래처별!$A$8:$A$307),IFERROR(LOOKUP(2,1/((거래처별!$AD$8:$AD$307&lt;&gt;"")*ISNUMBER(SEARCH(거래처별!$AD$8:$AD$307,$AB370))),거래처별!$A$8:$A$307),IFERROR(LOOKUP(2,1/((거래처별!$AE$8:$AE$307&lt;&gt;"")*ISNUMBER(SEARCH(거래처별!$AE$8:$AE$307,$AB370))),거래처별!$A$8:$A$307),0))))</f>
        <v/>
      </c>
      <c r="AD370" s="31">
        <f>IF(AND($Y370&lt;&gt;"",N($Z370)&gt;0,$AC370=0),MAX($AD$7:$AD369)+1,"")</f>
        <v/>
      </c>
      <c r="AE370" s="31">
        <f>IF($Y370="",0,$Y370)</f>
        <v/>
      </c>
    </row>
    <row r="371">
      <c r="W371" s="31">
        <f>IF(OR($B$5="",$C$6="",ROW()&lt;$B$5),"",IF(INDEX($A:$U,ROW(),$C$6)="","",INDEX($A:$U,ROW(),$C$6)))</f>
        <v/>
      </c>
      <c r="X371" s="32">
        <f>IF($W371="","",IF(ISNUMBER($W371),IF($W371&gt;=10000000,IFERROR(DATE(INT($W371/10000),MOD(INT($W371/100),100),MOD($W371,100)),""),INT($W371)),IFERROR(DATE(--LEFT(LEFT(SUBSTITUTE(SUBSTITUTE(SUBSTITUTE(SUBSTITUTE(TRIM($W371),"-",""),".",""),"/","")," ",""),8),4),--MID(LEFT(SUBSTITUTE(SUBSTITUTE(SUBSTITUTE(SUBSTITUTE(TRIM($W371),"-",""),".",""),"/","")," ",""),8),5,2),--MID(LEFT(SUBSTITUTE(SUBSTITUTE(SUBSTITUTE(SUBSTITUTE(TRIM($W371),"-",""),".",""),"/","")," ",""),8),7,2)),"")))</f>
        <v/>
      </c>
      <c r="Y371" s="32">
        <f>IF($X371="","",INT($X371))</f>
        <v/>
      </c>
      <c r="Z371" s="33">
        <f>IF(OR($Y371="",$D$6=""),"",IF(INDEX($A:$U,ROW(),$D$6)="",0,IF(ISNUMBER(INDEX($A:$U,ROW(),$D$6)),INDEX($A:$U,ROW(),$D$6),IFERROR(--SUBSTITUTE(SUBSTITUTE(TRIM(INDEX($A:$U,ROW(),$D$6)),",",""),"원",""),0))))</f>
        <v/>
      </c>
      <c r="AA371" s="31">
        <f>IF($Y371="","",TRIM(INDEX($A:$U,ROW(),$E$6)&amp;IF($F$6="",""," "&amp;INDEX($A:$U,ROW(),$F$6))))</f>
        <v/>
      </c>
      <c r="AB371" s="31">
        <f>IF($AA371="","",SUBSTITUTE(SUBSTITUTE(SUBSTITUTE(SUBSTITUTE(SUBSTITUTE(SUBSTITUTE(SUBSTITUTE(SUBSTITUTE(SUBSTITUTE($AA371," ",""),"　",""),"(주)",""),"（주）",""),"㈜",""),"주식회사",""),"(유)",""),"（유）",""),"유한회사",""))</f>
        <v/>
      </c>
      <c r="AC371" s="31">
        <f>IF(OR($Y371="",N($Z371)&lt;=0,$AB371=""),0,IFERROR(LOOKUP(2,1/((거래처별!$AC$8:$AC$307&lt;&gt;"")*ISNUMBER(SEARCH(거래처별!$AC$8:$AC$307,$AB371))),거래처별!$A$8:$A$307),IFERROR(LOOKUP(2,1/((거래처별!$AD$8:$AD$307&lt;&gt;"")*ISNUMBER(SEARCH(거래처별!$AD$8:$AD$307,$AB371))),거래처별!$A$8:$A$307),IFERROR(LOOKUP(2,1/((거래처별!$AE$8:$AE$307&lt;&gt;"")*ISNUMBER(SEARCH(거래처별!$AE$8:$AE$307,$AB371))),거래처별!$A$8:$A$307),0))))</f>
        <v/>
      </c>
      <c r="AD371" s="31">
        <f>IF(AND($Y371&lt;&gt;"",N($Z371)&gt;0,$AC371=0),MAX($AD$7:$AD370)+1,"")</f>
        <v/>
      </c>
      <c r="AE371" s="31">
        <f>IF($Y371="",0,$Y371)</f>
        <v/>
      </c>
    </row>
    <row r="372">
      <c r="W372" s="31">
        <f>IF(OR($B$5="",$C$6="",ROW()&lt;$B$5),"",IF(INDEX($A:$U,ROW(),$C$6)="","",INDEX($A:$U,ROW(),$C$6)))</f>
        <v/>
      </c>
      <c r="X372" s="32">
        <f>IF($W372="","",IF(ISNUMBER($W372),IF($W372&gt;=10000000,IFERROR(DATE(INT($W372/10000),MOD(INT($W372/100),100),MOD($W372,100)),""),INT($W372)),IFERROR(DATE(--LEFT(LEFT(SUBSTITUTE(SUBSTITUTE(SUBSTITUTE(SUBSTITUTE(TRIM($W372),"-",""),".",""),"/","")," ",""),8),4),--MID(LEFT(SUBSTITUTE(SUBSTITUTE(SUBSTITUTE(SUBSTITUTE(TRIM($W372),"-",""),".",""),"/","")," ",""),8),5,2),--MID(LEFT(SUBSTITUTE(SUBSTITUTE(SUBSTITUTE(SUBSTITUTE(TRIM($W372),"-",""),".",""),"/","")," ",""),8),7,2)),"")))</f>
        <v/>
      </c>
      <c r="Y372" s="32">
        <f>IF($X372="","",INT($X372))</f>
        <v/>
      </c>
      <c r="Z372" s="33">
        <f>IF(OR($Y372="",$D$6=""),"",IF(INDEX($A:$U,ROW(),$D$6)="",0,IF(ISNUMBER(INDEX($A:$U,ROW(),$D$6)),INDEX($A:$U,ROW(),$D$6),IFERROR(--SUBSTITUTE(SUBSTITUTE(TRIM(INDEX($A:$U,ROW(),$D$6)),",",""),"원",""),0))))</f>
        <v/>
      </c>
      <c r="AA372" s="31">
        <f>IF($Y372="","",TRIM(INDEX($A:$U,ROW(),$E$6)&amp;IF($F$6="",""," "&amp;INDEX($A:$U,ROW(),$F$6))))</f>
        <v/>
      </c>
      <c r="AB372" s="31">
        <f>IF($AA372="","",SUBSTITUTE(SUBSTITUTE(SUBSTITUTE(SUBSTITUTE(SUBSTITUTE(SUBSTITUTE(SUBSTITUTE(SUBSTITUTE(SUBSTITUTE($AA372," ",""),"　",""),"(주)",""),"（주）",""),"㈜",""),"주식회사",""),"(유)",""),"（유）",""),"유한회사",""))</f>
        <v/>
      </c>
      <c r="AC372" s="31">
        <f>IF(OR($Y372="",N($Z372)&lt;=0,$AB372=""),0,IFERROR(LOOKUP(2,1/((거래처별!$AC$8:$AC$307&lt;&gt;"")*ISNUMBER(SEARCH(거래처별!$AC$8:$AC$307,$AB372))),거래처별!$A$8:$A$307),IFERROR(LOOKUP(2,1/((거래처별!$AD$8:$AD$307&lt;&gt;"")*ISNUMBER(SEARCH(거래처별!$AD$8:$AD$307,$AB372))),거래처별!$A$8:$A$307),IFERROR(LOOKUP(2,1/((거래처별!$AE$8:$AE$307&lt;&gt;"")*ISNUMBER(SEARCH(거래처별!$AE$8:$AE$307,$AB372))),거래처별!$A$8:$A$307),0))))</f>
        <v/>
      </c>
      <c r="AD372" s="31">
        <f>IF(AND($Y372&lt;&gt;"",N($Z372)&gt;0,$AC372=0),MAX($AD$7:$AD371)+1,"")</f>
        <v/>
      </c>
      <c r="AE372" s="31">
        <f>IF($Y372="",0,$Y372)</f>
        <v/>
      </c>
    </row>
    <row r="373">
      <c r="W373" s="31">
        <f>IF(OR($B$5="",$C$6="",ROW()&lt;$B$5),"",IF(INDEX($A:$U,ROW(),$C$6)="","",INDEX($A:$U,ROW(),$C$6)))</f>
        <v/>
      </c>
      <c r="X373" s="32">
        <f>IF($W373="","",IF(ISNUMBER($W373),IF($W373&gt;=10000000,IFERROR(DATE(INT($W373/10000),MOD(INT($W373/100),100),MOD($W373,100)),""),INT($W373)),IFERROR(DATE(--LEFT(LEFT(SUBSTITUTE(SUBSTITUTE(SUBSTITUTE(SUBSTITUTE(TRIM($W373),"-",""),".",""),"/","")," ",""),8),4),--MID(LEFT(SUBSTITUTE(SUBSTITUTE(SUBSTITUTE(SUBSTITUTE(TRIM($W373),"-",""),".",""),"/","")," ",""),8),5,2),--MID(LEFT(SUBSTITUTE(SUBSTITUTE(SUBSTITUTE(SUBSTITUTE(TRIM($W373),"-",""),".",""),"/","")," ",""),8),7,2)),"")))</f>
        <v/>
      </c>
      <c r="Y373" s="32">
        <f>IF($X373="","",INT($X373))</f>
        <v/>
      </c>
      <c r="Z373" s="33">
        <f>IF(OR($Y373="",$D$6=""),"",IF(INDEX($A:$U,ROW(),$D$6)="",0,IF(ISNUMBER(INDEX($A:$U,ROW(),$D$6)),INDEX($A:$U,ROW(),$D$6),IFERROR(--SUBSTITUTE(SUBSTITUTE(TRIM(INDEX($A:$U,ROW(),$D$6)),",",""),"원",""),0))))</f>
        <v/>
      </c>
      <c r="AA373" s="31">
        <f>IF($Y373="","",TRIM(INDEX($A:$U,ROW(),$E$6)&amp;IF($F$6="",""," "&amp;INDEX($A:$U,ROW(),$F$6))))</f>
        <v/>
      </c>
      <c r="AB373" s="31">
        <f>IF($AA373="","",SUBSTITUTE(SUBSTITUTE(SUBSTITUTE(SUBSTITUTE(SUBSTITUTE(SUBSTITUTE(SUBSTITUTE(SUBSTITUTE(SUBSTITUTE($AA373," ",""),"　",""),"(주)",""),"（주）",""),"㈜",""),"주식회사",""),"(유)",""),"（유）",""),"유한회사",""))</f>
        <v/>
      </c>
      <c r="AC373" s="31">
        <f>IF(OR($Y373="",N($Z373)&lt;=0,$AB373=""),0,IFERROR(LOOKUP(2,1/((거래처별!$AC$8:$AC$307&lt;&gt;"")*ISNUMBER(SEARCH(거래처별!$AC$8:$AC$307,$AB373))),거래처별!$A$8:$A$307),IFERROR(LOOKUP(2,1/((거래처별!$AD$8:$AD$307&lt;&gt;"")*ISNUMBER(SEARCH(거래처별!$AD$8:$AD$307,$AB373))),거래처별!$A$8:$A$307),IFERROR(LOOKUP(2,1/((거래처별!$AE$8:$AE$307&lt;&gt;"")*ISNUMBER(SEARCH(거래처별!$AE$8:$AE$307,$AB373))),거래처별!$A$8:$A$307),0))))</f>
        <v/>
      </c>
      <c r="AD373" s="31">
        <f>IF(AND($Y373&lt;&gt;"",N($Z373)&gt;0,$AC373=0),MAX($AD$7:$AD372)+1,"")</f>
        <v/>
      </c>
      <c r="AE373" s="31">
        <f>IF($Y373="",0,$Y373)</f>
        <v/>
      </c>
    </row>
    <row r="374">
      <c r="W374" s="31">
        <f>IF(OR($B$5="",$C$6="",ROW()&lt;$B$5),"",IF(INDEX($A:$U,ROW(),$C$6)="","",INDEX($A:$U,ROW(),$C$6)))</f>
        <v/>
      </c>
      <c r="X374" s="32">
        <f>IF($W374="","",IF(ISNUMBER($W374),IF($W374&gt;=10000000,IFERROR(DATE(INT($W374/10000),MOD(INT($W374/100),100),MOD($W374,100)),""),INT($W374)),IFERROR(DATE(--LEFT(LEFT(SUBSTITUTE(SUBSTITUTE(SUBSTITUTE(SUBSTITUTE(TRIM($W374),"-",""),".",""),"/","")," ",""),8),4),--MID(LEFT(SUBSTITUTE(SUBSTITUTE(SUBSTITUTE(SUBSTITUTE(TRIM($W374),"-",""),".",""),"/","")," ",""),8),5,2),--MID(LEFT(SUBSTITUTE(SUBSTITUTE(SUBSTITUTE(SUBSTITUTE(TRIM($W374),"-",""),".",""),"/","")," ",""),8),7,2)),"")))</f>
        <v/>
      </c>
      <c r="Y374" s="32">
        <f>IF($X374="","",INT($X374))</f>
        <v/>
      </c>
      <c r="Z374" s="33">
        <f>IF(OR($Y374="",$D$6=""),"",IF(INDEX($A:$U,ROW(),$D$6)="",0,IF(ISNUMBER(INDEX($A:$U,ROW(),$D$6)),INDEX($A:$U,ROW(),$D$6),IFERROR(--SUBSTITUTE(SUBSTITUTE(TRIM(INDEX($A:$U,ROW(),$D$6)),",",""),"원",""),0))))</f>
        <v/>
      </c>
      <c r="AA374" s="31">
        <f>IF($Y374="","",TRIM(INDEX($A:$U,ROW(),$E$6)&amp;IF($F$6="",""," "&amp;INDEX($A:$U,ROW(),$F$6))))</f>
        <v/>
      </c>
      <c r="AB374" s="31">
        <f>IF($AA374="","",SUBSTITUTE(SUBSTITUTE(SUBSTITUTE(SUBSTITUTE(SUBSTITUTE(SUBSTITUTE(SUBSTITUTE(SUBSTITUTE(SUBSTITUTE($AA374," ",""),"　",""),"(주)",""),"（주）",""),"㈜",""),"주식회사",""),"(유)",""),"（유）",""),"유한회사",""))</f>
        <v/>
      </c>
      <c r="AC374" s="31">
        <f>IF(OR($Y374="",N($Z374)&lt;=0,$AB374=""),0,IFERROR(LOOKUP(2,1/((거래처별!$AC$8:$AC$307&lt;&gt;"")*ISNUMBER(SEARCH(거래처별!$AC$8:$AC$307,$AB374))),거래처별!$A$8:$A$307),IFERROR(LOOKUP(2,1/((거래처별!$AD$8:$AD$307&lt;&gt;"")*ISNUMBER(SEARCH(거래처별!$AD$8:$AD$307,$AB374))),거래처별!$A$8:$A$307),IFERROR(LOOKUP(2,1/((거래처별!$AE$8:$AE$307&lt;&gt;"")*ISNUMBER(SEARCH(거래처별!$AE$8:$AE$307,$AB374))),거래처별!$A$8:$A$307),0))))</f>
        <v/>
      </c>
      <c r="AD374" s="31">
        <f>IF(AND($Y374&lt;&gt;"",N($Z374)&gt;0,$AC374=0),MAX($AD$7:$AD373)+1,"")</f>
        <v/>
      </c>
      <c r="AE374" s="31">
        <f>IF($Y374="",0,$Y374)</f>
        <v/>
      </c>
    </row>
    <row r="375">
      <c r="W375" s="31">
        <f>IF(OR($B$5="",$C$6="",ROW()&lt;$B$5),"",IF(INDEX($A:$U,ROW(),$C$6)="","",INDEX($A:$U,ROW(),$C$6)))</f>
        <v/>
      </c>
      <c r="X375" s="32">
        <f>IF($W375="","",IF(ISNUMBER($W375),IF($W375&gt;=10000000,IFERROR(DATE(INT($W375/10000),MOD(INT($W375/100),100),MOD($W375,100)),""),INT($W375)),IFERROR(DATE(--LEFT(LEFT(SUBSTITUTE(SUBSTITUTE(SUBSTITUTE(SUBSTITUTE(TRIM($W375),"-",""),".",""),"/","")," ",""),8),4),--MID(LEFT(SUBSTITUTE(SUBSTITUTE(SUBSTITUTE(SUBSTITUTE(TRIM($W375),"-",""),".",""),"/","")," ",""),8),5,2),--MID(LEFT(SUBSTITUTE(SUBSTITUTE(SUBSTITUTE(SUBSTITUTE(TRIM($W375),"-",""),".",""),"/","")," ",""),8),7,2)),"")))</f>
        <v/>
      </c>
      <c r="Y375" s="32">
        <f>IF($X375="","",INT($X375))</f>
        <v/>
      </c>
      <c r="Z375" s="33">
        <f>IF(OR($Y375="",$D$6=""),"",IF(INDEX($A:$U,ROW(),$D$6)="",0,IF(ISNUMBER(INDEX($A:$U,ROW(),$D$6)),INDEX($A:$U,ROW(),$D$6),IFERROR(--SUBSTITUTE(SUBSTITUTE(TRIM(INDEX($A:$U,ROW(),$D$6)),",",""),"원",""),0))))</f>
        <v/>
      </c>
      <c r="AA375" s="31">
        <f>IF($Y375="","",TRIM(INDEX($A:$U,ROW(),$E$6)&amp;IF($F$6="",""," "&amp;INDEX($A:$U,ROW(),$F$6))))</f>
        <v/>
      </c>
      <c r="AB375" s="31">
        <f>IF($AA375="","",SUBSTITUTE(SUBSTITUTE(SUBSTITUTE(SUBSTITUTE(SUBSTITUTE(SUBSTITUTE(SUBSTITUTE(SUBSTITUTE(SUBSTITUTE($AA375," ",""),"　",""),"(주)",""),"（주）",""),"㈜",""),"주식회사",""),"(유)",""),"（유）",""),"유한회사",""))</f>
        <v/>
      </c>
      <c r="AC375" s="31">
        <f>IF(OR($Y375="",N($Z375)&lt;=0,$AB375=""),0,IFERROR(LOOKUP(2,1/((거래처별!$AC$8:$AC$307&lt;&gt;"")*ISNUMBER(SEARCH(거래처별!$AC$8:$AC$307,$AB375))),거래처별!$A$8:$A$307),IFERROR(LOOKUP(2,1/((거래처별!$AD$8:$AD$307&lt;&gt;"")*ISNUMBER(SEARCH(거래처별!$AD$8:$AD$307,$AB375))),거래처별!$A$8:$A$307),IFERROR(LOOKUP(2,1/((거래처별!$AE$8:$AE$307&lt;&gt;"")*ISNUMBER(SEARCH(거래처별!$AE$8:$AE$307,$AB375))),거래처별!$A$8:$A$307),0))))</f>
        <v/>
      </c>
      <c r="AD375" s="31">
        <f>IF(AND($Y375&lt;&gt;"",N($Z375)&gt;0,$AC375=0),MAX($AD$7:$AD374)+1,"")</f>
        <v/>
      </c>
      <c r="AE375" s="31">
        <f>IF($Y375="",0,$Y375)</f>
        <v/>
      </c>
    </row>
    <row r="376">
      <c r="W376" s="31">
        <f>IF(OR($B$5="",$C$6="",ROW()&lt;$B$5),"",IF(INDEX($A:$U,ROW(),$C$6)="","",INDEX($A:$U,ROW(),$C$6)))</f>
        <v/>
      </c>
      <c r="X376" s="32">
        <f>IF($W376="","",IF(ISNUMBER($W376),IF($W376&gt;=10000000,IFERROR(DATE(INT($W376/10000),MOD(INT($W376/100),100),MOD($W376,100)),""),INT($W376)),IFERROR(DATE(--LEFT(LEFT(SUBSTITUTE(SUBSTITUTE(SUBSTITUTE(SUBSTITUTE(TRIM($W376),"-",""),".",""),"/","")," ",""),8),4),--MID(LEFT(SUBSTITUTE(SUBSTITUTE(SUBSTITUTE(SUBSTITUTE(TRIM($W376),"-",""),".",""),"/","")," ",""),8),5,2),--MID(LEFT(SUBSTITUTE(SUBSTITUTE(SUBSTITUTE(SUBSTITUTE(TRIM($W376),"-",""),".",""),"/","")," ",""),8),7,2)),"")))</f>
        <v/>
      </c>
      <c r="Y376" s="32">
        <f>IF($X376="","",INT($X376))</f>
        <v/>
      </c>
      <c r="Z376" s="33">
        <f>IF(OR($Y376="",$D$6=""),"",IF(INDEX($A:$U,ROW(),$D$6)="",0,IF(ISNUMBER(INDEX($A:$U,ROW(),$D$6)),INDEX($A:$U,ROW(),$D$6),IFERROR(--SUBSTITUTE(SUBSTITUTE(TRIM(INDEX($A:$U,ROW(),$D$6)),",",""),"원",""),0))))</f>
        <v/>
      </c>
      <c r="AA376" s="31">
        <f>IF($Y376="","",TRIM(INDEX($A:$U,ROW(),$E$6)&amp;IF($F$6="",""," "&amp;INDEX($A:$U,ROW(),$F$6))))</f>
        <v/>
      </c>
      <c r="AB376" s="31">
        <f>IF($AA376="","",SUBSTITUTE(SUBSTITUTE(SUBSTITUTE(SUBSTITUTE(SUBSTITUTE(SUBSTITUTE(SUBSTITUTE(SUBSTITUTE(SUBSTITUTE($AA376," ",""),"　",""),"(주)",""),"（주）",""),"㈜",""),"주식회사",""),"(유)",""),"（유）",""),"유한회사",""))</f>
        <v/>
      </c>
      <c r="AC376" s="31">
        <f>IF(OR($Y376="",N($Z376)&lt;=0,$AB376=""),0,IFERROR(LOOKUP(2,1/((거래처별!$AC$8:$AC$307&lt;&gt;"")*ISNUMBER(SEARCH(거래처별!$AC$8:$AC$307,$AB376))),거래처별!$A$8:$A$307),IFERROR(LOOKUP(2,1/((거래처별!$AD$8:$AD$307&lt;&gt;"")*ISNUMBER(SEARCH(거래처별!$AD$8:$AD$307,$AB376))),거래처별!$A$8:$A$307),IFERROR(LOOKUP(2,1/((거래처별!$AE$8:$AE$307&lt;&gt;"")*ISNUMBER(SEARCH(거래처별!$AE$8:$AE$307,$AB376))),거래처별!$A$8:$A$307),0))))</f>
        <v/>
      </c>
      <c r="AD376" s="31">
        <f>IF(AND($Y376&lt;&gt;"",N($Z376)&gt;0,$AC376=0),MAX($AD$7:$AD375)+1,"")</f>
        <v/>
      </c>
      <c r="AE376" s="31">
        <f>IF($Y376="",0,$Y376)</f>
        <v/>
      </c>
    </row>
    <row r="377">
      <c r="W377" s="31">
        <f>IF(OR($B$5="",$C$6="",ROW()&lt;$B$5),"",IF(INDEX($A:$U,ROW(),$C$6)="","",INDEX($A:$U,ROW(),$C$6)))</f>
        <v/>
      </c>
      <c r="X377" s="32">
        <f>IF($W377="","",IF(ISNUMBER($W377),IF($W377&gt;=10000000,IFERROR(DATE(INT($W377/10000),MOD(INT($W377/100),100),MOD($W377,100)),""),INT($W377)),IFERROR(DATE(--LEFT(LEFT(SUBSTITUTE(SUBSTITUTE(SUBSTITUTE(SUBSTITUTE(TRIM($W377),"-",""),".",""),"/","")," ",""),8),4),--MID(LEFT(SUBSTITUTE(SUBSTITUTE(SUBSTITUTE(SUBSTITUTE(TRIM($W377),"-",""),".",""),"/","")," ",""),8),5,2),--MID(LEFT(SUBSTITUTE(SUBSTITUTE(SUBSTITUTE(SUBSTITUTE(TRIM($W377),"-",""),".",""),"/","")," ",""),8),7,2)),"")))</f>
        <v/>
      </c>
      <c r="Y377" s="32">
        <f>IF($X377="","",INT($X377))</f>
        <v/>
      </c>
      <c r="Z377" s="33">
        <f>IF(OR($Y377="",$D$6=""),"",IF(INDEX($A:$U,ROW(),$D$6)="",0,IF(ISNUMBER(INDEX($A:$U,ROW(),$D$6)),INDEX($A:$U,ROW(),$D$6),IFERROR(--SUBSTITUTE(SUBSTITUTE(TRIM(INDEX($A:$U,ROW(),$D$6)),",",""),"원",""),0))))</f>
        <v/>
      </c>
      <c r="AA377" s="31">
        <f>IF($Y377="","",TRIM(INDEX($A:$U,ROW(),$E$6)&amp;IF($F$6="",""," "&amp;INDEX($A:$U,ROW(),$F$6))))</f>
        <v/>
      </c>
      <c r="AB377" s="31">
        <f>IF($AA377="","",SUBSTITUTE(SUBSTITUTE(SUBSTITUTE(SUBSTITUTE(SUBSTITUTE(SUBSTITUTE(SUBSTITUTE(SUBSTITUTE(SUBSTITUTE($AA377," ",""),"　",""),"(주)",""),"（주）",""),"㈜",""),"주식회사",""),"(유)",""),"（유）",""),"유한회사",""))</f>
        <v/>
      </c>
      <c r="AC377" s="31">
        <f>IF(OR($Y377="",N($Z377)&lt;=0,$AB377=""),0,IFERROR(LOOKUP(2,1/((거래처별!$AC$8:$AC$307&lt;&gt;"")*ISNUMBER(SEARCH(거래처별!$AC$8:$AC$307,$AB377))),거래처별!$A$8:$A$307),IFERROR(LOOKUP(2,1/((거래처별!$AD$8:$AD$307&lt;&gt;"")*ISNUMBER(SEARCH(거래처별!$AD$8:$AD$307,$AB377))),거래처별!$A$8:$A$307),IFERROR(LOOKUP(2,1/((거래처별!$AE$8:$AE$307&lt;&gt;"")*ISNUMBER(SEARCH(거래처별!$AE$8:$AE$307,$AB377))),거래처별!$A$8:$A$307),0))))</f>
        <v/>
      </c>
      <c r="AD377" s="31">
        <f>IF(AND($Y377&lt;&gt;"",N($Z377)&gt;0,$AC377=0),MAX($AD$7:$AD376)+1,"")</f>
        <v/>
      </c>
      <c r="AE377" s="31">
        <f>IF($Y377="",0,$Y377)</f>
        <v/>
      </c>
    </row>
    <row r="378">
      <c r="W378" s="31">
        <f>IF(OR($B$5="",$C$6="",ROW()&lt;$B$5),"",IF(INDEX($A:$U,ROW(),$C$6)="","",INDEX($A:$U,ROW(),$C$6)))</f>
        <v/>
      </c>
      <c r="X378" s="32">
        <f>IF($W378="","",IF(ISNUMBER($W378),IF($W378&gt;=10000000,IFERROR(DATE(INT($W378/10000),MOD(INT($W378/100),100),MOD($W378,100)),""),INT($W378)),IFERROR(DATE(--LEFT(LEFT(SUBSTITUTE(SUBSTITUTE(SUBSTITUTE(SUBSTITUTE(TRIM($W378),"-",""),".",""),"/","")," ",""),8),4),--MID(LEFT(SUBSTITUTE(SUBSTITUTE(SUBSTITUTE(SUBSTITUTE(TRIM($W378),"-",""),".",""),"/","")," ",""),8),5,2),--MID(LEFT(SUBSTITUTE(SUBSTITUTE(SUBSTITUTE(SUBSTITUTE(TRIM($W378),"-",""),".",""),"/","")," ",""),8),7,2)),"")))</f>
        <v/>
      </c>
      <c r="Y378" s="32">
        <f>IF($X378="","",INT($X378))</f>
        <v/>
      </c>
      <c r="Z378" s="33">
        <f>IF(OR($Y378="",$D$6=""),"",IF(INDEX($A:$U,ROW(),$D$6)="",0,IF(ISNUMBER(INDEX($A:$U,ROW(),$D$6)),INDEX($A:$U,ROW(),$D$6),IFERROR(--SUBSTITUTE(SUBSTITUTE(TRIM(INDEX($A:$U,ROW(),$D$6)),",",""),"원",""),0))))</f>
        <v/>
      </c>
      <c r="AA378" s="31">
        <f>IF($Y378="","",TRIM(INDEX($A:$U,ROW(),$E$6)&amp;IF($F$6="",""," "&amp;INDEX($A:$U,ROW(),$F$6))))</f>
        <v/>
      </c>
      <c r="AB378" s="31">
        <f>IF($AA378="","",SUBSTITUTE(SUBSTITUTE(SUBSTITUTE(SUBSTITUTE(SUBSTITUTE(SUBSTITUTE(SUBSTITUTE(SUBSTITUTE(SUBSTITUTE($AA378," ",""),"　",""),"(주)",""),"（주）",""),"㈜",""),"주식회사",""),"(유)",""),"（유）",""),"유한회사",""))</f>
        <v/>
      </c>
      <c r="AC378" s="31">
        <f>IF(OR($Y378="",N($Z378)&lt;=0,$AB378=""),0,IFERROR(LOOKUP(2,1/((거래처별!$AC$8:$AC$307&lt;&gt;"")*ISNUMBER(SEARCH(거래처별!$AC$8:$AC$307,$AB378))),거래처별!$A$8:$A$307),IFERROR(LOOKUP(2,1/((거래처별!$AD$8:$AD$307&lt;&gt;"")*ISNUMBER(SEARCH(거래처별!$AD$8:$AD$307,$AB378))),거래처별!$A$8:$A$307),IFERROR(LOOKUP(2,1/((거래처별!$AE$8:$AE$307&lt;&gt;"")*ISNUMBER(SEARCH(거래처별!$AE$8:$AE$307,$AB378))),거래처별!$A$8:$A$307),0))))</f>
        <v/>
      </c>
      <c r="AD378" s="31">
        <f>IF(AND($Y378&lt;&gt;"",N($Z378)&gt;0,$AC378=0),MAX($AD$7:$AD377)+1,"")</f>
        <v/>
      </c>
      <c r="AE378" s="31">
        <f>IF($Y378="",0,$Y378)</f>
        <v/>
      </c>
    </row>
    <row r="379">
      <c r="W379" s="31">
        <f>IF(OR($B$5="",$C$6="",ROW()&lt;$B$5),"",IF(INDEX($A:$U,ROW(),$C$6)="","",INDEX($A:$U,ROW(),$C$6)))</f>
        <v/>
      </c>
      <c r="X379" s="32">
        <f>IF($W379="","",IF(ISNUMBER($W379),IF($W379&gt;=10000000,IFERROR(DATE(INT($W379/10000),MOD(INT($W379/100),100),MOD($W379,100)),""),INT($W379)),IFERROR(DATE(--LEFT(LEFT(SUBSTITUTE(SUBSTITUTE(SUBSTITUTE(SUBSTITUTE(TRIM($W379),"-",""),".",""),"/","")," ",""),8),4),--MID(LEFT(SUBSTITUTE(SUBSTITUTE(SUBSTITUTE(SUBSTITUTE(TRIM($W379),"-",""),".",""),"/","")," ",""),8),5,2),--MID(LEFT(SUBSTITUTE(SUBSTITUTE(SUBSTITUTE(SUBSTITUTE(TRIM($W379),"-",""),".",""),"/","")," ",""),8),7,2)),"")))</f>
        <v/>
      </c>
      <c r="Y379" s="32">
        <f>IF($X379="","",INT($X379))</f>
        <v/>
      </c>
      <c r="Z379" s="33">
        <f>IF(OR($Y379="",$D$6=""),"",IF(INDEX($A:$U,ROW(),$D$6)="",0,IF(ISNUMBER(INDEX($A:$U,ROW(),$D$6)),INDEX($A:$U,ROW(),$D$6),IFERROR(--SUBSTITUTE(SUBSTITUTE(TRIM(INDEX($A:$U,ROW(),$D$6)),",",""),"원",""),0))))</f>
        <v/>
      </c>
      <c r="AA379" s="31">
        <f>IF($Y379="","",TRIM(INDEX($A:$U,ROW(),$E$6)&amp;IF($F$6="",""," "&amp;INDEX($A:$U,ROW(),$F$6))))</f>
        <v/>
      </c>
      <c r="AB379" s="31">
        <f>IF($AA379="","",SUBSTITUTE(SUBSTITUTE(SUBSTITUTE(SUBSTITUTE(SUBSTITUTE(SUBSTITUTE(SUBSTITUTE(SUBSTITUTE(SUBSTITUTE($AA379," ",""),"　",""),"(주)",""),"（주）",""),"㈜",""),"주식회사",""),"(유)",""),"（유）",""),"유한회사",""))</f>
        <v/>
      </c>
      <c r="AC379" s="31">
        <f>IF(OR($Y379="",N($Z379)&lt;=0,$AB379=""),0,IFERROR(LOOKUP(2,1/((거래처별!$AC$8:$AC$307&lt;&gt;"")*ISNUMBER(SEARCH(거래처별!$AC$8:$AC$307,$AB379))),거래처별!$A$8:$A$307),IFERROR(LOOKUP(2,1/((거래처별!$AD$8:$AD$307&lt;&gt;"")*ISNUMBER(SEARCH(거래처별!$AD$8:$AD$307,$AB379))),거래처별!$A$8:$A$307),IFERROR(LOOKUP(2,1/((거래처별!$AE$8:$AE$307&lt;&gt;"")*ISNUMBER(SEARCH(거래처별!$AE$8:$AE$307,$AB379))),거래처별!$A$8:$A$307),0))))</f>
        <v/>
      </c>
      <c r="AD379" s="31">
        <f>IF(AND($Y379&lt;&gt;"",N($Z379)&gt;0,$AC379=0),MAX($AD$7:$AD378)+1,"")</f>
        <v/>
      </c>
      <c r="AE379" s="31">
        <f>IF($Y379="",0,$Y379)</f>
        <v/>
      </c>
    </row>
    <row r="380">
      <c r="W380" s="31">
        <f>IF(OR($B$5="",$C$6="",ROW()&lt;$B$5),"",IF(INDEX($A:$U,ROW(),$C$6)="","",INDEX($A:$U,ROW(),$C$6)))</f>
        <v/>
      </c>
      <c r="X380" s="32">
        <f>IF($W380="","",IF(ISNUMBER($W380),IF($W380&gt;=10000000,IFERROR(DATE(INT($W380/10000),MOD(INT($W380/100),100),MOD($W380,100)),""),INT($W380)),IFERROR(DATE(--LEFT(LEFT(SUBSTITUTE(SUBSTITUTE(SUBSTITUTE(SUBSTITUTE(TRIM($W380),"-",""),".",""),"/","")," ",""),8),4),--MID(LEFT(SUBSTITUTE(SUBSTITUTE(SUBSTITUTE(SUBSTITUTE(TRIM($W380),"-",""),".",""),"/","")," ",""),8),5,2),--MID(LEFT(SUBSTITUTE(SUBSTITUTE(SUBSTITUTE(SUBSTITUTE(TRIM($W380),"-",""),".",""),"/","")," ",""),8),7,2)),"")))</f>
        <v/>
      </c>
      <c r="Y380" s="32">
        <f>IF($X380="","",INT($X380))</f>
        <v/>
      </c>
      <c r="Z380" s="33">
        <f>IF(OR($Y380="",$D$6=""),"",IF(INDEX($A:$U,ROW(),$D$6)="",0,IF(ISNUMBER(INDEX($A:$U,ROW(),$D$6)),INDEX($A:$U,ROW(),$D$6),IFERROR(--SUBSTITUTE(SUBSTITUTE(TRIM(INDEX($A:$U,ROW(),$D$6)),",",""),"원",""),0))))</f>
        <v/>
      </c>
      <c r="AA380" s="31">
        <f>IF($Y380="","",TRIM(INDEX($A:$U,ROW(),$E$6)&amp;IF($F$6="",""," "&amp;INDEX($A:$U,ROW(),$F$6))))</f>
        <v/>
      </c>
      <c r="AB380" s="31">
        <f>IF($AA380="","",SUBSTITUTE(SUBSTITUTE(SUBSTITUTE(SUBSTITUTE(SUBSTITUTE(SUBSTITUTE(SUBSTITUTE(SUBSTITUTE(SUBSTITUTE($AA380," ",""),"　",""),"(주)",""),"（주）",""),"㈜",""),"주식회사",""),"(유)",""),"（유）",""),"유한회사",""))</f>
        <v/>
      </c>
      <c r="AC380" s="31">
        <f>IF(OR($Y380="",N($Z380)&lt;=0,$AB380=""),0,IFERROR(LOOKUP(2,1/((거래처별!$AC$8:$AC$307&lt;&gt;"")*ISNUMBER(SEARCH(거래처별!$AC$8:$AC$307,$AB380))),거래처별!$A$8:$A$307),IFERROR(LOOKUP(2,1/((거래처별!$AD$8:$AD$307&lt;&gt;"")*ISNUMBER(SEARCH(거래처별!$AD$8:$AD$307,$AB380))),거래처별!$A$8:$A$307),IFERROR(LOOKUP(2,1/((거래처별!$AE$8:$AE$307&lt;&gt;"")*ISNUMBER(SEARCH(거래처별!$AE$8:$AE$307,$AB380))),거래처별!$A$8:$A$307),0))))</f>
        <v/>
      </c>
      <c r="AD380" s="31">
        <f>IF(AND($Y380&lt;&gt;"",N($Z380)&gt;0,$AC380=0),MAX($AD$7:$AD379)+1,"")</f>
        <v/>
      </c>
      <c r="AE380" s="31">
        <f>IF($Y380="",0,$Y380)</f>
        <v/>
      </c>
    </row>
    <row r="381">
      <c r="W381" s="31">
        <f>IF(OR($B$5="",$C$6="",ROW()&lt;$B$5),"",IF(INDEX($A:$U,ROW(),$C$6)="","",INDEX($A:$U,ROW(),$C$6)))</f>
        <v/>
      </c>
      <c r="X381" s="32">
        <f>IF($W381="","",IF(ISNUMBER($W381),IF($W381&gt;=10000000,IFERROR(DATE(INT($W381/10000),MOD(INT($W381/100),100),MOD($W381,100)),""),INT($W381)),IFERROR(DATE(--LEFT(LEFT(SUBSTITUTE(SUBSTITUTE(SUBSTITUTE(SUBSTITUTE(TRIM($W381),"-",""),".",""),"/","")," ",""),8),4),--MID(LEFT(SUBSTITUTE(SUBSTITUTE(SUBSTITUTE(SUBSTITUTE(TRIM($W381),"-",""),".",""),"/","")," ",""),8),5,2),--MID(LEFT(SUBSTITUTE(SUBSTITUTE(SUBSTITUTE(SUBSTITUTE(TRIM($W381),"-",""),".",""),"/","")," ",""),8),7,2)),"")))</f>
        <v/>
      </c>
      <c r="Y381" s="32">
        <f>IF($X381="","",INT($X381))</f>
        <v/>
      </c>
      <c r="Z381" s="33">
        <f>IF(OR($Y381="",$D$6=""),"",IF(INDEX($A:$U,ROW(),$D$6)="",0,IF(ISNUMBER(INDEX($A:$U,ROW(),$D$6)),INDEX($A:$U,ROW(),$D$6),IFERROR(--SUBSTITUTE(SUBSTITUTE(TRIM(INDEX($A:$U,ROW(),$D$6)),",",""),"원",""),0))))</f>
        <v/>
      </c>
      <c r="AA381" s="31">
        <f>IF($Y381="","",TRIM(INDEX($A:$U,ROW(),$E$6)&amp;IF($F$6="",""," "&amp;INDEX($A:$U,ROW(),$F$6))))</f>
        <v/>
      </c>
      <c r="AB381" s="31">
        <f>IF($AA381="","",SUBSTITUTE(SUBSTITUTE(SUBSTITUTE(SUBSTITUTE(SUBSTITUTE(SUBSTITUTE(SUBSTITUTE(SUBSTITUTE(SUBSTITUTE($AA381," ",""),"　",""),"(주)",""),"（주）",""),"㈜",""),"주식회사",""),"(유)",""),"（유）",""),"유한회사",""))</f>
        <v/>
      </c>
      <c r="AC381" s="31">
        <f>IF(OR($Y381="",N($Z381)&lt;=0,$AB381=""),0,IFERROR(LOOKUP(2,1/((거래처별!$AC$8:$AC$307&lt;&gt;"")*ISNUMBER(SEARCH(거래처별!$AC$8:$AC$307,$AB381))),거래처별!$A$8:$A$307),IFERROR(LOOKUP(2,1/((거래처별!$AD$8:$AD$307&lt;&gt;"")*ISNUMBER(SEARCH(거래처별!$AD$8:$AD$307,$AB381))),거래처별!$A$8:$A$307),IFERROR(LOOKUP(2,1/((거래처별!$AE$8:$AE$307&lt;&gt;"")*ISNUMBER(SEARCH(거래처별!$AE$8:$AE$307,$AB381))),거래처별!$A$8:$A$307),0))))</f>
        <v/>
      </c>
      <c r="AD381" s="31">
        <f>IF(AND($Y381&lt;&gt;"",N($Z381)&gt;0,$AC381=0),MAX($AD$7:$AD380)+1,"")</f>
        <v/>
      </c>
      <c r="AE381" s="31">
        <f>IF($Y381="",0,$Y381)</f>
        <v/>
      </c>
    </row>
    <row r="382">
      <c r="W382" s="31">
        <f>IF(OR($B$5="",$C$6="",ROW()&lt;$B$5),"",IF(INDEX($A:$U,ROW(),$C$6)="","",INDEX($A:$U,ROW(),$C$6)))</f>
        <v/>
      </c>
      <c r="X382" s="32">
        <f>IF($W382="","",IF(ISNUMBER($W382),IF($W382&gt;=10000000,IFERROR(DATE(INT($W382/10000),MOD(INT($W382/100),100),MOD($W382,100)),""),INT($W382)),IFERROR(DATE(--LEFT(LEFT(SUBSTITUTE(SUBSTITUTE(SUBSTITUTE(SUBSTITUTE(TRIM($W382),"-",""),".",""),"/","")," ",""),8),4),--MID(LEFT(SUBSTITUTE(SUBSTITUTE(SUBSTITUTE(SUBSTITUTE(TRIM($W382),"-",""),".",""),"/","")," ",""),8),5,2),--MID(LEFT(SUBSTITUTE(SUBSTITUTE(SUBSTITUTE(SUBSTITUTE(TRIM($W382),"-",""),".",""),"/","")," ",""),8),7,2)),"")))</f>
        <v/>
      </c>
      <c r="Y382" s="32">
        <f>IF($X382="","",INT($X382))</f>
        <v/>
      </c>
      <c r="Z382" s="33">
        <f>IF(OR($Y382="",$D$6=""),"",IF(INDEX($A:$U,ROW(),$D$6)="",0,IF(ISNUMBER(INDEX($A:$U,ROW(),$D$6)),INDEX($A:$U,ROW(),$D$6),IFERROR(--SUBSTITUTE(SUBSTITUTE(TRIM(INDEX($A:$U,ROW(),$D$6)),",",""),"원",""),0))))</f>
        <v/>
      </c>
      <c r="AA382" s="31">
        <f>IF($Y382="","",TRIM(INDEX($A:$U,ROW(),$E$6)&amp;IF($F$6="",""," "&amp;INDEX($A:$U,ROW(),$F$6))))</f>
        <v/>
      </c>
      <c r="AB382" s="31">
        <f>IF($AA382="","",SUBSTITUTE(SUBSTITUTE(SUBSTITUTE(SUBSTITUTE(SUBSTITUTE(SUBSTITUTE(SUBSTITUTE(SUBSTITUTE(SUBSTITUTE($AA382," ",""),"　",""),"(주)",""),"（주）",""),"㈜",""),"주식회사",""),"(유)",""),"（유）",""),"유한회사",""))</f>
        <v/>
      </c>
      <c r="AC382" s="31">
        <f>IF(OR($Y382="",N($Z382)&lt;=0,$AB382=""),0,IFERROR(LOOKUP(2,1/((거래처별!$AC$8:$AC$307&lt;&gt;"")*ISNUMBER(SEARCH(거래처별!$AC$8:$AC$307,$AB382))),거래처별!$A$8:$A$307),IFERROR(LOOKUP(2,1/((거래처별!$AD$8:$AD$307&lt;&gt;"")*ISNUMBER(SEARCH(거래처별!$AD$8:$AD$307,$AB382))),거래처별!$A$8:$A$307),IFERROR(LOOKUP(2,1/((거래처별!$AE$8:$AE$307&lt;&gt;"")*ISNUMBER(SEARCH(거래처별!$AE$8:$AE$307,$AB382))),거래처별!$A$8:$A$307),0))))</f>
        <v/>
      </c>
      <c r="AD382" s="31">
        <f>IF(AND($Y382&lt;&gt;"",N($Z382)&gt;0,$AC382=0),MAX($AD$7:$AD381)+1,"")</f>
        <v/>
      </c>
      <c r="AE382" s="31">
        <f>IF($Y382="",0,$Y382)</f>
        <v/>
      </c>
    </row>
    <row r="383">
      <c r="W383" s="31">
        <f>IF(OR($B$5="",$C$6="",ROW()&lt;$B$5),"",IF(INDEX($A:$U,ROW(),$C$6)="","",INDEX($A:$U,ROW(),$C$6)))</f>
        <v/>
      </c>
      <c r="X383" s="32">
        <f>IF($W383="","",IF(ISNUMBER($W383),IF($W383&gt;=10000000,IFERROR(DATE(INT($W383/10000),MOD(INT($W383/100),100),MOD($W383,100)),""),INT($W383)),IFERROR(DATE(--LEFT(LEFT(SUBSTITUTE(SUBSTITUTE(SUBSTITUTE(SUBSTITUTE(TRIM($W383),"-",""),".",""),"/","")," ",""),8),4),--MID(LEFT(SUBSTITUTE(SUBSTITUTE(SUBSTITUTE(SUBSTITUTE(TRIM($W383),"-",""),".",""),"/","")," ",""),8),5,2),--MID(LEFT(SUBSTITUTE(SUBSTITUTE(SUBSTITUTE(SUBSTITUTE(TRIM($W383),"-",""),".",""),"/","")," ",""),8),7,2)),"")))</f>
        <v/>
      </c>
      <c r="Y383" s="32">
        <f>IF($X383="","",INT($X383))</f>
        <v/>
      </c>
      <c r="Z383" s="33">
        <f>IF(OR($Y383="",$D$6=""),"",IF(INDEX($A:$U,ROW(),$D$6)="",0,IF(ISNUMBER(INDEX($A:$U,ROW(),$D$6)),INDEX($A:$U,ROW(),$D$6),IFERROR(--SUBSTITUTE(SUBSTITUTE(TRIM(INDEX($A:$U,ROW(),$D$6)),",",""),"원",""),0))))</f>
        <v/>
      </c>
      <c r="AA383" s="31">
        <f>IF($Y383="","",TRIM(INDEX($A:$U,ROW(),$E$6)&amp;IF($F$6="",""," "&amp;INDEX($A:$U,ROW(),$F$6))))</f>
        <v/>
      </c>
      <c r="AB383" s="31">
        <f>IF($AA383="","",SUBSTITUTE(SUBSTITUTE(SUBSTITUTE(SUBSTITUTE(SUBSTITUTE(SUBSTITUTE(SUBSTITUTE(SUBSTITUTE(SUBSTITUTE($AA383," ",""),"　",""),"(주)",""),"（주）",""),"㈜",""),"주식회사",""),"(유)",""),"（유）",""),"유한회사",""))</f>
        <v/>
      </c>
      <c r="AC383" s="31">
        <f>IF(OR($Y383="",N($Z383)&lt;=0,$AB383=""),0,IFERROR(LOOKUP(2,1/((거래처별!$AC$8:$AC$307&lt;&gt;"")*ISNUMBER(SEARCH(거래처별!$AC$8:$AC$307,$AB383))),거래처별!$A$8:$A$307),IFERROR(LOOKUP(2,1/((거래처별!$AD$8:$AD$307&lt;&gt;"")*ISNUMBER(SEARCH(거래처별!$AD$8:$AD$307,$AB383))),거래처별!$A$8:$A$307),IFERROR(LOOKUP(2,1/((거래처별!$AE$8:$AE$307&lt;&gt;"")*ISNUMBER(SEARCH(거래처별!$AE$8:$AE$307,$AB383))),거래처별!$A$8:$A$307),0))))</f>
        <v/>
      </c>
      <c r="AD383" s="31">
        <f>IF(AND($Y383&lt;&gt;"",N($Z383)&gt;0,$AC383=0),MAX($AD$7:$AD382)+1,"")</f>
        <v/>
      </c>
      <c r="AE383" s="31">
        <f>IF($Y383="",0,$Y383)</f>
        <v/>
      </c>
    </row>
    <row r="384">
      <c r="W384" s="31">
        <f>IF(OR($B$5="",$C$6="",ROW()&lt;$B$5),"",IF(INDEX($A:$U,ROW(),$C$6)="","",INDEX($A:$U,ROW(),$C$6)))</f>
        <v/>
      </c>
      <c r="X384" s="32">
        <f>IF($W384="","",IF(ISNUMBER($W384),IF($W384&gt;=10000000,IFERROR(DATE(INT($W384/10000),MOD(INT($W384/100),100),MOD($W384,100)),""),INT($W384)),IFERROR(DATE(--LEFT(LEFT(SUBSTITUTE(SUBSTITUTE(SUBSTITUTE(SUBSTITUTE(TRIM($W384),"-",""),".",""),"/","")," ",""),8),4),--MID(LEFT(SUBSTITUTE(SUBSTITUTE(SUBSTITUTE(SUBSTITUTE(TRIM($W384),"-",""),".",""),"/","")," ",""),8),5,2),--MID(LEFT(SUBSTITUTE(SUBSTITUTE(SUBSTITUTE(SUBSTITUTE(TRIM($W384),"-",""),".",""),"/","")," ",""),8),7,2)),"")))</f>
        <v/>
      </c>
      <c r="Y384" s="32">
        <f>IF($X384="","",INT($X384))</f>
        <v/>
      </c>
      <c r="Z384" s="33">
        <f>IF(OR($Y384="",$D$6=""),"",IF(INDEX($A:$U,ROW(),$D$6)="",0,IF(ISNUMBER(INDEX($A:$U,ROW(),$D$6)),INDEX($A:$U,ROW(),$D$6),IFERROR(--SUBSTITUTE(SUBSTITUTE(TRIM(INDEX($A:$U,ROW(),$D$6)),",",""),"원",""),0))))</f>
        <v/>
      </c>
      <c r="AA384" s="31">
        <f>IF($Y384="","",TRIM(INDEX($A:$U,ROW(),$E$6)&amp;IF($F$6="",""," "&amp;INDEX($A:$U,ROW(),$F$6))))</f>
        <v/>
      </c>
      <c r="AB384" s="31">
        <f>IF($AA384="","",SUBSTITUTE(SUBSTITUTE(SUBSTITUTE(SUBSTITUTE(SUBSTITUTE(SUBSTITUTE(SUBSTITUTE(SUBSTITUTE(SUBSTITUTE($AA384," ",""),"　",""),"(주)",""),"（주）",""),"㈜",""),"주식회사",""),"(유)",""),"（유）",""),"유한회사",""))</f>
        <v/>
      </c>
      <c r="AC384" s="31">
        <f>IF(OR($Y384="",N($Z384)&lt;=0,$AB384=""),0,IFERROR(LOOKUP(2,1/((거래처별!$AC$8:$AC$307&lt;&gt;"")*ISNUMBER(SEARCH(거래처별!$AC$8:$AC$307,$AB384))),거래처별!$A$8:$A$307),IFERROR(LOOKUP(2,1/((거래처별!$AD$8:$AD$307&lt;&gt;"")*ISNUMBER(SEARCH(거래처별!$AD$8:$AD$307,$AB384))),거래처별!$A$8:$A$307),IFERROR(LOOKUP(2,1/((거래처별!$AE$8:$AE$307&lt;&gt;"")*ISNUMBER(SEARCH(거래처별!$AE$8:$AE$307,$AB384))),거래처별!$A$8:$A$307),0))))</f>
        <v/>
      </c>
      <c r="AD384" s="31">
        <f>IF(AND($Y384&lt;&gt;"",N($Z384)&gt;0,$AC384=0),MAX($AD$7:$AD383)+1,"")</f>
        <v/>
      </c>
      <c r="AE384" s="31">
        <f>IF($Y384="",0,$Y384)</f>
        <v/>
      </c>
    </row>
    <row r="385">
      <c r="W385" s="31">
        <f>IF(OR($B$5="",$C$6="",ROW()&lt;$B$5),"",IF(INDEX($A:$U,ROW(),$C$6)="","",INDEX($A:$U,ROW(),$C$6)))</f>
        <v/>
      </c>
      <c r="X385" s="32">
        <f>IF($W385="","",IF(ISNUMBER($W385),IF($W385&gt;=10000000,IFERROR(DATE(INT($W385/10000),MOD(INT($W385/100),100),MOD($W385,100)),""),INT($W385)),IFERROR(DATE(--LEFT(LEFT(SUBSTITUTE(SUBSTITUTE(SUBSTITUTE(SUBSTITUTE(TRIM($W385),"-",""),".",""),"/","")," ",""),8),4),--MID(LEFT(SUBSTITUTE(SUBSTITUTE(SUBSTITUTE(SUBSTITUTE(TRIM($W385),"-",""),".",""),"/","")," ",""),8),5,2),--MID(LEFT(SUBSTITUTE(SUBSTITUTE(SUBSTITUTE(SUBSTITUTE(TRIM($W385),"-",""),".",""),"/","")," ",""),8),7,2)),"")))</f>
        <v/>
      </c>
      <c r="Y385" s="32">
        <f>IF($X385="","",INT($X385))</f>
        <v/>
      </c>
      <c r="Z385" s="33">
        <f>IF(OR($Y385="",$D$6=""),"",IF(INDEX($A:$U,ROW(),$D$6)="",0,IF(ISNUMBER(INDEX($A:$U,ROW(),$D$6)),INDEX($A:$U,ROW(),$D$6),IFERROR(--SUBSTITUTE(SUBSTITUTE(TRIM(INDEX($A:$U,ROW(),$D$6)),",",""),"원",""),0))))</f>
        <v/>
      </c>
      <c r="AA385" s="31">
        <f>IF($Y385="","",TRIM(INDEX($A:$U,ROW(),$E$6)&amp;IF($F$6="",""," "&amp;INDEX($A:$U,ROW(),$F$6))))</f>
        <v/>
      </c>
      <c r="AB385" s="31">
        <f>IF($AA385="","",SUBSTITUTE(SUBSTITUTE(SUBSTITUTE(SUBSTITUTE(SUBSTITUTE(SUBSTITUTE(SUBSTITUTE(SUBSTITUTE(SUBSTITUTE($AA385," ",""),"　",""),"(주)",""),"（주）",""),"㈜",""),"주식회사",""),"(유)",""),"（유）",""),"유한회사",""))</f>
        <v/>
      </c>
      <c r="AC385" s="31">
        <f>IF(OR($Y385="",N($Z385)&lt;=0,$AB385=""),0,IFERROR(LOOKUP(2,1/((거래처별!$AC$8:$AC$307&lt;&gt;"")*ISNUMBER(SEARCH(거래처별!$AC$8:$AC$307,$AB385))),거래처별!$A$8:$A$307),IFERROR(LOOKUP(2,1/((거래처별!$AD$8:$AD$307&lt;&gt;"")*ISNUMBER(SEARCH(거래처별!$AD$8:$AD$307,$AB385))),거래처별!$A$8:$A$307),IFERROR(LOOKUP(2,1/((거래처별!$AE$8:$AE$307&lt;&gt;"")*ISNUMBER(SEARCH(거래처별!$AE$8:$AE$307,$AB385))),거래처별!$A$8:$A$307),0))))</f>
        <v/>
      </c>
      <c r="AD385" s="31">
        <f>IF(AND($Y385&lt;&gt;"",N($Z385)&gt;0,$AC385=0),MAX($AD$7:$AD384)+1,"")</f>
        <v/>
      </c>
      <c r="AE385" s="31">
        <f>IF($Y385="",0,$Y385)</f>
        <v/>
      </c>
    </row>
    <row r="386">
      <c r="W386" s="31">
        <f>IF(OR($B$5="",$C$6="",ROW()&lt;$B$5),"",IF(INDEX($A:$U,ROW(),$C$6)="","",INDEX($A:$U,ROW(),$C$6)))</f>
        <v/>
      </c>
      <c r="X386" s="32">
        <f>IF($W386="","",IF(ISNUMBER($W386),IF($W386&gt;=10000000,IFERROR(DATE(INT($W386/10000),MOD(INT($W386/100),100),MOD($W386,100)),""),INT($W386)),IFERROR(DATE(--LEFT(LEFT(SUBSTITUTE(SUBSTITUTE(SUBSTITUTE(SUBSTITUTE(TRIM($W386),"-",""),".",""),"/","")," ",""),8),4),--MID(LEFT(SUBSTITUTE(SUBSTITUTE(SUBSTITUTE(SUBSTITUTE(TRIM($W386),"-",""),".",""),"/","")," ",""),8),5,2),--MID(LEFT(SUBSTITUTE(SUBSTITUTE(SUBSTITUTE(SUBSTITUTE(TRIM($W386),"-",""),".",""),"/","")," ",""),8),7,2)),"")))</f>
        <v/>
      </c>
      <c r="Y386" s="32">
        <f>IF($X386="","",INT($X386))</f>
        <v/>
      </c>
      <c r="Z386" s="33">
        <f>IF(OR($Y386="",$D$6=""),"",IF(INDEX($A:$U,ROW(),$D$6)="",0,IF(ISNUMBER(INDEX($A:$U,ROW(),$D$6)),INDEX($A:$U,ROW(),$D$6),IFERROR(--SUBSTITUTE(SUBSTITUTE(TRIM(INDEX($A:$U,ROW(),$D$6)),",",""),"원",""),0))))</f>
        <v/>
      </c>
      <c r="AA386" s="31">
        <f>IF($Y386="","",TRIM(INDEX($A:$U,ROW(),$E$6)&amp;IF($F$6="",""," "&amp;INDEX($A:$U,ROW(),$F$6))))</f>
        <v/>
      </c>
      <c r="AB386" s="31">
        <f>IF($AA386="","",SUBSTITUTE(SUBSTITUTE(SUBSTITUTE(SUBSTITUTE(SUBSTITUTE(SUBSTITUTE(SUBSTITUTE(SUBSTITUTE(SUBSTITUTE($AA386," ",""),"　",""),"(주)",""),"（주）",""),"㈜",""),"주식회사",""),"(유)",""),"（유）",""),"유한회사",""))</f>
        <v/>
      </c>
      <c r="AC386" s="31">
        <f>IF(OR($Y386="",N($Z386)&lt;=0,$AB386=""),0,IFERROR(LOOKUP(2,1/((거래처별!$AC$8:$AC$307&lt;&gt;"")*ISNUMBER(SEARCH(거래처별!$AC$8:$AC$307,$AB386))),거래처별!$A$8:$A$307),IFERROR(LOOKUP(2,1/((거래처별!$AD$8:$AD$307&lt;&gt;"")*ISNUMBER(SEARCH(거래처별!$AD$8:$AD$307,$AB386))),거래처별!$A$8:$A$307),IFERROR(LOOKUP(2,1/((거래처별!$AE$8:$AE$307&lt;&gt;"")*ISNUMBER(SEARCH(거래처별!$AE$8:$AE$307,$AB386))),거래처별!$A$8:$A$307),0))))</f>
        <v/>
      </c>
      <c r="AD386" s="31">
        <f>IF(AND($Y386&lt;&gt;"",N($Z386)&gt;0,$AC386=0),MAX($AD$7:$AD385)+1,"")</f>
        <v/>
      </c>
      <c r="AE386" s="31">
        <f>IF($Y386="",0,$Y386)</f>
        <v/>
      </c>
    </row>
    <row r="387">
      <c r="W387" s="31">
        <f>IF(OR($B$5="",$C$6="",ROW()&lt;$B$5),"",IF(INDEX($A:$U,ROW(),$C$6)="","",INDEX($A:$U,ROW(),$C$6)))</f>
        <v/>
      </c>
      <c r="X387" s="32">
        <f>IF($W387="","",IF(ISNUMBER($W387),IF($W387&gt;=10000000,IFERROR(DATE(INT($W387/10000),MOD(INT($W387/100),100),MOD($W387,100)),""),INT($W387)),IFERROR(DATE(--LEFT(LEFT(SUBSTITUTE(SUBSTITUTE(SUBSTITUTE(SUBSTITUTE(TRIM($W387),"-",""),".",""),"/","")," ",""),8),4),--MID(LEFT(SUBSTITUTE(SUBSTITUTE(SUBSTITUTE(SUBSTITUTE(TRIM($W387),"-",""),".",""),"/","")," ",""),8),5,2),--MID(LEFT(SUBSTITUTE(SUBSTITUTE(SUBSTITUTE(SUBSTITUTE(TRIM($W387),"-",""),".",""),"/","")," ",""),8),7,2)),"")))</f>
        <v/>
      </c>
      <c r="Y387" s="32">
        <f>IF($X387="","",INT($X387))</f>
        <v/>
      </c>
      <c r="Z387" s="33">
        <f>IF(OR($Y387="",$D$6=""),"",IF(INDEX($A:$U,ROW(),$D$6)="",0,IF(ISNUMBER(INDEX($A:$U,ROW(),$D$6)),INDEX($A:$U,ROW(),$D$6),IFERROR(--SUBSTITUTE(SUBSTITUTE(TRIM(INDEX($A:$U,ROW(),$D$6)),",",""),"원",""),0))))</f>
        <v/>
      </c>
      <c r="AA387" s="31">
        <f>IF($Y387="","",TRIM(INDEX($A:$U,ROW(),$E$6)&amp;IF($F$6="",""," "&amp;INDEX($A:$U,ROW(),$F$6))))</f>
        <v/>
      </c>
      <c r="AB387" s="31">
        <f>IF($AA387="","",SUBSTITUTE(SUBSTITUTE(SUBSTITUTE(SUBSTITUTE(SUBSTITUTE(SUBSTITUTE(SUBSTITUTE(SUBSTITUTE(SUBSTITUTE($AA387," ",""),"　",""),"(주)",""),"（주）",""),"㈜",""),"주식회사",""),"(유)",""),"（유）",""),"유한회사",""))</f>
        <v/>
      </c>
      <c r="AC387" s="31">
        <f>IF(OR($Y387="",N($Z387)&lt;=0,$AB387=""),0,IFERROR(LOOKUP(2,1/((거래처별!$AC$8:$AC$307&lt;&gt;"")*ISNUMBER(SEARCH(거래처별!$AC$8:$AC$307,$AB387))),거래처별!$A$8:$A$307),IFERROR(LOOKUP(2,1/((거래처별!$AD$8:$AD$307&lt;&gt;"")*ISNUMBER(SEARCH(거래처별!$AD$8:$AD$307,$AB387))),거래처별!$A$8:$A$307),IFERROR(LOOKUP(2,1/((거래처별!$AE$8:$AE$307&lt;&gt;"")*ISNUMBER(SEARCH(거래처별!$AE$8:$AE$307,$AB387))),거래처별!$A$8:$A$307),0))))</f>
        <v/>
      </c>
      <c r="AD387" s="31">
        <f>IF(AND($Y387&lt;&gt;"",N($Z387)&gt;0,$AC387=0),MAX($AD$7:$AD386)+1,"")</f>
        <v/>
      </c>
      <c r="AE387" s="31">
        <f>IF($Y387="",0,$Y387)</f>
        <v/>
      </c>
    </row>
    <row r="388">
      <c r="W388" s="31">
        <f>IF(OR($B$5="",$C$6="",ROW()&lt;$B$5),"",IF(INDEX($A:$U,ROW(),$C$6)="","",INDEX($A:$U,ROW(),$C$6)))</f>
        <v/>
      </c>
      <c r="X388" s="32">
        <f>IF($W388="","",IF(ISNUMBER($W388),IF($W388&gt;=10000000,IFERROR(DATE(INT($W388/10000),MOD(INT($W388/100),100),MOD($W388,100)),""),INT($W388)),IFERROR(DATE(--LEFT(LEFT(SUBSTITUTE(SUBSTITUTE(SUBSTITUTE(SUBSTITUTE(TRIM($W388),"-",""),".",""),"/","")," ",""),8),4),--MID(LEFT(SUBSTITUTE(SUBSTITUTE(SUBSTITUTE(SUBSTITUTE(TRIM($W388),"-",""),".",""),"/","")," ",""),8),5,2),--MID(LEFT(SUBSTITUTE(SUBSTITUTE(SUBSTITUTE(SUBSTITUTE(TRIM($W388),"-",""),".",""),"/","")," ",""),8),7,2)),"")))</f>
        <v/>
      </c>
      <c r="Y388" s="32">
        <f>IF($X388="","",INT($X388))</f>
        <v/>
      </c>
      <c r="Z388" s="33">
        <f>IF(OR($Y388="",$D$6=""),"",IF(INDEX($A:$U,ROW(),$D$6)="",0,IF(ISNUMBER(INDEX($A:$U,ROW(),$D$6)),INDEX($A:$U,ROW(),$D$6),IFERROR(--SUBSTITUTE(SUBSTITUTE(TRIM(INDEX($A:$U,ROW(),$D$6)),",",""),"원",""),0))))</f>
        <v/>
      </c>
      <c r="AA388" s="31">
        <f>IF($Y388="","",TRIM(INDEX($A:$U,ROW(),$E$6)&amp;IF($F$6="",""," "&amp;INDEX($A:$U,ROW(),$F$6))))</f>
        <v/>
      </c>
      <c r="AB388" s="31">
        <f>IF($AA388="","",SUBSTITUTE(SUBSTITUTE(SUBSTITUTE(SUBSTITUTE(SUBSTITUTE(SUBSTITUTE(SUBSTITUTE(SUBSTITUTE(SUBSTITUTE($AA388," ",""),"　",""),"(주)",""),"（주）",""),"㈜",""),"주식회사",""),"(유)",""),"（유）",""),"유한회사",""))</f>
        <v/>
      </c>
      <c r="AC388" s="31">
        <f>IF(OR($Y388="",N($Z388)&lt;=0,$AB388=""),0,IFERROR(LOOKUP(2,1/((거래처별!$AC$8:$AC$307&lt;&gt;"")*ISNUMBER(SEARCH(거래처별!$AC$8:$AC$307,$AB388))),거래처별!$A$8:$A$307),IFERROR(LOOKUP(2,1/((거래처별!$AD$8:$AD$307&lt;&gt;"")*ISNUMBER(SEARCH(거래처별!$AD$8:$AD$307,$AB388))),거래처별!$A$8:$A$307),IFERROR(LOOKUP(2,1/((거래처별!$AE$8:$AE$307&lt;&gt;"")*ISNUMBER(SEARCH(거래처별!$AE$8:$AE$307,$AB388))),거래처별!$A$8:$A$307),0))))</f>
        <v/>
      </c>
      <c r="AD388" s="31">
        <f>IF(AND($Y388&lt;&gt;"",N($Z388)&gt;0,$AC388=0),MAX($AD$7:$AD387)+1,"")</f>
        <v/>
      </c>
      <c r="AE388" s="31">
        <f>IF($Y388="",0,$Y388)</f>
        <v/>
      </c>
    </row>
    <row r="389">
      <c r="W389" s="31">
        <f>IF(OR($B$5="",$C$6="",ROW()&lt;$B$5),"",IF(INDEX($A:$U,ROW(),$C$6)="","",INDEX($A:$U,ROW(),$C$6)))</f>
        <v/>
      </c>
      <c r="X389" s="32">
        <f>IF($W389="","",IF(ISNUMBER($W389),IF($W389&gt;=10000000,IFERROR(DATE(INT($W389/10000),MOD(INT($W389/100),100),MOD($W389,100)),""),INT($W389)),IFERROR(DATE(--LEFT(LEFT(SUBSTITUTE(SUBSTITUTE(SUBSTITUTE(SUBSTITUTE(TRIM($W389),"-",""),".",""),"/","")," ",""),8),4),--MID(LEFT(SUBSTITUTE(SUBSTITUTE(SUBSTITUTE(SUBSTITUTE(TRIM($W389),"-",""),".",""),"/","")," ",""),8),5,2),--MID(LEFT(SUBSTITUTE(SUBSTITUTE(SUBSTITUTE(SUBSTITUTE(TRIM($W389),"-",""),".",""),"/","")," ",""),8),7,2)),"")))</f>
        <v/>
      </c>
      <c r="Y389" s="32">
        <f>IF($X389="","",INT($X389))</f>
        <v/>
      </c>
      <c r="Z389" s="33">
        <f>IF(OR($Y389="",$D$6=""),"",IF(INDEX($A:$U,ROW(),$D$6)="",0,IF(ISNUMBER(INDEX($A:$U,ROW(),$D$6)),INDEX($A:$U,ROW(),$D$6),IFERROR(--SUBSTITUTE(SUBSTITUTE(TRIM(INDEX($A:$U,ROW(),$D$6)),",",""),"원",""),0))))</f>
        <v/>
      </c>
      <c r="AA389" s="31">
        <f>IF($Y389="","",TRIM(INDEX($A:$U,ROW(),$E$6)&amp;IF($F$6="",""," "&amp;INDEX($A:$U,ROW(),$F$6))))</f>
        <v/>
      </c>
      <c r="AB389" s="31">
        <f>IF($AA389="","",SUBSTITUTE(SUBSTITUTE(SUBSTITUTE(SUBSTITUTE(SUBSTITUTE(SUBSTITUTE(SUBSTITUTE(SUBSTITUTE(SUBSTITUTE($AA389," ",""),"　",""),"(주)",""),"（주）",""),"㈜",""),"주식회사",""),"(유)",""),"（유）",""),"유한회사",""))</f>
        <v/>
      </c>
      <c r="AC389" s="31">
        <f>IF(OR($Y389="",N($Z389)&lt;=0,$AB389=""),0,IFERROR(LOOKUP(2,1/((거래처별!$AC$8:$AC$307&lt;&gt;"")*ISNUMBER(SEARCH(거래처별!$AC$8:$AC$307,$AB389))),거래처별!$A$8:$A$307),IFERROR(LOOKUP(2,1/((거래처별!$AD$8:$AD$307&lt;&gt;"")*ISNUMBER(SEARCH(거래처별!$AD$8:$AD$307,$AB389))),거래처별!$A$8:$A$307),IFERROR(LOOKUP(2,1/((거래처별!$AE$8:$AE$307&lt;&gt;"")*ISNUMBER(SEARCH(거래처별!$AE$8:$AE$307,$AB389))),거래처별!$A$8:$A$307),0))))</f>
        <v/>
      </c>
      <c r="AD389" s="31">
        <f>IF(AND($Y389&lt;&gt;"",N($Z389)&gt;0,$AC389=0),MAX($AD$7:$AD388)+1,"")</f>
        <v/>
      </c>
      <c r="AE389" s="31">
        <f>IF($Y389="",0,$Y389)</f>
        <v/>
      </c>
    </row>
    <row r="390">
      <c r="W390" s="31">
        <f>IF(OR($B$5="",$C$6="",ROW()&lt;$B$5),"",IF(INDEX($A:$U,ROW(),$C$6)="","",INDEX($A:$U,ROW(),$C$6)))</f>
        <v/>
      </c>
      <c r="X390" s="32">
        <f>IF($W390="","",IF(ISNUMBER($W390),IF($W390&gt;=10000000,IFERROR(DATE(INT($W390/10000),MOD(INT($W390/100),100),MOD($W390,100)),""),INT($W390)),IFERROR(DATE(--LEFT(LEFT(SUBSTITUTE(SUBSTITUTE(SUBSTITUTE(SUBSTITUTE(TRIM($W390),"-",""),".",""),"/","")," ",""),8),4),--MID(LEFT(SUBSTITUTE(SUBSTITUTE(SUBSTITUTE(SUBSTITUTE(TRIM($W390),"-",""),".",""),"/","")," ",""),8),5,2),--MID(LEFT(SUBSTITUTE(SUBSTITUTE(SUBSTITUTE(SUBSTITUTE(TRIM($W390),"-",""),".",""),"/","")," ",""),8),7,2)),"")))</f>
        <v/>
      </c>
      <c r="Y390" s="32">
        <f>IF($X390="","",INT($X390))</f>
        <v/>
      </c>
      <c r="Z390" s="33">
        <f>IF(OR($Y390="",$D$6=""),"",IF(INDEX($A:$U,ROW(),$D$6)="",0,IF(ISNUMBER(INDEX($A:$U,ROW(),$D$6)),INDEX($A:$U,ROW(),$D$6),IFERROR(--SUBSTITUTE(SUBSTITUTE(TRIM(INDEX($A:$U,ROW(),$D$6)),",",""),"원",""),0))))</f>
        <v/>
      </c>
      <c r="AA390" s="31">
        <f>IF($Y390="","",TRIM(INDEX($A:$U,ROW(),$E$6)&amp;IF($F$6="",""," "&amp;INDEX($A:$U,ROW(),$F$6))))</f>
        <v/>
      </c>
      <c r="AB390" s="31">
        <f>IF($AA390="","",SUBSTITUTE(SUBSTITUTE(SUBSTITUTE(SUBSTITUTE(SUBSTITUTE(SUBSTITUTE(SUBSTITUTE(SUBSTITUTE(SUBSTITUTE($AA390," ",""),"　",""),"(주)",""),"（주）",""),"㈜",""),"주식회사",""),"(유)",""),"（유）",""),"유한회사",""))</f>
        <v/>
      </c>
      <c r="AC390" s="31">
        <f>IF(OR($Y390="",N($Z390)&lt;=0,$AB390=""),0,IFERROR(LOOKUP(2,1/((거래처별!$AC$8:$AC$307&lt;&gt;"")*ISNUMBER(SEARCH(거래처별!$AC$8:$AC$307,$AB390))),거래처별!$A$8:$A$307),IFERROR(LOOKUP(2,1/((거래처별!$AD$8:$AD$307&lt;&gt;"")*ISNUMBER(SEARCH(거래처별!$AD$8:$AD$307,$AB390))),거래처별!$A$8:$A$307),IFERROR(LOOKUP(2,1/((거래처별!$AE$8:$AE$307&lt;&gt;"")*ISNUMBER(SEARCH(거래처별!$AE$8:$AE$307,$AB390))),거래처별!$A$8:$A$307),0))))</f>
        <v/>
      </c>
      <c r="AD390" s="31">
        <f>IF(AND($Y390&lt;&gt;"",N($Z390)&gt;0,$AC390=0),MAX($AD$7:$AD389)+1,"")</f>
        <v/>
      </c>
      <c r="AE390" s="31">
        <f>IF($Y390="",0,$Y390)</f>
        <v/>
      </c>
    </row>
    <row r="391">
      <c r="W391" s="31">
        <f>IF(OR($B$5="",$C$6="",ROW()&lt;$B$5),"",IF(INDEX($A:$U,ROW(),$C$6)="","",INDEX($A:$U,ROW(),$C$6)))</f>
        <v/>
      </c>
      <c r="X391" s="32">
        <f>IF($W391="","",IF(ISNUMBER($W391),IF($W391&gt;=10000000,IFERROR(DATE(INT($W391/10000),MOD(INT($W391/100),100),MOD($W391,100)),""),INT($W391)),IFERROR(DATE(--LEFT(LEFT(SUBSTITUTE(SUBSTITUTE(SUBSTITUTE(SUBSTITUTE(TRIM($W391),"-",""),".",""),"/","")," ",""),8),4),--MID(LEFT(SUBSTITUTE(SUBSTITUTE(SUBSTITUTE(SUBSTITUTE(TRIM($W391),"-",""),".",""),"/","")," ",""),8),5,2),--MID(LEFT(SUBSTITUTE(SUBSTITUTE(SUBSTITUTE(SUBSTITUTE(TRIM($W391),"-",""),".",""),"/","")," ",""),8),7,2)),"")))</f>
        <v/>
      </c>
      <c r="Y391" s="32">
        <f>IF($X391="","",INT($X391))</f>
        <v/>
      </c>
      <c r="Z391" s="33">
        <f>IF(OR($Y391="",$D$6=""),"",IF(INDEX($A:$U,ROW(),$D$6)="",0,IF(ISNUMBER(INDEX($A:$U,ROW(),$D$6)),INDEX($A:$U,ROW(),$D$6),IFERROR(--SUBSTITUTE(SUBSTITUTE(TRIM(INDEX($A:$U,ROW(),$D$6)),",",""),"원",""),0))))</f>
        <v/>
      </c>
      <c r="AA391" s="31">
        <f>IF($Y391="","",TRIM(INDEX($A:$U,ROW(),$E$6)&amp;IF($F$6="",""," "&amp;INDEX($A:$U,ROW(),$F$6))))</f>
        <v/>
      </c>
      <c r="AB391" s="31">
        <f>IF($AA391="","",SUBSTITUTE(SUBSTITUTE(SUBSTITUTE(SUBSTITUTE(SUBSTITUTE(SUBSTITUTE(SUBSTITUTE(SUBSTITUTE(SUBSTITUTE($AA391," ",""),"　",""),"(주)",""),"（주）",""),"㈜",""),"주식회사",""),"(유)",""),"（유）",""),"유한회사",""))</f>
        <v/>
      </c>
      <c r="AC391" s="31">
        <f>IF(OR($Y391="",N($Z391)&lt;=0,$AB391=""),0,IFERROR(LOOKUP(2,1/((거래처별!$AC$8:$AC$307&lt;&gt;"")*ISNUMBER(SEARCH(거래처별!$AC$8:$AC$307,$AB391))),거래처별!$A$8:$A$307),IFERROR(LOOKUP(2,1/((거래처별!$AD$8:$AD$307&lt;&gt;"")*ISNUMBER(SEARCH(거래처별!$AD$8:$AD$307,$AB391))),거래처별!$A$8:$A$307),IFERROR(LOOKUP(2,1/((거래처별!$AE$8:$AE$307&lt;&gt;"")*ISNUMBER(SEARCH(거래처별!$AE$8:$AE$307,$AB391))),거래처별!$A$8:$A$307),0))))</f>
        <v/>
      </c>
      <c r="AD391" s="31">
        <f>IF(AND($Y391&lt;&gt;"",N($Z391)&gt;0,$AC391=0),MAX($AD$7:$AD390)+1,"")</f>
        <v/>
      </c>
      <c r="AE391" s="31">
        <f>IF($Y391="",0,$Y391)</f>
        <v/>
      </c>
    </row>
    <row r="392">
      <c r="W392" s="31">
        <f>IF(OR($B$5="",$C$6="",ROW()&lt;$B$5),"",IF(INDEX($A:$U,ROW(),$C$6)="","",INDEX($A:$U,ROW(),$C$6)))</f>
        <v/>
      </c>
      <c r="X392" s="32">
        <f>IF($W392="","",IF(ISNUMBER($W392),IF($W392&gt;=10000000,IFERROR(DATE(INT($W392/10000),MOD(INT($W392/100),100),MOD($W392,100)),""),INT($W392)),IFERROR(DATE(--LEFT(LEFT(SUBSTITUTE(SUBSTITUTE(SUBSTITUTE(SUBSTITUTE(TRIM($W392),"-",""),".",""),"/","")," ",""),8),4),--MID(LEFT(SUBSTITUTE(SUBSTITUTE(SUBSTITUTE(SUBSTITUTE(TRIM($W392),"-",""),".",""),"/","")," ",""),8),5,2),--MID(LEFT(SUBSTITUTE(SUBSTITUTE(SUBSTITUTE(SUBSTITUTE(TRIM($W392),"-",""),".",""),"/","")," ",""),8),7,2)),"")))</f>
        <v/>
      </c>
      <c r="Y392" s="32">
        <f>IF($X392="","",INT($X392))</f>
        <v/>
      </c>
      <c r="Z392" s="33">
        <f>IF(OR($Y392="",$D$6=""),"",IF(INDEX($A:$U,ROW(),$D$6)="",0,IF(ISNUMBER(INDEX($A:$U,ROW(),$D$6)),INDEX($A:$U,ROW(),$D$6),IFERROR(--SUBSTITUTE(SUBSTITUTE(TRIM(INDEX($A:$U,ROW(),$D$6)),",",""),"원",""),0))))</f>
        <v/>
      </c>
      <c r="AA392" s="31">
        <f>IF($Y392="","",TRIM(INDEX($A:$U,ROW(),$E$6)&amp;IF($F$6="",""," "&amp;INDEX($A:$U,ROW(),$F$6))))</f>
        <v/>
      </c>
      <c r="AB392" s="31">
        <f>IF($AA392="","",SUBSTITUTE(SUBSTITUTE(SUBSTITUTE(SUBSTITUTE(SUBSTITUTE(SUBSTITUTE(SUBSTITUTE(SUBSTITUTE(SUBSTITUTE($AA392," ",""),"　",""),"(주)",""),"（주）",""),"㈜",""),"주식회사",""),"(유)",""),"（유）",""),"유한회사",""))</f>
        <v/>
      </c>
      <c r="AC392" s="31">
        <f>IF(OR($Y392="",N($Z392)&lt;=0,$AB392=""),0,IFERROR(LOOKUP(2,1/((거래처별!$AC$8:$AC$307&lt;&gt;"")*ISNUMBER(SEARCH(거래처별!$AC$8:$AC$307,$AB392))),거래처별!$A$8:$A$307),IFERROR(LOOKUP(2,1/((거래처별!$AD$8:$AD$307&lt;&gt;"")*ISNUMBER(SEARCH(거래처별!$AD$8:$AD$307,$AB392))),거래처별!$A$8:$A$307),IFERROR(LOOKUP(2,1/((거래처별!$AE$8:$AE$307&lt;&gt;"")*ISNUMBER(SEARCH(거래처별!$AE$8:$AE$307,$AB392))),거래처별!$A$8:$A$307),0))))</f>
        <v/>
      </c>
      <c r="AD392" s="31">
        <f>IF(AND($Y392&lt;&gt;"",N($Z392)&gt;0,$AC392=0),MAX($AD$7:$AD391)+1,"")</f>
        <v/>
      </c>
      <c r="AE392" s="31">
        <f>IF($Y392="",0,$Y392)</f>
        <v/>
      </c>
    </row>
    <row r="393">
      <c r="W393" s="31">
        <f>IF(OR($B$5="",$C$6="",ROW()&lt;$B$5),"",IF(INDEX($A:$U,ROW(),$C$6)="","",INDEX($A:$U,ROW(),$C$6)))</f>
        <v/>
      </c>
      <c r="X393" s="32">
        <f>IF($W393="","",IF(ISNUMBER($W393),IF($W393&gt;=10000000,IFERROR(DATE(INT($W393/10000),MOD(INT($W393/100),100),MOD($W393,100)),""),INT($W393)),IFERROR(DATE(--LEFT(LEFT(SUBSTITUTE(SUBSTITUTE(SUBSTITUTE(SUBSTITUTE(TRIM($W393),"-",""),".",""),"/","")," ",""),8),4),--MID(LEFT(SUBSTITUTE(SUBSTITUTE(SUBSTITUTE(SUBSTITUTE(TRIM($W393),"-",""),".",""),"/","")," ",""),8),5,2),--MID(LEFT(SUBSTITUTE(SUBSTITUTE(SUBSTITUTE(SUBSTITUTE(TRIM($W393),"-",""),".",""),"/","")," ",""),8),7,2)),"")))</f>
        <v/>
      </c>
      <c r="Y393" s="32">
        <f>IF($X393="","",INT($X393))</f>
        <v/>
      </c>
      <c r="Z393" s="33">
        <f>IF(OR($Y393="",$D$6=""),"",IF(INDEX($A:$U,ROW(),$D$6)="",0,IF(ISNUMBER(INDEX($A:$U,ROW(),$D$6)),INDEX($A:$U,ROW(),$D$6),IFERROR(--SUBSTITUTE(SUBSTITUTE(TRIM(INDEX($A:$U,ROW(),$D$6)),",",""),"원",""),0))))</f>
        <v/>
      </c>
      <c r="AA393" s="31">
        <f>IF($Y393="","",TRIM(INDEX($A:$U,ROW(),$E$6)&amp;IF($F$6="",""," "&amp;INDEX($A:$U,ROW(),$F$6))))</f>
        <v/>
      </c>
      <c r="AB393" s="31">
        <f>IF($AA393="","",SUBSTITUTE(SUBSTITUTE(SUBSTITUTE(SUBSTITUTE(SUBSTITUTE(SUBSTITUTE(SUBSTITUTE(SUBSTITUTE(SUBSTITUTE($AA393," ",""),"　",""),"(주)",""),"（주）",""),"㈜",""),"주식회사",""),"(유)",""),"（유）",""),"유한회사",""))</f>
        <v/>
      </c>
      <c r="AC393" s="31">
        <f>IF(OR($Y393="",N($Z393)&lt;=0,$AB393=""),0,IFERROR(LOOKUP(2,1/((거래처별!$AC$8:$AC$307&lt;&gt;"")*ISNUMBER(SEARCH(거래처별!$AC$8:$AC$307,$AB393))),거래처별!$A$8:$A$307),IFERROR(LOOKUP(2,1/((거래처별!$AD$8:$AD$307&lt;&gt;"")*ISNUMBER(SEARCH(거래처별!$AD$8:$AD$307,$AB393))),거래처별!$A$8:$A$307),IFERROR(LOOKUP(2,1/((거래처별!$AE$8:$AE$307&lt;&gt;"")*ISNUMBER(SEARCH(거래처별!$AE$8:$AE$307,$AB393))),거래처별!$A$8:$A$307),0))))</f>
        <v/>
      </c>
      <c r="AD393" s="31">
        <f>IF(AND($Y393&lt;&gt;"",N($Z393)&gt;0,$AC393=0),MAX($AD$7:$AD392)+1,"")</f>
        <v/>
      </c>
      <c r="AE393" s="31">
        <f>IF($Y393="",0,$Y393)</f>
        <v/>
      </c>
    </row>
    <row r="394">
      <c r="W394" s="31">
        <f>IF(OR($B$5="",$C$6="",ROW()&lt;$B$5),"",IF(INDEX($A:$U,ROW(),$C$6)="","",INDEX($A:$U,ROW(),$C$6)))</f>
        <v/>
      </c>
      <c r="X394" s="32">
        <f>IF($W394="","",IF(ISNUMBER($W394),IF($W394&gt;=10000000,IFERROR(DATE(INT($W394/10000),MOD(INT($W394/100),100),MOD($W394,100)),""),INT($W394)),IFERROR(DATE(--LEFT(LEFT(SUBSTITUTE(SUBSTITUTE(SUBSTITUTE(SUBSTITUTE(TRIM($W394),"-",""),".",""),"/","")," ",""),8),4),--MID(LEFT(SUBSTITUTE(SUBSTITUTE(SUBSTITUTE(SUBSTITUTE(TRIM($W394),"-",""),".",""),"/","")," ",""),8),5,2),--MID(LEFT(SUBSTITUTE(SUBSTITUTE(SUBSTITUTE(SUBSTITUTE(TRIM($W394),"-",""),".",""),"/","")," ",""),8),7,2)),"")))</f>
        <v/>
      </c>
      <c r="Y394" s="32">
        <f>IF($X394="","",INT($X394))</f>
        <v/>
      </c>
      <c r="Z394" s="33">
        <f>IF(OR($Y394="",$D$6=""),"",IF(INDEX($A:$U,ROW(),$D$6)="",0,IF(ISNUMBER(INDEX($A:$U,ROW(),$D$6)),INDEX($A:$U,ROW(),$D$6),IFERROR(--SUBSTITUTE(SUBSTITUTE(TRIM(INDEX($A:$U,ROW(),$D$6)),",",""),"원",""),0))))</f>
        <v/>
      </c>
      <c r="AA394" s="31">
        <f>IF($Y394="","",TRIM(INDEX($A:$U,ROW(),$E$6)&amp;IF($F$6="",""," "&amp;INDEX($A:$U,ROW(),$F$6))))</f>
        <v/>
      </c>
      <c r="AB394" s="31">
        <f>IF($AA394="","",SUBSTITUTE(SUBSTITUTE(SUBSTITUTE(SUBSTITUTE(SUBSTITUTE(SUBSTITUTE(SUBSTITUTE(SUBSTITUTE(SUBSTITUTE($AA394," ",""),"　",""),"(주)",""),"（주）",""),"㈜",""),"주식회사",""),"(유)",""),"（유）",""),"유한회사",""))</f>
        <v/>
      </c>
      <c r="AC394" s="31">
        <f>IF(OR($Y394="",N($Z394)&lt;=0,$AB394=""),0,IFERROR(LOOKUP(2,1/((거래처별!$AC$8:$AC$307&lt;&gt;"")*ISNUMBER(SEARCH(거래처별!$AC$8:$AC$307,$AB394))),거래처별!$A$8:$A$307),IFERROR(LOOKUP(2,1/((거래처별!$AD$8:$AD$307&lt;&gt;"")*ISNUMBER(SEARCH(거래처별!$AD$8:$AD$307,$AB394))),거래처별!$A$8:$A$307),IFERROR(LOOKUP(2,1/((거래처별!$AE$8:$AE$307&lt;&gt;"")*ISNUMBER(SEARCH(거래처별!$AE$8:$AE$307,$AB394))),거래처별!$A$8:$A$307),0))))</f>
        <v/>
      </c>
      <c r="AD394" s="31">
        <f>IF(AND($Y394&lt;&gt;"",N($Z394)&gt;0,$AC394=0),MAX($AD$7:$AD393)+1,"")</f>
        <v/>
      </c>
      <c r="AE394" s="31">
        <f>IF($Y394="",0,$Y394)</f>
        <v/>
      </c>
    </row>
    <row r="395">
      <c r="W395" s="31">
        <f>IF(OR($B$5="",$C$6="",ROW()&lt;$B$5),"",IF(INDEX($A:$U,ROW(),$C$6)="","",INDEX($A:$U,ROW(),$C$6)))</f>
        <v/>
      </c>
      <c r="X395" s="32">
        <f>IF($W395="","",IF(ISNUMBER($W395),IF($W395&gt;=10000000,IFERROR(DATE(INT($W395/10000),MOD(INT($W395/100),100),MOD($W395,100)),""),INT($W395)),IFERROR(DATE(--LEFT(LEFT(SUBSTITUTE(SUBSTITUTE(SUBSTITUTE(SUBSTITUTE(TRIM($W395),"-",""),".",""),"/","")," ",""),8),4),--MID(LEFT(SUBSTITUTE(SUBSTITUTE(SUBSTITUTE(SUBSTITUTE(TRIM($W395),"-",""),".",""),"/","")," ",""),8),5,2),--MID(LEFT(SUBSTITUTE(SUBSTITUTE(SUBSTITUTE(SUBSTITUTE(TRIM($W395),"-",""),".",""),"/","")," ",""),8),7,2)),"")))</f>
        <v/>
      </c>
      <c r="Y395" s="32">
        <f>IF($X395="","",INT($X395))</f>
        <v/>
      </c>
      <c r="Z395" s="33">
        <f>IF(OR($Y395="",$D$6=""),"",IF(INDEX($A:$U,ROW(),$D$6)="",0,IF(ISNUMBER(INDEX($A:$U,ROW(),$D$6)),INDEX($A:$U,ROW(),$D$6),IFERROR(--SUBSTITUTE(SUBSTITUTE(TRIM(INDEX($A:$U,ROW(),$D$6)),",",""),"원",""),0))))</f>
        <v/>
      </c>
      <c r="AA395" s="31">
        <f>IF($Y395="","",TRIM(INDEX($A:$U,ROW(),$E$6)&amp;IF($F$6="",""," "&amp;INDEX($A:$U,ROW(),$F$6))))</f>
        <v/>
      </c>
      <c r="AB395" s="31">
        <f>IF($AA395="","",SUBSTITUTE(SUBSTITUTE(SUBSTITUTE(SUBSTITUTE(SUBSTITUTE(SUBSTITUTE(SUBSTITUTE(SUBSTITUTE(SUBSTITUTE($AA395," ",""),"　",""),"(주)",""),"（주）",""),"㈜",""),"주식회사",""),"(유)",""),"（유）",""),"유한회사",""))</f>
        <v/>
      </c>
      <c r="AC395" s="31">
        <f>IF(OR($Y395="",N($Z395)&lt;=0,$AB395=""),0,IFERROR(LOOKUP(2,1/((거래처별!$AC$8:$AC$307&lt;&gt;"")*ISNUMBER(SEARCH(거래처별!$AC$8:$AC$307,$AB395))),거래처별!$A$8:$A$307),IFERROR(LOOKUP(2,1/((거래처별!$AD$8:$AD$307&lt;&gt;"")*ISNUMBER(SEARCH(거래처별!$AD$8:$AD$307,$AB395))),거래처별!$A$8:$A$307),IFERROR(LOOKUP(2,1/((거래처별!$AE$8:$AE$307&lt;&gt;"")*ISNUMBER(SEARCH(거래처별!$AE$8:$AE$307,$AB395))),거래처별!$A$8:$A$307),0))))</f>
        <v/>
      </c>
      <c r="AD395" s="31">
        <f>IF(AND($Y395&lt;&gt;"",N($Z395)&gt;0,$AC395=0),MAX($AD$7:$AD394)+1,"")</f>
        <v/>
      </c>
      <c r="AE395" s="31">
        <f>IF($Y395="",0,$Y395)</f>
        <v/>
      </c>
    </row>
    <row r="396">
      <c r="W396" s="31">
        <f>IF(OR($B$5="",$C$6="",ROW()&lt;$B$5),"",IF(INDEX($A:$U,ROW(),$C$6)="","",INDEX($A:$U,ROW(),$C$6)))</f>
        <v/>
      </c>
      <c r="X396" s="32">
        <f>IF($W396="","",IF(ISNUMBER($W396),IF($W396&gt;=10000000,IFERROR(DATE(INT($W396/10000),MOD(INT($W396/100),100),MOD($W396,100)),""),INT($W396)),IFERROR(DATE(--LEFT(LEFT(SUBSTITUTE(SUBSTITUTE(SUBSTITUTE(SUBSTITUTE(TRIM($W396),"-",""),".",""),"/","")," ",""),8),4),--MID(LEFT(SUBSTITUTE(SUBSTITUTE(SUBSTITUTE(SUBSTITUTE(TRIM($W396),"-",""),".",""),"/","")," ",""),8),5,2),--MID(LEFT(SUBSTITUTE(SUBSTITUTE(SUBSTITUTE(SUBSTITUTE(TRIM($W396),"-",""),".",""),"/","")," ",""),8),7,2)),"")))</f>
        <v/>
      </c>
      <c r="Y396" s="32">
        <f>IF($X396="","",INT($X396))</f>
        <v/>
      </c>
      <c r="Z396" s="33">
        <f>IF(OR($Y396="",$D$6=""),"",IF(INDEX($A:$U,ROW(),$D$6)="",0,IF(ISNUMBER(INDEX($A:$U,ROW(),$D$6)),INDEX($A:$U,ROW(),$D$6),IFERROR(--SUBSTITUTE(SUBSTITUTE(TRIM(INDEX($A:$U,ROW(),$D$6)),",",""),"원",""),0))))</f>
        <v/>
      </c>
      <c r="AA396" s="31">
        <f>IF($Y396="","",TRIM(INDEX($A:$U,ROW(),$E$6)&amp;IF($F$6="",""," "&amp;INDEX($A:$U,ROW(),$F$6))))</f>
        <v/>
      </c>
      <c r="AB396" s="31">
        <f>IF($AA396="","",SUBSTITUTE(SUBSTITUTE(SUBSTITUTE(SUBSTITUTE(SUBSTITUTE(SUBSTITUTE(SUBSTITUTE(SUBSTITUTE(SUBSTITUTE($AA396," ",""),"　",""),"(주)",""),"（주）",""),"㈜",""),"주식회사",""),"(유)",""),"（유）",""),"유한회사",""))</f>
        <v/>
      </c>
      <c r="AC396" s="31">
        <f>IF(OR($Y396="",N($Z396)&lt;=0,$AB396=""),0,IFERROR(LOOKUP(2,1/((거래처별!$AC$8:$AC$307&lt;&gt;"")*ISNUMBER(SEARCH(거래처별!$AC$8:$AC$307,$AB396))),거래처별!$A$8:$A$307),IFERROR(LOOKUP(2,1/((거래처별!$AD$8:$AD$307&lt;&gt;"")*ISNUMBER(SEARCH(거래처별!$AD$8:$AD$307,$AB396))),거래처별!$A$8:$A$307),IFERROR(LOOKUP(2,1/((거래처별!$AE$8:$AE$307&lt;&gt;"")*ISNUMBER(SEARCH(거래처별!$AE$8:$AE$307,$AB396))),거래처별!$A$8:$A$307),0))))</f>
        <v/>
      </c>
      <c r="AD396" s="31">
        <f>IF(AND($Y396&lt;&gt;"",N($Z396)&gt;0,$AC396=0),MAX($AD$7:$AD395)+1,"")</f>
        <v/>
      </c>
      <c r="AE396" s="31">
        <f>IF($Y396="",0,$Y396)</f>
        <v/>
      </c>
    </row>
    <row r="397">
      <c r="W397" s="31">
        <f>IF(OR($B$5="",$C$6="",ROW()&lt;$B$5),"",IF(INDEX($A:$U,ROW(),$C$6)="","",INDEX($A:$U,ROW(),$C$6)))</f>
        <v/>
      </c>
      <c r="X397" s="32">
        <f>IF($W397="","",IF(ISNUMBER($W397),IF($W397&gt;=10000000,IFERROR(DATE(INT($W397/10000),MOD(INT($W397/100),100),MOD($W397,100)),""),INT($W397)),IFERROR(DATE(--LEFT(LEFT(SUBSTITUTE(SUBSTITUTE(SUBSTITUTE(SUBSTITUTE(TRIM($W397),"-",""),".",""),"/","")," ",""),8),4),--MID(LEFT(SUBSTITUTE(SUBSTITUTE(SUBSTITUTE(SUBSTITUTE(TRIM($W397),"-",""),".",""),"/","")," ",""),8),5,2),--MID(LEFT(SUBSTITUTE(SUBSTITUTE(SUBSTITUTE(SUBSTITUTE(TRIM($W397),"-",""),".",""),"/","")," ",""),8),7,2)),"")))</f>
        <v/>
      </c>
      <c r="Y397" s="32">
        <f>IF($X397="","",INT($X397))</f>
        <v/>
      </c>
      <c r="Z397" s="33">
        <f>IF(OR($Y397="",$D$6=""),"",IF(INDEX($A:$U,ROW(),$D$6)="",0,IF(ISNUMBER(INDEX($A:$U,ROW(),$D$6)),INDEX($A:$U,ROW(),$D$6),IFERROR(--SUBSTITUTE(SUBSTITUTE(TRIM(INDEX($A:$U,ROW(),$D$6)),",",""),"원",""),0))))</f>
        <v/>
      </c>
      <c r="AA397" s="31">
        <f>IF($Y397="","",TRIM(INDEX($A:$U,ROW(),$E$6)&amp;IF($F$6="",""," "&amp;INDEX($A:$U,ROW(),$F$6))))</f>
        <v/>
      </c>
      <c r="AB397" s="31">
        <f>IF($AA397="","",SUBSTITUTE(SUBSTITUTE(SUBSTITUTE(SUBSTITUTE(SUBSTITUTE(SUBSTITUTE(SUBSTITUTE(SUBSTITUTE(SUBSTITUTE($AA397," ",""),"　",""),"(주)",""),"（주）",""),"㈜",""),"주식회사",""),"(유)",""),"（유）",""),"유한회사",""))</f>
        <v/>
      </c>
      <c r="AC397" s="31">
        <f>IF(OR($Y397="",N($Z397)&lt;=0,$AB397=""),0,IFERROR(LOOKUP(2,1/((거래처별!$AC$8:$AC$307&lt;&gt;"")*ISNUMBER(SEARCH(거래처별!$AC$8:$AC$307,$AB397))),거래처별!$A$8:$A$307),IFERROR(LOOKUP(2,1/((거래처별!$AD$8:$AD$307&lt;&gt;"")*ISNUMBER(SEARCH(거래처별!$AD$8:$AD$307,$AB397))),거래처별!$A$8:$A$307),IFERROR(LOOKUP(2,1/((거래처별!$AE$8:$AE$307&lt;&gt;"")*ISNUMBER(SEARCH(거래처별!$AE$8:$AE$307,$AB397))),거래처별!$A$8:$A$307),0))))</f>
        <v/>
      </c>
      <c r="AD397" s="31">
        <f>IF(AND($Y397&lt;&gt;"",N($Z397)&gt;0,$AC397=0),MAX($AD$7:$AD396)+1,"")</f>
        <v/>
      </c>
      <c r="AE397" s="31">
        <f>IF($Y397="",0,$Y397)</f>
        <v/>
      </c>
    </row>
    <row r="398">
      <c r="W398" s="31">
        <f>IF(OR($B$5="",$C$6="",ROW()&lt;$B$5),"",IF(INDEX($A:$U,ROW(),$C$6)="","",INDEX($A:$U,ROW(),$C$6)))</f>
        <v/>
      </c>
      <c r="X398" s="32">
        <f>IF($W398="","",IF(ISNUMBER($W398),IF($W398&gt;=10000000,IFERROR(DATE(INT($W398/10000),MOD(INT($W398/100),100),MOD($W398,100)),""),INT($W398)),IFERROR(DATE(--LEFT(LEFT(SUBSTITUTE(SUBSTITUTE(SUBSTITUTE(SUBSTITUTE(TRIM($W398),"-",""),".",""),"/","")," ",""),8),4),--MID(LEFT(SUBSTITUTE(SUBSTITUTE(SUBSTITUTE(SUBSTITUTE(TRIM($W398),"-",""),".",""),"/","")," ",""),8),5,2),--MID(LEFT(SUBSTITUTE(SUBSTITUTE(SUBSTITUTE(SUBSTITUTE(TRIM($W398),"-",""),".",""),"/","")," ",""),8),7,2)),"")))</f>
        <v/>
      </c>
      <c r="Y398" s="32">
        <f>IF($X398="","",INT($X398))</f>
        <v/>
      </c>
      <c r="Z398" s="33">
        <f>IF(OR($Y398="",$D$6=""),"",IF(INDEX($A:$U,ROW(),$D$6)="",0,IF(ISNUMBER(INDEX($A:$U,ROW(),$D$6)),INDEX($A:$U,ROW(),$D$6),IFERROR(--SUBSTITUTE(SUBSTITUTE(TRIM(INDEX($A:$U,ROW(),$D$6)),",",""),"원",""),0))))</f>
        <v/>
      </c>
      <c r="AA398" s="31">
        <f>IF($Y398="","",TRIM(INDEX($A:$U,ROW(),$E$6)&amp;IF($F$6="",""," "&amp;INDEX($A:$U,ROW(),$F$6))))</f>
        <v/>
      </c>
      <c r="AB398" s="31">
        <f>IF($AA398="","",SUBSTITUTE(SUBSTITUTE(SUBSTITUTE(SUBSTITUTE(SUBSTITUTE(SUBSTITUTE(SUBSTITUTE(SUBSTITUTE(SUBSTITUTE($AA398," ",""),"　",""),"(주)",""),"（주）",""),"㈜",""),"주식회사",""),"(유)",""),"（유）",""),"유한회사",""))</f>
        <v/>
      </c>
      <c r="AC398" s="31">
        <f>IF(OR($Y398="",N($Z398)&lt;=0,$AB398=""),0,IFERROR(LOOKUP(2,1/((거래처별!$AC$8:$AC$307&lt;&gt;"")*ISNUMBER(SEARCH(거래처별!$AC$8:$AC$307,$AB398))),거래처별!$A$8:$A$307),IFERROR(LOOKUP(2,1/((거래처별!$AD$8:$AD$307&lt;&gt;"")*ISNUMBER(SEARCH(거래처별!$AD$8:$AD$307,$AB398))),거래처별!$A$8:$A$307),IFERROR(LOOKUP(2,1/((거래처별!$AE$8:$AE$307&lt;&gt;"")*ISNUMBER(SEARCH(거래처별!$AE$8:$AE$307,$AB398))),거래처별!$A$8:$A$307),0))))</f>
        <v/>
      </c>
      <c r="AD398" s="31">
        <f>IF(AND($Y398&lt;&gt;"",N($Z398)&gt;0,$AC398=0),MAX($AD$7:$AD397)+1,"")</f>
        <v/>
      </c>
      <c r="AE398" s="31">
        <f>IF($Y398="",0,$Y398)</f>
        <v/>
      </c>
    </row>
    <row r="399">
      <c r="W399" s="31">
        <f>IF(OR($B$5="",$C$6="",ROW()&lt;$B$5),"",IF(INDEX($A:$U,ROW(),$C$6)="","",INDEX($A:$U,ROW(),$C$6)))</f>
        <v/>
      </c>
      <c r="X399" s="32">
        <f>IF($W399="","",IF(ISNUMBER($W399),IF($W399&gt;=10000000,IFERROR(DATE(INT($W399/10000),MOD(INT($W399/100),100),MOD($W399,100)),""),INT($W399)),IFERROR(DATE(--LEFT(LEFT(SUBSTITUTE(SUBSTITUTE(SUBSTITUTE(SUBSTITUTE(TRIM($W399),"-",""),".",""),"/","")," ",""),8),4),--MID(LEFT(SUBSTITUTE(SUBSTITUTE(SUBSTITUTE(SUBSTITUTE(TRIM($W399),"-",""),".",""),"/","")," ",""),8),5,2),--MID(LEFT(SUBSTITUTE(SUBSTITUTE(SUBSTITUTE(SUBSTITUTE(TRIM($W399),"-",""),".",""),"/","")," ",""),8),7,2)),"")))</f>
        <v/>
      </c>
      <c r="Y399" s="32">
        <f>IF($X399="","",INT($X399))</f>
        <v/>
      </c>
      <c r="Z399" s="33">
        <f>IF(OR($Y399="",$D$6=""),"",IF(INDEX($A:$U,ROW(),$D$6)="",0,IF(ISNUMBER(INDEX($A:$U,ROW(),$D$6)),INDEX($A:$U,ROW(),$D$6),IFERROR(--SUBSTITUTE(SUBSTITUTE(TRIM(INDEX($A:$U,ROW(),$D$6)),",",""),"원",""),0))))</f>
        <v/>
      </c>
      <c r="AA399" s="31">
        <f>IF($Y399="","",TRIM(INDEX($A:$U,ROW(),$E$6)&amp;IF($F$6="",""," "&amp;INDEX($A:$U,ROW(),$F$6))))</f>
        <v/>
      </c>
      <c r="AB399" s="31">
        <f>IF($AA399="","",SUBSTITUTE(SUBSTITUTE(SUBSTITUTE(SUBSTITUTE(SUBSTITUTE(SUBSTITUTE(SUBSTITUTE(SUBSTITUTE(SUBSTITUTE($AA399," ",""),"　",""),"(주)",""),"（주）",""),"㈜",""),"주식회사",""),"(유)",""),"（유）",""),"유한회사",""))</f>
        <v/>
      </c>
      <c r="AC399" s="31">
        <f>IF(OR($Y399="",N($Z399)&lt;=0,$AB399=""),0,IFERROR(LOOKUP(2,1/((거래처별!$AC$8:$AC$307&lt;&gt;"")*ISNUMBER(SEARCH(거래처별!$AC$8:$AC$307,$AB399))),거래처별!$A$8:$A$307),IFERROR(LOOKUP(2,1/((거래처별!$AD$8:$AD$307&lt;&gt;"")*ISNUMBER(SEARCH(거래처별!$AD$8:$AD$307,$AB399))),거래처별!$A$8:$A$307),IFERROR(LOOKUP(2,1/((거래처별!$AE$8:$AE$307&lt;&gt;"")*ISNUMBER(SEARCH(거래처별!$AE$8:$AE$307,$AB399))),거래처별!$A$8:$A$307),0))))</f>
        <v/>
      </c>
      <c r="AD399" s="31">
        <f>IF(AND($Y399&lt;&gt;"",N($Z399)&gt;0,$AC399=0),MAX($AD$7:$AD398)+1,"")</f>
        <v/>
      </c>
      <c r="AE399" s="31">
        <f>IF($Y399="",0,$Y399)</f>
        <v/>
      </c>
    </row>
    <row r="400">
      <c r="W400" s="31">
        <f>IF(OR($B$5="",$C$6="",ROW()&lt;$B$5),"",IF(INDEX($A:$U,ROW(),$C$6)="","",INDEX($A:$U,ROW(),$C$6)))</f>
        <v/>
      </c>
      <c r="X400" s="32">
        <f>IF($W400="","",IF(ISNUMBER($W400),IF($W400&gt;=10000000,IFERROR(DATE(INT($W400/10000),MOD(INT($W400/100),100),MOD($W400,100)),""),INT($W400)),IFERROR(DATE(--LEFT(LEFT(SUBSTITUTE(SUBSTITUTE(SUBSTITUTE(SUBSTITUTE(TRIM($W400),"-",""),".",""),"/","")," ",""),8),4),--MID(LEFT(SUBSTITUTE(SUBSTITUTE(SUBSTITUTE(SUBSTITUTE(TRIM($W400),"-",""),".",""),"/","")," ",""),8),5,2),--MID(LEFT(SUBSTITUTE(SUBSTITUTE(SUBSTITUTE(SUBSTITUTE(TRIM($W400),"-",""),".",""),"/","")," ",""),8),7,2)),"")))</f>
        <v/>
      </c>
      <c r="Y400" s="32">
        <f>IF($X400="","",INT($X400))</f>
        <v/>
      </c>
      <c r="Z400" s="33">
        <f>IF(OR($Y400="",$D$6=""),"",IF(INDEX($A:$U,ROW(),$D$6)="",0,IF(ISNUMBER(INDEX($A:$U,ROW(),$D$6)),INDEX($A:$U,ROW(),$D$6),IFERROR(--SUBSTITUTE(SUBSTITUTE(TRIM(INDEX($A:$U,ROW(),$D$6)),",",""),"원",""),0))))</f>
        <v/>
      </c>
      <c r="AA400" s="31">
        <f>IF($Y400="","",TRIM(INDEX($A:$U,ROW(),$E$6)&amp;IF($F$6="",""," "&amp;INDEX($A:$U,ROW(),$F$6))))</f>
        <v/>
      </c>
      <c r="AB400" s="31">
        <f>IF($AA400="","",SUBSTITUTE(SUBSTITUTE(SUBSTITUTE(SUBSTITUTE(SUBSTITUTE(SUBSTITUTE(SUBSTITUTE(SUBSTITUTE(SUBSTITUTE($AA400," ",""),"　",""),"(주)",""),"（주）",""),"㈜",""),"주식회사",""),"(유)",""),"（유）",""),"유한회사",""))</f>
        <v/>
      </c>
      <c r="AC400" s="31">
        <f>IF(OR($Y400="",N($Z400)&lt;=0,$AB400=""),0,IFERROR(LOOKUP(2,1/((거래처별!$AC$8:$AC$307&lt;&gt;"")*ISNUMBER(SEARCH(거래처별!$AC$8:$AC$307,$AB400))),거래처별!$A$8:$A$307),IFERROR(LOOKUP(2,1/((거래처별!$AD$8:$AD$307&lt;&gt;"")*ISNUMBER(SEARCH(거래처별!$AD$8:$AD$307,$AB400))),거래처별!$A$8:$A$307),IFERROR(LOOKUP(2,1/((거래처별!$AE$8:$AE$307&lt;&gt;"")*ISNUMBER(SEARCH(거래처별!$AE$8:$AE$307,$AB400))),거래처별!$A$8:$A$307),0))))</f>
        <v/>
      </c>
      <c r="AD400" s="31">
        <f>IF(AND($Y400&lt;&gt;"",N($Z400)&gt;0,$AC400=0),MAX($AD$7:$AD399)+1,"")</f>
        <v/>
      </c>
      <c r="AE400" s="31">
        <f>IF($Y400="",0,$Y400)</f>
        <v/>
      </c>
    </row>
    <row r="401">
      <c r="W401" s="31">
        <f>IF(OR($B$5="",$C$6="",ROW()&lt;$B$5),"",IF(INDEX($A:$U,ROW(),$C$6)="","",INDEX($A:$U,ROW(),$C$6)))</f>
        <v/>
      </c>
      <c r="X401" s="32">
        <f>IF($W401="","",IF(ISNUMBER($W401),IF($W401&gt;=10000000,IFERROR(DATE(INT($W401/10000),MOD(INT($W401/100),100),MOD($W401,100)),""),INT($W401)),IFERROR(DATE(--LEFT(LEFT(SUBSTITUTE(SUBSTITUTE(SUBSTITUTE(SUBSTITUTE(TRIM($W401),"-",""),".",""),"/","")," ",""),8),4),--MID(LEFT(SUBSTITUTE(SUBSTITUTE(SUBSTITUTE(SUBSTITUTE(TRIM($W401),"-",""),".",""),"/","")," ",""),8),5,2),--MID(LEFT(SUBSTITUTE(SUBSTITUTE(SUBSTITUTE(SUBSTITUTE(TRIM($W401),"-",""),".",""),"/","")," ",""),8),7,2)),"")))</f>
        <v/>
      </c>
      <c r="Y401" s="32">
        <f>IF($X401="","",INT($X401))</f>
        <v/>
      </c>
      <c r="Z401" s="33">
        <f>IF(OR($Y401="",$D$6=""),"",IF(INDEX($A:$U,ROW(),$D$6)="",0,IF(ISNUMBER(INDEX($A:$U,ROW(),$D$6)),INDEX($A:$U,ROW(),$D$6),IFERROR(--SUBSTITUTE(SUBSTITUTE(TRIM(INDEX($A:$U,ROW(),$D$6)),",",""),"원",""),0))))</f>
        <v/>
      </c>
      <c r="AA401" s="31">
        <f>IF($Y401="","",TRIM(INDEX($A:$U,ROW(),$E$6)&amp;IF($F$6="",""," "&amp;INDEX($A:$U,ROW(),$F$6))))</f>
        <v/>
      </c>
      <c r="AB401" s="31">
        <f>IF($AA401="","",SUBSTITUTE(SUBSTITUTE(SUBSTITUTE(SUBSTITUTE(SUBSTITUTE(SUBSTITUTE(SUBSTITUTE(SUBSTITUTE(SUBSTITUTE($AA401," ",""),"　",""),"(주)",""),"（주）",""),"㈜",""),"주식회사",""),"(유)",""),"（유）",""),"유한회사",""))</f>
        <v/>
      </c>
      <c r="AC401" s="31">
        <f>IF(OR($Y401="",N($Z401)&lt;=0,$AB401=""),0,IFERROR(LOOKUP(2,1/((거래처별!$AC$8:$AC$307&lt;&gt;"")*ISNUMBER(SEARCH(거래처별!$AC$8:$AC$307,$AB401))),거래처별!$A$8:$A$307),IFERROR(LOOKUP(2,1/((거래처별!$AD$8:$AD$307&lt;&gt;"")*ISNUMBER(SEARCH(거래처별!$AD$8:$AD$307,$AB401))),거래처별!$A$8:$A$307),IFERROR(LOOKUP(2,1/((거래처별!$AE$8:$AE$307&lt;&gt;"")*ISNUMBER(SEARCH(거래처별!$AE$8:$AE$307,$AB401))),거래처별!$A$8:$A$307),0))))</f>
        <v/>
      </c>
      <c r="AD401" s="31">
        <f>IF(AND($Y401&lt;&gt;"",N($Z401)&gt;0,$AC401=0),MAX($AD$7:$AD400)+1,"")</f>
        <v/>
      </c>
      <c r="AE401" s="31">
        <f>IF($Y401="",0,$Y401)</f>
        <v/>
      </c>
    </row>
    <row r="402">
      <c r="W402" s="31">
        <f>IF(OR($B$5="",$C$6="",ROW()&lt;$B$5),"",IF(INDEX($A:$U,ROW(),$C$6)="","",INDEX($A:$U,ROW(),$C$6)))</f>
        <v/>
      </c>
      <c r="X402" s="32">
        <f>IF($W402="","",IF(ISNUMBER($W402),IF($W402&gt;=10000000,IFERROR(DATE(INT($W402/10000),MOD(INT($W402/100),100),MOD($W402,100)),""),INT($W402)),IFERROR(DATE(--LEFT(LEFT(SUBSTITUTE(SUBSTITUTE(SUBSTITUTE(SUBSTITUTE(TRIM($W402),"-",""),".",""),"/","")," ",""),8),4),--MID(LEFT(SUBSTITUTE(SUBSTITUTE(SUBSTITUTE(SUBSTITUTE(TRIM($W402),"-",""),".",""),"/","")," ",""),8),5,2),--MID(LEFT(SUBSTITUTE(SUBSTITUTE(SUBSTITUTE(SUBSTITUTE(TRIM($W402),"-",""),".",""),"/","")," ",""),8),7,2)),"")))</f>
        <v/>
      </c>
      <c r="Y402" s="32">
        <f>IF($X402="","",INT($X402))</f>
        <v/>
      </c>
      <c r="Z402" s="33">
        <f>IF(OR($Y402="",$D$6=""),"",IF(INDEX($A:$U,ROW(),$D$6)="",0,IF(ISNUMBER(INDEX($A:$U,ROW(),$D$6)),INDEX($A:$U,ROW(),$D$6),IFERROR(--SUBSTITUTE(SUBSTITUTE(TRIM(INDEX($A:$U,ROW(),$D$6)),",",""),"원",""),0))))</f>
        <v/>
      </c>
      <c r="AA402" s="31">
        <f>IF($Y402="","",TRIM(INDEX($A:$U,ROW(),$E$6)&amp;IF($F$6="",""," "&amp;INDEX($A:$U,ROW(),$F$6))))</f>
        <v/>
      </c>
      <c r="AB402" s="31">
        <f>IF($AA402="","",SUBSTITUTE(SUBSTITUTE(SUBSTITUTE(SUBSTITUTE(SUBSTITUTE(SUBSTITUTE(SUBSTITUTE(SUBSTITUTE(SUBSTITUTE($AA402," ",""),"　",""),"(주)",""),"（주）",""),"㈜",""),"주식회사",""),"(유)",""),"（유）",""),"유한회사",""))</f>
        <v/>
      </c>
      <c r="AC402" s="31">
        <f>IF(OR($Y402="",N($Z402)&lt;=0,$AB402=""),0,IFERROR(LOOKUP(2,1/((거래처별!$AC$8:$AC$307&lt;&gt;"")*ISNUMBER(SEARCH(거래처별!$AC$8:$AC$307,$AB402))),거래처별!$A$8:$A$307),IFERROR(LOOKUP(2,1/((거래처별!$AD$8:$AD$307&lt;&gt;"")*ISNUMBER(SEARCH(거래처별!$AD$8:$AD$307,$AB402))),거래처별!$A$8:$A$307),IFERROR(LOOKUP(2,1/((거래처별!$AE$8:$AE$307&lt;&gt;"")*ISNUMBER(SEARCH(거래처별!$AE$8:$AE$307,$AB402))),거래처별!$A$8:$A$307),0))))</f>
        <v/>
      </c>
      <c r="AD402" s="31">
        <f>IF(AND($Y402&lt;&gt;"",N($Z402)&gt;0,$AC402=0),MAX($AD$7:$AD401)+1,"")</f>
        <v/>
      </c>
      <c r="AE402" s="31">
        <f>IF($Y402="",0,$Y402)</f>
        <v/>
      </c>
    </row>
    <row r="403">
      <c r="W403" s="31">
        <f>IF(OR($B$5="",$C$6="",ROW()&lt;$B$5),"",IF(INDEX($A:$U,ROW(),$C$6)="","",INDEX($A:$U,ROW(),$C$6)))</f>
        <v/>
      </c>
      <c r="X403" s="32">
        <f>IF($W403="","",IF(ISNUMBER($W403),IF($W403&gt;=10000000,IFERROR(DATE(INT($W403/10000),MOD(INT($W403/100),100),MOD($W403,100)),""),INT($W403)),IFERROR(DATE(--LEFT(LEFT(SUBSTITUTE(SUBSTITUTE(SUBSTITUTE(SUBSTITUTE(TRIM($W403),"-",""),".",""),"/","")," ",""),8),4),--MID(LEFT(SUBSTITUTE(SUBSTITUTE(SUBSTITUTE(SUBSTITUTE(TRIM($W403),"-",""),".",""),"/","")," ",""),8),5,2),--MID(LEFT(SUBSTITUTE(SUBSTITUTE(SUBSTITUTE(SUBSTITUTE(TRIM($W403),"-",""),".",""),"/","")," ",""),8),7,2)),"")))</f>
        <v/>
      </c>
      <c r="Y403" s="32">
        <f>IF($X403="","",INT($X403))</f>
        <v/>
      </c>
      <c r="Z403" s="33">
        <f>IF(OR($Y403="",$D$6=""),"",IF(INDEX($A:$U,ROW(),$D$6)="",0,IF(ISNUMBER(INDEX($A:$U,ROW(),$D$6)),INDEX($A:$U,ROW(),$D$6),IFERROR(--SUBSTITUTE(SUBSTITUTE(TRIM(INDEX($A:$U,ROW(),$D$6)),",",""),"원",""),0))))</f>
        <v/>
      </c>
      <c r="AA403" s="31">
        <f>IF($Y403="","",TRIM(INDEX($A:$U,ROW(),$E$6)&amp;IF($F$6="",""," "&amp;INDEX($A:$U,ROW(),$F$6))))</f>
        <v/>
      </c>
      <c r="AB403" s="31">
        <f>IF($AA403="","",SUBSTITUTE(SUBSTITUTE(SUBSTITUTE(SUBSTITUTE(SUBSTITUTE(SUBSTITUTE(SUBSTITUTE(SUBSTITUTE(SUBSTITUTE($AA403," ",""),"　",""),"(주)",""),"（주）",""),"㈜",""),"주식회사",""),"(유)",""),"（유）",""),"유한회사",""))</f>
        <v/>
      </c>
      <c r="AC403" s="31">
        <f>IF(OR($Y403="",N($Z403)&lt;=0,$AB403=""),0,IFERROR(LOOKUP(2,1/((거래처별!$AC$8:$AC$307&lt;&gt;"")*ISNUMBER(SEARCH(거래처별!$AC$8:$AC$307,$AB403))),거래처별!$A$8:$A$307),IFERROR(LOOKUP(2,1/((거래처별!$AD$8:$AD$307&lt;&gt;"")*ISNUMBER(SEARCH(거래처별!$AD$8:$AD$307,$AB403))),거래처별!$A$8:$A$307),IFERROR(LOOKUP(2,1/((거래처별!$AE$8:$AE$307&lt;&gt;"")*ISNUMBER(SEARCH(거래처별!$AE$8:$AE$307,$AB403))),거래처별!$A$8:$A$307),0))))</f>
        <v/>
      </c>
      <c r="AD403" s="31">
        <f>IF(AND($Y403&lt;&gt;"",N($Z403)&gt;0,$AC403=0),MAX($AD$7:$AD402)+1,"")</f>
        <v/>
      </c>
      <c r="AE403" s="31">
        <f>IF($Y403="",0,$Y403)</f>
        <v/>
      </c>
    </row>
    <row r="404">
      <c r="W404" s="31">
        <f>IF(OR($B$5="",$C$6="",ROW()&lt;$B$5),"",IF(INDEX($A:$U,ROW(),$C$6)="","",INDEX($A:$U,ROW(),$C$6)))</f>
        <v/>
      </c>
      <c r="X404" s="32">
        <f>IF($W404="","",IF(ISNUMBER($W404),IF($W404&gt;=10000000,IFERROR(DATE(INT($W404/10000),MOD(INT($W404/100),100),MOD($W404,100)),""),INT($W404)),IFERROR(DATE(--LEFT(LEFT(SUBSTITUTE(SUBSTITUTE(SUBSTITUTE(SUBSTITUTE(TRIM($W404),"-",""),".",""),"/","")," ",""),8),4),--MID(LEFT(SUBSTITUTE(SUBSTITUTE(SUBSTITUTE(SUBSTITUTE(TRIM($W404),"-",""),".",""),"/","")," ",""),8),5,2),--MID(LEFT(SUBSTITUTE(SUBSTITUTE(SUBSTITUTE(SUBSTITUTE(TRIM($W404),"-",""),".",""),"/","")," ",""),8),7,2)),"")))</f>
        <v/>
      </c>
      <c r="Y404" s="32">
        <f>IF($X404="","",INT($X404))</f>
        <v/>
      </c>
      <c r="Z404" s="33">
        <f>IF(OR($Y404="",$D$6=""),"",IF(INDEX($A:$U,ROW(),$D$6)="",0,IF(ISNUMBER(INDEX($A:$U,ROW(),$D$6)),INDEX($A:$U,ROW(),$D$6),IFERROR(--SUBSTITUTE(SUBSTITUTE(TRIM(INDEX($A:$U,ROW(),$D$6)),",",""),"원",""),0))))</f>
        <v/>
      </c>
      <c r="AA404" s="31">
        <f>IF($Y404="","",TRIM(INDEX($A:$U,ROW(),$E$6)&amp;IF($F$6="",""," "&amp;INDEX($A:$U,ROW(),$F$6))))</f>
        <v/>
      </c>
      <c r="AB404" s="31">
        <f>IF($AA404="","",SUBSTITUTE(SUBSTITUTE(SUBSTITUTE(SUBSTITUTE(SUBSTITUTE(SUBSTITUTE(SUBSTITUTE(SUBSTITUTE(SUBSTITUTE($AA404," ",""),"　",""),"(주)",""),"（주）",""),"㈜",""),"주식회사",""),"(유)",""),"（유）",""),"유한회사",""))</f>
        <v/>
      </c>
      <c r="AC404" s="31">
        <f>IF(OR($Y404="",N($Z404)&lt;=0,$AB404=""),0,IFERROR(LOOKUP(2,1/((거래처별!$AC$8:$AC$307&lt;&gt;"")*ISNUMBER(SEARCH(거래처별!$AC$8:$AC$307,$AB404))),거래처별!$A$8:$A$307),IFERROR(LOOKUP(2,1/((거래처별!$AD$8:$AD$307&lt;&gt;"")*ISNUMBER(SEARCH(거래처별!$AD$8:$AD$307,$AB404))),거래처별!$A$8:$A$307),IFERROR(LOOKUP(2,1/((거래처별!$AE$8:$AE$307&lt;&gt;"")*ISNUMBER(SEARCH(거래처별!$AE$8:$AE$307,$AB404))),거래처별!$A$8:$A$307),0))))</f>
        <v/>
      </c>
      <c r="AD404" s="31">
        <f>IF(AND($Y404&lt;&gt;"",N($Z404)&gt;0,$AC404=0),MAX($AD$7:$AD403)+1,"")</f>
        <v/>
      </c>
      <c r="AE404" s="31">
        <f>IF($Y404="",0,$Y404)</f>
        <v/>
      </c>
    </row>
    <row r="405">
      <c r="W405" s="31">
        <f>IF(OR($B$5="",$C$6="",ROW()&lt;$B$5),"",IF(INDEX($A:$U,ROW(),$C$6)="","",INDEX($A:$U,ROW(),$C$6)))</f>
        <v/>
      </c>
      <c r="X405" s="32">
        <f>IF($W405="","",IF(ISNUMBER($W405),IF($W405&gt;=10000000,IFERROR(DATE(INT($W405/10000),MOD(INT($W405/100),100),MOD($W405,100)),""),INT($W405)),IFERROR(DATE(--LEFT(LEFT(SUBSTITUTE(SUBSTITUTE(SUBSTITUTE(SUBSTITUTE(TRIM($W405),"-",""),".",""),"/","")," ",""),8),4),--MID(LEFT(SUBSTITUTE(SUBSTITUTE(SUBSTITUTE(SUBSTITUTE(TRIM($W405),"-",""),".",""),"/","")," ",""),8),5,2),--MID(LEFT(SUBSTITUTE(SUBSTITUTE(SUBSTITUTE(SUBSTITUTE(TRIM($W405),"-",""),".",""),"/","")," ",""),8),7,2)),"")))</f>
        <v/>
      </c>
      <c r="Y405" s="32">
        <f>IF($X405="","",INT($X405))</f>
        <v/>
      </c>
      <c r="Z405" s="33">
        <f>IF(OR($Y405="",$D$6=""),"",IF(INDEX($A:$U,ROW(),$D$6)="",0,IF(ISNUMBER(INDEX($A:$U,ROW(),$D$6)),INDEX($A:$U,ROW(),$D$6),IFERROR(--SUBSTITUTE(SUBSTITUTE(TRIM(INDEX($A:$U,ROW(),$D$6)),",",""),"원",""),0))))</f>
        <v/>
      </c>
      <c r="AA405" s="31">
        <f>IF($Y405="","",TRIM(INDEX($A:$U,ROW(),$E$6)&amp;IF($F$6="",""," "&amp;INDEX($A:$U,ROW(),$F$6))))</f>
        <v/>
      </c>
      <c r="AB405" s="31">
        <f>IF($AA405="","",SUBSTITUTE(SUBSTITUTE(SUBSTITUTE(SUBSTITUTE(SUBSTITUTE(SUBSTITUTE(SUBSTITUTE(SUBSTITUTE(SUBSTITUTE($AA405," ",""),"　",""),"(주)",""),"（주）",""),"㈜",""),"주식회사",""),"(유)",""),"（유）",""),"유한회사",""))</f>
        <v/>
      </c>
      <c r="AC405" s="31">
        <f>IF(OR($Y405="",N($Z405)&lt;=0,$AB405=""),0,IFERROR(LOOKUP(2,1/((거래처별!$AC$8:$AC$307&lt;&gt;"")*ISNUMBER(SEARCH(거래처별!$AC$8:$AC$307,$AB405))),거래처별!$A$8:$A$307),IFERROR(LOOKUP(2,1/((거래처별!$AD$8:$AD$307&lt;&gt;"")*ISNUMBER(SEARCH(거래처별!$AD$8:$AD$307,$AB405))),거래처별!$A$8:$A$307),IFERROR(LOOKUP(2,1/((거래처별!$AE$8:$AE$307&lt;&gt;"")*ISNUMBER(SEARCH(거래처별!$AE$8:$AE$307,$AB405))),거래처별!$A$8:$A$307),0))))</f>
        <v/>
      </c>
      <c r="AD405" s="31">
        <f>IF(AND($Y405&lt;&gt;"",N($Z405)&gt;0,$AC405=0),MAX($AD$7:$AD404)+1,"")</f>
        <v/>
      </c>
      <c r="AE405" s="31">
        <f>IF($Y405="",0,$Y405)</f>
        <v/>
      </c>
    </row>
    <row r="406">
      <c r="W406" s="31">
        <f>IF(OR($B$5="",$C$6="",ROW()&lt;$B$5),"",IF(INDEX($A:$U,ROW(),$C$6)="","",INDEX($A:$U,ROW(),$C$6)))</f>
        <v/>
      </c>
      <c r="X406" s="32">
        <f>IF($W406="","",IF(ISNUMBER($W406),IF($W406&gt;=10000000,IFERROR(DATE(INT($W406/10000),MOD(INT($W406/100),100),MOD($W406,100)),""),INT($W406)),IFERROR(DATE(--LEFT(LEFT(SUBSTITUTE(SUBSTITUTE(SUBSTITUTE(SUBSTITUTE(TRIM($W406),"-",""),".",""),"/","")," ",""),8),4),--MID(LEFT(SUBSTITUTE(SUBSTITUTE(SUBSTITUTE(SUBSTITUTE(TRIM($W406),"-",""),".",""),"/","")," ",""),8),5,2),--MID(LEFT(SUBSTITUTE(SUBSTITUTE(SUBSTITUTE(SUBSTITUTE(TRIM($W406),"-",""),".",""),"/","")," ",""),8),7,2)),"")))</f>
        <v/>
      </c>
      <c r="Y406" s="32">
        <f>IF($X406="","",INT($X406))</f>
        <v/>
      </c>
      <c r="Z406" s="33">
        <f>IF(OR($Y406="",$D$6=""),"",IF(INDEX($A:$U,ROW(),$D$6)="",0,IF(ISNUMBER(INDEX($A:$U,ROW(),$D$6)),INDEX($A:$U,ROW(),$D$6),IFERROR(--SUBSTITUTE(SUBSTITUTE(TRIM(INDEX($A:$U,ROW(),$D$6)),",",""),"원",""),0))))</f>
        <v/>
      </c>
      <c r="AA406" s="31">
        <f>IF($Y406="","",TRIM(INDEX($A:$U,ROW(),$E$6)&amp;IF($F$6="",""," "&amp;INDEX($A:$U,ROW(),$F$6))))</f>
        <v/>
      </c>
      <c r="AB406" s="31">
        <f>IF($AA406="","",SUBSTITUTE(SUBSTITUTE(SUBSTITUTE(SUBSTITUTE(SUBSTITUTE(SUBSTITUTE(SUBSTITUTE(SUBSTITUTE(SUBSTITUTE($AA406," ",""),"　",""),"(주)",""),"（주）",""),"㈜",""),"주식회사",""),"(유)",""),"（유）",""),"유한회사",""))</f>
        <v/>
      </c>
      <c r="AC406" s="31">
        <f>IF(OR($Y406="",N($Z406)&lt;=0,$AB406=""),0,IFERROR(LOOKUP(2,1/((거래처별!$AC$8:$AC$307&lt;&gt;"")*ISNUMBER(SEARCH(거래처별!$AC$8:$AC$307,$AB406))),거래처별!$A$8:$A$307),IFERROR(LOOKUP(2,1/((거래처별!$AD$8:$AD$307&lt;&gt;"")*ISNUMBER(SEARCH(거래처별!$AD$8:$AD$307,$AB406))),거래처별!$A$8:$A$307),IFERROR(LOOKUP(2,1/((거래처별!$AE$8:$AE$307&lt;&gt;"")*ISNUMBER(SEARCH(거래처별!$AE$8:$AE$307,$AB406))),거래처별!$A$8:$A$307),0))))</f>
        <v/>
      </c>
      <c r="AD406" s="31">
        <f>IF(AND($Y406&lt;&gt;"",N($Z406)&gt;0,$AC406=0),MAX($AD$7:$AD405)+1,"")</f>
        <v/>
      </c>
      <c r="AE406" s="31">
        <f>IF($Y406="",0,$Y406)</f>
        <v/>
      </c>
    </row>
    <row r="407">
      <c r="W407" s="31">
        <f>IF(OR($B$5="",$C$6="",ROW()&lt;$B$5),"",IF(INDEX($A:$U,ROW(),$C$6)="","",INDEX($A:$U,ROW(),$C$6)))</f>
        <v/>
      </c>
      <c r="X407" s="32">
        <f>IF($W407="","",IF(ISNUMBER($W407),IF($W407&gt;=10000000,IFERROR(DATE(INT($W407/10000),MOD(INT($W407/100),100),MOD($W407,100)),""),INT($W407)),IFERROR(DATE(--LEFT(LEFT(SUBSTITUTE(SUBSTITUTE(SUBSTITUTE(SUBSTITUTE(TRIM($W407),"-",""),".",""),"/","")," ",""),8),4),--MID(LEFT(SUBSTITUTE(SUBSTITUTE(SUBSTITUTE(SUBSTITUTE(TRIM($W407),"-",""),".",""),"/","")," ",""),8),5,2),--MID(LEFT(SUBSTITUTE(SUBSTITUTE(SUBSTITUTE(SUBSTITUTE(TRIM($W407),"-",""),".",""),"/","")," ",""),8),7,2)),"")))</f>
        <v/>
      </c>
      <c r="Y407" s="32">
        <f>IF($X407="","",INT($X407))</f>
        <v/>
      </c>
      <c r="Z407" s="33">
        <f>IF(OR($Y407="",$D$6=""),"",IF(INDEX($A:$U,ROW(),$D$6)="",0,IF(ISNUMBER(INDEX($A:$U,ROW(),$D$6)),INDEX($A:$U,ROW(),$D$6),IFERROR(--SUBSTITUTE(SUBSTITUTE(TRIM(INDEX($A:$U,ROW(),$D$6)),",",""),"원",""),0))))</f>
        <v/>
      </c>
      <c r="AA407" s="31">
        <f>IF($Y407="","",TRIM(INDEX($A:$U,ROW(),$E$6)&amp;IF($F$6="",""," "&amp;INDEX($A:$U,ROW(),$F$6))))</f>
        <v/>
      </c>
      <c r="AB407" s="31">
        <f>IF($AA407="","",SUBSTITUTE(SUBSTITUTE(SUBSTITUTE(SUBSTITUTE(SUBSTITUTE(SUBSTITUTE(SUBSTITUTE(SUBSTITUTE(SUBSTITUTE($AA407," ",""),"　",""),"(주)",""),"（주）",""),"㈜",""),"주식회사",""),"(유)",""),"（유）",""),"유한회사",""))</f>
        <v/>
      </c>
      <c r="AC407" s="31">
        <f>IF(OR($Y407="",N($Z407)&lt;=0,$AB407=""),0,IFERROR(LOOKUP(2,1/((거래처별!$AC$8:$AC$307&lt;&gt;"")*ISNUMBER(SEARCH(거래처별!$AC$8:$AC$307,$AB407))),거래처별!$A$8:$A$307),IFERROR(LOOKUP(2,1/((거래처별!$AD$8:$AD$307&lt;&gt;"")*ISNUMBER(SEARCH(거래처별!$AD$8:$AD$307,$AB407))),거래처별!$A$8:$A$307),IFERROR(LOOKUP(2,1/((거래처별!$AE$8:$AE$307&lt;&gt;"")*ISNUMBER(SEARCH(거래처별!$AE$8:$AE$307,$AB407))),거래처별!$A$8:$A$307),0))))</f>
        <v/>
      </c>
      <c r="AD407" s="31">
        <f>IF(AND($Y407&lt;&gt;"",N($Z407)&gt;0,$AC407=0),MAX($AD$7:$AD406)+1,"")</f>
        <v/>
      </c>
      <c r="AE407" s="31">
        <f>IF($Y407="",0,$Y407)</f>
        <v/>
      </c>
    </row>
    <row r="408">
      <c r="W408" s="31">
        <f>IF(OR($B$5="",$C$6="",ROW()&lt;$B$5),"",IF(INDEX($A:$U,ROW(),$C$6)="","",INDEX($A:$U,ROW(),$C$6)))</f>
        <v/>
      </c>
      <c r="X408" s="32">
        <f>IF($W408="","",IF(ISNUMBER($W408),IF($W408&gt;=10000000,IFERROR(DATE(INT($W408/10000),MOD(INT($W408/100),100),MOD($W408,100)),""),INT($W408)),IFERROR(DATE(--LEFT(LEFT(SUBSTITUTE(SUBSTITUTE(SUBSTITUTE(SUBSTITUTE(TRIM($W408),"-",""),".",""),"/","")," ",""),8),4),--MID(LEFT(SUBSTITUTE(SUBSTITUTE(SUBSTITUTE(SUBSTITUTE(TRIM($W408),"-",""),".",""),"/","")," ",""),8),5,2),--MID(LEFT(SUBSTITUTE(SUBSTITUTE(SUBSTITUTE(SUBSTITUTE(TRIM($W408),"-",""),".",""),"/","")," ",""),8),7,2)),"")))</f>
        <v/>
      </c>
      <c r="Y408" s="32">
        <f>IF($X408="","",INT($X408))</f>
        <v/>
      </c>
      <c r="Z408" s="33">
        <f>IF(OR($Y408="",$D$6=""),"",IF(INDEX($A:$U,ROW(),$D$6)="",0,IF(ISNUMBER(INDEX($A:$U,ROW(),$D$6)),INDEX($A:$U,ROW(),$D$6),IFERROR(--SUBSTITUTE(SUBSTITUTE(TRIM(INDEX($A:$U,ROW(),$D$6)),",",""),"원",""),0))))</f>
        <v/>
      </c>
      <c r="AA408" s="31">
        <f>IF($Y408="","",TRIM(INDEX($A:$U,ROW(),$E$6)&amp;IF($F$6="",""," "&amp;INDEX($A:$U,ROW(),$F$6))))</f>
        <v/>
      </c>
      <c r="AB408" s="31">
        <f>IF($AA408="","",SUBSTITUTE(SUBSTITUTE(SUBSTITUTE(SUBSTITUTE(SUBSTITUTE(SUBSTITUTE(SUBSTITUTE(SUBSTITUTE(SUBSTITUTE($AA408," ",""),"　",""),"(주)",""),"（주）",""),"㈜",""),"주식회사",""),"(유)",""),"（유）",""),"유한회사",""))</f>
        <v/>
      </c>
      <c r="AC408" s="31">
        <f>IF(OR($Y408="",N($Z408)&lt;=0,$AB408=""),0,IFERROR(LOOKUP(2,1/((거래처별!$AC$8:$AC$307&lt;&gt;"")*ISNUMBER(SEARCH(거래처별!$AC$8:$AC$307,$AB408))),거래처별!$A$8:$A$307),IFERROR(LOOKUP(2,1/((거래처별!$AD$8:$AD$307&lt;&gt;"")*ISNUMBER(SEARCH(거래처별!$AD$8:$AD$307,$AB408))),거래처별!$A$8:$A$307),IFERROR(LOOKUP(2,1/((거래처별!$AE$8:$AE$307&lt;&gt;"")*ISNUMBER(SEARCH(거래처별!$AE$8:$AE$307,$AB408))),거래처별!$A$8:$A$307),0))))</f>
        <v/>
      </c>
      <c r="AD408" s="31">
        <f>IF(AND($Y408&lt;&gt;"",N($Z408)&gt;0,$AC408=0),MAX($AD$7:$AD407)+1,"")</f>
        <v/>
      </c>
      <c r="AE408" s="31">
        <f>IF($Y408="",0,$Y408)</f>
        <v/>
      </c>
    </row>
    <row r="409">
      <c r="W409" s="31">
        <f>IF(OR($B$5="",$C$6="",ROW()&lt;$B$5),"",IF(INDEX($A:$U,ROW(),$C$6)="","",INDEX($A:$U,ROW(),$C$6)))</f>
        <v/>
      </c>
      <c r="X409" s="32">
        <f>IF($W409="","",IF(ISNUMBER($W409),IF($W409&gt;=10000000,IFERROR(DATE(INT($W409/10000),MOD(INT($W409/100),100),MOD($W409,100)),""),INT($W409)),IFERROR(DATE(--LEFT(LEFT(SUBSTITUTE(SUBSTITUTE(SUBSTITUTE(SUBSTITUTE(TRIM($W409),"-",""),".",""),"/","")," ",""),8),4),--MID(LEFT(SUBSTITUTE(SUBSTITUTE(SUBSTITUTE(SUBSTITUTE(TRIM($W409),"-",""),".",""),"/","")," ",""),8),5,2),--MID(LEFT(SUBSTITUTE(SUBSTITUTE(SUBSTITUTE(SUBSTITUTE(TRIM($W409),"-",""),".",""),"/","")," ",""),8),7,2)),"")))</f>
        <v/>
      </c>
      <c r="Y409" s="32">
        <f>IF($X409="","",INT($X409))</f>
        <v/>
      </c>
      <c r="Z409" s="33">
        <f>IF(OR($Y409="",$D$6=""),"",IF(INDEX($A:$U,ROW(),$D$6)="",0,IF(ISNUMBER(INDEX($A:$U,ROW(),$D$6)),INDEX($A:$U,ROW(),$D$6),IFERROR(--SUBSTITUTE(SUBSTITUTE(TRIM(INDEX($A:$U,ROW(),$D$6)),",",""),"원",""),0))))</f>
        <v/>
      </c>
      <c r="AA409" s="31">
        <f>IF($Y409="","",TRIM(INDEX($A:$U,ROW(),$E$6)&amp;IF($F$6="",""," "&amp;INDEX($A:$U,ROW(),$F$6))))</f>
        <v/>
      </c>
      <c r="AB409" s="31">
        <f>IF($AA409="","",SUBSTITUTE(SUBSTITUTE(SUBSTITUTE(SUBSTITUTE(SUBSTITUTE(SUBSTITUTE(SUBSTITUTE(SUBSTITUTE(SUBSTITUTE($AA409," ",""),"　",""),"(주)",""),"（주）",""),"㈜",""),"주식회사",""),"(유)",""),"（유）",""),"유한회사",""))</f>
        <v/>
      </c>
      <c r="AC409" s="31">
        <f>IF(OR($Y409="",N($Z409)&lt;=0,$AB409=""),0,IFERROR(LOOKUP(2,1/((거래처별!$AC$8:$AC$307&lt;&gt;"")*ISNUMBER(SEARCH(거래처별!$AC$8:$AC$307,$AB409))),거래처별!$A$8:$A$307),IFERROR(LOOKUP(2,1/((거래처별!$AD$8:$AD$307&lt;&gt;"")*ISNUMBER(SEARCH(거래처별!$AD$8:$AD$307,$AB409))),거래처별!$A$8:$A$307),IFERROR(LOOKUP(2,1/((거래처별!$AE$8:$AE$307&lt;&gt;"")*ISNUMBER(SEARCH(거래처별!$AE$8:$AE$307,$AB409))),거래처별!$A$8:$A$307),0))))</f>
        <v/>
      </c>
      <c r="AD409" s="31">
        <f>IF(AND($Y409&lt;&gt;"",N($Z409)&gt;0,$AC409=0),MAX($AD$7:$AD408)+1,"")</f>
        <v/>
      </c>
      <c r="AE409" s="31">
        <f>IF($Y409="",0,$Y409)</f>
        <v/>
      </c>
    </row>
    <row r="410">
      <c r="W410" s="31">
        <f>IF(OR($B$5="",$C$6="",ROW()&lt;$B$5),"",IF(INDEX($A:$U,ROW(),$C$6)="","",INDEX($A:$U,ROW(),$C$6)))</f>
        <v/>
      </c>
      <c r="X410" s="32">
        <f>IF($W410="","",IF(ISNUMBER($W410),IF($W410&gt;=10000000,IFERROR(DATE(INT($W410/10000),MOD(INT($W410/100),100),MOD($W410,100)),""),INT($W410)),IFERROR(DATE(--LEFT(LEFT(SUBSTITUTE(SUBSTITUTE(SUBSTITUTE(SUBSTITUTE(TRIM($W410),"-",""),".",""),"/","")," ",""),8),4),--MID(LEFT(SUBSTITUTE(SUBSTITUTE(SUBSTITUTE(SUBSTITUTE(TRIM($W410),"-",""),".",""),"/","")," ",""),8),5,2),--MID(LEFT(SUBSTITUTE(SUBSTITUTE(SUBSTITUTE(SUBSTITUTE(TRIM($W410),"-",""),".",""),"/","")," ",""),8),7,2)),"")))</f>
        <v/>
      </c>
      <c r="Y410" s="32">
        <f>IF($X410="","",INT($X410))</f>
        <v/>
      </c>
      <c r="Z410" s="33">
        <f>IF(OR($Y410="",$D$6=""),"",IF(INDEX($A:$U,ROW(),$D$6)="",0,IF(ISNUMBER(INDEX($A:$U,ROW(),$D$6)),INDEX($A:$U,ROW(),$D$6),IFERROR(--SUBSTITUTE(SUBSTITUTE(TRIM(INDEX($A:$U,ROW(),$D$6)),",",""),"원",""),0))))</f>
        <v/>
      </c>
      <c r="AA410" s="31">
        <f>IF($Y410="","",TRIM(INDEX($A:$U,ROW(),$E$6)&amp;IF($F$6="",""," "&amp;INDEX($A:$U,ROW(),$F$6))))</f>
        <v/>
      </c>
      <c r="AB410" s="31">
        <f>IF($AA410="","",SUBSTITUTE(SUBSTITUTE(SUBSTITUTE(SUBSTITUTE(SUBSTITUTE(SUBSTITUTE(SUBSTITUTE(SUBSTITUTE(SUBSTITUTE($AA410," ",""),"　",""),"(주)",""),"（주）",""),"㈜",""),"주식회사",""),"(유)",""),"（유）",""),"유한회사",""))</f>
        <v/>
      </c>
      <c r="AC410" s="31">
        <f>IF(OR($Y410="",N($Z410)&lt;=0,$AB410=""),0,IFERROR(LOOKUP(2,1/((거래처별!$AC$8:$AC$307&lt;&gt;"")*ISNUMBER(SEARCH(거래처별!$AC$8:$AC$307,$AB410))),거래처별!$A$8:$A$307),IFERROR(LOOKUP(2,1/((거래처별!$AD$8:$AD$307&lt;&gt;"")*ISNUMBER(SEARCH(거래처별!$AD$8:$AD$307,$AB410))),거래처별!$A$8:$A$307),IFERROR(LOOKUP(2,1/((거래처별!$AE$8:$AE$307&lt;&gt;"")*ISNUMBER(SEARCH(거래처별!$AE$8:$AE$307,$AB410))),거래처별!$A$8:$A$307),0))))</f>
        <v/>
      </c>
      <c r="AD410" s="31">
        <f>IF(AND($Y410&lt;&gt;"",N($Z410)&gt;0,$AC410=0),MAX($AD$7:$AD409)+1,"")</f>
        <v/>
      </c>
      <c r="AE410" s="31">
        <f>IF($Y410="",0,$Y410)</f>
        <v/>
      </c>
    </row>
    <row r="411">
      <c r="W411" s="31">
        <f>IF(OR($B$5="",$C$6="",ROW()&lt;$B$5),"",IF(INDEX($A:$U,ROW(),$C$6)="","",INDEX($A:$U,ROW(),$C$6)))</f>
        <v/>
      </c>
      <c r="X411" s="32">
        <f>IF($W411="","",IF(ISNUMBER($W411),IF($W411&gt;=10000000,IFERROR(DATE(INT($W411/10000),MOD(INT($W411/100),100),MOD($W411,100)),""),INT($W411)),IFERROR(DATE(--LEFT(LEFT(SUBSTITUTE(SUBSTITUTE(SUBSTITUTE(SUBSTITUTE(TRIM($W411),"-",""),".",""),"/","")," ",""),8),4),--MID(LEFT(SUBSTITUTE(SUBSTITUTE(SUBSTITUTE(SUBSTITUTE(TRIM($W411),"-",""),".",""),"/","")," ",""),8),5,2),--MID(LEFT(SUBSTITUTE(SUBSTITUTE(SUBSTITUTE(SUBSTITUTE(TRIM($W411),"-",""),".",""),"/","")," ",""),8),7,2)),"")))</f>
        <v/>
      </c>
      <c r="Y411" s="32">
        <f>IF($X411="","",INT($X411))</f>
        <v/>
      </c>
      <c r="Z411" s="33">
        <f>IF(OR($Y411="",$D$6=""),"",IF(INDEX($A:$U,ROW(),$D$6)="",0,IF(ISNUMBER(INDEX($A:$U,ROW(),$D$6)),INDEX($A:$U,ROW(),$D$6),IFERROR(--SUBSTITUTE(SUBSTITUTE(TRIM(INDEX($A:$U,ROW(),$D$6)),",",""),"원",""),0))))</f>
        <v/>
      </c>
      <c r="AA411" s="31">
        <f>IF($Y411="","",TRIM(INDEX($A:$U,ROW(),$E$6)&amp;IF($F$6="",""," "&amp;INDEX($A:$U,ROW(),$F$6))))</f>
        <v/>
      </c>
      <c r="AB411" s="31">
        <f>IF($AA411="","",SUBSTITUTE(SUBSTITUTE(SUBSTITUTE(SUBSTITUTE(SUBSTITUTE(SUBSTITUTE(SUBSTITUTE(SUBSTITUTE(SUBSTITUTE($AA411," ",""),"　",""),"(주)",""),"（주）",""),"㈜",""),"주식회사",""),"(유)",""),"（유）",""),"유한회사",""))</f>
        <v/>
      </c>
      <c r="AC411" s="31">
        <f>IF(OR($Y411="",N($Z411)&lt;=0,$AB411=""),0,IFERROR(LOOKUP(2,1/((거래처별!$AC$8:$AC$307&lt;&gt;"")*ISNUMBER(SEARCH(거래처별!$AC$8:$AC$307,$AB411))),거래처별!$A$8:$A$307),IFERROR(LOOKUP(2,1/((거래처별!$AD$8:$AD$307&lt;&gt;"")*ISNUMBER(SEARCH(거래처별!$AD$8:$AD$307,$AB411))),거래처별!$A$8:$A$307),IFERROR(LOOKUP(2,1/((거래처별!$AE$8:$AE$307&lt;&gt;"")*ISNUMBER(SEARCH(거래처별!$AE$8:$AE$307,$AB411))),거래처별!$A$8:$A$307),0))))</f>
        <v/>
      </c>
      <c r="AD411" s="31">
        <f>IF(AND($Y411&lt;&gt;"",N($Z411)&gt;0,$AC411=0),MAX($AD$7:$AD410)+1,"")</f>
        <v/>
      </c>
      <c r="AE411" s="31">
        <f>IF($Y411="",0,$Y411)</f>
        <v/>
      </c>
    </row>
    <row r="412">
      <c r="W412" s="31">
        <f>IF(OR($B$5="",$C$6="",ROW()&lt;$B$5),"",IF(INDEX($A:$U,ROW(),$C$6)="","",INDEX($A:$U,ROW(),$C$6)))</f>
        <v/>
      </c>
      <c r="X412" s="32">
        <f>IF($W412="","",IF(ISNUMBER($W412),IF($W412&gt;=10000000,IFERROR(DATE(INT($W412/10000),MOD(INT($W412/100),100),MOD($W412,100)),""),INT($W412)),IFERROR(DATE(--LEFT(LEFT(SUBSTITUTE(SUBSTITUTE(SUBSTITUTE(SUBSTITUTE(TRIM($W412),"-",""),".",""),"/","")," ",""),8),4),--MID(LEFT(SUBSTITUTE(SUBSTITUTE(SUBSTITUTE(SUBSTITUTE(TRIM($W412),"-",""),".",""),"/","")," ",""),8),5,2),--MID(LEFT(SUBSTITUTE(SUBSTITUTE(SUBSTITUTE(SUBSTITUTE(TRIM($W412),"-",""),".",""),"/","")," ",""),8),7,2)),"")))</f>
        <v/>
      </c>
      <c r="Y412" s="32">
        <f>IF($X412="","",INT($X412))</f>
        <v/>
      </c>
      <c r="Z412" s="33">
        <f>IF(OR($Y412="",$D$6=""),"",IF(INDEX($A:$U,ROW(),$D$6)="",0,IF(ISNUMBER(INDEX($A:$U,ROW(),$D$6)),INDEX($A:$U,ROW(),$D$6),IFERROR(--SUBSTITUTE(SUBSTITUTE(TRIM(INDEX($A:$U,ROW(),$D$6)),",",""),"원",""),0))))</f>
        <v/>
      </c>
      <c r="AA412" s="31">
        <f>IF($Y412="","",TRIM(INDEX($A:$U,ROW(),$E$6)&amp;IF($F$6="",""," "&amp;INDEX($A:$U,ROW(),$F$6))))</f>
        <v/>
      </c>
      <c r="AB412" s="31">
        <f>IF($AA412="","",SUBSTITUTE(SUBSTITUTE(SUBSTITUTE(SUBSTITUTE(SUBSTITUTE(SUBSTITUTE(SUBSTITUTE(SUBSTITUTE(SUBSTITUTE($AA412," ",""),"　",""),"(주)",""),"（주）",""),"㈜",""),"주식회사",""),"(유)",""),"（유）",""),"유한회사",""))</f>
        <v/>
      </c>
      <c r="AC412" s="31">
        <f>IF(OR($Y412="",N($Z412)&lt;=0,$AB412=""),0,IFERROR(LOOKUP(2,1/((거래처별!$AC$8:$AC$307&lt;&gt;"")*ISNUMBER(SEARCH(거래처별!$AC$8:$AC$307,$AB412))),거래처별!$A$8:$A$307),IFERROR(LOOKUP(2,1/((거래처별!$AD$8:$AD$307&lt;&gt;"")*ISNUMBER(SEARCH(거래처별!$AD$8:$AD$307,$AB412))),거래처별!$A$8:$A$307),IFERROR(LOOKUP(2,1/((거래처별!$AE$8:$AE$307&lt;&gt;"")*ISNUMBER(SEARCH(거래처별!$AE$8:$AE$307,$AB412))),거래처별!$A$8:$A$307),0))))</f>
        <v/>
      </c>
      <c r="AD412" s="31">
        <f>IF(AND($Y412&lt;&gt;"",N($Z412)&gt;0,$AC412=0),MAX($AD$7:$AD411)+1,"")</f>
        <v/>
      </c>
      <c r="AE412" s="31">
        <f>IF($Y412="",0,$Y412)</f>
        <v/>
      </c>
    </row>
    <row r="413">
      <c r="W413" s="31">
        <f>IF(OR($B$5="",$C$6="",ROW()&lt;$B$5),"",IF(INDEX($A:$U,ROW(),$C$6)="","",INDEX($A:$U,ROW(),$C$6)))</f>
        <v/>
      </c>
      <c r="X413" s="32">
        <f>IF($W413="","",IF(ISNUMBER($W413),IF($W413&gt;=10000000,IFERROR(DATE(INT($W413/10000),MOD(INT($W413/100),100),MOD($W413,100)),""),INT($W413)),IFERROR(DATE(--LEFT(LEFT(SUBSTITUTE(SUBSTITUTE(SUBSTITUTE(SUBSTITUTE(TRIM($W413),"-",""),".",""),"/","")," ",""),8),4),--MID(LEFT(SUBSTITUTE(SUBSTITUTE(SUBSTITUTE(SUBSTITUTE(TRIM($W413),"-",""),".",""),"/","")," ",""),8),5,2),--MID(LEFT(SUBSTITUTE(SUBSTITUTE(SUBSTITUTE(SUBSTITUTE(TRIM($W413),"-",""),".",""),"/","")," ",""),8),7,2)),"")))</f>
        <v/>
      </c>
      <c r="Y413" s="32">
        <f>IF($X413="","",INT($X413))</f>
        <v/>
      </c>
      <c r="Z413" s="33">
        <f>IF(OR($Y413="",$D$6=""),"",IF(INDEX($A:$U,ROW(),$D$6)="",0,IF(ISNUMBER(INDEX($A:$U,ROW(),$D$6)),INDEX($A:$U,ROW(),$D$6),IFERROR(--SUBSTITUTE(SUBSTITUTE(TRIM(INDEX($A:$U,ROW(),$D$6)),",",""),"원",""),0))))</f>
        <v/>
      </c>
      <c r="AA413" s="31">
        <f>IF($Y413="","",TRIM(INDEX($A:$U,ROW(),$E$6)&amp;IF($F$6="",""," "&amp;INDEX($A:$U,ROW(),$F$6))))</f>
        <v/>
      </c>
      <c r="AB413" s="31">
        <f>IF($AA413="","",SUBSTITUTE(SUBSTITUTE(SUBSTITUTE(SUBSTITUTE(SUBSTITUTE(SUBSTITUTE(SUBSTITUTE(SUBSTITUTE(SUBSTITUTE($AA413," ",""),"　",""),"(주)",""),"（주）",""),"㈜",""),"주식회사",""),"(유)",""),"（유）",""),"유한회사",""))</f>
        <v/>
      </c>
      <c r="AC413" s="31">
        <f>IF(OR($Y413="",N($Z413)&lt;=0,$AB413=""),0,IFERROR(LOOKUP(2,1/((거래처별!$AC$8:$AC$307&lt;&gt;"")*ISNUMBER(SEARCH(거래처별!$AC$8:$AC$307,$AB413))),거래처별!$A$8:$A$307),IFERROR(LOOKUP(2,1/((거래처별!$AD$8:$AD$307&lt;&gt;"")*ISNUMBER(SEARCH(거래처별!$AD$8:$AD$307,$AB413))),거래처별!$A$8:$A$307),IFERROR(LOOKUP(2,1/((거래처별!$AE$8:$AE$307&lt;&gt;"")*ISNUMBER(SEARCH(거래처별!$AE$8:$AE$307,$AB413))),거래처별!$A$8:$A$307),0))))</f>
        <v/>
      </c>
      <c r="AD413" s="31">
        <f>IF(AND($Y413&lt;&gt;"",N($Z413)&gt;0,$AC413=0),MAX($AD$7:$AD412)+1,"")</f>
        <v/>
      </c>
      <c r="AE413" s="31">
        <f>IF($Y413="",0,$Y413)</f>
        <v/>
      </c>
    </row>
    <row r="414">
      <c r="W414" s="31">
        <f>IF(OR($B$5="",$C$6="",ROW()&lt;$B$5),"",IF(INDEX($A:$U,ROW(),$C$6)="","",INDEX($A:$U,ROW(),$C$6)))</f>
        <v/>
      </c>
      <c r="X414" s="32">
        <f>IF($W414="","",IF(ISNUMBER($W414),IF($W414&gt;=10000000,IFERROR(DATE(INT($W414/10000),MOD(INT($W414/100),100),MOD($W414,100)),""),INT($W414)),IFERROR(DATE(--LEFT(LEFT(SUBSTITUTE(SUBSTITUTE(SUBSTITUTE(SUBSTITUTE(TRIM($W414),"-",""),".",""),"/","")," ",""),8),4),--MID(LEFT(SUBSTITUTE(SUBSTITUTE(SUBSTITUTE(SUBSTITUTE(TRIM($W414),"-",""),".",""),"/","")," ",""),8),5,2),--MID(LEFT(SUBSTITUTE(SUBSTITUTE(SUBSTITUTE(SUBSTITUTE(TRIM($W414),"-",""),".",""),"/","")," ",""),8),7,2)),"")))</f>
        <v/>
      </c>
      <c r="Y414" s="32">
        <f>IF($X414="","",INT($X414))</f>
        <v/>
      </c>
      <c r="Z414" s="33">
        <f>IF(OR($Y414="",$D$6=""),"",IF(INDEX($A:$U,ROW(),$D$6)="",0,IF(ISNUMBER(INDEX($A:$U,ROW(),$D$6)),INDEX($A:$U,ROW(),$D$6),IFERROR(--SUBSTITUTE(SUBSTITUTE(TRIM(INDEX($A:$U,ROW(),$D$6)),",",""),"원",""),0))))</f>
        <v/>
      </c>
      <c r="AA414" s="31">
        <f>IF($Y414="","",TRIM(INDEX($A:$U,ROW(),$E$6)&amp;IF($F$6="",""," "&amp;INDEX($A:$U,ROW(),$F$6))))</f>
        <v/>
      </c>
      <c r="AB414" s="31">
        <f>IF($AA414="","",SUBSTITUTE(SUBSTITUTE(SUBSTITUTE(SUBSTITUTE(SUBSTITUTE(SUBSTITUTE(SUBSTITUTE(SUBSTITUTE(SUBSTITUTE($AA414," ",""),"　",""),"(주)",""),"（주）",""),"㈜",""),"주식회사",""),"(유)",""),"（유）",""),"유한회사",""))</f>
        <v/>
      </c>
      <c r="AC414" s="31">
        <f>IF(OR($Y414="",N($Z414)&lt;=0,$AB414=""),0,IFERROR(LOOKUP(2,1/((거래처별!$AC$8:$AC$307&lt;&gt;"")*ISNUMBER(SEARCH(거래처별!$AC$8:$AC$307,$AB414))),거래처별!$A$8:$A$307),IFERROR(LOOKUP(2,1/((거래처별!$AD$8:$AD$307&lt;&gt;"")*ISNUMBER(SEARCH(거래처별!$AD$8:$AD$307,$AB414))),거래처별!$A$8:$A$307),IFERROR(LOOKUP(2,1/((거래처별!$AE$8:$AE$307&lt;&gt;"")*ISNUMBER(SEARCH(거래처별!$AE$8:$AE$307,$AB414))),거래처별!$A$8:$A$307),0))))</f>
        <v/>
      </c>
      <c r="AD414" s="31">
        <f>IF(AND($Y414&lt;&gt;"",N($Z414)&gt;0,$AC414=0),MAX($AD$7:$AD413)+1,"")</f>
        <v/>
      </c>
      <c r="AE414" s="31">
        <f>IF($Y414="",0,$Y414)</f>
        <v/>
      </c>
    </row>
    <row r="415">
      <c r="W415" s="31">
        <f>IF(OR($B$5="",$C$6="",ROW()&lt;$B$5),"",IF(INDEX($A:$U,ROW(),$C$6)="","",INDEX($A:$U,ROW(),$C$6)))</f>
        <v/>
      </c>
      <c r="X415" s="32">
        <f>IF($W415="","",IF(ISNUMBER($W415),IF($W415&gt;=10000000,IFERROR(DATE(INT($W415/10000),MOD(INT($W415/100),100),MOD($W415,100)),""),INT($W415)),IFERROR(DATE(--LEFT(LEFT(SUBSTITUTE(SUBSTITUTE(SUBSTITUTE(SUBSTITUTE(TRIM($W415),"-",""),".",""),"/","")," ",""),8),4),--MID(LEFT(SUBSTITUTE(SUBSTITUTE(SUBSTITUTE(SUBSTITUTE(TRIM($W415),"-",""),".",""),"/","")," ",""),8),5,2),--MID(LEFT(SUBSTITUTE(SUBSTITUTE(SUBSTITUTE(SUBSTITUTE(TRIM($W415),"-",""),".",""),"/","")," ",""),8),7,2)),"")))</f>
        <v/>
      </c>
      <c r="Y415" s="32">
        <f>IF($X415="","",INT($X415))</f>
        <v/>
      </c>
      <c r="Z415" s="33">
        <f>IF(OR($Y415="",$D$6=""),"",IF(INDEX($A:$U,ROW(),$D$6)="",0,IF(ISNUMBER(INDEX($A:$U,ROW(),$D$6)),INDEX($A:$U,ROW(),$D$6),IFERROR(--SUBSTITUTE(SUBSTITUTE(TRIM(INDEX($A:$U,ROW(),$D$6)),",",""),"원",""),0))))</f>
        <v/>
      </c>
      <c r="AA415" s="31">
        <f>IF($Y415="","",TRIM(INDEX($A:$U,ROW(),$E$6)&amp;IF($F$6="",""," "&amp;INDEX($A:$U,ROW(),$F$6))))</f>
        <v/>
      </c>
      <c r="AB415" s="31">
        <f>IF($AA415="","",SUBSTITUTE(SUBSTITUTE(SUBSTITUTE(SUBSTITUTE(SUBSTITUTE(SUBSTITUTE(SUBSTITUTE(SUBSTITUTE(SUBSTITUTE($AA415," ",""),"　",""),"(주)",""),"（주）",""),"㈜",""),"주식회사",""),"(유)",""),"（유）",""),"유한회사",""))</f>
        <v/>
      </c>
      <c r="AC415" s="31">
        <f>IF(OR($Y415="",N($Z415)&lt;=0,$AB415=""),0,IFERROR(LOOKUP(2,1/((거래처별!$AC$8:$AC$307&lt;&gt;"")*ISNUMBER(SEARCH(거래처별!$AC$8:$AC$307,$AB415))),거래처별!$A$8:$A$307),IFERROR(LOOKUP(2,1/((거래처별!$AD$8:$AD$307&lt;&gt;"")*ISNUMBER(SEARCH(거래처별!$AD$8:$AD$307,$AB415))),거래처별!$A$8:$A$307),IFERROR(LOOKUP(2,1/((거래처별!$AE$8:$AE$307&lt;&gt;"")*ISNUMBER(SEARCH(거래처별!$AE$8:$AE$307,$AB415))),거래처별!$A$8:$A$307),0))))</f>
        <v/>
      </c>
      <c r="AD415" s="31">
        <f>IF(AND($Y415&lt;&gt;"",N($Z415)&gt;0,$AC415=0),MAX($AD$7:$AD414)+1,"")</f>
        <v/>
      </c>
      <c r="AE415" s="31">
        <f>IF($Y415="",0,$Y415)</f>
        <v/>
      </c>
    </row>
    <row r="416">
      <c r="W416" s="31">
        <f>IF(OR($B$5="",$C$6="",ROW()&lt;$B$5),"",IF(INDEX($A:$U,ROW(),$C$6)="","",INDEX($A:$U,ROW(),$C$6)))</f>
        <v/>
      </c>
      <c r="X416" s="32">
        <f>IF($W416="","",IF(ISNUMBER($W416),IF($W416&gt;=10000000,IFERROR(DATE(INT($W416/10000),MOD(INT($W416/100),100),MOD($W416,100)),""),INT($W416)),IFERROR(DATE(--LEFT(LEFT(SUBSTITUTE(SUBSTITUTE(SUBSTITUTE(SUBSTITUTE(TRIM($W416),"-",""),".",""),"/","")," ",""),8),4),--MID(LEFT(SUBSTITUTE(SUBSTITUTE(SUBSTITUTE(SUBSTITUTE(TRIM($W416),"-",""),".",""),"/","")," ",""),8),5,2),--MID(LEFT(SUBSTITUTE(SUBSTITUTE(SUBSTITUTE(SUBSTITUTE(TRIM($W416),"-",""),".",""),"/","")," ",""),8),7,2)),"")))</f>
        <v/>
      </c>
      <c r="Y416" s="32">
        <f>IF($X416="","",INT($X416))</f>
        <v/>
      </c>
      <c r="Z416" s="33">
        <f>IF(OR($Y416="",$D$6=""),"",IF(INDEX($A:$U,ROW(),$D$6)="",0,IF(ISNUMBER(INDEX($A:$U,ROW(),$D$6)),INDEX($A:$U,ROW(),$D$6),IFERROR(--SUBSTITUTE(SUBSTITUTE(TRIM(INDEX($A:$U,ROW(),$D$6)),",",""),"원",""),0))))</f>
        <v/>
      </c>
      <c r="AA416" s="31">
        <f>IF($Y416="","",TRIM(INDEX($A:$U,ROW(),$E$6)&amp;IF($F$6="",""," "&amp;INDEX($A:$U,ROW(),$F$6))))</f>
        <v/>
      </c>
      <c r="AB416" s="31">
        <f>IF($AA416="","",SUBSTITUTE(SUBSTITUTE(SUBSTITUTE(SUBSTITUTE(SUBSTITUTE(SUBSTITUTE(SUBSTITUTE(SUBSTITUTE(SUBSTITUTE($AA416," ",""),"　",""),"(주)",""),"（주）",""),"㈜",""),"주식회사",""),"(유)",""),"（유）",""),"유한회사",""))</f>
        <v/>
      </c>
      <c r="AC416" s="31">
        <f>IF(OR($Y416="",N($Z416)&lt;=0,$AB416=""),0,IFERROR(LOOKUP(2,1/((거래처별!$AC$8:$AC$307&lt;&gt;"")*ISNUMBER(SEARCH(거래처별!$AC$8:$AC$307,$AB416))),거래처별!$A$8:$A$307),IFERROR(LOOKUP(2,1/((거래처별!$AD$8:$AD$307&lt;&gt;"")*ISNUMBER(SEARCH(거래처별!$AD$8:$AD$307,$AB416))),거래처별!$A$8:$A$307),IFERROR(LOOKUP(2,1/((거래처별!$AE$8:$AE$307&lt;&gt;"")*ISNUMBER(SEARCH(거래처별!$AE$8:$AE$307,$AB416))),거래처별!$A$8:$A$307),0))))</f>
        <v/>
      </c>
      <c r="AD416" s="31">
        <f>IF(AND($Y416&lt;&gt;"",N($Z416)&gt;0,$AC416=0),MAX($AD$7:$AD415)+1,"")</f>
        <v/>
      </c>
      <c r="AE416" s="31">
        <f>IF($Y416="",0,$Y416)</f>
        <v/>
      </c>
    </row>
    <row r="417">
      <c r="W417" s="31">
        <f>IF(OR($B$5="",$C$6="",ROW()&lt;$B$5),"",IF(INDEX($A:$U,ROW(),$C$6)="","",INDEX($A:$U,ROW(),$C$6)))</f>
        <v/>
      </c>
      <c r="X417" s="32">
        <f>IF($W417="","",IF(ISNUMBER($W417),IF($W417&gt;=10000000,IFERROR(DATE(INT($W417/10000),MOD(INT($W417/100),100),MOD($W417,100)),""),INT($W417)),IFERROR(DATE(--LEFT(LEFT(SUBSTITUTE(SUBSTITUTE(SUBSTITUTE(SUBSTITUTE(TRIM($W417),"-",""),".",""),"/","")," ",""),8),4),--MID(LEFT(SUBSTITUTE(SUBSTITUTE(SUBSTITUTE(SUBSTITUTE(TRIM($W417),"-",""),".",""),"/","")," ",""),8),5,2),--MID(LEFT(SUBSTITUTE(SUBSTITUTE(SUBSTITUTE(SUBSTITUTE(TRIM($W417),"-",""),".",""),"/","")," ",""),8),7,2)),"")))</f>
        <v/>
      </c>
      <c r="Y417" s="32">
        <f>IF($X417="","",INT($X417))</f>
        <v/>
      </c>
      <c r="Z417" s="33">
        <f>IF(OR($Y417="",$D$6=""),"",IF(INDEX($A:$U,ROW(),$D$6)="",0,IF(ISNUMBER(INDEX($A:$U,ROW(),$D$6)),INDEX($A:$U,ROW(),$D$6),IFERROR(--SUBSTITUTE(SUBSTITUTE(TRIM(INDEX($A:$U,ROW(),$D$6)),",",""),"원",""),0))))</f>
        <v/>
      </c>
      <c r="AA417" s="31">
        <f>IF($Y417="","",TRIM(INDEX($A:$U,ROW(),$E$6)&amp;IF($F$6="",""," "&amp;INDEX($A:$U,ROW(),$F$6))))</f>
        <v/>
      </c>
      <c r="AB417" s="31">
        <f>IF($AA417="","",SUBSTITUTE(SUBSTITUTE(SUBSTITUTE(SUBSTITUTE(SUBSTITUTE(SUBSTITUTE(SUBSTITUTE(SUBSTITUTE(SUBSTITUTE($AA417," ",""),"　",""),"(주)",""),"（주）",""),"㈜",""),"주식회사",""),"(유)",""),"（유）",""),"유한회사",""))</f>
        <v/>
      </c>
      <c r="AC417" s="31">
        <f>IF(OR($Y417="",N($Z417)&lt;=0,$AB417=""),0,IFERROR(LOOKUP(2,1/((거래처별!$AC$8:$AC$307&lt;&gt;"")*ISNUMBER(SEARCH(거래처별!$AC$8:$AC$307,$AB417))),거래처별!$A$8:$A$307),IFERROR(LOOKUP(2,1/((거래처별!$AD$8:$AD$307&lt;&gt;"")*ISNUMBER(SEARCH(거래처별!$AD$8:$AD$307,$AB417))),거래처별!$A$8:$A$307),IFERROR(LOOKUP(2,1/((거래처별!$AE$8:$AE$307&lt;&gt;"")*ISNUMBER(SEARCH(거래처별!$AE$8:$AE$307,$AB417))),거래처별!$A$8:$A$307),0))))</f>
        <v/>
      </c>
      <c r="AD417" s="31">
        <f>IF(AND($Y417&lt;&gt;"",N($Z417)&gt;0,$AC417=0),MAX($AD$7:$AD416)+1,"")</f>
        <v/>
      </c>
      <c r="AE417" s="31">
        <f>IF($Y417="",0,$Y417)</f>
        <v/>
      </c>
    </row>
    <row r="418">
      <c r="W418" s="31">
        <f>IF(OR($B$5="",$C$6="",ROW()&lt;$B$5),"",IF(INDEX($A:$U,ROW(),$C$6)="","",INDEX($A:$U,ROW(),$C$6)))</f>
        <v/>
      </c>
      <c r="X418" s="32">
        <f>IF($W418="","",IF(ISNUMBER($W418),IF($W418&gt;=10000000,IFERROR(DATE(INT($W418/10000),MOD(INT($W418/100),100),MOD($W418,100)),""),INT($W418)),IFERROR(DATE(--LEFT(LEFT(SUBSTITUTE(SUBSTITUTE(SUBSTITUTE(SUBSTITUTE(TRIM($W418),"-",""),".",""),"/","")," ",""),8),4),--MID(LEFT(SUBSTITUTE(SUBSTITUTE(SUBSTITUTE(SUBSTITUTE(TRIM($W418),"-",""),".",""),"/","")," ",""),8),5,2),--MID(LEFT(SUBSTITUTE(SUBSTITUTE(SUBSTITUTE(SUBSTITUTE(TRIM($W418),"-",""),".",""),"/","")," ",""),8),7,2)),"")))</f>
        <v/>
      </c>
      <c r="Y418" s="32">
        <f>IF($X418="","",INT($X418))</f>
        <v/>
      </c>
      <c r="Z418" s="33">
        <f>IF(OR($Y418="",$D$6=""),"",IF(INDEX($A:$U,ROW(),$D$6)="",0,IF(ISNUMBER(INDEX($A:$U,ROW(),$D$6)),INDEX($A:$U,ROW(),$D$6),IFERROR(--SUBSTITUTE(SUBSTITUTE(TRIM(INDEX($A:$U,ROW(),$D$6)),",",""),"원",""),0))))</f>
        <v/>
      </c>
      <c r="AA418" s="31">
        <f>IF($Y418="","",TRIM(INDEX($A:$U,ROW(),$E$6)&amp;IF($F$6="",""," "&amp;INDEX($A:$U,ROW(),$F$6))))</f>
        <v/>
      </c>
      <c r="AB418" s="31">
        <f>IF($AA418="","",SUBSTITUTE(SUBSTITUTE(SUBSTITUTE(SUBSTITUTE(SUBSTITUTE(SUBSTITUTE(SUBSTITUTE(SUBSTITUTE(SUBSTITUTE($AA418," ",""),"　",""),"(주)",""),"（주）",""),"㈜",""),"주식회사",""),"(유)",""),"（유）",""),"유한회사",""))</f>
        <v/>
      </c>
      <c r="AC418" s="31">
        <f>IF(OR($Y418="",N($Z418)&lt;=0,$AB418=""),0,IFERROR(LOOKUP(2,1/((거래처별!$AC$8:$AC$307&lt;&gt;"")*ISNUMBER(SEARCH(거래처별!$AC$8:$AC$307,$AB418))),거래처별!$A$8:$A$307),IFERROR(LOOKUP(2,1/((거래처별!$AD$8:$AD$307&lt;&gt;"")*ISNUMBER(SEARCH(거래처별!$AD$8:$AD$307,$AB418))),거래처별!$A$8:$A$307),IFERROR(LOOKUP(2,1/((거래처별!$AE$8:$AE$307&lt;&gt;"")*ISNUMBER(SEARCH(거래처별!$AE$8:$AE$307,$AB418))),거래처별!$A$8:$A$307),0))))</f>
        <v/>
      </c>
      <c r="AD418" s="31">
        <f>IF(AND($Y418&lt;&gt;"",N($Z418)&gt;0,$AC418=0),MAX($AD$7:$AD417)+1,"")</f>
        <v/>
      </c>
      <c r="AE418" s="31">
        <f>IF($Y418="",0,$Y418)</f>
        <v/>
      </c>
    </row>
    <row r="419">
      <c r="W419" s="31">
        <f>IF(OR($B$5="",$C$6="",ROW()&lt;$B$5),"",IF(INDEX($A:$U,ROW(),$C$6)="","",INDEX($A:$U,ROW(),$C$6)))</f>
        <v/>
      </c>
      <c r="X419" s="32">
        <f>IF($W419="","",IF(ISNUMBER($W419),IF($W419&gt;=10000000,IFERROR(DATE(INT($W419/10000),MOD(INT($W419/100),100),MOD($W419,100)),""),INT($W419)),IFERROR(DATE(--LEFT(LEFT(SUBSTITUTE(SUBSTITUTE(SUBSTITUTE(SUBSTITUTE(TRIM($W419),"-",""),".",""),"/","")," ",""),8),4),--MID(LEFT(SUBSTITUTE(SUBSTITUTE(SUBSTITUTE(SUBSTITUTE(TRIM($W419),"-",""),".",""),"/","")," ",""),8),5,2),--MID(LEFT(SUBSTITUTE(SUBSTITUTE(SUBSTITUTE(SUBSTITUTE(TRIM($W419),"-",""),".",""),"/","")," ",""),8),7,2)),"")))</f>
        <v/>
      </c>
      <c r="Y419" s="32">
        <f>IF($X419="","",INT($X419))</f>
        <v/>
      </c>
      <c r="Z419" s="33">
        <f>IF(OR($Y419="",$D$6=""),"",IF(INDEX($A:$U,ROW(),$D$6)="",0,IF(ISNUMBER(INDEX($A:$U,ROW(),$D$6)),INDEX($A:$U,ROW(),$D$6),IFERROR(--SUBSTITUTE(SUBSTITUTE(TRIM(INDEX($A:$U,ROW(),$D$6)),",",""),"원",""),0))))</f>
        <v/>
      </c>
      <c r="AA419" s="31">
        <f>IF($Y419="","",TRIM(INDEX($A:$U,ROW(),$E$6)&amp;IF($F$6="",""," "&amp;INDEX($A:$U,ROW(),$F$6))))</f>
        <v/>
      </c>
      <c r="AB419" s="31">
        <f>IF($AA419="","",SUBSTITUTE(SUBSTITUTE(SUBSTITUTE(SUBSTITUTE(SUBSTITUTE(SUBSTITUTE(SUBSTITUTE(SUBSTITUTE(SUBSTITUTE($AA419," ",""),"　",""),"(주)",""),"（주）",""),"㈜",""),"주식회사",""),"(유)",""),"（유）",""),"유한회사",""))</f>
        <v/>
      </c>
      <c r="AC419" s="31">
        <f>IF(OR($Y419="",N($Z419)&lt;=0,$AB419=""),0,IFERROR(LOOKUP(2,1/((거래처별!$AC$8:$AC$307&lt;&gt;"")*ISNUMBER(SEARCH(거래처별!$AC$8:$AC$307,$AB419))),거래처별!$A$8:$A$307),IFERROR(LOOKUP(2,1/((거래처별!$AD$8:$AD$307&lt;&gt;"")*ISNUMBER(SEARCH(거래처별!$AD$8:$AD$307,$AB419))),거래처별!$A$8:$A$307),IFERROR(LOOKUP(2,1/((거래처별!$AE$8:$AE$307&lt;&gt;"")*ISNUMBER(SEARCH(거래처별!$AE$8:$AE$307,$AB419))),거래처별!$A$8:$A$307),0))))</f>
        <v/>
      </c>
      <c r="AD419" s="31">
        <f>IF(AND($Y419&lt;&gt;"",N($Z419)&gt;0,$AC419=0),MAX($AD$7:$AD418)+1,"")</f>
        <v/>
      </c>
      <c r="AE419" s="31">
        <f>IF($Y419="",0,$Y419)</f>
        <v/>
      </c>
    </row>
    <row r="420">
      <c r="W420" s="31">
        <f>IF(OR($B$5="",$C$6="",ROW()&lt;$B$5),"",IF(INDEX($A:$U,ROW(),$C$6)="","",INDEX($A:$U,ROW(),$C$6)))</f>
        <v/>
      </c>
      <c r="X420" s="32">
        <f>IF($W420="","",IF(ISNUMBER($W420),IF($W420&gt;=10000000,IFERROR(DATE(INT($W420/10000),MOD(INT($W420/100),100),MOD($W420,100)),""),INT($W420)),IFERROR(DATE(--LEFT(LEFT(SUBSTITUTE(SUBSTITUTE(SUBSTITUTE(SUBSTITUTE(TRIM($W420),"-",""),".",""),"/","")," ",""),8),4),--MID(LEFT(SUBSTITUTE(SUBSTITUTE(SUBSTITUTE(SUBSTITUTE(TRIM($W420),"-",""),".",""),"/","")," ",""),8),5,2),--MID(LEFT(SUBSTITUTE(SUBSTITUTE(SUBSTITUTE(SUBSTITUTE(TRIM($W420),"-",""),".",""),"/","")," ",""),8),7,2)),"")))</f>
        <v/>
      </c>
      <c r="Y420" s="32">
        <f>IF($X420="","",INT($X420))</f>
        <v/>
      </c>
      <c r="Z420" s="33">
        <f>IF(OR($Y420="",$D$6=""),"",IF(INDEX($A:$U,ROW(),$D$6)="",0,IF(ISNUMBER(INDEX($A:$U,ROW(),$D$6)),INDEX($A:$U,ROW(),$D$6),IFERROR(--SUBSTITUTE(SUBSTITUTE(TRIM(INDEX($A:$U,ROW(),$D$6)),",",""),"원",""),0))))</f>
        <v/>
      </c>
      <c r="AA420" s="31">
        <f>IF($Y420="","",TRIM(INDEX($A:$U,ROW(),$E$6)&amp;IF($F$6="",""," "&amp;INDEX($A:$U,ROW(),$F$6))))</f>
        <v/>
      </c>
      <c r="AB420" s="31">
        <f>IF($AA420="","",SUBSTITUTE(SUBSTITUTE(SUBSTITUTE(SUBSTITUTE(SUBSTITUTE(SUBSTITUTE(SUBSTITUTE(SUBSTITUTE(SUBSTITUTE($AA420," ",""),"　",""),"(주)",""),"（주）",""),"㈜",""),"주식회사",""),"(유)",""),"（유）",""),"유한회사",""))</f>
        <v/>
      </c>
      <c r="AC420" s="31">
        <f>IF(OR($Y420="",N($Z420)&lt;=0,$AB420=""),0,IFERROR(LOOKUP(2,1/((거래처별!$AC$8:$AC$307&lt;&gt;"")*ISNUMBER(SEARCH(거래처별!$AC$8:$AC$307,$AB420))),거래처별!$A$8:$A$307),IFERROR(LOOKUP(2,1/((거래처별!$AD$8:$AD$307&lt;&gt;"")*ISNUMBER(SEARCH(거래처별!$AD$8:$AD$307,$AB420))),거래처별!$A$8:$A$307),IFERROR(LOOKUP(2,1/((거래처별!$AE$8:$AE$307&lt;&gt;"")*ISNUMBER(SEARCH(거래처별!$AE$8:$AE$307,$AB420))),거래처별!$A$8:$A$307),0))))</f>
        <v/>
      </c>
      <c r="AD420" s="31">
        <f>IF(AND($Y420&lt;&gt;"",N($Z420)&gt;0,$AC420=0),MAX($AD$7:$AD419)+1,"")</f>
        <v/>
      </c>
      <c r="AE420" s="31">
        <f>IF($Y420="",0,$Y420)</f>
        <v/>
      </c>
    </row>
    <row r="421">
      <c r="W421" s="31">
        <f>IF(OR($B$5="",$C$6="",ROW()&lt;$B$5),"",IF(INDEX($A:$U,ROW(),$C$6)="","",INDEX($A:$U,ROW(),$C$6)))</f>
        <v/>
      </c>
      <c r="X421" s="32">
        <f>IF($W421="","",IF(ISNUMBER($W421),IF($W421&gt;=10000000,IFERROR(DATE(INT($W421/10000),MOD(INT($W421/100),100),MOD($W421,100)),""),INT($W421)),IFERROR(DATE(--LEFT(LEFT(SUBSTITUTE(SUBSTITUTE(SUBSTITUTE(SUBSTITUTE(TRIM($W421),"-",""),".",""),"/","")," ",""),8),4),--MID(LEFT(SUBSTITUTE(SUBSTITUTE(SUBSTITUTE(SUBSTITUTE(TRIM($W421),"-",""),".",""),"/","")," ",""),8),5,2),--MID(LEFT(SUBSTITUTE(SUBSTITUTE(SUBSTITUTE(SUBSTITUTE(TRIM($W421),"-",""),".",""),"/","")," ",""),8),7,2)),"")))</f>
        <v/>
      </c>
      <c r="Y421" s="32">
        <f>IF($X421="","",INT($X421))</f>
        <v/>
      </c>
      <c r="Z421" s="33">
        <f>IF(OR($Y421="",$D$6=""),"",IF(INDEX($A:$U,ROW(),$D$6)="",0,IF(ISNUMBER(INDEX($A:$U,ROW(),$D$6)),INDEX($A:$U,ROW(),$D$6),IFERROR(--SUBSTITUTE(SUBSTITUTE(TRIM(INDEX($A:$U,ROW(),$D$6)),",",""),"원",""),0))))</f>
        <v/>
      </c>
      <c r="AA421" s="31">
        <f>IF($Y421="","",TRIM(INDEX($A:$U,ROW(),$E$6)&amp;IF($F$6="",""," "&amp;INDEX($A:$U,ROW(),$F$6))))</f>
        <v/>
      </c>
      <c r="AB421" s="31">
        <f>IF($AA421="","",SUBSTITUTE(SUBSTITUTE(SUBSTITUTE(SUBSTITUTE(SUBSTITUTE(SUBSTITUTE(SUBSTITUTE(SUBSTITUTE(SUBSTITUTE($AA421," ",""),"　",""),"(주)",""),"（주）",""),"㈜",""),"주식회사",""),"(유)",""),"（유）",""),"유한회사",""))</f>
        <v/>
      </c>
      <c r="AC421" s="31">
        <f>IF(OR($Y421="",N($Z421)&lt;=0,$AB421=""),0,IFERROR(LOOKUP(2,1/((거래처별!$AC$8:$AC$307&lt;&gt;"")*ISNUMBER(SEARCH(거래처별!$AC$8:$AC$307,$AB421))),거래처별!$A$8:$A$307),IFERROR(LOOKUP(2,1/((거래처별!$AD$8:$AD$307&lt;&gt;"")*ISNUMBER(SEARCH(거래처별!$AD$8:$AD$307,$AB421))),거래처별!$A$8:$A$307),IFERROR(LOOKUP(2,1/((거래처별!$AE$8:$AE$307&lt;&gt;"")*ISNUMBER(SEARCH(거래처별!$AE$8:$AE$307,$AB421))),거래처별!$A$8:$A$307),0))))</f>
        <v/>
      </c>
      <c r="AD421" s="31">
        <f>IF(AND($Y421&lt;&gt;"",N($Z421)&gt;0,$AC421=0),MAX($AD$7:$AD420)+1,"")</f>
        <v/>
      </c>
      <c r="AE421" s="31">
        <f>IF($Y421="",0,$Y421)</f>
        <v/>
      </c>
    </row>
    <row r="422">
      <c r="W422" s="31">
        <f>IF(OR($B$5="",$C$6="",ROW()&lt;$B$5),"",IF(INDEX($A:$U,ROW(),$C$6)="","",INDEX($A:$U,ROW(),$C$6)))</f>
        <v/>
      </c>
      <c r="X422" s="32">
        <f>IF($W422="","",IF(ISNUMBER($W422),IF($W422&gt;=10000000,IFERROR(DATE(INT($W422/10000),MOD(INT($W422/100),100),MOD($W422,100)),""),INT($W422)),IFERROR(DATE(--LEFT(LEFT(SUBSTITUTE(SUBSTITUTE(SUBSTITUTE(SUBSTITUTE(TRIM($W422),"-",""),".",""),"/","")," ",""),8),4),--MID(LEFT(SUBSTITUTE(SUBSTITUTE(SUBSTITUTE(SUBSTITUTE(TRIM($W422),"-",""),".",""),"/","")," ",""),8),5,2),--MID(LEFT(SUBSTITUTE(SUBSTITUTE(SUBSTITUTE(SUBSTITUTE(TRIM($W422),"-",""),".",""),"/","")," ",""),8),7,2)),"")))</f>
        <v/>
      </c>
      <c r="Y422" s="32">
        <f>IF($X422="","",INT($X422))</f>
        <v/>
      </c>
      <c r="Z422" s="33">
        <f>IF(OR($Y422="",$D$6=""),"",IF(INDEX($A:$U,ROW(),$D$6)="",0,IF(ISNUMBER(INDEX($A:$U,ROW(),$D$6)),INDEX($A:$U,ROW(),$D$6),IFERROR(--SUBSTITUTE(SUBSTITUTE(TRIM(INDEX($A:$U,ROW(),$D$6)),",",""),"원",""),0))))</f>
        <v/>
      </c>
      <c r="AA422" s="31">
        <f>IF($Y422="","",TRIM(INDEX($A:$U,ROW(),$E$6)&amp;IF($F$6="",""," "&amp;INDEX($A:$U,ROW(),$F$6))))</f>
        <v/>
      </c>
      <c r="AB422" s="31">
        <f>IF($AA422="","",SUBSTITUTE(SUBSTITUTE(SUBSTITUTE(SUBSTITUTE(SUBSTITUTE(SUBSTITUTE(SUBSTITUTE(SUBSTITUTE(SUBSTITUTE($AA422," ",""),"　",""),"(주)",""),"（주）",""),"㈜",""),"주식회사",""),"(유)",""),"（유）",""),"유한회사",""))</f>
        <v/>
      </c>
      <c r="AC422" s="31">
        <f>IF(OR($Y422="",N($Z422)&lt;=0,$AB422=""),0,IFERROR(LOOKUP(2,1/((거래처별!$AC$8:$AC$307&lt;&gt;"")*ISNUMBER(SEARCH(거래처별!$AC$8:$AC$307,$AB422))),거래처별!$A$8:$A$307),IFERROR(LOOKUP(2,1/((거래처별!$AD$8:$AD$307&lt;&gt;"")*ISNUMBER(SEARCH(거래처별!$AD$8:$AD$307,$AB422))),거래처별!$A$8:$A$307),IFERROR(LOOKUP(2,1/((거래처별!$AE$8:$AE$307&lt;&gt;"")*ISNUMBER(SEARCH(거래처별!$AE$8:$AE$307,$AB422))),거래처별!$A$8:$A$307),0))))</f>
        <v/>
      </c>
      <c r="AD422" s="31">
        <f>IF(AND($Y422&lt;&gt;"",N($Z422)&gt;0,$AC422=0),MAX($AD$7:$AD421)+1,"")</f>
        <v/>
      </c>
      <c r="AE422" s="31">
        <f>IF($Y422="",0,$Y422)</f>
        <v/>
      </c>
    </row>
    <row r="423">
      <c r="W423" s="31">
        <f>IF(OR($B$5="",$C$6="",ROW()&lt;$B$5),"",IF(INDEX($A:$U,ROW(),$C$6)="","",INDEX($A:$U,ROW(),$C$6)))</f>
        <v/>
      </c>
      <c r="X423" s="32">
        <f>IF($W423="","",IF(ISNUMBER($W423),IF($W423&gt;=10000000,IFERROR(DATE(INT($W423/10000),MOD(INT($W423/100),100),MOD($W423,100)),""),INT($W423)),IFERROR(DATE(--LEFT(LEFT(SUBSTITUTE(SUBSTITUTE(SUBSTITUTE(SUBSTITUTE(TRIM($W423),"-",""),".",""),"/","")," ",""),8),4),--MID(LEFT(SUBSTITUTE(SUBSTITUTE(SUBSTITUTE(SUBSTITUTE(TRIM($W423),"-",""),".",""),"/","")," ",""),8),5,2),--MID(LEFT(SUBSTITUTE(SUBSTITUTE(SUBSTITUTE(SUBSTITUTE(TRIM($W423),"-",""),".",""),"/","")," ",""),8),7,2)),"")))</f>
        <v/>
      </c>
      <c r="Y423" s="32">
        <f>IF($X423="","",INT($X423))</f>
        <v/>
      </c>
      <c r="Z423" s="33">
        <f>IF(OR($Y423="",$D$6=""),"",IF(INDEX($A:$U,ROW(),$D$6)="",0,IF(ISNUMBER(INDEX($A:$U,ROW(),$D$6)),INDEX($A:$U,ROW(),$D$6),IFERROR(--SUBSTITUTE(SUBSTITUTE(TRIM(INDEX($A:$U,ROW(),$D$6)),",",""),"원",""),0))))</f>
        <v/>
      </c>
      <c r="AA423" s="31">
        <f>IF($Y423="","",TRIM(INDEX($A:$U,ROW(),$E$6)&amp;IF($F$6="",""," "&amp;INDEX($A:$U,ROW(),$F$6))))</f>
        <v/>
      </c>
      <c r="AB423" s="31">
        <f>IF($AA423="","",SUBSTITUTE(SUBSTITUTE(SUBSTITUTE(SUBSTITUTE(SUBSTITUTE(SUBSTITUTE(SUBSTITUTE(SUBSTITUTE(SUBSTITUTE($AA423," ",""),"　",""),"(주)",""),"（주）",""),"㈜",""),"주식회사",""),"(유)",""),"（유）",""),"유한회사",""))</f>
        <v/>
      </c>
      <c r="AC423" s="31">
        <f>IF(OR($Y423="",N($Z423)&lt;=0,$AB423=""),0,IFERROR(LOOKUP(2,1/((거래처별!$AC$8:$AC$307&lt;&gt;"")*ISNUMBER(SEARCH(거래처별!$AC$8:$AC$307,$AB423))),거래처별!$A$8:$A$307),IFERROR(LOOKUP(2,1/((거래처별!$AD$8:$AD$307&lt;&gt;"")*ISNUMBER(SEARCH(거래처별!$AD$8:$AD$307,$AB423))),거래처별!$A$8:$A$307),IFERROR(LOOKUP(2,1/((거래처별!$AE$8:$AE$307&lt;&gt;"")*ISNUMBER(SEARCH(거래처별!$AE$8:$AE$307,$AB423))),거래처별!$A$8:$A$307),0))))</f>
        <v/>
      </c>
      <c r="AD423" s="31">
        <f>IF(AND($Y423&lt;&gt;"",N($Z423)&gt;0,$AC423=0),MAX($AD$7:$AD422)+1,"")</f>
        <v/>
      </c>
      <c r="AE423" s="31">
        <f>IF($Y423="",0,$Y423)</f>
        <v/>
      </c>
    </row>
    <row r="424">
      <c r="W424" s="31">
        <f>IF(OR($B$5="",$C$6="",ROW()&lt;$B$5),"",IF(INDEX($A:$U,ROW(),$C$6)="","",INDEX($A:$U,ROW(),$C$6)))</f>
        <v/>
      </c>
      <c r="X424" s="32">
        <f>IF($W424="","",IF(ISNUMBER($W424),IF($W424&gt;=10000000,IFERROR(DATE(INT($W424/10000),MOD(INT($W424/100),100),MOD($W424,100)),""),INT($W424)),IFERROR(DATE(--LEFT(LEFT(SUBSTITUTE(SUBSTITUTE(SUBSTITUTE(SUBSTITUTE(TRIM($W424),"-",""),".",""),"/","")," ",""),8),4),--MID(LEFT(SUBSTITUTE(SUBSTITUTE(SUBSTITUTE(SUBSTITUTE(TRIM($W424),"-",""),".",""),"/","")," ",""),8),5,2),--MID(LEFT(SUBSTITUTE(SUBSTITUTE(SUBSTITUTE(SUBSTITUTE(TRIM($W424),"-",""),".",""),"/","")," ",""),8),7,2)),"")))</f>
        <v/>
      </c>
      <c r="Y424" s="32">
        <f>IF($X424="","",INT($X424))</f>
        <v/>
      </c>
      <c r="Z424" s="33">
        <f>IF(OR($Y424="",$D$6=""),"",IF(INDEX($A:$U,ROW(),$D$6)="",0,IF(ISNUMBER(INDEX($A:$U,ROW(),$D$6)),INDEX($A:$U,ROW(),$D$6),IFERROR(--SUBSTITUTE(SUBSTITUTE(TRIM(INDEX($A:$U,ROW(),$D$6)),",",""),"원",""),0))))</f>
        <v/>
      </c>
      <c r="AA424" s="31">
        <f>IF($Y424="","",TRIM(INDEX($A:$U,ROW(),$E$6)&amp;IF($F$6="",""," "&amp;INDEX($A:$U,ROW(),$F$6))))</f>
        <v/>
      </c>
      <c r="AB424" s="31">
        <f>IF($AA424="","",SUBSTITUTE(SUBSTITUTE(SUBSTITUTE(SUBSTITUTE(SUBSTITUTE(SUBSTITUTE(SUBSTITUTE(SUBSTITUTE(SUBSTITUTE($AA424," ",""),"　",""),"(주)",""),"（주）",""),"㈜",""),"주식회사",""),"(유)",""),"（유）",""),"유한회사",""))</f>
        <v/>
      </c>
      <c r="AC424" s="31">
        <f>IF(OR($Y424="",N($Z424)&lt;=0,$AB424=""),0,IFERROR(LOOKUP(2,1/((거래처별!$AC$8:$AC$307&lt;&gt;"")*ISNUMBER(SEARCH(거래처별!$AC$8:$AC$307,$AB424))),거래처별!$A$8:$A$307),IFERROR(LOOKUP(2,1/((거래처별!$AD$8:$AD$307&lt;&gt;"")*ISNUMBER(SEARCH(거래처별!$AD$8:$AD$307,$AB424))),거래처별!$A$8:$A$307),IFERROR(LOOKUP(2,1/((거래처별!$AE$8:$AE$307&lt;&gt;"")*ISNUMBER(SEARCH(거래처별!$AE$8:$AE$307,$AB424))),거래처별!$A$8:$A$307),0))))</f>
        <v/>
      </c>
      <c r="AD424" s="31">
        <f>IF(AND($Y424&lt;&gt;"",N($Z424)&gt;0,$AC424=0),MAX($AD$7:$AD423)+1,"")</f>
        <v/>
      </c>
      <c r="AE424" s="31">
        <f>IF($Y424="",0,$Y424)</f>
        <v/>
      </c>
    </row>
    <row r="425">
      <c r="W425" s="31">
        <f>IF(OR($B$5="",$C$6="",ROW()&lt;$B$5),"",IF(INDEX($A:$U,ROW(),$C$6)="","",INDEX($A:$U,ROW(),$C$6)))</f>
        <v/>
      </c>
      <c r="X425" s="32">
        <f>IF($W425="","",IF(ISNUMBER($W425),IF($W425&gt;=10000000,IFERROR(DATE(INT($W425/10000),MOD(INT($W425/100),100),MOD($W425,100)),""),INT($W425)),IFERROR(DATE(--LEFT(LEFT(SUBSTITUTE(SUBSTITUTE(SUBSTITUTE(SUBSTITUTE(TRIM($W425),"-",""),".",""),"/","")," ",""),8),4),--MID(LEFT(SUBSTITUTE(SUBSTITUTE(SUBSTITUTE(SUBSTITUTE(TRIM($W425),"-",""),".",""),"/","")," ",""),8),5,2),--MID(LEFT(SUBSTITUTE(SUBSTITUTE(SUBSTITUTE(SUBSTITUTE(TRIM($W425),"-",""),".",""),"/","")," ",""),8),7,2)),"")))</f>
        <v/>
      </c>
      <c r="Y425" s="32">
        <f>IF($X425="","",INT($X425))</f>
        <v/>
      </c>
      <c r="Z425" s="33">
        <f>IF(OR($Y425="",$D$6=""),"",IF(INDEX($A:$U,ROW(),$D$6)="",0,IF(ISNUMBER(INDEX($A:$U,ROW(),$D$6)),INDEX($A:$U,ROW(),$D$6),IFERROR(--SUBSTITUTE(SUBSTITUTE(TRIM(INDEX($A:$U,ROW(),$D$6)),",",""),"원",""),0))))</f>
        <v/>
      </c>
      <c r="AA425" s="31">
        <f>IF($Y425="","",TRIM(INDEX($A:$U,ROW(),$E$6)&amp;IF($F$6="",""," "&amp;INDEX($A:$U,ROW(),$F$6))))</f>
        <v/>
      </c>
      <c r="AB425" s="31">
        <f>IF($AA425="","",SUBSTITUTE(SUBSTITUTE(SUBSTITUTE(SUBSTITUTE(SUBSTITUTE(SUBSTITUTE(SUBSTITUTE(SUBSTITUTE(SUBSTITUTE($AA425," ",""),"　",""),"(주)",""),"（주）",""),"㈜",""),"주식회사",""),"(유)",""),"（유）",""),"유한회사",""))</f>
        <v/>
      </c>
      <c r="AC425" s="31">
        <f>IF(OR($Y425="",N($Z425)&lt;=0,$AB425=""),0,IFERROR(LOOKUP(2,1/((거래처별!$AC$8:$AC$307&lt;&gt;"")*ISNUMBER(SEARCH(거래처별!$AC$8:$AC$307,$AB425))),거래처별!$A$8:$A$307),IFERROR(LOOKUP(2,1/((거래처별!$AD$8:$AD$307&lt;&gt;"")*ISNUMBER(SEARCH(거래처별!$AD$8:$AD$307,$AB425))),거래처별!$A$8:$A$307),IFERROR(LOOKUP(2,1/((거래처별!$AE$8:$AE$307&lt;&gt;"")*ISNUMBER(SEARCH(거래처별!$AE$8:$AE$307,$AB425))),거래처별!$A$8:$A$307),0))))</f>
        <v/>
      </c>
      <c r="AD425" s="31">
        <f>IF(AND($Y425&lt;&gt;"",N($Z425)&gt;0,$AC425=0),MAX($AD$7:$AD424)+1,"")</f>
        <v/>
      </c>
      <c r="AE425" s="31">
        <f>IF($Y425="",0,$Y425)</f>
        <v/>
      </c>
    </row>
    <row r="426">
      <c r="W426" s="31">
        <f>IF(OR($B$5="",$C$6="",ROW()&lt;$B$5),"",IF(INDEX($A:$U,ROW(),$C$6)="","",INDEX($A:$U,ROW(),$C$6)))</f>
        <v/>
      </c>
      <c r="X426" s="32">
        <f>IF($W426="","",IF(ISNUMBER($W426),IF($W426&gt;=10000000,IFERROR(DATE(INT($W426/10000),MOD(INT($W426/100),100),MOD($W426,100)),""),INT($W426)),IFERROR(DATE(--LEFT(LEFT(SUBSTITUTE(SUBSTITUTE(SUBSTITUTE(SUBSTITUTE(TRIM($W426),"-",""),".",""),"/","")," ",""),8),4),--MID(LEFT(SUBSTITUTE(SUBSTITUTE(SUBSTITUTE(SUBSTITUTE(TRIM($W426),"-",""),".",""),"/","")," ",""),8),5,2),--MID(LEFT(SUBSTITUTE(SUBSTITUTE(SUBSTITUTE(SUBSTITUTE(TRIM($W426),"-",""),".",""),"/","")," ",""),8),7,2)),"")))</f>
        <v/>
      </c>
      <c r="Y426" s="32">
        <f>IF($X426="","",INT($X426))</f>
        <v/>
      </c>
      <c r="Z426" s="33">
        <f>IF(OR($Y426="",$D$6=""),"",IF(INDEX($A:$U,ROW(),$D$6)="",0,IF(ISNUMBER(INDEX($A:$U,ROW(),$D$6)),INDEX($A:$U,ROW(),$D$6),IFERROR(--SUBSTITUTE(SUBSTITUTE(TRIM(INDEX($A:$U,ROW(),$D$6)),",",""),"원",""),0))))</f>
        <v/>
      </c>
      <c r="AA426" s="31">
        <f>IF($Y426="","",TRIM(INDEX($A:$U,ROW(),$E$6)&amp;IF($F$6="",""," "&amp;INDEX($A:$U,ROW(),$F$6))))</f>
        <v/>
      </c>
      <c r="AB426" s="31">
        <f>IF($AA426="","",SUBSTITUTE(SUBSTITUTE(SUBSTITUTE(SUBSTITUTE(SUBSTITUTE(SUBSTITUTE(SUBSTITUTE(SUBSTITUTE(SUBSTITUTE($AA426," ",""),"　",""),"(주)",""),"（주）",""),"㈜",""),"주식회사",""),"(유)",""),"（유）",""),"유한회사",""))</f>
        <v/>
      </c>
      <c r="AC426" s="31">
        <f>IF(OR($Y426="",N($Z426)&lt;=0,$AB426=""),0,IFERROR(LOOKUP(2,1/((거래처별!$AC$8:$AC$307&lt;&gt;"")*ISNUMBER(SEARCH(거래처별!$AC$8:$AC$307,$AB426))),거래처별!$A$8:$A$307),IFERROR(LOOKUP(2,1/((거래처별!$AD$8:$AD$307&lt;&gt;"")*ISNUMBER(SEARCH(거래처별!$AD$8:$AD$307,$AB426))),거래처별!$A$8:$A$307),IFERROR(LOOKUP(2,1/((거래처별!$AE$8:$AE$307&lt;&gt;"")*ISNUMBER(SEARCH(거래처별!$AE$8:$AE$307,$AB426))),거래처별!$A$8:$A$307),0))))</f>
        <v/>
      </c>
      <c r="AD426" s="31">
        <f>IF(AND($Y426&lt;&gt;"",N($Z426)&gt;0,$AC426=0),MAX($AD$7:$AD425)+1,"")</f>
        <v/>
      </c>
      <c r="AE426" s="31">
        <f>IF($Y426="",0,$Y426)</f>
        <v/>
      </c>
    </row>
    <row r="427">
      <c r="W427" s="31">
        <f>IF(OR($B$5="",$C$6="",ROW()&lt;$B$5),"",IF(INDEX($A:$U,ROW(),$C$6)="","",INDEX($A:$U,ROW(),$C$6)))</f>
        <v/>
      </c>
      <c r="X427" s="32">
        <f>IF($W427="","",IF(ISNUMBER($W427),IF($W427&gt;=10000000,IFERROR(DATE(INT($W427/10000),MOD(INT($W427/100),100),MOD($W427,100)),""),INT($W427)),IFERROR(DATE(--LEFT(LEFT(SUBSTITUTE(SUBSTITUTE(SUBSTITUTE(SUBSTITUTE(TRIM($W427),"-",""),".",""),"/","")," ",""),8),4),--MID(LEFT(SUBSTITUTE(SUBSTITUTE(SUBSTITUTE(SUBSTITUTE(TRIM($W427),"-",""),".",""),"/","")," ",""),8),5,2),--MID(LEFT(SUBSTITUTE(SUBSTITUTE(SUBSTITUTE(SUBSTITUTE(TRIM($W427),"-",""),".",""),"/","")," ",""),8),7,2)),"")))</f>
        <v/>
      </c>
      <c r="Y427" s="32">
        <f>IF($X427="","",INT($X427))</f>
        <v/>
      </c>
      <c r="Z427" s="33">
        <f>IF(OR($Y427="",$D$6=""),"",IF(INDEX($A:$U,ROW(),$D$6)="",0,IF(ISNUMBER(INDEX($A:$U,ROW(),$D$6)),INDEX($A:$U,ROW(),$D$6),IFERROR(--SUBSTITUTE(SUBSTITUTE(TRIM(INDEX($A:$U,ROW(),$D$6)),",",""),"원",""),0))))</f>
        <v/>
      </c>
      <c r="AA427" s="31">
        <f>IF($Y427="","",TRIM(INDEX($A:$U,ROW(),$E$6)&amp;IF($F$6="",""," "&amp;INDEX($A:$U,ROW(),$F$6))))</f>
        <v/>
      </c>
      <c r="AB427" s="31">
        <f>IF($AA427="","",SUBSTITUTE(SUBSTITUTE(SUBSTITUTE(SUBSTITUTE(SUBSTITUTE(SUBSTITUTE(SUBSTITUTE(SUBSTITUTE(SUBSTITUTE($AA427," ",""),"　",""),"(주)",""),"（주）",""),"㈜",""),"주식회사",""),"(유)",""),"（유）",""),"유한회사",""))</f>
        <v/>
      </c>
      <c r="AC427" s="31">
        <f>IF(OR($Y427="",N($Z427)&lt;=0,$AB427=""),0,IFERROR(LOOKUP(2,1/((거래처별!$AC$8:$AC$307&lt;&gt;"")*ISNUMBER(SEARCH(거래처별!$AC$8:$AC$307,$AB427))),거래처별!$A$8:$A$307),IFERROR(LOOKUP(2,1/((거래처별!$AD$8:$AD$307&lt;&gt;"")*ISNUMBER(SEARCH(거래처별!$AD$8:$AD$307,$AB427))),거래처별!$A$8:$A$307),IFERROR(LOOKUP(2,1/((거래처별!$AE$8:$AE$307&lt;&gt;"")*ISNUMBER(SEARCH(거래처별!$AE$8:$AE$307,$AB427))),거래처별!$A$8:$A$307),0))))</f>
        <v/>
      </c>
      <c r="AD427" s="31">
        <f>IF(AND($Y427&lt;&gt;"",N($Z427)&gt;0,$AC427=0),MAX($AD$7:$AD426)+1,"")</f>
        <v/>
      </c>
      <c r="AE427" s="31">
        <f>IF($Y427="",0,$Y427)</f>
        <v/>
      </c>
    </row>
    <row r="428">
      <c r="W428" s="31">
        <f>IF(OR($B$5="",$C$6="",ROW()&lt;$B$5),"",IF(INDEX($A:$U,ROW(),$C$6)="","",INDEX($A:$U,ROW(),$C$6)))</f>
        <v/>
      </c>
      <c r="X428" s="32">
        <f>IF($W428="","",IF(ISNUMBER($W428),IF($W428&gt;=10000000,IFERROR(DATE(INT($W428/10000),MOD(INT($W428/100),100),MOD($W428,100)),""),INT($W428)),IFERROR(DATE(--LEFT(LEFT(SUBSTITUTE(SUBSTITUTE(SUBSTITUTE(SUBSTITUTE(TRIM($W428),"-",""),".",""),"/","")," ",""),8),4),--MID(LEFT(SUBSTITUTE(SUBSTITUTE(SUBSTITUTE(SUBSTITUTE(TRIM($W428),"-",""),".",""),"/","")," ",""),8),5,2),--MID(LEFT(SUBSTITUTE(SUBSTITUTE(SUBSTITUTE(SUBSTITUTE(TRIM($W428),"-",""),".",""),"/","")," ",""),8),7,2)),"")))</f>
        <v/>
      </c>
      <c r="Y428" s="32">
        <f>IF($X428="","",INT($X428))</f>
        <v/>
      </c>
      <c r="Z428" s="33">
        <f>IF(OR($Y428="",$D$6=""),"",IF(INDEX($A:$U,ROW(),$D$6)="",0,IF(ISNUMBER(INDEX($A:$U,ROW(),$D$6)),INDEX($A:$U,ROW(),$D$6),IFERROR(--SUBSTITUTE(SUBSTITUTE(TRIM(INDEX($A:$U,ROW(),$D$6)),",",""),"원",""),0))))</f>
        <v/>
      </c>
      <c r="AA428" s="31">
        <f>IF($Y428="","",TRIM(INDEX($A:$U,ROW(),$E$6)&amp;IF($F$6="",""," "&amp;INDEX($A:$U,ROW(),$F$6))))</f>
        <v/>
      </c>
      <c r="AB428" s="31">
        <f>IF($AA428="","",SUBSTITUTE(SUBSTITUTE(SUBSTITUTE(SUBSTITUTE(SUBSTITUTE(SUBSTITUTE(SUBSTITUTE(SUBSTITUTE(SUBSTITUTE($AA428," ",""),"　",""),"(주)",""),"（주）",""),"㈜",""),"주식회사",""),"(유)",""),"（유）",""),"유한회사",""))</f>
        <v/>
      </c>
      <c r="AC428" s="31">
        <f>IF(OR($Y428="",N($Z428)&lt;=0,$AB428=""),0,IFERROR(LOOKUP(2,1/((거래처별!$AC$8:$AC$307&lt;&gt;"")*ISNUMBER(SEARCH(거래처별!$AC$8:$AC$307,$AB428))),거래처별!$A$8:$A$307),IFERROR(LOOKUP(2,1/((거래처별!$AD$8:$AD$307&lt;&gt;"")*ISNUMBER(SEARCH(거래처별!$AD$8:$AD$307,$AB428))),거래처별!$A$8:$A$307),IFERROR(LOOKUP(2,1/((거래처별!$AE$8:$AE$307&lt;&gt;"")*ISNUMBER(SEARCH(거래처별!$AE$8:$AE$307,$AB428))),거래처별!$A$8:$A$307),0))))</f>
        <v/>
      </c>
      <c r="AD428" s="31">
        <f>IF(AND($Y428&lt;&gt;"",N($Z428)&gt;0,$AC428=0),MAX($AD$7:$AD427)+1,"")</f>
        <v/>
      </c>
      <c r="AE428" s="31">
        <f>IF($Y428="",0,$Y428)</f>
        <v/>
      </c>
    </row>
    <row r="429">
      <c r="W429" s="31">
        <f>IF(OR($B$5="",$C$6="",ROW()&lt;$B$5),"",IF(INDEX($A:$U,ROW(),$C$6)="","",INDEX($A:$U,ROW(),$C$6)))</f>
        <v/>
      </c>
      <c r="X429" s="32">
        <f>IF($W429="","",IF(ISNUMBER($W429),IF($W429&gt;=10000000,IFERROR(DATE(INT($W429/10000),MOD(INT($W429/100),100),MOD($W429,100)),""),INT($W429)),IFERROR(DATE(--LEFT(LEFT(SUBSTITUTE(SUBSTITUTE(SUBSTITUTE(SUBSTITUTE(TRIM($W429),"-",""),".",""),"/","")," ",""),8),4),--MID(LEFT(SUBSTITUTE(SUBSTITUTE(SUBSTITUTE(SUBSTITUTE(TRIM($W429),"-",""),".",""),"/","")," ",""),8),5,2),--MID(LEFT(SUBSTITUTE(SUBSTITUTE(SUBSTITUTE(SUBSTITUTE(TRIM($W429),"-",""),".",""),"/","")," ",""),8),7,2)),"")))</f>
        <v/>
      </c>
      <c r="Y429" s="32">
        <f>IF($X429="","",INT($X429))</f>
        <v/>
      </c>
      <c r="Z429" s="33">
        <f>IF(OR($Y429="",$D$6=""),"",IF(INDEX($A:$U,ROW(),$D$6)="",0,IF(ISNUMBER(INDEX($A:$U,ROW(),$D$6)),INDEX($A:$U,ROW(),$D$6),IFERROR(--SUBSTITUTE(SUBSTITUTE(TRIM(INDEX($A:$U,ROW(),$D$6)),",",""),"원",""),0))))</f>
        <v/>
      </c>
      <c r="AA429" s="31">
        <f>IF($Y429="","",TRIM(INDEX($A:$U,ROW(),$E$6)&amp;IF($F$6="",""," "&amp;INDEX($A:$U,ROW(),$F$6))))</f>
        <v/>
      </c>
      <c r="AB429" s="31">
        <f>IF($AA429="","",SUBSTITUTE(SUBSTITUTE(SUBSTITUTE(SUBSTITUTE(SUBSTITUTE(SUBSTITUTE(SUBSTITUTE(SUBSTITUTE(SUBSTITUTE($AA429," ",""),"　",""),"(주)",""),"（주）",""),"㈜",""),"주식회사",""),"(유)",""),"（유）",""),"유한회사",""))</f>
        <v/>
      </c>
      <c r="AC429" s="31">
        <f>IF(OR($Y429="",N($Z429)&lt;=0,$AB429=""),0,IFERROR(LOOKUP(2,1/((거래처별!$AC$8:$AC$307&lt;&gt;"")*ISNUMBER(SEARCH(거래처별!$AC$8:$AC$307,$AB429))),거래처별!$A$8:$A$307),IFERROR(LOOKUP(2,1/((거래처별!$AD$8:$AD$307&lt;&gt;"")*ISNUMBER(SEARCH(거래처별!$AD$8:$AD$307,$AB429))),거래처별!$A$8:$A$307),IFERROR(LOOKUP(2,1/((거래처별!$AE$8:$AE$307&lt;&gt;"")*ISNUMBER(SEARCH(거래처별!$AE$8:$AE$307,$AB429))),거래처별!$A$8:$A$307),0))))</f>
        <v/>
      </c>
      <c r="AD429" s="31">
        <f>IF(AND($Y429&lt;&gt;"",N($Z429)&gt;0,$AC429=0),MAX($AD$7:$AD428)+1,"")</f>
        <v/>
      </c>
      <c r="AE429" s="31">
        <f>IF($Y429="",0,$Y429)</f>
        <v/>
      </c>
    </row>
    <row r="430">
      <c r="W430" s="31">
        <f>IF(OR($B$5="",$C$6="",ROW()&lt;$B$5),"",IF(INDEX($A:$U,ROW(),$C$6)="","",INDEX($A:$U,ROW(),$C$6)))</f>
        <v/>
      </c>
      <c r="X430" s="32">
        <f>IF($W430="","",IF(ISNUMBER($W430),IF($W430&gt;=10000000,IFERROR(DATE(INT($W430/10000),MOD(INT($W430/100),100),MOD($W430,100)),""),INT($W430)),IFERROR(DATE(--LEFT(LEFT(SUBSTITUTE(SUBSTITUTE(SUBSTITUTE(SUBSTITUTE(TRIM($W430),"-",""),".",""),"/","")," ",""),8),4),--MID(LEFT(SUBSTITUTE(SUBSTITUTE(SUBSTITUTE(SUBSTITUTE(TRIM($W430),"-",""),".",""),"/","")," ",""),8),5,2),--MID(LEFT(SUBSTITUTE(SUBSTITUTE(SUBSTITUTE(SUBSTITUTE(TRIM($W430),"-",""),".",""),"/","")," ",""),8),7,2)),"")))</f>
        <v/>
      </c>
      <c r="Y430" s="32">
        <f>IF($X430="","",INT($X430))</f>
        <v/>
      </c>
      <c r="Z430" s="33">
        <f>IF(OR($Y430="",$D$6=""),"",IF(INDEX($A:$U,ROW(),$D$6)="",0,IF(ISNUMBER(INDEX($A:$U,ROW(),$D$6)),INDEX($A:$U,ROW(),$D$6),IFERROR(--SUBSTITUTE(SUBSTITUTE(TRIM(INDEX($A:$U,ROW(),$D$6)),",",""),"원",""),0))))</f>
        <v/>
      </c>
      <c r="AA430" s="31">
        <f>IF($Y430="","",TRIM(INDEX($A:$U,ROW(),$E$6)&amp;IF($F$6="",""," "&amp;INDEX($A:$U,ROW(),$F$6))))</f>
        <v/>
      </c>
      <c r="AB430" s="31">
        <f>IF($AA430="","",SUBSTITUTE(SUBSTITUTE(SUBSTITUTE(SUBSTITUTE(SUBSTITUTE(SUBSTITUTE(SUBSTITUTE(SUBSTITUTE(SUBSTITUTE($AA430," ",""),"　",""),"(주)",""),"（주）",""),"㈜",""),"주식회사",""),"(유)",""),"（유）",""),"유한회사",""))</f>
        <v/>
      </c>
      <c r="AC430" s="31">
        <f>IF(OR($Y430="",N($Z430)&lt;=0,$AB430=""),0,IFERROR(LOOKUP(2,1/((거래처별!$AC$8:$AC$307&lt;&gt;"")*ISNUMBER(SEARCH(거래처별!$AC$8:$AC$307,$AB430))),거래처별!$A$8:$A$307),IFERROR(LOOKUP(2,1/((거래처별!$AD$8:$AD$307&lt;&gt;"")*ISNUMBER(SEARCH(거래처별!$AD$8:$AD$307,$AB430))),거래처별!$A$8:$A$307),IFERROR(LOOKUP(2,1/((거래처별!$AE$8:$AE$307&lt;&gt;"")*ISNUMBER(SEARCH(거래처별!$AE$8:$AE$307,$AB430))),거래처별!$A$8:$A$307),0))))</f>
        <v/>
      </c>
      <c r="AD430" s="31">
        <f>IF(AND($Y430&lt;&gt;"",N($Z430)&gt;0,$AC430=0),MAX($AD$7:$AD429)+1,"")</f>
        <v/>
      </c>
      <c r="AE430" s="31">
        <f>IF($Y430="",0,$Y430)</f>
        <v/>
      </c>
    </row>
    <row r="431">
      <c r="W431" s="31">
        <f>IF(OR($B$5="",$C$6="",ROW()&lt;$B$5),"",IF(INDEX($A:$U,ROW(),$C$6)="","",INDEX($A:$U,ROW(),$C$6)))</f>
        <v/>
      </c>
      <c r="X431" s="32">
        <f>IF($W431="","",IF(ISNUMBER($W431),IF($W431&gt;=10000000,IFERROR(DATE(INT($W431/10000),MOD(INT($W431/100),100),MOD($W431,100)),""),INT($W431)),IFERROR(DATE(--LEFT(LEFT(SUBSTITUTE(SUBSTITUTE(SUBSTITUTE(SUBSTITUTE(TRIM($W431),"-",""),".",""),"/","")," ",""),8),4),--MID(LEFT(SUBSTITUTE(SUBSTITUTE(SUBSTITUTE(SUBSTITUTE(TRIM($W431),"-",""),".",""),"/","")," ",""),8),5,2),--MID(LEFT(SUBSTITUTE(SUBSTITUTE(SUBSTITUTE(SUBSTITUTE(TRIM($W431),"-",""),".",""),"/","")," ",""),8),7,2)),"")))</f>
        <v/>
      </c>
      <c r="Y431" s="32">
        <f>IF($X431="","",INT($X431))</f>
        <v/>
      </c>
      <c r="Z431" s="33">
        <f>IF(OR($Y431="",$D$6=""),"",IF(INDEX($A:$U,ROW(),$D$6)="",0,IF(ISNUMBER(INDEX($A:$U,ROW(),$D$6)),INDEX($A:$U,ROW(),$D$6),IFERROR(--SUBSTITUTE(SUBSTITUTE(TRIM(INDEX($A:$U,ROW(),$D$6)),",",""),"원",""),0))))</f>
        <v/>
      </c>
      <c r="AA431" s="31">
        <f>IF($Y431="","",TRIM(INDEX($A:$U,ROW(),$E$6)&amp;IF($F$6="",""," "&amp;INDEX($A:$U,ROW(),$F$6))))</f>
        <v/>
      </c>
      <c r="AB431" s="31">
        <f>IF($AA431="","",SUBSTITUTE(SUBSTITUTE(SUBSTITUTE(SUBSTITUTE(SUBSTITUTE(SUBSTITUTE(SUBSTITUTE(SUBSTITUTE(SUBSTITUTE($AA431," ",""),"　",""),"(주)",""),"（주）",""),"㈜",""),"주식회사",""),"(유)",""),"（유）",""),"유한회사",""))</f>
        <v/>
      </c>
      <c r="AC431" s="31">
        <f>IF(OR($Y431="",N($Z431)&lt;=0,$AB431=""),0,IFERROR(LOOKUP(2,1/((거래처별!$AC$8:$AC$307&lt;&gt;"")*ISNUMBER(SEARCH(거래처별!$AC$8:$AC$307,$AB431))),거래처별!$A$8:$A$307),IFERROR(LOOKUP(2,1/((거래처별!$AD$8:$AD$307&lt;&gt;"")*ISNUMBER(SEARCH(거래처별!$AD$8:$AD$307,$AB431))),거래처별!$A$8:$A$307),IFERROR(LOOKUP(2,1/((거래처별!$AE$8:$AE$307&lt;&gt;"")*ISNUMBER(SEARCH(거래처별!$AE$8:$AE$307,$AB431))),거래처별!$A$8:$A$307),0))))</f>
        <v/>
      </c>
      <c r="AD431" s="31">
        <f>IF(AND($Y431&lt;&gt;"",N($Z431)&gt;0,$AC431=0),MAX($AD$7:$AD430)+1,"")</f>
        <v/>
      </c>
      <c r="AE431" s="31">
        <f>IF($Y431="",0,$Y431)</f>
        <v/>
      </c>
    </row>
    <row r="432">
      <c r="W432" s="31">
        <f>IF(OR($B$5="",$C$6="",ROW()&lt;$B$5),"",IF(INDEX($A:$U,ROW(),$C$6)="","",INDEX($A:$U,ROW(),$C$6)))</f>
        <v/>
      </c>
      <c r="X432" s="32">
        <f>IF($W432="","",IF(ISNUMBER($W432),IF($W432&gt;=10000000,IFERROR(DATE(INT($W432/10000),MOD(INT($W432/100),100),MOD($W432,100)),""),INT($W432)),IFERROR(DATE(--LEFT(LEFT(SUBSTITUTE(SUBSTITUTE(SUBSTITUTE(SUBSTITUTE(TRIM($W432),"-",""),".",""),"/","")," ",""),8),4),--MID(LEFT(SUBSTITUTE(SUBSTITUTE(SUBSTITUTE(SUBSTITUTE(TRIM($W432),"-",""),".",""),"/","")," ",""),8),5,2),--MID(LEFT(SUBSTITUTE(SUBSTITUTE(SUBSTITUTE(SUBSTITUTE(TRIM($W432),"-",""),".",""),"/","")," ",""),8),7,2)),"")))</f>
        <v/>
      </c>
      <c r="Y432" s="32">
        <f>IF($X432="","",INT($X432))</f>
        <v/>
      </c>
      <c r="Z432" s="33">
        <f>IF(OR($Y432="",$D$6=""),"",IF(INDEX($A:$U,ROW(),$D$6)="",0,IF(ISNUMBER(INDEX($A:$U,ROW(),$D$6)),INDEX($A:$U,ROW(),$D$6),IFERROR(--SUBSTITUTE(SUBSTITUTE(TRIM(INDEX($A:$U,ROW(),$D$6)),",",""),"원",""),0))))</f>
        <v/>
      </c>
      <c r="AA432" s="31">
        <f>IF($Y432="","",TRIM(INDEX($A:$U,ROW(),$E$6)&amp;IF($F$6="",""," "&amp;INDEX($A:$U,ROW(),$F$6))))</f>
        <v/>
      </c>
      <c r="AB432" s="31">
        <f>IF($AA432="","",SUBSTITUTE(SUBSTITUTE(SUBSTITUTE(SUBSTITUTE(SUBSTITUTE(SUBSTITUTE(SUBSTITUTE(SUBSTITUTE(SUBSTITUTE($AA432," ",""),"　",""),"(주)",""),"（주）",""),"㈜",""),"주식회사",""),"(유)",""),"（유）",""),"유한회사",""))</f>
        <v/>
      </c>
      <c r="AC432" s="31">
        <f>IF(OR($Y432="",N($Z432)&lt;=0,$AB432=""),0,IFERROR(LOOKUP(2,1/((거래처별!$AC$8:$AC$307&lt;&gt;"")*ISNUMBER(SEARCH(거래처별!$AC$8:$AC$307,$AB432))),거래처별!$A$8:$A$307),IFERROR(LOOKUP(2,1/((거래처별!$AD$8:$AD$307&lt;&gt;"")*ISNUMBER(SEARCH(거래처별!$AD$8:$AD$307,$AB432))),거래처별!$A$8:$A$307),IFERROR(LOOKUP(2,1/((거래처별!$AE$8:$AE$307&lt;&gt;"")*ISNUMBER(SEARCH(거래처별!$AE$8:$AE$307,$AB432))),거래처별!$A$8:$A$307),0))))</f>
        <v/>
      </c>
      <c r="AD432" s="31">
        <f>IF(AND($Y432&lt;&gt;"",N($Z432)&gt;0,$AC432=0),MAX($AD$7:$AD431)+1,"")</f>
        <v/>
      </c>
      <c r="AE432" s="31">
        <f>IF($Y432="",0,$Y432)</f>
        <v/>
      </c>
    </row>
    <row r="433">
      <c r="W433" s="31">
        <f>IF(OR($B$5="",$C$6="",ROW()&lt;$B$5),"",IF(INDEX($A:$U,ROW(),$C$6)="","",INDEX($A:$U,ROW(),$C$6)))</f>
        <v/>
      </c>
      <c r="X433" s="32">
        <f>IF($W433="","",IF(ISNUMBER($W433),IF($W433&gt;=10000000,IFERROR(DATE(INT($W433/10000),MOD(INT($W433/100),100),MOD($W433,100)),""),INT($W433)),IFERROR(DATE(--LEFT(LEFT(SUBSTITUTE(SUBSTITUTE(SUBSTITUTE(SUBSTITUTE(TRIM($W433),"-",""),".",""),"/","")," ",""),8),4),--MID(LEFT(SUBSTITUTE(SUBSTITUTE(SUBSTITUTE(SUBSTITUTE(TRIM($W433),"-",""),".",""),"/","")," ",""),8),5,2),--MID(LEFT(SUBSTITUTE(SUBSTITUTE(SUBSTITUTE(SUBSTITUTE(TRIM($W433),"-",""),".",""),"/","")," ",""),8),7,2)),"")))</f>
        <v/>
      </c>
      <c r="Y433" s="32">
        <f>IF($X433="","",INT($X433))</f>
        <v/>
      </c>
      <c r="Z433" s="33">
        <f>IF(OR($Y433="",$D$6=""),"",IF(INDEX($A:$U,ROW(),$D$6)="",0,IF(ISNUMBER(INDEX($A:$U,ROW(),$D$6)),INDEX($A:$U,ROW(),$D$6),IFERROR(--SUBSTITUTE(SUBSTITUTE(TRIM(INDEX($A:$U,ROW(),$D$6)),",",""),"원",""),0))))</f>
        <v/>
      </c>
      <c r="AA433" s="31">
        <f>IF($Y433="","",TRIM(INDEX($A:$U,ROW(),$E$6)&amp;IF($F$6="",""," "&amp;INDEX($A:$U,ROW(),$F$6))))</f>
        <v/>
      </c>
      <c r="AB433" s="31">
        <f>IF($AA433="","",SUBSTITUTE(SUBSTITUTE(SUBSTITUTE(SUBSTITUTE(SUBSTITUTE(SUBSTITUTE(SUBSTITUTE(SUBSTITUTE(SUBSTITUTE($AA433," ",""),"　",""),"(주)",""),"（주）",""),"㈜",""),"주식회사",""),"(유)",""),"（유）",""),"유한회사",""))</f>
        <v/>
      </c>
      <c r="AC433" s="31">
        <f>IF(OR($Y433="",N($Z433)&lt;=0,$AB433=""),0,IFERROR(LOOKUP(2,1/((거래처별!$AC$8:$AC$307&lt;&gt;"")*ISNUMBER(SEARCH(거래처별!$AC$8:$AC$307,$AB433))),거래처별!$A$8:$A$307),IFERROR(LOOKUP(2,1/((거래처별!$AD$8:$AD$307&lt;&gt;"")*ISNUMBER(SEARCH(거래처별!$AD$8:$AD$307,$AB433))),거래처별!$A$8:$A$307),IFERROR(LOOKUP(2,1/((거래처별!$AE$8:$AE$307&lt;&gt;"")*ISNUMBER(SEARCH(거래처별!$AE$8:$AE$307,$AB433))),거래처별!$A$8:$A$307),0))))</f>
        <v/>
      </c>
      <c r="AD433" s="31">
        <f>IF(AND($Y433&lt;&gt;"",N($Z433)&gt;0,$AC433=0),MAX($AD$7:$AD432)+1,"")</f>
        <v/>
      </c>
      <c r="AE433" s="31">
        <f>IF($Y433="",0,$Y433)</f>
        <v/>
      </c>
    </row>
    <row r="434">
      <c r="W434" s="31">
        <f>IF(OR($B$5="",$C$6="",ROW()&lt;$B$5),"",IF(INDEX($A:$U,ROW(),$C$6)="","",INDEX($A:$U,ROW(),$C$6)))</f>
        <v/>
      </c>
      <c r="X434" s="32">
        <f>IF($W434="","",IF(ISNUMBER($W434),IF($W434&gt;=10000000,IFERROR(DATE(INT($W434/10000),MOD(INT($W434/100),100),MOD($W434,100)),""),INT($W434)),IFERROR(DATE(--LEFT(LEFT(SUBSTITUTE(SUBSTITUTE(SUBSTITUTE(SUBSTITUTE(TRIM($W434),"-",""),".",""),"/","")," ",""),8),4),--MID(LEFT(SUBSTITUTE(SUBSTITUTE(SUBSTITUTE(SUBSTITUTE(TRIM($W434),"-",""),".",""),"/","")," ",""),8),5,2),--MID(LEFT(SUBSTITUTE(SUBSTITUTE(SUBSTITUTE(SUBSTITUTE(TRIM($W434),"-",""),".",""),"/","")," ",""),8),7,2)),"")))</f>
        <v/>
      </c>
      <c r="Y434" s="32">
        <f>IF($X434="","",INT($X434))</f>
        <v/>
      </c>
      <c r="Z434" s="33">
        <f>IF(OR($Y434="",$D$6=""),"",IF(INDEX($A:$U,ROW(),$D$6)="",0,IF(ISNUMBER(INDEX($A:$U,ROW(),$D$6)),INDEX($A:$U,ROW(),$D$6),IFERROR(--SUBSTITUTE(SUBSTITUTE(TRIM(INDEX($A:$U,ROW(),$D$6)),",",""),"원",""),0))))</f>
        <v/>
      </c>
      <c r="AA434" s="31">
        <f>IF($Y434="","",TRIM(INDEX($A:$U,ROW(),$E$6)&amp;IF($F$6="",""," "&amp;INDEX($A:$U,ROW(),$F$6))))</f>
        <v/>
      </c>
      <c r="AB434" s="31">
        <f>IF($AA434="","",SUBSTITUTE(SUBSTITUTE(SUBSTITUTE(SUBSTITUTE(SUBSTITUTE(SUBSTITUTE(SUBSTITUTE(SUBSTITUTE(SUBSTITUTE($AA434," ",""),"　",""),"(주)",""),"（주）",""),"㈜",""),"주식회사",""),"(유)",""),"（유）",""),"유한회사",""))</f>
        <v/>
      </c>
      <c r="AC434" s="31">
        <f>IF(OR($Y434="",N($Z434)&lt;=0,$AB434=""),0,IFERROR(LOOKUP(2,1/((거래처별!$AC$8:$AC$307&lt;&gt;"")*ISNUMBER(SEARCH(거래처별!$AC$8:$AC$307,$AB434))),거래처별!$A$8:$A$307),IFERROR(LOOKUP(2,1/((거래처별!$AD$8:$AD$307&lt;&gt;"")*ISNUMBER(SEARCH(거래처별!$AD$8:$AD$307,$AB434))),거래처별!$A$8:$A$307),IFERROR(LOOKUP(2,1/((거래처별!$AE$8:$AE$307&lt;&gt;"")*ISNUMBER(SEARCH(거래처별!$AE$8:$AE$307,$AB434))),거래처별!$A$8:$A$307),0))))</f>
        <v/>
      </c>
      <c r="AD434" s="31">
        <f>IF(AND($Y434&lt;&gt;"",N($Z434)&gt;0,$AC434=0),MAX($AD$7:$AD433)+1,"")</f>
        <v/>
      </c>
      <c r="AE434" s="31">
        <f>IF($Y434="",0,$Y434)</f>
        <v/>
      </c>
    </row>
    <row r="435">
      <c r="W435" s="31">
        <f>IF(OR($B$5="",$C$6="",ROW()&lt;$B$5),"",IF(INDEX($A:$U,ROW(),$C$6)="","",INDEX($A:$U,ROW(),$C$6)))</f>
        <v/>
      </c>
      <c r="X435" s="32">
        <f>IF($W435="","",IF(ISNUMBER($W435),IF($W435&gt;=10000000,IFERROR(DATE(INT($W435/10000),MOD(INT($W435/100),100),MOD($W435,100)),""),INT($W435)),IFERROR(DATE(--LEFT(LEFT(SUBSTITUTE(SUBSTITUTE(SUBSTITUTE(SUBSTITUTE(TRIM($W435),"-",""),".",""),"/","")," ",""),8),4),--MID(LEFT(SUBSTITUTE(SUBSTITUTE(SUBSTITUTE(SUBSTITUTE(TRIM($W435),"-",""),".",""),"/","")," ",""),8),5,2),--MID(LEFT(SUBSTITUTE(SUBSTITUTE(SUBSTITUTE(SUBSTITUTE(TRIM($W435),"-",""),".",""),"/","")," ",""),8),7,2)),"")))</f>
        <v/>
      </c>
      <c r="Y435" s="32">
        <f>IF($X435="","",INT($X435))</f>
        <v/>
      </c>
      <c r="Z435" s="33">
        <f>IF(OR($Y435="",$D$6=""),"",IF(INDEX($A:$U,ROW(),$D$6)="",0,IF(ISNUMBER(INDEX($A:$U,ROW(),$D$6)),INDEX($A:$U,ROW(),$D$6),IFERROR(--SUBSTITUTE(SUBSTITUTE(TRIM(INDEX($A:$U,ROW(),$D$6)),",",""),"원",""),0))))</f>
        <v/>
      </c>
      <c r="AA435" s="31">
        <f>IF($Y435="","",TRIM(INDEX($A:$U,ROW(),$E$6)&amp;IF($F$6="",""," "&amp;INDEX($A:$U,ROW(),$F$6))))</f>
        <v/>
      </c>
      <c r="AB435" s="31">
        <f>IF($AA435="","",SUBSTITUTE(SUBSTITUTE(SUBSTITUTE(SUBSTITUTE(SUBSTITUTE(SUBSTITUTE(SUBSTITUTE(SUBSTITUTE(SUBSTITUTE($AA435," ",""),"　",""),"(주)",""),"（주）",""),"㈜",""),"주식회사",""),"(유)",""),"（유）",""),"유한회사",""))</f>
        <v/>
      </c>
      <c r="AC435" s="31">
        <f>IF(OR($Y435="",N($Z435)&lt;=0,$AB435=""),0,IFERROR(LOOKUP(2,1/((거래처별!$AC$8:$AC$307&lt;&gt;"")*ISNUMBER(SEARCH(거래처별!$AC$8:$AC$307,$AB435))),거래처별!$A$8:$A$307),IFERROR(LOOKUP(2,1/((거래처별!$AD$8:$AD$307&lt;&gt;"")*ISNUMBER(SEARCH(거래처별!$AD$8:$AD$307,$AB435))),거래처별!$A$8:$A$307),IFERROR(LOOKUP(2,1/((거래처별!$AE$8:$AE$307&lt;&gt;"")*ISNUMBER(SEARCH(거래처별!$AE$8:$AE$307,$AB435))),거래처별!$A$8:$A$307),0))))</f>
        <v/>
      </c>
      <c r="AD435" s="31">
        <f>IF(AND($Y435&lt;&gt;"",N($Z435)&gt;0,$AC435=0),MAX($AD$7:$AD434)+1,"")</f>
        <v/>
      </c>
      <c r="AE435" s="31">
        <f>IF($Y435="",0,$Y435)</f>
        <v/>
      </c>
    </row>
    <row r="436">
      <c r="W436" s="31">
        <f>IF(OR($B$5="",$C$6="",ROW()&lt;$B$5),"",IF(INDEX($A:$U,ROW(),$C$6)="","",INDEX($A:$U,ROW(),$C$6)))</f>
        <v/>
      </c>
      <c r="X436" s="32">
        <f>IF($W436="","",IF(ISNUMBER($W436),IF($W436&gt;=10000000,IFERROR(DATE(INT($W436/10000),MOD(INT($W436/100),100),MOD($W436,100)),""),INT($W436)),IFERROR(DATE(--LEFT(LEFT(SUBSTITUTE(SUBSTITUTE(SUBSTITUTE(SUBSTITUTE(TRIM($W436),"-",""),".",""),"/","")," ",""),8),4),--MID(LEFT(SUBSTITUTE(SUBSTITUTE(SUBSTITUTE(SUBSTITUTE(TRIM($W436),"-",""),".",""),"/","")," ",""),8),5,2),--MID(LEFT(SUBSTITUTE(SUBSTITUTE(SUBSTITUTE(SUBSTITUTE(TRIM($W436),"-",""),".",""),"/","")," ",""),8),7,2)),"")))</f>
        <v/>
      </c>
      <c r="Y436" s="32">
        <f>IF($X436="","",INT($X436))</f>
        <v/>
      </c>
      <c r="Z436" s="33">
        <f>IF(OR($Y436="",$D$6=""),"",IF(INDEX($A:$U,ROW(),$D$6)="",0,IF(ISNUMBER(INDEX($A:$U,ROW(),$D$6)),INDEX($A:$U,ROW(),$D$6),IFERROR(--SUBSTITUTE(SUBSTITUTE(TRIM(INDEX($A:$U,ROW(),$D$6)),",",""),"원",""),0))))</f>
        <v/>
      </c>
      <c r="AA436" s="31">
        <f>IF($Y436="","",TRIM(INDEX($A:$U,ROW(),$E$6)&amp;IF($F$6="",""," "&amp;INDEX($A:$U,ROW(),$F$6))))</f>
        <v/>
      </c>
      <c r="AB436" s="31">
        <f>IF($AA436="","",SUBSTITUTE(SUBSTITUTE(SUBSTITUTE(SUBSTITUTE(SUBSTITUTE(SUBSTITUTE(SUBSTITUTE(SUBSTITUTE(SUBSTITUTE($AA436," ",""),"　",""),"(주)",""),"（주）",""),"㈜",""),"주식회사",""),"(유)",""),"（유）",""),"유한회사",""))</f>
        <v/>
      </c>
      <c r="AC436" s="31">
        <f>IF(OR($Y436="",N($Z436)&lt;=0,$AB436=""),0,IFERROR(LOOKUP(2,1/((거래처별!$AC$8:$AC$307&lt;&gt;"")*ISNUMBER(SEARCH(거래처별!$AC$8:$AC$307,$AB436))),거래처별!$A$8:$A$307),IFERROR(LOOKUP(2,1/((거래처별!$AD$8:$AD$307&lt;&gt;"")*ISNUMBER(SEARCH(거래처별!$AD$8:$AD$307,$AB436))),거래처별!$A$8:$A$307),IFERROR(LOOKUP(2,1/((거래처별!$AE$8:$AE$307&lt;&gt;"")*ISNUMBER(SEARCH(거래처별!$AE$8:$AE$307,$AB436))),거래처별!$A$8:$A$307),0))))</f>
        <v/>
      </c>
      <c r="AD436" s="31">
        <f>IF(AND($Y436&lt;&gt;"",N($Z436)&gt;0,$AC436=0),MAX($AD$7:$AD435)+1,"")</f>
        <v/>
      </c>
      <c r="AE436" s="31">
        <f>IF($Y436="",0,$Y436)</f>
        <v/>
      </c>
    </row>
    <row r="437">
      <c r="W437" s="31">
        <f>IF(OR($B$5="",$C$6="",ROW()&lt;$B$5),"",IF(INDEX($A:$U,ROW(),$C$6)="","",INDEX($A:$U,ROW(),$C$6)))</f>
        <v/>
      </c>
      <c r="X437" s="32">
        <f>IF($W437="","",IF(ISNUMBER($W437),IF($W437&gt;=10000000,IFERROR(DATE(INT($W437/10000),MOD(INT($W437/100),100),MOD($W437,100)),""),INT($W437)),IFERROR(DATE(--LEFT(LEFT(SUBSTITUTE(SUBSTITUTE(SUBSTITUTE(SUBSTITUTE(TRIM($W437),"-",""),".",""),"/","")," ",""),8),4),--MID(LEFT(SUBSTITUTE(SUBSTITUTE(SUBSTITUTE(SUBSTITUTE(TRIM($W437),"-",""),".",""),"/","")," ",""),8),5,2),--MID(LEFT(SUBSTITUTE(SUBSTITUTE(SUBSTITUTE(SUBSTITUTE(TRIM($W437),"-",""),".",""),"/","")," ",""),8),7,2)),"")))</f>
        <v/>
      </c>
      <c r="Y437" s="32">
        <f>IF($X437="","",INT($X437))</f>
        <v/>
      </c>
      <c r="Z437" s="33">
        <f>IF(OR($Y437="",$D$6=""),"",IF(INDEX($A:$U,ROW(),$D$6)="",0,IF(ISNUMBER(INDEX($A:$U,ROW(),$D$6)),INDEX($A:$U,ROW(),$D$6),IFERROR(--SUBSTITUTE(SUBSTITUTE(TRIM(INDEX($A:$U,ROW(),$D$6)),",",""),"원",""),0))))</f>
        <v/>
      </c>
      <c r="AA437" s="31">
        <f>IF($Y437="","",TRIM(INDEX($A:$U,ROW(),$E$6)&amp;IF($F$6="",""," "&amp;INDEX($A:$U,ROW(),$F$6))))</f>
        <v/>
      </c>
      <c r="AB437" s="31">
        <f>IF($AA437="","",SUBSTITUTE(SUBSTITUTE(SUBSTITUTE(SUBSTITUTE(SUBSTITUTE(SUBSTITUTE(SUBSTITUTE(SUBSTITUTE(SUBSTITUTE($AA437," ",""),"　",""),"(주)",""),"（주）",""),"㈜",""),"주식회사",""),"(유)",""),"（유）",""),"유한회사",""))</f>
        <v/>
      </c>
      <c r="AC437" s="31">
        <f>IF(OR($Y437="",N($Z437)&lt;=0,$AB437=""),0,IFERROR(LOOKUP(2,1/((거래처별!$AC$8:$AC$307&lt;&gt;"")*ISNUMBER(SEARCH(거래처별!$AC$8:$AC$307,$AB437))),거래처별!$A$8:$A$307),IFERROR(LOOKUP(2,1/((거래처별!$AD$8:$AD$307&lt;&gt;"")*ISNUMBER(SEARCH(거래처별!$AD$8:$AD$307,$AB437))),거래처별!$A$8:$A$307),IFERROR(LOOKUP(2,1/((거래처별!$AE$8:$AE$307&lt;&gt;"")*ISNUMBER(SEARCH(거래처별!$AE$8:$AE$307,$AB437))),거래처별!$A$8:$A$307),0))))</f>
        <v/>
      </c>
      <c r="AD437" s="31">
        <f>IF(AND($Y437&lt;&gt;"",N($Z437)&gt;0,$AC437=0),MAX($AD$7:$AD436)+1,"")</f>
        <v/>
      </c>
      <c r="AE437" s="31">
        <f>IF($Y437="",0,$Y437)</f>
        <v/>
      </c>
    </row>
    <row r="438">
      <c r="W438" s="31">
        <f>IF(OR($B$5="",$C$6="",ROW()&lt;$B$5),"",IF(INDEX($A:$U,ROW(),$C$6)="","",INDEX($A:$U,ROW(),$C$6)))</f>
        <v/>
      </c>
      <c r="X438" s="32">
        <f>IF($W438="","",IF(ISNUMBER($W438),IF($W438&gt;=10000000,IFERROR(DATE(INT($W438/10000),MOD(INT($W438/100),100),MOD($W438,100)),""),INT($W438)),IFERROR(DATE(--LEFT(LEFT(SUBSTITUTE(SUBSTITUTE(SUBSTITUTE(SUBSTITUTE(TRIM($W438),"-",""),".",""),"/","")," ",""),8),4),--MID(LEFT(SUBSTITUTE(SUBSTITUTE(SUBSTITUTE(SUBSTITUTE(TRIM($W438),"-",""),".",""),"/","")," ",""),8),5,2),--MID(LEFT(SUBSTITUTE(SUBSTITUTE(SUBSTITUTE(SUBSTITUTE(TRIM($W438),"-",""),".",""),"/","")," ",""),8),7,2)),"")))</f>
        <v/>
      </c>
      <c r="Y438" s="32">
        <f>IF($X438="","",INT($X438))</f>
        <v/>
      </c>
      <c r="Z438" s="33">
        <f>IF(OR($Y438="",$D$6=""),"",IF(INDEX($A:$U,ROW(),$D$6)="",0,IF(ISNUMBER(INDEX($A:$U,ROW(),$D$6)),INDEX($A:$U,ROW(),$D$6),IFERROR(--SUBSTITUTE(SUBSTITUTE(TRIM(INDEX($A:$U,ROW(),$D$6)),",",""),"원",""),0))))</f>
        <v/>
      </c>
      <c r="AA438" s="31">
        <f>IF($Y438="","",TRIM(INDEX($A:$U,ROW(),$E$6)&amp;IF($F$6="",""," "&amp;INDEX($A:$U,ROW(),$F$6))))</f>
        <v/>
      </c>
      <c r="AB438" s="31">
        <f>IF($AA438="","",SUBSTITUTE(SUBSTITUTE(SUBSTITUTE(SUBSTITUTE(SUBSTITUTE(SUBSTITUTE(SUBSTITUTE(SUBSTITUTE(SUBSTITUTE($AA438," ",""),"　",""),"(주)",""),"（주）",""),"㈜",""),"주식회사",""),"(유)",""),"（유）",""),"유한회사",""))</f>
        <v/>
      </c>
      <c r="AC438" s="31">
        <f>IF(OR($Y438="",N($Z438)&lt;=0,$AB438=""),0,IFERROR(LOOKUP(2,1/((거래처별!$AC$8:$AC$307&lt;&gt;"")*ISNUMBER(SEARCH(거래처별!$AC$8:$AC$307,$AB438))),거래처별!$A$8:$A$307),IFERROR(LOOKUP(2,1/((거래처별!$AD$8:$AD$307&lt;&gt;"")*ISNUMBER(SEARCH(거래처별!$AD$8:$AD$307,$AB438))),거래처별!$A$8:$A$307),IFERROR(LOOKUP(2,1/((거래처별!$AE$8:$AE$307&lt;&gt;"")*ISNUMBER(SEARCH(거래처별!$AE$8:$AE$307,$AB438))),거래처별!$A$8:$A$307),0))))</f>
        <v/>
      </c>
      <c r="AD438" s="31">
        <f>IF(AND($Y438&lt;&gt;"",N($Z438)&gt;0,$AC438=0),MAX($AD$7:$AD437)+1,"")</f>
        <v/>
      </c>
      <c r="AE438" s="31">
        <f>IF($Y438="",0,$Y438)</f>
        <v/>
      </c>
    </row>
    <row r="439">
      <c r="W439" s="31">
        <f>IF(OR($B$5="",$C$6="",ROW()&lt;$B$5),"",IF(INDEX($A:$U,ROW(),$C$6)="","",INDEX($A:$U,ROW(),$C$6)))</f>
        <v/>
      </c>
      <c r="X439" s="32">
        <f>IF($W439="","",IF(ISNUMBER($W439),IF($W439&gt;=10000000,IFERROR(DATE(INT($W439/10000),MOD(INT($W439/100),100),MOD($W439,100)),""),INT($W439)),IFERROR(DATE(--LEFT(LEFT(SUBSTITUTE(SUBSTITUTE(SUBSTITUTE(SUBSTITUTE(TRIM($W439),"-",""),".",""),"/","")," ",""),8),4),--MID(LEFT(SUBSTITUTE(SUBSTITUTE(SUBSTITUTE(SUBSTITUTE(TRIM($W439),"-",""),".",""),"/","")," ",""),8),5,2),--MID(LEFT(SUBSTITUTE(SUBSTITUTE(SUBSTITUTE(SUBSTITUTE(TRIM($W439),"-",""),".",""),"/","")," ",""),8),7,2)),"")))</f>
        <v/>
      </c>
      <c r="Y439" s="32">
        <f>IF($X439="","",INT($X439))</f>
        <v/>
      </c>
      <c r="Z439" s="33">
        <f>IF(OR($Y439="",$D$6=""),"",IF(INDEX($A:$U,ROW(),$D$6)="",0,IF(ISNUMBER(INDEX($A:$U,ROW(),$D$6)),INDEX($A:$U,ROW(),$D$6),IFERROR(--SUBSTITUTE(SUBSTITUTE(TRIM(INDEX($A:$U,ROW(),$D$6)),",",""),"원",""),0))))</f>
        <v/>
      </c>
      <c r="AA439" s="31">
        <f>IF($Y439="","",TRIM(INDEX($A:$U,ROW(),$E$6)&amp;IF($F$6="",""," "&amp;INDEX($A:$U,ROW(),$F$6))))</f>
        <v/>
      </c>
      <c r="AB439" s="31">
        <f>IF($AA439="","",SUBSTITUTE(SUBSTITUTE(SUBSTITUTE(SUBSTITUTE(SUBSTITUTE(SUBSTITUTE(SUBSTITUTE(SUBSTITUTE(SUBSTITUTE($AA439," ",""),"　",""),"(주)",""),"（주）",""),"㈜",""),"주식회사",""),"(유)",""),"（유）",""),"유한회사",""))</f>
        <v/>
      </c>
      <c r="AC439" s="31">
        <f>IF(OR($Y439="",N($Z439)&lt;=0,$AB439=""),0,IFERROR(LOOKUP(2,1/((거래처별!$AC$8:$AC$307&lt;&gt;"")*ISNUMBER(SEARCH(거래처별!$AC$8:$AC$307,$AB439))),거래처별!$A$8:$A$307),IFERROR(LOOKUP(2,1/((거래처별!$AD$8:$AD$307&lt;&gt;"")*ISNUMBER(SEARCH(거래처별!$AD$8:$AD$307,$AB439))),거래처별!$A$8:$A$307),IFERROR(LOOKUP(2,1/((거래처별!$AE$8:$AE$307&lt;&gt;"")*ISNUMBER(SEARCH(거래처별!$AE$8:$AE$307,$AB439))),거래처별!$A$8:$A$307),0))))</f>
        <v/>
      </c>
      <c r="AD439" s="31">
        <f>IF(AND($Y439&lt;&gt;"",N($Z439)&gt;0,$AC439=0),MAX($AD$7:$AD438)+1,"")</f>
        <v/>
      </c>
      <c r="AE439" s="31">
        <f>IF($Y439="",0,$Y439)</f>
        <v/>
      </c>
    </row>
    <row r="440">
      <c r="W440" s="31">
        <f>IF(OR($B$5="",$C$6="",ROW()&lt;$B$5),"",IF(INDEX($A:$U,ROW(),$C$6)="","",INDEX($A:$U,ROW(),$C$6)))</f>
        <v/>
      </c>
      <c r="X440" s="32">
        <f>IF($W440="","",IF(ISNUMBER($W440),IF($W440&gt;=10000000,IFERROR(DATE(INT($W440/10000),MOD(INT($W440/100),100),MOD($W440,100)),""),INT($W440)),IFERROR(DATE(--LEFT(LEFT(SUBSTITUTE(SUBSTITUTE(SUBSTITUTE(SUBSTITUTE(TRIM($W440),"-",""),".",""),"/","")," ",""),8),4),--MID(LEFT(SUBSTITUTE(SUBSTITUTE(SUBSTITUTE(SUBSTITUTE(TRIM($W440),"-",""),".",""),"/","")," ",""),8),5,2),--MID(LEFT(SUBSTITUTE(SUBSTITUTE(SUBSTITUTE(SUBSTITUTE(TRIM($W440),"-",""),".",""),"/","")," ",""),8),7,2)),"")))</f>
        <v/>
      </c>
      <c r="Y440" s="32">
        <f>IF($X440="","",INT($X440))</f>
        <v/>
      </c>
      <c r="Z440" s="33">
        <f>IF(OR($Y440="",$D$6=""),"",IF(INDEX($A:$U,ROW(),$D$6)="",0,IF(ISNUMBER(INDEX($A:$U,ROW(),$D$6)),INDEX($A:$U,ROW(),$D$6),IFERROR(--SUBSTITUTE(SUBSTITUTE(TRIM(INDEX($A:$U,ROW(),$D$6)),",",""),"원",""),0))))</f>
        <v/>
      </c>
      <c r="AA440" s="31">
        <f>IF($Y440="","",TRIM(INDEX($A:$U,ROW(),$E$6)&amp;IF($F$6="",""," "&amp;INDEX($A:$U,ROW(),$F$6))))</f>
        <v/>
      </c>
      <c r="AB440" s="31">
        <f>IF($AA440="","",SUBSTITUTE(SUBSTITUTE(SUBSTITUTE(SUBSTITUTE(SUBSTITUTE(SUBSTITUTE(SUBSTITUTE(SUBSTITUTE(SUBSTITUTE($AA440," ",""),"　",""),"(주)",""),"（주）",""),"㈜",""),"주식회사",""),"(유)",""),"（유）",""),"유한회사",""))</f>
        <v/>
      </c>
      <c r="AC440" s="31">
        <f>IF(OR($Y440="",N($Z440)&lt;=0,$AB440=""),0,IFERROR(LOOKUP(2,1/((거래처별!$AC$8:$AC$307&lt;&gt;"")*ISNUMBER(SEARCH(거래처별!$AC$8:$AC$307,$AB440))),거래처별!$A$8:$A$307),IFERROR(LOOKUP(2,1/((거래처별!$AD$8:$AD$307&lt;&gt;"")*ISNUMBER(SEARCH(거래처별!$AD$8:$AD$307,$AB440))),거래처별!$A$8:$A$307),IFERROR(LOOKUP(2,1/((거래처별!$AE$8:$AE$307&lt;&gt;"")*ISNUMBER(SEARCH(거래처별!$AE$8:$AE$307,$AB440))),거래처별!$A$8:$A$307),0))))</f>
        <v/>
      </c>
      <c r="AD440" s="31">
        <f>IF(AND($Y440&lt;&gt;"",N($Z440)&gt;0,$AC440=0),MAX($AD$7:$AD439)+1,"")</f>
        <v/>
      </c>
      <c r="AE440" s="31">
        <f>IF($Y440="",0,$Y440)</f>
        <v/>
      </c>
    </row>
    <row r="441">
      <c r="W441" s="31">
        <f>IF(OR($B$5="",$C$6="",ROW()&lt;$B$5),"",IF(INDEX($A:$U,ROW(),$C$6)="","",INDEX($A:$U,ROW(),$C$6)))</f>
        <v/>
      </c>
      <c r="X441" s="32">
        <f>IF($W441="","",IF(ISNUMBER($W441),IF($W441&gt;=10000000,IFERROR(DATE(INT($W441/10000),MOD(INT($W441/100),100),MOD($W441,100)),""),INT($W441)),IFERROR(DATE(--LEFT(LEFT(SUBSTITUTE(SUBSTITUTE(SUBSTITUTE(SUBSTITUTE(TRIM($W441),"-",""),".",""),"/","")," ",""),8),4),--MID(LEFT(SUBSTITUTE(SUBSTITUTE(SUBSTITUTE(SUBSTITUTE(TRIM($W441),"-",""),".",""),"/","")," ",""),8),5,2),--MID(LEFT(SUBSTITUTE(SUBSTITUTE(SUBSTITUTE(SUBSTITUTE(TRIM($W441),"-",""),".",""),"/","")," ",""),8),7,2)),"")))</f>
        <v/>
      </c>
      <c r="Y441" s="32">
        <f>IF($X441="","",INT($X441))</f>
        <v/>
      </c>
      <c r="Z441" s="33">
        <f>IF(OR($Y441="",$D$6=""),"",IF(INDEX($A:$U,ROW(),$D$6)="",0,IF(ISNUMBER(INDEX($A:$U,ROW(),$D$6)),INDEX($A:$U,ROW(),$D$6),IFERROR(--SUBSTITUTE(SUBSTITUTE(TRIM(INDEX($A:$U,ROW(),$D$6)),",",""),"원",""),0))))</f>
        <v/>
      </c>
      <c r="AA441" s="31">
        <f>IF($Y441="","",TRIM(INDEX($A:$U,ROW(),$E$6)&amp;IF($F$6="",""," "&amp;INDEX($A:$U,ROW(),$F$6))))</f>
        <v/>
      </c>
      <c r="AB441" s="31">
        <f>IF($AA441="","",SUBSTITUTE(SUBSTITUTE(SUBSTITUTE(SUBSTITUTE(SUBSTITUTE(SUBSTITUTE(SUBSTITUTE(SUBSTITUTE(SUBSTITUTE($AA441," ",""),"　",""),"(주)",""),"（주）",""),"㈜",""),"주식회사",""),"(유)",""),"（유）",""),"유한회사",""))</f>
        <v/>
      </c>
      <c r="AC441" s="31">
        <f>IF(OR($Y441="",N($Z441)&lt;=0,$AB441=""),0,IFERROR(LOOKUP(2,1/((거래처별!$AC$8:$AC$307&lt;&gt;"")*ISNUMBER(SEARCH(거래처별!$AC$8:$AC$307,$AB441))),거래처별!$A$8:$A$307),IFERROR(LOOKUP(2,1/((거래처별!$AD$8:$AD$307&lt;&gt;"")*ISNUMBER(SEARCH(거래처별!$AD$8:$AD$307,$AB441))),거래처별!$A$8:$A$307),IFERROR(LOOKUP(2,1/((거래처별!$AE$8:$AE$307&lt;&gt;"")*ISNUMBER(SEARCH(거래처별!$AE$8:$AE$307,$AB441))),거래처별!$A$8:$A$307),0))))</f>
        <v/>
      </c>
      <c r="AD441" s="31">
        <f>IF(AND($Y441&lt;&gt;"",N($Z441)&gt;0,$AC441=0),MAX($AD$7:$AD440)+1,"")</f>
        <v/>
      </c>
      <c r="AE441" s="31">
        <f>IF($Y441="",0,$Y441)</f>
        <v/>
      </c>
    </row>
    <row r="442">
      <c r="W442" s="31">
        <f>IF(OR($B$5="",$C$6="",ROW()&lt;$B$5),"",IF(INDEX($A:$U,ROW(),$C$6)="","",INDEX($A:$U,ROW(),$C$6)))</f>
        <v/>
      </c>
      <c r="X442" s="32">
        <f>IF($W442="","",IF(ISNUMBER($W442),IF($W442&gt;=10000000,IFERROR(DATE(INT($W442/10000),MOD(INT($W442/100),100),MOD($W442,100)),""),INT($W442)),IFERROR(DATE(--LEFT(LEFT(SUBSTITUTE(SUBSTITUTE(SUBSTITUTE(SUBSTITUTE(TRIM($W442),"-",""),".",""),"/","")," ",""),8),4),--MID(LEFT(SUBSTITUTE(SUBSTITUTE(SUBSTITUTE(SUBSTITUTE(TRIM($W442),"-",""),".",""),"/","")," ",""),8),5,2),--MID(LEFT(SUBSTITUTE(SUBSTITUTE(SUBSTITUTE(SUBSTITUTE(TRIM($W442),"-",""),".",""),"/","")," ",""),8),7,2)),"")))</f>
        <v/>
      </c>
      <c r="Y442" s="32">
        <f>IF($X442="","",INT($X442))</f>
        <v/>
      </c>
      <c r="Z442" s="33">
        <f>IF(OR($Y442="",$D$6=""),"",IF(INDEX($A:$U,ROW(),$D$6)="",0,IF(ISNUMBER(INDEX($A:$U,ROW(),$D$6)),INDEX($A:$U,ROW(),$D$6),IFERROR(--SUBSTITUTE(SUBSTITUTE(TRIM(INDEX($A:$U,ROW(),$D$6)),",",""),"원",""),0))))</f>
        <v/>
      </c>
      <c r="AA442" s="31">
        <f>IF($Y442="","",TRIM(INDEX($A:$U,ROW(),$E$6)&amp;IF($F$6="",""," "&amp;INDEX($A:$U,ROW(),$F$6))))</f>
        <v/>
      </c>
      <c r="AB442" s="31">
        <f>IF($AA442="","",SUBSTITUTE(SUBSTITUTE(SUBSTITUTE(SUBSTITUTE(SUBSTITUTE(SUBSTITUTE(SUBSTITUTE(SUBSTITUTE(SUBSTITUTE($AA442," ",""),"　",""),"(주)",""),"（주）",""),"㈜",""),"주식회사",""),"(유)",""),"（유）",""),"유한회사",""))</f>
        <v/>
      </c>
      <c r="AC442" s="31">
        <f>IF(OR($Y442="",N($Z442)&lt;=0,$AB442=""),0,IFERROR(LOOKUP(2,1/((거래처별!$AC$8:$AC$307&lt;&gt;"")*ISNUMBER(SEARCH(거래처별!$AC$8:$AC$307,$AB442))),거래처별!$A$8:$A$307),IFERROR(LOOKUP(2,1/((거래처별!$AD$8:$AD$307&lt;&gt;"")*ISNUMBER(SEARCH(거래처별!$AD$8:$AD$307,$AB442))),거래처별!$A$8:$A$307),IFERROR(LOOKUP(2,1/((거래처별!$AE$8:$AE$307&lt;&gt;"")*ISNUMBER(SEARCH(거래처별!$AE$8:$AE$307,$AB442))),거래처별!$A$8:$A$307),0))))</f>
        <v/>
      </c>
      <c r="AD442" s="31">
        <f>IF(AND($Y442&lt;&gt;"",N($Z442)&gt;0,$AC442=0),MAX($AD$7:$AD441)+1,"")</f>
        <v/>
      </c>
      <c r="AE442" s="31">
        <f>IF($Y442="",0,$Y442)</f>
        <v/>
      </c>
    </row>
    <row r="443">
      <c r="W443" s="31">
        <f>IF(OR($B$5="",$C$6="",ROW()&lt;$B$5),"",IF(INDEX($A:$U,ROW(),$C$6)="","",INDEX($A:$U,ROW(),$C$6)))</f>
        <v/>
      </c>
      <c r="X443" s="32">
        <f>IF($W443="","",IF(ISNUMBER($W443),IF($W443&gt;=10000000,IFERROR(DATE(INT($W443/10000),MOD(INT($W443/100),100),MOD($W443,100)),""),INT($W443)),IFERROR(DATE(--LEFT(LEFT(SUBSTITUTE(SUBSTITUTE(SUBSTITUTE(SUBSTITUTE(TRIM($W443),"-",""),".",""),"/","")," ",""),8),4),--MID(LEFT(SUBSTITUTE(SUBSTITUTE(SUBSTITUTE(SUBSTITUTE(TRIM($W443),"-",""),".",""),"/","")," ",""),8),5,2),--MID(LEFT(SUBSTITUTE(SUBSTITUTE(SUBSTITUTE(SUBSTITUTE(TRIM($W443),"-",""),".",""),"/","")," ",""),8),7,2)),"")))</f>
        <v/>
      </c>
      <c r="Y443" s="32">
        <f>IF($X443="","",INT($X443))</f>
        <v/>
      </c>
      <c r="Z443" s="33">
        <f>IF(OR($Y443="",$D$6=""),"",IF(INDEX($A:$U,ROW(),$D$6)="",0,IF(ISNUMBER(INDEX($A:$U,ROW(),$D$6)),INDEX($A:$U,ROW(),$D$6),IFERROR(--SUBSTITUTE(SUBSTITUTE(TRIM(INDEX($A:$U,ROW(),$D$6)),",",""),"원",""),0))))</f>
        <v/>
      </c>
      <c r="AA443" s="31">
        <f>IF($Y443="","",TRIM(INDEX($A:$U,ROW(),$E$6)&amp;IF($F$6="",""," "&amp;INDEX($A:$U,ROW(),$F$6))))</f>
        <v/>
      </c>
      <c r="AB443" s="31">
        <f>IF($AA443="","",SUBSTITUTE(SUBSTITUTE(SUBSTITUTE(SUBSTITUTE(SUBSTITUTE(SUBSTITUTE(SUBSTITUTE(SUBSTITUTE(SUBSTITUTE($AA443," ",""),"　",""),"(주)",""),"（주）",""),"㈜",""),"주식회사",""),"(유)",""),"（유）",""),"유한회사",""))</f>
        <v/>
      </c>
      <c r="AC443" s="31">
        <f>IF(OR($Y443="",N($Z443)&lt;=0,$AB443=""),0,IFERROR(LOOKUP(2,1/((거래처별!$AC$8:$AC$307&lt;&gt;"")*ISNUMBER(SEARCH(거래처별!$AC$8:$AC$307,$AB443))),거래처별!$A$8:$A$307),IFERROR(LOOKUP(2,1/((거래처별!$AD$8:$AD$307&lt;&gt;"")*ISNUMBER(SEARCH(거래처별!$AD$8:$AD$307,$AB443))),거래처별!$A$8:$A$307),IFERROR(LOOKUP(2,1/((거래처별!$AE$8:$AE$307&lt;&gt;"")*ISNUMBER(SEARCH(거래처별!$AE$8:$AE$307,$AB443))),거래처별!$A$8:$A$307),0))))</f>
        <v/>
      </c>
      <c r="AD443" s="31">
        <f>IF(AND($Y443&lt;&gt;"",N($Z443)&gt;0,$AC443=0),MAX($AD$7:$AD442)+1,"")</f>
        <v/>
      </c>
      <c r="AE443" s="31">
        <f>IF($Y443="",0,$Y443)</f>
        <v/>
      </c>
    </row>
    <row r="444">
      <c r="W444" s="31">
        <f>IF(OR($B$5="",$C$6="",ROW()&lt;$B$5),"",IF(INDEX($A:$U,ROW(),$C$6)="","",INDEX($A:$U,ROW(),$C$6)))</f>
        <v/>
      </c>
      <c r="X444" s="32">
        <f>IF($W444="","",IF(ISNUMBER($W444),IF($W444&gt;=10000000,IFERROR(DATE(INT($W444/10000),MOD(INT($W444/100),100),MOD($W444,100)),""),INT($W444)),IFERROR(DATE(--LEFT(LEFT(SUBSTITUTE(SUBSTITUTE(SUBSTITUTE(SUBSTITUTE(TRIM($W444),"-",""),".",""),"/","")," ",""),8),4),--MID(LEFT(SUBSTITUTE(SUBSTITUTE(SUBSTITUTE(SUBSTITUTE(TRIM($W444),"-",""),".",""),"/","")," ",""),8),5,2),--MID(LEFT(SUBSTITUTE(SUBSTITUTE(SUBSTITUTE(SUBSTITUTE(TRIM($W444),"-",""),".",""),"/","")," ",""),8),7,2)),"")))</f>
        <v/>
      </c>
      <c r="Y444" s="32">
        <f>IF($X444="","",INT($X444))</f>
        <v/>
      </c>
      <c r="Z444" s="33">
        <f>IF(OR($Y444="",$D$6=""),"",IF(INDEX($A:$U,ROW(),$D$6)="",0,IF(ISNUMBER(INDEX($A:$U,ROW(),$D$6)),INDEX($A:$U,ROW(),$D$6),IFERROR(--SUBSTITUTE(SUBSTITUTE(TRIM(INDEX($A:$U,ROW(),$D$6)),",",""),"원",""),0))))</f>
        <v/>
      </c>
      <c r="AA444" s="31">
        <f>IF($Y444="","",TRIM(INDEX($A:$U,ROW(),$E$6)&amp;IF($F$6="",""," "&amp;INDEX($A:$U,ROW(),$F$6))))</f>
        <v/>
      </c>
      <c r="AB444" s="31">
        <f>IF($AA444="","",SUBSTITUTE(SUBSTITUTE(SUBSTITUTE(SUBSTITUTE(SUBSTITUTE(SUBSTITUTE(SUBSTITUTE(SUBSTITUTE(SUBSTITUTE($AA444," ",""),"　",""),"(주)",""),"（주）",""),"㈜",""),"주식회사",""),"(유)",""),"（유）",""),"유한회사",""))</f>
        <v/>
      </c>
      <c r="AC444" s="31">
        <f>IF(OR($Y444="",N($Z444)&lt;=0,$AB444=""),0,IFERROR(LOOKUP(2,1/((거래처별!$AC$8:$AC$307&lt;&gt;"")*ISNUMBER(SEARCH(거래처별!$AC$8:$AC$307,$AB444))),거래처별!$A$8:$A$307),IFERROR(LOOKUP(2,1/((거래처별!$AD$8:$AD$307&lt;&gt;"")*ISNUMBER(SEARCH(거래처별!$AD$8:$AD$307,$AB444))),거래처별!$A$8:$A$307),IFERROR(LOOKUP(2,1/((거래처별!$AE$8:$AE$307&lt;&gt;"")*ISNUMBER(SEARCH(거래처별!$AE$8:$AE$307,$AB444))),거래처별!$A$8:$A$307),0))))</f>
        <v/>
      </c>
      <c r="AD444" s="31">
        <f>IF(AND($Y444&lt;&gt;"",N($Z444)&gt;0,$AC444=0),MAX($AD$7:$AD443)+1,"")</f>
        <v/>
      </c>
      <c r="AE444" s="31">
        <f>IF($Y444="",0,$Y444)</f>
        <v/>
      </c>
    </row>
    <row r="445">
      <c r="W445" s="31">
        <f>IF(OR($B$5="",$C$6="",ROW()&lt;$B$5),"",IF(INDEX($A:$U,ROW(),$C$6)="","",INDEX($A:$U,ROW(),$C$6)))</f>
        <v/>
      </c>
      <c r="X445" s="32">
        <f>IF($W445="","",IF(ISNUMBER($W445),IF($W445&gt;=10000000,IFERROR(DATE(INT($W445/10000),MOD(INT($W445/100),100),MOD($W445,100)),""),INT($W445)),IFERROR(DATE(--LEFT(LEFT(SUBSTITUTE(SUBSTITUTE(SUBSTITUTE(SUBSTITUTE(TRIM($W445),"-",""),".",""),"/","")," ",""),8),4),--MID(LEFT(SUBSTITUTE(SUBSTITUTE(SUBSTITUTE(SUBSTITUTE(TRIM($W445),"-",""),".",""),"/","")," ",""),8),5,2),--MID(LEFT(SUBSTITUTE(SUBSTITUTE(SUBSTITUTE(SUBSTITUTE(TRIM($W445),"-",""),".",""),"/","")," ",""),8),7,2)),"")))</f>
        <v/>
      </c>
      <c r="Y445" s="32">
        <f>IF($X445="","",INT($X445))</f>
        <v/>
      </c>
      <c r="Z445" s="33">
        <f>IF(OR($Y445="",$D$6=""),"",IF(INDEX($A:$U,ROW(),$D$6)="",0,IF(ISNUMBER(INDEX($A:$U,ROW(),$D$6)),INDEX($A:$U,ROW(),$D$6),IFERROR(--SUBSTITUTE(SUBSTITUTE(TRIM(INDEX($A:$U,ROW(),$D$6)),",",""),"원",""),0))))</f>
        <v/>
      </c>
      <c r="AA445" s="31">
        <f>IF($Y445="","",TRIM(INDEX($A:$U,ROW(),$E$6)&amp;IF($F$6="",""," "&amp;INDEX($A:$U,ROW(),$F$6))))</f>
        <v/>
      </c>
      <c r="AB445" s="31">
        <f>IF($AA445="","",SUBSTITUTE(SUBSTITUTE(SUBSTITUTE(SUBSTITUTE(SUBSTITUTE(SUBSTITUTE(SUBSTITUTE(SUBSTITUTE(SUBSTITUTE($AA445," ",""),"　",""),"(주)",""),"（주）",""),"㈜",""),"주식회사",""),"(유)",""),"（유）",""),"유한회사",""))</f>
        <v/>
      </c>
      <c r="AC445" s="31">
        <f>IF(OR($Y445="",N($Z445)&lt;=0,$AB445=""),0,IFERROR(LOOKUP(2,1/((거래처별!$AC$8:$AC$307&lt;&gt;"")*ISNUMBER(SEARCH(거래처별!$AC$8:$AC$307,$AB445))),거래처별!$A$8:$A$307),IFERROR(LOOKUP(2,1/((거래처별!$AD$8:$AD$307&lt;&gt;"")*ISNUMBER(SEARCH(거래처별!$AD$8:$AD$307,$AB445))),거래처별!$A$8:$A$307),IFERROR(LOOKUP(2,1/((거래처별!$AE$8:$AE$307&lt;&gt;"")*ISNUMBER(SEARCH(거래처별!$AE$8:$AE$307,$AB445))),거래처별!$A$8:$A$307),0))))</f>
        <v/>
      </c>
      <c r="AD445" s="31">
        <f>IF(AND($Y445&lt;&gt;"",N($Z445)&gt;0,$AC445=0),MAX($AD$7:$AD444)+1,"")</f>
        <v/>
      </c>
      <c r="AE445" s="31">
        <f>IF($Y445="",0,$Y445)</f>
        <v/>
      </c>
    </row>
    <row r="446">
      <c r="W446" s="31">
        <f>IF(OR($B$5="",$C$6="",ROW()&lt;$B$5),"",IF(INDEX($A:$U,ROW(),$C$6)="","",INDEX($A:$U,ROW(),$C$6)))</f>
        <v/>
      </c>
      <c r="X446" s="32">
        <f>IF($W446="","",IF(ISNUMBER($W446),IF($W446&gt;=10000000,IFERROR(DATE(INT($W446/10000),MOD(INT($W446/100),100),MOD($W446,100)),""),INT($W446)),IFERROR(DATE(--LEFT(LEFT(SUBSTITUTE(SUBSTITUTE(SUBSTITUTE(SUBSTITUTE(TRIM($W446),"-",""),".",""),"/","")," ",""),8),4),--MID(LEFT(SUBSTITUTE(SUBSTITUTE(SUBSTITUTE(SUBSTITUTE(TRIM($W446),"-",""),".",""),"/","")," ",""),8),5,2),--MID(LEFT(SUBSTITUTE(SUBSTITUTE(SUBSTITUTE(SUBSTITUTE(TRIM($W446),"-",""),".",""),"/","")," ",""),8),7,2)),"")))</f>
        <v/>
      </c>
      <c r="Y446" s="32">
        <f>IF($X446="","",INT($X446))</f>
        <v/>
      </c>
      <c r="Z446" s="33">
        <f>IF(OR($Y446="",$D$6=""),"",IF(INDEX($A:$U,ROW(),$D$6)="",0,IF(ISNUMBER(INDEX($A:$U,ROW(),$D$6)),INDEX($A:$U,ROW(),$D$6),IFERROR(--SUBSTITUTE(SUBSTITUTE(TRIM(INDEX($A:$U,ROW(),$D$6)),",",""),"원",""),0))))</f>
        <v/>
      </c>
      <c r="AA446" s="31">
        <f>IF($Y446="","",TRIM(INDEX($A:$U,ROW(),$E$6)&amp;IF($F$6="",""," "&amp;INDEX($A:$U,ROW(),$F$6))))</f>
        <v/>
      </c>
      <c r="AB446" s="31">
        <f>IF($AA446="","",SUBSTITUTE(SUBSTITUTE(SUBSTITUTE(SUBSTITUTE(SUBSTITUTE(SUBSTITUTE(SUBSTITUTE(SUBSTITUTE(SUBSTITUTE($AA446," ",""),"　",""),"(주)",""),"（주）",""),"㈜",""),"주식회사",""),"(유)",""),"（유）",""),"유한회사",""))</f>
        <v/>
      </c>
      <c r="AC446" s="31">
        <f>IF(OR($Y446="",N($Z446)&lt;=0,$AB446=""),0,IFERROR(LOOKUP(2,1/((거래처별!$AC$8:$AC$307&lt;&gt;"")*ISNUMBER(SEARCH(거래처별!$AC$8:$AC$307,$AB446))),거래처별!$A$8:$A$307),IFERROR(LOOKUP(2,1/((거래처별!$AD$8:$AD$307&lt;&gt;"")*ISNUMBER(SEARCH(거래처별!$AD$8:$AD$307,$AB446))),거래처별!$A$8:$A$307),IFERROR(LOOKUP(2,1/((거래처별!$AE$8:$AE$307&lt;&gt;"")*ISNUMBER(SEARCH(거래처별!$AE$8:$AE$307,$AB446))),거래처별!$A$8:$A$307),0))))</f>
        <v/>
      </c>
      <c r="AD446" s="31">
        <f>IF(AND($Y446&lt;&gt;"",N($Z446)&gt;0,$AC446=0),MAX($AD$7:$AD445)+1,"")</f>
        <v/>
      </c>
      <c r="AE446" s="31">
        <f>IF($Y446="",0,$Y446)</f>
        <v/>
      </c>
    </row>
    <row r="447">
      <c r="W447" s="31">
        <f>IF(OR($B$5="",$C$6="",ROW()&lt;$B$5),"",IF(INDEX($A:$U,ROW(),$C$6)="","",INDEX($A:$U,ROW(),$C$6)))</f>
        <v/>
      </c>
      <c r="X447" s="32">
        <f>IF($W447="","",IF(ISNUMBER($W447),IF($W447&gt;=10000000,IFERROR(DATE(INT($W447/10000),MOD(INT($W447/100),100),MOD($W447,100)),""),INT($W447)),IFERROR(DATE(--LEFT(LEFT(SUBSTITUTE(SUBSTITUTE(SUBSTITUTE(SUBSTITUTE(TRIM($W447),"-",""),".",""),"/","")," ",""),8),4),--MID(LEFT(SUBSTITUTE(SUBSTITUTE(SUBSTITUTE(SUBSTITUTE(TRIM($W447),"-",""),".",""),"/","")," ",""),8),5,2),--MID(LEFT(SUBSTITUTE(SUBSTITUTE(SUBSTITUTE(SUBSTITUTE(TRIM($W447),"-",""),".",""),"/","")," ",""),8),7,2)),"")))</f>
        <v/>
      </c>
      <c r="Y447" s="32">
        <f>IF($X447="","",INT($X447))</f>
        <v/>
      </c>
      <c r="Z447" s="33">
        <f>IF(OR($Y447="",$D$6=""),"",IF(INDEX($A:$U,ROW(),$D$6)="",0,IF(ISNUMBER(INDEX($A:$U,ROW(),$D$6)),INDEX($A:$U,ROW(),$D$6),IFERROR(--SUBSTITUTE(SUBSTITUTE(TRIM(INDEX($A:$U,ROW(),$D$6)),",",""),"원",""),0))))</f>
        <v/>
      </c>
      <c r="AA447" s="31">
        <f>IF($Y447="","",TRIM(INDEX($A:$U,ROW(),$E$6)&amp;IF($F$6="",""," "&amp;INDEX($A:$U,ROW(),$F$6))))</f>
        <v/>
      </c>
      <c r="AB447" s="31">
        <f>IF($AA447="","",SUBSTITUTE(SUBSTITUTE(SUBSTITUTE(SUBSTITUTE(SUBSTITUTE(SUBSTITUTE(SUBSTITUTE(SUBSTITUTE(SUBSTITUTE($AA447," ",""),"　",""),"(주)",""),"（주）",""),"㈜",""),"주식회사",""),"(유)",""),"（유）",""),"유한회사",""))</f>
        <v/>
      </c>
      <c r="AC447" s="31">
        <f>IF(OR($Y447="",N($Z447)&lt;=0,$AB447=""),0,IFERROR(LOOKUP(2,1/((거래처별!$AC$8:$AC$307&lt;&gt;"")*ISNUMBER(SEARCH(거래처별!$AC$8:$AC$307,$AB447))),거래처별!$A$8:$A$307),IFERROR(LOOKUP(2,1/((거래처별!$AD$8:$AD$307&lt;&gt;"")*ISNUMBER(SEARCH(거래처별!$AD$8:$AD$307,$AB447))),거래처별!$A$8:$A$307),IFERROR(LOOKUP(2,1/((거래처별!$AE$8:$AE$307&lt;&gt;"")*ISNUMBER(SEARCH(거래처별!$AE$8:$AE$307,$AB447))),거래처별!$A$8:$A$307),0))))</f>
        <v/>
      </c>
      <c r="AD447" s="31">
        <f>IF(AND($Y447&lt;&gt;"",N($Z447)&gt;0,$AC447=0),MAX($AD$7:$AD446)+1,"")</f>
        <v/>
      </c>
      <c r="AE447" s="31">
        <f>IF($Y447="",0,$Y447)</f>
        <v/>
      </c>
    </row>
    <row r="448">
      <c r="W448" s="31">
        <f>IF(OR($B$5="",$C$6="",ROW()&lt;$B$5),"",IF(INDEX($A:$U,ROW(),$C$6)="","",INDEX($A:$U,ROW(),$C$6)))</f>
        <v/>
      </c>
      <c r="X448" s="32">
        <f>IF($W448="","",IF(ISNUMBER($W448),IF($W448&gt;=10000000,IFERROR(DATE(INT($W448/10000),MOD(INT($W448/100),100),MOD($W448,100)),""),INT($W448)),IFERROR(DATE(--LEFT(LEFT(SUBSTITUTE(SUBSTITUTE(SUBSTITUTE(SUBSTITUTE(TRIM($W448),"-",""),".",""),"/","")," ",""),8),4),--MID(LEFT(SUBSTITUTE(SUBSTITUTE(SUBSTITUTE(SUBSTITUTE(TRIM($W448),"-",""),".",""),"/","")," ",""),8),5,2),--MID(LEFT(SUBSTITUTE(SUBSTITUTE(SUBSTITUTE(SUBSTITUTE(TRIM($W448),"-",""),".",""),"/","")," ",""),8),7,2)),"")))</f>
        <v/>
      </c>
      <c r="Y448" s="32">
        <f>IF($X448="","",INT($X448))</f>
        <v/>
      </c>
      <c r="Z448" s="33">
        <f>IF(OR($Y448="",$D$6=""),"",IF(INDEX($A:$U,ROW(),$D$6)="",0,IF(ISNUMBER(INDEX($A:$U,ROW(),$D$6)),INDEX($A:$U,ROW(),$D$6),IFERROR(--SUBSTITUTE(SUBSTITUTE(TRIM(INDEX($A:$U,ROW(),$D$6)),",",""),"원",""),0))))</f>
        <v/>
      </c>
      <c r="AA448" s="31">
        <f>IF($Y448="","",TRIM(INDEX($A:$U,ROW(),$E$6)&amp;IF($F$6="",""," "&amp;INDEX($A:$U,ROW(),$F$6))))</f>
        <v/>
      </c>
      <c r="AB448" s="31">
        <f>IF($AA448="","",SUBSTITUTE(SUBSTITUTE(SUBSTITUTE(SUBSTITUTE(SUBSTITUTE(SUBSTITUTE(SUBSTITUTE(SUBSTITUTE(SUBSTITUTE($AA448," ",""),"　",""),"(주)",""),"（주）",""),"㈜",""),"주식회사",""),"(유)",""),"（유）",""),"유한회사",""))</f>
        <v/>
      </c>
      <c r="AC448" s="31">
        <f>IF(OR($Y448="",N($Z448)&lt;=0,$AB448=""),0,IFERROR(LOOKUP(2,1/((거래처별!$AC$8:$AC$307&lt;&gt;"")*ISNUMBER(SEARCH(거래처별!$AC$8:$AC$307,$AB448))),거래처별!$A$8:$A$307),IFERROR(LOOKUP(2,1/((거래처별!$AD$8:$AD$307&lt;&gt;"")*ISNUMBER(SEARCH(거래처별!$AD$8:$AD$307,$AB448))),거래처별!$A$8:$A$307),IFERROR(LOOKUP(2,1/((거래처별!$AE$8:$AE$307&lt;&gt;"")*ISNUMBER(SEARCH(거래처별!$AE$8:$AE$307,$AB448))),거래처별!$A$8:$A$307),0))))</f>
        <v/>
      </c>
      <c r="AD448" s="31">
        <f>IF(AND($Y448&lt;&gt;"",N($Z448)&gt;0,$AC448=0),MAX($AD$7:$AD447)+1,"")</f>
        <v/>
      </c>
      <c r="AE448" s="31">
        <f>IF($Y448="",0,$Y448)</f>
        <v/>
      </c>
    </row>
    <row r="449">
      <c r="W449" s="31">
        <f>IF(OR($B$5="",$C$6="",ROW()&lt;$B$5),"",IF(INDEX($A:$U,ROW(),$C$6)="","",INDEX($A:$U,ROW(),$C$6)))</f>
        <v/>
      </c>
      <c r="X449" s="32">
        <f>IF($W449="","",IF(ISNUMBER($W449),IF($W449&gt;=10000000,IFERROR(DATE(INT($W449/10000),MOD(INT($W449/100),100),MOD($W449,100)),""),INT($W449)),IFERROR(DATE(--LEFT(LEFT(SUBSTITUTE(SUBSTITUTE(SUBSTITUTE(SUBSTITUTE(TRIM($W449),"-",""),".",""),"/","")," ",""),8),4),--MID(LEFT(SUBSTITUTE(SUBSTITUTE(SUBSTITUTE(SUBSTITUTE(TRIM($W449),"-",""),".",""),"/","")," ",""),8),5,2),--MID(LEFT(SUBSTITUTE(SUBSTITUTE(SUBSTITUTE(SUBSTITUTE(TRIM($W449),"-",""),".",""),"/","")," ",""),8),7,2)),"")))</f>
        <v/>
      </c>
      <c r="Y449" s="32">
        <f>IF($X449="","",INT($X449))</f>
        <v/>
      </c>
      <c r="Z449" s="33">
        <f>IF(OR($Y449="",$D$6=""),"",IF(INDEX($A:$U,ROW(),$D$6)="",0,IF(ISNUMBER(INDEX($A:$U,ROW(),$D$6)),INDEX($A:$U,ROW(),$D$6),IFERROR(--SUBSTITUTE(SUBSTITUTE(TRIM(INDEX($A:$U,ROW(),$D$6)),",",""),"원",""),0))))</f>
        <v/>
      </c>
      <c r="AA449" s="31">
        <f>IF($Y449="","",TRIM(INDEX($A:$U,ROW(),$E$6)&amp;IF($F$6="",""," "&amp;INDEX($A:$U,ROW(),$F$6))))</f>
        <v/>
      </c>
      <c r="AB449" s="31">
        <f>IF($AA449="","",SUBSTITUTE(SUBSTITUTE(SUBSTITUTE(SUBSTITUTE(SUBSTITUTE(SUBSTITUTE(SUBSTITUTE(SUBSTITUTE(SUBSTITUTE($AA449," ",""),"　",""),"(주)",""),"（주）",""),"㈜",""),"주식회사",""),"(유)",""),"（유）",""),"유한회사",""))</f>
        <v/>
      </c>
      <c r="AC449" s="31">
        <f>IF(OR($Y449="",N($Z449)&lt;=0,$AB449=""),0,IFERROR(LOOKUP(2,1/((거래처별!$AC$8:$AC$307&lt;&gt;"")*ISNUMBER(SEARCH(거래처별!$AC$8:$AC$307,$AB449))),거래처별!$A$8:$A$307),IFERROR(LOOKUP(2,1/((거래처별!$AD$8:$AD$307&lt;&gt;"")*ISNUMBER(SEARCH(거래처별!$AD$8:$AD$307,$AB449))),거래처별!$A$8:$A$307),IFERROR(LOOKUP(2,1/((거래처별!$AE$8:$AE$307&lt;&gt;"")*ISNUMBER(SEARCH(거래처별!$AE$8:$AE$307,$AB449))),거래처별!$A$8:$A$307),0))))</f>
        <v/>
      </c>
      <c r="AD449" s="31">
        <f>IF(AND($Y449&lt;&gt;"",N($Z449)&gt;0,$AC449=0),MAX($AD$7:$AD448)+1,"")</f>
        <v/>
      </c>
      <c r="AE449" s="31">
        <f>IF($Y449="",0,$Y449)</f>
        <v/>
      </c>
    </row>
    <row r="450">
      <c r="W450" s="31">
        <f>IF(OR($B$5="",$C$6="",ROW()&lt;$B$5),"",IF(INDEX($A:$U,ROW(),$C$6)="","",INDEX($A:$U,ROW(),$C$6)))</f>
        <v/>
      </c>
      <c r="X450" s="32">
        <f>IF($W450="","",IF(ISNUMBER($W450),IF($W450&gt;=10000000,IFERROR(DATE(INT($W450/10000),MOD(INT($W450/100),100),MOD($W450,100)),""),INT($W450)),IFERROR(DATE(--LEFT(LEFT(SUBSTITUTE(SUBSTITUTE(SUBSTITUTE(SUBSTITUTE(TRIM($W450),"-",""),".",""),"/","")," ",""),8),4),--MID(LEFT(SUBSTITUTE(SUBSTITUTE(SUBSTITUTE(SUBSTITUTE(TRIM($W450),"-",""),".",""),"/","")," ",""),8),5,2),--MID(LEFT(SUBSTITUTE(SUBSTITUTE(SUBSTITUTE(SUBSTITUTE(TRIM($W450),"-",""),".",""),"/","")," ",""),8),7,2)),"")))</f>
        <v/>
      </c>
      <c r="Y450" s="32">
        <f>IF($X450="","",INT($X450))</f>
        <v/>
      </c>
      <c r="Z450" s="33">
        <f>IF(OR($Y450="",$D$6=""),"",IF(INDEX($A:$U,ROW(),$D$6)="",0,IF(ISNUMBER(INDEX($A:$U,ROW(),$D$6)),INDEX($A:$U,ROW(),$D$6),IFERROR(--SUBSTITUTE(SUBSTITUTE(TRIM(INDEX($A:$U,ROW(),$D$6)),",",""),"원",""),0))))</f>
        <v/>
      </c>
      <c r="AA450" s="31">
        <f>IF($Y450="","",TRIM(INDEX($A:$U,ROW(),$E$6)&amp;IF($F$6="",""," "&amp;INDEX($A:$U,ROW(),$F$6))))</f>
        <v/>
      </c>
      <c r="AB450" s="31">
        <f>IF($AA450="","",SUBSTITUTE(SUBSTITUTE(SUBSTITUTE(SUBSTITUTE(SUBSTITUTE(SUBSTITUTE(SUBSTITUTE(SUBSTITUTE(SUBSTITUTE($AA450," ",""),"　",""),"(주)",""),"（주）",""),"㈜",""),"주식회사",""),"(유)",""),"（유）",""),"유한회사",""))</f>
        <v/>
      </c>
      <c r="AC450" s="31">
        <f>IF(OR($Y450="",N($Z450)&lt;=0,$AB450=""),0,IFERROR(LOOKUP(2,1/((거래처별!$AC$8:$AC$307&lt;&gt;"")*ISNUMBER(SEARCH(거래처별!$AC$8:$AC$307,$AB450))),거래처별!$A$8:$A$307),IFERROR(LOOKUP(2,1/((거래처별!$AD$8:$AD$307&lt;&gt;"")*ISNUMBER(SEARCH(거래처별!$AD$8:$AD$307,$AB450))),거래처별!$A$8:$A$307),IFERROR(LOOKUP(2,1/((거래처별!$AE$8:$AE$307&lt;&gt;"")*ISNUMBER(SEARCH(거래처별!$AE$8:$AE$307,$AB450))),거래처별!$A$8:$A$307),0))))</f>
        <v/>
      </c>
      <c r="AD450" s="31">
        <f>IF(AND($Y450&lt;&gt;"",N($Z450)&gt;0,$AC450=0),MAX($AD$7:$AD449)+1,"")</f>
        <v/>
      </c>
      <c r="AE450" s="31">
        <f>IF($Y450="",0,$Y450)</f>
        <v/>
      </c>
    </row>
    <row r="451">
      <c r="W451" s="31">
        <f>IF(OR($B$5="",$C$6="",ROW()&lt;$B$5),"",IF(INDEX($A:$U,ROW(),$C$6)="","",INDEX($A:$U,ROW(),$C$6)))</f>
        <v/>
      </c>
      <c r="X451" s="32">
        <f>IF($W451="","",IF(ISNUMBER($W451),IF($W451&gt;=10000000,IFERROR(DATE(INT($W451/10000),MOD(INT($W451/100),100),MOD($W451,100)),""),INT($W451)),IFERROR(DATE(--LEFT(LEFT(SUBSTITUTE(SUBSTITUTE(SUBSTITUTE(SUBSTITUTE(TRIM($W451),"-",""),".",""),"/","")," ",""),8),4),--MID(LEFT(SUBSTITUTE(SUBSTITUTE(SUBSTITUTE(SUBSTITUTE(TRIM($W451),"-",""),".",""),"/","")," ",""),8),5,2),--MID(LEFT(SUBSTITUTE(SUBSTITUTE(SUBSTITUTE(SUBSTITUTE(TRIM($W451),"-",""),".",""),"/","")," ",""),8),7,2)),"")))</f>
        <v/>
      </c>
      <c r="Y451" s="32">
        <f>IF($X451="","",INT($X451))</f>
        <v/>
      </c>
      <c r="Z451" s="33">
        <f>IF(OR($Y451="",$D$6=""),"",IF(INDEX($A:$U,ROW(),$D$6)="",0,IF(ISNUMBER(INDEX($A:$U,ROW(),$D$6)),INDEX($A:$U,ROW(),$D$6),IFERROR(--SUBSTITUTE(SUBSTITUTE(TRIM(INDEX($A:$U,ROW(),$D$6)),",",""),"원",""),0))))</f>
        <v/>
      </c>
      <c r="AA451" s="31">
        <f>IF($Y451="","",TRIM(INDEX($A:$U,ROW(),$E$6)&amp;IF($F$6="",""," "&amp;INDEX($A:$U,ROW(),$F$6))))</f>
        <v/>
      </c>
      <c r="AB451" s="31">
        <f>IF($AA451="","",SUBSTITUTE(SUBSTITUTE(SUBSTITUTE(SUBSTITUTE(SUBSTITUTE(SUBSTITUTE(SUBSTITUTE(SUBSTITUTE(SUBSTITUTE($AA451," ",""),"　",""),"(주)",""),"（주）",""),"㈜",""),"주식회사",""),"(유)",""),"（유）",""),"유한회사",""))</f>
        <v/>
      </c>
      <c r="AC451" s="31">
        <f>IF(OR($Y451="",N($Z451)&lt;=0,$AB451=""),0,IFERROR(LOOKUP(2,1/((거래처별!$AC$8:$AC$307&lt;&gt;"")*ISNUMBER(SEARCH(거래처별!$AC$8:$AC$307,$AB451))),거래처별!$A$8:$A$307),IFERROR(LOOKUP(2,1/((거래처별!$AD$8:$AD$307&lt;&gt;"")*ISNUMBER(SEARCH(거래처별!$AD$8:$AD$307,$AB451))),거래처별!$A$8:$A$307),IFERROR(LOOKUP(2,1/((거래처별!$AE$8:$AE$307&lt;&gt;"")*ISNUMBER(SEARCH(거래처별!$AE$8:$AE$307,$AB451))),거래처별!$A$8:$A$307),0))))</f>
        <v/>
      </c>
      <c r="AD451" s="31">
        <f>IF(AND($Y451&lt;&gt;"",N($Z451)&gt;0,$AC451=0),MAX($AD$7:$AD450)+1,"")</f>
        <v/>
      </c>
      <c r="AE451" s="31">
        <f>IF($Y451="",0,$Y451)</f>
        <v/>
      </c>
    </row>
    <row r="452">
      <c r="W452" s="31">
        <f>IF(OR($B$5="",$C$6="",ROW()&lt;$B$5),"",IF(INDEX($A:$U,ROW(),$C$6)="","",INDEX($A:$U,ROW(),$C$6)))</f>
        <v/>
      </c>
      <c r="X452" s="32">
        <f>IF($W452="","",IF(ISNUMBER($W452),IF($W452&gt;=10000000,IFERROR(DATE(INT($W452/10000),MOD(INT($W452/100),100),MOD($W452,100)),""),INT($W452)),IFERROR(DATE(--LEFT(LEFT(SUBSTITUTE(SUBSTITUTE(SUBSTITUTE(SUBSTITUTE(TRIM($W452),"-",""),".",""),"/","")," ",""),8),4),--MID(LEFT(SUBSTITUTE(SUBSTITUTE(SUBSTITUTE(SUBSTITUTE(TRIM($W452),"-",""),".",""),"/","")," ",""),8),5,2),--MID(LEFT(SUBSTITUTE(SUBSTITUTE(SUBSTITUTE(SUBSTITUTE(TRIM($W452),"-",""),".",""),"/","")," ",""),8),7,2)),"")))</f>
        <v/>
      </c>
      <c r="Y452" s="32">
        <f>IF($X452="","",INT($X452))</f>
        <v/>
      </c>
      <c r="Z452" s="33">
        <f>IF(OR($Y452="",$D$6=""),"",IF(INDEX($A:$U,ROW(),$D$6)="",0,IF(ISNUMBER(INDEX($A:$U,ROW(),$D$6)),INDEX($A:$U,ROW(),$D$6),IFERROR(--SUBSTITUTE(SUBSTITUTE(TRIM(INDEX($A:$U,ROW(),$D$6)),",",""),"원",""),0))))</f>
        <v/>
      </c>
      <c r="AA452" s="31">
        <f>IF($Y452="","",TRIM(INDEX($A:$U,ROW(),$E$6)&amp;IF($F$6="",""," "&amp;INDEX($A:$U,ROW(),$F$6))))</f>
        <v/>
      </c>
      <c r="AB452" s="31">
        <f>IF($AA452="","",SUBSTITUTE(SUBSTITUTE(SUBSTITUTE(SUBSTITUTE(SUBSTITUTE(SUBSTITUTE(SUBSTITUTE(SUBSTITUTE(SUBSTITUTE($AA452," ",""),"　",""),"(주)",""),"（주）",""),"㈜",""),"주식회사",""),"(유)",""),"（유）",""),"유한회사",""))</f>
        <v/>
      </c>
      <c r="AC452" s="31">
        <f>IF(OR($Y452="",N($Z452)&lt;=0,$AB452=""),0,IFERROR(LOOKUP(2,1/((거래처별!$AC$8:$AC$307&lt;&gt;"")*ISNUMBER(SEARCH(거래처별!$AC$8:$AC$307,$AB452))),거래처별!$A$8:$A$307),IFERROR(LOOKUP(2,1/((거래처별!$AD$8:$AD$307&lt;&gt;"")*ISNUMBER(SEARCH(거래처별!$AD$8:$AD$307,$AB452))),거래처별!$A$8:$A$307),IFERROR(LOOKUP(2,1/((거래처별!$AE$8:$AE$307&lt;&gt;"")*ISNUMBER(SEARCH(거래처별!$AE$8:$AE$307,$AB452))),거래처별!$A$8:$A$307),0))))</f>
        <v/>
      </c>
      <c r="AD452" s="31">
        <f>IF(AND($Y452&lt;&gt;"",N($Z452)&gt;0,$AC452=0),MAX($AD$7:$AD451)+1,"")</f>
        <v/>
      </c>
      <c r="AE452" s="31">
        <f>IF($Y452="",0,$Y452)</f>
        <v/>
      </c>
    </row>
    <row r="453">
      <c r="W453" s="31">
        <f>IF(OR($B$5="",$C$6="",ROW()&lt;$B$5),"",IF(INDEX($A:$U,ROW(),$C$6)="","",INDEX($A:$U,ROW(),$C$6)))</f>
        <v/>
      </c>
      <c r="X453" s="32">
        <f>IF($W453="","",IF(ISNUMBER($W453),IF($W453&gt;=10000000,IFERROR(DATE(INT($W453/10000),MOD(INT($W453/100),100),MOD($W453,100)),""),INT($W453)),IFERROR(DATE(--LEFT(LEFT(SUBSTITUTE(SUBSTITUTE(SUBSTITUTE(SUBSTITUTE(TRIM($W453),"-",""),".",""),"/","")," ",""),8),4),--MID(LEFT(SUBSTITUTE(SUBSTITUTE(SUBSTITUTE(SUBSTITUTE(TRIM($W453),"-",""),".",""),"/","")," ",""),8),5,2),--MID(LEFT(SUBSTITUTE(SUBSTITUTE(SUBSTITUTE(SUBSTITUTE(TRIM($W453),"-",""),".",""),"/","")," ",""),8),7,2)),"")))</f>
        <v/>
      </c>
      <c r="Y453" s="32">
        <f>IF($X453="","",INT($X453))</f>
        <v/>
      </c>
      <c r="Z453" s="33">
        <f>IF(OR($Y453="",$D$6=""),"",IF(INDEX($A:$U,ROW(),$D$6)="",0,IF(ISNUMBER(INDEX($A:$U,ROW(),$D$6)),INDEX($A:$U,ROW(),$D$6),IFERROR(--SUBSTITUTE(SUBSTITUTE(TRIM(INDEX($A:$U,ROW(),$D$6)),",",""),"원",""),0))))</f>
        <v/>
      </c>
      <c r="AA453" s="31">
        <f>IF($Y453="","",TRIM(INDEX($A:$U,ROW(),$E$6)&amp;IF($F$6="",""," "&amp;INDEX($A:$U,ROW(),$F$6))))</f>
        <v/>
      </c>
      <c r="AB453" s="31">
        <f>IF($AA453="","",SUBSTITUTE(SUBSTITUTE(SUBSTITUTE(SUBSTITUTE(SUBSTITUTE(SUBSTITUTE(SUBSTITUTE(SUBSTITUTE(SUBSTITUTE($AA453," ",""),"　",""),"(주)",""),"（주）",""),"㈜",""),"주식회사",""),"(유)",""),"（유）",""),"유한회사",""))</f>
        <v/>
      </c>
      <c r="AC453" s="31">
        <f>IF(OR($Y453="",N($Z453)&lt;=0,$AB453=""),0,IFERROR(LOOKUP(2,1/((거래처별!$AC$8:$AC$307&lt;&gt;"")*ISNUMBER(SEARCH(거래처별!$AC$8:$AC$307,$AB453))),거래처별!$A$8:$A$307),IFERROR(LOOKUP(2,1/((거래처별!$AD$8:$AD$307&lt;&gt;"")*ISNUMBER(SEARCH(거래처별!$AD$8:$AD$307,$AB453))),거래처별!$A$8:$A$307),IFERROR(LOOKUP(2,1/((거래처별!$AE$8:$AE$307&lt;&gt;"")*ISNUMBER(SEARCH(거래처별!$AE$8:$AE$307,$AB453))),거래처별!$A$8:$A$307),0))))</f>
        <v/>
      </c>
      <c r="AD453" s="31">
        <f>IF(AND($Y453&lt;&gt;"",N($Z453)&gt;0,$AC453=0),MAX($AD$7:$AD452)+1,"")</f>
        <v/>
      </c>
      <c r="AE453" s="31">
        <f>IF($Y453="",0,$Y453)</f>
        <v/>
      </c>
    </row>
    <row r="454">
      <c r="W454" s="31">
        <f>IF(OR($B$5="",$C$6="",ROW()&lt;$B$5),"",IF(INDEX($A:$U,ROW(),$C$6)="","",INDEX($A:$U,ROW(),$C$6)))</f>
        <v/>
      </c>
      <c r="X454" s="32">
        <f>IF($W454="","",IF(ISNUMBER($W454),IF($W454&gt;=10000000,IFERROR(DATE(INT($W454/10000),MOD(INT($W454/100),100),MOD($W454,100)),""),INT($W454)),IFERROR(DATE(--LEFT(LEFT(SUBSTITUTE(SUBSTITUTE(SUBSTITUTE(SUBSTITUTE(TRIM($W454),"-",""),".",""),"/","")," ",""),8),4),--MID(LEFT(SUBSTITUTE(SUBSTITUTE(SUBSTITUTE(SUBSTITUTE(TRIM($W454),"-",""),".",""),"/","")," ",""),8),5,2),--MID(LEFT(SUBSTITUTE(SUBSTITUTE(SUBSTITUTE(SUBSTITUTE(TRIM($W454),"-",""),".",""),"/","")," ",""),8),7,2)),"")))</f>
        <v/>
      </c>
      <c r="Y454" s="32">
        <f>IF($X454="","",INT($X454))</f>
        <v/>
      </c>
      <c r="Z454" s="33">
        <f>IF(OR($Y454="",$D$6=""),"",IF(INDEX($A:$U,ROW(),$D$6)="",0,IF(ISNUMBER(INDEX($A:$U,ROW(),$D$6)),INDEX($A:$U,ROW(),$D$6),IFERROR(--SUBSTITUTE(SUBSTITUTE(TRIM(INDEX($A:$U,ROW(),$D$6)),",",""),"원",""),0))))</f>
        <v/>
      </c>
      <c r="AA454" s="31">
        <f>IF($Y454="","",TRIM(INDEX($A:$U,ROW(),$E$6)&amp;IF($F$6="",""," "&amp;INDEX($A:$U,ROW(),$F$6))))</f>
        <v/>
      </c>
      <c r="AB454" s="31">
        <f>IF($AA454="","",SUBSTITUTE(SUBSTITUTE(SUBSTITUTE(SUBSTITUTE(SUBSTITUTE(SUBSTITUTE(SUBSTITUTE(SUBSTITUTE(SUBSTITUTE($AA454," ",""),"　",""),"(주)",""),"（주）",""),"㈜",""),"주식회사",""),"(유)",""),"（유）",""),"유한회사",""))</f>
        <v/>
      </c>
      <c r="AC454" s="31">
        <f>IF(OR($Y454="",N($Z454)&lt;=0,$AB454=""),0,IFERROR(LOOKUP(2,1/((거래처별!$AC$8:$AC$307&lt;&gt;"")*ISNUMBER(SEARCH(거래처별!$AC$8:$AC$307,$AB454))),거래처별!$A$8:$A$307),IFERROR(LOOKUP(2,1/((거래처별!$AD$8:$AD$307&lt;&gt;"")*ISNUMBER(SEARCH(거래처별!$AD$8:$AD$307,$AB454))),거래처별!$A$8:$A$307),IFERROR(LOOKUP(2,1/((거래처별!$AE$8:$AE$307&lt;&gt;"")*ISNUMBER(SEARCH(거래처별!$AE$8:$AE$307,$AB454))),거래처별!$A$8:$A$307),0))))</f>
        <v/>
      </c>
      <c r="AD454" s="31">
        <f>IF(AND($Y454&lt;&gt;"",N($Z454)&gt;0,$AC454=0),MAX($AD$7:$AD453)+1,"")</f>
        <v/>
      </c>
      <c r="AE454" s="31">
        <f>IF($Y454="",0,$Y454)</f>
        <v/>
      </c>
    </row>
    <row r="455">
      <c r="W455" s="31">
        <f>IF(OR($B$5="",$C$6="",ROW()&lt;$B$5),"",IF(INDEX($A:$U,ROW(),$C$6)="","",INDEX($A:$U,ROW(),$C$6)))</f>
        <v/>
      </c>
      <c r="X455" s="32">
        <f>IF($W455="","",IF(ISNUMBER($W455),IF($W455&gt;=10000000,IFERROR(DATE(INT($W455/10000),MOD(INT($W455/100),100),MOD($W455,100)),""),INT($W455)),IFERROR(DATE(--LEFT(LEFT(SUBSTITUTE(SUBSTITUTE(SUBSTITUTE(SUBSTITUTE(TRIM($W455),"-",""),".",""),"/","")," ",""),8),4),--MID(LEFT(SUBSTITUTE(SUBSTITUTE(SUBSTITUTE(SUBSTITUTE(TRIM($W455),"-",""),".",""),"/","")," ",""),8),5,2),--MID(LEFT(SUBSTITUTE(SUBSTITUTE(SUBSTITUTE(SUBSTITUTE(TRIM($W455),"-",""),".",""),"/","")," ",""),8),7,2)),"")))</f>
        <v/>
      </c>
      <c r="Y455" s="32">
        <f>IF($X455="","",INT($X455))</f>
        <v/>
      </c>
      <c r="Z455" s="33">
        <f>IF(OR($Y455="",$D$6=""),"",IF(INDEX($A:$U,ROW(),$D$6)="",0,IF(ISNUMBER(INDEX($A:$U,ROW(),$D$6)),INDEX($A:$U,ROW(),$D$6),IFERROR(--SUBSTITUTE(SUBSTITUTE(TRIM(INDEX($A:$U,ROW(),$D$6)),",",""),"원",""),0))))</f>
        <v/>
      </c>
      <c r="AA455" s="31">
        <f>IF($Y455="","",TRIM(INDEX($A:$U,ROW(),$E$6)&amp;IF($F$6="",""," "&amp;INDEX($A:$U,ROW(),$F$6))))</f>
        <v/>
      </c>
      <c r="AB455" s="31">
        <f>IF($AA455="","",SUBSTITUTE(SUBSTITUTE(SUBSTITUTE(SUBSTITUTE(SUBSTITUTE(SUBSTITUTE(SUBSTITUTE(SUBSTITUTE(SUBSTITUTE($AA455," ",""),"　",""),"(주)",""),"（주）",""),"㈜",""),"주식회사",""),"(유)",""),"（유）",""),"유한회사",""))</f>
        <v/>
      </c>
      <c r="AC455" s="31">
        <f>IF(OR($Y455="",N($Z455)&lt;=0,$AB455=""),0,IFERROR(LOOKUP(2,1/((거래처별!$AC$8:$AC$307&lt;&gt;"")*ISNUMBER(SEARCH(거래처별!$AC$8:$AC$307,$AB455))),거래처별!$A$8:$A$307),IFERROR(LOOKUP(2,1/((거래처별!$AD$8:$AD$307&lt;&gt;"")*ISNUMBER(SEARCH(거래처별!$AD$8:$AD$307,$AB455))),거래처별!$A$8:$A$307),IFERROR(LOOKUP(2,1/((거래처별!$AE$8:$AE$307&lt;&gt;"")*ISNUMBER(SEARCH(거래처별!$AE$8:$AE$307,$AB455))),거래처별!$A$8:$A$307),0))))</f>
        <v/>
      </c>
      <c r="AD455" s="31">
        <f>IF(AND($Y455&lt;&gt;"",N($Z455)&gt;0,$AC455=0),MAX($AD$7:$AD454)+1,"")</f>
        <v/>
      </c>
      <c r="AE455" s="31">
        <f>IF($Y455="",0,$Y455)</f>
        <v/>
      </c>
    </row>
    <row r="456">
      <c r="W456" s="31">
        <f>IF(OR($B$5="",$C$6="",ROW()&lt;$B$5),"",IF(INDEX($A:$U,ROW(),$C$6)="","",INDEX($A:$U,ROW(),$C$6)))</f>
        <v/>
      </c>
      <c r="X456" s="32">
        <f>IF($W456="","",IF(ISNUMBER($W456),IF($W456&gt;=10000000,IFERROR(DATE(INT($W456/10000),MOD(INT($W456/100),100),MOD($W456,100)),""),INT($W456)),IFERROR(DATE(--LEFT(LEFT(SUBSTITUTE(SUBSTITUTE(SUBSTITUTE(SUBSTITUTE(TRIM($W456),"-",""),".",""),"/","")," ",""),8),4),--MID(LEFT(SUBSTITUTE(SUBSTITUTE(SUBSTITUTE(SUBSTITUTE(TRIM($W456),"-",""),".",""),"/","")," ",""),8),5,2),--MID(LEFT(SUBSTITUTE(SUBSTITUTE(SUBSTITUTE(SUBSTITUTE(TRIM($W456),"-",""),".",""),"/","")," ",""),8),7,2)),"")))</f>
        <v/>
      </c>
      <c r="Y456" s="32">
        <f>IF($X456="","",INT($X456))</f>
        <v/>
      </c>
      <c r="Z456" s="33">
        <f>IF(OR($Y456="",$D$6=""),"",IF(INDEX($A:$U,ROW(),$D$6)="",0,IF(ISNUMBER(INDEX($A:$U,ROW(),$D$6)),INDEX($A:$U,ROW(),$D$6),IFERROR(--SUBSTITUTE(SUBSTITUTE(TRIM(INDEX($A:$U,ROW(),$D$6)),",",""),"원",""),0))))</f>
        <v/>
      </c>
      <c r="AA456" s="31">
        <f>IF($Y456="","",TRIM(INDEX($A:$U,ROW(),$E$6)&amp;IF($F$6="",""," "&amp;INDEX($A:$U,ROW(),$F$6))))</f>
        <v/>
      </c>
      <c r="AB456" s="31">
        <f>IF($AA456="","",SUBSTITUTE(SUBSTITUTE(SUBSTITUTE(SUBSTITUTE(SUBSTITUTE(SUBSTITUTE(SUBSTITUTE(SUBSTITUTE(SUBSTITUTE($AA456," ",""),"　",""),"(주)",""),"（주）",""),"㈜",""),"주식회사",""),"(유)",""),"（유）",""),"유한회사",""))</f>
        <v/>
      </c>
      <c r="AC456" s="31">
        <f>IF(OR($Y456="",N($Z456)&lt;=0,$AB456=""),0,IFERROR(LOOKUP(2,1/((거래처별!$AC$8:$AC$307&lt;&gt;"")*ISNUMBER(SEARCH(거래처별!$AC$8:$AC$307,$AB456))),거래처별!$A$8:$A$307),IFERROR(LOOKUP(2,1/((거래처별!$AD$8:$AD$307&lt;&gt;"")*ISNUMBER(SEARCH(거래처별!$AD$8:$AD$307,$AB456))),거래처별!$A$8:$A$307),IFERROR(LOOKUP(2,1/((거래처별!$AE$8:$AE$307&lt;&gt;"")*ISNUMBER(SEARCH(거래처별!$AE$8:$AE$307,$AB456))),거래처별!$A$8:$A$307),0))))</f>
        <v/>
      </c>
      <c r="AD456" s="31">
        <f>IF(AND($Y456&lt;&gt;"",N($Z456)&gt;0,$AC456=0),MAX($AD$7:$AD455)+1,"")</f>
        <v/>
      </c>
      <c r="AE456" s="31">
        <f>IF($Y456="",0,$Y456)</f>
        <v/>
      </c>
    </row>
    <row r="457">
      <c r="W457" s="31">
        <f>IF(OR($B$5="",$C$6="",ROW()&lt;$B$5),"",IF(INDEX($A:$U,ROW(),$C$6)="","",INDEX($A:$U,ROW(),$C$6)))</f>
        <v/>
      </c>
      <c r="X457" s="32">
        <f>IF($W457="","",IF(ISNUMBER($W457),IF($W457&gt;=10000000,IFERROR(DATE(INT($W457/10000),MOD(INT($W457/100),100),MOD($W457,100)),""),INT($W457)),IFERROR(DATE(--LEFT(LEFT(SUBSTITUTE(SUBSTITUTE(SUBSTITUTE(SUBSTITUTE(TRIM($W457),"-",""),".",""),"/","")," ",""),8),4),--MID(LEFT(SUBSTITUTE(SUBSTITUTE(SUBSTITUTE(SUBSTITUTE(TRIM($W457),"-",""),".",""),"/","")," ",""),8),5,2),--MID(LEFT(SUBSTITUTE(SUBSTITUTE(SUBSTITUTE(SUBSTITUTE(TRIM($W457),"-",""),".",""),"/","")," ",""),8),7,2)),"")))</f>
        <v/>
      </c>
      <c r="Y457" s="32">
        <f>IF($X457="","",INT($X457))</f>
        <v/>
      </c>
      <c r="Z457" s="33">
        <f>IF(OR($Y457="",$D$6=""),"",IF(INDEX($A:$U,ROW(),$D$6)="",0,IF(ISNUMBER(INDEX($A:$U,ROW(),$D$6)),INDEX($A:$U,ROW(),$D$6),IFERROR(--SUBSTITUTE(SUBSTITUTE(TRIM(INDEX($A:$U,ROW(),$D$6)),",",""),"원",""),0))))</f>
        <v/>
      </c>
      <c r="AA457" s="31">
        <f>IF($Y457="","",TRIM(INDEX($A:$U,ROW(),$E$6)&amp;IF($F$6="",""," "&amp;INDEX($A:$U,ROW(),$F$6))))</f>
        <v/>
      </c>
      <c r="AB457" s="31">
        <f>IF($AA457="","",SUBSTITUTE(SUBSTITUTE(SUBSTITUTE(SUBSTITUTE(SUBSTITUTE(SUBSTITUTE(SUBSTITUTE(SUBSTITUTE(SUBSTITUTE($AA457," ",""),"　",""),"(주)",""),"（주）",""),"㈜",""),"주식회사",""),"(유)",""),"（유）",""),"유한회사",""))</f>
        <v/>
      </c>
      <c r="AC457" s="31">
        <f>IF(OR($Y457="",N($Z457)&lt;=0,$AB457=""),0,IFERROR(LOOKUP(2,1/((거래처별!$AC$8:$AC$307&lt;&gt;"")*ISNUMBER(SEARCH(거래처별!$AC$8:$AC$307,$AB457))),거래처별!$A$8:$A$307),IFERROR(LOOKUP(2,1/((거래처별!$AD$8:$AD$307&lt;&gt;"")*ISNUMBER(SEARCH(거래처별!$AD$8:$AD$307,$AB457))),거래처별!$A$8:$A$307),IFERROR(LOOKUP(2,1/((거래처별!$AE$8:$AE$307&lt;&gt;"")*ISNUMBER(SEARCH(거래처별!$AE$8:$AE$307,$AB457))),거래처별!$A$8:$A$307),0))))</f>
        <v/>
      </c>
      <c r="AD457" s="31">
        <f>IF(AND($Y457&lt;&gt;"",N($Z457)&gt;0,$AC457=0),MAX($AD$7:$AD456)+1,"")</f>
        <v/>
      </c>
      <c r="AE457" s="31">
        <f>IF($Y457="",0,$Y457)</f>
        <v/>
      </c>
    </row>
    <row r="458">
      <c r="W458" s="31">
        <f>IF(OR($B$5="",$C$6="",ROW()&lt;$B$5),"",IF(INDEX($A:$U,ROW(),$C$6)="","",INDEX($A:$U,ROW(),$C$6)))</f>
        <v/>
      </c>
      <c r="X458" s="32">
        <f>IF($W458="","",IF(ISNUMBER($W458),IF($W458&gt;=10000000,IFERROR(DATE(INT($W458/10000),MOD(INT($W458/100),100),MOD($W458,100)),""),INT($W458)),IFERROR(DATE(--LEFT(LEFT(SUBSTITUTE(SUBSTITUTE(SUBSTITUTE(SUBSTITUTE(TRIM($W458),"-",""),".",""),"/","")," ",""),8),4),--MID(LEFT(SUBSTITUTE(SUBSTITUTE(SUBSTITUTE(SUBSTITUTE(TRIM($W458),"-",""),".",""),"/","")," ",""),8),5,2),--MID(LEFT(SUBSTITUTE(SUBSTITUTE(SUBSTITUTE(SUBSTITUTE(TRIM($W458),"-",""),".",""),"/","")," ",""),8),7,2)),"")))</f>
        <v/>
      </c>
      <c r="Y458" s="32">
        <f>IF($X458="","",INT($X458))</f>
        <v/>
      </c>
      <c r="Z458" s="33">
        <f>IF(OR($Y458="",$D$6=""),"",IF(INDEX($A:$U,ROW(),$D$6)="",0,IF(ISNUMBER(INDEX($A:$U,ROW(),$D$6)),INDEX($A:$U,ROW(),$D$6),IFERROR(--SUBSTITUTE(SUBSTITUTE(TRIM(INDEX($A:$U,ROW(),$D$6)),",",""),"원",""),0))))</f>
        <v/>
      </c>
      <c r="AA458" s="31">
        <f>IF($Y458="","",TRIM(INDEX($A:$U,ROW(),$E$6)&amp;IF($F$6="",""," "&amp;INDEX($A:$U,ROW(),$F$6))))</f>
        <v/>
      </c>
      <c r="AB458" s="31">
        <f>IF($AA458="","",SUBSTITUTE(SUBSTITUTE(SUBSTITUTE(SUBSTITUTE(SUBSTITUTE(SUBSTITUTE(SUBSTITUTE(SUBSTITUTE(SUBSTITUTE($AA458," ",""),"　",""),"(주)",""),"（주）",""),"㈜",""),"주식회사",""),"(유)",""),"（유）",""),"유한회사",""))</f>
        <v/>
      </c>
      <c r="AC458" s="31">
        <f>IF(OR($Y458="",N($Z458)&lt;=0,$AB458=""),0,IFERROR(LOOKUP(2,1/((거래처별!$AC$8:$AC$307&lt;&gt;"")*ISNUMBER(SEARCH(거래처별!$AC$8:$AC$307,$AB458))),거래처별!$A$8:$A$307),IFERROR(LOOKUP(2,1/((거래처별!$AD$8:$AD$307&lt;&gt;"")*ISNUMBER(SEARCH(거래처별!$AD$8:$AD$307,$AB458))),거래처별!$A$8:$A$307),IFERROR(LOOKUP(2,1/((거래처별!$AE$8:$AE$307&lt;&gt;"")*ISNUMBER(SEARCH(거래처별!$AE$8:$AE$307,$AB458))),거래처별!$A$8:$A$307),0))))</f>
        <v/>
      </c>
      <c r="AD458" s="31">
        <f>IF(AND($Y458&lt;&gt;"",N($Z458)&gt;0,$AC458=0),MAX($AD$7:$AD457)+1,"")</f>
        <v/>
      </c>
      <c r="AE458" s="31">
        <f>IF($Y458="",0,$Y458)</f>
        <v/>
      </c>
    </row>
    <row r="459">
      <c r="W459" s="31">
        <f>IF(OR($B$5="",$C$6="",ROW()&lt;$B$5),"",IF(INDEX($A:$U,ROW(),$C$6)="","",INDEX($A:$U,ROW(),$C$6)))</f>
        <v/>
      </c>
      <c r="X459" s="32">
        <f>IF($W459="","",IF(ISNUMBER($W459),IF($W459&gt;=10000000,IFERROR(DATE(INT($W459/10000),MOD(INT($W459/100),100),MOD($W459,100)),""),INT($W459)),IFERROR(DATE(--LEFT(LEFT(SUBSTITUTE(SUBSTITUTE(SUBSTITUTE(SUBSTITUTE(TRIM($W459),"-",""),".",""),"/","")," ",""),8),4),--MID(LEFT(SUBSTITUTE(SUBSTITUTE(SUBSTITUTE(SUBSTITUTE(TRIM($W459),"-",""),".",""),"/","")," ",""),8),5,2),--MID(LEFT(SUBSTITUTE(SUBSTITUTE(SUBSTITUTE(SUBSTITUTE(TRIM($W459),"-",""),".",""),"/","")," ",""),8),7,2)),"")))</f>
        <v/>
      </c>
      <c r="Y459" s="32">
        <f>IF($X459="","",INT($X459))</f>
        <v/>
      </c>
      <c r="Z459" s="33">
        <f>IF(OR($Y459="",$D$6=""),"",IF(INDEX($A:$U,ROW(),$D$6)="",0,IF(ISNUMBER(INDEX($A:$U,ROW(),$D$6)),INDEX($A:$U,ROW(),$D$6),IFERROR(--SUBSTITUTE(SUBSTITUTE(TRIM(INDEX($A:$U,ROW(),$D$6)),",",""),"원",""),0))))</f>
        <v/>
      </c>
      <c r="AA459" s="31">
        <f>IF($Y459="","",TRIM(INDEX($A:$U,ROW(),$E$6)&amp;IF($F$6="",""," "&amp;INDEX($A:$U,ROW(),$F$6))))</f>
        <v/>
      </c>
      <c r="AB459" s="31">
        <f>IF($AA459="","",SUBSTITUTE(SUBSTITUTE(SUBSTITUTE(SUBSTITUTE(SUBSTITUTE(SUBSTITUTE(SUBSTITUTE(SUBSTITUTE(SUBSTITUTE($AA459," ",""),"　",""),"(주)",""),"（주）",""),"㈜",""),"주식회사",""),"(유)",""),"（유）",""),"유한회사",""))</f>
        <v/>
      </c>
      <c r="AC459" s="31">
        <f>IF(OR($Y459="",N($Z459)&lt;=0,$AB459=""),0,IFERROR(LOOKUP(2,1/((거래처별!$AC$8:$AC$307&lt;&gt;"")*ISNUMBER(SEARCH(거래처별!$AC$8:$AC$307,$AB459))),거래처별!$A$8:$A$307),IFERROR(LOOKUP(2,1/((거래처별!$AD$8:$AD$307&lt;&gt;"")*ISNUMBER(SEARCH(거래처별!$AD$8:$AD$307,$AB459))),거래처별!$A$8:$A$307),IFERROR(LOOKUP(2,1/((거래처별!$AE$8:$AE$307&lt;&gt;"")*ISNUMBER(SEARCH(거래처별!$AE$8:$AE$307,$AB459))),거래처별!$A$8:$A$307),0))))</f>
        <v/>
      </c>
      <c r="AD459" s="31">
        <f>IF(AND($Y459&lt;&gt;"",N($Z459)&gt;0,$AC459=0),MAX($AD$7:$AD458)+1,"")</f>
        <v/>
      </c>
      <c r="AE459" s="31">
        <f>IF($Y459="",0,$Y459)</f>
        <v/>
      </c>
    </row>
    <row r="460">
      <c r="W460" s="31">
        <f>IF(OR($B$5="",$C$6="",ROW()&lt;$B$5),"",IF(INDEX($A:$U,ROW(),$C$6)="","",INDEX($A:$U,ROW(),$C$6)))</f>
        <v/>
      </c>
      <c r="X460" s="32">
        <f>IF($W460="","",IF(ISNUMBER($W460),IF($W460&gt;=10000000,IFERROR(DATE(INT($W460/10000),MOD(INT($W460/100),100),MOD($W460,100)),""),INT($W460)),IFERROR(DATE(--LEFT(LEFT(SUBSTITUTE(SUBSTITUTE(SUBSTITUTE(SUBSTITUTE(TRIM($W460),"-",""),".",""),"/","")," ",""),8),4),--MID(LEFT(SUBSTITUTE(SUBSTITUTE(SUBSTITUTE(SUBSTITUTE(TRIM($W460),"-",""),".",""),"/","")," ",""),8),5,2),--MID(LEFT(SUBSTITUTE(SUBSTITUTE(SUBSTITUTE(SUBSTITUTE(TRIM($W460),"-",""),".",""),"/","")," ",""),8),7,2)),"")))</f>
        <v/>
      </c>
      <c r="Y460" s="32">
        <f>IF($X460="","",INT($X460))</f>
        <v/>
      </c>
      <c r="Z460" s="33">
        <f>IF(OR($Y460="",$D$6=""),"",IF(INDEX($A:$U,ROW(),$D$6)="",0,IF(ISNUMBER(INDEX($A:$U,ROW(),$D$6)),INDEX($A:$U,ROW(),$D$6),IFERROR(--SUBSTITUTE(SUBSTITUTE(TRIM(INDEX($A:$U,ROW(),$D$6)),",",""),"원",""),0))))</f>
        <v/>
      </c>
      <c r="AA460" s="31">
        <f>IF($Y460="","",TRIM(INDEX($A:$U,ROW(),$E$6)&amp;IF($F$6="",""," "&amp;INDEX($A:$U,ROW(),$F$6))))</f>
        <v/>
      </c>
      <c r="AB460" s="31">
        <f>IF($AA460="","",SUBSTITUTE(SUBSTITUTE(SUBSTITUTE(SUBSTITUTE(SUBSTITUTE(SUBSTITUTE(SUBSTITUTE(SUBSTITUTE(SUBSTITUTE($AA460," ",""),"　",""),"(주)",""),"（주）",""),"㈜",""),"주식회사",""),"(유)",""),"（유）",""),"유한회사",""))</f>
        <v/>
      </c>
      <c r="AC460" s="31">
        <f>IF(OR($Y460="",N($Z460)&lt;=0,$AB460=""),0,IFERROR(LOOKUP(2,1/((거래처별!$AC$8:$AC$307&lt;&gt;"")*ISNUMBER(SEARCH(거래처별!$AC$8:$AC$307,$AB460))),거래처별!$A$8:$A$307),IFERROR(LOOKUP(2,1/((거래처별!$AD$8:$AD$307&lt;&gt;"")*ISNUMBER(SEARCH(거래처별!$AD$8:$AD$307,$AB460))),거래처별!$A$8:$A$307),IFERROR(LOOKUP(2,1/((거래처별!$AE$8:$AE$307&lt;&gt;"")*ISNUMBER(SEARCH(거래처별!$AE$8:$AE$307,$AB460))),거래처별!$A$8:$A$307),0))))</f>
        <v/>
      </c>
      <c r="AD460" s="31">
        <f>IF(AND($Y460&lt;&gt;"",N($Z460)&gt;0,$AC460=0),MAX($AD$7:$AD459)+1,"")</f>
        <v/>
      </c>
      <c r="AE460" s="31">
        <f>IF($Y460="",0,$Y460)</f>
        <v/>
      </c>
    </row>
    <row r="461">
      <c r="W461" s="31">
        <f>IF(OR($B$5="",$C$6="",ROW()&lt;$B$5),"",IF(INDEX($A:$U,ROW(),$C$6)="","",INDEX($A:$U,ROW(),$C$6)))</f>
        <v/>
      </c>
      <c r="X461" s="32">
        <f>IF($W461="","",IF(ISNUMBER($W461),IF($W461&gt;=10000000,IFERROR(DATE(INT($W461/10000),MOD(INT($W461/100),100),MOD($W461,100)),""),INT($W461)),IFERROR(DATE(--LEFT(LEFT(SUBSTITUTE(SUBSTITUTE(SUBSTITUTE(SUBSTITUTE(TRIM($W461),"-",""),".",""),"/","")," ",""),8),4),--MID(LEFT(SUBSTITUTE(SUBSTITUTE(SUBSTITUTE(SUBSTITUTE(TRIM($W461),"-",""),".",""),"/","")," ",""),8),5,2),--MID(LEFT(SUBSTITUTE(SUBSTITUTE(SUBSTITUTE(SUBSTITUTE(TRIM($W461),"-",""),".",""),"/","")," ",""),8),7,2)),"")))</f>
        <v/>
      </c>
      <c r="Y461" s="32">
        <f>IF($X461="","",INT($X461))</f>
        <v/>
      </c>
      <c r="Z461" s="33">
        <f>IF(OR($Y461="",$D$6=""),"",IF(INDEX($A:$U,ROW(),$D$6)="",0,IF(ISNUMBER(INDEX($A:$U,ROW(),$D$6)),INDEX($A:$U,ROW(),$D$6),IFERROR(--SUBSTITUTE(SUBSTITUTE(TRIM(INDEX($A:$U,ROW(),$D$6)),",",""),"원",""),0))))</f>
        <v/>
      </c>
      <c r="AA461" s="31">
        <f>IF($Y461="","",TRIM(INDEX($A:$U,ROW(),$E$6)&amp;IF($F$6="",""," "&amp;INDEX($A:$U,ROW(),$F$6))))</f>
        <v/>
      </c>
      <c r="AB461" s="31">
        <f>IF($AA461="","",SUBSTITUTE(SUBSTITUTE(SUBSTITUTE(SUBSTITUTE(SUBSTITUTE(SUBSTITUTE(SUBSTITUTE(SUBSTITUTE(SUBSTITUTE($AA461," ",""),"　",""),"(주)",""),"（주）",""),"㈜",""),"주식회사",""),"(유)",""),"（유）",""),"유한회사",""))</f>
        <v/>
      </c>
      <c r="AC461" s="31">
        <f>IF(OR($Y461="",N($Z461)&lt;=0,$AB461=""),0,IFERROR(LOOKUP(2,1/((거래처별!$AC$8:$AC$307&lt;&gt;"")*ISNUMBER(SEARCH(거래처별!$AC$8:$AC$307,$AB461))),거래처별!$A$8:$A$307),IFERROR(LOOKUP(2,1/((거래처별!$AD$8:$AD$307&lt;&gt;"")*ISNUMBER(SEARCH(거래처별!$AD$8:$AD$307,$AB461))),거래처별!$A$8:$A$307),IFERROR(LOOKUP(2,1/((거래처별!$AE$8:$AE$307&lt;&gt;"")*ISNUMBER(SEARCH(거래처별!$AE$8:$AE$307,$AB461))),거래처별!$A$8:$A$307),0))))</f>
        <v/>
      </c>
      <c r="AD461" s="31">
        <f>IF(AND($Y461&lt;&gt;"",N($Z461)&gt;0,$AC461=0),MAX($AD$7:$AD460)+1,"")</f>
        <v/>
      </c>
      <c r="AE461" s="31">
        <f>IF($Y461="",0,$Y461)</f>
        <v/>
      </c>
    </row>
    <row r="462">
      <c r="W462" s="31">
        <f>IF(OR($B$5="",$C$6="",ROW()&lt;$B$5),"",IF(INDEX($A:$U,ROW(),$C$6)="","",INDEX($A:$U,ROW(),$C$6)))</f>
        <v/>
      </c>
      <c r="X462" s="32">
        <f>IF($W462="","",IF(ISNUMBER($W462),IF($W462&gt;=10000000,IFERROR(DATE(INT($W462/10000),MOD(INT($W462/100),100),MOD($W462,100)),""),INT($W462)),IFERROR(DATE(--LEFT(LEFT(SUBSTITUTE(SUBSTITUTE(SUBSTITUTE(SUBSTITUTE(TRIM($W462),"-",""),".",""),"/","")," ",""),8),4),--MID(LEFT(SUBSTITUTE(SUBSTITUTE(SUBSTITUTE(SUBSTITUTE(TRIM($W462),"-",""),".",""),"/","")," ",""),8),5,2),--MID(LEFT(SUBSTITUTE(SUBSTITUTE(SUBSTITUTE(SUBSTITUTE(TRIM($W462),"-",""),".",""),"/","")," ",""),8),7,2)),"")))</f>
        <v/>
      </c>
      <c r="Y462" s="32">
        <f>IF($X462="","",INT($X462))</f>
        <v/>
      </c>
      <c r="Z462" s="33">
        <f>IF(OR($Y462="",$D$6=""),"",IF(INDEX($A:$U,ROW(),$D$6)="",0,IF(ISNUMBER(INDEX($A:$U,ROW(),$D$6)),INDEX($A:$U,ROW(),$D$6),IFERROR(--SUBSTITUTE(SUBSTITUTE(TRIM(INDEX($A:$U,ROW(),$D$6)),",",""),"원",""),0))))</f>
        <v/>
      </c>
      <c r="AA462" s="31">
        <f>IF($Y462="","",TRIM(INDEX($A:$U,ROW(),$E$6)&amp;IF($F$6="",""," "&amp;INDEX($A:$U,ROW(),$F$6))))</f>
        <v/>
      </c>
      <c r="AB462" s="31">
        <f>IF($AA462="","",SUBSTITUTE(SUBSTITUTE(SUBSTITUTE(SUBSTITUTE(SUBSTITUTE(SUBSTITUTE(SUBSTITUTE(SUBSTITUTE(SUBSTITUTE($AA462," ",""),"　",""),"(주)",""),"（주）",""),"㈜",""),"주식회사",""),"(유)",""),"（유）",""),"유한회사",""))</f>
        <v/>
      </c>
      <c r="AC462" s="31">
        <f>IF(OR($Y462="",N($Z462)&lt;=0,$AB462=""),0,IFERROR(LOOKUP(2,1/((거래처별!$AC$8:$AC$307&lt;&gt;"")*ISNUMBER(SEARCH(거래처별!$AC$8:$AC$307,$AB462))),거래처별!$A$8:$A$307),IFERROR(LOOKUP(2,1/((거래처별!$AD$8:$AD$307&lt;&gt;"")*ISNUMBER(SEARCH(거래처별!$AD$8:$AD$307,$AB462))),거래처별!$A$8:$A$307),IFERROR(LOOKUP(2,1/((거래처별!$AE$8:$AE$307&lt;&gt;"")*ISNUMBER(SEARCH(거래처별!$AE$8:$AE$307,$AB462))),거래처별!$A$8:$A$307),0))))</f>
        <v/>
      </c>
      <c r="AD462" s="31">
        <f>IF(AND($Y462&lt;&gt;"",N($Z462)&gt;0,$AC462=0),MAX($AD$7:$AD461)+1,"")</f>
        <v/>
      </c>
      <c r="AE462" s="31">
        <f>IF($Y462="",0,$Y462)</f>
        <v/>
      </c>
    </row>
    <row r="463">
      <c r="W463" s="31">
        <f>IF(OR($B$5="",$C$6="",ROW()&lt;$B$5),"",IF(INDEX($A:$U,ROW(),$C$6)="","",INDEX($A:$U,ROW(),$C$6)))</f>
        <v/>
      </c>
      <c r="X463" s="32">
        <f>IF($W463="","",IF(ISNUMBER($W463),IF($W463&gt;=10000000,IFERROR(DATE(INT($W463/10000),MOD(INT($W463/100),100),MOD($W463,100)),""),INT($W463)),IFERROR(DATE(--LEFT(LEFT(SUBSTITUTE(SUBSTITUTE(SUBSTITUTE(SUBSTITUTE(TRIM($W463),"-",""),".",""),"/","")," ",""),8),4),--MID(LEFT(SUBSTITUTE(SUBSTITUTE(SUBSTITUTE(SUBSTITUTE(TRIM($W463),"-",""),".",""),"/","")," ",""),8),5,2),--MID(LEFT(SUBSTITUTE(SUBSTITUTE(SUBSTITUTE(SUBSTITUTE(TRIM($W463),"-",""),".",""),"/","")," ",""),8),7,2)),"")))</f>
        <v/>
      </c>
      <c r="Y463" s="32">
        <f>IF($X463="","",INT($X463))</f>
        <v/>
      </c>
      <c r="Z463" s="33">
        <f>IF(OR($Y463="",$D$6=""),"",IF(INDEX($A:$U,ROW(),$D$6)="",0,IF(ISNUMBER(INDEX($A:$U,ROW(),$D$6)),INDEX($A:$U,ROW(),$D$6),IFERROR(--SUBSTITUTE(SUBSTITUTE(TRIM(INDEX($A:$U,ROW(),$D$6)),",",""),"원",""),0))))</f>
        <v/>
      </c>
      <c r="AA463" s="31">
        <f>IF($Y463="","",TRIM(INDEX($A:$U,ROW(),$E$6)&amp;IF($F$6="",""," "&amp;INDEX($A:$U,ROW(),$F$6))))</f>
        <v/>
      </c>
      <c r="AB463" s="31">
        <f>IF($AA463="","",SUBSTITUTE(SUBSTITUTE(SUBSTITUTE(SUBSTITUTE(SUBSTITUTE(SUBSTITUTE(SUBSTITUTE(SUBSTITUTE(SUBSTITUTE($AA463," ",""),"　",""),"(주)",""),"（주）",""),"㈜",""),"주식회사",""),"(유)",""),"（유）",""),"유한회사",""))</f>
        <v/>
      </c>
      <c r="AC463" s="31">
        <f>IF(OR($Y463="",N($Z463)&lt;=0,$AB463=""),0,IFERROR(LOOKUP(2,1/((거래처별!$AC$8:$AC$307&lt;&gt;"")*ISNUMBER(SEARCH(거래처별!$AC$8:$AC$307,$AB463))),거래처별!$A$8:$A$307),IFERROR(LOOKUP(2,1/((거래처별!$AD$8:$AD$307&lt;&gt;"")*ISNUMBER(SEARCH(거래처별!$AD$8:$AD$307,$AB463))),거래처별!$A$8:$A$307),IFERROR(LOOKUP(2,1/((거래처별!$AE$8:$AE$307&lt;&gt;"")*ISNUMBER(SEARCH(거래처별!$AE$8:$AE$307,$AB463))),거래처별!$A$8:$A$307),0))))</f>
        <v/>
      </c>
      <c r="AD463" s="31">
        <f>IF(AND($Y463&lt;&gt;"",N($Z463)&gt;0,$AC463=0),MAX($AD$7:$AD462)+1,"")</f>
        <v/>
      </c>
      <c r="AE463" s="31">
        <f>IF($Y463="",0,$Y463)</f>
        <v/>
      </c>
    </row>
    <row r="464">
      <c r="W464" s="31">
        <f>IF(OR($B$5="",$C$6="",ROW()&lt;$B$5),"",IF(INDEX($A:$U,ROW(),$C$6)="","",INDEX($A:$U,ROW(),$C$6)))</f>
        <v/>
      </c>
      <c r="X464" s="32">
        <f>IF($W464="","",IF(ISNUMBER($W464),IF($W464&gt;=10000000,IFERROR(DATE(INT($W464/10000),MOD(INT($W464/100),100),MOD($W464,100)),""),INT($W464)),IFERROR(DATE(--LEFT(LEFT(SUBSTITUTE(SUBSTITUTE(SUBSTITUTE(SUBSTITUTE(TRIM($W464),"-",""),".",""),"/","")," ",""),8),4),--MID(LEFT(SUBSTITUTE(SUBSTITUTE(SUBSTITUTE(SUBSTITUTE(TRIM($W464),"-",""),".",""),"/","")," ",""),8),5,2),--MID(LEFT(SUBSTITUTE(SUBSTITUTE(SUBSTITUTE(SUBSTITUTE(TRIM($W464),"-",""),".",""),"/","")," ",""),8),7,2)),"")))</f>
        <v/>
      </c>
      <c r="Y464" s="32">
        <f>IF($X464="","",INT($X464))</f>
        <v/>
      </c>
      <c r="Z464" s="33">
        <f>IF(OR($Y464="",$D$6=""),"",IF(INDEX($A:$U,ROW(),$D$6)="",0,IF(ISNUMBER(INDEX($A:$U,ROW(),$D$6)),INDEX($A:$U,ROW(),$D$6),IFERROR(--SUBSTITUTE(SUBSTITUTE(TRIM(INDEX($A:$U,ROW(),$D$6)),",",""),"원",""),0))))</f>
        <v/>
      </c>
      <c r="AA464" s="31">
        <f>IF($Y464="","",TRIM(INDEX($A:$U,ROW(),$E$6)&amp;IF($F$6="",""," "&amp;INDEX($A:$U,ROW(),$F$6))))</f>
        <v/>
      </c>
      <c r="AB464" s="31">
        <f>IF($AA464="","",SUBSTITUTE(SUBSTITUTE(SUBSTITUTE(SUBSTITUTE(SUBSTITUTE(SUBSTITUTE(SUBSTITUTE(SUBSTITUTE(SUBSTITUTE($AA464," ",""),"　",""),"(주)",""),"（주）",""),"㈜",""),"주식회사",""),"(유)",""),"（유）",""),"유한회사",""))</f>
        <v/>
      </c>
      <c r="AC464" s="31">
        <f>IF(OR($Y464="",N($Z464)&lt;=0,$AB464=""),0,IFERROR(LOOKUP(2,1/((거래처별!$AC$8:$AC$307&lt;&gt;"")*ISNUMBER(SEARCH(거래처별!$AC$8:$AC$307,$AB464))),거래처별!$A$8:$A$307),IFERROR(LOOKUP(2,1/((거래처별!$AD$8:$AD$307&lt;&gt;"")*ISNUMBER(SEARCH(거래처별!$AD$8:$AD$307,$AB464))),거래처별!$A$8:$A$307),IFERROR(LOOKUP(2,1/((거래처별!$AE$8:$AE$307&lt;&gt;"")*ISNUMBER(SEARCH(거래처별!$AE$8:$AE$307,$AB464))),거래처별!$A$8:$A$307),0))))</f>
        <v/>
      </c>
      <c r="AD464" s="31">
        <f>IF(AND($Y464&lt;&gt;"",N($Z464)&gt;0,$AC464=0),MAX($AD$7:$AD463)+1,"")</f>
        <v/>
      </c>
      <c r="AE464" s="31">
        <f>IF($Y464="",0,$Y464)</f>
        <v/>
      </c>
    </row>
    <row r="465">
      <c r="W465" s="31">
        <f>IF(OR($B$5="",$C$6="",ROW()&lt;$B$5),"",IF(INDEX($A:$U,ROW(),$C$6)="","",INDEX($A:$U,ROW(),$C$6)))</f>
        <v/>
      </c>
      <c r="X465" s="32">
        <f>IF($W465="","",IF(ISNUMBER($W465),IF($W465&gt;=10000000,IFERROR(DATE(INT($W465/10000),MOD(INT($W465/100),100),MOD($W465,100)),""),INT($W465)),IFERROR(DATE(--LEFT(LEFT(SUBSTITUTE(SUBSTITUTE(SUBSTITUTE(SUBSTITUTE(TRIM($W465),"-",""),".",""),"/","")," ",""),8),4),--MID(LEFT(SUBSTITUTE(SUBSTITUTE(SUBSTITUTE(SUBSTITUTE(TRIM($W465),"-",""),".",""),"/","")," ",""),8),5,2),--MID(LEFT(SUBSTITUTE(SUBSTITUTE(SUBSTITUTE(SUBSTITUTE(TRIM($W465),"-",""),".",""),"/","")," ",""),8),7,2)),"")))</f>
        <v/>
      </c>
      <c r="Y465" s="32">
        <f>IF($X465="","",INT($X465))</f>
        <v/>
      </c>
      <c r="Z465" s="33">
        <f>IF(OR($Y465="",$D$6=""),"",IF(INDEX($A:$U,ROW(),$D$6)="",0,IF(ISNUMBER(INDEX($A:$U,ROW(),$D$6)),INDEX($A:$U,ROW(),$D$6),IFERROR(--SUBSTITUTE(SUBSTITUTE(TRIM(INDEX($A:$U,ROW(),$D$6)),",",""),"원",""),0))))</f>
        <v/>
      </c>
      <c r="AA465" s="31">
        <f>IF($Y465="","",TRIM(INDEX($A:$U,ROW(),$E$6)&amp;IF($F$6="",""," "&amp;INDEX($A:$U,ROW(),$F$6))))</f>
        <v/>
      </c>
      <c r="AB465" s="31">
        <f>IF($AA465="","",SUBSTITUTE(SUBSTITUTE(SUBSTITUTE(SUBSTITUTE(SUBSTITUTE(SUBSTITUTE(SUBSTITUTE(SUBSTITUTE(SUBSTITUTE($AA465," ",""),"　",""),"(주)",""),"（주）",""),"㈜",""),"주식회사",""),"(유)",""),"（유）",""),"유한회사",""))</f>
        <v/>
      </c>
      <c r="AC465" s="31">
        <f>IF(OR($Y465="",N($Z465)&lt;=0,$AB465=""),0,IFERROR(LOOKUP(2,1/((거래처별!$AC$8:$AC$307&lt;&gt;"")*ISNUMBER(SEARCH(거래처별!$AC$8:$AC$307,$AB465))),거래처별!$A$8:$A$307),IFERROR(LOOKUP(2,1/((거래처별!$AD$8:$AD$307&lt;&gt;"")*ISNUMBER(SEARCH(거래처별!$AD$8:$AD$307,$AB465))),거래처별!$A$8:$A$307),IFERROR(LOOKUP(2,1/((거래처별!$AE$8:$AE$307&lt;&gt;"")*ISNUMBER(SEARCH(거래처별!$AE$8:$AE$307,$AB465))),거래처별!$A$8:$A$307),0))))</f>
        <v/>
      </c>
      <c r="AD465" s="31">
        <f>IF(AND($Y465&lt;&gt;"",N($Z465)&gt;0,$AC465=0),MAX($AD$7:$AD464)+1,"")</f>
        <v/>
      </c>
      <c r="AE465" s="31">
        <f>IF($Y465="",0,$Y465)</f>
        <v/>
      </c>
    </row>
    <row r="466">
      <c r="W466" s="31">
        <f>IF(OR($B$5="",$C$6="",ROW()&lt;$B$5),"",IF(INDEX($A:$U,ROW(),$C$6)="","",INDEX($A:$U,ROW(),$C$6)))</f>
        <v/>
      </c>
      <c r="X466" s="32">
        <f>IF($W466="","",IF(ISNUMBER($W466),IF($W466&gt;=10000000,IFERROR(DATE(INT($W466/10000),MOD(INT($W466/100),100),MOD($W466,100)),""),INT($W466)),IFERROR(DATE(--LEFT(LEFT(SUBSTITUTE(SUBSTITUTE(SUBSTITUTE(SUBSTITUTE(TRIM($W466),"-",""),".",""),"/","")," ",""),8),4),--MID(LEFT(SUBSTITUTE(SUBSTITUTE(SUBSTITUTE(SUBSTITUTE(TRIM($W466),"-",""),".",""),"/","")," ",""),8),5,2),--MID(LEFT(SUBSTITUTE(SUBSTITUTE(SUBSTITUTE(SUBSTITUTE(TRIM($W466),"-",""),".",""),"/","")," ",""),8),7,2)),"")))</f>
        <v/>
      </c>
      <c r="Y466" s="32">
        <f>IF($X466="","",INT($X466))</f>
        <v/>
      </c>
      <c r="Z466" s="33">
        <f>IF(OR($Y466="",$D$6=""),"",IF(INDEX($A:$U,ROW(),$D$6)="",0,IF(ISNUMBER(INDEX($A:$U,ROW(),$D$6)),INDEX($A:$U,ROW(),$D$6),IFERROR(--SUBSTITUTE(SUBSTITUTE(TRIM(INDEX($A:$U,ROW(),$D$6)),",",""),"원",""),0))))</f>
        <v/>
      </c>
      <c r="AA466" s="31">
        <f>IF($Y466="","",TRIM(INDEX($A:$U,ROW(),$E$6)&amp;IF($F$6="",""," "&amp;INDEX($A:$U,ROW(),$F$6))))</f>
        <v/>
      </c>
      <c r="AB466" s="31">
        <f>IF($AA466="","",SUBSTITUTE(SUBSTITUTE(SUBSTITUTE(SUBSTITUTE(SUBSTITUTE(SUBSTITUTE(SUBSTITUTE(SUBSTITUTE(SUBSTITUTE($AA466," ",""),"　",""),"(주)",""),"（주）",""),"㈜",""),"주식회사",""),"(유)",""),"（유）",""),"유한회사",""))</f>
        <v/>
      </c>
      <c r="AC466" s="31">
        <f>IF(OR($Y466="",N($Z466)&lt;=0,$AB466=""),0,IFERROR(LOOKUP(2,1/((거래처별!$AC$8:$AC$307&lt;&gt;"")*ISNUMBER(SEARCH(거래처별!$AC$8:$AC$307,$AB466))),거래처별!$A$8:$A$307),IFERROR(LOOKUP(2,1/((거래처별!$AD$8:$AD$307&lt;&gt;"")*ISNUMBER(SEARCH(거래처별!$AD$8:$AD$307,$AB466))),거래처별!$A$8:$A$307),IFERROR(LOOKUP(2,1/((거래처별!$AE$8:$AE$307&lt;&gt;"")*ISNUMBER(SEARCH(거래처별!$AE$8:$AE$307,$AB466))),거래처별!$A$8:$A$307),0))))</f>
        <v/>
      </c>
      <c r="AD466" s="31">
        <f>IF(AND($Y466&lt;&gt;"",N($Z466)&gt;0,$AC466=0),MAX($AD$7:$AD465)+1,"")</f>
        <v/>
      </c>
      <c r="AE466" s="31">
        <f>IF($Y466="",0,$Y466)</f>
        <v/>
      </c>
    </row>
    <row r="467">
      <c r="W467" s="31">
        <f>IF(OR($B$5="",$C$6="",ROW()&lt;$B$5),"",IF(INDEX($A:$U,ROW(),$C$6)="","",INDEX($A:$U,ROW(),$C$6)))</f>
        <v/>
      </c>
      <c r="X467" s="32">
        <f>IF($W467="","",IF(ISNUMBER($W467),IF($W467&gt;=10000000,IFERROR(DATE(INT($W467/10000),MOD(INT($W467/100),100),MOD($W467,100)),""),INT($W467)),IFERROR(DATE(--LEFT(LEFT(SUBSTITUTE(SUBSTITUTE(SUBSTITUTE(SUBSTITUTE(TRIM($W467),"-",""),".",""),"/","")," ",""),8),4),--MID(LEFT(SUBSTITUTE(SUBSTITUTE(SUBSTITUTE(SUBSTITUTE(TRIM($W467),"-",""),".",""),"/","")," ",""),8),5,2),--MID(LEFT(SUBSTITUTE(SUBSTITUTE(SUBSTITUTE(SUBSTITUTE(TRIM($W467),"-",""),".",""),"/","")," ",""),8),7,2)),"")))</f>
        <v/>
      </c>
      <c r="Y467" s="32">
        <f>IF($X467="","",INT($X467))</f>
        <v/>
      </c>
      <c r="Z467" s="33">
        <f>IF(OR($Y467="",$D$6=""),"",IF(INDEX($A:$U,ROW(),$D$6)="",0,IF(ISNUMBER(INDEX($A:$U,ROW(),$D$6)),INDEX($A:$U,ROW(),$D$6),IFERROR(--SUBSTITUTE(SUBSTITUTE(TRIM(INDEX($A:$U,ROW(),$D$6)),",",""),"원",""),0))))</f>
        <v/>
      </c>
      <c r="AA467" s="31">
        <f>IF($Y467="","",TRIM(INDEX($A:$U,ROW(),$E$6)&amp;IF($F$6="",""," "&amp;INDEX($A:$U,ROW(),$F$6))))</f>
        <v/>
      </c>
      <c r="AB467" s="31">
        <f>IF($AA467="","",SUBSTITUTE(SUBSTITUTE(SUBSTITUTE(SUBSTITUTE(SUBSTITUTE(SUBSTITUTE(SUBSTITUTE(SUBSTITUTE(SUBSTITUTE($AA467," ",""),"　",""),"(주)",""),"（주）",""),"㈜",""),"주식회사",""),"(유)",""),"（유）",""),"유한회사",""))</f>
        <v/>
      </c>
      <c r="AC467" s="31">
        <f>IF(OR($Y467="",N($Z467)&lt;=0,$AB467=""),0,IFERROR(LOOKUP(2,1/((거래처별!$AC$8:$AC$307&lt;&gt;"")*ISNUMBER(SEARCH(거래처별!$AC$8:$AC$307,$AB467))),거래처별!$A$8:$A$307),IFERROR(LOOKUP(2,1/((거래처별!$AD$8:$AD$307&lt;&gt;"")*ISNUMBER(SEARCH(거래처별!$AD$8:$AD$307,$AB467))),거래처별!$A$8:$A$307),IFERROR(LOOKUP(2,1/((거래처별!$AE$8:$AE$307&lt;&gt;"")*ISNUMBER(SEARCH(거래처별!$AE$8:$AE$307,$AB467))),거래처별!$A$8:$A$307),0))))</f>
        <v/>
      </c>
      <c r="AD467" s="31">
        <f>IF(AND($Y467&lt;&gt;"",N($Z467)&gt;0,$AC467=0),MAX($AD$7:$AD466)+1,"")</f>
        <v/>
      </c>
      <c r="AE467" s="31">
        <f>IF($Y467="",0,$Y467)</f>
        <v/>
      </c>
    </row>
    <row r="468">
      <c r="W468" s="31">
        <f>IF(OR($B$5="",$C$6="",ROW()&lt;$B$5),"",IF(INDEX($A:$U,ROW(),$C$6)="","",INDEX($A:$U,ROW(),$C$6)))</f>
        <v/>
      </c>
      <c r="X468" s="32">
        <f>IF($W468="","",IF(ISNUMBER($W468),IF($W468&gt;=10000000,IFERROR(DATE(INT($W468/10000),MOD(INT($W468/100),100),MOD($W468,100)),""),INT($W468)),IFERROR(DATE(--LEFT(LEFT(SUBSTITUTE(SUBSTITUTE(SUBSTITUTE(SUBSTITUTE(TRIM($W468),"-",""),".",""),"/","")," ",""),8),4),--MID(LEFT(SUBSTITUTE(SUBSTITUTE(SUBSTITUTE(SUBSTITUTE(TRIM($W468),"-",""),".",""),"/","")," ",""),8),5,2),--MID(LEFT(SUBSTITUTE(SUBSTITUTE(SUBSTITUTE(SUBSTITUTE(TRIM($W468),"-",""),".",""),"/","")," ",""),8),7,2)),"")))</f>
        <v/>
      </c>
      <c r="Y468" s="32">
        <f>IF($X468="","",INT($X468))</f>
        <v/>
      </c>
      <c r="Z468" s="33">
        <f>IF(OR($Y468="",$D$6=""),"",IF(INDEX($A:$U,ROW(),$D$6)="",0,IF(ISNUMBER(INDEX($A:$U,ROW(),$D$6)),INDEX($A:$U,ROW(),$D$6),IFERROR(--SUBSTITUTE(SUBSTITUTE(TRIM(INDEX($A:$U,ROW(),$D$6)),",",""),"원",""),0))))</f>
        <v/>
      </c>
      <c r="AA468" s="31">
        <f>IF($Y468="","",TRIM(INDEX($A:$U,ROW(),$E$6)&amp;IF($F$6="",""," "&amp;INDEX($A:$U,ROW(),$F$6))))</f>
        <v/>
      </c>
      <c r="AB468" s="31">
        <f>IF($AA468="","",SUBSTITUTE(SUBSTITUTE(SUBSTITUTE(SUBSTITUTE(SUBSTITUTE(SUBSTITUTE(SUBSTITUTE(SUBSTITUTE(SUBSTITUTE($AA468," ",""),"　",""),"(주)",""),"（주）",""),"㈜",""),"주식회사",""),"(유)",""),"（유）",""),"유한회사",""))</f>
        <v/>
      </c>
      <c r="AC468" s="31">
        <f>IF(OR($Y468="",N($Z468)&lt;=0,$AB468=""),0,IFERROR(LOOKUP(2,1/((거래처별!$AC$8:$AC$307&lt;&gt;"")*ISNUMBER(SEARCH(거래처별!$AC$8:$AC$307,$AB468))),거래처별!$A$8:$A$307),IFERROR(LOOKUP(2,1/((거래처별!$AD$8:$AD$307&lt;&gt;"")*ISNUMBER(SEARCH(거래처별!$AD$8:$AD$307,$AB468))),거래처별!$A$8:$A$307),IFERROR(LOOKUP(2,1/((거래처별!$AE$8:$AE$307&lt;&gt;"")*ISNUMBER(SEARCH(거래처별!$AE$8:$AE$307,$AB468))),거래처별!$A$8:$A$307),0))))</f>
        <v/>
      </c>
      <c r="AD468" s="31">
        <f>IF(AND($Y468&lt;&gt;"",N($Z468)&gt;0,$AC468=0),MAX($AD$7:$AD467)+1,"")</f>
        <v/>
      </c>
      <c r="AE468" s="31">
        <f>IF($Y468="",0,$Y468)</f>
        <v/>
      </c>
    </row>
    <row r="469">
      <c r="W469" s="31">
        <f>IF(OR($B$5="",$C$6="",ROW()&lt;$B$5),"",IF(INDEX($A:$U,ROW(),$C$6)="","",INDEX($A:$U,ROW(),$C$6)))</f>
        <v/>
      </c>
      <c r="X469" s="32">
        <f>IF($W469="","",IF(ISNUMBER($W469),IF($W469&gt;=10000000,IFERROR(DATE(INT($W469/10000),MOD(INT($W469/100),100),MOD($W469,100)),""),INT($W469)),IFERROR(DATE(--LEFT(LEFT(SUBSTITUTE(SUBSTITUTE(SUBSTITUTE(SUBSTITUTE(TRIM($W469),"-",""),".",""),"/","")," ",""),8),4),--MID(LEFT(SUBSTITUTE(SUBSTITUTE(SUBSTITUTE(SUBSTITUTE(TRIM($W469),"-",""),".",""),"/","")," ",""),8),5,2),--MID(LEFT(SUBSTITUTE(SUBSTITUTE(SUBSTITUTE(SUBSTITUTE(TRIM($W469),"-",""),".",""),"/","")," ",""),8),7,2)),"")))</f>
        <v/>
      </c>
      <c r="Y469" s="32">
        <f>IF($X469="","",INT($X469))</f>
        <v/>
      </c>
      <c r="Z469" s="33">
        <f>IF(OR($Y469="",$D$6=""),"",IF(INDEX($A:$U,ROW(),$D$6)="",0,IF(ISNUMBER(INDEX($A:$U,ROW(),$D$6)),INDEX($A:$U,ROW(),$D$6),IFERROR(--SUBSTITUTE(SUBSTITUTE(TRIM(INDEX($A:$U,ROW(),$D$6)),",",""),"원",""),0))))</f>
        <v/>
      </c>
      <c r="AA469" s="31">
        <f>IF($Y469="","",TRIM(INDEX($A:$U,ROW(),$E$6)&amp;IF($F$6="",""," "&amp;INDEX($A:$U,ROW(),$F$6))))</f>
        <v/>
      </c>
      <c r="AB469" s="31">
        <f>IF($AA469="","",SUBSTITUTE(SUBSTITUTE(SUBSTITUTE(SUBSTITUTE(SUBSTITUTE(SUBSTITUTE(SUBSTITUTE(SUBSTITUTE(SUBSTITUTE($AA469," ",""),"　",""),"(주)",""),"（주）",""),"㈜",""),"주식회사",""),"(유)",""),"（유）",""),"유한회사",""))</f>
        <v/>
      </c>
      <c r="AC469" s="31">
        <f>IF(OR($Y469="",N($Z469)&lt;=0,$AB469=""),0,IFERROR(LOOKUP(2,1/((거래처별!$AC$8:$AC$307&lt;&gt;"")*ISNUMBER(SEARCH(거래처별!$AC$8:$AC$307,$AB469))),거래처별!$A$8:$A$307),IFERROR(LOOKUP(2,1/((거래처별!$AD$8:$AD$307&lt;&gt;"")*ISNUMBER(SEARCH(거래처별!$AD$8:$AD$307,$AB469))),거래처별!$A$8:$A$307),IFERROR(LOOKUP(2,1/((거래처별!$AE$8:$AE$307&lt;&gt;"")*ISNUMBER(SEARCH(거래처별!$AE$8:$AE$307,$AB469))),거래처별!$A$8:$A$307),0))))</f>
        <v/>
      </c>
      <c r="AD469" s="31">
        <f>IF(AND($Y469&lt;&gt;"",N($Z469)&gt;0,$AC469=0),MAX($AD$7:$AD468)+1,"")</f>
        <v/>
      </c>
      <c r="AE469" s="31">
        <f>IF($Y469="",0,$Y469)</f>
        <v/>
      </c>
    </row>
    <row r="470">
      <c r="W470" s="31">
        <f>IF(OR($B$5="",$C$6="",ROW()&lt;$B$5),"",IF(INDEX($A:$U,ROW(),$C$6)="","",INDEX($A:$U,ROW(),$C$6)))</f>
        <v/>
      </c>
      <c r="X470" s="32">
        <f>IF($W470="","",IF(ISNUMBER($W470),IF($W470&gt;=10000000,IFERROR(DATE(INT($W470/10000),MOD(INT($W470/100),100),MOD($W470,100)),""),INT($W470)),IFERROR(DATE(--LEFT(LEFT(SUBSTITUTE(SUBSTITUTE(SUBSTITUTE(SUBSTITUTE(TRIM($W470),"-",""),".",""),"/","")," ",""),8),4),--MID(LEFT(SUBSTITUTE(SUBSTITUTE(SUBSTITUTE(SUBSTITUTE(TRIM($W470),"-",""),".",""),"/","")," ",""),8),5,2),--MID(LEFT(SUBSTITUTE(SUBSTITUTE(SUBSTITUTE(SUBSTITUTE(TRIM($W470),"-",""),".",""),"/","")," ",""),8),7,2)),"")))</f>
        <v/>
      </c>
      <c r="Y470" s="32">
        <f>IF($X470="","",INT($X470))</f>
        <v/>
      </c>
      <c r="Z470" s="33">
        <f>IF(OR($Y470="",$D$6=""),"",IF(INDEX($A:$U,ROW(),$D$6)="",0,IF(ISNUMBER(INDEX($A:$U,ROW(),$D$6)),INDEX($A:$U,ROW(),$D$6),IFERROR(--SUBSTITUTE(SUBSTITUTE(TRIM(INDEX($A:$U,ROW(),$D$6)),",",""),"원",""),0))))</f>
        <v/>
      </c>
      <c r="AA470" s="31">
        <f>IF($Y470="","",TRIM(INDEX($A:$U,ROW(),$E$6)&amp;IF($F$6="",""," "&amp;INDEX($A:$U,ROW(),$F$6))))</f>
        <v/>
      </c>
      <c r="AB470" s="31">
        <f>IF($AA470="","",SUBSTITUTE(SUBSTITUTE(SUBSTITUTE(SUBSTITUTE(SUBSTITUTE(SUBSTITUTE(SUBSTITUTE(SUBSTITUTE(SUBSTITUTE($AA470," ",""),"　",""),"(주)",""),"（주）",""),"㈜",""),"주식회사",""),"(유)",""),"（유）",""),"유한회사",""))</f>
        <v/>
      </c>
      <c r="AC470" s="31">
        <f>IF(OR($Y470="",N($Z470)&lt;=0,$AB470=""),0,IFERROR(LOOKUP(2,1/((거래처별!$AC$8:$AC$307&lt;&gt;"")*ISNUMBER(SEARCH(거래처별!$AC$8:$AC$307,$AB470))),거래처별!$A$8:$A$307),IFERROR(LOOKUP(2,1/((거래처별!$AD$8:$AD$307&lt;&gt;"")*ISNUMBER(SEARCH(거래처별!$AD$8:$AD$307,$AB470))),거래처별!$A$8:$A$307),IFERROR(LOOKUP(2,1/((거래처별!$AE$8:$AE$307&lt;&gt;"")*ISNUMBER(SEARCH(거래처별!$AE$8:$AE$307,$AB470))),거래처별!$A$8:$A$307),0))))</f>
        <v/>
      </c>
      <c r="AD470" s="31">
        <f>IF(AND($Y470&lt;&gt;"",N($Z470)&gt;0,$AC470=0),MAX($AD$7:$AD469)+1,"")</f>
        <v/>
      </c>
      <c r="AE470" s="31">
        <f>IF($Y470="",0,$Y470)</f>
        <v/>
      </c>
    </row>
    <row r="471">
      <c r="W471" s="31">
        <f>IF(OR($B$5="",$C$6="",ROW()&lt;$B$5),"",IF(INDEX($A:$U,ROW(),$C$6)="","",INDEX($A:$U,ROW(),$C$6)))</f>
        <v/>
      </c>
      <c r="X471" s="32">
        <f>IF($W471="","",IF(ISNUMBER($W471),IF($W471&gt;=10000000,IFERROR(DATE(INT($W471/10000),MOD(INT($W471/100),100),MOD($W471,100)),""),INT($W471)),IFERROR(DATE(--LEFT(LEFT(SUBSTITUTE(SUBSTITUTE(SUBSTITUTE(SUBSTITUTE(TRIM($W471),"-",""),".",""),"/","")," ",""),8),4),--MID(LEFT(SUBSTITUTE(SUBSTITUTE(SUBSTITUTE(SUBSTITUTE(TRIM($W471),"-",""),".",""),"/","")," ",""),8),5,2),--MID(LEFT(SUBSTITUTE(SUBSTITUTE(SUBSTITUTE(SUBSTITUTE(TRIM($W471),"-",""),".",""),"/","")," ",""),8),7,2)),"")))</f>
        <v/>
      </c>
      <c r="Y471" s="32">
        <f>IF($X471="","",INT($X471))</f>
        <v/>
      </c>
      <c r="Z471" s="33">
        <f>IF(OR($Y471="",$D$6=""),"",IF(INDEX($A:$U,ROW(),$D$6)="",0,IF(ISNUMBER(INDEX($A:$U,ROW(),$D$6)),INDEX($A:$U,ROW(),$D$6),IFERROR(--SUBSTITUTE(SUBSTITUTE(TRIM(INDEX($A:$U,ROW(),$D$6)),",",""),"원",""),0))))</f>
        <v/>
      </c>
      <c r="AA471" s="31">
        <f>IF($Y471="","",TRIM(INDEX($A:$U,ROW(),$E$6)&amp;IF($F$6="",""," "&amp;INDEX($A:$U,ROW(),$F$6))))</f>
        <v/>
      </c>
      <c r="AB471" s="31">
        <f>IF($AA471="","",SUBSTITUTE(SUBSTITUTE(SUBSTITUTE(SUBSTITUTE(SUBSTITUTE(SUBSTITUTE(SUBSTITUTE(SUBSTITUTE(SUBSTITUTE($AA471," ",""),"　",""),"(주)",""),"（주）",""),"㈜",""),"주식회사",""),"(유)",""),"（유）",""),"유한회사",""))</f>
        <v/>
      </c>
      <c r="AC471" s="31">
        <f>IF(OR($Y471="",N($Z471)&lt;=0,$AB471=""),0,IFERROR(LOOKUP(2,1/((거래처별!$AC$8:$AC$307&lt;&gt;"")*ISNUMBER(SEARCH(거래처별!$AC$8:$AC$307,$AB471))),거래처별!$A$8:$A$307),IFERROR(LOOKUP(2,1/((거래처별!$AD$8:$AD$307&lt;&gt;"")*ISNUMBER(SEARCH(거래처별!$AD$8:$AD$307,$AB471))),거래처별!$A$8:$A$307),IFERROR(LOOKUP(2,1/((거래처별!$AE$8:$AE$307&lt;&gt;"")*ISNUMBER(SEARCH(거래처별!$AE$8:$AE$307,$AB471))),거래처별!$A$8:$A$307),0))))</f>
        <v/>
      </c>
      <c r="AD471" s="31">
        <f>IF(AND($Y471&lt;&gt;"",N($Z471)&gt;0,$AC471=0),MAX($AD$7:$AD470)+1,"")</f>
        <v/>
      </c>
      <c r="AE471" s="31">
        <f>IF($Y471="",0,$Y471)</f>
        <v/>
      </c>
    </row>
    <row r="472">
      <c r="W472" s="31">
        <f>IF(OR($B$5="",$C$6="",ROW()&lt;$B$5),"",IF(INDEX($A:$U,ROW(),$C$6)="","",INDEX($A:$U,ROW(),$C$6)))</f>
        <v/>
      </c>
      <c r="X472" s="32">
        <f>IF($W472="","",IF(ISNUMBER($W472),IF($W472&gt;=10000000,IFERROR(DATE(INT($W472/10000),MOD(INT($W472/100),100),MOD($W472,100)),""),INT($W472)),IFERROR(DATE(--LEFT(LEFT(SUBSTITUTE(SUBSTITUTE(SUBSTITUTE(SUBSTITUTE(TRIM($W472),"-",""),".",""),"/","")," ",""),8),4),--MID(LEFT(SUBSTITUTE(SUBSTITUTE(SUBSTITUTE(SUBSTITUTE(TRIM($W472),"-",""),".",""),"/","")," ",""),8),5,2),--MID(LEFT(SUBSTITUTE(SUBSTITUTE(SUBSTITUTE(SUBSTITUTE(TRIM($W472),"-",""),".",""),"/","")," ",""),8),7,2)),"")))</f>
        <v/>
      </c>
      <c r="Y472" s="32">
        <f>IF($X472="","",INT($X472))</f>
        <v/>
      </c>
      <c r="Z472" s="33">
        <f>IF(OR($Y472="",$D$6=""),"",IF(INDEX($A:$U,ROW(),$D$6)="",0,IF(ISNUMBER(INDEX($A:$U,ROW(),$D$6)),INDEX($A:$U,ROW(),$D$6),IFERROR(--SUBSTITUTE(SUBSTITUTE(TRIM(INDEX($A:$U,ROW(),$D$6)),",",""),"원",""),0))))</f>
        <v/>
      </c>
      <c r="AA472" s="31">
        <f>IF($Y472="","",TRIM(INDEX($A:$U,ROW(),$E$6)&amp;IF($F$6="",""," "&amp;INDEX($A:$U,ROW(),$F$6))))</f>
        <v/>
      </c>
      <c r="AB472" s="31">
        <f>IF($AA472="","",SUBSTITUTE(SUBSTITUTE(SUBSTITUTE(SUBSTITUTE(SUBSTITUTE(SUBSTITUTE(SUBSTITUTE(SUBSTITUTE(SUBSTITUTE($AA472," ",""),"　",""),"(주)",""),"（주）",""),"㈜",""),"주식회사",""),"(유)",""),"（유）",""),"유한회사",""))</f>
        <v/>
      </c>
      <c r="AC472" s="31">
        <f>IF(OR($Y472="",N($Z472)&lt;=0,$AB472=""),0,IFERROR(LOOKUP(2,1/((거래처별!$AC$8:$AC$307&lt;&gt;"")*ISNUMBER(SEARCH(거래처별!$AC$8:$AC$307,$AB472))),거래처별!$A$8:$A$307),IFERROR(LOOKUP(2,1/((거래처별!$AD$8:$AD$307&lt;&gt;"")*ISNUMBER(SEARCH(거래처별!$AD$8:$AD$307,$AB472))),거래처별!$A$8:$A$307),IFERROR(LOOKUP(2,1/((거래처별!$AE$8:$AE$307&lt;&gt;"")*ISNUMBER(SEARCH(거래처별!$AE$8:$AE$307,$AB472))),거래처별!$A$8:$A$307),0))))</f>
        <v/>
      </c>
      <c r="AD472" s="31">
        <f>IF(AND($Y472&lt;&gt;"",N($Z472)&gt;0,$AC472=0),MAX($AD$7:$AD471)+1,"")</f>
        <v/>
      </c>
      <c r="AE472" s="31">
        <f>IF($Y472="",0,$Y472)</f>
        <v/>
      </c>
    </row>
    <row r="473">
      <c r="W473" s="31">
        <f>IF(OR($B$5="",$C$6="",ROW()&lt;$B$5),"",IF(INDEX($A:$U,ROW(),$C$6)="","",INDEX($A:$U,ROW(),$C$6)))</f>
        <v/>
      </c>
      <c r="X473" s="32">
        <f>IF($W473="","",IF(ISNUMBER($W473),IF($W473&gt;=10000000,IFERROR(DATE(INT($W473/10000),MOD(INT($W473/100),100),MOD($W473,100)),""),INT($W473)),IFERROR(DATE(--LEFT(LEFT(SUBSTITUTE(SUBSTITUTE(SUBSTITUTE(SUBSTITUTE(TRIM($W473),"-",""),".",""),"/","")," ",""),8),4),--MID(LEFT(SUBSTITUTE(SUBSTITUTE(SUBSTITUTE(SUBSTITUTE(TRIM($W473),"-",""),".",""),"/","")," ",""),8),5,2),--MID(LEFT(SUBSTITUTE(SUBSTITUTE(SUBSTITUTE(SUBSTITUTE(TRIM($W473),"-",""),".",""),"/","")," ",""),8),7,2)),"")))</f>
        <v/>
      </c>
      <c r="Y473" s="32">
        <f>IF($X473="","",INT($X473))</f>
        <v/>
      </c>
      <c r="Z473" s="33">
        <f>IF(OR($Y473="",$D$6=""),"",IF(INDEX($A:$U,ROW(),$D$6)="",0,IF(ISNUMBER(INDEX($A:$U,ROW(),$D$6)),INDEX($A:$U,ROW(),$D$6),IFERROR(--SUBSTITUTE(SUBSTITUTE(TRIM(INDEX($A:$U,ROW(),$D$6)),",",""),"원",""),0))))</f>
        <v/>
      </c>
      <c r="AA473" s="31">
        <f>IF($Y473="","",TRIM(INDEX($A:$U,ROW(),$E$6)&amp;IF($F$6="",""," "&amp;INDEX($A:$U,ROW(),$F$6))))</f>
        <v/>
      </c>
      <c r="AB473" s="31">
        <f>IF($AA473="","",SUBSTITUTE(SUBSTITUTE(SUBSTITUTE(SUBSTITUTE(SUBSTITUTE(SUBSTITUTE(SUBSTITUTE(SUBSTITUTE(SUBSTITUTE($AA473," ",""),"　",""),"(주)",""),"（주）",""),"㈜",""),"주식회사",""),"(유)",""),"（유）",""),"유한회사",""))</f>
        <v/>
      </c>
      <c r="AC473" s="31">
        <f>IF(OR($Y473="",N($Z473)&lt;=0,$AB473=""),0,IFERROR(LOOKUP(2,1/((거래처별!$AC$8:$AC$307&lt;&gt;"")*ISNUMBER(SEARCH(거래처별!$AC$8:$AC$307,$AB473))),거래처별!$A$8:$A$307),IFERROR(LOOKUP(2,1/((거래처별!$AD$8:$AD$307&lt;&gt;"")*ISNUMBER(SEARCH(거래처별!$AD$8:$AD$307,$AB473))),거래처별!$A$8:$A$307),IFERROR(LOOKUP(2,1/((거래처별!$AE$8:$AE$307&lt;&gt;"")*ISNUMBER(SEARCH(거래처별!$AE$8:$AE$307,$AB473))),거래처별!$A$8:$A$307),0))))</f>
        <v/>
      </c>
      <c r="AD473" s="31">
        <f>IF(AND($Y473&lt;&gt;"",N($Z473)&gt;0,$AC473=0),MAX($AD$7:$AD472)+1,"")</f>
        <v/>
      </c>
      <c r="AE473" s="31">
        <f>IF($Y473="",0,$Y473)</f>
        <v/>
      </c>
    </row>
    <row r="474">
      <c r="W474" s="31">
        <f>IF(OR($B$5="",$C$6="",ROW()&lt;$B$5),"",IF(INDEX($A:$U,ROW(),$C$6)="","",INDEX($A:$U,ROW(),$C$6)))</f>
        <v/>
      </c>
      <c r="X474" s="32">
        <f>IF($W474="","",IF(ISNUMBER($W474),IF($W474&gt;=10000000,IFERROR(DATE(INT($W474/10000),MOD(INT($W474/100),100),MOD($W474,100)),""),INT($W474)),IFERROR(DATE(--LEFT(LEFT(SUBSTITUTE(SUBSTITUTE(SUBSTITUTE(SUBSTITUTE(TRIM($W474),"-",""),".",""),"/","")," ",""),8),4),--MID(LEFT(SUBSTITUTE(SUBSTITUTE(SUBSTITUTE(SUBSTITUTE(TRIM($W474),"-",""),".",""),"/","")," ",""),8),5,2),--MID(LEFT(SUBSTITUTE(SUBSTITUTE(SUBSTITUTE(SUBSTITUTE(TRIM($W474),"-",""),".",""),"/","")," ",""),8),7,2)),"")))</f>
        <v/>
      </c>
      <c r="Y474" s="32">
        <f>IF($X474="","",INT($X474))</f>
        <v/>
      </c>
      <c r="Z474" s="33">
        <f>IF(OR($Y474="",$D$6=""),"",IF(INDEX($A:$U,ROW(),$D$6)="",0,IF(ISNUMBER(INDEX($A:$U,ROW(),$D$6)),INDEX($A:$U,ROW(),$D$6),IFERROR(--SUBSTITUTE(SUBSTITUTE(TRIM(INDEX($A:$U,ROW(),$D$6)),",",""),"원",""),0))))</f>
        <v/>
      </c>
      <c r="AA474" s="31">
        <f>IF($Y474="","",TRIM(INDEX($A:$U,ROW(),$E$6)&amp;IF($F$6="",""," "&amp;INDEX($A:$U,ROW(),$F$6))))</f>
        <v/>
      </c>
      <c r="AB474" s="31">
        <f>IF($AA474="","",SUBSTITUTE(SUBSTITUTE(SUBSTITUTE(SUBSTITUTE(SUBSTITUTE(SUBSTITUTE(SUBSTITUTE(SUBSTITUTE(SUBSTITUTE($AA474," ",""),"　",""),"(주)",""),"（주）",""),"㈜",""),"주식회사",""),"(유)",""),"（유）",""),"유한회사",""))</f>
        <v/>
      </c>
      <c r="AC474" s="31">
        <f>IF(OR($Y474="",N($Z474)&lt;=0,$AB474=""),0,IFERROR(LOOKUP(2,1/((거래처별!$AC$8:$AC$307&lt;&gt;"")*ISNUMBER(SEARCH(거래처별!$AC$8:$AC$307,$AB474))),거래처별!$A$8:$A$307),IFERROR(LOOKUP(2,1/((거래처별!$AD$8:$AD$307&lt;&gt;"")*ISNUMBER(SEARCH(거래처별!$AD$8:$AD$307,$AB474))),거래처별!$A$8:$A$307),IFERROR(LOOKUP(2,1/((거래처별!$AE$8:$AE$307&lt;&gt;"")*ISNUMBER(SEARCH(거래처별!$AE$8:$AE$307,$AB474))),거래처별!$A$8:$A$307),0))))</f>
        <v/>
      </c>
      <c r="AD474" s="31">
        <f>IF(AND($Y474&lt;&gt;"",N($Z474)&gt;0,$AC474=0),MAX($AD$7:$AD473)+1,"")</f>
        <v/>
      </c>
      <c r="AE474" s="31">
        <f>IF($Y474="",0,$Y474)</f>
        <v/>
      </c>
    </row>
    <row r="475">
      <c r="W475" s="31">
        <f>IF(OR($B$5="",$C$6="",ROW()&lt;$B$5),"",IF(INDEX($A:$U,ROW(),$C$6)="","",INDEX($A:$U,ROW(),$C$6)))</f>
        <v/>
      </c>
      <c r="X475" s="32">
        <f>IF($W475="","",IF(ISNUMBER($W475),IF($W475&gt;=10000000,IFERROR(DATE(INT($W475/10000),MOD(INT($W475/100),100),MOD($W475,100)),""),INT($W475)),IFERROR(DATE(--LEFT(LEFT(SUBSTITUTE(SUBSTITUTE(SUBSTITUTE(SUBSTITUTE(TRIM($W475),"-",""),".",""),"/","")," ",""),8),4),--MID(LEFT(SUBSTITUTE(SUBSTITUTE(SUBSTITUTE(SUBSTITUTE(TRIM($W475),"-",""),".",""),"/","")," ",""),8),5,2),--MID(LEFT(SUBSTITUTE(SUBSTITUTE(SUBSTITUTE(SUBSTITUTE(TRIM($W475),"-",""),".",""),"/","")," ",""),8),7,2)),"")))</f>
        <v/>
      </c>
      <c r="Y475" s="32">
        <f>IF($X475="","",INT($X475))</f>
        <v/>
      </c>
      <c r="Z475" s="33">
        <f>IF(OR($Y475="",$D$6=""),"",IF(INDEX($A:$U,ROW(),$D$6)="",0,IF(ISNUMBER(INDEX($A:$U,ROW(),$D$6)),INDEX($A:$U,ROW(),$D$6),IFERROR(--SUBSTITUTE(SUBSTITUTE(TRIM(INDEX($A:$U,ROW(),$D$6)),",",""),"원",""),0))))</f>
        <v/>
      </c>
      <c r="AA475" s="31">
        <f>IF($Y475="","",TRIM(INDEX($A:$U,ROW(),$E$6)&amp;IF($F$6="",""," "&amp;INDEX($A:$U,ROW(),$F$6))))</f>
        <v/>
      </c>
      <c r="AB475" s="31">
        <f>IF($AA475="","",SUBSTITUTE(SUBSTITUTE(SUBSTITUTE(SUBSTITUTE(SUBSTITUTE(SUBSTITUTE(SUBSTITUTE(SUBSTITUTE(SUBSTITUTE($AA475," ",""),"　",""),"(주)",""),"（주）",""),"㈜",""),"주식회사",""),"(유)",""),"（유）",""),"유한회사",""))</f>
        <v/>
      </c>
      <c r="AC475" s="31">
        <f>IF(OR($Y475="",N($Z475)&lt;=0,$AB475=""),0,IFERROR(LOOKUP(2,1/((거래처별!$AC$8:$AC$307&lt;&gt;"")*ISNUMBER(SEARCH(거래처별!$AC$8:$AC$307,$AB475))),거래처별!$A$8:$A$307),IFERROR(LOOKUP(2,1/((거래처별!$AD$8:$AD$307&lt;&gt;"")*ISNUMBER(SEARCH(거래처별!$AD$8:$AD$307,$AB475))),거래처별!$A$8:$A$307),IFERROR(LOOKUP(2,1/((거래처별!$AE$8:$AE$307&lt;&gt;"")*ISNUMBER(SEARCH(거래처별!$AE$8:$AE$307,$AB475))),거래처별!$A$8:$A$307),0))))</f>
        <v/>
      </c>
      <c r="AD475" s="31">
        <f>IF(AND($Y475&lt;&gt;"",N($Z475)&gt;0,$AC475=0),MAX($AD$7:$AD474)+1,"")</f>
        <v/>
      </c>
      <c r="AE475" s="31">
        <f>IF($Y475="",0,$Y475)</f>
        <v/>
      </c>
    </row>
    <row r="476">
      <c r="W476" s="31">
        <f>IF(OR($B$5="",$C$6="",ROW()&lt;$B$5),"",IF(INDEX($A:$U,ROW(),$C$6)="","",INDEX($A:$U,ROW(),$C$6)))</f>
        <v/>
      </c>
      <c r="X476" s="32">
        <f>IF($W476="","",IF(ISNUMBER($W476),IF($W476&gt;=10000000,IFERROR(DATE(INT($W476/10000),MOD(INT($W476/100),100),MOD($W476,100)),""),INT($W476)),IFERROR(DATE(--LEFT(LEFT(SUBSTITUTE(SUBSTITUTE(SUBSTITUTE(SUBSTITUTE(TRIM($W476),"-",""),".",""),"/","")," ",""),8),4),--MID(LEFT(SUBSTITUTE(SUBSTITUTE(SUBSTITUTE(SUBSTITUTE(TRIM($W476),"-",""),".",""),"/","")," ",""),8),5,2),--MID(LEFT(SUBSTITUTE(SUBSTITUTE(SUBSTITUTE(SUBSTITUTE(TRIM($W476),"-",""),".",""),"/","")," ",""),8),7,2)),"")))</f>
        <v/>
      </c>
      <c r="Y476" s="32">
        <f>IF($X476="","",INT($X476))</f>
        <v/>
      </c>
      <c r="Z476" s="33">
        <f>IF(OR($Y476="",$D$6=""),"",IF(INDEX($A:$U,ROW(),$D$6)="",0,IF(ISNUMBER(INDEX($A:$U,ROW(),$D$6)),INDEX($A:$U,ROW(),$D$6),IFERROR(--SUBSTITUTE(SUBSTITUTE(TRIM(INDEX($A:$U,ROW(),$D$6)),",",""),"원",""),0))))</f>
        <v/>
      </c>
      <c r="AA476" s="31">
        <f>IF($Y476="","",TRIM(INDEX($A:$U,ROW(),$E$6)&amp;IF($F$6="",""," "&amp;INDEX($A:$U,ROW(),$F$6))))</f>
        <v/>
      </c>
      <c r="AB476" s="31">
        <f>IF($AA476="","",SUBSTITUTE(SUBSTITUTE(SUBSTITUTE(SUBSTITUTE(SUBSTITUTE(SUBSTITUTE(SUBSTITUTE(SUBSTITUTE(SUBSTITUTE($AA476," ",""),"　",""),"(주)",""),"（주）",""),"㈜",""),"주식회사",""),"(유)",""),"（유）",""),"유한회사",""))</f>
        <v/>
      </c>
      <c r="AC476" s="31">
        <f>IF(OR($Y476="",N($Z476)&lt;=0,$AB476=""),0,IFERROR(LOOKUP(2,1/((거래처별!$AC$8:$AC$307&lt;&gt;"")*ISNUMBER(SEARCH(거래처별!$AC$8:$AC$307,$AB476))),거래처별!$A$8:$A$307),IFERROR(LOOKUP(2,1/((거래처별!$AD$8:$AD$307&lt;&gt;"")*ISNUMBER(SEARCH(거래처별!$AD$8:$AD$307,$AB476))),거래처별!$A$8:$A$307),IFERROR(LOOKUP(2,1/((거래처별!$AE$8:$AE$307&lt;&gt;"")*ISNUMBER(SEARCH(거래처별!$AE$8:$AE$307,$AB476))),거래처별!$A$8:$A$307),0))))</f>
        <v/>
      </c>
      <c r="AD476" s="31">
        <f>IF(AND($Y476&lt;&gt;"",N($Z476)&gt;0,$AC476=0),MAX($AD$7:$AD475)+1,"")</f>
        <v/>
      </c>
      <c r="AE476" s="31">
        <f>IF($Y476="",0,$Y476)</f>
        <v/>
      </c>
    </row>
    <row r="477">
      <c r="W477" s="31">
        <f>IF(OR($B$5="",$C$6="",ROW()&lt;$B$5),"",IF(INDEX($A:$U,ROW(),$C$6)="","",INDEX($A:$U,ROW(),$C$6)))</f>
        <v/>
      </c>
      <c r="X477" s="32">
        <f>IF($W477="","",IF(ISNUMBER($W477),IF($W477&gt;=10000000,IFERROR(DATE(INT($W477/10000),MOD(INT($W477/100),100),MOD($W477,100)),""),INT($W477)),IFERROR(DATE(--LEFT(LEFT(SUBSTITUTE(SUBSTITUTE(SUBSTITUTE(SUBSTITUTE(TRIM($W477),"-",""),".",""),"/","")," ",""),8),4),--MID(LEFT(SUBSTITUTE(SUBSTITUTE(SUBSTITUTE(SUBSTITUTE(TRIM($W477),"-",""),".",""),"/","")," ",""),8),5,2),--MID(LEFT(SUBSTITUTE(SUBSTITUTE(SUBSTITUTE(SUBSTITUTE(TRIM($W477),"-",""),".",""),"/","")," ",""),8),7,2)),"")))</f>
        <v/>
      </c>
      <c r="Y477" s="32">
        <f>IF($X477="","",INT($X477))</f>
        <v/>
      </c>
      <c r="Z477" s="33">
        <f>IF(OR($Y477="",$D$6=""),"",IF(INDEX($A:$U,ROW(),$D$6)="",0,IF(ISNUMBER(INDEX($A:$U,ROW(),$D$6)),INDEX($A:$U,ROW(),$D$6),IFERROR(--SUBSTITUTE(SUBSTITUTE(TRIM(INDEX($A:$U,ROW(),$D$6)),",",""),"원",""),0))))</f>
        <v/>
      </c>
      <c r="AA477" s="31">
        <f>IF($Y477="","",TRIM(INDEX($A:$U,ROW(),$E$6)&amp;IF($F$6="",""," "&amp;INDEX($A:$U,ROW(),$F$6))))</f>
        <v/>
      </c>
      <c r="AB477" s="31">
        <f>IF($AA477="","",SUBSTITUTE(SUBSTITUTE(SUBSTITUTE(SUBSTITUTE(SUBSTITUTE(SUBSTITUTE(SUBSTITUTE(SUBSTITUTE(SUBSTITUTE($AA477," ",""),"　",""),"(주)",""),"（주）",""),"㈜",""),"주식회사",""),"(유)",""),"（유）",""),"유한회사",""))</f>
        <v/>
      </c>
      <c r="AC477" s="31">
        <f>IF(OR($Y477="",N($Z477)&lt;=0,$AB477=""),0,IFERROR(LOOKUP(2,1/((거래처별!$AC$8:$AC$307&lt;&gt;"")*ISNUMBER(SEARCH(거래처별!$AC$8:$AC$307,$AB477))),거래처별!$A$8:$A$307),IFERROR(LOOKUP(2,1/((거래처별!$AD$8:$AD$307&lt;&gt;"")*ISNUMBER(SEARCH(거래처별!$AD$8:$AD$307,$AB477))),거래처별!$A$8:$A$307),IFERROR(LOOKUP(2,1/((거래처별!$AE$8:$AE$307&lt;&gt;"")*ISNUMBER(SEARCH(거래처별!$AE$8:$AE$307,$AB477))),거래처별!$A$8:$A$307),0))))</f>
        <v/>
      </c>
      <c r="AD477" s="31">
        <f>IF(AND($Y477&lt;&gt;"",N($Z477)&gt;0,$AC477=0),MAX($AD$7:$AD476)+1,"")</f>
        <v/>
      </c>
      <c r="AE477" s="31">
        <f>IF($Y477="",0,$Y477)</f>
        <v/>
      </c>
    </row>
    <row r="478">
      <c r="W478" s="31">
        <f>IF(OR($B$5="",$C$6="",ROW()&lt;$B$5),"",IF(INDEX($A:$U,ROW(),$C$6)="","",INDEX($A:$U,ROW(),$C$6)))</f>
        <v/>
      </c>
      <c r="X478" s="32">
        <f>IF($W478="","",IF(ISNUMBER($W478),IF($W478&gt;=10000000,IFERROR(DATE(INT($W478/10000),MOD(INT($W478/100),100),MOD($W478,100)),""),INT($W478)),IFERROR(DATE(--LEFT(LEFT(SUBSTITUTE(SUBSTITUTE(SUBSTITUTE(SUBSTITUTE(TRIM($W478),"-",""),".",""),"/","")," ",""),8),4),--MID(LEFT(SUBSTITUTE(SUBSTITUTE(SUBSTITUTE(SUBSTITUTE(TRIM($W478),"-",""),".",""),"/","")," ",""),8),5,2),--MID(LEFT(SUBSTITUTE(SUBSTITUTE(SUBSTITUTE(SUBSTITUTE(TRIM($W478),"-",""),".",""),"/","")," ",""),8),7,2)),"")))</f>
        <v/>
      </c>
      <c r="Y478" s="32">
        <f>IF($X478="","",INT($X478))</f>
        <v/>
      </c>
      <c r="Z478" s="33">
        <f>IF(OR($Y478="",$D$6=""),"",IF(INDEX($A:$U,ROW(),$D$6)="",0,IF(ISNUMBER(INDEX($A:$U,ROW(),$D$6)),INDEX($A:$U,ROW(),$D$6),IFERROR(--SUBSTITUTE(SUBSTITUTE(TRIM(INDEX($A:$U,ROW(),$D$6)),",",""),"원",""),0))))</f>
        <v/>
      </c>
      <c r="AA478" s="31">
        <f>IF($Y478="","",TRIM(INDEX($A:$U,ROW(),$E$6)&amp;IF($F$6="",""," "&amp;INDEX($A:$U,ROW(),$F$6))))</f>
        <v/>
      </c>
      <c r="AB478" s="31">
        <f>IF($AA478="","",SUBSTITUTE(SUBSTITUTE(SUBSTITUTE(SUBSTITUTE(SUBSTITUTE(SUBSTITUTE(SUBSTITUTE(SUBSTITUTE(SUBSTITUTE($AA478," ",""),"　",""),"(주)",""),"（주）",""),"㈜",""),"주식회사",""),"(유)",""),"（유）",""),"유한회사",""))</f>
        <v/>
      </c>
      <c r="AC478" s="31">
        <f>IF(OR($Y478="",N($Z478)&lt;=0,$AB478=""),0,IFERROR(LOOKUP(2,1/((거래처별!$AC$8:$AC$307&lt;&gt;"")*ISNUMBER(SEARCH(거래처별!$AC$8:$AC$307,$AB478))),거래처별!$A$8:$A$307),IFERROR(LOOKUP(2,1/((거래처별!$AD$8:$AD$307&lt;&gt;"")*ISNUMBER(SEARCH(거래처별!$AD$8:$AD$307,$AB478))),거래처별!$A$8:$A$307),IFERROR(LOOKUP(2,1/((거래처별!$AE$8:$AE$307&lt;&gt;"")*ISNUMBER(SEARCH(거래처별!$AE$8:$AE$307,$AB478))),거래처별!$A$8:$A$307),0))))</f>
        <v/>
      </c>
      <c r="AD478" s="31">
        <f>IF(AND($Y478&lt;&gt;"",N($Z478)&gt;0,$AC478=0),MAX($AD$7:$AD477)+1,"")</f>
        <v/>
      </c>
      <c r="AE478" s="31">
        <f>IF($Y478="",0,$Y478)</f>
        <v/>
      </c>
    </row>
    <row r="479">
      <c r="W479" s="31">
        <f>IF(OR($B$5="",$C$6="",ROW()&lt;$B$5),"",IF(INDEX($A:$U,ROW(),$C$6)="","",INDEX($A:$U,ROW(),$C$6)))</f>
        <v/>
      </c>
      <c r="X479" s="32">
        <f>IF($W479="","",IF(ISNUMBER($W479),IF($W479&gt;=10000000,IFERROR(DATE(INT($W479/10000),MOD(INT($W479/100),100),MOD($W479,100)),""),INT($W479)),IFERROR(DATE(--LEFT(LEFT(SUBSTITUTE(SUBSTITUTE(SUBSTITUTE(SUBSTITUTE(TRIM($W479),"-",""),".",""),"/","")," ",""),8),4),--MID(LEFT(SUBSTITUTE(SUBSTITUTE(SUBSTITUTE(SUBSTITUTE(TRIM($W479),"-",""),".",""),"/","")," ",""),8),5,2),--MID(LEFT(SUBSTITUTE(SUBSTITUTE(SUBSTITUTE(SUBSTITUTE(TRIM($W479),"-",""),".",""),"/","")," ",""),8),7,2)),"")))</f>
        <v/>
      </c>
      <c r="Y479" s="32">
        <f>IF($X479="","",INT($X479))</f>
        <v/>
      </c>
      <c r="Z479" s="33">
        <f>IF(OR($Y479="",$D$6=""),"",IF(INDEX($A:$U,ROW(),$D$6)="",0,IF(ISNUMBER(INDEX($A:$U,ROW(),$D$6)),INDEX($A:$U,ROW(),$D$6),IFERROR(--SUBSTITUTE(SUBSTITUTE(TRIM(INDEX($A:$U,ROW(),$D$6)),",",""),"원",""),0))))</f>
        <v/>
      </c>
      <c r="AA479" s="31">
        <f>IF($Y479="","",TRIM(INDEX($A:$U,ROW(),$E$6)&amp;IF($F$6="",""," "&amp;INDEX($A:$U,ROW(),$F$6))))</f>
        <v/>
      </c>
      <c r="AB479" s="31">
        <f>IF($AA479="","",SUBSTITUTE(SUBSTITUTE(SUBSTITUTE(SUBSTITUTE(SUBSTITUTE(SUBSTITUTE(SUBSTITUTE(SUBSTITUTE(SUBSTITUTE($AA479," ",""),"　",""),"(주)",""),"（주）",""),"㈜",""),"주식회사",""),"(유)",""),"（유）",""),"유한회사",""))</f>
        <v/>
      </c>
      <c r="AC479" s="31">
        <f>IF(OR($Y479="",N($Z479)&lt;=0,$AB479=""),0,IFERROR(LOOKUP(2,1/((거래처별!$AC$8:$AC$307&lt;&gt;"")*ISNUMBER(SEARCH(거래처별!$AC$8:$AC$307,$AB479))),거래처별!$A$8:$A$307),IFERROR(LOOKUP(2,1/((거래처별!$AD$8:$AD$307&lt;&gt;"")*ISNUMBER(SEARCH(거래처별!$AD$8:$AD$307,$AB479))),거래처별!$A$8:$A$307),IFERROR(LOOKUP(2,1/((거래처별!$AE$8:$AE$307&lt;&gt;"")*ISNUMBER(SEARCH(거래처별!$AE$8:$AE$307,$AB479))),거래처별!$A$8:$A$307),0))))</f>
        <v/>
      </c>
      <c r="AD479" s="31">
        <f>IF(AND($Y479&lt;&gt;"",N($Z479)&gt;0,$AC479=0),MAX($AD$7:$AD478)+1,"")</f>
        <v/>
      </c>
      <c r="AE479" s="31">
        <f>IF($Y479="",0,$Y479)</f>
        <v/>
      </c>
    </row>
    <row r="480">
      <c r="W480" s="31">
        <f>IF(OR($B$5="",$C$6="",ROW()&lt;$B$5),"",IF(INDEX($A:$U,ROW(),$C$6)="","",INDEX($A:$U,ROW(),$C$6)))</f>
        <v/>
      </c>
      <c r="X480" s="32">
        <f>IF($W480="","",IF(ISNUMBER($W480),IF($W480&gt;=10000000,IFERROR(DATE(INT($W480/10000),MOD(INT($W480/100),100),MOD($W480,100)),""),INT($W480)),IFERROR(DATE(--LEFT(LEFT(SUBSTITUTE(SUBSTITUTE(SUBSTITUTE(SUBSTITUTE(TRIM($W480),"-",""),".",""),"/","")," ",""),8),4),--MID(LEFT(SUBSTITUTE(SUBSTITUTE(SUBSTITUTE(SUBSTITUTE(TRIM($W480),"-",""),".",""),"/","")," ",""),8),5,2),--MID(LEFT(SUBSTITUTE(SUBSTITUTE(SUBSTITUTE(SUBSTITUTE(TRIM($W480),"-",""),".",""),"/","")," ",""),8),7,2)),"")))</f>
        <v/>
      </c>
      <c r="Y480" s="32">
        <f>IF($X480="","",INT($X480))</f>
        <v/>
      </c>
      <c r="Z480" s="33">
        <f>IF(OR($Y480="",$D$6=""),"",IF(INDEX($A:$U,ROW(),$D$6)="",0,IF(ISNUMBER(INDEX($A:$U,ROW(),$D$6)),INDEX($A:$U,ROW(),$D$6),IFERROR(--SUBSTITUTE(SUBSTITUTE(TRIM(INDEX($A:$U,ROW(),$D$6)),",",""),"원",""),0))))</f>
        <v/>
      </c>
      <c r="AA480" s="31">
        <f>IF($Y480="","",TRIM(INDEX($A:$U,ROW(),$E$6)&amp;IF($F$6="",""," "&amp;INDEX($A:$U,ROW(),$F$6))))</f>
        <v/>
      </c>
      <c r="AB480" s="31">
        <f>IF($AA480="","",SUBSTITUTE(SUBSTITUTE(SUBSTITUTE(SUBSTITUTE(SUBSTITUTE(SUBSTITUTE(SUBSTITUTE(SUBSTITUTE(SUBSTITUTE($AA480," ",""),"　",""),"(주)",""),"（주）",""),"㈜",""),"주식회사",""),"(유)",""),"（유）",""),"유한회사",""))</f>
        <v/>
      </c>
      <c r="AC480" s="31">
        <f>IF(OR($Y480="",N($Z480)&lt;=0,$AB480=""),0,IFERROR(LOOKUP(2,1/((거래처별!$AC$8:$AC$307&lt;&gt;"")*ISNUMBER(SEARCH(거래처별!$AC$8:$AC$307,$AB480))),거래처별!$A$8:$A$307),IFERROR(LOOKUP(2,1/((거래처별!$AD$8:$AD$307&lt;&gt;"")*ISNUMBER(SEARCH(거래처별!$AD$8:$AD$307,$AB480))),거래처별!$A$8:$A$307),IFERROR(LOOKUP(2,1/((거래처별!$AE$8:$AE$307&lt;&gt;"")*ISNUMBER(SEARCH(거래처별!$AE$8:$AE$307,$AB480))),거래처별!$A$8:$A$307),0))))</f>
        <v/>
      </c>
      <c r="AD480" s="31">
        <f>IF(AND($Y480&lt;&gt;"",N($Z480)&gt;0,$AC480=0),MAX($AD$7:$AD479)+1,"")</f>
        <v/>
      </c>
      <c r="AE480" s="31">
        <f>IF($Y480="",0,$Y480)</f>
        <v/>
      </c>
    </row>
    <row r="481">
      <c r="W481" s="31">
        <f>IF(OR($B$5="",$C$6="",ROW()&lt;$B$5),"",IF(INDEX($A:$U,ROW(),$C$6)="","",INDEX($A:$U,ROW(),$C$6)))</f>
        <v/>
      </c>
      <c r="X481" s="32">
        <f>IF($W481="","",IF(ISNUMBER($W481),IF($W481&gt;=10000000,IFERROR(DATE(INT($W481/10000),MOD(INT($W481/100),100),MOD($W481,100)),""),INT($W481)),IFERROR(DATE(--LEFT(LEFT(SUBSTITUTE(SUBSTITUTE(SUBSTITUTE(SUBSTITUTE(TRIM($W481),"-",""),".",""),"/","")," ",""),8),4),--MID(LEFT(SUBSTITUTE(SUBSTITUTE(SUBSTITUTE(SUBSTITUTE(TRIM($W481),"-",""),".",""),"/","")," ",""),8),5,2),--MID(LEFT(SUBSTITUTE(SUBSTITUTE(SUBSTITUTE(SUBSTITUTE(TRIM($W481),"-",""),".",""),"/","")," ",""),8),7,2)),"")))</f>
        <v/>
      </c>
      <c r="Y481" s="32">
        <f>IF($X481="","",INT($X481))</f>
        <v/>
      </c>
      <c r="Z481" s="33">
        <f>IF(OR($Y481="",$D$6=""),"",IF(INDEX($A:$U,ROW(),$D$6)="",0,IF(ISNUMBER(INDEX($A:$U,ROW(),$D$6)),INDEX($A:$U,ROW(),$D$6),IFERROR(--SUBSTITUTE(SUBSTITUTE(TRIM(INDEX($A:$U,ROW(),$D$6)),",",""),"원",""),0))))</f>
        <v/>
      </c>
      <c r="AA481" s="31">
        <f>IF($Y481="","",TRIM(INDEX($A:$U,ROW(),$E$6)&amp;IF($F$6="",""," "&amp;INDEX($A:$U,ROW(),$F$6))))</f>
        <v/>
      </c>
      <c r="AB481" s="31">
        <f>IF($AA481="","",SUBSTITUTE(SUBSTITUTE(SUBSTITUTE(SUBSTITUTE(SUBSTITUTE(SUBSTITUTE(SUBSTITUTE(SUBSTITUTE(SUBSTITUTE($AA481," ",""),"　",""),"(주)",""),"（주）",""),"㈜",""),"주식회사",""),"(유)",""),"（유）",""),"유한회사",""))</f>
        <v/>
      </c>
      <c r="AC481" s="31">
        <f>IF(OR($Y481="",N($Z481)&lt;=0,$AB481=""),0,IFERROR(LOOKUP(2,1/((거래처별!$AC$8:$AC$307&lt;&gt;"")*ISNUMBER(SEARCH(거래처별!$AC$8:$AC$307,$AB481))),거래처별!$A$8:$A$307),IFERROR(LOOKUP(2,1/((거래처별!$AD$8:$AD$307&lt;&gt;"")*ISNUMBER(SEARCH(거래처별!$AD$8:$AD$307,$AB481))),거래처별!$A$8:$A$307),IFERROR(LOOKUP(2,1/((거래처별!$AE$8:$AE$307&lt;&gt;"")*ISNUMBER(SEARCH(거래처별!$AE$8:$AE$307,$AB481))),거래처별!$A$8:$A$307),0))))</f>
        <v/>
      </c>
      <c r="AD481" s="31">
        <f>IF(AND($Y481&lt;&gt;"",N($Z481)&gt;0,$AC481=0),MAX($AD$7:$AD480)+1,"")</f>
        <v/>
      </c>
      <c r="AE481" s="31">
        <f>IF($Y481="",0,$Y481)</f>
        <v/>
      </c>
    </row>
    <row r="482">
      <c r="W482" s="31">
        <f>IF(OR($B$5="",$C$6="",ROW()&lt;$B$5),"",IF(INDEX($A:$U,ROW(),$C$6)="","",INDEX($A:$U,ROW(),$C$6)))</f>
        <v/>
      </c>
      <c r="X482" s="32">
        <f>IF($W482="","",IF(ISNUMBER($W482),IF($W482&gt;=10000000,IFERROR(DATE(INT($W482/10000),MOD(INT($W482/100),100),MOD($W482,100)),""),INT($W482)),IFERROR(DATE(--LEFT(LEFT(SUBSTITUTE(SUBSTITUTE(SUBSTITUTE(SUBSTITUTE(TRIM($W482),"-",""),".",""),"/","")," ",""),8),4),--MID(LEFT(SUBSTITUTE(SUBSTITUTE(SUBSTITUTE(SUBSTITUTE(TRIM($W482),"-",""),".",""),"/","")," ",""),8),5,2),--MID(LEFT(SUBSTITUTE(SUBSTITUTE(SUBSTITUTE(SUBSTITUTE(TRIM($W482),"-",""),".",""),"/","")," ",""),8),7,2)),"")))</f>
        <v/>
      </c>
      <c r="Y482" s="32">
        <f>IF($X482="","",INT($X482))</f>
        <v/>
      </c>
      <c r="Z482" s="33">
        <f>IF(OR($Y482="",$D$6=""),"",IF(INDEX($A:$U,ROW(),$D$6)="",0,IF(ISNUMBER(INDEX($A:$U,ROW(),$D$6)),INDEX($A:$U,ROW(),$D$6),IFERROR(--SUBSTITUTE(SUBSTITUTE(TRIM(INDEX($A:$U,ROW(),$D$6)),",",""),"원",""),0))))</f>
        <v/>
      </c>
      <c r="AA482" s="31">
        <f>IF($Y482="","",TRIM(INDEX($A:$U,ROW(),$E$6)&amp;IF($F$6="",""," "&amp;INDEX($A:$U,ROW(),$F$6))))</f>
        <v/>
      </c>
      <c r="AB482" s="31">
        <f>IF($AA482="","",SUBSTITUTE(SUBSTITUTE(SUBSTITUTE(SUBSTITUTE(SUBSTITUTE(SUBSTITUTE(SUBSTITUTE(SUBSTITUTE(SUBSTITUTE($AA482," ",""),"　",""),"(주)",""),"（주）",""),"㈜",""),"주식회사",""),"(유)",""),"（유）",""),"유한회사",""))</f>
        <v/>
      </c>
      <c r="AC482" s="31">
        <f>IF(OR($Y482="",N($Z482)&lt;=0,$AB482=""),0,IFERROR(LOOKUP(2,1/((거래처별!$AC$8:$AC$307&lt;&gt;"")*ISNUMBER(SEARCH(거래처별!$AC$8:$AC$307,$AB482))),거래처별!$A$8:$A$307),IFERROR(LOOKUP(2,1/((거래처별!$AD$8:$AD$307&lt;&gt;"")*ISNUMBER(SEARCH(거래처별!$AD$8:$AD$307,$AB482))),거래처별!$A$8:$A$307),IFERROR(LOOKUP(2,1/((거래처별!$AE$8:$AE$307&lt;&gt;"")*ISNUMBER(SEARCH(거래처별!$AE$8:$AE$307,$AB482))),거래처별!$A$8:$A$307),0))))</f>
        <v/>
      </c>
      <c r="AD482" s="31">
        <f>IF(AND($Y482&lt;&gt;"",N($Z482)&gt;0,$AC482=0),MAX($AD$7:$AD481)+1,"")</f>
        <v/>
      </c>
      <c r="AE482" s="31">
        <f>IF($Y482="",0,$Y482)</f>
        <v/>
      </c>
    </row>
    <row r="483">
      <c r="W483" s="31">
        <f>IF(OR($B$5="",$C$6="",ROW()&lt;$B$5),"",IF(INDEX($A:$U,ROW(),$C$6)="","",INDEX($A:$U,ROW(),$C$6)))</f>
        <v/>
      </c>
      <c r="X483" s="32">
        <f>IF($W483="","",IF(ISNUMBER($W483),IF($W483&gt;=10000000,IFERROR(DATE(INT($W483/10000),MOD(INT($W483/100),100),MOD($W483,100)),""),INT($W483)),IFERROR(DATE(--LEFT(LEFT(SUBSTITUTE(SUBSTITUTE(SUBSTITUTE(SUBSTITUTE(TRIM($W483),"-",""),".",""),"/","")," ",""),8),4),--MID(LEFT(SUBSTITUTE(SUBSTITUTE(SUBSTITUTE(SUBSTITUTE(TRIM($W483),"-",""),".",""),"/","")," ",""),8),5,2),--MID(LEFT(SUBSTITUTE(SUBSTITUTE(SUBSTITUTE(SUBSTITUTE(TRIM($W483),"-",""),".",""),"/","")," ",""),8),7,2)),"")))</f>
        <v/>
      </c>
      <c r="Y483" s="32">
        <f>IF($X483="","",INT($X483))</f>
        <v/>
      </c>
      <c r="Z483" s="33">
        <f>IF(OR($Y483="",$D$6=""),"",IF(INDEX($A:$U,ROW(),$D$6)="",0,IF(ISNUMBER(INDEX($A:$U,ROW(),$D$6)),INDEX($A:$U,ROW(),$D$6),IFERROR(--SUBSTITUTE(SUBSTITUTE(TRIM(INDEX($A:$U,ROW(),$D$6)),",",""),"원",""),0))))</f>
        <v/>
      </c>
      <c r="AA483" s="31">
        <f>IF($Y483="","",TRIM(INDEX($A:$U,ROW(),$E$6)&amp;IF($F$6="",""," "&amp;INDEX($A:$U,ROW(),$F$6))))</f>
        <v/>
      </c>
      <c r="AB483" s="31">
        <f>IF($AA483="","",SUBSTITUTE(SUBSTITUTE(SUBSTITUTE(SUBSTITUTE(SUBSTITUTE(SUBSTITUTE(SUBSTITUTE(SUBSTITUTE(SUBSTITUTE($AA483," ",""),"　",""),"(주)",""),"（주）",""),"㈜",""),"주식회사",""),"(유)",""),"（유）",""),"유한회사",""))</f>
        <v/>
      </c>
      <c r="AC483" s="31">
        <f>IF(OR($Y483="",N($Z483)&lt;=0,$AB483=""),0,IFERROR(LOOKUP(2,1/((거래처별!$AC$8:$AC$307&lt;&gt;"")*ISNUMBER(SEARCH(거래처별!$AC$8:$AC$307,$AB483))),거래처별!$A$8:$A$307),IFERROR(LOOKUP(2,1/((거래처별!$AD$8:$AD$307&lt;&gt;"")*ISNUMBER(SEARCH(거래처별!$AD$8:$AD$307,$AB483))),거래처별!$A$8:$A$307),IFERROR(LOOKUP(2,1/((거래처별!$AE$8:$AE$307&lt;&gt;"")*ISNUMBER(SEARCH(거래처별!$AE$8:$AE$307,$AB483))),거래처별!$A$8:$A$307),0))))</f>
        <v/>
      </c>
      <c r="AD483" s="31">
        <f>IF(AND($Y483&lt;&gt;"",N($Z483)&gt;0,$AC483=0),MAX($AD$7:$AD482)+1,"")</f>
        <v/>
      </c>
      <c r="AE483" s="31">
        <f>IF($Y483="",0,$Y483)</f>
        <v/>
      </c>
    </row>
    <row r="484">
      <c r="W484" s="31">
        <f>IF(OR($B$5="",$C$6="",ROW()&lt;$B$5),"",IF(INDEX($A:$U,ROW(),$C$6)="","",INDEX($A:$U,ROW(),$C$6)))</f>
        <v/>
      </c>
      <c r="X484" s="32">
        <f>IF($W484="","",IF(ISNUMBER($W484),IF($W484&gt;=10000000,IFERROR(DATE(INT($W484/10000),MOD(INT($W484/100),100),MOD($W484,100)),""),INT($W484)),IFERROR(DATE(--LEFT(LEFT(SUBSTITUTE(SUBSTITUTE(SUBSTITUTE(SUBSTITUTE(TRIM($W484),"-",""),".",""),"/","")," ",""),8),4),--MID(LEFT(SUBSTITUTE(SUBSTITUTE(SUBSTITUTE(SUBSTITUTE(TRIM($W484),"-",""),".",""),"/","")," ",""),8),5,2),--MID(LEFT(SUBSTITUTE(SUBSTITUTE(SUBSTITUTE(SUBSTITUTE(TRIM($W484),"-",""),".",""),"/","")," ",""),8),7,2)),"")))</f>
        <v/>
      </c>
      <c r="Y484" s="32">
        <f>IF($X484="","",INT($X484))</f>
        <v/>
      </c>
      <c r="Z484" s="33">
        <f>IF(OR($Y484="",$D$6=""),"",IF(INDEX($A:$U,ROW(),$D$6)="",0,IF(ISNUMBER(INDEX($A:$U,ROW(),$D$6)),INDEX($A:$U,ROW(),$D$6),IFERROR(--SUBSTITUTE(SUBSTITUTE(TRIM(INDEX($A:$U,ROW(),$D$6)),",",""),"원",""),0))))</f>
        <v/>
      </c>
      <c r="AA484" s="31">
        <f>IF($Y484="","",TRIM(INDEX($A:$U,ROW(),$E$6)&amp;IF($F$6="",""," "&amp;INDEX($A:$U,ROW(),$F$6))))</f>
        <v/>
      </c>
      <c r="AB484" s="31">
        <f>IF($AA484="","",SUBSTITUTE(SUBSTITUTE(SUBSTITUTE(SUBSTITUTE(SUBSTITUTE(SUBSTITUTE(SUBSTITUTE(SUBSTITUTE(SUBSTITUTE($AA484," ",""),"　",""),"(주)",""),"（주）",""),"㈜",""),"주식회사",""),"(유)",""),"（유）",""),"유한회사",""))</f>
        <v/>
      </c>
      <c r="AC484" s="31">
        <f>IF(OR($Y484="",N($Z484)&lt;=0,$AB484=""),0,IFERROR(LOOKUP(2,1/((거래처별!$AC$8:$AC$307&lt;&gt;"")*ISNUMBER(SEARCH(거래처별!$AC$8:$AC$307,$AB484))),거래처별!$A$8:$A$307),IFERROR(LOOKUP(2,1/((거래처별!$AD$8:$AD$307&lt;&gt;"")*ISNUMBER(SEARCH(거래처별!$AD$8:$AD$307,$AB484))),거래처별!$A$8:$A$307),IFERROR(LOOKUP(2,1/((거래처별!$AE$8:$AE$307&lt;&gt;"")*ISNUMBER(SEARCH(거래처별!$AE$8:$AE$307,$AB484))),거래처별!$A$8:$A$307),0))))</f>
        <v/>
      </c>
      <c r="AD484" s="31">
        <f>IF(AND($Y484&lt;&gt;"",N($Z484)&gt;0,$AC484=0),MAX($AD$7:$AD483)+1,"")</f>
        <v/>
      </c>
      <c r="AE484" s="31">
        <f>IF($Y484="",0,$Y484)</f>
        <v/>
      </c>
    </row>
    <row r="485">
      <c r="W485" s="31">
        <f>IF(OR($B$5="",$C$6="",ROW()&lt;$B$5),"",IF(INDEX($A:$U,ROW(),$C$6)="","",INDEX($A:$U,ROW(),$C$6)))</f>
        <v/>
      </c>
      <c r="X485" s="32">
        <f>IF($W485="","",IF(ISNUMBER($W485),IF($W485&gt;=10000000,IFERROR(DATE(INT($W485/10000),MOD(INT($W485/100),100),MOD($W485,100)),""),INT($W485)),IFERROR(DATE(--LEFT(LEFT(SUBSTITUTE(SUBSTITUTE(SUBSTITUTE(SUBSTITUTE(TRIM($W485),"-",""),".",""),"/","")," ",""),8),4),--MID(LEFT(SUBSTITUTE(SUBSTITUTE(SUBSTITUTE(SUBSTITUTE(TRIM($W485),"-",""),".",""),"/","")," ",""),8),5,2),--MID(LEFT(SUBSTITUTE(SUBSTITUTE(SUBSTITUTE(SUBSTITUTE(TRIM($W485),"-",""),".",""),"/","")," ",""),8),7,2)),"")))</f>
        <v/>
      </c>
      <c r="Y485" s="32">
        <f>IF($X485="","",INT($X485))</f>
        <v/>
      </c>
      <c r="Z485" s="33">
        <f>IF(OR($Y485="",$D$6=""),"",IF(INDEX($A:$U,ROW(),$D$6)="",0,IF(ISNUMBER(INDEX($A:$U,ROW(),$D$6)),INDEX($A:$U,ROW(),$D$6),IFERROR(--SUBSTITUTE(SUBSTITUTE(TRIM(INDEX($A:$U,ROW(),$D$6)),",",""),"원",""),0))))</f>
        <v/>
      </c>
      <c r="AA485" s="31">
        <f>IF($Y485="","",TRIM(INDEX($A:$U,ROW(),$E$6)&amp;IF($F$6="",""," "&amp;INDEX($A:$U,ROW(),$F$6))))</f>
        <v/>
      </c>
      <c r="AB485" s="31">
        <f>IF($AA485="","",SUBSTITUTE(SUBSTITUTE(SUBSTITUTE(SUBSTITUTE(SUBSTITUTE(SUBSTITUTE(SUBSTITUTE(SUBSTITUTE(SUBSTITUTE($AA485," ",""),"　",""),"(주)",""),"（주）",""),"㈜",""),"주식회사",""),"(유)",""),"（유）",""),"유한회사",""))</f>
        <v/>
      </c>
      <c r="AC485" s="31">
        <f>IF(OR($Y485="",N($Z485)&lt;=0,$AB485=""),0,IFERROR(LOOKUP(2,1/((거래처별!$AC$8:$AC$307&lt;&gt;"")*ISNUMBER(SEARCH(거래처별!$AC$8:$AC$307,$AB485))),거래처별!$A$8:$A$307),IFERROR(LOOKUP(2,1/((거래처별!$AD$8:$AD$307&lt;&gt;"")*ISNUMBER(SEARCH(거래처별!$AD$8:$AD$307,$AB485))),거래처별!$A$8:$A$307),IFERROR(LOOKUP(2,1/((거래처별!$AE$8:$AE$307&lt;&gt;"")*ISNUMBER(SEARCH(거래처별!$AE$8:$AE$307,$AB485))),거래처별!$A$8:$A$307),0))))</f>
        <v/>
      </c>
      <c r="AD485" s="31">
        <f>IF(AND($Y485&lt;&gt;"",N($Z485)&gt;0,$AC485=0),MAX($AD$7:$AD484)+1,"")</f>
        <v/>
      </c>
      <c r="AE485" s="31">
        <f>IF($Y485="",0,$Y485)</f>
        <v/>
      </c>
    </row>
    <row r="486">
      <c r="W486" s="31">
        <f>IF(OR($B$5="",$C$6="",ROW()&lt;$B$5),"",IF(INDEX($A:$U,ROW(),$C$6)="","",INDEX($A:$U,ROW(),$C$6)))</f>
        <v/>
      </c>
      <c r="X486" s="32">
        <f>IF($W486="","",IF(ISNUMBER($W486),IF($W486&gt;=10000000,IFERROR(DATE(INT($W486/10000),MOD(INT($W486/100),100),MOD($W486,100)),""),INT($W486)),IFERROR(DATE(--LEFT(LEFT(SUBSTITUTE(SUBSTITUTE(SUBSTITUTE(SUBSTITUTE(TRIM($W486),"-",""),".",""),"/","")," ",""),8),4),--MID(LEFT(SUBSTITUTE(SUBSTITUTE(SUBSTITUTE(SUBSTITUTE(TRIM($W486),"-",""),".",""),"/","")," ",""),8),5,2),--MID(LEFT(SUBSTITUTE(SUBSTITUTE(SUBSTITUTE(SUBSTITUTE(TRIM($W486),"-",""),".",""),"/","")," ",""),8),7,2)),"")))</f>
        <v/>
      </c>
      <c r="Y486" s="32">
        <f>IF($X486="","",INT($X486))</f>
        <v/>
      </c>
      <c r="Z486" s="33">
        <f>IF(OR($Y486="",$D$6=""),"",IF(INDEX($A:$U,ROW(),$D$6)="",0,IF(ISNUMBER(INDEX($A:$U,ROW(),$D$6)),INDEX($A:$U,ROW(),$D$6),IFERROR(--SUBSTITUTE(SUBSTITUTE(TRIM(INDEX($A:$U,ROW(),$D$6)),",",""),"원",""),0))))</f>
        <v/>
      </c>
      <c r="AA486" s="31">
        <f>IF($Y486="","",TRIM(INDEX($A:$U,ROW(),$E$6)&amp;IF($F$6="",""," "&amp;INDEX($A:$U,ROW(),$F$6))))</f>
        <v/>
      </c>
      <c r="AB486" s="31">
        <f>IF($AA486="","",SUBSTITUTE(SUBSTITUTE(SUBSTITUTE(SUBSTITUTE(SUBSTITUTE(SUBSTITUTE(SUBSTITUTE(SUBSTITUTE(SUBSTITUTE($AA486," ",""),"　",""),"(주)",""),"（주）",""),"㈜",""),"주식회사",""),"(유)",""),"（유）",""),"유한회사",""))</f>
        <v/>
      </c>
      <c r="AC486" s="31">
        <f>IF(OR($Y486="",N($Z486)&lt;=0,$AB486=""),0,IFERROR(LOOKUP(2,1/((거래처별!$AC$8:$AC$307&lt;&gt;"")*ISNUMBER(SEARCH(거래처별!$AC$8:$AC$307,$AB486))),거래처별!$A$8:$A$307),IFERROR(LOOKUP(2,1/((거래처별!$AD$8:$AD$307&lt;&gt;"")*ISNUMBER(SEARCH(거래처별!$AD$8:$AD$307,$AB486))),거래처별!$A$8:$A$307),IFERROR(LOOKUP(2,1/((거래처별!$AE$8:$AE$307&lt;&gt;"")*ISNUMBER(SEARCH(거래처별!$AE$8:$AE$307,$AB486))),거래처별!$A$8:$A$307),0))))</f>
        <v/>
      </c>
      <c r="AD486" s="31">
        <f>IF(AND($Y486&lt;&gt;"",N($Z486)&gt;0,$AC486=0),MAX($AD$7:$AD485)+1,"")</f>
        <v/>
      </c>
      <c r="AE486" s="31">
        <f>IF($Y486="",0,$Y486)</f>
        <v/>
      </c>
    </row>
    <row r="487">
      <c r="W487" s="31">
        <f>IF(OR($B$5="",$C$6="",ROW()&lt;$B$5),"",IF(INDEX($A:$U,ROW(),$C$6)="","",INDEX($A:$U,ROW(),$C$6)))</f>
        <v/>
      </c>
      <c r="X487" s="32">
        <f>IF($W487="","",IF(ISNUMBER($W487),IF($W487&gt;=10000000,IFERROR(DATE(INT($W487/10000),MOD(INT($W487/100),100),MOD($W487,100)),""),INT($W487)),IFERROR(DATE(--LEFT(LEFT(SUBSTITUTE(SUBSTITUTE(SUBSTITUTE(SUBSTITUTE(TRIM($W487),"-",""),".",""),"/","")," ",""),8),4),--MID(LEFT(SUBSTITUTE(SUBSTITUTE(SUBSTITUTE(SUBSTITUTE(TRIM($W487),"-",""),".",""),"/","")," ",""),8),5,2),--MID(LEFT(SUBSTITUTE(SUBSTITUTE(SUBSTITUTE(SUBSTITUTE(TRIM($W487),"-",""),".",""),"/","")," ",""),8),7,2)),"")))</f>
        <v/>
      </c>
      <c r="Y487" s="32">
        <f>IF($X487="","",INT($X487))</f>
        <v/>
      </c>
      <c r="Z487" s="33">
        <f>IF(OR($Y487="",$D$6=""),"",IF(INDEX($A:$U,ROW(),$D$6)="",0,IF(ISNUMBER(INDEX($A:$U,ROW(),$D$6)),INDEX($A:$U,ROW(),$D$6),IFERROR(--SUBSTITUTE(SUBSTITUTE(TRIM(INDEX($A:$U,ROW(),$D$6)),",",""),"원",""),0))))</f>
        <v/>
      </c>
      <c r="AA487" s="31">
        <f>IF($Y487="","",TRIM(INDEX($A:$U,ROW(),$E$6)&amp;IF($F$6="",""," "&amp;INDEX($A:$U,ROW(),$F$6))))</f>
        <v/>
      </c>
      <c r="AB487" s="31">
        <f>IF($AA487="","",SUBSTITUTE(SUBSTITUTE(SUBSTITUTE(SUBSTITUTE(SUBSTITUTE(SUBSTITUTE(SUBSTITUTE(SUBSTITUTE(SUBSTITUTE($AA487," ",""),"　",""),"(주)",""),"（주）",""),"㈜",""),"주식회사",""),"(유)",""),"（유）",""),"유한회사",""))</f>
        <v/>
      </c>
      <c r="AC487" s="31">
        <f>IF(OR($Y487="",N($Z487)&lt;=0,$AB487=""),0,IFERROR(LOOKUP(2,1/((거래처별!$AC$8:$AC$307&lt;&gt;"")*ISNUMBER(SEARCH(거래처별!$AC$8:$AC$307,$AB487))),거래처별!$A$8:$A$307),IFERROR(LOOKUP(2,1/((거래처별!$AD$8:$AD$307&lt;&gt;"")*ISNUMBER(SEARCH(거래처별!$AD$8:$AD$307,$AB487))),거래처별!$A$8:$A$307),IFERROR(LOOKUP(2,1/((거래처별!$AE$8:$AE$307&lt;&gt;"")*ISNUMBER(SEARCH(거래처별!$AE$8:$AE$307,$AB487))),거래처별!$A$8:$A$307),0))))</f>
        <v/>
      </c>
      <c r="AD487" s="31">
        <f>IF(AND($Y487&lt;&gt;"",N($Z487)&gt;0,$AC487=0),MAX($AD$7:$AD486)+1,"")</f>
        <v/>
      </c>
      <c r="AE487" s="31">
        <f>IF($Y487="",0,$Y487)</f>
        <v/>
      </c>
    </row>
    <row r="488">
      <c r="W488" s="31">
        <f>IF(OR($B$5="",$C$6="",ROW()&lt;$B$5),"",IF(INDEX($A:$U,ROW(),$C$6)="","",INDEX($A:$U,ROW(),$C$6)))</f>
        <v/>
      </c>
      <c r="X488" s="32">
        <f>IF($W488="","",IF(ISNUMBER($W488),IF($W488&gt;=10000000,IFERROR(DATE(INT($W488/10000),MOD(INT($W488/100),100),MOD($W488,100)),""),INT($W488)),IFERROR(DATE(--LEFT(LEFT(SUBSTITUTE(SUBSTITUTE(SUBSTITUTE(SUBSTITUTE(TRIM($W488),"-",""),".",""),"/","")," ",""),8),4),--MID(LEFT(SUBSTITUTE(SUBSTITUTE(SUBSTITUTE(SUBSTITUTE(TRIM($W488),"-",""),".",""),"/","")," ",""),8),5,2),--MID(LEFT(SUBSTITUTE(SUBSTITUTE(SUBSTITUTE(SUBSTITUTE(TRIM($W488),"-",""),".",""),"/","")," ",""),8),7,2)),"")))</f>
        <v/>
      </c>
      <c r="Y488" s="32">
        <f>IF($X488="","",INT($X488))</f>
        <v/>
      </c>
      <c r="Z488" s="33">
        <f>IF(OR($Y488="",$D$6=""),"",IF(INDEX($A:$U,ROW(),$D$6)="",0,IF(ISNUMBER(INDEX($A:$U,ROW(),$D$6)),INDEX($A:$U,ROW(),$D$6),IFERROR(--SUBSTITUTE(SUBSTITUTE(TRIM(INDEX($A:$U,ROW(),$D$6)),",",""),"원",""),0))))</f>
        <v/>
      </c>
      <c r="AA488" s="31">
        <f>IF($Y488="","",TRIM(INDEX($A:$U,ROW(),$E$6)&amp;IF($F$6="",""," "&amp;INDEX($A:$U,ROW(),$F$6))))</f>
        <v/>
      </c>
      <c r="AB488" s="31">
        <f>IF($AA488="","",SUBSTITUTE(SUBSTITUTE(SUBSTITUTE(SUBSTITUTE(SUBSTITUTE(SUBSTITUTE(SUBSTITUTE(SUBSTITUTE(SUBSTITUTE($AA488," ",""),"　",""),"(주)",""),"（주）",""),"㈜",""),"주식회사",""),"(유)",""),"（유）",""),"유한회사",""))</f>
        <v/>
      </c>
      <c r="AC488" s="31">
        <f>IF(OR($Y488="",N($Z488)&lt;=0,$AB488=""),0,IFERROR(LOOKUP(2,1/((거래처별!$AC$8:$AC$307&lt;&gt;"")*ISNUMBER(SEARCH(거래처별!$AC$8:$AC$307,$AB488))),거래처별!$A$8:$A$307),IFERROR(LOOKUP(2,1/((거래처별!$AD$8:$AD$307&lt;&gt;"")*ISNUMBER(SEARCH(거래처별!$AD$8:$AD$307,$AB488))),거래처별!$A$8:$A$307),IFERROR(LOOKUP(2,1/((거래처별!$AE$8:$AE$307&lt;&gt;"")*ISNUMBER(SEARCH(거래처별!$AE$8:$AE$307,$AB488))),거래처별!$A$8:$A$307),0))))</f>
        <v/>
      </c>
      <c r="AD488" s="31">
        <f>IF(AND($Y488&lt;&gt;"",N($Z488)&gt;0,$AC488=0),MAX($AD$7:$AD487)+1,"")</f>
        <v/>
      </c>
      <c r="AE488" s="31">
        <f>IF($Y488="",0,$Y488)</f>
        <v/>
      </c>
    </row>
    <row r="489">
      <c r="W489" s="31">
        <f>IF(OR($B$5="",$C$6="",ROW()&lt;$B$5),"",IF(INDEX($A:$U,ROW(),$C$6)="","",INDEX($A:$U,ROW(),$C$6)))</f>
        <v/>
      </c>
      <c r="X489" s="32">
        <f>IF($W489="","",IF(ISNUMBER($W489),IF($W489&gt;=10000000,IFERROR(DATE(INT($W489/10000),MOD(INT($W489/100),100),MOD($W489,100)),""),INT($W489)),IFERROR(DATE(--LEFT(LEFT(SUBSTITUTE(SUBSTITUTE(SUBSTITUTE(SUBSTITUTE(TRIM($W489),"-",""),".",""),"/","")," ",""),8),4),--MID(LEFT(SUBSTITUTE(SUBSTITUTE(SUBSTITUTE(SUBSTITUTE(TRIM($W489),"-",""),".",""),"/","")," ",""),8),5,2),--MID(LEFT(SUBSTITUTE(SUBSTITUTE(SUBSTITUTE(SUBSTITUTE(TRIM($W489),"-",""),".",""),"/","")," ",""),8),7,2)),"")))</f>
        <v/>
      </c>
      <c r="Y489" s="32">
        <f>IF($X489="","",INT($X489))</f>
        <v/>
      </c>
      <c r="Z489" s="33">
        <f>IF(OR($Y489="",$D$6=""),"",IF(INDEX($A:$U,ROW(),$D$6)="",0,IF(ISNUMBER(INDEX($A:$U,ROW(),$D$6)),INDEX($A:$U,ROW(),$D$6),IFERROR(--SUBSTITUTE(SUBSTITUTE(TRIM(INDEX($A:$U,ROW(),$D$6)),",",""),"원",""),0))))</f>
        <v/>
      </c>
      <c r="AA489" s="31">
        <f>IF($Y489="","",TRIM(INDEX($A:$U,ROW(),$E$6)&amp;IF($F$6="",""," "&amp;INDEX($A:$U,ROW(),$F$6))))</f>
        <v/>
      </c>
      <c r="AB489" s="31">
        <f>IF($AA489="","",SUBSTITUTE(SUBSTITUTE(SUBSTITUTE(SUBSTITUTE(SUBSTITUTE(SUBSTITUTE(SUBSTITUTE(SUBSTITUTE(SUBSTITUTE($AA489," ",""),"　",""),"(주)",""),"（주）",""),"㈜",""),"주식회사",""),"(유)",""),"（유）",""),"유한회사",""))</f>
        <v/>
      </c>
      <c r="AC489" s="31">
        <f>IF(OR($Y489="",N($Z489)&lt;=0,$AB489=""),0,IFERROR(LOOKUP(2,1/((거래처별!$AC$8:$AC$307&lt;&gt;"")*ISNUMBER(SEARCH(거래처별!$AC$8:$AC$307,$AB489))),거래처별!$A$8:$A$307),IFERROR(LOOKUP(2,1/((거래처별!$AD$8:$AD$307&lt;&gt;"")*ISNUMBER(SEARCH(거래처별!$AD$8:$AD$307,$AB489))),거래처별!$A$8:$A$307),IFERROR(LOOKUP(2,1/((거래처별!$AE$8:$AE$307&lt;&gt;"")*ISNUMBER(SEARCH(거래처별!$AE$8:$AE$307,$AB489))),거래처별!$A$8:$A$307),0))))</f>
        <v/>
      </c>
      <c r="AD489" s="31">
        <f>IF(AND($Y489&lt;&gt;"",N($Z489)&gt;0,$AC489=0),MAX($AD$7:$AD488)+1,"")</f>
        <v/>
      </c>
      <c r="AE489" s="31">
        <f>IF($Y489="",0,$Y489)</f>
        <v/>
      </c>
    </row>
    <row r="490">
      <c r="W490" s="31">
        <f>IF(OR($B$5="",$C$6="",ROW()&lt;$B$5),"",IF(INDEX($A:$U,ROW(),$C$6)="","",INDEX($A:$U,ROW(),$C$6)))</f>
        <v/>
      </c>
      <c r="X490" s="32">
        <f>IF($W490="","",IF(ISNUMBER($W490),IF($W490&gt;=10000000,IFERROR(DATE(INT($W490/10000),MOD(INT($W490/100),100),MOD($W490,100)),""),INT($W490)),IFERROR(DATE(--LEFT(LEFT(SUBSTITUTE(SUBSTITUTE(SUBSTITUTE(SUBSTITUTE(TRIM($W490),"-",""),".",""),"/","")," ",""),8),4),--MID(LEFT(SUBSTITUTE(SUBSTITUTE(SUBSTITUTE(SUBSTITUTE(TRIM($W490),"-",""),".",""),"/","")," ",""),8),5,2),--MID(LEFT(SUBSTITUTE(SUBSTITUTE(SUBSTITUTE(SUBSTITUTE(TRIM($W490),"-",""),".",""),"/","")," ",""),8),7,2)),"")))</f>
        <v/>
      </c>
      <c r="Y490" s="32">
        <f>IF($X490="","",INT($X490))</f>
        <v/>
      </c>
      <c r="Z490" s="33">
        <f>IF(OR($Y490="",$D$6=""),"",IF(INDEX($A:$U,ROW(),$D$6)="",0,IF(ISNUMBER(INDEX($A:$U,ROW(),$D$6)),INDEX($A:$U,ROW(),$D$6),IFERROR(--SUBSTITUTE(SUBSTITUTE(TRIM(INDEX($A:$U,ROW(),$D$6)),",",""),"원",""),0))))</f>
        <v/>
      </c>
      <c r="AA490" s="31">
        <f>IF($Y490="","",TRIM(INDEX($A:$U,ROW(),$E$6)&amp;IF($F$6="",""," "&amp;INDEX($A:$U,ROW(),$F$6))))</f>
        <v/>
      </c>
      <c r="AB490" s="31">
        <f>IF($AA490="","",SUBSTITUTE(SUBSTITUTE(SUBSTITUTE(SUBSTITUTE(SUBSTITUTE(SUBSTITUTE(SUBSTITUTE(SUBSTITUTE(SUBSTITUTE($AA490," ",""),"　",""),"(주)",""),"（주）",""),"㈜",""),"주식회사",""),"(유)",""),"（유）",""),"유한회사",""))</f>
        <v/>
      </c>
      <c r="AC490" s="31">
        <f>IF(OR($Y490="",N($Z490)&lt;=0,$AB490=""),0,IFERROR(LOOKUP(2,1/((거래처별!$AC$8:$AC$307&lt;&gt;"")*ISNUMBER(SEARCH(거래처별!$AC$8:$AC$307,$AB490))),거래처별!$A$8:$A$307),IFERROR(LOOKUP(2,1/((거래처별!$AD$8:$AD$307&lt;&gt;"")*ISNUMBER(SEARCH(거래처별!$AD$8:$AD$307,$AB490))),거래처별!$A$8:$A$307),IFERROR(LOOKUP(2,1/((거래처별!$AE$8:$AE$307&lt;&gt;"")*ISNUMBER(SEARCH(거래처별!$AE$8:$AE$307,$AB490))),거래처별!$A$8:$A$307),0))))</f>
        <v/>
      </c>
      <c r="AD490" s="31">
        <f>IF(AND($Y490&lt;&gt;"",N($Z490)&gt;0,$AC490=0),MAX($AD$7:$AD489)+1,"")</f>
        <v/>
      </c>
      <c r="AE490" s="31">
        <f>IF($Y490="",0,$Y490)</f>
        <v/>
      </c>
    </row>
    <row r="491">
      <c r="W491" s="31">
        <f>IF(OR($B$5="",$C$6="",ROW()&lt;$B$5),"",IF(INDEX($A:$U,ROW(),$C$6)="","",INDEX($A:$U,ROW(),$C$6)))</f>
        <v/>
      </c>
      <c r="X491" s="32">
        <f>IF($W491="","",IF(ISNUMBER($W491),IF($W491&gt;=10000000,IFERROR(DATE(INT($W491/10000),MOD(INT($W491/100),100),MOD($W491,100)),""),INT($W491)),IFERROR(DATE(--LEFT(LEFT(SUBSTITUTE(SUBSTITUTE(SUBSTITUTE(SUBSTITUTE(TRIM($W491),"-",""),".",""),"/","")," ",""),8),4),--MID(LEFT(SUBSTITUTE(SUBSTITUTE(SUBSTITUTE(SUBSTITUTE(TRIM($W491),"-",""),".",""),"/","")," ",""),8),5,2),--MID(LEFT(SUBSTITUTE(SUBSTITUTE(SUBSTITUTE(SUBSTITUTE(TRIM($W491),"-",""),".",""),"/","")," ",""),8),7,2)),"")))</f>
        <v/>
      </c>
      <c r="Y491" s="32">
        <f>IF($X491="","",INT($X491))</f>
        <v/>
      </c>
      <c r="Z491" s="33">
        <f>IF(OR($Y491="",$D$6=""),"",IF(INDEX($A:$U,ROW(),$D$6)="",0,IF(ISNUMBER(INDEX($A:$U,ROW(),$D$6)),INDEX($A:$U,ROW(),$D$6),IFERROR(--SUBSTITUTE(SUBSTITUTE(TRIM(INDEX($A:$U,ROW(),$D$6)),",",""),"원",""),0))))</f>
        <v/>
      </c>
      <c r="AA491" s="31">
        <f>IF($Y491="","",TRIM(INDEX($A:$U,ROW(),$E$6)&amp;IF($F$6="",""," "&amp;INDEX($A:$U,ROW(),$F$6))))</f>
        <v/>
      </c>
      <c r="AB491" s="31">
        <f>IF($AA491="","",SUBSTITUTE(SUBSTITUTE(SUBSTITUTE(SUBSTITUTE(SUBSTITUTE(SUBSTITUTE(SUBSTITUTE(SUBSTITUTE(SUBSTITUTE($AA491," ",""),"　",""),"(주)",""),"（주）",""),"㈜",""),"주식회사",""),"(유)",""),"（유）",""),"유한회사",""))</f>
        <v/>
      </c>
      <c r="AC491" s="31">
        <f>IF(OR($Y491="",N($Z491)&lt;=0,$AB491=""),0,IFERROR(LOOKUP(2,1/((거래처별!$AC$8:$AC$307&lt;&gt;"")*ISNUMBER(SEARCH(거래처별!$AC$8:$AC$307,$AB491))),거래처별!$A$8:$A$307),IFERROR(LOOKUP(2,1/((거래처별!$AD$8:$AD$307&lt;&gt;"")*ISNUMBER(SEARCH(거래처별!$AD$8:$AD$307,$AB491))),거래처별!$A$8:$A$307),IFERROR(LOOKUP(2,1/((거래처별!$AE$8:$AE$307&lt;&gt;"")*ISNUMBER(SEARCH(거래처별!$AE$8:$AE$307,$AB491))),거래처별!$A$8:$A$307),0))))</f>
        <v/>
      </c>
      <c r="AD491" s="31">
        <f>IF(AND($Y491&lt;&gt;"",N($Z491)&gt;0,$AC491=0),MAX($AD$7:$AD490)+1,"")</f>
        <v/>
      </c>
      <c r="AE491" s="31">
        <f>IF($Y491="",0,$Y491)</f>
        <v/>
      </c>
    </row>
    <row r="492">
      <c r="W492" s="31">
        <f>IF(OR($B$5="",$C$6="",ROW()&lt;$B$5),"",IF(INDEX($A:$U,ROW(),$C$6)="","",INDEX($A:$U,ROW(),$C$6)))</f>
        <v/>
      </c>
      <c r="X492" s="32">
        <f>IF($W492="","",IF(ISNUMBER($W492),IF($W492&gt;=10000000,IFERROR(DATE(INT($W492/10000),MOD(INT($W492/100),100),MOD($W492,100)),""),INT($W492)),IFERROR(DATE(--LEFT(LEFT(SUBSTITUTE(SUBSTITUTE(SUBSTITUTE(SUBSTITUTE(TRIM($W492),"-",""),".",""),"/","")," ",""),8),4),--MID(LEFT(SUBSTITUTE(SUBSTITUTE(SUBSTITUTE(SUBSTITUTE(TRIM($W492),"-",""),".",""),"/","")," ",""),8),5,2),--MID(LEFT(SUBSTITUTE(SUBSTITUTE(SUBSTITUTE(SUBSTITUTE(TRIM($W492),"-",""),".",""),"/","")," ",""),8),7,2)),"")))</f>
        <v/>
      </c>
      <c r="Y492" s="32">
        <f>IF($X492="","",INT($X492))</f>
        <v/>
      </c>
      <c r="Z492" s="33">
        <f>IF(OR($Y492="",$D$6=""),"",IF(INDEX($A:$U,ROW(),$D$6)="",0,IF(ISNUMBER(INDEX($A:$U,ROW(),$D$6)),INDEX($A:$U,ROW(),$D$6),IFERROR(--SUBSTITUTE(SUBSTITUTE(TRIM(INDEX($A:$U,ROW(),$D$6)),",",""),"원",""),0))))</f>
        <v/>
      </c>
      <c r="AA492" s="31">
        <f>IF($Y492="","",TRIM(INDEX($A:$U,ROW(),$E$6)&amp;IF($F$6="",""," "&amp;INDEX($A:$U,ROW(),$F$6))))</f>
        <v/>
      </c>
      <c r="AB492" s="31">
        <f>IF($AA492="","",SUBSTITUTE(SUBSTITUTE(SUBSTITUTE(SUBSTITUTE(SUBSTITUTE(SUBSTITUTE(SUBSTITUTE(SUBSTITUTE(SUBSTITUTE($AA492," ",""),"　",""),"(주)",""),"（주）",""),"㈜",""),"주식회사",""),"(유)",""),"（유）",""),"유한회사",""))</f>
        <v/>
      </c>
      <c r="AC492" s="31">
        <f>IF(OR($Y492="",N($Z492)&lt;=0,$AB492=""),0,IFERROR(LOOKUP(2,1/((거래처별!$AC$8:$AC$307&lt;&gt;"")*ISNUMBER(SEARCH(거래처별!$AC$8:$AC$307,$AB492))),거래처별!$A$8:$A$307),IFERROR(LOOKUP(2,1/((거래처별!$AD$8:$AD$307&lt;&gt;"")*ISNUMBER(SEARCH(거래처별!$AD$8:$AD$307,$AB492))),거래처별!$A$8:$A$307),IFERROR(LOOKUP(2,1/((거래처별!$AE$8:$AE$307&lt;&gt;"")*ISNUMBER(SEARCH(거래처별!$AE$8:$AE$307,$AB492))),거래처별!$A$8:$A$307),0))))</f>
        <v/>
      </c>
      <c r="AD492" s="31">
        <f>IF(AND($Y492&lt;&gt;"",N($Z492)&gt;0,$AC492=0),MAX($AD$7:$AD491)+1,"")</f>
        <v/>
      </c>
      <c r="AE492" s="31">
        <f>IF($Y492="",0,$Y492)</f>
        <v/>
      </c>
    </row>
    <row r="493">
      <c r="W493" s="31">
        <f>IF(OR($B$5="",$C$6="",ROW()&lt;$B$5),"",IF(INDEX($A:$U,ROW(),$C$6)="","",INDEX($A:$U,ROW(),$C$6)))</f>
        <v/>
      </c>
      <c r="X493" s="32">
        <f>IF($W493="","",IF(ISNUMBER($W493),IF($W493&gt;=10000000,IFERROR(DATE(INT($W493/10000),MOD(INT($W493/100),100),MOD($W493,100)),""),INT($W493)),IFERROR(DATE(--LEFT(LEFT(SUBSTITUTE(SUBSTITUTE(SUBSTITUTE(SUBSTITUTE(TRIM($W493),"-",""),".",""),"/","")," ",""),8),4),--MID(LEFT(SUBSTITUTE(SUBSTITUTE(SUBSTITUTE(SUBSTITUTE(TRIM($W493),"-",""),".",""),"/","")," ",""),8),5,2),--MID(LEFT(SUBSTITUTE(SUBSTITUTE(SUBSTITUTE(SUBSTITUTE(TRIM($W493),"-",""),".",""),"/","")," ",""),8),7,2)),"")))</f>
        <v/>
      </c>
      <c r="Y493" s="32">
        <f>IF($X493="","",INT($X493))</f>
        <v/>
      </c>
      <c r="Z493" s="33">
        <f>IF(OR($Y493="",$D$6=""),"",IF(INDEX($A:$U,ROW(),$D$6)="",0,IF(ISNUMBER(INDEX($A:$U,ROW(),$D$6)),INDEX($A:$U,ROW(),$D$6),IFERROR(--SUBSTITUTE(SUBSTITUTE(TRIM(INDEX($A:$U,ROW(),$D$6)),",",""),"원",""),0))))</f>
        <v/>
      </c>
      <c r="AA493" s="31">
        <f>IF($Y493="","",TRIM(INDEX($A:$U,ROW(),$E$6)&amp;IF($F$6="",""," "&amp;INDEX($A:$U,ROW(),$F$6))))</f>
        <v/>
      </c>
      <c r="AB493" s="31">
        <f>IF($AA493="","",SUBSTITUTE(SUBSTITUTE(SUBSTITUTE(SUBSTITUTE(SUBSTITUTE(SUBSTITUTE(SUBSTITUTE(SUBSTITUTE(SUBSTITUTE($AA493," ",""),"　",""),"(주)",""),"（주）",""),"㈜",""),"주식회사",""),"(유)",""),"（유）",""),"유한회사",""))</f>
        <v/>
      </c>
      <c r="AC493" s="31">
        <f>IF(OR($Y493="",N($Z493)&lt;=0,$AB493=""),0,IFERROR(LOOKUP(2,1/((거래처별!$AC$8:$AC$307&lt;&gt;"")*ISNUMBER(SEARCH(거래처별!$AC$8:$AC$307,$AB493))),거래처별!$A$8:$A$307),IFERROR(LOOKUP(2,1/((거래처별!$AD$8:$AD$307&lt;&gt;"")*ISNUMBER(SEARCH(거래처별!$AD$8:$AD$307,$AB493))),거래처별!$A$8:$A$307),IFERROR(LOOKUP(2,1/((거래처별!$AE$8:$AE$307&lt;&gt;"")*ISNUMBER(SEARCH(거래처별!$AE$8:$AE$307,$AB493))),거래처별!$A$8:$A$307),0))))</f>
        <v/>
      </c>
      <c r="AD493" s="31">
        <f>IF(AND($Y493&lt;&gt;"",N($Z493)&gt;0,$AC493=0),MAX($AD$7:$AD492)+1,"")</f>
        <v/>
      </c>
      <c r="AE493" s="31">
        <f>IF($Y493="",0,$Y493)</f>
        <v/>
      </c>
    </row>
    <row r="494">
      <c r="W494" s="31">
        <f>IF(OR($B$5="",$C$6="",ROW()&lt;$B$5),"",IF(INDEX($A:$U,ROW(),$C$6)="","",INDEX($A:$U,ROW(),$C$6)))</f>
        <v/>
      </c>
      <c r="X494" s="32">
        <f>IF($W494="","",IF(ISNUMBER($W494),IF($W494&gt;=10000000,IFERROR(DATE(INT($W494/10000),MOD(INT($W494/100),100),MOD($W494,100)),""),INT($W494)),IFERROR(DATE(--LEFT(LEFT(SUBSTITUTE(SUBSTITUTE(SUBSTITUTE(SUBSTITUTE(TRIM($W494),"-",""),".",""),"/","")," ",""),8),4),--MID(LEFT(SUBSTITUTE(SUBSTITUTE(SUBSTITUTE(SUBSTITUTE(TRIM($W494),"-",""),".",""),"/","")," ",""),8),5,2),--MID(LEFT(SUBSTITUTE(SUBSTITUTE(SUBSTITUTE(SUBSTITUTE(TRIM($W494),"-",""),".",""),"/","")," ",""),8),7,2)),"")))</f>
        <v/>
      </c>
      <c r="Y494" s="32">
        <f>IF($X494="","",INT($X494))</f>
        <v/>
      </c>
      <c r="Z494" s="33">
        <f>IF(OR($Y494="",$D$6=""),"",IF(INDEX($A:$U,ROW(),$D$6)="",0,IF(ISNUMBER(INDEX($A:$U,ROW(),$D$6)),INDEX($A:$U,ROW(),$D$6),IFERROR(--SUBSTITUTE(SUBSTITUTE(TRIM(INDEX($A:$U,ROW(),$D$6)),",",""),"원",""),0))))</f>
        <v/>
      </c>
      <c r="AA494" s="31">
        <f>IF($Y494="","",TRIM(INDEX($A:$U,ROW(),$E$6)&amp;IF($F$6="",""," "&amp;INDEX($A:$U,ROW(),$F$6))))</f>
        <v/>
      </c>
      <c r="AB494" s="31">
        <f>IF($AA494="","",SUBSTITUTE(SUBSTITUTE(SUBSTITUTE(SUBSTITUTE(SUBSTITUTE(SUBSTITUTE(SUBSTITUTE(SUBSTITUTE(SUBSTITUTE($AA494," ",""),"　",""),"(주)",""),"（주）",""),"㈜",""),"주식회사",""),"(유)",""),"（유）",""),"유한회사",""))</f>
        <v/>
      </c>
      <c r="AC494" s="31">
        <f>IF(OR($Y494="",N($Z494)&lt;=0,$AB494=""),0,IFERROR(LOOKUP(2,1/((거래처별!$AC$8:$AC$307&lt;&gt;"")*ISNUMBER(SEARCH(거래처별!$AC$8:$AC$307,$AB494))),거래처별!$A$8:$A$307),IFERROR(LOOKUP(2,1/((거래처별!$AD$8:$AD$307&lt;&gt;"")*ISNUMBER(SEARCH(거래처별!$AD$8:$AD$307,$AB494))),거래처별!$A$8:$A$307),IFERROR(LOOKUP(2,1/((거래처별!$AE$8:$AE$307&lt;&gt;"")*ISNUMBER(SEARCH(거래처별!$AE$8:$AE$307,$AB494))),거래처별!$A$8:$A$307),0))))</f>
        <v/>
      </c>
      <c r="AD494" s="31">
        <f>IF(AND($Y494&lt;&gt;"",N($Z494)&gt;0,$AC494=0),MAX($AD$7:$AD493)+1,"")</f>
        <v/>
      </c>
      <c r="AE494" s="31">
        <f>IF($Y494="",0,$Y494)</f>
        <v/>
      </c>
    </row>
    <row r="495">
      <c r="W495" s="31">
        <f>IF(OR($B$5="",$C$6="",ROW()&lt;$B$5),"",IF(INDEX($A:$U,ROW(),$C$6)="","",INDEX($A:$U,ROW(),$C$6)))</f>
        <v/>
      </c>
      <c r="X495" s="32">
        <f>IF($W495="","",IF(ISNUMBER($W495),IF($W495&gt;=10000000,IFERROR(DATE(INT($W495/10000),MOD(INT($W495/100),100),MOD($W495,100)),""),INT($W495)),IFERROR(DATE(--LEFT(LEFT(SUBSTITUTE(SUBSTITUTE(SUBSTITUTE(SUBSTITUTE(TRIM($W495),"-",""),".",""),"/","")," ",""),8),4),--MID(LEFT(SUBSTITUTE(SUBSTITUTE(SUBSTITUTE(SUBSTITUTE(TRIM($W495),"-",""),".",""),"/","")," ",""),8),5,2),--MID(LEFT(SUBSTITUTE(SUBSTITUTE(SUBSTITUTE(SUBSTITUTE(TRIM($W495),"-",""),".",""),"/","")," ",""),8),7,2)),"")))</f>
        <v/>
      </c>
      <c r="Y495" s="32">
        <f>IF($X495="","",INT($X495))</f>
        <v/>
      </c>
      <c r="Z495" s="33">
        <f>IF(OR($Y495="",$D$6=""),"",IF(INDEX($A:$U,ROW(),$D$6)="",0,IF(ISNUMBER(INDEX($A:$U,ROW(),$D$6)),INDEX($A:$U,ROW(),$D$6),IFERROR(--SUBSTITUTE(SUBSTITUTE(TRIM(INDEX($A:$U,ROW(),$D$6)),",",""),"원",""),0))))</f>
        <v/>
      </c>
      <c r="AA495" s="31">
        <f>IF($Y495="","",TRIM(INDEX($A:$U,ROW(),$E$6)&amp;IF($F$6="",""," "&amp;INDEX($A:$U,ROW(),$F$6))))</f>
        <v/>
      </c>
      <c r="AB495" s="31">
        <f>IF($AA495="","",SUBSTITUTE(SUBSTITUTE(SUBSTITUTE(SUBSTITUTE(SUBSTITUTE(SUBSTITUTE(SUBSTITUTE(SUBSTITUTE(SUBSTITUTE($AA495," ",""),"　",""),"(주)",""),"（주）",""),"㈜",""),"주식회사",""),"(유)",""),"（유）",""),"유한회사",""))</f>
        <v/>
      </c>
      <c r="AC495" s="31">
        <f>IF(OR($Y495="",N($Z495)&lt;=0,$AB495=""),0,IFERROR(LOOKUP(2,1/((거래처별!$AC$8:$AC$307&lt;&gt;"")*ISNUMBER(SEARCH(거래처별!$AC$8:$AC$307,$AB495))),거래처별!$A$8:$A$307),IFERROR(LOOKUP(2,1/((거래처별!$AD$8:$AD$307&lt;&gt;"")*ISNUMBER(SEARCH(거래처별!$AD$8:$AD$307,$AB495))),거래처별!$A$8:$A$307),IFERROR(LOOKUP(2,1/((거래처별!$AE$8:$AE$307&lt;&gt;"")*ISNUMBER(SEARCH(거래처별!$AE$8:$AE$307,$AB495))),거래처별!$A$8:$A$307),0))))</f>
        <v/>
      </c>
      <c r="AD495" s="31">
        <f>IF(AND($Y495&lt;&gt;"",N($Z495)&gt;0,$AC495=0),MAX($AD$7:$AD494)+1,"")</f>
        <v/>
      </c>
      <c r="AE495" s="31">
        <f>IF($Y495="",0,$Y495)</f>
        <v/>
      </c>
    </row>
    <row r="496">
      <c r="W496" s="31">
        <f>IF(OR($B$5="",$C$6="",ROW()&lt;$B$5),"",IF(INDEX($A:$U,ROW(),$C$6)="","",INDEX($A:$U,ROW(),$C$6)))</f>
        <v/>
      </c>
      <c r="X496" s="32">
        <f>IF($W496="","",IF(ISNUMBER($W496),IF($W496&gt;=10000000,IFERROR(DATE(INT($W496/10000),MOD(INT($W496/100),100),MOD($W496,100)),""),INT($W496)),IFERROR(DATE(--LEFT(LEFT(SUBSTITUTE(SUBSTITUTE(SUBSTITUTE(SUBSTITUTE(TRIM($W496),"-",""),".",""),"/","")," ",""),8),4),--MID(LEFT(SUBSTITUTE(SUBSTITUTE(SUBSTITUTE(SUBSTITUTE(TRIM($W496),"-",""),".",""),"/","")," ",""),8),5,2),--MID(LEFT(SUBSTITUTE(SUBSTITUTE(SUBSTITUTE(SUBSTITUTE(TRIM($W496),"-",""),".",""),"/","")," ",""),8),7,2)),"")))</f>
        <v/>
      </c>
      <c r="Y496" s="32">
        <f>IF($X496="","",INT($X496))</f>
        <v/>
      </c>
      <c r="Z496" s="33">
        <f>IF(OR($Y496="",$D$6=""),"",IF(INDEX($A:$U,ROW(),$D$6)="",0,IF(ISNUMBER(INDEX($A:$U,ROW(),$D$6)),INDEX($A:$U,ROW(),$D$6),IFERROR(--SUBSTITUTE(SUBSTITUTE(TRIM(INDEX($A:$U,ROW(),$D$6)),",",""),"원",""),0))))</f>
        <v/>
      </c>
      <c r="AA496" s="31">
        <f>IF($Y496="","",TRIM(INDEX($A:$U,ROW(),$E$6)&amp;IF($F$6="",""," "&amp;INDEX($A:$U,ROW(),$F$6))))</f>
        <v/>
      </c>
      <c r="AB496" s="31">
        <f>IF($AA496="","",SUBSTITUTE(SUBSTITUTE(SUBSTITUTE(SUBSTITUTE(SUBSTITUTE(SUBSTITUTE(SUBSTITUTE(SUBSTITUTE(SUBSTITUTE($AA496," ",""),"　",""),"(주)",""),"（주）",""),"㈜",""),"주식회사",""),"(유)",""),"（유）",""),"유한회사",""))</f>
        <v/>
      </c>
      <c r="AC496" s="31">
        <f>IF(OR($Y496="",N($Z496)&lt;=0,$AB496=""),0,IFERROR(LOOKUP(2,1/((거래처별!$AC$8:$AC$307&lt;&gt;"")*ISNUMBER(SEARCH(거래처별!$AC$8:$AC$307,$AB496))),거래처별!$A$8:$A$307),IFERROR(LOOKUP(2,1/((거래처별!$AD$8:$AD$307&lt;&gt;"")*ISNUMBER(SEARCH(거래처별!$AD$8:$AD$307,$AB496))),거래처별!$A$8:$A$307),IFERROR(LOOKUP(2,1/((거래처별!$AE$8:$AE$307&lt;&gt;"")*ISNUMBER(SEARCH(거래처별!$AE$8:$AE$307,$AB496))),거래처별!$A$8:$A$307),0))))</f>
        <v/>
      </c>
      <c r="AD496" s="31">
        <f>IF(AND($Y496&lt;&gt;"",N($Z496)&gt;0,$AC496=0),MAX($AD$7:$AD495)+1,"")</f>
        <v/>
      </c>
      <c r="AE496" s="31">
        <f>IF($Y496="",0,$Y496)</f>
        <v/>
      </c>
    </row>
    <row r="497">
      <c r="W497" s="31">
        <f>IF(OR($B$5="",$C$6="",ROW()&lt;$B$5),"",IF(INDEX($A:$U,ROW(),$C$6)="","",INDEX($A:$U,ROW(),$C$6)))</f>
        <v/>
      </c>
      <c r="X497" s="32">
        <f>IF($W497="","",IF(ISNUMBER($W497),IF($W497&gt;=10000000,IFERROR(DATE(INT($W497/10000),MOD(INT($W497/100),100),MOD($W497,100)),""),INT($W497)),IFERROR(DATE(--LEFT(LEFT(SUBSTITUTE(SUBSTITUTE(SUBSTITUTE(SUBSTITUTE(TRIM($W497),"-",""),".",""),"/","")," ",""),8),4),--MID(LEFT(SUBSTITUTE(SUBSTITUTE(SUBSTITUTE(SUBSTITUTE(TRIM($W497),"-",""),".",""),"/","")," ",""),8),5,2),--MID(LEFT(SUBSTITUTE(SUBSTITUTE(SUBSTITUTE(SUBSTITUTE(TRIM($W497),"-",""),".",""),"/","")," ",""),8),7,2)),"")))</f>
        <v/>
      </c>
      <c r="Y497" s="32">
        <f>IF($X497="","",INT($X497))</f>
        <v/>
      </c>
      <c r="Z497" s="33">
        <f>IF(OR($Y497="",$D$6=""),"",IF(INDEX($A:$U,ROW(),$D$6)="",0,IF(ISNUMBER(INDEX($A:$U,ROW(),$D$6)),INDEX($A:$U,ROW(),$D$6),IFERROR(--SUBSTITUTE(SUBSTITUTE(TRIM(INDEX($A:$U,ROW(),$D$6)),",",""),"원",""),0))))</f>
        <v/>
      </c>
      <c r="AA497" s="31">
        <f>IF($Y497="","",TRIM(INDEX($A:$U,ROW(),$E$6)&amp;IF($F$6="",""," "&amp;INDEX($A:$U,ROW(),$F$6))))</f>
        <v/>
      </c>
      <c r="AB497" s="31">
        <f>IF($AA497="","",SUBSTITUTE(SUBSTITUTE(SUBSTITUTE(SUBSTITUTE(SUBSTITUTE(SUBSTITUTE(SUBSTITUTE(SUBSTITUTE(SUBSTITUTE($AA497," ",""),"　",""),"(주)",""),"（주）",""),"㈜",""),"주식회사",""),"(유)",""),"（유）",""),"유한회사",""))</f>
        <v/>
      </c>
      <c r="AC497" s="31">
        <f>IF(OR($Y497="",N($Z497)&lt;=0,$AB497=""),0,IFERROR(LOOKUP(2,1/((거래처별!$AC$8:$AC$307&lt;&gt;"")*ISNUMBER(SEARCH(거래처별!$AC$8:$AC$307,$AB497))),거래처별!$A$8:$A$307),IFERROR(LOOKUP(2,1/((거래처별!$AD$8:$AD$307&lt;&gt;"")*ISNUMBER(SEARCH(거래처별!$AD$8:$AD$307,$AB497))),거래처별!$A$8:$A$307),IFERROR(LOOKUP(2,1/((거래처별!$AE$8:$AE$307&lt;&gt;"")*ISNUMBER(SEARCH(거래처별!$AE$8:$AE$307,$AB497))),거래처별!$A$8:$A$307),0))))</f>
        <v/>
      </c>
      <c r="AD497" s="31">
        <f>IF(AND($Y497&lt;&gt;"",N($Z497)&gt;0,$AC497=0),MAX($AD$7:$AD496)+1,"")</f>
        <v/>
      </c>
      <c r="AE497" s="31">
        <f>IF($Y497="",0,$Y497)</f>
        <v/>
      </c>
    </row>
    <row r="498">
      <c r="W498" s="31">
        <f>IF(OR($B$5="",$C$6="",ROW()&lt;$B$5),"",IF(INDEX($A:$U,ROW(),$C$6)="","",INDEX($A:$U,ROW(),$C$6)))</f>
        <v/>
      </c>
      <c r="X498" s="32">
        <f>IF($W498="","",IF(ISNUMBER($W498),IF($W498&gt;=10000000,IFERROR(DATE(INT($W498/10000),MOD(INT($W498/100),100),MOD($W498,100)),""),INT($W498)),IFERROR(DATE(--LEFT(LEFT(SUBSTITUTE(SUBSTITUTE(SUBSTITUTE(SUBSTITUTE(TRIM($W498),"-",""),".",""),"/","")," ",""),8),4),--MID(LEFT(SUBSTITUTE(SUBSTITUTE(SUBSTITUTE(SUBSTITUTE(TRIM($W498),"-",""),".",""),"/","")," ",""),8),5,2),--MID(LEFT(SUBSTITUTE(SUBSTITUTE(SUBSTITUTE(SUBSTITUTE(TRIM($W498),"-",""),".",""),"/","")," ",""),8),7,2)),"")))</f>
        <v/>
      </c>
      <c r="Y498" s="32">
        <f>IF($X498="","",INT($X498))</f>
        <v/>
      </c>
      <c r="Z498" s="33">
        <f>IF(OR($Y498="",$D$6=""),"",IF(INDEX($A:$U,ROW(),$D$6)="",0,IF(ISNUMBER(INDEX($A:$U,ROW(),$D$6)),INDEX($A:$U,ROW(),$D$6),IFERROR(--SUBSTITUTE(SUBSTITUTE(TRIM(INDEX($A:$U,ROW(),$D$6)),",",""),"원",""),0))))</f>
        <v/>
      </c>
      <c r="AA498" s="31">
        <f>IF($Y498="","",TRIM(INDEX($A:$U,ROW(),$E$6)&amp;IF($F$6="",""," "&amp;INDEX($A:$U,ROW(),$F$6))))</f>
        <v/>
      </c>
      <c r="AB498" s="31">
        <f>IF($AA498="","",SUBSTITUTE(SUBSTITUTE(SUBSTITUTE(SUBSTITUTE(SUBSTITUTE(SUBSTITUTE(SUBSTITUTE(SUBSTITUTE(SUBSTITUTE($AA498," ",""),"　",""),"(주)",""),"（주）",""),"㈜",""),"주식회사",""),"(유)",""),"（유）",""),"유한회사",""))</f>
        <v/>
      </c>
      <c r="AC498" s="31">
        <f>IF(OR($Y498="",N($Z498)&lt;=0,$AB498=""),0,IFERROR(LOOKUP(2,1/((거래처별!$AC$8:$AC$307&lt;&gt;"")*ISNUMBER(SEARCH(거래처별!$AC$8:$AC$307,$AB498))),거래처별!$A$8:$A$307),IFERROR(LOOKUP(2,1/((거래처별!$AD$8:$AD$307&lt;&gt;"")*ISNUMBER(SEARCH(거래처별!$AD$8:$AD$307,$AB498))),거래처별!$A$8:$A$307),IFERROR(LOOKUP(2,1/((거래처별!$AE$8:$AE$307&lt;&gt;"")*ISNUMBER(SEARCH(거래처별!$AE$8:$AE$307,$AB498))),거래처별!$A$8:$A$307),0))))</f>
        <v/>
      </c>
      <c r="AD498" s="31">
        <f>IF(AND($Y498&lt;&gt;"",N($Z498)&gt;0,$AC498=0),MAX($AD$7:$AD497)+1,"")</f>
        <v/>
      </c>
      <c r="AE498" s="31">
        <f>IF($Y498="",0,$Y498)</f>
        <v/>
      </c>
    </row>
    <row r="499">
      <c r="W499" s="31">
        <f>IF(OR($B$5="",$C$6="",ROW()&lt;$B$5),"",IF(INDEX($A:$U,ROW(),$C$6)="","",INDEX($A:$U,ROW(),$C$6)))</f>
        <v/>
      </c>
      <c r="X499" s="32">
        <f>IF($W499="","",IF(ISNUMBER($W499),IF($W499&gt;=10000000,IFERROR(DATE(INT($W499/10000),MOD(INT($W499/100),100),MOD($W499,100)),""),INT($W499)),IFERROR(DATE(--LEFT(LEFT(SUBSTITUTE(SUBSTITUTE(SUBSTITUTE(SUBSTITUTE(TRIM($W499),"-",""),".",""),"/","")," ",""),8),4),--MID(LEFT(SUBSTITUTE(SUBSTITUTE(SUBSTITUTE(SUBSTITUTE(TRIM($W499),"-",""),".",""),"/","")," ",""),8),5,2),--MID(LEFT(SUBSTITUTE(SUBSTITUTE(SUBSTITUTE(SUBSTITUTE(TRIM($W499),"-",""),".",""),"/","")," ",""),8),7,2)),"")))</f>
        <v/>
      </c>
      <c r="Y499" s="32">
        <f>IF($X499="","",INT($X499))</f>
        <v/>
      </c>
      <c r="Z499" s="33">
        <f>IF(OR($Y499="",$D$6=""),"",IF(INDEX($A:$U,ROW(),$D$6)="",0,IF(ISNUMBER(INDEX($A:$U,ROW(),$D$6)),INDEX($A:$U,ROW(),$D$6),IFERROR(--SUBSTITUTE(SUBSTITUTE(TRIM(INDEX($A:$U,ROW(),$D$6)),",",""),"원",""),0))))</f>
        <v/>
      </c>
      <c r="AA499" s="31">
        <f>IF($Y499="","",TRIM(INDEX($A:$U,ROW(),$E$6)&amp;IF($F$6="",""," "&amp;INDEX($A:$U,ROW(),$F$6))))</f>
        <v/>
      </c>
      <c r="AB499" s="31">
        <f>IF($AA499="","",SUBSTITUTE(SUBSTITUTE(SUBSTITUTE(SUBSTITUTE(SUBSTITUTE(SUBSTITUTE(SUBSTITUTE(SUBSTITUTE(SUBSTITUTE($AA499," ",""),"　",""),"(주)",""),"（주）",""),"㈜",""),"주식회사",""),"(유)",""),"（유）",""),"유한회사",""))</f>
        <v/>
      </c>
      <c r="AC499" s="31">
        <f>IF(OR($Y499="",N($Z499)&lt;=0,$AB499=""),0,IFERROR(LOOKUP(2,1/((거래처별!$AC$8:$AC$307&lt;&gt;"")*ISNUMBER(SEARCH(거래처별!$AC$8:$AC$307,$AB499))),거래처별!$A$8:$A$307),IFERROR(LOOKUP(2,1/((거래처별!$AD$8:$AD$307&lt;&gt;"")*ISNUMBER(SEARCH(거래처별!$AD$8:$AD$307,$AB499))),거래처별!$A$8:$A$307),IFERROR(LOOKUP(2,1/((거래처별!$AE$8:$AE$307&lt;&gt;"")*ISNUMBER(SEARCH(거래처별!$AE$8:$AE$307,$AB499))),거래처별!$A$8:$A$307),0))))</f>
        <v/>
      </c>
      <c r="AD499" s="31">
        <f>IF(AND($Y499&lt;&gt;"",N($Z499)&gt;0,$AC499=0),MAX($AD$7:$AD498)+1,"")</f>
        <v/>
      </c>
      <c r="AE499" s="31">
        <f>IF($Y499="",0,$Y499)</f>
        <v/>
      </c>
    </row>
    <row r="500">
      <c r="W500" s="31">
        <f>IF(OR($B$5="",$C$6="",ROW()&lt;$B$5),"",IF(INDEX($A:$U,ROW(),$C$6)="","",INDEX($A:$U,ROW(),$C$6)))</f>
        <v/>
      </c>
      <c r="X500" s="32">
        <f>IF($W500="","",IF(ISNUMBER($W500),IF($W500&gt;=10000000,IFERROR(DATE(INT($W500/10000),MOD(INT($W500/100),100),MOD($W500,100)),""),INT($W500)),IFERROR(DATE(--LEFT(LEFT(SUBSTITUTE(SUBSTITUTE(SUBSTITUTE(SUBSTITUTE(TRIM($W500),"-",""),".",""),"/","")," ",""),8),4),--MID(LEFT(SUBSTITUTE(SUBSTITUTE(SUBSTITUTE(SUBSTITUTE(TRIM($W500),"-",""),".",""),"/","")," ",""),8),5,2),--MID(LEFT(SUBSTITUTE(SUBSTITUTE(SUBSTITUTE(SUBSTITUTE(TRIM($W500),"-",""),".",""),"/","")," ",""),8),7,2)),"")))</f>
        <v/>
      </c>
      <c r="Y500" s="32">
        <f>IF($X500="","",INT($X500))</f>
        <v/>
      </c>
      <c r="Z500" s="33">
        <f>IF(OR($Y500="",$D$6=""),"",IF(INDEX($A:$U,ROW(),$D$6)="",0,IF(ISNUMBER(INDEX($A:$U,ROW(),$D$6)),INDEX($A:$U,ROW(),$D$6),IFERROR(--SUBSTITUTE(SUBSTITUTE(TRIM(INDEX($A:$U,ROW(),$D$6)),",",""),"원",""),0))))</f>
        <v/>
      </c>
      <c r="AA500" s="31">
        <f>IF($Y500="","",TRIM(INDEX($A:$U,ROW(),$E$6)&amp;IF($F$6="",""," "&amp;INDEX($A:$U,ROW(),$F$6))))</f>
        <v/>
      </c>
      <c r="AB500" s="31">
        <f>IF($AA500="","",SUBSTITUTE(SUBSTITUTE(SUBSTITUTE(SUBSTITUTE(SUBSTITUTE(SUBSTITUTE(SUBSTITUTE(SUBSTITUTE(SUBSTITUTE($AA500," ",""),"　",""),"(주)",""),"（주）",""),"㈜",""),"주식회사",""),"(유)",""),"（유）",""),"유한회사",""))</f>
        <v/>
      </c>
      <c r="AC500" s="31">
        <f>IF(OR($Y500="",N($Z500)&lt;=0,$AB500=""),0,IFERROR(LOOKUP(2,1/((거래처별!$AC$8:$AC$307&lt;&gt;"")*ISNUMBER(SEARCH(거래처별!$AC$8:$AC$307,$AB500))),거래처별!$A$8:$A$307),IFERROR(LOOKUP(2,1/((거래처별!$AD$8:$AD$307&lt;&gt;"")*ISNUMBER(SEARCH(거래처별!$AD$8:$AD$307,$AB500))),거래처별!$A$8:$A$307),IFERROR(LOOKUP(2,1/((거래처별!$AE$8:$AE$307&lt;&gt;"")*ISNUMBER(SEARCH(거래처별!$AE$8:$AE$307,$AB500))),거래처별!$A$8:$A$307),0))))</f>
        <v/>
      </c>
      <c r="AD500" s="31">
        <f>IF(AND($Y500&lt;&gt;"",N($Z500)&gt;0,$AC500=0),MAX($AD$7:$AD499)+1,"")</f>
        <v/>
      </c>
      <c r="AE500" s="31">
        <f>IF($Y500="",0,$Y500)</f>
        <v/>
      </c>
    </row>
    <row r="501">
      <c r="W501" s="31">
        <f>IF(OR($B$5="",$C$6="",ROW()&lt;$B$5),"",IF(INDEX($A:$U,ROW(),$C$6)="","",INDEX($A:$U,ROW(),$C$6)))</f>
        <v/>
      </c>
      <c r="X501" s="32">
        <f>IF($W501="","",IF(ISNUMBER($W501),IF($W501&gt;=10000000,IFERROR(DATE(INT($W501/10000),MOD(INT($W501/100),100),MOD($W501,100)),""),INT($W501)),IFERROR(DATE(--LEFT(LEFT(SUBSTITUTE(SUBSTITUTE(SUBSTITUTE(SUBSTITUTE(TRIM($W501),"-",""),".",""),"/","")," ",""),8),4),--MID(LEFT(SUBSTITUTE(SUBSTITUTE(SUBSTITUTE(SUBSTITUTE(TRIM($W501),"-",""),".",""),"/","")," ",""),8),5,2),--MID(LEFT(SUBSTITUTE(SUBSTITUTE(SUBSTITUTE(SUBSTITUTE(TRIM($W501),"-",""),".",""),"/","")," ",""),8),7,2)),"")))</f>
        <v/>
      </c>
      <c r="Y501" s="32">
        <f>IF($X501="","",INT($X501))</f>
        <v/>
      </c>
      <c r="Z501" s="33">
        <f>IF(OR($Y501="",$D$6=""),"",IF(INDEX($A:$U,ROW(),$D$6)="",0,IF(ISNUMBER(INDEX($A:$U,ROW(),$D$6)),INDEX($A:$U,ROW(),$D$6),IFERROR(--SUBSTITUTE(SUBSTITUTE(TRIM(INDEX($A:$U,ROW(),$D$6)),",",""),"원",""),0))))</f>
        <v/>
      </c>
      <c r="AA501" s="31">
        <f>IF($Y501="","",TRIM(INDEX($A:$U,ROW(),$E$6)&amp;IF($F$6="",""," "&amp;INDEX($A:$U,ROW(),$F$6))))</f>
        <v/>
      </c>
      <c r="AB501" s="31">
        <f>IF($AA501="","",SUBSTITUTE(SUBSTITUTE(SUBSTITUTE(SUBSTITUTE(SUBSTITUTE(SUBSTITUTE(SUBSTITUTE(SUBSTITUTE(SUBSTITUTE($AA501," ",""),"　",""),"(주)",""),"（주）",""),"㈜",""),"주식회사",""),"(유)",""),"（유）",""),"유한회사",""))</f>
        <v/>
      </c>
      <c r="AC501" s="31">
        <f>IF(OR($Y501="",N($Z501)&lt;=0,$AB501=""),0,IFERROR(LOOKUP(2,1/((거래처별!$AC$8:$AC$307&lt;&gt;"")*ISNUMBER(SEARCH(거래처별!$AC$8:$AC$307,$AB501))),거래처별!$A$8:$A$307),IFERROR(LOOKUP(2,1/((거래처별!$AD$8:$AD$307&lt;&gt;"")*ISNUMBER(SEARCH(거래처별!$AD$8:$AD$307,$AB501))),거래처별!$A$8:$A$307),IFERROR(LOOKUP(2,1/((거래처별!$AE$8:$AE$307&lt;&gt;"")*ISNUMBER(SEARCH(거래처별!$AE$8:$AE$307,$AB501))),거래처별!$A$8:$A$307),0))))</f>
        <v/>
      </c>
      <c r="AD501" s="31">
        <f>IF(AND($Y501&lt;&gt;"",N($Z501)&gt;0,$AC501=0),MAX($AD$7:$AD500)+1,"")</f>
        <v/>
      </c>
      <c r="AE501" s="31">
        <f>IF($Y501="",0,$Y501)</f>
        <v/>
      </c>
    </row>
    <row r="502">
      <c r="W502" s="31">
        <f>IF(OR($B$5="",$C$6="",ROW()&lt;$B$5),"",IF(INDEX($A:$U,ROW(),$C$6)="","",INDEX($A:$U,ROW(),$C$6)))</f>
        <v/>
      </c>
      <c r="X502" s="32">
        <f>IF($W502="","",IF(ISNUMBER($W502),IF($W502&gt;=10000000,IFERROR(DATE(INT($W502/10000),MOD(INT($W502/100),100),MOD($W502,100)),""),INT($W502)),IFERROR(DATE(--LEFT(LEFT(SUBSTITUTE(SUBSTITUTE(SUBSTITUTE(SUBSTITUTE(TRIM($W502),"-",""),".",""),"/","")," ",""),8),4),--MID(LEFT(SUBSTITUTE(SUBSTITUTE(SUBSTITUTE(SUBSTITUTE(TRIM($W502),"-",""),".",""),"/","")," ",""),8),5,2),--MID(LEFT(SUBSTITUTE(SUBSTITUTE(SUBSTITUTE(SUBSTITUTE(TRIM($W502),"-",""),".",""),"/","")," ",""),8),7,2)),"")))</f>
        <v/>
      </c>
      <c r="Y502" s="32">
        <f>IF($X502="","",INT($X502))</f>
        <v/>
      </c>
      <c r="Z502" s="33">
        <f>IF(OR($Y502="",$D$6=""),"",IF(INDEX($A:$U,ROW(),$D$6)="",0,IF(ISNUMBER(INDEX($A:$U,ROW(),$D$6)),INDEX($A:$U,ROW(),$D$6),IFERROR(--SUBSTITUTE(SUBSTITUTE(TRIM(INDEX($A:$U,ROW(),$D$6)),",",""),"원",""),0))))</f>
        <v/>
      </c>
      <c r="AA502" s="31">
        <f>IF($Y502="","",TRIM(INDEX($A:$U,ROW(),$E$6)&amp;IF($F$6="",""," "&amp;INDEX($A:$U,ROW(),$F$6))))</f>
        <v/>
      </c>
      <c r="AB502" s="31">
        <f>IF($AA502="","",SUBSTITUTE(SUBSTITUTE(SUBSTITUTE(SUBSTITUTE(SUBSTITUTE(SUBSTITUTE(SUBSTITUTE(SUBSTITUTE(SUBSTITUTE($AA502," ",""),"　",""),"(주)",""),"（주）",""),"㈜",""),"주식회사",""),"(유)",""),"（유）",""),"유한회사",""))</f>
        <v/>
      </c>
      <c r="AC502" s="31">
        <f>IF(OR($Y502="",N($Z502)&lt;=0,$AB502=""),0,IFERROR(LOOKUP(2,1/((거래처별!$AC$8:$AC$307&lt;&gt;"")*ISNUMBER(SEARCH(거래처별!$AC$8:$AC$307,$AB502))),거래처별!$A$8:$A$307),IFERROR(LOOKUP(2,1/((거래처별!$AD$8:$AD$307&lt;&gt;"")*ISNUMBER(SEARCH(거래처별!$AD$8:$AD$307,$AB502))),거래처별!$A$8:$A$307),IFERROR(LOOKUP(2,1/((거래처별!$AE$8:$AE$307&lt;&gt;"")*ISNUMBER(SEARCH(거래처별!$AE$8:$AE$307,$AB502))),거래처별!$A$8:$A$307),0))))</f>
        <v/>
      </c>
      <c r="AD502" s="31">
        <f>IF(AND($Y502&lt;&gt;"",N($Z502)&gt;0,$AC502=0),MAX($AD$7:$AD501)+1,"")</f>
        <v/>
      </c>
      <c r="AE502" s="31">
        <f>IF($Y502="",0,$Y502)</f>
        <v/>
      </c>
    </row>
    <row r="503">
      <c r="W503" s="31">
        <f>IF(OR($B$5="",$C$6="",ROW()&lt;$B$5),"",IF(INDEX($A:$U,ROW(),$C$6)="","",INDEX($A:$U,ROW(),$C$6)))</f>
        <v/>
      </c>
      <c r="X503" s="32">
        <f>IF($W503="","",IF(ISNUMBER($W503),IF($W503&gt;=10000000,IFERROR(DATE(INT($W503/10000),MOD(INT($W503/100),100),MOD($W503,100)),""),INT($W503)),IFERROR(DATE(--LEFT(LEFT(SUBSTITUTE(SUBSTITUTE(SUBSTITUTE(SUBSTITUTE(TRIM($W503),"-",""),".",""),"/","")," ",""),8),4),--MID(LEFT(SUBSTITUTE(SUBSTITUTE(SUBSTITUTE(SUBSTITUTE(TRIM($W503),"-",""),".",""),"/","")," ",""),8),5,2),--MID(LEFT(SUBSTITUTE(SUBSTITUTE(SUBSTITUTE(SUBSTITUTE(TRIM($W503),"-",""),".",""),"/","")," ",""),8),7,2)),"")))</f>
        <v/>
      </c>
      <c r="Y503" s="32">
        <f>IF($X503="","",INT($X503))</f>
        <v/>
      </c>
      <c r="Z503" s="33">
        <f>IF(OR($Y503="",$D$6=""),"",IF(INDEX($A:$U,ROW(),$D$6)="",0,IF(ISNUMBER(INDEX($A:$U,ROW(),$D$6)),INDEX($A:$U,ROW(),$D$6),IFERROR(--SUBSTITUTE(SUBSTITUTE(TRIM(INDEX($A:$U,ROW(),$D$6)),",",""),"원",""),0))))</f>
        <v/>
      </c>
      <c r="AA503" s="31">
        <f>IF($Y503="","",TRIM(INDEX($A:$U,ROW(),$E$6)&amp;IF($F$6="",""," "&amp;INDEX($A:$U,ROW(),$F$6))))</f>
        <v/>
      </c>
      <c r="AB503" s="31">
        <f>IF($AA503="","",SUBSTITUTE(SUBSTITUTE(SUBSTITUTE(SUBSTITUTE(SUBSTITUTE(SUBSTITUTE(SUBSTITUTE(SUBSTITUTE(SUBSTITUTE($AA503," ",""),"　",""),"(주)",""),"（주）",""),"㈜",""),"주식회사",""),"(유)",""),"（유）",""),"유한회사",""))</f>
        <v/>
      </c>
      <c r="AC503" s="31">
        <f>IF(OR($Y503="",N($Z503)&lt;=0,$AB503=""),0,IFERROR(LOOKUP(2,1/((거래처별!$AC$8:$AC$307&lt;&gt;"")*ISNUMBER(SEARCH(거래처별!$AC$8:$AC$307,$AB503))),거래처별!$A$8:$A$307),IFERROR(LOOKUP(2,1/((거래처별!$AD$8:$AD$307&lt;&gt;"")*ISNUMBER(SEARCH(거래처별!$AD$8:$AD$307,$AB503))),거래처별!$A$8:$A$307),IFERROR(LOOKUP(2,1/((거래처별!$AE$8:$AE$307&lt;&gt;"")*ISNUMBER(SEARCH(거래처별!$AE$8:$AE$307,$AB503))),거래처별!$A$8:$A$307),0))))</f>
        <v/>
      </c>
      <c r="AD503" s="31">
        <f>IF(AND($Y503&lt;&gt;"",N($Z503)&gt;0,$AC503=0),MAX($AD$7:$AD502)+1,"")</f>
        <v/>
      </c>
      <c r="AE503" s="31">
        <f>IF($Y503="",0,$Y503)</f>
        <v/>
      </c>
    </row>
    <row r="504">
      <c r="W504" s="31">
        <f>IF(OR($B$5="",$C$6="",ROW()&lt;$B$5),"",IF(INDEX($A:$U,ROW(),$C$6)="","",INDEX($A:$U,ROW(),$C$6)))</f>
        <v/>
      </c>
      <c r="X504" s="32">
        <f>IF($W504="","",IF(ISNUMBER($W504),IF($W504&gt;=10000000,IFERROR(DATE(INT($W504/10000),MOD(INT($W504/100),100),MOD($W504,100)),""),INT($W504)),IFERROR(DATE(--LEFT(LEFT(SUBSTITUTE(SUBSTITUTE(SUBSTITUTE(SUBSTITUTE(TRIM($W504),"-",""),".",""),"/","")," ",""),8),4),--MID(LEFT(SUBSTITUTE(SUBSTITUTE(SUBSTITUTE(SUBSTITUTE(TRIM($W504),"-",""),".",""),"/","")," ",""),8),5,2),--MID(LEFT(SUBSTITUTE(SUBSTITUTE(SUBSTITUTE(SUBSTITUTE(TRIM($W504),"-",""),".",""),"/","")," ",""),8),7,2)),"")))</f>
        <v/>
      </c>
      <c r="Y504" s="32">
        <f>IF($X504="","",INT($X504))</f>
        <v/>
      </c>
      <c r="Z504" s="33">
        <f>IF(OR($Y504="",$D$6=""),"",IF(INDEX($A:$U,ROW(),$D$6)="",0,IF(ISNUMBER(INDEX($A:$U,ROW(),$D$6)),INDEX($A:$U,ROW(),$D$6),IFERROR(--SUBSTITUTE(SUBSTITUTE(TRIM(INDEX($A:$U,ROW(),$D$6)),",",""),"원",""),0))))</f>
        <v/>
      </c>
      <c r="AA504" s="31">
        <f>IF($Y504="","",TRIM(INDEX($A:$U,ROW(),$E$6)&amp;IF($F$6="",""," "&amp;INDEX($A:$U,ROW(),$F$6))))</f>
        <v/>
      </c>
      <c r="AB504" s="31">
        <f>IF($AA504="","",SUBSTITUTE(SUBSTITUTE(SUBSTITUTE(SUBSTITUTE(SUBSTITUTE(SUBSTITUTE(SUBSTITUTE(SUBSTITUTE(SUBSTITUTE($AA504," ",""),"　",""),"(주)",""),"（주）",""),"㈜",""),"주식회사",""),"(유)",""),"（유）",""),"유한회사",""))</f>
        <v/>
      </c>
      <c r="AC504" s="31">
        <f>IF(OR($Y504="",N($Z504)&lt;=0,$AB504=""),0,IFERROR(LOOKUP(2,1/((거래처별!$AC$8:$AC$307&lt;&gt;"")*ISNUMBER(SEARCH(거래처별!$AC$8:$AC$307,$AB504))),거래처별!$A$8:$A$307),IFERROR(LOOKUP(2,1/((거래처별!$AD$8:$AD$307&lt;&gt;"")*ISNUMBER(SEARCH(거래처별!$AD$8:$AD$307,$AB504))),거래처별!$A$8:$A$307),IFERROR(LOOKUP(2,1/((거래처별!$AE$8:$AE$307&lt;&gt;"")*ISNUMBER(SEARCH(거래처별!$AE$8:$AE$307,$AB504))),거래처별!$A$8:$A$307),0))))</f>
        <v/>
      </c>
      <c r="AD504" s="31">
        <f>IF(AND($Y504&lt;&gt;"",N($Z504)&gt;0,$AC504=0),MAX($AD$7:$AD503)+1,"")</f>
        <v/>
      </c>
      <c r="AE504" s="31">
        <f>IF($Y504="",0,$Y504)</f>
        <v/>
      </c>
    </row>
    <row r="505">
      <c r="W505" s="31">
        <f>IF(OR($B$5="",$C$6="",ROW()&lt;$B$5),"",IF(INDEX($A:$U,ROW(),$C$6)="","",INDEX($A:$U,ROW(),$C$6)))</f>
        <v/>
      </c>
      <c r="X505" s="32">
        <f>IF($W505="","",IF(ISNUMBER($W505),IF($W505&gt;=10000000,IFERROR(DATE(INT($W505/10000),MOD(INT($W505/100),100),MOD($W505,100)),""),INT($W505)),IFERROR(DATE(--LEFT(LEFT(SUBSTITUTE(SUBSTITUTE(SUBSTITUTE(SUBSTITUTE(TRIM($W505),"-",""),".",""),"/","")," ",""),8),4),--MID(LEFT(SUBSTITUTE(SUBSTITUTE(SUBSTITUTE(SUBSTITUTE(TRIM($W505),"-",""),".",""),"/","")," ",""),8),5,2),--MID(LEFT(SUBSTITUTE(SUBSTITUTE(SUBSTITUTE(SUBSTITUTE(TRIM($W505),"-",""),".",""),"/","")," ",""),8),7,2)),"")))</f>
        <v/>
      </c>
      <c r="Y505" s="32">
        <f>IF($X505="","",INT($X505))</f>
        <v/>
      </c>
      <c r="Z505" s="33">
        <f>IF(OR($Y505="",$D$6=""),"",IF(INDEX($A:$U,ROW(),$D$6)="",0,IF(ISNUMBER(INDEX($A:$U,ROW(),$D$6)),INDEX($A:$U,ROW(),$D$6),IFERROR(--SUBSTITUTE(SUBSTITUTE(TRIM(INDEX($A:$U,ROW(),$D$6)),",",""),"원",""),0))))</f>
        <v/>
      </c>
      <c r="AA505" s="31">
        <f>IF($Y505="","",TRIM(INDEX($A:$U,ROW(),$E$6)&amp;IF($F$6="",""," "&amp;INDEX($A:$U,ROW(),$F$6))))</f>
        <v/>
      </c>
      <c r="AB505" s="31">
        <f>IF($AA505="","",SUBSTITUTE(SUBSTITUTE(SUBSTITUTE(SUBSTITUTE(SUBSTITUTE(SUBSTITUTE(SUBSTITUTE(SUBSTITUTE(SUBSTITUTE($AA505," ",""),"　",""),"(주)",""),"（주）",""),"㈜",""),"주식회사",""),"(유)",""),"（유）",""),"유한회사",""))</f>
        <v/>
      </c>
      <c r="AC505" s="31">
        <f>IF(OR($Y505="",N($Z505)&lt;=0,$AB505=""),0,IFERROR(LOOKUP(2,1/((거래처별!$AC$8:$AC$307&lt;&gt;"")*ISNUMBER(SEARCH(거래처별!$AC$8:$AC$307,$AB505))),거래처별!$A$8:$A$307),IFERROR(LOOKUP(2,1/((거래처별!$AD$8:$AD$307&lt;&gt;"")*ISNUMBER(SEARCH(거래처별!$AD$8:$AD$307,$AB505))),거래처별!$A$8:$A$307),IFERROR(LOOKUP(2,1/((거래처별!$AE$8:$AE$307&lt;&gt;"")*ISNUMBER(SEARCH(거래처별!$AE$8:$AE$307,$AB505))),거래처별!$A$8:$A$307),0))))</f>
        <v/>
      </c>
      <c r="AD505" s="31">
        <f>IF(AND($Y505&lt;&gt;"",N($Z505)&gt;0,$AC505=0),MAX($AD$7:$AD504)+1,"")</f>
        <v/>
      </c>
      <c r="AE505" s="31">
        <f>IF($Y505="",0,$Y505)</f>
        <v/>
      </c>
    </row>
    <row r="506">
      <c r="W506" s="31">
        <f>IF(OR($B$5="",$C$6="",ROW()&lt;$B$5),"",IF(INDEX($A:$U,ROW(),$C$6)="","",INDEX($A:$U,ROW(),$C$6)))</f>
        <v/>
      </c>
      <c r="X506" s="32">
        <f>IF($W506="","",IF(ISNUMBER($W506),IF($W506&gt;=10000000,IFERROR(DATE(INT($W506/10000),MOD(INT($W506/100),100),MOD($W506,100)),""),INT($W506)),IFERROR(DATE(--LEFT(LEFT(SUBSTITUTE(SUBSTITUTE(SUBSTITUTE(SUBSTITUTE(TRIM($W506),"-",""),".",""),"/","")," ",""),8),4),--MID(LEFT(SUBSTITUTE(SUBSTITUTE(SUBSTITUTE(SUBSTITUTE(TRIM($W506),"-",""),".",""),"/","")," ",""),8),5,2),--MID(LEFT(SUBSTITUTE(SUBSTITUTE(SUBSTITUTE(SUBSTITUTE(TRIM($W506),"-",""),".",""),"/","")," ",""),8),7,2)),"")))</f>
        <v/>
      </c>
      <c r="Y506" s="32">
        <f>IF($X506="","",INT($X506))</f>
        <v/>
      </c>
      <c r="Z506" s="33">
        <f>IF(OR($Y506="",$D$6=""),"",IF(INDEX($A:$U,ROW(),$D$6)="",0,IF(ISNUMBER(INDEX($A:$U,ROW(),$D$6)),INDEX($A:$U,ROW(),$D$6),IFERROR(--SUBSTITUTE(SUBSTITUTE(TRIM(INDEX($A:$U,ROW(),$D$6)),",",""),"원",""),0))))</f>
        <v/>
      </c>
      <c r="AA506" s="31">
        <f>IF($Y506="","",TRIM(INDEX($A:$U,ROW(),$E$6)&amp;IF($F$6="",""," "&amp;INDEX($A:$U,ROW(),$F$6))))</f>
        <v/>
      </c>
      <c r="AB506" s="31">
        <f>IF($AA506="","",SUBSTITUTE(SUBSTITUTE(SUBSTITUTE(SUBSTITUTE(SUBSTITUTE(SUBSTITUTE(SUBSTITUTE(SUBSTITUTE(SUBSTITUTE($AA506," ",""),"　",""),"(주)",""),"（주）",""),"㈜",""),"주식회사",""),"(유)",""),"（유）",""),"유한회사",""))</f>
        <v/>
      </c>
      <c r="AC506" s="31">
        <f>IF(OR($Y506="",N($Z506)&lt;=0,$AB506=""),0,IFERROR(LOOKUP(2,1/((거래처별!$AC$8:$AC$307&lt;&gt;"")*ISNUMBER(SEARCH(거래처별!$AC$8:$AC$307,$AB506))),거래처별!$A$8:$A$307),IFERROR(LOOKUP(2,1/((거래처별!$AD$8:$AD$307&lt;&gt;"")*ISNUMBER(SEARCH(거래처별!$AD$8:$AD$307,$AB506))),거래처별!$A$8:$A$307),IFERROR(LOOKUP(2,1/((거래처별!$AE$8:$AE$307&lt;&gt;"")*ISNUMBER(SEARCH(거래처별!$AE$8:$AE$307,$AB506))),거래처별!$A$8:$A$307),0))))</f>
        <v/>
      </c>
      <c r="AD506" s="31">
        <f>IF(AND($Y506&lt;&gt;"",N($Z506)&gt;0,$AC506=0),MAX($AD$7:$AD505)+1,"")</f>
        <v/>
      </c>
      <c r="AE506" s="31">
        <f>IF($Y506="",0,$Y506)</f>
        <v/>
      </c>
    </row>
    <row r="507">
      <c r="W507" s="31">
        <f>IF(OR($B$5="",$C$6="",ROW()&lt;$B$5),"",IF(INDEX($A:$U,ROW(),$C$6)="","",INDEX($A:$U,ROW(),$C$6)))</f>
        <v/>
      </c>
      <c r="X507" s="32">
        <f>IF($W507="","",IF(ISNUMBER($W507),IF($W507&gt;=10000000,IFERROR(DATE(INT($W507/10000),MOD(INT($W507/100),100),MOD($W507,100)),""),INT($W507)),IFERROR(DATE(--LEFT(LEFT(SUBSTITUTE(SUBSTITUTE(SUBSTITUTE(SUBSTITUTE(TRIM($W507),"-",""),".",""),"/","")," ",""),8),4),--MID(LEFT(SUBSTITUTE(SUBSTITUTE(SUBSTITUTE(SUBSTITUTE(TRIM($W507),"-",""),".",""),"/","")," ",""),8),5,2),--MID(LEFT(SUBSTITUTE(SUBSTITUTE(SUBSTITUTE(SUBSTITUTE(TRIM($W507),"-",""),".",""),"/","")," ",""),8),7,2)),"")))</f>
        <v/>
      </c>
      <c r="Y507" s="32">
        <f>IF($X507="","",INT($X507))</f>
        <v/>
      </c>
      <c r="Z507" s="33">
        <f>IF(OR($Y507="",$D$6=""),"",IF(INDEX($A:$U,ROW(),$D$6)="",0,IF(ISNUMBER(INDEX($A:$U,ROW(),$D$6)),INDEX($A:$U,ROW(),$D$6),IFERROR(--SUBSTITUTE(SUBSTITUTE(TRIM(INDEX($A:$U,ROW(),$D$6)),",",""),"원",""),0))))</f>
        <v/>
      </c>
      <c r="AA507" s="31">
        <f>IF($Y507="","",TRIM(INDEX($A:$U,ROW(),$E$6)&amp;IF($F$6="",""," "&amp;INDEX($A:$U,ROW(),$F$6))))</f>
        <v/>
      </c>
      <c r="AB507" s="31">
        <f>IF($AA507="","",SUBSTITUTE(SUBSTITUTE(SUBSTITUTE(SUBSTITUTE(SUBSTITUTE(SUBSTITUTE(SUBSTITUTE(SUBSTITUTE(SUBSTITUTE($AA507," ",""),"　",""),"(주)",""),"（주）",""),"㈜",""),"주식회사",""),"(유)",""),"（유）",""),"유한회사",""))</f>
        <v/>
      </c>
      <c r="AC507" s="31">
        <f>IF(OR($Y507="",N($Z507)&lt;=0,$AB507=""),0,IFERROR(LOOKUP(2,1/((거래처별!$AC$8:$AC$307&lt;&gt;"")*ISNUMBER(SEARCH(거래처별!$AC$8:$AC$307,$AB507))),거래처별!$A$8:$A$307),IFERROR(LOOKUP(2,1/((거래처별!$AD$8:$AD$307&lt;&gt;"")*ISNUMBER(SEARCH(거래처별!$AD$8:$AD$307,$AB507))),거래처별!$A$8:$A$307),IFERROR(LOOKUP(2,1/((거래처별!$AE$8:$AE$307&lt;&gt;"")*ISNUMBER(SEARCH(거래처별!$AE$8:$AE$307,$AB507))),거래처별!$A$8:$A$307),0))))</f>
        <v/>
      </c>
      <c r="AD507" s="31">
        <f>IF(AND($Y507&lt;&gt;"",N($Z507)&gt;0,$AC507=0),MAX($AD$7:$AD506)+1,"")</f>
        <v/>
      </c>
      <c r="AE507" s="31">
        <f>IF($Y507="",0,$Y507)</f>
        <v/>
      </c>
    </row>
    <row r="508">
      <c r="W508" s="31">
        <f>IF(OR($B$5="",$C$6="",ROW()&lt;$B$5),"",IF(INDEX($A:$U,ROW(),$C$6)="","",INDEX($A:$U,ROW(),$C$6)))</f>
        <v/>
      </c>
      <c r="X508" s="32">
        <f>IF($W508="","",IF(ISNUMBER($W508),IF($W508&gt;=10000000,IFERROR(DATE(INT($W508/10000),MOD(INT($W508/100),100),MOD($W508,100)),""),INT($W508)),IFERROR(DATE(--LEFT(LEFT(SUBSTITUTE(SUBSTITUTE(SUBSTITUTE(SUBSTITUTE(TRIM($W508),"-",""),".",""),"/","")," ",""),8),4),--MID(LEFT(SUBSTITUTE(SUBSTITUTE(SUBSTITUTE(SUBSTITUTE(TRIM($W508),"-",""),".",""),"/","")," ",""),8),5,2),--MID(LEFT(SUBSTITUTE(SUBSTITUTE(SUBSTITUTE(SUBSTITUTE(TRIM($W508),"-",""),".",""),"/","")," ",""),8),7,2)),"")))</f>
        <v/>
      </c>
      <c r="Y508" s="32">
        <f>IF($X508="","",INT($X508))</f>
        <v/>
      </c>
      <c r="Z508" s="33">
        <f>IF(OR($Y508="",$D$6=""),"",IF(INDEX($A:$U,ROW(),$D$6)="",0,IF(ISNUMBER(INDEX($A:$U,ROW(),$D$6)),INDEX($A:$U,ROW(),$D$6),IFERROR(--SUBSTITUTE(SUBSTITUTE(TRIM(INDEX($A:$U,ROW(),$D$6)),",",""),"원",""),0))))</f>
        <v/>
      </c>
      <c r="AA508" s="31">
        <f>IF($Y508="","",TRIM(INDEX($A:$U,ROW(),$E$6)&amp;IF($F$6="",""," "&amp;INDEX($A:$U,ROW(),$F$6))))</f>
        <v/>
      </c>
      <c r="AB508" s="31">
        <f>IF($AA508="","",SUBSTITUTE(SUBSTITUTE(SUBSTITUTE(SUBSTITUTE(SUBSTITUTE(SUBSTITUTE(SUBSTITUTE(SUBSTITUTE(SUBSTITUTE($AA508," ",""),"　",""),"(주)",""),"（주）",""),"㈜",""),"주식회사",""),"(유)",""),"（유）",""),"유한회사",""))</f>
        <v/>
      </c>
      <c r="AC508" s="31">
        <f>IF(OR($Y508="",N($Z508)&lt;=0,$AB508=""),0,IFERROR(LOOKUP(2,1/((거래처별!$AC$8:$AC$307&lt;&gt;"")*ISNUMBER(SEARCH(거래처별!$AC$8:$AC$307,$AB508))),거래처별!$A$8:$A$307),IFERROR(LOOKUP(2,1/((거래처별!$AD$8:$AD$307&lt;&gt;"")*ISNUMBER(SEARCH(거래처별!$AD$8:$AD$307,$AB508))),거래처별!$A$8:$A$307),IFERROR(LOOKUP(2,1/((거래처별!$AE$8:$AE$307&lt;&gt;"")*ISNUMBER(SEARCH(거래처별!$AE$8:$AE$307,$AB508))),거래처별!$A$8:$A$307),0))))</f>
        <v/>
      </c>
      <c r="AD508" s="31">
        <f>IF(AND($Y508&lt;&gt;"",N($Z508)&gt;0,$AC508=0),MAX($AD$7:$AD507)+1,"")</f>
        <v/>
      </c>
      <c r="AE508" s="31">
        <f>IF($Y508="",0,$Y508)</f>
        <v/>
      </c>
    </row>
    <row r="509">
      <c r="W509" s="31">
        <f>IF(OR($B$5="",$C$6="",ROW()&lt;$B$5),"",IF(INDEX($A:$U,ROW(),$C$6)="","",INDEX($A:$U,ROW(),$C$6)))</f>
        <v/>
      </c>
      <c r="X509" s="32">
        <f>IF($W509="","",IF(ISNUMBER($W509),IF($W509&gt;=10000000,IFERROR(DATE(INT($W509/10000),MOD(INT($W509/100),100),MOD($W509,100)),""),INT($W509)),IFERROR(DATE(--LEFT(LEFT(SUBSTITUTE(SUBSTITUTE(SUBSTITUTE(SUBSTITUTE(TRIM($W509),"-",""),".",""),"/","")," ",""),8),4),--MID(LEFT(SUBSTITUTE(SUBSTITUTE(SUBSTITUTE(SUBSTITUTE(TRIM($W509),"-",""),".",""),"/","")," ",""),8),5,2),--MID(LEFT(SUBSTITUTE(SUBSTITUTE(SUBSTITUTE(SUBSTITUTE(TRIM($W509),"-",""),".",""),"/","")," ",""),8),7,2)),"")))</f>
        <v/>
      </c>
      <c r="Y509" s="32">
        <f>IF($X509="","",INT($X509))</f>
        <v/>
      </c>
      <c r="Z509" s="33">
        <f>IF(OR($Y509="",$D$6=""),"",IF(INDEX($A:$U,ROW(),$D$6)="",0,IF(ISNUMBER(INDEX($A:$U,ROW(),$D$6)),INDEX($A:$U,ROW(),$D$6),IFERROR(--SUBSTITUTE(SUBSTITUTE(TRIM(INDEX($A:$U,ROW(),$D$6)),",",""),"원",""),0))))</f>
        <v/>
      </c>
      <c r="AA509" s="31">
        <f>IF($Y509="","",TRIM(INDEX($A:$U,ROW(),$E$6)&amp;IF($F$6="",""," "&amp;INDEX($A:$U,ROW(),$F$6))))</f>
        <v/>
      </c>
      <c r="AB509" s="31">
        <f>IF($AA509="","",SUBSTITUTE(SUBSTITUTE(SUBSTITUTE(SUBSTITUTE(SUBSTITUTE(SUBSTITUTE(SUBSTITUTE(SUBSTITUTE(SUBSTITUTE($AA509," ",""),"　",""),"(주)",""),"（주）",""),"㈜",""),"주식회사",""),"(유)",""),"（유）",""),"유한회사",""))</f>
        <v/>
      </c>
      <c r="AC509" s="31">
        <f>IF(OR($Y509="",N($Z509)&lt;=0,$AB509=""),0,IFERROR(LOOKUP(2,1/((거래처별!$AC$8:$AC$307&lt;&gt;"")*ISNUMBER(SEARCH(거래처별!$AC$8:$AC$307,$AB509))),거래처별!$A$8:$A$307),IFERROR(LOOKUP(2,1/((거래처별!$AD$8:$AD$307&lt;&gt;"")*ISNUMBER(SEARCH(거래처별!$AD$8:$AD$307,$AB509))),거래처별!$A$8:$A$307),IFERROR(LOOKUP(2,1/((거래처별!$AE$8:$AE$307&lt;&gt;"")*ISNUMBER(SEARCH(거래처별!$AE$8:$AE$307,$AB509))),거래처별!$A$8:$A$307),0))))</f>
        <v/>
      </c>
      <c r="AD509" s="31">
        <f>IF(AND($Y509&lt;&gt;"",N($Z509)&gt;0,$AC509=0),MAX($AD$7:$AD508)+1,"")</f>
        <v/>
      </c>
      <c r="AE509" s="31">
        <f>IF($Y509="",0,$Y509)</f>
        <v/>
      </c>
    </row>
    <row r="510">
      <c r="W510" s="31">
        <f>IF(OR($B$5="",$C$6="",ROW()&lt;$B$5),"",IF(INDEX($A:$U,ROW(),$C$6)="","",INDEX($A:$U,ROW(),$C$6)))</f>
        <v/>
      </c>
      <c r="X510" s="32">
        <f>IF($W510="","",IF(ISNUMBER($W510),IF($W510&gt;=10000000,IFERROR(DATE(INT($W510/10000),MOD(INT($W510/100),100),MOD($W510,100)),""),INT($W510)),IFERROR(DATE(--LEFT(LEFT(SUBSTITUTE(SUBSTITUTE(SUBSTITUTE(SUBSTITUTE(TRIM($W510),"-",""),".",""),"/","")," ",""),8),4),--MID(LEFT(SUBSTITUTE(SUBSTITUTE(SUBSTITUTE(SUBSTITUTE(TRIM($W510),"-",""),".",""),"/","")," ",""),8),5,2),--MID(LEFT(SUBSTITUTE(SUBSTITUTE(SUBSTITUTE(SUBSTITUTE(TRIM($W510),"-",""),".",""),"/","")," ",""),8),7,2)),"")))</f>
        <v/>
      </c>
      <c r="Y510" s="32">
        <f>IF($X510="","",INT($X510))</f>
        <v/>
      </c>
      <c r="Z510" s="33">
        <f>IF(OR($Y510="",$D$6=""),"",IF(INDEX($A:$U,ROW(),$D$6)="",0,IF(ISNUMBER(INDEX($A:$U,ROW(),$D$6)),INDEX($A:$U,ROW(),$D$6),IFERROR(--SUBSTITUTE(SUBSTITUTE(TRIM(INDEX($A:$U,ROW(),$D$6)),",",""),"원",""),0))))</f>
        <v/>
      </c>
      <c r="AA510" s="31">
        <f>IF($Y510="","",TRIM(INDEX($A:$U,ROW(),$E$6)&amp;IF($F$6="",""," "&amp;INDEX($A:$U,ROW(),$F$6))))</f>
        <v/>
      </c>
      <c r="AB510" s="31">
        <f>IF($AA510="","",SUBSTITUTE(SUBSTITUTE(SUBSTITUTE(SUBSTITUTE(SUBSTITUTE(SUBSTITUTE(SUBSTITUTE(SUBSTITUTE(SUBSTITUTE($AA510," ",""),"　",""),"(주)",""),"（주）",""),"㈜",""),"주식회사",""),"(유)",""),"（유）",""),"유한회사",""))</f>
        <v/>
      </c>
      <c r="AC510" s="31">
        <f>IF(OR($Y510="",N($Z510)&lt;=0,$AB510=""),0,IFERROR(LOOKUP(2,1/((거래처별!$AC$8:$AC$307&lt;&gt;"")*ISNUMBER(SEARCH(거래처별!$AC$8:$AC$307,$AB510))),거래처별!$A$8:$A$307),IFERROR(LOOKUP(2,1/((거래처별!$AD$8:$AD$307&lt;&gt;"")*ISNUMBER(SEARCH(거래처별!$AD$8:$AD$307,$AB510))),거래처별!$A$8:$A$307),IFERROR(LOOKUP(2,1/((거래처별!$AE$8:$AE$307&lt;&gt;"")*ISNUMBER(SEARCH(거래처별!$AE$8:$AE$307,$AB510))),거래처별!$A$8:$A$307),0))))</f>
        <v/>
      </c>
      <c r="AD510" s="31">
        <f>IF(AND($Y510&lt;&gt;"",N($Z510)&gt;0,$AC510=0),MAX($AD$7:$AD509)+1,"")</f>
        <v/>
      </c>
      <c r="AE510" s="31">
        <f>IF($Y510="",0,$Y510)</f>
        <v/>
      </c>
    </row>
    <row r="511">
      <c r="W511" s="31">
        <f>IF(OR($B$5="",$C$6="",ROW()&lt;$B$5),"",IF(INDEX($A:$U,ROW(),$C$6)="","",INDEX($A:$U,ROW(),$C$6)))</f>
        <v/>
      </c>
      <c r="X511" s="32">
        <f>IF($W511="","",IF(ISNUMBER($W511),IF($W511&gt;=10000000,IFERROR(DATE(INT($W511/10000),MOD(INT($W511/100),100),MOD($W511,100)),""),INT($W511)),IFERROR(DATE(--LEFT(LEFT(SUBSTITUTE(SUBSTITUTE(SUBSTITUTE(SUBSTITUTE(TRIM($W511),"-",""),".",""),"/","")," ",""),8),4),--MID(LEFT(SUBSTITUTE(SUBSTITUTE(SUBSTITUTE(SUBSTITUTE(TRIM($W511),"-",""),".",""),"/","")," ",""),8),5,2),--MID(LEFT(SUBSTITUTE(SUBSTITUTE(SUBSTITUTE(SUBSTITUTE(TRIM($W511),"-",""),".",""),"/","")," ",""),8),7,2)),"")))</f>
        <v/>
      </c>
      <c r="Y511" s="32">
        <f>IF($X511="","",INT($X511))</f>
        <v/>
      </c>
      <c r="Z511" s="33">
        <f>IF(OR($Y511="",$D$6=""),"",IF(INDEX($A:$U,ROW(),$D$6)="",0,IF(ISNUMBER(INDEX($A:$U,ROW(),$D$6)),INDEX($A:$U,ROW(),$D$6),IFERROR(--SUBSTITUTE(SUBSTITUTE(TRIM(INDEX($A:$U,ROW(),$D$6)),",",""),"원",""),0))))</f>
        <v/>
      </c>
      <c r="AA511" s="31">
        <f>IF($Y511="","",TRIM(INDEX($A:$U,ROW(),$E$6)&amp;IF($F$6="",""," "&amp;INDEX($A:$U,ROW(),$F$6))))</f>
        <v/>
      </c>
      <c r="AB511" s="31">
        <f>IF($AA511="","",SUBSTITUTE(SUBSTITUTE(SUBSTITUTE(SUBSTITUTE(SUBSTITUTE(SUBSTITUTE(SUBSTITUTE(SUBSTITUTE(SUBSTITUTE($AA511," ",""),"　",""),"(주)",""),"（주）",""),"㈜",""),"주식회사",""),"(유)",""),"（유）",""),"유한회사",""))</f>
        <v/>
      </c>
      <c r="AC511" s="31">
        <f>IF(OR($Y511="",N($Z511)&lt;=0,$AB511=""),0,IFERROR(LOOKUP(2,1/((거래처별!$AC$8:$AC$307&lt;&gt;"")*ISNUMBER(SEARCH(거래처별!$AC$8:$AC$307,$AB511))),거래처별!$A$8:$A$307),IFERROR(LOOKUP(2,1/((거래처별!$AD$8:$AD$307&lt;&gt;"")*ISNUMBER(SEARCH(거래처별!$AD$8:$AD$307,$AB511))),거래처별!$A$8:$A$307),IFERROR(LOOKUP(2,1/((거래처별!$AE$8:$AE$307&lt;&gt;"")*ISNUMBER(SEARCH(거래처별!$AE$8:$AE$307,$AB511))),거래처별!$A$8:$A$307),0))))</f>
        <v/>
      </c>
      <c r="AD511" s="31">
        <f>IF(AND($Y511&lt;&gt;"",N($Z511)&gt;0,$AC511=0),MAX($AD$7:$AD510)+1,"")</f>
        <v/>
      </c>
      <c r="AE511" s="31">
        <f>IF($Y511="",0,$Y511)</f>
        <v/>
      </c>
    </row>
    <row r="512">
      <c r="W512" s="31">
        <f>IF(OR($B$5="",$C$6="",ROW()&lt;$B$5),"",IF(INDEX($A:$U,ROW(),$C$6)="","",INDEX($A:$U,ROW(),$C$6)))</f>
        <v/>
      </c>
      <c r="X512" s="32">
        <f>IF($W512="","",IF(ISNUMBER($W512),IF($W512&gt;=10000000,IFERROR(DATE(INT($W512/10000),MOD(INT($W512/100),100),MOD($W512,100)),""),INT($W512)),IFERROR(DATE(--LEFT(LEFT(SUBSTITUTE(SUBSTITUTE(SUBSTITUTE(SUBSTITUTE(TRIM($W512),"-",""),".",""),"/","")," ",""),8),4),--MID(LEFT(SUBSTITUTE(SUBSTITUTE(SUBSTITUTE(SUBSTITUTE(TRIM($W512),"-",""),".",""),"/","")," ",""),8),5,2),--MID(LEFT(SUBSTITUTE(SUBSTITUTE(SUBSTITUTE(SUBSTITUTE(TRIM($W512),"-",""),".",""),"/","")," ",""),8),7,2)),"")))</f>
        <v/>
      </c>
      <c r="Y512" s="32">
        <f>IF($X512="","",INT($X512))</f>
        <v/>
      </c>
      <c r="Z512" s="33">
        <f>IF(OR($Y512="",$D$6=""),"",IF(INDEX($A:$U,ROW(),$D$6)="",0,IF(ISNUMBER(INDEX($A:$U,ROW(),$D$6)),INDEX($A:$U,ROW(),$D$6),IFERROR(--SUBSTITUTE(SUBSTITUTE(TRIM(INDEX($A:$U,ROW(),$D$6)),",",""),"원",""),0))))</f>
        <v/>
      </c>
      <c r="AA512" s="31">
        <f>IF($Y512="","",TRIM(INDEX($A:$U,ROW(),$E$6)&amp;IF($F$6="",""," "&amp;INDEX($A:$U,ROW(),$F$6))))</f>
        <v/>
      </c>
      <c r="AB512" s="31">
        <f>IF($AA512="","",SUBSTITUTE(SUBSTITUTE(SUBSTITUTE(SUBSTITUTE(SUBSTITUTE(SUBSTITUTE(SUBSTITUTE(SUBSTITUTE(SUBSTITUTE($AA512," ",""),"　",""),"(주)",""),"（주）",""),"㈜",""),"주식회사",""),"(유)",""),"（유）",""),"유한회사",""))</f>
        <v/>
      </c>
      <c r="AC512" s="31">
        <f>IF(OR($Y512="",N($Z512)&lt;=0,$AB512=""),0,IFERROR(LOOKUP(2,1/((거래처별!$AC$8:$AC$307&lt;&gt;"")*ISNUMBER(SEARCH(거래처별!$AC$8:$AC$307,$AB512))),거래처별!$A$8:$A$307),IFERROR(LOOKUP(2,1/((거래처별!$AD$8:$AD$307&lt;&gt;"")*ISNUMBER(SEARCH(거래처별!$AD$8:$AD$307,$AB512))),거래처별!$A$8:$A$307),IFERROR(LOOKUP(2,1/((거래처별!$AE$8:$AE$307&lt;&gt;"")*ISNUMBER(SEARCH(거래처별!$AE$8:$AE$307,$AB512))),거래처별!$A$8:$A$307),0))))</f>
        <v/>
      </c>
      <c r="AD512" s="31">
        <f>IF(AND($Y512&lt;&gt;"",N($Z512)&gt;0,$AC512=0),MAX($AD$7:$AD511)+1,"")</f>
        <v/>
      </c>
      <c r="AE512" s="31">
        <f>IF($Y512="",0,$Y512)</f>
        <v/>
      </c>
    </row>
    <row r="513">
      <c r="W513" s="31">
        <f>IF(OR($B$5="",$C$6="",ROW()&lt;$B$5),"",IF(INDEX($A:$U,ROW(),$C$6)="","",INDEX($A:$U,ROW(),$C$6)))</f>
        <v/>
      </c>
      <c r="X513" s="32">
        <f>IF($W513="","",IF(ISNUMBER($W513),IF($W513&gt;=10000000,IFERROR(DATE(INT($W513/10000),MOD(INT($W513/100),100),MOD($W513,100)),""),INT($W513)),IFERROR(DATE(--LEFT(LEFT(SUBSTITUTE(SUBSTITUTE(SUBSTITUTE(SUBSTITUTE(TRIM($W513),"-",""),".",""),"/","")," ",""),8),4),--MID(LEFT(SUBSTITUTE(SUBSTITUTE(SUBSTITUTE(SUBSTITUTE(TRIM($W513),"-",""),".",""),"/","")," ",""),8),5,2),--MID(LEFT(SUBSTITUTE(SUBSTITUTE(SUBSTITUTE(SUBSTITUTE(TRIM($W513),"-",""),".",""),"/","")," ",""),8),7,2)),"")))</f>
        <v/>
      </c>
      <c r="Y513" s="32">
        <f>IF($X513="","",INT($X513))</f>
        <v/>
      </c>
      <c r="Z513" s="33">
        <f>IF(OR($Y513="",$D$6=""),"",IF(INDEX($A:$U,ROW(),$D$6)="",0,IF(ISNUMBER(INDEX($A:$U,ROW(),$D$6)),INDEX($A:$U,ROW(),$D$6),IFERROR(--SUBSTITUTE(SUBSTITUTE(TRIM(INDEX($A:$U,ROW(),$D$6)),",",""),"원",""),0))))</f>
        <v/>
      </c>
      <c r="AA513" s="31">
        <f>IF($Y513="","",TRIM(INDEX($A:$U,ROW(),$E$6)&amp;IF($F$6="",""," "&amp;INDEX($A:$U,ROW(),$F$6))))</f>
        <v/>
      </c>
      <c r="AB513" s="31">
        <f>IF($AA513="","",SUBSTITUTE(SUBSTITUTE(SUBSTITUTE(SUBSTITUTE(SUBSTITUTE(SUBSTITUTE(SUBSTITUTE(SUBSTITUTE(SUBSTITUTE($AA513," ",""),"　",""),"(주)",""),"（주）",""),"㈜",""),"주식회사",""),"(유)",""),"（유）",""),"유한회사",""))</f>
        <v/>
      </c>
      <c r="AC513" s="31">
        <f>IF(OR($Y513="",N($Z513)&lt;=0,$AB513=""),0,IFERROR(LOOKUP(2,1/((거래처별!$AC$8:$AC$307&lt;&gt;"")*ISNUMBER(SEARCH(거래처별!$AC$8:$AC$307,$AB513))),거래처별!$A$8:$A$307),IFERROR(LOOKUP(2,1/((거래처별!$AD$8:$AD$307&lt;&gt;"")*ISNUMBER(SEARCH(거래처별!$AD$8:$AD$307,$AB513))),거래처별!$A$8:$A$307),IFERROR(LOOKUP(2,1/((거래처별!$AE$8:$AE$307&lt;&gt;"")*ISNUMBER(SEARCH(거래처별!$AE$8:$AE$307,$AB513))),거래처별!$A$8:$A$307),0))))</f>
        <v/>
      </c>
      <c r="AD513" s="31">
        <f>IF(AND($Y513&lt;&gt;"",N($Z513)&gt;0,$AC513=0),MAX($AD$7:$AD512)+1,"")</f>
        <v/>
      </c>
      <c r="AE513" s="31">
        <f>IF($Y513="",0,$Y513)</f>
        <v/>
      </c>
    </row>
    <row r="514">
      <c r="W514" s="31">
        <f>IF(OR($B$5="",$C$6="",ROW()&lt;$B$5),"",IF(INDEX($A:$U,ROW(),$C$6)="","",INDEX($A:$U,ROW(),$C$6)))</f>
        <v/>
      </c>
      <c r="X514" s="32">
        <f>IF($W514="","",IF(ISNUMBER($W514),IF($W514&gt;=10000000,IFERROR(DATE(INT($W514/10000),MOD(INT($W514/100),100),MOD($W514,100)),""),INT($W514)),IFERROR(DATE(--LEFT(LEFT(SUBSTITUTE(SUBSTITUTE(SUBSTITUTE(SUBSTITUTE(TRIM($W514),"-",""),".",""),"/","")," ",""),8),4),--MID(LEFT(SUBSTITUTE(SUBSTITUTE(SUBSTITUTE(SUBSTITUTE(TRIM($W514),"-",""),".",""),"/","")," ",""),8),5,2),--MID(LEFT(SUBSTITUTE(SUBSTITUTE(SUBSTITUTE(SUBSTITUTE(TRIM($W514),"-",""),".",""),"/","")," ",""),8),7,2)),"")))</f>
        <v/>
      </c>
      <c r="Y514" s="32">
        <f>IF($X514="","",INT($X514))</f>
        <v/>
      </c>
      <c r="Z514" s="33">
        <f>IF(OR($Y514="",$D$6=""),"",IF(INDEX($A:$U,ROW(),$D$6)="",0,IF(ISNUMBER(INDEX($A:$U,ROW(),$D$6)),INDEX($A:$U,ROW(),$D$6),IFERROR(--SUBSTITUTE(SUBSTITUTE(TRIM(INDEX($A:$U,ROW(),$D$6)),",",""),"원",""),0))))</f>
        <v/>
      </c>
      <c r="AA514" s="31">
        <f>IF($Y514="","",TRIM(INDEX($A:$U,ROW(),$E$6)&amp;IF($F$6="",""," "&amp;INDEX($A:$U,ROW(),$F$6))))</f>
        <v/>
      </c>
      <c r="AB514" s="31">
        <f>IF($AA514="","",SUBSTITUTE(SUBSTITUTE(SUBSTITUTE(SUBSTITUTE(SUBSTITUTE(SUBSTITUTE(SUBSTITUTE(SUBSTITUTE(SUBSTITUTE($AA514," ",""),"　",""),"(주)",""),"（주）",""),"㈜",""),"주식회사",""),"(유)",""),"（유）",""),"유한회사",""))</f>
        <v/>
      </c>
      <c r="AC514" s="31">
        <f>IF(OR($Y514="",N($Z514)&lt;=0,$AB514=""),0,IFERROR(LOOKUP(2,1/((거래처별!$AC$8:$AC$307&lt;&gt;"")*ISNUMBER(SEARCH(거래처별!$AC$8:$AC$307,$AB514))),거래처별!$A$8:$A$307),IFERROR(LOOKUP(2,1/((거래처별!$AD$8:$AD$307&lt;&gt;"")*ISNUMBER(SEARCH(거래처별!$AD$8:$AD$307,$AB514))),거래처별!$A$8:$A$307),IFERROR(LOOKUP(2,1/((거래처별!$AE$8:$AE$307&lt;&gt;"")*ISNUMBER(SEARCH(거래처별!$AE$8:$AE$307,$AB514))),거래처별!$A$8:$A$307),0))))</f>
        <v/>
      </c>
      <c r="AD514" s="31">
        <f>IF(AND($Y514&lt;&gt;"",N($Z514)&gt;0,$AC514=0),MAX($AD$7:$AD513)+1,"")</f>
        <v/>
      </c>
      <c r="AE514" s="31">
        <f>IF($Y514="",0,$Y514)</f>
        <v/>
      </c>
    </row>
    <row r="515">
      <c r="W515" s="31">
        <f>IF(OR($B$5="",$C$6="",ROW()&lt;$B$5),"",IF(INDEX($A:$U,ROW(),$C$6)="","",INDEX($A:$U,ROW(),$C$6)))</f>
        <v/>
      </c>
      <c r="X515" s="32">
        <f>IF($W515="","",IF(ISNUMBER($W515),IF($W515&gt;=10000000,IFERROR(DATE(INT($W515/10000),MOD(INT($W515/100),100),MOD($W515,100)),""),INT($W515)),IFERROR(DATE(--LEFT(LEFT(SUBSTITUTE(SUBSTITUTE(SUBSTITUTE(SUBSTITUTE(TRIM($W515),"-",""),".",""),"/","")," ",""),8),4),--MID(LEFT(SUBSTITUTE(SUBSTITUTE(SUBSTITUTE(SUBSTITUTE(TRIM($W515),"-",""),".",""),"/","")," ",""),8),5,2),--MID(LEFT(SUBSTITUTE(SUBSTITUTE(SUBSTITUTE(SUBSTITUTE(TRIM($W515),"-",""),".",""),"/","")," ",""),8),7,2)),"")))</f>
        <v/>
      </c>
      <c r="Y515" s="32">
        <f>IF($X515="","",INT($X515))</f>
        <v/>
      </c>
      <c r="Z515" s="33">
        <f>IF(OR($Y515="",$D$6=""),"",IF(INDEX($A:$U,ROW(),$D$6)="",0,IF(ISNUMBER(INDEX($A:$U,ROW(),$D$6)),INDEX($A:$U,ROW(),$D$6),IFERROR(--SUBSTITUTE(SUBSTITUTE(TRIM(INDEX($A:$U,ROW(),$D$6)),",",""),"원",""),0))))</f>
        <v/>
      </c>
      <c r="AA515" s="31">
        <f>IF($Y515="","",TRIM(INDEX($A:$U,ROW(),$E$6)&amp;IF($F$6="",""," "&amp;INDEX($A:$U,ROW(),$F$6))))</f>
        <v/>
      </c>
      <c r="AB515" s="31">
        <f>IF($AA515="","",SUBSTITUTE(SUBSTITUTE(SUBSTITUTE(SUBSTITUTE(SUBSTITUTE(SUBSTITUTE(SUBSTITUTE(SUBSTITUTE(SUBSTITUTE($AA515," ",""),"　",""),"(주)",""),"（주）",""),"㈜",""),"주식회사",""),"(유)",""),"（유）",""),"유한회사",""))</f>
        <v/>
      </c>
      <c r="AC515" s="31">
        <f>IF(OR($Y515="",N($Z515)&lt;=0,$AB515=""),0,IFERROR(LOOKUP(2,1/((거래처별!$AC$8:$AC$307&lt;&gt;"")*ISNUMBER(SEARCH(거래처별!$AC$8:$AC$307,$AB515))),거래처별!$A$8:$A$307),IFERROR(LOOKUP(2,1/((거래처별!$AD$8:$AD$307&lt;&gt;"")*ISNUMBER(SEARCH(거래처별!$AD$8:$AD$307,$AB515))),거래처별!$A$8:$A$307),IFERROR(LOOKUP(2,1/((거래처별!$AE$8:$AE$307&lt;&gt;"")*ISNUMBER(SEARCH(거래처별!$AE$8:$AE$307,$AB515))),거래처별!$A$8:$A$307),0))))</f>
        <v/>
      </c>
      <c r="AD515" s="31">
        <f>IF(AND($Y515&lt;&gt;"",N($Z515)&gt;0,$AC515=0),MAX($AD$7:$AD514)+1,"")</f>
        <v/>
      </c>
      <c r="AE515" s="31">
        <f>IF($Y515="",0,$Y515)</f>
        <v/>
      </c>
    </row>
    <row r="516">
      <c r="W516" s="31">
        <f>IF(OR($B$5="",$C$6="",ROW()&lt;$B$5),"",IF(INDEX($A:$U,ROW(),$C$6)="","",INDEX($A:$U,ROW(),$C$6)))</f>
        <v/>
      </c>
      <c r="X516" s="32">
        <f>IF($W516="","",IF(ISNUMBER($W516),IF($W516&gt;=10000000,IFERROR(DATE(INT($W516/10000),MOD(INT($W516/100),100),MOD($W516,100)),""),INT($W516)),IFERROR(DATE(--LEFT(LEFT(SUBSTITUTE(SUBSTITUTE(SUBSTITUTE(SUBSTITUTE(TRIM($W516),"-",""),".",""),"/","")," ",""),8),4),--MID(LEFT(SUBSTITUTE(SUBSTITUTE(SUBSTITUTE(SUBSTITUTE(TRIM($W516),"-",""),".",""),"/","")," ",""),8),5,2),--MID(LEFT(SUBSTITUTE(SUBSTITUTE(SUBSTITUTE(SUBSTITUTE(TRIM($W516),"-",""),".",""),"/","")," ",""),8),7,2)),"")))</f>
        <v/>
      </c>
      <c r="Y516" s="32">
        <f>IF($X516="","",INT($X516))</f>
        <v/>
      </c>
      <c r="Z516" s="33">
        <f>IF(OR($Y516="",$D$6=""),"",IF(INDEX($A:$U,ROW(),$D$6)="",0,IF(ISNUMBER(INDEX($A:$U,ROW(),$D$6)),INDEX($A:$U,ROW(),$D$6),IFERROR(--SUBSTITUTE(SUBSTITUTE(TRIM(INDEX($A:$U,ROW(),$D$6)),",",""),"원",""),0))))</f>
        <v/>
      </c>
      <c r="AA516" s="31">
        <f>IF($Y516="","",TRIM(INDEX($A:$U,ROW(),$E$6)&amp;IF($F$6="",""," "&amp;INDEX($A:$U,ROW(),$F$6))))</f>
        <v/>
      </c>
      <c r="AB516" s="31">
        <f>IF($AA516="","",SUBSTITUTE(SUBSTITUTE(SUBSTITUTE(SUBSTITUTE(SUBSTITUTE(SUBSTITUTE(SUBSTITUTE(SUBSTITUTE(SUBSTITUTE($AA516," ",""),"　",""),"(주)",""),"（주）",""),"㈜",""),"주식회사",""),"(유)",""),"（유）",""),"유한회사",""))</f>
        <v/>
      </c>
      <c r="AC516" s="31">
        <f>IF(OR($Y516="",N($Z516)&lt;=0,$AB516=""),0,IFERROR(LOOKUP(2,1/((거래처별!$AC$8:$AC$307&lt;&gt;"")*ISNUMBER(SEARCH(거래처별!$AC$8:$AC$307,$AB516))),거래처별!$A$8:$A$307),IFERROR(LOOKUP(2,1/((거래처별!$AD$8:$AD$307&lt;&gt;"")*ISNUMBER(SEARCH(거래처별!$AD$8:$AD$307,$AB516))),거래처별!$A$8:$A$307),IFERROR(LOOKUP(2,1/((거래처별!$AE$8:$AE$307&lt;&gt;"")*ISNUMBER(SEARCH(거래처별!$AE$8:$AE$307,$AB516))),거래처별!$A$8:$A$307),0))))</f>
        <v/>
      </c>
      <c r="AD516" s="31">
        <f>IF(AND($Y516&lt;&gt;"",N($Z516)&gt;0,$AC516=0),MAX($AD$7:$AD515)+1,"")</f>
        <v/>
      </c>
      <c r="AE516" s="31">
        <f>IF($Y516="",0,$Y516)</f>
        <v/>
      </c>
    </row>
    <row r="517">
      <c r="W517" s="31">
        <f>IF(OR($B$5="",$C$6="",ROW()&lt;$B$5),"",IF(INDEX($A:$U,ROW(),$C$6)="","",INDEX($A:$U,ROW(),$C$6)))</f>
        <v/>
      </c>
      <c r="X517" s="32">
        <f>IF($W517="","",IF(ISNUMBER($W517),IF($W517&gt;=10000000,IFERROR(DATE(INT($W517/10000),MOD(INT($W517/100),100),MOD($W517,100)),""),INT($W517)),IFERROR(DATE(--LEFT(LEFT(SUBSTITUTE(SUBSTITUTE(SUBSTITUTE(SUBSTITUTE(TRIM($W517),"-",""),".",""),"/","")," ",""),8),4),--MID(LEFT(SUBSTITUTE(SUBSTITUTE(SUBSTITUTE(SUBSTITUTE(TRIM($W517),"-",""),".",""),"/","")," ",""),8),5,2),--MID(LEFT(SUBSTITUTE(SUBSTITUTE(SUBSTITUTE(SUBSTITUTE(TRIM($W517),"-",""),".",""),"/","")," ",""),8),7,2)),"")))</f>
        <v/>
      </c>
      <c r="Y517" s="32">
        <f>IF($X517="","",INT($X517))</f>
        <v/>
      </c>
      <c r="Z517" s="33">
        <f>IF(OR($Y517="",$D$6=""),"",IF(INDEX($A:$U,ROW(),$D$6)="",0,IF(ISNUMBER(INDEX($A:$U,ROW(),$D$6)),INDEX($A:$U,ROW(),$D$6),IFERROR(--SUBSTITUTE(SUBSTITUTE(TRIM(INDEX($A:$U,ROW(),$D$6)),",",""),"원",""),0))))</f>
        <v/>
      </c>
      <c r="AA517" s="31">
        <f>IF($Y517="","",TRIM(INDEX($A:$U,ROW(),$E$6)&amp;IF($F$6="",""," "&amp;INDEX($A:$U,ROW(),$F$6))))</f>
        <v/>
      </c>
      <c r="AB517" s="31">
        <f>IF($AA517="","",SUBSTITUTE(SUBSTITUTE(SUBSTITUTE(SUBSTITUTE(SUBSTITUTE(SUBSTITUTE(SUBSTITUTE(SUBSTITUTE(SUBSTITUTE($AA517," ",""),"　",""),"(주)",""),"（주）",""),"㈜",""),"주식회사",""),"(유)",""),"（유）",""),"유한회사",""))</f>
        <v/>
      </c>
      <c r="AC517" s="31">
        <f>IF(OR($Y517="",N($Z517)&lt;=0,$AB517=""),0,IFERROR(LOOKUP(2,1/((거래처별!$AC$8:$AC$307&lt;&gt;"")*ISNUMBER(SEARCH(거래처별!$AC$8:$AC$307,$AB517))),거래처별!$A$8:$A$307),IFERROR(LOOKUP(2,1/((거래처별!$AD$8:$AD$307&lt;&gt;"")*ISNUMBER(SEARCH(거래처별!$AD$8:$AD$307,$AB517))),거래처별!$A$8:$A$307),IFERROR(LOOKUP(2,1/((거래처별!$AE$8:$AE$307&lt;&gt;"")*ISNUMBER(SEARCH(거래처별!$AE$8:$AE$307,$AB517))),거래처별!$A$8:$A$307),0))))</f>
        <v/>
      </c>
      <c r="AD517" s="31">
        <f>IF(AND($Y517&lt;&gt;"",N($Z517)&gt;0,$AC517=0),MAX($AD$7:$AD516)+1,"")</f>
        <v/>
      </c>
      <c r="AE517" s="31">
        <f>IF($Y517="",0,$Y517)</f>
        <v/>
      </c>
    </row>
    <row r="518">
      <c r="W518" s="31">
        <f>IF(OR($B$5="",$C$6="",ROW()&lt;$B$5),"",IF(INDEX($A:$U,ROW(),$C$6)="","",INDEX($A:$U,ROW(),$C$6)))</f>
        <v/>
      </c>
      <c r="X518" s="32">
        <f>IF($W518="","",IF(ISNUMBER($W518),IF($W518&gt;=10000000,IFERROR(DATE(INT($W518/10000),MOD(INT($W518/100),100),MOD($W518,100)),""),INT($W518)),IFERROR(DATE(--LEFT(LEFT(SUBSTITUTE(SUBSTITUTE(SUBSTITUTE(SUBSTITUTE(TRIM($W518),"-",""),".",""),"/","")," ",""),8),4),--MID(LEFT(SUBSTITUTE(SUBSTITUTE(SUBSTITUTE(SUBSTITUTE(TRIM($W518),"-",""),".",""),"/","")," ",""),8),5,2),--MID(LEFT(SUBSTITUTE(SUBSTITUTE(SUBSTITUTE(SUBSTITUTE(TRIM($W518),"-",""),".",""),"/","")," ",""),8),7,2)),"")))</f>
        <v/>
      </c>
      <c r="Y518" s="32">
        <f>IF($X518="","",INT($X518))</f>
        <v/>
      </c>
      <c r="Z518" s="33">
        <f>IF(OR($Y518="",$D$6=""),"",IF(INDEX($A:$U,ROW(),$D$6)="",0,IF(ISNUMBER(INDEX($A:$U,ROW(),$D$6)),INDEX($A:$U,ROW(),$D$6),IFERROR(--SUBSTITUTE(SUBSTITUTE(TRIM(INDEX($A:$U,ROW(),$D$6)),",",""),"원",""),0))))</f>
        <v/>
      </c>
      <c r="AA518" s="31">
        <f>IF($Y518="","",TRIM(INDEX($A:$U,ROW(),$E$6)&amp;IF($F$6="",""," "&amp;INDEX($A:$U,ROW(),$F$6))))</f>
        <v/>
      </c>
      <c r="AB518" s="31">
        <f>IF($AA518="","",SUBSTITUTE(SUBSTITUTE(SUBSTITUTE(SUBSTITUTE(SUBSTITUTE(SUBSTITUTE(SUBSTITUTE(SUBSTITUTE(SUBSTITUTE($AA518," ",""),"　",""),"(주)",""),"（주）",""),"㈜",""),"주식회사",""),"(유)",""),"（유）",""),"유한회사",""))</f>
        <v/>
      </c>
      <c r="AC518" s="31">
        <f>IF(OR($Y518="",N($Z518)&lt;=0,$AB518=""),0,IFERROR(LOOKUP(2,1/((거래처별!$AC$8:$AC$307&lt;&gt;"")*ISNUMBER(SEARCH(거래처별!$AC$8:$AC$307,$AB518))),거래처별!$A$8:$A$307),IFERROR(LOOKUP(2,1/((거래처별!$AD$8:$AD$307&lt;&gt;"")*ISNUMBER(SEARCH(거래처별!$AD$8:$AD$307,$AB518))),거래처별!$A$8:$A$307),IFERROR(LOOKUP(2,1/((거래처별!$AE$8:$AE$307&lt;&gt;"")*ISNUMBER(SEARCH(거래처별!$AE$8:$AE$307,$AB518))),거래처별!$A$8:$A$307),0))))</f>
        <v/>
      </c>
      <c r="AD518" s="31">
        <f>IF(AND($Y518&lt;&gt;"",N($Z518)&gt;0,$AC518=0),MAX($AD$7:$AD517)+1,"")</f>
        <v/>
      </c>
      <c r="AE518" s="31">
        <f>IF($Y518="",0,$Y518)</f>
        <v/>
      </c>
    </row>
    <row r="519">
      <c r="W519" s="31">
        <f>IF(OR($B$5="",$C$6="",ROW()&lt;$B$5),"",IF(INDEX($A:$U,ROW(),$C$6)="","",INDEX($A:$U,ROW(),$C$6)))</f>
        <v/>
      </c>
      <c r="X519" s="32">
        <f>IF($W519="","",IF(ISNUMBER($W519),IF($W519&gt;=10000000,IFERROR(DATE(INT($W519/10000),MOD(INT($W519/100),100),MOD($W519,100)),""),INT($W519)),IFERROR(DATE(--LEFT(LEFT(SUBSTITUTE(SUBSTITUTE(SUBSTITUTE(SUBSTITUTE(TRIM($W519),"-",""),".",""),"/","")," ",""),8),4),--MID(LEFT(SUBSTITUTE(SUBSTITUTE(SUBSTITUTE(SUBSTITUTE(TRIM($W519),"-",""),".",""),"/","")," ",""),8),5,2),--MID(LEFT(SUBSTITUTE(SUBSTITUTE(SUBSTITUTE(SUBSTITUTE(TRIM($W519),"-",""),".",""),"/","")," ",""),8),7,2)),"")))</f>
        <v/>
      </c>
      <c r="Y519" s="32">
        <f>IF($X519="","",INT($X519))</f>
        <v/>
      </c>
      <c r="Z519" s="33">
        <f>IF(OR($Y519="",$D$6=""),"",IF(INDEX($A:$U,ROW(),$D$6)="",0,IF(ISNUMBER(INDEX($A:$U,ROW(),$D$6)),INDEX($A:$U,ROW(),$D$6),IFERROR(--SUBSTITUTE(SUBSTITUTE(TRIM(INDEX($A:$U,ROW(),$D$6)),",",""),"원",""),0))))</f>
        <v/>
      </c>
      <c r="AA519" s="31">
        <f>IF($Y519="","",TRIM(INDEX($A:$U,ROW(),$E$6)&amp;IF($F$6="",""," "&amp;INDEX($A:$U,ROW(),$F$6))))</f>
        <v/>
      </c>
      <c r="AB519" s="31">
        <f>IF($AA519="","",SUBSTITUTE(SUBSTITUTE(SUBSTITUTE(SUBSTITUTE(SUBSTITUTE(SUBSTITUTE(SUBSTITUTE(SUBSTITUTE(SUBSTITUTE($AA519," ",""),"　",""),"(주)",""),"（주）",""),"㈜",""),"주식회사",""),"(유)",""),"（유）",""),"유한회사",""))</f>
        <v/>
      </c>
      <c r="AC519" s="31">
        <f>IF(OR($Y519="",N($Z519)&lt;=0,$AB519=""),0,IFERROR(LOOKUP(2,1/((거래처별!$AC$8:$AC$307&lt;&gt;"")*ISNUMBER(SEARCH(거래처별!$AC$8:$AC$307,$AB519))),거래처별!$A$8:$A$307),IFERROR(LOOKUP(2,1/((거래처별!$AD$8:$AD$307&lt;&gt;"")*ISNUMBER(SEARCH(거래처별!$AD$8:$AD$307,$AB519))),거래처별!$A$8:$A$307),IFERROR(LOOKUP(2,1/((거래처별!$AE$8:$AE$307&lt;&gt;"")*ISNUMBER(SEARCH(거래처별!$AE$8:$AE$307,$AB519))),거래처별!$A$8:$A$307),0))))</f>
        <v/>
      </c>
      <c r="AD519" s="31">
        <f>IF(AND($Y519&lt;&gt;"",N($Z519)&gt;0,$AC519=0),MAX($AD$7:$AD518)+1,"")</f>
        <v/>
      </c>
      <c r="AE519" s="31">
        <f>IF($Y519="",0,$Y519)</f>
        <v/>
      </c>
    </row>
    <row r="520">
      <c r="W520" s="31">
        <f>IF(OR($B$5="",$C$6="",ROW()&lt;$B$5),"",IF(INDEX($A:$U,ROW(),$C$6)="","",INDEX($A:$U,ROW(),$C$6)))</f>
        <v/>
      </c>
      <c r="X520" s="32">
        <f>IF($W520="","",IF(ISNUMBER($W520),IF($W520&gt;=10000000,IFERROR(DATE(INT($W520/10000),MOD(INT($W520/100),100),MOD($W520,100)),""),INT($W520)),IFERROR(DATE(--LEFT(LEFT(SUBSTITUTE(SUBSTITUTE(SUBSTITUTE(SUBSTITUTE(TRIM($W520),"-",""),".",""),"/","")," ",""),8),4),--MID(LEFT(SUBSTITUTE(SUBSTITUTE(SUBSTITUTE(SUBSTITUTE(TRIM($W520),"-",""),".",""),"/","")," ",""),8),5,2),--MID(LEFT(SUBSTITUTE(SUBSTITUTE(SUBSTITUTE(SUBSTITUTE(TRIM($W520),"-",""),".",""),"/","")," ",""),8),7,2)),"")))</f>
        <v/>
      </c>
      <c r="Y520" s="32">
        <f>IF($X520="","",INT($X520))</f>
        <v/>
      </c>
      <c r="Z520" s="33">
        <f>IF(OR($Y520="",$D$6=""),"",IF(INDEX($A:$U,ROW(),$D$6)="",0,IF(ISNUMBER(INDEX($A:$U,ROW(),$D$6)),INDEX($A:$U,ROW(),$D$6),IFERROR(--SUBSTITUTE(SUBSTITUTE(TRIM(INDEX($A:$U,ROW(),$D$6)),",",""),"원",""),0))))</f>
        <v/>
      </c>
      <c r="AA520" s="31">
        <f>IF($Y520="","",TRIM(INDEX($A:$U,ROW(),$E$6)&amp;IF($F$6="",""," "&amp;INDEX($A:$U,ROW(),$F$6))))</f>
        <v/>
      </c>
      <c r="AB520" s="31">
        <f>IF($AA520="","",SUBSTITUTE(SUBSTITUTE(SUBSTITUTE(SUBSTITUTE(SUBSTITUTE(SUBSTITUTE(SUBSTITUTE(SUBSTITUTE(SUBSTITUTE($AA520," ",""),"　",""),"(주)",""),"（주）",""),"㈜",""),"주식회사",""),"(유)",""),"（유）",""),"유한회사",""))</f>
        <v/>
      </c>
      <c r="AC520" s="31">
        <f>IF(OR($Y520="",N($Z520)&lt;=0,$AB520=""),0,IFERROR(LOOKUP(2,1/((거래처별!$AC$8:$AC$307&lt;&gt;"")*ISNUMBER(SEARCH(거래처별!$AC$8:$AC$307,$AB520))),거래처별!$A$8:$A$307),IFERROR(LOOKUP(2,1/((거래처별!$AD$8:$AD$307&lt;&gt;"")*ISNUMBER(SEARCH(거래처별!$AD$8:$AD$307,$AB520))),거래처별!$A$8:$A$307),IFERROR(LOOKUP(2,1/((거래처별!$AE$8:$AE$307&lt;&gt;"")*ISNUMBER(SEARCH(거래처별!$AE$8:$AE$307,$AB520))),거래처별!$A$8:$A$307),0))))</f>
        <v/>
      </c>
      <c r="AD520" s="31">
        <f>IF(AND($Y520&lt;&gt;"",N($Z520)&gt;0,$AC520=0),MAX($AD$7:$AD519)+1,"")</f>
        <v/>
      </c>
      <c r="AE520" s="31">
        <f>IF($Y520="",0,$Y520)</f>
        <v/>
      </c>
    </row>
    <row r="521">
      <c r="W521" s="31">
        <f>IF(OR($B$5="",$C$6="",ROW()&lt;$B$5),"",IF(INDEX($A:$U,ROW(),$C$6)="","",INDEX($A:$U,ROW(),$C$6)))</f>
        <v/>
      </c>
      <c r="X521" s="32">
        <f>IF($W521="","",IF(ISNUMBER($W521),IF($W521&gt;=10000000,IFERROR(DATE(INT($W521/10000),MOD(INT($W521/100),100),MOD($W521,100)),""),INT($W521)),IFERROR(DATE(--LEFT(LEFT(SUBSTITUTE(SUBSTITUTE(SUBSTITUTE(SUBSTITUTE(TRIM($W521),"-",""),".",""),"/","")," ",""),8),4),--MID(LEFT(SUBSTITUTE(SUBSTITUTE(SUBSTITUTE(SUBSTITUTE(TRIM($W521),"-",""),".",""),"/","")," ",""),8),5,2),--MID(LEFT(SUBSTITUTE(SUBSTITUTE(SUBSTITUTE(SUBSTITUTE(TRIM($W521),"-",""),".",""),"/","")," ",""),8),7,2)),"")))</f>
        <v/>
      </c>
      <c r="Y521" s="32">
        <f>IF($X521="","",INT($X521))</f>
        <v/>
      </c>
      <c r="Z521" s="33">
        <f>IF(OR($Y521="",$D$6=""),"",IF(INDEX($A:$U,ROW(),$D$6)="",0,IF(ISNUMBER(INDEX($A:$U,ROW(),$D$6)),INDEX($A:$U,ROW(),$D$6),IFERROR(--SUBSTITUTE(SUBSTITUTE(TRIM(INDEX($A:$U,ROW(),$D$6)),",",""),"원",""),0))))</f>
        <v/>
      </c>
      <c r="AA521" s="31">
        <f>IF($Y521="","",TRIM(INDEX($A:$U,ROW(),$E$6)&amp;IF($F$6="",""," "&amp;INDEX($A:$U,ROW(),$F$6))))</f>
        <v/>
      </c>
      <c r="AB521" s="31">
        <f>IF($AA521="","",SUBSTITUTE(SUBSTITUTE(SUBSTITUTE(SUBSTITUTE(SUBSTITUTE(SUBSTITUTE(SUBSTITUTE(SUBSTITUTE(SUBSTITUTE($AA521," ",""),"　",""),"(주)",""),"（주）",""),"㈜",""),"주식회사",""),"(유)",""),"（유）",""),"유한회사",""))</f>
        <v/>
      </c>
      <c r="AC521" s="31">
        <f>IF(OR($Y521="",N($Z521)&lt;=0,$AB521=""),0,IFERROR(LOOKUP(2,1/((거래처별!$AC$8:$AC$307&lt;&gt;"")*ISNUMBER(SEARCH(거래처별!$AC$8:$AC$307,$AB521))),거래처별!$A$8:$A$307),IFERROR(LOOKUP(2,1/((거래처별!$AD$8:$AD$307&lt;&gt;"")*ISNUMBER(SEARCH(거래처별!$AD$8:$AD$307,$AB521))),거래처별!$A$8:$A$307),IFERROR(LOOKUP(2,1/((거래처별!$AE$8:$AE$307&lt;&gt;"")*ISNUMBER(SEARCH(거래처별!$AE$8:$AE$307,$AB521))),거래처별!$A$8:$A$307),0))))</f>
        <v/>
      </c>
      <c r="AD521" s="31">
        <f>IF(AND($Y521&lt;&gt;"",N($Z521)&gt;0,$AC521=0),MAX($AD$7:$AD520)+1,"")</f>
        <v/>
      </c>
      <c r="AE521" s="31">
        <f>IF($Y521="",0,$Y521)</f>
        <v/>
      </c>
    </row>
    <row r="522">
      <c r="W522" s="31">
        <f>IF(OR($B$5="",$C$6="",ROW()&lt;$B$5),"",IF(INDEX($A:$U,ROW(),$C$6)="","",INDEX($A:$U,ROW(),$C$6)))</f>
        <v/>
      </c>
      <c r="X522" s="32">
        <f>IF($W522="","",IF(ISNUMBER($W522),IF($W522&gt;=10000000,IFERROR(DATE(INT($W522/10000),MOD(INT($W522/100),100),MOD($W522,100)),""),INT($W522)),IFERROR(DATE(--LEFT(LEFT(SUBSTITUTE(SUBSTITUTE(SUBSTITUTE(SUBSTITUTE(TRIM($W522),"-",""),".",""),"/","")," ",""),8),4),--MID(LEFT(SUBSTITUTE(SUBSTITUTE(SUBSTITUTE(SUBSTITUTE(TRIM($W522),"-",""),".",""),"/","")," ",""),8),5,2),--MID(LEFT(SUBSTITUTE(SUBSTITUTE(SUBSTITUTE(SUBSTITUTE(TRIM($W522),"-",""),".",""),"/","")," ",""),8),7,2)),"")))</f>
        <v/>
      </c>
      <c r="Y522" s="32">
        <f>IF($X522="","",INT($X522))</f>
        <v/>
      </c>
      <c r="Z522" s="33">
        <f>IF(OR($Y522="",$D$6=""),"",IF(INDEX($A:$U,ROW(),$D$6)="",0,IF(ISNUMBER(INDEX($A:$U,ROW(),$D$6)),INDEX($A:$U,ROW(),$D$6),IFERROR(--SUBSTITUTE(SUBSTITUTE(TRIM(INDEX($A:$U,ROW(),$D$6)),",",""),"원",""),0))))</f>
        <v/>
      </c>
      <c r="AA522" s="31">
        <f>IF($Y522="","",TRIM(INDEX($A:$U,ROW(),$E$6)&amp;IF($F$6="",""," "&amp;INDEX($A:$U,ROW(),$F$6))))</f>
        <v/>
      </c>
      <c r="AB522" s="31">
        <f>IF($AA522="","",SUBSTITUTE(SUBSTITUTE(SUBSTITUTE(SUBSTITUTE(SUBSTITUTE(SUBSTITUTE(SUBSTITUTE(SUBSTITUTE(SUBSTITUTE($AA522," ",""),"　",""),"(주)",""),"（주）",""),"㈜",""),"주식회사",""),"(유)",""),"（유）",""),"유한회사",""))</f>
        <v/>
      </c>
      <c r="AC522" s="31">
        <f>IF(OR($Y522="",N($Z522)&lt;=0,$AB522=""),0,IFERROR(LOOKUP(2,1/((거래처별!$AC$8:$AC$307&lt;&gt;"")*ISNUMBER(SEARCH(거래처별!$AC$8:$AC$307,$AB522))),거래처별!$A$8:$A$307),IFERROR(LOOKUP(2,1/((거래처별!$AD$8:$AD$307&lt;&gt;"")*ISNUMBER(SEARCH(거래처별!$AD$8:$AD$307,$AB522))),거래처별!$A$8:$A$307),IFERROR(LOOKUP(2,1/((거래처별!$AE$8:$AE$307&lt;&gt;"")*ISNUMBER(SEARCH(거래처별!$AE$8:$AE$307,$AB522))),거래처별!$A$8:$A$307),0))))</f>
        <v/>
      </c>
      <c r="AD522" s="31">
        <f>IF(AND($Y522&lt;&gt;"",N($Z522)&gt;0,$AC522=0),MAX($AD$7:$AD521)+1,"")</f>
        <v/>
      </c>
      <c r="AE522" s="31">
        <f>IF($Y522="",0,$Y522)</f>
        <v/>
      </c>
    </row>
    <row r="523">
      <c r="W523" s="31">
        <f>IF(OR($B$5="",$C$6="",ROW()&lt;$B$5),"",IF(INDEX($A:$U,ROW(),$C$6)="","",INDEX($A:$U,ROW(),$C$6)))</f>
        <v/>
      </c>
      <c r="X523" s="32">
        <f>IF($W523="","",IF(ISNUMBER($W523),IF($W523&gt;=10000000,IFERROR(DATE(INT($W523/10000),MOD(INT($W523/100),100),MOD($W523,100)),""),INT($W523)),IFERROR(DATE(--LEFT(LEFT(SUBSTITUTE(SUBSTITUTE(SUBSTITUTE(SUBSTITUTE(TRIM($W523),"-",""),".",""),"/","")," ",""),8),4),--MID(LEFT(SUBSTITUTE(SUBSTITUTE(SUBSTITUTE(SUBSTITUTE(TRIM($W523),"-",""),".",""),"/","")," ",""),8),5,2),--MID(LEFT(SUBSTITUTE(SUBSTITUTE(SUBSTITUTE(SUBSTITUTE(TRIM($W523),"-",""),".",""),"/","")," ",""),8),7,2)),"")))</f>
        <v/>
      </c>
      <c r="Y523" s="32">
        <f>IF($X523="","",INT($X523))</f>
        <v/>
      </c>
      <c r="Z523" s="33">
        <f>IF(OR($Y523="",$D$6=""),"",IF(INDEX($A:$U,ROW(),$D$6)="",0,IF(ISNUMBER(INDEX($A:$U,ROW(),$D$6)),INDEX($A:$U,ROW(),$D$6),IFERROR(--SUBSTITUTE(SUBSTITUTE(TRIM(INDEX($A:$U,ROW(),$D$6)),",",""),"원",""),0))))</f>
        <v/>
      </c>
      <c r="AA523" s="31">
        <f>IF($Y523="","",TRIM(INDEX($A:$U,ROW(),$E$6)&amp;IF($F$6="",""," "&amp;INDEX($A:$U,ROW(),$F$6))))</f>
        <v/>
      </c>
      <c r="AB523" s="31">
        <f>IF($AA523="","",SUBSTITUTE(SUBSTITUTE(SUBSTITUTE(SUBSTITUTE(SUBSTITUTE(SUBSTITUTE(SUBSTITUTE(SUBSTITUTE(SUBSTITUTE($AA523," ",""),"　",""),"(주)",""),"（주）",""),"㈜",""),"주식회사",""),"(유)",""),"（유）",""),"유한회사",""))</f>
        <v/>
      </c>
      <c r="AC523" s="31">
        <f>IF(OR($Y523="",N($Z523)&lt;=0,$AB523=""),0,IFERROR(LOOKUP(2,1/((거래처별!$AC$8:$AC$307&lt;&gt;"")*ISNUMBER(SEARCH(거래처별!$AC$8:$AC$307,$AB523))),거래처별!$A$8:$A$307),IFERROR(LOOKUP(2,1/((거래처별!$AD$8:$AD$307&lt;&gt;"")*ISNUMBER(SEARCH(거래처별!$AD$8:$AD$307,$AB523))),거래처별!$A$8:$A$307),IFERROR(LOOKUP(2,1/((거래처별!$AE$8:$AE$307&lt;&gt;"")*ISNUMBER(SEARCH(거래처별!$AE$8:$AE$307,$AB523))),거래처별!$A$8:$A$307),0))))</f>
        <v/>
      </c>
      <c r="AD523" s="31">
        <f>IF(AND($Y523&lt;&gt;"",N($Z523)&gt;0,$AC523=0),MAX($AD$7:$AD522)+1,"")</f>
        <v/>
      </c>
      <c r="AE523" s="31">
        <f>IF($Y523="",0,$Y523)</f>
        <v/>
      </c>
    </row>
    <row r="524">
      <c r="W524" s="31">
        <f>IF(OR($B$5="",$C$6="",ROW()&lt;$B$5),"",IF(INDEX($A:$U,ROW(),$C$6)="","",INDEX($A:$U,ROW(),$C$6)))</f>
        <v/>
      </c>
      <c r="X524" s="32">
        <f>IF($W524="","",IF(ISNUMBER($W524),IF($W524&gt;=10000000,IFERROR(DATE(INT($W524/10000),MOD(INT($W524/100),100),MOD($W524,100)),""),INT($W524)),IFERROR(DATE(--LEFT(LEFT(SUBSTITUTE(SUBSTITUTE(SUBSTITUTE(SUBSTITUTE(TRIM($W524),"-",""),".",""),"/","")," ",""),8),4),--MID(LEFT(SUBSTITUTE(SUBSTITUTE(SUBSTITUTE(SUBSTITUTE(TRIM($W524),"-",""),".",""),"/","")," ",""),8),5,2),--MID(LEFT(SUBSTITUTE(SUBSTITUTE(SUBSTITUTE(SUBSTITUTE(TRIM($W524),"-",""),".",""),"/","")," ",""),8),7,2)),"")))</f>
        <v/>
      </c>
      <c r="Y524" s="32">
        <f>IF($X524="","",INT($X524))</f>
        <v/>
      </c>
      <c r="Z524" s="33">
        <f>IF(OR($Y524="",$D$6=""),"",IF(INDEX($A:$U,ROW(),$D$6)="",0,IF(ISNUMBER(INDEX($A:$U,ROW(),$D$6)),INDEX($A:$U,ROW(),$D$6),IFERROR(--SUBSTITUTE(SUBSTITUTE(TRIM(INDEX($A:$U,ROW(),$D$6)),",",""),"원",""),0))))</f>
        <v/>
      </c>
      <c r="AA524" s="31">
        <f>IF($Y524="","",TRIM(INDEX($A:$U,ROW(),$E$6)&amp;IF($F$6="",""," "&amp;INDEX($A:$U,ROW(),$F$6))))</f>
        <v/>
      </c>
      <c r="AB524" s="31">
        <f>IF($AA524="","",SUBSTITUTE(SUBSTITUTE(SUBSTITUTE(SUBSTITUTE(SUBSTITUTE(SUBSTITUTE(SUBSTITUTE(SUBSTITUTE(SUBSTITUTE($AA524," ",""),"　",""),"(주)",""),"（주）",""),"㈜",""),"주식회사",""),"(유)",""),"（유）",""),"유한회사",""))</f>
        <v/>
      </c>
      <c r="AC524" s="31">
        <f>IF(OR($Y524="",N($Z524)&lt;=0,$AB524=""),0,IFERROR(LOOKUP(2,1/((거래처별!$AC$8:$AC$307&lt;&gt;"")*ISNUMBER(SEARCH(거래처별!$AC$8:$AC$307,$AB524))),거래처별!$A$8:$A$307),IFERROR(LOOKUP(2,1/((거래처별!$AD$8:$AD$307&lt;&gt;"")*ISNUMBER(SEARCH(거래처별!$AD$8:$AD$307,$AB524))),거래처별!$A$8:$A$307),IFERROR(LOOKUP(2,1/((거래처별!$AE$8:$AE$307&lt;&gt;"")*ISNUMBER(SEARCH(거래처별!$AE$8:$AE$307,$AB524))),거래처별!$A$8:$A$307),0))))</f>
        <v/>
      </c>
      <c r="AD524" s="31">
        <f>IF(AND($Y524&lt;&gt;"",N($Z524)&gt;0,$AC524=0),MAX($AD$7:$AD523)+1,"")</f>
        <v/>
      </c>
      <c r="AE524" s="31">
        <f>IF($Y524="",0,$Y524)</f>
        <v/>
      </c>
    </row>
    <row r="525">
      <c r="W525" s="31">
        <f>IF(OR($B$5="",$C$6="",ROW()&lt;$B$5),"",IF(INDEX($A:$U,ROW(),$C$6)="","",INDEX($A:$U,ROW(),$C$6)))</f>
        <v/>
      </c>
      <c r="X525" s="32">
        <f>IF($W525="","",IF(ISNUMBER($W525),IF($W525&gt;=10000000,IFERROR(DATE(INT($W525/10000),MOD(INT($W525/100),100),MOD($W525,100)),""),INT($W525)),IFERROR(DATE(--LEFT(LEFT(SUBSTITUTE(SUBSTITUTE(SUBSTITUTE(SUBSTITUTE(TRIM($W525),"-",""),".",""),"/","")," ",""),8),4),--MID(LEFT(SUBSTITUTE(SUBSTITUTE(SUBSTITUTE(SUBSTITUTE(TRIM($W525),"-",""),".",""),"/","")," ",""),8),5,2),--MID(LEFT(SUBSTITUTE(SUBSTITUTE(SUBSTITUTE(SUBSTITUTE(TRIM($W525),"-",""),".",""),"/","")," ",""),8),7,2)),"")))</f>
        <v/>
      </c>
      <c r="Y525" s="32">
        <f>IF($X525="","",INT($X525))</f>
        <v/>
      </c>
      <c r="Z525" s="33">
        <f>IF(OR($Y525="",$D$6=""),"",IF(INDEX($A:$U,ROW(),$D$6)="",0,IF(ISNUMBER(INDEX($A:$U,ROW(),$D$6)),INDEX($A:$U,ROW(),$D$6),IFERROR(--SUBSTITUTE(SUBSTITUTE(TRIM(INDEX($A:$U,ROW(),$D$6)),",",""),"원",""),0))))</f>
        <v/>
      </c>
      <c r="AA525" s="31">
        <f>IF($Y525="","",TRIM(INDEX($A:$U,ROW(),$E$6)&amp;IF($F$6="",""," "&amp;INDEX($A:$U,ROW(),$F$6))))</f>
        <v/>
      </c>
      <c r="AB525" s="31">
        <f>IF($AA525="","",SUBSTITUTE(SUBSTITUTE(SUBSTITUTE(SUBSTITUTE(SUBSTITUTE(SUBSTITUTE(SUBSTITUTE(SUBSTITUTE(SUBSTITUTE($AA525," ",""),"　",""),"(주)",""),"（주）",""),"㈜",""),"주식회사",""),"(유)",""),"（유）",""),"유한회사",""))</f>
        <v/>
      </c>
      <c r="AC525" s="31">
        <f>IF(OR($Y525="",N($Z525)&lt;=0,$AB525=""),0,IFERROR(LOOKUP(2,1/((거래처별!$AC$8:$AC$307&lt;&gt;"")*ISNUMBER(SEARCH(거래처별!$AC$8:$AC$307,$AB525))),거래처별!$A$8:$A$307),IFERROR(LOOKUP(2,1/((거래처별!$AD$8:$AD$307&lt;&gt;"")*ISNUMBER(SEARCH(거래처별!$AD$8:$AD$307,$AB525))),거래처별!$A$8:$A$307),IFERROR(LOOKUP(2,1/((거래처별!$AE$8:$AE$307&lt;&gt;"")*ISNUMBER(SEARCH(거래처별!$AE$8:$AE$307,$AB525))),거래처별!$A$8:$A$307),0))))</f>
        <v/>
      </c>
      <c r="AD525" s="31">
        <f>IF(AND($Y525&lt;&gt;"",N($Z525)&gt;0,$AC525=0),MAX($AD$7:$AD524)+1,"")</f>
        <v/>
      </c>
      <c r="AE525" s="31">
        <f>IF($Y525="",0,$Y525)</f>
        <v/>
      </c>
    </row>
    <row r="526">
      <c r="W526" s="31">
        <f>IF(OR($B$5="",$C$6="",ROW()&lt;$B$5),"",IF(INDEX($A:$U,ROW(),$C$6)="","",INDEX($A:$U,ROW(),$C$6)))</f>
        <v/>
      </c>
      <c r="X526" s="32">
        <f>IF($W526="","",IF(ISNUMBER($W526),IF($W526&gt;=10000000,IFERROR(DATE(INT($W526/10000),MOD(INT($W526/100),100),MOD($W526,100)),""),INT($W526)),IFERROR(DATE(--LEFT(LEFT(SUBSTITUTE(SUBSTITUTE(SUBSTITUTE(SUBSTITUTE(TRIM($W526),"-",""),".",""),"/","")," ",""),8),4),--MID(LEFT(SUBSTITUTE(SUBSTITUTE(SUBSTITUTE(SUBSTITUTE(TRIM($W526),"-",""),".",""),"/","")," ",""),8),5,2),--MID(LEFT(SUBSTITUTE(SUBSTITUTE(SUBSTITUTE(SUBSTITUTE(TRIM($W526),"-",""),".",""),"/","")," ",""),8),7,2)),"")))</f>
        <v/>
      </c>
      <c r="Y526" s="32">
        <f>IF($X526="","",INT($X526))</f>
        <v/>
      </c>
      <c r="Z526" s="33">
        <f>IF(OR($Y526="",$D$6=""),"",IF(INDEX($A:$U,ROW(),$D$6)="",0,IF(ISNUMBER(INDEX($A:$U,ROW(),$D$6)),INDEX($A:$U,ROW(),$D$6),IFERROR(--SUBSTITUTE(SUBSTITUTE(TRIM(INDEX($A:$U,ROW(),$D$6)),",",""),"원",""),0))))</f>
        <v/>
      </c>
      <c r="AA526" s="31">
        <f>IF($Y526="","",TRIM(INDEX($A:$U,ROW(),$E$6)&amp;IF($F$6="",""," "&amp;INDEX($A:$U,ROW(),$F$6))))</f>
        <v/>
      </c>
      <c r="AB526" s="31">
        <f>IF($AA526="","",SUBSTITUTE(SUBSTITUTE(SUBSTITUTE(SUBSTITUTE(SUBSTITUTE(SUBSTITUTE(SUBSTITUTE(SUBSTITUTE(SUBSTITUTE($AA526," ",""),"　",""),"(주)",""),"（주）",""),"㈜",""),"주식회사",""),"(유)",""),"（유）",""),"유한회사",""))</f>
        <v/>
      </c>
      <c r="AC526" s="31">
        <f>IF(OR($Y526="",N($Z526)&lt;=0,$AB526=""),0,IFERROR(LOOKUP(2,1/((거래처별!$AC$8:$AC$307&lt;&gt;"")*ISNUMBER(SEARCH(거래처별!$AC$8:$AC$307,$AB526))),거래처별!$A$8:$A$307),IFERROR(LOOKUP(2,1/((거래처별!$AD$8:$AD$307&lt;&gt;"")*ISNUMBER(SEARCH(거래처별!$AD$8:$AD$307,$AB526))),거래처별!$A$8:$A$307),IFERROR(LOOKUP(2,1/((거래처별!$AE$8:$AE$307&lt;&gt;"")*ISNUMBER(SEARCH(거래처별!$AE$8:$AE$307,$AB526))),거래처별!$A$8:$A$307),0))))</f>
        <v/>
      </c>
      <c r="AD526" s="31">
        <f>IF(AND($Y526&lt;&gt;"",N($Z526)&gt;0,$AC526=0),MAX($AD$7:$AD525)+1,"")</f>
        <v/>
      </c>
      <c r="AE526" s="31">
        <f>IF($Y526="",0,$Y526)</f>
        <v/>
      </c>
    </row>
    <row r="527">
      <c r="W527" s="31">
        <f>IF(OR($B$5="",$C$6="",ROW()&lt;$B$5),"",IF(INDEX($A:$U,ROW(),$C$6)="","",INDEX($A:$U,ROW(),$C$6)))</f>
        <v/>
      </c>
      <c r="X527" s="32">
        <f>IF($W527="","",IF(ISNUMBER($W527),IF($W527&gt;=10000000,IFERROR(DATE(INT($W527/10000),MOD(INT($W527/100),100),MOD($W527,100)),""),INT($W527)),IFERROR(DATE(--LEFT(LEFT(SUBSTITUTE(SUBSTITUTE(SUBSTITUTE(SUBSTITUTE(TRIM($W527),"-",""),".",""),"/","")," ",""),8),4),--MID(LEFT(SUBSTITUTE(SUBSTITUTE(SUBSTITUTE(SUBSTITUTE(TRIM($W527),"-",""),".",""),"/","")," ",""),8),5,2),--MID(LEFT(SUBSTITUTE(SUBSTITUTE(SUBSTITUTE(SUBSTITUTE(TRIM($W527),"-",""),".",""),"/","")," ",""),8),7,2)),"")))</f>
        <v/>
      </c>
      <c r="Y527" s="32">
        <f>IF($X527="","",INT($X527))</f>
        <v/>
      </c>
      <c r="Z527" s="33">
        <f>IF(OR($Y527="",$D$6=""),"",IF(INDEX($A:$U,ROW(),$D$6)="",0,IF(ISNUMBER(INDEX($A:$U,ROW(),$D$6)),INDEX($A:$U,ROW(),$D$6),IFERROR(--SUBSTITUTE(SUBSTITUTE(TRIM(INDEX($A:$U,ROW(),$D$6)),",",""),"원",""),0))))</f>
        <v/>
      </c>
      <c r="AA527" s="31">
        <f>IF($Y527="","",TRIM(INDEX($A:$U,ROW(),$E$6)&amp;IF($F$6="",""," "&amp;INDEX($A:$U,ROW(),$F$6))))</f>
        <v/>
      </c>
      <c r="AB527" s="31">
        <f>IF($AA527="","",SUBSTITUTE(SUBSTITUTE(SUBSTITUTE(SUBSTITUTE(SUBSTITUTE(SUBSTITUTE(SUBSTITUTE(SUBSTITUTE(SUBSTITUTE($AA527," ",""),"　",""),"(주)",""),"（주）",""),"㈜",""),"주식회사",""),"(유)",""),"（유）",""),"유한회사",""))</f>
        <v/>
      </c>
      <c r="AC527" s="31">
        <f>IF(OR($Y527="",N($Z527)&lt;=0,$AB527=""),0,IFERROR(LOOKUP(2,1/((거래처별!$AC$8:$AC$307&lt;&gt;"")*ISNUMBER(SEARCH(거래처별!$AC$8:$AC$307,$AB527))),거래처별!$A$8:$A$307),IFERROR(LOOKUP(2,1/((거래처별!$AD$8:$AD$307&lt;&gt;"")*ISNUMBER(SEARCH(거래처별!$AD$8:$AD$307,$AB527))),거래처별!$A$8:$A$307),IFERROR(LOOKUP(2,1/((거래처별!$AE$8:$AE$307&lt;&gt;"")*ISNUMBER(SEARCH(거래처별!$AE$8:$AE$307,$AB527))),거래처별!$A$8:$A$307),0))))</f>
        <v/>
      </c>
      <c r="AD527" s="31">
        <f>IF(AND($Y527&lt;&gt;"",N($Z527)&gt;0,$AC527=0),MAX($AD$7:$AD526)+1,"")</f>
        <v/>
      </c>
      <c r="AE527" s="31">
        <f>IF($Y527="",0,$Y527)</f>
        <v/>
      </c>
    </row>
    <row r="528">
      <c r="W528" s="31">
        <f>IF(OR($B$5="",$C$6="",ROW()&lt;$B$5),"",IF(INDEX($A:$U,ROW(),$C$6)="","",INDEX($A:$U,ROW(),$C$6)))</f>
        <v/>
      </c>
      <c r="X528" s="32">
        <f>IF($W528="","",IF(ISNUMBER($W528),IF($W528&gt;=10000000,IFERROR(DATE(INT($W528/10000),MOD(INT($W528/100),100),MOD($W528,100)),""),INT($W528)),IFERROR(DATE(--LEFT(LEFT(SUBSTITUTE(SUBSTITUTE(SUBSTITUTE(SUBSTITUTE(TRIM($W528),"-",""),".",""),"/","")," ",""),8),4),--MID(LEFT(SUBSTITUTE(SUBSTITUTE(SUBSTITUTE(SUBSTITUTE(TRIM($W528),"-",""),".",""),"/","")," ",""),8),5,2),--MID(LEFT(SUBSTITUTE(SUBSTITUTE(SUBSTITUTE(SUBSTITUTE(TRIM($W528),"-",""),".",""),"/","")," ",""),8),7,2)),"")))</f>
        <v/>
      </c>
      <c r="Y528" s="32">
        <f>IF($X528="","",INT($X528))</f>
        <v/>
      </c>
      <c r="Z528" s="33">
        <f>IF(OR($Y528="",$D$6=""),"",IF(INDEX($A:$U,ROW(),$D$6)="",0,IF(ISNUMBER(INDEX($A:$U,ROW(),$D$6)),INDEX($A:$U,ROW(),$D$6),IFERROR(--SUBSTITUTE(SUBSTITUTE(TRIM(INDEX($A:$U,ROW(),$D$6)),",",""),"원",""),0))))</f>
        <v/>
      </c>
      <c r="AA528" s="31">
        <f>IF($Y528="","",TRIM(INDEX($A:$U,ROW(),$E$6)&amp;IF($F$6="",""," "&amp;INDEX($A:$U,ROW(),$F$6))))</f>
        <v/>
      </c>
      <c r="AB528" s="31">
        <f>IF($AA528="","",SUBSTITUTE(SUBSTITUTE(SUBSTITUTE(SUBSTITUTE(SUBSTITUTE(SUBSTITUTE(SUBSTITUTE(SUBSTITUTE(SUBSTITUTE($AA528," ",""),"　",""),"(주)",""),"（주）",""),"㈜",""),"주식회사",""),"(유)",""),"（유）",""),"유한회사",""))</f>
        <v/>
      </c>
      <c r="AC528" s="31">
        <f>IF(OR($Y528="",N($Z528)&lt;=0,$AB528=""),0,IFERROR(LOOKUP(2,1/((거래처별!$AC$8:$AC$307&lt;&gt;"")*ISNUMBER(SEARCH(거래처별!$AC$8:$AC$307,$AB528))),거래처별!$A$8:$A$307),IFERROR(LOOKUP(2,1/((거래처별!$AD$8:$AD$307&lt;&gt;"")*ISNUMBER(SEARCH(거래처별!$AD$8:$AD$307,$AB528))),거래처별!$A$8:$A$307),IFERROR(LOOKUP(2,1/((거래처별!$AE$8:$AE$307&lt;&gt;"")*ISNUMBER(SEARCH(거래처별!$AE$8:$AE$307,$AB528))),거래처별!$A$8:$A$307),0))))</f>
        <v/>
      </c>
      <c r="AD528" s="31">
        <f>IF(AND($Y528&lt;&gt;"",N($Z528)&gt;0,$AC528=0),MAX($AD$7:$AD527)+1,"")</f>
        <v/>
      </c>
      <c r="AE528" s="31">
        <f>IF($Y528="",0,$Y528)</f>
        <v/>
      </c>
    </row>
    <row r="529">
      <c r="W529" s="31">
        <f>IF(OR($B$5="",$C$6="",ROW()&lt;$B$5),"",IF(INDEX($A:$U,ROW(),$C$6)="","",INDEX($A:$U,ROW(),$C$6)))</f>
        <v/>
      </c>
      <c r="X529" s="32">
        <f>IF($W529="","",IF(ISNUMBER($W529),IF($W529&gt;=10000000,IFERROR(DATE(INT($W529/10000),MOD(INT($W529/100),100),MOD($W529,100)),""),INT($W529)),IFERROR(DATE(--LEFT(LEFT(SUBSTITUTE(SUBSTITUTE(SUBSTITUTE(SUBSTITUTE(TRIM($W529),"-",""),".",""),"/","")," ",""),8),4),--MID(LEFT(SUBSTITUTE(SUBSTITUTE(SUBSTITUTE(SUBSTITUTE(TRIM($W529),"-",""),".",""),"/","")," ",""),8),5,2),--MID(LEFT(SUBSTITUTE(SUBSTITUTE(SUBSTITUTE(SUBSTITUTE(TRIM($W529),"-",""),".",""),"/","")," ",""),8),7,2)),"")))</f>
        <v/>
      </c>
      <c r="Y529" s="32">
        <f>IF($X529="","",INT($X529))</f>
        <v/>
      </c>
      <c r="Z529" s="33">
        <f>IF(OR($Y529="",$D$6=""),"",IF(INDEX($A:$U,ROW(),$D$6)="",0,IF(ISNUMBER(INDEX($A:$U,ROW(),$D$6)),INDEX($A:$U,ROW(),$D$6),IFERROR(--SUBSTITUTE(SUBSTITUTE(TRIM(INDEX($A:$U,ROW(),$D$6)),",",""),"원",""),0))))</f>
        <v/>
      </c>
      <c r="AA529" s="31">
        <f>IF($Y529="","",TRIM(INDEX($A:$U,ROW(),$E$6)&amp;IF($F$6="",""," "&amp;INDEX($A:$U,ROW(),$F$6))))</f>
        <v/>
      </c>
      <c r="AB529" s="31">
        <f>IF($AA529="","",SUBSTITUTE(SUBSTITUTE(SUBSTITUTE(SUBSTITUTE(SUBSTITUTE(SUBSTITUTE(SUBSTITUTE(SUBSTITUTE(SUBSTITUTE($AA529," ",""),"　",""),"(주)",""),"（주）",""),"㈜",""),"주식회사",""),"(유)",""),"（유）",""),"유한회사",""))</f>
        <v/>
      </c>
      <c r="AC529" s="31">
        <f>IF(OR($Y529="",N($Z529)&lt;=0,$AB529=""),0,IFERROR(LOOKUP(2,1/((거래처별!$AC$8:$AC$307&lt;&gt;"")*ISNUMBER(SEARCH(거래처별!$AC$8:$AC$307,$AB529))),거래처별!$A$8:$A$307),IFERROR(LOOKUP(2,1/((거래처별!$AD$8:$AD$307&lt;&gt;"")*ISNUMBER(SEARCH(거래처별!$AD$8:$AD$307,$AB529))),거래처별!$A$8:$A$307),IFERROR(LOOKUP(2,1/((거래처별!$AE$8:$AE$307&lt;&gt;"")*ISNUMBER(SEARCH(거래처별!$AE$8:$AE$307,$AB529))),거래처별!$A$8:$A$307),0))))</f>
        <v/>
      </c>
      <c r="AD529" s="31">
        <f>IF(AND($Y529&lt;&gt;"",N($Z529)&gt;0,$AC529=0),MAX($AD$7:$AD528)+1,"")</f>
        <v/>
      </c>
      <c r="AE529" s="31">
        <f>IF($Y529="",0,$Y529)</f>
        <v/>
      </c>
    </row>
    <row r="530">
      <c r="W530" s="31">
        <f>IF(OR($B$5="",$C$6="",ROW()&lt;$B$5),"",IF(INDEX($A:$U,ROW(),$C$6)="","",INDEX($A:$U,ROW(),$C$6)))</f>
        <v/>
      </c>
      <c r="X530" s="32">
        <f>IF($W530="","",IF(ISNUMBER($W530),IF($W530&gt;=10000000,IFERROR(DATE(INT($W530/10000),MOD(INT($W530/100),100),MOD($W530,100)),""),INT($W530)),IFERROR(DATE(--LEFT(LEFT(SUBSTITUTE(SUBSTITUTE(SUBSTITUTE(SUBSTITUTE(TRIM($W530),"-",""),".",""),"/","")," ",""),8),4),--MID(LEFT(SUBSTITUTE(SUBSTITUTE(SUBSTITUTE(SUBSTITUTE(TRIM($W530),"-",""),".",""),"/","")," ",""),8),5,2),--MID(LEFT(SUBSTITUTE(SUBSTITUTE(SUBSTITUTE(SUBSTITUTE(TRIM($W530),"-",""),".",""),"/","")," ",""),8),7,2)),"")))</f>
        <v/>
      </c>
      <c r="Y530" s="32">
        <f>IF($X530="","",INT($X530))</f>
        <v/>
      </c>
      <c r="Z530" s="33">
        <f>IF(OR($Y530="",$D$6=""),"",IF(INDEX($A:$U,ROW(),$D$6)="",0,IF(ISNUMBER(INDEX($A:$U,ROW(),$D$6)),INDEX($A:$U,ROW(),$D$6),IFERROR(--SUBSTITUTE(SUBSTITUTE(TRIM(INDEX($A:$U,ROW(),$D$6)),",",""),"원",""),0))))</f>
        <v/>
      </c>
      <c r="AA530" s="31">
        <f>IF($Y530="","",TRIM(INDEX($A:$U,ROW(),$E$6)&amp;IF($F$6="",""," "&amp;INDEX($A:$U,ROW(),$F$6))))</f>
        <v/>
      </c>
      <c r="AB530" s="31">
        <f>IF($AA530="","",SUBSTITUTE(SUBSTITUTE(SUBSTITUTE(SUBSTITUTE(SUBSTITUTE(SUBSTITUTE(SUBSTITUTE(SUBSTITUTE(SUBSTITUTE($AA530," ",""),"　",""),"(주)",""),"（주）",""),"㈜",""),"주식회사",""),"(유)",""),"（유）",""),"유한회사",""))</f>
        <v/>
      </c>
      <c r="AC530" s="31">
        <f>IF(OR($Y530="",N($Z530)&lt;=0,$AB530=""),0,IFERROR(LOOKUP(2,1/((거래처별!$AC$8:$AC$307&lt;&gt;"")*ISNUMBER(SEARCH(거래처별!$AC$8:$AC$307,$AB530))),거래처별!$A$8:$A$307),IFERROR(LOOKUP(2,1/((거래처별!$AD$8:$AD$307&lt;&gt;"")*ISNUMBER(SEARCH(거래처별!$AD$8:$AD$307,$AB530))),거래처별!$A$8:$A$307),IFERROR(LOOKUP(2,1/((거래처별!$AE$8:$AE$307&lt;&gt;"")*ISNUMBER(SEARCH(거래처별!$AE$8:$AE$307,$AB530))),거래처별!$A$8:$A$307),0))))</f>
        <v/>
      </c>
      <c r="AD530" s="31">
        <f>IF(AND($Y530&lt;&gt;"",N($Z530)&gt;0,$AC530=0),MAX($AD$7:$AD529)+1,"")</f>
        <v/>
      </c>
      <c r="AE530" s="31">
        <f>IF($Y530="",0,$Y530)</f>
        <v/>
      </c>
    </row>
    <row r="531">
      <c r="W531" s="31">
        <f>IF(OR($B$5="",$C$6="",ROW()&lt;$B$5),"",IF(INDEX($A:$U,ROW(),$C$6)="","",INDEX($A:$U,ROW(),$C$6)))</f>
        <v/>
      </c>
      <c r="X531" s="32">
        <f>IF($W531="","",IF(ISNUMBER($W531),IF($W531&gt;=10000000,IFERROR(DATE(INT($W531/10000),MOD(INT($W531/100),100),MOD($W531,100)),""),INT($W531)),IFERROR(DATE(--LEFT(LEFT(SUBSTITUTE(SUBSTITUTE(SUBSTITUTE(SUBSTITUTE(TRIM($W531),"-",""),".",""),"/","")," ",""),8),4),--MID(LEFT(SUBSTITUTE(SUBSTITUTE(SUBSTITUTE(SUBSTITUTE(TRIM($W531),"-",""),".",""),"/","")," ",""),8),5,2),--MID(LEFT(SUBSTITUTE(SUBSTITUTE(SUBSTITUTE(SUBSTITUTE(TRIM($W531),"-",""),".",""),"/","")," ",""),8),7,2)),"")))</f>
        <v/>
      </c>
      <c r="Y531" s="32">
        <f>IF($X531="","",INT($X531))</f>
        <v/>
      </c>
      <c r="Z531" s="33">
        <f>IF(OR($Y531="",$D$6=""),"",IF(INDEX($A:$U,ROW(),$D$6)="",0,IF(ISNUMBER(INDEX($A:$U,ROW(),$D$6)),INDEX($A:$U,ROW(),$D$6),IFERROR(--SUBSTITUTE(SUBSTITUTE(TRIM(INDEX($A:$U,ROW(),$D$6)),",",""),"원",""),0))))</f>
        <v/>
      </c>
      <c r="AA531" s="31">
        <f>IF($Y531="","",TRIM(INDEX($A:$U,ROW(),$E$6)&amp;IF($F$6="",""," "&amp;INDEX($A:$U,ROW(),$F$6))))</f>
        <v/>
      </c>
      <c r="AB531" s="31">
        <f>IF($AA531="","",SUBSTITUTE(SUBSTITUTE(SUBSTITUTE(SUBSTITUTE(SUBSTITUTE(SUBSTITUTE(SUBSTITUTE(SUBSTITUTE(SUBSTITUTE($AA531," ",""),"　",""),"(주)",""),"（주）",""),"㈜",""),"주식회사",""),"(유)",""),"（유）",""),"유한회사",""))</f>
        <v/>
      </c>
      <c r="AC531" s="31">
        <f>IF(OR($Y531="",N($Z531)&lt;=0,$AB531=""),0,IFERROR(LOOKUP(2,1/((거래처별!$AC$8:$AC$307&lt;&gt;"")*ISNUMBER(SEARCH(거래처별!$AC$8:$AC$307,$AB531))),거래처별!$A$8:$A$307),IFERROR(LOOKUP(2,1/((거래처별!$AD$8:$AD$307&lt;&gt;"")*ISNUMBER(SEARCH(거래처별!$AD$8:$AD$307,$AB531))),거래처별!$A$8:$A$307),IFERROR(LOOKUP(2,1/((거래처별!$AE$8:$AE$307&lt;&gt;"")*ISNUMBER(SEARCH(거래처별!$AE$8:$AE$307,$AB531))),거래처별!$A$8:$A$307),0))))</f>
        <v/>
      </c>
      <c r="AD531" s="31">
        <f>IF(AND($Y531&lt;&gt;"",N($Z531)&gt;0,$AC531=0),MAX($AD$7:$AD530)+1,"")</f>
        <v/>
      </c>
      <c r="AE531" s="31">
        <f>IF($Y531="",0,$Y531)</f>
        <v/>
      </c>
    </row>
    <row r="532">
      <c r="W532" s="31">
        <f>IF(OR($B$5="",$C$6="",ROW()&lt;$B$5),"",IF(INDEX($A:$U,ROW(),$C$6)="","",INDEX($A:$U,ROW(),$C$6)))</f>
        <v/>
      </c>
      <c r="X532" s="32">
        <f>IF($W532="","",IF(ISNUMBER($W532),IF($W532&gt;=10000000,IFERROR(DATE(INT($W532/10000),MOD(INT($W532/100),100),MOD($W532,100)),""),INT($W532)),IFERROR(DATE(--LEFT(LEFT(SUBSTITUTE(SUBSTITUTE(SUBSTITUTE(SUBSTITUTE(TRIM($W532),"-",""),".",""),"/","")," ",""),8),4),--MID(LEFT(SUBSTITUTE(SUBSTITUTE(SUBSTITUTE(SUBSTITUTE(TRIM($W532),"-",""),".",""),"/","")," ",""),8),5,2),--MID(LEFT(SUBSTITUTE(SUBSTITUTE(SUBSTITUTE(SUBSTITUTE(TRIM($W532),"-",""),".",""),"/","")," ",""),8),7,2)),"")))</f>
        <v/>
      </c>
      <c r="Y532" s="32">
        <f>IF($X532="","",INT($X532))</f>
        <v/>
      </c>
      <c r="Z532" s="33">
        <f>IF(OR($Y532="",$D$6=""),"",IF(INDEX($A:$U,ROW(),$D$6)="",0,IF(ISNUMBER(INDEX($A:$U,ROW(),$D$6)),INDEX($A:$U,ROW(),$D$6),IFERROR(--SUBSTITUTE(SUBSTITUTE(TRIM(INDEX($A:$U,ROW(),$D$6)),",",""),"원",""),0))))</f>
        <v/>
      </c>
      <c r="AA532" s="31">
        <f>IF($Y532="","",TRIM(INDEX($A:$U,ROW(),$E$6)&amp;IF($F$6="",""," "&amp;INDEX($A:$U,ROW(),$F$6))))</f>
        <v/>
      </c>
      <c r="AB532" s="31">
        <f>IF($AA532="","",SUBSTITUTE(SUBSTITUTE(SUBSTITUTE(SUBSTITUTE(SUBSTITUTE(SUBSTITUTE(SUBSTITUTE(SUBSTITUTE(SUBSTITUTE($AA532," ",""),"　",""),"(주)",""),"（주）",""),"㈜",""),"주식회사",""),"(유)",""),"（유）",""),"유한회사",""))</f>
        <v/>
      </c>
      <c r="AC532" s="31">
        <f>IF(OR($Y532="",N($Z532)&lt;=0,$AB532=""),0,IFERROR(LOOKUP(2,1/((거래처별!$AC$8:$AC$307&lt;&gt;"")*ISNUMBER(SEARCH(거래처별!$AC$8:$AC$307,$AB532))),거래처별!$A$8:$A$307),IFERROR(LOOKUP(2,1/((거래처별!$AD$8:$AD$307&lt;&gt;"")*ISNUMBER(SEARCH(거래처별!$AD$8:$AD$307,$AB532))),거래처별!$A$8:$A$307),IFERROR(LOOKUP(2,1/((거래처별!$AE$8:$AE$307&lt;&gt;"")*ISNUMBER(SEARCH(거래처별!$AE$8:$AE$307,$AB532))),거래처별!$A$8:$A$307),0))))</f>
        <v/>
      </c>
      <c r="AD532" s="31">
        <f>IF(AND($Y532&lt;&gt;"",N($Z532)&gt;0,$AC532=0),MAX($AD$7:$AD531)+1,"")</f>
        <v/>
      </c>
      <c r="AE532" s="31">
        <f>IF($Y532="",0,$Y532)</f>
        <v/>
      </c>
    </row>
    <row r="533">
      <c r="W533" s="31">
        <f>IF(OR($B$5="",$C$6="",ROW()&lt;$B$5),"",IF(INDEX($A:$U,ROW(),$C$6)="","",INDEX($A:$U,ROW(),$C$6)))</f>
        <v/>
      </c>
      <c r="X533" s="32">
        <f>IF($W533="","",IF(ISNUMBER($W533),IF($W533&gt;=10000000,IFERROR(DATE(INT($W533/10000),MOD(INT($W533/100),100),MOD($W533,100)),""),INT($W533)),IFERROR(DATE(--LEFT(LEFT(SUBSTITUTE(SUBSTITUTE(SUBSTITUTE(SUBSTITUTE(TRIM($W533),"-",""),".",""),"/","")," ",""),8),4),--MID(LEFT(SUBSTITUTE(SUBSTITUTE(SUBSTITUTE(SUBSTITUTE(TRIM($W533),"-",""),".",""),"/","")," ",""),8),5,2),--MID(LEFT(SUBSTITUTE(SUBSTITUTE(SUBSTITUTE(SUBSTITUTE(TRIM($W533),"-",""),".",""),"/","")," ",""),8),7,2)),"")))</f>
        <v/>
      </c>
      <c r="Y533" s="32">
        <f>IF($X533="","",INT($X533))</f>
        <v/>
      </c>
      <c r="Z533" s="33">
        <f>IF(OR($Y533="",$D$6=""),"",IF(INDEX($A:$U,ROW(),$D$6)="",0,IF(ISNUMBER(INDEX($A:$U,ROW(),$D$6)),INDEX($A:$U,ROW(),$D$6),IFERROR(--SUBSTITUTE(SUBSTITUTE(TRIM(INDEX($A:$U,ROW(),$D$6)),",",""),"원",""),0))))</f>
        <v/>
      </c>
      <c r="AA533" s="31">
        <f>IF($Y533="","",TRIM(INDEX($A:$U,ROW(),$E$6)&amp;IF($F$6="",""," "&amp;INDEX($A:$U,ROW(),$F$6))))</f>
        <v/>
      </c>
      <c r="AB533" s="31">
        <f>IF($AA533="","",SUBSTITUTE(SUBSTITUTE(SUBSTITUTE(SUBSTITUTE(SUBSTITUTE(SUBSTITUTE(SUBSTITUTE(SUBSTITUTE(SUBSTITUTE($AA533," ",""),"　",""),"(주)",""),"（주）",""),"㈜",""),"주식회사",""),"(유)",""),"（유）",""),"유한회사",""))</f>
        <v/>
      </c>
      <c r="AC533" s="31">
        <f>IF(OR($Y533="",N($Z533)&lt;=0,$AB533=""),0,IFERROR(LOOKUP(2,1/((거래처별!$AC$8:$AC$307&lt;&gt;"")*ISNUMBER(SEARCH(거래처별!$AC$8:$AC$307,$AB533))),거래처별!$A$8:$A$307),IFERROR(LOOKUP(2,1/((거래처별!$AD$8:$AD$307&lt;&gt;"")*ISNUMBER(SEARCH(거래처별!$AD$8:$AD$307,$AB533))),거래처별!$A$8:$A$307),IFERROR(LOOKUP(2,1/((거래처별!$AE$8:$AE$307&lt;&gt;"")*ISNUMBER(SEARCH(거래처별!$AE$8:$AE$307,$AB533))),거래처별!$A$8:$A$307),0))))</f>
        <v/>
      </c>
      <c r="AD533" s="31">
        <f>IF(AND($Y533&lt;&gt;"",N($Z533)&gt;0,$AC533=0),MAX($AD$7:$AD532)+1,"")</f>
        <v/>
      </c>
      <c r="AE533" s="31">
        <f>IF($Y533="",0,$Y533)</f>
        <v/>
      </c>
    </row>
    <row r="534">
      <c r="W534" s="31">
        <f>IF(OR($B$5="",$C$6="",ROW()&lt;$B$5),"",IF(INDEX($A:$U,ROW(),$C$6)="","",INDEX($A:$U,ROW(),$C$6)))</f>
        <v/>
      </c>
      <c r="X534" s="32">
        <f>IF($W534="","",IF(ISNUMBER($W534),IF($W534&gt;=10000000,IFERROR(DATE(INT($W534/10000),MOD(INT($W534/100),100),MOD($W534,100)),""),INT($W534)),IFERROR(DATE(--LEFT(LEFT(SUBSTITUTE(SUBSTITUTE(SUBSTITUTE(SUBSTITUTE(TRIM($W534),"-",""),".",""),"/","")," ",""),8),4),--MID(LEFT(SUBSTITUTE(SUBSTITUTE(SUBSTITUTE(SUBSTITUTE(TRIM($W534),"-",""),".",""),"/","")," ",""),8),5,2),--MID(LEFT(SUBSTITUTE(SUBSTITUTE(SUBSTITUTE(SUBSTITUTE(TRIM($W534),"-",""),".",""),"/","")," ",""),8),7,2)),"")))</f>
        <v/>
      </c>
      <c r="Y534" s="32">
        <f>IF($X534="","",INT($X534))</f>
        <v/>
      </c>
      <c r="Z534" s="33">
        <f>IF(OR($Y534="",$D$6=""),"",IF(INDEX($A:$U,ROW(),$D$6)="",0,IF(ISNUMBER(INDEX($A:$U,ROW(),$D$6)),INDEX($A:$U,ROW(),$D$6),IFERROR(--SUBSTITUTE(SUBSTITUTE(TRIM(INDEX($A:$U,ROW(),$D$6)),",",""),"원",""),0))))</f>
        <v/>
      </c>
      <c r="AA534" s="31">
        <f>IF($Y534="","",TRIM(INDEX($A:$U,ROW(),$E$6)&amp;IF($F$6="",""," "&amp;INDEX($A:$U,ROW(),$F$6))))</f>
        <v/>
      </c>
      <c r="AB534" s="31">
        <f>IF($AA534="","",SUBSTITUTE(SUBSTITUTE(SUBSTITUTE(SUBSTITUTE(SUBSTITUTE(SUBSTITUTE(SUBSTITUTE(SUBSTITUTE(SUBSTITUTE($AA534," ",""),"　",""),"(주)",""),"（주）",""),"㈜",""),"주식회사",""),"(유)",""),"（유）",""),"유한회사",""))</f>
        <v/>
      </c>
      <c r="AC534" s="31">
        <f>IF(OR($Y534="",N($Z534)&lt;=0,$AB534=""),0,IFERROR(LOOKUP(2,1/((거래처별!$AC$8:$AC$307&lt;&gt;"")*ISNUMBER(SEARCH(거래처별!$AC$8:$AC$307,$AB534))),거래처별!$A$8:$A$307),IFERROR(LOOKUP(2,1/((거래처별!$AD$8:$AD$307&lt;&gt;"")*ISNUMBER(SEARCH(거래처별!$AD$8:$AD$307,$AB534))),거래처별!$A$8:$A$307),IFERROR(LOOKUP(2,1/((거래처별!$AE$8:$AE$307&lt;&gt;"")*ISNUMBER(SEARCH(거래처별!$AE$8:$AE$307,$AB534))),거래처별!$A$8:$A$307),0))))</f>
        <v/>
      </c>
      <c r="AD534" s="31">
        <f>IF(AND($Y534&lt;&gt;"",N($Z534)&gt;0,$AC534=0),MAX($AD$7:$AD533)+1,"")</f>
        <v/>
      </c>
      <c r="AE534" s="31">
        <f>IF($Y534="",0,$Y534)</f>
        <v/>
      </c>
    </row>
    <row r="535">
      <c r="W535" s="31">
        <f>IF(OR($B$5="",$C$6="",ROW()&lt;$B$5),"",IF(INDEX($A:$U,ROW(),$C$6)="","",INDEX($A:$U,ROW(),$C$6)))</f>
        <v/>
      </c>
      <c r="X535" s="32">
        <f>IF($W535="","",IF(ISNUMBER($W535),IF($W535&gt;=10000000,IFERROR(DATE(INT($W535/10000),MOD(INT($W535/100),100),MOD($W535,100)),""),INT($W535)),IFERROR(DATE(--LEFT(LEFT(SUBSTITUTE(SUBSTITUTE(SUBSTITUTE(SUBSTITUTE(TRIM($W535),"-",""),".",""),"/","")," ",""),8),4),--MID(LEFT(SUBSTITUTE(SUBSTITUTE(SUBSTITUTE(SUBSTITUTE(TRIM($W535),"-",""),".",""),"/","")," ",""),8),5,2),--MID(LEFT(SUBSTITUTE(SUBSTITUTE(SUBSTITUTE(SUBSTITUTE(TRIM($W535),"-",""),".",""),"/","")," ",""),8),7,2)),"")))</f>
        <v/>
      </c>
      <c r="Y535" s="32">
        <f>IF($X535="","",INT($X535))</f>
        <v/>
      </c>
      <c r="Z535" s="33">
        <f>IF(OR($Y535="",$D$6=""),"",IF(INDEX($A:$U,ROW(),$D$6)="",0,IF(ISNUMBER(INDEX($A:$U,ROW(),$D$6)),INDEX($A:$U,ROW(),$D$6),IFERROR(--SUBSTITUTE(SUBSTITUTE(TRIM(INDEX($A:$U,ROW(),$D$6)),",",""),"원",""),0))))</f>
        <v/>
      </c>
      <c r="AA535" s="31">
        <f>IF($Y535="","",TRIM(INDEX($A:$U,ROW(),$E$6)&amp;IF($F$6="",""," "&amp;INDEX($A:$U,ROW(),$F$6))))</f>
        <v/>
      </c>
      <c r="AB535" s="31">
        <f>IF($AA535="","",SUBSTITUTE(SUBSTITUTE(SUBSTITUTE(SUBSTITUTE(SUBSTITUTE(SUBSTITUTE(SUBSTITUTE(SUBSTITUTE(SUBSTITUTE($AA535," ",""),"　",""),"(주)",""),"（주）",""),"㈜",""),"주식회사",""),"(유)",""),"（유）",""),"유한회사",""))</f>
        <v/>
      </c>
      <c r="AC535" s="31">
        <f>IF(OR($Y535="",N($Z535)&lt;=0,$AB535=""),0,IFERROR(LOOKUP(2,1/((거래처별!$AC$8:$AC$307&lt;&gt;"")*ISNUMBER(SEARCH(거래처별!$AC$8:$AC$307,$AB535))),거래처별!$A$8:$A$307),IFERROR(LOOKUP(2,1/((거래처별!$AD$8:$AD$307&lt;&gt;"")*ISNUMBER(SEARCH(거래처별!$AD$8:$AD$307,$AB535))),거래처별!$A$8:$A$307),IFERROR(LOOKUP(2,1/((거래처별!$AE$8:$AE$307&lt;&gt;"")*ISNUMBER(SEARCH(거래처별!$AE$8:$AE$307,$AB535))),거래처별!$A$8:$A$307),0))))</f>
        <v/>
      </c>
      <c r="AD535" s="31">
        <f>IF(AND($Y535&lt;&gt;"",N($Z535)&gt;0,$AC535=0),MAX($AD$7:$AD534)+1,"")</f>
        <v/>
      </c>
      <c r="AE535" s="31">
        <f>IF($Y535="",0,$Y535)</f>
        <v/>
      </c>
    </row>
    <row r="536">
      <c r="W536" s="31">
        <f>IF(OR($B$5="",$C$6="",ROW()&lt;$B$5),"",IF(INDEX($A:$U,ROW(),$C$6)="","",INDEX($A:$U,ROW(),$C$6)))</f>
        <v/>
      </c>
      <c r="X536" s="32">
        <f>IF($W536="","",IF(ISNUMBER($W536),IF($W536&gt;=10000000,IFERROR(DATE(INT($W536/10000),MOD(INT($W536/100),100),MOD($W536,100)),""),INT($W536)),IFERROR(DATE(--LEFT(LEFT(SUBSTITUTE(SUBSTITUTE(SUBSTITUTE(SUBSTITUTE(TRIM($W536),"-",""),".",""),"/","")," ",""),8),4),--MID(LEFT(SUBSTITUTE(SUBSTITUTE(SUBSTITUTE(SUBSTITUTE(TRIM($W536),"-",""),".",""),"/","")," ",""),8),5,2),--MID(LEFT(SUBSTITUTE(SUBSTITUTE(SUBSTITUTE(SUBSTITUTE(TRIM($W536),"-",""),".",""),"/","")," ",""),8),7,2)),"")))</f>
        <v/>
      </c>
      <c r="Y536" s="32">
        <f>IF($X536="","",INT($X536))</f>
        <v/>
      </c>
      <c r="Z536" s="33">
        <f>IF(OR($Y536="",$D$6=""),"",IF(INDEX($A:$U,ROW(),$D$6)="",0,IF(ISNUMBER(INDEX($A:$U,ROW(),$D$6)),INDEX($A:$U,ROW(),$D$6),IFERROR(--SUBSTITUTE(SUBSTITUTE(TRIM(INDEX($A:$U,ROW(),$D$6)),",",""),"원",""),0))))</f>
        <v/>
      </c>
      <c r="AA536" s="31">
        <f>IF($Y536="","",TRIM(INDEX($A:$U,ROW(),$E$6)&amp;IF($F$6="",""," "&amp;INDEX($A:$U,ROW(),$F$6))))</f>
        <v/>
      </c>
      <c r="AB536" s="31">
        <f>IF($AA536="","",SUBSTITUTE(SUBSTITUTE(SUBSTITUTE(SUBSTITUTE(SUBSTITUTE(SUBSTITUTE(SUBSTITUTE(SUBSTITUTE(SUBSTITUTE($AA536," ",""),"　",""),"(주)",""),"（주）",""),"㈜",""),"주식회사",""),"(유)",""),"（유）",""),"유한회사",""))</f>
        <v/>
      </c>
      <c r="AC536" s="31">
        <f>IF(OR($Y536="",N($Z536)&lt;=0,$AB536=""),0,IFERROR(LOOKUP(2,1/((거래처별!$AC$8:$AC$307&lt;&gt;"")*ISNUMBER(SEARCH(거래처별!$AC$8:$AC$307,$AB536))),거래처별!$A$8:$A$307),IFERROR(LOOKUP(2,1/((거래처별!$AD$8:$AD$307&lt;&gt;"")*ISNUMBER(SEARCH(거래처별!$AD$8:$AD$307,$AB536))),거래처별!$A$8:$A$307),IFERROR(LOOKUP(2,1/((거래처별!$AE$8:$AE$307&lt;&gt;"")*ISNUMBER(SEARCH(거래처별!$AE$8:$AE$307,$AB536))),거래처별!$A$8:$A$307),0))))</f>
        <v/>
      </c>
      <c r="AD536" s="31">
        <f>IF(AND($Y536&lt;&gt;"",N($Z536)&gt;0,$AC536=0),MAX($AD$7:$AD535)+1,"")</f>
        <v/>
      </c>
      <c r="AE536" s="31">
        <f>IF($Y536="",0,$Y536)</f>
        <v/>
      </c>
    </row>
    <row r="537">
      <c r="W537" s="31">
        <f>IF(OR($B$5="",$C$6="",ROW()&lt;$B$5),"",IF(INDEX($A:$U,ROW(),$C$6)="","",INDEX($A:$U,ROW(),$C$6)))</f>
        <v/>
      </c>
      <c r="X537" s="32">
        <f>IF($W537="","",IF(ISNUMBER($W537),IF($W537&gt;=10000000,IFERROR(DATE(INT($W537/10000),MOD(INT($W537/100),100),MOD($W537,100)),""),INT($W537)),IFERROR(DATE(--LEFT(LEFT(SUBSTITUTE(SUBSTITUTE(SUBSTITUTE(SUBSTITUTE(TRIM($W537),"-",""),".",""),"/","")," ",""),8),4),--MID(LEFT(SUBSTITUTE(SUBSTITUTE(SUBSTITUTE(SUBSTITUTE(TRIM($W537),"-",""),".",""),"/","")," ",""),8),5,2),--MID(LEFT(SUBSTITUTE(SUBSTITUTE(SUBSTITUTE(SUBSTITUTE(TRIM($W537),"-",""),".",""),"/","")," ",""),8),7,2)),"")))</f>
        <v/>
      </c>
      <c r="Y537" s="32">
        <f>IF($X537="","",INT($X537))</f>
        <v/>
      </c>
      <c r="Z537" s="33">
        <f>IF(OR($Y537="",$D$6=""),"",IF(INDEX($A:$U,ROW(),$D$6)="",0,IF(ISNUMBER(INDEX($A:$U,ROW(),$D$6)),INDEX($A:$U,ROW(),$D$6),IFERROR(--SUBSTITUTE(SUBSTITUTE(TRIM(INDEX($A:$U,ROW(),$D$6)),",",""),"원",""),0))))</f>
        <v/>
      </c>
      <c r="AA537" s="31">
        <f>IF($Y537="","",TRIM(INDEX($A:$U,ROW(),$E$6)&amp;IF($F$6="",""," "&amp;INDEX($A:$U,ROW(),$F$6))))</f>
        <v/>
      </c>
      <c r="AB537" s="31">
        <f>IF($AA537="","",SUBSTITUTE(SUBSTITUTE(SUBSTITUTE(SUBSTITUTE(SUBSTITUTE(SUBSTITUTE(SUBSTITUTE(SUBSTITUTE(SUBSTITUTE($AA537," ",""),"　",""),"(주)",""),"（주）",""),"㈜",""),"주식회사",""),"(유)",""),"（유）",""),"유한회사",""))</f>
        <v/>
      </c>
      <c r="AC537" s="31">
        <f>IF(OR($Y537="",N($Z537)&lt;=0,$AB537=""),0,IFERROR(LOOKUP(2,1/((거래처별!$AC$8:$AC$307&lt;&gt;"")*ISNUMBER(SEARCH(거래처별!$AC$8:$AC$307,$AB537))),거래처별!$A$8:$A$307),IFERROR(LOOKUP(2,1/((거래처별!$AD$8:$AD$307&lt;&gt;"")*ISNUMBER(SEARCH(거래처별!$AD$8:$AD$307,$AB537))),거래처별!$A$8:$A$307),IFERROR(LOOKUP(2,1/((거래처별!$AE$8:$AE$307&lt;&gt;"")*ISNUMBER(SEARCH(거래처별!$AE$8:$AE$307,$AB537))),거래처별!$A$8:$A$307),0))))</f>
        <v/>
      </c>
      <c r="AD537" s="31">
        <f>IF(AND($Y537&lt;&gt;"",N($Z537)&gt;0,$AC537=0),MAX($AD$7:$AD536)+1,"")</f>
        <v/>
      </c>
      <c r="AE537" s="31">
        <f>IF($Y537="",0,$Y537)</f>
        <v/>
      </c>
    </row>
    <row r="538">
      <c r="W538" s="31">
        <f>IF(OR($B$5="",$C$6="",ROW()&lt;$B$5),"",IF(INDEX($A:$U,ROW(),$C$6)="","",INDEX($A:$U,ROW(),$C$6)))</f>
        <v/>
      </c>
      <c r="X538" s="32">
        <f>IF($W538="","",IF(ISNUMBER($W538),IF($W538&gt;=10000000,IFERROR(DATE(INT($W538/10000),MOD(INT($W538/100),100),MOD($W538,100)),""),INT($W538)),IFERROR(DATE(--LEFT(LEFT(SUBSTITUTE(SUBSTITUTE(SUBSTITUTE(SUBSTITUTE(TRIM($W538),"-",""),".",""),"/","")," ",""),8),4),--MID(LEFT(SUBSTITUTE(SUBSTITUTE(SUBSTITUTE(SUBSTITUTE(TRIM($W538),"-",""),".",""),"/","")," ",""),8),5,2),--MID(LEFT(SUBSTITUTE(SUBSTITUTE(SUBSTITUTE(SUBSTITUTE(TRIM($W538),"-",""),".",""),"/","")," ",""),8),7,2)),"")))</f>
        <v/>
      </c>
      <c r="Y538" s="32">
        <f>IF($X538="","",INT($X538))</f>
        <v/>
      </c>
      <c r="Z538" s="33">
        <f>IF(OR($Y538="",$D$6=""),"",IF(INDEX($A:$U,ROW(),$D$6)="",0,IF(ISNUMBER(INDEX($A:$U,ROW(),$D$6)),INDEX($A:$U,ROW(),$D$6),IFERROR(--SUBSTITUTE(SUBSTITUTE(TRIM(INDEX($A:$U,ROW(),$D$6)),",",""),"원",""),0))))</f>
        <v/>
      </c>
      <c r="AA538" s="31">
        <f>IF($Y538="","",TRIM(INDEX($A:$U,ROW(),$E$6)&amp;IF($F$6="",""," "&amp;INDEX($A:$U,ROW(),$F$6))))</f>
        <v/>
      </c>
      <c r="AB538" s="31">
        <f>IF($AA538="","",SUBSTITUTE(SUBSTITUTE(SUBSTITUTE(SUBSTITUTE(SUBSTITUTE(SUBSTITUTE(SUBSTITUTE(SUBSTITUTE(SUBSTITUTE($AA538," ",""),"　",""),"(주)",""),"（주）",""),"㈜",""),"주식회사",""),"(유)",""),"（유）",""),"유한회사",""))</f>
        <v/>
      </c>
      <c r="AC538" s="31">
        <f>IF(OR($Y538="",N($Z538)&lt;=0,$AB538=""),0,IFERROR(LOOKUP(2,1/((거래처별!$AC$8:$AC$307&lt;&gt;"")*ISNUMBER(SEARCH(거래처별!$AC$8:$AC$307,$AB538))),거래처별!$A$8:$A$307),IFERROR(LOOKUP(2,1/((거래처별!$AD$8:$AD$307&lt;&gt;"")*ISNUMBER(SEARCH(거래처별!$AD$8:$AD$307,$AB538))),거래처별!$A$8:$A$307),IFERROR(LOOKUP(2,1/((거래처별!$AE$8:$AE$307&lt;&gt;"")*ISNUMBER(SEARCH(거래처별!$AE$8:$AE$307,$AB538))),거래처별!$A$8:$A$307),0))))</f>
        <v/>
      </c>
      <c r="AD538" s="31">
        <f>IF(AND($Y538&lt;&gt;"",N($Z538)&gt;0,$AC538=0),MAX($AD$7:$AD537)+1,"")</f>
        <v/>
      </c>
      <c r="AE538" s="31">
        <f>IF($Y538="",0,$Y538)</f>
        <v/>
      </c>
    </row>
    <row r="539">
      <c r="W539" s="31">
        <f>IF(OR($B$5="",$C$6="",ROW()&lt;$B$5),"",IF(INDEX($A:$U,ROW(),$C$6)="","",INDEX($A:$U,ROW(),$C$6)))</f>
        <v/>
      </c>
      <c r="X539" s="32">
        <f>IF($W539="","",IF(ISNUMBER($W539),IF($W539&gt;=10000000,IFERROR(DATE(INT($W539/10000),MOD(INT($W539/100),100),MOD($W539,100)),""),INT($W539)),IFERROR(DATE(--LEFT(LEFT(SUBSTITUTE(SUBSTITUTE(SUBSTITUTE(SUBSTITUTE(TRIM($W539),"-",""),".",""),"/","")," ",""),8),4),--MID(LEFT(SUBSTITUTE(SUBSTITUTE(SUBSTITUTE(SUBSTITUTE(TRIM($W539),"-",""),".",""),"/","")," ",""),8),5,2),--MID(LEFT(SUBSTITUTE(SUBSTITUTE(SUBSTITUTE(SUBSTITUTE(TRIM($W539),"-",""),".",""),"/","")," ",""),8),7,2)),"")))</f>
        <v/>
      </c>
      <c r="Y539" s="32">
        <f>IF($X539="","",INT($X539))</f>
        <v/>
      </c>
      <c r="Z539" s="33">
        <f>IF(OR($Y539="",$D$6=""),"",IF(INDEX($A:$U,ROW(),$D$6)="",0,IF(ISNUMBER(INDEX($A:$U,ROW(),$D$6)),INDEX($A:$U,ROW(),$D$6),IFERROR(--SUBSTITUTE(SUBSTITUTE(TRIM(INDEX($A:$U,ROW(),$D$6)),",",""),"원",""),0))))</f>
        <v/>
      </c>
      <c r="AA539" s="31">
        <f>IF($Y539="","",TRIM(INDEX($A:$U,ROW(),$E$6)&amp;IF($F$6="",""," "&amp;INDEX($A:$U,ROW(),$F$6))))</f>
        <v/>
      </c>
      <c r="AB539" s="31">
        <f>IF($AA539="","",SUBSTITUTE(SUBSTITUTE(SUBSTITUTE(SUBSTITUTE(SUBSTITUTE(SUBSTITUTE(SUBSTITUTE(SUBSTITUTE(SUBSTITUTE($AA539," ",""),"　",""),"(주)",""),"（주）",""),"㈜",""),"주식회사",""),"(유)",""),"（유）",""),"유한회사",""))</f>
        <v/>
      </c>
      <c r="AC539" s="31">
        <f>IF(OR($Y539="",N($Z539)&lt;=0,$AB539=""),0,IFERROR(LOOKUP(2,1/((거래처별!$AC$8:$AC$307&lt;&gt;"")*ISNUMBER(SEARCH(거래처별!$AC$8:$AC$307,$AB539))),거래처별!$A$8:$A$307),IFERROR(LOOKUP(2,1/((거래처별!$AD$8:$AD$307&lt;&gt;"")*ISNUMBER(SEARCH(거래처별!$AD$8:$AD$307,$AB539))),거래처별!$A$8:$A$307),IFERROR(LOOKUP(2,1/((거래처별!$AE$8:$AE$307&lt;&gt;"")*ISNUMBER(SEARCH(거래처별!$AE$8:$AE$307,$AB539))),거래처별!$A$8:$A$307),0))))</f>
        <v/>
      </c>
      <c r="AD539" s="31">
        <f>IF(AND($Y539&lt;&gt;"",N($Z539)&gt;0,$AC539=0),MAX($AD$7:$AD538)+1,"")</f>
        <v/>
      </c>
      <c r="AE539" s="31">
        <f>IF($Y539="",0,$Y539)</f>
        <v/>
      </c>
    </row>
    <row r="540">
      <c r="W540" s="31">
        <f>IF(OR($B$5="",$C$6="",ROW()&lt;$B$5),"",IF(INDEX($A:$U,ROW(),$C$6)="","",INDEX($A:$U,ROW(),$C$6)))</f>
        <v/>
      </c>
      <c r="X540" s="32">
        <f>IF($W540="","",IF(ISNUMBER($W540),IF($W540&gt;=10000000,IFERROR(DATE(INT($W540/10000),MOD(INT($W540/100),100),MOD($W540,100)),""),INT($W540)),IFERROR(DATE(--LEFT(LEFT(SUBSTITUTE(SUBSTITUTE(SUBSTITUTE(SUBSTITUTE(TRIM($W540),"-",""),".",""),"/","")," ",""),8),4),--MID(LEFT(SUBSTITUTE(SUBSTITUTE(SUBSTITUTE(SUBSTITUTE(TRIM($W540),"-",""),".",""),"/","")," ",""),8),5,2),--MID(LEFT(SUBSTITUTE(SUBSTITUTE(SUBSTITUTE(SUBSTITUTE(TRIM($W540),"-",""),".",""),"/","")," ",""),8),7,2)),"")))</f>
        <v/>
      </c>
      <c r="Y540" s="32">
        <f>IF($X540="","",INT($X540))</f>
        <v/>
      </c>
      <c r="Z540" s="33">
        <f>IF(OR($Y540="",$D$6=""),"",IF(INDEX($A:$U,ROW(),$D$6)="",0,IF(ISNUMBER(INDEX($A:$U,ROW(),$D$6)),INDEX($A:$U,ROW(),$D$6),IFERROR(--SUBSTITUTE(SUBSTITUTE(TRIM(INDEX($A:$U,ROW(),$D$6)),",",""),"원",""),0))))</f>
        <v/>
      </c>
      <c r="AA540" s="31">
        <f>IF($Y540="","",TRIM(INDEX($A:$U,ROW(),$E$6)&amp;IF($F$6="",""," "&amp;INDEX($A:$U,ROW(),$F$6))))</f>
        <v/>
      </c>
      <c r="AB540" s="31">
        <f>IF($AA540="","",SUBSTITUTE(SUBSTITUTE(SUBSTITUTE(SUBSTITUTE(SUBSTITUTE(SUBSTITUTE(SUBSTITUTE(SUBSTITUTE(SUBSTITUTE($AA540," ",""),"　",""),"(주)",""),"（주）",""),"㈜",""),"주식회사",""),"(유)",""),"（유）",""),"유한회사",""))</f>
        <v/>
      </c>
      <c r="AC540" s="31">
        <f>IF(OR($Y540="",N($Z540)&lt;=0,$AB540=""),0,IFERROR(LOOKUP(2,1/((거래처별!$AC$8:$AC$307&lt;&gt;"")*ISNUMBER(SEARCH(거래처별!$AC$8:$AC$307,$AB540))),거래처별!$A$8:$A$307),IFERROR(LOOKUP(2,1/((거래처별!$AD$8:$AD$307&lt;&gt;"")*ISNUMBER(SEARCH(거래처별!$AD$8:$AD$307,$AB540))),거래처별!$A$8:$A$307),IFERROR(LOOKUP(2,1/((거래처별!$AE$8:$AE$307&lt;&gt;"")*ISNUMBER(SEARCH(거래처별!$AE$8:$AE$307,$AB540))),거래처별!$A$8:$A$307),0))))</f>
        <v/>
      </c>
      <c r="AD540" s="31">
        <f>IF(AND($Y540&lt;&gt;"",N($Z540)&gt;0,$AC540=0),MAX($AD$7:$AD539)+1,"")</f>
        <v/>
      </c>
      <c r="AE540" s="31">
        <f>IF($Y540="",0,$Y540)</f>
        <v/>
      </c>
    </row>
    <row r="541">
      <c r="W541" s="31">
        <f>IF(OR($B$5="",$C$6="",ROW()&lt;$B$5),"",IF(INDEX($A:$U,ROW(),$C$6)="","",INDEX($A:$U,ROW(),$C$6)))</f>
        <v/>
      </c>
      <c r="X541" s="32">
        <f>IF($W541="","",IF(ISNUMBER($W541),IF($W541&gt;=10000000,IFERROR(DATE(INT($W541/10000),MOD(INT($W541/100),100),MOD($W541,100)),""),INT($W541)),IFERROR(DATE(--LEFT(LEFT(SUBSTITUTE(SUBSTITUTE(SUBSTITUTE(SUBSTITUTE(TRIM($W541),"-",""),".",""),"/","")," ",""),8),4),--MID(LEFT(SUBSTITUTE(SUBSTITUTE(SUBSTITUTE(SUBSTITUTE(TRIM($W541),"-",""),".",""),"/","")," ",""),8),5,2),--MID(LEFT(SUBSTITUTE(SUBSTITUTE(SUBSTITUTE(SUBSTITUTE(TRIM($W541),"-",""),".",""),"/","")," ",""),8),7,2)),"")))</f>
        <v/>
      </c>
      <c r="Y541" s="32">
        <f>IF($X541="","",INT($X541))</f>
        <v/>
      </c>
      <c r="Z541" s="33">
        <f>IF(OR($Y541="",$D$6=""),"",IF(INDEX($A:$U,ROW(),$D$6)="",0,IF(ISNUMBER(INDEX($A:$U,ROW(),$D$6)),INDEX($A:$U,ROW(),$D$6),IFERROR(--SUBSTITUTE(SUBSTITUTE(TRIM(INDEX($A:$U,ROW(),$D$6)),",",""),"원",""),0))))</f>
        <v/>
      </c>
      <c r="AA541" s="31">
        <f>IF($Y541="","",TRIM(INDEX($A:$U,ROW(),$E$6)&amp;IF($F$6="",""," "&amp;INDEX($A:$U,ROW(),$F$6))))</f>
        <v/>
      </c>
      <c r="AB541" s="31">
        <f>IF($AA541="","",SUBSTITUTE(SUBSTITUTE(SUBSTITUTE(SUBSTITUTE(SUBSTITUTE(SUBSTITUTE(SUBSTITUTE(SUBSTITUTE(SUBSTITUTE($AA541," ",""),"　",""),"(주)",""),"（주）",""),"㈜",""),"주식회사",""),"(유)",""),"（유）",""),"유한회사",""))</f>
        <v/>
      </c>
      <c r="AC541" s="31">
        <f>IF(OR($Y541="",N($Z541)&lt;=0,$AB541=""),0,IFERROR(LOOKUP(2,1/((거래처별!$AC$8:$AC$307&lt;&gt;"")*ISNUMBER(SEARCH(거래처별!$AC$8:$AC$307,$AB541))),거래처별!$A$8:$A$307),IFERROR(LOOKUP(2,1/((거래처별!$AD$8:$AD$307&lt;&gt;"")*ISNUMBER(SEARCH(거래처별!$AD$8:$AD$307,$AB541))),거래처별!$A$8:$A$307),IFERROR(LOOKUP(2,1/((거래처별!$AE$8:$AE$307&lt;&gt;"")*ISNUMBER(SEARCH(거래처별!$AE$8:$AE$307,$AB541))),거래처별!$A$8:$A$307),0))))</f>
        <v/>
      </c>
      <c r="AD541" s="31">
        <f>IF(AND($Y541&lt;&gt;"",N($Z541)&gt;0,$AC541=0),MAX($AD$7:$AD540)+1,"")</f>
        <v/>
      </c>
      <c r="AE541" s="31">
        <f>IF($Y541="",0,$Y541)</f>
        <v/>
      </c>
    </row>
    <row r="542">
      <c r="W542" s="31">
        <f>IF(OR($B$5="",$C$6="",ROW()&lt;$B$5),"",IF(INDEX($A:$U,ROW(),$C$6)="","",INDEX($A:$U,ROW(),$C$6)))</f>
        <v/>
      </c>
      <c r="X542" s="32">
        <f>IF($W542="","",IF(ISNUMBER($W542),IF($W542&gt;=10000000,IFERROR(DATE(INT($W542/10000),MOD(INT($W542/100),100),MOD($W542,100)),""),INT($W542)),IFERROR(DATE(--LEFT(LEFT(SUBSTITUTE(SUBSTITUTE(SUBSTITUTE(SUBSTITUTE(TRIM($W542),"-",""),".",""),"/","")," ",""),8),4),--MID(LEFT(SUBSTITUTE(SUBSTITUTE(SUBSTITUTE(SUBSTITUTE(TRIM($W542),"-",""),".",""),"/","")," ",""),8),5,2),--MID(LEFT(SUBSTITUTE(SUBSTITUTE(SUBSTITUTE(SUBSTITUTE(TRIM($W542),"-",""),".",""),"/","")," ",""),8),7,2)),"")))</f>
        <v/>
      </c>
      <c r="Y542" s="32">
        <f>IF($X542="","",INT($X542))</f>
        <v/>
      </c>
      <c r="Z542" s="33">
        <f>IF(OR($Y542="",$D$6=""),"",IF(INDEX($A:$U,ROW(),$D$6)="",0,IF(ISNUMBER(INDEX($A:$U,ROW(),$D$6)),INDEX($A:$U,ROW(),$D$6),IFERROR(--SUBSTITUTE(SUBSTITUTE(TRIM(INDEX($A:$U,ROW(),$D$6)),",",""),"원",""),0))))</f>
        <v/>
      </c>
      <c r="AA542" s="31">
        <f>IF($Y542="","",TRIM(INDEX($A:$U,ROW(),$E$6)&amp;IF($F$6="",""," "&amp;INDEX($A:$U,ROW(),$F$6))))</f>
        <v/>
      </c>
      <c r="AB542" s="31">
        <f>IF($AA542="","",SUBSTITUTE(SUBSTITUTE(SUBSTITUTE(SUBSTITUTE(SUBSTITUTE(SUBSTITUTE(SUBSTITUTE(SUBSTITUTE(SUBSTITUTE($AA542," ",""),"　",""),"(주)",""),"（주）",""),"㈜",""),"주식회사",""),"(유)",""),"（유）",""),"유한회사",""))</f>
        <v/>
      </c>
      <c r="AC542" s="31">
        <f>IF(OR($Y542="",N($Z542)&lt;=0,$AB542=""),0,IFERROR(LOOKUP(2,1/((거래처별!$AC$8:$AC$307&lt;&gt;"")*ISNUMBER(SEARCH(거래처별!$AC$8:$AC$307,$AB542))),거래처별!$A$8:$A$307),IFERROR(LOOKUP(2,1/((거래처별!$AD$8:$AD$307&lt;&gt;"")*ISNUMBER(SEARCH(거래처별!$AD$8:$AD$307,$AB542))),거래처별!$A$8:$A$307),IFERROR(LOOKUP(2,1/((거래처별!$AE$8:$AE$307&lt;&gt;"")*ISNUMBER(SEARCH(거래처별!$AE$8:$AE$307,$AB542))),거래처별!$A$8:$A$307),0))))</f>
        <v/>
      </c>
      <c r="AD542" s="31">
        <f>IF(AND($Y542&lt;&gt;"",N($Z542)&gt;0,$AC542=0),MAX($AD$7:$AD541)+1,"")</f>
        <v/>
      </c>
      <c r="AE542" s="31">
        <f>IF($Y542="",0,$Y542)</f>
        <v/>
      </c>
    </row>
    <row r="543">
      <c r="W543" s="31">
        <f>IF(OR($B$5="",$C$6="",ROW()&lt;$B$5),"",IF(INDEX($A:$U,ROW(),$C$6)="","",INDEX($A:$U,ROW(),$C$6)))</f>
        <v/>
      </c>
      <c r="X543" s="32">
        <f>IF($W543="","",IF(ISNUMBER($W543),IF($W543&gt;=10000000,IFERROR(DATE(INT($W543/10000),MOD(INT($W543/100),100),MOD($W543,100)),""),INT($W543)),IFERROR(DATE(--LEFT(LEFT(SUBSTITUTE(SUBSTITUTE(SUBSTITUTE(SUBSTITUTE(TRIM($W543),"-",""),".",""),"/","")," ",""),8),4),--MID(LEFT(SUBSTITUTE(SUBSTITUTE(SUBSTITUTE(SUBSTITUTE(TRIM($W543),"-",""),".",""),"/","")," ",""),8),5,2),--MID(LEFT(SUBSTITUTE(SUBSTITUTE(SUBSTITUTE(SUBSTITUTE(TRIM($W543),"-",""),".",""),"/","")," ",""),8),7,2)),"")))</f>
        <v/>
      </c>
      <c r="Y543" s="32">
        <f>IF($X543="","",INT($X543))</f>
        <v/>
      </c>
      <c r="Z543" s="33">
        <f>IF(OR($Y543="",$D$6=""),"",IF(INDEX($A:$U,ROW(),$D$6)="",0,IF(ISNUMBER(INDEX($A:$U,ROW(),$D$6)),INDEX($A:$U,ROW(),$D$6),IFERROR(--SUBSTITUTE(SUBSTITUTE(TRIM(INDEX($A:$U,ROW(),$D$6)),",",""),"원",""),0))))</f>
        <v/>
      </c>
      <c r="AA543" s="31">
        <f>IF($Y543="","",TRIM(INDEX($A:$U,ROW(),$E$6)&amp;IF($F$6="",""," "&amp;INDEX($A:$U,ROW(),$F$6))))</f>
        <v/>
      </c>
      <c r="AB543" s="31">
        <f>IF($AA543="","",SUBSTITUTE(SUBSTITUTE(SUBSTITUTE(SUBSTITUTE(SUBSTITUTE(SUBSTITUTE(SUBSTITUTE(SUBSTITUTE(SUBSTITUTE($AA543," ",""),"　",""),"(주)",""),"（주）",""),"㈜",""),"주식회사",""),"(유)",""),"（유）",""),"유한회사",""))</f>
        <v/>
      </c>
      <c r="AC543" s="31">
        <f>IF(OR($Y543="",N($Z543)&lt;=0,$AB543=""),0,IFERROR(LOOKUP(2,1/((거래처별!$AC$8:$AC$307&lt;&gt;"")*ISNUMBER(SEARCH(거래처별!$AC$8:$AC$307,$AB543))),거래처별!$A$8:$A$307),IFERROR(LOOKUP(2,1/((거래처별!$AD$8:$AD$307&lt;&gt;"")*ISNUMBER(SEARCH(거래처별!$AD$8:$AD$307,$AB543))),거래처별!$A$8:$A$307),IFERROR(LOOKUP(2,1/((거래처별!$AE$8:$AE$307&lt;&gt;"")*ISNUMBER(SEARCH(거래처별!$AE$8:$AE$307,$AB543))),거래처별!$A$8:$A$307),0))))</f>
        <v/>
      </c>
      <c r="AD543" s="31">
        <f>IF(AND($Y543&lt;&gt;"",N($Z543)&gt;0,$AC543=0),MAX($AD$7:$AD542)+1,"")</f>
        <v/>
      </c>
      <c r="AE543" s="31">
        <f>IF($Y543="",0,$Y543)</f>
        <v/>
      </c>
    </row>
    <row r="544">
      <c r="W544" s="31">
        <f>IF(OR($B$5="",$C$6="",ROW()&lt;$B$5),"",IF(INDEX($A:$U,ROW(),$C$6)="","",INDEX($A:$U,ROW(),$C$6)))</f>
        <v/>
      </c>
      <c r="X544" s="32">
        <f>IF($W544="","",IF(ISNUMBER($W544),IF($W544&gt;=10000000,IFERROR(DATE(INT($W544/10000),MOD(INT($W544/100),100),MOD($W544,100)),""),INT($W544)),IFERROR(DATE(--LEFT(LEFT(SUBSTITUTE(SUBSTITUTE(SUBSTITUTE(SUBSTITUTE(TRIM($W544),"-",""),".",""),"/","")," ",""),8),4),--MID(LEFT(SUBSTITUTE(SUBSTITUTE(SUBSTITUTE(SUBSTITUTE(TRIM($W544),"-",""),".",""),"/","")," ",""),8),5,2),--MID(LEFT(SUBSTITUTE(SUBSTITUTE(SUBSTITUTE(SUBSTITUTE(TRIM($W544),"-",""),".",""),"/","")," ",""),8),7,2)),"")))</f>
        <v/>
      </c>
      <c r="Y544" s="32">
        <f>IF($X544="","",INT($X544))</f>
        <v/>
      </c>
      <c r="Z544" s="33">
        <f>IF(OR($Y544="",$D$6=""),"",IF(INDEX($A:$U,ROW(),$D$6)="",0,IF(ISNUMBER(INDEX($A:$U,ROW(),$D$6)),INDEX($A:$U,ROW(),$D$6),IFERROR(--SUBSTITUTE(SUBSTITUTE(TRIM(INDEX($A:$U,ROW(),$D$6)),",",""),"원",""),0))))</f>
        <v/>
      </c>
      <c r="AA544" s="31">
        <f>IF($Y544="","",TRIM(INDEX($A:$U,ROW(),$E$6)&amp;IF($F$6="",""," "&amp;INDEX($A:$U,ROW(),$F$6))))</f>
        <v/>
      </c>
      <c r="AB544" s="31">
        <f>IF($AA544="","",SUBSTITUTE(SUBSTITUTE(SUBSTITUTE(SUBSTITUTE(SUBSTITUTE(SUBSTITUTE(SUBSTITUTE(SUBSTITUTE(SUBSTITUTE($AA544," ",""),"　",""),"(주)",""),"（주）",""),"㈜",""),"주식회사",""),"(유)",""),"（유）",""),"유한회사",""))</f>
        <v/>
      </c>
      <c r="AC544" s="31">
        <f>IF(OR($Y544="",N($Z544)&lt;=0,$AB544=""),0,IFERROR(LOOKUP(2,1/((거래처별!$AC$8:$AC$307&lt;&gt;"")*ISNUMBER(SEARCH(거래처별!$AC$8:$AC$307,$AB544))),거래처별!$A$8:$A$307),IFERROR(LOOKUP(2,1/((거래처별!$AD$8:$AD$307&lt;&gt;"")*ISNUMBER(SEARCH(거래처별!$AD$8:$AD$307,$AB544))),거래처별!$A$8:$A$307),IFERROR(LOOKUP(2,1/((거래처별!$AE$8:$AE$307&lt;&gt;"")*ISNUMBER(SEARCH(거래처별!$AE$8:$AE$307,$AB544))),거래처별!$A$8:$A$307),0))))</f>
        <v/>
      </c>
      <c r="AD544" s="31">
        <f>IF(AND($Y544&lt;&gt;"",N($Z544)&gt;0,$AC544=0),MAX($AD$7:$AD543)+1,"")</f>
        <v/>
      </c>
      <c r="AE544" s="31">
        <f>IF($Y544="",0,$Y544)</f>
        <v/>
      </c>
    </row>
    <row r="545">
      <c r="W545" s="31">
        <f>IF(OR($B$5="",$C$6="",ROW()&lt;$B$5),"",IF(INDEX($A:$U,ROW(),$C$6)="","",INDEX($A:$U,ROW(),$C$6)))</f>
        <v/>
      </c>
      <c r="X545" s="32">
        <f>IF($W545="","",IF(ISNUMBER($W545),IF($W545&gt;=10000000,IFERROR(DATE(INT($W545/10000),MOD(INT($W545/100),100),MOD($W545,100)),""),INT($W545)),IFERROR(DATE(--LEFT(LEFT(SUBSTITUTE(SUBSTITUTE(SUBSTITUTE(SUBSTITUTE(TRIM($W545),"-",""),".",""),"/","")," ",""),8),4),--MID(LEFT(SUBSTITUTE(SUBSTITUTE(SUBSTITUTE(SUBSTITUTE(TRIM($W545),"-",""),".",""),"/","")," ",""),8),5,2),--MID(LEFT(SUBSTITUTE(SUBSTITUTE(SUBSTITUTE(SUBSTITUTE(TRIM($W545),"-",""),".",""),"/","")," ",""),8),7,2)),"")))</f>
        <v/>
      </c>
      <c r="Y545" s="32">
        <f>IF($X545="","",INT($X545))</f>
        <v/>
      </c>
      <c r="Z545" s="33">
        <f>IF(OR($Y545="",$D$6=""),"",IF(INDEX($A:$U,ROW(),$D$6)="",0,IF(ISNUMBER(INDEX($A:$U,ROW(),$D$6)),INDEX($A:$U,ROW(),$D$6),IFERROR(--SUBSTITUTE(SUBSTITUTE(TRIM(INDEX($A:$U,ROW(),$D$6)),",",""),"원",""),0))))</f>
        <v/>
      </c>
      <c r="AA545" s="31">
        <f>IF($Y545="","",TRIM(INDEX($A:$U,ROW(),$E$6)&amp;IF($F$6="",""," "&amp;INDEX($A:$U,ROW(),$F$6))))</f>
        <v/>
      </c>
      <c r="AB545" s="31">
        <f>IF($AA545="","",SUBSTITUTE(SUBSTITUTE(SUBSTITUTE(SUBSTITUTE(SUBSTITUTE(SUBSTITUTE(SUBSTITUTE(SUBSTITUTE(SUBSTITUTE($AA545," ",""),"　",""),"(주)",""),"（주）",""),"㈜",""),"주식회사",""),"(유)",""),"（유）",""),"유한회사",""))</f>
        <v/>
      </c>
      <c r="AC545" s="31">
        <f>IF(OR($Y545="",N($Z545)&lt;=0,$AB545=""),0,IFERROR(LOOKUP(2,1/((거래처별!$AC$8:$AC$307&lt;&gt;"")*ISNUMBER(SEARCH(거래처별!$AC$8:$AC$307,$AB545))),거래처별!$A$8:$A$307),IFERROR(LOOKUP(2,1/((거래처별!$AD$8:$AD$307&lt;&gt;"")*ISNUMBER(SEARCH(거래처별!$AD$8:$AD$307,$AB545))),거래처별!$A$8:$A$307),IFERROR(LOOKUP(2,1/((거래처별!$AE$8:$AE$307&lt;&gt;"")*ISNUMBER(SEARCH(거래처별!$AE$8:$AE$307,$AB545))),거래처별!$A$8:$A$307),0))))</f>
        <v/>
      </c>
      <c r="AD545" s="31">
        <f>IF(AND($Y545&lt;&gt;"",N($Z545)&gt;0,$AC545=0),MAX($AD$7:$AD544)+1,"")</f>
        <v/>
      </c>
      <c r="AE545" s="31">
        <f>IF($Y545="",0,$Y545)</f>
        <v/>
      </c>
    </row>
    <row r="546">
      <c r="W546" s="31">
        <f>IF(OR($B$5="",$C$6="",ROW()&lt;$B$5),"",IF(INDEX($A:$U,ROW(),$C$6)="","",INDEX($A:$U,ROW(),$C$6)))</f>
        <v/>
      </c>
      <c r="X546" s="32">
        <f>IF($W546="","",IF(ISNUMBER($W546),IF($W546&gt;=10000000,IFERROR(DATE(INT($W546/10000),MOD(INT($W546/100),100),MOD($W546,100)),""),INT($W546)),IFERROR(DATE(--LEFT(LEFT(SUBSTITUTE(SUBSTITUTE(SUBSTITUTE(SUBSTITUTE(TRIM($W546),"-",""),".",""),"/","")," ",""),8),4),--MID(LEFT(SUBSTITUTE(SUBSTITUTE(SUBSTITUTE(SUBSTITUTE(TRIM($W546),"-",""),".",""),"/","")," ",""),8),5,2),--MID(LEFT(SUBSTITUTE(SUBSTITUTE(SUBSTITUTE(SUBSTITUTE(TRIM($W546),"-",""),".",""),"/","")," ",""),8),7,2)),"")))</f>
        <v/>
      </c>
      <c r="Y546" s="32">
        <f>IF($X546="","",INT($X546))</f>
        <v/>
      </c>
      <c r="Z546" s="33">
        <f>IF(OR($Y546="",$D$6=""),"",IF(INDEX($A:$U,ROW(),$D$6)="",0,IF(ISNUMBER(INDEX($A:$U,ROW(),$D$6)),INDEX($A:$U,ROW(),$D$6),IFERROR(--SUBSTITUTE(SUBSTITUTE(TRIM(INDEX($A:$U,ROW(),$D$6)),",",""),"원",""),0))))</f>
        <v/>
      </c>
      <c r="AA546" s="31">
        <f>IF($Y546="","",TRIM(INDEX($A:$U,ROW(),$E$6)&amp;IF($F$6="",""," "&amp;INDEX($A:$U,ROW(),$F$6))))</f>
        <v/>
      </c>
      <c r="AB546" s="31">
        <f>IF($AA546="","",SUBSTITUTE(SUBSTITUTE(SUBSTITUTE(SUBSTITUTE(SUBSTITUTE(SUBSTITUTE(SUBSTITUTE(SUBSTITUTE(SUBSTITUTE($AA546," ",""),"　",""),"(주)",""),"（주）",""),"㈜",""),"주식회사",""),"(유)",""),"（유）",""),"유한회사",""))</f>
        <v/>
      </c>
      <c r="AC546" s="31">
        <f>IF(OR($Y546="",N($Z546)&lt;=0,$AB546=""),0,IFERROR(LOOKUP(2,1/((거래처별!$AC$8:$AC$307&lt;&gt;"")*ISNUMBER(SEARCH(거래처별!$AC$8:$AC$307,$AB546))),거래처별!$A$8:$A$307),IFERROR(LOOKUP(2,1/((거래처별!$AD$8:$AD$307&lt;&gt;"")*ISNUMBER(SEARCH(거래처별!$AD$8:$AD$307,$AB546))),거래처별!$A$8:$A$307),IFERROR(LOOKUP(2,1/((거래처별!$AE$8:$AE$307&lt;&gt;"")*ISNUMBER(SEARCH(거래처별!$AE$8:$AE$307,$AB546))),거래처별!$A$8:$A$307),0))))</f>
        <v/>
      </c>
      <c r="AD546" s="31">
        <f>IF(AND($Y546&lt;&gt;"",N($Z546)&gt;0,$AC546=0),MAX($AD$7:$AD545)+1,"")</f>
        <v/>
      </c>
      <c r="AE546" s="31">
        <f>IF($Y546="",0,$Y546)</f>
        <v/>
      </c>
    </row>
    <row r="547">
      <c r="W547" s="31">
        <f>IF(OR($B$5="",$C$6="",ROW()&lt;$B$5),"",IF(INDEX($A:$U,ROW(),$C$6)="","",INDEX($A:$U,ROW(),$C$6)))</f>
        <v/>
      </c>
      <c r="X547" s="32">
        <f>IF($W547="","",IF(ISNUMBER($W547),IF($W547&gt;=10000000,IFERROR(DATE(INT($W547/10000),MOD(INT($W547/100),100),MOD($W547,100)),""),INT($W547)),IFERROR(DATE(--LEFT(LEFT(SUBSTITUTE(SUBSTITUTE(SUBSTITUTE(SUBSTITUTE(TRIM($W547),"-",""),".",""),"/","")," ",""),8),4),--MID(LEFT(SUBSTITUTE(SUBSTITUTE(SUBSTITUTE(SUBSTITUTE(TRIM($W547),"-",""),".",""),"/","")," ",""),8),5,2),--MID(LEFT(SUBSTITUTE(SUBSTITUTE(SUBSTITUTE(SUBSTITUTE(TRIM($W547),"-",""),".",""),"/","")," ",""),8),7,2)),"")))</f>
        <v/>
      </c>
      <c r="Y547" s="32">
        <f>IF($X547="","",INT($X547))</f>
        <v/>
      </c>
      <c r="Z547" s="33">
        <f>IF(OR($Y547="",$D$6=""),"",IF(INDEX($A:$U,ROW(),$D$6)="",0,IF(ISNUMBER(INDEX($A:$U,ROW(),$D$6)),INDEX($A:$U,ROW(),$D$6),IFERROR(--SUBSTITUTE(SUBSTITUTE(TRIM(INDEX($A:$U,ROW(),$D$6)),",",""),"원",""),0))))</f>
        <v/>
      </c>
      <c r="AA547" s="31">
        <f>IF($Y547="","",TRIM(INDEX($A:$U,ROW(),$E$6)&amp;IF($F$6="",""," "&amp;INDEX($A:$U,ROW(),$F$6))))</f>
        <v/>
      </c>
      <c r="AB547" s="31">
        <f>IF($AA547="","",SUBSTITUTE(SUBSTITUTE(SUBSTITUTE(SUBSTITUTE(SUBSTITUTE(SUBSTITUTE(SUBSTITUTE(SUBSTITUTE(SUBSTITUTE($AA547," ",""),"　",""),"(주)",""),"（주）",""),"㈜",""),"주식회사",""),"(유)",""),"（유）",""),"유한회사",""))</f>
        <v/>
      </c>
      <c r="AC547" s="31">
        <f>IF(OR($Y547="",N($Z547)&lt;=0,$AB547=""),0,IFERROR(LOOKUP(2,1/((거래처별!$AC$8:$AC$307&lt;&gt;"")*ISNUMBER(SEARCH(거래처별!$AC$8:$AC$307,$AB547))),거래처별!$A$8:$A$307),IFERROR(LOOKUP(2,1/((거래처별!$AD$8:$AD$307&lt;&gt;"")*ISNUMBER(SEARCH(거래처별!$AD$8:$AD$307,$AB547))),거래처별!$A$8:$A$307),IFERROR(LOOKUP(2,1/((거래처별!$AE$8:$AE$307&lt;&gt;"")*ISNUMBER(SEARCH(거래처별!$AE$8:$AE$307,$AB547))),거래처별!$A$8:$A$307),0))))</f>
        <v/>
      </c>
      <c r="AD547" s="31">
        <f>IF(AND($Y547&lt;&gt;"",N($Z547)&gt;0,$AC547=0),MAX($AD$7:$AD546)+1,"")</f>
        <v/>
      </c>
      <c r="AE547" s="31">
        <f>IF($Y547="",0,$Y547)</f>
        <v/>
      </c>
    </row>
    <row r="548">
      <c r="W548" s="31">
        <f>IF(OR($B$5="",$C$6="",ROW()&lt;$B$5),"",IF(INDEX($A:$U,ROW(),$C$6)="","",INDEX($A:$U,ROW(),$C$6)))</f>
        <v/>
      </c>
      <c r="X548" s="32">
        <f>IF($W548="","",IF(ISNUMBER($W548),IF($W548&gt;=10000000,IFERROR(DATE(INT($W548/10000),MOD(INT($W548/100),100),MOD($W548,100)),""),INT($W548)),IFERROR(DATE(--LEFT(LEFT(SUBSTITUTE(SUBSTITUTE(SUBSTITUTE(SUBSTITUTE(TRIM($W548),"-",""),".",""),"/","")," ",""),8),4),--MID(LEFT(SUBSTITUTE(SUBSTITUTE(SUBSTITUTE(SUBSTITUTE(TRIM($W548),"-",""),".",""),"/","")," ",""),8),5,2),--MID(LEFT(SUBSTITUTE(SUBSTITUTE(SUBSTITUTE(SUBSTITUTE(TRIM($W548),"-",""),".",""),"/","")," ",""),8),7,2)),"")))</f>
        <v/>
      </c>
      <c r="Y548" s="32">
        <f>IF($X548="","",INT($X548))</f>
        <v/>
      </c>
      <c r="Z548" s="33">
        <f>IF(OR($Y548="",$D$6=""),"",IF(INDEX($A:$U,ROW(),$D$6)="",0,IF(ISNUMBER(INDEX($A:$U,ROW(),$D$6)),INDEX($A:$U,ROW(),$D$6),IFERROR(--SUBSTITUTE(SUBSTITUTE(TRIM(INDEX($A:$U,ROW(),$D$6)),",",""),"원",""),0))))</f>
        <v/>
      </c>
      <c r="AA548" s="31">
        <f>IF($Y548="","",TRIM(INDEX($A:$U,ROW(),$E$6)&amp;IF($F$6="",""," "&amp;INDEX($A:$U,ROW(),$F$6))))</f>
        <v/>
      </c>
      <c r="AB548" s="31">
        <f>IF($AA548="","",SUBSTITUTE(SUBSTITUTE(SUBSTITUTE(SUBSTITUTE(SUBSTITUTE(SUBSTITUTE(SUBSTITUTE(SUBSTITUTE(SUBSTITUTE($AA548," ",""),"　",""),"(주)",""),"（주）",""),"㈜",""),"주식회사",""),"(유)",""),"（유）",""),"유한회사",""))</f>
        <v/>
      </c>
      <c r="AC548" s="31">
        <f>IF(OR($Y548="",N($Z548)&lt;=0,$AB548=""),0,IFERROR(LOOKUP(2,1/((거래처별!$AC$8:$AC$307&lt;&gt;"")*ISNUMBER(SEARCH(거래처별!$AC$8:$AC$307,$AB548))),거래처별!$A$8:$A$307),IFERROR(LOOKUP(2,1/((거래처별!$AD$8:$AD$307&lt;&gt;"")*ISNUMBER(SEARCH(거래처별!$AD$8:$AD$307,$AB548))),거래처별!$A$8:$A$307),IFERROR(LOOKUP(2,1/((거래처별!$AE$8:$AE$307&lt;&gt;"")*ISNUMBER(SEARCH(거래처별!$AE$8:$AE$307,$AB548))),거래처별!$A$8:$A$307),0))))</f>
        <v/>
      </c>
      <c r="AD548" s="31">
        <f>IF(AND($Y548&lt;&gt;"",N($Z548)&gt;0,$AC548=0),MAX($AD$7:$AD547)+1,"")</f>
        <v/>
      </c>
      <c r="AE548" s="31">
        <f>IF($Y548="",0,$Y548)</f>
        <v/>
      </c>
    </row>
    <row r="549">
      <c r="W549" s="31">
        <f>IF(OR($B$5="",$C$6="",ROW()&lt;$B$5),"",IF(INDEX($A:$U,ROW(),$C$6)="","",INDEX($A:$U,ROW(),$C$6)))</f>
        <v/>
      </c>
      <c r="X549" s="32">
        <f>IF($W549="","",IF(ISNUMBER($W549),IF($W549&gt;=10000000,IFERROR(DATE(INT($W549/10000),MOD(INT($W549/100),100),MOD($W549,100)),""),INT($W549)),IFERROR(DATE(--LEFT(LEFT(SUBSTITUTE(SUBSTITUTE(SUBSTITUTE(SUBSTITUTE(TRIM($W549),"-",""),".",""),"/","")," ",""),8),4),--MID(LEFT(SUBSTITUTE(SUBSTITUTE(SUBSTITUTE(SUBSTITUTE(TRIM($W549),"-",""),".",""),"/","")," ",""),8),5,2),--MID(LEFT(SUBSTITUTE(SUBSTITUTE(SUBSTITUTE(SUBSTITUTE(TRIM($W549),"-",""),".",""),"/","")," ",""),8),7,2)),"")))</f>
        <v/>
      </c>
      <c r="Y549" s="32">
        <f>IF($X549="","",INT($X549))</f>
        <v/>
      </c>
      <c r="Z549" s="33">
        <f>IF(OR($Y549="",$D$6=""),"",IF(INDEX($A:$U,ROW(),$D$6)="",0,IF(ISNUMBER(INDEX($A:$U,ROW(),$D$6)),INDEX($A:$U,ROW(),$D$6),IFERROR(--SUBSTITUTE(SUBSTITUTE(TRIM(INDEX($A:$U,ROW(),$D$6)),",",""),"원",""),0))))</f>
        <v/>
      </c>
      <c r="AA549" s="31">
        <f>IF($Y549="","",TRIM(INDEX($A:$U,ROW(),$E$6)&amp;IF($F$6="",""," "&amp;INDEX($A:$U,ROW(),$F$6))))</f>
        <v/>
      </c>
      <c r="AB549" s="31">
        <f>IF($AA549="","",SUBSTITUTE(SUBSTITUTE(SUBSTITUTE(SUBSTITUTE(SUBSTITUTE(SUBSTITUTE(SUBSTITUTE(SUBSTITUTE(SUBSTITUTE($AA549," ",""),"　",""),"(주)",""),"（주）",""),"㈜",""),"주식회사",""),"(유)",""),"（유）",""),"유한회사",""))</f>
        <v/>
      </c>
      <c r="AC549" s="31">
        <f>IF(OR($Y549="",N($Z549)&lt;=0,$AB549=""),0,IFERROR(LOOKUP(2,1/((거래처별!$AC$8:$AC$307&lt;&gt;"")*ISNUMBER(SEARCH(거래처별!$AC$8:$AC$307,$AB549))),거래처별!$A$8:$A$307),IFERROR(LOOKUP(2,1/((거래처별!$AD$8:$AD$307&lt;&gt;"")*ISNUMBER(SEARCH(거래처별!$AD$8:$AD$307,$AB549))),거래처별!$A$8:$A$307),IFERROR(LOOKUP(2,1/((거래처별!$AE$8:$AE$307&lt;&gt;"")*ISNUMBER(SEARCH(거래처별!$AE$8:$AE$307,$AB549))),거래처별!$A$8:$A$307),0))))</f>
        <v/>
      </c>
      <c r="AD549" s="31">
        <f>IF(AND($Y549&lt;&gt;"",N($Z549)&gt;0,$AC549=0),MAX($AD$7:$AD548)+1,"")</f>
        <v/>
      </c>
      <c r="AE549" s="31">
        <f>IF($Y549="",0,$Y549)</f>
        <v/>
      </c>
    </row>
    <row r="550">
      <c r="W550" s="31">
        <f>IF(OR($B$5="",$C$6="",ROW()&lt;$B$5),"",IF(INDEX($A:$U,ROW(),$C$6)="","",INDEX($A:$U,ROW(),$C$6)))</f>
        <v/>
      </c>
      <c r="X550" s="32">
        <f>IF($W550="","",IF(ISNUMBER($W550),IF($W550&gt;=10000000,IFERROR(DATE(INT($W550/10000),MOD(INT($W550/100),100),MOD($W550,100)),""),INT($W550)),IFERROR(DATE(--LEFT(LEFT(SUBSTITUTE(SUBSTITUTE(SUBSTITUTE(SUBSTITUTE(TRIM($W550),"-",""),".",""),"/","")," ",""),8),4),--MID(LEFT(SUBSTITUTE(SUBSTITUTE(SUBSTITUTE(SUBSTITUTE(TRIM($W550),"-",""),".",""),"/","")," ",""),8),5,2),--MID(LEFT(SUBSTITUTE(SUBSTITUTE(SUBSTITUTE(SUBSTITUTE(TRIM($W550),"-",""),".",""),"/","")," ",""),8),7,2)),"")))</f>
        <v/>
      </c>
      <c r="Y550" s="32">
        <f>IF($X550="","",INT($X550))</f>
        <v/>
      </c>
      <c r="Z550" s="33">
        <f>IF(OR($Y550="",$D$6=""),"",IF(INDEX($A:$U,ROW(),$D$6)="",0,IF(ISNUMBER(INDEX($A:$U,ROW(),$D$6)),INDEX($A:$U,ROW(),$D$6),IFERROR(--SUBSTITUTE(SUBSTITUTE(TRIM(INDEX($A:$U,ROW(),$D$6)),",",""),"원",""),0))))</f>
        <v/>
      </c>
      <c r="AA550" s="31">
        <f>IF($Y550="","",TRIM(INDEX($A:$U,ROW(),$E$6)&amp;IF($F$6="",""," "&amp;INDEX($A:$U,ROW(),$F$6))))</f>
        <v/>
      </c>
      <c r="AB550" s="31">
        <f>IF($AA550="","",SUBSTITUTE(SUBSTITUTE(SUBSTITUTE(SUBSTITUTE(SUBSTITUTE(SUBSTITUTE(SUBSTITUTE(SUBSTITUTE(SUBSTITUTE($AA550," ",""),"　",""),"(주)",""),"（주）",""),"㈜",""),"주식회사",""),"(유)",""),"（유）",""),"유한회사",""))</f>
        <v/>
      </c>
      <c r="AC550" s="31">
        <f>IF(OR($Y550="",N($Z550)&lt;=0,$AB550=""),0,IFERROR(LOOKUP(2,1/((거래처별!$AC$8:$AC$307&lt;&gt;"")*ISNUMBER(SEARCH(거래처별!$AC$8:$AC$307,$AB550))),거래처별!$A$8:$A$307),IFERROR(LOOKUP(2,1/((거래처별!$AD$8:$AD$307&lt;&gt;"")*ISNUMBER(SEARCH(거래처별!$AD$8:$AD$307,$AB550))),거래처별!$A$8:$A$307),IFERROR(LOOKUP(2,1/((거래처별!$AE$8:$AE$307&lt;&gt;"")*ISNUMBER(SEARCH(거래처별!$AE$8:$AE$307,$AB550))),거래처별!$A$8:$A$307),0))))</f>
        <v/>
      </c>
      <c r="AD550" s="31">
        <f>IF(AND($Y550&lt;&gt;"",N($Z550)&gt;0,$AC550=0),MAX($AD$7:$AD549)+1,"")</f>
        <v/>
      </c>
      <c r="AE550" s="31">
        <f>IF($Y550="",0,$Y550)</f>
        <v/>
      </c>
    </row>
    <row r="551">
      <c r="W551" s="31">
        <f>IF(OR($B$5="",$C$6="",ROW()&lt;$B$5),"",IF(INDEX($A:$U,ROW(),$C$6)="","",INDEX($A:$U,ROW(),$C$6)))</f>
        <v/>
      </c>
      <c r="X551" s="32">
        <f>IF($W551="","",IF(ISNUMBER($W551),IF($W551&gt;=10000000,IFERROR(DATE(INT($W551/10000),MOD(INT($W551/100),100),MOD($W551,100)),""),INT($W551)),IFERROR(DATE(--LEFT(LEFT(SUBSTITUTE(SUBSTITUTE(SUBSTITUTE(SUBSTITUTE(TRIM($W551),"-",""),".",""),"/","")," ",""),8),4),--MID(LEFT(SUBSTITUTE(SUBSTITUTE(SUBSTITUTE(SUBSTITUTE(TRIM($W551),"-",""),".",""),"/","")," ",""),8),5,2),--MID(LEFT(SUBSTITUTE(SUBSTITUTE(SUBSTITUTE(SUBSTITUTE(TRIM($W551),"-",""),".",""),"/","")," ",""),8),7,2)),"")))</f>
        <v/>
      </c>
      <c r="Y551" s="32">
        <f>IF($X551="","",INT($X551))</f>
        <v/>
      </c>
      <c r="Z551" s="33">
        <f>IF(OR($Y551="",$D$6=""),"",IF(INDEX($A:$U,ROW(),$D$6)="",0,IF(ISNUMBER(INDEX($A:$U,ROW(),$D$6)),INDEX($A:$U,ROW(),$D$6),IFERROR(--SUBSTITUTE(SUBSTITUTE(TRIM(INDEX($A:$U,ROW(),$D$6)),",",""),"원",""),0))))</f>
        <v/>
      </c>
      <c r="AA551" s="31">
        <f>IF($Y551="","",TRIM(INDEX($A:$U,ROW(),$E$6)&amp;IF($F$6="",""," "&amp;INDEX($A:$U,ROW(),$F$6))))</f>
        <v/>
      </c>
      <c r="AB551" s="31">
        <f>IF($AA551="","",SUBSTITUTE(SUBSTITUTE(SUBSTITUTE(SUBSTITUTE(SUBSTITUTE(SUBSTITUTE(SUBSTITUTE(SUBSTITUTE(SUBSTITUTE($AA551," ",""),"　",""),"(주)",""),"（주）",""),"㈜",""),"주식회사",""),"(유)",""),"（유）",""),"유한회사",""))</f>
        <v/>
      </c>
      <c r="AC551" s="31">
        <f>IF(OR($Y551="",N($Z551)&lt;=0,$AB551=""),0,IFERROR(LOOKUP(2,1/((거래처별!$AC$8:$AC$307&lt;&gt;"")*ISNUMBER(SEARCH(거래처별!$AC$8:$AC$307,$AB551))),거래처별!$A$8:$A$307),IFERROR(LOOKUP(2,1/((거래처별!$AD$8:$AD$307&lt;&gt;"")*ISNUMBER(SEARCH(거래처별!$AD$8:$AD$307,$AB551))),거래처별!$A$8:$A$307),IFERROR(LOOKUP(2,1/((거래처별!$AE$8:$AE$307&lt;&gt;"")*ISNUMBER(SEARCH(거래처별!$AE$8:$AE$307,$AB551))),거래처별!$A$8:$A$307),0))))</f>
        <v/>
      </c>
      <c r="AD551" s="31">
        <f>IF(AND($Y551&lt;&gt;"",N($Z551)&gt;0,$AC551=0),MAX($AD$7:$AD550)+1,"")</f>
        <v/>
      </c>
      <c r="AE551" s="31">
        <f>IF($Y551="",0,$Y551)</f>
        <v/>
      </c>
    </row>
    <row r="552">
      <c r="W552" s="31">
        <f>IF(OR($B$5="",$C$6="",ROW()&lt;$B$5),"",IF(INDEX($A:$U,ROW(),$C$6)="","",INDEX($A:$U,ROW(),$C$6)))</f>
        <v/>
      </c>
      <c r="X552" s="32">
        <f>IF($W552="","",IF(ISNUMBER($W552),IF($W552&gt;=10000000,IFERROR(DATE(INT($W552/10000),MOD(INT($W552/100),100),MOD($W552,100)),""),INT($W552)),IFERROR(DATE(--LEFT(LEFT(SUBSTITUTE(SUBSTITUTE(SUBSTITUTE(SUBSTITUTE(TRIM($W552),"-",""),".",""),"/","")," ",""),8),4),--MID(LEFT(SUBSTITUTE(SUBSTITUTE(SUBSTITUTE(SUBSTITUTE(TRIM($W552),"-",""),".",""),"/","")," ",""),8),5,2),--MID(LEFT(SUBSTITUTE(SUBSTITUTE(SUBSTITUTE(SUBSTITUTE(TRIM($W552),"-",""),".",""),"/","")," ",""),8),7,2)),"")))</f>
        <v/>
      </c>
      <c r="Y552" s="32">
        <f>IF($X552="","",INT($X552))</f>
        <v/>
      </c>
      <c r="Z552" s="33">
        <f>IF(OR($Y552="",$D$6=""),"",IF(INDEX($A:$U,ROW(),$D$6)="",0,IF(ISNUMBER(INDEX($A:$U,ROW(),$D$6)),INDEX($A:$U,ROW(),$D$6),IFERROR(--SUBSTITUTE(SUBSTITUTE(TRIM(INDEX($A:$U,ROW(),$D$6)),",",""),"원",""),0))))</f>
        <v/>
      </c>
      <c r="AA552" s="31">
        <f>IF($Y552="","",TRIM(INDEX($A:$U,ROW(),$E$6)&amp;IF($F$6="",""," "&amp;INDEX($A:$U,ROW(),$F$6))))</f>
        <v/>
      </c>
      <c r="AB552" s="31">
        <f>IF($AA552="","",SUBSTITUTE(SUBSTITUTE(SUBSTITUTE(SUBSTITUTE(SUBSTITUTE(SUBSTITUTE(SUBSTITUTE(SUBSTITUTE(SUBSTITUTE($AA552," ",""),"　",""),"(주)",""),"（주）",""),"㈜",""),"주식회사",""),"(유)",""),"（유）",""),"유한회사",""))</f>
        <v/>
      </c>
      <c r="AC552" s="31">
        <f>IF(OR($Y552="",N($Z552)&lt;=0,$AB552=""),0,IFERROR(LOOKUP(2,1/((거래처별!$AC$8:$AC$307&lt;&gt;"")*ISNUMBER(SEARCH(거래처별!$AC$8:$AC$307,$AB552))),거래처별!$A$8:$A$307),IFERROR(LOOKUP(2,1/((거래처별!$AD$8:$AD$307&lt;&gt;"")*ISNUMBER(SEARCH(거래처별!$AD$8:$AD$307,$AB552))),거래처별!$A$8:$A$307),IFERROR(LOOKUP(2,1/((거래처별!$AE$8:$AE$307&lt;&gt;"")*ISNUMBER(SEARCH(거래처별!$AE$8:$AE$307,$AB552))),거래처별!$A$8:$A$307),0))))</f>
        <v/>
      </c>
      <c r="AD552" s="31">
        <f>IF(AND($Y552&lt;&gt;"",N($Z552)&gt;0,$AC552=0),MAX($AD$7:$AD551)+1,"")</f>
        <v/>
      </c>
      <c r="AE552" s="31">
        <f>IF($Y552="",0,$Y552)</f>
        <v/>
      </c>
    </row>
    <row r="553">
      <c r="W553" s="31">
        <f>IF(OR($B$5="",$C$6="",ROW()&lt;$B$5),"",IF(INDEX($A:$U,ROW(),$C$6)="","",INDEX($A:$U,ROW(),$C$6)))</f>
        <v/>
      </c>
      <c r="X553" s="32">
        <f>IF($W553="","",IF(ISNUMBER($W553),IF($W553&gt;=10000000,IFERROR(DATE(INT($W553/10000),MOD(INT($W553/100),100),MOD($W553,100)),""),INT($W553)),IFERROR(DATE(--LEFT(LEFT(SUBSTITUTE(SUBSTITUTE(SUBSTITUTE(SUBSTITUTE(TRIM($W553),"-",""),".",""),"/","")," ",""),8),4),--MID(LEFT(SUBSTITUTE(SUBSTITUTE(SUBSTITUTE(SUBSTITUTE(TRIM($W553),"-",""),".",""),"/","")," ",""),8),5,2),--MID(LEFT(SUBSTITUTE(SUBSTITUTE(SUBSTITUTE(SUBSTITUTE(TRIM($W553),"-",""),".",""),"/","")," ",""),8),7,2)),"")))</f>
        <v/>
      </c>
      <c r="Y553" s="32">
        <f>IF($X553="","",INT($X553))</f>
        <v/>
      </c>
      <c r="Z553" s="33">
        <f>IF(OR($Y553="",$D$6=""),"",IF(INDEX($A:$U,ROW(),$D$6)="",0,IF(ISNUMBER(INDEX($A:$U,ROW(),$D$6)),INDEX($A:$U,ROW(),$D$6),IFERROR(--SUBSTITUTE(SUBSTITUTE(TRIM(INDEX($A:$U,ROW(),$D$6)),",",""),"원",""),0))))</f>
        <v/>
      </c>
      <c r="AA553" s="31">
        <f>IF($Y553="","",TRIM(INDEX($A:$U,ROW(),$E$6)&amp;IF($F$6="",""," "&amp;INDEX($A:$U,ROW(),$F$6))))</f>
        <v/>
      </c>
      <c r="AB553" s="31">
        <f>IF($AA553="","",SUBSTITUTE(SUBSTITUTE(SUBSTITUTE(SUBSTITUTE(SUBSTITUTE(SUBSTITUTE(SUBSTITUTE(SUBSTITUTE(SUBSTITUTE($AA553," ",""),"　",""),"(주)",""),"（주）",""),"㈜",""),"주식회사",""),"(유)",""),"（유）",""),"유한회사",""))</f>
        <v/>
      </c>
      <c r="AC553" s="31">
        <f>IF(OR($Y553="",N($Z553)&lt;=0,$AB553=""),0,IFERROR(LOOKUP(2,1/((거래처별!$AC$8:$AC$307&lt;&gt;"")*ISNUMBER(SEARCH(거래처별!$AC$8:$AC$307,$AB553))),거래처별!$A$8:$A$307),IFERROR(LOOKUP(2,1/((거래처별!$AD$8:$AD$307&lt;&gt;"")*ISNUMBER(SEARCH(거래처별!$AD$8:$AD$307,$AB553))),거래처별!$A$8:$A$307),IFERROR(LOOKUP(2,1/((거래처별!$AE$8:$AE$307&lt;&gt;"")*ISNUMBER(SEARCH(거래처별!$AE$8:$AE$307,$AB553))),거래처별!$A$8:$A$307),0))))</f>
        <v/>
      </c>
      <c r="AD553" s="31">
        <f>IF(AND($Y553&lt;&gt;"",N($Z553)&gt;0,$AC553=0),MAX($AD$7:$AD552)+1,"")</f>
        <v/>
      </c>
      <c r="AE553" s="31">
        <f>IF($Y553="",0,$Y553)</f>
        <v/>
      </c>
    </row>
    <row r="554">
      <c r="W554" s="31">
        <f>IF(OR($B$5="",$C$6="",ROW()&lt;$B$5),"",IF(INDEX($A:$U,ROW(),$C$6)="","",INDEX($A:$U,ROW(),$C$6)))</f>
        <v/>
      </c>
      <c r="X554" s="32">
        <f>IF($W554="","",IF(ISNUMBER($W554),IF($W554&gt;=10000000,IFERROR(DATE(INT($W554/10000),MOD(INT($W554/100),100),MOD($W554,100)),""),INT($W554)),IFERROR(DATE(--LEFT(LEFT(SUBSTITUTE(SUBSTITUTE(SUBSTITUTE(SUBSTITUTE(TRIM($W554),"-",""),".",""),"/","")," ",""),8),4),--MID(LEFT(SUBSTITUTE(SUBSTITUTE(SUBSTITUTE(SUBSTITUTE(TRIM($W554),"-",""),".",""),"/","")," ",""),8),5,2),--MID(LEFT(SUBSTITUTE(SUBSTITUTE(SUBSTITUTE(SUBSTITUTE(TRIM($W554),"-",""),".",""),"/","")," ",""),8),7,2)),"")))</f>
        <v/>
      </c>
      <c r="Y554" s="32">
        <f>IF($X554="","",INT($X554))</f>
        <v/>
      </c>
      <c r="Z554" s="33">
        <f>IF(OR($Y554="",$D$6=""),"",IF(INDEX($A:$U,ROW(),$D$6)="",0,IF(ISNUMBER(INDEX($A:$U,ROW(),$D$6)),INDEX($A:$U,ROW(),$D$6),IFERROR(--SUBSTITUTE(SUBSTITUTE(TRIM(INDEX($A:$U,ROW(),$D$6)),",",""),"원",""),0))))</f>
        <v/>
      </c>
      <c r="AA554" s="31">
        <f>IF($Y554="","",TRIM(INDEX($A:$U,ROW(),$E$6)&amp;IF($F$6="",""," "&amp;INDEX($A:$U,ROW(),$F$6))))</f>
        <v/>
      </c>
      <c r="AB554" s="31">
        <f>IF($AA554="","",SUBSTITUTE(SUBSTITUTE(SUBSTITUTE(SUBSTITUTE(SUBSTITUTE(SUBSTITUTE(SUBSTITUTE(SUBSTITUTE(SUBSTITUTE($AA554," ",""),"　",""),"(주)",""),"（주）",""),"㈜",""),"주식회사",""),"(유)",""),"（유）",""),"유한회사",""))</f>
        <v/>
      </c>
      <c r="AC554" s="31">
        <f>IF(OR($Y554="",N($Z554)&lt;=0,$AB554=""),0,IFERROR(LOOKUP(2,1/((거래처별!$AC$8:$AC$307&lt;&gt;"")*ISNUMBER(SEARCH(거래처별!$AC$8:$AC$307,$AB554))),거래처별!$A$8:$A$307),IFERROR(LOOKUP(2,1/((거래처별!$AD$8:$AD$307&lt;&gt;"")*ISNUMBER(SEARCH(거래처별!$AD$8:$AD$307,$AB554))),거래처별!$A$8:$A$307),IFERROR(LOOKUP(2,1/((거래처별!$AE$8:$AE$307&lt;&gt;"")*ISNUMBER(SEARCH(거래처별!$AE$8:$AE$307,$AB554))),거래처별!$A$8:$A$307),0))))</f>
        <v/>
      </c>
      <c r="AD554" s="31">
        <f>IF(AND($Y554&lt;&gt;"",N($Z554)&gt;0,$AC554=0),MAX($AD$7:$AD553)+1,"")</f>
        <v/>
      </c>
      <c r="AE554" s="31">
        <f>IF($Y554="",0,$Y554)</f>
        <v/>
      </c>
    </row>
    <row r="555">
      <c r="W555" s="31">
        <f>IF(OR($B$5="",$C$6="",ROW()&lt;$B$5),"",IF(INDEX($A:$U,ROW(),$C$6)="","",INDEX($A:$U,ROW(),$C$6)))</f>
        <v/>
      </c>
      <c r="X555" s="32">
        <f>IF($W555="","",IF(ISNUMBER($W555),IF($W555&gt;=10000000,IFERROR(DATE(INT($W555/10000),MOD(INT($W555/100),100),MOD($W555,100)),""),INT($W555)),IFERROR(DATE(--LEFT(LEFT(SUBSTITUTE(SUBSTITUTE(SUBSTITUTE(SUBSTITUTE(TRIM($W555),"-",""),".",""),"/","")," ",""),8),4),--MID(LEFT(SUBSTITUTE(SUBSTITUTE(SUBSTITUTE(SUBSTITUTE(TRIM($W555),"-",""),".",""),"/","")," ",""),8),5,2),--MID(LEFT(SUBSTITUTE(SUBSTITUTE(SUBSTITUTE(SUBSTITUTE(TRIM($W555),"-",""),".",""),"/","")," ",""),8),7,2)),"")))</f>
        <v/>
      </c>
      <c r="Y555" s="32">
        <f>IF($X555="","",INT($X555))</f>
        <v/>
      </c>
      <c r="Z555" s="33">
        <f>IF(OR($Y555="",$D$6=""),"",IF(INDEX($A:$U,ROW(),$D$6)="",0,IF(ISNUMBER(INDEX($A:$U,ROW(),$D$6)),INDEX($A:$U,ROW(),$D$6),IFERROR(--SUBSTITUTE(SUBSTITUTE(TRIM(INDEX($A:$U,ROW(),$D$6)),",",""),"원",""),0))))</f>
        <v/>
      </c>
      <c r="AA555" s="31">
        <f>IF($Y555="","",TRIM(INDEX($A:$U,ROW(),$E$6)&amp;IF($F$6="",""," "&amp;INDEX($A:$U,ROW(),$F$6))))</f>
        <v/>
      </c>
      <c r="AB555" s="31">
        <f>IF($AA555="","",SUBSTITUTE(SUBSTITUTE(SUBSTITUTE(SUBSTITUTE(SUBSTITUTE(SUBSTITUTE(SUBSTITUTE(SUBSTITUTE(SUBSTITUTE($AA555," ",""),"　",""),"(주)",""),"（주）",""),"㈜",""),"주식회사",""),"(유)",""),"（유）",""),"유한회사",""))</f>
        <v/>
      </c>
      <c r="AC555" s="31">
        <f>IF(OR($Y555="",N($Z555)&lt;=0,$AB555=""),0,IFERROR(LOOKUP(2,1/((거래처별!$AC$8:$AC$307&lt;&gt;"")*ISNUMBER(SEARCH(거래처별!$AC$8:$AC$307,$AB555))),거래처별!$A$8:$A$307),IFERROR(LOOKUP(2,1/((거래처별!$AD$8:$AD$307&lt;&gt;"")*ISNUMBER(SEARCH(거래처별!$AD$8:$AD$307,$AB555))),거래처별!$A$8:$A$307),IFERROR(LOOKUP(2,1/((거래처별!$AE$8:$AE$307&lt;&gt;"")*ISNUMBER(SEARCH(거래처별!$AE$8:$AE$307,$AB555))),거래처별!$A$8:$A$307),0))))</f>
        <v/>
      </c>
      <c r="AD555" s="31">
        <f>IF(AND($Y555&lt;&gt;"",N($Z555)&gt;0,$AC555=0),MAX($AD$7:$AD554)+1,"")</f>
        <v/>
      </c>
      <c r="AE555" s="31">
        <f>IF($Y555="",0,$Y555)</f>
        <v/>
      </c>
    </row>
    <row r="556">
      <c r="W556" s="31">
        <f>IF(OR($B$5="",$C$6="",ROW()&lt;$B$5),"",IF(INDEX($A:$U,ROW(),$C$6)="","",INDEX($A:$U,ROW(),$C$6)))</f>
        <v/>
      </c>
      <c r="X556" s="32">
        <f>IF($W556="","",IF(ISNUMBER($W556),IF($W556&gt;=10000000,IFERROR(DATE(INT($W556/10000),MOD(INT($W556/100),100),MOD($W556,100)),""),INT($W556)),IFERROR(DATE(--LEFT(LEFT(SUBSTITUTE(SUBSTITUTE(SUBSTITUTE(SUBSTITUTE(TRIM($W556),"-",""),".",""),"/","")," ",""),8),4),--MID(LEFT(SUBSTITUTE(SUBSTITUTE(SUBSTITUTE(SUBSTITUTE(TRIM($W556),"-",""),".",""),"/","")," ",""),8),5,2),--MID(LEFT(SUBSTITUTE(SUBSTITUTE(SUBSTITUTE(SUBSTITUTE(TRIM($W556),"-",""),".",""),"/","")," ",""),8),7,2)),"")))</f>
        <v/>
      </c>
      <c r="Y556" s="32">
        <f>IF($X556="","",INT($X556))</f>
        <v/>
      </c>
      <c r="Z556" s="33">
        <f>IF(OR($Y556="",$D$6=""),"",IF(INDEX($A:$U,ROW(),$D$6)="",0,IF(ISNUMBER(INDEX($A:$U,ROW(),$D$6)),INDEX($A:$U,ROW(),$D$6),IFERROR(--SUBSTITUTE(SUBSTITUTE(TRIM(INDEX($A:$U,ROW(),$D$6)),",",""),"원",""),0))))</f>
        <v/>
      </c>
      <c r="AA556" s="31">
        <f>IF($Y556="","",TRIM(INDEX($A:$U,ROW(),$E$6)&amp;IF($F$6="",""," "&amp;INDEX($A:$U,ROW(),$F$6))))</f>
        <v/>
      </c>
      <c r="AB556" s="31">
        <f>IF($AA556="","",SUBSTITUTE(SUBSTITUTE(SUBSTITUTE(SUBSTITUTE(SUBSTITUTE(SUBSTITUTE(SUBSTITUTE(SUBSTITUTE(SUBSTITUTE($AA556," ",""),"　",""),"(주)",""),"（주）",""),"㈜",""),"주식회사",""),"(유)",""),"（유）",""),"유한회사",""))</f>
        <v/>
      </c>
      <c r="AC556" s="31">
        <f>IF(OR($Y556="",N($Z556)&lt;=0,$AB556=""),0,IFERROR(LOOKUP(2,1/((거래처별!$AC$8:$AC$307&lt;&gt;"")*ISNUMBER(SEARCH(거래처별!$AC$8:$AC$307,$AB556))),거래처별!$A$8:$A$307),IFERROR(LOOKUP(2,1/((거래처별!$AD$8:$AD$307&lt;&gt;"")*ISNUMBER(SEARCH(거래처별!$AD$8:$AD$307,$AB556))),거래처별!$A$8:$A$307),IFERROR(LOOKUP(2,1/((거래처별!$AE$8:$AE$307&lt;&gt;"")*ISNUMBER(SEARCH(거래처별!$AE$8:$AE$307,$AB556))),거래처별!$A$8:$A$307),0))))</f>
        <v/>
      </c>
      <c r="AD556" s="31">
        <f>IF(AND($Y556&lt;&gt;"",N($Z556)&gt;0,$AC556=0),MAX($AD$7:$AD555)+1,"")</f>
        <v/>
      </c>
      <c r="AE556" s="31">
        <f>IF($Y556="",0,$Y556)</f>
        <v/>
      </c>
    </row>
    <row r="557">
      <c r="W557" s="31">
        <f>IF(OR($B$5="",$C$6="",ROW()&lt;$B$5),"",IF(INDEX($A:$U,ROW(),$C$6)="","",INDEX($A:$U,ROW(),$C$6)))</f>
        <v/>
      </c>
      <c r="X557" s="32">
        <f>IF($W557="","",IF(ISNUMBER($W557),IF($W557&gt;=10000000,IFERROR(DATE(INT($W557/10000),MOD(INT($W557/100),100),MOD($W557,100)),""),INT($W557)),IFERROR(DATE(--LEFT(LEFT(SUBSTITUTE(SUBSTITUTE(SUBSTITUTE(SUBSTITUTE(TRIM($W557),"-",""),".",""),"/","")," ",""),8),4),--MID(LEFT(SUBSTITUTE(SUBSTITUTE(SUBSTITUTE(SUBSTITUTE(TRIM($W557),"-",""),".",""),"/","")," ",""),8),5,2),--MID(LEFT(SUBSTITUTE(SUBSTITUTE(SUBSTITUTE(SUBSTITUTE(TRIM($W557),"-",""),".",""),"/","")," ",""),8),7,2)),"")))</f>
        <v/>
      </c>
      <c r="Y557" s="32">
        <f>IF($X557="","",INT($X557))</f>
        <v/>
      </c>
      <c r="Z557" s="33">
        <f>IF(OR($Y557="",$D$6=""),"",IF(INDEX($A:$U,ROW(),$D$6)="",0,IF(ISNUMBER(INDEX($A:$U,ROW(),$D$6)),INDEX($A:$U,ROW(),$D$6),IFERROR(--SUBSTITUTE(SUBSTITUTE(TRIM(INDEX($A:$U,ROW(),$D$6)),",",""),"원",""),0))))</f>
        <v/>
      </c>
      <c r="AA557" s="31">
        <f>IF($Y557="","",TRIM(INDEX($A:$U,ROW(),$E$6)&amp;IF($F$6="",""," "&amp;INDEX($A:$U,ROW(),$F$6))))</f>
        <v/>
      </c>
      <c r="AB557" s="31">
        <f>IF($AA557="","",SUBSTITUTE(SUBSTITUTE(SUBSTITUTE(SUBSTITUTE(SUBSTITUTE(SUBSTITUTE(SUBSTITUTE(SUBSTITUTE(SUBSTITUTE($AA557," ",""),"　",""),"(주)",""),"（주）",""),"㈜",""),"주식회사",""),"(유)",""),"（유）",""),"유한회사",""))</f>
        <v/>
      </c>
      <c r="AC557" s="31">
        <f>IF(OR($Y557="",N($Z557)&lt;=0,$AB557=""),0,IFERROR(LOOKUP(2,1/((거래처별!$AC$8:$AC$307&lt;&gt;"")*ISNUMBER(SEARCH(거래처별!$AC$8:$AC$307,$AB557))),거래처별!$A$8:$A$307),IFERROR(LOOKUP(2,1/((거래처별!$AD$8:$AD$307&lt;&gt;"")*ISNUMBER(SEARCH(거래처별!$AD$8:$AD$307,$AB557))),거래처별!$A$8:$A$307),IFERROR(LOOKUP(2,1/((거래처별!$AE$8:$AE$307&lt;&gt;"")*ISNUMBER(SEARCH(거래처별!$AE$8:$AE$307,$AB557))),거래처별!$A$8:$A$307),0))))</f>
        <v/>
      </c>
      <c r="AD557" s="31">
        <f>IF(AND($Y557&lt;&gt;"",N($Z557)&gt;0,$AC557=0),MAX($AD$7:$AD556)+1,"")</f>
        <v/>
      </c>
      <c r="AE557" s="31">
        <f>IF($Y557="",0,$Y557)</f>
        <v/>
      </c>
    </row>
    <row r="558">
      <c r="W558" s="31">
        <f>IF(OR($B$5="",$C$6="",ROW()&lt;$B$5),"",IF(INDEX($A:$U,ROW(),$C$6)="","",INDEX($A:$U,ROW(),$C$6)))</f>
        <v/>
      </c>
      <c r="X558" s="32">
        <f>IF($W558="","",IF(ISNUMBER($W558),IF($W558&gt;=10000000,IFERROR(DATE(INT($W558/10000),MOD(INT($W558/100),100),MOD($W558,100)),""),INT($W558)),IFERROR(DATE(--LEFT(LEFT(SUBSTITUTE(SUBSTITUTE(SUBSTITUTE(SUBSTITUTE(TRIM($W558),"-",""),".",""),"/","")," ",""),8),4),--MID(LEFT(SUBSTITUTE(SUBSTITUTE(SUBSTITUTE(SUBSTITUTE(TRIM($W558),"-",""),".",""),"/","")," ",""),8),5,2),--MID(LEFT(SUBSTITUTE(SUBSTITUTE(SUBSTITUTE(SUBSTITUTE(TRIM($W558),"-",""),".",""),"/","")," ",""),8),7,2)),"")))</f>
        <v/>
      </c>
      <c r="Y558" s="32">
        <f>IF($X558="","",INT($X558))</f>
        <v/>
      </c>
      <c r="Z558" s="33">
        <f>IF(OR($Y558="",$D$6=""),"",IF(INDEX($A:$U,ROW(),$D$6)="",0,IF(ISNUMBER(INDEX($A:$U,ROW(),$D$6)),INDEX($A:$U,ROW(),$D$6),IFERROR(--SUBSTITUTE(SUBSTITUTE(TRIM(INDEX($A:$U,ROW(),$D$6)),",",""),"원",""),0))))</f>
        <v/>
      </c>
      <c r="AA558" s="31">
        <f>IF($Y558="","",TRIM(INDEX($A:$U,ROW(),$E$6)&amp;IF($F$6="",""," "&amp;INDEX($A:$U,ROW(),$F$6))))</f>
        <v/>
      </c>
      <c r="AB558" s="31">
        <f>IF($AA558="","",SUBSTITUTE(SUBSTITUTE(SUBSTITUTE(SUBSTITUTE(SUBSTITUTE(SUBSTITUTE(SUBSTITUTE(SUBSTITUTE(SUBSTITUTE($AA558," ",""),"　",""),"(주)",""),"（주）",""),"㈜",""),"주식회사",""),"(유)",""),"（유）",""),"유한회사",""))</f>
        <v/>
      </c>
      <c r="AC558" s="31">
        <f>IF(OR($Y558="",N($Z558)&lt;=0,$AB558=""),0,IFERROR(LOOKUP(2,1/((거래처별!$AC$8:$AC$307&lt;&gt;"")*ISNUMBER(SEARCH(거래처별!$AC$8:$AC$307,$AB558))),거래처별!$A$8:$A$307),IFERROR(LOOKUP(2,1/((거래처별!$AD$8:$AD$307&lt;&gt;"")*ISNUMBER(SEARCH(거래처별!$AD$8:$AD$307,$AB558))),거래처별!$A$8:$A$307),IFERROR(LOOKUP(2,1/((거래처별!$AE$8:$AE$307&lt;&gt;"")*ISNUMBER(SEARCH(거래처별!$AE$8:$AE$307,$AB558))),거래처별!$A$8:$A$307),0))))</f>
        <v/>
      </c>
      <c r="AD558" s="31">
        <f>IF(AND($Y558&lt;&gt;"",N($Z558)&gt;0,$AC558=0),MAX($AD$7:$AD557)+1,"")</f>
        <v/>
      </c>
      <c r="AE558" s="31">
        <f>IF($Y558="",0,$Y558)</f>
        <v/>
      </c>
    </row>
    <row r="559">
      <c r="W559" s="31">
        <f>IF(OR($B$5="",$C$6="",ROW()&lt;$B$5),"",IF(INDEX($A:$U,ROW(),$C$6)="","",INDEX($A:$U,ROW(),$C$6)))</f>
        <v/>
      </c>
      <c r="X559" s="32">
        <f>IF($W559="","",IF(ISNUMBER($W559),IF($W559&gt;=10000000,IFERROR(DATE(INT($W559/10000),MOD(INT($W559/100),100),MOD($W559,100)),""),INT($W559)),IFERROR(DATE(--LEFT(LEFT(SUBSTITUTE(SUBSTITUTE(SUBSTITUTE(SUBSTITUTE(TRIM($W559),"-",""),".",""),"/","")," ",""),8),4),--MID(LEFT(SUBSTITUTE(SUBSTITUTE(SUBSTITUTE(SUBSTITUTE(TRIM($W559),"-",""),".",""),"/","")," ",""),8),5,2),--MID(LEFT(SUBSTITUTE(SUBSTITUTE(SUBSTITUTE(SUBSTITUTE(TRIM($W559),"-",""),".",""),"/","")," ",""),8),7,2)),"")))</f>
        <v/>
      </c>
      <c r="Y559" s="32">
        <f>IF($X559="","",INT($X559))</f>
        <v/>
      </c>
      <c r="Z559" s="33">
        <f>IF(OR($Y559="",$D$6=""),"",IF(INDEX($A:$U,ROW(),$D$6)="",0,IF(ISNUMBER(INDEX($A:$U,ROW(),$D$6)),INDEX($A:$U,ROW(),$D$6),IFERROR(--SUBSTITUTE(SUBSTITUTE(TRIM(INDEX($A:$U,ROW(),$D$6)),",",""),"원",""),0))))</f>
        <v/>
      </c>
      <c r="AA559" s="31">
        <f>IF($Y559="","",TRIM(INDEX($A:$U,ROW(),$E$6)&amp;IF($F$6="",""," "&amp;INDEX($A:$U,ROW(),$F$6))))</f>
        <v/>
      </c>
      <c r="AB559" s="31">
        <f>IF($AA559="","",SUBSTITUTE(SUBSTITUTE(SUBSTITUTE(SUBSTITUTE(SUBSTITUTE(SUBSTITUTE(SUBSTITUTE(SUBSTITUTE(SUBSTITUTE($AA559," ",""),"　",""),"(주)",""),"（주）",""),"㈜",""),"주식회사",""),"(유)",""),"（유）",""),"유한회사",""))</f>
        <v/>
      </c>
      <c r="AC559" s="31">
        <f>IF(OR($Y559="",N($Z559)&lt;=0,$AB559=""),0,IFERROR(LOOKUP(2,1/((거래처별!$AC$8:$AC$307&lt;&gt;"")*ISNUMBER(SEARCH(거래처별!$AC$8:$AC$307,$AB559))),거래처별!$A$8:$A$307),IFERROR(LOOKUP(2,1/((거래처별!$AD$8:$AD$307&lt;&gt;"")*ISNUMBER(SEARCH(거래처별!$AD$8:$AD$307,$AB559))),거래처별!$A$8:$A$307),IFERROR(LOOKUP(2,1/((거래처별!$AE$8:$AE$307&lt;&gt;"")*ISNUMBER(SEARCH(거래처별!$AE$8:$AE$307,$AB559))),거래처별!$A$8:$A$307),0))))</f>
        <v/>
      </c>
      <c r="AD559" s="31">
        <f>IF(AND($Y559&lt;&gt;"",N($Z559)&gt;0,$AC559=0),MAX($AD$7:$AD558)+1,"")</f>
        <v/>
      </c>
      <c r="AE559" s="31">
        <f>IF($Y559="",0,$Y559)</f>
        <v/>
      </c>
    </row>
    <row r="560">
      <c r="W560" s="31">
        <f>IF(OR($B$5="",$C$6="",ROW()&lt;$B$5),"",IF(INDEX($A:$U,ROW(),$C$6)="","",INDEX($A:$U,ROW(),$C$6)))</f>
        <v/>
      </c>
      <c r="X560" s="32">
        <f>IF($W560="","",IF(ISNUMBER($W560),IF($W560&gt;=10000000,IFERROR(DATE(INT($W560/10000),MOD(INT($W560/100),100),MOD($W560,100)),""),INT($W560)),IFERROR(DATE(--LEFT(LEFT(SUBSTITUTE(SUBSTITUTE(SUBSTITUTE(SUBSTITUTE(TRIM($W560),"-",""),".",""),"/","")," ",""),8),4),--MID(LEFT(SUBSTITUTE(SUBSTITUTE(SUBSTITUTE(SUBSTITUTE(TRIM($W560),"-",""),".",""),"/","")," ",""),8),5,2),--MID(LEFT(SUBSTITUTE(SUBSTITUTE(SUBSTITUTE(SUBSTITUTE(TRIM($W560),"-",""),".",""),"/","")," ",""),8),7,2)),"")))</f>
        <v/>
      </c>
      <c r="Y560" s="32">
        <f>IF($X560="","",INT($X560))</f>
        <v/>
      </c>
      <c r="Z560" s="33">
        <f>IF(OR($Y560="",$D$6=""),"",IF(INDEX($A:$U,ROW(),$D$6)="",0,IF(ISNUMBER(INDEX($A:$U,ROW(),$D$6)),INDEX($A:$U,ROW(),$D$6),IFERROR(--SUBSTITUTE(SUBSTITUTE(TRIM(INDEX($A:$U,ROW(),$D$6)),",",""),"원",""),0))))</f>
        <v/>
      </c>
      <c r="AA560" s="31">
        <f>IF($Y560="","",TRIM(INDEX($A:$U,ROW(),$E$6)&amp;IF($F$6="",""," "&amp;INDEX($A:$U,ROW(),$F$6))))</f>
        <v/>
      </c>
      <c r="AB560" s="31">
        <f>IF($AA560="","",SUBSTITUTE(SUBSTITUTE(SUBSTITUTE(SUBSTITUTE(SUBSTITUTE(SUBSTITUTE(SUBSTITUTE(SUBSTITUTE(SUBSTITUTE($AA560," ",""),"　",""),"(주)",""),"（주）",""),"㈜",""),"주식회사",""),"(유)",""),"（유）",""),"유한회사",""))</f>
        <v/>
      </c>
      <c r="AC560" s="31">
        <f>IF(OR($Y560="",N($Z560)&lt;=0,$AB560=""),0,IFERROR(LOOKUP(2,1/((거래처별!$AC$8:$AC$307&lt;&gt;"")*ISNUMBER(SEARCH(거래처별!$AC$8:$AC$307,$AB560))),거래처별!$A$8:$A$307),IFERROR(LOOKUP(2,1/((거래처별!$AD$8:$AD$307&lt;&gt;"")*ISNUMBER(SEARCH(거래처별!$AD$8:$AD$307,$AB560))),거래처별!$A$8:$A$307),IFERROR(LOOKUP(2,1/((거래처별!$AE$8:$AE$307&lt;&gt;"")*ISNUMBER(SEARCH(거래처별!$AE$8:$AE$307,$AB560))),거래처별!$A$8:$A$307),0))))</f>
        <v/>
      </c>
      <c r="AD560" s="31">
        <f>IF(AND($Y560&lt;&gt;"",N($Z560)&gt;0,$AC560=0),MAX($AD$7:$AD559)+1,"")</f>
        <v/>
      </c>
      <c r="AE560" s="31">
        <f>IF($Y560="",0,$Y560)</f>
        <v/>
      </c>
    </row>
    <row r="561">
      <c r="W561" s="31">
        <f>IF(OR($B$5="",$C$6="",ROW()&lt;$B$5),"",IF(INDEX($A:$U,ROW(),$C$6)="","",INDEX($A:$U,ROW(),$C$6)))</f>
        <v/>
      </c>
      <c r="X561" s="32">
        <f>IF($W561="","",IF(ISNUMBER($W561),IF($W561&gt;=10000000,IFERROR(DATE(INT($W561/10000),MOD(INT($W561/100),100),MOD($W561,100)),""),INT($W561)),IFERROR(DATE(--LEFT(LEFT(SUBSTITUTE(SUBSTITUTE(SUBSTITUTE(SUBSTITUTE(TRIM($W561),"-",""),".",""),"/","")," ",""),8),4),--MID(LEFT(SUBSTITUTE(SUBSTITUTE(SUBSTITUTE(SUBSTITUTE(TRIM($W561),"-",""),".",""),"/","")," ",""),8),5,2),--MID(LEFT(SUBSTITUTE(SUBSTITUTE(SUBSTITUTE(SUBSTITUTE(TRIM($W561),"-",""),".",""),"/","")," ",""),8),7,2)),"")))</f>
        <v/>
      </c>
      <c r="Y561" s="32">
        <f>IF($X561="","",INT($X561))</f>
        <v/>
      </c>
      <c r="Z561" s="33">
        <f>IF(OR($Y561="",$D$6=""),"",IF(INDEX($A:$U,ROW(),$D$6)="",0,IF(ISNUMBER(INDEX($A:$U,ROW(),$D$6)),INDEX($A:$U,ROW(),$D$6),IFERROR(--SUBSTITUTE(SUBSTITUTE(TRIM(INDEX($A:$U,ROW(),$D$6)),",",""),"원",""),0))))</f>
        <v/>
      </c>
      <c r="AA561" s="31">
        <f>IF($Y561="","",TRIM(INDEX($A:$U,ROW(),$E$6)&amp;IF($F$6="",""," "&amp;INDEX($A:$U,ROW(),$F$6))))</f>
        <v/>
      </c>
      <c r="AB561" s="31">
        <f>IF($AA561="","",SUBSTITUTE(SUBSTITUTE(SUBSTITUTE(SUBSTITUTE(SUBSTITUTE(SUBSTITUTE(SUBSTITUTE(SUBSTITUTE(SUBSTITUTE($AA561," ",""),"　",""),"(주)",""),"（주）",""),"㈜",""),"주식회사",""),"(유)",""),"（유）",""),"유한회사",""))</f>
        <v/>
      </c>
      <c r="AC561" s="31">
        <f>IF(OR($Y561="",N($Z561)&lt;=0,$AB561=""),0,IFERROR(LOOKUP(2,1/((거래처별!$AC$8:$AC$307&lt;&gt;"")*ISNUMBER(SEARCH(거래처별!$AC$8:$AC$307,$AB561))),거래처별!$A$8:$A$307),IFERROR(LOOKUP(2,1/((거래처별!$AD$8:$AD$307&lt;&gt;"")*ISNUMBER(SEARCH(거래처별!$AD$8:$AD$307,$AB561))),거래처별!$A$8:$A$307),IFERROR(LOOKUP(2,1/((거래처별!$AE$8:$AE$307&lt;&gt;"")*ISNUMBER(SEARCH(거래처별!$AE$8:$AE$307,$AB561))),거래처별!$A$8:$A$307),0))))</f>
        <v/>
      </c>
      <c r="AD561" s="31">
        <f>IF(AND($Y561&lt;&gt;"",N($Z561)&gt;0,$AC561=0),MAX($AD$7:$AD560)+1,"")</f>
        <v/>
      </c>
      <c r="AE561" s="31">
        <f>IF($Y561="",0,$Y561)</f>
        <v/>
      </c>
    </row>
    <row r="562">
      <c r="W562" s="31">
        <f>IF(OR($B$5="",$C$6="",ROW()&lt;$B$5),"",IF(INDEX($A:$U,ROW(),$C$6)="","",INDEX($A:$U,ROW(),$C$6)))</f>
        <v/>
      </c>
      <c r="X562" s="32">
        <f>IF($W562="","",IF(ISNUMBER($W562),IF($W562&gt;=10000000,IFERROR(DATE(INT($W562/10000),MOD(INT($W562/100),100),MOD($W562,100)),""),INT($W562)),IFERROR(DATE(--LEFT(LEFT(SUBSTITUTE(SUBSTITUTE(SUBSTITUTE(SUBSTITUTE(TRIM($W562),"-",""),".",""),"/","")," ",""),8),4),--MID(LEFT(SUBSTITUTE(SUBSTITUTE(SUBSTITUTE(SUBSTITUTE(TRIM($W562),"-",""),".",""),"/","")," ",""),8),5,2),--MID(LEFT(SUBSTITUTE(SUBSTITUTE(SUBSTITUTE(SUBSTITUTE(TRIM($W562),"-",""),".",""),"/","")," ",""),8),7,2)),"")))</f>
        <v/>
      </c>
      <c r="Y562" s="32">
        <f>IF($X562="","",INT($X562))</f>
        <v/>
      </c>
      <c r="Z562" s="33">
        <f>IF(OR($Y562="",$D$6=""),"",IF(INDEX($A:$U,ROW(),$D$6)="",0,IF(ISNUMBER(INDEX($A:$U,ROW(),$D$6)),INDEX($A:$U,ROW(),$D$6),IFERROR(--SUBSTITUTE(SUBSTITUTE(TRIM(INDEX($A:$U,ROW(),$D$6)),",",""),"원",""),0))))</f>
        <v/>
      </c>
      <c r="AA562" s="31">
        <f>IF($Y562="","",TRIM(INDEX($A:$U,ROW(),$E$6)&amp;IF($F$6="",""," "&amp;INDEX($A:$U,ROW(),$F$6))))</f>
        <v/>
      </c>
      <c r="AB562" s="31">
        <f>IF($AA562="","",SUBSTITUTE(SUBSTITUTE(SUBSTITUTE(SUBSTITUTE(SUBSTITUTE(SUBSTITUTE(SUBSTITUTE(SUBSTITUTE(SUBSTITUTE($AA562," ",""),"　",""),"(주)",""),"（주）",""),"㈜",""),"주식회사",""),"(유)",""),"（유）",""),"유한회사",""))</f>
        <v/>
      </c>
      <c r="AC562" s="31">
        <f>IF(OR($Y562="",N($Z562)&lt;=0,$AB562=""),0,IFERROR(LOOKUP(2,1/((거래처별!$AC$8:$AC$307&lt;&gt;"")*ISNUMBER(SEARCH(거래처별!$AC$8:$AC$307,$AB562))),거래처별!$A$8:$A$307),IFERROR(LOOKUP(2,1/((거래처별!$AD$8:$AD$307&lt;&gt;"")*ISNUMBER(SEARCH(거래처별!$AD$8:$AD$307,$AB562))),거래처별!$A$8:$A$307),IFERROR(LOOKUP(2,1/((거래처별!$AE$8:$AE$307&lt;&gt;"")*ISNUMBER(SEARCH(거래처별!$AE$8:$AE$307,$AB562))),거래처별!$A$8:$A$307),0))))</f>
        <v/>
      </c>
      <c r="AD562" s="31">
        <f>IF(AND($Y562&lt;&gt;"",N($Z562)&gt;0,$AC562=0),MAX($AD$7:$AD561)+1,"")</f>
        <v/>
      </c>
      <c r="AE562" s="31">
        <f>IF($Y562="",0,$Y562)</f>
        <v/>
      </c>
    </row>
    <row r="563">
      <c r="W563" s="31">
        <f>IF(OR($B$5="",$C$6="",ROW()&lt;$B$5),"",IF(INDEX($A:$U,ROW(),$C$6)="","",INDEX($A:$U,ROW(),$C$6)))</f>
        <v/>
      </c>
      <c r="X563" s="32">
        <f>IF($W563="","",IF(ISNUMBER($W563),IF($W563&gt;=10000000,IFERROR(DATE(INT($W563/10000),MOD(INT($W563/100),100),MOD($W563,100)),""),INT($W563)),IFERROR(DATE(--LEFT(LEFT(SUBSTITUTE(SUBSTITUTE(SUBSTITUTE(SUBSTITUTE(TRIM($W563),"-",""),".",""),"/","")," ",""),8),4),--MID(LEFT(SUBSTITUTE(SUBSTITUTE(SUBSTITUTE(SUBSTITUTE(TRIM($W563),"-",""),".",""),"/","")," ",""),8),5,2),--MID(LEFT(SUBSTITUTE(SUBSTITUTE(SUBSTITUTE(SUBSTITUTE(TRIM($W563),"-",""),".",""),"/","")," ",""),8),7,2)),"")))</f>
        <v/>
      </c>
      <c r="Y563" s="32">
        <f>IF($X563="","",INT($X563))</f>
        <v/>
      </c>
      <c r="Z563" s="33">
        <f>IF(OR($Y563="",$D$6=""),"",IF(INDEX($A:$U,ROW(),$D$6)="",0,IF(ISNUMBER(INDEX($A:$U,ROW(),$D$6)),INDEX($A:$U,ROW(),$D$6),IFERROR(--SUBSTITUTE(SUBSTITUTE(TRIM(INDEX($A:$U,ROW(),$D$6)),",",""),"원",""),0))))</f>
        <v/>
      </c>
      <c r="AA563" s="31">
        <f>IF($Y563="","",TRIM(INDEX($A:$U,ROW(),$E$6)&amp;IF($F$6="",""," "&amp;INDEX($A:$U,ROW(),$F$6))))</f>
        <v/>
      </c>
      <c r="AB563" s="31">
        <f>IF($AA563="","",SUBSTITUTE(SUBSTITUTE(SUBSTITUTE(SUBSTITUTE(SUBSTITUTE(SUBSTITUTE(SUBSTITUTE(SUBSTITUTE(SUBSTITUTE($AA563," ",""),"　",""),"(주)",""),"（주）",""),"㈜",""),"주식회사",""),"(유)",""),"（유）",""),"유한회사",""))</f>
        <v/>
      </c>
      <c r="AC563" s="31">
        <f>IF(OR($Y563="",N($Z563)&lt;=0,$AB563=""),0,IFERROR(LOOKUP(2,1/((거래처별!$AC$8:$AC$307&lt;&gt;"")*ISNUMBER(SEARCH(거래처별!$AC$8:$AC$307,$AB563))),거래처별!$A$8:$A$307),IFERROR(LOOKUP(2,1/((거래처별!$AD$8:$AD$307&lt;&gt;"")*ISNUMBER(SEARCH(거래처별!$AD$8:$AD$307,$AB563))),거래처별!$A$8:$A$307),IFERROR(LOOKUP(2,1/((거래처별!$AE$8:$AE$307&lt;&gt;"")*ISNUMBER(SEARCH(거래처별!$AE$8:$AE$307,$AB563))),거래처별!$A$8:$A$307),0))))</f>
        <v/>
      </c>
      <c r="AD563" s="31">
        <f>IF(AND($Y563&lt;&gt;"",N($Z563)&gt;0,$AC563=0),MAX($AD$7:$AD562)+1,"")</f>
        <v/>
      </c>
      <c r="AE563" s="31">
        <f>IF($Y563="",0,$Y563)</f>
        <v/>
      </c>
    </row>
    <row r="564">
      <c r="W564" s="31">
        <f>IF(OR($B$5="",$C$6="",ROW()&lt;$B$5),"",IF(INDEX($A:$U,ROW(),$C$6)="","",INDEX($A:$U,ROW(),$C$6)))</f>
        <v/>
      </c>
      <c r="X564" s="32">
        <f>IF($W564="","",IF(ISNUMBER($W564),IF($W564&gt;=10000000,IFERROR(DATE(INT($W564/10000),MOD(INT($W564/100),100),MOD($W564,100)),""),INT($W564)),IFERROR(DATE(--LEFT(LEFT(SUBSTITUTE(SUBSTITUTE(SUBSTITUTE(SUBSTITUTE(TRIM($W564),"-",""),".",""),"/","")," ",""),8),4),--MID(LEFT(SUBSTITUTE(SUBSTITUTE(SUBSTITUTE(SUBSTITUTE(TRIM($W564),"-",""),".",""),"/","")," ",""),8),5,2),--MID(LEFT(SUBSTITUTE(SUBSTITUTE(SUBSTITUTE(SUBSTITUTE(TRIM($W564),"-",""),".",""),"/","")," ",""),8),7,2)),"")))</f>
        <v/>
      </c>
      <c r="Y564" s="32">
        <f>IF($X564="","",INT($X564))</f>
        <v/>
      </c>
      <c r="Z564" s="33">
        <f>IF(OR($Y564="",$D$6=""),"",IF(INDEX($A:$U,ROW(),$D$6)="",0,IF(ISNUMBER(INDEX($A:$U,ROW(),$D$6)),INDEX($A:$U,ROW(),$D$6),IFERROR(--SUBSTITUTE(SUBSTITUTE(TRIM(INDEX($A:$U,ROW(),$D$6)),",",""),"원",""),0))))</f>
        <v/>
      </c>
      <c r="AA564" s="31">
        <f>IF($Y564="","",TRIM(INDEX($A:$U,ROW(),$E$6)&amp;IF($F$6="",""," "&amp;INDEX($A:$U,ROW(),$F$6))))</f>
        <v/>
      </c>
      <c r="AB564" s="31">
        <f>IF($AA564="","",SUBSTITUTE(SUBSTITUTE(SUBSTITUTE(SUBSTITUTE(SUBSTITUTE(SUBSTITUTE(SUBSTITUTE(SUBSTITUTE(SUBSTITUTE($AA564," ",""),"　",""),"(주)",""),"（주）",""),"㈜",""),"주식회사",""),"(유)",""),"（유）",""),"유한회사",""))</f>
        <v/>
      </c>
      <c r="AC564" s="31">
        <f>IF(OR($Y564="",N($Z564)&lt;=0,$AB564=""),0,IFERROR(LOOKUP(2,1/((거래처별!$AC$8:$AC$307&lt;&gt;"")*ISNUMBER(SEARCH(거래처별!$AC$8:$AC$307,$AB564))),거래처별!$A$8:$A$307),IFERROR(LOOKUP(2,1/((거래처별!$AD$8:$AD$307&lt;&gt;"")*ISNUMBER(SEARCH(거래처별!$AD$8:$AD$307,$AB564))),거래처별!$A$8:$A$307),IFERROR(LOOKUP(2,1/((거래처별!$AE$8:$AE$307&lt;&gt;"")*ISNUMBER(SEARCH(거래처별!$AE$8:$AE$307,$AB564))),거래처별!$A$8:$A$307),0))))</f>
        <v/>
      </c>
      <c r="AD564" s="31">
        <f>IF(AND($Y564&lt;&gt;"",N($Z564)&gt;0,$AC564=0),MAX($AD$7:$AD563)+1,"")</f>
        <v/>
      </c>
      <c r="AE564" s="31">
        <f>IF($Y564="",0,$Y564)</f>
        <v/>
      </c>
    </row>
    <row r="565">
      <c r="W565" s="31">
        <f>IF(OR($B$5="",$C$6="",ROW()&lt;$B$5),"",IF(INDEX($A:$U,ROW(),$C$6)="","",INDEX($A:$U,ROW(),$C$6)))</f>
        <v/>
      </c>
      <c r="X565" s="32">
        <f>IF($W565="","",IF(ISNUMBER($W565),IF($W565&gt;=10000000,IFERROR(DATE(INT($W565/10000),MOD(INT($W565/100),100),MOD($W565,100)),""),INT($W565)),IFERROR(DATE(--LEFT(LEFT(SUBSTITUTE(SUBSTITUTE(SUBSTITUTE(SUBSTITUTE(TRIM($W565),"-",""),".",""),"/","")," ",""),8),4),--MID(LEFT(SUBSTITUTE(SUBSTITUTE(SUBSTITUTE(SUBSTITUTE(TRIM($W565),"-",""),".",""),"/","")," ",""),8),5,2),--MID(LEFT(SUBSTITUTE(SUBSTITUTE(SUBSTITUTE(SUBSTITUTE(TRIM($W565),"-",""),".",""),"/","")," ",""),8),7,2)),"")))</f>
        <v/>
      </c>
      <c r="Y565" s="32">
        <f>IF($X565="","",INT($X565))</f>
        <v/>
      </c>
      <c r="Z565" s="33">
        <f>IF(OR($Y565="",$D$6=""),"",IF(INDEX($A:$U,ROW(),$D$6)="",0,IF(ISNUMBER(INDEX($A:$U,ROW(),$D$6)),INDEX($A:$U,ROW(),$D$6),IFERROR(--SUBSTITUTE(SUBSTITUTE(TRIM(INDEX($A:$U,ROW(),$D$6)),",",""),"원",""),0))))</f>
        <v/>
      </c>
      <c r="AA565" s="31">
        <f>IF($Y565="","",TRIM(INDEX($A:$U,ROW(),$E$6)&amp;IF($F$6="",""," "&amp;INDEX($A:$U,ROW(),$F$6))))</f>
        <v/>
      </c>
      <c r="AB565" s="31">
        <f>IF($AA565="","",SUBSTITUTE(SUBSTITUTE(SUBSTITUTE(SUBSTITUTE(SUBSTITUTE(SUBSTITUTE(SUBSTITUTE(SUBSTITUTE(SUBSTITUTE($AA565," ",""),"　",""),"(주)",""),"（주）",""),"㈜",""),"주식회사",""),"(유)",""),"（유）",""),"유한회사",""))</f>
        <v/>
      </c>
      <c r="AC565" s="31">
        <f>IF(OR($Y565="",N($Z565)&lt;=0,$AB565=""),0,IFERROR(LOOKUP(2,1/((거래처별!$AC$8:$AC$307&lt;&gt;"")*ISNUMBER(SEARCH(거래처별!$AC$8:$AC$307,$AB565))),거래처별!$A$8:$A$307),IFERROR(LOOKUP(2,1/((거래처별!$AD$8:$AD$307&lt;&gt;"")*ISNUMBER(SEARCH(거래처별!$AD$8:$AD$307,$AB565))),거래처별!$A$8:$A$307),IFERROR(LOOKUP(2,1/((거래처별!$AE$8:$AE$307&lt;&gt;"")*ISNUMBER(SEARCH(거래처별!$AE$8:$AE$307,$AB565))),거래처별!$A$8:$A$307),0))))</f>
        <v/>
      </c>
      <c r="AD565" s="31">
        <f>IF(AND($Y565&lt;&gt;"",N($Z565)&gt;0,$AC565=0),MAX($AD$7:$AD564)+1,"")</f>
        <v/>
      </c>
      <c r="AE565" s="31">
        <f>IF($Y565="",0,$Y565)</f>
        <v/>
      </c>
    </row>
    <row r="566">
      <c r="W566" s="31">
        <f>IF(OR($B$5="",$C$6="",ROW()&lt;$B$5),"",IF(INDEX($A:$U,ROW(),$C$6)="","",INDEX($A:$U,ROW(),$C$6)))</f>
        <v/>
      </c>
      <c r="X566" s="32">
        <f>IF($W566="","",IF(ISNUMBER($W566),IF($W566&gt;=10000000,IFERROR(DATE(INT($W566/10000),MOD(INT($W566/100),100),MOD($W566,100)),""),INT($W566)),IFERROR(DATE(--LEFT(LEFT(SUBSTITUTE(SUBSTITUTE(SUBSTITUTE(SUBSTITUTE(TRIM($W566),"-",""),".",""),"/","")," ",""),8),4),--MID(LEFT(SUBSTITUTE(SUBSTITUTE(SUBSTITUTE(SUBSTITUTE(TRIM($W566),"-",""),".",""),"/","")," ",""),8),5,2),--MID(LEFT(SUBSTITUTE(SUBSTITUTE(SUBSTITUTE(SUBSTITUTE(TRIM($W566),"-",""),".",""),"/","")," ",""),8),7,2)),"")))</f>
        <v/>
      </c>
      <c r="Y566" s="32">
        <f>IF($X566="","",INT($X566))</f>
        <v/>
      </c>
      <c r="Z566" s="33">
        <f>IF(OR($Y566="",$D$6=""),"",IF(INDEX($A:$U,ROW(),$D$6)="",0,IF(ISNUMBER(INDEX($A:$U,ROW(),$D$6)),INDEX($A:$U,ROW(),$D$6),IFERROR(--SUBSTITUTE(SUBSTITUTE(TRIM(INDEX($A:$U,ROW(),$D$6)),",",""),"원",""),0))))</f>
        <v/>
      </c>
      <c r="AA566" s="31">
        <f>IF($Y566="","",TRIM(INDEX($A:$U,ROW(),$E$6)&amp;IF($F$6="",""," "&amp;INDEX($A:$U,ROW(),$F$6))))</f>
        <v/>
      </c>
      <c r="AB566" s="31">
        <f>IF($AA566="","",SUBSTITUTE(SUBSTITUTE(SUBSTITUTE(SUBSTITUTE(SUBSTITUTE(SUBSTITUTE(SUBSTITUTE(SUBSTITUTE(SUBSTITUTE($AA566," ",""),"　",""),"(주)",""),"（주）",""),"㈜",""),"주식회사",""),"(유)",""),"（유）",""),"유한회사",""))</f>
        <v/>
      </c>
      <c r="AC566" s="31">
        <f>IF(OR($Y566="",N($Z566)&lt;=0,$AB566=""),0,IFERROR(LOOKUP(2,1/((거래처별!$AC$8:$AC$307&lt;&gt;"")*ISNUMBER(SEARCH(거래처별!$AC$8:$AC$307,$AB566))),거래처별!$A$8:$A$307),IFERROR(LOOKUP(2,1/((거래처별!$AD$8:$AD$307&lt;&gt;"")*ISNUMBER(SEARCH(거래처별!$AD$8:$AD$307,$AB566))),거래처별!$A$8:$A$307),IFERROR(LOOKUP(2,1/((거래처별!$AE$8:$AE$307&lt;&gt;"")*ISNUMBER(SEARCH(거래처별!$AE$8:$AE$307,$AB566))),거래처별!$A$8:$A$307),0))))</f>
        <v/>
      </c>
      <c r="AD566" s="31">
        <f>IF(AND($Y566&lt;&gt;"",N($Z566)&gt;0,$AC566=0),MAX($AD$7:$AD565)+1,"")</f>
        <v/>
      </c>
      <c r="AE566" s="31">
        <f>IF($Y566="",0,$Y566)</f>
        <v/>
      </c>
    </row>
    <row r="567">
      <c r="W567" s="31">
        <f>IF(OR($B$5="",$C$6="",ROW()&lt;$B$5),"",IF(INDEX($A:$U,ROW(),$C$6)="","",INDEX($A:$U,ROW(),$C$6)))</f>
        <v/>
      </c>
      <c r="X567" s="32">
        <f>IF($W567="","",IF(ISNUMBER($W567),IF($W567&gt;=10000000,IFERROR(DATE(INT($W567/10000),MOD(INT($W567/100),100),MOD($W567,100)),""),INT($W567)),IFERROR(DATE(--LEFT(LEFT(SUBSTITUTE(SUBSTITUTE(SUBSTITUTE(SUBSTITUTE(TRIM($W567),"-",""),".",""),"/","")," ",""),8),4),--MID(LEFT(SUBSTITUTE(SUBSTITUTE(SUBSTITUTE(SUBSTITUTE(TRIM($W567),"-",""),".",""),"/","")," ",""),8),5,2),--MID(LEFT(SUBSTITUTE(SUBSTITUTE(SUBSTITUTE(SUBSTITUTE(TRIM($W567),"-",""),".",""),"/","")," ",""),8),7,2)),"")))</f>
        <v/>
      </c>
      <c r="Y567" s="32">
        <f>IF($X567="","",INT($X567))</f>
        <v/>
      </c>
      <c r="Z567" s="33">
        <f>IF(OR($Y567="",$D$6=""),"",IF(INDEX($A:$U,ROW(),$D$6)="",0,IF(ISNUMBER(INDEX($A:$U,ROW(),$D$6)),INDEX($A:$U,ROW(),$D$6),IFERROR(--SUBSTITUTE(SUBSTITUTE(TRIM(INDEX($A:$U,ROW(),$D$6)),",",""),"원",""),0))))</f>
        <v/>
      </c>
      <c r="AA567" s="31">
        <f>IF($Y567="","",TRIM(INDEX($A:$U,ROW(),$E$6)&amp;IF($F$6="",""," "&amp;INDEX($A:$U,ROW(),$F$6))))</f>
        <v/>
      </c>
      <c r="AB567" s="31">
        <f>IF($AA567="","",SUBSTITUTE(SUBSTITUTE(SUBSTITUTE(SUBSTITUTE(SUBSTITUTE(SUBSTITUTE(SUBSTITUTE(SUBSTITUTE(SUBSTITUTE($AA567," ",""),"　",""),"(주)",""),"（주）",""),"㈜",""),"주식회사",""),"(유)",""),"（유）",""),"유한회사",""))</f>
        <v/>
      </c>
      <c r="AC567" s="31">
        <f>IF(OR($Y567="",N($Z567)&lt;=0,$AB567=""),0,IFERROR(LOOKUP(2,1/((거래처별!$AC$8:$AC$307&lt;&gt;"")*ISNUMBER(SEARCH(거래처별!$AC$8:$AC$307,$AB567))),거래처별!$A$8:$A$307),IFERROR(LOOKUP(2,1/((거래처별!$AD$8:$AD$307&lt;&gt;"")*ISNUMBER(SEARCH(거래처별!$AD$8:$AD$307,$AB567))),거래처별!$A$8:$A$307),IFERROR(LOOKUP(2,1/((거래처별!$AE$8:$AE$307&lt;&gt;"")*ISNUMBER(SEARCH(거래처별!$AE$8:$AE$307,$AB567))),거래처별!$A$8:$A$307),0))))</f>
        <v/>
      </c>
      <c r="AD567" s="31">
        <f>IF(AND($Y567&lt;&gt;"",N($Z567)&gt;0,$AC567=0),MAX($AD$7:$AD566)+1,"")</f>
        <v/>
      </c>
      <c r="AE567" s="31">
        <f>IF($Y567="",0,$Y567)</f>
        <v/>
      </c>
    </row>
    <row r="568">
      <c r="W568" s="31">
        <f>IF(OR($B$5="",$C$6="",ROW()&lt;$B$5),"",IF(INDEX($A:$U,ROW(),$C$6)="","",INDEX($A:$U,ROW(),$C$6)))</f>
        <v/>
      </c>
      <c r="X568" s="32">
        <f>IF($W568="","",IF(ISNUMBER($W568),IF($W568&gt;=10000000,IFERROR(DATE(INT($W568/10000),MOD(INT($W568/100),100),MOD($W568,100)),""),INT($W568)),IFERROR(DATE(--LEFT(LEFT(SUBSTITUTE(SUBSTITUTE(SUBSTITUTE(SUBSTITUTE(TRIM($W568),"-",""),".",""),"/","")," ",""),8),4),--MID(LEFT(SUBSTITUTE(SUBSTITUTE(SUBSTITUTE(SUBSTITUTE(TRIM($W568),"-",""),".",""),"/","")," ",""),8),5,2),--MID(LEFT(SUBSTITUTE(SUBSTITUTE(SUBSTITUTE(SUBSTITUTE(TRIM($W568),"-",""),".",""),"/","")," ",""),8),7,2)),"")))</f>
        <v/>
      </c>
      <c r="Y568" s="32">
        <f>IF($X568="","",INT($X568))</f>
        <v/>
      </c>
      <c r="Z568" s="33">
        <f>IF(OR($Y568="",$D$6=""),"",IF(INDEX($A:$U,ROW(),$D$6)="",0,IF(ISNUMBER(INDEX($A:$U,ROW(),$D$6)),INDEX($A:$U,ROW(),$D$6),IFERROR(--SUBSTITUTE(SUBSTITUTE(TRIM(INDEX($A:$U,ROW(),$D$6)),",",""),"원",""),0))))</f>
        <v/>
      </c>
      <c r="AA568" s="31">
        <f>IF($Y568="","",TRIM(INDEX($A:$U,ROW(),$E$6)&amp;IF($F$6="",""," "&amp;INDEX($A:$U,ROW(),$F$6))))</f>
        <v/>
      </c>
      <c r="AB568" s="31">
        <f>IF($AA568="","",SUBSTITUTE(SUBSTITUTE(SUBSTITUTE(SUBSTITUTE(SUBSTITUTE(SUBSTITUTE(SUBSTITUTE(SUBSTITUTE(SUBSTITUTE($AA568," ",""),"　",""),"(주)",""),"（주）",""),"㈜",""),"주식회사",""),"(유)",""),"（유）",""),"유한회사",""))</f>
        <v/>
      </c>
      <c r="AC568" s="31">
        <f>IF(OR($Y568="",N($Z568)&lt;=0,$AB568=""),0,IFERROR(LOOKUP(2,1/((거래처별!$AC$8:$AC$307&lt;&gt;"")*ISNUMBER(SEARCH(거래처별!$AC$8:$AC$307,$AB568))),거래처별!$A$8:$A$307),IFERROR(LOOKUP(2,1/((거래처별!$AD$8:$AD$307&lt;&gt;"")*ISNUMBER(SEARCH(거래처별!$AD$8:$AD$307,$AB568))),거래처별!$A$8:$A$307),IFERROR(LOOKUP(2,1/((거래처별!$AE$8:$AE$307&lt;&gt;"")*ISNUMBER(SEARCH(거래처별!$AE$8:$AE$307,$AB568))),거래처별!$A$8:$A$307),0))))</f>
        <v/>
      </c>
      <c r="AD568" s="31">
        <f>IF(AND($Y568&lt;&gt;"",N($Z568)&gt;0,$AC568=0),MAX($AD$7:$AD567)+1,"")</f>
        <v/>
      </c>
      <c r="AE568" s="31">
        <f>IF($Y568="",0,$Y568)</f>
        <v/>
      </c>
    </row>
    <row r="569">
      <c r="W569" s="31">
        <f>IF(OR($B$5="",$C$6="",ROW()&lt;$B$5),"",IF(INDEX($A:$U,ROW(),$C$6)="","",INDEX($A:$U,ROW(),$C$6)))</f>
        <v/>
      </c>
      <c r="X569" s="32">
        <f>IF($W569="","",IF(ISNUMBER($W569),IF($W569&gt;=10000000,IFERROR(DATE(INT($W569/10000),MOD(INT($W569/100),100),MOD($W569,100)),""),INT($W569)),IFERROR(DATE(--LEFT(LEFT(SUBSTITUTE(SUBSTITUTE(SUBSTITUTE(SUBSTITUTE(TRIM($W569),"-",""),".",""),"/","")," ",""),8),4),--MID(LEFT(SUBSTITUTE(SUBSTITUTE(SUBSTITUTE(SUBSTITUTE(TRIM($W569),"-",""),".",""),"/","")," ",""),8),5,2),--MID(LEFT(SUBSTITUTE(SUBSTITUTE(SUBSTITUTE(SUBSTITUTE(TRIM($W569),"-",""),".",""),"/","")," ",""),8),7,2)),"")))</f>
        <v/>
      </c>
      <c r="Y569" s="32">
        <f>IF($X569="","",INT($X569))</f>
        <v/>
      </c>
      <c r="Z569" s="33">
        <f>IF(OR($Y569="",$D$6=""),"",IF(INDEX($A:$U,ROW(),$D$6)="",0,IF(ISNUMBER(INDEX($A:$U,ROW(),$D$6)),INDEX($A:$U,ROW(),$D$6),IFERROR(--SUBSTITUTE(SUBSTITUTE(TRIM(INDEX($A:$U,ROW(),$D$6)),",",""),"원",""),0))))</f>
        <v/>
      </c>
      <c r="AA569" s="31">
        <f>IF($Y569="","",TRIM(INDEX($A:$U,ROW(),$E$6)&amp;IF($F$6="",""," "&amp;INDEX($A:$U,ROW(),$F$6))))</f>
        <v/>
      </c>
      <c r="AB569" s="31">
        <f>IF($AA569="","",SUBSTITUTE(SUBSTITUTE(SUBSTITUTE(SUBSTITUTE(SUBSTITUTE(SUBSTITUTE(SUBSTITUTE(SUBSTITUTE(SUBSTITUTE($AA569," ",""),"　",""),"(주)",""),"（주）",""),"㈜",""),"주식회사",""),"(유)",""),"（유）",""),"유한회사",""))</f>
        <v/>
      </c>
      <c r="AC569" s="31">
        <f>IF(OR($Y569="",N($Z569)&lt;=0,$AB569=""),0,IFERROR(LOOKUP(2,1/((거래처별!$AC$8:$AC$307&lt;&gt;"")*ISNUMBER(SEARCH(거래처별!$AC$8:$AC$307,$AB569))),거래처별!$A$8:$A$307),IFERROR(LOOKUP(2,1/((거래처별!$AD$8:$AD$307&lt;&gt;"")*ISNUMBER(SEARCH(거래처별!$AD$8:$AD$307,$AB569))),거래처별!$A$8:$A$307),IFERROR(LOOKUP(2,1/((거래처별!$AE$8:$AE$307&lt;&gt;"")*ISNUMBER(SEARCH(거래처별!$AE$8:$AE$307,$AB569))),거래처별!$A$8:$A$307),0))))</f>
        <v/>
      </c>
      <c r="AD569" s="31">
        <f>IF(AND($Y569&lt;&gt;"",N($Z569)&gt;0,$AC569=0),MAX($AD$7:$AD568)+1,"")</f>
        <v/>
      </c>
      <c r="AE569" s="31">
        <f>IF($Y569="",0,$Y569)</f>
        <v/>
      </c>
    </row>
    <row r="570">
      <c r="W570" s="31">
        <f>IF(OR($B$5="",$C$6="",ROW()&lt;$B$5),"",IF(INDEX($A:$U,ROW(),$C$6)="","",INDEX($A:$U,ROW(),$C$6)))</f>
        <v/>
      </c>
      <c r="X570" s="32">
        <f>IF($W570="","",IF(ISNUMBER($W570),IF($W570&gt;=10000000,IFERROR(DATE(INT($W570/10000),MOD(INT($W570/100),100),MOD($W570,100)),""),INT($W570)),IFERROR(DATE(--LEFT(LEFT(SUBSTITUTE(SUBSTITUTE(SUBSTITUTE(SUBSTITUTE(TRIM($W570),"-",""),".",""),"/","")," ",""),8),4),--MID(LEFT(SUBSTITUTE(SUBSTITUTE(SUBSTITUTE(SUBSTITUTE(TRIM($W570),"-",""),".",""),"/","")," ",""),8),5,2),--MID(LEFT(SUBSTITUTE(SUBSTITUTE(SUBSTITUTE(SUBSTITUTE(TRIM($W570),"-",""),".",""),"/","")," ",""),8),7,2)),"")))</f>
        <v/>
      </c>
      <c r="Y570" s="32">
        <f>IF($X570="","",INT($X570))</f>
        <v/>
      </c>
      <c r="Z570" s="33">
        <f>IF(OR($Y570="",$D$6=""),"",IF(INDEX($A:$U,ROW(),$D$6)="",0,IF(ISNUMBER(INDEX($A:$U,ROW(),$D$6)),INDEX($A:$U,ROW(),$D$6),IFERROR(--SUBSTITUTE(SUBSTITUTE(TRIM(INDEX($A:$U,ROW(),$D$6)),",",""),"원",""),0))))</f>
        <v/>
      </c>
      <c r="AA570" s="31">
        <f>IF($Y570="","",TRIM(INDEX($A:$U,ROW(),$E$6)&amp;IF($F$6="",""," "&amp;INDEX($A:$U,ROW(),$F$6))))</f>
        <v/>
      </c>
      <c r="AB570" s="31">
        <f>IF($AA570="","",SUBSTITUTE(SUBSTITUTE(SUBSTITUTE(SUBSTITUTE(SUBSTITUTE(SUBSTITUTE(SUBSTITUTE(SUBSTITUTE(SUBSTITUTE($AA570," ",""),"　",""),"(주)",""),"（주）",""),"㈜",""),"주식회사",""),"(유)",""),"（유）",""),"유한회사",""))</f>
        <v/>
      </c>
      <c r="AC570" s="31">
        <f>IF(OR($Y570="",N($Z570)&lt;=0,$AB570=""),0,IFERROR(LOOKUP(2,1/((거래처별!$AC$8:$AC$307&lt;&gt;"")*ISNUMBER(SEARCH(거래처별!$AC$8:$AC$307,$AB570))),거래처별!$A$8:$A$307),IFERROR(LOOKUP(2,1/((거래처별!$AD$8:$AD$307&lt;&gt;"")*ISNUMBER(SEARCH(거래처별!$AD$8:$AD$307,$AB570))),거래처별!$A$8:$A$307),IFERROR(LOOKUP(2,1/((거래처별!$AE$8:$AE$307&lt;&gt;"")*ISNUMBER(SEARCH(거래처별!$AE$8:$AE$307,$AB570))),거래처별!$A$8:$A$307),0))))</f>
        <v/>
      </c>
      <c r="AD570" s="31">
        <f>IF(AND($Y570&lt;&gt;"",N($Z570)&gt;0,$AC570=0),MAX($AD$7:$AD569)+1,"")</f>
        <v/>
      </c>
      <c r="AE570" s="31">
        <f>IF($Y570="",0,$Y570)</f>
        <v/>
      </c>
    </row>
    <row r="571">
      <c r="W571" s="31">
        <f>IF(OR($B$5="",$C$6="",ROW()&lt;$B$5),"",IF(INDEX($A:$U,ROW(),$C$6)="","",INDEX($A:$U,ROW(),$C$6)))</f>
        <v/>
      </c>
      <c r="X571" s="32">
        <f>IF($W571="","",IF(ISNUMBER($W571),IF($W571&gt;=10000000,IFERROR(DATE(INT($W571/10000),MOD(INT($W571/100),100),MOD($W571,100)),""),INT($W571)),IFERROR(DATE(--LEFT(LEFT(SUBSTITUTE(SUBSTITUTE(SUBSTITUTE(SUBSTITUTE(TRIM($W571),"-",""),".",""),"/","")," ",""),8),4),--MID(LEFT(SUBSTITUTE(SUBSTITUTE(SUBSTITUTE(SUBSTITUTE(TRIM($W571),"-",""),".",""),"/","")," ",""),8),5,2),--MID(LEFT(SUBSTITUTE(SUBSTITUTE(SUBSTITUTE(SUBSTITUTE(TRIM($W571),"-",""),".",""),"/","")," ",""),8),7,2)),"")))</f>
        <v/>
      </c>
      <c r="Y571" s="32">
        <f>IF($X571="","",INT($X571))</f>
        <v/>
      </c>
      <c r="Z571" s="33">
        <f>IF(OR($Y571="",$D$6=""),"",IF(INDEX($A:$U,ROW(),$D$6)="",0,IF(ISNUMBER(INDEX($A:$U,ROW(),$D$6)),INDEX($A:$U,ROW(),$D$6),IFERROR(--SUBSTITUTE(SUBSTITUTE(TRIM(INDEX($A:$U,ROW(),$D$6)),",",""),"원",""),0))))</f>
        <v/>
      </c>
      <c r="AA571" s="31">
        <f>IF($Y571="","",TRIM(INDEX($A:$U,ROW(),$E$6)&amp;IF($F$6="",""," "&amp;INDEX($A:$U,ROW(),$F$6))))</f>
        <v/>
      </c>
      <c r="AB571" s="31">
        <f>IF($AA571="","",SUBSTITUTE(SUBSTITUTE(SUBSTITUTE(SUBSTITUTE(SUBSTITUTE(SUBSTITUTE(SUBSTITUTE(SUBSTITUTE(SUBSTITUTE($AA571," ",""),"　",""),"(주)",""),"（주）",""),"㈜",""),"주식회사",""),"(유)",""),"（유）",""),"유한회사",""))</f>
        <v/>
      </c>
      <c r="AC571" s="31">
        <f>IF(OR($Y571="",N($Z571)&lt;=0,$AB571=""),0,IFERROR(LOOKUP(2,1/((거래처별!$AC$8:$AC$307&lt;&gt;"")*ISNUMBER(SEARCH(거래처별!$AC$8:$AC$307,$AB571))),거래처별!$A$8:$A$307),IFERROR(LOOKUP(2,1/((거래처별!$AD$8:$AD$307&lt;&gt;"")*ISNUMBER(SEARCH(거래처별!$AD$8:$AD$307,$AB571))),거래처별!$A$8:$A$307),IFERROR(LOOKUP(2,1/((거래처별!$AE$8:$AE$307&lt;&gt;"")*ISNUMBER(SEARCH(거래처별!$AE$8:$AE$307,$AB571))),거래처별!$A$8:$A$307),0))))</f>
        <v/>
      </c>
      <c r="AD571" s="31">
        <f>IF(AND($Y571&lt;&gt;"",N($Z571)&gt;0,$AC571=0),MAX($AD$7:$AD570)+1,"")</f>
        <v/>
      </c>
      <c r="AE571" s="31">
        <f>IF($Y571="",0,$Y571)</f>
        <v/>
      </c>
    </row>
    <row r="572">
      <c r="W572" s="31">
        <f>IF(OR($B$5="",$C$6="",ROW()&lt;$B$5),"",IF(INDEX($A:$U,ROW(),$C$6)="","",INDEX($A:$U,ROW(),$C$6)))</f>
        <v/>
      </c>
      <c r="X572" s="32">
        <f>IF($W572="","",IF(ISNUMBER($W572),IF($W572&gt;=10000000,IFERROR(DATE(INT($W572/10000),MOD(INT($W572/100),100),MOD($W572,100)),""),INT($W572)),IFERROR(DATE(--LEFT(LEFT(SUBSTITUTE(SUBSTITUTE(SUBSTITUTE(SUBSTITUTE(TRIM($W572),"-",""),".",""),"/","")," ",""),8),4),--MID(LEFT(SUBSTITUTE(SUBSTITUTE(SUBSTITUTE(SUBSTITUTE(TRIM($W572),"-",""),".",""),"/","")," ",""),8),5,2),--MID(LEFT(SUBSTITUTE(SUBSTITUTE(SUBSTITUTE(SUBSTITUTE(TRIM($W572),"-",""),".",""),"/","")," ",""),8),7,2)),"")))</f>
        <v/>
      </c>
      <c r="Y572" s="32">
        <f>IF($X572="","",INT($X572))</f>
        <v/>
      </c>
      <c r="Z572" s="33">
        <f>IF(OR($Y572="",$D$6=""),"",IF(INDEX($A:$U,ROW(),$D$6)="",0,IF(ISNUMBER(INDEX($A:$U,ROW(),$D$6)),INDEX($A:$U,ROW(),$D$6),IFERROR(--SUBSTITUTE(SUBSTITUTE(TRIM(INDEX($A:$U,ROW(),$D$6)),",",""),"원",""),0))))</f>
        <v/>
      </c>
      <c r="AA572" s="31">
        <f>IF($Y572="","",TRIM(INDEX($A:$U,ROW(),$E$6)&amp;IF($F$6="",""," "&amp;INDEX($A:$U,ROW(),$F$6))))</f>
        <v/>
      </c>
      <c r="AB572" s="31">
        <f>IF($AA572="","",SUBSTITUTE(SUBSTITUTE(SUBSTITUTE(SUBSTITUTE(SUBSTITUTE(SUBSTITUTE(SUBSTITUTE(SUBSTITUTE(SUBSTITUTE($AA572," ",""),"　",""),"(주)",""),"（주）",""),"㈜",""),"주식회사",""),"(유)",""),"（유）",""),"유한회사",""))</f>
        <v/>
      </c>
      <c r="AC572" s="31">
        <f>IF(OR($Y572="",N($Z572)&lt;=0,$AB572=""),0,IFERROR(LOOKUP(2,1/((거래처별!$AC$8:$AC$307&lt;&gt;"")*ISNUMBER(SEARCH(거래처별!$AC$8:$AC$307,$AB572))),거래처별!$A$8:$A$307),IFERROR(LOOKUP(2,1/((거래처별!$AD$8:$AD$307&lt;&gt;"")*ISNUMBER(SEARCH(거래처별!$AD$8:$AD$307,$AB572))),거래처별!$A$8:$A$307),IFERROR(LOOKUP(2,1/((거래처별!$AE$8:$AE$307&lt;&gt;"")*ISNUMBER(SEARCH(거래처별!$AE$8:$AE$307,$AB572))),거래처별!$A$8:$A$307),0))))</f>
        <v/>
      </c>
      <c r="AD572" s="31">
        <f>IF(AND($Y572&lt;&gt;"",N($Z572)&gt;0,$AC572=0),MAX($AD$7:$AD571)+1,"")</f>
        <v/>
      </c>
      <c r="AE572" s="31">
        <f>IF($Y572="",0,$Y572)</f>
        <v/>
      </c>
    </row>
    <row r="573">
      <c r="W573" s="31">
        <f>IF(OR($B$5="",$C$6="",ROW()&lt;$B$5),"",IF(INDEX($A:$U,ROW(),$C$6)="","",INDEX($A:$U,ROW(),$C$6)))</f>
        <v/>
      </c>
      <c r="X573" s="32">
        <f>IF($W573="","",IF(ISNUMBER($W573),IF($W573&gt;=10000000,IFERROR(DATE(INT($W573/10000),MOD(INT($W573/100),100),MOD($W573,100)),""),INT($W573)),IFERROR(DATE(--LEFT(LEFT(SUBSTITUTE(SUBSTITUTE(SUBSTITUTE(SUBSTITUTE(TRIM($W573),"-",""),".",""),"/","")," ",""),8),4),--MID(LEFT(SUBSTITUTE(SUBSTITUTE(SUBSTITUTE(SUBSTITUTE(TRIM($W573),"-",""),".",""),"/","")," ",""),8),5,2),--MID(LEFT(SUBSTITUTE(SUBSTITUTE(SUBSTITUTE(SUBSTITUTE(TRIM($W573),"-",""),".",""),"/","")," ",""),8),7,2)),"")))</f>
        <v/>
      </c>
      <c r="Y573" s="32">
        <f>IF($X573="","",INT($X573))</f>
        <v/>
      </c>
      <c r="Z573" s="33">
        <f>IF(OR($Y573="",$D$6=""),"",IF(INDEX($A:$U,ROW(),$D$6)="",0,IF(ISNUMBER(INDEX($A:$U,ROW(),$D$6)),INDEX($A:$U,ROW(),$D$6),IFERROR(--SUBSTITUTE(SUBSTITUTE(TRIM(INDEX($A:$U,ROW(),$D$6)),",",""),"원",""),0))))</f>
        <v/>
      </c>
      <c r="AA573" s="31">
        <f>IF($Y573="","",TRIM(INDEX($A:$U,ROW(),$E$6)&amp;IF($F$6="",""," "&amp;INDEX($A:$U,ROW(),$F$6))))</f>
        <v/>
      </c>
      <c r="AB573" s="31">
        <f>IF($AA573="","",SUBSTITUTE(SUBSTITUTE(SUBSTITUTE(SUBSTITUTE(SUBSTITUTE(SUBSTITUTE(SUBSTITUTE(SUBSTITUTE(SUBSTITUTE($AA573," ",""),"　",""),"(주)",""),"（주）",""),"㈜",""),"주식회사",""),"(유)",""),"（유）",""),"유한회사",""))</f>
        <v/>
      </c>
      <c r="AC573" s="31">
        <f>IF(OR($Y573="",N($Z573)&lt;=0,$AB573=""),0,IFERROR(LOOKUP(2,1/((거래처별!$AC$8:$AC$307&lt;&gt;"")*ISNUMBER(SEARCH(거래처별!$AC$8:$AC$307,$AB573))),거래처별!$A$8:$A$307),IFERROR(LOOKUP(2,1/((거래처별!$AD$8:$AD$307&lt;&gt;"")*ISNUMBER(SEARCH(거래처별!$AD$8:$AD$307,$AB573))),거래처별!$A$8:$A$307),IFERROR(LOOKUP(2,1/((거래처별!$AE$8:$AE$307&lt;&gt;"")*ISNUMBER(SEARCH(거래처별!$AE$8:$AE$307,$AB573))),거래처별!$A$8:$A$307),0))))</f>
        <v/>
      </c>
      <c r="AD573" s="31">
        <f>IF(AND($Y573&lt;&gt;"",N($Z573)&gt;0,$AC573=0),MAX($AD$7:$AD572)+1,"")</f>
        <v/>
      </c>
      <c r="AE573" s="31">
        <f>IF($Y573="",0,$Y573)</f>
        <v/>
      </c>
    </row>
    <row r="574">
      <c r="W574" s="31">
        <f>IF(OR($B$5="",$C$6="",ROW()&lt;$B$5),"",IF(INDEX($A:$U,ROW(),$C$6)="","",INDEX($A:$U,ROW(),$C$6)))</f>
        <v/>
      </c>
      <c r="X574" s="32">
        <f>IF($W574="","",IF(ISNUMBER($W574),IF($W574&gt;=10000000,IFERROR(DATE(INT($W574/10000),MOD(INT($W574/100),100),MOD($W574,100)),""),INT($W574)),IFERROR(DATE(--LEFT(LEFT(SUBSTITUTE(SUBSTITUTE(SUBSTITUTE(SUBSTITUTE(TRIM($W574),"-",""),".",""),"/","")," ",""),8),4),--MID(LEFT(SUBSTITUTE(SUBSTITUTE(SUBSTITUTE(SUBSTITUTE(TRIM($W574),"-",""),".",""),"/","")," ",""),8),5,2),--MID(LEFT(SUBSTITUTE(SUBSTITUTE(SUBSTITUTE(SUBSTITUTE(TRIM($W574),"-",""),".",""),"/","")," ",""),8),7,2)),"")))</f>
        <v/>
      </c>
      <c r="Y574" s="32">
        <f>IF($X574="","",INT($X574))</f>
        <v/>
      </c>
      <c r="Z574" s="33">
        <f>IF(OR($Y574="",$D$6=""),"",IF(INDEX($A:$U,ROW(),$D$6)="",0,IF(ISNUMBER(INDEX($A:$U,ROW(),$D$6)),INDEX($A:$U,ROW(),$D$6),IFERROR(--SUBSTITUTE(SUBSTITUTE(TRIM(INDEX($A:$U,ROW(),$D$6)),",",""),"원",""),0))))</f>
        <v/>
      </c>
      <c r="AA574" s="31">
        <f>IF($Y574="","",TRIM(INDEX($A:$U,ROW(),$E$6)&amp;IF($F$6="",""," "&amp;INDEX($A:$U,ROW(),$F$6))))</f>
        <v/>
      </c>
      <c r="AB574" s="31">
        <f>IF($AA574="","",SUBSTITUTE(SUBSTITUTE(SUBSTITUTE(SUBSTITUTE(SUBSTITUTE(SUBSTITUTE(SUBSTITUTE(SUBSTITUTE(SUBSTITUTE($AA574," ",""),"　",""),"(주)",""),"（주）",""),"㈜",""),"주식회사",""),"(유)",""),"（유）",""),"유한회사",""))</f>
        <v/>
      </c>
      <c r="AC574" s="31">
        <f>IF(OR($Y574="",N($Z574)&lt;=0,$AB574=""),0,IFERROR(LOOKUP(2,1/((거래처별!$AC$8:$AC$307&lt;&gt;"")*ISNUMBER(SEARCH(거래처별!$AC$8:$AC$307,$AB574))),거래처별!$A$8:$A$307),IFERROR(LOOKUP(2,1/((거래처별!$AD$8:$AD$307&lt;&gt;"")*ISNUMBER(SEARCH(거래처별!$AD$8:$AD$307,$AB574))),거래처별!$A$8:$A$307),IFERROR(LOOKUP(2,1/((거래처별!$AE$8:$AE$307&lt;&gt;"")*ISNUMBER(SEARCH(거래처별!$AE$8:$AE$307,$AB574))),거래처별!$A$8:$A$307),0))))</f>
        <v/>
      </c>
      <c r="AD574" s="31">
        <f>IF(AND($Y574&lt;&gt;"",N($Z574)&gt;0,$AC574=0),MAX($AD$7:$AD573)+1,"")</f>
        <v/>
      </c>
      <c r="AE574" s="31">
        <f>IF($Y574="",0,$Y574)</f>
        <v/>
      </c>
    </row>
    <row r="575">
      <c r="W575" s="31">
        <f>IF(OR($B$5="",$C$6="",ROW()&lt;$B$5),"",IF(INDEX($A:$U,ROW(),$C$6)="","",INDEX($A:$U,ROW(),$C$6)))</f>
        <v/>
      </c>
      <c r="X575" s="32">
        <f>IF($W575="","",IF(ISNUMBER($W575),IF($W575&gt;=10000000,IFERROR(DATE(INT($W575/10000),MOD(INT($W575/100),100),MOD($W575,100)),""),INT($W575)),IFERROR(DATE(--LEFT(LEFT(SUBSTITUTE(SUBSTITUTE(SUBSTITUTE(SUBSTITUTE(TRIM($W575),"-",""),".",""),"/","")," ",""),8),4),--MID(LEFT(SUBSTITUTE(SUBSTITUTE(SUBSTITUTE(SUBSTITUTE(TRIM($W575),"-",""),".",""),"/","")," ",""),8),5,2),--MID(LEFT(SUBSTITUTE(SUBSTITUTE(SUBSTITUTE(SUBSTITUTE(TRIM($W575),"-",""),".",""),"/","")," ",""),8),7,2)),"")))</f>
        <v/>
      </c>
      <c r="Y575" s="32">
        <f>IF($X575="","",INT($X575))</f>
        <v/>
      </c>
      <c r="Z575" s="33">
        <f>IF(OR($Y575="",$D$6=""),"",IF(INDEX($A:$U,ROW(),$D$6)="",0,IF(ISNUMBER(INDEX($A:$U,ROW(),$D$6)),INDEX($A:$U,ROW(),$D$6),IFERROR(--SUBSTITUTE(SUBSTITUTE(TRIM(INDEX($A:$U,ROW(),$D$6)),",",""),"원",""),0))))</f>
        <v/>
      </c>
      <c r="AA575" s="31">
        <f>IF($Y575="","",TRIM(INDEX($A:$U,ROW(),$E$6)&amp;IF($F$6="",""," "&amp;INDEX($A:$U,ROW(),$F$6))))</f>
        <v/>
      </c>
      <c r="AB575" s="31">
        <f>IF($AA575="","",SUBSTITUTE(SUBSTITUTE(SUBSTITUTE(SUBSTITUTE(SUBSTITUTE(SUBSTITUTE(SUBSTITUTE(SUBSTITUTE(SUBSTITUTE($AA575," ",""),"　",""),"(주)",""),"（주）",""),"㈜",""),"주식회사",""),"(유)",""),"（유）",""),"유한회사",""))</f>
        <v/>
      </c>
      <c r="AC575" s="31">
        <f>IF(OR($Y575="",N($Z575)&lt;=0,$AB575=""),0,IFERROR(LOOKUP(2,1/((거래처별!$AC$8:$AC$307&lt;&gt;"")*ISNUMBER(SEARCH(거래처별!$AC$8:$AC$307,$AB575))),거래처별!$A$8:$A$307),IFERROR(LOOKUP(2,1/((거래처별!$AD$8:$AD$307&lt;&gt;"")*ISNUMBER(SEARCH(거래처별!$AD$8:$AD$307,$AB575))),거래처별!$A$8:$A$307),IFERROR(LOOKUP(2,1/((거래처별!$AE$8:$AE$307&lt;&gt;"")*ISNUMBER(SEARCH(거래처별!$AE$8:$AE$307,$AB575))),거래처별!$A$8:$A$307),0))))</f>
        <v/>
      </c>
      <c r="AD575" s="31">
        <f>IF(AND($Y575&lt;&gt;"",N($Z575)&gt;0,$AC575=0),MAX($AD$7:$AD574)+1,"")</f>
        <v/>
      </c>
      <c r="AE575" s="31">
        <f>IF($Y575="",0,$Y575)</f>
        <v/>
      </c>
    </row>
    <row r="576">
      <c r="W576" s="31">
        <f>IF(OR($B$5="",$C$6="",ROW()&lt;$B$5),"",IF(INDEX($A:$U,ROW(),$C$6)="","",INDEX($A:$U,ROW(),$C$6)))</f>
        <v/>
      </c>
      <c r="X576" s="32">
        <f>IF($W576="","",IF(ISNUMBER($W576),IF($W576&gt;=10000000,IFERROR(DATE(INT($W576/10000),MOD(INT($W576/100),100),MOD($W576,100)),""),INT($W576)),IFERROR(DATE(--LEFT(LEFT(SUBSTITUTE(SUBSTITUTE(SUBSTITUTE(SUBSTITUTE(TRIM($W576),"-",""),".",""),"/","")," ",""),8),4),--MID(LEFT(SUBSTITUTE(SUBSTITUTE(SUBSTITUTE(SUBSTITUTE(TRIM($W576),"-",""),".",""),"/","")," ",""),8),5,2),--MID(LEFT(SUBSTITUTE(SUBSTITUTE(SUBSTITUTE(SUBSTITUTE(TRIM($W576),"-",""),".",""),"/","")," ",""),8),7,2)),"")))</f>
        <v/>
      </c>
      <c r="Y576" s="32">
        <f>IF($X576="","",INT($X576))</f>
        <v/>
      </c>
      <c r="Z576" s="33">
        <f>IF(OR($Y576="",$D$6=""),"",IF(INDEX($A:$U,ROW(),$D$6)="",0,IF(ISNUMBER(INDEX($A:$U,ROW(),$D$6)),INDEX($A:$U,ROW(),$D$6),IFERROR(--SUBSTITUTE(SUBSTITUTE(TRIM(INDEX($A:$U,ROW(),$D$6)),",",""),"원",""),0))))</f>
        <v/>
      </c>
      <c r="AA576" s="31">
        <f>IF($Y576="","",TRIM(INDEX($A:$U,ROW(),$E$6)&amp;IF($F$6="",""," "&amp;INDEX($A:$U,ROW(),$F$6))))</f>
        <v/>
      </c>
      <c r="AB576" s="31">
        <f>IF($AA576="","",SUBSTITUTE(SUBSTITUTE(SUBSTITUTE(SUBSTITUTE(SUBSTITUTE(SUBSTITUTE(SUBSTITUTE(SUBSTITUTE(SUBSTITUTE($AA576," ",""),"　",""),"(주)",""),"（주）",""),"㈜",""),"주식회사",""),"(유)",""),"（유）",""),"유한회사",""))</f>
        <v/>
      </c>
      <c r="AC576" s="31">
        <f>IF(OR($Y576="",N($Z576)&lt;=0,$AB576=""),0,IFERROR(LOOKUP(2,1/((거래처별!$AC$8:$AC$307&lt;&gt;"")*ISNUMBER(SEARCH(거래처별!$AC$8:$AC$307,$AB576))),거래처별!$A$8:$A$307),IFERROR(LOOKUP(2,1/((거래처별!$AD$8:$AD$307&lt;&gt;"")*ISNUMBER(SEARCH(거래처별!$AD$8:$AD$307,$AB576))),거래처별!$A$8:$A$307),IFERROR(LOOKUP(2,1/((거래처별!$AE$8:$AE$307&lt;&gt;"")*ISNUMBER(SEARCH(거래처별!$AE$8:$AE$307,$AB576))),거래처별!$A$8:$A$307),0))))</f>
        <v/>
      </c>
      <c r="AD576" s="31">
        <f>IF(AND($Y576&lt;&gt;"",N($Z576)&gt;0,$AC576=0),MAX($AD$7:$AD575)+1,"")</f>
        <v/>
      </c>
      <c r="AE576" s="31">
        <f>IF($Y576="",0,$Y576)</f>
        <v/>
      </c>
    </row>
    <row r="577">
      <c r="W577" s="31">
        <f>IF(OR($B$5="",$C$6="",ROW()&lt;$B$5),"",IF(INDEX($A:$U,ROW(),$C$6)="","",INDEX($A:$U,ROW(),$C$6)))</f>
        <v/>
      </c>
      <c r="X577" s="32">
        <f>IF($W577="","",IF(ISNUMBER($W577),IF($W577&gt;=10000000,IFERROR(DATE(INT($W577/10000),MOD(INT($W577/100),100),MOD($W577,100)),""),INT($W577)),IFERROR(DATE(--LEFT(LEFT(SUBSTITUTE(SUBSTITUTE(SUBSTITUTE(SUBSTITUTE(TRIM($W577),"-",""),".",""),"/","")," ",""),8),4),--MID(LEFT(SUBSTITUTE(SUBSTITUTE(SUBSTITUTE(SUBSTITUTE(TRIM($W577),"-",""),".",""),"/","")," ",""),8),5,2),--MID(LEFT(SUBSTITUTE(SUBSTITUTE(SUBSTITUTE(SUBSTITUTE(TRIM($W577),"-",""),".",""),"/","")," ",""),8),7,2)),"")))</f>
        <v/>
      </c>
      <c r="Y577" s="32">
        <f>IF($X577="","",INT($X577))</f>
        <v/>
      </c>
      <c r="Z577" s="33">
        <f>IF(OR($Y577="",$D$6=""),"",IF(INDEX($A:$U,ROW(),$D$6)="",0,IF(ISNUMBER(INDEX($A:$U,ROW(),$D$6)),INDEX($A:$U,ROW(),$D$6),IFERROR(--SUBSTITUTE(SUBSTITUTE(TRIM(INDEX($A:$U,ROW(),$D$6)),",",""),"원",""),0))))</f>
        <v/>
      </c>
      <c r="AA577" s="31">
        <f>IF($Y577="","",TRIM(INDEX($A:$U,ROW(),$E$6)&amp;IF($F$6="",""," "&amp;INDEX($A:$U,ROW(),$F$6))))</f>
        <v/>
      </c>
      <c r="AB577" s="31">
        <f>IF($AA577="","",SUBSTITUTE(SUBSTITUTE(SUBSTITUTE(SUBSTITUTE(SUBSTITUTE(SUBSTITUTE(SUBSTITUTE(SUBSTITUTE(SUBSTITUTE($AA577," ",""),"　",""),"(주)",""),"（주）",""),"㈜",""),"주식회사",""),"(유)",""),"（유）",""),"유한회사",""))</f>
        <v/>
      </c>
      <c r="AC577" s="31">
        <f>IF(OR($Y577="",N($Z577)&lt;=0,$AB577=""),0,IFERROR(LOOKUP(2,1/((거래처별!$AC$8:$AC$307&lt;&gt;"")*ISNUMBER(SEARCH(거래처별!$AC$8:$AC$307,$AB577))),거래처별!$A$8:$A$307),IFERROR(LOOKUP(2,1/((거래처별!$AD$8:$AD$307&lt;&gt;"")*ISNUMBER(SEARCH(거래처별!$AD$8:$AD$307,$AB577))),거래처별!$A$8:$A$307),IFERROR(LOOKUP(2,1/((거래처별!$AE$8:$AE$307&lt;&gt;"")*ISNUMBER(SEARCH(거래처별!$AE$8:$AE$307,$AB577))),거래처별!$A$8:$A$307),0))))</f>
        <v/>
      </c>
      <c r="AD577" s="31">
        <f>IF(AND($Y577&lt;&gt;"",N($Z577)&gt;0,$AC577=0),MAX($AD$7:$AD576)+1,"")</f>
        <v/>
      </c>
      <c r="AE577" s="31">
        <f>IF($Y577="",0,$Y577)</f>
        <v/>
      </c>
    </row>
    <row r="578">
      <c r="W578" s="31">
        <f>IF(OR($B$5="",$C$6="",ROW()&lt;$B$5),"",IF(INDEX($A:$U,ROW(),$C$6)="","",INDEX($A:$U,ROW(),$C$6)))</f>
        <v/>
      </c>
      <c r="X578" s="32">
        <f>IF($W578="","",IF(ISNUMBER($W578),IF($W578&gt;=10000000,IFERROR(DATE(INT($W578/10000),MOD(INT($W578/100),100),MOD($W578,100)),""),INT($W578)),IFERROR(DATE(--LEFT(LEFT(SUBSTITUTE(SUBSTITUTE(SUBSTITUTE(SUBSTITUTE(TRIM($W578),"-",""),".",""),"/","")," ",""),8),4),--MID(LEFT(SUBSTITUTE(SUBSTITUTE(SUBSTITUTE(SUBSTITUTE(TRIM($W578),"-",""),".",""),"/","")," ",""),8),5,2),--MID(LEFT(SUBSTITUTE(SUBSTITUTE(SUBSTITUTE(SUBSTITUTE(TRIM($W578),"-",""),".",""),"/","")," ",""),8),7,2)),"")))</f>
        <v/>
      </c>
      <c r="Y578" s="32">
        <f>IF($X578="","",INT($X578))</f>
        <v/>
      </c>
      <c r="Z578" s="33">
        <f>IF(OR($Y578="",$D$6=""),"",IF(INDEX($A:$U,ROW(),$D$6)="",0,IF(ISNUMBER(INDEX($A:$U,ROW(),$D$6)),INDEX($A:$U,ROW(),$D$6),IFERROR(--SUBSTITUTE(SUBSTITUTE(TRIM(INDEX($A:$U,ROW(),$D$6)),",",""),"원",""),0))))</f>
        <v/>
      </c>
      <c r="AA578" s="31">
        <f>IF($Y578="","",TRIM(INDEX($A:$U,ROW(),$E$6)&amp;IF($F$6="",""," "&amp;INDEX($A:$U,ROW(),$F$6))))</f>
        <v/>
      </c>
      <c r="AB578" s="31">
        <f>IF($AA578="","",SUBSTITUTE(SUBSTITUTE(SUBSTITUTE(SUBSTITUTE(SUBSTITUTE(SUBSTITUTE(SUBSTITUTE(SUBSTITUTE(SUBSTITUTE($AA578," ",""),"　",""),"(주)",""),"（주）",""),"㈜",""),"주식회사",""),"(유)",""),"（유）",""),"유한회사",""))</f>
        <v/>
      </c>
      <c r="AC578" s="31">
        <f>IF(OR($Y578="",N($Z578)&lt;=0,$AB578=""),0,IFERROR(LOOKUP(2,1/((거래처별!$AC$8:$AC$307&lt;&gt;"")*ISNUMBER(SEARCH(거래처별!$AC$8:$AC$307,$AB578))),거래처별!$A$8:$A$307),IFERROR(LOOKUP(2,1/((거래처별!$AD$8:$AD$307&lt;&gt;"")*ISNUMBER(SEARCH(거래처별!$AD$8:$AD$307,$AB578))),거래처별!$A$8:$A$307),IFERROR(LOOKUP(2,1/((거래처별!$AE$8:$AE$307&lt;&gt;"")*ISNUMBER(SEARCH(거래처별!$AE$8:$AE$307,$AB578))),거래처별!$A$8:$A$307),0))))</f>
        <v/>
      </c>
      <c r="AD578" s="31">
        <f>IF(AND($Y578&lt;&gt;"",N($Z578)&gt;0,$AC578=0),MAX($AD$7:$AD577)+1,"")</f>
        <v/>
      </c>
      <c r="AE578" s="31">
        <f>IF($Y578="",0,$Y578)</f>
        <v/>
      </c>
    </row>
    <row r="579">
      <c r="W579" s="31">
        <f>IF(OR($B$5="",$C$6="",ROW()&lt;$B$5),"",IF(INDEX($A:$U,ROW(),$C$6)="","",INDEX($A:$U,ROW(),$C$6)))</f>
        <v/>
      </c>
      <c r="X579" s="32">
        <f>IF($W579="","",IF(ISNUMBER($W579),IF($W579&gt;=10000000,IFERROR(DATE(INT($W579/10000),MOD(INT($W579/100),100),MOD($W579,100)),""),INT($W579)),IFERROR(DATE(--LEFT(LEFT(SUBSTITUTE(SUBSTITUTE(SUBSTITUTE(SUBSTITUTE(TRIM($W579),"-",""),".",""),"/","")," ",""),8),4),--MID(LEFT(SUBSTITUTE(SUBSTITUTE(SUBSTITUTE(SUBSTITUTE(TRIM($W579),"-",""),".",""),"/","")," ",""),8),5,2),--MID(LEFT(SUBSTITUTE(SUBSTITUTE(SUBSTITUTE(SUBSTITUTE(TRIM($W579),"-",""),".",""),"/","")," ",""),8),7,2)),"")))</f>
        <v/>
      </c>
      <c r="Y579" s="32">
        <f>IF($X579="","",INT($X579))</f>
        <v/>
      </c>
      <c r="Z579" s="33">
        <f>IF(OR($Y579="",$D$6=""),"",IF(INDEX($A:$U,ROW(),$D$6)="",0,IF(ISNUMBER(INDEX($A:$U,ROW(),$D$6)),INDEX($A:$U,ROW(),$D$6),IFERROR(--SUBSTITUTE(SUBSTITUTE(TRIM(INDEX($A:$U,ROW(),$D$6)),",",""),"원",""),0))))</f>
        <v/>
      </c>
      <c r="AA579" s="31">
        <f>IF($Y579="","",TRIM(INDEX($A:$U,ROW(),$E$6)&amp;IF($F$6="",""," "&amp;INDEX($A:$U,ROW(),$F$6))))</f>
        <v/>
      </c>
      <c r="AB579" s="31">
        <f>IF($AA579="","",SUBSTITUTE(SUBSTITUTE(SUBSTITUTE(SUBSTITUTE(SUBSTITUTE(SUBSTITUTE(SUBSTITUTE(SUBSTITUTE(SUBSTITUTE($AA579," ",""),"　",""),"(주)",""),"（주）",""),"㈜",""),"주식회사",""),"(유)",""),"（유）",""),"유한회사",""))</f>
        <v/>
      </c>
      <c r="AC579" s="31">
        <f>IF(OR($Y579="",N($Z579)&lt;=0,$AB579=""),0,IFERROR(LOOKUP(2,1/((거래처별!$AC$8:$AC$307&lt;&gt;"")*ISNUMBER(SEARCH(거래처별!$AC$8:$AC$307,$AB579))),거래처별!$A$8:$A$307),IFERROR(LOOKUP(2,1/((거래처별!$AD$8:$AD$307&lt;&gt;"")*ISNUMBER(SEARCH(거래처별!$AD$8:$AD$307,$AB579))),거래처별!$A$8:$A$307),IFERROR(LOOKUP(2,1/((거래처별!$AE$8:$AE$307&lt;&gt;"")*ISNUMBER(SEARCH(거래처별!$AE$8:$AE$307,$AB579))),거래처별!$A$8:$A$307),0))))</f>
        <v/>
      </c>
      <c r="AD579" s="31">
        <f>IF(AND($Y579&lt;&gt;"",N($Z579)&gt;0,$AC579=0),MAX($AD$7:$AD578)+1,"")</f>
        <v/>
      </c>
      <c r="AE579" s="31">
        <f>IF($Y579="",0,$Y579)</f>
        <v/>
      </c>
    </row>
    <row r="580">
      <c r="W580" s="31">
        <f>IF(OR($B$5="",$C$6="",ROW()&lt;$B$5),"",IF(INDEX($A:$U,ROW(),$C$6)="","",INDEX($A:$U,ROW(),$C$6)))</f>
        <v/>
      </c>
      <c r="X580" s="32">
        <f>IF($W580="","",IF(ISNUMBER($W580),IF($W580&gt;=10000000,IFERROR(DATE(INT($W580/10000),MOD(INT($W580/100),100),MOD($W580,100)),""),INT($W580)),IFERROR(DATE(--LEFT(LEFT(SUBSTITUTE(SUBSTITUTE(SUBSTITUTE(SUBSTITUTE(TRIM($W580),"-",""),".",""),"/","")," ",""),8),4),--MID(LEFT(SUBSTITUTE(SUBSTITUTE(SUBSTITUTE(SUBSTITUTE(TRIM($W580),"-",""),".",""),"/","")," ",""),8),5,2),--MID(LEFT(SUBSTITUTE(SUBSTITUTE(SUBSTITUTE(SUBSTITUTE(TRIM($W580),"-",""),".",""),"/","")," ",""),8),7,2)),"")))</f>
        <v/>
      </c>
      <c r="Y580" s="32">
        <f>IF($X580="","",INT($X580))</f>
        <v/>
      </c>
      <c r="Z580" s="33">
        <f>IF(OR($Y580="",$D$6=""),"",IF(INDEX($A:$U,ROW(),$D$6)="",0,IF(ISNUMBER(INDEX($A:$U,ROW(),$D$6)),INDEX($A:$U,ROW(),$D$6),IFERROR(--SUBSTITUTE(SUBSTITUTE(TRIM(INDEX($A:$U,ROW(),$D$6)),",",""),"원",""),0))))</f>
        <v/>
      </c>
      <c r="AA580" s="31">
        <f>IF($Y580="","",TRIM(INDEX($A:$U,ROW(),$E$6)&amp;IF($F$6="",""," "&amp;INDEX($A:$U,ROW(),$F$6))))</f>
        <v/>
      </c>
      <c r="AB580" s="31">
        <f>IF($AA580="","",SUBSTITUTE(SUBSTITUTE(SUBSTITUTE(SUBSTITUTE(SUBSTITUTE(SUBSTITUTE(SUBSTITUTE(SUBSTITUTE(SUBSTITUTE($AA580," ",""),"　",""),"(주)",""),"（주）",""),"㈜",""),"주식회사",""),"(유)",""),"（유）",""),"유한회사",""))</f>
        <v/>
      </c>
      <c r="AC580" s="31">
        <f>IF(OR($Y580="",N($Z580)&lt;=0,$AB580=""),0,IFERROR(LOOKUP(2,1/((거래처별!$AC$8:$AC$307&lt;&gt;"")*ISNUMBER(SEARCH(거래처별!$AC$8:$AC$307,$AB580))),거래처별!$A$8:$A$307),IFERROR(LOOKUP(2,1/((거래처별!$AD$8:$AD$307&lt;&gt;"")*ISNUMBER(SEARCH(거래처별!$AD$8:$AD$307,$AB580))),거래처별!$A$8:$A$307),IFERROR(LOOKUP(2,1/((거래처별!$AE$8:$AE$307&lt;&gt;"")*ISNUMBER(SEARCH(거래처별!$AE$8:$AE$307,$AB580))),거래처별!$A$8:$A$307),0))))</f>
        <v/>
      </c>
      <c r="AD580" s="31">
        <f>IF(AND($Y580&lt;&gt;"",N($Z580)&gt;0,$AC580=0),MAX($AD$7:$AD579)+1,"")</f>
        <v/>
      </c>
      <c r="AE580" s="31">
        <f>IF($Y580="",0,$Y580)</f>
        <v/>
      </c>
    </row>
    <row r="581">
      <c r="W581" s="31">
        <f>IF(OR($B$5="",$C$6="",ROW()&lt;$B$5),"",IF(INDEX($A:$U,ROW(),$C$6)="","",INDEX($A:$U,ROW(),$C$6)))</f>
        <v/>
      </c>
      <c r="X581" s="32">
        <f>IF($W581="","",IF(ISNUMBER($W581),IF($W581&gt;=10000000,IFERROR(DATE(INT($W581/10000),MOD(INT($W581/100),100),MOD($W581,100)),""),INT($W581)),IFERROR(DATE(--LEFT(LEFT(SUBSTITUTE(SUBSTITUTE(SUBSTITUTE(SUBSTITUTE(TRIM($W581),"-",""),".",""),"/","")," ",""),8),4),--MID(LEFT(SUBSTITUTE(SUBSTITUTE(SUBSTITUTE(SUBSTITUTE(TRIM($W581),"-",""),".",""),"/","")," ",""),8),5,2),--MID(LEFT(SUBSTITUTE(SUBSTITUTE(SUBSTITUTE(SUBSTITUTE(TRIM($W581),"-",""),".",""),"/","")," ",""),8),7,2)),"")))</f>
        <v/>
      </c>
      <c r="Y581" s="32">
        <f>IF($X581="","",INT($X581))</f>
        <v/>
      </c>
      <c r="Z581" s="33">
        <f>IF(OR($Y581="",$D$6=""),"",IF(INDEX($A:$U,ROW(),$D$6)="",0,IF(ISNUMBER(INDEX($A:$U,ROW(),$D$6)),INDEX($A:$U,ROW(),$D$6),IFERROR(--SUBSTITUTE(SUBSTITUTE(TRIM(INDEX($A:$U,ROW(),$D$6)),",",""),"원",""),0))))</f>
        <v/>
      </c>
      <c r="AA581" s="31">
        <f>IF($Y581="","",TRIM(INDEX($A:$U,ROW(),$E$6)&amp;IF($F$6="",""," "&amp;INDEX($A:$U,ROW(),$F$6))))</f>
        <v/>
      </c>
      <c r="AB581" s="31">
        <f>IF($AA581="","",SUBSTITUTE(SUBSTITUTE(SUBSTITUTE(SUBSTITUTE(SUBSTITUTE(SUBSTITUTE(SUBSTITUTE(SUBSTITUTE(SUBSTITUTE($AA581," ",""),"　",""),"(주)",""),"（주）",""),"㈜",""),"주식회사",""),"(유)",""),"（유）",""),"유한회사",""))</f>
        <v/>
      </c>
      <c r="AC581" s="31">
        <f>IF(OR($Y581="",N($Z581)&lt;=0,$AB581=""),0,IFERROR(LOOKUP(2,1/((거래처별!$AC$8:$AC$307&lt;&gt;"")*ISNUMBER(SEARCH(거래처별!$AC$8:$AC$307,$AB581))),거래처별!$A$8:$A$307),IFERROR(LOOKUP(2,1/((거래처별!$AD$8:$AD$307&lt;&gt;"")*ISNUMBER(SEARCH(거래처별!$AD$8:$AD$307,$AB581))),거래처별!$A$8:$A$307),IFERROR(LOOKUP(2,1/((거래처별!$AE$8:$AE$307&lt;&gt;"")*ISNUMBER(SEARCH(거래처별!$AE$8:$AE$307,$AB581))),거래처별!$A$8:$A$307),0))))</f>
        <v/>
      </c>
      <c r="AD581" s="31">
        <f>IF(AND($Y581&lt;&gt;"",N($Z581)&gt;0,$AC581=0),MAX($AD$7:$AD580)+1,"")</f>
        <v/>
      </c>
      <c r="AE581" s="31">
        <f>IF($Y581="",0,$Y581)</f>
        <v/>
      </c>
    </row>
    <row r="582">
      <c r="W582" s="31">
        <f>IF(OR($B$5="",$C$6="",ROW()&lt;$B$5),"",IF(INDEX($A:$U,ROW(),$C$6)="","",INDEX($A:$U,ROW(),$C$6)))</f>
        <v/>
      </c>
      <c r="X582" s="32">
        <f>IF($W582="","",IF(ISNUMBER($W582),IF($W582&gt;=10000000,IFERROR(DATE(INT($W582/10000),MOD(INT($W582/100),100),MOD($W582,100)),""),INT($W582)),IFERROR(DATE(--LEFT(LEFT(SUBSTITUTE(SUBSTITUTE(SUBSTITUTE(SUBSTITUTE(TRIM($W582),"-",""),".",""),"/","")," ",""),8),4),--MID(LEFT(SUBSTITUTE(SUBSTITUTE(SUBSTITUTE(SUBSTITUTE(TRIM($W582),"-",""),".",""),"/","")," ",""),8),5,2),--MID(LEFT(SUBSTITUTE(SUBSTITUTE(SUBSTITUTE(SUBSTITUTE(TRIM($W582),"-",""),".",""),"/","")," ",""),8),7,2)),"")))</f>
        <v/>
      </c>
      <c r="Y582" s="32">
        <f>IF($X582="","",INT($X582))</f>
        <v/>
      </c>
      <c r="Z582" s="33">
        <f>IF(OR($Y582="",$D$6=""),"",IF(INDEX($A:$U,ROW(),$D$6)="",0,IF(ISNUMBER(INDEX($A:$U,ROW(),$D$6)),INDEX($A:$U,ROW(),$D$6),IFERROR(--SUBSTITUTE(SUBSTITUTE(TRIM(INDEX($A:$U,ROW(),$D$6)),",",""),"원",""),0))))</f>
        <v/>
      </c>
      <c r="AA582" s="31">
        <f>IF($Y582="","",TRIM(INDEX($A:$U,ROW(),$E$6)&amp;IF($F$6="",""," "&amp;INDEX($A:$U,ROW(),$F$6))))</f>
        <v/>
      </c>
      <c r="AB582" s="31">
        <f>IF($AA582="","",SUBSTITUTE(SUBSTITUTE(SUBSTITUTE(SUBSTITUTE(SUBSTITUTE(SUBSTITUTE(SUBSTITUTE(SUBSTITUTE(SUBSTITUTE($AA582," ",""),"　",""),"(주)",""),"（주）",""),"㈜",""),"주식회사",""),"(유)",""),"（유）",""),"유한회사",""))</f>
        <v/>
      </c>
      <c r="AC582" s="31">
        <f>IF(OR($Y582="",N($Z582)&lt;=0,$AB582=""),0,IFERROR(LOOKUP(2,1/((거래처별!$AC$8:$AC$307&lt;&gt;"")*ISNUMBER(SEARCH(거래처별!$AC$8:$AC$307,$AB582))),거래처별!$A$8:$A$307),IFERROR(LOOKUP(2,1/((거래처별!$AD$8:$AD$307&lt;&gt;"")*ISNUMBER(SEARCH(거래처별!$AD$8:$AD$307,$AB582))),거래처별!$A$8:$A$307),IFERROR(LOOKUP(2,1/((거래처별!$AE$8:$AE$307&lt;&gt;"")*ISNUMBER(SEARCH(거래처별!$AE$8:$AE$307,$AB582))),거래처별!$A$8:$A$307),0))))</f>
        <v/>
      </c>
      <c r="AD582" s="31">
        <f>IF(AND($Y582&lt;&gt;"",N($Z582)&gt;0,$AC582=0),MAX($AD$7:$AD581)+1,"")</f>
        <v/>
      </c>
      <c r="AE582" s="31">
        <f>IF($Y582="",0,$Y582)</f>
        <v/>
      </c>
    </row>
    <row r="583">
      <c r="W583" s="31">
        <f>IF(OR($B$5="",$C$6="",ROW()&lt;$B$5),"",IF(INDEX($A:$U,ROW(),$C$6)="","",INDEX($A:$U,ROW(),$C$6)))</f>
        <v/>
      </c>
      <c r="X583" s="32">
        <f>IF($W583="","",IF(ISNUMBER($W583),IF($W583&gt;=10000000,IFERROR(DATE(INT($W583/10000),MOD(INT($W583/100),100),MOD($W583,100)),""),INT($W583)),IFERROR(DATE(--LEFT(LEFT(SUBSTITUTE(SUBSTITUTE(SUBSTITUTE(SUBSTITUTE(TRIM($W583),"-",""),".",""),"/","")," ",""),8),4),--MID(LEFT(SUBSTITUTE(SUBSTITUTE(SUBSTITUTE(SUBSTITUTE(TRIM($W583),"-",""),".",""),"/","")," ",""),8),5,2),--MID(LEFT(SUBSTITUTE(SUBSTITUTE(SUBSTITUTE(SUBSTITUTE(TRIM($W583),"-",""),".",""),"/","")," ",""),8),7,2)),"")))</f>
        <v/>
      </c>
      <c r="Y583" s="32">
        <f>IF($X583="","",INT($X583))</f>
        <v/>
      </c>
      <c r="Z583" s="33">
        <f>IF(OR($Y583="",$D$6=""),"",IF(INDEX($A:$U,ROW(),$D$6)="",0,IF(ISNUMBER(INDEX($A:$U,ROW(),$D$6)),INDEX($A:$U,ROW(),$D$6),IFERROR(--SUBSTITUTE(SUBSTITUTE(TRIM(INDEX($A:$U,ROW(),$D$6)),",",""),"원",""),0))))</f>
        <v/>
      </c>
      <c r="AA583" s="31">
        <f>IF($Y583="","",TRIM(INDEX($A:$U,ROW(),$E$6)&amp;IF($F$6="",""," "&amp;INDEX($A:$U,ROW(),$F$6))))</f>
        <v/>
      </c>
      <c r="AB583" s="31">
        <f>IF($AA583="","",SUBSTITUTE(SUBSTITUTE(SUBSTITUTE(SUBSTITUTE(SUBSTITUTE(SUBSTITUTE(SUBSTITUTE(SUBSTITUTE(SUBSTITUTE($AA583," ",""),"　",""),"(주)",""),"（주）",""),"㈜",""),"주식회사",""),"(유)",""),"（유）",""),"유한회사",""))</f>
        <v/>
      </c>
      <c r="AC583" s="31">
        <f>IF(OR($Y583="",N($Z583)&lt;=0,$AB583=""),0,IFERROR(LOOKUP(2,1/((거래처별!$AC$8:$AC$307&lt;&gt;"")*ISNUMBER(SEARCH(거래처별!$AC$8:$AC$307,$AB583))),거래처별!$A$8:$A$307),IFERROR(LOOKUP(2,1/((거래처별!$AD$8:$AD$307&lt;&gt;"")*ISNUMBER(SEARCH(거래처별!$AD$8:$AD$307,$AB583))),거래처별!$A$8:$A$307),IFERROR(LOOKUP(2,1/((거래처별!$AE$8:$AE$307&lt;&gt;"")*ISNUMBER(SEARCH(거래처별!$AE$8:$AE$307,$AB583))),거래처별!$A$8:$A$307),0))))</f>
        <v/>
      </c>
      <c r="AD583" s="31">
        <f>IF(AND($Y583&lt;&gt;"",N($Z583)&gt;0,$AC583=0),MAX($AD$7:$AD582)+1,"")</f>
        <v/>
      </c>
      <c r="AE583" s="31">
        <f>IF($Y583="",0,$Y583)</f>
        <v/>
      </c>
    </row>
    <row r="584">
      <c r="W584" s="31">
        <f>IF(OR($B$5="",$C$6="",ROW()&lt;$B$5),"",IF(INDEX($A:$U,ROW(),$C$6)="","",INDEX($A:$U,ROW(),$C$6)))</f>
        <v/>
      </c>
      <c r="X584" s="32">
        <f>IF($W584="","",IF(ISNUMBER($W584),IF($W584&gt;=10000000,IFERROR(DATE(INT($W584/10000),MOD(INT($W584/100),100),MOD($W584,100)),""),INT($W584)),IFERROR(DATE(--LEFT(LEFT(SUBSTITUTE(SUBSTITUTE(SUBSTITUTE(SUBSTITUTE(TRIM($W584),"-",""),".",""),"/","")," ",""),8),4),--MID(LEFT(SUBSTITUTE(SUBSTITUTE(SUBSTITUTE(SUBSTITUTE(TRIM($W584),"-",""),".",""),"/","")," ",""),8),5,2),--MID(LEFT(SUBSTITUTE(SUBSTITUTE(SUBSTITUTE(SUBSTITUTE(TRIM($W584),"-",""),".",""),"/","")," ",""),8),7,2)),"")))</f>
        <v/>
      </c>
      <c r="Y584" s="32">
        <f>IF($X584="","",INT($X584))</f>
        <v/>
      </c>
      <c r="Z584" s="33">
        <f>IF(OR($Y584="",$D$6=""),"",IF(INDEX($A:$U,ROW(),$D$6)="",0,IF(ISNUMBER(INDEX($A:$U,ROW(),$D$6)),INDEX($A:$U,ROW(),$D$6),IFERROR(--SUBSTITUTE(SUBSTITUTE(TRIM(INDEX($A:$U,ROW(),$D$6)),",",""),"원",""),0))))</f>
        <v/>
      </c>
      <c r="AA584" s="31">
        <f>IF($Y584="","",TRIM(INDEX($A:$U,ROW(),$E$6)&amp;IF($F$6="",""," "&amp;INDEX($A:$U,ROW(),$F$6))))</f>
        <v/>
      </c>
      <c r="AB584" s="31">
        <f>IF($AA584="","",SUBSTITUTE(SUBSTITUTE(SUBSTITUTE(SUBSTITUTE(SUBSTITUTE(SUBSTITUTE(SUBSTITUTE(SUBSTITUTE(SUBSTITUTE($AA584," ",""),"　",""),"(주)",""),"（주）",""),"㈜",""),"주식회사",""),"(유)",""),"（유）",""),"유한회사",""))</f>
        <v/>
      </c>
      <c r="AC584" s="31">
        <f>IF(OR($Y584="",N($Z584)&lt;=0,$AB584=""),0,IFERROR(LOOKUP(2,1/((거래처별!$AC$8:$AC$307&lt;&gt;"")*ISNUMBER(SEARCH(거래처별!$AC$8:$AC$307,$AB584))),거래처별!$A$8:$A$307),IFERROR(LOOKUP(2,1/((거래처별!$AD$8:$AD$307&lt;&gt;"")*ISNUMBER(SEARCH(거래처별!$AD$8:$AD$307,$AB584))),거래처별!$A$8:$A$307),IFERROR(LOOKUP(2,1/((거래처별!$AE$8:$AE$307&lt;&gt;"")*ISNUMBER(SEARCH(거래처별!$AE$8:$AE$307,$AB584))),거래처별!$A$8:$A$307),0))))</f>
        <v/>
      </c>
      <c r="AD584" s="31">
        <f>IF(AND($Y584&lt;&gt;"",N($Z584)&gt;0,$AC584=0),MAX($AD$7:$AD583)+1,"")</f>
        <v/>
      </c>
      <c r="AE584" s="31">
        <f>IF($Y584="",0,$Y584)</f>
        <v/>
      </c>
    </row>
    <row r="585">
      <c r="W585" s="31">
        <f>IF(OR($B$5="",$C$6="",ROW()&lt;$B$5),"",IF(INDEX($A:$U,ROW(),$C$6)="","",INDEX($A:$U,ROW(),$C$6)))</f>
        <v/>
      </c>
      <c r="X585" s="32">
        <f>IF($W585="","",IF(ISNUMBER($W585),IF($W585&gt;=10000000,IFERROR(DATE(INT($W585/10000),MOD(INT($W585/100),100),MOD($W585,100)),""),INT($W585)),IFERROR(DATE(--LEFT(LEFT(SUBSTITUTE(SUBSTITUTE(SUBSTITUTE(SUBSTITUTE(TRIM($W585),"-",""),".",""),"/","")," ",""),8),4),--MID(LEFT(SUBSTITUTE(SUBSTITUTE(SUBSTITUTE(SUBSTITUTE(TRIM($W585),"-",""),".",""),"/","")," ",""),8),5,2),--MID(LEFT(SUBSTITUTE(SUBSTITUTE(SUBSTITUTE(SUBSTITUTE(TRIM($W585),"-",""),".",""),"/","")," ",""),8),7,2)),"")))</f>
        <v/>
      </c>
      <c r="Y585" s="32">
        <f>IF($X585="","",INT($X585))</f>
        <v/>
      </c>
      <c r="Z585" s="33">
        <f>IF(OR($Y585="",$D$6=""),"",IF(INDEX($A:$U,ROW(),$D$6)="",0,IF(ISNUMBER(INDEX($A:$U,ROW(),$D$6)),INDEX($A:$U,ROW(),$D$6),IFERROR(--SUBSTITUTE(SUBSTITUTE(TRIM(INDEX($A:$U,ROW(),$D$6)),",",""),"원",""),0))))</f>
        <v/>
      </c>
      <c r="AA585" s="31">
        <f>IF($Y585="","",TRIM(INDEX($A:$U,ROW(),$E$6)&amp;IF($F$6="",""," "&amp;INDEX($A:$U,ROW(),$F$6))))</f>
        <v/>
      </c>
      <c r="AB585" s="31">
        <f>IF($AA585="","",SUBSTITUTE(SUBSTITUTE(SUBSTITUTE(SUBSTITUTE(SUBSTITUTE(SUBSTITUTE(SUBSTITUTE(SUBSTITUTE(SUBSTITUTE($AA585," ",""),"　",""),"(주)",""),"（주）",""),"㈜",""),"주식회사",""),"(유)",""),"（유）",""),"유한회사",""))</f>
        <v/>
      </c>
      <c r="AC585" s="31">
        <f>IF(OR($Y585="",N($Z585)&lt;=0,$AB585=""),0,IFERROR(LOOKUP(2,1/((거래처별!$AC$8:$AC$307&lt;&gt;"")*ISNUMBER(SEARCH(거래처별!$AC$8:$AC$307,$AB585))),거래처별!$A$8:$A$307),IFERROR(LOOKUP(2,1/((거래처별!$AD$8:$AD$307&lt;&gt;"")*ISNUMBER(SEARCH(거래처별!$AD$8:$AD$307,$AB585))),거래처별!$A$8:$A$307),IFERROR(LOOKUP(2,1/((거래처별!$AE$8:$AE$307&lt;&gt;"")*ISNUMBER(SEARCH(거래처별!$AE$8:$AE$307,$AB585))),거래처별!$A$8:$A$307),0))))</f>
        <v/>
      </c>
      <c r="AD585" s="31">
        <f>IF(AND($Y585&lt;&gt;"",N($Z585)&gt;0,$AC585=0),MAX($AD$7:$AD584)+1,"")</f>
        <v/>
      </c>
      <c r="AE585" s="31">
        <f>IF($Y585="",0,$Y585)</f>
        <v/>
      </c>
    </row>
    <row r="586">
      <c r="W586" s="31">
        <f>IF(OR($B$5="",$C$6="",ROW()&lt;$B$5),"",IF(INDEX($A:$U,ROW(),$C$6)="","",INDEX($A:$U,ROW(),$C$6)))</f>
        <v/>
      </c>
      <c r="X586" s="32">
        <f>IF($W586="","",IF(ISNUMBER($W586),IF($W586&gt;=10000000,IFERROR(DATE(INT($W586/10000),MOD(INT($W586/100),100),MOD($W586,100)),""),INT($W586)),IFERROR(DATE(--LEFT(LEFT(SUBSTITUTE(SUBSTITUTE(SUBSTITUTE(SUBSTITUTE(TRIM($W586),"-",""),".",""),"/","")," ",""),8),4),--MID(LEFT(SUBSTITUTE(SUBSTITUTE(SUBSTITUTE(SUBSTITUTE(TRIM($W586),"-",""),".",""),"/","")," ",""),8),5,2),--MID(LEFT(SUBSTITUTE(SUBSTITUTE(SUBSTITUTE(SUBSTITUTE(TRIM($W586),"-",""),".",""),"/","")," ",""),8),7,2)),"")))</f>
        <v/>
      </c>
      <c r="Y586" s="32">
        <f>IF($X586="","",INT($X586))</f>
        <v/>
      </c>
      <c r="Z586" s="33">
        <f>IF(OR($Y586="",$D$6=""),"",IF(INDEX($A:$U,ROW(),$D$6)="",0,IF(ISNUMBER(INDEX($A:$U,ROW(),$D$6)),INDEX($A:$U,ROW(),$D$6),IFERROR(--SUBSTITUTE(SUBSTITUTE(TRIM(INDEX($A:$U,ROW(),$D$6)),",",""),"원",""),0))))</f>
        <v/>
      </c>
      <c r="AA586" s="31">
        <f>IF($Y586="","",TRIM(INDEX($A:$U,ROW(),$E$6)&amp;IF($F$6="",""," "&amp;INDEX($A:$U,ROW(),$F$6))))</f>
        <v/>
      </c>
      <c r="AB586" s="31">
        <f>IF($AA586="","",SUBSTITUTE(SUBSTITUTE(SUBSTITUTE(SUBSTITUTE(SUBSTITUTE(SUBSTITUTE(SUBSTITUTE(SUBSTITUTE(SUBSTITUTE($AA586," ",""),"　",""),"(주)",""),"（주）",""),"㈜",""),"주식회사",""),"(유)",""),"（유）",""),"유한회사",""))</f>
        <v/>
      </c>
      <c r="AC586" s="31">
        <f>IF(OR($Y586="",N($Z586)&lt;=0,$AB586=""),0,IFERROR(LOOKUP(2,1/((거래처별!$AC$8:$AC$307&lt;&gt;"")*ISNUMBER(SEARCH(거래처별!$AC$8:$AC$307,$AB586))),거래처별!$A$8:$A$307),IFERROR(LOOKUP(2,1/((거래처별!$AD$8:$AD$307&lt;&gt;"")*ISNUMBER(SEARCH(거래처별!$AD$8:$AD$307,$AB586))),거래처별!$A$8:$A$307),IFERROR(LOOKUP(2,1/((거래처별!$AE$8:$AE$307&lt;&gt;"")*ISNUMBER(SEARCH(거래처별!$AE$8:$AE$307,$AB586))),거래처별!$A$8:$A$307),0))))</f>
        <v/>
      </c>
      <c r="AD586" s="31">
        <f>IF(AND($Y586&lt;&gt;"",N($Z586)&gt;0,$AC586=0),MAX($AD$7:$AD585)+1,"")</f>
        <v/>
      </c>
      <c r="AE586" s="31">
        <f>IF($Y586="",0,$Y586)</f>
        <v/>
      </c>
    </row>
    <row r="587">
      <c r="W587" s="31">
        <f>IF(OR($B$5="",$C$6="",ROW()&lt;$B$5),"",IF(INDEX($A:$U,ROW(),$C$6)="","",INDEX($A:$U,ROW(),$C$6)))</f>
        <v/>
      </c>
      <c r="X587" s="32">
        <f>IF($W587="","",IF(ISNUMBER($W587),IF($W587&gt;=10000000,IFERROR(DATE(INT($W587/10000),MOD(INT($W587/100),100),MOD($W587,100)),""),INT($W587)),IFERROR(DATE(--LEFT(LEFT(SUBSTITUTE(SUBSTITUTE(SUBSTITUTE(SUBSTITUTE(TRIM($W587),"-",""),".",""),"/","")," ",""),8),4),--MID(LEFT(SUBSTITUTE(SUBSTITUTE(SUBSTITUTE(SUBSTITUTE(TRIM($W587),"-",""),".",""),"/","")," ",""),8),5,2),--MID(LEFT(SUBSTITUTE(SUBSTITUTE(SUBSTITUTE(SUBSTITUTE(TRIM($W587),"-",""),".",""),"/","")," ",""),8),7,2)),"")))</f>
        <v/>
      </c>
      <c r="Y587" s="32">
        <f>IF($X587="","",INT($X587))</f>
        <v/>
      </c>
      <c r="Z587" s="33">
        <f>IF(OR($Y587="",$D$6=""),"",IF(INDEX($A:$U,ROW(),$D$6)="",0,IF(ISNUMBER(INDEX($A:$U,ROW(),$D$6)),INDEX($A:$U,ROW(),$D$6),IFERROR(--SUBSTITUTE(SUBSTITUTE(TRIM(INDEX($A:$U,ROW(),$D$6)),",",""),"원",""),0))))</f>
        <v/>
      </c>
      <c r="AA587" s="31">
        <f>IF($Y587="","",TRIM(INDEX($A:$U,ROW(),$E$6)&amp;IF($F$6="",""," "&amp;INDEX($A:$U,ROW(),$F$6))))</f>
        <v/>
      </c>
      <c r="AB587" s="31">
        <f>IF($AA587="","",SUBSTITUTE(SUBSTITUTE(SUBSTITUTE(SUBSTITUTE(SUBSTITUTE(SUBSTITUTE(SUBSTITUTE(SUBSTITUTE(SUBSTITUTE($AA587," ",""),"　",""),"(주)",""),"（주）",""),"㈜",""),"주식회사",""),"(유)",""),"（유）",""),"유한회사",""))</f>
        <v/>
      </c>
      <c r="AC587" s="31">
        <f>IF(OR($Y587="",N($Z587)&lt;=0,$AB587=""),0,IFERROR(LOOKUP(2,1/((거래처별!$AC$8:$AC$307&lt;&gt;"")*ISNUMBER(SEARCH(거래처별!$AC$8:$AC$307,$AB587))),거래처별!$A$8:$A$307),IFERROR(LOOKUP(2,1/((거래처별!$AD$8:$AD$307&lt;&gt;"")*ISNUMBER(SEARCH(거래처별!$AD$8:$AD$307,$AB587))),거래처별!$A$8:$A$307),IFERROR(LOOKUP(2,1/((거래처별!$AE$8:$AE$307&lt;&gt;"")*ISNUMBER(SEARCH(거래처별!$AE$8:$AE$307,$AB587))),거래처별!$A$8:$A$307),0))))</f>
        <v/>
      </c>
      <c r="AD587" s="31">
        <f>IF(AND($Y587&lt;&gt;"",N($Z587)&gt;0,$AC587=0),MAX($AD$7:$AD586)+1,"")</f>
        <v/>
      </c>
      <c r="AE587" s="31">
        <f>IF($Y587="",0,$Y587)</f>
        <v/>
      </c>
    </row>
    <row r="588">
      <c r="W588" s="31">
        <f>IF(OR($B$5="",$C$6="",ROW()&lt;$B$5),"",IF(INDEX($A:$U,ROW(),$C$6)="","",INDEX($A:$U,ROW(),$C$6)))</f>
        <v/>
      </c>
      <c r="X588" s="32">
        <f>IF($W588="","",IF(ISNUMBER($W588),IF($W588&gt;=10000000,IFERROR(DATE(INT($W588/10000),MOD(INT($W588/100),100),MOD($W588,100)),""),INT($W588)),IFERROR(DATE(--LEFT(LEFT(SUBSTITUTE(SUBSTITUTE(SUBSTITUTE(SUBSTITUTE(TRIM($W588),"-",""),".",""),"/","")," ",""),8),4),--MID(LEFT(SUBSTITUTE(SUBSTITUTE(SUBSTITUTE(SUBSTITUTE(TRIM($W588),"-",""),".",""),"/","")," ",""),8),5,2),--MID(LEFT(SUBSTITUTE(SUBSTITUTE(SUBSTITUTE(SUBSTITUTE(TRIM($W588),"-",""),".",""),"/","")," ",""),8),7,2)),"")))</f>
        <v/>
      </c>
      <c r="Y588" s="32">
        <f>IF($X588="","",INT($X588))</f>
        <v/>
      </c>
      <c r="Z588" s="33">
        <f>IF(OR($Y588="",$D$6=""),"",IF(INDEX($A:$U,ROW(),$D$6)="",0,IF(ISNUMBER(INDEX($A:$U,ROW(),$D$6)),INDEX($A:$U,ROW(),$D$6),IFERROR(--SUBSTITUTE(SUBSTITUTE(TRIM(INDEX($A:$U,ROW(),$D$6)),",",""),"원",""),0))))</f>
        <v/>
      </c>
      <c r="AA588" s="31">
        <f>IF($Y588="","",TRIM(INDEX($A:$U,ROW(),$E$6)&amp;IF($F$6="",""," "&amp;INDEX($A:$U,ROW(),$F$6))))</f>
        <v/>
      </c>
      <c r="AB588" s="31">
        <f>IF($AA588="","",SUBSTITUTE(SUBSTITUTE(SUBSTITUTE(SUBSTITUTE(SUBSTITUTE(SUBSTITUTE(SUBSTITUTE(SUBSTITUTE(SUBSTITUTE($AA588," ",""),"　",""),"(주)",""),"（주）",""),"㈜",""),"주식회사",""),"(유)",""),"（유）",""),"유한회사",""))</f>
        <v/>
      </c>
      <c r="AC588" s="31">
        <f>IF(OR($Y588="",N($Z588)&lt;=0,$AB588=""),0,IFERROR(LOOKUP(2,1/((거래처별!$AC$8:$AC$307&lt;&gt;"")*ISNUMBER(SEARCH(거래처별!$AC$8:$AC$307,$AB588))),거래처별!$A$8:$A$307),IFERROR(LOOKUP(2,1/((거래처별!$AD$8:$AD$307&lt;&gt;"")*ISNUMBER(SEARCH(거래처별!$AD$8:$AD$307,$AB588))),거래처별!$A$8:$A$307),IFERROR(LOOKUP(2,1/((거래처별!$AE$8:$AE$307&lt;&gt;"")*ISNUMBER(SEARCH(거래처별!$AE$8:$AE$307,$AB588))),거래처별!$A$8:$A$307),0))))</f>
        <v/>
      </c>
      <c r="AD588" s="31">
        <f>IF(AND($Y588&lt;&gt;"",N($Z588)&gt;0,$AC588=0),MAX($AD$7:$AD587)+1,"")</f>
        <v/>
      </c>
      <c r="AE588" s="31">
        <f>IF($Y588="",0,$Y588)</f>
        <v/>
      </c>
    </row>
    <row r="589">
      <c r="W589" s="31">
        <f>IF(OR($B$5="",$C$6="",ROW()&lt;$B$5),"",IF(INDEX($A:$U,ROW(),$C$6)="","",INDEX($A:$U,ROW(),$C$6)))</f>
        <v/>
      </c>
      <c r="X589" s="32">
        <f>IF($W589="","",IF(ISNUMBER($W589),IF($W589&gt;=10000000,IFERROR(DATE(INT($W589/10000),MOD(INT($W589/100),100),MOD($W589,100)),""),INT($W589)),IFERROR(DATE(--LEFT(LEFT(SUBSTITUTE(SUBSTITUTE(SUBSTITUTE(SUBSTITUTE(TRIM($W589),"-",""),".",""),"/","")," ",""),8),4),--MID(LEFT(SUBSTITUTE(SUBSTITUTE(SUBSTITUTE(SUBSTITUTE(TRIM($W589),"-",""),".",""),"/","")," ",""),8),5,2),--MID(LEFT(SUBSTITUTE(SUBSTITUTE(SUBSTITUTE(SUBSTITUTE(TRIM($W589),"-",""),".",""),"/","")," ",""),8),7,2)),"")))</f>
        <v/>
      </c>
      <c r="Y589" s="32">
        <f>IF($X589="","",INT($X589))</f>
        <v/>
      </c>
      <c r="Z589" s="33">
        <f>IF(OR($Y589="",$D$6=""),"",IF(INDEX($A:$U,ROW(),$D$6)="",0,IF(ISNUMBER(INDEX($A:$U,ROW(),$D$6)),INDEX($A:$U,ROW(),$D$6),IFERROR(--SUBSTITUTE(SUBSTITUTE(TRIM(INDEX($A:$U,ROW(),$D$6)),",",""),"원",""),0))))</f>
        <v/>
      </c>
      <c r="AA589" s="31">
        <f>IF($Y589="","",TRIM(INDEX($A:$U,ROW(),$E$6)&amp;IF($F$6="",""," "&amp;INDEX($A:$U,ROW(),$F$6))))</f>
        <v/>
      </c>
      <c r="AB589" s="31">
        <f>IF($AA589="","",SUBSTITUTE(SUBSTITUTE(SUBSTITUTE(SUBSTITUTE(SUBSTITUTE(SUBSTITUTE(SUBSTITUTE(SUBSTITUTE(SUBSTITUTE($AA589," ",""),"　",""),"(주)",""),"（주）",""),"㈜",""),"주식회사",""),"(유)",""),"（유）",""),"유한회사",""))</f>
        <v/>
      </c>
      <c r="AC589" s="31">
        <f>IF(OR($Y589="",N($Z589)&lt;=0,$AB589=""),0,IFERROR(LOOKUP(2,1/((거래처별!$AC$8:$AC$307&lt;&gt;"")*ISNUMBER(SEARCH(거래처별!$AC$8:$AC$307,$AB589))),거래처별!$A$8:$A$307),IFERROR(LOOKUP(2,1/((거래처별!$AD$8:$AD$307&lt;&gt;"")*ISNUMBER(SEARCH(거래처별!$AD$8:$AD$307,$AB589))),거래처별!$A$8:$A$307),IFERROR(LOOKUP(2,1/((거래처별!$AE$8:$AE$307&lt;&gt;"")*ISNUMBER(SEARCH(거래처별!$AE$8:$AE$307,$AB589))),거래처별!$A$8:$A$307),0))))</f>
        <v/>
      </c>
      <c r="AD589" s="31">
        <f>IF(AND($Y589&lt;&gt;"",N($Z589)&gt;0,$AC589=0),MAX($AD$7:$AD588)+1,"")</f>
        <v/>
      </c>
      <c r="AE589" s="31">
        <f>IF($Y589="",0,$Y589)</f>
        <v/>
      </c>
    </row>
    <row r="590">
      <c r="W590" s="31">
        <f>IF(OR($B$5="",$C$6="",ROW()&lt;$B$5),"",IF(INDEX($A:$U,ROW(),$C$6)="","",INDEX($A:$U,ROW(),$C$6)))</f>
        <v/>
      </c>
      <c r="X590" s="32">
        <f>IF($W590="","",IF(ISNUMBER($W590),IF($W590&gt;=10000000,IFERROR(DATE(INT($W590/10000),MOD(INT($W590/100),100),MOD($W590,100)),""),INT($W590)),IFERROR(DATE(--LEFT(LEFT(SUBSTITUTE(SUBSTITUTE(SUBSTITUTE(SUBSTITUTE(TRIM($W590),"-",""),".",""),"/","")," ",""),8),4),--MID(LEFT(SUBSTITUTE(SUBSTITUTE(SUBSTITUTE(SUBSTITUTE(TRIM($W590),"-",""),".",""),"/","")," ",""),8),5,2),--MID(LEFT(SUBSTITUTE(SUBSTITUTE(SUBSTITUTE(SUBSTITUTE(TRIM($W590),"-",""),".",""),"/","")," ",""),8),7,2)),"")))</f>
        <v/>
      </c>
      <c r="Y590" s="32">
        <f>IF($X590="","",INT($X590))</f>
        <v/>
      </c>
      <c r="Z590" s="33">
        <f>IF(OR($Y590="",$D$6=""),"",IF(INDEX($A:$U,ROW(),$D$6)="",0,IF(ISNUMBER(INDEX($A:$U,ROW(),$D$6)),INDEX($A:$U,ROW(),$D$6),IFERROR(--SUBSTITUTE(SUBSTITUTE(TRIM(INDEX($A:$U,ROW(),$D$6)),",",""),"원",""),0))))</f>
        <v/>
      </c>
      <c r="AA590" s="31">
        <f>IF($Y590="","",TRIM(INDEX($A:$U,ROW(),$E$6)&amp;IF($F$6="",""," "&amp;INDEX($A:$U,ROW(),$F$6))))</f>
        <v/>
      </c>
      <c r="AB590" s="31">
        <f>IF($AA590="","",SUBSTITUTE(SUBSTITUTE(SUBSTITUTE(SUBSTITUTE(SUBSTITUTE(SUBSTITUTE(SUBSTITUTE(SUBSTITUTE(SUBSTITUTE($AA590," ",""),"　",""),"(주)",""),"（주）",""),"㈜",""),"주식회사",""),"(유)",""),"（유）",""),"유한회사",""))</f>
        <v/>
      </c>
      <c r="AC590" s="31">
        <f>IF(OR($Y590="",N($Z590)&lt;=0,$AB590=""),0,IFERROR(LOOKUP(2,1/((거래처별!$AC$8:$AC$307&lt;&gt;"")*ISNUMBER(SEARCH(거래처별!$AC$8:$AC$307,$AB590))),거래처별!$A$8:$A$307),IFERROR(LOOKUP(2,1/((거래처별!$AD$8:$AD$307&lt;&gt;"")*ISNUMBER(SEARCH(거래처별!$AD$8:$AD$307,$AB590))),거래처별!$A$8:$A$307),IFERROR(LOOKUP(2,1/((거래처별!$AE$8:$AE$307&lt;&gt;"")*ISNUMBER(SEARCH(거래처별!$AE$8:$AE$307,$AB590))),거래처별!$A$8:$A$307),0))))</f>
        <v/>
      </c>
      <c r="AD590" s="31">
        <f>IF(AND($Y590&lt;&gt;"",N($Z590)&gt;0,$AC590=0),MAX($AD$7:$AD589)+1,"")</f>
        <v/>
      </c>
      <c r="AE590" s="31">
        <f>IF($Y590="",0,$Y590)</f>
        <v/>
      </c>
    </row>
    <row r="591">
      <c r="W591" s="31">
        <f>IF(OR($B$5="",$C$6="",ROW()&lt;$B$5),"",IF(INDEX($A:$U,ROW(),$C$6)="","",INDEX($A:$U,ROW(),$C$6)))</f>
        <v/>
      </c>
      <c r="X591" s="32">
        <f>IF($W591="","",IF(ISNUMBER($W591),IF($W591&gt;=10000000,IFERROR(DATE(INT($W591/10000),MOD(INT($W591/100),100),MOD($W591,100)),""),INT($W591)),IFERROR(DATE(--LEFT(LEFT(SUBSTITUTE(SUBSTITUTE(SUBSTITUTE(SUBSTITUTE(TRIM($W591),"-",""),".",""),"/","")," ",""),8),4),--MID(LEFT(SUBSTITUTE(SUBSTITUTE(SUBSTITUTE(SUBSTITUTE(TRIM($W591),"-",""),".",""),"/","")," ",""),8),5,2),--MID(LEFT(SUBSTITUTE(SUBSTITUTE(SUBSTITUTE(SUBSTITUTE(TRIM($W591),"-",""),".",""),"/","")," ",""),8),7,2)),"")))</f>
        <v/>
      </c>
      <c r="Y591" s="32">
        <f>IF($X591="","",INT($X591))</f>
        <v/>
      </c>
      <c r="Z591" s="33">
        <f>IF(OR($Y591="",$D$6=""),"",IF(INDEX($A:$U,ROW(),$D$6)="",0,IF(ISNUMBER(INDEX($A:$U,ROW(),$D$6)),INDEX($A:$U,ROW(),$D$6),IFERROR(--SUBSTITUTE(SUBSTITUTE(TRIM(INDEX($A:$U,ROW(),$D$6)),",",""),"원",""),0))))</f>
        <v/>
      </c>
      <c r="AA591" s="31">
        <f>IF($Y591="","",TRIM(INDEX($A:$U,ROW(),$E$6)&amp;IF($F$6="",""," "&amp;INDEX($A:$U,ROW(),$F$6))))</f>
        <v/>
      </c>
      <c r="AB591" s="31">
        <f>IF($AA591="","",SUBSTITUTE(SUBSTITUTE(SUBSTITUTE(SUBSTITUTE(SUBSTITUTE(SUBSTITUTE(SUBSTITUTE(SUBSTITUTE(SUBSTITUTE($AA591," ",""),"　",""),"(주)",""),"（주）",""),"㈜",""),"주식회사",""),"(유)",""),"（유）",""),"유한회사",""))</f>
        <v/>
      </c>
      <c r="AC591" s="31">
        <f>IF(OR($Y591="",N($Z591)&lt;=0,$AB591=""),0,IFERROR(LOOKUP(2,1/((거래처별!$AC$8:$AC$307&lt;&gt;"")*ISNUMBER(SEARCH(거래처별!$AC$8:$AC$307,$AB591))),거래처별!$A$8:$A$307),IFERROR(LOOKUP(2,1/((거래처별!$AD$8:$AD$307&lt;&gt;"")*ISNUMBER(SEARCH(거래처별!$AD$8:$AD$307,$AB591))),거래처별!$A$8:$A$307),IFERROR(LOOKUP(2,1/((거래처별!$AE$8:$AE$307&lt;&gt;"")*ISNUMBER(SEARCH(거래처별!$AE$8:$AE$307,$AB591))),거래처별!$A$8:$A$307),0))))</f>
        <v/>
      </c>
      <c r="AD591" s="31">
        <f>IF(AND($Y591&lt;&gt;"",N($Z591)&gt;0,$AC591=0),MAX($AD$7:$AD590)+1,"")</f>
        <v/>
      </c>
      <c r="AE591" s="31">
        <f>IF($Y591="",0,$Y591)</f>
        <v/>
      </c>
    </row>
    <row r="592">
      <c r="W592" s="31">
        <f>IF(OR($B$5="",$C$6="",ROW()&lt;$B$5),"",IF(INDEX($A:$U,ROW(),$C$6)="","",INDEX($A:$U,ROW(),$C$6)))</f>
        <v/>
      </c>
      <c r="X592" s="32">
        <f>IF($W592="","",IF(ISNUMBER($W592),IF($W592&gt;=10000000,IFERROR(DATE(INT($W592/10000),MOD(INT($W592/100),100),MOD($W592,100)),""),INT($W592)),IFERROR(DATE(--LEFT(LEFT(SUBSTITUTE(SUBSTITUTE(SUBSTITUTE(SUBSTITUTE(TRIM($W592),"-",""),".",""),"/","")," ",""),8),4),--MID(LEFT(SUBSTITUTE(SUBSTITUTE(SUBSTITUTE(SUBSTITUTE(TRIM($W592),"-",""),".",""),"/","")," ",""),8),5,2),--MID(LEFT(SUBSTITUTE(SUBSTITUTE(SUBSTITUTE(SUBSTITUTE(TRIM($W592),"-",""),".",""),"/","")," ",""),8),7,2)),"")))</f>
        <v/>
      </c>
      <c r="Y592" s="32">
        <f>IF($X592="","",INT($X592))</f>
        <v/>
      </c>
      <c r="Z592" s="33">
        <f>IF(OR($Y592="",$D$6=""),"",IF(INDEX($A:$U,ROW(),$D$6)="",0,IF(ISNUMBER(INDEX($A:$U,ROW(),$D$6)),INDEX($A:$U,ROW(),$D$6),IFERROR(--SUBSTITUTE(SUBSTITUTE(TRIM(INDEX($A:$U,ROW(),$D$6)),",",""),"원",""),0))))</f>
        <v/>
      </c>
      <c r="AA592" s="31">
        <f>IF($Y592="","",TRIM(INDEX($A:$U,ROW(),$E$6)&amp;IF($F$6="",""," "&amp;INDEX($A:$U,ROW(),$F$6))))</f>
        <v/>
      </c>
      <c r="AB592" s="31">
        <f>IF($AA592="","",SUBSTITUTE(SUBSTITUTE(SUBSTITUTE(SUBSTITUTE(SUBSTITUTE(SUBSTITUTE(SUBSTITUTE(SUBSTITUTE(SUBSTITUTE($AA592," ",""),"　",""),"(주)",""),"（주）",""),"㈜",""),"주식회사",""),"(유)",""),"（유）",""),"유한회사",""))</f>
        <v/>
      </c>
      <c r="AC592" s="31">
        <f>IF(OR($Y592="",N($Z592)&lt;=0,$AB592=""),0,IFERROR(LOOKUP(2,1/((거래처별!$AC$8:$AC$307&lt;&gt;"")*ISNUMBER(SEARCH(거래처별!$AC$8:$AC$307,$AB592))),거래처별!$A$8:$A$307),IFERROR(LOOKUP(2,1/((거래처별!$AD$8:$AD$307&lt;&gt;"")*ISNUMBER(SEARCH(거래처별!$AD$8:$AD$307,$AB592))),거래처별!$A$8:$A$307),IFERROR(LOOKUP(2,1/((거래처별!$AE$8:$AE$307&lt;&gt;"")*ISNUMBER(SEARCH(거래처별!$AE$8:$AE$307,$AB592))),거래처별!$A$8:$A$307),0))))</f>
        <v/>
      </c>
      <c r="AD592" s="31">
        <f>IF(AND($Y592&lt;&gt;"",N($Z592)&gt;0,$AC592=0),MAX($AD$7:$AD591)+1,"")</f>
        <v/>
      </c>
      <c r="AE592" s="31">
        <f>IF($Y592="",0,$Y592)</f>
        <v/>
      </c>
    </row>
    <row r="593">
      <c r="W593" s="31">
        <f>IF(OR($B$5="",$C$6="",ROW()&lt;$B$5),"",IF(INDEX($A:$U,ROW(),$C$6)="","",INDEX($A:$U,ROW(),$C$6)))</f>
        <v/>
      </c>
      <c r="X593" s="32">
        <f>IF($W593="","",IF(ISNUMBER($W593),IF($W593&gt;=10000000,IFERROR(DATE(INT($W593/10000),MOD(INT($W593/100),100),MOD($W593,100)),""),INT($W593)),IFERROR(DATE(--LEFT(LEFT(SUBSTITUTE(SUBSTITUTE(SUBSTITUTE(SUBSTITUTE(TRIM($W593),"-",""),".",""),"/","")," ",""),8),4),--MID(LEFT(SUBSTITUTE(SUBSTITUTE(SUBSTITUTE(SUBSTITUTE(TRIM($W593),"-",""),".",""),"/","")," ",""),8),5,2),--MID(LEFT(SUBSTITUTE(SUBSTITUTE(SUBSTITUTE(SUBSTITUTE(TRIM($W593),"-",""),".",""),"/","")," ",""),8),7,2)),"")))</f>
        <v/>
      </c>
      <c r="Y593" s="32">
        <f>IF($X593="","",INT($X593))</f>
        <v/>
      </c>
      <c r="Z593" s="33">
        <f>IF(OR($Y593="",$D$6=""),"",IF(INDEX($A:$U,ROW(),$D$6)="",0,IF(ISNUMBER(INDEX($A:$U,ROW(),$D$6)),INDEX($A:$U,ROW(),$D$6),IFERROR(--SUBSTITUTE(SUBSTITUTE(TRIM(INDEX($A:$U,ROW(),$D$6)),",",""),"원",""),0))))</f>
        <v/>
      </c>
      <c r="AA593" s="31">
        <f>IF($Y593="","",TRIM(INDEX($A:$U,ROW(),$E$6)&amp;IF($F$6="",""," "&amp;INDEX($A:$U,ROW(),$F$6))))</f>
        <v/>
      </c>
      <c r="AB593" s="31">
        <f>IF($AA593="","",SUBSTITUTE(SUBSTITUTE(SUBSTITUTE(SUBSTITUTE(SUBSTITUTE(SUBSTITUTE(SUBSTITUTE(SUBSTITUTE(SUBSTITUTE($AA593," ",""),"　",""),"(주)",""),"（주）",""),"㈜",""),"주식회사",""),"(유)",""),"（유）",""),"유한회사",""))</f>
        <v/>
      </c>
      <c r="AC593" s="31">
        <f>IF(OR($Y593="",N($Z593)&lt;=0,$AB593=""),0,IFERROR(LOOKUP(2,1/((거래처별!$AC$8:$AC$307&lt;&gt;"")*ISNUMBER(SEARCH(거래처별!$AC$8:$AC$307,$AB593))),거래처별!$A$8:$A$307),IFERROR(LOOKUP(2,1/((거래처별!$AD$8:$AD$307&lt;&gt;"")*ISNUMBER(SEARCH(거래처별!$AD$8:$AD$307,$AB593))),거래처별!$A$8:$A$307),IFERROR(LOOKUP(2,1/((거래처별!$AE$8:$AE$307&lt;&gt;"")*ISNUMBER(SEARCH(거래처별!$AE$8:$AE$307,$AB593))),거래처별!$A$8:$A$307),0))))</f>
        <v/>
      </c>
      <c r="AD593" s="31">
        <f>IF(AND($Y593&lt;&gt;"",N($Z593)&gt;0,$AC593=0),MAX($AD$7:$AD592)+1,"")</f>
        <v/>
      </c>
      <c r="AE593" s="31">
        <f>IF($Y593="",0,$Y593)</f>
        <v/>
      </c>
    </row>
    <row r="594">
      <c r="W594" s="31">
        <f>IF(OR($B$5="",$C$6="",ROW()&lt;$B$5),"",IF(INDEX($A:$U,ROW(),$C$6)="","",INDEX($A:$U,ROW(),$C$6)))</f>
        <v/>
      </c>
      <c r="X594" s="32">
        <f>IF($W594="","",IF(ISNUMBER($W594),IF($W594&gt;=10000000,IFERROR(DATE(INT($W594/10000),MOD(INT($W594/100),100),MOD($W594,100)),""),INT($W594)),IFERROR(DATE(--LEFT(LEFT(SUBSTITUTE(SUBSTITUTE(SUBSTITUTE(SUBSTITUTE(TRIM($W594),"-",""),".",""),"/","")," ",""),8),4),--MID(LEFT(SUBSTITUTE(SUBSTITUTE(SUBSTITUTE(SUBSTITUTE(TRIM($W594),"-",""),".",""),"/","")," ",""),8),5,2),--MID(LEFT(SUBSTITUTE(SUBSTITUTE(SUBSTITUTE(SUBSTITUTE(TRIM($W594),"-",""),".",""),"/","")," ",""),8),7,2)),"")))</f>
        <v/>
      </c>
      <c r="Y594" s="32">
        <f>IF($X594="","",INT($X594))</f>
        <v/>
      </c>
      <c r="Z594" s="33">
        <f>IF(OR($Y594="",$D$6=""),"",IF(INDEX($A:$U,ROW(),$D$6)="",0,IF(ISNUMBER(INDEX($A:$U,ROW(),$D$6)),INDEX($A:$U,ROW(),$D$6),IFERROR(--SUBSTITUTE(SUBSTITUTE(TRIM(INDEX($A:$U,ROW(),$D$6)),",",""),"원",""),0))))</f>
        <v/>
      </c>
      <c r="AA594" s="31">
        <f>IF($Y594="","",TRIM(INDEX($A:$U,ROW(),$E$6)&amp;IF($F$6="",""," "&amp;INDEX($A:$U,ROW(),$F$6))))</f>
        <v/>
      </c>
      <c r="AB594" s="31">
        <f>IF($AA594="","",SUBSTITUTE(SUBSTITUTE(SUBSTITUTE(SUBSTITUTE(SUBSTITUTE(SUBSTITUTE(SUBSTITUTE(SUBSTITUTE(SUBSTITUTE($AA594," ",""),"　",""),"(주)",""),"（주）",""),"㈜",""),"주식회사",""),"(유)",""),"（유）",""),"유한회사",""))</f>
        <v/>
      </c>
      <c r="AC594" s="31">
        <f>IF(OR($Y594="",N($Z594)&lt;=0,$AB594=""),0,IFERROR(LOOKUP(2,1/((거래처별!$AC$8:$AC$307&lt;&gt;"")*ISNUMBER(SEARCH(거래처별!$AC$8:$AC$307,$AB594))),거래처별!$A$8:$A$307),IFERROR(LOOKUP(2,1/((거래처별!$AD$8:$AD$307&lt;&gt;"")*ISNUMBER(SEARCH(거래처별!$AD$8:$AD$307,$AB594))),거래처별!$A$8:$A$307),IFERROR(LOOKUP(2,1/((거래처별!$AE$8:$AE$307&lt;&gt;"")*ISNUMBER(SEARCH(거래처별!$AE$8:$AE$307,$AB594))),거래처별!$A$8:$A$307),0))))</f>
        <v/>
      </c>
      <c r="AD594" s="31">
        <f>IF(AND($Y594&lt;&gt;"",N($Z594)&gt;0,$AC594=0),MAX($AD$7:$AD593)+1,"")</f>
        <v/>
      </c>
      <c r="AE594" s="31">
        <f>IF($Y594="",0,$Y594)</f>
        <v/>
      </c>
    </row>
    <row r="595">
      <c r="W595" s="31">
        <f>IF(OR($B$5="",$C$6="",ROW()&lt;$B$5),"",IF(INDEX($A:$U,ROW(),$C$6)="","",INDEX($A:$U,ROW(),$C$6)))</f>
        <v/>
      </c>
      <c r="X595" s="32">
        <f>IF($W595="","",IF(ISNUMBER($W595),IF($W595&gt;=10000000,IFERROR(DATE(INT($W595/10000),MOD(INT($W595/100),100),MOD($W595,100)),""),INT($W595)),IFERROR(DATE(--LEFT(LEFT(SUBSTITUTE(SUBSTITUTE(SUBSTITUTE(SUBSTITUTE(TRIM($W595),"-",""),".",""),"/","")," ",""),8),4),--MID(LEFT(SUBSTITUTE(SUBSTITUTE(SUBSTITUTE(SUBSTITUTE(TRIM($W595),"-",""),".",""),"/","")," ",""),8),5,2),--MID(LEFT(SUBSTITUTE(SUBSTITUTE(SUBSTITUTE(SUBSTITUTE(TRIM($W595),"-",""),".",""),"/","")," ",""),8),7,2)),"")))</f>
        <v/>
      </c>
      <c r="Y595" s="32">
        <f>IF($X595="","",INT($X595))</f>
        <v/>
      </c>
      <c r="Z595" s="33">
        <f>IF(OR($Y595="",$D$6=""),"",IF(INDEX($A:$U,ROW(),$D$6)="",0,IF(ISNUMBER(INDEX($A:$U,ROW(),$D$6)),INDEX($A:$U,ROW(),$D$6),IFERROR(--SUBSTITUTE(SUBSTITUTE(TRIM(INDEX($A:$U,ROW(),$D$6)),",",""),"원",""),0))))</f>
        <v/>
      </c>
      <c r="AA595" s="31">
        <f>IF($Y595="","",TRIM(INDEX($A:$U,ROW(),$E$6)&amp;IF($F$6="",""," "&amp;INDEX($A:$U,ROW(),$F$6))))</f>
        <v/>
      </c>
      <c r="AB595" s="31">
        <f>IF($AA595="","",SUBSTITUTE(SUBSTITUTE(SUBSTITUTE(SUBSTITUTE(SUBSTITUTE(SUBSTITUTE(SUBSTITUTE(SUBSTITUTE(SUBSTITUTE($AA595," ",""),"　",""),"(주)",""),"（주）",""),"㈜",""),"주식회사",""),"(유)",""),"（유）",""),"유한회사",""))</f>
        <v/>
      </c>
      <c r="AC595" s="31">
        <f>IF(OR($Y595="",N($Z595)&lt;=0,$AB595=""),0,IFERROR(LOOKUP(2,1/((거래처별!$AC$8:$AC$307&lt;&gt;"")*ISNUMBER(SEARCH(거래처별!$AC$8:$AC$307,$AB595))),거래처별!$A$8:$A$307),IFERROR(LOOKUP(2,1/((거래처별!$AD$8:$AD$307&lt;&gt;"")*ISNUMBER(SEARCH(거래처별!$AD$8:$AD$307,$AB595))),거래처별!$A$8:$A$307),IFERROR(LOOKUP(2,1/((거래처별!$AE$8:$AE$307&lt;&gt;"")*ISNUMBER(SEARCH(거래처별!$AE$8:$AE$307,$AB595))),거래처별!$A$8:$A$307),0))))</f>
        <v/>
      </c>
      <c r="AD595" s="31">
        <f>IF(AND($Y595&lt;&gt;"",N($Z595)&gt;0,$AC595=0),MAX($AD$7:$AD594)+1,"")</f>
        <v/>
      </c>
      <c r="AE595" s="31">
        <f>IF($Y595="",0,$Y595)</f>
        <v/>
      </c>
    </row>
    <row r="596">
      <c r="W596" s="31">
        <f>IF(OR($B$5="",$C$6="",ROW()&lt;$B$5),"",IF(INDEX($A:$U,ROW(),$C$6)="","",INDEX($A:$U,ROW(),$C$6)))</f>
        <v/>
      </c>
      <c r="X596" s="32">
        <f>IF($W596="","",IF(ISNUMBER($W596),IF($W596&gt;=10000000,IFERROR(DATE(INT($W596/10000),MOD(INT($W596/100),100),MOD($W596,100)),""),INT($W596)),IFERROR(DATE(--LEFT(LEFT(SUBSTITUTE(SUBSTITUTE(SUBSTITUTE(SUBSTITUTE(TRIM($W596),"-",""),".",""),"/","")," ",""),8),4),--MID(LEFT(SUBSTITUTE(SUBSTITUTE(SUBSTITUTE(SUBSTITUTE(TRIM($W596),"-",""),".",""),"/","")," ",""),8),5,2),--MID(LEFT(SUBSTITUTE(SUBSTITUTE(SUBSTITUTE(SUBSTITUTE(TRIM($W596),"-",""),".",""),"/","")," ",""),8),7,2)),"")))</f>
        <v/>
      </c>
      <c r="Y596" s="32">
        <f>IF($X596="","",INT($X596))</f>
        <v/>
      </c>
      <c r="Z596" s="33">
        <f>IF(OR($Y596="",$D$6=""),"",IF(INDEX($A:$U,ROW(),$D$6)="",0,IF(ISNUMBER(INDEX($A:$U,ROW(),$D$6)),INDEX($A:$U,ROW(),$D$6),IFERROR(--SUBSTITUTE(SUBSTITUTE(TRIM(INDEX($A:$U,ROW(),$D$6)),",",""),"원",""),0))))</f>
        <v/>
      </c>
      <c r="AA596" s="31">
        <f>IF($Y596="","",TRIM(INDEX($A:$U,ROW(),$E$6)&amp;IF($F$6="",""," "&amp;INDEX($A:$U,ROW(),$F$6))))</f>
        <v/>
      </c>
      <c r="AB596" s="31">
        <f>IF($AA596="","",SUBSTITUTE(SUBSTITUTE(SUBSTITUTE(SUBSTITUTE(SUBSTITUTE(SUBSTITUTE(SUBSTITUTE(SUBSTITUTE(SUBSTITUTE($AA596," ",""),"　",""),"(주)",""),"（주）",""),"㈜",""),"주식회사",""),"(유)",""),"（유）",""),"유한회사",""))</f>
        <v/>
      </c>
      <c r="AC596" s="31">
        <f>IF(OR($Y596="",N($Z596)&lt;=0,$AB596=""),0,IFERROR(LOOKUP(2,1/((거래처별!$AC$8:$AC$307&lt;&gt;"")*ISNUMBER(SEARCH(거래처별!$AC$8:$AC$307,$AB596))),거래처별!$A$8:$A$307),IFERROR(LOOKUP(2,1/((거래처별!$AD$8:$AD$307&lt;&gt;"")*ISNUMBER(SEARCH(거래처별!$AD$8:$AD$307,$AB596))),거래처별!$A$8:$A$307),IFERROR(LOOKUP(2,1/((거래처별!$AE$8:$AE$307&lt;&gt;"")*ISNUMBER(SEARCH(거래처별!$AE$8:$AE$307,$AB596))),거래처별!$A$8:$A$307),0))))</f>
        <v/>
      </c>
      <c r="AD596" s="31">
        <f>IF(AND($Y596&lt;&gt;"",N($Z596)&gt;0,$AC596=0),MAX($AD$7:$AD595)+1,"")</f>
        <v/>
      </c>
      <c r="AE596" s="31">
        <f>IF($Y596="",0,$Y596)</f>
        <v/>
      </c>
    </row>
    <row r="597">
      <c r="W597" s="31">
        <f>IF(OR($B$5="",$C$6="",ROW()&lt;$B$5),"",IF(INDEX($A:$U,ROW(),$C$6)="","",INDEX($A:$U,ROW(),$C$6)))</f>
        <v/>
      </c>
      <c r="X597" s="32">
        <f>IF($W597="","",IF(ISNUMBER($W597),IF($W597&gt;=10000000,IFERROR(DATE(INT($W597/10000),MOD(INT($W597/100),100),MOD($W597,100)),""),INT($W597)),IFERROR(DATE(--LEFT(LEFT(SUBSTITUTE(SUBSTITUTE(SUBSTITUTE(SUBSTITUTE(TRIM($W597),"-",""),".",""),"/","")," ",""),8),4),--MID(LEFT(SUBSTITUTE(SUBSTITUTE(SUBSTITUTE(SUBSTITUTE(TRIM($W597),"-",""),".",""),"/","")," ",""),8),5,2),--MID(LEFT(SUBSTITUTE(SUBSTITUTE(SUBSTITUTE(SUBSTITUTE(TRIM($W597),"-",""),".",""),"/","")," ",""),8),7,2)),"")))</f>
        <v/>
      </c>
      <c r="Y597" s="32">
        <f>IF($X597="","",INT($X597))</f>
        <v/>
      </c>
      <c r="Z597" s="33">
        <f>IF(OR($Y597="",$D$6=""),"",IF(INDEX($A:$U,ROW(),$D$6)="",0,IF(ISNUMBER(INDEX($A:$U,ROW(),$D$6)),INDEX($A:$U,ROW(),$D$6),IFERROR(--SUBSTITUTE(SUBSTITUTE(TRIM(INDEX($A:$U,ROW(),$D$6)),",",""),"원",""),0))))</f>
        <v/>
      </c>
      <c r="AA597" s="31">
        <f>IF($Y597="","",TRIM(INDEX($A:$U,ROW(),$E$6)&amp;IF($F$6="",""," "&amp;INDEX($A:$U,ROW(),$F$6))))</f>
        <v/>
      </c>
      <c r="AB597" s="31">
        <f>IF($AA597="","",SUBSTITUTE(SUBSTITUTE(SUBSTITUTE(SUBSTITUTE(SUBSTITUTE(SUBSTITUTE(SUBSTITUTE(SUBSTITUTE(SUBSTITUTE($AA597," ",""),"　",""),"(주)",""),"（주）",""),"㈜",""),"주식회사",""),"(유)",""),"（유）",""),"유한회사",""))</f>
        <v/>
      </c>
      <c r="AC597" s="31">
        <f>IF(OR($Y597="",N($Z597)&lt;=0,$AB597=""),0,IFERROR(LOOKUP(2,1/((거래처별!$AC$8:$AC$307&lt;&gt;"")*ISNUMBER(SEARCH(거래처별!$AC$8:$AC$307,$AB597))),거래처별!$A$8:$A$307),IFERROR(LOOKUP(2,1/((거래처별!$AD$8:$AD$307&lt;&gt;"")*ISNUMBER(SEARCH(거래처별!$AD$8:$AD$307,$AB597))),거래처별!$A$8:$A$307),IFERROR(LOOKUP(2,1/((거래처별!$AE$8:$AE$307&lt;&gt;"")*ISNUMBER(SEARCH(거래처별!$AE$8:$AE$307,$AB597))),거래처별!$A$8:$A$307),0))))</f>
        <v/>
      </c>
      <c r="AD597" s="31">
        <f>IF(AND($Y597&lt;&gt;"",N($Z597)&gt;0,$AC597=0),MAX($AD$7:$AD596)+1,"")</f>
        <v/>
      </c>
      <c r="AE597" s="31">
        <f>IF($Y597="",0,$Y597)</f>
        <v/>
      </c>
    </row>
    <row r="598">
      <c r="W598" s="31">
        <f>IF(OR($B$5="",$C$6="",ROW()&lt;$B$5),"",IF(INDEX($A:$U,ROW(),$C$6)="","",INDEX($A:$U,ROW(),$C$6)))</f>
        <v/>
      </c>
      <c r="X598" s="32">
        <f>IF($W598="","",IF(ISNUMBER($W598),IF($W598&gt;=10000000,IFERROR(DATE(INT($W598/10000),MOD(INT($W598/100),100),MOD($W598,100)),""),INT($W598)),IFERROR(DATE(--LEFT(LEFT(SUBSTITUTE(SUBSTITUTE(SUBSTITUTE(SUBSTITUTE(TRIM($W598),"-",""),".",""),"/","")," ",""),8),4),--MID(LEFT(SUBSTITUTE(SUBSTITUTE(SUBSTITUTE(SUBSTITUTE(TRIM($W598),"-",""),".",""),"/","")," ",""),8),5,2),--MID(LEFT(SUBSTITUTE(SUBSTITUTE(SUBSTITUTE(SUBSTITUTE(TRIM($W598),"-",""),".",""),"/","")," ",""),8),7,2)),"")))</f>
        <v/>
      </c>
      <c r="Y598" s="32">
        <f>IF($X598="","",INT($X598))</f>
        <v/>
      </c>
      <c r="Z598" s="33">
        <f>IF(OR($Y598="",$D$6=""),"",IF(INDEX($A:$U,ROW(),$D$6)="",0,IF(ISNUMBER(INDEX($A:$U,ROW(),$D$6)),INDEX($A:$U,ROW(),$D$6),IFERROR(--SUBSTITUTE(SUBSTITUTE(TRIM(INDEX($A:$U,ROW(),$D$6)),",",""),"원",""),0))))</f>
        <v/>
      </c>
      <c r="AA598" s="31">
        <f>IF($Y598="","",TRIM(INDEX($A:$U,ROW(),$E$6)&amp;IF($F$6="",""," "&amp;INDEX($A:$U,ROW(),$F$6))))</f>
        <v/>
      </c>
      <c r="AB598" s="31">
        <f>IF($AA598="","",SUBSTITUTE(SUBSTITUTE(SUBSTITUTE(SUBSTITUTE(SUBSTITUTE(SUBSTITUTE(SUBSTITUTE(SUBSTITUTE(SUBSTITUTE($AA598," ",""),"　",""),"(주)",""),"（주）",""),"㈜",""),"주식회사",""),"(유)",""),"（유）",""),"유한회사",""))</f>
        <v/>
      </c>
      <c r="AC598" s="31">
        <f>IF(OR($Y598="",N($Z598)&lt;=0,$AB598=""),0,IFERROR(LOOKUP(2,1/((거래처별!$AC$8:$AC$307&lt;&gt;"")*ISNUMBER(SEARCH(거래처별!$AC$8:$AC$307,$AB598))),거래처별!$A$8:$A$307),IFERROR(LOOKUP(2,1/((거래처별!$AD$8:$AD$307&lt;&gt;"")*ISNUMBER(SEARCH(거래처별!$AD$8:$AD$307,$AB598))),거래처별!$A$8:$A$307),IFERROR(LOOKUP(2,1/((거래처별!$AE$8:$AE$307&lt;&gt;"")*ISNUMBER(SEARCH(거래처별!$AE$8:$AE$307,$AB598))),거래처별!$A$8:$A$307),0))))</f>
        <v/>
      </c>
      <c r="AD598" s="31">
        <f>IF(AND($Y598&lt;&gt;"",N($Z598)&gt;0,$AC598=0),MAX($AD$7:$AD597)+1,"")</f>
        <v/>
      </c>
      <c r="AE598" s="31">
        <f>IF($Y598="",0,$Y598)</f>
        <v/>
      </c>
    </row>
    <row r="599">
      <c r="W599" s="31">
        <f>IF(OR($B$5="",$C$6="",ROW()&lt;$B$5),"",IF(INDEX($A:$U,ROW(),$C$6)="","",INDEX($A:$U,ROW(),$C$6)))</f>
        <v/>
      </c>
      <c r="X599" s="32">
        <f>IF($W599="","",IF(ISNUMBER($W599),IF($W599&gt;=10000000,IFERROR(DATE(INT($W599/10000),MOD(INT($W599/100),100),MOD($W599,100)),""),INT($W599)),IFERROR(DATE(--LEFT(LEFT(SUBSTITUTE(SUBSTITUTE(SUBSTITUTE(SUBSTITUTE(TRIM($W599),"-",""),".",""),"/","")," ",""),8),4),--MID(LEFT(SUBSTITUTE(SUBSTITUTE(SUBSTITUTE(SUBSTITUTE(TRIM($W599),"-",""),".",""),"/","")," ",""),8),5,2),--MID(LEFT(SUBSTITUTE(SUBSTITUTE(SUBSTITUTE(SUBSTITUTE(TRIM($W599),"-",""),".",""),"/","")," ",""),8),7,2)),"")))</f>
        <v/>
      </c>
      <c r="Y599" s="32">
        <f>IF($X599="","",INT($X599))</f>
        <v/>
      </c>
      <c r="Z599" s="33">
        <f>IF(OR($Y599="",$D$6=""),"",IF(INDEX($A:$U,ROW(),$D$6)="",0,IF(ISNUMBER(INDEX($A:$U,ROW(),$D$6)),INDEX($A:$U,ROW(),$D$6),IFERROR(--SUBSTITUTE(SUBSTITUTE(TRIM(INDEX($A:$U,ROW(),$D$6)),",",""),"원",""),0))))</f>
        <v/>
      </c>
      <c r="AA599" s="31">
        <f>IF($Y599="","",TRIM(INDEX($A:$U,ROW(),$E$6)&amp;IF($F$6="",""," "&amp;INDEX($A:$U,ROW(),$F$6))))</f>
        <v/>
      </c>
      <c r="AB599" s="31">
        <f>IF($AA599="","",SUBSTITUTE(SUBSTITUTE(SUBSTITUTE(SUBSTITUTE(SUBSTITUTE(SUBSTITUTE(SUBSTITUTE(SUBSTITUTE(SUBSTITUTE($AA599," ",""),"　",""),"(주)",""),"（주）",""),"㈜",""),"주식회사",""),"(유)",""),"（유）",""),"유한회사",""))</f>
        <v/>
      </c>
      <c r="AC599" s="31">
        <f>IF(OR($Y599="",N($Z599)&lt;=0,$AB599=""),0,IFERROR(LOOKUP(2,1/((거래처별!$AC$8:$AC$307&lt;&gt;"")*ISNUMBER(SEARCH(거래처별!$AC$8:$AC$307,$AB599))),거래처별!$A$8:$A$307),IFERROR(LOOKUP(2,1/((거래처별!$AD$8:$AD$307&lt;&gt;"")*ISNUMBER(SEARCH(거래처별!$AD$8:$AD$307,$AB599))),거래처별!$A$8:$A$307),IFERROR(LOOKUP(2,1/((거래처별!$AE$8:$AE$307&lt;&gt;"")*ISNUMBER(SEARCH(거래처별!$AE$8:$AE$307,$AB599))),거래처별!$A$8:$A$307),0))))</f>
        <v/>
      </c>
      <c r="AD599" s="31">
        <f>IF(AND($Y599&lt;&gt;"",N($Z599)&gt;0,$AC599=0),MAX($AD$7:$AD598)+1,"")</f>
        <v/>
      </c>
      <c r="AE599" s="31">
        <f>IF($Y599="",0,$Y599)</f>
        <v/>
      </c>
    </row>
    <row r="600">
      <c r="W600" s="31">
        <f>IF(OR($B$5="",$C$6="",ROW()&lt;$B$5),"",IF(INDEX($A:$U,ROW(),$C$6)="","",INDEX($A:$U,ROW(),$C$6)))</f>
        <v/>
      </c>
      <c r="X600" s="32">
        <f>IF($W600="","",IF(ISNUMBER($W600),IF($W600&gt;=10000000,IFERROR(DATE(INT($W600/10000),MOD(INT($W600/100),100),MOD($W600,100)),""),INT($W600)),IFERROR(DATE(--LEFT(LEFT(SUBSTITUTE(SUBSTITUTE(SUBSTITUTE(SUBSTITUTE(TRIM($W600),"-",""),".",""),"/","")," ",""),8),4),--MID(LEFT(SUBSTITUTE(SUBSTITUTE(SUBSTITUTE(SUBSTITUTE(TRIM($W600),"-",""),".",""),"/","")," ",""),8),5,2),--MID(LEFT(SUBSTITUTE(SUBSTITUTE(SUBSTITUTE(SUBSTITUTE(TRIM($W600),"-",""),".",""),"/","")," ",""),8),7,2)),"")))</f>
        <v/>
      </c>
      <c r="Y600" s="32">
        <f>IF($X600="","",INT($X600))</f>
        <v/>
      </c>
      <c r="Z600" s="33">
        <f>IF(OR($Y600="",$D$6=""),"",IF(INDEX($A:$U,ROW(),$D$6)="",0,IF(ISNUMBER(INDEX($A:$U,ROW(),$D$6)),INDEX($A:$U,ROW(),$D$6),IFERROR(--SUBSTITUTE(SUBSTITUTE(TRIM(INDEX($A:$U,ROW(),$D$6)),",",""),"원",""),0))))</f>
        <v/>
      </c>
      <c r="AA600" s="31">
        <f>IF($Y600="","",TRIM(INDEX($A:$U,ROW(),$E$6)&amp;IF($F$6="",""," "&amp;INDEX($A:$U,ROW(),$F$6))))</f>
        <v/>
      </c>
      <c r="AB600" s="31">
        <f>IF($AA600="","",SUBSTITUTE(SUBSTITUTE(SUBSTITUTE(SUBSTITUTE(SUBSTITUTE(SUBSTITUTE(SUBSTITUTE(SUBSTITUTE(SUBSTITUTE($AA600," ",""),"　",""),"(주)",""),"（주）",""),"㈜",""),"주식회사",""),"(유)",""),"（유）",""),"유한회사",""))</f>
        <v/>
      </c>
      <c r="AC600" s="31">
        <f>IF(OR($Y600="",N($Z600)&lt;=0,$AB600=""),0,IFERROR(LOOKUP(2,1/((거래처별!$AC$8:$AC$307&lt;&gt;"")*ISNUMBER(SEARCH(거래처별!$AC$8:$AC$307,$AB600))),거래처별!$A$8:$A$307),IFERROR(LOOKUP(2,1/((거래처별!$AD$8:$AD$307&lt;&gt;"")*ISNUMBER(SEARCH(거래처별!$AD$8:$AD$307,$AB600))),거래처별!$A$8:$A$307),IFERROR(LOOKUP(2,1/((거래처별!$AE$8:$AE$307&lt;&gt;"")*ISNUMBER(SEARCH(거래처별!$AE$8:$AE$307,$AB600))),거래처별!$A$8:$A$307),0))))</f>
        <v/>
      </c>
      <c r="AD600" s="31">
        <f>IF(AND($Y600&lt;&gt;"",N($Z600)&gt;0,$AC600=0),MAX($AD$7:$AD599)+1,"")</f>
        <v/>
      </c>
      <c r="AE600" s="31">
        <f>IF($Y600="",0,$Y600)</f>
        <v/>
      </c>
    </row>
    <row r="601">
      <c r="W601" s="31">
        <f>IF(OR($B$5="",$C$6="",ROW()&lt;$B$5),"",IF(INDEX($A:$U,ROW(),$C$6)="","",INDEX($A:$U,ROW(),$C$6)))</f>
        <v/>
      </c>
      <c r="X601" s="32">
        <f>IF($W601="","",IF(ISNUMBER($W601),IF($W601&gt;=10000000,IFERROR(DATE(INT($W601/10000),MOD(INT($W601/100),100),MOD($W601,100)),""),INT($W601)),IFERROR(DATE(--LEFT(LEFT(SUBSTITUTE(SUBSTITUTE(SUBSTITUTE(SUBSTITUTE(TRIM($W601),"-",""),".",""),"/","")," ",""),8),4),--MID(LEFT(SUBSTITUTE(SUBSTITUTE(SUBSTITUTE(SUBSTITUTE(TRIM($W601),"-",""),".",""),"/","")," ",""),8),5,2),--MID(LEFT(SUBSTITUTE(SUBSTITUTE(SUBSTITUTE(SUBSTITUTE(TRIM($W601),"-",""),".",""),"/","")," ",""),8),7,2)),"")))</f>
        <v/>
      </c>
      <c r="Y601" s="32">
        <f>IF($X601="","",INT($X601))</f>
        <v/>
      </c>
      <c r="Z601" s="33">
        <f>IF(OR($Y601="",$D$6=""),"",IF(INDEX($A:$U,ROW(),$D$6)="",0,IF(ISNUMBER(INDEX($A:$U,ROW(),$D$6)),INDEX($A:$U,ROW(),$D$6),IFERROR(--SUBSTITUTE(SUBSTITUTE(TRIM(INDEX($A:$U,ROW(),$D$6)),",",""),"원",""),0))))</f>
        <v/>
      </c>
      <c r="AA601" s="31">
        <f>IF($Y601="","",TRIM(INDEX($A:$U,ROW(),$E$6)&amp;IF($F$6="",""," "&amp;INDEX($A:$U,ROW(),$F$6))))</f>
        <v/>
      </c>
      <c r="AB601" s="31">
        <f>IF($AA601="","",SUBSTITUTE(SUBSTITUTE(SUBSTITUTE(SUBSTITUTE(SUBSTITUTE(SUBSTITUTE(SUBSTITUTE(SUBSTITUTE(SUBSTITUTE($AA601," ",""),"　",""),"(주)",""),"（주）",""),"㈜",""),"주식회사",""),"(유)",""),"（유）",""),"유한회사",""))</f>
        <v/>
      </c>
      <c r="AC601" s="31">
        <f>IF(OR($Y601="",N($Z601)&lt;=0,$AB601=""),0,IFERROR(LOOKUP(2,1/((거래처별!$AC$8:$AC$307&lt;&gt;"")*ISNUMBER(SEARCH(거래처별!$AC$8:$AC$307,$AB601))),거래처별!$A$8:$A$307),IFERROR(LOOKUP(2,1/((거래처별!$AD$8:$AD$307&lt;&gt;"")*ISNUMBER(SEARCH(거래처별!$AD$8:$AD$307,$AB601))),거래처별!$A$8:$A$307),IFERROR(LOOKUP(2,1/((거래처별!$AE$8:$AE$307&lt;&gt;"")*ISNUMBER(SEARCH(거래처별!$AE$8:$AE$307,$AB601))),거래처별!$A$8:$A$307),0))))</f>
        <v/>
      </c>
      <c r="AD601" s="31">
        <f>IF(AND($Y601&lt;&gt;"",N($Z601)&gt;0,$AC601=0),MAX($AD$7:$AD600)+1,"")</f>
        <v/>
      </c>
      <c r="AE601" s="31">
        <f>IF($Y601="",0,$Y601)</f>
        <v/>
      </c>
    </row>
    <row r="602">
      <c r="W602" s="31">
        <f>IF(OR($B$5="",$C$6="",ROW()&lt;$B$5),"",IF(INDEX($A:$U,ROW(),$C$6)="","",INDEX($A:$U,ROW(),$C$6)))</f>
        <v/>
      </c>
      <c r="X602" s="32">
        <f>IF($W602="","",IF(ISNUMBER($W602),IF($W602&gt;=10000000,IFERROR(DATE(INT($W602/10000),MOD(INT($W602/100),100),MOD($W602,100)),""),INT($W602)),IFERROR(DATE(--LEFT(LEFT(SUBSTITUTE(SUBSTITUTE(SUBSTITUTE(SUBSTITUTE(TRIM($W602),"-",""),".",""),"/","")," ",""),8),4),--MID(LEFT(SUBSTITUTE(SUBSTITUTE(SUBSTITUTE(SUBSTITUTE(TRIM($W602),"-",""),".",""),"/","")," ",""),8),5,2),--MID(LEFT(SUBSTITUTE(SUBSTITUTE(SUBSTITUTE(SUBSTITUTE(TRIM($W602),"-",""),".",""),"/","")," ",""),8),7,2)),"")))</f>
        <v/>
      </c>
      <c r="Y602" s="32">
        <f>IF($X602="","",INT($X602))</f>
        <v/>
      </c>
      <c r="Z602" s="33">
        <f>IF(OR($Y602="",$D$6=""),"",IF(INDEX($A:$U,ROW(),$D$6)="",0,IF(ISNUMBER(INDEX($A:$U,ROW(),$D$6)),INDEX($A:$U,ROW(),$D$6),IFERROR(--SUBSTITUTE(SUBSTITUTE(TRIM(INDEX($A:$U,ROW(),$D$6)),",",""),"원",""),0))))</f>
        <v/>
      </c>
      <c r="AA602" s="31">
        <f>IF($Y602="","",TRIM(INDEX($A:$U,ROW(),$E$6)&amp;IF($F$6="",""," "&amp;INDEX($A:$U,ROW(),$F$6))))</f>
        <v/>
      </c>
      <c r="AB602" s="31">
        <f>IF($AA602="","",SUBSTITUTE(SUBSTITUTE(SUBSTITUTE(SUBSTITUTE(SUBSTITUTE(SUBSTITUTE(SUBSTITUTE(SUBSTITUTE(SUBSTITUTE($AA602," ",""),"　",""),"(주)",""),"（주）",""),"㈜",""),"주식회사",""),"(유)",""),"（유）",""),"유한회사",""))</f>
        <v/>
      </c>
      <c r="AC602" s="31">
        <f>IF(OR($Y602="",N($Z602)&lt;=0,$AB602=""),0,IFERROR(LOOKUP(2,1/((거래처별!$AC$8:$AC$307&lt;&gt;"")*ISNUMBER(SEARCH(거래처별!$AC$8:$AC$307,$AB602))),거래처별!$A$8:$A$307),IFERROR(LOOKUP(2,1/((거래처별!$AD$8:$AD$307&lt;&gt;"")*ISNUMBER(SEARCH(거래처별!$AD$8:$AD$307,$AB602))),거래처별!$A$8:$A$307),IFERROR(LOOKUP(2,1/((거래처별!$AE$8:$AE$307&lt;&gt;"")*ISNUMBER(SEARCH(거래처별!$AE$8:$AE$307,$AB602))),거래처별!$A$8:$A$307),0))))</f>
        <v/>
      </c>
      <c r="AD602" s="31">
        <f>IF(AND($Y602&lt;&gt;"",N($Z602)&gt;0,$AC602=0),MAX($AD$7:$AD601)+1,"")</f>
        <v/>
      </c>
      <c r="AE602" s="31">
        <f>IF($Y602="",0,$Y602)</f>
        <v/>
      </c>
    </row>
    <row r="603">
      <c r="W603" s="31">
        <f>IF(OR($B$5="",$C$6="",ROW()&lt;$B$5),"",IF(INDEX($A:$U,ROW(),$C$6)="","",INDEX($A:$U,ROW(),$C$6)))</f>
        <v/>
      </c>
      <c r="X603" s="32">
        <f>IF($W603="","",IF(ISNUMBER($W603),IF($W603&gt;=10000000,IFERROR(DATE(INT($W603/10000),MOD(INT($W603/100),100),MOD($W603,100)),""),INT($W603)),IFERROR(DATE(--LEFT(LEFT(SUBSTITUTE(SUBSTITUTE(SUBSTITUTE(SUBSTITUTE(TRIM($W603),"-",""),".",""),"/","")," ",""),8),4),--MID(LEFT(SUBSTITUTE(SUBSTITUTE(SUBSTITUTE(SUBSTITUTE(TRIM($W603),"-",""),".",""),"/","")," ",""),8),5,2),--MID(LEFT(SUBSTITUTE(SUBSTITUTE(SUBSTITUTE(SUBSTITUTE(TRIM($W603),"-",""),".",""),"/","")," ",""),8),7,2)),"")))</f>
        <v/>
      </c>
      <c r="Y603" s="32">
        <f>IF($X603="","",INT($X603))</f>
        <v/>
      </c>
      <c r="Z603" s="33">
        <f>IF(OR($Y603="",$D$6=""),"",IF(INDEX($A:$U,ROW(),$D$6)="",0,IF(ISNUMBER(INDEX($A:$U,ROW(),$D$6)),INDEX($A:$U,ROW(),$D$6),IFERROR(--SUBSTITUTE(SUBSTITUTE(TRIM(INDEX($A:$U,ROW(),$D$6)),",",""),"원",""),0))))</f>
        <v/>
      </c>
      <c r="AA603" s="31">
        <f>IF($Y603="","",TRIM(INDEX($A:$U,ROW(),$E$6)&amp;IF($F$6="",""," "&amp;INDEX($A:$U,ROW(),$F$6))))</f>
        <v/>
      </c>
      <c r="AB603" s="31">
        <f>IF($AA603="","",SUBSTITUTE(SUBSTITUTE(SUBSTITUTE(SUBSTITUTE(SUBSTITUTE(SUBSTITUTE(SUBSTITUTE(SUBSTITUTE(SUBSTITUTE($AA603," ",""),"　",""),"(주)",""),"（주）",""),"㈜",""),"주식회사",""),"(유)",""),"（유）",""),"유한회사",""))</f>
        <v/>
      </c>
      <c r="AC603" s="31">
        <f>IF(OR($Y603="",N($Z603)&lt;=0,$AB603=""),0,IFERROR(LOOKUP(2,1/((거래처별!$AC$8:$AC$307&lt;&gt;"")*ISNUMBER(SEARCH(거래처별!$AC$8:$AC$307,$AB603))),거래처별!$A$8:$A$307),IFERROR(LOOKUP(2,1/((거래처별!$AD$8:$AD$307&lt;&gt;"")*ISNUMBER(SEARCH(거래처별!$AD$8:$AD$307,$AB603))),거래처별!$A$8:$A$307),IFERROR(LOOKUP(2,1/((거래처별!$AE$8:$AE$307&lt;&gt;"")*ISNUMBER(SEARCH(거래처별!$AE$8:$AE$307,$AB603))),거래처별!$A$8:$A$307),0))))</f>
        <v/>
      </c>
      <c r="AD603" s="31">
        <f>IF(AND($Y603&lt;&gt;"",N($Z603)&gt;0,$AC603=0),MAX($AD$7:$AD602)+1,"")</f>
        <v/>
      </c>
      <c r="AE603" s="31">
        <f>IF($Y603="",0,$Y603)</f>
        <v/>
      </c>
    </row>
    <row r="604">
      <c r="W604" s="31">
        <f>IF(OR($B$5="",$C$6="",ROW()&lt;$B$5),"",IF(INDEX($A:$U,ROW(),$C$6)="","",INDEX($A:$U,ROW(),$C$6)))</f>
        <v/>
      </c>
      <c r="X604" s="32">
        <f>IF($W604="","",IF(ISNUMBER($W604),IF($W604&gt;=10000000,IFERROR(DATE(INT($W604/10000),MOD(INT($W604/100),100),MOD($W604,100)),""),INT($W604)),IFERROR(DATE(--LEFT(LEFT(SUBSTITUTE(SUBSTITUTE(SUBSTITUTE(SUBSTITUTE(TRIM($W604),"-",""),".",""),"/","")," ",""),8),4),--MID(LEFT(SUBSTITUTE(SUBSTITUTE(SUBSTITUTE(SUBSTITUTE(TRIM($W604),"-",""),".",""),"/","")," ",""),8),5,2),--MID(LEFT(SUBSTITUTE(SUBSTITUTE(SUBSTITUTE(SUBSTITUTE(TRIM($W604),"-",""),".",""),"/","")," ",""),8),7,2)),"")))</f>
        <v/>
      </c>
      <c r="Y604" s="32">
        <f>IF($X604="","",INT($X604))</f>
        <v/>
      </c>
      <c r="Z604" s="33">
        <f>IF(OR($Y604="",$D$6=""),"",IF(INDEX($A:$U,ROW(),$D$6)="",0,IF(ISNUMBER(INDEX($A:$U,ROW(),$D$6)),INDEX($A:$U,ROW(),$D$6),IFERROR(--SUBSTITUTE(SUBSTITUTE(TRIM(INDEX($A:$U,ROW(),$D$6)),",",""),"원",""),0))))</f>
        <v/>
      </c>
      <c r="AA604" s="31">
        <f>IF($Y604="","",TRIM(INDEX($A:$U,ROW(),$E$6)&amp;IF($F$6="",""," "&amp;INDEX($A:$U,ROW(),$F$6))))</f>
        <v/>
      </c>
      <c r="AB604" s="31">
        <f>IF($AA604="","",SUBSTITUTE(SUBSTITUTE(SUBSTITUTE(SUBSTITUTE(SUBSTITUTE(SUBSTITUTE(SUBSTITUTE(SUBSTITUTE(SUBSTITUTE($AA604," ",""),"　",""),"(주)",""),"（주）",""),"㈜",""),"주식회사",""),"(유)",""),"（유）",""),"유한회사",""))</f>
        <v/>
      </c>
      <c r="AC604" s="31">
        <f>IF(OR($Y604="",N($Z604)&lt;=0,$AB604=""),0,IFERROR(LOOKUP(2,1/((거래처별!$AC$8:$AC$307&lt;&gt;"")*ISNUMBER(SEARCH(거래처별!$AC$8:$AC$307,$AB604))),거래처별!$A$8:$A$307),IFERROR(LOOKUP(2,1/((거래처별!$AD$8:$AD$307&lt;&gt;"")*ISNUMBER(SEARCH(거래처별!$AD$8:$AD$307,$AB604))),거래처별!$A$8:$A$307),IFERROR(LOOKUP(2,1/((거래처별!$AE$8:$AE$307&lt;&gt;"")*ISNUMBER(SEARCH(거래처별!$AE$8:$AE$307,$AB604))),거래처별!$A$8:$A$307),0))))</f>
        <v/>
      </c>
      <c r="AD604" s="31">
        <f>IF(AND($Y604&lt;&gt;"",N($Z604)&gt;0,$AC604=0),MAX($AD$7:$AD603)+1,"")</f>
        <v/>
      </c>
      <c r="AE604" s="31">
        <f>IF($Y604="",0,$Y604)</f>
        <v/>
      </c>
    </row>
    <row r="605">
      <c r="W605" s="31">
        <f>IF(OR($B$5="",$C$6="",ROW()&lt;$B$5),"",IF(INDEX($A:$U,ROW(),$C$6)="","",INDEX($A:$U,ROW(),$C$6)))</f>
        <v/>
      </c>
      <c r="X605" s="32">
        <f>IF($W605="","",IF(ISNUMBER($W605),IF($W605&gt;=10000000,IFERROR(DATE(INT($W605/10000),MOD(INT($W605/100),100),MOD($W605,100)),""),INT($W605)),IFERROR(DATE(--LEFT(LEFT(SUBSTITUTE(SUBSTITUTE(SUBSTITUTE(SUBSTITUTE(TRIM($W605),"-",""),".",""),"/","")," ",""),8),4),--MID(LEFT(SUBSTITUTE(SUBSTITUTE(SUBSTITUTE(SUBSTITUTE(TRIM($W605),"-",""),".",""),"/","")," ",""),8),5,2),--MID(LEFT(SUBSTITUTE(SUBSTITUTE(SUBSTITUTE(SUBSTITUTE(TRIM($W605),"-",""),".",""),"/","")," ",""),8),7,2)),"")))</f>
        <v/>
      </c>
      <c r="Y605" s="32">
        <f>IF($X605="","",INT($X605))</f>
        <v/>
      </c>
      <c r="Z605" s="33">
        <f>IF(OR($Y605="",$D$6=""),"",IF(INDEX($A:$U,ROW(),$D$6)="",0,IF(ISNUMBER(INDEX($A:$U,ROW(),$D$6)),INDEX($A:$U,ROW(),$D$6),IFERROR(--SUBSTITUTE(SUBSTITUTE(TRIM(INDEX($A:$U,ROW(),$D$6)),",",""),"원",""),0))))</f>
        <v/>
      </c>
      <c r="AA605" s="31">
        <f>IF($Y605="","",TRIM(INDEX($A:$U,ROW(),$E$6)&amp;IF($F$6="",""," "&amp;INDEX($A:$U,ROW(),$F$6))))</f>
        <v/>
      </c>
      <c r="AB605" s="31">
        <f>IF($AA605="","",SUBSTITUTE(SUBSTITUTE(SUBSTITUTE(SUBSTITUTE(SUBSTITUTE(SUBSTITUTE(SUBSTITUTE(SUBSTITUTE(SUBSTITUTE($AA605," ",""),"　",""),"(주)",""),"（주）",""),"㈜",""),"주식회사",""),"(유)",""),"（유）",""),"유한회사",""))</f>
        <v/>
      </c>
      <c r="AC605" s="31">
        <f>IF(OR($Y605="",N($Z605)&lt;=0,$AB605=""),0,IFERROR(LOOKUP(2,1/((거래처별!$AC$8:$AC$307&lt;&gt;"")*ISNUMBER(SEARCH(거래처별!$AC$8:$AC$307,$AB605))),거래처별!$A$8:$A$307),IFERROR(LOOKUP(2,1/((거래처별!$AD$8:$AD$307&lt;&gt;"")*ISNUMBER(SEARCH(거래처별!$AD$8:$AD$307,$AB605))),거래처별!$A$8:$A$307),IFERROR(LOOKUP(2,1/((거래처별!$AE$8:$AE$307&lt;&gt;"")*ISNUMBER(SEARCH(거래처별!$AE$8:$AE$307,$AB605))),거래처별!$A$8:$A$307),0))))</f>
        <v/>
      </c>
      <c r="AD605" s="31">
        <f>IF(AND($Y605&lt;&gt;"",N($Z605)&gt;0,$AC605=0),MAX($AD$7:$AD604)+1,"")</f>
        <v/>
      </c>
      <c r="AE605" s="31">
        <f>IF($Y605="",0,$Y605)</f>
        <v/>
      </c>
    </row>
    <row r="606">
      <c r="W606" s="31">
        <f>IF(OR($B$5="",$C$6="",ROW()&lt;$B$5),"",IF(INDEX($A:$U,ROW(),$C$6)="","",INDEX($A:$U,ROW(),$C$6)))</f>
        <v/>
      </c>
      <c r="X606" s="32">
        <f>IF($W606="","",IF(ISNUMBER($W606),IF($W606&gt;=10000000,IFERROR(DATE(INT($W606/10000),MOD(INT($W606/100),100),MOD($W606,100)),""),INT($W606)),IFERROR(DATE(--LEFT(LEFT(SUBSTITUTE(SUBSTITUTE(SUBSTITUTE(SUBSTITUTE(TRIM($W606),"-",""),".",""),"/","")," ",""),8),4),--MID(LEFT(SUBSTITUTE(SUBSTITUTE(SUBSTITUTE(SUBSTITUTE(TRIM($W606),"-",""),".",""),"/","")," ",""),8),5,2),--MID(LEFT(SUBSTITUTE(SUBSTITUTE(SUBSTITUTE(SUBSTITUTE(TRIM($W606),"-",""),".",""),"/","")," ",""),8),7,2)),"")))</f>
        <v/>
      </c>
      <c r="Y606" s="32">
        <f>IF($X606="","",INT($X606))</f>
        <v/>
      </c>
      <c r="Z606" s="33">
        <f>IF(OR($Y606="",$D$6=""),"",IF(INDEX($A:$U,ROW(),$D$6)="",0,IF(ISNUMBER(INDEX($A:$U,ROW(),$D$6)),INDEX($A:$U,ROW(),$D$6),IFERROR(--SUBSTITUTE(SUBSTITUTE(TRIM(INDEX($A:$U,ROW(),$D$6)),",",""),"원",""),0))))</f>
        <v/>
      </c>
      <c r="AA606" s="31">
        <f>IF($Y606="","",TRIM(INDEX($A:$U,ROW(),$E$6)&amp;IF($F$6="",""," "&amp;INDEX($A:$U,ROW(),$F$6))))</f>
        <v/>
      </c>
      <c r="AB606" s="31">
        <f>IF($AA606="","",SUBSTITUTE(SUBSTITUTE(SUBSTITUTE(SUBSTITUTE(SUBSTITUTE(SUBSTITUTE(SUBSTITUTE(SUBSTITUTE(SUBSTITUTE($AA606," ",""),"　",""),"(주)",""),"（주）",""),"㈜",""),"주식회사",""),"(유)",""),"（유）",""),"유한회사",""))</f>
        <v/>
      </c>
      <c r="AC606" s="31">
        <f>IF(OR($Y606="",N($Z606)&lt;=0,$AB606=""),0,IFERROR(LOOKUP(2,1/((거래처별!$AC$8:$AC$307&lt;&gt;"")*ISNUMBER(SEARCH(거래처별!$AC$8:$AC$307,$AB606))),거래처별!$A$8:$A$307),IFERROR(LOOKUP(2,1/((거래처별!$AD$8:$AD$307&lt;&gt;"")*ISNUMBER(SEARCH(거래처별!$AD$8:$AD$307,$AB606))),거래처별!$A$8:$A$307),IFERROR(LOOKUP(2,1/((거래처별!$AE$8:$AE$307&lt;&gt;"")*ISNUMBER(SEARCH(거래처별!$AE$8:$AE$307,$AB606))),거래처별!$A$8:$A$307),0))))</f>
        <v/>
      </c>
      <c r="AD606" s="31">
        <f>IF(AND($Y606&lt;&gt;"",N($Z606)&gt;0,$AC606=0),MAX($AD$7:$AD605)+1,"")</f>
        <v/>
      </c>
      <c r="AE606" s="31">
        <f>IF($Y606="",0,$Y606)</f>
        <v/>
      </c>
    </row>
    <row r="607">
      <c r="W607" s="31">
        <f>IF(OR($B$5="",$C$6="",ROW()&lt;$B$5),"",IF(INDEX($A:$U,ROW(),$C$6)="","",INDEX($A:$U,ROW(),$C$6)))</f>
        <v/>
      </c>
      <c r="X607" s="32">
        <f>IF($W607="","",IF(ISNUMBER($W607),IF($W607&gt;=10000000,IFERROR(DATE(INT($W607/10000),MOD(INT($W607/100),100),MOD($W607,100)),""),INT($W607)),IFERROR(DATE(--LEFT(LEFT(SUBSTITUTE(SUBSTITUTE(SUBSTITUTE(SUBSTITUTE(TRIM($W607),"-",""),".",""),"/","")," ",""),8),4),--MID(LEFT(SUBSTITUTE(SUBSTITUTE(SUBSTITUTE(SUBSTITUTE(TRIM($W607),"-",""),".",""),"/","")," ",""),8),5,2),--MID(LEFT(SUBSTITUTE(SUBSTITUTE(SUBSTITUTE(SUBSTITUTE(TRIM($W607),"-",""),".",""),"/","")," ",""),8),7,2)),"")))</f>
        <v/>
      </c>
      <c r="Y607" s="32">
        <f>IF($X607="","",INT($X607))</f>
        <v/>
      </c>
      <c r="Z607" s="33">
        <f>IF(OR($Y607="",$D$6=""),"",IF(INDEX($A:$U,ROW(),$D$6)="",0,IF(ISNUMBER(INDEX($A:$U,ROW(),$D$6)),INDEX($A:$U,ROW(),$D$6),IFERROR(--SUBSTITUTE(SUBSTITUTE(TRIM(INDEX($A:$U,ROW(),$D$6)),",",""),"원",""),0))))</f>
        <v/>
      </c>
      <c r="AA607" s="31">
        <f>IF($Y607="","",TRIM(INDEX($A:$U,ROW(),$E$6)&amp;IF($F$6="",""," "&amp;INDEX($A:$U,ROW(),$F$6))))</f>
        <v/>
      </c>
      <c r="AB607" s="31">
        <f>IF($AA607="","",SUBSTITUTE(SUBSTITUTE(SUBSTITUTE(SUBSTITUTE(SUBSTITUTE(SUBSTITUTE(SUBSTITUTE(SUBSTITUTE(SUBSTITUTE($AA607," ",""),"　",""),"(주)",""),"（주）",""),"㈜",""),"주식회사",""),"(유)",""),"（유）",""),"유한회사",""))</f>
        <v/>
      </c>
      <c r="AC607" s="31">
        <f>IF(OR($Y607="",N($Z607)&lt;=0,$AB607=""),0,IFERROR(LOOKUP(2,1/((거래처별!$AC$8:$AC$307&lt;&gt;"")*ISNUMBER(SEARCH(거래처별!$AC$8:$AC$307,$AB607))),거래처별!$A$8:$A$307),IFERROR(LOOKUP(2,1/((거래처별!$AD$8:$AD$307&lt;&gt;"")*ISNUMBER(SEARCH(거래처별!$AD$8:$AD$307,$AB607))),거래처별!$A$8:$A$307),IFERROR(LOOKUP(2,1/((거래처별!$AE$8:$AE$307&lt;&gt;"")*ISNUMBER(SEARCH(거래처별!$AE$8:$AE$307,$AB607))),거래처별!$A$8:$A$307),0))))</f>
        <v/>
      </c>
      <c r="AD607" s="31">
        <f>IF(AND($Y607&lt;&gt;"",N($Z607)&gt;0,$AC607=0),MAX($AD$7:$AD606)+1,"")</f>
        <v/>
      </c>
      <c r="AE607" s="31">
        <f>IF($Y607="",0,$Y607)</f>
        <v/>
      </c>
    </row>
    <row r="608">
      <c r="W608" s="31">
        <f>IF(OR($B$5="",$C$6="",ROW()&lt;$B$5),"",IF(INDEX($A:$U,ROW(),$C$6)="","",INDEX($A:$U,ROW(),$C$6)))</f>
        <v/>
      </c>
      <c r="X608" s="32">
        <f>IF($W608="","",IF(ISNUMBER($W608),IF($W608&gt;=10000000,IFERROR(DATE(INT($W608/10000),MOD(INT($W608/100),100),MOD($W608,100)),""),INT($W608)),IFERROR(DATE(--LEFT(LEFT(SUBSTITUTE(SUBSTITUTE(SUBSTITUTE(SUBSTITUTE(TRIM($W608),"-",""),".",""),"/","")," ",""),8),4),--MID(LEFT(SUBSTITUTE(SUBSTITUTE(SUBSTITUTE(SUBSTITUTE(TRIM($W608),"-",""),".",""),"/","")," ",""),8),5,2),--MID(LEFT(SUBSTITUTE(SUBSTITUTE(SUBSTITUTE(SUBSTITUTE(TRIM($W608),"-",""),".",""),"/","")," ",""),8),7,2)),"")))</f>
        <v/>
      </c>
      <c r="Y608" s="32">
        <f>IF($X608="","",INT($X608))</f>
        <v/>
      </c>
      <c r="Z608" s="33">
        <f>IF(OR($Y608="",$D$6=""),"",IF(INDEX($A:$U,ROW(),$D$6)="",0,IF(ISNUMBER(INDEX($A:$U,ROW(),$D$6)),INDEX($A:$U,ROW(),$D$6),IFERROR(--SUBSTITUTE(SUBSTITUTE(TRIM(INDEX($A:$U,ROW(),$D$6)),",",""),"원",""),0))))</f>
        <v/>
      </c>
      <c r="AA608" s="31">
        <f>IF($Y608="","",TRIM(INDEX($A:$U,ROW(),$E$6)&amp;IF($F$6="",""," "&amp;INDEX($A:$U,ROW(),$F$6))))</f>
        <v/>
      </c>
      <c r="AB608" s="31">
        <f>IF($AA608="","",SUBSTITUTE(SUBSTITUTE(SUBSTITUTE(SUBSTITUTE(SUBSTITUTE(SUBSTITUTE(SUBSTITUTE(SUBSTITUTE(SUBSTITUTE($AA608," ",""),"　",""),"(주)",""),"（주）",""),"㈜",""),"주식회사",""),"(유)",""),"（유）",""),"유한회사",""))</f>
        <v/>
      </c>
      <c r="AC608" s="31">
        <f>IF(OR($Y608="",N($Z608)&lt;=0,$AB608=""),0,IFERROR(LOOKUP(2,1/((거래처별!$AC$8:$AC$307&lt;&gt;"")*ISNUMBER(SEARCH(거래처별!$AC$8:$AC$307,$AB608))),거래처별!$A$8:$A$307),IFERROR(LOOKUP(2,1/((거래처별!$AD$8:$AD$307&lt;&gt;"")*ISNUMBER(SEARCH(거래처별!$AD$8:$AD$307,$AB608))),거래처별!$A$8:$A$307),IFERROR(LOOKUP(2,1/((거래처별!$AE$8:$AE$307&lt;&gt;"")*ISNUMBER(SEARCH(거래처별!$AE$8:$AE$307,$AB608))),거래처별!$A$8:$A$307),0))))</f>
        <v/>
      </c>
      <c r="AD608" s="31">
        <f>IF(AND($Y608&lt;&gt;"",N($Z608)&gt;0,$AC608=0),MAX($AD$7:$AD607)+1,"")</f>
        <v/>
      </c>
      <c r="AE608" s="31">
        <f>IF($Y608="",0,$Y608)</f>
        <v/>
      </c>
    </row>
    <row r="609">
      <c r="W609" s="31">
        <f>IF(OR($B$5="",$C$6="",ROW()&lt;$B$5),"",IF(INDEX($A:$U,ROW(),$C$6)="","",INDEX($A:$U,ROW(),$C$6)))</f>
        <v/>
      </c>
      <c r="X609" s="32">
        <f>IF($W609="","",IF(ISNUMBER($W609),IF($W609&gt;=10000000,IFERROR(DATE(INT($W609/10000),MOD(INT($W609/100),100),MOD($W609,100)),""),INT($W609)),IFERROR(DATE(--LEFT(LEFT(SUBSTITUTE(SUBSTITUTE(SUBSTITUTE(SUBSTITUTE(TRIM($W609),"-",""),".",""),"/","")," ",""),8),4),--MID(LEFT(SUBSTITUTE(SUBSTITUTE(SUBSTITUTE(SUBSTITUTE(TRIM($W609),"-",""),".",""),"/","")," ",""),8),5,2),--MID(LEFT(SUBSTITUTE(SUBSTITUTE(SUBSTITUTE(SUBSTITUTE(TRIM($W609),"-",""),".",""),"/","")," ",""),8),7,2)),"")))</f>
        <v/>
      </c>
      <c r="Y609" s="32">
        <f>IF($X609="","",INT($X609))</f>
        <v/>
      </c>
      <c r="Z609" s="33">
        <f>IF(OR($Y609="",$D$6=""),"",IF(INDEX($A:$U,ROW(),$D$6)="",0,IF(ISNUMBER(INDEX($A:$U,ROW(),$D$6)),INDEX($A:$U,ROW(),$D$6),IFERROR(--SUBSTITUTE(SUBSTITUTE(TRIM(INDEX($A:$U,ROW(),$D$6)),",",""),"원",""),0))))</f>
        <v/>
      </c>
      <c r="AA609" s="31">
        <f>IF($Y609="","",TRIM(INDEX($A:$U,ROW(),$E$6)&amp;IF($F$6="",""," "&amp;INDEX($A:$U,ROW(),$F$6))))</f>
        <v/>
      </c>
      <c r="AB609" s="31">
        <f>IF($AA609="","",SUBSTITUTE(SUBSTITUTE(SUBSTITUTE(SUBSTITUTE(SUBSTITUTE(SUBSTITUTE(SUBSTITUTE(SUBSTITUTE(SUBSTITUTE($AA609," ",""),"　",""),"(주)",""),"（주）",""),"㈜",""),"주식회사",""),"(유)",""),"（유）",""),"유한회사",""))</f>
        <v/>
      </c>
      <c r="AC609" s="31">
        <f>IF(OR($Y609="",N($Z609)&lt;=0,$AB609=""),0,IFERROR(LOOKUP(2,1/((거래처별!$AC$8:$AC$307&lt;&gt;"")*ISNUMBER(SEARCH(거래처별!$AC$8:$AC$307,$AB609))),거래처별!$A$8:$A$307),IFERROR(LOOKUP(2,1/((거래처별!$AD$8:$AD$307&lt;&gt;"")*ISNUMBER(SEARCH(거래처별!$AD$8:$AD$307,$AB609))),거래처별!$A$8:$A$307),IFERROR(LOOKUP(2,1/((거래처별!$AE$8:$AE$307&lt;&gt;"")*ISNUMBER(SEARCH(거래처별!$AE$8:$AE$307,$AB609))),거래처별!$A$8:$A$307),0))))</f>
        <v/>
      </c>
      <c r="AD609" s="31">
        <f>IF(AND($Y609&lt;&gt;"",N($Z609)&gt;0,$AC609=0),MAX($AD$7:$AD608)+1,"")</f>
        <v/>
      </c>
      <c r="AE609" s="31">
        <f>IF($Y609="",0,$Y609)</f>
        <v/>
      </c>
    </row>
    <row r="610">
      <c r="W610" s="31">
        <f>IF(OR($B$5="",$C$6="",ROW()&lt;$B$5),"",IF(INDEX($A:$U,ROW(),$C$6)="","",INDEX($A:$U,ROW(),$C$6)))</f>
        <v/>
      </c>
      <c r="X610" s="32">
        <f>IF($W610="","",IF(ISNUMBER($W610),IF($W610&gt;=10000000,IFERROR(DATE(INT($W610/10000),MOD(INT($W610/100),100),MOD($W610,100)),""),INT($W610)),IFERROR(DATE(--LEFT(LEFT(SUBSTITUTE(SUBSTITUTE(SUBSTITUTE(SUBSTITUTE(TRIM($W610),"-",""),".",""),"/","")," ",""),8),4),--MID(LEFT(SUBSTITUTE(SUBSTITUTE(SUBSTITUTE(SUBSTITUTE(TRIM($W610),"-",""),".",""),"/","")," ",""),8),5,2),--MID(LEFT(SUBSTITUTE(SUBSTITUTE(SUBSTITUTE(SUBSTITUTE(TRIM($W610),"-",""),".",""),"/","")," ",""),8),7,2)),"")))</f>
        <v/>
      </c>
      <c r="Y610" s="32">
        <f>IF($X610="","",INT($X610))</f>
        <v/>
      </c>
      <c r="Z610" s="33">
        <f>IF(OR($Y610="",$D$6=""),"",IF(INDEX($A:$U,ROW(),$D$6)="",0,IF(ISNUMBER(INDEX($A:$U,ROW(),$D$6)),INDEX($A:$U,ROW(),$D$6),IFERROR(--SUBSTITUTE(SUBSTITUTE(TRIM(INDEX($A:$U,ROW(),$D$6)),",",""),"원",""),0))))</f>
        <v/>
      </c>
      <c r="AA610" s="31">
        <f>IF($Y610="","",TRIM(INDEX($A:$U,ROW(),$E$6)&amp;IF($F$6="",""," "&amp;INDEX($A:$U,ROW(),$F$6))))</f>
        <v/>
      </c>
      <c r="AB610" s="31">
        <f>IF($AA610="","",SUBSTITUTE(SUBSTITUTE(SUBSTITUTE(SUBSTITUTE(SUBSTITUTE(SUBSTITUTE(SUBSTITUTE(SUBSTITUTE(SUBSTITUTE($AA610," ",""),"　",""),"(주)",""),"（주）",""),"㈜",""),"주식회사",""),"(유)",""),"（유）",""),"유한회사",""))</f>
        <v/>
      </c>
      <c r="AC610" s="31">
        <f>IF(OR($Y610="",N($Z610)&lt;=0,$AB610=""),0,IFERROR(LOOKUP(2,1/((거래처별!$AC$8:$AC$307&lt;&gt;"")*ISNUMBER(SEARCH(거래처별!$AC$8:$AC$307,$AB610))),거래처별!$A$8:$A$307),IFERROR(LOOKUP(2,1/((거래처별!$AD$8:$AD$307&lt;&gt;"")*ISNUMBER(SEARCH(거래처별!$AD$8:$AD$307,$AB610))),거래처별!$A$8:$A$307),IFERROR(LOOKUP(2,1/((거래처별!$AE$8:$AE$307&lt;&gt;"")*ISNUMBER(SEARCH(거래처별!$AE$8:$AE$307,$AB610))),거래처별!$A$8:$A$307),0))))</f>
        <v/>
      </c>
      <c r="AD610" s="31">
        <f>IF(AND($Y610&lt;&gt;"",N($Z610)&gt;0,$AC610=0),MAX($AD$7:$AD609)+1,"")</f>
        <v/>
      </c>
      <c r="AE610" s="31">
        <f>IF($Y610="",0,$Y610)</f>
        <v/>
      </c>
    </row>
    <row r="611">
      <c r="W611" s="31">
        <f>IF(OR($B$5="",$C$6="",ROW()&lt;$B$5),"",IF(INDEX($A:$U,ROW(),$C$6)="","",INDEX($A:$U,ROW(),$C$6)))</f>
        <v/>
      </c>
      <c r="X611" s="32">
        <f>IF($W611="","",IF(ISNUMBER($W611),IF($W611&gt;=10000000,IFERROR(DATE(INT($W611/10000),MOD(INT($W611/100),100),MOD($W611,100)),""),INT($W611)),IFERROR(DATE(--LEFT(LEFT(SUBSTITUTE(SUBSTITUTE(SUBSTITUTE(SUBSTITUTE(TRIM($W611),"-",""),".",""),"/","")," ",""),8),4),--MID(LEFT(SUBSTITUTE(SUBSTITUTE(SUBSTITUTE(SUBSTITUTE(TRIM($W611),"-",""),".",""),"/","")," ",""),8),5,2),--MID(LEFT(SUBSTITUTE(SUBSTITUTE(SUBSTITUTE(SUBSTITUTE(TRIM($W611),"-",""),".",""),"/","")," ",""),8),7,2)),"")))</f>
        <v/>
      </c>
      <c r="Y611" s="32">
        <f>IF($X611="","",INT($X611))</f>
        <v/>
      </c>
      <c r="Z611" s="33">
        <f>IF(OR($Y611="",$D$6=""),"",IF(INDEX($A:$U,ROW(),$D$6)="",0,IF(ISNUMBER(INDEX($A:$U,ROW(),$D$6)),INDEX($A:$U,ROW(),$D$6),IFERROR(--SUBSTITUTE(SUBSTITUTE(TRIM(INDEX($A:$U,ROW(),$D$6)),",",""),"원",""),0))))</f>
        <v/>
      </c>
      <c r="AA611" s="31">
        <f>IF($Y611="","",TRIM(INDEX($A:$U,ROW(),$E$6)&amp;IF($F$6="",""," "&amp;INDEX($A:$U,ROW(),$F$6))))</f>
        <v/>
      </c>
      <c r="AB611" s="31">
        <f>IF($AA611="","",SUBSTITUTE(SUBSTITUTE(SUBSTITUTE(SUBSTITUTE(SUBSTITUTE(SUBSTITUTE(SUBSTITUTE(SUBSTITUTE(SUBSTITUTE($AA611," ",""),"　",""),"(주)",""),"（주）",""),"㈜",""),"주식회사",""),"(유)",""),"（유）",""),"유한회사",""))</f>
        <v/>
      </c>
      <c r="AC611" s="31">
        <f>IF(OR($Y611="",N($Z611)&lt;=0,$AB611=""),0,IFERROR(LOOKUP(2,1/((거래처별!$AC$8:$AC$307&lt;&gt;"")*ISNUMBER(SEARCH(거래처별!$AC$8:$AC$307,$AB611))),거래처별!$A$8:$A$307),IFERROR(LOOKUP(2,1/((거래처별!$AD$8:$AD$307&lt;&gt;"")*ISNUMBER(SEARCH(거래처별!$AD$8:$AD$307,$AB611))),거래처별!$A$8:$A$307),IFERROR(LOOKUP(2,1/((거래처별!$AE$8:$AE$307&lt;&gt;"")*ISNUMBER(SEARCH(거래처별!$AE$8:$AE$307,$AB611))),거래처별!$A$8:$A$307),0))))</f>
        <v/>
      </c>
      <c r="AD611" s="31">
        <f>IF(AND($Y611&lt;&gt;"",N($Z611)&gt;0,$AC611=0),MAX($AD$7:$AD610)+1,"")</f>
        <v/>
      </c>
      <c r="AE611" s="31">
        <f>IF($Y611="",0,$Y611)</f>
        <v/>
      </c>
    </row>
    <row r="612">
      <c r="W612" s="31">
        <f>IF(OR($B$5="",$C$6="",ROW()&lt;$B$5),"",IF(INDEX($A:$U,ROW(),$C$6)="","",INDEX($A:$U,ROW(),$C$6)))</f>
        <v/>
      </c>
      <c r="X612" s="32">
        <f>IF($W612="","",IF(ISNUMBER($W612),IF($W612&gt;=10000000,IFERROR(DATE(INT($W612/10000),MOD(INT($W612/100),100),MOD($W612,100)),""),INT($W612)),IFERROR(DATE(--LEFT(LEFT(SUBSTITUTE(SUBSTITUTE(SUBSTITUTE(SUBSTITUTE(TRIM($W612),"-",""),".",""),"/","")," ",""),8),4),--MID(LEFT(SUBSTITUTE(SUBSTITUTE(SUBSTITUTE(SUBSTITUTE(TRIM($W612),"-",""),".",""),"/","")," ",""),8),5,2),--MID(LEFT(SUBSTITUTE(SUBSTITUTE(SUBSTITUTE(SUBSTITUTE(TRIM($W612),"-",""),".",""),"/","")," ",""),8),7,2)),"")))</f>
        <v/>
      </c>
      <c r="Y612" s="32">
        <f>IF($X612="","",INT($X612))</f>
        <v/>
      </c>
      <c r="Z612" s="33">
        <f>IF(OR($Y612="",$D$6=""),"",IF(INDEX($A:$U,ROW(),$D$6)="",0,IF(ISNUMBER(INDEX($A:$U,ROW(),$D$6)),INDEX($A:$U,ROW(),$D$6),IFERROR(--SUBSTITUTE(SUBSTITUTE(TRIM(INDEX($A:$U,ROW(),$D$6)),",",""),"원",""),0))))</f>
        <v/>
      </c>
      <c r="AA612" s="31">
        <f>IF($Y612="","",TRIM(INDEX($A:$U,ROW(),$E$6)&amp;IF($F$6="",""," "&amp;INDEX($A:$U,ROW(),$F$6))))</f>
        <v/>
      </c>
      <c r="AB612" s="31">
        <f>IF($AA612="","",SUBSTITUTE(SUBSTITUTE(SUBSTITUTE(SUBSTITUTE(SUBSTITUTE(SUBSTITUTE(SUBSTITUTE(SUBSTITUTE(SUBSTITUTE($AA612," ",""),"　",""),"(주)",""),"（주）",""),"㈜",""),"주식회사",""),"(유)",""),"（유）",""),"유한회사",""))</f>
        <v/>
      </c>
      <c r="AC612" s="31">
        <f>IF(OR($Y612="",N($Z612)&lt;=0,$AB612=""),0,IFERROR(LOOKUP(2,1/((거래처별!$AC$8:$AC$307&lt;&gt;"")*ISNUMBER(SEARCH(거래처별!$AC$8:$AC$307,$AB612))),거래처별!$A$8:$A$307),IFERROR(LOOKUP(2,1/((거래처별!$AD$8:$AD$307&lt;&gt;"")*ISNUMBER(SEARCH(거래처별!$AD$8:$AD$307,$AB612))),거래처별!$A$8:$A$307),IFERROR(LOOKUP(2,1/((거래처별!$AE$8:$AE$307&lt;&gt;"")*ISNUMBER(SEARCH(거래처별!$AE$8:$AE$307,$AB612))),거래처별!$A$8:$A$307),0))))</f>
        <v/>
      </c>
      <c r="AD612" s="31">
        <f>IF(AND($Y612&lt;&gt;"",N($Z612)&gt;0,$AC612=0),MAX($AD$7:$AD611)+1,"")</f>
        <v/>
      </c>
      <c r="AE612" s="31">
        <f>IF($Y612="",0,$Y612)</f>
        <v/>
      </c>
    </row>
    <row r="613">
      <c r="W613" s="31">
        <f>IF(OR($B$5="",$C$6="",ROW()&lt;$B$5),"",IF(INDEX($A:$U,ROW(),$C$6)="","",INDEX($A:$U,ROW(),$C$6)))</f>
        <v/>
      </c>
      <c r="X613" s="32">
        <f>IF($W613="","",IF(ISNUMBER($W613),IF($W613&gt;=10000000,IFERROR(DATE(INT($W613/10000),MOD(INT($W613/100),100),MOD($W613,100)),""),INT($W613)),IFERROR(DATE(--LEFT(LEFT(SUBSTITUTE(SUBSTITUTE(SUBSTITUTE(SUBSTITUTE(TRIM($W613),"-",""),".",""),"/","")," ",""),8),4),--MID(LEFT(SUBSTITUTE(SUBSTITUTE(SUBSTITUTE(SUBSTITUTE(TRIM($W613),"-",""),".",""),"/","")," ",""),8),5,2),--MID(LEFT(SUBSTITUTE(SUBSTITUTE(SUBSTITUTE(SUBSTITUTE(TRIM($W613),"-",""),".",""),"/","")," ",""),8),7,2)),"")))</f>
        <v/>
      </c>
      <c r="Y613" s="32">
        <f>IF($X613="","",INT($X613))</f>
        <v/>
      </c>
      <c r="Z613" s="33">
        <f>IF(OR($Y613="",$D$6=""),"",IF(INDEX($A:$U,ROW(),$D$6)="",0,IF(ISNUMBER(INDEX($A:$U,ROW(),$D$6)),INDEX($A:$U,ROW(),$D$6),IFERROR(--SUBSTITUTE(SUBSTITUTE(TRIM(INDEX($A:$U,ROW(),$D$6)),",",""),"원",""),0))))</f>
        <v/>
      </c>
      <c r="AA613" s="31">
        <f>IF($Y613="","",TRIM(INDEX($A:$U,ROW(),$E$6)&amp;IF($F$6="",""," "&amp;INDEX($A:$U,ROW(),$F$6))))</f>
        <v/>
      </c>
      <c r="AB613" s="31">
        <f>IF($AA613="","",SUBSTITUTE(SUBSTITUTE(SUBSTITUTE(SUBSTITUTE(SUBSTITUTE(SUBSTITUTE(SUBSTITUTE(SUBSTITUTE(SUBSTITUTE($AA613," ",""),"　",""),"(주)",""),"（주）",""),"㈜",""),"주식회사",""),"(유)",""),"（유）",""),"유한회사",""))</f>
        <v/>
      </c>
      <c r="AC613" s="31">
        <f>IF(OR($Y613="",N($Z613)&lt;=0,$AB613=""),0,IFERROR(LOOKUP(2,1/((거래처별!$AC$8:$AC$307&lt;&gt;"")*ISNUMBER(SEARCH(거래처별!$AC$8:$AC$307,$AB613))),거래처별!$A$8:$A$307),IFERROR(LOOKUP(2,1/((거래처별!$AD$8:$AD$307&lt;&gt;"")*ISNUMBER(SEARCH(거래처별!$AD$8:$AD$307,$AB613))),거래처별!$A$8:$A$307),IFERROR(LOOKUP(2,1/((거래처별!$AE$8:$AE$307&lt;&gt;"")*ISNUMBER(SEARCH(거래처별!$AE$8:$AE$307,$AB613))),거래처별!$A$8:$A$307),0))))</f>
        <v/>
      </c>
      <c r="AD613" s="31">
        <f>IF(AND($Y613&lt;&gt;"",N($Z613)&gt;0,$AC613=0),MAX($AD$7:$AD612)+1,"")</f>
        <v/>
      </c>
      <c r="AE613" s="31">
        <f>IF($Y613="",0,$Y613)</f>
        <v/>
      </c>
    </row>
    <row r="614">
      <c r="W614" s="31">
        <f>IF(OR($B$5="",$C$6="",ROW()&lt;$B$5),"",IF(INDEX($A:$U,ROW(),$C$6)="","",INDEX($A:$U,ROW(),$C$6)))</f>
        <v/>
      </c>
      <c r="X614" s="32">
        <f>IF($W614="","",IF(ISNUMBER($W614),IF($W614&gt;=10000000,IFERROR(DATE(INT($W614/10000),MOD(INT($W614/100),100),MOD($W614,100)),""),INT($W614)),IFERROR(DATE(--LEFT(LEFT(SUBSTITUTE(SUBSTITUTE(SUBSTITUTE(SUBSTITUTE(TRIM($W614),"-",""),".",""),"/","")," ",""),8),4),--MID(LEFT(SUBSTITUTE(SUBSTITUTE(SUBSTITUTE(SUBSTITUTE(TRIM($W614),"-",""),".",""),"/","")," ",""),8),5,2),--MID(LEFT(SUBSTITUTE(SUBSTITUTE(SUBSTITUTE(SUBSTITUTE(TRIM($W614),"-",""),".",""),"/","")," ",""),8),7,2)),"")))</f>
        <v/>
      </c>
      <c r="Y614" s="32">
        <f>IF($X614="","",INT($X614))</f>
        <v/>
      </c>
      <c r="Z614" s="33">
        <f>IF(OR($Y614="",$D$6=""),"",IF(INDEX($A:$U,ROW(),$D$6)="",0,IF(ISNUMBER(INDEX($A:$U,ROW(),$D$6)),INDEX($A:$U,ROW(),$D$6),IFERROR(--SUBSTITUTE(SUBSTITUTE(TRIM(INDEX($A:$U,ROW(),$D$6)),",",""),"원",""),0))))</f>
        <v/>
      </c>
      <c r="AA614" s="31">
        <f>IF($Y614="","",TRIM(INDEX($A:$U,ROW(),$E$6)&amp;IF($F$6="",""," "&amp;INDEX($A:$U,ROW(),$F$6))))</f>
        <v/>
      </c>
      <c r="AB614" s="31">
        <f>IF($AA614="","",SUBSTITUTE(SUBSTITUTE(SUBSTITUTE(SUBSTITUTE(SUBSTITUTE(SUBSTITUTE(SUBSTITUTE(SUBSTITUTE(SUBSTITUTE($AA614," ",""),"　",""),"(주)",""),"（주）",""),"㈜",""),"주식회사",""),"(유)",""),"（유）",""),"유한회사",""))</f>
        <v/>
      </c>
      <c r="AC614" s="31">
        <f>IF(OR($Y614="",N($Z614)&lt;=0,$AB614=""),0,IFERROR(LOOKUP(2,1/((거래처별!$AC$8:$AC$307&lt;&gt;"")*ISNUMBER(SEARCH(거래처별!$AC$8:$AC$307,$AB614))),거래처별!$A$8:$A$307),IFERROR(LOOKUP(2,1/((거래처별!$AD$8:$AD$307&lt;&gt;"")*ISNUMBER(SEARCH(거래처별!$AD$8:$AD$307,$AB614))),거래처별!$A$8:$A$307),IFERROR(LOOKUP(2,1/((거래처별!$AE$8:$AE$307&lt;&gt;"")*ISNUMBER(SEARCH(거래처별!$AE$8:$AE$307,$AB614))),거래처별!$A$8:$A$307),0))))</f>
        <v/>
      </c>
      <c r="AD614" s="31">
        <f>IF(AND($Y614&lt;&gt;"",N($Z614)&gt;0,$AC614=0),MAX($AD$7:$AD613)+1,"")</f>
        <v/>
      </c>
      <c r="AE614" s="31">
        <f>IF($Y614="",0,$Y614)</f>
        <v/>
      </c>
    </row>
    <row r="615">
      <c r="W615" s="31">
        <f>IF(OR($B$5="",$C$6="",ROW()&lt;$B$5),"",IF(INDEX($A:$U,ROW(),$C$6)="","",INDEX($A:$U,ROW(),$C$6)))</f>
        <v/>
      </c>
      <c r="X615" s="32">
        <f>IF($W615="","",IF(ISNUMBER($W615),IF($W615&gt;=10000000,IFERROR(DATE(INT($W615/10000),MOD(INT($W615/100),100),MOD($W615,100)),""),INT($W615)),IFERROR(DATE(--LEFT(LEFT(SUBSTITUTE(SUBSTITUTE(SUBSTITUTE(SUBSTITUTE(TRIM($W615),"-",""),".",""),"/","")," ",""),8),4),--MID(LEFT(SUBSTITUTE(SUBSTITUTE(SUBSTITUTE(SUBSTITUTE(TRIM($W615),"-",""),".",""),"/","")," ",""),8),5,2),--MID(LEFT(SUBSTITUTE(SUBSTITUTE(SUBSTITUTE(SUBSTITUTE(TRIM($W615),"-",""),".",""),"/","")," ",""),8),7,2)),"")))</f>
        <v/>
      </c>
      <c r="Y615" s="32">
        <f>IF($X615="","",INT($X615))</f>
        <v/>
      </c>
      <c r="Z615" s="33">
        <f>IF(OR($Y615="",$D$6=""),"",IF(INDEX($A:$U,ROW(),$D$6)="",0,IF(ISNUMBER(INDEX($A:$U,ROW(),$D$6)),INDEX($A:$U,ROW(),$D$6),IFERROR(--SUBSTITUTE(SUBSTITUTE(TRIM(INDEX($A:$U,ROW(),$D$6)),",",""),"원",""),0))))</f>
        <v/>
      </c>
      <c r="AA615" s="31">
        <f>IF($Y615="","",TRIM(INDEX($A:$U,ROW(),$E$6)&amp;IF($F$6="",""," "&amp;INDEX($A:$U,ROW(),$F$6))))</f>
        <v/>
      </c>
      <c r="AB615" s="31">
        <f>IF($AA615="","",SUBSTITUTE(SUBSTITUTE(SUBSTITUTE(SUBSTITUTE(SUBSTITUTE(SUBSTITUTE(SUBSTITUTE(SUBSTITUTE(SUBSTITUTE($AA615," ",""),"　",""),"(주)",""),"（주）",""),"㈜",""),"주식회사",""),"(유)",""),"（유）",""),"유한회사",""))</f>
        <v/>
      </c>
      <c r="AC615" s="31">
        <f>IF(OR($Y615="",N($Z615)&lt;=0,$AB615=""),0,IFERROR(LOOKUP(2,1/((거래처별!$AC$8:$AC$307&lt;&gt;"")*ISNUMBER(SEARCH(거래처별!$AC$8:$AC$307,$AB615))),거래처별!$A$8:$A$307),IFERROR(LOOKUP(2,1/((거래처별!$AD$8:$AD$307&lt;&gt;"")*ISNUMBER(SEARCH(거래처별!$AD$8:$AD$307,$AB615))),거래처별!$A$8:$A$307),IFERROR(LOOKUP(2,1/((거래처별!$AE$8:$AE$307&lt;&gt;"")*ISNUMBER(SEARCH(거래처별!$AE$8:$AE$307,$AB615))),거래처별!$A$8:$A$307),0))))</f>
        <v/>
      </c>
      <c r="AD615" s="31">
        <f>IF(AND($Y615&lt;&gt;"",N($Z615)&gt;0,$AC615=0),MAX($AD$7:$AD614)+1,"")</f>
        <v/>
      </c>
      <c r="AE615" s="31">
        <f>IF($Y615="",0,$Y615)</f>
        <v/>
      </c>
    </row>
    <row r="616">
      <c r="W616" s="31">
        <f>IF(OR($B$5="",$C$6="",ROW()&lt;$B$5),"",IF(INDEX($A:$U,ROW(),$C$6)="","",INDEX($A:$U,ROW(),$C$6)))</f>
        <v/>
      </c>
      <c r="X616" s="32">
        <f>IF($W616="","",IF(ISNUMBER($W616),IF($W616&gt;=10000000,IFERROR(DATE(INT($W616/10000),MOD(INT($W616/100),100),MOD($W616,100)),""),INT($W616)),IFERROR(DATE(--LEFT(LEFT(SUBSTITUTE(SUBSTITUTE(SUBSTITUTE(SUBSTITUTE(TRIM($W616),"-",""),".",""),"/","")," ",""),8),4),--MID(LEFT(SUBSTITUTE(SUBSTITUTE(SUBSTITUTE(SUBSTITUTE(TRIM($W616),"-",""),".",""),"/","")," ",""),8),5,2),--MID(LEFT(SUBSTITUTE(SUBSTITUTE(SUBSTITUTE(SUBSTITUTE(TRIM($W616),"-",""),".",""),"/","")," ",""),8),7,2)),"")))</f>
        <v/>
      </c>
      <c r="Y616" s="32">
        <f>IF($X616="","",INT($X616))</f>
        <v/>
      </c>
      <c r="Z616" s="33">
        <f>IF(OR($Y616="",$D$6=""),"",IF(INDEX($A:$U,ROW(),$D$6)="",0,IF(ISNUMBER(INDEX($A:$U,ROW(),$D$6)),INDEX($A:$U,ROW(),$D$6),IFERROR(--SUBSTITUTE(SUBSTITUTE(TRIM(INDEX($A:$U,ROW(),$D$6)),",",""),"원",""),0))))</f>
        <v/>
      </c>
      <c r="AA616" s="31">
        <f>IF($Y616="","",TRIM(INDEX($A:$U,ROW(),$E$6)&amp;IF($F$6="",""," "&amp;INDEX($A:$U,ROW(),$F$6))))</f>
        <v/>
      </c>
      <c r="AB616" s="31">
        <f>IF($AA616="","",SUBSTITUTE(SUBSTITUTE(SUBSTITUTE(SUBSTITUTE(SUBSTITUTE(SUBSTITUTE(SUBSTITUTE(SUBSTITUTE(SUBSTITUTE($AA616," ",""),"　",""),"(주)",""),"（주）",""),"㈜",""),"주식회사",""),"(유)",""),"（유）",""),"유한회사",""))</f>
        <v/>
      </c>
      <c r="AC616" s="31">
        <f>IF(OR($Y616="",N($Z616)&lt;=0,$AB616=""),0,IFERROR(LOOKUP(2,1/((거래처별!$AC$8:$AC$307&lt;&gt;"")*ISNUMBER(SEARCH(거래처별!$AC$8:$AC$307,$AB616))),거래처별!$A$8:$A$307),IFERROR(LOOKUP(2,1/((거래처별!$AD$8:$AD$307&lt;&gt;"")*ISNUMBER(SEARCH(거래처별!$AD$8:$AD$307,$AB616))),거래처별!$A$8:$A$307),IFERROR(LOOKUP(2,1/((거래처별!$AE$8:$AE$307&lt;&gt;"")*ISNUMBER(SEARCH(거래처별!$AE$8:$AE$307,$AB616))),거래처별!$A$8:$A$307),0))))</f>
        <v/>
      </c>
      <c r="AD616" s="31">
        <f>IF(AND($Y616&lt;&gt;"",N($Z616)&gt;0,$AC616=0),MAX($AD$7:$AD615)+1,"")</f>
        <v/>
      </c>
      <c r="AE616" s="31">
        <f>IF($Y616="",0,$Y616)</f>
        <v/>
      </c>
    </row>
    <row r="617">
      <c r="W617" s="31">
        <f>IF(OR($B$5="",$C$6="",ROW()&lt;$B$5),"",IF(INDEX($A:$U,ROW(),$C$6)="","",INDEX($A:$U,ROW(),$C$6)))</f>
        <v/>
      </c>
      <c r="X617" s="32">
        <f>IF($W617="","",IF(ISNUMBER($W617),IF($W617&gt;=10000000,IFERROR(DATE(INT($W617/10000),MOD(INT($W617/100),100),MOD($W617,100)),""),INT($W617)),IFERROR(DATE(--LEFT(LEFT(SUBSTITUTE(SUBSTITUTE(SUBSTITUTE(SUBSTITUTE(TRIM($W617),"-",""),".",""),"/","")," ",""),8),4),--MID(LEFT(SUBSTITUTE(SUBSTITUTE(SUBSTITUTE(SUBSTITUTE(TRIM($W617),"-",""),".",""),"/","")," ",""),8),5,2),--MID(LEFT(SUBSTITUTE(SUBSTITUTE(SUBSTITUTE(SUBSTITUTE(TRIM($W617),"-",""),".",""),"/","")," ",""),8),7,2)),"")))</f>
        <v/>
      </c>
      <c r="Y617" s="32">
        <f>IF($X617="","",INT($X617))</f>
        <v/>
      </c>
      <c r="Z617" s="33">
        <f>IF(OR($Y617="",$D$6=""),"",IF(INDEX($A:$U,ROW(),$D$6)="",0,IF(ISNUMBER(INDEX($A:$U,ROW(),$D$6)),INDEX($A:$U,ROW(),$D$6),IFERROR(--SUBSTITUTE(SUBSTITUTE(TRIM(INDEX($A:$U,ROW(),$D$6)),",",""),"원",""),0))))</f>
        <v/>
      </c>
      <c r="AA617" s="31">
        <f>IF($Y617="","",TRIM(INDEX($A:$U,ROW(),$E$6)&amp;IF($F$6="",""," "&amp;INDEX($A:$U,ROW(),$F$6))))</f>
        <v/>
      </c>
      <c r="AB617" s="31">
        <f>IF($AA617="","",SUBSTITUTE(SUBSTITUTE(SUBSTITUTE(SUBSTITUTE(SUBSTITUTE(SUBSTITUTE(SUBSTITUTE(SUBSTITUTE(SUBSTITUTE($AA617," ",""),"　",""),"(주)",""),"（주）",""),"㈜",""),"주식회사",""),"(유)",""),"（유）",""),"유한회사",""))</f>
        <v/>
      </c>
      <c r="AC617" s="31">
        <f>IF(OR($Y617="",N($Z617)&lt;=0,$AB617=""),0,IFERROR(LOOKUP(2,1/((거래처별!$AC$8:$AC$307&lt;&gt;"")*ISNUMBER(SEARCH(거래처별!$AC$8:$AC$307,$AB617))),거래처별!$A$8:$A$307),IFERROR(LOOKUP(2,1/((거래처별!$AD$8:$AD$307&lt;&gt;"")*ISNUMBER(SEARCH(거래처별!$AD$8:$AD$307,$AB617))),거래처별!$A$8:$A$307),IFERROR(LOOKUP(2,1/((거래처별!$AE$8:$AE$307&lt;&gt;"")*ISNUMBER(SEARCH(거래처별!$AE$8:$AE$307,$AB617))),거래처별!$A$8:$A$307),0))))</f>
        <v/>
      </c>
      <c r="AD617" s="31">
        <f>IF(AND($Y617&lt;&gt;"",N($Z617)&gt;0,$AC617=0),MAX($AD$7:$AD616)+1,"")</f>
        <v/>
      </c>
      <c r="AE617" s="31">
        <f>IF($Y617="",0,$Y617)</f>
        <v/>
      </c>
    </row>
    <row r="618">
      <c r="W618" s="31">
        <f>IF(OR($B$5="",$C$6="",ROW()&lt;$B$5),"",IF(INDEX($A:$U,ROW(),$C$6)="","",INDEX($A:$U,ROW(),$C$6)))</f>
        <v/>
      </c>
      <c r="X618" s="32">
        <f>IF($W618="","",IF(ISNUMBER($W618),IF($W618&gt;=10000000,IFERROR(DATE(INT($W618/10000),MOD(INT($W618/100),100),MOD($W618,100)),""),INT($W618)),IFERROR(DATE(--LEFT(LEFT(SUBSTITUTE(SUBSTITUTE(SUBSTITUTE(SUBSTITUTE(TRIM($W618),"-",""),".",""),"/","")," ",""),8),4),--MID(LEFT(SUBSTITUTE(SUBSTITUTE(SUBSTITUTE(SUBSTITUTE(TRIM($W618),"-",""),".",""),"/","")," ",""),8),5,2),--MID(LEFT(SUBSTITUTE(SUBSTITUTE(SUBSTITUTE(SUBSTITUTE(TRIM($W618),"-",""),".",""),"/","")," ",""),8),7,2)),"")))</f>
        <v/>
      </c>
      <c r="Y618" s="32">
        <f>IF($X618="","",INT($X618))</f>
        <v/>
      </c>
      <c r="Z618" s="33">
        <f>IF(OR($Y618="",$D$6=""),"",IF(INDEX($A:$U,ROW(),$D$6)="",0,IF(ISNUMBER(INDEX($A:$U,ROW(),$D$6)),INDEX($A:$U,ROW(),$D$6),IFERROR(--SUBSTITUTE(SUBSTITUTE(TRIM(INDEX($A:$U,ROW(),$D$6)),",",""),"원",""),0))))</f>
        <v/>
      </c>
      <c r="AA618" s="31">
        <f>IF($Y618="","",TRIM(INDEX($A:$U,ROW(),$E$6)&amp;IF($F$6="",""," "&amp;INDEX($A:$U,ROW(),$F$6))))</f>
        <v/>
      </c>
      <c r="AB618" s="31">
        <f>IF($AA618="","",SUBSTITUTE(SUBSTITUTE(SUBSTITUTE(SUBSTITUTE(SUBSTITUTE(SUBSTITUTE(SUBSTITUTE(SUBSTITUTE(SUBSTITUTE($AA618," ",""),"　",""),"(주)",""),"（주）",""),"㈜",""),"주식회사",""),"(유)",""),"（유）",""),"유한회사",""))</f>
        <v/>
      </c>
      <c r="AC618" s="31">
        <f>IF(OR($Y618="",N($Z618)&lt;=0,$AB618=""),0,IFERROR(LOOKUP(2,1/((거래처별!$AC$8:$AC$307&lt;&gt;"")*ISNUMBER(SEARCH(거래처별!$AC$8:$AC$307,$AB618))),거래처별!$A$8:$A$307),IFERROR(LOOKUP(2,1/((거래처별!$AD$8:$AD$307&lt;&gt;"")*ISNUMBER(SEARCH(거래처별!$AD$8:$AD$307,$AB618))),거래처별!$A$8:$A$307),IFERROR(LOOKUP(2,1/((거래처별!$AE$8:$AE$307&lt;&gt;"")*ISNUMBER(SEARCH(거래처별!$AE$8:$AE$307,$AB618))),거래처별!$A$8:$A$307),0))))</f>
        <v/>
      </c>
      <c r="AD618" s="31">
        <f>IF(AND($Y618&lt;&gt;"",N($Z618)&gt;0,$AC618=0),MAX($AD$7:$AD617)+1,"")</f>
        <v/>
      </c>
      <c r="AE618" s="31">
        <f>IF($Y618="",0,$Y618)</f>
        <v/>
      </c>
    </row>
    <row r="619">
      <c r="W619" s="31">
        <f>IF(OR($B$5="",$C$6="",ROW()&lt;$B$5),"",IF(INDEX($A:$U,ROW(),$C$6)="","",INDEX($A:$U,ROW(),$C$6)))</f>
        <v/>
      </c>
      <c r="X619" s="32">
        <f>IF($W619="","",IF(ISNUMBER($W619),IF($W619&gt;=10000000,IFERROR(DATE(INT($W619/10000),MOD(INT($W619/100),100),MOD($W619,100)),""),INT($W619)),IFERROR(DATE(--LEFT(LEFT(SUBSTITUTE(SUBSTITUTE(SUBSTITUTE(SUBSTITUTE(TRIM($W619),"-",""),".",""),"/","")," ",""),8),4),--MID(LEFT(SUBSTITUTE(SUBSTITUTE(SUBSTITUTE(SUBSTITUTE(TRIM($W619),"-",""),".",""),"/","")," ",""),8),5,2),--MID(LEFT(SUBSTITUTE(SUBSTITUTE(SUBSTITUTE(SUBSTITUTE(TRIM($W619),"-",""),".",""),"/","")," ",""),8),7,2)),"")))</f>
        <v/>
      </c>
      <c r="Y619" s="32">
        <f>IF($X619="","",INT($X619))</f>
        <v/>
      </c>
      <c r="Z619" s="33">
        <f>IF(OR($Y619="",$D$6=""),"",IF(INDEX($A:$U,ROW(),$D$6)="",0,IF(ISNUMBER(INDEX($A:$U,ROW(),$D$6)),INDEX($A:$U,ROW(),$D$6),IFERROR(--SUBSTITUTE(SUBSTITUTE(TRIM(INDEX($A:$U,ROW(),$D$6)),",",""),"원",""),0))))</f>
        <v/>
      </c>
      <c r="AA619" s="31">
        <f>IF($Y619="","",TRIM(INDEX($A:$U,ROW(),$E$6)&amp;IF($F$6="",""," "&amp;INDEX($A:$U,ROW(),$F$6))))</f>
        <v/>
      </c>
      <c r="AB619" s="31">
        <f>IF($AA619="","",SUBSTITUTE(SUBSTITUTE(SUBSTITUTE(SUBSTITUTE(SUBSTITUTE(SUBSTITUTE(SUBSTITUTE(SUBSTITUTE(SUBSTITUTE($AA619," ",""),"　",""),"(주)",""),"（주）",""),"㈜",""),"주식회사",""),"(유)",""),"（유）",""),"유한회사",""))</f>
        <v/>
      </c>
      <c r="AC619" s="31">
        <f>IF(OR($Y619="",N($Z619)&lt;=0,$AB619=""),0,IFERROR(LOOKUP(2,1/((거래처별!$AC$8:$AC$307&lt;&gt;"")*ISNUMBER(SEARCH(거래처별!$AC$8:$AC$307,$AB619))),거래처별!$A$8:$A$307),IFERROR(LOOKUP(2,1/((거래처별!$AD$8:$AD$307&lt;&gt;"")*ISNUMBER(SEARCH(거래처별!$AD$8:$AD$307,$AB619))),거래처별!$A$8:$A$307),IFERROR(LOOKUP(2,1/((거래처별!$AE$8:$AE$307&lt;&gt;"")*ISNUMBER(SEARCH(거래처별!$AE$8:$AE$307,$AB619))),거래처별!$A$8:$A$307),0))))</f>
        <v/>
      </c>
      <c r="AD619" s="31">
        <f>IF(AND($Y619&lt;&gt;"",N($Z619)&gt;0,$AC619=0),MAX($AD$7:$AD618)+1,"")</f>
        <v/>
      </c>
      <c r="AE619" s="31">
        <f>IF($Y619="",0,$Y619)</f>
        <v/>
      </c>
    </row>
    <row r="620">
      <c r="W620" s="31">
        <f>IF(OR($B$5="",$C$6="",ROW()&lt;$B$5),"",IF(INDEX($A:$U,ROW(),$C$6)="","",INDEX($A:$U,ROW(),$C$6)))</f>
        <v/>
      </c>
      <c r="X620" s="32">
        <f>IF($W620="","",IF(ISNUMBER($W620),IF($W620&gt;=10000000,IFERROR(DATE(INT($W620/10000),MOD(INT($W620/100),100),MOD($W620,100)),""),INT($W620)),IFERROR(DATE(--LEFT(LEFT(SUBSTITUTE(SUBSTITUTE(SUBSTITUTE(SUBSTITUTE(TRIM($W620),"-",""),".",""),"/","")," ",""),8),4),--MID(LEFT(SUBSTITUTE(SUBSTITUTE(SUBSTITUTE(SUBSTITUTE(TRIM($W620),"-",""),".",""),"/","")," ",""),8),5,2),--MID(LEFT(SUBSTITUTE(SUBSTITUTE(SUBSTITUTE(SUBSTITUTE(TRIM($W620),"-",""),".",""),"/","")," ",""),8),7,2)),"")))</f>
        <v/>
      </c>
      <c r="Y620" s="32">
        <f>IF($X620="","",INT($X620))</f>
        <v/>
      </c>
      <c r="Z620" s="33">
        <f>IF(OR($Y620="",$D$6=""),"",IF(INDEX($A:$U,ROW(),$D$6)="",0,IF(ISNUMBER(INDEX($A:$U,ROW(),$D$6)),INDEX($A:$U,ROW(),$D$6),IFERROR(--SUBSTITUTE(SUBSTITUTE(TRIM(INDEX($A:$U,ROW(),$D$6)),",",""),"원",""),0))))</f>
        <v/>
      </c>
      <c r="AA620" s="31">
        <f>IF($Y620="","",TRIM(INDEX($A:$U,ROW(),$E$6)&amp;IF($F$6="",""," "&amp;INDEX($A:$U,ROW(),$F$6))))</f>
        <v/>
      </c>
      <c r="AB620" s="31">
        <f>IF($AA620="","",SUBSTITUTE(SUBSTITUTE(SUBSTITUTE(SUBSTITUTE(SUBSTITUTE(SUBSTITUTE(SUBSTITUTE(SUBSTITUTE(SUBSTITUTE($AA620," ",""),"　",""),"(주)",""),"（주）",""),"㈜",""),"주식회사",""),"(유)",""),"（유）",""),"유한회사",""))</f>
        <v/>
      </c>
      <c r="AC620" s="31">
        <f>IF(OR($Y620="",N($Z620)&lt;=0,$AB620=""),0,IFERROR(LOOKUP(2,1/((거래처별!$AC$8:$AC$307&lt;&gt;"")*ISNUMBER(SEARCH(거래처별!$AC$8:$AC$307,$AB620))),거래처별!$A$8:$A$307),IFERROR(LOOKUP(2,1/((거래처별!$AD$8:$AD$307&lt;&gt;"")*ISNUMBER(SEARCH(거래처별!$AD$8:$AD$307,$AB620))),거래처별!$A$8:$A$307),IFERROR(LOOKUP(2,1/((거래처별!$AE$8:$AE$307&lt;&gt;"")*ISNUMBER(SEARCH(거래처별!$AE$8:$AE$307,$AB620))),거래처별!$A$8:$A$307),0))))</f>
        <v/>
      </c>
      <c r="AD620" s="31">
        <f>IF(AND($Y620&lt;&gt;"",N($Z620)&gt;0,$AC620=0),MAX($AD$7:$AD619)+1,"")</f>
        <v/>
      </c>
      <c r="AE620" s="31">
        <f>IF($Y620="",0,$Y620)</f>
        <v/>
      </c>
    </row>
    <row r="621">
      <c r="W621" s="31">
        <f>IF(OR($B$5="",$C$6="",ROW()&lt;$B$5),"",IF(INDEX($A:$U,ROW(),$C$6)="","",INDEX($A:$U,ROW(),$C$6)))</f>
        <v/>
      </c>
      <c r="X621" s="32">
        <f>IF($W621="","",IF(ISNUMBER($W621),IF($W621&gt;=10000000,IFERROR(DATE(INT($W621/10000),MOD(INT($W621/100),100),MOD($W621,100)),""),INT($W621)),IFERROR(DATE(--LEFT(LEFT(SUBSTITUTE(SUBSTITUTE(SUBSTITUTE(SUBSTITUTE(TRIM($W621),"-",""),".",""),"/","")," ",""),8),4),--MID(LEFT(SUBSTITUTE(SUBSTITUTE(SUBSTITUTE(SUBSTITUTE(TRIM($W621),"-",""),".",""),"/","")," ",""),8),5,2),--MID(LEFT(SUBSTITUTE(SUBSTITUTE(SUBSTITUTE(SUBSTITUTE(TRIM($W621),"-",""),".",""),"/","")," ",""),8),7,2)),"")))</f>
        <v/>
      </c>
      <c r="Y621" s="32">
        <f>IF($X621="","",INT($X621))</f>
        <v/>
      </c>
      <c r="Z621" s="33">
        <f>IF(OR($Y621="",$D$6=""),"",IF(INDEX($A:$U,ROW(),$D$6)="",0,IF(ISNUMBER(INDEX($A:$U,ROW(),$D$6)),INDEX($A:$U,ROW(),$D$6),IFERROR(--SUBSTITUTE(SUBSTITUTE(TRIM(INDEX($A:$U,ROW(),$D$6)),",",""),"원",""),0))))</f>
        <v/>
      </c>
      <c r="AA621" s="31">
        <f>IF($Y621="","",TRIM(INDEX($A:$U,ROW(),$E$6)&amp;IF($F$6="",""," "&amp;INDEX($A:$U,ROW(),$F$6))))</f>
        <v/>
      </c>
      <c r="AB621" s="31">
        <f>IF($AA621="","",SUBSTITUTE(SUBSTITUTE(SUBSTITUTE(SUBSTITUTE(SUBSTITUTE(SUBSTITUTE(SUBSTITUTE(SUBSTITUTE(SUBSTITUTE($AA621," ",""),"　",""),"(주)",""),"（주）",""),"㈜",""),"주식회사",""),"(유)",""),"（유）",""),"유한회사",""))</f>
        <v/>
      </c>
      <c r="AC621" s="31">
        <f>IF(OR($Y621="",N($Z621)&lt;=0,$AB621=""),0,IFERROR(LOOKUP(2,1/((거래처별!$AC$8:$AC$307&lt;&gt;"")*ISNUMBER(SEARCH(거래처별!$AC$8:$AC$307,$AB621))),거래처별!$A$8:$A$307),IFERROR(LOOKUP(2,1/((거래처별!$AD$8:$AD$307&lt;&gt;"")*ISNUMBER(SEARCH(거래처별!$AD$8:$AD$307,$AB621))),거래처별!$A$8:$A$307),IFERROR(LOOKUP(2,1/((거래처별!$AE$8:$AE$307&lt;&gt;"")*ISNUMBER(SEARCH(거래처별!$AE$8:$AE$307,$AB621))),거래처별!$A$8:$A$307),0))))</f>
        <v/>
      </c>
      <c r="AD621" s="31">
        <f>IF(AND($Y621&lt;&gt;"",N($Z621)&gt;0,$AC621=0),MAX($AD$7:$AD620)+1,"")</f>
        <v/>
      </c>
      <c r="AE621" s="31">
        <f>IF($Y621="",0,$Y621)</f>
        <v/>
      </c>
    </row>
    <row r="622">
      <c r="W622" s="31">
        <f>IF(OR($B$5="",$C$6="",ROW()&lt;$B$5),"",IF(INDEX($A:$U,ROW(),$C$6)="","",INDEX($A:$U,ROW(),$C$6)))</f>
        <v/>
      </c>
      <c r="X622" s="32">
        <f>IF($W622="","",IF(ISNUMBER($W622),IF($W622&gt;=10000000,IFERROR(DATE(INT($W622/10000),MOD(INT($W622/100),100),MOD($W622,100)),""),INT($W622)),IFERROR(DATE(--LEFT(LEFT(SUBSTITUTE(SUBSTITUTE(SUBSTITUTE(SUBSTITUTE(TRIM($W622),"-",""),".",""),"/","")," ",""),8),4),--MID(LEFT(SUBSTITUTE(SUBSTITUTE(SUBSTITUTE(SUBSTITUTE(TRIM($W622),"-",""),".",""),"/","")," ",""),8),5,2),--MID(LEFT(SUBSTITUTE(SUBSTITUTE(SUBSTITUTE(SUBSTITUTE(TRIM($W622),"-",""),".",""),"/","")," ",""),8),7,2)),"")))</f>
        <v/>
      </c>
      <c r="Y622" s="32">
        <f>IF($X622="","",INT($X622))</f>
        <v/>
      </c>
      <c r="Z622" s="33">
        <f>IF(OR($Y622="",$D$6=""),"",IF(INDEX($A:$U,ROW(),$D$6)="",0,IF(ISNUMBER(INDEX($A:$U,ROW(),$D$6)),INDEX($A:$U,ROW(),$D$6),IFERROR(--SUBSTITUTE(SUBSTITUTE(TRIM(INDEX($A:$U,ROW(),$D$6)),",",""),"원",""),0))))</f>
        <v/>
      </c>
      <c r="AA622" s="31">
        <f>IF($Y622="","",TRIM(INDEX($A:$U,ROW(),$E$6)&amp;IF($F$6="",""," "&amp;INDEX($A:$U,ROW(),$F$6))))</f>
        <v/>
      </c>
      <c r="AB622" s="31">
        <f>IF($AA622="","",SUBSTITUTE(SUBSTITUTE(SUBSTITUTE(SUBSTITUTE(SUBSTITUTE(SUBSTITUTE(SUBSTITUTE(SUBSTITUTE(SUBSTITUTE($AA622," ",""),"　",""),"(주)",""),"（주）",""),"㈜",""),"주식회사",""),"(유)",""),"（유）",""),"유한회사",""))</f>
        <v/>
      </c>
      <c r="AC622" s="31">
        <f>IF(OR($Y622="",N($Z622)&lt;=0,$AB622=""),0,IFERROR(LOOKUP(2,1/((거래처별!$AC$8:$AC$307&lt;&gt;"")*ISNUMBER(SEARCH(거래처별!$AC$8:$AC$307,$AB622))),거래처별!$A$8:$A$307),IFERROR(LOOKUP(2,1/((거래처별!$AD$8:$AD$307&lt;&gt;"")*ISNUMBER(SEARCH(거래처별!$AD$8:$AD$307,$AB622))),거래처별!$A$8:$A$307),IFERROR(LOOKUP(2,1/((거래처별!$AE$8:$AE$307&lt;&gt;"")*ISNUMBER(SEARCH(거래처별!$AE$8:$AE$307,$AB622))),거래처별!$A$8:$A$307),0))))</f>
        <v/>
      </c>
      <c r="AD622" s="31">
        <f>IF(AND($Y622&lt;&gt;"",N($Z622)&gt;0,$AC622=0),MAX($AD$7:$AD621)+1,"")</f>
        <v/>
      </c>
      <c r="AE622" s="31">
        <f>IF($Y622="",0,$Y622)</f>
        <v/>
      </c>
    </row>
    <row r="623">
      <c r="W623" s="31">
        <f>IF(OR($B$5="",$C$6="",ROW()&lt;$B$5),"",IF(INDEX($A:$U,ROW(),$C$6)="","",INDEX($A:$U,ROW(),$C$6)))</f>
        <v/>
      </c>
      <c r="X623" s="32">
        <f>IF($W623="","",IF(ISNUMBER($W623),IF($W623&gt;=10000000,IFERROR(DATE(INT($W623/10000),MOD(INT($W623/100),100),MOD($W623,100)),""),INT($W623)),IFERROR(DATE(--LEFT(LEFT(SUBSTITUTE(SUBSTITUTE(SUBSTITUTE(SUBSTITUTE(TRIM($W623),"-",""),".",""),"/","")," ",""),8),4),--MID(LEFT(SUBSTITUTE(SUBSTITUTE(SUBSTITUTE(SUBSTITUTE(TRIM($W623),"-",""),".",""),"/","")," ",""),8),5,2),--MID(LEFT(SUBSTITUTE(SUBSTITUTE(SUBSTITUTE(SUBSTITUTE(TRIM($W623),"-",""),".",""),"/","")," ",""),8),7,2)),"")))</f>
        <v/>
      </c>
      <c r="Y623" s="32">
        <f>IF($X623="","",INT($X623))</f>
        <v/>
      </c>
      <c r="Z623" s="33">
        <f>IF(OR($Y623="",$D$6=""),"",IF(INDEX($A:$U,ROW(),$D$6)="",0,IF(ISNUMBER(INDEX($A:$U,ROW(),$D$6)),INDEX($A:$U,ROW(),$D$6),IFERROR(--SUBSTITUTE(SUBSTITUTE(TRIM(INDEX($A:$U,ROW(),$D$6)),",",""),"원",""),0))))</f>
        <v/>
      </c>
      <c r="AA623" s="31">
        <f>IF($Y623="","",TRIM(INDEX($A:$U,ROW(),$E$6)&amp;IF($F$6="",""," "&amp;INDEX($A:$U,ROW(),$F$6))))</f>
        <v/>
      </c>
      <c r="AB623" s="31">
        <f>IF($AA623="","",SUBSTITUTE(SUBSTITUTE(SUBSTITUTE(SUBSTITUTE(SUBSTITUTE(SUBSTITUTE(SUBSTITUTE(SUBSTITUTE(SUBSTITUTE($AA623," ",""),"　",""),"(주)",""),"（주）",""),"㈜",""),"주식회사",""),"(유)",""),"（유）",""),"유한회사",""))</f>
        <v/>
      </c>
      <c r="AC623" s="31">
        <f>IF(OR($Y623="",N($Z623)&lt;=0,$AB623=""),0,IFERROR(LOOKUP(2,1/((거래처별!$AC$8:$AC$307&lt;&gt;"")*ISNUMBER(SEARCH(거래처별!$AC$8:$AC$307,$AB623))),거래처별!$A$8:$A$307),IFERROR(LOOKUP(2,1/((거래처별!$AD$8:$AD$307&lt;&gt;"")*ISNUMBER(SEARCH(거래처별!$AD$8:$AD$307,$AB623))),거래처별!$A$8:$A$307),IFERROR(LOOKUP(2,1/((거래처별!$AE$8:$AE$307&lt;&gt;"")*ISNUMBER(SEARCH(거래처별!$AE$8:$AE$307,$AB623))),거래처별!$A$8:$A$307),0))))</f>
        <v/>
      </c>
      <c r="AD623" s="31">
        <f>IF(AND($Y623&lt;&gt;"",N($Z623)&gt;0,$AC623=0),MAX($AD$7:$AD622)+1,"")</f>
        <v/>
      </c>
      <c r="AE623" s="31">
        <f>IF($Y623="",0,$Y623)</f>
        <v/>
      </c>
    </row>
    <row r="624">
      <c r="W624" s="31">
        <f>IF(OR($B$5="",$C$6="",ROW()&lt;$B$5),"",IF(INDEX($A:$U,ROW(),$C$6)="","",INDEX($A:$U,ROW(),$C$6)))</f>
        <v/>
      </c>
      <c r="X624" s="32">
        <f>IF($W624="","",IF(ISNUMBER($W624),IF($W624&gt;=10000000,IFERROR(DATE(INT($W624/10000),MOD(INT($W624/100),100),MOD($W624,100)),""),INT($W624)),IFERROR(DATE(--LEFT(LEFT(SUBSTITUTE(SUBSTITUTE(SUBSTITUTE(SUBSTITUTE(TRIM($W624),"-",""),".",""),"/","")," ",""),8),4),--MID(LEFT(SUBSTITUTE(SUBSTITUTE(SUBSTITUTE(SUBSTITUTE(TRIM($W624),"-",""),".",""),"/","")," ",""),8),5,2),--MID(LEFT(SUBSTITUTE(SUBSTITUTE(SUBSTITUTE(SUBSTITUTE(TRIM($W624),"-",""),".",""),"/","")," ",""),8),7,2)),"")))</f>
        <v/>
      </c>
      <c r="Y624" s="32">
        <f>IF($X624="","",INT($X624))</f>
        <v/>
      </c>
      <c r="Z624" s="33">
        <f>IF(OR($Y624="",$D$6=""),"",IF(INDEX($A:$U,ROW(),$D$6)="",0,IF(ISNUMBER(INDEX($A:$U,ROW(),$D$6)),INDEX($A:$U,ROW(),$D$6),IFERROR(--SUBSTITUTE(SUBSTITUTE(TRIM(INDEX($A:$U,ROW(),$D$6)),",",""),"원",""),0))))</f>
        <v/>
      </c>
      <c r="AA624" s="31">
        <f>IF($Y624="","",TRIM(INDEX($A:$U,ROW(),$E$6)&amp;IF($F$6="",""," "&amp;INDEX($A:$U,ROW(),$F$6))))</f>
        <v/>
      </c>
      <c r="AB624" s="31">
        <f>IF($AA624="","",SUBSTITUTE(SUBSTITUTE(SUBSTITUTE(SUBSTITUTE(SUBSTITUTE(SUBSTITUTE(SUBSTITUTE(SUBSTITUTE(SUBSTITUTE($AA624," ",""),"　",""),"(주)",""),"（주）",""),"㈜",""),"주식회사",""),"(유)",""),"（유）",""),"유한회사",""))</f>
        <v/>
      </c>
      <c r="AC624" s="31">
        <f>IF(OR($Y624="",N($Z624)&lt;=0,$AB624=""),0,IFERROR(LOOKUP(2,1/((거래처별!$AC$8:$AC$307&lt;&gt;"")*ISNUMBER(SEARCH(거래처별!$AC$8:$AC$307,$AB624))),거래처별!$A$8:$A$307),IFERROR(LOOKUP(2,1/((거래처별!$AD$8:$AD$307&lt;&gt;"")*ISNUMBER(SEARCH(거래처별!$AD$8:$AD$307,$AB624))),거래처별!$A$8:$A$307),IFERROR(LOOKUP(2,1/((거래처별!$AE$8:$AE$307&lt;&gt;"")*ISNUMBER(SEARCH(거래처별!$AE$8:$AE$307,$AB624))),거래처별!$A$8:$A$307),0))))</f>
        <v/>
      </c>
      <c r="AD624" s="31">
        <f>IF(AND($Y624&lt;&gt;"",N($Z624)&gt;0,$AC624=0),MAX($AD$7:$AD623)+1,"")</f>
        <v/>
      </c>
      <c r="AE624" s="31">
        <f>IF($Y624="",0,$Y624)</f>
        <v/>
      </c>
    </row>
    <row r="625">
      <c r="W625" s="31">
        <f>IF(OR($B$5="",$C$6="",ROW()&lt;$B$5),"",IF(INDEX($A:$U,ROW(),$C$6)="","",INDEX($A:$U,ROW(),$C$6)))</f>
        <v/>
      </c>
      <c r="X625" s="32">
        <f>IF($W625="","",IF(ISNUMBER($W625),IF($W625&gt;=10000000,IFERROR(DATE(INT($W625/10000),MOD(INT($W625/100),100),MOD($W625,100)),""),INT($W625)),IFERROR(DATE(--LEFT(LEFT(SUBSTITUTE(SUBSTITUTE(SUBSTITUTE(SUBSTITUTE(TRIM($W625),"-",""),".",""),"/","")," ",""),8),4),--MID(LEFT(SUBSTITUTE(SUBSTITUTE(SUBSTITUTE(SUBSTITUTE(TRIM($W625),"-",""),".",""),"/","")," ",""),8),5,2),--MID(LEFT(SUBSTITUTE(SUBSTITUTE(SUBSTITUTE(SUBSTITUTE(TRIM($W625),"-",""),".",""),"/","")," ",""),8),7,2)),"")))</f>
        <v/>
      </c>
      <c r="Y625" s="32">
        <f>IF($X625="","",INT($X625))</f>
        <v/>
      </c>
      <c r="Z625" s="33">
        <f>IF(OR($Y625="",$D$6=""),"",IF(INDEX($A:$U,ROW(),$D$6)="",0,IF(ISNUMBER(INDEX($A:$U,ROW(),$D$6)),INDEX($A:$U,ROW(),$D$6),IFERROR(--SUBSTITUTE(SUBSTITUTE(TRIM(INDEX($A:$U,ROW(),$D$6)),",",""),"원",""),0))))</f>
        <v/>
      </c>
      <c r="AA625" s="31">
        <f>IF($Y625="","",TRIM(INDEX($A:$U,ROW(),$E$6)&amp;IF($F$6="",""," "&amp;INDEX($A:$U,ROW(),$F$6))))</f>
        <v/>
      </c>
      <c r="AB625" s="31">
        <f>IF($AA625="","",SUBSTITUTE(SUBSTITUTE(SUBSTITUTE(SUBSTITUTE(SUBSTITUTE(SUBSTITUTE(SUBSTITUTE(SUBSTITUTE(SUBSTITUTE($AA625," ",""),"　",""),"(주)",""),"（주）",""),"㈜",""),"주식회사",""),"(유)",""),"（유）",""),"유한회사",""))</f>
        <v/>
      </c>
      <c r="AC625" s="31">
        <f>IF(OR($Y625="",N($Z625)&lt;=0,$AB625=""),0,IFERROR(LOOKUP(2,1/((거래처별!$AC$8:$AC$307&lt;&gt;"")*ISNUMBER(SEARCH(거래처별!$AC$8:$AC$307,$AB625))),거래처별!$A$8:$A$307),IFERROR(LOOKUP(2,1/((거래처별!$AD$8:$AD$307&lt;&gt;"")*ISNUMBER(SEARCH(거래처별!$AD$8:$AD$307,$AB625))),거래처별!$A$8:$A$307),IFERROR(LOOKUP(2,1/((거래처별!$AE$8:$AE$307&lt;&gt;"")*ISNUMBER(SEARCH(거래처별!$AE$8:$AE$307,$AB625))),거래처별!$A$8:$A$307),0))))</f>
        <v/>
      </c>
      <c r="AD625" s="31">
        <f>IF(AND($Y625&lt;&gt;"",N($Z625)&gt;0,$AC625=0),MAX($AD$7:$AD624)+1,"")</f>
        <v/>
      </c>
      <c r="AE625" s="31">
        <f>IF($Y625="",0,$Y625)</f>
        <v/>
      </c>
    </row>
    <row r="626">
      <c r="W626" s="31">
        <f>IF(OR($B$5="",$C$6="",ROW()&lt;$B$5),"",IF(INDEX($A:$U,ROW(),$C$6)="","",INDEX($A:$U,ROW(),$C$6)))</f>
        <v/>
      </c>
      <c r="X626" s="32">
        <f>IF($W626="","",IF(ISNUMBER($W626),IF($W626&gt;=10000000,IFERROR(DATE(INT($W626/10000),MOD(INT($W626/100),100),MOD($W626,100)),""),INT($W626)),IFERROR(DATE(--LEFT(LEFT(SUBSTITUTE(SUBSTITUTE(SUBSTITUTE(SUBSTITUTE(TRIM($W626),"-",""),".",""),"/","")," ",""),8),4),--MID(LEFT(SUBSTITUTE(SUBSTITUTE(SUBSTITUTE(SUBSTITUTE(TRIM($W626),"-",""),".",""),"/","")," ",""),8),5,2),--MID(LEFT(SUBSTITUTE(SUBSTITUTE(SUBSTITUTE(SUBSTITUTE(TRIM($W626),"-",""),".",""),"/","")," ",""),8),7,2)),"")))</f>
        <v/>
      </c>
      <c r="Y626" s="32">
        <f>IF($X626="","",INT($X626))</f>
        <v/>
      </c>
      <c r="Z626" s="33">
        <f>IF(OR($Y626="",$D$6=""),"",IF(INDEX($A:$U,ROW(),$D$6)="",0,IF(ISNUMBER(INDEX($A:$U,ROW(),$D$6)),INDEX($A:$U,ROW(),$D$6),IFERROR(--SUBSTITUTE(SUBSTITUTE(TRIM(INDEX($A:$U,ROW(),$D$6)),",",""),"원",""),0))))</f>
        <v/>
      </c>
      <c r="AA626" s="31">
        <f>IF($Y626="","",TRIM(INDEX($A:$U,ROW(),$E$6)&amp;IF($F$6="",""," "&amp;INDEX($A:$U,ROW(),$F$6))))</f>
        <v/>
      </c>
      <c r="AB626" s="31">
        <f>IF($AA626="","",SUBSTITUTE(SUBSTITUTE(SUBSTITUTE(SUBSTITUTE(SUBSTITUTE(SUBSTITUTE(SUBSTITUTE(SUBSTITUTE(SUBSTITUTE($AA626," ",""),"　",""),"(주)",""),"（주）",""),"㈜",""),"주식회사",""),"(유)",""),"（유）",""),"유한회사",""))</f>
        <v/>
      </c>
      <c r="AC626" s="31">
        <f>IF(OR($Y626="",N($Z626)&lt;=0,$AB626=""),0,IFERROR(LOOKUP(2,1/((거래처별!$AC$8:$AC$307&lt;&gt;"")*ISNUMBER(SEARCH(거래처별!$AC$8:$AC$307,$AB626))),거래처별!$A$8:$A$307),IFERROR(LOOKUP(2,1/((거래처별!$AD$8:$AD$307&lt;&gt;"")*ISNUMBER(SEARCH(거래처별!$AD$8:$AD$307,$AB626))),거래처별!$A$8:$A$307),IFERROR(LOOKUP(2,1/((거래처별!$AE$8:$AE$307&lt;&gt;"")*ISNUMBER(SEARCH(거래처별!$AE$8:$AE$307,$AB626))),거래처별!$A$8:$A$307),0))))</f>
        <v/>
      </c>
      <c r="AD626" s="31">
        <f>IF(AND($Y626&lt;&gt;"",N($Z626)&gt;0,$AC626=0),MAX($AD$7:$AD625)+1,"")</f>
        <v/>
      </c>
      <c r="AE626" s="31">
        <f>IF($Y626="",0,$Y626)</f>
        <v/>
      </c>
    </row>
    <row r="627">
      <c r="W627" s="31">
        <f>IF(OR($B$5="",$C$6="",ROW()&lt;$B$5),"",IF(INDEX($A:$U,ROW(),$C$6)="","",INDEX($A:$U,ROW(),$C$6)))</f>
        <v/>
      </c>
      <c r="X627" s="32">
        <f>IF($W627="","",IF(ISNUMBER($W627),IF($W627&gt;=10000000,IFERROR(DATE(INT($W627/10000),MOD(INT($W627/100),100),MOD($W627,100)),""),INT($W627)),IFERROR(DATE(--LEFT(LEFT(SUBSTITUTE(SUBSTITUTE(SUBSTITUTE(SUBSTITUTE(TRIM($W627),"-",""),".",""),"/","")," ",""),8),4),--MID(LEFT(SUBSTITUTE(SUBSTITUTE(SUBSTITUTE(SUBSTITUTE(TRIM($W627),"-",""),".",""),"/","")," ",""),8),5,2),--MID(LEFT(SUBSTITUTE(SUBSTITUTE(SUBSTITUTE(SUBSTITUTE(TRIM($W627),"-",""),".",""),"/","")," ",""),8),7,2)),"")))</f>
        <v/>
      </c>
      <c r="Y627" s="32">
        <f>IF($X627="","",INT($X627))</f>
        <v/>
      </c>
      <c r="Z627" s="33">
        <f>IF(OR($Y627="",$D$6=""),"",IF(INDEX($A:$U,ROW(),$D$6)="",0,IF(ISNUMBER(INDEX($A:$U,ROW(),$D$6)),INDEX($A:$U,ROW(),$D$6),IFERROR(--SUBSTITUTE(SUBSTITUTE(TRIM(INDEX($A:$U,ROW(),$D$6)),",",""),"원",""),0))))</f>
        <v/>
      </c>
      <c r="AA627" s="31">
        <f>IF($Y627="","",TRIM(INDEX($A:$U,ROW(),$E$6)&amp;IF($F$6="",""," "&amp;INDEX($A:$U,ROW(),$F$6))))</f>
        <v/>
      </c>
      <c r="AB627" s="31">
        <f>IF($AA627="","",SUBSTITUTE(SUBSTITUTE(SUBSTITUTE(SUBSTITUTE(SUBSTITUTE(SUBSTITUTE(SUBSTITUTE(SUBSTITUTE(SUBSTITUTE($AA627," ",""),"　",""),"(주)",""),"（주）",""),"㈜",""),"주식회사",""),"(유)",""),"（유）",""),"유한회사",""))</f>
        <v/>
      </c>
      <c r="AC627" s="31">
        <f>IF(OR($Y627="",N($Z627)&lt;=0,$AB627=""),0,IFERROR(LOOKUP(2,1/((거래처별!$AC$8:$AC$307&lt;&gt;"")*ISNUMBER(SEARCH(거래처별!$AC$8:$AC$307,$AB627))),거래처별!$A$8:$A$307),IFERROR(LOOKUP(2,1/((거래처별!$AD$8:$AD$307&lt;&gt;"")*ISNUMBER(SEARCH(거래처별!$AD$8:$AD$307,$AB627))),거래처별!$A$8:$A$307),IFERROR(LOOKUP(2,1/((거래처별!$AE$8:$AE$307&lt;&gt;"")*ISNUMBER(SEARCH(거래처별!$AE$8:$AE$307,$AB627))),거래처별!$A$8:$A$307),0))))</f>
        <v/>
      </c>
      <c r="AD627" s="31">
        <f>IF(AND($Y627&lt;&gt;"",N($Z627)&gt;0,$AC627=0),MAX($AD$7:$AD626)+1,"")</f>
        <v/>
      </c>
      <c r="AE627" s="31">
        <f>IF($Y627="",0,$Y627)</f>
        <v/>
      </c>
    </row>
    <row r="628">
      <c r="W628" s="31">
        <f>IF(OR($B$5="",$C$6="",ROW()&lt;$B$5),"",IF(INDEX($A:$U,ROW(),$C$6)="","",INDEX($A:$U,ROW(),$C$6)))</f>
        <v/>
      </c>
      <c r="X628" s="32">
        <f>IF($W628="","",IF(ISNUMBER($W628),IF($W628&gt;=10000000,IFERROR(DATE(INT($W628/10000),MOD(INT($W628/100),100),MOD($W628,100)),""),INT($W628)),IFERROR(DATE(--LEFT(LEFT(SUBSTITUTE(SUBSTITUTE(SUBSTITUTE(SUBSTITUTE(TRIM($W628),"-",""),".",""),"/","")," ",""),8),4),--MID(LEFT(SUBSTITUTE(SUBSTITUTE(SUBSTITUTE(SUBSTITUTE(TRIM($W628),"-",""),".",""),"/","")," ",""),8),5,2),--MID(LEFT(SUBSTITUTE(SUBSTITUTE(SUBSTITUTE(SUBSTITUTE(TRIM($W628),"-",""),".",""),"/","")," ",""),8),7,2)),"")))</f>
        <v/>
      </c>
      <c r="Y628" s="32">
        <f>IF($X628="","",INT($X628))</f>
        <v/>
      </c>
      <c r="Z628" s="33">
        <f>IF(OR($Y628="",$D$6=""),"",IF(INDEX($A:$U,ROW(),$D$6)="",0,IF(ISNUMBER(INDEX($A:$U,ROW(),$D$6)),INDEX($A:$U,ROW(),$D$6),IFERROR(--SUBSTITUTE(SUBSTITUTE(TRIM(INDEX($A:$U,ROW(),$D$6)),",",""),"원",""),0))))</f>
        <v/>
      </c>
      <c r="AA628" s="31">
        <f>IF($Y628="","",TRIM(INDEX($A:$U,ROW(),$E$6)&amp;IF($F$6="",""," "&amp;INDEX($A:$U,ROW(),$F$6))))</f>
        <v/>
      </c>
      <c r="AB628" s="31">
        <f>IF($AA628="","",SUBSTITUTE(SUBSTITUTE(SUBSTITUTE(SUBSTITUTE(SUBSTITUTE(SUBSTITUTE(SUBSTITUTE(SUBSTITUTE(SUBSTITUTE($AA628," ",""),"　",""),"(주)",""),"（주）",""),"㈜",""),"주식회사",""),"(유)",""),"（유）",""),"유한회사",""))</f>
        <v/>
      </c>
      <c r="AC628" s="31">
        <f>IF(OR($Y628="",N($Z628)&lt;=0,$AB628=""),0,IFERROR(LOOKUP(2,1/((거래처별!$AC$8:$AC$307&lt;&gt;"")*ISNUMBER(SEARCH(거래처별!$AC$8:$AC$307,$AB628))),거래처별!$A$8:$A$307),IFERROR(LOOKUP(2,1/((거래처별!$AD$8:$AD$307&lt;&gt;"")*ISNUMBER(SEARCH(거래처별!$AD$8:$AD$307,$AB628))),거래처별!$A$8:$A$307),IFERROR(LOOKUP(2,1/((거래처별!$AE$8:$AE$307&lt;&gt;"")*ISNUMBER(SEARCH(거래처별!$AE$8:$AE$307,$AB628))),거래처별!$A$8:$A$307),0))))</f>
        <v/>
      </c>
      <c r="AD628" s="31">
        <f>IF(AND($Y628&lt;&gt;"",N($Z628)&gt;0,$AC628=0),MAX($AD$7:$AD627)+1,"")</f>
        <v/>
      </c>
      <c r="AE628" s="31">
        <f>IF($Y628="",0,$Y628)</f>
        <v/>
      </c>
    </row>
    <row r="629">
      <c r="W629" s="31">
        <f>IF(OR($B$5="",$C$6="",ROW()&lt;$B$5),"",IF(INDEX($A:$U,ROW(),$C$6)="","",INDEX($A:$U,ROW(),$C$6)))</f>
        <v/>
      </c>
      <c r="X629" s="32">
        <f>IF($W629="","",IF(ISNUMBER($W629),IF($W629&gt;=10000000,IFERROR(DATE(INT($W629/10000),MOD(INT($W629/100),100),MOD($W629,100)),""),INT($W629)),IFERROR(DATE(--LEFT(LEFT(SUBSTITUTE(SUBSTITUTE(SUBSTITUTE(SUBSTITUTE(TRIM($W629),"-",""),".",""),"/","")," ",""),8),4),--MID(LEFT(SUBSTITUTE(SUBSTITUTE(SUBSTITUTE(SUBSTITUTE(TRIM($W629),"-",""),".",""),"/","")," ",""),8),5,2),--MID(LEFT(SUBSTITUTE(SUBSTITUTE(SUBSTITUTE(SUBSTITUTE(TRIM($W629),"-",""),".",""),"/","")," ",""),8),7,2)),"")))</f>
        <v/>
      </c>
      <c r="Y629" s="32">
        <f>IF($X629="","",INT($X629))</f>
        <v/>
      </c>
      <c r="Z629" s="33">
        <f>IF(OR($Y629="",$D$6=""),"",IF(INDEX($A:$U,ROW(),$D$6)="",0,IF(ISNUMBER(INDEX($A:$U,ROW(),$D$6)),INDEX($A:$U,ROW(),$D$6),IFERROR(--SUBSTITUTE(SUBSTITUTE(TRIM(INDEX($A:$U,ROW(),$D$6)),",",""),"원",""),0))))</f>
        <v/>
      </c>
      <c r="AA629" s="31">
        <f>IF($Y629="","",TRIM(INDEX($A:$U,ROW(),$E$6)&amp;IF($F$6="",""," "&amp;INDEX($A:$U,ROW(),$F$6))))</f>
        <v/>
      </c>
      <c r="AB629" s="31">
        <f>IF($AA629="","",SUBSTITUTE(SUBSTITUTE(SUBSTITUTE(SUBSTITUTE(SUBSTITUTE(SUBSTITUTE(SUBSTITUTE(SUBSTITUTE(SUBSTITUTE($AA629," ",""),"　",""),"(주)",""),"（주）",""),"㈜",""),"주식회사",""),"(유)",""),"（유）",""),"유한회사",""))</f>
        <v/>
      </c>
      <c r="AC629" s="31">
        <f>IF(OR($Y629="",N($Z629)&lt;=0,$AB629=""),0,IFERROR(LOOKUP(2,1/((거래처별!$AC$8:$AC$307&lt;&gt;"")*ISNUMBER(SEARCH(거래처별!$AC$8:$AC$307,$AB629))),거래처별!$A$8:$A$307),IFERROR(LOOKUP(2,1/((거래처별!$AD$8:$AD$307&lt;&gt;"")*ISNUMBER(SEARCH(거래처별!$AD$8:$AD$307,$AB629))),거래처별!$A$8:$A$307),IFERROR(LOOKUP(2,1/((거래처별!$AE$8:$AE$307&lt;&gt;"")*ISNUMBER(SEARCH(거래처별!$AE$8:$AE$307,$AB629))),거래처별!$A$8:$A$307),0))))</f>
        <v/>
      </c>
      <c r="AD629" s="31">
        <f>IF(AND($Y629&lt;&gt;"",N($Z629)&gt;0,$AC629=0),MAX($AD$7:$AD628)+1,"")</f>
        <v/>
      </c>
      <c r="AE629" s="31">
        <f>IF($Y629="",0,$Y629)</f>
        <v/>
      </c>
    </row>
    <row r="630">
      <c r="W630" s="31">
        <f>IF(OR($B$5="",$C$6="",ROW()&lt;$B$5),"",IF(INDEX($A:$U,ROW(),$C$6)="","",INDEX($A:$U,ROW(),$C$6)))</f>
        <v/>
      </c>
      <c r="X630" s="32">
        <f>IF($W630="","",IF(ISNUMBER($W630),IF($W630&gt;=10000000,IFERROR(DATE(INT($W630/10000),MOD(INT($W630/100),100),MOD($W630,100)),""),INT($W630)),IFERROR(DATE(--LEFT(LEFT(SUBSTITUTE(SUBSTITUTE(SUBSTITUTE(SUBSTITUTE(TRIM($W630),"-",""),".",""),"/","")," ",""),8),4),--MID(LEFT(SUBSTITUTE(SUBSTITUTE(SUBSTITUTE(SUBSTITUTE(TRIM($W630),"-",""),".",""),"/","")," ",""),8),5,2),--MID(LEFT(SUBSTITUTE(SUBSTITUTE(SUBSTITUTE(SUBSTITUTE(TRIM($W630),"-",""),".",""),"/","")," ",""),8),7,2)),"")))</f>
        <v/>
      </c>
      <c r="Y630" s="32">
        <f>IF($X630="","",INT($X630))</f>
        <v/>
      </c>
      <c r="Z630" s="33">
        <f>IF(OR($Y630="",$D$6=""),"",IF(INDEX($A:$U,ROW(),$D$6)="",0,IF(ISNUMBER(INDEX($A:$U,ROW(),$D$6)),INDEX($A:$U,ROW(),$D$6),IFERROR(--SUBSTITUTE(SUBSTITUTE(TRIM(INDEX($A:$U,ROW(),$D$6)),",",""),"원",""),0))))</f>
        <v/>
      </c>
      <c r="AA630" s="31">
        <f>IF($Y630="","",TRIM(INDEX($A:$U,ROW(),$E$6)&amp;IF($F$6="",""," "&amp;INDEX($A:$U,ROW(),$F$6))))</f>
        <v/>
      </c>
      <c r="AB630" s="31">
        <f>IF($AA630="","",SUBSTITUTE(SUBSTITUTE(SUBSTITUTE(SUBSTITUTE(SUBSTITUTE(SUBSTITUTE(SUBSTITUTE(SUBSTITUTE(SUBSTITUTE($AA630," ",""),"　",""),"(주)",""),"（주）",""),"㈜",""),"주식회사",""),"(유)",""),"（유）",""),"유한회사",""))</f>
        <v/>
      </c>
      <c r="AC630" s="31">
        <f>IF(OR($Y630="",N($Z630)&lt;=0,$AB630=""),0,IFERROR(LOOKUP(2,1/((거래처별!$AC$8:$AC$307&lt;&gt;"")*ISNUMBER(SEARCH(거래처별!$AC$8:$AC$307,$AB630))),거래처별!$A$8:$A$307),IFERROR(LOOKUP(2,1/((거래처별!$AD$8:$AD$307&lt;&gt;"")*ISNUMBER(SEARCH(거래처별!$AD$8:$AD$307,$AB630))),거래처별!$A$8:$A$307),IFERROR(LOOKUP(2,1/((거래처별!$AE$8:$AE$307&lt;&gt;"")*ISNUMBER(SEARCH(거래처별!$AE$8:$AE$307,$AB630))),거래처별!$A$8:$A$307),0))))</f>
        <v/>
      </c>
      <c r="AD630" s="31">
        <f>IF(AND($Y630&lt;&gt;"",N($Z630)&gt;0,$AC630=0),MAX($AD$7:$AD629)+1,"")</f>
        <v/>
      </c>
      <c r="AE630" s="31">
        <f>IF($Y630="",0,$Y630)</f>
        <v/>
      </c>
    </row>
    <row r="631">
      <c r="W631" s="31">
        <f>IF(OR($B$5="",$C$6="",ROW()&lt;$B$5),"",IF(INDEX($A:$U,ROW(),$C$6)="","",INDEX($A:$U,ROW(),$C$6)))</f>
        <v/>
      </c>
      <c r="X631" s="32">
        <f>IF($W631="","",IF(ISNUMBER($W631),IF($W631&gt;=10000000,IFERROR(DATE(INT($W631/10000),MOD(INT($W631/100),100),MOD($W631,100)),""),INT($W631)),IFERROR(DATE(--LEFT(LEFT(SUBSTITUTE(SUBSTITUTE(SUBSTITUTE(SUBSTITUTE(TRIM($W631),"-",""),".",""),"/","")," ",""),8),4),--MID(LEFT(SUBSTITUTE(SUBSTITUTE(SUBSTITUTE(SUBSTITUTE(TRIM($W631),"-",""),".",""),"/","")," ",""),8),5,2),--MID(LEFT(SUBSTITUTE(SUBSTITUTE(SUBSTITUTE(SUBSTITUTE(TRIM($W631),"-",""),".",""),"/","")," ",""),8),7,2)),"")))</f>
        <v/>
      </c>
      <c r="Y631" s="32">
        <f>IF($X631="","",INT($X631))</f>
        <v/>
      </c>
      <c r="Z631" s="33">
        <f>IF(OR($Y631="",$D$6=""),"",IF(INDEX($A:$U,ROW(),$D$6)="",0,IF(ISNUMBER(INDEX($A:$U,ROW(),$D$6)),INDEX($A:$U,ROW(),$D$6),IFERROR(--SUBSTITUTE(SUBSTITUTE(TRIM(INDEX($A:$U,ROW(),$D$6)),",",""),"원",""),0))))</f>
        <v/>
      </c>
      <c r="AA631" s="31">
        <f>IF($Y631="","",TRIM(INDEX($A:$U,ROW(),$E$6)&amp;IF($F$6="",""," "&amp;INDEX($A:$U,ROW(),$F$6))))</f>
        <v/>
      </c>
      <c r="AB631" s="31">
        <f>IF($AA631="","",SUBSTITUTE(SUBSTITUTE(SUBSTITUTE(SUBSTITUTE(SUBSTITUTE(SUBSTITUTE(SUBSTITUTE(SUBSTITUTE(SUBSTITUTE($AA631," ",""),"　",""),"(주)",""),"（주）",""),"㈜",""),"주식회사",""),"(유)",""),"（유）",""),"유한회사",""))</f>
        <v/>
      </c>
      <c r="AC631" s="31">
        <f>IF(OR($Y631="",N($Z631)&lt;=0,$AB631=""),0,IFERROR(LOOKUP(2,1/((거래처별!$AC$8:$AC$307&lt;&gt;"")*ISNUMBER(SEARCH(거래처별!$AC$8:$AC$307,$AB631))),거래처별!$A$8:$A$307),IFERROR(LOOKUP(2,1/((거래처별!$AD$8:$AD$307&lt;&gt;"")*ISNUMBER(SEARCH(거래처별!$AD$8:$AD$307,$AB631))),거래처별!$A$8:$A$307),IFERROR(LOOKUP(2,1/((거래처별!$AE$8:$AE$307&lt;&gt;"")*ISNUMBER(SEARCH(거래처별!$AE$8:$AE$307,$AB631))),거래처별!$A$8:$A$307),0))))</f>
        <v/>
      </c>
      <c r="AD631" s="31">
        <f>IF(AND($Y631&lt;&gt;"",N($Z631)&gt;0,$AC631=0),MAX($AD$7:$AD630)+1,"")</f>
        <v/>
      </c>
      <c r="AE631" s="31">
        <f>IF($Y631="",0,$Y631)</f>
        <v/>
      </c>
    </row>
    <row r="632">
      <c r="W632" s="31">
        <f>IF(OR($B$5="",$C$6="",ROW()&lt;$B$5),"",IF(INDEX($A:$U,ROW(),$C$6)="","",INDEX($A:$U,ROW(),$C$6)))</f>
        <v/>
      </c>
      <c r="X632" s="32">
        <f>IF($W632="","",IF(ISNUMBER($W632),IF($W632&gt;=10000000,IFERROR(DATE(INT($W632/10000),MOD(INT($W632/100),100),MOD($W632,100)),""),INT($W632)),IFERROR(DATE(--LEFT(LEFT(SUBSTITUTE(SUBSTITUTE(SUBSTITUTE(SUBSTITUTE(TRIM($W632),"-",""),".",""),"/","")," ",""),8),4),--MID(LEFT(SUBSTITUTE(SUBSTITUTE(SUBSTITUTE(SUBSTITUTE(TRIM($W632),"-",""),".",""),"/","")," ",""),8),5,2),--MID(LEFT(SUBSTITUTE(SUBSTITUTE(SUBSTITUTE(SUBSTITUTE(TRIM($W632),"-",""),".",""),"/","")," ",""),8),7,2)),"")))</f>
        <v/>
      </c>
      <c r="Y632" s="32">
        <f>IF($X632="","",INT($X632))</f>
        <v/>
      </c>
      <c r="Z632" s="33">
        <f>IF(OR($Y632="",$D$6=""),"",IF(INDEX($A:$U,ROW(),$D$6)="",0,IF(ISNUMBER(INDEX($A:$U,ROW(),$D$6)),INDEX($A:$U,ROW(),$D$6),IFERROR(--SUBSTITUTE(SUBSTITUTE(TRIM(INDEX($A:$U,ROW(),$D$6)),",",""),"원",""),0))))</f>
        <v/>
      </c>
      <c r="AA632" s="31">
        <f>IF($Y632="","",TRIM(INDEX($A:$U,ROW(),$E$6)&amp;IF($F$6="",""," "&amp;INDEX($A:$U,ROW(),$F$6))))</f>
        <v/>
      </c>
      <c r="AB632" s="31">
        <f>IF($AA632="","",SUBSTITUTE(SUBSTITUTE(SUBSTITUTE(SUBSTITUTE(SUBSTITUTE(SUBSTITUTE(SUBSTITUTE(SUBSTITUTE(SUBSTITUTE($AA632," ",""),"　",""),"(주)",""),"（주）",""),"㈜",""),"주식회사",""),"(유)",""),"（유）",""),"유한회사",""))</f>
        <v/>
      </c>
      <c r="AC632" s="31">
        <f>IF(OR($Y632="",N($Z632)&lt;=0,$AB632=""),0,IFERROR(LOOKUP(2,1/((거래처별!$AC$8:$AC$307&lt;&gt;"")*ISNUMBER(SEARCH(거래처별!$AC$8:$AC$307,$AB632))),거래처별!$A$8:$A$307),IFERROR(LOOKUP(2,1/((거래처별!$AD$8:$AD$307&lt;&gt;"")*ISNUMBER(SEARCH(거래처별!$AD$8:$AD$307,$AB632))),거래처별!$A$8:$A$307),IFERROR(LOOKUP(2,1/((거래처별!$AE$8:$AE$307&lt;&gt;"")*ISNUMBER(SEARCH(거래처별!$AE$8:$AE$307,$AB632))),거래처별!$A$8:$A$307),0))))</f>
        <v/>
      </c>
      <c r="AD632" s="31">
        <f>IF(AND($Y632&lt;&gt;"",N($Z632)&gt;0,$AC632=0),MAX($AD$7:$AD631)+1,"")</f>
        <v/>
      </c>
      <c r="AE632" s="31">
        <f>IF($Y632="",0,$Y632)</f>
        <v/>
      </c>
    </row>
    <row r="633">
      <c r="W633" s="31">
        <f>IF(OR($B$5="",$C$6="",ROW()&lt;$B$5),"",IF(INDEX($A:$U,ROW(),$C$6)="","",INDEX($A:$U,ROW(),$C$6)))</f>
        <v/>
      </c>
      <c r="X633" s="32">
        <f>IF($W633="","",IF(ISNUMBER($W633),IF($W633&gt;=10000000,IFERROR(DATE(INT($W633/10000),MOD(INT($W633/100),100),MOD($W633,100)),""),INT($W633)),IFERROR(DATE(--LEFT(LEFT(SUBSTITUTE(SUBSTITUTE(SUBSTITUTE(SUBSTITUTE(TRIM($W633),"-",""),".",""),"/","")," ",""),8),4),--MID(LEFT(SUBSTITUTE(SUBSTITUTE(SUBSTITUTE(SUBSTITUTE(TRIM($W633),"-",""),".",""),"/","")," ",""),8),5,2),--MID(LEFT(SUBSTITUTE(SUBSTITUTE(SUBSTITUTE(SUBSTITUTE(TRIM($W633),"-",""),".",""),"/","")," ",""),8),7,2)),"")))</f>
        <v/>
      </c>
      <c r="Y633" s="32">
        <f>IF($X633="","",INT($X633))</f>
        <v/>
      </c>
      <c r="Z633" s="33">
        <f>IF(OR($Y633="",$D$6=""),"",IF(INDEX($A:$U,ROW(),$D$6)="",0,IF(ISNUMBER(INDEX($A:$U,ROW(),$D$6)),INDEX($A:$U,ROW(),$D$6),IFERROR(--SUBSTITUTE(SUBSTITUTE(TRIM(INDEX($A:$U,ROW(),$D$6)),",",""),"원",""),0))))</f>
        <v/>
      </c>
      <c r="AA633" s="31">
        <f>IF($Y633="","",TRIM(INDEX($A:$U,ROW(),$E$6)&amp;IF($F$6="",""," "&amp;INDEX($A:$U,ROW(),$F$6))))</f>
        <v/>
      </c>
      <c r="AB633" s="31">
        <f>IF($AA633="","",SUBSTITUTE(SUBSTITUTE(SUBSTITUTE(SUBSTITUTE(SUBSTITUTE(SUBSTITUTE(SUBSTITUTE(SUBSTITUTE(SUBSTITUTE($AA633," ",""),"　",""),"(주)",""),"（주）",""),"㈜",""),"주식회사",""),"(유)",""),"（유）",""),"유한회사",""))</f>
        <v/>
      </c>
      <c r="AC633" s="31">
        <f>IF(OR($Y633="",N($Z633)&lt;=0,$AB633=""),0,IFERROR(LOOKUP(2,1/((거래처별!$AC$8:$AC$307&lt;&gt;"")*ISNUMBER(SEARCH(거래처별!$AC$8:$AC$307,$AB633))),거래처별!$A$8:$A$307),IFERROR(LOOKUP(2,1/((거래처별!$AD$8:$AD$307&lt;&gt;"")*ISNUMBER(SEARCH(거래처별!$AD$8:$AD$307,$AB633))),거래처별!$A$8:$A$307),IFERROR(LOOKUP(2,1/((거래처별!$AE$8:$AE$307&lt;&gt;"")*ISNUMBER(SEARCH(거래처별!$AE$8:$AE$307,$AB633))),거래처별!$A$8:$A$307),0))))</f>
        <v/>
      </c>
      <c r="AD633" s="31">
        <f>IF(AND($Y633&lt;&gt;"",N($Z633)&gt;0,$AC633=0),MAX($AD$7:$AD632)+1,"")</f>
        <v/>
      </c>
      <c r="AE633" s="31">
        <f>IF($Y633="",0,$Y633)</f>
        <v/>
      </c>
    </row>
    <row r="634">
      <c r="W634" s="31">
        <f>IF(OR($B$5="",$C$6="",ROW()&lt;$B$5),"",IF(INDEX($A:$U,ROW(),$C$6)="","",INDEX($A:$U,ROW(),$C$6)))</f>
        <v/>
      </c>
      <c r="X634" s="32">
        <f>IF($W634="","",IF(ISNUMBER($W634),IF($W634&gt;=10000000,IFERROR(DATE(INT($W634/10000),MOD(INT($W634/100),100),MOD($W634,100)),""),INT($W634)),IFERROR(DATE(--LEFT(LEFT(SUBSTITUTE(SUBSTITUTE(SUBSTITUTE(SUBSTITUTE(TRIM($W634),"-",""),".",""),"/","")," ",""),8),4),--MID(LEFT(SUBSTITUTE(SUBSTITUTE(SUBSTITUTE(SUBSTITUTE(TRIM($W634),"-",""),".",""),"/","")," ",""),8),5,2),--MID(LEFT(SUBSTITUTE(SUBSTITUTE(SUBSTITUTE(SUBSTITUTE(TRIM($W634),"-",""),".",""),"/","")," ",""),8),7,2)),"")))</f>
        <v/>
      </c>
      <c r="Y634" s="32">
        <f>IF($X634="","",INT($X634))</f>
        <v/>
      </c>
      <c r="Z634" s="33">
        <f>IF(OR($Y634="",$D$6=""),"",IF(INDEX($A:$U,ROW(),$D$6)="",0,IF(ISNUMBER(INDEX($A:$U,ROW(),$D$6)),INDEX($A:$U,ROW(),$D$6),IFERROR(--SUBSTITUTE(SUBSTITUTE(TRIM(INDEX($A:$U,ROW(),$D$6)),",",""),"원",""),0))))</f>
        <v/>
      </c>
      <c r="AA634" s="31">
        <f>IF($Y634="","",TRIM(INDEX($A:$U,ROW(),$E$6)&amp;IF($F$6="",""," "&amp;INDEX($A:$U,ROW(),$F$6))))</f>
        <v/>
      </c>
      <c r="AB634" s="31">
        <f>IF($AA634="","",SUBSTITUTE(SUBSTITUTE(SUBSTITUTE(SUBSTITUTE(SUBSTITUTE(SUBSTITUTE(SUBSTITUTE(SUBSTITUTE(SUBSTITUTE($AA634," ",""),"　",""),"(주)",""),"（주）",""),"㈜",""),"주식회사",""),"(유)",""),"（유）",""),"유한회사",""))</f>
        <v/>
      </c>
      <c r="AC634" s="31">
        <f>IF(OR($Y634="",N($Z634)&lt;=0,$AB634=""),0,IFERROR(LOOKUP(2,1/((거래처별!$AC$8:$AC$307&lt;&gt;"")*ISNUMBER(SEARCH(거래처별!$AC$8:$AC$307,$AB634))),거래처별!$A$8:$A$307),IFERROR(LOOKUP(2,1/((거래처별!$AD$8:$AD$307&lt;&gt;"")*ISNUMBER(SEARCH(거래처별!$AD$8:$AD$307,$AB634))),거래처별!$A$8:$A$307),IFERROR(LOOKUP(2,1/((거래처별!$AE$8:$AE$307&lt;&gt;"")*ISNUMBER(SEARCH(거래처별!$AE$8:$AE$307,$AB634))),거래처별!$A$8:$A$307),0))))</f>
        <v/>
      </c>
      <c r="AD634" s="31">
        <f>IF(AND($Y634&lt;&gt;"",N($Z634)&gt;0,$AC634=0),MAX($AD$7:$AD633)+1,"")</f>
        <v/>
      </c>
      <c r="AE634" s="31">
        <f>IF($Y634="",0,$Y634)</f>
        <v/>
      </c>
    </row>
    <row r="635">
      <c r="W635" s="31">
        <f>IF(OR($B$5="",$C$6="",ROW()&lt;$B$5),"",IF(INDEX($A:$U,ROW(),$C$6)="","",INDEX($A:$U,ROW(),$C$6)))</f>
        <v/>
      </c>
      <c r="X635" s="32">
        <f>IF($W635="","",IF(ISNUMBER($W635),IF($W635&gt;=10000000,IFERROR(DATE(INT($W635/10000),MOD(INT($W635/100),100),MOD($W635,100)),""),INT($W635)),IFERROR(DATE(--LEFT(LEFT(SUBSTITUTE(SUBSTITUTE(SUBSTITUTE(SUBSTITUTE(TRIM($W635),"-",""),".",""),"/","")," ",""),8),4),--MID(LEFT(SUBSTITUTE(SUBSTITUTE(SUBSTITUTE(SUBSTITUTE(TRIM($W635),"-",""),".",""),"/","")," ",""),8),5,2),--MID(LEFT(SUBSTITUTE(SUBSTITUTE(SUBSTITUTE(SUBSTITUTE(TRIM($W635),"-",""),".",""),"/","")," ",""),8),7,2)),"")))</f>
        <v/>
      </c>
      <c r="Y635" s="32">
        <f>IF($X635="","",INT($X635))</f>
        <v/>
      </c>
      <c r="Z635" s="33">
        <f>IF(OR($Y635="",$D$6=""),"",IF(INDEX($A:$U,ROW(),$D$6)="",0,IF(ISNUMBER(INDEX($A:$U,ROW(),$D$6)),INDEX($A:$U,ROW(),$D$6),IFERROR(--SUBSTITUTE(SUBSTITUTE(TRIM(INDEX($A:$U,ROW(),$D$6)),",",""),"원",""),0))))</f>
        <v/>
      </c>
      <c r="AA635" s="31">
        <f>IF($Y635="","",TRIM(INDEX($A:$U,ROW(),$E$6)&amp;IF($F$6="",""," "&amp;INDEX($A:$U,ROW(),$F$6))))</f>
        <v/>
      </c>
      <c r="AB635" s="31">
        <f>IF($AA635="","",SUBSTITUTE(SUBSTITUTE(SUBSTITUTE(SUBSTITUTE(SUBSTITUTE(SUBSTITUTE(SUBSTITUTE(SUBSTITUTE(SUBSTITUTE($AA635," ",""),"　",""),"(주)",""),"（주）",""),"㈜",""),"주식회사",""),"(유)",""),"（유）",""),"유한회사",""))</f>
        <v/>
      </c>
      <c r="AC635" s="31">
        <f>IF(OR($Y635="",N($Z635)&lt;=0,$AB635=""),0,IFERROR(LOOKUP(2,1/((거래처별!$AC$8:$AC$307&lt;&gt;"")*ISNUMBER(SEARCH(거래처별!$AC$8:$AC$307,$AB635))),거래처별!$A$8:$A$307),IFERROR(LOOKUP(2,1/((거래처별!$AD$8:$AD$307&lt;&gt;"")*ISNUMBER(SEARCH(거래처별!$AD$8:$AD$307,$AB635))),거래처별!$A$8:$A$307),IFERROR(LOOKUP(2,1/((거래처별!$AE$8:$AE$307&lt;&gt;"")*ISNUMBER(SEARCH(거래처별!$AE$8:$AE$307,$AB635))),거래처별!$A$8:$A$307),0))))</f>
        <v/>
      </c>
      <c r="AD635" s="31">
        <f>IF(AND($Y635&lt;&gt;"",N($Z635)&gt;0,$AC635=0),MAX($AD$7:$AD634)+1,"")</f>
        <v/>
      </c>
      <c r="AE635" s="31">
        <f>IF($Y635="",0,$Y635)</f>
        <v/>
      </c>
    </row>
    <row r="636">
      <c r="W636" s="31">
        <f>IF(OR($B$5="",$C$6="",ROW()&lt;$B$5),"",IF(INDEX($A:$U,ROW(),$C$6)="","",INDEX($A:$U,ROW(),$C$6)))</f>
        <v/>
      </c>
      <c r="X636" s="32">
        <f>IF($W636="","",IF(ISNUMBER($W636),IF($W636&gt;=10000000,IFERROR(DATE(INT($W636/10000),MOD(INT($W636/100),100),MOD($W636,100)),""),INT($W636)),IFERROR(DATE(--LEFT(LEFT(SUBSTITUTE(SUBSTITUTE(SUBSTITUTE(SUBSTITUTE(TRIM($W636),"-",""),".",""),"/","")," ",""),8),4),--MID(LEFT(SUBSTITUTE(SUBSTITUTE(SUBSTITUTE(SUBSTITUTE(TRIM($W636),"-",""),".",""),"/","")," ",""),8),5,2),--MID(LEFT(SUBSTITUTE(SUBSTITUTE(SUBSTITUTE(SUBSTITUTE(TRIM($W636),"-",""),".",""),"/","")," ",""),8),7,2)),"")))</f>
        <v/>
      </c>
      <c r="Y636" s="32">
        <f>IF($X636="","",INT($X636))</f>
        <v/>
      </c>
      <c r="Z636" s="33">
        <f>IF(OR($Y636="",$D$6=""),"",IF(INDEX($A:$U,ROW(),$D$6)="",0,IF(ISNUMBER(INDEX($A:$U,ROW(),$D$6)),INDEX($A:$U,ROW(),$D$6),IFERROR(--SUBSTITUTE(SUBSTITUTE(TRIM(INDEX($A:$U,ROW(),$D$6)),",",""),"원",""),0))))</f>
        <v/>
      </c>
      <c r="AA636" s="31">
        <f>IF($Y636="","",TRIM(INDEX($A:$U,ROW(),$E$6)&amp;IF($F$6="",""," "&amp;INDEX($A:$U,ROW(),$F$6))))</f>
        <v/>
      </c>
      <c r="AB636" s="31">
        <f>IF($AA636="","",SUBSTITUTE(SUBSTITUTE(SUBSTITUTE(SUBSTITUTE(SUBSTITUTE(SUBSTITUTE(SUBSTITUTE(SUBSTITUTE(SUBSTITUTE($AA636," ",""),"　",""),"(주)",""),"（주）",""),"㈜",""),"주식회사",""),"(유)",""),"（유）",""),"유한회사",""))</f>
        <v/>
      </c>
      <c r="AC636" s="31">
        <f>IF(OR($Y636="",N($Z636)&lt;=0,$AB636=""),0,IFERROR(LOOKUP(2,1/((거래처별!$AC$8:$AC$307&lt;&gt;"")*ISNUMBER(SEARCH(거래처별!$AC$8:$AC$307,$AB636))),거래처별!$A$8:$A$307),IFERROR(LOOKUP(2,1/((거래처별!$AD$8:$AD$307&lt;&gt;"")*ISNUMBER(SEARCH(거래처별!$AD$8:$AD$307,$AB636))),거래처별!$A$8:$A$307),IFERROR(LOOKUP(2,1/((거래처별!$AE$8:$AE$307&lt;&gt;"")*ISNUMBER(SEARCH(거래처별!$AE$8:$AE$307,$AB636))),거래처별!$A$8:$A$307),0))))</f>
        <v/>
      </c>
      <c r="AD636" s="31">
        <f>IF(AND($Y636&lt;&gt;"",N($Z636)&gt;0,$AC636=0),MAX($AD$7:$AD635)+1,"")</f>
        <v/>
      </c>
      <c r="AE636" s="31">
        <f>IF($Y636="",0,$Y636)</f>
        <v/>
      </c>
    </row>
    <row r="637">
      <c r="W637" s="31">
        <f>IF(OR($B$5="",$C$6="",ROW()&lt;$B$5),"",IF(INDEX($A:$U,ROW(),$C$6)="","",INDEX($A:$U,ROW(),$C$6)))</f>
        <v/>
      </c>
      <c r="X637" s="32">
        <f>IF($W637="","",IF(ISNUMBER($W637),IF($W637&gt;=10000000,IFERROR(DATE(INT($W637/10000),MOD(INT($W637/100),100),MOD($W637,100)),""),INT($W637)),IFERROR(DATE(--LEFT(LEFT(SUBSTITUTE(SUBSTITUTE(SUBSTITUTE(SUBSTITUTE(TRIM($W637),"-",""),".",""),"/","")," ",""),8),4),--MID(LEFT(SUBSTITUTE(SUBSTITUTE(SUBSTITUTE(SUBSTITUTE(TRIM($W637),"-",""),".",""),"/","")," ",""),8),5,2),--MID(LEFT(SUBSTITUTE(SUBSTITUTE(SUBSTITUTE(SUBSTITUTE(TRIM($W637),"-",""),".",""),"/","")," ",""),8),7,2)),"")))</f>
        <v/>
      </c>
      <c r="Y637" s="32">
        <f>IF($X637="","",INT($X637))</f>
        <v/>
      </c>
      <c r="Z637" s="33">
        <f>IF(OR($Y637="",$D$6=""),"",IF(INDEX($A:$U,ROW(),$D$6)="",0,IF(ISNUMBER(INDEX($A:$U,ROW(),$D$6)),INDEX($A:$U,ROW(),$D$6),IFERROR(--SUBSTITUTE(SUBSTITUTE(TRIM(INDEX($A:$U,ROW(),$D$6)),",",""),"원",""),0))))</f>
        <v/>
      </c>
      <c r="AA637" s="31">
        <f>IF($Y637="","",TRIM(INDEX($A:$U,ROW(),$E$6)&amp;IF($F$6="",""," "&amp;INDEX($A:$U,ROW(),$F$6))))</f>
        <v/>
      </c>
      <c r="AB637" s="31">
        <f>IF($AA637="","",SUBSTITUTE(SUBSTITUTE(SUBSTITUTE(SUBSTITUTE(SUBSTITUTE(SUBSTITUTE(SUBSTITUTE(SUBSTITUTE(SUBSTITUTE($AA637," ",""),"　",""),"(주)",""),"（주）",""),"㈜",""),"주식회사",""),"(유)",""),"（유）",""),"유한회사",""))</f>
        <v/>
      </c>
      <c r="AC637" s="31">
        <f>IF(OR($Y637="",N($Z637)&lt;=0,$AB637=""),0,IFERROR(LOOKUP(2,1/((거래처별!$AC$8:$AC$307&lt;&gt;"")*ISNUMBER(SEARCH(거래처별!$AC$8:$AC$307,$AB637))),거래처별!$A$8:$A$307),IFERROR(LOOKUP(2,1/((거래처별!$AD$8:$AD$307&lt;&gt;"")*ISNUMBER(SEARCH(거래처별!$AD$8:$AD$307,$AB637))),거래처별!$A$8:$A$307),IFERROR(LOOKUP(2,1/((거래처별!$AE$8:$AE$307&lt;&gt;"")*ISNUMBER(SEARCH(거래처별!$AE$8:$AE$307,$AB637))),거래처별!$A$8:$A$307),0))))</f>
        <v/>
      </c>
      <c r="AD637" s="31">
        <f>IF(AND($Y637&lt;&gt;"",N($Z637)&gt;0,$AC637=0),MAX($AD$7:$AD636)+1,"")</f>
        <v/>
      </c>
      <c r="AE637" s="31">
        <f>IF($Y637="",0,$Y637)</f>
        <v/>
      </c>
    </row>
    <row r="638">
      <c r="W638" s="31">
        <f>IF(OR($B$5="",$C$6="",ROW()&lt;$B$5),"",IF(INDEX($A:$U,ROW(),$C$6)="","",INDEX($A:$U,ROW(),$C$6)))</f>
        <v/>
      </c>
      <c r="X638" s="32">
        <f>IF($W638="","",IF(ISNUMBER($W638),IF($W638&gt;=10000000,IFERROR(DATE(INT($W638/10000),MOD(INT($W638/100),100),MOD($W638,100)),""),INT($W638)),IFERROR(DATE(--LEFT(LEFT(SUBSTITUTE(SUBSTITUTE(SUBSTITUTE(SUBSTITUTE(TRIM($W638),"-",""),".",""),"/","")," ",""),8),4),--MID(LEFT(SUBSTITUTE(SUBSTITUTE(SUBSTITUTE(SUBSTITUTE(TRIM($W638),"-",""),".",""),"/","")," ",""),8),5,2),--MID(LEFT(SUBSTITUTE(SUBSTITUTE(SUBSTITUTE(SUBSTITUTE(TRIM($W638),"-",""),".",""),"/","")," ",""),8),7,2)),"")))</f>
        <v/>
      </c>
      <c r="Y638" s="32">
        <f>IF($X638="","",INT($X638))</f>
        <v/>
      </c>
      <c r="Z638" s="33">
        <f>IF(OR($Y638="",$D$6=""),"",IF(INDEX($A:$U,ROW(),$D$6)="",0,IF(ISNUMBER(INDEX($A:$U,ROW(),$D$6)),INDEX($A:$U,ROW(),$D$6),IFERROR(--SUBSTITUTE(SUBSTITUTE(TRIM(INDEX($A:$U,ROW(),$D$6)),",",""),"원",""),0))))</f>
        <v/>
      </c>
      <c r="AA638" s="31">
        <f>IF($Y638="","",TRIM(INDEX($A:$U,ROW(),$E$6)&amp;IF($F$6="",""," "&amp;INDEX($A:$U,ROW(),$F$6))))</f>
        <v/>
      </c>
      <c r="AB638" s="31">
        <f>IF($AA638="","",SUBSTITUTE(SUBSTITUTE(SUBSTITUTE(SUBSTITUTE(SUBSTITUTE(SUBSTITUTE(SUBSTITUTE(SUBSTITUTE(SUBSTITUTE($AA638," ",""),"　",""),"(주)",""),"（주）",""),"㈜",""),"주식회사",""),"(유)",""),"（유）",""),"유한회사",""))</f>
        <v/>
      </c>
      <c r="AC638" s="31">
        <f>IF(OR($Y638="",N($Z638)&lt;=0,$AB638=""),0,IFERROR(LOOKUP(2,1/((거래처별!$AC$8:$AC$307&lt;&gt;"")*ISNUMBER(SEARCH(거래처별!$AC$8:$AC$307,$AB638))),거래처별!$A$8:$A$307),IFERROR(LOOKUP(2,1/((거래처별!$AD$8:$AD$307&lt;&gt;"")*ISNUMBER(SEARCH(거래처별!$AD$8:$AD$307,$AB638))),거래처별!$A$8:$A$307),IFERROR(LOOKUP(2,1/((거래처별!$AE$8:$AE$307&lt;&gt;"")*ISNUMBER(SEARCH(거래처별!$AE$8:$AE$307,$AB638))),거래처별!$A$8:$A$307),0))))</f>
        <v/>
      </c>
      <c r="AD638" s="31">
        <f>IF(AND($Y638&lt;&gt;"",N($Z638)&gt;0,$AC638=0),MAX($AD$7:$AD637)+1,"")</f>
        <v/>
      </c>
      <c r="AE638" s="31">
        <f>IF($Y638="",0,$Y638)</f>
        <v/>
      </c>
    </row>
    <row r="639">
      <c r="W639" s="31">
        <f>IF(OR($B$5="",$C$6="",ROW()&lt;$B$5),"",IF(INDEX($A:$U,ROW(),$C$6)="","",INDEX($A:$U,ROW(),$C$6)))</f>
        <v/>
      </c>
      <c r="X639" s="32">
        <f>IF($W639="","",IF(ISNUMBER($W639),IF($W639&gt;=10000000,IFERROR(DATE(INT($W639/10000),MOD(INT($W639/100),100),MOD($W639,100)),""),INT($W639)),IFERROR(DATE(--LEFT(LEFT(SUBSTITUTE(SUBSTITUTE(SUBSTITUTE(SUBSTITUTE(TRIM($W639),"-",""),".",""),"/","")," ",""),8),4),--MID(LEFT(SUBSTITUTE(SUBSTITUTE(SUBSTITUTE(SUBSTITUTE(TRIM($W639),"-",""),".",""),"/","")," ",""),8),5,2),--MID(LEFT(SUBSTITUTE(SUBSTITUTE(SUBSTITUTE(SUBSTITUTE(TRIM($W639),"-",""),".",""),"/","")," ",""),8),7,2)),"")))</f>
        <v/>
      </c>
      <c r="Y639" s="32">
        <f>IF($X639="","",INT($X639))</f>
        <v/>
      </c>
      <c r="Z639" s="33">
        <f>IF(OR($Y639="",$D$6=""),"",IF(INDEX($A:$U,ROW(),$D$6)="",0,IF(ISNUMBER(INDEX($A:$U,ROW(),$D$6)),INDEX($A:$U,ROW(),$D$6),IFERROR(--SUBSTITUTE(SUBSTITUTE(TRIM(INDEX($A:$U,ROW(),$D$6)),",",""),"원",""),0))))</f>
        <v/>
      </c>
      <c r="AA639" s="31">
        <f>IF($Y639="","",TRIM(INDEX($A:$U,ROW(),$E$6)&amp;IF($F$6="",""," "&amp;INDEX($A:$U,ROW(),$F$6))))</f>
        <v/>
      </c>
      <c r="AB639" s="31">
        <f>IF($AA639="","",SUBSTITUTE(SUBSTITUTE(SUBSTITUTE(SUBSTITUTE(SUBSTITUTE(SUBSTITUTE(SUBSTITUTE(SUBSTITUTE(SUBSTITUTE($AA639," ",""),"　",""),"(주)",""),"（주）",""),"㈜",""),"주식회사",""),"(유)",""),"（유）",""),"유한회사",""))</f>
        <v/>
      </c>
      <c r="AC639" s="31">
        <f>IF(OR($Y639="",N($Z639)&lt;=0,$AB639=""),0,IFERROR(LOOKUP(2,1/((거래처별!$AC$8:$AC$307&lt;&gt;"")*ISNUMBER(SEARCH(거래처별!$AC$8:$AC$307,$AB639))),거래처별!$A$8:$A$307),IFERROR(LOOKUP(2,1/((거래처별!$AD$8:$AD$307&lt;&gt;"")*ISNUMBER(SEARCH(거래처별!$AD$8:$AD$307,$AB639))),거래처별!$A$8:$A$307),IFERROR(LOOKUP(2,1/((거래처별!$AE$8:$AE$307&lt;&gt;"")*ISNUMBER(SEARCH(거래처별!$AE$8:$AE$307,$AB639))),거래처별!$A$8:$A$307),0))))</f>
        <v/>
      </c>
      <c r="AD639" s="31">
        <f>IF(AND($Y639&lt;&gt;"",N($Z639)&gt;0,$AC639=0),MAX($AD$7:$AD638)+1,"")</f>
        <v/>
      </c>
      <c r="AE639" s="31">
        <f>IF($Y639="",0,$Y639)</f>
        <v/>
      </c>
    </row>
    <row r="640">
      <c r="W640" s="31">
        <f>IF(OR($B$5="",$C$6="",ROW()&lt;$B$5),"",IF(INDEX($A:$U,ROW(),$C$6)="","",INDEX($A:$U,ROW(),$C$6)))</f>
        <v/>
      </c>
      <c r="X640" s="32">
        <f>IF($W640="","",IF(ISNUMBER($W640),IF($W640&gt;=10000000,IFERROR(DATE(INT($W640/10000),MOD(INT($W640/100),100),MOD($W640,100)),""),INT($W640)),IFERROR(DATE(--LEFT(LEFT(SUBSTITUTE(SUBSTITUTE(SUBSTITUTE(SUBSTITUTE(TRIM($W640),"-",""),".",""),"/","")," ",""),8),4),--MID(LEFT(SUBSTITUTE(SUBSTITUTE(SUBSTITUTE(SUBSTITUTE(TRIM($W640),"-",""),".",""),"/","")," ",""),8),5,2),--MID(LEFT(SUBSTITUTE(SUBSTITUTE(SUBSTITUTE(SUBSTITUTE(TRIM($W640),"-",""),".",""),"/","")," ",""),8),7,2)),"")))</f>
        <v/>
      </c>
      <c r="Y640" s="32">
        <f>IF($X640="","",INT($X640))</f>
        <v/>
      </c>
      <c r="Z640" s="33">
        <f>IF(OR($Y640="",$D$6=""),"",IF(INDEX($A:$U,ROW(),$D$6)="",0,IF(ISNUMBER(INDEX($A:$U,ROW(),$D$6)),INDEX($A:$U,ROW(),$D$6),IFERROR(--SUBSTITUTE(SUBSTITUTE(TRIM(INDEX($A:$U,ROW(),$D$6)),",",""),"원",""),0))))</f>
        <v/>
      </c>
      <c r="AA640" s="31">
        <f>IF($Y640="","",TRIM(INDEX($A:$U,ROW(),$E$6)&amp;IF($F$6="",""," "&amp;INDEX($A:$U,ROW(),$F$6))))</f>
        <v/>
      </c>
      <c r="AB640" s="31">
        <f>IF($AA640="","",SUBSTITUTE(SUBSTITUTE(SUBSTITUTE(SUBSTITUTE(SUBSTITUTE(SUBSTITUTE(SUBSTITUTE(SUBSTITUTE(SUBSTITUTE($AA640," ",""),"　",""),"(주)",""),"（주）",""),"㈜",""),"주식회사",""),"(유)",""),"（유）",""),"유한회사",""))</f>
        <v/>
      </c>
      <c r="AC640" s="31">
        <f>IF(OR($Y640="",N($Z640)&lt;=0,$AB640=""),0,IFERROR(LOOKUP(2,1/((거래처별!$AC$8:$AC$307&lt;&gt;"")*ISNUMBER(SEARCH(거래처별!$AC$8:$AC$307,$AB640))),거래처별!$A$8:$A$307),IFERROR(LOOKUP(2,1/((거래처별!$AD$8:$AD$307&lt;&gt;"")*ISNUMBER(SEARCH(거래처별!$AD$8:$AD$307,$AB640))),거래처별!$A$8:$A$307),IFERROR(LOOKUP(2,1/((거래처별!$AE$8:$AE$307&lt;&gt;"")*ISNUMBER(SEARCH(거래처별!$AE$8:$AE$307,$AB640))),거래처별!$A$8:$A$307),0))))</f>
        <v/>
      </c>
      <c r="AD640" s="31">
        <f>IF(AND($Y640&lt;&gt;"",N($Z640)&gt;0,$AC640=0),MAX($AD$7:$AD639)+1,"")</f>
        <v/>
      </c>
      <c r="AE640" s="31">
        <f>IF($Y640="",0,$Y640)</f>
        <v/>
      </c>
    </row>
    <row r="641">
      <c r="W641" s="31">
        <f>IF(OR($B$5="",$C$6="",ROW()&lt;$B$5),"",IF(INDEX($A:$U,ROW(),$C$6)="","",INDEX($A:$U,ROW(),$C$6)))</f>
        <v/>
      </c>
      <c r="X641" s="32">
        <f>IF($W641="","",IF(ISNUMBER($W641),IF($W641&gt;=10000000,IFERROR(DATE(INT($W641/10000),MOD(INT($W641/100),100),MOD($W641,100)),""),INT($W641)),IFERROR(DATE(--LEFT(LEFT(SUBSTITUTE(SUBSTITUTE(SUBSTITUTE(SUBSTITUTE(TRIM($W641),"-",""),".",""),"/","")," ",""),8),4),--MID(LEFT(SUBSTITUTE(SUBSTITUTE(SUBSTITUTE(SUBSTITUTE(TRIM($W641),"-",""),".",""),"/","")," ",""),8),5,2),--MID(LEFT(SUBSTITUTE(SUBSTITUTE(SUBSTITUTE(SUBSTITUTE(TRIM($W641),"-",""),".",""),"/","")," ",""),8),7,2)),"")))</f>
        <v/>
      </c>
      <c r="Y641" s="32">
        <f>IF($X641="","",INT($X641))</f>
        <v/>
      </c>
      <c r="Z641" s="33">
        <f>IF(OR($Y641="",$D$6=""),"",IF(INDEX($A:$U,ROW(),$D$6)="",0,IF(ISNUMBER(INDEX($A:$U,ROW(),$D$6)),INDEX($A:$U,ROW(),$D$6),IFERROR(--SUBSTITUTE(SUBSTITUTE(TRIM(INDEX($A:$U,ROW(),$D$6)),",",""),"원",""),0))))</f>
        <v/>
      </c>
      <c r="AA641" s="31">
        <f>IF($Y641="","",TRIM(INDEX($A:$U,ROW(),$E$6)&amp;IF($F$6="",""," "&amp;INDEX($A:$U,ROW(),$F$6))))</f>
        <v/>
      </c>
      <c r="AB641" s="31">
        <f>IF($AA641="","",SUBSTITUTE(SUBSTITUTE(SUBSTITUTE(SUBSTITUTE(SUBSTITUTE(SUBSTITUTE(SUBSTITUTE(SUBSTITUTE(SUBSTITUTE($AA641," ",""),"　",""),"(주)",""),"（주）",""),"㈜",""),"주식회사",""),"(유)",""),"（유）",""),"유한회사",""))</f>
        <v/>
      </c>
      <c r="AC641" s="31">
        <f>IF(OR($Y641="",N($Z641)&lt;=0,$AB641=""),0,IFERROR(LOOKUP(2,1/((거래처별!$AC$8:$AC$307&lt;&gt;"")*ISNUMBER(SEARCH(거래처별!$AC$8:$AC$307,$AB641))),거래처별!$A$8:$A$307),IFERROR(LOOKUP(2,1/((거래처별!$AD$8:$AD$307&lt;&gt;"")*ISNUMBER(SEARCH(거래처별!$AD$8:$AD$307,$AB641))),거래처별!$A$8:$A$307),IFERROR(LOOKUP(2,1/((거래처별!$AE$8:$AE$307&lt;&gt;"")*ISNUMBER(SEARCH(거래처별!$AE$8:$AE$307,$AB641))),거래처별!$A$8:$A$307),0))))</f>
        <v/>
      </c>
      <c r="AD641" s="31">
        <f>IF(AND($Y641&lt;&gt;"",N($Z641)&gt;0,$AC641=0),MAX($AD$7:$AD640)+1,"")</f>
        <v/>
      </c>
      <c r="AE641" s="31">
        <f>IF($Y641="",0,$Y641)</f>
        <v/>
      </c>
    </row>
    <row r="642">
      <c r="W642" s="31">
        <f>IF(OR($B$5="",$C$6="",ROW()&lt;$B$5),"",IF(INDEX($A:$U,ROW(),$C$6)="","",INDEX($A:$U,ROW(),$C$6)))</f>
        <v/>
      </c>
      <c r="X642" s="32">
        <f>IF($W642="","",IF(ISNUMBER($W642),IF($W642&gt;=10000000,IFERROR(DATE(INT($W642/10000),MOD(INT($W642/100),100),MOD($W642,100)),""),INT($W642)),IFERROR(DATE(--LEFT(LEFT(SUBSTITUTE(SUBSTITUTE(SUBSTITUTE(SUBSTITUTE(TRIM($W642),"-",""),".",""),"/","")," ",""),8),4),--MID(LEFT(SUBSTITUTE(SUBSTITUTE(SUBSTITUTE(SUBSTITUTE(TRIM($W642),"-",""),".",""),"/","")," ",""),8),5,2),--MID(LEFT(SUBSTITUTE(SUBSTITUTE(SUBSTITUTE(SUBSTITUTE(TRIM($W642),"-",""),".",""),"/","")," ",""),8),7,2)),"")))</f>
        <v/>
      </c>
      <c r="Y642" s="32">
        <f>IF($X642="","",INT($X642))</f>
        <v/>
      </c>
      <c r="Z642" s="33">
        <f>IF(OR($Y642="",$D$6=""),"",IF(INDEX($A:$U,ROW(),$D$6)="",0,IF(ISNUMBER(INDEX($A:$U,ROW(),$D$6)),INDEX($A:$U,ROW(),$D$6),IFERROR(--SUBSTITUTE(SUBSTITUTE(TRIM(INDEX($A:$U,ROW(),$D$6)),",",""),"원",""),0))))</f>
        <v/>
      </c>
      <c r="AA642" s="31">
        <f>IF($Y642="","",TRIM(INDEX($A:$U,ROW(),$E$6)&amp;IF($F$6="",""," "&amp;INDEX($A:$U,ROW(),$F$6))))</f>
        <v/>
      </c>
      <c r="AB642" s="31">
        <f>IF($AA642="","",SUBSTITUTE(SUBSTITUTE(SUBSTITUTE(SUBSTITUTE(SUBSTITUTE(SUBSTITUTE(SUBSTITUTE(SUBSTITUTE(SUBSTITUTE($AA642," ",""),"　",""),"(주)",""),"（주）",""),"㈜",""),"주식회사",""),"(유)",""),"（유）",""),"유한회사",""))</f>
        <v/>
      </c>
      <c r="AC642" s="31">
        <f>IF(OR($Y642="",N($Z642)&lt;=0,$AB642=""),0,IFERROR(LOOKUP(2,1/((거래처별!$AC$8:$AC$307&lt;&gt;"")*ISNUMBER(SEARCH(거래처별!$AC$8:$AC$307,$AB642))),거래처별!$A$8:$A$307),IFERROR(LOOKUP(2,1/((거래처별!$AD$8:$AD$307&lt;&gt;"")*ISNUMBER(SEARCH(거래처별!$AD$8:$AD$307,$AB642))),거래처별!$A$8:$A$307),IFERROR(LOOKUP(2,1/((거래처별!$AE$8:$AE$307&lt;&gt;"")*ISNUMBER(SEARCH(거래처별!$AE$8:$AE$307,$AB642))),거래처별!$A$8:$A$307),0))))</f>
        <v/>
      </c>
      <c r="AD642" s="31">
        <f>IF(AND($Y642&lt;&gt;"",N($Z642)&gt;0,$AC642=0),MAX($AD$7:$AD641)+1,"")</f>
        <v/>
      </c>
      <c r="AE642" s="31">
        <f>IF($Y642="",0,$Y642)</f>
        <v/>
      </c>
    </row>
    <row r="643">
      <c r="W643" s="31">
        <f>IF(OR($B$5="",$C$6="",ROW()&lt;$B$5),"",IF(INDEX($A:$U,ROW(),$C$6)="","",INDEX($A:$U,ROW(),$C$6)))</f>
        <v/>
      </c>
      <c r="X643" s="32">
        <f>IF($W643="","",IF(ISNUMBER($W643),IF($W643&gt;=10000000,IFERROR(DATE(INT($W643/10000),MOD(INT($W643/100),100),MOD($W643,100)),""),INT($W643)),IFERROR(DATE(--LEFT(LEFT(SUBSTITUTE(SUBSTITUTE(SUBSTITUTE(SUBSTITUTE(TRIM($W643),"-",""),".",""),"/","")," ",""),8),4),--MID(LEFT(SUBSTITUTE(SUBSTITUTE(SUBSTITUTE(SUBSTITUTE(TRIM($W643),"-",""),".",""),"/","")," ",""),8),5,2),--MID(LEFT(SUBSTITUTE(SUBSTITUTE(SUBSTITUTE(SUBSTITUTE(TRIM($W643),"-",""),".",""),"/","")," ",""),8),7,2)),"")))</f>
        <v/>
      </c>
      <c r="Y643" s="32">
        <f>IF($X643="","",INT($X643))</f>
        <v/>
      </c>
      <c r="Z643" s="33">
        <f>IF(OR($Y643="",$D$6=""),"",IF(INDEX($A:$U,ROW(),$D$6)="",0,IF(ISNUMBER(INDEX($A:$U,ROW(),$D$6)),INDEX($A:$U,ROW(),$D$6),IFERROR(--SUBSTITUTE(SUBSTITUTE(TRIM(INDEX($A:$U,ROW(),$D$6)),",",""),"원",""),0))))</f>
        <v/>
      </c>
      <c r="AA643" s="31">
        <f>IF($Y643="","",TRIM(INDEX($A:$U,ROW(),$E$6)&amp;IF($F$6="",""," "&amp;INDEX($A:$U,ROW(),$F$6))))</f>
        <v/>
      </c>
      <c r="AB643" s="31">
        <f>IF($AA643="","",SUBSTITUTE(SUBSTITUTE(SUBSTITUTE(SUBSTITUTE(SUBSTITUTE(SUBSTITUTE(SUBSTITUTE(SUBSTITUTE(SUBSTITUTE($AA643," ",""),"　",""),"(주)",""),"（주）",""),"㈜",""),"주식회사",""),"(유)",""),"（유）",""),"유한회사",""))</f>
        <v/>
      </c>
      <c r="AC643" s="31">
        <f>IF(OR($Y643="",N($Z643)&lt;=0,$AB643=""),0,IFERROR(LOOKUP(2,1/((거래처별!$AC$8:$AC$307&lt;&gt;"")*ISNUMBER(SEARCH(거래처별!$AC$8:$AC$307,$AB643))),거래처별!$A$8:$A$307),IFERROR(LOOKUP(2,1/((거래처별!$AD$8:$AD$307&lt;&gt;"")*ISNUMBER(SEARCH(거래처별!$AD$8:$AD$307,$AB643))),거래처별!$A$8:$A$307),IFERROR(LOOKUP(2,1/((거래처별!$AE$8:$AE$307&lt;&gt;"")*ISNUMBER(SEARCH(거래처별!$AE$8:$AE$307,$AB643))),거래처별!$A$8:$A$307),0))))</f>
        <v/>
      </c>
      <c r="AD643" s="31">
        <f>IF(AND($Y643&lt;&gt;"",N($Z643)&gt;0,$AC643=0),MAX($AD$7:$AD642)+1,"")</f>
        <v/>
      </c>
      <c r="AE643" s="31">
        <f>IF($Y643="",0,$Y643)</f>
        <v/>
      </c>
    </row>
    <row r="644">
      <c r="W644" s="31">
        <f>IF(OR($B$5="",$C$6="",ROW()&lt;$B$5),"",IF(INDEX($A:$U,ROW(),$C$6)="","",INDEX($A:$U,ROW(),$C$6)))</f>
        <v/>
      </c>
      <c r="X644" s="32">
        <f>IF($W644="","",IF(ISNUMBER($W644),IF($W644&gt;=10000000,IFERROR(DATE(INT($W644/10000),MOD(INT($W644/100),100),MOD($W644,100)),""),INT($W644)),IFERROR(DATE(--LEFT(LEFT(SUBSTITUTE(SUBSTITUTE(SUBSTITUTE(SUBSTITUTE(TRIM($W644),"-",""),".",""),"/","")," ",""),8),4),--MID(LEFT(SUBSTITUTE(SUBSTITUTE(SUBSTITUTE(SUBSTITUTE(TRIM($W644),"-",""),".",""),"/","")," ",""),8),5,2),--MID(LEFT(SUBSTITUTE(SUBSTITUTE(SUBSTITUTE(SUBSTITUTE(TRIM($W644),"-",""),".",""),"/","")," ",""),8),7,2)),"")))</f>
        <v/>
      </c>
      <c r="Y644" s="32">
        <f>IF($X644="","",INT($X644))</f>
        <v/>
      </c>
      <c r="Z644" s="33">
        <f>IF(OR($Y644="",$D$6=""),"",IF(INDEX($A:$U,ROW(),$D$6)="",0,IF(ISNUMBER(INDEX($A:$U,ROW(),$D$6)),INDEX($A:$U,ROW(),$D$6),IFERROR(--SUBSTITUTE(SUBSTITUTE(TRIM(INDEX($A:$U,ROW(),$D$6)),",",""),"원",""),0))))</f>
        <v/>
      </c>
      <c r="AA644" s="31">
        <f>IF($Y644="","",TRIM(INDEX($A:$U,ROW(),$E$6)&amp;IF($F$6="",""," "&amp;INDEX($A:$U,ROW(),$F$6))))</f>
        <v/>
      </c>
      <c r="AB644" s="31">
        <f>IF($AA644="","",SUBSTITUTE(SUBSTITUTE(SUBSTITUTE(SUBSTITUTE(SUBSTITUTE(SUBSTITUTE(SUBSTITUTE(SUBSTITUTE(SUBSTITUTE($AA644," ",""),"　",""),"(주)",""),"（주）",""),"㈜",""),"주식회사",""),"(유)",""),"（유）",""),"유한회사",""))</f>
        <v/>
      </c>
      <c r="AC644" s="31">
        <f>IF(OR($Y644="",N($Z644)&lt;=0,$AB644=""),0,IFERROR(LOOKUP(2,1/((거래처별!$AC$8:$AC$307&lt;&gt;"")*ISNUMBER(SEARCH(거래처별!$AC$8:$AC$307,$AB644))),거래처별!$A$8:$A$307),IFERROR(LOOKUP(2,1/((거래처별!$AD$8:$AD$307&lt;&gt;"")*ISNUMBER(SEARCH(거래처별!$AD$8:$AD$307,$AB644))),거래처별!$A$8:$A$307),IFERROR(LOOKUP(2,1/((거래처별!$AE$8:$AE$307&lt;&gt;"")*ISNUMBER(SEARCH(거래처별!$AE$8:$AE$307,$AB644))),거래처별!$A$8:$A$307),0))))</f>
        <v/>
      </c>
      <c r="AD644" s="31">
        <f>IF(AND($Y644&lt;&gt;"",N($Z644)&gt;0,$AC644=0),MAX($AD$7:$AD643)+1,"")</f>
        <v/>
      </c>
      <c r="AE644" s="31">
        <f>IF($Y644="",0,$Y644)</f>
        <v/>
      </c>
    </row>
    <row r="645">
      <c r="W645" s="31">
        <f>IF(OR($B$5="",$C$6="",ROW()&lt;$B$5),"",IF(INDEX($A:$U,ROW(),$C$6)="","",INDEX($A:$U,ROW(),$C$6)))</f>
        <v/>
      </c>
      <c r="X645" s="32">
        <f>IF($W645="","",IF(ISNUMBER($W645),IF($W645&gt;=10000000,IFERROR(DATE(INT($W645/10000),MOD(INT($W645/100),100),MOD($W645,100)),""),INT($W645)),IFERROR(DATE(--LEFT(LEFT(SUBSTITUTE(SUBSTITUTE(SUBSTITUTE(SUBSTITUTE(TRIM($W645),"-",""),".",""),"/","")," ",""),8),4),--MID(LEFT(SUBSTITUTE(SUBSTITUTE(SUBSTITUTE(SUBSTITUTE(TRIM($W645),"-",""),".",""),"/","")," ",""),8),5,2),--MID(LEFT(SUBSTITUTE(SUBSTITUTE(SUBSTITUTE(SUBSTITUTE(TRIM($W645),"-",""),".",""),"/","")," ",""),8),7,2)),"")))</f>
        <v/>
      </c>
      <c r="Y645" s="32">
        <f>IF($X645="","",INT($X645))</f>
        <v/>
      </c>
      <c r="Z645" s="33">
        <f>IF(OR($Y645="",$D$6=""),"",IF(INDEX($A:$U,ROW(),$D$6)="",0,IF(ISNUMBER(INDEX($A:$U,ROW(),$D$6)),INDEX($A:$U,ROW(),$D$6),IFERROR(--SUBSTITUTE(SUBSTITUTE(TRIM(INDEX($A:$U,ROW(),$D$6)),",",""),"원",""),0))))</f>
        <v/>
      </c>
      <c r="AA645" s="31">
        <f>IF($Y645="","",TRIM(INDEX($A:$U,ROW(),$E$6)&amp;IF($F$6="",""," "&amp;INDEX($A:$U,ROW(),$F$6))))</f>
        <v/>
      </c>
      <c r="AB645" s="31">
        <f>IF($AA645="","",SUBSTITUTE(SUBSTITUTE(SUBSTITUTE(SUBSTITUTE(SUBSTITUTE(SUBSTITUTE(SUBSTITUTE(SUBSTITUTE(SUBSTITUTE($AA645," ",""),"　",""),"(주)",""),"（주）",""),"㈜",""),"주식회사",""),"(유)",""),"（유）",""),"유한회사",""))</f>
        <v/>
      </c>
      <c r="AC645" s="31">
        <f>IF(OR($Y645="",N($Z645)&lt;=0,$AB645=""),0,IFERROR(LOOKUP(2,1/((거래처별!$AC$8:$AC$307&lt;&gt;"")*ISNUMBER(SEARCH(거래처별!$AC$8:$AC$307,$AB645))),거래처별!$A$8:$A$307),IFERROR(LOOKUP(2,1/((거래처별!$AD$8:$AD$307&lt;&gt;"")*ISNUMBER(SEARCH(거래처별!$AD$8:$AD$307,$AB645))),거래처별!$A$8:$A$307),IFERROR(LOOKUP(2,1/((거래처별!$AE$8:$AE$307&lt;&gt;"")*ISNUMBER(SEARCH(거래처별!$AE$8:$AE$307,$AB645))),거래처별!$A$8:$A$307),0))))</f>
        <v/>
      </c>
      <c r="AD645" s="31">
        <f>IF(AND($Y645&lt;&gt;"",N($Z645)&gt;0,$AC645=0),MAX($AD$7:$AD644)+1,"")</f>
        <v/>
      </c>
      <c r="AE645" s="31">
        <f>IF($Y645="",0,$Y645)</f>
        <v/>
      </c>
    </row>
    <row r="646">
      <c r="W646" s="31">
        <f>IF(OR($B$5="",$C$6="",ROW()&lt;$B$5),"",IF(INDEX($A:$U,ROW(),$C$6)="","",INDEX($A:$U,ROW(),$C$6)))</f>
        <v/>
      </c>
      <c r="X646" s="32">
        <f>IF($W646="","",IF(ISNUMBER($W646),IF($W646&gt;=10000000,IFERROR(DATE(INT($W646/10000),MOD(INT($W646/100),100),MOD($W646,100)),""),INT($W646)),IFERROR(DATE(--LEFT(LEFT(SUBSTITUTE(SUBSTITUTE(SUBSTITUTE(SUBSTITUTE(TRIM($W646),"-",""),".",""),"/","")," ",""),8),4),--MID(LEFT(SUBSTITUTE(SUBSTITUTE(SUBSTITUTE(SUBSTITUTE(TRIM($W646),"-",""),".",""),"/","")," ",""),8),5,2),--MID(LEFT(SUBSTITUTE(SUBSTITUTE(SUBSTITUTE(SUBSTITUTE(TRIM($W646),"-",""),".",""),"/","")," ",""),8),7,2)),"")))</f>
        <v/>
      </c>
      <c r="Y646" s="32">
        <f>IF($X646="","",INT($X646))</f>
        <v/>
      </c>
      <c r="Z646" s="33">
        <f>IF(OR($Y646="",$D$6=""),"",IF(INDEX($A:$U,ROW(),$D$6)="",0,IF(ISNUMBER(INDEX($A:$U,ROW(),$D$6)),INDEX($A:$U,ROW(),$D$6),IFERROR(--SUBSTITUTE(SUBSTITUTE(TRIM(INDEX($A:$U,ROW(),$D$6)),",",""),"원",""),0))))</f>
        <v/>
      </c>
      <c r="AA646" s="31">
        <f>IF($Y646="","",TRIM(INDEX($A:$U,ROW(),$E$6)&amp;IF($F$6="",""," "&amp;INDEX($A:$U,ROW(),$F$6))))</f>
        <v/>
      </c>
      <c r="AB646" s="31">
        <f>IF($AA646="","",SUBSTITUTE(SUBSTITUTE(SUBSTITUTE(SUBSTITUTE(SUBSTITUTE(SUBSTITUTE(SUBSTITUTE(SUBSTITUTE(SUBSTITUTE($AA646," ",""),"　",""),"(주)",""),"（주）",""),"㈜",""),"주식회사",""),"(유)",""),"（유）",""),"유한회사",""))</f>
        <v/>
      </c>
      <c r="AC646" s="31">
        <f>IF(OR($Y646="",N($Z646)&lt;=0,$AB646=""),0,IFERROR(LOOKUP(2,1/((거래처별!$AC$8:$AC$307&lt;&gt;"")*ISNUMBER(SEARCH(거래처별!$AC$8:$AC$307,$AB646))),거래처별!$A$8:$A$307),IFERROR(LOOKUP(2,1/((거래처별!$AD$8:$AD$307&lt;&gt;"")*ISNUMBER(SEARCH(거래처별!$AD$8:$AD$307,$AB646))),거래처별!$A$8:$A$307),IFERROR(LOOKUP(2,1/((거래처별!$AE$8:$AE$307&lt;&gt;"")*ISNUMBER(SEARCH(거래처별!$AE$8:$AE$307,$AB646))),거래처별!$A$8:$A$307),0))))</f>
        <v/>
      </c>
      <c r="AD646" s="31">
        <f>IF(AND($Y646&lt;&gt;"",N($Z646)&gt;0,$AC646=0),MAX($AD$7:$AD645)+1,"")</f>
        <v/>
      </c>
      <c r="AE646" s="31">
        <f>IF($Y646="",0,$Y646)</f>
        <v/>
      </c>
    </row>
    <row r="647">
      <c r="W647" s="31">
        <f>IF(OR($B$5="",$C$6="",ROW()&lt;$B$5),"",IF(INDEX($A:$U,ROW(),$C$6)="","",INDEX($A:$U,ROW(),$C$6)))</f>
        <v/>
      </c>
      <c r="X647" s="32">
        <f>IF($W647="","",IF(ISNUMBER($W647),IF($W647&gt;=10000000,IFERROR(DATE(INT($W647/10000),MOD(INT($W647/100),100),MOD($W647,100)),""),INT($W647)),IFERROR(DATE(--LEFT(LEFT(SUBSTITUTE(SUBSTITUTE(SUBSTITUTE(SUBSTITUTE(TRIM($W647),"-",""),".",""),"/","")," ",""),8),4),--MID(LEFT(SUBSTITUTE(SUBSTITUTE(SUBSTITUTE(SUBSTITUTE(TRIM($W647),"-",""),".",""),"/","")," ",""),8),5,2),--MID(LEFT(SUBSTITUTE(SUBSTITUTE(SUBSTITUTE(SUBSTITUTE(TRIM($W647),"-",""),".",""),"/","")," ",""),8),7,2)),"")))</f>
        <v/>
      </c>
      <c r="Y647" s="32">
        <f>IF($X647="","",INT($X647))</f>
        <v/>
      </c>
      <c r="Z647" s="33">
        <f>IF(OR($Y647="",$D$6=""),"",IF(INDEX($A:$U,ROW(),$D$6)="",0,IF(ISNUMBER(INDEX($A:$U,ROW(),$D$6)),INDEX($A:$U,ROW(),$D$6),IFERROR(--SUBSTITUTE(SUBSTITUTE(TRIM(INDEX($A:$U,ROW(),$D$6)),",",""),"원",""),0))))</f>
        <v/>
      </c>
      <c r="AA647" s="31">
        <f>IF($Y647="","",TRIM(INDEX($A:$U,ROW(),$E$6)&amp;IF($F$6="",""," "&amp;INDEX($A:$U,ROW(),$F$6))))</f>
        <v/>
      </c>
      <c r="AB647" s="31">
        <f>IF($AA647="","",SUBSTITUTE(SUBSTITUTE(SUBSTITUTE(SUBSTITUTE(SUBSTITUTE(SUBSTITUTE(SUBSTITUTE(SUBSTITUTE(SUBSTITUTE($AA647," ",""),"　",""),"(주)",""),"（주）",""),"㈜",""),"주식회사",""),"(유)",""),"（유）",""),"유한회사",""))</f>
        <v/>
      </c>
      <c r="AC647" s="31">
        <f>IF(OR($Y647="",N($Z647)&lt;=0,$AB647=""),0,IFERROR(LOOKUP(2,1/((거래처별!$AC$8:$AC$307&lt;&gt;"")*ISNUMBER(SEARCH(거래처별!$AC$8:$AC$307,$AB647))),거래처별!$A$8:$A$307),IFERROR(LOOKUP(2,1/((거래처별!$AD$8:$AD$307&lt;&gt;"")*ISNUMBER(SEARCH(거래처별!$AD$8:$AD$307,$AB647))),거래처별!$A$8:$A$307),IFERROR(LOOKUP(2,1/((거래처별!$AE$8:$AE$307&lt;&gt;"")*ISNUMBER(SEARCH(거래처별!$AE$8:$AE$307,$AB647))),거래처별!$A$8:$A$307),0))))</f>
        <v/>
      </c>
      <c r="AD647" s="31">
        <f>IF(AND($Y647&lt;&gt;"",N($Z647)&gt;0,$AC647=0),MAX($AD$7:$AD646)+1,"")</f>
        <v/>
      </c>
      <c r="AE647" s="31">
        <f>IF($Y647="",0,$Y647)</f>
        <v/>
      </c>
    </row>
    <row r="648">
      <c r="W648" s="31">
        <f>IF(OR($B$5="",$C$6="",ROW()&lt;$B$5),"",IF(INDEX($A:$U,ROW(),$C$6)="","",INDEX($A:$U,ROW(),$C$6)))</f>
        <v/>
      </c>
      <c r="X648" s="32">
        <f>IF($W648="","",IF(ISNUMBER($W648),IF($W648&gt;=10000000,IFERROR(DATE(INT($W648/10000),MOD(INT($W648/100),100),MOD($W648,100)),""),INT($W648)),IFERROR(DATE(--LEFT(LEFT(SUBSTITUTE(SUBSTITUTE(SUBSTITUTE(SUBSTITUTE(TRIM($W648),"-",""),".",""),"/","")," ",""),8),4),--MID(LEFT(SUBSTITUTE(SUBSTITUTE(SUBSTITUTE(SUBSTITUTE(TRIM($W648),"-",""),".",""),"/","")," ",""),8),5,2),--MID(LEFT(SUBSTITUTE(SUBSTITUTE(SUBSTITUTE(SUBSTITUTE(TRIM($W648),"-",""),".",""),"/","")," ",""),8),7,2)),"")))</f>
        <v/>
      </c>
      <c r="Y648" s="32">
        <f>IF($X648="","",INT($X648))</f>
        <v/>
      </c>
      <c r="Z648" s="33">
        <f>IF(OR($Y648="",$D$6=""),"",IF(INDEX($A:$U,ROW(),$D$6)="",0,IF(ISNUMBER(INDEX($A:$U,ROW(),$D$6)),INDEX($A:$U,ROW(),$D$6),IFERROR(--SUBSTITUTE(SUBSTITUTE(TRIM(INDEX($A:$U,ROW(),$D$6)),",",""),"원",""),0))))</f>
        <v/>
      </c>
      <c r="AA648" s="31">
        <f>IF($Y648="","",TRIM(INDEX($A:$U,ROW(),$E$6)&amp;IF($F$6="",""," "&amp;INDEX($A:$U,ROW(),$F$6))))</f>
        <v/>
      </c>
      <c r="AB648" s="31">
        <f>IF($AA648="","",SUBSTITUTE(SUBSTITUTE(SUBSTITUTE(SUBSTITUTE(SUBSTITUTE(SUBSTITUTE(SUBSTITUTE(SUBSTITUTE(SUBSTITUTE($AA648," ",""),"　",""),"(주)",""),"（주）",""),"㈜",""),"주식회사",""),"(유)",""),"（유）",""),"유한회사",""))</f>
        <v/>
      </c>
      <c r="AC648" s="31">
        <f>IF(OR($Y648="",N($Z648)&lt;=0,$AB648=""),0,IFERROR(LOOKUP(2,1/((거래처별!$AC$8:$AC$307&lt;&gt;"")*ISNUMBER(SEARCH(거래처별!$AC$8:$AC$307,$AB648))),거래처별!$A$8:$A$307),IFERROR(LOOKUP(2,1/((거래처별!$AD$8:$AD$307&lt;&gt;"")*ISNUMBER(SEARCH(거래처별!$AD$8:$AD$307,$AB648))),거래처별!$A$8:$A$307),IFERROR(LOOKUP(2,1/((거래처별!$AE$8:$AE$307&lt;&gt;"")*ISNUMBER(SEARCH(거래처별!$AE$8:$AE$307,$AB648))),거래처별!$A$8:$A$307),0))))</f>
        <v/>
      </c>
      <c r="AD648" s="31">
        <f>IF(AND($Y648&lt;&gt;"",N($Z648)&gt;0,$AC648=0),MAX($AD$7:$AD647)+1,"")</f>
        <v/>
      </c>
      <c r="AE648" s="31">
        <f>IF($Y648="",0,$Y648)</f>
        <v/>
      </c>
    </row>
    <row r="649">
      <c r="W649" s="31">
        <f>IF(OR($B$5="",$C$6="",ROW()&lt;$B$5),"",IF(INDEX($A:$U,ROW(),$C$6)="","",INDEX($A:$U,ROW(),$C$6)))</f>
        <v/>
      </c>
      <c r="X649" s="32">
        <f>IF($W649="","",IF(ISNUMBER($W649),IF($W649&gt;=10000000,IFERROR(DATE(INT($W649/10000),MOD(INT($W649/100),100),MOD($W649,100)),""),INT($W649)),IFERROR(DATE(--LEFT(LEFT(SUBSTITUTE(SUBSTITUTE(SUBSTITUTE(SUBSTITUTE(TRIM($W649),"-",""),".",""),"/","")," ",""),8),4),--MID(LEFT(SUBSTITUTE(SUBSTITUTE(SUBSTITUTE(SUBSTITUTE(TRIM($W649),"-",""),".",""),"/","")," ",""),8),5,2),--MID(LEFT(SUBSTITUTE(SUBSTITUTE(SUBSTITUTE(SUBSTITUTE(TRIM($W649),"-",""),".",""),"/","")," ",""),8),7,2)),"")))</f>
        <v/>
      </c>
      <c r="Y649" s="32">
        <f>IF($X649="","",INT($X649))</f>
        <v/>
      </c>
      <c r="Z649" s="33">
        <f>IF(OR($Y649="",$D$6=""),"",IF(INDEX($A:$U,ROW(),$D$6)="",0,IF(ISNUMBER(INDEX($A:$U,ROW(),$D$6)),INDEX($A:$U,ROW(),$D$6),IFERROR(--SUBSTITUTE(SUBSTITUTE(TRIM(INDEX($A:$U,ROW(),$D$6)),",",""),"원",""),0))))</f>
        <v/>
      </c>
      <c r="AA649" s="31">
        <f>IF($Y649="","",TRIM(INDEX($A:$U,ROW(),$E$6)&amp;IF($F$6="",""," "&amp;INDEX($A:$U,ROW(),$F$6))))</f>
        <v/>
      </c>
      <c r="AB649" s="31">
        <f>IF($AA649="","",SUBSTITUTE(SUBSTITUTE(SUBSTITUTE(SUBSTITUTE(SUBSTITUTE(SUBSTITUTE(SUBSTITUTE(SUBSTITUTE(SUBSTITUTE($AA649," ",""),"　",""),"(주)",""),"（주）",""),"㈜",""),"주식회사",""),"(유)",""),"（유）",""),"유한회사",""))</f>
        <v/>
      </c>
      <c r="AC649" s="31">
        <f>IF(OR($Y649="",N($Z649)&lt;=0,$AB649=""),0,IFERROR(LOOKUP(2,1/((거래처별!$AC$8:$AC$307&lt;&gt;"")*ISNUMBER(SEARCH(거래처별!$AC$8:$AC$307,$AB649))),거래처별!$A$8:$A$307),IFERROR(LOOKUP(2,1/((거래처별!$AD$8:$AD$307&lt;&gt;"")*ISNUMBER(SEARCH(거래처별!$AD$8:$AD$307,$AB649))),거래처별!$A$8:$A$307),IFERROR(LOOKUP(2,1/((거래처별!$AE$8:$AE$307&lt;&gt;"")*ISNUMBER(SEARCH(거래처별!$AE$8:$AE$307,$AB649))),거래처별!$A$8:$A$307),0))))</f>
        <v/>
      </c>
      <c r="AD649" s="31">
        <f>IF(AND($Y649&lt;&gt;"",N($Z649)&gt;0,$AC649=0),MAX($AD$7:$AD648)+1,"")</f>
        <v/>
      </c>
      <c r="AE649" s="31">
        <f>IF($Y649="",0,$Y649)</f>
        <v/>
      </c>
    </row>
    <row r="650">
      <c r="W650" s="31">
        <f>IF(OR($B$5="",$C$6="",ROW()&lt;$B$5),"",IF(INDEX($A:$U,ROW(),$C$6)="","",INDEX($A:$U,ROW(),$C$6)))</f>
        <v/>
      </c>
      <c r="X650" s="32">
        <f>IF($W650="","",IF(ISNUMBER($W650),IF($W650&gt;=10000000,IFERROR(DATE(INT($W650/10000),MOD(INT($W650/100),100),MOD($W650,100)),""),INT($W650)),IFERROR(DATE(--LEFT(LEFT(SUBSTITUTE(SUBSTITUTE(SUBSTITUTE(SUBSTITUTE(TRIM($W650),"-",""),".",""),"/","")," ",""),8),4),--MID(LEFT(SUBSTITUTE(SUBSTITUTE(SUBSTITUTE(SUBSTITUTE(TRIM($W650),"-",""),".",""),"/","")," ",""),8),5,2),--MID(LEFT(SUBSTITUTE(SUBSTITUTE(SUBSTITUTE(SUBSTITUTE(TRIM($W650),"-",""),".",""),"/","")," ",""),8),7,2)),"")))</f>
        <v/>
      </c>
      <c r="Y650" s="32">
        <f>IF($X650="","",INT($X650))</f>
        <v/>
      </c>
      <c r="Z650" s="33">
        <f>IF(OR($Y650="",$D$6=""),"",IF(INDEX($A:$U,ROW(),$D$6)="",0,IF(ISNUMBER(INDEX($A:$U,ROW(),$D$6)),INDEX($A:$U,ROW(),$D$6),IFERROR(--SUBSTITUTE(SUBSTITUTE(TRIM(INDEX($A:$U,ROW(),$D$6)),",",""),"원",""),0))))</f>
        <v/>
      </c>
      <c r="AA650" s="31">
        <f>IF($Y650="","",TRIM(INDEX($A:$U,ROW(),$E$6)&amp;IF($F$6="",""," "&amp;INDEX($A:$U,ROW(),$F$6))))</f>
        <v/>
      </c>
      <c r="AB650" s="31">
        <f>IF($AA650="","",SUBSTITUTE(SUBSTITUTE(SUBSTITUTE(SUBSTITUTE(SUBSTITUTE(SUBSTITUTE(SUBSTITUTE(SUBSTITUTE(SUBSTITUTE($AA650," ",""),"　",""),"(주)",""),"（주）",""),"㈜",""),"주식회사",""),"(유)",""),"（유）",""),"유한회사",""))</f>
        <v/>
      </c>
      <c r="AC650" s="31">
        <f>IF(OR($Y650="",N($Z650)&lt;=0,$AB650=""),0,IFERROR(LOOKUP(2,1/((거래처별!$AC$8:$AC$307&lt;&gt;"")*ISNUMBER(SEARCH(거래처별!$AC$8:$AC$307,$AB650))),거래처별!$A$8:$A$307),IFERROR(LOOKUP(2,1/((거래처별!$AD$8:$AD$307&lt;&gt;"")*ISNUMBER(SEARCH(거래처별!$AD$8:$AD$307,$AB650))),거래처별!$A$8:$A$307),IFERROR(LOOKUP(2,1/((거래처별!$AE$8:$AE$307&lt;&gt;"")*ISNUMBER(SEARCH(거래처별!$AE$8:$AE$307,$AB650))),거래처별!$A$8:$A$307),0))))</f>
        <v/>
      </c>
      <c r="AD650" s="31">
        <f>IF(AND($Y650&lt;&gt;"",N($Z650)&gt;0,$AC650=0),MAX($AD$7:$AD649)+1,"")</f>
        <v/>
      </c>
      <c r="AE650" s="31">
        <f>IF($Y650="",0,$Y650)</f>
        <v/>
      </c>
    </row>
    <row r="651">
      <c r="W651" s="31">
        <f>IF(OR($B$5="",$C$6="",ROW()&lt;$B$5),"",IF(INDEX($A:$U,ROW(),$C$6)="","",INDEX($A:$U,ROW(),$C$6)))</f>
        <v/>
      </c>
      <c r="X651" s="32">
        <f>IF($W651="","",IF(ISNUMBER($W651),IF($W651&gt;=10000000,IFERROR(DATE(INT($W651/10000),MOD(INT($W651/100),100),MOD($W651,100)),""),INT($W651)),IFERROR(DATE(--LEFT(LEFT(SUBSTITUTE(SUBSTITUTE(SUBSTITUTE(SUBSTITUTE(TRIM($W651),"-",""),".",""),"/","")," ",""),8),4),--MID(LEFT(SUBSTITUTE(SUBSTITUTE(SUBSTITUTE(SUBSTITUTE(TRIM($W651),"-",""),".",""),"/","")," ",""),8),5,2),--MID(LEFT(SUBSTITUTE(SUBSTITUTE(SUBSTITUTE(SUBSTITUTE(TRIM($W651),"-",""),".",""),"/","")," ",""),8),7,2)),"")))</f>
        <v/>
      </c>
      <c r="Y651" s="32">
        <f>IF($X651="","",INT($X651))</f>
        <v/>
      </c>
      <c r="Z651" s="33">
        <f>IF(OR($Y651="",$D$6=""),"",IF(INDEX($A:$U,ROW(),$D$6)="",0,IF(ISNUMBER(INDEX($A:$U,ROW(),$D$6)),INDEX($A:$U,ROW(),$D$6),IFERROR(--SUBSTITUTE(SUBSTITUTE(TRIM(INDEX($A:$U,ROW(),$D$6)),",",""),"원",""),0))))</f>
        <v/>
      </c>
      <c r="AA651" s="31">
        <f>IF($Y651="","",TRIM(INDEX($A:$U,ROW(),$E$6)&amp;IF($F$6="",""," "&amp;INDEX($A:$U,ROW(),$F$6))))</f>
        <v/>
      </c>
      <c r="AB651" s="31">
        <f>IF($AA651="","",SUBSTITUTE(SUBSTITUTE(SUBSTITUTE(SUBSTITUTE(SUBSTITUTE(SUBSTITUTE(SUBSTITUTE(SUBSTITUTE(SUBSTITUTE($AA651," ",""),"　",""),"(주)",""),"（주）",""),"㈜",""),"주식회사",""),"(유)",""),"（유）",""),"유한회사",""))</f>
        <v/>
      </c>
      <c r="AC651" s="31">
        <f>IF(OR($Y651="",N($Z651)&lt;=0,$AB651=""),0,IFERROR(LOOKUP(2,1/((거래처별!$AC$8:$AC$307&lt;&gt;"")*ISNUMBER(SEARCH(거래처별!$AC$8:$AC$307,$AB651))),거래처별!$A$8:$A$307),IFERROR(LOOKUP(2,1/((거래처별!$AD$8:$AD$307&lt;&gt;"")*ISNUMBER(SEARCH(거래처별!$AD$8:$AD$307,$AB651))),거래처별!$A$8:$A$307),IFERROR(LOOKUP(2,1/((거래처별!$AE$8:$AE$307&lt;&gt;"")*ISNUMBER(SEARCH(거래처별!$AE$8:$AE$307,$AB651))),거래처별!$A$8:$A$307),0))))</f>
        <v/>
      </c>
      <c r="AD651" s="31">
        <f>IF(AND($Y651&lt;&gt;"",N($Z651)&gt;0,$AC651=0),MAX($AD$7:$AD650)+1,"")</f>
        <v/>
      </c>
      <c r="AE651" s="31">
        <f>IF($Y651="",0,$Y651)</f>
        <v/>
      </c>
    </row>
    <row r="652">
      <c r="W652" s="31">
        <f>IF(OR($B$5="",$C$6="",ROW()&lt;$B$5),"",IF(INDEX($A:$U,ROW(),$C$6)="","",INDEX($A:$U,ROW(),$C$6)))</f>
        <v/>
      </c>
      <c r="X652" s="32">
        <f>IF($W652="","",IF(ISNUMBER($W652),IF($W652&gt;=10000000,IFERROR(DATE(INT($W652/10000),MOD(INT($W652/100),100),MOD($W652,100)),""),INT($W652)),IFERROR(DATE(--LEFT(LEFT(SUBSTITUTE(SUBSTITUTE(SUBSTITUTE(SUBSTITUTE(TRIM($W652),"-",""),".",""),"/","")," ",""),8),4),--MID(LEFT(SUBSTITUTE(SUBSTITUTE(SUBSTITUTE(SUBSTITUTE(TRIM($W652),"-",""),".",""),"/","")," ",""),8),5,2),--MID(LEFT(SUBSTITUTE(SUBSTITUTE(SUBSTITUTE(SUBSTITUTE(TRIM($W652),"-",""),".",""),"/","")," ",""),8),7,2)),"")))</f>
        <v/>
      </c>
      <c r="Y652" s="32">
        <f>IF($X652="","",INT($X652))</f>
        <v/>
      </c>
      <c r="Z652" s="33">
        <f>IF(OR($Y652="",$D$6=""),"",IF(INDEX($A:$U,ROW(),$D$6)="",0,IF(ISNUMBER(INDEX($A:$U,ROW(),$D$6)),INDEX($A:$U,ROW(),$D$6),IFERROR(--SUBSTITUTE(SUBSTITUTE(TRIM(INDEX($A:$U,ROW(),$D$6)),",",""),"원",""),0))))</f>
        <v/>
      </c>
      <c r="AA652" s="31">
        <f>IF($Y652="","",TRIM(INDEX($A:$U,ROW(),$E$6)&amp;IF($F$6="",""," "&amp;INDEX($A:$U,ROW(),$F$6))))</f>
        <v/>
      </c>
      <c r="AB652" s="31">
        <f>IF($AA652="","",SUBSTITUTE(SUBSTITUTE(SUBSTITUTE(SUBSTITUTE(SUBSTITUTE(SUBSTITUTE(SUBSTITUTE(SUBSTITUTE(SUBSTITUTE($AA652," ",""),"　",""),"(주)",""),"（주）",""),"㈜",""),"주식회사",""),"(유)",""),"（유）",""),"유한회사",""))</f>
        <v/>
      </c>
      <c r="AC652" s="31">
        <f>IF(OR($Y652="",N($Z652)&lt;=0,$AB652=""),0,IFERROR(LOOKUP(2,1/((거래처별!$AC$8:$AC$307&lt;&gt;"")*ISNUMBER(SEARCH(거래처별!$AC$8:$AC$307,$AB652))),거래처별!$A$8:$A$307),IFERROR(LOOKUP(2,1/((거래처별!$AD$8:$AD$307&lt;&gt;"")*ISNUMBER(SEARCH(거래처별!$AD$8:$AD$307,$AB652))),거래처별!$A$8:$A$307),IFERROR(LOOKUP(2,1/((거래처별!$AE$8:$AE$307&lt;&gt;"")*ISNUMBER(SEARCH(거래처별!$AE$8:$AE$307,$AB652))),거래처별!$A$8:$A$307),0))))</f>
        <v/>
      </c>
      <c r="AD652" s="31">
        <f>IF(AND($Y652&lt;&gt;"",N($Z652)&gt;0,$AC652=0),MAX($AD$7:$AD651)+1,"")</f>
        <v/>
      </c>
      <c r="AE652" s="31">
        <f>IF($Y652="",0,$Y652)</f>
        <v/>
      </c>
    </row>
    <row r="653">
      <c r="W653" s="31">
        <f>IF(OR($B$5="",$C$6="",ROW()&lt;$B$5),"",IF(INDEX($A:$U,ROW(),$C$6)="","",INDEX($A:$U,ROW(),$C$6)))</f>
        <v/>
      </c>
      <c r="X653" s="32">
        <f>IF($W653="","",IF(ISNUMBER($W653),IF($W653&gt;=10000000,IFERROR(DATE(INT($W653/10000),MOD(INT($W653/100),100),MOD($W653,100)),""),INT($W653)),IFERROR(DATE(--LEFT(LEFT(SUBSTITUTE(SUBSTITUTE(SUBSTITUTE(SUBSTITUTE(TRIM($W653),"-",""),".",""),"/","")," ",""),8),4),--MID(LEFT(SUBSTITUTE(SUBSTITUTE(SUBSTITUTE(SUBSTITUTE(TRIM($W653),"-",""),".",""),"/","")," ",""),8),5,2),--MID(LEFT(SUBSTITUTE(SUBSTITUTE(SUBSTITUTE(SUBSTITUTE(TRIM($W653),"-",""),".",""),"/","")," ",""),8),7,2)),"")))</f>
        <v/>
      </c>
      <c r="Y653" s="32">
        <f>IF($X653="","",INT($X653))</f>
        <v/>
      </c>
      <c r="Z653" s="33">
        <f>IF(OR($Y653="",$D$6=""),"",IF(INDEX($A:$U,ROW(),$D$6)="",0,IF(ISNUMBER(INDEX($A:$U,ROW(),$D$6)),INDEX($A:$U,ROW(),$D$6),IFERROR(--SUBSTITUTE(SUBSTITUTE(TRIM(INDEX($A:$U,ROW(),$D$6)),",",""),"원",""),0))))</f>
        <v/>
      </c>
      <c r="AA653" s="31">
        <f>IF($Y653="","",TRIM(INDEX($A:$U,ROW(),$E$6)&amp;IF($F$6="",""," "&amp;INDEX($A:$U,ROW(),$F$6))))</f>
        <v/>
      </c>
      <c r="AB653" s="31">
        <f>IF($AA653="","",SUBSTITUTE(SUBSTITUTE(SUBSTITUTE(SUBSTITUTE(SUBSTITUTE(SUBSTITUTE(SUBSTITUTE(SUBSTITUTE(SUBSTITUTE($AA653," ",""),"　",""),"(주)",""),"（주）",""),"㈜",""),"주식회사",""),"(유)",""),"（유）",""),"유한회사",""))</f>
        <v/>
      </c>
      <c r="AC653" s="31">
        <f>IF(OR($Y653="",N($Z653)&lt;=0,$AB653=""),0,IFERROR(LOOKUP(2,1/((거래처별!$AC$8:$AC$307&lt;&gt;"")*ISNUMBER(SEARCH(거래처별!$AC$8:$AC$307,$AB653))),거래처별!$A$8:$A$307),IFERROR(LOOKUP(2,1/((거래처별!$AD$8:$AD$307&lt;&gt;"")*ISNUMBER(SEARCH(거래처별!$AD$8:$AD$307,$AB653))),거래처별!$A$8:$A$307),IFERROR(LOOKUP(2,1/((거래처별!$AE$8:$AE$307&lt;&gt;"")*ISNUMBER(SEARCH(거래처별!$AE$8:$AE$307,$AB653))),거래처별!$A$8:$A$307),0))))</f>
        <v/>
      </c>
      <c r="AD653" s="31">
        <f>IF(AND($Y653&lt;&gt;"",N($Z653)&gt;0,$AC653=0),MAX($AD$7:$AD652)+1,"")</f>
        <v/>
      </c>
      <c r="AE653" s="31">
        <f>IF($Y653="",0,$Y653)</f>
        <v/>
      </c>
    </row>
    <row r="654">
      <c r="W654" s="31">
        <f>IF(OR($B$5="",$C$6="",ROW()&lt;$B$5),"",IF(INDEX($A:$U,ROW(),$C$6)="","",INDEX($A:$U,ROW(),$C$6)))</f>
        <v/>
      </c>
      <c r="X654" s="32">
        <f>IF($W654="","",IF(ISNUMBER($W654),IF($W654&gt;=10000000,IFERROR(DATE(INT($W654/10000),MOD(INT($W654/100),100),MOD($W654,100)),""),INT($W654)),IFERROR(DATE(--LEFT(LEFT(SUBSTITUTE(SUBSTITUTE(SUBSTITUTE(SUBSTITUTE(TRIM($W654),"-",""),".",""),"/","")," ",""),8),4),--MID(LEFT(SUBSTITUTE(SUBSTITUTE(SUBSTITUTE(SUBSTITUTE(TRIM($W654),"-",""),".",""),"/","")," ",""),8),5,2),--MID(LEFT(SUBSTITUTE(SUBSTITUTE(SUBSTITUTE(SUBSTITUTE(TRIM($W654),"-",""),".",""),"/","")," ",""),8),7,2)),"")))</f>
        <v/>
      </c>
      <c r="Y654" s="32">
        <f>IF($X654="","",INT($X654))</f>
        <v/>
      </c>
      <c r="Z654" s="33">
        <f>IF(OR($Y654="",$D$6=""),"",IF(INDEX($A:$U,ROW(),$D$6)="",0,IF(ISNUMBER(INDEX($A:$U,ROW(),$D$6)),INDEX($A:$U,ROW(),$D$6),IFERROR(--SUBSTITUTE(SUBSTITUTE(TRIM(INDEX($A:$U,ROW(),$D$6)),",",""),"원",""),0))))</f>
        <v/>
      </c>
      <c r="AA654" s="31">
        <f>IF($Y654="","",TRIM(INDEX($A:$U,ROW(),$E$6)&amp;IF($F$6="",""," "&amp;INDEX($A:$U,ROW(),$F$6))))</f>
        <v/>
      </c>
      <c r="AB654" s="31">
        <f>IF($AA654="","",SUBSTITUTE(SUBSTITUTE(SUBSTITUTE(SUBSTITUTE(SUBSTITUTE(SUBSTITUTE(SUBSTITUTE(SUBSTITUTE(SUBSTITUTE($AA654," ",""),"　",""),"(주)",""),"（주）",""),"㈜",""),"주식회사",""),"(유)",""),"（유）",""),"유한회사",""))</f>
        <v/>
      </c>
      <c r="AC654" s="31">
        <f>IF(OR($Y654="",N($Z654)&lt;=0,$AB654=""),0,IFERROR(LOOKUP(2,1/((거래처별!$AC$8:$AC$307&lt;&gt;"")*ISNUMBER(SEARCH(거래처별!$AC$8:$AC$307,$AB654))),거래처별!$A$8:$A$307),IFERROR(LOOKUP(2,1/((거래처별!$AD$8:$AD$307&lt;&gt;"")*ISNUMBER(SEARCH(거래처별!$AD$8:$AD$307,$AB654))),거래처별!$A$8:$A$307),IFERROR(LOOKUP(2,1/((거래처별!$AE$8:$AE$307&lt;&gt;"")*ISNUMBER(SEARCH(거래처별!$AE$8:$AE$307,$AB654))),거래처별!$A$8:$A$307),0))))</f>
        <v/>
      </c>
      <c r="AD654" s="31">
        <f>IF(AND($Y654&lt;&gt;"",N($Z654)&gt;0,$AC654=0),MAX($AD$7:$AD653)+1,"")</f>
        <v/>
      </c>
      <c r="AE654" s="31">
        <f>IF($Y654="",0,$Y654)</f>
        <v/>
      </c>
    </row>
    <row r="655">
      <c r="W655" s="31">
        <f>IF(OR($B$5="",$C$6="",ROW()&lt;$B$5),"",IF(INDEX($A:$U,ROW(),$C$6)="","",INDEX($A:$U,ROW(),$C$6)))</f>
        <v/>
      </c>
      <c r="X655" s="32">
        <f>IF($W655="","",IF(ISNUMBER($W655),IF($W655&gt;=10000000,IFERROR(DATE(INT($W655/10000),MOD(INT($W655/100),100),MOD($W655,100)),""),INT($W655)),IFERROR(DATE(--LEFT(LEFT(SUBSTITUTE(SUBSTITUTE(SUBSTITUTE(SUBSTITUTE(TRIM($W655),"-",""),".",""),"/","")," ",""),8),4),--MID(LEFT(SUBSTITUTE(SUBSTITUTE(SUBSTITUTE(SUBSTITUTE(TRIM($W655),"-",""),".",""),"/","")," ",""),8),5,2),--MID(LEFT(SUBSTITUTE(SUBSTITUTE(SUBSTITUTE(SUBSTITUTE(TRIM($W655),"-",""),".",""),"/","")," ",""),8),7,2)),"")))</f>
        <v/>
      </c>
      <c r="Y655" s="32">
        <f>IF($X655="","",INT($X655))</f>
        <v/>
      </c>
      <c r="Z655" s="33">
        <f>IF(OR($Y655="",$D$6=""),"",IF(INDEX($A:$U,ROW(),$D$6)="",0,IF(ISNUMBER(INDEX($A:$U,ROW(),$D$6)),INDEX($A:$U,ROW(),$D$6),IFERROR(--SUBSTITUTE(SUBSTITUTE(TRIM(INDEX($A:$U,ROW(),$D$6)),",",""),"원",""),0))))</f>
        <v/>
      </c>
      <c r="AA655" s="31">
        <f>IF($Y655="","",TRIM(INDEX($A:$U,ROW(),$E$6)&amp;IF($F$6="",""," "&amp;INDEX($A:$U,ROW(),$F$6))))</f>
        <v/>
      </c>
      <c r="AB655" s="31">
        <f>IF($AA655="","",SUBSTITUTE(SUBSTITUTE(SUBSTITUTE(SUBSTITUTE(SUBSTITUTE(SUBSTITUTE(SUBSTITUTE(SUBSTITUTE(SUBSTITUTE($AA655," ",""),"　",""),"(주)",""),"（주）",""),"㈜",""),"주식회사",""),"(유)",""),"（유）",""),"유한회사",""))</f>
        <v/>
      </c>
      <c r="AC655" s="31">
        <f>IF(OR($Y655="",N($Z655)&lt;=0,$AB655=""),0,IFERROR(LOOKUP(2,1/((거래처별!$AC$8:$AC$307&lt;&gt;"")*ISNUMBER(SEARCH(거래처별!$AC$8:$AC$307,$AB655))),거래처별!$A$8:$A$307),IFERROR(LOOKUP(2,1/((거래처별!$AD$8:$AD$307&lt;&gt;"")*ISNUMBER(SEARCH(거래처별!$AD$8:$AD$307,$AB655))),거래처별!$A$8:$A$307),IFERROR(LOOKUP(2,1/((거래처별!$AE$8:$AE$307&lt;&gt;"")*ISNUMBER(SEARCH(거래처별!$AE$8:$AE$307,$AB655))),거래처별!$A$8:$A$307),0))))</f>
        <v/>
      </c>
      <c r="AD655" s="31">
        <f>IF(AND($Y655&lt;&gt;"",N($Z655)&gt;0,$AC655=0),MAX($AD$7:$AD654)+1,"")</f>
        <v/>
      </c>
      <c r="AE655" s="31">
        <f>IF($Y655="",0,$Y655)</f>
        <v/>
      </c>
    </row>
    <row r="656">
      <c r="W656" s="31">
        <f>IF(OR($B$5="",$C$6="",ROW()&lt;$B$5),"",IF(INDEX($A:$U,ROW(),$C$6)="","",INDEX($A:$U,ROW(),$C$6)))</f>
        <v/>
      </c>
      <c r="X656" s="32">
        <f>IF($W656="","",IF(ISNUMBER($W656),IF($W656&gt;=10000000,IFERROR(DATE(INT($W656/10000),MOD(INT($W656/100),100),MOD($W656,100)),""),INT($W656)),IFERROR(DATE(--LEFT(LEFT(SUBSTITUTE(SUBSTITUTE(SUBSTITUTE(SUBSTITUTE(TRIM($W656),"-",""),".",""),"/","")," ",""),8),4),--MID(LEFT(SUBSTITUTE(SUBSTITUTE(SUBSTITUTE(SUBSTITUTE(TRIM($W656),"-",""),".",""),"/","")," ",""),8),5,2),--MID(LEFT(SUBSTITUTE(SUBSTITUTE(SUBSTITUTE(SUBSTITUTE(TRIM($W656),"-",""),".",""),"/","")," ",""),8),7,2)),"")))</f>
        <v/>
      </c>
      <c r="Y656" s="32">
        <f>IF($X656="","",INT($X656))</f>
        <v/>
      </c>
      <c r="Z656" s="33">
        <f>IF(OR($Y656="",$D$6=""),"",IF(INDEX($A:$U,ROW(),$D$6)="",0,IF(ISNUMBER(INDEX($A:$U,ROW(),$D$6)),INDEX($A:$U,ROW(),$D$6),IFERROR(--SUBSTITUTE(SUBSTITUTE(TRIM(INDEX($A:$U,ROW(),$D$6)),",",""),"원",""),0))))</f>
        <v/>
      </c>
      <c r="AA656" s="31">
        <f>IF($Y656="","",TRIM(INDEX($A:$U,ROW(),$E$6)&amp;IF($F$6="",""," "&amp;INDEX($A:$U,ROW(),$F$6))))</f>
        <v/>
      </c>
      <c r="AB656" s="31">
        <f>IF($AA656="","",SUBSTITUTE(SUBSTITUTE(SUBSTITUTE(SUBSTITUTE(SUBSTITUTE(SUBSTITUTE(SUBSTITUTE(SUBSTITUTE(SUBSTITUTE($AA656," ",""),"　",""),"(주)",""),"（주）",""),"㈜",""),"주식회사",""),"(유)",""),"（유）",""),"유한회사",""))</f>
        <v/>
      </c>
      <c r="AC656" s="31">
        <f>IF(OR($Y656="",N($Z656)&lt;=0,$AB656=""),0,IFERROR(LOOKUP(2,1/((거래처별!$AC$8:$AC$307&lt;&gt;"")*ISNUMBER(SEARCH(거래처별!$AC$8:$AC$307,$AB656))),거래처별!$A$8:$A$307),IFERROR(LOOKUP(2,1/((거래처별!$AD$8:$AD$307&lt;&gt;"")*ISNUMBER(SEARCH(거래처별!$AD$8:$AD$307,$AB656))),거래처별!$A$8:$A$307),IFERROR(LOOKUP(2,1/((거래처별!$AE$8:$AE$307&lt;&gt;"")*ISNUMBER(SEARCH(거래처별!$AE$8:$AE$307,$AB656))),거래처별!$A$8:$A$307),0))))</f>
        <v/>
      </c>
      <c r="AD656" s="31">
        <f>IF(AND($Y656&lt;&gt;"",N($Z656)&gt;0,$AC656=0),MAX($AD$7:$AD655)+1,"")</f>
        <v/>
      </c>
      <c r="AE656" s="31">
        <f>IF($Y656="",0,$Y656)</f>
        <v/>
      </c>
    </row>
    <row r="657">
      <c r="W657" s="31">
        <f>IF(OR($B$5="",$C$6="",ROW()&lt;$B$5),"",IF(INDEX($A:$U,ROW(),$C$6)="","",INDEX($A:$U,ROW(),$C$6)))</f>
        <v/>
      </c>
      <c r="X657" s="32">
        <f>IF($W657="","",IF(ISNUMBER($W657),IF($W657&gt;=10000000,IFERROR(DATE(INT($W657/10000),MOD(INT($W657/100),100),MOD($W657,100)),""),INT($W657)),IFERROR(DATE(--LEFT(LEFT(SUBSTITUTE(SUBSTITUTE(SUBSTITUTE(SUBSTITUTE(TRIM($W657),"-",""),".",""),"/","")," ",""),8),4),--MID(LEFT(SUBSTITUTE(SUBSTITUTE(SUBSTITUTE(SUBSTITUTE(TRIM($W657),"-",""),".",""),"/","")," ",""),8),5,2),--MID(LEFT(SUBSTITUTE(SUBSTITUTE(SUBSTITUTE(SUBSTITUTE(TRIM($W657),"-",""),".",""),"/","")," ",""),8),7,2)),"")))</f>
        <v/>
      </c>
      <c r="Y657" s="32">
        <f>IF($X657="","",INT($X657))</f>
        <v/>
      </c>
      <c r="Z657" s="33">
        <f>IF(OR($Y657="",$D$6=""),"",IF(INDEX($A:$U,ROW(),$D$6)="",0,IF(ISNUMBER(INDEX($A:$U,ROW(),$D$6)),INDEX($A:$U,ROW(),$D$6),IFERROR(--SUBSTITUTE(SUBSTITUTE(TRIM(INDEX($A:$U,ROW(),$D$6)),",",""),"원",""),0))))</f>
        <v/>
      </c>
      <c r="AA657" s="31">
        <f>IF($Y657="","",TRIM(INDEX($A:$U,ROW(),$E$6)&amp;IF($F$6="",""," "&amp;INDEX($A:$U,ROW(),$F$6))))</f>
        <v/>
      </c>
      <c r="AB657" s="31">
        <f>IF($AA657="","",SUBSTITUTE(SUBSTITUTE(SUBSTITUTE(SUBSTITUTE(SUBSTITUTE(SUBSTITUTE(SUBSTITUTE(SUBSTITUTE(SUBSTITUTE($AA657," ",""),"　",""),"(주)",""),"（주）",""),"㈜",""),"주식회사",""),"(유)",""),"（유）",""),"유한회사",""))</f>
        <v/>
      </c>
      <c r="AC657" s="31">
        <f>IF(OR($Y657="",N($Z657)&lt;=0,$AB657=""),0,IFERROR(LOOKUP(2,1/((거래처별!$AC$8:$AC$307&lt;&gt;"")*ISNUMBER(SEARCH(거래처별!$AC$8:$AC$307,$AB657))),거래처별!$A$8:$A$307),IFERROR(LOOKUP(2,1/((거래처별!$AD$8:$AD$307&lt;&gt;"")*ISNUMBER(SEARCH(거래처별!$AD$8:$AD$307,$AB657))),거래처별!$A$8:$A$307),IFERROR(LOOKUP(2,1/((거래처별!$AE$8:$AE$307&lt;&gt;"")*ISNUMBER(SEARCH(거래처별!$AE$8:$AE$307,$AB657))),거래처별!$A$8:$A$307),0))))</f>
        <v/>
      </c>
      <c r="AD657" s="31">
        <f>IF(AND($Y657&lt;&gt;"",N($Z657)&gt;0,$AC657=0),MAX($AD$7:$AD656)+1,"")</f>
        <v/>
      </c>
      <c r="AE657" s="31">
        <f>IF($Y657="",0,$Y657)</f>
        <v/>
      </c>
    </row>
    <row r="658">
      <c r="W658" s="31">
        <f>IF(OR($B$5="",$C$6="",ROW()&lt;$B$5),"",IF(INDEX($A:$U,ROW(),$C$6)="","",INDEX($A:$U,ROW(),$C$6)))</f>
        <v/>
      </c>
      <c r="X658" s="32">
        <f>IF($W658="","",IF(ISNUMBER($W658),IF($W658&gt;=10000000,IFERROR(DATE(INT($W658/10000),MOD(INT($W658/100),100),MOD($W658,100)),""),INT($W658)),IFERROR(DATE(--LEFT(LEFT(SUBSTITUTE(SUBSTITUTE(SUBSTITUTE(SUBSTITUTE(TRIM($W658),"-",""),".",""),"/","")," ",""),8),4),--MID(LEFT(SUBSTITUTE(SUBSTITUTE(SUBSTITUTE(SUBSTITUTE(TRIM($W658),"-",""),".",""),"/","")," ",""),8),5,2),--MID(LEFT(SUBSTITUTE(SUBSTITUTE(SUBSTITUTE(SUBSTITUTE(TRIM($W658),"-",""),".",""),"/","")," ",""),8),7,2)),"")))</f>
        <v/>
      </c>
      <c r="Y658" s="32">
        <f>IF($X658="","",INT($X658))</f>
        <v/>
      </c>
      <c r="Z658" s="33">
        <f>IF(OR($Y658="",$D$6=""),"",IF(INDEX($A:$U,ROW(),$D$6)="",0,IF(ISNUMBER(INDEX($A:$U,ROW(),$D$6)),INDEX($A:$U,ROW(),$D$6),IFERROR(--SUBSTITUTE(SUBSTITUTE(TRIM(INDEX($A:$U,ROW(),$D$6)),",",""),"원",""),0))))</f>
        <v/>
      </c>
      <c r="AA658" s="31">
        <f>IF($Y658="","",TRIM(INDEX($A:$U,ROW(),$E$6)&amp;IF($F$6="",""," "&amp;INDEX($A:$U,ROW(),$F$6))))</f>
        <v/>
      </c>
      <c r="AB658" s="31">
        <f>IF($AA658="","",SUBSTITUTE(SUBSTITUTE(SUBSTITUTE(SUBSTITUTE(SUBSTITUTE(SUBSTITUTE(SUBSTITUTE(SUBSTITUTE(SUBSTITUTE($AA658," ",""),"　",""),"(주)",""),"（주）",""),"㈜",""),"주식회사",""),"(유)",""),"（유）",""),"유한회사",""))</f>
        <v/>
      </c>
      <c r="AC658" s="31">
        <f>IF(OR($Y658="",N($Z658)&lt;=0,$AB658=""),0,IFERROR(LOOKUP(2,1/((거래처별!$AC$8:$AC$307&lt;&gt;"")*ISNUMBER(SEARCH(거래처별!$AC$8:$AC$307,$AB658))),거래처별!$A$8:$A$307),IFERROR(LOOKUP(2,1/((거래처별!$AD$8:$AD$307&lt;&gt;"")*ISNUMBER(SEARCH(거래처별!$AD$8:$AD$307,$AB658))),거래처별!$A$8:$A$307),IFERROR(LOOKUP(2,1/((거래처별!$AE$8:$AE$307&lt;&gt;"")*ISNUMBER(SEARCH(거래처별!$AE$8:$AE$307,$AB658))),거래처별!$A$8:$A$307),0))))</f>
        <v/>
      </c>
      <c r="AD658" s="31">
        <f>IF(AND($Y658&lt;&gt;"",N($Z658)&gt;0,$AC658=0),MAX($AD$7:$AD657)+1,"")</f>
        <v/>
      </c>
      <c r="AE658" s="31">
        <f>IF($Y658="",0,$Y658)</f>
        <v/>
      </c>
    </row>
    <row r="659">
      <c r="W659" s="31">
        <f>IF(OR($B$5="",$C$6="",ROW()&lt;$B$5),"",IF(INDEX($A:$U,ROW(),$C$6)="","",INDEX($A:$U,ROW(),$C$6)))</f>
        <v/>
      </c>
      <c r="X659" s="32">
        <f>IF($W659="","",IF(ISNUMBER($W659),IF($W659&gt;=10000000,IFERROR(DATE(INT($W659/10000),MOD(INT($W659/100),100),MOD($W659,100)),""),INT($W659)),IFERROR(DATE(--LEFT(LEFT(SUBSTITUTE(SUBSTITUTE(SUBSTITUTE(SUBSTITUTE(TRIM($W659),"-",""),".",""),"/","")," ",""),8),4),--MID(LEFT(SUBSTITUTE(SUBSTITUTE(SUBSTITUTE(SUBSTITUTE(TRIM($W659),"-",""),".",""),"/","")," ",""),8),5,2),--MID(LEFT(SUBSTITUTE(SUBSTITUTE(SUBSTITUTE(SUBSTITUTE(TRIM($W659),"-",""),".",""),"/","")," ",""),8),7,2)),"")))</f>
        <v/>
      </c>
      <c r="Y659" s="32">
        <f>IF($X659="","",INT($X659))</f>
        <v/>
      </c>
      <c r="Z659" s="33">
        <f>IF(OR($Y659="",$D$6=""),"",IF(INDEX($A:$U,ROW(),$D$6)="",0,IF(ISNUMBER(INDEX($A:$U,ROW(),$D$6)),INDEX($A:$U,ROW(),$D$6),IFERROR(--SUBSTITUTE(SUBSTITUTE(TRIM(INDEX($A:$U,ROW(),$D$6)),",",""),"원",""),0))))</f>
        <v/>
      </c>
      <c r="AA659" s="31">
        <f>IF($Y659="","",TRIM(INDEX($A:$U,ROW(),$E$6)&amp;IF($F$6="",""," "&amp;INDEX($A:$U,ROW(),$F$6))))</f>
        <v/>
      </c>
      <c r="AB659" s="31">
        <f>IF($AA659="","",SUBSTITUTE(SUBSTITUTE(SUBSTITUTE(SUBSTITUTE(SUBSTITUTE(SUBSTITUTE(SUBSTITUTE(SUBSTITUTE(SUBSTITUTE($AA659," ",""),"　",""),"(주)",""),"（주）",""),"㈜",""),"주식회사",""),"(유)",""),"（유）",""),"유한회사",""))</f>
        <v/>
      </c>
      <c r="AC659" s="31">
        <f>IF(OR($Y659="",N($Z659)&lt;=0,$AB659=""),0,IFERROR(LOOKUP(2,1/((거래처별!$AC$8:$AC$307&lt;&gt;"")*ISNUMBER(SEARCH(거래처별!$AC$8:$AC$307,$AB659))),거래처별!$A$8:$A$307),IFERROR(LOOKUP(2,1/((거래처별!$AD$8:$AD$307&lt;&gt;"")*ISNUMBER(SEARCH(거래처별!$AD$8:$AD$307,$AB659))),거래처별!$A$8:$A$307),IFERROR(LOOKUP(2,1/((거래처별!$AE$8:$AE$307&lt;&gt;"")*ISNUMBER(SEARCH(거래처별!$AE$8:$AE$307,$AB659))),거래처별!$A$8:$A$307),0))))</f>
        <v/>
      </c>
      <c r="AD659" s="31">
        <f>IF(AND($Y659&lt;&gt;"",N($Z659)&gt;0,$AC659=0),MAX($AD$7:$AD658)+1,"")</f>
        <v/>
      </c>
      <c r="AE659" s="31">
        <f>IF($Y659="",0,$Y659)</f>
        <v/>
      </c>
    </row>
    <row r="660">
      <c r="W660" s="31">
        <f>IF(OR($B$5="",$C$6="",ROW()&lt;$B$5),"",IF(INDEX($A:$U,ROW(),$C$6)="","",INDEX($A:$U,ROW(),$C$6)))</f>
        <v/>
      </c>
      <c r="X660" s="32">
        <f>IF($W660="","",IF(ISNUMBER($W660),IF($W660&gt;=10000000,IFERROR(DATE(INT($W660/10000),MOD(INT($W660/100),100),MOD($W660,100)),""),INT($W660)),IFERROR(DATE(--LEFT(LEFT(SUBSTITUTE(SUBSTITUTE(SUBSTITUTE(SUBSTITUTE(TRIM($W660),"-",""),".",""),"/","")," ",""),8),4),--MID(LEFT(SUBSTITUTE(SUBSTITUTE(SUBSTITUTE(SUBSTITUTE(TRIM($W660),"-",""),".",""),"/","")," ",""),8),5,2),--MID(LEFT(SUBSTITUTE(SUBSTITUTE(SUBSTITUTE(SUBSTITUTE(TRIM($W660),"-",""),".",""),"/","")," ",""),8),7,2)),"")))</f>
        <v/>
      </c>
      <c r="Y660" s="32">
        <f>IF($X660="","",INT($X660))</f>
        <v/>
      </c>
      <c r="Z660" s="33">
        <f>IF(OR($Y660="",$D$6=""),"",IF(INDEX($A:$U,ROW(),$D$6)="",0,IF(ISNUMBER(INDEX($A:$U,ROW(),$D$6)),INDEX($A:$U,ROW(),$D$6),IFERROR(--SUBSTITUTE(SUBSTITUTE(TRIM(INDEX($A:$U,ROW(),$D$6)),",",""),"원",""),0))))</f>
        <v/>
      </c>
      <c r="AA660" s="31">
        <f>IF($Y660="","",TRIM(INDEX($A:$U,ROW(),$E$6)&amp;IF($F$6="",""," "&amp;INDEX($A:$U,ROW(),$F$6))))</f>
        <v/>
      </c>
      <c r="AB660" s="31">
        <f>IF($AA660="","",SUBSTITUTE(SUBSTITUTE(SUBSTITUTE(SUBSTITUTE(SUBSTITUTE(SUBSTITUTE(SUBSTITUTE(SUBSTITUTE(SUBSTITUTE($AA660," ",""),"　",""),"(주)",""),"（주）",""),"㈜",""),"주식회사",""),"(유)",""),"（유）",""),"유한회사",""))</f>
        <v/>
      </c>
      <c r="AC660" s="31">
        <f>IF(OR($Y660="",N($Z660)&lt;=0,$AB660=""),0,IFERROR(LOOKUP(2,1/((거래처별!$AC$8:$AC$307&lt;&gt;"")*ISNUMBER(SEARCH(거래처별!$AC$8:$AC$307,$AB660))),거래처별!$A$8:$A$307),IFERROR(LOOKUP(2,1/((거래처별!$AD$8:$AD$307&lt;&gt;"")*ISNUMBER(SEARCH(거래처별!$AD$8:$AD$307,$AB660))),거래처별!$A$8:$A$307),IFERROR(LOOKUP(2,1/((거래처별!$AE$8:$AE$307&lt;&gt;"")*ISNUMBER(SEARCH(거래처별!$AE$8:$AE$307,$AB660))),거래처별!$A$8:$A$307),0))))</f>
        <v/>
      </c>
      <c r="AD660" s="31">
        <f>IF(AND($Y660&lt;&gt;"",N($Z660)&gt;0,$AC660=0),MAX($AD$7:$AD659)+1,"")</f>
        <v/>
      </c>
      <c r="AE660" s="31">
        <f>IF($Y660="",0,$Y660)</f>
        <v/>
      </c>
    </row>
    <row r="661">
      <c r="W661" s="31">
        <f>IF(OR($B$5="",$C$6="",ROW()&lt;$B$5),"",IF(INDEX($A:$U,ROW(),$C$6)="","",INDEX($A:$U,ROW(),$C$6)))</f>
        <v/>
      </c>
      <c r="X661" s="32">
        <f>IF($W661="","",IF(ISNUMBER($W661),IF($W661&gt;=10000000,IFERROR(DATE(INT($W661/10000),MOD(INT($W661/100),100),MOD($W661,100)),""),INT($W661)),IFERROR(DATE(--LEFT(LEFT(SUBSTITUTE(SUBSTITUTE(SUBSTITUTE(SUBSTITUTE(TRIM($W661),"-",""),".",""),"/","")," ",""),8),4),--MID(LEFT(SUBSTITUTE(SUBSTITUTE(SUBSTITUTE(SUBSTITUTE(TRIM($W661),"-",""),".",""),"/","")," ",""),8),5,2),--MID(LEFT(SUBSTITUTE(SUBSTITUTE(SUBSTITUTE(SUBSTITUTE(TRIM($W661),"-",""),".",""),"/","")," ",""),8),7,2)),"")))</f>
        <v/>
      </c>
      <c r="Y661" s="32">
        <f>IF($X661="","",INT($X661))</f>
        <v/>
      </c>
      <c r="Z661" s="33">
        <f>IF(OR($Y661="",$D$6=""),"",IF(INDEX($A:$U,ROW(),$D$6)="",0,IF(ISNUMBER(INDEX($A:$U,ROW(),$D$6)),INDEX($A:$U,ROW(),$D$6),IFERROR(--SUBSTITUTE(SUBSTITUTE(TRIM(INDEX($A:$U,ROW(),$D$6)),",",""),"원",""),0))))</f>
        <v/>
      </c>
      <c r="AA661" s="31">
        <f>IF($Y661="","",TRIM(INDEX($A:$U,ROW(),$E$6)&amp;IF($F$6="",""," "&amp;INDEX($A:$U,ROW(),$F$6))))</f>
        <v/>
      </c>
      <c r="AB661" s="31">
        <f>IF($AA661="","",SUBSTITUTE(SUBSTITUTE(SUBSTITUTE(SUBSTITUTE(SUBSTITUTE(SUBSTITUTE(SUBSTITUTE(SUBSTITUTE(SUBSTITUTE($AA661," ",""),"　",""),"(주)",""),"（주）",""),"㈜",""),"주식회사",""),"(유)",""),"（유）",""),"유한회사",""))</f>
        <v/>
      </c>
      <c r="AC661" s="31">
        <f>IF(OR($Y661="",N($Z661)&lt;=0,$AB661=""),0,IFERROR(LOOKUP(2,1/((거래처별!$AC$8:$AC$307&lt;&gt;"")*ISNUMBER(SEARCH(거래처별!$AC$8:$AC$307,$AB661))),거래처별!$A$8:$A$307),IFERROR(LOOKUP(2,1/((거래처별!$AD$8:$AD$307&lt;&gt;"")*ISNUMBER(SEARCH(거래처별!$AD$8:$AD$307,$AB661))),거래처별!$A$8:$A$307),IFERROR(LOOKUP(2,1/((거래처별!$AE$8:$AE$307&lt;&gt;"")*ISNUMBER(SEARCH(거래처별!$AE$8:$AE$307,$AB661))),거래처별!$A$8:$A$307),0))))</f>
        <v/>
      </c>
      <c r="AD661" s="31">
        <f>IF(AND($Y661&lt;&gt;"",N($Z661)&gt;0,$AC661=0),MAX($AD$7:$AD660)+1,"")</f>
        <v/>
      </c>
      <c r="AE661" s="31">
        <f>IF($Y661="",0,$Y661)</f>
        <v/>
      </c>
    </row>
    <row r="662">
      <c r="W662" s="31">
        <f>IF(OR($B$5="",$C$6="",ROW()&lt;$B$5),"",IF(INDEX($A:$U,ROW(),$C$6)="","",INDEX($A:$U,ROW(),$C$6)))</f>
        <v/>
      </c>
      <c r="X662" s="32">
        <f>IF($W662="","",IF(ISNUMBER($W662),IF($W662&gt;=10000000,IFERROR(DATE(INT($W662/10000),MOD(INT($W662/100),100),MOD($W662,100)),""),INT($W662)),IFERROR(DATE(--LEFT(LEFT(SUBSTITUTE(SUBSTITUTE(SUBSTITUTE(SUBSTITUTE(TRIM($W662),"-",""),".",""),"/","")," ",""),8),4),--MID(LEFT(SUBSTITUTE(SUBSTITUTE(SUBSTITUTE(SUBSTITUTE(TRIM($W662),"-",""),".",""),"/","")," ",""),8),5,2),--MID(LEFT(SUBSTITUTE(SUBSTITUTE(SUBSTITUTE(SUBSTITUTE(TRIM($W662),"-",""),".",""),"/","")," ",""),8),7,2)),"")))</f>
        <v/>
      </c>
      <c r="Y662" s="32">
        <f>IF($X662="","",INT($X662))</f>
        <v/>
      </c>
      <c r="Z662" s="33">
        <f>IF(OR($Y662="",$D$6=""),"",IF(INDEX($A:$U,ROW(),$D$6)="",0,IF(ISNUMBER(INDEX($A:$U,ROW(),$D$6)),INDEX($A:$U,ROW(),$D$6),IFERROR(--SUBSTITUTE(SUBSTITUTE(TRIM(INDEX($A:$U,ROW(),$D$6)),",",""),"원",""),0))))</f>
        <v/>
      </c>
      <c r="AA662" s="31">
        <f>IF($Y662="","",TRIM(INDEX($A:$U,ROW(),$E$6)&amp;IF($F$6="",""," "&amp;INDEX($A:$U,ROW(),$F$6))))</f>
        <v/>
      </c>
      <c r="AB662" s="31">
        <f>IF($AA662="","",SUBSTITUTE(SUBSTITUTE(SUBSTITUTE(SUBSTITUTE(SUBSTITUTE(SUBSTITUTE(SUBSTITUTE(SUBSTITUTE(SUBSTITUTE($AA662," ",""),"　",""),"(주)",""),"（주）",""),"㈜",""),"주식회사",""),"(유)",""),"（유）",""),"유한회사",""))</f>
        <v/>
      </c>
      <c r="AC662" s="31">
        <f>IF(OR($Y662="",N($Z662)&lt;=0,$AB662=""),0,IFERROR(LOOKUP(2,1/((거래처별!$AC$8:$AC$307&lt;&gt;"")*ISNUMBER(SEARCH(거래처별!$AC$8:$AC$307,$AB662))),거래처별!$A$8:$A$307),IFERROR(LOOKUP(2,1/((거래처별!$AD$8:$AD$307&lt;&gt;"")*ISNUMBER(SEARCH(거래처별!$AD$8:$AD$307,$AB662))),거래처별!$A$8:$A$307),IFERROR(LOOKUP(2,1/((거래처별!$AE$8:$AE$307&lt;&gt;"")*ISNUMBER(SEARCH(거래처별!$AE$8:$AE$307,$AB662))),거래처별!$A$8:$A$307),0))))</f>
        <v/>
      </c>
      <c r="AD662" s="31">
        <f>IF(AND($Y662&lt;&gt;"",N($Z662)&gt;0,$AC662=0),MAX($AD$7:$AD661)+1,"")</f>
        <v/>
      </c>
      <c r="AE662" s="31">
        <f>IF($Y662="",0,$Y662)</f>
        <v/>
      </c>
    </row>
    <row r="663">
      <c r="W663" s="31">
        <f>IF(OR($B$5="",$C$6="",ROW()&lt;$B$5),"",IF(INDEX($A:$U,ROW(),$C$6)="","",INDEX($A:$U,ROW(),$C$6)))</f>
        <v/>
      </c>
      <c r="X663" s="32">
        <f>IF($W663="","",IF(ISNUMBER($W663),IF($W663&gt;=10000000,IFERROR(DATE(INT($W663/10000),MOD(INT($W663/100),100),MOD($W663,100)),""),INT($W663)),IFERROR(DATE(--LEFT(LEFT(SUBSTITUTE(SUBSTITUTE(SUBSTITUTE(SUBSTITUTE(TRIM($W663),"-",""),".",""),"/","")," ",""),8),4),--MID(LEFT(SUBSTITUTE(SUBSTITUTE(SUBSTITUTE(SUBSTITUTE(TRIM($W663),"-",""),".",""),"/","")," ",""),8),5,2),--MID(LEFT(SUBSTITUTE(SUBSTITUTE(SUBSTITUTE(SUBSTITUTE(TRIM($W663),"-",""),".",""),"/","")," ",""),8),7,2)),"")))</f>
        <v/>
      </c>
      <c r="Y663" s="32">
        <f>IF($X663="","",INT($X663))</f>
        <v/>
      </c>
      <c r="Z663" s="33">
        <f>IF(OR($Y663="",$D$6=""),"",IF(INDEX($A:$U,ROW(),$D$6)="",0,IF(ISNUMBER(INDEX($A:$U,ROW(),$D$6)),INDEX($A:$U,ROW(),$D$6),IFERROR(--SUBSTITUTE(SUBSTITUTE(TRIM(INDEX($A:$U,ROW(),$D$6)),",",""),"원",""),0))))</f>
        <v/>
      </c>
      <c r="AA663" s="31">
        <f>IF($Y663="","",TRIM(INDEX($A:$U,ROW(),$E$6)&amp;IF($F$6="",""," "&amp;INDEX($A:$U,ROW(),$F$6))))</f>
        <v/>
      </c>
      <c r="AB663" s="31">
        <f>IF($AA663="","",SUBSTITUTE(SUBSTITUTE(SUBSTITUTE(SUBSTITUTE(SUBSTITUTE(SUBSTITUTE(SUBSTITUTE(SUBSTITUTE(SUBSTITUTE($AA663," ",""),"　",""),"(주)",""),"（주）",""),"㈜",""),"주식회사",""),"(유)",""),"（유）",""),"유한회사",""))</f>
        <v/>
      </c>
      <c r="AC663" s="31">
        <f>IF(OR($Y663="",N($Z663)&lt;=0,$AB663=""),0,IFERROR(LOOKUP(2,1/((거래처별!$AC$8:$AC$307&lt;&gt;"")*ISNUMBER(SEARCH(거래처별!$AC$8:$AC$307,$AB663))),거래처별!$A$8:$A$307),IFERROR(LOOKUP(2,1/((거래처별!$AD$8:$AD$307&lt;&gt;"")*ISNUMBER(SEARCH(거래처별!$AD$8:$AD$307,$AB663))),거래처별!$A$8:$A$307),IFERROR(LOOKUP(2,1/((거래처별!$AE$8:$AE$307&lt;&gt;"")*ISNUMBER(SEARCH(거래처별!$AE$8:$AE$307,$AB663))),거래처별!$A$8:$A$307),0))))</f>
        <v/>
      </c>
      <c r="AD663" s="31">
        <f>IF(AND($Y663&lt;&gt;"",N($Z663)&gt;0,$AC663=0),MAX($AD$7:$AD662)+1,"")</f>
        <v/>
      </c>
      <c r="AE663" s="31">
        <f>IF($Y663="",0,$Y663)</f>
        <v/>
      </c>
    </row>
    <row r="664">
      <c r="W664" s="31">
        <f>IF(OR($B$5="",$C$6="",ROW()&lt;$B$5),"",IF(INDEX($A:$U,ROW(),$C$6)="","",INDEX($A:$U,ROW(),$C$6)))</f>
        <v/>
      </c>
      <c r="X664" s="32">
        <f>IF($W664="","",IF(ISNUMBER($W664),IF($W664&gt;=10000000,IFERROR(DATE(INT($W664/10000),MOD(INT($W664/100),100),MOD($W664,100)),""),INT($W664)),IFERROR(DATE(--LEFT(LEFT(SUBSTITUTE(SUBSTITUTE(SUBSTITUTE(SUBSTITUTE(TRIM($W664),"-",""),".",""),"/","")," ",""),8),4),--MID(LEFT(SUBSTITUTE(SUBSTITUTE(SUBSTITUTE(SUBSTITUTE(TRIM($W664),"-",""),".",""),"/","")," ",""),8),5,2),--MID(LEFT(SUBSTITUTE(SUBSTITUTE(SUBSTITUTE(SUBSTITUTE(TRIM($W664),"-",""),".",""),"/","")," ",""),8),7,2)),"")))</f>
        <v/>
      </c>
      <c r="Y664" s="32">
        <f>IF($X664="","",INT($X664))</f>
        <v/>
      </c>
      <c r="Z664" s="33">
        <f>IF(OR($Y664="",$D$6=""),"",IF(INDEX($A:$U,ROW(),$D$6)="",0,IF(ISNUMBER(INDEX($A:$U,ROW(),$D$6)),INDEX($A:$U,ROW(),$D$6),IFERROR(--SUBSTITUTE(SUBSTITUTE(TRIM(INDEX($A:$U,ROW(),$D$6)),",",""),"원",""),0))))</f>
        <v/>
      </c>
      <c r="AA664" s="31">
        <f>IF($Y664="","",TRIM(INDEX($A:$U,ROW(),$E$6)&amp;IF($F$6="",""," "&amp;INDEX($A:$U,ROW(),$F$6))))</f>
        <v/>
      </c>
      <c r="AB664" s="31">
        <f>IF($AA664="","",SUBSTITUTE(SUBSTITUTE(SUBSTITUTE(SUBSTITUTE(SUBSTITUTE(SUBSTITUTE(SUBSTITUTE(SUBSTITUTE(SUBSTITUTE($AA664," ",""),"　",""),"(주)",""),"（주）",""),"㈜",""),"주식회사",""),"(유)",""),"（유）",""),"유한회사",""))</f>
        <v/>
      </c>
      <c r="AC664" s="31">
        <f>IF(OR($Y664="",N($Z664)&lt;=0,$AB664=""),0,IFERROR(LOOKUP(2,1/((거래처별!$AC$8:$AC$307&lt;&gt;"")*ISNUMBER(SEARCH(거래처별!$AC$8:$AC$307,$AB664))),거래처별!$A$8:$A$307),IFERROR(LOOKUP(2,1/((거래처별!$AD$8:$AD$307&lt;&gt;"")*ISNUMBER(SEARCH(거래처별!$AD$8:$AD$307,$AB664))),거래처별!$A$8:$A$307),IFERROR(LOOKUP(2,1/((거래처별!$AE$8:$AE$307&lt;&gt;"")*ISNUMBER(SEARCH(거래처별!$AE$8:$AE$307,$AB664))),거래처별!$A$8:$A$307),0))))</f>
        <v/>
      </c>
      <c r="AD664" s="31">
        <f>IF(AND($Y664&lt;&gt;"",N($Z664)&gt;0,$AC664=0),MAX($AD$7:$AD663)+1,"")</f>
        <v/>
      </c>
      <c r="AE664" s="31">
        <f>IF($Y664="",0,$Y664)</f>
        <v/>
      </c>
    </row>
    <row r="665">
      <c r="W665" s="31">
        <f>IF(OR($B$5="",$C$6="",ROW()&lt;$B$5),"",IF(INDEX($A:$U,ROW(),$C$6)="","",INDEX($A:$U,ROW(),$C$6)))</f>
        <v/>
      </c>
      <c r="X665" s="32">
        <f>IF($W665="","",IF(ISNUMBER($W665),IF($W665&gt;=10000000,IFERROR(DATE(INT($W665/10000),MOD(INT($W665/100),100),MOD($W665,100)),""),INT($W665)),IFERROR(DATE(--LEFT(LEFT(SUBSTITUTE(SUBSTITUTE(SUBSTITUTE(SUBSTITUTE(TRIM($W665),"-",""),".",""),"/","")," ",""),8),4),--MID(LEFT(SUBSTITUTE(SUBSTITUTE(SUBSTITUTE(SUBSTITUTE(TRIM($W665),"-",""),".",""),"/","")," ",""),8),5,2),--MID(LEFT(SUBSTITUTE(SUBSTITUTE(SUBSTITUTE(SUBSTITUTE(TRIM($W665),"-",""),".",""),"/","")," ",""),8),7,2)),"")))</f>
        <v/>
      </c>
      <c r="Y665" s="32">
        <f>IF($X665="","",INT($X665))</f>
        <v/>
      </c>
      <c r="Z665" s="33">
        <f>IF(OR($Y665="",$D$6=""),"",IF(INDEX($A:$U,ROW(),$D$6)="",0,IF(ISNUMBER(INDEX($A:$U,ROW(),$D$6)),INDEX($A:$U,ROW(),$D$6),IFERROR(--SUBSTITUTE(SUBSTITUTE(TRIM(INDEX($A:$U,ROW(),$D$6)),",",""),"원",""),0))))</f>
        <v/>
      </c>
      <c r="AA665" s="31">
        <f>IF($Y665="","",TRIM(INDEX($A:$U,ROW(),$E$6)&amp;IF($F$6="",""," "&amp;INDEX($A:$U,ROW(),$F$6))))</f>
        <v/>
      </c>
      <c r="AB665" s="31">
        <f>IF($AA665="","",SUBSTITUTE(SUBSTITUTE(SUBSTITUTE(SUBSTITUTE(SUBSTITUTE(SUBSTITUTE(SUBSTITUTE(SUBSTITUTE(SUBSTITUTE($AA665," ",""),"　",""),"(주)",""),"（주）",""),"㈜",""),"주식회사",""),"(유)",""),"（유）",""),"유한회사",""))</f>
        <v/>
      </c>
      <c r="AC665" s="31">
        <f>IF(OR($Y665="",N($Z665)&lt;=0,$AB665=""),0,IFERROR(LOOKUP(2,1/((거래처별!$AC$8:$AC$307&lt;&gt;"")*ISNUMBER(SEARCH(거래처별!$AC$8:$AC$307,$AB665))),거래처별!$A$8:$A$307),IFERROR(LOOKUP(2,1/((거래처별!$AD$8:$AD$307&lt;&gt;"")*ISNUMBER(SEARCH(거래처별!$AD$8:$AD$307,$AB665))),거래처별!$A$8:$A$307),IFERROR(LOOKUP(2,1/((거래처별!$AE$8:$AE$307&lt;&gt;"")*ISNUMBER(SEARCH(거래처별!$AE$8:$AE$307,$AB665))),거래처별!$A$8:$A$307),0))))</f>
        <v/>
      </c>
      <c r="AD665" s="31">
        <f>IF(AND($Y665&lt;&gt;"",N($Z665)&gt;0,$AC665=0),MAX($AD$7:$AD664)+1,"")</f>
        <v/>
      </c>
      <c r="AE665" s="31">
        <f>IF($Y665="",0,$Y665)</f>
        <v/>
      </c>
    </row>
    <row r="666">
      <c r="W666" s="31">
        <f>IF(OR($B$5="",$C$6="",ROW()&lt;$B$5),"",IF(INDEX($A:$U,ROW(),$C$6)="","",INDEX($A:$U,ROW(),$C$6)))</f>
        <v/>
      </c>
      <c r="X666" s="32">
        <f>IF($W666="","",IF(ISNUMBER($W666),IF($W666&gt;=10000000,IFERROR(DATE(INT($W666/10000),MOD(INT($W666/100),100),MOD($W666,100)),""),INT($W666)),IFERROR(DATE(--LEFT(LEFT(SUBSTITUTE(SUBSTITUTE(SUBSTITUTE(SUBSTITUTE(TRIM($W666),"-",""),".",""),"/","")," ",""),8),4),--MID(LEFT(SUBSTITUTE(SUBSTITUTE(SUBSTITUTE(SUBSTITUTE(TRIM($W666),"-",""),".",""),"/","")," ",""),8),5,2),--MID(LEFT(SUBSTITUTE(SUBSTITUTE(SUBSTITUTE(SUBSTITUTE(TRIM($W666),"-",""),".",""),"/","")," ",""),8),7,2)),"")))</f>
        <v/>
      </c>
      <c r="Y666" s="32">
        <f>IF($X666="","",INT($X666))</f>
        <v/>
      </c>
      <c r="Z666" s="33">
        <f>IF(OR($Y666="",$D$6=""),"",IF(INDEX($A:$U,ROW(),$D$6)="",0,IF(ISNUMBER(INDEX($A:$U,ROW(),$D$6)),INDEX($A:$U,ROW(),$D$6),IFERROR(--SUBSTITUTE(SUBSTITUTE(TRIM(INDEX($A:$U,ROW(),$D$6)),",",""),"원",""),0))))</f>
        <v/>
      </c>
      <c r="AA666" s="31">
        <f>IF($Y666="","",TRIM(INDEX($A:$U,ROW(),$E$6)&amp;IF($F$6="",""," "&amp;INDEX($A:$U,ROW(),$F$6))))</f>
        <v/>
      </c>
      <c r="AB666" s="31">
        <f>IF($AA666="","",SUBSTITUTE(SUBSTITUTE(SUBSTITUTE(SUBSTITUTE(SUBSTITUTE(SUBSTITUTE(SUBSTITUTE(SUBSTITUTE(SUBSTITUTE($AA666," ",""),"　",""),"(주)",""),"（주）",""),"㈜",""),"주식회사",""),"(유)",""),"（유）",""),"유한회사",""))</f>
        <v/>
      </c>
      <c r="AC666" s="31">
        <f>IF(OR($Y666="",N($Z666)&lt;=0,$AB666=""),0,IFERROR(LOOKUP(2,1/((거래처별!$AC$8:$AC$307&lt;&gt;"")*ISNUMBER(SEARCH(거래처별!$AC$8:$AC$307,$AB666))),거래처별!$A$8:$A$307),IFERROR(LOOKUP(2,1/((거래처별!$AD$8:$AD$307&lt;&gt;"")*ISNUMBER(SEARCH(거래처별!$AD$8:$AD$307,$AB666))),거래처별!$A$8:$A$307),IFERROR(LOOKUP(2,1/((거래처별!$AE$8:$AE$307&lt;&gt;"")*ISNUMBER(SEARCH(거래처별!$AE$8:$AE$307,$AB666))),거래처별!$A$8:$A$307),0))))</f>
        <v/>
      </c>
      <c r="AD666" s="31">
        <f>IF(AND($Y666&lt;&gt;"",N($Z666)&gt;0,$AC666=0),MAX($AD$7:$AD665)+1,"")</f>
        <v/>
      </c>
      <c r="AE666" s="31">
        <f>IF($Y666="",0,$Y666)</f>
        <v/>
      </c>
    </row>
    <row r="667">
      <c r="W667" s="31">
        <f>IF(OR($B$5="",$C$6="",ROW()&lt;$B$5),"",IF(INDEX($A:$U,ROW(),$C$6)="","",INDEX($A:$U,ROW(),$C$6)))</f>
        <v/>
      </c>
      <c r="X667" s="32">
        <f>IF($W667="","",IF(ISNUMBER($W667),IF($W667&gt;=10000000,IFERROR(DATE(INT($W667/10000),MOD(INT($W667/100),100),MOD($W667,100)),""),INT($W667)),IFERROR(DATE(--LEFT(LEFT(SUBSTITUTE(SUBSTITUTE(SUBSTITUTE(SUBSTITUTE(TRIM($W667),"-",""),".",""),"/","")," ",""),8),4),--MID(LEFT(SUBSTITUTE(SUBSTITUTE(SUBSTITUTE(SUBSTITUTE(TRIM($W667),"-",""),".",""),"/","")," ",""),8),5,2),--MID(LEFT(SUBSTITUTE(SUBSTITUTE(SUBSTITUTE(SUBSTITUTE(TRIM($W667),"-",""),".",""),"/","")," ",""),8),7,2)),"")))</f>
        <v/>
      </c>
      <c r="Y667" s="32">
        <f>IF($X667="","",INT($X667))</f>
        <v/>
      </c>
      <c r="Z667" s="33">
        <f>IF(OR($Y667="",$D$6=""),"",IF(INDEX($A:$U,ROW(),$D$6)="",0,IF(ISNUMBER(INDEX($A:$U,ROW(),$D$6)),INDEX($A:$U,ROW(),$D$6),IFERROR(--SUBSTITUTE(SUBSTITUTE(TRIM(INDEX($A:$U,ROW(),$D$6)),",",""),"원",""),0))))</f>
        <v/>
      </c>
      <c r="AA667" s="31">
        <f>IF($Y667="","",TRIM(INDEX($A:$U,ROW(),$E$6)&amp;IF($F$6="",""," "&amp;INDEX($A:$U,ROW(),$F$6))))</f>
        <v/>
      </c>
      <c r="AB667" s="31">
        <f>IF($AA667="","",SUBSTITUTE(SUBSTITUTE(SUBSTITUTE(SUBSTITUTE(SUBSTITUTE(SUBSTITUTE(SUBSTITUTE(SUBSTITUTE(SUBSTITUTE($AA667," ",""),"　",""),"(주)",""),"（주）",""),"㈜",""),"주식회사",""),"(유)",""),"（유）",""),"유한회사",""))</f>
        <v/>
      </c>
      <c r="AC667" s="31">
        <f>IF(OR($Y667="",N($Z667)&lt;=0,$AB667=""),0,IFERROR(LOOKUP(2,1/((거래처별!$AC$8:$AC$307&lt;&gt;"")*ISNUMBER(SEARCH(거래처별!$AC$8:$AC$307,$AB667))),거래처별!$A$8:$A$307),IFERROR(LOOKUP(2,1/((거래처별!$AD$8:$AD$307&lt;&gt;"")*ISNUMBER(SEARCH(거래처별!$AD$8:$AD$307,$AB667))),거래처별!$A$8:$A$307),IFERROR(LOOKUP(2,1/((거래처별!$AE$8:$AE$307&lt;&gt;"")*ISNUMBER(SEARCH(거래처별!$AE$8:$AE$307,$AB667))),거래처별!$A$8:$A$307),0))))</f>
        <v/>
      </c>
      <c r="AD667" s="31">
        <f>IF(AND($Y667&lt;&gt;"",N($Z667)&gt;0,$AC667=0),MAX($AD$7:$AD666)+1,"")</f>
        <v/>
      </c>
      <c r="AE667" s="31">
        <f>IF($Y667="",0,$Y667)</f>
        <v/>
      </c>
    </row>
    <row r="668">
      <c r="W668" s="31">
        <f>IF(OR($B$5="",$C$6="",ROW()&lt;$B$5),"",IF(INDEX($A:$U,ROW(),$C$6)="","",INDEX($A:$U,ROW(),$C$6)))</f>
        <v/>
      </c>
      <c r="X668" s="32">
        <f>IF($W668="","",IF(ISNUMBER($W668),IF($W668&gt;=10000000,IFERROR(DATE(INT($W668/10000),MOD(INT($W668/100),100),MOD($W668,100)),""),INT($W668)),IFERROR(DATE(--LEFT(LEFT(SUBSTITUTE(SUBSTITUTE(SUBSTITUTE(SUBSTITUTE(TRIM($W668),"-",""),".",""),"/","")," ",""),8),4),--MID(LEFT(SUBSTITUTE(SUBSTITUTE(SUBSTITUTE(SUBSTITUTE(TRIM($W668),"-",""),".",""),"/","")," ",""),8),5,2),--MID(LEFT(SUBSTITUTE(SUBSTITUTE(SUBSTITUTE(SUBSTITUTE(TRIM($W668),"-",""),".",""),"/","")," ",""),8),7,2)),"")))</f>
        <v/>
      </c>
      <c r="Y668" s="32">
        <f>IF($X668="","",INT($X668))</f>
        <v/>
      </c>
      <c r="Z668" s="33">
        <f>IF(OR($Y668="",$D$6=""),"",IF(INDEX($A:$U,ROW(),$D$6)="",0,IF(ISNUMBER(INDEX($A:$U,ROW(),$D$6)),INDEX($A:$U,ROW(),$D$6),IFERROR(--SUBSTITUTE(SUBSTITUTE(TRIM(INDEX($A:$U,ROW(),$D$6)),",",""),"원",""),0))))</f>
        <v/>
      </c>
      <c r="AA668" s="31">
        <f>IF($Y668="","",TRIM(INDEX($A:$U,ROW(),$E$6)&amp;IF($F$6="",""," "&amp;INDEX($A:$U,ROW(),$F$6))))</f>
        <v/>
      </c>
      <c r="AB668" s="31">
        <f>IF($AA668="","",SUBSTITUTE(SUBSTITUTE(SUBSTITUTE(SUBSTITUTE(SUBSTITUTE(SUBSTITUTE(SUBSTITUTE(SUBSTITUTE(SUBSTITUTE($AA668," ",""),"　",""),"(주)",""),"（주）",""),"㈜",""),"주식회사",""),"(유)",""),"（유）",""),"유한회사",""))</f>
        <v/>
      </c>
      <c r="AC668" s="31">
        <f>IF(OR($Y668="",N($Z668)&lt;=0,$AB668=""),0,IFERROR(LOOKUP(2,1/((거래처별!$AC$8:$AC$307&lt;&gt;"")*ISNUMBER(SEARCH(거래처별!$AC$8:$AC$307,$AB668))),거래처별!$A$8:$A$307),IFERROR(LOOKUP(2,1/((거래처별!$AD$8:$AD$307&lt;&gt;"")*ISNUMBER(SEARCH(거래처별!$AD$8:$AD$307,$AB668))),거래처별!$A$8:$A$307),IFERROR(LOOKUP(2,1/((거래처별!$AE$8:$AE$307&lt;&gt;"")*ISNUMBER(SEARCH(거래처별!$AE$8:$AE$307,$AB668))),거래처별!$A$8:$A$307),0))))</f>
        <v/>
      </c>
      <c r="AD668" s="31">
        <f>IF(AND($Y668&lt;&gt;"",N($Z668)&gt;0,$AC668=0),MAX($AD$7:$AD667)+1,"")</f>
        <v/>
      </c>
      <c r="AE668" s="31">
        <f>IF($Y668="",0,$Y668)</f>
        <v/>
      </c>
    </row>
    <row r="669">
      <c r="W669" s="31">
        <f>IF(OR($B$5="",$C$6="",ROW()&lt;$B$5),"",IF(INDEX($A:$U,ROW(),$C$6)="","",INDEX($A:$U,ROW(),$C$6)))</f>
        <v/>
      </c>
      <c r="X669" s="32">
        <f>IF($W669="","",IF(ISNUMBER($W669),IF($W669&gt;=10000000,IFERROR(DATE(INT($W669/10000),MOD(INT($W669/100),100),MOD($W669,100)),""),INT($W669)),IFERROR(DATE(--LEFT(LEFT(SUBSTITUTE(SUBSTITUTE(SUBSTITUTE(SUBSTITUTE(TRIM($W669),"-",""),".",""),"/","")," ",""),8),4),--MID(LEFT(SUBSTITUTE(SUBSTITUTE(SUBSTITUTE(SUBSTITUTE(TRIM($W669),"-",""),".",""),"/","")," ",""),8),5,2),--MID(LEFT(SUBSTITUTE(SUBSTITUTE(SUBSTITUTE(SUBSTITUTE(TRIM($W669),"-",""),".",""),"/","")," ",""),8),7,2)),"")))</f>
        <v/>
      </c>
      <c r="Y669" s="32">
        <f>IF($X669="","",INT($X669))</f>
        <v/>
      </c>
      <c r="Z669" s="33">
        <f>IF(OR($Y669="",$D$6=""),"",IF(INDEX($A:$U,ROW(),$D$6)="",0,IF(ISNUMBER(INDEX($A:$U,ROW(),$D$6)),INDEX($A:$U,ROW(),$D$6),IFERROR(--SUBSTITUTE(SUBSTITUTE(TRIM(INDEX($A:$U,ROW(),$D$6)),",",""),"원",""),0))))</f>
        <v/>
      </c>
      <c r="AA669" s="31">
        <f>IF($Y669="","",TRIM(INDEX($A:$U,ROW(),$E$6)&amp;IF($F$6="",""," "&amp;INDEX($A:$U,ROW(),$F$6))))</f>
        <v/>
      </c>
      <c r="AB669" s="31">
        <f>IF($AA669="","",SUBSTITUTE(SUBSTITUTE(SUBSTITUTE(SUBSTITUTE(SUBSTITUTE(SUBSTITUTE(SUBSTITUTE(SUBSTITUTE(SUBSTITUTE($AA669," ",""),"　",""),"(주)",""),"（주）",""),"㈜",""),"주식회사",""),"(유)",""),"（유）",""),"유한회사",""))</f>
        <v/>
      </c>
      <c r="AC669" s="31">
        <f>IF(OR($Y669="",N($Z669)&lt;=0,$AB669=""),0,IFERROR(LOOKUP(2,1/((거래처별!$AC$8:$AC$307&lt;&gt;"")*ISNUMBER(SEARCH(거래처별!$AC$8:$AC$307,$AB669))),거래처별!$A$8:$A$307),IFERROR(LOOKUP(2,1/((거래처별!$AD$8:$AD$307&lt;&gt;"")*ISNUMBER(SEARCH(거래처별!$AD$8:$AD$307,$AB669))),거래처별!$A$8:$A$307),IFERROR(LOOKUP(2,1/((거래처별!$AE$8:$AE$307&lt;&gt;"")*ISNUMBER(SEARCH(거래처별!$AE$8:$AE$307,$AB669))),거래처별!$A$8:$A$307),0))))</f>
        <v/>
      </c>
      <c r="AD669" s="31">
        <f>IF(AND($Y669&lt;&gt;"",N($Z669)&gt;0,$AC669=0),MAX($AD$7:$AD668)+1,"")</f>
        <v/>
      </c>
      <c r="AE669" s="31">
        <f>IF($Y669="",0,$Y669)</f>
        <v/>
      </c>
    </row>
    <row r="670">
      <c r="W670" s="31">
        <f>IF(OR($B$5="",$C$6="",ROW()&lt;$B$5),"",IF(INDEX($A:$U,ROW(),$C$6)="","",INDEX($A:$U,ROW(),$C$6)))</f>
        <v/>
      </c>
      <c r="X670" s="32">
        <f>IF($W670="","",IF(ISNUMBER($W670),IF($W670&gt;=10000000,IFERROR(DATE(INT($W670/10000),MOD(INT($W670/100),100),MOD($W670,100)),""),INT($W670)),IFERROR(DATE(--LEFT(LEFT(SUBSTITUTE(SUBSTITUTE(SUBSTITUTE(SUBSTITUTE(TRIM($W670),"-",""),".",""),"/","")," ",""),8),4),--MID(LEFT(SUBSTITUTE(SUBSTITUTE(SUBSTITUTE(SUBSTITUTE(TRIM($W670),"-",""),".",""),"/","")," ",""),8),5,2),--MID(LEFT(SUBSTITUTE(SUBSTITUTE(SUBSTITUTE(SUBSTITUTE(TRIM($W670),"-",""),".",""),"/","")," ",""),8),7,2)),"")))</f>
        <v/>
      </c>
      <c r="Y670" s="32">
        <f>IF($X670="","",INT($X670))</f>
        <v/>
      </c>
      <c r="Z670" s="33">
        <f>IF(OR($Y670="",$D$6=""),"",IF(INDEX($A:$U,ROW(),$D$6)="",0,IF(ISNUMBER(INDEX($A:$U,ROW(),$D$6)),INDEX($A:$U,ROW(),$D$6),IFERROR(--SUBSTITUTE(SUBSTITUTE(TRIM(INDEX($A:$U,ROW(),$D$6)),",",""),"원",""),0))))</f>
        <v/>
      </c>
      <c r="AA670" s="31">
        <f>IF($Y670="","",TRIM(INDEX($A:$U,ROW(),$E$6)&amp;IF($F$6="",""," "&amp;INDEX($A:$U,ROW(),$F$6))))</f>
        <v/>
      </c>
      <c r="AB670" s="31">
        <f>IF($AA670="","",SUBSTITUTE(SUBSTITUTE(SUBSTITUTE(SUBSTITUTE(SUBSTITUTE(SUBSTITUTE(SUBSTITUTE(SUBSTITUTE(SUBSTITUTE($AA670," ",""),"　",""),"(주)",""),"（주）",""),"㈜",""),"주식회사",""),"(유)",""),"（유）",""),"유한회사",""))</f>
        <v/>
      </c>
      <c r="AC670" s="31">
        <f>IF(OR($Y670="",N($Z670)&lt;=0,$AB670=""),0,IFERROR(LOOKUP(2,1/((거래처별!$AC$8:$AC$307&lt;&gt;"")*ISNUMBER(SEARCH(거래처별!$AC$8:$AC$307,$AB670))),거래처별!$A$8:$A$307),IFERROR(LOOKUP(2,1/((거래처별!$AD$8:$AD$307&lt;&gt;"")*ISNUMBER(SEARCH(거래처별!$AD$8:$AD$307,$AB670))),거래처별!$A$8:$A$307),IFERROR(LOOKUP(2,1/((거래처별!$AE$8:$AE$307&lt;&gt;"")*ISNUMBER(SEARCH(거래처별!$AE$8:$AE$307,$AB670))),거래처별!$A$8:$A$307),0))))</f>
        <v/>
      </c>
      <c r="AD670" s="31">
        <f>IF(AND($Y670&lt;&gt;"",N($Z670)&gt;0,$AC670=0),MAX($AD$7:$AD669)+1,"")</f>
        <v/>
      </c>
      <c r="AE670" s="31">
        <f>IF($Y670="",0,$Y670)</f>
        <v/>
      </c>
    </row>
    <row r="671">
      <c r="W671" s="31">
        <f>IF(OR($B$5="",$C$6="",ROW()&lt;$B$5),"",IF(INDEX($A:$U,ROW(),$C$6)="","",INDEX($A:$U,ROW(),$C$6)))</f>
        <v/>
      </c>
      <c r="X671" s="32">
        <f>IF($W671="","",IF(ISNUMBER($W671),IF($W671&gt;=10000000,IFERROR(DATE(INT($W671/10000),MOD(INT($W671/100),100),MOD($W671,100)),""),INT($W671)),IFERROR(DATE(--LEFT(LEFT(SUBSTITUTE(SUBSTITUTE(SUBSTITUTE(SUBSTITUTE(TRIM($W671),"-",""),".",""),"/","")," ",""),8),4),--MID(LEFT(SUBSTITUTE(SUBSTITUTE(SUBSTITUTE(SUBSTITUTE(TRIM($W671),"-",""),".",""),"/","")," ",""),8),5,2),--MID(LEFT(SUBSTITUTE(SUBSTITUTE(SUBSTITUTE(SUBSTITUTE(TRIM($W671),"-",""),".",""),"/","")," ",""),8),7,2)),"")))</f>
        <v/>
      </c>
      <c r="Y671" s="32">
        <f>IF($X671="","",INT($X671))</f>
        <v/>
      </c>
      <c r="Z671" s="33">
        <f>IF(OR($Y671="",$D$6=""),"",IF(INDEX($A:$U,ROW(),$D$6)="",0,IF(ISNUMBER(INDEX($A:$U,ROW(),$D$6)),INDEX($A:$U,ROW(),$D$6),IFERROR(--SUBSTITUTE(SUBSTITUTE(TRIM(INDEX($A:$U,ROW(),$D$6)),",",""),"원",""),0))))</f>
        <v/>
      </c>
      <c r="AA671" s="31">
        <f>IF($Y671="","",TRIM(INDEX($A:$U,ROW(),$E$6)&amp;IF($F$6="",""," "&amp;INDEX($A:$U,ROW(),$F$6))))</f>
        <v/>
      </c>
      <c r="AB671" s="31">
        <f>IF($AA671="","",SUBSTITUTE(SUBSTITUTE(SUBSTITUTE(SUBSTITUTE(SUBSTITUTE(SUBSTITUTE(SUBSTITUTE(SUBSTITUTE(SUBSTITUTE($AA671," ",""),"　",""),"(주)",""),"（주）",""),"㈜",""),"주식회사",""),"(유)",""),"（유）",""),"유한회사",""))</f>
        <v/>
      </c>
      <c r="AC671" s="31">
        <f>IF(OR($Y671="",N($Z671)&lt;=0,$AB671=""),0,IFERROR(LOOKUP(2,1/((거래처별!$AC$8:$AC$307&lt;&gt;"")*ISNUMBER(SEARCH(거래처별!$AC$8:$AC$307,$AB671))),거래처별!$A$8:$A$307),IFERROR(LOOKUP(2,1/((거래처별!$AD$8:$AD$307&lt;&gt;"")*ISNUMBER(SEARCH(거래처별!$AD$8:$AD$307,$AB671))),거래처별!$A$8:$A$307),IFERROR(LOOKUP(2,1/((거래처별!$AE$8:$AE$307&lt;&gt;"")*ISNUMBER(SEARCH(거래처별!$AE$8:$AE$307,$AB671))),거래처별!$A$8:$A$307),0))))</f>
        <v/>
      </c>
      <c r="AD671" s="31">
        <f>IF(AND($Y671&lt;&gt;"",N($Z671)&gt;0,$AC671=0),MAX($AD$7:$AD670)+1,"")</f>
        <v/>
      </c>
      <c r="AE671" s="31">
        <f>IF($Y671="",0,$Y671)</f>
        <v/>
      </c>
    </row>
    <row r="672">
      <c r="W672" s="31">
        <f>IF(OR($B$5="",$C$6="",ROW()&lt;$B$5),"",IF(INDEX($A:$U,ROW(),$C$6)="","",INDEX($A:$U,ROW(),$C$6)))</f>
        <v/>
      </c>
      <c r="X672" s="32">
        <f>IF($W672="","",IF(ISNUMBER($W672),IF($W672&gt;=10000000,IFERROR(DATE(INT($W672/10000),MOD(INT($W672/100),100),MOD($W672,100)),""),INT($W672)),IFERROR(DATE(--LEFT(LEFT(SUBSTITUTE(SUBSTITUTE(SUBSTITUTE(SUBSTITUTE(TRIM($W672),"-",""),".",""),"/","")," ",""),8),4),--MID(LEFT(SUBSTITUTE(SUBSTITUTE(SUBSTITUTE(SUBSTITUTE(TRIM($W672),"-",""),".",""),"/","")," ",""),8),5,2),--MID(LEFT(SUBSTITUTE(SUBSTITUTE(SUBSTITUTE(SUBSTITUTE(TRIM($W672),"-",""),".",""),"/","")," ",""),8),7,2)),"")))</f>
        <v/>
      </c>
      <c r="Y672" s="32">
        <f>IF($X672="","",INT($X672))</f>
        <v/>
      </c>
      <c r="Z672" s="33">
        <f>IF(OR($Y672="",$D$6=""),"",IF(INDEX($A:$U,ROW(),$D$6)="",0,IF(ISNUMBER(INDEX($A:$U,ROW(),$D$6)),INDEX($A:$U,ROW(),$D$6),IFERROR(--SUBSTITUTE(SUBSTITUTE(TRIM(INDEX($A:$U,ROW(),$D$6)),",",""),"원",""),0))))</f>
        <v/>
      </c>
      <c r="AA672" s="31">
        <f>IF($Y672="","",TRIM(INDEX($A:$U,ROW(),$E$6)&amp;IF($F$6="",""," "&amp;INDEX($A:$U,ROW(),$F$6))))</f>
        <v/>
      </c>
      <c r="AB672" s="31">
        <f>IF($AA672="","",SUBSTITUTE(SUBSTITUTE(SUBSTITUTE(SUBSTITUTE(SUBSTITUTE(SUBSTITUTE(SUBSTITUTE(SUBSTITUTE(SUBSTITUTE($AA672," ",""),"　",""),"(주)",""),"（주）",""),"㈜",""),"주식회사",""),"(유)",""),"（유）",""),"유한회사",""))</f>
        <v/>
      </c>
      <c r="AC672" s="31">
        <f>IF(OR($Y672="",N($Z672)&lt;=0,$AB672=""),0,IFERROR(LOOKUP(2,1/((거래처별!$AC$8:$AC$307&lt;&gt;"")*ISNUMBER(SEARCH(거래처별!$AC$8:$AC$307,$AB672))),거래처별!$A$8:$A$307),IFERROR(LOOKUP(2,1/((거래처별!$AD$8:$AD$307&lt;&gt;"")*ISNUMBER(SEARCH(거래처별!$AD$8:$AD$307,$AB672))),거래처별!$A$8:$A$307),IFERROR(LOOKUP(2,1/((거래처별!$AE$8:$AE$307&lt;&gt;"")*ISNUMBER(SEARCH(거래처별!$AE$8:$AE$307,$AB672))),거래처별!$A$8:$A$307),0))))</f>
        <v/>
      </c>
      <c r="AD672" s="31">
        <f>IF(AND($Y672&lt;&gt;"",N($Z672)&gt;0,$AC672=0),MAX($AD$7:$AD671)+1,"")</f>
        <v/>
      </c>
      <c r="AE672" s="31">
        <f>IF($Y672="",0,$Y672)</f>
        <v/>
      </c>
    </row>
    <row r="673">
      <c r="W673" s="31">
        <f>IF(OR($B$5="",$C$6="",ROW()&lt;$B$5),"",IF(INDEX($A:$U,ROW(),$C$6)="","",INDEX($A:$U,ROW(),$C$6)))</f>
        <v/>
      </c>
      <c r="X673" s="32">
        <f>IF($W673="","",IF(ISNUMBER($W673),IF($W673&gt;=10000000,IFERROR(DATE(INT($W673/10000),MOD(INT($W673/100),100),MOD($W673,100)),""),INT($W673)),IFERROR(DATE(--LEFT(LEFT(SUBSTITUTE(SUBSTITUTE(SUBSTITUTE(SUBSTITUTE(TRIM($W673),"-",""),".",""),"/","")," ",""),8),4),--MID(LEFT(SUBSTITUTE(SUBSTITUTE(SUBSTITUTE(SUBSTITUTE(TRIM($W673),"-",""),".",""),"/","")," ",""),8),5,2),--MID(LEFT(SUBSTITUTE(SUBSTITUTE(SUBSTITUTE(SUBSTITUTE(TRIM($W673),"-",""),".",""),"/","")," ",""),8),7,2)),"")))</f>
        <v/>
      </c>
      <c r="Y673" s="32">
        <f>IF($X673="","",INT($X673))</f>
        <v/>
      </c>
      <c r="Z673" s="33">
        <f>IF(OR($Y673="",$D$6=""),"",IF(INDEX($A:$U,ROW(),$D$6)="",0,IF(ISNUMBER(INDEX($A:$U,ROW(),$D$6)),INDEX($A:$U,ROW(),$D$6),IFERROR(--SUBSTITUTE(SUBSTITUTE(TRIM(INDEX($A:$U,ROW(),$D$6)),",",""),"원",""),0))))</f>
        <v/>
      </c>
      <c r="AA673" s="31">
        <f>IF($Y673="","",TRIM(INDEX($A:$U,ROW(),$E$6)&amp;IF($F$6="",""," "&amp;INDEX($A:$U,ROW(),$F$6))))</f>
        <v/>
      </c>
      <c r="AB673" s="31">
        <f>IF($AA673="","",SUBSTITUTE(SUBSTITUTE(SUBSTITUTE(SUBSTITUTE(SUBSTITUTE(SUBSTITUTE(SUBSTITUTE(SUBSTITUTE(SUBSTITUTE($AA673," ",""),"　",""),"(주)",""),"（주）",""),"㈜",""),"주식회사",""),"(유)",""),"（유）",""),"유한회사",""))</f>
        <v/>
      </c>
      <c r="AC673" s="31">
        <f>IF(OR($Y673="",N($Z673)&lt;=0,$AB673=""),0,IFERROR(LOOKUP(2,1/((거래처별!$AC$8:$AC$307&lt;&gt;"")*ISNUMBER(SEARCH(거래처별!$AC$8:$AC$307,$AB673))),거래처별!$A$8:$A$307),IFERROR(LOOKUP(2,1/((거래처별!$AD$8:$AD$307&lt;&gt;"")*ISNUMBER(SEARCH(거래처별!$AD$8:$AD$307,$AB673))),거래처별!$A$8:$A$307),IFERROR(LOOKUP(2,1/((거래처별!$AE$8:$AE$307&lt;&gt;"")*ISNUMBER(SEARCH(거래처별!$AE$8:$AE$307,$AB673))),거래처별!$A$8:$A$307),0))))</f>
        <v/>
      </c>
      <c r="AD673" s="31">
        <f>IF(AND($Y673&lt;&gt;"",N($Z673)&gt;0,$AC673=0),MAX($AD$7:$AD672)+1,"")</f>
        <v/>
      </c>
      <c r="AE673" s="31">
        <f>IF($Y673="",0,$Y673)</f>
        <v/>
      </c>
    </row>
    <row r="674">
      <c r="W674" s="31">
        <f>IF(OR($B$5="",$C$6="",ROW()&lt;$B$5),"",IF(INDEX($A:$U,ROW(),$C$6)="","",INDEX($A:$U,ROW(),$C$6)))</f>
        <v/>
      </c>
      <c r="X674" s="32">
        <f>IF($W674="","",IF(ISNUMBER($W674),IF($W674&gt;=10000000,IFERROR(DATE(INT($W674/10000),MOD(INT($W674/100),100),MOD($W674,100)),""),INT($W674)),IFERROR(DATE(--LEFT(LEFT(SUBSTITUTE(SUBSTITUTE(SUBSTITUTE(SUBSTITUTE(TRIM($W674),"-",""),".",""),"/","")," ",""),8),4),--MID(LEFT(SUBSTITUTE(SUBSTITUTE(SUBSTITUTE(SUBSTITUTE(TRIM($W674),"-",""),".",""),"/","")," ",""),8),5,2),--MID(LEFT(SUBSTITUTE(SUBSTITUTE(SUBSTITUTE(SUBSTITUTE(TRIM($W674),"-",""),".",""),"/","")," ",""),8),7,2)),"")))</f>
        <v/>
      </c>
      <c r="Y674" s="32">
        <f>IF($X674="","",INT($X674))</f>
        <v/>
      </c>
      <c r="Z674" s="33">
        <f>IF(OR($Y674="",$D$6=""),"",IF(INDEX($A:$U,ROW(),$D$6)="",0,IF(ISNUMBER(INDEX($A:$U,ROW(),$D$6)),INDEX($A:$U,ROW(),$D$6),IFERROR(--SUBSTITUTE(SUBSTITUTE(TRIM(INDEX($A:$U,ROW(),$D$6)),",",""),"원",""),0))))</f>
        <v/>
      </c>
      <c r="AA674" s="31">
        <f>IF($Y674="","",TRIM(INDEX($A:$U,ROW(),$E$6)&amp;IF($F$6="",""," "&amp;INDEX($A:$U,ROW(),$F$6))))</f>
        <v/>
      </c>
      <c r="AB674" s="31">
        <f>IF($AA674="","",SUBSTITUTE(SUBSTITUTE(SUBSTITUTE(SUBSTITUTE(SUBSTITUTE(SUBSTITUTE(SUBSTITUTE(SUBSTITUTE(SUBSTITUTE($AA674," ",""),"　",""),"(주)",""),"（주）",""),"㈜",""),"주식회사",""),"(유)",""),"（유）",""),"유한회사",""))</f>
        <v/>
      </c>
      <c r="AC674" s="31">
        <f>IF(OR($Y674="",N($Z674)&lt;=0,$AB674=""),0,IFERROR(LOOKUP(2,1/((거래처별!$AC$8:$AC$307&lt;&gt;"")*ISNUMBER(SEARCH(거래처별!$AC$8:$AC$307,$AB674))),거래처별!$A$8:$A$307),IFERROR(LOOKUP(2,1/((거래처별!$AD$8:$AD$307&lt;&gt;"")*ISNUMBER(SEARCH(거래처별!$AD$8:$AD$307,$AB674))),거래처별!$A$8:$A$307),IFERROR(LOOKUP(2,1/((거래처별!$AE$8:$AE$307&lt;&gt;"")*ISNUMBER(SEARCH(거래처별!$AE$8:$AE$307,$AB674))),거래처별!$A$8:$A$307),0))))</f>
        <v/>
      </c>
      <c r="AD674" s="31">
        <f>IF(AND($Y674&lt;&gt;"",N($Z674)&gt;0,$AC674=0),MAX($AD$7:$AD673)+1,"")</f>
        <v/>
      </c>
      <c r="AE674" s="31">
        <f>IF($Y674="",0,$Y674)</f>
        <v/>
      </c>
    </row>
    <row r="675">
      <c r="W675" s="31">
        <f>IF(OR($B$5="",$C$6="",ROW()&lt;$B$5),"",IF(INDEX($A:$U,ROW(),$C$6)="","",INDEX($A:$U,ROW(),$C$6)))</f>
        <v/>
      </c>
      <c r="X675" s="32">
        <f>IF($W675="","",IF(ISNUMBER($W675),IF($W675&gt;=10000000,IFERROR(DATE(INT($W675/10000),MOD(INT($W675/100),100),MOD($W675,100)),""),INT($W675)),IFERROR(DATE(--LEFT(LEFT(SUBSTITUTE(SUBSTITUTE(SUBSTITUTE(SUBSTITUTE(TRIM($W675),"-",""),".",""),"/","")," ",""),8),4),--MID(LEFT(SUBSTITUTE(SUBSTITUTE(SUBSTITUTE(SUBSTITUTE(TRIM($W675),"-",""),".",""),"/","")," ",""),8),5,2),--MID(LEFT(SUBSTITUTE(SUBSTITUTE(SUBSTITUTE(SUBSTITUTE(TRIM($W675),"-",""),".",""),"/","")," ",""),8),7,2)),"")))</f>
        <v/>
      </c>
      <c r="Y675" s="32">
        <f>IF($X675="","",INT($X675))</f>
        <v/>
      </c>
      <c r="Z675" s="33">
        <f>IF(OR($Y675="",$D$6=""),"",IF(INDEX($A:$U,ROW(),$D$6)="",0,IF(ISNUMBER(INDEX($A:$U,ROW(),$D$6)),INDEX($A:$U,ROW(),$D$6),IFERROR(--SUBSTITUTE(SUBSTITUTE(TRIM(INDEX($A:$U,ROW(),$D$6)),",",""),"원",""),0))))</f>
        <v/>
      </c>
      <c r="AA675" s="31">
        <f>IF($Y675="","",TRIM(INDEX($A:$U,ROW(),$E$6)&amp;IF($F$6="",""," "&amp;INDEX($A:$U,ROW(),$F$6))))</f>
        <v/>
      </c>
      <c r="AB675" s="31">
        <f>IF($AA675="","",SUBSTITUTE(SUBSTITUTE(SUBSTITUTE(SUBSTITUTE(SUBSTITUTE(SUBSTITUTE(SUBSTITUTE(SUBSTITUTE(SUBSTITUTE($AA675," ",""),"　",""),"(주)",""),"（주）",""),"㈜",""),"주식회사",""),"(유)",""),"（유）",""),"유한회사",""))</f>
        <v/>
      </c>
      <c r="AC675" s="31">
        <f>IF(OR($Y675="",N($Z675)&lt;=0,$AB675=""),0,IFERROR(LOOKUP(2,1/((거래처별!$AC$8:$AC$307&lt;&gt;"")*ISNUMBER(SEARCH(거래처별!$AC$8:$AC$307,$AB675))),거래처별!$A$8:$A$307),IFERROR(LOOKUP(2,1/((거래처별!$AD$8:$AD$307&lt;&gt;"")*ISNUMBER(SEARCH(거래처별!$AD$8:$AD$307,$AB675))),거래처별!$A$8:$A$307),IFERROR(LOOKUP(2,1/((거래처별!$AE$8:$AE$307&lt;&gt;"")*ISNUMBER(SEARCH(거래처별!$AE$8:$AE$307,$AB675))),거래처별!$A$8:$A$307),0))))</f>
        <v/>
      </c>
      <c r="AD675" s="31">
        <f>IF(AND($Y675&lt;&gt;"",N($Z675)&gt;0,$AC675=0),MAX($AD$7:$AD674)+1,"")</f>
        <v/>
      </c>
      <c r="AE675" s="31">
        <f>IF($Y675="",0,$Y675)</f>
        <v/>
      </c>
    </row>
    <row r="676">
      <c r="W676" s="31">
        <f>IF(OR($B$5="",$C$6="",ROW()&lt;$B$5),"",IF(INDEX($A:$U,ROW(),$C$6)="","",INDEX($A:$U,ROW(),$C$6)))</f>
        <v/>
      </c>
      <c r="X676" s="32">
        <f>IF($W676="","",IF(ISNUMBER($W676),IF($W676&gt;=10000000,IFERROR(DATE(INT($W676/10000),MOD(INT($W676/100),100),MOD($W676,100)),""),INT($W676)),IFERROR(DATE(--LEFT(LEFT(SUBSTITUTE(SUBSTITUTE(SUBSTITUTE(SUBSTITUTE(TRIM($W676),"-",""),".",""),"/","")," ",""),8),4),--MID(LEFT(SUBSTITUTE(SUBSTITUTE(SUBSTITUTE(SUBSTITUTE(TRIM($W676),"-",""),".",""),"/","")," ",""),8),5,2),--MID(LEFT(SUBSTITUTE(SUBSTITUTE(SUBSTITUTE(SUBSTITUTE(TRIM($W676),"-",""),".",""),"/","")," ",""),8),7,2)),"")))</f>
        <v/>
      </c>
      <c r="Y676" s="32">
        <f>IF($X676="","",INT($X676))</f>
        <v/>
      </c>
      <c r="Z676" s="33">
        <f>IF(OR($Y676="",$D$6=""),"",IF(INDEX($A:$U,ROW(),$D$6)="",0,IF(ISNUMBER(INDEX($A:$U,ROW(),$D$6)),INDEX($A:$U,ROW(),$D$6),IFERROR(--SUBSTITUTE(SUBSTITUTE(TRIM(INDEX($A:$U,ROW(),$D$6)),",",""),"원",""),0))))</f>
        <v/>
      </c>
      <c r="AA676" s="31">
        <f>IF($Y676="","",TRIM(INDEX($A:$U,ROW(),$E$6)&amp;IF($F$6="",""," "&amp;INDEX($A:$U,ROW(),$F$6))))</f>
        <v/>
      </c>
      <c r="AB676" s="31">
        <f>IF($AA676="","",SUBSTITUTE(SUBSTITUTE(SUBSTITUTE(SUBSTITUTE(SUBSTITUTE(SUBSTITUTE(SUBSTITUTE(SUBSTITUTE(SUBSTITUTE($AA676," ",""),"　",""),"(주)",""),"（주）",""),"㈜",""),"주식회사",""),"(유)",""),"（유）",""),"유한회사",""))</f>
        <v/>
      </c>
      <c r="AC676" s="31">
        <f>IF(OR($Y676="",N($Z676)&lt;=0,$AB676=""),0,IFERROR(LOOKUP(2,1/((거래처별!$AC$8:$AC$307&lt;&gt;"")*ISNUMBER(SEARCH(거래처별!$AC$8:$AC$307,$AB676))),거래처별!$A$8:$A$307),IFERROR(LOOKUP(2,1/((거래처별!$AD$8:$AD$307&lt;&gt;"")*ISNUMBER(SEARCH(거래처별!$AD$8:$AD$307,$AB676))),거래처별!$A$8:$A$307),IFERROR(LOOKUP(2,1/((거래처별!$AE$8:$AE$307&lt;&gt;"")*ISNUMBER(SEARCH(거래처별!$AE$8:$AE$307,$AB676))),거래처별!$A$8:$A$307),0))))</f>
        <v/>
      </c>
      <c r="AD676" s="31">
        <f>IF(AND($Y676&lt;&gt;"",N($Z676)&gt;0,$AC676=0),MAX($AD$7:$AD675)+1,"")</f>
        <v/>
      </c>
      <c r="AE676" s="31">
        <f>IF($Y676="",0,$Y676)</f>
        <v/>
      </c>
    </row>
    <row r="677">
      <c r="W677" s="31">
        <f>IF(OR($B$5="",$C$6="",ROW()&lt;$B$5),"",IF(INDEX($A:$U,ROW(),$C$6)="","",INDEX($A:$U,ROW(),$C$6)))</f>
        <v/>
      </c>
      <c r="X677" s="32">
        <f>IF($W677="","",IF(ISNUMBER($W677),IF($W677&gt;=10000000,IFERROR(DATE(INT($W677/10000),MOD(INT($W677/100),100),MOD($W677,100)),""),INT($W677)),IFERROR(DATE(--LEFT(LEFT(SUBSTITUTE(SUBSTITUTE(SUBSTITUTE(SUBSTITUTE(TRIM($W677),"-",""),".",""),"/","")," ",""),8),4),--MID(LEFT(SUBSTITUTE(SUBSTITUTE(SUBSTITUTE(SUBSTITUTE(TRIM($W677),"-",""),".",""),"/","")," ",""),8),5,2),--MID(LEFT(SUBSTITUTE(SUBSTITUTE(SUBSTITUTE(SUBSTITUTE(TRIM($W677),"-",""),".",""),"/","")," ",""),8),7,2)),"")))</f>
        <v/>
      </c>
      <c r="Y677" s="32">
        <f>IF($X677="","",INT($X677))</f>
        <v/>
      </c>
      <c r="Z677" s="33">
        <f>IF(OR($Y677="",$D$6=""),"",IF(INDEX($A:$U,ROW(),$D$6)="",0,IF(ISNUMBER(INDEX($A:$U,ROW(),$D$6)),INDEX($A:$U,ROW(),$D$6),IFERROR(--SUBSTITUTE(SUBSTITUTE(TRIM(INDEX($A:$U,ROW(),$D$6)),",",""),"원",""),0))))</f>
        <v/>
      </c>
      <c r="AA677" s="31">
        <f>IF($Y677="","",TRIM(INDEX($A:$U,ROW(),$E$6)&amp;IF($F$6="",""," "&amp;INDEX($A:$U,ROW(),$F$6))))</f>
        <v/>
      </c>
      <c r="AB677" s="31">
        <f>IF($AA677="","",SUBSTITUTE(SUBSTITUTE(SUBSTITUTE(SUBSTITUTE(SUBSTITUTE(SUBSTITUTE(SUBSTITUTE(SUBSTITUTE(SUBSTITUTE($AA677," ",""),"　",""),"(주)",""),"（주）",""),"㈜",""),"주식회사",""),"(유)",""),"（유）",""),"유한회사",""))</f>
        <v/>
      </c>
      <c r="AC677" s="31">
        <f>IF(OR($Y677="",N($Z677)&lt;=0,$AB677=""),0,IFERROR(LOOKUP(2,1/((거래처별!$AC$8:$AC$307&lt;&gt;"")*ISNUMBER(SEARCH(거래처별!$AC$8:$AC$307,$AB677))),거래처별!$A$8:$A$307),IFERROR(LOOKUP(2,1/((거래처별!$AD$8:$AD$307&lt;&gt;"")*ISNUMBER(SEARCH(거래처별!$AD$8:$AD$307,$AB677))),거래처별!$A$8:$A$307),IFERROR(LOOKUP(2,1/((거래처별!$AE$8:$AE$307&lt;&gt;"")*ISNUMBER(SEARCH(거래처별!$AE$8:$AE$307,$AB677))),거래처별!$A$8:$A$307),0))))</f>
        <v/>
      </c>
      <c r="AD677" s="31">
        <f>IF(AND($Y677&lt;&gt;"",N($Z677)&gt;0,$AC677=0),MAX($AD$7:$AD676)+1,"")</f>
        <v/>
      </c>
      <c r="AE677" s="31">
        <f>IF($Y677="",0,$Y677)</f>
        <v/>
      </c>
    </row>
    <row r="678">
      <c r="W678" s="31">
        <f>IF(OR($B$5="",$C$6="",ROW()&lt;$B$5),"",IF(INDEX($A:$U,ROW(),$C$6)="","",INDEX($A:$U,ROW(),$C$6)))</f>
        <v/>
      </c>
      <c r="X678" s="32">
        <f>IF($W678="","",IF(ISNUMBER($W678),IF($W678&gt;=10000000,IFERROR(DATE(INT($W678/10000),MOD(INT($W678/100),100),MOD($W678,100)),""),INT($W678)),IFERROR(DATE(--LEFT(LEFT(SUBSTITUTE(SUBSTITUTE(SUBSTITUTE(SUBSTITUTE(TRIM($W678),"-",""),".",""),"/","")," ",""),8),4),--MID(LEFT(SUBSTITUTE(SUBSTITUTE(SUBSTITUTE(SUBSTITUTE(TRIM($W678),"-",""),".",""),"/","")," ",""),8),5,2),--MID(LEFT(SUBSTITUTE(SUBSTITUTE(SUBSTITUTE(SUBSTITUTE(TRIM($W678),"-",""),".",""),"/","")," ",""),8),7,2)),"")))</f>
        <v/>
      </c>
      <c r="Y678" s="32">
        <f>IF($X678="","",INT($X678))</f>
        <v/>
      </c>
      <c r="Z678" s="33">
        <f>IF(OR($Y678="",$D$6=""),"",IF(INDEX($A:$U,ROW(),$D$6)="",0,IF(ISNUMBER(INDEX($A:$U,ROW(),$D$6)),INDEX($A:$U,ROW(),$D$6),IFERROR(--SUBSTITUTE(SUBSTITUTE(TRIM(INDEX($A:$U,ROW(),$D$6)),",",""),"원",""),0))))</f>
        <v/>
      </c>
      <c r="AA678" s="31">
        <f>IF($Y678="","",TRIM(INDEX($A:$U,ROW(),$E$6)&amp;IF($F$6="",""," "&amp;INDEX($A:$U,ROW(),$F$6))))</f>
        <v/>
      </c>
      <c r="AB678" s="31">
        <f>IF($AA678="","",SUBSTITUTE(SUBSTITUTE(SUBSTITUTE(SUBSTITUTE(SUBSTITUTE(SUBSTITUTE(SUBSTITUTE(SUBSTITUTE(SUBSTITUTE($AA678," ",""),"　",""),"(주)",""),"（주）",""),"㈜",""),"주식회사",""),"(유)",""),"（유）",""),"유한회사",""))</f>
        <v/>
      </c>
      <c r="AC678" s="31">
        <f>IF(OR($Y678="",N($Z678)&lt;=0,$AB678=""),0,IFERROR(LOOKUP(2,1/((거래처별!$AC$8:$AC$307&lt;&gt;"")*ISNUMBER(SEARCH(거래처별!$AC$8:$AC$307,$AB678))),거래처별!$A$8:$A$307),IFERROR(LOOKUP(2,1/((거래처별!$AD$8:$AD$307&lt;&gt;"")*ISNUMBER(SEARCH(거래처별!$AD$8:$AD$307,$AB678))),거래처별!$A$8:$A$307),IFERROR(LOOKUP(2,1/((거래처별!$AE$8:$AE$307&lt;&gt;"")*ISNUMBER(SEARCH(거래처별!$AE$8:$AE$307,$AB678))),거래처별!$A$8:$A$307),0))))</f>
        <v/>
      </c>
      <c r="AD678" s="31">
        <f>IF(AND($Y678&lt;&gt;"",N($Z678)&gt;0,$AC678=0),MAX($AD$7:$AD677)+1,"")</f>
        <v/>
      </c>
      <c r="AE678" s="31">
        <f>IF($Y678="",0,$Y678)</f>
        <v/>
      </c>
    </row>
    <row r="679">
      <c r="W679" s="31">
        <f>IF(OR($B$5="",$C$6="",ROW()&lt;$B$5),"",IF(INDEX($A:$U,ROW(),$C$6)="","",INDEX($A:$U,ROW(),$C$6)))</f>
        <v/>
      </c>
      <c r="X679" s="32">
        <f>IF($W679="","",IF(ISNUMBER($W679),IF($W679&gt;=10000000,IFERROR(DATE(INT($W679/10000),MOD(INT($W679/100),100),MOD($W679,100)),""),INT($W679)),IFERROR(DATE(--LEFT(LEFT(SUBSTITUTE(SUBSTITUTE(SUBSTITUTE(SUBSTITUTE(TRIM($W679),"-",""),".",""),"/","")," ",""),8),4),--MID(LEFT(SUBSTITUTE(SUBSTITUTE(SUBSTITUTE(SUBSTITUTE(TRIM($W679),"-",""),".",""),"/","")," ",""),8),5,2),--MID(LEFT(SUBSTITUTE(SUBSTITUTE(SUBSTITUTE(SUBSTITUTE(TRIM($W679),"-",""),".",""),"/","")," ",""),8),7,2)),"")))</f>
        <v/>
      </c>
      <c r="Y679" s="32">
        <f>IF($X679="","",INT($X679))</f>
        <v/>
      </c>
      <c r="Z679" s="33">
        <f>IF(OR($Y679="",$D$6=""),"",IF(INDEX($A:$U,ROW(),$D$6)="",0,IF(ISNUMBER(INDEX($A:$U,ROW(),$D$6)),INDEX($A:$U,ROW(),$D$6),IFERROR(--SUBSTITUTE(SUBSTITUTE(TRIM(INDEX($A:$U,ROW(),$D$6)),",",""),"원",""),0))))</f>
        <v/>
      </c>
      <c r="AA679" s="31">
        <f>IF($Y679="","",TRIM(INDEX($A:$U,ROW(),$E$6)&amp;IF($F$6="",""," "&amp;INDEX($A:$U,ROW(),$F$6))))</f>
        <v/>
      </c>
      <c r="AB679" s="31">
        <f>IF($AA679="","",SUBSTITUTE(SUBSTITUTE(SUBSTITUTE(SUBSTITUTE(SUBSTITUTE(SUBSTITUTE(SUBSTITUTE(SUBSTITUTE(SUBSTITUTE($AA679," ",""),"　",""),"(주)",""),"（주）",""),"㈜",""),"주식회사",""),"(유)",""),"（유）",""),"유한회사",""))</f>
        <v/>
      </c>
      <c r="AC679" s="31">
        <f>IF(OR($Y679="",N($Z679)&lt;=0,$AB679=""),0,IFERROR(LOOKUP(2,1/((거래처별!$AC$8:$AC$307&lt;&gt;"")*ISNUMBER(SEARCH(거래처별!$AC$8:$AC$307,$AB679))),거래처별!$A$8:$A$307),IFERROR(LOOKUP(2,1/((거래처별!$AD$8:$AD$307&lt;&gt;"")*ISNUMBER(SEARCH(거래처별!$AD$8:$AD$307,$AB679))),거래처별!$A$8:$A$307),IFERROR(LOOKUP(2,1/((거래처별!$AE$8:$AE$307&lt;&gt;"")*ISNUMBER(SEARCH(거래처별!$AE$8:$AE$307,$AB679))),거래처별!$A$8:$A$307),0))))</f>
        <v/>
      </c>
      <c r="AD679" s="31">
        <f>IF(AND($Y679&lt;&gt;"",N($Z679)&gt;0,$AC679=0),MAX($AD$7:$AD678)+1,"")</f>
        <v/>
      </c>
      <c r="AE679" s="31">
        <f>IF($Y679="",0,$Y679)</f>
        <v/>
      </c>
    </row>
    <row r="680">
      <c r="W680" s="31">
        <f>IF(OR($B$5="",$C$6="",ROW()&lt;$B$5),"",IF(INDEX($A:$U,ROW(),$C$6)="","",INDEX($A:$U,ROW(),$C$6)))</f>
        <v/>
      </c>
      <c r="X680" s="32">
        <f>IF($W680="","",IF(ISNUMBER($W680),IF($W680&gt;=10000000,IFERROR(DATE(INT($W680/10000),MOD(INT($W680/100),100),MOD($W680,100)),""),INT($W680)),IFERROR(DATE(--LEFT(LEFT(SUBSTITUTE(SUBSTITUTE(SUBSTITUTE(SUBSTITUTE(TRIM($W680),"-",""),".",""),"/","")," ",""),8),4),--MID(LEFT(SUBSTITUTE(SUBSTITUTE(SUBSTITUTE(SUBSTITUTE(TRIM($W680),"-",""),".",""),"/","")," ",""),8),5,2),--MID(LEFT(SUBSTITUTE(SUBSTITUTE(SUBSTITUTE(SUBSTITUTE(TRIM($W680),"-",""),".",""),"/","")," ",""),8),7,2)),"")))</f>
        <v/>
      </c>
      <c r="Y680" s="32">
        <f>IF($X680="","",INT($X680))</f>
        <v/>
      </c>
      <c r="Z680" s="33">
        <f>IF(OR($Y680="",$D$6=""),"",IF(INDEX($A:$U,ROW(),$D$6)="",0,IF(ISNUMBER(INDEX($A:$U,ROW(),$D$6)),INDEX($A:$U,ROW(),$D$6),IFERROR(--SUBSTITUTE(SUBSTITUTE(TRIM(INDEX($A:$U,ROW(),$D$6)),",",""),"원",""),0))))</f>
        <v/>
      </c>
      <c r="AA680" s="31">
        <f>IF($Y680="","",TRIM(INDEX($A:$U,ROW(),$E$6)&amp;IF($F$6="",""," "&amp;INDEX($A:$U,ROW(),$F$6))))</f>
        <v/>
      </c>
      <c r="AB680" s="31">
        <f>IF($AA680="","",SUBSTITUTE(SUBSTITUTE(SUBSTITUTE(SUBSTITUTE(SUBSTITUTE(SUBSTITUTE(SUBSTITUTE(SUBSTITUTE(SUBSTITUTE($AA680," ",""),"　",""),"(주)",""),"（주）",""),"㈜",""),"주식회사",""),"(유)",""),"（유）",""),"유한회사",""))</f>
        <v/>
      </c>
      <c r="AC680" s="31">
        <f>IF(OR($Y680="",N($Z680)&lt;=0,$AB680=""),0,IFERROR(LOOKUP(2,1/((거래처별!$AC$8:$AC$307&lt;&gt;"")*ISNUMBER(SEARCH(거래처별!$AC$8:$AC$307,$AB680))),거래처별!$A$8:$A$307),IFERROR(LOOKUP(2,1/((거래처별!$AD$8:$AD$307&lt;&gt;"")*ISNUMBER(SEARCH(거래처별!$AD$8:$AD$307,$AB680))),거래처별!$A$8:$A$307),IFERROR(LOOKUP(2,1/((거래처별!$AE$8:$AE$307&lt;&gt;"")*ISNUMBER(SEARCH(거래처별!$AE$8:$AE$307,$AB680))),거래처별!$A$8:$A$307),0))))</f>
        <v/>
      </c>
      <c r="AD680" s="31">
        <f>IF(AND($Y680&lt;&gt;"",N($Z680)&gt;0,$AC680=0),MAX($AD$7:$AD679)+1,"")</f>
        <v/>
      </c>
      <c r="AE680" s="31">
        <f>IF($Y680="",0,$Y680)</f>
        <v/>
      </c>
    </row>
    <row r="681">
      <c r="W681" s="31">
        <f>IF(OR($B$5="",$C$6="",ROW()&lt;$B$5),"",IF(INDEX($A:$U,ROW(),$C$6)="","",INDEX($A:$U,ROW(),$C$6)))</f>
        <v/>
      </c>
      <c r="X681" s="32">
        <f>IF($W681="","",IF(ISNUMBER($W681),IF($W681&gt;=10000000,IFERROR(DATE(INT($W681/10000),MOD(INT($W681/100),100),MOD($W681,100)),""),INT($W681)),IFERROR(DATE(--LEFT(LEFT(SUBSTITUTE(SUBSTITUTE(SUBSTITUTE(SUBSTITUTE(TRIM($W681),"-",""),".",""),"/","")," ",""),8),4),--MID(LEFT(SUBSTITUTE(SUBSTITUTE(SUBSTITUTE(SUBSTITUTE(TRIM($W681),"-",""),".",""),"/","")," ",""),8),5,2),--MID(LEFT(SUBSTITUTE(SUBSTITUTE(SUBSTITUTE(SUBSTITUTE(TRIM($W681),"-",""),".",""),"/","")," ",""),8),7,2)),"")))</f>
        <v/>
      </c>
      <c r="Y681" s="32">
        <f>IF($X681="","",INT($X681))</f>
        <v/>
      </c>
      <c r="Z681" s="33">
        <f>IF(OR($Y681="",$D$6=""),"",IF(INDEX($A:$U,ROW(),$D$6)="",0,IF(ISNUMBER(INDEX($A:$U,ROW(),$D$6)),INDEX($A:$U,ROW(),$D$6),IFERROR(--SUBSTITUTE(SUBSTITUTE(TRIM(INDEX($A:$U,ROW(),$D$6)),",",""),"원",""),0))))</f>
        <v/>
      </c>
      <c r="AA681" s="31">
        <f>IF($Y681="","",TRIM(INDEX($A:$U,ROW(),$E$6)&amp;IF($F$6="",""," "&amp;INDEX($A:$U,ROW(),$F$6))))</f>
        <v/>
      </c>
      <c r="AB681" s="31">
        <f>IF($AA681="","",SUBSTITUTE(SUBSTITUTE(SUBSTITUTE(SUBSTITUTE(SUBSTITUTE(SUBSTITUTE(SUBSTITUTE(SUBSTITUTE(SUBSTITUTE($AA681," ",""),"　",""),"(주)",""),"（주）",""),"㈜",""),"주식회사",""),"(유)",""),"（유）",""),"유한회사",""))</f>
        <v/>
      </c>
      <c r="AC681" s="31">
        <f>IF(OR($Y681="",N($Z681)&lt;=0,$AB681=""),0,IFERROR(LOOKUP(2,1/((거래처별!$AC$8:$AC$307&lt;&gt;"")*ISNUMBER(SEARCH(거래처별!$AC$8:$AC$307,$AB681))),거래처별!$A$8:$A$307),IFERROR(LOOKUP(2,1/((거래처별!$AD$8:$AD$307&lt;&gt;"")*ISNUMBER(SEARCH(거래처별!$AD$8:$AD$307,$AB681))),거래처별!$A$8:$A$307),IFERROR(LOOKUP(2,1/((거래처별!$AE$8:$AE$307&lt;&gt;"")*ISNUMBER(SEARCH(거래처별!$AE$8:$AE$307,$AB681))),거래처별!$A$8:$A$307),0))))</f>
        <v/>
      </c>
      <c r="AD681" s="31">
        <f>IF(AND($Y681&lt;&gt;"",N($Z681)&gt;0,$AC681=0),MAX($AD$7:$AD680)+1,"")</f>
        <v/>
      </c>
      <c r="AE681" s="31">
        <f>IF($Y681="",0,$Y681)</f>
        <v/>
      </c>
    </row>
    <row r="682">
      <c r="W682" s="31">
        <f>IF(OR($B$5="",$C$6="",ROW()&lt;$B$5),"",IF(INDEX($A:$U,ROW(),$C$6)="","",INDEX($A:$U,ROW(),$C$6)))</f>
        <v/>
      </c>
      <c r="X682" s="32">
        <f>IF($W682="","",IF(ISNUMBER($W682),IF($W682&gt;=10000000,IFERROR(DATE(INT($W682/10000),MOD(INT($W682/100),100),MOD($W682,100)),""),INT($W682)),IFERROR(DATE(--LEFT(LEFT(SUBSTITUTE(SUBSTITUTE(SUBSTITUTE(SUBSTITUTE(TRIM($W682),"-",""),".",""),"/","")," ",""),8),4),--MID(LEFT(SUBSTITUTE(SUBSTITUTE(SUBSTITUTE(SUBSTITUTE(TRIM($W682),"-",""),".",""),"/","")," ",""),8),5,2),--MID(LEFT(SUBSTITUTE(SUBSTITUTE(SUBSTITUTE(SUBSTITUTE(TRIM($W682),"-",""),".",""),"/","")," ",""),8),7,2)),"")))</f>
        <v/>
      </c>
      <c r="Y682" s="32">
        <f>IF($X682="","",INT($X682))</f>
        <v/>
      </c>
      <c r="Z682" s="33">
        <f>IF(OR($Y682="",$D$6=""),"",IF(INDEX($A:$U,ROW(),$D$6)="",0,IF(ISNUMBER(INDEX($A:$U,ROW(),$D$6)),INDEX($A:$U,ROW(),$D$6),IFERROR(--SUBSTITUTE(SUBSTITUTE(TRIM(INDEX($A:$U,ROW(),$D$6)),",",""),"원",""),0))))</f>
        <v/>
      </c>
      <c r="AA682" s="31">
        <f>IF($Y682="","",TRIM(INDEX($A:$U,ROW(),$E$6)&amp;IF($F$6="",""," "&amp;INDEX($A:$U,ROW(),$F$6))))</f>
        <v/>
      </c>
      <c r="AB682" s="31">
        <f>IF($AA682="","",SUBSTITUTE(SUBSTITUTE(SUBSTITUTE(SUBSTITUTE(SUBSTITUTE(SUBSTITUTE(SUBSTITUTE(SUBSTITUTE(SUBSTITUTE($AA682," ",""),"　",""),"(주)",""),"（주）",""),"㈜",""),"주식회사",""),"(유)",""),"（유）",""),"유한회사",""))</f>
        <v/>
      </c>
      <c r="AC682" s="31">
        <f>IF(OR($Y682="",N($Z682)&lt;=0,$AB682=""),0,IFERROR(LOOKUP(2,1/((거래처별!$AC$8:$AC$307&lt;&gt;"")*ISNUMBER(SEARCH(거래처별!$AC$8:$AC$307,$AB682))),거래처별!$A$8:$A$307),IFERROR(LOOKUP(2,1/((거래처별!$AD$8:$AD$307&lt;&gt;"")*ISNUMBER(SEARCH(거래처별!$AD$8:$AD$307,$AB682))),거래처별!$A$8:$A$307),IFERROR(LOOKUP(2,1/((거래처별!$AE$8:$AE$307&lt;&gt;"")*ISNUMBER(SEARCH(거래처별!$AE$8:$AE$307,$AB682))),거래처별!$A$8:$A$307),0))))</f>
        <v/>
      </c>
      <c r="AD682" s="31">
        <f>IF(AND($Y682&lt;&gt;"",N($Z682)&gt;0,$AC682=0),MAX($AD$7:$AD681)+1,"")</f>
        <v/>
      </c>
      <c r="AE682" s="31">
        <f>IF($Y682="",0,$Y682)</f>
        <v/>
      </c>
    </row>
    <row r="683">
      <c r="W683" s="31">
        <f>IF(OR($B$5="",$C$6="",ROW()&lt;$B$5),"",IF(INDEX($A:$U,ROW(),$C$6)="","",INDEX($A:$U,ROW(),$C$6)))</f>
        <v/>
      </c>
      <c r="X683" s="32">
        <f>IF($W683="","",IF(ISNUMBER($W683),IF($W683&gt;=10000000,IFERROR(DATE(INT($W683/10000),MOD(INT($W683/100),100),MOD($W683,100)),""),INT($W683)),IFERROR(DATE(--LEFT(LEFT(SUBSTITUTE(SUBSTITUTE(SUBSTITUTE(SUBSTITUTE(TRIM($W683),"-",""),".",""),"/","")," ",""),8),4),--MID(LEFT(SUBSTITUTE(SUBSTITUTE(SUBSTITUTE(SUBSTITUTE(TRIM($W683),"-",""),".",""),"/","")," ",""),8),5,2),--MID(LEFT(SUBSTITUTE(SUBSTITUTE(SUBSTITUTE(SUBSTITUTE(TRIM($W683),"-",""),".",""),"/","")," ",""),8),7,2)),"")))</f>
        <v/>
      </c>
      <c r="Y683" s="32">
        <f>IF($X683="","",INT($X683))</f>
        <v/>
      </c>
      <c r="Z683" s="33">
        <f>IF(OR($Y683="",$D$6=""),"",IF(INDEX($A:$U,ROW(),$D$6)="",0,IF(ISNUMBER(INDEX($A:$U,ROW(),$D$6)),INDEX($A:$U,ROW(),$D$6),IFERROR(--SUBSTITUTE(SUBSTITUTE(TRIM(INDEX($A:$U,ROW(),$D$6)),",",""),"원",""),0))))</f>
        <v/>
      </c>
      <c r="AA683" s="31">
        <f>IF($Y683="","",TRIM(INDEX($A:$U,ROW(),$E$6)&amp;IF($F$6="",""," "&amp;INDEX($A:$U,ROW(),$F$6))))</f>
        <v/>
      </c>
      <c r="AB683" s="31">
        <f>IF($AA683="","",SUBSTITUTE(SUBSTITUTE(SUBSTITUTE(SUBSTITUTE(SUBSTITUTE(SUBSTITUTE(SUBSTITUTE(SUBSTITUTE(SUBSTITUTE($AA683," ",""),"　",""),"(주)",""),"（주）",""),"㈜",""),"주식회사",""),"(유)",""),"（유）",""),"유한회사",""))</f>
        <v/>
      </c>
      <c r="AC683" s="31">
        <f>IF(OR($Y683="",N($Z683)&lt;=0,$AB683=""),0,IFERROR(LOOKUP(2,1/((거래처별!$AC$8:$AC$307&lt;&gt;"")*ISNUMBER(SEARCH(거래처별!$AC$8:$AC$307,$AB683))),거래처별!$A$8:$A$307),IFERROR(LOOKUP(2,1/((거래처별!$AD$8:$AD$307&lt;&gt;"")*ISNUMBER(SEARCH(거래처별!$AD$8:$AD$307,$AB683))),거래처별!$A$8:$A$307),IFERROR(LOOKUP(2,1/((거래처별!$AE$8:$AE$307&lt;&gt;"")*ISNUMBER(SEARCH(거래처별!$AE$8:$AE$307,$AB683))),거래처별!$A$8:$A$307),0))))</f>
        <v/>
      </c>
      <c r="AD683" s="31">
        <f>IF(AND($Y683&lt;&gt;"",N($Z683)&gt;0,$AC683=0),MAX($AD$7:$AD682)+1,"")</f>
        <v/>
      </c>
      <c r="AE683" s="31">
        <f>IF($Y683="",0,$Y683)</f>
        <v/>
      </c>
    </row>
    <row r="684">
      <c r="W684" s="31">
        <f>IF(OR($B$5="",$C$6="",ROW()&lt;$B$5),"",IF(INDEX($A:$U,ROW(),$C$6)="","",INDEX($A:$U,ROW(),$C$6)))</f>
        <v/>
      </c>
      <c r="X684" s="32">
        <f>IF($W684="","",IF(ISNUMBER($W684),IF($W684&gt;=10000000,IFERROR(DATE(INT($W684/10000),MOD(INT($W684/100),100),MOD($W684,100)),""),INT($W684)),IFERROR(DATE(--LEFT(LEFT(SUBSTITUTE(SUBSTITUTE(SUBSTITUTE(SUBSTITUTE(TRIM($W684),"-",""),".",""),"/","")," ",""),8),4),--MID(LEFT(SUBSTITUTE(SUBSTITUTE(SUBSTITUTE(SUBSTITUTE(TRIM($W684),"-",""),".",""),"/","")," ",""),8),5,2),--MID(LEFT(SUBSTITUTE(SUBSTITUTE(SUBSTITUTE(SUBSTITUTE(TRIM($W684),"-",""),".",""),"/","")," ",""),8),7,2)),"")))</f>
        <v/>
      </c>
      <c r="Y684" s="32">
        <f>IF($X684="","",INT($X684))</f>
        <v/>
      </c>
      <c r="Z684" s="33">
        <f>IF(OR($Y684="",$D$6=""),"",IF(INDEX($A:$U,ROW(),$D$6)="",0,IF(ISNUMBER(INDEX($A:$U,ROW(),$D$6)),INDEX($A:$U,ROW(),$D$6),IFERROR(--SUBSTITUTE(SUBSTITUTE(TRIM(INDEX($A:$U,ROW(),$D$6)),",",""),"원",""),0))))</f>
        <v/>
      </c>
      <c r="AA684" s="31">
        <f>IF($Y684="","",TRIM(INDEX($A:$U,ROW(),$E$6)&amp;IF($F$6="",""," "&amp;INDEX($A:$U,ROW(),$F$6))))</f>
        <v/>
      </c>
      <c r="AB684" s="31">
        <f>IF($AA684="","",SUBSTITUTE(SUBSTITUTE(SUBSTITUTE(SUBSTITUTE(SUBSTITUTE(SUBSTITUTE(SUBSTITUTE(SUBSTITUTE(SUBSTITUTE($AA684," ",""),"　",""),"(주)",""),"（주）",""),"㈜",""),"주식회사",""),"(유)",""),"（유）",""),"유한회사",""))</f>
        <v/>
      </c>
      <c r="AC684" s="31">
        <f>IF(OR($Y684="",N($Z684)&lt;=0,$AB684=""),0,IFERROR(LOOKUP(2,1/((거래처별!$AC$8:$AC$307&lt;&gt;"")*ISNUMBER(SEARCH(거래처별!$AC$8:$AC$307,$AB684))),거래처별!$A$8:$A$307),IFERROR(LOOKUP(2,1/((거래처별!$AD$8:$AD$307&lt;&gt;"")*ISNUMBER(SEARCH(거래처별!$AD$8:$AD$307,$AB684))),거래처별!$A$8:$A$307),IFERROR(LOOKUP(2,1/((거래처별!$AE$8:$AE$307&lt;&gt;"")*ISNUMBER(SEARCH(거래처별!$AE$8:$AE$307,$AB684))),거래처별!$A$8:$A$307),0))))</f>
        <v/>
      </c>
      <c r="AD684" s="31">
        <f>IF(AND($Y684&lt;&gt;"",N($Z684)&gt;0,$AC684=0),MAX($AD$7:$AD683)+1,"")</f>
        <v/>
      </c>
      <c r="AE684" s="31">
        <f>IF($Y684="",0,$Y684)</f>
        <v/>
      </c>
    </row>
    <row r="685">
      <c r="W685" s="31">
        <f>IF(OR($B$5="",$C$6="",ROW()&lt;$B$5),"",IF(INDEX($A:$U,ROW(),$C$6)="","",INDEX($A:$U,ROW(),$C$6)))</f>
        <v/>
      </c>
      <c r="X685" s="32">
        <f>IF($W685="","",IF(ISNUMBER($W685),IF($W685&gt;=10000000,IFERROR(DATE(INT($W685/10000),MOD(INT($W685/100),100),MOD($W685,100)),""),INT($W685)),IFERROR(DATE(--LEFT(LEFT(SUBSTITUTE(SUBSTITUTE(SUBSTITUTE(SUBSTITUTE(TRIM($W685),"-",""),".",""),"/","")," ",""),8),4),--MID(LEFT(SUBSTITUTE(SUBSTITUTE(SUBSTITUTE(SUBSTITUTE(TRIM($W685),"-",""),".",""),"/","")," ",""),8),5,2),--MID(LEFT(SUBSTITUTE(SUBSTITUTE(SUBSTITUTE(SUBSTITUTE(TRIM($W685),"-",""),".",""),"/","")," ",""),8),7,2)),"")))</f>
        <v/>
      </c>
      <c r="Y685" s="32">
        <f>IF($X685="","",INT($X685))</f>
        <v/>
      </c>
      <c r="Z685" s="33">
        <f>IF(OR($Y685="",$D$6=""),"",IF(INDEX($A:$U,ROW(),$D$6)="",0,IF(ISNUMBER(INDEX($A:$U,ROW(),$D$6)),INDEX($A:$U,ROW(),$D$6),IFERROR(--SUBSTITUTE(SUBSTITUTE(TRIM(INDEX($A:$U,ROW(),$D$6)),",",""),"원",""),0))))</f>
        <v/>
      </c>
      <c r="AA685" s="31">
        <f>IF($Y685="","",TRIM(INDEX($A:$U,ROW(),$E$6)&amp;IF($F$6="",""," "&amp;INDEX($A:$U,ROW(),$F$6))))</f>
        <v/>
      </c>
      <c r="AB685" s="31">
        <f>IF($AA685="","",SUBSTITUTE(SUBSTITUTE(SUBSTITUTE(SUBSTITUTE(SUBSTITUTE(SUBSTITUTE(SUBSTITUTE(SUBSTITUTE(SUBSTITUTE($AA685," ",""),"　",""),"(주)",""),"（주）",""),"㈜",""),"주식회사",""),"(유)",""),"（유）",""),"유한회사",""))</f>
        <v/>
      </c>
      <c r="AC685" s="31">
        <f>IF(OR($Y685="",N($Z685)&lt;=0,$AB685=""),0,IFERROR(LOOKUP(2,1/((거래처별!$AC$8:$AC$307&lt;&gt;"")*ISNUMBER(SEARCH(거래처별!$AC$8:$AC$307,$AB685))),거래처별!$A$8:$A$307),IFERROR(LOOKUP(2,1/((거래처별!$AD$8:$AD$307&lt;&gt;"")*ISNUMBER(SEARCH(거래처별!$AD$8:$AD$307,$AB685))),거래처별!$A$8:$A$307),IFERROR(LOOKUP(2,1/((거래처별!$AE$8:$AE$307&lt;&gt;"")*ISNUMBER(SEARCH(거래처별!$AE$8:$AE$307,$AB685))),거래처별!$A$8:$A$307),0))))</f>
        <v/>
      </c>
      <c r="AD685" s="31">
        <f>IF(AND($Y685&lt;&gt;"",N($Z685)&gt;0,$AC685=0),MAX($AD$7:$AD684)+1,"")</f>
        <v/>
      </c>
      <c r="AE685" s="31">
        <f>IF($Y685="",0,$Y685)</f>
        <v/>
      </c>
    </row>
    <row r="686">
      <c r="W686" s="31">
        <f>IF(OR($B$5="",$C$6="",ROW()&lt;$B$5),"",IF(INDEX($A:$U,ROW(),$C$6)="","",INDEX($A:$U,ROW(),$C$6)))</f>
        <v/>
      </c>
      <c r="X686" s="32">
        <f>IF($W686="","",IF(ISNUMBER($W686),IF($W686&gt;=10000000,IFERROR(DATE(INT($W686/10000),MOD(INT($W686/100),100),MOD($W686,100)),""),INT($W686)),IFERROR(DATE(--LEFT(LEFT(SUBSTITUTE(SUBSTITUTE(SUBSTITUTE(SUBSTITUTE(TRIM($W686),"-",""),".",""),"/","")," ",""),8),4),--MID(LEFT(SUBSTITUTE(SUBSTITUTE(SUBSTITUTE(SUBSTITUTE(TRIM($W686),"-",""),".",""),"/","")," ",""),8),5,2),--MID(LEFT(SUBSTITUTE(SUBSTITUTE(SUBSTITUTE(SUBSTITUTE(TRIM($W686),"-",""),".",""),"/","")," ",""),8),7,2)),"")))</f>
        <v/>
      </c>
      <c r="Y686" s="32">
        <f>IF($X686="","",INT($X686))</f>
        <v/>
      </c>
      <c r="Z686" s="33">
        <f>IF(OR($Y686="",$D$6=""),"",IF(INDEX($A:$U,ROW(),$D$6)="",0,IF(ISNUMBER(INDEX($A:$U,ROW(),$D$6)),INDEX($A:$U,ROW(),$D$6),IFERROR(--SUBSTITUTE(SUBSTITUTE(TRIM(INDEX($A:$U,ROW(),$D$6)),",",""),"원",""),0))))</f>
        <v/>
      </c>
      <c r="AA686" s="31">
        <f>IF($Y686="","",TRIM(INDEX($A:$U,ROW(),$E$6)&amp;IF($F$6="",""," "&amp;INDEX($A:$U,ROW(),$F$6))))</f>
        <v/>
      </c>
      <c r="AB686" s="31">
        <f>IF($AA686="","",SUBSTITUTE(SUBSTITUTE(SUBSTITUTE(SUBSTITUTE(SUBSTITUTE(SUBSTITUTE(SUBSTITUTE(SUBSTITUTE(SUBSTITUTE($AA686," ",""),"　",""),"(주)",""),"（주）",""),"㈜",""),"주식회사",""),"(유)",""),"（유）",""),"유한회사",""))</f>
        <v/>
      </c>
      <c r="AC686" s="31">
        <f>IF(OR($Y686="",N($Z686)&lt;=0,$AB686=""),0,IFERROR(LOOKUP(2,1/((거래처별!$AC$8:$AC$307&lt;&gt;"")*ISNUMBER(SEARCH(거래처별!$AC$8:$AC$307,$AB686))),거래처별!$A$8:$A$307),IFERROR(LOOKUP(2,1/((거래처별!$AD$8:$AD$307&lt;&gt;"")*ISNUMBER(SEARCH(거래처별!$AD$8:$AD$307,$AB686))),거래처별!$A$8:$A$307),IFERROR(LOOKUP(2,1/((거래처별!$AE$8:$AE$307&lt;&gt;"")*ISNUMBER(SEARCH(거래처별!$AE$8:$AE$307,$AB686))),거래처별!$A$8:$A$307),0))))</f>
        <v/>
      </c>
      <c r="AD686" s="31">
        <f>IF(AND($Y686&lt;&gt;"",N($Z686)&gt;0,$AC686=0),MAX($AD$7:$AD685)+1,"")</f>
        <v/>
      </c>
      <c r="AE686" s="31">
        <f>IF($Y686="",0,$Y686)</f>
        <v/>
      </c>
    </row>
    <row r="687">
      <c r="W687" s="31">
        <f>IF(OR($B$5="",$C$6="",ROW()&lt;$B$5),"",IF(INDEX($A:$U,ROW(),$C$6)="","",INDEX($A:$U,ROW(),$C$6)))</f>
        <v/>
      </c>
      <c r="X687" s="32">
        <f>IF($W687="","",IF(ISNUMBER($W687),IF($W687&gt;=10000000,IFERROR(DATE(INT($W687/10000),MOD(INT($W687/100),100),MOD($W687,100)),""),INT($W687)),IFERROR(DATE(--LEFT(LEFT(SUBSTITUTE(SUBSTITUTE(SUBSTITUTE(SUBSTITUTE(TRIM($W687),"-",""),".",""),"/","")," ",""),8),4),--MID(LEFT(SUBSTITUTE(SUBSTITUTE(SUBSTITUTE(SUBSTITUTE(TRIM($W687),"-",""),".",""),"/","")," ",""),8),5,2),--MID(LEFT(SUBSTITUTE(SUBSTITUTE(SUBSTITUTE(SUBSTITUTE(TRIM($W687),"-",""),".",""),"/","")," ",""),8),7,2)),"")))</f>
        <v/>
      </c>
      <c r="Y687" s="32">
        <f>IF($X687="","",INT($X687))</f>
        <v/>
      </c>
      <c r="Z687" s="33">
        <f>IF(OR($Y687="",$D$6=""),"",IF(INDEX($A:$U,ROW(),$D$6)="",0,IF(ISNUMBER(INDEX($A:$U,ROW(),$D$6)),INDEX($A:$U,ROW(),$D$6),IFERROR(--SUBSTITUTE(SUBSTITUTE(TRIM(INDEX($A:$U,ROW(),$D$6)),",",""),"원",""),0))))</f>
        <v/>
      </c>
      <c r="AA687" s="31">
        <f>IF($Y687="","",TRIM(INDEX($A:$U,ROW(),$E$6)&amp;IF($F$6="",""," "&amp;INDEX($A:$U,ROW(),$F$6))))</f>
        <v/>
      </c>
      <c r="AB687" s="31">
        <f>IF($AA687="","",SUBSTITUTE(SUBSTITUTE(SUBSTITUTE(SUBSTITUTE(SUBSTITUTE(SUBSTITUTE(SUBSTITUTE(SUBSTITUTE(SUBSTITUTE($AA687," ",""),"　",""),"(주)",""),"（주）",""),"㈜",""),"주식회사",""),"(유)",""),"（유）",""),"유한회사",""))</f>
        <v/>
      </c>
      <c r="AC687" s="31">
        <f>IF(OR($Y687="",N($Z687)&lt;=0,$AB687=""),0,IFERROR(LOOKUP(2,1/((거래처별!$AC$8:$AC$307&lt;&gt;"")*ISNUMBER(SEARCH(거래처별!$AC$8:$AC$307,$AB687))),거래처별!$A$8:$A$307),IFERROR(LOOKUP(2,1/((거래처별!$AD$8:$AD$307&lt;&gt;"")*ISNUMBER(SEARCH(거래처별!$AD$8:$AD$307,$AB687))),거래처별!$A$8:$A$307),IFERROR(LOOKUP(2,1/((거래처별!$AE$8:$AE$307&lt;&gt;"")*ISNUMBER(SEARCH(거래처별!$AE$8:$AE$307,$AB687))),거래처별!$A$8:$A$307),0))))</f>
        <v/>
      </c>
      <c r="AD687" s="31">
        <f>IF(AND($Y687&lt;&gt;"",N($Z687)&gt;0,$AC687=0),MAX($AD$7:$AD686)+1,"")</f>
        <v/>
      </c>
      <c r="AE687" s="31">
        <f>IF($Y687="",0,$Y687)</f>
        <v/>
      </c>
    </row>
    <row r="688">
      <c r="W688" s="31">
        <f>IF(OR($B$5="",$C$6="",ROW()&lt;$B$5),"",IF(INDEX($A:$U,ROW(),$C$6)="","",INDEX($A:$U,ROW(),$C$6)))</f>
        <v/>
      </c>
      <c r="X688" s="32">
        <f>IF($W688="","",IF(ISNUMBER($W688),IF($W688&gt;=10000000,IFERROR(DATE(INT($W688/10000),MOD(INT($W688/100),100),MOD($W688,100)),""),INT($W688)),IFERROR(DATE(--LEFT(LEFT(SUBSTITUTE(SUBSTITUTE(SUBSTITUTE(SUBSTITUTE(TRIM($W688),"-",""),".",""),"/","")," ",""),8),4),--MID(LEFT(SUBSTITUTE(SUBSTITUTE(SUBSTITUTE(SUBSTITUTE(TRIM($W688),"-",""),".",""),"/","")," ",""),8),5,2),--MID(LEFT(SUBSTITUTE(SUBSTITUTE(SUBSTITUTE(SUBSTITUTE(TRIM($W688),"-",""),".",""),"/","")," ",""),8),7,2)),"")))</f>
        <v/>
      </c>
      <c r="Y688" s="32">
        <f>IF($X688="","",INT($X688))</f>
        <v/>
      </c>
      <c r="Z688" s="33">
        <f>IF(OR($Y688="",$D$6=""),"",IF(INDEX($A:$U,ROW(),$D$6)="",0,IF(ISNUMBER(INDEX($A:$U,ROW(),$D$6)),INDEX($A:$U,ROW(),$D$6),IFERROR(--SUBSTITUTE(SUBSTITUTE(TRIM(INDEX($A:$U,ROW(),$D$6)),",",""),"원",""),0))))</f>
        <v/>
      </c>
      <c r="AA688" s="31">
        <f>IF($Y688="","",TRIM(INDEX($A:$U,ROW(),$E$6)&amp;IF($F$6="",""," "&amp;INDEX($A:$U,ROW(),$F$6))))</f>
        <v/>
      </c>
      <c r="AB688" s="31">
        <f>IF($AA688="","",SUBSTITUTE(SUBSTITUTE(SUBSTITUTE(SUBSTITUTE(SUBSTITUTE(SUBSTITUTE(SUBSTITUTE(SUBSTITUTE(SUBSTITUTE($AA688," ",""),"　",""),"(주)",""),"（주）",""),"㈜",""),"주식회사",""),"(유)",""),"（유）",""),"유한회사",""))</f>
        <v/>
      </c>
      <c r="AC688" s="31">
        <f>IF(OR($Y688="",N($Z688)&lt;=0,$AB688=""),0,IFERROR(LOOKUP(2,1/((거래처별!$AC$8:$AC$307&lt;&gt;"")*ISNUMBER(SEARCH(거래처별!$AC$8:$AC$307,$AB688))),거래처별!$A$8:$A$307),IFERROR(LOOKUP(2,1/((거래처별!$AD$8:$AD$307&lt;&gt;"")*ISNUMBER(SEARCH(거래처별!$AD$8:$AD$307,$AB688))),거래처별!$A$8:$A$307),IFERROR(LOOKUP(2,1/((거래처별!$AE$8:$AE$307&lt;&gt;"")*ISNUMBER(SEARCH(거래처별!$AE$8:$AE$307,$AB688))),거래처별!$A$8:$A$307),0))))</f>
        <v/>
      </c>
      <c r="AD688" s="31">
        <f>IF(AND($Y688&lt;&gt;"",N($Z688)&gt;0,$AC688=0),MAX($AD$7:$AD687)+1,"")</f>
        <v/>
      </c>
      <c r="AE688" s="31">
        <f>IF($Y688="",0,$Y688)</f>
        <v/>
      </c>
    </row>
    <row r="689">
      <c r="W689" s="31">
        <f>IF(OR($B$5="",$C$6="",ROW()&lt;$B$5),"",IF(INDEX($A:$U,ROW(),$C$6)="","",INDEX($A:$U,ROW(),$C$6)))</f>
        <v/>
      </c>
      <c r="X689" s="32">
        <f>IF($W689="","",IF(ISNUMBER($W689),IF($W689&gt;=10000000,IFERROR(DATE(INT($W689/10000),MOD(INT($W689/100),100),MOD($W689,100)),""),INT($W689)),IFERROR(DATE(--LEFT(LEFT(SUBSTITUTE(SUBSTITUTE(SUBSTITUTE(SUBSTITUTE(TRIM($W689),"-",""),".",""),"/","")," ",""),8),4),--MID(LEFT(SUBSTITUTE(SUBSTITUTE(SUBSTITUTE(SUBSTITUTE(TRIM($W689),"-",""),".",""),"/","")," ",""),8),5,2),--MID(LEFT(SUBSTITUTE(SUBSTITUTE(SUBSTITUTE(SUBSTITUTE(TRIM($W689),"-",""),".",""),"/","")," ",""),8),7,2)),"")))</f>
        <v/>
      </c>
      <c r="Y689" s="32">
        <f>IF($X689="","",INT($X689))</f>
        <v/>
      </c>
      <c r="Z689" s="33">
        <f>IF(OR($Y689="",$D$6=""),"",IF(INDEX($A:$U,ROW(),$D$6)="",0,IF(ISNUMBER(INDEX($A:$U,ROW(),$D$6)),INDEX($A:$U,ROW(),$D$6),IFERROR(--SUBSTITUTE(SUBSTITUTE(TRIM(INDEX($A:$U,ROW(),$D$6)),",",""),"원",""),0))))</f>
        <v/>
      </c>
      <c r="AA689" s="31">
        <f>IF($Y689="","",TRIM(INDEX($A:$U,ROW(),$E$6)&amp;IF($F$6="",""," "&amp;INDEX($A:$U,ROW(),$F$6))))</f>
        <v/>
      </c>
      <c r="AB689" s="31">
        <f>IF($AA689="","",SUBSTITUTE(SUBSTITUTE(SUBSTITUTE(SUBSTITUTE(SUBSTITUTE(SUBSTITUTE(SUBSTITUTE(SUBSTITUTE(SUBSTITUTE($AA689," ",""),"　",""),"(주)",""),"（주）",""),"㈜",""),"주식회사",""),"(유)",""),"（유）",""),"유한회사",""))</f>
        <v/>
      </c>
      <c r="AC689" s="31">
        <f>IF(OR($Y689="",N($Z689)&lt;=0,$AB689=""),0,IFERROR(LOOKUP(2,1/((거래처별!$AC$8:$AC$307&lt;&gt;"")*ISNUMBER(SEARCH(거래처별!$AC$8:$AC$307,$AB689))),거래처별!$A$8:$A$307),IFERROR(LOOKUP(2,1/((거래처별!$AD$8:$AD$307&lt;&gt;"")*ISNUMBER(SEARCH(거래처별!$AD$8:$AD$307,$AB689))),거래처별!$A$8:$A$307),IFERROR(LOOKUP(2,1/((거래처별!$AE$8:$AE$307&lt;&gt;"")*ISNUMBER(SEARCH(거래처별!$AE$8:$AE$307,$AB689))),거래처별!$A$8:$A$307),0))))</f>
        <v/>
      </c>
      <c r="AD689" s="31">
        <f>IF(AND($Y689&lt;&gt;"",N($Z689)&gt;0,$AC689=0),MAX($AD$7:$AD688)+1,"")</f>
        <v/>
      </c>
      <c r="AE689" s="31">
        <f>IF($Y689="",0,$Y689)</f>
        <v/>
      </c>
    </row>
    <row r="690">
      <c r="W690" s="31">
        <f>IF(OR($B$5="",$C$6="",ROW()&lt;$B$5),"",IF(INDEX($A:$U,ROW(),$C$6)="","",INDEX($A:$U,ROW(),$C$6)))</f>
        <v/>
      </c>
      <c r="X690" s="32">
        <f>IF($W690="","",IF(ISNUMBER($W690),IF($W690&gt;=10000000,IFERROR(DATE(INT($W690/10000),MOD(INT($W690/100),100),MOD($W690,100)),""),INT($W690)),IFERROR(DATE(--LEFT(LEFT(SUBSTITUTE(SUBSTITUTE(SUBSTITUTE(SUBSTITUTE(TRIM($W690),"-",""),".",""),"/","")," ",""),8),4),--MID(LEFT(SUBSTITUTE(SUBSTITUTE(SUBSTITUTE(SUBSTITUTE(TRIM($W690),"-",""),".",""),"/","")," ",""),8),5,2),--MID(LEFT(SUBSTITUTE(SUBSTITUTE(SUBSTITUTE(SUBSTITUTE(TRIM($W690),"-",""),".",""),"/","")," ",""),8),7,2)),"")))</f>
        <v/>
      </c>
      <c r="Y690" s="32">
        <f>IF($X690="","",INT($X690))</f>
        <v/>
      </c>
      <c r="Z690" s="33">
        <f>IF(OR($Y690="",$D$6=""),"",IF(INDEX($A:$U,ROW(),$D$6)="",0,IF(ISNUMBER(INDEX($A:$U,ROW(),$D$6)),INDEX($A:$U,ROW(),$D$6),IFERROR(--SUBSTITUTE(SUBSTITUTE(TRIM(INDEX($A:$U,ROW(),$D$6)),",",""),"원",""),0))))</f>
        <v/>
      </c>
      <c r="AA690" s="31">
        <f>IF($Y690="","",TRIM(INDEX($A:$U,ROW(),$E$6)&amp;IF($F$6="",""," "&amp;INDEX($A:$U,ROW(),$F$6))))</f>
        <v/>
      </c>
      <c r="AB690" s="31">
        <f>IF($AA690="","",SUBSTITUTE(SUBSTITUTE(SUBSTITUTE(SUBSTITUTE(SUBSTITUTE(SUBSTITUTE(SUBSTITUTE(SUBSTITUTE(SUBSTITUTE($AA690," ",""),"　",""),"(주)",""),"（주）",""),"㈜",""),"주식회사",""),"(유)",""),"（유）",""),"유한회사",""))</f>
        <v/>
      </c>
      <c r="AC690" s="31">
        <f>IF(OR($Y690="",N($Z690)&lt;=0,$AB690=""),0,IFERROR(LOOKUP(2,1/((거래처별!$AC$8:$AC$307&lt;&gt;"")*ISNUMBER(SEARCH(거래처별!$AC$8:$AC$307,$AB690))),거래처별!$A$8:$A$307),IFERROR(LOOKUP(2,1/((거래처별!$AD$8:$AD$307&lt;&gt;"")*ISNUMBER(SEARCH(거래처별!$AD$8:$AD$307,$AB690))),거래처별!$A$8:$A$307),IFERROR(LOOKUP(2,1/((거래처별!$AE$8:$AE$307&lt;&gt;"")*ISNUMBER(SEARCH(거래처별!$AE$8:$AE$307,$AB690))),거래처별!$A$8:$A$307),0))))</f>
        <v/>
      </c>
      <c r="AD690" s="31">
        <f>IF(AND($Y690&lt;&gt;"",N($Z690)&gt;0,$AC690=0),MAX($AD$7:$AD689)+1,"")</f>
        <v/>
      </c>
      <c r="AE690" s="31">
        <f>IF($Y690="",0,$Y690)</f>
        <v/>
      </c>
    </row>
    <row r="691">
      <c r="W691" s="31">
        <f>IF(OR($B$5="",$C$6="",ROW()&lt;$B$5),"",IF(INDEX($A:$U,ROW(),$C$6)="","",INDEX($A:$U,ROW(),$C$6)))</f>
        <v/>
      </c>
      <c r="X691" s="32">
        <f>IF($W691="","",IF(ISNUMBER($W691),IF($W691&gt;=10000000,IFERROR(DATE(INT($W691/10000),MOD(INT($W691/100),100),MOD($W691,100)),""),INT($W691)),IFERROR(DATE(--LEFT(LEFT(SUBSTITUTE(SUBSTITUTE(SUBSTITUTE(SUBSTITUTE(TRIM($W691),"-",""),".",""),"/","")," ",""),8),4),--MID(LEFT(SUBSTITUTE(SUBSTITUTE(SUBSTITUTE(SUBSTITUTE(TRIM($W691),"-",""),".",""),"/","")," ",""),8),5,2),--MID(LEFT(SUBSTITUTE(SUBSTITUTE(SUBSTITUTE(SUBSTITUTE(TRIM($W691),"-",""),".",""),"/","")," ",""),8),7,2)),"")))</f>
        <v/>
      </c>
      <c r="Y691" s="32">
        <f>IF($X691="","",INT($X691))</f>
        <v/>
      </c>
      <c r="Z691" s="33">
        <f>IF(OR($Y691="",$D$6=""),"",IF(INDEX($A:$U,ROW(),$D$6)="",0,IF(ISNUMBER(INDEX($A:$U,ROW(),$D$6)),INDEX($A:$U,ROW(),$D$6),IFERROR(--SUBSTITUTE(SUBSTITUTE(TRIM(INDEX($A:$U,ROW(),$D$6)),",",""),"원",""),0))))</f>
        <v/>
      </c>
      <c r="AA691" s="31">
        <f>IF($Y691="","",TRIM(INDEX($A:$U,ROW(),$E$6)&amp;IF($F$6="",""," "&amp;INDEX($A:$U,ROW(),$F$6))))</f>
        <v/>
      </c>
      <c r="AB691" s="31">
        <f>IF($AA691="","",SUBSTITUTE(SUBSTITUTE(SUBSTITUTE(SUBSTITUTE(SUBSTITUTE(SUBSTITUTE(SUBSTITUTE(SUBSTITUTE(SUBSTITUTE($AA691," ",""),"　",""),"(주)",""),"（주）",""),"㈜",""),"주식회사",""),"(유)",""),"（유）",""),"유한회사",""))</f>
        <v/>
      </c>
      <c r="AC691" s="31">
        <f>IF(OR($Y691="",N($Z691)&lt;=0,$AB691=""),0,IFERROR(LOOKUP(2,1/((거래처별!$AC$8:$AC$307&lt;&gt;"")*ISNUMBER(SEARCH(거래처별!$AC$8:$AC$307,$AB691))),거래처별!$A$8:$A$307),IFERROR(LOOKUP(2,1/((거래처별!$AD$8:$AD$307&lt;&gt;"")*ISNUMBER(SEARCH(거래처별!$AD$8:$AD$307,$AB691))),거래처별!$A$8:$A$307),IFERROR(LOOKUP(2,1/((거래처별!$AE$8:$AE$307&lt;&gt;"")*ISNUMBER(SEARCH(거래처별!$AE$8:$AE$307,$AB691))),거래처별!$A$8:$A$307),0))))</f>
        <v/>
      </c>
      <c r="AD691" s="31">
        <f>IF(AND($Y691&lt;&gt;"",N($Z691)&gt;0,$AC691=0),MAX($AD$7:$AD690)+1,"")</f>
        <v/>
      </c>
      <c r="AE691" s="31">
        <f>IF($Y691="",0,$Y691)</f>
        <v/>
      </c>
    </row>
    <row r="692">
      <c r="W692" s="31">
        <f>IF(OR($B$5="",$C$6="",ROW()&lt;$B$5),"",IF(INDEX($A:$U,ROW(),$C$6)="","",INDEX($A:$U,ROW(),$C$6)))</f>
        <v/>
      </c>
      <c r="X692" s="32">
        <f>IF($W692="","",IF(ISNUMBER($W692),IF($W692&gt;=10000000,IFERROR(DATE(INT($W692/10000),MOD(INT($W692/100),100),MOD($W692,100)),""),INT($W692)),IFERROR(DATE(--LEFT(LEFT(SUBSTITUTE(SUBSTITUTE(SUBSTITUTE(SUBSTITUTE(TRIM($W692),"-",""),".",""),"/","")," ",""),8),4),--MID(LEFT(SUBSTITUTE(SUBSTITUTE(SUBSTITUTE(SUBSTITUTE(TRIM($W692),"-",""),".",""),"/","")," ",""),8),5,2),--MID(LEFT(SUBSTITUTE(SUBSTITUTE(SUBSTITUTE(SUBSTITUTE(TRIM($W692),"-",""),".",""),"/","")," ",""),8),7,2)),"")))</f>
        <v/>
      </c>
      <c r="Y692" s="32">
        <f>IF($X692="","",INT($X692))</f>
        <v/>
      </c>
      <c r="Z692" s="33">
        <f>IF(OR($Y692="",$D$6=""),"",IF(INDEX($A:$U,ROW(),$D$6)="",0,IF(ISNUMBER(INDEX($A:$U,ROW(),$D$6)),INDEX($A:$U,ROW(),$D$6),IFERROR(--SUBSTITUTE(SUBSTITUTE(TRIM(INDEX($A:$U,ROW(),$D$6)),",",""),"원",""),0))))</f>
        <v/>
      </c>
      <c r="AA692" s="31">
        <f>IF($Y692="","",TRIM(INDEX($A:$U,ROW(),$E$6)&amp;IF($F$6="",""," "&amp;INDEX($A:$U,ROW(),$F$6))))</f>
        <v/>
      </c>
      <c r="AB692" s="31">
        <f>IF($AA692="","",SUBSTITUTE(SUBSTITUTE(SUBSTITUTE(SUBSTITUTE(SUBSTITUTE(SUBSTITUTE(SUBSTITUTE(SUBSTITUTE(SUBSTITUTE($AA692," ",""),"　",""),"(주)",""),"（주）",""),"㈜",""),"주식회사",""),"(유)",""),"（유）",""),"유한회사",""))</f>
        <v/>
      </c>
      <c r="AC692" s="31">
        <f>IF(OR($Y692="",N($Z692)&lt;=0,$AB692=""),0,IFERROR(LOOKUP(2,1/((거래처별!$AC$8:$AC$307&lt;&gt;"")*ISNUMBER(SEARCH(거래처별!$AC$8:$AC$307,$AB692))),거래처별!$A$8:$A$307),IFERROR(LOOKUP(2,1/((거래처별!$AD$8:$AD$307&lt;&gt;"")*ISNUMBER(SEARCH(거래처별!$AD$8:$AD$307,$AB692))),거래처별!$A$8:$A$307),IFERROR(LOOKUP(2,1/((거래처별!$AE$8:$AE$307&lt;&gt;"")*ISNUMBER(SEARCH(거래처별!$AE$8:$AE$307,$AB692))),거래처별!$A$8:$A$307),0))))</f>
        <v/>
      </c>
      <c r="AD692" s="31">
        <f>IF(AND($Y692&lt;&gt;"",N($Z692)&gt;0,$AC692=0),MAX($AD$7:$AD691)+1,"")</f>
        <v/>
      </c>
      <c r="AE692" s="31">
        <f>IF($Y692="",0,$Y692)</f>
        <v/>
      </c>
    </row>
    <row r="693">
      <c r="W693" s="31">
        <f>IF(OR($B$5="",$C$6="",ROW()&lt;$B$5),"",IF(INDEX($A:$U,ROW(),$C$6)="","",INDEX($A:$U,ROW(),$C$6)))</f>
        <v/>
      </c>
      <c r="X693" s="32">
        <f>IF($W693="","",IF(ISNUMBER($W693),IF($W693&gt;=10000000,IFERROR(DATE(INT($W693/10000),MOD(INT($W693/100),100),MOD($W693,100)),""),INT($W693)),IFERROR(DATE(--LEFT(LEFT(SUBSTITUTE(SUBSTITUTE(SUBSTITUTE(SUBSTITUTE(TRIM($W693),"-",""),".",""),"/","")," ",""),8),4),--MID(LEFT(SUBSTITUTE(SUBSTITUTE(SUBSTITUTE(SUBSTITUTE(TRIM($W693),"-",""),".",""),"/","")," ",""),8),5,2),--MID(LEFT(SUBSTITUTE(SUBSTITUTE(SUBSTITUTE(SUBSTITUTE(TRIM($W693),"-",""),".",""),"/","")," ",""),8),7,2)),"")))</f>
        <v/>
      </c>
      <c r="Y693" s="32">
        <f>IF($X693="","",INT($X693))</f>
        <v/>
      </c>
      <c r="Z693" s="33">
        <f>IF(OR($Y693="",$D$6=""),"",IF(INDEX($A:$U,ROW(),$D$6)="",0,IF(ISNUMBER(INDEX($A:$U,ROW(),$D$6)),INDEX($A:$U,ROW(),$D$6),IFERROR(--SUBSTITUTE(SUBSTITUTE(TRIM(INDEX($A:$U,ROW(),$D$6)),",",""),"원",""),0))))</f>
        <v/>
      </c>
      <c r="AA693" s="31">
        <f>IF($Y693="","",TRIM(INDEX($A:$U,ROW(),$E$6)&amp;IF($F$6="",""," "&amp;INDEX($A:$U,ROW(),$F$6))))</f>
        <v/>
      </c>
      <c r="AB693" s="31">
        <f>IF($AA693="","",SUBSTITUTE(SUBSTITUTE(SUBSTITUTE(SUBSTITUTE(SUBSTITUTE(SUBSTITUTE(SUBSTITUTE(SUBSTITUTE(SUBSTITUTE($AA693," ",""),"　",""),"(주)",""),"（주）",""),"㈜",""),"주식회사",""),"(유)",""),"（유）",""),"유한회사",""))</f>
        <v/>
      </c>
      <c r="AC693" s="31">
        <f>IF(OR($Y693="",N($Z693)&lt;=0,$AB693=""),0,IFERROR(LOOKUP(2,1/((거래처별!$AC$8:$AC$307&lt;&gt;"")*ISNUMBER(SEARCH(거래처별!$AC$8:$AC$307,$AB693))),거래처별!$A$8:$A$307),IFERROR(LOOKUP(2,1/((거래처별!$AD$8:$AD$307&lt;&gt;"")*ISNUMBER(SEARCH(거래처별!$AD$8:$AD$307,$AB693))),거래처별!$A$8:$A$307),IFERROR(LOOKUP(2,1/((거래처별!$AE$8:$AE$307&lt;&gt;"")*ISNUMBER(SEARCH(거래처별!$AE$8:$AE$307,$AB693))),거래처별!$A$8:$A$307),0))))</f>
        <v/>
      </c>
      <c r="AD693" s="31">
        <f>IF(AND($Y693&lt;&gt;"",N($Z693)&gt;0,$AC693=0),MAX($AD$7:$AD692)+1,"")</f>
        <v/>
      </c>
      <c r="AE693" s="31">
        <f>IF($Y693="",0,$Y693)</f>
        <v/>
      </c>
    </row>
    <row r="694">
      <c r="W694" s="31">
        <f>IF(OR($B$5="",$C$6="",ROW()&lt;$B$5),"",IF(INDEX($A:$U,ROW(),$C$6)="","",INDEX($A:$U,ROW(),$C$6)))</f>
        <v/>
      </c>
      <c r="X694" s="32">
        <f>IF($W694="","",IF(ISNUMBER($W694),IF($W694&gt;=10000000,IFERROR(DATE(INT($W694/10000),MOD(INT($W694/100),100),MOD($W694,100)),""),INT($W694)),IFERROR(DATE(--LEFT(LEFT(SUBSTITUTE(SUBSTITUTE(SUBSTITUTE(SUBSTITUTE(TRIM($W694),"-",""),".",""),"/","")," ",""),8),4),--MID(LEFT(SUBSTITUTE(SUBSTITUTE(SUBSTITUTE(SUBSTITUTE(TRIM($W694),"-",""),".",""),"/","")," ",""),8),5,2),--MID(LEFT(SUBSTITUTE(SUBSTITUTE(SUBSTITUTE(SUBSTITUTE(TRIM($W694),"-",""),".",""),"/","")," ",""),8),7,2)),"")))</f>
        <v/>
      </c>
      <c r="Y694" s="32">
        <f>IF($X694="","",INT($X694))</f>
        <v/>
      </c>
      <c r="Z694" s="33">
        <f>IF(OR($Y694="",$D$6=""),"",IF(INDEX($A:$U,ROW(),$D$6)="",0,IF(ISNUMBER(INDEX($A:$U,ROW(),$D$6)),INDEX($A:$U,ROW(),$D$6),IFERROR(--SUBSTITUTE(SUBSTITUTE(TRIM(INDEX($A:$U,ROW(),$D$6)),",",""),"원",""),0))))</f>
        <v/>
      </c>
      <c r="AA694" s="31">
        <f>IF($Y694="","",TRIM(INDEX($A:$U,ROW(),$E$6)&amp;IF($F$6="",""," "&amp;INDEX($A:$U,ROW(),$F$6))))</f>
        <v/>
      </c>
      <c r="AB694" s="31">
        <f>IF($AA694="","",SUBSTITUTE(SUBSTITUTE(SUBSTITUTE(SUBSTITUTE(SUBSTITUTE(SUBSTITUTE(SUBSTITUTE(SUBSTITUTE(SUBSTITUTE($AA694," ",""),"　",""),"(주)",""),"（주）",""),"㈜",""),"주식회사",""),"(유)",""),"（유）",""),"유한회사",""))</f>
        <v/>
      </c>
      <c r="AC694" s="31">
        <f>IF(OR($Y694="",N($Z694)&lt;=0,$AB694=""),0,IFERROR(LOOKUP(2,1/((거래처별!$AC$8:$AC$307&lt;&gt;"")*ISNUMBER(SEARCH(거래처별!$AC$8:$AC$307,$AB694))),거래처별!$A$8:$A$307),IFERROR(LOOKUP(2,1/((거래처별!$AD$8:$AD$307&lt;&gt;"")*ISNUMBER(SEARCH(거래처별!$AD$8:$AD$307,$AB694))),거래처별!$A$8:$A$307),IFERROR(LOOKUP(2,1/((거래처별!$AE$8:$AE$307&lt;&gt;"")*ISNUMBER(SEARCH(거래처별!$AE$8:$AE$307,$AB694))),거래처별!$A$8:$A$307),0))))</f>
        <v/>
      </c>
      <c r="AD694" s="31">
        <f>IF(AND($Y694&lt;&gt;"",N($Z694)&gt;0,$AC694=0),MAX($AD$7:$AD693)+1,"")</f>
        <v/>
      </c>
      <c r="AE694" s="31">
        <f>IF($Y694="",0,$Y694)</f>
        <v/>
      </c>
    </row>
    <row r="695">
      <c r="W695" s="31">
        <f>IF(OR($B$5="",$C$6="",ROW()&lt;$B$5),"",IF(INDEX($A:$U,ROW(),$C$6)="","",INDEX($A:$U,ROW(),$C$6)))</f>
        <v/>
      </c>
      <c r="X695" s="32">
        <f>IF($W695="","",IF(ISNUMBER($W695),IF($W695&gt;=10000000,IFERROR(DATE(INT($W695/10000),MOD(INT($W695/100),100),MOD($W695,100)),""),INT($W695)),IFERROR(DATE(--LEFT(LEFT(SUBSTITUTE(SUBSTITUTE(SUBSTITUTE(SUBSTITUTE(TRIM($W695),"-",""),".",""),"/","")," ",""),8),4),--MID(LEFT(SUBSTITUTE(SUBSTITUTE(SUBSTITUTE(SUBSTITUTE(TRIM($W695),"-",""),".",""),"/","")," ",""),8),5,2),--MID(LEFT(SUBSTITUTE(SUBSTITUTE(SUBSTITUTE(SUBSTITUTE(TRIM($W695),"-",""),".",""),"/","")," ",""),8),7,2)),"")))</f>
        <v/>
      </c>
      <c r="Y695" s="32">
        <f>IF($X695="","",INT($X695))</f>
        <v/>
      </c>
      <c r="Z695" s="33">
        <f>IF(OR($Y695="",$D$6=""),"",IF(INDEX($A:$U,ROW(),$D$6)="",0,IF(ISNUMBER(INDEX($A:$U,ROW(),$D$6)),INDEX($A:$U,ROW(),$D$6),IFERROR(--SUBSTITUTE(SUBSTITUTE(TRIM(INDEX($A:$U,ROW(),$D$6)),",",""),"원",""),0))))</f>
        <v/>
      </c>
      <c r="AA695" s="31">
        <f>IF($Y695="","",TRIM(INDEX($A:$U,ROW(),$E$6)&amp;IF($F$6="",""," "&amp;INDEX($A:$U,ROW(),$F$6))))</f>
        <v/>
      </c>
      <c r="AB695" s="31">
        <f>IF($AA695="","",SUBSTITUTE(SUBSTITUTE(SUBSTITUTE(SUBSTITUTE(SUBSTITUTE(SUBSTITUTE(SUBSTITUTE(SUBSTITUTE(SUBSTITUTE($AA695," ",""),"　",""),"(주)",""),"（주）",""),"㈜",""),"주식회사",""),"(유)",""),"（유）",""),"유한회사",""))</f>
        <v/>
      </c>
      <c r="AC695" s="31">
        <f>IF(OR($Y695="",N($Z695)&lt;=0,$AB695=""),0,IFERROR(LOOKUP(2,1/((거래처별!$AC$8:$AC$307&lt;&gt;"")*ISNUMBER(SEARCH(거래처별!$AC$8:$AC$307,$AB695))),거래처별!$A$8:$A$307),IFERROR(LOOKUP(2,1/((거래처별!$AD$8:$AD$307&lt;&gt;"")*ISNUMBER(SEARCH(거래처별!$AD$8:$AD$307,$AB695))),거래처별!$A$8:$A$307),IFERROR(LOOKUP(2,1/((거래처별!$AE$8:$AE$307&lt;&gt;"")*ISNUMBER(SEARCH(거래처별!$AE$8:$AE$307,$AB695))),거래처별!$A$8:$A$307),0))))</f>
        <v/>
      </c>
      <c r="AD695" s="31">
        <f>IF(AND($Y695&lt;&gt;"",N($Z695)&gt;0,$AC695=0),MAX($AD$7:$AD694)+1,"")</f>
        <v/>
      </c>
      <c r="AE695" s="31">
        <f>IF($Y695="",0,$Y695)</f>
        <v/>
      </c>
    </row>
    <row r="696">
      <c r="W696" s="31">
        <f>IF(OR($B$5="",$C$6="",ROW()&lt;$B$5),"",IF(INDEX($A:$U,ROW(),$C$6)="","",INDEX($A:$U,ROW(),$C$6)))</f>
        <v/>
      </c>
      <c r="X696" s="32">
        <f>IF($W696="","",IF(ISNUMBER($W696),IF($W696&gt;=10000000,IFERROR(DATE(INT($W696/10000),MOD(INT($W696/100),100),MOD($W696,100)),""),INT($W696)),IFERROR(DATE(--LEFT(LEFT(SUBSTITUTE(SUBSTITUTE(SUBSTITUTE(SUBSTITUTE(TRIM($W696),"-",""),".",""),"/","")," ",""),8),4),--MID(LEFT(SUBSTITUTE(SUBSTITUTE(SUBSTITUTE(SUBSTITUTE(TRIM($W696),"-",""),".",""),"/","")," ",""),8),5,2),--MID(LEFT(SUBSTITUTE(SUBSTITUTE(SUBSTITUTE(SUBSTITUTE(TRIM($W696),"-",""),".",""),"/","")," ",""),8),7,2)),"")))</f>
        <v/>
      </c>
      <c r="Y696" s="32">
        <f>IF($X696="","",INT($X696))</f>
        <v/>
      </c>
      <c r="Z696" s="33">
        <f>IF(OR($Y696="",$D$6=""),"",IF(INDEX($A:$U,ROW(),$D$6)="",0,IF(ISNUMBER(INDEX($A:$U,ROW(),$D$6)),INDEX($A:$U,ROW(),$D$6),IFERROR(--SUBSTITUTE(SUBSTITUTE(TRIM(INDEX($A:$U,ROW(),$D$6)),",",""),"원",""),0))))</f>
        <v/>
      </c>
      <c r="AA696" s="31">
        <f>IF($Y696="","",TRIM(INDEX($A:$U,ROW(),$E$6)&amp;IF($F$6="",""," "&amp;INDEX($A:$U,ROW(),$F$6))))</f>
        <v/>
      </c>
      <c r="AB696" s="31">
        <f>IF($AA696="","",SUBSTITUTE(SUBSTITUTE(SUBSTITUTE(SUBSTITUTE(SUBSTITUTE(SUBSTITUTE(SUBSTITUTE(SUBSTITUTE(SUBSTITUTE($AA696," ",""),"　",""),"(주)",""),"（주）",""),"㈜",""),"주식회사",""),"(유)",""),"（유）",""),"유한회사",""))</f>
        <v/>
      </c>
      <c r="AC696" s="31">
        <f>IF(OR($Y696="",N($Z696)&lt;=0,$AB696=""),0,IFERROR(LOOKUP(2,1/((거래처별!$AC$8:$AC$307&lt;&gt;"")*ISNUMBER(SEARCH(거래처별!$AC$8:$AC$307,$AB696))),거래처별!$A$8:$A$307),IFERROR(LOOKUP(2,1/((거래처별!$AD$8:$AD$307&lt;&gt;"")*ISNUMBER(SEARCH(거래처별!$AD$8:$AD$307,$AB696))),거래처별!$A$8:$A$307),IFERROR(LOOKUP(2,1/((거래처별!$AE$8:$AE$307&lt;&gt;"")*ISNUMBER(SEARCH(거래처별!$AE$8:$AE$307,$AB696))),거래처별!$A$8:$A$307),0))))</f>
        <v/>
      </c>
      <c r="AD696" s="31">
        <f>IF(AND($Y696&lt;&gt;"",N($Z696)&gt;0,$AC696=0),MAX($AD$7:$AD695)+1,"")</f>
        <v/>
      </c>
      <c r="AE696" s="31">
        <f>IF($Y696="",0,$Y696)</f>
        <v/>
      </c>
    </row>
    <row r="697">
      <c r="W697" s="31">
        <f>IF(OR($B$5="",$C$6="",ROW()&lt;$B$5),"",IF(INDEX($A:$U,ROW(),$C$6)="","",INDEX($A:$U,ROW(),$C$6)))</f>
        <v/>
      </c>
      <c r="X697" s="32">
        <f>IF($W697="","",IF(ISNUMBER($W697),IF($W697&gt;=10000000,IFERROR(DATE(INT($W697/10000),MOD(INT($W697/100),100),MOD($W697,100)),""),INT($W697)),IFERROR(DATE(--LEFT(LEFT(SUBSTITUTE(SUBSTITUTE(SUBSTITUTE(SUBSTITUTE(TRIM($W697),"-",""),".",""),"/","")," ",""),8),4),--MID(LEFT(SUBSTITUTE(SUBSTITUTE(SUBSTITUTE(SUBSTITUTE(TRIM($W697),"-",""),".",""),"/","")," ",""),8),5,2),--MID(LEFT(SUBSTITUTE(SUBSTITUTE(SUBSTITUTE(SUBSTITUTE(TRIM($W697),"-",""),".",""),"/","")," ",""),8),7,2)),"")))</f>
        <v/>
      </c>
      <c r="Y697" s="32">
        <f>IF($X697="","",INT($X697))</f>
        <v/>
      </c>
      <c r="Z697" s="33">
        <f>IF(OR($Y697="",$D$6=""),"",IF(INDEX($A:$U,ROW(),$D$6)="",0,IF(ISNUMBER(INDEX($A:$U,ROW(),$D$6)),INDEX($A:$U,ROW(),$D$6),IFERROR(--SUBSTITUTE(SUBSTITUTE(TRIM(INDEX($A:$U,ROW(),$D$6)),",",""),"원",""),0))))</f>
        <v/>
      </c>
      <c r="AA697" s="31">
        <f>IF($Y697="","",TRIM(INDEX($A:$U,ROW(),$E$6)&amp;IF($F$6="",""," "&amp;INDEX($A:$U,ROW(),$F$6))))</f>
        <v/>
      </c>
      <c r="AB697" s="31">
        <f>IF($AA697="","",SUBSTITUTE(SUBSTITUTE(SUBSTITUTE(SUBSTITUTE(SUBSTITUTE(SUBSTITUTE(SUBSTITUTE(SUBSTITUTE(SUBSTITUTE($AA697," ",""),"　",""),"(주)",""),"（주）",""),"㈜",""),"주식회사",""),"(유)",""),"（유）",""),"유한회사",""))</f>
        <v/>
      </c>
      <c r="AC697" s="31">
        <f>IF(OR($Y697="",N($Z697)&lt;=0,$AB697=""),0,IFERROR(LOOKUP(2,1/((거래처별!$AC$8:$AC$307&lt;&gt;"")*ISNUMBER(SEARCH(거래처별!$AC$8:$AC$307,$AB697))),거래처별!$A$8:$A$307),IFERROR(LOOKUP(2,1/((거래처별!$AD$8:$AD$307&lt;&gt;"")*ISNUMBER(SEARCH(거래처별!$AD$8:$AD$307,$AB697))),거래처별!$A$8:$A$307),IFERROR(LOOKUP(2,1/((거래처별!$AE$8:$AE$307&lt;&gt;"")*ISNUMBER(SEARCH(거래처별!$AE$8:$AE$307,$AB697))),거래처별!$A$8:$A$307),0))))</f>
        <v/>
      </c>
      <c r="AD697" s="31">
        <f>IF(AND($Y697&lt;&gt;"",N($Z697)&gt;0,$AC697=0),MAX($AD$7:$AD696)+1,"")</f>
        <v/>
      </c>
      <c r="AE697" s="31">
        <f>IF($Y697="",0,$Y697)</f>
        <v/>
      </c>
    </row>
    <row r="698">
      <c r="W698" s="31">
        <f>IF(OR($B$5="",$C$6="",ROW()&lt;$B$5),"",IF(INDEX($A:$U,ROW(),$C$6)="","",INDEX($A:$U,ROW(),$C$6)))</f>
        <v/>
      </c>
      <c r="X698" s="32">
        <f>IF($W698="","",IF(ISNUMBER($W698),IF($W698&gt;=10000000,IFERROR(DATE(INT($W698/10000),MOD(INT($W698/100),100),MOD($W698,100)),""),INT($W698)),IFERROR(DATE(--LEFT(LEFT(SUBSTITUTE(SUBSTITUTE(SUBSTITUTE(SUBSTITUTE(TRIM($W698),"-",""),".",""),"/","")," ",""),8),4),--MID(LEFT(SUBSTITUTE(SUBSTITUTE(SUBSTITUTE(SUBSTITUTE(TRIM($W698),"-",""),".",""),"/","")," ",""),8),5,2),--MID(LEFT(SUBSTITUTE(SUBSTITUTE(SUBSTITUTE(SUBSTITUTE(TRIM($W698),"-",""),".",""),"/","")," ",""),8),7,2)),"")))</f>
        <v/>
      </c>
      <c r="Y698" s="32">
        <f>IF($X698="","",INT($X698))</f>
        <v/>
      </c>
      <c r="Z698" s="33">
        <f>IF(OR($Y698="",$D$6=""),"",IF(INDEX($A:$U,ROW(),$D$6)="",0,IF(ISNUMBER(INDEX($A:$U,ROW(),$D$6)),INDEX($A:$U,ROW(),$D$6),IFERROR(--SUBSTITUTE(SUBSTITUTE(TRIM(INDEX($A:$U,ROW(),$D$6)),",",""),"원",""),0))))</f>
        <v/>
      </c>
      <c r="AA698" s="31">
        <f>IF($Y698="","",TRIM(INDEX($A:$U,ROW(),$E$6)&amp;IF($F$6="",""," "&amp;INDEX($A:$U,ROW(),$F$6))))</f>
        <v/>
      </c>
      <c r="AB698" s="31">
        <f>IF($AA698="","",SUBSTITUTE(SUBSTITUTE(SUBSTITUTE(SUBSTITUTE(SUBSTITUTE(SUBSTITUTE(SUBSTITUTE(SUBSTITUTE(SUBSTITUTE($AA698," ",""),"　",""),"(주)",""),"（주）",""),"㈜",""),"주식회사",""),"(유)",""),"（유）",""),"유한회사",""))</f>
        <v/>
      </c>
      <c r="AC698" s="31">
        <f>IF(OR($Y698="",N($Z698)&lt;=0,$AB698=""),0,IFERROR(LOOKUP(2,1/((거래처별!$AC$8:$AC$307&lt;&gt;"")*ISNUMBER(SEARCH(거래처별!$AC$8:$AC$307,$AB698))),거래처별!$A$8:$A$307),IFERROR(LOOKUP(2,1/((거래처별!$AD$8:$AD$307&lt;&gt;"")*ISNUMBER(SEARCH(거래처별!$AD$8:$AD$307,$AB698))),거래처별!$A$8:$A$307),IFERROR(LOOKUP(2,1/((거래처별!$AE$8:$AE$307&lt;&gt;"")*ISNUMBER(SEARCH(거래처별!$AE$8:$AE$307,$AB698))),거래처별!$A$8:$A$307),0))))</f>
        <v/>
      </c>
      <c r="AD698" s="31">
        <f>IF(AND($Y698&lt;&gt;"",N($Z698)&gt;0,$AC698=0),MAX($AD$7:$AD697)+1,"")</f>
        <v/>
      </c>
      <c r="AE698" s="31">
        <f>IF($Y698="",0,$Y698)</f>
        <v/>
      </c>
    </row>
    <row r="699">
      <c r="W699" s="31">
        <f>IF(OR($B$5="",$C$6="",ROW()&lt;$B$5),"",IF(INDEX($A:$U,ROW(),$C$6)="","",INDEX($A:$U,ROW(),$C$6)))</f>
        <v/>
      </c>
      <c r="X699" s="32">
        <f>IF($W699="","",IF(ISNUMBER($W699),IF($W699&gt;=10000000,IFERROR(DATE(INT($W699/10000),MOD(INT($W699/100),100),MOD($W699,100)),""),INT($W699)),IFERROR(DATE(--LEFT(LEFT(SUBSTITUTE(SUBSTITUTE(SUBSTITUTE(SUBSTITUTE(TRIM($W699),"-",""),".",""),"/","")," ",""),8),4),--MID(LEFT(SUBSTITUTE(SUBSTITUTE(SUBSTITUTE(SUBSTITUTE(TRIM($W699),"-",""),".",""),"/","")," ",""),8),5,2),--MID(LEFT(SUBSTITUTE(SUBSTITUTE(SUBSTITUTE(SUBSTITUTE(TRIM($W699),"-",""),".",""),"/","")," ",""),8),7,2)),"")))</f>
        <v/>
      </c>
      <c r="Y699" s="32">
        <f>IF($X699="","",INT($X699))</f>
        <v/>
      </c>
      <c r="Z699" s="33">
        <f>IF(OR($Y699="",$D$6=""),"",IF(INDEX($A:$U,ROW(),$D$6)="",0,IF(ISNUMBER(INDEX($A:$U,ROW(),$D$6)),INDEX($A:$U,ROW(),$D$6),IFERROR(--SUBSTITUTE(SUBSTITUTE(TRIM(INDEX($A:$U,ROW(),$D$6)),",",""),"원",""),0))))</f>
        <v/>
      </c>
      <c r="AA699" s="31">
        <f>IF($Y699="","",TRIM(INDEX($A:$U,ROW(),$E$6)&amp;IF($F$6="",""," "&amp;INDEX($A:$U,ROW(),$F$6))))</f>
        <v/>
      </c>
      <c r="AB699" s="31">
        <f>IF($AA699="","",SUBSTITUTE(SUBSTITUTE(SUBSTITUTE(SUBSTITUTE(SUBSTITUTE(SUBSTITUTE(SUBSTITUTE(SUBSTITUTE(SUBSTITUTE($AA699," ",""),"　",""),"(주)",""),"（주）",""),"㈜",""),"주식회사",""),"(유)",""),"（유）",""),"유한회사",""))</f>
        <v/>
      </c>
      <c r="AC699" s="31">
        <f>IF(OR($Y699="",N($Z699)&lt;=0,$AB699=""),0,IFERROR(LOOKUP(2,1/((거래처별!$AC$8:$AC$307&lt;&gt;"")*ISNUMBER(SEARCH(거래처별!$AC$8:$AC$307,$AB699))),거래처별!$A$8:$A$307),IFERROR(LOOKUP(2,1/((거래처별!$AD$8:$AD$307&lt;&gt;"")*ISNUMBER(SEARCH(거래처별!$AD$8:$AD$307,$AB699))),거래처별!$A$8:$A$307),IFERROR(LOOKUP(2,1/((거래처별!$AE$8:$AE$307&lt;&gt;"")*ISNUMBER(SEARCH(거래처별!$AE$8:$AE$307,$AB699))),거래처별!$A$8:$A$307),0))))</f>
        <v/>
      </c>
      <c r="AD699" s="31">
        <f>IF(AND($Y699&lt;&gt;"",N($Z699)&gt;0,$AC699=0),MAX($AD$7:$AD698)+1,"")</f>
        <v/>
      </c>
      <c r="AE699" s="31">
        <f>IF($Y699="",0,$Y699)</f>
        <v/>
      </c>
    </row>
    <row r="700">
      <c r="W700" s="31">
        <f>IF(OR($B$5="",$C$6="",ROW()&lt;$B$5),"",IF(INDEX($A:$U,ROW(),$C$6)="","",INDEX($A:$U,ROW(),$C$6)))</f>
        <v/>
      </c>
      <c r="X700" s="32">
        <f>IF($W700="","",IF(ISNUMBER($W700),IF($W700&gt;=10000000,IFERROR(DATE(INT($W700/10000),MOD(INT($W700/100),100),MOD($W700,100)),""),INT($W700)),IFERROR(DATE(--LEFT(LEFT(SUBSTITUTE(SUBSTITUTE(SUBSTITUTE(SUBSTITUTE(TRIM($W700),"-",""),".",""),"/","")," ",""),8),4),--MID(LEFT(SUBSTITUTE(SUBSTITUTE(SUBSTITUTE(SUBSTITUTE(TRIM($W700),"-",""),".",""),"/","")," ",""),8),5,2),--MID(LEFT(SUBSTITUTE(SUBSTITUTE(SUBSTITUTE(SUBSTITUTE(TRIM($W700),"-",""),".",""),"/","")," ",""),8),7,2)),"")))</f>
        <v/>
      </c>
      <c r="Y700" s="32">
        <f>IF($X700="","",INT($X700))</f>
        <v/>
      </c>
      <c r="Z700" s="33">
        <f>IF(OR($Y700="",$D$6=""),"",IF(INDEX($A:$U,ROW(),$D$6)="",0,IF(ISNUMBER(INDEX($A:$U,ROW(),$D$6)),INDEX($A:$U,ROW(),$D$6),IFERROR(--SUBSTITUTE(SUBSTITUTE(TRIM(INDEX($A:$U,ROW(),$D$6)),",",""),"원",""),0))))</f>
        <v/>
      </c>
      <c r="AA700" s="31">
        <f>IF($Y700="","",TRIM(INDEX($A:$U,ROW(),$E$6)&amp;IF($F$6="",""," "&amp;INDEX($A:$U,ROW(),$F$6))))</f>
        <v/>
      </c>
      <c r="AB700" s="31">
        <f>IF($AA700="","",SUBSTITUTE(SUBSTITUTE(SUBSTITUTE(SUBSTITUTE(SUBSTITUTE(SUBSTITUTE(SUBSTITUTE(SUBSTITUTE(SUBSTITUTE($AA700," ",""),"　",""),"(주)",""),"（주）",""),"㈜",""),"주식회사",""),"(유)",""),"（유）",""),"유한회사",""))</f>
        <v/>
      </c>
      <c r="AC700" s="31">
        <f>IF(OR($Y700="",N($Z700)&lt;=0,$AB700=""),0,IFERROR(LOOKUP(2,1/((거래처별!$AC$8:$AC$307&lt;&gt;"")*ISNUMBER(SEARCH(거래처별!$AC$8:$AC$307,$AB700))),거래처별!$A$8:$A$307),IFERROR(LOOKUP(2,1/((거래처별!$AD$8:$AD$307&lt;&gt;"")*ISNUMBER(SEARCH(거래처별!$AD$8:$AD$307,$AB700))),거래처별!$A$8:$A$307),IFERROR(LOOKUP(2,1/((거래처별!$AE$8:$AE$307&lt;&gt;"")*ISNUMBER(SEARCH(거래처별!$AE$8:$AE$307,$AB700))),거래처별!$A$8:$A$307),0))))</f>
        <v/>
      </c>
      <c r="AD700" s="31">
        <f>IF(AND($Y700&lt;&gt;"",N($Z700)&gt;0,$AC700=0),MAX($AD$7:$AD699)+1,"")</f>
        <v/>
      </c>
      <c r="AE700" s="31">
        <f>IF($Y700="",0,$Y700)</f>
        <v/>
      </c>
    </row>
    <row r="701">
      <c r="W701" s="31">
        <f>IF(OR($B$5="",$C$6="",ROW()&lt;$B$5),"",IF(INDEX($A:$U,ROW(),$C$6)="","",INDEX($A:$U,ROW(),$C$6)))</f>
        <v/>
      </c>
      <c r="X701" s="32">
        <f>IF($W701="","",IF(ISNUMBER($W701),IF($W701&gt;=10000000,IFERROR(DATE(INT($W701/10000),MOD(INT($W701/100),100),MOD($W701,100)),""),INT($W701)),IFERROR(DATE(--LEFT(LEFT(SUBSTITUTE(SUBSTITUTE(SUBSTITUTE(SUBSTITUTE(TRIM($W701),"-",""),".",""),"/","")," ",""),8),4),--MID(LEFT(SUBSTITUTE(SUBSTITUTE(SUBSTITUTE(SUBSTITUTE(TRIM($W701),"-",""),".",""),"/","")," ",""),8),5,2),--MID(LEFT(SUBSTITUTE(SUBSTITUTE(SUBSTITUTE(SUBSTITUTE(TRIM($W701),"-",""),".",""),"/","")," ",""),8),7,2)),"")))</f>
        <v/>
      </c>
      <c r="Y701" s="32">
        <f>IF($X701="","",INT($X701))</f>
        <v/>
      </c>
      <c r="Z701" s="33">
        <f>IF(OR($Y701="",$D$6=""),"",IF(INDEX($A:$U,ROW(),$D$6)="",0,IF(ISNUMBER(INDEX($A:$U,ROW(),$D$6)),INDEX($A:$U,ROW(),$D$6),IFERROR(--SUBSTITUTE(SUBSTITUTE(TRIM(INDEX($A:$U,ROW(),$D$6)),",",""),"원",""),0))))</f>
        <v/>
      </c>
      <c r="AA701" s="31">
        <f>IF($Y701="","",TRIM(INDEX($A:$U,ROW(),$E$6)&amp;IF($F$6="",""," "&amp;INDEX($A:$U,ROW(),$F$6))))</f>
        <v/>
      </c>
      <c r="AB701" s="31">
        <f>IF($AA701="","",SUBSTITUTE(SUBSTITUTE(SUBSTITUTE(SUBSTITUTE(SUBSTITUTE(SUBSTITUTE(SUBSTITUTE(SUBSTITUTE(SUBSTITUTE($AA701," ",""),"　",""),"(주)",""),"（주）",""),"㈜",""),"주식회사",""),"(유)",""),"（유）",""),"유한회사",""))</f>
        <v/>
      </c>
      <c r="AC701" s="31">
        <f>IF(OR($Y701="",N($Z701)&lt;=0,$AB701=""),0,IFERROR(LOOKUP(2,1/((거래처별!$AC$8:$AC$307&lt;&gt;"")*ISNUMBER(SEARCH(거래처별!$AC$8:$AC$307,$AB701))),거래처별!$A$8:$A$307),IFERROR(LOOKUP(2,1/((거래처별!$AD$8:$AD$307&lt;&gt;"")*ISNUMBER(SEARCH(거래처별!$AD$8:$AD$307,$AB701))),거래처별!$A$8:$A$307),IFERROR(LOOKUP(2,1/((거래처별!$AE$8:$AE$307&lt;&gt;"")*ISNUMBER(SEARCH(거래처별!$AE$8:$AE$307,$AB701))),거래처별!$A$8:$A$307),0))))</f>
        <v/>
      </c>
      <c r="AD701" s="31">
        <f>IF(AND($Y701&lt;&gt;"",N($Z701)&gt;0,$AC701=0),MAX($AD$7:$AD700)+1,"")</f>
        <v/>
      </c>
      <c r="AE701" s="31">
        <f>IF($Y701="",0,$Y701)</f>
        <v/>
      </c>
    </row>
    <row r="702">
      <c r="W702" s="31">
        <f>IF(OR($B$5="",$C$6="",ROW()&lt;$B$5),"",IF(INDEX($A:$U,ROW(),$C$6)="","",INDEX($A:$U,ROW(),$C$6)))</f>
        <v/>
      </c>
      <c r="X702" s="32">
        <f>IF($W702="","",IF(ISNUMBER($W702),IF($W702&gt;=10000000,IFERROR(DATE(INT($W702/10000),MOD(INT($W702/100),100),MOD($W702,100)),""),INT($W702)),IFERROR(DATE(--LEFT(LEFT(SUBSTITUTE(SUBSTITUTE(SUBSTITUTE(SUBSTITUTE(TRIM($W702),"-",""),".",""),"/","")," ",""),8),4),--MID(LEFT(SUBSTITUTE(SUBSTITUTE(SUBSTITUTE(SUBSTITUTE(TRIM($W702),"-",""),".",""),"/","")," ",""),8),5,2),--MID(LEFT(SUBSTITUTE(SUBSTITUTE(SUBSTITUTE(SUBSTITUTE(TRIM($W702),"-",""),".",""),"/","")," ",""),8),7,2)),"")))</f>
        <v/>
      </c>
      <c r="Y702" s="32">
        <f>IF($X702="","",INT($X702))</f>
        <v/>
      </c>
      <c r="Z702" s="33">
        <f>IF(OR($Y702="",$D$6=""),"",IF(INDEX($A:$U,ROW(),$D$6)="",0,IF(ISNUMBER(INDEX($A:$U,ROW(),$D$6)),INDEX($A:$U,ROW(),$D$6),IFERROR(--SUBSTITUTE(SUBSTITUTE(TRIM(INDEX($A:$U,ROW(),$D$6)),",",""),"원",""),0))))</f>
        <v/>
      </c>
      <c r="AA702" s="31">
        <f>IF($Y702="","",TRIM(INDEX($A:$U,ROW(),$E$6)&amp;IF($F$6="",""," "&amp;INDEX($A:$U,ROW(),$F$6))))</f>
        <v/>
      </c>
      <c r="AB702" s="31">
        <f>IF($AA702="","",SUBSTITUTE(SUBSTITUTE(SUBSTITUTE(SUBSTITUTE(SUBSTITUTE(SUBSTITUTE(SUBSTITUTE(SUBSTITUTE(SUBSTITUTE($AA702," ",""),"　",""),"(주)",""),"（주）",""),"㈜",""),"주식회사",""),"(유)",""),"（유）",""),"유한회사",""))</f>
        <v/>
      </c>
      <c r="AC702" s="31">
        <f>IF(OR($Y702="",N($Z702)&lt;=0,$AB702=""),0,IFERROR(LOOKUP(2,1/((거래처별!$AC$8:$AC$307&lt;&gt;"")*ISNUMBER(SEARCH(거래처별!$AC$8:$AC$307,$AB702))),거래처별!$A$8:$A$307),IFERROR(LOOKUP(2,1/((거래처별!$AD$8:$AD$307&lt;&gt;"")*ISNUMBER(SEARCH(거래처별!$AD$8:$AD$307,$AB702))),거래처별!$A$8:$A$307),IFERROR(LOOKUP(2,1/((거래처별!$AE$8:$AE$307&lt;&gt;"")*ISNUMBER(SEARCH(거래처별!$AE$8:$AE$307,$AB702))),거래처별!$A$8:$A$307),0))))</f>
        <v/>
      </c>
      <c r="AD702" s="31">
        <f>IF(AND($Y702&lt;&gt;"",N($Z702)&gt;0,$AC702=0),MAX($AD$7:$AD701)+1,"")</f>
        <v/>
      </c>
      <c r="AE702" s="31">
        <f>IF($Y702="",0,$Y702)</f>
        <v/>
      </c>
    </row>
    <row r="703">
      <c r="W703" s="31">
        <f>IF(OR($B$5="",$C$6="",ROW()&lt;$B$5),"",IF(INDEX($A:$U,ROW(),$C$6)="","",INDEX($A:$U,ROW(),$C$6)))</f>
        <v/>
      </c>
      <c r="X703" s="32">
        <f>IF($W703="","",IF(ISNUMBER($W703),IF($W703&gt;=10000000,IFERROR(DATE(INT($W703/10000),MOD(INT($W703/100),100),MOD($W703,100)),""),INT($W703)),IFERROR(DATE(--LEFT(LEFT(SUBSTITUTE(SUBSTITUTE(SUBSTITUTE(SUBSTITUTE(TRIM($W703),"-",""),".",""),"/","")," ",""),8),4),--MID(LEFT(SUBSTITUTE(SUBSTITUTE(SUBSTITUTE(SUBSTITUTE(TRIM($W703),"-",""),".",""),"/","")," ",""),8),5,2),--MID(LEFT(SUBSTITUTE(SUBSTITUTE(SUBSTITUTE(SUBSTITUTE(TRIM($W703),"-",""),".",""),"/","")," ",""),8),7,2)),"")))</f>
        <v/>
      </c>
      <c r="Y703" s="32">
        <f>IF($X703="","",INT($X703))</f>
        <v/>
      </c>
      <c r="Z703" s="33">
        <f>IF(OR($Y703="",$D$6=""),"",IF(INDEX($A:$U,ROW(),$D$6)="",0,IF(ISNUMBER(INDEX($A:$U,ROW(),$D$6)),INDEX($A:$U,ROW(),$D$6),IFERROR(--SUBSTITUTE(SUBSTITUTE(TRIM(INDEX($A:$U,ROW(),$D$6)),",",""),"원",""),0))))</f>
        <v/>
      </c>
      <c r="AA703" s="31">
        <f>IF($Y703="","",TRIM(INDEX($A:$U,ROW(),$E$6)&amp;IF($F$6="",""," "&amp;INDEX($A:$U,ROW(),$F$6))))</f>
        <v/>
      </c>
      <c r="AB703" s="31">
        <f>IF($AA703="","",SUBSTITUTE(SUBSTITUTE(SUBSTITUTE(SUBSTITUTE(SUBSTITUTE(SUBSTITUTE(SUBSTITUTE(SUBSTITUTE(SUBSTITUTE($AA703," ",""),"　",""),"(주)",""),"（주）",""),"㈜",""),"주식회사",""),"(유)",""),"（유）",""),"유한회사",""))</f>
        <v/>
      </c>
      <c r="AC703" s="31">
        <f>IF(OR($Y703="",N($Z703)&lt;=0,$AB703=""),0,IFERROR(LOOKUP(2,1/((거래처별!$AC$8:$AC$307&lt;&gt;"")*ISNUMBER(SEARCH(거래처별!$AC$8:$AC$307,$AB703))),거래처별!$A$8:$A$307),IFERROR(LOOKUP(2,1/((거래처별!$AD$8:$AD$307&lt;&gt;"")*ISNUMBER(SEARCH(거래처별!$AD$8:$AD$307,$AB703))),거래처별!$A$8:$A$307),IFERROR(LOOKUP(2,1/((거래처별!$AE$8:$AE$307&lt;&gt;"")*ISNUMBER(SEARCH(거래처별!$AE$8:$AE$307,$AB703))),거래처별!$A$8:$A$307),0))))</f>
        <v/>
      </c>
      <c r="AD703" s="31">
        <f>IF(AND($Y703&lt;&gt;"",N($Z703)&gt;0,$AC703=0),MAX($AD$7:$AD702)+1,"")</f>
        <v/>
      </c>
      <c r="AE703" s="31">
        <f>IF($Y703="",0,$Y703)</f>
        <v/>
      </c>
    </row>
    <row r="704">
      <c r="W704" s="31">
        <f>IF(OR($B$5="",$C$6="",ROW()&lt;$B$5),"",IF(INDEX($A:$U,ROW(),$C$6)="","",INDEX($A:$U,ROW(),$C$6)))</f>
        <v/>
      </c>
      <c r="X704" s="32">
        <f>IF($W704="","",IF(ISNUMBER($W704),IF($W704&gt;=10000000,IFERROR(DATE(INT($W704/10000),MOD(INT($W704/100),100),MOD($W704,100)),""),INT($W704)),IFERROR(DATE(--LEFT(LEFT(SUBSTITUTE(SUBSTITUTE(SUBSTITUTE(SUBSTITUTE(TRIM($W704),"-",""),".",""),"/","")," ",""),8),4),--MID(LEFT(SUBSTITUTE(SUBSTITUTE(SUBSTITUTE(SUBSTITUTE(TRIM($W704),"-",""),".",""),"/","")," ",""),8),5,2),--MID(LEFT(SUBSTITUTE(SUBSTITUTE(SUBSTITUTE(SUBSTITUTE(TRIM($W704),"-",""),".",""),"/","")," ",""),8),7,2)),"")))</f>
        <v/>
      </c>
      <c r="Y704" s="32">
        <f>IF($X704="","",INT($X704))</f>
        <v/>
      </c>
      <c r="Z704" s="33">
        <f>IF(OR($Y704="",$D$6=""),"",IF(INDEX($A:$U,ROW(),$D$6)="",0,IF(ISNUMBER(INDEX($A:$U,ROW(),$D$6)),INDEX($A:$U,ROW(),$D$6),IFERROR(--SUBSTITUTE(SUBSTITUTE(TRIM(INDEX($A:$U,ROW(),$D$6)),",",""),"원",""),0))))</f>
        <v/>
      </c>
      <c r="AA704" s="31">
        <f>IF($Y704="","",TRIM(INDEX($A:$U,ROW(),$E$6)&amp;IF($F$6="",""," "&amp;INDEX($A:$U,ROW(),$F$6))))</f>
        <v/>
      </c>
      <c r="AB704" s="31">
        <f>IF($AA704="","",SUBSTITUTE(SUBSTITUTE(SUBSTITUTE(SUBSTITUTE(SUBSTITUTE(SUBSTITUTE(SUBSTITUTE(SUBSTITUTE(SUBSTITUTE($AA704," ",""),"　",""),"(주)",""),"（주）",""),"㈜",""),"주식회사",""),"(유)",""),"（유）",""),"유한회사",""))</f>
        <v/>
      </c>
      <c r="AC704" s="31">
        <f>IF(OR($Y704="",N($Z704)&lt;=0,$AB704=""),0,IFERROR(LOOKUP(2,1/((거래처별!$AC$8:$AC$307&lt;&gt;"")*ISNUMBER(SEARCH(거래처별!$AC$8:$AC$307,$AB704))),거래처별!$A$8:$A$307),IFERROR(LOOKUP(2,1/((거래처별!$AD$8:$AD$307&lt;&gt;"")*ISNUMBER(SEARCH(거래처별!$AD$8:$AD$307,$AB704))),거래처별!$A$8:$A$307),IFERROR(LOOKUP(2,1/((거래처별!$AE$8:$AE$307&lt;&gt;"")*ISNUMBER(SEARCH(거래처별!$AE$8:$AE$307,$AB704))),거래처별!$A$8:$A$307),0))))</f>
        <v/>
      </c>
      <c r="AD704" s="31">
        <f>IF(AND($Y704&lt;&gt;"",N($Z704)&gt;0,$AC704=0),MAX($AD$7:$AD703)+1,"")</f>
        <v/>
      </c>
      <c r="AE704" s="31">
        <f>IF($Y704="",0,$Y704)</f>
        <v/>
      </c>
    </row>
    <row r="705">
      <c r="W705" s="31">
        <f>IF(OR($B$5="",$C$6="",ROW()&lt;$B$5),"",IF(INDEX($A:$U,ROW(),$C$6)="","",INDEX($A:$U,ROW(),$C$6)))</f>
        <v/>
      </c>
      <c r="X705" s="32">
        <f>IF($W705="","",IF(ISNUMBER($W705),IF($W705&gt;=10000000,IFERROR(DATE(INT($W705/10000),MOD(INT($W705/100),100),MOD($W705,100)),""),INT($W705)),IFERROR(DATE(--LEFT(LEFT(SUBSTITUTE(SUBSTITUTE(SUBSTITUTE(SUBSTITUTE(TRIM($W705),"-",""),".",""),"/","")," ",""),8),4),--MID(LEFT(SUBSTITUTE(SUBSTITUTE(SUBSTITUTE(SUBSTITUTE(TRIM($W705),"-",""),".",""),"/","")," ",""),8),5,2),--MID(LEFT(SUBSTITUTE(SUBSTITUTE(SUBSTITUTE(SUBSTITUTE(TRIM($W705),"-",""),".",""),"/","")," ",""),8),7,2)),"")))</f>
        <v/>
      </c>
      <c r="Y705" s="32">
        <f>IF($X705="","",INT($X705))</f>
        <v/>
      </c>
      <c r="Z705" s="33">
        <f>IF(OR($Y705="",$D$6=""),"",IF(INDEX($A:$U,ROW(),$D$6)="",0,IF(ISNUMBER(INDEX($A:$U,ROW(),$D$6)),INDEX($A:$U,ROW(),$D$6),IFERROR(--SUBSTITUTE(SUBSTITUTE(TRIM(INDEX($A:$U,ROW(),$D$6)),",",""),"원",""),0))))</f>
        <v/>
      </c>
      <c r="AA705" s="31">
        <f>IF($Y705="","",TRIM(INDEX($A:$U,ROW(),$E$6)&amp;IF($F$6="",""," "&amp;INDEX($A:$U,ROW(),$F$6))))</f>
        <v/>
      </c>
      <c r="AB705" s="31">
        <f>IF($AA705="","",SUBSTITUTE(SUBSTITUTE(SUBSTITUTE(SUBSTITUTE(SUBSTITUTE(SUBSTITUTE(SUBSTITUTE(SUBSTITUTE(SUBSTITUTE($AA705," ",""),"　",""),"(주)",""),"（주）",""),"㈜",""),"주식회사",""),"(유)",""),"（유）",""),"유한회사",""))</f>
        <v/>
      </c>
      <c r="AC705" s="31">
        <f>IF(OR($Y705="",N($Z705)&lt;=0,$AB705=""),0,IFERROR(LOOKUP(2,1/((거래처별!$AC$8:$AC$307&lt;&gt;"")*ISNUMBER(SEARCH(거래처별!$AC$8:$AC$307,$AB705))),거래처별!$A$8:$A$307),IFERROR(LOOKUP(2,1/((거래처별!$AD$8:$AD$307&lt;&gt;"")*ISNUMBER(SEARCH(거래처별!$AD$8:$AD$307,$AB705))),거래처별!$A$8:$A$307),IFERROR(LOOKUP(2,1/((거래처별!$AE$8:$AE$307&lt;&gt;"")*ISNUMBER(SEARCH(거래처별!$AE$8:$AE$307,$AB705))),거래처별!$A$8:$A$307),0))))</f>
        <v/>
      </c>
      <c r="AD705" s="31">
        <f>IF(AND($Y705&lt;&gt;"",N($Z705)&gt;0,$AC705=0),MAX($AD$7:$AD704)+1,"")</f>
        <v/>
      </c>
      <c r="AE705" s="31">
        <f>IF($Y705="",0,$Y705)</f>
        <v/>
      </c>
    </row>
    <row r="706">
      <c r="W706" s="31">
        <f>IF(OR($B$5="",$C$6="",ROW()&lt;$B$5),"",IF(INDEX($A:$U,ROW(),$C$6)="","",INDEX($A:$U,ROW(),$C$6)))</f>
        <v/>
      </c>
      <c r="X706" s="32">
        <f>IF($W706="","",IF(ISNUMBER($W706),IF($W706&gt;=10000000,IFERROR(DATE(INT($W706/10000),MOD(INT($W706/100),100),MOD($W706,100)),""),INT($W706)),IFERROR(DATE(--LEFT(LEFT(SUBSTITUTE(SUBSTITUTE(SUBSTITUTE(SUBSTITUTE(TRIM($W706),"-",""),".",""),"/","")," ",""),8),4),--MID(LEFT(SUBSTITUTE(SUBSTITUTE(SUBSTITUTE(SUBSTITUTE(TRIM($W706),"-",""),".",""),"/","")," ",""),8),5,2),--MID(LEFT(SUBSTITUTE(SUBSTITUTE(SUBSTITUTE(SUBSTITUTE(TRIM($W706),"-",""),".",""),"/","")," ",""),8),7,2)),"")))</f>
        <v/>
      </c>
      <c r="Y706" s="32">
        <f>IF($X706="","",INT($X706))</f>
        <v/>
      </c>
      <c r="Z706" s="33">
        <f>IF(OR($Y706="",$D$6=""),"",IF(INDEX($A:$U,ROW(),$D$6)="",0,IF(ISNUMBER(INDEX($A:$U,ROW(),$D$6)),INDEX($A:$U,ROW(),$D$6),IFERROR(--SUBSTITUTE(SUBSTITUTE(TRIM(INDEX($A:$U,ROW(),$D$6)),",",""),"원",""),0))))</f>
        <v/>
      </c>
      <c r="AA706" s="31">
        <f>IF($Y706="","",TRIM(INDEX($A:$U,ROW(),$E$6)&amp;IF($F$6="",""," "&amp;INDEX($A:$U,ROW(),$F$6))))</f>
        <v/>
      </c>
      <c r="AB706" s="31">
        <f>IF($AA706="","",SUBSTITUTE(SUBSTITUTE(SUBSTITUTE(SUBSTITUTE(SUBSTITUTE(SUBSTITUTE(SUBSTITUTE(SUBSTITUTE(SUBSTITUTE($AA706," ",""),"　",""),"(주)",""),"（주）",""),"㈜",""),"주식회사",""),"(유)",""),"（유）",""),"유한회사",""))</f>
        <v/>
      </c>
      <c r="AC706" s="31">
        <f>IF(OR($Y706="",N($Z706)&lt;=0,$AB706=""),0,IFERROR(LOOKUP(2,1/((거래처별!$AC$8:$AC$307&lt;&gt;"")*ISNUMBER(SEARCH(거래처별!$AC$8:$AC$307,$AB706))),거래처별!$A$8:$A$307),IFERROR(LOOKUP(2,1/((거래처별!$AD$8:$AD$307&lt;&gt;"")*ISNUMBER(SEARCH(거래처별!$AD$8:$AD$307,$AB706))),거래처별!$A$8:$A$307),IFERROR(LOOKUP(2,1/((거래처별!$AE$8:$AE$307&lt;&gt;"")*ISNUMBER(SEARCH(거래처별!$AE$8:$AE$307,$AB706))),거래처별!$A$8:$A$307),0))))</f>
        <v/>
      </c>
      <c r="AD706" s="31">
        <f>IF(AND($Y706&lt;&gt;"",N($Z706)&gt;0,$AC706=0),MAX($AD$7:$AD705)+1,"")</f>
        <v/>
      </c>
      <c r="AE706" s="31">
        <f>IF($Y706="",0,$Y706)</f>
        <v/>
      </c>
    </row>
    <row r="707">
      <c r="W707" s="31">
        <f>IF(OR($B$5="",$C$6="",ROW()&lt;$B$5),"",IF(INDEX($A:$U,ROW(),$C$6)="","",INDEX($A:$U,ROW(),$C$6)))</f>
        <v/>
      </c>
      <c r="X707" s="32">
        <f>IF($W707="","",IF(ISNUMBER($W707),IF($W707&gt;=10000000,IFERROR(DATE(INT($W707/10000),MOD(INT($W707/100),100),MOD($W707,100)),""),INT($W707)),IFERROR(DATE(--LEFT(LEFT(SUBSTITUTE(SUBSTITUTE(SUBSTITUTE(SUBSTITUTE(TRIM($W707),"-",""),".",""),"/","")," ",""),8),4),--MID(LEFT(SUBSTITUTE(SUBSTITUTE(SUBSTITUTE(SUBSTITUTE(TRIM($W707),"-",""),".",""),"/","")," ",""),8),5,2),--MID(LEFT(SUBSTITUTE(SUBSTITUTE(SUBSTITUTE(SUBSTITUTE(TRIM($W707),"-",""),".",""),"/","")," ",""),8),7,2)),"")))</f>
        <v/>
      </c>
      <c r="Y707" s="32">
        <f>IF($X707="","",INT($X707))</f>
        <v/>
      </c>
      <c r="Z707" s="33">
        <f>IF(OR($Y707="",$D$6=""),"",IF(INDEX($A:$U,ROW(),$D$6)="",0,IF(ISNUMBER(INDEX($A:$U,ROW(),$D$6)),INDEX($A:$U,ROW(),$D$6),IFERROR(--SUBSTITUTE(SUBSTITUTE(TRIM(INDEX($A:$U,ROW(),$D$6)),",",""),"원",""),0))))</f>
        <v/>
      </c>
      <c r="AA707" s="31">
        <f>IF($Y707="","",TRIM(INDEX($A:$U,ROW(),$E$6)&amp;IF($F$6="",""," "&amp;INDEX($A:$U,ROW(),$F$6))))</f>
        <v/>
      </c>
      <c r="AB707" s="31">
        <f>IF($AA707="","",SUBSTITUTE(SUBSTITUTE(SUBSTITUTE(SUBSTITUTE(SUBSTITUTE(SUBSTITUTE(SUBSTITUTE(SUBSTITUTE(SUBSTITUTE($AA707," ",""),"　",""),"(주)",""),"（주）",""),"㈜",""),"주식회사",""),"(유)",""),"（유）",""),"유한회사",""))</f>
        <v/>
      </c>
      <c r="AC707" s="31">
        <f>IF(OR($Y707="",N($Z707)&lt;=0,$AB707=""),0,IFERROR(LOOKUP(2,1/((거래처별!$AC$8:$AC$307&lt;&gt;"")*ISNUMBER(SEARCH(거래처별!$AC$8:$AC$307,$AB707))),거래처별!$A$8:$A$307),IFERROR(LOOKUP(2,1/((거래처별!$AD$8:$AD$307&lt;&gt;"")*ISNUMBER(SEARCH(거래처별!$AD$8:$AD$307,$AB707))),거래처별!$A$8:$A$307),IFERROR(LOOKUP(2,1/((거래처별!$AE$8:$AE$307&lt;&gt;"")*ISNUMBER(SEARCH(거래처별!$AE$8:$AE$307,$AB707))),거래처별!$A$8:$A$307),0))))</f>
        <v/>
      </c>
      <c r="AD707" s="31">
        <f>IF(AND($Y707&lt;&gt;"",N($Z707)&gt;0,$AC707=0),MAX($AD$7:$AD706)+1,"")</f>
        <v/>
      </c>
      <c r="AE707" s="31">
        <f>IF($Y707="",0,$Y707)</f>
        <v/>
      </c>
    </row>
    <row r="708">
      <c r="W708" s="31">
        <f>IF(OR($B$5="",$C$6="",ROW()&lt;$B$5),"",IF(INDEX($A:$U,ROW(),$C$6)="","",INDEX($A:$U,ROW(),$C$6)))</f>
        <v/>
      </c>
      <c r="X708" s="32">
        <f>IF($W708="","",IF(ISNUMBER($W708),IF($W708&gt;=10000000,IFERROR(DATE(INT($W708/10000),MOD(INT($W708/100),100),MOD($W708,100)),""),INT($W708)),IFERROR(DATE(--LEFT(LEFT(SUBSTITUTE(SUBSTITUTE(SUBSTITUTE(SUBSTITUTE(TRIM($W708),"-",""),".",""),"/","")," ",""),8),4),--MID(LEFT(SUBSTITUTE(SUBSTITUTE(SUBSTITUTE(SUBSTITUTE(TRIM($W708),"-",""),".",""),"/","")," ",""),8),5,2),--MID(LEFT(SUBSTITUTE(SUBSTITUTE(SUBSTITUTE(SUBSTITUTE(TRIM($W708),"-",""),".",""),"/","")," ",""),8),7,2)),"")))</f>
        <v/>
      </c>
      <c r="Y708" s="32">
        <f>IF($X708="","",INT($X708))</f>
        <v/>
      </c>
      <c r="Z708" s="33">
        <f>IF(OR($Y708="",$D$6=""),"",IF(INDEX($A:$U,ROW(),$D$6)="",0,IF(ISNUMBER(INDEX($A:$U,ROW(),$D$6)),INDEX($A:$U,ROW(),$D$6),IFERROR(--SUBSTITUTE(SUBSTITUTE(TRIM(INDEX($A:$U,ROW(),$D$6)),",",""),"원",""),0))))</f>
        <v/>
      </c>
      <c r="AA708" s="31">
        <f>IF($Y708="","",TRIM(INDEX($A:$U,ROW(),$E$6)&amp;IF($F$6="",""," "&amp;INDEX($A:$U,ROW(),$F$6))))</f>
        <v/>
      </c>
      <c r="AB708" s="31">
        <f>IF($AA708="","",SUBSTITUTE(SUBSTITUTE(SUBSTITUTE(SUBSTITUTE(SUBSTITUTE(SUBSTITUTE(SUBSTITUTE(SUBSTITUTE(SUBSTITUTE($AA708," ",""),"　",""),"(주)",""),"（주）",""),"㈜",""),"주식회사",""),"(유)",""),"（유）",""),"유한회사",""))</f>
        <v/>
      </c>
      <c r="AC708" s="31">
        <f>IF(OR($Y708="",N($Z708)&lt;=0,$AB708=""),0,IFERROR(LOOKUP(2,1/((거래처별!$AC$8:$AC$307&lt;&gt;"")*ISNUMBER(SEARCH(거래처별!$AC$8:$AC$307,$AB708))),거래처별!$A$8:$A$307),IFERROR(LOOKUP(2,1/((거래처별!$AD$8:$AD$307&lt;&gt;"")*ISNUMBER(SEARCH(거래처별!$AD$8:$AD$307,$AB708))),거래처별!$A$8:$A$307),IFERROR(LOOKUP(2,1/((거래처별!$AE$8:$AE$307&lt;&gt;"")*ISNUMBER(SEARCH(거래처별!$AE$8:$AE$307,$AB708))),거래처별!$A$8:$A$307),0))))</f>
        <v/>
      </c>
      <c r="AD708" s="31">
        <f>IF(AND($Y708&lt;&gt;"",N($Z708)&gt;0,$AC708=0),MAX($AD$7:$AD707)+1,"")</f>
        <v/>
      </c>
      <c r="AE708" s="31">
        <f>IF($Y708="",0,$Y708)</f>
        <v/>
      </c>
    </row>
    <row r="709">
      <c r="W709" s="31">
        <f>IF(OR($B$5="",$C$6="",ROW()&lt;$B$5),"",IF(INDEX($A:$U,ROW(),$C$6)="","",INDEX($A:$U,ROW(),$C$6)))</f>
        <v/>
      </c>
      <c r="X709" s="32">
        <f>IF($W709="","",IF(ISNUMBER($W709),IF($W709&gt;=10000000,IFERROR(DATE(INT($W709/10000),MOD(INT($W709/100),100),MOD($W709,100)),""),INT($W709)),IFERROR(DATE(--LEFT(LEFT(SUBSTITUTE(SUBSTITUTE(SUBSTITUTE(SUBSTITUTE(TRIM($W709),"-",""),".",""),"/","")," ",""),8),4),--MID(LEFT(SUBSTITUTE(SUBSTITUTE(SUBSTITUTE(SUBSTITUTE(TRIM($W709),"-",""),".",""),"/","")," ",""),8),5,2),--MID(LEFT(SUBSTITUTE(SUBSTITUTE(SUBSTITUTE(SUBSTITUTE(TRIM($W709),"-",""),".",""),"/","")," ",""),8),7,2)),"")))</f>
        <v/>
      </c>
      <c r="Y709" s="32">
        <f>IF($X709="","",INT($X709))</f>
        <v/>
      </c>
      <c r="Z709" s="33">
        <f>IF(OR($Y709="",$D$6=""),"",IF(INDEX($A:$U,ROW(),$D$6)="",0,IF(ISNUMBER(INDEX($A:$U,ROW(),$D$6)),INDEX($A:$U,ROW(),$D$6),IFERROR(--SUBSTITUTE(SUBSTITUTE(TRIM(INDEX($A:$U,ROW(),$D$6)),",",""),"원",""),0))))</f>
        <v/>
      </c>
      <c r="AA709" s="31">
        <f>IF($Y709="","",TRIM(INDEX($A:$U,ROW(),$E$6)&amp;IF($F$6="",""," "&amp;INDEX($A:$U,ROW(),$F$6))))</f>
        <v/>
      </c>
      <c r="AB709" s="31">
        <f>IF($AA709="","",SUBSTITUTE(SUBSTITUTE(SUBSTITUTE(SUBSTITUTE(SUBSTITUTE(SUBSTITUTE(SUBSTITUTE(SUBSTITUTE(SUBSTITUTE($AA709," ",""),"　",""),"(주)",""),"（주）",""),"㈜",""),"주식회사",""),"(유)",""),"（유）",""),"유한회사",""))</f>
        <v/>
      </c>
      <c r="AC709" s="31">
        <f>IF(OR($Y709="",N($Z709)&lt;=0,$AB709=""),0,IFERROR(LOOKUP(2,1/((거래처별!$AC$8:$AC$307&lt;&gt;"")*ISNUMBER(SEARCH(거래처별!$AC$8:$AC$307,$AB709))),거래처별!$A$8:$A$307),IFERROR(LOOKUP(2,1/((거래처별!$AD$8:$AD$307&lt;&gt;"")*ISNUMBER(SEARCH(거래처별!$AD$8:$AD$307,$AB709))),거래처별!$A$8:$A$307),IFERROR(LOOKUP(2,1/((거래처별!$AE$8:$AE$307&lt;&gt;"")*ISNUMBER(SEARCH(거래처별!$AE$8:$AE$307,$AB709))),거래처별!$A$8:$A$307),0))))</f>
        <v/>
      </c>
      <c r="AD709" s="31">
        <f>IF(AND($Y709&lt;&gt;"",N($Z709)&gt;0,$AC709=0),MAX($AD$7:$AD708)+1,"")</f>
        <v/>
      </c>
      <c r="AE709" s="31">
        <f>IF($Y709="",0,$Y709)</f>
        <v/>
      </c>
    </row>
    <row r="710">
      <c r="W710" s="31">
        <f>IF(OR($B$5="",$C$6="",ROW()&lt;$B$5),"",IF(INDEX($A:$U,ROW(),$C$6)="","",INDEX($A:$U,ROW(),$C$6)))</f>
        <v/>
      </c>
      <c r="X710" s="32">
        <f>IF($W710="","",IF(ISNUMBER($W710),IF($W710&gt;=10000000,IFERROR(DATE(INT($W710/10000),MOD(INT($W710/100),100),MOD($W710,100)),""),INT($W710)),IFERROR(DATE(--LEFT(LEFT(SUBSTITUTE(SUBSTITUTE(SUBSTITUTE(SUBSTITUTE(TRIM($W710),"-",""),".",""),"/","")," ",""),8),4),--MID(LEFT(SUBSTITUTE(SUBSTITUTE(SUBSTITUTE(SUBSTITUTE(TRIM($W710),"-",""),".",""),"/","")," ",""),8),5,2),--MID(LEFT(SUBSTITUTE(SUBSTITUTE(SUBSTITUTE(SUBSTITUTE(TRIM($W710),"-",""),".",""),"/","")," ",""),8),7,2)),"")))</f>
        <v/>
      </c>
      <c r="Y710" s="32">
        <f>IF($X710="","",INT($X710))</f>
        <v/>
      </c>
      <c r="Z710" s="33">
        <f>IF(OR($Y710="",$D$6=""),"",IF(INDEX($A:$U,ROW(),$D$6)="",0,IF(ISNUMBER(INDEX($A:$U,ROW(),$D$6)),INDEX($A:$U,ROW(),$D$6),IFERROR(--SUBSTITUTE(SUBSTITUTE(TRIM(INDEX($A:$U,ROW(),$D$6)),",",""),"원",""),0))))</f>
        <v/>
      </c>
      <c r="AA710" s="31">
        <f>IF($Y710="","",TRIM(INDEX($A:$U,ROW(),$E$6)&amp;IF($F$6="",""," "&amp;INDEX($A:$U,ROW(),$F$6))))</f>
        <v/>
      </c>
      <c r="AB710" s="31">
        <f>IF($AA710="","",SUBSTITUTE(SUBSTITUTE(SUBSTITUTE(SUBSTITUTE(SUBSTITUTE(SUBSTITUTE(SUBSTITUTE(SUBSTITUTE(SUBSTITUTE($AA710," ",""),"　",""),"(주)",""),"（주）",""),"㈜",""),"주식회사",""),"(유)",""),"（유）",""),"유한회사",""))</f>
        <v/>
      </c>
      <c r="AC710" s="31">
        <f>IF(OR($Y710="",N($Z710)&lt;=0,$AB710=""),0,IFERROR(LOOKUP(2,1/((거래처별!$AC$8:$AC$307&lt;&gt;"")*ISNUMBER(SEARCH(거래처별!$AC$8:$AC$307,$AB710))),거래처별!$A$8:$A$307),IFERROR(LOOKUP(2,1/((거래처별!$AD$8:$AD$307&lt;&gt;"")*ISNUMBER(SEARCH(거래처별!$AD$8:$AD$307,$AB710))),거래처별!$A$8:$A$307),IFERROR(LOOKUP(2,1/((거래처별!$AE$8:$AE$307&lt;&gt;"")*ISNUMBER(SEARCH(거래처별!$AE$8:$AE$307,$AB710))),거래처별!$A$8:$A$307),0))))</f>
        <v/>
      </c>
      <c r="AD710" s="31">
        <f>IF(AND($Y710&lt;&gt;"",N($Z710)&gt;0,$AC710=0),MAX($AD$7:$AD709)+1,"")</f>
        <v/>
      </c>
      <c r="AE710" s="31">
        <f>IF($Y710="",0,$Y710)</f>
        <v/>
      </c>
    </row>
    <row r="711">
      <c r="W711" s="31">
        <f>IF(OR($B$5="",$C$6="",ROW()&lt;$B$5),"",IF(INDEX($A:$U,ROW(),$C$6)="","",INDEX($A:$U,ROW(),$C$6)))</f>
        <v/>
      </c>
      <c r="X711" s="32">
        <f>IF($W711="","",IF(ISNUMBER($W711),IF($W711&gt;=10000000,IFERROR(DATE(INT($W711/10000),MOD(INT($W711/100),100),MOD($W711,100)),""),INT($W711)),IFERROR(DATE(--LEFT(LEFT(SUBSTITUTE(SUBSTITUTE(SUBSTITUTE(SUBSTITUTE(TRIM($W711),"-",""),".",""),"/","")," ",""),8),4),--MID(LEFT(SUBSTITUTE(SUBSTITUTE(SUBSTITUTE(SUBSTITUTE(TRIM($W711),"-",""),".",""),"/","")," ",""),8),5,2),--MID(LEFT(SUBSTITUTE(SUBSTITUTE(SUBSTITUTE(SUBSTITUTE(TRIM($W711),"-",""),".",""),"/","")," ",""),8),7,2)),"")))</f>
        <v/>
      </c>
      <c r="Y711" s="32">
        <f>IF($X711="","",INT($X711))</f>
        <v/>
      </c>
      <c r="Z711" s="33">
        <f>IF(OR($Y711="",$D$6=""),"",IF(INDEX($A:$U,ROW(),$D$6)="",0,IF(ISNUMBER(INDEX($A:$U,ROW(),$D$6)),INDEX($A:$U,ROW(),$D$6),IFERROR(--SUBSTITUTE(SUBSTITUTE(TRIM(INDEX($A:$U,ROW(),$D$6)),",",""),"원",""),0))))</f>
        <v/>
      </c>
      <c r="AA711" s="31">
        <f>IF($Y711="","",TRIM(INDEX($A:$U,ROW(),$E$6)&amp;IF($F$6="",""," "&amp;INDEX($A:$U,ROW(),$F$6))))</f>
        <v/>
      </c>
      <c r="AB711" s="31">
        <f>IF($AA711="","",SUBSTITUTE(SUBSTITUTE(SUBSTITUTE(SUBSTITUTE(SUBSTITUTE(SUBSTITUTE(SUBSTITUTE(SUBSTITUTE(SUBSTITUTE($AA711," ",""),"　",""),"(주)",""),"（주）",""),"㈜",""),"주식회사",""),"(유)",""),"（유）",""),"유한회사",""))</f>
        <v/>
      </c>
      <c r="AC711" s="31">
        <f>IF(OR($Y711="",N($Z711)&lt;=0,$AB711=""),0,IFERROR(LOOKUP(2,1/((거래처별!$AC$8:$AC$307&lt;&gt;"")*ISNUMBER(SEARCH(거래처별!$AC$8:$AC$307,$AB711))),거래처별!$A$8:$A$307),IFERROR(LOOKUP(2,1/((거래처별!$AD$8:$AD$307&lt;&gt;"")*ISNUMBER(SEARCH(거래처별!$AD$8:$AD$307,$AB711))),거래처별!$A$8:$A$307),IFERROR(LOOKUP(2,1/((거래처별!$AE$8:$AE$307&lt;&gt;"")*ISNUMBER(SEARCH(거래처별!$AE$8:$AE$307,$AB711))),거래처별!$A$8:$A$307),0))))</f>
        <v/>
      </c>
      <c r="AD711" s="31">
        <f>IF(AND($Y711&lt;&gt;"",N($Z711)&gt;0,$AC711=0),MAX($AD$7:$AD710)+1,"")</f>
        <v/>
      </c>
      <c r="AE711" s="31">
        <f>IF($Y711="",0,$Y711)</f>
        <v/>
      </c>
    </row>
    <row r="712">
      <c r="W712" s="31">
        <f>IF(OR($B$5="",$C$6="",ROW()&lt;$B$5),"",IF(INDEX($A:$U,ROW(),$C$6)="","",INDEX($A:$U,ROW(),$C$6)))</f>
        <v/>
      </c>
      <c r="X712" s="32">
        <f>IF($W712="","",IF(ISNUMBER($W712),IF($W712&gt;=10000000,IFERROR(DATE(INT($W712/10000),MOD(INT($W712/100),100),MOD($W712,100)),""),INT($W712)),IFERROR(DATE(--LEFT(LEFT(SUBSTITUTE(SUBSTITUTE(SUBSTITUTE(SUBSTITUTE(TRIM($W712),"-",""),".",""),"/","")," ",""),8),4),--MID(LEFT(SUBSTITUTE(SUBSTITUTE(SUBSTITUTE(SUBSTITUTE(TRIM($W712),"-",""),".",""),"/","")," ",""),8),5,2),--MID(LEFT(SUBSTITUTE(SUBSTITUTE(SUBSTITUTE(SUBSTITUTE(TRIM($W712),"-",""),".",""),"/","")," ",""),8),7,2)),"")))</f>
        <v/>
      </c>
      <c r="Y712" s="32">
        <f>IF($X712="","",INT($X712))</f>
        <v/>
      </c>
      <c r="Z712" s="33">
        <f>IF(OR($Y712="",$D$6=""),"",IF(INDEX($A:$U,ROW(),$D$6)="",0,IF(ISNUMBER(INDEX($A:$U,ROW(),$D$6)),INDEX($A:$U,ROW(),$D$6),IFERROR(--SUBSTITUTE(SUBSTITUTE(TRIM(INDEX($A:$U,ROW(),$D$6)),",",""),"원",""),0))))</f>
        <v/>
      </c>
      <c r="AA712" s="31">
        <f>IF($Y712="","",TRIM(INDEX($A:$U,ROW(),$E$6)&amp;IF($F$6="",""," "&amp;INDEX($A:$U,ROW(),$F$6))))</f>
        <v/>
      </c>
      <c r="AB712" s="31">
        <f>IF($AA712="","",SUBSTITUTE(SUBSTITUTE(SUBSTITUTE(SUBSTITUTE(SUBSTITUTE(SUBSTITUTE(SUBSTITUTE(SUBSTITUTE(SUBSTITUTE($AA712," ",""),"　",""),"(주)",""),"（주）",""),"㈜",""),"주식회사",""),"(유)",""),"（유）",""),"유한회사",""))</f>
        <v/>
      </c>
      <c r="AC712" s="31">
        <f>IF(OR($Y712="",N($Z712)&lt;=0,$AB712=""),0,IFERROR(LOOKUP(2,1/((거래처별!$AC$8:$AC$307&lt;&gt;"")*ISNUMBER(SEARCH(거래처별!$AC$8:$AC$307,$AB712))),거래처별!$A$8:$A$307),IFERROR(LOOKUP(2,1/((거래처별!$AD$8:$AD$307&lt;&gt;"")*ISNUMBER(SEARCH(거래처별!$AD$8:$AD$307,$AB712))),거래처별!$A$8:$A$307),IFERROR(LOOKUP(2,1/((거래처별!$AE$8:$AE$307&lt;&gt;"")*ISNUMBER(SEARCH(거래처별!$AE$8:$AE$307,$AB712))),거래처별!$A$8:$A$307),0))))</f>
        <v/>
      </c>
      <c r="AD712" s="31">
        <f>IF(AND($Y712&lt;&gt;"",N($Z712)&gt;0,$AC712=0),MAX($AD$7:$AD711)+1,"")</f>
        <v/>
      </c>
      <c r="AE712" s="31">
        <f>IF($Y712="",0,$Y712)</f>
        <v/>
      </c>
    </row>
    <row r="713">
      <c r="W713" s="31">
        <f>IF(OR($B$5="",$C$6="",ROW()&lt;$B$5),"",IF(INDEX($A:$U,ROW(),$C$6)="","",INDEX($A:$U,ROW(),$C$6)))</f>
        <v/>
      </c>
      <c r="X713" s="32">
        <f>IF($W713="","",IF(ISNUMBER($W713),IF($W713&gt;=10000000,IFERROR(DATE(INT($W713/10000),MOD(INT($W713/100),100),MOD($W713,100)),""),INT($W713)),IFERROR(DATE(--LEFT(LEFT(SUBSTITUTE(SUBSTITUTE(SUBSTITUTE(SUBSTITUTE(TRIM($W713),"-",""),".",""),"/","")," ",""),8),4),--MID(LEFT(SUBSTITUTE(SUBSTITUTE(SUBSTITUTE(SUBSTITUTE(TRIM($W713),"-",""),".",""),"/","")," ",""),8),5,2),--MID(LEFT(SUBSTITUTE(SUBSTITUTE(SUBSTITUTE(SUBSTITUTE(TRIM($W713),"-",""),".",""),"/","")," ",""),8),7,2)),"")))</f>
        <v/>
      </c>
      <c r="Y713" s="32">
        <f>IF($X713="","",INT($X713))</f>
        <v/>
      </c>
      <c r="Z713" s="33">
        <f>IF(OR($Y713="",$D$6=""),"",IF(INDEX($A:$U,ROW(),$D$6)="",0,IF(ISNUMBER(INDEX($A:$U,ROW(),$D$6)),INDEX($A:$U,ROW(),$D$6),IFERROR(--SUBSTITUTE(SUBSTITUTE(TRIM(INDEX($A:$U,ROW(),$D$6)),",",""),"원",""),0))))</f>
        <v/>
      </c>
      <c r="AA713" s="31">
        <f>IF($Y713="","",TRIM(INDEX($A:$U,ROW(),$E$6)&amp;IF($F$6="",""," "&amp;INDEX($A:$U,ROW(),$F$6))))</f>
        <v/>
      </c>
      <c r="AB713" s="31">
        <f>IF($AA713="","",SUBSTITUTE(SUBSTITUTE(SUBSTITUTE(SUBSTITUTE(SUBSTITUTE(SUBSTITUTE(SUBSTITUTE(SUBSTITUTE(SUBSTITUTE($AA713," ",""),"　",""),"(주)",""),"（주）",""),"㈜",""),"주식회사",""),"(유)",""),"（유）",""),"유한회사",""))</f>
        <v/>
      </c>
      <c r="AC713" s="31">
        <f>IF(OR($Y713="",N($Z713)&lt;=0,$AB713=""),0,IFERROR(LOOKUP(2,1/((거래처별!$AC$8:$AC$307&lt;&gt;"")*ISNUMBER(SEARCH(거래처별!$AC$8:$AC$307,$AB713))),거래처별!$A$8:$A$307),IFERROR(LOOKUP(2,1/((거래처별!$AD$8:$AD$307&lt;&gt;"")*ISNUMBER(SEARCH(거래처별!$AD$8:$AD$307,$AB713))),거래처별!$A$8:$A$307),IFERROR(LOOKUP(2,1/((거래처별!$AE$8:$AE$307&lt;&gt;"")*ISNUMBER(SEARCH(거래처별!$AE$8:$AE$307,$AB713))),거래처별!$A$8:$A$307),0))))</f>
        <v/>
      </c>
      <c r="AD713" s="31">
        <f>IF(AND($Y713&lt;&gt;"",N($Z713)&gt;0,$AC713=0),MAX($AD$7:$AD712)+1,"")</f>
        <v/>
      </c>
      <c r="AE713" s="31">
        <f>IF($Y713="",0,$Y713)</f>
        <v/>
      </c>
    </row>
    <row r="714">
      <c r="W714" s="31">
        <f>IF(OR($B$5="",$C$6="",ROW()&lt;$B$5),"",IF(INDEX($A:$U,ROW(),$C$6)="","",INDEX($A:$U,ROW(),$C$6)))</f>
        <v/>
      </c>
      <c r="X714" s="32">
        <f>IF($W714="","",IF(ISNUMBER($W714),IF($W714&gt;=10000000,IFERROR(DATE(INT($W714/10000),MOD(INT($W714/100),100),MOD($W714,100)),""),INT($W714)),IFERROR(DATE(--LEFT(LEFT(SUBSTITUTE(SUBSTITUTE(SUBSTITUTE(SUBSTITUTE(TRIM($W714),"-",""),".",""),"/","")," ",""),8),4),--MID(LEFT(SUBSTITUTE(SUBSTITUTE(SUBSTITUTE(SUBSTITUTE(TRIM($W714),"-",""),".",""),"/","")," ",""),8),5,2),--MID(LEFT(SUBSTITUTE(SUBSTITUTE(SUBSTITUTE(SUBSTITUTE(TRIM($W714),"-",""),".",""),"/","")," ",""),8),7,2)),"")))</f>
        <v/>
      </c>
      <c r="Y714" s="32">
        <f>IF($X714="","",INT($X714))</f>
        <v/>
      </c>
      <c r="Z714" s="33">
        <f>IF(OR($Y714="",$D$6=""),"",IF(INDEX($A:$U,ROW(),$D$6)="",0,IF(ISNUMBER(INDEX($A:$U,ROW(),$D$6)),INDEX($A:$U,ROW(),$D$6),IFERROR(--SUBSTITUTE(SUBSTITUTE(TRIM(INDEX($A:$U,ROW(),$D$6)),",",""),"원",""),0))))</f>
        <v/>
      </c>
      <c r="AA714" s="31">
        <f>IF($Y714="","",TRIM(INDEX($A:$U,ROW(),$E$6)&amp;IF($F$6="",""," "&amp;INDEX($A:$U,ROW(),$F$6))))</f>
        <v/>
      </c>
      <c r="AB714" s="31">
        <f>IF($AA714="","",SUBSTITUTE(SUBSTITUTE(SUBSTITUTE(SUBSTITUTE(SUBSTITUTE(SUBSTITUTE(SUBSTITUTE(SUBSTITUTE(SUBSTITUTE($AA714," ",""),"　",""),"(주)",""),"（주）",""),"㈜",""),"주식회사",""),"(유)",""),"（유）",""),"유한회사",""))</f>
        <v/>
      </c>
      <c r="AC714" s="31">
        <f>IF(OR($Y714="",N($Z714)&lt;=0,$AB714=""),0,IFERROR(LOOKUP(2,1/((거래처별!$AC$8:$AC$307&lt;&gt;"")*ISNUMBER(SEARCH(거래처별!$AC$8:$AC$307,$AB714))),거래처별!$A$8:$A$307),IFERROR(LOOKUP(2,1/((거래처별!$AD$8:$AD$307&lt;&gt;"")*ISNUMBER(SEARCH(거래처별!$AD$8:$AD$307,$AB714))),거래처별!$A$8:$A$307),IFERROR(LOOKUP(2,1/((거래처별!$AE$8:$AE$307&lt;&gt;"")*ISNUMBER(SEARCH(거래처별!$AE$8:$AE$307,$AB714))),거래처별!$A$8:$A$307),0))))</f>
        <v/>
      </c>
      <c r="AD714" s="31">
        <f>IF(AND($Y714&lt;&gt;"",N($Z714)&gt;0,$AC714=0),MAX($AD$7:$AD713)+1,"")</f>
        <v/>
      </c>
      <c r="AE714" s="31">
        <f>IF($Y714="",0,$Y714)</f>
        <v/>
      </c>
    </row>
    <row r="715">
      <c r="W715" s="31">
        <f>IF(OR($B$5="",$C$6="",ROW()&lt;$B$5),"",IF(INDEX($A:$U,ROW(),$C$6)="","",INDEX($A:$U,ROW(),$C$6)))</f>
        <v/>
      </c>
      <c r="X715" s="32">
        <f>IF($W715="","",IF(ISNUMBER($W715),IF($W715&gt;=10000000,IFERROR(DATE(INT($W715/10000),MOD(INT($W715/100),100),MOD($W715,100)),""),INT($W715)),IFERROR(DATE(--LEFT(LEFT(SUBSTITUTE(SUBSTITUTE(SUBSTITUTE(SUBSTITUTE(TRIM($W715),"-",""),".",""),"/","")," ",""),8),4),--MID(LEFT(SUBSTITUTE(SUBSTITUTE(SUBSTITUTE(SUBSTITUTE(TRIM($W715),"-",""),".",""),"/","")," ",""),8),5,2),--MID(LEFT(SUBSTITUTE(SUBSTITUTE(SUBSTITUTE(SUBSTITUTE(TRIM($W715),"-",""),".",""),"/","")," ",""),8),7,2)),"")))</f>
        <v/>
      </c>
      <c r="Y715" s="32">
        <f>IF($X715="","",INT($X715))</f>
        <v/>
      </c>
      <c r="Z715" s="33">
        <f>IF(OR($Y715="",$D$6=""),"",IF(INDEX($A:$U,ROW(),$D$6)="",0,IF(ISNUMBER(INDEX($A:$U,ROW(),$D$6)),INDEX($A:$U,ROW(),$D$6),IFERROR(--SUBSTITUTE(SUBSTITUTE(TRIM(INDEX($A:$U,ROW(),$D$6)),",",""),"원",""),0))))</f>
        <v/>
      </c>
      <c r="AA715" s="31">
        <f>IF($Y715="","",TRIM(INDEX($A:$U,ROW(),$E$6)&amp;IF($F$6="",""," "&amp;INDEX($A:$U,ROW(),$F$6))))</f>
        <v/>
      </c>
      <c r="AB715" s="31">
        <f>IF($AA715="","",SUBSTITUTE(SUBSTITUTE(SUBSTITUTE(SUBSTITUTE(SUBSTITUTE(SUBSTITUTE(SUBSTITUTE(SUBSTITUTE(SUBSTITUTE($AA715," ",""),"　",""),"(주)",""),"（주）",""),"㈜",""),"주식회사",""),"(유)",""),"（유）",""),"유한회사",""))</f>
        <v/>
      </c>
      <c r="AC715" s="31">
        <f>IF(OR($Y715="",N($Z715)&lt;=0,$AB715=""),0,IFERROR(LOOKUP(2,1/((거래처별!$AC$8:$AC$307&lt;&gt;"")*ISNUMBER(SEARCH(거래처별!$AC$8:$AC$307,$AB715))),거래처별!$A$8:$A$307),IFERROR(LOOKUP(2,1/((거래처별!$AD$8:$AD$307&lt;&gt;"")*ISNUMBER(SEARCH(거래처별!$AD$8:$AD$307,$AB715))),거래처별!$A$8:$A$307),IFERROR(LOOKUP(2,1/((거래처별!$AE$8:$AE$307&lt;&gt;"")*ISNUMBER(SEARCH(거래처별!$AE$8:$AE$307,$AB715))),거래처별!$A$8:$A$307),0))))</f>
        <v/>
      </c>
      <c r="AD715" s="31">
        <f>IF(AND($Y715&lt;&gt;"",N($Z715)&gt;0,$AC715=0),MAX($AD$7:$AD714)+1,"")</f>
        <v/>
      </c>
      <c r="AE715" s="31">
        <f>IF($Y715="",0,$Y715)</f>
        <v/>
      </c>
    </row>
    <row r="716">
      <c r="W716" s="31">
        <f>IF(OR($B$5="",$C$6="",ROW()&lt;$B$5),"",IF(INDEX($A:$U,ROW(),$C$6)="","",INDEX($A:$U,ROW(),$C$6)))</f>
        <v/>
      </c>
      <c r="X716" s="32">
        <f>IF($W716="","",IF(ISNUMBER($W716),IF($W716&gt;=10000000,IFERROR(DATE(INT($W716/10000),MOD(INT($W716/100),100),MOD($W716,100)),""),INT($W716)),IFERROR(DATE(--LEFT(LEFT(SUBSTITUTE(SUBSTITUTE(SUBSTITUTE(SUBSTITUTE(TRIM($W716),"-",""),".",""),"/","")," ",""),8),4),--MID(LEFT(SUBSTITUTE(SUBSTITUTE(SUBSTITUTE(SUBSTITUTE(TRIM($W716),"-",""),".",""),"/","")," ",""),8),5,2),--MID(LEFT(SUBSTITUTE(SUBSTITUTE(SUBSTITUTE(SUBSTITUTE(TRIM($W716),"-",""),".",""),"/","")," ",""),8),7,2)),"")))</f>
        <v/>
      </c>
      <c r="Y716" s="32">
        <f>IF($X716="","",INT($X716))</f>
        <v/>
      </c>
      <c r="Z716" s="33">
        <f>IF(OR($Y716="",$D$6=""),"",IF(INDEX($A:$U,ROW(),$D$6)="",0,IF(ISNUMBER(INDEX($A:$U,ROW(),$D$6)),INDEX($A:$U,ROW(),$D$6),IFERROR(--SUBSTITUTE(SUBSTITUTE(TRIM(INDEX($A:$U,ROW(),$D$6)),",",""),"원",""),0))))</f>
        <v/>
      </c>
      <c r="AA716" s="31">
        <f>IF($Y716="","",TRIM(INDEX($A:$U,ROW(),$E$6)&amp;IF($F$6="",""," "&amp;INDEX($A:$U,ROW(),$F$6))))</f>
        <v/>
      </c>
      <c r="AB716" s="31">
        <f>IF($AA716="","",SUBSTITUTE(SUBSTITUTE(SUBSTITUTE(SUBSTITUTE(SUBSTITUTE(SUBSTITUTE(SUBSTITUTE(SUBSTITUTE(SUBSTITUTE($AA716," ",""),"　",""),"(주)",""),"（주）",""),"㈜",""),"주식회사",""),"(유)",""),"（유）",""),"유한회사",""))</f>
        <v/>
      </c>
      <c r="AC716" s="31">
        <f>IF(OR($Y716="",N($Z716)&lt;=0,$AB716=""),0,IFERROR(LOOKUP(2,1/((거래처별!$AC$8:$AC$307&lt;&gt;"")*ISNUMBER(SEARCH(거래처별!$AC$8:$AC$307,$AB716))),거래처별!$A$8:$A$307),IFERROR(LOOKUP(2,1/((거래처별!$AD$8:$AD$307&lt;&gt;"")*ISNUMBER(SEARCH(거래처별!$AD$8:$AD$307,$AB716))),거래처별!$A$8:$A$307),IFERROR(LOOKUP(2,1/((거래처별!$AE$8:$AE$307&lt;&gt;"")*ISNUMBER(SEARCH(거래처별!$AE$8:$AE$307,$AB716))),거래처별!$A$8:$A$307),0))))</f>
        <v/>
      </c>
      <c r="AD716" s="31">
        <f>IF(AND($Y716&lt;&gt;"",N($Z716)&gt;0,$AC716=0),MAX($AD$7:$AD715)+1,"")</f>
        <v/>
      </c>
      <c r="AE716" s="31">
        <f>IF($Y716="",0,$Y716)</f>
        <v/>
      </c>
    </row>
    <row r="717">
      <c r="W717" s="31">
        <f>IF(OR($B$5="",$C$6="",ROW()&lt;$B$5),"",IF(INDEX($A:$U,ROW(),$C$6)="","",INDEX($A:$U,ROW(),$C$6)))</f>
        <v/>
      </c>
      <c r="X717" s="32">
        <f>IF($W717="","",IF(ISNUMBER($W717),IF($W717&gt;=10000000,IFERROR(DATE(INT($W717/10000),MOD(INT($W717/100),100),MOD($W717,100)),""),INT($W717)),IFERROR(DATE(--LEFT(LEFT(SUBSTITUTE(SUBSTITUTE(SUBSTITUTE(SUBSTITUTE(TRIM($W717),"-",""),".",""),"/","")," ",""),8),4),--MID(LEFT(SUBSTITUTE(SUBSTITUTE(SUBSTITUTE(SUBSTITUTE(TRIM($W717),"-",""),".",""),"/","")," ",""),8),5,2),--MID(LEFT(SUBSTITUTE(SUBSTITUTE(SUBSTITUTE(SUBSTITUTE(TRIM($W717),"-",""),".",""),"/","")," ",""),8),7,2)),"")))</f>
        <v/>
      </c>
      <c r="Y717" s="32">
        <f>IF($X717="","",INT($X717))</f>
        <v/>
      </c>
      <c r="Z717" s="33">
        <f>IF(OR($Y717="",$D$6=""),"",IF(INDEX($A:$U,ROW(),$D$6)="",0,IF(ISNUMBER(INDEX($A:$U,ROW(),$D$6)),INDEX($A:$U,ROW(),$D$6),IFERROR(--SUBSTITUTE(SUBSTITUTE(TRIM(INDEX($A:$U,ROW(),$D$6)),",",""),"원",""),0))))</f>
        <v/>
      </c>
      <c r="AA717" s="31">
        <f>IF($Y717="","",TRIM(INDEX($A:$U,ROW(),$E$6)&amp;IF($F$6="",""," "&amp;INDEX($A:$U,ROW(),$F$6))))</f>
        <v/>
      </c>
      <c r="AB717" s="31">
        <f>IF($AA717="","",SUBSTITUTE(SUBSTITUTE(SUBSTITUTE(SUBSTITUTE(SUBSTITUTE(SUBSTITUTE(SUBSTITUTE(SUBSTITUTE(SUBSTITUTE($AA717," ",""),"　",""),"(주)",""),"（주）",""),"㈜",""),"주식회사",""),"(유)",""),"（유）",""),"유한회사",""))</f>
        <v/>
      </c>
      <c r="AC717" s="31">
        <f>IF(OR($Y717="",N($Z717)&lt;=0,$AB717=""),0,IFERROR(LOOKUP(2,1/((거래처별!$AC$8:$AC$307&lt;&gt;"")*ISNUMBER(SEARCH(거래처별!$AC$8:$AC$307,$AB717))),거래처별!$A$8:$A$307),IFERROR(LOOKUP(2,1/((거래처별!$AD$8:$AD$307&lt;&gt;"")*ISNUMBER(SEARCH(거래처별!$AD$8:$AD$307,$AB717))),거래처별!$A$8:$A$307),IFERROR(LOOKUP(2,1/((거래처별!$AE$8:$AE$307&lt;&gt;"")*ISNUMBER(SEARCH(거래처별!$AE$8:$AE$307,$AB717))),거래처별!$A$8:$A$307),0))))</f>
        <v/>
      </c>
      <c r="AD717" s="31">
        <f>IF(AND($Y717&lt;&gt;"",N($Z717)&gt;0,$AC717=0),MAX($AD$7:$AD716)+1,"")</f>
        <v/>
      </c>
      <c r="AE717" s="31">
        <f>IF($Y717="",0,$Y717)</f>
        <v/>
      </c>
    </row>
    <row r="718">
      <c r="W718" s="31">
        <f>IF(OR($B$5="",$C$6="",ROW()&lt;$B$5),"",IF(INDEX($A:$U,ROW(),$C$6)="","",INDEX($A:$U,ROW(),$C$6)))</f>
        <v/>
      </c>
      <c r="X718" s="32">
        <f>IF($W718="","",IF(ISNUMBER($W718),IF($W718&gt;=10000000,IFERROR(DATE(INT($W718/10000),MOD(INT($W718/100),100),MOD($W718,100)),""),INT($W718)),IFERROR(DATE(--LEFT(LEFT(SUBSTITUTE(SUBSTITUTE(SUBSTITUTE(SUBSTITUTE(TRIM($W718),"-",""),".",""),"/","")," ",""),8),4),--MID(LEFT(SUBSTITUTE(SUBSTITUTE(SUBSTITUTE(SUBSTITUTE(TRIM($W718),"-",""),".",""),"/","")," ",""),8),5,2),--MID(LEFT(SUBSTITUTE(SUBSTITUTE(SUBSTITUTE(SUBSTITUTE(TRIM($W718),"-",""),".",""),"/","")," ",""),8),7,2)),"")))</f>
        <v/>
      </c>
      <c r="Y718" s="32">
        <f>IF($X718="","",INT($X718))</f>
        <v/>
      </c>
      <c r="Z718" s="33">
        <f>IF(OR($Y718="",$D$6=""),"",IF(INDEX($A:$U,ROW(),$D$6)="",0,IF(ISNUMBER(INDEX($A:$U,ROW(),$D$6)),INDEX($A:$U,ROW(),$D$6),IFERROR(--SUBSTITUTE(SUBSTITUTE(TRIM(INDEX($A:$U,ROW(),$D$6)),",",""),"원",""),0))))</f>
        <v/>
      </c>
      <c r="AA718" s="31">
        <f>IF($Y718="","",TRIM(INDEX($A:$U,ROW(),$E$6)&amp;IF($F$6="",""," "&amp;INDEX($A:$U,ROW(),$F$6))))</f>
        <v/>
      </c>
      <c r="AB718" s="31">
        <f>IF($AA718="","",SUBSTITUTE(SUBSTITUTE(SUBSTITUTE(SUBSTITUTE(SUBSTITUTE(SUBSTITUTE(SUBSTITUTE(SUBSTITUTE(SUBSTITUTE($AA718," ",""),"　",""),"(주)",""),"（주）",""),"㈜",""),"주식회사",""),"(유)",""),"（유）",""),"유한회사",""))</f>
        <v/>
      </c>
      <c r="AC718" s="31">
        <f>IF(OR($Y718="",N($Z718)&lt;=0,$AB718=""),0,IFERROR(LOOKUP(2,1/((거래처별!$AC$8:$AC$307&lt;&gt;"")*ISNUMBER(SEARCH(거래처별!$AC$8:$AC$307,$AB718))),거래처별!$A$8:$A$307),IFERROR(LOOKUP(2,1/((거래처별!$AD$8:$AD$307&lt;&gt;"")*ISNUMBER(SEARCH(거래처별!$AD$8:$AD$307,$AB718))),거래처별!$A$8:$A$307),IFERROR(LOOKUP(2,1/((거래처별!$AE$8:$AE$307&lt;&gt;"")*ISNUMBER(SEARCH(거래처별!$AE$8:$AE$307,$AB718))),거래처별!$A$8:$A$307),0))))</f>
        <v/>
      </c>
      <c r="AD718" s="31">
        <f>IF(AND($Y718&lt;&gt;"",N($Z718)&gt;0,$AC718=0),MAX($AD$7:$AD717)+1,"")</f>
        <v/>
      </c>
      <c r="AE718" s="31">
        <f>IF($Y718="",0,$Y718)</f>
        <v/>
      </c>
    </row>
    <row r="719">
      <c r="W719" s="31">
        <f>IF(OR($B$5="",$C$6="",ROW()&lt;$B$5),"",IF(INDEX($A:$U,ROW(),$C$6)="","",INDEX($A:$U,ROW(),$C$6)))</f>
        <v/>
      </c>
      <c r="X719" s="32">
        <f>IF($W719="","",IF(ISNUMBER($W719),IF($W719&gt;=10000000,IFERROR(DATE(INT($W719/10000),MOD(INT($W719/100),100),MOD($W719,100)),""),INT($W719)),IFERROR(DATE(--LEFT(LEFT(SUBSTITUTE(SUBSTITUTE(SUBSTITUTE(SUBSTITUTE(TRIM($W719),"-",""),".",""),"/","")," ",""),8),4),--MID(LEFT(SUBSTITUTE(SUBSTITUTE(SUBSTITUTE(SUBSTITUTE(TRIM($W719),"-",""),".",""),"/","")," ",""),8),5,2),--MID(LEFT(SUBSTITUTE(SUBSTITUTE(SUBSTITUTE(SUBSTITUTE(TRIM($W719),"-",""),".",""),"/","")," ",""),8),7,2)),"")))</f>
        <v/>
      </c>
      <c r="Y719" s="32">
        <f>IF($X719="","",INT($X719))</f>
        <v/>
      </c>
      <c r="Z719" s="33">
        <f>IF(OR($Y719="",$D$6=""),"",IF(INDEX($A:$U,ROW(),$D$6)="",0,IF(ISNUMBER(INDEX($A:$U,ROW(),$D$6)),INDEX($A:$U,ROW(),$D$6),IFERROR(--SUBSTITUTE(SUBSTITUTE(TRIM(INDEX($A:$U,ROW(),$D$6)),",",""),"원",""),0))))</f>
        <v/>
      </c>
      <c r="AA719" s="31">
        <f>IF($Y719="","",TRIM(INDEX($A:$U,ROW(),$E$6)&amp;IF($F$6="",""," "&amp;INDEX($A:$U,ROW(),$F$6))))</f>
        <v/>
      </c>
      <c r="AB719" s="31">
        <f>IF($AA719="","",SUBSTITUTE(SUBSTITUTE(SUBSTITUTE(SUBSTITUTE(SUBSTITUTE(SUBSTITUTE(SUBSTITUTE(SUBSTITUTE(SUBSTITUTE($AA719," ",""),"　",""),"(주)",""),"（주）",""),"㈜",""),"주식회사",""),"(유)",""),"（유）",""),"유한회사",""))</f>
        <v/>
      </c>
      <c r="AC719" s="31">
        <f>IF(OR($Y719="",N($Z719)&lt;=0,$AB719=""),0,IFERROR(LOOKUP(2,1/((거래처별!$AC$8:$AC$307&lt;&gt;"")*ISNUMBER(SEARCH(거래처별!$AC$8:$AC$307,$AB719))),거래처별!$A$8:$A$307),IFERROR(LOOKUP(2,1/((거래처별!$AD$8:$AD$307&lt;&gt;"")*ISNUMBER(SEARCH(거래처별!$AD$8:$AD$307,$AB719))),거래처별!$A$8:$A$307),IFERROR(LOOKUP(2,1/((거래처별!$AE$8:$AE$307&lt;&gt;"")*ISNUMBER(SEARCH(거래처별!$AE$8:$AE$307,$AB719))),거래처별!$A$8:$A$307),0))))</f>
        <v/>
      </c>
      <c r="AD719" s="31">
        <f>IF(AND($Y719&lt;&gt;"",N($Z719)&gt;0,$AC719=0),MAX($AD$7:$AD718)+1,"")</f>
        <v/>
      </c>
      <c r="AE719" s="31">
        <f>IF($Y719="",0,$Y719)</f>
        <v/>
      </c>
    </row>
    <row r="720">
      <c r="W720" s="31">
        <f>IF(OR($B$5="",$C$6="",ROW()&lt;$B$5),"",IF(INDEX($A:$U,ROW(),$C$6)="","",INDEX($A:$U,ROW(),$C$6)))</f>
        <v/>
      </c>
      <c r="X720" s="32">
        <f>IF($W720="","",IF(ISNUMBER($W720),IF($W720&gt;=10000000,IFERROR(DATE(INT($W720/10000),MOD(INT($W720/100),100),MOD($W720,100)),""),INT($W720)),IFERROR(DATE(--LEFT(LEFT(SUBSTITUTE(SUBSTITUTE(SUBSTITUTE(SUBSTITUTE(TRIM($W720),"-",""),".",""),"/","")," ",""),8),4),--MID(LEFT(SUBSTITUTE(SUBSTITUTE(SUBSTITUTE(SUBSTITUTE(TRIM($W720),"-",""),".",""),"/","")," ",""),8),5,2),--MID(LEFT(SUBSTITUTE(SUBSTITUTE(SUBSTITUTE(SUBSTITUTE(TRIM($W720),"-",""),".",""),"/","")," ",""),8),7,2)),"")))</f>
        <v/>
      </c>
      <c r="Y720" s="32">
        <f>IF($X720="","",INT($X720))</f>
        <v/>
      </c>
      <c r="Z720" s="33">
        <f>IF(OR($Y720="",$D$6=""),"",IF(INDEX($A:$U,ROW(),$D$6)="",0,IF(ISNUMBER(INDEX($A:$U,ROW(),$D$6)),INDEX($A:$U,ROW(),$D$6),IFERROR(--SUBSTITUTE(SUBSTITUTE(TRIM(INDEX($A:$U,ROW(),$D$6)),",",""),"원",""),0))))</f>
        <v/>
      </c>
      <c r="AA720" s="31">
        <f>IF($Y720="","",TRIM(INDEX($A:$U,ROW(),$E$6)&amp;IF($F$6="",""," "&amp;INDEX($A:$U,ROW(),$F$6))))</f>
        <v/>
      </c>
      <c r="AB720" s="31">
        <f>IF($AA720="","",SUBSTITUTE(SUBSTITUTE(SUBSTITUTE(SUBSTITUTE(SUBSTITUTE(SUBSTITUTE(SUBSTITUTE(SUBSTITUTE(SUBSTITUTE($AA720," ",""),"　",""),"(주)",""),"（주）",""),"㈜",""),"주식회사",""),"(유)",""),"（유）",""),"유한회사",""))</f>
        <v/>
      </c>
      <c r="AC720" s="31">
        <f>IF(OR($Y720="",N($Z720)&lt;=0,$AB720=""),0,IFERROR(LOOKUP(2,1/((거래처별!$AC$8:$AC$307&lt;&gt;"")*ISNUMBER(SEARCH(거래처별!$AC$8:$AC$307,$AB720))),거래처별!$A$8:$A$307),IFERROR(LOOKUP(2,1/((거래처별!$AD$8:$AD$307&lt;&gt;"")*ISNUMBER(SEARCH(거래처별!$AD$8:$AD$307,$AB720))),거래처별!$A$8:$A$307),IFERROR(LOOKUP(2,1/((거래처별!$AE$8:$AE$307&lt;&gt;"")*ISNUMBER(SEARCH(거래처별!$AE$8:$AE$307,$AB720))),거래처별!$A$8:$A$307),0))))</f>
        <v/>
      </c>
      <c r="AD720" s="31">
        <f>IF(AND($Y720&lt;&gt;"",N($Z720)&gt;0,$AC720=0),MAX($AD$7:$AD719)+1,"")</f>
        <v/>
      </c>
      <c r="AE720" s="31">
        <f>IF($Y720="",0,$Y720)</f>
        <v/>
      </c>
    </row>
    <row r="721">
      <c r="W721" s="31">
        <f>IF(OR($B$5="",$C$6="",ROW()&lt;$B$5),"",IF(INDEX($A:$U,ROW(),$C$6)="","",INDEX($A:$U,ROW(),$C$6)))</f>
        <v/>
      </c>
      <c r="X721" s="32">
        <f>IF($W721="","",IF(ISNUMBER($W721),IF($W721&gt;=10000000,IFERROR(DATE(INT($W721/10000),MOD(INT($W721/100),100),MOD($W721,100)),""),INT($W721)),IFERROR(DATE(--LEFT(LEFT(SUBSTITUTE(SUBSTITUTE(SUBSTITUTE(SUBSTITUTE(TRIM($W721),"-",""),".",""),"/","")," ",""),8),4),--MID(LEFT(SUBSTITUTE(SUBSTITUTE(SUBSTITUTE(SUBSTITUTE(TRIM($W721),"-",""),".",""),"/","")," ",""),8),5,2),--MID(LEFT(SUBSTITUTE(SUBSTITUTE(SUBSTITUTE(SUBSTITUTE(TRIM($W721),"-",""),".",""),"/","")," ",""),8),7,2)),"")))</f>
        <v/>
      </c>
      <c r="Y721" s="32">
        <f>IF($X721="","",INT($X721))</f>
        <v/>
      </c>
      <c r="Z721" s="33">
        <f>IF(OR($Y721="",$D$6=""),"",IF(INDEX($A:$U,ROW(),$D$6)="",0,IF(ISNUMBER(INDEX($A:$U,ROW(),$D$6)),INDEX($A:$U,ROW(),$D$6),IFERROR(--SUBSTITUTE(SUBSTITUTE(TRIM(INDEX($A:$U,ROW(),$D$6)),",",""),"원",""),0))))</f>
        <v/>
      </c>
      <c r="AA721" s="31">
        <f>IF($Y721="","",TRIM(INDEX($A:$U,ROW(),$E$6)&amp;IF($F$6="",""," "&amp;INDEX($A:$U,ROW(),$F$6))))</f>
        <v/>
      </c>
      <c r="AB721" s="31">
        <f>IF($AA721="","",SUBSTITUTE(SUBSTITUTE(SUBSTITUTE(SUBSTITUTE(SUBSTITUTE(SUBSTITUTE(SUBSTITUTE(SUBSTITUTE(SUBSTITUTE($AA721," ",""),"　",""),"(주)",""),"（주）",""),"㈜",""),"주식회사",""),"(유)",""),"（유）",""),"유한회사",""))</f>
        <v/>
      </c>
      <c r="AC721" s="31">
        <f>IF(OR($Y721="",N($Z721)&lt;=0,$AB721=""),0,IFERROR(LOOKUP(2,1/((거래처별!$AC$8:$AC$307&lt;&gt;"")*ISNUMBER(SEARCH(거래처별!$AC$8:$AC$307,$AB721))),거래처별!$A$8:$A$307),IFERROR(LOOKUP(2,1/((거래처별!$AD$8:$AD$307&lt;&gt;"")*ISNUMBER(SEARCH(거래처별!$AD$8:$AD$307,$AB721))),거래처별!$A$8:$A$307),IFERROR(LOOKUP(2,1/((거래처별!$AE$8:$AE$307&lt;&gt;"")*ISNUMBER(SEARCH(거래처별!$AE$8:$AE$307,$AB721))),거래처별!$A$8:$A$307),0))))</f>
        <v/>
      </c>
      <c r="AD721" s="31">
        <f>IF(AND($Y721&lt;&gt;"",N($Z721)&gt;0,$AC721=0),MAX($AD$7:$AD720)+1,"")</f>
        <v/>
      </c>
      <c r="AE721" s="31">
        <f>IF($Y721="",0,$Y721)</f>
        <v/>
      </c>
    </row>
    <row r="722">
      <c r="W722" s="31">
        <f>IF(OR($B$5="",$C$6="",ROW()&lt;$B$5),"",IF(INDEX($A:$U,ROW(),$C$6)="","",INDEX($A:$U,ROW(),$C$6)))</f>
        <v/>
      </c>
      <c r="X722" s="32">
        <f>IF($W722="","",IF(ISNUMBER($W722),IF($W722&gt;=10000000,IFERROR(DATE(INT($W722/10000),MOD(INT($W722/100),100),MOD($W722,100)),""),INT($W722)),IFERROR(DATE(--LEFT(LEFT(SUBSTITUTE(SUBSTITUTE(SUBSTITUTE(SUBSTITUTE(TRIM($W722),"-",""),".",""),"/","")," ",""),8),4),--MID(LEFT(SUBSTITUTE(SUBSTITUTE(SUBSTITUTE(SUBSTITUTE(TRIM($W722),"-",""),".",""),"/","")," ",""),8),5,2),--MID(LEFT(SUBSTITUTE(SUBSTITUTE(SUBSTITUTE(SUBSTITUTE(TRIM($W722),"-",""),".",""),"/","")," ",""),8),7,2)),"")))</f>
        <v/>
      </c>
      <c r="Y722" s="32">
        <f>IF($X722="","",INT($X722))</f>
        <v/>
      </c>
      <c r="Z722" s="33">
        <f>IF(OR($Y722="",$D$6=""),"",IF(INDEX($A:$U,ROW(),$D$6)="",0,IF(ISNUMBER(INDEX($A:$U,ROW(),$D$6)),INDEX($A:$U,ROW(),$D$6),IFERROR(--SUBSTITUTE(SUBSTITUTE(TRIM(INDEX($A:$U,ROW(),$D$6)),",",""),"원",""),0))))</f>
        <v/>
      </c>
      <c r="AA722" s="31">
        <f>IF($Y722="","",TRIM(INDEX($A:$U,ROW(),$E$6)&amp;IF($F$6="",""," "&amp;INDEX($A:$U,ROW(),$F$6))))</f>
        <v/>
      </c>
      <c r="AB722" s="31">
        <f>IF($AA722="","",SUBSTITUTE(SUBSTITUTE(SUBSTITUTE(SUBSTITUTE(SUBSTITUTE(SUBSTITUTE(SUBSTITUTE(SUBSTITUTE(SUBSTITUTE($AA722," ",""),"　",""),"(주)",""),"（주）",""),"㈜",""),"주식회사",""),"(유)",""),"（유）",""),"유한회사",""))</f>
        <v/>
      </c>
      <c r="AC722" s="31">
        <f>IF(OR($Y722="",N($Z722)&lt;=0,$AB722=""),0,IFERROR(LOOKUP(2,1/((거래처별!$AC$8:$AC$307&lt;&gt;"")*ISNUMBER(SEARCH(거래처별!$AC$8:$AC$307,$AB722))),거래처별!$A$8:$A$307),IFERROR(LOOKUP(2,1/((거래처별!$AD$8:$AD$307&lt;&gt;"")*ISNUMBER(SEARCH(거래처별!$AD$8:$AD$307,$AB722))),거래처별!$A$8:$A$307),IFERROR(LOOKUP(2,1/((거래처별!$AE$8:$AE$307&lt;&gt;"")*ISNUMBER(SEARCH(거래처별!$AE$8:$AE$307,$AB722))),거래처별!$A$8:$A$307),0))))</f>
        <v/>
      </c>
      <c r="AD722" s="31">
        <f>IF(AND($Y722&lt;&gt;"",N($Z722)&gt;0,$AC722=0),MAX($AD$7:$AD721)+1,"")</f>
        <v/>
      </c>
      <c r="AE722" s="31">
        <f>IF($Y722="",0,$Y722)</f>
        <v/>
      </c>
    </row>
    <row r="723">
      <c r="W723" s="31">
        <f>IF(OR($B$5="",$C$6="",ROW()&lt;$B$5),"",IF(INDEX($A:$U,ROW(),$C$6)="","",INDEX($A:$U,ROW(),$C$6)))</f>
        <v/>
      </c>
      <c r="X723" s="32">
        <f>IF($W723="","",IF(ISNUMBER($W723),IF($W723&gt;=10000000,IFERROR(DATE(INT($W723/10000),MOD(INT($W723/100),100),MOD($W723,100)),""),INT($W723)),IFERROR(DATE(--LEFT(LEFT(SUBSTITUTE(SUBSTITUTE(SUBSTITUTE(SUBSTITUTE(TRIM($W723),"-",""),".",""),"/","")," ",""),8),4),--MID(LEFT(SUBSTITUTE(SUBSTITUTE(SUBSTITUTE(SUBSTITUTE(TRIM($W723),"-",""),".",""),"/","")," ",""),8),5,2),--MID(LEFT(SUBSTITUTE(SUBSTITUTE(SUBSTITUTE(SUBSTITUTE(TRIM($W723),"-",""),".",""),"/","")," ",""),8),7,2)),"")))</f>
        <v/>
      </c>
      <c r="Y723" s="32">
        <f>IF($X723="","",INT($X723))</f>
        <v/>
      </c>
      <c r="Z723" s="33">
        <f>IF(OR($Y723="",$D$6=""),"",IF(INDEX($A:$U,ROW(),$D$6)="",0,IF(ISNUMBER(INDEX($A:$U,ROW(),$D$6)),INDEX($A:$U,ROW(),$D$6),IFERROR(--SUBSTITUTE(SUBSTITUTE(TRIM(INDEX($A:$U,ROW(),$D$6)),",",""),"원",""),0))))</f>
        <v/>
      </c>
      <c r="AA723" s="31">
        <f>IF($Y723="","",TRIM(INDEX($A:$U,ROW(),$E$6)&amp;IF($F$6="",""," "&amp;INDEX($A:$U,ROW(),$F$6))))</f>
        <v/>
      </c>
      <c r="AB723" s="31">
        <f>IF($AA723="","",SUBSTITUTE(SUBSTITUTE(SUBSTITUTE(SUBSTITUTE(SUBSTITUTE(SUBSTITUTE(SUBSTITUTE(SUBSTITUTE(SUBSTITUTE($AA723," ",""),"　",""),"(주)",""),"（주）",""),"㈜",""),"주식회사",""),"(유)",""),"（유）",""),"유한회사",""))</f>
        <v/>
      </c>
      <c r="AC723" s="31">
        <f>IF(OR($Y723="",N($Z723)&lt;=0,$AB723=""),0,IFERROR(LOOKUP(2,1/((거래처별!$AC$8:$AC$307&lt;&gt;"")*ISNUMBER(SEARCH(거래처별!$AC$8:$AC$307,$AB723))),거래처별!$A$8:$A$307),IFERROR(LOOKUP(2,1/((거래처별!$AD$8:$AD$307&lt;&gt;"")*ISNUMBER(SEARCH(거래처별!$AD$8:$AD$307,$AB723))),거래처별!$A$8:$A$307),IFERROR(LOOKUP(2,1/((거래처별!$AE$8:$AE$307&lt;&gt;"")*ISNUMBER(SEARCH(거래처별!$AE$8:$AE$307,$AB723))),거래처별!$A$8:$A$307),0))))</f>
        <v/>
      </c>
      <c r="AD723" s="31">
        <f>IF(AND($Y723&lt;&gt;"",N($Z723)&gt;0,$AC723=0),MAX($AD$7:$AD722)+1,"")</f>
        <v/>
      </c>
      <c r="AE723" s="31">
        <f>IF($Y723="",0,$Y723)</f>
        <v/>
      </c>
    </row>
    <row r="724">
      <c r="W724" s="31">
        <f>IF(OR($B$5="",$C$6="",ROW()&lt;$B$5),"",IF(INDEX($A:$U,ROW(),$C$6)="","",INDEX($A:$U,ROW(),$C$6)))</f>
        <v/>
      </c>
      <c r="X724" s="32">
        <f>IF($W724="","",IF(ISNUMBER($W724),IF($W724&gt;=10000000,IFERROR(DATE(INT($W724/10000),MOD(INT($W724/100),100),MOD($W724,100)),""),INT($W724)),IFERROR(DATE(--LEFT(LEFT(SUBSTITUTE(SUBSTITUTE(SUBSTITUTE(SUBSTITUTE(TRIM($W724),"-",""),".",""),"/","")," ",""),8),4),--MID(LEFT(SUBSTITUTE(SUBSTITUTE(SUBSTITUTE(SUBSTITUTE(TRIM($W724),"-",""),".",""),"/","")," ",""),8),5,2),--MID(LEFT(SUBSTITUTE(SUBSTITUTE(SUBSTITUTE(SUBSTITUTE(TRIM($W724),"-",""),".",""),"/","")," ",""),8),7,2)),"")))</f>
        <v/>
      </c>
      <c r="Y724" s="32">
        <f>IF($X724="","",INT($X724))</f>
        <v/>
      </c>
      <c r="Z724" s="33">
        <f>IF(OR($Y724="",$D$6=""),"",IF(INDEX($A:$U,ROW(),$D$6)="",0,IF(ISNUMBER(INDEX($A:$U,ROW(),$D$6)),INDEX($A:$U,ROW(),$D$6),IFERROR(--SUBSTITUTE(SUBSTITUTE(TRIM(INDEX($A:$U,ROW(),$D$6)),",",""),"원",""),0))))</f>
        <v/>
      </c>
      <c r="AA724" s="31">
        <f>IF($Y724="","",TRIM(INDEX($A:$U,ROW(),$E$6)&amp;IF($F$6="",""," "&amp;INDEX($A:$U,ROW(),$F$6))))</f>
        <v/>
      </c>
      <c r="AB724" s="31">
        <f>IF($AA724="","",SUBSTITUTE(SUBSTITUTE(SUBSTITUTE(SUBSTITUTE(SUBSTITUTE(SUBSTITUTE(SUBSTITUTE(SUBSTITUTE(SUBSTITUTE($AA724," ",""),"　",""),"(주)",""),"（주）",""),"㈜",""),"주식회사",""),"(유)",""),"（유）",""),"유한회사",""))</f>
        <v/>
      </c>
      <c r="AC724" s="31">
        <f>IF(OR($Y724="",N($Z724)&lt;=0,$AB724=""),0,IFERROR(LOOKUP(2,1/((거래처별!$AC$8:$AC$307&lt;&gt;"")*ISNUMBER(SEARCH(거래처별!$AC$8:$AC$307,$AB724))),거래처별!$A$8:$A$307),IFERROR(LOOKUP(2,1/((거래처별!$AD$8:$AD$307&lt;&gt;"")*ISNUMBER(SEARCH(거래처별!$AD$8:$AD$307,$AB724))),거래처별!$A$8:$A$307),IFERROR(LOOKUP(2,1/((거래처별!$AE$8:$AE$307&lt;&gt;"")*ISNUMBER(SEARCH(거래처별!$AE$8:$AE$307,$AB724))),거래처별!$A$8:$A$307),0))))</f>
        <v/>
      </c>
      <c r="AD724" s="31">
        <f>IF(AND($Y724&lt;&gt;"",N($Z724)&gt;0,$AC724=0),MAX($AD$7:$AD723)+1,"")</f>
        <v/>
      </c>
      <c r="AE724" s="31">
        <f>IF($Y724="",0,$Y724)</f>
        <v/>
      </c>
    </row>
    <row r="725">
      <c r="W725" s="31">
        <f>IF(OR($B$5="",$C$6="",ROW()&lt;$B$5),"",IF(INDEX($A:$U,ROW(),$C$6)="","",INDEX($A:$U,ROW(),$C$6)))</f>
        <v/>
      </c>
      <c r="X725" s="32">
        <f>IF($W725="","",IF(ISNUMBER($W725),IF($W725&gt;=10000000,IFERROR(DATE(INT($W725/10000),MOD(INT($W725/100),100),MOD($W725,100)),""),INT($W725)),IFERROR(DATE(--LEFT(LEFT(SUBSTITUTE(SUBSTITUTE(SUBSTITUTE(SUBSTITUTE(TRIM($W725),"-",""),".",""),"/","")," ",""),8),4),--MID(LEFT(SUBSTITUTE(SUBSTITUTE(SUBSTITUTE(SUBSTITUTE(TRIM($W725),"-",""),".",""),"/","")," ",""),8),5,2),--MID(LEFT(SUBSTITUTE(SUBSTITUTE(SUBSTITUTE(SUBSTITUTE(TRIM($W725),"-",""),".",""),"/","")," ",""),8),7,2)),"")))</f>
        <v/>
      </c>
      <c r="Y725" s="32">
        <f>IF($X725="","",INT($X725))</f>
        <v/>
      </c>
      <c r="Z725" s="33">
        <f>IF(OR($Y725="",$D$6=""),"",IF(INDEX($A:$U,ROW(),$D$6)="",0,IF(ISNUMBER(INDEX($A:$U,ROW(),$D$6)),INDEX($A:$U,ROW(),$D$6),IFERROR(--SUBSTITUTE(SUBSTITUTE(TRIM(INDEX($A:$U,ROW(),$D$6)),",",""),"원",""),0))))</f>
        <v/>
      </c>
      <c r="AA725" s="31">
        <f>IF($Y725="","",TRIM(INDEX($A:$U,ROW(),$E$6)&amp;IF($F$6="",""," "&amp;INDEX($A:$U,ROW(),$F$6))))</f>
        <v/>
      </c>
      <c r="AB725" s="31">
        <f>IF($AA725="","",SUBSTITUTE(SUBSTITUTE(SUBSTITUTE(SUBSTITUTE(SUBSTITUTE(SUBSTITUTE(SUBSTITUTE(SUBSTITUTE(SUBSTITUTE($AA725," ",""),"　",""),"(주)",""),"（주）",""),"㈜",""),"주식회사",""),"(유)",""),"（유）",""),"유한회사",""))</f>
        <v/>
      </c>
      <c r="AC725" s="31">
        <f>IF(OR($Y725="",N($Z725)&lt;=0,$AB725=""),0,IFERROR(LOOKUP(2,1/((거래처별!$AC$8:$AC$307&lt;&gt;"")*ISNUMBER(SEARCH(거래처별!$AC$8:$AC$307,$AB725))),거래처별!$A$8:$A$307),IFERROR(LOOKUP(2,1/((거래처별!$AD$8:$AD$307&lt;&gt;"")*ISNUMBER(SEARCH(거래처별!$AD$8:$AD$307,$AB725))),거래처별!$A$8:$A$307),IFERROR(LOOKUP(2,1/((거래처별!$AE$8:$AE$307&lt;&gt;"")*ISNUMBER(SEARCH(거래처별!$AE$8:$AE$307,$AB725))),거래처별!$A$8:$A$307),0))))</f>
        <v/>
      </c>
      <c r="AD725" s="31">
        <f>IF(AND($Y725&lt;&gt;"",N($Z725)&gt;0,$AC725=0),MAX($AD$7:$AD724)+1,"")</f>
        <v/>
      </c>
      <c r="AE725" s="31">
        <f>IF($Y725="",0,$Y725)</f>
        <v/>
      </c>
    </row>
    <row r="726">
      <c r="W726" s="31">
        <f>IF(OR($B$5="",$C$6="",ROW()&lt;$B$5),"",IF(INDEX($A:$U,ROW(),$C$6)="","",INDEX($A:$U,ROW(),$C$6)))</f>
        <v/>
      </c>
      <c r="X726" s="32">
        <f>IF($W726="","",IF(ISNUMBER($W726),IF($W726&gt;=10000000,IFERROR(DATE(INT($W726/10000),MOD(INT($W726/100),100),MOD($W726,100)),""),INT($W726)),IFERROR(DATE(--LEFT(LEFT(SUBSTITUTE(SUBSTITUTE(SUBSTITUTE(SUBSTITUTE(TRIM($W726),"-",""),".",""),"/","")," ",""),8),4),--MID(LEFT(SUBSTITUTE(SUBSTITUTE(SUBSTITUTE(SUBSTITUTE(TRIM($W726),"-",""),".",""),"/","")," ",""),8),5,2),--MID(LEFT(SUBSTITUTE(SUBSTITUTE(SUBSTITUTE(SUBSTITUTE(TRIM($W726),"-",""),".",""),"/","")," ",""),8),7,2)),"")))</f>
        <v/>
      </c>
      <c r="Y726" s="32">
        <f>IF($X726="","",INT($X726))</f>
        <v/>
      </c>
      <c r="Z726" s="33">
        <f>IF(OR($Y726="",$D$6=""),"",IF(INDEX($A:$U,ROW(),$D$6)="",0,IF(ISNUMBER(INDEX($A:$U,ROW(),$D$6)),INDEX($A:$U,ROW(),$D$6),IFERROR(--SUBSTITUTE(SUBSTITUTE(TRIM(INDEX($A:$U,ROW(),$D$6)),",",""),"원",""),0))))</f>
        <v/>
      </c>
      <c r="AA726" s="31">
        <f>IF($Y726="","",TRIM(INDEX($A:$U,ROW(),$E$6)&amp;IF($F$6="",""," "&amp;INDEX($A:$U,ROW(),$F$6))))</f>
        <v/>
      </c>
      <c r="AB726" s="31">
        <f>IF($AA726="","",SUBSTITUTE(SUBSTITUTE(SUBSTITUTE(SUBSTITUTE(SUBSTITUTE(SUBSTITUTE(SUBSTITUTE(SUBSTITUTE(SUBSTITUTE($AA726," ",""),"　",""),"(주)",""),"（주）",""),"㈜",""),"주식회사",""),"(유)",""),"（유）",""),"유한회사",""))</f>
        <v/>
      </c>
      <c r="AC726" s="31">
        <f>IF(OR($Y726="",N($Z726)&lt;=0,$AB726=""),0,IFERROR(LOOKUP(2,1/((거래처별!$AC$8:$AC$307&lt;&gt;"")*ISNUMBER(SEARCH(거래처별!$AC$8:$AC$307,$AB726))),거래처별!$A$8:$A$307),IFERROR(LOOKUP(2,1/((거래처별!$AD$8:$AD$307&lt;&gt;"")*ISNUMBER(SEARCH(거래처별!$AD$8:$AD$307,$AB726))),거래처별!$A$8:$A$307),IFERROR(LOOKUP(2,1/((거래처별!$AE$8:$AE$307&lt;&gt;"")*ISNUMBER(SEARCH(거래처별!$AE$8:$AE$307,$AB726))),거래처별!$A$8:$A$307),0))))</f>
        <v/>
      </c>
      <c r="AD726" s="31">
        <f>IF(AND($Y726&lt;&gt;"",N($Z726)&gt;0,$AC726=0),MAX($AD$7:$AD725)+1,"")</f>
        <v/>
      </c>
      <c r="AE726" s="31">
        <f>IF($Y726="",0,$Y726)</f>
        <v/>
      </c>
    </row>
    <row r="727">
      <c r="W727" s="31">
        <f>IF(OR($B$5="",$C$6="",ROW()&lt;$B$5),"",IF(INDEX($A:$U,ROW(),$C$6)="","",INDEX($A:$U,ROW(),$C$6)))</f>
        <v/>
      </c>
      <c r="X727" s="32">
        <f>IF($W727="","",IF(ISNUMBER($W727),IF($W727&gt;=10000000,IFERROR(DATE(INT($W727/10000),MOD(INT($W727/100),100),MOD($W727,100)),""),INT($W727)),IFERROR(DATE(--LEFT(LEFT(SUBSTITUTE(SUBSTITUTE(SUBSTITUTE(SUBSTITUTE(TRIM($W727),"-",""),".",""),"/","")," ",""),8),4),--MID(LEFT(SUBSTITUTE(SUBSTITUTE(SUBSTITUTE(SUBSTITUTE(TRIM($W727),"-",""),".",""),"/","")," ",""),8),5,2),--MID(LEFT(SUBSTITUTE(SUBSTITUTE(SUBSTITUTE(SUBSTITUTE(TRIM($W727),"-",""),".",""),"/","")," ",""),8),7,2)),"")))</f>
        <v/>
      </c>
      <c r="Y727" s="32">
        <f>IF($X727="","",INT($X727))</f>
        <v/>
      </c>
      <c r="Z727" s="33">
        <f>IF(OR($Y727="",$D$6=""),"",IF(INDEX($A:$U,ROW(),$D$6)="",0,IF(ISNUMBER(INDEX($A:$U,ROW(),$D$6)),INDEX($A:$U,ROW(),$D$6),IFERROR(--SUBSTITUTE(SUBSTITUTE(TRIM(INDEX($A:$U,ROW(),$D$6)),",",""),"원",""),0))))</f>
        <v/>
      </c>
      <c r="AA727" s="31">
        <f>IF($Y727="","",TRIM(INDEX($A:$U,ROW(),$E$6)&amp;IF($F$6="",""," "&amp;INDEX($A:$U,ROW(),$F$6))))</f>
        <v/>
      </c>
      <c r="AB727" s="31">
        <f>IF($AA727="","",SUBSTITUTE(SUBSTITUTE(SUBSTITUTE(SUBSTITUTE(SUBSTITUTE(SUBSTITUTE(SUBSTITUTE(SUBSTITUTE(SUBSTITUTE($AA727," ",""),"　",""),"(주)",""),"（주）",""),"㈜",""),"주식회사",""),"(유)",""),"（유）",""),"유한회사",""))</f>
        <v/>
      </c>
      <c r="AC727" s="31">
        <f>IF(OR($Y727="",N($Z727)&lt;=0,$AB727=""),0,IFERROR(LOOKUP(2,1/((거래처별!$AC$8:$AC$307&lt;&gt;"")*ISNUMBER(SEARCH(거래처별!$AC$8:$AC$307,$AB727))),거래처별!$A$8:$A$307),IFERROR(LOOKUP(2,1/((거래처별!$AD$8:$AD$307&lt;&gt;"")*ISNUMBER(SEARCH(거래처별!$AD$8:$AD$307,$AB727))),거래처별!$A$8:$A$307),IFERROR(LOOKUP(2,1/((거래처별!$AE$8:$AE$307&lt;&gt;"")*ISNUMBER(SEARCH(거래처별!$AE$8:$AE$307,$AB727))),거래처별!$A$8:$A$307),0))))</f>
        <v/>
      </c>
      <c r="AD727" s="31">
        <f>IF(AND($Y727&lt;&gt;"",N($Z727)&gt;0,$AC727=0),MAX($AD$7:$AD726)+1,"")</f>
        <v/>
      </c>
      <c r="AE727" s="31">
        <f>IF($Y727="",0,$Y727)</f>
        <v/>
      </c>
    </row>
    <row r="728">
      <c r="W728" s="31">
        <f>IF(OR($B$5="",$C$6="",ROW()&lt;$B$5),"",IF(INDEX($A:$U,ROW(),$C$6)="","",INDEX($A:$U,ROW(),$C$6)))</f>
        <v/>
      </c>
      <c r="X728" s="32">
        <f>IF($W728="","",IF(ISNUMBER($W728),IF($W728&gt;=10000000,IFERROR(DATE(INT($W728/10000),MOD(INT($W728/100),100),MOD($W728,100)),""),INT($W728)),IFERROR(DATE(--LEFT(LEFT(SUBSTITUTE(SUBSTITUTE(SUBSTITUTE(SUBSTITUTE(TRIM($W728),"-",""),".",""),"/","")," ",""),8),4),--MID(LEFT(SUBSTITUTE(SUBSTITUTE(SUBSTITUTE(SUBSTITUTE(TRIM($W728),"-",""),".",""),"/","")," ",""),8),5,2),--MID(LEFT(SUBSTITUTE(SUBSTITUTE(SUBSTITUTE(SUBSTITUTE(TRIM($W728),"-",""),".",""),"/","")," ",""),8),7,2)),"")))</f>
        <v/>
      </c>
      <c r="Y728" s="32">
        <f>IF($X728="","",INT($X728))</f>
        <v/>
      </c>
      <c r="Z728" s="33">
        <f>IF(OR($Y728="",$D$6=""),"",IF(INDEX($A:$U,ROW(),$D$6)="",0,IF(ISNUMBER(INDEX($A:$U,ROW(),$D$6)),INDEX($A:$U,ROW(),$D$6),IFERROR(--SUBSTITUTE(SUBSTITUTE(TRIM(INDEX($A:$U,ROW(),$D$6)),",",""),"원",""),0))))</f>
        <v/>
      </c>
      <c r="AA728" s="31">
        <f>IF($Y728="","",TRIM(INDEX($A:$U,ROW(),$E$6)&amp;IF($F$6="",""," "&amp;INDEX($A:$U,ROW(),$F$6))))</f>
        <v/>
      </c>
      <c r="AB728" s="31">
        <f>IF($AA728="","",SUBSTITUTE(SUBSTITUTE(SUBSTITUTE(SUBSTITUTE(SUBSTITUTE(SUBSTITUTE(SUBSTITUTE(SUBSTITUTE(SUBSTITUTE($AA728," ",""),"　",""),"(주)",""),"（주）",""),"㈜",""),"주식회사",""),"(유)",""),"（유）",""),"유한회사",""))</f>
        <v/>
      </c>
      <c r="AC728" s="31">
        <f>IF(OR($Y728="",N($Z728)&lt;=0,$AB728=""),0,IFERROR(LOOKUP(2,1/((거래처별!$AC$8:$AC$307&lt;&gt;"")*ISNUMBER(SEARCH(거래처별!$AC$8:$AC$307,$AB728))),거래처별!$A$8:$A$307),IFERROR(LOOKUP(2,1/((거래처별!$AD$8:$AD$307&lt;&gt;"")*ISNUMBER(SEARCH(거래처별!$AD$8:$AD$307,$AB728))),거래처별!$A$8:$A$307),IFERROR(LOOKUP(2,1/((거래처별!$AE$8:$AE$307&lt;&gt;"")*ISNUMBER(SEARCH(거래처별!$AE$8:$AE$307,$AB728))),거래처별!$A$8:$A$307),0))))</f>
        <v/>
      </c>
      <c r="AD728" s="31">
        <f>IF(AND($Y728&lt;&gt;"",N($Z728)&gt;0,$AC728=0),MAX($AD$7:$AD727)+1,"")</f>
        <v/>
      </c>
      <c r="AE728" s="31">
        <f>IF($Y728="",0,$Y728)</f>
        <v/>
      </c>
    </row>
    <row r="729">
      <c r="W729" s="31">
        <f>IF(OR($B$5="",$C$6="",ROW()&lt;$B$5),"",IF(INDEX($A:$U,ROW(),$C$6)="","",INDEX($A:$U,ROW(),$C$6)))</f>
        <v/>
      </c>
      <c r="X729" s="32">
        <f>IF($W729="","",IF(ISNUMBER($W729),IF($W729&gt;=10000000,IFERROR(DATE(INT($W729/10000),MOD(INT($W729/100),100),MOD($W729,100)),""),INT($W729)),IFERROR(DATE(--LEFT(LEFT(SUBSTITUTE(SUBSTITUTE(SUBSTITUTE(SUBSTITUTE(TRIM($W729),"-",""),".",""),"/","")," ",""),8),4),--MID(LEFT(SUBSTITUTE(SUBSTITUTE(SUBSTITUTE(SUBSTITUTE(TRIM($W729),"-",""),".",""),"/","")," ",""),8),5,2),--MID(LEFT(SUBSTITUTE(SUBSTITUTE(SUBSTITUTE(SUBSTITUTE(TRIM($W729),"-",""),".",""),"/","")," ",""),8),7,2)),"")))</f>
        <v/>
      </c>
      <c r="Y729" s="32">
        <f>IF($X729="","",INT($X729))</f>
        <v/>
      </c>
      <c r="Z729" s="33">
        <f>IF(OR($Y729="",$D$6=""),"",IF(INDEX($A:$U,ROW(),$D$6)="",0,IF(ISNUMBER(INDEX($A:$U,ROW(),$D$6)),INDEX($A:$U,ROW(),$D$6),IFERROR(--SUBSTITUTE(SUBSTITUTE(TRIM(INDEX($A:$U,ROW(),$D$6)),",",""),"원",""),0))))</f>
        <v/>
      </c>
      <c r="AA729" s="31">
        <f>IF($Y729="","",TRIM(INDEX($A:$U,ROW(),$E$6)&amp;IF($F$6="",""," "&amp;INDEX($A:$U,ROW(),$F$6))))</f>
        <v/>
      </c>
      <c r="AB729" s="31">
        <f>IF($AA729="","",SUBSTITUTE(SUBSTITUTE(SUBSTITUTE(SUBSTITUTE(SUBSTITUTE(SUBSTITUTE(SUBSTITUTE(SUBSTITUTE(SUBSTITUTE($AA729," ",""),"　",""),"(주)",""),"（주）",""),"㈜",""),"주식회사",""),"(유)",""),"（유）",""),"유한회사",""))</f>
        <v/>
      </c>
      <c r="AC729" s="31">
        <f>IF(OR($Y729="",N($Z729)&lt;=0,$AB729=""),0,IFERROR(LOOKUP(2,1/((거래처별!$AC$8:$AC$307&lt;&gt;"")*ISNUMBER(SEARCH(거래처별!$AC$8:$AC$307,$AB729))),거래처별!$A$8:$A$307),IFERROR(LOOKUP(2,1/((거래처별!$AD$8:$AD$307&lt;&gt;"")*ISNUMBER(SEARCH(거래처별!$AD$8:$AD$307,$AB729))),거래처별!$A$8:$A$307),IFERROR(LOOKUP(2,1/((거래처별!$AE$8:$AE$307&lt;&gt;"")*ISNUMBER(SEARCH(거래처별!$AE$8:$AE$307,$AB729))),거래처별!$A$8:$A$307),0))))</f>
        <v/>
      </c>
      <c r="AD729" s="31">
        <f>IF(AND($Y729&lt;&gt;"",N($Z729)&gt;0,$AC729=0),MAX($AD$7:$AD728)+1,"")</f>
        <v/>
      </c>
      <c r="AE729" s="31">
        <f>IF($Y729="",0,$Y729)</f>
        <v/>
      </c>
    </row>
    <row r="730">
      <c r="W730" s="31">
        <f>IF(OR($B$5="",$C$6="",ROW()&lt;$B$5),"",IF(INDEX($A:$U,ROW(),$C$6)="","",INDEX($A:$U,ROW(),$C$6)))</f>
        <v/>
      </c>
      <c r="X730" s="32">
        <f>IF($W730="","",IF(ISNUMBER($W730),IF($W730&gt;=10000000,IFERROR(DATE(INT($W730/10000),MOD(INT($W730/100),100),MOD($W730,100)),""),INT($W730)),IFERROR(DATE(--LEFT(LEFT(SUBSTITUTE(SUBSTITUTE(SUBSTITUTE(SUBSTITUTE(TRIM($W730),"-",""),".",""),"/","")," ",""),8),4),--MID(LEFT(SUBSTITUTE(SUBSTITUTE(SUBSTITUTE(SUBSTITUTE(TRIM($W730),"-",""),".",""),"/","")," ",""),8),5,2),--MID(LEFT(SUBSTITUTE(SUBSTITUTE(SUBSTITUTE(SUBSTITUTE(TRIM($W730),"-",""),".",""),"/","")," ",""),8),7,2)),"")))</f>
        <v/>
      </c>
      <c r="Y730" s="32">
        <f>IF($X730="","",INT($X730))</f>
        <v/>
      </c>
      <c r="Z730" s="33">
        <f>IF(OR($Y730="",$D$6=""),"",IF(INDEX($A:$U,ROW(),$D$6)="",0,IF(ISNUMBER(INDEX($A:$U,ROW(),$D$6)),INDEX($A:$U,ROW(),$D$6),IFERROR(--SUBSTITUTE(SUBSTITUTE(TRIM(INDEX($A:$U,ROW(),$D$6)),",",""),"원",""),0))))</f>
        <v/>
      </c>
      <c r="AA730" s="31">
        <f>IF($Y730="","",TRIM(INDEX($A:$U,ROW(),$E$6)&amp;IF($F$6="",""," "&amp;INDEX($A:$U,ROW(),$F$6))))</f>
        <v/>
      </c>
      <c r="AB730" s="31">
        <f>IF($AA730="","",SUBSTITUTE(SUBSTITUTE(SUBSTITUTE(SUBSTITUTE(SUBSTITUTE(SUBSTITUTE(SUBSTITUTE(SUBSTITUTE(SUBSTITUTE($AA730," ",""),"　",""),"(주)",""),"（주）",""),"㈜",""),"주식회사",""),"(유)",""),"（유）",""),"유한회사",""))</f>
        <v/>
      </c>
      <c r="AC730" s="31">
        <f>IF(OR($Y730="",N($Z730)&lt;=0,$AB730=""),0,IFERROR(LOOKUP(2,1/((거래처별!$AC$8:$AC$307&lt;&gt;"")*ISNUMBER(SEARCH(거래처별!$AC$8:$AC$307,$AB730))),거래처별!$A$8:$A$307),IFERROR(LOOKUP(2,1/((거래처별!$AD$8:$AD$307&lt;&gt;"")*ISNUMBER(SEARCH(거래처별!$AD$8:$AD$307,$AB730))),거래처별!$A$8:$A$307),IFERROR(LOOKUP(2,1/((거래처별!$AE$8:$AE$307&lt;&gt;"")*ISNUMBER(SEARCH(거래처별!$AE$8:$AE$307,$AB730))),거래처별!$A$8:$A$307),0))))</f>
        <v/>
      </c>
      <c r="AD730" s="31">
        <f>IF(AND($Y730&lt;&gt;"",N($Z730)&gt;0,$AC730=0),MAX($AD$7:$AD729)+1,"")</f>
        <v/>
      </c>
      <c r="AE730" s="31">
        <f>IF($Y730="",0,$Y730)</f>
        <v/>
      </c>
    </row>
    <row r="731">
      <c r="W731" s="31">
        <f>IF(OR($B$5="",$C$6="",ROW()&lt;$B$5),"",IF(INDEX($A:$U,ROW(),$C$6)="","",INDEX($A:$U,ROW(),$C$6)))</f>
        <v/>
      </c>
      <c r="X731" s="32">
        <f>IF($W731="","",IF(ISNUMBER($W731),IF($W731&gt;=10000000,IFERROR(DATE(INT($W731/10000),MOD(INT($W731/100),100),MOD($W731,100)),""),INT($W731)),IFERROR(DATE(--LEFT(LEFT(SUBSTITUTE(SUBSTITUTE(SUBSTITUTE(SUBSTITUTE(TRIM($W731),"-",""),".",""),"/","")," ",""),8),4),--MID(LEFT(SUBSTITUTE(SUBSTITUTE(SUBSTITUTE(SUBSTITUTE(TRIM($W731),"-",""),".",""),"/","")," ",""),8),5,2),--MID(LEFT(SUBSTITUTE(SUBSTITUTE(SUBSTITUTE(SUBSTITUTE(TRIM($W731),"-",""),".",""),"/","")," ",""),8),7,2)),"")))</f>
        <v/>
      </c>
      <c r="Y731" s="32">
        <f>IF($X731="","",INT($X731))</f>
        <v/>
      </c>
      <c r="Z731" s="33">
        <f>IF(OR($Y731="",$D$6=""),"",IF(INDEX($A:$U,ROW(),$D$6)="",0,IF(ISNUMBER(INDEX($A:$U,ROW(),$D$6)),INDEX($A:$U,ROW(),$D$6),IFERROR(--SUBSTITUTE(SUBSTITUTE(TRIM(INDEX($A:$U,ROW(),$D$6)),",",""),"원",""),0))))</f>
        <v/>
      </c>
      <c r="AA731" s="31">
        <f>IF($Y731="","",TRIM(INDEX($A:$U,ROW(),$E$6)&amp;IF($F$6="",""," "&amp;INDEX($A:$U,ROW(),$F$6))))</f>
        <v/>
      </c>
      <c r="AB731" s="31">
        <f>IF($AA731="","",SUBSTITUTE(SUBSTITUTE(SUBSTITUTE(SUBSTITUTE(SUBSTITUTE(SUBSTITUTE(SUBSTITUTE(SUBSTITUTE(SUBSTITUTE($AA731," ",""),"　",""),"(주)",""),"（주）",""),"㈜",""),"주식회사",""),"(유)",""),"（유）",""),"유한회사",""))</f>
        <v/>
      </c>
      <c r="AC731" s="31">
        <f>IF(OR($Y731="",N($Z731)&lt;=0,$AB731=""),0,IFERROR(LOOKUP(2,1/((거래처별!$AC$8:$AC$307&lt;&gt;"")*ISNUMBER(SEARCH(거래처별!$AC$8:$AC$307,$AB731))),거래처별!$A$8:$A$307),IFERROR(LOOKUP(2,1/((거래처별!$AD$8:$AD$307&lt;&gt;"")*ISNUMBER(SEARCH(거래처별!$AD$8:$AD$307,$AB731))),거래처별!$A$8:$A$307),IFERROR(LOOKUP(2,1/((거래처별!$AE$8:$AE$307&lt;&gt;"")*ISNUMBER(SEARCH(거래처별!$AE$8:$AE$307,$AB731))),거래처별!$A$8:$A$307),0))))</f>
        <v/>
      </c>
      <c r="AD731" s="31">
        <f>IF(AND($Y731&lt;&gt;"",N($Z731)&gt;0,$AC731=0),MAX($AD$7:$AD730)+1,"")</f>
        <v/>
      </c>
      <c r="AE731" s="31">
        <f>IF($Y731="",0,$Y731)</f>
        <v/>
      </c>
    </row>
    <row r="732">
      <c r="W732" s="31">
        <f>IF(OR($B$5="",$C$6="",ROW()&lt;$B$5),"",IF(INDEX($A:$U,ROW(),$C$6)="","",INDEX($A:$U,ROW(),$C$6)))</f>
        <v/>
      </c>
      <c r="X732" s="32">
        <f>IF($W732="","",IF(ISNUMBER($W732),IF($W732&gt;=10000000,IFERROR(DATE(INT($W732/10000),MOD(INT($W732/100),100),MOD($W732,100)),""),INT($W732)),IFERROR(DATE(--LEFT(LEFT(SUBSTITUTE(SUBSTITUTE(SUBSTITUTE(SUBSTITUTE(TRIM($W732),"-",""),".",""),"/","")," ",""),8),4),--MID(LEFT(SUBSTITUTE(SUBSTITUTE(SUBSTITUTE(SUBSTITUTE(TRIM($W732),"-",""),".",""),"/","")," ",""),8),5,2),--MID(LEFT(SUBSTITUTE(SUBSTITUTE(SUBSTITUTE(SUBSTITUTE(TRIM($W732),"-",""),".",""),"/","")," ",""),8),7,2)),"")))</f>
        <v/>
      </c>
      <c r="Y732" s="32">
        <f>IF($X732="","",INT($X732))</f>
        <v/>
      </c>
      <c r="Z732" s="33">
        <f>IF(OR($Y732="",$D$6=""),"",IF(INDEX($A:$U,ROW(),$D$6)="",0,IF(ISNUMBER(INDEX($A:$U,ROW(),$D$6)),INDEX($A:$U,ROW(),$D$6),IFERROR(--SUBSTITUTE(SUBSTITUTE(TRIM(INDEX($A:$U,ROW(),$D$6)),",",""),"원",""),0))))</f>
        <v/>
      </c>
      <c r="AA732" s="31">
        <f>IF($Y732="","",TRIM(INDEX($A:$U,ROW(),$E$6)&amp;IF($F$6="",""," "&amp;INDEX($A:$U,ROW(),$F$6))))</f>
        <v/>
      </c>
      <c r="AB732" s="31">
        <f>IF($AA732="","",SUBSTITUTE(SUBSTITUTE(SUBSTITUTE(SUBSTITUTE(SUBSTITUTE(SUBSTITUTE(SUBSTITUTE(SUBSTITUTE(SUBSTITUTE($AA732," ",""),"　",""),"(주)",""),"（주）",""),"㈜",""),"주식회사",""),"(유)",""),"（유）",""),"유한회사",""))</f>
        <v/>
      </c>
      <c r="AC732" s="31">
        <f>IF(OR($Y732="",N($Z732)&lt;=0,$AB732=""),0,IFERROR(LOOKUP(2,1/((거래처별!$AC$8:$AC$307&lt;&gt;"")*ISNUMBER(SEARCH(거래처별!$AC$8:$AC$307,$AB732))),거래처별!$A$8:$A$307),IFERROR(LOOKUP(2,1/((거래처별!$AD$8:$AD$307&lt;&gt;"")*ISNUMBER(SEARCH(거래처별!$AD$8:$AD$307,$AB732))),거래처별!$A$8:$A$307),IFERROR(LOOKUP(2,1/((거래처별!$AE$8:$AE$307&lt;&gt;"")*ISNUMBER(SEARCH(거래처별!$AE$8:$AE$307,$AB732))),거래처별!$A$8:$A$307),0))))</f>
        <v/>
      </c>
      <c r="AD732" s="31">
        <f>IF(AND($Y732&lt;&gt;"",N($Z732)&gt;0,$AC732=0),MAX($AD$7:$AD731)+1,"")</f>
        <v/>
      </c>
      <c r="AE732" s="31">
        <f>IF($Y732="",0,$Y732)</f>
        <v/>
      </c>
    </row>
    <row r="733">
      <c r="W733" s="31">
        <f>IF(OR($B$5="",$C$6="",ROW()&lt;$B$5),"",IF(INDEX($A:$U,ROW(),$C$6)="","",INDEX($A:$U,ROW(),$C$6)))</f>
        <v/>
      </c>
      <c r="X733" s="32">
        <f>IF($W733="","",IF(ISNUMBER($W733),IF($W733&gt;=10000000,IFERROR(DATE(INT($W733/10000),MOD(INT($W733/100),100),MOD($W733,100)),""),INT($W733)),IFERROR(DATE(--LEFT(LEFT(SUBSTITUTE(SUBSTITUTE(SUBSTITUTE(SUBSTITUTE(TRIM($W733),"-",""),".",""),"/","")," ",""),8),4),--MID(LEFT(SUBSTITUTE(SUBSTITUTE(SUBSTITUTE(SUBSTITUTE(TRIM($W733),"-",""),".",""),"/","")," ",""),8),5,2),--MID(LEFT(SUBSTITUTE(SUBSTITUTE(SUBSTITUTE(SUBSTITUTE(TRIM($W733),"-",""),".",""),"/","")," ",""),8),7,2)),"")))</f>
        <v/>
      </c>
      <c r="Y733" s="32">
        <f>IF($X733="","",INT($X733))</f>
        <v/>
      </c>
      <c r="Z733" s="33">
        <f>IF(OR($Y733="",$D$6=""),"",IF(INDEX($A:$U,ROW(),$D$6)="",0,IF(ISNUMBER(INDEX($A:$U,ROW(),$D$6)),INDEX($A:$U,ROW(),$D$6),IFERROR(--SUBSTITUTE(SUBSTITUTE(TRIM(INDEX($A:$U,ROW(),$D$6)),",",""),"원",""),0))))</f>
        <v/>
      </c>
      <c r="AA733" s="31">
        <f>IF($Y733="","",TRIM(INDEX($A:$U,ROW(),$E$6)&amp;IF($F$6="",""," "&amp;INDEX($A:$U,ROW(),$F$6))))</f>
        <v/>
      </c>
      <c r="AB733" s="31">
        <f>IF($AA733="","",SUBSTITUTE(SUBSTITUTE(SUBSTITUTE(SUBSTITUTE(SUBSTITUTE(SUBSTITUTE(SUBSTITUTE(SUBSTITUTE(SUBSTITUTE($AA733," ",""),"　",""),"(주)",""),"（주）",""),"㈜",""),"주식회사",""),"(유)",""),"（유）",""),"유한회사",""))</f>
        <v/>
      </c>
      <c r="AC733" s="31">
        <f>IF(OR($Y733="",N($Z733)&lt;=0,$AB733=""),0,IFERROR(LOOKUP(2,1/((거래처별!$AC$8:$AC$307&lt;&gt;"")*ISNUMBER(SEARCH(거래처별!$AC$8:$AC$307,$AB733))),거래처별!$A$8:$A$307),IFERROR(LOOKUP(2,1/((거래처별!$AD$8:$AD$307&lt;&gt;"")*ISNUMBER(SEARCH(거래처별!$AD$8:$AD$307,$AB733))),거래처별!$A$8:$A$307),IFERROR(LOOKUP(2,1/((거래처별!$AE$8:$AE$307&lt;&gt;"")*ISNUMBER(SEARCH(거래처별!$AE$8:$AE$307,$AB733))),거래처별!$A$8:$A$307),0))))</f>
        <v/>
      </c>
      <c r="AD733" s="31">
        <f>IF(AND($Y733&lt;&gt;"",N($Z733)&gt;0,$AC733=0),MAX($AD$7:$AD732)+1,"")</f>
        <v/>
      </c>
      <c r="AE733" s="31">
        <f>IF($Y733="",0,$Y733)</f>
        <v/>
      </c>
    </row>
    <row r="734">
      <c r="W734" s="31">
        <f>IF(OR($B$5="",$C$6="",ROW()&lt;$B$5),"",IF(INDEX($A:$U,ROW(),$C$6)="","",INDEX($A:$U,ROW(),$C$6)))</f>
        <v/>
      </c>
      <c r="X734" s="32">
        <f>IF($W734="","",IF(ISNUMBER($W734),IF($W734&gt;=10000000,IFERROR(DATE(INT($W734/10000),MOD(INT($W734/100),100),MOD($W734,100)),""),INT($W734)),IFERROR(DATE(--LEFT(LEFT(SUBSTITUTE(SUBSTITUTE(SUBSTITUTE(SUBSTITUTE(TRIM($W734),"-",""),".",""),"/","")," ",""),8),4),--MID(LEFT(SUBSTITUTE(SUBSTITUTE(SUBSTITUTE(SUBSTITUTE(TRIM($W734),"-",""),".",""),"/","")," ",""),8),5,2),--MID(LEFT(SUBSTITUTE(SUBSTITUTE(SUBSTITUTE(SUBSTITUTE(TRIM($W734),"-",""),".",""),"/","")," ",""),8),7,2)),"")))</f>
        <v/>
      </c>
      <c r="Y734" s="32">
        <f>IF($X734="","",INT($X734))</f>
        <v/>
      </c>
      <c r="Z734" s="33">
        <f>IF(OR($Y734="",$D$6=""),"",IF(INDEX($A:$U,ROW(),$D$6)="",0,IF(ISNUMBER(INDEX($A:$U,ROW(),$D$6)),INDEX($A:$U,ROW(),$D$6),IFERROR(--SUBSTITUTE(SUBSTITUTE(TRIM(INDEX($A:$U,ROW(),$D$6)),",",""),"원",""),0))))</f>
        <v/>
      </c>
      <c r="AA734" s="31">
        <f>IF($Y734="","",TRIM(INDEX($A:$U,ROW(),$E$6)&amp;IF($F$6="",""," "&amp;INDEX($A:$U,ROW(),$F$6))))</f>
        <v/>
      </c>
      <c r="AB734" s="31">
        <f>IF($AA734="","",SUBSTITUTE(SUBSTITUTE(SUBSTITUTE(SUBSTITUTE(SUBSTITUTE(SUBSTITUTE(SUBSTITUTE(SUBSTITUTE(SUBSTITUTE($AA734," ",""),"　",""),"(주)",""),"（주）",""),"㈜",""),"주식회사",""),"(유)",""),"（유）",""),"유한회사",""))</f>
        <v/>
      </c>
      <c r="AC734" s="31">
        <f>IF(OR($Y734="",N($Z734)&lt;=0,$AB734=""),0,IFERROR(LOOKUP(2,1/((거래처별!$AC$8:$AC$307&lt;&gt;"")*ISNUMBER(SEARCH(거래처별!$AC$8:$AC$307,$AB734))),거래처별!$A$8:$A$307),IFERROR(LOOKUP(2,1/((거래처별!$AD$8:$AD$307&lt;&gt;"")*ISNUMBER(SEARCH(거래처별!$AD$8:$AD$307,$AB734))),거래처별!$A$8:$A$307),IFERROR(LOOKUP(2,1/((거래처별!$AE$8:$AE$307&lt;&gt;"")*ISNUMBER(SEARCH(거래처별!$AE$8:$AE$307,$AB734))),거래처별!$A$8:$A$307),0))))</f>
        <v/>
      </c>
      <c r="AD734" s="31">
        <f>IF(AND($Y734&lt;&gt;"",N($Z734)&gt;0,$AC734=0),MAX($AD$7:$AD733)+1,"")</f>
        <v/>
      </c>
      <c r="AE734" s="31">
        <f>IF($Y734="",0,$Y734)</f>
        <v/>
      </c>
    </row>
    <row r="735">
      <c r="W735" s="31">
        <f>IF(OR($B$5="",$C$6="",ROW()&lt;$B$5),"",IF(INDEX($A:$U,ROW(),$C$6)="","",INDEX($A:$U,ROW(),$C$6)))</f>
        <v/>
      </c>
      <c r="X735" s="32">
        <f>IF($W735="","",IF(ISNUMBER($W735),IF($W735&gt;=10000000,IFERROR(DATE(INT($W735/10000),MOD(INT($W735/100),100),MOD($W735,100)),""),INT($W735)),IFERROR(DATE(--LEFT(LEFT(SUBSTITUTE(SUBSTITUTE(SUBSTITUTE(SUBSTITUTE(TRIM($W735),"-",""),".",""),"/","")," ",""),8),4),--MID(LEFT(SUBSTITUTE(SUBSTITUTE(SUBSTITUTE(SUBSTITUTE(TRIM($W735),"-",""),".",""),"/","")," ",""),8),5,2),--MID(LEFT(SUBSTITUTE(SUBSTITUTE(SUBSTITUTE(SUBSTITUTE(TRIM($W735),"-",""),".",""),"/","")," ",""),8),7,2)),"")))</f>
        <v/>
      </c>
      <c r="Y735" s="32">
        <f>IF($X735="","",INT($X735))</f>
        <v/>
      </c>
      <c r="Z735" s="33">
        <f>IF(OR($Y735="",$D$6=""),"",IF(INDEX($A:$U,ROW(),$D$6)="",0,IF(ISNUMBER(INDEX($A:$U,ROW(),$D$6)),INDEX($A:$U,ROW(),$D$6),IFERROR(--SUBSTITUTE(SUBSTITUTE(TRIM(INDEX($A:$U,ROW(),$D$6)),",",""),"원",""),0))))</f>
        <v/>
      </c>
      <c r="AA735" s="31">
        <f>IF($Y735="","",TRIM(INDEX($A:$U,ROW(),$E$6)&amp;IF($F$6="",""," "&amp;INDEX($A:$U,ROW(),$F$6))))</f>
        <v/>
      </c>
      <c r="AB735" s="31">
        <f>IF($AA735="","",SUBSTITUTE(SUBSTITUTE(SUBSTITUTE(SUBSTITUTE(SUBSTITUTE(SUBSTITUTE(SUBSTITUTE(SUBSTITUTE(SUBSTITUTE($AA735," ",""),"　",""),"(주)",""),"（주）",""),"㈜",""),"주식회사",""),"(유)",""),"（유）",""),"유한회사",""))</f>
        <v/>
      </c>
      <c r="AC735" s="31">
        <f>IF(OR($Y735="",N($Z735)&lt;=0,$AB735=""),0,IFERROR(LOOKUP(2,1/((거래처별!$AC$8:$AC$307&lt;&gt;"")*ISNUMBER(SEARCH(거래처별!$AC$8:$AC$307,$AB735))),거래처별!$A$8:$A$307),IFERROR(LOOKUP(2,1/((거래처별!$AD$8:$AD$307&lt;&gt;"")*ISNUMBER(SEARCH(거래처별!$AD$8:$AD$307,$AB735))),거래처별!$A$8:$A$307),IFERROR(LOOKUP(2,1/((거래처별!$AE$8:$AE$307&lt;&gt;"")*ISNUMBER(SEARCH(거래처별!$AE$8:$AE$307,$AB735))),거래처별!$A$8:$A$307),0))))</f>
        <v/>
      </c>
      <c r="AD735" s="31">
        <f>IF(AND($Y735&lt;&gt;"",N($Z735)&gt;0,$AC735=0),MAX($AD$7:$AD734)+1,"")</f>
        <v/>
      </c>
      <c r="AE735" s="31">
        <f>IF($Y735="",0,$Y735)</f>
        <v/>
      </c>
    </row>
    <row r="736">
      <c r="W736" s="31">
        <f>IF(OR($B$5="",$C$6="",ROW()&lt;$B$5),"",IF(INDEX($A:$U,ROW(),$C$6)="","",INDEX($A:$U,ROW(),$C$6)))</f>
        <v/>
      </c>
      <c r="X736" s="32">
        <f>IF($W736="","",IF(ISNUMBER($W736),IF($W736&gt;=10000000,IFERROR(DATE(INT($W736/10000),MOD(INT($W736/100),100),MOD($W736,100)),""),INT($W736)),IFERROR(DATE(--LEFT(LEFT(SUBSTITUTE(SUBSTITUTE(SUBSTITUTE(SUBSTITUTE(TRIM($W736),"-",""),".",""),"/","")," ",""),8),4),--MID(LEFT(SUBSTITUTE(SUBSTITUTE(SUBSTITUTE(SUBSTITUTE(TRIM($W736),"-",""),".",""),"/","")," ",""),8),5,2),--MID(LEFT(SUBSTITUTE(SUBSTITUTE(SUBSTITUTE(SUBSTITUTE(TRIM($W736),"-",""),".",""),"/","")," ",""),8),7,2)),"")))</f>
        <v/>
      </c>
      <c r="Y736" s="32">
        <f>IF($X736="","",INT($X736))</f>
        <v/>
      </c>
      <c r="Z736" s="33">
        <f>IF(OR($Y736="",$D$6=""),"",IF(INDEX($A:$U,ROW(),$D$6)="",0,IF(ISNUMBER(INDEX($A:$U,ROW(),$D$6)),INDEX($A:$U,ROW(),$D$6),IFERROR(--SUBSTITUTE(SUBSTITUTE(TRIM(INDEX($A:$U,ROW(),$D$6)),",",""),"원",""),0))))</f>
        <v/>
      </c>
      <c r="AA736" s="31">
        <f>IF($Y736="","",TRIM(INDEX($A:$U,ROW(),$E$6)&amp;IF($F$6="",""," "&amp;INDEX($A:$U,ROW(),$F$6))))</f>
        <v/>
      </c>
      <c r="AB736" s="31">
        <f>IF($AA736="","",SUBSTITUTE(SUBSTITUTE(SUBSTITUTE(SUBSTITUTE(SUBSTITUTE(SUBSTITUTE(SUBSTITUTE(SUBSTITUTE(SUBSTITUTE($AA736," ",""),"　",""),"(주)",""),"（주）",""),"㈜",""),"주식회사",""),"(유)",""),"（유）",""),"유한회사",""))</f>
        <v/>
      </c>
      <c r="AC736" s="31">
        <f>IF(OR($Y736="",N($Z736)&lt;=0,$AB736=""),0,IFERROR(LOOKUP(2,1/((거래처별!$AC$8:$AC$307&lt;&gt;"")*ISNUMBER(SEARCH(거래처별!$AC$8:$AC$307,$AB736))),거래처별!$A$8:$A$307),IFERROR(LOOKUP(2,1/((거래처별!$AD$8:$AD$307&lt;&gt;"")*ISNUMBER(SEARCH(거래처별!$AD$8:$AD$307,$AB736))),거래처별!$A$8:$A$307),IFERROR(LOOKUP(2,1/((거래처별!$AE$8:$AE$307&lt;&gt;"")*ISNUMBER(SEARCH(거래처별!$AE$8:$AE$307,$AB736))),거래처별!$A$8:$A$307),0))))</f>
        <v/>
      </c>
      <c r="AD736" s="31">
        <f>IF(AND($Y736&lt;&gt;"",N($Z736)&gt;0,$AC736=0),MAX($AD$7:$AD735)+1,"")</f>
        <v/>
      </c>
      <c r="AE736" s="31">
        <f>IF($Y736="",0,$Y736)</f>
        <v/>
      </c>
    </row>
    <row r="737">
      <c r="W737" s="31">
        <f>IF(OR($B$5="",$C$6="",ROW()&lt;$B$5),"",IF(INDEX($A:$U,ROW(),$C$6)="","",INDEX($A:$U,ROW(),$C$6)))</f>
        <v/>
      </c>
      <c r="X737" s="32">
        <f>IF($W737="","",IF(ISNUMBER($W737),IF($W737&gt;=10000000,IFERROR(DATE(INT($W737/10000),MOD(INT($W737/100),100),MOD($W737,100)),""),INT($W737)),IFERROR(DATE(--LEFT(LEFT(SUBSTITUTE(SUBSTITUTE(SUBSTITUTE(SUBSTITUTE(TRIM($W737),"-",""),".",""),"/","")," ",""),8),4),--MID(LEFT(SUBSTITUTE(SUBSTITUTE(SUBSTITUTE(SUBSTITUTE(TRIM($W737),"-",""),".",""),"/","")," ",""),8),5,2),--MID(LEFT(SUBSTITUTE(SUBSTITUTE(SUBSTITUTE(SUBSTITUTE(TRIM($W737),"-",""),".",""),"/","")," ",""),8),7,2)),"")))</f>
        <v/>
      </c>
      <c r="Y737" s="32">
        <f>IF($X737="","",INT($X737))</f>
        <v/>
      </c>
      <c r="Z737" s="33">
        <f>IF(OR($Y737="",$D$6=""),"",IF(INDEX($A:$U,ROW(),$D$6)="",0,IF(ISNUMBER(INDEX($A:$U,ROW(),$D$6)),INDEX($A:$U,ROW(),$D$6),IFERROR(--SUBSTITUTE(SUBSTITUTE(TRIM(INDEX($A:$U,ROW(),$D$6)),",",""),"원",""),0))))</f>
        <v/>
      </c>
      <c r="AA737" s="31">
        <f>IF($Y737="","",TRIM(INDEX($A:$U,ROW(),$E$6)&amp;IF($F$6="",""," "&amp;INDEX($A:$U,ROW(),$F$6))))</f>
        <v/>
      </c>
      <c r="AB737" s="31">
        <f>IF($AA737="","",SUBSTITUTE(SUBSTITUTE(SUBSTITUTE(SUBSTITUTE(SUBSTITUTE(SUBSTITUTE(SUBSTITUTE(SUBSTITUTE(SUBSTITUTE($AA737," ",""),"　",""),"(주)",""),"（주）",""),"㈜",""),"주식회사",""),"(유)",""),"（유）",""),"유한회사",""))</f>
        <v/>
      </c>
      <c r="AC737" s="31">
        <f>IF(OR($Y737="",N($Z737)&lt;=0,$AB737=""),0,IFERROR(LOOKUP(2,1/((거래처별!$AC$8:$AC$307&lt;&gt;"")*ISNUMBER(SEARCH(거래처별!$AC$8:$AC$307,$AB737))),거래처별!$A$8:$A$307),IFERROR(LOOKUP(2,1/((거래처별!$AD$8:$AD$307&lt;&gt;"")*ISNUMBER(SEARCH(거래처별!$AD$8:$AD$307,$AB737))),거래처별!$A$8:$A$307),IFERROR(LOOKUP(2,1/((거래처별!$AE$8:$AE$307&lt;&gt;"")*ISNUMBER(SEARCH(거래처별!$AE$8:$AE$307,$AB737))),거래처별!$A$8:$A$307),0))))</f>
        <v/>
      </c>
      <c r="AD737" s="31">
        <f>IF(AND($Y737&lt;&gt;"",N($Z737)&gt;0,$AC737=0),MAX($AD$7:$AD736)+1,"")</f>
        <v/>
      </c>
      <c r="AE737" s="31">
        <f>IF($Y737="",0,$Y737)</f>
        <v/>
      </c>
    </row>
    <row r="738">
      <c r="W738" s="31">
        <f>IF(OR($B$5="",$C$6="",ROW()&lt;$B$5),"",IF(INDEX($A:$U,ROW(),$C$6)="","",INDEX($A:$U,ROW(),$C$6)))</f>
        <v/>
      </c>
      <c r="X738" s="32">
        <f>IF($W738="","",IF(ISNUMBER($W738),IF($W738&gt;=10000000,IFERROR(DATE(INT($W738/10000),MOD(INT($W738/100),100),MOD($W738,100)),""),INT($W738)),IFERROR(DATE(--LEFT(LEFT(SUBSTITUTE(SUBSTITUTE(SUBSTITUTE(SUBSTITUTE(TRIM($W738),"-",""),".",""),"/","")," ",""),8),4),--MID(LEFT(SUBSTITUTE(SUBSTITUTE(SUBSTITUTE(SUBSTITUTE(TRIM($W738),"-",""),".",""),"/","")," ",""),8),5,2),--MID(LEFT(SUBSTITUTE(SUBSTITUTE(SUBSTITUTE(SUBSTITUTE(TRIM($W738),"-",""),".",""),"/","")," ",""),8),7,2)),"")))</f>
        <v/>
      </c>
      <c r="Y738" s="32">
        <f>IF($X738="","",INT($X738))</f>
        <v/>
      </c>
      <c r="Z738" s="33">
        <f>IF(OR($Y738="",$D$6=""),"",IF(INDEX($A:$U,ROW(),$D$6)="",0,IF(ISNUMBER(INDEX($A:$U,ROW(),$D$6)),INDEX($A:$U,ROW(),$D$6),IFERROR(--SUBSTITUTE(SUBSTITUTE(TRIM(INDEX($A:$U,ROW(),$D$6)),",",""),"원",""),0))))</f>
        <v/>
      </c>
      <c r="AA738" s="31">
        <f>IF($Y738="","",TRIM(INDEX($A:$U,ROW(),$E$6)&amp;IF($F$6="",""," "&amp;INDEX($A:$U,ROW(),$F$6))))</f>
        <v/>
      </c>
      <c r="AB738" s="31">
        <f>IF($AA738="","",SUBSTITUTE(SUBSTITUTE(SUBSTITUTE(SUBSTITUTE(SUBSTITUTE(SUBSTITUTE(SUBSTITUTE(SUBSTITUTE(SUBSTITUTE($AA738," ",""),"　",""),"(주)",""),"（주）",""),"㈜",""),"주식회사",""),"(유)",""),"（유）",""),"유한회사",""))</f>
        <v/>
      </c>
      <c r="AC738" s="31">
        <f>IF(OR($Y738="",N($Z738)&lt;=0,$AB738=""),0,IFERROR(LOOKUP(2,1/((거래처별!$AC$8:$AC$307&lt;&gt;"")*ISNUMBER(SEARCH(거래처별!$AC$8:$AC$307,$AB738))),거래처별!$A$8:$A$307),IFERROR(LOOKUP(2,1/((거래처별!$AD$8:$AD$307&lt;&gt;"")*ISNUMBER(SEARCH(거래처별!$AD$8:$AD$307,$AB738))),거래처별!$A$8:$A$307),IFERROR(LOOKUP(2,1/((거래처별!$AE$8:$AE$307&lt;&gt;"")*ISNUMBER(SEARCH(거래처별!$AE$8:$AE$307,$AB738))),거래처별!$A$8:$A$307),0))))</f>
        <v/>
      </c>
      <c r="AD738" s="31">
        <f>IF(AND($Y738&lt;&gt;"",N($Z738)&gt;0,$AC738=0),MAX($AD$7:$AD737)+1,"")</f>
        <v/>
      </c>
      <c r="AE738" s="31">
        <f>IF($Y738="",0,$Y738)</f>
        <v/>
      </c>
    </row>
    <row r="739">
      <c r="W739" s="31">
        <f>IF(OR($B$5="",$C$6="",ROW()&lt;$B$5),"",IF(INDEX($A:$U,ROW(),$C$6)="","",INDEX($A:$U,ROW(),$C$6)))</f>
        <v/>
      </c>
      <c r="X739" s="32">
        <f>IF($W739="","",IF(ISNUMBER($W739),IF($W739&gt;=10000000,IFERROR(DATE(INT($W739/10000),MOD(INT($W739/100),100),MOD($W739,100)),""),INT($W739)),IFERROR(DATE(--LEFT(LEFT(SUBSTITUTE(SUBSTITUTE(SUBSTITUTE(SUBSTITUTE(TRIM($W739),"-",""),".",""),"/","")," ",""),8),4),--MID(LEFT(SUBSTITUTE(SUBSTITUTE(SUBSTITUTE(SUBSTITUTE(TRIM($W739),"-",""),".",""),"/","")," ",""),8),5,2),--MID(LEFT(SUBSTITUTE(SUBSTITUTE(SUBSTITUTE(SUBSTITUTE(TRIM($W739),"-",""),".",""),"/","")," ",""),8),7,2)),"")))</f>
        <v/>
      </c>
      <c r="Y739" s="32">
        <f>IF($X739="","",INT($X739))</f>
        <v/>
      </c>
      <c r="Z739" s="33">
        <f>IF(OR($Y739="",$D$6=""),"",IF(INDEX($A:$U,ROW(),$D$6)="",0,IF(ISNUMBER(INDEX($A:$U,ROW(),$D$6)),INDEX($A:$U,ROW(),$D$6),IFERROR(--SUBSTITUTE(SUBSTITUTE(TRIM(INDEX($A:$U,ROW(),$D$6)),",",""),"원",""),0))))</f>
        <v/>
      </c>
      <c r="AA739" s="31">
        <f>IF($Y739="","",TRIM(INDEX($A:$U,ROW(),$E$6)&amp;IF($F$6="",""," "&amp;INDEX($A:$U,ROW(),$F$6))))</f>
        <v/>
      </c>
      <c r="AB739" s="31">
        <f>IF($AA739="","",SUBSTITUTE(SUBSTITUTE(SUBSTITUTE(SUBSTITUTE(SUBSTITUTE(SUBSTITUTE(SUBSTITUTE(SUBSTITUTE(SUBSTITUTE($AA739," ",""),"　",""),"(주)",""),"（주）",""),"㈜",""),"주식회사",""),"(유)",""),"（유）",""),"유한회사",""))</f>
        <v/>
      </c>
      <c r="AC739" s="31">
        <f>IF(OR($Y739="",N($Z739)&lt;=0,$AB739=""),0,IFERROR(LOOKUP(2,1/((거래처별!$AC$8:$AC$307&lt;&gt;"")*ISNUMBER(SEARCH(거래처별!$AC$8:$AC$307,$AB739))),거래처별!$A$8:$A$307),IFERROR(LOOKUP(2,1/((거래처별!$AD$8:$AD$307&lt;&gt;"")*ISNUMBER(SEARCH(거래처별!$AD$8:$AD$307,$AB739))),거래처별!$A$8:$A$307),IFERROR(LOOKUP(2,1/((거래처별!$AE$8:$AE$307&lt;&gt;"")*ISNUMBER(SEARCH(거래처별!$AE$8:$AE$307,$AB739))),거래처별!$A$8:$A$307),0))))</f>
        <v/>
      </c>
      <c r="AD739" s="31">
        <f>IF(AND($Y739&lt;&gt;"",N($Z739)&gt;0,$AC739=0),MAX($AD$7:$AD738)+1,"")</f>
        <v/>
      </c>
      <c r="AE739" s="31">
        <f>IF($Y739="",0,$Y739)</f>
        <v/>
      </c>
    </row>
    <row r="740">
      <c r="W740" s="31">
        <f>IF(OR($B$5="",$C$6="",ROW()&lt;$B$5),"",IF(INDEX($A:$U,ROW(),$C$6)="","",INDEX($A:$U,ROW(),$C$6)))</f>
        <v/>
      </c>
      <c r="X740" s="32">
        <f>IF($W740="","",IF(ISNUMBER($W740),IF($W740&gt;=10000000,IFERROR(DATE(INT($W740/10000),MOD(INT($W740/100),100),MOD($W740,100)),""),INT($W740)),IFERROR(DATE(--LEFT(LEFT(SUBSTITUTE(SUBSTITUTE(SUBSTITUTE(SUBSTITUTE(TRIM($W740),"-",""),".",""),"/","")," ",""),8),4),--MID(LEFT(SUBSTITUTE(SUBSTITUTE(SUBSTITUTE(SUBSTITUTE(TRIM($W740),"-",""),".",""),"/","")," ",""),8),5,2),--MID(LEFT(SUBSTITUTE(SUBSTITUTE(SUBSTITUTE(SUBSTITUTE(TRIM($W740),"-",""),".",""),"/","")," ",""),8),7,2)),"")))</f>
        <v/>
      </c>
      <c r="Y740" s="32">
        <f>IF($X740="","",INT($X740))</f>
        <v/>
      </c>
      <c r="Z740" s="33">
        <f>IF(OR($Y740="",$D$6=""),"",IF(INDEX($A:$U,ROW(),$D$6)="",0,IF(ISNUMBER(INDEX($A:$U,ROW(),$D$6)),INDEX($A:$U,ROW(),$D$6),IFERROR(--SUBSTITUTE(SUBSTITUTE(TRIM(INDEX($A:$U,ROW(),$D$6)),",",""),"원",""),0))))</f>
        <v/>
      </c>
      <c r="AA740" s="31">
        <f>IF($Y740="","",TRIM(INDEX($A:$U,ROW(),$E$6)&amp;IF($F$6="",""," "&amp;INDEX($A:$U,ROW(),$F$6))))</f>
        <v/>
      </c>
      <c r="AB740" s="31">
        <f>IF($AA740="","",SUBSTITUTE(SUBSTITUTE(SUBSTITUTE(SUBSTITUTE(SUBSTITUTE(SUBSTITUTE(SUBSTITUTE(SUBSTITUTE(SUBSTITUTE($AA740," ",""),"　",""),"(주)",""),"（주）",""),"㈜",""),"주식회사",""),"(유)",""),"（유）",""),"유한회사",""))</f>
        <v/>
      </c>
      <c r="AC740" s="31">
        <f>IF(OR($Y740="",N($Z740)&lt;=0,$AB740=""),0,IFERROR(LOOKUP(2,1/((거래처별!$AC$8:$AC$307&lt;&gt;"")*ISNUMBER(SEARCH(거래처별!$AC$8:$AC$307,$AB740))),거래처별!$A$8:$A$307),IFERROR(LOOKUP(2,1/((거래처별!$AD$8:$AD$307&lt;&gt;"")*ISNUMBER(SEARCH(거래처별!$AD$8:$AD$307,$AB740))),거래처별!$A$8:$A$307),IFERROR(LOOKUP(2,1/((거래처별!$AE$8:$AE$307&lt;&gt;"")*ISNUMBER(SEARCH(거래처별!$AE$8:$AE$307,$AB740))),거래처별!$A$8:$A$307),0))))</f>
        <v/>
      </c>
      <c r="AD740" s="31">
        <f>IF(AND($Y740&lt;&gt;"",N($Z740)&gt;0,$AC740=0),MAX($AD$7:$AD739)+1,"")</f>
        <v/>
      </c>
      <c r="AE740" s="31">
        <f>IF($Y740="",0,$Y740)</f>
        <v/>
      </c>
    </row>
    <row r="741">
      <c r="W741" s="31">
        <f>IF(OR($B$5="",$C$6="",ROW()&lt;$B$5),"",IF(INDEX($A:$U,ROW(),$C$6)="","",INDEX($A:$U,ROW(),$C$6)))</f>
        <v/>
      </c>
      <c r="X741" s="32">
        <f>IF($W741="","",IF(ISNUMBER($W741),IF($W741&gt;=10000000,IFERROR(DATE(INT($W741/10000),MOD(INT($W741/100),100),MOD($W741,100)),""),INT($W741)),IFERROR(DATE(--LEFT(LEFT(SUBSTITUTE(SUBSTITUTE(SUBSTITUTE(SUBSTITUTE(TRIM($W741),"-",""),".",""),"/","")," ",""),8),4),--MID(LEFT(SUBSTITUTE(SUBSTITUTE(SUBSTITUTE(SUBSTITUTE(TRIM($W741),"-",""),".",""),"/","")," ",""),8),5,2),--MID(LEFT(SUBSTITUTE(SUBSTITUTE(SUBSTITUTE(SUBSTITUTE(TRIM($W741),"-",""),".",""),"/","")," ",""),8),7,2)),"")))</f>
        <v/>
      </c>
      <c r="Y741" s="32">
        <f>IF($X741="","",INT($X741))</f>
        <v/>
      </c>
      <c r="Z741" s="33">
        <f>IF(OR($Y741="",$D$6=""),"",IF(INDEX($A:$U,ROW(),$D$6)="",0,IF(ISNUMBER(INDEX($A:$U,ROW(),$D$6)),INDEX($A:$U,ROW(),$D$6),IFERROR(--SUBSTITUTE(SUBSTITUTE(TRIM(INDEX($A:$U,ROW(),$D$6)),",",""),"원",""),0))))</f>
        <v/>
      </c>
      <c r="AA741" s="31">
        <f>IF($Y741="","",TRIM(INDEX($A:$U,ROW(),$E$6)&amp;IF($F$6="",""," "&amp;INDEX($A:$U,ROW(),$F$6))))</f>
        <v/>
      </c>
      <c r="AB741" s="31">
        <f>IF($AA741="","",SUBSTITUTE(SUBSTITUTE(SUBSTITUTE(SUBSTITUTE(SUBSTITUTE(SUBSTITUTE(SUBSTITUTE(SUBSTITUTE(SUBSTITUTE($AA741," ",""),"　",""),"(주)",""),"（주）",""),"㈜",""),"주식회사",""),"(유)",""),"（유）",""),"유한회사",""))</f>
        <v/>
      </c>
      <c r="AC741" s="31">
        <f>IF(OR($Y741="",N($Z741)&lt;=0,$AB741=""),0,IFERROR(LOOKUP(2,1/((거래처별!$AC$8:$AC$307&lt;&gt;"")*ISNUMBER(SEARCH(거래처별!$AC$8:$AC$307,$AB741))),거래처별!$A$8:$A$307),IFERROR(LOOKUP(2,1/((거래처별!$AD$8:$AD$307&lt;&gt;"")*ISNUMBER(SEARCH(거래처별!$AD$8:$AD$307,$AB741))),거래처별!$A$8:$A$307),IFERROR(LOOKUP(2,1/((거래처별!$AE$8:$AE$307&lt;&gt;"")*ISNUMBER(SEARCH(거래처별!$AE$8:$AE$307,$AB741))),거래처별!$A$8:$A$307),0))))</f>
        <v/>
      </c>
      <c r="AD741" s="31">
        <f>IF(AND($Y741&lt;&gt;"",N($Z741)&gt;0,$AC741=0),MAX($AD$7:$AD740)+1,"")</f>
        <v/>
      </c>
      <c r="AE741" s="31">
        <f>IF($Y741="",0,$Y741)</f>
        <v/>
      </c>
    </row>
    <row r="742">
      <c r="W742" s="31">
        <f>IF(OR($B$5="",$C$6="",ROW()&lt;$B$5),"",IF(INDEX($A:$U,ROW(),$C$6)="","",INDEX($A:$U,ROW(),$C$6)))</f>
        <v/>
      </c>
      <c r="X742" s="32">
        <f>IF($W742="","",IF(ISNUMBER($W742),IF($W742&gt;=10000000,IFERROR(DATE(INT($W742/10000),MOD(INT($W742/100),100),MOD($W742,100)),""),INT($W742)),IFERROR(DATE(--LEFT(LEFT(SUBSTITUTE(SUBSTITUTE(SUBSTITUTE(SUBSTITUTE(TRIM($W742),"-",""),".",""),"/","")," ",""),8),4),--MID(LEFT(SUBSTITUTE(SUBSTITUTE(SUBSTITUTE(SUBSTITUTE(TRIM($W742),"-",""),".",""),"/","")," ",""),8),5,2),--MID(LEFT(SUBSTITUTE(SUBSTITUTE(SUBSTITUTE(SUBSTITUTE(TRIM($W742),"-",""),".",""),"/","")," ",""),8),7,2)),"")))</f>
        <v/>
      </c>
      <c r="Y742" s="32">
        <f>IF($X742="","",INT($X742))</f>
        <v/>
      </c>
      <c r="Z742" s="33">
        <f>IF(OR($Y742="",$D$6=""),"",IF(INDEX($A:$U,ROW(),$D$6)="",0,IF(ISNUMBER(INDEX($A:$U,ROW(),$D$6)),INDEX($A:$U,ROW(),$D$6),IFERROR(--SUBSTITUTE(SUBSTITUTE(TRIM(INDEX($A:$U,ROW(),$D$6)),",",""),"원",""),0))))</f>
        <v/>
      </c>
      <c r="AA742" s="31">
        <f>IF($Y742="","",TRIM(INDEX($A:$U,ROW(),$E$6)&amp;IF($F$6="",""," "&amp;INDEX($A:$U,ROW(),$F$6))))</f>
        <v/>
      </c>
      <c r="AB742" s="31">
        <f>IF($AA742="","",SUBSTITUTE(SUBSTITUTE(SUBSTITUTE(SUBSTITUTE(SUBSTITUTE(SUBSTITUTE(SUBSTITUTE(SUBSTITUTE(SUBSTITUTE($AA742," ",""),"　",""),"(주)",""),"（주）",""),"㈜",""),"주식회사",""),"(유)",""),"（유）",""),"유한회사",""))</f>
        <v/>
      </c>
      <c r="AC742" s="31">
        <f>IF(OR($Y742="",N($Z742)&lt;=0,$AB742=""),0,IFERROR(LOOKUP(2,1/((거래처별!$AC$8:$AC$307&lt;&gt;"")*ISNUMBER(SEARCH(거래처별!$AC$8:$AC$307,$AB742))),거래처별!$A$8:$A$307),IFERROR(LOOKUP(2,1/((거래처별!$AD$8:$AD$307&lt;&gt;"")*ISNUMBER(SEARCH(거래처별!$AD$8:$AD$307,$AB742))),거래처별!$A$8:$A$307),IFERROR(LOOKUP(2,1/((거래처별!$AE$8:$AE$307&lt;&gt;"")*ISNUMBER(SEARCH(거래처별!$AE$8:$AE$307,$AB742))),거래처별!$A$8:$A$307),0))))</f>
        <v/>
      </c>
      <c r="AD742" s="31">
        <f>IF(AND($Y742&lt;&gt;"",N($Z742)&gt;0,$AC742=0),MAX($AD$7:$AD741)+1,"")</f>
        <v/>
      </c>
      <c r="AE742" s="31">
        <f>IF($Y742="",0,$Y742)</f>
        <v/>
      </c>
    </row>
    <row r="743">
      <c r="W743" s="31">
        <f>IF(OR($B$5="",$C$6="",ROW()&lt;$B$5),"",IF(INDEX($A:$U,ROW(),$C$6)="","",INDEX($A:$U,ROW(),$C$6)))</f>
        <v/>
      </c>
      <c r="X743" s="32">
        <f>IF($W743="","",IF(ISNUMBER($W743),IF($W743&gt;=10000000,IFERROR(DATE(INT($W743/10000),MOD(INT($W743/100),100),MOD($W743,100)),""),INT($W743)),IFERROR(DATE(--LEFT(LEFT(SUBSTITUTE(SUBSTITUTE(SUBSTITUTE(SUBSTITUTE(TRIM($W743),"-",""),".",""),"/","")," ",""),8),4),--MID(LEFT(SUBSTITUTE(SUBSTITUTE(SUBSTITUTE(SUBSTITUTE(TRIM($W743),"-",""),".",""),"/","")," ",""),8),5,2),--MID(LEFT(SUBSTITUTE(SUBSTITUTE(SUBSTITUTE(SUBSTITUTE(TRIM($W743),"-",""),".",""),"/","")," ",""),8),7,2)),"")))</f>
        <v/>
      </c>
      <c r="Y743" s="32">
        <f>IF($X743="","",INT($X743))</f>
        <v/>
      </c>
      <c r="Z743" s="33">
        <f>IF(OR($Y743="",$D$6=""),"",IF(INDEX($A:$U,ROW(),$D$6)="",0,IF(ISNUMBER(INDEX($A:$U,ROW(),$D$6)),INDEX($A:$U,ROW(),$D$6),IFERROR(--SUBSTITUTE(SUBSTITUTE(TRIM(INDEX($A:$U,ROW(),$D$6)),",",""),"원",""),0))))</f>
        <v/>
      </c>
      <c r="AA743" s="31">
        <f>IF($Y743="","",TRIM(INDEX($A:$U,ROW(),$E$6)&amp;IF($F$6="",""," "&amp;INDEX($A:$U,ROW(),$F$6))))</f>
        <v/>
      </c>
      <c r="AB743" s="31">
        <f>IF($AA743="","",SUBSTITUTE(SUBSTITUTE(SUBSTITUTE(SUBSTITUTE(SUBSTITUTE(SUBSTITUTE(SUBSTITUTE(SUBSTITUTE(SUBSTITUTE($AA743," ",""),"　",""),"(주)",""),"（주）",""),"㈜",""),"주식회사",""),"(유)",""),"（유）",""),"유한회사",""))</f>
        <v/>
      </c>
      <c r="AC743" s="31">
        <f>IF(OR($Y743="",N($Z743)&lt;=0,$AB743=""),0,IFERROR(LOOKUP(2,1/((거래처별!$AC$8:$AC$307&lt;&gt;"")*ISNUMBER(SEARCH(거래처별!$AC$8:$AC$307,$AB743))),거래처별!$A$8:$A$307),IFERROR(LOOKUP(2,1/((거래처별!$AD$8:$AD$307&lt;&gt;"")*ISNUMBER(SEARCH(거래처별!$AD$8:$AD$307,$AB743))),거래처별!$A$8:$A$307),IFERROR(LOOKUP(2,1/((거래처별!$AE$8:$AE$307&lt;&gt;"")*ISNUMBER(SEARCH(거래처별!$AE$8:$AE$307,$AB743))),거래처별!$A$8:$A$307),0))))</f>
        <v/>
      </c>
      <c r="AD743" s="31">
        <f>IF(AND($Y743&lt;&gt;"",N($Z743)&gt;0,$AC743=0),MAX($AD$7:$AD742)+1,"")</f>
        <v/>
      </c>
      <c r="AE743" s="31">
        <f>IF($Y743="",0,$Y743)</f>
        <v/>
      </c>
    </row>
    <row r="744">
      <c r="W744" s="31">
        <f>IF(OR($B$5="",$C$6="",ROW()&lt;$B$5),"",IF(INDEX($A:$U,ROW(),$C$6)="","",INDEX($A:$U,ROW(),$C$6)))</f>
        <v/>
      </c>
      <c r="X744" s="32">
        <f>IF($W744="","",IF(ISNUMBER($W744),IF($W744&gt;=10000000,IFERROR(DATE(INT($W744/10000),MOD(INT($W744/100),100),MOD($W744,100)),""),INT($W744)),IFERROR(DATE(--LEFT(LEFT(SUBSTITUTE(SUBSTITUTE(SUBSTITUTE(SUBSTITUTE(TRIM($W744),"-",""),".",""),"/","")," ",""),8),4),--MID(LEFT(SUBSTITUTE(SUBSTITUTE(SUBSTITUTE(SUBSTITUTE(TRIM($W744),"-",""),".",""),"/","")," ",""),8),5,2),--MID(LEFT(SUBSTITUTE(SUBSTITUTE(SUBSTITUTE(SUBSTITUTE(TRIM($W744),"-",""),".",""),"/","")," ",""),8),7,2)),"")))</f>
        <v/>
      </c>
      <c r="Y744" s="32">
        <f>IF($X744="","",INT($X744))</f>
        <v/>
      </c>
      <c r="Z744" s="33">
        <f>IF(OR($Y744="",$D$6=""),"",IF(INDEX($A:$U,ROW(),$D$6)="",0,IF(ISNUMBER(INDEX($A:$U,ROW(),$D$6)),INDEX($A:$U,ROW(),$D$6),IFERROR(--SUBSTITUTE(SUBSTITUTE(TRIM(INDEX($A:$U,ROW(),$D$6)),",",""),"원",""),0))))</f>
        <v/>
      </c>
      <c r="AA744" s="31">
        <f>IF($Y744="","",TRIM(INDEX($A:$U,ROW(),$E$6)&amp;IF($F$6="",""," "&amp;INDEX($A:$U,ROW(),$F$6))))</f>
        <v/>
      </c>
      <c r="AB744" s="31">
        <f>IF($AA744="","",SUBSTITUTE(SUBSTITUTE(SUBSTITUTE(SUBSTITUTE(SUBSTITUTE(SUBSTITUTE(SUBSTITUTE(SUBSTITUTE(SUBSTITUTE($AA744," ",""),"　",""),"(주)",""),"（주）",""),"㈜",""),"주식회사",""),"(유)",""),"（유）",""),"유한회사",""))</f>
        <v/>
      </c>
      <c r="AC744" s="31">
        <f>IF(OR($Y744="",N($Z744)&lt;=0,$AB744=""),0,IFERROR(LOOKUP(2,1/((거래처별!$AC$8:$AC$307&lt;&gt;"")*ISNUMBER(SEARCH(거래처별!$AC$8:$AC$307,$AB744))),거래처별!$A$8:$A$307),IFERROR(LOOKUP(2,1/((거래처별!$AD$8:$AD$307&lt;&gt;"")*ISNUMBER(SEARCH(거래처별!$AD$8:$AD$307,$AB744))),거래처별!$A$8:$A$307),IFERROR(LOOKUP(2,1/((거래처별!$AE$8:$AE$307&lt;&gt;"")*ISNUMBER(SEARCH(거래처별!$AE$8:$AE$307,$AB744))),거래처별!$A$8:$A$307),0))))</f>
        <v/>
      </c>
      <c r="AD744" s="31">
        <f>IF(AND($Y744&lt;&gt;"",N($Z744)&gt;0,$AC744=0),MAX($AD$7:$AD743)+1,"")</f>
        <v/>
      </c>
      <c r="AE744" s="31">
        <f>IF($Y744="",0,$Y744)</f>
        <v/>
      </c>
    </row>
    <row r="745">
      <c r="W745" s="31">
        <f>IF(OR($B$5="",$C$6="",ROW()&lt;$B$5),"",IF(INDEX($A:$U,ROW(),$C$6)="","",INDEX($A:$U,ROW(),$C$6)))</f>
        <v/>
      </c>
      <c r="X745" s="32">
        <f>IF($W745="","",IF(ISNUMBER($W745),IF($W745&gt;=10000000,IFERROR(DATE(INT($W745/10000),MOD(INT($W745/100),100),MOD($W745,100)),""),INT($W745)),IFERROR(DATE(--LEFT(LEFT(SUBSTITUTE(SUBSTITUTE(SUBSTITUTE(SUBSTITUTE(TRIM($W745),"-",""),".",""),"/","")," ",""),8),4),--MID(LEFT(SUBSTITUTE(SUBSTITUTE(SUBSTITUTE(SUBSTITUTE(TRIM($W745),"-",""),".",""),"/","")," ",""),8),5,2),--MID(LEFT(SUBSTITUTE(SUBSTITUTE(SUBSTITUTE(SUBSTITUTE(TRIM($W745),"-",""),".",""),"/","")," ",""),8),7,2)),"")))</f>
        <v/>
      </c>
      <c r="Y745" s="32">
        <f>IF($X745="","",INT($X745))</f>
        <v/>
      </c>
      <c r="Z745" s="33">
        <f>IF(OR($Y745="",$D$6=""),"",IF(INDEX($A:$U,ROW(),$D$6)="",0,IF(ISNUMBER(INDEX($A:$U,ROW(),$D$6)),INDEX($A:$U,ROW(),$D$6),IFERROR(--SUBSTITUTE(SUBSTITUTE(TRIM(INDEX($A:$U,ROW(),$D$6)),",",""),"원",""),0))))</f>
        <v/>
      </c>
      <c r="AA745" s="31">
        <f>IF($Y745="","",TRIM(INDEX($A:$U,ROW(),$E$6)&amp;IF($F$6="",""," "&amp;INDEX($A:$U,ROW(),$F$6))))</f>
        <v/>
      </c>
      <c r="AB745" s="31">
        <f>IF($AA745="","",SUBSTITUTE(SUBSTITUTE(SUBSTITUTE(SUBSTITUTE(SUBSTITUTE(SUBSTITUTE(SUBSTITUTE(SUBSTITUTE(SUBSTITUTE($AA745," ",""),"　",""),"(주)",""),"（주）",""),"㈜",""),"주식회사",""),"(유)",""),"（유）",""),"유한회사",""))</f>
        <v/>
      </c>
      <c r="AC745" s="31">
        <f>IF(OR($Y745="",N($Z745)&lt;=0,$AB745=""),0,IFERROR(LOOKUP(2,1/((거래처별!$AC$8:$AC$307&lt;&gt;"")*ISNUMBER(SEARCH(거래처별!$AC$8:$AC$307,$AB745))),거래처별!$A$8:$A$307),IFERROR(LOOKUP(2,1/((거래처별!$AD$8:$AD$307&lt;&gt;"")*ISNUMBER(SEARCH(거래처별!$AD$8:$AD$307,$AB745))),거래처별!$A$8:$A$307),IFERROR(LOOKUP(2,1/((거래처별!$AE$8:$AE$307&lt;&gt;"")*ISNUMBER(SEARCH(거래처별!$AE$8:$AE$307,$AB745))),거래처별!$A$8:$A$307),0))))</f>
        <v/>
      </c>
      <c r="AD745" s="31">
        <f>IF(AND($Y745&lt;&gt;"",N($Z745)&gt;0,$AC745=0),MAX($AD$7:$AD744)+1,"")</f>
        <v/>
      </c>
      <c r="AE745" s="31">
        <f>IF($Y745="",0,$Y745)</f>
        <v/>
      </c>
    </row>
    <row r="746">
      <c r="W746" s="31">
        <f>IF(OR($B$5="",$C$6="",ROW()&lt;$B$5),"",IF(INDEX($A:$U,ROW(),$C$6)="","",INDEX($A:$U,ROW(),$C$6)))</f>
        <v/>
      </c>
      <c r="X746" s="32">
        <f>IF($W746="","",IF(ISNUMBER($W746),IF($W746&gt;=10000000,IFERROR(DATE(INT($W746/10000),MOD(INT($W746/100),100),MOD($W746,100)),""),INT($W746)),IFERROR(DATE(--LEFT(LEFT(SUBSTITUTE(SUBSTITUTE(SUBSTITUTE(SUBSTITUTE(TRIM($W746),"-",""),".",""),"/","")," ",""),8),4),--MID(LEFT(SUBSTITUTE(SUBSTITUTE(SUBSTITUTE(SUBSTITUTE(TRIM($W746),"-",""),".",""),"/","")," ",""),8),5,2),--MID(LEFT(SUBSTITUTE(SUBSTITUTE(SUBSTITUTE(SUBSTITUTE(TRIM($W746),"-",""),".",""),"/","")," ",""),8),7,2)),"")))</f>
        <v/>
      </c>
      <c r="Y746" s="32">
        <f>IF($X746="","",INT($X746))</f>
        <v/>
      </c>
      <c r="Z746" s="33">
        <f>IF(OR($Y746="",$D$6=""),"",IF(INDEX($A:$U,ROW(),$D$6)="",0,IF(ISNUMBER(INDEX($A:$U,ROW(),$D$6)),INDEX($A:$U,ROW(),$D$6),IFERROR(--SUBSTITUTE(SUBSTITUTE(TRIM(INDEX($A:$U,ROW(),$D$6)),",",""),"원",""),0))))</f>
        <v/>
      </c>
      <c r="AA746" s="31">
        <f>IF($Y746="","",TRIM(INDEX($A:$U,ROW(),$E$6)&amp;IF($F$6="",""," "&amp;INDEX($A:$U,ROW(),$F$6))))</f>
        <v/>
      </c>
      <c r="AB746" s="31">
        <f>IF($AA746="","",SUBSTITUTE(SUBSTITUTE(SUBSTITUTE(SUBSTITUTE(SUBSTITUTE(SUBSTITUTE(SUBSTITUTE(SUBSTITUTE(SUBSTITUTE($AA746," ",""),"　",""),"(주)",""),"（주）",""),"㈜",""),"주식회사",""),"(유)",""),"（유）",""),"유한회사",""))</f>
        <v/>
      </c>
      <c r="AC746" s="31">
        <f>IF(OR($Y746="",N($Z746)&lt;=0,$AB746=""),0,IFERROR(LOOKUP(2,1/((거래처별!$AC$8:$AC$307&lt;&gt;"")*ISNUMBER(SEARCH(거래처별!$AC$8:$AC$307,$AB746))),거래처별!$A$8:$A$307),IFERROR(LOOKUP(2,1/((거래처별!$AD$8:$AD$307&lt;&gt;"")*ISNUMBER(SEARCH(거래처별!$AD$8:$AD$307,$AB746))),거래처별!$A$8:$A$307),IFERROR(LOOKUP(2,1/((거래처별!$AE$8:$AE$307&lt;&gt;"")*ISNUMBER(SEARCH(거래처별!$AE$8:$AE$307,$AB746))),거래처별!$A$8:$A$307),0))))</f>
        <v/>
      </c>
      <c r="AD746" s="31">
        <f>IF(AND($Y746&lt;&gt;"",N($Z746)&gt;0,$AC746=0),MAX($AD$7:$AD745)+1,"")</f>
        <v/>
      </c>
      <c r="AE746" s="31">
        <f>IF($Y746="",0,$Y746)</f>
        <v/>
      </c>
    </row>
    <row r="747">
      <c r="W747" s="31">
        <f>IF(OR($B$5="",$C$6="",ROW()&lt;$B$5),"",IF(INDEX($A:$U,ROW(),$C$6)="","",INDEX($A:$U,ROW(),$C$6)))</f>
        <v/>
      </c>
      <c r="X747" s="32">
        <f>IF($W747="","",IF(ISNUMBER($W747),IF($W747&gt;=10000000,IFERROR(DATE(INT($W747/10000),MOD(INT($W747/100),100),MOD($W747,100)),""),INT($W747)),IFERROR(DATE(--LEFT(LEFT(SUBSTITUTE(SUBSTITUTE(SUBSTITUTE(SUBSTITUTE(TRIM($W747),"-",""),".",""),"/","")," ",""),8),4),--MID(LEFT(SUBSTITUTE(SUBSTITUTE(SUBSTITUTE(SUBSTITUTE(TRIM($W747),"-",""),".",""),"/","")," ",""),8),5,2),--MID(LEFT(SUBSTITUTE(SUBSTITUTE(SUBSTITUTE(SUBSTITUTE(TRIM($W747),"-",""),".",""),"/","")," ",""),8),7,2)),"")))</f>
        <v/>
      </c>
      <c r="Y747" s="32">
        <f>IF($X747="","",INT($X747))</f>
        <v/>
      </c>
      <c r="Z747" s="33">
        <f>IF(OR($Y747="",$D$6=""),"",IF(INDEX($A:$U,ROW(),$D$6)="",0,IF(ISNUMBER(INDEX($A:$U,ROW(),$D$6)),INDEX($A:$U,ROW(),$D$6),IFERROR(--SUBSTITUTE(SUBSTITUTE(TRIM(INDEX($A:$U,ROW(),$D$6)),",",""),"원",""),0))))</f>
        <v/>
      </c>
      <c r="AA747" s="31">
        <f>IF($Y747="","",TRIM(INDEX($A:$U,ROW(),$E$6)&amp;IF($F$6="",""," "&amp;INDEX($A:$U,ROW(),$F$6))))</f>
        <v/>
      </c>
      <c r="AB747" s="31">
        <f>IF($AA747="","",SUBSTITUTE(SUBSTITUTE(SUBSTITUTE(SUBSTITUTE(SUBSTITUTE(SUBSTITUTE(SUBSTITUTE(SUBSTITUTE(SUBSTITUTE($AA747," ",""),"　",""),"(주)",""),"（주）",""),"㈜",""),"주식회사",""),"(유)",""),"（유）",""),"유한회사",""))</f>
        <v/>
      </c>
      <c r="AC747" s="31">
        <f>IF(OR($Y747="",N($Z747)&lt;=0,$AB747=""),0,IFERROR(LOOKUP(2,1/((거래처별!$AC$8:$AC$307&lt;&gt;"")*ISNUMBER(SEARCH(거래처별!$AC$8:$AC$307,$AB747))),거래처별!$A$8:$A$307),IFERROR(LOOKUP(2,1/((거래처별!$AD$8:$AD$307&lt;&gt;"")*ISNUMBER(SEARCH(거래처별!$AD$8:$AD$307,$AB747))),거래처별!$A$8:$A$307),IFERROR(LOOKUP(2,1/((거래처별!$AE$8:$AE$307&lt;&gt;"")*ISNUMBER(SEARCH(거래처별!$AE$8:$AE$307,$AB747))),거래처별!$A$8:$A$307),0))))</f>
        <v/>
      </c>
      <c r="AD747" s="31">
        <f>IF(AND($Y747&lt;&gt;"",N($Z747)&gt;0,$AC747=0),MAX($AD$7:$AD746)+1,"")</f>
        <v/>
      </c>
      <c r="AE747" s="31">
        <f>IF($Y747="",0,$Y747)</f>
        <v/>
      </c>
    </row>
    <row r="748">
      <c r="W748" s="31">
        <f>IF(OR($B$5="",$C$6="",ROW()&lt;$B$5),"",IF(INDEX($A:$U,ROW(),$C$6)="","",INDEX($A:$U,ROW(),$C$6)))</f>
        <v/>
      </c>
      <c r="X748" s="32">
        <f>IF($W748="","",IF(ISNUMBER($W748),IF($W748&gt;=10000000,IFERROR(DATE(INT($W748/10000),MOD(INT($W748/100),100),MOD($W748,100)),""),INT($W748)),IFERROR(DATE(--LEFT(LEFT(SUBSTITUTE(SUBSTITUTE(SUBSTITUTE(SUBSTITUTE(TRIM($W748),"-",""),".",""),"/","")," ",""),8),4),--MID(LEFT(SUBSTITUTE(SUBSTITUTE(SUBSTITUTE(SUBSTITUTE(TRIM($W748),"-",""),".",""),"/","")," ",""),8),5,2),--MID(LEFT(SUBSTITUTE(SUBSTITUTE(SUBSTITUTE(SUBSTITUTE(TRIM($W748),"-",""),".",""),"/","")," ",""),8),7,2)),"")))</f>
        <v/>
      </c>
      <c r="Y748" s="32">
        <f>IF($X748="","",INT($X748))</f>
        <v/>
      </c>
      <c r="Z748" s="33">
        <f>IF(OR($Y748="",$D$6=""),"",IF(INDEX($A:$U,ROW(),$D$6)="",0,IF(ISNUMBER(INDEX($A:$U,ROW(),$D$6)),INDEX($A:$U,ROW(),$D$6),IFERROR(--SUBSTITUTE(SUBSTITUTE(TRIM(INDEX($A:$U,ROW(),$D$6)),",",""),"원",""),0))))</f>
        <v/>
      </c>
      <c r="AA748" s="31">
        <f>IF($Y748="","",TRIM(INDEX($A:$U,ROW(),$E$6)&amp;IF($F$6="",""," "&amp;INDEX($A:$U,ROW(),$F$6))))</f>
        <v/>
      </c>
      <c r="AB748" s="31">
        <f>IF($AA748="","",SUBSTITUTE(SUBSTITUTE(SUBSTITUTE(SUBSTITUTE(SUBSTITUTE(SUBSTITUTE(SUBSTITUTE(SUBSTITUTE(SUBSTITUTE($AA748," ",""),"　",""),"(주)",""),"（주）",""),"㈜",""),"주식회사",""),"(유)",""),"（유）",""),"유한회사",""))</f>
        <v/>
      </c>
      <c r="AC748" s="31">
        <f>IF(OR($Y748="",N($Z748)&lt;=0,$AB748=""),0,IFERROR(LOOKUP(2,1/((거래처별!$AC$8:$AC$307&lt;&gt;"")*ISNUMBER(SEARCH(거래처별!$AC$8:$AC$307,$AB748))),거래처별!$A$8:$A$307),IFERROR(LOOKUP(2,1/((거래처별!$AD$8:$AD$307&lt;&gt;"")*ISNUMBER(SEARCH(거래처별!$AD$8:$AD$307,$AB748))),거래처별!$A$8:$A$307),IFERROR(LOOKUP(2,1/((거래처별!$AE$8:$AE$307&lt;&gt;"")*ISNUMBER(SEARCH(거래처별!$AE$8:$AE$307,$AB748))),거래처별!$A$8:$A$307),0))))</f>
        <v/>
      </c>
      <c r="AD748" s="31">
        <f>IF(AND($Y748&lt;&gt;"",N($Z748)&gt;0,$AC748=0),MAX($AD$7:$AD747)+1,"")</f>
        <v/>
      </c>
      <c r="AE748" s="31">
        <f>IF($Y748="",0,$Y748)</f>
        <v/>
      </c>
    </row>
    <row r="749">
      <c r="W749" s="31">
        <f>IF(OR($B$5="",$C$6="",ROW()&lt;$B$5),"",IF(INDEX($A:$U,ROW(),$C$6)="","",INDEX($A:$U,ROW(),$C$6)))</f>
        <v/>
      </c>
      <c r="X749" s="32">
        <f>IF($W749="","",IF(ISNUMBER($W749),IF($W749&gt;=10000000,IFERROR(DATE(INT($W749/10000),MOD(INT($W749/100),100),MOD($W749,100)),""),INT($W749)),IFERROR(DATE(--LEFT(LEFT(SUBSTITUTE(SUBSTITUTE(SUBSTITUTE(SUBSTITUTE(TRIM($W749),"-",""),".",""),"/","")," ",""),8),4),--MID(LEFT(SUBSTITUTE(SUBSTITUTE(SUBSTITUTE(SUBSTITUTE(TRIM($W749),"-",""),".",""),"/","")," ",""),8),5,2),--MID(LEFT(SUBSTITUTE(SUBSTITUTE(SUBSTITUTE(SUBSTITUTE(TRIM($W749),"-",""),".",""),"/","")," ",""),8),7,2)),"")))</f>
        <v/>
      </c>
      <c r="Y749" s="32">
        <f>IF($X749="","",INT($X749))</f>
        <v/>
      </c>
      <c r="Z749" s="33">
        <f>IF(OR($Y749="",$D$6=""),"",IF(INDEX($A:$U,ROW(),$D$6)="",0,IF(ISNUMBER(INDEX($A:$U,ROW(),$D$6)),INDEX($A:$U,ROW(),$D$6),IFERROR(--SUBSTITUTE(SUBSTITUTE(TRIM(INDEX($A:$U,ROW(),$D$6)),",",""),"원",""),0))))</f>
        <v/>
      </c>
      <c r="AA749" s="31">
        <f>IF($Y749="","",TRIM(INDEX($A:$U,ROW(),$E$6)&amp;IF($F$6="",""," "&amp;INDEX($A:$U,ROW(),$F$6))))</f>
        <v/>
      </c>
      <c r="AB749" s="31">
        <f>IF($AA749="","",SUBSTITUTE(SUBSTITUTE(SUBSTITUTE(SUBSTITUTE(SUBSTITUTE(SUBSTITUTE(SUBSTITUTE(SUBSTITUTE(SUBSTITUTE($AA749," ",""),"　",""),"(주)",""),"（주）",""),"㈜",""),"주식회사",""),"(유)",""),"（유）",""),"유한회사",""))</f>
        <v/>
      </c>
      <c r="AC749" s="31">
        <f>IF(OR($Y749="",N($Z749)&lt;=0,$AB749=""),0,IFERROR(LOOKUP(2,1/((거래처별!$AC$8:$AC$307&lt;&gt;"")*ISNUMBER(SEARCH(거래처별!$AC$8:$AC$307,$AB749))),거래처별!$A$8:$A$307),IFERROR(LOOKUP(2,1/((거래처별!$AD$8:$AD$307&lt;&gt;"")*ISNUMBER(SEARCH(거래처별!$AD$8:$AD$307,$AB749))),거래처별!$A$8:$A$307),IFERROR(LOOKUP(2,1/((거래처별!$AE$8:$AE$307&lt;&gt;"")*ISNUMBER(SEARCH(거래처별!$AE$8:$AE$307,$AB749))),거래처별!$A$8:$A$307),0))))</f>
        <v/>
      </c>
      <c r="AD749" s="31">
        <f>IF(AND($Y749&lt;&gt;"",N($Z749)&gt;0,$AC749=0),MAX($AD$7:$AD748)+1,"")</f>
        <v/>
      </c>
      <c r="AE749" s="31">
        <f>IF($Y749="",0,$Y749)</f>
        <v/>
      </c>
    </row>
    <row r="750">
      <c r="W750" s="31">
        <f>IF(OR($B$5="",$C$6="",ROW()&lt;$B$5),"",IF(INDEX($A:$U,ROW(),$C$6)="","",INDEX($A:$U,ROW(),$C$6)))</f>
        <v/>
      </c>
      <c r="X750" s="32">
        <f>IF($W750="","",IF(ISNUMBER($W750),IF($W750&gt;=10000000,IFERROR(DATE(INT($W750/10000),MOD(INT($W750/100),100),MOD($W750,100)),""),INT($W750)),IFERROR(DATE(--LEFT(LEFT(SUBSTITUTE(SUBSTITUTE(SUBSTITUTE(SUBSTITUTE(TRIM($W750),"-",""),".",""),"/","")," ",""),8),4),--MID(LEFT(SUBSTITUTE(SUBSTITUTE(SUBSTITUTE(SUBSTITUTE(TRIM($W750),"-",""),".",""),"/","")," ",""),8),5,2),--MID(LEFT(SUBSTITUTE(SUBSTITUTE(SUBSTITUTE(SUBSTITUTE(TRIM($W750),"-",""),".",""),"/","")," ",""),8),7,2)),"")))</f>
        <v/>
      </c>
      <c r="Y750" s="32">
        <f>IF($X750="","",INT($X750))</f>
        <v/>
      </c>
      <c r="Z750" s="33">
        <f>IF(OR($Y750="",$D$6=""),"",IF(INDEX($A:$U,ROW(),$D$6)="",0,IF(ISNUMBER(INDEX($A:$U,ROW(),$D$6)),INDEX($A:$U,ROW(),$D$6),IFERROR(--SUBSTITUTE(SUBSTITUTE(TRIM(INDEX($A:$U,ROW(),$D$6)),",",""),"원",""),0))))</f>
        <v/>
      </c>
      <c r="AA750" s="31">
        <f>IF($Y750="","",TRIM(INDEX($A:$U,ROW(),$E$6)&amp;IF($F$6="",""," "&amp;INDEX($A:$U,ROW(),$F$6))))</f>
        <v/>
      </c>
      <c r="AB750" s="31">
        <f>IF($AA750="","",SUBSTITUTE(SUBSTITUTE(SUBSTITUTE(SUBSTITUTE(SUBSTITUTE(SUBSTITUTE(SUBSTITUTE(SUBSTITUTE(SUBSTITUTE($AA750," ",""),"　",""),"(주)",""),"（주）",""),"㈜",""),"주식회사",""),"(유)",""),"（유）",""),"유한회사",""))</f>
        <v/>
      </c>
      <c r="AC750" s="31">
        <f>IF(OR($Y750="",N($Z750)&lt;=0,$AB750=""),0,IFERROR(LOOKUP(2,1/((거래처별!$AC$8:$AC$307&lt;&gt;"")*ISNUMBER(SEARCH(거래처별!$AC$8:$AC$307,$AB750))),거래처별!$A$8:$A$307),IFERROR(LOOKUP(2,1/((거래처별!$AD$8:$AD$307&lt;&gt;"")*ISNUMBER(SEARCH(거래처별!$AD$8:$AD$307,$AB750))),거래처별!$A$8:$A$307),IFERROR(LOOKUP(2,1/((거래처별!$AE$8:$AE$307&lt;&gt;"")*ISNUMBER(SEARCH(거래처별!$AE$8:$AE$307,$AB750))),거래처별!$A$8:$A$307),0))))</f>
        <v/>
      </c>
      <c r="AD750" s="31">
        <f>IF(AND($Y750&lt;&gt;"",N($Z750)&gt;0,$AC750=0),MAX($AD$7:$AD749)+1,"")</f>
        <v/>
      </c>
      <c r="AE750" s="31">
        <f>IF($Y750="",0,$Y750)</f>
        <v/>
      </c>
    </row>
    <row r="751">
      <c r="W751" s="31">
        <f>IF(OR($B$5="",$C$6="",ROW()&lt;$B$5),"",IF(INDEX($A:$U,ROW(),$C$6)="","",INDEX($A:$U,ROW(),$C$6)))</f>
        <v/>
      </c>
      <c r="X751" s="32">
        <f>IF($W751="","",IF(ISNUMBER($W751),IF($W751&gt;=10000000,IFERROR(DATE(INT($W751/10000),MOD(INT($W751/100),100),MOD($W751,100)),""),INT($W751)),IFERROR(DATE(--LEFT(LEFT(SUBSTITUTE(SUBSTITUTE(SUBSTITUTE(SUBSTITUTE(TRIM($W751),"-",""),".",""),"/","")," ",""),8),4),--MID(LEFT(SUBSTITUTE(SUBSTITUTE(SUBSTITUTE(SUBSTITUTE(TRIM($W751),"-",""),".",""),"/","")," ",""),8),5,2),--MID(LEFT(SUBSTITUTE(SUBSTITUTE(SUBSTITUTE(SUBSTITUTE(TRIM($W751),"-",""),".",""),"/","")," ",""),8),7,2)),"")))</f>
        <v/>
      </c>
      <c r="Y751" s="32">
        <f>IF($X751="","",INT($X751))</f>
        <v/>
      </c>
      <c r="Z751" s="33">
        <f>IF(OR($Y751="",$D$6=""),"",IF(INDEX($A:$U,ROW(),$D$6)="",0,IF(ISNUMBER(INDEX($A:$U,ROW(),$D$6)),INDEX($A:$U,ROW(),$D$6),IFERROR(--SUBSTITUTE(SUBSTITUTE(TRIM(INDEX($A:$U,ROW(),$D$6)),",",""),"원",""),0))))</f>
        <v/>
      </c>
      <c r="AA751" s="31">
        <f>IF($Y751="","",TRIM(INDEX($A:$U,ROW(),$E$6)&amp;IF($F$6="",""," "&amp;INDEX($A:$U,ROW(),$F$6))))</f>
        <v/>
      </c>
      <c r="AB751" s="31">
        <f>IF($AA751="","",SUBSTITUTE(SUBSTITUTE(SUBSTITUTE(SUBSTITUTE(SUBSTITUTE(SUBSTITUTE(SUBSTITUTE(SUBSTITUTE(SUBSTITUTE($AA751," ",""),"　",""),"(주)",""),"（주）",""),"㈜",""),"주식회사",""),"(유)",""),"（유）",""),"유한회사",""))</f>
        <v/>
      </c>
      <c r="AC751" s="31">
        <f>IF(OR($Y751="",N($Z751)&lt;=0,$AB751=""),0,IFERROR(LOOKUP(2,1/((거래처별!$AC$8:$AC$307&lt;&gt;"")*ISNUMBER(SEARCH(거래처별!$AC$8:$AC$307,$AB751))),거래처별!$A$8:$A$307),IFERROR(LOOKUP(2,1/((거래처별!$AD$8:$AD$307&lt;&gt;"")*ISNUMBER(SEARCH(거래처별!$AD$8:$AD$307,$AB751))),거래처별!$A$8:$A$307),IFERROR(LOOKUP(2,1/((거래처별!$AE$8:$AE$307&lt;&gt;"")*ISNUMBER(SEARCH(거래처별!$AE$8:$AE$307,$AB751))),거래처별!$A$8:$A$307),0))))</f>
        <v/>
      </c>
      <c r="AD751" s="31">
        <f>IF(AND($Y751&lt;&gt;"",N($Z751)&gt;0,$AC751=0),MAX($AD$7:$AD750)+1,"")</f>
        <v/>
      </c>
      <c r="AE751" s="31">
        <f>IF($Y751="",0,$Y751)</f>
        <v/>
      </c>
    </row>
    <row r="752">
      <c r="W752" s="31">
        <f>IF(OR($B$5="",$C$6="",ROW()&lt;$B$5),"",IF(INDEX($A:$U,ROW(),$C$6)="","",INDEX($A:$U,ROW(),$C$6)))</f>
        <v/>
      </c>
      <c r="X752" s="32">
        <f>IF($W752="","",IF(ISNUMBER($W752),IF($W752&gt;=10000000,IFERROR(DATE(INT($W752/10000),MOD(INT($W752/100),100),MOD($W752,100)),""),INT($W752)),IFERROR(DATE(--LEFT(LEFT(SUBSTITUTE(SUBSTITUTE(SUBSTITUTE(SUBSTITUTE(TRIM($W752),"-",""),".",""),"/","")," ",""),8),4),--MID(LEFT(SUBSTITUTE(SUBSTITUTE(SUBSTITUTE(SUBSTITUTE(TRIM($W752),"-",""),".",""),"/","")," ",""),8),5,2),--MID(LEFT(SUBSTITUTE(SUBSTITUTE(SUBSTITUTE(SUBSTITUTE(TRIM($W752),"-",""),".",""),"/","")," ",""),8),7,2)),"")))</f>
        <v/>
      </c>
      <c r="Y752" s="32">
        <f>IF($X752="","",INT($X752))</f>
        <v/>
      </c>
      <c r="Z752" s="33">
        <f>IF(OR($Y752="",$D$6=""),"",IF(INDEX($A:$U,ROW(),$D$6)="",0,IF(ISNUMBER(INDEX($A:$U,ROW(),$D$6)),INDEX($A:$U,ROW(),$D$6),IFERROR(--SUBSTITUTE(SUBSTITUTE(TRIM(INDEX($A:$U,ROW(),$D$6)),",",""),"원",""),0))))</f>
        <v/>
      </c>
      <c r="AA752" s="31">
        <f>IF($Y752="","",TRIM(INDEX($A:$U,ROW(),$E$6)&amp;IF($F$6="",""," "&amp;INDEX($A:$U,ROW(),$F$6))))</f>
        <v/>
      </c>
      <c r="AB752" s="31">
        <f>IF($AA752="","",SUBSTITUTE(SUBSTITUTE(SUBSTITUTE(SUBSTITUTE(SUBSTITUTE(SUBSTITUTE(SUBSTITUTE(SUBSTITUTE(SUBSTITUTE($AA752," ",""),"　",""),"(주)",""),"（주）",""),"㈜",""),"주식회사",""),"(유)",""),"（유）",""),"유한회사",""))</f>
        <v/>
      </c>
      <c r="AC752" s="31">
        <f>IF(OR($Y752="",N($Z752)&lt;=0,$AB752=""),0,IFERROR(LOOKUP(2,1/((거래처별!$AC$8:$AC$307&lt;&gt;"")*ISNUMBER(SEARCH(거래처별!$AC$8:$AC$307,$AB752))),거래처별!$A$8:$A$307),IFERROR(LOOKUP(2,1/((거래처별!$AD$8:$AD$307&lt;&gt;"")*ISNUMBER(SEARCH(거래처별!$AD$8:$AD$307,$AB752))),거래처별!$A$8:$A$307),IFERROR(LOOKUP(2,1/((거래처별!$AE$8:$AE$307&lt;&gt;"")*ISNUMBER(SEARCH(거래처별!$AE$8:$AE$307,$AB752))),거래처별!$A$8:$A$307),0))))</f>
        <v/>
      </c>
      <c r="AD752" s="31">
        <f>IF(AND($Y752&lt;&gt;"",N($Z752)&gt;0,$AC752=0),MAX($AD$7:$AD751)+1,"")</f>
        <v/>
      </c>
      <c r="AE752" s="31">
        <f>IF($Y752="",0,$Y752)</f>
        <v/>
      </c>
    </row>
    <row r="753">
      <c r="W753" s="31">
        <f>IF(OR($B$5="",$C$6="",ROW()&lt;$B$5),"",IF(INDEX($A:$U,ROW(),$C$6)="","",INDEX($A:$U,ROW(),$C$6)))</f>
        <v/>
      </c>
      <c r="X753" s="32">
        <f>IF($W753="","",IF(ISNUMBER($W753),IF($W753&gt;=10000000,IFERROR(DATE(INT($W753/10000),MOD(INT($W753/100),100),MOD($W753,100)),""),INT($W753)),IFERROR(DATE(--LEFT(LEFT(SUBSTITUTE(SUBSTITUTE(SUBSTITUTE(SUBSTITUTE(TRIM($W753),"-",""),".",""),"/","")," ",""),8),4),--MID(LEFT(SUBSTITUTE(SUBSTITUTE(SUBSTITUTE(SUBSTITUTE(TRIM($W753),"-",""),".",""),"/","")," ",""),8),5,2),--MID(LEFT(SUBSTITUTE(SUBSTITUTE(SUBSTITUTE(SUBSTITUTE(TRIM($W753),"-",""),".",""),"/","")," ",""),8),7,2)),"")))</f>
        <v/>
      </c>
      <c r="Y753" s="32">
        <f>IF($X753="","",INT($X753))</f>
        <v/>
      </c>
      <c r="Z753" s="33">
        <f>IF(OR($Y753="",$D$6=""),"",IF(INDEX($A:$U,ROW(),$D$6)="",0,IF(ISNUMBER(INDEX($A:$U,ROW(),$D$6)),INDEX($A:$U,ROW(),$D$6),IFERROR(--SUBSTITUTE(SUBSTITUTE(TRIM(INDEX($A:$U,ROW(),$D$6)),",",""),"원",""),0))))</f>
        <v/>
      </c>
      <c r="AA753" s="31">
        <f>IF($Y753="","",TRIM(INDEX($A:$U,ROW(),$E$6)&amp;IF($F$6="",""," "&amp;INDEX($A:$U,ROW(),$F$6))))</f>
        <v/>
      </c>
      <c r="AB753" s="31">
        <f>IF($AA753="","",SUBSTITUTE(SUBSTITUTE(SUBSTITUTE(SUBSTITUTE(SUBSTITUTE(SUBSTITUTE(SUBSTITUTE(SUBSTITUTE(SUBSTITUTE($AA753," ",""),"　",""),"(주)",""),"（주）",""),"㈜",""),"주식회사",""),"(유)",""),"（유）",""),"유한회사",""))</f>
        <v/>
      </c>
      <c r="AC753" s="31">
        <f>IF(OR($Y753="",N($Z753)&lt;=0,$AB753=""),0,IFERROR(LOOKUP(2,1/((거래처별!$AC$8:$AC$307&lt;&gt;"")*ISNUMBER(SEARCH(거래처별!$AC$8:$AC$307,$AB753))),거래처별!$A$8:$A$307),IFERROR(LOOKUP(2,1/((거래처별!$AD$8:$AD$307&lt;&gt;"")*ISNUMBER(SEARCH(거래처별!$AD$8:$AD$307,$AB753))),거래처별!$A$8:$A$307),IFERROR(LOOKUP(2,1/((거래처별!$AE$8:$AE$307&lt;&gt;"")*ISNUMBER(SEARCH(거래처별!$AE$8:$AE$307,$AB753))),거래처별!$A$8:$A$307),0))))</f>
        <v/>
      </c>
      <c r="AD753" s="31">
        <f>IF(AND($Y753&lt;&gt;"",N($Z753)&gt;0,$AC753=0),MAX($AD$7:$AD752)+1,"")</f>
        <v/>
      </c>
      <c r="AE753" s="31">
        <f>IF($Y753="",0,$Y753)</f>
        <v/>
      </c>
    </row>
    <row r="754">
      <c r="W754" s="31">
        <f>IF(OR($B$5="",$C$6="",ROW()&lt;$B$5),"",IF(INDEX($A:$U,ROW(),$C$6)="","",INDEX($A:$U,ROW(),$C$6)))</f>
        <v/>
      </c>
      <c r="X754" s="32">
        <f>IF($W754="","",IF(ISNUMBER($W754),IF($W754&gt;=10000000,IFERROR(DATE(INT($W754/10000),MOD(INT($W754/100),100),MOD($W754,100)),""),INT($W754)),IFERROR(DATE(--LEFT(LEFT(SUBSTITUTE(SUBSTITUTE(SUBSTITUTE(SUBSTITUTE(TRIM($W754),"-",""),".",""),"/","")," ",""),8),4),--MID(LEFT(SUBSTITUTE(SUBSTITUTE(SUBSTITUTE(SUBSTITUTE(TRIM($W754),"-",""),".",""),"/","")," ",""),8),5,2),--MID(LEFT(SUBSTITUTE(SUBSTITUTE(SUBSTITUTE(SUBSTITUTE(TRIM($W754),"-",""),".",""),"/","")," ",""),8),7,2)),"")))</f>
        <v/>
      </c>
      <c r="Y754" s="32">
        <f>IF($X754="","",INT($X754))</f>
        <v/>
      </c>
      <c r="Z754" s="33">
        <f>IF(OR($Y754="",$D$6=""),"",IF(INDEX($A:$U,ROW(),$D$6)="",0,IF(ISNUMBER(INDEX($A:$U,ROW(),$D$6)),INDEX($A:$U,ROW(),$D$6),IFERROR(--SUBSTITUTE(SUBSTITUTE(TRIM(INDEX($A:$U,ROW(),$D$6)),",",""),"원",""),0))))</f>
        <v/>
      </c>
      <c r="AA754" s="31">
        <f>IF($Y754="","",TRIM(INDEX($A:$U,ROW(),$E$6)&amp;IF($F$6="",""," "&amp;INDEX($A:$U,ROW(),$F$6))))</f>
        <v/>
      </c>
      <c r="AB754" s="31">
        <f>IF($AA754="","",SUBSTITUTE(SUBSTITUTE(SUBSTITUTE(SUBSTITUTE(SUBSTITUTE(SUBSTITUTE(SUBSTITUTE(SUBSTITUTE(SUBSTITUTE($AA754," ",""),"　",""),"(주)",""),"（주）",""),"㈜",""),"주식회사",""),"(유)",""),"（유）",""),"유한회사",""))</f>
        <v/>
      </c>
      <c r="AC754" s="31">
        <f>IF(OR($Y754="",N($Z754)&lt;=0,$AB754=""),0,IFERROR(LOOKUP(2,1/((거래처별!$AC$8:$AC$307&lt;&gt;"")*ISNUMBER(SEARCH(거래처별!$AC$8:$AC$307,$AB754))),거래처별!$A$8:$A$307),IFERROR(LOOKUP(2,1/((거래처별!$AD$8:$AD$307&lt;&gt;"")*ISNUMBER(SEARCH(거래처별!$AD$8:$AD$307,$AB754))),거래처별!$A$8:$A$307),IFERROR(LOOKUP(2,1/((거래처별!$AE$8:$AE$307&lt;&gt;"")*ISNUMBER(SEARCH(거래처별!$AE$8:$AE$307,$AB754))),거래처별!$A$8:$A$307),0))))</f>
        <v/>
      </c>
      <c r="AD754" s="31">
        <f>IF(AND($Y754&lt;&gt;"",N($Z754)&gt;0,$AC754=0),MAX($AD$7:$AD753)+1,"")</f>
        <v/>
      </c>
      <c r="AE754" s="31">
        <f>IF($Y754="",0,$Y754)</f>
        <v/>
      </c>
    </row>
    <row r="755">
      <c r="W755" s="31">
        <f>IF(OR($B$5="",$C$6="",ROW()&lt;$B$5),"",IF(INDEX($A:$U,ROW(),$C$6)="","",INDEX($A:$U,ROW(),$C$6)))</f>
        <v/>
      </c>
      <c r="X755" s="32">
        <f>IF($W755="","",IF(ISNUMBER($W755),IF($W755&gt;=10000000,IFERROR(DATE(INT($W755/10000),MOD(INT($W755/100),100),MOD($W755,100)),""),INT($W755)),IFERROR(DATE(--LEFT(LEFT(SUBSTITUTE(SUBSTITUTE(SUBSTITUTE(SUBSTITUTE(TRIM($W755),"-",""),".",""),"/","")," ",""),8),4),--MID(LEFT(SUBSTITUTE(SUBSTITUTE(SUBSTITUTE(SUBSTITUTE(TRIM($W755),"-",""),".",""),"/","")," ",""),8),5,2),--MID(LEFT(SUBSTITUTE(SUBSTITUTE(SUBSTITUTE(SUBSTITUTE(TRIM($W755),"-",""),".",""),"/","")," ",""),8),7,2)),"")))</f>
        <v/>
      </c>
      <c r="Y755" s="32">
        <f>IF($X755="","",INT($X755))</f>
        <v/>
      </c>
      <c r="Z755" s="33">
        <f>IF(OR($Y755="",$D$6=""),"",IF(INDEX($A:$U,ROW(),$D$6)="",0,IF(ISNUMBER(INDEX($A:$U,ROW(),$D$6)),INDEX($A:$U,ROW(),$D$6),IFERROR(--SUBSTITUTE(SUBSTITUTE(TRIM(INDEX($A:$U,ROW(),$D$6)),",",""),"원",""),0))))</f>
        <v/>
      </c>
      <c r="AA755" s="31">
        <f>IF($Y755="","",TRIM(INDEX($A:$U,ROW(),$E$6)&amp;IF($F$6="",""," "&amp;INDEX($A:$U,ROW(),$F$6))))</f>
        <v/>
      </c>
      <c r="AB755" s="31">
        <f>IF($AA755="","",SUBSTITUTE(SUBSTITUTE(SUBSTITUTE(SUBSTITUTE(SUBSTITUTE(SUBSTITUTE(SUBSTITUTE(SUBSTITUTE(SUBSTITUTE($AA755," ",""),"　",""),"(주)",""),"（주）",""),"㈜",""),"주식회사",""),"(유)",""),"（유）",""),"유한회사",""))</f>
        <v/>
      </c>
      <c r="AC755" s="31">
        <f>IF(OR($Y755="",N($Z755)&lt;=0,$AB755=""),0,IFERROR(LOOKUP(2,1/((거래처별!$AC$8:$AC$307&lt;&gt;"")*ISNUMBER(SEARCH(거래처별!$AC$8:$AC$307,$AB755))),거래처별!$A$8:$A$307),IFERROR(LOOKUP(2,1/((거래처별!$AD$8:$AD$307&lt;&gt;"")*ISNUMBER(SEARCH(거래처별!$AD$8:$AD$307,$AB755))),거래처별!$A$8:$A$307),IFERROR(LOOKUP(2,1/((거래처별!$AE$8:$AE$307&lt;&gt;"")*ISNUMBER(SEARCH(거래처별!$AE$8:$AE$307,$AB755))),거래처별!$A$8:$A$307),0))))</f>
        <v/>
      </c>
      <c r="AD755" s="31">
        <f>IF(AND($Y755&lt;&gt;"",N($Z755)&gt;0,$AC755=0),MAX($AD$7:$AD754)+1,"")</f>
        <v/>
      </c>
      <c r="AE755" s="31">
        <f>IF($Y755="",0,$Y755)</f>
        <v/>
      </c>
    </row>
    <row r="756">
      <c r="W756" s="31">
        <f>IF(OR($B$5="",$C$6="",ROW()&lt;$B$5),"",IF(INDEX($A:$U,ROW(),$C$6)="","",INDEX($A:$U,ROW(),$C$6)))</f>
        <v/>
      </c>
      <c r="X756" s="32">
        <f>IF($W756="","",IF(ISNUMBER($W756),IF($W756&gt;=10000000,IFERROR(DATE(INT($W756/10000),MOD(INT($W756/100),100),MOD($W756,100)),""),INT($W756)),IFERROR(DATE(--LEFT(LEFT(SUBSTITUTE(SUBSTITUTE(SUBSTITUTE(SUBSTITUTE(TRIM($W756),"-",""),".",""),"/","")," ",""),8),4),--MID(LEFT(SUBSTITUTE(SUBSTITUTE(SUBSTITUTE(SUBSTITUTE(TRIM($W756),"-",""),".",""),"/","")," ",""),8),5,2),--MID(LEFT(SUBSTITUTE(SUBSTITUTE(SUBSTITUTE(SUBSTITUTE(TRIM($W756),"-",""),".",""),"/","")," ",""),8),7,2)),"")))</f>
        <v/>
      </c>
      <c r="Y756" s="32">
        <f>IF($X756="","",INT($X756))</f>
        <v/>
      </c>
      <c r="Z756" s="33">
        <f>IF(OR($Y756="",$D$6=""),"",IF(INDEX($A:$U,ROW(),$D$6)="",0,IF(ISNUMBER(INDEX($A:$U,ROW(),$D$6)),INDEX($A:$U,ROW(),$D$6),IFERROR(--SUBSTITUTE(SUBSTITUTE(TRIM(INDEX($A:$U,ROW(),$D$6)),",",""),"원",""),0))))</f>
        <v/>
      </c>
      <c r="AA756" s="31">
        <f>IF($Y756="","",TRIM(INDEX($A:$U,ROW(),$E$6)&amp;IF($F$6="",""," "&amp;INDEX($A:$U,ROW(),$F$6))))</f>
        <v/>
      </c>
      <c r="AB756" s="31">
        <f>IF($AA756="","",SUBSTITUTE(SUBSTITUTE(SUBSTITUTE(SUBSTITUTE(SUBSTITUTE(SUBSTITUTE(SUBSTITUTE(SUBSTITUTE(SUBSTITUTE($AA756," ",""),"　",""),"(주)",""),"（주）",""),"㈜",""),"주식회사",""),"(유)",""),"（유）",""),"유한회사",""))</f>
        <v/>
      </c>
      <c r="AC756" s="31">
        <f>IF(OR($Y756="",N($Z756)&lt;=0,$AB756=""),0,IFERROR(LOOKUP(2,1/((거래처별!$AC$8:$AC$307&lt;&gt;"")*ISNUMBER(SEARCH(거래처별!$AC$8:$AC$307,$AB756))),거래처별!$A$8:$A$307),IFERROR(LOOKUP(2,1/((거래처별!$AD$8:$AD$307&lt;&gt;"")*ISNUMBER(SEARCH(거래처별!$AD$8:$AD$307,$AB756))),거래처별!$A$8:$A$307),IFERROR(LOOKUP(2,1/((거래처별!$AE$8:$AE$307&lt;&gt;"")*ISNUMBER(SEARCH(거래처별!$AE$8:$AE$307,$AB756))),거래처별!$A$8:$A$307),0))))</f>
        <v/>
      </c>
      <c r="AD756" s="31">
        <f>IF(AND($Y756&lt;&gt;"",N($Z756)&gt;0,$AC756=0),MAX($AD$7:$AD755)+1,"")</f>
        <v/>
      </c>
      <c r="AE756" s="31">
        <f>IF($Y756="",0,$Y756)</f>
        <v/>
      </c>
    </row>
    <row r="757">
      <c r="W757" s="31">
        <f>IF(OR($B$5="",$C$6="",ROW()&lt;$B$5),"",IF(INDEX($A:$U,ROW(),$C$6)="","",INDEX($A:$U,ROW(),$C$6)))</f>
        <v/>
      </c>
      <c r="X757" s="32">
        <f>IF($W757="","",IF(ISNUMBER($W757),IF($W757&gt;=10000000,IFERROR(DATE(INT($W757/10000),MOD(INT($W757/100),100),MOD($W757,100)),""),INT($W757)),IFERROR(DATE(--LEFT(LEFT(SUBSTITUTE(SUBSTITUTE(SUBSTITUTE(SUBSTITUTE(TRIM($W757),"-",""),".",""),"/","")," ",""),8),4),--MID(LEFT(SUBSTITUTE(SUBSTITUTE(SUBSTITUTE(SUBSTITUTE(TRIM($W757),"-",""),".",""),"/","")," ",""),8),5,2),--MID(LEFT(SUBSTITUTE(SUBSTITUTE(SUBSTITUTE(SUBSTITUTE(TRIM($W757),"-",""),".",""),"/","")," ",""),8),7,2)),"")))</f>
        <v/>
      </c>
      <c r="Y757" s="32">
        <f>IF($X757="","",INT($X757))</f>
        <v/>
      </c>
      <c r="Z757" s="33">
        <f>IF(OR($Y757="",$D$6=""),"",IF(INDEX($A:$U,ROW(),$D$6)="",0,IF(ISNUMBER(INDEX($A:$U,ROW(),$D$6)),INDEX($A:$U,ROW(),$D$6),IFERROR(--SUBSTITUTE(SUBSTITUTE(TRIM(INDEX($A:$U,ROW(),$D$6)),",",""),"원",""),0))))</f>
        <v/>
      </c>
      <c r="AA757" s="31">
        <f>IF($Y757="","",TRIM(INDEX($A:$U,ROW(),$E$6)&amp;IF($F$6="",""," "&amp;INDEX($A:$U,ROW(),$F$6))))</f>
        <v/>
      </c>
      <c r="AB757" s="31">
        <f>IF($AA757="","",SUBSTITUTE(SUBSTITUTE(SUBSTITUTE(SUBSTITUTE(SUBSTITUTE(SUBSTITUTE(SUBSTITUTE(SUBSTITUTE(SUBSTITUTE($AA757," ",""),"　",""),"(주)",""),"（주）",""),"㈜",""),"주식회사",""),"(유)",""),"（유）",""),"유한회사",""))</f>
        <v/>
      </c>
      <c r="AC757" s="31">
        <f>IF(OR($Y757="",N($Z757)&lt;=0,$AB757=""),0,IFERROR(LOOKUP(2,1/((거래처별!$AC$8:$AC$307&lt;&gt;"")*ISNUMBER(SEARCH(거래처별!$AC$8:$AC$307,$AB757))),거래처별!$A$8:$A$307),IFERROR(LOOKUP(2,1/((거래처별!$AD$8:$AD$307&lt;&gt;"")*ISNUMBER(SEARCH(거래처별!$AD$8:$AD$307,$AB757))),거래처별!$A$8:$A$307),IFERROR(LOOKUP(2,1/((거래처별!$AE$8:$AE$307&lt;&gt;"")*ISNUMBER(SEARCH(거래처별!$AE$8:$AE$307,$AB757))),거래처별!$A$8:$A$307),0))))</f>
        <v/>
      </c>
      <c r="AD757" s="31">
        <f>IF(AND($Y757&lt;&gt;"",N($Z757)&gt;0,$AC757=0),MAX($AD$7:$AD756)+1,"")</f>
        <v/>
      </c>
      <c r="AE757" s="31">
        <f>IF($Y757="",0,$Y757)</f>
        <v/>
      </c>
    </row>
    <row r="758">
      <c r="W758" s="31">
        <f>IF(OR($B$5="",$C$6="",ROW()&lt;$B$5),"",IF(INDEX($A:$U,ROW(),$C$6)="","",INDEX($A:$U,ROW(),$C$6)))</f>
        <v/>
      </c>
      <c r="X758" s="32">
        <f>IF($W758="","",IF(ISNUMBER($W758),IF($W758&gt;=10000000,IFERROR(DATE(INT($W758/10000),MOD(INT($W758/100),100),MOD($W758,100)),""),INT($W758)),IFERROR(DATE(--LEFT(LEFT(SUBSTITUTE(SUBSTITUTE(SUBSTITUTE(SUBSTITUTE(TRIM($W758),"-",""),".",""),"/","")," ",""),8),4),--MID(LEFT(SUBSTITUTE(SUBSTITUTE(SUBSTITUTE(SUBSTITUTE(TRIM($W758),"-",""),".",""),"/","")," ",""),8),5,2),--MID(LEFT(SUBSTITUTE(SUBSTITUTE(SUBSTITUTE(SUBSTITUTE(TRIM($W758),"-",""),".",""),"/","")," ",""),8),7,2)),"")))</f>
        <v/>
      </c>
      <c r="Y758" s="32">
        <f>IF($X758="","",INT($X758))</f>
        <v/>
      </c>
      <c r="Z758" s="33">
        <f>IF(OR($Y758="",$D$6=""),"",IF(INDEX($A:$U,ROW(),$D$6)="",0,IF(ISNUMBER(INDEX($A:$U,ROW(),$D$6)),INDEX($A:$U,ROW(),$D$6),IFERROR(--SUBSTITUTE(SUBSTITUTE(TRIM(INDEX($A:$U,ROW(),$D$6)),",",""),"원",""),0))))</f>
        <v/>
      </c>
      <c r="AA758" s="31">
        <f>IF($Y758="","",TRIM(INDEX($A:$U,ROW(),$E$6)&amp;IF($F$6="",""," "&amp;INDEX($A:$U,ROW(),$F$6))))</f>
        <v/>
      </c>
      <c r="AB758" s="31">
        <f>IF($AA758="","",SUBSTITUTE(SUBSTITUTE(SUBSTITUTE(SUBSTITUTE(SUBSTITUTE(SUBSTITUTE(SUBSTITUTE(SUBSTITUTE(SUBSTITUTE($AA758," ",""),"　",""),"(주)",""),"（주）",""),"㈜",""),"주식회사",""),"(유)",""),"（유）",""),"유한회사",""))</f>
        <v/>
      </c>
      <c r="AC758" s="31">
        <f>IF(OR($Y758="",N($Z758)&lt;=0,$AB758=""),0,IFERROR(LOOKUP(2,1/((거래처별!$AC$8:$AC$307&lt;&gt;"")*ISNUMBER(SEARCH(거래처별!$AC$8:$AC$307,$AB758))),거래처별!$A$8:$A$307),IFERROR(LOOKUP(2,1/((거래처별!$AD$8:$AD$307&lt;&gt;"")*ISNUMBER(SEARCH(거래처별!$AD$8:$AD$307,$AB758))),거래처별!$A$8:$A$307),IFERROR(LOOKUP(2,1/((거래처별!$AE$8:$AE$307&lt;&gt;"")*ISNUMBER(SEARCH(거래처별!$AE$8:$AE$307,$AB758))),거래처별!$A$8:$A$307),0))))</f>
        <v/>
      </c>
      <c r="AD758" s="31">
        <f>IF(AND($Y758&lt;&gt;"",N($Z758)&gt;0,$AC758=0),MAX($AD$7:$AD757)+1,"")</f>
        <v/>
      </c>
      <c r="AE758" s="31">
        <f>IF($Y758="",0,$Y758)</f>
        <v/>
      </c>
    </row>
    <row r="759">
      <c r="W759" s="31">
        <f>IF(OR($B$5="",$C$6="",ROW()&lt;$B$5),"",IF(INDEX($A:$U,ROW(),$C$6)="","",INDEX($A:$U,ROW(),$C$6)))</f>
        <v/>
      </c>
      <c r="X759" s="32">
        <f>IF($W759="","",IF(ISNUMBER($W759),IF($W759&gt;=10000000,IFERROR(DATE(INT($W759/10000),MOD(INT($W759/100),100),MOD($W759,100)),""),INT($W759)),IFERROR(DATE(--LEFT(LEFT(SUBSTITUTE(SUBSTITUTE(SUBSTITUTE(SUBSTITUTE(TRIM($W759),"-",""),".",""),"/","")," ",""),8),4),--MID(LEFT(SUBSTITUTE(SUBSTITUTE(SUBSTITUTE(SUBSTITUTE(TRIM($W759),"-",""),".",""),"/","")," ",""),8),5,2),--MID(LEFT(SUBSTITUTE(SUBSTITUTE(SUBSTITUTE(SUBSTITUTE(TRIM($W759),"-",""),".",""),"/","")," ",""),8),7,2)),"")))</f>
        <v/>
      </c>
      <c r="Y759" s="32">
        <f>IF($X759="","",INT($X759))</f>
        <v/>
      </c>
      <c r="Z759" s="33">
        <f>IF(OR($Y759="",$D$6=""),"",IF(INDEX($A:$U,ROW(),$D$6)="",0,IF(ISNUMBER(INDEX($A:$U,ROW(),$D$6)),INDEX($A:$U,ROW(),$D$6),IFERROR(--SUBSTITUTE(SUBSTITUTE(TRIM(INDEX($A:$U,ROW(),$D$6)),",",""),"원",""),0))))</f>
        <v/>
      </c>
      <c r="AA759" s="31">
        <f>IF($Y759="","",TRIM(INDEX($A:$U,ROW(),$E$6)&amp;IF($F$6="",""," "&amp;INDEX($A:$U,ROW(),$F$6))))</f>
        <v/>
      </c>
      <c r="AB759" s="31">
        <f>IF($AA759="","",SUBSTITUTE(SUBSTITUTE(SUBSTITUTE(SUBSTITUTE(SUBSTITUTE(SUBSTITUTE(SUBSTITUTE(SUBSTITUTE(SUBSTITUTE($AA759," ",""),"　",""),"(주)",""),"（주）",""),"㈜",""),"주식회사",""),"(유)",""),"（유）",""),"유한회사",""))</f>
        <v/>
      </c>
      <c r="AC759" s="31">
        <f>IF(OR($Y759="",N($Z759)&lt;=0,$AB759=""),0,IFERROR(LOOKUP(2,1/((거래처별!$AC$8:$AC$307&lt;&gt;"")*ISNUMBER(SEARCH(거래처별!$AC$8:$AC$307,$AB759))),거래처별!$A$8:$A$307),IFERROR(LOOKUP(2,1/((거래처별!$AD$8:$AD$307&lt;&gt;"")*ISNUMBER(SEARCH(거래처별!$AD$8:$AD$307,$AB759))),거래처별!$A$8:$A$307),IFERROR(LOOKUP(2,1/((거래처별!$AE$8:$AE$307&lt;&gt;"")*ISNUMBER(SEARCH(거래처별!$AE$8:$AE$307,$AB759))),거래처별!$A$8:$A$307),0))))</f>
        <v/>
      </c>
      <c r="AD759" s="31">
        <f>IF(AND($Y759&lt;&gt;"",N($Z759)&gt;0,$AC759=0),MAX($AD$7:$AD758)+1,"")</f>
        <v/>
      </c>
      <c r="AE759" s="31">
        <f>IF($Y759="",0,$Y759)</f>
        <v/>
      </c>
    </row>
    <row r="760">
      <c r="W760" s="31">
        <f>IF(OR($B$5="",$C$6="",ROW()&lt;$B$5),"",IF(INDEX($A:$U,ROW(),$C$6)="","",INDEX($A:$U,ROW(),$C$6)))</f>
        <v/>
      </c>
      <c r="X760" s="32">
        <f>IF($W760="","",IF(ISNUMBER($W760),IF($W760&gt;=10000000,IFERROR(DATE(INT($W760/10000),MOD(INT($W760/100),100),MOD($W760,100)),""),INT($W760)),IFERROR(DATE(--LEFT(LEFT(SUBSTITUTE(SUBSTITUTE(SUBSTITUTE(SUBSTITUTE(TRIM($W760),"-",""),".",""),"/","")," ",""),8),4),--MID(LEFT(SUBSTITUTE(SUBSTITUTE(SUBSTITUTE(SUBSTITUTE(TRIM($W760),"-",""),".",""),"/","")," ",""),8),5,2),--MID(LEFT(SUBSTITUTE(SUBSTITUTE(SUBSTITUTE(SUBSTITUTE(TRIM($W760),"-",""),".",""),"/","")," ",""),8),7,2)),"")))</f>
        <v/>
      </c>
      <c r="Y760" s="32">
        <f>IF($X760="","",INT($X760))</f>
        <v/>
      </c>
      <c r="Z760" s="33">
        <f>IF(OR($Y760="",$D$6=""),"",IF(INDEX($A:$U,ROW(),$D$6)="",0,IF(ISNUMBER(INDEX($A:$U,ROW(),$D$6)),INDEX($A:$U,ROW(),$D$6),IFERROR(--SUBSTITUTE(SUBSTITUTE(TRIM(INDEX($A:$U,ROW(),$D$6)),",",""),"원",""),0))))</f>
        <v/>
      </c>
      <c r="AA760" s="31">
        <f>IF($Y760="","",TRIM(INDEX($A:$U,ROW(),$E$6)&amp;IF($F$6="",""," "&amp;INDEX($A:$U,ROW(),$F$6))))</f>
        <v/>
      </c>
      <c r="AB760" s="31">
        <f>IF($AA760="","",SUBSTITUTE(SUBSTITUTE(SUBSTITUTE(SUBSTITUTE(SUBSTITUTE(SUBSTITUTE(SUBSTITUTE(SUBSTITUTE(SUBSTITUTE($AA760," ",""),"　",""),"(주)",""),"（주）",""),"㈜",""),"주식회사",""),"(유)",""),"（유）",""),"유한회사",""))</f>
        <v/>
      </c>
      <c r="AC760" s="31">
        <f>IF(OR($Y760="",N($Z760)&lt;=0,$AB760=""),0,IFERROR(LOOKUP(2,1/((거래처별!$AC$8:$AC$307&lt;&gt;"")*ISNUMBER(SEARCH(거래처별!$AC$8:$AC$307,$AB760))),거래처별!$A$8:$A$307),IFERROR(LOOKUP(2,1/((거래처별!$AD$8:$AD$307&lt;&gt;"")*ISNUMBER(SEARCH(거래처별!$AD$8:$AD$307,$AB760))),거래처별!$A$8:$A$307),IFERROR(LOOKUP(2,1/((거래처별!$AE$8:$AE$307&lt;&gt;"")*ISNUMBER(SEARCH(거래처별!$AE$8:$AE$307,$AB760))),거래처별!$A$8:$A$307),0))))</f>
        <v/>
      </c>
      <c r="AD760" s="31">
        <f>IF(AND($Y760&lt;&gt;"",N($Z760)&gt;0,$AC760=0),MAX($AD$7:$AD759)+1,"")</f>
        <v/>
      </c>
      <c r="AE760" s="31">
        <f>IF($Y760="",0,$Y760)</f>
        <v/>
      </c>
    </row>
    <row r="761">
      <c r="W761" s="31">
        <f>IF(OR($B$5="",$C$6="",ROW()&lt;$B$5),"",IF(INDEX($A:$U,ROW(),$C$6)="","",INDEX($A:$U,ROW(),$C$6)))</f>
        <v/>
      </c>
      <c r="X761" s="32">
        <f>IF($W761="","",IF(ISNUMBER($W761),IF($W761&gt;=10000000,IFERROR(DATE(INT($W761/10000),MOD(INT($W761/100),100),MOD($W761,100)),""),INT($W761)),IFERROR(DATE(--LEFT(LEFT(SUBSTITUTE(SUBSTITUTE(SUBSTITUTE(SUBSTITUTE(TRIM($W761),"-",""),".",""),"/","")," ",""),8),4),--MID(LEFT(SUBSTITUTE(SUBSTITUTE(SUBSTITUTE(SUBSTITUTE(TRIM($W761),"-",""),".",""),"/","")," ",""),8),5,2),--MID(LEFT(SUBSTITUTE(SUBSTITUTE(SUBSTITUTE(SUBSTITUTE(TRIM($W761),"-",""),".",""),"/","")," ",""),8),7,2)),"")))</f>
        <v/>
      </c>
      <c r="Y761" s="32">
        <f>IF($X761="","",INT($X761))</f>
        <v/>
      </c>
      <c r="Z761" s="33">
        <f>IF(OR($Y761="",$D$6=""),"",IF(INDEX($A:$U,ROW(),$D$6)="",0,IF(ISNUMBER(INDEX($A:$U,ROW(),$D$6)),INDEX($A:$U,ROW(),$D$6),IFERROR(--SUBSTITUTE(SUBSTITUTE(TRIM(INDEX($A:$U,ROW(),$D$6)),",",""),"원",""),0))))</f>
        <v/>
      </c>
      <c r="AA761" s="31">
        <f>IF($Y761="","",TRIM(INDEX($A:$U,ROW(),$E$6)&amp;IF($F$6="",""," "&amp;INDEX($A:$U,ROW(),$F$6))))</f>
        <v/>
      </c>
      <c r="AB761" s="31">
        <f>IF($AA761="","",SUBSTITUTE(SUBSTITUTE(SUBSTITUTE(SUBSTITUTE(SUBSTITUTE(SUBSTITUTE(SUBSTITUTE(SUBSTITUTE(SUBSTITUTE($AA761," ",""),"　",""),"(주)",""),"（주）",""),"㈜",""),"주식회사",""),"(유)",""),"（유）",""),"유한회사",""))</f>
        <v/>
      </c>
      <c r="AC761" s="31">
        <f>IF(OR($Y761="",N($Z761)&lt;=0,$AB761=""),0,IFERROR(LOOKUP(2,1/((거래처별!$AC$8:$AC$307&lt;&gt;"")*ISNUMBER(SEARCH(거래처별!$AC$8:$AC$307,$AB761))),거래처별!$A$8:$A$307),IFERROR(LOOKUP(2,1/((거래처별!$AD$8:$AD$307&lt;&gt;"")*ISNUMBER(SEARCH(거래처별!$AD$8:$AD$307,$AB761))),거래처별!$A$8:$A$307),IFERROR(LOOKUP(2,1/((거래처별!$AE$8:$AE$307&lt;&gt;"")*ISNUMBER(SEARCH(거래처별!$AE$8:$AE$307,$AB761))),거래처별!$A$8:$A$307),0))))</f>
        <v/>
      </c>
      <c r="AD761" s="31">
        <f>IF(AND($Y761&lt;&gt;"",N($Z761)&gt;0,$AC761=0),MAX($AD$7:$AD760)+1,"")</f>
        <v/>
      </c>
      <c r="AE761" s="31">
        <f>IF($Y761="",0,$Y761)</f>
        <v/>
      </c>
    </row>
    <row r="762">
      <c r="W762" s="31">
        <f>IF(OR($B$5="",$C$6="",ROW()&lt;$B$5),"",IF(INDEX($A:$U,ROW(),$C$6)="","",INDEX($A:$U,ROW(),$C$6)))</f>
        <v/>
      </c>
      <c r="X762" s="32">
        <f>IF($W762="","",IF(ISNUMBER($W762),IF($W762&gt;=10000000,IFERROR(DATE(INT($W762/10000),MOD(INT($W762/100),100),MOD($W762,100)),""),INT($W762)),IFERROR(DATE(--LEFT(LEFT(SUBSTITUTE(SUBSTITUTE(SUBSTITUTE(SUBSTITUTE(TRIM($W762),"-",""),".",""),"/","")," ",""),8),4),--MID(LEFT(SUBSTITUTE(SUBSTITUTE(SUBSTITUTE(SUBSTITUTE(TRIM($W762),"-",""),".",""),"/","")," ",""),8),5,2),--MID(LEFT(SUBSTITUTE(SUBSTITUTE(SUBSTITUTE(SUBSTITUTE(TRIM($W762),"-",""),".",""),"/","")," ",""),8),7,2)),"")))</f>
        <v/>
      </c>
      <c r="Y762" s="32">
        <f>IF($X762="","",INT($X762))</f>
        <v/>
      </c>
      <c r="Z762" s="33">
        <f>IF(OR($Y762="",$D$6=""),"",IF(INDEX($A:$U,ROW(),$D$6)="",0,IF(ISNUMBER(INDEX($A:$U,ROW(),$D$6)),INDEX($A:$U,ROW(),$D$6),IFERROR(--SUBSTITUTE(SUBSTITUTE(TRIM(INDEX($A:$U,ROW(),$D$6)),",",""),"원",""),0))))</f>
        <v/>
      </c>
      <c r="AA762" s="31">
        <f>IF($Y762="","",TRIM(INDEX($A:$U,ROW(),$E$6)&amp;IF($F$6="",""," "&amp;INDEX($A:$U,ROW(),$F$6))))</f>
        <v/>
      </c>
      <c r="AB762" s="31">
        <f>IF($AA762="","",SUBSTITUTE(SUBSTITUTE(SUBSTITUTE(SUBSTITUTE(SUBSTITUTE(SUBSTITUTE(SUBSTITUTE(SUBSTITUTE(SUBSTITUTE($AA762," ",""),"　",""),"(주)",""),"（주）",""),"㈜",""),"주식회사",""),"(유)",""),"（유）",""),"유한회사",""))</f>
        <v/>
      </c>
      <c r="AC762" s="31">
        <f>IF(OR($Y762="",N($Z762)&lt;=0,$AB762=""),0,IFERROR(LOOKUP(2,1/((거래처별!$AC$8:$AC$307&lt;&gt;"")*ISNUMBER(SEARCH(거래처별!$AC$8:$AC$307,$AB762))),거래처별!$A$8:$A$307),IFERROR(LOOKUP(2,1/((거래처별!$AD$8:$AD$307&lt;&gt;"")*ISNUMBER(SEARCH(거래처별!$AD$8:$AD$307,$AB762))),거래처별!$A$8:$A$307),IFERROR(LOOKUP(2,1/((거래처별!$AE$8:$AE$307&lt;&gt;"")*ISNUMBER(SEARCH(거래처별!$AE$8:$AE$307,$AB762))),거래처별!$A$8:$A$307),0))))</f>
        <v/>
      </c>
      <c r="AD762" s="31">
        <f>IF(AND($Y762&lt;&gt;"",N($Z762)&gt;0,$AC762=0),MAX($AD$7:$AD761)+1,"")</f>
        <v/>
      </c>
      <c r="AE762" s="31">
        <f>IF($Y762="",0,$Y762)</f>
        <v/>
      </c>
    </row>
    <row r="763">
      <c r="W763" s="31">
        <f>IF(OR($B$5="",$C$6="",ROW()&lt;$B$5),"",IF(INDEX($A:$U,ROW(),$C$6)="","",INDEX($A:$U,ROW(),$C$6)))</f>
        <v/>
      </c>
      <c r="X763" s="32">
        <f>IF($W763="","",IF(ISNUMBER($W763),IF($W763&gt;=10000000,IFERROR(DATE(INT($W763/10000),MOD(INT($W763/100),100),MOD($W763,100)),""),INT($W763)),IFERROR(DATE(--LEFT(LEFT(SUBSTITUTE(SUBSTITUTE(SUBSTITUTE(SUBSTITUTE(TRIM($W763),"-",""),".",""),"/","")," ",""),8),4),--MID(LEFT(SUBSTITUTE(SUBSTITUTE(SUBSTITUTE(SUBSTITUTE(TRIM($W763),"-",""),".",""),"/","")," ",""),8),5,2),--MID(LEFT(SUBSTITUTE(SUBSTITUTE(SUBSTITUTE(SUBSTITUTE(TRIM($W763),"-",""),".",""),"/","")," ",""),8),7,2)),"")))</f>
        <v/>
      </c>
      <c r="Y763" s="32">
        <f>IF($X763="","",INT($X763))</f>
        <v/>
      </c>
      <c r="Z763" s="33">
        <f>IF(OR($Y763="",$D$6=""),"",IF(INDEX($A:$U,ROW(),$D$6)="",0,IF(ISNUMBER(INDEX($A:$U,ROW(),$D$6)),INDEX($A:$U,ROW(),$D$6),IFERROR(--SUBSTITUTE(SUBSTITUTE(TRIM(INDEX($A:$U,ROW(),$D$6)),",",""),"원",""),0))))</f>
        <v/>
      </c>
      <c r="AA763" s="31">
        <f>IF($Y763="","",TRIM(INDEX($A:$U,ROW(),$E$6)&amp;IF($F$6="",""," "&amp;INDEX($A:$U,ROW(),$F$6))))</f>
        <v/>
      </c>
      <c r="AB763" s="31">
        <f>IF($AA763="","",SUBSTITUTE(SUBSTITUTE(SUBSTITUTE(SUBSTITUTE(SUBSTITUTE(SUBSTITUTE(SUBSTITUTE(SUBSTITUTE(SUBSTITUTE($AA763," ",""),"　",""),"(주)",""),"（주）",""),"㈜",""),"주식회사",""),"(유)",""),"（유）",""),"유한회사",""))</f>
        <v/>
      </c>
      <c r="AC763" s="31">
        <f>IF(OR($Y763="",N($Z763)&lt;=0,$AB763=""),0,IFERROR(LOOKUP(2,1/((거래처별!$AC$8:$AC$307&lt;&gt;"")*ISNUMBER(SEARCH(거래처별!$AC$8:$AC$307,$AB763))),거래처별!$A$8:$A$307),IFERROR(LOOKUP(2,1/((거래처별!$AD$8:$AD$307&lt;&gt;"")*ISNUMBER(SEARCH(거래처별!$AD$8:$AD$307,$AB763))),거래처별!$A$8:$A$307),IFERROR(LOOKUP(2,1/((거래처별!$AE$8:$AE$307&lt;&gt;"")*ISNUMBER(SEARCH(거래처별!$AE$8:$AE$307,$AB763))),거래처별!$A$8:$A$307),0))))</f>
        <v/>
      </c>
      <c r="AD763" s="31">
        <f>IF(AND($Y763&lt;&gt;"",N($Z763)&gt;0,$AC763=0),MAX($AD$7:$AD762)+1,"")</f>
        <v/>
      </c>
      <c r="AE763" s="31">
        <f>IF($Y763="",0,$Y763)</f>
        <v/>
      </c>
    </row>
    <row r="764">
      <c r="W764" s="31">
        <f>IF(OR($B$5="",$C$6="",ROW()&lt;$B$5),"",IF(INDEX($A:$U,ROW(),$C$6)="","",INDEX($A:$U,ROW(),$C$6)))</f>
        <v/>
      </c>
      <c r="X764" s="32">
        <f>IF($W764="","",IF(ISNUMBER($W764),IF($W764&gt;=10000000,IFERROR(DATE(INT($W764/10000),MOD(INT($W764/100),100),MOD($W764,100)),""),INT($W764)),IFERROR(DATE(--LEFT(LEFT(SUBSTITUTE(SUBSTITUTE(SUBSTITUTE(SUBSTITUTE(TRIM($W764),"-",""),".",""),"/","")," ",""),8),4),--MID(LEFT(SUBSTITUTE(SUBSTITUTE(SUBSTITUTE(SUBSTITUTE(TRIM($W764),"-",""),".",""),"/","")," ",""),8),5,2),--MID(LEFT(SUBSTITUTE(SUBSTITUTE(SUBSTITUTE(SUBSTITUTE(TRIM($W764),"-",""),".",""),"/","")," ",""),8),7,2)),"")))</f>
        <v/>
      </c>
      <c r="Y764" s="32">
        <f>IF($X764="","",INT($X764))</f>
        <v/>
      </c>
      <c r="Z764" s="33">
        <f>IF(OR($Y764="",$D$6=""),"",IF(INDEX($A:$U,ROW(),$D$6)="",0,IF(ISNUMBER(INDEX($A:$U,ROW(),$D$6)),INDEX($A:$U,ROW(),$D$6),IFERROR(--SUBSTITUTE(SUBSTITUTE(TRIM(INDEX($A:$U,ROW(),$D$6)),",",""),"원",""),0))))</f>
        <v/>
      </c>
      <c r="AA764" s="31">
        <f>IF($Y764="","",TRIM(INDEX($A:$U,ROW(),$E$6)&amp;IF($F$6="",""," "&amp;INDEX($A:$U,ROW(),$F$6))))</f>
        <v/>
      </c>
      <c r="AB764" s="31">
        <f>IF($AA764="","",SUBSTITUTE(SUBSTITUTE(SUBSTITUTE(SUBSTITUTE(SUBSTITUTE(SUBSTITUTE(SUBSTITUTE(SUBSTITUTE(SUBSTITUTE($AA764," ",""),"　",""),"(주)",""),"（주）",""),"㈜",""),"주식회사",""),"(유)",""),"（유）",""),"유한회사",""))</f>
        <v/>
      </c>
      <c r="AC764" s="31">
        <f>IF(OR($Y764="",N($Z764)&lt;=0,$AB764=""),0,IFERROR(LOOKUP(2,1/((거래처별!$AC$8:$AC$307&lt;&gt;"")*ISNUMBER(SEARCH(거래처별!$AC$8:$AC$307,$AB764))),거래처별!$A$8:$A$307),IFERROR(LOOKUP(2,1/((거래처별!$AD$8:$AD$307&lt;&gt;"")*ISNUMBER(SEARCH(거래처별!$AD$8:$AD$307,$AB764))),거래처별!$A$8:$A$307),IFERROR(LOOKUP(2,1/((거래처별!$AE$8:$AE$307&lt;&gt;"")*ISNUMBER(SEARCH(거래처별!$AE$8:$AE$307,$AB764))),거래처별!$A$8:$A$307),0))))</f>
        <v/>
      </c>
      <c r="AD764" s="31">
        <f>IF(AND($Y764&lt;&gt;"",N($Z764)&gt;0,$AC764=0),MAX($AD$7:$AD763)+1,"")</f>
        <v/>
      </c>
      <c r="AE764" s="31">
        <f>IF($Y764="",0,$Y764)</f>
        <v/>
      </c>
    </row>
    <row r="765">
      <c r="W765" s="31">
        <f>IF(OR($B$5="",$C$6="",ROW()&lt;$B$5),"",IF(INDEX($A:$U,ROW(),$C$6)="","",INDEX($A:$U,ROW(),$C$6)))</f>
        <v/>
      </c>
      <c r="X765" s="32">
        <f>IF($W765="","",IF(ISNUMBER($W765),IF($W765&gt;=10000000,IFERROR(DATE(INT($W765/10000),MOD(INT($W765/100),100),MOD($W765,100)),""),INT($W765)),IFERROR(DATE(--LEFT(LEFT(SUBSTITUTE(SUBSTITUTE(SUBSTITUTE(SUBSTITUTE(TRIM($W765),"-",""),".",""),"/","")," ",""),8),4),--MID(LEFT(SUBSTITUTE(SUBSTITUTE(SUBSTITUTE(SUBSTITUTE(TRIM($W765),"-",""),".",""),"/","")," ",""),8),5,2),--MID(LEFT(SUBSTITUTE(SUBSTITUTE(SUBSTITUTE(SUBSTITUTE(TRIM($W765),"-",""),".",""),"/","")," ",""),8),7,2)),"")))</f>
        <v/>
      </c>
      <c r="Y765" s="32">
        <f>IF($X765="","",INT($X765))</f>
        <v/>
      </c>
      <c r="Z765" s="33">
        <f>IF(OR($Y765="",$D$6=""),"",IF(INDEX($A:$U,ROW(),$D$6)="",0,IF(ISNUMBER(INDEX($A:$U,ROW(),$D$6)),INDEX($A:$U,ROW(),$D$6),IFERROR(--SUBSTITUTE(SUBSTITUTE(TRIM(INDEX($A:$U,ROW(),$D$6)),",",""),"원",""),0))))</f>
        <v/>
      </c>
      <c r="AA765" s="31">
        <f>IF($Y765="","",TRIM(INDEX($A:$U,ROW(),$E$6)&amp;IF($F$6="",""," "&amp;INDEX($A:$U,ROW(),$F$6))))</f>
        <v/>
      </c>
      <c r="AB765" s="31">
        <f>IF($AA765="","",SUBSTITUTE(SUBSTITUTE(SUBSTITUTE(SUBSTITUTE(SUBSTITUTE(SUBSTITUTE(SUBSTITUTE(SUBSTITUTE(SUBSTITUTE($AA765," ",""),"　",""),"(주)",""),"（주）",""),"㈜",""),"주식회사",""),"(유)",""),"（유）",""),"유한회사",""))</f>
        <v/>
      </c>
      <c r="AC765" s="31">
        <f>IF(OR($Y765="",N($Z765)&lt;=0,$AB765=""),0,IFERROR(LOOKUP(2,1/((거래처별!$AC$8:$AC$307&lt;&gt;"")*ISNUMBER(SEARCH(거래처별!$AC$8:$AC$307,$AB765))),거래처별!$A$8:$A$307),IFERROR(LOOKUP(2,1/((거래처별!$AD$8:$AD$307&lt;&gt;"")*ISNUMBER(SEARCH(거래처별!$AD$8:$AD$307,$AB765))),거래처별!$A$8:$A$307),IFERROR(LOOKUP(2,1/((거래처별!$AE$8:$AE$307&lt;&gt;"")*ISNUMBER(SEARCH(거래처별!$AE$8:$AE$307,$AB765))),거래처별!$A$8:$A$307),0))))</f>
        <v/>
      </c>
      <c r="AD765" s="31">
        <f>IF(AND($Y765&lt;&gt;"",N($Z765)&gt;0,$AC765=0),MAX($AD$7:$AD764)+1,"")</f>
        <v/>
      </c>
      <c r="AE765" s="31">
        <f>IF($Y765="",0,$Y765)</f>
        <v/>
      </c>
    </row>
    <row r="766">
      <c r="W766" s="31">
        <f>IF(OR($B$5="",$C$6="",ROW()&lt;$B$5),"",IF(INDEX($A:$U,ROW(),$C$6)="","",INDEX($A:$U,ROW(),$C$6)))</f>
        <v/>
      </c>
      <c r="X766" s="32">
        <f>IF($W766="","",IF(ISNUMBER($W766),IF($W766&gt;=10000000,IFERROR(DATE(INT($W766/10000),MOD(INT($W766/100),100),MOD($W766,100)),""),INT($W766)),IFERROR(DATE(--LEFT(LEFT(SUBSTITUTE(SUBSTITUTE(SUBSTITUTE(SUBSTITUTE(TRIM($W766),"-",""),".",""),"/","")," ",""),8),4),--MID(LEFT(SUBSTITUTE(SUBSTITUTE(SUBSTITUTE(SUBSTITUTE(TRIM($W766),"-",""),".",""),"/","")," ",""),8),5,2),--MID(LEFT(SUBSTITUTE(SUBSTITUTE(SUBSTITUTE(SUBSTITUTE(TRIM($W766),"-",""),".",""),"/","")," ",""),8),7,2)),"")))</f>
        <v/>
      </c>
      <c r="Y766" s="32">
        <f>IF($X766="","",INT($X766))</f>
        <v/>
      </c>
      <c r="Z766" s="33">
        <f>IF(OR($Y766="",$D$6=""),"",IF(INDEX($A:$U,ROW(),$D$6)="",0,IF(ISNUMBER(INDEX($A:$U,ROW(),$D$6)),INDEX($A:$U,ROW(),$D$6),IFERROR(--SUBSTITUTE(SUBSTITUTE(TRIM(INDEX($A:$U,ROW(),$D$6)),",",""),"원",""),0))))</f>
        <v/>
      </c>
      <c r="AA766" s="31">
        <f>IF($Y766="","",TRIM(INDEX($A:$U,ROW(),$E$6)&amp;IF($F$6="",""," "&amp;INDEX($A:$U,ROW(),$F$6))))</f>
        <v/>
      </c>
      <c r="AB766" s="31">
        <f>IF($AA766="","",SUBSTITUTE(SUBSTITUTE(SUBSTITUTE(SUBSTITUTE(SUBSTITUTE(SUBSTITUTE(SUBSTITUTE(SUBSTITUTE(SUBSTITUTE($AA766," ",""),"　",""),"(주)",""),"（주）",""),"㈜",""),"주식회사",""),"(유)",""),"（유）",""),"유한회사",""))</f>
        <v/>
      </c>
      <c r="AC766" s="31">
        <f>IF(OR($Y766="",N($Z766)&lt;=0,$AB766=""),0,IFERROR(LOOKUP(2,1/((거래처별!$AC$8:$AC$307&lt;&gt;"")*ISNUMBER(SEARCH(거래처별!$AC$8:$AC$307,$AB766))),거래처별!$A$8:$A$307),IFERROR(LOOKUP(2,1/((거래처별!$AD$8:$AD$307&lt;&gt;"")*ISNUMBER(SEARCH(거래처별!$AD$8:$AD$307,$AB766))),거래처별!$A$8:$A$307),IFERROR(LOOKUP(2,1/((거래처별!$AE$8:$AE$307&lt;&gt;"")*ISNUMBER(SEARCH(거래처별!$AE$8:$AE$307,$AB766))),거래처별!$A$8:$A$307),0))))</f>
        <v/>
      </c>
      <c r="AD766" s="31">
        <f>IF(AND($Y766&lt;&gt;"",N($Z766)&gt;0,$AC766=0),MAX($AD$7:$AD765)+1,"")</f>
        <v/>
      </c>
      <c r="AE766" s="31">
        <f>IF($Y766="",0,$Y766)</f>
        <v/>
      </c>
    </row>
    <row r="767">
      <c r="W767" s="31">
        <f>IF(OR($B$5="",$C$6="",ROW()&lt;$B$5),"",IF(INDEX($A:$U,ROW(),$C$6)="","",INDEX($A:$U,ROW(),$C$6)))</f>
        <v/>
      </c>
      <c r="X767" s="32">
        <f>IF($W767="","",IF(ISNUMBER($W767),IF($W767&gt;=10000000,IFERROR(DATE(INT($W767/10000),MOD(INT($W767/100),100),MOD($W767,100)),""),INT($W767)),IFERROR(DATE(--LEFT(LEFT(SUBSTITUTE(SUBSTITUTE(SUBSTITUTE(SUBSTITUTE(TRIM($W767),"-",""),".",""),"/","")," ",""),8),4),--MID(LEFT(SUBSTITUTE(SUBSTITUTE(SUBSTITUTE(SUBSTITUTE(TRIM($W767),"-",""),".",""),"/","")," ",""),8),5,2),--MID(LEFT(SUBSTITUTE(SUBSTITUTE(SUBSTITUTE(SUBSTITUTE(TRIM($W767),"-",""),".",""),"/","")," ",""),8),7,2)),"")))</f>
        <v/>
      </c>
      <c r="Y767" s="32">
        <f>IF($X767="","",INT($X767))</f>
        <v/>
      </c>
      <c r="Z767" s="33">
        <f>IF(OR($Y767="",$D$6=""),"",IF(INDEX($A:$U,ROW(),$D$6)="",0,IF(ISNUMBER(INDEX($A:$U,ROW(),$D$6)),INDEX($A:$U,ROW(),$D$6),IFERROR(--SUBSTITUTE(SUBSTITUTE(TRIM(INDEX($A:$U,ROW(),$D$6)),",",""),"원",""),0))))</f>
        <v/>
      </c>
      <c r="AA767" s="31">
        <f>IF($Y767="","",TRIM(INDEX($A:$U,ROW(),$E$6)&amp;IF($F$6="",""," "&amp;INDEX($A:$U,ROW(),$F$6))))</f>
        <v/>
      </c>
      <c r="AB767" s="31">
        <f>IF($AA767="","",SUBSTITUTE(SUBSTITUTE(SUBSTITUTE(SUBSTITUTE(SUBSTITUTE(SUBSTITUTE(SUBSTITUTE(SUBSTITUTE(SUBSTITUTE($AA767," ",""),"　",""),"(주)",""),"（주）",""),"㈜",""),"주식회사",""),"(유)",""),"（유）",""),"유한회사",""))</f>
        <v/>
      </c>
      <c r="AC767" s="31">
        <f>IF(OR($Y767="",N($Z767)&lt;=0,$AB767=""),0,IFERROR(LOOKUP(2,1/((거래처별!$AC$8:$AC$307&lt;&gt;"")*ISNUMBER(SEARCH(거래처별!$AC$8:$AC$307,$AB767))),거래처별!$A$8:$A$307),IFERROR(LOOKUP(2,1/((거래처별!$AD$8:$AD$307&lt;&gt;"")*ISNUMBER(SEARCH(거래처별!$AD$8:$AD$307,$AB767))),거래처별!$A$8:$A$307),IFERROR(LOOKUP(2,1/((거래처별!$AE$8:$AE$307&lt;&gt;"")*ISNUMBER(SEARCH(거래처별!$AE$8:$AE$307,$AB767))),거래처별!$A$8:$A$307),0))))</f>
        <v/>
      </c>
      <c r="AD767" s="31">
        <f>IF(AND($Y767&lt;&gt;"",N($Z767)&gt;0,$AC767=0),MAX($AD$7:$AD766)+1,"")</f>
        <v/>
      </c>
      <c r="AE767" s="31">
        <f>IF($Y767="",0,$Y767)</f>
        <v/>
      </c>
    </row>
    <row r="768">
      <c r="W768" s="31">
        <f>IF(OR($B$5="",$C$6="",ROW()&lt;$B$5),"",IF(INDEX($A:$U,ROW(),$C$6)="","",INDEX($A:$U,ROW(),$C$6)))</f>
        <v/>
      </c>
      <c r="X768" s="32">
        <f>IF($W768="","",IF(ISNUMBER($W768),IF($W768&gt;=10000000,IFERROR(DATE(INT($W768/10000),MOD(INT($W768/100),100),MOD($W768,100)),""),INT($W768)),IFERROR(DATE(--LEFT(LEFT(SUBSTITUTE(SUBSTITUTE(SUBSTITUTE(SUBSTITUTE(TRIM($W768),"-",""),".",""),"/","")," ",""),8),4),--MID(LEFT(SUBSTITUTE(SUBSTITUTE(SUBSTITUTE(SUBSTITUTE(TRIM($W768),"-",""),".",""),"/","")," ",""),8),5,2),--MID(LEFT(SUBSTITUTE(SUBSTITUTE(SUBSTITUTE(SUBSTITUTE(TRIM($W768),"-",""),".",""),"/","")," ",""),8),7,2)),"")))</f>
        <v/>
      </c>
      <c r="Y768" s="32">
        <f>IF($X768="","",INT($X768))</f>
        <v/>
      </c>
      <c r="Z768" s="33">
        <f>IF(OR($Y768="",$D$6=""),"",IF(INDEX($A:$U,ROW(),$D$6)="",0,IF(ISNUMBER(INDEX($A:$U,ROW(),$D$6)),INDEX($A:$U,ROW(),$D$6),IFERROR(--SUBSTITUTE(SUBSTITUTE(TRIM(INDEX($A:$U,ROW(),$D$6)),",",""),"원",""),0))))</f>
        <v/>
      </c>
      <c r="AA768" s="31">
        <f>IF($Y768="","",TRIM(INDEX($A:$U,ROW(),$E$6)&amp;IF($F$6="",""," "&amp;INDEX($A:$U,ROW(),$F$6))))</f>
        <v/>
      </c>
      <c r="AB768" s="31">
        <f>IF($AA768="","",SUBSTITUTE(SUBSTITUTE(SUBSTITUTE(SUBSTITUTE(SUBSTITUTE(SUBSTITUTE(SUBSTITUTE(SUBSTITUTE(SUBSTITUTE($AA768," ",""),"　",""),"(주)",""),"（주）",""),"㈜",""),"주식회사",""),"(유)",""),"（유）",""),"유한회사",""))</f>
        <v/>
      </c>
      <c r="AC768" s="31">
        <f>IF(OR($Y768="",N($Z768)&lt;=0,$AB768=""),0,IFERROR(LOOKUP(2,1/((거래처별!$AC$8:$AC$307&lt;&gt;"")*ISNUMBER(SEARCH(거래처별!$AC$8:$AC$307,$AB768))),거래처별!$A$8:$A$307),IFERROR(LOOKUP(2,1/((거래처별!$AD$8:$AD$307&lt;&gt;"")*ISNUMBER(SEARCH(거래처별!$AD$8:$AD$307,$AB768))),거래처별!$A$8:$A$307),IFERROR(LOOKUP(2,1/((거래처별!$AE$8:$AE$307&lt;&gt;"")*ISNUMBER(SEARCH(거래처별!$AE$8:$AE$307,$AB768))),거래처별!$A$8:$A$307),0))))</f>
        <v/>
      </c>
      <c r="AD768" s="31">
        <f>IF(AND($Y768&lt;&gt;"",N($Z768)&gt;0,$AC768=0),MAX($AD$7:$AD767)+1,"")</f>
        <v/>
      </c>
      <c r="AE768" s="31">
        <f>IF($Y768="",0,$Y768)</f>
        <v/>
      </c>
    </row>
    <row r="769">
      <c r="W769" s="31">
        <f>IF(OR($B$5="",$C$6="",ROW()&lt;$B$5),"",IF(INDEX($A:$U,ROW(),$C$6)="","",INDEX($A:$U,ROW(),$C$6)))</f>
        <v/>
      </c>
      <c r="X769" s="32">
        <f>IF($W769="","",IF(ISNUMBER($W769),IF($W769&gt;=10000000,IFERROR(DATE(INT($W769/10000),MOD(INT($W769/100),100),MOD($W769,100)),""),INT($W769)),IFERROR(DATE(--LEFT(LEFT(SUBSTITUTE(SUBSTITUTE(SUBSTITUTE(SUBSTITUTE(TRIM($W769),"-",""),".",""),"/","")," ",""),8),4),--MID(LEFT(SUBSTITUTE(SUBSTITUTE(SUBSTITUTE(SUBSTITUTE(TRIM($W769),"-",""),".",""),"/","")," ",""),8),5,2),--MID(LEFT(SUBSTITUTE(SUBSTITUTE(SUBSTITUTE(SUBSTITUTE(TRIM($W769),"-",""),".",""),"/","")," ",""),8),7,2)),"")))</f>
        <v/>
      </c>
      <c r="Y769" s="32">
        <f>IF($X769="","",INT($X769))</f>
        <v/>
      </c>
      <c r="Z769" s="33">
        <f>IF(OR($Y769="",$D$6=""),"",IF(INDEX($A:$U,ROW(),$D$6)="",0,IF(ISNUMBER(INDEX($A:$U,ROW(),$D$6)),INDEX($A:$U,ROW(),$D$6),IFERROR(--SUBSTITUTE(SUBSTITUTE(TRIM(INDEX($A:$U,ROW(),$D$6)),",",""),"원",""),0))))</f>
        <v/>
      </c>
      <c r="AA769" s="31">
        <f>IF($Y769="","",TRIM(INDEX($A:$U,ROW(),$E$6)&amp;IF($F$6="",""," "&amp;INDEX($A:$U,ROW(),$F$6))))</f>
        <v/>
      </c>
      <c r="AB769" s="31">
        <f>IF($AA769="","",SUBSTITUTE(SUBSTITUTE(SUBSTITUTE(SUBSTITUTE(SUBSTITUTE(SUBSTITUTE(SUBSTITUTE(SUBSTITUTE(SUBSTITUTE($AA769," ",""),"　",""),"(주)",""),"（주）",""),"㈜",""),"주식회사",""),"(유)",""),"（유）",""),"유한회사",""))</f>
        <v/>
      </c>
      <c r="AC769" s="31">
        <f>IF(OR($Y769="",N($Z769)&lt;=0,$AB769=""),0,IFERROR(LOOKUP(2,1/((거래처별!$AC$8:$AC$307&lt;&gt;"")*ISNUMBER(SEARCH(거래처별!$AC$8:$AC$307,$AB769))),거래처별!$A$8:$A$307),IFERROR(LOOKUP(2,1/((거래처별!$AD$8:$AD$307&lt;&gt;"")*ISNUMBER(SEARCH(거래처별!$AD$8:$AD$307,$AB769))),거래처별!$A$8:$A$307),IFERROR(LOOKUP(2,1/((거래처별!$AE$8:$AE$307&lt;&gt;"")*ISNUMBER(SEARCH(거래처별!$AE$8:$AE$307,$AB769))),거래처별!$A$8:$A$307),0))))</f>
        <v/>
      </c>
      <c r="AD769" s="31">
        <f>IF(AND($Y769&lt;&gt;"",N($Z769)&gt;0,$AC769=0),MAX($AD$7:$AD768)+1,"")</f>
        <v/>
      </c>
      <c r="AE769" s="31">
        <f>IF($Y769="",0,$Y769)</f>
        <v/>
      </c>
    </row>
    <row r="770">
      <c r="W770" s="31">
        <f>IF(OR($B$5="",$C$6="",ROW()&lt;$B$5),"",IF(INDEX($A:$U,ROW(),$C$6)="","",INDEX($A:$U,ROW(),$C$6)))</f>
        <v/>
      </c>
      <c r="X770" s="32">
        <f>IF($W770="","",IF(ISNUMBER($W770),IF($W770&gt;=10000000,IFERROR(DATE(INT($W770/10000),MOD(INT($W770/100),100),MOD($W770,100)),""),INT($W770)),IFERROR(DATE(--LEFT(LEFT(SUBSTITUTE(SUBSTITUTE(SUBSTITUTE(SUBSTITUTE(TRIM($W770),"-",""),".",""),"/","")," ",""),8),4),--MID(LEFT(SUBSTITUTE(SUBSTITUTE(SUBSTITUTE(SUBSTITUTE(TRIM($W770),"-",""),".",""),"/","")," ",""),8),5,2),--MID(LEFT(SUBSTITUTE(SUBSTITUTE(SUBSTITUTE(SUBSTITUTE(TRIM($W770),"-",""),".",""),"/","")," ",""),8),7,2)),"")))</f>
        <v/>
      </c>
      <c r="Y770" s="32">
        <f>IF($X770="","",INT($X770))</f>
        <v/>
      </c>
      <c r="Z770" s="33">
        <f>IF(OR($Y770="",$D$6=""),"",IF(INDEX($A:$U,ROW(),$D$6)="",0,IF(ISNUMBER(INDEX($A:$U,ROW(),$D$6)),INDEX($A:$U,ROW(),$D$6),IFERROR(--SUBSTITUTE(SUBSTITUTE(TRIM(INDEX($A:$U,ROW(),$D$6)),",",""),"원",""),0))))</f>
        <v/>
      </c>
      <c r="AA770" s="31">
        <f>IF($Y770="","",TRIM(INDEX($A:$U,ROW(),$E$6)&amp;IF($F$6="",""," "&amp;INDEX($A:$U,ROW(),$F$6))))</f>
        <v/>
      </c>
      <c r="AB770" s="31">
        <f>IF($AA770="","",SUBSTITUTE(SUBSTITUTE(SUBSTITUTE(SUBSTITUTE(SUBSTITUTE(SUBSTITUTE(SUBSTITUTE(SUBSTITUTE(SUBSTITUTE($AA770," ",""),"　",""),"(주)",""),"（주）",""),"㈜",""),"주식회사",""),"(유)",""),"（유）",""),"유한회사",""))</f>
        <v/>
      </c>
      <c r="AC770" s="31">
        <f>IF(OR($Y770="",N($Z770)&lt;=0,$AB770=""),0,IFERROR(LOOKUP(2,1/((거래처별!$AC$8:$AC$307&lt;&gt;"")*ISNUMBER(SEARCH(거래처별!$AC$8:$AC$307,$AB770))),거래처별!$A$8:$A$307),IFERROR(LOOKUP(2,1/((거래처별!$AD$8:$AD$307&lt;&gt;"")*ISNUMBER(SEARCH(거래처별!$AD$8:$AD$307,$AB770))),거래처별!$A$8:$A$307),IFERROR(LOOKUP(2,1/((거래처별!$AE$8:$AE$307&lt;&gt;"")*ISNUMBER(SEARCH(거래처별!$AE$8:$AE$307,$AB770))),거래처별!$A$8:$A$307),0))))</f>
        <v/>
      </c>
      <c r="AD770" s="31">
        <f>IF(AND($Y770&lt;&gt;"",N($Z770)&gt;0,$AC770=0),MAX($AD$7:$AD769)+1,"")</f>
        <v/>
      </c>
      <c r="AE770" s="31">
        <f>IF($Y770="",0,$Y770)</f>
        <v/>
      </c>
    </row>
    <row r="771">
      <c r="W771" s="31">
        <f>IF(OR($B$5="",$C$6="",ROW()&lt;$B$5),"",IF(INDEX($A:$U,ROW(),$C$6)="","",INDEX($A:$U,ROW(),$C$6)))</f>
        <v/>
      </c>
      <c r="X771" s="32">
        <f>IF($W771="","",IF(ISNUMBER($W771),IF($W771&gt;=10000000,IFERROR(DATE(INT($W771/10000),MOD(INT($W771/100),100),MOD($W771,100)),""),INT($W771)),IFERROR(DATE(--LEFT(LEFT(SUBSTITUTE(SUBSTITUTE(SUBSTITUTE(SUBSTITUTE(TRIM($W771),"-",""),".",""),"/","")," ",""),8),4),--MID(LEFT(SUBSTITUTE(SUBSTITUTE(SUBSTITUTE(SUBSTITUTE(TRIM($W771),"-",""),".",""),"/","")," ",""),8),5,2),--MID(LEFT(SUBSTITUTE(SUBSTITUTE(SUBSTITUTE(SUBSTITUTE(TRIM($W771),"-",""),".",""),"/","")," ",""),8),7,2)),"")))</f>
        <v/>
      </c>
      <c r="Y771" s="32">
        <f>IF($X771="","",INT($X771))</f>
        <v/>
      </c>
      <c r="Z771" s="33">
        <f>IF(OR($Y771="",$D$6=""),"",IF(INDEX($A:$U,ROW(),$D$6)="",0,IF(ISNUMBER(INDEX($A:$U,ROW(),$D$6)),INDEX($A:$U,ROW(),$D$6),IFERROR(--SUBSTITUTE(SUBSTITUTE(TRIM(INDEX($A:$U,ROW(),$D$6)),",",""),"원",""),0))))</f>
        <v/>
      </c>
      <c r="AA771" s="31">
        <f>IF($Y771="","",TRIM(INDEX($A:$U,ROW(),$E$6)&amp;IF($F$6="",""," "&amp;INDEX($A:$U,ROW(),$F$6))))</f>
        <v/>
      </c>
      <c r="AB771" s="31">
        <f>IF($AA771="","",SUBSTITUTE(SUBSTITUTE(SUBSTITUTE(SUBSTITUTE(SUBSTITUTE(SUBSTITUTE(SUBSTITUTE(SUBSTITUTE(SUBSTITUTE($AA771," ",""),"　",""),"(주)",""),"（주）",""),"㈜",""),"주식회사",""),"(유)",""),"（유）",""),"유한회사",""))</f>
        <v/>
      </c>
      <c r="AC771" s="31">
        <f>IF(OR($Y771="",N($Z771)&lt;=0,$AB771=""),0,IFERROR(LOOKUP(2,1/((거래처별!$AC$8:$AC$307&lt;&gt;"")*ISNUMBER(SEARCH(거래처별!$AC$8:$AC$307,$AB771))),거래처별!$A$8:$A$307),IFERROR(LOOKUP(2,1/((거래처별!$AD$8:$AD$307&lt;&gt;"")*ISNUMBER(SEARCH(거래처별!$AD$8:$AD$307,$AB771))),거래처별!$A$8:$A$307),IFERROR(LOOKUP(2,1/((거래처별!$AE$8:$AE$307&lt;&gt;"")*ISNUMBER(SEARCH(거래처별!$AE$8:$AE$307,$AB771))),거래처별!$A$8:$A$307),0))))</f>
        <v/>
      </c>
      <c r="AD771" s="31">
        <f>IF(AND($Y771&lt;&gt;"",N($Z771)&gt;0,$AC771=0),MAX($AD$7:$AD770)+1,"")</f>
        <v/>
      </c>
      <c r="AE771" s="31">
        <f>IF($Y771="",0,$Y771)</f>
        <v/>
      </c>
    </row>
    <row r="772">
      <c r="W772" s="31">
        <f>IF(OR($B$5="",$C$6="",ROW()&lt;$B$5),"",IF(INDEX($A:$U,ROW(),$C$6)="","",INDEX($A:$U,ROW(),$C$6)))</f>
        <v/>
      </c>
      <c r="X772" s="32">
        <f>IF($W772="","",IF(ISNUMBER($W772),IF($W772&gt;=10000000,IFERROR(DATE(INT($W772/10000),MOD(INT($W772/100),100),MOD($W772,100)),""),INT($W772)),IFERROR(DATE(--LEFT(LEFT(SUBSTITUTE(SUBSTITUTE(SUBSTITUTE(SUBSTITUTE(TRIM($W772),"-",""),".",""),"/","")," ",""),8),4),--MID(LEFT(SUBSTITUTE(SUBSTITUTE(SUBSTITUTE(SUBSTITUTE(TRIM($W772),"-",""),".",""),"/","")," ",""),8),5,2),--MID(LEFT(SUBSTITUTE(SUBSTITUTE(SUBSTITUTE(SUBSTITUTE(TRIM($W772),"-",""),".",""),"/","")," ",""),8),7,2)),"")))</f>
        <v/>
      </c>
      <c r="Y772" s="32">
        <f>IF($X772="","",INT($X772))</f>
        <v/>
      </c>
      <c r="Z772" s="33">
        <f>IF(OR($Y772="",$D$6=""),"",IF(INDEX($A:$U,ROW(),$D$6)="",0,IF(ISNUMBER(INDEX($A:$U,ROW(),$D$6)),INDEX($A:$U,ROW(),$D$6),IFERROR(--SUBSTITUTE(SUBSTITUTE(TRIM(INDEX($A:$U,ROW(),$D$6)),",",""),"원",""),0))))</f>
        <v/>
      </c>
      <c r="AA772" s="31">
        <f>IF($Y772="","",TRIM(INDEX($A:$U,ROW(),$E$6)&amp;IF($F$6="",""," "&amp;INDEX($A:$U,ROW(),$F$6))))</f>
        <v/>
      </c>
      <c r="AB772" s="31">
        <f>IF($AA772="","",SUBSTITUTE(SUBSTITUTE(SUBSTITUTE(SUBSTITUTE(SUBSTITUTE(SUBSTITUTE(SUBSTITUTE(SUBSTITUTE(SUBSTITUTE($AA772," ",""),"　",""),"(주)",""),"（주）",""),"㈜",""),"주식회사",""),"(유)",""),"（유）",""),"유한회사",""))</f>
        <v/>
      </c>
      <c r="AC772" s="31">
        <f>IF(OR($Y772="",N($Z772)&lt;=0,$AB772=""),0,IFERROR(LOOKUP(2,1/((거래처별!$AC$8:$AC$307&lt;&gt;"")*ISNUMBER(SEARCH(거래처별!$AC$8:$AC$307,$AB772))),거래처별!$A$8:$A$307),IFERROR(LOOKUP(2,1/((거래처별!$AD$8:$AD$307&lt;&gt;"")*ISNUMBER(SEARCH(거래처별!$AD$8:$AD$307,$AB772))),거래처별!$A$8:$A$307),IFERROR(LOOKUP(2,1/((거래처별!$AE$8:$AE$307&lt;&gt;"")*ISNUMBER(SEARCH(거래처별!$AE$8:$AE$307,$AB772))),거래처별!$A$8:$A$307),0))))</f>
        <v/>
      </c>
      <c r="AD772" s="31">
        <f>IF(AND($Y772&lt;&gt;"",N($Z772)&gt;0,$AC772=0),MAX($AD$7:$AD771)+1,"")</f>
        <v/>
      </c>
      <c r="AE772" s="31">
        <f>IF($Y772="",0,$Y772)</f>
        <v/>
      </c>
    </row>
    <row r="773">
      <c r="W773" s="31">
        <f>IF(OR($B$5="",$C$6="",ROW()&lt;$B$5),"",IF(INDEX($A:$U,ROW(),$C$6)="","",INDEX($A:$U,ROW(),$C$6)))</f>
        <v/>
      </c>
      <c r="X773" s="32">
        <f>IF($W773="","",IF(ISNUMBER($W773),IF($W773&gt;=10000000,IFERROR(DATE(INT($W773/10000),MOD(INT($W773/100),100),MOD($W773,100)),""),INT($W773)),IFERROR(DATE(--LEFT(LEFT(SUBSTITUTE(SUBSTITUTE(SUBSTITUTE(SUBSTITUTE(TRIM($W773),"-",""),".",""),"/","")," ",""),8),4),--MID(LEFT(SUBSTITUTE(SUBSTITUTE(SUBSTITUTE(SUBSTITUTE(TRIM($W773),"-",""),".",""),"/","")," ",""),8),5,2),--MID(LEFT(SUBSTITUTE(SUBSTITUTE(SUBSTITUTE(SUBSTITUTE(TRIM($W773),"-",""),".",""),"/","")," ",""),8),7,2)),"")))</f>
        <v/>
      </c>
      <c r="Y773" s="32">
        <f>IF($X773="","",INT($X773))</f>
        <v/>
      </c>
      <c r="Z773" s="33">
        <f>IF(OR($Y773="",$D$6=""),"",IF(INDEX($A:$U,ROW(),$D$6)="",0,IF(ISNUMBER(INDEX($A:$U,ROW(),$D$6)),INDEX($A:$U,ROW(),$D$6),IFERROR(--SUBSTITUTE(SUBSTITUTE(TRIM(INDEX($A:$U,ROW(),$D$6)),",",""),"원",""),0))))</f>
        <v/>
      </c>
      <c r="AA773" s="31">
        <f>IF($Y773="","",TRIM(INDEX($A:$U,ROW(),$E$6)&amp;IF($F$6="",""," "&amp;INDEX($A:$U,ROW(),$F$6))))</f>
        <v/>
      </c>
      <c r="AB773" s="31">
        <f>IF($AA773="","",SUBSTITUTE(SUBSTITUTE(SUBSTITUTE(SUBSTITUTE(SUBSTITUTE(SUBSTITUTE(SUBSTITUTE(SUBSTITUTE(SUBSTITUTE($AA773," ",""),"　",""),"(주)",""),"（주）",""),"㈜",""),"주식회사",""),"(유)",""),"（유）",""),"유한회사",""))</f>
        <v/>
      </c>
      <c r="AC773" s="31">
        <f>IF(OR($Y773="",N($Z773)&lt;=0,$AB773=""),0,IFERROR(LOOKUP(2,1/((거래처별!$AC$8:$AC$307&lt;&gt;"")*ISNUMBER(SEARCH(거래처별!$AC$8:$AC$307,$AB773))),거래처별!$A$8:$A$307),IFERROR(LOOKUP(2,1/((거래처별!$AD$8:$AD$307&lt;&gt;"")*ISNUMBER(SEARCH(거래처별!$AD$8:$AD$307,$AB773))),거래처별!$A$8:$A$307),IFERROR(LOOKUP(2,1/((거래처별!$AE$8:$AE$307&lt;&gt;"")*ISNUMBER(SEARCH(거래처별!$AE$8:$AE$307,$AB773))),거래처별!$A$8:$A$307),0))))</f>
        <v/>
      </c>
      <c r="AD773" s="31">
        <f>IF(AND($Y773&lt;&gt;"",N($Z773)&gt;0,$AC773=0),MAX($AD$7:$AD772)+1,"")</f>
        <v/>
      </c>
      <c r="AE773" s="31">
        <f>IF($Y773="",0,$Y773)</f>
        <v/>
      </c>
    </row>
    <row r="774">
      <c r="W774" s="31">
        <f>IF(OR($B$5="",$C$6="",ROW()&lt;$B$5),"",IF(INDEX($A:$U,ROW(),$C$6)="","",INDEX($A:$U,ROW(),$C$6)))</f>
        <v/>
      </c>
      <c r="X774" s="32">
        <f>IF($W774="","",IF(ISNUMBER($W774),IF($W774&gt;=10000000,IFERROR(DATE(INT($W774/10000),MOD(INT($W774/100),100),MOD($W774,100)),""),INT($W774)),IFERROR(DATE(--LEFT(LEFT(SUBSTITUTE(SUBSTITUTE(SUBSTITUTE(SUBSTITUTE(TRIM($W774),"-",""),".",""),"/","")," ",""),8),4),--MID(LEFT(SUBSTITUTE(SUBSTITUTE(SUBSTITUTE(SUBSTITUTE(TRIM($W774),"-",""),".",""),"/","")," ",""),8),5,2),--MID(LEFT(SUBSTITUTE(SUBSTITUTE(SUBSTITUTE(SUBSTITUTE(TRIM($W774),"-",""),".",""),"/","")," ",""),8),7,2)),"")))</f>
        <v/>
      </c>
      <c r="Y774" s="32">
        <f>IF($X774="","",INT($X774))</f>
        <v/>
      </c>
      <c r="Z774" s="33">
        <f>IF(OR($Y774="",$D$6=""),"",IF(INDEX($A:$U,ROW(),$D$6)="",0,IF(ISNUMBER(INDEX($A:$U,ROW(),$D$6)),INDEX($A:$U,ROW(),$D$6),IFERROR(--SUBSTITUTE(SUBSTITUTE(TRIM(INDEX($A:$U,ROW(),$D$6)),",",""),"원",""),0))))</f>
        <v/>
      </c>
      <c r="AA774" s="31">
        <f>IF($Y774="","",TRIM(INDEX($A:$U,ROW(),$E$6)&amp;IF($F$6="",""," "&amp;INDEX($A:$U,ROW(),$F$6))))</f>
        <v/>
      </c>
      <c r="AB774" s="31">
        <f>IF($AA774="","",SUBSTITUTE(SUBSTITUTE(SUBSTITUTE(SUBSTITUTE(SUBSTITUTE(SUBSTITUTE(SUBSTITUTE(SUBSTITUTE(SUBSTITUTE($AA774," ",""),"　",""),"(주)",""),"（주）",""),"㈜",""),"주식회사",""),"(유)",""),"（유）",""),"유한회사",""))</f>
        <v/>
      </c>
      <c r="AC774" s="31">
        <f>IF(OR($Y774="",N($Z774)&lt;=0,$AB774=""),0,IFERROR(LOOKUP(2,1/((거래처별!$AC$8:$AC$307&lt;&gt;"")*ISNUMBER(SEARCH(거래처별!$AC$8:$AC$307,$AB774))),거래처별!$A$8:$A$307),IFERROR(LOOKUP(2,1/((거래처별!$AD$8:$AD$307&lt;&gt;"")*ISNUMBER(SEARCH(거래처별!$AD$8:$AD$307,$AB774))),거래처별!$A$8:$A$307),IFERROR(LOOKUP(2,1/((거래처별!$AE$8:$AE$307&lt;&gt;"")*ISNUMBER(SEARCH(거래처별!$AE$8:$AE$307,$AB774))),거래처별!$A$8:$A$307),0))))</f>
        <v/>
      </c>
      <c r="AD774" s="31">
        <f>IF(AND($Y774&lt;&gt;"",N($Z774)&gt;0,$AC774=0),MAX($AD$7:$AD773)+1,"")</f>
        <v/>
      </c>
      <c r="AE774" s="31">
        <f>IF($Y774="",0,$Y774)</f>
        <v/>
      </c>
    </row>
    <row r="775">
      <c r="W775" s="31">
        <f>IF(OR($B$5="",$C$6="",ROW()&lt;$B$5),"",IF(INDEX($A:$U,ROW(),$C$6)="","",INDEX($A:$U,ROW(),$C$6)))</f>
        <v/>
      </c>
      <c r="X775" s="32">
        <f>IF($W775="","",IF(ISNUMBER($W775),IF($W775&gt;=10000000,IFERROR(DATE(INT($W775/10000),MOD(INT($W775/100),100),MOD($W775,100)),""),INT($W775)),IFERROR(DATE(--LEFT(LEFT(SUBSTITUTE(SUBSTITUTE(SUBSTITUTE(SUBSTITUTE(TRIM($W775),"-",""),".",""),"/","")," ",""),8),4),--MID(LEFT(SUBSTITUTE(SUBSTITUTE(SUBSTITUTE(SUBSTITUTE(TRIM($W775),"-",""),".",""),"/","")," ",""),8),5,2),--MID(LEFT(SUBSTITUTE(SUBSTITUTE(SUBSTITUTE(SUBSTITUTE(TRIM($W775),"-",""),".",""),"/","")," ",""),8),7,2)),"")))</f>
        <v/>
      </c>
      <c r="Y775" s="32">
        <f>IF($X775="","",INT($X775))</f>
        <v/>
      </c>
      <c r="Z775" s="33">
        <f>IF(OR($Y775="",$D$6=""),"",IF(INDEX($A:$U,ROW(),$D$6)="",0,IF(ISNUMBER(INDEX($A:$U,ROW(),$D$6)),INDEX($A:$U,ROW(),$D$6),IFERROR(--SUBSTITUTE(SUBSTITUTE(TRIM(INDEX($A:$U,ROW(),$D$6)),",",""),"원",""),0))))</f>
        <v/>
      </c>
      <c r="AA775" s="31">
        <f>IF($Y775="","",TRIM(INDEX($A:$U,ROW(),$E$6)&amp;IF($F$6="",""," "&amp;INDEX($A:$U,ROW(),$F$6))))</f>
        <v/>
      </c>
      <c r="AB775" s="31">
        <f>IF($AA775="","",SUBSTITUTE(SUBSTITUTE(SUBSTITUTE(SUBSTITUTE(SUBSTITUTE(SUBSTITUTE(SUBSTITUTE(SUBSTITUTE(SUBSTITUTE($AA775," ",""),"　",""),"(주)",""),"（주）",""),"㈜",""),"주식회사",""),"(유)",""),"（유）",""),"유한회사",""))</f>
        <v/>
      </c>
      <c r="AC775" s="31">
        <f>IF(OR($Y775="",N($Z775)&lt;=0,$AB775=""),0,IFERROR(LOOKUP(2,1/((거래처별!$AC$8:$AC$307&lt;&gt;"")*ISNUMBER(SEARCH(거래처별!$AC$8:$AC$307,$AB775))),거래처별!$A$8:$A$307),IFERROR(LOOKUP(2,1/((거래처별!$AD$8:$AD$307&lt;&gt;"")*ISNUMBER(SEARCH(거래처별!$AD$8:$AD$307,$AB775))),거래처별!$A$8:$A$307),IFERROR(LOOKUP(2,1/((거래처별!$AE$8:$AE$307&lt;&gt;"")*ISNUMBER(SEARCH(거래처별!$AE$8:$AE$307,$AB775))),거래처별!$A$8:$A$307),0))))</f>
        <v/>
      </c>
      <c r="AD775" s="31">
        <f>IF(AND($Y775&lt;&gt;"",N($Z775)&gt;0,$AC775=0),MAX($AD$7:$AD774)+1,"")</f>
        <v/>
      </c>
      <c r="AE775" s="31">
        <f>IF($Y775="",0,$Y775)</f>
        <v/>
      </c>
    </row>
    <row r="776">
      <c r="W776" s="31">
        <f>IF(OR($B$5="",$C$6="",ROW()&lt;$B$5),"",IF(INDEX($A:$U,ROW(),$C$6)="","",INDEX($A:$U,ROW(),$C$6)))</f>
        <v/>
      </c>
      <c r="X776" s="32">
        <f>IF($W776="","",IF(ISNUMBER($W776),IF($W776&gt;=10000000,IFERROR(DATE(INT($W776/10000),MOD(INT($W776/100),100),MOD($W776,100)),""),INT($W776)),IFERROR(DATE(--LEFT(LEFT(SUBSTITUTE(SUBSTITUTE(SUBSTITUTE(SUBSTITUTE(TRIM($W776),"-",""),".",""),"/","")," ",""),8),4),--MID(LEFT(SUBSTITUTE(SUBSTITUTE(SUBSTITUTE(SUBSTITUTE(TRIM($W776),"-",""),".",""),"/","")," ",""),8),5,2),--MID(LEFT(SUBSTITUTE(SUBSTITUTE(SUBSTITUTE(SUBSTITUTE(TRIM($W776),"-",""),".",""),"/","")," ",""),8),7,2)),"")))</f>
        <v/>
      </c>
      <c r="Y776" s="32">
        <f>IF($X776="","",INT($X776))</f>
        <v/>
      </c>
      <c r="Z776" s="33">
        <f>IF(OR($Y776="",$D$6=""),"",IF(INDEX($A:$U,ROW(),$D$6)="",0,IF(ISNUMBER(INDEX($A:$U,ROW(),$D$6)),INDEX($A:$U,ROW(),$D$6),IFERROR(--SUBSTITUTE(SUBSTITUTE(TRIM(INDEX($A:$U,ROW(),$D$6)),",",""),"원",""),0))))</f>
        <v/>
      </c>
      <c r="AA776" s="31">
        <f>IF($Y776="","",TRIM(INDEX($A:$U,ROW(),$E$6)&amp;IF($F$6="",""," "&amp;INDEX($A:$U,ROW(),$F$6))))</f>
        <v/>
      </c>
      <c r="AB776" s="31">
        <f>IF($AA776="","",SUBSTITUTE(SUBSTITUTE(SUBSTITUTE(SUBSTITUTE(SUBSTITUTE(SUBSTITUTE(SUBSTITUTE(SUBSTITUTE(SUBSTITUTE($AA776," ",""),"　",""),"(주)",""),"（주）",""),"㈜",""),"주식회사",""),"(유)",""),"（유）",""),"유한회사",""))</f>
        <v/>
      </c>
      <c r="AC776" s="31">
        <f>IF(OR($Y776="",N($Z776)&lt;=0,$AB776=""),0,IFERROR(LOOKUP(2,1/((거래처별!$AC$8:$AC$307&lt;&gt;"")*ISNUMBER(SEARCH(거래처별!$AC$8:$AC$307,$AB776))),거래처별!$A$8:$A$307),IFERROR(LOOKUP(2,1/((거래처별!$AD$8:$AD$307&lt;&gt;"")*ISNUMBER(SEARCH(거래처별!$AD$8:$AD$307,$AB776))),거래처별!$A$8:$A$307),IFERROR(LOOKUP(2,1/((거래처별!$AE$8:$AE$307&lt;&gt;"")*ISNUMBER(SEARCH(거래처별!$AE$8:$AE$307,$AB776))),거래처별!$A$8:$A$307),0))))</f>
        <v/>
      </c>
      <c r="AD776" s="31">
        <f>IF(AND($Y776&lt;&gt;"",N($Z776)&gt;0,$AC776=0),MAX($AD$7:$AD775)+1,"")</f>
        <v/>
      </c>
      <c r="AE776" s="31">
        <f>IF($Y776="",0,$Y776)</f>
        <v/>
      </c>
    </row>
    <row r="777">
      <c r="W777" s="31">
        <f>IF(OR($B$5="",$C$6="",ROW()&lt;$B$5),"",IF(INDEX($A:$U,ROW(),$C$6)="","",INDEX($A:$U,ROW(),$C$6)))</f>
        <v/>
      </c>
      <c r="X777" s="32">
        <f>IF($W777="","",IF(ISNUMBER($W777),IF($W777&gt;=10000000,IFERROR(DATE(INT($W777/10000),MOD(INT($W777/100),100),MOD($W777,100)),""),INT($W777)),IFERROR(DATE(--LEFT(LEFT(SUBSTITUTE(SUBSTITUTE(SUBSTITUTE(SUBSTITUTE(TRIM($W777),"-",""),".",""),"/","")," ",""),8),4),--MID(LEFT(SUBSTITUTE(SUBSTITUTE(SUBSTITUTE(SUBSTITUTE(TRIM($W777),"-",""),".",""),"/","")," ",""),8),5,2),--MID(LEFT(SUBSTITUTE(SUBSTITUTE(SUBSTITUTE(SUBSTITUTE(TRIM($W777),"-",""),".",""),"/","")," ",""),8),7,2)),"")))</f>
        <v/>
      </c>
      <c r="Y777" s="32">
        <f>IF($X777="","",INT($X777))</f>
        <v/>
      </c>
      <c r="Z777" s="33">
        <f>IF(OR($Y777="",$D$6=""),"",IF(INDEX($A:$U,ROW(),$D$6)="",0,IF(ISNUMBER(INDEX($A:$U,ROW(),$D$6)),INDEX($A:$U,ROW(),$D$6),IFERROR(--SUBSTITUTE(SUBSTITUTE(TRIM(INDEX($A:$U,ROW(),$D$6)),",",""),"원",""),0))))</f>
        <v/>
      </c>
      <c r="AA777" s="31">
        <f>IF($Y777="","",TRIM(INDEX($A:$U,ROW(),$E$6)&amp;IF($F$6="",""," "&amp;INDEX($A:$U,ROW(),$F$6))))</f>
        <v/>
      </c>
      <c r="AB777" s="31">
        <f>IF($AA777="","",SUBSTITUTE(SUBSTITUTE(SUBSTITUTE(SUBSTITUTE(SUBSTITUTE(SUBSTITUTE(SUBSTITUTE(SUBSTITUTE(SUBSTITUTE($AA777," ",""),"　",""),"(주)",""),"（주）",""),"㈜",""),"주식회사",""),"(유)",""),"（유）",""),"유한회사",""))</f>
        <v/>
      </c>
      <c r="AC777" s="31">
        <f>IF(OR($Y777="",N($Z777)&lt;=0,$AB777=""),0,IFERROR(LOOKUP(2,1/((거래처별!$AC$8:$AC$307&lt;&gt;"")*ISNUMBER(SEARCH(거래처별!$AC$8:$AC$307,$AB777))),거래처별!$A$8:$A$307),IFERROR(LOOKUP(2,1/((거래처별!$AD$8:$AD$307&lt;&gt;"")*ISNUMBER(SEARCH(거래처별!$AD$8:$AD$307,$AB777))),거래처별!$A$8:$A$307),IFERROR(LOOKUP(2,1/((거래처별!$AE$8:$AE$307&lt;&gt;"")*ISNUMBER(SEARCH(거래처별!$AE$8:$AE$307,$AB777))),거래처별!$A$8:$A$307),0))))</f>
        <v/>
      </c>
      <c r="AD777" s="31">
        <f>IF(AND($Y777&lt;&gt;"",N($Z777)&gt;0,$AC777=0),MAX($AD$7:$AD776)+1,"")</f>
        <v/>
      </c>
      <c r="AE777" s="31">
        <f>IF($Y777="",0,$Y777)</f>
        <v/>
      </c>
    </row>
    <row r="778">
      <c r="W778" s="31">
        <f>IF(OR($B$5="",$C$6="",ROW()&lt;$B$5),"",IF(INDEX($A:$U,ROW(),$C$6)="","",INDEX($A:$U,ROW(),$C$6)))</f>
        <v/>
      </c>
      <c r="X778" s="32">
        <f>IF($W778="","",IF(ISNUMBER($W778),IF($W778&gt;=10000000,IFERROR(DATE(INT($W778/10000),MOD(INT($W778/100),100),MOD($W778,100)),""),INT($W778)),IFERROR(DATE(--LEFT(LEFT(SUBSTITUTE(SUBSTITUTE(SUBSTITUTE(SUBSTITUTE(TRIM($W778),"-",""),".",""),"/","")," ",""),8),4),--MID(LEFT(SUBSTITUTE(SUBSTITUTE(SUBSTITUTE(SUBSTITUTE(TRIM($W778),"-",""),".",""),"/","")," ",""),8),5,2),--MID(LEFT(SUBSTITUTE(SUBSTITUTE(SUBSTITUTE(SUBSTITUTE(TRIM($W778),"-",""),".",""),"/","")," ",""),8),7,2)),"")))</f>
        <v/>
      </c>
      <c r="Y778" s="32">
        <f>IF($X778="","",INT($X778))</f>
        <v/>
      </c>
      <c r="Z778" s="33">
        <f>IF(OR($Y778="",$D$6=""),"",IF(INDEX($A:$U,ROW(),$D$6)="",0,IF(ISNUMBER(INDEX($A:$U,ROW(),$D$6)),INDEX($A:$U,ROW(),$D$6),IFERROR(--SUBSTITUTE(SUBSTITUTE(TRIM(INDEX($A:$U,ROW(),$D$6)),",",""),"원",""),0))))</f>
        <v/>
      </c>
      <c r="AA778" s="31">
        <f>IF($Y778="","",TRIM(INDEX($A:$U,ROW(),$E$6)&amp;IF($F$6="",""," "&amp;INDEX($A:$U,ROW(),$F$6))))</f>
        <v/>
      </c>
      <c r="AB778" s="31">
        <f>IF($AA778="","",SUBSTITUTE(SUBSTITUTE(SUBSTITUTE(SUBSTITUTE(SUBSTITUTE(SUBSTITUTE(SUBSTITUTE(SUBSTITUTE(SUBSTITUTE($AA778," ",""),"　",""),"(주)",""),"（주）",""),"㈜",""),"주식회사",""),"(유)",""),"（유）",""),"유한회사",""))</f>
        <v/>
      </c>
      <c r="AC778" s="31">
        <f>IF(OR($Y778="",N($Z778)&lt;=0,$AB778=""),0,IFERROR(LOOKUP(2,1/((거래처별!$AC$8:$AC$307&lt;&gt;"")*ISNUMBER(SEARCH(거래처별!$AC$8:$AC$307,$AB778))),거래처별!$A$8:$A$307),IFERROR(LOOKUP(2,1/((거래처별!$AD$8:$AD$307&lt;&gt;"")*ISNUMBER(SEARCH(거래처별!$AD$8:$AD$307,$AB778))),거래처별!$A$8:$A$307),IFERROR(LOOKUP(2,1/((거래처별!$AE$8:$AE$307&lt;&gt;"")*ISNUMBER(SEARCH(거래처별!$AE$8:$AE$307,$AB778))),거래처별!$A$8:$A$307),0))))</f>
        <v/>
      </c>
      <c r="AD778" s="31">
        <f>IF(AND($Y778&lt;&gt;"",N($Z778)&gt;0,$AC778=0),MAX($AD$7:$AD777)+1,"")</f>
        <v/>
      </c>
      <c r="AE778" s="31">
        <f>IF($Y778="",0,$Y778)</f>
        <v/>
      </c>
    </row>
    <row r="779">
      <c r="W779" s="31">
        <f>IF(OR($B$5="",$C$6="",ROW()&lt;$B$5),"",IF(INDEX($A:$U,ROW(),$C$6)="","",INDEX($A:$U,ROW(),$C$6)))</f>
        <v/>
      </c>
      <c r="X779" s="32">
        <f>IF($W779="","",IF(ISNUMBER($W779),IF($W779&gt;=10000000,IFERROR(DATE(INT($W779/10000),MOD(INT($W779/100),100),MOD($W779,100)),""),INT($W779)),IFERROR(DATE(--LEFT(LEFT(SUBSTITUTE(SUBSTITUTE(SUBSTITUTE(SUBSTITUTE(TRIM($W779),"-",""),".",""),"/","")," ",""),8),4),--MID(LEFT(SUBSTITUTE(SUBSTITUTE(SUBSTITUTE(SUBSTITUTE(TRIM($W779),"-",""),".",""),"/","")," ",""),8),5,2),--MID(LEFT(SUBSTITUTE(SUBSTITUTE(SUBSTITUTE(SUBSTITUTE(TRIM($W779),"-",""),".",""),"/","")," ",""),8),7,2)),"")))</f>
        <v/>
      </c>
      <c r="Y779" s="32">
        <f>IF($X779="","",INT($X779))</f>
        <v/>
      </c>
      <c r="Z779" s="33">
        <f>IF(OR($Y779="",$D$6=""),"",IF(INDEX($A:$U,ROW(),$D$6)="",0,IF(ISNUMBER(INDEX($A:$U,ROW(),$D$6)),INDEX($A:$U,ROW(),$D$6),IFERROR(--SUBSTITUTE(SUBSTITUTE(TRIM(INDEX($A:$U,ROW(),$D$6)),",",""),"원",""),0))))</f>
        <v/>
      </c>
      <c r="AA779" s="31">
        <f>IF($Y779="","",TRIM(INDEX($A:$U,ROW(),$E$6)&amp;IF($F$6="",""," "&amp;INDEX($A:$U,ROW(),$F$6))))</f>
        <v/>
      </c>
      <c r="AB779" s="31">
        <f>IF($AA779="","",SUBSTITUTE(SUBSTITUTE(SUBSTITUTE(SUBSTITUTE(SUBSTITUTE(SUBSTITUTE(SUBSTITUTE(SUBSTITUTE(SUBSTITUTE($AA779," ",""),"　",""),"(주)",""),"（주）",""),"㈜",""),"주식회사",""),"(유)",""),"（유）",""),"유한회사",""))</f>
        <v/>
      </c>
      <c r="AC779" s="31">
        <f>IF(OR($Y779="",N($Z779)&lt;=0,$AB779=""),0,IFERROR(LOOKUP(2,1/((거래처별!$AC$8:$AC$307&lt;&gt;"")*ISNUMBER(SEARCH(거래처별!$AC$8:$AC$307,$AB779))),거래처별!$A$8:$A$307),IFERROR(LOOKUP(2,1/((거래처별!$AD$8:$AD$307&lt;&gt;"")*ISNUMBER(SEARCH(거래처별!$AD$8:$AD$307,$AB779))),거래처별!$A$8:$A$307),IFERROR(LOOKUP(2,1/((거래처별!$AE$8:$AE$307&lt;&gt;"")*ISNUMBER(SEARCH(거래처별!$AE$8:$AE$307,$AB779))),거래처별!$A$8:$A$307),0))))</f>
        <v/>
      </c>
      <c r="AD779" s="31">
        <f>IF(AND($Y779&lt;&gt;"",N($Z779)&gt;0,$AC779=0),MAX($AD$7:$AD778)+1,"")</f>
        <v/>
      </c>
      <c r="AE779" s="31">
        <f>IF($Y779="",0,$Y779)</f>
        <v/>
      </c>
    </row>
    <row r="780">
      <c r="W780" s="31">
        <f>IF(OR($B$5="",$C$6="",ROW()&lt;$B$5),"",IF(INDEX($A:$U,ROW(),$C$6)="","",INDEX($A:$U,ROW(),$C$6)))</f>
        <v/>
      </c>
      <c r="X780" s="32">
        <f>IF($W780="","",IF(ISNUMBER($W780),IF($W780&gt;=10000000,IFERROR(DATE(INT($W780/10000),MOD(INT($W780/100),100),MOD($W780,100)),""),INT($W780)),IFERROR(DATE(--LEFT(LEFT(SUBSTITUTE(SUBSTITUTE(SUBSTITUTE(SUBSTITUTE(TRIM($W780),"-",""),".",""),"/","")," ",""),8),4),--MID(LEFT(SUBSTITUTE(SUBSTITUTE(SUBSTITUTE(SUBSTITUTE(TRIM($W780),"-",""),".",""),"/","")," ",""),8),5,2),--MID(LEFT(SUBSTITUTE(SUBSTITUTE(SUBSTITUTE(SUBSTITUTE(TRIM($W780),"-",""),".",""),"/","")," ",""),8),7,2)),"")))</f>
        <v/>
      </c>
      <c r="Y780" s="32">
        <f>IF($X780="","",INT($X780))</f>
        <v/>
      </c>
      <c r="Z780" s="33">
        <f>IF(OR($Y780="",$D$6=""),"",IF(INDEX($A:$U,ROW(),$D$6)="",0,IF(ISNUMBER(INDEX($A:$U,ROW(),$D$6)),INDEX($A:$U,ROW(),$D$6),IFERROR(--SUBSTITUTE(SUBSTITUTE(TRIM(INDEX($A:$U,ROW(),$D$6)),",",""),"원",""),0))))</f>
        <v/>
      </c>
      <c r="AA780" s="31">
        <f>IF($Y780="","",TRIM(INDEX($A:$U,ROW(),$E$6)&amp;IF($F$6="",""," "&amp;INDEX($A:$U,ROW(),$F$6))))</f>
        <v/>
      </c>
      <c r="AB780" s="31">
        <f>IF($AA780="","",SUBSTITUTE(SUBSTITUTE(SUBSTITUTE(SUBSTITUTE(SUBSTITUTE(SUBSTITUTE(SUBSTITUTE(SUBSTITUTE(SUBSTITUTE($AA780," ",""),"　",""),"(주)",""),"（주）",""),"㈜",""),"주식회사",""),"(유)",""),"（유）",""),"유한회사",""))</f>
        <v/>
      </c>
      <c r="AC780" s="31">
        <f>IF(OR($Y780="",N($Z780)&lt;=0,$AB780=""),0,IFERROR(LOOKUP(2,1/((거래처별!$AC$8:$AC$307&lt;&gt;"")*ISNUMBER(SEARCH(거래처별!$AC$8:$AC$307,$AB780))),거래처별!$A$8:$A$307),IFERROR(LOOKUP(2,1/((거래처별!$AD$8:$AD$307&lt;&gt;"")*ISNUMBER(SEARCH(거래처별!$AD$8:$AD$307,$AB780))),거래처별!$A$8:$A$307),IFERROR(LOOKUP(2,1/((거래처별!$AE$8:$AE$307&lt;&gt;"")*ISNUMBER(SEARCH(거래처별!$AE$8:$AE$307,$AB780))),거래처별!$A$8:$A$307),0))))</f>
        <v/>
      </c>
      <c r="AD780" s="31">
        <f>IF(AND($Y780&lt;&gt;"",N($Z780)&gt;0,$AC780=0),MAX($AD$7:$AD779)+1,"")</f>
        <v/>
      </c>
      <c r="AE780" s="31">
        <f>IF($Y780="",0,$Y780)</f>
        <v/>
      </c>
    </row>
    <row r="781">
      <c r="W781" s="31">
        <f>IF(OR($B$5="",$C$6="",ROW()&lt;$B$5),"",IF(INDEX($A:$U,ROW(),$C$6)="","",INDEX($A:$U,ROW(),$C$6)))</f>
        <v/>
      </c>
      <c r="X781" s="32">
        <f>IF($W781="","",IF(ISNUMBER($W781),IF($W781&gt;=10000000,IFERROR(DATE(INT($W781/10000),MOD(INT($W781/100),100),MOD($W781,100)),""),INT($W781)),IFERROR(DATE(--LEFT(LEFT(SUBSTITUTE(SUBSTITUTE(SUBSTITUTE(SUBSTITUTE(TRIM($W781),"-",""),".",""),"/","")," ",""),8),4),--MID(LEFT(SUBSTITUTE(SUBSTITUTE(SUBSTITUTE(SUBSTITUTE(TRIM($W781),"-",""),".",""),"/","")," ",""),8),5,2),--MID(LEFT(SUBSTITUTE(SUBSTITUTE(SUBSTITUTE(SUBSTITUTE(TRIM($W781),"-",""),".",""),"/","")," ",""),8),7,2)),"")))</f>
        <v/>
      </c>
      <c r="Y781" s="32">
        <f>IF($X781="","",INT($X781))</f>
        <v/>
      </c>
      <c r="Z781" s="33">
        <f>IF(OR($Y781="",$D$6=""),"",IF(INDEX($A:$U,ROW(),$D$6)="",0,IF(ISNUMBER(INDEX($A:$U,ROW(),$D$6)),INDEX($A:$U,ROW(),$D$6),IFERROR(--SUBSTITUTE(SUBSTITUTE(TRIM(INDEX($A:$U,ROW(),$D$6)),",",""),"원",""),0))))</f>
        <v/>
      </c>
      <c r="AA781" s="31">
        <f>IF($Y781="","",TRIM(INDEX($A:$U,ROW(),$E$6)&amp;IF($F$6="",""," "&amp;INDEX($A:$U,ROW(),$F$6))))</f>
        <v/>
      </c>
      <c r="AB781" s="31">
        <f>IF($AA781="","",SUBSTITUTE(SUBSTITUTE(SUBSTITUTE(SUBSTITUTE(SUBSTITUTE(SUBSTITUTE(SUBSTITUTE(SUBSTITUTE(SUBSTITUTE($AA781," ",""),"　",""),"(주)",""),"（주）",""),"㈜",""),"주식회사",""),"(유)",""),"（유）",""),"유한회사",""))</f>
        <v/>
      </c>
      <c r="AC781" s="31">
        <f>IF(OR($Y781="",N($Z781)&lt;=0,$AB781=""),0,IFERROR(LOOKUP(2,1/((거래처별!$AC$8:$AC$307&lt;&gt;"")*ISNUMBER(SEARCH(거래처별!$AC$8:$AC$307,$AB781))),거래처별!$A$8:$A$307),IFERROR(LOOKUP(2,1/((거래처별!$AD$8:$AD$307&lt;&gt;"")*ISNUMBER(SEARCH(거래처별!$AD$8:$AD$307,$AB781))),거래처별!$A$8:$A$307),IFERROR(LOOKUP(2,1/((거래처별!$AE$8:$AE$307&lt;&gt;"")*ISNUMBER(SEARCH(거래처별!$AE$8:$AE$307,$AB781))),거래처별!$A$8:$A$307),0))))</f>
        <v/>
      </c>
      <c r="AD781" s="31">
        <f>IF(AND($Y781&lt;&gt;"",N($Z781)&gt;0,$AC781=0),MAX($AD$7:$AD780)+1,"")</f>
        <v/>
      </c>
      <c r="AE781" s="31">
        <f>IF($Y781="",0,$Y781)</f>
        <v/>
      </c>
    </row>
    <row r="782">
      <c r="W782" s="31">
        <f>IF(OR($B$5="",$C$6="",ROW()&lt;$B$5),"",IF(INDEX($A:$U,ROW(),$C$6)="","",INDEX($A:$U,ROW(),$C$6)))</f>
        <v/>
      </c>
      <c r="X782" s="32">
        <f>IF($W782="","",IF(ISNUMBER($W782),IF($W782&gt;=10000000,IFERROR(DATE(INT($W782/10000),MOD(INT($W782/100),100),MOD($W782,100)),""),INT($W782)),IFERROR(DATE(--LEFT(LEFT(SUBSTITUTE(SUBSTITUTE(SUBSTITUTE(SUBSTITUTE(TRIM($W782),"-",""),".",""),"/","")," ",""),8),4),--MID(LEFT(SUBSTITUTE(SUBSTITUTE(SUBSTITUTE(SUBSTITUTE(TRIM($W782),"-",""),".",""),"/","")," ",""),8),5,2),--MID(LEFT(SUBSTITUTE(SUBSTITUTE(SUBSTITUTE(SUBSTITUTE(TRIM($W782),"-",""),".",""),"/","")," ",""),8),7,2)),"")))</f>
        <v/>
      </c>
      <c r="Y782" s="32">
        <f>IF($X782="","",INT($X782))</f>
        <v/>
      </c>
      <c r="Z782" s="33">
        <f>IF(OR($Y782="",$D$6=""),"",IF(INDEX($A:$U,ROW(),$D$6)="",0,IF(ISNUMBER(INDEX($A:$U,ROW(),$D$6)),INDEX($A:$U,ROW(),$D$6),IFERROR(--SUBSTITUTE(SUBSTITUTE(TRIM(INDEX($A:$U,ROW(),$D$6)),",",""),"원",""),0))))</f>
        <v/>
      </c>
      <c r="AA782" s="31">
        <f>IF($Y782="","",TRIM(INDEX($A:$U,ROW(),$E$6)&amp;IF($F$6="",""," "&amp;INDEX($A:$U,ROW(),$F$6))))</f>
        <v/>
      </c>
      <c r="AB782" s="31">
        <f>IF($AA782="","",SUBSTITUTE(SUBSTITUTE(SUBSTITUTE(SUBSTITUTE(SUBSTITUTE(SUBSTITUTE(SUBSTITUTE(SUBSTITUTE(SUBSTITUTE($AA782," ",""),"　",""),"(주)",""),"（주）",""),"㈜",""),"주식회사",""),"(유)",""),"（유）",""),"유한회사",""))</f>
        <v/>
      </c>
      <c r="AC782" s="31">
        <f>IF(OR($Y782="",N($Z782)&lt;=0,$AB782=""),0,IFERROR(LOOKUP(2,1/((거래처별!$AC$8:$AC$307&lt;&gt;"")*ISNUMBER(SEARCH(거래처별!$AC$8:$AC$307,$AB782))),거래처별!$A$8:$A$307),IFERROR(LOOKUP(2,1/((거래처별!$AD$8:$AD$307&lt;&gt;"")*ISNUMBER(SEARCH(거래처별!$AD$8:$AD$307,$AB782))),거래처별!$A$8:$A$307),IFERROR(LOOKUP(2,1/((거래처별!$AE$8:$AE$307&lt;&gt;"")*ISNUMBER(SEARCH(거래처별!$AE$8:$AE$307,$AB782))),거래처별!$A$8:$A$307),0))))</f>
        <v/>
      </c>
      <c r="AD782" s="31">
        <f>IF(AND($Y782&lt;&gt;"",N($Z782)&gt;0,$AC782=0),MAX($AD$7:$AD781)+1,"")</f>
        <v/>
      </c>
      <c r="AE782" s="31">
        <f>IF($Y782="",0,$Y782)</f>
        <v/>
      </c>
    </row>
    <row r="783">
      <c r="W783" s="31">
        <f>IF(OR($B$5="",$C$6="",ROW()&lt;$B$5),"",IF(INDEX($A:$U,ROW(),$C$6)="","",INDEX($A:$U,ROW(),$C$6)))</f>
        <v/>
      </c>
      <c r="X783" s="32">
        <f>IF($W783="","",IF(ISNUMBER($W783),IF($W783&gt;=10000000,IFERROR(DATE(INT($W783/10000),MOD(INT($W783/100),100),MOD($W783,100)),""),INT($W783)),IFERROR(DATE(--LEFT(LEFT(SUBSTITUTE(SUBSTITUTE(SUBSTITUTE(SUBSTITUTE(TRIM($W783),"-",""),".",""),"/","")," ",""),8),4),--MID(LEFT(SUBSTITUTE(SUBSTITUTE(SUBSTITUTE(SUBSTITUTE(TRIM($W783),"-",""),".",""),"/","")," ",""),8),5,2),--MID(LEFT(SUBSTITUTE(SUBSTITUTE(SUBSTITUTE(SUBSTITUTE(TRIM($W783),"-",""),".",""),"/","")," ",""),8),7,2)),"")))</f>
        <v/>
      </c>
      <c r="Y783" s="32">
        <f>IF($X783="","",INT($X783))</f>
        <v/>
      </c>
      <c r="Z783" s="33">
        <f>IF(OR($Y783="",$D$6=""),"",IF(INDEX($A:$U,ROW(),$D$6)="",0,IF(ISNUMBER(INDEX($A:$U,ROW(),$D$6)),INDEX($A:$U,ROW(),$D$6),IFERROR(--SUBSTITUTE(SUBSTITUTE(TRIM(INDEX($A:$U,ROW(),$D$6)),",",""),"원",""),0))))</f>
        <v/>
      </c>
      <c r="AA783" s="31">
        <f>IF($Y783="","",TRIM(INDEX($A:$U,ROW(),$E$6)&amp;IF($F$6="",""," "&amp;INDEX($A:$U,ROW(),$F$6))))</f>
        <v/>
      </c>
      <c r="AB783" s="31">
        <f>IF($AA783="","",SUBSTITUTE(SUBSTITUTE(SUBSTITUTE(SUBSTITUTE(SUBSTITUTE(SUBSTITUTE(SUBSTITUTE(SUBSTITUTE(SUBSTITUTE($AA783," ",""),"　",""),"(주)",""),"（주）",""),"㈜",""),"주식회사",""),"(유)",""),"（유）",""),"유한회사",""))</f>
        <v/>
      </c>
      <c r="AC783" s="31">
        <f>IF(OR($Y783="",N($Z783)&lt;=0,$AB783=""),0,IFERROR(LOOKUP(2,1/((거래처별!$AC$8:$AC$307&lt;&gt;"")*ISNUMBER(SEARCH(거래처별!$AC$8:$AC$307,$AB783))),거래처별!$A$8:$A$307),IFERROR(LOOKUP(2,1/((거래처별!$AD$8:$AD$307&lt;&gt;"")*ISNUMBER(SEARCH(거래처별!$AD$8:$AD$307,$AB783))),거래처별!$A$8:$A$307),IFERROR(LOOKUP(2,1/((거래처별!$AE$8:$AE$307&lt;&gt;"")*ISNUMBER(SEARCH(거래처별!$AE$8:$AE$307,$AB783))),거래처별!$A$8:$A$307),0))))</f>
        <v/>
      </c>
      <c r="AD783" s="31">
        <f>IF(AND($Y783&lt;&gt;"",N($Z783)&gt;0,$AC783=0),MAX($AD$7:$AD782)+1,"")</f>
        <v/>
      </c>
      <c r="AE783" s="31">
        <f>IF($Y783="",0,$Y783)</f>
        <v/>
      </c>
    </row>
    <row r="784">
      <c r="W784" s="31">
        <f>IF(OR($B$5="",$C$6="",ROW()&lt;$B$5),"",IF(INDEX($A:$U,ROW(),$C$6)="","",INDEX($A:$U,ROW(),$C$6)))</f>
        <v/>
      </c>
      <c r="X784" s="32">
        <f>IF($W784="","",IF(ISNUMBER($W784),IF($W784&gt;=10000000,IFERROR(DATE(INT($W784/10000),MOD(INT($W784/100),100),MOD($W784,100)),""),INT($W784)),IFERROR(DATE(--LEFT(LEFT(SUBSTITUTE(SUBSTITUTE(SUBSTITUTE(SUBSTITUTE(TRIM($W784),"-",""),".",""),"/","")," ",""),8),4),--MID(LEFT(SUBSTITUTE(SUBSTITUTE(SUBSTITUTE(SUBSTITUTE(TRIM($W784),"-",""),".",""),"/","")," ",""),8),5,2),--MID(LEFT(SUBSTITUTE(SUBSTITUTE(SUBSTITUTE(SUBSTITUTE(TRIM($W784),"-",""),".",""),"/","")," ",""),8),7,2)),"")))</f>
        <v/>
      </c>
      <c r="Y784" s="32">
        <f>IF($X784="","",INT($X784))</f>
        <v/>
      </c>
      <c r="Z784" s="33">
        <f>IF(OR($Y784="",$D$6=""),"",IF(INDEX($A:$U,ROW(),$D$6)="",0,IF(ISNUMBER(INDEX($A:$U,ROW(),$D$6)),INDEX($A:$U,ROW(),$D$6),IFERROR(--SUBSTITUTE(SUBSTITUTE(TRIM(INDEX($A:$U,ROW(),$D$6)),",",""),"원",""),0))))</f>
        <v/>
      </c>
      <c r="AA784" s="31">
        <f>IF($Y784="","",TRIM(INDEX($A:$U,ROW(),$E$6)&amp;IF($F$6="",""," "&amp;INDEX($A:$U,ROW(),$F$6))))</f>
        <v/>
      </c>
      <c r="AB784" s="31">
        <f>IF($AA784="","",SUBSTITUTE(SUBSTITUTE(SUBSTITUTE(SUBSTITUTE(SUBSTITUTE(SUBSTITUTE(SUBSTITUTE(SUBSTITUTE(SUBSTITUTE($AA784," ",""),"　",""),"(주)",""),"（주）",""),"㈜",""),"주식회사",""),"(유)",""),"（유）",""),"유한회사",""))</f>
        <v/>
      </c>
      <c r="AC784" s="31">
        <f>IF(OR($Y784="",N($Z784)&lt;=0,$AB784=""),0,IFERROR(LOOKUP(2,1/((거래처별!$AC$8:$AC$307&lt;&gt;"")*ISNUMBER(SEARCH(거래처별!$AC$8:$AC$307,$AB784))),거래처별!$A$8:$A$307),IFERROR(LOOKUP(2,1/((거래처별!$AD$8:$AD$307&lt;&gt;"")*ISNUMBER(SEARCH(거래처별!$AD$8:$AD$307,$AB784))),거래처별!$A$8:$A$307),IFERROR(LOOKUP(2,1/((거래처별!$AE$8:$AE$307&lt;&gt;"")*ISNUMBER(SEARCH(거래처별!$AE$8:$AE$307,$AB784))),거래처별!$A$8:$A$307),0))))</f>
        <v/>
      </c>
      <c r="AD784" s="31">
        <f>IF(AND($Y784&lt;&gt;"",N($Z784)&gt;0,$AC784=0),MAX($AD$7:$AD783)+1,"")</f>
        <v/>
      </c>
      <c r="AE784" s="31">
        <f>IF($Y784="",0,$Y784)</f>
        <v/>
      </c>
    </row>
    <row r="785">
      <c r="W785" s="31">
        <f>IF(OR($B$5="",$C$6="",ROW()&lt;$B$5),"",IF(INDEX($A:$U,ROW(),$C$6)="","",INDEX($A:$U,ROW(),$C$6)))</f>
        <v/>
      </c>
      <c r="X785" s="32">
        <f>IF($W785="","",IF(ISNUMBER($W785),IF($W785&gt;=10000000,IFERROR(DATE(INT($W785/10000),MOD(INT($W785/100),100),MOD($W785,100)),""),INT($W785)),IFERROR(DATE(--LEFT(LEFT(SUBSTITUTE(SUBSTITUTE(SUBSTITUTE(SUBSTITUTE(TRIM($W785),"-",""),".",""),"/","")," ",""),8),4),--MID(LEFT(SUBSTITUTE(SUBSTITUTE(SUBSTITUTE(SUBSTITUTE(TRIM($W785),"-",""),".",""),"/","")," ",""),8),5,2),--MID(LEFT(SUBSTITUTE(SUBSTITUTE(SUBSTITUTE(SUBSTITUTE(TRIM($W785),"-",""),".",""),"/","")," ",""),8),7,2)),"")))</f>
        <v/>
      </c>
      <c r="Y785" s="32">
        <f>IF($X785="","",INT($X785))</f>
        <v/>
      </c>
      <c r="Z785" s="33">
        <f>IF(OR($Y785="",$D$6=""),"",IF(INDEX($A:$U,ROW(),$D$6)="",0,IF(ISNUMBER(INDEX($A:$U,ROW(),$D$6)),INDEX($A:$U,ROW(),$D$6),IFERROR(--SUBSTITUTE(SUBSTITUTE(TRIM(INDEX($A:$U,ROW(),$D$6)),",",""),"원",""),0))))</f>
        <v/>
      </c>
      <c r="AA785" s="31">
        <f>IF($Y785="","",TRIM(INDEX($A:$U,ROW(),$E$6)&amp;IF($F$6="",""," "&amp;INDEX($A:$U,ROW(),$F$6))))</f>
        <v/>
      </c>
      <c r="AB785" s="31">
        <f>IF($AA785="","",SUBSTITUTE(SUBSTITUTE(SUBSTITUTE(SUBSTITUTE(SUBSTITUTE(SUBSTITUTE(SUBSTITUTE(SUBSTITUTE(SUBSTITUTE($AA785," ",""),"　",""),"(주)",""),"（주）",""),"㈜",""),"주식회사",""),"(유)",""),"（유）",""),"유한회사",""))</f>
        <v/>
      </c>
      <c r="AC785" s="31">
        <f>IF(OR($Y785="",N($Z785)&lt;=0,$AB785=""),0,IFERROR(LOOKUP(2,1/((거래처별!$AC$8:$AC$307&lt;&gt;"")*ISNUMBER(SEARCH(거래처별!$AC$8:$AC$307,$AB785))),거래처별!$A$8:$A$307),IFERROR(LOOKUP(2,1/((거래처별!$AD$8:$AD$307&lt;&gt;"")*ISNUMBER(SEARCH(거래처별!$AD$8:$AD$307,$AB785))),거래처별!$A$8:$A$307),IFERROR(LOOKUP(2,1/((거래처별!$AE$8:$AE$307&lt;&gt;"")*ISNUMBER(SEARCH(거래처별!$AE$8:$AE$307,$AB785))),거래처별!$A$8:$A$307),0))))</f>
        <v/>
      </c>
      <c r="AD785" s="31">
        <f>IF(AND($Y785&lt;&gt;"",N($Z785)&gt;0,$AC785=0),MAX($AD$7:$AD784)+1,"")</f>
        <v/>
      </c>
      <c r="AE785" s="31">
        <f>IF($Y785="",0,$Y785)</f>
        <v/>
      </c>
    </row>
    <row r="786">
      <c r="W786" s="31">
        <f>IF(OR($B$5="",$C$6="",ROW()&lt;$B$5),"",IF(INDEX($A:$U,ROW(),$C$6)="","",INDEX($A:$U,ROW(),$C$6)))</f>
        <v/>
      </c>
      <c r="X786" s="32">
        <f>IF($W786="","",IF(ISNUMBER($W786),IF($W786&gt;=10000000,IFERROR(DATE(INT($W786/10000),MOD(INT($W786/100),100),MOD($W786,100)),""),INT($W786)),IFERROR(DATE(--LEFT(LEFT(SUBSTITUTE(SUBSTITUTE(SUBSTITUTE(SUBSTITUTE(TRIM($W786),"-",""),".",""),"/","")," ",""),8),4),--MID(LEFT(SUBSTITUTE(SUBSTITUTE(SUBSTITUTE(SUBSTITUTE(TRIM($W786),"-",""),".",""),"/","")," ",""),8),5,2),--MID(LEFT(SUBSTITUTE(SUBSTITUTE(SUBSTITUTE(SUBSTITUTE(TRIM($W786),"-",""),".",""),"/","")," ",""),8),7,2)),"")))</f>
        <v/>
      </c>
      <c r="Y786" s="32">
        <f>IF($X786="","",INT($X786))</f>
        <v/>
      </c>
      <c r="Z786" s="33">
        <f>IF(OR($Y786="",$D$6=""),"",IF(INDEX($A:$U,ROW(),$D$6)="",0,IF(ISNUMBER(INDEX($A:$U,ROW(),$D$6)),INDEX($A:$U,ROW(),$D$6),IFERROR(--SUBSTITUTE(SUBSTITUTE(TRIM(INDEX($A:$U,ROW(),$D$6)),",",""),"원",""),0))))</f>
        <v/>
      </c>
      <c r="AA786" s="31">
        <f>IF($Y786="","",TRIM(INDEX($A:$U,ROW(),$E$6)&amp;IF($F$6="",""," "&amp;INDEX($A:$U,ROW(),$F$6))))</f>
        <v/>
      </c>
      <c r="AB786" s="31">
        <f>IF($AA786="","",SUBSTITUTE(SUBSTITUTE(SUBSTITUTE(SUBSTITUTE(SUBSTITUTE(SUBSTITUTE(SUBSTITUTE(SUBSTITUTE(SUBSTITUTE($AA786," ",""),"　",""),"(주)",""),"（주）",""),"㈜",""),"주식회사",""),"(유)",""),"（유）",""),"유한회사",""))</f>
        <v/>
      </c>
      <c r="AC786" s="31">
        <f>IF(OR($Y786="",N($Z786)&lt;=0,$AB786=""),0,IFERROR(LOOKUP(2,1/((거래처별!$AC$8:$AC$307&lt;&gt;"")*ISNUMBER(SEARCH(거래처별!$AC$8:$AC$307,$AB786))),거래처별!$A$8:$A$307),IFERROR(LOOKUP(2,1/((거래처별!$AD$8:$AD$307&lt;&gt;"")*ISNUMBER(SEARCH(거래처별!$AD$8:$AD$307,$AB786))),거래처별!$A$8:$A$307),IFERROR(LOOKUP(2,1/((거래처별!$AE$8:$AE$307&lt;&gt;"")*ISNUMBER(SEARCH(거래처별!$AE$8:$AE$307,$AB786))),거래처별!$A$8:$A$307),0))))</f>
        <v/>
      </c>
      <c r="AD786" s="31">
        <f>IF(AND($Y786&lt;&gt;"",N($Z786)&gt;0,$AC786=0),MAX($AD$7:$AD785)+1,"")</f>
        <v/>
      </c>
      <c r="AE786" s="31">
        <f>IF($Y786="",0,$Y786)</f>
        <v/>
      </c>
    </row>
    <row r="787">
      <c r="W787" s="31">
        <f>IF(OR($B$5="",$C$6="",ROW()&lt;$B$5),"",IF(INDEX($A:$U,ROW(),$C$6)="","",INDEX($A:$U,ROW(),$C$6)))</f>
        <v/>
      </c>
      <c r="X787" s="32">
        <f>IF($W787="","",IF(ISNUMBER($W787),IF($W787&gt;=10000000,IFERROR(DATE(INT($W787/10000),MOD(INT($W787/100),100),MOD($W787,100)),""),INT($W787)),IFERROR(DATE(--LEFT(LEFT(SUBSTITUTE(SUBSTITUTE(SUBSTITUTE(SUBSTITUTE(TRIM($W787),"-",""),".",""),"/","")," ",""),8),4),--MID(LEFT(SUBSTITUTE(SUBSTITUTE(SUBSTITUTE(SUBSTITUTE(TRIM($W787),"-",""),".",""),"/","")," ",""),8),5,2),--MID(LEFT(SUBSTITUTE(SUBSTITUTE(SUBSTITUTE(SUBSTITUTE(TRIM($W787),"-",""),".",""),"/","")," ",""),8),7,2)),"")))</f>
        <v/>
      </c>
      <c r="Y787" s="32">
        <f>IF($X787="","",INT($X787))</f>
        <v/>
      </c>
      <c r="Z787" s="33">
        <f>IF(OR($Y787="",$D$6=""),"",IF(INDEX($A:$U,ROW(),$D$6)="",0,IF(ISNUMBER(INDEX($A:$U,ROW(),$D$6)),INDEX($A:$U,ROW(),$D$6),IFERROR(--SUBSTITUTE(SUBSTITUTE(TRIM(INDEX($A:$U,ROW(),$D$6)),",",""),"원",""),0))))</f>
        <v/>
      </c>
      <c r="AA787" s="31">
        <f>IF($Y787="","",TRIM(INDEX($A:$U,ROW(),$E$6)&amp;IF($F$6="",""," "&amp;INDEX($A:$U,ROW(),$F$6))))</f>
        <v/>
      </c>
      <c r="AB787" s="31">
        <f>IF($AA787="","",SUBSTITUTE(SUBSTITUTE(SUBSTITUTE(SUBSTITUTE(SUBSTITUTE(SUBSTITUTE(SUBSTITUTE(SUBSTITUTE(SUBSTITUTE($AA787," ",""),"　",""),"(주)",""),"（주）",""),"㈜",""),"주식회사",""),"(유)",""),"（유）",""),"유한회사",""))</f>
        <v/>
      </c>
      <c r="AC787" s="31">
        <f>IF(OR($Y787="",N($Z787)&lt;=0,$AB787=""),0,IFERROR(LOOKUP(2,1/((거래처별!$AC$8:$AC$307&lt;&gt;"")*ISNUMBER(SEARCH(거래처별!$AC$8:$AC$307,$AB787))),거래처별!$A$8:$A$307),IFERROR(LOOKUP(2,1/((거래처별!$AD$8:$AD$307&lt;&gt;"")*ISNUMBER(SEARCH(거래처별!$AD$8:$AD$307,$AB787))),거래처별!$A$8:$A$307),IFERROR(LOOKUP(2,1/((거래처별!$AE$8:$AE$307&lt;&gt;"")*ISNUMBER(SEARCH(거래처별!$AE$8:$AE$307,$AB787))),거래처별!$A$8:$A$307),0))))</f>
        <v/>
      </c>
      <c r="AD787" s="31">
        <f>IF(AND($Y787&lt;&gt;"",N($Z787)&gt;0,$AC787=0),MAX($AD$7:$AD786)+1,"")</f>
        <v/>
      </c>
      <c r="AE787" s="31">
        <f>IF($Y787="",0,$Y787)</f>
        <v/>
      </c>
    </row>
    <row r="788">
      <c r="W788" s="31">
        <f>IF(OR($B$5="",$C$6="",ROW()&lt;$B$5),"",IF(INDEX($A:$U,ROW(),$C$6)="","",INDEX($A:$U,ROW(),$C$6)))</f>
        <v/>
      </c>
      <c r="X788" s="32">
        <f>IF($W788="","",IF(ISNUMBER($W788),IF($W788&gt;=10000000,IFERROR(DATE(INT($W788/10000),MOD(INT($W788/100),100),MOD($W788,100)),""),INT($W788)),IFERROR(DATE(--LEFT(LEFT(SUBSTITUTE(SUBSTITUTE(SUBSTITUTE(SUBSTITUTE(TRIM($W788),"-",""),".",""),"/","")," ",""),8),4),--MID(LEFT(SUBSTITUTE(SUBSTITUTE(SUBSTITUTE(SUBSTITUTE(TRIM($W788),"-",""),".",""),"/","")," ",""),8),5,2),--MID(LEFT(SUBSTITUTE(SUBSTITUTE(SUBSTITUTE(SUBSTITUTE(TRIM($W788),"-",""),".",""),"/","")," ",""),8),7,2)),"")))</f>
        <v/>
      </c>
      <c r="Y788" s="32">
        <f>IF($X788="","",INT($X788))</f>
        <v/>
      </c>
      <c r="Z788" s="33">
        <f>IF(OR($Y788="",$D$6=""),"",IF(INDEX($A:$U,ROW(),$D$6)="",0,IF(ISNUMBER(INDEX($A:$U,ROW(),$D$6)),INDEX($A:$U,ROW(),$D$6),IFERROR(--SUBSTITUTE(SUBSTITUTE(TRIM(INDEX($A:$U,ROW(),$D$6)),",",""),"원",""),0))))</f>
        <v/>
      </c>
      <c r="AA788" s="31">
        <f>IF($Y788="","",TRIM(INDEX($A:$U,ROW(),$E$6)&amp;IF($F$6="",""," "&amp;INDEX($A:$U,ROW(),$F$6))))</f>
        <v/>
      </c>
      <c r="AB788" s="31">
        <f>IF($AA788="","",SUBSTITUTE(SUBSTITUTE(SUBSTITUTE(SUBSTITUTE(SUBSTITUTE(SUBSTITUTE(SUBSTITUTE(SUBSTITUTE(SUBSTITUTE($AA788," ",""),"　",""),"(주)",""),"（주）",""),"㈜",""),"주식회사",""),"(유)",""),"（유）",""),"유한회사",""))</f>
        <v/>
      </c>
      <c r="AC788" s="31">
        <f>IF(OR($Y788="",N($Z788)&lt;=0,$AB788=""),0,IFERROR(LOOKUP(2,1/((거래처별!$AC$8:$AC$307&lt;&gt;"")*ISNUMBER(SEARCH(거래처별!$AC$8:$AC$307,$AB788))),거래처별!$A$8:$A$307),IFERROR(LOOKUP(2,1/((거래처별!$AD$8:$AD$307&lt;&gt;"")*ISNUMBER(SEARCH(거래처별!$AD$8:$AD$307,$AB788))),거래처별!$A$8:$A$307),IFERROR(LOOKUP(2,1/((거래처별!$AE$8:$AE$307&lt;&gt;"")*ISNUMBER(SEARCH(거래처별!$AE$8:$AE$307,$AB788))),거래처별!$A$8:$A$307),0))))</f>
        <v/>
      </c>
      <c r="AD788" s="31">
        <f>IF(AND($Y788&lt;&gt;"",N($Z788)&gt;0,$AC788=0),MAX($AD$7:$AD787)+1,"")</f>
        <v/>
      </c>
      <c r="AE788" s="31">
        <f>IF($Y788="",0,$Y788)</f>
        <v/>
      </c>
    </row>
    <row r="789">
      <c r="W789" s="31">
        <f>IF(OR($B$5="",$C$6="",ROW()&lt;$B$5),"",IF(INDEX($A:$U,ROW(),$C$6)="","",INDEX($A:$U,ROW(),$C$6)))</f>
        <v/>
      </c>
      <c r="X789" s="32">
        <f>IF($W789="","",IF(ISNUMBER($W789),IF($W789&gt;=10000000,IFERROR(DATE(INT($W789/10000),MOD(INT($W789/100),100),MOD($W789,100)),""),INT($W789)),IFERROR(DATE(--LEFT(LEFT(SUBSTITUTE(SUBSTITUTE(SUBSTITUTE(SUBSTITUTE(TRIM($W789),"-",""),".",""),"/","")," ",""),8),4),--MID(LEFT(SUBSTITUTE(SUBSTITUTE(SUBSTITUTE(SUBSTITUTE(TRIM($W789),"-",""),".",""),"/","")," ",""),8),5,2),--MID(LEFT(SUBSTITUTE(SUBSTITUTE(SUBSTITUTE(SUBSTITUTE(TRIM($W789),"-",""),".",""),"/","")," ",""),8),7,2)),"")))</f>
        <v/>
      </c>
      <c r="Y789" s="32">
        <f>IF($X789="","",INT($X789))</f>
        <v/>
      </c>
      <c r="Z789" s="33">
        <f>IF(OR($Y789="",$D$6=""),"",IF(INDEX($A:$U,ROW(),$D$6)="",0,IF(ISNUMBER(INDEX($A:$U,ROW(),$D$6)),INDEX($A:$U,ROW(),$D$6),IFERROR(--SUBSTITUTE(SUBSTITUTE(TRIM(INDEX($A:$U,ROW(),$D$6)),",",""),"원",""),0))))</f>
        <v/>
      </c>
      <c r="AA789" s="31">
        <f>IF($Y789="","",TRIM(INDEX($A:$U,ROW(),$E$6)&amp;IF($F$6="",""," "&amp;INDEX($A:$U,ROW(),$F$6))))</f>
        <v/>
      </c>
      <c r="AB789" s="31">
        <f>IF($AA789="","",SUBSTITUTE(SUBSTITUTE(SUBSTITUTE(SUBSTITUTE(SUBSTITUTE(SUBSTITUTE(SUBSTITUTE(SUBSTITUTE(SUBSTITUTE($AA789," ",""),"　",""),"(주)",""),"（주）",""),"㈜",""),"주식회사",""),"(유)",""),"（유）",""),"유한회사",""))</f>
        <v/>
      </c>
      <c r="AC789" s="31">
        <f>IF(OR($Y789="",N($Z789)&lt;=0,$AB789=""),0,IFERROR(LOOKUP(2,1/((거래처별!$AC$8:$AC$307&lt;&gt;"")*ISNUMBER(SEARCH(거래처별!$AC$8:$AC$307,$AB789))),거래처별!$A$8:$A$307),IFERROR(LOOKUP(2,1/((거래처별!$AD$8:$AD$307&lt;&gt;"")*ISNUMBER(SEARCH(거래처별!$AD$8:$AD$307,$AB789))),거래처별!$A$8:$A$307),IFERROR(LOOKUP(2,1/((거래처별!$AE$8:$AE$307&lt;&gt;"")*ISNUMBER(SEARCH(거래처별!$AE$8:$AE$307,$AB789))),거래처별!$A$8:$A$307),0))))</f>
        <v/>
      </c>
      <c r="AD789" s="31">
        <f>IF(AND($Y789&lt;&gt;"",N($Z789)&gt;0,$AC789=0),MAX($AD$7:$AD788)+1,"")</f>
        <v/>
      </c>
      <c r="AE789" s="31">
        <f>IF($Y789="",0,$Y789)</f>
        <v/>
      </c>
    </row>
    <row r="790">
      <c r="W790" s="31">
        <f>IF(OR($B$5="",$C$6="",ROW()&lt;$B$5),"",IF(INDEX($A:$U,ROW(),$C$6)="","",INDEX($A:$U,ROW(),$C$6)))</f>
        <v/>
      </c>
      <c r="X790" s="32">
        <f>IF($W790="","",IF(ISNUMBER($W790),IF($W790&gt;=10000000,IFERROR(DATE(INT($W790/10000),MOD(INT($W790/100),100),MOD($W790,100)),""),INT($W790)),IFERROR(DATE(--LEFT(LEFT(SUBSTITUTE(SUBSTITUTE(SUBSTITUTE(SUBSTITUTE(TRIM($W790),"-",""),".",""),"/","")," ",""),8),4),--MID(LEFT(SUBSTITUTE(SUBSTITUTE(SUBSTITUTE(SUBSTITUTE(TRIM($W790),"-",""),".",""),"/","")," ",""),8),5,2),--MID(LEFT(SUBSTITUTE(SUBSTITUTE(SUBSTITUTE(SUBSTITUTE(TRIM($W790),"-",""),".",""),"/","")," ",""),8),7,2)),"")))</f>
        <v/>
      </c>
      <c r="Y790" s="32">
        <f>IF($X790="","",INT($X790))</f>
        <v/>
      </c>
      <c r="Z790" s="33">
        <f>IF(OR($Y790="",$D$6=""),"",IF(INDEX($A:$U,ROW(),$D$6)="",0,IF(ISNUMBER(INDEX($A:$U,ROW(),$D$6)),INDEX($A:$U,ROW(),$D$6),IFERROR(--SUBSTITUTE(SUBSTITUTE(TRIM(INDEX($A:$U,ROW(),$D$6)),",",""),"원",""),0))))</f>
        <v/>
      </c>
      <c r="AA790" s="31">
        <f>IF($Y790="","",TRIM(INDEX($A:$U,ROW(),$E$6)&amp;IF($F$6="",""," "&amp;INDEX($A:$U,ROW(),$F$6))))</f>
        <v/>
      </c>
      <c r="AB790" s="31">
        <f>IF($AA790="","",SUBSTITUTE(SUBSTITUTE(SUBSTITUTE(SUBSTITUTE(SUBSTITUTE(SUBSTITUTE(SUBSTITUTE(SUBSTITUTE(SUBSTITUTE($AA790," ",""),"　",""),"(주)",""),"（주）",""),"㈜",""),"주식회사",""),"(유)",""),"（유）",""),"유한회사",""))</f>
        <v/>
      </c>
      <c r="AC790" s="31">
        <f>IF(OR($Y790="",N($Z790)&lt;=0,$AB790=""),0,IFERROR(LOOKUP(2,1/((거래처별!$AC$8:$AC$307&lt;&gt;"")*ISNUMBER(SEARCH(거래처별!$AC$8:$AC$307,$AB790))),거래처별!$A$8:$A$307),IFERROR(LOOKUP(2,1/((거래처별!$AD$8:$AD$307&lt;&gt;"")*ISNUMBER(SEARCH(거래처별!$AD$8:$AD$307,$AB790))),거래처별!$A$8:$A$307),IFERROR(LOOKUP(2,1/((거래처별!$AE$8:$AE$307&lt;&gt;"")*ISNUMBER(SEARCH(거래처별!$AE$8:$AE$307,$AB790))),거래처별!$A$8:$A$307),0))))</f>
        <v/>
      </c>
      <c r="AD790" s="31">
        <f>IF(AND($Y790&lt;&gt;"",N($Z790)&gt;0,$AC790=0),MAX($AD$7:$AD789)+1,"")</f>
        <v/>
      </c>
      <c r="AE790" s="31">
        <f>IF($Y790="",0,$Y790)</f>
        <v/>
      </c>
    </row>
    <row r="791">
      <c r="W791" s="31">
        <f>IF(OR($B$5="",$C$6="",ROW()&lt;$B$5),"",IF(INDEX($A:$U,ROW(),$C$6)="","",INDEX($A:$U,ROW(),$C$6)))</f>
        <v/>
      </c>
      <c r="X791" s="32">
        <f>IF($W791="","",IF(ISNUMBER($W791),IF($W791&gt;=10000000,IFERROR(DATE(INT($W791/10000),MOD(INT($W791/100),100),MOD($W791,100)),""),INT($W791)),IFERROR(DATE(--LEFT(LEFT(SUBSTITUTE(SUBSTITUTE(SUBSTITUTE(SUBSTITUTE(TRIM($W791),"-",""),".",""),"/","")," ",""),8),4),--MID(LEFT(SUBSTITUTE(SUBSTITUTE(SUBSTITUTE(SUBSTITUTE(TRIM($W791),"-",""),".",""),"/","")," ",""),8),5,2),--MID(LEFT(SUBSTITUTE(SUBSTITUTE(SUBSTITUTE(SUBSTITUTE(TRIM($W791),"-",""),".",""),"/","")," ",""),8),7,2)),"")))</f>
        <v/>
      </c>
      <c r="Y791" s="32">
        <f>IF($X791="","",INT($X791))</f>
        <v/>
      </c>
      <c r="Z791" s="33">
        <f>IF(OR($Y791="",$D$6=""),"",IF(INDEX($A:$U,ROW(),$D$6)="",0,IF(ISNUMBER(INDEX($A:$U,ROW(),$D$6)),INDEX($A:$U,ROW(),$D$6),IFERROR(--SUBSTITUTE(SUBSTITUTE(TRIM(INDEX($A:$U,ROW(),$D$6)),",",""),"원",""),0))))</f>
        <v/>
      </c>
      <c r="AA791" s="31">
        <f>IF($Y791="","",TRIM(INDEX($A:$U,ROW(),$E$6)&amp;IF($F$6="",""," "&amp;INDEX($A:$U,ROW(),$F$6))))</f>
        <v/>
      </c>
      <c r="AB791" s="31">
        <f>IF($AA791="","",SUBSTITUTE(SUBSTITUTE(SUBSTITUTE(SUBSTITUTE(SUBSTITUTE(SUBSTITUTE(SUBSTITUTE(SUBSTITUTE(SUBSTITUTE($AA791," ",""),"　",""),"(주)",""),"（주）",""),"㈜",""),"주식회사",""),"(유)",""),"（유）",""),"유한회사",""))</f>
        <v/>
      </c>
      <c r="AC791" s="31">
        <f>IF(OR($Y791="",N($Z791)&lt;=0,$AB791=""),0,IFERROR(LOOKUP(2,1/((거래처별!$AC$8:$AC$307&lt;&gt;"")*ISNUMBER(SEARCH(거래처별!$AC$8:$AC$307,$AB791))),거래처별!$A$8:$A$307),IFERROR(LOOKUP(2,1/((거래처별!$AD$8:$AD$307&lt;&gt;"")*ISNUMBER(SEARCH(거래처별!$AD$8:$AD$307,$AB791))),거래처별!$A$8:$A$307),IFERROR(LOOKUP(2,1/((거래처별!$AE$8:$AE$307&lt;&gt;"")*ISNUMBER(SEARCH(거래처별!$AE$8:$AE$307,$AB791))),거래처별!$A$8:$A$307),0))))</f>
        <v/>
      </c>
      <c r="AD791" s="31">
        <f>IF(AND($Y791&lt;&gt;"",N($Z791)&gt;0,$AC791=0),MAX($AD$7:$AD790)+1,"")</f>
        <v/>
      </c>
      <c r="AE791" s="31">
        <f>IF($Y791="",0,$Y791)</f>
        <v/>
      </c>
    </row>
    <row r="792">
      <c r="W792" s="31">
        <f>IF(OR($B$5="",$C$6="",ROW()&lt;$B$5),"",IF(INDEX($A:$U,ROW(),$C$6)="","",INDEX($A:$U,ROW(),$C$6)))</f>
        <v/>
      </c>
      <c r="X792" s="32">
        <f>IF($W792="","",IF(ISNUMBER($W792),IF($W792&gt;=10000000,IFERROR(DATE(INT($W792/10000),MOD(INT($W792/100),100),MOD($W792,100)),""),INT($W792)),IFERROR(DATE(--LEFT(LEFT(SUBSTITUTE(SUBSTITUTE(SUBSTITUTE(SUBSTITUTE(TRIM($W792),"-",""),".",""),"/","")," ",""),8),4),--MID(LEFT(SUBSTITUTE(SUBSTITUTE(SUBSTITUTE(SUBSTITUTE(TRIM($W792),"-",""),".",""),"/","")," ",""),8),5,2),--MID(LEFT(SUBSTITUTE(SUBSTITUTE(SUBSTITUTE(SUBSTITUTE(TRIM($W792),"-",""),".",""),"/","")," ",""),8),7,2)),"")))</f>
        <v/>
      </c>
      <c r="Y792" s="32">
        <f>IF($X792="","",INT($X792))</f>
        <v/>
      </c>
      <c r="Z792" s="33">
        <f>IF(OR($Y792="",$D$6=""),"",IF(INDEX($A:$U,ROW(),$D$6)="",0,IF(ISNUMBER(INDEX($A:$U,ROW(),$D$6)),INDEX($A:$U,ROW(),$D$6),IFERROR(--SUBSTITUTE(SUBSTITUTE(TRIM(INDEX($A:$U,ROW(),$D$6)),",",""),"원",""),0))))</f>
        <v/>
      </c>
      <c r="AA792" s="31">
        <f>IF($Y792="","",TRIM(INDEX($A:$U,ROW(),$E$6)&amp;IF($F$6="",""," "&amp;INDEX($A:$U,ROW(),$F$6))))</f>
        <v/>
      </c>
      <c r="AB792" s="31">
        <f>IF($AA792="","",SUBSTITUTE(SUBSTITUTE(SUBSTITUTE(SUBSTITUTE(SUBSTITUTE(SUBSTITUTE(SUBSTITUTE(SUBSTITUTE(SUBSTITUTE($AA792," ",""),"　",""),"(주)",""),"（주）",""),"㈜",""),"주식회사",""),"(유)",""),"（유）",""),"유한회사",""))</f>
        <v/>
      </c>
      <c r="AC792" s="31">
        <f>IF(OR($Y792="",N($Z792)&lt;=0,$AB792=""),0,IFERROR(LOOKUP(2,1/((거래처별!$AC$8:$AC$307&lt;&gt;"")*ISNUMBER(SEARCH(거래처별!$AC$8:$AC$307,$AB792))),거래처별!$A$8:$A$307),IFERROR(LOOKUP(2,1/((거래처별!$AD$8:$AD$307&lt;&gt;"")*ISNUMBER(SEARCH(거래처별!$AD$8:$AD$307,$AB792))),거래처별!$A$8:$A$307),IFERROR(LOOKUP(2,1/((거래처별!$AE$8:$AE$307&lt;&gt;"")*ISNUMBER(SEARCH(거래처별!$AE$8:$AE$307,$AB792))),거래처별!$A$8:$A$307),0))))</f>
        <v/>
      </c>
      <c r="AD792" s="31">
        <f>IF(AND($Y792&lt;&gt;"",N($Z792)&gt;0,$AC792=0),MAX($AD$7:$AD791)+1,"")</f>
        <v/>
      </c>
      <c r="AE792" s="31">
        <f>IF($Y792="",0,$Y792)</f>
        <v/>
      </c>
    </row>
    <row r="793">
      <c r="W793" s="31">
        <f>IF(OR($B$5="",$C$6="",ROW()&lt;$B$5),"",IF(INDEX($A:$U,ROW(),$C$6)="","",INDEX($A:$U,ROW(),$C$6)))</f>
        <v/>
      </c>
      <c r="X793" s="32">
        <f>IF($W793="","",IF(ISNUMBER($W793),IF($W793&gt;=10000000,IFERROR(DATE(INT($W793/10000),MOD(INT($W793/100),100),MOD($W793,100)),""),INT($W793)),IFERROR(DATE(--LEFT(LEFT(SUBSTITUTE(SUBSTITUTE(SUBSTITUTE(SUBSTITUTE(TRIM($W793),"-",""),".",""),"/","")," ",""),8),4),--MID(LEFT(SUBSTITUTE(SUBSTITUTE(SUBSTITUTE(SUBSTITUTE(TRIM($W793),"-",""),".",""),"/","")," ",""),8),5,2),--MID(LEFT(SUBSTITUTE(SUBSTITUTE(SUBSTITUTE(SUBSTITUTE(TRIM($W793),"-",""),".",""),"/","")," ",""),8),7,2)),"")))</f>
        <v/>
      </c>
      <c r="Y793" s="32">
        <f>IF($X793="","",INT($X793))</f>
        <v/>
      </c>
      <c r="Z793" s="33">
        <f>IF(OR($Y793="",$D$6=""),"",IF(INDEX($A:$U,ROW(),$D$6)="",0,IF(ISNUMBER(INDEX($A:$U,ROW(),$D$6)),INDEX($A:$U,ROW(),$D$6),IFERROR(--SUBSTITUTE(SUBSTITUTE(TRIM(INDEX($A:$U,ROW(),$D$6)),",",""),"원",""),0))))</f>
        <v/>
      </c>
      <c r="AA793" s="31">
        <f>IF($Y793="","",TRIM(INDEX($A:$U,ROW(),$E$6)&amp;IF($F$6="",""," "&amp;INDEX($A:$U,ROW(),$F$6))))</f>
        <v/>
      </c>
      <c r="AB793" s="31">
        <f>IF($AA793="","",SUBSTITUTE(SUBSTITUTE(SUBSTITUTE(SUBSTITUTE(SUBSTITUTE(SUBSTITUTE(SUBSTITUTE(SUBSTITUTE(SUBSTITUTE($AA793," ",""),"　",""),"(주)",""),"（주）",""),"㈜",""),"주식회사",""),"(유)",""),"（유）",""),"유한회사",""))</f>
        <v/>
      </c>
      <c r="AC793" s="31">
        <f>IF(OR($Y793="",N($Z793)&lt;=0,$AB793=""),0,IFERROR(LOOKUP(2,1/((거래처별!$AC$8:$AC$307&lt;&gt;"")*ISNUMBER(SEARCH(거래처별!$AC$8:$AC$307,$AB793))),거래처별!$A$8:$A$307),IFERROR(LOOKUP(2,1/((거래처별!$AD$8:$AD$307&lt;&gt;"")*ISNUMBER(SEARCH(거래처별!$AD$8:$AD$307,$AB793))),거래처별!$A$8:$A$307),IFERROR(LOOKUP(2,1/((거래처별!$AE$8:$AE$307&lt;&gt;"")*ISNUMBER(SEARCH(거래처별!$AE$8:$AE$307,$AB793))),거래처별!$A$8:$A$307),0))))</f>
        <v/>
      </c>
      <c r="AD793" s="31">
        <f>IF(AND($Y793&lt;&gt;"",N($Z793)&gt;0,$AC793=0),MAX($AD$7:$AD792)+1,"")</f>
        <v/>
      </c>
      <c r="AE793" s="31">
        <f>IF($Y793="",0,$Y793)</f>
        <v/>
      </c>
    </row>
    <row r="794">
      <c r="W794" s="31">
        <f>IF(OR($B$5="",$C$6="",ROW()&lt;$B$5),"",IF(INDEX($A:$U,ROW(),$C$6)="","",INDEX($A:$U,ROW(),$C$6)))</f>
        <v/>
      </c>
      <c r="X794" s="32">
        <f>IF($W794="","",IF(ISNUMBER($W794),IF($W794&gt;=10000000,IFERROR(DATE(INT($W794/10000),MOD(INT($W794/100),100),MOD($W794,100)),""),INT($W794)),IFERROR(DATE(--LEFT(LEFT(SUBSTITUTE(SUBSTITUTE(SUBSTITUTE(SUBSTITUTE(TRIM($W794),"-",""),".",""),"/","")," ",""),8),4),--MID(LEFT(SUBSTITUTE(SUBSTITUTE(SUBSTITUTE(SUBSTITUTE(TRIM($W794),"-",""),".",""),"/","")," ",""),8),5,2),--MID(LEFT(SUBSTITUTE(SUBSTITUTE(SUBSTITUTE(SUBSTITUTE(TRIM($W794),"-",""),".",""),"/","")," ",""),8),7,2)),"")))</f>
        <v/>
      </c>
      <c r="Y794" s="32">
        <f>IF($X794="","",INT($X794))</f>
        <v/>
      </c>
      <c r="Z794" s="33">
        <f>IF(OR($Y794="",$D$6=""),"",IF(INDEX($A:$U,ROW(),$D$6)="",0,IF(ISNUMBER(INDEX($A:$U,ROW(),$D$6)),INDEX($A:$U,ROW(),$D$6),IFERROR(--SUBSTITUTE(SUBSTITUTE(TRIM(INDEX($A:$U,ROW(),$D$6)),",",""),"원",""),0))))</f>
        <v/>
      </c>
      <c r="AA794" s="31">
        <f>IF($Y794="","",TRIM(INDEX($A:$U,ROW(),$E$6)&amp;IF($F$6="",""," "&amp;INDEX($A:$U,ROW(),$F$6))))</f>
        <v/>
      </c>
      <c r="AB794" s="31">
        <f>IF($AA794="","",SUBSTITUTE(SUBSTITUTE(SUBSTITUTE(SUBSTITUTE(SUBSTITUTE(SUBSTITUTE(SUBSTITUTE(SUBSTITUTE(SUBSTITUTE($AA794," ",""),"　",""),"(주)",""),"（주）",""),"㈜",""),"주식회사",""),"(유)",""),"（유）",""),"유한회사",""))</f>
        <v/>
      </c>
      <c r="AC794" s="31">
        <f>IF(OR($Y794="",N($Z794)&lt;=0,$AB794=""),0,IFERROR(LOOKUP(2,1/((거래처별!$AC$8:$AC$307&lt;&gt;"")*ISNUMBER(SEARCH(거래처별!$AC$8:$AC$307,$AB794))),거래처별!$A$8:$A$307),IFERROR(LOOKUP(2,1/((거래처별!$AD$8:$AD$307&lt;&gt;"")*ISNUMBER(SEARCH(거래처별!$AD$8:$AD$307,$AB794))),거래처별!$A$8:$A$307),IFERROR(LOOKUP(2,1/((거래처별!$AE$8:$AE$307&lt;&gt;"")*ISNUMBER(SEARCH(거래처별!$AE$8:$AE$307,$AB794))),거래처별!$A$8:$A$307),0))))</f>
        <v/>
      </c>
      <c r="AD794" s="31">
        <f>IF(AND($Y794&lt;&gt;"",N($Z794)&gt;0,$AC794=0),MAX($AD$7:$AD793)+1,"")</f>
        <v/>
      </c>
      <c r="AE794" s="31">
        <f>IF($Y794="",0,$Y794)</f>
        <v/>
      </c>
    </row>
    <row r="795">
      <c r="W795" s="31">
        <f>IF(OR($B$5="",$C$6="",ROW()&lt;$B$5),"",IF(INDEX($A:$U,ROW(),$C$6)="","",INDEX($A:$U,ROW(),$C$6)))</f>
        <v/>
      </c>
      <c r="X795" s="32">
        <f>IF($W795="","",IF(ISNUMBER($W795),IF($W795&gt;=10000000,IFERROR(DATE(INT($W795/10000),MOD(INT($W795/100),100),MOD($W795,100)),""),INT($W795)),IFERROR(DATE(--LEFT(LEFT(SUBSTITUTE(SUBSTITUTE(SUBSTITUTE(SUBSTITUTE(TRIM($W795),"-",""),".",""),"/","")," ",""),8),4),--MID(LEFT(SUBSTITUTE(SUBSTITUTE(SUBSTITUTE(SUBSTITUTE(TRIM($W795),"-",""),".",""),"/","")," ",""),8),5,2),--MID(LEFT(SUBSTITUTE(SUBSTITUTE(SUBSTITUTE(SUBSTITUTE(TRIM($W795),"-",""),".",""),"/","")," ",""),8),7,2)),"")))</f>
        <v/>
      </c>
      <c r="Y795" s="32">
        <f>IF($X795="","",INT($X795))</f>
        <v/>
      </c>
      <c r="Z795" s="33">
        <f>IF(OR($Y795="",$D$6=""),"",IF(INDEX($A:$U,ROW(),$D$6)="",0,IF(ISNUMBER(INDEX($A:$U,ROW(),$D$6)),INDEX($A:$U,ROW(),$D$6),IFERROR(--SUBSTITUTE(SUBSTITUTE(TRIM(INDEX($A:$U,ROW(),$D$6)),",",""),"원",""),0))))</f>
        <v/>
      </c>
      <c r="AA795" s="31">
        <f>IF($Y795="","",TRIM(INDEX($A:$U,ROW(),$E$6)&amp;IF($F$6="",""," "&amp;INDEX($A:$U,ROW(),$F$6))))</f>
        <v/>
      </c>
      <c r="AB795" s="31">
        <f>IF($AA795="","",SUBSTITUTE(SUBSTITUTE(SUBSTITUTE(SUBSTITUTE(SUBSTITUTE(SUBSTITUTE(SUBSTITUTE(SUBSTITUTE(SUBSTITUTE($AA795," ",""),"　",""),"(주)",""),"（주）",""),"㈜",""),"주식회사",""),"(유)",""),"（유）",""),"유한회사",""))</f>
        <v/>
      </c>
      <c r="AC795" s="31">
        <f>IF(OR($Y795="",N($Z795)&lt;=0,$AB795=""),0,IFERROR(LOOKUP(2,1/((거래처별!$AC$8:$AC$307&lt;&gt;"")*ISNUMBER(SEARCH(거래처별!$AC$8:$AC$307,$AB795))),거래처별!$A$8:$A$307),IFERROR(LOOKUP(2,1/((거래처별!$AD$8:$AD$307&lt;&gt;"")*ISNUMBER(SEARCH(거래처별!$AD$8:$AD$307,$AB795))),거래처별!$A$8:$A$307),IFERROR(LOOKUP(2,1/((거래처별!$AE$8:$AE$307&lt;&gt;"")*ISNUMBER(SEARCH(거래처별!$AE$8:$AE$307,$AB795))),거래처별!$A$8:$A$307),0))))</f>
        <v/>
      </c>
      <c r="AD795" s="31">
        <f>IF(AND($Y795&lt;&gt;"",N($Z795)&gt;0,$AC795=0),MAX($AD$7:$AD794)+1,"")</f>
        <v/>
      </c>
      <c r="AE795" s="31">
        <f>IF($Y795="",0,$Y795)</f>
        <v/>
      </c>
    </row>
    <row r="796">
      <c r="W796" s="31">
        <f>IF(OR($B$5="",$C$6="",ROW()&lt;$B$5),"",IF(INDEX($A:$U,ROW(),$C$6)="","",INDEX($A:$U,ROW(),$C$6)))</f>
        <v/>
      </c>
      <c r="X796" s="32">
        <f>IF($W796="","",IF(ISNUMBER($W796),IF($W796&gt;=10000000,IFERROR(DATE(INT($W796/10000),MOD(INT($W796/100),100),MOD($W796,100)),""),INT($W796)),IFERROR(DATE(--LEFT(LEFT(SUBSTITUTE(SUBSTITUTE(SUBSTITUTE(SUBSTITUTE(TRIM($W796),"-",""),".",""),"/","")," ",""),8),4),--MID(LEFT(SUBSTITUTE(SUBSTITUTE(SUBSTITUTE(SUBSTITUTE(TRIM($W796),"-",""),".",""),"/","")," ",""),8),5,2),--MID(LEFT(SUBSTITUTE(SUBSTITUTE(SUBSTITUTE(SUBSTITUTE(TRIM($W796),"-",""),".",""),"/","")," ",""),8),7,2)),"")))</f>
        <v/>
      </c>
      <c r="Y796" s="32">
        <f>IF($X796="","",INT($X796))</f>
        <v/>
      </c>
      <c r="Z796" s="33">
        <f>IF(OR($Y796="",$D$6=""),"",IF(INDEX($A:$U,ROW(),$D$6)="",0,IF(ISNUMBER(INDEX($A:$U,ROW(),$D$6)),INDEX($A:$U,ROW(),$D$6),IFERROR(--SUBSTITUTE(SUBSTITUTE(TRIM(INDEX($A:$U,ROW(),$D$6)),",",""),"원",""),0))))</f>
        <v/>
      </c>
      <c r="AA796" s="31">
        <f>IF($Y796="","",TRIM(INDEX($A:$U,ROW(),$E$6)&amp;IF($F$6="",""," "&amp;INDEX($A:$U,ROW(),$F$6))))</f>
        <v/>
      </c>
      <c r="AB796" s="31">
        <f>IF($AA796="","",SUBSTITUTE(SUBSTITUTE(SUBSTITUTE(SUBSTITUTE(SUBSTITUTE(SUBSTITUTE(SUBSTITUTE(SUBSTITUTE(SUBSTITUTE($AA796," ",""),"　",""),"(주)",""),"（주）",""),"㈜",""),"주식회사",""),"(유)",""),"（유）",""),"유한회사",""))</f>
        <v/>
      </c>
      <c r="AC796" s="31">
        <f>IF(OR($Y796="",N($Z796)&lt;=0,$AB796=""),0,IFERROR(LOOKUP(2,1/((거래처별!$AC$8:$AC$307&lt;&gt;"")*ISNUMBER(SEARCH(거래처별!$AC$8:$AC$307,$AB796))),거래처별!$A$8:$A$307),IFERROR(LOOKUP(2,1/((거래처별!$AD$8:$AD$307&lt;&gt;"")*ISNUMBER(SEARCH(거래처별!$AD$8:$AD$307,$AB796))),거래처별!$A$8:$A$307),IFERROR(LOOKUP(2,1/((거래처별!$AE$8:$AE$307&lt;&gt;"")*ISNUMBER(SEARCH(거래처별!$AE$8:$AE$307,$AB796))),거래처별!$A$8:$A$307),0))))</f>
        <v/>
      </c>
      <c r="AD796" s="31">
        <f>IF(AND($Y796&lt;&gt;"",N($Z796)&gt;0,$AC796=0),MAX($AD$7:$AD795)+1,"")</f>
        <v/>
      </c>
      <c r="AE796" s="31">
        <f>IF($Y796="",0,$Y796)</f>
        <v/>
      </c>
    </row>
    <row r="797">
      <c r="W797" s="31">
        <f>IF(OR($B$5="",$C$6="",ROW()&lt;$B$5),"",IF(INDEX($A:$U,ROW(),$C$6)="","",INDEX($A:$U,ROW(),$C$6)))</f>
        <v/>
      </c>
      <c r="X797" s="32">
        <f>IF($W797="","",IF(ISNUMBER($W797),IF($W797&gt;=10000000,IFERROR(DATE(INT($W797/10000),MOD(INT($W797/100),100),MOD($W797,100)),""),INT($W797)),IFERROR(DATE(--LEFT(LEFT(SUBSTITUTE(SUBSTITUTE(SUBSTITUTE(SUBSTITUTE(TRIM($W797),"-",""),".",""),"/","")," ",""),8),4),--MID(LEFT(SUBSTITUTE(SUBSTITUTE(SUBSTITUTE(SUBSTITUTE(TRIM($W797),"-",""),".",""),"/","")," ",""),8),5,2),--MID(LEFT(SUBSTITUTE(SUBSTITUTE(SUBSTITUTE(SUBSTITUTE(TRIM($W797),"-",""),".",""),"/","")," ",""),8),7,2)),"")))</f>
        <v/>
      </c>
      <c r="Y797" s="32">
        <f>IF($X797="","",INT($X797))</f>
        <v/>
      </c>
      <c r="Z797" s="33">
        <f>IF(OR($Y797="",$D$6=""),"",IF(INDEX($A:$U,ROW(),$D$6)="",0,IF(ISNUMBER(INDEX($A:$U,ROW(),$D$6)),INDEX($A:$U,ROW(),$D$6),IFERROR(--SUBSTITUTE(SUBSTITUTE(TRIM(INDEX($A:$U,ROW(),$D$6)),",",""),"원",""),0))))</f>
        <v/>
      </c>
      <c r="AA797" s="31">
        <f>IF($Y797="","",TRIM(INDEX($A:$U,ROW(),$E$6)&amp;IF($F$6="",""," "&amp;INDEX($A:$U,ROW(),$F$6))))</f>
        <v/>
      </c>
      <c r="AB797" s="31">
        <f>IF($AA797="","",SUBSTITUTE(SUBSTITUTE(SUBSTITUTE(SUBSTITUTE(SUBSTITUTE(SUBSTITUTE(SUBSTITUTE(SUBSTITUTE(SUBSTITUTE($AA797," ",""),"　",""),"(주)",""),"（주）",""),"㈜",""),"주식회사",""),"(유)",""),"（유）",""),"유한회사",""))</f>
        <v/>
      </c>
      <c r="AC797" s="31">
        <f>IF(OR($Y797="",N($Z797)&lt;=0,$AB797=""),0,IFERROR(LOOKUP(2,1/((거래처별!$AC$8:$AC$307&lt;&gt;"")*ISNUMBER(SEARCH(거래처별!$AC$8:$AC$307,$AB797))),거래처별!$A$8:$A$307),IFERROR(LOOKUP(2,1/((거래처별!$AD$8:$AD$307&lt;&gt;"")*ISNUMBER(SEARCH(거래처별!$AD$8:$AD$307,$AB797))),거래처별!$A$8:$A$307),IFERROR(LOOKUP(2,1/((거래처별!$AE$8:$AE$307&lt;&gt;"")*ISNUMBER(SEARCH(거래처별!$AE$8:$AE$307,$AB797))),거래처별!$A$8:$A$307),0))))</f>
        <v/>
      </c>
      <c r="AD797" s="31">
        <f>IF(AND($Y797&lt;&gt;"",N($Z797)&gt;0,$AC797=0),MAX($AD$7:$AD796)+1,"")</f>
        <v/>
      </c>
      <c r="AE797" s="31">
        <f>IF($Y797="",0,$Y797)</f>
        <v/>
      </c>
    </row>
    <row r="798">
      <c r="W798" s="31">
        <f>IF(OR($B$5="",$C$6="",ROW()&lt;$B$5),"",IF(INDEX($A:$U,ROW(),$C$6)="","",INDEX($A:$U,ROW(),$C$6)))</f>
        <v/>
      </c>
      <c r="X798" s="32">
        <f>IF($W798="","",IF(ISNUMBER($W798),IF($W798&gt;=10000000,IFERROR(DATE(INT($W798/10000),MOD(INT($W798/100),100),MOD($W798,100)),""),INT($W798)),IFERROR(DATE(--LEFT(LEFT(SUBSTITUTE(SUBSTITUTE(SUBSTITUTE(SUBSTITUTE(TRIM($W798),"-",""),".",""),"/","")," ",""),8),4),--MID(LEFT(SUBSTITUTE(SUBSTITUTE(SUBSTITUTE(SUBSTITUTE(TRIM($W798),"-",""),".",""),"/","")," ",""),8),5,2),--MID(LEFT(SUBSTITUTE(SUBSTITUTE(SUBSTITUTE(SUBSTITUTE(TRIM($W798),"-",""),".",""),"/","")," ",""),8),7,2)),"")))</f>
        <v/>
      </c>
      <c r="Y798" s="32">
        <f>IF($X798="","",INT($X798))</f>
        <v/>
      </c>
      <c r="Z798" s="33">
        <f>IF(OR($Y798="",$D$6=""),"",IF(INDEX($A:$U,ROW(),$D$6)="",0,IF(ISNUMBER(INDEX($A:$U,ROW(),$D$6)),INDEX($A:$U,ROW(),$D$6),IFERROR(--SUBSTITUTE(SUBSTITUTE(TRIM(INDEX($A:$U,ROW(),$D$6)),",",""),"원",""),0))))</f>
        <v/>
      </c>
      <c r="AA798" s="31">
        <f>IF($Y798="","",TRIM(INDEX($A:$U,ROW(),$E$6)&amp;IF($F$6="",""," "&amp;INDEX($A:$U,ROW(),$F$6))))</f>
        <v/>
      </c>
      <c r="AB798" s="31">
        <f>IF($AA798="","",SUBSTITUTE(SUBSTITUTE(SUBSTITUTE(SUBSTITUTE(SUBSTITUTE(SUBSTITUTE(SUBSTITUTE(SUBSTITUTE(SUBSTITUTE($AA798," ",""),"　",""),"(주)",""),"（주）",""),"㈜",""),"주식회사",""),"(유)",""),"（유）",""),"유한회사",""))</f>
        <v/>
      </c>
      <c r="AC798" s="31">
        <f>IF(OR($Y798="",N($Z798)&lt;=0,$AB798=""),0,IFERROR(LOOKUP(2,1/((거래처별!$AC$8:$AC$307&lt;&gt;"")*ISNUMBER(SEARCH(거래처별!$AC$8:$AC$307,$AB798))),거래처별!$A$8:$A$307),IFERROR(LOOKUP(2,1/((거래처별!$AD$8:$AD$307&lt;&gt;"")*ISNUMBER(SEARCH(거래처별!$AD$8:$AD$307,$AB798))),거래처별!$A$8:$A$307),IFERROR(LOOKUP(2,1/((거래처별!$AE$8:$AE$307&lt;&gt;"")*ISNUMBER(SEARCH(거래처별!$AE$8:$AE$307,$AB798))),거래처별!$A$8:$A$307),0))))</f>
        <v/>
      </c>
      <c r="AD798" s="31">
        <f>IF(AND($Y798&lt;&gt;"",N($Z798)&gt;0,$AC798=0),MAX($AD$7:$AD797)+1,"")</f>
        <v/>
      </c>
      <c r="AE798" s="31">
        <f>IF($Y798="",0,$Y798)</f>
        <v/>
      </c>
    </row>
    <row r="799">
      <c r="W799" s="31">
        <f>IF(OR($B$5="",$C$6="",ROW()&lt;$B$5),"",IF(INDEX($A:$U,ROW(),$C$6)="","",INDEX($A:$U,ROW(),$C$6)))</f>
        <v/>
      </c>
      <c r="X799" s="32">
        <f>IF($W799="","",IF(ISNUMBER($W799),IF($W799&gt;=10000000,IFERROR(DATE(INT($W799/10000),MOD(INT($W799/100),100),MOD($W799,100)),""),INT($W799)),IFERROR(DATE(--LEFT(LEFT(SUBSTITUTE(SUBSTITUTE(SUBSTITUTE(SUBSTITUTE(TRIM($W799),"-",""),".",""),"/","")," ",""),8),4),--MID(LEFT(SUBSTITUTE(SUBSTITUTE(SUBSTITUTE(SUBSTITUTE(TRIM($W799),"-",""),".",""),"/","")," ",""),8),5,2),--MID(LEFT(SUBSTITUTE(SUBSTITUTE(SUBSTITUTE(SUBSTITUTE(TRIM($W799),"-",""),".",""),"/","")," ",""),8),7,2)),"")))</f>
        <v/>
      </c>
      <c r="Y799" s="32">
        <f>IF($X799="","",INT($X799))</f>
        <v/>
      </c>
      <c r="Z799" s="33">
        <f>IF(OR($Y799="",$D$6=""),"",IF(INDEX($A:$U,ROW(),$D$6)="",0,IF(ISNUMBER(INDEX($A:$U,ROW(),$D$6)),INDEX($A:$U,ROW(),$D$6),IFERROR(--SUBSTITUTE(SUBSTITUTE(TRIM(INDEX($A:$U,ROW(),$D$6)),",",""),"원",""),0))))</f>
        <v/>
      </c>
      <c r="AA799" s="31">
        <f>IF($Y799="","",TRIM(INDEX($A:$U,ROW(),$E$6)&amp;IF($F$6="",""," "&amp;INDEX($A:$U,ROW(),$F$6))))</f>
        <v/>
      </c>
      <c r="AB799" s="31">
        <f>IF($AA799="","",SUBSTITUTE(SUBSTITUTE(SUBSTITUTE(SUBSTITUTE(SUBSTITUTE(SUBSTITUTE(SUBSTITUTE(SUBSTITUTE(SUBSTITUTE($AA799," ",""),"　",""),"(주)",""),"（주）",""),"㈜",""),"주식회사",""),"(유)",""),"（유）",""),"유한회사",""))</f>
        <v/>
      </c>
      <c r="AC799" s="31">
        <f>IF(OR($Y799="",N($Z799)&lt;=0,$AB799=""),0,IFERROR(LOOKUP(2,1/((거래처별!$AC$8:$AC$307&lt;&gt;"")*ISNUMBER(SEARCH(거래처별!$AC$8:$AC$307,$AB799))),거래처별!$A$8:$A$307),IFERROR(LOOKUP(2,1/((거래처별!$AD$8:$AD$307&lt;&gt;"")*ISNUMBER(SEARCH(거래처별!$AD$8:$AD$307,$AB799))),거래처별!$A$8:$A$307),IFERROR(LOOKUP(2,1/((거래처별!$AE$8:$AE$307&lt;&gt;"")*ISNUMBER(SEARCH(거래처별!$AE$8:$AE$307,$AB799))),거래처별!$A$8:$A$307),0))))</f>
        <v/>
      </c>
      <c r="AD799" s="31">
        <f>IF(AND($Y799&lt;&gt;"",N($Z799)&gt;0,$AC799=0),MAX($AD$7:$AD798)+1,"")</f>
        <v/>
      </c>
      <c r="AE799" s="31">
        <f>IF($Y799="",0,$Y799)</f>
        <v/>
      </c>
    </row>
    <row r="800">
      <c r="W800" s="31">
        <f>IF(OR($B$5="",$C$6="",ROW()&lt;$B$5),"",IF(INDEX($A:$U,ROW(),$C$6)="","",INDEX($A:$U,ROW(),$C$6)))</f>
        <v/>
      </c>
      <c r="X800" s="32">
        <f>IF($W800="","",IF(ISNUMBER($W800),IF($W800&gt;=10000000,IFERROR(DATE(INT($W800/10000),MOD(INT($W800/100),100),MOD($W800,100)),""),INT($W800)),IFERROR(DATE(--LEFT(LEFT(SUBSTITUTE(SUBSTITUTE(SUBSTITUTE(SUBSTITUTE(TRIM($W800),"-",""),".",""),"/","")," ",""),8),4),--MID(LEFT(SUBSTITUTE(SUBSTITUTE(SUBSTITUTE(SUBSTITUTE(TRIM($W800),"-",""),".",""),"/","")," ",""),8),5,2),--MID(LEFT(SUBSTITUTE(SUBSTITUTE(SUBSTITUTE(SUBSTITUTE(TRIM($W800),"-",""),".",""),"/","")," ",""),8),7,2)),"")))</f>
        <v/>
      </c>
      <c r="Y800" s="32">
        <f>IF($X800="","",INT($X800))</f>
        <v/>
      </c>
      <c r="Z800" s="33">
        <f>IF(OR($Y800="",$D$6=""),"",IF(INDEX($A:$U,ROW(),$D$6)="",0,IF(ISNUMBER(INDEX($A:$U,ROW(),$D$6)),INDEX($A:$U,ROW(),$D$6),IFERROR(--SUBSTITUTE(SUBSTITUTE(TRIM(INDEX($A:$U,ROW(),$D$6)),",",""),"원",""),0))))</f>
        <v/>
      </c>
      <c r="AA800" s="31">
        <f>IF($Y800="","",TRIM(INDEX($A:$U,ROW(),$E$6)&amp;IF($F$6="",""," "&amp;INDEX($A:$U,ROW(),$F$6))))</f>
        <v/>
      </c>
      <c r="AB800" s="31">
        <f>IF($AA800="","",SUBSTITUTE(SUBSTITUTE(SUBSTITUTE(SUBSTITUTE(SUBSTITUTE(SUBSTITUTE(SUBSTITUTE(SUBSTITUTE(SUBSTITUTE($AA800," ",""),"　",""),"(주)",""),"（주）",""),"㈜",""),"주식회사",""),"(유)",""),"（유）",""),"유한회사",""))</f>
        <v/>
      </c>
      <c r="AC800" s="31">
        <f>IF(OR($Y800="",N($Z800)&lt;=0,$AB800=""),0,IFERROR(LOOKUP(2,1/((거래처별!$AC$8:$AC$307&lt;&gt;"")*ISNUMBER(SEARCH(거래처별!$AC$8:$AC$307,$AB800))),거래처별!$A$8:$A$307),IFERROR(LOOKUP(2,1/((거래처별!$AD$8:$AD$307&lt;&gt;"")*ISNUMBER(SEARCH(거래처별!$AD$8:$AD$307,$AB800))),거래처별!$A$8:$A$307),IFERROR(LOOKUP(2,1/((거래처별!$AE$8:$AE$307&lt;&gt;"")*ISNUMBER(SEARCH(거래처별!$AE$8:$AE$307,$AB800))),거래처별!$A$8:$A$307),0))))</f>
        <v/>
      </c>
      <c r="AD800" s="31">
        <f>IF(AND($Y800&lt;&gt;"",N($Z800)&gt;0,$AC800=0),MAX($AD$7:$AD799)+1,"")</f>
        <v/>
      </c>
      <c r="AE800" s="31">
        <f>IF($Y800="",0,$Y800)</f>
        <v/>
      </c>
    </row>
    <row r="801">
      <c r="W801" s="31">
        <f>IF(OR($B$5="",$C$6="",ROW()&lt;$B$5),"",IF(INDEX($A:$U,ROW(),$C$6)="","",INDEX($A:$U,ROW(),$C$6)))</f>
        <v/>
      </c>
      <c r="X801" s="32">
        <f>IF($W801="","",IF(ISNUMBER($W801),IF($W801&gt;=10000000,IFERROR(DATE(INT($W801/10000),MOD(INT($W801/100),100),MOD($W801,100)),""),INT($W801)),IFERROR(DATE(--LEFT(LEFT(SUBSTITUTE(SUBSTITUTE(SUBSTITUTE(SUBSTITUTE(TRIM($W801),"-",""),".",""),"/","")," ",""),8),4),--MID(LEFT(SUBSTITUTE(SUBSTITUTE(SUBSTITUTE(SUBSTITUTE(TRIM($W801),"-",""),".",""),"/","")," ",""),8),5,2),--MID(LEFT(SUBSTITUTE(SUBSTITUTE(SUBSTITUTE(SUBSTITUTE(TRIM($W801),"-",""),".",""),"/","")," ",""),8),7,2)),"")))</f>
        <v/>
      </c>
      <c r="Y801" s="32">
        <f>IF($X801="","",INT($X801))</f>
        <v/>
      </c>
      <c r="Z801" s="33">
        <f>IF(OR($Y801="",$D$6=""),"",IF(INDEX($A:$U,ROW(),$D$6)="",0,IF(ISNUMBER(INDEX($A:$U,ROW(),$D$6)),INDEX($A:$U,ROW(),$D$6),IFERROR(--SUBSTITUTE(SUBSTITUTE(TRIM(INDEX($A:$U,ROW(),$D$6)),",",""),"원",""),0))))</f>
        <v/>
      </c>
      <c r="AA801" s="31">
        <f>IF($Y801="","",TRIM(INDEX($A:$U,ROW(),$E$6)&amp;IF($F$6="",""," "&amp;INDEX($A:$U,ROW(),$F$6))))</f>
        <v/>
      </c>
      <c r="AB801" s="31">
        <f>IF($AA801="","",SUBSTITUTE(SUBSTITUTE(SUBSTITUTE(SUBSTITUTE(SUBSTITUTE(SUBSTITUTE(SUBSTITUTE(SUBSTITUTE(SUBSTITUTE($AA801," ",""),"　",""),"(주)",""),"（주）",""),"㈜",""),"주식회사",""),"(유)",""),"（유）",""),"유한회사",""))</f>
        <v/>
      </c>
      <c r="AC801" s="31">
        <f>IF(OR($Y801="",N($Z801)&lt;=0,$AB801=""),0,IFERROR(LOOKUP(2,1/((거래처별!$AC$8:$AC$307&lt;&gt;"")*ISNUMBER(SEARCH(거래처별!$AC$8:$AC$307,$AB801))),거래처별!$A$8:$A$307),IFERROR(LOOKUP(2,1/((거래처별!$AD$8:$AD$307&lt;&gt;"")*ISNUMBER(SEARCH(거래처별!$AD$8:$AD$307,$AB801))),거래처별!$A$8:$A$307),IFERROR(LOOKUP(2,1/((거래처별!$AE$8:$AE$307&lt;&gt;"")*ISNUMBER(SEARCH(거래처별!$AE$8:$AE$307,$AB801))),거래처별!$A$8:$A$307),0))))</f>
        <v/>
      </c>
      <c r="AD801" s="31">
        <f>IF(AND($Y801&lt;&gt;"",N($Z801)&gt;0,$AC801=0),MAX($AD$7:$AD800)+1,"")</f>
        <v/>
      </c>
      <c r="AE801" s="31">
        <f>IF($Y801="",0,$Y801)</f>
        <v/>
      </c>
    </row>
    <row r="802">
      <c r="W802" s="31">
        <f>IF(OR($B$5="",$C$6="",ROW()&lt;$B$5),"",IF(INDEX($A:$U,ROW(),$C$6)="","",INDEX($A:$U,ROW(),$C$6)))</f>
        <v/>
      </c>
      <c r="X802" s="32">
        <f>IF($W802="","",IF(ISNUMBER($W802),IF($W802&gt;=10000000,IFERROR(DATE(INT($W802/10000),MOD(INT($W802/100),100),MOD($W802,100)),""),INT($W802)),IFERROR(DATE(--LEFT(LEFT(SUBSTITUTE(SUBSTITUTE(SUBSTITUTE(SUBSTITUTE(TRIM($W802),"-",""),".",""),"/","")," ",""),8),4),--MID(LEFT(SUBSTITUTE(SUBSTITUTE(SUBSTITUTE(SUBSTITUTE(TRIM($W802),"-",""),".",""),"/","")," ",""),8),5,2),--MID(LEFT(SUBSTITUTE(SUBSTITUTE(SUBSTITUTE(SUBSTITUTE(TRIM($W802),"-",""),".",""),"/","")," ",""),8),7,2)),"")))</f>
        <v/>
      </c>
      <c r="Y802" s="32">
        <f>IF($X802="","",INT($X802))</f>
        <v/>
      </c>
      <c r="Z802" s="33">
        <f>IF(OR($Y802="",$D$6=""),"",IF(INDEX($A:$U,ROW(),$D$6)="",0,IF(ISNUMBER(INDEX($A:$U,ROW(),$D$6)),INDEX($A:$U,ROW(),$D$6),IFERROR(--SUBSTITUTE(SUBSTITUTE(TRIM(INDEX($A:$U,ROW(),$D$6)),",",""),"원",""),0))))</f>
        <v/>
      </c>
      <c r="AA802" s="31">
        <f>IF($Y802="","",TRIM(INDEX($A:$U,ROW(),$E$6)&amp;IF($F$6="",""," "&amp;INDEX($A:$U,ROW(),$F$6))))</f>
        <v/>
      </c>
      <c r="AB802" s="31">
        <f>IF($AA802="","",SUBSTITUTE(SUBSTITUTE(SUBSTITUTE(SUBSTITUTE(SUBSTITUTE(SUBSTITUTE(SUBSTITUTE(SUBSTITUTE(SUBSTITUTE($AA802," ",""),"　",""),"(주)",""),"（주）",""),"㈜",""),"주식회사",""),"(유)",""),"（유）",""),"유한회사",""))</f>
        <v/>
      </c>
      <c r="AC802" s="31">
        <f>IF(OR($Y802="",N($Z802)&lt;=0,$AB802=""),0,IFERROR(LOOKUP(2,1/((거래처별!$AC$8:$AC$307&lt;&gt;"")*ISNUMBER(SEARCH(거래처별!$AC$8:$AC$307,$AB802))),거래처별!$A$8:$A$307),IFERROR(LOOKUP(2,1/((거래처별!$AD$8:$AD$307&lt;&gt;"")*ISNUMBER(SEARCH(거래처별!$AD$8:$AD$307,$AB802))),거래처별!$A$8:$A$307),IFERROR(LOOKUP(2,1/((거래처별!$AE$8:$AE$307&lt;&gt;"")*ISNUMBER(SEARCH(거래처별!$AE$8:$AE$307,$AB802))),거래처별!$A$8:$A$307),0))))</f>
        <v/>
      </c>
      <c r="AD802" s="31">
        <f>IF(AND($Y802&lt;&gt;"",N($Z802)&gt;0,$AC802=0),MAX($AD$7:$AD801)+1,"")</f>
        <v/>
      </c>
      <c r="AE802" s="31">
        <f>IF($Y802="",0,$Y802)</f>
        <v/>
      </c>
    </row>
    <row r="803">
      <c r="W803" s="31">
        <f>IF(OR($B$5="",$C$6="",ROW()&lt;$B$5),"",IF(INDEX($A:$U,ROW(),$C$6)="","",INDEX($A:$U,ROW(),$C$6)))</f>
        <v/>
      </c>
      <c r="X803" s="32">
        <f>IF($W803="","",IF(ISNUMBER($W803),IF($W803&gt;=10000000,IFERROR(DATE(INT($W803/10000),MOD(INT($W803/100),100),MOD($W803,100)),""),INT($W803)),IFERROR(DATE(--LEFT(LEFT(SUBSTITUTE(SUBSTITUTE(SUBSTITUTE(SUBSTITUTE(TRIM($W803),"-",""),".",""),"/","")," ",""),8),4),--MID(LEFT(SUBSTITUTE(SUBSTITUTE(SUBSTITUTE(SUBSTITUTE(TRIM($W803),"-",""),".",""),"/","")," ",""),8),5,2),--MID(LEFT(SUBSTITUTE(SUBSTITUTE(SUBSTITUTE(SUBSTITUTE(TRIM($W803),"-",""),".",""),"/","")," ",""),8),7,2)),"")))</f>
        <v/>
      </c>
      <c r="Y803" s="32">
        <f>IF($X803="","",INT($X803))</f>
        <v/>
      </c>
      <c r="Z803" s="33">
        <f>IF(OR($Y803="",$D$6=""),"",IF(INDEX($A:$U,ROW(),$D$6)="",0,IF(ISNUMBER(INDEX($A:$U,ROW(),$D$6)),INDEX($A:$U,ROW(),$D$6),IFERROR(--SUBSTITUTE(SUBSTITUTE(TRIM(INDEX($A:$U,ROW(),$D$6)),",",""),"원",""),0))))</f>
        <v/>
      </c>
      <c r="AA803" s="31">
        <f>IF($Y803="","",TRIM(INDEX($A:$U,ROW(),$E$6)&amp;IF($F$6="",""," "&amp;INDEX($A:$U,ROW(),$F$6))))</f>
        <v/>
      </c>
      <c r="AB803" s="31">
        <f>IF($AA803="","",SUBSTITUTE(SUBSTITUTE(SUBSTITUTE(SUBSTITUTE(SUBSTITUTE(SUBSTITUTE(SUBSTITUTE(SUBSTITUTE(SUBSTITUTE($AA803," ",""),"　",""),"(주)",""),"（주）",""),"㈜",""),"주식회사",""),"(유)",""),"（유）",""),"유한회사",""))</f>
        <v/>
      </c>
      <c r="AC803" s="31">
        <f>IF(OR($Y803="",N($Z803)&lt;=0,$AB803=""),0,IFERROR(LOOKUP(2,1/((거래처별!$AC$8:$AC$307&lt;&gt;"")*ISNUMBER(SEARCH(거래처별!$AC$8:$AC$307,$AB803))),거래처별!$A$8:$A$307),IFERROR(LOOKUP(2,1/((거래처별!$AD$8:$AD$307&lt;&gt;"")*ISNUMBER(SEARCH(거래처별!$AD$8:$AD$307,$AB803))),거래처별!$A$8:$A$307),IFERROR(LOOKUP(2,1/((거래처별!$AE$8:$AE$307&lt;&gt;"")*ISNUMBER(SEARCH(거래처별!$AE$8:$AE$307,$AB803))),거래처별!$A$8:$A$307),0))))</f>
        <v/>
      </c>
      <c r="AD803" s="31">
        <f>IF(AND($Y803&lt;&gt;"",N($Z803)&gt;0,$AC803=0),MAX($AD$7:$AD802)+1,"")</f>
        <v/>
      </c>
      <c r="AE803" s="31">
        <f>IF($Y803="",0,$Y803)</f>
        <v/>
      </c>
    </row>
    <row r="804">
      <c r="W804" s="31">
        <f>IF(OR($B$5="",$C$6="",ROW()&lt;$B$5),"",IF(INDEX($A:$U,ROW(),$C$6)="","",INDEX($A:$U,ROW(),$C$6)))</f>
        <v/>
      </c>
      <c r="X804" s="32">
        <f>IF($W804="","",IF(ISNUMBER($W804),IF($W804&gt;=10000000,IFERROR(DATE(INT($W804/10000),MOD(INT($W804/100),100),MOD($W804,100)),""),INT($W804)),IFERROR(DATE(--LEFT(LEFT(SUBSTITUTE(SUBSTITUTE(SUBSTITUTE(SUBSTITUTE(TRIM($W804),"-",""),".",""),"/","")," ",""),8),4),--MID(LEFT(SUBSTITUTE(SUBSTITUTE(SUBSTITUTE(SUBSTITUTE(TRIM($W804),"-",""),".",""),"/","")," ",""),8),5,2),--MID(LEFT(SUBSTITUTE(SUBSTITUTE(SUBSTITUTE(SUBSTITUTE(TRIM($W804),"-",""),".",""),"/","")," ",""),8),7,2)),"")))</f>
        <v/>
      </c>
      <c r="Y804" s="32">
        <f>IF($X804="","",INT($X804))</f>
        <v/>
      </c>
      <c r="Z804" s="33">
        <f>IF(OR($Y804="",$D$6=""),"",IF(INDEX($A:$U,ROW(),$D$6)="",0,IF(ISNUMBER(INDEX($A:$U,ROW(),$D$6)),INDEX($A:$U,ROW(),$D$6),IFERROR(--SUBSTITUTE(SUBSTITUTE(TRIM(INDEX($A:$U,ROW(),$D$6)),",",""),"원",""),0))))</f>
        <v/>
      </c>
      <c r="AA804" s="31">
        <f>IF($Y804="","",TRIM(INDEX($A:$U,ROW(),$E$6)&amp;IF($F$6="",""," "&amp;INDEX($A:$U,ROW(),$F$6))))</f>
        <v/>
      </c>
      <c r="AB804" s="31">
        <f>IF($AA804="","",SUBSTITUTE(SUBSTITUTE(SUBSTITUTE(SUBSTITUTE(SUBSTITUTE(SUBSTITUTE(SUBSTITUTE(SUBSTITUTE(SUBSTITUTE($AA804," ",""),"　",""),"(주)",""),"（주）",""),"㈜",""),"주식회사",""),"(유)",""),"（유）",""),"유한회사",""))</f>
        <v/>
      </c>
      <c r="AC804" s="31">
        <f>IF(OR($Y804="",N($Z804)&lt;=0,$AB804=""),0,IFERROR(LOOKUP(2,1/((거래처별!$AC$8:$AC$307&lt;&gt;"")*ISNUMBER(SEARCH(거래처별!$AC$8:$AC$307,$AB804))),거래처별!$A$8:$A$307),IFERROR(LOOKUP(2,1/((거래처별!$AD$8:$AD$307&lt;&gt;"")*ISNUMBER(SEARCH(거래처별!$AD$8:$AD$307,$AB804))),거래처별!$A$8:$A$307),IFERROR(LOOKUP(2,1/((거래처별!$AE$8:$AE$307&lt;&gt;"")*ISNUMBER(SEARCH(거래처별!$AE$8:$AE$307,$AB804))),거래처별!$A$8:$A$307),0))))</f>
        <v/>
      </c>
      <c r="AD804" s="31">
        <f>IF(AND($Y804&lt;&gt;"",N($Z804)&gt;0,$AC804=0),MAX($AD$7:$AD803)+1,"")</f>
        <v/>
      </c>
      <c r="AE804" s="31">
        <f>IF($Y804="",0,$Y804)</f>
        <v/>
      </c>
    </row>
    <row r="805">
      <c r="W805" s="31">
        <f>IF(OR($B$5="",$C$6="",ROW()&lt;$B$5),"",IF(INDEX($A:$U,ROW(),$C$6)="","",INDEX($A:$U,ROW(),$C$6)))</f>
        <v/>
      </c>
      <c r="X805" s="32">
        <f>IF($W805="","",IF(ISNUMBER($W805),IF($W805&gt;=10000000,IFERROR(DATE(INT($W805/10000),MOD(INT($W805/100),100),MOD($W805,100)),""),INT($W805)),IFERROR(DATE(--LEFT(LEFT(SUBSTITUTE(SUBSTITUTE(SUBSTITUTE(SUBSTITUTE(TRIM($W805),"-",""),".",""),"/","")," ",""),8),4),--MID(LEFT(SUBSTITUTE(SUBSTITUTE(SUBSTITUTE(SUBSTITUTE(TRIM($W805),"-",""),".",""),"/","")," ",""),8),5,2),--MID(LEFT(SUBSTITUTE(SUBSTITUTE(SUBSTITUTE(SUBSTITUTE(TRIM($W805),"-",""),".",""),"/","")," ",""),8),7,2)),"")))</f>
        <v/>
      </c>
      <c r="Y805" s="32">
        <f>IF($X805="","",INT($X805))</f>
        <v/>
      </c>
      <c r="Z805" s="33">
        <f>IF(OR($Y805="",$D$6=""),"",IF(INDEX($A:$U,ROW(),$D$6)="",0,IF(ISNUMBER(INDEX($A:$U,ROW(),$D$6)),INDEX($A:$U,ROW(),$D$6),IFERROR(--SUBSTITUTE(SUBSTITUTE(TRIM(INDEX($A:$U,ROW(),$D$6)),",",""),"원",""),0))))</f>
        <v/>
      </c>
      <c r="AA805" s="31">
        <f>IF($Y805="","",TRIM(INDEX($A:$U,ROW(),$E$6)&amp;IF($F$6="",""," "&amp;INDEX($A:$U,ROW(),$F$6))))</f>
        <v/>
      </c>
      <c r="AB805" s="31">
        <f>IF($AA805="","",SUBSTITUTE(SUBSTITUTE(SUBSTITUTE(SUBSTITUTE(SUBSTITUTE(SUBSTITUTE(SUBSTITUTE(SUBSTITUTE(SUBSTITUTE($AA805," ",""),"　",""),"(주)",""),"（주）",""),"㈜",""),"주식회사",""),"(유)",""),"（유）",""),"유한회사",""))</f>
        <v/>
      </c>
      <c r="AC805" s="31">
        <f>IF(OR($Y805="",N($Z805)&lt;=0,$AB805=""),0,IFERROR(LOOKUP(2,1/((거래처별!$AC$8:$AC$307&lt;&gt;"")*ISNUMBER(SEARCH(거래처별!$AC$8:$AC$307,$AB805))),거래처별!$A$8:$A$307),IFERROR(LOOKUP(2,1/((거래처별!$AD$8:$AD$307&lt;&gt;"")*ISNUMBER(SEARCH(거래처별!$AD$8:$AD$307,$AB805))),거래처별!$A$8:$A$307),IFERROR(LOOKUP(2,1/((거래처별!$AE$8:$AE$307&lt;&gt;"")*ISNUMBER(SEARCH(거래처별!$AE$8:$AE$307,$AB805))),거래처별!$A$8:$A$307),0))))</f>
        <v/>
      </c>
      <c r="AD805" s="31">
        <f>IF(AND($Y805&lt;&gt;"",N($Z805)&gt;0,$AC805=0),MAX($AD$7:$AD804)+1,"")</f>
        <v/>
      </c>
      <c r="AE805" s="31">
        <f>IF($Y805="",0,$Y805)</f>
        <v/>
      </c>
    </row>
    <row r="806">
      <c r="W806" s="31">
        <f>IF(OR($B$5="",$C$6="",ROW()&lt;$B$5),"",IF(INDEX($A:$U,ROW(),$C$6)="","",INDEX($A:$U,ROW(),$C$6)))</f>
        <v/>
      </c>
      <c r="X806" s="32">
        <f>IF($W806="","",IF(ISNUMBER($W806),IF($W806&gt;=10000000,IFERROR(DATE(INT($W806/10000),MOD(INT($W806/100),100),MOD($W806,100)),""),INT($W806)),IFERROR(DATE(--LEFT(LEFT(SUBSTITUTE(SUBSTITUTE(SUBSTITUTE(SUBSTITUTE(TRIM($W806),"-",""),".",""),"/","")," ",""),8),4),--MID(LEFT(SUBSTITUTE(SUBSTITUTE(SUBSTITUTE(SUBSTITUTE(TRIM($W806),"-",""),".",""),"/","")," ",""),8),5,2),--MID(LEFT(SUBSTITUTE(SUBSTITUTE(SUBSTITUTE(SUBSTITUTE(TRIM($W806),"-",""),".",""),"/","")," ",""),8),7,2)),"")))</f>
        <v/>
      </c>
      <c r="Y806" s="32">
        <f>IF($X806="","",INT($X806))</f>
        <v/>
      </c>
      <c r="Z806" s="33">
        <f>IF(OR($Y806="",$D$6=""),"",IF(INDEX($A:$U,ROW(),$D$6)="",0,IF(ISNUMBER(INDEX($A:$U,ROW(),$D$6)),INDEX($A:$U,ROW(),$D$6),IFERROR(--SUBSTITUTE(SUBSTITUTE(TRIM(INDEX($A:$U,ROW(),$D$6)),",",""),"원",""),0))))</f>
        <v/>
      </c>
      <c r="AA806" s="31">
        <f>IF($Y806="","",TRIM(INDEX($A:$U,ROW(),$E$6)&amp;IF($F$6="",""," "&amp;INDEX($A:$U,ROW(),$F$6))))</f>
        <v/>
      </c>
      <c r="AB806" s="31">
        <f>IF($AA806="","",SUBSTITUTE(SUBSTITUTE(SUBSTITUTE(SUBSTITUTE(SUBSTITUTE(SUBSTITUTE(SUBSTITUTE(SUBSTITUTE(SUBSTITUTE($AA806," ",""),"　",""),"(주)",""),"（주）",""),"㈜",""),"주식회사",""),"(유)",""),"（유）",""),"유한회사",""))</f>
        <v/>
      </c>
      <c r="AC806" s="31">
        <f>IF(OR($Y806="",N($Z806)&lt;=0,$AB806=""),0,IFERROR(LOOKUP(2,1/((거래처별!$AC$8:$AC$307&lt;&gt;"")*ISNUMBER(SEARCH(거래처별!$AC$8:$AC$307,$AB806))),거래처별!$A$8:$A$307),IFERROR(LOOKUP(2,1/((거래처별!$AD$8:$AD$307&lt;&gt;"")*ISNUMBER(SEARCH(거래처별!$AD$8:$AD$307,$AB806))),거래처별!$A$8:$A$307),IFERROR(LOOKUP(2,1/((거래처별!$AE$8:$AE$307&lt;&gt;"")*ISNUMBER(SEARCH(거래처별!$AE$8:$AE$307,$AB806))),거래처별!$A$8:$A$307),0))))</f>
        <v/>
      </c>
      <c r="AD806" s="31">
        <f>IF(AND($Y806&lt;&gt;"",N($Z806)&gt;0,$AC806=0),MAX($AD$7:$AD805)+1,"")</f>
        <v/>
      </c>
      <c r="AE806" s="31">
        <f>IF($Y806="",0,$Y806)</f>
        <v/>
      </c>
    </row>
    <row r="807">
      <c r="W807" s="31">
        <f>IF(OR($B$5="",$C$6="",ROW()&lt;$B$5),"",IF(INDEX($A:$U,ROW(),$C$6)="","",INDEX($A:$U,ROW(),$C$6)))</f>
        <v/>
      </c>
      <c r="X807" s="32">
        <f>IF($W807="","",IF(ISNUMBER($W807),IF($W807&gt;=10000000,IFERROR(DATE(INT($W807/10000),MOD(INT($W807/100),100),MOD($W807,100)),""),INT($W807)),IFERROR(DATE(--LEFT(LEFT(SUBSTITUTE(SUBSTITUTE(SUBSTITUTE(SUBSTITUTE(TRIM($W807),"-",""),".",""),"/","")," ",""),8),4),--MID(LEFT(SUBSTITUTE(SUBSTITUTE(SUBSTITUTE(SUBSTITUTE(TRIM($W807),"-",""),".",""),"/","")," ",""),8),5,2),--MID(LEFT(SUBSTITUTE(SUBSTITUTE(SUBSTITUTE(SUBSTITUTE(TRIM($W807),"-",""),".",""),"/","")," ",""),8),7,2)),"")))</f>
        <v/>
      </c>
      <c r="Y807" s="32">
        <f>IF($X807="","",INT($X807))</f>
        <v/>
      </c>
      <c r="Z807" s="33">
        <f>IF(OR($Y807="",$D$6=""),"",IF(INDEX($A:$U,ROW(),$D$6)="",0,IF(ISNUMBER(INDEX($A:$U,ROW(),$D$6)),INDEX($A:$U,ROW(),$D$6),IFERROR(--SUBSTITUTE(SUBSTITUTE(TRIM(INDEX($A:$U,ROW(),$D$6)),",",""),"원",""),0))))</f>
        <v/>
      </c>
      <c r="AA807" s="31">
        <f>IF($Y807="","",TRIM(INDEX($A:$U,ROW(),$E$6)&amp;IF($F$6="",""," "&amp;INDEX($A:$U,ROW(),$F$6))))</f>
        <v/>
      </c>
      <c r="AB807" s="31">
        <f>IF($AA807="","",SUBSTITUTE(SUBSTITUTE(SUBSTITUTE(SUBSTITUTE(SUBSTITUTE(SUBSTITUTE(SUBSTITUTE(SUBSTITUTE(SUBSTITUTE($AA807," ",""),"　",""),"(주)",""),"（주）",""),"㈜",""),"주식회사",""),"(유)",""),"（유）",""),"유한회사",""))</f>
        <v/>
      </c>
      <c r="AC807" s="31">
        <f>IF(OR($Y807="",N($Z807)&lt;=0,$AB807=""),0,IFERROR(LOOKUP(2,1/((거래처별!$AC$8:$AC$307&lt;&gt;"")*ISNUMBER(SEARCH(거래처별!$AC$8:$AC$307,$AB807))),거래처별!$A$8:$A$307),IFERROR(LOOKUP(2,1/((거래처별!$AD$8:$AD$307&lt;&gt;"")*ISNUMBER(SEARCH(거래처별!$AD$8:$AD$307,$AB807))),거래처별!$A$8:$A$307),IFERROR(LOOKUP(2,1/((거래처별!$AE$8:$AE$307&lt;&gt;"")*ISNUMBER(SEARCH(거래처별!$AE$8:$AE$307,$AB807))),거래처별!$A$8:$A$307),0))))</f>
        <v/>
      </c>
      <c r="AD807" s="31">
        <f>IF(AND($Y807&lt;&gt;"",N($Z807)&gt;0,$AC807=0),MAX($AD$7:$AD806)+1,"")</f>
        <v/>
      </c>
      <c r="AE807" s="31">
        <f>IF($Y807="",0,$Y807)</f>
        <v/>
      </c>
    </row>
    <row r="808">
      <c r="W808" s="31">
        <f>IF(OR($B$5="",$C$6="",ROW()&lt;$B$5),"",IF(INDEX($A:$U,ROW(),$C$6)="","",INDEX($A:$U,ROW(),$C$6)))</f>
        <v/>
      </c>
      <c r="X808" s="32">
        <f>IF($W808="","",IF(ISNUMBER($W808),IF($W808&gt;=10000000,IFERROR(DATE(INT($W808/10000),MOD(INT($W808/100),100),MOD($W808,100)),""),INT($W808)),IFERROR(DATE(--LEFT(LEFT(SUBSTITUTE(SUBSTITUTE(SUBSTITUTE(SUBSTITUTE(TRIM($W808),"-",""),".",""),"/","")," ",""),8),4),--MID(LEFT(SUBSTITUTE(SUBSTITUTE(SUBSTITUTE(SUBSTITUTE(TRIM($W808),"-",""),".",""),"/","")," ",""),8),5,2),--MID(LEFT(SUBSTITUTE(SUBSTITUTE(SUBSTITUTE(SUBSTITUTE(TRIM($W808),"-",""),".",""),"/","")," ",""),8),7,2)),"")))</f>
        <v/>
      </c>
      <c r="Y808" s="32">
        <f>IF($X808="","",INT($X808))</f>
        <v/>
      </c>
      <c r="Z808" s="33">
        <f>IF(OR($Y808="",$D$6=""),"",IF(INDEX($A:$U,ROW(),$D$6)="",0,IF(ISNUMBER(INDEX($A:$U,ROW(),$D$6)),INDEX($A:$U,ROW(),$D$6),IFERROR(--SUBSTITUTE(SUBSTITUTE(TRIM(INDEX($A:$U,ROW(),$D$6)),",",""),"원",""),0))))</f>
        <v/>
      </c>
      <c r="AA808" s="31">
        <f>IF($Y808="","",TRIM(INDEX($A:$U,ROW(),$E$6)&amp;IF($F$6="",""," "&amp;INDEX($A:$U,ROW(),$F$6))))</f>
        <v/>
      </c>
      <c r="AB808" s="31">
        <f>IF($AA808="","",SUBSTITUTE(SUBSTITUTE(SUBSTITUTE(SUBSTITUTE(SUBSTITUTE(SUBSTITUTE(SUBSTITUTE(SUBSTITUTE(SUBSTITUTE($AA808," ",""),"　",""),"(주)",""),"（주）",""),"㈜",""),"주식회사",""),"(유)",""),"（유）",""),"유한회사",""))</f>
        <v/>
      </c>
      <c r="AC808" s="31">
        <f>IF(OR($Y808="",N($Z808)&lt;=0,$AB808=""),0,IFERROR(LOOKUP(2,1/((거래처별!$AC$8:$AC$307&lt;&gt;"")*ISNUMBER(SEARCH(거래처별!$AC$8:$AC$307,$AB808))),거래처별!$A$8:$A$307),IFERROR(LOOKUP(2,1/((거래처별!$AD$8:$AD$307&lt;&gt;"")*ISNUMBER(SEARCH(거래처별!$AD$8:$AD$307,$AB808))),거래처별!$A$8:$A$307),IFERROR(LOOKUP(2,1/((거래처별!$AE$8:$AE$307&lt;&gt;"")*ISNUMBER(SEARCH(거래처별!$AE$8:$AE$307,$AB808))),거래처별!$A$8:$A$307),0))))</f>
        <v/>
      </c>
      <c r="AD808" s="31">
        <f>IF(AND($Y808&lt;&gt;"",N($Z808)&gt;0,$AC808=0),MAX($AD$7:$AD807)+1,"")</f>
        <v/>
      </c>
      <c r="AE808" s="31">
        <f>IF($Y808="",0,$Y808)</f>
        <v/>
      </c>
    </row>
    <row r="809">
      <c r="W809" s="31">
        <f>IF(OR($B$5="",$C$6="",ROW()&lt;$B$5),"",IF(INDEX($A:$U,ROW(),$C$6)="","",INDEX($A:$U,ROW(),$C$6)))</f>
        <v/>
      </c>
      <c r="X809" s="32">
        <f>IF($W809="","",IF(ISNUMBER($W809),IF($W809&gt;=10000000,IFERROR(DATE(INT($W809/10000),MOD(INT($W809/100),100),MOD($W809,100)),""),INT($W809)),IFERROR(DATE(--LEFT(LEFT(SUBSTITUTE(SUBSTITUTE(SUBSTITUTE(SUBSTITUTE(TRIM($W809),"-",""),".",""),"/","")," ",""),8),4),--MID(LEFT(SUBSTITUTE(SUBSTITUTE(SUBSTITUTE(SUBSTITUTE(TRIM($W809),"-",""),".",""),"/","")," ",""),8),5,2),--MID(LEFT(SUBSTITUTE(SUBSTITUTE(SUBSTITUTE(SUBSTITUTE(TRIM($W809),"-",""),".",""),"/","")," ",""),8),7,2)),"")))</f>
        <v/>
      </c>
      <c r="Y809" s="32">
        <f>IF($X809="","",INT($X809))</f>
        <v/>
      </c>
      <c r="Z809" s="33">
        <f>IF(OR($Y809="",$D$6=""),"",IF(INDEX($A:$U,ROW(),$D$6)="",0,IF(ISNUMBER(INDEX($A:$U,ROW(),$D$6)),INDEX($A:$U,ROW(),$D$6),IFERROR(--SUBSTITUTE(SUBSTITUTE(TRIM(INDEX($A:$U,ROW(),$D$6)),",",""),"원",""),0))))</f>
        <v/>
      </c>
      <c r="AA809" s="31">
        <f>IF($Y809="","",TRIM(INDEX($A:$U,ROW(),$E$6)&amp;IF($F$6="",""," "&amp;INDEX($A:$U,ROW(),$F$6))))</f>
        <v/>
      </c>
      <c r="AB809" s="31">
        <f>IF($AA809="","",SUBSTITUTE(SUBSTITUTE(SUBSTITUTE(SUBSTITUTE(SUBSTITUTE(SUBSTITUTE(SUBSTITUTE(SUBSTITUTE(SUBSTITUTE($AA809," ",""),"　",""),"(주)",""),"（주）",""),"㈜",""),"주식회사",""),"(유)",""),"（유）",""),"유한회사",""))</f>
        <v/>
      </c>
      <c r="AC809" s="31">
        <f>IF(OR($Y809="",N($Z809)&lt;=0,$AB809=""),0,IFERROR(LOOKUP(2,1/((거래처별!$AC$8:$AC$307&lt;&gt;"")*ISNUMBER(SEARCH(거래처별!$AC$8:$AC$307,$AB809))),거래처별!$A$8:$A$307),IFERROR(LOOKUP(2,1/((거래처별!$AD$8:$AD$307&lt;&gt;"")*ISNUMBER(SEARCH(거래처별!$AD$8:$AD$307,$AB809))),거래처별!$A$8:$A$307),IFERROR(LOOKUP(2,1/((거래처별!$AE$8:$AE$307&lt;&gt;"")*ISNUMBER(SEARCH(거래처별!$AE$8:$AE$307,$AB809))),거래처별!$A$8:$A$307),0))))</f>
        <v/>
      </c>
      <c r="AD809" s="31">
        <f>IF(AND($Y809&lt;&gt;"",N($Z809)&gt;0,$AC809=0),MAX($AD$7:$AD808)+1,"")</f>
        <v/>
      </c>
      <c r="AE809" s="31">
        <f>IF($Y809="",0,$Y809)</f>
        <v/>
      </c>
    </row>
    <row r="810">
      <c r="W810" s="31">
        <f>IF(OR($B$5="",$C$6="",ROW()&lt;$B$5),"",IF(INDEX($A:$U,ROW(),$C$6)="","",INDEX($A:$U,ROW(),$C$6)))</f>
        <v/>
      </c>
      <c r="X810" s="32">
        <f>IF($W810="","",IF(ISNUMBER($W810),IF($W810&gt;=10000000,IFERROR(DATE(INT($W810/10000),MOD(INT($W810/100),100),MOD($W810,100)),""),INT($W810)),IFERROR(DATE(--LEFT(LEFT(SUBSTITUTE(SUBSTITUTE(SUBSTITUTE(SUBSTITUTE(TRIM($W810),"-",""),".",""),"/","")," ",""),8),4),--MID(LEFT(SUBSTITUTE(SUBSTITUTE(SUBSTITUTE(SUBSTITUTE(TRIM($W810),"-",""),".",""),"/","")," ",""),8),5,2),--MID(LEFT(SUBSTITUTE(SUBSTITUTE(SUBSTITUTE(SUBSTITUTE(TRIM($W810),"-",""),".",""),"/","")," ",""),8),7,2)),"")))</f>
        <v/>
      </c>
      <c r="Y810" s="32">
        <f>IF($X810="","",INT($X810))</f>
        <v/>
      </c>
      <c r="Z810" s="33">
        <f>IF(OR($Y810="",$D$6=""),"",IF(INDEX($A:$U,ROW(),$D$6)="",0,IF(ISNUMBER(INDEX($A:$U,ROW(),$D$6)),INDEX($A:$U,ROW(),$D$6),IFERROR(--SUBSTITUTE(SUBSTITUTE(TRIM(INDEX($A:$U,ROW(),$D$6)),",",""),"원",""),0))))</f>
        <v/>
      </c>
      <c r="AA810" s="31">
        <f>IF($Y810="","",TRIM(INDEX($A:$U,ROW(),$E$6)&amp;IF($F$6="",""," "&amp;INDEX($A:$U,ROW(),$F$6))))</f>
        <v/>
      </c>
      <c r="AB810" s="31">
        <f>IF($AA810="","",SUBSTITUTE(SUBSTITUTE(SUBSTITUTE(SUBSTITUTE(SUBSTITUTE(SUBSTITUTE(SUBSTITUTE(SUBSTITUTE(SUBSTITUTE($AA810," ",""),"　",""),"(주)",""),"（주）",""),"㈜",""),"주식회사",""),"(유)",""),"（유）",""),"유한회사",""))</f>
        <v/>
      </c>
      <c r="AC810" s="31">
        <f>IF(OR($Y810="",N($Z810)&lt;=0,$AB810=""),0,IFERROR(LOOKUP(2,1/((거래처별!$AC$8:$AC$307&lt;&gt;"")*ISNUMBER(SEARCH(거래처별!$AC$8:$AC$307,$AB810))),거래처별!$A$8:$A$307),IFERROR(LOOKUP(2,1/((거래처별!$AD$8:$AD$307&lt;&gt;"")*ISNUMBER(SEARCH(거래처별!$AD$8:$AD$307,$AB810))),거래처별!$A$8:$A$307),IFERROR(LOOKUP(2,1/((거래처별!$AE$8:$AE$307&lt;&gt;"")*ISNUMBER(SEARCH(거래처별!$AE$8:$AE$307,$AB810))),거래처별!$A$8:$A$307),0))))</f>
        <v/>
      </c>
      <c r="AD810" s="31">
        <f>IF(AND($Y810&lt;&gt;"",N($Z810)&gt;0,$AC810=0),MAX($AD$7:$AD809)+1,"")</f>
        <v/>
      </c>
      <c r="AE810" s="31">
        <f>IF($Y810="",0,$Y810)</f>
        <v/>
      </c>
    </row>
    <row r="811">
      <c r="W811" s="31">
        <f>IF(OR($B$5="",$C$6="",ROW()&lt;$B$5),"",IF(INDEX($A:$U,ROW(),$C$6)="","",INDEX($A:$U,ROW(),$C$6)))</f>
        <v/>
      </c>
      <c r="X811" s="32">
        <f>IF($W811="","",IF(ISNUMBER($W811),IF($W811&gt;=10000000,IFERROR(DATE(INT($W811/10000),MOD(INT($W811/100),100),MOD($W811,100)),""),INT($W811)),IFERROR(DATE(--LEFT(LEFT(SUBSTITUTE(SUBSTITUTE(SUBSTITUTE(SUBSTITUTE(TRIM($W811),"-",""),".",""),"/","")," ",""),8),4),--MID(LEFT(SUBSTITUTE(SUBSTITUTE(SUBSTITUTE(SUBSTITUTE(TRIM($W811),"-",""),".",""),"/","")," ",""),8),5,2),--MID(LEFT(SUBSTITUTE(SUBSTITUTE(SUBSTITUTE(SUBSTITUTE(TRIM($W811),"-",""),".",""),"/","")," ",""),8),7,2)),"")))</f>
        <v/>
      </c>
      <c r="Y811" s="32">
        <f>IF($X811="","",INT($X811))</f>
        <v/>
      </c>
      <c r="Z811" s="33">
        <f>IF(OR($Y811="",$D$6=""),"",IF(INDEX($A:$U,ROW(),$D$6)="",0,IF(ISNUMBER(INDEX($A:$U,ROW(),$D$6)),INDEX($A:$U,ROW(),$D$6),IFERROR(--SUBSTITUTE(SUBSTITUTE(TRIM(INDEX($A:$U,ROW(),$D$6)),",",""),"원",""),0))))</f>
        <v/>
      </c>
      <c r="AA811" s="31">
        <f>IF($Y811="","",TRIM(INDEX($A:$U,ROW(),$E$6)&amp;IF($F$6="",""," "&amp;INDEX($A:$U,ROW(),$F$6))))</f>
        <v/>
      </c>
      <c r="AB811" s="31">
        <f>IF($AA811="","",SUBSTITUTE(SUBSTITUTE(SUBSTITUTE(SUBSTITUTE(SUBSTITUTE(SUBSTITUTE(SUBSTITUTE(SUBSTITUTE(SUBSTITUTE($AA811," ",""),"　",""),"(주)",""),"（주）",""),"㈜",""),"주식회사",""),"(유)",""),"（유）",""),"유한회사",""))</f>
        <v/>
      </c>
      <c r="AC811" s="31">
        <f>IF(OR($Y811="",N($Z811)&lt;=0,$AB811=""),0,IFERROR(LOOKUP(2,1/((거래처별!$AC$8:$AC$307&lt;&gt;"")*ISNUMBER(SEARCH(거래처별!$AC$8:$AC$307,$AB811))),거래처별!$A$8:$A$307),IFERROR(LOOKUP(2,1/((거래처별!$AD$8:$AD$307&lt;&gt;"")*ISNUMBER(SEARCH(거래처별!$AD$8:$AD$307,$AB811))),거래처별!$A$8:$A$307),IFERROR(LOOKUP(2,1/((거래처별!$AE$8:$AE$307&lt;&gt;"")*ISNUMBER(SEARCH(거래처별!$AE$8:$AE$307,$AB811))),거래처별!$A$8:$A$307),0))))</f>
        <v/>
      </c>
      <c r="AD811" s="31">
        <f>IF(AND($Y811&lt;&gt;"",N($Z811)&gt;0,$AC811=0),MAX($AD$7:$AD810)+1,"")</f>
        <v/>
      </c>
      <c r="AE811" s="31">
        <f>IF($Y811="",0,$Y811)</f>
        <v/>
      </c>
    </row>
    <row r="812">
      <c r="W812" s="31">
        <f>IF(OR($B$5="",$C$6="",ROW()&lt;$B$5),"",IF(INDEX($A:$U,ROW(),$C$6)="","",INDEX($A:$U,ROW(),$C$6)))</f>
        <v/>
      </c>
      <c r="X812" s="32">
        <f>IF($W812="","",IF(ISNUMBER($W812),IF($W812&gt;=10000000,IFERROR(DATE(INT($W812/10000),MOD(INT($W812/100),100),MOD($W812,100)),""),INT($W812)),IFERROR(DATE(--LEFT(LEFT(SUBSTITUTE(SUBSTITUTE(SUBSTITUTE(SUBSTITUTE(TRIM($W812),"-",""),".",""),"/","")," ",""),8),4),--MID(LEFT(SUBSTITUTE(SUBSTITUTE(SUBSTITUTE(SUBSTITUTE(TRIM($W812),"-",""),".",""),"/","")," ",""),8),5,2),--MID(LEFT(SUBSTITUTE(SUBSTITUTE(SUBSTITUTE(SUBSTITUTE(TRIM($W812),"-",""),".",""),"/","")," ",""),8),7,2)),"")))</f>
        <v/>
      </c>
      <c r="Y812" s="32">
        <f>IF($X812="","",INT($X812))</f>
        <v/>
      </c>
      <c r="Z812" s="33">
        <f>IF(OR($Y812="",$D$6=""),"",IF(INDEX($A:$U,ROW(),$D$6)="",0,IF(ISNUMBER(INDEX($A:$U,ROW(),$D$6)),INDEX($A:$U,ROW(),$D$6),IFERROR(--SUBSTITUTE(SUBSTITUTE(TRIM(INDEX($A:$U,ROW(),$D$6)),",",""),"원",""),0))))</f>
        <v/>
      </c>
      <c r="AA812" s="31">
        <f>IF($Y812="","",TRIM(INDEX($A:$U,ROW(),$E$6)&amp;IF($F$6="",""," "&amp;INDEX($A:$U,ROW(),$F$6))))</f>
        <v/>
      </c>
      <c r="AB812" s="31">
        <f>IF($AA812="","",SUBSTITUTE(SUBSTITUTE(SUBSTITUTE(SUBSTITUTE(SUBSTITUTE(SUBSTITUTE(SUBSTITUTE(SUBSTITUTE(SUBSTITUTE($AA812," ",""),"　",""),"(주)",""),"（주）",""),"㈜",""),"주식회사",""),"(유)",""),"（유）",""),"유한회사",""))</f>
        <v/>
      </c>
      <c r="AC812" s="31">
        <f>IF(OR($Y812="",N($Z812)&lt;=0,$AB812=""),0,IFERROR(LOOKUP(2,1/((거래처별!$AC$8:$AC$307&lt;&gt;"")*ISNUMBER(SEARCH(거래처별!$AC$8:$AC$307,$AB812))),거래처별!$A$8:$A$307),IFERROR(LOOKUP(2,1/((거래처별!$AD$8:$AD$307&lt;&gt;"")*ISNUMBER(SEARCH(거래처별!$AD$8:$AD$307,$AB812))),거래처별!$A$8:$A$307),IFERROR(LOOKUP(2,1/((거래처별!$AE$8:$AE$307&lt;&gt;"")*ISNUMBER(SEARCH(거래처별!$AE$8:$AE$307,$AB812))),거래처별!$A$8:$A$307),0))))</f>
        <v/>
      </c>
      <c r="AD812" s="31">
        <f>IF(AND($Y812&lt;&gt;"",N($Z812)&gt;0,$AC812=0),MAX($AD$7:$AD811)+1,"")</f>
        <v/>
      </c>
      <c r="AE812" s="31">
        <f>IF($Y812="",0,$Y812)</f>
        <v/>
      </c>
    </row>
    <row r="813">
      <c r="W813" s="31">
        <f>IF(OR($B$5="",$C$6="",ROW()&lt;$B$5),"",IF(INDEX($A:$U,ROW(),$C$6)="","",INDEX($A:$U,ROW(),$C$6)))</f>
        <v/>
      </c>
      <c r="X813" s="32">
        <f>IF($W813="","",IF(ISNUMBER($W813),IF($W813&gt;=10000000,IFERROR(DATE(INT($W813/10000),MOD(INT($W813/100),100),MOD($W813,100)),""),INT($W813)),IFERROR(DATE(--LEFT(LEFT(SUBSTITUTE(SUBSTITUTE(SUBSTITUTE(SUBSTITUTE(TRIM($W813),"-",""),".",""),"/","")," ",""),8),4),--MID(LEFT(SUBSTITUTE(SUBSTITUTE(SUBSTITUTE(SUBSTITUTE(TRIM($W813),"-",""),".",""),"/","")," ",""),8),5,2),--MID(LEFT(SUBSTITUTE(SUBSTITUTE(SUBSTITUTE(SUBSTITUTE(TRIM($W813),"-",""),".",""),"/","")," ",""),8),7,2)),"")))</f>
        <v/>
      </c>
      <c r="Y813" s="32">
        <f>IF($X813="","",INT($X813))</f>
        <v/>
      </c>
      <c r="Z813" s="33">
        <f>IF(OR($Y813="",$D$6=""),"",IF(INDEX($A:$U,ROW(),$D$6)="",0,IF(ISNUMBER(INDEX($A:$U,ROW(),$D$6)),INDEX($A:$U,ROW(),$D$6),IFERROR(--SUBSTITUTE(SUBSTITUTE(TRIM(INDEX($A:$U,ROW(),$D$6)),",",""),"원",""),0))))</f>
        <v/>
      </c>
      <c r="AA813" s="31">
        <f>IF($Y813="","",TRIM(INDEX($A:$U,ROW(),$E$6)&amp;IF($F$6="",""," "&amp;INDEX($A:$U,ROW(),$F$6))))</f>
        <v/>
      </c>
      <c r="AB813" s="31">
        <f>IF($AA813="","",SUBSTITUTE(SUBSTITUTE(SUBSTITUTE(SUBSTITUTE(SUBSTITUTE(SUBSTITUTE(SUBSTITUTE(SUBSTITUTE(SUBSTITUTE($AA813," ",""),"　",""),"(주)",""),"（주）",""),"㈜",""),"주식회사",""),"(유)",""),"（유）",""),"유한회사",""))</f>
        <v/>
      </c>
      <c r="AC813" s="31">
        <f>IF(OR($Y813="",N($Z813)&lt;=0,$AB813=""),0,IFERROR(LOOKUP(2,1/((거래처별!$AC$8:$AC$307&lt;&gt;"")*ISNUMBER(SEARCH(거래처별!$AC$8:$AC$307,$AB813))),거래처별!$A$8:$A$307),IFERROR(LOOKUP(2,1/((거래처별!$AD$8:$AD$307&lt;&gt;"")*ISNUMBER(SEARCH(거래처별!$AD$8:$AD$307,$AB813))),거래처별!$A$8:$A$307),IFERROR(LOOKUP(2,1/((거래처별!$AE$8:$AE$307&lt;&gt;"")*ISNUMBER(SEARCH(거래처별!$AE$8:$AE$307,$AB813))),거래처별!$A$8:$A$307),0))))</f>
        <v/>
      </c>
      <c r="AD813" s="31">
        <f>IF(AND($Y813&lt;&gt;"",N($Z813)&gt;0,$AC813=0),MAX($AD$7:$AD812)+1,"")</f>
        <v/>
      </c>
      <c r="AE813" s="31">
        <f>IF($Y813="",0,$Y813)</f>
        <v/>
      </c>
    </row>
    <row r="814">
      <c r="W814" s="31">
        <f>IF(OR($B$5="",$C$6="",ROW()&lt;$B$5),"",IF(INDEX($A:$U,ROW(),$C$6)="","",INDEX($A:$U,ROW(),$C$6)))</f>
        <v/>
      </c>
      <c r="X814" s="32">
        <f>IF($W814="","",IF(ISNUMBER($W814),IF($W814&gt;=10000000,IFERROR(DATE(INT($W814/10000),MOD(INT($W814/100),100),MOD($W814,100)),""),INT($W814)),IFERROR(DATE(--LEFT(LEFT(SUBSTITUTE(SUBSTITUTE(SUBSTITUTE(SUBSTITUTE(TRIM($W814),"-",""),".",""),"/","")," ",""),8),4),--MID(LEFT(SUBSTITUTE(SUBSTITUTE(SUBSTITUTE(SUBSTITUTE(TRIM($W814),"-",""),".",""),"/","")," ",""),8),5,2),--MID(LEFT(SUBSTITUTE(SUBSTITUTE(SUBSTITUTE(SUBSTITUTE(TRIM($W814),"-",""),".",""),"/","")," ",""),8),7,2)),"")))</f>
        <v/>
      </c>
      <c r="Y814" s="32">
        <f>IF($X814="","",INT($X814))</f>
        <v/>
      </c>
      <c r="Z814" s="33">
        <f>IF(OR($Y814="",$D$6=""),"",IF(INDEX($A:$U,ROW(),$D$6)="",0,IF(ISNUMBER(INDEX($A:$U,ROW(),$D$6)),INDEX($A:$U,ROW(),$D$6),IFERROR(--SUBSTITUTE(SUBSTITUTE(TRIM(INDEX($A:$U,ROW(),$D$6)),",",""),"원",""),0))))</f>
        <v/>
      </c>
      <c r="AA814" s="31">
        <f>IF($Y814="","",TRIM(INDEX($A:$U,ROW(),$E$6)&amp;IF($F$6="",""," "&amp;INDEX($A:$U,ROW(),$F$6))))</f>
        <v/>
      </c>
      <c r="AB814" s="31">
        <f>IF($AA814="","",SUBSTITUTE(SUBSTITUTE(SUBSTITUTE(SUBSTITUTE(SUBSTITUTE(SUBSTITUTE(SUBSTITUTE(SUBSTITUTE(SUBSTITUTE($AA814," ",""),"　",""),"(주)",""),"（주）",""),"㈜",""),"주식회사",""),"(유)",""),"（유）",""),"유한회사",""))</f>
        <v/>
      </c>
      <c r="AC814" s="31">
        <f>IF(OR($Y814="",N($Z814)&lt;=0,$AB814=""),0,IFERROR(LOOKUP(2,1/((거래처별!$AC$8:$AC$307&lt;&gt;"")*ISNUMBER(SEARCH(거래처별!$AC$8:$AC$307,$AB814))),거래처별!$A$8:$A$307),IFERROR(LOOKUP(2,1/((거래처별!$AD$8:$AD$307&lt;&gt;"")*ISNUMBER(SEARCH(거래처별!$AD$8:$AD$307,$AB814))),거래처별!$A$8:$A$307),IFERROR(LOOKUP(2,1/((거래처별!$AE$8:$AE$307&lt;&gt;"")*ISNUMBER(SEARCH(거래처별!$AE$8:$AE$307,$AB814))),거래처별!$A$8:$A$307),0))))</f>
        <v/>
      </c>
      <c r="AD814" s="31">
        <f>IF(AND($Y814&lt;&gt;"",N($Z814)&gt;0,$AC814=0),MAX($AD$7:$AD813)+1,"")</f>
        <v/>
      </c>
      <c r="AE814" s="31">
        <f>IF($Y814="",0,$Y814)</f>
        <v/>
      </c>
    </row>
    <row r="815">
      <c r="W815" s="31">
        <f>IF(OR($B$5="",$C$6="",ROW()&lt;$B$5),"",IF(INDEX($A:$U,ROW(),$C$6)="","",INDEX($A:$U,ROW(),$C$6)))</f>
        <v/>
      </c>
      <c r="X815" s="32">
        <f>IF($W815="","",IF(ISNUMBER($W815),IF($W815&gt;=10000000,IFERROR(DATE(INT($W815/10000),MOD(INT($W815/100),100),MOD($W815,100)),""),INT($W815)),IFERROR(DATE(--LEFT(LEFT(SUBSTITUTE(SUBSTITUTE(SUBSTITUTE(SUBSTITUTE(TRIM($W815),"-",""),".",""),"/","")," ",""),8),4),--MID(LEFT(SUBSTITUTE(SUBSTITUTE(SUBSTITUTE(SUBSTITUTE(TRIM($W815),"-",""),".",""),"/","")," ",""),8),5,2),--MID(LEFT(SUBSTITUTE(SUBSTITUTE(SUBSTITUTE(SUBSTITUTE(TRIM($W815),"-",""),".",""),"/","")," ",""),8),7,2)),"")))</f>
        <v/>
      </c>
      <c r="Y815" s="32">
        <f>IF($X815="","",INT($X815))</f>
        <v/>
      </c>
      <c r="Z815" s="33">
        <f>IF(OR($Y815="",$D$6=""),"",IF(INDEX($A:$U,ROW(),$D$6)="",0,IF(ISNUMBER(INDEX($A:$U,ROW(),$D$6)),INDEX($A:$U,ROW(),$D$6),IFERROR(--SUBSTITUTE(SUBSTITUTE(TRIM(INDEX($A:$U,ROW(),$D$6)),",",""),"원",""),0))))</f>
        <v/>
      </c>
      <c r="AA815" s="31">
        <f>IF($Y815="","",TRIM(INDEX($A:$U,ROW(),$E$6)&amp;IF($F$6="",""," "&amp;INDEX($A:$U,ROW(),$F$6))))</f>
        <v/>
      </c>
      <c r="AB815" s="31">
        <f>IF($AA815="","",SUBSTITUTE(SUBSTITUTE(SUBSTITUTE(SUBSTITUTE(SUBSTITUTE(SUBSTITUTE(SUBSTITUTE(SUBSTITUTE(SUBSTITUTE($AA815," ",""),"　",""),"(주)",""),"（주）",""),"㈜",""),"주식회사",""),"(유)",""),"（유）",""),"유한회사",""))</f>
        <v/>
      </c>
      <c r="AC815" s="31">
        <f>IF(OR($Y815="",N($Z815)&lt;=0,$AB815=""),0,IFERROR(LOOKUP(2,1/((거래처별!$AC$8:$AC$307&lt;&gt;"")*ISNUMBER(SEARCH(거래처별!$AC$8:$AC$307,$AB815))),거래처별!$A$8:$A$307),IFERROR(LOOKUP(2,1/((거래처별!$AD$8:$AD$307&lt;&gt;"")*ISNUMBER(SEARCH(거래처별!$AD$8:$AD$307,$AB815))),거래처별!$A$8:$A$307),IFERROR(LOOKUP(2,1/((거래처별!$AE$8:$AE$307&lt;&gt;"")*ISNUMBER(SEARCH(거래처별!$AE$8:$AE$307,$AB815))),거래처별!$A$8:$A$307),0))))</f>
        <v/>
      </c>
      <c r="AD815" s="31">
        <f>IF(AND($Y815&lt;&gt;"",N($Z815)&gt;0,$AC815=0),MAX($AD$7:$AD814)+1,"")</f>
        <v/>
      </c>
      <c r="AE815" s="31">
        <f>IF($Y815="",0,$Y815)</f>
        <v/>
      </c>
    </row>
    <row r="816">
      <c r="W816" s="31">
        <f>IF(OR($B$5="",$C$6="",ROW()&lt;$B$5),"",IF(INDEX($A:$U,ROW(),$C$6)="","",INDEX($A:$U,ROW(),$C$6)))</f>
        <v/>
      </c>
      <c r="X816" s="32">
        <f>IF($W816="","",IF(ISNUMBER($W816),IF($W816&gt;=10000000,IFERROR(DATE(INT($W816/10000),MOD(INT($W816/100),100),MOD($W816,100)),""),INT($W816)),IFERROR(DATE(--LEFT(LEFT(SUBSTITUTE(SUBSTITUTE(SUBSTITUTE(SUBSTITUTE(TRIM($W816),"-",""),".",""),"/","")," ",""),8),4),--MID(LEFT(SUBSTITUTE(SUBSTITUTE(SUBSTITUTE(SUBSTITUTE(TRIM($W816),"-",""),".",""),"/","")," ",""),8),5,2),--MID(LEFT(SUBSTITUTE(SUBSTITUTE(SUBSTITUTE(SUBSTITUTE(TRIM($W816),"-",""),".",""),"/","")," ",""),8),7,2)),"")))</f>
        <v/>
      </c>
      <c r="Y816" s="32">
        <f>IF($X816="","",INT($X816))</f>
        <v/>
      </c>
      <c r="Z816" s="33">
        <f>IF(OR($Y816="",$D$6=""),"",IF(INDEX($A:$U,ROW(),$D$6)="",0,IF(ISNUMBER(INDEX($A:$U,ROW(),$D$6)),INDEX($A:$U,ROW(),$D$6),IFERROR(--SUBSTITUTE(SUBSTITUTE(TRIM(INDEX($A:$U,ROW(),$D$6)),",",""),"원",""),0))))</f>
        <v/>
      </c>
      <c r="AA816" s="31">
        <f>IF($Y816="","",TRIM(INDEX($A:$U,ROW(),$E$6)&amp;IF($F$6="",""," "&amp;INDEX($A:$U,ROW(),$F$6))))</f>
        <v/>
      </c>
      <c r="AB816" s="31">
        <f>IF($AA816="","",SUBSTITUTE(SUBSTITUTE(SUBSTITUTE(SUBSTITUTE(SUBSTITUTE(SUBSTITUTE(SUBSTITUTE(SUBSTITUTE(SUBSTITUTE($AA816," ",""),"　",""),"(주)",""),"（주）",""),"㈜",""),"주식회사",""),"(유)",""),"（유）",""),"유한회사",""))</f>
        <v/>
      </c>
      <c r="AC816" s="31">
        <f>IF(OR($Y816="",N($Z816)&lt;=0,$AB816=""),0,IFERROR(LOOKUP(2,1/((거래처별!$AC$8:$AC$307&lt;&gt;"")*ISNUMBER(SEARCH(거래처별!$AC$8:$AC$307,$AB816))),거래처별!$A$8:$A$307),IFERROR(LOOKUP(2,1/((거래처별!$AD$8:$AD$307&lt;&gt;"")*ISNUMBER(SEARCH(거래처별!$AD$8:$AD$307,$AB816))),거래처별!$A$8:$A$307),IFERROR(LOOKUP(2,1/((거래처별!$AE$8:$AE$307&lt;&gt;"")*ISNUMBER(SEARCH(거래처별!$AE$8:$AE$307,$AB816))),거래처별!$A$8:$A$307),0))))</f>
        <v/>
      </c>
      <c r="AD816" s="31">
        <f>IF(AND($Y816&lt;&gt;"",N($Z816)&gt;0,$AC816=0),MAX($AD$7:$AD815)+1,"")</f>
        <v/>
      </c>
      <c r="AE816" s="31">
        <f>IF($Y816="",0,$Y816)</f>
        <v/>
      </c>
    </row>
    <row r="817">
      <c r="W817" s="31">
        <f>IF(OR($B$5="",$C$6="",ROW()&lt;$B$5),"",IF(INDEX($A:$U,ROW(),$C$6)="","",INDEX($A:$U,ROW(),$C$6)))</f>
        <v/>
      </c>
      <c r="X817" s="32">
        <f>IF($W817="","",IF(ISNUMBER($W817),IF($W817&gt;=10000000,IFERROR(DATE(INT($W817/10000),MOD(INT($W817/100),100),MOD($W817,100)),""),INT($W817)),IFERROR(DATE(--LEFT(LEFT(SUBSTITUTE(SUBSTITUTE(SUBSTITUTE(SUBSTITUTE(TRIM($W817),"-",""),".",""),"/","")," ",""),8),4),--MID(LEFT(SUBSTITUTE(SUBSTITUTE(SUBSTITUTE(SUBSTITUTE(TRIM($W817),"-",""),".",""),"/","")," ",""),8),5,2),--MID(LEFT(SUBSTITUTE(SUBSTITUTE(SUBSTITUTE(SUBSTITUTE(TRIM($W817),"-",""),".",""),"/","")," ",""),8),7,2)),"")))</f>
        <v/>
      </c>
      <c r="Y817" s="32">
        <f>IF($X817="","",INT($X817))</f>
        <v/>
      </c>
      <c r="Z817" s="33">
        <f>IF(OR($Y817="",$D$6=""),"",IF(INDEX($A:$U,ROW(),$D$6)="",0,IF(ISNUMBER(INDEX($A:$U,ROW(),$D$6)),INDEX($A:$U,ROW(),$D$6),IFERROR(--SUBSTITUTE(SUBSTITUTE(TRIM(INDEX($A:$U,ROW(),$D$6)),",",""),"원",""),0))))</f>
        <v/>
      </c>
      <c r="AA817" s="31">
        <f>IF($Y817="","",TRIM(INDEX($A:$U,ROW(),$E$6)&amp;IF($F$6="",""," "&amp;INDEX($A:$U,ROW(),$F$6))))</f>
        <v/>
      </c>
      <c r="AB817" s="31">
        <f>IF($AA817="","",SUBSTITUTE(SUBSTITUTE(SUBSTITUTE(SUBSTITUTE(SUBSTITUTE(SUBSTITUTE(SUBSTITUTE(SUBSTITUTE(SUBSTITUTE($AA817," ",""),"　",""),"(주)",""),"（주）",""),"㈜",""),"주식회사",""),"(유)",""),"（유）",""),"유한회사",""))</f>
        <v/>
      </c>
      <c r="AC817" s="31">
        <f>IF(OR($Y817="",N($Z817)&lt;=0,$AB817=""),0,IFERROR(LOOKUP(2,1/((거래처별!$AC$8:$AC$307&lt;&gt;"")*ISNUMBER(SEARCH(거래처별!$AC$8:$AC$307,$AB817))),거래처별!$A$8:$A$307),IFERROR(LOOKUP(2,1/((거래처별!$AD$8:$AD$307&lt;&gt;"")*ISNUMBER(SEARCH(거래처별!$AD$8:$AD$307,$AB817))),거래처별!$A$8:$A$307),IFERROR(LOOKUP(2,1/((거래처별!$AE$8:$AE$307&lt;&gt;"")*ISNUMBER(SEARCH(거래처별!$AE$8:$AE$307,$AB817))),거래처별!$A$8:$A$307),0))))</f>
        <v/>
      </c>
      <c r="AD817" s="31">
        <f>IF(AND($Y817&lt;&gt;"",N($Z817)&gt;0,$AC817=0),MAX($AD$7:$AD816)+1,"")</f>
        <v/>
      </c>
      <c r="AE817" s="31">
        <f>IF($Y817="",0,$Y817)</f>
        <v/>
      </c>
    </row>
    <row r="818">
      <c r="W818" s="31">
        <f>IF(OR($B$5="",$C$6="",ROW()&lt;$B$5),"",IF(INDEX($A:$U,ROW(),$C$6)="","",INDEX($A:$U,ROW(),$C$6)))</f>
        <v/>
      </c>
      <c r="X818" s="32">
        <f>IF($W818="","",IF(ISNUMBER($W818),IF($W818&gt;=10000000,IFERROR(DATE(INT($W818/10000),MOD(INT($W818/100),100),MOD($W818,100)),""),INT($W818)),IFERROR(DATE(--LEFT(LEFT(SUBSTITUTE(SUBSTITUTE(SUBSTITUTE(SUBSTITUTE(TRIM($W818),"-",""),".",""),"/","")," ",""),8),4),--MID(LEFT(SUBSTITUTE(SUBSTITUTE(SUBSTITUTE(SUBSTITUTE(TRIM($W818),"-",""),".",""),"/","")," ",""),8),5,2),--MID(LEFT(SUBSTITUTE(SUBSTITUTE(SUBSTITUTE(SUBSTITUTE(TRIM($W818),"-",""),".",""),"/","")," ",""),8),7,2)),"")))</f>
        <v/>
      </c>
      <c r="Y818" s="32">
        <f>IF($X818="","",INT($X818))</f>
        <v/>
      </c>
      <c r="Z818" s="33">
        <f>IF(OR($Y818="",$D$6=""),"",IF(INDEX($A:$U,ROW(),$D$6)="",0,IF(ISNUMBER(INDEX($A:$U,ROW(),$D$6)),INDEX($A:$U,ROW(),$D$6),IFERROR(--SUBSTITUTE(SUBSTITUTE(TRIM(INDEX($A:$U,ROW(),$D$6)),",",""),"원",""),0))))</f>
        <v/>
      </c>
      <c r="AA818" s="31">
        <f>IF($Y818="","",TRIM(INDEX($A:$U,ROW(),$E$6)&amp;IF($F$6="",""," "&amp;INDEX($A:$U,ROW(),$F$6))))</f>
        <v/>
      </c>
      <c r="AB818" s="31">
        <f>IF($AA818="","",SUBSTITUTE(SUBSTITUTE(SUBSTITUTE(SUBSTITUTE(SUBSTITUTE(SUBSTITUTE(SUBSTITUTE(SUBSTITUTE(SUBSTITUTE($AA818," ",""),"　",""),"(주)",""),"（주）",""),"㈜",""),"주식회사",""),"(유)",""),"（유）",""),"유한회사",""))</f>
        <v/>
      </c>
      <c r="AC818" s="31">
        <f>IF(OR($Y818="",N($Z818)&lt;=0,$AB818=""),0,IFERROR(LOOKUP(2,1/((거래처별!$AC$8:$AC$307&lt;&gt;"")*ISNUMBER(SEARCH(거래처별!$AC$8:$AC$307,$AB818))),거래처별!$A$8:$A$307),IFERROR(LOOKUP(2,1/((거래처별!$AD$8:$AD$307&lt;&gt;"")*ISNUMBER(SEARCH(거래처별!$AD$8:$AD$307,$AB818))),거래처별!$A$8:$A$307),IFERROR(LOOKUP(2,1/((거래처별!$AE$8:$AE$307&lt;&gt;"")*ISNUMBER(SEARCH(거래처별!$AE$8:$AE$307,$AB818))),거래처별!$A$8:$A$307),0))))</f>
        <v/>
      </c>
      <c r="AD818" s="31">
        <f>IF(AND($Y818&lt;&gt;"",N($Z818)&gt;0,$AC818=0),MAX($AD$7:$AD817)+1,"")</f>
        <v/>
      </c>
      <c r="AE818" s="31">
        <f>IF($Y818="",0,$Y818)</f>
        <v/>
      </c>
    </row>
    <row r="819">
      <c r="W819" s="31">
        <f>IF(OR($B$5="",$C$6="",ROW()&lt;$B$5),"",IF(INDEX($A:$U,ROW(),$C$6)="","",INDEX($A:$U,ROW(),$C$6)))</f>
        <v/>
      </c>
      <c r="X819" s="32">
        <f>IF($W819="","",IF(ISNUMBER($W819),IF($W819&gt;=10000000,IFERROR(DATE(INT($W819/10000),MOD(INT($W819/100),100),MOD($W819,100)),""),INT($W819)),IFERROR(DATE(--LEFT(LEFT(SUBSTITUTE(SUBSTITUTE(SUBSTITUTE(SUBSTITUTE(TRIM($W819),"-",""),".",""),"/","")," ",""),8),4),--MID(LEFT(SUBSTITUTE(SUBSTITUTE(SUBSTITUTE(SUBSTITUTE(TRIM($W819),"-",""),".",""),"/","")," ",""),8),5,2),--MID(LEFT(SUBSTITUTE(SUBSTITUTE(SUBSTITUTE(SUBSTITUTE(TRIM($W819),"-",""),".",""),"/","")," ",""),8),7,2)),"")))</f>
        <v/>
      </c>
      <c r="Y819" s="32">
        <f>IF($X819="","",INT($X819))</f>
        <v/>
      </c>
      <c r="Z819" s="33">
        <f>IF(OR($Y819="",$D$6=""),"",IF(INDEX($A:$U,ROW(),$D$6)="",0,IF(ISNUMBER(INDEX($A:$U,ROW(),$D$6)),INDEX($A:$U,ROW(),$D$6),IFERROR(--SUBSTITUTE(SUBSTITUTE(TRIM(INDEX($A:$U,ROW(),$D$6)),",",""),"원",""),0))))</f>
        <v/>
      </c>
      <c r="AA819" s="31">
        <f>IF($Y819="","",TRIM(INDEX($A:$U,ROW(),$E$6)&amp;IF($F$6="",""," "&amp;INDEX($A:$U,ROW(),$F$6))))</f>
        <v/>
      </c>
      <c r="AB819" s="31">
        <f>IF($AA819="","",SUBSTITUTE(SUBSTITUTE(SUBSTITUTE(SUBSTITUTE(SUBSTITUTE(SUBSTITUTE(SUBSTITUTE(SUBSTITUTE(SUBSTITUTE($AA819," ",""),"　",""),"(주)",""),"（주）",""),"㈜",""),"주식회사",""),"(유)",""),"（유）",""),"유한회사",""))</f>
        <v/>
      </c>
      <c r="AC819" s="31">
        <f>IF(OR($Y819="",N($Z819)&lt;=0,$AB819=""),0,IFERROR(LOOKUP(2,1/((거래처별!$AC$8:$AC$307&lt;&gt;"")*ISNUMBER(SEARCH(거래처별!$AC$8:$AC$307,$AB819))),거래처별!$A$8:$A$307),IFERROR(LOOKUP(2,1/((거래처별!$AD$8:$AD$307&lt;&gt;"")*ISNUMBER(SEARCH(거래처별!$AD$8:$AD$307,$AB819))),거래처별!$A$8:$A$307),IFERROR(LOOKUP(2,1/((거래처별!$AE$8:$AE$307&lt;&gt;"")*ISNUMBER(SEARCH(거래처별!$AE$8:$AE$307,$AB819))),거래처별!$A$8:$A$307),0))))</f>
        <v/>
      </c>
      <c r="AD819" s="31">
        <f>IF(AND($Y819&lt;&gt;"",N($Z819)&gt;0,$AC819=0),MAX($AD$7:$AD818)+1,"")</f>
        <v/>
      </c>
      <c r="AE819" s="31">
        <f>IF($Y819="",0,$Y819)</f>
        <v/>
      </c>
    </row>
    <row r="820">
      <c r="W820" s="31">
        <f>IF(OR($B$5="",$C$6="",ROW()&lt;$B$5),"",IF(INDEX($A:$U,ROW(),$C$6)="","",INDEX($A:$U,ROW(),$C$6)))</f>
        <v/>
      </c>
      <c r="X820" s="32">
        <f>IF($W820="","",IF(ISNUMBER($W820),IF($W820&gt;=10000000,IFERROR(DATE(INT($W820/10000),MOD(INT($W820/100),100),MOD($W820,100)),""),INT($W820)),IFERROR(DATE(--LEFT(LEFT(SUBSTITUTE(SUBSTITUTE(SUBSTITUTE(SUBSTITUTE(TRIM($W820),"-",""),".",""),"/","")," ",""),8),4),--MID(LEFT(SUBSTITUTE(SUBSTITUTE(SUBSTITUTE(SUBSTITUTE(TRIM($W820),"-",""),".",""),"/","")," ",""),8),5,2),--MID(LEFT(SUBSTITUTE(SUBSTITUTE(SUBSTITUTE(SUBSTITUTE(TRIM($W820),"-",""),".",""),"/","")," ",""),8),7,2)),"")))</f>
        <v/>
      </c>
      <c r="Y820" s="32">
        <f>IF($X820="","",INT($X820))</f>
        <v/>
      </c>
      <c r="Z820" s="33">
        <f>IF(OR($Y820="",$D$6=""),"",IF(INDEX($A:$U,ROW(),$D$6)="",0,IF(ISNUMBER(INDEX($A:$U,ROW(),$D$6)),INDEX($A:$U,ROW(),$D$6),IFERROR(--SUBSTITUTE(SUBSTITUTE(TRIM(INDEX($A:$U,ROW(),$D$6)),",",""),"원",""),0))))</f>
        <v/>
      </c>
      <c r="AA820" s="31">
        <f>IF($Y820="","",TRIM(INDEX($A:$U,ROW(),$E$6)&amp;IF($F$6="",""," "&amp;INDEX($A:$U,ROW(),$F$6))))</f>
        <v/>
      </c>
      <c r="AB820" s="31">
        <f>IF($AA820="","",SUBSTITUTE(SUBSTITUTE(SUBSTITUTE(SUBSTITUTE(SUBSTITUTE(SUBSTITUTE(SUBSTITUTE(SUBSTITUTE(SUBSTITUTE($AA820," ",""),"　",""),"(주)",""),"（주）",""),"㈜",""),"주식회사",""),"(유)",""),"（유）",""),"유한회사",""))</f>
        <v/>
      </c>
      <c r="AC820" s="31">
        <f>IF(OR($Y820="",N($Z820)&lt;=0,$AB820=""),0,IFERROR(LOOKUP(2,1/((거래처별!$AC$8:$AC$307&lt;&gt;"")*ISNUMBER(SEARCH(거래처별!$AC$8:$AC$307,$AB820))),거래처별!$A$8:$A$307),IFERROR(LOOKUP(2,1/((거래처별!$AD$8:$AD$307&lt;&gt;"")*ISNUMBER(SEARCH(거래처별!$AD$8:$AD$307,$AB820))),거래처별!$A$8:$A$307),IFERROR(LOOKUP(2,1/((거래처별!$AE$8:$AE$307&lt;&gt;"")*ISNUMBER(SEARCH(거래처별!$AE$8:$AE$307,$AB820))),거래처별!$A$8:$A$307),0))))</f>
        <v/>
      </c>
      <c r="AD820" s="31">
        <f>IF(AND($Y820&lt;&gt;"",N($Z820)&gt;0,$AC820=0),MAX($AD$7:$AD819)+1,"")</f>
        <v/>
      </c>
      <c r="AE820" s="31">
        <f>IF($Y820="",0,$Y820)</f>
        <v/>
      </c>
    </row>
    <row r="821">
      <c r="W821" s="31">
        <f>IF(OR($B$5="",$C$6="",ROW()&lt;$B$5),"",IF(INDEX($A:$U,ROW(),$C$6)="","",INDEX($A:$U,ROW(),$C$6)))</f>
        <v/>
      </c>
      <c r="X821" s="32">
        <f>IF($W821="","",IF(ISNUMBER($W821),IF($W821&gt;=10000000,IFERROR(DATE(INT($W821/10000),MOD(INT($W821/100),100),MOD($W821,100)),""),INT($W821)),IFERROR(DATE(--LEFT(LEFT(SUBSTITUTE(SUBSTITUTE(SUBSTITUTE(SUBSTITUTE(TRIM($W821),"-",""),".",""),"/","")," ",""),8),4),--MID(LEFT(SUBSTITUTE(SUBSTITUTE(SUBSTITUTE(SUBSTITUTE(TRIM($W821),"-",""),".",""),"/","")," ",""),8),5,2),--MID(LEFT(SUBSTITUTE(SUBSTITUTE(SUBSTITUTE(SUBSTITUTE(TRIM($W821),"-",""),".",""),"/","")," ",""),8),7,2)),"")))</f>
        <v/>
      </c>
      <c r="Y821" s="32">
        <f>IF($X821="","",INT($X821))</f>
        <v/>
      </c>
      <c r="Z821" s="33">
        <f>IF(OR($Y821="",$D$6=""),"",IF(INDEX($A:$U,ROW(),$D$6)="",0,IF(ISNUMBER(INDEX($A:$U,ROW(),$D$6)),INDEX($A:$U,ROW(),$D$6),IFERROR(--SUBSTITUTE(SUBSTITUTE(TRIM(INDEX($A:$U,ROW(),$D$6)),",",""),"원",""),0))))</f>
        <v/>
      </c>
      <c r="AA821" s="31">
        <f>IF($Y821="","",TRIM(INDEX($A:$U,ROW(),$E$6)&amp;IF($F$6="",""," "&amp;INDEX($A:$U,ROW(),$F$6))))</f>
        <v/>
      </c>
      <c r="AB821" s="31">
        <f>IF($AA821="","",SUBSTITUTE(SUBSTITUTE(SUBSTITUTE(SUBSTITUTE(SUBSTITUTE(SUBSTITUTE(SUBSTITUTE(SUBSTITUTE(SUBSTITUTE($AA821," ",""),"　",""),"(주)",""),"（주）",""),"㈜",""),"주식회사",""),"(유)",""),"（유）",""),"유한회사",""))</f>
        <v/>
      </c>
      <c r="AC821" s="31">
        <f>IF(OR($Y821="",N($Z821)&lt;=0,$AB821=""),0,IFERROR(LOOKUP(2,1/((거래처별!$AC$8:$AC$307&lt;&gt;"")*ISNUMBER(SEARCH(거래처별!$AC$8:$AC$307,$AB821))),거래처별!$A$8:$A$307),IFERROR(LOOKUP(2,1/((거래처별!$AD$8:$AD$307&lt;&gt;"")*ISNUMBER(SEARCH(거래처별!$AD$8:$AD$307,$AB821))),거래처별!$A$8:$A$307),IFERROR(LOOKUP(2,1/((거래처별!$AE$8:$AE$307&lt;&gt;"")*ISNUMBER(SEARCH(거래처별!$AE$8:$AE$307,$AB821))),거래처별!$A$8:$A$307),0))))</f>
        <v/>
      </c>
      <c r="AD821" s="31">
        <f>IF(AND($Y821&lt;&gt;"",N($Z821)&gt;0,$AC821=0),MAX($AD$7:$AD820)+1,"")</f>
        <v/>
      </c>
      <c r="AE821" s="31">
        <f>IF($Y821="",0,$Y821)</f>
        <v/>
      </c>
    </row>
    <row r="822">
      <c r="W822" s="31">
        <f>IF(OR($B$5="",$C$6="",ROW()&lt;$B$5),"",IF(INDEX($A:$U,ROW(),$C$6)="","",INDEX($A:$U,ROW(),$C$6)))</f>
        <v/>
      </c>
      <c r="X822" s="32">
        <f>IF($W822="","",IF(ISNUMBER($W822),IF($W822&gt;=10000000,IFERROR(DATE(INT($W822/10000),MOD(INT($W822/100),100),MOD($W822,100)),""),INT($W822)),IFERROR(DATE(--LEFT(LEFT(SUBSTITUTE(SUBSTITUTE(SUBSTITUTE(SUBSTITUTE(TRIM($W822),"-",""),".",""),"/","")," ",""),8),4),--MID(LEFT(SUBSTITUTE(SUBSTITUTE(SUBSTITUTE(SUBSTITUTE(TRIM($W822),"-",""),".",""),"/","")," ",""),8),5,2),--MID(LEFT(SUBSTITUTE(SUBSTITUTE(SUBSTITUTE(SUBSTITUTE(TRIM($W822),"-",""),".",""),"/","")," ",""),8),7,2)),"")))</f>
        <v/>
      </c>
      <c r="Y822" s="32">
        <f>IF($X822="","",INT($X822))</f>
        <v/>
      </c>
      <c r="Z822" s="33">
        <f>IF(OR($Y822="",$D$6=""),"",IF(INDEX($A:$U,ROW(),$D$6)="",0,IF(ISNUMBER(INDEX($A:$U,ROW(),$D$6)),INDEX($A:$U,ROW(),$D$6),IFERROR(--SUBSTITUTE(SUBSTITUTE(TRIM(INDEX($A:$U,ROW(),$D$6)),",",""),"원",""),0))))</f>
        <v/>
      </c>
      <c r="AA822" s="31">
        <f>IF($Y822="","",TRIM(INDEX($A:$U,ROW(),$E$6)&amp;IF($F$6="",""," "&amp;INDEX($A:$U,ROW(),$F$6))))</f>
        <v/>
      </c>
      <c r="AB822" s="31">
        <f>IF($AA822="","",SUBSTITUTE(SUBSTITUTE(SUBSTITUTE(SUBSTITUTE(SUBSTITUTE(SUBSTITUTE(SUBSTITUTE(SUBSTITUTE(SUBSTITUTE($AA822," ",""),"　",""),"(주)",""),"（주）",""),"㈜",""),"주식회사",""),"(유)",""),"（유）",""),"유한회사",""))</f>
        <v/>
      </c>
      <c r="AC822" s="31">
        <f>IF(OR($Y822="",N($Z822)&lt;=0,$AB822=""),0,IFERROR(LOOKUP(2,1/((거래처별!$AC$8:$AC$307&lt;&gt;"")*ISNUMBER(SEARCH(거래처별!$AC$8:$AC$307,$AB822))),거래처별!$A$8:$A$307),IFERROR(LOOKUP(2,1/((거래처별!$AD$8:$AD$307&lt;&gt;"")*ISNUMBER(SEARCH(거래처별!$AD$8:$AD$307,$AB822))),거래처별!$A$8:$A$307),IFERROR(LOOKUP(2,1/((거래처별!$AE$8:$AE$307&lt;&gt;"")*ISNUMBER(SEARCH(거래처별!$AE$8:$AE$307,$AB822))),거래처별!$A$8:$A$307),0))))</f>
        <v/>
      </c>
      <c r="AD822" s="31">
        <f>IF(AND($Y822&lt;&gt;"",N($Z822)&gt;0,$AC822=0),MAX($AD$7:$AD821)+1,"")</f>
        <v/>
      </c>
      <c r="AE822" s="31">
        <f>IF($Y822="",0,$Y822)</f>
        <v/>
      </c>
    </row>
    <row r="823">
      <c r="W823" s="31">
        <f>IF(OR($B$5="",$C$6="",ROW()&lt;$B$5),"",IF(INDEX($A:$U,ROW(),$C$6)="","",INDEX($A:$U,ROW(),$C$6)))</f>
        <v/>
      </c>
      <c r="X823" s="32">
        <f>IF($W823="","",IF(ISNUMBER($W823),IF($W823&gt;=10000000,IFERROR(DATE(INT($W823/10000),MOD(INT($W823/100),100),MOD($W823,100)),""),INT($W823)),IFERROR(DATE(--LEFT(LEFT(SUBSTITUTE(SUBSTITUTE(SUBSTITUTE(SUBSTITUTE(TRIM($W823),"-",""),".",""),"/","")," ",""),8),4),--MID(LEFT(SUBSTITUTE(SUBSTITUTE(SUBSTITUTE(SUBSTITUTE(TRIM($W823),"-",""),".",""),"/","")," ",""),8),5,2),--MID(LEFT(SUBSTITUTE(SUBSTITUTE(SUBSTITUTE(SUBSTITUTE(TRIM($W823),"-",""),".",""),"/","")," ",""),8),7,2)),"")))</f>
        <v/>
      </c>
      <c r="Y823" s="32">
        <f>IF($X823="","",INT($X823))</f>
        <v/>
      </c>
      <c r="Z823" s="33">
        <f>IF(OR($Y823="",$D$6=""),"",IF(INDEX($A:$U,ROW(),$D$6)="",0,IF(ISNUMBER(INDEX($A:$U,ROW(),$D$6)),INDEX($A:$U,ROW(),$D$6),IFERROR(--SUBSTITUTE(SUBSTITUTE(TRIM(INDEX($A:$U,ROW(),$D$6)),",",""),"원",""),0))))</f>
        <v/>
      </c>
      <c r="AA823" s="31">
        <f>IF($Y823="","",TRIM(INDEX($A:$U,ROW(),$E$6)&amp;IF($F$6="",""," "&amp;INDEX($A:$U,ROW(),$F$6))))</f>
        <v/>
      </c>
      <c r="AB823" s="31">
        <f>IF($AA823="","",SUBSTITUTE(SUBSTITUTE(SUBSTITUTE(SUBSTITUTE(SUBSTITUTE(SUBSTITUTE(SUBSTITUTE(SUBSTITUTE(SUBSTITUTE($AA823," ",""),"　",""),"(주)",""),"（주）",""),"㈜",""),"주식회사",""),"(유)",""),"（유）",""),"유한회사",""))</f>
        <v/>
      </c>
      <c r="AC823" s="31">
        <f>IF(OR($Y823="",N($Z823)&lt;=0,$AB823=""),0,IFERROR(LOOKUP(2,1/((거래처별!$AC$8:$AC$307&lt;&gt;"")*ISNUMBER(SEARCH(거래처별!$AC$8:$AC$307,$AB823))),거래처별!$A$8:$A$307),IFERROR(LOOKUP(2,1/((거래처별!$AD$8:$AD$307&lt;&gt;"")*ISNUMBER(SEARCH(거래처별!$AD$8:$AD$307,$AB823))),거래처별!$A$8:$A$307),IFERROR(LOOKUP(2,1/((거래처별!$AE$8:$AE$307&lt;&gt;"")*ISNUMBER(SEARCH(거래처별!$AE$8:$AE$307,$AB823))),거래처별!$A$8:$A$307),0))))</f>
        <v/>
      </c>
      <c r="AD823" s="31">
        <f>IF(AND($Y823&lt;&gt;"",N($Z823)&gt;0,$AC823=0),MAX($AD$7:$AD822)+1,"")</f>
        <v/>
      </c>
      <c r="AE823" s="31">
        <f>IF($Y823="",0,$Y823)</f>
        <v/>
      </c>
    </row>
    <row r="824">
      <c r="W824" s="31">
        <f>IF(OR($B$5="",$C$6="",ROW()&lt;$B$5),"",IF(INDEX($A:$U,ROW(),$C$6)="","",INDEX($A:$U,ROW(),$C$6)))</f>
        <v/>
      </c>
      <c r="X824" s="32">
        <f>IF($W824="","",IF(ISNUMBER($W824),IF($W824&gt;=10000000,IFERROR(DATE(INT($W824/10000),MOD(INT($W824/100),100),MOD($W824,100)),""),INT($W824)),IFERROR(DATE(--LEFT(LEFT(SUBSTITUTE(SUBSTITUTE(SUBSTITUTE(SUBSTITUTE(TRIM($W824),"-",""),".",""),"/","")," ",""),8),4),--MID(LEFT(SUBSTITUTE(SUBSTITUTE(SUBSTITUTE(SUBSTITUTE(TRIM($W824),"-",""),".",""),"/","")," ",""),8),5,2),--MID(LEFT(SUBSTITUTE(SUBSTITUTE(SUBSTITUTE(SUBSTITUTE(TRIM($W824),"-",""),".",""),"/","")," ",""),8),7,2)),"")))</f>
        <v/>
      </c>
      <c r="Y824" s="32">
        <f>IF($X824="","",INT($X824))</f>
        <v/>
      </c>
      <c r="Z824" s="33">
        <f>IF(OR($Y824="",$D$6=""),"",IF(INDEX($A:$U,ROW(),$D$6)="",0,IF(ISNUMBER(INDEX($A:$U,ROW(),$D$6)),INDEX($A:$U,ROW(),$D$6),IFERROR(--SUBSTITUTE(SUBSTITUTE(TRIM(INDEX($A:$U,ROW(),$D$6)),",",""),"원",""),0))))</f>
        <v/>
      </c>
      <c r="AA824" s="31">
        <f>IF($Y824="","",TRIM(INDEX($A:$U,ROW(),$E$6)&amp;IF($F$6="",""," "&amp;INDEX($A:$U,ROW(),$F$6))))</f>
        <v/>
      </c>
      <c r="AB824" s="31">
        <f>IF($AA824="","",SUBSTITUTE(SUBSTITUTE(SUBSTITUTE(SUBSTITUTE(SUBSTITUTE(SUBSTITUTE(SUBSTITUTE(SUBSTITUTE(SUBSTITUTE($AA824," ",""),"　",""),"(주)",""),"（주）",""),"㈜",""),"주식회사",""),"(유)",""),"（유）",""),"유한회사",""))</f>
        <v/>
      </c>
      <c r="AC824" s="31">
        <f>IF(OR($Y824="",N($Z824)&lt;=0,$AB824=""),0,IFERROR(LOOKUP(2,1/((거래처별!$AC$8:$AC$307&lt;&gt;"")*ISNUMBER(SEARCH(거래처별!$AC$8:$AC$307,$AB824))),거래처별!$A$8:$A$307),IFERROR(LOOKUP(2,1/((거래처별!$AD$8:$AD$307&lt;&gt;"")*ISNUMBER(SEARCH(거래처별!$AD$8:$AD$307,$AB824))),거래처별!$A$8:$A$307),IFERROR(LOOKUP(2,1/((거래처별!$AE$8:$AE$307&lt;&gt;"")*ISNUMBER(SEARCH(거래처별!$AE$8:$AE$307,$AB824))),거래처별!$A$8:$A$307),0))))</f>
        <v/>
      </c>
      <c r="AD824" s="31">
        <f>IF(AND($Y824&lt;&gt;"",N($Z824)&gt;0,$AC824=0),MAX($AD$7:$AD823)+1,"")</f>
        <v/>
      </c>
      <c r="AE824" s="31">
        <f>IF($Y824="",0,$Y824)</f>
        <v/>
      </c>
    </row>
    <row r="825">
      <c r="W825" s="31">
        <f>IF(OR($B$5="",$C$6="",ROW()&lt;$B$5),"",IF(INDEX($A:$U,ROW(),$C$6)="","",INDEX($A:$U,ROW(),$C$6)))</f>
        <v/>
      </c>
      <c r="X825" s="32">
        <f>IF($W825="","",IF(ISNUMBER($W825),IF($W825&gt;=10000000,IFERROR(DATE(INT($W825/10000),MOD(INT($W825/100),100),MOD($W825,100)),""),INT($W825)),IFERROR(DATE(--LEFT(LEFT(SUBSTITUTE(SUBSTITUTE(SUBSTITUTE(SUBSTITUTE(TRIM($W825),"-",""),".",""),"/","")," ",""),8),4),--MID(LEFT(SUBSTITUTE(SUBSTITUTE(SUBSTITUTE(SUBSTITUTE(TRIM($W825),"-",""),".",""),"/","")," ",""),8),5,2),--MID(LEFT(SUBSTITUTE(SUBSTITUTE(SUBSTITUTE(SUBSTITUTE(TRIM($W825),"-",""),".",""),"/","")," ",""),8),7,2)),"")))</f>
        <v/>
      </c>
      <c r="Y825" s="32">
        <f>IF($X825="","",INT($X825))</f>
        <v/>
      </c>
      <c r="Z825" s="33">
        <f>IF(OR($Y825="",$D$6=""),"",IF(INDEX($A:$U,ROW(),$D$6)="",0,IF(ISNUMBER(INDEX($A:$U,ROW(),$D$6)),INDEX($A:$U,ROW(),$D$6),IFERROR(--SUBSTITUTE(SUBSTITUTE(TRIM(INDEX($A:$U,ROW(),$D$6)),",",""),"원",""),0))))</f>
        <v/>
      </c>
      <c r="AA825" s="31">
        <f>IF($Y825="","",TRIM(INDEX($A:$U,ROW(),$E$6)&amp;IF($F$6="",""," "&amp;INDEX($A:$U,ROW(),$F$6))))</f>
        <v/>
      </c>
      <c r="AB825" s="31">
        <f>IF($AA825="","",SUBSTITUTE(SUBSTITUTE(SUBSTITUTE(SUBSTITUTE(SUBSTITUTE(SUBSTITUTE(SUBSTITUTE(SUBSTITUTE(SUBSTITUTE($AA825," ",""),"　",""),"(주)",""),"（주）",""),"㈜",""),"주식회사",""),"(유)",""),"（유）",""),"유한회사",""))</f>
        <v/>
      </c>
      <c r="AC825" s="31">
        <f>IF(OR($Y825="",N($Z825)&lt;=0,$AB825=""),0,IFERROR(LOOKUP(2,1/((거래처별!$AC$8:$AC$307&lt;&gt;"")*ISNUMBER(SEARCH(거래처별!$AC$8:$AC$307,$AB825))),거래처별!$A$8:$A$307),IFERROR(LOOKUP(2,1/((거래처별!$AD$8:$AD$307&lt;&gt;"")*ISNUMBER(SEARCH(거래처별!$AD$8:$AD$307,$AB825))),거래처별!$A$8:$A$307),IFERROR(LOOKUP(2,1/((거래처별!$AE$8:$AE$307&lt;&gt;"")*ISNUMBER(SEARCH(거래처별!$AE$8:$AE$307,$AB825))),거래처별!$A$8:$A$307),0))))</f>
        <v/>
      </c>
      <c r="AD825" s="31">
        <f>IF(AND($Y825&lt;&gt;"",N($Z825)&gt;0,$AC825=0),MAX($AD$7:$AD824)+1,"")</f>
        <v/>
      </c>
      <c r="AE825" s="31">
        <f>IF($Y825="",0,$Y825)</f>
        <v/>
      </c>
    </row>
    <row r="826">
      <c r="W826" s="31">
        <f>IF(OR($B$5="",$C$6="",ROW()&lt;$B$5),"",IF(INDEX($A:$U,ROW(),$C$6)="","",INDEX($A:$U,ROW(),$C$6)))</f>
        <v/>
      </c>
      <c r="X826" s="32">
        <f>IF($W826="","",IF(ISNUMBER($W826),IF($W826&gt;=10000000,IFERROR(DATE(INT($W826/10000),MOD(INT($W826/100),100),MOD($W826,100)),""),INT($W826)),IFERROR(DATE(--LEFT(LEFT(SUBSTITUTE(SUBSTITUTE(SUBSTITUTE(SUBSTITUTE(TRIM($W826),"-",""),".",""),"/","")," ",""),8),4),--MID(LEFT(SUBSTITUTE(SUBSTITUTE(SUBSTITUTE(SUBSTITUTE(TRIM($W826),"-",""),".",""),"/","")," ",""),8),5,2),--MID(LEFT(SUBSTITUTE(SUBSTITUTE(SUBSTITUTE(SUBSTITUTE(TRIM($W826),"-",""),".",""),"/","")," ",""),8),7,2)),"")))</f>
        <v/>
      </c>
      <c r="Y826" s="32">
        <f>IF($X826="","",INT($X826))</f>
        <v/>
      </c>
      <c r="Z826" s="33">
        <f>IF(OR($Y826="",$D$6=""),"",IF(INDEX($A:$U,ROW(),$D$6)="",0,IF(ISNUMBER(INDEX($A:$U,ROW(),$D$6)),INDEX($A:$U,ROW(),$D$6),IFERROR(--SUBSTITUTE(SUBSTITUTE(TRIM(INDEX($A:$U,ROW(),$D$6)),",",""),"원",""),0))))</f>
        <v/>
      </c>
      <c r="AA826" s="31">
        <f>IF($Y826="","",TRIM(INDEX($A:$U,ROW(),$E$6)&amp;IF($F$6="",""," "&amp;INDEX($A:$U,ROW(),$F$6))))</f>
        <v/>
      </c>
      <c r="AB826" s="31">
        <f>IF($AA826="","",SUBSTITUTE(SUBSTITUTE(SUBSTITUTE(SUBSTITUTE(SUBSTITUTE(SUBSTITUTE(SUBSTITUTE(SUBSTITUTE(SUBSTITUTE($AA826," ",""),"　",""),"(주)",""),"（주）",""),"㈜",""),"주식회사",""),"(유)",""),"（유）",""),"유한회사",""))</f>
        <v/>
      </c>
      <c r="AC826" s="31">
        <f>IF(OR($Y826="",N($Z826)&lt;=0,$AB826=""),0,IFERROR(LOOKUP(2,1/((거래처별!$AC$8:$AC$307&lt;&gt;"")*ISNUMBER(SEARCH(거래처별!$AC$8:$AC$307,$AB826))),거래처별!$A$8:$A$307),IFERROR(LOOKUP(2,1/((거래처별!$AD$8:$AD$307&lt;&gt;"")*ISNUMBER(SEARCH(거래처별!$AD$8:$AD$307,$AB826))),거래처별!$A$8:$A$307),IFERROR(LOOKUP(2,1/((거래처별!$AE$8:$AE$307&lt;&gt;"")*ISNUMBER(SEARCH(거래처별!$AE$8:$AE$307,$AB826))),거래처별!$A$8:$A$307),0))))</f>
        <v/>
      </c>
      <c r="AD826" s="31">
        <f>IF(AND($Y826&lt;&gt;"",N($Z826)&gt;0,$AC826=0),MAX($AD$7:$AD825)+1,"")</f>
        <v/>
      </c>
      <c r="AE826" s="31">
        <f>IF($Y826="",0,$Y826)</f>
        <v/>
      </c>
    </row>
    <row r="827">
      <c r="W827" s="31">
        <f>IF(OR($B$5="",$C$6="",ROW()&lt;$B$5),"",IF(INDEX($A:$U,ROW(),$C$6)="","",INDEX($A:$U,ROW(),$C$6)))</f>
        <v/>
      </c>
      <c r="X827" s="32">
        <f>IF($W827="","",IF(ISNUMBER($W827),IF($W827&gt;=10000000,IFERROR(DATE(INT($W827/10000),MOD(INT($W827/100),100),MOD($W827,100)),""),INT($W827)),IFERROR(DATE(--LEFT(LEFT(SUBSTITUTE(SUBSTITUTE(SUBSTITUTE(SUBSTITUTE(TRIM($W827),"-",""),".",""),"/","")," ",""),8),4),--MID(LEFT(SUBSTITUTE(SUBSTITUTE(SUBSTITUTE(SUBSTITUTE(TRIM($W827),"-",""),".",""),"/","")," ",""),8),5,2),--MID(LEFT(SUBSTITUTE(SUBSTITUTE(SUBSTITUTE(SUBSTITUTE(TRIM($W827),"-",""),".",""),"/","")," ",""),8),7,2)),"")))</f>
        <v/>
      </c>
      <c r="Y827" s="32">
        <f>IF($X827="","",INT($X827))</f>
        <v/>
      </c>
      <c r="Z827" s="33">
        <f>IF(OR($Y827="",$D$6=""),"",IF(INDEX($A:$U,ROW(),$D$6)="",0,IF(ISNUMBER(INDEX($A:$U,ROW(),$D$6)),INDEX($A:$U,ROW(),$D$6),IFERROR(--SUBSTITUTE(SUBSTITUTE(TRIM(INDEX($A:$U,ROW(),$D$6)),",",""),"원",""),0))))</f>
        <v/>
      </c>
      <c r="AA827" s="31">
        <f>IF($Y827="","",TRIM(INDEX($A:$U,ROW(),$E$6)&amp;IF($F$6="",""," "&amp;INDEX($A:$U,ROW(),$F$6))))</f>
        <v/>
      </c>
      <c r="AB827" s="31">
        <f>IF($AA827="","",SUBSTITUTE(SUBSTITUTE(SUBSTITUTE(SUBSTITUTE(SUBSTITUTE(SUBSTITUTE(SUBSTITUTE(SUBSTITUTE(SUBSTITUTE($AA827," ",""),"　",""),"(주)",""),"（주）",""),"㈜",""),"주식회사",""),"(유)",""),"（유）",""),"유한회사",""))</f>
        <v/>
      </c>
      <c r="AC827" s="31">
        <f>IF(OR($Y827="",N($Z827)&lt;=0,$AB827=""),0,IFERROR(LOOKUP(2,1/((거래처별!$AC$8:$AC$307&lt;&gt;"")*ISNUMBER(SEARCH(거래처별!$AC$8:$AC$307,$AB827))),거래처별!$A$8:$A$307),IFERROR(LOOKUP(2,1/((거래처별!$AD$8:$AD$307&lt;&gt;"")*ISNUMBER(SEARCH(거래처별!$AD$8:$AD$307,$AB827))),거래처별!$A$8:$A$307),IFERROR(LOOKUP(2,1/((거래처별!$AE$8:$AE$307&lt;&gt;"")*ISNUMBER(SEARCH(거래처별!$AE$8:$AE$307,$AB827))),거래처별!$A$8:$A$307),0))))</f>
        <v/>
      </c>
      <c r="AD827" s="31">
        <f>IF(AND($Y827&lt;&gt;"",N($Z827)&gt;0,$AC827=0),MAX($AD$7:$AD826)+1,"")</f>
        <v/>
      </c>
      <c r="AE827" s="31">
        <f>IF($Y827="",0,$Y827)</f>
        <v/>
      </c>
    </row>
    <row r="828">
      <c r="W828" s="31">
        <f>IF(OR($B$5="",$C$6="",ROW()&lt;$B$5),"",IF(INDEX($A:$U,ROW(),$C$6)="","",INDEX($A:$U,ROW(),$C$6)))</f>
        <v/>
      </c>
      <c r="X828" s="32">
        <f>IF($W828="","",IF(ISNUMBER($W828),IF($W828&gt;=10000000,IFERROR(DATE(INT($W828/10000),MOD(INT($W828/100),100),MOD($W828,100)),""),INT($W828)),IFERROR(DATE(--LEFT(LEFT(SUBSTITUTE(SUBSTITUTE(SUBSTITUTE(SUBSTITUTE(TRIM($W828),"-",""),".",""),"/","")," ",""),8),4),--MID(LEFT(SUBSTITUTE(SUBSTITUTE(SUBSTITUTE(SUBSTITUTE(TRIM($W828),"-",""),".",""),"/","")," ",""),8),5,2),--MID(LEFT(SUBSTITUTE(SUBSTITUTE(SUBSTITUTE(SUBSTITUTE(TRIM($W828),"-",""),".",""),"/","")," ",""),8),7,2)),"")))</f>
        <v/>
      </c>
      <c r="Y828" s="32">
        <f>IF($X828="","",INT($X828))</f>
        <v/>
      </c>
      <c r="Z828" s="33">
        <f>IF(OR($Y828="",$D$6=""),"",IF(INDEX($A:$U,ROW(),$D$6)="",0,IF(ISNUMBER(INDEX($A:$U,ROW(),$D$6)),INDEX($A:$U,ROW(),$D$6),IFERROR(--SUBSTITUTE(SUBSTITUTE(TRIM(INDEX($A:$U,ROW(),$D$6)),",",""),"원",""),0))))</f>
        <v/>
      </c>
      <c r="AA828" s="31">
        <f>IF($Y828="","",TRIM(INDEX($A:$U,ROW(),$E$6)&amp;IF($F$6="",""," "&amp;INDEX($A:$U,ROW(),$F$6))))</f>
        <v/>
      </c>
      <c r="AB828" s="31">
        <f>IF($AA828="","",SUBSTITUTE(SUBSTITUTE(SUBSTITUTE(SUBSTITUTE(SUBSTITUTE(SUBSTITUTE(SUBSTITUTE(SUBSTITUTE(SUBSTITUTE($AA828," ",""),"　",""),"(주)",""),"（주）",""),"㈜",""),"주식회사",""),"(유)",""),"（유）",""),"유한회사",""))</f>
        <v/>
      </c>
      <c r="AC828" s="31">
        <f>IF(OR($Y828="",N($Z828)&lt;=0,$AB828=""),0,IFERROR(LOOKUP(2,1/((거래처별!$AC$8:$AC$307&lt;&gt;"")*ISNUMBER(SEARCH(거래처별!$AC$8:$AC$307,$AB828))),거래처별!$A$8:$A$307),IFERROR(LOOKUP(2,1/((거래처별!$AD$8:$AD$307&lt;&gt;"")*ISNUMBER(SEARCH(거래처별!$AD$8:$AD$307,$AB828))),거래처별!$A$8:$A$307),IFERROR(LOOKUP(2,1/((거래처별!$AE$8:$AE$307&lt;&gt;"")*ISNUMBER(SEARCH(거래처별!$AE$8:$AE$307,$AB828))),거래처별!$A$8:$A$307),0))))</f>
        <v/>
      </c>
      <c r="AD828" s="31">
        <f>IF(AND($Y828&lt;&gt;"",N($Z828)&gt;0,$AC828=0),MAX($AD$7:$AD827)+1,"")</f>
        <v/>
      </c>
      <c r="AE828" s="31">
        <f>IF($Y828="",0,$Y828)</f>
        <v/>
      </c>
    </row>
    <row r="829">
      <c r="W829" s="31">
        <f>IF(OR($B$5="",$C$6="",ROW()&lt;$B$5),"",IF(INDEX($A:$U,ROW(),$C$6)="","",INDEX($A:$U,ROW(),$C$6)))</f>
        <v/>
      </c>
      <c r="X829" s="32">
        <f>IF($W829="","",IF(ISNUMBER($W829),IF($W829&gt;=10000000,IFERROR(DATE(INT($W829/10000),MOD(INT($W829/100),100),MOD($W829,100)),""),INT($W829)),IFERROR(DATE(--LEFT(LEFT(SUBSTITUTE(SUBSTITUTE(SUBSTITUTE(SUBSTITUTE(TRIM($W829),"-",""),".",""),"/","")," ",""),8),4),--MID(LEFT(SUBSTITUTE(SUBSTITUTE(SUBSTITUTE(SUBSTITUTE(TRIM($W829),"-",""),".",""),"/","")," ",""),8),5,2),--MID(LEFT(SUBSTITUTE(SUBSTITUTE(SUBSTITUTE(SUBSTITUTE(TRIM($W829),"-",""),".",""),"/","")," ",""),8),7,2)),"")))</f>
        <v/>
      </c>
      <c r="Y829" s="32">
        <f>IF($X829="","",INT($X829))</f>
        <v/>
      </c>
      <c r="Z829" s="33">
        <f>IF(OR($Y829="",$D$6=""),"",IF(INDEX($A:$U,ROW(),$D$6)="",0,IF(ISNUMBER(INDEX($A:$U,ROW(),$D$6)),INDEX($A:$U,ROW(),$D$6),IFERROR(--SUBSTITUTE(SUBSTITUTE(TRIM(INDEX($A:$U,ROW(),$D$6)),",",""),"원",""),0))))</f>
        <v/>
      </c>
      <c r="AA829" s="31">
        <f>IF($Y829="","",TRIM(INDEX($A:$U,ROW(),$E$6)&amp;IF($F$6="",""," "&amp;INDEX($A:$U,ROW(),$F$6))))</f>
        <v/>
      </c>
      <c r="AB829" s="31">
        <f>IF($AA829="","",SUBSTITUTE(SUBSTITUTE(SUBSTITUTE(SUBSTITUTE(SUBSTITUTE(SUBSTITUTE(SUBSTITUTE(SUBSTITUTE(SUBSTITUTE($AA829," ",""),"　",""),"(주)",""),"（주）",""),"㈜",""),"주식회사",""),"(유)",""),"（유）",""),"유한회사",""))</f>
        <v/>
      </c>
      <c r="AC829" s="31">
        <f>IF(OR($Y829="",N($Z829)&lt;=0,$AB829=""),0,IFERROR(LOOKUP(2,1/((거래처별!$AC$8:$AC$307&lt;&gt;"")*ISNUMBER(SEARCH(거래처별!$AC$8:$AC$307,$AB829))),거래처별!$A$8:$A$307),IFERROR(LOOKUP(2,1/((거래처별!$AD$8:$AD$307&lt;&gt;"")*ISNUMBER(SEARCH(거래처별!$AD$8:$AD$307,$AB829))),거래처별!$A$8:$A$307),IFERROR(LOOKUP(2,1/((거래처별!$AE$8:$AE$307&lt;&gt;"")*ISNUMBER(SEARCH(거래처별!$AE$8:$AE$307,$AB829))),거래처별!$A$8:$A$307),0))))</f>
        <v/>
      </c>
      <c r="AD829" s="31">
        <f>IF(AND($Y829&lt;&gt;"",N($Z829)&gt;0,$AC829=0),MAX($AD$7:$AD828)+1,"")</f>
        <v/>
      </c>
      <c r="AE829" s="31">
        <f>IF($Y829="",0,$Y829)</f>
        <v/>
      </c>
    </row>
    <row r="830">
      <c r="W830" s="31">
        <f>IF(OR($B$5="",$C$6="",ROW()&lt;$B$5),"",IF(INDEX($A:$U,ROW(),$C$6)="","",INDEX($A:$U,ROW(),$C$6)))</f>
        <v/>
      </c>
      <c r="X830" s="32">
        <f>IF($W830="","",IF(ISNUMBER($W830),IF($W830&gt;=10000000,IFERROR(DATE(INT($W830/10000),MOD(INT($W830/100),100),MOD($W830,100)),""),INT($W830)),IFERROR(DATE(--LEFT(LEFT(SUBSTITUTE(SUBSTITUTE(SUBSTITUTE(SUBSTITUTE(TRIM($W830),"-",""),".",""),"/","")," ",""),8),4),--MID(LEFT(SUBSTITUTE(SUBSTITUTE(SUBSTITUTE(SUBSTITUTE(TRIM($W830),"-",""),".",""),"/","")," ",""),8),5,2),--MID(LEFT(SUBSTITUTE(SUBSTITUTE(SUBSTITUTE(SUBSTITUTE(TRIM($W830),"-",""),".",""),"/","")," ",""),8),7,2)),"")))</f>
        <v/>
      </c>
      <c r="Y830" s="32">
        <f>IF($X830="","",INT($X830))</f>
        <v/>
      </c>
      <c r="Z830" s="33">
        <f>IF(OR($Y830="",$D$6=""),"",IF(INDEX($A:$U,ROW(),$D$6)="",0,IF(ISNUMBER(INDEX($A:$U,ROW(),$D$6)),INDEX($A:$U,ROW(),$D$6),IFERROR(--SUBSTITUTE(SUBSTITUTE(TRIM(INDEX($A:$U,ROW(),$D$6)),",",""),"원",""),0))))</f>
        <v/>
      </c>
      <c r="AA830" s="31">
        <f>IF($Y830="","",TRIM(INDEX($A:$U,ROW(),$E$6)&amp;IF($F$6="",""," "&amp;INDEX($A:$U,ROW(),$F$6))))</f>
        <v/>
      </c>
      <c r="AB830" s="31">
        <f>IF($AA830="","",SUBSTITUTE(SUBSTITUTE(SUBSTITUTE(SUBSTITUTE(SUBSTITUTE(SUBSTITUTE(SUBSTITUTE(SUBSTITUTE(SUBSTITUTE($AA830," ",""),"　",""),"(주)",""),"（주）",""),"㈜",""),"주식회사",""),"(유)",""),"（유）",""),"유한회사",""))</f>
        <v/>
      </c>
      <c r="AC830" s="31">
        <f>IF(OR($Y830="",N($Z830)&lt;=0,$AB830=""),0,IFERROR(LOOKUP(2,1/((거래처별!$AC$8:$AC$307&lt;&gt;"")*ISNUMBER(SEARCH(거래처별!$AC$8:$AC$307,$AB830))),거래처별!$A$8:$A$307),IFERROR(LOOKUP(2,1/((거래처별!$AD$8:$AD$307&lt;&gt;"")*ISNUMBER(SEARCH(거래처별!$AD$8:$AD$307,$AB830))),거래처별!$A$8:$A$307),IFERROR(LOOKUP(2,1/((거래처별!$AE$8:$AE$307&lt;&gt;"")*ISNUMBER(SEARCH(거래처별!$AE$8:$AE$307,$AB830))),거래처별!$A$8:$A$307),0))))</f>
        <v/>
      </c>
      <c r="AD830" s="31">
        <f>IF(AND($Y830&lt;&gt;"",N($Z830)&gt;0,$AC830=0),MAX($AD$7:$AD829)+1,"")</f>
        <v/>
      </c>
      <c r="AE830" s="31">
        <f>IF($Y830="",0,$Y830)</f>
        <v/>
      </c>
    </row>
    <row r="831">
      <c r="W831" s="31">
        <f>IF(OR($B$5="",$C$6="",ROW()&lt;$B$5),"",IF(INDEX($A:$U,ROW(),$C$6)="","",INDEX($A:$U,ROW(),$C$6)))</f>
        <v/>
      </c>
      <c r="X831" s="32">
        <f>IF($W831="","",IF(ISNUMBER($W831),IF($W831&gt;=10000000,IFERROR(DATE(INT($W831/10000),MOD(INT($W831/100),100),MOD($W831,100)),""),INT($W831)),IFERROR(DATE(--LEFT(LEFT(SUBSTITUTE(SUBSTITUTE(SUBSTITUTE(SUBSTITUTE(TRIM($W831),"-",""),".",""),"/","")," ",""),8),4),--MID(LEFT(SUBSTITUTE(SUBSTITUTE(SUBSTITUTE(SUBSTITUTE(TRIM($W831),"-",""),".",""),"/","")," ",""),8),5,2),--MID(LEFT(SUBSTITUTE(SUBSTITUTE(SUBSTITUTE(SUBSTITUTE(TRIM($W831),"-",""),".",""),"/","")," ",""),8),7,2)),"")))</f>
        <v/>
      </c>
      <c r="Y831" s="32">
        <f>IF($X831="","",INT($X831))</f>
        <v/>
      </c>
      <c r="Z831" s="33">
        <f>IF(OR($Y831="",$D$6=""),"",IF(INDEX($A:$U,ROW(),$D$6)="",0,IF(ISNUMBER(INDEX($A:$U,ROW(),$D$6)),INDEX($A:$U,ROW(),$D$6),IFERROR(--SUBSTITUTE(SUBSTITUTE(TRIM(INDEX($A:$U,ROW(),$D$6)),",",""),"원",""),0))))</f>
        <v/>
      </c>
      <c r="AA831" s="31">
        <f>IF($Y831="","",TRIM(INDEX($A:$U,ROW(),$E$6)&amp;IF($F$6="",""," "&amp;INDEX($A:$U,ROW(),$F$6))))</f>
        <v/>
      </c>
      <c r="AB831" s="31">
        <f>IF($AA831="","",SUBSTITUTE(SUBSTITUTE(SUBSTITUTE(SUBSTITUTE(SUBSTITUTE(SUBSTITUTE(SUBSTITUTE(SUBSTITUTE(SUBSTITUTE($AA831," ",""),"　",""),"(주)",""),"（주）",""),"㈜",""),"주식회사",""),"(유)",""),"（유）",""),"유한회사",""))</f>
        <v/>
      </c>
      <c r="AC831" s="31">
        <f>IF(OR($Y831="",N($Z831)&lt;=0,$AB831=""),0,IFERROR(LOOKUP(2,1/((거래처별!$AC$8:$AC$307&lt;&gt;"")*ISNUMBER(SEARCH(거래처별!$AC$8:$AC$307,$AB831))),거래처별!$A$8:$A$307),IFERROR(LOOKUP(2,1/((거래처별!$AD$8:$AD$307&lt;&gt;"")*ISNUMBER(SEARCH(거래처별!$AD$8:$AD$307,$AB831))),거래처별!$A$8:$A$307),IFERROR(LOOKUP(2,1/((거래처별!$AE$8:$AE$307&lt;&gt;"")*ISNUMBER(SEARCH(거래처별!$AE$8:$AE$307,$AB831))),거래처별!$A$8:$A$307),0))))</f>
        <v/>
      </c>
      <c r="AD831" s="31">
        <f>IF(AND($Y831&lt;&gt;"",N($Z831)&gt;0,$AC831=0),MAX($AD$7:$AD830)+1,"")</f>
        <v/>
      </c>
      <c r="AE831" s="31">
        <f>IF($Y831="",0,$Y831)</f>
        <v/>
      </c>
    </row>
    <row r="832">
      <c r="W832" s="31">
        <f>IF(OR($B$5="",$C$6="",ROW()&lt;$B$5),"",IF(INDEX($A:$U,ROW(),$C$6)="","",INDEX($A:$U,ROW(),$C$6)))</f>
        <v/>
      </c>
      <c r="X832" s="32">
        <f>IF($W832="","",IF(ISNUMBER($W832),IF($W832&gt;=10000000,IFERROR(DATE(INT($W832/10000),MOD(INT($W832/100),100),MOD($W832,100)),""),INT($W832)),IFERROR(DATE(--LEFT(LEFT(SUBSTITUTE(SUBSTITUTE(SUBSTITUTE(SUBSTITUTE(TRIM($W832),"-",""),".",""),"/","")," ",""),8),4),--MID(LEFT(SUBSTITUTE(SUBSTITUTE(SUBSTITUTE(SUBSTITUTE(TRIM($W832),"-",""),".",""),"/","")," ",""),8),5,2),--MID(LEFT(SUBSTITUTE(SUBSTITUTE(SUBSTITUTE(SUBSTITUTE(TRIM($W832),"-",""),".",""),"/","")," ",""),8),7,2)),"")))</f>
        <v/>
      </c>
      <c r="Y832" s="32">
        <f>IF($X832="","",INT($X832))</f>
        <v/>
      </c>
      <c r="Z832" s="33">
        <f>IF(OR($Y832="",$D$6=""),"",IF(INDEX($A:$U,ROW(),$D$6)="",0,IF(ISNUMBER(INDEX($A:$U,ROW(),$D$6)),INDEX($A:$U,ROW(),$D$6),IFERROR(--SUBSTITUTE(SUBSTITUTE(TRIM(INDEX($A:$U,ROW(),$D$6)),",",""),"원",""),0))))</f>
        <v/>
      </c>
      <c r="AA832" s="31">
        <f>IF($Y832="","",TRIM(INDEX($A:$U,ROW(),$E$6)&amp;IF($F$6="",""," "&amp;INDEX($A:$U,ROW(),$F$6))))</f>
        <v/>
      </c>
      <c r="AB832" s="31">
        <f>IF($AA832="","",SUBSTITUTE(SUBSTITUTE(SUBSTITUTE(SUBSTITUTE(SUBSTITUTE(SUBSTITUTE(SUBSTITUTE(SUBSTITUTE(SUBSTITUTE($AA832," ",""),"　",""),"(주)",""),"（주）",""),"㈜",""),"주식회사",""),"(유)",""),"（유）",""),"유한회사",""))</f>
        <v/>
      </c>
      <c r="AC832" s="31">
        <f>IF(OR($Y832="",N($Z832)&lt;=0,$AB832=""),0,IFERROR(LOOKUP(2,1/((거래처별!$AC$8:$AC$307&lt;&gt;"")*ISNUMBER(SEARCH(거래처별!$AC$8:$AC$307,$AB832))),거래처별!$A$8:$A$307),IFERROR(LOOKUP(2,1/((거래처별!$AD$8:$AD$307&lt;&gt;"")*ISNUMBER(SEARCH(거래처별!$AD$8:$AD$307,$AB832))),거래처별!$A$8:$A$307),IFERROR(LOOKUP(2,1/((거래처별!$AE$8:$AE$307&lt;&gt;"")*ISNUMBER(SEARCH(거래처별!$AE$8:$AE$307,$AB832))),거래처별!$A$8:$A$307),0))))</f>
        <v/>
      </c>
      <c r="AD832" s="31">
        <f>IF(AND($Y832&lt;&gt;"",N($Z832)&gt;0,$AC832=0),MAX($AD$7:$AD831)+1,"")</f>
        <v/>
      </c>
      <c r="AE832" s="31">
        <f>IF($Y832="",0,$Y832)</f>
        <v/>
      </c>
    </row>
    <row r="833">
      <c r="W833" s="31">
        <f>IF(OR($B$5="",$C$6="",ROW()&lt;$B$5),"",IF(INDEX($A:$U,ROW(),$C$6)="","",INDEX($A:$U,ROW(),$C$6)))</f>
        <v/>
      </c>
      <c r="X833" s="32">
        <f>IF($W833="","",IF(ISNUMBER($W833),IF($W833&gt;=10000000,IFERROR(DATE(INT($W833/10000),MOD(INT($W833/100),100),MOD($W833,100)),""),INT($W833)),IFERROR(DATE(--LEFT(LEFT(SUBSTITUTE(SUBSTITUTE(SUBSTITUTE(SUBSTITUTE(TRIM($W833),"-",""),".",""),"/","")," ",""),8),4),--MID(LEFT(SUBSTITUTE(SUBSTITUTE(SUBSTITUTE(SUBSTITUTE(TRIM($W833),"-",""),".",""),"/","")," ",""),8),5,2),--MID(LEFT(SUBSTITUTE(SUBSTITUTE(SUBSTITUTE(SUBSTITUTE(TRIM($W833),"-",""),".",""),"/","")," ",""),8),7,2)),"")))</f>
        <v/>
      </c>
      <c r="Y833" s="32">
        <f>IF($X833="","",INT($X833))</f>
        <v/>
      </c>
      <c r="Z833" s="33">
        <f>IF(OR($Y833="",$D$6=""),"",IF(INDEX($A:$U,ROW(),$D$6)="",0,IF(ISNUMBER(INDEX($A:$U,ROW(),$D$6)),INDEX($A:$U,ROW(),$D$6),IFERROR(--SUBSTITUTE(SUBSTITUTE(TRIM(INDEX($A:$U,ROW(),$D$6)),",",""),"원",""),0))))</f>
        <v/>
      </c>
      <c r="AA833" s="31">
        <f>IF($Y833="","",TRIM(INDEX($A:$U,ROW(),$E$6)&amp;IF($F$6="",""," "&amp;INDEX($A:$U,ROW(),$F$6))))</f>
        <v/>
      </c>
      <c r="AB833" s="31">
        <f>IF($AA833="","",SUBSTITUTE(SUBSTITUTE(SUBSTITUTE(SUBSTITUTE(SUBSTITUTE(SUBSTITUTE(SUBSTITUTE(SUBSTITUTE(SUBSTITUTE($AA833," ",""),"　",""),"(주)",""),"（주）",""),"㈜",""),"주식회사",""),"(유)",""),"（유）",""),"유한회사",""))</f>
        <v/>
      </c>
      <c r="AC833" s="31">
        <f>IF(OR($Y833="",N($Z833)&lt;=0,$AB833=""),0,IFERROR(LOOKUP(2,1/((거래처별!$AC$8:$AC$307&lt;&gt;"")*ISNUMBER(SEARCH(거래처별!$AC$8:$AC$307,$AB833))),거래처별!$A$8:$A$307),IFERROR(LOOKUP(2,1/((거래처별!$AD$8:$AD$307&lt;&gt;"")*ISNUMBER(SEARCH(거래처별!$AD$8:$AD$307,$AB833))),거래처별!$A$8:$A$307),IFERROR(LOOKUP(2,1/((거래처별!$AE$8:$AE$307&lt;&gt;"")*ISNUMBER(SEARCH(거래처별!$AE$8:$AE$307,$AB833))),거래처별!$A$8:$A$307),0))))</f>
        <v/>
      </c>
      <c r="AD833" s="31">
        <f>IF(AND($Y833&lt;&gt;"",N($Z833)&gt;0,$AC833=0),MAX($AD$7:$AD832)+1,"")</f>
        <v/>
      </c>
      <c r="AE833" s="31">
        <f>IF($Y833="",0,$Y833)</f>
        <v/>
      </c>
    </row>
    <row r="834">
      <c r="W834" s="31">
        <f>IF(OR($B$5="",$C$6="",ROW()&lt;$B$5),"",IF(INDEX($A:$U,ROW(),$C$6)="","",INDEX($A:$U,ROW(),$C$6)))</f>
        <v/>
      </c>
      <c r="X834" s="32">
        <f>IF($W834="","",IF(ISNUMBER($W834),IF($W834&gt;=10000000,IFERROR(DATE(INT($W834/10000),MOD(INT($W834/100),100),MOD($W834,100)),""),INT($W834)),IFERROR(DATE(--LEFT(LEFT(SUBSTITUTE(SUBSTITUTE(SUBSTITUTE(SUBSTITUTE(TRIM($W834),"-",""),".",""),"/","")," ",""),8),4),--MID(LEFT(SUBSTITUTE(SUBSTITUTE(SUBSTITUTE(SUBSTITUTE(TRIM($W834),"-",""),".",""),"/","")," ",""),8),5,2),--MID(LEFT(SUBSTITUTE(SUBSTITUTE(SUBSTITUTE(SUBSTITUTE(TRIM($W834),"-",""),".",""),"/","")," ",""),8),7,2)),"")))</f>
        <v/>
      </c>
      <c r="Y834" s="32">
        <f>IF($X834="","",INT($X834))</f>
        <v/>
      </c>
      <c r="Z834" s="33">
        <f>IF(OR($Y834="",$D$6=""),"",IF(INDEX($A:$U,ROW(),$D$6)="",0,IF(ISNUMBER(INDEX($A:$U,ROW(),$D$6)),INDEX($A:$U,ROW(),$D$6),IFERROR(--SUBSTITUTE(SUBSTITUTE(TRIM(INDEX($A:$U,ROW(),$D$6)),",",""),"원",""),0))))</f>
        <v/>
      </c>
      <c r="AA834" s="31">
        <f>IF($Y834="","",TRIM(INDEX($A:$U,ROW(),$E$6)&amp;IF($F$6="",""," "&amp;INDEX($A:$U,ROW(),$F$6))))</f>
        <v/>
      </c>
      <c r="AB834" s="31">
        <f>IF($AA834="","",SUBSTITUTE(SUBSTITUTE(SUBSTITUTE(SUBSTITUTE(SUBSTITUTE(SUBSTITUTE(SUBSTITUTE(SUBSTITUTE(SUBSTITUTE($AA834," ",""),"　",""),"(주)",""),"（주）",""),"㈜",""),"주식회사",""),"(유)",""),"（유）",""),"유한회사",""))</f>
        <v/>
      </c>
      <c r="AC834" s="31">
        <f>IF(OR($Y834="",N($Z834)&lt;=0,$AB834=""),0,IFERROR(LOOKUP(2,1/((거래처별!$AC$8:$AC$307&lt;&gt;"")*ISNUMBER(SEARCH(거래처별!$AC$8:$AC$307,$AB834))),거래처별!$A$8:$A$307),IFERROR(LOOKUP(2,1/((거래처별!$AD$8:$AD$307&lt;&gt;"")*ISNUMBER(SEARCH(거래처별!$AD$8:$AD$307,$AB834))),거래처별!$A$8:$A$307),IFERROR(LOOKUP(2,1/((거래처별!$AE$8:$AE$307&lt;&gt;"")*ISNUMBER(SEARCH(거래처별!$AE$8:$AE$307,$AB834))),거래처별!$A$8:$A$307),0))))</f>
        <v/>
      </c>
      <c r="AD834" s="31">
        <f>IF(AND($Y834&lt;&gt;"",N($Z834)&gt;0,$AC834=0),MAX($AD$7:$AD833)+1,"")</f>
        <v/>
      </c>
      <c r="AE834" s="31">
        <f>IF($Y834="",0,$Y834)</f>
        <v/>
      </c>
    </row>
    <row r="835">
      <c r="W835" s="31">
        <f>IF(OR($B$5="",$C$6="",ROW()&lt;$B$5),"",IF(INDEX($A:$U,ROW(),$C$6)="","",INDEX($A:$U,ROW(),$C$6)))</f>
        <v/>
      </c>
      <c r="X835" s="32">
        <f>IF($W835="","",IF(ISNUMBER($W835),IF($W835&gt;=10000000,IFERROR(DATE(INT($W835/10000),MOD(INT($W835/100),100),MOD($W835,100)),""),INT($W835)),IFERROR(DATE(--LEFT(LEFT(SUBSTITUTE(SUBSTITUTE(SUBSTITUTE(SUBSTITUTE(TRIM($W835),"-",""),".",""),"/","")," ",""),8),4),--MID(LEFT(SUBSTITUTE(SUBSTITUTE(SUBSTITUTE(SUBSTITUTE(TRIM($W835),"-",""),".",""),"/","")," ",""),8),5,2),--MID(LEFT(SUBSTITUTE(SUBSTITUTE(SUBSTITUTE(SUBSTITUTE(TRIM($W835),"-",""),".",""),"/","")," ",""),8),7,2)),"")))</f>
        <v/>
      </c>
      <c r="Y835" s="32">
        <f>IF($X835="","",INT($X835))</f>
        <v/>
      </c>
      <c r="Z835" s="33">
        <f>IF(OR($Y835="",$D$6=""),"",IF(INDEX($A:$U,ROW(),$D$6)="",0,IF(ISNUMBER(INDEX($A:$U,ROW(),$D$6)),INDEX($A:$U,ROW(),$D$6),IFERROR(--SUBSTITUTE(SUBSTITUTE(TRIM(INDEX($A:$U,ROW(),$D$6)),",",""),"원",""),0))))</f>
        <v/>
      </c>
      <c r="AA835" s="31">
        <f>IF($Y835="","",TRIM(INDEX($A:$U,ROW(),$E$6)&amp;IF($F$6="",""," "&amp;INDEX($A:$U,ROW(),$F$6))))</f>
        <v/>
      </c>
      <c r="AB835" s="31">
        <f>IF($AA835="","",SUBSTITUTE(SUBSTITUTE(SUBSTITUTE(SUBSTITUTE(SUBSTITUTE(SUBSTITUTE(SUBSTITUTE(SUBSTITUTE(SUBSTITUTE($AA835," ",""),"　",""),"(주)",""),"（주）",""),"㈜",""),"주식회사",""),"(유)",""),"（유）",""),"유한회사",""))</f>
        <v/>
      </c>
      <c r="AC835" s="31">
        <f>IF(OR($Y835="",N($Z835)&lt;=0,$AB835=""),0,IFERROR(LOOKUP(2,1/((거래처별!$AC$8:$AC$307&lt;&gt;"")*ISNUMBER(SEARCH(거래처별!$AC$8:$AC$307,$AB835))),거래처별!$A$8:$A$307),IFERROR(LOOKUP(2,1/((거래처별!$AD$8:$AD$307&lt;&gt;"")*ISNUMBER(SEARCH(거래처별!$AD$8:$AD$307,$AB835))),거래처별!$A$8:$A$307),IFERROR(LOOKUP(2,1/((거래처별!$AE$8:$AE$307&lt;&gt;"")*ISNUMBER(SEARCH(거래처별!$AE$8:$AE$307,$AB835))),거래처별!$A$8:$A$307),0))))</f>
        <v/>
      </c>
      <c r="AD835" s="31">
        <f>IF(AND($Y835&lt;&gt;"",N($Z835)&gt;0,$AC835=0),MAX($AD$7:$AD834)+1,"")</f>
        <v/>
      </c>
      <c r="AE835" s="31">
        <f>IF($Y835="",0,$Y835)</f>
        <v/>
      </c>
    </row>
    <row r="836">
      <c r="W836" s="31">
        <f>IF(OR($B$5="",$C$6="",ROW()&lt;$B$5),"",IF(INDEX($A:$U,ROW(),$C$6)="","",INDEX($A:$U,ROW(),$C$6)))</f>
        <v/>
      </c>
      <c r="X836" s="32">
        <f>IF($W836="","",IF(ISNUMBER($W836),IF($W836&gt;=10000000,IFERROR(DATE(INT($W836/10000),MOD(INT($W836/100),100),MOD($W836,100)),""),INT($W836)),IFERROR(DATE(--LEFT(LEFT(SUBSTITUTE(SUBSTITUTE(SUBSTITUTE(SUBSTITUTE(TRIM($W836),"-",""),".",""),"/","")," ",""),8),4),--MID(LEFT(SUBSTITUTE(SUBSTITUTE(SUBSTITUTE(SUBSTITUTE(TRIM($W836),"-",""),".",""),"/","")," ",""),8),5,2),--MID(LEFT(SUBSTITUTE(SUBSTITUTE(SUBSTITUTE(SUBSTITUTE(TRIM($W836),"-",""),".",""),"/","")," ",""),8),7,2)),"")))</f>
        <v/>
      </c>
      <c r="Y836" s="32">
        <f>IF($X836="","",INT($X836))</f>
        <v/>
      </c>
      <c r="Z836" s="33">
        <f>IF(OR($Y836="",$D$6=""),"",IF(INDEX($A:$U,ROW(),$D$6)="",0,IF(ISNUMBER(INDEX($A:$U,ROW(),$D$6)),INDEX($A:$U,ROW(),$D$6),IFERROR(--SUBSTITUTE(SUBSTITUTE(TRIM(INDEX($A:$U,ROW(),$D$6)),",",""),"원",""),0))))</f>
        <v/>
      </c>
      <c r="AA836" s="31">
        <f>IF($Y836="","",TRIM(INDEX($A:$U,ROW(),$E$6)&amp;IF($F$6="",""," "&amp;INDEX($A:$U,ROW(),$F$6))))</f>
        <v/>
      </c>
      <c r="AB836" s="31">
        <f>IF($AA836="","",SUBSTITUTE(SUBSTITUTE(SUBSTITUTE(SUBSTITUTE(SUBSTITUTE(SUBSTITUTE(SUBSTITUTE(SUBSTITUTE(SUBSTITUTE($AA836," ",""),"　",""),"(주)",""),"（주）",""),"㈜",""),"주식회사",""),"(유)",""),"（유）",""),"유한회사",""))</f>
        <v/>
      </c>
      <c r="AC836" s="31">
        <f>IF(OR($Y836="",N($Z836)&lt;=0,$AB836=""),0,IFERROR(LOOKUP(2,1/((거래처별!$AC$8:$AC$307&lt;&gt;"")*ISNUMBER(SEARCH(거래처별!$AC$8:$AC$307,$AB836))),거래처별!$A$8:$A$307),IFERROR(LOOKUP(2,1/((거래처별!$AD$8:$AD$307&lt;&gt;"")*ISNUMBER(SEARCH(거래처별!$AD$8:$AD$307,$AB836))),거래처별!$A$8:$A$307),IFERROR(LOOKUP(2,1/((거래처별!$AE$8:$AE$307&lt;&gt;"")*ISNUMBER(SEARCH(거래처별!$AE$8:$AE$307,$AB836))),거래처별!$A$8:$A$307),0))))</f>
        <v/>
      </c>
      <c r="AD836" s="31">
        <f>IF(AND($Y836&lt;&gt;"",N($Z836)&gt;0,$AC836=0),MAX($AD$7:$AD835)+1,"")</f>
        <v/>
      </c>
      <c r="AE836" s="31">
        <f>IF($Y836="",0,$Y836)</f>
        <v/>
      </c>
    </row>
    <row r="837">
      <c r="W837" s="31">
        <f>IF(OR($B$5="",$C$6="",ROW()&lt;$B$5),"",IF(INDEX($A:$U,ROW(),$C$6)="","",INDEX($A:$U,ROW(),$C$6)))</f>
        <v/>
      </c>
      <c r="X837" s="32">
        <f>IF($W837="","",IF(ISNUMBER($W837),IF($W837&gt;=10000000,IFERROR(DATE(INT($W837/10000),MOD(INT($W837/100),100),MOD($W837,100)),""),INT($W837)),IFERROR(DATE(--LEFT(LEFT(SUBSTITUTE(SUBSTITUTE(SUBSTITUTE(SUBSTITUTE(TRIM($W837),"-",""),".",""),"/","")," ",""),8),4),--MID(LEFT(SUBSTITUTE(SUBSTITUTE(SUBSTITUTE(SUBSTITUTE(TRIM($W837),"-",""),".",""),"/","")," ",""),8),5,2),--MID(LEFT(SUBSTITUTE(SUBSTITUTE(SUBSTITUTE(SUBSTITUTE(TRIM($W837),"-",""),".",""),"/","")," ",""),8),7,2)),"")))</f>
        <v/>
      </c>
      <c r="Y837" s="32">
        <f>IF($X837="","",INT($X837))</f>
        <v/>
      </c>
      <c r="Z837" s="33">
        <f>IF(OR($Y837="",$D$6=""),"",IF(INDEX($A:$U,ROW(),$D$6)="",0,IF(ISNUMBER(INDEX($A:$U,ROW(),$D$6)),INDEX($A:$U,ROW(),$D$6),IFERROR(--SUBSTITUTE(SUBSTITUTE(TRIM(INDEX($A:$U,ROW(),$D$6)),",",""),"원",""),0))))</f>
        <v/>
      </c>
      <c r="AA837" s="31">
        <f>IF($Y837="","",TRIM(INDEX($A:$U,ROW(),$E$6)&amp;IF($F$6="",""," "&amp;INDEX($A:$U,ROW(),$F$6))))</f>
        <v/>
      </c>
      <c r="AB837" s="31">
        <f>IF($AA837="","",SUBSTITUTE(SUBSTITUTE(SUBSTITUTE(SUBSTITUTE(SUBSTITUTE(SUBSTITUTE(SUBSTITUTE(SUBSTITUTE(SUBSTITUTE($AA837," ",""),"　",""),"(주)",""),"（주）",""),"㈜",""),"주식회사",""),"(유)",""),"（유）",""),"유한회사",""))</f>
        <v/>
      </c>
      <c r="AC837" s="31">
        <f>IF(OR($Y837="",N($Z837)&lt;=0,$AB837=""),0,IFERROR(LOOKUP(2,1/((거래처별!$AC$8:$AC$307&lt;&gt;"")*ISNUMBER(SEARCH(거래처별!$AC$8:$AC$307,$AB837))),거래처별!$A$8:$A$307),IFERROR(LOOKUP(2,1/((거래처별!$AD$8:$AD$307&lt;&gt;"")*ISNUMBER(SEARCH(거래처별!$AD$8:$AD$307,$AB837))),거래처별!$A$8:$A$307),IFERROR(LOOKUP(2,1/((거래처별!$AE$8:$AE$307&lt;&gt;"")*ISNUMBER(SEARCH(거래처별!$AE$8:$AE$307,$AB837))),거래처별!$A$8:$A$307),0))))</f>
        <v/>
      </c>
      <c r="AD837" s="31">
        <f>IF(AND($Y837&lt;&gt;"",N($Z837)&gt;0,$AC837=0),MAX($AD$7:$AD836)+1,"")</f>
        <v/>
      </c>
      <c r="AE837" s="31">
        <f>IF($Y837="",0,$Y837)</f>
        <v/>
      </c>
    </row>
    <row r="838">
      <c r="W838" s="31">
        <f>IF(OR($B$5="",$C$6="",ROW()&lt;$B$5),"",IF(INDEX($A:$U,ROW(),$C$6)="","",INDEX($A:$U,ROW(),$C$6)))</f>
        <v/>
      </c>
      <c r="X838" s="32">
        <f>IF($W838="","",IF(ISNUMBER($W838),IF($W838&gt;=10000000,IFERROR(DATE(INT($W838/10000),MOD(INT($W838/100),100),MOD($W838,100)),""),INT($W838)),IFERROR(DATE(--LEFT(LEFT(SUBSTITUTE(SUBSTITUTE(SUBSTITUTE(SUBSTITUTE(TRIM($W838),"-",""),".",""),"/","")," ",""),8),4),--MID(LEFT(SUBSTITUTE(SUBSTITUTE(SUBSTITUTE(SUBSTITUTE(TRIM($W838),"-",""),".",""),"/","")," ",""),8),5,2),--MID(LEFT(SUBSTITUTE(SUBSTITUTE(SUBSTITUTE(SUBSTITUTE(TRIM($W838),"-",""),".",""),"/","")," ",""),8),7,2)),"")))</f>
        <v/>
      </c>
      <c r="Y838" s="32">
        <f>IF($X838="","",INT($X838))</f>
        <v/>
      </c>
      <c r="Z838" s="33">
        <f>IF(OR($Y838="",$D$6=""),"",IF(INDEX($A:$U,ROW(),$D$6)="",0,IF(ISNUMBER(INDEX($A:$U,ROW(),$D$6)),INDEX($A:$U,ROW(),$D$6),IFERROR(--SUBSTITUTE(SUBSTITUTE(TRIM(INDEX($A:$U,ROW(),$D$6)),",",""),"원",""),0))))</f>
        <v/>
      </c>
      <c r="AA838" s="31">
        <f>IF($Y838="","",TRIM(INDEX($A:$U,ROW(),$E$6)&amp;IF($F$6="",""," "&amp;INDEX($A:$U,ROW(),$F$6))))</f>
        <v/>
      </c>
      <c r="AB838" s="31">
        <f>IF($AA838="","",SUBSTITUTE(SUBSTITUTE(SUBSTITUTE(SUBSTITUTE(SUBSTITUTE(SUBSTITUTE(SUBSTITUTE(SUBSTITUTE(SUBSTITUTE($AA838," ",""),"　",""),"(주)",""),"（주）",""),"㈜",""),"주식회사",""),"(유)",""),"（유）",""),"유한회사",""))</f>
        <v/>
      </c>
      <c r="AC838" s="31">
        <f>IF(OR($Y838="",N($Z838)&lt;=0,$AB838=""),0,IFERROR(LOOKUP(2,1/((거래처별!$AC$8:$AC$307&lt;&gt;"")*ISNUMBER(SEARCH(거래처별!$AC$8:$AC$307,$AB838))),거래처별!$A$8:$A$307),IFERROR(LOOKUP(2,1/((거래처별!$AD$8:$AD$307&lt;&gt;"")*ISNUMBER(SEARCH(거래처별!$AD$8:$AD$307,$AB838))),거래처별!$A$8:$A$307),IFERROR(LOOKUP(2,1/((거래처별!$AE$8:$AE$307&lt;&gt;"")*ISNUMBER(SEARCH(거래처별!$AE$8:$AE$307,$AB838))),거래처별!$A$8:$A$307),0))))</f>
        <v/>
      </c>
      <c r="AD838" s="31">
        <f>IF(AND($Y838&lt;&gt;"",N($Z838)&gt;0,$AC838=0),MAX($AD$7:$AD837)+1,"")</f>
        <v/>
      </c>
      <c r="AE838" s="31">
        <f>IF($Y838="",0,$Y838)</f>
        <v/>
      </c>
    </row>
    <row r="839">
      <c r="W839" s="31">
        <f>IF(OR($B$5="",$C$6="",ROW()&lt;$B$5),"",IF(INDEX($A:$U,ROW(),$C$6)="","",INDEX($A:$U,ROW(),$C$6)))</f>
        <v/>
      </c>
      <c r="X839" s="32">
        <f>IF($W839="","",IF(ISNUMBER($W839),IF($W839&gt;=10000000,IFERROR(DATE(INT($W839/10000),MOD(INT($W839/100),100),MOD($W839,100)),""),INT($W839)),IFERROR(DATE(--LEFT(LEFT(SUBSTITUTE(SUBSTITUTE(SUBSTITUTE(SUBSTITUTE(TRIM($W839),"-",""),".",""),"/","")," ",""),8),4),--MID(LEFT(SUBSTITUTE(SUBSTITUTE(SUBSTITUTE(SUBSTITUTE(TRIM($W839),"-",""),".",""),"/","")," ",""),8),5,2),--MID(LEFT(SUBSTITUTE(SUBSTITUTE(SUBSTITUTE(SUBSTITUTE(TRIM($W839),"-",""),".",""),"/","")," ",""),8),7,2)),"")))</f>
        <v/>
      </c>
      <c r="Y839" s="32">
        <f>IF($X839="","",INT($X839))</f>
        <v/>
      </c>
      <c r="Z839" s="33">
        <f>IF(OR($Y839="",$D$6=""),"",IF(INDEX($A:$U,ROW(),$D$6)="",0,IF(ISNUMBER(INDEX($A:$U,ROW(),$D$6)),INDEX($A:$U,ROW(),$D$6),IFERROR(--SUBSTITUTE(SUBSTITUTE(TRIM(INDEX($A:$U,ROW(),$D$6)),",",""),"원",""),0))))</f>
        <v/>
      </c>
      <c r="AA839" s="31">
        <f>IF($Y839="","",TRIM(INDEX($A:$U,ROW(),$E$6)&amp;IF($F$6="",""," "&amp;INDEX($A:$U,ROW(),$F$6))))</f>
        <v/>
      </c>
      <c r="AB839" s="31">
        <f>IF($AA839="","",SUBSTITUTE(SUBSTITUTE(SUBSTITUTE(SUBSTITUTE(SUBSTITUTE(SUBSTITUTE(SUBSTITUTE(SUBSTITUTE(SUBSTITUTE($AA839," ",""),"　",""),"(주)",""),"（주）",""),"㈜",""),"주식회사",""),"(유)",""),"（유）",""),"유한회사",""))</f>
        <v/>
      </c>
      <c r="AC839" s="31">
        <f>IF(OR($Y839="",N($Z839)&lt;=0,$AB839=""),0,IFERROR(LOOKUP(2,1/((거래처별!$AC$8:$AC$307&lt;&gt;"")*ISNUMBER(SEARCH(거래처별!$AC$8:$AC$307,$AB839))),거래처별!$A$8:$A$307),IFERROR(LOOKUP(2,1/((거래처별!$AD$8:$AD$307&lt;&gt;"")*ISNUMBER(SEARCH(거래처별!$AD$8:$AD$307,$AB839))),거래처별!$A$8:$A$307),IFERROR(LOOKUP(2,1/((거래처별!$AE$8:$AE$307&lt;&gt;"")*ISNUMBER(SEARCH(거래처별!$AE$8:$AE$307,$AB839))),거래처별!$A$8:$A$307),0))))</f>
        <v/>
      </c>
      <c r="AD839" s="31">
        <f>IF(AND($Y839&lt;&gt;"",N($Z839)&gt;0,$AC839=0),MAX($AD$7:$AD838)+1,"")</f>
        <v/>
      </c>
      <c r="AE839" s="31">
        <f>IF($Y839="",0,$Y839)</f>
        <v/>
      </c>
    </row>
    <row r="840">
      <c r="W840" s="31">
        <f>IF(OR($B$5="",$C$6="",ROW()&lt;$B$5),"",IF(INDEX($A:$U,ROW(),$C$6)="","",INDEX($A:$U,ROW(),$C$6)))</f>
        <v/>
      </c>
      <c r="X840" s="32">
        <f>IF($W840="","",IF(ISNUMBER($W840),IF($W840&gt;=10000000,IFERROR(DATE(INT($W840/10000),MOD(INT($W840/100),100),MOD($W840,100)),""),INT($W840)),IFERROR(DATE(--LEFT(LEFT(SUBSTITUTE(SUBSTITUTE(SUBSTITUTE(SUBSTITUTE(TRIM($W840),"-",""),".",""),"/","")," ",""),8),4),--MID(LEFT(SUBSTITUTE(SUBSTITUTE(SUBSTITUTE(SUBSTITUTE(TRIM($W840),"-",""),".",""),"/","")," ",""),8),5,2),--MID(LEFT(SUBSTITUTE(SUBSTITUTE(SUBSTITUTE(SUBSTITUTE(TRIM($W840),"-",""),".",""),"/","")," ",""),8),7,2)),"")))</f>
        <v/>
      </c>
      <c r="Y840" s="32">
        <f>IF($X840="","",INT($X840))</f>
        <v/>
      </c>
      <c r="Z840" s="33">
        <f>IF(OR($Y840="",$D$6=""),"",IF(INDEX($A:$U,ROW(),$D$6)="",0,IF(ISNUMBER(INDEX($A:$U,ROW(),$D$6)),INDEX($A:$U,ROW(),$D$6),IFERROR(--SUBSTITUTE(SUBSTITUTE(TRIM(INDEX($A:$U,ROW(),$D$6)),",",""),"원",""),0))))</f>
        <v/>
      </c>
      <c r="AA840" s="31">
        <f>IF($Y840="","",TRIM(INDEX($A:$U,ROW(),$E$6)&amp;IF($F$6="",""," "&amp;INDEX($A:$U,ROW(),$F$6))))</f>
        <v/>
      </c>
      <c r="AB840" s="31">
        <f>IF($AA840="","",SUBSTITUTE(SUBSTITUTE(SUBSTITUTE(SUBSTITUTE(SUBSTITUTE(SUBSTITUTE(SUBSTITUTE(SUBSTITUTE(SUBSTITUTE($AA840," ",""),"　",""),"(주)",""),"（주）",""),"㈜",""),"주식회사",""),"(유)",""),"（유）",""),"유한회사",""))</f>
        <v/>
      </c>
      <c r="AC840" s="31">
        <f>IF(OR($Y840="",N($Z840)&lt;=0,$AB840=""),0,IFERROR(LOOKUP(2,1/((거래처별!$AC$8:$AC$307&lt;&gt;"")*ISNUMBER(SEARCH(거래처별!$AC$8:$AC$307,$AB840))),거래처별!$A$8:$A$307),IFERROR(LOOKUP(2,1/((거래처별!$AD$8:$AD$307&lt;&gt;"")*ISNUMBER(SEARCH(거래처별!$AD$8:$AD$307,$AB840))),거래처별!$A$8:$A$307),IFERROR(LOOKUP(2,1/((거래처별!$AE$8:$AE$307&lt;&gt;"")*ISNUMBER(SEARCH(거래처별!$AE$8:$AE$307,$AB840))),거래처별!$A$8:$A$307),0))))</f>
        <v/>
      </c>
      <c r="AD840" s="31">
        <f>IF(AND($Y840&lt;&gt;"",N($Z840)&gt;0,$AC840=0),MAX($AD$7:$AD839)+1,"")</f>
        <v/>
      </c>
      <c r="AE840" s="31">
        <f>IF($Y840="",0,$Y840)</f>
        <v/>
      </c>
    </row>
    <row r="841">
      <c r="W841" s="31">
        <f>IF(OR($B$5="",$C$6="",ROW()&lt;$B$5),"",IF(INDEX($A:$U,ROW(),$C$6)="","",INDEX($A:$U,ROW(),$C$6)))</f>
        <v/>
      </c>
      <c r="X841" s="32">
        <f>IF($W841="","",IF(ISNUMBER($W841),IF($W841&gt;=10000000,IFERROR(DATE(INT($W841/10000),MOD(INT($W841/100),100),MOD($W841,100)),""),INT($W841)),IFERROR(DATE(--LEFT(LEFT(SUBSTITUTE(SUBSTITUTE(SUBSTITUTE(SUBSTITUTE(TRIM($W841),"-",""),".",""),"/","")," ",""),8),4),--MID(LEFT(SUBSTITUTE(SUBSTITUTE(SUBSTITUTE(SUBSTITUTE(TRIM($W841),"-",""),".",""),"/","")," ",""),8),5,2),--MID(LEFT(SUBSTITUTE(SUBSTITUTE(SUBSTITUTE(SUBSTITUTE(TRIM($W841),"-",""),".",""),"/","")," ",""),8),7,2)),"")))</f>
        <v/>
      </c>
      <c r="Y841" s="32">
        <f>IF($X841="","",INT($X841))</f>
        <v/>
      </c>
      <c r="Z841" s="33">
        <f>IF(OR($Y841="",$D$6=""),"",IF(INDEX($A:$U,ROW(),$D$6)="",0,IF(ISNUMBER(INDEX($A:$U,ROW(),$D$6)),INDEX($A:$U,ROW(),$D$6),IFERROR(--SUBSTITUTE(SUBSTITUTE(TRIM(INDEX($A:$U,ROW(),$D$6)),",",""),"원",""),0))))</f>
        <v/>
      </c>
      <c r="AA841" s="31">
        <f>IF($Y841="","",TRIM(INDEX($A:$U,ROW(),$E$6)&amp;IF($F$6="",""," "&amp;INDEX($A:$U,ROW(),$F$6))))</f>
        <v/>
      </c>
      <c r="AB841" s="31">
        <f>IF($AA841="","",SUBSTITUTE(SUBSTITUTE(SUBSTITUTE(SUBSTITUTE(SUBSTITUTE(SUBSTITUTE(SUBSTITUTE(SUBSTITUTE(SUBSTITUTE($AA841," ",""),"　",""),"(주)",""),"（주）",""),"㈜",""),"주식회사",""),"(유)",""),"（유）",""),"유한회사",""))</f>
        <v/>
      </c>
      <c r="AC841" s="31">
        <f>IF(OR($Y841="",N($Z841)&lt;=0,$AB841=""),0,IFERROR(LOOKUP(2,1/((거래처별!$AC$8:$AC$307&lt;&gt;"")*ISNUMBER(SEARCH(거래처별!$AC$8:$AC$307,$AB841))),거래처별!$A$8:$A$307),IFERROR(LOOKUP(2,1/((거래처별!$AD$8:$AD$307&lt;&gt;"")*ISNUMBER(SEARCH(거래처별!$AD$8:$AD$307,$AB841))),거래처별!$A$8:$A$307),IFERROR(LOOKUP(2,1/((거래처별!$AE$8:$AE$307&lt;&gt;"")*ISNUMBER(SEARCH(거래처별!$AE$8:$AE$307,$AB841))),거래처별!$A$8:$A$307),0))))</f>
        <v/>
      </c>
      <c r="AD841" s="31">
        <f>IF(AND($Y841&lt;&gt;"",N($Z841)&gt;0,$AC841=0),MAX($AD$7:$AD840)+1,"")</f>
        <v/>
      </c>
      <c r="AE841" s="31">
        <f>IF($Y841="",0,$Y841)</f>
        <v/>
      </c>
    </row>
    <row r="842">
      <c r="W842" s="31">
        <f>IF(OR($B$5="",$C$6="",ROW()&lt;$B$5),"",IF(INDEX($A:$U,ROW(),$C$6)="","",INDEX($A:$U,ROW(),$C$6)))</f>
        <v/>
      </c>
      <c r="X842" s="32">
        <f>IF($W842="","",IF(ISNUMBER($W842),IF($W842&gt;=10000000,IFERROR(DATE(INT($W842/10000),MOD(INT($W842/100),100),MOD($W842,100)),""),INT($W842)),IFERROR(DATE(--LEFT(LEFT(SUBSTITUTE(SUBSTITUTE(SUBSTITUTE(SUBSTITUTE(TRIM($W842),"-",""),".",""),"/","")," ",""),8),4),--MID(LEFT(SUBSTITUTE(SUBSTITUTE(SUBSTITUTE(SUBSTITUTE(TRIM($W842),"-",""),".",""),"/","")," ",""),8),5,2),--MID(LEFT(SUBSTITUTE(SUBSTITUTE(SUBSTITUTE(SUBSTITUTE(TRIM($W842),"-",""),".",""),"/","")," ",""),8),7,2)),"")))</f>
        <v/>
      </c>
      <c r="Y842" s="32">
        <f>IF($X842="","",INT($X842))</f>
        <v/>
      </c>
      <c r="Z842" s="33">
        <f>IF(OR($Y842="",$D$6=""),"",IF(INDEX($A:$U,ROW(),$D$6)="",0,IF(ISNUMBER(INDEX($A:$U,ROW(),$D$6)),INDEX($A:$U,ROW(),$D$6),IFERROR(--SUBSTITUTE(SUBSTITUTE(TRIM(INDEX($A:$U,ROW(),$D$6)),",",""),"원",""),0))))</f>
        <v/>
      </c>
      <c r="AA842" s="31">
        <f>IF($Y842="","",TRIM(INDEX($A:$U,ROW(),$E$6)&amp;IF($F$6="",""," "&amp;INDEX($A:$U,ROW(),$F$6))))</f>
        <v/>
      </c>
      <c r="AB842" s="31">
        <f>IF($AA842="","",SUBSTITUTE(SUBSTITUTE(SUBSTITUTE(SUBSTITUTE(SUBSTITUTE(SUBSTITUTE(SUBSTITUTE(SUBSTITUTE(SUBSTITUTE($AA842," ",""),"　",""),"(주)",""),"（주）",""),"㈜",""),"주식회사",""),"(유)",""),"（유）",""),"유한회사",""))</f>
        <v/>
      </c>
      <c r="AC842" s="31">
        <f>IF(OR($Y842="",N($Z842)&lt;=0,$AB842=""),0,IFERROR(LOOKUP(2,1/((거래처별!$AC$8:$AC$307&lt;&gt;"")*ISNUMBER(SEARCH(거래처별!$AC$8:$AC$307,$AB842))),거래처별!$A$8:$A$307),IFERROR(LOOKUP(2,1/((거래처별!$AD$8:$AD$307&lt;&gt;"")*ISNUMBER(SEARCH(거래처별!$AD$8:$AD$307,$AB842))),거래처별!$A$8:$A$307),IFERROR(LOOKUP(2,1/((거래처별!$AE$8:$AE$307&lt;&gt;"")*ISNUMBER(SEARCH(거래처별!$AE$8:$AE$307,$AB842))),거래처별!$A$8:$A$307),0))))</f>
        <v/>
      </c>
      <c r="AD842" s="31">
        <f>IF(AND($Y842&lt;&gt;"",N($Z842)&gt;0,$AC842=0),MAX($AD$7:$AD841)+1,"")</f>
        <v/>
      </c>
      <c r="AE842" s="31">
        <f>IF($Y842="",0,$Y842)</f>
        <v/>
      </c>
    </row>
    <row r="843">
      <c r="W843" s="31">
        <f>IF(OR($B$5="",$C$6="",ROW()&lt;$B$5),"",IF(INDEX($A:$U,ROW(),$C$6)="","",INDEX($A:$U,ROW(),$C$6)))</f>
        <v/>
      </c>
      <c r="X843" s="32">
        <f>IF($W843="","",IF(ISNUMBER($W843),IF($W843&gt;=10000000,IFERROR(DATE(INT($W843/10000),MOD(INT($W843/100),100),MOD($W843,100)),""),INT($W843)),IFERROR(DATE(--LEFT(LEFT(SUBSTITUTE(SUBSTITUTE(SUBSTITUTE(SUBSTITUTE(TRIM($W843),"-",""),".",""),"/","")," ",""),8),4),--MID(LEFT(SUBSTITUTE(SUBSTITUTE(SUBSTITUTE(SUBSTITUTE(TRIM($W843),"-",""),".",""),"/","")," ",""),8),5,2),--MID(LEFT(SUBSTITUTE(SUBSTITUTE(SUBSTITUTE(SUBSTITUTE(TRIM($W843),"-",""),".",""),"/","")," ",""),8),7,2)),"")))</f>
        <v/>
      </c>
      <c r="Y843" s="32">
        <f>IF($X843="","",INT($X843))</f>
        <v/>
      </c>
      <c r="Z843" s="33">
        <f>IF(OR($Y843="",$D$6=""),"",IF(INDEX($A:$U,ROW(),$D$6)="",0,IF(ISNUMBER(INDEX($A:$U,ROW(),$D$6)),INDEX($A:$U,ROW(),$D$6),IFERROR(--SUBSTITUTE(SUBSTITUTE(TRIM(INDEX($A:$U,ROW(),$D$6)),",",""),"원",""),0))))</f>
        <v/>
      </c>
      <c r="AA843" s="31">
        <f>IF($Y843="","",TRIM(INDEX($A:$U,ROW(),$E$6)&amp;IF($F$6="",""," "&amp;INDEX($A:$U,ROW(),$F$6))))</f>
        <v/>
      </c>
      <c r="AB843" s="31">
        <f>IF($AA843="","",SUBSTITUTE(SUBSTITUTE(SUBSTITUTE(SUBSTITUTE(SUBSTITUTE(SUBSTITUTE(SUBSTITUTE(SUBSTITUTE(SUBSTITUTE($AA843," ",""),"　",""),"(주)",""),"（주）",""),"㈜",""),"주식회사",""),"(유)",""),"（유）",""),"유한회사",""))</f>
        <v/>
      </c>
      <c r="AC843" s="31">
        <f>IF(OR($Y843="",N($Z843)&lt;=0,$AB843=""),0,IFERROR(LOOKUP(2,1/((거래처별!$AC$8:$AC$307&lt;&gt;"")*ISNUMBER(SEARCH(거래처별!$AC$8:$AC$307,$AB843))),거래처별!$A$8:$A$307),IFERROR(LOOKUP(2,1/((거래처별!$AD$8:$AD$307&lt;&gt;"")*ISNUMBER(SEARCH(거래처별!$AD$8:$AD$307,$AB843))),거래처별!$A$8:$A$307),IFERROR(LOOKUP(2,1/((거래처별!$AE$8:$AE$307&lt;&gt;"")*ISNUMBER(SEARCH(거래처별!$AE$8:$AE$307,$AB843))),거래처별!$A$8:$A$307),0))))</f>
        <v/>
      </c>
      <c r="AD843" s="31">
        <f>IF(AND($Y843&lt;&gt;"",N($Z843)&gt;0,$AC843=0),MAX($AD$7:$AD842)+1,"")</f>
        <v/>
      </c>
      <c r="AE843" s="31">
        <f>IF($Y843="",0,$Y843)</f>
        <v/>
      </c>
    </row>
    <row r="844">
      <c r="W844" s="31">
        <f>IF(OR($B$5="",$C$6="",ROW()&lt;$B$5),"",IF(INDEX($A:$U,ROW(),$C$6)="","",INDEX($A:$U,ROW(),$C$6)))</f>
        <v/>
      </c>
      <c r="X844" s="32">
        <f>IF($W844="","",IF(ISNUMBER($W844),IF($W844&gt;=10000000,IFERROR(DATE(INT($W844/10000),MOD(INT($W844/100),100),MOD($W844,100)),""),INT($W844)),IFERROR(DATE(--LEFT(LEFT(SUBSTITUTE(SUBSTITUTE(SUBSTITUTE(SUBSTITUTE(TRIM($W844),"-",""),".",""),"/","")," ",""),8),4),--MID(LEFT(SUBSTITUTE(SUBSTITUTE(SUBSTITUTE(SUBSTITUTE(TRIM($W844),"-",""),".",""),"/","")," ",""),8),5,2),--MID(LEFT(SUBSTITUTE(SUBSTITUTE(SUBSTITUTE(SUBSTITUTE(TRIM($W844),"-",""),".",""),"/","")," ",""),8),7,2)),"")))</f>
        <v/>
      </c>
      <c r="Y844" s="32">
        <f>IF($X844="","",INT($X844))</f>
        <v/>
      </c>
      <c r="Z844" s="33">
        <f>IF(OR($Y844="",$D$6=""),"",IF(INDEX($A:$U,ROW(),$D$6)="",0,IF(ISNUMBER(INDEX($A:$U,ROW(),$D$6)),INDEX($A:$U,ROW(),$D$6),IFERROR(--SUBSTITUTE(SUBSTITUTE(TRIM(INDEX($A:$U,ROW(),$D$6)),",",""),"원",""),0))))</f>
        <v/>
      </c>
      <c r="AA844" s="31">
        <f>IF($Y844="","",TRIM(INDEX($A:$U,ROW(),$E$6)&amp;IF($F$6="",""," "&amp;INDEX($A:$U,ROW(),$F$6))))</f>
        <v/>
      </c>
      <c r="AB844" s="31">
        <f>IF($AA844="","",SUBSTITUTE(SUBSTITUTE(SUBSTITUTE(SUBSTITUTE(SUBSTITUTE(SUBSTITUTE(SUBSTITUTE(SUBSTITUTE(SUBSTITUTE($AA844," ",""),"　",""),"(주)",""),"（주）",""),"㈜",""),"주식회사",""),"(유)",""),"（유）",""),"유한회사",""))</f>
        <v/>
      </c>
      <c r="AC844" s="31">
        <f>IF(OR($Y844="",N($Z844)&lt;=0,$AB844=""),0,IFERROR(LOOKUP(2,1/((거래처별!$AC$8:$AC$307&lt;&gt;"")*ISNUMBER(SEARCH(거래처별!$AC$8:$AC$307,$AB844))),거래처별!$A$8:$A$307),IFERROR(LOOKUP(2,1/((거래처별!$AD$8:$AD$307&lt;&gt;"")*ISNUMBER(SEARCH(거래처별!$AD$8:$AD$307,$AB844))),거래처별!$A$8:$A$307),IFERROR(LOOKUP(2,1/((거래처별!$AE$8:$AE$307&lt;&gt;"")*ISNUMBER(SEARCH(거래처별!$AE$8:$AE$307,$AB844))),거래처별!$A$8:$A$307),0))))</f>
        <v/>
      </c>
      <c r="AD844" s="31">
        <f>IF(AND($Y844&lt;&gt;"",N($Z844)&gt;0,$AC844=0),MAX($AD$7:$AD843)+1,"")</f>
        <v/>
      </c>
      <c r="AE844" s="31">
        <f>IF($Y844="",0,$Y844)</f>
        <v/>
      </c>
    </row>
    <row r="845">
      <c r="W845" s="31">
        <f>IF(OR($B$5="",$C$6="",ROW()&lt;$B$5),"",IF(INDEX($A:$U,ROW(),$C$6)="","",INDEX($A:$U,ROW(),$C$6)))</f>
        <v/>
      </c>
      <c r="X845" s="32">
        <f>IF($W845="","",IF(ISNUMBER($W845),IF($W845&gt;=10000000,IFERROR(DATE(INT($W845/10000),MOD(INT($W845/100),100),MOD($W845,100)),""),INT($W845)),IFERROR(DATE(--LEFT(LEFT(SUBSTITUTE(SUBSTITUTE(SUBSTITUTE(SUBSTITUTE(TRIM($W845),"-",""),".",""),"/","")," ",""),8),4),--MID(LEFT(SUBSTITUTE(SUBSTITUTE(SUBSTITUTE(SUBSTITUTE(TRIM($W845),"-",""),".",""),"/","")," ",""),8),5,2),--MID(LEFT(SUBSTITUTE(SUBSTITUTE(SUBSTITUTE(SUBSTITUTE(TRIM($W845),"-",""),".",""),"/","")," ",""),8),7,2)),"")))</f>
        <v/>
      </c>
      <c r="Y845" s="32">
        <f>IF($X845="","",INT($X845))</f>
        <v/>
      </c>
      <c r="Z845" s="33">
        <f>IF(OR($Y845="",$D$6=""),"",IF(INDEX($A:$U,ROW(),$D$6)="",0,IF(ISNUMBER(INDEX($A:$U,ROW(),$D$6)),INDEX($A:$U,ROW(),$D$6),IFERROR(--SUBSTITUTE(SUBSTITUTE(TRIM(INDEX($A:$U,ROW(),$D$6)),",",""),"원",""),0))))</f>
        <v/>
      </c>
      <c r="AA845" s="31">
        <f>IF($Y845="","",TRIM(INDEX($A:$U,ROW(),$E$6)&amp;IF($F$6="",""," "&amp;INDEX($A:$U,ROW(),$F$6))))</f>
        <v/>
      </c>
      <c r="AB845" s="31">
        <f>IF($AA845="","",SUBSTITUTE(SUBSTITUTE(SUBSTITUTE(SUBSTITUTE(SUBSTITUTE(SUBSTITUTE(SUBSTITUTE(SUBSTITUTE(SUBSTITUTE($AA845," ",""),"　",""),"(주)",""),"（주）",""),"㈜",""),"주식회사",""),"(유)",""),"（유）",""),"유한회사",""))</f>
        <v/>
      </c>
      <c r="AC845" s="31">
        <f>IF(OR($Y845="",N($Z845)&lt;=0,$AB845=""),0,IFERROR(LOOKUP(2,1/((거래처별!$AC$8:$AC$307&lt;&gt;"")*ISNUMBER(SEARCH(거래처별!$AC$8:$AC$307,$AB845))),거래처별!$A$8:$A$307),IFERROR(LOOKUP(2,1/((거래처별!$AD$8:$AD$307&lt;&gt;"")*ISNUMBER(SEARCH(거래처별!$AD$8:$AD$307,$AB845))),거래처별!$A$8:$A$307),IFERROR(LOOKUP(2,1/((거래처별!$AE$8:$AE$307&lt;&gt;"")*ISNUMBER(SEARCH(거래처별!$AE$8:$AE$307,$AB845))),거래처별!$A$8:$A$307),0))))</f>
        <v/>
      </c>
      <c r="AD845" s="31">
        <f>IF(AND($Y845&lt;&gt;"",N($Z845)&gt;0,$AC845=0),MAX($AD$7:$AD844)+1,"")</f>
        <v/>
      </c>
      <c r="AE845" s="31">
        <f>IF($Y845="",0,$Y845)</f>
        <v/>
      </c>
    </row>
    <row r="846">
      <c r="W846" s="31">
        <f>IF(OR($B$5="",$C$6="",ROW()&lt;$B$5),"",IF(INDEX($A:$U,ROW(),$C$6)="","",INDEX($A:$U,ROW(),$C$6)))</f>
        <v/>
      </c>
      <c r="X846" s="32">
        <f>IF($W846="","",IF(ISNUMBER($W846),IF($W846&gt;=10000000,IFERROR(DATE(INT($W846/10000),MOD(INT($W846/100),100),MOD($W846,100)),""),INT($W846)),IFERROR(DATE(--LEFT(LEFT(SUBSTITUTE(SUBSTITUTE(SUBSTITUTE(SUBSTITUTE(TRIM($W846),"-",""),".",""),"/","")," ",""),8),4),--MID(LEFT(SUBSTITUTE(SUBSTITUTE(SUBSTITUTE(SUBSTITUTE(TRIM($W846),"-",""),".",""),"/","")," ",""),8),5,2),--MID(LEFT(SUBSTITUTE(SUBSTITUTE(SUBSTITUTE(SUBSTITUTE(TRIM($W846),"-",""),".",""),"/","")," ",""),8),7,2)),"")))</f>
        <v/>
      </c>
      <c r="Y846" s="32">
        <f>IF($X846="","",INT($X846))</f>
        <v/>
      </c>
      <c r="Z846" s="33">
        <f>IF(OR($Y846="",$D$6=""),"",IF(INDEX($A:$U,ROW(),$D$6)="",0,IF(ISNUMBER(INDEX($A:$U,ROW(),$D$6)),INDEX($A:$U,ROW(),$D$6),IFERROR(--SUBSTITUTE(SUBSTITUTE(TRIM(INDEX($A:$U,ROW(),$D$6)),",",""),"원",""),0))))</f>
        <v/>
      </c>
      <c r="AA846" s="31">
        <f>IF($Y846="","",TRIM(INDEX($A:$U,ROW(),$E$6)&amp;IF($F$6="",""," "&amp;INDEX($A:$U,ROW(),$F$6))))</f>
        <v/>
      </c>
      <c r="AB846" s="31">
        <f>IF($AA846="","",SUBSTITUTE(SUBSTITUTE(SUBSTITUTE(SUBSTITUTE(SUBSTITUTE(SUBSTITUTE(SUBSTITUTE(SUBSTITUTE(SUBSTITUTE($AA846," ",""),"　",""),"(주)",""),"（주）",""),"㈜",""),"주식회사",""),"(유)",""),"（유）",""),"유한회사",""))</f>
        <v/>
      </c>
      <c r="AC846" s="31">
        <f>IF(OR($Y846="",N($Z846)&lt;=0,$AB846=""),0,IFERROR(LOOKUP(2,1/((거래처별!$AC$8:$AC$307&lt;&gt;"")*ISNUMBER(SEARCH(거래처별!$AC$8:$AC$307,$AB846))),거래처별!$A$8:$A$307),IFERROR(LOOKUP(2,1/((거래처별!$AD$8:$AD$307&lt;&gt;"")*ISNUMBER(SEARCH(거래처별!$AD$8:$AD$307,$AB846))),거래처별!$A$8:$A$307),IFERROR(LOOKUP(2,1/((거래처별!$AE$8:$AE$307&lt;&gt;"")*ISNUMBER(SEARCH(거래처별!$AE$8:$AE$307,$AB846))),거래처별!$A$8:$A$307),0))))</f>
        <v/>
      </c>
      <c r="AD846" s="31">
        <f>IF(AND($Y846&lt;&gt;"",N($Z846)&gt;0,$AC846=0),MAX($AD$7:$AD845)+1,"")</f>
        <v/>
      </c>
      <c r="AE846" s="31">
        <f>IF($Y846="",0,$Y846)</f>
        <v/>
      </c>
    </row>
    <row r="847">
      <c r="W847" s="31">
        <f>IF(OR($B$5="",$C$6="",ROW()&lt;$B$5),"",IF(INDEX($A:$U,ROW(),$C$6)="","",INDEX($A:$U,ROW(),$C$6)))</f>
        <v/>
      </c>
      <c r="X847" s="32">
        <f>IF($W847="","",IF(ISNUMBER($W847),IF($W847&gt;=10000000,IFERROR(DATE(INT($W847/10000),MOD(INT($W847/100),100),MOD($W847,100)),""),INT($W847)),IFERROR(DATE(--LEFT(LEFT(SUBSTITUTE(SUBSTITUTE(SUBSTITUTE(SUBSTITUTE(TRIM($W847),"-",""),".",""),"/","")," ",""),8),4),--MID(LEFT(SUBSTITUTE(SUBSTITUTE(SUBSTITUTE(SUBSTITUTE(TRIM($W847),"-",""),".",""),"/","")," ",""),8),5,2),--MID(LEFT(SUBSTITUTE(SUBSTITUTE(SUBSTITUTE(SUBSTITUTE(TRIM($W847),"-",""),".",""),"/","")," ",""),8),7,2)),"")))</f>
        <v/>
      </c>
      <c r="Y847" s="32">
        <f>IF($X847="","",INT($X847))</f>
        <v/>
      </c>
      <c r="Z847" s="33">
        <f>IF(OR($Y847="",$D$6=""),"",IF(INDEX($A:$U,ROW(),$D$6)="",0,IF(ISNUMBER(INDEX($A:$U,ROW(),$D$6)),INDEX($A:$U,ROW(),$D$6),IFERROR(--SUBSTITUTE(SUBSTITUTE(TRIM(INDEX($A:$U,ROW(),$D$6)),",",""),"원",""),0))))</f>
        <v/>
      </c>
      <c r="AA847" s="31">
        <f>IF($Y847="","",TRIM(INDEX($A:$U,ROW(),$E$6)&amp;IF($F$6="",""," "&amp;INDEX($A:$U,ROW(),$F$6))))</f>
        <v/>
      </c>
      <c r="AB847" s="31">
        <f>IF($AA847="","",SUBSTITUTE(SUBSTITUTE(SUBSTITUTE(SUBSTITUTE(SUBSTITUTE(SUBSTITUTE(SUBSTITUTE(SUBSTITUTE(SUBSTITUTE($AA847," ",""),"　",""),"(주)",""),"（주）",""),"㈜",""),"주식회사",""),"(유)",""),"（유）",""),"유한회사",""))</f>
        <v/>
      </c>
      <c r="AC847" s="31">
        <f>IF(OR($Y847="",N($Z847)&lt;=0,$AB847=""),0,IFERROR(LOOKUP(2,1/((거래처별!$AC$8:$AC$307&lt;&gt;"")*ISNUMBER(SEARCH(거래처별!$AC$8:$AC$307,$AB847))),거래처별!$A$8:$A$307),IFERROR(LOOKUP(2,1/((거래처별!$AD$8:$AD$307&lt;&gt;"")*ISNUMBER(SEARCH(거래처별!$AD$8:$AD$307,$AB847))),거래처별!$A$8:$A$307),IFERROR(LOOKUP(2,1/((거래처별!$AE$8:$AE$307&lt;&gt;"")*ISNUMBER(SEARCH(거래처별!$AE$8:$AE$307,$AB847))),거래처별!$A$8:$A$307),0))))</f>
        <v/>
      </c>
      <c r="AD847" s="31">
        <f>IF(AND($Y847&lt;&gt;"",N($Z847)&gt;0,$AC847=0),MAX($AD$7:$AD846)+1,"")</f>
        <v/>
      </c>
      <c r="AE847" s="31">
        <f>IF($Y847="",0,$Y847)</f>
        <v/>
      </c>
    </row>
    <row r="848">
      <c r="W848" s="31">
        <f>IF(OR($B$5="",$C$6="",ROW()&lt;$B$5),"",IF(INDEX($A:$U,ROW(),$C$6)="","",INDEX($A:$U,ROW(),$C$6)))</f>
        <v/>
      </c>
      <c r="X848" s="32">
        <f>IF($W848="","",IF(ISNUMBER($W848),IF($W848&gt;=10000000,IFERROR(DATE(INT($W848/10000),MOD(INT($W848/100),100),MOD($W848,100)),""),INT($W848)),IFERROR(DATE(--LEFT(LEFT(SUBSTITUTE(SUBSTITUTE(SUBSTITUTE(SUBSTITUTE(TRIM($W848),"-",""),".",""),"/","")," ",""),8),4),--MID(LEFT(SUBSTITUTE(SUBSTITUTE(SUBSTITUTE(SUBSTITUTE(TRIM($W848),"-",""),".",""),"/","")," ",""),8),5,2),--MID(LEFT(SUBSTITUTE(SUBSTITUTE(SUBSTITUTE(SUBSTITUTE(TRIM($W848),"-",""),".",""),"/","")," ",""),8),7,2)),"")))</f>
        <v/>
      </c>
      <c r="Y848" s="32">
        <f>IF($X848="","",INT($X848))</f>
        <v/>
      </c>
      <c r="Z848" s="33">
        <f>IF(OR($Y848="",$D$6=""),"",IF(INDEX($A:$U,ROW(),$D$6)="",0,IF(ISNUMBER(INDEX($A:$U,ROW(),$D$6)),INDEX($A:$U,ROW(),$D$6),IFERROR(--SUBSTITUTE(SUBSTITUTE(TRIM(INDEX($A:$U,ROW(),$D$6)),",",""),"원",""),0))))</f>
        <v/>
      </c>
      <c r="AA848" s="31">
        <f>IF($Y848="","",TRIM(INDEX($A:$U,ROW(),$E$6)&amp;IF($F$6="",""," "&amp;INDEX($A:$U,ROW(),$F$6))))</f>
        <v/>
      </c>
      <c r="AB848" s="31">
        <f>IF($AA848="","",SUBSTITUTE(SUBSTITUTE(SUBSTITUTE(SUBSTITUTE(SUBSTITUTE(SUBSTITUTE(SUBSTITUTE(SUBSTITUTE(SUBSTITUTE($AA848," ",""),"　",""),"(주)",""),"（주）",""),"㈜",""),"주식회사",""),"(유)",""),"（유）",""),"유한회사",""))</f>
        <v/>
      </c>
      <c r="AC848" s="31">
        <f>IF(OR($Y848="",N($Z848)&lt;=0,$AB848=""),0,IFERROR(LOOKUP(2,1/((거래처별!$AC$8:$AC$307&lt;&gt;"")*ISNUMBER(SEARCH(거래처별!$AC$8:$AC$307,$AB848))),거래처별!$A$8:$A$307),IFERROR(LOOKUP(2,1/((거래처별!$AD$8:$AD$307&lt;&gt;"")*ISNUMBER(SEARCH(거래처별!$AD$8:$AD$307,$AB848))),거래처별!$A$8:$A$307),IFERROR(LOOKUP(2,1/((거래처별!$AE$8:$AE$307&lt;&gt;"")*ISNUMBER(SEARCH(거래처별!$AE$8:$AE$307,$AB848))),거래처별!$A$8:$A$307),0))))</f>
        <v/>
      </c>
      <c r="AD848" s="31">
        <f>IF(AND($Y848&lt;&gt;"",N($Z848)&gt;0,$AC848=0),MAX($AD$7:$AD847)+1,"")</f>
        <v/>
      </c>
      <c r="AE848" s="31">
        <f>IF($Y848="",0,$Y848)</f>
        <v/>
      </c>
    </row>
    <row r="849">
      <c r="W849" s="31">
        <f>IF(OR($B$5="",$C$6="",ROW()&lt;$B$5),"",IF(INDEX($A:$U,ROW(),$C$6)="","",INDEX($A:$U,ROW(),$C$6)))</f>
        <v/>
      </c>
      <c r="X849" s="32">
        <f>IF($W849="","",IF(ISNUMBER($W849),IF($W849&gt;=10000000,IFERROR(DATE(INT($W849/10000),MOD(INT($W849/100),100),MOD($W849,100)),""),INT($W849)),IFERROR(DATE(--LEFT(LEFT(SUBSTITUTE(SUBSTITUTE(SUBSTITUTE(SUBSTITUTE(TRIM($W849),"-",""),".",""),"/","")," ",""),8),4),--MID(LEFT(SUBSTITUTE(SUBSTITUTE(SUBSTITUTE(SUBSTITUTE(TRIM($W849),"-",""),".",""),"/","")," ",""),8),5,2),--MID(LEFT(SUBSTITUTE(SUBSTITUTE(SUBSTITUTE(SUBSTITUTE(TRIM($W849),"-",""),".",""),"/","")," ",""),8),7,2)),"")))</f>
        <v/>
      </c>
      <c r="Y849" s="32">
        <f>IF($X849="","",INT($X849))</f>
        <v/>
      </c>
      <c r="Z849" s="33">
        <f>IF(OR($Y849="",$D$6=""),"",IF(INDEX($A:$U,ROW(),$D$6)="",0,IF(ISNUMBER(INDEX($A:$U,ROW(),$D$6)),INDEX($A:$U,ROW(),$D$6),IFERROR(--SUBSTITUTE(SUBSTITUTE(TRIM(INDEX($A:$U,ROW(),$D$6)),",",""),"원",""),0))))</f>
        <v/>
      </c>
      <c r="AA849" s="31">
        <f>IF($Y849="","",TRIM(INDEX($A:$U,ROW(),$E$6)&amp;IF($F$6="",""," "&amp;INDEX($A:$U,ROW(),$F$6))))</f>
        <v/>
      </c>
      <c r="AB849" s="31">
        <f>IF($AA849="","",SUBSTITUTE(SUBSTITUTE(SUBSTITUTE(SUBSTITUTE(SUBSTITUTE(SUBSTITUTE(SUBSTITUTE(SUBSTITUTE(SUBSTITUTE($AA849," ",""),"　",""),"(주)",""),"（주）",""),"㈜",""),"주식회사",""),"(유)",""),"（유）",""),"유한회사",""))</f>
        <v/>
      </c>
      <c r="AC849" s="31">
        <f>IF(OR($Y849="",N($Z849)&lt;=0,$AB849=""),0,IFERROR(LOOKUP(2,1/((거래처별!$AC$8:$AC$307&lt;&gt;"")*ISNUMBER(SEARCH(거래처별!$AC$8:$AC$307,$AB849))),거래처별!$A$8:$A$307),IFERROR(LOOKUP(2,1/((거래처별!$AD$8:$AD$307&lt;&gt;"")*ISNUMBER(SEARCH(거래처별!$AD$8:$AD$307,$AB849))),거래처별!$A$8:$A$307),IFERROR(LOOKUP(2,1/((거래처별!$AE$8:$AE$307&lt;&gt;"")*ISNUMBER(SEARCH(거래처별!$AE$8:$AE$307,$AB849))),거래처별!$A$8:$A$307),0))))</f>
        <v/>
      </c>
      <c r="AD849" s="31">
        <f>IF(AND($Y849&lt;&gt;"",N($Z849)&gt;0,$AC849=0),MAX($AD$7:$AD848)+1,"")</f>
        <v/>
      </c>
      <c r="AE849" s="31">
        <f>IF($Y849="",0,$Y849)</f>
        <v/>
      </c>
    </row>
    <row r="850">
      <c r="W850" s="31">
        <f>IF(OR($B$5="",$C$6="",ROW()&lt;$B$5),"",IF(INDEX($A:$U,ROW(),$C$6)="","",INDEX($A:$U,ROW(),$C$6)))</f>
        <v/>
      </c>
      <c r="X850" s="32">
        <f>IF($W850="","",IF(ISNUMBER($W850),IF($W850&gt;=10000000,IFERROR(DATE(INT($W850/10000),MOD(INT($W850/100),100),MOD($W850,100)),""),INT($W850)),IFERROR(DATE(--LEFT(LEFT(SUBSTITUTE(SUBSTITUTE(SUBSTITUTE(SUBSTITUTE(TRIM($W850),"-",""),".",""),"/","")," ",""),8),4),--MID(LEFT(SUBSTITUTE(SUBSTITUTE(SUBSTITUTE(SUBSTITUTE(TRIM($W850),"-",""),".",""),"/","")," ",""),8),5,2),--MID(LEFT(SUBSTITUTE(SUBSTITUTE(SUBSTITUTE(SUBSTITUTE(TRIM($W850),"-",""),".",""),"/","")," ",""),8),7,2)),"")))</f>
        <v/>
      </c>
      <c r="Y850" s="32">
        <f>IF($X850="","",INT($X850))</f>
        <v/>
      </c>
      <c r="Z850" s="33">
        <f>IF(OR($Y850="",$D$6=""),"",IF(INDEX($A:$U,ROW(),$D$6)="",0,IF(ISNUMBER(INDEX($A:$U,ROW(),$D$6)),INDEX($A:$U,ROW(),$D$6),IFERROR(--SUBSTITUTE(SUBSTITUTE(TRIM(INDEX($A:$U,ROW(),$D$6)),",",""),"원",""),0))))</f>
        <v/>
      </c>
      <c r="AA850" s="31">
        <f>IF($Y850="","",TRIM(INDEX($A:$U,ROW(),$E$6)&amp;IF($F$6="",""," "&amp;INDEX($A:$U,ROW(),$F$6))))</f>
        <v/>
      </c>
      <c r="AB850" s="31">
        <f>IF($AA850="","",SUBSTITUTE(SUBSTITUTE(SUBSTITUTE(SUBSTITUTE(SUBSTITUTE(SUBSTITUTE(SUBSTITUTE(SUBSTITUTE(SUBSTITUTE($AA850," ",""),"　",""),"(주)",""),"（주）",""),"㈜",""),"주식회사",""),"(유)",""),"（유）",""),"유한회사",""))</f>
        <v/>
      </c>
      <c r="AC850" s="31">
        <f>IF(OR($Y850="",N($Z850)&lt;=0,$AB850=""),0,IFERROR(LOOKUP(2,1/((거래처별!$AC$8:$AC$307&lt;&gt;"")*ISNUMBER(SEARCH(거래처별!$AC$8:$AC$307,$AB850))),거래처별!$A$8:$A$307),IFERROR(LOOKUP(2,1/((거래처별!$AD$8:$AD$307&lt;&gt;"")*ISNUMBER(SEARCH(거래처별!$AD$8:$AD$307,$AB850))),거래처별!$A$8:$A$307),IFERROR(LOOKUP(2,1/((거래처별!$AE$8:$AE$307&lt;&gt;"")*ISNUMBER(SEARCH(거래처별!$AE$8:$AE$307,$AB850))),거래처별!$A$8:$A$307),0))))</f>
        <v/>
      </c>
      <c r="AD850" s="31">
        <f>IF(AND($Y850&lt;&gt;"",N($Z850)&gt;0,$AC850=0),MAX($AD$7:$AD849)+1,"")</f>
        <v/>
      </c>
      <c r="AE850" s="31">
        <f>IF($Y850="",0,$Y850)</f>
        <v/>
      </c>
    </row>
    <row r="851">
      <c r="W851" s="31">
        <f>IF(OR($B$5="",$C$6="",ROW()&lt;$B$5),"",IF(INDEX($A:$U,ROW(),$C$6)="","",INDEX($A:$U,ROW(),$C$6)))</f>
        <v/>
      </c>
      <c r="X851" s="32">
        <f>IF($W851="","",IF(ISNUMBER($W851),IF($W851&gt;=10000000,IFERROR(DATE(INT($W851/10000),MOD(INT($W851/100),100),MOD($W851,100)),""),INT($W851)),IFERROR(DATE(--LEFT(LEFT(SUBSTITUTE(SUBSTITUTE(SUBSTITUTE(SUBSTITUTE(TRIM($W851),"-",""),".",""),"/","")," ",""),8),4),--MID(LEFT(SUBSTITUTE(SUBSTITUTE(SUBSTITUTE(SUBSTITUTE(TRIM($W851),"-",""),".",""),"/","")," ",""),8),5,2),--MID(LEFT(SUBSTITUTE(SUBSTITUTE(SUBSTITUTE(SUBSTITUTE(TRIM($W851),"-",""),".",""),"/","")," ",""),8),7,2)),"")))</f>
        <v/>
      </c>
      <c r="Y851" s="32">
        <f>IF($X851="","",INT($X851))</f>
        <v/>
      </c>
      <c r="Z851" s="33">
        <f>IF(OR($Y851="",$D$6=""),"",IF(INDEX($A:$U,ROW(),$D$6)="",0,IF(ISNUMBER(INDEX($A:$U,ROW(),$D$6)),INDEX($A:$U,ROW(),$D$6),IFERROR(--SUBSTITUTE(SUBSTITUTE(TRIM(INDEX($A:$U,ROW(),$D$6)),",",""),"원",""),0))))</f>
        <v/>
      </c>
      <c r="AA851" s="31">
        <f>IF($Y851="","",TRIM(INDEX($A:$U,ROW(),$E$6)&amp;IF($F$6="",""," "&amp;INDEX($A:$U,ROW(),$F$6))))</f>
        <v/>
      </c>
      <c r="AB851" s="31">
        <f>IF($AA851="","",SUBSTITUTE(SUBSTITUTE(SUBSTITUTE(SUBSTITUTE(SUBSTITUTE(SUBSTITUTE(SUBSTITUTE(SUBSTITUTE(SUBSTITUTE($AA851," ",""),"　",""),"(주)",""),"（주）",""),"㈜",""),"주식회사",""),"(유)",""),"（유）",""),"유한회사",""))</f>
        <v/>
      </c>
      <c r="AC851" s="31">
        <f>IF(OR($Y851="",N($Z851)&lt;=0,$AB851=""),0,IFERROR(LOOKUP(2,1/((거래처별!$AC$8:$AC$307&lt;&gt;"")*ISNUMBER(SEARCH(거래처별!$AC$8:$AC$307,$AB851))),거래처별!$A$8:$A$307),IFERROR(LOOKUP(2,1/((거래처별!$AD$8:$AD$307&lt;&gt;"")*ISNUMBER(SEARCH(거래처별!$AD$8:$AD$307,$AB851))),거래처별!$A$8:$A$307),IFERROR(LOOKUP(2,1/((거래처별!$AE$8:$AE$307&lt;&gt;"")*ISNUMBER(SEARCH(거래처별!$AE$8:$AE$307,$AB851))),거래처별!$A$8:$A$307),0))))</f>
        <v/>
      </c>
      <c r="AD851" s="31">
        <f>IF(AND($Y851&lt;&gt;"",N($Z851)&gt;0,$AC851=0),MAX($AD$7:$AD850)+1,"")</f>
        <v/>
      </c>
      <c r="AE851" s="31">
        <f>IF($Y851="",0,$Y851)</f>
        <v/>
      </c>
    </row>
    <row r="852">
      <c r="W852" s="31">
        <f>IF(OR($B$5="",$C$6="",ROW()&lt;$B$5),"",IF(INDEX($A:$U,ROW(),$C$6)="","",INDEX($A:$U,ROW(),$C$6)))</f>
        <v/>
      </c>
      <c r="X852" s="32">
        <f>IF($W852="","",IF(ISNUMBER($W852),IF($W852&gt;=10000000,IFERROR(DATE(INT($W852/10000),MOD(INT($W852/100),100),MOD($W852,100)),""),INT($W852)),IFERROR(DATE(--LEFT(LEFT(SUBSTITUTE(SUBSTITUTE(SUBSTITUTE(SUBSTITUTE(TRIM($W852),"-",""),".",""),"/","")," ",""),8),4),--MID(LEFT(SUBSTITUTE(SUBSTITUTE(SUBSTITUTE(SUBSTITUTE(TRIM($W852),"-",""),".",""),"/","")," ",""),8),5,2),--MID(LEFT(SUBSTITUTE(SUBSTITUTE(SUBSTITUTE(SUBSTITUTE(TRIM($W852),"-",""),".",""),"/","")," ",""),8),7,2)),"")))</f>
        <v/>
      </c>
      <c r="Y852" s="32">
        <f>IF($X852="","",INT($X852))</f>
        <v/>
      </c>
      <c r="Z852" s="33">
        <f>IF(OR($Y852="",$D$6=""),"",IF(INDEX($A:$U,ROW(),$D$6)="",0,IF(ISNUMBER(INDEX($A:$U,ROW(),$D$6)),INDEX($A:$U,ROW(),$D$6),IFERROR(--SUBSTITUTE(SUBSTITUTE(TRIM(INDEX($A:$U,ROW(),$D$6)),",",""),"원",""),0))))</f>
        <v/>
      </c>
      <c r="AA852" s="31">
        <f>IF($Y852="","",TRIM(INDEX($A:$U,ROW(),$E$6)&amp;IF($F$6="",""," "&amp;INDEX($A:$U,ROW(),$F$6))))</f>
        <v/>
      </c>
      <c r="AB852" s="31">
        <f>IF($AA852="","",SUBSTITUTE(SUBSTITUTE(SUBSTITUTE(SUBSTITUTE(SUBSTITUTE(SUBSTITUTE(SUBSTITUTE(SUBSTITUTE(SUBSTITUTE($AA852," ",""),"　",""),"(주)",""),"（주）",""),"㈜",""),"주식회사",""),"(유)",""),"（유）",""),"유한회사",""))</f>
        <v/>
      </c>
      <c r="AC852" s="31">
        <f>IF(OR($Y852="",N($Z852)&lt;=0,$AB852=""),0,IFERROR(LOOKUP(2,1/((거래처별!$AC$8:$AC$307&lt;&gt;"")*ISNUMBER(SEARCH(거래처별!$AC$8:$AC$307,$AB852))),거래처별!$A$8:$A$307),IFERROR(LOOKUP(2,1/((거래처별!$AD$8:$AD$307&lt;&gt;"")*ISNUMBER(SEARCH(거래처별!$AD$8:$AD$307,$AB852))),거래처별!$A$8:$A$307),IFERROR(LOOKUP(2,1/((거래처별!$AE$8:$AE$307&lt;&gt;"")*ISNUMBER(SEARCH(거래처별!$AE$8:$AE$307,$AB852))),거래처별!$A$8:$A$307),0))))</f>
        <v/>
      </c>
      <c r="AD852" s="31">
        <f>IF(AND($Y852&lt;&gt;"",N($Z852)&gt;0,$AC852=0),MAX($AD$7:$AD851)+1,"")</f>
        <v/>
      </c>
      <c r="AE852" s="31">
        <f>IF($Y852="",0,$Y852)</f>
        <v/>
      </c>
    </row>
    <row r="853">
      <c r="W853" s="31">
        <f>IF(OR($B$5="",$C$6="",ROW()&lt;$B$5),"",IF(INDEX($A:$U,ROW(),$C$6)="","",INDEX($A:$U,ROW(),$C$6)))</f>
        <v/>
      </c>
      <c r="X853" s="32">
        <f>IF($W853="","",IF(ISNUMBER($W853),IF($W853&gt;=10000000,IFERROR(DATE(INT($W853/10000),MOD(INT($W853/100),100),MOD($W853,100)),""),INT($W853)),IFERROR(DATE(--LEFT(LEFT(SUBSTITUTE(SUBSTITUTE(SUBSTITUTE(SUBSTITUTE(TRIM($W853),"-",""),".",""),"/","")," ",""),8),4),--MID(LEFT(SUBSTITUTE(SUBSTITUTE(SUBSTITUTE(SUBSTITUTE(TRIM($W853),"-",""),".",""),"/","")," ",""),8),5,2),--MID(LEFT(SUBSTITUTE(SUBSTITUTE(SUBSTITUTE(SUBSTITUTE(TRIM($W853),"-",""),".",""),"/","")," ",""),8),7,2)),"")))</f>
        <v/>
      </c>
      <c r="Y853" s="32">
        <f>IF($X853="","",INT($X853))</f>
        <v/>
      </c>
      <c r="Z853" s="33">
        <f>IF(OR($Y853="",$D$6=""),"",IF(INDEX($A:$U,ROW(),$D$6)="",0,IF(ISNUMBER(INDEX($A:$U,ROW(),$D$6)),INDEX($A:$U,ROW(),$D$6),IFERROR(--SUBSTITUTE(SUBSTITUTE(TRIM(INDEX($A:$U,ROW(),$D$6)),",",""),"원",""),0))))</f>
        <v/>
      </c>
      <c r="AA853" s="31">
        <f>IF($Y853="","",TRIM(INDEX($A:$U,ROW(),$E$6)&amp;IF($F$6="",""," "&amp;INDEX($A:$U,ROW(),$F$6))))</f>
        <v/>
      </c>
      <c r="AB853" s="31">
        <f>IF($AA853="","",SUBSTITUTE(SUBSTITUTE(SUBSTITUTE(SUBSTITUTE(SUBSTITUTE(SUBSTITUTE(SUBSTITUTE(SUBSTITUTE(SUBSTITUTE($AA853," ",""),"　",""),"(주)",""),"（주）",""),"㈜",""),"주식회사",""),"(유)",""),"（유）",""),"유한회사",""))</f>
        <v/>
      </c>
      <c r="AC853" s="31">
        <f>IF(OR($Y853="",N($Z853)&lt;=0,$AB853=""),0,IFERROR(LOOKUP(2,1/((거래처별!$AC$8:$AC$307&lt;&gt;"")*ISNUMBER(SEARCH(거래처별!$AC$8:$AC$307,$AB853))),거래처별!$A$8:$A$307),IFERROR(LOOKUP(2,1/((거래처별!$AD$8:$AD$307&lt;&gt;"")*ISNUMBER(SEARCH(거래처별!$AD$8:$AD$307,$AB853))),거래처별!$A$8:$A$307),IFERROR(LOOKUP(2,1/((거래처별!$AE$8:$AE$307&lt;&gt;"")*ISNUMBER(SEARCH(거래처별!$AE$8:$AE$307,$AB853))),거래처별!$A$8:$A$307),0))))</f>
        <v/>
      </c>
      <c r="AD853" s="31">
        <f>IF(AND($Y853&lt;&gt;"",N($Z853)&gt;0,$AC853=0),MAX($AD$7:$AD852)+1,"")</f>
        <v/>
      </c>
      <c r="AE853" s="31">
        <f>IF($Y853="",0,$Y853)</f>
        <v/>
      </c>
    </row>
    <row r="854">
      <c r="W854" s="31">
        <f>IF(OR($B$5="",$C$6="",ROW()&lt;$B$5),"",IF(INDEX($A:$U,ROW(),$C$6)="","",INDEX($A:$U,ROW(),$C$6)))</f>
        <v/>
      </c>
      <c r="X854" s="32">
        <f>IF($W854="","",IF(ISNUMBER($W854),IF($W854&gt;=10000000,IFERROR(DATE(INT($W854/10000),MOD(INT($W854/100),100),MOD($W854,100)),""),INT($W854)),IFERROR(DATE(--LEFT(LEFT(SUBSTITUTE(SUBSTITUTE(SUBSTITUTE(SUBSTITUTE(TRIM($W854),"-",""),".",""),"/","")," ",""),8),4),--MID(LEFT(SUBSTITUTE(SUBSTITUTE(SUBSTITUTE(SUBSTITUTE(TRIM($W854),"-",""),".",""),"/","")," ",""),8),5,2),--MID(LEFT(SUBSTITUTE(SUBSTITUTE(SUBSTITUTE(SUBSTITUTE(TRIM($W854),"-",""),".",""),"/","")," ",""),8),7,2)),"")))</f>
        <v/>
      </c>
      <c r="Y854" s="32">
        <f>IF($X854="","",INT($X854))</f>
        <v/>
      </c>
      <c r="Z854" s="33">
        <f>IF(OR($Y854="",$D$6=""),"",IF(INDEX($A:$U,ROW(),$D$6)="",0,IF(ISNUMBER(INDEX($A:$U,ROW(),$D$6)),INDEX($A:$U,ROW(),$D$6),IFERROR(--SUBSTITUTE(SUBSTITUTE(TRIM(INDEX($A:$U,ROW(),$D$6)),",",""),"원",""),0))))</f>
        <v/>
      </c>
      <c r="AA854" s="31">
        <f>IF($Y854="","",TRIM(INDEX($A:$U,ROW(),$E$6)&amp;IF($F$6="",""," "&amp;INDEX($A:$U,ROW(),$F$6))))</f>
        <v/>
      </c>
      <c r="AB854" s="31">
        <f>IF($AA854="","",SUBSTITUTE(SUBSTITUTE(SUBSTITUTE(SUBSTITUTE(SUBSTITUTE(SUBSTITUTE(SUBSTITUTE(SUBSTITUTE(SUBSTITUTE($AA854," ",""),"　",""),"(주)",""),"（주）",""),"㈜",""),"주식회사",""),"(유)",""),"（유）",""),"유한회사",""))</f>
        <v/>
      </c>
      <c r="AC854" s="31">
        <f>IF(OR($Y854="",N($Z854)&lt;=0,$AB854=""),0,IFERROR(LOOKUP(2,1/((거래처별!$AC$8:$AC$307&lt;&gt;"")*ISNUMBER(SEARCH(거래처별!$AC$8:$AC$307,$AB854))),거래처별!$A$8:$A$307),IFERROR(LOOKUP(2,1/((거래처별!$AD$8:$AD$307&lt;&gt;"")*ISNUMBER(SEARCH(거래처별!$AD$8:$AD$307,$AB854))),거래처별!$A$8:$A$307),IFERROR(LOOKUP(2,1/((거래처별!$AE$8:$AE$307&lt;&gt;"")*ISNUMBER(SEARCH(거래처별!$AE$8:$AE$307,$AB854))),거래처별!$A$8:$A$307),0))))</f>
        <v/>
      </c>
      <c r="AD854" s="31">
        <f>IF(AND($Y854&lt;&gt;"",N($Z854)&gt;0,$AC854=0),MAX($AD$7:$AD853)+1,"")</f>
        <v/>
      </c>
      <c r="AE854" s="31">
        <f>IF($Y854="",0,$Y854)</f>
        <v/>
      </c>
    </row>
    <row r="855">
      <c r="W855" s="31">
        <f>IF(OR($B$5="",$C$6="",ROW()&lt;$B$5),"",IF(INDEX($A:$U,ROW(),$C$6)="","",INDEX($A:$U,ROW(),$C$6)))</f>
        <v/>
      </c>
      <c r="X855" s="32">
        <f>IF($W855="","",IF(ISNUMBER($W855),IF($W855&gt;=10000000,IFERROR(DATE(INT($W855/10000),MOD(INT($W855/100),100),MOD($W855,100)),""),INT($W855)),IFERROR(DATE(--LEFT(LEFT(SUBSTITUTE(SUBSTITUTE(SUBSTITUTE(SUBSTITUTE(TRIM($W855),"-",""),".",""),"/","")," ",""),8),4),--MID(LEFT(SUBSTITUTE(SUBSTITUTE(SUBSTITUTE(SUBSTITUTE(TRIM($W855),"-",""),".",""),"/","")," ",""),8),5,2),--MID(LEFT(SUBSTITUTE(SUBSTITUTE(SUBSTITUTE(SUBSTITUTE(TRIM($W855),"-",""),".",""),"/","")," ",""),8),7,2)),"")))</f>
        <v/>
      </c>
      <c r="Y855" s="32">
        <f>IF($X855="","",INT($X855))</f>
        <v/>
      </c>
      <c r="Z855" s="33">
        <f>IF(OR($Y855="",$D$6=""),"",IF(INDEX($A:$U,ROW(),$D$6)="",0,IF(ISNUMBER(INDEX($A:$U,ROW(),$D$6)),INDEX($A:$U,ROW(),$D$6),IFERROR(--SUBSTITUTE(SUBSTITUTE(TRIM(INDEX($A:$U,ROW(),$D$6)),",",""),"원",""),0))))</f>
        <v/>
      </c>
      <c r="AA855" s="31">
        <f>IF($Y855="","",TRIM(INDEX($A:$U,ROW(),$E$6)&amp;IF($F$6="",""," "&amp;INDEX($A:$U,ROW(),$F$6))))</f>
        <v/>
      </c>
      <c r="AB855" s="31">
        <f>IF($AA855="","",SUBSTITUTE(SUBSTITUTE(SUBSTITUTE(SUBSTITUTE(SUBSTITUTE(SUBSTITUTE(SUBSTITUTE(SUBSTITUTE(SUBSTITUTE($AA855," ",""),"　",""),"(주)",""),"（주）",""),"㈜",""),"주식회사",""),"(유)",""),"（유）",""),"유한회사",""))</f>
        <v/>
      </c>
      <c r="AC855" s="31">
        <f>IF(OR($Y855="",N($Z855)&lt;=0,$AB855=""),0,IFERROR(LOOKUP(2,1/((거래처별!$AC$8:$AC$307&lt;&gt;"")*ISNUMBER(SEARCH(거래처별!$AC$8:$AC$307,$AB855))),거래처별!$A$8:$A$307),IFERROR(LOOKUP(2,1/((거래처별!$AD$8:$AD$307&lt;&gt;"")*ISNUMBER(SEARCH(거래처별!$AD$8:$AD$307,$AB855))),거래처별!$A$8:$A$307),IFERROR(LOOKUP(2,1/((거래처별!$AE$8:$AE$307&lt;&gt;"")*ISNUMBER(SEARCH(거래처별!$AE$8:$AE$307,$AB855))),거래처별!$A$8:$A$307),0))))</f>
        <v/>
      </c>
      <c r="AD855" s="31">
        <f>IF(AND($Y855&lt;&gt;"",N($Z855)&gt;0,$AC855=0),MAX($AD$7:$AD854)+1,"")</f>
        <v/>
      </c>
      <c r="AE855" s="31">
        <f>IF($Y855="",0,$Y855)</f>
        <v/>
      </c>
    </row>
    <row r="856">
      <c r="W856" s="31">
        <f>IF(OR($B$5="",$C$6="",ROW()&lt;$B$5),"",IF(INDEX($A:$U,ROW(),$C$6)="","",INDEX($A:$U,ROW(),$C$6)))</f>
        <v/>
      </c>
      <c r="X856" s="32">
        <f>IF($W856="","",IF(ISNUMBER($W856),IF($W856&gt;=10000000,IFERROR(DATE(INT($W856/10000),MOD(INT($W856/100),100),MOD($W856,100)),""),INT($W856)),IFERROR(DATE(--LEFT(LEFT(SUBSTITUTE(SUBSTITUTE(SUBSTITUTE(SUBSTITUTE(TRIM($W856),"-",""),".",""),"/","")," ",""),8),4),--MID(LEFT(SUBSTITUTE(SUBSTITUTE(SUBSTITUTE(SUBSTITUTE(TRIM($W856),"-",""),".",""),"/","")," ",""),8),5,2),--MID(LEFT(SUBSTITUTE(SUBSTITUTE(SUBSTITUTE(SUBSTITUTE(TRIM($W856),"-",""),".",""),"/","")," ",""),8),7,2)),"")))</f>
        <v/>
      </c>
      <c r="Y856" s="32">
        <f>IF($X856="","",INT($X856))</f>
        <v/>
      </c>
      <c r="Z856" s="33">
        <f>IF(OR($Y856="",$D$6=""),"",IF(INDEX($A:$U,ROW(),$D$6)="",0,IF(ISNUMBER(INDEX($A:$U,ROW(),$D$6)),INDEX($A:$U,ROW(),$D$6),IFERROR(--SUBSTITUTE(SUBSTITUTE(TRIM(INDEX($A:$U,ROW(),$D$6)),",",""),"원",""),0))))</f>
        <v/>
      </c>
      <c r="AA856" s="31">
        <f>IF($Y856="","",TRIM(INDEX($A:$U,ROW(),$E$6)&amp;IF($F$6="",""," "&amp;INDEX($A:$U,ROW(),$F$6))))</f>
        <v/>
      </c>
      <c r="AB856" s="31">
        <f>IF($AA856="","",SUBSTITUTE(SUBSTITUTE(SUBSTITUTE(SUBSTITUTE(SUBSTITUTE(SUBSTITUTE(SUBSTITUTE(SUBSTITUTE(SUBSTITUTE($AA856," ",""),"　",""),"(주)",""),"（주）",""),"㈜",""),"주식회사",""),"(유)",""),"（유）",""),"유한회사",""))</f>
        <v/>
      </c>
      <c r="AC856" s="31">
        <f>IF(OR($Y856="",N($Z856)&lt;=0,$AB856=""),0,IFERROR(LOOKUP(2,1/((거래처별!$AC$8:$AC$307&lt;&gt;"")*ISNUMBER(SEARCH(거래처별!$AC$8:$AC$307,$AB856))),거래처별!$A$8:$A$307),IFERROR(LOOKUP(2,1/((거래처별!$AD$8:$AD$307&lt;&gt;"")*ISNUMBER(SEARCH(거래처별!$AD$8:$AD$307,$AB856))),거래처별!$A$8:$A$307),IFERROR(LOOKUP(2,1/((거래처별!$AE$8:$AE$307&lt;&gt;"")*ISNUMBER(SEARCH(거래처별!$AE$8:$AE$307,$AB856))),거래처별!$A$8:$A$307),0))))</f>
        <v/>
      </c>
      <c r="AD856" s="31">
        <f>IF(AND($Y856&lt;&gt;"",N($Z856)&gt;0,$AC856=0),MAX($AD$7:$AD855)+1,"")</f>
        <v/>
      </c>
      <c r="AE856" s="31">
        <f>IF($Y856="",0,$Y856)</f>
        <v/>
      </c>
    </row>
    <row r="857">
      <c r="W857" s="31">
        <f>IF(OR($B$5="",$C$6="",ROW()&lt;$B$5),"",IF(INDEX($A:$U,ROW(),$C$6)="","",INDEX($A:$U,ROW(),$C$6)))</f>
        <v/>
      </c>
      <c r="X857" s="32">
        <f>IF($W857="","",IF(ISNUMBER($W857),IF($W857&gt;=10000000,IFERROR(DATE(INT($W857/10000),MOD(INT($W857/100),100),MOD($W857,100)),""),INT($W857)),IFERROR(DATE(--LEFT(LEFT(SUBSTITUTE(SUBSTITUTE(SUBSTITUTE(SUBSTITUTE(TRIM($W857),"-",""),".",""),"/","")," ",""),8),4),--MID(LEFT(SUBSTITUTE(SUBSTITUTE(SUBSTITUTE(SUBSTITUTE(TRIM($W857),"-",""),".",""),"/","")," ",""),8),5,2),--MID(LEFT(SUBSTITUTE(SUBSTITUTE(SUBSTITUTE(SUBSTITUTE(TRIM($W857),"-",""),".",""),"/","")," ",""),8),7,2)),"")))</f>
        <v/>
      </c>
      <c r="Y857" s="32">
        <f>IF($X857="","",INT($X857))</f>
        <v/>
      </c>
      <c r="Z857" s="33">
        <f>IF(OR($Y857="",$D$6=""),"",IF(INDEX($A:$U,ROW(),$D$6)="",0,IF(ISNUMBER(INDEX($A:$U,ROW(),$D$6)),INDEX($A:$U,ROW(),$D$6),IFERROR(--SUBSTITUTE(SUBSTITUTE(TRIM(INDEX($A:$U,ROW(),$D$6)),",",""),"원",""),0))))</f>
        <v/>
      </c>
      <c r="AA857" s="31">
        <f>IF($Y857="","",TRIM(INDEX($A:$U,ROW(),$E$6)&amp;IF($F$6="",""," "&amp;INDEX($A:$U,ROW(),$F$6))))</f>
        <v/>
      </c>
      <c r="AB857" s="31">
        <f>IF($AA857="","",SUBSTITUTE(SUBSTITUTE(SUBSTITUTE(SUBSTITUTE(SUBSTITUTE(SUBSTITUTE(SUBSTITUTE(SUBSTITUTE(SUBSTITUTE($AA857," ",""),"　",""),"(주)",""),"（주）",""),"㈜",""),"주식회사",""),"(유)",""),"（유）",""),"유한회사",""))</f>
        <v/>
      </c>
      <c r="AC857" s="31">
        <f>IF(OR($Y857="",N($Z857)&lt;=0,$AB857=""),0,IFERROR(LOOKUP(2,1/((거래처별!$AC$8:$AC$307&lt;&gt;"")*ISNUMBER(SEARCH(거래처별!$AC$8:$AC$307,$AB857))),거래처별!$A$8:$A$307),IFERROR(LOOKUP(2,1/((거래처별!$AD$8:$AD$307&lt;&gt;"")*ISNUMBER(SEARCH(거래처별!$AD$8:$AD$307,$AB857))),거래처별!$A$8:$A$307),IFERROR(LOOKUP(2,1/((거래처별!$AE$8:$AE$307&lt;&gt;"")*ISNUMBER(SEARCH(거래처별!$AE$8:$AE$307,$AB857))),거래처별!$A$8:$A$307),0))))</f>
        <v/>
      </c>
      <c r="AD857" s="31">
        <f>IF(AND($Y857&lt;&gt;"",N($Z857)&gt;0,$AC857=0),MAX($AD$7:$AD856)+1,"")</f>
        <v/>
      </c>
      <c r="AE857" s="31">
        <f>IF($Y857="",0,$Y857)</f>
        <v/>
      </c>
    </row>
    <row r="858">
      <c r="W858" s="31">
        <f>IF(OR($B$5="",$C$6="",ROW()&lt;$B$5),"",IF(INDEX($A:$U,ROW(),$C$6)="","",INDEX($A:$U,ROW(),$C$6)))</f>
        <v/>
      </c>
      <c r="X858" s="32">
        <f>IF($W858="","",IF(ISNUMBER($W858),IF($W858&gt;=10000000,IFERROR(DATE(INT($W858/10000),MOD(INT($W858/100),100),MOD($W858,100)),""),INT($W858)),IFERROR(DATE(--LEFT(LEFT(SUBSTITUTE(SUBSTITUTE(SUBSTITUTE(SUBSTITUTE(TRIM($W858),"-",""),".",""),"/","")," ",""),8),4),--MID(LEFT(SUBSTITUTE(SUBSTITUTE(SUBSTITUTE(SUBSTITUTE(TRIM($W858),"-",""),".",""),"/","")," ",""),8),5,2),--MID(LEFT(SUBSTITUTE(SUBSTITUTE(SUBSTITUTE(SUBSTITUTE(TRIM($W858),"-",""),".",""),"/","")," ",""),8),7,2)),"")))</f>
        <v/>
      </c>
      <c r="Y858" s="32">
        <f>IF($X858="","",INT($X858))</f>
        <v/>
      </c>
      <c r="Z858" s="33">
        <f>IF(OR($Y858="",$D$6=""),"",IF(INDEX($A:$U,ROW(),$D$6)="",0,IF(ISNUMBER(INDEX($A:$U,ROW(),$D$6)),INDEX($A:$U,ROW(),$D$6),IFERROR(--SUBSTITUTE(SUBSTITUTE(TRIM(INDEX($A:$U,ROW(),$D$6)),",",""),"원",""),0))))</f>
        <v/>
      </c>
      <c r="AA858" s="31">
        <f>IF($Y858="","",TRIM(INDEX($A:$U,ROW(),$E$6)&amp;IF($F$6="",""," "&amp;INDEX($A:$U,ROW(),$F$6))))</f>
        <v/>
      </c>
      <c r="AB858" s="31">
        <f>IF($AA858="","",SUBSTITUTE(SUBSTITUTE(SUBSTITUTE(SUBSTITUTE(SUBSTITUTE(SUBSTITUTE(SUBSTITUTE(SUBSTITUTE(SUBSTITUTE($AA858," ",""),"　",""),"(주)",""),"（주）",""),"㈜",""),"주식회사",""),"(유)",""),"（유）",""),"유한회사",""))</f>
        <v/>
      </c>
      <c r="AC858" s="31">
        <f>IF(OR($Y858="",N($Z858)&lt;=0,$AB858=""),0,IFERROR(LOOKUP(2,1/((거래처별!$AC$8:$AC$307&lt;&gt;"")*ISNUMBER(SEARCH(거래처별!$AC$8:$AC$307,$AB858))),거래처별!$A$8:$A$307),IFERROR(LOOKUP(2,1/((거래처별!$AD$8:$AD$307&lt;&gt;"")*ISNUMBER(SEARCH(거래처별!$AD$8:$AD$307,$AB858))),거래처별!$A$8:$A$307),IFERROR(LOOKUP(2,1/((거래처별!$AE$8:$AE$307&lt;&gt;"")*ISNUMBER(SEARCH(거래처별!$AE$8:$AE$307,$AB858))),거래처별!$A$8:$A$307),0))))</f>
        <v/>
      </c>
      <c r="AD858" s="31">
        <f>IF(AND($Y858&lt;&gt;"",N($Z858)&gt;0,$AC858=0),MAX($AD$7:$AD857)+1,"")</f>
        <v/>
      </c>
      <c r="AE858" s="31">
        <f>IF($Y858="",0,$Y858)</f>
        <v/>
      </c>
    </row>
    <row r="859">
      <c r="W859" s="31">
        <f>IF(OR($B$5="",$C$6="",ROW()&lt;$B$5),"",IF(INDEX($A:$U,ROW(),$C$6)="","",INDEX($A:$U,ROW(),$C$6)))</f>
        <v/>
      </c>
      <c r="X859" s="32">
        <f>IF($W859="","",IF(ISNUMBER($W859),IF($W859&gt;=10000000,IFERROR(DATE(INT($W859/10000),MOD(INT($W859/100),100),MOD($W859,100)),""),INT($W859)),IFERROR(DATE(--LEFT(LEFT(SUBSTITUTE(SUBSTITUTE(SUBSTITUTE(SUBSTITUTE(TRIM($W859),"-",""),".",""),"/","")," ",""),8),4),--MID(LEFT(SUBSTITUTE(SUBSTITUTE(SUBSTITUTE(SUBSTITUTE(TRIM($W859),"-",""),".",""),"/","")," ",""),8),5,2),--MID(LEFT(SUBSTITUTE(SUBSTITUTE(SUBSTITUTE(SUBSTITUTE(TRIM($W859),"-",""),".",""),"/","")," ",""),8),7,2)),"")))</f>
        <v/>
      </c>
      <c r="Y859" s="32">
        <f>IF($X859="","",INT($X859))</f>
        <v/>
      </c>
      <c r="Z859" s="33">
        <f>IF(OR($Y859="",$D$6=""),"",IF(INDEX($A:$U,ROW(),$D$6)="",0,IF(ISNUMBER(INDEX($A:$U,ROW(),$D$6)),INDEX($A:$U,ROW(),$D$6),IFERROR(--SUBSTITUTE(SUBSTITUTE(TRIM(INDEX($A:$U,ROW(),$D$6)),",",""),"원",""),0))))</f>
        <v/>
      </c>
      <c r="AA859" s="31">
        <f>IF($Y859="","",TRIM(INDEX($A:$U,ROW(),$E$6)&amp;IF($F$6="",""," "&amp;INDEX($A:$U,ROW(),$F$6))))</f>
        <v/>
      </c>
      <c r="AB859" s="31">
        <f>IF($AA859="","",SUBSTITUTE(SUBSTITUTE(SUBSTITUTE(SUBSTITUTE(SUBSTITUTE(SUBSTITUTE(SUBSTITUTE(SUBSTITUTE(SUBSTITUTE($AA859," ",""),"　",""),"(주)",""),"（주）",""),"㈜",""),"주식회사",""),"(유)",""),"（유）",""),"유한회사",""))</f>
        <v/>
      </c>
      <c r="AC859" s="31">
        <f>IF(OR($Y859="",N($Z859)&lt;=0,$AB859=""),0,IFERROR(LOOKUP(2,1/((거래처별!$AC$8:$AC$307&lt;&gt;"")*ISNUMBER(SEARCH(거래처별!$AC$8:$AC$307,$AB859))),거래처별!$A$8:$A$307),IFERROR(LOOKUP(2,1/((거래처별!$AD$8:$AD$307&lt;&gt;"")*ISNUMBER(SEARCH(거래처별!$AD$8:$AD$307,$AB859))),거래처별!$A$8:$A$307),IFERROR(LOOKUP(2,1/((거래처별!$AE$8:$AE$307&lt;&gt;"")*ISNUMBER(SEARCH(거래처별!$AE$8:$AE$307,$AB859))),거래처별!$A$8:$A$307),0))))</f>
        <v/>
      </c>
      <c r="AD859" s="31">
        <f>IF(AND($Y859&lt;&gt;"",N($Z859)&gt;0,$AC859=0),MAX($AD$7:$AD858)+1,"")</f>
        <v/>
      </c>
      <c r="AE859" s="31">
        <f>IF($Y859="",0,$Y859)</f>
        <v/>
      </c>
    </row>
    <row r="860">
      <c r="W860" s="31">
        <f>IF(OR($B$5="",$C$6="",ROW()&lt;$B$5),"",IF(INDEX($A:$U,ROW(),$C$6)="","",INDEX($A:$U,ROW(),$C$6)))</f>
        <v/>
      </c>
      <c r="X860" s="32">
        <f>IF($W860="","",IF(ISNUMBER($W860),IF($W860&gt;=10000000,IFERROR(DATE(INT($W860/10000),MOD(INT($W860/100),100),MOD($W860,100)),""),INT($W860)),IFERROR(DATE(--LEFT(LEFT(SUBSTITUTE(SUBSTITUTE(SUBSTITUTE(SUBSTITUTE(TRIM($W860),"-",""),".",""),"/","")," ",""),8),4),--MID(LEFT(SUBSTITUTE(SUBSTITUTE(SUBSTITUTE(SUBSTITUTE(TRIM($W860),"-",""),".",""),"/","")," ",""),8),5,2),--MID(LEFT(SUBSTITUTE(SUBSTITUTE(SUBSTITUTE(SUBSTITUTE(TRIM($W860),"-",""),".",""),"/","")," ",""),8),7,2)),"")))</f>
        <v/>
      </c>
      <c r="Y860" s="32">
        <f>IF($X860="","",INT($X860))</f>
        <v/>
      </c>
      <c r="Z860" s="33">
        <f>IF(OR($Y860="",$D$6=""),"",IF(INDEX($A:$U,ROW(),$D$6)="",0,IF(ISNUMBER(INDEX($A:$U,ROW(),$D$6)),INDEX($A:$U,ROW(),$D$6),IFERROR(--SUBSTITUTE(SUBSTITUTE(TRIM(INDEX($A:$U,ROW(),$D$6)),",",""),"원",""),0))))</f>
        <v/>
      </c>
      <c r="AA860" s="31">
        <f>IF($Y860="","",TRIM(INDEX($A:$U,ROW(),$E$6)&amp;IF($F$6="",""," "&amp;INDEX($A:$U,ROW(),$F$6))))</f>
        <v/>
      </c>
      <c r="AB860" s="31">
        <f>IF($AA860="","",SUBSTITUTE(SUBSTITUTE(SUBSTITUTE(SUBSTITUTE(SUBSTITUTE(SUBSTITUTE(SUBSTITUTE(SUBSTITUTE(SUBSTITUTE($AA860," ",""),"　",""),"(주)",""),"（주）",""),"㈜",""),"주식회사",""),"(유)",""),"（유）",""),"유한회사",""))</f>
        <v/>
      </c>
      <c r="AC860" s="31">
        <f>IF(OR($Y860="",N($Z860)&lt;=0,$AB860=""),0,IFERROR(LOOKUP(2,1/((거래처별!$AC$8:$AC$307&lt;&gt;"")*ISNUMBER(SEARCH(거래처별!$AC$8:$AC$307,$AB860))),거래처별!$A$8:$A$307),IFERROR(LOOKUP(2,1/((거래처별!$AD$8:$AD$307&lt;&gt;"")*ISNUMBER(SEARCH(거래처별!$AD$8:$AD$307,$AB860))),거래처별!$A$8:$A$307),IFERROR(LOOKUP(2,1/((거래처별!$AE$8:$AE$307&lt;&gt;"")*ISNUMBER(SEARCH(거래처별!$AE$8:$AE$307,$AB860))),거래처별!$A$8:$A$307),0))))</f>
        <v/>
      </c>
      <c r="AD860" s="31">
        <f>IF(AND($Y860&lt;&gt;"",N($Z860)&gt;0,$AC860=0),MAX($AD$7:$AD859)+1,"")</f>
        <v/>
      </c>
      <c r="AE860" s="31">
        <f>IF($Y860="",0,$Y860)</f>
        <v/>
      </c>
    </row>
    <row r="861">
      <c r="W861" s="31">
        <f>IF(OR($B$5="",$C$6="",ROW()&lt;$B$5),"",IF(INDEX($A:$U,ROW(),$C$6)="","",INDEX($A:$U,ROW(),$C$6)))</f>
        <v/>
      </c>
      <c r="X861" s="32">
        <f>IF($W861="","",IF(ISNUMBER($W861),IF($W861&gt;=10000000,IFERROR(DATE(INT($W861/10000),MOD(INT($W861/100),100),MOD($W861,100)),""),INT($W861)),IFERROR(DATE(--LEFT(LEFT(SUBSTITUTE(SUBSTITUTE(SUBSTITUTE(SUBSTITUTE(TRIM($W861),"-",""),".",""),"/","")," ",""),8),4),--MID(LEFT(SUBSTITUTE(SUBSTITUTE(SUBSTITUTE(SUBSTITUTE(TRIM($W861),"-",""),".",""),"/","")," ",""),8),5,2),--MID(LEFT(SUBSTITUTE(SUBSTITUTE(SUBSTITUTE(SUBSTITUTE(TRIM($W861),"-",""),".",""),"/","")," ",""),8),7,2)),"")))</f>
        <v/>
      </c>
      <c r="Y861" s="32">
        <f>IF($X861="","",INT($X861))</f>
        <v/>
      </c>
      <c r="Z861" s="33">
        <f>IF(OR($Y861="",$D$6=""),"",IF(INDEX($A:$U,ROW(),$D$6)="",0,IF(ISNUMBER(INDEX($A:$U,ROW(),$D$6)),INDEX($A:$U,ROW(),$D$6),IFERROR(--SUBSTITUTE(SUBSTITUTE(TRIM(INDEX($A:$U,ROW(),$D$6)),",",""),"원",""),0))))</f>
        <v/>
      </c>
      <c r="AA861" s="31">
        <f>IF($Y861="","",TRIM(INDEX($A:$U,ROW(),$E$6)&amp;IF($F$6="",""," "&amp;INDEX($A:$U,ROW(),$F$6))))</f>
        <v/>
      </c>
      <c r="AB861" s="31">
        <f>IF($AA861="","",SUBSTITUTE(SUBSTITUTE(SUBSTITUTE(SUBSTITUTE(SUBSTITUTE(SUBSTITUTE(SUBSTITUTE(SUBSTITUTE(SUBSTITUTE($AA861," ",""),"　",""),"(주)",""),"（주）",""),"㈜",""),"주식회사",""),"(유)",""),"（유）",""),"유한회사",""))</f>
        <v/>
      </c>
      <c r="AC861" s="31">
        <f>IF(OR($Y861="",N($Z861)&lt;=0,$AB861=""),0,IFERROR(LOOKUP(2,1/((거래처별!$AC$8:$AC$307&lt;&gt;"")*ISNUMBER(SEARCH(거래처별!$AC$8:$AC$307,$AB861))),거래처별!$A$8:$A$307),IFERROR(LOOKUP(2,1/((거래처별!$AD$8:$AD$307&lt;&gt;"")*ISNUMBER(SEARCH(거래처별!$AD$8:$AD$307,$AB861))),거래처별!$A$8:$A$307),IFERROR(LOOKUP(2,1/((거래처별!$AE$8:$AE$307&lt;&gt;"")*ISNUMBER(SEARCH(거래처별!$AE$8:$AE$307,$AB861))),거래처별!$A$8:$A$307),0))))</f>
        <v/>
      </c>
      <c r="AD861" s="31">
        <f>IF(AND($Y861&lt;&gt;"",N($Z861)&gt;0,$AC861=0),MAX($AD$7:$AD860)+1,"")</f>
        <v/>
      </c>
      <c r="AE861" s="31">
        <f>IF($Y861="",0,$Y861)</f>
        <v/>
      </c>
    </row>
    <row r="862">
      <c r="W862" s="31">
        <f>IF(OR($B$5="",$C$6="",ROW()&lt;$B$5),"",IF(INDEX($A:$U,ROW(),$C$6)="","",INDEX($A:$U,ROW(),$C$6)))</f>
        <v/>
      </c>
      <c r="X862" s="32">
        <f>IF($W862="","",IF(ISNUMBER($W862),IF($W862&gt;=10000000,IFERROR(DATE(INT($W862/10000),MOD(INT($W862/100),100),MOD($W862,100)),""),INT($W862)),IFERROR(DATE(--LEFT(LEFT(SUBSTITUTE(SUBSTITUTE(SUBSTITUTE(SUBSTITUTE(TRIM($W862),"-",""),".",""),"/","")," ",""),8),4),--MID(LEFT(SUBSTITUTE(SUBSTITUTE(SUBSTITUTE(SUBSTITUTE(TRIM($W862),"-",""),".",""),"/","")," ",""),8),5,2),--MID(LEFT(SUBSTITUTE(SUBSTITUTE(SUBSTITUTE(SUBSTITUTE(TRIM($W862),"-",""),".",""),"/","")," ",""),8),7,2)),"")))</f>
        <v/>
      </c>
      <c r="Y862" s="32">
        <f>IF($X862="","",INT($X862))</f>
        <v/>
      </c>
      <c r="Z862" s="33">
        <f>IF(OR($Y862="",$D$6=""),"",IF(INDEX($A:$U,ROW(),$D$6)="",0,IF(ISNUMBER(INDEX($A:$U,ROW(),$D$6)),INDEX($A:$U,ROW(),$D$6),IFERROR(--SUBSTITUTE(SUBSTITUTE(TRIM(INDEX($A:$U,ROW(),$D$6)),",",""),"원",""),0))))</f>
        <v/>
      </c>
      <c r="AA862" s="31">
        <f>IF($Y862="","",TRIM(INDEX($A:$U,ROW(),$E$6)&amp;IF($F$6="",""," "&amp;INDEX($A:$U,ROW(),$F$6))))</f>
        <v/>
      </c>
      <c r="AB862" s="31">
        <f>IF($AA862="","",SUBSTITUTE(SUBSTITUTE(SUBSTITUTE(SUBSTITUTE(SUBSTITUTE(SUBSTITUTE(SUBSTITUTE(SUBSTITUTE(SUBSTITUTE($AA862," ",""),"　",""),"(주)",""),"（주）",""),"㈜",""),"주식회사",""),"(유)",""),"（유）",""),"유한회사",""))</f>
        <v/>
      </c>
      <c r="AC862" s="31">
        <f>IF(OR($Y862="",N($Z862)&lt;=0,$AB862=""),0,IFERROR(LOOKUP(2,1/((거래처별!$AC$8:$AC$307&lt;&gt;"")*ISNUMBER(SEARCH(거래처별!$AC$8:$AC$307,$AB862))),거래처별!$A$8:$A$307),IFERROR(LOOKUP(2,1/((거래처별!$AD$8:$AD$307&lt;&gt;"")*ISNUMBER(SEARCH(거래처별!$AD$8:$AD$307,$AB862))),거래처별!$A$8:$A$307),IFERROR(LOOKUP(2,1/((거래처별!$AE$8:$AE$307&lt;&gt;"")*ISNUMBER(SEARCH(거래처별!$AE$8:$AE$307,$AB862))),거래처별!$A$8:$A$307),0))))</f>
        <v/>
      </c>
      <c r="AD862" s="31">
        <f>IF(AND($Y862&lt;&gt;"",N($Z862)&gt;0,$AC862=0),MAX($AD$7:$AD861)+1,"")</f>
        <v/>
      </c>
      <c r="AE862" s="31">
        <f>IF($Y862="",0,$Y862)</f>
        <v/>
      </c>
    </row>
    <row r="863">
      <c r="W863" s="31">
        <f>IF(OR($B$5="",$C$6="",ROW()&lt;$B$5),"",IF(INDEX($A:$U,ROW(),$C$6)="","",INDEX($A:$U,ROW(),$C$6)))</f>
        <v/>
      </c>
      <c r="X863" s="32">
        <f>IF($W863="","",IF(ISNUMBER($W863),IF($W863&gt;=10000000,IFERROR(DATE(INT($W863/10000),MOD(INT($W863/100),100),MOD($W863,100)),""),INT($W863)),IFERROR(DATE(--LEFT(LEFT(SUBSTITUTE(SUBSTITUTE(SUBSTITUTE(SUBSTITUTE(TRIM($W863),"-",""),".",""),"/","")," ",""),8),4),--MID(LEFT(SUBSTITUTE(SUBSTITUTE(SUBSTITUTE(SUBSTITUTE(TRIM($W863),"-",""),".",""),"/","")," ",""),8),5,2),--MID(LEFT(SUBSTITUTE(SUBSTITUTE(SUBSTITUTE(SUBSTITUTE(TRIM($W863),"-",""),".",""),"/","")," ",""),8),7,2)),"")))</f>
        <v/>
      </c>
      <c r="Y863" s="32">
        <f>IF($X863="","",INT($X863))</f>
        <v/>
      </c>
      <c r="Z863" s="33">
        <f>IF(OR($Y863="",$D$6=""),"",IF(INDEX($A:$U,ROW(),$D$6)="",0,IF(ISNUMBER(INDEX($A:$U,ROW(),$D$6)),INDEX($A:$U,ROW(),$D$6),IFERROR(--SUBSTITUTE(SUBSTITUTE(TRIM(INDEX($A:$U,ROW(),$D$6)),",",""),"원",""),0))))</f>
        <v/>
      </c>
      <c r="AA863" s="31">
        <f>IF($Y863="","",TRIM(INDEX($A:$U,ROW(),$E$6)&amp;IF($F$6="",""," "&amp;INDEX($A:$U,ROW(),$F$6))))</f>
        <v/>
      </c>
      <c r="AB863" s="31">
        <f>IF($AA863="","",SUBSTITUTE(SUBSTITUTE(SUBSTITUTE(SUBSTITUTE(SUBSTITUTE(SUBSTITUTE(SUBSTITUTE(SUBSTITUTE(SUBSTITUTE($AA863," ",""),"　",""),"(주)",""),"（주）",""),"㈜",""),"주식회사",""),"(유)",""),"（유）",""),"유한회사",""))</f>
        <v/>
      </c>
      <c r="AC863" s="31">
        <f>IF(OR($Y863="",N($Z863)&lt;=0,$AB863=""),0,IFERROR(LOOKUP(2,1/((거래처별!$AC$8:$AC$307&lt;&gt;"")*ISNUMBER(SEARCH(거래처별!$AC$8:$AC$307,$AB863))),거래처별!$A$8:$A$307),IFERROR(LOOKUP(2,1/((거래처별!$AD$8:$AD$307&lt;&gt;"")*ISNUMBER(SEARCH(거래처별!$AD$8:$AD$307,$AB863))),거래처별!$A$8:$A$307),IFERROR(LOOKUP(2,1/((거래처별!$AE$8:$AE$307&lt;&gt;"")*ISNUMBER(SEARCH(거래처별!$AE$8:$AE$307,$AB863))),거래처별!$A$8:$A$307),0))))</f>
        <v/>
      </c>
      <c r="AD863" s="31">
        <f>IF(AND($Y863&lt;&gt;"",N($Z863)&gt;0,$AC863=0),MAX($AD$7:$AD862)+1,"")</f>
        <v/>
      </c>
      <c r="AE863" s="31">
        <f>IF($Y863="",0,$Y863)</f>
        <v/>
      </c>
    </row>
    <row r="864">
      <c r="W864" s="31">
        <f>IF(OR($B$5="",$C$6="",ROW()&lt;$B$5),"",IF(INDEX($A:$U,ROW(),$C$6)="","",INDEX($A:$U,ROW(),$C$6)))</f>
        <v/>
      </c>
      <c r="X864" s="32">
        <f>IF($W864="","",IF(ISNUMBER($W864),IF($W864&gt;=10000000,IFERROR(DATE(INT($W864/10000),MOD(INT($W864/100),100),MOD($W864,100)),""),INT($W864)),IFERROR(DATE(--LEFT(LEFT(SUBSTITUTE(SUBSTITUTE(SUBSTITUTE(SUBSTITUTE(TRIM($W864),"-",""),".",""),"/","")," ",""),8),4),--MID(LEFT(SUBSTITUTE(SUBSTITUTE(SUBSTITUTE(SUBSTITUTE(TRIM($W864),"-",""),".",""),"/","")," ",""),8),5,2),--MID(LEFT(SUBSTITUTE(SUBSTITUTE(SUBSTITUTE(SUBSTITUTE(TRIM($W864),"-",""),".",""),"/","")," ",""),8),7,2)),"")))</f>
        <v/>
      </c>
      <c r="Y864" s="32">
        <f>IF($X864="","",INT($X864))</f>
        <v/>
      </c>
      <c r="Z864" s="33">
        <f>IF(OR($Y864="",$D$6=""),"",IF(INDEX($A:$U,ROW(),$D$6)="",0,IF(ISNUMBER(INDEX($A:$U,ROW(),$D$6)),INDEX($A:$U,ROW(),$D$6),IFERROR(--SUBSTITUTE(SUBSTITUTE(TRIM(INDEX($A:$U,ROW(),$D$6)),",",""),"원",""),0))))</f>
        <v/>
      </c>
      <c r="AA864" s="31">
        <f>IF($Y864="","",TRIM(INDEX($A:$U,ROW(),$E$6)&amp;IF($F$6="",""," "&amp;INDEX($A:$U,ROW(),$F$6))))</f>
        <v/>
      </c>
      <c r="AB864" s="31">
        <f>IF($AA864="","",SUBSTITUTE(SUBSTITUTE(SUBSTITUTE(SUBSTITUTE(SUBSTITUTE(SUBSTITUTE(SUBSTITUTE(SUBSTITUTE(SUBSTITUTE($AA864," ",""),"　",""),"(주)",""),"（주）",""),"㈜",""),"주식회사",""),"(유)",""),"（유）",""),"유한회사",""))</f>
        <v/>
      </c>
      <c r="AC864" s="31">
        <f>IF(OR($Y864="",N($Z864)&lt;=0,$AB864=""),0,IFERROR(LOOKUP(2,1/((거래처별!$AC$8:$AC$307&lt;&gt;"")*ISNUMBER(SEARCH(거래처별!$AC$8:$AC$307,$AB864))),거래처별!$A$8:$A$307),IFERROR(LOOKUP(2,1/((거래처별!$AD$8:$AD$307&lt;&gt;"")*ISNUMBER(SEARCH(거래처별!$AD$8:$AD$307,$AB864))),거래처별!$A$8:$A$307),IFERROR(LOOKUP(2,1/((거래처별!$AE$8:$AE$307&lt;&gt;"")*ISNUMBER(SEARCH(거래처별!$AE$8:$AE$307,$AB864))),거래처별!$A$8:$A$307),0))))</f>
        <v/>
      </c>
      <c r="AD864" s="31">
        <f>IF(AND($Y864&lt;&gt;"",N($Z864)&gt;0,$AC864=0),MAX($AD$7:$AD863)+1,"")</f>
        <v/>
      </c>
      <c r="AE864" s="31">
        <f>IF($Y864="",0,$Y864)</f>
        <v/>
      </c>
    </row>
    <row r="865">
      <c r="W865" s="31">
        <f>IF(OR($B$5="",$C$6="",ROW()&lt;$B$5),"",IF(INDEX($A:$U,ROW(),$C$6)="","",INDEX($A:$U,ROW(),$C$6)))</f>
        <v/>
      </c>
      <c r="X865" s="32">
        <f>IF($W865="","",IF(ISNUMBER($W865),IF($W865&gt;=10000000,IFERROR(DATE(INT($W865/10000),MOD(INT($W865/100),100),MOD($W865,100)),""),INT($W865)),IFERROR(DATE(--LEFT(LEFT(SUBSTITUTE(SUBSTITUTE(SUBSTITUTE(SUBSTITUTE(TRIM($W865),"-",""),".",""),"/","")," ",""),8),4),--MID(LEFT(SUBSTITUTE(SUBSTITUTE(SUBSTITUTE(SUBSTITUTE(TRIM($W865),"-",""),".",""),"/","")," ",""),8),5,2),--MID(LEFT(SUBSTITUTE(SUBSTITUTE(SUBSTITUTE(SUBSTITUTE(TRIM($W865),"-",""),".",""),"/","")," ",""),8),7,2)),"")))</f>
        <v/>
      </c>
      <c r="Y865" s="32">
        <f>IF($X865="","",INT($X865))</f>
        <v/>
      </c>
      <c r="Z865" s="33">
        <f>IF(OR($Y865="",$D$6=""),"",IF(INDEX($A:$U,ROW(),$D$6)="",0,IF(ISNUMBER(INDEX($A:$U,ROW(),$D$6)),INDEX($A:$U,ROW(),$D$6),IFERROR(--SUBSTITUTE(SUBSTITUTE(TRIM(INDEX($A:$U,ROW(),$D$6)),",",""),"원",""),0))))</f>
        <v/>
      </c>
      <c r="AA865" s="31">
        <f>IF($Y865="","",TRIM(INDEX($A:$U,ROW(),$E$6)&amp;IF($F$6="",""," "&amp;INDEX($A:$U,ROW(),$F$6))))</f>
        <v/>
      </c>
      <c r="AB865" s="31">
        <f>IF($AA865="","",SUBSTITUTE(SUBSTITUTE(SUBSTITUTE(SUBSTITUTE(SUBSTITUTE(SUBSTITUTE(SUBSTITUTE(SUBSTITUTE(SUBSTITUTE($AA865," ",""),"　",""),"(주)",""),"（주）",""),"㈜",""),"주식회사",""),"(유)",""),"（유）",""),"유한회사",""))</f>
        <v/>
      </c>
      <c r="AC865" s="31">
        <f>IF(OR($Y865="",N($Z865)&lt;=0,$AB865=""),0,IFERROR(LOOKUP(2,1/((거래처별!$AC$8:$AC$307&lt;&gt;"")*ISNUMBER(SEARCH(거래처별!$AC$8:$AC$307,$AB865))),거래처별!$A$8:$A$307),IFERROR(LOOKUP(2,1/((거래처별!$AD$8:$AD$307&lt;&gt;"")*ISNUMBER(SEARCH(거래처별!$AD$8:$AD$307,$AB865))),거래처별!$A$8:$A$307),IFERROR(LOOKUP(2,1/((거래처별!$AE$8:$AE$307&lt;&gt;"")*ISNUMBER(SEARCH(거래처별!$AE$8:$AE$307,$AB865))),거래처별!$A$8:$A$307),0))))</f>
        <v/>
      </c>
      <c r="AD865" s="31">
        <f>IF(AND($Y865&lt;&gt;"",N($Z865)&gt;0,$AC865=0),MAX($AD$7:$AD864)+1,"")</f>
        <v/>
      </c>
      <c r="AE865" s="31">
        <f>IF($Y865="",0,$Y865)</f>
        <v/>
      </c>
    </row>
    <row r="866">
      <c r="W866" s="31">
        <f>IF(OR($B$5="",$C$6="",ROW()&lt;$B$5),"",IF(INDEX($A:$U,ROW(),$C$6)="","",INDEX($A:$U,ROW(),$C$6)))</f>
        <v/>
      </c>
      <c r="X866" s="32">
        <f>IF($W866="","",IF(ISNUMBER($W866),IF($W866&gt;=10000000,IFERROR(DATE(INT($W866/10000),MOD(INT($W866/100),100),MOD($W866,100)),""),INT($W866)),IFERROR(DATE(--LEFT(LEFT(SUBSTITUTE(SUBSTITUTE(SUBSTITUTE(SUBSTITUTE(TRIM($W866),"-",""),".",""),"/","")," ",""),8),4),--MID(LEFT(SUBSTITUTE(SUBSTITUTE(SUBSTITUTE(SUBSTITUTE(TRIM($W866),"-",""),".",""),"/","")," ",""),8),5,2),--MID(LEFT(SUBSTITUTE(SUBSTITUTE(SUBSTITUTE(SUBSTITUTE(TRIM($W866),"-",""),".",""),"/","")," ",""),8),7,2)),"")))</f>
        <v/>
      </c>
      <c r="Y866" s="32">
        <f>IF($X866="","",INT($X866))</f>
        <v/>
      </c>
      <c r="Z866" s="33">
        <f>IF(OR($Y866="",$D$6=""),"",IF(INDEX($A:$U,ROW(),$D$6)="",0,IF(ISNUMBER(INDEX($A:$U,ROW(),$D$6)),INDEX($A:$U,ROW(),$D$6),IFERROR(--SUBSTITUTE(SUBSTITUTE(TRIM(INDEX($A:$U,ROW(),$D$6)),",",""),"원",""),0))))</f>
        <v/>
      </c>
      <c r="AA866" s="31">
        <f>IF($Y866="","",TRIM(INDEX($A:$U,ROW(),$E$6)&amp;IF($F$6="",""," "&amp;INDEX($A:$U,ROW(),$F$6))))</f>
        <v/>
      </c>
      <c r="AB866" s="31">
        <f>IF($AA866="","",SUBSTITUTE(SUBSTITUTE(SUBSTITUTE(SUBSTITUTE(SUBSTITUTE(SUBSTITUTE(SUBSTITUTE(SUBSTITUTE(SUBSTITUTE($AA866," ",""),"　",""),"(주)",""),"（주）",""),"㈜",""),"주식회사",""),"(유)",""),"（유）",""),"유한회사",""))</f>
        <v/>
      </c>
      <c r="AC866" s="31">
        <f>IF(OR($Y866="",N($Z866)&lt;=0,$AB866=""),0,IFERROR(LOOKUP(2,1/((거래처별!$AC$8:$AC$307&lt;&gt;"")*ISNUMBER(SEARCH(거래처별!$AC$8:$AC$307,$AB866))),거래처별!$A$8:$A$307),IFERROR(LOOKUP(2,1/((거래처별!$AD$8:$AD$307&lt;&gt;"")*ISNUMBER(SEARCH(거래처별!$AD$8:$AD$307,$AB866))),거래처별!$A$8:$A$307),IFERROR(LOOKUP(2,1/((거래처별!$AE$8:$AE$307&lt;&gt;"")*ISNUMBER(SEARCH(거래처별!$AE$8:$AE$307,$AB866))),거래처별!$A$8:$A$307),0))))</f>
        <v/>
      </c>
      <c r="AD866" s="31">
        <f>IF(AND($Y866&lt;&gt;"",N($Z866)&gt;0,$AC866=0),MAX($AD$7:$AD865)+1,"")</f>
        <v/>
      </c>
      <c r="AE866" s="31">
        <f>IF($Y866="",0,$Y866)</f>
        <v/>
      </c>
    </row>
    <row r="867">
      <c r="W867" s="31">
        <f>IF(OR($B$5="",$C$6="",ROW()&lt;$B$5),"",IF(INDEX($A:$U,ROW(),$C$6)="","",INDEX($A:$U,ROW(),$C$6)))</f>
        <v/>
      </c>
      <c r="X867" s="32">
        <f>IF($W867="","",IF(ISNUMBER($W867),IF($W867&gt;=10000000,IFERROR(DATE(INT($W867/10000),MOD(INT($W867/100),100),MOD($W867,100)),""),INT($W867)),IFERROR(DATE(--LEFT(LEFT(SUBSTITUTE(SUBSTITUTE(SUBSTITUTE(SUBSTITUTE(TRIM($W867),"-",""),".",""),"/","")," ",""),8),4),--MID(LEFT(SUBSTITUTE(SUBSTITUTE(SUBSTITUTE(SUBSTITUTE(TRIM($W867),"-",""),".",""),"/","")," ",""),8),5,2),--MID(LEFT(SUBSTITUTE(SUBSTITUTE(SUBSTITUTE(SUBSTITUTE(TRIM($W867),"-",""),".",""),"/","")," ",""),8),7,2)),"")))</f>
        <v/>
      </c>
      <c r="Y867" s="32">
        <f>IF($X867="","",INT($X867))</f>
        <v/>
      </c>
      <c r="Z867" s="33">
        <f>IF(OR($Y867="",$D$6=""),"",IF(INDEX($A:$U,ROW(),$D$6)="",0,IF(ISNUMBER(INDEX($A:$U,ROW(),$D$6)),INDEX($A:$U,ROW(),$D$6),IFERROR(--SUBSTITUTE(SUBSTITUTE(TRIM(INDEX($A:$U,ROW(),$D$6)),",",""),"원",""),0))))</f>
        <v/>
      </c>
      <c r="AA867" s="31">
        <f>IF($Y867="","",TRIM(INDEX($A:$U,ROW(),$E$6)&amp;IF($F$6="",""," "&amp;INDEX($A:$U,ROW(),$F$6))))</f>
        <v/>
      </c>
      <c r="AB867" s="31">
        <f>IF($AA867="","",SUBSTITUTE(SUBSTITUTE(SUBSTITUTE(SUBSTITUTE(SUBSTITUTE(SUBSTITUTE(SUBSTITUTE(SUBSTITUTE(SUBSTITUTE($AA867," ",""),"　",""),"(주)",""),"（주）",""),"㈜",""),"주식회사",""),"(유)",""),"（유）",""),"유한회사",""))</f>
        <v/>
      </c>
      <c r="AC867" s="31">
        <f>IF(OR($Y867="",N($Z867)&lt;=0,$AB867=""),0,IFERROR(LOOKUP(2,1/((거래처별!$AC$8:$AC$307&lt;&gt;"")*ISNUMBER(SEARCH(거래처별!$AC$8:$AC$307,$AB867))),거래처별!$A$8:$A$307),IFERROR(LOOKUP(2,1/((거래처별!$AD$8:$AD$307&lt;&gt;"")*ISNUMBER(SEARCH(거래처별!$AD$8:$AD$307,$AB867))),거래처별!$A$8:$A$307),IFERROR(LOOKUP(2,1/((거래처별!$AE$8:$AE$307&lt;&gt;"")*ISNUMBER(SEARCH(거래처별!$AE$8:$AE$307,$AB867))),거래처별!$A$8:$A$307),0))))</f>
        <v/>
      </c>
      <c r="AD867" s="31">
        <f>IF(AND($Y867&lt;&gt;"",N($Z867)&gt;0,$AC867=0),MAX($AD$7:$AD866)+1,"")</f>
        <v/>
      </c>
      <c r="AE867" s="31">
        <f>IF($Y867="",0,$Y867)</f>
        <v/>
      </c>
    </row>
    <row r="868">
      <c r="W868" s="31">
        <f>IF(OR($B$5="",$C$6="",ROW()&lt;$B$5),"",IF(INDEX($A:$U,ROW(),$C$6)="","",INDEX($A:$U,ROW(),$C$6)))</f>
        <v/>
      </c>
      <c r="X868" s="32">
        <f>IF($W868="","",IF(ISNUMBER($W868),IF($W868&gt;=10000000,IFERROR(DATE(INT($W868/10000),MOD(INT($W868/100),100),MOD($W868,100)),""),INT($W868)),IFERROR(DATE(--LEFT(LEFT(SUBSTITUTE(SUBSTITUTE(SUBSTITUTE(SUBSTITUTE(TRIM($W868),"-",""),".",""),"/","")," ",""),8),4),--MID(LEFT(SUBSTITUTE(SUBSTITUTE(SUBSTITUTE(SUBSTITUTE(TRIM($W868),"-",""),".",""),"/","")," ",""),8),5,2),--MID(LEFT(SUBSTITUTE(SUBSTITUTE(SUBSTITUTE(SUBSTITUTE(TRIM($W868),"-",""),".",""),"/","")," ",""),8),7,2)),"")))</f>
        <v/>
      </c>
      <c r="Y868" s="32">
        <f>IF($X868="","",INT($X868))</f>
        <v/>
      </c>
      <c r="Z868" s="33">
        <f>IF(OR($Y868="",$D$6=""),"",IF(INDEX($A:$U,ROW(),$D$6)="",0,IF(ISNUMBER(INDEX($A:$U,ROW(),$D$6)),INDEX($A:$U,ROW(),$D$6),IFERROR(--SUBSTITUTE(SUBSTITUTE(TRIM(INDEX($A:$U,ROW(),$D$6)),",",""),"원",""),0))))</f>
        <v/>
      </c>
      <c r="AA868" s="31">
        <f>IF($Y868="","",TRIM(INDEX($A:$U,ROW(),$E$6)&amp;IF($F$6="",""," "&amp;INDEX($A:$U,ROW(),$F$6))))</f>
        <v/>
      </c>
      <c r="AB868" s="31">
        <f>IF($AA868="","",SUBSTITUTE(SUBSTITUTE(SUBSTITUTE(SUBSTITUTE(SUBSTITUTE(SUBSTITUTE(SUBSTITUTE(SUBSTITUTE(SUBSTITUTE($AA868," ",""),"　",""),"(주)",""),"（주）",""),"㈜",""),"주식회사",""),"(유)",""),"（유）",""),"유한회사",""))</f>
        <v/>
      </c>
      <c r="AC868" s="31">
        <f>IF(OR($Y868="",N($Z868)&lt;=0,$AB868=""),0,IFERROR(LOOKUP(2,1/((거래처별!$AC$8:$AC$307&lt;&gt;"")*ISNUMBER(SEARCH(거래처별!$AC$8:$AC$307,$AB868))),거래처별!$A$8:$A$307),IFERROR(LOOKUP(2,1/((거래처별!$AD$8:$AD$307&lt;&gt;"")*ISNUMBER(SEARCH(거래처별!$AD$8:$AD$307,$AB868))),거래처별!$A$8:$A$307),IFERROR(LOOKUP(2,1/((거래처별!$AE$8:$AE$307&lt;&gt;"")*ISNUMBER(SEARCH(거래처별!$AE$8:$AE$307,$AB868))),거래처별!$A$8:$A$307),0))))</f>
        <v/>
      </c>
      <c r="AD868" s="31">
        <f>IF(AND($Y868&lt;&gt;"",N($Z868)&gt;0,$AC868=0),MAX($AD$7:$AD867)+1,"")</f>
        <v/>
      </c>
      <c r="AE868" s="31">
        <f>IF($Y868="",0,$Y868)</f>
        <v/>
      </c>
    </row>
    <row r="869">
      <c r="W869" s="31">
        <f>IF(OR($B$5="",$C$6="",ROW()&lt;$B$5),"",IF(INDEX($A:$U,ROW(),$C$6)="","",INDEX($A:$U,ROW(),$C$6)))</f>
        <v/>
      </c>
      <c r="X869" s="32">
        <f>IF($W869="","",IF(ISNUMBER($W869),IF($W869&gt;=10000000,IFERROR(DATE(INT($W869/10000),MOD(INT($W869/100),100),MOD($W869,100)),""),INT($W869)),IFERROR(DATE(--LEFT(LEFT(SUBSTITUTE(SUBSTITUTE(SUBSTITUTE(SUBSTITUTE(TRIM($W869),"-",""),".",""),"/","")," ",""),8),4),--MID(LEFT(SUBSTITUTE(SUBSTITUTE(SUBSTITUTE(SUBSTITUTE(TRIM($W869),"-",""),".",""),"/","")," ",""),8),5,2),--MID(LEFT(SUBSTITUTE(SUBSTITUTE(SUBSTITUTE(SUBSTITUTE(TRIM($W869),"-",""),".",""),"/","")," ",""),8),7,2)),"")))</f>
        <v/>
      </c>
      <c r="Y869" s="32">
        <f>IF($X869="","",INT($X869))</f>
        <v/>
      </c>
      <c r="Z869" s="33">
        <f>IF(OR($Y869="",$D$6=""),"",IF(INDEX($A:$U,ROW(),$D$6)="",0,IF(ISNUMBER(INDEX($A:$U,ROW(),$D$6)),INDEX($A:$U,ROW(),$D$6),IFERROR(--SUBSTITUTE(SUBSTITUTE(TRIM(INDEX($A:$U,ROW(),$D$6)),",",""),"원",""),0))))</f>
        <v/>
      </c>
      <c r="AA869" s="31">
        <f>IF($Y869="","",TRIM(INDEX($A:$U,ROW(),$E$6)&amp;IF($F$6="",""," "&amp;INDEX($A:$U,ROW(),$F$6))))</f>
        <v/>
      </c>
      <c r="AB869" s="31">
        <f>IF($AA869="","",SUBSTITUTE(SUBSTITUTE(SUBSTITUTE(SUBSTITUTE(SUBSTITUTE(SUBSTITUTE(SUBSTITUTE(SUBSTITUTE(SUBSTITUTE($AA869," ",""),"　",""),"(주)",""),"（주）",""),"㈜",""),"주식회사",""),"(유)",""),"（유）",""),"유한회사",""))</f>
        <v/>
      </c>
      <c r="AC869" s="31">
        <f>IF(OR($Y869="",N($Z869)&lt;=0,$AB869=""),0,IFERROR(LOOKUP(2,1/((거래처별!$AC$8:$AC$307&lt;&gt;"")*ISNUMBER(SEARCH(거래처별!$AC$8:$AC$307,$AB869))),거래처별!$A$8:$A$307),IFERROR(LOOKUP(2,1/((거래처별!$AD$8:$AD$307&lt;&gt;"")*ISNUMBER(SEARCH(거래처별!$AD$8:$AD$307,$AB869))),거래처별!$A$8:$A$307),IFERROR(LOOKUP(2,1/((거래처별!$AE$8:$AE$307&lt;&gt;"")*ISNUMBER(SEARCH(거래처별!$AE$8:$AE$307,$AB869))),거래처별!$A$8:$A$307),0))))</f>
        <v/>
      </c>
      <c r="AD869" s="31">
        <f>IF(AND($Y869&lt;&gt;"",N($Z869)&gt;0,$AC869=0),MAX($AD$7:$AD868)+1,"")</f>
        <v/>
      </c>
      <c r="AE869" s="31">
        <f>IF($Y869="",0,$Y869)</f>
        <v/>
      </c>
    </row>
    <row r="870">
      <c r="W870" s="31">
        <f>IF(OR($B$5="",$C$6="",ROW()&lt;$B$5),"",IF(INDEX($A:$U,ROW(),$C$6)="","",INDEX($A:$U,ROW(),$C$6)))</f>
        <v/>
      </c>
      <c r="X870" s="32">
        <f>IF($W870="","",IF(ISNUMBER($W870),IF($W870&gt;=10000000,IFERROR(DATE(INT($W870/10000),MOD(INT($W870/100),100),MOD($W870,100)),""),INT($W870)),IFERROR(DATE(--LEFT(LEFT(SUBSTITUTE(SUBSTITUTE(SUBSTITUTE(SUBSTITUTE(TRIM($W870),"-",""),".",""),"/","")," ",""),8),4),--MID(LEFT(SUBSTITUTE(SUBSTITUTE(SUBSTITUTE(SUBSTITUTE(TRIM($W870),"-",""),".",""),"/","")," ",""),8),5,2),--MID(LEFT(SUBSTITUTE(SUBSTITUTE(SUBSTITUTE(SUBSTITUTE(TRIM($W870),"-",""),".",""),"/","")," ",""),8),7,2)),"")))</f>
        <v/>
      </c>
      <c r="Y870" s="32">
        <f>IF($X870="","",INT($X870))</f>
        <v/>
      </c>
      <c r="Z870" s="33">
        <f>IF(OR($Y870="",$D$6=""),"",IF(INDEX($A:$U,ROW(),$D$6)="",0,IF(ISNUMBER(INDEX($A:$U,ROW(),$D$6)),INDEX($A:$U,ROW(),$D$6),IFERROR(--SUBSTITUTE(SUBSTITUTE(TRIM(INDEX($A:$U,ROW(),$D$6)),",",""),"원",""),0))))</f>
        <v/>
      </c>
      <c r="AA870" s="31">
        <f>IF($Y870="","",TRIM(INDEX($A:$U,ROW(),$E$6)&amp;IF($F$6="",""," "&amp;INDEX($A:$U,ROW(),$F$6))))</f>
        <v/>
      </c>
      <c r="AB870" s="31">
        <f>IF($AA870="","",SUBSTITUTE(SUBSTITUTE(SUBSTITUTE(SUBSTITUTE(SUBSTITUTE(SUBSTITUTE(SUBSTITUTE(SUBSTITUTE(SUBSTITUTE($AA870," ",""),"　",""),"(주)",""),"（주）",""),"㈜",""),"주식회사",""),"(유)",""),"（유）",""),"유한회사",""))</f>
        <v/>
      </c>
      <c r="AC870" s="31">
        <f>IF(OR($Y870="",N($Z870)&lt;=0,$AB870=""),0,IFERROR(LOOKUP(2,1/((거래처별!$AC$8:$AC$307&lt;&gt;"")*ISNUMBER(SEARCH(거래처별!$AC$8:$AC$307,$AB870))),거래처별!$A$8:$A$307),IFERROR(LOOKUP(2,1/((거래처별!$AD$8:$AD$307&lt;&gt;"")*ISNUMBER(SEARCH(거래처별!$AD$8:$AD$307,$AB870))),거래처별!$A$8:$A$307),IFERROR(LOOKUP(2,1/((거래처별!$AE$8:$AE$307&lt;&gt;"")*ISNUMBER(SEARCH(거래처별!$AE$8:$AE$307,$AB870))),거래처별!$A$8:$A$307),0))))</f>
        <v/>
      </c>
      <c r="AD870" s="31">
        <f>IF(AND($Y870&lt;&gt;"",N($Z870)&gt;0,$AC870=0),MAX($AD$7:$AD869)+1,"")</f>
        <v/>
      </c>
      <c r="AE870" s="31">
        <f>IF($Y870="",0,$Y870)</f>
        <v/>
      </c>
    </row>
    <row r="871">
      <c r="W871" s="31">
        <f>IF(OR($B$5="",$C$6="",ROW()&lt;$B$5),"",IF(INDEX($A:$U,ROW(),$C$6)="","",INDEX($A:$U,ROW(),$C$6)))</f>
        <v/>
      </c>
      <c r="X871" s="32">
        <f>IF($W871="","",IF(ISNUMBER($W871),IF($W871&gt;=10000000,IFERROR(DATE(INT($W871/10000),MOD(INT($W871/100),100),MOD($W871,100)),""),INT($W871)),IFERROR(DATE(--LEFT(LEFT(SUBSTITUTE(SUBSTITUTE(SUBSTITUTE(SUBSTITUTE(TRIM($W871),"-",""),".",""),"/","")," ",""),8),4),--MID(LEFT(SUBSTITUTE(SUBSTITUTE(SUBSTITUTE(SUBSTITUTE(TRIM($W871),"-",""),".",""),"/","")," ",""),8),5,2),--MID(LEFT(SUBSTITUTE(SUBSTITUTE(SUBSTITUTE(SUBSTITUTE(TRIM($W871),"-",""),".",""),"/","")," ",""),8),7,2)),"")))</f>
        <v/>
      </c>
      <c r="Y871" s="32">
        <f>IF($X871="","",INT($X871))</f>
        <v/>
      </c>
      <c r="Z871" s="33">
        <f>IF(OR($Y871="",$D$6=""),"",IF(INDEX($A:$U,ROW(),$D$6)="",0,IF(ISNUMBER(INDEX($A:$U,ROW(),$D$6)),INDEX($A:$U,ROW(),$D$6),IFERROR(--SUBSTITUTE(SUBSTITUTE(TRIM(INDEX($A:$U,ROW(),$D$6)),",",""),"원",""),0))))</f>
        <v/>
      </c>
      <c r="AA871" s="31">
        <f>IF($Y871="","",TRIM(INDEX($A:$U,ROW(),$E$6)&amp;IF($F$6="",""," "&amp;INDEX($A:$U,ROW(),$F$6))))</f>
        <v/>
      </c>
      <c r="AB871" s="31">
        <f>IF($AA871="","",SUBSTITUTE(SUBSTITUTE(SUBSTITUTE(SUBSTITUTE(SUBSTITUTE(SUBSTITUTE(SUBSTITUTE(SUBSTITUTE(SUBSTITUTE($AA871," ",""),"　",""),"(주)",""),"（주）",""),"㈜",""),"주식회사",""),"(유)",""),"（유）",""),"유한회사",""))</f>
        <v/>
      </c>
      <c r="AC871" s="31">
        <f>IF(OR($Y871="",N($Z871)&lt;=0,$AB871=""),0,IFERROR(LOOKUP(2,1/((거래처별!$AC$8:$AC$307&lt;&gt;"")*ISNUMBER(SEARCH(거래처별!$AC$8:$AC$307,$AB871))),거래처별!$A$8:$A$307),IFERROR(LOOKUP(2,1/((거래처별!$AD$8:$AD$307&lt;&gt;"")*ISNUMBER(SEARCH(거래처별!$AD$8:$AD$307,$AB871))),거래처별!$A$8:$A$307),IFERROR(LOOKUP(2,1/((거래처별!$AE$8:$AE$307&lt;&gt;"")*ISNUMBER(SEARCH(거래처별!$AE$8:$AE$307,$AB871))),거래처별!$A$8:$A$307),0))))</f>
        <v/>
      </c>
      <c r="AD871" s="31">
        <f>IF(AND($Y871&lt;&gt;"",N($Z871)&gt;0,$AC871=0),MAX($AD$7:$AD870)+1,"")</f>
        <v/>
      </c>
      <c r="AE871" s="31">
        <f>IF($Y871="",0,$Y871)</f>
        <v/>
      </c>
    </row>
    <row r="872">
      <c r="W872" s="31">
        <f>IF(OR($B$5="",$C$6="",ROW()&lt;$B$5),"",IF(INDEX($A:$U,ROW(),$C$6)="","",INDEX($A:$U,ROW(),$C$6)))</f>
        <v/>
      </c>
      <c r="X872" s="32">
        <f>IF($W872="","",IF(ISNUMBER($W872),IF($W872&gt;=10000000,IFERROR(DATE(INT($W872/10000),MOD(INT($W872/100),100),MOD($W872,100)),""),INT($W872)),IFERROR(DATE(--LEFT(LEFT(SUBSTITUTE(SUBSTITUTE(SUBSTITUTE(SUBSTITUTE(TRIM($W872),"-",""),".",""),"/","")," ",""),8),4),--MID(LEFT(SUBSTITUTE(SUBSTITUTE(SUBSTITUTE(SUBSTITUTE(TRIM($W872),"-",""),".",""),"/","")," ",""),8),5,2),--MID(LEFT(SUBSTITUTE(SUBSTITUTE(SUBSTITUTE(SUBSTITUTE(TRIM($W872),"-",""),".",""),"/","")," ",""),8),7,2)),"")))</f>
        <v/>
      </c>
      <c r="Y872" s="32">
        <f>IF($X872="","",INT($X872))</f>
        <v/>
      </c>
      <c r="Z872" s="33">
        <f>IF(OR($Y872="",$D$6=""),"",IF(INDEX($A:$U,ROW(),$D$6)="",0,IF(ISNUMBER(INDEX($A:$U,ROW(),$D$6)),INDEX($A:$U,ROW(),$D$6),IFERROR(--SUBSTITUTE(SUBSTITUTE(TRIM(INDEX($A:$U,ROW(),$D$6)),",",""),"원",""),0))))</f>
        <v/>
      </c>
      <c r="AA872" s="31">
        <f>IF($Y872="","",TRIM(INDEX($A:$U,ROW(),$E$6)&amp;IF($F$6="",""," "&amp;INDEX($A:$U,ROW(),$F$6))))</f>
        <v/>
      </c>
      <c r="AB872" s="31">
        <f>IF($AA872="","",SUBSTITUTE(SUBSTITUTE(SUBSTITUTE(SUBSTITUTE(SUBSTITUTE(SUBSTITUTE(SUBSTITUTE(SUBSTITUTE(SUBSTITUTE($AA872," ",""),"　",""),"(주)",""),"（주）",""),"㈜",""),"주식회사",""),"(유)",""),"（유）",""),"유한회사",""))</f>
        <v/>
      </c>
      <c r="AC872" s="31">
        <f>IF(OR($Y872="",N($Z872)&lt;=0,$AB872=""),0,IFERROR(LOOKUP(2,1/((거래처별!$AC$8:$AC$307&lt;&gt;"")*ISNUMBER(SEARCH(거래처별!$AC$8:$AC$307,$AB872))),거래처별!$A$8:$A$307),IFERROR(LOOKUP(2,1/((거래처별!$AD$8:$AD$307&lt;&gt;"")*ISNUMBER(SEARCH(거래처별!$AD$8:$AD$307,$AB872))),거래처별!$A$8:$A$307),IFERROR(LOOKUP(2,1/((거래처별!$AE$8:$AE$307&lt;&gt;"")*ISNUMBER(SEARCH(거래처별!$AE$8:$AE$307,$AB872))),거래처별!$A$8:$A$307),0))))</f>
        <v/>
      </c>
      <c r="AD872" s="31">
        <f>IF(AND($Y872&lt;&gt;"",N($Z872)&gt;0,$AC872=0),MAX($AD$7:$AD871)+1,"")</f>
        <v/>
      </c>
      <c r="AE872" s="31">
        <f>IF($Y872="",0,$Y872)</f>
        <v/>
      </c>
    </row>
    <row r="873">
      <c r="W873" s="31">
        <f>IF(OR($B$5="",$C$6="",ROW()&lt;$B$5),"",IF(INDEX($A:$U,ROW(),$C$6)="","",INDEX($A:$U,ROW(),$C$6)))</f>
        <v/>
      </c>
      <c r="X873" s="32">
        <f>IF($W873="","",IF(ISNUMBER($W873),IF($W873&gt;=10000000,IFERROR(DATE(INT($W873/10000),MOD(INT($W873/100),100),MOD($W873,100)),""),INT($W873)),IFERROR(DATE(--LEFT(LEFT(SUBSTITUTE(SUBSTITUTE(SUBSTITUTE(SUBSTITUTE(TRIM($W873),"-",""),".",""),"/","")," ",""),8),4),--MID(LEFT(SUBSTITUTE(SUBSTITUTE(SUBSTITUTE(SUBSTITUTE(TRIM($W873),"-",""),".",""),"/","")," ",""),8),5,2),--MID(LEFT(SUBSTITUTE(SUBSTITUTE(SUBSTITUTE(SUBSTITUTE(TRIM($W873),"-",""),".",""),"/","")," ",""),8),7,2)),"")))</f>
        <v/>
      </c>
      <c r="Y873" s="32">
        <f>IF($X873="","",INT($X873))</f>
        <v/>
      </c>
      <c r="Z873" s="33">
        <f>IF(OR($Y873="",$D$6=""),"",IF(INDEX($A:$U,ROW(),$D$6)="",0,IF(ISNUMBER(INDEX($A:$U,ROW(),$D$6)),INDEX($A:$U,ROW(),$D$6),IFERROR(--SUBSTITUTE(SUBSTITUTE(TRIM(INDEX($A:$U,ROW(),$D$6)),",",""),"원",""),0))))</f>
        <v/>
      </c>
      <c r="AA873" s="31">
        <f>IF($Y873="","",TRIM(INDEX($A:$U,ROW(),$E$6)&amp;IF($F$6="",""," "&amp;INDEX($A:$U,ROW(),$F$6))))</f>
        <v/>
      </c>
      <c r="AB873" s="31">
        <f>IF($AA873="","",SUBSTITUTE(SUBSTITUTE(SUBSTITUTE(SUBSTITUTE(SUBSTITUTE(SUBSTITUTE(SUBSTITUTE(SUBSTITUTE(SUBSTITUTE($AA873," ",""),"　",""),"(주)",""),"（주）",""),"㈜",""),"주식회사",""),"(유)",""),"（유）",""),"유한회사",""))</f>
        <v/>
      </c>
      <c r="AC873" s="31">
        <f>IF(OR($Y873="",N($Z873)&lt;=0,$AB873=""),0,IFERROR(LOOKUP(2,1/((거래처별!$AC$8:$AC$307&lt;&gt;"")*ISNUMBER(SEARCH(거래처별!$AC$8:$AC$307,$AB873))),거래처별!$A$8:$A$307),IFERROR(LOOKUP(2,1/((거래처별!$AD$8:$AD$307&lt;&gt;"")*ISNUMBER(SEARCH(거래처별!$AD$8:$AD$307,$AB873))),거래처별!$A$8:$A$307),IFERROR(LOOKUP(2,1/((거래처별!$AE$8:$AE$307&lt;&gt;"")*ISNUMBER(SEARCH(거래처별!$AE$8:$AE$307,$AB873))),거래처별!$A$8:$A$307),0))))</f>
        <v/>
      </c>
      <c r="AD873" s="31">
        <f>IF(AND($Y873&lt;&gt;"",N($Z873)&gt;0,$AC873=0),MAX($AD$7:$AD872)+1,"")</f>
        <v/>
      </c>
      <c r="AE873" s="31">
        <f>IF($Y873="",0,$Y873)</f>
        <v/>
      </c>
    </row>
    <row r="874">
      <c r="W874" s="31">
        <f>IF(OR($B$5="",$C$6="",ROW()&lt;$B$5),"",IF(INDEX($A:$U,ROW(),$C$6)="","",INDEX($A:$U,ROW(),$C$6)))</f>
        <v/>
      </c>
      <c r="X874" s="32">
        <f>IF($W874="","",IF(ISNUMBER($W874),IF($W874&gt;=10000000,IFERROR(DATE(INT($W874/10000),MOD(INT($W874/100),100),MOD($W874,100)),""),INT($W874)),IFERROR(DATE(--LEFT(LEFT(SUBSTITUTE(SUBSTITUTE(SUBSTITUTE(SUBSTITUTE(TRIM($W874),"-",""),".",""),"/","")," ",""),8),4),--MID(LEFT(SUBSTITUTE(SUBSTITUTE(SUBSTITUTE(SUBSTITUTE(TRIM($W874),"-",""),".",""),"/","")," ",""),8),5,2),--MID(LEFT(SUBSTITUTE(SUBSTITUTE(SUBSTITUTE(SUBSTITUTE(TRIM($W874),"-",""),".",""),"/","")," ",""),8),7,2)),"")))</f>
        <v/>
      </c>
      <c r="Y874" s="32">
        <f>IF($X874="","",INT($X874))</f>
        <v/>
      </c>
      <c r="Z874" s="33">
        <f>IF(OR($Y874="",$D$6=""),"",IF(INDEX($A:$U,ROW(),$D$6)="",0,IF(ISNUMBER(INDEX($A:$U,ROW(),$D$6)),INDEX($A:$U,ROW(),$D$6),IFERROR(--SUBSTITUTE(SUBSTITUTE(TRIM(INDEX($A:$U,ROW(),$D$6)),",",""),"원",""),0))))</f>
        <v/>
      </c>
      <c r="AA874" s="31">
        <f>IF($Y874="","",TRIM(INDEX($A:$U,ROW(),$E$6)&amp;IF($F$6="",""," "&amp;INDEX($A:$U,ROW(),$F$6))))</f>
        <v/>
      </c>
      <c r="AB874" s="31">
        <f>IF($AA874="","",SUBSTITUTE(SUBSTITUTE(SUBSTITUTE(SUBSTITUTE(SUBSTITUTE(SUBSTITUTE(SUBSTITUTE(SUBSTITUTE(SUBSTITUTE($AA874," ",""),"　",""),"(주)",""),"（주）",""),"㈜",""),"주식회사",""),"(유)",""),"（유）",""),"유한회사",""))</f>
        <v/>
      </c>
      <c r="AC874" s="31">
        <f>IF(OR($Y874="",N($Z874)&lt;=0,$AB874=""),0,IFERROR(LOOKUP(2,1/((거래처별!$AC$8:$AC$307&lt;&gt;"")*ISNUMBER(SEARCH(거래처별!$AC$8:$AC$307,$AB874))),거래처별!$A$8:$A$307),IFERROR(LOOKUP(2,1/((거래처별!$AD$8:$AD$307&lt;&gt;"")*ISNUMBER(SEARCH(거래처별!$AD$8:$AD$307,$AB874))),거래처별!$A$8:$A$307),IFERROR(LOOKUP(2,1/((거래처별!$AE$8:$AE$307&lt;&gt;"")*ISNUMBER(SEARCH(거래처별!$AE$8:$AE$307,$AB874))),거래처별!$A$8:$A$307),0))))</f>
        <v/>
      </c>
      <c r="AD874" s="31">
        <f>IF(AND($Y874&lt;&gt;"",N($Z874)&gt;0,$AC874=0),MAX($AD$7:$AD873)+1,"")</f>
        <v/>
      </c>
      <c r="AE874" s="31">
        <f>IF($Y874="",0,$Y874)</f>
        <v/>
      </c>
    </row>
    <row r="875">
      <c r="W875" s="31">
        <f>IF(OR($B$5="",$C$6="",ROW()&lt;$B$5),"",IF(INDEX($A:$U,ROW(),$C$6)="","",INDEX($A:$U,ROW(),$C$6)))</f>
        <v/>
      </c>
      <c r="X875" s="32">
        <f>IF($W875="","",IF(ISNUMBER($W875),IF($W875&gt;=10000000,IFERROR(DATE(INT($W875/10000),MOD(INT($W875/100),100),MOD($W875,100)),""),INT($W875)),IFERROR(DATE(--LEFT(LEFT(SUBSTITUTE(SUBSTITUTE(SUBSTITUTE(SUBSTITUTE(TRIM($W875),"-",""),".",""),"/","")," ",""),8),4),--MID(LEFT(SUBSTITUTE(SUBSTITUTE(SUBSTITUTE(SUBSTITUTE(TRIM($W875),"-",""),".",""),"/","")," ",""),8),5,2),--MID(LEFT(SUBSTITUTE(SUBSTITUTE(SUBSTITUTE(SUBSTITUTE(TRIM($W875),"-",""),".",""),"/","")," ",""),8),7,2)),"")))</f>
        <v/>
      </c>
      <c r="Y875" s="32">
        <f>IF($X875="","",INT($X875))</f>
        <v/>
      </c>
      <c r="Z875" s="33">
        <f>IF(OR($Y875="",$D$6=""),"",IF(INDEX($A:$U,ROW(),$D$6)="",0,IF(ISNUMBER(INDEX($A:$U,ROW(),$D$6)),INDEX($A:$U,ROW(),$D$6),IFERROR(--SUBSTITUTE(SUBSTITUTE(TRIM(INDEX($A:$U,ROW(),$D$6)),",",""),"원",""),0))))</f>
        <v/>
      </c>
      <c r="AA875" s="31">
        <f>IF($Y875="","",TRIM(INDEX($A:$U,ROW(),$E$6)&amp;IF($F$6="",""," "&amp;INDEX($A:$U,ROW(),$F$6))))</f>
        <v/>
      </c>
      <c r="AB875" s="31">
        <f>IF($AA875="","",SUBSTITUTE(SUBSTITUTE(SUBSTITUTE(SUBSTITUTE(SUBSTITUTE(SUBSTITUTE(SUBSTITUTE(SUBSTITUTE(SUBSTITUTE($AA875," ",""),"　",""),"(주)",""),"（주）",""),"㈜",""),"주식회사",""),"(유)",""),"（유）",""),"유한회사",""))</f>
        <v/>
      </c>
      <c r="AC875" s="31">
        <f>IF(OR($Y875="",N($Z875)&lt;=0,$AB875=""),0,IFERROR(LOOKUP(2,1/((거래처별!$AC$8:$AC$307&lt;&gt;"")*ISNUMBER(SEARCH(거래처별!$AC$8:$AC$307,$AB875))),거래처별!$A$8:$A$307),IFERROR(LOOKUP(2,1/((거래처별!$AD$8:$AD$307&lt;&gt;"")*ISNUMBER(SEARCH(거래처별!$AD$8:$AD$307,$AB875))),거래처별!$A$8:$A$307),IFERROR(LOOKUP(2,1/((거래처별!$AE$8:$AE$307&lt;&gt;"")*ISNUMBER(SEARCH(거래처별!$AE$8:$AE$307,$AB875))),거래처별!$A$8:$A$307),0))))</f>
        <v/>
      </c>
      <c r="AD875" s="31">
        <f>IF(AND($Y875&lt;&gt;"",N($Z875)&gt;0,$AC875=0),MAX($AD$7:$AD874)+1,"")</f>
        <v/>
      </c>
      <c r="AE875" s="31">
        <f>IF($Y875="",0,$Y875)</f>
        <v/>
      </c>
    </row>
    <row r="876">
      <c r="W876" s="31">
        <f>IF(OR($B$5="",$C$6="",ROW()&lt;$B$5),"",IF(INDEX($A:$U,ROW(),$C$6)="","",INDEX($A:$U,ROW(),$C$6)))</f>
        <v/>
      </c>
      <c r="X876" s="32">
        <f>IF($W876="","",IF(ISNUMBER($W876),IF($W876&gt;=10000000,IFERROR(DATE(INT($W876/10000),MOD(INT($W876/100),100),MOD($W876,100)),""),INT($W876)),IFERROR(DATE(--LEFT(LEFT(SUBSTITUTE(SUBSTITUTE(SUBSTITUTE(SUBSTITUTE(TRIM($W876),"-",""),".",""),"/","")," ",""),8),4),--MID(LEFT(SUBSTITUTE(SUBSTITUTE(SUBSTITUTE(SUBSTITUTE(TRIM($W876),"-",""),".",""),"/","")," ",""),8),5,2),--MID(LEFT(SUBSTITUTE(SUBSTITUTE(SUBSTITUTE(SUBSTITUTE(TRIM($W876),"-",""),".",""),"/","")," ",""),8),7,2)),"")))</f>
        <v/>
      </c>
      <c r="Y876" s="32">
        <f>IF($X876="","",INT($X876))</f>
        <v/>
      </c>
      <c r="Z876" s="33">
        <f>IF(OR($Y876="",$D$6=""),"",IF(INDEX($A:$U,ROW(),$D$6)="",0,IF(ISNUMBER(INDEX($A:$U,ROW(),$D$6)),INDEX($A:$U,ROW(),$D$6),IFERROR(--SUBSTITUTE(SUBSTITUTE(TRIM(INDEX($A:$U,ROW(),$D$6)),",",""),"원",""),0))))</f>
        <v/>
      </c>
      <c r="AA876" s="31">
        <f>IF($Y876="","",TRIM(INDEX($A:$U,ROW(),$E$6)&amp;IF($F$6="",""," "&amp;INDEX($A:$U,ROW(),$F$6))))</f>
        <v/>
      </c>
      <c r="AB876" s="31">
        <f>IF($AA876="","",SUBSTITUTE(SUBSTITUTE(SUBSTITUTE(SUBSTITUTE(SUBSTITUTE(SUBSTITUTE(SUBSTITUTE(SUBSTITUTE(SUBSTITUTE($AA876," ",""),"　",""),"(주)",""),"（주）",""),"㈜",""),"주식회사",""),"(유)",""),"（유）",""),"유한회사",""))</f>
        <v/>
      </c>
      <c r="AC876" s="31">
        <f>IF(OR($Y876="",N($Z876)&lt;=0,$AB876=""),0,IFERROR(LOOKUP(2,1/((거래처별!$AC$8:$AC$307&lt;&gt;"")*ISNUMBER(SEARCH(거래처별!$AC$8:$AC$307,$AB876))),거래처별!$A$8:$A$307),IFERROR(LOOKUP(2,1/((거래처별!$AD$8:$AD$307&lt;&gt;"")*ISNUMBER(SEARCH(거래처별!$AD$8:$AD$307,$AB876))),거래처별!$A$8:$A$307),IFERROR(LOOKUP(2,1/((거래처별!$AE$8:$AE$307&lt;&gt;"")*ISNUMBER(SEARCH(거래처별!$AE$8:$AE$307,$AB876))),거래처별!$A$8:$A$307),0))))</f>
        <v/>
      </c>
      <c r="AD876" s="31">
        <f>IF(AND($Y876&lt;&gt;"",N($Z876)&gt;0,$AC876=0),MAX($AD$7:$AD875)+1,"")</f>
        <v/>
      </c>
      <c r="AE876" s="31">
        <f>IF($Y876="",0,$Y876)</f>
        <v/>
      </c>
    </row>
    <row r="877">
      <c r="W877" s="31">
        <f>IF(OR($B$5="",$C$6="",ROW()&lt;$B$5),"",IF(INDEX($A:$U,ROW(),$C$6)="","",INDEX($A:$U,ROW(),$C$6)))</f>
        <v/>
      </c>
      <c r="X877" s="32">
        <f>IF($W877="","",IF(ISNUMBER($W877),IF($W877&gt;=10000000,IFERROR(DATE(INT($W877/10000),MOD(INT($W877/100),100),MOD($W877,100)),""),INT($W877)),IFERROR(DATE(--LEFT(LEFT(SUBSTITUTE(SUBSTITUTE(SUBSTITUTE(SUBSTITUTE(TRIM($W877),"-",""),".",""),"/","")," ",""),8),4),--MID(LEFT(SUBSTITUTE(SUBSTITUTE(SUBSTITUTE(SUBSTITUTE(TRIM($W877),"-",""),".",""),"/","")," ",""),8),5,2),--MID(LEFT(SUBSTITUTE(SUBSTITUTE(SUBSTITUTE(SUBSTITUTE(TRIM($W877),"-",""),".",""),"/","")," ",""),8),7,2)),"")))</f>
        <v/>
      </c>
      <c r="Y877" s="32">
        <f>IF($X877="","",INT($X877))</f>
        <v/>
      </c>
      <c r="Z877" s="33">
        <f>IF(OR($Y877="",$D$6=""),"",IF(INDEX($A:$U,ROW(),$D$6)="",0,IF(ISNUMBER(INDEX($A:$U,ROW(),$D$6)),INDEX($A:$U,ROW(),$D$6),IFERROR(--SUBSTITUTE(SUBSTITUTE(TRIM(INDEX($A:$U,ROW(),$D$6)),",",""),"원",""),0))))</f>
        <v/>
      </c>
      <c r="AA877" s="31">
        <f>IF($Y877="","",TRIM(INDEX($A:$U,ROW(),$E$6)&amp;IF($F$6="",""," "&amp;INDEX($A:$U,ROW(),$F$6))))</f>
        <v/>
      </c>
      <c r="AB877" s="31">
        <f>IF($AA877="","",SUBSTITUTE(SUBSTITUTE(SUBSTITUTE(SUBSTITUTE(SUBSTITUTE(SUBSTITUTE(SUBSTITUTE(SUBSTITUTE(SUBSTITUTE($AA877," ",""),"　",""),"(주)",""),"（주）",""),"㈜",""),"주식회사",""),"(유)",""),"（유）",""),"유한회사",""))</f>
        <v/>
      </c>
      <c r="AC877" s="31">
        <f>IF(OR($Y877="",N($Z877)&lt;=0,$AB877=""),0,IFERROR(LOOKUP(2,1/((거래처별!$AC$8:$AC$307&lt;&gt;"")*ISNUMBER(SEARCH(거래처별!$AC$8:$AC$307,$AB877))),거래처별!$A$8:$A$307),IFERROR(LOOKUP(2,1/((거래처별!$AD$8:$AD$307&lt;&gt;"")*ISNUMBER(SEARCH(거래처별!$AD$8:$AD$307,$AB877))),거래처별!$A$8:$A$307),IFERROR(LOOKUP(2,1/((거래처별!$AE$8:$AE$307&lt;&gt;"")*ISNUMBER(SEARCH(거래처별!$AE$8:$AE$307,$AB877))),거래처별!$A$8:$A$307),0))))</f>
        <v/>
      </c>
      <c r="AD877" s="31">
        <f>IF(AND($Y877&lt;&gt;"",N($Z877)&gt;0,$AC877=0),MAX($AD$7:$AD876)+1,"")</f>
        <v/>
      </c>
      <c r="AE877" s="31">
        <f>IF($Y877="",0,$Y877)</f>
        <v/>
      </c>
    </row>
    <row r="878">
      <c r="W878" s="31">
        <f>IF(OR($B$5="",$C$6="",ROW()&lt;$B$5),"",IF(INDEX($A:$U,ROW(),$C$6)="","",INDEX($A:$U,ROW(),$C$6)))</f>
        <v/>
      </c>
      <c r="X878" s="32">
        <f>IF($W878="","",IF(ISNUMBER($W878),IF($W878&gt;=10000000,IFERROR(DATE(INT($W878/10000),MOD(INT($W878/100),100),MOD($W878,100)),""),INT($W878)),IFERROR(DATE(--LEFT(LEFT(SUBSTITUTE(SUBSTITUTE(SUBSTITUTE(SUBSTITUTE(TRIM($W878),"-",""),".",""),"/","")," ",""),8),4),--MID(LEFT(SUBSTITUTE(SUBSTITUTE(SUBSTITUTE(SUBSTITUTE(TRIM($W878),"-",""),".",""),"/","")," ",""),8),5,2),--MID(LEFT(SUBSTITUTE(SUBSTITUTE(SUBSTITUTE(SUBSTITUTE(TRIM($W878),"-",""),".",""),"/","")," ",""),8),7,2)),"")))</f>
        <v/>
      </c>
      <c r="Y878" s="32">
        <f>IF($X878="","",INT($X878))</f>
        <v/>
      </c>
      <c r="Z878" s="33">
        <f>IF(OR($Y878="",$D$6=""),"",IF(INDEX($A:$U,ROW(),$D$6)="",0,IF(ISNUMBER(INDEX($A:$U,ROW(),$D$6)),INDEX($A:$U,ROW(),$D$6),IFERROR(--SUBSTITUTE(SUBSTITUTE(TRIM(INDEX($A:$U,ROW(),$D$6)),",",""),"원",""),0))))</f>
        <v/>
      </c>
      <c r="AA878" s="31">
        <f>IF($Y878="","",TRIM(INDEX($A:$U,ROW(),$E$6)&amp;IF($F$6="",""," "&amp;INDEX($A:$U,ROW(),$F$6))))</f>
        <v/>
      </c>
      <c r="AB878" s="31">
        <f>IF($AA878="","",SUBSTITUTE(SUBSTITUTE(SUBSTITUTE(SUBSTITUTE(SUBSTITUTE(SUBSTITUTE(SUBSTITUTE(SUBSTITUTE(SUBSTITUTE($AA878," ",""),"　",""),"(주)",""),"（주）",""),"㈜",""),"주식회사",""),"(유)",""),"（유）",""),"유한회사",""))</f>
        <v/>
      </c>
      <c r="AC878" s="31">
        <f>IF(OR($Y878="",N($Z878)&lt;=0,$AB878=""),0,IFERROR(LOOKUP(2,1/((거래처별!$AC$8:$AC$307&lt;&gt;"")*ISNUMBER(SEARCH(거래처별!$AC$8:$AC$307,$AB878))),거래처별!$A$8:$A$307),IFERROR(LOOKUP(2,1/((거래처별!$AD$8:$AD$307&lt;&gt;"")*ISNUMBER(SEARCH(거래처별!$AD$8:$AD$307,$AB878))),거래처별!$A$8:$A$307),IFERROR(LOOKUP(2,1/((거래처별!$AE$8:$AE$307&lt;&gt;"")*ISNUMBER(SEARCH(거래처별!$AE$8:$AE$307,$AB878))),거래처별!$A$8:$A$307),0))))</f>
        <v/>
      </c>
      <c r="AD878" s="31">
        <f>IF(AND($Y878&lt;&gt;"",N($Z878)&gt;0,$AC878=0),MAX($AD$7:$AD877)+1,"")</f>
        <v/>
      </c>
      <c r="AE878" s="31">
        <f>IF($Y878="",0,$Y878)</f>
        <v/>
      </c>
    </row>
    <row r="879">
      <c r="W879" s="31">
        <f>IF(OR($B$5="",$C$6="",ROW()&lt;$B$5),"",IF(INDEX($A:$U,ROW(),$C$6)="","",INDEX($A:$U,ROW(),$C$6)))</f>
        <v/>
      </c>
      <c r="X879" s="32">
        <f>IF($W879="","",IF(ISNUMBER($W879),IF($W879&gt;=10000000,IFERROR(DATE(INT($W879/10000),MOD(INT($W879/100),100),MOD($W879,100)),""),INT($W879)),IFERROR(DATE(--LEFT(LEFT(SUBSTITUTE(SUBSTITUTE(SUBSTITUTE(SUBSTITUTE(TRIM($W879),"-",""),".",""),"/","")," ",""),8),4),--MID(LEFT(SUBSTITUTE(SUBSTITUTE(SUBSTITUTE(SUBSTITUTE(TRIM($W879),"-",""),".",""),"/","")," ",""),8),5,2),--MID(LEFT(SUBSTITUTE(SUBSTITUTE(SUBSTITUTE(SUBSTITUTE(TRIM($W879),"-",""),".",""),"/","")," ",""),8),7,2)),"")))</f>
        <v/>
      </c>
      <c r="Y879" s="32">
        <f>IF($X879="","",INT($X879))</f>
        <v/>
      </c>
      <c r="Z879" s="33">
        <f>IF(OR($Y879="",$D$6=""),"",IF(INDEX($A:$U,ROW(),$D$6)="",0,IF(ISNUMBER(INDEX($A:$U,ROW(),$D$6)),INDEX($A:$U,ROW(),$D$6),IFERROR(--SUBSTITUTE(SUBSTITUTE(TRIM(INDEX($A:$U,ROW(),$D$6)),",",""),"원",""),0))))</f>
        <v/>
      </c>
      <c r="AA879" s="31">
        <f>IF($Y879="","",TRIM(INDEX($A:$U,ROW(),$E$6)&amp;IF($F$6="",""," "&amp;INDEX($A:$U,ROW(),$F$6))))</f>
        <v/>
      </c>
      <c r="AB879" s="31">
        <f>IF($AA879="","",SUBSTITUTE(SUBSTITUTE(SUBSTITUTE(SUBSTITUTE(SUBSTITUTE(SUBSTITUTE(SUBSTITUTE(SUBSTITUTE(SUBSTITUTE($AA879," ",""),"　",""),"(주)",""),"（주）",""),"㈜",""),"주식회사",""),"(유)",""),"（유）",""),"유한회사",""))</f>
        <v/>
      </c>
      <c r="AC879" s="31">
        <f>IF(OR($Y879="",N($Z879)&lt;=0,$AB879=""),0,IFERROR(LOOKUP(2,1/((거래처별!$AC$8:$AC$307&lt;&gt;"")*ISNUMBER(SEARCH(거래처별!$AC$8:$AC$307,$AB879))),거래처별!$A$8:$A$307),IFERROR(LOOKUP(2,1/((거래처별!$AD$8:$AD$307&lt;&gt;"")*ISNUMBER(SEARCH(거래처별!$AD$8:$AD$307,$AB879))),거래처별!$A$8:$A$307),IFERROR(LOOKUP(2,1/((거래처별!$AE$8:$AE$307&lt;&gt;"")*ISNUMBER(SEARCH(거래처별!$AE$8:$AE$307,$AB879))),거래처별!$A$8:$A$307),0))))</f>
        <v/>
      </c>
      <c r="AD879" s="31">
        <f>IF(AND($Y879&lt;&gt;"",N($Z879)&gt;0,$AC879=0),MAX($AD$7:$AD878)+1,"")</f>
        <v/>
      </c>
      <c r="AE879" s="31">
        <f>IF($Y879="",0,$Y879)</f>
        <v/>
      </c>
    </row>
    <row r="880">
      <c r="W880" s="31">
        <f>IF(OR($B$5="",$C$6="",ROW()&lt;$B$5),"",IF(INDEX($A:$U,ROW(),$C$6)="","",INDEX($A:$U,ROW(),$C$6)))</f>
        <v/>
      </c>
      <c r="X880" s="32">
        <f>IF($W880="","",IF(ISNUMBER($W880),IF($W880&gt;=10000000,IFERROR(DATE(INT($W880/10000),MOD(INT($W880/100),100),MOD($W880,100)),""),INT($W880)),IFERROR(DATE(--LEFT(LEFT(SUBSTITUTE(SUBSTITUTE(SUBSTITUTE(SUBSTITUTE(TRIM($W880),"-",""),".",""),"/","")," ",""),8),4),--MID(LEFT(SUBSTITUTE(SUBSTITUTE(SUBSTITUTE(SUBSTITUTE(TRIM($W880),"-",""),".",""),"/","")," ",""),8),5,2),--MID(LEFT(SUBSTITUTE(SUBSTITUTE(SUBSTITUTE(SUBSTITUTE(TRIM($W880),"-",""),".",""),"/","")," ",""),8),7,2)),"")))</f>
        <v/>
      </c>
      <c r="Y880" s="32">
        <f>IF($X880="","",INT($X880))</f>
        <v/>
      </c>
      <c r="Z880" s="33">
        <f>IF(OR($Y880="",$D$6=""),"",IF(INDEX($A:$U,ROW(),$D$6)="",0,IF(ISNUMBER(INDEX($A:$U,ROW(),$D$6)),INDEX($A:$U,ROW(),$D$6),IFERROR(--SUBSTITUTE(SUBSTITUTE(TRIM(INDEX($A:$U,ROW(),$D$6)),",",""),"원",""),0))))</f>
        <v/>
      </c>
      <c r="AA880" s="31">
        <f>IF($Y880="","",TRIM(INDEX($A:$U,ROW(),$E$6)&amp;IF($F$6="",""," "&amp;INDEX($A:$U,ROW(),$F$6))))</f>
        <v/>
      </c>
      <c r="AB880" s="31">
        <f>IF($AA880="","",SUBSTITUTE(SUBSTITUTE(SUBSTITUTE(SUBSTITUTE(SUBSTITUTE(SUBSTITUTE(SUBSTITUTE(SUBSTITUTE(SUBSTITUTE($AA880," ",""),"　",""),"(주)",""),"（주）",""),"㈜",""),"주식회사",""),"(유)",""),"（유）",""),"유한회사",""))</f>
        <v/>
      </c>
      <c r="AC880" s="31">
        <f>IF(OR($Y880="",N($Z880)&lt;=0,$AB880=""),0,IFERROR(LOOKUP(2,1/((거래처별!$AC$8:$AC$307&lt;&gt;"")*ISNUMBER(SEARCH(거래처별!$AC$8:$AC$307,$AB880))),거래처별!$A$8:$A$307),IFERROR(LOOKUP(2,1/((거래처별!$AD$8:$AD$307&lt;&gt;"")*ISNUMBER(SEARCH(거래처별!$AD$8:$AD$307,$AB880))),거래처별!$A$8:$A$307),IFERROR(LOOKUP(2,1/((거래처별!$AE$8:$AE$307&lt;&gt;"")*ISNUMBER(SEARCH(거래처별!$AE$8:$AE$307,$AB880))),거래처별!$A$8:$A$307),0))))</f>
        <v/>
      </c>
      <c r="AD880" s="31">
        <f>IF(AND($Y880&lt;&gt;"",N($Z880)&gt;0,$AC880=0),MAX($AD$7:$AD879)+1,"")</f>
        <v/>
      </c>
      <c r="AE880" s="31">
        <f>IF($Y880="",0,$Y880)</f>
        <v/>
      </c>
    </row>
    <row r="881">
      <c r="W881" s="31">
        <f>IF(OR($B$5="",$C$6="",ROW()&lt;$B$5),"",IF(INDEX($A:$U,ROW(),$C$6)="","",INDEX($A:$U,ROW(),$C$6)))</f>
        <v/>
      </c>
      <c r="X881" s="32">
        <f>IF($W881="","",IF(ISNUMBER($W881),IF($W881&gt;=10000000,IFERROR(DATE(INT($W881/10000),MOD(INT($W881/100),100),MOD($W881,100)),""),INT($W881)),IFERROR(DATE(--LEFT(LEFT(SUBSTITUTE(SUBSTITUTE(SUBSTITUTE(SUBSTITUTE(TRIM($W881),"-",""),".",""),"/","")," ",""),8),4),--MID(LEFT(SUBSTITUTE(SUBSTITUTE(SUBSTITUTE(SUBSTITUTE(TRIM($W881),"-",""),".",""),"/","")," ",""),8),5,2),--MID(LEFT(SUBSTITUTE(SUBSTITUTE(SUBSTITUTE(SUBSTITUTE(TRIM($W881),"-",""),".",""),"/","")," ",""),8),7,2)),"")))</f>
        <v/>
      </c>
      <c r="Y881" s="32">
        <f>IF($X881="","",INT($X881))</f>
        <v/>
      </c>
      <c r="Z881" s="33">
        <f>IF(OR($Y881="",$D$6=""),"",IF(INDEX($A:$U,ROW(),$D$6)="",0,IF(ISNUMBER(INDEX($A:$U,ROW(),$D$6)),INDEX($A:$U,ROW(),$D$6),IFERROR(--SUBSTITUTE(SUBSTITUTE(TRIM(INDEX($A:$U,ROW(),$D$6)),",",""),"원",""),0))))</f>
        <v/>
      </c>
      <c r="AA881" s="31">
        <f>IF($Y881="","",TRIM(INDEX($A:$U,ROW(),$E$6)&amp;IF($F$6="",""," "&amp;INDEX($A:$U,ROW(),$F$6))))</f>
        <v/>
      </c>
      <c r="AB881" s="31">
        <f>IF($AA881="","",SUBSTITUTE(SUBSTITUTE(SUBSTITUTE(SUBSTITUTE(SUBSTITUTE(SUBSTITUTE(SUBSTITUTE(SUBSTITUTE(SUBSTITUTE($AA881," ",""),"　",""),"(주)",""),"（주）",""),"㈜",""),"주식회사",""),"(유)",""),"（유）",""),"유한회사",""))</f>
        <v/>
      </c>
      <c r="AC881" s="31">
        <f>IF(OR($Y881="",N($Z881)&lt;=0,$AB881=""),0,IFERROR(LOOKUP(2,1/((거래처별!$AC$8:$AC$307&lt;&gt;"")*ISNUMBER(SEARCH(거래처별!$AC$8:$AC$307,$AB881))),거래처별!$A$8:$A$307),IFERROR(LOOKUP(2,1/((거래처별!$AD$8:$AD$307&lt;&gt;"")*ISNUMBER(SEARCH(거래처별!$AD$8:$AD$307,$AB881))),거래처별!$A$8:$A$307),IFERROR(LOOKUP(2,1/((거래처별!$AE$8:$AE$307&lt;&gt;"")*ISNUMBER(SEARCH(거래처별!$AE$8:$AE$307,$AB881))),거래처별!$A$8:$A$307),0))))</f>
        <v/>
      </c>
      <c r="AD881" s="31">
        <f>IF(AND($Y881&lt;&gt;"",N($Z881)&gt;0,$AC881=0),MAX($AD$7:$AD880)+1,"")</f>
        <v/>
      </c>
      <c r="AE881" s="31">
        <f>IF($Y881="",0,$Y881)</f>
        <v/>
      </c>
    </row>
    <row r="882">
      <c r="W882" s="31">
        <f>IF(OR($B$5="",$C$6="",ROW()&lt;$B$5),"",IF(INDEX($A:$U,ROW(),$C$6)="","",INDEX($A:$U,ROW(),$C$6)))</f>
        <v/>
      </c>
      <c r="X882" s="32">
        <f>IF($W882="","",IF(ISNUMBER($W882),IF($W882&gt;=10000000,IFERROR(DATE(INT($W882/10000),MOD(INT($W882/100),100),MOD($W882,100)),""),INT($W882)),IFERROR(DATE(--LEFT(LEFT(SUBSTITUTE(SUBSTITUTE(SUBSTITUTE(SUBSTITUTE(TRIM($W882),"-",""),".",""),"/","")," ",""),8),4),--MID(LEFT(SUBSTITUTE(SUBSTITUTE(SUBSTITUTE(SUBSTITUTE(TRIM($W882),"-",""),".",""),"/","")," ",""),8),5,2),--MID(LEFT(SUBSTITUTE(SUBSTITUTE(SUBSTITUTE(SUBSTITUTE(TRIM($W882),"-",""),".",""),"/","")," ",""),8),7,2)),"")))</f>
        <v/>
      </c>
      <c r="Y882" s="32">
        <f>IF($X882="","",INT($X882))</f>
        <v/>
      </c>
      <c r="Z882" s="33">
        <f>IF(OR($Y882="",$D$6=""),"",IF(INDEX($A:$U,ROW(),$D$6)="",0,IF(ISNUMBER(INDEX($A:$U,ROW(),$D$6)),INDEX($A:$U,ROW(),$D$6),IFERROR(--SUBSTITUTE(SUBSTITUTE(TRIM(INDEX($A:$U,ROW(),$D$6)),",",""),"원",""),0))))</f>
        <v/>
      </c>
      <c r="AA882" s="31">
        <f>IF($Y882="","",TRIM(INDEX($A:$U,ROW(),$E$6)&amp;IF($F$6="",""," "&amp;INDEX($A:$U,ROW(),$F$6))))</f>
        <v/>
      </c>
      <c r="AB882" s="31">
        <f>IF($AA882="","",SUBSTITUTE(SUBSTITUTE(SUBSTITUTE(SUBSTITUTE(SUBSTITUTE(SUBSTITUTE(SUBSTITUTE(SUBSTITUTE(SUBSTITUTE($AA882," ",""),"　",""),"(주)",""),"（주）",""),"㈜",""),"주식회사",""),"(유)",""),"（유）",""),"유한회사",""))</f>
        <v/>
      </c>
      <c r="AC882" s="31">
        <f>IF(OR($Y882="",N($Z882)&lt;=0,$AB882=""),0,IFERROR(LOOKUP(2,1/((거래처별!$AC$8:$AC$307&lt;&gt;"")*ISNUMBER(SEARCH(거래처별!$AC$8:$AC$307,$AB882))),거래처별!$A$8:$A$307),IFERROR(LOOKUP(2,1/((거래처별!$AD$8:$AD$307&lt;&gt;"")*ISNUMBER(SEARCH(거래처별!$AD$8:$AD$307,$AB882))),거래처별!$A$8:$A$307),IFERROR(LOOKUP(2,1/((거래처별!$AE$8:$AE$307&lt;&gt;"")*ISNUMBER(SEARCH(거래처별!$AE$8:$AE$307,$AB882))),거래처별!$A$8:$A$307),0))))</f>
        <v/>
      </c>
      <c r="AD882" s="31">
        <f>IF(AND($Y882&lt;&gt;"",N($Z882)&gt;0,$AC882=0),MAX($AD$7:$AD881)+1,"")</f>
        <v/>
      </c>
      <c r="AE882" s="31">
        <f>IF($Y882="",0,$Y882)</f>
        <v/>
      </c>
    </row>
    <row r="883">
      <c r="W883" s="31">
        <f>IF(OR($B$5="",$C$6="",ROW()&lt;$B$5),"",IF(INDEX($A:$U,ROW(),$C$6)="","",INDEX($A:$U,ROW(),$C$6)))</f>
        <v/>
      </c>
      <c r="X883" s="32">
        <f>IF($W883="","",IF(ISNUMBER($W883),IF($W883&gt;=10000000,IFERROR(DATE(INT($W883/10000),MOD(INT($W883/100),100),MOD($W883,100)),""),INT($W883)),IFERROR(DATE(--LEFT(LEFT(SUBSTITUTE(SUBSTITUTE(SUBSTITUTE(SUBSTITUTE(TRIM($W883),"-",""),".",""),"/","")," ",""),8),4),--MID(LEFT(SUBSTITUTE(SUBSTITUTE(SUBSTITUTE(SUBSTITUTE(TRIM($W883),"-",""),".",""),"/","")," ",""),8),5,2),--MID(LEFT(SUBSTITUTE(SUBSTITUTE(SUBSTITUTE(SUBSTITUTE(TRIM($W883),"-",""),".",""),"/","")," ",""),8),7,2)),"")))</f>
        <v/>
      </c>
      <c r="Y883" s="32">
        <f>IF($X883="","",INT($X883))</f>
        <v/>
      </c>
      <c r="Z883" s="33">
        <f>IF(OR($Y883="",$D$6=""),"",IF(INDEX($A:$U,ROW(),$D$6)="",0,IF(ISNUMBER(INDEX($A:$U,ROW(),$D$6)),INDEX($A:$U,ROW(),$D$6),IFERROR(--SUBSTITUTE(SUBSTITUTE(TRIM(INDEX($A:$U,ROW(),$D$6)),",",""),"원",""),0))))</f>
        <v/>
      </c>
      <c r="AA883" s="31">
        <f>IF($Y883="","",TRIM(INDEX($A:$U,ROW(),$E$6)&amp;IF($F$6="",""," "&amp;INDEX($A:$U,ROW(),$F$6))))</f>
        <v/>
      </c>
      <c r="AB883" s="31">
        <f>IF($AA883="","",SUBSTITUTE(SUBSTITUTE(SUBSTITUTE(SUBSTITUTE(SUBSTITUTE(SUBSTITUTE(SUBSTITUTE(SUBSTITUTE(SUBSTITUTE($AA883," ",""),"　",""),"(주)",""),"（주）",""),"㈜",""),"주식회사",""),"(유)",""),"（유）",""),"유한회사",""))</f>
        <v/>
      </c>
      <c r="AC883" s="31">
        <f>IF(OR($Y883="",N($Z883)&lt;=0,$AB883=""),0,IFERROR(LOOKUP(2,1/((거래처별!$AC$8:$AC$307&lt;&gt;"")*ISNUMBER(SEARCH(거래처별!$AC$8:$AC$307,$AB883))),거래처별!$A$8:$A$307),IFERROR(LOOKUP(2,1/((거래처별!$AD$8:$AD$307&lt;&gt;"")*ISNUMBER(SEARCH(거래처별!$AD$8:$AD$307,$AB883))),거래처별!$A$8:$A$307),IFERROR(LOOKUP(2,1/((거래처별!$AE$8:$AE$307&lt;&gt;"")*ISNUMBER(SEARCH(거래처별!$AE$8:$AE$307,$AB883))),거래처별!$A$8:$A$307),0))))</f>
        <v/>
      </c>
      <c r="AD883" s="31">
        <f>IF(AND($Y883&lt;&gt;"",N($Z883)&gt;0,$AC883=0),MAX($AD$7:$AD882)+1,"")</f>
        <v/>
      </c>
      <c r="AE883" s="31">
        <f>IF($Y883="",0,$Y883)</f>
        <v/>
      </c>
    </row>
    <row r="884">
      <c r="W884" s="31">
        <f>IF(OR($B$5="",$C$6="",ROW()&lt;$B$5),"",IF(INDEX($A:$U,ROW(),$C$6)="","",INDEX($A:$U,ROW(),$C$6)))</f>
        <v/>
      </c>
      <c r="X884" s="32">
        <f>IF($W884="","",IF(ISNUMBER($W884),IF($W884&gt;=10000000,IFERROR(DATE(INT($W884/10000),MOD(INT($W884/100),100),MOD($W884,100)),""),INT($W884)),IFERROR(DATE(--LEFT(LEFT(SUBSTITUTE(SUBSTITUTE(SUBSTITUTE(SUBSTITUTE(TRIM($W884),"-",""),".",""),"/","")," ",""),8),4),--MID(LEFT(SUBSTITUTE(SUBSTITUTE(SUBSTITUTE(SUBSTITUTE(TRIM($W884),"-",""),".",""),"/","")," ",""),8),5,2),--MID(LEFT(SUBSTITUTE(SUBSTITUTE(SUBSTITUTE(SUBSTITUTE(TRIM($W884),"-",""),".",""),"/","")," ",""),8),7,2)),"")))</f>
        <v/>
      </c>
      <c r="Y884" s="32">
        <f>IF($X884="","",INT($X884))</f>
        <v/>
      </c>
      <c r="Z884" s="33">
        <f>IF(OR($Y884="",$D$6=""),"",IF(INDEX($A:$U,ROW(),$D$6)="",0,IF(ISNUMBER(INDEX($A:$U,ROW(),$D$6)),INDEX($A:$U,ROW(),$D$6),IFERROR(--SUBSTITUTE(SUBSTITUTE(TRIM(INDEX($A:$U,ROW(),$D$6)),",",""),"원",""),0))))</f>
        <v/>
      </c>
      <c r="AA884" s="31">
        <f>IF($Y884="","",TRIM(INDEX($A:$U,ROW(),$E$6)&amp;IF($F$6="",""," "&amp;INDEX($A:$U,ROW(),$F$6))))</f>
        <v/>
      </c>
      <c r="AB884" s="31">
        <f>IF($AA884="","",SUBSTITUTE(SUBSTITUTE(SUBSTITUTE(SUBSTITUTE(SUBSTITUTE(SUBSTITUTE(SUBSTITUTE(SUBSTITUTE(SUBSTITUTE($AA884," ",""),"　",""),"(주)",""),"（주）",""),"㈜",""),"주식회사",""),"(유)",""),"（유）",""),"유한회사",""))</f>
        <v/>
      </c>
      <c r="AC884" s="31">
        <f>IF(OR($Y884="",N($Z884)&lt;=0,$AB884=""),0,IFERROR(LOOKUP(2,1/((거래처별!$AC$8:$AC$307&lt;&gt;"")*ISNUMBER(SEARCH(거래처별!$AC$8:$AC$307,$AB884))),거래처별!$A$8:$A$307),IFERROR(LOOKUP(2,1/((거래처별!$AD$8:$AD$307&lt;&gt;"")*ISNUMBER(SEARCH(거래처별!$AD$8:$AD$307,$AB884))),거래처별!$A$8:$A$307),IFERROR(LOOKUP(2,1/((거래처별!$AE$8:$AE$307&lt;&gt;"")*ISNUMBER(SEARCH(거래처별!$AE$8:$AE$307,$AB884))),거래처별!$A$8:$A$307),0))))</f>
        <v/>
      </c>
      <c r="AD884" s="31">
        <f>IF(AND($Y884&lt;&gt;"",N($Z884)&gt;0,$AC884=0),MAX($AD$7:$AD883)+1,"")</f>
        <v/>
      </c>
      <c r="AE884" s="31">
        <f>IF($Y884="",0,$Y884)</f>
        <v/>
      </c>
    </row>
    <row r="885">
      <c r="W885" s="31">
        <f>IF(OR($B$5="",$C$6="",ROW()&lt;$B$5),"",IF(INDEX($A:$U,ROW(),$C$6)="","",INDEX($A:$U,ROW(),$C$6)))</f>
        <v/>
      </c>
      <c r="X885" s="32">
        <f>IF($W885="","",IF(ISNUMBER($W885),IF($W885&gt;=10000000,IFERROR(DATE(INT($W885/10000),MOD(INT($W885/100),100),MOD($W885,100)),""),INT($W885)),IFERROR(DATE(--LEFT(LEFT(SUBSTITUTE(SUBSTITUTE(SUBSTITUTE(SUBSTITUTE(TRIM($W885),"-",""),".",""),"/","")," ",""),8),4),--MID(LEFT(SUBSTITUTE(SUBSTITUTE(SUBSTITUTE(SUBSTITUTE(TRIM($W885),"-",""),".",""),"/","")," ",""),8),5,2),--MID(LEFT(SUBSTITUTE(SUBSTITUTE(SUBSTITUTE(SUBSTITUTE(TRIM($W885),"-",""),".",""),"/","")," ",""),8),7,2)),"")))</f>
        <v/>
      </c>
      <c r="Y885" s="32">
        <f>IF($X885="","",INT($X885))</f>
        <v/>
      </c>
      <c r="Z885" s="33">
        <f>IF(OR($Y885="",$D$6=""),"",IF(INDEX($A:$U,ROW(),$D$6)="",0,IF(ISNUMBER(INDEX($A:$U,ROW(),$D$6)),INDEX($A:$U,ROW(),$D$6),IFERROR(--SUBSTITUTE(SUBSTITUTE(TRIM(INDEX($A:$U,ROW(),$D$6)),",",""),"원",""),0))))</f>
        <v/>
      </c>
      <c r="AA885" s="31">
        <f>IF($Y885="","",TRIM(INDEX($A:$U,ROW(),$E$6)&amp;IF($F$6="",""," "&amp;INDEX($A:$U,ROW(),$F$6))))</f>
        <v/>
      </c>
      <c r="AB885" s="31">
        <f>IF($AA885="","",SUBSTITUTE(SUBSTITUTE(SUBSTITUTE(SUBSTITUTE(SUBSTITUTE(SUBSTITUTE(SUBSTITUTE(SUBSTITUTE(SUBSTITUTE($AA885," ",""),"　",""),"(주)",""),"（주）",""),"㈜",""),"주식회사",""),"(유)",""),"（유）",""),"유한회사",""))</f>
        <v/>
      </c>
      <c r="AC885" s="31">
        <f>IF(OR($Y885="",N($Z885)&lt;=0,$AB885=""),0,IFERROR(LOOKUP(2,1/((거래처별!$AC$8:$AC$307&lt;&gt;"")*ISNUMBER(SEARCH(거래처별!$AC$8:$AC$307,$AB885))),거래처별!$A$8:$A$307),IFERROR(LOOKUP(2,1/((거래처별!$AD$8:$AD$307&lt;&gt;"")*ISNUMBER(SEARCH(거래처별!$AD$8:$AD$307,$AB885))),거래처별!$A$8:$A$307),IFERROR(LOOKUP(2,1/((거래처별!$AE$8:$AE$307&lt;&gt;"")*ISNUMBER(SEARCH(거래처별!$AE$8:$AE$307,$AB885))),거래처별!$A$8:$A$307),0))))</f>
        <v/>
      </c>
      <c r="AD885" s="31">
        <f>IF(AND($Y885&lt;&gt;"",N($Z885)&gt;0,$AC885=0),MAX($AD$7:$AD884)+1,"")</f>
        <v/>
      </c>
      <c r="AE885" s="31">
        <f>IF($Y885="",0,$Y885)</f>
        <v/>
      </c>
    </row>
    <row r="886">
      <c r="W886" s="31">
        <f>IF(OR($B$5="",$C$6="",ROW()&lt;$B$5),"",IF(INDEX($A:$U,ROW(),$C$6)="","",INDEX($A:$U,ROW(),$C$6)))</f>
        <v/>
      </c>
      <c r="X886" s="32">
        <f>IF($W886="","",IF(ISNUMBER($W886),IF($W886&gt;=10000000,IFERROR(DATE(INT($W886/10000),MOD(INT($W886/100),100),MOD($W886,100)),""),INT($W886)),IFERROR(DATE(--LEFT(LEFT(SUBSTITUTE(SUBSTITUTE(SUBSTITUTE(SUBSTITUTE(TRIM($W886),"-",""),".",""),"/","")," ",""),8),4),--MID(LEFT(SUBSTITUTE(SUBSTITUTE(SUBSTITUTE(SUBSTITUTE(TRIM($W886),"-",""),".",""),"/","")," ",""),8),5,2),--MID(LEFT(SUBSTITUTE(SUBSTITUTE(SUBSTITUTE(SUBSTITUTE(TRIM($W886),"-",""),".",""),"/","")," ",""),8),7,2)),"")))</f>
        <v/>
      </c>
      <c r="Y886" s="32">
        <f>IF($X886="","",INT($X886))</f>
        <v/>
      </c>
      <c r="Z886" s="33">
        <f>IF(OR($Y886="",$D$6=""),"",IF(INDEX($A:$U,ROW(),$D$6)="",0,IF(ISNUMBER(INDEX($A:$U,ROW(),$D$6)),INDEX($A:$U,ROW(),$D$6),IFERROR(--SUBSTITUTE(SUBSTITUTE(TRIM(INDEX($A:$U,ROW(),$D$6)),",",""),"원",""),0))))</f>
        <v/>
      </c>
      <c r="AA886" s="31">
        <f>IF($Y886="","",TRIM(INDEX($A:$U,ROW(),$E$6)&amp;IF($F$6="",""," "&amp;INDEX($A:$U,ROW(),$F$6))))</f>
        <v/>
      </c>
      <c r="AB886" s="31">
        <f>IF($AA886="","",SUBSTITUTE(SUBSTITUTE(SUBSTITUTE(SUBSTITUTE(SUBSTITUTE(SUBSTITUTE(SUBSTITUTE(SUBSTITUTE(SUBSTITUTE($AA886," ",""),"　",""),"(주)",""),"（주）",""),"㈜",""),"주식회사",""),"(유)",""),"（유）",""),"유한회사",""))</f>
        <v/>
      </c>
      <c r="AC886" s="31">
        <f>IF(OR($Y886="",N($Z886)&lt;=0,$AB886=""),0,IFERROR(LOOKUP(2,1/((거래처별!$AC$8:$AC$307&lt;&gt;"")*ISNUMBER(SEARCH(거래처별!$AC$8:$AC$307,$AB886))),거래처별!$A$8:$A$307),IFERROR(LOOKUP(2,1/((거래처별!$AD$8:$AD$307&lt;&gt;"")*ISNUMBER(SEARCH(거래처별!$AD$8:$AD$307,$AB886))),거래처별!$A$8:$A$307),IFERROR(LOOKUP(2,1/((거래처별!$AE$8:$AE$307&lt;&gt;"")*ISNUMBER(SEARCH(거래처별!$AE$8:$AE$307,$AB886))),거래처별!$A$8:$A$307),0))))</f>
        <v/>
      </c>
      <c r="AD886" s="31">
        <f>IF(AND($Y886&lt;&gt;"",N($Z886)&gt;0,$AC886=0),MAX($AD$7:$AD885)+1,"")</f>
        <v/>
      </c>
      <c r="AE886" s="31">
        <f>IF($Y886="",0,$Y886)</f>
        <v/>
      </c>
    </row>
    <row r="887">
      <c r="W887" s="31">
        <f>IF(OR($B$5="",$C$6="",ROW()&lt;$B$5),"",IF(INDEX($A:$U,ROW(),$C$6)="","",INDEX($A:$U,ROW(),$C$6)))</f>
        <v/>
      </c>
      <c r="X887" s="32">
        <f>IF($W887="","",IF(ISNUMBER($W887),IF($W887&gt;=10000000,IFERROR(DATE(INT($W887/10000),MOD(INT($W887/100),100),MOD($W887,100)),""),INT($W887)),IFERROR(DATE(--LEFT(LEFT(SUBSTITUTE(SUBSTITUTE(SUBSTITUTE(SUBSTITUTE(TRIM($W887),"-",""),".",""),"/","")," ",""),8),4),--MID(LEFT(SUBSTITUTE(SUBSTITUTE(SUBSTITUTE(SUBSTITUTE(TRIM($W887),"-",""),".",""),"/","")," ",""),8),5,2),--MID(LEFT(SUBSTITUTE(SUBSTITUTE(SUBSTITUTE(SUBSTITUTE(TRIM($W887),"-",""),".",""),"/","")," ",""),8),7,2)),"")))</f>
        <v/>
      </c>
      <c r="Y887" s="32">
        <f>IF($X887="","",INT($X887))</f>
        <v/>
      </c>
      <c r="Z887" s="33">
        <f>IF(OR($Y887="",$D$6=""),"",IF(INDEX($A:$U,ROW(),$D$6)="",0,IF(ISNUMBER(INDEX($A:$U,ROW(),$D$6)),INDEX($A:$U,ROW(),$D$6),IFERROR(--SUBSTITUTE(SUBSTITUTE(TRIM(INDEX($A:$U,ROW(),$D$6)),",",""),"원",""),0))))</f>
        <v/>
      </c>
      <c r="AA887" s="31">
        <f>IF($Y887="","",TRIM(INDEX($A:$U,ROW(),$E$6)&amp;IF($F$6="",""," "&amp;INDEX($A:$U,ROW(),$F$6))))</f>
        <v/>
      </c>
      <c r="AB887" s="31">
        <f>IF($AA887="","",SUBSTITUTE(SUBSTITUTE(SUBSTITUTE(SUBSTITUTE(SUBSTITUTE(SUBSTITUTE(SUBSTITUTE(SUBSTITUTE(SUBSTITUTE($AA887," ",""),"　",""),"(주)",""),"（주）",""),"㈜",""),"주식회사",""),"(유)",""),"（유）",""),"유한회사",""))</f>
        <v/>
      </c>
      <c r="AC887" s="31">
        <f>IF(OR($Y887="",N($Z887)&lt;=0,$AB887=""),0,IFERROR(LOOKUP(2,1/((거래처별!$AC$8:$AC$307&lt;&gt;"")*ISNUMBER(SEARCH(거래처별!$AC$8:$AC$307,$AB887))),거래처별!$A$8:$A$307),IFERROR(LOOKUP(2,1/((거래처별!$AD$8:$AD$307&lt;&gt;"")*ISNUMBER(SEARCH(거래처별!$AD$8:$AD$307,$AB887))),거래처별!$A$8:$A$307),IFERROR(LOOKUP(2,1/((거래처별!$AE$8:$AE$307&lt;&gt;"")*ISNUMBER(SEARCH(거래처별!$AE$8:$AE$307,$AB887))),거래처별!$A$8:$A$307),0))))</f>
        <v/>
      </c>
      <c r="AD887" s="31">
        <f>IF(AND($Y887&lt;&gt;"",N($Z887)&gt;0,$AC887=0),MAX($AD$7:$AD886)+1,"")</f>
        <v/>
      </c>
      <c r="AE887" s="31">
        <f>IF($Y887="",0,$Y887)</f>
        <v/>
      </c>
    </row>
    <row r="888">
      <c r="W888" s="31">
        <f>IF(OR($B$5="",$C$6="",ROW()&lt;$B$5),"",IF(INDEX($A:$U,ROW(),$C$6)="","",INDEX($A:$U,ROW(),$C$6)))</f>
        <v/>
      </c>
      <c r="X888" s="32">
        <f>IF($W888="","",IF(ISNUMBER($W888),IF($W888&gt;=10000000,IFERROR(DATE(INT($W888/10000),MOD(INT($W888/100),100),MOD($W888,100)),""),INT($W888)),IFERROR(DATE(--LEFT(LEFT(SUBSTITUTE(SUBSTITUTE(SUBSTITUTE(SUBSTITUTE(TRIM($W888),"-",""),".",""),"/","")," ",""),8),4),--MID(LEFT(SUBSTITUTE(SUBSTITUTE(SUBSTITUTE(SUBSTITUTE(TRIM($W888),"-",""),".",""),"/","")," ",""),8),5,2),--MID(LEFT(SUBSTITUTE(SUBSTITUTE(SUBSTITUTE(SUBSTITUTE(TRIM($W888),"-",""),".",""),"/","")," ",""),8),7,2)),"")))</f>
        <v/>
      </c>
      <c r="Y888" s="32">
        <f>IF($X888="","",INT($X888))</f>
        <v/>
      </c>
      <c r="Z888" s="33">
        <f>IF(OR($Y888="",$D$6=""),"",IF(INDEX($A:$U,ROW(),$D$6)="",0,IF(ISNUMBER(INDEX($A:$U,ROW(),$D$6)),INDEX($A:$U,ROW(),$D$6),IFERROR(--SUBSTITUTE(SUBSTITUTE(TRIM(INDEX($A:$U,ROW(),$D$6)),",",""),"원",""),0))))</f>
        <v/>
      </c>
      <c r="AA888" s="31">
        <f>IF($Y888="","",TRIM(INDEX($A:$U,ROW(),$E$6)&amp;IF($F$6="",""," "&amp;INDEX($A:$U,ROW(),$F$6))))</f>
        <v/>
      </c>
      <c r="AB888" s="31">
        <f>IF($AA888="","",SUBSTITUTE(SUBSTITUTE(SUBSTITUTE(SUBSTITUTE(SUBSTITUTE(SUBSTITUTE(SUBSTITUTE(SUBSTITUTE(SUBSTITUTE($AA888," ",""),"　",""),"(주)",""),"（주）",""),"㈜",""),"주식회사",""),"(유)",""),"（유）",""),"유한회사",""))</f>
        <v/>
      </c>
      <c r="AC888" s="31">
        <f>IF(OR($Y888="",N($Z888)&lt;=0,$AB888=""),0,IFERROR(LOOKUP(2,1/((거래처별!$AC$8:$AC$307&lt;&gt;"")*ISNUMBER(SEARCH(거래처별!$AC$8:$AC$307,$AB888))),거래처별!$A$8:$A$307),IFERROR(LOOKUP(2,1/((거래처별!$AD$8:$AD$307&lt;&gt;"")*ISNUMBER(SEARCH(거래처별!$AD$8:$AD$307,$AB888))),거래처별!$A$8:$A$307),IFERROR(LOOKUP(2,1/((거래처별!$AE$8:$AE$307&lt;&gt;"")*ISNUMBER(SEARCH(거래처별!$AE$8:$AE$307,$AB888))),거래처별!$A$8:$A$307),0))))</f>
        <v/>
      </c>
      <c r="AD888" s="31">
        <f>IF(AND($Y888&lt;&gt;"",N($Z888)&gt;0,$AC888=0),MAX($AD$7:$AD887)+1,"")</f>
        <v/>
      </c>
      <c r="AE888" s="31">
        <f>IF($Y888="",0,$Y888)</f>
        <v/>
      </c>
    </row>
    <row r="889">
      <c r="W889" s="31">
        <f>IF(OR($B$5="",$C$6="",ROW()&lt;$B$5),"",IF(INDEX($A:$U,ROW(),$C$6)="","",INDEX($A:$U,ROW(),$C$6)))</f>
        <v/>
      </c>
      <c r="X889" s="32">
        <f>IF($W889="","",IF(ISNUMBER($W889),IF($W889&gt;=10000000,IFERROR(DATE(INT($W889/10000),MOD(INT($W889/100),100),MOD($W889,100)),""),INT($W889)),IFERROR(DATE(--LEFT(LEFT(SUBSTITUTE(SUBSTITUTE(SUBSTITUTE(SUBSTITUTE(TRIM($W889),"-",""),".",""),"/","")," ",""),8),4),--MID(LEFT(SUBSTITUTE(SUBSTITUTE(SUBSTITUTE(SUBSTITUTE(TRIM($W889),"-",""),".",""),"/","")," ",""),8),5,2),--MID(LEFT(SUBSTITUTE(SUBSTITUTE(SUBSTITUTE(SUBSTITUTE(TRIM($W889),"-",""),".",""),"/","")," ",""),8),7,2)),"")))</f>
        <v/>
      </c>
      <c r="Y889" s="32">
        <f>IF($X889="","",INT($X889))</f>
        <v/>
      </c>
      <c r="Z889" s="33">
        <f>IF(OR($Y889="",$D$6=""),"",IF(INDEX($A:$U,ROW(),$D$6)="",0,IF(ISNUMBER(INDEX($A:$U,ROW(),$D$6)),INDEX($A:$U,ROW(),$D$6),IFERROR(--SUBSTITUTE(SUBSTITUTE(TRIM(INDEX($A:$U,ROW(),$D$6)),",",""),"원",""),0))))</f>
        <v/>
      </c>
      <c r="AA889" s="31">
        <f>IF($Y889="","",TRIM(INDEX($A:$U,ROW(),$E$6)&amp;IF($F$6="",""," "&amp;INDEX($A:$U,ROW(),$F$6))))</f>
        <v/>
      </c>
      <c r="AB889" s="31">
        <f>IF($AA889="","",SUBSTITUTE(SUBSTITUTE(SUBSTITUTE(SUBSTITUTE(SUBSTITUTE(SUBSTITUTE(SUBSTITUTE(SUBSTITUTE(SUBSTITUTE($AA889," ",""),"　",""),"(주)",""),"（주）",""),"㈜",""),"주식회사",""),"(유)",""),"（유）",""),"유한회사",""))</f>
        <v/>
      </c>
      <c r="AC889" s="31">
        <f>IF(OR($Y889="",N($Z889)&lt;=0,$AB889=""),0,IFERROR(LOOKUP(2,1/((거래처별!$AC$8:$AC$307&lt;&gt;"")*ISNUMBER(SEARCH(거래처별!$AC$8:$AC$307,$AB889))),거래처별!$A$8:$A$307),IFERROR(LOOKUP(2,1/((거래처별!$AD$8:$AD$307&lt;&gt;"")*ISNUMBER(SEARCH(거래처별!$AD$8:$AD$307,$AB889))),거래처별!$A$8:$A$307),IFERROR(LOOKUP(2,1/((거래처별!$AE$8:$AE$307&lt;&gt;"")*ISNUMBER(SEARCH(거래처별!$AE$8:$AE$307,$AB889))),거래처별!$A$8:$A$307),0))))</f>
        <v/>
      </c>
      <c r="AD889" s="31">
        <f>IF(AND($Y889&lt;&gt;"",N($Z889)&gt;0,$AC889=0),MAX($AD$7:$AD888)+1,"")</f>
        <v/>
      </c>
      <c r="AE889" s="31">
        <f>IF($Y889="",0,$Y889)</f>
        <v/>
      </c>
    </row>
    <row r="890">
      <c r="W890" s="31">
        <f>IF(OR($B$5="",$C$6="",ROW()&lt;$B$5),"",IF(INDEX($A:$U,ROW(),$C$6)="","",INDEX($A:$U,ROW(),$C$6)))</f>
        <v/>
      </c>
      <c r="X890" s="32">
        <f>IF($W890="","",IF(ISNUMBER($W890),IF($W890&gt;=10000000,IFERROR(DATE(INT($W890/10000),MOD(INT($W890/100),100),MOD($W890,100)),""),INT($W890)),IFERROR(DATE(--LEFT(LEFT(SUBSTITUTE(SUBSTITUTE(SUBSTITUTE(SUBSTITUTE(TRIM($W890),"-",""),".",""),"/","")," ",""),8),4),--MID(LEFT(SUBSTITUTE(SUBSTITUTE(SUBSTITUTE(SUBSTITUTE(TRIM($W890),"-",""),".",""),"/","")," ",""),8),5,2),--MID(LEFT(SUBSTITUTE(SUBSTITUTE(SUBSTITUTE(SUBSTITUTE(TRIM($W890),"-",""),".",""),"/","")," ",""),8),7,2)),"")))</f>
        <v/>
      </c>
      <c r="Y890" s="32">
        <f>IF($X890="","",INT($X890))</f>
        <v/>
      </c>
      <c r="Z890" s="33">
        <f>IF(OR($Y890="",$D$6=""),"",IF(INDEX($A:$U,ROW(),$D$6)="",0,IF(ISNUMBER(INDEX($A:$U,ROW(),$D$6)),INDEX($A:$U,ROW(),$D$6),IFERROR(--SUBSTITUTE(SUBSTITUTE(TRIM(INDEX($A:$U,ROW(),$D$6)),",",""),"원",""),0))))</f>
        <v/>
      </c>
      <c r="AA890" s="31">
        <f>IF($Y890="","",TRIM(INDEX($A:$U,ROW(),$E$6)&amp;IF($F$6="",""," "&amp;INDEX($A:$U,ROW(),$F$6))))</f>
        <v/>
      </c>
      <c r="AB890" s="31">
        <f>IF($AA890="","",SUBSTITUTE(SUBSTITUTE(SUBSTITUTE(SUBSTITUTE(SUBSTITUTE(SUBSTITUTE(SUBSTITUTE(SUBSTITUTE(SUBSTITUTE($AA890," ",""),"　",""),"(주)",""),"（주）",""),"㈜",""),"주식회사",""),"(유)",""),"（유）",""),"유한회사",""))</f>
        <v/>
      </c>
      <c r="AC890" s="31">
        <f>IF(OR($Y890="",N($Z890)&lt;=0,$AB890=""),0,IFERROR(LOOKUP(2,1/((거래처별!$AC$8:$AC$307&lt;&gt;"")*ISNUMBER(SEARCH(거래처별!$AC$8:$AC$307,$AB890))),거래처별!$A$8:$A$307),IFERROR(LOOKUP(2,1/((거래처별!$AD$8:$AD$307&lt;&gt;"")*ISNUMBER(SEARCH(거래처별!$AD$8:$AD$307,$AB890))),거래처별!$A$8:$A$307),IFERROR(LOOKUP(2,1/((거래처별!$AE$8:$AE$307&lt;&gt;"")*ISNUMBER(SEARCH(거래처별!$AE$8:$AE$307,$AB890))),거래처별!$A$8:$A$307),0))))</f>
        <v/>
      </c>
      <c r="AD890" s="31">
        <f>IF(AND($Y890&lt;&gt;"",N($Z890)&gt;0,$AC890=0),MAX($AD$7:$AD889)+1,"")</f>
        <v/>
      </c>
      <c r="AE890" s="31">
        <f>IF($Y890="",0,$Y890)</f>
        <v/>
      </c>
    </row>
    <row r="891">
      <c r="W891" s="31">
        <f>IF(OR($B$5="",$C$6="",ROW()&lt;$B$5),"",IF(INDEX($A:$U,ROW(),$C$6)="","",INDEX($A:$U,ROW(),$C$6)))</f>
        <v/>
      </c>
      <c r="X891" s="32">
        <f>IF($W891="","",IF(ISNUMBER($W891),IF($W891&gt;=10000000,IFERROR(DATE(INT($W891/10000),MOD(INT($W891/100),100),MOD($W891,100)),""),INT($W891)),IFERROR(DATE(--LEFT(LEFT(SUBSTITUTE(SUBSTITUTE(SUBSTITUTE(SUBSTITUTE(TRIM($W891),"-",""),".",""),"/","")," ",""),8),4),--MID(LEFT(SUBSTITUTE(SUBSTITUTE(SUBSTITUTE(SUBSTITUTE(TRIM($W891),"-",""),".",""),"/","")," ",""),8),5,2),--MID(LEFT(SUBSTITUTE(SUBSTITUTE(SUBSTITUTE(SUBSTITUTE(TRIM($W891),"-",""),".",""),"/","")," ",""),8),7,2)),"")))</f>
        <v/>
      </c>
      <c r="Y891" s="32">
        <f>IF($X891="","",INT($X891))</f>
        <v/>
      </c>
      <c r="Z891" s="33">
        <f>IF(OR($Y891="",$D$6=""),"",IF(INDEX($A:$U,ROW(),$D$6)="",0,IF(ISNUMBER(INDEX($A:$U,ROW(),$D$6)),INDEX($A:$U,ROW(),$D$6),IFERROR(--SUBSTITUTE(SUBSTITUTE(TRIM(INDEX($A:$U,ROW(),$D$6)),",",""),"원",""),0))))</f>
        <v/>
      </c>
      <c r="AA891" s="31">
        <f>IF($Y891="","",TRIM(INDEX($A:$U,ROW(),$E$6)&amp;IF($F$6="",""," "&amp;INDEX($A:$U,ROW(),$F$6))))</f>
        <v/>
      </c>
      <c r="AB891" s="31">
        <f>IF($AA891="","",SUBSTITUTE(SUBSTITUTE(SUBSTITUTE(SUBSTITUTE(SUBSTITUTE(SUBSTITUTE(SUBSTITUTE(SUBSTITUTE(SUBSTITUTE($AA891," ",""),"　",""),"(주)",""),"（주）",""),"㈜",""),"주식회사",""),"(유)",""),"（유）",""),"유한회사",""))</f>
        <v/>
      </c>
      <c r="AC891" s="31">
        <f>IF(OR($Y891="",N($Z891)&lt;=0,$AB891=""),0,IFERROR(LOOKUP(2,1/((거래처별!$AC$8:$AC$307&lt;&gt;"")*ISNUMBER(SEARCH(거래처별!$AC$8:$AC$307,$AB891))),거래처별!$A$8:$A$307),IFERROR(LOOKUP(2,1/((거래처별!$AD$8:$AD$307&lt;&gt;"")*ISNUMBER(SEARCH(거래처별!$AD$8:$AD$307,$AB891))),거래처별!$A$8:$A$307),IFERROR(LOOKUP(2,1/((거래처별!$AE$8:$AE$307&lt;&gt;"")*ISNUMBER(SEARCH(거래처별!$AE$8:$AE$307,$AB891))),거래처별!$A$8:$A$307),0))))</f>
        <v/>
      </c>
      <c r="AD891" s="31">
        <f>IF(AND($Y891&lt;&gt;"",N($Z891)&gt;0,$AC891=0),MAX($AD$7:$AD890)+1,"")</f>
        <v/>
      </c>
      <c r="AE891" s="31">
        <f>IF($Y891="",0,$Y891)</f>
        <v/>
      </c>
    </row>
    <row r="892">
      <c r="W892" s="31">
        <f>IF(OR($B$5="",$C$6="",ROW()&lt;$B$5),"",IF(INDEX($A:$U,ROW(),$C$6)="","",INDEX($A:$U,ROW(),$C$6)))</f>
        <v/>
      </c>
      <c r="X892" s="32">
        <f>IF($W892="","",IF(ISNUMBER($W892),IF($W892&gt;=10000000,IFERROR(DATE(INT($W892/10000),MOD(INT($W892/100),100),MOD($W892,100)),""),INT($W892)),IFERROR(DATE(--LEFT(LEFT(SUBSTITUTE(SUBSTITUTE(SUBSTITUTE(SUBSTITUTE(TRIM($W892),"-",""),".",""),"/","")," ",""),8),4),--MID(LEFT(SUBSTITUTE(SUBSTITUTE(SUBSTITUTE(SUBSTITUTE(TRIM($W892),"-",""),".",""),"/","")," ",""),8),5,2),--MID(LEFT(SUBSTITUTE(SUBSTITUTE(SUBSTITUTE(SUBSTITUTE(TRIM($W892),"-",""),".",""),"/","")," ",""),8),7,2)),"")))</f>
        <v/>
      </c>
      <c r="Y892" s="32">
        <f>IF($X892="","",INT($X892))</f>
        <v/>
      </c>
      <c r="Z892" s="33">
        <f>IF(OR($Y892="",$D$6=""),"",IF(INDEX($A:$U,ROW(),$D$6)="",0,IF(ISNUMBER(INDEX($A:$U,ROW(),$D$6)),INDEX($A:$U,ROW(),$D$6),IFERROR(--SUBSTITUTE(SUBSTITUTE(TRIM(INDEX($A:$U,ROW(),$D$6)),",",""),"원",""),0))))</f>
        <v/>
      </c>
      <c r="AA892" s="31">
        <f>IF($Y892="","",TRIM(INDEX($A:$U,ROW(),$E$6)&amp;IF($F$6="",""," "&amp;INDEX($A:$U,ROW(),$F$6))))</f>
        <v/>
      </c>
      <c r="AB892" s="31">
        <f>IF($AA892="","",SUBSTITUTE(SUBSTITUTE(SUBSTITUTE(SUBSTITUTE(SUBSTITUTE(SUBSTITUTE(SUBSTITUTE(SUBSTITUTE(SUBSTITUTE($AA892," ",""),"　",""),"(주)",""),"（주）",""),"㈜",""),"주식회사",""),"(유)",""),"（유）",""),"유한회사",""))</f>
        <v/>
      </c>
      <c r="AC892" s="31">
        <f>IF(OR($Y892="",N($Z892)&lt;=0,$AB892=""),0,IFERROR(LOOKUP(2,1/((거래처별!$AC$8:$AC$307&lt;&gt;"")*ISNUMBER(SEARCH(거래처별!$AC$8:$AC$307,$AB892))),거래처별!$A$8:$A$307),IFERROR(LOOKUP(2,1/((거래처별!$AD$8:$AD$307&lt;&gt;"")*ISNUMBER(SEARCH(거래처별!$AD$8:$AD$307,$AB892))),거래처별!$A$8:$A$307),IFERROR(LOOKUP(2,1/((거래처별!$AE$8:$AE$307&lt;&gt;"")*ISNUMBER(SEARCH(거래처별!$AE$8:$AE$307,$AB892))),거래처별!$A$8:$A$307),0))))</f>
        <v/>
      </c>
      <c r="AD892" s="31">
        <f>IF(AND($Y892&lt;&gt;"",N($Z892)&gt;0,$AC892=0),MAX($AD$7:$AD891)+1,"")</f>
        <v/>
      </c>
      <c r="AE892" s="31">
        <f>IF($Y892="",0,$Y892)</f>
        <v/>
      </c>
    </row>
    <row r="893">
      <c r="W893" s="31">
        <f>IF(OR($B$5="",$C$6="",ROW()&lt;$B$5),"",IF(INDEX($A:$U,ROW(),$C$6)="","",INDEX($A:$U,ROW(),$C$6)))</f>
        <v/>
      </c>
      <c r="X893" s="32">
        <f>IF($W893="","",IF(ISNUMBER($W893),IF($W893&gt;=10000000,IFERROR(DATE(INT($W893/10000),MOD(INT($W893/100),100),MOD($W893,100)),""),INT($W893)),IFERROR(DATE(--LEFT(LEFT(SUBSTITUTE(SUBSTITUTE(SUBSTITUTE(SUBSTITUTE(TRIM($W893),"-",""),".",""),"/","")," ",""),8),4),--MID(LEFT(SUBSTITUTE(SUBSTITUTE(SUBSTITUTE(SUBSTITUTE(TRIM($W893),"-",""),".",""),"/","")," ",""),8),5,2),--MID(LEFT(SUBSTITUTE(SUBSTITUTE(SUBSTITUTE(SUBSTITUTE(TRIM($W893),"-",""),".",""),"/","")," ",""),8),7,2)),"")))</f>
        <v/>
      </c>
      <c r="Y893" s="32">
        <f>IF($X893="","",INT($X893))</f>
        <v/>
      </c>
      <c r="Z893" s="33">
        <f>IF(OR($Y893="",$D$6=""),"",IF(INDEX($A:$U,ROW(),$D$6)="",0,IF(ISNUMBER(INDEX($A:$U,ROW(),$D$6)),INDEX($A:$U,ROW(),$D$6),IFERROR(--SUBSTITUTE(SUBSTITUTE(TRIM(INDEX($A:$U,ROW(),$D$6)),",",""),"원",""),0))))</f>
        <v/>
      </c>
      <c r="AA893" s="31">
        <f>IF($Y893="","",TRIM(INDEX($A:$U,ROW(),$E$6)&amp;IF($F$6="",""," "&amp;INDEX($A:$U,ROW(),$F$6))))</f>
        <v/>
      </c>
      <c r="AB893" s="31">
        <f>IF($AA893="","",SUBSTITUTE(SUBSTITUTE(SUBSTITUTE(SUBSTITUTE(SUBSTITUTE(SUBSTITUTE(SUBSTITUTE(SUBSTITUTE(SUBSTITUTE($AA893," ",""),"　",""),"(주)",""),"（주）",""),"㈜",""),"주식회사",""),"(유)",""),"（유）",""),"유한회사",""))</f>
        <v/>
      </c>
      <c r="AC893" s="31">
        <f>IF(OR($Y893="",N($Z893)&lt;=0,$AB893=""),0,IFERROR(LOOKUP(2,1/((거래처별!$AC$8:$AC$307&lt;&gt;"")*ISNUMBER(SEARCH(거래처별!$AC$8:$AC$307,$AB893))),거래처별!$A$8:$A$307),IFERROR(LOOKUP(2,1/((거래처별!$AD$8:$AD$307&lt;&gt;"")*ISNUMBER(SEARCH(거래처별!$AD$8:$AD$307,$AB893))),거래처별!$A$8:$A$307),IFERROR(LOOKUP(2,1/((거래처별!$AE$8:$AE$307&lt;&gt;"")*ISNUMBER(SEARCH(거래처별!$AE$8:$AE$307,$AB893))),거래처별!$A$8:$A$307),0))))</f>
        <v/>
      </c>
      <c r="AD893" s="31">
        <f>IF(AND($Y893&lt;&gt;"",N($Z893)&gt;0,$AC893=0),MAX($AD$7:$AD892)+1,"")</f>
        <v/>
      </c>
      <c r="AE893" s="31">
        <f>IF($Y893="",0,$Y893)</f>
        <v/>
      </c>
    </row>
    <row r="894">
      <c r="W894" s="31">
        <f>IF(OR($B$5="",$C$6="",ROW()&lt;$B$5),"",IF(INDEX($A:$U,ROW(),$C$6)="","",INDEX($A:$U,ROW(),$C$6)))</f>
        <v/>
      </c>
      <c r="X894" s="32">
        <f>IF($W894="","",IF(ISNUMBER($W894),IF($W894&gt;=10000000,IFERROR(DATE(INT($W894/10000),MOD(INT($W894/100),100),MOD($W894,100)),""),INT($W894)),IFERROR(DATE(--LEFT(LEFT(SUBSTITUTE(SUBSTITUTE(SUBSTITUTE(SUBSTITUTE(TRIM($W894),"-",""),".",""),"/","")," ",""),8),4),--MID(LEFT(SUBSTITUTE(SUBSTITUTE(SUBSTITUTE(SUBSTITUTE(TRIM($W894),"-",""),".",""),"/","")," ",""),8),5,2),--MID(LEFT(SUBSTITUTE(SUBSTITUTE(SUBSTITUTE(SUBSTITUTE(TRIM($W894),"-",""),".",""),"/","")," ",""),8),7,2)),"")))</f>
        <v/>
      </c>
      <c r="Y894" s="32">
        <f>IF($X894="","",INT($X894))</f>
        <v/>
      </c>
      <c r="Z894" s="33">
        <f>IF(OR($Y894="",$D$6=""),"",IF(INDEX($A:$U,ROW(),$D$6)="",0,IF(ISNUMBER(INDEX($A:$U,ROW(),$D$6)),INDEX($A:$U,ROW(),$D$6),IFERROR(--SUBSTITUTE(SUBSTITUTE(TRIM(INDEX($A:$U,ROW(),$D$6)),",",""),"원",""),0))))</f>
        <v/>
      </c>
      <c r="AA894" s="31">
        <f>IF($Y894="","",TRIM(INDEX($A:$U,ROW(),$E$6)&amp;IF($F$6="",""," "&amp;INDEX($A:$U,ROW(),$F$6))))</f>
        <v/>
      </c>
      <c r="AB894" s="31">
        <f>IF($AA894="","",SUBSTITUTE(SUBSTITUTE(SUBSTITUTE(SUBSTITUTE(SUBSTITUTE(SUBSTITUTE(SUBSTITUTE(SUBSTITUTE(SUBSTITUTE($AA894," ",""),"　",""),"(주)",""),"（주）",""),"㈜",""),"주식회사",""),"(유)",""),"（유）",""),"유한회사",""))</f>
        <v/>
      </c>
      <c r="AC894" s="31">
        <f>IF(OR($Y894="",N($Z894)&lt;=0,$AB894=""),0,IFERROR(LOOKUP(2,1/((거래처별!$AC$8:$AC$307&lt;&gt;"")*ISNUMBER(SEARCH(거래처별!$AC$8:$AC$307,$AB894))),거래처별!$A$8:$A$307),IFERROR(LOOKUP(2,1/((거래처별!$AD$8:$AD$307&lt;&gt;"")*ISNUMBER(SEARCH(거래처별!$AD$8:$AD$307,$AB894))),거래처별!$A$8:$A$307),IFERROR(LOOKUP(2,1/((거래처별!$AE$8:$AE$307&lt;&gt;"")*ISNUMBER(SEARCH(거래처별!$AE$8:$AE$307,$AB894))),거래처별!$A$8:$A$307),0))))</f>
        <v/>
      </c>
      <c r="AD894" s="31">
        <f>IF(AND($Y894&lt;&gt;"",N($Z894)&gt;0,$AC894=0),MAX($AD$7:$AD893)+1,"")</f>
        <v/>
      </c>
      <c r="AE894" s="31">
        <f>IF($Y894="",0,$Y894)</f>
        <v/>
      </c>
    </row>
    <row r="895">
      <c r="W895" s="31">
        <f>IF(OR($B$5="",$C$6="",ROW()&lt;$B$5),"",IF(INDEX($A:$U,ROW(),$C$6)="","",INDEX($A:$U,ROW(),$C$6)))</f>
        <v/>
      </c>
      <c r="X895" s="32">
        <f>IF($W895="","",IF(ISNUMBER($W895),IF($W895&gt;=10000000,IFERROR(DATE(INT($W895/10000),MOD(INT($W895/100),100),MOD($W895,100)),""),INT($W895)),IFERROR(DATE(--LEFT(LEFT(SUBSTITUTE(SUBSTITUTE(SUBSTITUTE(SUBSTITUTE(TRIM($W895),"-",""),".",""),"/","")," ",""),8),4),--MID(LEFT(SUBSTITUTE(SUBSTITUTE(SUBSTITUTE(SUBSTITUTE(TRIM($W895),"-",""),".",""),"/","")," ",""),8),5,2),--MID(LEFT(SUBSTITUTE(SUBSTITUTE(SUBSTITUTE(SUBSTITUTE(TRIM($W895),"-",""),".",""),"/","")," ",""),8),7,2)),"")))</f>
        <v/>
      </c>
      <c r="Y895" s="32">
        <f>IF($X895="","",INT($X895))</f>
        <v/>
      </c>
      <c r="Z895" s="33">
        <f>IF(OR($Y895="",$D$6=""),"",IF(INDEX($A:$U,ROW(),$D$6)="",0,IF(ISNUMBER(INDEX($A:$U,ROW(),$D$6)),INDEX($A:$U,ROW(),$D$6),IFERROR(--SUBSTITUTE(SUBSTITUTE(TRIM(INDEX($A:$U,ROW(),$D$6)),",",""),"원",""),0))))</f>
        <v/>
      </c>
      <c r="AA895" s="31">
        <f>IF($Y895="","",TRIM(INDEX($A:$U,ROW(),$E$6)&amp;IF($F$6="",""," "&amp;INDEX($A:$U,ROW(),$F$6))))</f>
        <v/>
      </c>
      <c r="AB895" s="31">
        <f>IF($AA895="","",SUBSTITUTE(SUBSTITUTE(SUBSTITUTE(SUBSTITUTE(SUBSTITUTE(SUBSTITUTE(SUBSTITUTE(SUBSTITUTE(SUBSTITUTE($AA895," ",""),"　",""),"(주)",""),"（주）",""),"㈜",""),"주식회사",""),"(유)",""),"（유）",""),"유한회사",""))</f>
        <v/>
      </c>
      <c r="AC895" s="31">
        <f>IF(OR($Y895="",N($Z895)&lt;=0,$AB895=""),0,IFERROR(LOOKUP(2,1/((거래처별!$AC$8:$AC$307&lt;&gt;"")*ISNUMBER(SEARCH(거래처별!$AC$8:$AC$307,$AB895))),거래처별!$A$8:$A$307),IFERROR(LOOKUP(2,1/((거래처별!$AD$8:$AD$307&lt;&gt;"")*ISNUMBER(SEARCH(거래처별!$AD$8:$AD$307,$AB895))),거래처별!$A$8:$A$307),IFERROR(LOOKUP(2,1/((거래처별!$AE$8:$AE$307&lt;&gt;"")*ISNUMBER(SEARCH(거래처별!$AE$8:$AE$307,$AB895))),거래처별!$A$8:$A$307),0))))</f>
        <v/>
      </c>
      <c r="AD895" s="31">
        <f>IF(AND($Y895&lt;&gt;"",N($Z895)&gt;0,$AC895=0),MAX($AD$7:$AD894)+1,"")</f>
        <v/>
      </c>
      <c r="AE895" s="31">
        <f>IF($Y895="",0,$Y895)</f>
        <v/>
      </c>
    </row>
    <row r="896">
      <c r="W896" s="31">
        <f>IF(OR($B$5="",$C$6="",ROW()&lt;$B$5),"",IF(INDEX($A:$U,ROW(),$C$6)="","",INDEX($A:$U,ROW(),$C$6)))</f>
        <v/>
      </c>
      <c r="X896" s="32">
        <f>IF($W896="","",IF(ISNUMBER($W896),IF($W896&gt;=10000000,IFERROR(DATE(INT($W896/10000),MOD(INT($W896/100),100),MOD($W896,100)),""),INT($W896)),IFERROR(DATE(--LEFT(LEFT(SUBSTITUTE(SUBSTITUTE(SUBSTITUTE(SUBSTITUTE(TRIM($W896),"-",""),".",""),"/","")," ",""),8),4),--MID(LEFT(SUBSTITUTE(SUBSTITUTE(SUBSTITUTE(SUBSTITUTE(TRIM($W896),"-",""),".",""),"/","")," ",""),8),5,2),--MID(LEFT(SUBSTITUTE(SUBSTITUTE(SUBSTITUTE(SUBSTITUTE(TRIM($W896),"-",""),".",""),"/","")," ",""),8),7,2)),"")))</f>
        <v/>
      </c>
      <c r="Y896" s="32">
        <f>IF($X896="","",INT($X896))</f>
        <v/>
      </c>
      <c r="Z896" s="33">
        <f>IF(OR($Y896="",$D$6=""),"",IF(INDEX($A:$U,ROW(),$D$6)="",0,IF(ISNUMBER(INDEX($A:$U,ROW(),$D$6)),INDEX($A:$U,ROW(),$D$6),IFERROR(--SUBSTITUTE(SUBSTITUTE(TRIM(INDEX($A:$U,ROW(),$D$6)),",",""),"원",""),0))))</f>
        <v/>
      </c>
      <c r="AA896" s="31">
        <f>IF($Y896="","",TRIM(INDEX($A:$U,ROW(),$E$6)&amp;IF($F$6="",""," "&amp;INDEX($A:$U,ROW(),$F$6))))</f>
        <v/>
      </c>
      <c r="AB896" s="31">
        <f>IF($AA896="","",SUBSTITUTE(SUBSTITUTE(SUBSTITUTE(SUBSTITUTE(SUBSTITUTE(SUBSTITUTE(SUBSTITUTE(SUBSTITUTE(SUBSTITUTE($AA896," ",""),"　",""),"(주)",""),"（주）",""),"㈜",""),"주식회사",""),"(유)",""),"（유）",""),"유한회사",""))</f>
        <v/>
      </c>
      <c r="AC896" s="31">
        <f>IF(OR($Y896="",N($Z896)&lt;=0,$AB896=""),0,IFERROR(LOOKUP(2,1/((거래처별!$AC$8:$AC$307&lt;&gt;"")*ISNUMBER(SEARCH(거래처별!$AC$8:$AC$307,$AB896))),거래처별!$A$8:$A$307),IFERROR(LOOKUP(2,1/((거래처별!$AD$8:$AD$307&lt;&gt;"")*ISNUMBER(SEARCH(거래처별!$AD$8:$AD$307,$AB896))),거래처별!$A$8:$A$307),IFERROR(LOOKUP(2,1/((거래처별!$AE$8:$AE$307&lt;&gt;"")*ISNUMBER(SEARCH(거래처별!$AE$8:$AE$307,$AB896))),거래처별!$A$8:$A$307),0))))</f>
        <v/>
      </c>
      <c r="AD896" s="31">
        <f>IF(AND($Y896&lt;&gt;"",N($Z896)&gt;0,$AC896=0),MAX($AD$7:$AD895)+1,"")</f>
        <v/>
      </c>
      <c r="AE896" s="31">
        <f>IF($Y896="",0,$Y896)</f>
        <v/>
      </c>
    </row>
    <row r="897">
      <c r="W897" s="31">
        <f>IF(OR($B$5="",$C$6="",ROW()&lt;$B$5),"",IF(INDEX($A:$U,ROW(),$C$6)="","",INDEX($A:$U,ROW(),$C$6)))</f>
        <v/>
      </c>
      <c r="X897" s="32">
        <f>IF($W897="","",IF(ISNUMBER($W897),IF($W897&gt;=10000000,IFERROR(DATE(INT($W897/10000),MOD(INT($W897/100),100),MOD($W897,100)),""),INT($W897)),IFERROR(DATE(--LEFT(LEFT(SUBSTITUTE(SUBSTITUTE(SUBSTITUTE(SUBSTITUTE(TRIM($W897),"-",""),".",""),"/","")," ",""),8),4),--MID(LEFT(SUBSTITUTE(SUBSTITUTE(SUBSTITUTE(SUBSTITUTE(TRIM($W897),"-",""),".",""),"/","")," ",""),8),5,2),--MID(LEFT(SUBSTITUTE(SUBSTITUTE(SUBSTITUTE(SUBSTITUTE(TRIM($W897),"-",""),".",""),"/","")," ",""),8),7,2)),"")))</f>
        <v/>
      </c>
      <c r="Y897" s="32">
        <f>IF($X897="","",INT($X897))</f>
        <v/>
      </c>
      <c r="Z897" s="33">
        <f>IF(OR($Y897="",$D$6=""),"",IF(INDEX($A:$U,ROW(),$D$6)="",0,IF(ISNUMBER(INDEX($A:$U,ROW(),$D$6)),INDEX($A:$U,ROW(),$D$6),IFERROR(--SUBSTITUTE(SUBSTITUTE(TRIM(INDEX($A:$U,ROW(),$D$6)),",",""),"원",""),0))))</f>
        <v/>
      </c>
      <c r="AA897" s="31">
        <f>IF($Y897="","",TRIM(INDEX($A:$U,ROW(),$E$6)&amp;IF($F$6="",""," "&amp;INDEX($A:$U,ROW(),$F$6))))</f>
        <v/>
      </c>
      <c r="AB897" s="31">
        <f>IF($AA897="","",SUBSTITUTE(SUBSTITUTE(SUBSTITUTE(SUBSTITUTE(SUBSTITUTE(SUBSTITUTE(SUBSTITUTE(SUBSTITUTE(SUBSTITUTE($AA897," ",""),"　",""),"(주)",""),"（주）",""),"㈜",""),"주식회사",""),"(유)",""),"（유）",""),"유한회사",""))</f>
        <v/>
      </c>
      <c r="AC897" s="31">
        <f>IF(OR($Y897="",N($Z897)&lt;=0,$AB897=""),0,IFERROR(LOOKUP(2,1/((거래처별!$AC$8:$AC$307&lt;&gt;"")*ISNUMBER(SEARCH(거래처별!$AC$8:$AC$307,$AB897))),거래처별!$A$8:$A$307),IFERROR(LOOKUP(2,1/((거래처별!$AD$8:$AD$307&lt;&gt;"")*ISNUMBER(SEARCH(거래처별!$AD$8:$AD$307,$AB897))),거래처별!$A$8:$A$307),IFERROR(LOOKUP(2,1/((거래처별!$AE$8:$AE$307&lt;&gt;"")*ISNUMBER(SEARCH(거래처별!$AE$8:$AE$307,$AB897))),거래처별!$A$8:$A$307),0))))</f>
        <v/>
      </c>
      <c r="AD897" s="31">
        <f>IF(AND($Y897&lt;&gt;"",N($Z897)&gt;0,$AC897=0),MAX($AD$7:$AD896)+1,"")</f>
        <v/>
      </c>
      <c r="AE897" s="31">
        <f>IF($Y897="",0,$Y897)</f>
        <v/>
      </c>
    </row>
    <row r="898">
      <c r="W898" s="31">
        <f>IF(OR($B$5="",$C$6="",ROW()&lt;$B$5),"",IF(INDEX($A:$U,ROW(),$C$6)="","",INDEX($A:$U,ROW(),$C$6)))</f>
        <v/>
      </c>
      <c r="X898" s="32">
        <f>IF($W898="","",IF(ISNUMBER($W898),IF($W898&gt;=10000000,IFERROR(DATE(INT($W898/10000),MOD(INT($W898/100),100),MOD($W898,100)),""),INT($W898)),IFERROR(DATE(--LEFT(LEFT(SUBSTITUTE(SUBSTITUTE(SUBSTITUTE(SUBSTITUTE(TRIM($W898),"-",""),".",""),"/","")," ",""),8),4),--MID(LEFT(SUBSTITUTE(SUBSTITUTE(SUBSTITUTE(SUBSTITUTE(TRIM($W898),"-",""),".",""),"/","")," ",""),8),5,2),--MID(LEFT(SUBSTITUTE(SUBSTITUTE(SUBSTITUTE(SUBSTITUTE(TRIM($W898),"-",""),".",""),"/","")," ",""),8),7,2)),"")))</f>
        <v/>
      </c>
      <c r="Y898" s="32">
        <f>IF($X898="","",INT($X898))</f>
        <v/>
      </c>
      <c r="Z898" s="33">
        <f>IF(OR($Y898="",$D$6=""),"",IF(INDEX($A:$U,ROW(),$D$6)="",0,IF(ISNUMBER(INDEX($A:$U,ROW(),$D$6)),INDEX($A:$U,ROW(),$D$6),IFERROR(--SUBSTITUTE(SUBSTITUTE(TRIM(INDEX($A:$U,ROW(),$D$6)),",",""),"원",""),0))))</f>
        <v/>
      </c>
      <c r="AA898" s="31">
        <f>IF($Y898="","",TRIM(INDEX($A:$U,ROW(),$E$6)&amp;IF($F$6="",""," "&amp;INDEX($A:$U,ROW(),$F$6))))</f>
        <v/>
      </c>
      <c r="AB898" s="31">
        <f>IF($AA898="","",SUBSTITUTE(SUBSTITUTE(SUBSTITUTE(SUBSTITUTE(SUBSTITUTE(SUBSTITUTE(SUBSTITUTE(SUBSTITUTE(SUBSTITUTE($AA898," ",""),"　",""),"(주)",""),"（주）",""),"㈜",""),"주식회사",""),"(유)",""),"（유）",""),"유한회사",""))</f>
        <v/>
      </c>
      <c r="AC898" s="31">
        <f>IF(OR($Y898="",N($Z898)&lt;=0,$AB898=""),0,IFERROR(LOOKUP(2,1/((거래처별!$AC$8:$AC$307&lt;&gt;"")*ISNUMBER(SEARCH(거래처별!$AC$8:$AC$307,$AB898))),거래처별!$A$8:$A$307),IFERROR(LOOKUP(2,1/((거래처별!$AD$8:$AD$307&lt;&gt;"")*ISNUMBER(SEARCH(거래처별!$AD$8:$AD$307,$AB898))),거래처별!$A$8:$A$307),IFERROR(LOOKUP(2,1/((거래처별!$AE$8:$AE$307&lt;&gt;"")*ISNUMBER(SEARCH(거래처별!$AE$8:$AE$307,$AB898))),거래처별!$A$8:$A$307),0))))</f>
        <v/>
      </c>
      <c r="AD898" s="31">
        <f>IF(AND($Y898&lt;&gt;"",N($Z898)&gt;0,$AC898=0),MAX($AD$7:$AD897)+1,"")</f>
        <v/>
      </c>
      <c r="AE898" s="31">
        <f>IF($Y898="",0,$Y898)</f>
        <v/>
      </c>
    </row>
    <row r="899">
      <c r="W899" s="31">
        <f>IF(OR($B$5="",$C$6="",ROW()&lt;$B$5),"",IF(INDEX($A:$U,ROW(),$C$6)="","",INDEX($A:$U,ROW(),$C$6)))</f>
        <v/>
      </c>
      <c r="X899" s="32">
        <f>IF($W899="","",IF(ISNUMBER($W899),IF($W899&gt;=10000000,IFERROR(DATE(INT($W899/10000),MOD(INT($W899/100),100),MOD($W899,100)),""),INT($W899)),IFERROR(DATE(--LEFT(LEFT(SUBSTITUTE(SUBSTITUTE(SUBSTITUTE(SUBSTITUTE(TRIM($W899),"-",""),".",""),"/","")," ",""),8),4),--MID(LEFT(SUBSTITUTE(SUBSTITUTE(SUBSTITUTE(SUBSTITUTE(TRIM($W899),"-",""),".",""),"/","")," ",""),8),5,2),--MID(LEFT(SUBSTITUTE(SUBSTITUTE(SUBSTITUTE(SUBSTITUTE(TRIM($W899),"-",""),".",""),"/","")," ",""),8),7,2)),"")))</f>
        <v/>
      </c>
      <c r="Y899" s="32">
        <f>IF($X899="","",INT($X899))</f>
        <v/>
      </c>
      <c r="Z899" s="33">
        <f>IF(OR($Y899="",$D$6=""),"",IF(INDEX($A:$U,ROW(),$D$6)="",0,IF(ISNUMBER(INDEX($A:$U,ROW(),$D$6)),INDEX($A:$U,ROW(),$D$6),IFERROR(--SUBSTITUTE(SUBSTITUTE(TRIM(INDEX($A:$U,ROW(),$D$6)),",",""),"원",""),0))))</f>
        <v/>
      </c>
      <c r="AA899" s="31">
        <f>IF($Y899="","",TRIM(INDEX($A:$U,ROW(),$E$6)&amp;IF($F$6="",""," "&amp;INDEX($A:$U,ROW(),$F$6))))</f>
        <v/>
      </c>
      <c r="AB899" s="31">
        <f>IF($AA899="","",SUBSTITUTE(SUBSTITUTE(SUBSTITUTE(SUBSTITUTE(SUBSTITUTE(SUBSTITUTE(SUBSTITUTE(SUBSTITUTE(SUBSTITUTE($AA899," ",""),"　",""),"(주)",""),"（주）",""),"㈜",""),"주식회사",""),"(유)",""),"（유）",""),"유한회사",""))</f>
        <v/>
      </c>
      <c r="AC899" s="31">
        <f>IF(OR($Y899="",N($Z899)&lt;=0,$AB899=""),0,IFERROR(LOOKUP(2,1/((거래처별!$AC$8:$AC$307&lt;&gt;"")*ISNUMBER(SEARCH(거래처별!$AC$8:$AC$307,$AB899))),거래처별!$A$8:$A$307),IFERROR(LOOKUP(2,1/((거래처별!$AD$8:$AD$307&lt;&gt;"")*ISNUMBER(SEARCH(거래처별!$AD$8:$AD$307,$AB899))),거래처별!$A$8:$A$307),IFERROR(LOOKUP(2,1/((거래처별!$AE$8:$AE$307&lt;&gt;"")*ISNUMBER(SEARCH(거래처별!$AE$8:$AE$307,$AB899))),거래처별!$A$8:$A$307),0))))</f>
        <v/>
      </c>
      <c r="AD899" s="31">
        <f>IF(AND($Y899&lt;&gt;"",N($Z899)&gt;0,$AC899=0),MAX($AD$7:$AD898)+1,"")</f>
        <v/>
      </c>
      <c r="AE899" s="31">
        <f>IF($Y899="",0,$Y899)</f>
        <v/>
      </c>
    </row>
    <row r="900">
      <c r="W900" s="31">
        <f>IF(OR($B$5="",$C$6="",ROW()&lt;$B$5),"",IF(INDEX($A:$U,ROW(),$C$6)="","",INDEX($A:$U,ROW(),$C$6)))</f>
        <v/>
      </c>
      <c r="X900" s="32">
        <f>IF($W900="","",IF(ISNUMBER($W900),IF($W900&gt;=10000000,IFERROR(DATE(INT($W900/10000),MOD(INT($W900/100),100),MOD($W900,100)),""),INT($W900)),IFERROR(DATE(--LEFT(LEFT(SUBSTITUTE(SUBSTITUTE(SUBSTITUTE(SUBSTITUTE(TRIM($W900),"-",""),".",""),"/","")," ",""),8),4),--MID(LEFT(SUBSTITUTE(SUBSTITUTE(SUBSTITUTE(SUBSTITUTE(TRIM($W900),"-",""),".",""),"/","")," ",""),8),5,2),--MID(LEFT(SUBSTITUTE(SUBSTITUTE(SUBSTITUTE(SUBSTITUTE(TRIM($W900),"-",""),".",""),"/","")," ",""),8),7,2)),"")))</f>
        <v/>
      </c>
      <c r="Y900" s="32">
        <f>IF($X900="","",INT($X900))</f>
        <v/>
      </c>
      <c r="Z900" s="33">
        <f>IF(OR($Y900="",$D$6=""),"",IF(INDEX($A:$U,ROW(),$D$6)="",0,IF(ISNUMBER(INDEX($A:$U,ROW(),$D$6)),INDEX($A:$U,ROW(),$D$6),IFERROR(--SUBSTITUTE(SUBSTITUTE(TRIM(INDEX($A:$U,ROW(),$D$6)),",",""),"원",""),0))))</f>
        <v/>
      </c>
      <c r="AA900" s="31">
        <f>IF($Y900="","",TRIM(INDEX($A:$U,ROW(),$E$6)&amp;IF($F$6="",""," "&amp;INDEX($A:$U,ROW(),$F$6))))</f>
        <v/>
      </c>
      <c r="AB900" s="31">
        <f>IF($AA900="","",SUBSTITUTE(SUBSTITUTE(SUBSTITUTE(SUBSTITUTE(SUBSTITUTE(SUBSTITUTE(SUBSTITUTE(SUBSTITUTE(SUBSTITUTE($AA900," ",""),"　",""),"(주)",""),"（주）",""),"㈜",""),"주식회사",""),"(유)",""),"（유）",""),"유한회사",""))</f>
        <v/>
      </c>
      <c r="AC900" s="31">
        <f>IF(OR($Y900="",N($Z900)&lt;=0,$AB900=""),0,IFERROR(LOOKUP(2,1/((거래처별!$AC$8:$AC$307&lt;&gt;"")*ISNUMBER(SEARCH(거래처별!$AC$8:$AC$307,$AB900))),거래처별!$A$8:$A$307),IFERROR(LOOKUP(2,1/((거래처별!$AD$8:$AD$307&lt;&gt;"")*ISNUMBER(SEARCH(거래처별!$AD$8:$AD$307,$AB900))),거래처별!$A$8:$A$307),IFERROR(LOOKUP(2,1/((거래처별!$AE$8:$AE$307&lt;&gt;"")*ISNUMBER(SEARCH(거래처별!$AE$8:$AE$307,$AB900))),거래처별!$A$8:$A$307),0))))</f>
        <v/>
      </c>
      <c r="AD900" s="31">
        <f>IF(AND($Y900&lt;&gt;"",N($Z900)&gt;0,$AC900=0),MAX($AD$7:$AD899)+1,"")</f>
        <v/>
      </c>
      <c r="AE900" s="31">
        <f>IF($Y900="",0,$Y900)</f>
        <v/>
      </c>
    </row>
    <row r="901">
      <c r="W901" s="31">
        <f>IF(OR($B$5="",$C$6="",ROW()&lt;$B$5),"",IF(INDEX($A:$U,ROW(),$C$6)="","",INDEX($A:$U,ROW(),$C$6)))</f>
        <v/>
      </c>
      <c r="X901" s="32">
        <f>IF($W901="","",IF(ISNUMBER($W901),IF($W901&gt;=10000000,IFERROR(DATE(INT($W901/10000),MOD(INT($W901/100),100),MOD($W901,100)),""),INT($W901)),IFERROR(DATE(--LEFT(LEFT(SUBSTITUTE(SUBSTITUTE(SUBSTITUTE(SUBSTITUTE(TRIM($W901),"-",""),".",""),"/","")," ",""),8),4),--MID(LEFT(SUBSTITUTE(SUBSTITUTE(SUBSTITUTE(SUBSTITUTE(TRIM($W901),"-",""),".",""),"/","")," ",""),8),5,2),--MID(LEFT(SUBSTITUTE(SUBSTITUTE(SUBSTITUTE(SUBSTITUTE(TRIM($W901),"-",""),".",""),"/","")," ",""),8),7,2)),"")))</f>
        <v/>
      </c>
      <c r="Y901" s="32">
        <f>IF($X901="","",INT($X901))</f>
        <v/>
      </c>
      <c r="Z901" s="33">
        <f>IF(OR($Y901="",$D$6=""),"",IF(INDEX($A:$U,ROW(),$D$6)="",0,IF(ISNUMBER(INDEX($A:$U,ROW(),$D$6)),INDEX($A:$U,ROW(),$D$6),IFERROR(--SUBSTITUTE(SUBSTITUTE(TRIM(INDEX($A:$U,ROW(),$D$6)),",",""),"원",""),0))))</f>
        <v/>
      </c>
      <c r="AA901" s="31">
        <f>IF($Y901="","",TRIM(INDEX($A:$U,ROW(),$E$6)&amp;IF($F$6="",""," "&amp;INDEX($A:$U,ROW(),$F$6))))</f>
        <v/>
      </c>
      <c r="AB901" s="31">
        <f>IF($AA901="","",SUBSTITUTE(SUBSTITUTE(SUBSTITUTE(SUBSTITUTE(SUBSTITUTE(SUBSTITUTE(SUBSTITUTE(SUBSTITUTE(SUBSTITUTE($AA901," ",""),"　",""),"(주)",""),"（주）",""),"㈜",""),"주식회사",""),"(유)",""),"（유）",""),"유한회사",""))</f>
        <v/>
      </c>
      <c r="AC901" s="31">
        <f>IF(OR($Y901="",N($Z901)&lt;=0,$AB901=""),0,IFERROR(LOOKUP(2,1/((거래처별!$AC$8:$AC$307&lt;&gt;"")*ISNUMBER(SEARCH(거래처별!$AC$8:$AC$307,$AB901))),거래처별!$A$8:$A$307),IFERROR(LOOKUP(2,1/((거래처별!$AD$8:$AD$307&lt;&gt;"")*ISNUMBER(SEARCH(거래처별!$AD$8:$AD$307,$AB901))),거래처별!$A$8:$A$307),IFERROR(LOOKUP(2,1/((거래처별!$AE$8:$AE$307&lt;&gt;"")*ISNUMBER(SEARCH(거래처별!$AE$8:$AE$307,$AB901))),거래처별!$A$8:$A$307),0))))</f>
        <v/>
      </c>
      <c r="AD901" s="31">
        <f>IF(AND($Y901&lt;&gt;"",N($Z901)&gt;0,$AC901=0),MAX($AD$7:$AD900)+1,"")</f>
        <v/>
      </c>
      <c r="AE901" s="31">
        <f>IF($Y901="",0,$Y901)</f>
        <v/>
      </c>
    </row>
    <row r="902">
      <c r="W902" s="31">
        <f>IF(OR($B$5="",$C$6="",ROW()&lt;$B$5),"",IF(INDEX($A:$U,ROW(),$C$6)="","",INDEX($A:$U,ROW(),$C$6)))</f>
        <v/>
      </c>
      <c r="X902" s="32">
        <f>IF($W902="","",IF(ISNUMBER($W902),IF($W902&gt;=10000000,IFERROR(DATE(INT($W902/10000),MOD(INT($W902/100),100),MOD($W902,100)),""),INT($W902)),IFERROR(DATE(--LEFT(LEFT(SUBSTITUTE(SUBSTITUTE(SUBSTITUTE(SUBSTITUTE(TRIM($W902),"-",""),".",""),"/","")," ",""),8),4),--MID(LEFT(SUBSTITUTE(SUBSTITUTE(SUBSTITUTE(SUBSTITUTE(TRIM($W902),"-",""),".",""),"/","")," ",""),8),5,2),--MID(LEFT(SUBSTITUTE(SUBSTITUTE(SUBSTITUTE(SUBSTITUTE(TRIM($W902),"-",""),".",""),"/","")," ",""),8),7,2)),"")))</f>
        <v/>
      </c>
      <c r="Y902" s="32">
        <f>IF($X902="","",INT($X902))</f>
        <v/>
      </c>
      <c r="Z902" s="33">
        <f>IF(OR($Y902="",$D$6=""),"",IF(INDEX($A:$U,ROW(),$D$6)="",0,IF(ISNUMBER(INDEX($A:$U,ROW(),$D$6)),INDEX($A:$U,ROW(),$D$6),IFERROR(--SUBSTITUTE(SUBSTITUTE(TRIM(INDEX($A:$U,ROW(),$D$6)),",",""),"원",""),0))))</f>
        <v/>
      </c>
      <c r="AA902" s="31">
        <f>IF($Y902="","",TRIM(INDEX($A:$U,ROW(),$E$6)&amp;IF($F$6="",""," "&amp;INDEX($A:$U,ROW(),$F$6))))</f>
        <v/>
      </c>
      <c r="AB902" s="31">
        <f>IF($AA902="","",SUBSTITUTE(SUBSTITUTE(SUBSTITUTE(SUBSTITUTE(SUBSTITUTE(SUBSTITUTE(SUBSTITUTE(SUBSTITUTE(SUBSTITUTE($AA902," ",""),"　",""),"(주)",""),"（주）",""),"㈜",""),"주식회사",""),"(유)",""),"（유）",""),"유한회사",""))</f>
        <v/>
      </c>
      <c r="AC902" s="31">
        <f>IF(OR($Y902="",N($Z902)&lt;=0,$AB902=""),0,IFERROR(LOOKUP(2,1/((거래처별!$AC$8:$AC$307&lt;&gt;"")*ISNUMBER(SEARCH(거래처별!$AC$8:$AC$307,$AB902))),거래처별!$A$8:$A$307),IFERROR(LOOKUP(2,1/((거래처별!$AD$8:$AD$307&lt;&gt;"")*ISNUMBER(SEARCH(거래처별!$AD$8:$AD$307,$AB902))),거래처별!$A$8:$A$307),IFERROR(LOOKUP(2,1/((거래처별!$AE$8:$AE$307&lt;&gt;"")*ISNUMBER(SEARCH(거래처별!$AE$8:$AE$307,$AB902))),거래처별!$A$8:$A$307),0))))</f>
        <v/>
      </c>
      <c r="AD902" s="31">
        <f>IF(AND($Y902&lt;&gt;"",N($Z902)&gt;0,$AC902=0),MAX($AD$7:$AD901)+1,"")</f>
        <v/>
      </c>
      <c r="AE902" s="31">
        <f>IF($Y902="",0,$Y902)</f>
        <v/>
      </c>
    </row>
    <row r="903">
      <c r="W903" s="31">
        <f>IF(OR($B$5="",$C$6="",ROW()&lt;$B$5),"",IF(INDEX($A:$U,ROW(),$C$6)="","",INDEX($A:$U,ROW(),$C$6)))</f>
        <v/>
      </c>
      <c r="X903" s="32">
        <f>IF($W903="","",IF(ISNUMBER($W903),IF($W903&gt;=10000000,IFERROR(DATE(INT($W903/10000),MOD(INT($W903/100),100),MOD($W903,100)),""),INT($W903)),IFERROR(DATE(--LEFT(LEFT(SUBSTITUTE(SUBSTITUTE(SUBSTITUTE(SUBSTITUTE(TRIM($W903),"-",""),".",""),"/","")," ",""),8),4),--MID(LEFT(SUBSTITUTE(SUBSTITUTE(SUBSTITUTE(SUBSTITUTE(TRIM($W903),"-",""),".",""),"/","")," ",""),8),5,2),--MID(LEFT(SUBSTITUTE(SUBSTITUTE(SUBSTITUTE(SUBSTITUTE(TRIM($W903),"-",""),".",""),"/","")," ",""),8),7,2)),"")))</f>
        <v/>
      </c>
      <c r="Y903" s="32">
        <f>IF($X903="","",INT($X903))</f>
        <v/>
      </c>
      <c r="Z903" s="33">
        <f>IF(OR($Y903="",$D$6=""),"",IF(INDEX($A:$U,ROW(),$D$6)="",0,IF(ISNUMBER(INDEX($A:$U,ROW(),$D$6)),INDEX($A:$U,ROW(),$D$6),IFERROR(--SUBSTITUTE(SUBSTITUTE(TRIM(INDEX($A:$U,ROW(),$D$6)),",",""),"원",""),0))))</f>
        <v/>
      </c>
      <c r="AA903" s="31">
        <f>IF($Y903="","",TRIM(INDEX($A:$U,ROW(),$E$6)&amp;IF($F$6="",""," "&amp;INDEX($A:$U,ROW(),$F$6))))</f>
        <v/>
      </c>
      <c r="AB903" s="31">
        <f>IF($AA903="","",SUBSTITUTE(SUBSTITUTE(SUBSTITUTE(SUBSTITUTE(SUBSTITUTE(SUBSTITUTE(SUBSTITUTE(SUBSTITUTE(SUBSTITUTE($AA903," ",""),"　",""),"(주)",""),"（주）",""),"㈜",""),"주식회사",""),"(유)",""),"（유）",""),"유한회사",""))</f>
        <v/>
      </c>
      <c r="AC903" s="31">
        <f>IF(OR($Y903="",N($Z903)&lt;=0,$AB903=""),0,IFERROR(LOOKUP(2,1/((거래처별!$AC$8:$AC$307&lt;&gt;"")*ISNUMBER(SEARCH(거래처별!$AC$8:$AC$307,$AB903))),거래처별!$A$8:$A$307),IFERROR(LOOKUP(2,1/((거래처별!$AD$8:$AD$307&lt;&gt;"")*ISNUMBER(SEARCH(거래처별!$AD$8:$AD$307,$AB903))),거래처별!$A$8:$A$307),IFERROR(LOOKUP(2,1/((거래처별!$AE$8:$AE$307&lt;&gt;"")*ISNUMBER(SEARCH(거래처별!$AE$8:$AE$307,$AB903))),거래처별!$A$8:$A$307),0))))</f>
        <v/>
      </c>
      <c r="AD903" s="31">
        <f>IF(AND($Y903&lt;&gt;"",N($Z903)&gt;0,$AC903=0),MAX($AD$7:$AD902)+1,"")</f>
        <v/>
      </c>
      <c r="AE903" s="31">
        <f>IF($Y903="",0,$Y903)</f>
        <v/>
      </c>
    </row>
    <row r="904">
      <c r="W904" s="31">
        <f>IF(OR($B$5="",$C$6="",ROW()&lt;$B$5),"",IF(INDEX($A:$U,ROW(),$C$6)="","",INDEX($A:$U,ROW(),$C$6)))</f>
        <v/>
      </c>
      <c r="X904" s="32">
        <f>IF($W904="","",IF(ISNUMBER($W904),IF($W904&gt;=10000000,IFERROR(DATE(INT($W904/10000),MOD(INT($W904/100),100),MOD($W904,100)),""),INT($W904)),IFERROR(DATE(--LEFT(LEFT(SUBSTITUTE(SUBSTITUTE(SUBSTITUTE(SUBSTITUTE(TRIM($W904),"-",""),".",""),"/","")," ",""),8),4),--MID(LEFT(SUBSTITUTE(SUBSTITUTE(SUBSTITUTE(SUBSTITUTE(TRIM($W904),"-",""),".",""),"/","")," ",""),8),5,2),--MID(LEFT(SUBSTITUTE(SUBSTITUTE(SUBSTITUTE(SUBSTITUTE(TRIM($W904),"-",""),".",""),"/","")," ",""),8),7,2)),"")))</f>
        <v/>
      </c>
      <c r="Y904" s="32">
        <f>IF($X904="","",INT($X904))</f>
        <v/>
      </c>
      <c r="Z904" s="33">
        <f>IF(OR($Y904="",$D$6=""),"",IF(INDEX($A:$U,ROW(),$D$6)="",0,IF(ISNUMBER(INDEX($A:$U,ROW(),$D$6)),INDEX($A:$U,ROW(),$D$6),IFERROR(--SUBSTITUTE(SUBSTITUTE(TRIM(INDEX($A:$U,ROW(),$D$6)),",",""),"원",""),0))))</f>
        <v/>
      </c>
      <c r="AA904" s="31">
        <f>IF($Y904="","",TRIM(INDEX($A:$U,ROW(),$E$6)&amp;IF($F$6="",""," "&amp;INDEX($A:$U,ROW(),$F$6))))</f>
        <v/>
      </c>
      <c r="AB904" s="31">
        <f>IF($AA904="","",SUBSTITUTE(SUBSTITUTE(SUBSTITUTE(SUBSTITUTE(SUBSTITUTE(SUBSTITUTE(SUBSTITUTE(SUBSTITUTE(SUBSTITUTE($AA904," ",""),"　",""),"(주)",""),"（주）",""),"㈜",""),"주식회사",""),"(유)",""),"（유）",""),"유한회사",""))</f>
        <v/>
      </c>
      <c r="AC904" s="31">
        <f>IF(OR($Y904="",N($Z904)&lt;=0,$AB904=""),0,IFERROR(LOOKUP(2,1/((거래처별!$AC$8:$AC$307&lt;&gt;"")*ISNUMBER(SEARCH(거래처별!$AC$8:$AC$307,$AB904))),거래처별!$A$8:$A$307),IFERROR(LOOKUP(2,1/((거래처별!$AD$8:$AD$307&lt;&gt;"")*ISNUMBER(SEARCH(거래처별!$AD$8:$AD$307,$AB904))),거래처별!$A$8:$A$307),IFERROR(LOOKUP(2,1/((거래처별!$AE$8:$AE$307&lt;&gt;"")*ISNUMBER(SEARCH(거래처별!$AE$8:$AE$307,$AB904))),거래처별!$A$8:$A$307),0))))</f>
        <v/>
      </c>
      <c r="AD904" s="31">
        <f>IF(AND($Y904&lt;&gt;"",N($Z904)&gt;0,$AC904=0),MAX($AD$7:$AD903)+1,"")</f>
        <v/>
      </c>
      <c r="AE904" s="31">
        <f>IF($Y904="",0,$Y904)</f>
        <v/>
      </c>
    </row>
    <row r="905">
      <c r="W905" s="31">
        <f>IF(OR($B$5="",$C$6="",ROW()&lt;$B$5),"",IF(INDEX($A:$U,ROW(),$C$6)="","",INDEX($A:$U,ROW(),$C$6)))</f>
        <v/>
      </c>
      <c r="X905" s="32">
        <f>IF($W905="","",IF(ISNUMBER($W905),IF($W905&gt;=10000000,IFERROR(DATE(INT($W905/10000),MOD(INT($W905/100),100),MOD($W905,100)),""),INT($W905)),IFERROR(DATE(--LEFT(LEFT(SUBSTITUTE(SUBSTITUTE(SUBSTITUTE(SUBSTITUTE(TRIM($W905),"-",""),".",""),"/","")," ",""),8),4),--MID(LEFT(SUBSTITUTE(SUBSTITUTE(SUBSTITUTE(SUBSTITUTE(TRIM($W905),"-",""),".",""),"/","")," ",""),8),5,2),--MID(LEFT(SUBSTITUTE(SUBSTITUTE(SUBSTITUTE(SUBSTITUTE(TRIM($W905),"-",""),".",""),"/","")," ",""),8),7,2)),"")))</f>
        <v/>
      </c>
      <c r="Y905" s="32">
        <f>IF($X905="","",INT($X905))</f>
        <v/>
      </c>
      <c r="Z905" s="33">
        <f>IF(OR($Y905="",$D$6=""),"",IF(INDEX($A:$U,ROW(),$D$6)="",0,IF(ISNUMBER(INDEX($A:$U,ROW(),$D$6)),INDEX($A:$U,ROW(),$D$6),IFERROR(--SUBSTITUTE(SUBSTITUTE(TRIM(INDEX($A:$U,ROW(),$D$6)),",",""),"원",""),0))))</f>
        <v/>
      </c>
      <c r="AA905" s="31">
        <f>IF($Y905="","",TRIM(INDEX($A:$U,ROW(),$E$6)&amp;IF($F$6="",""," "&amp;INDEX($A:$U,ROW(),$F$6))))</f>
        <v/>
      </c>
      <c r="AB905" s="31">
        <f>IF($AA905="","",SUBSTITUTE(SUBSTITUTE(SUBSTITUTE(SUBSTITUTE(SUBSTITUTE(SUBSTITUTE(SUBSTITUTE(SUBSTITUTE(SUBSTITUTE($AA905," ",""),"　",""),"(주)",""),"（주）",""),"㈜",""),"주식회사",""),"(유)",""),"（유）",""),"유한회사",""))</f>
        <v/>
      </c>
      <c r="AC905" s="31">
        <f>IF(OR($Y905="",N($Z905)&lt;=0,$AB905=""),0,IFERROR(LOOKUP(2,1/((거래처별!$AC$8:$AC$307&lt;&gt;"")*ISNUMBER(SEARCH(거래처별!$AC$8:$AC$307,$AB905))),거래처별!$A$8:$A$307),IFERROR(LOOKUP(2,1/((거래처별!$AD$8:$AD$307&lt;&gt;"")*ISNUMBER(SEARCH(거래처별!$AD$8:$AD$307,$AB905))),거래처별!$A$8:$A$307),IFERROR(LOOKUP(2,1/((거래처별!$AE$8:$AE$307&lt;&gt;"")*ISNUMBER(SEARCH(거래처별!$AE$8:$AE$307,$AB905))),거래처별!$A$8:$A$307),0))))</f>
        <v/>
      </c>
      <c r="AD905" s="31">
        <f>IF(AND($Y905&lt;&gt;"",N($Z905)&gt;0,$AC905=0),MAX($AD$7:$AD904)+1,"")</f>
        <v/>
      </c>
      <c r="AE905" s="31">
        <f>IF($Y905="",0,$Y905)</f>
        <v/>
      </c>
    </row>
    <row r="906">
      <c r="W906" s="31">
        <f>IF(OR($B$5="",$C$6="",ROW()&lt;$B$5),"",IF(INDEX($A:$U,ROW(),$C$6)="","",INDEX($A:$U,ROW(),$C$6)))</f>
        <v/>
      </c>
      <c r="X906" s="32">
        <f>IF($W906="","",IF(ISNUMBER($W906),IF($W906&gt;=10000000,IFERROR(DATE(INT($W906/10000),MOD(INT($W906/100),100),MOD($W906,100)),""),INT($W906)),IFERROR(DATE(--LEFT(LEFT(SUBSTITUTE(SUBSTITUTE(SUBSTITUTE(SUBSTITUTE(TRIM($W906),"-",""),".",""),"/","")," ",""),8),4),--MID(LEFT(SUBSTITUTE(SUBSTITUTE(SUBSTITUTE(SUBSTITUTE(TRIM($W906),"-",""),".",""),"/","")," ",""),8),5,2),--MID(LEFT(SUBSTITUTE(SUBSTITUTE(SUBSTITUTE(SUBSTITUTE(TRIM($W906),"-",""),".",""),"/","")," ",""),8),7,2)),"")))</f>
        <v/>
      </c>
      <c r="Y906" s="32">
        <f>IF($X906="","",INT($X906))</f>
        <v/>
      </c>
      <c r="Z906" s="33">
        <f>IF(OR($Y906="",$D$6=""),"",IF(INDEX($A:$U,ROW(),$D$6)="",0,IF(ISNUMBER(INDEX($A:$U,ROW(),$D$6)),INDEX($A:$U,ROW(),$D$6),IFERROR(--SUBSTITUTE(SUBSTITUTE(TRIM(INDEX($A:$U,ROW(),$D$6)),",",""),"원",""),0))))</f>
        <v/>
      </c>
      <c r="AA906" s="31">
        <f>IF($Y906="","",TRIM(INDEX($A:$U,ROW(),$E$6)&amp;IF($F$6="",""," "&amp;INDEX($A:$U,ROW(),$F$6))))</f>
        <v/>
      </c>
      <c r="AB906" s="31">
        <f>IF($AA906="","",SUBSTITUTE(SUBSTITUTE(SUBSTITUTE(SUBSTITUTE(SUBSTITUTE(SUBSTITUTE(SUBSTITUTE(SUBSTITUTE(SUBSTITUTE($AA906," ",""),"　",""),"(주)",""),"（주）",""),"㈜",""),"주식회사",""),"(유)",""),"（유）",""),"유한회사",""))</f>
        <v/>
      </c>
      <c r="AC906" s="31">
        <f>IF(OR($Y906="",N($Z906)&lt;=0,$AB906=""),0,IFERROR(LOOKUP(2,1/((거래처별!$AC$8:$AC$307&lt;&gt;"")*ISNUMBER(SEARCH(거래처별!$AC$8:$AC$307,$AB906))),거래처별!$A$8:$A$307),IFERROR(LOOKUP(2,1/((거래처별!$AD$8:$AD$307&lt;&gt;"")*ISNUMBER(SEARCH(거래처별!$AD$8:$AD$307,$AB906))),거래처별!$A$8:$A$307),IFERROR(LOOKUP(2,1/((거래처별!$AE$8:$AE$307&lt;&gt;"")*ISNUMBER(SEARCH(거래처별!$AE$8:$AE$307,$AB906))),거래처별!$A$8:$A$307),0))))</f>
        <v/>
      </c>
      <c r="AD906" s="31">
        <f>IF(AND($Y906&lt;&gt;"",N($Z906)&gt;0,$AC906=0),MAX($AD$7:$AD905)+1,"")</f>
        <v/>
      </c>
      <c r="AE906" s="31">
        <f>IF($Y906="",0,$Y906)</f>
        <v/>
      </c>
    </row>
    <row r="907">
      <c r="W907" s="31">
        <f>IF(OR($B$5="",$C$6="",ROW()&lt;$B$5),"",IF(INDEX($A:$U,ROW(),$C$6)="","",INDEX($A:$U,ROW(),$C$6)))</f>
        <v/>
      </c>
      <c r="X907" s="32">
        <f>IF($W907="","",IF(ISNUMBER($W907),IF($W907&gt;=10000000,IFERROR(DATE(INT($W907/10000),MOD(INT($W907/100),100),MOD($W907,100)),""),INT($W907)),IFERROR(DATE(--LEFT(LEFT(SUBSTITUTE(SUBSTITUTE(SUBSTITUTE(SUBSTITUTE(TRIM($W907),"-",""),".",""),"/","")," ",""),8),4),--MID(LEFT(SUBSTITUTE(SUBSTITUTE(SUBSTITUTE(SUBSTITUTE(TRIM($W907),"-",""),".",""),"/","")," ",""),8),5,2),--MID(LEFT(SUBSTITUTE(SUBSTITUTE(SUBSTITUTE(SUBSTITUTE(TRIM($W907),"-",""),".",""),"/","")," ",""),8),7,2)),"")))</f>
        <v/>
      </c>
      <c r="Y907" s="32">
        <f>IF($X907="","",INT($X907))</f>
        <v/>
      </c>
      <c r="Z907" s="33">
        <f>IF(OR($Y907="",$D$6=""),"",IF(INDEX($A:$U,ROW(),$D$6)="",0,IF(ISNUMBER(INDEX($A:$U,ROW(),$D$6)),INDEX($A:$U,ROW(),$D$6),IFERROR(--SUBSTITUTE(SUBSTITUTE(TRIM(INDEX($A:$U,ROW(),$D$6)),",",""),"원",""),0))))</f>
        <v/>
      </c>
      <c r="AA907" s="31">
        <f>IF($Y907="","",TRIM(INDEX($A:$U,ROW(),$E$6)&amp;IF($F$6="",""," "&amp;INDEX($A:$U,ROW(),$F$6))))</f>
        <v/>
      </c>
      <c r="AB907" s="31">
        <f>IF($AA907="","",SUBSTITUTE(SUBSTITUTE(SUBSTITUTE(SUBSTITUTE(SUBSTITUTE(SUBSTITUTE(SUBSTITUTE(SUBSTITUTE(SUBSTITUTE($AA907," ",""),"　",""),"(주)",""),"（주）",""),"㈜",""),"주식회사",""),"(유)",""),"（유）",""),"유한회사",""))</f>
        <v/>
      </c>
      <c r="AC907" s="31">
        <f>IF(OR($Y907="",N($Z907)&lt;=0,$AB907=""),0,IFERROR(LOOKUP(2,1/((거래처별!$AC$8:$AC$307&lt;&gt;"")*ISNUMBER(SEARCH(거래처별!$AC$8:$AC$307,$AB907))),거래처별!$A$8:$A$307),IFERROR(LOOKUP(2,1/((거래처별!$AD$8:$AD$307&lt;&gt;"")*ISNUMBER(SEARCH(거래처별!$AD$8:$AD$307,$AB907))),거래처별!$A$8:$A$307),IFERROR(LOOKUP(2,1/((거래처별!$AE$8:$AE$307&lt;&gt;"")*ISNUMBER(SEARCH(거래처별!$AE$8:$AE$307,$AB907))),거래처별!$A$8:$A$307),0))))</f>
        <v/>
      </c>
      <c r="AD907" s="31">
        <f>IF(AND($Y907&lt;&gt;"",N($Z907)&gt;0,$AC907=0),MAX($AD$7:$AD906)+1,"")</f>
        <v/>
      </c>
      <c r="AE907" s="31">
        <f>IF($Y907="",0,$Y907)</f>
        <v/>
      </c>
    </row>
    <row r="908">
      <c r="W908" s="31">
        <f>IF(OR($B$5="",$C$6="",ROW()&lt;$B$5),"",IF(INDEX($A:$U,ROW(),$C$6)="","",INDEX($A:$U,ROW(),$C$6)))</f>
        <v/>
      </c>
      <c r="X908" s="32">
        <f>IF($W908="","",IF(ISNUMBER($W908),IF($W908&gt;=10000000,IFERROR(DATE(INT($W908/10000),MOD(INT($W908/100),100),MOD($W908,100)),""),INT($W908)),IFERROR(DATE(--LEFT(LEFT(SUBSTITUTE(SUBSTITUTE(SUBSTITUTE(SUBSTITUTE(TRIM($W908),"-",""),".",""),"/","")," ",""),8),4),--MID(LEFT(SUBSTITUTE(SUBSTITUTE(SUBSTITUTE(SUBSTITUTE(TRIM($W908),"-",""),".",""),"/","")," ",""),8),5,2),--MID(LEFT(SUBSTITUTE(SUBSTITUTE(SUBSTITUTE(SUBSTITUTE(TRIM($W908),"-",""),".",""),"/","")," ",""),8),7,2)),"")))</f>
        <v/>
      </c>
      <c r="Y908" s="32">
        <f>IF($X908="","",INT($X908))</f>
        <v/>
      </c>
      <c r="Z908" s="33">
        <f>IF(OR($Y908="",$D$6=""),"",IF(INDEX($A:$U,ROW(),$D$6)="",0,IF(ISNUMBER(INDEX($A:$U,ROW(),$D$6)),INDEX($A:$U,ROW(),$D$6),IFERROR(--SUBSTITUTE(SUBSTITUTE(TRIM(INDEX($A:$U,ROW(),$D$6)),",",""),"원",""),0))))</f>
        <v/>
      </c>
      <c r="AA908" s="31">
        <f>IF($Y908="","",TRIM(INDEX($A:$U,ROW(),$E$6)&amp;IF($F$6="",""," "&amp;INDEX($A:$U,ROW(),$F$6))))</f>
        <v/>
      </c>
      <c r="AB908" s="31">
        <f>IF($AA908="","",SUBSTITUTE(SUBSTITUTE(SUBSTITUTE(SUBSTITUTE(SUBSTITUTE(SUBSTITUTE(SUBSTITUTE(SUBSTITUTE(SUBSTITUTE($AA908," ",""),"　",""),"(주)",""),"（주）",""),"㈜",""),"주식회사",""),"(유)",""),"（유）",""),"유한회사",""))</f>
        <v/>
      </c>
      <c r="AC908" s="31">
        <f>IF(OR($Y908="",N($Z908)&lt;=0,$AB908=""),0,IFERROR(LOOKUP(2,1/((거래처별!$AC$8:$AC$307&lt;&gt;"")*ISNUMBER(SEARCH(거래처별!$AC$8:$AC$307,$AB908))),거래처별!$A$8:$A$307),IFERROR(LOOKUP(2,1/((거래처별!$AD$8:$AD$307&lt;&gt;"")*ISNUMBER(SEARCH(거래처별!$AD$8:$AD$307,$AB908))),거래처별!$A$8:$A$307),IFERROR(LOOKUP(2,1/((거래처별!$AE$8:$AE$307&lt;&gt;"")*ISNUMBER(SEARCH(거래처별!$AE$8:$AE$307,$AB908))),거래처별!$A$8:$A$307),0))))</f>
        <v/>
      </c>
      <c r="AD908" s="31">
        <f>IF(AND($Y908&lt;&gt;"",N($Z908)&gt;0,$AC908=0),MAX($AD$7:$AD907)+1,"")</f>
        <v/>
      </c>
      <c r="AE908" s="31">
        <f>IF($Y908="",0,$Y908)</f>
        <v/>
      </c>
    </row>
    <row r="909">
      <c r="W909" s="31">
        <f>IF(OR($B$5="",$C$6="",ROW()&lt;$B$5),"",IF(INDEX($A:$U,ROW(),$C$6)="","",INDEX($A:$U,ROW(),$C$6)))</f>
        <v/>
      </c>
      <c r="X909" s="32">
        <f>IF($W909="","",IF(ISNUMBER($W909),IF($W909&gt;=10000000,IFERROR(DATE(INT($W909/10000),MOD(INT($W909/100),100),MOD($W909,100)),""),INT($W909)),IFERROR(DATE(--LEFT(LEFT(SUBSTITUTE(SUBSTITUTE(SUBSTITUTE(SUBSTITUTE(TRIM($W909),"-",""),".",""),"/","")," ",""),8),4),--MID(LEFT(SUBSTITUTE(SUBSTITUTE(SUBSTITUTE(SUBSTITUTE(TRIM($W909),"-",""),".",""),"/","")," ",""),8),5,2),--MID(LEFT(SUBSTITUTE(SUBSTITUTE(SUBSTITUTE(SUBSTITUTE(TRIM($W909),"-",""),".",""),"/","")," ",""),8),7,2)),"")))</f>
        <v/>
      </c>
      <c r="Y909" s="32">
        <f>IF($X909="","",INT($X909))</f>
        <v/>
      </c>
      <c r="Z909" s="33">
        <f>IF(OR($Y909="",$D$6=""),"",IF(INDEX($A:$U,ROW(),$D$6)="",0,IF(ISNUMBER(INDEX($A:$U,ROW(),$D$6)),INDEX($A:$U,ROW(),$D$6),IFERROR(--SUBSTITUTE(SUBSTITUTE(TRIM(INDEX($A:$U,ROW(),$D$6)),",",""),"원",""),0))))</f>
        <v/>
      </c>
      <c r="AA909" s="31">
        <f>IF($Y909="","",TRIM(INDEX($A:$U,ROW(),$E$6)&amp;IF($F$6="",""," "&amp;INDEX($A:$U,ROW(),$F$6))))</f>
        <v/>
      </c>
      <c r="AB909" s="31">
        <f>IF($AA909="","",SUBSTITUTE(SUBSTITUTE(SUBSTITUTE(SUBSTITUTE(SUBSTITUTE(SUBSTITUTE(SUBSTITUTE(SUBSTITUTE(SUBSTITUTE($AA909," ",""),"　",""),"(주)",""),"（주）",""),"㈜",""),"주식회사",""),"(유)",""),"（유）",""),"유한회사",""))</f>
        <v/>
      </c>
      <c r="AC909" s="31">
        <f>IF(OR($Y909="",N($Z909)&lt;=0,$AB909=""),0,IFERROR(LOOKUP(2,1/((거래처별!$AC$8:$AC$307&lt;&gt;"")*ISNUMBER(SEARCH(거래처별!$AC$8:$AC$307,$AB909))),거래처별!$A$8:$A$307),IFERROR(LOOKUP(2,1/((거래처별!$AD$8:$AD$307&lt;&gt;"")*ISNUMBER(SEARCH(거래처별!$AD$8:$AD$307,$AB909))),거래처별!$A$8:$A$307),IFERROR(LOOKUP(2,1/((거래처별!$AE$8:$AE$307&lt;&gt;"")*ISNUMBER(SEARCH(거래처별!$AE$8:$AE$307,$AB909))),거래처별!$A$8:$A$307),0))))</f>
        <v/>
      </c>
      <c r="AD909" s="31">
        <f>IF(AND($Y909&lt;&gt;"",N($Z909)&gt;0,$AC909=0),MAX($AD$7:$AD908)+1,"")</f>
        <v/>
      </c>
      <c r="AE909" s="31">
        <f>IF($Y909="",0,$Y909)</f>
        <v/>
      </c>
    </row>
    <row r="910">
      <c r="W910" s="31">
        <f>IF(OR($B$5="",$C$6="",ROW()&lt;$B$5),"",IF(INDEX($A:$U,ROW(),$C$6)="","",INDEX($A:$U,ROW(),$C$6)))</f>
        <v/>
      </c>
      <c r="X910" s="32">
        <f>IF($W910="","",IF(ISNUMBER($W910),IF($W910&gt;=10000000,IFERROR(DATE(INT($W910/10000),MOD(INT($W910/100),100),MOD($W910,100)),""),INT($W910)),IFERROR(DATE(--LEFT(LEFT(SUBSTITUTE(SUBSTITUTE(SUBSTITUTE(SUBSTITUTE(TRIM($W910),"-",""),".",""),"/","")," ",""),8),4),--MID(LEFT(SUBSTITUTE(SUBSTITUTE(SUBSTITUTE(SUBSTITUTE(TRIM($W910),"-",""),".",""),"/","")," ",""),8),5,2),--MID(LEFT(SUBSTITUTE(SUBSTITUTE(SUBSTITUTE(SUBSTITUTE(TRIM($W910),"-",""),".",""),"/","")," ",""),8),7,2)),"")))</f>
        <v/>
      </c>
      <c r="Y910" s="32">
        <f>IF($X910="","",INT($X910))</f>
        <v/>
      </c>
      <c r="Z910" s="33">
        <f>IF(OR($Y910="",$D$6=""),"",IF(INDEX($A:$U,ROW(),$D$6)="",0,IF(ISNUMBER(INDEX($A:$U,ROW(),$D$6)),INDEX($A:$U,ROW(),$D$6),IFERROR(--SUBSTITUTE(SUBSTITUTE(TRIM(INDEX($A:$U,ROW(),$D$6)),",",""),"원",""),0))))</f>
        <v/>
      </c>
      <c r="AA910" s="31">
        <f>IF($Y910="","",TRIM(INDEX($A:$U,ROW(),$E$6)&amp;IF($F$6="",""," "&amp;INDEX($A:$U,ROW(),$F$6))))</f>
        <v/>
      </c>
      <c r="AB910" s="31">
        <f>IF($AA910="","",SUBSTITUTE(SUBSTITUTE(SUBSTITUTE(SUBSTITUTE(SUBSTITUTE(SUBSTITUTE(SUBSTITUTE(SUBSTITUTE(SUBSTITUTE($AA910," ",""),"　",""),"(주)",""),"（주）",""),"㈜",""),"주식회사",""),"(유)",""),"（유）",""),"유한회사",""))</f>
        <v/>
      </c>
      <c r="AC910" s="31">
        <f>IF(OR($Y910="",N($Z910)&lt;=0,$AB910=""),0,IFERROR(LOOKUP(2,1/((거래처별!$AC$8:$AC$307&lt;&gt;"")*ISNUMBER(SEARCH(거래처별!$AC$8:$AC$307,$AB910))),거래처별!$A$8:$A$307),IFERROR(LOOKUP(2,1/((거래처별!$AD$8:$AD$307&lt;&gt;"")*ISNUMBER(SEARCH(거래처별!$AD$8:$AD$307,$AB910))),거래처별!$A$8:$A$307),IFERROR(LOOKUP(2,1/((거래처별!$AE$8:$AE$307&lt;&gt;"")*ISNUMBER(SEARCH(거래처별!$AE$8:$AE$307,$AB910))),거래처별!$A$8:$A$307),0))))</f>
        <v/>
      </c>
      <c r="AD910" s="31">
        <f>IF(AND($Y910&lt;&gt;"",N($Z910)&gt;0,$AC910=0),MAX($AD$7:$AD909)+1,"")</f>
        <v/>
      </c>
      <c r="AE910" s="31">
        <f>IF($Y910="",0,$Y910)</f>
        <v/>
      </c>
    </row>
    <row r="911">
      <c r="W911" s="31">
        <f>IF(OR($B$5="",$C$6="",ROW()&lt;$B$5),"",IF(INDEX($A:$U,ROW(),$C$6)="","",INDEX($A:$U,ROW(),$C$6)))</f>
        <v/>
      </c>
      <c r="X911" s="32">
        <f>IF($W911="","",IF(ISNUMBER($W911),IF($W911&gt;=10000000,IFERROR(DATE(INT($W911/10000),MOD(INT($W911/100),100),MOD($W911,100)),""),INT($W911)),IFERROR(DATE(--LEFT(LEFT(SUBSTITUTE(SUBSTITUTE(SUBSTITUTE(SUBSTITUTE(TRIM($W911),"-",""),".",""),"/","")," ",""),8),4),--MID(LEFT(SUBSTITUTE(SUBSTITUTE(SUBSTITUTE(SUBSTITUTE(TRIM($W911),"-",""),".",""),"/","")," ",""),8),5,2),--MID(LEFT(SUBSTITUTE(SUBSTITUTE(SUBSTITUTE(SUBSTITUTE(TRIM($W911),"-",""),".",""),"/","")," ",""),8),7,2)),"")))</f>
        <v/>
      </c>
      <c r="Y911" s="32">
        <f>IF($X911="","",INT($X911))</f>
        <v/>
      </c>
      <c r="Z911" s="33">
        <f>IF(OR($Y911="",$D$6=""),"",IF(INDEX($A:$U,ROW(),$D$6)="",0,IF(ISNUMBER(INDEX($A:$U,ROW(),$D$6)),INDEX($A:$U,ROW(),$D$6),IFERROR(--SUBSTITUTE(SUBSTITUTE(TRIM(INDEX($A:$U,ROW(),$D$6)),",",""),"원",""),0))))</f>
        <v/>
      </c>
      <c r="AA911" s="31">
        <f>IF($Y911="","",TRIM(INDEX($A:$U,ROW(),$E$6)&amp;IF($F$6="",""," "&amp;INDEX($A:$U,ROW(),$F$6))))</f>
        <v/>
      </c>
      <c r="AB911" s="31">
        <f>IF($AA911="","",SUBSTITUTE(SUBSTITUTE(SUBSTITUTE(SUBSTITUTE(SUBSTITUTE(SUBSTITUTE(SUBSTITUTE(SUBSTITUTE(SUBSTITUTE($AA911," ",""),"　",""),"(주)",""),"（주）",""),"㈜",""),"주식회사",""),"(유)",""),"（유）",""),"유한회사",""))</f>
        <v/>
      </c>
      <c r="AC911" s="31">
        <f>IF(OR($Y911="",N($Z911)&lt;=0,$AB911=""),0,IFERROR(LOOKUP(2,1/((거래처별!$AC$8:$AC$307&lt;&gt;"")*ISNUMBER(SEARCH(거래처별!$AC$8:$AC$307,$AB911))),거래처별!$A$8:$A$307),IFERROR(LOOKUP(2,1/((거래처별!$AD$8:$AD$307&lt;&gt;"")*ISNUMBER(SEARCH(거래처별!$AD$8:$AD$307,$AB911))),거래처별!$A$8:$A$307),IFERROR(LOOKUP(2,1/((거래처별!$AE$8:$AE$307&lt;&gt;"")*ISNUMBER(SEARCH(거래처별!$AE$8:$AE$307,$AB911))),거래처별!$A$8:$A$307),0))))</f>
        <v/>
      </c>
      <c r="AD911" s="31">
        <f>IF(AND($Y911&lt;&gt;"",N($Z911)&gt;0,$AC911=0),MAX($AD$7:$AD910)+1,"")</f>
        <v/>
      </c>
      <c r="AE911" s="31">
        <f>IF($Y911="",0,$Y911)</f>
        <v/>
      </c>
    </row>
    <row r="912">
      <c r="W912" s="31">
        <f>IF(OR($B$5="",$C$6="",ROW()&lt;$B$5),"",IF(INDEX($A:$U,ROW(),$C$6)="","",INDEX($A:$U,ROW(),$C$6)))</f>
        <v/>
      </c>
      <c r="X912" s="32">
        <f>IF($W912="","",IF(ISNUMBER($W912),IF($W912&gt;=10000000,IFERROR(DATE(INT($W912/10000),MOD(INT($W912/100),100),MOD($W912,100)),""),INT($W912)),IFERROR(DATE(--LEFT(LEFT(SUBSTITUTE(SUBSTITUTE(SUBSTITUTE(SUBSTITUTE(TRIM($W912),"-",""),".",""),"/","")," ",""),8),4),--MID(LEFT(SUBSTITUTE(SUBSTITUTE(SUBSTITUTE(SUBSTITUTE(TRIM($W912),"-",""),".",""),"/","")," ",""),8),5,2),--MID(LEFT(SUBSTITUTE(SUBSTITUTE(SUBSTITUTE(SUBSTITUTE(TRIM($W912),"-",""),".",""),"/","")," ",""),8),7,2)),"")))</f>
        <v/>
      </c>
      <c r="Y912" s="32">
        <f>IF($X912="","",INT($X912))</f>
        <v/>
      </c>
      <c r="Z912" s="33">
        <f>IF(OR($Y912="",$D$6=""),"",IF(INDEX($A:$U,ROW(),$D$6)="",0,IF(ISNUMBER(INDEX($A:$U,ROW(),$D$6)),INDEX($A:$U,ROW(),$D$6),IFERROR(--SUBSTITUTE(SUBSTITUTE(TRIM(INDEX($A:$U,ROW(),$D$6)),",",""),"원",""),0))))</f>
        <v/>
      </c>
      <c r="AA912" s="31">
        <f>IF($Y912="","",TRIM(INDEX($A:$U,ROW(),$E$6)&amp;IF($F$6="",""," "&amp;INDEX($A:$U,ROW(),$F$6))))</f>
        <v/>
      </c>
      <c r="AB912" s="31">
        <f>IF($AA912="","",SUBSTITUTE(SUBSTITUTE(SUBSTITUTE(SUBSTITUTE(SUBSTITUTE(SUBSTITUTE(SUBSTITUTE(SUBSTITUTE(SUBSTITUTE($AA912," ",""),"　",""),"(주)",""),"（주）",""),"㈜",""),"주식회사",""),"(유)",""),"（유）",""),"유한회사",""))</f>
        <v/>
      </c>
      <c r="AC912" s="31">
        <f>IF(OR($Y912="",N($Z912)&lt;=0,$AB912=""),0,IFERROR(LOOKUP(2,1/((거래처별!$AC$8:$AC$307&lt;&gt;"")*ISNUMBER(SEARCH(거래처별!$AC$8:$AC$307,$AB912))),거래처별!$A$8:$A$307),IFERROR(LOOKUP(2,1/((거래처별!$AD$8:$AD$307&lt;&gt;"")*ISNUMBER(SEARCH(거래처별!$AD$8:$AD$307,$AB912))),거래처별!$A$8:$A$307),IFERROR(LOOKUP(2,1/((거래처별!$AE$8:$AE$307&lt;&gt;"")*ISNUMBER(SEARCH(거래처별!$AE$8:$AE$307,$AB912))),거래처별!$A$8:$A$307),0))))</f>
        <v/>
      </c>
      <c r="AD912" s="31">
        <f>IF(AND($Y912&lt;&gt;"",N($Z912)&gt;0,$AC912=0),MAX($AD$7:$AD911)+1,"")</f>
        <v/>
      </c>
      <c r="AE912" s="31">
        <f>IF($Y912="",0,$Y912)</f>
        <v/>
      </c>
    </row>
    <row r="913">
      <c r="W913" s="31">
        <f>IF(OR($B$5="",$C$6="",ROW()&lt;$B$5),"",IF(INDEX($A:$U,ROW(),$C$6)="","",INDEX($A:$U,ROW(),$C$6)))</f>
        <v/>
      </c>
      <c r="X913" s="32">
        <f>IF($W913="","",IF(ISNUMBER($W913),IF($W913&gt;=10000000,IFERROR(DATE(INT($W913/10000),MOD(INT($W913/100),100),MOD($W913,100)),""),INT($W913)),IFERROR(DATE(--LEFT(LEFT(SUBSTITUTE(SUBSTITUTE(SUBSTITUTE(SUBSTITUTE(TRIM($W913),"-",""),".",""),"/","")," ",""),8),4),--MID(LEFT(SUBSTITUTE(SUBSTITUTE(SUBSTITUTE(SUBSTITUTE(TRIM($W913),"-",""),".",""),"/","")," ",""),8),5,2),--MID(LEFT(SUBSTITUTE(SUBSTITUTE(SUBSTITUTE(SUBSTITUTE(TRIM($W913),"-",""),".",""),"/","")," ",""),8),7,2)),"")))</f>
        <v/>
      </c>
      <c r="Y913" s="32">
        <f>IF($X913="","",INT($X913))</f>
        <v/>
      </c>
      <c r="Z913" s="33">
        <f>IF(OR($Y913="",$D$6=""),"",IF(INDEX($A:$U,ROW(),$D$6)="",0,IF(ISNUMBER(INDEX($A:$U,ROW(),$D$6)),INDEX($A:$U,ROW(),$D$6),IFERROR(--SUBSTITUTE(SUBSTITUTE(TRIM(INDEX($A:$U,ROW(),$D$6)),",",""),"원",""),0))))</f>
        <v/>
      </c>
      <c r="AA913" s="31">
        <f>IF($Y913="","",TRIM(INDEX($A:$U,ROW(),$E$6)&amp;IF($F$6="",""," "&amp;INDEX($A:$U,ROW(),$F$6))))</f>
        <v/>
      </c>
      <c r="AB913" s="31">
        <f>IF($AA913="","",SUBSTITUTE(SUBSTITUTE(SUBSTITUTE(SUBSTITUTE(SUBSTITUTE(SUBSTITUTE(SUBSTITUTE(SUBSTITUTE(SUBSTITUTE($AA913," ",""),"　",""),"(주)",""),"（주）",""),"㈜",""),"주식회사",""),"(유)",""),"（유）",""),"유한회사",""))</f>
        <v/>
      </c>
      <c r="AC913" s="31">
        <f>IF(OR($Y913="",N($Z913)&lt;=0,$AB913=""),0,IFERROR(LOOKUP(2,1/((거래처별!$AC$8:$AC$307&lt;&gt;"")*ISNUMBER(SEARCH(거래처별!$AC$8:$AC$307,$AB913))),거래처별!$A$8:$A$307),IFERROR(LOOKUP(2,1/((거래처별!$AD$8:$AD$307&lt;&gt;"")*ISNUMBER(SEARCH(거래처별!$AD$8:$AD$307,$AB913))),거래처별!$A$8:$A$307),IFERROR(LOOKUP(2,1/((거래처별!$AE$8:$AE$307&lt;&gt;"")*ISNUMBER(SEARCH(거래처별!$AE$8:$AE$307,$AB913))),거래처별!$A$8:$A$307),0))))</f>
        <v/>
      </c>
      <c r="AD913" s="31">
        <f>IF(AND($Y913&lt;&gt;"",N($Z913)&gt;0,$AC913=0),MAX($AD$7:$AD912)+1,"")</f>
        <v/>
      </c>
      <c r="AE913" s="31">
        <f>IF($Y913="",0,$Y913)</f>
        <v/>
      </c>
    </row>
    <row r="914">
      <c r="W914" s="31">
        <f>IF(OR($B$5="",$C$6="",ROW()&lt;$B$5),"",IF(INDEX($A:$U,ROW(),$C$6)="","",INDEX($A:$U,ROW(),$C$6)))</f>
        <v/>
      </c>
      <c r="X914" s="32">
        <f>IF($W914="","",IF(ISNUMBER($W914),IF($W914&gt;=10000000,IFERROR(DATE(INT($W914/10000),MOD(INT($W914/100),100),MOD($W914,100)),""),INT($W914)),IFERROR(DATE(--LEFT(LEFT(SUBSTITUTE(SUBSTITUTE(SUBSTITUTE(SUBSTITUTE(TRIM($W914),"-",""),".",""),"/","")," ",""),8),4),--MID(LEFT(SUBSTITUTE(SUBSTITUTE(SUBSTITUTE(SUBSTITUTE(TRIM($W914),"-",""),".",""),"/","")," ",""),8),5,2),--MID(LEFT(SUBSTITUTE(SUBSTITUTE(SUBSTITUTE(SUBSTITUTE(TRIM($W914),"-",""),".",""),"/","")," ",""),8),7,2)),"")))</f>
        <v/>
      </c>
      <c r="Y914" s="32">
        <f>IF($X914="","",INT($X914))</f>
        <v/>
      </c>
      <c r="Z914" s="33">
        <f>IF(OR($Y914="",$D$6=""),"",IF(INDEX($A:$U,ROW(),$D$6)="",0,IF(ISNUMBER(INDEX($A:$U,ROW(),$D$6)),INDEX($A:$U,ROW(),$D$6),IFERROR(--SUBSTITUTE(SUBSTITUTE(TRIM(INDEX($A:$U,ROW(),$D$6)),",",""),"원",""),0))))</f>
        <v/>
      </c>
      <c r="AA914" s="31">
        <f>IF($Y914="","",TRIM(INDEX($A:$U,ROW(),$E$6)&amp;IF($F$6="",""," "&amp;INDEX($A:$U,ROW(),$F$6))))</f>
        <v/>
      </c>
      <c r="AB914" s="31">
        <f>IF($AA914="","",SUBSTITUTE(SUBSTITUTE(SUBSTITUTE(SUBSTITUTE(SUBSTITUTE(SUBSTITUTE(SUBSTITUTE(SUBSTITUTE(SUBSTITUTE($AA914," ",""),"　",""),"(주)",""),"（주）",""),"㈜",""),"주식회사",""),"(유)",""),"（유）",""),"유한회사",""))</f>
        <v/>
      </c>
      <c r="AC914" s="31">
        <f>IF(OR($Y914="",N($Z914)&lt;=0,$AB914=""),0,IFERROR(LOOKUP(2,1/((거래처별!$AC$8:$AC$307&lt;&gt;"")*ISNUMBER(SEARCH(거래처별!$AC$8:$AC$307,$AB914))),거래처별!$A$8:$A$307),IFERROR(LOOKUP(2,1/((거래처별!$AD$8:$AD$307&lt;&gt;"")*ISNUMBER(SEARCH(거래처별!$AD$8:$AD$307,$AB914))),거래처별!$A$8:$A$307),IFERROR(LOOKUP(2,1/((거래처별!$AE$8:$AE$307&lt;&gt;"")*ISNUMBER(SEARCH(거래처별!$AE$8:$AE$307,$AB914))),거래처별!$A$8:$A$307),0))))</f>
        <v/>
      </c>
      <c r="AD914" s="31">
        <f>IF(AND($Y914&lt;&gt;"",N($Z914)&gt;0,$AC914=0),MAX($AD$7:$AD913)+1,"")</f>
        <v/>
      </c>
      <c r="AE914" s="31">
        <f>IF($Y914="",0,$Y914)</f>
        <v/>
      </c>
    </row>
    <row r="915">
      <c r="W915" s="31">
        <f>IF(OR($B$5="",$C$6="",ROW()&lt;$B$5),"",IF(INDEX($A:$U,ROW(),$C$6)="","",INDEX($A:$U,ROW(),$C$6)))</f>
        <v/>
      </c>
      <c r="X915" s="32">
        <f>IF($W915="","",IF(ISNUMBER($W915),IF($W915&gt;=10000000,IFERROR(DATE(INT($W915/10000),MOD(INT($W915/100),100),MOD($W915,100)),""),INT($W915)),IFERROR(DATE(--LEFT(LEFT(SUBSTITUTE(SUBSTITUTE(SUBSTITUTE(SUBSTITUTE(TRIM($W915),"-",""),".",""),"/","")," ",""),8),4),--MID(LEFT(SUBSTITUTE(SUBSTITUTE(SUBSTITUTE(SUBSTITUTE(TRIM($W915),"-",""),".",""),"/","")," ",""),8),5,2),--MID(LEFT(SUBSTITUTE(SUBSTITUTE(SUBSTITUTE(SUBSTITUTE(TRIM($W915),"-",""),".",""),"/","")," ",""),8),7,2)),"")))</f>
        <v/>
      </c>
      <c r="Y915" s="32">
        <f>IF($X915="","",INT($X915))</f>
        <v/>
      </c>
      <c r="Z915" s="33">
        <f>IF(OR($Y915="",$D$6=""),"",IF(INDEX($A:$U,ROW(),$D$6)="",0,IF(ISNUMBER(INDEX($A:$U,ROW(),$D$6)),INDEX($A:$U,ROW(),$D$6),IFERROR(--SUBSTITUTE(SUBSTITUTE(TRIM(INDEX($A:$U,ROW(),$D$6)),",",""),"원",""),0))))</f>
        <v/>
      </c>
      <c r="AA915" s="31">
        <f>IF($Y915="","",TRIM(INDEX($A:$U,ROW(),$E$6)&amp;IF($F$6="",""," "&amp;INDEX($A:$U,ROW(),$F$6))))</f>
        <v/>
      </c>
      <c r="AB915" s="31">
        <f>IF($AA915="","",SUBSTITUTE(SUBSTITUTE(SUBSTITUTE(SUBSTITUTE(SUBSTITUTE(SUBSTITUTE(SUBSTITUTE(SUBSTITUTE(SUBSTITUTE($AA915," ",""),"　",""),"(주)",""),"（주）",""),"㈜",""),"주식회사",""),"(유)",""),"（유）",""),"유한회사",""))</f>
        <v/>
      </c>
      <c r="AC915" s="31">
        <f>IF(OR($Y915="",N($Z915)&lt;=0,$AB915=""),0,IFERROR(LOOKUP(2,1/((거래처별!$AC$8:$AC$307&lt;&gt;"")*ISNUMBER(SEARCH(거래처별!$AC$8:$AC$307,$AB915))),거래처별!$A$8:$A$307),IFERROR(LOOKUP(2,1/((거래처별!$AD$8:$AD$307&lt;&gt;"")*ISNUMBER(SEARCH(거래처별!$AD$8:$AD$307,$AB915))),거래처별!$A$8:$A$307),IFERROR(LOOKUP(2,1/((거래처별!$AE$8:$AE$307&lt;&gt;"")*ISNUMBER(SEARCH(거래처별!$AE$8:$AE$307,$AB915))),거래처별!$A$8:$A$307),0))))</f>
        <v/>
      </c>
      <c r="AD915" s="31">
        <f>IF(AND($Y915&lt;&gt;"",N($Z915)&gt;0,$AC915=0),MAX($AD$7:$AD914)+1,"")</f>
        <v/>
      </c>
      <c r="AE915" s="31">
        <f>IF($Y915="",0,$Y915)</f>
        <v/>
      </c>
    </row>
    <row r="916">
      <c r="W916" s="31">
        <f>IF(OR($B$5="",$C$6="",ROW()&lt;$B$5),"",IF(INDEX($A:$U,ROW(),$C$6)="","",INDEX($A:$U,ROW(),$C$6)))</f>
        <v/>
      </c>
      <c r="X916" s="32">
        <f>IF($W916="","",IF(ISNUMBER($W916),IF($W916&gt;=10000000,IFERROR(DATE(INT($W916/10000),MOD(INT($W916/100),100),MOD($W916,100)),""),INT($W916)),IFERROR(DATE(--LEFT(LEFT(SUBSTITUTE(SUBSTITUTE(SUBSTITUTE(SUBSTITUTE(TRIM($W916),"-",""),".",""),"/","")," ",""),8),4),--MID(LEFT(SUBSTITUTE(SUBSTITUTE(SUBSTITUTE(SUBSTITUTE(TRIM($W916),"-",""),".",""),"/","")," ",""),8),5,2),--MID(LEFT(SUBSTITUTE(SUBSTITUTE(SUBSTITUTE(SUBSTITUTE(TRIM($W916),"-",""),".",""),"/","")," ",""),8),7,2)),"")))</f>
        <v/>
      </c>
      <c r="Y916" s="32">
        <f>IF($X916="","",INT($X916))</f>
        <v/>
      </c>
      <c r="Z916" s="33">
        <f>IF(OR($Y916="",$D$6=""),"",IF(INDEX($A:$U,ROW(),$D$6)="",0,IF(ISNUMBER(INDEX($A:$U,ROW(),$D$6)),INDEX($A:$U,ROW(),$D$6),IFERROR(--SUBSTITUTE(SUBSTITUTE(TRIM(INDEX($A:$U,ROW(),$D$6)),",",""),"원",""),0))))</f>
        <v/>
      </c>
      <c r="AA916" s="31">
        <f>IF($Y916="","",TRIM(INDEX($A:$U,ROW(),$E$6)&amp;IF($F$6="",""," "&amp;INDEX($A:$U,ROW(),$F$6))))</f>
        <v/>
      </c>
      <c r="AB916" s="31">
        <f>IF($AA916="","",SUBSTITUTE(SUBSTITUTE(SUBSTITUTE(SUBSTITUTE(SUBSTITUTE(SUBSTITUTE(SUBSTITUTE(SUBSTITUTE(SUBSTITUTE($AA916," ",""),"　",""),"(주)",""),"（주）",""),"㈜",""),"주식회사",""),"(유)",""),"（유）",""),"유한회사",""))</f>
        <v/>
      </c>
      <c r="AC916" s="31">
        <f>IF(OR($Y916="",N($Z916)&lt;=0,$AB916=""),0,IFERROR(LOOKUP(2,1/((거래처별!$AC$8:$AC$307&lt;&gt;"")*ISNUMBER(SEARCH(거래처별!$AC$8:$AC$307,$AB916))),거래처별!$A$8:$A$307),IFERROR(LOOKUP(2,1/((거래처별!$AD$8:$AD$307&lt;&gt;"")*ISNUMBER(SEARCH(거래처별!$AD$8:$AD$307,$AB916))),거래처별!$A$8:$A$307),IFERROR(LOOKUP(2,1/((거래처별!$AE$8:$AE$307&lt;&gt;"")*ISNUMBER(SEARCH(거래처별!$AE$8:$AE$307,$AB916))),거래처별!$A$8:$A$307),0))))</f>
        <v/>
      </c>
      <c r="AD916" s="31">
        <f>IF(AND($Y916&lt;&gt;"",N($Z916)&gt;0,$AC916=0),MAX($AD$7:$AD915)+1,"")</f>
        <v/>
      </c>
      <c r="AE916" s="31">
        <f>IF($Y916="",0,$Y916)</f>
        <v/>
      </c>
    </row>
    <row r="917">
      <c r="W917" s="31">
        <f>IF(OR($B$5="",$C$6="",ROW()&lt;$B$5),"",IF(INDEX($A:$U,ROW(),$C$6)="","",INDEX($A:$U,ROW(),$C$6)))</f>
        <v/>
      </c>
      <c r="X917" s="32">
        <f>IF($W917="","",IF(ISNUMBER($W917),IF($W917&gt;=10000000,IFERROR(DATE(INT($W917/10000),MOD(INT($W917/100),100),MOD($W917,100)),""),INT($W917)),IFERROR(DATE(--LEFT(LEFT(SUBSTITUTE(SUBSTITUTE(SUBSTITUTE(SUBSTITUTE(TRIM($W917),"-",""),".",""),"/","")," ",""),8),4),--MID(LEFT(SUBSTITUTE(SUBSTITUTE(SUBSTITUTE(SUBSTITUTE(TRIM($W917),"-",""),".",""),"/","")," ",""),8),5,2),--MID(LEFT(SUBSTITUTE(SUBSTITUTE(SUBSTITUTE(SUBSTITUTE(TRIM($W917),"-",""),".",""),"/","")," ",""),8),7,2)),"")))</f>
        <v/>
      </c>
      <c r="Y917" s="32">
        <f>IF($X917="","",INT($X917))</f>
        <v/>
      </c>
      <c r="Z917" s="33">
        <f>IF(OR($Y917="",$D$6=""),"",IF(INDEX($A:$U,ROW(),$D$6)="",0,IF(ISNUMBER(INDEX($A:$U,ROW(),$D$6)),INDEX($A:$U,ROW(),$D$6),IFERROR(--SUBSTITUTE(SUBSTITUTE(TRIM(INDEX($A:$U,ROW(),$D$6)),",",""),"원",""),0))))</f>
        <v/>
      </c>
      <c r="AA917" s="31">
        <f>IF($Y917="","",TRIM(INDEX($A:$U,ROW(),$E$6)&amp;IF($F$6="",""," "&amp;INDEX($A:$U,ROW(),$F$6))))</f>
        <v/>
      </c>
      <c r="AB917" s="31">
        <f>IF($AA917="","",SUBSTITUTE(SUBSTITUTE(SUBSTITUTE(SUBSTITUTE(SUBSTITUTE(SUBSTITUTE(SUBSTITUTE(SUBSTITUTE(SUBSTITUTE($AA917," ",""),"　",""),"(주)",""),"（주）",""),"㈜",""),"주식회사",""),"(유)",""),"（유）",""),"유한회사",""))</f>
        <v/>
      </c>
      <c r="AC917" s="31">
        <f>IF(OR($Y917="",N($Z917)&lt;=0,$AB917=""),0,IFERROR(LOOKUP(2,1/((거래처별!$AC$8:$AC$307&lt;&gt;"")*ISNUMBER(SEARCH(거래처별!$AC$8:$AC$307,$AB917))),거래처별!$A$8:$A$307),IFERROR(LOOKUP(2,1/((거래처별!$AD$8:$AD$307&lt;&gt;"")*ISNUMBER(SEARCH(거래처별!$AD$8:$AD$307,$AB917))),거래처별!$A$8:$A$307),IFERROR(LOOKUP(2,1/((거래처별!$AE$8:$AE$307&lt;&gt;"")*ISNUMBER(SEARCH(거래처별!$AE$8:$AE$307,$AB917))),거래처별!$A$8:$A$307),0))))</f>
        <v/>
      </c>
      <c r="AD917" s="31">
        <f>IF(AND($Y917&lt;&gt;"",N($Z917)&gt;0,$AC917=0),MAX($AD$7:$AD916)+1,"")</f>
        <v/>
      </c>
      <c r="AE917" s="31">
        <f>IF($Y917="",0,$Y917)</f>
        <v/>
      </c>
    </row>
    <row r="918">
      <c r="W918" s="31">
        <f>IF(OR($B$5="",$C$6="",ROW()&lt;$B$5),"",IF(INDEX($A:$U,ROW(),$C$6)="","",INDEX($A:$U,ROW(),$C$6)))</f>
        <v/>
      </c>
      <c r="X918" s="32">
        <f>IF($W918="","",IF(ISNUMBER($W918),IF($W918&gt;=10000000,IFERROR(DATE(INT($W918/10000),MOD(INT($W918/100),100),MOD($W918,100)),""),INT($W918)),IFERROR(DATE(--LEFT(LEFT(SUBSTITUTE(SUBSTITUTE(SUBSTITUTE(SUBSTITUTE(TRIM($W918),"-",""),".",""),"/","")," ",""),8),4),--MID(LEFT(SUBSTITUTE(SUBSTITUTE(SUBSTITUTE(SUBSTITUTE(TRIM($W918),"-",""),".",""),"/","")," ",""),8),5,2),--MID(LEFT(SUBSTITUTE(SUBSTITUTE(SUBSTITUTE(SUBSTITUTE(TRIM($W918),"-",""),".",""),"/","")," ",""),8),7,2)),"")))</f>
        <v/>
      </c>
      <c r="Y918" s="32">
        <f>IF($X918="","",INT($X918))</f>
        <v/>
      </c>
      <c r="Z918" s="33">
        <f>IF(OR($Y918="",$D$6=""),"",IF(INDEX($A:$U,ROW(),$D$6)="",0,IF(ISNUMBER(INDEX($A:$U,ROW(),$D$6)),INDEX($A:$U,ROW(),$D$6),IFERROR(--SUBSTITUTE(SUBSTITUTE(TRIM(INDEX($A:$U,ROW(),$D$6)),",",""),"원",""),0))))</f>
        <v/>
      </c>
      <c r="AA918" s="31">
        <f>IF($Y918="","",TRIM(INDEX($A:$U,ROW(),$E$6)&amp;IF($F$6="",""," "&amp;INDEX($A:$U,ROW(),$F$6))))</f>
        <v/>
      </c>
      <c r="AB918" s="31">
        <f>IF($AA918="","",SUBSTITUTE(SUBSTITUTE(SUBSTITUTE(SUBSTITUTE(SUBSTITUTE(SUBSTITUTE(SUBSTITUTE(SUBSTITUTE(SUBSTITUTE($AA918," ",""),"　",""),"(주)",""),"（주）",""),"㈜",""),"주식회사",""),"(유)",""),"（유）",""),"유한회사",""))</f>
        <v/>
      </c>
      <c r="AC918" s="31">
        <f>IF(OR($Y918="",N($Z918)&lt;=0,$AB918=""),0,IFERROR(LOOKUP(2,1/((거래처별!$AC$8:$AC$307&lt;&gt;"")*ISNUMBER(SEARCH(거래처별!$AC$8:$AC$307,$AB918))),거래처별!$A$8:$A$307),IFERROR(LOOKUP(2,1/((거래처별!$AD$8:$AD$307&lt;&gt;"")*ISNUMBER(SEARCH(거래처별!$AD$8:$AD$307,$AB918))),거래처별!$A$8:$A$307),IFERROR(LOOKUP(2,1/((거래처별!$AE$8:$AE$307&lt;&gt;"")*ISNUMBER(SEARCH(거래처별!$AE$8:$AE$307,$AB918))),거래처별!$A$8:$A$307),0))))</f>
        <v/>
      </c>
      <c r="AD918" s="31">
        <f>IF(AND($Y918&lt;&gt;"",N($Z918)&gt;0,$AC918=0),MAX($AD$7:$AD917)+1,"")</f>
        <v/>
      </c>
      <c r="AE918" s="31">
        <f>IF($Y918="",0,$Y918)</f>
        <v/>
      </c>
    </row>
    <row r="919">
      <c r="W919" s="31">
        <f>IF(OR($B$5="",$C$6="",ROW()&lt;$B$5),"",IF(INDEX($A:$U,ROW(),$C$6)="","",INDEX($A:$U,ROW(),$C$6)))</f>
        <v/>
      </c>
      <c r="X919" s="32">
        <f>IF($W919="","",IF(ISNUMBER($W919),IF($W919&gt;=10000000,IFERROR(DATE(INT($W919/10000),MOD(INT($W919/100),100),MOD($W919,100)),""),INT($W919)),IFERROR(DATE(--LEFT(LEFT(SUBSTITUTE(SUBSTITUTE(SUBSTITUTE(SUBSTITUTE(TRIM($W919),"-",""),".",""),"/","")," ",""),8),4),--MID(LEFT(SUBSTITUTE(SUBSTITUTE(SUBSTITUTE(SUBSTITUTE(TRIM($W919),"-",""),".",""),"/","")," ",""),8),5,2),--MID(LEFT(SUBSTITUTE(SUBSTITUTE(SUBSTITUTE(SUBSTITUTE(TRIM($W919),"-",""),".",""),"/","")," ",""),8),7,2)),"")))</f>
        <v/>
      </c>
      <c r="Y919" s="32">
        <f>IF($X919="","",INT($X919))</f>
        <v/>
      </c>
      <c r="Z919" s="33">
        <f>IF(OR($Y919="",$D$6=""),"",IF(INDEX($A:$U,ROW(),$D$6)="",0,IF(ISNUMBER(INDEX($A:$U,ROW(),$D$6)),INDEX($A:$U,ROW(),$D$6),IFERROR(--SUBSTITUTE(SUBSTITUTE(TRIM(INDEX($A:$U,ROW(),$D$6)),",",""),"원",""),0))))</f>
        <v/>
      </c>
      <c r="AA919" s="31">
        <f>IF($Y919="","",TRIM(INDEX($A:$U,ROW(),$E$6)&amp;IF($F$6="",""," "&amp;INDEX($A:$U,ROW(),$F$6))))</f>
        <v/>
      </c>
      <c r="AB919" s="31">
        <f>IF($AA919="","",SUBSTITUTE(SUBSTITUTE(SUBSTITUTE(SUBSTITUTE(SUBSTITUTE(SUBSTITUTE(SUBSTITUTE(SUBSTITUTE(SUBSTITUTE($AA919," ",""),"　",""),"(주)",""),"（주）",""),"㈜",""),"주식회사",""),"(유)",""),"（유）",""),"유한회사",""))</f>
        <v/>
      </c>
      <c r="AC919" s="31">
        <f>IF(OR($Y919="",N($Z919)&lt;=0,$AB919=""),0,IFERROR(LOOKUP(2,1/((거래처별!$AC$8:$AC$307&lt;&gt;"")*ISNUMBER(SEARCH(거래처별!$AC$8:$AC$307,$AB919))),거래처별!$A$8:$A$307),IFERROR(LOOKUP(2,1/((거래처별!$AD$8:$AD$307&lt;&gt;"")*ISNUMBER(SEARCH(거래처별!$AD$8:$AD$307,$AB919))),거래처별!$A$8:$A$307),IFERROR(LOOKUP(2,1/((거래처별!$AE$8:$AE$307&lt;&gt;"")*ISNUMBER(SEARCH(거래처별!$AE$8:$AE$307,$AB919))),거래처별!$A$8:$A$307),0))))</f>
        <v/>
      </c>
      <c r="AD919" s="31">
        <f>IF(AND($Y919&lt;&gt;"",N($Z919)&gt;0,$AC919=0),MAX($AD$7:$AD918)+1,"")</f>
        <v/>
      </c>
      <c r="AE919" s="31">
        <f>IF($Y919="",0,$Y919)</f>
        <v/>
      </c>
    </row>
    <row r="920">
      <c r="W920" s="31">
        <f>IF(OR($B$5="",$C$6="",ROW()&lt;$B$5),"",IF(INDEX($A:$U,ROW(),$C$6)="","",INDEX($A:$U,ROW(),$C$6)))</f>
        <v/>
      </c>
      <c r="X920" s="32">
        <f>IF($W920="","",IF(ISNUMBER($W920),IF($W920&gt;=10000000,IFERROR(DATE(INT($W920/10000),MOD(INT($W920/100),100),MOD($W920,100)),""),INT($W920)),IFERROR(DATE(--LEFT(LEFT(SUBSTITUTE(SUBSTITUTE(SUBSTITUTE(SUBSTITUTE(TRIM($W920),"-",""),".",""),"/","")," ",""),8),4),--MID(LEFT(SUBSTITUTE(SUBSTITUTE(SUBSTITUTE(SUBSTITUTE(TRIM($W920),"-",""),".",""),"/","")," ",""),8),5,2),--MID(LEFT(SUBSTITUTE(SUBSTITUTE(SUBSTITUTE(SUBSTITUTE(TRIM($W920),"-",""),".",""),"/","")," ",""),8),7,2)),"")))</f>
        <v/>
      </c>
      <c r="Y920" s="32">
        <f>IF($X920="","",INT($X920))</f>
        <v/>
      </c>
      <c r="Z920" s="33">
        <f>IF(OR($Y920="",$D$6=""),"",IF(INDEX($A:$U,ROW(),$D$6)="",0,IF(ISNUMBER(INDEX($A:$U,ROW(),$D$6)),INDEX($A:$U,ROW(),$D$6),IFERROR(--SUBSTITUTE(SUBSTITUTE(TRIM(INDEX($A:$U,ROW(),$D$6)),",",""),"원",""),0))))</f>
        <v/>
      </c>
      <c r="AA920" s="31">
        <f>IF($Y920="","",TRIM(INDEX($A:$U,ROW(),$E$6)&amp;IF($F$6="",""," "&amp;INDEX($A:$U,ROW(),$F$6))))</f>
        <v/>
      </c>
      <c r="AB920" s="31">
        <f>IF($AA920="","",SUBSTITUTE(SUBSTITUTE(SUBSTITUTE(SUBSTITUTE(SUBSTITUTE(SUBSTITUTE(SUBSTITUTE(SUBSTITUTE(SUBSTITUTE($AA920," ",""),"　",""),"(주)",""),"（주）",""),"㈜",""),"주식회사",""),"(유)",""),"（유）",""),"유한회사",""))</f>
        <v/>
      </c>
      <c r="AC920" s="31">
        <f>IF(OR($Y920="",N($Z920)&lt;=0,$AB920=""),0,IFERROR(LOOKUP(2,1/((거래처별!$AC$8:$AC$307&lt;&gt;"")*ISNUMBER(SEARCH(거래처별!$AC$8:$AC$307,$AB920))),거래처별!$A$8:$A$307),IFERROR(LOOKUP(2,1/((거래처별!$AD$8:$AD$307&lt;&gt;"")*ISNUMBER(SEARCH(거래처별!$AD$8:$AD$307,$AB920))),거래처별!$A$8:$A$307),IFERROR(LOOKUP(2,1/((거래처별!$AE$8:$AE$307&lt;&gt;"")*ISNUMBER(SEARCH(거래처별!$AE$8:$AE$307,$AB920))),거래처별!$A$8:$A$307),0))))</f>
        <v/>
      </c>
      <c r="AD920" s="31">
        <f>IF(AND($Y920&lt;&gt;"",N($Z920)&gt;0,$AC920=0),MAX($AD$7:$AD919)+1,"")</f>
        <v/>
      </c>
      <c r="AE920" s="31">
        <f>IF($Y920="",0,$Y920)</f>
        <v/>
      </c>
    </row>
    <row r="921">
      <c r="W921" s="31">
        <f>IF(OR($B$5="",$C$6="",ROW()&lt;$B$5),"",IF(INDEX($A:$U,ROW(),$C$6)="","",INDEX($A:$U,ROW(),$C$6)))</f>
        <v/>
      </c>
      <c r="X921" s="32">
        <f>IF($W921="","",IF(ISNUMBER($W921),IF($W921&gt;=10000000,IFERROR(DATE(INT($W921/10000),MOD(INT($W921/100),100),MOD($W921,100)),""),INT($W921)),IFERROR(DATE(--LEFT(LEFT(SUBSTITUTE(SUBSTITUTE(SUBSTITUTE(SUBSTITUTE(TRIM($W921),"-",""),".",""),"/","")," ",""),8),4),--MID(LEFT(SUBSTITUTE(SUBSTITUTE(SUBSTITUTE(SUBSTITUTE(TRIM($W921),"-",""),".",""),"/","")," ",""),8),5,2),--MID(LEFT(SUBSTITUTE(SUBSTITUTE(SUBSTITUTE(SUBSTITUTE(TRIM($W921),"-",""),".",""),"/","")," ",""),8),7,2)),"")))</f>
        <v/>
      </c>
      <c r="Y921" s="32">
        <f>IF($X921="","",INT($X921))</f>
        <v/>
      </c>
      <c r="Z921" s="33">
        <f>IF(OR($Y921="",$D$6=""),"",IF(INDEX($A:$U,ROW(),$D$6)="",0,IF(ISNUMBER(INDEX($A:$U,ROW(),$D$6)),INDEX($A:$U,ROW(),$D$6),IFERROR(--SUBSTITUTE(SUBSTITUTE(TRIM(INDEX($A:$U,ROW(),$D$6)),",",""),"원",""),0))))</f>
        <v/>
      </c>
      <c r="AA921" s="31">
        <f>IF($Y921="","",TRIM(INDEX($A:$U,ROW(),$E$6)&amp;IF($F$6="",""," "&amp;INDEX($A:$U,ROW(),$F$6))))</f>
        <v/>
      </c>
      <c r="AB921" s="31">
        <f>IF($AA921="","",SUBSTITUTE(SUBSTITUTE(SUBSTITUTE(SUBSTITUTE(SUBSTITUTE(SUBSTITUTE(SUBSTITUTE(SUBSTITUTE(SUBSTITUTE($AA921," ",""),"　",""),"(주)",""),"（주）",""),"㈜",""),"주식회사",""),"(유)",""),"（유）",""),"유한회사",""))</f>
        <v/>
      </c>
      <c r="AC921" s="31">
        <f>IF(OR($Y921="",N($Z921)&lt;=0,$AB921=""),0,IFERROR(LOOKUP(2,1/((거래처별!$AC$8:$AC$307&lt;&gt;"")*ISNUMBER(SEARCH(거래처별!$AC$8:$AC$307,$AB921))),거래처별!$A$8:$A$307),IFERROR(LOOKUP(2,1/((거래처별!$AD$8:$AD$307&lt;&gt;"")*ISNUMBER(SEARCH(거래처별!$AD$8:$AD$307,$AB921))),거래처별!$A$8:$A$307),IFERROR(LOOKUP(2,1/((거래처별!$AE$8:$AE$307&lt;&gt;"")*ISNUMBER(SEARCH(거래처별!$AE$8:$AE$307,$AB921))),거래처별!$A$8:$A$307),0))))</f>
        <v/>
      </c>
      <c r="AD921" s="31">
        <f>IF(AND($Y921&lt;&gt;"",N($Z921)&gt;0,$AC921=0),MAX($AD$7:$AD920)+1,"")</f>
        <v/>
      </c>
      <c r="AE921" s="31">
        <f>IF($Y921="",0,$Y921)</f>
        <v/>
      </c>
    </row>
    <row r="922">
      <c r="W922" s="31">
        <f>IF(OR($B$5="",$C$6="",ROW()&lt;$B$5),"",IF(INDEX($A:$U,ROW(),$C$6)="","",INDEX($A:$U,ROW(),$C$6)))</f>
        <v/>
      </c>
      <c r="X922" s="32">
        <f>IF($W922="","",IF(ISNUMBER($W922),IF($W922&gt;=10000000,IFERROR(DATE(INT($W922/10000),MOD(INT($W922/100),100),MOD($W922,100)),""),INT($W922)),IFERROR(DATE(--LEFT(LEFT(SUBSTITUTE(SUBSTITUTE(SUBSTITUTE(SUBSTITUTE(TRIM($W922),"-",""),".",""),"/","")," ",""),8),4),--MID(LEFT(SUBSTITUTE(SUBSTITUTE(SUBSTITUTE(SUBSTITUTE(TRIM($W922),"-",""),".",""),"/","")," ",""),8),5,2),--MID(LEFT(SUBSTITUTE(SUBSTITUTE(SUBSTITUTE(SUBSTITUTE(TRIM($W922),"-",""),".",""),"/","")," ",""),8),7,2)),"")))</f>
        <v/>
      </c>
      <c r="Y922" s="32">
        <f>IF($X922="","",INT($X922))</f>
        <v/>
      </c>
      <c r="Z922" s="33">
        <f>IF(OR($Y922="",$D$6=""),"",IF(INDEX($A:$U,ROW(),$D$6)="",0,IF(ISNUMBER(INDEX($A:$U,ROW(),$D$6)),INDEX($A:$U,ROW(),$D$6),IFERROR(--SUBSTITUTE(SUBSTITUTE(TRIM(INDEX($A:$U,ROW(),$D$6)),",",""),"원",""),0))))</f>
        <v/>
      </c>
      <c r="AA922" s="31">
        <f>IF($Y922="","",TRIM(INDEX($A:$U,ROW(),$E$6)&amp;IF($F$6="",""," "&amp;INDEX($A:$U,ROW(),$F$6))))</f>
        <v/>
      </c>
      <c r="AB922" s="31">
        <f>IF($AA922="","",SUBSTITUTE(SUBSTITUTE(SUBSTITUTE(SUBSTITUTE(SUBSTITUTE(SUBSTITUTE(SUBSTITUTE(SUBSTITUTE(SUBSTITUTE($AA922," ",""),"　",""),"(주)",""),"（주）",""),"㈜",""),"주식회사",""),"(유)",""),"（유）",""),"유한회사",""))</f>
        <v/>
      </c>
      <c r="AC922" s="31">
        <f>IF(OR($Y922="",N($Z922)&lt;=0,$AB922=""),0,IFERROR(LOOKUP(2,1/((거래처별!$AC$8:$AC$307&lt;&gt;"")*ISNUMBER(SEARCH(거래처별!$AC$8:$AC$307,$AB922))),거래처별!$A$8:$A$307),IFERROR(LOOKUP(2,1/((거래처별!$AD$8:$AD$307&lt;&gt;"")*ISNUMBER(SEARCH(거래처별!$AD$8:$AD$307,$AB922))),거래처별!$A$8:$A$307),IFERROR(LOOKUP(2,1/((거래처별!$AE$8:$AE$307&lt;&gt;"")*ISNUMBER(SEARCH(거래처별!$AE$8:$AE$307,$AB922))),거래처별!$A$8:$A$307),0))))</f>
        <v/>
      </c>
      <c r="AD922" s="31">
        <f>IF(AND($Y922&lt;&gt;"",N($Z922)&gt;0,$AC922=0),MAX($AD$7:$AD921)+1,"")</f>
        <v/>
      </c>
      <c r="AE922" s="31">
        <f>IF($Y922="",0,$Y922)</f>
        <v/>
      </c>
    </row>
    <row r="923">
      <c r="W923" s="31">
        <f>IF(OR($B$5="",$C$6="",ROW()&lt;$B$5),"",IF(INDEX($A:$U,ROW(),$C$6)="","",INDEX($A:$U,ROW(),$C$6)))</f>
        <v/>
      </c>
      <c r="X923" s="32">
        <f>IF($W923="","",IF(ISNUMBER($W923),IF($W923&gt;=10000000,IFERROR(DATE(INT($W923/10000),MOD(INT($W923/100),100),MOD($W923,100)),""),INT($W923)),IFERROR(DATE(--LEFT(LEFT(SUBSTITUTE(SUBSTITUTE(SUBSTITUTE(SUBSTITUTE(TRIM($W923),"-",""),".",""),"/","")," ",""),8),4),--MID(LEFT(SUBSTITUTE(SUBSTITUTE(SUBSTITUTE(SUBSTITUTE(TRIM($W923),"-",""),".",""),"/","")," ",""),8),5,2),--MID(LEFT(SUBSTITUTE(SUBSTITUTE(SUBSTITUTE(SUBSTITUTE(TRIM($W923),"-",""),".",""),"/","")," ",""),8),7,2)),"")))</f>
        <v/>
      </c>
      <c r="Y923" s="32">
        <f>IF($X923="","",INT($X923))</f>
        <v/>
      </c>
      <c r="Z923" s="33">
        <f>IF(OR($Y923="",$D$6=""),"",IF(INDEX($A:$U,ROW(),$D$6)="",0,IF(ISNUMBER(INDEX($A:$U,ROW(),$D$6)),INDEX($A:$U,ROW(),$D$6),IFERROR(--SUBSTITUTE(SUBSTITUTE(TRIM(INDEX($A:$U,ROW(),$D$6)),",",""),"원",""),0))))</f>
        <v/>
      </c>
      <c r="AA923" s="31">
        <f>IF($Y923="","",TRIM(INDEX($A:$U,ROW(),$E$6)&amp;IF($F$6="",""," "&amp;INDEX($A:$U,ROW(),$F$6))))</f>
        <v/>
      </c>
      <c r="AB923" s="31">
        <f>IF($AA923="","",SUBSTITUTE(SUBSTITUTE(SUBSTITUTE(SUBSTITUTE(SUBSTITUTE(SUBSTITUTE(SUBSTITUTE(SUBSTITUTE(SUBSTITUTE($AA923," ",""),"　",""),"(주)",""),"（주）",""),"㈜",""),"주식회사",""),"(유)",""),"（유）",""),"유한회사",""))</f>
        <v/>
      </c>
      <c r="AC923" s="31">
        <f>IF(OR($Y923="",N($Z923)&lt;=0,$AB923=""),0,IFERROR(LOOKUP(2,1/((거래처별!$AC$8:$AC$307&lt;&gt;"")*ISNUMBER(SEARCH(거래처별!$AC$8:$AC$307,$AB923))),거래처별!$A$8:$A$307),IFERROR(LOOKUP(2,1/((거래처별!$AD$8:$AD$307&lt;&gt;"")*ISNUMBER(SEARCH(거래처별!$AD$8:$AD$307,$AB923))),거래처별!$A$8:$A$307),IFERROR(LOOKUP(2,1/((거래처별!$AE$8:$AE$307&lt;&gt;"")*ISNUMBER(SEARCH(거래처별!$AE$8:$AE$307,$AB923))),거래처별!$A$8:$A$307),0))))</f>
        <v/>
      </c>
      <c r="AD923" s="31">
        <f>IF(AND($Y923&lt;&gt;"",N($Z923)&gt;0,$AC923=0),MAX($AD$7:$AD922)+1,"")</f>
        <v/>
      </c>
      <c r="AE923" s="31">
        <f>IF($Y923="",0,$Y923)</f>
        <v/>
      </c>
    </row>
    <row r="924">
      <c r="W924" s="31">
        <f>IF(OR($B$5="",$C$6="",ROW()&lt;$B$5),"",IF(INDEX($A:$U,ROW(),$C$6)="","",INDEX($A:$U,ROW(),$C$6)))</f>
        <v/>
      </c>
      <c r="X924" s="32">
        <f>IF($W924="","",IF(ISNUMBER($W924),IF($W924&gt;=10000000,IFERROR(DATE(INT($W924/10000),MOD(INT($W924/100),100),MOD($W924,100)),""),INT($W924)),IFERROR(DATE(--LEFT(LEFT(SUBSTITUTE(SUBSTITUTE(SUBSTITUTE(SUBSTITUTE(TRIM($W924),"-",""),".",""),"/","")," ",""),8),4),--MID(LEFT(SUBSTITUTE(SUBSTITUTE(SUBSTITUTE(SUBSTITUTE(TRIM($W924),"-",""),".",""),"/","")," ",""),8),5,2),--MID(LEFT(SUBSTITUTE(SUBSTITUTE(SUBSTITUTE(SUBSTITUTE(TRIM($W924),"-",""),".",""),"/","")," ",""),8),7,2)),"")))</f>
        <v/>
      </c>
      <c r="Y924" s="32">
        <f>IF($X924="","",INT($X924))</f>
        <v/>
      </c>
      <c r="Z924" s="33">
        <f>IF(OR($Y924="",$D$6=""),"",IF(INDEX($A:$U,ROW(),$D$6)="",0,IF(ISNUMBER(INDEX($A:$U,ROW(),$D$6)),INDEX($A:$U,ROW(),$D$6),IFERROR(--SUBSTITUTE(SUBSTITUTE(TRIM(INDEX($A:$U,ROW(),$D$6)),",",""),"원",""),0))))</f>
        <v/>
      </c>
      <c r="AA924" s="31">
        <f>IF($Y924="","",TRIM(INDEX($A:$U,ROW(),$E$6)&amp;IF($F$6="",""," "&amp;INDEX($A:$U,ROW(),$F$6))))</f>
        <v/>
      </c>
      <c r="AB924" s="31">
        <f>IF($AA924="","",SUBSTITUTE(SUBSTITUTE(SUBSTITUTE(SUBSTITUTE(SUBSTITUTE(SUBSTITUTE(SUBSTITUTE(SUBSTITUTE(SUBSTITUTE($AA924," ",""),"　",""),"(주)",""),"（주）",""),"㈜",""),"주식회사",""),"(유)",""),"（유）",""),"유한회사",""))</f>
        <v/>
      </c>
      <c r="AC924" s="31">
        <f>IF(OR($Y924="",N($Z924)&lt;=0,$AB924=""),0,IFERROR(LOOKUP(2,1/((거래처별!$AC$8:$AC$307&lt;&gt;"")*ISNUMBER(SEARCH(거래처별!$AC$8:$AC$307,$AB924))),거래처별!$A$8:$A$307),IFERROR(LOOKUP(2,1/((거래처별!$AD$8:$AD$307&lt;&gt;"")*ISNUMBER(SEARCH(거래처별!$AD$8:$AD$307,$AB924))),거래처별!$A$8:$A$307),IFERROR(LOOKUP(2,1/((거래처별!$AE$8:$AE$307&lt;&gt;"")*ISNUMBER(SEARCH(거래처별!$AE$8:$AE$307,$AB924))),거래처별!$A$8:$A$307),0))))</f>
        <v/>
      </c>
      <c r="AD924" s="31">
        <f>IF(AND($Y924&lt;&gt;"",N($Z924)&gt;0,$AC924=0),MAX($AD$7:$AD923)+1,"")</f>
        <v/>
      </c>
      <c r="AE924" s="31">
        <f>IF($Y924="",0,$Y924)</f>
        <v/>
      </c>
    </row>
    <row r="925">
      <c r="W925" s="31">
        <f>IF(OR($B$5="",$C$6="",ROW()&lt;$B$5),"",IF(INDEX($A:$U,ROW(),$C$6)="","",INDEX($A:$U,ROW(),$C$6)))</f>
        <v/>
      </c>
      <c r="X925" s="32">
        <f>IF($W925="","",IF(ISNUMBER($W925),IF($W925&gt;=10000000,IFERROR(DATE(INT($W925/10000),MOD(INT($W925/100),100),MOD($W925,100)),""),INT($W925)),IFERROR(DATE(--LEFT(LEFT(SUBSTITUTE(SUBSTITUTE(SUBSTITUTE(SUBSTITUTE(TRIM($W925),"-",""),".",""),"/","")," ",""),8),4),--MID(LEFT(SUBSTITUTE(SUBSTITUTE(SUBSTITUTE(SUBSTITUTE(TRIM($W925),"-",""),".",""),"/","")," ",""),8),5,2),--MID(LEFT(SUBSTITUTE(SUBSTITUTE(SUBSTITUTE(SUBSTITUTE(TRIM($W925),"-",""),".",""),"/","")," ",""),8),7,2)),"")))</f>
        <v/>
      </c>
      <c r="Y925" s="32">
        <f>IF($X925="","",INT($X925))</f>
        <v/>
      </c>
      <c r="Z925" s="33">
        <f>IF(OR($Y925="",$D$6=""),"",IF(INDEX($A:$U,ROW(),$D$6)="",0,IF(ISNUMBER(INDEX($A:$U,ROW(),$D$6)),INDEX($A:$U,ROW(),$D$6),IFERROR(--SUBSTITUTE(SUBSTITUTE(TRIM(INDEX($A:$U,ROW(),$D$6)),",",""),"원",""),0))))</f>
        <v/>
      </c>
      <c r="AA925" s="31">
        <f>IF($Y925="","",TRIM(INDEX($A:$U,ROW(),$E$6)&amp;IF($F$6="",""," "&amp;INDEX($A:$U,ROW(),$F$6))))</f>
        <v/>
      </c>
      <c r="AB925" s="31">
        <f>IF($AA925="","",SUBSTITUTE(SUBSTITUTE(SUBSTITUTE(SUBSTITUTE(SUBSTITUTE(SUBSTITUTE(SUBSTITUTE(SUBSTITUTE(SUBSTITUTE($AA925," ",""),"　",""),"(주)",""),"（주）",""),"㈜",""),"주식회사",""),"(유)",""),"（유）",""),"유한회사",""))</f>
        <v/>
      </c>
      <c r="AC925" s="31">
        <f>IF(OR($Y925="",N($Z925)&lt;=0,$AB925=""),0,IFERROR(LOOKUP(2,1/((거래처별!$AC$8:$AC$307&lt;&gt;"")*ISNUMBER(SEARCH(거래처별!$AC$8:$AC$307,$AB925))),거래처별!$A$8:$A$307),IFERROR(LOOKUP(2,1/((거래처별!$AD$8:$AD$307&lt;&gt;"")*ISNUMBER(SEARCH(거래처별!$AD$8:$AD$307,$AB925))),거래처별!$A$8:$A$307),IFERROR(LOOKUP(2,1/((거래처별!$AE$8:$AE$307&lt;&gt;"")*ISNUMBER(SEARCH(거래처별!$AE$8:$AE$307,$AB925))),거래처별!$A$8:$A$307),0))))</f>
        <v/>
      </c>
      <c r="AD925" s="31">
        <f>IF(AND($Y925&lt;&gt;"",N($Z925)&gt;0,$AC925=0),MAX($AD$7:$AD924)+1,"")</f>
        <v/>
      </c>
      <c r="AE925" s="31">
        <f>IF($Y925="",0,$Y925)</f>
        <v/>
      </c>
    </row>
    <row r="926">
      <c r="W926" s="31">
        <f>IF(OR($B$5="",$C$6="",ROW()&lt;$B$5),"",IF(INDEX($A:$U,ROW(),$C$6)="","",INDEX($A:$U,ROW(),$C$6)))</f>
        <v/>
      </c>
      <c r="X926" s="32">
        <f>IF($W926="","",IF(ISNUMBER($W926),IF($W926&gt;=10000000,IFERROR(DATE(INT($W926/10000),MOD(INT($W926/100),100),MOD($W926,100)),""),INT($W926)),IFERROR(DATE(--LEFT(LEFT(SUBSTITUTE(SUBSTITUTE(SUBSTITUTE(SUBSTITUTE(TRIM($W926),"-",""),".",""),"/","")," ",""),8),4),--MID(LEFT(SUBSTITUTE(SUBSTITUTE(SUBSTITUTE(SUBSTITUTE(TRIM($W926),"-",""),".",""),"/","")," ",""),8),5,2),--MID(LEFT(SUBSTITUTE(SUBSTITUTE(SUBSTITUTE(SUBSTITUTE(TRIM($W926),"-",""),".",""),"/","")," ",""),8),7,2)),"")))</f>
        <v/>
      </c>
      <c r="Y926" s="32">
        <f>IF($X926="","",INT($X926))</f>
        <v/>
      </c>
      <c r="Z926" s="33">
        <f>IF(OR($Y926="",$D$6=""),"",IF(INDEX($A:$U,ROW(),$D$6)="",0,IF(ISNUMBER(INDEX($A:$U,ROW(),$D$6)),INDEX($A:$U,ROW(),$D$6),IFERROR(--SUBSTITUTE(SUBSTITUTE(TRIM(INDEX($A:$U,ROW(),$D$6)),",",""),"원",""),0))))</f>
        <v/>
      </c>
      <c r="AA926" s="31">
        <f>IF($Y926="","",TRIM(INDEX($A:$U,ROW(),$E$6)&amp;IF($F$6="",""," "&amp;INDEX($A:$U,ROW(),$F$6))))</f>
        <v/>
      </c>
      <c r="AB926" s="31">
        <f>IF($AA926="","",SUBSTITUTE(SUBSTITUTE(SUBSTITUTE(SUBSTITUTE(SUBSTITUTE(SUBSTITUTE(SUBSTITUTE(SUBSTITUTE(SUBSTITUTE($AA926," ",""),"　",""),"(주)",""),"（주）",""),"㈜",""),"주식회사",""),"(유)",""),"（유）",""),"유한회사",""))</f>
        <v/>
      </c>
      <c r="AC926" s="31">
        <f>IF(OR($Y926="",N($Z926)&lt;=0,$AB926=""),0,IFERROR(LOOKUP(2,1/((거래처별!$AC$8:$AC$307&lt;&gt;"")*ISNUMBER(SEARCH(거래처별!$AC$8:$AC$307,$AB926))),거래처별!$A$8:$A$307),IFERROR(LOOKUP(2,1/((거래처별!$AD$8:$AD$307&lt;&gt;"")*ISNUMBER(SEARCH(거래처별!$AD$8:$AD$307,$AB926))),거래처별!$A$8:$A$307),IFERROR(LOOKUP(2,1/((거래처별!$AE$8:$AE$307&lt;&gt;"")*ISNUMBER(SEARCH(거래처별!$AE$8:$AE$307,$AB926))),거래처별!$A$8:$A$307),0))))</f>
        <v/>
      </c>
      <c r="AD926" s="31">
        <f>IF(AND($Y926&lt;&gt;"",N($Z926)&gt;0,$AC926=0),MAX($AD$7:$AD925)+1,"")</f>
        <v/>
      </c>
      <c r="AE926" s="31">
        <f>IF($Y926="",0,$Y926)</f>
        <v/>
      </c>
    </row>
    <row r="927">
      <c r="W927" s="31">
        <f>IF(OR($B$5="",$C$6="",ROW()&lt;$B$5),"",IF(INDEX($A:$U,ROW(),$C$6)="","",INDEX($A:$U,ROW(),$C$6)))</f>
        <v/>
      </c>
      <c r="X927" s="32">
        <f>IF($W927="","",IF(ISNUMBER($W927),IF($W927&gt;=10000000,IFERROR(DATE(INT($W927/10000),MOD(INT($W927/100),100),MOD($W927,100)),""),INT($W927)),IFERROR(DATE(--LEFT(LEFT(SUBSTITUTE(SUBSTITUTE(SUBSTITUTE(SUBSTITUTE(TRIM($W927),"-",""),".",""),"/","")," ",""),8),4),--MID(LEFT(SUBSTITUTE(SUBSTITUTE(SUBSTITUTE(SUBSTITUTE(TRIM($W927),"-",""),".",""),"/","")," ",""),8),5,2),--MID(LEFT(SUBSTITUTE(SUBSTITUTE(SUBSTITUTE(SUBSTITUTE(TRIM($W927),"-",""),".",""),"/","")," ",""),8),7,2)),"")))</f>
        <v/>
      </c>
      <c r="Y927" s="32">
        <f>IF($X927="","",INT($X927))</f>
        <v/>
      </c>
      <c r="Z927" s="33">
        <f>IF(OR($Y927="",$D$6=""),"",IF(INDEX($A:$U,ROW(),$D$6)="",0,IF(ISNUMBER(INDEX($A:$U,ROW(),$D$6)),INDEX($A:$U,ROW(),$D$6),IFERROR(--SUBSTITUTE(SUBSTITUTE(TRIM(INDEX($A:$U,ROW(),$D$6)),",",""),"원",""),0))))</f>
        <v/>
      </c>
      <c r="AA927" s="31">
        <f>IF($Y927="","",TRIM(INDEX($A:$U,ROW(),$E$6)&amp;IF($F$6="",""," "&amp;INDEX($A:$U,ROW(),$F$6))))</f>
        <v/>
      </c>
      <c r="AB927" s="31">
        <f>IF($AA927="","",SUBSTITUTE(SUBSTITUTE(SUBSTITUTE(SUBSTITUTE(SUBSTITUTE(SUBSTITUTE(SUBSTITUTE(SUBSTITUTE(SUBSTITUTE($AA927," ",""),"　",""),"(주)",""),"（주）",""),"㈜",""),"주식회사",""),"(유)",""),"（유）",""),"유한회사",""))</f>
        <v/>
      </c>
      <c r="AC927" s="31">
        <f>IF(OR($Y927="",N($Z927)&lt;=0,$AB927=""),0,IFERROR(LOOKUP(2,1/((거래처별!$AC$8:$AC$307&lt;&gt;"")*ISNUMBER(SEARCH(거래처별!$AC$8:$AC$307,$AB927))),거래처별!$A$8:$A$307),IFERROR(LOOKUP(2,1/((거래처별!$AD$8:$AD$307&lt;&gt;"")*ISNUMBER(SEARCH(거래처별!$AD$8:$AD$307,$AB927))),거래처별!$A$8:$A$307),IFERROR(LOOKUP(2,1/((거래처별!$AE$8:$AE$307&lt;&gt;"")*ISNUMBER(SEARCH(거래처별!$AE$8:$AE$307,$AB927))),거래처별!$A$8:$A$307),0))))</f>
        <v/>
      </c>
      <c r="AD927" s="31">
        <f>IF(AND($Y927&lt;&gt;"",N($Z927)&gt;0,$AC927=0),MAX($AD$7:$AD926)+1,"")</f>
        <v/>
      </c>
      <c r="AE927" s="31">
        <f>IF($Y927="",0,$Y927)</f>
        <v/>
      </c>
    </row>
    <row r="928">
      <c r="W928" s="31">
        <f>IF(OR($B$5="",$C$6="",ROW()&lt;$B$5),"",IF(INDEX($A:$U,ROW(),$C$6)="","",INDEX($A:$U,ROW(),$C$6)))</f>
        <v/>
      </c>
      <c r="X928" s="32">
        <f>IF($W928="","",IF(ISNUMBER($W928),IF($W928&gt;=10000000,IFERROR(DATE(INT($W928/10000),MOD(INT($W928/100),100),MOD($W928,100)),""),INT($W928)),IFERROR(DATE(--LEFT(LEFT(SUBSTITUTE(SUBSTITUTE(SUBSTITUTE(SUBSTITUTE(TRIM($W928),"-",""),".",""),"/","")," ",""),8),4),--MID(LEFT(SUBSTITUTE(SUBSTITUTE(SUBSTITUTE(SUBSTITUTE(TRIM($W928),"-",""),".",""),"/","")," ",""),8),5,2),--MID(LEFT(SUBSTITUTE(SUBSTITUTE(SUBSTITUTE(SUBSTITUTE(TRIM($W928),"-",""),".",""),"/","")," ",""),8),7,2)),"")))</f>
        <v/>
      </c>
      <c r="Y928" s="32">
        <f>IF($X928="","",INT($X928))</f>
        <v/>
      </c>
      <c r="Z928" s="33">
        <f>IF(OR($Y928="",$D$6=""),"",IF(INDEX($A:$U,ROW(),$D$6)="",0,IF(ISNUMBER(INDEX($A:$U,ROW(),$D$6)),INDEX($A:$U,ROW(),$D$6),IFERROR(--SUBSTITUTE(SUBSTITUTE(TRIM(INDEX($A:$U,ROW(),$D$6)),",",""),"원",""),0))))</f>
        <v/>
      </c>
      <c r="AA928" s="31">
        <f>IF($Y928="","",TRIM(INDEX($A:$U,ROW(),$E$6)&amp;IF($F$6="",""," "&amp;INDEX($A:$U,ROW(),$F$6))))</f>
        <v/>
      </c>
      <c r="AB928" s="31">
        <f>IF($AA928="","",SUBSTITUTE(SUBSTITUTE(SUBSTITUTE(SUBSTITUTE(SUBSTITUTE(SUBSTITUTE(SUBSTITUTE(SUBSTITUTE(SUBSTITUTE($AA928," ",""),"　",""),"(주)",""),"（주）",""),"㈜",""),"주식회사",""),"(유)",""),"（유）",""),"유한회사",""))</f>
        <v/>
      </c>
      <c r="AC928" s="31">
        <f>IF(OR($Y928="",N($Z928)&lt;=0,$AB928=""),0,IFERROR(LOOKUP(2,1/((거래처별!$AC$8:$AC$307&lt;&gt;"")*ISNUMBER(SEARCH(거래처별!$AC$8:$AC$307,$AB928))),거래처별!$A$8:$A$307),IFERROR(LOOKUP(2,1/((거래처별!$AD$8:$AD$307&lt;&gt;"")*ISNUMBER(SEARCH(거래처별!$AD$8:$AD$307,$AB928))),거래처별!$A$8:$A$307),IFERROR(LOOKUP(2,1/((거래처별!$AE$8:$AE$307&lt;&gt;"")*ISNUMBER(SEARCH(거래처별!$AE$8:$AE$307,$AB928))),거래처별!$A$8:$A$307),0))))</f>
        <v/>
      </c>
      <c r="AD928" s="31">
        <f>IF(AND($Y928&lt;&gt;"",N($Z928)&gt;0,$AC928=0),MAX($AD$7:$AD927)+1,"")</f>
        <v/>
      </c>
      <c r="AE928" s="31">
        <f>IF($Y928="",0,$Y928)</f>
        <v/>
      </c>
    </row>
    <row r="929">
      <c r="W929" s="31">
        <f>IF(OR($B$5="",$C$6="",ROW()&lt;$B$5),"",IF(INDEX($A:$U,ROW(),$C$6)="","",INDEX($A:$U,ROW(),$C$6)))</f>
        <v/>
      </c>
      <c r="X929" s="32">
        <f>IF($W929="","",IF(ISNUMBER($W929),IF($W929&gt;=10000000,IFERROR(DATE(INT($W929/10000),MOD(INT($W929/100),100),MOD($W929,100)),""),INT($W929)),IFERROR(DATE(--LEFT(LEFT(SUBSTITUTE(SUBSTITUTE(SUBSTITUTE(SUBSTITUTE(TRIM($W929),"-",""),".",""),"/","")," ",""),8),4),--MID(LEFT(SUBSTITUTE(SUBSTITUTE(SUBSTITUTE(SUBSTITUTE(TRIM($W929),"-",""),".",""),"/","")," ",""),8),5,2),--MID(LEFT(SUBSTITUTE(SUBSTITUTE(SUBSTITUTE(SUBSTITUTE(TRIM($W929),"-",""),".",""),"/","")," ",""),8),7,2)),"")))</f>
        <v/>
      </c>
      <c r="Y929" s="32">
        <f>IF($X929="","",INT($X929))</f>
        <v/>
      </c>
      <c r="Z929" s="33">
        <f>IF(OR($Y929="",$D$6=""),"",IF(INDEX($A:$U,ROW(),$D$6)="",0,IF(ISNUMBER(INDEX($A:$U,ROW(),$D$6)),INDEX($A:$U,ROW(),$D$6),IFERROR(--SUBSTITUTE(SUBSTITUTE(TRIM(INDEX($A:$U,ROW(),$D$6)),",",""),"원",""),0))))</f>
        <v/>
      </c>
      <c r="AA929" s="31">
        <f>IF($Y929="","",TRIM(INDEX($A:$U,ROW(),$E$6)&amp;IF($F$6="",""," "&amp;INDEX($A:$U,ROW(),$F$6))))</f>
        <v/>
      </c>
      <c r="AB929" s="31">
        <f>IF($AA929="","",SUBSTITUTE(SUBSTITUTE(SUBSTITUTE(SUBSTITUTE(SUBSTITUTE(SUBSTITUTE(SUBSTITUTE(SUBSTITUTE(SUBSTITUTE($AA929," ",""),"　",""),"(주)",""),"（주）",""),"㈜",""),"주식회사",""),"(유)",""),"（유）",""),"유한회사",""))</f>
        <v/>
      </c>
      <c r="AC929" s="31">
        <f>IF(OR($Y929="",N($Z929)&lt;=0,$AB929=""),0,IFERROR(LOOKUP(2,1/((거래처별!$AC$8:$AC$307&lt;&gt;"")*ISNUMBER(SEARCH(거래처별!$AC$8:$AC$307,$AB929))),거래처별!$A$8:$A$307),IFERROR(LOOKUP(2,1/((거래처별!$AD$8:$AD$307&lt;&gt;"")*ISNUMBER(SEARCH(거래처별!$AD$8:$AD$307,$AB929))),거래처별!$A$8:$A$307),IFERROR(LOOKUP(2,1/((거래처별!$AE$8:$AE$307&lt;&gt;"")*ISNUMBER(SEARCH(거래처별!$AE$8:$AE$307,$AB929))),거래처별!$A$8:$A$307),0))))</f>
        <v/>
      </c>
      <c r="AD929" s="31">
        <f>IF(AND($Y929&lt;&gt;"",N($Z929)&gt;0,$AC929=0),MAX($AD$7:$AD928)+1,"")</f>
        <v/>
      </c>
      <c r="AE929" s="31">
        <f>IF($Y929="",0,$Y929)</f>
        <v/>
      </c>
    </row>
    <row r="930">
      <c r="W930" s="31">
        <f>IF(OR($B$5="",$C$6="",ROW()&lt;$B$5),"",IF(INDEX($A:$U,ROW(),$C$6)="","",INDEX($A:$U,ROW(),$C$6)))</f>
        <v/>
      </c>
      <c r="X930" s="32">
        <f>IF($W930="","",IF(ISNUMBER($W930),IF($W930&gt;=10000000,IFERROR(DATE(INT($W930/10000),MOD(INT($W930/100),100),MOD($W930,100)),""),INT($W930)),IFERROR(DATE(--LEFT(LEFT(SUBSTITUTE(SUBSTITUTE(SUBSTITUTE(SUBSTITUTE(TRIM($W930),"-",""),".",""),"/","")," ",""),8),4),--MID(LEFT(SUBSTITUTE(SUBSTITUTE(SUBSTITUTE(SUBSTITUTE(TRIM($W930),"-",""),".",""),"/","")," ",""),8),5,2),--MID(LEFT(SUBSTITUTE(SUBSTITUTE(SUBSTITUTE(SUBSTITUTE(TRIM($W930),"-",""),".",""),"/","")," ",""),8),7,2)),"")))</f>
        <v/>
      </c>
      <c r="Y930" s="32">
        <f>IF($X930="","",INT($X930))</f>
        <v/>
      </c>
      <c r="Z930" s="33">
        <f>IF(OR($Y930="",$D$6=""),"",IF(INDEX($A:$U,ROW(),$D$6)="",0,IF(ISNUMBER(INDEX($A:$U,ROW(),$D$6)),INDEX($A:$U,ROW(),$D$6),IFERROR(--SUBSTITUTE(SUBSTITUTE(TRIM(INDEX($A:$U,ROW(),$D$6)),",",""),"원",""),0))))</f>
        <v/>
      </c>
      <c r="AA930" s="31">
        <f>IF($Y930="","",TRIM(INDEX($A:$U,ROW(),$E$6)&amp;IF($F$6="",""," "&amp;INDEX($A:$U,ROW(),$F$6))))</f>
        <v/>
      </c>
      <c r="AB930" s="31">
        <f>IF($AA930="","",SUBSTITUTE(SUBSTITUTE(SUBSTITUTE(SUBSTITUTE(SUBSTITUTE(SUBSTITUTE(SUBSTITUTE(SUBSTITUTE(SUBSTITUTE($AA930," ",""),"　",""),"(주)",""),"（주）",""),"㈜",""),"주식회사",""),"(유)",""),"（유）",""),"유한회사",""))</f>
        <v/>
      </c>
      <c r="AC930" s="31">
        <f>IF(OR($Y930="",N($Z930)&lt;=0,$AB930=""),0,IFERROR(LOOKUP(2,1/((거래처별!$AC$8:$AC$307&lt;&gt;"")*ISNUMBER(SEARCH(거래처별!$AC$8:$AC$307,$AB930))),거래처별!$A$8:$A$307),IFERROR(LOOKUP(2,1/((거래처별!$AD$8:$AD$307&lt;&gt;"")*ISNUMBER(SEARCH(거래처별!$AD$8:$AD$307,$AB930))),거래처별!$A$8:$A$307),IFERROR(LOOKUP(2,1/((거래처별!$AE$8:$AE$307&lt;&gt;"")*ISNUMBER(SEARCH(거래처별!$AE$8:$AE$307,$AB930))),거래처별!$A$8:$A$307),0))))</f>
        <v/>
      </c>
      <c r="AD930" s="31">
        <f>IF(AND($Y930&lt;&gt;"",N($Z930)&gt;0,$AC930=0),MAX($AD$7:$AD929)+1,"")</f>
        <v/>
      </c>
      <c r="AE930" s="31">
        <f>IF($Y930="",0,$Y930)</f>
        <v/>
      </c>
    </row>
    <row r="931">
      <c r="W931" s="31">
        <f>IF(OR($B$5="",$C$6="",ROW()&lt;$B$5),"",IF(INDEX($A:$U,ROW(),$C$6)="","",INDEX($A:$U,ROW(),$C$6)))</f>
        <v/>
      </c>
      <c r="X931" s="32">
        <f>IF($W931="","",IF(ISNUMBER($W931),IF($W931&gt;=10000000,IFERROR(DATE(INT($W931/10000),MOD(INT($W931/100),100),MOD($W931,100)),""),INT($W931)),IFERROR(DATE(--LEFT(LEFT(SUBSTITUTE(SUBSTITUTE(SUBSTITUTE(SUBSTITUTE(TRIM($W931),"-",""),".",""),"/","")," ",""),8),4),--MID(LEFT(SUBSTITUTE(SUBSTITUTE(SUBSTITUTE(SUBSTITUTE(TRIM($W931),"-",""),".",""),"/","")," ",""),8),5,2),--MID(LEFT(SUBSTITUTE(SUBSTITUTE(SUBSTITUTE(SUBSTITUTE(TRIM($W931),"-",""),".",""),"/","")," ",""),8),7,2)),"")))</f>
        <v/>
      </c>
      <c r="Y931" s="32">
        <f>IF($X931="","",INT($X931))</f>
        <v/>
      </c>
      <c r="Z931" s="33">
        <f>IF(OR($Y931="",$D$6=""),"",IF(INDEX($A:$U,ROW(),$D$6)="",0,IF(ISNUMBER(INDEX($A:$U,ROW(),$D$6)),INDEX($A:$U,ROW(),$D$6),IFERROR(--SUBSTITUTE(SUBSTITUTE(TRIM(INDEX($A:$U,ROW(),$D$6)),",",""),"원",""),0))))</f>
        <v/>
      </c>
      <c r="AA931" s="31">
        <f>IF($Y931="","",TRIM(INDEX($A:$U,ROW(),$E$6)&amp;IF($F$6="",""," "&amp;INDEX($A:$U,ROW(),$F$6))))</f>
        <v/>
      </c>
      <c r="AB931" s="31">
        <f>IF($AA931="","",SUBSTITUTE(SUBSTITUTE(SUBSTITUTE(SUBSTITUTE(SUBSTITUTE(SUBSTITUTE(SUBSTITUTE(SUBSTITUTE(SUBSTITUTE($AA931," ",""),"　",""),"(주)",""),"（주）",""),"㈜",""),"주식회사",""),"(유)",""),"（유）",""),"유한회사",""))</f>
        <v/>
      </c>
      <c r="AC931" s="31">
        <f>IF(OR($Y931="",N($Z931)&lt;=0,$AB931=""),0,IFERROR(LOOKUP(2,1/((거래처별!$AC$8:$AC$307&lt;&gt;"")*ISNUMBER(SEARCH(거래처별!$AC$8:$AC$307,$AB931))),거래처별!$A$8:$A$307),IFERROR(LOOKUP(2,1/((거래처별!$AD$8:$AD$307&lt;&gt;"")*ISNUMBER(SEARCH(거래처별!$AD$8:$AD$307,$AB931))),거래처별!$A$8:$A$307),IFERROR(LOOKUP(2,1/((거래처별!$AE$8:$AE$307&lt;&gt;"")*ISNUMBER(SEARCH(거래처별!$AE$8:$AE$307,$AB931))),거래처별!$A$8:$A$307),0))))</f>
        <v/>
      </c>
      <c r="AD931" s="31">
        <f>IF(AND($Y931&lt;&gt;"",N($Z931)&gt;0,$AC931=0),MAX($AD$7:$AD930)+1,"")</f>
        <v/>
      </c>
      <c r="AE931" s="31">
        <f>IF($Y931="",0,$Y931)</f>
        <v/>
      </c>
    </row>
    <row r="932">
      <c r="W932" s="31">
        <f>IF(OR($B$5="",$C$6="",ROW()&lt;$B$5),"",IF(INDEX($A:$U,ROW(),$C$6)="","",INDEX($A:$U,ROW(),$C$6)))</f>
        <v/>
      </c>
      <c r="X932" s="32">
        <f>IF($W932="","",IF(ISNUMBER($W932),IF($W932&gt;=10000000,IFERROR(DATE(INT($W932/10000),MOD(INT($W932/100),100),MOD($W932,100)),""),INT($W932)),IFERROR(DATE(--LEFT(LEFT(SUBSTITUTE(SUBSTITUTE(SUBSTITUTE(SUBSTITUTE(TRIM($W932),"-",""),".",""),"/","")," ",""),8),4),--MID(LEFT(SUBSTITUTE(SUBSTITUTE(SUBSTITUTE(SUBSTITUTE(TRIM($W932),"-",""),".",""),"/","")," ",""),8),5,2),--MID(LEFT(SUBSTITUTE(SUBSTITUTE(SUBSTITUTE(SUBSTITUTE(TRIM($W932),"-",""),".",""),"/","")," ",""),8),7,2)),"")))</f>
        <v/>
      </c>
      <c r="Y932" s="32">
        <f>IF($X932="","",INT($X932))</f>
        <v/>
      </c>
      <c r="Z932" s="33">
        <f>IF(OR($Y932="",$D$6=""),"",IF(INDEX($A:$U,ROW(),$D$6)="",0,IF(ISNUMBER(INDEX($A:$U,ROW(),$D$6)),INDEX($A:$U,ROW(),$D$6),IFERROR(--SUBSTITUTE(SUBSTITUTE(TRIM(INDEX($A:$U,ROW(),$D$6)),",",""),"원",""),0))))</f>
        <v/>
      </c>
      <c r="AA932" s="31">
        <f>IF($Y932="","",TRIM(INDEX($A:$U,ROW(),$E$6)&amp;IF($F$6="",""," "&amp;INDEX($A:$U,ROW(),$F$6))))</f>
        <v/>
      </c>
      <c r="AB932" s="31">
        <f>IF($AA932="","",SUBSTITUTE(SUBSTITUTE(SUBSTITUTE(SUBSTITUTE(SUBSTITUTE(SUBSTITUTE(SUBSTITUTE(SUBSTITUTE(SUBSTITUTE($AA932," ",""),"　",""),"(주)",""),"（주）",""),"㈜",""),"주식회사",""),"(유)",""),"（유）",""),"유한회사",""))</f>
        <v/>
      </c>
      <c r="AC932" s="31">
        <f>IF(OR($Y932="",N($Z932)&lt;=0,$AB932=""),0,IFERROR(LOOKUP(2,1/((거래처별!$AC$8:$AC$307&lt;&gt;"")*ISNUMBER(SEARCH(거래처별!$AC$8:$AC$307,$AB932))),거래처별!$A$8:$A$307),IFERROR(LOOKUP(2,1/((거래처별!$AD$8:$AD$307&lt;&gt;"")*ISNUMBER(SEARCH(거래처별!$AD$8:$AD$307,$AB932))),거래처별!$A$8:$A$307),IFERROR(LOOKUP(2,1/((거래처별!$AE$8:$AE$307&lt;&gt;"")*ISNUMBER(SEARCH(거래처별!$AE$8:$AE$307,$AB932))),거래처별!$A$8:$A$307),0))))</f>
        <v/>
      </c>
      <c r="AD932" s="31">
        <f>IF(AND($Y932&lt;&gt;"",N($Z932)&gt;0,$AC932=0),MAX($AD$7:$AD931)+1,"")</f>
        <v/>
      </c>
      <c r="AE932" s="31">
        <f>IF($Y932="",0,$Y932)</f>
        <v/>
      </c>
    </row>
    <row r="933">
      <c r="W933" s="31">
        <f>IF(OR($B$5="",$C$6="",ROW()&lt;$B$5),"",IF(INDEX($A:$U,ROW(),$C$6)="","",INDEX($A:$U,ROW(),$C$6)))</f>
        <v/>
      </c>
      <c r="X933" s="32">
        <f>IF($W933="","",IF(ISNUMBER($W933),IF($W933&gt;=10000000,IFERROR(DATE(INT($W933/10000),MOD(INT($W933/100),100),MOD($W933,100)),""),INT($W933)),IFERROR(DATE(--LEFT(LEFT(SUBSTITUTE(SUBSTITUTE(SUBSTITUTE(SUBSTITUTE(TRIM($W933),"-",""),".",""),"/","")," ",""),8),4),--MID(LEFT(SUBSTITUTE(SUBSTITUTE(SUBSTITUTE(SUBSTITUTE(TRIM($W933),"-",""),".",""),"/","")," ",""),8),5,2),--MID(LEFT(SUBSTITUTE(SUBSTITUTE(SUBSTITUTE(SUBSTITUTE(TRIM($W933),"-",""),".",""),"/","")," ",""),8),7,2)),"")))</f>
        <v/>
      </c>
      <c r="Y933" s="32">
        <f>IF($X933="","",INT($X933))</f>
        <v/>
      </c>
      <c r="Z933" s="33">
        <f>IF(OR($Y933="",$D$6=""),"",IF(INDEX($A:$U,ROW(),$D$6)="",0,IF(ISNUMBER(INDEX($A:$U,ROW(),$D$6)),INDEX($A:$U,ROW(),$D$6),IFERROR(--SUBSTITUTE(SUBSTITUTE(TRIM(INDEX($A:$U,ROW(),$D$6)),",",""),"원",""),0))))</f>
        <v/>
      </c>
      <c r="AA933" s="31">
        <f>IF($Y933="","",TRIM(INDEX($A:$U,ROW(),$E$6)&amp;IF($F$6="",""," "&amp;INDEX($A:$U,ROW(),$F$6))))</f>
        <v/>
      </c>
      <c r="AB933" s="31">
        <f>IF($AA933="","",SUBSTITUTE(SUBSTITUTE(SUBSTITUTE(SUBSTITUTE(SUBSTITUTE(SUBSTITUTE(SUBSTITUTE(SUBSTITUTE(SUBSTITUTE($AA933," ",""),"　",""),"(주)",""),"（주）",""),"㈜",""),"주식회사",""),"(유)",""),"（유）",""),"유한회사",""))</f>
        <v/>
      </c>
      <c r="AC933" s="31">
        <f>IF(OR($Y933="",N($Z933)&lt;=0,$AB933=""),0,IFERROR(LOOKUP(2,1/((거래처별!$AC$8:$AC$307&lt;&gt;"")*ISNUMBER(SEARCH(거래처별!$AC$8:$AC$307,$AB933))),거래처별!$A$8:$A$307),IFERROR(LOOKUP(2,1/((거래처별!$AD$8:$AD$307&lt;&gt;"")*ISNUMBER(SEARCH(거래처별!$AD$8:$AD$307,$AB933))),거래처별!$A$8:$A$307),IFERROR(LOOKUP(2,1/((거래처별!$AE$8:$AE$307&lt;&gt;"")*ISNUMBER(SEARCH(거래처별!$AE$8:$AE$307,$AB933))),거래처별!$A$8:$A$307),0))))</f>
        <v/>
      </c>
      <c r="AD933" s="31">
        <f>IF(AND($Y933&lt;&gt;"",N($Z933)&gt;0,$AC933=0),MAX($AD$7:$AD932)+1,"")</f>
        <v/>
      </c>
      <c r="AE933" s="31">
        <f>IF($Y933="",0,$Y933)</f>
        <v/>
      </c>
    </row>
    <row r="934">
      <c r="W934" s="31">
        <f>IF(OR($B$5="",$C$6="",ROW()&lt;$B$5),"",IF(INDEX($A:$U,ROW(),$C$6)="","",INDEX($A:$U,ROW(),$C$6)))</f>
        <v/>
      </c>
      <c r="X934" s="32">
        <f>IF($W934="","",IF(ISNUMBER($W934),IF($W934&gt;=10000000,IFERROR(DATE(INT($W934/10000),MOD(INT($W934/100),100),MOD($W934,100)),""),INT($W934)),IFERROR(DATE(--LEFT(LEFT(SUBSTITUTE(SUBSTITUTE(SUBSTITUTE(SUBSTITUTE(TRIM($W934),"-",""),".",""),"/","")," ",""),8),4),--MID(LEFT(SUBSTITUTE(SUBSTITUTE(SUBSTITUTE(SUBSTITUTE(TRIM($W934),"-",""),".",""),"/","")," ",""),8),5,2),--MID(LEFT(SUBSTITUTE(SUBSTITUTE(SUBSTITUTE(SUBSTITUTE(TRIM($W934),"-",""),".",""),"/","")," ",""),8),7,2)),"")))</f>
        <v/>
      </c>
      <c r="Y934" s="32">
        <f>IF($X934="","",INT($X934))</f>
        <v/>
      </c>
      <c r="Z934" s="33">
        <f>IF(OR($Y934="",$D$6=""),"",IF(INDEX($A:$U,ROW(),$D$6)="",0,IF(ISNUMBER(INDEX($A:$U,ROW(),$D$6)),INDEX($A:$U,ROW(),$D$6),IFERROR(--SUBSTITUTE(SUBSTITUTE(TRIM(INDEX($A:$U,ROW(),$D$6)),",",""),"원",""),0))))</f>
        <v/>
      </c>
      <c r="AA934" s="31">
        <f>IF($Y934="","",TRIM(INDEX($A:$U,ROW(),$E$6)&amp;IF($F$6="",""," "&amp;INDEX($A:$U,ROW(),$F$6))))</f>
        <v/>
      </c>
      <c r="AB934" s="31">
        <f>IF($AA934="","",SUBSTITUTE(SUBSTITUTE(SUBSTITUTE(SUBSTITUTE(SUBSTITUTE(SUBSTITUTE(SUBSTITUTE(SUBSTITUTE(SUBSTITUTE($AA934," ",""),"　",""),"(주)",""),"（주）",""),"㈜",""),"주식회사",""),"(유)",""),"（유）",""),"유한회사",""))</f>
        <v/>
      </c>
      <c r="AC934" s="31">
        <f>IF(OR($Y934="",N($Z934)&lt;=0,$AB934=""),0,IFERROR(LOOKUP(2,1/((거래처별!$AC$8:$AC$307&lt;&gt;"")*ISNUMBER(SEARCH(거래처별!$AC$8:$AC$307,$AB934))),거래처별!$A$8:$A$307),IFERROR(LOOKUP(2,1/((거래처별!$AD$8:$AD$307&lt;&gt;"")*ISNUMBER(SEARCH(거래처별!$AD$8:$AD$307,$AB934))),거래처별!$A$8:$A$307),IFERROR(LOOKUP(2,1/((거래처별!$AE$8:$AE$307&lt;&gt;"")*ISNUMBER(SEARCH(거래처별!$AE$8:$AE$307,$AB934))),거래처별!$A$8:$A$307),0))))</f>
        <v/>
      </c>
      <c r="AD934" s="31">
        <f>IF(AND($Y934&lt;&gt;"",N($Z934)&gt;0,$AC934=0),MAX($AD$7:$AD933)+1,"")</f>
        <v/>
      </c>
      <c r="AE934" s="31">
        <f>IF($Y934="",0,$Y934)</f>
        <v/>
      </c>
    </row>
    <row r="935">
      <c r="W935" s="31">
        <f>IF(OR($B$5="",$C$6="",ROW()&lt;$B$5),"",IF(INDEX($A:$U,ROW(),$C$6)="","",INDEX($A:$U,ROW(),$C$6)))</f>
        <v/>
      </c>
      <c r="X935" s="32">
        <f>IF($W935="","",IF(ISNUMBER($W935),IF($W935&gt;=10000000,IFERROR(DATE(INT($W935/10000),MOD(INT($W935/100),100),MOD($W935,100)),""),INT($W935)),IFERROR(DATE(--LEFT(LEFT(SUBSTITUTE(SUBSTITUTE(SUBSTITUTE(SUBSTITUTE(TRIM($W935),"-",""),".",""),"/","")," ",""),8),4),--MID(LEFT(SUBSTITUTE(SUBSTITUTE(SUBSTITUTE(SUBSTITUTE(TRIM($W935),"-",""),".",""),"/","")," ",""),8),5,2),--MID(LEFT(SUBSTITUTE(SUBSTITUTE(SUBSTITUTE(SUBSTITUTE(TRIM($W935),"-",""),".",""),"/","")," ",""),8),7,2)),"")))</f>
        <v/>
      </c>
      <c r="Y935" s="32">
        <f>IF($X935="","",INT($X935))</f>
        <v/>
      </c>
      <c r="Z935" s="33">
        <f>IF(OR($Y935="",$D$6=""),"",IF(INDEX($A:$U,ROW(),$D$6)="",0,IF(ISNUMBER(INDEX($A:$U,ROW(),$D$6)),INDEX($A:$U,ROW(),$D$6),IFERROR(--SUBSTITUTE(SUBSTITUTE(TRIM(INDEX($A:$U,ROW(),$D$6)),",",""),"원",""),0))))</f>
        <v/>
      </c>
      <c r="AA935" s="31">
        <f>IF($Y935="","",TRIM(INDEX($A:$U,ROW(),$E$6)&amp;IF($F$6="",""," "&amp;INDEX($A:$U,ROW(),$F$6))))</f>
        <v/>
      </c>
      <c r="AB935" s="31">
        <f>IF($AA935="","",SUBSTITUTE(SUBSTITUTE(SUBSTITUTE(SUBSTITUTE(SUBSTITUTE(SUBSTITUTE(SUBSTITUTE(SUBSTITUTE(SUBSTITUTE($AA935," ",""),"　",""),"(주)",""),"（주）",""),"㈜",""),"주식회사",""),"(유)",""),"（유）",""),"유한회사",""))</f>
        <v/>
      </c>
      <c r="AC935" s="31">
        <f>IF(OR($Y935="",N($Z935)&lt;=0,$AB935=""),0,IFERROR(LOOKUP(2,1/((거래처별!$AC$8:$AC$307&lt;&gt;"")*ISNUMBER(SEARCH(거래처별!$AC$8:$AC$307,$AB935))),거래처별!$A$8:$A$307),IFERROR(LOOKUP(2,1/((거래처별!$AD$8:$AD$307&lt;&gt;"")*ISNUMBER(SEARCH(거래처별!$AD$8:$AD$307,$AB935))),거래처별!$A$8:$A$307),IFERROR(LOOKUP(2,1/((거래처별!$AE$8:$AE$307&lt;&gt;"")*ISNUMBER(SEARCH(거래처별!$AE$8:$AE$307,$AB935))),거래처별!$A$8:$A$307),0))))</f>
        <v/>
      </c>
      <c r="AD935" s="31">
        <f>IF(AND($Y935&lt;&gt;"",N($Z935)&gt;0,$AC935=0),MAX($AD$7:$AD934)+1,"")</f>
        <v/>
      </c>
      <c r="AE935" s="31">
        <f>IF($Y935="",0,$Y935)</f>
        <v/>
      </c>
    </row>
    <row r="936">
      <c r="W936" s="31">
        <f>IF(OR($B$5="",$C$6="",ROW()&lt;$B$5),"",IF(INDEX($A:$U,ROW(),$C$6)="","",INDEX($A:$U,ROW(),$C$6)))</f>
        <v/>
      </c>
      <c r="X936" s="32">
        <f>IF($W936="","",IF(ISNUMBER($W936),IF($W936&gt;=10000000,IFERROR(DATE(INT($W936/10000),MOD(INT($W936/100),100),MOD($W936,100)),""),INT($W936)),IFERROR(DATE(--LEFT(LEFT(SUBSTITUTE(SUBSTITUTE(SUBSTITUTE(SUBSTITUTE(TRIM($W936),"-",""),".",""),"/","")," ",""),8),4),--MID(LEFT(SUBSTITUTE(SUBSTITUTE(SUBSTITUTE(SUBSTITUTE(TRIM($W936),"-",""),".",""),"/","")," ",""),8),5,2),--MID(LEFT(SUBSTITUTE(SUBSTITUTE(SUBSTITUTE(SUBSTITUTE(TRIM($W936),"-",""),".",""),"/","")," ",""),8),7,2)),"")))</f>
        <v/>
      </c>
      <c r="Y936" s="32">
        <f>IF($X936="","",INT($X936))</f>
        <v/>
      </c>
      <c r="Z936" s="33">
        <f>IF(OR($Y936="",$D$6=""),"",IF(INDEX($A:$U,ROW(),$D$6)="",0,IF(ISNUMBER(INDEX($A:$U,ROW(),$D$6)),INDEX($A:$U,ROW(),$D$6),IFERROR(--SUBSTITUTE(SUBSTITUTE(TRIM(INDEX($A:$U,ROW(),$D$6)),",",""),"원",""),0))))</f>
        <v/>
      </c>
      <c r="AA936" s="31">
        <f>IF($Y936="","",TRIM(INDEX($A:$U,ROW(),$E$6)&amp;IF($F$6="",""," "&amp;INDEX($A:$U,ROW(),$F$6))))</f>
        <v/>
      </c>
      <c r="AB936" s="31">
        <f>IF($AA936="","",SUBSTITUTE(SUBSTITUTE(SUBSTITUTE(SUBSTITUTE(SUBSTITUTE(SUBSTITUTE(SUBSTITUTE(SUBSTITUTE(SUBSTITUTE($AA936," ",""),"　",""),"(주)",""),"（주）",""),"㈜",""),"주식회사",""),"(유)",""),"（유）",""),"유한회사",""))</f>
        <v/>
      </c>
      <c r="AC936" s="31">
        <f>IF(OR($Y936="",N($Z936)&lt;=0,$AB936=""),0,IFERROR(LOOKUP(2,1/((거래처별!$AC$8:$AC$307&lt;&gt;"")*ISNUMBER(SEARCH(거래처별!$AC$8:$AC$307,$AB936))),거래처별!$A$8:$A$307),IFERROR(LOOKUP(2,1/((거래처별!$AD$8:$AD$307&lt;&gt;"")*ISNUMBER(SEARCH(거래처별!$AD$8:$AD$307,$AB936))),거래처별!$A$8:$A$307),IFERROR(LOOKUP(2,1/((거래처별!$AE$8:$AE$307&lt;&gt;"")*ISNUMBER(SEARCH(거래처별!$AE$8:$AE$307,$AB936))),거래처별!$A$8:$A$307),0))))</f>
        <v/>
      </c>
      <c r="AD936" s="31">
        <f>IF(AND($Y936&lt;&gt;"",N($Z936)&gt;0,$AC936=0),MAX($AD$7:$AD935)+1,"")</f>
        <v/>
      </c>
      <c r="AE936" s="31">
        <f>IF($Y936="",0,$Y936)</f>
        <v/>
      </c>
    </row>
    <row r="937">
      <c r="W937" s="31">
        <f>IF(OR($B$5="",$C$6="",ROW()&lt;$B$5),"",IF(INDEX($A:$U,ROW(),$C$6)="","",INDEX($A:$U,ROW(),$C$6)))</f>
        <v/>
      </c>
      <c r="X937" s="32">
        <f>IF($W937="","",IF(ISNUMBER($W937),IF($W937&gt;=10000000,IFERROR(DATE(INT($W937/10000),MOD(INT($W937/100),100),MOD($W937,100)),""),INT($W937)),IFERROR(DATE(--LEFT(LEFT(SUBSTITUTE(SUBSTITUTE(SUBSTITUTE(SUBSTITUTE(TRIM($W937),"-",""),".",""),"/","")," ",""),8),4),--MID(LEFT(SUBSTITUTE(SUBSTITUTE(SUBSTITUTE(SUBSTITUTE(TRIM($W937),"-",""),".",""),"/","")," ",""),8),5,2),--MID(LEFT(SUBSTITUTE(SUBSTITUTE(SUBSTITUTE(SUBSTITUTE(TRIM($W937),"-",""),".",""),"/","")," ",""),8),7,2)),"")))</f>
        <v/>
      </c>
      <c r="Y937" s="32">
        <f>IF($X937="","",INT($X937))</f>
        <v/>
      </c>
      <c r="Z937" s="33">
        <f>IF(OR($Y937="",$D$6=""),"",IF(INDEX($A:$U,ROW(),$D$6)="",0,IF(ISNUMBER(INDEX($A:$U,ROW(),$D$6)),INDEX($A:$U,ROW(),$D$6),IFERROR(--SUBSTITUTE(SUBSTITUTE(TRIM(INDEX($A:$U,ROW(),$D$6)),",",""),"원",""),0))))</f>
        <v/>
      </c>
      <c r="AA937" s="31">
        <f>IF($Y937="","",TRIM(INDEX($A:$U,ROW(),$E$6)&amp;IF($F$6="",""," "&amp;INDEX($A:$U,ROW(),$F$6))))</f>
        <v/>
      </c>
      <c r="AB937" s="31">
        <f>IF($AA937="","",SUBSTITUTE(SUBSTITUTE(SUBSTITUTE(SUBSTITUTE(SUBSTITUTE(SUBSTITUTE(SUBSTITUTE(SUBSTITUTE(SUBSTITUTE($AA937," ",""),"　",""),"(주)",""),"（주）",""),"㈜",""),"주식회사",""),"(유)",""),"（유）",""),"유한회사",""))</f>
        <v/>
      </c>
      <c r="AC937" s="31">
        <f>IF(OR($Y937="",N($Z937)&lt;=0,$AB937=""),0,IFERROR(LOOKUP(2,1/((거래처별!$AC$8:$AC$307&lt;&gt;"")*ISNUMBER(SEARCH(거래처별!$AC$8:$AC$307,$AB937))),거래처별!$A$8:$A$307),IFERROR(LOOKUP(2,1/((거래처별!$AD$8:$AD$307&lt;&gt;"")*ISNUMBER(SEARCH(거래처별!$AD$8:$AD$307,$AB937))),거래처별!$A$8:$A$307),IFERROR(LOOKUP(2,1/((거래처별!$AE$8:$AE$307&lt;&gt;"")*ISNUMBER(SEARCH(거래처별!$AE$8:$AE$307,$AB937))),거래처별!$A$8:$A$307),0))))</f>
        <v/>
      </c>
      <c r="AD937" s="31">
        <f>IF(AND($Y937&lt;&gt;"",N($Z937)&gt;0,$AC937=0),MAX($AD$7:$AD936)+1,"")</f>
        <v/>
      </c>
      <c r="AE937" s="31">
        <f>IF($Y937="",0,$Y937)</f>
        <v/>
      </c>
    </row>
    <row r="938">
      <c r="W938" s="31">
        <f>IF(OR($B$5="",$C$6="",ROW()&lt;$B$5),"",IF(INDEX($A:$U,ROW(),$C$6)="","",INDEX($A:$U,ROW(),$C$6)))</f>
        <v/>
      </c>
      <c r="X938" s="32">
        <f>IF($W938="","",IF(ISNUMBER($W938),IF($W938&gt;=10000000,IFERROR(DATE(INT($W938/10000),MOD(INT($W938/100),100),MOD($W938,100)),""),INT($W938)),IFERROR(DATE(--LEFT(LEFT(SUBSTITUTE(SUBSTITUTE(SUBSTITUTE(SUBSTITUTE(TRIM($W938),"-",""),".",""),"/","")," ",""),8),4),--MID(LEFT(SUBSTITUTE(SUBSTITUTE(SUBSTITUTE(SUBSTITUTE(TRIM($W938),"-",""),".",""),"/","")," ",""),8),5,2),--MID(LEFT(SUBSTITUTE(SUBSTITUTE(SUBSTITUTE(SUBSTITUTE(TRIM($W938),"-",""),".",""),"/","")," ",""),8),7,2)),"")))</f>
        <v/>
      </c>
      <c r="Y938" s="32">
        <f>IF($X938="","",INT($X938))</f>
        <v/>
      </c>
      <c r="Z938" s="33">
        <f>IF(OR($Y938="",$D$6=""),"",IF(INDEX($A:$U,ROW(),$D$6)="",0,IF(ISNUMBER(INDEX($A:$U,ROW(),$D$6)),INDEX($A:$U,ROW(),$D$6),IFERROR(--SUBSTITUTE(SUBSTITUTE(TRIM(INDEX($A:$U,ROW(),$D$6)),",",""),"원",""),0))))</f>
        <v/>
      </c>
      <c r="AA938" s="31">
        <f>IF($Y938="","",TRIM(INDEX($A:$U,ROW(),$E$6)&amp;IF($F$6="",""," "&amp;INDEX($A:$U,ROW(),$F$6))))</f>
        <v/>
      </c>
      <c r="AB938" s="31">
        <f>IF($AA938="","",SUBSTITUTE(SUBSTITUTE(SUBSTITUTE(SUBSTITUTE(SUBSTITUTE(SUBSTITUTE(SUBSTITUTE(SUBSTITUTE(SUBSTITUTE($AA938," ",""),"　",""),"(주)",""),"（주）",""),"㈜",""),"주식회사",""),"(유)",""),"（유）",""),"유한회사",""))</f>
        <v/>
      </c>
      <c r="AC938" s="31">
        <f>IF(OR($Y938="",N($Z938)&lt;=0,$AB938=""),0,IFERROR(LOOKUP(2,1/((거래처별!$AC$8:$AC$307&lt;&gt;"")*ISNUMBER(SEARCH(거래처별!$AC$8:$AC$307,$AB938))),거래처별!$A$8:$A$307),IFERROR(LOOKUP(2,1/((거래처별!$AD$8:$AD$307&lt;&gt;"")*ISNUMBER(SEARCH(거래처별!$AD$8:$AD$307,$AB938))),거래처별!$A$8:$A$307),IFERROR(LOOKUP(2,1/((거래처별!$AE$8:$AE$307&lt;&gt;"")*ISNUMBER(SEARCH(거래처별!$AE$8:$AE$307,$AB938))),거래처별!$A$8:$A$307),0))))</f>
        <v/>
      </c>
      <c r="AD938" s="31">
        <f>IF(AND($Y938&lt;&gt;"",N($Z938)&gt;0,$AC938=0),MAX($AD$7:$AD937)+1,"")</f>
        <v/>
      </c>
      <c r="AE938" s="31">
        <f>IF($Y938="",0,$Y938)</f>
        <v/>
      </c>
    </row>
    <row r="939">
      <c r="W939" s="31">
        <f>IF(OR($B$5="",$C$6="",ROW()&lt;$B$5),"",IF(INDEX($A:$U,ROW(),$C$6)="","",INDEX($A:$U,ROW(),$C$6)))</f>
        <v/>
      </c>
      <c r="X939" s="32">
        <f>IF($W939="","",IF(ISNUMBER($W939),IF($W939&gt;=10000000,IFERROR(DATE(INT($W939/10000),MOD(INT($W939/100),100),MOD($W939,100)),""),INT($W939)),IFERROR(DATE(--LEFT(LEFT(SUBSTITUTE(SUBSTITUTE(SUBSTITUTE(SUBSTITUTE(TRIM($W939),"-",""),".",""),"/","")," ",""),8),4),--MID(LEFT(SUBSTITUTE(SUBSTITUTE(SUBSTITUTE(SUBSTITUTE(TRIM($W939),"-",""),".",""),"/","")," ",""),8),5,2),--MID(LEFT(SUBSTITUTE(SUBSTITUTE(SUBSTITUTE(SUBSTITUTE(TRIM($W939),"-",""),".",""),"/","")," ",""),8),7,2)),"")))</f>
        <v/>
      </c>
      <c r="Y939" s="32">
        <f>IF($X939="","",INT($X939))</f>
        <v/>
      </c>
      <c r="Z939" s="33">
        <f>IF(OR($Y939="",$D$6=""),"",IF(INDEX($A:$U,ROW(),$D$6)="",0,IF(ISNUMBER(INDEX($A:$U,ROW(),$D$6)),INDEX($A:$U,ROW(),$D$6),IFERROR(--SUBSTITUTE(SUBSTITUTE(TRIM(INDEX($A:$U,ROW(),$D$6)),",",""),"원",""),0))))</f>
        <v/>
      </c>
      <c r="AA939" s="31">
        <f>IF($Y939="","",TRIM(INDEX($A:$U,ROW(),$E$6)&amp;IF($F$6="",""," "&amp;INDEX($A:$U,ROW(),$F$6))))</f>
        <v/>
      </c>
      <c r="AB939" s="31">
        <f>IF($AA939="","",SUBSTITUTE(SUBSTITUTE(SUBSTITUTE(SUBSTITUTE(SUBSTITUTE(SUBSTITUTE(SUBSTITUTE(SUBSTITUTE(SUBSTITUTE($AA939," ",""),"　",""),"(주)",""),"（주）",""),"㈜",""),"주식회사",""),"(유)",""),"（유）",""),"유한회사",""))</f>
        <v/>
      </c>
      <c r="AC939" s="31">
        <f>IF(OR($Y939="",N($Z939)&lt;=0,$AB939=""),0,IFERROR(LOOKUP(2,1/((거래처별!$AC$8:$AC$307&lt;&gt;"")*ISNUMBER(SEARCH(거래처별!$AC$8:$AC$307,$AB939))),거래처별!$A$8:$A$307),IFERROR(LOOKUP(2,1/((거래처별!$AD$8:$AD$307&lt;&gt;"")*ISNUMBER(SEARCH(거래처별!$AD$8:$AD$307,$AB939))),거래처별!$A$8:$A$307),IFERROR(LOOKUP(2,1/((거래처별!$AE$8:$AE$307&lt;&gt;"")*ISNUMBER(SEARCH(거래처별!$AE$8:$AE$307,$AB939))),거래처별!$A$8:$A$307),0))))</f>
        <v/>
      </c>
      <c r="AD939" s="31">
        <f>IF(AND($Y939&lt;&gt;"",N($Z939)&gt;0,$AC939=0),MAX($AD$7:$AD938)+1,"")</f>
        <v/>
      </c>
      <c r="AE939" s="31">
        <f>IF($Y939="",0,$Y939)</f>
        <v/>
      </c>
    </row>
    <row r="940">
      <c r="W940" s="31">
        <f>IF(OR($B$5="",$C$6="",ROW()&lt;$B$5),"",IF(INDEX($A:$U,ROW(),$C$6)="","",INDEX($A:$U,ROW(),$C$6)))</f>
        <v/>
      </c>
      <c r="X940" s="32">
        <f>IF($W940="","",IF(ISNUMBER($W940),IF($W940&gt;=10000000,IFERROR(DATE(INT($W940/10000),MOD(INT($W940/100),100),MOD($W940,100)),""),INT($W940)),IFERROR(DATE(--LEFT(LEFT(SUBSTITUTE(SUBSTITUTE(SUBSTITUTE(SUBSTITUTE(TRIM($W940),"-",""),".",""),"/","")," ",""),8),4),--MID(LEFT(SUBSTITUTE(SUBSTITUTE(SUBSTITUTE(SUBSTITUTE(TRIM($W940),"-",""),".",""),"/","")," ",""),8),5,2),--MID(LEFT(SUBSTITUTE(SUBSTITUTE(SUBSTITUTE(SUBSTITUTE(TRIM($W940),"-",""),".",""),"/","")," ",""),8),7,2)),"")))</f>
        <v/>
      </c>
      <c r="Y940" s="32">
        <f>IF($X940="","",INT($X940))</f>
        <v/>
      </c>
      <c r="Z940" s="33">
        <f>IF(OR($Y940="",$D$6=""),"",IF(INDEX($A:$U,ROW(),$D$6)="",0,IF(ISNUMBER(INDEX($A:$U,ROW(),$D$6)),INDEX($A:$U,ROW(),$D$6),IFERROR(--SUBSTITUTE(SUBSTITUTE(TRIM(INDEX($A:$U,ROW(),$D$6)),",",""),"원",""),0))))</f>
        <v/>
      </c>
      <c r="AA940" s="31">
        <f>IF($Y940="","",TRIM(INDEX($A:$U,ROW(),$E$6)&amp;IF($F$6="",""," "&amp;INDEX($A:$U,ROW(),$F$6))))</f>
        <v/>
      </c>
      <c r="AB940" s="31">
        <f>IF($AA940="","",SUBSTITUTE(SUBSTITUTE(SUBSTITUTE(SUBSTITUTE(SUBSTITUTE(SUBSTITUTE(SUBSTITUTE(SUBSTITUTE(SUBSTITUTE($AA940," ",""),"　",""),"(주)",""),"（주）",""),"㈜",""),"주식회사",""),"(유)",""),"（유）",""),"유한회사",""))</f>
        <v/>
      </c>
      <c r="AC940" s="31">
        <f>IF(OR($Y940="",N($Z940)&lt;=0,$AB940=""),0,IFERROR(LOOKUP(2,1/((거래처별!$AC$8:$AC$307&lt;&gt;"")*ISNUMBER(SEARCH(거래처별!$AC$8:$AC$307,$AB940))),거래처별!$A$8:$A$307),IFERROR(LOOKUP(2,1/((거래처별!$AD$8:$AD$307&lt;&gt;"")*ISNUMBER(SEARCH(거래처별!$AD$8:$AD$307,$AB940))),거래처별!$A$8:$A$307),IFERROR(LOOKUP(2,1/((거래처별!$AE$8:$AE$307&lt;&gt;"")*ISNUMBER(SEARCH(거래처별!$AE$8:$AE$307,$AB940))),거래처별!$A$8:$A$307),0))))</f>
        <v/>
      </c>
      <c r="AD940" s="31">
        <f>IF(AND($Y940&lt;&gt;"",N($Z940)&gt;0,$AC940=0),MAX($AD$7:$AD939)+1,"")</f>
        <v/>
      </c>
      <c r="AE940" s="31">
        <f>IF($Y940="",0,$Y940)</f>
        <v/>
      </c>
    </row>
    <row r="941">
      <c r="W941" s="31">
        <f>IF(OR($B$5="",$C$6="",ROW()&lt;$B$5),"",IF(INDEX($A:$U,ROW(),$C$6)="","",INDEX($A:$U,ROW(),$C$6)))</f>
        <v/>
      </c>
      <c r="X941" s="32">
        <f>IF($W941="","",IF(ISNUMBER($W941),IF($W941&gt;=10000000,IFERROR(DATE(INT($W941/10000),MOD(INT($W941/100),100),MOD($W941,100)),""),INT($W941)),IFERROR(DATE(--LEFT(LEFT(SUBSTITUTE(SUBSTITUTE(SUBSTITUTE(SUBSTITUTE(TRIM($W941),"-",""),".",""),"/","")," ",""),8),4),--MID(LEFT(SUBSTITUTE(SUBSTITUTE(SUBSTITUTE(SUBSTITUTE(TRIM($W941),"-",""),".",""),"/","")," ",""),8),5,2),--MID(LEFT(SUBSTITUTE(SUBSTITUTE(SUBSTITUTE(SUBSTITUTE(TRIM($W941),"-",""),".",""),"/","")," ",""),8),7,2)),"")))</f>
        <v/>
      </c>
      <c r="Y941" s="32">
        <f>IF($X941="","",INT($X941))</f>
        <v/>
      </c>
      <c r="Z941" s="33">
        <f>IF(OR($Y941="",$D$6=""),"",IF(INDEX($A:$U,ROW(),$D$6)="",0,IF(ISNUMBER(INDEX($A:$U,ROW(),$D$6)),INDEX($A:$U,ROW(),$D$6),IFERROR(--SUBSTITUTE(SUBSTITUTE(TRIM(INDEX($A:$U,ROW(),$D$6)),",",""),"원",""),0))))</f>
        <v/>
      </c>
      <c r="AA941" s="31">
        <f>IF($Y941="","",TRIM(INDEX($A:$U,ROW(),$E$6)&amp;IF($F$6="",""," "&amp;INDEX($A:$U,ROW(),$F$6))))</f>
        <v/>
      </c>
      <c r="AB941" s="31">
        <f>IF($AA941="","",SUBSTITUTE(SUBSTITUTE(SUBSTITUTE(SUBSTITUTE(SUBSTITUTE(SUBSTITUTE(SUBSTITUTE(SUBSTITUTE(SUBSTITUTE($AA941," ",""),"　",""),"(주)",""),"（주）",""),"㈜",""),"주식회사",""),"(유)",""),"（유）",""),"유한회사",""))</f>
        <v/>
      </c>
      <c r="AC941" s="31">
        <f>IF(OR($Y941="",N($Z941)&lt;=0,$AB941=""),0,IFERROR(LOOKUP(2,1/((거래처별!$AC$8:$AC$307&lt;&gt;"")*ISNUMBER(SEARCH(거래처별!$AC$8:$AC$307,$AB941))),거래처별!$A$8:$A$307),IFERROR(LOOKUP(2,1/((거래처별!$AD$8:$AD$307&lt;&gt;"")*ISNUMBER(SEARCH(거래처별!$AD$8:$AD$307,$AB941))),거래처별!$A$8:$A$307),IFERROR(LOOKUP(2,1/((거래처별!$AE$8:$AE$307&lt;&gt;"")*ISNUMBER(SEARCH(거래처별!$AE$8:$AE$307,$AB941))),거래처별!$A$8:$A$307),0))))</f>
        <v/>
      </c>
      <c r="AD941" s="31">
        <f>IF(AND($Y941&lt;&gt;"",N($Z941)&gt;0,$AC941=0),MAX($AD$7:$AD940)+1,"")</f>
        <v/>
      </c>
      <c r="AE941" s="31">
        <f>IF($Y941="",0,$Y941)</f>
        <v/>
      </c>
    </row>
    <row r="942">
      <c r="W942" s="31">
        <f>IF(OR($B$5="",$C$6="",ROW()&lt;$B$5),"",IF(INDEX($A:$U,ROW(),$C$6)="","",INDEX($A:$U,ROW(),$C$6)))</f>
        <v/>
      </c>
      <c r="X942" s="32">
        <f>IF($W942="","",IF(ISNUMBER($W942),IF($W942&gt;=10000000,IFERROR(DATE(INT($W942/10000),MOD(INT($W942/100),100),MOD($W942,100)),""),INT($W942)),IFERROR(DATE(--LEFT(LEFT(SUBSTITUTE(SUBSTITUTE(SUBSTITUTE(SUBSTITUTE(TRIM($W942),"-",""),".",""),"/","")," ",""),8),4),--MID(LEFT(SUBSTITUTE(SUBSTITUTE(SUBSTITUTE(SUBSTITUTE(TRIM($W942),"-",""),".",""),"/","")," ",""),8),5,2),--MID(LEFT(SUBSTITUTE(SUBSTITUTE(SUBSTITUTE(SUBSTITUTE(TRIM($W942),"-",""),".",""),"/","")," ",""),8),7,2)),"")))</f>
        <v/>
      </c>
      <c r="Y942" s="32">
        <f>IF($X942="","",INT($X942))</f>
        <v/>
      </c>
      <c r="Z942" s="33">
        <f>IF(OR($Y942="",$D$6=""),"",IF(INDEX($A:$U,ROW(),$D$6)="",0,IF(ISNUMBER(INDEX($A:$U,ROW(),$D$6)),INDEX($A:$U,ROW(),$D$6),IFERROR(--SUBSTITUTE(SUBSTITUTE(TRIM(INDEX($A:$U,ROW(),$D$6)),",",""),"원",""),0))))</f>
        <v/>
      </c>
      <c r="AA942" s="31">
        <f>IF($Y942="","",TRIM(INDEX($A:$U,ROW(),$E$6)&amp;IF($F$6="",""," "&amp;INDEX($A:$U,ROW(),$F$6))))</f>
        <v/>
      </c>
      <c r="AB942" s="31">
        <f>IF($AA942="","",SUBSTITUTE(SUBSTITUTE(SUBSTITUTE(SUBSTITUTE(SUBSTITUTE(SUBSTITUTE(SUBSTITUTE(SUBSTITUTE(SUBSTITUTE($AA942," ",""),"　",""),"(주)",""),"（주）",""),"㈜",""),"주식회사",""),"(유)",""),"（유）",""),"유한회사",""))</f>
        <v/>
      </c>
      <c r="AC942" s="31">
        <f>IF(OR($Y942="",N($Z942)&lt;=0,$AB942=""),0,IFERROR(LOOKUP(2,1/((거래처별!$AC$8:$AC$307&lt;&gt;"")*ISNUMBER(SEARCH(거래처별!$AC$8:$AC$307,$AB942))),거래처별!$A$8:$A$307),IFERROR(LOOKUP(2,1/((거래처별!$AD$8:$AD$307&lt;&gt;"")*ISNUMBER(SEARCH(거래처별!$AD$8:$AD$307,$AB942))),거래처별!$A$8:$A$307),IFERROR(LOOKUP(2,1/((거래처별!$AE$8:$AE$307&lt;&gt;"")*ISNUMBER(SEARCH(거래처별!$AE$8:$AE$307,$AB942))),거래처별!$A$8:$A$307),0))))</f>
        <v/>
      </c>
      <c r="AD942" s="31">
        <f>IF(AND($Y942&lt;&gt;"",N($Z942)&gt;0,$AC942=0),MAX($AD$7:$AD941)+1,"")</f>
        <v/>
      </c>
      <c r="AE942" s="31">
        <f>IF($Y942="",0,$Y942)</f>
        <v/>
      </c>
    </row>
    <row r="943">
      <c r="W943" s="31">
        <f>IF(OR($B$5="",$C$6="",ROW()&lt;$B$5),"",IF(INDEX($A:$U,ROW(),$C$6)="","",INDEX($A:$U,ROW(),$C$6)))</f>
        <v/>
      </c>
      <c r="X943" s="32">
        <f>IF($W943="","",IF(ISNUMBER($W943),IF($W943&gt;=10000000,IFERROR(DATE(INT($W943/10000),MOD(INT($W943/100),100),MOD($W943,100)),""),INT($W943)),IFERROR(DATE(--LEFT(LEFT(SUBSTITUTE(SUBSTITUTE(SUBSTITUTE(SUBSTITUTE(TRIM($W943),"-",""),".",""),"/","")," ",""),8),4),--MID(LEFT(SUBSTITUTE(SUBSTITUTE(SUBSTITUTE(SUBSTITUTE(TRIM($W943),"-",""),".",""),"/","")," ",""),8),5,2),--MID(LEFT(SUBSTITUTE(SUBSTITUTE(SUBSTITUTE(SUBSTITUTE(TRIM($W943),"-",""),".",""),"/","")," ",""),8),7,2)),"")))</f>
        <v/>
      </c>
      <c r="Y943" s="32">
        <f>IF($X943="","",INT($X943))</f>
        <v/>
      </c>
      <c r="Z943" s="33">
        <f>IF(OR($Y943="",$D$6=""),"",IF(INDEX($A:$U,ROW(),$D$6)="",0,IF(ISNUMBER(INDEX($A:$U,ROW(),$D$6)),INDEX($A:$U,ROW(),$D$6),IFERROR(--SUBSTITUTE(SUBSTITUTE(TRIM(INDEX($A:$U,ROW(),$D$6)),",",""),"원",""),0))))</f>
        <v/>
      </c>
      <c r="AA943" s="31">
        <f>IF($Y943="","",TRIM(INDEX($A:$U,ROW(),$E$6)&amp;IF($F$6="",""," "&amp;INDEX($A:$U,ROW(),$F$6))))</f>
        <v/>
      </c>
      <c r="AB943" s="31">
        <f>IF($AA943="","",SUBSTITUTE(SUBSTITUTE(SUBSTITUTE(SUBSTITUTE(SUBSTITUTE(SUBSTITUTE(SUBSTITUTE(SUBSTITUTE(SUBSTITUTE($AA943," ",""),"　",""),"(주)",""),"（주）",""),"㈜",""),"주식회사",""),"(유)",""),"（유）",""),"유한회사",""))</f>
        <v/>
      </c>
      <c r="AC943" s="31">
        <f>IF(OR($Y943="",N($Z943)&lt;=0,$AB943=""),0,IFERROR(LOOKUP(2,1/((거래처별!$AC$8:$AC$307&lt;&gt;"")*ISNUMBER(SEARCH(거래처별!$AC$8:$AC$307,$AB943))),거래처별!$A$8:$A$307),IFERROR(LOOKUP(2,1/((거래처별!$AD$8:$AD$307&lt;&gt;"")*ISNUMBER(SEARCH(거래처별!$AD$8:$AD$307,$AB943))),거래처별!$A$8:$A$307),IFERROR(LOOKUP(2,1/((거래처별!$AE$8:$AE$307&lt;&gt;"")*ISNUMBER(SEARCH(거래처별!$AE$8:$AE$307,$AB943))),거래처별!$A$8:$A$307),0))))</f>
        <v/>
      </c>
      <c r="AD943" s="31">
        <f>IF(AND($Y943&lt;&gt;"",N($Z943)&gt;0,$AC943=0),MAX($AD$7:$AD942)+1,"")</f>
        <v/>
      </c>
      <c r="AE943" s="31">
        <f>IF($Y943="",0,$Y943)</f>
        <v/>
      </c>
    </row>
    <row r="944">
      <c r="W944" s="31">
        <f>IF(OR($B$5="",$C$6="",ROW()&lt;$B$5),"",IF(INDEX($A:$U,ROW(),$C$6)="","",INDEX($A:$U,ROW(),$C$6)))</f>
        <v/>
      </c>
      <c r="X944" s="32">
        <f>IF($W944="","",IF(ISNUMBER($W944),IF($W944&gt;=10000000,IFERROR(DATE(INT($W944/10000),MOD(INT($W944/100),100),MOD($W944,100)),""),INT($W944)),IFERROR(DATE(--LEFT(LEFT(SUBSTITUTE(SUBSTITUTE(SUBSTITUTE(SUBSTITUTE(TRIM($W944),"-",""),".",""),"/","")," ",""),8),4),--MID(LEFT(SUBSTITUTE(SUBSTITUTE(SUBSTITUTE(SUBSTITUTE(TRIM($W944),"-",""),".",""),"/","")," ",""),8),5,2),--MID(LEFT(SUBSTITUTE(SUBSTITUTE(SUBSTITUTE(SUBSTITUTE(TRIM($W944),"-",""),".",""),"/","")," ",""),8),7,2)),"")))</f>
        <v/>
      </c>
      <c r="Y944" s="32">
        <f>IF($X944="","",INT($X944))</f>
        <v/>
      </c>
      <c r="Z944" s="33">
        <f>IF(OR($Y944="",$D$6=""),"",IF(INDEX($A:$U,ROW(),$D$6)="",0,IF(ISNUMBER(INDEX($A:$U,ROW(),$D$6)),INDEX($A:$U,ROW(),$D$6),IFERROR(--SUBSTITUTE(SUBSTITUTE(TRIM(INDEX($A:$U,ROW(),$D$6)),",",""),"원",""),0))))</f>
        <v/>
      </c>
      <c r="AA944" s="31">
        <f>IF($Y944="","",TRIM(INDEX($A:$U,ROW(),$E$6)&amp;IF($F$6="",""," "&amp;INDEX($A:$U,ROW(),$F$6))))</f>
        <v/>
      </c>
      <c r="AB944" s="31">
        <f>IF($AA944="","",SUBSTITUTE(SUBSTITUTE(SUBSTITUTE(SUBSTITUTE(SUBSTITUTE(SUBSTITUTE(SUBSTITUTE(SUBSTITUTE(SUBSTITUTE($AA944," ",""),"　",""),"(주)",""),"（주）",""),"㈜",""),"주식회사",""),"(유)",""),"（유）",""),"유한회사",""))</f>
        <v/>
      </c>
      <c r="AC944" s="31">
        <f>IF(OR($Y944="",N($Z944)&lt;=0,$AB944=""),0,IFERROR(LOOKUP(2,1/((거래처별!$AC$8:$AC$307&lt;&gt;"")*ISNUMBER(SEARCH(거래처별!$AC$8:$AC$307,$AB944))),거래처별!$A$8:$A$307),IFERROR(LOOKUP(2,1/((거래처별!$AD$8:$AD$307&lt;&gt;"")*ISNUMBER(SEARCH(거래처별!$AD$8:$AD$307,$AB944))),거래처별!$A$8:$A$307),IFERROR(LOOKUP(2,1/((거래처별!$AE$8:$AE$307&lt;&gt;"")*ISNUMBER(SEARCH(거래처별!$AE$8:$AE$307,$AB944))),거래처별!$A$8:$A$307),0))))</f>
        <v/>
      </c>
      <c r="AD944" s="31">
        <f>IF(AND($Y944&lt;&gt;"",N($Z944)&gt;0,$AC944=0),MAX($AD$7:$AD943)+1,"")</f>
        <v/>
      </c>
      <c r="AE944" s="31">
        <f>IF($Y944="",0,$Y944)</f>
        <v/>
      </c>
    </row>
    <row r="945">
      <c r="W945" s="31">
        <f>IF(OR($B$5="",$C$6="",ROW()&lt;$B$5),"",IF(INDEX($A:$U,ROW(),$C$6)="","",INDEX($A:$U,ROW(),$C$6)))</f>
        <v/>
      </c>
      <c r="X945" s="32">
        <f>IF($W945="","",IF(ISNUMBER($W945),IF($W945&gt;=10000000,IFERROR(DATE(INT($W945/10000),MOD(INT($W945/100),100),MOD($W945,100)),""),INT($W945)),IFERROR(DATE(--LEFT(LEFT(SUBSTITUTE(SUBSTITUTE(SUBSTITUTE(SUBSTITUTE(TRIM($W945),"-",""),".",""),"/","")," ",""),8),4),--MID(LEFT(SUBSTITUTE(SUBSTITUTE(SUBSTITUTE(SUBSTITUTE(TRIM($W945),"-",""),".",""),"/","")," ",""),8),5,2),--MID(LEFT(SUBSTITUTE(SUBSTITUTE(SUBSTITUTE(SUBSTITUTE(TRIM($W945),"-",""),".",""),"/","")," ",""),8),7,2)),"")))</f>
        <v/>
      </c>
      <c r="Y945" s="32">
        <f>IF($X945="","",INT($X945))</f>
        <v/>
      </c>
      <c r="Z945" s="33">
        <f>IF(OR($Y945="",$D$6=""),"",IF(INDEX($A:$U,ROW(),$D$6)="",0,IF(ISNUMBER(INDEX($A:$U,ROW(),$D$6)),INDEX($A:$U,ROW(),$D$6),IFERROR(--SUBSTITUTE(SUBSTITUTE(TRIM(INDEX($A:$U,ROW(),$D$6)),",",""),"원",""),0))))</f>
        <v/>
      </c>
      <c r="AA945" s="31">
        <f>IF($Y945="","",TRIM(INDEX($A:$U,ROW(),$E$6)&amp;IF($F$6="",""," "&amp;INDEX($A:$U,ROW(),$F$6))))</f>
        <v/>
      </c>
      <c r="AB945" s="31">
        <f>IF($AA945="","",SUBSTITUTE(SUBSTITUTE(SUBSTITUTE(SUBSTITUTE(SUBSTITUTE(SUBSTITUTE(SUBSTITUTE(SUBSTITUTE(SUBSTITUTE($AA945," ",""),"　",""),"(주)",""),"（주）",""),"㈜",""),"주식회사",""),"(유)",""),"（유）",""),"유한회사",""))</f>
        <v/>
      </c>
      <c r="AC945" s="31">
        <f>IF(OR($Y945="",N($Z945)&lt;=0,$AB945=""),0,IFERROR(LOOKUP(2,1/((거래처별!$AC$8:$AC$307&lt;&gt;"")*ISNUMBER(SEARCH(거래처별!$AC$8:$AC$307,$AB945))),거래처별!$A$8:$A$307),IFERROR(LOOKUP(2,1/((거래처별!$AD$8:$AD$307&lt;&gt;"")*ISNUMBER(SEARCH(거래처별!$AD$8:$AD$307,$AB945))),거래처별!$A$8:$A$307),IFERROR(LOOKUP(2,1/((거래처별!$AE$8:$AE$307&lt;&gt;"")*ISNUMBER(SEARCH(거래처별!$AE$8:$AE$307,$AB945))),거래처별!$A$8:$A$307),0))))</f>
        <v/>
      </c>
      <c r="AD945" s="31">
        <f>IF(AND($Y945&lt;&gt;"",N($Z945)&gt;0,$AC945=0),MAX($AD$7:$AD944)+1,"")</f>
        <v/>
      </c>
      <c r="AE945" s="31">
        <f>IF($Y945="",0,$Y945)</f>
        <v/>
      </c>
    </row>
    <row r="946">
      <c r="W946" s="31">
        <f>IF(OR($B$5="",$C$6="",ROW()&lt;$B$5),"",IF(INDEX($A:$U,ROW(),$C$6)="","",INDEX($A:$U,ROW(),$C$6)))</f>
        <v/>
      </c>
      <c r="X946" s="32">
        <f>IF($W946="","",IF(ISNUMBER($W946),IF($W946&gt;=10000000,IFERROR(DATE(INT($W946/10000),MOD(INT($W946/100),100),MOD($W946,100)),""),INT($W946)),IFERROR(DATE(--LEFT(LEFT(SUBSTITUTE(SUBSTITUTE(SUBSTITUTE(SUBSTITUTE(TRIM($W946),"-",""),".",""),"/","")," ",""),8),4),--MID(LEFT(SUBSTITUTE(SUBSTITUTE(SUBSTITUTE(SUBSTITUTE(TRIM($W946),"-",""),".",""),"/","")," ",""),8),5,2),--MID(LEFT(SUBSTITUTE(SUBSTITUTE(SUBSTITUTE(SUBSTITUTE(TRIM($W946),"-",""),".",""),"/","")," ",""),8),7,2)),"")))</f>
        <v/>
      </c>
      <c r="Y946" s="32">
        <f>IF($X946="","",INT($X946))</f>
        <v/>
      </c>
      <c r="Z946" s="33">
        <f>IF(OR($Y946="",$D$6=""),"",IF(INDEX($A:$U,ROW(),$D$6)="",0,IF(ISNUMBER(INDEX($A:$U,ROW(),$D$6)),INDEX($A:$U,ROW(),$D$6),IFERROR(--SUBSTITUTE(SUBSTITUTE(TRIM(INDEX($A:$U,ROW(),$D$6)),",",""),"원",""),0))))</f>
        <v/>
      </c>
      <c r="AA946" s="31">
        <f>IF($Y946="","",TRIM(INDEX($A:$U,ROW(),$E$6)&amp;IF($F$6="",""," "&amp;INDEX($A:$U,ROW(),$F$6))))</f>
        <v/>
      </c>
      <c r="AB946" s="31">
        <f>IF($AA946="","",SUBSTITUTE(SUBSTITUTE(SUBSTITUTE(SUBSTITUTE(SUBSTITUTE(SUBSTITUTE(SUBSTITUTE(SUBSTITUTE(SUBSTITUTE($AA946," ",""),"　",""),"(주)",""),"（주）",""),"㈜",""),"주식회사",""),"(유)",""),"（유）",""),"유한회사",""))</f>
        <v/>
      </c>
      <c r="AC946" s="31">
        <f>IF(OR($Y946="",N($Z946)&lt;=0,$AB946=""),0,IFERROR(LOOKUP(2,1/((거래처별!$AC$8:$AC$307&lt;&gt;"")*ISNUMBER(SEARCH(거래처별!$AC$8:$AC$307,$AB946))),거래처별!$A$8:$A$307),IFERROR(LOOKUP(2,1/((거래처별!$AD$8:$AD$307&lt;&gt;"")*ISNUMBER(SEARCH(거래처별!$AD$8:$AD$307,$AB946))),거래처별!$A$8:$A$307),IFERROR(LOOKUP(2,1/((거래처별!$AE$8:$AE$307&lt;&gt;"")*ISNUMBER(SEARCH(거래처별!$AE$8:$AE$307,$AB946))),거래처별!$A$8:$A$307),0))))</f>
        <v/>
      </c>
      <c r="AD946" s="31">
        <f>IF(AND($Y946&lt;&gt;"",N($Z946)&gt;0,$AC946=0),MAX($AD$7:$AD945)+1,"")</f>
        <v/>
      </c>
      <c r="AE946" s="31">
        <f>IF($Y946="",0,$Y946)</f>
        <v/>
      </c>
    </row>
    <row r="947">
      <c r="W947" s="31">
        <f>IF(OR($B$5="",$C$6="",ROW()&lt;$B$5),"",IF(INDEX($A:$U,ROW(),$C$6)="","",INDEX($A:$U,ROW(),$C$6)))</f>
        <v/>
      </c>
      <c r="X947" s="32">
        <f>IF($W947="","",IF(ISNUMBER($W947),IF($W947&gt;=10000000,IFERROR(DATE(INT($W947/10000),MOD(INT($W947/100),100),MOD($W947,100)),""),INT($W947)),IFERROR(DATE(--LEFT(LEFT(SUBSTITUTE(SUBSTITUTE(SUBSTITUTE(SUBSTITUTE(TRIM($W947),"-",""),".",""),"/","")," ",""),8),4),--MID(LEFT(SUBSTITUTE(SUBSTITUTE(SUBSTITUTE(SUBSTITUTE(TRIM($W947),"-",""),".",""),"/","")," ",""),8),5,2),--MID(LEFT(SUBSTITUTE(SUBSTITUTE(SUBSTITUTE(SUBSTITUTE(TRIM($W947),"-",""),".",""),"/","")," ",""),8),7,2)),"")))</f>
        <v/>
      </c>
      <c r="Y947" s="32">
        <f>IF($X947="","",INT($X947))</f>
        <v/>
      </c>
      <c r="Z947" s="33">
        <f>IF(OR($Y947="",$D$6=""),"",IF(INDEX($A:$U,ROW(),$D$6)="",0,IF(ISNUMBER(INDEX($A:$U,ROW(),$D$6)),INDEX($A:$U,ROW(),$D$6),IFERROR(--SUBSTITUTE(SUBSTITUTE(TRIM(INDEX($A:$U,ROW(),$D$6)),",",""),"원",""),0))))</f>
        <v/>
      </c>
      <c r="AA947" s="31">
        <f>IF($Y947="","",TRIM(INDEX($A:$U,ROW(),$E$6)&amp;IF($F$6="",""," "&amp;INDEX($A:$U,ROW(),$F$6))))</f>
        <v/>
      </c>
      <c r="AB947" s="31">
        <f>IF($AA947="","",SUBSTITUTE(SUBSTITUTE(SUBSTITUTE(SUBSTITUTE(SUBSTITUTE(SUBSTITUTE(SUBSTITUTE(SUBSTITUTE(SUBSTITUTE($AA947," ",""),"　",""),"(주)",""),"（주）",""),"㈜",""),"주식회사",""),"(유)",""),"（유）",""),"유한회사",""))</f>
        <v/>
      </c>
      <c r="AC947" s="31">
        <f>IF(OR($Y947="",N($Z947)&lt;=0,$AB947=""),0,IFERROR(LOOKUP(2,1/((거래처별!$AC$8:$AC$307&lt;&gt;"")*ISNUMBER(SEARCH(거래처별!$AC$8:$AC$307,$AB947))),거래처별!$A$8:$A$307),IFERROR(LOOKUP(2,1/((거래처별!$AD$8:$AD$307&lt;&gt;"")*ISNUMBER(SEARCH(거래처별!$AD$8:$AD$307,$AB947))),거래처별!$A$8:$A$307),IFERROR(LOOKUP(2,1/((거래처별!$AE$8:$AE$307&lt;&gt;"")*ISNUMBER(SEARCH(거래처별!$AE$8:$AE$307,$AB947))),거래처별!$A$8:$A$307),0))))</f>
        <v/>
      </c>
      <c r="AD947" s="31">
        <f>IF(AND($Y947&lt;&gt;"",N($Z947)&gt;0,$AC947=0),MAX($AD$7:$AD946)+1,"")</f>
        <v/>
      </c>
      <c r="AE947" s="31">
        <f>IF($Y947="",0,$Y947)</f>
        <v/>
      </c>
    </row>
    <row r="948">
      <c r="W948" s="31">
        <f>IF(OR($B$5="",$C$6="",ROW()&lt;$B$5),"",IF(INDEX($A:$U,ROW(),$C$6)="","",INDEX($A:$U,ROW(),$C$6)))</f>
        <v/>
      </c>
      <c r="X948" s="32">
        <f>IF($W948="","",IF(ISNUMBER($W948),IF($W948&gt;=10000000,IFERROR(DATE(INT($W948/10000),MOD(INT($W948/100),100),MOD($W948,100)),""),INT($W948)),IFERROR(DATE(--LEFT(LEFT(SUBSTITUTE(SUBSTITUTE(SUBSTITUTE(SUBSTITUTE(TRIM($W948),"-",""),".",""),"/","")," ",""),8),4),--MID(LEFT(SUBSTITUTE(SUBSTITUTE(SUBSTITUTE(SUBSTITUTE(TRIM($W948),"-",""),".",""),"/","")," ",""),8),5,2),--MID(LEFT(SUBSTITUTE(SUBSTITUTE(SUBSTITUTE(SUBSTITUTE(TRIM($W948),"-",""),".",""),"/","")," ",""),8),7,2)),"")))</f>
        <v/>
      </c>
      <c r="Y948" s="32">
        <f>IF($X948="","",INT($X948))</f>
        <v/>
      </c>
      <c r="Z948" s="33">
        <f>IF(OR($Y948="",$D$6=""),"",IF(INDEX($A:$U,ROW(),$D$6)="",0,IF(ISNUMBER(INDEX($A:$U,ROW(),$D$6)),INDEX($A:$U,ROW(),$D$6),IFERROR(--SUBSTITUTE(SUBSTITUTE(TRIM(INDEX($A:$U,ROW(),$D$6)),",",""),"원",""),0))))</f>
        <v/>
      </c>
      <c r="AA948" s="31">
        <f>IF($Y948="","",TRIM(INDEX($A:$U,ROW(),$E$6)&amp;IF($F$6="",""," "&amp;INDEX($A:$U,ROW(),$F$6))))</f>
        <v/>
      </c>
      <c r="AB948" s="31">
        <f>IF($AA948="","",SUBSTITUTE(SUBSTITUTE(SUBSTITUTE(SUBSTITUTE(SUBSTITUTE(SUBSTITUTE(SUBSTITUTE(SUBSTITUTE(SUBSTITUTE($AA948," ",""),"　",""),"(주)",""),"（주）",""),"㈜",""),"주식회사",""),"(유)",""),"（유）",""),"유한회사",""))</f>
        <v/>
      </c>
      <c r="AC948" s="31">
        <f>IF(OR($Y948="",N($Z948)&lt;=0,$AB948=""),0,IFERROR(LOOKUP(2,1/((거래처별!$AC$8:$AC$307&lt;&gt;"")*ISNUMBER(SEARCH(거래처별!$AC$8:$AC$307,$AB948))),거래처별!$A$8:$A$307),IFERROR(LOOKUP(2,1/((거래처별!$AD$8:$AD$307&lt;&gt;"")*ISNUMBER(SEARCH(거래처별!$AD$8:$AD$307,$AB948))),거래처별!$A$8:$A$307),IFERROR(LOOKUP(2,1/((거래처별!$AE$8:$AE$307&lt;&gt;"")*ISNUMBER(SEARCH(거래처별!$AE$8:$AE$307,$AB948))),거래처별!$A$8:$A$307),0))))</f>
        <v/>
      </c>
      <c r="AD948" s="31">
        <f>IF(AND($Y948&lt;&gt;"",N($Z948)&gt;0,$AC948=0),MAX($AD$7:$AD947)+1,"")</f>
        <v/>
      </c>
      <c r="AE948" s="31">
        <f>IF($Y948="",0,$Y948)</f>
        <v/>
      </c>
    </row>
    <row r="949">
      <c r="W949" s="31">
        <f>IF(OR($B$5="",$C$6="",ROW()&lt;$B$5),"",IF(INDEX($A:$U,ROW(),$C$6)="","",INDEX($A:$U,ROW(),$C$6)))</f>
        <v/>
      </c>
      <c r="X949" s="32">
        <f>IF($W949="","",IF(ISNUMBER($W949),IF($W949&gt;=10000000,IFERROR(DATE(INT($W949/10000),MOD(INT($W949/100),100),MOD($W949,100)),""),INT($W949)),IFERROR(DATE(--LEFT(LEFT(SUBSTITUTE(SUBSTITUTE(SUBSTITUTE(SUBSTITUTE(TRIM($W949),"-",""),".",""),"/","")," ",""),8),4),--MID(LEFT(SUBSTITUTE(SUBSTITUTE(SUBSTITUTE(SUBSTITUTE(TRIM($W949),"-",""),".",""),"/","")," ",""),8),5,2),--MID(LEFT(SUBSTITUTE(SUBSTITUTE(SUBSTITUTE(SUBSTITUTE(TRIM($W949),"-",""),".",""),"/","")," ",""),8),7,2)),"")))</f>
        <v/>
      </c>
      <c r="Y949" s="32">
        <f>IF($X949="","",INT($X949))</f>
        <v/>
      </c>
      <c r="Z949" s="33">
        <f>IF(OR($Y949="",$D$6=""),"",IF(INDEX($A:$U,ROW(),$D$6)="",0,IF(ISNUMBER(INDEX($A:$U,ROW(),$D$6)),INDEX($A:$U,ROW(),$D$6),IFERROR(--SUBSTITUTE(SUBSTITUTE(TRIM(INDEX($A:$U,ROW(),$D$6)),",",""),"원",""),0))))</f>
        <v/>
      </c>
      <c r="AA949" s="31">
        <f>IF($Y949="","",TRIM(INDEX($A:$U,ROW(),$E$6)&amp;IF($F$6="",""," "&amp;INDEX($A:$U,ROW(),$F$6))))</f>
        <v/>
      </c>
      <c r="AB949" s="31">
        <f>IF($AA949="","",SUBSTITUTE(SUBSTITUTE(SUBSTITUTE(SUBSTITUTE(SUBSTITUTE(SUBSTITUTE(SUBSTITUTE(SUBSTITUTE(SUBSTITUTE($AA949," ",""),"　",""),"(주)",""),"（주）",""),"㈜",""),"주식회사",""),"(유)",""),"（유）",""),"유한회사",""))</f>
        <v/>
      </c>
      <c r="AC949" s="31">
        <f>IF(OR($Y949="",N($Z949)&lt;=0,$AB949=""),0,IFERROR(LOOKUP(2,1/((거래처별!$AC$8:$AC$307&lt;&gt;"")*ISNUMBER(SEARCH(거래처별!$AC$8:$AC$307,$AB949))),거래처별!$A$8:$A$307),IFERROR(LOOKUP(2,1/((거래처별!$AD$8:$AD$307&lt;&gt;"")*ISNUMBER(SEARCH(거래처별!$AD$8:$AD$307,$AB949))),거래처별!$A$8:$A$307),IFERROR(LOOKUP(2,1/((거래처별!$AE$8:$AE$307&lt;&gt;"")*ISNUMBER(SEARCH(거래처별!$AE$8:$AE$307,$AB949))),거래처별!$A$8:$A$307),0))))</f>
        <v/>
      </c>
      <c r="AD949" s="31">
        <f>IF(AND($Y949&lt;&gt;"",N($Z949)&gt;0,$AC949=0),MAX($AD$7:$AD948)+1,"")</f>
        <v/>
      </c>
      <c r="AE949" s="31">
        <f>IF($Y949="",0,$Y949)</f>
        <v/>
      </c>
    </row>
    <row r="950">
      <c r="W950" s="31">
        <f>IF(OR($B$5="",$C$6="",ROW()&lt;$B$5),"",IF(INDEX($A:$U,ROW(),$C$6)="","",INDEX($A:$U,ROW(),$C$6)))</f>
        <v/>
      </c>
      <c r="X950" s="32">
        <f>IF($W950="","",IF(ISNUMBER($W950),IF($W950&gt;=10000000,IFERROR(DATE(INT($W950/10000),MOD(INT($W950/100),100),MOD($W950,100)),""),INT($W950)),IFERROR(DATE(--LEFT(LEFT(SUBSTITUTE(SUBSTITUTE(SUBSTITUTE(SUBSTITUTE(TRIM($W950),"-",""),".",""),"/","")," ",""),8),4),--MID(LEFT(SUBSTITUTE(SUBSTITUTE(SUBSTITUTE(SUBSTITUTE(TRIM($W950),"-",""),".",""),"/","")," ",""),8),5,2),--MID(LEFT(SUBSTITUTE(SUBSTITUTE(SUBSTITUTE(SUBSTITUTE(TRIM($W950),"-",""),".",""),"/","")," ",""),8),7,2)),"")))</f>
        <v/>
      </c>
      <c r="Y950" s="32">
        <f>IF($X950="","",INT($X950))</f>
        <v/>
      </c>
      <c r="Z950" s="33">
        <f>IF(OR($Y950="",$D$6=""),"",IF(INDEX($A:$U,ROW(),$D$6)="",0,IF(ISNUMBER(INDEX($A:$U,ROW(),$D$6)),INDEX($A:$U,ROW(),$D$6),IFERROR(--SUBSTITUTE(SUBSTITUTE(TRIM(INDEX($A:$U,ROW(),$D$6)),",",""),"원",""),0))))</f>
        <v/>
      </c>
      <c r="AA950" s="31">
        <f>IF($Y950="","",TRIM(INDEX($A:$U,ROW(),$E$6)&amp;IF($F$6="",""," "&amp;INDEX($A:$U,ROW(),$F$6))))</f>
        <v/>
      </c>
      <c r="AB950" s="31">
        <f>IF($AA950="","",SUBSTITUTE(SUBSTITUTE(SUBSTITUTE(SUBSTITUTE(SUBSTITUTE(SUBSTITUTE(SUBSTITUTE(SUBSTITUTE(SUBSTITUTE($AA950," ",""),"　",""),"(주)",""),"（주）",""),"㈜",""),"주식회사",""),"(유)",""),"（유）",""),"유한회사",""))</f>
        <v/>
      </c>
      <c r="AC950" s="31">
        <f>IF(OR($Y950="",N($Z950)&lt;=0,$AB950=""),0,IFERROR(LOOKUP(2,1/((거래처별!$AC$8:$AC$307&lt;&gt;"")*ISNUMBER(SEARCH(거래처별!$AC$8:$AC$307,$AB950))),거래처별!$A$8:$A$307),IFERROR(LOOKUP(2,1/((거래처별!$AD$8:$AD$307&lt;&gt;"")*ISNUMBER(SEARCH(거래처별!$AD$8:$AD$307,$AB950))),거래처별!$A$8:$A$307),IFERROR(LOOKUP(2,1/((거래처별!$AE$8:$AE$307&lt;&gt;"")*ISNUMBER(SEARCH(거래처별!$AE$8:$AE$307,$AB950))),거래처별!$A$8:$A$307),0))))</f>
        <v/>
      </c>
      <c r="AD950" s="31">
        <f>IF(AND($Y950&lt;&gt;"",N($Z950)&gt;0,$AC950=0),MAX($AD$7:$AD949)+1,"")</f>
        <v/>
      </c>
      <c r="AE950" s="31">
        <f>IF($Y950="",0,$Y950)</f>
        <v/>
      </c>
    </row>
    <row r="951">
      <c r="W951" s="31">
        <f>IF(OR($B$5="",$C$6="",ROW()&lt;$B$5),"",IF(INDEX($A:$U,ROW(),$C$6)="","",INDEX($A:$U,ROW(),$C$6)))</f>
        <v/>
      </c>
      <c r="X951" s="32">
        <f>IF($W951="","",IF(ISNUMBER($W951),IF($W951&gt;=10000000,IFERROR(DATE(INT($W951/10000),MOD(INT($W951/100),100),MOD($W951,100)),""),INT($W951)),IFERROR(DATE(--LEFT(LEFT(SUBSTITUTE(SUBSTITUTE(SUBSTITUTE(SUBSTITUTE(TRIM($W951),"-",""),".",""),"/","")," ",""),8),4),--MID(LEFT(SUBSTITUTE(SUBSTITUTE(SUBSTITUTE(SUBSTITUTE(TRIM($W951),"-",""),".",""),"/","")," ",""),8),5,2),--MID(LEFT(SUBSTITUTE(SUBSTITUTE(SUBSTITUTE(SUBSTITUTE(TRIM($W951),"-",""),".",""),"/","")," ",""),8),7,2)),"")))</f>
        <v/>
      </c>
      <c r="Y951" s="32">
        <f>IF($X951="","",INT($X951))</f>
        <v/>
      </c>
      <c r="Z951" s="33">
        <f>IF(OR($Y951="",$D$6=""),"",IF(INDEX($A:$U,ROW(),$D$6)="",0,IF(ISNUMBER(INDEX($A:$U,ROW(),$D$6)),INDEX($A:$U,ROW(),$D$6),IFERROR(--SUBSTITUTE(SUBSTITUTE(TRIM(INDEX($A:$U,ROW(),$D$6)),",",""),"원",""),0))))</f>
        <v/>
      </c>
      <c r="AA951" s="31">
        <f>IF($Y951="","",TRIM(INDEX($A:$U,ROW(),$E$6)&amp;IF($F$6="",""," "&amp;INDEX($A:$U,ROW(),$F$6))))</f>
        <v/>
      </c>
      <c r="AB951" s="31">
        <f>IF($AA951="","",SUBSTITUTE(SUBSTITUTE(SUBSTITUTE(SUBSTITUTE(SUBSTITUTE(SUBSTITUTE(SUBSTITUTE(SUBSTITUTE(SUBSTITUTE($AA951," ",""),"　",""),"(주)",""),"（주）",""),"㈜",""),"주식회사",""),"(유)",""),"（유）",""),"유한회사",""))</f>
        <v/>
      </c>
      <c r="AC951" s="31">
        <f>IF(OR($Y951="",N($Z951)&lt;=0,$AB951=""),0,IFERROR(LOOKUP(2,1/((거래처별!$AC$8:$AC$307&lt;&gt;"")*ISNUMBER(SEARCH(거래처별!$AC$8:$AC$307,$AB951))),거래처별!$A$8:$A$307),IFERROR(LOOKUP(2,1/((거래처별!$AD$8:$AD$307&lt;&gt;"")*ISNUMBER(SEARCH(거래처별!$AD$8:$AD$307,$AB951))),거래처별!$A$8:$A$307),IFERROR(LOOKUP(2,1/((거래처별!$AE$8:$AE$307&lt;&gt;"")*ISNUMBER(SEARCH(거래처별!$AE$8:$AE$307,$AB951))),거래처별!$A$8:$A$307),0))))</f>
        <v/>
      </c>
      <c r="AD951" s="31">
        <f>IF(AND($Y951&lt;&gt;"",N($Z951)&gt;0,$AC951=0),MAX($AD$7:$AD950)+1,"")</f>
        <v/>
      </c>
      <c r="AE951" s="31">
        <f>IF($Y951="",0,$Y951)</f>
        <v/>
      </c>
    </row>
    <row r="952">
      <c r="W952" s="31">
        <f>IF(OR($B$5="",$C$6="",ROW()&lt;$B$5),"",IF(INDEX($A:$U,ROW(),$C$6)="","",INDEX($A:$U,ROW(),$C$6)))</f>
        <v/>
      </c>
      <c r="X952" s="32">
        <f>IF($W952="","",IF(ISNUMBER($W952),IF($W952&gt;=10000000,IFERROR(DATE(INT($W952/10000),MOD(INT($W952/100),100),MOD($W952,100)),""),INT($W952)),IFERROR(DATE(--LEFT(LEFT(SUBSTITUTE(SUBSTITUTE(SUBSTITUTE(SUBSTITUTE(TRIM($W952),"-",""),".",""),"/","")," ",""),8),4),--MID(LEFT(SUBSTITUTE(SUBSTITUTE(SUBSTITUTE(SUBSTITUTE(TRIM($W952),"-",""),".",""),"/","")," ",""),8),5,2),--MID(LEFT(SUBSTITUTE(SUBSTITUTE(SUBSTITUTE(SUBSTITUTE(TRIM($W952),"-",""),".",""),"/","")," ",""),8),7,2)),"")))</f>
        <v/>
      </c>
      <c r="Y952" s="32">
        <f>IF($X952="","",INT($X952))</f>
        <v/>
      </c>
      <c r="Z952" s="33">
        <f>IF(OR($Y952="",$D$6=""),"",IF(INDEX($A:$U,ROW(),$D$6)="",0,IF(ISNUMBER(INDEX($A:$U,ROW(),$D$6)),INDEX($A:$U,ROW(),$D$6),IFERROR(--SUBSTITUTE(SUBSTITUTE(TRIM(INDEX($A:$U,ROW(),$D$6)),",",""),"원",""),0))))</f>
        <v/>
      </c>
      <c r="AA952" s="31">
        <f>IF($Y952="","",TRIM(INDEX($A:$U,ROW(),$E$6)&amp;IF($F$6="",""," "&amp;INDEX($A:$U,ROW(),$F$6))))</f>
        <v/>
      </c>
      <c r="AB952" s="31">
        <f>IF($AA952="","",SUBSTITUTE(SUBSTITUTE(SUBSTITUTE(SUBSTITUTE(SUBSTITUTE(SUBSTITUTE(SUBSTITUTE(SUBSTITUTE(SUBSTITUTE($AA952," ",""),"　",""),"(주)",""),"（주）",""),"㈜",""),"주식회사",""),"(유)",""),"（유）",""),"유한회사",""))</f>
        <v/>
      </c>
      <c r="AC952" s="31">
        <f>IF(OR($Y952="",N($Z952)&lt;=0,$AB952=""),0,IFERROR(LOOKUP(2,1/((거래처별!$AC$8:$AC$307&lt;&gt;"")*ISNUMBER(SEARCH(거래처별!$AC$8:$AC$307,$AB952))),거래처별!$A$8:$A$307),IFERROR(LOOKUP(2,1/((거래처별!$AD$8:$AD$307&lt;&gt;"")*ISNUMBER(SEARCH(거래처별!$AD$8:$AD$307,$AB952))),거래처별!$A$8:$A$307),IFERROR(LOOKUP(2,1/((거래처별!$AE$8:$AE$307&lt;&gt;"")*ISNUMBER(SEARCH(거래처별!$AE$8:$AE$307,$AB952))),거래처별!$A$8:$A$307),0))))</f>
        <v/>
      </c>
      <c r="AD952" s="31">
        <f>IF(AND($Y952&lt;&gt;"",N($Z952)&gt;0,$AC952=0),MAX($AD$7:$AD951)+1,"")</f>
        <v/>
      </c>
      <c r="AE952" s="31">
        <f>IF($Y952="",0,$Y952)</f>
        <v/>
      </c>
    </row>
    <row r="953">
      <c r="W953" s="31">
        <f>IF(OR($B$5="",$C$6="",ROW()&lt;$B$5),"",IF(INDEX($A:$U,ROW(),$C$6)="","",INDEX($A:$U,ROW(),$C$6)))</f>
        <v/>
      </c>
      <c r="X953" s="32">
        <f>IF($W953="","",IF(ISNUMBER($W953),IF($W953&gt;=10000000,IFERROR(DATE(INT($W953/10000),MOD(INT($W953/100),100),MOD($W953,100)),""),INT($W953)),IFERROR(DATE(--LEFT(LEFT(SUBSTITUTE(SUBSTITUTE(SUBSTITUTE(SUBSTITUTE(TRIM($W953),"-",""),".",""),"/","")," ",""),8),4),--MID(LEFT(SUBSTITUTE(SUBSTITUTE(SUBSTITUTE(SUBSTITUTE(TRIM($W953),"-",""),".",""),"/","")," ",""),8),5,2),--MID(LEFT(SUBSTITUTE(SUBSTITUTE(SUBSTITUTE(SUBSTITUTE(TRIM($W953),"-",""),".",""),"/","")," ",""),8),7,2)),"")))</f>
        <v/>
      </c>
      <c r="Y953" s="32">
        <f>IF($X953="","",INT($X953))</f>
        <v/>
      </c>
      <c r="Z953" s="33">
        <f>IF(OR($Y953="",$D$6=""),"",IF(INDEX($A:$U,ROW(),$D$6)="",0,IF(ISNUMBER(INDEX($A:$U,ROW(),$D$6)),INDEX($A:$U,ROW(),$D$6),IFERROR(--SUBSTITUTE(SUBSTITUTE(TRIM(INDEX($A:$U,ROW(),$D$6)),",",""),"원",""),0))))</f>
        <v/>
      </c>
      <c r="AA953" s="31">
        <f>IF($Y953="","",TRIM(INDEX($A:$U,ROW(),$E$6)&amp;IF($F$6="",""," "&amp;INDEX($A:$U,ROW(),$F$6))))</f>
        <v/>
      </c>
      <c r="AB953" s="31">
        <f>IF($AA953="","",SUBSTITUTE(SUBSTITUTE(SUBSTITUTE(SUBSTITUTE(SUBSTITUTE(SUBSTITUTE(SUBSTITUTE(SUBSTITUTE(SUBSTITUTE($AA953," ",""),"　",""),"(주)",""),"（주）",""),"㈜",""),"주식회사",""),"(유)",""),"（유）",""),"유한회사",""))</f>
        <v/>
      </c>
      <c r="AC953" s="31">
        <f>IF(OR($Y953="",N($Z953)&lt;=0,$AB953=""),0,IFERROR(LOOKUP(2,1/((거래처별!$AC$8:$AC$307&lt;&gt;"")*ISNUMBER(SEARCH(거래처별!$AC$8:$AC$307,$AB953))),거래처별!$A$8:$A$307),IFERROR(LOOKUP(2,1/((거래처별!$AD$8:$AD$307&lt;&gt;"")*ISNUMBER(SEARCH(거래처별!$AD$8:$AD$307,$AB953))),거래처별!$A$8:$A$307),IFERROR(LOOKUP(2,1/((거래처별!$AE$8:$AE$307&lt;&gt;"")*ISNUMBER(SEARCH(거래처별!$AE$8:$AE$307,$AB953))),거래처별!$A$8:$A$307),0))))</f>
        <v/>
      </c>
      <c r="AD953" s="31">
        <f>IF(AND($Y953&lt;&gt;"",N($Z953)&gt;0,$AC953=0),MAX($AD$7:$AD952)+1,"")</f>
        <v/>
      </c>
      <c r="AE953" s="31">
        <f>IF($Y953="",0,$Y953)</f>
        <v/>
      </c>
    </row>
    <row r="954">
      <c r="W954" s="31">
        <f>IF(OR($B$5="",$C$6="",ROW()&lt;$B$5),"",IF(INDEX($A:$U,ROW(),$C$6)="","",INDEX($A:$U,ROW(),$C$6)))</f>
        <v/>
      </c>
      <c r="X954" s="32">
        <f>IF($W954="","",IF(ISNUMBER($W954),IF($W954&gt;=10000000,IFERROR(DATE(INT($W954/10000),MOD(INT($W954/100),100),MOD($W954,100)),""),INT($W954)),IFERROR(DATE(--LEFT(LEFT(SUBSTITUTE(SUBSTITUTE(SUBSTITUTE(SUBSTITUTE(TRIM($W954),"-",""),".",""),"/","")," ",""),8),4),--MID(LEFT(SUBSTITUTE(SUBSTITUTE(SUBSTITUTE(SUBSTITUTE(TRIM($W954),"-",""),".",""),"/","")," ",""),8),5,2),--MID(LEFT(SUBSTITUTE(SUBSTITUTE(SUBSTITUTE(SUBSTITUTE(TRIM($W954),"-",""),".",""),"/","")," ",""),8),7,2)),"")))</f>
        <v/>
      </c>
      <c r="Y954" s="32">
        <f>IF($X954="","",INT($X954))</f>
        <v/>
      </c>
      <c r="Z954" s="33">
        <f>IF(OR($Y954="",$D$6=""),"",IF(INDEX($A:$U,ROW(),$D$6)="",0,IF(ISNUMBER(INDEX($A:$U,ROW(),$D$6)),INDEX($A:$U,ROW(),$D$6),IFERROR(--SUBSTITUTE(SUBSTITUTE(TRIM(INDEX($A:$U,ROW(),$D$6)),",",""),"원",""),0))))</f>
        <v/>
      </c>
      <c r="AA954" s="31">
        <f>IF($Y954="","",TRIM(INDEX($A:$U,ROW(),$E$6)&amp;IF($F$6="",""," "&amp;INDEX($A:$U,ROW(),$F$6))))</f>
        <v/>
      </c>
      <c r="AB954" s="31">
        <f>IF($AA954="","",SUBSTITUTE(SUBSTITUTE(SUBSTITUTE(SUBSTITUTE(SUBSTITUTE(SUBSTITUTE(SUBSTITUTE(SUBSTITUTE(SUBSTITUTE($AA954," ",""),"　",""),"(주)",""),"（주）",""),"㈜",""),"주식회사",""),"(유)",""),"（유）",""),"유한회사",""))</f>
        <v/>
      </c>
      <c r="AC954" s="31">
        <f>IF(OR($Y954="",N($Z954)&lt;=0,$AB954=""),0,IFERROR(LOOKUP(2,1/((거래처별!$AC$8:$AC$307&lt;&gt;"")*ISNUMBER(SEARCH(거래처별!$AC$8:$AC$307,$AB954))),거래처별!$A$8:$A$307),IFERROR(LOOKUP(2,1/((거래처별!$AD$8:$AD$307&lt;&gt;"")*ISNUMBER(SEARCH(거래처별!$AD$8:$AD$307,$AB954))),거래처별!$A$8:$A$307),IFERROR(LOOKUP(2,1/((거래처별!$AE$8:$AE$307&lt;&gt;"")*ISNUMBER(SEARCH(거래처별!$AE$8:$AE$307,$AB954))),거래처별!$A$8:$A$307),0))))</f>
        <v/>
      </c>
      <c r="AD954" s="31">
        <f>IF(AND($Y954&lt;&gt;"",N($Z954)&gt;0,$AC954=0),MAX($AD$7:$AD953)+1,"")</f>
        <v/>
      </c>
      <c r="AE954" s="31">
        <f>IF($Y954="",0,$Y954)</f>
        <v/>
      </c>
    </row>
    <row r="955">
      <c r="W955" s="31">
        <f>IF(OR($B$5="",$C$6="",ROW()&lt;$B$5),"",IF(INDEX($A:$U,ROW(),$C$6)="","",INDEX($A:$U,ROW(),$C$6)))</f>
        <v/>
      </c>
      <c r="X955" s="32">
        <f>IF($W955="","",IF(ISNUMBER($W955),IF($W955&gt;=10000000,IFERROR(DATE(INT($W955/10000),MOD(INT($W955/100),100),MOD($W955,100)),""),INT($W955)),IFERROR(DATE(--LEFT(LEFT(SUBSTITUTE(SUBSTITUTE(SUBSTITUTE(SUBSTITUTE(TRIM($W955),"-",""),".",""),"/","")," ",""),8),4),--MID(LEFT(SUBSTITUTE(SUBSTITUTE(SUBSTITUTE(SUBSTITUTE(TRIM($W955),"-",""),".",""),"/","")," ",""),8),5,2),--MID(LEFT(SUBSTITUTE(SUBSTITUTE(SUBSTITUTE(SUBSTITUTE(TRIM($W955),"-",""),".",""),"/","")," ",""),8),7,2)),"")))</f>
        <v/>
      </c>
      <c r="Y955" s="32">
        <f>IF($X955="","",INT($X955))</f>
        <v/>
      </c>
      <c r="Z955" s="33">
        <f>IF(OR($Y955="",$D$6=""),"",IF(INDEX($A:$U,ROW(),$D$6)="",0,IF(ISNUMBER(INDEX($A:$U,ROW(),$D$6)),INDEX($A:$U,ROW(),$D$6),IFERROR(--SUBSTITUTE(SUBSTITUTE(TRIM(INDEX($A:$U,ROW(),$D$6)),",",""),"원",""),0))))</f>
        <v/>
      </c>
      <c r="AA955" s="31">
        <f>IF($Y955="","",TRIM(INDEX($A:$U,ROW(),$E$6)&amp;IF($F$6="",""," "&amp;INDEX($A:$U,ROW(),$F$6))))</f>
        <v/>
      </c>
      <c r="AB955" s="31">
        <f>IF($AA955="","",SUBSTITUTE(SUBSTITUTE(SUBSTITUTE(SUBSTITUTE(SUBSTITUTE(SUBSTITUTE(SUBSTITUTE(SUBSTITUTE(SUBSTITUTE($AA955," ",""),"　",""),"(주)",""),"（주）",""),"㈜",""),"주식회사",""),"(유)",""),"（유）",""),"유한회사",""))</f>
        <v/>
      </c>
      <c r="AC955" s="31">
        <f>IF(OR($Y955="",N($Z955)&lt;=0,$AB955=""),0,IFERROR(LOOKUP(2,1/((거래처별!$AC$8:$AC$307&lt;&gt;"")*ISNUMBER(SEARCH(거래처별!$AC$8:$AC$307,$AB955))),거래처별!$A$8:$A$307),IFERROR(LOOKUP(2,1/((거래처별!$AD$8:$AD$307&lt;&gt;"")*ISNUMBER(SEARCH(거래처별!$AD$8:$AD$307,$AB955))),거래처별!$A$8:$A$307),IFERROR(LOOKUP(2,1/((거래처별!$AE$8:$AE$307&lt;&gt;"")*ISNUMBER(SEARCH(거래처별!$AE$8:$AE$307,$AB955))),거래처별!$A$8:$A$307),0))))</f>
        <v/>
      </c>
      <c r="AD955" s="31">
        <f>IF(AND($Y955&lt;&gt;"",N($Z955)&gt;0,$AC955=0),MAX($AD$7:$AD954)+1,"")</f>
        <v/>
      </c>
      <c r="AE955" s="31">
        <f>IF($Y955="",0,$Y955)</f>
        <v/>
      </c>
    </row>
    <row r="956">
      <c r="W956" s="31">
        <f>IF(OR($B$5="",$C$6="",ROW()&lt;$B$5),"",IF(INDEX($A:$U,ROW(),$C$6)="","",INDEX($A:$U,ROW(),$C$6)))</f>
        <v/>
      </c>
      <c r="X956" s="32">
        <f>IF($W956="","",IF(ISNUMBER($W956),IF($W956&gt;=10000000,IFERROR(DATE(INT($W956/10000),MOD(INT($W956/100),100),MOD($W956,100)),""),INT($W956)),IFERROR(DATE(--LEFT(LEFT(SUBSTITUTE(SUBSTITUTE(SUBSTITUTE(SUBSTITUTE(TRIM($W956),"-",""),".",""),"/","")," ",""),8),4),--MID(LEFT(SUBSTITUTE(SUBSTITUTE(SUBSTITUTE(SUBSTITUTE(TRIM($W956),"-",""),".",""),"/","")," ",""),8),5,2),--MID(LEFT(SUBSTITUTE(SUBSTITUTE(SUBSTITUTE(SUBSTITUTE(TRIM($W956),"-",""),".",""),"/","")," ",""),8),7,2)),"")))</f>
        <v/>
      </c>
      <c r="Y956" s="32">
        <f>IF($X956="","",INT($X956))</f>
        <v/>
      </c>
      <c r="Z956" s="33">
        <f>IF(OR($Y956="",$D$6=""),"",IF(INDEX($A:$U,ROW(),$D$6)="",0,IF(ISNUMBER(INDEX($A:$U,ROW(),$D$6)),INDEX($A:$U,ROW(),$D$6),IFERROR(--SUBSTITUTE(SUBSTITUTE(TRIM(INDEX($A:$U,ROW(),$D$6)),",",""),"원",""),0))))</f>
        <v/>
      </c>
      <c r="AA956" s="31">
        <f>IF($Y956="","",TRIM(INDEX($A:$U,ROW(),$E$6)&amp;IF($F$6="",""," "&amp;INDEX($A:$U,ROW(),$F$6))))</f>
        <v/>
      </c>
      <c r="AB956" s="31">
        <f>IF($AA956="","",SUBSTITUTE(SUBSTITUTE(SUBSTITUTE(SUBSTITUTE(SUBSTITUTE(SUBSTITUTE(SUBSTITUTE(SUBSTITUTE(SUBSTITUTE($AA956," ",""),"　",""),"(주)",""),"（주）",""),"㈜",""),"주식회사",""),"(유)",""),"（유）",""),"유한회사",""))</f>
        <v/>
      </c>
      <c r="AC956" s="31">
        <f>IF(OR($Y956="",N($Z956)&lt;=0,$AB956=""),0,IFERROR(LOOKUP(2,1/((거래처별!$AC$8:$AC$307&lt;&gt;"")*ISNUMBER(SEARCH(거래처별!$AC$8:$AC$307,$AB956))),거래처별!$A$8:$A$307),IFERROR(LOOKUP(2,1/((거래처별!$AD$8:$AD$307&lt;&gt;"")*ISNUMBER(SEARCH(거래처별!$AD$8:$AD$307,$AB956))),거래처별!$A$8:$A$307),IFERROR(LOOKUP(2,1/((거래처별!$AE$8:$AE$307&lt;&gt;"")*ISNUMBER(SEARCH(거래처별!$AE$8:$AE$307,$AB956))),거래처별!$A$8:$A$307),0))))</f>
        <v/>
      </c>
      <c r="AD956" s="31">
        <f>IF(AND($Y956&lt;&gt;"",N($Z956)&gt;0,$AC956=0),MAX($AD$7:$AD955)+1,"")</f>
        <v/>
      </c>
      <c r="AE956" s="31">
        <f>IF($Y956="",0,$Y956)</f>
        <v/>
      </c>
    </row>
    <row r="957">
      <c r="W957" s="31">
        <f>IF(OR($B$5="",$C$6="",ROW()&lt;$B$5),"",IF(INDEX($A:$U,ROW(),$C$6)="","",INDEX($A:$U,ROW(),$C$6)))</f>
        <v/>
      </c>
      <c r="X957" s="32">
        <f>IF($W957="","",IF(ISNUMBER($W957),IF($W957&gt;=10000000,IFERROR(DATE(INT($W957/10000),MOD(INT($W957/100),100),MOD($W957,100)),""),INT($W957)),IFERROR(DATE(--LEFT(LEFT(SUBSTITUTE(SUBSTITUTE(SUBSTITUTE(SUBSTITUTE(TRIM($W957),"-",""),".",""),"/","")," ",""),8),4),--MID(LEFT(SUBSTITUTE(SUBSTITUTE(SUBSTITUTE(SUBSTITUTE(TRIM($W957),"-",""),".",""),"/","")," ",""),8),5,2),--MID(LEFT(SUBSTITUTE(SUBSTITUTE(SUBSTITUTE(SUBSTITUTE(TRIM($W957),"-",""),".",""),"/","")," ",""),8),7,2)),"")))</f>
        <v/>
      </c>
      <c r="Y957" s="32">
        <f>IF($X957="","",INT($X957))</f>
        <v/>
      </c>
      <c r="Z957" s="33">
        <f>IF(OR($Y957="",$D$6=""),"",IF(INDEX($A:$U,ROW(),$D$6)="",0,IF(ISNUMBER(INDEX($A:$U,ROW(),$D$6)),INDEX($A:$U,ROW(),$D$6),IFERROR(--SUBSTITUTE(SUBSTITUTE(TRIM(INDEX($A:$U,ROW(),$D$6)),",",""),"원",""),0))))</f>
        <v/>
      </c>
      <c r="AA957" s="31">
        <f>IF($Y957="","",TRIM(INDEX($A:$U,ROW(),$E$6)&amp;IF($F$6="",""," "&amp;INDEX($A:$U,ROW(),$F$6))))</f>
        <v/>
      </c>
      <c r="AB957" s="31">
        <f>IF($AA957="","",SUBSTITUTE(SUBSTITUTE(SUBSTITUTE(SUBSTITUTE(SUBSTITUTE(SUBSTITUTE(SUBSTITUTE(SUBSTITUTE(SUBSTITUTE($AA957," ",""),"　",""),"(주)",""),"（주）",""),"㈜",""),"주식회사",""),"(유)",""),"（유）",""),"유한회사",""))</f>
        <v/>
      </c>
      <c r="AC957" s="31">
        <f>IF(OR($Y957="",N($Z957)&lt;=0,$AB957=""),0,IFERROR(LOOKUP(2,1/((거래처별!$AC$8:$AC$307&lt;&gt;"")*ISNUMBER(SEARCH(거래처별!$AC$8:$AC$307,$AB957))),거래처별!$A$8:$A$307),IFERROR(LOOKUP(2,1/((거래처별!$AD$8:$AD$307&lt;&gt;"")*ISNUMBER(SEARCH(거래처별!$AD$8:$AD$307,$AB957))),거래처별!$A$8:$A$307),IFERROR(LOOKUP(2,1/((거래처별!$AE$8:$AE$307&lt;&gt;"")*ISNUMBER(SEARCH(거래처별!$AE$8:$AE$307,$AB957))),거래처별!$A$8:$A$307),0))))</f>
        <v/>
      </c>
      <c r="AD957" s="31">
        <f>IF(AND($Y957&lt;&gt;"",N($Z957)&gt;0,$AC957=0),MAX($AD$7:$AD956)+1,"")</f>
        <v/>
      </c>
      <c r="AE957" s="31">
        <f>IF($Y957="",0,$Y957)</f>
        <v/>
      </c>
    </row>
    <row r="958">
      <c r="W958" s="31">
        <f>IF(OR($B$5="",$C$6="",ROW()&lt;$B$5),"",IF(INDEX($A:$U,ROW(),$C$6)="","",INDEX($A:$U,ROW(),$C$6)))</f>
        <v/>
      </c>
      <c r="X958" s="32">
        <f>IF($W958="","",IF(ISNUMBER($W958),IF($W958&gt;=10000000,IFERROR(DATE(INT($W958/10000),MOD(INT($W958/100),100),MOD($W958,100)),""),INT($W958)),IFERROR(DATE(--LEFT(LEFT(SUBSTITUTE(SUBSTITUTE(SUBSTITUTE(SUBSTITUTE(TRIM($W958),"-",""),".",""),"/","")," ",""),8),4),--MID(LEFT(SUBSTITUTE(SUBSTITUTE(SUBSTITUTE(SUBSTITUTE(TRIM($W958),"-",""),".",""),"/","")," ",""),8),5,2),--MID(LEFT(SUBSTITUTE(SUBSTITUTE(SUBSTITUTE(SUBSTITUTE(TRIM($W958),"-",""),".",""),"/","")," ",""),8),7,2)),"")))</f>
        <v/>
      </c>
      <c r="Y958" s="32">
        <f>IF($X958="","",INT($X958))</f>
        <v/>
      </c>
      <c r="Z958" s="33">
        <f>IF(OR($Y958="",$D$6=""),"",IF(INDEX($A:$U,ROW(),$D$6)="",0,IF(ISNUMBER(INDEX($A:$U,ROW(),$D$6)),INDEX($A:$U,ROW(),$D$6),IFERROR(--SUBSTITUTE(SUBSTITUTE(TRIM(INDEX($A:$U,ROW(),$D$6)),",",""),"원",""),0))))</f>
        <v/>
      </c>
      <c r="AA958" s="31">
        <f>IF($Y958="","",TRIM(INDEX($A:$U,ROW(),$E$6)&amp;IF($F$6="",""," "&amp;INDEX($A:$U,ROW(),$F$6))))</f>
        <v/>
      </c>
      <c r="AB958" s="31">
        <f>IF($AA958="","",SUBSTITUTE(SUBSTITUTE(SUBSTITUTE(SUBSTITUTE(SUBSTITUTE(SUBSTITUTE(SUBSTITUTE(SUBSTITUTE(SUBSTITUTE($AA958," ",""),"　",""),"(주)",""),"（주）",""),"㈜",""),"주식회사",""),"(유)",""),"（유）",""),"유한회사",""))</f>
        <v/>
      </c>
      <c r="AC958" s="31">
        <f>IF(OR($Y958="",N($Z958)&lt;=0,$AB958=""),0,IFERROR(LOOKUP(2,1/((거래처별!$AC$8:$AC$307&lt;&gt;"")*ISNUMBER(SEARCH(거래처별!$AC$8:$AC$307,$AB958))),거래처별!$A$8:$A$307),IFERROR(LOOKUP(2,1/((거래처별!$AD$8:$AD$307&lt;&gt;"")*ISNUMBER(SEARCH(거래처별!$AD$8:$AD$307,$AB958))),거래처별!$A$8:$A$307),IFERROR(LOOKUP(2,1/((거래처별!$AE$8:$AE$307&lt;&gt;"")*ISNUMBER(SEARCH(거래처별!$AE$8:$AE$307,$AB958))),거래처별!$A$8:$A$307),0))))</f>
        <v/>
      </c>
      <c r="AD958" s="31">
        <f>IF(AND($Y958&lt;&gt;"",N($Z958)&gt;0,$AC958=0),MAX($AD$7:$AD957)+1,"")</f>
        <v/>
      </c>
      <c r="AE958" s="31">
        <f>IF($Y958="",0,$Y958)</f>
        <v/>
      </c>
    </row>
    <row r="959">
      <c r="W959" s="31">
        <f>IF(OR($B$5="",$C$6="",ROW()&lt;$B$5),"",IF(INDEX($A:$U,ROW(),$C$6)="","",INDEX($A:$U,ROW(),$C$6)))</f>
        <v/>
      </c>
      <c r="X959" s="32">
        <f>IF($W959="","",IF(ISNUMBER($W959),IF($W959&gt;=10000000,IFERROR(DATE(INT($W959/10000),MOD(INT($W959/100),100),MOD($W959,100)),""),INT($W959)),IFERROR(DATE(--LEFT(LEFT(SUBSTITUTE(SUBSTITUTE(SUBSTITUTE(SUBSTITUTE(TRIM($W959),"-",""),".",""),"/","")," ",""),8),4),--MID(LEFT(SUBSTITUTE(SUBSTITUTE(SUBSTITUTE(SUBSTITUTE(TRIM($W959),"-",""),".",""),"/","")," ",""),8),5,2),--MID(LEFT(SUBSTITUTE(SUBSTITUTE(SUBSTITUTE(SUBSTITUTE(TRIM($W959),"-",""),".",""),"/","")," ",""),8),7,2)),"")))</f>
        <v/>
      </c>
      <c r="Y959" s="32">
        <f>IF($X959="","",INT($X959))</f>
        <v/>
      </c>
      <c r="Z959" s="33">
        <f>IF(OR($Y959="",$D$6=""),"",IF(INDEX($A:$U,ROW(),$D$6)="",0,IF(ISNUMBER(INDEX($A:$U,ROW(),$D$6)),INDEX($A:$U,ROW(),$D$6),IFERROR(--SUBSTITUTE(SUBSTITUTE(TRIM(INDEX($A:$U,ROW(),$D$6)),",",""),"원",""),0))))</f>
        <v/>
      </c>
      <c r="AA959" s="31">
        <f>IF($Y959="","",TRIM(INDEX($A:$U,ROW(),$E$6)&amp;IF($F$6="",""," "&amp;INDEX($A:$U,ROW(),$F$6))))</f>
        <v/>
      </c>
      <c r="AB959" s="31">
        <f>IF($AA959="","",SUBSTITUTE(SUBSTITUTE(SUBSTITUTE(SUBSTITUTE(SUBSTITUTE(SUBSTITUTE(SUBSTITUTE(SUBSTITUTE(SUBSTITUTE($AA959," ",""),"　",""),"(주)",""),"（주）",""),"㈜",""),"주식회사",""),"(유)",""),"（유）",""),"유한회사",""))</f>
        <v/>
      </c>
      <c r="AC959" s="31">
        <f>IF(OR($Y959="",N($Z959)&lt;=0,$AB959=""),0,IFERROR(LOOKUP(2,1/((거래처별!$AC$8:$AC$307&lt;&gt;"")*ISNUMBER(SEARCH(거래처별!$AC$8:$AC$307,$AB959))),거래처별!$A$8:$A$307),IFERROR(LOOKUP(2,1/((거래처별!$AD$8:$AD$307&lt;&gt;"")*ISNUMBER(SEARCH(거래처별!$AD$8:$AD$307,$AB959))),거래처별!$A$8:$A$307),IFERROR(LOOKUP(2,1/((거래처별!$AE$8:$AE$307&lt;&gt;"")*ISNUMBER(SEARCH(거래처별!$AE$8:$AE$307,$AB959))),거래처별!$A$8:$A$307),0))))</f>
        <v/>
      </c>
      <c r="AD959" s="31">
        <f>IF(AND($Y959&lt;&gt;"",N($Z959)&gt;0,$AC959=0),MAX($AD$7:$AD958)+1,"")</f>
        <v/>
      </c>
      <c r="AE959" s="31">
        <f>IF($Y959="",0,$Y959)</f>
        <v/>
      </c>
    </row>
    <row r="960">
      <c r="W960" s="31">
        <f>IF(OR($B$5="",$C$6="",ROW()&lt;$B$5),"",IF(INDEX($A:$U,ROW(),$C$6)="","",INDEX($A:$U,ROW(),$C$6)))</f>
        <v/>
      </c>
      <c r="X960" s="32">
        <f>IF($W960="","",IF(ISNUMBER($W960),IF($W960&gt;=10000000,IFERROR(DATE(INT($W960/10000),MOD(INT($W960/100),100),MOD($W960,100)),""),INT($W960)),IFERROR(DATE(--LEFT(LEFT(SUBSTITUTE(SUBSTITUTE(SUBSTITUTE(SUBSTITUTE(TRIM($W960),"-",""),".",""),"/","")," ",""),8),4),--MID(LEFT(SUBSTITUTE(SUBSTITUTE(SUBSTITUTE(SUBSTITUTE(TRIM($W960),"-",""),".",""),"/","")," ",""),8),5,2),--MID(LEFT(SUBSTITUTE(SUBSTITUTE(SUBSTITUTE(SUBSTITUTE(TRIM($W960),"-",""),".",""),"/","")," ",""),8),7,2)),"")))</f>
        <v/>
      </c>
      <c r="Y960" s="32">
        <f>IF($X960="","",INT($X960))</f>
        <v/>
      </c>
      <c r="Z960" s="33">
        <f>IF(OR($Y960="",$D$6=""),"",IF(INDEX($A:$U,ROW(),$D$6)="",0,IF(ISNUMBER(INDEX($A:$U,ROW(),$D$6)),INDEX($A:$U,ROW(),$D$6),IFERROR(--SUBSTITUTE(SUBSTITUTE(TRIM(INDEX($A:$U,ROW(),$D$6)),",",""),"원",""),0))))</f>
        <v/>
      </c>
      <c r="AA960" s="31">
        <f>IF($Y960="","",TRIM(INDEX($A:$U,ROW(),$E$6)&amp;IF($F$6="",""," "&amp;INDEX($A:$U,ROW(),$F$6))))</f>
        <v/>
      </c>
      <c r="AB960" s="31">
        <f>IF($AA960="","",SUBSTITUTE(SUBSTITUTE(SUBSTITUTE(SUBSTITUTE(SUBSTITUTE(SUBSTITUTE(SUBSTITUTE(SUBSTITUTE(SUBSTITUTE($AA960," ",""),"　",""),"(주)",""),"（주）",""),"㈜",""),"주식회사",""),"(유)",""),"（유）",""),"유한회사",""))</f>
        <v/>
      </c>
      <c r="AC960" s="31">
        <f>IF(OR($Y960="",N($Z960)&lt;=0,$AB960=""),0,IFERROR(LOOKUP(2,1/((거래처별!$AC$8:$AC$307&lt;&gt;"")*ISNUMBER(SEARCH(거래처별!$AC$8:$AC$307,$AB960))),거래처별!$A$8:$A$307),IFERROR(LOOKUP(2,1/((거래처별!$AD$8:$AD$307&lt;&gt;"")*ISNUMBER(SEARCH(거래처별!$AD$8:$AD$307,$AB960))),거래처별!$A$8:$A$307),IFERROR(LOOKUP(2,1/((거래처별!$AE$8:$AE$307&lt;&gt;"")*ISNUMBER(SEARCH(거래처별!$AE$8:$AE$307,$AB960))),거래처별!$A$8:$A$307),0))))</f>
        <v/>
      </c>
      <c r="AD960" s="31">
        <f>IF(AND($Y960&lt;&gt;"",N($Z960)&gt;0,$AC960=0),MAX($AD$7:$AD959)+1,"")</f>
        <v/>
      </c>
      <c r="AE960" s="31">
        <f>IF($Y960="",0,$Y960)</f>
        <v/>
      </c>
    </row>
    <row r="961">
      <c r="W961" s="31">
        <f>IF(OR($B$5="",$C$6="",ROW()&lt;$B$5),"",IF(INDEX($A:$U,ROW(),$C$6)="","",INDEX($A:$U,ROW(),$C$6)))</f>
        <v/>
      </c>
      <c r="X961" s="32">
        <f>IF($W961="","",IF(ISNUMBER($W961),IF($W961&gt;=10000000,IFERROR(DATE(INT($W961/10000),MOD(INT($W961/100),100),MOD($W961,100)),""),INT($W961)),IFERROR(DATE(--LEFT(LEFT(SUBSTITUTE(SUBSTITUTE(SUBSTITUTE(SUBSTITUTE(TRIM($W961),"-",""),".",""),"/","")," ",""),8),4),--MID(LEFT(SUBSTITUTE(SUBSTITUTE(SUBSTITUTE(SUBSTITUTE(TRIM($W961),"-",""),".",""),"/","")," ",""),8),5,2),--MID(LEFT(SUBSTITUTE(SUBSTITUTE(SUBSTITUTE(SUBSTITUTE(TRIM($W961),"-",""),".",""),"/","")," ",""),8),7,2)),"")))</f>
        <v/>
      </c>
      <c r="Y961" s="32">
        <f>IF($X961="","",INT($X961))</f>
        <v/>
      </c>
      <c r="Z961" s="33">
        <f>IF(OR($Y961="",$D$6=""),"",IF(INDEX($A:$U,ROW(),$D$6)="",0,IF(ISNUMBER(INDEX($A:$U,ROW(),$D$6)),INDEX($A:$U,ROW(),$D$6),IFERROR(--SUBSTITUTE(SUBSTITUTE(TRIM(INDEX($A:$U,ROW(),$D$6)),",",""),"원",""),0))))</f>
        <v/>
      </c>
      <c r="AA961" s="31">
        <f>IF($Y961="","",TRIM(INDEX($A:$U,ROW(),$E$6)&amp;IF($F$6="",""," "&amp;INDEX($A:$U,ROW(),$F$6))))</f>
        <v/>
      </c>
      <c r="AB961" s="31">
        <f>IF($AA961="","",SUBSTITUTE(SUBSTITUTE(SUBSTITUTE(SUBSTITUTE(SUBSTITUTE(SUBSTITUTE(SUBSTITUTE(SUBSTITUTE(SUBSTITUTE($AA961," ",""),"　",""),"(주)",""),"（주）",""),"㈜",""),"주식회사",""),"(유)",""),"（유）",""),"유한회사",""))</f>
        <v/>
      </c>
      <c r="AC961" s="31">
        <f>IF(OR($Y961="",N($Z961)&lt;=0,$AB961=""),0,IFERROR(LOOKUP(2,1/((거래처별!$AC$8:$AC$307&lt;&gt;"")*ISNUMBER(SEARCH(거래처별!$AC$8:$AC$307,$AB961))),거래처별!$A$8:$A$307),IFERROR(LOOKUP(2,1/((거래처별!$AD$8:$AD$307&lt;&gt;"")*ISNUMBER(SEARCH(거래처별!$AD$8:$AD$307,$AB961))),거래처별!$A$8:$A$307),IFERROR(LOOKUP(2,1/((거래처별!$AE$8:$AE$307&lt;&gt;"")*ISNUMBER(SEARCH(거래처별!$AE$8:$AE$307,$AB961))),거래처별!$A$8:$A$307),0))))</f>
        <v/>
      </c>
      <c r="AD961" s="31">
        <f>IF(AND($Y961&lt;&gt;"",N($Z961)&gt;0,$AC961=0),MAX($AD$7:$AD960)+1,"")</f>
        <v/>
      </c>
      <c r="AE961" s="31">
        <f>IF($Y961="",0,$Y961)</f>
        <v/>
      </c>
    </row>
    <row r="962">
      <c r="W962" s="31">
        <f>IF(OR($B$5="",$C$6="",ROW()&lt;$B$5),"",IF(INDEX($A:$U,ROW(),$C$6)="","",INDEX($A:$U,ROW(),$C$6)))</f>
        <v/>
      </c>
      <c r="X962" s="32">
        <f>IF($W962="","",IF(ISNUMBER($W962),IF($W962&gt;=10000000,IFERROR(DATE(INT($W962/10000),MOD(INT($W962/100),100),MOD($W962,100)),""),INT($W962)),IFERROR(DATE(--LEFT(LEFT(SUBSTITUTE(SUBSTITUTE(SUBSTITUTE(SUBSTITUTE(TRIM($W962),"-",""),".",""),"/","")," ",""),8),4),--MID(LEFT(SUBSTITUTE(SUBSTITUTE(SUBSTITUTE(SUBSTITUTE(TRIM($W962),"-",""),".",""),"/","")," ",""),8),5,2),--MID(LEFT(SUBSTITUTE(SUBSTITUTE(SUBSTITUTE(SUBSTITUTE(TRIM($W962),"-",""),".",""),"/","")," ",""),8),7,2)),"")))</f>
        <v/>
      </c>
      <c r="Y962" s="32">
        <f>IF($X962="","",INT($X962))</f>
        <v/>
      </c>
      <c r="Z962" s="33">
        <f>IF(OR($Y962="",$D$6=""),"",IF(INDEX($A:$U,ROW(),$D$6)="",0,IF(ISNUMBER(INDEX($A:$U,ROW(),$D$6)),INDEX($A:$U,ROW(),$D$6),IFERROR(--SUBSTITUTE(SUBSTITUTE(TRIM(INDEX($A:$U,ROW(),$D$6)),",",""),"원",""),0))))</f>
        <v/>
      </c>
      <c r="AA962" s="31">
        <f>IF($Y962="","",TRIM(INDEX($A:$U,ROW(),$E$6)&amp;IF($F$6="",""," "&amp;INDEX($A:$U,ROW(),$F$6))))</f>
        <v/>
      </c>
      <c r="AB962" s="31">
        <f>IF($AA962="","",SUBSTITUTE(SUBSTITUTE(SUBSTITUTE(SUBSTITUTE(SUBSTITUTE(SUBSTITUTE(SUBSTITUTE(SUBSTITUTE(SUBSTITUTE($AA962," ",""),"　",""),"(주)",""),"（주）",""),"㈜",""),"주식회사",""),"(유)",""),"（유）",""),"유한회사",""))</f>
        <v/>
      </c>
      <c r="AC962" s="31">
        <f>IF(OR($Y962="",N($Z962)&lt;=0,$AB962=""),0,IFERROR(LOOKUP(2,1/((거래처별!$AC$8:$AC$307&lt;&gt;"")*ISNUMBER(SEARCH(거래처별!$AC$8:$AC$307,$AB962))),거래처별!$A$8:$A$307),IFERROR(LOOKUP(2,1/((거래처별!$AD$8:$AD$307&lt;&gt;"")*ISNUMBER(SEARCH(거래처별!$AD$8:$AD$307,$AB962))),거래처별!$A$8:$A$307),IFERROR(LOOKUP(2,1/((거래처별!$AE$8:$AE$307&lt;&gt;"")*ISNUMBER(SEARCH(거래처별!$AE$8:$AE$307,$AB962))),거래처별!$A$8:$A$307),0))))</f>
        <v/>
      </c>
      <c r="AD962" s="31">
        <f>IF(AND($Y962&lt;&gt;"",N($Z962)&gt;0,$AC962=0),MAX($AD$7:$AD961)+1,"")</f>
        <v/>
      </c>
      <c r="AE962" s="31">
        <f>IF($Y962="",0,$Y962)</f>
        <v/>
      </c>
    </row>
    <row r="963">
      <c r="W963" s="31">
        <f>IF(OR($B$5="",$C$6="",ROW()&lt;$B$5),"",IF(INDEX($A:$U,ROW(),$C$6)="","",INDEX($A:$U,ROW(),$C$6)))</f>
        <v/>
      </c>
      <c r="X963" s="32">
        <f>IF($W963="","",IF(ISNUMBER($W963),IF($W963&gt;=10000000,IFERROR(DATE(INT($W963/10000),MOD(INT($W963/100),100),MOD($W963,100)),""),INT($W963)),IFERROR(DATE(--LEFT(LEFT(SUBSTITUTE(SUBSTITUTE(SUBSTITUTE(SUBSTITUTE(TRIM($W963),"-",""),".",""),"/","")," ",""),8),4),--MID(LEFT(SUBSTITUTE(SUBSTITUTE(SUBSTITUTE(SUBSTITUTE(TRIM($W963),"-",""),".",""),"/","")," ",""),8),5,2),--MID(LEFT(SUBSTITUTE(SUBSTITUTE(SUBSTITUTE(SUBSTITUTE(TRIM($W963),"-",""),".",""),"/","")," ",""),8),7,2)),"")))</f>
        <v/>
      </c>
      <c r="Y963" s="32">
        <f>IF($X963="","",INT($X963))</f>
        <v/>
      </c>
      <c r="Z963" s="33">
        <f>IF(OR($Y963="",$D$6=""),"",IF(INDEX($A:$U,ROW(),$D$6)="",0,IF(ISNUMBER(INDEX($A:$U,ROW(),$D$6)),INDEX($A:$U,ROW(),$D$6),IFERROR(--SUBSTITUTE(SUBSTITUTE(TRIM(INDEX($A:$U,ROW(),$D$6)),",",""),"원",""),0))))</f>
        <v/>
      </c>
      <c r="AA963" s="31">
        <f>IF($Y963="","",TRIM(INDEX($A:$U,ROW(),$E$6)&amp;IF($F$6="",""," "&amp;INDEX($A:$U,ROW(),$F$6))))</f>
        <v/>
      </c>
      <c r="AB963" s="31">
        <f>IF($AA963="","",SUBSTITUTE(SUBSTITUTE(SUBSTITUTE(SUBSTITUTE(SUBSTITUTE(SUBSTITUTE(SUBSTITUTE(SUBSTITUTE(SUBSTITUTE($AA963," ",""),"　",""),"(주)",""),"（주）",""),"㈜",""),"주식회사",""),"(유)",""),"（유）",""),"유한회사",""))</f>
        <v/>
      </c>
      <c r="AC963" s="31">
        <f>IF(OR($Y963="",N($Z963)&lt;=0,$AB963=""),0,IFERROR(LOOKUP(2,1/((거래처별!$AC$8:$AC$307&lt;&gt;"")*ISNUMBER(SEARCH(거래처별!$AC$8:$AC$307,$AB963))),거래처별!$A$8:$A$307),IFERROR(LOOKUP(2,1/((거래처별!$AD$8:$AD$307&lt;&gt;"")*ISNUMBER(SEARCH(거래처별!$AD$8:$AD$307,$AB963))),거래처별!$A$8:$A$307),IFERROR(LOOKUP(2,1/((거래처별!$AE$8:$AE$307&lt;&gt;"")*ISNUMBER(SEARCH(거래처별!$AE$8:$AE$307,$AB963))),거래처별!$A$8:$A$307),0))))</f>
        <v/>
      </c>
      <c r="AD963" s="31">
        <f>IF(AND($Y963&lt;&gt;"",N($Z963)&gt;0,$AC963=0),MAX($AD$7:$AD962)+1,"")</f>
        <v/>
      </c>
      <c r="AE963" s="31">
        <f>IF($Y963="",0,$Y963)</f>
        <v/>
      </c>
    </row>
    <row r="964">
      <c r="W964" s="31">
        <f>IF(OR($B$5="",$C$6="",ROW()&lt;$B$5),"",IF(INDEX($A:$U,ROW(),$C$6)="","",INDEX($A:$U,ROW(),$C$6)))</f>
        <v/>
      </c>
      <c r="X964" s="32">
        <f>IF($W964="","",IF(ISNUMBER($W964),IF($W964&gt;=10000000,IFERROR(DATE(INT($W964/10000),MOD(INT($W964/100),100),MOD($W964,100)),""),INT($W964)),IFERROR(DATE(--LEFT(LEFT(SUBSTITUTE(SUBSTITUTE(SUBSTITUTE(SUBSTITUTE(TRIM($W964),"-",""),".",""),"/","")," ",""),8),4),--MID(LEFT(SUBSTITUTE(SUBSTITUTE(SUBSTITUTE(SUBSTITUTE(TRIM($W964),"-",""),".",""),"/","")," ",""),8),5,2),--MID(LEFT(SUBSTITUTE(SUBSTITUTE(SUBSTITUTE(SUBSTITUTE(TRIM($W964),"-",""),".",""),"/","")," ",""),8),7,2)),"")))</f>
        <v/>
      </c>
      <c r="Y964" s="32">
        <f>IF($X964="","",INT($X964))</f>
        <v/>
      </c>
      <c r="Z964" s="33">
        <f>IF(OR($Y964="",$D$6=""),"",IF(INDEX($A:$U,ROW(),$D$6)="",0,IF(ISNUMBER(INDEX($A:$U,ROW(),$D$6)),INDEX($A:$U,ROW(),$D$6),IFERROR(--SUBSTITUTE(SUBSTITUTE(TRIM(INDEX($A:$U,ROW(),$D$6)),",",""),"원",""),0))))</f>
        <v/>
      </c>
      <c r="AA964" s="31">
        <f>IF($Y964="","",TRIM(INDEX($A:$U,ROW(),$E$6)&amp;IF($F$6="",""," "&amp;INDEX($A:$U,ROW(),$F$6))))</f>
        <v/>
      </c>
      <c r="AB964" s="31">
        <f>IF($AA964="","",SUBSTITUTE(SUBSTITUTE(SUBSTITUTE(SUBSTITUTE(SUBSTITUTE(SUBSTITUTE(SUBSTITUTE(SUBSTITUTE(SUBSTITUTE($AA964," ",""),"　",""),"(주)",""),"（주）",""),"㈜",""),"주식회사",""),"(유)",""),"（유）",""),"유한회사",""))</f>
        <v/>
      </c>
      <c r="AC964" s="31">
        <f>IF(OR($Y964="",N($Z964)&lt;=0,$AB964=""),0,IFERROR(LOOKUP(2,1/((거래처별!$AC$8:$AC$307&lt;&gt;"")*ISNUMBER(SEARCH(거래처별!$AC$8:$AC$307,$AB964))),거래처별!$A$8:$A$307),IFERROR(LOOKUP(2,1/((거래처별!$AD$8:$AD$307&lt;&gt;"")*ISNUMBER(SEARCH(거래처별!$AD$8:$AD$307,$AB964))),거래처별!$A$8:$A$307),IFERROR(LOOKUP(2,1/((거래처별!$AE$8:$AE$307&lt;&gt;"")*ISNUMBER(SEARCH(거래처별!$AE$8:$AE$307,$AB964))),거래처별!$A$8:$A$307),0))))</f>
        <v/>
      </c>
      <c r="AD964" s="31">
        <f>IF(AND($Y964&lt;&gt;"",N($Z964)&gt;0,$AC964=0),MAX($AD$7:$AD963)+1,"")</f>
        <v/>
      </c>
      <c r="AE964" s="31">
        <f>IF($Y964="",0,$Y964)</f>
        <v/>
      </c>
    </row>
    <row r="965">
      <c r="W965" s="31">
        <f>IF(OR($B$5="",$C$6="",ROW()&lt;$B$5),"",IF(INDEX($A:$U,ROW(),$C$6)="","",INDEX($A:$U,ROW(),$C$6)))</f>
        <v/>
      </c>
      <c r="X965" s="32">
        <f>IF($W965="","",IF(ISNUMBER($W965),IF($W965&gt;=10000000,IFERROR(DATE(INT($W965/10000),MOD(INT($W965/100),100),MOD($W965,100)),""),INT($W965)),IFERROR(DATE(--LEFT(LEFT(SUBSTITUTE(SUBSTITUTE(SUBSTITUTE(SUBSTITUTE(TRIM($W965),"-",""),".",""),"/","")," ",""),8),4),--MID(LEFT(SUBSTITUTE(SUBSTITUTE(SUBSTITUTE(SUBSTITUTE(TRIM($W965),"-",""),".",""),"/","")," ",""),8),5,2),--MID(LEFT(SUBSTITUTE(SUBSTITUTE(SUBSTITUTE(SUBSTITUTE(TRIM($W965),"-",""),".",""),"/","")," ",""),8),7,2)),"")))</f>
        <v/>
      </c>
      <c r="Y965" s="32">
        <f>IF($X965="","",INT($X965))</f>
        <v/>
      </c>
      <c r="Z965" s="33">
        <f>IF(OR($Y965="",$D$6=""),"",IF(INDEX($A:$U,ROW(),$D$6)="",0,IF(ISNUMBER(INDEX($A:$U,ROW(),$D$6)),INDEX($A:$U,ROW(),$D$6),IFERROR(--SUBSTITUTE(SUBSTITUTE(TRIM(INDEX($A:$U,ROW(),$D$6)),",",""),"원",""),0))))</f>
        <v/>
      </c>
      <c r="AA965" s="31">
        <f>IF($Y965="","",TRIM(INDEX($A:$U,ROW(),$E$6)&amp;IF($F$6="",""," "&amp;INDEX($A:$U,ROW(),$F$6))))</f>
        <v/>
      </c>
      <c r="AB965" s="31">
        <f>IF($AA965="","",SUBSTITUTE(SUBSTITUTE(SUBSTITUTE(SUBSTITUTE(SUBSTITUTE(SUBSTITUTE(SUBSTITUTE(SUBSTITUTE(SUBSTITUTE($AA965," ",""),"　",""),"(주)",""),"（주）",""),"㈜",""),"주식회사",""),"(유)",""),"（유）",""),"유한회사",""))</f>
        <v/>
      </c>
      <c r="AC965" s="31">
        <f>IF(OR($Y965="",N($Z965)&lt;=0,$AB965=""),0,IFERROR(LOOKUP(2,1/((거래처별!$AC$8:$AC$307&lt;&gt;"")*ISNUMBER(SEARCH(거래처별!$AC$8:$AC$307,$AB965))),거래처별!$A$8:$A$307),IFERROR(LOOKUP(2,1/((거래처별!$AD$8:$AD$307&lt;&gt;"")*ISNUMBER(SEARCH(거래처별!$AD$8:$AD$307,$AB965))),거래처별!$A$8:$A$307),IFERROR(LOOKUP(2,1/((거래처별!$AE$8:$AE$307&lt;&gt;"")*ISNUMBER(SEARCH(거래처별!$AE$8:$AE$307,$AB965))),거래처별!$A$8:$A$307),0))))</f>
        <v/>
      </c>
      <c r="AD965" s="31">
        <f>IF(AND($Y965&lt;&gt;"",N($Z965)&gt;0,$AC965=0),MAX($AD$7:$AD964)+1,"")</f>
        <v/>
      </c>
      <c r="AE965" s="31">
        <f>IF($Y965="",0,$Y965)</f>
        <v/>
      </c>
    </row>
    <row r="966">
      <c r="W966" s="31">
        <f>IF(OR($B$5="",$C$6="",ROW()&lt;$B$5),"",IF(INDEX($A:$U,ROW(),$C$6)="","",INDEX($A:$U,ROW(),$C$6)))</f>
        <v/>
      </c>
      <c r="X966" s="32">
        <f>IF($W966="","",IF(ISNUMBER($W966),IF($W966&gt;=10000000,IFERROR(DATE(INT($W966/10000),MOD(INT($W966/100),100),MOD($W966,100)),""),INT($W966)),IFERROR(DATE(--LEFT(LEFT(SUBSTITUTE(SUBSTITUTE(SUBSTITUTE(SUBSTITUTE(TRIM($W966),"-",""),".",""),"/","")," ",""),8),4),--MID(LEFT(SUBSTITUTE(SUBSTITUTE(SUBSTITUTE(SUBSTITUTE(TRIM($W966),"-",""),".",""),"/","")," ",""),8),5,2),--MID(LEFT(SUBSTITUTE(SUBSTITUTE(SUBSTITUTE(SUBSTITUTE(TRIM($W966),"-",""),".",""),"/","")," ",""),8),7,2)),"")))</f>
        <v/>
      </c>
      <c r="Y966" s="32">
        <f>IF($X966="","",INT($X966))</f>
        <v/>
      </c>
      <c r="Z966" s="33">
        <f>IF(OR($Y966="",$D$6=""),"",IF(INDEX($A:$U,ROW(),$D$6)="",0,IF(ISNUMBER(INDEX($A:$U,ROW(),$D$6)),INDEX($A:$U,ROW(),$D$6),IFERROR(--SUBSTITUTE(SUBSTITUTE(TRIM(INDEX($A:$U,ROW(),$D$6)),",",""),"원",""),0))))</f>
        <v/>
      </c>
      <c r="AA966" s="31">
        <f>IF($Y966="","",TRIM(INDEX($A:$U,ROW(),$E$6)&amp;IF($F$6="",""," "&amp;INDEX($A:$U,ROW(),$F$6))))</f>
        <v/>
      </c>
      <c r="AB966" s="31">
        <f>IF($AA966="","",SUBSTITUTE(SUBSTITUTE(SUBSTITUTE(SUBSTITUTE(SUBSTITUTE(SUBSTITUTE(SUBSTITUTE(SUBSTITUTE(SUBSTITUTE($AA966," ",""),"　",""),"(주)",""),"（주）",""),"㈜",""),"주식회사",""),"(유)",""),"（유）",""),"유한회사",""))</f>
        <v/>
      </c>
      <c r="AC966" s="31">
        <f>IF(OR($Y966="",N($Z966)&lt;=0,$AB966=""),0,IFERROR(LOOKUP(2,1/((거래처별!$AC$8:$AC$307&lt;&gt;"")*ISNUMBER(SEARCH(거래처별!$AC$8:$AC$307,$AB966))),거래처별!$A$8:$A$307),IFERROR(LOOKUP(2,1/((거래처별!$AD$8:$AD$307&lt;&gt;"")*ISNUMBER(SEARCH(거래처별!$AD$8:$AD$307,$AB966))),거래처별!$A$8:$A$307),IFERROR(LOOKUP(2,1/((거래처별!$AE$8:$AE$307&lt;&gt;"")*ISNUMBER(SEARCH(거래처별!$AE$8:$AE$307,$AB966))),거래처별!$A$8:$A$307),0))))</f>
        <v/>
      </c>
      <c r="AD966" s="31">
        <f>IF(AND($Y966&lt;&gt;"",N($Z966)&gt;0,$AC966=0),MAX($AD$7:$AD965)+1,"")</f>
        <v/>
      </c>
      <c r="AE966" s="31">
        <f>IF($Y966="",0,$Y966)</f>
        <v/>
      </c>
    </row>
    <row r="967">
      <c r="W967" s="31">
        <f>IF(OR($B$5="",$C$6="",ROW()&lt;$B$5),"",IF(INDEX($A:$U,ROW(),$C$6)="","",INDEX($A:$U,ROW(),$C$6)))</f>
        <v/>
      </c>
      <c r="X967" s="32">
        <f>IF($W967="","",IF(ISNUMBER($W967),IF($W967&gt;=10000000,IFERROR(DATE(INT($W967/10000),MOD(INT($W967/100),100),MOD($W967,100)),""),INT($W967)),IFERROR(DATE(--LEFT(LEFT(SUBSTITUTE(SUBSTITUTE(SUBSTITUTE(SUBSTITUTE(TRIM($W967),"-",""),".",""),"/","")," ",""),8),4),--MID(LEFT(SUBSTITUTE(SUBSTITUTE(SUBSTITUTE(SUBSTITUTE(TRIM($W967),"-",""),".",""),"/","")," ",""),8),5,2),--MID(LEFT(SUBSTITUTE(SUBSTITUTE(SUBSTITUTE(SUBSTITUTE(TRIM($W967),"-",""),".",""),"/","")," ",""),8),7,2)),"")))</f>
        <v/>
      </c>
      <c r="Y967" s="32">
        <f>IF($X967="","",INT($X967))</f>
        <v/>
      </c>
      <c r="Z967" s="33">
        <f>IF(OR($Y967="",$D$6=""),"",IF(INDEX($A:$U,ROW(),$D$6)="",0,IF(ISNUMBER(INDEX($A:$U,ROW(),$D$6)),INDEX($A:$U,ROW(),$D$6),IFERROR(--SUBSTITUTE(SUBSTITUTE(TRIM(INDEX($A:$U,ROW(),$D$6)),",",""),"원",""),0))))</f>
        <v/>
      </c>
      <c r="AA967" s="31">
        <f>IF($Y967="","",TRIM(INDEX($A:$U,ROW(),$E$6)&amp;IF($F$6="",""," "&amp;INDEX($A:$U,ROW(),$F$6))))</f>
        <v/>
      </c>
      <c r="AB967" s="31">
        <f>IF($AA967="","",SUBSTITUTE(SUBSTITUTE(SUBSTITUTE(SUBSTITUTE(SUBSTITUTE(SUBSTITUTE(SUBSTITUTE(SUBSTITUTE(SUBSTITUTE($AA967," ",""),"　",""),"(주)",""),"（주）",""),"㈜",""),"주식회사",""),"(유)",""),"（유）",""),"유한회사",""))</f>
        <v/>
      </c>
      <c r="AC967" s="31">
        <f>IF(OR($Y967="",N($Z967)&lt;=0,$AB967=""),0,IFERROR(LOOKUP(2,1/((거래처별!$AC$8:$AC$307&lt;&gt;"")*ISNUMBER(SEARCH(거래처별!$AC$8:$AC$307,$AB967))),거래처별!$A$8:$A$307),IFERROR(LOOKUP(2,1/((거래처별!$AD$8:$AD$307&lt;&gt;"")*ISNUMBER(SEARCH(거래처별!$AD$8:$AD$307,$AB967))),거래처별!$A$8:$A$307),IFERROR(LOOKUP(2,1/((거래처별!$AE$8:$AE$307&lt;&gt;"")*ISNUMBER(SEARCH(거래처별!$AE$8:$AE$307,$AB967))),거래처별!$A$8:$A$307),0))))</f>
        <v/>
      </c>
      <c r="AD967" s="31">
        <f>IF(AND($Y967&lt;&gt;"",N($Z967)&gt;0,$AC967=0),MAX($AD$7:$AD966)+1,"")</f>
        <v/>
      </c>
      <c r="AE967" s="31">
        <f>IF($Y967="",0,$Y967)</f>
        <v/>
      </c>
    </row>
    <row r="968">
      <c r="W968" s="31">
        <f>IF(OR($B$5="",$C$6="",ROW()&lt;$B$5),"",IF(INDEX($A:$U,ROW(),$C$6)="","",INDEX($A:$U,ROW(),$C$6)))</f>
        <v/>
      </c>
      <c r="X968" s="32">
        <f>IF($W968="","",IF(ISNUMBER($W968),IF($W968&gt;=10000000,IFERROR(DATE(INT($W968/10000),MOD(INT($W968/100),100),MOD($W968,100)),""),INT($W968)),IFERROR(DATE(--LEFT(LEFT(SUBSTITUTE(SUBSTITUTE(SUBSTITUTE(SUBSTITUTE(TRIM($W968),"-",""),".",""),"/","")," ",""),8),4),--MID(LEFT(SUBSTITUTE(SUBSTITUTE(SUBSTITUTE(SUBSTITUTE(TRIM($W968),"-",""),".",""),"/","")," ",""),8),5,2),--MID(LEFT(SUBSTITUTE(SUBSTITUTE(SUBSTITUTE(SUBSTITUTE(TRIM($W968),"-",""),".",""),"/","")," ",""),8),7,2)),"")))</f>
        <v/>
      </c>
      <c r="Y968" s="32">
        <f>IF($X968="","",INT($X968))</f>
        <v/>
      </c>
      <c r="Z968" s="33">
        <f>IF(OR($Y968="",$D$6=""),"",IF(INDEX($A:$U,ROW(),$D$6)="",0,IF(ISNUMBER(INDEX($A:$U,ROW(),$D$6)),INDEX($A:$U,ROW(),$D$6),IFERROR(--SUBSTITUTE(SUBSTITUTE(TRIM(INDEX($A:$U,ROW(),$D$6)),",",""),"원",""),0))))</f>
        <v/>
      </c>
      <c r="AA968" s="31">
        <f>IF($Y968="","",TRIM(INDEX($A:$U,ROW(),$E$6)&amp;IF($F$6="",""," "&amp;INDEX($A:$U,ROW(),$F$6))))</f>
        <v/>
      </c>
      <c r="AB968" s="31">
        <f>IF($AA968="","",SUBSTITUTE(SUBSTITUTE(SUBSTITUTE(SUBSTITUTE(SUBSTITUTE(SUBSTITUTE(SUBSTITUTE(SUBSTITUTE(SUBSTITUTE($AA968," ",""),"　",""),"(주)",""),"（주）",""),"㈜",""),"주식회사",""),"(유)",""),"（유）",""),"유한회사",""))</f>
        <v/>
      </c>
      <c r="AC968" s="31">
        <f>IF(OR($Y968="",N($Z968)&lt;=0,$AB968=""),0,IFERROR(LOOKUP(2,1/((거래처별!$AC$8:$AC$307&lt;&gt;"")*ISNUMBER(SEARCH(거래처별!$AC$8:$AC$307,$AB968))),거래처별!$A$8:$A$307),IFERROR(LOOKUP(2,1/((거래처별!$AD$8:$AD$307&lt;&gt;"")*ISNUMBER(SEARCH(거래처별!$AD$8:$AD$307,$AB968))),거래처별!$A$8:$A$307),IFERROR(LOOKUP(2,1/((거래처별!$AE$8:$AE$307&lt;&gt;"")*ISNUMBER(SEARCH(거래처별!$AE$8:$AE$307,$AB968))),거래처별!$A$8:$A$307),0))))</f>
        <v/>
      </c>
      <c r="AD968" s="31">
        <f>IF(AND($Y968&lt;&gt;"",N($Z968)&gt;0,$AC968=0),MAX($AD$7:$AD967)+1,"")</f>
        <v/>
      </c>
      <c r="AE968" s="31">
        <f>IF($Y968="",0,$Y968)</f>
        <v/>
      </c>
    </row>
    <row r="969">
      <c r="W969" s="31">
        <f>IF(OR($B$5="",$C$6="",ROW()&lt;$B$5),"",IF(INDEX($A:$U,ROW(),$C$6)="","",INDEX($A:$U,ROW(),$C$6)))</f>
        <v/>
      </c>
      <c r="X969" s="32">
        <f>IF($W969="","",IF(ISNUMBER($W969),IF($W969&gt;=10000000,IFERROR(DATE(INT($W969/10000),MOD(INT($W969/100),100),MOD($W969,100)),""),INT($W969)),IFERROR(DATE(--LEFT(LEFT(SUBSTITUTE(SUBSTITUTE(SUBSTITUTE(SUBSTITUTE(TRIM($W969),"-",""),".",""),"/","")," ",""),8),4),--MID(LEFT(SUBSTITUTE(SUBSTITUTE(SUBSTITUTE(SUBSTITUTE(TRIM($W969),"-",""),".",""),"/","")," ",""),8),5,2),--MID(LEFT(SUBSTITUTE(SUBSTITUTE(SUBSTITUTE(SUBSTITUTE(TRIM($W969),"-",""),".",""),"/","")," ",""),8),7,2)),"")))</f>
        <v/>
      </c>
      <c r="Y969" s="32">
        <f>IF($X969="","",INT($X969))</f>
        <v/>
      </c>
      <c r="Z969" s="33">
        <f>IF(OR($Y969="",$D$6=""),"",IF(INDEX($A:$U,ROW(),$D$6)="",0,IF(ISNUMBER(INDEX($A:$U,ROW(),$D$6)),INDEX($A:$U,ROW(),$D$6),IFERROR(--SUBSTITUTE(SUBSTITUTE(TRIM(INDEX($A:$U,ROW(),$D$6)),",",""),"원",""),0))))</f>
        <v/>
      </c>
      <c r="AA969" s="31">
        <f>IF($Y969="","",TRIM(INDEX($A:$U,ROW(),$E$6)&amp;IF($F$6="",""," "&amp;INDEX($A:$U,ROW(),$F$6))))</f>
        <v/>
      </c>
      <c r="AB969" s="31">
        <f>IF($AA969="","",SUBSTITUTE(SUBSTITUTE(SUBSTITUTE(SUBSTITUTE(SUBSTITUTE(SUBSTITUTE(SUBSTITUTE(SUBSTITUTE(SUBSTITUTE($AA969," ",""),"　",""),"(주)",""),"（주）",""),"㈜",""),"주식회사",""),"(유)",""),"（유）",""),"유한회사",""))</f>
        <v/>
      </c>
      <c r="AC969" s="31">
        <f>IF(OR($Y969="",N($Z969)&lt;=0,$AB969=""),0,IFERROR(LOOKUP(2,1/((거래처별!$AC$8:$AC$307&lt;&gt;"")*ISNUMBER(SEARCH(거래처별!$AC$8:$AC$307,$AB969))),거래처별!$A$8:$A$307),IFERROR(LOOKUP(2,1/((거래처별!$AD$8:$AD$307&lt;&gt;"")*ISNUMBER(SEARCH(거래처별!$AD$8:$AD$307,$AB969))),거래처별!$A$8:$A$307),IFERROR(LOOKUP(2,1/((거래처별!$AE$8:$AE$307&lt;&gt;"")*ISNUMBER(SEARCH(거래처별!$AE$8:$AE$307,$AB969))),거래처별!$A$8:$A$307),0))))</f>
        <v/>
      </c>
      <c r="AD969" s="31">
        <f>IF(AND($Y969&lt;&gt;"",N($Z969)&gt;0,$AC969=0),MAX($AD$7:$AD968)+1,"")</f>
        <v/>
      </c>
      <c r="AE969" s="31">
        <f>IF($Y969="",0,$Y969)</f>
        <v/>
      </c>
    </row>
    <row r="970">
      <c r="W970" s="31">
        <f>IF(OR($B$5="",$C$6="",ROW()&lt;$B$5),"",IF(INDEX($A:$U,ROW(),$C$6)="","",INDEX($A:$U,ROW(),$C$6)))</f>
        <v/>
      </c>
      <c r="X970" s="32">
        <f>IF($W970="","",IF(ISNUMBER($W970),IF($W970&gt;=10000000,IFERROR(DATE(INT($W970/10000),MOD(INT($W970/100),100),MOD($W970,100)),""),INT($W970)),IFERROR(DATE(--LEFT(LEFT(SUBSTITUTE(SUBSTITUTE(SUBSTITUTE(SUBSTITUTE(TRIM($W970),"-",""),".",""),"/","")," ",""),8),4),--MID(LEFT(SUBSTITUTE(SUBSTITUTE(SUBSTITUTE(SUBSTITUTE(TRIM($W970),"-",""),".",""),"/","")," ",""),8),5,2),--MID(LEFT(SUBSTITUTE(SUBSTITUTE(SUBSTITUTE(SUBSTITUTE(TRIM($W970),"-",""),".",""),"/","")," ",""),8),7,2)),"")))</f>
        <v/>
      </c>
      <c r="Y970" s="32">
        <f>IF($X970="","",INT($X970))</f>
        <v/>
      </c>
      <c r="Z970" s="33">
        <f>IF(OR($Y970="",$D$6=""),"",IF(INDEX($A:$U,ROW(),$D$6)="",0,IF(ISNUMBER(INDEX($A:$U,ROW(),$D$6)),INDEX($A:$U,ROW(),$D$6),IFERROR(--SUBSTITUTE(SUBSTITUTE(TRIM(INDEX($A:$U,ROW(),$D$6)),",",""),"원",""),0))))</f>
        <v/>
      </c>
      <c r="AA970" s="31">
        <f>IF($Y970="","",TRIM(INDEX($A:$U,ROW(),$E$6)&amp;IF($F$6="",""," "&amp;INDEX($A:$U,ROW(),$F$6))))</f>
        <v/>
      </c>
      <c r="AB970" s="31">
        <f>IF($AA970="","",SUBSTITUTE(SUBSTITUTE(SUBSTITUTE(SUBSTITUTE(SUBSTITUTE(SUBSTITUTE(SUBSTITUTE(SUBSTITUTE(SUBSTITUTE($AA970," ",""),"　",""),"(주)",""),"（주）",""),"㈜",""),"주식회사",""),"(유)",""),"（유）",""),"유한회사",""))</f>
        <v/>
      </c>
      <c r="AC970" s="31">
        <f>IF(OR($Y970="",N($Z970)&lt;=0,$AB970=""),0,IFERROR(LOOKUP(2,1/((거래처별!$AC$8:$AC$307&lt;&gt;"")*ISNUMBER(SEARCH(거래처별!$AC$8:$AC$307,$AB970))),거래처별!$A$8:$A$307),IFERROR(LOOKUP(2,1/((거래처별!$AD$8:$AD$307&lt;&gt;"")*ISNUMBER(SEARCH(거래처별!$AD$8:$AD$307,$AB970))),거래처별!$A$8:$A$307),IFERROR(LOOKUP(2,1/((거래처별!$AE$8:$AE$307&lt;&gt;"")*ISNUMBER(SEARCH(거래처별!$AE$8:$AE$307,$AB970))),거래처별!$A$8:$A$307),0))))</f>
        <v/>
      </c>
      <c r="AD970" s="31">
        <f>IF(AND($Y970&lt;&gt;"",N($Z970)&gt;0,$AC970=0),MAX($AD$7:$AD969)+1,"")</f>
        <v/>
      </c>
      <c r="AE970" s="31">
        <f>IF($Y970="",0,$Y970)</f>
        <v/>
      </c>
    </row>
    <row r="971">
      <c r="W971" s="31">
        <f>IF(OR($B$5="",$C$6="",ROW()&lt;$B$5),"",IF(INDEX($A:$U,ROW(),$C$6)="","",INDEX($A:$U,ROW(),$C$6)))</f>
        <v/>
      </c>
      <c r="X971" s="32">
        <f>IF($W971="","",IF(ISNUMBER($W971),IF($W971&gt;=10000000,IFERROR(DATE(INT($W971/10000),MOD(INT($W971/100),100),MOD($W971,100)),""),INT($W971)),IFERROR(DATE(--LEFT(LEFT(SUBSTITUTE(SUBSTITUTE(SUBSTITUTE(SUBSTITUTE(TRIM($W971),"-",""),".",""),"/","")," ",""),8),4),--MID(LEFT(SUBSTITUTE(SUBSTITUTE(SUBSTITUTE(SUBSTITUTE(TRIM($W971),"-",""),".",""),"/","")," ",""),8),5,2),--MID(LEFT(SUBSTITUTE(SUBSTITUTE(SUBSTITUTE(SUBSTITUTE(TRIM($W971),"-",""),".",""),"/","")," ",""),8),7,2)),"")))</f>
        <v/>
      </c>
      <c r="Y971" s="32">
        <f>IF($X971="","",INT($X971))</f>
        <v/>
      </c>
      <c r="Z971" s="33">
        <f>IF(OR($Y971="",$D$6=""),"",IF(INDEX($A:$U,ROW(),$D$6)="",0,IF(ISNUMBER(INDEX($A:$U,ROW(),$D$6)),INDEX($A:$U,ROW(),$D$6),IFERROR(--SUBSTITUTE(SUBSTITUTE(TRIM(INDEX($A:$U,ROW(),$D$6)),",",""),"원",""),0))))</f>
        <v/>
      </c>
      <c r="AA971" s="31">
        <f>IF($Y971="","",TRIM(INDEX($A:$U,ROW(),$E$6)&amp;IF($F$6="",""," "&amp;INDEX($A:$U,ROW(),$F$6))))</f>
        <v/>
      </c>
      <c r="AB971" s="31">
        <f>IF($AA971="","",SUBSTITUTE(SUBSTITUTE(SUBSTITUTE(SUBSTITUTE(SUBSTITUTE(SUBSTITUTE(SUBSTITUTE(SUBSTITUTE(SUBSTITUTE($AA971," ",""),"　",""),"(주)",""),"（주）",""),"㈜",""),"주식회사",""),"(유)",""),"（유）",""),"유한회사",""))</f>
        <v/>
      </c>
      <c r="AC971" s="31">
        <f>IF(OR($Y971="",N($Z971)&lt;=0,$AB971=""),0,IFERROR(LOOKUP(2,1/((거래처별!$AC$8:$AC$307&lt;&gt;"")*ISNUMBER(SEARCH(거래처별!$AC$8:$AC$307,$AB971))),거래처별!$A$8:$A$307),IFERROR(LOOKUP(2,1/((거래처별!$AD$8:$AD$307&lt;&gt;"")*ISNUMBER(SEARCH(거래처별!$AD$8:$AD$307,$AB971))),거래처별!$A$8:$A$307),IFERROR(LOOKUP(2,1/((거래처별!$AE$8:$AE$307&lt;&gt;"")*ISNUMBER(SEARCH(거래처별!$AE$8:$AE$307,$AB971))),거래처별!$A$8:$A$307),0))))</f>
        <v/>
      </c>
      <c r="AD971" s="31">
        <f>IF(AND($Y971&lt;&gt;"",N($Z971)&gt;0,$AC971=0),MAX($AD$7:$AD970)+1,"")</f>
        <v/>
      </c>
      <c r="AE971" s="31">
        <f>IF($Y971="",0,$Y971)</f>
        <v/>
      </c>
    </row>
    <row r="972">
      <c r="W972" s="31">
        <f>IF(OR($B$5="",$C$6="",ROW()&lt;$B$5),"",IF(INDEX($A:$U,ROW(),$C$6)="","",INDEX($A:$U,ROW(),$C$6)))</f>
        <v/>
      </c>
      <c r="X972" s="32">
        <f>IF($W972="","",IF(ISNUMBER($W972),IF($W972&gt;=10000000,IFERROR(DATE(INT($W972/10000),MOD(INT($W972/100),100),MOD($W972,100)),""),INT($W972)),IFERROR(DATE(--LEFT(LEFT(SUBSTITUTE(SUBSTITUTE(SUBSTITUTE(SUBSTITUTE(TRIM($W972),"-",""),".",""),"/","")," ",""),8),4),--MID(LEFT(SUBSTITUTE(SUBSTITUTE(SUBSTITUTE(SUBSTITUTE(TRIM($W972),"-",""),".",""),"/","")," ",""),8),5,2),--MID(LEFT(SUBSTITUTE(SUBSTITUTE(SUBSTITUTE(SUBSTITUTE(TRIM($W972),"-",""),".",""),"/","")," ",""),8),7,2)),"")))</f>
        <v/>
      </c>
      <c r="Y972" s="32">
        <f>IF($X972="","",INT($X972))</f>
        <v/>
      </c>
      <c r="Z972" s="33">
        <f>IF(OR($Y972="",$D$6=""),"",IF(INDEX($A:$U,ROW(),$D$6)="",0,IF(ISNUMBER(INDEX($A:$U,ROW(),$D$6)),INDEX($A:$U,ROW(),$D$6),IFERROR(--SUBSTITUTE(SUBSTITUTE(TRIM(INDEX($A:$U,ROW(),$D$6)),",",""),"원",""),0))))</f>
        <v/>
      </c>
      <c r="AA972" s="31">
        <f>IF($Y972="","",TRIM(INDEX($A:$U,ROW(),$E$6)&amp;IF($F$6="",""," "&amp;INDEX($A:$U,ROW(),$F$6))))</f>
        <v/>
      </c>
      <c r="AB972" s="31">
        <f>IF($AA972="","",SUBSTITUTE(SUBSTITUTE(SUBSTITUTE(SUBSTITUTE(SUBSTITUTE(SUBSTITUTE(SUBSTITUTE(SUBSTITUTE(SUBSTITUTE($AA972," ",""),"　",""),"(주)",""),"（주）",""),"㈜",""),"주식회사",""),"(유)",""),"（유）",""),"유한회사",""))</f>
        <v/>
      </c>
      <c r="AC972" s="31">
        <f>IF(OR($Y972="",N($Z972)&lt;=0,$AB972=""),0,IFERROR(LOOKUP(2,1/((거래처별!$AC$8:$AC$307&lt;&gt;"")*ISNUMBER(SEARCH(거래처별!$AC$8:$AC$307,$AB972))),거래처별!$A$8:$A$307),IFERROR(LOOKUP(2,1/((거래처별!$AD$8:$AD$307&lt;&gt;"")*ISNUMBER(SEARCH(거래처별!$AD$8:$AD$307,$AB972))),거래처별!$A$8:$A$307),IFERROR(LOOKUP(2,1/((거래처별!$AE$8:$AE$307&lt;&gt;"")*ISNUMBER(SEARCH(거래처별!$AE$8:$AE$307,$AB972))),거래처별!$A$8:$A$307),0))))</f>
        <v/>
      </c>
      <c r="AD972" s="31">
        <f>IF(AND($Y972&lt;&gt;"",N($Z972)&gt;0,$AC972=0),MAX($AD$7:$AD971)+1,"")</f>
        <v/>
      </c>
      <c r="AE972" s="31">
        <f>IF($Y972="",0,$Y972)</f>
        <v/>
      </c>
    </row>
    <row r="973">
      <c r="W973" s="31">
        <f>IF(OR($B$5="",$C$6="",ROW()&lt;$B$5),"",IF(INDEX($A:$U,ROW(),$C$6)="","",INDEX($A:$U,ROW(),$C$6)))</f>
        <v/>
      </c>
      <c r="X973" s="32">
        <f>IF($W973="","",IF(ISNUMBER($W973),IF($W973&gt;=10000000,IFERROR(DATE(INT($W973/10000),MOD(INT($W973/100),100),MOD($W973,100)),""),INT($W973)),IFERROR(DATE(--LEFT(LEFT(SUBSTITUTE(SUBSTITUTE(SUBSTITUTE(SUBSTITUTE(TRIM($W973),"-",""),".",""),"/","")," ",""),8),4),--MID(LEFT(SUBSTITUTE(SUBSTITUTE(SUBSTITUTE(SUBSTITUTE(TRIM($W973),"-",""),".",""),"/","")," ",""),8),5,2),--MID(LEFT(SUBSTITUTE(SUBSTITUTE(SUBSTITUTE(SUBSTITUTE(TRIM($W973),"-",""),".",""),"/","")," ",""),8),7,2)),"")))</f>
        <v/>
      </c>
      <c r="Y973" s="32">
        <f>IF($X973="","",INT($X973))</f>
        <v/>
      </c>
      <c r="Z973" s="33">
        <f>IF(OR($Y973="",$D$6=""),"",IF(INDEX($A:$U,ROW(),$D$6)="",0,IF(ISNUMBER(INDEX($A:$U,ROW(),$D$6)),INDEX($A:$U,ROW(),$D$6),IFERROR(--SUBSTITUTE(SUBSTITUTE(TRIM(INDEX($A:$U,ROW(),$D$6)),",",""),"원",""),0))))</f>
        <v/>
      </c>
      <c r="AA973" s="31">
        <f>IF($Y973="","",TRIM(INDEX($A:$U,ROW(),$E$6)&amp;IF($F$6="",""," "&amp;INDEX($A:$U,ROW(),$F$6))))</f>
        <v/>
      </c>
      <c r="AB973" s="31">
        <f>IF($AA973="","",SUBSTITUTE(SUBSTITUTE(SUBSTITUTE(SUBSTITUTE(SUBSTITUTE(SUBSTITUTE(SUBSTITUTE(SUBSTITUTE(SUBSTITUTE($AA973," ",""),"　",""),"(주)",""),"（주）",""),"㈜",""),"주식회사",""),"(유)",""),"（유）",""),"유한회사",""))</f>
        <v/>
      </c>
      <c r="AC973" s="31">
        <f>IF(OR($Y973="",N($Z973)&lt;=0,$AB973=""),0,IFERROR(LOOKUP(2,1/((거래처별!$AC$8:$AC$307&lt;&gt;"")*ISNUMBER(SEARCH(거래처별!$AC$8:$AC$307,$AB973))),거래처별!$A$8:$A$307),IFERROR(LOOKUP(2,1/((거래처별!$AD$8:$AD$307&lt;&gt;"")*ISNUMBER(SEARCH(거래처별!$AD$8:$AD$307,$AB973))),거래처별!$A$8:$A$307),IFERROR(LOOKUP(2,1/((거래처별!$AE$8:$AE$307&lt;&gt;"")*ISNUMBER(SEARCH(거래처별!$AE$8:$AE$307,$AB973))),거래처별!$A$8:$A$307),0))))</f>
        <v/>
      </c>
      <c r="AD973" s="31">
        <f>IF(AND($Y973&lt;&gt;"",N($Z973)&gt;0,$AC973=0),MAX($AD$7:$AD972)+1,"")</f>
        <v/>
      </c>
      <c r="AE973" s="31">
        <f>IF($Y973="",0,$Y973)</f>
        <v/>
      </c>
    </row>
    <row r="974">
      <c r="W974" s="31">
        <f>IF(OR($B$5="",$C$6="",ROW()&lt;$B$5),"",IF(INDEX($A:$U,ROW(),$C$6)="","",INDEX($A:$U,ROW(),$C$6)))</f>
        <v/>
      </c>
      <c r="X974" s="32">
        <f>IF($W974="","",IF(ISNUMBER($W974),IF($W974&gt;=10000000,IFERROR(DATE(INT($W974/10000),MOD(INT($W974/100),100),MOD($W974,100)),""),INT($W974)),IFERROR(DATE(--LEFT(LEFT(SUBSTITUTE(SUBSTITUTE(SUBSTITUTE(SUBSTITUTE(TRIM($W974),"-",""),".",""),"/","")," ",""),8),4),--MID(LEFT(SUBSTITUTE(SUBSTITUTE(SUBSTITUTE(SUBSTITUTE(TRIM($W974),"-",""),".",""),"/","")," ",""),8),5,2),--MID(LEFT(SUBSTITUTE(SUBSTITUTE(SUBSTITUTE(SUBSTITUTE(TRIM($W974),"-",""),".",""),"/","")," ",""),8),7,2)),"")))</f>
        <v/>
      </c>
      <c r="Y974" s="32">
        <f>IF($X974="","",INT($X974))</f>
        <v/>
      </c>
      <c r="Z974" s="33">
        <f>IF(OR($Y974="",$D$6=""),"",IF(INDEX($A:$U,ROW(),$D$6)="",0,IF(ISNUMBER(INDEX($A:$U,ROW(),$D$6)),INDEX($A:$U,ROW(),$D$6),IFERROR(--SUBSTITUTE(SUBSTITUTE(TRIM(INDEX($A:$U,ROW(),$D$6)),",",""),"원",""),0))))</f>
        <v/>
      </c>
      <c r="AA974" s="31">
        <f>IF($Y974="","",TRIM(INDEX($A:$U,ROW(),$E$6)&amp;IF($F$6="",""," "&amp;INDEX($A:$U,ROW(),$F$6))))</f>
        <v/>
      </c>
      <c r="AB974" s="31">
        <f>IF($AA974="","",SUBSTITUTE(SUBSTITUTE(SUBSTITUTE(SUBSTITUTE(SUBSTITUTE(SUBSTITUTE(SUBSTITUTE(SUBSTITUTE(SUBSTITUTE($AA974," ",""),"　",""),"(주)",""),"（주）",""),"㈜",""),"주식회사",""),"(유)",""),"（유）",""),"유한회사",""))</f>
        <v/>
      </c>
      <c r="AC974" s="31">
        <f>IF(OR($Y974="",N($Z974)&lt;=0,$AB974=""),0,IFERROR(LOOKUP(2,1/((거래처별!$AC$8:$AC$307&lt;&gt;"")*ISNUMBER(SEARCH(거래처별!$AC$8:$AC$307,$AB974))),거래처별!$A$8:$A$307),IFERROR(LOOKUP(2,1/((거래처별!$AD$8:$AD$307&lt;&gt;"")*ISNUMBER(SEARCH(거래처별!$AD$8:$AD$307,$AB974))),거래처별!$A$8:$A$307),IFERROR(LOOKUP(2,1/((거래처별!$AE$8:$AE$307&lt;&gt;"")*ISNUMBER(SEARCH(거래처별!$AE$8:$AE$307,$AB974))),거래처별!$A$8:$A$307),0))))</f>
        <v/>
      </c>
      <c r="AD974" s="31">
        <f>IF(AND($Y974&lt;&gt;"",N($Z974)&gt;0,$AC974=0),MAX($AD$7:$AD973)+1,"")</f>
        <v/>
      </c>
      <c r="AE974" s="31">
        <f>IF($Y974="",0,$Y974)</f>
        <v/>
      </c>
    </row>
    <row r="975">
      <c r="W975" s="31">
        <f>IF(OR($B$5="",$C$6="",ROW()&lt;$B$5),"",IF(INDEX($A:$U,ROW(),$C$6)="","",INDEX($A:$U,ROW(),$C$6)))</f>
        <v/>
      </c>
      <c r="X975" s="32">
        <f>IF($W975="","",IF(ISNUMBER($W975),IF($W975&gt;=10000000,IFERROR(DATE(INT($W975/10000),MOD(INT($W975/100),100),MOD($W975,100)),""),INT($W975)),IFERROR(DATE(--LEFT(LEFT(SUBSTITUTE(SUBSTITUTE(SUBSTITUTE(SUBSTITUTE(TRIM($W975),"-",""),".",""),"/","")," ",""),8),4),--MID(LEFT(SUBSTITUTE(SUBSTITUTE(SUBSTITUTE(SUBSTITUTE(TRIM($W975),"-",""),".",""),"/","")," ",""),8),5,2),--MID(LEFT(SUBSTITUTE(SUBSTITUTE(SUBSTITUTE(SUBSTITUTE(TRIM($W975),"-",""),".",""),"/","")," ",""),8),7,2)),"")))</f>
        <v/>
      </c>
      <c r="Y975" s="32">
        <f>IF($X975="","",INT($X975))</f>
        <v/>
      </c>
      <c r="Z975" s="33">
        <f>IF(OR($Y975="",$D$6=""),"",IF(INDEX($A:$U,ROW(),$D$6)="",0,IF(ISNUMBER(INDEX($A:$U,ROW(),$D$6)),INDEX($A:$U,ROW(),$D$6),IFERROR(--SUBSTITUTE(SUBSTITUTE(TRIM(INDEX($A:$U,ROW(),$D$6)),",",""),"원",""),0))))</f>
        <v/>
      </c>
      <c r="AA975" s="31">
        <f>IF($Y975="","",TRIM(INDEX($A:$U,ROW(),$E$6)&amp;IF($F$6="",""," "&amp;INDEX($A:$U,ROW(),$F$6))))</f>
        <v/>
      </c>
      <c r="AB975" s="31">
        <f>IF($AA975="","",SUBSTITUTE(SUBSTITUTE(SUBSTITUTE(SUBSTITUTE(SUBSTITUTE(SUBSTITUTE(SUBSTITUTE(SUBSTITUTE(SUBSTITUTE($AA975," ",""),"　",""),"(주)",""),"（주）",""),"㈜",""),"주식회사",""),"(유)",""),"（유）",""),"유한회사",""))</f>
        <v/>
      </c>
      <c r="AC975" s="31">
        <f>IF(OR($Y975="",N($Z975)&lt;=0,$AB975=""),0,IFERROR(LOOKUP(2,1/((거래처별!$AC$8:$AC$307&lt;&gt;"")*ISNUMBER(SEARCH(거래처별!$AC$8:$AC$307,$AB975))),거래처별!$A$8:$A$307),IFERROR(LOOKUP(2,1/((거래처별!$AD$8:$AD$307&lt;&gt;"")*ISNUMBER(SEARCH(거래처별!$AD$8:$AD$307,$AB975))),거래처별!$A$8:$A$307),IFERROR(LOOKUP(2,1/((거래처별!$AE$8:$AE$307&lt;&gt;"")*ISNUMBER(SEARCH(거래처별!$AE$8:$AE$307,$AB975))),거래처별!$A$8:$A$307),0))))</f>
        <v/>
      </c>
      <c r="AD975" s="31">
        <f>IF(AND($Y975&lt;&gt;"",N($Z975)&gt;0,$AC975=0),MAX($AD$7:$AD974)+1,"")</f>
        <v/>
      </c>
      <c r="AE975" s="31">
        <f>IF($Y975="",0,$Y975)</f>
        <v/>
      </c>
    </row>
    <row r="976">
      <c r="W976" s="31">
        <f>IF(OR($B$5="",$C$6="",ROW()&lt;$B$5),"",IF(INDEX($A:$U,ROW(),$C$6)="","",INDEX($A:$U,ROW(),$C$6)))</f>
        <v/>
      </c>
      <c r="X976" s="32">
        <f>IF($W976="","",IF(ISNUMBER($W976),IF($W976&gt;=10000000,IFERROR(DATE(INT($W976/10000),MOD(INT($W976/100),100),MOD($W976,100)),""),INT($W976)),IFERROR(DATE(--LEFT(LEFT(SUBSTITUTE(SUBSTITUTE(SUBSTITUTE(SUBSTITUTE(TRIM($W976),"-",""),".",""),"/","")," ",""),8),4),--MID(LEFT(SUBSTITUTE(SUBSTITUTE(SUBSTITUTE(SUBSTITUTE(TRIM($W976),"-",""),".",""),"/","")," ",""),8),5,2),--MID(LEFT(SUBSTITUTE(SUBSTITUTE(SUBSTITUTE(SUBSTITUTE(TRIM($W976),"-",""),".",""),"/","")," ",""),8),7,2)),"")))</f>
        <v/>
      </c>
      <c r="Y976" s="32">
        <f>IF($X976="","",INT($X976))</f>
        <v/>
      </c>
      <c r="Z976" s="33">
        <f>IF(OR($Y976="",$D$6=""),"",IF(INDEX($A:$U,ROW(),$D$6)="",0,IF(ISNUMBER(INDEX($A:$U,ROW(),$D$6)),INDEX($A:$U,ROW(),$D$6),IFERROR(--SUBSTITUTE(SUBSTITUTE(TRIM(INDEX($A:$U,ROW(),$D$6)),",",""),"원",""),0))))</f>
        <v/>
      </c>
      <c r="AA976" s="31">
        <f>IF($Y976="","",TRIM(INDEX($A:$U,ROW(),$E$6)&amp;IF($F$6="",""," "&amp;INDEX($A:$U,ROW(),$F$6))))</f>
        <v/>
      </c>
      <c r="AB976" s="31">
        <f>IF($AA976="","",SUBSTITUTE(SUBSTITUTE(SUBSTITUTE(SUBSTITUTE(SUBSTITUTE(SUBSTITUTE(SUBSTITUTE(SUBSTITUTE(SUBSTITUTE($AA976," ",""),"　",""),"(주)",""),"（주）",""),"㈜",""),"주식회사",""),"(유)",""),"（유）",""),"유한회사",""))</f>
        <v/>
      </c>
      <c r="AC976" s="31">
        <f>IF(OR($Y976="",N($Z976)&lt;=0,$AB976=""),0,IFERROR(LOOKUP(2,1/((거래처별!$AC$8:$AC$307&lt;&gt;"")*ISNUMBER(SEARCH(거래처별!$AC$8:$AC$307,$AB976))),거래처별!$A$8:$A$307),IFERROR(LOOKUP(2,1/((거래처별!$AD$8:$AD$307&lt;&gt;"")*ISNUMBER(SEARCH(거래처별!$AD$8:$AD$307,$AB976))),거래처별!$A$8:$A$307),IFERROR(LOOKUP(2,1/((거래처별!$AE$8:$AE$307&lt;&gt;"")*ISNUMBER(SEARCH(거래처별!$AE$8:$AE$307,$AB976))),거래처별!$A$8:$A$307),0))))</f>
        <v/>
      </c>
      <c r="AD976" s="31">
        <f>IF(AND($Y976&lt;&gt;"",N($Z976)&gt;0,$AC976=0),MAX($AD$7:$AD975)+1,"")</f>
        <v/>
      </c>
      <c r="AE976" s="31">
        <f>IF($Y976="",0,$Y976)</f>
        <v/>
      </c>
    </row>
    <row r="977">
      <c r="W977" s="31">
        <f>IF(OR($B$5="",$C$6="",ROW()&lt;$B$5),"",IF(INDEX($A:$U,ROW(),$C$6)="","",INDEX($A:$U,ROW(),$C$6)))</f>
        <v/>
      </c>
      <c r="X977" s="32">
        <f>IF($W977="","",IF(ISNUMBER($W977),IF($W977&gt;=10000000,IFERROR(DATE(INT($W977/10000),MOD(INT($W977/100),100),MOD($W977,100)),""),INT($W977)),IFERROR(DATE(--LEFT(LEFT(SUBSTITUTE(SUBSTITUTE(SUBSTITUTE(SUBSTITUTE(TRIM($W977),"-",""),".",""),"/","")," ",""),8),4),--MID(LEFT(SUBSTITUTE(SUBSTITUTE(SUBSTITUTE(SUBSTITUTE(TRIM($W977),"-",""),".",""),"/","")," ",""),8),5,2),--MID(LEFT(SUBSTITUTE(SUBSTITUTE(SUBSTITUTE(SUBSTITUTE(TRIM($W977),"-",""),".",""),"/","")," ",""),8),7,2)),"")))</f>
        <v/>
      </c>
      <c r="Y977" s="32">
        <f>IF($X977="","",INT($X977))</f>
        <v/>
      </c>
      <c r="Z977" s="33">
        <f>IF(OR($Y977="",$D$6=""),"",IF(INDEX($A:$U,ROW(),$D$6)="",0,IF(ISNUMBER(INDEX($A:$U,ROW(),$D$6)),INDEX($A:$U,ROW(),$D$6),IFERROR(--SUBSTITUTE(SUBSTITUTE(TRIM(INDEX($A:$U,ROW(),$D$6)),",",""),"원",""),0))))</f>
        <v/>
      </c>
      <c r="AA977" s="31">
        <f>IF($Y977="","",TRIM(INDEX($A:$U,ROW(),$E$6)&amp;IF($F$6="",""," "&amp;INDEX($A:$U,ROW(),$F$6))))</f>
        <v/>
      </c>
      <c r="AB977" s="31">
        <f>IF($AA977="","",SUBSTITUTE(SUBSTITUTE(SUBSTITUTE(SUBSTITUTE(SUBSTITUTE(SUBSTITUTE(SUBSTITUTE(SUBSTITUTE(SUBSTITUTE($AA977," ",""),"　",""),"(주)",""),"（주）",""),"㈜",""),"주식회사",""),"(유)",""),"（유）",""),"유한회사",""))</f>
        <v/>
      </c>
      <c r="AC977" s="31">
        <f>IF(OR($Y977="",N($Z977)&lt;=0,$AB977=""),0,IFERROR(LOOKUP(2,1/((거래처별!$AC$8:$AC$307&lt;&gt;"")*ISNUMBER(SEARCH(거래처별!$AC$8:$AC$307,$AB977))),거래처별!$A$8:$A$307),IFERROR(LOOKUP(2,1/((거래처별!$AD$8:$AD$307&lt;&gt;"")*ISNUMBER(SEARCH(거래처별!$AD$8:$AD$307,$AB977))),거래처별!$A$8:$A$307),IFERROR(LOOKUP(2,1/((거래처별!$AE$8:$AE$307&lt;&gt;"")*ISNUMBER(SEARCH(거래처별!$AE$8:$AE$307,$AB977))),거래처별!$A$8:$A$307),0))))</f>
        <v/>
      </c>
      <c r="AD977" s="31">
        <f>IF(AND($Y977&lt;&gt;"",N($Z977)&gt;0,$AC977=0),MAX($AD$7:$AD976)+1,"")</f>
        <v/>
      </c>
      <c r="AE977" s="31">
        <f>IF($Y977="",0,$Y977)</f>
        <v/>
      </c>
    </row>
    <row r="978">
      <c r="W978" s="31">
        <f>IF(OR($B$5="",$C$6="",ROW()&lt;$B$5),"",IF(INDEX($A:$U,ROW(),$C$6)="","",INDEX($A:$U,ROW(),$C$6)))</f>
        <v/>
      </c>
      <c r="X978" s="32">
        <f>IF($W978="","",IF(ISNUMBER($W978),IF($W978&gt;=10000000,IFERROR(DATE(INT($W978/10000),MOD(INT($W978/100),100),MOD($W978,100)),""),INT($W978)),IFERROR(DATE(--LEFT(LEFT(SUBSTITUTE(SUBSTITUTE(SUBSTITUTE(SUBSTITUTE(TRIM($W978),"-",""),".",""),"/","")," ",""),8),4),--MID(LEFT(SUBSTITUTE(SUBSTITUTE(SUBSTITUTE(SUBSTITUTE(TRIM($W978),"-",""),".",""),"/","")," ",""),8),5,2),--MID(LEFT(SUBSTITUTE(SUBSTITUTE(SUBSTITUTE(SUBSTITUTE(TRIM($W978),"-",""),".",""),"/","")," ",""),8),7,2)),"")))</f>
        <v/>
      </c>
      <c r="Y978" s="32">
        <f>IF($X978="","",INT($X978))</f>
        <v/>
      </c>
      <c r="Z978" s="33">
        <f>IF(OR($Y978="",$D$6=""),"",IF(INDEX($A:$U,ROW(),$D$6)="",0,IF(ISNUMBER(INDEX($A:$U,ROW(),$D$6)),INDEX($A:$U,ROW(),$D$6),IFERROR(--SUBSTITUTE(SUBSTITUTE(TRIM(INDEX($A:$U,ROW(),$D$6)),",",""),"원",""),0))))</f>
        <v/>
      </c>
      <c r="AA978" s="31">
        <f>IF($Y978="","",TRIM(INDEX($A:$U,ROW(),$E$6)&amp;IF($F$6="",""," "&amp;INDEX($A:$U,ROW(),$F$6))))</f>
        <v/>
      </c>
      <c r="AB978" s="31">
        <f>IF($AA978="","",SUBSTITUTE(SUBSTITUTE(SUBSTITUTE(SUBSTITUTE(SUBSTITUTE(SUBSTITUTE(SUBSTITUTE(SUBSTITUTE(SUBSTITUTE($AA978," ",""),"　",""),"(주)",""),"（주）",""),"㈜",""),"주식회사",""),"(유)",""),"（유）",""),"유한회사",""))</f>
        <v/>
      </c>
      <c r="AC978" s="31">
        <f>IF(OR($Y978="",N($Z978)&lt;=0,$AB978=""),0,IFERROR(LOOKUP(2,1/((거래처별!$AC$8:$AC$307&lt;&gt;"")*ISNUMBER(SEARCH(거래처별!$AC$8:$AC$307,$AB978))),거래처별!$A$8:$A$307),IFERROR(LOOKUP(2,1/((거래처별!$AD$8:$AD$307&lt;&gt;"")*ISNUMBER(SEARCH(거래처별!$AD$8:$AD$307,$AB978))),거래처별!$A$8:$A$307),IFERROR(LOOKUP(2,1/((거래처별!$AE$8:$AE$307&lt;&gt;"")*ISNUMBER(SEARCH(거래처별!$AE$8:$AE$307,$AB978))),거래처별!$A$8:$A$307),0))))</f>
        <v/>
      </c>
      <c r="AD978" s="31">
        <f>IF(AND($Y978&lt;&gt;"",N($Z978)&gt;0,$AC978=0),MAX($AD$7:$AD977)+1,"")</f>
        <v/>
      </c>
      <c r="AE978" s="31">
        <f>IF($Y978="",0,$Y978)</f>
        <v/>
      </c>
    </row>
    <row r="979">
      <c r="W979" s="31">
        <f>IF(OR($B$5="",$C$6="",ROW()&lt;$B$5),"",IF(INDEX($A:$U,ROW(),$C$6)="","",INDEX($A:$U,ROW(),$C$6)))</f>
        <v/>
      </c>
      <c r="X979" s="32">
        <f>IF($W979="","",IF(ISNUMBER($W979),IF($W979&gt;=10000000,IFERROR(DATE(INT($W979/10000),MOD(INT($W979/100),100),MOD($W979,100)),""),INT($W979)),IFERROR(DATE(--LEFT(LEFT(SUBSTITUTE(SUBSTITUTE(SUBSTITUTE(SUBSTITUTE(TRIM($W979),"-",""),".",""),"/","")," ",""),8),4),--MID(LEFT(SUBSTITUTE(SUBSTITUTE(SUBSTITUTE(SUBSTITUTE(TRIM($W979),"-",""),".",""),"/","")," ",""),8),5,2),--MID(LEFT(SUBSTITUTE(SUBSTITUTE(SUBSTITUTE(SUBSTITUTE(TRIM($W979),"-",""),".",""),"/","")," ",""),8),7,2)),"")))</f>
        <v/>
      </c>
      <c r="Y979" s="32">
        <f>IF($X979="","",INT($X979))</f>
        <v/>
      </c>
      <c r="Z979" s="33">
        <f>IF(OR($Y979="",$D$6=""),"",IF(INDEX($A:$U,ROW(),$D$6)="",0,IF(ISNUMBER(INDEX($A:$U,ROW(),$D$6)),INDEX($A:$U,ROW(),$D$6),IFERROR(--SUBSTITUTE(SUBSTITUTE(TRIM(INDEX($A:$U,ROW(),$D$6)),",",""),"원",""),0))))</f>
        <v/>
      </c>
      <c r="AA979" s="31">
        <f>IF($Y979="","",TRIM(INDEX($A:$U,ROW(),$E$6)&amp;IF($F$6="",""," "&amp;INDEX($A:$U,ROW(),$F$6))))</f>
        <v/>
      </c>
      <c r="AB979" s="31">
        <f>IF($AA979="","",SUBSTITUTE(SUBSTITUTE(SUBSTITUTE(SUBSTITUTE(SUBSTITUTE(SUBSTITUTE(SUBSTITUTE(SUBSTITUTE(SUBSTITUTE($AA979," ",""),"　",""),"(주)",""),"（주）",""),"㈜",""),"주식회사",""),"(유)",""),"（유）",""),"유한회사",""))</f>
        <v/>
      </c>
      <c r="AC979" s="31">
        <f>IF(OR($Y979="",N($Z979)&lt;=0,$AB979=""),0,IFERROR(LOOKUP(2,1/((거래처별!$AC$8:$AC$307&lt;&gt;"")*ISNUMBER(SEARCH(거래처별!$AC$8:$AC$307,$AB979))),거래처별!$A$8:$A$307),IFERROR(LOOKUP(2,1/((거래처별!$AD$8:$AD$307&lt;&gt;"")*ISNUMBER(SEARCH(거래처별!$AD$8:$AD$307,$AB979))),거래처별!$A$8:$A$307),IFERROR(LOOKUP(2,1/((거래처별!$AE$8:$AE$307&lt;&gt;"")*ISNUMBER(SEARCH(거래처별!$AE$8:$AE$307,$AB979))),거래처별!$A$8:$A$307),0))))</f>
        <v/>
      </c>
      <c r="AD979" s="31">
        <f>IF(AND($Y979&lt;&gt;"",N($Z979)&gt;0,$AC979=0),MAX($AD$7:$AD978)+1,"")</f>
        <v/>
      </c>
      <c r="AE979" s="31">
        <f>IF($Y979="",0,$Y979)</f>
        <v/>
      </c>
    </row>
    <row r="980">
      <c r="W980" s="31">
        <f>IF(OR($B$5="",$C$6="",ROW()&lt;$B$5),"",IF(INDEX($A:$U,ROW(),$C$6)="","",INDEX($A:$U,ROW(),$C$6)))</f>
        <v/>
      </c>
      <c r="X980" s="32">
        <f>IF($W980="","",IF(ISNUMBER($W980),IF($W980&gt;=10000000,IFERROR(DATE(INT($W980/10000),MOD(INT($W980/100),100),MOD($W980,100)),""),INT($W980)),IFERROR(DATE(--LEFT(LEFT(SUBSTITUTE(SUBSTITUTE(SUBSTITUTE(SUBSTITUTE(TRIM($W980),"-",""),".",""),"/","")," ",""),8),4),--MID(LEFT(SUBSTITUTE(SUBSTITUTE(SUBSTITUTE(SUBSTITUTE(TRIM($W980),"-",""),".",""),"/","")," ",""),8),5,2),--MID(LEFT(SUBSTITUTE(SUBSTITUTE(SUBSTITUTE(SUBSTITUTE(TRIM($W980),"-",""),".",""),"/","")," ",""),8),7,2)),"")))</f>
        <v/>
      </c>
      <c r="Y980" s="32">
        <f>IF($X980="","",INT($X980))</f>
        <v/>
      </c>
      <c r="Z980" s="33">
        <f>IF(OR($Y980="",$D$6=""),"",IF(INDEX($A:$U,ROW(),$D$6)="",0,IF(ISNUMBER(INDEX($A:$U,ROW(),$D$6)),INDEX($A:$U,ROW(),$D$6),IFERROR(--SUBSTITUTE(SUBSTITUTE(TRIM(INDEX($A:$U,ROW(),$D$6)),",",""),"원",""),0))))</f>
        <v/>
      </c>
      <c r="AA980" s="31">
        <f>IF($Y980="","",TRIM(INDEX($A:$U,ROW(),$E$6)&amp;IF($F$6="",""," "&amp;INDEX($A:$U,ROW(),$F$6))))</f>
        <v/>
      </c>
      <c r="AB980" s="31">
        <f>IF($AA980="","",SUBSTITUTE(SUBSTITUTE(SUBSTITUTE(SUBSTITUTE(SUBSTITUTE(SUBSTITUTE(SUBSTITUTE(SUBSTITUTE(SUBSTITUTE($AA980," ",""),"　",""),"(주)",""),"（주）",""),"㈜",""),"주식회사",""),"(유)",""),"（유）",""),"유한회사",""))</f>
        <v/>
      </c>
      <c r="AC980" s="31">
        <f>IF(OR($Y980="",N($Z980)&lt;=0,$AB980=""),0,IFERROR(LOOKUP(2,1/((거래처별!$AC$8:$AC$307&lt;&gt;"")*ISNUMBER(SEARCH(거래처별!$AC$8:$AC$307,$AB980))),거래처별!$A$8:$A$307),IFERROR(LOOKUP(2,1/((거래처별!$AD$8:$AD$307&lt;&gt;"")*ISNUMBER(SEARCH(거래처별!$AD$8:$AD$307,$AB980))),거래처별!$A$8:$A$307),IFERROR(LOOKUP(2,1/((거래처별!$AE$8:$AE$307&lt;&gt;"")*ISNUMBER(SEARCH(거래처별!$AE$8:$AE$307,$AB980))),거래처별!$A$8:$A$307),0))))</f>
        <v/>
      </c>
      <c r="AD980" s="31">
        <f>IF(AND($Y980&lt;&gt;"",N($Z980)&gt;0,$AC980=0),MAX($AD$7:$AD979)+1,"")</f>
        <v/>
      </c>
      <c r="AE980" s="31">
        <f>IF($Y980="",0,$Y980)</f>
        <v/>
      </c>
    </row>
    <row r="981">
      <c r="W981" s="31">
        <f>IF(OR($B$5="",$C$6="",ROW()&lt;$B$5),"",IF(INDEX($A:$U,ROW(),$C$6)="","",INDEX($A:$U,ROW(),$C$6)))</f>
        <v/>
      </c>
      <c r="X981" s="32">
        <f>IF($W981="","",IF(ISNUMBER($W981),IF($W981&gt;=10000000,IFERROR(DATE(INT($W981/10000),MOD(INT($W981/100),100),MOD($W981,100)),""),INT($W981)),IFERROR(DATE(--LEFT(LEFT(SUBSTITUTE(SUBSTITUTE(SUBSTITUTE(SUBSTITUTE(TRIM($W981),"-",""),".",""),"/","")," ",""),8),4),--MID(LEFT(SUBSTITUTE(SUBSTITUTE(SUBSTITUTE(SUBSTITUTE(TRIM($W981),"-",""),".",""),"/","")," ",""),8),5,2),--MID(LEFT(SUBSTITUTE(SUBSTITUTE(SUBSTITUTE(SUBSTITUTE(TRIM($W981),"-",""),".",""),"/","")," ",""),8),7,2)),"")))</f>
        <v/>
      </c>
      <c r="Y981" s="32">
        <f>IF($X981="","",INT($X981))</f>
        <v/>
      </c>
      <c r="Z981" s="33">
        <f>IF(OR($Y981="",$D$6=""),"",IF(INDEX($A:$U,ROW(),$D$6)="",0,IF(ISNUMBER(INDEX($A:$U,ROW(),$D$6)),INDEX($A:$U,ROW(),$D$6),IFERROR(--SUBSTITUTE(SUBSTITUTE(TRIM(INDEX($A:$U,ROW(),$D$6)),",",""),"원",""),0))))</f>
        <v/>
      </c>
      <c r="AA981" s="31">
        <f>IF($Y981="","",TRIM(INDEX($A:$U,ROW(),$E$6)&amp;IF($F$6="",""," "&amp;INDEX($A:$U,ROW(),$F$6))))</f>
        <v/>
      </c>
      <c r="AB981" s="31">
        <f>IF($AA981="","",SUBSTITUTE(SUBSTITUTE(SUBSTITUTE(SUBSTITUTE(SUBSTITUTE(SUBSTITUTE(SUBSTITUTE(SUBSTITUTE(SUBSTITUTE($AA981," ",""),"　",""),"(주)",""),"（주）",""),"㈜",""),"주식회사",""),"(유)",""),"（유）",""),"유한회사",""))</f>
        <v/>
      </c>
      <c r="AC981" s="31">
        <f>IF(OR($Y981="",N($Z981)&lt;=0,$AB981=""),0,IFERROR(LOOKUP(2,1/((거래처별!$AC$8:$AC$307&lt;&gt;"")*ISNUMBER(SEARCH(거래처별!$AC$8:$AC$307,$AB981))),거래처별!$A$8:$A$307),IFERROR(LOOKUP(2,1/((거래처별!$AD$8:$AD$307&lt;&gt;"")*ISNUMBER(SEARCH(거래처별!$AD$8:$AD$307,$AB981))),거래처별!$A$8:$A$307),IFERROR(LOOKUP(2,1/((거래처별!$AE$8:$AE$307&lt;&gt;"")*ISNUMBER(SEARCH(거래처별!$AE$8:$AE$307,$AB981))),거래처별!$A$8:$A$307),0))))</f>
        <v/>
      </c>
      <c r="AD981" s="31">
        <f>IF(AND($Y981&lt;&gt;"",N($Z981)&gt;0,$AC981=0),MAX($AD$7:$AD980)+1,"")</f>
        <v/>
      </c>
      <c r="AE981" s="31">
        <f>IF($Y981="",0,$Y981)</f>
        <v/>
      </c>
    </row>
    <row r="982">
      <c r="W982" s="31">
        <f>IF(OR($B$5="",$C$6="",ROW()&lt;$B$5),"",IF(INDEX($A:$U,ROW(),$C$6)="","",INDEX($A:$U,ROW(),$C$6)))</f>
        <v/>
      </c>
      <c r="X982" s="32">
        <f>IF($W982="","",IF(ISNUMBER($W982),IF($W982&gt;=10000000,IFERROR(DATE(INT($W982/10000),MOD(INT($W982/100),100),MOD($W982,100)),""),INT($W982)),IFERROR(DATE(--LEFT(LEFT(SUBSTITUTE(SUBSTITUTE(SUBSTITUTE(SUBSTITUTE(TRIM($W982),"-",""),".",""),"/","")," ",""),8),4),--MID(LEFT(SUBSTITUTE(SUBSTITUTE(SUBSTITUTE(SUBSTITUTE(TRIM($W982),"-",""),".",""),"/","")," ",""),8),5,2),--MID(LEFT(SUBSTITUTE(SUBSTITUTE(SUBSTITUTE(SUBSTITUTE(TRIM($W982),"-",""),".",""),"/","")," ",""),8),7,2)),"")))</f>
        <v/>
      </c>
      <c r="Y982" s="32">
        <f>IF($X982="","",INT($X982))</f>
        <v/>
      </c>
      <c r="Z982" s="33">
        <f>IF(OR($Y982="",$D$6=""),"",IF(INDEX($A:$U,ROW(),$D$6)="",0,IF(ISNUMBER(INDEX($A:$U,ROW(),$D$6)),INDEX($A:$U,ROW(),$D$6),IFERROR(--SUBSTITUTE(SUBSTITUTE(TRIM(INDEX($A:$U,ROW(),$D$6)),",",""),"원",""),0))))</f>
        <v/>
      </c>
      <c r="AA982" s="31">
        <f>IF($Y982="","",TRIM(INDEX($A:$U,ROW(),$E$6)&amp;IF($F$6="",""," "&amp;INDEX($A:$U,ROW(),$F$6))))</f>
        <v/>
      </c>
      <c r="AB982" s="31">
        <f>IF($AA982="","",SUBSTITUTE(SUBSTITUTE(SUBSTITUTE(SUBSTITUTE(SUBSTITUTE(SUBSTITUTE(SUBSTITUTE(SUBSTITUTE(SUBSTITUTE($AA982," ",""),"　",""),"(주)",""),"（주）",""),"㈜",""),"주식회사",""),"(유)",""),"（유）",""),"유한회사",""))</f>
        <v/>
      </c>
      <c r="AC982" s="31">
        <f>IF(OR($Y982="",N($Z982)&lt;=0,$AB982=""),0,IFERROR(LOOKUP(2,1/((거래처별!$AC$8:$AC$307&lt;&gt;"")*ISNUMBER(SEARCH(거래처별!$AC$8:$AC$307,$AB982))),거래처별!$A$8:$A$307),IFERROR(LOOKUP(2,1/((거래처별!$AD$8:$AD$307&lt;&gt;"")*ISNUMBER(SEARCH(거래처별!$AD$8:$AD$307,$AB982))),거래처별!$A$8:$A$307),IFERROR(LOOKUP(2,1/((거래처별!$AE$8:$AE$307&lt;&gt;"")*ISNUMBER(SEARCH(거래처별!$AE$8:$AE$307,$AB982))),거래처별!$A$8:$A$307),0))))</f>
        <v/>
      </c>
      <c r="AD982" s="31">
        <f>IF(AND($Y982&lt;&gt;"",N($Z982)&gt;0,$AC982=0),MAX($AD$7:$AD981)+1,"")</f>
        <v/>
      </c>
      <c r="AE982" s="31">
        <f>IF($Y982="",0,$Y982)</f>
        <v/>
      </c>
    </row>
    <row r="983">
      <c r="W983" s="31">
        <f>IF(OR($B$5="",$C$6="",ROW()&lt;$B$5),"",IF(INDEX($A:$U,ROW(),$C$6)="","",INDEX($A:$U,ROW(),$C$6)))</f>
        <v/>
      </c>
      <c r="X983" s="32">
        <f>IF($W983="","",IF(ISNUMBER($W983),IF($W983&gt;=10000000,IFERROR(DATE(INT($W983/10000),MOD(INT($W983/100),100),MOD($W983,100)),""),INT($W983)),IFERROR(DATE(--LEFT(LEFT(SUBSTITUTE(SUBSTITUTE(SUBSTITUTE(SUBSTITUTE(TRIM($W983),"-",""),".",""),"/","")," ",""),8),4),--MID(LEFT(SUBSTITUTE(SUBSTITUTE(SUBSTITUTE(SUBSTITUTE(TRIM($W983),"-",""),".",""),"/","")," ",""),8),5,2),--MID(LEFT(SUBSTITUTE(SUBSTITUTE(SUBSTITUTE(SUBSTITUTE(TRIM($W983),"-",""),".",""),"/","")," ",""),8),7,2)),"")))</f>
        <v/>
      </c>
      <c r="Y983" s="32">
        <f>IF($X983="","",INT($X983))</f>
        <v/>
      </c>
      <c r="Z983" s="33">
        <f>IF(OR($Y983="",$D$6=""),"",IF(INDEX($A:$U,ROW(),$D$6)="",0,IF(ISNUMBER(INDEX($A:$U,ROW(),$D$6)),INDEX($A:$U,ROW(),$D$6),IFERROR(--SUBSTITUTE(SUBSTITUTE(TRIM(INDEX($A:$U,ROW(),$D$6)),",",""),"원",""),0))))</f>
        <v/>
      </c>
      <c r="AA983" s="31">
        <f>IF($Y983="","",TRIM(INDEX($A:$U,ROW(),$E$6)&amp;IF($F$6="",""," "&amp;INDEX($A:$U,ROW(),$F$6))))</f>
        <v/>
      </c>
      <c r="AB983" s="31">
        <f>IF($AA983="","",SUBSTITUTE(SUBSTITUTE(SUBSTITUTE(SUBSTITUTE(SUBSTITUTE(SUBSTITUTE(SUBSTITUTE(SUBSTITUTE(SUBSTITUTE($AA983," ",""),"　",""),"(주)",""),"（주）",""),"㈜",""),"주식회사",""),"(유)",""),"（유）",""),"유한회사",""))</f>
        <v/>
      </c>
      <c r="AC983" s="31">
        <f>IF(OR($Y983="",N($Z983)&lt;=0,$AB983=""),0,IFERROR(LOOKUP(2,1/((거래처별!$AC$8:$AC$307&lt;&gt;"")*ISNUMBER(SEARCH(거래처별!$AC$8:$AC$307,$AB983))),거래처별!$A$8:$A$307),IFERROR(LOOKUP(2,1/((거래처별!$AD$8:$AD$307&lt;&gt;"")*ISNUMBER(SEARCH(거래처별!$AD$8:$AD$307,$AB983))),거래처별!$A$8:$A$307),IFERROR(LOOKUP(2,1/((거래처별!$AE$8:$AE$307&lt;&gt;"")*ISNUMBER(SEARCH(거래처별!$AE$8:$AE$307,$AB983))),거래처별!$A$8:$A$307),0))))</f>
        <v/>
      </c>
      <c r="AD983" s="31">
        <f>IF(AND($Y983&lt;&gt;"",N($Z983)&gt;0,$AC983=0),MAX($AD$7:$AD982)+1,"")</f>
        <v/>
      </c>
      <c r="AE983" s="31">
        <f>IF($Y983="",0,$Y983)</f>
        <v/>
      </c>
    </row>
    <row r="984">
      <c r="W984" s="31">
        <f>IF(OR($B$5="",$C$6="",ROW()&lt;$B$5),"",IF(INDEX($A:$U,ROW(),$C$6)="","",INDEX($A:$U,ROW(),$C$6)))</f>
        <v/>
      </c>
      <c r="X984" s="32">
        <f>IF($W984="","",IF(ISNUMBER($W984),IF($W984&gt;=10000000,IFERROR(DATE(INT($W984/10000),MOD(INT($W984/100),100),MOD($W984,100)),""),INT($W984)),IFERROR(DATE(--LEFT(LEFT(SUBSTITUTE(SUBSTITUTE(SUBSTITUTE(SUBSTITUTE(TRIM($W984),"-",""),".",""),"/","")," ",""),8),4),--MID(LEFT(SUBSTITUTE(SUBSTITUTE(SUBSTITUTE(SUBSTITUTE(TRIM($W984),"-",""),".",""),"/","")," ",""),8),5,2),--MID(LEFT(SUBSTITUTE(SUBSTITUTE(SUBSTITUTE(SUBSTITUTE(TRIM($W984),"-",""),".",""),"/","")," ",""),8),7,2)),"")))</f>
        <v/>
      </c>
      <c r="Y984" s="32">
        <f>IF($X984="","",INT($X984))</f>
        <v/>
      </c>
      <c r="Z984" s="33">
        <f>IF(OR($Y984="",$D$6=""),"",IF(INDEX($A:$U,ROW(),$D$6)="",0,IF(ISNUMBER(INDEX($A:$U,ROW(),$D$6)),INDEX($A:$U,ROW(),$D$6),IFERROR(--SUBSTITUTE(SUBSTITUTE(TRIM(INDEX($A:$U,ROW(),$D$6)),",",""),"원",""),0))))</f>
        <v/>
      </c>
      <c r="AA984" s="31">
        <f>IF($Y984="","",TRIM(INDEX($A:$U,ROW(),$E$6)&amp;IF($F$6="",""," "&amp;INDEX($A:$U,ROW(),$F$6))))</f>
        <v/>
      </c>
      <c r="AB984" s="31">
        <f>IF($AA984="","",SUBSTITUTE(SUBSTITUTE(SUBSTITUTE(SUBSTITUTE(SUBSTITUTE(SUBSTITUTE(SUBSTITUTE(SUBSTITUTE(SUBSTITUTE($AA984," ",""),"　",""),"(주)",""),"（주）",""),"㈜",""),"주식회사",""),"(유)",""),"（유）",""),"유한회사",""))</f>
        <v/>
      </c>
      <c r="AC984" s="31">
        <f>IF(OR($Y984="",N($Z984)&lt;=0,$AB984=""),0,IFERROR(LOOKUP(2,1/((거래처별!$AC$8:$AC$307&lt;&gt;"")*ISNUMBER(SEARCH(거래처별!$AC$8:$AC$307,$AB984))),거래처별!$A$8:$A$307),IFERROR(LOOKUP(2,1/((거래처별!$AD$8:$AD$307&lt;&gt;"")*ISNUMBER(SEARCH(거래처별!$AD$8:$AD$307,$AB984))),거래처별!$A$8:$A$307),IFERROR(LOOKUP(2,1/((거래처별!$AE$8:$AE$307&lt;&gt;"")*ISNUMBER(SEARCH(거래처별!$AE$8:$AE$307,$AB984))),거래처별!$A$8:$A$307),0))))</f>
        <v/>
      </c>
      <c r="AD984" s="31">
        <f>IF(AND($Y984&lt;&gt;"",N($Z984)&gt;0,$AC984=0),MAX($AD$7:$AD983)+1,"")</f>
        <v/>
      </c>
      <c r="AE984" s="31">
        <f>IF($Y984="",0,$Y984)</f>
        <v/>
      </c>
    </row>
    <row r="985">
      <c r="W985" s="31">
        <f>IF(OR($B$5="",$C$6="",ROW()&lt;$B$5),"",IF(INDEX($A:$U,ROW(),$C$6)="","",INDEX($A:$U,ROW(),$C$6)))</f>
        <v/>
      </c>
      <c r="X985" s="32">
        <f>IF($W985="","",IF(ISNUMBER($W985),IF($W985&gt;=10000000,IFERROR(DATE(INT($W985/10000),MOD(INT($W985/100),100),MOD($W985,100)),""),INT($W985)),IFERROR(DATE(--LEFT(LEFT(SUBSTITUTE(SUBSTITUTE(SUBSTITUTE(SUBSTITUTE(TRIM($W985),"-",""),".",""),"/","")," ",""),8),4),--MID(LEFT(SUBSTITUTE(SUBSTITUTE(SUBSTITUTE(SUBSTITUTE(TRIM($W985),"-",""),".",""),"/","")," ",""),8),5,2),--MID(LEFT(SUBSTITUTE(SUBSTITUTE(SUBSTITUTE(SUBSTITUTE(TRIM($W985),"-",""),".",""),"/","")," ",""),8),7,2)),"")))</f>
        <v/>
      </c>
      <c r="Y985" s="32">
        <f>IF($X985="","",INT($X985))</f>
        <v/>
      </c>
      <c r="Z985" s="33">
        <f>IF(OR($Y985="",$D$6=""),"",IF(INDEX($A:$U,ROW(),$D$6)="",0,IF(ISNUMBER(INDEX($A:$U,ROW(),$D$6)),INDEX($A:$U,ROW(),$D$6),IFERROR(--SUBSTITUTE(SUBSTITUTE(TRIM(INDEX($A:$U,ROW(),$D$6)),",",""),"원",""),0))))</f>
        <v/>
      </c>
      <c r="AA985" s="31">
        <f>IF($Y985="","",TRIM(INDEX($A:$U,ROW(),$E$6)&amp;IF($F$6="",""," "&amp;INDEX($A:$U,ROW(),$F$6))))</f>
        <v/>
      </c>
      <c r="AB985" s="31">
        <f>IF($AA985="","",SUBSTITUTE(SUBSTITUTE(SUBSTITUTE(SUBSTITUTE(SUBSTITUTE(SUBSTITUTE(SUBSTITUTE(SUBSTITUTE(SUBSTITUTE($AA985," ",""),"　",""),"(주)",""),"（주）",""),"㈜",""),"주식회사",""),"(유)",""),"（유）",""),"유한회사",""))</f>
        <v/>
      </c>
      <c r="AC985" s="31">
        <f>IF(OR($Y985="",N($Z985)&lt;=0,$AB985=""),0,IFERROR(LOOKUP(2,1/((거래처별!$AC$8:$AC$307&lt;&gt;"")*ISNUMBER(SEARCH(거래처별!$AC$8:$AC$307,$AB985))),거래처별!$A$8:$A$307),IFERROR(LOOKUP(2,1/((거래처별!$AD$8:$AD$307&lt;&gt;"")*ISNUMBER(SEARCH(거래처별!$AD$8:$AD$307,$AB985))),거래처별!$A$8:$A$307),IFERROR(LOOKUP(2,1/((거래처별!$AE$8:$AE$307&lt;&gt;"")*ISNUMBER(SEARCH(거래처별!$AE$8:$AE$307,$AB985))),거래처별!$A$8:$A$307),0))))</f>
        <v/>
      </c>
      <c r="AD985" s="31">
        <f>IF(AND($Y985&lt;&gt;"",N($Z985)&gt;0,$AC985=0),MAX($AD$7:$AD984)+1,"")</f>
        <v/>
      </c>
      <c r="AE985" s="31">
        <f>IF($Y985="",0,$Y985)</f>
        <v/>
      </c>
    </row>
    <row r="986">
      <c r="W986" s="31">
        <f>IF(OR($B$5="",$C$6="",ROW()&lt;$B$5),"",IF(INDEX($A:$U,ROW(),$C$6)="","",INDEX($A:$U,ROW(),$C$6)))</f>
        <v/>
      </c>
      <c r="X986" s="32">
        <f>IF($W986="","",IF(ISNUMBER($W986),IF($W986&gt;=10000000,IFERROR(DATE(INT($W986/10000),MOD(INT($W986/100),100),MOD($W986,100)),""),INT($W986)),IFERROR(DATE(--LEFT(LEFT(SUBSTITUTE(SUBSTITUTE(SUBSTITUTE(SUBSTITUTE(TRIM($W986),"-",""),".",""),"/","")," ",""),8),4),--MID(LEFT(SUBSTITUTE(SUBSTITUTE(SUBSTITUTE(SUBSTITUTE(TRIM($W986),"-",""),".",""),"/","")," ",""),8),5,2),--MID(LEFT(SUBSTITUTE(SUBSTITUTE(SUBSTITUTE(SUBSTITUTE(TRIM($W986),"-",""),".",""),"/","")," ",""),8),7,2)),"")))</f>
        <v/>
      </c>
      <c r="Y986" s="32">
        <f>IF($X986="","",INT($X986))</f>
        <v/>
      </c>
      <c r="Z986" s="33">
        <f>IF(OR($Y986="",$D$6=""),"",IF(INDEX($A:$U,ROW(),$D$6)="",0,IF(ISNUMBER(INDEX($A:$U,ROW(),$D$6)),INDEX($A:$U,ROW(),$D$6),IFERROR(--SUBSTITUTE(SUBSTITUTE(TRIM(INDEX($A:$U,ROW(),$D$6)),",",""),"원",""),0))))</f>
        <v/>
      </c>
      <c r="AA986" s="31">
        <f>IF($Y986="","",TRIM(INDEX($A:$U,ROW(),$E$6)&amp;IF($F$6="",""," "&amp;INDEX($A:$U,ROW(),$F$6))))</f>
        <v/>
      </c>
      <c r="AB986" s="31">
        <f>IF($AA986="","",SUBSTITUTE(SUBSTITUTE(SUBSTITUTE(SUBSTITUTE(SUBSTITUTE(SUBSTITUTE(SUBSTITUTE(SUBSTITUTE(SUBSTITUTE($AA986," ",""),"　",""),"(주)",""),"（주）",""),"㈜",""),"주식회사",""),"(유)",""),"（유）",""),"유한회사",""))</f>
        <v/>
      </c>
      <c r="AC986" s="31">
        <f>IF(OR($Y986="",N($Z986)&lt;=0,$AB986=""),0,IFERROR(LOOKUP(2,1/((거래처별!$AC$8:$AC$307&lt;&gt;"")*ISNUMBER(SEARCH(거래처별!$AC$8:$AC$307,$AB986))),거래처별!$A$8:$A$307),IFERROR(LOOKUP(2,1/((거래처별!$AD$8:$AD$307&lt;&gt;"")*ISNUMBER(SEARCH(거래처별!$AD$8:$AD$307,$AB986))),거래처별!$A$8:$A$307),IFERROR(LOOKUP(2,1/((거래처별!$AE$8:$AE$307&lt;&gt;"")*ISNUMBER(SEARCH(거래처별!$AE$8:$AE$307,$AB986))),거래처별!$A$8:$A$307),0))))</f>
        <v/>
      </c>
      <c r="AD986" s="31">
        <f>IF(AND($Y986&lt;&gt;"",N($Z986)&gt;0,$AC986=0),MAX($AD$7:$AD985)+1,"")</f>
        <v/>
      </c>
      <c r="AE986" s="31">
        <f>IF($Y986="",0,$Y986)</f>
        <v/>
      </c>
    </row>
    <row r="987">
      <c r="W987" s="31">
        <f>IF(OR($B$5="",$C$6="",ROW()&lt;$B$5),"",IF(INDEX($A:$U,ROW(),$C$6)="","",INDEX($A:$U,ROW(),$C$6)))</f>
        <v/>
      </c>
      <c r="X987" s="32">
        <f>IF($W987="","",IF(ISNUMBER($W987),IF($W987&gt;=10000000,IFERROR(DATE(INT($W987/10000),MOD(INT($W987/100),100),MOD($W987,100)),""),INT($W987)),IFERROR(DATE(--LEFT(LEFT(SUBSTITUTE(SUBSTITUTE(SUBSTITUTE(SUBSTITUTE(TRIM($W987),"-",""),".",""),"/","")," ",""),8),4),--MID(LEFT(SUBSTITUTE(SUBSTITUTE(SUBSTITUTE(SUBSTITUTE(TRIM($W987),"-",""),".",""),"/","")," ",""),8),5,2),--MID(LEFT(SUBSTITUTE(SUBSTITUTE(SUBSTITUTE(SUBSTITUTE(TRIM($W987),"-",""),".",""),"/","")," ",""),8),7,2)),"")))</f>
        <v/>
      </c>
      <c r="Y987" s="32">
        <f>IF($X987="","",INT($X987))</f>
        <v/>
      </c>
      <c r="Z987" s="33">
        <f>IF(OR($Y987="",$D$6=""),"",IF(INDEX($A:$U,ROW(),$D$6)="",0,IF(ISNUMBER(INDEX($A:$U,ROW(),$D$6)),INDEX($A:$U,ROW(),$D$6),IFERROR(--SUBSTITUTE(SUBSTITUTE(TRIM(INDEX($A:$U,ROW(),$D$6)),",",""),"원",""),0))))</f>
        <v/>
      </c>
      <c r="AA987" s="31">
        <f>IF($Y987="","",TRIM(INDEX($A:$U,ROW(),$E$6)&amp;IF($F$6="",""," "&amp;INDEX($A:$U,ROW(),$F$6))))</f>
        <v/>
      </c>
      <c r="AB987" s="31">
        <f>IF($AA987="","",SUBSTITUTE(SUBSTITUTE(SUBSTITUTE(SUBSTITUTE(SUBSTITUTE(SUBSTITUTE(SUBSTITUTE(SUBSTITUTE(SUBSTITUTE($AA987," ",""),"　",""),"(주)",""),"（주）",""),"㈜",""),"주식회사",""),"(유)",""),"（유）",""),"유한회사",""))</f>
        <v/>
      </c>
      <c r="AC987" s="31">
        <f>IF(OR($Y987="",N($Z987)&lt;=0,$AB987=""),0,IFERROR(LOOKUP(2,1/((거래처별!$AC$8:$AC$307&lt;&gt;"")*ISNUMBER(SEARCH(거래처별!$AC$8:$AC$307,$AB987))),거래처별!$A$8:$A$307),IFERROR(LOOKUP(2,1/((거래처별!$AD$8:$AD$307&lt;&gt;"")*ISNUMBER(SEARCH(거래처별!$AD$8:$AD$307,$AB987))),거래처별!$A$8:$A$307),IFERROR(LOOKUP(2,1/((거래처별!$AE$8:$AE$307&lt;&gt;"")*ISNUMBER(SEARCH(거래처별!$AE$8:$AE$307,$AB987))),거래처별!$A$8:$A$307),0))))</f>
        <v/>
      </c>
      <c r="AD987" s="31">
        <f>IF(AND($Y987&lt;&gt;"",N($Z987)&gt;0,$AC987=0),MAX($AD$7:$AD986)+1,"")</f>
        <v/>
      </c>
      <c r="AE987" s="31">
        <f>IF($Y987="",0,$Y987)</f>
        <v/>
      </c>
    </row>
    <row r="988">
      <c r="W988" s="31">
        <f>IF(OR($B$5="",$C$6="",ROW()&lt;$B$5),"",IF(INDEX($A:$U,ROW(),$C$6)="","",INDEX($A:$U,ROW(),$C$6)))</f>
        <v/>
      </c>
      <c r="X988" s="32">
        <f>IF($W988="","",IF(ISNUMBER($W988),IF($W988&gt;=10000000,IFERROR(DATE(INT($W988/10000),MOD(INT($W988/100),100),MOD($W988,100)),""),INT($W988)),IFERROR(DATE(--LEFT(LEFT(SUBSTITUTE(SUBSTITUTE(SUBSTITUTE(SUBSTITUTE(TRIM($W988),"-",""),".",""),"/","")," ",""),8),4),--MID(LEFT(SUBSTITUTE(SUBSTITUTE(SUBSTITUTE(SUBSTITUTE(TRIM($W988),"-",""),".",""),"/","")," ",""),8),5,2),--MID(LEFT(SUBSTITUTE(SUBSTITUTE(SUBSTITUTE(SUBSTITUTE(TRIM($W988),"-",""),".",""),"/","")," ",""),8),7,2)),"")))</f>
        <v/>
      </c>
      <c r="Y988" s="32">
        <f>IF($X988="","",INT($X988))</f>
        <v/>
      </c>
      <c r="Z988" s="33">
        <f>IF(OR($Y988="",$D$6=""),"",IF(INDEX($A:$U,ROW(),$D$6)="",0,IF(ISNUMBER(INDEX($A:$U,ROW(),$D$6)),INDEX($A:$U,ROW(),$D$6),IFERROR(--SUBSTITUTE(SUBSTITUTE(TRIM(INDEX($A:$U,ROW(),$D$6)),",",""),"원",""),0))))</f>
        <v/>
      </c>
      <c r="AA988" s="31">
        <f>IF($Y988="","",TRIM(INDEX($A:$U,ROW(),$E$6)&amp;IF($F$6="",""," "&amp;INDEX($A:$U,ROW(),$F$6))))</f>
        <v/>
      </c>
      <c r="AB988" s="31">
        <f>IF($AA988="","",SUBSTITUTE(SUBSTITUTE(SUBSTITUTE(SUBSTITUTE(SUBSTITUTE(SUBSTITUTE(SUBSTITUTE(SUBSTITUTE(SUBSTITUTE($AA988," ",""),"　",""),"(주)",""),"（주）",""),"㈜",""),"주식회사",""),"(유)",""),"（유）",""),"유한회사",""))</f>
        <v/>
      </c>
      <c r="AC988" s="31">
        <f>IF(OR($Y988="",N($Z988)&lt;=0,$AB988=""),0,IFERROR(LOOKUP(2,1/((거래처별!$AC$8:$AC$307&lt;&gt;"")*ISNUMBER(SEARCH(거래처별!$AC$8:$AC$307,$AB988))),거래처별!$A$8:$A$307),IFERROR(LOOKUP(2,1/((거래처별!$AD$8:$AD$307&lt;&gt;"")*ISNUMBER(SEARCH(거래처별!$AD$8:$AD$307,$AB988))),거래처별!$A$8:$A$307),IFERROR(LOOKUP(2,1/((거래처별!$AE$8:$AE$307&lt;&gt;"")*ISNUMBER(SEARCH(거래처별!$AE$8:$AE$307,$AB988))),거래처별!$A$8:$A$307),0))))</f>
        <v/>
      </c>
      <c r="AD988" s="31">
        <f>IF(AND($Y988&lt;&gt;"",N($Z988)&gt;0,$AC988=0),MAX($AD$7:$AD987)+1,"")</f>
        <v/>
      </c>
      <c r="AE988" s="31">
        <f>IF($Y988="",0,$Y988)</f>
        <v/>
      </c>
    </row>
    <row r="989">
      <c r="W989" s="31">
        <f>IF(OR($B$5="",$C$6="",ROW()&lt;$B$5),"",IF(INDEX($A:$U,ROW(),$C$6)="","",INDEX($A:$U,ROW(),$C$6)))</f>
        <v/>
      </c>
      <c r="X989" s="32">
        <f>IF($W989="","",IF(ISNUMBER($W989),IF($W989&gt;=10000000,IFERROR(DATE(INT($W989/10000),MOD(INT($W989/100),100),MOD($W989,100)),""),INT($W989)),IFERROR(DATE(--LEFT(LEFT(SUBSTITUTE(SUBSTITUTE(SUBSTITUTE(SUBSTITUTE(TRIM($W989),"-",""),".",""),"/","")," ",""),8),4),--MID(LEFT(SUBSTITUTE(SUBSTITUTE(SUBSTITUTE(SUBSTITUTE(TRIM($W989),"-",""),".",""),"/","")," ",""),8),5,2),--MID(LEFT(SUBSTITUTE(SUBSTITUTE(SUBSTITUTE(SUBSTITUTE(TRIM($W989),"-",""),".",""),"/","")," ",""),8),7,2)),"")))</f>
        <v/>
      </c>
      <c r="Y989" s="32">
        <f>IF($X989="","",INT($X989))</f>
        <v/>
      </c>
      <c r="Z989" s="33">
        <f>IF(OR($Y989="",$D$6=""),"",IF(INDEX($A:$U,ROW(),$D$6)="",0,IF(ISNUMBER(INDEX($A:$U,ROW(),$D$6)),INDEX($A:$U,ROW(),$D$6),IFERROR(--SUBSTITUTE(SUBSTITUTE(TRIM(INDEX($A:$U,ROW(),$D$6)),",",""),"원",""),0))))</f>
        <v/>
      </c>
      <c r="AA989" s="31">
        <f>IF($Y989="","",TRIM(INDEX($A:$U,ROW(),$E$6)&amp;IF($F$6="",""," "&amp;INDEX($A:$U,ROW(),$F$6))))</f>
        <v/>
      </c>
      <c r="AB989" s="31">
        <f>IF($AA989="","",SUBSTITUTE(SUBSTITUTE(SUBSTITUTE(SUBSTITUTE(SUBSTITUTE(SUBSTITUTE(SUBSTITUTE(SUBSTITUTE(SUBSTITUTE($AA989," ",""),"　",""),"(주)",""),"（주）",""),"㈜",""),"주식회사",""),"(유)",""),"（유）",""),"유한회사",""))</f>
        <v/>
      </c>
      <c r="AC989" s="31">
        <f>IF(OR($Y989="",N($Z989)&lt;=0,$AB989=""),0,IFERROR(LOOKUP(2,1/((거래처별!$AC$8:$AC$307&lt;&gt;"")*ISNUMBER(SEARCH(거래처별!$AC$8:$AC$307,$AB989))),거래처별!$A$8:$A$307),IFERROR(LOOKUP(2,1/((거래처별!$AD$8:$AD$307&lt;&gt;"")*ISNUMBER(SEARCH(거래처별!$AD$8:$AD$307,$AB989))),거래처별!$A$8:$A$307),IFERROR(LOOKUP(2,1/((거래처별!$AE$8:$AE$307&lt;&gt;"")*ISNUMBER(SEARCH(거래처별!$AE$8:$AE$307,$AB989))),거래처별!$A$8:$A$307),0))))</f>
        <v/>
      </c>
      <c r="AD989" s="31">
        <f>IF(AND($Y989&lt;&gt;"",N($Z989)&gt;0,$AC989=0),MAX($AD$7:$AD988)+1,"")</f>
        <v/>
      </c>
      <c r="AE989" s="31">
        <f>IF($Y989="",0,$Y989)</f>
        <v/>
      </c>
    </row>
    <row r="990">
      <c r="W990" s="31">
        <f>IF(OR($B$5="",$C$6="",ROW()&lt;$B$5),"",IF(INDEX($A:$U,ROW(),$C$6)="","",INDEX($A:$U,ROW(),$C$6)))</f>
        <v/>
      </c>
      <c r="X990" s="32">
        <f>IF($W990="","",IF(ISNUMBER($W990),IF($W990&gt;=10000000,IFERROR(DATE(INT($W990/10000),MOD(INT($W990/100),100),MOD($W990,100)),""),INT($W990)),IFERROR(DATE(--LEFT(LEFT(SUBSTITUTE(SUBSTITUTE(SUBSTITUTE(SUBSTITUTE(TRIM($W990),"-",""),".",""),"/","")," ",""),8),4),--MID(LEFT(SUBSTITUTE(SUBSTITUTE(SUBSTITUTE(SUBSTITUTE(TRIM($W990),"-",""),".",""),"/","")," ",""),8),5,2),--MID(LEFT(SUBSTITUTE(SUBSTITUTE(SUBSTITUTE(SUBSTITUTE(TRIM($W990),"-",""),".",""),"/","")," ",""),8),7,2)),"")))</f>
        <v/>
      </c>
      <c r="Y990" s="32">
        <f>IF($X990="","",INT($X990))</f>
        <v/>
      </c>
      <c r="Z990" s="33">
        <f>IF(OR($Y990="",$D$6=""),"",IF(INDEX($A:$U,ROW(),$D$6)="",0,IF(ISNUMBER(INDEX($A:$U,ROW(),$D$6)),INDEX($A:$U,ROW(),$D$6),IFERROR(--SUBSTITUTE(SUBSTITUTE(TRIM(INDEX($A:$U,ROW(),$D$6)),",",""),"원",""),0))))</f>
        <v/>
      </c>
      <c r="AA990" s="31">
        <f>IF($Y990="","",TRIM(INDEX($A:$U,ROW(),$E$6)&amp;IF($F$6="",""," "&amp;INDEX($A:$U,ROW(),$F$6))))</f>
        <v/>
      </c>
      <c r="AB990" s="31">
        <f>IF($AA990="","",SUBSTITUTE(SUBSTITUTE(SUBSTITUTE(SUBSTITUTE(SUBSTITUTE(SUBSTITUTE(SUBSTITUTE(SUBSTITUTE(SUBSTITUTE($AA990," ",""),"　",""),"(주)",""),"（주）",""),"㈜",""),"주식회사",""),"(유)",""),"（유）",""),"유한회사",""))</f>
        <v/>
      </c>
      <c r="AC990" s="31">
        <f>IF(OR($Y990="",N($Z990)&lt;=0,$AB990=""),0,IFERROR(LOOKUP(2,1/((거래처별!$AC$8:$AC$307&lt;&gt;"")*ISNUMBER(SEARCH(거래처별!$AC$8:$AC$307,$AB990))),거래처별!$A$8:$A$307),IFERROR(LOOKUP(2,1/((거래처별!$AD$8:$AD$307&lt;&gt;"")*ISNUMBER(SEARCH(거래처별!$AD$8:$AD$307,$AB990))),거래처별!$A$8:$A$307),IFERROR(LOOKUP(2,1/((거래처별!$AE$8:$AE$307&lt;&gt;"")*ISNUMBER(SEARCH(거래처별!$AE$8:$AE$307,$AB990))),거래처별!$A$8:$A$307),0))))</f>
        <v/>
      </c>
      <c r="AD990" s="31">
        <f>IF(AND($Y990&lt;&gt;"",N($Z990)&gt;0,$AC990=0),MAX($AD$7:$AD989)+1,"")</f>
        <v/>
      </c>
      <c r="AE990" s="31">
        <f>IF($Y990="",0,$Y990)</f>
        <v/>
      </c>
    </row>
    <row r="991">
      <c r="W991" s="31">
        <f>IF(OR($B$5="",$C$6="",ROW()&lt;$B$5),"",IF(INDEX($A:$U,ROW(),$C$6)="","",INDEX($A:$U,ROW(),$C$6)))</f>
        <v/>
      </c>
      <c r="X991" s="32">
        <f>IF($W991="","",IF(ISNUMBER($W991),IF($W991&gt;=10000000,IFERROR(DATE(INT($W991/10000),MOD(INT($W991/100),100),MOD($W991,100)),""),INT($W991)),IFERROR(DATE(--LEFT(LEFT(SUBSTITUTE(SUBSTITUTE(SUBSTITUTE(SUBSTITUTE(TRIM($W991),"-",""),".",""),"/","")," ",""),8),4),--MID(LEFT(SUBSTITUTE(SUBSTITUTE(SUBSTITUTE(SUBSTITUTE(TRIM($W991),"-",""),".",""),"/","")," ",""),8),5,2),--MID(LEFT(SUBSTITUTE(SUBSTITUTE(SUBSTITUTE(SUBSTITUTE(TRIM($W991),"-",""),".",""),"/","")," ",""),8),7,2)),"")))</f>
        <v/>
      </c>
      <c r="Y991" s="32">
        <f>IF($X991="","",INT($X991))</f>
        <v/>
      </c>
      <c r="Z991" s="33">
        <f>IF(OR($Y991="",$D$6=""),"",IF(INDEX($A:$U,ROW(),$D$6)="",0,IF(ISNUMBER(INDEX($A:$U,ROW(),$D$6)),INDEX($A:$U,ROW(),$D$6),IFERROR(--SUBSTITUTE(SUBSTITUTE(TRIM(INDEX($A:$U,ROW(),$D$6)),",",""),"원",""),0))))</f>
        <v/>
      </c>
      <c r="AA991" s="31">
        <f>IF($Y991="","",TRIM(INDEX($A:$U,ROW(),$E$6)&amp;IF($F$6="",""," "&amp;INDEX($A:$U,ROW(),$F$6))))</f>
        <v/>
      </c>
      <c r="AB991" s="31">
        <f>IF($AA991="","",SUBSTITUTE(SUBSTITUTE(SUBSTITUTE(SUBSTITUTE(SUBSTITUTE(SUBSTITUTE(SUBSTITUTE(SUBSTITUTE(SUBSTITUTE($AA991," ",""),"　",""),"(주)",""),"（주）",""),"㈜",""),"주식회사",""),"(유)",""),"（유）",""),"유한회사",""))</f>
        <v/>
      </c>
      <c r="AC991" s="31">
        <f>IF(OR($Y991="",N($Z991)&lt;=0,$AB991=""),0,IFERROR(LOOKUP(2,1/((거래처별!$AC$8:$AC$307&lt;&gt;"")*ISNUMBER(SEARCH(거래처별!$AC$8:$AC$307,$AB991))),거래처별!$A$8:$A$307),IFERROR(LOOKUP(2,1/((거래처별!$AD$8:$AD$307&lt;&gt;"")*ISNUMBER(SEARCH(거래처별!$AD$8:$AD$307,$AB991))),거래처별!$A$8:$A$307),IFERROR(LOOKUP(2,1/((거래처별!$AE$8:$AE$307&lt;&gt;"")*ISNUMBER(SEARCH(거래처별!$AE$8:$AE$307,$AB991))),거래처별!$A$8:$A$307),0))))</f>
        <v/>
      </c>
      <c r="AD991" s="31">
        <f>IF(AND($Y991&lt;&gt;"",N($Z991)&gt;0,$AC991=0),MAX($AD$7:$AD990)+1,"")</f>
        <v/>
      </c>
      <c r="AE991" s="31">
        <f>IF($Y991="",0,$Y991)</f>
        <v/>
      </c>
    </row>
    <row r="992">
      <c r="W992" s="31">
        <f>IF(OR($B$5="",$C$6="",ROW()&lt;$B$5),"",IF(INDEX($A:$U,ROW(),$C$6)="","",INDEX($A:$U,ROW(),$C$6)))</f>
        <v/>
      </c>
      <c r="X992" s="32">
        <f>IF($W992="","",IF(ISNUMBER($W992),IF($W992&gt;=10000000,IFERROR(DATE(INT($W992/10000),MOD(INT($W992/100),100),MOD($W992,100)),""),INT($W992)),IFERROR(DATE(--LEFT(LEFT(SUBSTITUTE(SUBSTITUTE(SUBSTITUTE(SUBSTITUTE(TRIM($W992),"-",""),".",""),"/","")," ",""),8),4),--MID(LEFT(SUBSTITUTE(SUBSTITUTE(SUBSTITUTE(SUBSTITUTE(TRIM($W992),"-",""),".",""),"/","")," ",""),8),5,2),--MID(LEFT(SUBSTITUTE(SUBSTITUTE(SUBSTITUTE(SUBSTITUTE(TRIM($W992),"-",""),".",""),"/","")," ",""),8),7,2)),"")))</f>
        <v/>
      </c>
      <c r="Y992" s="32">
        <f>IF($X992="","",INT($X992))</f>
        <v/>
      </c>
      <c r="Z992" s="33">
        <f>IF(OR($Y992="",$D$6=""),"",IF(INDEX($A:$U,ROW(),$D$6)="",0,IF(ISNUMBER(INDEX($A:$U,ROW(),$D$6)),INDEX($A:$U,ROW(),$D$6),IFERROR(--SUBSTITUTE(SUBSTITUTE(TRIM(INDEX($A:$U,ROW(),$D$6)),",",""),"원",""),0))))</f>
        <v/>
      </c>
      <c r="AA992" s="31">
        <f>IF($Y992="","",TRIM(INDEX($A:$U,ROW(),$E$6)&amp;IF($F$6="",""," "&amp;INDEX($A:$U,ROW(),$F$6))))</f>
        <v/>
      </c>
      <c r="AB992" s="31">
        <f>IF($AA992="","",SUBSTITUTE(SUBSTITUTE(SUBSTITUTE(SUBSTITUTE(SUBSTITUTE(SUBSTITUTE(SUBSTITUTE(SUBSTITUTE(SUBSTITUTE($AA992," ",""),"　",""),"(주)",""),"（주）",""),"㈜",""),"주식회사",""),"(유)",""),"（유）",""),"유한회사",""))</f>
        <v/>
      </c>
      <c r="AC992" s="31">
        <f>IF(OR($Y992="",N($Z992)&lt;=0,$AB992=""),0,IFERROR(LOOKUP(2,1/((거래처별!$AC$8:$AC$307&lt;&gt;"")*ISNUMBER(SEARCH(거래처별!$AC$8:$AC$307,$AB992))),거래처별!$A$8:$A$307),IFERROR(LOOKUP(2,1/((거래처별!$AD$8:$AD$307&lt;&gt;"")*ISNUMBER(SEARCH(거래처별!$AD$8:$AD$307,$AB992))),거래처별!$A$8:$A$307),IFERROR(LOOKUP(2,1/((거래처별!$AE$8:$AE$307&lt;&gt;"")*ISNUMBER(SEARCH(거래처별!$AE$8:$AE$307,$AB992))),거래처별!$A$8:$A$307),0))))</f>
        <v/>
      </c>
      <c r="AD992" s="31">
        <f>IF(AND($Y992&lt;&gt;"",N($Z992)&gt;0,$AC992=0),MAX($AD$7:$AD991)+1,"")</f>
        <v/>
      </c>
      <c r="AE992" s="31">
        <f>IF($Y992="",0,$Y992)</f>
        <v/>
      </c>
    </row>
    <row r="993">
      <c r="W993" s="31">
        <f>IF(OR($B$5="",$C$6="",ROW()&lt;$B$5),"",IF(INDEX($A:$U,ROW(),$C$6)="","",INDEX($A:$U,ROW(),$C$6)))</f>
        <v/>
      </c>
      <c r="X993" s="32">
        <f>IF($W993="","",IF(ISNUMBER($W993),IF($W993&gt;=10000000,IFERROR(DATE(INT($W993/10000),MOD(INT($W993/100),100),MOD($W993,100)),""),INT($W993)),IFERROR(DATE(--LEFT(LEFT(SUBSTITUTE(SUBSTITUTE(SUBSTITUTE(SUBSTITUTE(TRIM($W993),"-",""),".",""),"/","")," ",""),8),4),--MID(LEFT(SUBSTITUTE(SUBSTITUTE(SUBSTITUTE(SUBSTITUTE(TRIM($W993),"-",""),".",""),"/","")," ",""),8),5,2),--MID(LEFT(SUBSTITUTE(SUBSTITUTE(SUBSTITUTE(SUBSTITUTE(TRIM($W993),"-",""),".",""),"/","")," ",""),8),7,2)),"")))</f>
        <v/>
      </c>
      <c r="Y993" s="32">
        <f>IF($X993="","",INT($X993))</f>
        <v/>
      </c>
      <c r="Z993" s="33">
        <f>IF(OR($Y993="",$D$6=""),"",IF(INDEX($A:$U,ROW(),$D$6)="",0,IF(ISNUMBER(INDEX($A:$U,ROW(),$D$6)),INDEX($A:$U,ROW(),$D$6),IFERROR(--SUBSTITUTE(SUBSTITUTE(TRIM(INDEX($A:$U,ROW(),$D$6)),",",""),"원",""),0))))</f>
        <v/>
      </c>
      <c r="AA993" s="31">
        <f>IF($Y993="","",TRIM(INDEX($A:$U,ROW(),$E$6)&amp;IF($F$6="",""," "&amp;INDEX($A:$U,ROW(),$F$6))))</f>
        <v/>
      </c>
      <c r="AB993" s="31">
        <f>IF($AA993="","",SUBSTITUTE(SUBSTITUTE(SUBSTITUTE(SUBSTITUTE(SUBSTITUTE(SUBSTITUTE(SUBSTITUTE(SUBSTITUTE(SUBSTITUTE($AA993," ",""),"　",""),"(주)",""),"（주）",""),"㈜",""),"주식회사",""),"(유)",""),"（유）",""),"유한회사",""))</f>
        <v/>
      </c>
      <c r="AC993" s="31">
        <f>IF(OR($Y993="",N($Z993)&lt;=0,$AB993=""),0,IFERROR(LOOKUP(2,1/((거래처별!$AC$8:$AC$307&lt;&gt;"")*ISNUMBER(SEARCH(거래처별!$AC$8:$AC$307,$AB993))),거래처별!$A$8:$A$307),IFERROR(LOOKUP(2,1/((거래처별!$AD$8:$AD$307&lt;&gt;"")*ISNUMBER(SEARCH(거래처별!$AD$8:$AD$307,$AB993))),거래처별!$A$8:$A$307),IFERROR(LOOKUP(2,1/((거래처별!$AE$8:$AE$307&lt;&gt;"")*ISNUMBER(SEARCH(거래처별!$AE$8:$AE$307,$AB993))),거래처별!$A$8:$A$307),0))))</f>
        <v/>
      </c>
      <c r="AD993" s="31">
        <f>IF(AND($Y993&lt;&gt;"",N($Z993)&gt;0,$AC993=0),MAX($AD$7:$AD992)+1,"")</f>
        <v/>
      </c>
      <c r="AE993" s="31">
        <f>IF($Y993="",0,$Y993)</f>
        <v/>
      </c>
    </row>
    <row r="994">
      <c r="W994" s="31">
        <f>IF(OR($B$5="",$C$6="",ROW()&lt;$B$5),"",IF(INDEX($A:$U,ROW(),$C$6)="","",INDEX($A:$U,ROW(),$C$6)))</f>
        <v/>
      </c>
      <c r="X994" s="32">
        <f>IF($W994="","",IF(ISNUMBER($W994),IF($W994&gt;=10000000,IFERROR(DATE(INT($W994/10000),MOD(INT($W994/100),100),MOD($W994,100)),""),INT($W994)),IFERROR(DATE(--LEFT(LEFT(SUBSTITUTE(SUBSTITUTE(SUBSTITUTE(SUBSTITUTE(TRIM($W994),"-",""),".",""),"/","")," ",""),8),4),--MID(LEFT(SUBSTITUTE(SUBSTITUTE(SUBSTITUTE(SUBSTITUTE(TRIM($W994),"-",""),".",""),"/","")," ",""),8),5,2),--MID(LEFT(SUBSTITUTE(SUBSTITUTE(SUBSTITUTE(SUBSTITUTE(TRIM($W994),"-",""),".",""),"/","")," ",""),8),7,2)),"")))</f>
        <v/>
      </c>
      <c r="Y994" s="32">
        <f>IF($X994="","",INT($X994))</f>
        <v/>
      </c>
      <c r="Z994" s="33">
        <f>IF(OR($Y994="",$D$6=""),"",IF(INDEX($A:$U,ROW(),$D$6)="",0,IF(ISNUMBER(INDEX($A:$U,ROW(),$D$6)),INDEX($A:$U,ROW(),$D$6),IFERROR(--SUBSTITUTE(SUBSTITUTE(TRIM(INDEX($A:$U,ROW(),$D$6)),",",""),"원",""),0))))</f>
        <v/>
      </c>
      <c r="AA994" s="31">
        <f>IF($Y994="","",TRIM(INDEX($A:$U,ROW(),$E$6)&amp;IF($F$6="",""," "&amp;INDEX($A:$U,ROW(),$F$6))))</f>
        <v/>
      </c>
      <c r="AB994" s="31">
        <f>IF($AA994="","",SUBSTITUTE(SUBSTITUTE(SUBSTITUTE(SUBSTITUTE(SUBSTITUTE(SUBSTITUTE(SUBSTITUTE(SUBSTITUTE(SUBSTITUTE($AA994," ",""),"　",""),"(주)",""),"（주）",""),"㈜",""),"주식회사",""),"(유)",""),"（유）",""),"유한회사",""))</f>
        <v/>
      </c>
      <c r="AC994" s="31">
        <f>IF(OR($Y994="",N($Z994)&lt;=0,$AB994=""),0,IFERROR(LOOKUP(2,1/((거래처별!$AC$8:$AC$307&lt;&gt;"")*ISNUMBER(SEARCH(거래처별!$AC$8:$AC$307,$AB994))),거래처별!$A$8:$A$307),IFERROR(LOOKUP(2,1/((거래처별!$AD$8:$AD$307&lt;&gt;"")*ISNUMBER(SEARCH(거래처별!$AD$8:$AD$307,$AB994))),거래처별!$A$8:$A$307),IFERROR(LOOKUP(2,1/((거래처별!$AE$8:$AE$307&lt;&gt;"")*ISNUMBER(SEARCH(거래처별!$AE$8:$AE$307,$AB994))),거래처별!$A$8:$A$307),0))))</f>
        <v/>
      </c>
      <c r="AD994" s="31">
        <f>IF(AND($Y994&lt;&gt;"",N($Z994)&gt;0,$AC994=0),MAX($AD$7:$AD993)+1,"")</f>
        <v/>
      </c>
      <c r="AE994" s="31">
        <f>IF($Y994="",0,$Y994)</f>
        <v/>
      </c>
    </row>
    <row r="995">
      <c r="W995" s="31">
        <f>IF(OR($B$5="",$C$6="",ROW()&lt;$B$5),"",IF(INDEX($A:$U,ROW(),$C$6)="","",INDEX($A:$U,ROW(),$C$6)))</f>
        <v/>
      </c>
      <c r="X995" s="32">
        <f>IF($W995="","",IF(ISNUMBER($W995),IF($W995&gt;=10000000,IFERROR(DATE(INT($W995/10000),MOD(INT($W995/100),100),MOD($W995,100)),""),INT($W995)),IFERROR(DATE(--LEFT(LEFT(SUBSTITUTE(SUBSTITUTE(SUBSTITUTE(SUBSTITUTE(TRIM($W995),"-",""),".",""),"/","")," ",""),8),4),--MID(LEFT(SUBSTITUTE(SUBSTITUTE(SUBSTITUTE(SUBSTITUTE(TRIM($W995),"-",""),".",""),"/","")," ",""),8),5,2),--MID(LEFT(SUBSTITUTE(SUBSTITUTE(SUBSTITUTE(SUBSTITUTE(TRIM($W995),"-",""),".",""),"/","")," ",""),8),7,2)),"")))</f>
        <v/>
      </c>
      <c r="Y995" s="32">
        <f>IF($X995="","",INT($X995))</f>
        <v/>
      </c>
      <c r="Z995" s="33">
        <f>IF(OR($Y995="",$D$6=""),"",IF(INDEX($A:$U,ROW(),$D$6)="",0,IF(ISNUMBER(INDEX($A:$U,ROW(),$D$6)),INDEX($A:$U,ROW(),$D$6),IFERROR(--SUBSTITUTE(SUBSTITUTE(TRIM(INDEX($A:$U,ROW(),$D$6)),",",""),"원",""),0))))</f>
        <v/>
      </c>
      <c r="AA995" s="31">
        <f>IF($Y995="","",TRIM(INDEX($A:$U,ROW(),$E$6)&amp;IF($F$6="",""," "&amp;INDEX($A:$U,ROW(),$F$6))))</f>
        <v/>
      </c>
      <c r="AB995" s="31">
        <f>IF($AA995="","",SUBSTITUTE(SUBSTITUTE(SUBSTITUTE(SUBSTITUTE(SUBSTITUTE(SUBSTITUTE(SUBSTITUTE(SUBSTITUTE(SUBSTITUTE($AA995," ",""),"　",""),"(주)",""),"（주）",""),"㈜",""),"주식회사",""),"(유)",""),"（유）",""),"유한회사",""))</f>
        <v/>
      </c>
      <c r="AC995" s="31">
        <f>IF(OR($Y995="",N($Z995)&lt;=0,$AB995=""),0,IFERROR(LOOKUP(2,1/((거래처별!$AC$8:$AC$307&lt;&gt;"")*ISNUMBER(SEARCH(거래처별!$AC$8:$AC$307,$AB995))),거래처별!$A$8:$A$307),IFERROR(LOOKUP(2,1/((거래처별!$AD$8:$AD$307&lt;&gt;"")*ISNUMBER(SEARCH(거래처별!$AD$8:$AD$307,$AB995))),거래처별!$A$8:$A$307),IFERROR(LOOKUP(2,1/((거래처별!$AE$8:$AE$307&lt;&gt;"")*ISNUMBER(SEARCH(거래처별!$AE$8:$AE$307,$AB995))),거래처별!$A$8:$A$307),0))))</f>
        <v/>
      </c>
      <c r="AD995" s="31">
        <f>IF(AND($Y995&lt;&gt;"",N($Z995)&gt;0,$AC995=0),MAX($AD$7:$AD994)+1,"")</f>
        <v/>
      </c>
      <c r="AE995" s="31">
        <f>IF($Y995="",0,$Y995)</f>
        <v/>
      </c>
    </row>
    <row r="996">
      <c r="W996" s="31">
        <f>IF(OR($B$5="",$C$6="",ROW()&lt;$B$5),"",IF(INDEX($A:$U,ROW(),$C$6)="","",INDEX($A:$U,ROW(),$C$6)))</f>
        <v/>
      </c>
      <c r="X996" s="32">
        <f>IF($W996="","",IF(ISNUMBER($W996),IF($W996&gt;=10000000,IFERROR(DATE(INT($W996/10000),MOD(INT($W996/100),100),MOD($W996,100)),""),INT($W996)),IFERROR(DATE(--LEFT(LEFT(SUBSTITUTE(SUBSTITUTE(SUBSTITUTE(SUBSTITUTE(TRIM($W996),"-",""),".",""),"/","")," ",""),8),4),--MID(LEFT(SUBSTITUTE(SUBSTITUTE(SUBSTITUTE(SUBSTITUTE(TRIM($W996),"-",""),".",""),"/","")," ",""),8),5,2),--MID(LEFT(SUBSTITUTE(SUBSTITUTE(SUBSTITUTE(SUBSTITUTE(TRIM($W996),"-",""),".",""),"/","")," ",""),8),7,2)),"")))</f>
        <v/>
      </c>
      <c r="Y996" s="32">
        <f>IF($X996="","",INT($X996))</f>
        <v/>
      </c>
      <c r="Z996" s="33">
        <f>IF(OR($Y996="",$D$6=""),"",IF(INDEX($A:$U,ROW(),$D$6)="",0,IF(ISNUMBER(INDEX($A:$U,ROW(),$D$6)),INDEX($A:$U,ROW(),$D$6),IFERROR(--SUBSTITUTE(SUBSTITUTE(TRIM(INDEX($A:$U,ROW(),$D$6)),",",""),"원",""),0))))</f>
        <v/>
      </c>
      <c r="AA996" s="31">
        <f>IF($Y996="","",TRIM(INDEX($A:$U,ROW(),$E$6)&amp;IF($F$6="",""," "&amp;INDEX($A:$U,ROW(),$F$6))))</f>
        <v/>
      </c>
      <c r="AB996" s="31">
        <f>IF($AA996="","",SUBSTITUTE(SUBSTITUTE(SUBSTITUTE(SUBSTITUTE(SUBSTITUTE(SUBSTITUTE(SUBSTITUTE(SUBSTITUTE(SUBSTITUTE($AA996," ",""),"　",""),"(주)",""),"（주）",""),"㈜",""),"주식회사",""),"(유)",""),"（유）",""),"유한회사",""))</f>
        <v/>
      </c>
      <c r="AC996" s="31">
        <f>IF(OR($Y996="",N($Z996)&lt;=0,$AB996=""),0,IFERROR(LOOKUP(2,1/((거래처별!$AC$8:$AC$307&lt;&gt;"")*ISNUMBER(SEARCH(거래처별!$AC$8:$AC$307,$AB996))),거래처별!$A$8:$A$307),IFERROR(LOOKUP(2,1/((거래처별!$AD$8:$AD$307&lt;&gt;"")*ISNUMBER(SEARCH(거래처별!$AD$8:$AD$307,$AB996))),거래처별!$A$8:$A$307),IFERROR(LOOKUP(2,1/((거래처별!$AE$8:$AE$307&lt;&gt;"")*ISNUMBER(SEARCH(거래처별!$AE$8:$AE$307,$AB996))),거래처별!$A$8:$A$307),0))))</f>
        <v/>
      </c>
      <c r="AD996" s="31">
        <f>IF(AND($Y996&lt;&gt;"",N($Z996)&gt;0,$AC996=0),MAX($AD$7:$AD995)+1,"")</f>
        <v/>
      </c>
      <c r="AE996" s="31">
        <f>IF($Y996="",0,$Y996)</f>
        <v/>
      </c>
    </row>
    <row r="997">
      <c r="W997" s="31">
        <f>IF(OR($B$5="",$C$6="",ROW()&lt;$B$5),"",IF(INDEX($A:$U,ROW(),$C$6)="","",INDEX($A:$U,ROW(),$C$6)))</f>
        <v/>
      </c>
      <c r="X997" s="32">
        <f>IF($W997="","",IF(ISNUMBER($W997),IF($W997&gt;=10000000,IFERROR(DATE(INT($W997/10000),MOD(INT($W997/100),100),MOD($W997,100)),""),INT($W997)),IFERROR(DATE(--LEFT(LEFT(SUBSTITUTE(SUBSTITUTE(SUBSTITUTE(SUBSTITUTE(TRIM($W997),"-",""),".",""),"/","")," ",""),8),4),--MID(LEFT(SUBSTITUTE(SUBSTITUTE(SUBSTITUTE(SUBSTITUTE(TRIM($W997),"-",""),".",""),"/","")," ",""),8),5,2),--MID(LEFT(SUBSTITUTE(SUBSTITUTE(SUBSTITUTE(SUBSTITUTE(TRIM($W997),"-",""),".",""),"/","")," ",""),8),7,2)),"")))</f>
        <v/>
      </c>
      <c r="Y997" s="32">
        <f>IF($X997="","",INT($X997))</f>
        <v/>
      </c>
      <c r="Z997" s="33">
        <f>IF(OR($Y997="",$D$6=""),"",IF(INDEX($A:$U,ROW(),$D$6)="",0,IF(ISNUMBER(INDEX($A:$U,ROW(),$D$6)),INDEX($A:$U,ROW(),$D$6),IFERROR(--SUBSTITUTE(SUBSTITUTE(TRIM(INDEX($A:$U,ROW(),$D$6)),",",""),"원",""),0))))</f>
        <v/>
      </c>
      <c r="AA997" s="31">
        <f>IF($Y997="","",TRIM(INDEX($A:$U,ROW(),$E$6)&amp;IF($F$6="",""," "&amp;INDEX($A:$U,ROW(),$F$6))))</f>
        <v/>
      </c>
      <c r="AB997" s="31">
        <f>IF($AA997="","",SUBSTITUTE(SUBSTITUTE(SUBSTITUTE(SUBSTITUTE(SUBSTITUTE(SUBSTITUTE(SUBSTITUTE(SUBSTITUTE(SUBSTITUTE($AA997," ",""),"　",""),"(주)",""),"（주）",""),"㈜",""),"주식회사",""),"(유)",""),"（유）",""),"유한회사",""))</f>
        <v/>
      </c>
      <c r="AC997" s="31">
        <f>IF(OR($Y997="",N($Z997)&lt;=0,$AB997=""),0,IFERROR(LOOKUP(2,1/((거래처별!$AC$8:$AC$307&lt;&gt;"")*ISNUMBER(SEARCH(거래처별!$AC$8:$AC$307,$AB997))),거래처별!$A$8:$A$307),IFERROR(LOOKUP(2,1/((거래처별!$AD$8:$AD$307&lt;&gt;"")*ISNUMBER(SEARCH(거래처별!$AD$8:$AD$307,$AB997))),거래처별!$A$8:$A$307),IFERROR(LOOKUP(2,1/((거래처별!$AE$8:$AE$307&lt;&gt;"")*ISNUMBER(SEARCH(거래처별!$AE$8:$AE$307,$AB997))),거래처별!$A$8:$A$307),0))))</f>
        <v/>
      </c>
      <c r="AD997" s="31">
        <f>IF(AND($Y997&lt;&gt;"",N($Z997)&gt;0,$AC997=0),MAX($AD$7:$AD996)+1,"")</f>
        <v/>
      </c>
      <c r="AE997" s="31">
        <f>IF($Y997="",0,$Y997)</f>
        <v/>
      </c>
    </row>
    <row r="998">
      <c r="W998" s="31">
        <f>IF(OR($B$5="",$C$6="",ROW()&lt;$B$5),"",IF(INDEX($A:$U,ROW(),$C$6)="","",INDEX($A:$U,ROW(),$C$6)))</f>
        <v/>
      </c>
      <c r="X998" s="32">
        <f>IF($W998="","",IF(ISNUMBER($W998),IF($W998&gt;=10000000,IFERROR(DATE(INT($W998/10000),MOD(INT($W998/100),100),MOD($W998,100)),""),INT($W998)),IFERROR(DATE(--LEFT(LEFT(SUBSTITUTE(SUBSTITUTE(SUBSTITUTE(SUBSTITUTE(TRIM($W998),"-",""),".",""),"/","")," ",""),8),4),--MID(LEFT(SUBSTITUTE(SUBSTITUTE(SUBSTITUTE(SUBSTITUTE(TRIM($W998),"-",""),".",""),"/","")," ",""),8),5,2),--MID(LEFT(SUBSTITUTE(SUBSTITUTE(SUBSTITUTE(SUBSTITUTE(TRIM($W998),"-",""),".",""),"/","")," ",""),8),7,2)),"")))</f>
        <v/>
      </c>
      <c r="Y998" s="32">
        <f>IF($X998="","",INT($X998))</f>
        <v/>
      </c>
      <c r="Z998" s="33">
        <f>IF(OR($Y998="",$D$6=""),"",IF(INDEX($A:$U,ROW(),$D$6)="",0,IF(ISNUMBER(INDEX($A:$U,ROW(),$D$6)),INDEX($A:$U,ROW(),$D$6),IFERROR(--SUBSTITUTE(SUBSTITUTE(TRIM(INDEX($A:$U,ROW(),$D$6)),",",""),"원",""),0))))</f>
        <v/>
      </c>
      <c r="AA998" s="31">
        <f>IF($Y998="","",TRIM(INDEX($A:$U,ROW(),$E$6)&amp;IF($F$6="",""," "&amp;INDEX($A:$U,ROW(),$F$6))))</f>
        <v/>
      </c>
      <c r="AB998" s="31">
        <f>IF($AA998="","",SUBSTITUTE(SUBSTITUTE(SUBSTITUTE(SUBSTITUTE(SUBSTITUTE(SUBSTITUTE(SUBSTITUTE(SUBSTITUTE(SUBSTITUTE($AA998," ",""),"　",""),"(주)",""),"（주）",""),"㈜",""),"주식회사",""),"(유)",""),"（유）",""),"유한회사",""))</f>
        <v/>
      </c>
      <c r="AC998" s="31">
        <f>IF(OR($Y998="",N($Z998)&lt;=0,$AB998=""),0,IFERROR(LOOKUP(2,1/((거래처별!$AC$8:$AC$307&lt;&gt;"")*ISNUMBER(SEARCH(거래처별!$AC$8:$AC$307,$AB998))),거래처별!$A$8:$A$307),IFERROR(LOOKUP(2,1/((거래처별!$AD$8:$AD$307&lt;&gt;"")*ISNUMBER(SEARCH(거래처별!$AD$8:$AD$307,$AB998))),거래처별!$A$8:$A$307),IFERROR(LOOKUP(2,1/((거래처별!$AE$8:$AE$307&lt;&gt;"")*ISNUMBER(SEARCH(거래처별!$AE$8:$AE$307,$AB998))),거래처별!$A$8:$A$307),0))))</f>
        <v/>
      </c>
      <c r="AD998" s="31">
        <f>IF(AND($Y998&lt;&gt;"",N($Z998)&gt;0,$AC998=0),MAX($AD$7:$AD997)+1,"")</f>
        <v/>
      </c>
      <c r="AE998" s="31">
        <f>IF($Y998="",0,$Y998)</f>
        <v/>
      </c>
    </row>
    <row r="999">
      <c r="W999" s="31">
        <f>IF(OR($B$5="",$C$6="",ROW()&lt;$B$5),"",IF(INDEX($A:$U,ROW(),$C$6)="","",INDEX($A:$U,ROW(),$C$6)))</f>
        <v/>
      </c>
      <c r="X999" s="32">
        <f>IF($W999="","",IF(ISNUMBER($W999),IF($W999&gt;=10000000,IFERROR(DATE(INT($W999/10000),MOD(INT($W999/100),100),MOD($W999,100)),""),INT($W999)),IFERROR(DATE(--LEFT(LEFT(SUBSTITUTE(SUBSTITUTE(SUBSTITUTE(SUBSTITUTE(TRIM($W999),"-",""),".",""),"/","")," ",""),8),4),--MID(LEFT(SUBSTITUTE(SUBSTITUTE(SUBSTITUTE(SUBSTITUTE(TRIM($W999),"-",""),".",""),"/","")," ",""),8),5,2),--MID(LEFT(SUBSTITUTE(SUBSTITUTE(SUBSTITUTE(SUBSTITUTE(TRIM($W999),"-",""),".",""),"/","")," ",""),8),7,2)),"")))</f>
        <v/>
      </c>
      <c r="Y999" s="32">
        <f>IF($X999="","",INT($X999))</f>
        <v/>
      </c>
      <c r="Z999" s="33">
        <f>IF(OR($Y999="",$D$6=""),"",IF(INDEX($A:$U,ROW(),$D$6)="",0,IF(ISNUMBER(INDEX($A:$U,ROW(),$D$6)),INDEX($A:$U,ROW(),$D$6),IFERROR(--SUBSTITUTE(SUBSTITUTE(TRIM(INDEX($A:$U,ROW(),$D$6)),",",""),"원",""),0))))</f>
        <v/>
      </c>
      <c r="AA999" s="31">
        <f>IF($Y999="","",TRIM(INDEX($A:$U,ROW(),$E$6)&amp;IF($F$6="",""," "&amp;INDEX($A:$U,ROW(),$F$6))))</f>
        <v/>
      </c>
      <c r="AB999" s="31">
        <f>IF($AA999="","",SUBSTITUTE(SUBSTITUTE(SUBSTITUTE(SUBSTITUTE(SUBSTITUTE(SUBSTITUTE(SUBSTITUTE(SUBSTITUTE(SUBSTITUTE($AA999," ",""),"　",""),"(주)",""),"（주）",""),"㈜",""),"주식회사",""),"(유)",""),"（유）",""),"유한회사",""))</f>
        <v/>
      </c>
      <c r="AC999" s="31">
        <f>IF(OR($Y999="",N($Z999)&lt;=0,$AB999=""),0,IFERROR(LOOKUP(2,1/((거래처별!$AC$8:$AC$307&lt;&gt;"")*ISNUMBER(SEARCH(거래처별!$AC$8:$AC$307,$AB999))),거래처별!$A$8:$A$307),IFERROR(LOOKUP(2,1/((거래처별!$AD$8:$AD$307&lt;&gt;"")*ISNUMBER(SEARCH(거래처별!$AD$8:$AD$307,$AB999))),거래처별!$A$8:$A$307),IFERROR(LOOKUP(2,1/((거래처별!$AE$8:$AE$307&lt;&gt;"")*ISNUMBER(SEARCH(거래처별!$AE$8:$AE$307,$AB999))),거래처별!$A$8:$A$307),0))))</f>
        <v/>
      </c>
      <c r="AD999" s="31">
        <f>IF(AND($Y999&lt;&gt;"",N($Z999)&gt;0,$AC999=0),MAX($AD$7:$AD998)+1,"")</f>
        <v/>
      </c>
      <c r="AE999" s="31">
        <f>IF($Y999="",0,$Y999)</f>
        <v/>
      </c>
    </row>
    <row r="1000">
      <c r="W1000" s="31">
        <f>IF(OR($B$5="",$C$6="",ROW()&lt;$B$5),"",IF(INDEX($A:$U,ROW(),$C$6)="","",INDEX($A:$U,ROW(),$C$6)))</f>
        <v/>
      </c>
      <c r="X1000" s="32">
        <f>IF($W1000="","",IF(ISNUMBER($W1000),IF($W1000&gt;=10000000,IFERROR(DATE(INT($W1000/10000),MOD(INT($W1000/100),100),MOD($W1000,100)),""),INT($W1000)),IFERROR(DATE(--LEFT(LEFT(SUBSTITUTE(SUBSTITUTE(SUBSTITUTE(SUBSTITUTE(TRIM($W1000),"-",""),".",""),"/","")," ",""),8),4),--MID(LEFT(SUBSTITUTE(SUBSTITUTE(SUBSTITUTE(SUBSTITUTE(TRIM($W1000),"-",""),".",""),"/","")," ",""),8),5,2),--MID(LEFT(SUBSTITUTE(SUBSTITUTE(SUBSTITUTE(SUBSTITUTE(TRIM($W1000),"-",""),".",""),"/","")," ",""),8),7,2)),"")))</f>
        <v/>
      </c>
      <c r="Y1000" s="32">
        <f>IF($X1000="","",INT($X1000))</f>
        <v/>
      </c>
      <c r="Z1000" s="33">
        <f>IF(OR($Y1000="",$D$6=""),"",IF(INDEX($A:$U,ROW(),$D$6)="",0,IF(ISNUMBER(INDEX($A:$U,ROW(),$D$6)),INDEX($A:$U,ROW(),$D$6),IFERROR(--SUBSTITUTE(SUBSTITUTE(TRIM(INDEX($A:$U,ROW(),$D$6)),",",""),"원",""),0))))</f>
        <v/>
      </c>
      <c r="AA1000" s="31">
        <f>IF($Y1000="","",TRIM(INDEX($A:$U,ROW(),$E$6)&amp;IF($F$6="",""," "&amp;INDEX($A:$U,ROW(),$F$6))))</f>
        <v/>
      </c>
      <c r="AB1000" s="31">
        <f>IF($AA1000="","",SUBSTITUTE(SUBSTITUTE(SUBSTITUTE(SUBSTITUTE(SUBSTITUTE(SUBSTITUTE(SUBSTITUTE(SUBSTITUTE(SUBSTITUTE($AA1000," ",""),"　",""),"(주)",""),"（주）",""),"㈜",""),"주식회사",""),"(유)",""),"（유）",""),"유한회사",""))</f>
        <v/>
      </c>
      <c r="AC1000" s="31">
        <f>IF(OR($Y1000="",N($Z1000)&lt;=0,$AB1000=""),0,IFERROR(LOOKUP(2,1/((거래처별!$AC$8:$AC$307&lt;&gt;"")*ISNUMBER(SEARCH(거래처별!$AC$8:$AC$307,$AB1000))),거래처별!$A$8:$A$307),IFERROR(LOOKUP(2,1/((거래처별!$AD$8:$AD$307&lt;&gt;"")*ISNUMBER(SEARCH(거래처별!$AD$8:$AD$307,$AB1000))),거래처별!$A$8:$A$307),IFERROR(LOOKUP(2,1/((거래처별!$AE$8:$AE$307&lt;&gt;"")*ISNUMBER(SEARCH(거래처별!$AE$8:$AE$307,$AB1000))),거래처별!$A$8:$A$307),0))))</f>
        <v/>
      </c>
      <c r="AD1000" s="31">
        <f>IF(AND($Y1000&lt;&gt;"",N($Z1000)&gt;0,$AC1000=0),MAX($AD$7:$AD999)+1,"")</f>
        <v/>
      </c>
      <c r="AE1000" s="31">
        <f>IF($Y1000="",0,$Y1000)</f>
        <v/>
      </c>
    </row>
    <row r="1001">
      <c r="W1001" s="31">
        <f>IF(OR($B$5="",$C$6="",ROW()&lt;$B$5),"",IF(INDEX($A:$U,ROW(),$C$6)="","",INDEX($A:$U,ROW(),$C$6)))</f>
        <v/>
      </c>
      <c r="X1001" s="32">
        <f>IF($W1001="","",IF(ISNUMBER($W1001),IF($W1001&gt;=10000000,IFERROR(DATE(INT($W1001/10000),MOD(INT($W1001/100),100),MOD($W1001,100)),""),INT($W1001)),IFERROR(DATE(--LEFT(LEFT(SUBSTITUTE(SUBSTITUTE(SUBSTITUTE(SUBSTITUTE(TRIM($W1001),"-",""),".",""),"/","")," ",""),8),4),--MID(LEFT(SUBSTITUTE(SUBSTITUTE(SUBSTITUTE(SUBSTITUTE(TRIM($W1001),"-",""),".",""),"/","")," ",""),8),5,2),--MID(LEFT(SUBSTITUTE(SUBSTITUTE(SUBSTITUTE(SUBSTITUTE(TRIM($W1001),"-",""),".",""),"/","")," ",""),8),7,2)),"")))</f>
        <v/>
      </c>
      <c r="Y1001" s="32">
        <f>IF($X1001="","",INT($X1001))</f>
        <v/>
      </c>
      <c r="Z1001" s="33">
        <f>IF(OR($Y1001="",$D$6=""),"",IF(INDEX($A:$U,ROW(),$D$6)="",0,IF(ISNUMBER(INDEX($A:$U,ROW(),$D$6)),INDEX($A:$U,ROW(),$D$6),IFERROR(--SUBSTITUTE(SUBSTITUTE(TRIM(INDEX($A:$U,ROW(),$D$6)),",",""),"원",""),0))))</f>
        <v/>
      </c>
      <c r="AA1001" s="31">
        <f>IF($Y1001="","",TRIM(INDEX($A:$U,ROW(),$E$6)&amp;IF($F$6="",""," "&amp;INDEX($A:$U,ROW(),$F$6))))</f>
        <v/>
      </c>
      <c r="AB1001" s="31">
        <f>IF($AA1001="","",SUBSTITUTE(SUBSTITUTE(SUBSTITUTE(SUBSTITUTE(SUBSTITUTE(SUBSTITUTE(SUBSTITUTE(SUBSTITUTE(SUBSTITUTE($AA1001," ",""),"　",""),"(주)",""),"（주）",""),"㈜",""),"주식회사",""),"(유)",""),"（유）",""),"유한회사",""))</f>
        <v/>
      </c>
      <c r="AC1001" s="31">
        <f>IF(OR($Y1001="",N($Z1001)&lt;=0,$AB1001=""),0,IFERROR(LOOKUP(2,1/((거래처별!$AC$8:$AC$307&lt;&gt;"")*ISNUMBER(SEARCH(거래처별!$AC$8:$AC$307,$AB1001))),거래처별!$A$8:$A$307),IFERROR(LOOKUP(2,1/((거래처별!$AD$8:$AD$307&lt;&gt;"")*ISNUMBER(SEARCH(거래처별!$AD$8:$AD$307,$AB1001))),거래처별!$A$8:$A$307),IFERROR(LOOKUP(2,1/((거래처별!$AE$8:$AE$307&lt;&gt;"")*ISNUMBER(SEARCH(거래처별!$AE$8:$AE$307,$AB1001))),거래처별!$A$8:$A$307),0))))</f>
        <v/>
      </c>
      <c r="AD1001" s="31">
        <f>IF(AND($Y1001&lt;&gt;"",N($Z1001)&gt;0,$AC1001=0),MAX($AD$7:$AD1000)+1,"")</f>
        <v/>
      </c>
      <c r="AE1001" s="31">
        <f>IF($Y1001="",0,$Y1001)</f>
        <v/>
      </c>
    </row>
    <row r="1002">
      <c r="W1002" s="31">
        <f>IF(OR($B$5="",$C$6="",ROW()&lt;$B$5),"",IF(INDEX($A:$U,ROW(),$C$6)="","",INDEX($A:$U,ROW(),$C$6)))</f>
        <v/>
      </c>
      <c r="X1002" s="32">
        <f>IF($W1002="","",IF(ISNUMBER($W1002),IF($W1002&gt;=10000000,IFERROR(DATE(INT($W1002/10000),MOD(INT($W1002/100),100),MOD($W1002,100)),""),INT($W1002)),IFERROR(DATE(--LEFT(LEFT(SUBSTITUTE(SUBSTITUTE(SUBSTITUTE(SUBSTITUTE(TRIM($W1002),"-",""),".",""),"/","")," ",""),8),4),--MID(LEFT(SUBSTITUTE(SUBSTITUTE(SUBSTITUTE(SUBSTITUTE(TRIM($W1002),"-",""),".",""),"/","")," ",""),8),5,2),--MID(LEFT(SUBSTITUTE(SUBSTITUTE(SUBSTITUTE(SUBSTITUTE(TRIM($W1002),"-",""),".",""),"/","")," ",""),8),7,2)),"")))</f>
        <v/>
      </c>
      <c r="Y1002" s="32">
        <f>IF($X1002="","",INT($X1002))</f>
        <v/>
      </c>
      <c r="Z1002" s="33">
        <f>IF(OR($Y1002="",$D$6=""),"",IF(INDEX($A:$U,ROW(),$D$6)="",0,IF(ISNUMBER(INDEX($A:$U,ROW(),$D$6)),INDEX($A:$U,ROW(),$D$6),IFERROR(--SUBSTITUTE(SUBSTITUTE(TRIM(INDEX($A:$U,ROW(),$D$6)),",",""),"원",""),0))))</f>
        <v/>
      </c>
      <c r="AA1002" s="31">
        <f>IF($Y1002="","",TRIM(INDEX($A:$U,ROW(),$E$6)&amp;IF($F$6="",""," "&amp;INDEX($A:$U,ROW(),$F$6))))</f>
        <v/>
      </c>
      <c r="AB1002" s="31">
        <f>IF($AA1002="","",SUBSTITUTE(SUBSTITUTE(SUBSTITUTE(SUBSTITUTE(SUBSTITUTE(SUBSTITUTE(SUBSTITUTE(SUBSTITUTE(SUBSTITUTE($AA1002," ",""),"　",""),"(주)",""),"（주）",""),"㈜",""),"주식회사",""),"(유)",""),"（유）",""),"유한회사",""))</f>
        <v/>
      </c>
      <c r="AC1002" s="31">
        <f>IF(OR($Y1002="",N($Z1002)&lt;=0,$AB1002=""),0,IFERROR(LOOKUP(2,1/((거래처별!$AC$8:$AC$307&lt;&gt;"")*ISNUMBER(SEARCH(거래처별!$AC$8:$AC$307,$AB1002))),거래처별!$A$8:$A$307),IFERROR(LOOKUP(2,1/((거래처별!$AD$8:$AD$307&lt;&gt;"")*ISNUMBER(SEARCH(거래처별!$AD$8:$AD$307,$AB1002))),거래처별!$A$8:$A$307),IFERROR(LOOKUP(2,1/((거래처별!$AE$8:$AE$307&lt;&gt;"")*ISNUMBER(SEARCH(거래처별!$AE$8:$AE$307,$AB1002))),거래처별!$A$8:$A$307),0))))</f>
        <v/>
      </c>
      <c r="AD1002" s="31">
        <f>IF(AND($Y1002&lt;&gt;"",N($Z1002)&gt;0,$AC1002=0),MAX($AD$7:$AD1001)+1,"")</f>
        <v/>
      </c>
      <c r="AE1002" s="31">
        <f>IF($Y1002="",0,$Y1002)</f>
        <v/>
      </c>
    </row>
    <row r="1003">
      <c r="W1003" s="31">
        <f>IF(OR($B$5="",$C$6="",ROW()&lt;$B$5),"",IF(INDEX($A:$U,ROW(),$C$6)="","",INDEX($A:$U,ROW(),$C$6)))</f>
        <v/>
      </c>
      <c r="X1003" s="32">
        <f>IF($W1003="","",IF(ISNUMBER($W1003),IF($W1003&gt;=10000000,IFERROR(DATE(INT($W1003/10000),MOD(INT($W1003/100),100),MOD($W1003,100)),""),INT($W1003)),IFERROR(DATE(--LEFT(LEFT(SUBSTITUTE(SUBSTITUTE(SUBSTITUTE(SUBSTITUTE(TRIM($W1003),"-",""),".",""),"/","")," ",""),8),4),--MID(LEFT(SUBSTITUTE(SUBSTITUTE(SUBSTITUTE(SUBSTITUTE(TRIM($W1003),"-",""),".",""),"/","")," ",""),8),5,2),--MID(LEFT(SUBSTITUTE(SUBSTITUTE(SUBSTITUTE(SUBSTITUTE(TRIM($W1003),"-",""),".",""),"/","")," ",""),8),7,2)),"")))</f>
        <v/>
      </c>
      <c r="Y1003" s="32">
        <f>IF($X1003="","",INT($X1003))</f>
        <v/>
      </c>
      <c r="Z1003" s="33">
        <f>IF(OR($Y1003="",$D$6=""),"",IF(INDEX($A:$U,ROW(),$D$6)="",0,IF(ISNUMBER(INDEX($A:$U,ROW(),$D$6)),INDEX($A:$U,ROW(),$D$6),IFERROR(--SUBSTITUTE(SUBSTITUTE(TRIM(INDEX($A:$U,ROW(),$D$6)),",",""),"원",""),0))))</f>
        <v/>
      </c>
      <c r="AA1003" s="31">
        <f>IF($Y1003="","",TRIM(INDEX($A:$U,ROW(),$E$6)&amp;IF($F$6="",""," "&amp;INDEX($A:$U,ROW(),$F$6))))</f>
        <v/>
      </c>
      <c r="AB1003" s="31">
        <f>IF($AA1003="","",SUBSTITUTE(SUBSTITUTE(SUBSTITUTE(SUBSTITUTE(SUBSTITUTE(SUBSTITUTE(SUBSTITUTE(SUBSTITUTE(SUBSTITUTE($AA1003," ",""),"　",""),"(주)",""),"（주）",""),"㈜",""),"주식회사",""),"(유)",""),"（유）",""),"유한회사",""))</f>
        <v/>
      </c>
      <c r="AC1003" s="31">
        <f>IF(OR($Y1003="",N($Z1003)&lt;=0,$AB1003=""),0,IFERROR(LOOKUP(2,1/((거래처별!$AC$8:$AC$307&lt;&gt;"")*ISNUMBER(SEARCH(거래처별!$AC$8:$AC$307,$AB1003))),거래처별!$A$8:$A$307),IFERROR(LOOKUP(2,1/((거래처별!$AD$8:$AD$307&lt;&gt;"")*ISNUMBER(SEARCH(거래처별!$AD$8:$AD$307,$AB1003))),거래처별!$A$8:$A$307),IFERROR(LOOKUP(2,1/((거래처별!$AE$8:$AE$307&lt;&gt;"")*ISNUMBER(SEARCH(거래처별!$AE$8:$AE$307,$AB1003))),거래처별!$A$8:$A$307),0))))</f>
        <v/>
      </c>
      <c r="AD1003" s="31">
        <f>IF(AND($Y1003&lt;&gt;"",N($Z1003)&gt;0,$AC1003=0),MAX($AD$7:$AD1002)+1,"")</f>
        <v/>
      </c>
      <c r="AE1003" s="31">
        <f>IF($Y1003="",0,$Y1003)</f>
        <v/>
      </c>
    </row>
    <row r="1004">
      <c r="W1004" s="31">
        <f>IF(OR($B$5="",$C$6="",ROW()&lt;$B$5),"",IF(INDEX($A:$U,ROW(),$C$6)="","",INDEX($A:$U,ROW(),$C$6)))</f>
        <v/>
      </c>
      <c r="X1004" s="32">
        <f>IF($W1004="","",IF(ISNUMBER($W1004),IF($W1004&gt;=10000000,IFERROR(DATE(INT($W1004/10000),MOD(INT($W1004/100),100),MOD($W1004,100)),""),INT($W1004)),IFERROR(DATE(--LEFT(LEFT(SUBSTITUTE(SUBSTITUTE(SUBSTITUTE(SUBSTITUTE(TRIM($W1004),"-",""),".",""),"/","")," ",""),8),4),--MID(LEFT(SUBSTITUTE(SUBSTITUTE(SUBSTITUTE(SUBSTITUTE(TRIM($W1004),"-",""),".",""),"/","")," ",""),8),5,2),--MID(LEFT(SUBSTITUTE(SUBSTITUTE(SUBSTITUTE(SUBSTITUTE(TRIM($W1004),"-",""),".",""),"/","")," ",""),8),7,2)),"")))</f>
        <v/>
      </c>
      <c r="Y1004" s="32">
        <f>IF($X1004="","",INT($X1004))</f>
        <v/>
      </c>
      <c r="Z1004" s="33">
        <f>IF(OR($Y1004="",$D$6=""),"",IF(INDEX($A:$U,ROW(),$D$6)="",0,IF(ISNUMBER(INDEX($A:$U,ROW(),$D$6)),INDEX($A:$U,ROW(),$D$6),IFERROR(--SUBSTITUTE(SUBSTITUTE(TRIM(INDEX($A:$U,ROW(),$D$6)),",",""),"원",""),0))))</f>
        <v/>
      </c>
      <c r="AA1004" s="31">
        <f>IF($Y1004="","",TRIM(INDEX($A:$U,ROW(),$E$6)&amp;IF($F$6="",""," "&amp;INDEX($A:$U,ROW(),$F$6))))</f>
        <v/>
      </c>
      <c r="AB1004" s="31">
        <f>IF($AA1004="","",SUBSTITUTE(SUBSTITUTE(SUBSTITUTE(SUBSTITUTE(SUBSTITUTE(SUBSTITUTE(SUBSTITUTE(SUBSTITUTE(SUBSTITUTE($AA1004," ",""),"　",""),"(주)",""),"（주）",""),"㈜",""),"주식회사",""),"(유)",""),"（유）",""),"유한회사",""))</f>
        <v/>
      </c>
      <c r="AC1004" s="31">
        <f>IF(OR($Y1004="",N($Z1004)&lt;=0,$AB1004=""),0,IFERROR(LOOKUP(2,1/((거래처별!$AC$8:$AC$307&lt;&gt;"")*ISNUMBER(SEARCH(거래처별!$AC$8:$AC$307,$AB1004))),거래처별!$A$8:$A$307),IFERROR(LOOKUP(2,1/((거래처별!$AD$8:$AD$307&lt;&gt;"")*ISNUMBER(SEARCH(거래처별!$AD$8:$AD$307,$AB1004))),거래처별!$A$8:$A$307),IFERROR(LOOKUP(2,1/((거래처별!$AE$8:$AE$307&lt;&gt;"")*ISNUMBER(SEARCH(거래처별!$AE$8:$AE$307,$AB1004))),거래처별!$A$8:$A$307),0))))</f>
        <v/>
      </c>
      <c r="AD1004" s="31">
        <f>IF(AND($Y1004&lt;&gt;"",N($Z1004)&gt;0,$AC1004=0),MAX($AD$7:$AD1003)+1,"")</f>
        <v/>
      </c>
      <c r="AE1004" s="31">
        <f>IF($Y1004="",0,$Y1004)</f>
        <v/>
      </c>
    </row>
    <row r="1005">
      <c r="W1005" s="31">
        <f>IF(OR($B$5="",$C$6="",ROW()&lt;$B$5),"",IF(INDEX($A:$U,ROW(),$C$6)="","",INDEX($A:$U,ROW(),$C$6)))</f>
        <v/>
      </c>
      <c r="X1005" s="32">
        <f>IF($W1005="","",IF(ISNUMBER($W1005),IF($W1005&gt;=10000000,IFERROR(DATE(INT($W1005/10000),MOD(INT($W1005/100),100),MOD($W1005,100)),""),INT($W1005)),IFERROR(DATE(--LEFT(LEFT(SUBSTITUTE(SUBSTITUTE(SUBSTITUTE(SUBSTITUTE(TRIM($W1005),"-",""),".",""),"/","")," ",""),8),4),--MID(LEFT(SUBSTITUTE(SUBSTITUTE(SUBSTITUTE(SUBSTITUTE(TRIM($W1005),"-",""),".",""),"/","")," ",""),8),5,2),--MID(LEFT(SUBSTITUTE(SUBSTITUTE(SUBSTITUTE(SUBSTITUTE(TRIM($W1005),"-",""),".",""),"/","")," ",""),8),7,2)),"")))</f>
        <v/>
      </c>
      <c r="Y1005" s="32">
        <f>IF($X1005="","",INT($X1005))</f>
        <v/>
      </c>
      <c r="Z1005" s="33">
        <f>IF(OR($Y1005="",$D$6=""),"",IF(INDEX($A:$U,ROW(),$D$6)="",0,IF(ISNUMBER(INDEX($A:$U,ROW(),$D$6)),INDEX($A:$U,ROW(),$D$6),IFERROR(--SUBSTITUTE(SUBSTITUTE(TRIM(INDEX($A:$U,ROW(),$D$6)),",",""),"원",""),0))))</f>
        <v/>
      </c>
      <c r="AA1005" s="31">
        <f>IF($Y1005="","",TRIM(INDEX($A:$U,ROW(),$E$6)&amp;IF($F$6="",""," "&amp;INDEX($A:$U,ROW(),$F$6))))</f>
        <v/>
      </c>
      <c r="AB1005" s="31">
        <f>IF($AA1005="","",SUBSTITUTE(SUBSTITUTE(SUBSTITUTE(SUBSTITUTE(SUBSTITUTE(SUBSTITUTE(SUBSTITUTE(SUBSTITUTE(SUBSTITUTE($AA1005," ",""),"　",""),"(주)",""),"（주）",""),"㈜",""),"주식회사",""),"(유)",""),"（유）",""),"유한회사",""))</f>
        <v/>
      </c>
      <c r="AC1005" s="31">
        <f>IF(OR($Y1005="",N($Z1005)&lt;=0,$AB1005=""),0,IFERROR(LOOKUP(2,1/((거래처별!$AC$8:$AC$307&lt;&gt;"")*ISNUMBER(SEARCH(거래처별!$AC$8:$AC$307,$AB1005))),거래처별!$A$8:$A$307),IFERROR(LOOKUP(2,1/((거래처별!$AD$8:$AD$307&lt;&gt;"")*ISNUMBER(SEARCH(거래처별!$AD$8:$AD$307,$AB1005))),거래처별!$A$8:$A$307),IFERROR(LOOKUP(2,1/((거래처별!$AE$8:$AE$307&lt;&gt;"")*ISNUMBER(SEARCH(거래처별!$AE$8:$AE$307,$AB1005))),거래처별!$A$8:$A$307),0))))</f>
        <v/>
      </c>
      <c r="AD1005" s="31">
        <f>IF(AND($Y1005&lt;&gt;"",N($Z1005)&gt;0,$AC1005=0),MAX($AD$7:$AD1004)+1,"")</f>
        <v/>
      </c>
      <c r="AE1005" s="31">
        <f>IF($Y1005="",0,$Y1005)</f>
        <v/>
      </c>
    </row>
    <row r="1006">
      <c r="W1006" s="31">
        <f>IF(OR($B$5="",$C$6="",ROW()&lt;$B$5),"",IF(INDEX($A:$U,ROW(),$C$6)="","",INDEX($A:$U,ROW(),$C$6)))</f>
        <v/>
      </c>
      <c r="X1006" s="32">
        <f>IF($W1006="","",IF(ISNUMBER($W1006),IF($W1006&gt;=10000000,IFERROR(DATE(INT($W1006/10000),MOD(INT($W1006/100),100),MOD($W1006,100)),""),INT($W1006)),IFERROR(DATE(--LEFT(LEFT(SUBSTITUTE(SUBSTITUTE(SUBSTITUTE(SUBSTITUTE(TRIM($W1006),"-",""),".",""),"/","")," ",""),8),4),--MID(LEFT(SUBSTITUTE(SUBSTITUTE(SUBSTITUTE(SUBSTITUTE(TRIM($W1006),"-",""),".",""),"/","")," ",""),8),5,2),--MID(LEFT(SUBSTITUTE(SUBSTITUTE(SUBSTITUTE(SUBSTITUTE(TRIM($W1006),"-",""),".",""),"/","")," ",""),8),7,2)),"")))</f>
        <v/>
      </c>
      <c r="Y1006" s="32">
        <f>IF($X1006="","",INT($X1006))</f>
        <v/>
      </c>
      <c r="Z1006" s="33">
        <f>IF(OR($Y1006="",$D$6=""),"",IF(INDEX($A:$U,ROW(),$D$6)="",0,IF(ISNUMBER(INDEX($A:$U,ROW(),$D$6)),INDEX($A:$U,ROW(),$D$6),IFERROR(--SUBSTITUTE(SUBSTITUTE(TRIM(INDEX($A:$U,ROW(),$D$6)),",",""),"원",""),0))))</f>
        <v/>
      </c>
      <c r="AA1006" s="31">
        <f>IF($Y1006="","",TRIM(INDEX($A:$U,ROW(),$E$6)&amp;IF($F$6="",""," "&amp;INDEX($A:$U,ROW(),$F$6))))</f>
        <v/>
      </c>
      <c r="AB1006" s="31">
        <f>IF($AA1006="","",SUBSTITUTE(SUBSTITUTE(SUBSTITUTE(SUBSTITUTE(SUBSTITUTE(SUBSTITUTE(SUBSTITUTE(SUBSTITUTE(SUBSTITUTE($AA1006," ",""),"　",""),"(주)",""),"（주）",""),"㈜",""),"주식회사",""),"(유)",""),"（유）",""),"유한회사",""))</f>
        <v/>
      </c>
      <c r="AC1006" s="31">
        <f>IF(OR($Y1006="",N($Z1006)&lt;=0,$AB1006=""),0,IFERROR(LOOKUP(2,1/((거래처별!$AC$8:$AC$307&lt;&gt;"")*ISNUMBER(SEARCH(거래처별!$AC$8:$AC$307,$AB1006))),거래처별!$A$8:$A$307),IFERROR(LOOKUP(2,1/((거래처별!$AD$8:$AD$307&lt;&gt;"")*ISNUMBER(SEARCH(거래처별!$AD$8:$AD$307,$AB1006))),거래처별!$A$8:$A$307),IFERROR(LOOKUP(2,1/((거래처별!$AE$8:$AE$307&lt;&gt;"")*ISNUMBER(SEARCH(거래처별!$AE$8:$AE$307,$AB1006))),거래처별!$A$8:$A$307),0))))</f>
        <v/>
      </c>
      <c r="AD1006" s="31">
        <f>IF(AND($Y1006&lt;&gt;"",N($Z1006)&gt;0,$AC1006=0),MAX($AD$7:$AD1005)+1,"")</f>
        <v/>
      </c>
      <c r="AE1006" s="31">
        <f>IF($Y1006="",0,$Y1006)</f>
        <v/>
      </c>
    </row>
    <row r="1007">
      <c r="W1007" s="31">
        <f>IF(OR($B$5="",$C$6="",ROW()&lt;$B$5),"",IF(INDEX($A:$U,ROW(),$C$6)="","",INDEX($A:$U,ROW(),$C$6)))</f>
        <v/>
      </c>
      <c r="X1007" s="32">
        <f>IF($W1007="","",IF(ISNUMBER($W1007),IF($W1007&gt;=10000000,IFERROR(DATE(INT($W1007/10000),MOD(INT($W1007/100),100),MOD($W1007,100)),""),INT($W1007)),IFERROR(DATE(--LEFT(LEFT(SUBSTITUTE(SUBSTITUTE(SUBSTITUTE(SUBSTITUTE(TRIM($W1007),"-",""),".",""),"/","")," ",""),8),4),--MID(LEFT(SUBSTITUTE(SUBSTITUTE(SUBSTITUTE(SUBSTITUTE(TRIM($W1007),"-",""),".",""),"/","")," ",""),8),5,2),--MID(LEFT(SUBSTITUTE(SUBSTITUTE(SUBSTITUTE(SUBSTITUTE(TRIM($W1007),"-",""),".",""),"/","")," ",""),8),7,2)),"")))</f>
        <v/>
      </c>
      <c r="Y1007" s="32">
        <f>IF($X1007="","",INT($X1007))</f>
        <v/>
      </c>
      <c r="Z1007" s="33">
        <f>IF(OR($Y1007="",$D$6=""),"",IF(INDEX($A:$U,ROW(),$D$6)="",0,IF(ISNUMBER(INDEX($A:$U,ROW(),$D$6)),INDEX($A:$U,ROW(),$D$6),IFERROR(--SUBSTITUTE(SUBSTITUTE(TRIM(INDEX($A:$U,ROW(),$D$6)),",",""),"원",""),0))))</f>
        <v/>
      </c>
      <c r="AA1007" s="31">
        <f>IF($Y1007="","",TRIM(INDEX($A:$U,ROW(),$E$6)&amp;IF($F$6="",""," "&amp;INDEX($A:$U,ROW(),$F$6))))</f>
        <v/>
      </c>
      <c r="AB1007" s="31">
        <f>IF($AA1007="","",SUBSTITUTE(SUBSTITUTE(SUBSTITUTE(SUBSTITUTE(SUBSTITUTE(SUBSTITUTE(SUBSTITUTE(SUBSTITUTE(SUBSTITUTE($AA1007," ",""),"　",""),"(주)",""),"（주）",""),"㈜",""),"주식회사",""),"(유)",""),"（유）",""),"유한회사",""))</f>
        <v/>
      </c>
      <c r="AC1007" s="31">
        <f>IF(OR($Y1007="",N($Z1007)&lt;=0,$AB1007=""),0,IFERROR(LOOKUP(2,1/((거래처별!$AC$8:$AC$307&lt;&gt;"")*ISNUMBER(SEARCH(거래처별!$AC$8:$AC$307,$AB1007))),거래처별!$A$8:$A$307),IFERROR(LOOKUP(2,1/((거래처별!$AD$8:$AD$307&lt;&gt;"")*ISNUMBER(SEARCH(거래처별!$AD$8:$AD$307,$AB1007))),거래처별!$A$8:$A$307),IFERROR(LOOKUP(2,1/((거래처별!$AE$8:$AE$307&lt;&gt;"")*ISNUMBER(SEARCH(거래처별!$AE$8:$AE$307,$AB1007))),거래처별!$A$8:$A$307),0))))</f>
        <v/>
      </c>
      <c r="AD1007" s="31">
        <f>IF(AND($Y1007&lt;&gt;"",N($Z1007)&gt;0,$AC1007=0),MAX($AD$7:$AD1006)+1,"")</f>
        <v/>
      </c>
      <c r="AE1007" s="31">
        <f>IF($Y1007="",0,$Y1007)</f>
        <v/>
      </c>
    </row>
    <row r="1008">
      <c r="W1008" s="31">
        <f>IF(OR($B$5="",$C$6="",ROW()&lt;$B$5),"",IF(INDEX($A:$U,ROW(),$C$6)="","",INDEX($A:$U,ROW(),$C$6)))</f>
        <v/>
      </c>
      <c r="X1008" s="32">
        <f>IF($W1008="","",IF(ISNUMBER($W1008),IF($W1008&gt;=10000000,IFERROR(DATE(INT($W1008/10000),MOD(INT($W1008/100),100),MOD($W1008,100)),""),INT($W1008)),IFERROR(DATE(--LEFT(LEFT(SUBSTITUTE(SUBSTITUTE(SUBSTITUTE(SUBSTITUTE(TRIM($W1008),"-",""),".",""),"/","")," ",""),8),4),--MID(LEFT(SUBSTITUTE(SUBSTITUTE(SUBSTITUTE(SUBSTITUTE(TRIM($W1008),"-",""),".",""),"/","")," ",""),8),5,2),--MID(LEFT(SUBSTITUTE(SUBSTITUTE(SUBSTITUTE(SUBSTITUTE(TRIM($W1008),"-",""),".",""),"/","")," ",""),8),7,2)),"")))</f>
        <v/>
      </c>
      <c r="Y1008" s="32">
        <f>IF($X1008="","",INT($X1008))</f>
        <v/>
      </c>
      <c r="Z1008" s="33">
        <f>IF(OR($Y1008="",$D$6=""),"",IF(INDEX($A:$U,ROW(),$D$6)="",0,IF(ISNUMBER(INDEX($A:$U,ROW(),$D$6)),INDEX($A:$U,ROW(),$D$6),IFERROR(--SUBSTITUTE(SUBSTITUTE(TRIM(INDEX($A:$U,ROW(),$D$6)),",",""),"원",""),0))))</f>
        <v/>
      </c>
      <c r="AA1008" s="31">
        <f>IF($Y1008="","",TRIM(INDEX($A:$U,ROW(),$E$6)&amp;IF($F$6="",""," "&amp;INDEX($A:$U,ROW(),$F$6))))</f>
        <v/>
      </c>
      <c r="AB1008" s="31">
        <f>IF($AA1008="","",SUBSTITUTE(SUBSTITUTE(SUBSTITUTE(SUBSTITUTE(SUBSTITUTE(SUBSTITUTE(SUBSTITUTE(SUBSTITUTE(SUBSTITUTE($AA1008," ",""),"　",""),"(주)",""),"（주）",""),"㈜",""),"주식회사",""),"(유)",""),"（유）",""),"유한회사",""))</f>
        <v/>
      </c>
      <c r="AC1008" s="31">
        <f>IF(OR($Y1008="",N($Z1008)&lt;=0,$AB1008=""),0,IFERROR(LOOKUP(2,1/((거래처별!$AC$8:$AC$307&lt;&gt;"")*ISNUMBER(SEARCH(거래처별!$AC$8:$AC$307,$AB1008))),거래처별!$A$8:$A$307),IFERROR(LOOKUP(2,1/((거래처별!$AD$8:$AD$307&lt;&gt;"")*ISNUMBER(SEARCH(거래처별!$AD$8:$AD$307,$AB1008))),거래처별!$A$8:$A$307),IFERROR(LOOKUP(2,1/((거래처별!$AE$8:$AE$307&lt;&gt;"")*ISNUMBER(SEARCH(거래처별!$AE$8:$AE$307,$AB1008))),거래처별!$A$8:$A$307),0))))</f>
        <v/>
      </c>
      <c r="AD1008" s="31">
        <f>IF(AND($Y1008&lt;&gt;"",N($Z1008)&gt;0,$AC1008=0),MAX($AD$7:$AD1007)+1,"")</f>
        <v/>
      </c>
      <c r="AE1008" s="31">
        <f>IF($Y1008="",0,$Y1008)</f>
        <v/>
      </c>
    </row>
    <row r="1009">
      <c r="W1009" s="31">
        <f>IF(OR($B$5="",$C$6="",ROW()&lt;$B$5),"",IF(INDEX($A:$U,ROW(),$C$6)="","",INDEX($A:$U,ROW(),$C$6)))</f>
        <v/>
      </c>
      <c r="X1009" s="32">
        <f>IF($W1009="","",IF(ISNUMBER($W1009),IF($W1009&gt;=10000000,IFERROR(DATE(INT($W1009/10000),MOD(INT($W1009/100),100),MOD($W1009,100)),""),INT($W1009)),IFERROR(DATE(--LEFT(LEFT(SUBSTITUTE(SUBSTITUTE(SUBSTITUTE(SUBSTITUTE(TRIM($W1009),"-",""),".",""),"/","")," ",""),8),4),--MID(LEFT(SUBSTITUTE(SUBSTITUTE(SUBSTITUTE(SUBSTITUTE(TRIM($W1009),"-",""),".",""),"/","")," ",""),8),5,2),--MID(LEFT(SUBSTITUTE(SUBSTITUTE(SUBSTITUTE(SUBSTITUTE(TRIM($W1009),"-",""),".",""),"/","")," ",""),8),7,2)),"")))</f>
        <v/>
      </c>
      <c r="Y1009" s="32">
        <f>IF($X1009="","",INT($X1009))</f>
        <v/>
      </c>
      <c r="Z1009" s="33">
        <f>IF(OR($Y1009="",$D$6=""),"",IF(INDEX($A:$U,ROW(),$D$6)="",0,IF(ISNUMBER(INDEX($A:$U,ROW(),$D$6)),INDEX($A:$U,ROW(),$D$6),IFERROR(--SUBSTITUTE(SUBSTITUTE(TRIM(INDEX($A:$U,ROW(),$D$6)),",",""),"원",""),0))))</f>
        <v/>
      </c>
      <c r="AA1009" s="31">
        <f>IF($Y1009="","",TRIM(INDEX($A:$U,ROW(),$E$6)&amp;IF($F$6="",""," "&amp;INDEX($A:$U,ROW(),$F$6))))</f>
        <v/>
      </c>
      <c r="AB1009" s="31">
        <f>IF($AA1009="","",SUBSTITUTE(SUBSTITUTE(SUBSTITUTE(SUBSTITUTE(SUBSTITUTE(SUBSTITUTE(SUBSTITUTE(SUBSTITUTE(SUBSTITUTE($AA1009," ",""),"　",""),"(주)",""),"（주）",""),"㈜",""),"주식회사",""),"(유)",""),"（유）",""),"유한회사",""))</f>
        <v/>
      </c>
      <c r="AC1009" s="31">
        <f>IF(OR($Y1009="",N($Z1009)&lt;=0,$AB1009=""),0,IFERROR(LOOKUP(2,1/((거래처별!$AC$8:$AC$307&lt;&gt;"")*ISNUMBER(SEARCH(거래처별!$AC$8:$AC$307,$AB1009))),거래처별!$A$8:$A$307),IFERROR(LOOKUP(2,1/((거래처별!$AD$8:$AD$307&lt;&gt;"")*ISNUMBER(SEARCH(거래처별!$AD$8:$AD$307,$AB1009))),거래처별!$A$8:$A$307),IFERROR(LOOKUP(2,1/((거래처별!$AE$8:$AE$307&lt;&gt;"")*ISNUMBER(SEARCH(거래처별!$AE$8:$AE$307,$AB1009))),거래처별!$A$8:$A$307),0))))</f>
        <v/>
      </c>
      <c r="AD1009" s="31">
        <f>IF(AND($Y1009&lt;&gt;"",N($Z1009)&gt;0,$AC1009=0),MAX($AD$7:$AD1008)+1,"")</f>
        <v/>
      </c>
      <c r="AE1009" s="31">
        <f>IF($Y1009="",0,$Y1009)</f>
        <v/>
      </c>
    </row>
    <row r="1010">
      <c r="W1010" s="31">
        <f>IF(OR($B$5="",$C$6="",ROW()&lt;$B$5),"",IF(INDEX($A:$U,ROW(),$C$6)="","",INDEX($A:$U,ROW(),$C$6)))</f>
        <v/>
      </c>
      <c r="X1010" s="32">
        <f>IF($W1010="","",IF(ISNUMBER($W1010),IF($W1010&gt;=10000000,IFERROR(DATE(INT($W1010/10000),MOD(INT($W1010/100),100),MOD($W1010,100)),""),INT($W1010)),IFERROR(DATE(--LEFT(LEFT(SUBSTITUTE(SUBSTITUTE(SUBSTITUTE(SUBSTITUTE(TRIM($W1010),"-",""),".",""),"/","")," ",""),8),4),--MID(LEFT(SUBSTITUTE(SUBSTITUTE(SUBSTITUTE(SUBSTITUTE(TRIM($W1010),"-",""),".",""),"/","")," ",""),8),5,2),--MID(LEFT(SUBSTITUTE(SUBSTITUTE(SUBSTITUTE(SUBSTITUTE(TRIM($W1010),"-",""),".",""),"/","")," ",""),8),7,2)),"")))</f>
        <v/>
      </c>
      <c r="Y1010" s="32">
        <f>IF($X1010="","",INT($X1010))</f>
        <v/>
      </c>
      <c r="Z1010" s="33">
        <f>IF(OR($Y1010="",$D$6=""),"",IF(INDEX($A:$U,ROW(),$D$6)="",0,IF(ISNUMBER(INDEX($A:$U,ROW(),$D$6)),INDEX($A:$U,ROW(),$D$6),IFERROR(--SUBSTITUTE(SUBSTITUTE(TRIM(INDEX($A:$U,ROW(),$D$6)),",",""),"원",""),0))))</f>
        <v/>
      </c>
      <c r="AA1010" s="31">
        <f>IF($Y1010="","",TRIM(INDEX($A:$U,ROW(),$E$6)&amp;IF($F$6="",""," "&amp;INDEX($A:$U,ROW(),$F$6))))</f>
        <v/>
      </c>
      <c r="AB1010" s="31">
        <f>IF($AA1010="","",SUBSTITUTE(SUBSTITUTE(SUBSTITUTE(SUBSTITUTE(SUBSTITUTE(SUBSTITUTE(SUBSTITUTE(SUBSTITUTE(SUBSTITUTE($AA1010," ",""),"　",""),"(주)",""),"（주）",""),"㈜",""),"주식회사",""),"(유)",""),"（유）",""),"유한회사",""))</f>
        <v/>
      </c>
      <c r="AC1010" s="31">
        <f>IF(OR($Y1010="",N($Z1010)&lt;=0,$AB1010=""),0,IFERROR(LOOKUP(2,1/((거래처별!$AC$8:$AC$307&lt;&gt;"")*ISNUMBER(SEARCH(거래처별!$AC$8:$AC$307,$AB1010))),거래처별!$A$8:$A$307),IFERROR(LOOKUP(2,1/((거래처별!$AD$8:$AD$307&lt;&gt;"")*ISNUMBER(SEARCH(거래처별!$AD$8:$AD$307,$AB1010))),거래처별!$A$8:$A$307),IFERROR(LOOKUP(2,1/((거래처별!$AE$8:$AE$307&lt;&gt;"")*ISNUMBER(SEARCH(거래처별!$AE$8:$AE$307,$AB1010))),거래처별!$A$8:$A$307),0))))</f>
        <v/>
      </c>
      <c r="AD1010" s="31">
        <f>IF(AND($Y1010&lt;&gt;"",N($Z1010)&gt;0,$AC1010=0),MAX($AD$7:$AD1009)+1,"")</f>
        <v/>
      </c>
      <c r="AE1010" s="31">
        <f>IF($Y1010="",0,$Y1010)</f>
        <v/>
      </c>
    </row>
    <row r="1011">
      <c r="W1011" s="31">
        <f>IF(OR($B$5="",$C$6="",ROW()&lt;$B$5),"",IF(INDEX($A:$U,ROW(),$C$6)="","",INDEX($A:$U,ROW(),$C$6)))</f>
        <v/>
      </c>
      <c r="X1011" s="32">
        <f>IF($W1011="","",IF(ISNUMBER($W1011),IF($W1011&gt;=10000000,IFERROR(DATE(INT($W1011/10000),MOD(INT($W1011/100),100),MOD($W1011,100)),""),INT($W1011)),IFERROR(DATE(--LEFT(LEFT(SUBSTITUTE(SUBSTITUTE(SUBSTITUTE(SUBSTITUTE(TRIM($W1011),"-",""),".",""),"/","")," ",""),8),4),--MID(LEFT(SUBSTITUTE(SUBSTITUTE(SUBSTITUTE(SUBSTITUTE(TRIM($W1011),"-",""),".",""),"/","")," ",""),8),5,2),--MID(LEFT(SUBSTITUTE(SUBSTITUTE(SUBSTITUTE(SUBSTITUTE(TRIM($W1011),"-",""),".",""),"/","")," ",""),8),7,2)),"")))</f>
        <v/>
      </c>
      <c r="Y1011" s="32">
        <f>IF($X1011="","",INT($X1011))</f>
        <v/>
      </c>
      <c r="Z1011" s="33">
        <f>IF(OR($Y1011="",$D$6=""),"",IF(INDEX($A:$U,ROW(),$D$6)="",0,IF(ISNUMBER(INDEX($A:$U,ROW(),$D$6)),INDEX($A:$U,ROW(),$D$6),IFERROR(--SUBSTITUTE(SUBSTITUTE(TRIM(INDEX($A:$U,ROW(),$D$6)),",",""),"원",""),0))))</f>
        <v/>
      </c>
      <c r="AA1011" s="31">
        <f>IF($Y1011="","",TRIM(INDEX($A:$U,ROW(),$E$6)&amp;IF($F$6="",""," "&amp;INDEX($A:$U,ROW(),$F$6))))</f>
        <v/>
      </c>
      <c r="AB1011" s="31">
        <f>IF($AA1011="","",SUBSTITUTE(SUBSTITUTE(SUBSTITUTE(SUBSTITUTE(SUBSTITUTE(SUBSTITUTE(SUBSTITUTE(SUBSTITUTE(SUBSTITUTE($AA1011," ",""),"　",""),"(주)",""),"（주）",""),"㈜",""),"주식회사",""),"(유)",""),"（유）",""),"유한회사",""))</f>
        <v/>
      </c>
      <c r="AC1011" s="31">
        <f>IF(OR($Y1011="",N($Z1011)&lt;=0,$AB1011=""),0,IFERROR(LOOKUP(2,1/((거래처별!$AC$8:$AC$307&lt;&gt;"")*ISNUMBER(SEARCH(거래처별!$AC$8:$AC$307,$AB1011))),거래처별!$A$8:$A$307),IFERROR(LOOKUP(2,1/((거래처별!$AD$8:$AD$307&lt;&gt;"")*ISNUMBER(SEARCH(거래처별!$AD$8:$AD$307,$AB1011))),거래처별!$A$8:$A$307),IFERROR(LOOKUP(2,1/((거래처별!$AE$8:$AE$307&lt;&gt;"")*ISNUMBER(SEARCH(거래처별!$AE$8:$AE$307,$AB1011))),거래처별!$A$8:$A$307),0))))</f>
        <v/>
      </c>
      <c r="AD1011" s="31">
        <f>IF(AND($Y1011&lt;&gt;"",N($Z1011)&gt;0,$AC1011=0),MAX($AD$7:$AD1010)+1,"")</f>
        <v/>
      </c>
      <c r="AE1011" s="31">
        <f>IF($Y1011="",0,$Y1011)</f>
        <v/>
      </c>
    </row>
    <row r="1012">
      <c r="W1012" s="31">
        <f>IF(OR($B$5="",$C$6="",ROW()&lt;$B$5),"",IF(INDEX($A:$U,ROW(),$C$6)="","",INDEX($A:$U,ROW(),$C$6)))</f>
        <v/>
      </c>
      <c r="X1012" s="32">
        <f>IF($W1012="","",IF(ISNUMBER($W1012),IF($W1012&gt;=10000000,IFERROR(DATE(INT($W1012/10000),MOD(INT($W1012/100),100),MOD($W1012,100)),""),INT($W1012)),IFERROR(DATE(--LEFT(LEFT(SUBSTITUTE(SUBSTITUTE(SUBSTITUTE(SUBSTITUTE(TRIM($W1012),"-",""),".",""),"/","")," ",""),8),4),--MID(LEFT(SUBSTITUTE(SUBSTITUTE(SUBSTITUTE(SUBSTITUTE(TRIM($W1012),"-",""),".",""),"/","")," ",""),8),5,2),--MID(LEFT(SUBSTITUTE(SUBSTITUTE(SUBSTITUTE(SUBSTITUTE(TRIM($W1012),"-",""),".",""),"/","")," ",""),8),7,2)),"")))</f>
        <v/>
      </c>
      <c r="Y1012" s="32">
        <f>IF($X1012="","",INT($X1012))</f>
        <v/>
      </c>
      <c r="Z1012" s="33">
        <f>IF(OR($Y1012="",$D$6=""),"",IF(INDEX($A:$U,ROW(),$D$6)="",0,IF(ISNUMBER(INDEX($A:$U,ROW(),$D$6)),INDEX($A:$U,ROW(),$D$6),IFERROR(--SUBSTITUTE(SUBSTITUTE(TRIM(INDEX($A:$U,ROW(),$D$6)),",",""),"원",""),0))))</f>
        <v/>
      </c>
      <c r="AA1012" s="31">
        <f>IF($Y1012="","",TRIM(INDEX($A:$U,ROW(),$E$6)&amp;IF($F$6="",""," "&amp;INDEX($A:$U,ROW(),$F$6))))</f>
        <v/>
      </c>
      <c r="AB1012" s="31">
        <f>IF($AA1012="","",SUBSTITUTE(SUBSTITUTE(SUBSTITUTE(SUBSTITUTE(SUBSTITUTE(SUBSTITUTE(SUBSTITUTE(SUBSTITUTE(SUBSTITUTE($AA1012," ",""),"　",""),"(주)",""),"（주）",""),"㈜",""),"주식회사",""),"(유)",""),"（유）",""),"유한회사",""))</f>
        <v/>
      </c>
      <c r="AC1012" s="31">
        <f>IF(OR($Y1012="",N($Z1012)&lt;=0,$AB1012=""),0,IFERROR(LOOKUP(2,1/((거래처별!$AC$8:$AC$307&lt;&gt;"")*ISNUMBER(SEARCH(거래처별!$AC$8:$AC$307,$AB1012))),거래처별!$A$8:$A$307),IFERROR(LOOKUP(2,1/((거래처별!$AD$8:$AD$307&lt;&gt;"")*ISNUMBER(SEARCH(거래처별!$AD$8:$AD$307,$AB1012))),거래처별!$A$8:$A$307),IFERROR(LOOKUP(2,1/((거래처별!$AE$8:$AE$307&lt;&gt;"")*ISNUMBER(SEARCH(거래처별!$AE$8:$AE$307,$AB1012))),거래처별!$A$8:$A$307),0))))</f>
        <v/>
      </c>
      <c r="AD1012" s="31">
        <f>IF(AND($Y1012&lt;&gt;"",N($Z1012)&gt;0,$AC1012=0),MAX($AD$7:$AD1011)+1,"")</f>
        <v/>
      </c>
      <c r="AE1012" s="31">
        <f>IF($Y1012="",0,$Y1012)</f>
        <v/>
      </c>
    </row>
    <row r="1013">
      <c r="W1013" s="31">
        <f>IF(OR($B$5="",$C$6="",ROW()&lt;$B$5),"",IF(INDEX($A:$U,ROW(),$C$6)="","",INDEX($A:$U,ROW(),$C$6)))</f>
        <v/>
      </c>
      <c r="X1013" s="32">
        <f>IF($W1013="","",IF(ISNUMBER($W1013),IF($W1013&gt;=10000000,IFERROR(DATE(INT($W1013/10000),MOD(INT($W1013/100),100),MOD($W1013,100)),""),INT($W1013)),IFERROR(DATE(--LEFT(LEFT(SUBSTITUTE(SUBSTITUTE(SUBSTITUTE(SUBSTITUTE(TRIM($W1013),"-",""),".",""),"/","")," ",""),8),4),--MID(LEFT(SUBSTITUTE(SUBSTITUTE(SUBSTITUTE(SUBSTITUTE(TRIM($W1013),"-",""),".",""),"/","")," ",""),8),5,2),--MID(LEFT(SUBSTITUTE(SUBSTITUTE(SUBSTITUTE(SUBSTITUTE(TRIM($W1013),"-",""),".",""),"/","")," ",""),8),7,2)),"")))</f>
        <v/>
      </c>
      <c r="Y1013" s="32">
        <f>IF($X1013="","",INT($X1013))</f>
        <v/>
      </c>
      <c r="Z1013" s="33">
        <f>IF(OR($Y1013="",$D$6=""),"",IF(INDEX($A:$U,ROW(),$D$6)="",0,IF(ISNUMBER(INDEX($A:$U,ROW(),$D$6)),INDEX($A:$U,ROW(),$D$6),IFERROR(--SUBSTITUTE(SUBSTITUTE(TRIM(INDEX($A:$U,ROW(),$D$6)),",",""),"원",""),0))))</f>
        <v/>
      </c>
      <c r="AA1013" s="31">
        <f>IF($Y1013="","",TRIM(INDEX($A:$U,ROW(),$E$6)&amp;IF($F$6="",""," "&amp;INDEX($A:$U,ROW(),$F$6))))</f>
        <v/>
      </c>
      <c r="AB1013" s="31">
        <f>IF($AA1013="","",SUBSTITUTE(SUBSTITUTE(SUBSTITUTE(SUBSTITUTE(SUBSTITUTE(SUBSTITUTE(SUBSTITUTE(SUBSTITUTE(SUBSTITUTE($AA1013," ",""),"　",""),"(주)",""),"（주）",""),"㈜",""),"주식회사",""),"(유)",""),"（유）",""),"유한회사",""))</f>
        <v/>
      </c>
      <c r="AC1013" s="31">
        <f>IF(OR($Y1013="",N($Z1013)&lt;=0,$AB1013=""),0,IFERROR(LOOKUP(2,1/((거래처별!$AC$8:$AC$307&lt;&gt;"")*ISNUMBER(SEARCH(거래처별!$AC$8:$AC$307,$AB1013))),거래처별!$A$8:$A$307),IFERROR(LOOKUP(2,1/((거래처별!$AD$8:$AD$307&lt;&gt;"")*ISNUMBER(SEARCH(거래처별!$AD$8:$AD$307,$AB1013))),거래처별!$A$8:$A$307),IFERROR(LOOKUP(2,1/((거래처별!$AE$8:$AE$307&lt;&gt;"")*ISNUMBER(SEARCH(거래처별!$AE$8:$AE$307,$AB1013))),거래처별!$A$8:$A$307),0))))</f>
        <v/>
      </c>
      <c r="AD1013" s="31">
        <f>IF(AND($Y1013&lt;&gt;"",N($Z1013)&gt;0,$AC1013=0),MAX($AD$7:$AD1012)+1,"")</f>
        <v/>
      </c>
      <c r="AE1013" s="31">
        <f>IF($Y1013="",0,$Y1013)</f>
        <v/>
      </c>
    </row>
    <row r="1014">
      <c r="W1014" s="31">
        <f>IF(OR($B$5="",$C$6="",ROW()&lt;$B$5),"",IF(INDEX($A:$U,ROW(),$C$6)="","",INDEX($A:$U,ROW(),$C$6)))</f>
        <v/>
      </c>
      <c r="X1014" s="32">
        <f>IF($W1014="","",IF(ISNUMBER($W1014),IF($W1014&gt;=10000000,IFERROR(DATE(INT($W1014/10000),MOD(INT($W1014/100),100),MOD($W1014,100)),""),INT($W1014)),IFERROR(DATE(--LEFT(LEFT(SUBSTITUTE(SUBSTITUTE(SUBSTITUTE(SUBSTITUTE(TRIM($W1014),"-",""),".",""),"/","")," ",""),8),4),--MID(LEFT(SUBSTITUTE(SUBSTITUTE(SUBSTITUTE(SUBSTITUTE(TRIM($W1014),"-",""),".",""),"/","")," ",""),8),5,2),--MID(LEFT(SUBSTITUTE(SUBSTITUTE(SUBSTITUTE(SUBSTITUTE(TRIM($W1014),"-",""),".",""),"/","")," ",""),8),7,2)),"")))</f>
        <v/>
      </c>
      <c r="Y1014" s="32">
        <f>IF($X1014="","",INT($X1014))</f>
        <v/>
      </c>
      <c r="Z1014" s="33">
        <f>IF(OR($Y1014="",$D$6=""),"",IF(INDEX($A:$U,ROW(),$D$6)="",0,IF(ISNUMBER(INDEX($A:$U,ROW(),$D$6)),INDEX($A:$U,ROW(),$D$6),IFERROR(--SUBSTITUTE(SUBSTITUTE(TRIM(INDEX($A:$U,ROW(),$D$6)),",",""),"원",""),0))))</f>
        <v/>
      </c>
      <c r="AA1014" s="31">
        <f>IF($Y1014="","",TRIM(INDEX($A:$U,ROW(),$E$6)&amp;IF($F$6="",""," "&amp;INDEX($A:$U,ROW(),$F$6))))</f>
        <v/>
      </c>
      <c r="AB1014" s="31">
        <f>IF($AA1014="","",SUBSTITUTE(SUBSTITUTE(SUBSTITUTE(SUBSTITUTE(SUBSTITUTE(SUBSTITUTE(SUBSTITUTE(SUBSTITUTE(SUBSTITUTE($AA1014," ",""),"　",""),"(주)",""),"（주）",""),"㈜",""),"주식회사",""),"(유)",""),"（유）",""),"유한회사",""))</f>
        <v/>
      </c>
      <c r="AC1014" s="31">
        <f>IF(OR($Y1014="",N($Z1014)&lt;=0,$AB1014=""),0,IFERROR(LOOKUP(2,1/((거래처별!$AC$8:$AC$307&lt;&gt;"")*ISNUMBER(SEARCH(거래처별!$AC$8:$AC$307,$AB1014))),거래처별!$A$8:$A$307),IFERROR(LOOKUP(2,1/((거래처별!$AD$8:$AD$307&lt;&gt;"")*ISNUMBER(SEARCH(거래처별!$AD$8:$AD$307,$AB1014))),거래처별!$A$8:$A$307),IFERROR(LOOKUP(2,1/((거래처별!$AE$8:$AE$307&lt;&gt;"")*ISNUMBER(SEARCH(거래처별!$AE$8:$AE$307,$AB1014))),거래처별!$A$8:$A$307),0))))</f>
        <v/>
      </c>
      <c r="AD1014" s="31">
        <f>IF(AND($Y1014&lt;&gt;"",N($Z1014)&gt;0,$AC1014=0),MAX($AD$7:$AD1013)+1,"")</f>
        <v/>
      </c>
      <c r="AE1014" s="31">
        <f>IF($Y1014="",0,$Y1014)</f>
        <v/>
      </c>
    </row>
    <row r="1015">
      <c r="W1015" s="31">
        <f>IF(OR($B$5="",$C$6="",ROW()&lt;$B$5),"",IF(INDEX($A:$U,ROW(),$C$6)="","",INDEX($A:$U,ROW(),$C$6)))</f>
        <v/>
      </c>
      <c r="X1015" s="32">
        <f>IF($W1015="","",IF(ISNUMBER($W1015),IF($W1015&gt;=10000000,IFERROR(DATE(INT($W1015/10000),MOD(INT($W1015/100),100),MOD($W1015,100)),""),INT($W1015)),IFERROR(DATE(--LEFT(LEFT(SUBSTITUTE(SUBSTITUTE(SUBSTITUTE(SUBSTITUTE(TRIM($W1015),"-",""),".",""),"/","")," ",""),8),4),--MID(LEFT(SUBSTITUTE(SUBSTITUTE(SUBSTITUTE(SUBSTITUTE(TRIM($W1015),"-",""),".",""),"/","")," ",""),8),5,2),--MID(LEFT(SUBSTITUTE(SUBSTITUTE(SUBSTITUTE(SUBSTITUTE(TRIM($W1015),"-",""),".",""),"/","")," ",""),8),7,2)),"")))</f>
        <v/>
      </c>
      <c r="Y1015" s="32">
        <f>IF($X1015="","",INT($X1015))</f>
        <v/>
      </c>
      <c r="Z1015" s="33">
        <f>IF(OR($Y1015="",$D$6=""),"",IF(INDEX($A:$U,ROW(),$D$6)="",0,IF(ISNUMBER(INDEX($A:$U,ROW(),$D$6)),INDEX($A:$U,ROW(),$D$6),IFERROR(--SUBSTITUTE(SUBSTITUTE(TRIM(INDEX($A:$U,ROW(),$D$6)),",",""),"원",""),0))))</f>
        <v/>
      </c>
      <c r="AA1015" s="31">
        <f>IF($Y1015="","",TRIM(INDEX($A:$U,ROW(),$E$6)&amp;IF($F$6="",""," "&amp;INDEX($A:$U,ROW(),$F$6))))</f>
        <v/>
      </c>
      <c r="AB1015" s="31">
        <f>IF($AA1015="","",SUBSTITUTE(SUBSTITUTE(SUBSTITUTE(SUBSTITUTE(SUBSTITUTE(SUBSTITUTE(SUBSTITUTE(SUBSTITUTE(SUBSTITUTE($AA1015," ",""),"　",""),"(주)",""),"（주）",""),"㈜",""),"주식회사",""),"(유)",""),"（유）",""),"유한회사",""))</f>
        <v/>
      </c>
      <c r="AC1015" s="31">
        <f>IF(OR($Y1015="",N($Z1015)&lt;=0,$AB1015=""),0,IFERROR(LOOKUP(2,1/((거래처별!$AC$8:$AC$307&lt;&gt;"")*ISNUMBER(SEARCH(거래처별!$AC$8:$AC$307,$AB1015))),거래처별!$A$8:$A$307),IFERROR(LOOKUP(2,1/((거래처별!$AD$8:$AD$307&lt;&gt;"")*ISNUMBER(SEARCH(거래처별!$AD$8:$AD$307,$AB1015))),거래처별!$A$8:$A$307),IFERROR(LOOKUP(2,1/((거래처별!$AE$8:$AE$307&lt;&gt;"")*ISNUMBER(SEARCH(거래처별!$AE$8:$AE$307,$AB1015))),거래처별!$A$8:$A$307),0))))</f>
        <v/>
      </c>
      <c r="AD1015" s="31">
        <f>IF(AND($Y1015&lt;&gt;"",N($Z1015)&gt;0,$AC1015=0),MAX($AD$7:$AD1014)+1,"")</f>
        <v/>
      </c>
      <c r="AE1015" s="31">
        <f>IF($Y1015="",0,$Y1015)</f>
        <v/>
      </c>
    </row>
    <row r="1016">
      <c r="W1016" s="31">
        <f>IF(OR($B$5="",$C$6="",ROW()&lt;$B$5),"",IF(INDEX($A:$U,ROW(),$C$6)="","",INDEX($A:$U,ROW(),$C$6)))</f>
        <v/>
      </c>
      <c r="X1016" s="32">
        <f>IF($W1016="","",IF(ISNUMBER($W1016),IF($W1016&gt;=10000000,IFERROR(DATE(INT($W1016/10000),MOD(INT($W1016/100),100),MOD($W1016,100)),""),INT($W1016)),IFERROR(DATE(--LEFT(LEFT(SUBSTITUTE(SUBSTITUTE(SUBSTITUTE(SUBSTITUTE(TRIM($W1016),"-",""),".",""),"/","")," ",""),8),4),--MID(LEFT(SUBSTITUTE(SUBSTITUTE(SUBSTITUTE(SUBSTITUTE(TRIM($W1016),"-",""),".",""),"/","")," ",""),8),5,2),--MID(LEFT(SUBSTITUTE(SUBSTITUTE(SUBSTITUTE(SUBSTITUTE(TRIM($W1016),"-",""),".",""),"/","")," ",""),8),7,2)),"")))</f>
        <v/>
      </c>
      <c r="Y1016" s="32">
        <f>IF($X1016="","",INT($X1016))</f>
        <v/>
      </c>
      <c r="Z1016" s="33">
        <f>IF(OR($Y1016="",$D$6=""),"",IF(INDEX($A:$U,ROW(),$D$6)="",0,IF(ISNUMBER(INDEX($A:$U,ROW(),$D$6)),INDEX($A:$U,ROW(),$D$6),IFERROR(--SUBSTITUTE(SUBSTITUTE(TRIM(INDEX($A:$U,ROW(),$D$6)),",",""),"원",""),0))))</f>
        <v/>
      </c>
      <c r="AA1016" s="31">
        <f>IF($Y1016="","",TRIM(INDEX($A:$U,ROW(),$E$6)&amp;IF($F$6="",""," "&amp;INDEX($A:$U,ROW(),$F$6))))</f>
        <v/>
      </c>
      <c r="AB1016" s="31">
        <f>IF($AA1016="","",SUBSTITUTE(SUBSTITUTE(SUBSTITUTE(SUBSTITUTE(SUBSTITUTE(SUBSTITUTE(SUBSTITUTE(SUBSTITUTE(SUBSTITUTE($AA1016," ",""),"　",""),"(주)",""),"（주）",""),"㈜",""),"주식회사",""),"(유)",""),"（유）",""),"유한회사",""))</f>
        <v/>
      </c>
      <c r="AC1016" s="31">
        <f>IF(OR($Y1016="",N($Z1016)&lt;=0,$AB1016=""),0,IFERROR(LOOKUP(2,1/((거래처별!$AC$8:$AC$307&lt;&gt;"")*ISNUMBER(SEARCH(거래처별!$AC$8:$AC$307,$AB1016))),거래처별!$A$8:$A$307),IFERROR(LOOKUP(2,1/((거래처별!$AD$8:$AD$307&lt;&gt;"")*ISNUMBER(SEARCH(거래처별!$AD$8:$AD$307,$AB1016))),거래처별!$A$8:$A$307),IFERROR(LOOKUP(2,1/((거래처별!$AE$8:$AE$307&lt;&gt;"")*ISNUMBER(SEARCH(거래처별!$AE$8:$AE$307,$AB1016))),거래처별!$A$8:$A$307),0))))</f>
        <v/>
      </c>
      <c r="AD1016" s="31">
        <f>IF(AND($Y1016&lt;&gt;"",N($Z1016)&gt;0,$AC1016=0),MAX($AD$7:$AD1015)+1,"")</f>
        <v/>
      </c>
      <c r="AE1016" s="31">
        <f>IF($Y1016="",0,$Y1016)</f>
        <v/>
      </c>
    </row>
    <row r="1017">
      <c r="W1017" s="31">
        <f>IF(OR($B$5="",$C$6="",ROW()&lt;$B$5),"",IF(INDEX($A:$U,ROW(),$C$6)="","",INDEX($A:$U,ROW(),$C$6)))</f>
        <v/>
      </c>
      <c r="X1017" s="32">
        <f>IF($W1017="","",IF(ISNUMBER($W1017),IF($W1017&gt;=10000000,IFERROR(DATE(INT($W1017/10000),MOD(INT($W1017/100),100),MOD($W1017,100)),""),INT($W1017)),IFERROR(DATE(--LEFT(LEFT(SUBSTITUTE(SUBSTITUTE(SUBSTITUTE(SUBSTITUTE(TRIM($W1017),"-",""),".",""),"/","")," ",""),8),4),--MID(LEFT(SUBSTITUTE(SUBSTITUTE(SUBSTITUTE(SUBSTITUTE(TRIM($W1017),"-",""),".",""),"/","")," ",""),8),5,2),--MID(LEFT(SUBSTITUTE(SUBSTITUTE(SUBSTITUTE(SUBSTITUTE(TRIM($W1017),"-",""),".",""),"/","")," ",""),8),7,2)),"")))</f>
        <v/>
      </c>
      <c r="Y1017" s="32">
        <f>IF($X1017="","",INT($X1017))</f>
        <v/>
      </c>
      <c r="Z1017" s="33">
        <f>IF(OR($Y1017="",$D$6=""),"",IF(INDEX($A:$U,ROW(),$D$6)="",0,IF(ISNUMBER(INDEX($A:$U,ROW(),$D$6)),INDEX($A:$U,ROW(),$D$6),IFERROR(--SUBSTITUTE(SUBSTITUTE(TRIM(INDEX($A:$U,ROW(),$D$6)),",",""),"원",""),0))))</f>
        <v/>
      </c>
      <c r="AA1017" s="31">
        <f>IF($Y1017="","",TRIM(INDEX($A:$U,ROW(),$E$6)&amp;IF($F$6="",""," "&amp;INDEX($A:$U,ROW(),$F$6))))</f>
        <v/>
      </c>
      <c r="AB1017" s="31">
        <f>IF($AA1017="","",SUBSTITUTE(SUBSTITUTE(SUBSTITUTE(SUBSTITUTE(SUBSTITUTE(SUBSTITUTE(SUBSTITUTE(SUBSTITUTE(SUBSTITUTE($AA1017," ",""),"　",""),"(주)",""),"（주）",""),"㈜",""),"주식회사",""),"(유)",""),"（유）",""),"유한회사",""))</f>
        <v/>
      </c>
      <c r="AC1017" s="31">
        <f>IF(OR($Y1017="",N($Z1017)&lt;=0,$AB1017=""),0,IFERROR(LOOKUP(2,1/((거래처별!$AC$8:$AC$307&lt;&gt;"")*ISNUMBER(SEARCH(거래처별!$AC$8:$AC$307,$AB1017))),거래처별!$A$8:$A$307),IFERROR(LOOKUP(2,1/((거래처별!$AD$8:$AD$307&lt;&gt;"")*ISNUMBER(SEARCH(거래처별!$AD$8:$AD$307,$AB1017))),거래처별!$A$8:$A$307),IFERROR(LOOKUP(2,1/((거래처별!$AE$8:$AE$307&lt;&gt;"")*ISNUMBER(SEARCH(거래처별!$AE$8:$AE$307,$AB1017))),거래처별!$A$8:$A$307),0))))</f>
        <v/>
      </c>
      <c r="AD1017" s="31">
        <f>IF(AND($Y1017&lt;&gt;"",N($Z1017)&gt;0,$AC1017=0),MAX($AD$7:$AD1016)+1,"")</f>
        <v/>
      </c>
      <c r="AE1017" s="31">
        <f>IF($Y1017="",0,$Y1017)</f>
        <v/>
      </c>
    </row>
    <row r="1018">
      <c r="W1018" s="31">
        <f>IF(OR($B$5="",$C$6="",ROW()&lt;$B$5),"",IF(INDEX($A:$U,ROW(),$C$6)="","",INDEX($A:$U,ROW(),$C$6)))</f>
        <v/>
      </c>
      <c r="X1018" s="32">
        <f>IF($W1018="","",IF(ISNUMBER($W1018),IF($W1018&gt;=10000000,IFERROR(DATE(INT($W1018/10000),MOD(INT($W1018/100),100),MOD($W1018,100)),""),INT($W1018)),IFERROR(DATE(--LEFT(LEFT(SUBSTITUTE(SUBSTITUTE(SUBSTITUTE(SUBSTITUTE(TRIM($W1018),"-",""),".",""),"/","")," ",""),8),4),--MID(LEFT(SUBSTITUTE(SUBSTITUTE(SUBSTITUTE(SUBSTITUTE(TRIM($W1018),"-",""),".",""),"/","")," ",""),8),5,2),--MID(LEFT(SUBSTITUTE(SUBSTITUTE(SUBSTITUTE(SUBSTITUTE(TRIM($W1018),"-",""),".",""),"/","")," ",""),8),7,2)),"")))</f>
        <v/>
      </c>
      <c r="Y1018" s="32">
        <f>IF($X1018="","",INT($X1018))</f>
        <v/>
      </c>
      <c r="Z1018" s="33">
        <f>IF(OR($Y1018="",$D$6=""),"",IF(INDEX($A:$U,ROW(),$D$6)="",0,IF(ISNUMBER(INDEX($A:$U,ROW(),$D$6)),INDEX($A:$U,ROW(),$D$6),IFERROR(--SUBSTITUTE(SUBSTITUTE(TRIM(INDEX($A:$U,ROW(),$D$6)),",",""),"원",""),0))))</f>
        <v/>
      </c>
      <c r="AA1018" s="31">
        <f>IF($Y1018="","",TRIM(INDEX($A:$U,ROW(),$E$6)&amp;IF($F$6="",""," "&amp;INDEX($A:$U,ROW(),$F$6))))</f>
        <v/>
      </c>
      <c r="AB1018" s="31">
        <f>IF($AA1018="","",SUBSTITUTE(SUBSTITUTE(SUBSTITUTE(SUBSTITUTE(SUBSTITUTE(SUBSTITUTE(SUBSTITUTE(SUBSTITUTE(SUBSTITUTE($AA1018," ",""),"　",""),"(주)",""),"（주）",""),"㈜",""),"주식회사",""),"(유)",""),"（유）",""),"유한회사",""))</f>
        <v/>
      </c>
      <c r="AC1018" s="31">
        <f>IF(OR($Y1018="",N($Z1018)&lt;=0,$AB1018=""),0,IFERROR(LOOKUP(2,1/((거래처별!$AC$8:$AC$307&lt;&gt;"")*ISNUMBER(SEARCH(거래처별!$AC$8:$AC$307,$AB1018))),거래처별!$A$8:$A$307),IFERROR(LOOKUP(2,1/((거래처별!$AD$8:$AD$307&lt;&gt;"")*ISNUMBER(SEARCH(거래처별!$AD$8:$AD$307,$AB1018))),거래처별!$A$8:$A$307),IFERROR(LOOKUP(2,1/((거래처별!$AE$8:$AE$307&lt;&gt;"")*ISNUMBER(SEARCH(거래처별!$AE$8:$AE$307,$AB1018))),거래처별!$A$8:$A$307),0))))</f>
        <v/>
      </c>
      <c r="AD1018" s="31">
        <f>IF(AND($Y1018&lt;&gt;"",N($Z1018)&gt;0,$AC1018=0),MAX($AD$7:$AD1017)+1,"")</f>
        <v/>
      </c>
      <c r="AE1018" s="31">
        <f>IF($Y1018="",0,$Y1018)</f>
        <v/>
      </c>
    </row>
    <row r="1019">
      <c r="W1019" s="31">
        <f>IF(OR($B$5="",$C$6="",ROW()&lt;$B$5),"",IF(INDEX($A:$U,ROW(),$C$6)="","",INDEX($A:$U,ROW(),$C$6)))</f>
        <v/>
      </c>
      <c r="X1019" s="32">
        <f>IF($W1019="","",IF(ISNUMBER($W1019),IF($W1019&gt;=10000000,IFERROR(DATE(INT($W1019/10000),MOD(INT($W1019/100),100),MOD($W1019,100)),""),INT($W1019)),IFERROR(DATE(--LEFT(LEFT(SUBSTITUTE(SUBSTITUTE(SUBSTITUTE(SUBSTITUTE(TRIM($W1019),"-",""),".",""),"/","")," ",""),8),4),--MID(LEFT(SUBSTITUTE(SUBSTITUTE(SUBSTITUTE(SUBSTITUTE(TRIM($W1019),"-",""),".",""),"/","")," ",""),8),5,2),--MID(LEFT(SUBSTITUTE(SUBSTITUTE(SUBSTITUTE(SUBSTITUTE(TRIM($W1019),"-",""),".",""),"/","")," ",""),8),7,2)),"")))</f>
        <v/>
      </c>
      <c r="Y1019" s="32">
        <f>IF($X1019="","",INT($X1019))</f>
        <v/>
      </c>
      <c r="Z1019" s="33">
        <f>IF(OR($Y1019="",$D$6=""),"",IF(INDEX($A:$U,ROW(),$D$6)="",0,IF(ISNUMBER(INDEX($A:$U,ROW(),$D$6)),INDEX($A:$U,ROW(),$D$6),IFERROR(--SUBSTITUTE(SUBSTITUTE(TRIM(INDEX($A:$U,ROW(),$D$6)),",",""),"원",""),0))))</f>
        <v/>
      </c>
      <c r="AA1019" s="31">
        <f>IF($Y1019="","",TRIM(INDEX($A:$U,ROW(),$E$6)&amp;IF($F$6="",""," "&amp;INDEX($A:$U,ROW(),$F$6))))</f>
        <v/>
      </c>
      <c r="AB1019" s="31">
        <f>IF($AA1019="","",SUBSTITUTE(SUBSTITUTE(SUBSTITUTE(SUBSTITUTE(SUBSTITUTE(SUBSTITUTE(SUBSTITUTE(SUBSTITUTE(SUBSTITUTE($AA1019," ",""),"　",""),"(주)",""),"（주）",""),"㈜",""),"주식회사",""),"(유)",""),"（유）",""),"유한회사",""))</f>
        <v/>
      </c>
      <c r="AC1019" s="31">
        <f>IF(OR($Y1019="",N($Z1019)&lt;=0,$AB1019=""),0,IFERROR(LOOKUP(2,1/((거래처별!$AC$8:$AC$307&lt;&gt;"")*ISNUMBER(SEARCH(거래처별!$AC$8:$AC$307,$AB1019))),거래처별!$A$8:$A$307),IFERROR(LOOKUP(2,1/((거래처별!$AD$8:$AD$307&lt;&gt;"")*ISNUMBER(SEARCH(거래처별!$AD$8:$AD$307,$AB1019))),거래처별!$A$8:$A$307),IFERROR(LOOKUP(2,1/((거래처별!$AE$8:$AE$307&lt;&gt;"")*ISNUMBER(SEARCH(거래처별!$AE$8:$AE$307,$AB1019))),거래처별!$A$8:$A$307),0))))</f>
        <v/>
      </c>
      <c r="AD1019" s="31">
        <f>IF(AND($Y1019&lt;&gt;"",N($Z1019)&gt;0,$AC1019=0),MAX($AD$7:$AD1018)+1,"")</f>
        <v/>
      </c>
      <c r="AE1019" s="31">
        <f>IF($Y1019="",0,$Y1019)</f>
        <v/>
      </c>
    </row>
    <row r="1020">
      <c r="W1020" s="31">
        <f>IF(OR($B$5="",$C$6="",ROW()&lt;$B$5),"",IF(INDEX($A:$U,ROW(),$C$6)="","",INDEX($A:$U,ROW(),$C$6)))</f>
        <v/>
      </c>
      <c r="X1020" s="32">
        <f>IF($W1020="","",IF(ISNUMBER($W1020),IF($W1020&gt;=10000000,IFERROR(DATE(INT($W1020/10000),MOD(INT($W1020/100),100),MOD($W1020,100)),""),INT($W1020)),IFERROR(DATE(--LEFT(LEFT(SUBSTITUTE(SUBSTITUTE(SUBSTITUTE(SUBSTITUTE(TRIM($W1020),"-",""),".",""),"/","")," ",""),8),4),--MID(LEFT(SUBSTITUTE(SUBSTITUTE(SUBSTITUTE(SUBSTITUTE(TRIM($W1020),"-",""),".",""),"/","")," ",""),8),5,2),--MID(LEFT(SUBSTITUTE(SUBSTITUTE(SUBSTITUTE(SUBSTITUTE(TRIM($W1020),"-",""),".",""),"/","")," ",""),8),7,2)),"")))</f>
        <v/>
      </c>
      <c r="Y1020" s="32">
        <f>IF($X1020="","",INT($X1020))</f>
        <v/>
      </c>
      <c r="Z1020" s="33">
        <f>IF(OR($Y1020="",$D$6=""),"",IF(INDEX($A:$U,ROW(),$D$6)="",0,IF(ISNUMBER(INDEX($A:$U,ROW(),$D$6)),INDEX($A:$U,ROW(),$D$6),IFERROR(--SUBSTITUTE(SUBSTITUTE(TRIM(INDEX($A:$U,ROW(),$D$6)),",",""),"원",""),0))))</f>
        <v/>
      </c>
      <c r="AA1020" s="31">
        <f>IF($Y1020="","",TRIM(INDEX($A:$U,ROW(),$E$6)&amp;IF($F$6="",""," "&amp;INDEX($A:$U,ROW(),$F$6))))</f>
        <v/>
      </c>
      <c r="AB1020" s="31">
        <f>IF($AA1020="","",SUBSTITUTE(SUBSTITUTE(SUBSTITUTE(SUBSTITUTE(SUBSTITUTE(SUBSTITUTE(SUBSTITUTE(SUBSTITUTE(SUBSTITUTE($AA1020," ",""),"　",""),"(주)",""),"（주）",""),"㈜",""),"주식회사",""),"(유)",""),"（유）",""),"유한회사",""))</f>
        <v/>
      </c>
      <c r="AC1020" s="31">
        <f>IF(OR($Y1020="",N($Z1020)&lt;=0,$AB1020=""),0,IFERROR(LOOKUP(2,1/((거래처별!$AC$8:$AC$307&lt;&gt;"")*ISNUMBER(SEARCH(거래처별!$AC$8:$AC$307,$AB1020))),거래처별!$A$8:$A$307),IFERROR(LOOKUP(2,1/((거래처별!$AD$8:$AD$307&lt;&gt;"")*ISNUMBER(SEARCH(거래처별!$AD$8:$AD$307,$AB1020))),거래처별!$A$8:$A$307),IFERROR(LOOKUP(2,1/((거래처별!$AE$8:$AE$307&lt;&gt;"")*ISNUMBER(SEARCH(거래처별!$AE$8:$AE$307,$AB1020))),거래처별!$A$8:$A$307),0))))</f>
        <v/>
      </c>
      <c r="AD1020" s="31">
        <f>IF(AND($Y1020&lt;&gt;"",N($Z1020)&gt;0,$AC1020=0),MAX($AD$7:$AD1019)+1,"")</f>
        <v/>
      </c>
      <c r="AE1020" s="31">
        <f>IF($Y1020="",0,$Y1020)</f>
        <v/>
      </c>
    </row>
    <row r="1021">
      <c r="W1021" s="31">
        <f>IF(OR($B$5="",$C$6="",ROW()&lt;$B$5),"",IF(INDEX($A:$U,ROW(),$C$6)="","",INDEX($A:$U,ROW(),$C$6)))</f>
        <v/>
      </c>
      <c r="X1021" s="32">
        <f>IF($W1021="","",IF(ISNUMBER($W1021),IF($W1021&gt;=10000000,IFERROR(DATE(INT($W1021/10000),MOD(INT($W1021/100),100),MOD($W1021,100)),""),INT($W1021)),IFERROR(DATE(--LEFT(LEFT(SUBSTITUTE(SUBSTITUTE(SUBSTITUTE(SUBSTITUTE(TRIM($W1021),"-",""),".",""),"/","")," ",""),8),4),--MID(LEFT(SUBSTITUTE(SUBSTITUTE(SUBSTITUTE(SUBSTITUTE(TRIM($W1021),"-",""),".",""),"/","")," ",""),8),5,2),--MID(LEFT(SUBSTITUTE(SUBSTITUTE(SUBSTITUTE(SUBSTITUTE(TRIM($W1021),"-",""),".",""),"/","")," ",""),8),7,2)),"")))</f>
        <v/>
      </c>
      <c r="Y1021" s="32">
        <f>IF($X1021="","",INT($X1021))</f>
        <v/>
      </c>
      <c r="Z1021" s="33">
        <f>IF(OR($Y1021="",$D$6=""),"",IF(INDEX($A:$U,ROW(),$D$6)="",0,IF(ISNUMBER(INDEX($A:$U,ROW(),$D$6)),INDEX($A:$U,ROW(),$D$6),IFERROR(--SUBSTITUTE(SUBSTITUTE(TRIM(INDEX($A:$U,ROW(),$D$6)),",",""),"원",""),0))))</f>
        <v/>
      </c>
      <c r="AA1021" s="31">
        <f>IF($Y1021="","",TRIM(INDEX($A:$U,ROW(),$E$6)&amp;IF($F$6="",""," "&amp;INDEX($A:$U,ROW(),$F$6))))</f>
        <v/>
      </c>
      <c r="AB1021" s="31">
        <f>IF($AA1021="","",SUBSTITUTE(SUBSTITUTE(SUBSTITUTE(SUBSTITUTE(SUBSTITUTE(SUBSTITUTE(SUBSTITUTE(SUBSTITUTE(SUBSTITUTE($AA1021," ",""),"　",""),"(주)",""),"（주）",""),"㈜",""),"주식회사",""),"(유)",""),"（유）",""),"유한회사",""))</f>
        <v/>
      </c>
      <c r="AC1021" s="31">
        <f>IF(OR($Y1021="",N($Z1021)&lt;=0,$AB1021=""),0,IFERROR(LOOKUP(2,1/((거래처별!$AC$8:$AC$307&lt;&gt;"")*ISNUMBER(SEARCH(거래처별!$AC$8:$AC$307,$AB1021))),거래처별!$A$8:$A$307),IFERROR(LOOKUP(2,1/((거래처별!$AD$8:$AD$307&lt;&gt;"")*ISNUMBER(SEARCH(거래처별!$AD$8:$AD$307,$AB1021))),거래처별!$A$8:$A$307),IFERROR(LOOKUP(2,1/((거래처별!$AE$8:$AE$307&lt;&gt;"")*ISNUMBER(SEARCH(거래처별!$AE$8:$AE$307,$AB1021))),거래처별!$A$8:$A$307),0))))</f>
        <v/>
      </c>
      <c r="AD1021" s="31">
        <f>IF(AND($Y1021&lt;&gt;"",N($Z1021)&gt;0,$AC1021=0),MAX($AD$7:$AD1020)+1,"")</f>
        <v/>
      </c>
      <c r="AE1021" s="31">
        <f>IF($Y1021="",0,$Y1021)</f>
        <v/>
      </c>
    </row>
    <row r="1022">
      <c r="W1022" s="31">
        <f>IF(OR($B$5="",$C$6="",ROW()&lt;$B$5),"",IF(INDEX($A:$U,ROW(),$C$6)="","",INDEX($A:$U,ROW(),$C$6)))</f>
        <v/>
      </c>
      <c r="X1022" s="32">
        <f>IF($W1022="","",IF(ISNUMBER($W1022),IF($W1022&gt;=10000000,IFERROR(DATE(INT($W1022/10000),MOD(INT($W1022/100),100),MOD($W1022,100)),""),INT($W1022)),IFERROR(DATE(--LEFT(LEFT(SUBSTITUTE(SUBSTITUTE(SUBSTITUTE(SUBSTITUTE(TRIM($W1022),"-",""),".",""),"/","")," ",""),8),4),--MID(LEFT(SUBSTITUTE(SUBSTITUTE(SUBSTITUTE(SUBSTITUTE(TRIM($W1022),"-",""),".",""),"/","")," ",""),8),5,2),--MID(LEFT(SUBSTITUTE(SUBSTITUTE(SUBSTITUTE(SUBSTITUTE(TRIM($W1022),"-",""),".",""),"/","")," ",""),8),7,2)),"")))</f>
        <v/>
      </c>
      <c r="Y1022" s="32">
        <f>IF($X1022="","",INT($X1022))</f>
        <v/>
      </c>
      <c r="Z1022" s="33">
        <f>IF(OR($Y1022="",$D$6=""),"",IF(INDEX($A:$U,ROW(),$D$6)="",0,IF(ISNUMBER(INDEX($A:$U,ROW(),$D$6)),INDEX($A:$U,ROW(),$D$6),IFERROR(--SUBSTITUTE(SUBSTITUTE(TRIM(INDEX($A:$U,ROW(),$D$6)),",",""),"원",""),0))))</f>
        <v/>
      </c>
      <c r="AA1022" s="31">
        <f>IF($Y1022="","",TRIM(INDEX($A:$U,ROW(),$E$6)&amp;IF($F$6="",""," "&amp;INDEX($A:$U,ROW(),$F$6))))</f>
        <v/>
      </c>
      <c r="AB1022" s="31">
        <f>IF($AA1022="","",SUBSTITUTE(SUBSTITUTE(SUBSTITUTE(SUBSTITUTE(SUBSTITUTE(SUBSTITUTE(SUBSTITUTE(SUBSTITUTE(SUBSTITUTE($AA1022," ",""),"　",""),"(주)",""),"（주）",""),"㈜",""),"주식회사",""),"(유)",""),"（유）",""),"유한회사",""))</f>
        <v/>
      </c>
      <c r="AC1022" s="31">
        <f>IF(OR($Y1022="",N($Z1022)&lt;=0,$AB1022=""),0,IFERROR(LOOKUP(2,1/((거래처별!$AC$8:$AC$307&lt;&gt;"")*ISNUMBER(SEARCH(거래처별!$AC$8:$AC$307,$AB1022))),거래처별!$A$8:$A$307),IFERROR(LOOKUP(2,1/((거래처별!$AD$8:$AD$307&lt;&gt;"")*ISNUMBER(SEARCH(거래처별!$AD$8:$AD$307,$AB1022))),거래처별!$A$8:$A$307),IFERROR(LOOKUP(2,1/((거래처별!$AE$8:$AE$307&lt;&gt;"")*ISNUMBER(SEARCH(거래처별!$AE$8:$AE$307,$AB1022))),거래처별!$A$8:$A$307),0))))</f>
        <v/>
      </c>
      <c r="AD1022" s="31">
        <f>IF(AND($Y1022&lt;&gt;"",N($Z1022)&gt;0,$AC1022=0),MAX($AD$7:$AD1021)+1,"")</f>
        <v/>
      </c>
      <c r="AE1022" s="31">
        <f>IF($Y1022="",0,$Y1022)</f>
        <v/>
      </c>
    </row>
    <row r="1023">
      <c r="W1023" s="31">
        <f>IF(OR($B$5="",$C$6="",ROW()&lt;$B$5),"",IF(INDEX($A:$U,ROW(),$C$6)="","",INDEX($A:$U,ROW(),$C$6)))</f>
        <v/>
      </c>
      <c r="X1023" s="32">
        <f>IF($W1023="","",IF(ISNUMBER($W1023),IF($W1023&gt;=10000000,IFERROR(DATE(INT($W1023/10000),MOD(INT($W1023/100),100),MOD($W1023,100)),""),INT($W1023)),IFERROR(DATE(--LEFT(LEFT(SUBSTITUTE(SUBSTITUTE(SUBSTITUTE(SUBSTITUTE(TRIM($W1023),"-",""),".",""),"/","")," ",""),8),4),--MID(LEFT(SUBSTITUTE(SUBSTITUTE(SUBSTITUTE(SUBSTITUTE(TRIM($W1023),"-",""),".",""),"/","")," ",""),8),5,2),--MID(LEFT(SUBSTITUTE(SUBSTITUTE(SUBSTITUTE(SUBSTITUTE(TRIM($W1023),"-",""),".",""),"/","")," ",""),8),7,2)),"")))</f>
        <v/>
      </c>
      <c r="Y1023" s="32">
        <f>IF($X1023="","",INT($X1023))</f>
        <v/>
      </c>
      <c r="Z1023" s="33">
        <f>IF(OR($Y1023="",$D$6=""),"",IF(INDEX($A:$U,ROW(),$D$6)="",0,IF(ISNUMBER(INDEX($A:$U,ROW(),$D$6)),INDEX($A:$U,ROW(),$D$6),IFERROR(--SUBSTITUTE(SUBSTITUTE(TRIM(INDEX($A:$U,ROW(),$D$6)),",",""),"원",""),0))))</f>
        <v/>
      </c>
      <c r="AA1023" s="31">
        <f>IF($Y1023="","",TRIM(INDEX($A:$U,ROW(),$E$6)&amp;IF($F$6="",""," "&amp;INDEX($A:$U,ROW(),$F$6))))</f>
        <v/>
      </c>
      <c r="AB1023" s="31">
        <f>IF($AA1023="","",SUBSTITUTE(SUBSTITUTE(SUBSTITUTE(SUBSTITUTE(SUBSTITUTE(SUBSTITUTE(SUBSTITUTE(SUBSTITUTE(SUBSTITUTE($AA1023," ",""),"　",""),"(주)",""),"（주）",""),"㈜",""),"주식회사",""),"(유)",""),"（유）",""),"유한회사",""))</f>
        <v/>
      </c>
      <c r="AC1023" s="31">
        <f>IF(OR($Y1023="",N($Z1023)&lt;=0,$AB1023=""),0,IFERROR(LOOKUP(2,1/((거래처별!$AC$8:$AC$307&lt;&gt;"")*ISNUMBER(SEARCH(거래처별!$AC$8:$AC$307,$AB1023))),거래처별!$A$8:$A$307),IFERROR(LOOKUP(2,1/((거래처별!$AD$8:$AD$307&lt;&gt;"")*ISNUMBER(SEARCH(거래처별!$AD$8:$AD$307,$AB1023))),거래처별!$A$8:$A$307),IFERROR(LOOKUP(2,1/((거래처별!$AE$8:$AE$307&lt;&gt;"")*ISNUMBER(SEARCH(거래처별!$AE$8:$AE$307,$AB1023))),거래처별!$A$8:$A$307),0))))</f>
        <v/>
      </c>
      <c r="AD1023" s="31">
        <f>IF(AND($Y1023&lt;&gt;"",N($Z1023)&gt;0,$AC1023=0),MAX($AD$7:$AD1022)+1,"")</f>
        <v/>
      </c>
      <c r="AE1023" s="31">
        <f>IF($Y1023="",0,$Y1023)</f>
        <v/>
      </c>
    </row>
    <row r="1024">
      <c r="W1024" s="31">
        <f>IF(OR($B$5="",$C$6="",ROW()&lt;$B$5),"",IF(INDEX($A:$U,ROW(),$C$6)="","",INDEX($A:$U,ROW(),$C$6)))</f>
        <v/>
      </c>
      <c r="X1024" s="32">
        <f>IF($W1024="","",IF(ISNUMBER($W1024),IF($W1024&gt;=10000000,IFERROR(DATE(INT($W1024/10000),MOD(INT($W1024/100),100),MOD($W1024,100)),""),INT($W1024)),IFERROR(DATE(--LEFT(LEFT(SUBSTITUTE(SUBSTITUTE(SUBSTITUTE(SUBSTITUTE(TRIM($W1024),"-",""),".",""),"/","")," ",""),8),4),--MID(LEFT(SUBSTITUTE(SUBSTITUTE(SUBSTITUTE(SUBSTITUTE(TRIM($W1024),"-",""),".",""),"/","")," ",""),8),5,2),--MID(LEFT(SUBSTITUTE(SUBSTITUTE(SUBSTITUTE(SUBSTITUTE(TRIM($W1024),"-",""),".",""),"/","")," ",""),8),7,2)),"")))</f>
        <v/>
      </c>
      <c r="Y1024" s="32">
        <f>IF($X1024="","",INT($X1024))</f>
        <v/>
      </c>
      <c r="Z1024" s="33">
        <f>IF(OR($Y1024="",$D$6=""),"",IF(INDEX($A:$U,ROW(),$D$6)="",0,IF(ISNUMBER(INDEX($A:$U,ROW(),$D$6)),INDEX($A:$U,ROW(),$D$6),IFERROR(--SUBSTITUTE(SUBSTITUTE(TRIM(INDEX($A:$U,ROW(),$D$6)),",",""),"원",""),0))))</f>
        <v/>
      </c>
      <c r="AA1024" s="31">
        <f>IF($Y1024="","",TRIM(INDEX($A:$U,ROW(),$E$6)&amp;IF($F$6="",""," "&amp;INDEX($A:$U,ROW(),$F$6))))</f>
        <v/>
      </c>
      <c r="AB1024" s="31">
        <f>IF($AA1024="","",SUBSTITUTE(SUBSTITUTE(SUBSTITUTE(SUBSTITUTE(SUBSTITUTE(SUBSTITUTE(SUBSTITUTE(SUBSTITUTE(SUBSTITUTE($AA1024," ",""),"　",""),"(주)",""),"（주）",""),"㈜",""),"주식회사",""),"(유)",""),"（유）",""),"유한회사",""))</f>
        <v/>
      </c>
      <c r="AC1024" s="31">
        <f>IF(OR($Y1024="",N($Z1024)&lt;=0,$AB1024=""),0,IFERROR(LOOKUP(2,1/((거래처별!$AC$8:$AC$307&lt;&gt;"")*ISNUMBER(SEARCH(거래처별!$AC$8:$AC$307,$AB1024))),거래처별!$A$8:$A$307),IFERROR(LOOKUP(2,1/((거래처별!$AD$8:$AD$307&lt;&gt;"")*ISNUMBER(SEARCH(거래처별!$AD$8:$AD$307,$AB1024))),거래처별!$A$8:$A$307),IFERROR(LOOKUP(2,1/((거래처별!$AE$8:$AE$307&lt;&gt;"")*ISNUMBER(SEARCH(거래처별!$AE$8:$AE$307,$AB1024))),거래처별!$A$8:$A$307),0))))</f>
        <v/>
      </c>
      <c r="AD1024" s="31">
        <f>IF(AND($Y1024&lt;&gt;"",N($Z1024)&gt;0,$AC1024=0),MAX($AD$7:$AD1023)+1,"")</f>
        <v/>
      </c>
      <c r="AE1024" s="31">
        <f>IF($Y1024="",0,$Y1024)</f>
        <v/>
      </c>
    </row>
    <row r="1025">
      <c r="W1025" s="31">
        <f>IF(OR($B$5="",$C$6="",ROW()&lt;$B$5),"",IF(INDEX($A:$U,ROW(),$C$6)="","",INDEX($A:$U,ROW(),$C$6)))</f>
        <v/>
      </c>
      <c r="X1025" s="32">
        <f>IF($W1025="","",IF(ISNUMBER($W1025),IF($W1025&gt;=10000000,IFERROR(DATE(INT($W1025/10000),MOD(INT($W1025/100),100),MOD($W1025,100)),""),INT($W1025)),IFERROR(DATE(--LEFT(LEFT(SUBSTITUTE(SUBSTITUTE(SUBSTITUTE(SUBSTITUTE(TRIM($W1025),"-",""),".",""),"/","")," ",""),8),4),--MID(LEFT(SUBSTITUTE(SUBSTITUTE(SUBSTITUTE(SUBSTITUTE(TRIM($W1025),"-",""),".",""),"/","")," ",""),8),5,2),--MID(LEFT(SUBSTITUTE(SUBSTITUTE(SUBSTITUTE(SUBSTITUTE(TRIM($W1025),"-",""),".",""),"/","")," ",""),8),7,2)),"")))</f>
        <v/>
      </c>
      <c r="Y1025" s="32">
        <f>IF($X1025="","",INT($X1025))</f>
        <v/>
      </c>
      <c r="Z1025" s="33">
        <f>IF(OR($Y1025="",$D$6=""),"",IF(INDEX($A:$U,ROW(),$D$6)="",0,IF(ISNUMBER(INDEX($A:$U,ROW(),$D$6)),INDEX($A:$U,ROW(),$D$6),IFERROR(--SUBSTITUTE(SUBSTITUTE(TRIM(INDEX($A:$U,ROW(),$D$6)),",",""),"원",""),0))))</f>
        <v/>
      </c>
      <c r="AA1025" s="31">
        <f>IF($Y1025="","",TRIM(INDEX($A:$U,ROW(),$E$6)&amp;IF($F$6="",""," "&amp;INDEX($A:$U,ROW(),$F$6))))</f>
        <v/>
      </c>
      <c r="AB1025" s="31">
        <f>IF($AA1025="","",SUBSTITUTE(SUBSTITUTE(SUBSTITUTE(SUBSTITUTE(SUBSTITUTE(SUBSTITUTE(SUBSTITUTE(SUBSTITUTE(SUBSTITUTE($AA1025," ",""),"　",""),"(주)",""),"（주）",""),"㈜",""),"주식회사",""),"(유)",""),"（유）",""),"유한회사",""))</f>
        <v/>
      </c>
      <c r="AC1025" s="31">
        <f>IF(OR($Y1025="",N($Z1025)&lt;=0,$AB1025=""),0,IFERROR(LOOKUP(2,1/((거래처별!$AC$8:$AC$307&lt;&gt;"")*ISNUMBER(SEARCH(거래처별!$AC$8:$AC$307,$AB1025))),거래처별!$A$8:$A$307),IFERROR(LOOKUP(2,1/((거래처별!$AD$8:$AD$307&lt;&gt;"")*ISNUMBER(SEARCH(거래처별!$AD$8:$AD$307,$AB1025))),거래처별!$A$8:$A$307),IFERROR(LOOKUP(2,1/((거래처별!$AE$8:$AE$307&lt;&gt;"")*ISNUMBER(SEARCH(거래처별!$AE$8:$AE$307,$AB1025))),거래처별!$A$8:$A$307),0))))</f>
        <v/>
      </c>
      <c r="AD1025" s="31">
        <f>IF(AND($Y1025&lt;&gt;"",N($Z1025)&gt;0,$AC1025=0),MAX($AD$7:$AD1024)+1,"")</f>
        <v/>
      </c>
      <c r="AE1025" s="31">
        <f>IF($Y1025="",0,$Y1025)</f>
        <v/>
      </c>
    </row>
    <row r="1026">
      <c r="W1026" s="31">
        <f>IF(OR($B$5="",$C$6="",ROW()&lt;$B$5),"",IF(INDEX($A:$U,ROW(),$C$6)="","",INDEX($A:$U,ROW(),$C$6)))</f>
        <v/>
      </c>
      <c r="X1026" s="32">
        <f>IF($W1026="","",IF(ISNUMBER($W1026),IF($W1026&gt;=10000000,IFERROR(DATE(INT($W1026/10000),MOD(INT($W1026/100),100),MOD($W1026,100)),""),INT($W1026)),IFERROR(DATE(--LEFT(LEFT(SUBSTITUTE(SUBSTITUTE(SUBSTITUTE(SUBSTITUTE(TRIM($W1026),"-",""),".",""),"/","")," ",""),8),4),--MID(LEFT(SUBSTITUTE(SUBSTITUTE(SUBSTITUTE(SUBSTITUTE(TRIM($W1026),"-",""),".",""),"/","")," ",""),8),5,2),--MID(LEFT(SUBSTITUTE(SUBSTITUTE(SUBSTITUTE(SUBSTITUTE(TRIM($W1026),"-",""),".",""),"/","")," ",""),8),7,2)),"")))</f>
        <v/>
      </c>
      <c r="Y1026" s="32">
        <f>IF($X1026="","",INT($X1026))</f>
        <v/>
      </c>
      <c r="Z1026" s="33">
        <f>IF(OR($Y1026="",$D$6=""),"",IF(INDEX($A:$U,ROW(),$D$6)="",0,IF(ISNUMBER(INDEX($A:$U,ROW(),$D$6)),INDEX($A:$U,ROW(),$D$6),IFERROR(--SUBSTITUTE(SUBSTITUTE(TRIM(INDEX($A:$U,ROW(),$D$6)),",",""),"원",""),0))))</f>
        <v/>
      </c>
      <c r="AA1026" s="31">
        <f>IF($Y1026="","",TRIM(INDEX($A:$U,ROW(),$E$6)&amp;IF($F$6="",""," "&amp;INDEX($A:$U,ROW(),$F$6))))</f>
        <v/>
      </c>
      <c r="AB1026" s="31">
        <f>IF($AA1026="","",SUBSTITUTE(SUBSTITUTE(SUBSTITUTE(SUBSTITUTE(SUBSTITUTE(SUBSTITUTE(SUBSTITUTE(SUBSTITUTE(SUBSTITUTE($AA1026," ",""),"　",""),"(주)",""),"（주）",""),"㈜",""),"주식회사",""),"(유)",""),"（유）",""),"유한회사",""))</f>
        <v/>
      </c>
      <c r="AC1026" s="31">
        <f>IF(OR($Y1026="",N($Z1026)&lt;=0,$AB1026=""),0,IFERROR(LOOKUP(2,1/((거래처별!$AC$8:$AC$307&lt;&gt;"")*ISNUMBER(SEARCH(거래처별!$AC$8:$AC$307,$AB1026))),거래처별!$A$8:$A$307),IFERROR(LOOKUP(2,1/((거래처별!$AD$8:$AD$307&lt;&gt;"")*ISNUMBER(SEARCH(거래처별!$AD$8:$AD$307,$AB1026))),거래처별!$A$8:$A$307),IFERROR(LOOKUP(2,1/((거래처별!$AE$8:$AE$307&lt;&gt;"")*ISNUMBER(SEARCH(거래처별!$AE$8:$AE$307,$AB1026))),거래처별!$A$8:$A$307),0))))</f>
        <v/>
      </c>
      <c r="AD1026" s="31">
        <f>IF(AND($Y1026&lt;&gt;"",N($Z1026)&gt;0,$AC1026=0),MAX($AD$7:$AD1025)+1,"")</f>
        <v/>
      </c>
      <c r="AE1026" s="31">
        <f>IF($Y1026="",0,$Y1026)</f>
        <v/>
      </c>
    </row>
    <row r="1027">
      <c r="W1027" s="31">
        <f>IF(OR($B$5="",$C$6="",ROW()&lt;$B$5),"",IF(INDEX($A:$U,ROW(),$C$6)="","",INDEX($A:$U,ROW(),$C$6)))</f>
        <v/>
      </c>
      <c r="X1027" s="32">
        <f>IF($W1027="","",IF(ISNUMBER($W1027),IF($W1027&gt;=10000000,IFERROR(DATE(INT($W1027/10000),MOD(INT($W1027/100),100),MOD($W1027,100)),""),INT($W1027)),IFERROR(DATE(--LEFT(LEFT(SUBSTITUTE(SUBSTITUTE(SUBSTITUTE(SUBSTITUTE(TRIM($W1027),"-",""),".",""),"/","")," ",""),8),4),--MID(LEFT(SUBSTITUTE(SUBSTITUTE(SUBSTITUTE(SUBSTITUTE(TRIM($W1027),"-",""),".",""),"/","")," ",""),8),5,2),--MID(LEFT(SUBSTITUTE(SUBSTITUTE(SUBSTITUTE(SUBSTITUTE(TRIM($W1027),"-",""),".",""),"/","")," ",""),8),7,2)),"")))</f>
        <v/>
      </c>
      <c r="Y1027" s="32">
        <f>IF($X1027="","",INT($X1027))</f>
        <v/>
      </c>
      <c r="Z1027" s="33">
        <f>IF(OR($Y1027="",$D$6=""),"",IF(INDEX($A:$U,ROW(),$D$6)="",0,IF(ISNUMBER(INDEX($A:$U,ROW(),$D$6)),INDEX($A:$U,ROW(),$D$6),IFERROR(--SUBSTITUTE(SUBSTITUTE(TRIM(INDEX($A:$U,ROW(),$D$6)),",",""),"원",""),0))))</f>
        <v/>
      </c>
      <c r="AA1027" s="31">
        <f>IF($Y1027="","",TRIM(INDEX($A:$U,ROW(),$E$6)&amp;IF($F$6="",""," "&amp;INDEX($A:$U,ROW(),$F$6))))</f>
        <v/>
      </c>
      <c r="AB1027" s="31">
        <f>IF($AA1027="","",SUBSTITUTE(SUBSTITUTE(SUBSTITUTE(SUBSTITUTE(SUBSTITUTE(SUBSTITUTE(SUBSTITUTE(SUBSTITUTE(SUBSTITUTE($AA1027," ",""),"　",""),"(주)",""),"（주）",""),"㈜",""),"주식회사",""),"(유)",""),"（유）",""),"유한회사",""))</f>
        <v/>
      </c>
      <c r="AC1027" s="31">
        <f>IF(OR($Y1027="",N($Z1027)&lt;=0,$AB1027=""),0,IFERROR(LOOKUP(2,1/((거래처별!$AC$8:$AC$307&lt;&gt;"")*ISNUMBER(SEARCH(거래처별!$AC$8:$AC$307,$AB1027))),거래처별!$A$8:$A$307),IFERROR(LOOKUP(2,1/((거래처별!$AD$8:$AD$307&lt;&gt;"")*ISNUMBER(SEARCH(거래처별!$AD$8:$AD$307,$AB1027))),거래처별!$A$8:$A$307),IFERROR(LOOKUP(2,1/((거래처별!$AE$8:$AE$307&lt;&gt;"")*ISNUMBER(SEARCH(거래처별!$AE$8:$AE$307,$AB1027))),거래처별!$A$8:$A$307),0))))</f>
        <v/>
      </c>
      <c r="AD1027" s="31">
        <f>IF(AND($Y1027&lt;&gt;"",N($Z1027)&gt;0,$AC1027=0),MAX($AD$7:$AD1026)+1,"")</f>
        <v/>
      </c>
      <c r="AE1027" s="31">
        <f>IF($Y1027="",0,$Y1027)</f>
        <v/>
      </c>
    </row>
    <row r="1028">
      <c r="W1028" s="31">
        <f>IF(OR($B$5="",$C$6="",ROW()&lt;$B$5),"",IF(INDEX($A:$U,ROW(),$C$6)="","",INDEX($A:$U,ROW(),$C$6)))</f>
        <v/>
      </c>
      <c r="X1028" s="32">
        <f>IF($W1028="","",IF(ISNUMBER($W1028),IF($W1028&gt;=10000000,IFERROR(DATE(INT($W1028/10000),MOD(INT($W1028/100),100),MOD($W1028,100)),""),INT($W1028)),IFERROR(DATE(--LEFT(LEFT(SUBSTITUTE(SUBSTITUTE(SUBSTITUTE(SUBSTITUTE(TRIM($W1028),"-",""),".",""),"/","")," ",""),8),4),--MID(LEFT(SUBSTITUTE(SUBSTITUTE(SUBSTITUTE(SUBSTITUTE(TRIM($W1028),"-",""),".",""),"/","")," ",""),8),5,2),--MID(LEFT(SUBSTITUTE(SUBSTITUTE(SUBSTITUTE(SUBSTITUTE(TRIM($W1028),"-",""),".",""),"/","")," ",""),8),7,2)),"")))</f>
        <v/>
      </c>
      <c r="Y1028" s="32">
        <f>IF($X1028="","",INT($X1028))</f>
        <v/>
      </c>
      <c r="Z1028" s="33">
        <f>IF(OR($Y1028="",$D$6=""),"",IF(INDEX($A:$U,ROW(),$D$6)="",0,IF(ISNUMBER(INDEX($A:$U,ROW(),$D$6)),INDEX($A:$U,ROW(),$D$6),IFERROR(--SUBSTITUTE(SUBSTITUTE(TRIM(INDEX($A:$U,ROW(),$D$6)),",",""),"원",""),0))))</f>
        <v/>
      </c>
      <c r="AA1028" s="31">
        <f>IF($Y1028="","",TRIM(INDEX($A:$U,ROW(),$E$6)&amp;IF($F$6="",""," "&amp;INDEX($A:$U,ROW(),$F$6))))</f>
        <v/>
      </c>
      <c r="AB1028" s="31">
        <f>IF($AA1028="","",SUBSTITUTE(SUBSTITUTE(SUBSTITUTE(SUBSTITUTE(SUBSTITUTE(SUBSTITUTE(SUBSTITUTE(SUBSTITUTE(SUBSTITUTE($AA1028," ",""),"　",""),"(주)",""),"（주）",""),"㈜",""),"주식회사",""),"(유)",""),"（유）",""),"유한회사",""))</f>
        <v/>
      </c>
      <c r="AC1028" s="31">
        <f>IF(OR($Y1028="",N($Z1028)&lt;=0,$AB1028=""),0,IFERROR(LOOKUP(2,1/((거래처별!$AC$8:$AC$307&lt;&gt;"")*ISNUMBER(SEARCH(거래처별!$AC$8:$AC$307,$AB1028))),거래처별!$A$8:$A$307),IFERROR(LOOKUP(2,1/((거래처별!$AD$8:$AD$307&lt;&gt;"")*ISNUMBER(SEARCH(거래처별!$AD$8:$AD$307,$AB1028))),거래처별!$A$8:$A$307),IFERROR(LOOKUP(2,1/((거래처별!$AE$8:$AE$307&lt;&gt;"")*ISNUMBER(SEARCH(거래처별!$AE$8:$AE$307,$AB1028))),거래처별!$A$8:$A$307),0))))</f>
        <v/>
      </c>
      <c r="AD1028" s="31">
        <f>IF(AND($Y1028&lt;&gt;"",N($Z1028)&gt;0,$AC1028=0),MAX($AD$7:$AD1027)+1,"")</f>
        <v/>
      </c>
      <c r="AE1028" s="31">
        <f>IF($Y1028="",0,$Y1028)</f>
        <v/>
      </c>
    </row>
    <row r="1029">
      <c r="W1029" s="31">
        <f>IF(OR($B$5="",$C$6="",ROW()&lt;$B$5),"",IF(INDEX($A:$U,ROW(),$C$6)="","",INDEX($A:$U,ROW(),$C$6)))</f>
        <v/>
      </c>
      <c r="X1029" s="32">
        <f>IF($W1029="","",IF(ISNUMBER($W1029),IF($W1029&gt;=10000000,IFERROR(DATE(INT($W1029/10000),MOD(INT($W1029/100),100),MOD($W1029,100)),""),INT($W1029)),IFERROR(DATE(--LEFT(LEFT(SUBSTITUTE(SUBSTITUTE(SUBSTITUTE(SUBSTITUTE(TRIM($W1029),"-",""),".",""),"/","")," ",""),8),4),--MID(LEFT(SUBSTITUTE(SUBSTITUTE(SUBSTITUTE(SUBSTITUTE(TRIM($W1029),"-",""),".",""),"/","")," ",""),8),5,2),--MID(LEFT(SUBSTITUTE(SUBSTITUTE(SUBSTITUTE(SUBSTITUTE(TRIM($W1029),"-",""),".",""),"/","")," ",""),8),7,2)),"")))</f>
        <v/>
      </c>
      <c r="Y1029" s="32">
        <f>IF($X1029="","",INT($X1029))</f>
        <v/>
      </c>
      <c r="Z1029" s="33">
        <f>IF(OR($Y1029="",$D$6=""),"",IF(INDEX($A:$U,ROW(),$D$6)="",0,IF(ISNUMBER(INDEX($A:$U,ROW(),$D$6)),INDEX($A:$U,ROW(),$D$6),IFERROR(--SUBSTITUTE(SUBSTITUTE(TRIM(INDEX($A:$U,ROW(),$D$6)),",",""),"원",""),0))))</f>
        <v/>
      </c>
      <c r="AA1029" s="31">
        <f>IF($Y1029="","",TRIM(INDEX($A:$U,ROW(),$E$6)&amp;IF($F$6="",""," "&amp;INDEX($A:$U,ROW(),$F$6))))</f>
        <v/>
      </c>
      <c r="AB1029" s="31">
        <f>IF($AA1029="","",SUBSTITUTE(SUBSTITUTE(SUBSTITUTE(SUBSTITUTE(SUBSTITUTE(SUBSTITUTE(SUBSTITUTE(SUBSTITUTE(SUBSTITUTE($AA1029," ",""),"　",""),"(주)",""),"（주）",""),"㈜",""),"주식회사",""),"(유)",""),"（유）",""),"유한회사",""))</f>
        <v/>
      </c>
      <c r="AC1029" s="31">
        <f>IF(OR($Y1029="",N($Z1029)&lt;=0,$AB1029=""),0,IFERROR(LOOKUP(2,1/((거래처별!$AC$8:$AC$307&lt;&gt;"")*ISNUMBER(SEARCH(거래처별!$AC$8:$AC$307,$AB1029))),거래처별!$A$8:$A$307),IFERROR(LOOKUP(2,1/((거래처별!$AD$8:$AD$307&lt;&gt;"")*ISNUMBER(SEARCH(거래처별!$AD$8:$AD$307,$AB1029))),거래처별!$A$8:$A$307),IFERROR(LOOKUP(2,1/((거래처별!$AE$8:$AE$307&lt;&gt;"")*ISNUMBER(SEARCH(거래처별!$AE$8:$AE$307,$AB1029))),거래처별!$A$8:$A$307),0))))</f>
        <v/>
      </c>
      <c r="AD1029" s="31">
        <f>IF(AND($Y1029&lt;&gt;"",N($Z1029)&gt;0,$AC1029=0),MAX($AD$7:$AD1028)+1,"")</f>
        <v/>
      </c>
      <c r="AE1029" s="31">
        <f>IF($Y1029="",0,$Y1029)</f>
        <v/>
      </c>
    </row>
    <row r="1030">
      <c r="W1030" s="31">
        <f>IF(OR($B$5="",$C$6="",ROW()&lt;$B$5),"",IF(INDEX($A:$U,ROW(),$C$6)="","",INDEX($A:$U,ROW(),$C$6)))</f>
        <v/>
      </c>
      <c r="X1030" s="32">
        <f>IF($W1030="","",IF(ISNUMBER($W1030),IF($W1030&gt;=10000000,IFERROR(DATE(INT($W1030/10000),MOD(INT($W1030/100),100),MOD($W1030,100)),""),INT($W1030)),IFERROR(DATE(--LEFT(LEFT(SUBSTITUTE(SUBSTITUTE(SUBSTITUTE(SUBSTITUTE(TRIM($W1030),"-",""),".",""),"/","")," ",""),8),4),--MID(LEFT(SUBSTITUTE(SUBSTITUTE(SUBSTITUTE(SUBSTITUTE(TRIM($W1030),"-",""),".",""),"/","")," ",""),8),5,2),--MID(LEFT(SUBSTITUTE(SUBSTITUTE(SUBSTITUTE(SUBSTITUTE(TRIM($W1030),"-",""),".",""),"/","")," ",""),8),7,2)),"")))</f>
        <v/>
      </c>
      <c r="Y1030" s="32">
        <f>IF($X1030="","",INT($X1030))</f>
        <v/>
      </c>
      <c r="Z1030" s="33">
        <f>IF(OR($Y1030="",$D$6=""),"",IF(INDEX($A:$U,ROW(),$D$6)="",0,IF(ISNUMBER(INDEX($A:$U,ROW(),$D$6)),INDEX($A:$U,ROW(),$D$6),IFERROR(--SUBSTITUTE(SUBSTITUTE(TRIM(INDEX($A:$U,ROW(),$D$6)),",",""),"원",""),0))))</f>
        <v/>
      </c>
      <c r="AA1030" s="31">
        <f>IF($Y1030="","",TRIM(INDEX($A:$U,ROW(),$E$6)&amp;IF($F$6="",""," "&amp;INDEX($A:$U,ROW(),$F$6))))</f>
        <v/>
      </c>
      <c r="AB1030" s="31">
        <f>IF($AA1030="","",SUBSTITUTE(SUBSTITUTE(SUBSTITUTE(SUBSTITUTE(SUBSTITUTE(SUBSTITUTE(SUBSTITUTE(SUBSTITUTE(SUBSTITUTE($AA1030," ",""),"　",""),"(주)",""),"（주）",""),"㈜",""),"주식회사",""),"(유)",""),"（유）",""),"유한회사",""))</f>
        <v/>
      </c>
      <c r="AC1030" s="31">
        <f>IF(OR($Y1030="",N($Z1030)&lt;=0,$AB1030=""),0,IFERROR(LOOKUP(2,1/((거래처별!$AC$8:$AC$307&lt;&gt;"")*ISNUMBER(SEARCH(거래처별!$AC$8:$AC$307,$AB1030))),거래처별!$A$8:$A$307),IFERROR(LOOKUP(2,1/((거래처별!$AD$8:$AD$307&lt;&gt;"")*ISNUMBER(SEARCH(거래처별!$AD$8:$AD$307,$AB1030))),거래처별!$A$8:$A$307),IFERROR(LOOKUP(2,1/((거래처별!$AE$8:$AE$307&lt;&gt;"")*ISNUMBER(SEARCH(거래처별!$AE$8:$AE$307,$AB1030))),거래처별!$A$8:$A$307),0))))</f>
        <v/>
      </c>
      <c r="AD1030" s="31">
        <f>IF(AND($Y1030&lt;&gt;"",N($Z1030)&gt;0,$AC1030=0),MAX($AD$7:$AD1029)+1,"")</f>
        <v/>
      </c>
      <c r="AE1030" s="31">
        <f>IF($Y1030="",0,$Y1030)</f>
        <v/>
      </c>
    </row>
    <row r="1031">
      <c r="W1031" s="31">
        <f>IF(OR($B$5="",$C$6="",ROW()&lt;$B$5),"",IF(INDEX($A:$U,ROW(),$C$6)="","",INDEX($A:$U,ROW(),$C$6)))</f>
        <v/>
      </c>
      <c r="X1031" s="32">
        <f>IF($W1031="","",IF(ISNUMBER($W1031),IF($W1031&gt;=10000000,IFERROR(DATE(INT($W1031/10000),MOD(INT($W1031/100),100),MOD($W1031,100)),""),INT($W1031)),IFERROR(DATE(--LEFT(LEFT(SUBSTITUTE(SUBSTITUTE(SUBSTITUTE(SUBSTITUTE(TRIM($W1031),"-",""),".",""),"/","")," ",""),8),4),--MID(LEFT(SUBSTITUTE(SUBSTITUTE(SUBSTITUTE(SUBSTITUTE(TRIM($W1031),"-",""),".",""),"/","")," ",""),8),5,2),--MID(LEFT(SUBSTITUTE(SUBSTITUTE(SUBSTITUTE(SUBSTITUTE(TRIM($W1031),"-",""),".",""),"/","")," ",""),8),7,2)),"")))</f>
        <v/>
      </c>
      <c r="Y1031" s="32">
        <f>IF($X1031="","",INT($X1031))</f>
        <v/>
      </c>
      <c r="Z1031" s="33">
        <f>IF(OR($Y1031="",$D$6=""),"",IF(INDEX($A:$U,ROW(),$D$6)="",0,IF(ISNUMBER(INDEX($A:$U,ROW(),$D$6)),INDEX($A:$U,ROW(),$D$6),IFERROR(--SUBSTITUTE(SUBSTITUTE(TRIM(INDEX($A:$U,ROW(),$D$6)),",",""),"원",""),0))))</f>
        <v/>
      </c>
      <c r="AA1031" s="31">
        <f>IF($Y1031="","",TRIM(INDEX($A:$U,ROW(),$E$6)&amp;IF($F$6="",""," "&amp;INDEX($A:$U,ROW(),$F$6))))</f>
        <v/>
      </c>
      <c r="AB1031" s="31">
        <f>IF($AA1031="","",SUBSTITUTE(SUBSTITUTE(SUBSTITUTE(SUBSTITUTE(SUBSTITUTE(SUBSTITUTE(SUBSTITUTE(SUBSTITUTE(SUBSTITUTE($AA1031," ",""),"　",""),"(주)",""),"（주）",""),"㈜",""),"주식회사",""),"(유)",""),"（유）",""),"유한회사",""))</f>
        <v/>
      </c>
      <c r="AC1031" s="31">
        <f>IF(OR($Y1031="",N($Z1031)&lt;=0,$AB1031=""),0,IFERROR(LOOKUP(2,1/((거래처별!$AC$8:$AC$307&lt;&gt;"")*ISNUMBER(SEARCH(거래처별!$AC$8:$AC$307,$AB1031))),거래처별!$A$8:$A$307),IFERROR(LOOKUP(2,1/((거래처별!$AD$8:$AD$307&lt;&gt;"")*ISNUMBER(SEARCH(거래처별!$AD$8:$AD$307,$AB1031))),거래처별!$A$8:$A$307),IFERROR(LOOKUP(2,1/((거래처별!$AE$8:$AE$307&lt;&gt;"")*ISNUMBER(SEARCH(거래처별!$AE$8:$AE$307,$AB1031))),거래처별!$A$8:$A$307),0))))</f>
        <v/>
      </c>
      <c r="AD1031" s="31">
        <f>IF(AND($Y1031&lt;&gt;"",N($Z1031)&gt;0,$AC1031=0),MAX($AD$7:$AD1030)+1,"")</f>
        <v/>
      </c>
      <c r="AE1031" s="31">
        <f>IF($Y1031="",0,$Y1031)</f>
        <v/>
      </c>
    </row>
    <row r="1032">
      <c r="W1032" s="31">
        <f>IF(OR($B$5="",$C$6="",ROW()&lt;$B$5),"",IF(INDEX($A:$U,ROW(),$C$6)="","",INDEX($A:$U,ROW(),$C$6)))</f>
        <v/>
      </c>
      <c r="X1032" s="32">
        <f>IF($W1032="","",IF(ISNUMBER($W1032),IF($W1032&gt;=10000000,IFERROR(DATE(INT($W1032/10000),MOD(INT($W1032/100),100),MOD($W1032,100)),""),INT($W1032)),IFERROR(DATE(--LEFT(LEFT(SUBSTITUTE(SUBSTITUTE(SUBSTITUTE(SUBSTITUTE(TRIM($W1032),"-",""),".",""),"/","")," ",""),8),4),--MID(LEFT(SUBSTITUTE(SUBSTITUTE(SUBSTITUTE(SUBSTITUTE(TRIM($W1032),"-",""),".",""),"/","")," ",""),8),5,2),--MID(LEFT(SUBSTITUTE(SUBSTITUTE(SUBSTITUTE(SUBSTITUTE(TRIM($W1032),"-",""),".",""),"/","")," ",""),8),7,2)),"")))</f>
        <v/>
      </c>
      <c r="Y1032" s="32">
        <f>IF($X1032="","",INT($X1032))</f>
        <v/>
      </c>
      <c r="Z1032" s="33">
        <f>IF(OR($Y1032="",$D$6=""),"",IF(INDEX($A:$U,ROW(),$D$6)="",0,IF(ISNUMBER(INDEX($A:$U,ROW(),$D$6)),INDEX($A:$U,ROW(),$D$6),IFERROR(--SUBSTITUTE(SUBSTITUTE(TRIM(INDEX($A:$U,ROW(),$D$6)),",",""),"원",""),0))))</f>
        <v/>
      </c>
      <c r="AA1032" s="31">
        <f>IF($Y1032="","",TRIM(INDEX($A:$U,ROW(),$E$6)&amp;IF($F$6="",""," "&amp;INDEX($A:$U,ROW(),$F$6))))</f>
        <v/>
      </c>
      <c r="AB1032" s="31">
        <f>IF($AA1032="","",SUBSTITUTE(SUBSTITUTE(SUBSTITUTE(SUBSTITUTE(SUBSTITUTE(SUBSTITUTE(SUBSTITUTE(SUBSTITUTE(SUBSTITUTE($AA1032," ",""),"　",""),"(주)",""),"（주）",""),"㈜",""),"주식회사",""),"(유)",""),"（유）",""),"유한회사",""))</f>
        <v/>
      </c>
      <c r="AC1032" s="31">
        <f>IF(OR($Y1032="",N($Z1032)&lt;=0,$AB1032=""),0,IFERROR(LOOKUP(2,1/((거래처별!$AC$8:$AC$307&lt;&gt;"")*ISNUMBER(SEARCH(거래처별!$AC$8:$AC$307,$AB1032))),거래처별!$A$8:$A$307),IFERROR(LOOKUP(2,1/((거래처별!$AD$8:$AD$307&lt;&gt;"")*ISNUMBER(SEARCH(거래처별!$AD$8:$AD$307,$AB1032))),거래처별!$A$8:$A$307),IFERROR(LOOKUP(2,1/((거래처별!$AE$8:$AE$307&lt;&gt;"")*ISNUMBER(SEARCH(거래처별!$AE$8:$AE$307,$AB1032))),거래처별!$A$8:$A$307),0))))</f>
        <v/>
      </c>
      <c r="AD1032" s="31">
        <f>IF(AND($Y1032&lt;&gt;"",N($Z1032)&gt;0,$AC1032=0),MAX($AD$7:$AD1031)+1,"")</f>
        <v/>
      </c>
      <c r="AE1032" s="31">
        <f>IF($Y1032="",0,$Y1032)</f>
        <v/>
      </c>
    </row>
    <row r="1033">
      <c r="W1033" s="31">
        <f>IF(OR($B$5="",$C$6="",ROW()&lt;$B$5),"",IF(INDEX($A:$U,ROW(),$C$6)="","",INDEX($A:$U,ROW(),$C$6)))</f>
        <v/>
      </c>
      <c r="X1033" s="32">
        <f>IF($W1033="","",IF(ISNUMBER($W1033),IF($W1033&gt;=10000000,IFERROR(DATE(INT($W1033/10000),MOD(INT($W1033/100),100),MOD($W1033,100)),""),INT($W1033)),IFERROR(DATE(--LEFT(LEFT(SUBSTITUTE(SUBSTITUTE(SUBSTITUTE(SUBSTITUTE(TRIM($W1033),"-",""),".",""),"/","")," ",""),8),4),--MID(LEFT(SUBSTITUTE(SUBSTITUTE(SUBSTITUTE(SUBSTITUTE(TRIM($W1033),"-",""),".",""),"/","")," ",""),8),5,2),--MID(LEFT(SUBSTITUTE(SUBSTITUTE(SUBSTITUTE(SUBSTITUTE(TRIM($W1033),"-",""),".",""),"/","")," ",""),8),7,2)),"")))</f>
        <v/>
      </c>
      <c r="Y1033" s="32">
        <f>IF($X1033="","",INT($X1033))</f>
        <v/>
      </c>
      <c r="Z1033" s="33">
        <f>IF(OR($Y1033="",$D$6=""),"",IF(INDEX($A:$U,ROW(),$D$6)="",0,IF(ISNUMBER(INDEX($A:$U,ROW(),$D$6)),INDEX($A:$U,ROW(),$D$6),IFERROR(--SUBSTITUTE(SUBSTITUTE(TRIM(INDEX($A:$U,ROW(),$D$6)),",",""),"원",""),0))))</f>
        <v/>
      </c>
      <c r="AA1033" s="31">
        <f>IF($Y1033="","",TRIM(INDEX($A:$U,ROW(),$E$6)&amp;IF($F$6="",""," "&amp;INDEX($A:$U,ROW(),$F$6))))</f>
        <v/>
      </c>
      <c r="AB1033" s="31">
        <f>IF($AA1033="","",SUBSTITUTE(SUBSTITUTE(SUBSTITUTE(SUBSTITUTE(SUBSTITUTE(SUBSTITUTE(SUBSTITUTE(SUBSTITUTE(SUBSTITUTE($AA1033," ",""),"　",""),"(주)",""),"（주）",""),"㈜",""),"주식회사",""),"(유)",""),"（유）",""),"유한회사",""))</f>
        <v/>
      </c>
      <c r="AC1033" s="31">
        <f>IF(OR($Y1033="",N($Z1033)&lt;=0,$AB1033=""),0,IFERROR(LOOKUP(2,1/((거래처별!$AC$8:$AC$307&lt;&gt;"")*ISNUMBER(SEARCH(거래처별!$AC$8:$AC$307,$AB1033))),거래처별!$A$8:$A$307),IFERROR(LOOKUP(2,1/((거래처별!$AD$8:$AD$307&lt;&gt;"")*ISNUMBER(SEARCH(거래처별!$AD$8:$AD$307,$AB1033))),거래처별!$A$8:$A$307),IFERROR(LOOKUP(2,1/((거래처별!$AE$8:$AE$307&lt;&gt;"")*ISNUMBER(SEARCH(거래처별!$AE$8:$AE$307,$AB1033))),거래처별!$A$8:$A$307),0))))</f>
        <v/>
      </c>
      <c r="AD1033" s="31">
        <f>IF(AND($Y1033&lt;&gt;"",N($Z1033)&gt;0,$AC1033=0),MAX($AD$7:$AD1032)+1,"")</f>
        <v/>
      </c>
      <c r="AE1033" s="31">
        <f>IF($Y1033="",0,$Y1033)</f>
        <v/>
      </c>
    </row>
    <row r="1034">
      <c r="W1034" s="31">
        <f>IF(OR($B$5="",$C$6="",ROW()&lt;$B$5),"",IF(INDEX($A:$U,ROW(),$C$6)="","",INDEX($A:$U,ROW(),$C$6)))</f>
        <v/>
      </c>
      <c r="X1034" s="32">
        <f>IF($W1034="","",IF(ISNUMBER($W1034),IF($W1034&gt;=10000000,IFERROR(DATE(INT($W1034/10000),MOD(INT($W1034/100),100),MOD($W1034,100)),""),INT($W1034)),IFERROR(DATE(--LEFT(LEFT(SUBSTITUTE(SUBSTITUTE(SUBSTITUTE(SUBSTITUTE(TRIM($W1034),"-",""),".",""),"/","")," ",""),8),4),--MID(LEFT(SUBSTITUTE(SUBSTITUTE(SUBSTITUTE(SUBSTITUTE(TRIM($W1034),"-",""),".",""),"/","")," ",""),8),5,2),--MID(LEFT(SUBSTITUTE(SUBSTITUTE(SUBSTITUTE(SUBSTITUTE(TRIM($W1034),"-",""),".",""),"/","")," ",""),8),7,2)),"")))</f>
        <v/>
      </c>
      <c r="Y1034" s="32">
        <f>IF($X1034="","",INT($X1034))</f>
        <v/>
      </c>
      <c r="Z1034" s="33">
        <f>IF(OR($Y1034="",$D$6=""),"",IF(INDEX($A:$U,ROW(),$D$6)="",0,IF(ISNUMBER(INDEX($A:$U,ROW(),$D$6)),INDEX($A:$U,ROW(),$D$6),IFERROR(--SUBSTITUTE(SUBSTITUTE(TRIM(INDEX($A:$U,ROW(),$D$6)),",",""),"원",""),0))))</f>
        <v/>
      </c>
      <c r="AA1034" s="31">
        <f>IF($Y1034="","",TRIM(INDEX($A:$U,ROW(),$E$6)&amp;IF($F$6="",""," "&amp;INDEX($A:$U,ROW(),$F$6))))</f>
        <v/>
      </c>
      <c r="AB1034" s="31">
        <f>IF($AA1034="","",SUBSTITUTE(SUBSTITUTE(SUBSTITUTE(SUBSTITUTE(SUBSTITUTE(SUBSTITUTE(SUBSTITUTE(SUBSTITUTE(SUBSTITUTE($AA1034," ",""),"　",""),"(주)",""),"（주）",""),"㈜",""),"주식회사",""),"(유)",""),"（유）",""),"유한회사",""))</f>
        <v/>
      </c>
      <c r="AC1034" s="31">
        <f>IF(OR($Y1034="",N($Z1034)&lt;=0,$AB1034=""),0,IFERROR(LOOKUP(2,1/((거래처별!$AC$8:$AC$307&lt;&gt;"")*ISNUMBER(SEARCH(거래처별!$AC$8:$AC$307,$AB1034))),거래처별!$A$8:$A$307),IFERROR(LOOKUP(2,1/((거래처별!$AD$8:$AD$307&lt;&gt;"")*ISNUMBER(SEARCH(거래처별!$AD$8:$AD$307,$AB1034))),거래처별!$A$8:$A$307),IFERROR(LOOKUP(2,1/((거래처별!$AE$8:$AE$307&lt;&gt;"")*ISNUMBER(SEARCH(거래처별!$AE$8:$AE$307,$AB1034))),거래처별!$A$8:$A$307),0))))</f>
        <v/>
      </c>
      <c r="AD1034" s="31">
        <f>IF(AND($Y1034&lt;&gt;"",N($Z1034)&gt;0,$AC1034=0),MAX($AD$7:$AD1033)+1,"")</f>
        <v/>
      </c>
      <c r="AE1034" s="31">
        <f>IF($Y1034="",0,$Y1034)</f>
        <v/>
      </c>
    </row>
    <row r="1035">
      <c r="W1035" s="31">
        <f>IF(OR($B$5="",$C$6="",ROW()&lt;$B$5),"",IF(INDEX($A:$U,ROW(),$C$6)="","",INDEX($A:$U,ROW(),$C$6)))</f>
        <v/>
      </c>
      <c r="X1035" s="32">
        <f>IF($W1035="","",IF(ISNUMBER($W1035),IF($W1035&gt;=10000000,IFERROR(DATE(INT($W1035/10000),MOD(INT($W1035/100),100),MOD($W1035,100)),""),INT($W1035)),IFERROR(DATE(--LEFT(LEFT(SUBSTITUTE(SUBSTITUTE(SUBSTITUTE(SUBSTITUTE(TRIM($W1035),"-",""),".",""),"/","")," ",""),8),4),--MID(LEFT(SUBSTITUTE(SUBSTITUTE(SUBSTITUTE(SUBSTITUTE(TRIM($W1035),"-",""),".",""),"/","")," ",""),8),5,2),--MID(LEFT(SUBSTITUTE(SUBSTITUTE(SUBSTITUTE(SUBSTITUTE(TRIM($W1035),"-",""),".",""),"/","")," ",""),8),7,2)),"")))</f>
        <v/>
      </c>
      <c r="Y1035" s="32">
        <f>IF($X1035="","",INT($X1035))</f>
        <v/>
      </c>
      <c r="Z1035" s="33">
        <f>IF(OR($Y1035="",$D$6=""),"",IF(INDEX($A:$U,ROW(),$D$6)="",0,IF(ISNUMBER(INDEX($A:$U,ROW(),$D$6)),INDEX($A:$U,ROW(),$D$6),IFERROR(--SUBSTITUTE(SUBSTITUTE(TRIM(INDEX($A:$U,ROW(),$D$6)),",",""),"원",""),0))))</f>
        <v/>
      </c>
      <c r="AA1035" s="31">
        <f>IF($Y1035="","",TRIM(INDEX($A:$U,ROW(),$E$6)&amp;IF($F$6="",""," "&amp;INDEX($A:$U,ROW(),$F$6))))</f>
        <v/>
      </c>
      <c r="AB1035" s="31">
        <f>IF($AA1035="","",SUBSTITUTE(SUBSTITUTE(SUBSTITUTE(SUBSTITUTE(SUBSTITUTE(SUBSTITUTE(SUBSTITUTE(SUBSTITUTE(SUBSTITUTE($AA1035," ",""),"　",""),"(주)",""),"（주）",""),"㈜",""),"주식회사",""),"(유)",""),"（유）",""),"유한회사",""))</f>
        <v/>
      </c>
      <c r="AC1035" s="31">
        <f>IF(OR($Y1035="",N($Z1035)&lt;=0,$AB1035=""),0,IFERROR(LOOKUP(2,1/((거래처별!$AC$8:$AC$307&lt;&gt;"")*ISNUMBER(SEARCH(거래처별!$AC$8:$AC$307,$AB1035))),거래처별!$A$8:$A$307),IFERROR(LOOKUP(2,1/((거래처별!$AD$8:$AD$307&lt;&gt;"")*ISNUMBER(SEARCH(거래처별!$AD$8:$AD$307,$AB1035))),거래처별!$A$8:$A$307),IFERROR(LOOKUP(2,1/((거래처별!$AE$8:$AE$307&lt;&gt;"")*ISNUMBER(SEARCH(거래처별!$AE$8:$AE$307,$AB1035))),거래처별!$A$8:$A$307),0))))</f>
        <v/>
      </c>
      <c r="AD1035" s="31">
        <f>IF(AND($Y1035&lt;&gt;"",N($Z1035)&gt;0,$AC1035=0),MAX($AD$7:$AD1034)+1,"")</f>
        <v/>
      </c>
      <c r="AE1035" s="31">
        <f>IF($Y1035="",0,$Y1035)</f>
        <v/>
      </c>
    </row>
    <row r="1036">
      <c r="W1036" s="31">
        <f>IF(OR($B$5="",$C$6="",ROW()&lt;$B$5),"",IF(INDEX($A:$U,ROW(),$C$6)="","",INDEX($A:$U,ROW(),$C$6)))</f>
        <v/>
      </c>
      <c r="X1036" s="32">
        <f>IF($W1036="","",IF(ISNUMBER($W1036),IF($W1036&gt;=10000000,IFERROR(DATE(INT($W1036/10000),MOD(INT($W1036/100),100),MOD($W1036,100)),""),INT($W1036)),IFERROR(DATE(--LEFT(LEFT(SUBSTITUTE(SUBSTITUTE(SUBSTITUTE(SUBSTITUTE(TRIM($W1036),"-",""),".",""),"/","")," ",""),8),4),--MID(LEFT(SUBSTITUTE(SUBSTITUTE(SUBSTITUTE(SUBSTITUTE(TRIM($W1036),"-",""),".",""),"/","")," ",""),8),5,2),--MID(LEFT(SUBSTITUTE(SUBSTITUTE(SUBSTITUTE(SUBSTITUTE(TRIM($W1036),"-",""),".",""),"/","")," ",""),8),7,2)),"")))</f>
        <v/>
      </c>
      <c r="Y1036" s="32">
        <f>IF($X1036="","",INT($X1036))</f>
        <v/>
      </c>
      <c r="Z1036" s="33">
        <f>IF(OR($Y1036="",$D$6=""),"",IF(INDEX($A:$U,ROW(),$D$6)="",0,IF(ISNUMBER(INDEX($A:$U,ROW(),$D$6)),INDEX($A:$U,ROW(),$D$6),IFERROR(--SUBSTITUTE(SUBSTITUTE(TRIM(INDEX($A:$U,ROW(),$D$6)),",",""),"원",""),0))))</f>
        <v/>
      </c>
      <c r="AA1036" s="31">
        <f>IF($Y1036="","",TRIM(INDEX($A:$U,ROW(),$E$6)&amp;IF($F$6="",""," "&amp;INDEX($A:$U,ROW(),$F$6))))</f>
        <v/>
      </c>
      <c r="AB1036" s="31">
        <f>IF($AA1036="","",SUBSTITUTE(SUBSTITUTE(SUBSTITUTE(SUBSTITUTE(SUBSTITUTE(SUBSTITUTE(SUBSTITUTE(SUBSTITUTE(SUBSTITUTE($AA1036," ",""),"　",""),"(주)",""),"（주）",""),"㈜",""),"주식회사",""),"(유)",""),"（유）",""),"유한회사",""))</f>
        <v/>
      </c>
      <c r="AC1036" s="31">
        <f>IF(OR($Y1036="",N($Z1036)&lt;=0,$AB1036=""),0,IFERROR(LOOKUP(2,1/((거래처별!$AC$8:$AC$307&lt;&gt;"")*ISNUMBER(SEARCH(거래처별!$AC$8:$AC$307,$AB1036))),거래처별!$A$8:$A$307),IFERROR(LOOKUP(2,1/((거래처별!$AD$8:$AD$307&lt;&gt;"")*ISNUMBER(SEARCH(거래처별!$AD$8:$AD$307,$AB1036))),거래처별!$A$8:$A$307),IFERROR(LOOKUP(2,1/((거래처별!$AE$8:$AE$307&lt;&gt;"")*ISNUMBER(SEARCH(거래처별!$AE$8:$AE$307,$AB1036))),거래처별!$A$8:$A$307),0))))</f>
        <v/>
      </c>
      <c r="AD1036" s="31">
        <f>IF(AND($Y1036&lt;&gt;"",N($Z1036)&gt;0,$AC1036=0),MAX($AD$7:$AD1035)+1,"")</f>
        <v/>
      </c>
      <c r="AE1036" s="31">
        <f>IF($Y1036="",0,$Y1036)</f>
        <v/>
      </c>
    </row>
    <row r="1037">
      <c r="W1037" s="31">
        <f>IF(OR($B$5="",$C$6="",ROW()&lt;$B$5),"",IF(INDEX($A:$U,ROW(),$C$6)="","",INDEX($A:$U,ROW(),$C$6)))</f>
        <v/>
      </c>
      <c r="X1037" s="32">
        <f>IF($W1037="","",IF(ISNUMBER($W1037),IF($W1037&gt;=10000000,IFERROR(DATE(INT($W1037/10000),MOD(INT($W1037/100),100),MOD($W1037,100)),""),INT($W1037)),IFERROR(DATE(--LEFT(LEFT(SUBSTITUTE(SUBSTITUTE(SUBSTITUTE(SUBSTITUTE(TRIM($W1037),"-",""),".",""),"/","")," ",""),8),4),--MID(LEFT(SUBSTITUTE(SUBSTITUTE(SUBSTITUTE(SUBSTITUTE(TRIM($W1037),"-",""),".",""),"/","")," ",""),8),5,2),--MID(LEFT(SUBSTITUTE(SUBSTITUTE(SUBSTITUTE(SUBSTITUTE(TRIM($W1037),"-",""),".",""),"/","")," ",""),8),7,2)),"")))</f>
        <v/>
      </c>
      <c r="Y1037" s="32">
        <f>IF($X1037="","",INT($X1037))</f>
        <v/>
      </c>
      <c r="Z1037" s="33">
        <f>IF(OR($Y1037="",$D$6=""),"",IF(INDEX($A:$U,ROW(),$D$6)="",0,IF(ISNUMBER(INDEX($A:$U,ROW(),$D$6)),INDEX($A:$U,ROW(),$D$6),IFERROR(--SUBSTITUTE(SUBSTITUTE(TRIM(INDEX($A:$U,ROW(),$D$6)),",",""),"원",""),0))))</f>
        <v/>
      </c>
      <c r="AA1037" s="31">
        <f>IF($Y1037="","",TRIM(INDEX($A:$U,ROW(),$E$6)&amp;IF($F$6="",""," "&amp;INDEX($A:$U,ROW(),$F$6))))</f>
        <v/>
      </c>
      <c r="AB1037" s="31">
        <f>IF($AA1037="","",SUBSTITUTE(SUBSTITUTE(SUBSTITUTE(SUBSTITUTE(SUBSTITUTE(SUBSTITUTE(SUBSTITUTE(SUBSTITUTE(SUBSTITUTE($AA1037," ",""),"　",""),"(주)",""),"（주）",""),"㈜",""),"주식회사",""),"(유)",""),"（유）",""),"유한회사",""))</f>
        <v/>
      </c>
      <c r="AC1037" s="31">
        <f>IF(OR($Y1037="",N($Z1037)&lt;=0,$AB1037=""),0,IFERROR(LOOKUP(2,1/((거래처별!$AC$8:$AC$307&lt;&gt;"")*ISNUMBER(SEARCH(거래처별!$AC$8:$AC$307,$AB1037))),거래처별!$A$8:$A$307),IFERROR(LOOKUP(2,1/((거래처별!$AD$8:$AD$307&lt;&gt;"")*ISNUMBER(SEARCH(거래처별!$AD$8:$AD$307,$AB1037))),거래처별!$A$8:$A$307),IFERROR(LOOKUP(2,1/((거래처별!$AE$8:$AE$307&lt;&gt;"")*ISNUMBER(SEARCH(거래처별!$AE$8:$AE$307,$AB1037))),거래처별!$A$8:$A$307),0))))</f>
        <v/>
      </c>
      <c r="AD1037" s="31">
        <f>IF(AND($Y1037&lt;&gt;"",N($Z1037)&gt;0,$AC1037=0),MAX($AD$7:$AD1036)+1,"")</f>
        <v/>
      </c>
      <c r="AE1037" s="31">
        <f>IF($Y1037="",0,$Y1037)</f>
        <v/>
      </c>
    </row>
    <row r="1038">
      <c r="W1038" s="31">
        <f>IF(OR($B$5="",$C$6="",ROW()&lt;$B$5),"",IF(INDEX($A:$U,ROW(),$C$6)="","",INDEX($A:$U,ROW(),$C$6)))</f>
        <v/>
      </c>
      <c r="X1038" s="32">
        <f>IF($W1038="","",IF(ISNUMBER($W1038),IF($W1038&gt;=10000000,IFERROR(DATE(INT($W1038/10000),MOD(INT($W1038/100),100),MOD($W1038,100)),""),INT($W1038)),IFERROR(DATE(--LEFT(LEFT(SUBSTITUTE(SUBSTITUTE(SUBSTITUTE(SUBSTITUTE(TRIM($W1038),"-",""),".",""),"/","")," ",""),8),4),--MID(LEFT(SUBSTITUTE(SUBSTITUTE(SUBSTITUTE(SUBSTITUTE(TRIM($W1038),"-",""),".",""),"/","")," ",""),8),5,2),--MID(LEFT(SUBSTITUTE(SUBSTITUTE(SUBSTITUTE(SUBSTITUTE(TRIM($W1038),"-",""),".",""),"/","")," ",""),8),7,2)),"")))</f>
        <v/>
      </c>
      <c r="Y1038" s="32">
        <f>IF($X1038="","",INT($X1038))</f>
        <v/>
      </c>
      <c r="Z1038" s="33">
        <f>IF(OR($Y1038="",$D$6=""),"",IF(INDEX($A:$U,ROW(),$D$6)="",0,IF(ISNUMBER(INDEX($A:$U,ROW(),$D$6)),INDEX($A:$U,ROW(),$D$6),IFERROR(--SUBSTITUTE(SUBSTITUTE(TRIM(INDEX($A:$U,ROW(),$D$6)),",",""),"원",""),0))))</f>
        <v/>
      </c>
      <c r="AA1038" s="31">
        <f>IF($Y1038="","",TRIM(INDEX($A:$U,ROW(),$E$6)&amp;IF($F$6="",""," "&amp;INDEX($A:$U,ROW(),$F$6))))</f>
        <v/>
      </c>
      <c r="AB1038" s="31">
        <f>IF($AA1038="","",SUBSTITUTE(SUBSTITUTE(SUBSTITUTE(SUBSTITUTE(SUBSTITUTE(SUBSTITUTE(SUBSTITUTE(SUBSTITUTE(SUBSTITUTE($AA1038," ",""),"　",""),"(주)",""),"（주）",""),"㈜",""),"주식회사",""),"(유)",""),"（유）",""),"유한회사",""))</f>
        <v/>
      </c>
      <c r="AC1038" s="31">
        <f>IF(OR($Y1038="",N($Z1038)&lt;=0,$AB1038=""),0,IFERROR(LOOKUP(2,1/((거래처별!$AC$8:$AC$307&lt;&gt;"")*ISNUMBER(SEARCH(거래처별!$AC$8:$AC$307,$AB1038))),거래처별!$A$8:$A$307),IFERROR(LOOKUP(2,1/((거래처별!$AD$8:$AD$307&lt;&gt;"")*ISNUMBER(SEARCH(거래처별!$AD$8:$AD$307,$AB1038))),거래처별!$A$8:$A$307),IFERROR(LOOKUP(2,1/((거래처별!$AE$8:$AE$307&lt;&gt;"")*ISNUMBER(SEARCH(거래처별!$AE$8:$AE$307,$AB1038))),거래처별!$A$8:$A$307),0))))</f>
        <v/>
      </c>
      <c r="AD1038" s="31">
        <f>IF(AND($Y1038&lt;&gt;"",N($Z1038)&gt;0,$AC1038=0),MAX($AD$7:$AD1037)+1,"")</f>
        <v/>
      </c>
      <c r="AE1038" s="31">
        <f>IF($Y1038="",0,$Y1038)</f>
        <v/>
      </c>
    </row>
    <row r="1039">
      <c r="W1039" s="31">
        <f>IF(OR($B$5="",$C$6="",ROW()&lt;$B$5),"",IF(INDEX($A:$U,ROW(),$C$6)="","",INDEX($A:$U,ROW(),$C$6)))</f>
        <v/>
      </c>
      <c r="X1039" s="32">
        <f>IF($W1039="","",IF(ISNUMBER($W1039),IF($W1039&gt;=10000000,IFERROR(DATE(INT($W1039/10000),MOD(INT($W1039/100),100),MOD($W1039,100)),""),INT($W1039)),IFERROR(DATE(--LEFT(LEFT(SUBSTITUTE(SUBSTITUTE(SUBSTITUTE(SUBSTITUTE(TRIM($W1039),"-",""),".",""),"/","")," ",""),8),4),--MID(LEFT(SUBSTITUTE(SUBSTITUTE(SUBSTITUTE(SUBSTITUTE(TRIM($W1039),"-",""),".",""),"/","")," ",""),8),5,2),--MID(LEFT(SUBSTITUTE(SUBSTITUTE(SUBSTITUTE(SUBSTITUTE(TRIM($W1039),"-",""),".",""),"/","")," ",""),8),7,2)),"")))</f>
        <v/>
      </c>
      <c r="Y1039" s="32">
        <f>IF($X1039="","",INT($X1039))</f>
        <v/>
      </c>
      <c r="Z1039" s="33">
        <f>IF(OR($Y1039="",$D$6=""),"",IF(INDEX($A:$U,ROW(),$D$6)="",0,IF(ISNUMBER(INDEX($A:$U,ROW(),$D$6)),INDEX($A:$U,ROW(),$D$6),IFERROR(--SUBSTITUTE(SUBSTITUTE(TRIM(INDEX($A:$U,ROW(),$D$6)),",",""),"원",""),0))))</f>
        <v/>
      </c>
      <c r="AA1039" s="31">
        <f>IF($Y1039="","",TRIM(INDEX($A:$U,ROW(),$E$6)&amp;IF($F$6="",""," "&amp;INDEX($A:$U,ROW(),$F$6))))</f>
        <v/>
      </c>
      <c r="AB1039" s="31">
        <f>IF($AA1039="","",SUBSTITUTE(SUBSTITUTE(SUBSTITUTE(SUBSTITUTE(SUBSTITUTE(SUBSTITUTE(SUBSTITUTE(SUBSTITUTE(SUBSTITUTE($AA1039," ",""),"　",""),"(주)",""),"（주）",""),"㈜",""),"주식회사",""),"(유)",""),"（유）",""),"유한회사",""))</f>
        <v/>
      </c>
      <c r="AC1039" s="31">
        <f>IF(OR($Y1039="",N($Z1039)&lt;=0,$AB1039=""),0,IFERROR(LOOKUP(2,1/((거래처별!$AC$8:$AC$307&lt;&gt;"")*ISNUMBER(SEARCH(거래처별!$AC$8:$AC$307,$AB1039))),거래처별!$A$8:$A$307),IFERROR(LOOKUP(2,1/((거래처별!$AD$8:$AD$307&lt;&gt;"")*ISNUMBER(SEARCH(거래처별!$AD$8:$AD$307,$AB1039))),거래처별!$A$8:$A$307),IFERROR(LOOKUP(2,1/((거래처별!$AE$8:$AE$307&lt;&gt;"")*ISNUMBER(SEARCH(거래처별!$AE$8:$AE$307,$AB1039))),거래처별!$A$8:$A$307),0))))</f>
        <v/>
      </c>
      <c r="AD1039" s="31">
        <f>IF(AND($Y1039&lt;&gt;"",N($Z1039)&gt;0,$AC1039=0),MAX($AD$7:$AD1038)+1,"")</f>
        <v/>
      </c>
      <c r="AE1039" s="31">
        <f>IF($Y1039="",0,$Y1039)</f>
        <v/>
      </c>
    </row>
    <row r="1040">
      <c r="W1040" s="31">
        <f>IF(OR($B$5="",$C$6="",ROW()&lt;$B$5),"",IF(INDEX($A:$U,ROW(),$C$6)="","",INDEX($A:$U,ROW(),$C$6)))</f>
        <v/>
      </c>
      <c r="X1040" s="32">
        <f>IF($W1040="","",IF(ISNUMBER($W1040),IF($W1040&gt;=10000000,IFERROR(DATE(INT($W1040/10000),MOD(INT($W1040/100),100),MOD($W1040,100)),""),INT($W1040)),IFERROR(DATE(--LEFT(LEFT(SUBSTITUTE(SUBSTITUTE(SUBSTITUTE(SUBSTITUTE(TRIM($W1040),"-",""),".",""),"/","")," ",""),8),4),--MID(LEFT(SUBSTITUTE(SUBSTITUTE(SUBSTITUTE(SUBSTITUTE(TRIM($W1040),"-",""),".",""),"/","")," ",""),8),5,2),--MID(LEFT(SUBSTITUTE(SUBSTITUTE(SUBSTITUTE(SUBSTITUTE(TRIM($W1040),"-",""),".",""),"/","")," ",""),8),7,2)),"")))</f>
        <v/>
      </c>
      <c r="Y1040" s="32">
        <f>IF($X1040="","",INT($X1040))</f>
        <v/>
      </c>
      <c r="Z1040" s="33">
        <f>IF(OR($Y1040="",$D$6=""),"",IF(INDEX($A:$U,ROW(),$D$6)="",0,IF(ISNUMBER(INDEX($A:$U,ROW(),$D$6)),INDEX($A:$U,ROW(),$D$6),IFERROR(--SUBSTITUTE(SUBSTITUTE(TRIM(INDEX($A:$U,ROW(),$D$6)),",",""),"원",""),0))))</f>
        <v/>
      </c>
      <c r="AA1040" s="31">
        <f>IF($Y1040="","",TRIM(INDEX($A:$U,ROW(),$E$6)&amp;IF($F$6="",""," "&amp;INDEX($A:$U,ROW(),$F$6))))</f>
        <v/>
      </c>
      <c r="AB1040" s="31">
        <f>IF($AA1040="","",SUBSTITUTE(SUBSTITUTE(SUBSTITUTE(SUBSTITUTE(SUBSTITUTE(SUBSTITUTE(SUBSTITUTE(SUBSTITUTE(SUBSTITUTE($AA1040," ",""),"　",""),"(주)",""),"（주）",""),"㈜",""),"주식회사",""),"(유)",""),"（유）",""),"유한회사",""))</f>
        <v/>
      </c>
      <c r="AC1040" s="31">
        <f>IF(OR($Y1040="",N($Z1040)&lt;=0,$AB1040=""),0,IFERROR(LOOKUP(2,1/((거래처별!$AC$8:$AC$307&lt;&gt;"")*ISNUMBER(SEARCH(거래처별!$AC$8:$AC$307,$AB1040))),거래처별!$A$8:$A$307),IFERROR(LOOKUP(2,1/((거래처별!$AD$8:$AD$307&lt;&gt;"")*ISNUMBER(SEARCH(거래처별!$AD$8:$AD$307,$AB1040))),거래처별!$A$8:$A$307),IFERROR(LOOKUP(2,1/((거래처별!$AE$8:$AE$307&lt;&gt;"")*ISNUMBER(SEARCH(거래처별!$AE$8:$AE$307,$AB1040))),거래처별!$A$8:$A$307),0))))</f>
        <v/>
      </c>
      <c r="AD1040" s="31">
        <f>IF(AND($Y1040&lt;&gt;"",N($Z1040)&gt;0,$AC1040=0),MAX($AD$7:$AD1039)+1,"")</f>
        <v/>
      </c>
      <c r="AE1040" s="31">
        <f>IF($Y1040="",0,$Y1040)</f>
        <v/>
      </c>
    </row>
    <row r="1041">
      <c r="W1041" s="31">
        <f>IF(OR($B$5="",$C$6="",ROW()&lt;$B$5),"",IF(INDEX($A:$U,ROW(),$C$6)="","",INDEX($A:$U,ROW(),$C$6)))</f>
        <v/>
      </c>
      <c r="X1041" s="32">
        <f>IF($W1041="","",IF(ISNUMBER($W1041),IF($W1041&gt;=10000000,IFERROR(DATE(INT($W1041/10000),MOD(INT($W1041/100),100),MOD($W1041,100)),""),INT($W1041)),IFERROR(DATE(--LEFT(LEFT(SUBSTITUTE(SUBSTITUTE(SUBSTITUTE(SUBSTITUTE(TRIM($W1041),"-",""),".",""),"/","")," ",""),8),4),--MID(LEFT(SUBSTITUTE(SUBSTITUTE(SUBSTITUTE(SUBSTITUTE(TRIM($W1041),"-",""),".",""),"/","")," ",""),8),5,2),--MID(LEFT(SUBSTITUTE(SUBSTITUTE(SUBSTITUTE(SUBSTITUTE(TRIM($W1041),"-",""),".",""),"/","")," ",""),8),7,2)),"")))</f>
        <v/>
      </c>
      <c r="Y1041" s="32">
        <f>IF($X1041="","",INT($X1041))</f>
        <v/>
      </c>
      <c r="Z1041" s="33">
        <f>IF(OR($Y1041="",$D$6=""),"",IF(INDEX($A:$U,ROW(),$D$6)="",0,IF(ISNUMBER(INDEX($A:$U,ROW(),$D$6)),INDEX($A:$U,ROW(),$D$6),IFERROR(--SUBSTITUTE(SUBSTITUTE(TRIM(INDEX($A:$U,ROW(),$D$6)),",",""),"원",""),0))))</f>
        <v/>
      </c>
      <c r="AA1041" s="31">
        <f>IF($Y1041="","",TRIM(INDEX($A:$U,ROW(),$E$6)&amp;IF($F$6="",""," "&amp;INDEX($A:$U,ROW(),$F$6))))</f>
        <v/>
      </c>
      <c r="AB1041" s="31">
        <f>IF($AA1041="","",SUBSTITUTE(SUBSTITUTE(SUBSTITUTE(SUBSTITUTE(SUBSTITUTE(SUBSTITUTE(SUBSTITUTE(SUBSTITUTE(SUBSTITUTE($AA1041," ",""),"　",""),"(주)",""),"（주）",""),"㈜",""),"주식회사",""),"(유)",""),"（유）",""),"유한회사",""))</f>
        <v/>
      </c>
      <c r="AC1041" s="31">
        <f>IF(OR($Y1041="",N($Z1041)&lt;=0,$AB1041=""),0,IFERROR(LOOKUP(2,1/((거래처별!$AC$8:$AC$307&lt;&gt;"")*ISNUMBER(SEARCH(거래처별!$AC$8:$AC$307,$AB1041))),거래처별!$A$8:$A$307),IFERROR(LOOKUP(2,1/((거래처별!$AD$8:$AD$307&lt;&gt;"")*ISNUMBER(SEARCH(거래처별!$AD$8:$AD$307,$AB1041))),거래처별!$A$8:$A$307),IFERROR(LOOKUP(2,1/((거래처별!$AE$8:$AE$307&lt;&gt;"")*ISNUMBER(SEARCH(거래처별!$AE$8:$AE$307,$AB1041))),거래처별!$A$8:$A$307),0))))</f>
        <v/>
      </c>
      <c r="AD1041" s="31">
        <f>IF(AND($Y1041&lt;&gt;"",N($Z1041)&gt;0,$AC1041=0),MAX($AD$7:$AD1040)+1,"")</f>
        <v/>
      </c>
      <c r="AE1041" s="31">
        <f>IF($Y1041="",0,$Y1041)</f>
        <v/>
      </c>
    </row>
    <row r="1042">
      <c r="W1042" s="31">
        <f>IF(OR($B$5="",$C$6="",ROW()&lt;$B$5),"",IF(INDEX($A:$U,ROW(),$C$6)="","",INDEX($A:$U,ROW(),$C$6)))</f>
        <v/>
      </c>
      <c r="X1042" s="32">
        <f>IF($W1042="","",IF(ISNUMBER($W1042),IF($W1042&gt;=10000000,IFERROR(DATE(INT($W1042/10000),MOD(INT($W1042/100),100),MOD($W1042,100)),""),INT($W1042)),IFERROR(DATE(--LEFT(LEFT(SUBSTITUTE(SUBSTITUTE(SUBSTITUTE(SUBSTITUTE(TRIM($W1042),"-",""),".",""),"/","")," ",""),8),4),--MID(LEFT(SUBSTITUTE(SUBSTITUTE(SUBSTITUTE(SUBSTITUTE(TRIM($W1042),"-",""),".",""),"/","")," ",""),8),5,2),--MID(LEFT(SUBSTITUTE(SUBSTITUTE(SUBSTITUTE(SUBSTITUTE(TRIM($W1042),"-",""),".",""),"/","")," ",""),8),7,2)),"")))</f>
        <v/>
      </c>
      <c r="Y1042" s="32">
        <f>IF($X1042="","",INT($X1042))</f>
        <v/>
      </c>
      <c r="Z1042" s="33">
        <f>IF(OR($Y1042="",$D$6=""),"",IF(INDEX($A:$U,ROW(),$D$6)="",0,IF(ISNUMBER(INDEX($A:$U,ROW(),$D$6)),INDEX($A:$U,ROW(),$D$6),IFERROR(--SUBSTITUTE(SUBSTITUTE(TRIM(INDEX($A:$U,ROW(),$D$6)),",",""),"원",""),0))))</f>
        <v/>
      </c>
      <c r="AA1042" s="31">
        <f>IF($Y1042="","",TRIM(INDEX($A:$U,ROW(),$E$6)&amp;IF($F$6="",""," "&amp;INDEX($A:$U,ROW(),$F$6))))</f>
        <v/>
      </c>
      <c r="AB1042" s="31">
        <f>IF($AA1042="","",SUBSTITUTE(SUBSTITUTE(SUBSTITUTE(SUBSTITUTE(SUBSTITUTE(SUBSTITUTE(SUBSTITUTE(SUBSTITUTE(SUBSTITUTE($AA1042," ",""),"　",""),"(주)",""),"（주）",""),"㈜",""),"주식회사",""),"(유)",""),"（유）",""),"유한회사",""))</f>
        <v/>
      </c>
      <c r="AC1042" s="31">
        <f>IF(OR($Y1042="",N($Z1042)&lt;=0,$AB1042=""),0,IFERROR(LOOKUP(2,1/((거래처별!$AC$8:$AC$307&lt;&gt;"")*ISNUMBER(SEARCH(거래처별!$AC$8:$AC$307,$AB1042))),거래처별!$A$8:$A$307),IFERROR(LOOKUP(2,1/((거래처별!$AD$8:$AD$307&lt;&gt;"")*ISNUMBER(SEARCH(거래처별!$AD$8:$AD$307,$AB1042))),거래처별!$A$8:$A$307),IFERROR(LOOKUP(2,1/((거래처별!$AE$8:$AE$307&lt;&gt;"")*ISNUMBER(SEARCH(거래처별!$AE$8:$AE$307,$AB1042))),거래처별!$A$8:$A$307),0))))</f>
        <v/>
      </c>
      <c r="AD1042" s="31">
        <f>IF(AND($Y1042&lt;&gt;"",N($Z1042)&gt;0,$AC1042=0),MAX($AD$7:$AD1041)+1,"")</f>
        <v/>
      </c>
      <c r="AE1042" s="31">
        <f>IF($Y1042="",0,$Y1042)</f>
        <v/>
      </c>
    </row>
    <row r="1043">
      <c r="W1043" s="31">
        <f>IF(OR($B$5="",$C$6="",ROW()&lt;$B$5),"",IF(INDEX($A:$U,ROW(),$C$6)="","",INDEX($A:$U,ROW(),$C$6)))</f>
        <v/>
      </c>
      <c r="X1043" s="32">
        <f>IF($W1043="","",IF(ISNUMBER($W1043),IF($W1043&gt;=10000000,IFERROR(DATE(INT($W1043/10000),MOD(INT($W1043/100),100),MOD($W1043,100)),""),INT($W1043)),IFERROR(DATE(--LEFT(LEFT(SUBSTITUTE(SUBSTITUTE(SUBSTITUTE(SUBSTITUTE(TRIM($W1043),"-",""),".",""),"/","")," ",""),8),4),--MID(LEFT(SUBSTITUTE(SUBSTITUTE(SUBSTITUTE(SUBSTITUTE(TRIM($W1043),"-",""),".",""),"/","")," ",""),8),5,2),--MID(LEFT(SUBSTITUTE(SUBSTITUTE(SUBSTITUTE(SUBSTITUTE(TRIM($W1043),"-",""),".",""),"/","")," ",""),8),7,2)),"")))</f>
        <v/>
      </c>
      <c r="Y1043" s="32">
        <f>IF($X1043="","",INT($X1043))</f>
        <v/>
      </c>
      <c r="Z1043" s="33">
        <f>IF(OR($Y1043="",$D$6=""),"",IF(INDEX($A:$U,ROW(),$D$6)="",0,IF(ISNUMBER(INDEX($A:$U,ROW(),$D$6)),INDEX($A:$U,ROW(),$D$6),IFERROR(--SUBSTITUTE(SUBSTITUTE(TRIM(INDEX($A:$U,ROW(),$D$6)),",",""),"원",""),0))))</f>
        <v/>
      </c>
      <c r="AA1043" s="31">
        <f>IF($Y1043="","",TRIM(INDEX($A:$U,ROW(),$E$6)&amp;IF($F$6="",""," "&amp;INDEX($A:$U,ROW(),$F$6))))</f>
        <v/>
      </c>
      <c r="AB1043" s="31">
        <f>IF($AA1043="","",SUBSTITUTE(SUBSTITUTE(SUBSTITUTE(SUBSTITUTE(SUBSTITUTE(SUBSTITUTE(SUBSTITUTE(SUBSTITUTE(SUBSTITUTE($AA1043," ",""),"　",""),"(주)",""),"（주）",""),"㈜",""),"주식회사",""),"(유)",""),"（유）",""),"유한회사",""))</f>
        <v/>
      </c>
      <c r="AC1043" s="31">
        <f>IF(OR($Y1043="",N($Z1043)&lt;=0,$AB1043=""),0,IFERROR(LOOKUP(2,1/((거래처별!$AC$8:$AC$307&lt;&gt;"")*ISNUMBER(SEARCH(거래처별!$AC$8:$AC$307,$AB1043))),거래처별!$A$8:$A$307),IFERROR(LOOKUP(2,1/((거래처별!$AD$8:$AD$307&lt;&gt;"")*ISNUMBER(SEARCH(거래처별!$AD$8:$AD$307,$AB1043))),거래처별!$A$8:$A$307),IFERROR(LOOKUP(2,1/((거래처별!$AE$8:$AE$307&lt;&gt;"")*ISNUMBER(SEARCH(거래처별!$AE$8:$AE$307,$AB1043))),거래처별!$A$8:$A$307),0))))</f>
        <v/>
      </c>
      <c r="AD1043" s="31">
        <f>IF(AND($Y1043&lt;&gt;"",N($Z1043)&gt;0,$AC1043=0),MAX($AD$7:$AD1042)+1,"")</f>
        <v/>
      </c>
      <c r="AE1043" s="31">
        <f>IF($Y1043="",0,$Y1043)</f>
        <v/>
      </c>
    </row>
    <row r="1044">
      <c r="W1044" s="31">
        <f>IF(OR($B$5="",$C$6="",ROW()&lt;$B$5),"",IF(INDEX($A:$U,ROW(),$C$6)="","",INDEX($A:$U,ROW(),$C$6)))</f>
        <v/>
      </c>
      <c r="X1044" s="32">
        <f>IF($W1044="","",IF(ISNUMBER($W1044),IF($W1044&gt;=10000000,IFERROR(DATE(INT($W1044/10000),MOD(INT($W1044/100),100),MOD($W1044,100)),""),INT($W1044)),IFERROR(DATE(--LEFT(LEFT(SUBSTITUTE(SUBSTITUTE(SUBSTITUTE(SUBSTITUTE(TRIM($W1044),"-",""),".",""),"/","")," ",""),8),4),--MID(LEFT(SUBSTITUTE(SUBSTITUTE(SUBSTITUTE(SUBSTITUTE(TRIM($W1044),"-",""),".",""),"/","")," ",""),8),5,2),--MID(LEFT(SUBSTITUTE(SUBSTITUTE(SUBSTITUTE(SUBSTITUTE(TRIM($W1044),"-",""),".",""),"/","")," ",""),8),7,2)),"")))</f>
        <v/>
      </c>
      <c r="Y1044" s="32">
        <f>IF($X1044="","",INT($X1044))</f>
        <v/>
      </c>
      <c r="Z1044" s="33">
        <f>IF(OR($Y1044="",$D$6=""),"",IF(INDEX($A:$U,ROW(),$D$6)="",0,IF(ISNUMBER(INDEX($A:$U,ROW(),$D$6)),INDEX($A:$U,ROW(),$D$6),IFERROR(--SUBSTITUTE(SUBSTITUTE(TRIM(INDEX($A:$U,ROW(),$D$6)),",",""),"원",""),0))))</f>
        <v/>
      </c>
      <c r="AA1044" s="31">
        <f>IF($Y1044="","",TRIM(INDEX($A:$U,ROW(),$E$6)&amp;IF($F$6="",""," "&amp;INDEX($A:$U,ROW(),$F$6))))</f>
        <v/>
      </c>
      <c r="AB1044" s="31">
        <f>IF($AA1044="","",SUBSTITUTE(SUBSTITUTE(SUBSTITUTE(SUBSTITUTE(SUBSTITUTE(SUBSTITUTE(SUBSTITUTE(SUBSTITUTE(SUBSTITUTE($AA1044," ",""),"　",""),"(주)",""),"（주）",""),"㈜",""),"주식회사",""),"(유)",""),"（유）",""),"유한회사",""))</f>
        <v/>
      </c>
      <c r="AC1044" s="31">
        <f>IF(OR($Y1044="",N($Z1044)&lt;=0,$AB1044=""),0,IFERROR(LOOKUP(2,1/((거래처별!$AC$8:$AC$307&lt;&gt;"")*ISNUMBER(SEARCH(거래처별!$AC$8:$AC$307,$AB1044))),거래처별!$A$8:$A$307),IFERROR(LOOKUP(2,1/((거래처별!$AD$8:$AD$307&lt;&gt;"")*ISNUMBER(SEARCH(거래처별!$AD$8:$AD$307,$AB1044))),거래처별!$A$8:$A$307),IFERROR(LOOKUP(2,1/((거래처별!$AE$8:$AE$307&lt;&gt;"")*ISNUMBER(SEARCH(거래처별!$AE$8:$AE$307,$AB1044))),거래처별!$A$8:$A$307),0))))</f>
        <v/>
      </c>
      <c r="AD1044" s="31">
        <f>IF(AND($Y1044&lt;&gt;"",N($Z1044)&gt;0,$AC1044=0),MAX($AD$7:$AD1043)+1,"")</f>
        <v/>
      </c>
      <c r="AE1044" s="31">
        <f>IF($Y1044="",0,$Y1044)</f>
        <v/>
      </c>
    </row>
    <row r="1045">
      <c r="W1045" s="31">
        <f>IF(OR($B$5="",$C$6="",ROW()&lt;$B$5),"",IF(INDEX($A:$U,ROW(),$C$6)="","",INDEX($A:$U,ROW(),$C$6)))</f>
        <v/>
      </c>
      <c r="X1045" s="32">
        <f>IF($W1045="","",IF(ISNUMBER($W1045),IF($W1045&gt;=10000000,IFERROR(DATE(INT($W1045/10000),MOD(INT($W1045/100),100),MOD($W1045,100)),""),INT($W1045)),IFERROR(DATE(--LEFT(LEFT(SUBSTITUTE(SUBSTITUTE(SUBSTITUTE(SUBSTITUTE(TRIM($W1045),"-",""),".",""),"/","")," ",""),8),4),--MID(LEFT(SUBSTITUTE(SUBSTITUTE(SUBSTITUTE(SUBSTITUTE(TRIM($W1045),"-",""),".",""),"/","")," ",""),8),5,2),--MID(LEFT(SUBSTITUTE(SUBSTITUTE(SUBSTITUTE(SUBSTITUTE(TRIM($W1045),"-",""),".",""),"/","")," ",""),8),7,2)),"")))</f>
        <v/>
      </c>
      <c r="Y1045" s="32">
        <f>IF($X1045="","",INT($X1045))</f>
        <v/>
      </c>
      <c r="Z1045" s="33">
        <f>IF(OR($Y1045="",$D$6=""),"",IF(INDEX($A:$U,ROW(),$D$6)="",0,IF(ISNUMBER(INDEX($A:$U,ROW(),$D$6)),INDEX($A:$U,ROW(),$D$6),IFERROR(--SUBSTITUTE(SUBSTITUTE(TRIM(INDEX($A:$U,ROW(),$D$6)),",",""),"원",""),0))))</f>
        <v/>
      </c>
      <c r="AA1045" s="31">
        <f>IF($Y1045="","",TRIM(INDEX($A:$U,ROW(),$E$6)&amp;IF($F$6="",""," "&amp;INDEX($A:$U,ROW(),$F$6))))</f>
        <v/>
      </c>
      <c r="AB1045" s="31">
        <f>IF($AA1045="","",SUBSTITUTE(SUBSTITUTE(SUBSTITUTE(SUBSTITUTE(SUBSTITUTE(SUBSTITUTE(SUBSTITUTE(SUBSTITUTE(SUBSTITUTE($AA1045," ",""),"　",""),"(주)",""),"（주）",""),"㈜",""),"주식회사",""),"(유)",""),"（유）",""),"유한회사",""))</f>
        <v/>
      </c>
      <c r="AC1045" s="31">
        <f>IF(OR($Y1045="",N($Z1045)&lt;=0,$AB1045=""),0,IFERROR(LOOKUP(2,1/((거래처별!$AC$8:$AC$307&lt;&gt;"")*ISNUMBER(SEARCH(거래처별!$AC$8:$AC$307,$AB1045))),거래처별!$A$8:$A$307),IFERROR(LOOKUP(2,1/((거래처별!$AD$8:$AD$307&lt;&gt;"")*ISNUMBER(SEARCH(거래처별!$AD$8:$AD$307,$AB1045))),거래처별!$A$8:$A$307),IFERROR(LOOKUP(2,1/((거래처별!$AE$8:$AE$307&lt;&gt;"")*ISNUMBER(SEARCH(거래처별!$AE$8:$AE$307,$AB1045))),거래처별!$A$8:$A$307),0))))</f>
        <v/>
      </c>
      <c r="AD1045" s="31">
        <f>IF(AND($Y1045&lt;&gt;"",N($Z1045)&gt;0,$AC1045=0),MAX($AD$7:$AD1044)+1,"")</f>
        <v/>
      </c>
      <c r="AE1045" s="31">
        <f>IF($Y1045="",0,$Y1045)</f>
        <v/>
      </c>
    </row>
    <row r="1046">
      <c r="W1046" s="31">
        <f>IF(OR($B$5="",$C$6="",ROW()&lt;$B$5),"",IF(INDEX($A:$U,ROW(),$C$6)="","",INDEX($A:$U,ROW(),$C$6)))</f>
        <v/>
      </c>
      <c r="X1046" s="32">
        <f>IF($W1046="","",IF(ISNUMBER($W1046),IF($W1046&gt;=10000000,IFERROR(DATE(INT($W1046/10000),MOD(INT($W1046/100),100),MOD($W1046,100)),""),INT($W1046)),IFERROR(DATE(--LEFT(LEFT(SUBSTITUTE(SUBSTITUTE(SUBSTITUTE(SUBSTITUTE(TRIM($W1046),"-",""),".",""),"/","")," ",""),8),4),--MID(LEFT(SUBSTITUTE(SUBSTITUTE(SUBSTITUTE(SUBSTITUTE(TRIM($W1046),"-",""),".",""),"/","")," ",""),8),5,2),--MID(LEFT(SUBSTITUTE(SUBSTITUTE(SUBSTITUTE(SUBSTITUTE(TRIM($W1046),"-",""),".",""),"/","")," ",""),8),7,2)),"")))</f>
        <v/>
      </c>
      <c r="Y1046" s="32">
        <f>IF($X1046="","",INT($X1046))</f>
        <v/>
      </c>
      <c r="Z1046" s="33">
        <f>IF(OR($Y1046="",$D$6=""),"",IF(INDEX($A:$U,ROW(),$D$6)="",0,IF(ISNUMBER(INDEX($A:$U,ROW(),$D$6)),INDEX($A:$U,ROW(),$D$6),IFERROR(--SUBSTITUTE(SUBSTITUTE(TRIM(INDEX($A:$U,ROW(),$D$6)),",",""),"원",""),0))))</f>
        <v/>
      </c>
      <c r="AA1046" s="31">
        <f>IF($Y1046="","",TRIM(INDEX($A:$U,ROW(),$E$6)&amp;IF($F$6="",""," "&amp;INDEX($A:$U,ROW(),$F$6))))</f>
        <v/>
      </c>
      <c r="AB1046" s="31">
        <f>IF($AA1046="","",SUBSTITUTE(SUBSTITUTE(SUBSTITUTE(SUBSTITUTE(SUBSTITUTE(SUBSTITUTE(SUBSTITUTE(SUBSTITUTE(SUBSTITUTE($AA1046," ",""),"　",""),"(주)",""),"（주）",""),"㈜",""),"주식회사",""),"(유)",""),"（유）",""),"유한회사",""))</f>
        <v/>
      </c>
      <c r="AC1046" s="31">
        <f>IF(OR($Y1046="",N($Z1046)&lt;=0,$AB1046=""),0,IFERROR(LOOKUP(2,1/((거래처별!$AC$8:$AC$307&lt;&gt;"")*ISNUMBER(SEARCH(거래처별!$AC$8:$AC$307,$AB1046))),거래처별!$A$8:$A$307),IFERROR(LOOKUP(2,1/((거래처별!$AD$8:$AD$307&lt;&gt;"")*ISNUMBER(SEARCH(거래처별!$AD$8:$AD$307,$AB1046))),거래처별!$A$8:$A$307),IFERROR(LOOKUP(2,1/((거래처별!$AE$8:$AE$307&lt;&gt;"")*ISNUMBER(SEARCH(거래처별!$AE$8:$AE$307,$AB1046))),거래처별!$A$8:$A$307),0))))</f>
        <v/>
      </c>
      <c r="AD1046" s="31">
        <f>IF(AND($Y1046&lt;&gt;"",N($Z1046)&gt;0,$AC1046=0),MAX($AD$7:$AD1045)+1,"")</f>
        <v/>
      </c>
      <c r="AE1046" s="31">
        <f>IF($Y1046="",0,$Y1046)</f>
        <v/>
      </c>
    </row>
    <row r="1047">
      <c r="W1047" s="31">
        <f>IF(OR($B$5="",$C$6="",ROW()&lt;$B$5),"",IF(INDEX($A:$U,ROW(),$C$6)="","",INDEX($A:$U,ROW(),$C$6)))</f>
        <v/>
      </c>
      <c r="X1047" s="32">
        <f>IF($W1047="","",IF(ISNUMBER($W1047),IF($W1047&gt;=10000000,IFERROR(DATE(INT($W1047/10000),MOD(INT($W1047/100),100),MOD($W1047,100)),""),INT($W1047)),IFERROR(DATE(--LEFT(LEFT(SUBSTITUTE(SUBSTITUTE(SUBSTITUTE(SUBSTITUTE(TRIM($W1047),"-",""),".",""),"/","")," ",""),8),4),--MID(LEFT(SUBSTITUTE(SUBSTITUTE(SUBSTITUTE(SUBSTITUTE(TRIM($W1047),"-",""),".",""),"/","")," ",""),8),5,2),--MID(LEFT(SUBSTITUTE(SUBSTITUTE(SUBSTITUTE(SUBSTITUTE(TRIM($W1047),"-",""),".",""),"/","")," ",""),8),7,2)),"")))</f>
        <v/>
      </c>
      <c r="Y1047" s="32">
        <f>IF($X1047="","",INT($X1047))</f>
        <v/>
      </c>
      <c r="Z1047" s="33">
        <f>IF(OR($Y1047="",$D$6=""),"",IF(INDEX($A:$U,ROW(),$D$6)="",0,IF(ISNUMBER(INDEX($A:$U,ROW(),$D$6)),INDEX($A:$U,ROW(),$D$6),IFERROR(--SUBSTITUTE(SUBSTITUTE(TRIM(INDEX($A:$U,ROW(),$D$6)),",",""),"원",""),0))))</f>
        <v/>
      </c>
      <c r="AA1047" s="31">
        <f>IF($Y1047="","",TRIM(INDEX($A:$U,ROW(),$E$6)&amp;IF($F$6="",""," "&amp;INDEX($A:$U,ROW(),$F$6))))</f>
        <v/>
      </c>
      <c r="AB1047" s="31">
        <f>IF($AA1047="","",SUBSTITUTE(SUBSTITUTE(SUBSTITUTE(SUBSTITUTE(SUBSTITUTE(SUBSTITUTE(SUBSTITUTE(SUBSTITUTE(SUBSTITUTE($AA1047," ",""),"　",""),"(주)",""),"（주）",""),"㈜",""),"주식회사",""),"(유)",""),"（유）",""),"유한회사",""))</f>
        <v/>
      </c>
      <c r="AC1047" s="31">
        <f>IF(OR($Y1047="",N($Z1047)&lt;=0,$AB1047=""),0,IFERROR(LOOKUP(2,1/((거래처별!$AC$8:$AC$307&lt;&gt;"")*ISNUMBER(SEARCH(거래처별!$AC$8:$AC$307,$AB1047))),거래처별!$A$8:$A$307),IFERROR(LOOKUP(2,1/((거래처별!$AD$8:$AD$307&lt;&gt;"")*ISNUMBER(SEARCH(거래처별!$AD$8:$AD$307,$AB1047))),거래처별!$A$8:$A$307),IFERROR(LOOKUP(2,1/((거래처별!$AE$8:$AE$307&lt;&gt;"")*ISNUMBER(SEARCH(거래처별!$AE$8:$AE$307,$AB1047))),거래처별!$A$8:$A$307),0))))</f>
        <v/>
      </c>
      <c r="AD1047" s="31">
        <f>IF(AND($Y1047&lt;&gt;"",N($Z1047)&gt;0,$AC1047=0),MAX($AD$7:$AD1046)+1,"")</f>
        <v/>
      </c>
      <c r="AE1047" s="31">
        <f>IF($Y1047="",0,$Y1047)</f>
        <v/>
      </c>
    </row>
    <row r="1048">
      <c r="W1048" s="31">
        <f>IF(OR($B$5="",$C$6="",ROW()&lt;$B$5),"",IF(INDEX($A:$U,ROW(),$C$6)="","",INDEX($A:$U,ROW(),$C$6)))</f>
        <v/>
      </c>
      <c r="X1048" s="32">
        <f>IF($W1048="","",IF(ISNUMBER($W1048),IF($W1048&gt;=10000000,IFERROR(DATE(INT($W1048/10000),MOD(INT($W1048/100),100),MOD($W1048,100)),""),INT($W1048)),IFERROR(DATE(--LEFT(LEFT(SUBSTITUTE(SUBSTITUTE(SUBSTITUTE(SUBSTITUTE(TRIM($W1048),"-",""),".",""),"/","")," ",""),8),4),--MID(LEFT(SUBSTITUTE(SUBSTITUTE(SUBSTITUTE(SUBSTITUTE(TRIM($W1048),"-",""),".",""),"/","")," ",""),8),5,2),--MID(LEFT(SUBSTITUTE(SUBSTITUTE(SUBSTITUTE(SUBSTITUTE(TRIM($W1048),"-",""),".",""),"/","")," ",""),8),7,2)),"")))</f>
        <v/>
      </c>
      <c r="Y1048" s="32">
        <f>IF($X1048="","",INT($X1048))</f>
        <v/>
      </c>
      <c r="Z1048" s="33">
        <f>IF(OR($Y1048="",$D$6=""),"",IF(INDEX($A:$U,ROW(),$D$6)="",0,IF(ISNUMBER(INDEX($A:$U,ROW(),$D$6)),INDEX($A:$U,ROW(),$D$6),IFERROR(--SUBSTITUTE(SUBSTITUTE(TRIM(INDEX($A:$U,ROW(),$D$6)),",",""),"원",""),0))))</f>
        <v/>
      </c>
      <c r="AA1048" s="31">
        <f>IF($Y1048="","",TRIM(INDEX($A:$U,ROW(),$E$6)&amp;IF($F$6="",""," "&amp;INDEX($A:$U,ROW(),$F$6))))</f>
        <v/>
      </c>
      <c r="AB1048" s="31">
        <f>IF($AA1048="","",SUBSTITUTE(SUBSTITUTE(SUBSTITUTE(SUBSTITUTE(SUBSTITUTE(SUBSTITUTE(SUBSTITUTE(SUBSTITUTE(SUBSTITUTE($AA1048," ",""),"　",""),"(주)",""),"（주）",""),"㈜",""),"주식회사",""),"(유)",""),"（유）",""),"유한회사",""))</f>
        <v/>
      </c>
      <c r="AC1048" s="31">
        <f>IF(OR($Y1048="",N($Z1048)&lt;=0,$AB1048=""),0,IFERROR(LOOKUP(2,1/((거래처별!$AC$8:$AC$307&lt;&gt;"")*ISNUMBER(SEARCH(거래처별!$AC$8:$AC$307,$AB1048))),거래처별!$A$8:$A$307),IFERROR(LOOKUP(2,1/((거래처별!$AD$8:$AD$307&lt;&gt;"")*ISNUMBER(SEARCH(거래처별!$AD$8:$AD$307,$AB1048))),거래처별!$A$8:$A$307),IFERROR(LOOKUP(2,1/((거래처별!$AE$8:$AE$307&lt;&gt;"")*ISNUMBER(SEARCH(거래처별!$AE$8:$AE$307,$AB1048))),거래처별!$A$8:$A$307),0))))</f>
        <v/>
      </c>
      <c r="AD1048" s="31">
        <f>IF(AND($Y1048&lt;&gt;"",N($Z1048)&gt;0,$AC1048=0),MAX($AD$7:$AD1047)+1,"")</f>
        <v/>
      </c>
      <c r="AE1048" s="31">
        <f>IF($Y1048="",0,$Y1048)</f>
        <v/>
      </c>
    </row>
    <row r="1049">
      <c r="W1049" s="31">
        <f>IF(OR($B$5="",$C$6="",ROW()&lt;$B$5),"",IF(INDEX($A:$U,ROW(),$C$6)="","",INDEX($A:$U,ROW(),$C$6)))</f>
        <v/>
      </c>
      <c r="X1049" s="32">
        <f>IF($W1049="","",IF(ISNUMBER($W1049),IF($W1049&gt;=10000000,IFERROR(DATE(INT($W1049/10000),MOD(INT($W1049/100),100),MOD($W1049,100)),""),INT($W1049)),IFERROR(DATE(--LEFT(LEFT(SUBSTITUTE(SUBSTITUTE(SUBSTITUTE(SUBSTITUTE(TRIM($W1049),"-",""),".",""),"/","")," ",""),8),4),--MID(LEFT(SUBSTITUTE(SUBSTITUTE(SUBSTITUTE(SUBSTITUTE(TRIM($W1049),"-",""),".",""),"/","")," ",""),8),5,2),--MID(LEFT(SUBSTITUTE(SUBSTITUTE(SUBSTITUTE(SUBSTITUTE(TRIM($W1049),"-",""),".",""),"/","")," ",""),8),7,2)),"")))</f>
        <v/>
      </c>
      <c r="Y1049" s="32">
        <f>IF($X1049="","",INT($X1049))</f>
        <v/>
      </c>
      <c r="Z1049" s="33">
        <f>IF(OR($Y1049="",$D$6=""),"",IF(INDEX($A:$U,ROW(),$D$6)="",0,IF(ISNUMBER(INDEX($A:$U,ROW(),$D$6)),INDEX($A:$U,ROW(),$D$6),IFERROR(--SUBSTITUTE(SUBSTITUTE(TRIM(INDEX($A:$U,ROW(),$D$6)),",",""),"원",""),0))))</f>
        <v/>
      </c>
      <c r="AA1049" s="31">
        <f>IF($Y1049="","",TRIM(INDEX($A:$U,ROW(),$E$6)&amp;IF($F$6="",""," "&amp;INDEX($A:$U,ROW(),$F$6))))</f>
        <v/>
      </c>
      <c r="AB1049" s="31">
        <f>IF($AA1049="","",SUBSTITUTE(SUBSTITUTE(SUBSTITUTE(SUBSTITUTE(SUBSTITUTE(SUBSTITUTE(SUBSTITUTE(SUBSTITUTE(SUBSTITUTE($AA1049," ",""),"　",""),"(주)",""),"（주）",""),"㈜",""),"주식회사",""),"(유)",""),"（유）",""),"유한회사",""))</f>
        <v/>
      </c>
      <c r="AC1049" s="31">
        <f>IF(OR($Y1049="",N($Z1049)&lt;=0,$AB1049=""),0,IFERROR(LOOKUP(2,1/((거래처별!$AC$8:$AC$307&lt;&gt;"")*ISNUMBER(SEARCH(거래처별!$AC$8:$AC$307,$AB1049))),거래처별!$A$8:$A$307),IFERROR(LOOKUP(2,1/((거래처별!$AD$8:$AD$307&lt;&gt;"")*ISNUMBER(SEARCH(거래처별!$AD$8:$AD$307,$AB1049))),거래처별!$A$8:$A$307),IFERROR(LOOKUP(2,1/((거래처별!$AE$8:$AE$307&lt;&gt;"")*ISNUMBER(SEARCH(거래처별!$AE$8:$AE$307,$AB1049))),거래처별!$A$8:$A$307),0))))</f>
        <v/>
      </c>
      <c r="AD1049" s="31">
        <f>IF(AND($Y1049&lt;&gt;"",N($Z1049)&gt;0,$AC1049=0),MAX($AD$7:$AD1048)+1,"")</f>
        <v/>
      </c>
      <c r="AE1049" s="31">
        <f>IF($Y1049="",0,$Y1049)</f>
        <v/>
      </c>
    </row>
    <row r="1050">
      <c r="W1050" s="31">
        <f>IF(OR($B$5="",$C$6="",ROW()&lt;$B$5),"",IF(INDEX($A:$U,ROW(),$C$6)="","",INDEX($A:$U,ROW(),$C$6)))</f>
        <v/>
      </c>
      <c r="X1050" s="32">
        <f>IF($W1050="","",IF(ISNUMBER($W1050),IF($W1050&gt;=10000000,IFERROR(DATE(INT($W1050/10000),MOD(INT($W1050/100),100),MOD($W1050,100)),""),INT($W1050)),IFERROR(DATE(--LEFT(LEFT(SUBSTITUTE(SUBSTITUTE(SUBSTITUTE(SUBSTITUTE(TRIM($W1050),"-",""),".",""),"/","")," ",""),8),4),--MID(LEFT(SUBSTITUTE(SUBSTITUTE(SUBSTITUTE(SUBSTITUTE(TRIM($W1050),"-",""),".",""),"/","")," ",""),8),5,2),--MID(LEFT(SUBSTITUTE(SUBSTITUTE(SUBSTITUTE(SUBSTITUTE(TRIM($W1050),"-",""),".",""),"/","")," ",""),8),7,2)),"")))</f>
        <v/>
      </c>
      <c r="Y1050" s="32">
        <f>IF($X1050="","",INT($X1050))</f>
        <v/>
      </c>
      <c r="Z1050" s="33">
        <f>IF(OR($Y1050="",$D$6=""),"",IF(INDEX($A:$U,ROW(),$D$6)="",0,IF(ISNUMBER(INDEX($A:$U,ROW(),$D$6)),INDEX($A:$U,ROW(),$D$6),IFERROR(--SUBSTITUTE(SUBSTITUTE(TRIM(INDEX($A:$U,ROW(),$D$6)),",",""),"원",""),0))))</f>
        <v/>
      </c>
      <c r="AA1050" s="31">
        <f>IF($Y1050="","",TRIM(INDEX($A:$U,ROW(),$E$6)&amp;IF($F$6="",""," "&amp;INDEX($A:$U,ROW(),$F$6))))</f>
        <v/>
      </c>
      <c r="AB1050" s="31">
        <f>IF($AA1050="","",SUBSTITUTE(SUBSTITUTE(SUBSTITUTE(SUBSTITUTE(SUBSTITUTE(SUBSTITUTE(SUBSTITUTE(SUBSTITUTE(SUBSTITUTE($AA1050," ",""),"　",""),"(주)",""),"（주）",""),"㈜",""),"주식회사",""),"(유)",""),"（유）",""),"유한회사",""))</f>
        <v/>
      </c>
      <c r="AC1050" s="31">
        <f>IF(OR($Y1050="",N($Z1050)&lt;=0,$AB1050=""),0,IFERROR(LOOKUP(2,1/((거래처별!$AC$8:$AC$307&lt;&gt;"")*ISNUMBER(SEARCH(거래처별!$AC$8:$AC$307,$AB1050))),거래처별!$A$8:$A$307),IFERROR(LOOKUP(2,1/((거래처별!$AD$8:$AD$307&lt;&gt;"")*ISNUMBER(SEARCH(거래처별!$AD$8:$AD$307,$AB1050))),거래처별!$A$8:$A$307),IFERROR(LOOKUP(2,1/((거래처별!$AE$8:$AE$307&lt;&gt;"")*ISNUMBER(SEARCH(거래처별!$AE$8:$AE$307,$AB1050))),거래처별!$A$8:$A$307),0))))</f>
        <v/>
      </c>
      <c r="AD1050" s="31">
        <f>IF(AND($Y1050&lt;&gt;"",N($Z1050)&gt;0,$AC1050=0),MAX($AD$7:$AD1049)+1,"")</f>
        <v/>
      </c>
      <c r="AE1050" s="31">
        <f>IF($Y1050="",0,$Y1050)</f>
        <v/>
      </c>
    </row>
    <row r="1051">
      <c r="W1051" s="31">
        <f>IF(OR($B$5="",$C$6="",ROW()&lt;$B$5),"",IF(INDEX($A:$U,ROW(),$C$6)="","",INDEX($A:$U,ROW(),$C$6)))</f>
        <v/>
      </c>
      <c r="X1051" s="32">
        <f>IF($W1051="","",IF(ISNUMBER($W1051),IF($W1051&gt;=10000000,IFERROR(DATE(INT($W1051/10000),MOD(INT($W1051/100),100),MOD($W1051,100)),""),INT($W1051)),IFERROR(DATE(--LEFT(LEFT(SUBSTITUTE(SUBSTITUTE(SUBSTITUTE(SUBSTITUTE(TRIM($W1051),"-",""),".",""),"/","")," ",""),8),4),--MID(LEFT(SUBSTITUTE(SUBSTITUTE(SUBSTITUTE(SUBSTITUTE(TRIM($W1051),"-",""),".",""),"/","")," ",""),8),5,2),--MID(LEFT(SUBSTITUTE(SUBSTITUTE(SUBSTITUTE(SUBSTITUTE(TRIM($W1051),"-",""),".",""),"/","")," ",""),8),7,2)),"")))</f>
        <v/>
      </c>
      <c r="Y1051" s="32">
        <f>IF($X1051="","",INT($X1051))</f>
        <v/>
      </c>
      <c r="Z1051" s="33">
        <f>IF(OR($Y1051="",$D$6=""),"",IF(INDEX($A:$U,ROW(),$D$6)="",0,IF(ISNUMBER(INDEX($A:$U,ROW(),$D$6)),INDEX($A:$U,ROW(),$D$6),IFERROR(--SUBSTITUTE(SUBSTITUTE(TRIM(INDEX($A:$U,ROW(),$D$6)),",",""),"원",""),0))))</f>
        <v/>
      </c>
      <c r="AA1051" s="31">
        <f>IF($Y1051="","",TRIM(INDEX($A:$U,ROW(),$E$6)&amp;IF($F$6="",""," "&amp;INDEX($A:$U,ROW(),$F$6))))</f>
        <v/>
      </c>
      <c r="AB1051" s="31">
        <f>IF($AA1051="","",SUBSTITUTE(SUBSTITUTE(SUBSTITUTE(SUBSTITUTE(SUBSTITUTE(SUBSTITUTE(SUBSTITUTE(SUBSTITUTE(SUBSTITUTE($AA1051," ",""),"　",""),"(주)",""),"（주）",""),"㈜",""),"주식회사",""),"(유)",""),"（유）",""),"유한회사",""))</f>
        <v/>
      </c>
      <c r="AC1051" s="31">
        <f>IF(OR($Y1051="",N($Z1051)&lt;=0,$AB1051=""),0,IFERROR(LOOKUP(2,1/((거래처별!$AC$8:$AC$307&lt;&gt;"")*ISNUMBER(SEARCH(거래처별!$AC$8:$AC$307,$AB1051))),거래처별!$A$8:$A$307),IFERROR(LOOKUP(2,1/((거래처별!$AD$8:$AD$307&lt;&gt;"")*ISNUMBER(SEARCH(거래처별!$AD$8:$AD$307,$AB1051))),거래처별!$A$8:$A$307),IFERROR(LOOKUP(2,1/((거래처별!$AE$8:$AE$307&lt;&gt;"")*ISNUMBER(SEARCH(거래처별!$AE$8:$AE$307,$AB1051))),거래처별!$A$8:$A$307),0))))</f>
        <v/>
      </c>
      <c r="AD1051" s="31">
        <f>IF(AND($Y1051&lt;&gt;"",N($Z1051)&gt;0,$AC1051=0),MAX($AD$7:$AD1050)+1,"")</f>
        <v/>
      </c>
      <c r="AE1051" s="31">
        <f>IF($Y1051="",0,$Y1051)</f>
        <v/>
      </c>
    </row>
    <row r="1052">
      <c r="W1052" s="31">
        <f>IF(OR($B$5="",$C$6="",ROW()&lt;$B$5),"",IF(INDEX($A:$U,ROW(),$C$6)="","",INDEX($A:$U,ROW(),$C$6)))</f>
        <v/>
      </c>
      <c r="X1052" s="32">
        <f>IF($W1052="","",IF(ISNUMBER($W1052),IF($W1052&gt;=10000000,IFERROR(DATE(INT($W1052/10000),MOD(INT($W1052/100),100),MOD($W1052,100)),""),INT($W1052)),IFERROR(DATE(--LEFT(LEFT(SUBSTITUTE(SUBSTITUTE(SUBSTITUTE(SUBSTITUTE(TRIM($W1052),"-",""),".",""),"/","")," ",""),8),4),--MID(LEFT(SUBSTITUTE(SUBSTITUTE(SUBSTITUTE(SUBSTITUTE(TRIM($W1052),"-",""),".",""),"/","")," ",""),8),5,2),--MID(LEFT(SUBSTITUTE(SUBSTITUTE(SUBSTITUTE(SUBSTITUTE(TRIM($W1052),"-",""),".",""),"/","")," ",""),8),7,2)),"")))</f>
        <v/>
      </c>
      <c r="Y1052" s="32">
        <f>IF($X1052="","",INT($X1052))</f>
        <v/>
      </c>
      <c r="Z1052" s="33">
        <f>IF(OR($Y1052="",$D$6=""),"",IF(INDEX($A:$U,ROW(),$D$6)="",0,IF(ISNUMBER(INDEX($A:$U,ROW(),$D$6)),INDEX($A:$U,ROW(),$D$6),IFERROR(--SUBSTITUTE(SUBSTITUTE(TRIM(INDEX($A:$U,ROW(),$D$6)),",",""),"원",""),0))))</f>
        <v/>
      </c>
      <c r="AA1052" s="31">
        <f>IF($Y1052="","",TRIM(INDEX($A:$U,ROW(),$E$6)&amp;IF($F$6="",""," "&amp;INDEX($A:$U,ROW(),$F$6))))</f>
        <v/>
      </c>
      <c r="AB1052" s="31">
        <f>IF($AA1052="","",SUBSTITUTE(SUBSTITUTE(SUBSTITUTE(SUBSTITUTE(SUBSTITUTE(SUBSTITUTE(SUBSTITUTE(SUBSTITUTE(SUBSTITUTE($AA1052," ",""),"　",""),"(주)",""),"（주）",""),"㈜",""),"주식회사",""),"(유)",""),"（유）",""),"유한회사",""))</f>
        <v/>
      </c>
      <c r="AC1052" s="31">
        <f>IF(OR($Y1052="",N($Z1052)&lt;=0,$AB1052=""),0,IFERROR(LOOKUP(2,1/((거래처별!$AC$8:$AC$307&lt;&gt;"")*ISNUMBER(SEARCH(거래처별!$AC$8:$AC$307,$AB1052))),거래처별!$A$8:$A$307),IFERROR(LOOKUP(2,1/((거래처별!$AD$8:$AD$307&lt;&gt;"")*ISNUMBER(SEARCH(거래처별!$AD$8:$AD$307,$AB1052))),거래처별!$A$8:$A$307),IFERROR(LOOKUP(2,1/((거래처별!$AE$8:$AE$307&lt;&gt;"")*ISNUMBER(SEARCH(거래처별!$AE$8:$AE$307,$AB1052))),거래처별!$A$8:$A$307),0))))</f>
        <v/>
      </c>
      <c r="AD1052" s="31">
        <f>IF(AND($Y1052&lt;&gt;"",N($Z1052)&gt;0,$AC1052=0),MAX($AD$7:$AD1051)+1,"")</f>
        <v/>
      </c>
      <c r="AE1052" s="31">
        <f>IF($Y1052="",0,$Y1052)</f>
        <v/>
      </c>
    </row>
    <row r="1053">
      <c r="W1053" s="31">
        <f>IF(OR($B$5="",$C$6="",ROW()&lt;$B$5),"",IF(INDEX($A:$U,ROW(),$C$6)="","",INDEX($A:$U,ROW(),$C$6)))</f>
        <v/>
      </c>
      <c r="X1053" s="32">
        <f>IF($W1053="","",IF(ISNUMBER($W1053),IF($W1053&gt;=10000000,IFERROR(DATE(INT($W1053/10000),MOD(INT($W1053/100),100),MOD($W1053,100)),""),INT($W1053)),IFERROR(DATE(--LEFT(LEFT(SUBSTITUTE(SUBSTITUTE(SUBSTITUTE(SUBSTITUTE(TRIM($W1053),"-",""),".",""),"/","")," ",""),8),4),--MID(LEFT(SUBSTITUTE(SUBSTITUTE(SUBSTITUTE(SUBSTITUTE(TRIM($W1053),"-",""),".",""),"/","")," ",""),8),5,2),--MID(LEFT(SUBSTITUTE(SUBSTITUTE(SUBSTITUTE(SUBSTITUTE(TRIM($W1053),"-",""),".",""),"/","")," ",""),8),7,2)),"")))</f>
        <v/>
      </c>
      <c r="Y1053" s="32">
        <f>IF($X1053="","",INT($X1053))</f>
        <v/>
      </c>
      <c r="Z1053" s="33">
        <f>IF(OR($Y1053="",$D$6=""),"",IF(INDEX($A:$U,ROW(),$D$6)="",0,IF(ISNUMBER(INDEX($A:$U,ROW(),$D$6)),INDEX($A:$U,ROW(),$D$6),IFERROR(--SUBSTITUTE(SUBSTITUTE(TRIM(INDEX($A:$U,ROW(),$D$6)),",",""),"원",""),0))))</f>
        <v/>
      </c>
      <c r="AA1053" s="31">
        <f>IF($Y1053="","",TRIM(INDEX($A:$U,ROW(),$E$6)&amp;IF($F$6="",""," "&amp;INDEX($A:$U,ROW(),$F$6))))</f>
        <v/>
      </c>
      <c r="AB1053" s="31">
        <f>IF($AA1053="","",SUBSTITUTE(SUBSTITUTE(SUBSTITUTE(SUBSTITUTE(SUBSTITUTE(SUBSTITUTE(SUBSTITUTE(SUBSTITUTE(SUBSTITUTE($AA1053," ",""),"　",""),"(주)",""),"（주）",""),"㈜",""),"주식회사",""),"(유)",""),"（유）",""),"유한회사",""))</f>
        <v/>
      </c>
      <c r="AC1053" s="31">
        <f>IF(OR($Y1053="",N($Z1053)&lt;=0,$AB1053=""),0,IFERROR(LOOKUP(2,1/((거래처별!$AC$8:$AC$307&lt;&gt;"")*ISNUMBER(SEARCH(거래처별!$AC$8:$AC$307,$AB1053))),거래처별!$A$8:$A$307),IFERROR(LOOKUP(2,1/((거래처별!$AD$8:$AD$307&lt;&gt;"")*ISNUMBER(SEARCH(거래처별!$AD$8:$AD$307,$AB1053))),거래처별!$A$8:$A$307),IFERROR(LOOKUP(2,1/((거래처별!$AE$8:$AE$307&lt;&gt;"")*ISNUMBER(SEARCH(거래처별!$AE$8:$AE$307,$AB1053))),거래처별!$A$8:$A$307),0))))</f>
        <v/>
      </c>
      <c r="AD1053" s="31">
        <f>IF(AND($Y1053&lt;&gt;"",N($Z1053)&gt;0,$AC1053=0),MAX($AD$7:$AD1052)+1,"")</f>
        <v/>
      </c>
      <c r="AE1053" s="31">
        <f>IF($Y1053="",0,$Y1053)</f>
        <v/>
      </c>
    </row>
    <row r="1054">
      <c r="W1054" s="31">
        <f>IF(OR($B$5="",$C$6="",ROW()&lt;$B$5),"",IF(INDEX($A:$U,ROW(),$C$6)="","",INDEX($A:$U,ROW(),$C$6)))</f>
        <v/>
      </c>
      <c r="X1054" s="32">
        <f>IF($W1054="","",IF(ISNUMBER($W1054),IF($W1054&gt;=10000000,IFERROR(DATE(INT($W1054/10000),MOD(INT($W1054/100),100),MOD($W1054,100)),""),INT($W1054)),IFERROR(DATE(--LEFT(LEFT(SUBSTITUTE(SUBSTITUTE(SUBSTITUTE(SUBSTITUTE(TRIM($W1054),"-",""),".",""),"/","")," ",""),8),4),--MID(LEFT(SUBSTITUTE(SUBSTITUTE(SUBSTITUTE(SUBSTITUTE(TRIM($W1054),"-",""),".",""),"/","")," ",""),8),5,2),--MID(LEFT(SUBSTITUTE(SUBSTITUTE(SUBSTITUTE(SUBSTITUTE(TRIM($W1054),"-",""),".",""),"/","")," ",""),8),7,2)),"")))</f>
        <v/>
      </c>
      <c r="Y1054" s="32">
        <f>IF($X1054="","",INT($X1054))</f>
        <v/>
      </c>
      <c r="Z1054" s="33">
        <f>IF(OR($Y1054="",$D$6=""),"",IF(INDEX($A:$U,ROW(),$D$6)="",0,IF(ISNUMBER(INDEX($A:$U,ROW(),$D$6)),INDEX($A:$U,ROW(),$D$6),IFERROR(--SUBSTITUTE(SUBSTITUTE(TRIM(INDEX($A:$U,ROW(),$D$6)),",",""),"원",""),0))))</f>
        <v/>
      </c>
      <c r="AA1054" s="31">
        <f>IF($Y1054="","",TRIM(INDEX($A:$U,ROW(),$E$6)&amp;IF($F$6="",""," "&amp;INDEX($A:$U,ROW(),$F$6))))</f>
        <v/>
      </c>
      <c r="AB1054" s="31">
        <f>IF($AA1054="","",SUBSTITUTE(SUBSTITUTE(SUBSTITUTE(SUBSTITUTE(SUBSTITUTE(SUBSTITUTE(SUBSTITUTE(SUBSTITUTE(SUBSTITUTE($AA1054," ",""),"　",""),"(주)",""),"（주）",""),"㈜",""),"주식회사",""),"(유)",""),"（유）",""),"유한회사",""))</f>
        <v/>
      </c>
      <c r="AC1054" s="31">
        <f>IF(OR($Y1054="",N($Z1054)&lt;=0,$AB1054=""),0,IFERROR(LOOKUP(2,1/((거래처별!$AC$8:$AC$307&lt;&gt;"")*ISNUMBER(SEARCH(거래처별!$AC$8:$AC$307,$AB1054))),거래처별!$A$8:$A$307),IFERROR(LOOKUP(2,1/((거래처별!$AD$8:$AD$307&lt;&gt;"")*ISNUMBER(SEARCH(거래처별!$AD$8:$AD$307,$AB1054))),거래처별!$A$8:$A$307),IFERROR(LOOKUP(2,1/((거래처별!$AE$8:$AE$307&lt;&gt;"")*ISNUMBER(SEARCH(거래처별!$AE$8:$AE$307,$AB1054))),거래처별!$A$8:$A$307),0))))</f>
        <v/>
      </c>
      <c r="AD1054" s="31">
        <f>IF(AND($Y1054&lt;&gt;"",N($Z1054)&gt;0,$AC1054=0),MAX($AD$7:$AD1053)+1,"")</f>
        <v/>
      </c>
      <c r="AE1054" s="31">
        <f>IF($Y1054="",0,$Y1054)</f>
        <v/>
      </c>
    </row>
    <row r="1055">
      <c r="W1055" s="31">
        <f>IF(OR($B$5="",$C$6="",ROW()&lt;$B$5),"",IF(INDEX($A:$U,ROW(),$C$6)="","",INDEX($A:$U,ROW(),$C$6)))</f>
        <v/>
      </c>
      <c r="X1055" s="32">
        <f>IF($W1055="","",IF(ISNUMBER($W1055),IF($W1055&gt;=10000000,IFERROR(DATE(INT($W1055/10000),MOD(INT($W1055/100),100),MOD($W1055,100)),""),INT($W1055)),IFERROR(DATE(--LEFT(LEFT(SUBSTITUTE(SUBSTITUTE(SUBSTITUTE(SUBSTITUTE(TRIM($W1055),"-",""),".",""),"/","")," ",""),8),4),--MID(LEFT(SUBSTITUTE(SUBSTITUTE(SUBSTITUTE(SUBSTITUTE(TRIM($W1055),"-",""),".",""),"/","")," ",""),8),5,2),--MID(LEFT(SUBSTITUTE(SUBSTITUTE(SUBSTITUTE(SUBSTITUTE(TRIM($W1055),"-",""),".",""),"/","")," ",""),8),7,2)),"")))</f>
        <v/>
      </c>
      <c r="Y1055" s="32">
        <f>IF($X1055="","",INT($X1055))</f>
        <v/>
      </c>
      <c r="Z1055" s="33">
        <f>IF(OR($Y1055="",$D$6=""),"",IF(INDEX($A:$U,ROW(),$D$6)="",0,IF(ISNUMBER(INDEX($A:$U,ROW(),$D$6)),INDEX($A:$U,ROW(),$D$6),IFERROR(--SUBSTITUTE(SUBSTITUTE(TRIM(INDEX($A:$U,ROW(),$D$6)),",",""),"원",""),0))))</f>
        <v/>
      </c>
      <c r="AA1055" s="31">
        <f>IF($Y1055="","",TRIM(INDEX($A:$U,ROW(),$E$6)&amp;IF($F$6="",""," "&amp;INDEX($A:$U,ROW(),$F$6))))</f>
        <v/>
      </c>
      <c r="AB1055" s="31">
        <f>IF($AA1055="","",SUBSTITUTE(SUBSTITUTE(SUBSTITUTE(SUBSTITUTE(SUBSTITUTE(SUBSTITUTE(SUBSTITUTE(SUBSTITUTE(SUBSTITUTE($AA1055," ",""),"　",""),"(주)",""),"（주）",""),"㈜",""),"주식회사",""),"(유)",""),"（유）",""),"유한회사",""))</f>
        <v/>
      </c>
      <c r="AC1055" s="31">
        <f>IF(OR($Y1055="",N($Z1055)&lt;=0,$AB1055=""),0,IFERROR(LOOKUP(2,1/((거래처별!$AC$8:$AC$307&lt;&gt;"")*ISNUMBER(SEARCH(거래처별!$AC$8:$AC$307,$AB1055))),거래처별!$A$8:$A$307),IFERROR(LOOKUP(2,1/((거래처별!$AD$8:$AD$307&lt;&gt;"")*ISNUMBER(SEARCH(거래처별!$AD$8:$AD$307,$AB1055))),거래처별!$A$8:$A$307),IFERROR(LOOKUP(2,1/((거래처별!$AE$8:$AE$307&lt;&gt;"")*ISNUMBER(SEARCH(거래처별!$AE$8:$AE$307,$AB1055))),거래처별!$A$8:$A$307),0))))</f>
        <v/>
      </c>
      <c r="AD1055" s="31">
        <f>IF(AND($Y1055&lt;&gt;"",N($Z1055)&gt;0,$AC1055=0),MAX($AD$7:$AD1054)+1,"")</f>
        <v/>
      </c>
      <c r="AE1055" s="31">
        <f>IF($Y1055="",0,$Y1055)</f>
        <v/>
      </c>
    </row>
    <row r="1056">
      <c r="W1056" s="31">
        <f>IF(OR($B$5="",$C$6="",ROW()&lt;$B$5),"",IF(INDEX($A:$U,ROW(),$C$6)="","",INDEX($A:$U,ROW(),$C$6)))</f>
        <v/>
      </c>
      <c r="X1056" s="32">
        <f>IF($W1056="","",IF(ISNUMBER($W1056),IF($W1056&gt;=10000000,IFERROR(DATE(INT($W1056/10000),MOD(INT($W1056/100),100),MOD($W1056,100)),""),INT($W1056)),IFERROR(DATE(--LEFT(LEFT(SUBSTITUTE(SUBSTITUTE(SUBSTITUTE(SUBSTITUTE(TRIM($W1056),"-",""),".",""),"/","")," ",""),8),4),--MID(LEFT(SUBSTITUTE(SUBSTITUTE(SUBSTITUTE(SUBSTITUTE(TRIM($W1056),"-",""),".",""),"/","")," ",""),8),5,2),--MID(LEFT(SUBSTITUTE(SUBSTITUTE(SUBSTITUTE(SUBSTITUTE(TRIM($W1056),"-",""),".",""),"/","")," ",""),8),7,2)),"")))</f>
        <v/>
      </c>
      <c r="Y1056" s="32">
        <f>IF($X1056="","",INT($X1056))</f>
        <v/>
      </c>
      <c r="Z1056" s="33">
        <f>IF(OR($Y1056="",$D$6=""),"",IF(INDEX($A:$U,ROW(),$D$6)="",0,IF(ISNUMBER(INDEX($A:$U,ROW(),$D$6)),INDEX($A:$U,ROW(),$D$6),IFERROR(--SUBSTITUTE(SUBSTITUTE(TRIM(INDEX($A:$U,ROW(),$D$6)),",",""),"원",""),0))))</f>
        <v/>
      </c>
      <c r="AA1056" s="31">
        <f>IF($Y1056="","",TRIM(INDEX($A:$U,ROW(),$E$6)&amp;IF($F$6="",""," "&amp;INDEX($A:$U,ROW(),$F$6))))</f>
        <v/>
      </c>
      <c r="AB1056" s="31">
        <f>IF($AA1056="","",SUBSTITUTE(SUBSTITUTE(SUBSTITUTE(SUBSTITUTE(SUBSTITUTE(SUBSTITUTE(SUBSTITUTE(SUBSTITUTE(SUBSTITUTE($AA1056," ",""),"　",""),"(주)",""),"（주）",""),"㈜",""),"주식회사",""),"(유)",""),"（유）",""),"유한회사",""))</f>
        <v/>
      </c>
      <c r="AC1056" s="31">
        <f>IF(OR($Y1056="",N($Z1056)&lt;=0,$AB1056=""),0,IFERROR(LOOKUP(2,1/((거래처별!$AC$8:$AC$307&lt;&gt;"")*ISNUMBER(SEARCH(거래처별!$AC$8:$AC$307,$AB1056))),거래처별!$A$8:$A$307),IFERROR(LOOKUP(2,1/((거래처별!$AD$8:$AD$307&lt;&gt;"")*ISNUMBER(SEARCH(거래처별!$AD$8:$AD$307,$AB1056))),거래처별!$A$8:$A$307),IFERROR(LOOKUP(2,1/((거래처별!$AE$8:$AE$307&lt;&gt;"")*ISNUMBER(SEARCH(거래처별!$AE$8:$AE$307,$AB1056))),거래처별!$A$8:$A$307),0))))</f>
        <v/>
      </c>
      <c r="AD1056" s="31">
        <f>IF(AND($Y1056&lt;&gt;"",N($Z1056)&gt;0,$AC1056=0),MAX($AD$7:$AD1055)+1,"")</f>
        <v/>
      </c>
      <c r="AE1056" s="31">
        <f>IF($Y1056="",0,$Y1056)</f>
        <v/>
      </c>
    </row>
    <row r="1057">
      <c r="W1057" s="31">
        <f>IF(OR($B$5="",$C$6="",ROW()&lt;$B$5),"",IF(INDEX($A:$U,ROW(),$C$6)="","",INDEX($A:$U,ROW(),$C$6)))</f>
        <v/>
      </c>
      <c r="X1057" s="32">
        <f>IF($W1057="","",IF(ISNUMBER($W1057),IF($W1057&gt;=10000000,IFERROR(DATE(INT($W1057/10000),MOD(INT($W1057/100),100),MOD($W1057,100)),""),INT($W1057)),IFERROR(DATE(--LEFT(LEFT(SUBSTITUTE(SUBSTITUTE(SUBSTITUTE(SUBSTITUTE(TRIM($W1057),"-",""),".",""),"/","")," ",""),8),4),--MID(LEFT(SUBSTITUTE(SUBSTITUTE(SUBSTITUTE(SUBSTITUTE(TRIM($W1057),"-",""),".",""),"/","")," ",""),8),5,2),--MID(LEFT(SUBSTITUTE(SUBSTITUTE(SUBSTITUTE(SUBSTITUTE(TRIM($W1057),"-",""),".",""),"/","")," ",""),8),7,2)),"")))</f>
        <v/>
      </c>
      <c r="Y1057" s="32">
        <f>IF($X1057="","",INT($X1057))</f>
        <v/>
      </c>
      <c r="Z1057" s="33">
        <f>IF(OR($Y1057="",$D$6=""),"",IF(INDEX($A:$U,ROW(),$D$6)="",0,IF(ISNUMBER(INDEX($A:$U,ROW(),$D$6)),INDEX($A:$U,ROW(),$D$6),IFERROR(--SUBSTITUTE(SUBSTITUTE(TRIM(INDEX($A:$U,ROW(),$D$6)),",",""),"원",""),0))))</f>
        <v/>
      </c>
      <c r="AA1057" s="31">
        <f>IF($Y1057="","",TRIM(INDEX($A:$U,ROW(),$E$6)&amp;IF($F$6="",""," "&amp;INDEX($A:$U,ROW(),$F$6))))</f>
        <v/>
      </c>
      <c r="AB1057" s="31">
        <f>IF($AA1057="","",SUBSTITUTE(SUBSTITUTE(SUBSTITUTE(SUBSTITUTE(SUBSTITUTE(SUBSTITUTE(SUBSTITUTE(SUBSTITUTE(SUBSTITUTE($AA1057," ",""),"　",""),"(주)",""),"（주）",""),"㈜",""),"주식회사",""),"(유)",""),"（유）",""),"유한회사",""))</f>
        <v/>
      </c>
      <c r="AC1057" s="31">
        <f>IF(OR($Y1057="",N($Z1057)&lt;=0,$AB1057=""),0,IFERROR(LOOKUP(2,1/((거래처별!$AC$8:$AC$307&lt;&gt;"")*ISNUMBER(SEARCH(거래처별!$AC$8:$AC$307,$AB1057))),거래처별!$A$8:$A$307),IFERROR(LOOKUP(2,1/((거래처별!$AD$8:$AD$307&lt;&gt;"")*ISNUMBER(SEARCH(거래처별!$AD$8:$AD$307,$AB1057))),거래처별!$A$8:$A$307),IFERROR(LOOKUP(2,1/((거래처별!$AE$8:$AE$307&lt;&gt;"")*ISNUMBER(SEARCH(거래처별!$AE$8:$AE$307,$AB1057))),거래처별!$A$8:$A$307),0))))</f>
        <v/>
      </c>
      <c r="AD1057" s="31">
        <f>IF(AND($Y1057&lt;&gt;"",N($Z1057)&gt;0,$AC1057=0),MAX($AD$7:$AD1056)+1,"")</f>
        <v/>
      </c>
      <c r="AE1057" s="31">
        <f>IF($Y1057="",0,$Y1057)</f>
        <v/>
      </c>
    </row>
    <row r="1058">
      <c r="W1058" s="31">
        <f>IF(OR($B$5="",$C$6="",ROW()&lt;$B$5),"",IF(INDEX($A:$U,ROW(),$C$6)="","",INDEX($A:$U,ROW(),$C$6)))</f>
        <v/>
      </c>
      <c r="X1058" s="32">
        <f>IF($W1058="","",IF(ISNUMBER($W1058),IF($W1058&gt;=10000000,IFERROR(DATE(INT($W1058/10000),MOD(INT($W1058/100),100),MOD($W1058,100)),""),INT($W1058)),IFERROR(DATE(--LEFT(LEFT(SUBSTITUTE(SUBSTITUTE(SUBSTITUTE(SUBSTITUTE(TRIM($W1058),"-",""),".",""),"/","")," ",""),8),4),--MID(LEFT(SUBSTITUTE(SUBSTITUTE(SUBSTITUTE(SUBSTITUTE(TRIM($W1058),"-",""),".",""),"/","")," ",""),8),5,2),--MID(LEFT(SUBSTITUTE(SUBSTITUTE(SUBSTITUTE(SUBSTITUTE(TRIM($W1058),"-",""),".",""),"/","")," ",""),8),7,2)),"")))</f>
        <v/>
      </c>
      <c r="Y1058" s="32">
        <f>IF($X1058="","",INT($X1058))</f>
        <v/>
      </c>
      <c r="Z1058" s="33">
        <f>IF(OR($Y1058="",$D$6=""),"",IF(INDEX($A:$U,ROW(),$D$6)="",0,IF(ISNUMBER(INDEX($A:$U,ROW(),$D$6)),INDEX($A:$U,ROW(),$D$6),IFERROR(--SUBSTITUTE(SUBSTITUTE(TRIM(INDEX($A:$U,ROW(),$D$6)),",",""),"원",""),0))))</f>
        <v/>
      </c>
      <c r="AA1058" s="31">
        <f>IF($Y1058="","",TRIM(INDEX($A:$U,ROW(),$E$6)&amp;IF($F$6="",""," "&amp;INDEX($A:$U,ROW(),$F$6))))</f>
        <v/>
      </c>
      <c r="AB1058" s="31">
        <f>IF($AA1058="","",SUBSTITUTE(SUBSTITUTE(SUBSTITUTE(SUBSTITUTE(SUBSTITUTE(SUBSTITUTE(SUBSTITUTE(SUBSTITUTE(SUBSTITUTE($AA1058," ",""),"　",""),"(주)",""),"（주）",""),"㈜",""),"주식회사",""),"(유)",""),"（유）",""),"유한회사",""))</f>
        <v/>
      </c>
      <c r="AC1058" s="31">
        <f>IF(OR($Y1058="",N($Z1058)&lt;=0,$AB1058=""),0,IFERROR(LOOKUP(2,1/((거래처별!$AC$8:$AC$307&lt;&gt;"")*ISNUMBER(SEARCH(거래처별!$AC$8:$AC$307,$AB1058))),거래처별!$A$8:$A$307),IFERROR(LOOKUP(2,1/((거래처별!$AD$8:$AD$307&lt;&gt;"")*ISNUMBER(SEARCH(거래처별!$AD$8:$AD$307,$AB1058))),거래처별!$A$8:$A$307),IFERROR(LOOKUP(2,1/((거래처별!$AE$8:$AE$307&lt;&gt;"")*ISNUMBER(SEARCH(거래처별!$AE$8:$AE$307,$AB1058))),거래처별!$A$8:$A$307),0))))</f>
        <v/>
      </c>
      <c r="AD1058" s="31">
        <f>IF(AND($Y1058&lt;&gt;"",N($Z1058)&gt;0,$AC1058=0),MAX($AD$7:$AD1057)+1,"")</f>
        <v/>
      </c>
      <c r="AE1058" s="31">
        <f>IF($Y1058="",0,$Y1058)</f>
        <v/>
      </c>
    </row>
    <row r="1059">
      <c r="W1059" s="31">
        <f>IF(OR($B$5="",$C$6="",ROW()&lt;$B$5),"",IF(INDEX($A:$U,ROW(),$C$6)="","",INDEX($A:$U,ROW(),$C$6)))</f>
        <v/>
      </c>
      <c r="X1059" s="32">
        <f>IF($W1059="","",IF(ISNUMBER($W1059),IF($W1059&gt;=10000000,IFERROR(DATE(INT($W1059/10000),MOD(INT($W1059/100),100),MOD($W1059,100)),""),INT($W1059)),IFERROR(DATE(--LEFT(LEFT(SUBSTITUTE(SUBSTITUTE(SUBSTITUTE(SUBSTITUTE(TRIM($W1059),"-",""),".",""),"/","")," ",""),8),4),--MID(LEFT(SUBSTITUTE(SUBSTITUTE(SUBSTITUTE(SUBSTITUTE(TRIM($W1059),"-",""),".",""),"/","")," ",""),8),5,2),--MID(LEFT(SUBSTITUTE(SUBSTITUTE(SUBSTITUTE(SUBSTITUTE(TRIM($W1059),"-",""),".",""),"/","")," ",""),8),7,2)),"")))</f>
        <v/>
      </c>
      <c r="Y1059" s="32">
        <f>IF($X1059="","",INT($X1059))</f>
        <v/>
      </c>
      <c r="Z1059" s="33">
        <f>IF(OR($Y1059="",$D$6=""),"",IF(INDEX($A:$U,ROW(),$D$6)="",0,IF(ISNUMBER(INDEX($A:$U,ROW(),$D$6)),INDEX($A:$U,ROW(),$D$6),IFERROR(--SUBSTITUTE(SUBSTITUTE(TRIM(INDEX($A:$U,ROW(),$D$6)),",",""),"원",""),0))))</f>
        <v/>
      </c>
      <c r="AA1059" s="31">
        <f>IF($Y1059="","",TRIM(INDEX($A:$U,ROW(),$E$6)&amp;IF($F$6="",""," "&amp;INDEX($A:$U,ROW(),$F$6))))</f>
        <v/>
      </c>
      <c r="AB1059" s="31">
        <f>IF($AA1059="","",SUBSTITUTE(SUBSTITUTE(SUBSTITUTE(SUBSTITUTE(SUBSTITUTE(SUBSTITUTE(SUBSTITUTE(SUBSTITUTE(SUBSTITUTE($AA1059," ",""),"　",""),"(주)",""),"（주）",""),"㈜",""),"주식회사",""),"(유)",""),"（유）",""),"유한회사",""))</f>
        <v/>
      </c>
      <c r="AC1059" s="31">
        <f>IF(OR($Y1059="",N($Z1059)&lt;=0,$AB1059=""),0,IFERROR(LOOKUP(2,1/((거래처별!$AC$8:$AC$307&lt;&gt;"")*ISNUMBER(SEARCH(거래처별!$AC$8:$AC$307,$AB1059))),거래처별!$A$8:$A$307),IFERROR(LOOKUP(2,1/((거래처별!$AD$8:$AD$307&lt;&gt;"")*ISNUMBER(SEARCH(거래처별!$AD$8:$AD$307,$AB1059))),거래처별!$A$8:$A$307),IFERROR(LOOKUP(2,1/((거래처별!$AE$8:$AE$307&lt;&gt;"")*ISNUMBER(SEARCH(거래처별!$AE$8:$AE$307,$AB1059))),거래처별!$A$8:$A$307),0))))</f>
        <v/>
      </c>
      <c r="AD1059" s="31">
        <f>IF(AND($Y1059&lt;&gt;"",N($Z1059)&gt;0,$AC1059=0),MAX($AD$7:$AD1058)+1,"")</f>
        <v/>
      </c>
      <c r="AE1059" s="31">
        <f>IF($Y1059="",0,$Y1059)</f>
        <v/>
      </c>
    </row>
    <row r="1060">
      <c r="W1060" s="31">
        <f>IF(OR($B$5="",$C$6="",ROW()&lt;$B$5),"",IF(INDEX($A:$U,ROW(),$C$6)="","",INDEX($A:$U,ROW(),$C$6)))</f>
        <v/>
      </c>
      <c r="X1060" s="32">
        <f>IF($W1060="","",IF(ISNUMBER($W1060),IF($W1060&gt;=10000000,IFERROR(DATE(INT($W1060/10000),MOD(INT($W1060/100),100),MOD($W1060,100)),""),INT($W1060)),IFERROR(DATE(--LEFT(LEFT(SUBSTITUTE(SUBSTITUTE(SUBSTITUTE(SUBSTITUTE(TRIM($W1060),"-",""),".",""),"/","")," ",""),8),4),--MID(LEFT(SUBSTITUTE(SUBSTITUTE(SUBSTITUTE(SUBSTITUTE(TRIM($W1060),"-",""),".",""),"/","")," ",""),8),5,2),--MID(LEFT(SUBSTITUTE(SUBSTITUTE(SUBSTITUTE(SUBSTITUTE(TRIM($W1060),"-",""),".",""),"/","")," ",""),8),7,2)),"")))</f>
        <v/>
      </c>
      <c r="Y1060" s="32">
        <f>IF($X1060="","",INT($X1060))</f>
        <v/>
      </c>
      <c r="Z1060" s="33">
        <f>IF(OR($Y1060="",$D$6=""),"",IF(INDEX($A:$U,ROW(),$D$6)="",0,IF(ISNUMBER(INDEX($A:$U,ROW(),$D$6)),INDEX($A:$U,ROW(),$D$6),IFERROR(--SUBSTITUTE(SUBSTITUTE(TRIM(INDEX($A:$U,ROW(),$D$6)),",",""),"원",""),0))))</f>
        <v/>
      </c>
      <c r="AA1060" s="31">
        <f>IF($Y1060="","",TRIM(INDEX($A:$U,ROW(),$E$6)&amp;IF($F$6="",""," "&amp;INDEX($A:$U,ROW(),$F$6))))</f>
        <v/>
      </c>
      <c r="AB1060" s="31">
        <f>IF($AA1060="","",SUBSTITUTE(SUBSTITUTE(SUBSTITUTE(SUBSTITUTE(SUBSTITUTE(SUBSTITUTE(SUBSTITUTE(SUBSTITUTE(SUBSTITUTE($AA1060," ",""),"　",""),"(주)",""),"（주）",""),"㈜",""),"주식회사",""),"(유)",""),"（유）",""),"유한회사",""))</f>
        <v/>
      </c>
      <c r="AC1060" s="31">
        <f>IF(OR($Y1060="",N($Z1060)&lt;=0,$AB1060=""),0,IFERROR(LOOKUP(2,1/((거래처별!$AC$8:$AC$307&lt;&gt;"")*ISNUMBER(SEARCH(거래처별!$AC$8:$AC$307,$AB1060))),거래처별!$A$8:$A$307),IFERROR(LOOKUP(2,1/((거래처별!$AD$8:$AD$307&lt;&gt;"")*ISNUMBER(SEARCH(거래처별!$AD$8:$AD$307,$AB1060))),거래처별!$A$8:$A$307),IFERROR(LOOKUP(2,1/((거래처별!$AE$8:$AE$307&lt;&gt;"")*ISNUMBER(SEARCH(거래처별!$AE$8:$AE$307,$AB1060))),거래처별!$A$8:$A$307),0))))</f>
        <v/>
      </c>
      <c r="AD1060" s="31">
        <f>IF(AND($Y1060&lt;&gt;"",N($Z1060)&gt;0,$AC1060=0),MAX($AD$7:$AD1059)+1,"")</f>
        <v/>
      </c>
      <c r="AE1060" s="31">
        <f>IF($Y1060="",0,$Y1060)</f>
        <v/>
      </c>
    </row>
    <row r="1061">
      <c r="W1061" s="31">
        <f>IF(OR($B$5="",$C$6="",ROW()&lt;$B$5),"",IF(INDEX($A:$U,ROW(),$C$6)="","",INDEX($A:$U,ROW(),$C$6)))</f>
        <v/>
      </c>
      <c r="X1061" s="32">
        <f>IF($W1061="","",IF(ISNUMBER($W1061),IF($W1061&gt;=10000000,IFERROR(DATE(INT($W1061/10000),MOD(INT($W1061/100),100),MOD($W1061,100)),""),INT($W1061)),IFERROR(DATE(--LEFT(LEFT(SUBSTITUTE(SUBSTITUTE(SUBSTITUTE(SUBSTITUTE(TRIM($W1061),"-",""),".",""),"/","")," ",""),8),4),--MID(LEFT(SUBSTITUTE(SUBSTITUTE(SUBSTITUTE(SUBSTITUTE(TRIM($W1061),"-",""),".",""),"/","")," ",""),8),5,2),--MID(LEFT(SUBSTITUTE(SUBSTITUTE(SUBSTITUTE(SUBSTITUTE(TRIM($W1061),"-",""),".",""),"/","")," ",""),8),7,2)),"")))</f>
        <v/>
      </c>
      <c r="Y1061" s="32">
        <f>IF($X1061="","",INT($X1061))</f>
        <v/>
      </c>
      <c r="Z1061" s="33">
        <f>IF(OR($Y1061="",$D$6=""),"",IF(INDEX($A:$U,ROW(),$D$6)="",0,IF(ISNUMBER(INDEX($A:$U,ROW(),$D$6)),INDEX($A:$U,ROW(),$D$6),IFERROR(--SUBSTITUTE(SUBSTITUTE(TRIM(INDEX($A:$U,ROW(),$D$6)),",",""),"원",""),0))))</f>
        <v/>
      </c>
      <c r="AA1061" s="31">
        <f>IF($Y1061="","",TRIM(INDEX($A:$U,ROW(),$E$6)&amp;IF($F$6="",""," "&amp;INDEX($A:$U,ROW(),$F$6))))</f>
        <v/>
      </c>
      <c r="AB1061" s="31">
        <f>IF($AA1061="","",SUBSTITUTE(SUBSTITUTE(SUBSTITUTE(SUBSTITUTE(SUBSTITUTE(SUBSTITUTE(SUBSTITUTE(SUBSTITUTE(SUBSTITUTE($AA1061," ",""),"　",""),"(주)",""),"（주）",""),"㈜",""),"주식회사",""),"(유)",""),"（유）",""),"유한회사",""))</f>
        <v/>
      </c>
      <c r="AC1061" s="31">
        <f>IF(OR($Y1061="",N($Z1061)&lt;=0,$AB1061=""),0,IFERROR(LOOKUP(2,1/((거래처별!$AC$8:$AC$307&lt;&gt;"")*ISNUMBER(SEARCH(거래처별!$AC$8:$AC$307,$AB1061))),거래처별!$A$8:$A$307),IFERROR(LOOKUP(2,1/((거래처별!$AD$8:$AD$307&lt;&gt;"")*ISNUMBER(SEARCH(거래처별!$AD$8:$AD$307,$AB1061))),거래처별!$A$8:$A$307),IFERROR(LOOKUP(2,1/((거래처별!$AE$8:$AE$307&lt;&gt;"")*ISNUMBER(SEARCH(거래처별!$AE$8:$AE$307,$AB1061))),거래처별!$A$8:$A$307),0))))</f>
        <v/>
      </c>
      <c r="AD1061" s="31">
        <f>IF(AND($Y1061&lt;&gt;"",N($Z1061)&gt;0,$AC1061=0),MAX($AD$7:$AD1060)+1,"")</f>
        <v/>
      </c>
      <c r="AE1061" s="31">
        <f>IF($Y1061="",0,$Y1061)</f>
        <v/>
      </c>
    </row>
    <row r="1062">
      <c r="W1062" s="31">
        <f>IF(OR($B$5="",$C$6="",ROW()&lt;$B$5),"",IF(INDEX($A:$U,ROW(),$C$6)="","",INDEX($A:$U,ROW(),$C$6)))</f>
        <v/>
      </c>
      <c r="X1062" s="32">
        <f>IF($W1062="","",IF(ISNUMBER($W1062),IF($W1062&gt;=10000000,IFERROR(DATE(INT($W1062/10000),MOD(INT($W1062/100),100),MOD($W1062,100)),""),INT($W1062)),IFERROR(DATE(--LEFT(LEFT(SUBSTITUTE(SUBSTITUTE(SUBSTITUTE(SUBSTITUTE(TRIM($W1062),"-",""),".",""),"/","")," ",""),8),4),--MID(LEFT(SUBSTITUTE(SUBSTITUTE(SUBSTITUTE(SUBSTITUTE(TRIM($W1062),"-",""),".",""),"/","")," ",""),8),5,2),--MID(LEFT(SUBSTITUTE(SUBSTITUTE(SUBSTITUTE(SUBSTITUTE(TRIM($W1062),"-",""),".",""),"/","")," ",""),8),7,2)),"")))</f>
        <v/>
      </c>
      <c r="Y1062" s="32">
        <f>IF($X1062="","",INT($X1062))</f>
        <v/>
      </c>
      <c r="Z1062" s="33">
        <f>IF(OR($Y1062="",$D$6=""),"",IF(INDEX($A:$U,ROW(),$D$6)="",0,IF(ISNUMBER(INDEX($A:$U,ROW(),$D$6)),INDEX($A:$U,ROW(),$D$6),IFERROR(--SUBSTITUTE(SUBSTITUTE(TRIM(INDEX($A:$U,ROW(),$D$6)),",",""),"원",""),0))))</f>
        <v/>
      </c>
      <c r="AA1062" s="31">
        <f>IF($Y1062="","",TRIM(INDEX($A:$U,ROW(),$E$6)&amp;IF($F$6="",""," "&amp;INDEX($A:$U,ROW(),$F$6))))</f>
        <v/>
      </c>
      <c r="AB1062" s="31">
        <f>IF($AA1062="","",SUBSTITUTE(SUBSTITUTE(SUBSTITUTE(SUBSTITUTE(SUBSTITUTE(SUBSTITUTE(SUBSTITUTE(SUBSTITUTE(SUBSTITUTE($AA1062," ",""),"　",""),"(주)",""),"（주）",""),"㈜",""),"주식회사",""),"(유)",""),"（유）",""),"유한회사",""))</f>
        <v/>
      </c>
      <c r="AC1062" s="31">
        <f>IF(OR($Y1062="",N($Z1062)&lt;=0,$AB1062=""),0,IFERROR(LOOKUP(2,1/((거래처별!$AC$8:$AC$307&lt;&gt;"")*ISNUMBER(SEARCH(거래처별!$AC$8:$AC$307,$AB1062))),거래처별!$A$8:$A$307),IFERROR(LOOKUP(2,1/((거래처별!$AD$8:$AD$307&lt;&gt;"")*ISNUMBER(SEARCH(거래처별!$AD$8:$AD$307,$AB1062))),거래처별!$A$8:$A$307),IFERROR(LOOKUP(2,1/((거래처별!$AE$8:$AE$307&lt;&gt;"")*ISNUMBER(SEARCH(거래처별!$AE$8:$AE$307,$AB1062))),거래처별!$A$8:$A$307),0))))</f>
        <v/>
      </c>
      <c r="AD1062" s="31">
        <f>IF(AND($Y1062&lt;&gt;"",N($Z1062)&gt;0,$AC1062=0),MAX($AD$7:$AD1061)+1,"")</f>
        <v/>
      </c>
      <c r="AE1062" s="31">
        <f>IF($Y1062="",0,$Y1062)</f>
        <v/>
      </c>
    </row>
    <row r="1063">
      <c r="W1063" s="31">
        <f>IF(OR($B$5="",$C$6="",ROW()&lt;$B$5),"",IF(INDEX($A:$U,ROW(),$C$6)="","",INDEX($A:$U,ROW(),$C$6)))</f>
        <v/>
      </c>
      <c r="X1063" s="32">
        <f>IF($W1063="","",IF(ISNUMBER($W1063),IF($W1063&gt;=10000000,IFERROR(DATE(INT($W1063/10000),MOD(INT($W1063/100),100),MOD($W1063,100)),""),INT($W1063)),IFERROR(DATE(--LEFT(LEFT(SUBSTITUTE(SUBSTITUTE(SUBSTITUTE(SUBSTITUTE(TRIM($W1063),"-",""),".",""),"/","")," ",""),8),4),--MID(LEFT(SUBSTITUTE(SUBSTITUTE(SUBSTITUTE(SUBSTITUTE(TRIM($W1063),"-",""),".",""),"/","")," ",""),8),5,2),--MID(LEFT(SUBSTITUTE(SUBSTITUTE(SUBSTITUTE(SUBSTITUTE(TRIM($W1063),"-",""),".",""),"/","")," ",""),8),7,2)),"")))</f>
        <v/>
      </c>
      <c r="Y1063" s="32">
        <f>IF($X1063="","",INT($X1063))</f>
        <v/>
      </c>
      <c r="Z1063" s="33">
        <f>IF(OR($Y1063="",$D$6=""),"",IF(INDEX($A:$U,ROW(),$D$6)="",0,IF(ISNUMBER(INDEX($A:$U,ROW(),$D$6)),INDEX($A:$U,ROW(),$D$6),IFERROR(--SUBSTITUTE(SUBSTITUTE(TRIM(INDEX($A:$U,ROW(),$D$6)),",",""),"원",""),0))))</f>
        <v/>
      </c>
      <c r="AA1063" s="31">
        <f>IF($Y1063="","",TRIM(INDEX($A:$U,ROW(),$E$6)&amp;IF($F$6="",""," "&amp;INDEX($A:$U,ROW(),$F$6))))</f>
        <v/>
      </c>
      <c r="AB1063" s="31">
        <f>IF($AA1063="","",SUBSTITUTE(SUBSTITUTE(SUBSTITUTE(SUBSTITUTE(SUBSTITUTE(SUBSTITUTE(SUBSTITUTE(SUBSTITUTE(SUBSTITUTE($AA1063," ",""),"　",""),"(주)",""),"（주）",""),"㈜",""),"주식회사",""),"(유)",""),"（유）",""),"유한회사",""))</f>
        <v/>
      </c>
      <c r="AC1063" s="31">
        <f>IF(OR($Y1063="",N($Z1063)&lt;=0,$AB1063=""),0,IFERROR(LOOKUP(2,1/((거래처별!$AC$8:$AC$307&lt;&gt;"")*ISNUMBER(SEARCH(거래처별!$AC$8:$AC$307,$AB1063))),거래처별!$A$8:$A$307),IFERROR(LOOKUP(2,1/((거래처별!$AD$8:$AD$307&lt;&gt;"")*ISNUMBER(SEARCH(거래처별!$AD$8:$AD$307,$AB1063))),거래처별!$A$8:$A$307),IFERROR(LOOKUP(2,1/((거래처별!$AE$8:$AE$307&lt;&gt;"")*ISNUMBER(SEARCH(거래처별!$AE$8:$AE$307,$AB1063))),거래처별!$A$8:$A$307),0))))</f>
        <v/>
      </c>
      <c r="AD1063" s="31">
        <f>IF(AND($Y1063&lt;&gt;"",N($Z1063)&gt;0,$AC1063=0),MAX($AD$7:$AD1062)+1,"")</f>
        <v/>
      </c>
      <c r="AE1063" s="31">
        <f>IF($Y1063="",0,$Y1063)</f>
        <v/>
      </c>
    </row>
    <row r="1064">
      <c r="W1064" s="31">
        <f>IF(OR($B$5="",$C$6="",ROW()&lt;$B$5),"",IF(INDEX($A:$U,ROW(),$C$6)="","",INDEX($A:$U,ROW(),$C$6)))</f>
        <v/>
      </c>
      <c r="X1064" s="32">
        <f>IF($W1064="","",IF(ISNUMBER($W1064),IF($W1064&gt;=10000000,IFERROR(DATE(INT($W1064/10000),MOD(INT($W1064/100),100),MOD($W1064,100)),""),INT($W1064)),IFERROR(DATE(--LEFT(LEFT(SUBSTITUTE(SUBSTITUTE(SUBSTITUTE(SUBSTITUTE(TRIM($W1064),"-",""),".",""),"/","")," ",""),8),4),--MID(LEFT(SUBSTITUTE(SUBSTITUTE(SUBSTITUTE(SUBSTITUTE(TRIM($W1064),"-",""),".",""),"/","")," ",""),8),5,2),--MID(LEFT(SUBSTITUTE(SUBSTITUTE(SUBSTITUTE(SUBSTITUTE(TRIM($W1064),"-",""),".",""),"/","")," ",""),8),7,2)),"")))</f>
        <v/>
      </c>
      <c r="Y1064" s="32">
        <f>IF($X1064="","",INT($X1064))</f>
        <v/>
      </c>
      <c r="Z1064" s="33">
        <f>IF(OR($Y1064="",$D$6=""),"",IF(INDEX($A:$U,ROW(),$D$6)="",0,IF(ISNUMBER(INDEX($A:$U,ROW(),$D$6)),INDEX($A:$U,ROW(),$D$6),IFERROR(--SUBSTITUTE(SUBSTITUTE(TRIM(INDEX($A:$U,ROW(),$D$6)),",",""),"원",""),0))))</f>
        <v/>
      </c>
      <c r="AA1064" s="31">
        <f>IF($Y1064="","",TRIM(INDEX($A:$U,ROW(),$E$6)&amp;IF($F$6="",""," "&amp;INDEX($A:$U,ROW(),$F$6))))</f>
        <v/>
      </c>
      <c r="AB1064" s="31">
        <f>IF($AA1064="","",SUBSTITUTE(SUBSTITUTE(SUBSTITUTE(SUBSTITUTE(SUBSTITUTE(SUBSTITUTE(SUBSTITUTE(SUBSTITUTE(SUBSTITUTE($AA1064," ",""),"　",""),"(주)",""),"（주）",""),"㈜",""),"주식회사",""),"(유)",""),"（유）",""),"유한회사",""))</f>
        <v/>
      </c>
      <c r="AC1064" s="31">
        <f>IF(OR($Y1064="",N($Z1064)&lt;=0,$AB1064=""),0,IFERROR(LOOKUP(2,1/((거래처별!$AC$8:$AC$307&lt;&gt;"")*ISNUMBER(SEARCH(거래처별!$AC$8:$AC$307,$AB1064))),거래처별!$A$8:$A$307),IFERROR(LOOKUP(2,1/((거래처별!$AD$8:$AD$307&lt;&gt;"")*ISNUMBER(SEARCH(거래처별!$AD$8:$AD$307,$AB1064))),거래처별!$A$8:$A$307),IFERROR(LOOKUP(2,1/((거래처별!$AE$8:$AE$307&lt;&gt;"")*ISNUMBER(SEARCH(거래처별!$AE$8:$AE$307,$AB1064))),거래처별!$A$8:$A$307),0))))</f>
        <v/>
      </c>
      <c r="AD1064" s="31">
        <f>IF(AND($Y1064&lt;&gt;"",N($Z1064)&gt;0,$AC1064=0),MAX($AD$7:$AD1063)+1,"")</f>
        <v/>
      </c>
      <c r="AE1064" s="31">
        <f>IF($Y1064="",0,$Y1064)</f>
        <v/>
      </c>
    </row>
    <row r="1065">
      <c r="W1065" s="31">
        <f>IF(OR($B$5="",$C$6="",ROW()&lt;$B$5),"",IF(INDEX($A:$U,ROW(),$C$6)="","",INDEX($A:$U,ROW(),$C$6)))</f>
        <v/>
      </c>
      <c r="X1065" s="32">
        <f>IF($W1065="","",IF(ISNUMBER($W1065),IF($W1065&gt;=10000000,IFERROR(DATE(INT($W1065/10000),MOD(INT($W1065/100),100),MOD($W1065,100)),""),INT($W1065)),IFERROR(DATE(--LEFT(LEFT(SUBSTITUTE(SUBSTITUTE(SUBSTITUTE(SUBSTITUTE(TRIM($W1065),"-",""),".",""),"/","")," ",""),8),4),--MID(LEFT(SUBSTITUTE(SUBSTITUTE(SUBSTITUTE(SUBSTITUTE(TRIM($W1065),"-",""),".",""),"/","")," ",""),8),5,2),--MID(LEFT(SUBSTITUTE(SUBSTITUTE(SUBSTITUTE(SUBSTITUTE(TRIM($W1065),"-",""),".",""),"/","")," ",""),8),7,2)),"")))</f>
        <v/>
      </c>
      <c r="Y1065" s="32">
        <f>IF($X1065="","",INT($X1065))</f>
        <v/>
      </c>
      <c r="Z1065" s="33">
        <f>IF(OR($Y1065="",$D$6=""),"",IF(INDEX($A:$U,ROW(),$D$6)="",0,IF(ISNUMBER(INDEX($A:$U,ROW(),$D$6)),INDEX($A:$U,ROW(),$D$6),IFERROR(--SUBSTITUTE(SUBSTITUTE(TRIM(INDEX($A:$U,ROW(),$D$6)),",",""),"원",""),0))))</f>
        <v/>
      </c>
      <c r="AA1065" s="31">
        <f>IF($Y1065="","",TRIM(INDEX($A:$U,ROW(),$E$6)&amp;IF($F$6="",""," "&amp;INDEX($A:$U,ROW(),$F$6))))</f>
        <v/>
      </c>
      <c r="AB1065" s="31">
        <f>IF($AA1065="","",SUBSTITUTE(SUBSTITUTE(SUBSTITUTE(SUBSTITUTE(SUBSTITUTE(SUBSTITUTE(SUBSTITUTE(SUBSTITUTE(SUBSTITUTE($AA1065," ",""),"　",""),"(주)",""),"（주）",""),"㈜",""),"주식회사",""),"(유)",""),"（유）",""),"유한회사",""))</f>
        <v/>
      </c>
      <c r="AC1065" s="31">
        <f>IF(OR($Y1065="",N($Z1065)&lt;=0,$AB1065=""),0,IFERROR(LOOKUP(2,1/((거래처별!$AC$8:$AC$307&lt;&gt;"")*ISNUMBER(SEARCH(거래처별!$AC$8:$AC$307,$AB1065))),거래처별!$A$8:$A$307),IFERROR(LOOKUP(2,1/((거래처별!$AD$8:$AD$307&lt;&gt;"")*ISNUMBER(SEARCH(거래처별!$AD$8:$AD$307,$AB1065))),거래처별!$A$8:$A$307),IFERROR(LOOKUP(2,1/((거래처별!$AE$8:$AE$307&lt;&gt;"")*ISNUMBER(SEARCH(거래처별!$AE$8:$AE$307,$AB1065))),거래처별!$A$8:$A$307),0))))</f>
        <v/>
      </c>
      <c r="AD1065" s="31">
        <f>IF(AND($Y1065&lt;&gt;"",N($Z1065)&gt;0,$AC1065=0),MAX($AD$7:$AD1064)+1,"")</f>
        <v/>
      </c>
      <c r="AE1065" s="31">
        <f>IF($Y1065="",0,$Y1065)</f>
        <v/>
      </c>
    </row>
    <row r="1066">
      <c r="W1066" s="31">
        <f>IF(OR($B$5="",$C$6="",ROW()&lt;$B$5),"",IF(INDEX($A:$U,ROW(),$C$6)="","",INDEX($A:$U,ROW(),$C$6)))</f>
        <v/>
      </c>
      <c r="X1066" s="32">
        <f>IF($W1066="","",IF(ISNUMBER($W1066),IF($W1066&gt;=10000000,IFERROR(DATE(INT($W1066/10000),MOD(INT($W1066/100),100),MOD($W1066,100)),""),INT($W1066)),IFERROR(DATE(--LEFT(LEFT(SUBSTITUTE(SUBSTITUTE(SUBSTITUTE(SUBSTITUTE(TRIM($W1066),"-",""),".",""),"/","")," ",""),8),4),--MID(LEFT(SUBSTITUTE(SUBSTITUTE(SUBSTITUTE(SUBSTITUTE(TRIM($W1066),"-",""),".",""),"/","")," ",""),8),5,2),--MID(LEFT(SUBSTITUTE(SUBSTITUTE(SUBSTITUTE(SUBSTITUTE(TRIM($W1066),"-",""),".",""),"/","")," ",""),8),7,2)),"")))</f>
        <v/>
      </c>
      <c r="Y1066" s="32">
        <f>IF($X1066="","",INT($X1066))</f>
        <v/>
      </c>
      <c r="Z1066" s="33">
        <f>IF(OR($Y1066="",$D$6=""),"",IF(INDEX($A:$U,ROW(),$D$6)="",0,IF(ISNUMBER(INDEX($A:$U,ROW(),$D$6)),INDEX($A:$U,ROW(),$D$6),IFERROR(--SUBSTITUTE(SUBSTITUTE(TRIM(INDEX($A:$U,ROW(),$D$6)),",",""),"원",""),0))))</f>
        <v/>
      </c>
      <c r="AA1066" s="31">
        <f>IF($Y1066="","",TRIM(INDEX($A:$U,ROW(),$E$6)&amp;IF($F$6="",""," "&amp;INDEX($A:$U,ROW(),$F$6))))</f>
        <v/>
      </c>
      <c r="AB1066" s="31">
        <f>IF($AA1066="","",SUBSTITUTE(SUBSTITUTE(SUBSTITUTE(SUBSTITUTE(SUBSTITUTE(SUBSTITUTE(SUBSTITUTE(SUBSTITUTE(SUBSTITUTE($AA1066," ",""),"　",""),"(주)",""),"（주）",""),"㈜",""),"주식회사",""),"(유)",""),"（유）",""),"유한회사",""))</f>
        <v/>
      </c>
      <c r="AC1066" s="31">
        <f>IF(OR($Y1066="",N($Z1066)&lt;=0,$AB1066=""),0,IFERROR(LOOKUP(2,1/((거래처별!$AC$8:$AC$307&lt;&gt;"")*ISNUMBER(SEARCH(거래처별!$AC$8:$AC$307,$AB1066))),거래처별!$A$8:$A$307),IFERROR(LOOKUP(2,1/((거래처별!$AD$8:$AD$307&lt;&gt;"")*ISNUMBER(SEARCH(거래처별!$AD$8:$AD$307,$AB1066))),거래처별!$A$8:$A$307),IFERROR(LOOKUP(2,1/((거래처별!$AE$8:$AE$307&lt;&gt;"")*ISNUMBER(SEARCH(거래처별!$AE$8:$AE$307,$AB1066))),거래처별!$A$8:$A$307),0))))</f>
        <v/>
      </c>
      <c r="AD1066" s="31">
        <f>IF(AND($Y1066&lt;&gt;"",N($Z1066)&gt;0,$AC1066=0),MAX($AD$7:$AD1065)+1,"")</f>
        <v/>
      </c>
      <c r="AE1066" s="31">
        <f>IF($Y1066="",0,$Y1066)</f>
        <v/>
      </c>
    </row>
    <row r="1067">
      <c r="W1067" s="31">
        <f>IF(OR($B$5="",$C$6="",ROW()&lt;$B$5),"",IF(INDEX($A:$U,ROW(),$C$6)="","",INDEX($A:$U,ROW(),$C$6)))</f>
        <v/>
      </c>
      <c r="X1067" s="32">
        <f>IF($W1067="","",IF(ISNUMBER($W1067),IF($W1067&gt;=10000000,IFERROR(DATE(INT($W1067/10000),MOD(INT($W1067/100),100),MOD($W1067,100)),""),INT($W1067)),IFERROR(DATE(--LEFT(LEFT(SUBSTITUTE(SUBSTITUTE(SUBSTITUTE(SUBSTITUTE(TRIM($W1067),"-",""),".",""),"/","")," ",""),8),4),--MID(LEFT(SUBSTITUTE(SUBSTITUTE(SUBSTITUTE(SUBSTITUTE(TRIM($W1067),"-",""),".",""),"/","")," ",""),8),5,2),--MID(LEFT(SUBSTITUTE(SUBSTITUTE(SUBSTITUTE(SUBSTITUTE(TRIM($W1067),"-",""),".",""),"/","")," ",""),8),7,2)),"")))</f>
        <v/>
      </c>
      <c r="Y1067" s="32">
        <f>IF($X1067="","",INT($X1067))</f>
        <v/>
      </c>
      <c r="Z1067" s="33">
        <f>IF(OR($Y1067="",$D$6=""),"",IF(INDEX($A:$U,ROW(),$D$6)="",0,IF(ISNUMBER(INDEX($A:$U,ROW(),$D$6)),INDEX($A:$U,ROW(),$D$6),IFERROR(--SUBSTITUTE(SUBSTITUTE(TRIM(INDEX($A:$U,ROW(),$D$6)),",",""),"원",""),0))))</f>
        <v/>
      </c>
      <c r="AA1067" s="31">
        <f>IF($Y1067="","",TRIM(INDEX($A:$U,ROW(),$E$6)&amp;IF($F$6="",""," "&amp;INDEX($A:$U,ROW(),$F$6))))</f>
        <v/>
      </c>
      <c r="AB1067" s="31">
        <f>IF($AA1067="","",SUBSTITUTE(SUBSTITUTE(SUBSTITUTE(SUBSTITUTE(SUBSTITUTE(SUBSTITUTE(SUBSTITUTE(SUBSTITUTE(SUBSTITUTE($AA1067," ",""),"　",""),"(주)",""),"（주）",""),"㈜",""),"주식회사",""),"(유)",""),"（유）",""),"유한회사",""))</f>
        <v/>
      </c>
      <c r="AC1067" s="31">
        <f>IF(OR($Y1067="",N($Z1067)&lt;=0,$AB1067=""),0,IFERROR(LOOKUP(2,1/((거래처별!$AC$8:$AC$307&lt;&gt;"")*ISNUMBER(SEARCH(거래처별!$AC$8:$AC$307,$AB1067))),거래처별!$A$8:$A$307),IFERROR(LOOKUP(2,1/((거래처별!$AD$8:$AD$307&lt;&gt;"")*ISNUMBER(SEARCH(거래처별!$AD$8:$AD$307,$AB1067))),거래처별!$A$8:$A$307),IFERROR(LOOKUP(2,1/((거래처별!$AE$8:$AE$307&lt;&gt;"")*ISNUMBER(SEARCH(거래처별!$AE$8:$AE$307,$AB1067))),거래처별!$A$8:$A$307),0))))</f>
        <v/>
      </c>
      <c r="AD1067" s="31">
        <f>IF(AND($Y1067&lt;&gt;"",N($Z1067)&gt;0,$AC1067=0),MAX($AD$7:$AD1066)+1,"")</f>
        <v/>
      </c>
      <c r="AE1067" s="31">
        <f>IF($Y1067="",0,$Y1067)</f>
        <v/>
      </c>
    </row>
    <row r="1068">
      <c r="W1068" s="31">
        <f>IF(OR($B$5="",$C$6="",ROW()&lt;$B$5),"",IF(INDEX($A:$U,ROW(),$C$6)="","",INDEX($A:$U,ROW(),$C$6)))</f>
        <v/>
      </c>
      <c r="X1068" s="32">
        <f>IF($W1068="","",IF(ISNUMBER($W1068),IF($W1068&gt;=10000000,IFERROR(DATE(INT($W1068/10000),MOD(INT($W1068/100),100),MOD($W1068,100)),""),INT($W1068)),IFERROR(DATE(--LEFT(LEFT(SUBSTITUTE(SUBSTITUTE(SUBSTITUTE(SUBSTITUTE(TRIM($W1068),"-",""),".",""),"/","")," ",""),8),4),--MID(LEFT(SUBSTITUTE(SUBSTITUTE(SUBSTITUTE(SUBSTITUTE(TRIM($W1068),"-",""),".",""),"/","")," ",""),8),5,2),--MID(LEFT(SUBSTITUTE(SUBSTITUTE(SUBSTITUTE(SUBSTITUTE(TRIM($W1068),"-",""),".",""),"/","")," ",""),8),7,2)),"")))</f>
        <v/>
      </c>
      <c r="Y1068" s="32">
        <f>IF($X1068="","",INT($X1068))</f>
        <v/>
      </c>
      <c r="Z1068" s="33">
        <f>IF(OR($Y1068="",$D$6=""),"",IF(INDEX($A:$U,ROW(),$D$6)="",0,IF(ISNUMBER(INDEX($A:$U,ROW(),$D$6)),INDEX($A:$U,ROW(),$D$6),IFERROR(--SUBSTITUTE(SUBSTITUTE(TRIM(INDEX($A:$U,ROW(),$D$6)),",",""),"원",""),0))))</f>
        <v/>
      </c>
      <c r="AA1068" s="31">
        <f>IF($Y1068="","",TRIM(INDEX($A:$U,ROW(),$E$6)&amp;IF($F$6="",""," "&amp;INDEX($A:$U,ROW(),$F$6))))</f>
        <v/>
      </c>
      <c r="AB1068" s="31">
        <f>IF($AA1068="","",SUBSTITUTE(SUBSTITUTE(SUBSTITUTE(SUBSTITUTE(SUBSTITUTE(SUBSTITUTE(SUBSTITUTE(SUBSTITUTE(SUBSTITUTE($AA1068," ",""),"　",""),"(주)",""),"（주）",""),"㈜",""),"주식회사",""),"(유)",""),"（유）",""),"유한회사",""))</f>
        <v/>
      </c>
      <c r="AC1068" s="31">
        <f>IF(OR($Y1068="",N($Z1068)&lt;=0,$AB1068=""),0,IFERROR(LOOKUP(2,1/((거래처별!$AC$8:$AC$307&lt;&gt;"")*ISNUMBER(SEARCH(거래처별!$AC$8:$AC$307,$AB1068))),거래처별!$A$8:$A$307),IFERROR(LOOKUP(2,1/((거래처별!$AD$8:$AD$307&lt;&gt;"")*ISNUMBER(SEARCH(거래처별!$AD$8:$AD$307,$AB1068))),거래처별!$A$8:$A$307),IFERROR(LOOKUP(2,1/((거래처별!$AE$8:$AE$307&lt;&gt;"")*ISNUMBER(SEARCH(거래처별!$AE$8:$AE$307,$AB1068))),거래처별!$A$8:$A$307),0))))</f>
        <v/>
      </c>
      <c r="AD1068" s="31">
        <f>IF(AND($Y1068&lt;&gt;"",N($Z1068)&gt;0,$AC1068=0),MAX($AD$7:$AD1067)+1,"")</f>
        <v/>
      </c>
      <c r="AE1068" s="31">
        <f>IF($Y1068="",0,$Y1068)</f>
        <v/>
      </c>
    </row>
    <row r="1069">
      <c r="W1069" s="31">
        <f>IF(OR($B$5="",$C$6="",ROW()&lt;$B$5),"",IF(INDEX($A:$U,ROW(),$C$6)="","",INDEX($A:$U,ROW(),$C$6)))</f>
        <v/>
      </c>
      <c r="X1069" s="32">
        <f>IF($W1069="","",IF(ISNUMBER($W1069),IF($W1069&gt;=10000000,IFERROR(DATE(INT($W1069/10000),MOD(INT($W1069/100),100),MOD($W1069,100)),""),INT($W1069)),IFERROR(DATE(--LEFT(LEFT(SUBSTITUTE(SUBSTITUTE(SUBSTITUTE(SUBSTITUTE(TRIM($W1069),"-",""),".",""),"/","")," ",""),8),4),--MID(LEFT(SUBSTITUTE(SUBSTITUTE(SUBSTITUTE(SUBSTITUTE(TRIM($W1069),"-",""),".",""),"/","")," ",""),8),5,2),--MID(LEFT(SUBSTITUTE(SUBSTITUTE(SUBSTITUTE(SUBSTITUTE(TRIM($W1069),"-",""),".",""),"/","")," ",""),8),7,2)),"")))</f>
        <v/>
      </c>
      <c r="Y1069" s="32">
        <f>IF($X1069="","",INT($X1069))</f>
        <v/>
      </c>
      <c r="Z1069" s="33">
        <f>IF(OR($Y1069="",$D$6=""),"",IF(INDEX($A:$U,ROW(),$D$6)="",0,IF(ISNUMBER(INDEX($A:$U,ROW(),$D$6)),INDEX($A:$U,ROW(),$D$6),IFERROR(--SUBSTITUTE(SUBSTITUTE(TRIM(INDEX($A:$U,ROW(),$D$6)),",",""),"원",""),0))))</f>
        <v/>
      </c>
      <c r="AA1069" s="31">
        <f>IF($Y1069="","",TRIM(INDEX($A:$U,ROW(),$E$6)&amp;IF($F$6="",""," "&amp;INDEX($A:$U,ROW(),$F$6))))</f>
        <v/>
      </c>
      <c r="AB1069" s="31">
        <f>IF($AA1069="","",SUBSTITUTE(SUBSTITUTE(SUBSTITUTE(SUBSTITUTE(SUBSTITUTE(SUBSTITUTE(SUBSTITUTE(SUBSTITUTE(SUBSTITUTE($AA1069," ",""),"　",""),"(주)",""),"（주）",""),"㈜",""),"주식회사",""),"(유)",""),"（유）",""),"유한회사",""))</f>
        <v/>
      </c>
      <c r="AC1069" s="31">
        <f>IF(OR($Y1069="",N($Z1069)&lt;=0,$AB1069=""),0,IFERROR(LOOKUP(2,1/((거래처별!$AC$8:$AC$307&lt;&gt;"")*ISNUMBER(SEARCH(거래처별!$AC$8:$AC$307,$AB1069))),거래처별!$A$8:$A$307),IFERROR(LOOKUP(2,1/((거래처별!$AD$8:$AD$307&lt;&gt;"")*ISNUMBER(SEARCH(거래처별!$AD$8:$AD$307,$AB1069))),거래처별!$A$8:$A$307),IFERROR(LOOKUP(2,1/((거래처별!$AE$8:$AE$307&lt;&gt;"")*ISNUMBER(SEARCH(거래처별!$AE$8:$AE$307,$AB1069))),거래처별!$A$8:$A$307),0))))</f>
        <v/>
      </c>
      <c r="AD1069" s="31">
        <f>IF(AND($Y1069&lt;&gt;"",N($Z1069)&gt;0,$AC1069=0),MAX($AD$7:$AD1068)+1,"")</f>
        <v/>
      </c>
      <c r="AE1069" s="31">
        <f>IF($Y1069="",0,$Y1069)</f>
        <v/>
      </c>
    </row>
    <row r="1070">
      <c r="W1070" s="31">
        <f>IF(OR($B$5="",$C$6="",ROW()&lt;$B$5),"",IF(INDEX($A:$U,ROW(),$C$6)="","",INDEX($A:$U,ROW(),$C$6)))</f>
        <v/>
      </c>
      <c r="X1070" s="32">
        <f>IF($W1070="","",IF(ISNUMBER($W1070),IF($W1070&gt;=10000000,IFERROR(DATE(INT($W1070/10000),MOD(INT($W1070/100),100),MOD($W1070,100)),""),INT($W1070)),IFERROR(DATE(--LEFT(LEFT(SUBSTITUTE(SUBSTITUTE(SUBSTITUTE(SUBSTITUTE(TRIM($W1070),"-",""),".",""),"/","")," ",""),8),4),--MID(LEFT(SUBSTITUTE(SUBSTITUTE(SUBSTITUTE(SUBSTITUTE(TRIM($W1070),"-",""),".",""),"/","")," ",""),8),5,2),--MID(LEFT(SUBSTITUTE(SUBSTITUTE(SUBSTITUTE(SUBSTITUTE(TRIM($W1070),"-",""),".",""),"/","")," ",""),8),7,2)),"")))</f>
        <v/>
      </c>
      <c r="Y1070" s="32">
        <f>IF($X1070="","",INT($X1070))</f>
        <v/>
      </c>
      <c r="Z1070" s="33">
        <f>IF(OR($Y1070="",$D$6=""),"",IF(INDEX($A:$U,ROW(),$D$6)="",0,IF(ISNUMBER(INDEX($A:$U,ROW(),$D$6)),INDEX($A:$U,ROW(),$D$6),IFERROR(--SUBSTITUTE(SUBSTITUTE(TRIM(INDEX($A:$U,ROW(),$D$6)),",",""),"원",""),0))))</f>
        <v/>
      </c>
      <c r="AA1070" s="31">
        <f>IF($Y1070="","",TRIM(INDEX($A:$U,ROW(),$E$6)&amp;IF($F$6="",""," "&amp;INDEX($A:$U,ROW(),$F$6))))</f>
        <v/>
      </c>
      <c r="AB1070" s="31">
        <f>IF($AA1070="","",SUBSTITUTE(SUBSTITUTE(SUBSTITUTE(SUBSTITUTE(SUBSTITUTE(SUBSTITUTE(SUBSTITUTE(SUBSTITUTE(SUBSTITUTE($AA1070," ",""),"　",""),"(주)",""),"（주）",""),"㈜",""),"주식회사",""),"(유)",""),"（유）",""),"유한회사",""))</f>
        <v/>
      </c>
      <c r="AC1070" s="31">
        <f>IF(OR($Y1070="",N($Z1070)&lt;=0,$AB1070=""),0,IFERROR(LOOKUP(2,1/((거래처별!$AC$8:$AC$307&lt;&gt;"")*ISNUMBER(SEARCH(거래처별!$AC$8:$AC$307,$AB1070))),거래처별!$A$8:$A$307),IFERROR(LOOKUP(2,1/((거래처별!$AD$8:$AD$307&lt;&gt;"")*ISNUMBER(SEARCH(거래처별!$AD$8:$AD$307,$AB1070))),거래처별!$A$8:$A$307),IFERROR(LOOKUP(2,1/((거래처별!$AE$8:$AE$307&lt;&gt;"")*ISNUMBER(SEARCH(거래처별!$AE$8:$AE$307,$AB1070))),거래처별!$A$8:$A$307),0))))</f>
        <v/>
      </c>
      <c r="AD1070" s="31">
        <f>IF(AND($Y1070&lt;&gt;"",N($Z1070)&gt;0,$AC1070=0),MAX($AD$7:$AD1069)+1,"")</f>
        <v/>
      </c>
      <c r="AE1070" s="31">
        <f>IF($Y1070="",0,$Y1070)</f>
        <v/>
      </c>
    </row>
    <row r="1071">
      <c r="W1071" s="31">
        <f>IF(OR($B$5="",$C$6="",ROW()&lt;$B$5),"",IF(INDEX($A:$U,ROW(),$C$6)="","",INDEX($A:$U,ROW(),$C$6)))</f>
        <v/>
      </c>
      <c r="X1071" s="32">
        <f>IF($W1071="","",IF(ISNUMBER($W1071),IF($W1071&gt;=10000000,IFERROR(DATE(INT($W1071/10000),MOD(INT($W1071/100),100),MOD($W1071,100)),""),INT($W1071)),IFERROR(DATE(--LEFT(LEFT(SUBSTITUTE(SUBSTITUTE(SUBSTITUTE(SUBSTITUTE(TRIM($W1071),"-",""),".",""),"/","")," ",""),8),4),--MID(LEFT(SUBSTITUTE(SUBSTITUTE(SUBSTITUTE(SUBSTITUTE(TRIM($W1071),"-",""),".",""),"/","")," ",""),8),5,2),--MID(LEFT(SUBSTITUTE(SUBSTITUTE(SUBSTITUTE(SUBSTITUTE(TRIM($W1071),"-",""),".",""),"/","")," ",""),8),7,2)),"")))</f>
        <v/>
      </c>
      <c r="Y1071" s="32">
        <f>IF($X1071="","",INT($X1071))</f>
        <v/>
      </c>
      <c r="Z1071" s="33">
        <f>IF(OR($Y1071="",$D$6=""),"",IF(INDEX($A:$U,ROW(),$D$6)="",0,IF(ISNUMBER(INDEX($A:$U,ROW(),$D$6)),INDEX($A:$U,ROW(),$D$6),IFERROR(--SUBSTITUTE(SUBSTITUTE(TRIM(INDEX($A:$U,ROW(),$D$6)),",",""),"원",""),0))))</f>
        <v/>
      </c>
      <c r="AA1071" s="31">
        <f>IF($Y1071="","",TRIM(INDEX($A:$U,ROW(),$E$6)&amp;IF($F$6="",""," "&amp;INDEX($A:$U,ROW(),$F$6))))</f>
        <v/>
      </c>
      <c r="AB1071" s="31">
        <f>IF($AA1071="","",SUBSTITUTE(SUBSTITUTE(SUBSTITUTE(SUBSTITUTE(SUBSTITUTE(SUBSTITUTE(SUBSTITUTE(SUBSTITUTE(SUBSTITUTE($AA1071," ",""),"　",""),"(주)",""),"（주）",""),"㈜",""),"주식회사",""),"(유)",""),"（유）",""),"유한회사",""))</f>
        <v/>
      </c>
      <c r="AC1071" s="31">
        <f>IF(OR($Y1071="",N($Z1071)&lt;=0,$AB1071=""),0,IFERROR(LOOKUP(2,1/((거래처별!$AC$8:$AC$307&lt;&gt;"")*ISNUMBER(SEARCH(거래처별!$AC$8:$AC$307,$AB1071))),거래처별!$A$8:$A$307),IFERROR(LOOKUP(2,1/((거래처별!$AD$8:$AD$307&lt;&gt;"")*ISNUMBER(SEARCH(거래처별!$AD$8:$AD$307,$AB1071))),거래처별!$A$8:$A$307),IFERROR(LOOKUP(2,1/((거래처별!$AE$8:$AE$307&lt;&gt;"")*ISNUMBER(SEARCH(거래처별!$AE$8:$AE$307,$AB1071))),거래처별!$A$8:$A$307),0))))</f>
        <v/>
      </c>
      <c r="AD1071" s="31">
        <f>IF(AND($Y1071&lt;&gt;"",N($Z1071)&gt;0,$AC1071=0),MAX($AD$7:$AD1070)+1,"")</f>
        <v/>
      </c>
      <c r="AE1071" s="31">
        <f>IF($Y1071="",0,$Y1071)</f>
        <v/>
      </c>
    </row>
    <row r="1072">
      <c r="W1072" s="31">
        <f>IF(OR($B$5="",$C$6="",ROW()&lt;$B$5),"",IF(INDEX($A:$U,ROW(),$C$6)="","",INDEX($A:$U,ROW(),$C$6)))</f>
        <v/>
      </c>
      <c r="X1072" s="32">
        <f>IF($W1072="","",IF(ISNUMBER($W1072),IF($W1072&gt;=10000000,IFERROR(DATE(INT($W1072/10000),MOD(INT($W1072/100),100),MOD($W1072,100)),""),INT($W1072)),IFERROR(DATE(--LEFT(LEFT(SUBSTITUTE(SUBSTITUTE(SUBSTITUTE(SUBSTITUTE(TRIM($W1072),"-",""),".",""),"/","")," ",""),8),4),--MID(LEFT(SUBSTITUTE(SUBSTITUTE(SUBSTITUTE(SUBSTITUTE(TRIM($W1072),"-",""),".",""),"/","")," ",""),8),5,2),--MID(LEFT(SUBSTITUTE(SUBSTITUTE(SUBSTITUTE(SUBSTITUTE(TRIM($W1072),"-",""),".",""),"/","")," ",""),8),7,2)),"")))</f>
        <v/>
      </c>
      <c r="Y1072" s="32">
        <f>IF($X1072="","",INT($X1072))</f>
        <v/>
      </c>
      <c r="Z1072" s="33">
        <f>IF(OR($Y1072="",$D$6=""),"",IF(INDEX($A:$U,ROW(),$D$6)="",0,IF(ISNUMBER(INDEX($A:$U,ROW(),$D$6)),INDEX($A:$U,ROW(),$D$6),IFERROR(--SUBSTITUTE(SUBSTITUTE(TRIM(INDEX($A:$U,ROW(),$D$6)),",",""),"원",""),0))))</f>
        <v/>
      </c>
      <c r="AA1072" s="31">
        <f>IF($Y1072="","",TRIM(INDEX($A:$U,ROW(),$E$6)&amp;IF($F$6="",""," "&amp;INDEX($A:$U,ROW(),$F$6))))</f>
        <v/>
      </c>
      <c r="AB1072" s="31">
        <f>IF($AA1072="","",SUBSTITUTE(SUBSTITUTE(SUBSTITUTE(SUBSTITUTE(SUBSTITUTE(SUBSTITUTE(SUBSTITUTE(SUBSTITUTE(SUBSTITUTE($AA1072," ",""),"　",""),"(주)",""),"（주）",""),"㈜",""),"주식회사",""),"(유)",""),"（유）",""),"유한회사",""))</f>
        <v/>
      </c>
      <c r="AC1072" s="31">
        <f>IF(OR($Y1072="",N($Z1072)&lt;=0,$AB1072=""),0,IFERROR(LOOKUP(2,1/((거래처별!$AC$8:$AC$307&lt;&gt;"")*ISNUMBER(SEARCH(거래처별!$AC$8:$AC$307,$AB1072))),거래처별!$A$8:$A$307),IFERROR(LOOKUP(2,1/((거래처별!$AD$8:$AD$307&lt;&gt;"")*ISNUMBER(SEARCH(거래처별!$AD$8:$AD$307,$AB1072))),거래처별!$A$8:$A$307),IFERROR(LOOKUP(2,1/((거래처별!$AE$8:$AE$307&lt;&gt;"")*ISNUMBER(SEARCH(거래처별!$AE$8:$AE$307,$AB1072))),거래처별!$A$8:$A$307),0))))</f>
        <v/>
      </c>
      <c r="AD1072" s="31">
        <f>IF(AND($Y1072&lt;&gt;"",N($Z1072)&gt;0,$AC1072=0),MAX($AD$7:$AD1071)+1,"")</f>
        <v/>
      </c>
      <c r="AE1072" s="31">
        <f>IF($Y1072="",0,$Y1072)</f>
        <v/>
      </c>
    </row>
    <row r="1073">
      <c r="W1073" s="31">
        <f>IF(OR($B$5="",$C$6="",ROW()&lt;$B$5),"",IF(INDEX($A:$U,ROW(),$C$6)="","",INDEX($A:$U,ROW(),$C$6)))</f>
        <v/>
      </c>
      <c r="X1073" s="32">
        <f>IF($W1073="","",IF(ISNUMBER($W1073),IF($W1073&gt;=10000000,IFERROR(DATE(INT($W1073/10000),MOD(INT($W1073/100),100),MOD($W1073,100)),""),INT($W1073)),IFERROR(DATE(--LEFT(LEFT(SUBSTITUTE(SUBSTITUTE(SUBSTITUTE(SUBSTITUTE(TRIM($W1073),"-",""),".",""),"/","")," ",""),8),4),--MID(LEFT(SUBSTITUTE(SUBSTITUTE(SUBSTITUTE(SUBSTITUTE(TRIM($W1073),"-",""),".",""),"/","")," ",""),8),5,2),--MID(LEFT(SUBSTITUTE(SUBSTITUTE(SUBSTITUTE(SUBSTITUTE(TRIM($W1073),"-",""),".",""),"/","")," ",""),8),7,2)),"")))</f>
        <v/>
      </c>
      <c r="Y1073" s="32">
        <f>IF($X1073="","",INT($X1073))</f>
        <v/>
      </c>
      <c r="Z1073" s="33">
        <f>IF(OR($Y1073="",$D$6=""),"",IF(INDEX($A:$U,ROW(),$D$6)="",0,IF(ISNUMBER(INDEX($A:$U,ROW(),$D$6)),INDEX($A:$U,ROW(),$D$6),IFERROR(--SUBSTITUTE(SUBSTITUTE(TRIM(INDEX($A:$U,ROW(),$D$6)),",",""),"원",""),0))))</f>
        <v/>
      </c>
      <c r="AA1073" s="31">
        <f>IF($Y1073="","",TRIM(INDEX($A:$U,ROW(),$E$6)&amp;IF($F$6="",""," "&amp;INDEX($A:$U,ROW(),$F$6))))</f>
        <v/>
      </c>
      <c r="AB1073" s="31">
        <f>IF($AA1073="","",SUBSTITUTE(SUBSTITUTE(SUBSTITUTE(SUBSTITUTE(SUBSTITUTE(SUBSTITUTE(SUBSTITUTE(SUBSTITUTE(SUBSTITUTE($AA1073," ",""),"　",""),"(주)",""),"（주）",""),"㈜",""),"주식회사",""),"(유)",""),"（유）",""),"유한회사",""))</f>
        <v/>
      </c>
      <c r="AC1073" s="31">
        <f>IF(OR($Y1073="",N($Z1073)&lt;=0,$AB1073=""),0,IFERROR(LOOKUP(2,1/((거래처별!$AC$8:$AC$307&lt;&gt;"")*ISNUMBER(SEARCH(거래처별!$AC$8:$AC$307,$AB1073))),거래처별!$A$8:$A$307),IFERROR(LOOKUP(2,1/((거래처별!$AD$8:$AD$307&lt;&gt;"")*ISNUMBER(SEARCH(거래처별!$AD$8:$AD$307,$AB1073))),거래처별!$A$8:$A$307),IFERROR(LOOKUP(2,1/((거래처별!$AE$8:$AE$307&lt;&gt;"")*ISNUMBER(SEARCH(거래처별!$AE$8:$AE$307,$AB1073))),거래처별!$A$8:$A$307),0))))</f>
        <v/>
      </c>
      <c r="AD1073" s="31">
        <f>IF(AND($Y1073&lt;&gt;"",N($Z1073)&gt;0,$AC1073=0),MAX($AD$7:$AD1072)+1,"")</f>
        <v/>
      </c>
      <c r="AE1073" s="31">
        <f>IF($Y1073="",0,$Y1073)</f>
        <v/>
      </c>
    </row>
    <row r="1074">
      <c r="W1074" s="31">
        <f>IF(OR($B$5="",$C$6="",ROW()&lt;$B$5),"",IF(INDEX($A:$U,ROW(),$C$6)="","",INDEX($A:$U,ROW(),$C$6)))</f>
        <v/>
      </c>
      <c r="X1074" s="32">
        <f>IF($W1074="","",IF(ISNUMBER($W1074),IF($W1074&gt;=10000000,IFERROR(DATE(INT($W1074/10000),MOD(INT($W1074/100),100),MOD($W1074,100)),""),INT($W1074)),IFERROR(DATE(--LEFT(LEFT(SUBSTITUTE(SUBSTITUTE(SUBSTITUTE(SUBSTITUTE(TRIM($W1074),"-",""),".",""),"/","")," ",""),8),4),--MID(LEFT(SUBSTITUTE(SUBSTITUTE(SUBSTITUTE(SUBSTITUTE(TRIM($W1074),"-",""),".",""),"/","")," ",""),8),5,2),--MID(LEFT(SUBSTITUTE(SUBSTITUTE(SUBSTITUTE(SUBSTITUTE(TRIM($W1074),"-",""),".",""),"/","")," ",""),8),7,2)),"")))</f>
        <v/>
      </c>
      <c r="Y1074" s="32">
        <f>IF($X1074="","",INT($X1074))</f>
        <v/>
      </c>
      <c r="Z1074" s="33">
        <f>IF(OR($Y1074="",$D$6=""),"",IF(INDEX($A:$U,ROW(),$D$6)="",0,IF(ISNUMBER(INDEX($A:$U,ROW(),$D$6)),INDEX($A:$U,ROW(),$D$6),IFERROR(--SUBSTITUTE(SUBSTITUTE(TRIM(INDEX($A:$U,ROW(),$D$6)),",",""),"원",""),0))))</f>
        <v/>
      </c>
      <c r="AA1074" s="31">
        <f>IF($Y1074="","",TRIM(INDEX($A:$U,ROW(),$E$6)&amp;IF($F$6="",""," "&amp;INDEX($A:$U,ROW(),$F$6))))</f>
        <v/>
      </c>
      <c r="AB1074" s="31">
        <f>IF($AA1074="","",SUBSTITUTE(SUBSTITUTE(SUBSTITUTE(SUBSTITUTE(SUBSTITUTE(SUBSTITUTE(SUBSTITUTE(SUBSTITUTE(SUBSTITUTE($AA1074," ",""),"　",""),"(주)",""),"（주）",""),"㈜",""),"주식회사",""),"(유)",""),"（유）",""),"유한회사",""))</f>
        <v/>
      </c>
      <c r="AC1074" s="31">
        <f>IF(OR($Y1074="",N($Z1074)&lt;=0,$AB1074=""),0,IFERROR(LOOKUP(2,1/((거래처별!$AC$8:$AC$307&lt;&gt;"")*ISNUMBER(SEARCH(거래처별!$AC$8:$AC$307,$AB1074))),거래처별!$A$8:$A$307),IFERROR(LOOKUP(2,1/((거래처별!$AD$8:$AD$307&lt;&gt;"")*ISNUMBER(SEARCH(거래처별!$AD$8:$AD$307,$AB1074))),거래처별!$A$8:$A$307),IFERROR(LOOKUP(2,1/((거래처별!$AE$8:$AE$307&lt;&gt;"")*ISNUMBER(SEARCH(거래처별!$AE$8:$AE$307,$AB1074))),거래처별!$A$8:$A$307),0))))</f>
        <v/>
      </c>
      <c r="AD1074" s="31">
        <f>IF(AND($Y1074&lt;&gt;"",N($Z1074)&gt;0,$AC1074=0),MAX($AD$7:$AD1073)+1,"")</f>
        <v/>
      </c>
      <c r="AE1074" s="31">
        <f>IF($Y1074="",0,$Y1074)</f>
        <v/>
      </c>
    </row>
    <row r="1075">
      <c r="W1075" s="31">
        <f>IF(OR($B$5="",$C$6="",ROW()&lt;$B$5),"",IF(INDEX($A:$U,ROW(),$C$6)="","",INDEX($A:$U,ROW(),$C$6)))</f>
        <v/>
      </c>
      <c r="X1075" s="32">
        <f>IF($W1075="","",IF(ISNUMBER($W1075),IF($W1075&gt;=10000000,IFERROR(DATE(INT($W1075/10000),MOD(INT($W1075/100),100),MOD($W1075,100)),""),INT($W1075)),IFERROR(DATE(--LEFT(LEFT(SUBSTITUTE(SUBSTITUTE(SUBSTITUTE(SUBSTITUTE(TRIM($W1075),"-",""),".",""),"/","")," ",""),8),4),--MID(LEFT(SUBSTITUTE(SUBSTITUTE(SUBSTITUTE(SUBSTITUTE(TRIM($W1075),"-",""),".",""),"/","")," ",""),8),5,2),--MID(LEFT(SUBSTITUTE(SUBSTITUTE(SUBSTITUTE(SUBSTITUTE(TRIM($W1075),"-",""),".",""),"/","")," ",""),8),7,2)),"")))</f>
        <v/>
      </c>
      <c r="Y1075" s="32">
        <f>IF($X1075="","",INT($X1075))</f>
        <v/>
      </c>
      <c r="Z1075" s="33">
        <f>IF(OR($Y1075="",$D$6=""),"",IF(INDEX($A:$U,ROW(),$D$6)="",0,IF(ISNUMBER(INDEX($A:$U,ROW(),$D$6)),INDEX($A:$U,ROW(),$D$6),IFERROR(--SUBSTITUTE(SUBSTITUTE(TRIM(INDEX($A:$U,ROW(),$D$6)),",",""),"원",""),0))))</f>
        <v/>
      </c>
      <c r="AA1075" s="31">
        <f>IF($Y1075="","",TRIM(INDEX($A:$U,ROW(),$E$6)&amp;IF($F$6="",""," "&amp;INDEX($A:$U,ROW(),$F$6))))</f>
        <v/>
      </c>
      <c r="AB1075" s="31">
        <f>IF($AA1075="","",SUBSTITUTE(SUBSTITUTE(SUBSTITUTE(SUBSTITUTE(SUBSTITUTE(SUBSTITUTE(SUBSTITUTE(SUBSTITUTE(SUBSTITUTE($AA1075," ",""),"　",""),"(주)",""),"（주）",""),"㈜",""),"주식회사",""),"(유)",""),"（유）",""),"유한회사",""))</f>
        <v/>
      </c>
      <c r="AC1075" s="31">
        <f>IF(OR($Y1075="",N($Z1075)&lt;=0,$AB1075=""),0,IFERROR(LOOKUP(2,1/((거래처별!$AC$8:$AC$307&lt;&gt;"")*ISNUMBER(SEARCH(거래처별!$AC$8:$AC$307,$AB1075))),거래처별!$A$8:$A$307),IFERROR(LOOKUP(2,1/((거래처별!$AD$8:$AD$307&lt;&gt;"")*ISNUMBER(SEARCH(거래처별!$AD$8:$AD$307,$AB1075))),거래처별!$A$8:$A$307),IFERROR(LOOKUP(2,1/((거래처별!$AE$8:$AE$307&lt;&gt;"")*ISNUMBER(SEARCH(거래처별!$AE$8:$AE$307,$AB1075))),거래처별!$A$8:$A$307),0))))</f>
        <v/>
      </c>
      <c r="AD1075" s="31">
        <f>IF(AND($Y1075&lt;&gt;"",N($Z1075)&gt;0,$AC1075=0),MAX($AD$7:$AD1074)+1,"")</f>
        <v/>
      </c>
      <c r="AE1075" s="31">
        <f>IF($Y1075="",0,$Y1075)</f>
        <v/>
      </c>
    </row>
    <row r="1076">
      <c r="W1076" s="31">
        <f>IF(OR($B$5="",$C$6="",ROW()&lt;$B$5),"",IF(INDEX($A:$U,ROW(),$C$6)="","",INDEX($A:$U,ROW(),$C$6)))</f>
        <v/>
      </c>
      <c r="X1076" s="32">
        <f>IF($W1076="","",IF(ISNUMBER($W1076),IF($W1076&gt;=10000000,IFERROR(DATE(INT($W1076/10000),MOD(INT($W1076/100),100),MOD($W1076,100)),""),INT($W1076)),IFERROR(DATE(--LEFT(LEFT(SUBSTITUTE(SUBSTITUTE(SUBSTITUTE(SUBSTITUTE(TRIM($W1076),"-",""),".",""),"/","")," ",""),8),4),--MID(LEFT(SUBSTITUTE(SUBSTITUTE(SUBSTITUTE(SUBSTITUTE(TRIM($W1076),"-",""),".",""),"/","")," ",""),8),5,2),--MID(LEFT(SUBSTITUTE(SUBSTITUTE(SUBSTITUTE(SUBSTITUTE(TRIM($W1076),"-",""),".",""),"/","")," ",""),8),7,2)),"")))</f>
        <v/>
      </c>
      <c r="Y1076" s="32">
        <f>IF($X1076="","",INT($X1076))</f>
        <v/>
      </c>
      <c r="Z1076" s="33">
        <f>IF(OR($Y1076="",$D$6=""),"",IF(INDEX($A:$U,ROW(),$D$6)="",0,IF(ISNUMBER(INDEX($A:$U,ROW(),$D$6)),INDEX($A:$U,ROW(),$D$6),IFERROR(--SUBSTITUTE(SUBSTITUTE(TRIM(INDEX($A:$U,ROW(),$D$6)),",",""),"원",""),0))))</f>
        <v/>
      </c>
      <c r="AA1076" s="31">
        <f>IF($Y1076="","",TRIM(INDEX($A:$U,ROW(),$E$6)&amp;IF($F$6="",""," "&amp;INDEX($A:$U,ROW(),$F$6))))</f>
        <v/>
      </c>
      <c r="AB1076" s="31">
        <f>IF($AA1076="","",SUBSTITUTE(SUBSTITUTE(SUBSTITUTE(SUBSTITUTE(SUBSTITUTE(SUBSTITUTE(SUBSTITUTE(SUBSTITUTE(SUBSTITUTE($AA1076," ",""),"　",""),"(주)",""),"（주）",""),"㈜",""),"주식회사",""),"(유)",""),"（유）",""),"유한회사",""))</f>
        <v/>
      </c>
      <c r="AC1076" s="31">
        <f>IF(OR($Y1076="",N($Z1076)&lt;=0,$AB1076=""),0,IFERROR(LOOKUP(2,1/((거래처별!$AC$8:$AC$307&lt;&gt;"")*ISNUMBER(SEARCH(거래처별!$AC$8:$AC$307,$AB1076))),거래처별!$A$8:$A$307),IFERROR(LOOKUP(2,1/((거래처별!$AD$8:$AD$307&lt;&gt;"")*ISNUMBER(SEARCH(거래처별!$AD$8:$AD$307,$AB1076))),거래처별!$A$8:$A$307),IFERROR(LOOKUP(2,1/((거래처별!$AE$8:$AE$307&lt;&gt;"")*ISNUMBER(SEARCH(거래처별!$AE$8:$AE$307,$AB1076))),거래처별!$A$8:$A$307),0))))</f>
        <v/>
      </c>
      <c r="AD1076" s="31">
        <f>IF(AND($Y1076&lt;&gt;"",N($Z1076)&gt;0,$AC1076=0),MAX($AD$7:$AD1075)+1,"")</f>
        <v/>
      </c>
      <c r="AE1076" s="31">
        <f>IF($Y1076="",0,$Y1076)</f>
        <v/>
      </c>
    </row>
    <row r="1077">
      <c r="W1077" s="31">
        <f>IF(OR($B$5="",$C$6="",ROW()&lt;$B$5),"",IF(INDEX($A:$U,ROW(),$C$6)="","",INDEX($A:$U,ROW(),$C$6)))</f>
        <v/>
      </c>
      <c r="X1077" s="32">
        <f>IF($W1077="","",IF(ISNUMBER($W1077),IF($W1077&gt;=10000000,IFERROR(DATE(INT($W1077/10000),MOD(INT($W1077/100),100),MOD($W1077,100)),""),INT($W1077)),IFERROR(DATE(--LEFT(LEFT(SUBSTITUTE(SUBSTITUTE(SUBSTITUTE(SUBSTITUTE(TRIM($W1077),"-",""),".",""),"/","")," ",""),8),4),--MID(LEFT(SUBSTITUTE(SUBSTITUTE(SUBSTITUTE(SUBSTITUTE(TRIM($W1077),"-",""),".",""),"/","")," ",""),8),5,2),--MID(LEFT(SUBSTITUTE(SUBSTITUTE(SUBSTITUTE(SUBSTITUTE(TRIM($W1077),"-",""),".",""),"/","")," ",""),8),7,2)),"")))</f>
        <v/>
      </c>
      <c r="Y1077" s="32">
        <f>IF($X1077="","",INT($X1077))</f>
        <v/>
      </c>
      <c r="Z1077" s="33">
        <f>IF(OR($Y1077="",$D$6=""),"",IF(INDEX($A:$U,ROW(),$D$6)="",0,IF(ISNUMBER(INDEX($A:$U,ROW(),$D$6)),INDEX($A:$U,ROW(),$D$6),IFERROR(--SUBSTITUTE(SUBSTITUTE(TRIM(INDEX($A:$U,ROW(),$D$6)),",",""),"원",""),0))))</f>
        <v/>
      </c>
      <c r="AA1077" s="31">
        <f>IF($Y1077="","",TRIM(INDEX($A:$U,ROW(),$E$6)&amp;IF($F$6="",""," "&amp;INDEX($A:$U,ROW(),$F$6))))</f>
        <v/>
      </c>
      <c r="AB1077" s="31">
        <f>IF($AA1077="","",SUBSTITUTE(SUBSTITUTE(SUBSTITUTE(SUBSTITUTE(SUBSTITUTE(SUBSTITUTE(SUBSTITUTE(SUBSTITUTE(SUBSTITUTE($AA1077," ",""),"　",""),"(주)",""),"（주）",""),"㈜",""),"주식회사",""),"(유)",""),"（유）",""),"유한회사",""))</f>
        <v/>
      </c>
      <c r="AC1077" s="31">
        <f>IF(OR($Y1077="",N($Z1077)&lt;=0,$AB1077=""),0,IFERROR(LOOKUP(2,1/((거래처별!$AC$8:$AC$307&lt;&gt;"")*ISNUMBER(SEARCH(거래처별!$AC$8:$AC$307,$AB1077))),거래처별!$A$8:$A$307),IFERROR(LOOKUP(2,1/((거래처별!$AD$8:$AD$307&lt;&gt;"")*ISNUMBER(SEARCH(거래처별!$AD$8:$AD$307,$AB1077))),거래처별!$A$8:$A$307),IFERROR(LOOKUP(2,1/((거래처별!$AE$8:$AE$307&lt;&gt;"")*ISNUMBER(SEARCH(거래처별!$AE$8:$AE$307,$AB1077))),거래처별!$A$8:$A$307),0))))</f>
        <v/>
      </c>
      <c r="AD1077" s="31">
        <f>IF(AND($Y1077&lt;&gt;"",N($Z1077)&gt;0,$AC1077=0),MAX($AD$7:$AD1076)+1,"")</f>
        <v/>
      </c>
      <c r="AE1077" s="31">
        <f>IF($Y1077="",0,$Y1077)</f>
        <v/>
      </c>
    </row>
    <row r="1078">
      <c r="W1078" s="31">
        <f>IF(OR($B$5="",$C$6="",ROW()&lt;$B$5),"",IF(INDEX($A:$U,ROW(),$C$6)="","",INDEX($A:$U,ROW(),$C$6)))</f>
        <v/>
      </c>
      <c r="X1078" s="32">
        <f>IF($W1078="","",IF(ISNUMBER($W1078),IF($W1078&gt;=10000000,IFERROR(DATE(INT($W1078/10000),MOD(INT($W1078/100),100),MOD($W1078,100)),""),INT($W1078)),IFERROR(DATE(--LEFT(LEFT(SUBSTITUTE(SUBSTITUTE(SUBSTITUTE(SUBSTITUTE(TRIM($W1078),"-",""),".",""),"/","")," ",""),8),4),--MID(LEFT(SUBSTITUTE(SUBSTITUTE(SUBSTITUTE(SUBSTITUTE(TRIM($W1078),"-",""),".",""),"/","")," ",""),8),5,2),--MID(LEFT(SUBSTITUTE(SUBSTITUTE(SUBSTITUTE(SUBSTITUTE(TRIM($W1078),"-",""),".",""),"/","")," ",""),8),7,2)),"")))</f>
        <v/>
      </c>
      <c r="Y1078" s="32">
        <f>IF($X1078="","",INT($X1078))</f>
        <v/>
      </c>
      <c r="Z1078" s="33">
        <f>IF(OR($Y1078="",$D$6=""),"",IF(INDEX($A:$U,ROW(),$D$6)="",0,IF(ISNUMBER(INDEX($A:$U,ROW(),$D$6)),INDEX($A:$U,ROW(),$D$6),IFERROR(--SUBSTITUTE(SUBSTITUTE(TRIM(INDEX($A:$U,ROW(),$D$6)),",",""),"원",""),0))))</f>
        <v/>
      </c>
      <c r="AA1078" s="31">
        <f>IF($Y1078="","",TRIM(INDEX($A:$U,ROW(),$E$6)&amp;IF($F$6="",""," "&amp;INDEX($A:$U,ROW(),$F$6))))</f>
        <v/>
      </c>
      <c r="AB1078" s="31">
        <f>IF($AA1078="","",SUBSTITUTE(SUBSTITUTE(SUBSTITUTE(SUBSTITUTE(SUBSTITUTE(SUBSTITUTE(SUBSTITUTE(SUBSTITUTE(SUBSTITUTE($AA1078," ",""),"　",""),"(주)",""),"（주）",""),"㈜",""),"주식회사",""),"(유)",""),"（유）",""),"유한회사",""))</f>
        <v/>
      </c>
      <c r="AC1078" s="31">
        <f>IF(OR($Y1078="",N($Z1078)&lt;=0,$AB1078=""),0,IFERROR(LOOKUP(2,1/((거래처별!$AC$8:$AC$307&lt;&gt;"")*ISNUMBER(SEARCH(거래처별!$AC$8:$AC$307,$AB1078))),거래처별!$A$8:$A$307),IFERROR(LOOKUP(2,1/((거래처별!$AD$8:$AD$307&lt;&gt;"")*ISNUMBER(SEARCH(거래처별!$AD$8:$AD$307,$AB1078))),거래처별!$A$8:$A$307),IFERROR(LOOKUP(2,1/((거래처별!$AE$8:$AE$307&lt;&gt;"")*ISNUMBER(SEARCH(거래처별!$AE$8:$AE$307,$AB1078))),거래처별!$A$8:$A$307),0))))</f>
        <v/>
      </c>
      <c r="AD1078" s="31">
        <f>IF(AND($Y1078&lt;&gt;"",N($Z1078)&gt;0,$AC1078=0),MAX($AD$7:$AD1077)+1,"")</f>
        <v/>
      </c>
      <c r="AE1078" s="31">
        <f>IF($Y1078="",0,$Y1078)</f>
        <v/>
      </c>
    </row>
    <row r="1079">
      <c r="W1079" s="31">
        <f>IF(OR($B$5="",$C$6="",ROW()&lt;$B$5),"",IF(INDEX($A:$U,ROW(),$C$6)="","",INDEX($A:$U,ROW(),$C$6)))</f>
        <v/>
      </c>
      <c r="X1079" s="32">
        <f>IF($W1079="","",IF(ISNUMBER($W1079),IF($W1079&gt;=10000000,IFERROR(DATE(INT($W1079/10000),MOD(INT($W1079/100),100),MOD($W1079,100)),""),INT($W1079)),IFERROR(DATE(--LEFT(LEFT(SUBSTITUTE(SUBSTITUTE(SUBSTITUTE(SUBSTITUTE(TRIM($W1079),"-",""),".",""),"/","")," ",""),8),4),--MID(LEFT(SUBSTITUTE(SUBSTITUTE(SUBSTITUTE(SUBSTITUTE(TRIM($W1079),"-",""),".",""),"/","")," ",""),8),5,2),--MID(LEFT(SUBSTITUTE(SUBSTITUTE(SUBSTITUTE(SUBSTITUTE(TRIM($W1079),"-",""),".",""),"/","")," ",""),8),7,2)),"")))</f>
        <v/>
      </c>
      <c r="Y1079" s="32">
        <f>IF($X1079="","",INT($X1079))</f>
        <v/>
      </c>
      <c r="Z1079" s="33">
        <f>IF(OR($Y1079="",$D$6=""),"",IF(INDEX($A:$U,ROW(),$D$6)="",0,IF(ISNUMBER(INDEX($A:$U,ROW(),$D$6)),INDEX($A:$U,ROW(),$D$6),IFERROR(--SUBSTITUTE(SUBSTITUTE(TRIM(INDEX($A:$U,ROW(),$D$6)),",",""),"원",""),0))))</f>
        <v/>
      </c>
      <c r="AA1079" s="31">
        <f>IF($Y1079="","",TRIM(INDEX($A:$U,ROW(),$E$6)&amp;IF($F$6="",""," "&amp;INDEX($A:$U,ROW(),$F$6))))</f>
        <v/>
      </c>
      <c r="AB1079" s="31">
        <f>IF($AA1079="","",SUBSTITUTE(SUBSTITUTE(SUBSTITUTE(SUBSTITUTE(SUBSTITUTE(SUBSTITUTE(SUBSTITUTE(SUBSTITUTE(SUBSTITUTE($AA1079," ",""),"　",""),"(주)",""),"（주）",""),"㈜",""),"주식회사",""),"(유)",""),"（유）",""),"유한회사",""))</f>
        <v/>
      </c>
      <c r="AC1079" s="31">
        <f>IF(OR($Y1079="",N($Z1079)&lt;=0,$AB1079=""),0,IFERROR(LOOKUP(2,1/((거래처별!$AC$8:$AC$307&lt;&gt;"")*ISNUMBER(SEARCH(거래처별!$AC$8:$AC$307,$AB1079))),거래처별!$A$8:$A$307),IFERROR(LOOKUP(2,1/((거래처별!$AD$8:$AD$307&lt;&gt;"")*ISNUMBER(SEARCH(거래처별!$AD$8:$AD$307,$AB1079))),거래처별!$A$8:$A$307),IFERROR(LOOKUP(2,1/((거래처별!$AE$8:$AE$307&lt;&gt;"")*ISNUMBER(SEARCH(거래처별!$AE$8:$AE$307,$AB1079))),거래처별!$A$8:$A$307),0))))</f>
        <v/>
      </c>
      <c r="AD1079" s="31">
        <f>IF(AND($Y1079&lt;&gt;"",N($Z1079)&gt;0,$AC1079=0),MAX($AD$7:$AD1078)+1,"")</f>
        <v/>
      </c>
      <c r="AE1079" s="31">
        <f>IF($Y1079="",0,$Y1079)</f>
        <v/>
      </c>
    </row>
    <row r="1080">
      <c r="W1080" s="31">
        <f>IF(OR($B$5="",$C$6="",ROW()&lt;$B$5),"",IF(INDEX($A:$U,ROW(),$C$6)="","",INDEX($A:$U,ROW(),$C$6)))</f>
        <v/>
      </c>
      <c r="X1080" s="32">
        <f>IF($W1080="","",IF(ISNUMBER($W1080),IF($W1080&gt;=10000000,IFERROR(DATE(INT($W1080/10000),MOD(INT($W1080/100),100),MOD($W1080,100)),""),INT($W1080)),IFERROR(DATE(--LEFT(LEFT(SUBSTITUTE(SUBSTITUTE(SUBSTITUTE(SUBSTITUTE(TRIM($W1080),"-",""),".",""),"/","")," ",""),8),4),--MID(LEFT(SUBSTITUTE(SUBSTITUTE(SUBSTITUTE(SUBSTITUTE(TRIM($W1080),"-",""),".",""),"/","")," ",""),8),5,2),--MID(LEFT(SUBSTITUTE(SUBSTITUTE(SUBSTITUTE(SUBSTITUTE(TRIM($W1080),"-",""),".",""),"/","")," ",""),8),7,2)),"")))</f>
        <v/>
      </c>
      <c r="Y1080" s="32">
        <f>IF($X1080="","",INT($X1080))</f>
        <v/>
      </c>
      <c r="Z1080" s="33">
        <f>IF(OR($Y1080="",$D$6=""),"",IF(INDEX($A:$U,ROW(),$D$6)="",0,IF(ISNUMBER(INDEX($A:$U,ROW(),$D$6)),INDEX($A:$U,ROW(),$D$6),IFERROR(--SUBSTITUTE(SUBSTITUTE(TRIM(INDEX($A:$U,ROW(),$D$6)),",",""),"원",""),0))))</f>
        <v/>
      </c>
      <c r="AA1080" s="31">
        <f>IF($Y1080="","",TRIM(INDEX($A:$U,ROW(),$E$6)&amp;IF($F$6="",""," "&amp;INDEX($A:$U,ROW(),$F$6))))</f>
        <v/>
      </c>
      <c r="AB1080" s="31">
        <f>IF($AA1080="","",SUBSTITUTE(SUBSTITUTE(SUBSTITUTE(SUBSTITUTE(SUBSTITUTE(SUBSTITUTE(SUBSTITUTE(SUBSTITUTE(SUBSTITUTE($AA1080," ",""),"　",""),"(주)",""),"（주）",""),"㈜",""),"주식회사",""),"(유)",""),"（유）",""),"유한회사",""))</f>
        <v/>
      </c>
      <c r="AC1080" s="31">
        <f>IF(OR($Y1080="",N($Z1080)&lt;=0,$AB1080=""),0,IFERROR(LOOKUP(2,1/((거래처별!$AC$8:$AC$307&lt;&gt;"")*ISNUMBER(SEARCH(거래처별!$AC$8:$AC$307,$AB1080))),거래처별!$A$8:$A$307),IFERROR(LOOKUP(2,1/((거래처별!$AD$8:$AD$307&lt;&gt;"")*ISNUMBER(SEARCH(거래처별!$AD$8:$AD$307,$AB1080))),거래처별!$A$8:$A$307),IFERROR(LOOKUP(2,1/((거래처별!$AE$8:$AE$307&lt;&gt;"")*ISNUMBER(SEARCH(거래처별!$AE$8:$AE$307,$AB1080))),거래처별!$A$8:$A$307),0))))</f>
        <v/>
      </c>
      <c r="AD1080" s="31">
        <f>IF(AND($Y1080&lt;&gt;"",N($Z1080)&gt;0,$AC1080=0),MAX($AD$7:$AD1079)+1,"")</f>
        <v/>
      </c>
      <c r="AE1080" s="31">
        <f>IF($Y1080="",0,$Y1080)</f>
        <v/>
      </c>
    </row>
    <row r="1081">
      <c r="W1081" s="31">
        <f>IF(OR($B$5="",$C$6="",ROW()&lt;$B$5),"",IF(INDEX($A:$U,ROW(),$C$6)="","",INDEX($A:$U,ROW(),$C$6)))</f>
        <v/>
      </c>
      <c r="X1081" s="32">
        <f>IF($W1081="","",IF(ISNUMBER($W1081),IF($W1081&gt;=10000000,IFERROR(DATE(INT($W1081/10000),MOD(INT($W1081/100),100),MOD($W1081,100)),""),INT($W1081)),IFERROR(DATE(--LEFT(LEFT(SUBSTITUTE(SUBSTITUTE(SUBSTITUTE(SUBSTITUTE(TRIM($W1081),"-",""),".",""),"/","")," ",""),8),4),--MID(LEFT(SUBSTITUTE(SUBSTITUTE(SUBSTITUTE(SUBSTITUTE(TRIM($W1081),"-",""),".",""),"/","")," ",""),8),5,2),--MID(LEFT(SUBSTITUTE(SUBSTITUTE(SUBSTITUTE(SUBSTITUTE(TRIM($W1081),"-",""),".",""),"/","")," ",""),8),7,2)),"")))</f>
        <v/>
      </c>
      <c r="Y1081" s="32">
        <f>IF($X1081="","",INT($X1081))</f>
        <v/>
      </c>
      <c r="Z1081" s="33">
        <f>IF(OR($Y1081="",$D$6=""),"",IF(INDEX($A:$U,ROW(),$D$6)="",0,IF(ISNUMBER(INDEX($A:$U,ROW(),$D$6)),INDEX($A:$U,ROW(),$D$6),IFERROR(--SUBSTITUTE(SUBSTITUTE(TRIM(INDEX($A:$U,ROW(),$D$6)),",",""),"원",""),0))))</f>
        <v/>
      </c>
      <c r="AA1081" s="31">
        <f>IF($Y1081="","",TRIM(INDEX($A:$U,ROW(),$E$6)&amp;IF($F$6="",""," "&amp;INDEX($A:$U,ROW(),$F$6))))</f>
        <v/>
      </c>
      <c r="AB1081" s="31">
        <f>IF($AA1081="","",SUBSTITUTE(SUBSTITUTE(SUBSTITUTE(SUBSTITUTE(SUBSTITUTE(SUBSTITUTE(SUBSTITUTE(SUBSTITUTE(SUBSTITUTE($AA1081," ",""),"　",""),"(주)",""),"（주）",""),"㈜",""),"주식회사",""),"(유)",""),"（유）",""),"유한회사",""))</f>
        <v/>
      </c>
      <c r="AC1081" s="31">
        <f>IF(OR($Y1081="",N($Z1081)&lt;=0,$AB1081=""),0,IFERROR(LOOKUP(2,1/((거래처별!$AC$8:$AC$307&lt;&gt;"")*ISNUMBER(SEARCH(거래처별!$AC$8:$AC$307,$AB1081))),거래처별!$A$8:$A$307),IFERROR(LOOKUP(2,1/((거래처별!$AD$8:$AD$307&lt;&gt;"")*ISNUMBER(SEARCH(거래처별!$AD$8:$AD$307,$AB1081))),거래처별!$A$8:$A$307),IFERROR(LOOKUP(2,1/((거래처별!$AE$8:$AE$307&lt;&gt;"")*ISNUMBER(SEARCH(거래처별!$AE$8:$AE$307,$AB1081))),거래처별!$A$8:$A$307),0))))</f>
        <v/>
      </c>
      <c r="AD1081" s="31">
        <f>IF(AND($Y1081&lt;&gt;"",N($Z1081)&gt;0,$AC1081=0),MAX($AD$7:$AD1080)+1,"")</f>
        <v/>
      </c>
      <c r="AE1081" s="31">
        <f>IF($Y1081="",0,$Y1081)</f>
        <v/>
      </c>
    </row>
    <row r="1082">
      <c r="W1082" s="31">
        <f>IF(OR($B$5="",$C$6="",ROW()&lt;$B$5),"",IF(INDEX($A:$U,ROW(),$C$6)="","",INDEX($A:$U,ROW(),$C$6)))</f>
        <v/>
      </c>
      <c r="X1082" s="32">
        <f>IF($W1082="","",IF(ISNUMBER($W1082),IF($W1082&gt;=10000000,IFERROR(DATE(INT($W1082/10000),MOD(INT($W1082/100),100),MOD($W1082,100)),""),INT($W1082)),IFERROR(DATE(--LEFT(LEFT(SUBSTITUTE(SUBSTITUTE(SUBSTITUTE(SUBSTITUTE(TRIM($W1082),"-",""),".",""),"/","")," ",""),8),4),--MID(LEFT(SUBSTITUTE(SUBSTITUTE(SUBSTITUTE(SUBSTITUTE(TRIM($W1082),"-",""),".",""),"/","")," ",""),8),5,2),--MID(LEFT(SUBSTITUTE(SUBSTITUTE(SUBSTITUTE(SUBSTITUTE(TRIM($W1082),"-",""),".",""),"/","")," ",""),8),7,2)),"")))</f>
        <v/>
      </c>
      <c r="Y1082" s="32">
        <f>IF($X1082="","",INT($X1082))</f>
        <v/>
      </c>
      <c r="Z1082" s="33">
        <f>IF(OR($Y1082="",$D$6=""),"",IF(INDEX($A:$U,ROW(),$D$6)="",0,IF(ISNUMBER(INDEX($A:$U,ROW(),$D$6)),INDEX($A:$U,ROW(),$D$6),IFERROR(--SUBSTITUTE(SUBSTITUTE(TRIM(INDEX($A:$U,ROW(),$D$6)),",",""),"원",""),0))))</f>
        <v/>
      </c>
      <c r="AA1082" s="31">
        <f>IF($Y1082="","",TRIM(INDEX($A:$U,ROW(),$E$6)&amp;IF($F$6="",""," "&amp;INDEX($A:$U,ROW(),$F$6))))</f>
        <v/>
      </c>
      <c r="AB1082" s="31">
        <f>IF($AA1082="","",SUBSTITUTE(SUBSTITUTE(SUBSTITUTE(SUBSTITUTE(SUBSTITUTE(SUBSTITUTE(SUBSTITUTE(SUBSTITUTE(SUBSTITUTE($AA1082," ",""),"　",""),"(주)",""),"（주）",""),"㈜",""),"주식회사",""),"(유)",""),"（유）",""),"유한회사",""))</f>
        <v/>
      </c>
      <c r="AC1082" s="31">
        <f>IF(OR($Y1082="",N($Z1082)&lt;=0,$AB1082=""),0,IFERROR(LOOKUP(2,1/((거래처별!$AC$8:$AC$307&lt;&gt;"")*ISNUMBER(SEARCH(거래처별!$AC$8:$AC$307,$AB1082))),거래처별!$A$8:$A$307),IFERROR(LOOKUP(2,1/((거래처별!$AD$8:$AD$307&lt;&gt;"")*ISNUMBER(SEARCH(거래처별!$AD$8:$AD$307,$AB1082))),거래처별!$A$8:$A$307),IFERROR(LOOKUP(2,1/((거래처별!$AE$8:$AE$307&lt;&gt;"")*ISNUMBER(SEARCH(거래처별!$AE$8:$AE$307,$AB1082))),거래처별!$A$8:$A$307),0))))</f>
        <v/>
      </c>
      <c r="AD1082" s="31">
        <f>IF(AND($Y1082&lt;&gt;"",N($Z1082)&gt;0,$AC1082=0),MAX($AD$7:$AD1081)+1,"")</f>
        <v/>
      </c>
      <c r="AE1082" s="31">
        <f>IF($Y1082="",0,$Y1082)</f>
        <v/>
      </c>
    </row>
    <row r="1083">
      <c r="W1083" s="31">
        <f>IF(OR($B$5="",$C$6="",ROW()&lt;$B$5),"",IF(INDEX($A:$U,ROW(),$C$6)="","",INDEX($A:$U,ROW(),$C$6)))</f>
        <v/>
      </c>
      <c r="X1083" s="32">
        <f>IF($W1083="","",IF(ISNUMBER($W1083),IF($W1083&gt;=10000000,IFERROR(DATE(INT($W1083/10000),MOD(INT($W1083/100),100),MOD($W1083,100)),""),INT($W1083)),IFERROR(DATE(--LEFT(LEFT(SUBSTITUTE(SUBSTITUTE(SUBSTITUTE(SUBSTITUTE(TRIM($W1083),"-",""),".",""),"/","")," ",""),8),4),--MID(LEFT(SUBSTITUTE(SUBSTITUTE(SUBSTITUTE(SUBSTITUTE(TRIM($W1083),"-",""),".",""),"/","")," ",""),8),5,2),--MID(LEFT(SUBSTITUTE(SUBSTITUTE(SUBSTITUTE(SUBSTITUTE(TRIM($W1083),"-",""),".",""),"/","")," ",""),8),7,2)),"")))</f>
        <v/>
      </c>
      <c r="Y1083" s="32">
        <f>IF($X1083="","",INT($X1083))</f>
        <v/>
      </c>
      <c r="Z1083" s="33">
        <f>IF(OR($Y1083="",$D$6=""),"",IF(INDEX($A:$U,ROW(),$D$6)="",0,IF(ISNUMBER(INDEX($A:$U,ROW(),$D$6)),INDEX($A:$U,ROW(),$D$6),IFERROR(--SUBSTITUTE(SUBSTITUTE(TRIM(INDEX($A:$U,ROW(),$D$6)),",",""),"원",""),0))))</f>
        <v/>
      </c>
      <c r="AA1083" s="31">
        <f>IF($Y1083="","",TRIM(INDEX($A:$U,ROW(),$E$6)&amp;IF($F$6="",""," "&amp;INDEX($A:$U,ROW(),$F$6))))</f>
        <v/>
      </c>
      <c r="AB1083" s="31">
        <f>IF($AA1083="","",SUBSTITUTE(SUBSTITUTE(SUBSTITUTE(SUBSTITUTE(SUBSTITUTE(SUBSTITUTE(SUBSTITUTE(SUBSTITUTE(SUBSTITUTE($AA1083," ",""),"　",""),"(주)",""),"（주）",""),"㈜",""),"주식회사",""),"(유)",""),"（유）",""),"유한회사",""))</f>
        <v/>
      </c>
      <c r="AC1083" s="31">
        <f>IF(OR($Y1083="",N($Z1083)&lt;=0,$AB1083=""),0,IFERROR(LOOKUP(2,1/((거래처별!$AC$8:$AC$307&lt;&gt;"")*ISNUMBER(SEARCH(거래처별!$AC$8:$AC$307,$AB1083))),거래처별!$A$8:$A$307),IFERROR(LOOKUP(2,1/((거래처별!$AD$8:$AD$307&lt;&gt;"")*ISNUMBER(SEARCH(거래처별!$AD$8:$AD$307,$AB1083))),거래처별!$A$8:$A$307),IFERROR(LOOKUP(2,1/((거래처별!$AE$8:$AE$307&lt;&gt;"")*ISNUMBER(SEARCH(거래처별!$AE$8:$AE$307,$AB1083))),거래처별!$A$8:$A$307),0))))</f>
        <v/>
      </c>
      <c r="AD1083" s="31">
        <f>IF(AND($Y1083&lt;&gt;"",N($Z1083)&gt;0,$AC1083=0),MAX($AD$7:$AD1082)+1,"")</f>
        <v/>
      </c>
      <c r="AE1083" s="31">
        <f>IF($Y1083="",0,$Y1083)</f>
        <v/>
      </c>
    </row>
    <row r="1084">
      <c r="W1084" s="31">
        <f>IF(OR($B$5="",$C$6="",ROW()&lt;$B$5),"",IF(INDEX($A:$U,ROW(),$C$6)="","",INDEX($A:$U,ROW(),$C$6)))</f>
        <v/>
      </c>
      <c r="X1084" s="32">
        <f>IF($W1084="","",IF(ISNUMBER($W1084),IF($W1084&gt;=10000000,IFERROR(DATE(INT($W1084/10000),MOD(INT($W1084/100),100),MOD($W1084,100)),""),INT($W1084)),IFERROR(DATE(--LEFT(LEFT(SUBSTITUTE(SUBSTITUTE(SUBSTITUTE(SUBSTITUTE(TRIM($W1084),"-",""),".",""),"/","")," ",""),8),4),--MID(LEFT(SUBSTITUTE(SUBSTITUTE(SUBSTITUTE(SUBSTITUTE(TRIM($W1084),"-",""),".",""),"/","")," ",""),8),5,2),--MID(LEFT(SUBSTITUTE(SUBSTITUTE(SUBSTITUTE(SUBSTITUTE(TRIM($W1084),"-",""),".",""),"/","")," ",""),8),7,2)),"")))</f>
        <v/>
      </c>
      <c r="Y1084" s="32">
        <f>IF($X1084="","",INT($X1084))</f>
        <v/>
      </c>
      <c r="Z1084" s="33">
        <f>IF(OR($Y1084="",$D$6=""),"",IF(INDEX($A:$U,ROW(),$D$6)="",0,IF(ISNUMBER(INDEX($A:$U,ROW(),$D$6)),INDEX($A:$U,ROW(),$D$6),IFERROR(--SUBSTITUTE(SUBSTITUTE(TRIM(INDEX($A:$U,ROW(),$D$6)),",",""),"원",""),0))))</f>
        <v/>
      </c>
      <c r="AA1084" s="31">
        <f>IF($Y1084="","",TRIM(INDEX($A:$U,ROW(),$E$6)&amp;IF($F$6="",""," "&amp;INDEX($A:$U,ROW(),$F$6))))</f>
        <v/>
      </c>
      <c r="AB1084" s="31">
        <f>IF($AA1084="","",SUBSTITUTE(SUBSTITUTE(SUBSTITUTE(SUBSTITUTE(SUBSTITUTE(SUBSTITUTE(SUBSTITUTE(SUBSTITUTE(SUBSTITUTE($AA1084," ",""),"　",""),"(주)",""),"（주）",""),"㈜",""),"주식회사",""),"(유)",""),"（유）",""),"유한회사",""))</f>
        <v/>
      </c>
      <c r="AC1084" s="31">
        <f>IF(OR($Y1084="",N($Z1084)&lt;=0,$AB1084=""),0,IFERROR(LOOKUP(2,1/((거래처별!$AC$8:$AC$307&lt;&gt;"")*ISNUMBER(SEARCH(거래처별!$AC$8:$AC$307,$AB1084))),거래처별!$A$8:$A$307),IFERROR(LOOKUP(2,1/((거래처별!$AD$8:$AD$307&lt;&gt;"")*ISNUMBER(SEARCH(거래처별!$AD$8:$AD$307,$AB1084))),거래처별!$A$8:$A$307),IFERROR(LOOKUP(2,1/((거래처별!$AE$8:$AE$307&lt;&gt;"")*ISNUMBER(SEARCH(거래처별!$AE$8:$AE$307,$AB1084))),거래처별!$A$8:$A$307),0))))</f>
        <v/>
      </c>
      <c r="AD1084" s="31">
        <f>IF(AND($Y1084&lt;&gt;"",N($Z1084)&gt;0,$AC1084=0),MAX($AD$7:$AD1083)+1,"")</f>
        <v/>
      </c>
      <c r="AE1084" s="31">
        <f>IF($Y1084="",0,$Y1084)</f>
        <v/>
      </c>
    </row>
    <row r="1085">
      <c r="W1085" s="31">
        <f>IF(OR($B$5="",$C$6="",ROW()&lt;$B$5),"",IF(INDEX($A:$U,ROW(),$C$6)="","",INDEX($A:$U,ROW(),$C$6)))</f>
        <v/>
      </c>
      <c r="X1085" s="32">
        <f>IF($W1085="","",IF(ISNUMBER($W1085),IF($W1085&gt;=10000000,IFERROR(DATE(INT($W1085/10000),MOD(INT($W1085/100),100),MOD($W1085,100)),""),INT($W1085)),IFERROR(DATE(--LEFT(LEFT(SUBSTITUTE(SUBSTITUTE(SUBSTITUTE(SUBSTITUTE(TRIM($W1085),"-",""),".",""),"/","")," ",""),8),4),--MID(LEFT(SUBSTITUTE(SUBSTITUTE(SUBSTITUTE(SUBSTITUTE(TRIM($W1085),"-",""),".",""),"/","")," ",""),8),5,2),--MID(LEFT(SUBSTITUTE(SUBSTITUTE(SUBSTITUTE(SUBSTITUTE(TRIM($W1085),"-",""),".",""),"/","")," ",""),8),7,2)),"")))</f>
        <v/>
      </c>
      <c r="Y1085" s="32">
        <f>IF($X1085="","",INT($X1085))</f>
        <v/>
      </c>
      <c r="Z1085" s="33">
        <f>IF(OR($Y1085="",$D$6=""),"",IF(INDEX($A:$U,ROW(),$D$6)="",0,IF(ISNUMBER(INDEX($A:$U,ROW(),$D$6)),INDEX($A:$U,ROW(),$D$6),IFERROR(--SUBSTITUTE(SUBSTITUTE(TRIM(INDEX($A:$U,ROW(),$D$6)),",",""),"원",""),0))))</f>
        <v/>
      </c>
      <c r="AA1085" s="31">
        <f>IF($Y1085="","",TRIM(INDEX($A:$U,ROW(),$E$6)&amp;IF($F$6="",""," "&amp;INDEX($A:$U,ROW(),$F$6))))</f>
        <v/>
      </c>
      <c r="AB1085" s="31">
        <f>IF($AA1085="","",SUBSTITUTE(SUBSTITUTE(SUBSTITUTE(SUBSTITUTE(SUBSTITUTE(SUBSTITUTE(SUBSTITUTE(SUBSTITUTE(SUBSTITUTE($AA1085," ",""),"　",""),"(주)",""),"（주）",""),"㈜",""),"주식회사",""),"(유)",""),"（유）",""),"유한회사",""))</f>
        <v/>
      </c>
      <c r="AC1085" s="31">
        <f>IF(OR($Y1085="",N($Z1085)&lt;=0,$AB1085=""),0,IFERROR(LOOKUP(2,1/((거래처별!$AC$8:$AC$307&lt;&gt;"")*ISNUMBER(SEARCH(거래처별!$AC$8:$AC$307,$AB1085))),거래처별!$A$8:$A$307),IFERROR(LOOKUP(2,1/((거래처별!$AD$8:$AD$307&lt;&gt;"")*ISNUMBER(SEARCH(거래처별!$AD$8:$AD$307,$AB1085))),거래처별!$A$8:$A$307),IFERROR(LOOKUP(2,1/((거래처별!$AE$8:$AE$307&lt;&gt;"")*ISNUMBER(SEARCH(거래처별!$AE$8:$AE$307,$AB1085))),거래처별!$A$8:$A$307),0))))</f>
        <v/>
      </c>
      <c r="AD1085" s="31">
        <f>IF(AND($Y1085&lt;&gt;"",N($Z1085)&gt;0,$AC1085=0),MAX($AD$7:$AD1084)+1,"")</f>
        <v/>
      </c>
      <c r="AE1085" s="31">
        <f>IF($Y1085="",0,$Y1085)</f>
        <v/>
      </c>
    </row>
    <row r="1086">
      <c r="W1086" s="31">
        <f>IF(OR($B$5="",$C$6="",ROW()&lt;$B$5),"",IF(INDEX($A:$U,ROW(),$C$6)="","",INDEX($A:$U,ROW(),$C$6)))</f>
        <v/>
      </c>
      <c r="X1086" s="32">
        <f>IF($W1086="","",IF(ISNUMBER($W1086),IF($W1086&gt;=10000000,IFERROR(DATE(INT($W1086/10000),MOD(INT($W1086/100),100),MOD($W1086,100)),""),INT($W1086)),IFERROR(DATE(--LEFT(LEFT(SUBSTITUTE(SUBSTITUTE(SUBSTITUTE(SUBSTITUTE(TRIM($W1086),"-",""),".",""),"/","")," ",""),8),4),--MID(LEFT(SUBSTITUTE(SUBSTITUTE(SUBSTITUTE(SUBSTITUTE(TRIM($W1086),"-",""),".",""),"/","")," ",""),8),5,2),--MID(LEFT(SUBSTITUTE(SUBSTITUTE(SUBSTITUTE(SUBSTITUTE(TRIM($W1086),"-",""),".",""),"/","")," ",""),8),7,2)),"")))</f>
        <v/>
      </c>
      <c r="Y1086" s="32">
        <f>IF($X1086="","",INT($X1086))</f>
        <v/>
      </c>
      <c r="Z1086" s="33">
        <f>IF(OR($Y1086="",$D$6=""),"",IF(INDEX($A:$U,ROW(),$D$6)="",0,IF(ISNUMBER(INDEX($A:$U,ROW(),$D$6)),INDEX($A:$U,ROW(),$D$6),IFERROR(--SUBSTITUTE(SUBSTITUTE(TRIM(INDEX($A:$U,ROW(),$D$6)),",",""),"원",""),0))))</f>
        <v/>
      </c>
      <c r="AA1086" s="31">
        <f>IF($Y1086="","",TRIM(INDEX($A:$U,ROW(),$E$6)&amp;IF($F$6="",""," "&amp;INDEX($A:$U,ROW(),$F$6))))</f>
        <v/>
      </c>
      <c r="AB1086" s="31">
        <f>IF($AA1086="","",SUBSTITUTE(SUBSTITUTE(SUBSTITUTE(SUBSTITUTE(SUBSTITUTE(SUBSTITUTE(SUBSTITUTE(SUBSTITUTE(SUBSTITUTE($AA1086," ",""),"　",""),"(주)",""),"（주）",""),"㈜",""),"주식회사",""),"(유)",""),"（유）",""),"유한회사",""))</f>
        <v/>
      </c>
      <c r="AC1086" s="31">
        <f>IF(OR($Y1086="",N($Z1086)&lt;=0,$AB1086=""),0,IFERROR(LOOKUP(2,1/((거래처별!$AC$8:$AC$307&lt;&gt;"")*ISNUMBER(SEARCH(거래처별!$AC$8:$AC$307,$AB1086))),거래처별!$A$8:$A$307),IFERROR(LOOKUP(2,1/((거래처별!$AD$8:$AD$307&lt;&gt;"")*ISNUMBER(SEARCH(거래처별!$AD$8:$AD$307,$AB1086))),거래처별!$A$8:$A$307),IFERROR(LOOKUP(2,1/((거래처별!$AE$8:$AE$307&lt;&gt;"")*ISNUMBER(SEARCH(거래처별!$AE$8:$AE$307,$AB1086))),거래처별!$A$8:$A$307),0))))</f>
        <v/>
      </c>
      <c r="AD1086" s="31">
        <f>IF(AND($Y1086&lt;&gt;"",N($Z1086)&gt;0,$AC1086=0),MAX($AD$7:$AD1085)+1,"")</f>
        <v/>
      </c>
      <c r="AE1086" s="31">
        <f>IF($Y1086="",0,$Y1086)</f>
        <v/>
      </c>
    </row>
    <row r="1087">
      <c r="W1087" s="31">
        <f>IF(OR($B$5="",$C$6="",ROW()&lt;$B$5),"",IF(INDEX($A:$U,ROW(),$C$6)="","",INDEX($A:$U,ROW(),$C$6)))</f>
        <v/>
      </c>
      <c r="X1087" s="32">
        <f>IF($W1087="","",IF(ISNUMBER($W1087),IF($W1087&gt;=10000000,IFERROR(DATE(INT($W1087/10000),MOD(INT($W1087/100),100),MOD($W1087,100)),""),INT($W1087)),IFERROR(DATE(--LEFT(LEFT(SUBSTITUTE(SUBSTITUTE(SUBSTITUTE(SUBSTITUTE(TRIM($W1087),"-",""),".",""),"/","")," ",""),8),4),--MID(LEFT(SUBSTITUTE(SUBSTITUTE(SUBSTITUTE(SUBSTITUTE(TRIM($W1087),"-",""),".",""),"/","")," ",""),8),5,2),--MID(LEFT(SUBSTITUTE(SUBSTITUTE(SUBSTITUTE(SUBSTITUTE(TRIM($W1087),"-",""),".",""),"/","")," ",""),8),7,2)),"")))</f>
        <v/>
      </c>
      <c r="Y1087" s="32">
        <f>IF($X1087="","",INT($X1087))</f>
        <v/>
      </c>
      <c r="Z1087" s="33">
        <f>IF(OR($Y1087="",$D$6=""),"",IF(INDEX($A:$U,ROW(),$D$6)="",0,IF(ISNUMBER(INDEX($A:$U,ROW(),$D$6)),INDEX($A:$U,ROW(),$D$6),IFERROR(--SUBSTITUTE(SUBSTITUTE(TRIM(INDEX($A:$U,ROW(),$D$6)),",",""),"원",""),0))))</f>
        <v/>
      </c>
      <c r="AA1087" s="31">
        <f>IF($Y1087="","",TRIM(INDEX($A:$U,ROW(),$E$6)&amp;IF($F$6="",""," "&amp;INDEX($A:$U,ROW(),$F$6))))</f>
        <v/>
      </c>
      <c r="AB1087" s="31">
        <f>IF($AA1087="","",SUBSTITUTE(SUBSTITUTE(SUBSTITUTE(SUBSTITUTE(SUBSTITUTE(SUBSTITUTE(SUBSTITUTE(SUBSTITUTE(SUBSTITUTE($AA1087," ",""),"　",""),"(주)",""),"（주）",""),"㈜",""),"주식회사",""),"(유)",""),"（유）",""),"유한회사",""))</f>
        <v/>
      </c>
      <c r="AC1087" s="31">
        <f>IF(OR($Y1087="",N($Z1087)&lt;=0,$AB1087=""),0,IFERROR(LOOKUP(2,1/((거래처별!$AC$8:$AC$307&lt;&gt;"")*ISNUMBER(SEARCH(거래처별!$AC$8:$AC$307,$AB1087))),거래처별!$A$8:$A$307),IFERROR(LOOKUP(2,1/((거래처별!$AD$8:$AD$307&lt;&gt;"")*ISNUMBER(SEARCH(거래처별!$AD$8:$AD$307,$AB1087))),거래처별!$A$8:$A$307),IFERROR(LOOKUP(2,1/((거래처별!$AE$8:$AE$307&lt;&gt;"")*ISNUMBER(SEARCH(거래처별!$AE$8:$AE$307,$AB1087))),거래처별!$A$8:$A$307),0))))</f>
        <v/>
      </c>
      <c r="AD1087" s="31">
        <f>IF(AND($Y1087&lt;&gt;"",N($Z1087)&gt;0,$AC1087=0),MAX($AD$7:$AD1086)+1,"")</f>
        <v/>
      </c>
      <c r="AE1087" s="31">
        <f>IF($Y1087="",0,$Y1087)</f>
        <v/>
      </c>
    </row>
    <row r="1088">
      <c r="W1088" s="31">
        <f>IF(OR($B$5="",$C$6="",ROW()&lt;$B$5),"",IF(INDEX($A:$U,ROW(),$C$6)="","",INDEX($A:$U,ROW(),$C$6)))</f>
        <v/>
      </c>
      <c r="X1088" s="32">
        <f>IF($W1088="","",IF(ISNUMBER($W1088),IF($W1088&gt;=10000000,IFERROR(DATE(INT($W1088/10000),MOD(INT($W1088/100),100),MOD($W1088,100)),""),INT($W1088)),IFERROR(DATE(--LEFT(LEFT(SUBSTITUTE(SUBSTITUTE(SUBSTITUTE(SUBSTITUTE(TRIM($W1088),"-",""),".",""),"/","")," ",""),8),4),--MID(LEFT(SUBSTITUTE(SUBSTITUTE(SUBSTITUTE(SUBSTITUTE(TRIM($W1088),"-",""),".",""),"/","")," ",""),8),5,2),--MID(LEFT(SUBSTITUTE(SUBSTITUTE(SUBSTITUTE(SUBSTITUTE(TRIM($W1088),"-",""),".",""),"/","")," ",""),8),7,2)),"")))</f>
        <v/>
      </c>
      <c r="Y1088" s="32">
        <f>IF($X1088="","",INT($X1088))</f>
        <v/>
      </c>
      <c r="Z1088" s="33">
        <f>IF(OR($Y1088="",$D$6=""),"",IF(INDEX($A:$U,ROW(),$D$6)="",0,IF(ISNUMBER(INDEX($A:$U,ROW(),$D$6)),INDEX($A:$U,ROW(),$D$6),IFERROR(--SUBSTITUTE(SUBSTITUTE(TRIM(INDEX($A:$U,ROW(),$D$6)),",",""),"원",""),0))))</f>
        <v/>
      </c>
      <c r="AA1088" s="31">
        <f>IF($Y1088="","",TRIM(INDEX($A:$U,ROW(),$E$6)&amp;IF($F$6="",""," "&amp;INDEX($A:$U,ROW(),$F$6))))</f>
        <v/>
      </c>
      <c r="AB1088" s="31">
        <f>IF($AA1088="","",SUBSTITUTE(SUBSTITUTE(SUBSTITUTE(SUBSTITUTE(SUBSTITUTE(SUBSTITUTE(SUBSTITUTE(SUBSTITUTE(SUBSTITUTE($AA1088," ",""),"　",""),"(주)",""),"（주）",""),"㈜",""),"주식회사",""),"(유)",""),"（유）",""),"유한회사",""))</f>
        <v/>
      </c>
      <c r="AC1088" s="31">
        <f>IF(OR($Y1088="",N($Z1088)&lt;=0,$AB1088=""),0,IFERROR(LOOKUP(2,1/((거래처별!$AC$8:$AC$307&lt;&gt;"")*ISNUMBER(SEARCH(거래처별!$AC$8:$AC$307,$AB1088))),거래처별!$A$8:$A$307),IFERROR(LOOKUP(2,1/((거래처별!$AD$8:$AD$307&lt;&gt;"")*ISNUMBER(SEARCH(거래처별!$AD$8:$AD$307,$AB1088))),거래처별!$A$8:$A$307),IFERROR(LOOKUP(2,1/((거래처별!$AE$8:$AE$307&lt;&gt;"")*ISNUMBER(SEARCH(거래처별!$AE$8:$AE$307,$AB1088))),거래처별!$A$8:$A$307),0))))</f>
        <v/>
      </c>
      <c r="AD1088" s="31">
        <f>IF(AND($Y1088&lt;&gt;"",N($Z1088)&gt;0,$AC1088=0),MAX($AD$7:$AD1087)+1,"")</f>
        <v/>
      </c>
      <c r="AE1088" s="31">
        <f>IF($Y1088="",0,$Y1088)</f>
        <v/>
      </c>
    </row>
    <row r="1089">
      <c r="W1089" s="31">
        <f>IF(OR($B$5="",$C$6="",ROW()&lt;$B$5),"",IF(INDEX($A:$U,ROW(),$C$6)="","",INDEX($A:$U,ROW(),$C$6)))</f>
        <v/>
      </c>
      <c r="X1089" s="32">
        <f>IF($W1089="","",IF(ISNUMBER($W1089),IF($W1089&gt;=10000000,IFERROR(DATE(INT($W1089/10000),MOD(INT($W1089/100),100),MOD($W1089,100)),""),INT($W1089)),IFERROR(DATE(--LEFT(LEFT(SUBSTITUTE(SUBSTITUTE(SUBSTITUTE(SUBSTITUTE(TRIM($W1089),"-",""),".",""),"/","")," ",""),8),4),--MID(LEFT(SUBSTITUTE(SUBSTITUTE(SUBSTITUTE(SUBSTITUTE(TRIM($W1089),"-",""),".",""),"/","")," ",""),8),5,2),--MID(LEFT(SUBSTITUTE(SUBSTITUTE(SUBSTITUTE(SUBSTITUTE(TRIM($W1089),"-",""),".",""),"/","")," ",""),8),7,2)),"")))</f>
        <v/>
      </c>
      <c r="Y1089" s="32">
        <f>IF($X1089="","",INT($X1089))</f>
        <v/>
      </c>
      <c r="Z1089" s="33">
        <f>IF(OR($Y1089="",$D$6=""),"",IF(INDEX($A:$U,ROW(),$D$6)="",0,IF(ISNUMBER(INDEX($A:$U,ROW(),$D$6)),INDEX($A:$U,ROW(),$D$6),IFERROR(--SUBSTITUTE(SUBSTITUTE(TRIM(INDEX($A:$U,ROW(),$D$6)),",",""),"원",""),0))))</f>
        <v/>
      </c>
      <c r="AA1089" s="31">
        <f>IF($Y1089="","",TRIM(INDEX($A:$U,ROW(),$E$6)&amp;IF($F$6="",""," "&amp;INDEX($A:$U,ROW(),$F$6))))</f>
        <v/>
      </c>
      <c r="AB1089" s="31">
        <f>IF($AA1089="","",SUBSTITUTE(SUBSTITUTE(SUBSTITUTE(SUBSTITUTE(SUBSTITUTE(SUBSTITUTE(SUBSTITUTE(SUBSTITUTE(SUBSTITUTE($AA1089," ",""),"　",""),"(주)",""),"（주）",""),"㈜",""),"주식회사",""),"(유)",""),"（유）",""),"유한회사",""))</f>
        <v/>
      </c>
      <c r="AC1089" s="31">
        <f>IF(OR($Y1089="",N($Z1089)&lt;=0,$AB1089=""),0,IFERROR(LOOKUP(2,1/((거래처별!$AC$8:$AC$307&lt;&gt;"")*ISNUMBER(SEARCH(거래처별!$AC$8:$AC$307,$AB1089))),거래처별!$A$8:$A$307),IFERROR(LOOKUP(2,1/((거래처별!$AD$8:$AD$307&lt;&gt;"")*ISNUMBER(SEARCH(거래처별!$AD$8:$AD$307,$AB1089))),거래처별!$A$8:$A$307),IFERROR(LOOKUP(2,1/((거래처별!$AE$8:$AE$307&lt;&gt;"")*ISNUMBER(SEARCH(거래처별!$AE$8:$AE$307,$AB1089))),거래처별!$A$8:$A$307),0))))</f>
        <v/>
      </c>
      <c r="AD1089" s="31">
        <f>IF(AND($Y1089&lt;&gt;"",N($Z1089)&gt;0,$AC1089=0),MAX($AD$7:$AD1088)+1,"")</f>
        <v/>
      </c>
      <c r="AE1089" s="31">
        <f>IF($Y1089="",0,$Y1089)</f>
        <v/>
      </c>
    </row>
    <row r="1090">
      <c r="W1090" s="31">
        <f>IF(OR($B$5="",$C$6="",ROW()&lt;$B$5),"",IF(INDEX($A:$U,ROW(),$C$6)="","",INDEX($A:$U,ROW(),$C$6)))</f>
        <v/>
      </c>
      <c r="X1090" s="32">
        <f>IF($W1090="","",IF(ISNUMBER($W1090),IF($W1090&gt;=10000000,IFERROR(DATE(INT($W1090/10000),MOD(INT($W1090/100),100),MOD($W1090,100)),""),INT($W1090)),IFERROR(DATE(--LEFT(LEFT(SUBSTITUTE(SUBSTITUTE(SUBSTITUTE(SUBSTITUTE(TRIM($W1090),"-",""),".",""),"/","")," ",""),8),4),--MID(LEFT(SUBSTITUTE(SUBSTITUTE(SUBSTITUTE(SUBSTITUTE(TRIM($W1090),"-",""),".",""),"/","")," ",""),8),5,2),--MID(LEFT(SUBSTITUTE(SUBSTITUTE(SUBSTITUTE(SUBSTITUTE(TRIM($W1090),"-",""),".",""),"/","")," ",""),8),7,2)),"")))</f>
        <v/>
      </c>
      <c r="Y1090" s="32">
        <f>IF($X1090="","",INT($X1090))</f>
        <v/>
      </c>
      <c r="Z1090" s="33">
        <f>IF(OR($Y1090="",$D$6=""),"",IF(INDEX($A:$U,ROW(),$D$6)="",0,IF(ISNUMBER(INDEX($A:$U,ROW(),$D$6)),INDEX($A:$U,ROW(),$D$6),IFERROR(--SUBSTITUTE(SUBSTITUTE(TRIM(INDEX($A:$U,ROW(),$D$6)),",",""),"원",""),0))))</f>
        <v/>
      </c>
      <c r="AA1090" s="31">
        <f>IF($Y1090="","",TRIM(INDEX($A:$U,ROW(),$E$6)&amp;IF($F$6="",""," "&amp;INDEX($A:$U,ROW(),$F$6))))</f>
        <v/>
      </c>
      <c r="AB1090" s="31">
        <f>IF($AA1090="","",SUBSTITUTE(SUBSTITUTE(SUBSTITUTE(SUBSTITUTE(SUBSTITUTE(SUBSTITUTE(SUBSTITUTE(SUBSTITUTE(SUBSTITUTE($AA1090," ",""),"　",""),"(주)",""),"（주）",""),"㈜",""),"주식회사",""),"(유)",""),"（유）",""),"유한회사",""))</f>
        <v/>
      </c>
      <c r="AC1090" s="31">
        <f>IF(OR($Y1090="",N($Z1090)&lt;=0,$AB1090=""),0,IFERROR(LOOKUP(2,1/((거래처별!$AC$8:$AC$307&lt;&gt;"")*ISNUMBER(SEARCH(거래처별!$AC$8:$AC$307,$AB1090))),거래처별!$A$8:$A$307),IFERROR(LOOKUP(2,1/((거래처별!$AD$8:$AD$307&lt;&gt;"")*ISNUMBER(SEARCH(거래처별!$AD$8:$AD$307,$AB1090))),거래처별!$A$8:$A$307),IFERROR(LOOKUP(2,1/((거래처별!$AE$8:$AE$307&lt;&gt;"")*ISNUMBER(SEARCH(거래처별!$AE$8:$AE$307,$AB1090))),거래처별!$A$8:$A$307),0))))</f>
        <v/>
      </c>
      <c r="AD1090" s="31">
        <f>IF(AND($Y1090&lt;&gt;"",N($Z1090)&gt;0,$AC1090=0),MAX($AD$7:$AD1089)+1,"")</f>
        <v/>
      </c>
      <c r="AE1090" s="31">
        <f>IF($Y1090="",0,$Y1090)</f>
        <v/>
      </c>
    </row>
    <row r="1091">
      <c r="W1091" s="31">
        <f>IF(OR($B$5="",$C$6="",ROW()&lt;$B$5),"",IF(INDEX($A:$U,ROW(),$C$6)="","",INDEX($A:$U,ROW(),$C$6)))</f>
        <v/>
      </c>
      <c r="X1091" s="32">
        <f>IF($W1091="","",IF(ISNUMBER($W1091),IF($W1091&gt;=10000000,IFERROR(DATE(INT($W1091/10000),MOD(INT($W1091/100),100),MOD($W1091,100)),""),INT($W1091)),IFERROR(DATE(--LEFT(LEFT(SUBSTITUTE(SUBSTITUTE(SUBSTITUTE(SUBSTITUTE(TRIM($W1091),"-",""),".",""),"/","")," ",""),8),4),--MID(LEFT(SUBSTITUTE(SUBSTITUTE(SUBSTITUTE(SUBSTITUTE(TRIM($W1091),"-",""),".",""),"/","")," ",""),8),5,2),--MID(LEFT(SUBSTITUTE(SUBSTITUTE(SUBSTITUTE(SUBSTITUTE(TRIM($W1091),"-",""),".",""),"/","")," ",""),8),7,2)),"")))</f>
        <v/>
      </c>
      <c r="Y1091" s="32">
        <f>IF($X1091="","",INT($X1091))</f>
        <v/>
      </c>
      <c r="Z1091" s="33">
        <f>IF(OR($Y1091="",$D$6=""),"",IF(INDEX($A:$U,ROW(),$D$6)="",0,IF(ISNUMBER(INDEX($A:$U,ROW(),$D$6)),INDEX($A:$U,ROW(),$D$6),IFERROR(--SUBSTITUTE(SUBSTITUTE(TRIM(INDEX($A:$U,ROW(),$D$6)),",",""),"원",""),0))))</f>
        <v/>
      </c>
      <c r="AA1091" s="31">
        <f>IF($Y1091="","",TRIM(INDEX($A:$U,ROW(),$E$6)&amp;IF($F$6="",""," "&amp;INDEX($A:$U,ROW(),$F$6))))</f>
        <v/>
      </c>
      <c r="AB1091" s="31">
        <f>IF($AA1091="","",SUBSTITUTE(SUBSTITUTE(SUBSTITUTE(SUBSTITUTE(SUBSTITUTE(SUBSTITUTE(SUBSTITUTE(SUBSTITUTE(SUBSTITUTE($AA1091," ",""),"　",""),"(주)",""),"（주）",""),"㈜",""),"주식회사",""),"(유)",""),"（유）",""),"유한회사",""))</f>
        <v/>
      </c>
      <c r="AC1091" s="31">
        <f>IF(OR($Y1091="",N($Z1091)&lt;=0,$AB1091=""),0,IFERROR(LOOKUP(2,1/((거래처별!$AC$8:$AC$307&lt;&gt;"")*ISNUMBER(SEARCH(거래처별!$AC$8:$AC$307,$AB1091))),거래처별!$A$8:$A$307),IFERROR(LOOKUP(2,1/((거래처별!$AD$8:$AD$307&lt;&gt;"")*ISNUMBER(SEARCH(거래처별!$AD$8:$AD$307,$AB1091))),거래처별!$A$8:$A$307),IFERROR(LOOKUP(2,1/((거래처별!$AE$8:$AE$307&lt;&gt;"")*ISNUMBER(SEARCH(거래처별!$AE$8:$AE$307,$AB1091))),거래처별!$A$8:$A$307),0))))</f>
        <v/>
      </c>
      <c r="AD1091" s="31">
        <f>IF(AND($Y1091&lt;&gt;"",N($Z1091)&gt;0,$AC1091=0),MAX($AD$7:$AD1090)+1,"")</f>
        <v/>
      </c>
      <c r="AE1091" s="31">
        <f>IF($Y1091="",0,$Y1091)</f>
        <v/>
      </c>
    </row>
    <row r="1092">
      <c r="W1092" s="31">
        <f>IF(OR($B$5="",$C$6="",ROW()&lt;$B$5),"",IF(INDEX($A:$U,ROW(),$C$6)="","",INDEX($A:$U,ROW(),$C$6)))</f>
        <v/>
      </c>
      <c r="X1092" s="32">
        <f>IF($W1092="","",IF(ISNUMBER($W1092),IF($W1092&gt;=10000000,IFERROR(DATE(INT($W1092/10000),MOD(INT($W1092/100),100),MOD($W1092,100)),""),INT($W1092)),IFERROR(DATE(--LEFT(LEFT(SUBSTITUTE(SUBSTITUTE(SUBSTITUTE(SUBSTITUTE(TRIM($W1092),"-",""),".",""),"/","")," ",""),8),4),--MID(LEFT(SUBSTITUTE(SUBSTITUTE(SUBSTITUTE(SUBSTITUTE(TRIM($W1092),"-",""),".",""),"/","")," ",""),8),5,2),--MID(LEFT(SUBSTITUTE(SUBSTITUTE(SUBSTITUTE(SUBSTITUTE(TRIM($W1092),"-",""),".",""),"/","")," ",""),8),7,2)),"")))</f>
        <v/>
      </c>
      <c r="Y1092" s="32">
        <f>IF($X1092="","",INT($X1092))</f>
        <v/>
      </c>
      <c r="Z1092" s="33">
        <f>IF(OR($Y1092="",$D$6=""),"",IF(INDEX($A:$U,ROW(),$D$6)="",0,IF(ISNUMBER(INDEX($A:$U,ROW(),$D$6)),INDEX($A:$U,ROW(),$D$6),IFERROR(--SUBSTITUTE(SUBSTITUTE(TRIM(INDEX($A:$U,ROW(),$D$6)),",",""),"원",""),0))))</f>
        <v/>
      </c>
      <c r="AA1092" s="31">
        <f>IF($Y1092="","",TRIM(INDEX($A:$U,ROW(),$E$6)&amp;IF($F$6="",""," "&amp;INDEX($A:$U,ROW(),$F$6))))</f>
        <v/>
      </c>
      <c r="AB1092" s="31">
        <f>IF($AA1092="","",SUBSTITUTE(SUBSTITUTE(SUBSTITUTE(SUBSTITUTE(SUBSTITUTE(SUBSTITUTE(SUBSTITUTE(SUBSTITUTE(SUBSTITUTE($AA1092," ",""),"　",""),"(주)",""),"（주）",""),"㈜",""),"주식회사",""),"(유)",""),"（유）",""),"유한회사",""))</f>
        <v/>
      </c>
      <c r="AC1092" s="31">
        <f>IF(OR($Y1092="",N($Z1092)&lt;=0,$AB1092=""),0,IFERROR(LOOKUP(2,1/((거래처별!$AC$8:$AC$307&lt;&gt;"")*ISNUMBER(SEARCH(거래처별!$AC$8:$AC$307,$AB1092))),거래처별!$A$8:$A$307),IFERROR(LOOKUP(2,1/((거래처별!$AD$8:$AD$307&lt;&gt;"")*ISNUMBER(SEARCH(거래처별!$AD$8:$AD$307,$AB1092))),거래처별!$A$8:$A$307),IFERROR(LOOKUP(2,1/((거래처별!$AE$8:$AE$307&lt;&gt;"")*ISNUMBER(SEARCH(거래처별!$AE$8:$AE$307,$AB1092))),거래처별!$A$8:$A$307),0))))</f>
        <v/>
      </c>
      <c r="AD1092" s="31">
        <f>IF(AND($Y1092&lt;&gt;"",N($Z1092)&gt;0,$AC1092=0),MAX($AD$7:$AD1091)+1,"")</f>
        <v/>
      </c>
      <c r="AE1092" s="31">
        <f>IF($Y1092="",0,$Y1092)</f>
        <v/>
      </c>
    </row>
    <row r="1093">
      <c r="W1093" s="31">
        <f>IF(OR($B$5="",$C$6="",ROW()&lt;$B$5),"",IF(INDEX($A:$U,ROW(),$C$6)="","",INDEX($A:$U,ROW(),$C$6)))</f>
        <v/>
      </c>
      <c r="X1093" s="32">
        <f>IF($W1093="","",IF(ISNUMBER($W1093),IF($W1093&gt;=10000000,IFERROR(DATE(INT($W1093/10000),MOD(INT($W1093/100),100),MOD($W1093,100)),""),INT($W1093)),IFERROR(DATE(--LEFT(LEFT(SUBSTITUTE(SUBSTITUTE(SUBSTITUTE(SUBSTITUTE(TRIM($W1093),"-",""),".",""),"/","")," ",""),8),4),--MID(LEFT(SUBSTITUTE(SUBSTITUTE(SUBSTITUTE(SUBSTITUTE(TRIM($W1093),"-",""),".",""),"/","")," ",""),8),5,2),--MID(LEFT(SUBSTITUTE(SUBSTITUTE(SUBSTITUTE(SUBSTITUTE(TRIM($W1093),"-",""),".",""),"/","")," ",""),8),7,2)),"")))</f>
        <v/>
      </c>
      <c r="Y1093" s="32">
        <f>IF($X1093="","",INT($X1093))</f>
        <v/>
      </c>
      <c r="Z1093" s="33">
        <f>IF(OR($Y1093="",$D$6=""),"",IF(INDEX($A:$U,ROW(),$D$6)="",0,IF(ISNUMBER(INDEX($A:$U,ROW(),$D$6)),INDEX($A:$U,ROW(),$D$6),IFERROR(--SUBSTITUTE(SUBSTITUTE(TRIM(INDEX($A:$U,ROW(),$D$6)),",",""),"원",""),0))))</f>
        <v/>
      </c>
      <c r="AA1093" s="31">
        <f>IF($Y1093="","",TRIM(INDEX($A:$U,ROW(),$E$6)&amp;IF($F$6="",""," "&amp;INDEX($A:$U,ROW(),$F$6))))</f>
        <v/>
      </c>
      <c r="AB1093" s="31">
        <f>IF($AA1093="","",SUBSTITUTE(SUBSTITUTE(SUBSTITUTE(SUBSTITUTE(SUBSTITUTE(SUBSTITUTE(SUBSTITUTE(SUBSTITUTE(SUBSTITUTE($AA1093," ",""),"　",""),"(주)",""),"（주）",""),"㈜",""),"주식회사",""),"(유)",""),"（유）",""),"유한회사",""))</f>
        <v/>
      </c>
      <c r="AC1093" s="31">
        <f>IF(OR($Y1093="",N($Z1093)&lt;=0,$AB1093=""),0,IFERROR(LOOKUP(2,1/((거래처별!$AC$8:$AC$307&lt;&gt;"")*ISNUMBER(SEARCH(거래처별!$AC$8:$AC$307,$AB1093))),거래처별!$A$8:$A$307),IFERROR(LOOKUP(2,1/((거래처별!$AD$8:$AD$307&lt;&gt;"")*ISNUMBER(SEARCH(거래처별!$AD$8:$AD$307,$AB1093))),거래처별!$A$8:$A$307),IFERROR(LOOKUP(2,1/((거래처별!$AE$8:$AE$307&lt;&gt;"")*ISNUMBER(SEARCH(거래처별!$AE$8:$AE$307,$AB1093))),거래처별!$A$8:$A$307),0))))</f>
        <v/>
      </c>
      <c r="AD1093" s="31">
        <f>IF(AND($Y1093&lt;&gt;"",N($Z1093)&gt;0,$AC1093=0),MAX($AD$7:$AD1092)+1,"")</f>
        <v/>
      </c>
      <c r="AE1093" s="31">
        <f>IF($Y1093="",0,$Y1093)</f>
        <v/>
      </c>
    </row>
    <row r="1094">
      <c r="W1094" s="31">
        <f>IF(OR($B$5="",$C$6="",ROW()&lt;$B$5),"",IF(INDEX($A:$U,ROW(),$C$6)="","",INDEX($A:$U,ROW(),$C$6)))</f>
        <v/>
      </c>
      <c r="X1094" s="32">
        <f>IF($W1094="","",IF(ISNUMBER($W1094),IF($W1094&gt;=10000000,IFERROR(DATE(INT($W1094/10000),MOD(INT($W1094/100),100),MOD($W1094,100)),""),INT($W1094)),IFERROR(DATE(--LEFT(LEFT(SUBSTITUTE(SUBSTITUTE(SUBSTITUTE(SUBSTITUTE(TRIM($W1094),"-",""),".",""),"/","")," ",""),8),4),--MID(LEFT(SUBSTITUTE(SUBSTITUTE(SUBSTITUTE(SUBSTITUTE(TRIM($W1094),"-",""),".",""),"/","")," ",""),8),5,2),--MID(LEFT(SUBSTITUTE(SUBSTITUTE(SUBSTITUTE(SUBSTITUTE(TRIM($W1094),"-",""),".",""),"/","")," ",""),8),7,2)),"")))</f>
        <v/>
      </c>
      <c r="Y1094" s="32">
        <f>IF($X1094="","",INT($X1094))</f>
        <v/>
      </c>
      <c r="Z1094" s="33">
        <f>IF(OR($Y1094="",$D$6=""),"",IF(INDEX($A:$U,ROW(),$D$6)="",0,IF(ISNUMBER(INDEX($A:$U,ROW(),$D$6)),INDEX($A:$U,ROW(),$D$6),IFERROR(--SUBSTITUTE(SUBSTITUTE(TRIM(INDEX($A:$U,ROW(),$D$6)),",",""),"원",""),0))))</f>
        <v/>
      </c>
      <c r="AA1094" s="31">
        <f>IF($Y1094="","",TRIM(INDEX($A:$U,ROW(),$E$6)&amp;IF($F$6="",""," "&amp;INDEX($A:$U,ROW(),$F$6))))</f>
        <v/>
      </c>
      <c r="AB1094" s="31">
        <f>IF($AA1094="","",SUBSTITUTE(SUBSTITUTE(SUBSTITUTE(SUBSTITUTE(SUBSTITUTE(SUBSTITUTE(SUBSTITUTE(SUBSTITUTE(SUBSTITUTE($AA1094," ",""),"　",""),"(주)",""),"（주）",""),"㈜",""),"주식회사",""),"(유)",""),"（유）",""),"유한회사",""))</f>
        <v/>
      </c>
      <c r="AC1094" s="31">
        <f>IF(OR($Y1094="",N($Z1094)&lt;=0,$AB1094=""),0,IFERROR(LOOKUP(2,1/((거래처별!$AC$8:$AC$307&lt;&gt;"")*ISNUMBER(SEARCH(거래처별!$AC$8:$AC$307,$AB1094))),거래처별!$A$8:$A$307),IFERROR(LOOKUP(2,1/((거래처별!$AD$8:$AD$307&lt;&gt;"")*ISNUMBER(SEARCH(거래처별!$AD$8:$AD$307,$AB1094))),거래처별!$A$8:$A$307),IFERROR(LOOKUP(2,1/((거래처별!$AE$8:$AE$307&lt;&gt;"")*ISNUMBER(SEARCH(거래처별!$AE$8:$AE$307,$AB1094))),거래처별!$A$8:$A$307),0))))</f>
        <v/>
      </c>
      <c r="AD1094" s="31">
        <f>IF(AND($Y1094&lt;&gt;"",N($Z1094)&gt;0,$AC1094=0),MAX($AD$7:$AD1093)+1,"")</f>
        <v/>
      </c>
      <c r="AE1094" s="31">
        <f>IF($Y1094="",0,$Y1094)</f>
        <v/>
      </c>
    </row>
    <row r="1095">
      <c r="W1095" s="31">
        <f>IF(OR($B$5="",$C$6="",ROW()&lt;$B$5),"",IF(INDEX($A:$U,ROW(),$C$6)="","",INDEX($A:$U,ROW(),$C$6)))</f>
        <v/>
      </c>
      <c r="X1095" s="32">
        <f>IF($W1095="","",IF(ISNUMBER($W1095),IF($W1095&gt;=10000000,IFERROR(DATE(INT($W1095/10000),MOD(INT($W1095/100),100),MOD($W1095,100)),""),INT($W1095)),IFERROR(DATE(--LEFT(LEFT(SUBSTITUTE(SUBSTITUTE(SUBSTITUTE(SUBSTITUTE(TRIM($W1095),"-",""),".",""),"/","")," ",""),8),4),--MID(LEFT(SUBSTITUTE(SUBSTITUTE(SUBSTITUTE(SUBSTITUTE(TRIM($W1095),"-",""),".",""),"/","")," ",""),8),5,2),--MID(LEFT(SUBSTITUTE(SUBSTITUTE(SUBSTITUTE(SUBSTITUTE(TRIM($W1095),"-",""),".",""),"/","")," ",""),8),7,2)),"")))</f>
        <v/>
      </c>
      <c r="Y1095" s="32">
        <f>IF($X1095="","",INT($X1095))</f>
        <v/>
      </c>
      <c r="Z1095" s="33">
        <f>IF(OR($Y1095="",$D$6=""),"",IF(INDEX($A:$U,ROW(),$D$6)="",0,IF(ISNUMBER(INDEX($A:$U,ROW(),$D$6)),INDEX($A:$U,ROW(),$D$6),IFERROR(--SUBSTITUTE(SUBSTITUTE(TRIM(INDEX($A:$U,ROW(),$D$6)),",",""),"원",""),0))))</f>
        <v/>
      </c>
      <c r="AA1095" s="31">
        <f>IF($Y1095="","",TRIM(INDEX($A:$U,ROW(),$E$6)&amp;IF($F$6="",""," "&amp;INDEX($A:$U,ROW(),$F$6))))</f>
        <v/>
      </c>
      <c r="AB1095" s="31">
        <f>IF($AA1095="","",SUBSTITUTE(SUBSTITUTE(SUBSTITUTE(SUBSTITUTE(SUBSTITUTE(SUBSTITUTE(SUBSTITUTE(SUBSTITUTE(SUBSTITUTE($AA1095," ",""),"　",""),"(주)",""),"（주）",""),"㈜",""),"주식회사",""),"(유)",""),"（유）",""),"유한회사",""))</f>
        <v/>
      </c>
      <c r="AC1095" s="31">
        <f>IF(OR($Y1095="",N($Z1095)&lt;=0,$AB1095=""),0,IFERROR(LOOKUP(2,1/((거래처별!$AC$8:$AC$307&lt;&gt;"")*ISNUMBER(SEARCH(거래처별!$AC$8:$AC$307,$AB1095))),거래처별!$A$8:$A$307),IFERROR(LOOKUP(2,1/((거래처별!$AD$8:$AD$307&lt;&gt;"")*ISNUMBER(SEARCH(거래처별!$AD$8:$AD$307,$AB1095))),거래처별!$A$8:$A$307),IFERROR(LOOKUP(2,1/((거래처별!$AE$8:$AE$307&lt;&gt;"")*ISNUMBER(SEARCH(거래처별!$AE$8:$AE$307,$AB1095))),거래처별!$A$8:$A$307),0))))</f>
        <v/>
      </c>
      <c r="AD1095" s="31">
        <f>IF(AND($Y1095&lt;&gt;"",N($Z1095)&gt;0,$AC1095=0),MAX($AD$7:$AD1094)+1,"")</f>
        <v/>
      </c>
      <c r="AE1095" s="31">
        <f>IF($Y1095="",0,$Y1095)</f>
        <v/>
      </c>
    </row>
    <row r="1096">
      <c r="W1096" s="31">
        <f>IF(OR($B$5="",$C$6="",ROW()&lt;$B$5),"",IF(INDEX($A:$U,ROW(),$C$6)="","",INDEX($A:$U,ROW(),$C$6)))</f>
        <v/>
      </c>
      <c r="X1096" s="32">
        <f>IF($W1096="","",IF(ISNUMBER($W1096),IF($W1096&gt;=10000000,IFERROR(DATE(INT($W1096/10000),MOD(INT($W1096/100),100),MOD($W1096,100)),""),INT($W1096)),IFERROR(DATE(--LEFT(LEFT(SUBSTITUTE(SUBSTITUTE(SUBSTITUTE(SUBSTITUTE(TRIM($W1096),"-",""),".",""),"/","")," ",""),8),4),--MID(LEFT(SUBSTITUTE(SUBSTITUTE(SUBSTITUTE(SUBSTITUTE(TRIM($W1096),"-",""),".",""),"/","")," ",""),8),5,2),--MID(LEFT(SUBSTITUTE(SUBSTITUTE(SUBSTITUTE(SUBSTITUTE(TRIM($W1096),"-",""),".",""),"/","")," ",""),8),7,2)),"")))</f>
        <v/>
      </c>
      <c r="Y1096" s="32">
        <f>IF($X1096="","",INT($X1096))</f>
        <v/>
      </c>
      <c r="Z1096" s="33">
        <f>IF(OR($Y1096="",$D$6=""),"",IF(INDEX($A:$U,ROW(),$D$6)="",0,IF(ISNUMBER(INDEX($A:$U,ROW(),$D$6)),INDEX($A:$U,ROW(),$D$6),IFERROR(--SUBSTITUTE(SUBSTITUTE(TRIM(INDEX($A:$U,ROW(),$D$6)),",",""),"원",""),0))))</f>
        <v/>
      </c>
      <c r="AA1096" s="31">
        <f>IF($Y1096="","",TRIM(INDEX($A:$U,ROW(),$E$6)&amp;IF($F$6="",""," "&amp;INDEX($A:$U,ROW(),$F$6))))</f>
        <v/>
      </c>
      <c r="AB1096" s="31">
        <f>IF($AA1096="","",SUBSTITUTE(SUBSTITUTE(SUBSTITUTE(SUBSTITUTE(SUBSTITUTE(SUBSTITUTE(SUBSTITUTE(SUBSTITUTE(SUBSTITUTE($AA1096," ",""),"　",""),"(주)",""),"（주）",""),"㈜",""),"주식회사",""),"(유)",""),"（유）",""),"유한회사",""))</f>
        <v/>
      </c>
      <c r="AC1096" s="31">
        <f>IF(OR($Y1096="",N($Z1096)&lt;=0,$AB1096=""),0,IFERROR(LOOKUP(2,1/((거래처별!$AC$8:$AC$307&lt;&gt;"")*ISNUMBER(SEARCH(거래처별!$AC$8:$AC$307,$AB1096))),거래처별!$A$8:$A$307),IFERROR(LOOKUP(2,1/((거래처별!$AD$8:$AD$307&lt;&gt;"")*ISNUMBER(SEARCH(거래처별!$AD$8:$AD$307,$AB1096))),거래처별!$A$8:$A$307),IFERROR(LOOKUP(2,1/((거래처별!$AE$8:$AE$307&lt;&gt;"")*ISNUMBER(SEARCH(거래처별!$AE$8:$AE$307,$AB1096))),거래처별!$A$8:$A$307),0))))</f>
        <v/>
      </c>
      <c r="AD1096" s="31">
        <f>IF(AND($Y1096&lt;&gt;"",N($Z1096)&gt;0,$AC1096=0),MAX($AD$7:$AD1095)+1,"")</f>
        <v/>
      </c>
      <c r="AE1096" s="31">
        <f>IF($Y1096="",0,$Y1096)</f>
        <v/>
      </c>
    </row>
    <row r="1097">
      <c r="W1097" s="31">
        <f>IF(OR($B$5="",$C$6="",ROW()&lt;$B$5),"",IF(INDEX($A:$U,ROW(),$C$6)="","",INDEX($A:$U,ROW(),$C$6)))</f>
        <v/>
      </c>
      <c r="X1097" s="32">
        <f>IF($W1097="","",IF(ISNUMBER($W1097),IF($W1097&gt;=10000000,IFERROR(DATE(INT($W1097/10000),MOD(INT($W1097/100),100),MOD($W1097,100)),""),INT($W1097)),IFERROR(DATE(--LEFT(LEFT(SUBSTITUTE(SUBSTITUTE(SUBSTITUTE(SUBSTITUTE(TRIM($W1097),"-",""),".",""),"/","")," ",""),8),4),--MID(LEFT(SUBSTITUTE(SUBSTITUTE(SUBSTITUTE(SUBSTITUTE(TRIM($W1097),"-",""),".",""),"/","")," ",""),8),5,2),--MID(LEFT(SUBSTITUTE(SUBSTITUTE(SUBSTITUTE(SUBSTITUTE(TRIM($W1097),"-",""),".",""),"/","")," ",""),8),7,2)),"")))</f>
        <v/>
      </c>
      <c r="Y1097" s="32">
        <f>IF($X1097="","",INT($X1097))</f>
        <v/>
      </c>
      <c r="Z1097" s="33">
        <f>IF(OR($Y1097="",$D$6=""),"",IF(INDEX($A:$U,ROW(),$D$6)="",0,IF(ISNUMBER(INDEX($A:$U,ROW(),$D$6)),INDEX($A:$U,ROW(),$D$6),IFERROR(--SUBSTITUTE(SUBSTITUTE(TRIM(INDEX($A:$U,ROW(),$D$6)),",",""),"원",""),0))))</f>
        <v/>
      </c>
      <c r="AA1097" s="31">
        <f>IF($Y1097="","",TRIM(INDEX($A:$U,ROW(),$E$6)&amp;IF($F$6="",""," "&amp;INDEX($A:$U,ROW(),$F$6))))</f>
        <v/>
      </c>
      <c r="AB1097" s="31">
        <f>IF($AA1097="","",SUBSTITUTE(SUBSTITUTE(SUBSTITUTE(SUBSTITUTE(SUBSTITUTE(SUBSTITUTE(SUBSTITUTE(SUBSTITUTE(SUBSTITUTE($AA1097," ",""),"　",""),"(주)",""),"（주）",""),"㈜",""),"주식회사",""),"(유)",""),"（유）",""),"유한회사",""))</f>
        <v/>
      </c>
      <c r="AC1097" s="31">
        <f>IF(OR($Y1097="",N($Z1097)&lt;=0,$AB1097=""),0,IFERROR(LOOKUP(2,1/((거래처별!$AC$8:$AC$307&lt;&gt;"")*ISNUMBER(SEARCH(거래처별!$AC$8:$AC$307,$AB1097))),거래처별!$A$8:$A$307),IFERROR(LOOKUP(2,1/((거래처별!$AD$8:$AD$307&lt;&gt;"")*ISNUMBER(SEARCH(거래처별!$AD$8:$AD$307,$AB1097))),거래처별!$A$8:$A$307),IFERROR(LOOKUP(2,1/((거래처별!$AE$8:$AE$307&lt;&gt;"")*ISNUMBER(SEARCH(거래처별!$AE$8:$AE$307,$AB1097))),거래처별!$A$8:$A$307),0))))</f>
        <v/>
      </c>
      <c r="AD1097" s="31">
        <f>IF(AND($Y1097&lt;&gt;"",N($Z1097)&gt;0,$AC1097=0),MAX($AD$7:$AD1096)+1,"")</f>
        <v/>
      </c>
      <c r="AE1097" s="31">
        <f>IF($Y1097="",0,$Y1097)</f>
        <v/>
      </c>
    </row>
    <row r="1098">
      <c r="W1098" s="31">
        <f>IF(OR($B$5="",$C$6="",ROW()&lt;$B$5),"",IF(INDEX($A:$U,ROW(),$C$6)="","",INDEX($A:$U,ROW(),$C$6)))</f>
        <v/>
      </c>
      <c r="X1098" s="32">
        <f>IF($W1098="","",IF(ISNUMBER($W1098),IF($W1098&gt;=10000000,IFERROR(DATE(INT($W1098/10000),MOD(INT($W1098/100),100),MOD($W1098,100)),""),INT($W1098)),IFERROR(DATE(--LEFT(LEFT(SUBSTITUTE(SUBSTITUTE(SUBSTITUTE(SUBSTITUTE(TRIM($W1098),"-",""),".",""),"/","")," ",""),8),4),--MID(LEFT(SUBSTITUTE(SUBSTITUTE(SUBSTITUTE(SUBSTITUTE(TRIM($W1098),"-",""),".",""),"/","")," ",""),8),5,2),--MID(LEFT(SUBSTITUTE(SUBSTITUTE(SUBSTITUTE(SUBSTITUTE(TRIM($W1098),"-",""),".",""),"/","")," ",""),8),7,2)),"")))</f>
        <v/>
      </c>
      <c r="Y1098" s="32">
        <f>IF($X1098="","",INT($X1098))</f>
        <v/>
      </c>
      <c r="Z1098" s="33">
        <f>IF(OR($Y1098="",$D$6=""),"",IF(INDEX($A:$U,ROW(),$D$6)="",0,IF(ISNUMBER(INDEX($A:$U,ROW(),$D$6)),INDEX($A:$U,ROW(),$D$6),IFERROR(--SUBSTITUTE(SUBSTITUTE(TRIM(INDEX($A:$U,ROW(),$D$6)),",",""),"원",""),0))))</f>
        <v/>
      </c>
      <c r="AA1098" s="31">
        <f>IF($Y1098="","",TRIM(INDEX($A:$U,ROW(),$E$6)&amp;IF($F$6="",""," "&amp;INDEX($A:$U,ROW(),$F$6))))</f>
        <v/>
      </c>
      <c r="AB1098" s="31">
        <f>IF($AA1098="","",SUBSTITUTE(SUBSTITUTE(SUBSTITUTE(SUBSTITUTE(SUBSTITUTE(SUBSTITUTE(SUBSTITUTE(SUBSTITUTE(SUBSTITUTE($AA1098," ",""),"　",""),"(주)",""),"（주）",""),"㈜",""),"주식회사",""),"(유)",""),"（유）",""),"유한회사",""))</f>
        <v/>
      </c>
      <c r="AC1098" s="31">
        <f>IF(OR($Y1098="",N($Z1098)&lt;=0,$AB1098=""),0,IFERROR(LOOKUP(2,1/((거래처별!$AC$8:$AC$307&lt;&gt;"")*ISNUMBER(SEARCH(거래처별!$AC$8:$AC$307,$AB1098))),거래처별!$A$8:$A$307),IFERROR(LOOKUP(2,1/((거래처별!$AD$8:$AD$307&lt;&gt;"")*ISNUMBER(SEARCH(거래처별!$AD$8:$AD$307,$AB1098))),거래처별!$A$8:$A$307),IFERROR(LOOKUP(2,1/((거래처별!$AE$8:$AE$307&lt;&gt;"")*ISNUMBER(SEARCH(거래처별!$AE$8:$AE$307,$AB1098))),거래처별!$A$8:$A$307),0))))</f>
        <v/>
      </c>
      <c r="AD1098" s="31">
        <f>IF(AND($Y1098&lt;&gt;"",N($Z1098)&gt;0,$AC1098=0),MAX($AD$7:$AD1097)+1,"")</f>
        <v/>
      </c>
      <c r="AE1098" s="31">
        <f>IF($Y1098="",0,$Y1098)</f>
        <v/>
      </c>
    </row>
    <row r="1099">
      <c r="W1099" s="31">
        <f>IF(OR($B$5="",$C$6="",ROW()&lt;$B$5),"",IF(INDEX($A:$U,ROW(),$C$6)="","",INDEX($A:$U,ROW(),$C$6)))</f>
        <v/>
      </c>
      <c r="X1099" s="32">
        <f>IF($W1099="","",IF(ISNUMBER($W1099),IF($W1099&gt;=10000000,IFERROR(DATE(INT($W1099/10000),MOD(INT($W1099/100),100),MOD($W1099,100)),""),INT($W1099)),IFERROR(DATE(--LEFT(LEFT(SUBSTITUTE(SUBSTITUTE(SUBSTITUTE(SUBSTITUTE(TRIM($W1099),"-",""),".",""),"/","")," ",""),8),4),--MID(LEFT(SUBSTITUTE(SUBSTITUTE(SUBSTITUTE(SUBSTITUTE(TRIM($W1099),"-",""),".",""),"/","")," ",""),8),5,2),--MID(LEFT(SUBSTITUTE(SUBSTITUTE(SUBSTITUTE(SUBSTITUTE(TRIM($W1099),"-",""),".",""),"/","")," ",""),8),7,2)),"")))</f>
        <v/>
      </c>
      <c r="Y1099" s="32">
        <f>IF($X1099="","",INT($X1099))</f>
        <v/>
      </c>
      <c r="Z1099" s="33">
        <f>IF(OR($Y1099="",$D$6=""),"",IF(INDEX($A:$U,ROW(),$D$6)="",0,IF(ISNUMBER(INDEX($A:$U,ROW(),$D$6)),INDEX($A:$U,ROW(),$D$6),IFERROR(--SUBSTITUTE(SUBSTITUTE(TRIM(INDEX($A:$U,ROW(),$D$6)),",",""),"원",""),0))))</f>
        <v/>
      </c>
      <c r="AA1099" s="31">
        <f>IF($Y1099="","",TRIM(INDEX($A:$U,ROW(),$E$6)&amp;IF($F$6="",""," "&amp;INDEX($A:$U,ROW(),$F$6))))</f>
        <v/>
      </c>
      <c r="AB1099" s="31">
        <f>IF($AA1099="","",SUBSTITUTE(SUBSTITUTE(SUBSTITUTE(SUBSTITUTE(SUBSTITUTE(SUBSTITUTE(SUBSTITUTE(SUBSTITUTE(SUBSTITUTE($AA1099," ",""),"　",""),"(주)",""),"（주）",""),"㈜",""),"주식회사",""),"(유)",""),"（유）",""),"유한회사",""))</f>
        <v/>
      </c>
      <c r="AC1099" s="31">
        <f>IF(OR($Y1099="",N($Z1099)&lt;=0,$AB1099=""),0,IFERROR(LOOKUP(2,1/((거래처별!$AC$8:$AC$307&lt;&gt;"")*ISNUMBER(SEARCH(거래처별!$AC$8:$AC$307,$AB1099))),거래처별!$A$8:$A$307),IFERROR(LOOKUP(2,1/((거래처별!$AD$8:$AD$307&lt;&gt;"")*ISNUMBER(SEARCH(거래처별!$AD$8:$AD$307,$AB1099))),거래처별!$A$8:$A$307),IFERROR(LOOKUP(2,1/((거래처별!$AE$8:$AE$307&lt;&gt;"")*ISNUMBER(SEARCH(거래처별!$AE$8:$AE$307,$AB1099))),거래처별!$A$8:$A$307),0))))</f>
        <v/>
      </c>
      <c r="AD1099" s="31">
        <f>IF(AND($Y1099&lt;&gt;"",N($Z1099)&gt;0,$AC1099=0),MAX($AD$7:$AD1098)+1,"")</f>
        <v/>
      </c>
      <c r="AE1099" s="31">
        <f>IF($Y1099="",0,$Y1099)</f>
        <v/>
      </c>
    </row>
    <row r="1100">
      <c r="W1100" s="31">
        <f>IF(OR($B$5="",$C$6="",ROW()&lt;$B$5),"",IF(INDEX($A:$U,ROW(),$C$6)="","",INDEX($A:$U,ROW(),$C$6)))</f>
        <v/>
      </c>
      <c r="X1100" s="32">
        <f>IF($W1100="","",IF(ISNUMBER($W1100),IF($W1100&gt;=10000000,IFERROR(DATE(INT($W1100/10000),MOD(INT($W1100/100),100),MOD($W1100,100)),""),INT($W1100)),IFERROR(DATE(--LEFT(LEFT(SUBSTITUTE(SUBSTITUTE(SUBSTITUTE(SUBSTITUTE(TRIM($W1100),"-",""),".",""),"/","")," ",""),8),4),--MID(LEFT(SUBSTITUTE(SUBSTITUTE(SUBSTITUTE(SUBSTITUTE(TRIM($W1100),"-",""),".",""),"/","")," ",""),8),5,2),--MID(LEFT(SUBSTITUTE(SUBSTITUTE(SUBSTITUTE(SUBSTITUTE(TRIM($W1100),"-",""),".",""),"/","")," ",""),8),7,2)),"")))</f>
        <v/>
      </c>
      <c r="Y1100" s="32">
        <f>IF($X1100="","",INT($X1100))</f>
        <v/>
      </c>
      <c r="Z1100" s="33">
        <f>IF(OR($Y1100="",$D$6=""),"",IF(INDEX($A:$U,ROW(),$D$6)="",0,IF(ISNUMBER(INDEX($A:$U,ROW(),$D$6)),INDEX($A:$U,ROW(),$D$6),IFERROR(--SUBSTITUTE(SUBSTITUTE(TRIM(INDEX($A:$U,ROW(),$D$6)),",",""),"원",""),0))))</f>
        <v/>
      </c>
      <c r="AA1100" s="31">
        <f>IF($Y1100="","",TRIM(INDEX($A:$U,ROW(),$E$6)&amp;IF($F$6="",""," "&amp;INDEX($A:$U,ROW(),$F$6))))</f>
        <v/>
      </c>
      <c r="AB1100" s="31">
        <f>IF($AA1100="","",SUBSTITUTE(SUBSTITUTE(SUBSTITUTE(SUBSTITUTE(SUBSTITUTE(SUBSTITUTE(SUBSTITUTE(SUBSTITUTE(SUBSTITUTE($AA1100," ",""),"　",""),"(주)",""),"（주）",""),"㈜",""),"주식회사",""),"(유)",""),"（유）",""),"유한회사",""))</f>
        <v/>
      </c>
      <c r="AC1100" s="31">
        <f>IF(OR($Y1100="",N($Z1100)&lt;=0,$AB1100=""),0,IFERROR(LOOKUP(2,1/((거래처별!$AC$8:$AC$307&lt;&gt;"")*ISNUMBER(SEARCH(거래처별!$AC$8:$AC$307,$AB1100))),거래처별!$A$8:$A$307),IFERROR(LOOKUP(2,1/((거래처별!$AD$8:$AD$307&lt;&gt;"")*ISNUMBER(SEARCH(거래처별!$AD$8:$AD$307,$AB1100))),거래처별!$A$8:$A$307),IFERROR(LOOKUP(2,1/((거래처별!$AE$8:$AE$307&lt;&gt;"")*ISNUMBER(SEARCH(거래처별!$AE$8:$AE$307,$AB1100))),거래처별!$A$8:$A$307),0))))</f>
        <v/>
      </c>
      <c r="AD1100" s="31">
        <f>IF(AND($Y1100&lt;&gt;"",N($Z1100)&gt;0,$AC1100=0),MAX($AD$7:$AD1099)+1,"")</f>
        <v/>
      </c>
      <c r="AE1100" s="31">
        <f>IF($Y1100="",0,$Y1100)</f>
        <v/>
      </c>
    </row>
    <row r="1101">
      <c r="W1101" s="31">
        <f>IF(OR($B$5="",$C$6="",ROW()&lt;$B$5),"",IF(INDEX($A:$U,ROW(),$C$6)="","",INDEX($A:$U,ROW(),$C$6)))</f>
        <v/>
      </c>
      <c r="X1101" s="32">
        <f>IF($W1101="","",IF(ISNUMBER($W1101),IF($W1101&gt;=10000000,IFERROR(DATE(INT($W1101/10000),MOD(INT($W1101/100),100),MOD($W1101,100)),""),INT($W1101)),IFERROR(DATE(--LEFT(LEFT(SUBSTITUTE(SUBSTITUTE(SUBSTITUTE(SUBSTITUTE(TRIM($W1101),"-",""),".",""),"/","")," ",""),8),4),--MID(LEFT(SUBSTITUTE(SUBSTITUTE(SUBSTITUTE(SUBSTITUTE(TRIM($W1101),"-",""),".",""),"/","")," ",""),8),5,2),--MID(LEFT(SUBSTITUTE(SUBSTITUTE(SUBSTITUTE(SUBSTITUTE(TRIM($W1101),"-",""),".",""),"/","")," ",""),8),7,2)),"")))</f>
        <v/>
      </c>
      <c r="Y1101" s="32">
        <f>IF($X1101="","",INT($X1101))</f>
        <v/>
      </c>
      <c r="Z1101" s="33">
        <f>IF(OR($Y1101="",$D$6=""),"",IF(INDEX($A:$U,ROW(),$D$6)="",0,IF(ISNUMBER(INDEX($A:$U,ROW(),$D$6)),INDEX($A:$U,ROW(),$D$6),IFERROR(--SUBSTITUTE(SUBSTITUTE(TRIM(INDEX($A:$U,ROW(),$D$6)),",",""),"원",""),0))))</f>
        <v/>
      </c>
      <c r="AA1101" s="31">
        <f>IF($Y1101="","",TRIM(INDEX($A:$U,ROW(),$E$6)&amp;IF($F$6="",""," "&amp;INDEX($A:$U,ROW(),$F$6))))</f>
        <v/>
      </c>
      <c r="AB1101" s="31">
        <f>IF($AA1101="","",SUBSTITUTE(SUBSTITUTE(SUBSTITUTE(SUBSTITUTE(SUBSTITUTE(SUBSTITUTE(SUBSTITUTE(SUBSTITUTE(SUBSTITUTE($AA1101," ",""),"　",""),"(주)",""),"（주）",""),"㈜",""),"주식회사",""),"(유)",""),"（유）",""),"유한회사",""))</f>
        <v/>
      </c>
      <c r="AC1101" s="31">
        <f>IF(OR($Y1101="",N($Z1101)&lt;=0,$AB1101=""),0,IFERROR(LOOKUP(2,1/((거래처별!$AC$8:$AC$307&lt;&gt;"")*ISNUMBER(SEARCH(거래처별!$AC$8:$AC$307,$AB1101))),거래처별!$A$8:$A$307),IFERROR(LOOKUP(2,1/((거래처별!$AD$8:$AD$307&lt;&gt;"")*ISNUMBER(SEARCH(거래처별!$AD$8:$AD$307,$AB1101))),거래처별!$A$8:$A$307),IFERROR(LOOKUP(2,1/((거래처별!$AE$8:$AE$307&lt;&gt;"")*ISNUMBER(SEARCH(거래처별!$AE$8:$AE$307,$AB1101))),거래처별!$A$8:$A$307),0))))</f>
        <v/>
      </c>
      <c r="AD1101" s="31">
        <f>IF(AND($Y1101&lt;&gt;"",N($Z1101)&gt;0,$AC1101=0),MAX($AD$7:$AD1100)+1,"")</f>
        <v/>
      </c>
      <c r="AE1101" s="31">
        <f>IF($Y1101="",0,$Y1101)</f>
        <v/>
      </c>
    </row>
    <row r="1102">
      <c r="W1102" s="31">
        <f>IF(OR($B$5="",$C$6="",ROW()&lt;$B$5),"",IF(INDEX($A:$U,ROW(),$C$6)="","",INDEX($A:$U,ROW(),$C$6)))</f>
        <v/>
      </c>
      <c r="X1102" s="32">
        <f>IF($W1102="","",IF(ISNUMBER($W1102),IF($W1102&gt;=10000000,IFERROR(DATE(INT($W1102/10000),MOD(INT($W1102/100),100),MOD($W1102,100)),""),INT($W1102)),IFERROR(DATE(--LEFT(LEFT(SUBSTITUTE(SUBSTITUTE(SUBSTITUTE(SUBSTITUTE(TRIM($W1102),"-",""),".",""),"/","")," ",""),8),4),--MID(LEFT(SUBSTITUTE(SUBSTITUTE(SUBSTITUTE(SUBSTITUTE(TRIM($W1102),"-",""),".",""),"/","")," ",""),8),5,2),--MID(LEFT(SUBSTITUTE(SUBSTITUTE(SUBSTITUTE(SUBSTITUTE(TRIM($W1102),"-",""),".",""),"/","")," ",""),8),7,2)),"")))</f>
        <v/>
      </c>
      <c r="Y1102" s="32">
        <f>IF($X1102="","",INT($X1102))</f>
        <v/>
      </c>
      <c r="Z1102" s="33">
        <f>IF(OR($Y1102="",$D$6=""),"",IF(INDEX($A:$U,ROW(),$D$6)="",0,IF(ISNUMBER(INDEX($A:$U,ROW(),$D$6)),INDEX($A:$U,ROW(),$D$6),IFERROR(--SUBSTITUTE(SUBSTITUTE(TRIM(INDEX($A:$U,ROW(),$D$6)),",",""),"원",""),0))))</f>
        <v/>
      </c>
      <c r="AA1102" s="31">
        <f>IF($Y1102="","",TRIM(INDEX($A:$U,ROW(),$E$6)&amp;IF($F$6="",""," "&amp;INDEX($A:$U,ROW(),$F$6))))</f>
        <v/>
      </c>
      <c r="AB1102" s="31">
        <f>IF($AA1102="","",SUBSTITUTE(SUBSTITUTE(SUBSTITUTE(SUBSTITUTE(SUBSTITUTE(SUBSTITUTE(SUBSTITUTE(SUBSTITUTE(SUBSTITUTE($AA1102," ",""),"　",""),"(주)",""),"（주）",""),"㈜",""),"주식회사",""),"(유)",""),"（유）",""),"유한회사",""))</f>
        <v/>
      </c>
      <c r="AC1102" s="31">
        <f>IF(OR($Y1102="",N($Z1102)&lt;=0,$AB1102=""),0,IFERROR(LOOKUP(2,1/((거래처별!$AC$8:$AC$307&lt;&gt;"")*ISNUMBER(SEARCH(거래처별!$AC$8:$AC$307,$AB1102))),거래처별!$A$8:$A$307),IFERROR(LOOKUP(2,1/((거래처별!$AD$8:$AD$307&lt;&gt;"")*ISNUMBER(SEARCH(거래처별!$AD$8:$AD$307,$AB1102))),거래처별!$A$8:$A$307),IFERROR(LOOKUP(2,1/((거래처별!$AE$8:$AE$307&lt;&gt;"")*ISNUMBER(SEARCH(거래처별!$AE$8:$AE$307,$AB1102))),거래처별!$A$8:$A$307),0))))</f>
        <v/>
      </c>
      <c r="AD1102" s="31">
        <f>IF(AND($Y1102&lt;&gt;"",N($Z1102)&gt;0,$AC1102=0),MAX($AD$7:$AD1101)+1,"")</f>
        <v/>
      </c>
      <c r="AE1102" s="31">
        <f>IF($Y1102="",0,$Y1102)</f>
        <v/>
      </c>
    </row>
    <row r="1103">
      <c r="W1103" s="31">
        <f>IF(OR($B$5="",$C$6="",ROW()&lt;$B$5),"",IF(INDEX($A:$U,ROW(),$C$6)="","",INDEX($A:$U,ROW(),$C$6)))</f>
        <v/>
      </c>
      <c r="X1103" s="32">
        <f>IF($W1103="","",IF(ISNUMBER($W1103),IF($W1103&gt;=10000000,IFERROR(DATE(INT($W1103/10000),MOD(INT($W1103/100),100),MOD($W1103,100)),""),INT($W1103)),IFERROR(DATE(--LEFT(LEFT(SUBSTITUTE(SUBSTITUTE(SUBSTITUTE(SUBSTITUTE(TRIM($W1103),"-",""),".",""),"/","")," ",""),8),4),--MID(LEFT(SUBSTITUTE(SUBSTITUTE(SUBSTITUTE(SUBSTITUTE(TRIM($W1103),"-",""),".",""),"/","")," ",""),8),5,2),--MID(LEFT(SUBSTITUTE(SUBSTITUTE(SUBSTITUTE(SUBSTITUTE(TRIM($W1103),"-",""),".",""),"/","")," ",""),8),7,2)),"")))</f>
        <v/>
      </c>
      <c r="Y1103" s="32">
        <f>IF($X1103="","",INT($X1103))</f>
        <v/>
      </c>
      <c r="Z1103" s="33">
        <f>IF(OR($Y1103="",$D$6=""),"",IF(INDEX($A:$U,ROW(),$D$6)="",0,IF(ISNUMBER(INDEX($A:$U,ROW(),$D$6)),INDEX($A:$U,ROW(),$D$6),IFERROR(--SUBSTITUTE(SUBSTITUTE(TRIM(INDEX($A:$U,ROW(),$D$6)),",",""),"원",""),0))))</f>
        <v/>
      </c>
      <c r="AA1103" s="31">
        <f>IF($Y1103="","",TRIM(INDEX($A:$U,ROW(),$E$6)&amp;IF($F$6="",""," "&amp;INDEX($A:$U,ROW(),$F$6))))</f>
        <v/>
      </c>
      <c r="AB1103" s="31">
        <f>IF($AA1103="","",SUBSTITUTE(SUBSTITUTE(SUBSTITUTE(SUBSTITUTE(SUBSTITUTE(SUBSTITUTE(SUBSTITUTE(SUBSTITUTE(SUBSTITUTE($AA1103," ",""),"　",""),"(주)",""),"（주）",""),"㈜",""),"주식회사",""),"(유)",""),"（유）",""),"유한회사",""))</f>
        <v/>
      </c>
      <c r="AC1103" s="31">
        <f>IF(OR($Y1103="",N($Z1103)&lt;=0,$AB1103=""),0,IFERROR(LOOKUP(2,1/((거래처별!$AC$8:$AC$307&lt;&gt;"")*ISNUMBER(SEARCH(거래처별!$AC$8:$AC$307,$AB1103))),거래처별!$A$8:$A$307),IFERROR(LOOKUP(2,1/((거래처별!$AD$8:$AD$307&lt;&gt;"")*ISNUMBER(SEARCH(거래처별!$AD$8:$AD$307,$AB1103))),거래처별!$A$8:$A$307),IFERROR(LOOKUP(2,1/((거래처별!$AE$8:$AE$307&lt;&gt;"")*ISNUMBER(SEARCH(거래처별!$AE$8:$AE$307,$AB1103))),거래처별!$A$8:$A$307),0))))</f>
        <v/>
      </c>
      <c r="AD1103" s="31">
        <f>IF(AND($Y1103&lt;&gt;"",N($Z1103)&gt;0,$AC1103=0),MAX($AD$7:$AD1102)+1,"")</f>
        <v/>
      </c>
      <c r="AE1103" s="31">
        <f>IF($Y1103="",0,$Y1103)</f>
        <v/>
      </c>
    </row>
    <row r="1104">
      <c r="W1104" s="31">
        <f>IF(OR($B$5="",$C$6="",ROW()&lt;$B$5),"",IF(INDEX($A:$U,ROW(),$C$6)="","",INDEX($A:$U,ROW(),$C$6)))</f>
        <v/>
      </c>
      <c r="X1104" s="32">
        <f>IF($W1104="","",IF(ISNUMBER($W1104),IF($W1104&gt;=10000000,IFERROR(DATE(INT($W1104/10000),MOD(INT($W1104/100),100),MOD($W1104,100)),""),INT($W1104)),IFERROR(DATE(--LEFT(LEFT(SUBSTITUTE(SUBSTITUTE(SUBSTITUTE(SUBSTITUTE(TRIM($W1104),"-",""),".",""),"/","")," ",""),8),4),--MID(LEFT(SUBSTITUTE(SUBSTITUTE(SUBSTITUTE(SUBSTITUTE(TRIM($W1104),"-",""),".",""),"/","")," ",""),8),5,2),--MID(LEFT(SUBSTITUTE(SUBSTITUTE(SUBSTITUTE(SUBSTITUTE(TRIM($W1104),"-",""),".",""),"/","")," ",""),8),7,2)),"")))</f>
        <v/>
      </c>
      <c r="Y1104" s="32">
        <f>IF($X1104="","",INT($X1104))</f>
        <v/>
      </c>
      <c r="Z1104" s="33">
        <f>IF(OR($Y1104="",$D$6=""),"",IF(INDEX($A:$U,ROW(),$D$6)="",0,IF(ISNUMBER(INDEX($A:$U,ROW(),$D$6)),INDEX($A:$U,ROW(),$D$6),IFERROR(--SUBSTITUTE(SUBSTITUTE(TRIM(INDEX($A:$U,ROW(),$D$6)),",",""),"원",""),0))))</f>
        <v/>
      </c>
      <c r="AA1104" s="31">
        <f>IF($Y1104="","",TRIM(INDEX($A:$U,ROW(),$E$6)&amp;IF($F$6="",""," "&amp;INDEX($A:$U,ROW(),$F$6))))</f>
        <v/>
      </c>
      <c r="AB1104" s="31">
        <f>IF($AA1104="","",SUBSTITUTE(SUBSTITUTE(SUBSTITUTE(SUBSTITUTE(SUBSTITUTE(SUBSTITUTE(SUBSTITUTE(SUBSTITUTE(SUBSTITUTE($AA1104," ",""),"　",""),"(주)",""),"（주）",""),"㈜",""),"주식회사",""),"(유)",""),"（유）",""),"유한회사",""))</f>
        <v/>
      </c>
      <c r="AC1104" s="31">
        <f>IF(OR($Y1104="",N($Z1104)&lt;=0,$AB1104=""),0,IFERROR(LOOKUP(2,1/((거래처별!$AC$8:$AC$307&lt;&gt;"")*ISNUMBER(SEARCH(거래처별!$AC$8:$AC$307,$AB1104))),거래처별!$A$8:$A$307),IFERROR(LOOKUP(2,1/((거래처별!$AD$8:$AD$307&lt;&gt;"")*ISNUMBER(SEARCH(거래처별!$AD$8:$AD$307,$AB1104))),거래처별!$A$8:$A$307),IFERROR(LOOKUP(2,1/((거래처별!$AE$8:$AE$307&lt;&gt;"")*ISNUMBER(SEARCH(거래처별!$AE$8:$AE$307,$AB1104))),거래처별!$A$8:$A$307),0))))</f>
        <v/>
      </c>
      <c r="AD1104" s="31">
        <f>IF(AND($Y1104&lt;&gt;"",N($Z1104)&gt;0,$AC1104=0),MAX($AD$7:$AD1103)+1,"")</f>
        <v/>
      </c>
      <c r="AE1104" s="31">
        <f>IF($Y1104="",0,$Y1104)</f>
        <v/>
      </c>
    </row>
    <row r="1105">
      <c r="W1105" s="31">
        <f>IF(OR($B$5="",$C$6="",ROW()&lt;$B$5),"",IF(INDEX($A:$U,ROW(),$C$6)="","",INDEX($A:$U,ROW(),$C$6)))</f>
        <v/>
      </c>
      <c r="X1105" s="32">
        <f>IF($W1105="","",IF(ISNUMBER($W1105),IF($W1105&gt;=10000000,IFERROR(DATE(INT($W1105/10000),MOD(INT($W1105/100),100),MOD($W1105,100)),""),INT($W1105)),IFERROR(DATE(--LEFT(LEFT(SUBSTITUTE(SUBSTITUTE(SUBSTITUTE(SUBSTITUTE(TRIM($W1105),"-",""),".",""),"/","")," ",""),8),4),--MID(LEFT(SUBSTITUTE(SUBSTITUTE(SUBSTITUTE(SUBSTITUTE(TRIM($W1105),"-",""),".",""),"/","")," ",""),8),5,2),--MID(LEFT(SUBSTITUTE(SUBSTITUTE(SUBSTITUTE(SUBSTITUTE(TRIM($W1105),"-",""),".",""),"/","")," ",""),8),7,2)),"")))</f>
        <v/>
      </c>
      <c r="Y1105" s="32">
        <f>IF($X1105="","",INT($X1105))</f>
        <v/>
      </c>
      <c r="Z1105" s="33">
        <f>IF(OR($Y1105="",$D$6=""),"",IF(INDEX($A:$U,ROW(),$D$6)="",0,IF(ISNUMBER(INDEX($A:$U,ROW(),$D$6)),INDEX($A:$U,ROW(),$D$6),IFERROR(--SUBSTITUTE(SUBSTITUTE(TRIM(INDEX($A:$U,ROW(),$D$6)),",",""),"원",""),0))))</f>
        <v/>
      </c>
      <c r="AA1105" s="31">
        <f>IF($Y1105="","",TRIM(INDEX($A:$U,ROW(),$E$6)&amp;IF($F$6="",""," "&amp;INDEX($A:$U,ROW(),$F$6))))</f>
        <v/>
      </c>
      <c r="AB1105" s="31">
        <f>IF($AA1105="","",SUBSTITUTE(SUBSTITUTE(SUBSTITUTE(SUBSTITUTE(SUBSTITUTE(SUBSTITUTE(SUBSTITUTE(SUBSTITUTE(SUBSTITUTE($AA1105," ",""),"　",""),"(주)",""),"（주）",""),"㈜",""),"주식회사",""),"(유)",""),"（유）",""),"유한회사",""))</f>
        <v/>
      </c>
      <c r="AC1105" s="31">
        <f>IF(OR($Y1105="",N($Z1105)&lt;=0,$AB1105=""),0,IFERROR(LOOKUP(2,1/((거래처별!$AC$8:$AC$307&lt;&gt;"")*ISNUMBER(SEARCH(거래처별!$AC$8:$AC$307,$AB1105))),거래처별!$A$8:$A$307),IFERROR(LOOKUP(2,1/((거래처별!$AD$8:$AD$307&lt;&gt;"")*ISNUMBER(SEARCH(거래처별!$AD$8:$AD$307,$AB1105))),거래처별!$A$8:$A$307),IFERROR(LOOKUP(2,1/((거래처별!$AE$8:$AE$307&lt;&gt;"")*ISNUMBER(SEARCH(거래처별!$AE$8:$AE$307,$AB1105))),거래처별!$A$8:$A$307),0))))</f>
        <v/>
      </c>
      <c r="AD1105" s="31">
        <f>IF(AND($Y1105&lt;&gt;"",N($Z1105)&gt;0,$AC1105=0),MAX($AD$7:$AD1104)+1,"")</f>
        <v/>
      </c>
      <c r="AE1105" s="31">
        <f>IF($Y1105="",0,$Y1105)</f>
        <v/>
      </c>
    </row>
    <row r="1106">
      <c r="W1106" s="31">
        <f>IF(OR($B$5="",$C$6="",ROW()&lt;$B$5),"",IF(INDEX($A:$U,ROW(),$C$6)="","",INDEX($A:$U,ROW(),$C$6)))</f>
        <v/>
      </c>
      <c r="X1106" s="32">
        <f>IF($W1106="","",IF(ISNUMBER($W1106),IF($W1106&gt;=10000000,IFERROR(DATE(INT($W1106/10000),MOD(INT($W1106/100),100),MOD($W1106,100)),""),INT($W1106)),IFERROR(DATE(--LEFT(LEFT(SUBSTITUTE(SUBSTITUTE(SUBSTITUTE(SUBSTITUTE(TRIM($W1106),"-",""),".",""),"/","")," ",""),8),4),--MID(LEFT(SUBSTITUTE(SUBSTITUTE(SUBSTITUTE(SUBSTITUTE(TRIM($W1106),"-",""),".",""),"/","")," ",""),8),5,2),--MID(LEFT(SUBSTITUTE(SUBSTITUTE(SUBSTITUTE(SUBSTITUTE(TRIM($W1106),"-",""),".",""),"/","")," ",""),8),7,2)),"")))</f>
        <v/>
      </c>
      <c r="Y1106" s="32">
        <f>IF($X1106="","",INT($X1106))</f>
        <v/>
      </c>
      <c r="Z1106" s="33">
        <f>IF(OR($Y1106="",$D$6=""),"",IF(INDEX($A:$U,ROW(),$D$6)="",0,IF(ISNUMBER(INDEX($A:$U,ROW(),$D$6)),INDEX($A:$U,ROW(),$D$6),IFERROR(--SUBSTITUTE(SUBSTITUTE(TRIM(INDEX($A:$U,ROW(),$D$6)),",",""),"원",""),0))))</f>
        <v/>
      </c>
      <c r="AA1106" s="31">
        <f>IF($Y1106="","",TRIM(INDEX($A:$U,ROW(),$E$6)&amp;IF($F$6="",""," "&amp;INDEX($A:$U,ROW(),$F$6))))</f>
        <v/>
      </c>
      <c r="AB1106" s="31">
        <f>IF($AA1106="","",SUBSTITUTE(SUBSTITUTE(SUBSTITUTE(SUBSTITUTE(SUBSTITUTE(SUBSTITUTE(SUBSTITUTE(SUBSTITUTE(SUBSTITUTE($AA1106," ",""),"　",""),"(주)",""),"（주）",""),"㈜",""),"주식회사",""),"(유)",""),"（유）",""),"유한회사",""))</f>
        <v/>
      </c>
      <c r="AC1106" s="31">
        <f>IF(OR($Y1106="",N($Z1106)&lt;=0,$AB1106=""),0,IFERROR(LOOKUP(2,1/((거래처별!$AC$8:$AC$307&lt;&gt;"")*ISNUMBER(SEARCH(거래처별!$AC$8:$AC$307,$AB1106))),거래처별!$A$8:$A$307),IFERROR(LOOKUP(2,1/((거래처별!$AD$8:$AD$307&lt;&gt;"")*ISNUMBER(SEARCH(거래처별!$AD$8:$AD$307,$AB1106))),거래처별!$A$8:$A$307),IFERROR(LOOKUP(2,1/((거래처별!$AE$8:$AE$307&lt;&gt;"")*ISNUMBER(SEARCH(거래처별!$AE$8:$AE$307,$AB1106))),거래처별!$A$8:$A$307),0))))</f>
        <v/>
      </c>
      <c r="AD1106" s="31">
        <f>IF(AND($Y1106&lt;&gt;"",N($Z1106)&gt;0,$AC1106=0),MAX($AD$7:$AD1105)+1,"")</f>
        <v/>
      </c>
      <c r="AE1106" s="31">
        <f>IF($Y1106="",0,$Y1106)</f>
        <v/>
      </c>
    </row>
    <row r="1107">
      <c r="W1107" s="31">
        <f>IF(OR($B$5="",$C$6="",ROW()&lt;$B$5),"",IF(INDEX($A:$U,ROW(),$C$6)="","",INDEX($A:$U,ROW(),$C$6)))</f>
        <v/>
      </c>
      <c r="X1107" s="32">
        <f>IF($W1107="","",IF(ISNUMBER($W1107),IF($W1107&gt;=10000000,IFERROR(DATE(INT($W1107/10000),MOD(INT($W1107/100),100),MOD($W1107,100)),""),INT($W1107)),IFERROR(DATE(--LEFT(LEFT(SUBSTITUTE(SUBSTITUTE(SUBSTITUTE(SUBSTITUTE(TRIM($W1107),"-",""),".",""),"/","")," ",""),8),4),--MID(LEFT(SUBSTITUTE(SUBSTITUTE(SUBSTITUTE(SUBSTITUTE(TRIM($W1107),"-",""),".",""),"/","")," ",""),8),5,2),--MID(LEFT(SUBSTITUTE(SUBSTITUTE(SUBSTITUTE(SUBSTITUTE(TRIM($W1107),"-",""),".",""),"/","")," ",""),8),7,2)),"")))</f>
        <v/>
      </c>
      <c r="Y1107" s="32">
        <f>IF($X1107="","",INT($X1107))</f>
        <v/>
      </c>
      <c r="Z1107" s="33">
        <f>IF(OR($Y1107="",$D$6=""),"",IF(INDEX($A:$U,ROW(),$D$6)="",0,IF(ISNUMBER(INDEX($A:$U,ROW(),$D$6)),INDEX($A:$U,ROW(),$D$6),IFERROR(--SUBSTITUTE(SUBSTITUTE(TRIM(INDEX($A:$U,ROW(),$D$6)),",",""),"원",""),0))))</f>
        <v/>
      </c>
      <c r="AA1107" s="31">
        <f>IF($Y1107="","",TRIM(INDEX($A:$U,ROW(),$E$6)&amp;IF($F$6="",""," "&amp;INDEX($A:$U,ROW(),$F$6))))</f>
        <v/>
      </c>
      <c r="AB1107" s="31">
        <f>IF($AA1107="","",SUBSTITUTE(SUBSTITUTE(SUBSTITUTE(SUBSTITUTE(SUBSTITUTE(SUBSTITUTE(SUBSTITUTE(SUBSTITUTE(SUBSTITUTE($AA1107," ",""),"　",""),"(주)",""),"（주）",""),"㈜",""),"주식회사",""),"(유)",""),"（유）",""),"유한회사",""))</f>
        <v/>
      </c>
      <c r="AC1107" s="31">
        <f>IF(OR($Y1107="",N($Z1107)&lt;=0,$AB1107=""),0,IFERROR(LOOKUP(2,1/((거래처별!$AC$8:$AC$307&lt;&gt;"")*ISNUMBER(SEARCH(거래처별!$AC$8:$AC$307,$AB1107))),거래처별!$A$8:$A$307),IFERROR(LOOKUP(2,1/((거래처별!$AD$8:$AD$307&lt;&gt;"")*ISNUMBER(SEARCH(거래처별!$AD$8:$AD$307,$AB1107))),거래처별!$A$8:$A$307),IFERROR(LOOKUP(2,1/((거래처별!$AE$8:$AE$307&lt;&gt;"")*ISNUMBER(SEARCH(거래처별!$AE$8:$AE$307,$AB1107))),거래처별!$A$8:$A$307),0))))</f>
        <v/>
      </c>
      <c r="AD1107" s="31">
        <f>IF(AND($Y1107&lt;&gt;"",N($Z1107)&gt;0,$AC1107=0),MAX($AD$7:$AD1106)+1,"")</f>
        <v/>
      </c>
      <c r="AE1107" s="31">
        <f>IF($Y1107="",0,$Y1107)</f>
        <v/>
      </c>
    </row>
    <row r="1108">
      <c r="W1108" s="31">
        <f>IF(OR($B$5="",$C$6="",ROW()&lt;$B$5),"",IF(INDEX($A:$U,ROW(),$C$6)="","",INDEX($A:$U,ROW(),$C$6)))</f>
        <v/>
      </c>
      <c r="X1108" s="32">
        <f>IF($W1108="","",IF(ISNUMBER($W1108),IF($W1108&gt;=10000000,IFERROR(DATE(INT($W1108/10000),MOD(INT($W1108/100),100),MOD($W1108,100)),""),INT($W1108)),IFERROR(DATE(--LEFT(LEFT(SUBSTITUTE(SUBSTITUTE(SUBSTITUTE(SUBSTITUTE(TRIM($W1108),"-",""),".",""),"/","")," ",""),8),4),--MID(LEFT(SUBSTITUTE(SUBSTITUTE(SUBSTITUTE(SUBSTITUTE(TRIM($W1108),"-",""),".",""),"/","")," ",""),8),5,2),--MID(LEFT(SUBSTITUTE(SUBSTITUTE(SUBSTITUTE(SUBSTITUTE(TRIM($W1108),"-",""),".",""),"/","")," ",""),8),7,2)),"")))</f>
        <v/>
      </c>
      <c r="Y1108" s="32">
        <f>IF($X1108="","",INT($X1108))</f>
        <v/>
      </c>
      <c r="Z1108" s="33">
        <f>IF(OR($Y1108="",$D$6=""),"",IF(INDEX($A:$U,ROW(),$D$6)="",0,IF(ISNUMBER(INDEX($A:$U,ROW(),$D$6)),INDEX($A:$U,ROW(),$D$6),IFERROR(--SUBSTITUTE(SUBSTITUTE(TRIM(INDEX($A:$U,ROW(),$D$6)),",",""),"원",""),0))))</f>
        <v/>
      </c>
      <c r="AA1108" s="31">
        <f>IF($Y1108="","",TRIM(INDEX($A:$U,ROW(),$E$6)&amp;IF($F$6="",""," "&amp;INDEX($A:$U,ROW(),$F$6))))</f>
        <v/>
      </c>
      <c r="AB1108" s="31">
        <f>IF($AA1108="","",SUBSTITUTE(SUBSTITUTE(SUBSTITUTE(SUBSTITUTE(SUBSTITUTE(SUBSTITUTE(SUBSTITUTE(SUBSTITUTE(SUBSTITUTE($AA1108," ",""),"　",""),"(주)",""),"（주）",""),"㈜",""),"주식회사",""),"(유)",""),"（유）",""),"유한회사",""))</f>
        <v/>
      </c>
      <c r="AC1108" s="31">
        <f>IF(OR($Y1108="",N($Z1108)&lt;=0,$AB1108=""),0,IFERROR(LOOKUP(2,1/((거래처별!$AC$8:$AC$307&lt;&gt;"")*ISNUMBER(SEARCH(거래처별!$AC$8:$AC$307,$AB1108))),거래처별!$A$8:$A$307),IFERROR(LOOKUP(2,1/((거래처별!$AD$8:$AD$307&lt;&gt;"")*ISNUMBER(SEARCH(거래처별!$AD$8:$AD$307,$AB1108))),거래처별!$A$8:$A$307),IFERROR(LOOKUP(2,1/((거래처별!$AE$8:$AE$307&lt;&gt;"")*ISNUMBER(SEARCH(거래처별!$AE$8:$AE$307,$AB1108))),거래처별!$A$8:$A$307),0))))</f>
        <v/>
      </c>
      <c r="AD1108" s="31">
        <f>IF(AND($Y1108&lt;&gt;"",N($Z1108)&gt;0,$AC1108=0),MAX($AD$7:$AD1107)+1,"")</f>
        <v/>
      </c>
      <c r="AE1108" s="31">
        <f>IF($Y1108="",0,$Y1108)</f>
        <v/>
      </c>
    </row>
    <row r="1109">
      <c r="W1109" s="31">
        <f>IF(OR($B$5="",$C$6="",ROW()&lt;$B$5),"",IF(INDEX($A:$U,ROW(),$C$6)="","",INDEX($A:$U,ROW(),$C$6)))</f>
        <v/>
      </c>
      <c r="X1109" s="32">
        <f>IF($W1109="","",IF(ISNUMBER($W1109),IF($W1109&gt;=10000000,IFERROR(DATE(INT($W1109/10000),MOD(INT($W1109/100),100),MOD($W1109,100)),""),INT($W1109)),IFERROR(DATE(--LEFT(LEFT(SUBSTITUTE(SUBSTITUTE(SUBSTITUTE(SUBSTITUTE(TRIM($W1109),"-",""),".",""),"/","")," ",""),8),4),--MID(LEFT(SUBSTITUTE(SUBSTITUTE(SUBSTITUTE(SUBSTITUTE(TRIM($W1109),"-",""),".",""),"/","")," ",""),8),5,2),--MID(LEFT(SUBSTITUTE(SUBSTITUTE(SUBSTITUTE(SUBSTITUTE(TRIM($W1109),"-",""),".",""),"/","")," ",""),8),7,2)),"")))</f>
        <v/>
      </c>
      <c r="Y1109" s="32">
        <f>IF($X1109="","",INT($X1109))</f>
        <v/>
      </c>
      <c r="Z1109" s="33">
        <f>IF(OR($Y1109="",$D$6=""),"",IF(INDEX($A:$U,ROW(),$D$6)="",0,IF(ISNUMBER(INDEX($A:$U,ROW(),$D$6)),INDEX($A:$U,ROW(),$D$6),IFERROR(--SUBSTITUTE(SUBSTITUTE(TRIM(INDEX($A:$U,ROW(),$D$6)),",",""),"원",""),0))))</f>
        <v/>
      </c>
      <c r="AA1109" s="31">
        <f>IF($Y1109="","",TRIM(INDEX($A:$U,ROW(),$E$6)&amp;IF($F$6="",""," "&amp;INDEX($A:$U,ROW(),$F$6))))</f>
        <v/>
      </c>
      <c r="AB1109" s="31">
        <f>IF($AA1109="","",SUBSTITUTE(SUBSTITUTE(SUBSTITUTE(SUBSTITUTE(SUBSTITUTE(SUBSTITUTE(SUBSTITUTE(SUBSTITUTE(SUBSTITUTE($AA1109," ",""),"　",""),"(주)",""),"（주）",""),"㈜",""),"주식회사",""),"(유)",""),"（유）",""),"유한회사",""))</f>
        <v/>
      </c>
      <c r="AC1109" s="31">
        <f>IF(OR($Y1109="",N($Z1109)&lt;=0,$AB1109=""),0,IFERROR(LOOKUP(2,1/((거래처별!$AC$8:$AC$307&lt;&gt;"")*ISNUMBER(SEARCH(거래처별!$AC$8:$AC$307,$AB1109))),거래처별!$A$8:$A$307),IFERROR(LOOKUP(2,1/((거래처별!$AD$8:$AD$307&lt;&gt;"")*ISNUMBER(SEARCH(거래처별!$AD$8:$AD$307,$AB1109))),거래처별!$A$8:$A$307),IFERROR(LOOKUP(2,1/((거래처별!$AE$8:$AE$307&lt;&gt;"")*ISNUMBER(SEARCH(거래처별!$AE$8:$AE$307,$AB1109))),거래처별!$A$8:$A$307),0))))</f>
        <v/>
      </c>
      <c r="AD1109" s="31">
        <f>IF(AND($Y1109&lt;&gt;"",N($Z1109)&gt;0,$AC1109=0),MAX($AD$7:$AD1108)+1,"")</f>
        <v/>
      </c>
      <c r="AE1109" s="31">
        <f>IF($Y1109="",0,$Y1109)</f>
        <v/>
      </c>
    </row>
    <row r="1110">
      <c r="W1110" s="31">
        <f>IF(OR($B$5="",$C$6="",ROW()&lt;$B$5),"",IF(INDEX($A:$U,ROW(),$C$6)="","",INDEX($A:$U,ROW(),$C$6)))</f>
        <v/>
      </c>
      <c r="X1110" s="32">
        <f>IF($W1110="","",IF(ISNUMBER($W1110),IF($W1110&gt;=10000000,IFERROR(DATE(INT($W1110/10000),MOD(INT($W1110/100),100),MOD($W1110,100)),""),INT($W1110)),IFERROR(DATE(--LEFT(LEFT(SUBSTITUTE(SUBSTITUTE(SUBSTITUTE(SUBSTITUTE(TRIM($W1110),"-",""),".",""),"/","")," ",""),8),4),--MID(LEFT(SUBSTITUTE(SUBSTITUTE(SUBSTITUTE(SUBSTITUTE(TRIM($W1110),"-",""),".",""),"/","")," ",""),8),5,2),--MID(LEFT(SUBSTITUTE(SUBSTITUTE(SUBSTITUTE(SUBSTITUTE(TRIM($W1110),"-",""),".",""),"/","")," ",""),8),7,2)),"")))</f>
        <v/>
      </c>
      <c r="Y1110" s="32">
        <f>IF($X1110="","",INT($X1110))</f>
        <v/>
      </c>
      <c r="Z1110" s="33">
        <f>IF(OR($Y1110="",$D$6=""),"",IF(INDEX($A:$U,ROW(),$D$6)="",0,IF(ISNUMBER(INDEX($A:$U,ROW(),$D$6)),INDEX($A:$U,ROW(),$D$6),IFERROR(--SUBSTITUTE(SUBSTITUTE(TRIM(INDEX($A:$U,ROW(),$D$6)),",",""),"원",""),0))))</f>
        <v/>
      </c>
      <c r="AA1110" s="31">
        <f>IF($Y1110="","",TRIM(INDEX($A:$U,ROW(),$E$6)&amp;IF($F$6="",""," "&amp;INDEX($A:$U,ROW(),$F$6))))</f>
        <v/>
      </c>
      <c r="AB1110" s="31">
        <f>IF($AA1110="","",SUBSTITUTE(SUBSTITUTE(SUBSTITUTE(SUBSTITUTE(SUBSTITUTE(SUBSTITUTE(SUBSTITUTE(SUBSTITUTE(SUBSTITUTE($AA1110," ",""),"　",""),"(주)",""),"（주）",""),"㈜",""),"주식회사",""),"(유)",""),"（유）",""),"유한회사",""))</f>
        <v/>
      </c>
      <c r="AC1110" s="31">
        <f>IF(OR($Y1110="",N($Z1110)&lt;=0,$AB1110=""),0,IFERROR(LOOKUP(2,1/((거래처별!$AC$8:$AC$307&lt;&gt;"")*ISNUMBER(SEARCH(거래처별!$AC$8:$AC$307,$AB1110))),거래처별!$A$8:$A$307),IFERROR(LOOKUP(2,1/((거래처별!$AD$8:$AD$307&lt;&gt;"")*ISNUMBER(SEARCH(거래처별!$AD$8:$AD$307,$AB1110))),거래처별!$A$8:$A$307),IFERROR(LOOKUP(2,1/((거래처별!$AE$8:$AE$307&lt;&gt;"")*ISNUMBER(SEARCH(거래처별!$AE$8:$AE$307,$AB1110))),거래처별!$A$8:$A$307),0))))</f>
        <v/>
      </c>
      <c r="AD1110" s="31">
        <f>IF(AND($Y1110&lt;&gt;"",N($Z1110)&gt;0,$AC1110=0),MAX($AD$7:$AD1109)+1,"")</f>
        <v/>
      </c>
      <c r="AE1110" s="31">
        <f>IF($Y1110="",0,$Y1110)</f>
        <v/>
      </c>
    </row>
    <row r="1111">
      <c r="W1111" s="31">
        <f>IF(OR($B$5="",$C$6="",ROW()&lt;$B$5),"",IF(INDEX($A:$U,ROW(),$C$6)="","",INDEX($A:$U,ROW(),$C$6)))</f>
        <v/>
      </c>
      <c r="X1111" s="32">
        <f>IF($W1111="","",IF(ISNUMBER($W1111),IF($W1111&gt;=10000000,IFERROR(DATE(INT($W1111/10000),MOD(INT($W1111/100),100),MOD($W1111,100)),""),INT($W1111)),IFERROR(DATE(--LEFT(LEFT(SUBSTITUTE(SUBSTITUTE(SUBSTITUTE(SUBSTITUTE(TRIM($W1111),"-",""),".",""),"/","")," ",""),8),4),--MID(LEFT(SUBSTITUTE(SUBSTITUTE(SUBSTITUTE(SUBSTITUTE(TRIM($W1111),"-",""),".",""),"/","")," ",""),8),5,2),--MID(LEFT(SUBSTITUTE(SUBSTITUTE(SUBSTITUTE(SUBSTITUTE(TRIM($W1111),"-",""),".",""),"/","")," ",""),8),7,2)),"")))</f>
        <v/>
      </c>
      <c r="Y1111" s="32">
        <f>IF($X1111="","",INT($X1111))</f>
        <v/>
      </c>
      <c r="Z1111" s="33">
        <f>IF(OR($Y1111="",$D$6=""),"",IF(INDEX($A:$U,ROW(),$D$6)="",0,IF(ISNUMBER(INDEX($A:$U,ROW(),$D$6)),INDEX($A:$U,ROW(),$D$6),IFERROR(--SUBSTITUTE(SUBSTITUTE(TRIM(INDEX($A:$U,ROW(),$D$6)),",",""),"원",""),0))))</f>
        <v/>
      </c>
      <c r="AA1111" s="31">
        <f>IF($Y1111="","",TRIM(INDEX($A:$U,ROW(),$E$6)&amp;IF($F$6="",""," "&amp;INDEX($A:$U,ROW(),$F$6))))</f>
        <v/>
      </c>
      <c r="AB1111" s="31">
        <f>IF($AA1111="","",SUBSTITUTE(SUBSTITUTE(SUBSTITUTE(SUBSTITUTE(SUBSTITUTE(SUBSTITUTE(SUBSTITUTE(SUBSTITUTE(SUBSTITUTE($AA1111," ",""),"　",""),"(주)",""),"（주）",""),"㈜",""),"주식회사",""),"(유)",""),"（유）",""),"유한회사",""))</f>
        <v/>
      </c>
      <c r="AC1111" s="31">
        <f>IF(OR($Y1111="",N($Z1111)&lt;=0,$AB1111=""),0,IFERROR(LOOKUP(2,1/((거래처별!$AC$8:$AC$307&lt;&gt;"")*ISNUMBER(SEARCH(거래처별!$AC$8:$AC$307,$AB1111))),거래처별!$A$8:$A$307),IFERROR(LOOKUP(2,1/((거래처별!$AD$8:$AD$307&lt;&gt;"")*ISNUMBER(SEARCH(거래처별!$AD$8:$AD$307,$AB1111))),거래처별!$A$8:$A$307),IFERROR(LOOKUP(2,1/((거래처별!$AE$8:$AE$307&lt;&gt;"")*ISNUMBER(SEARCH(거래처별!$AE$8:$AE$307,$AB1111))),거래처별!$A$8:$A$307),0))))</f>
        <v/>
      </c>
      <c r="AD1111" s="31">
        <f>IF(AND($Y1111&lt;&gt;"",N($Z1111)&gt;0,$AC1111=0),MAX($AD$7:$AD1110)+1,"")</f>
        <v/>
      </c>
      <c r="AE1111" s="31">
        <f>IF($Y1111="",0,$Y1111)</f>
        <v/>
      </c>
    </row>
    <row r="1112">
      <c r="W1112" s="31">
        <f>IF(OR($B$5="",$C$6="",ROW()&lt;$B$5),"",IF(INDEX($A:$U,ROW(),$C$6)="","",INDEX($A:$U,ROW(),$C$6)))</f>
        <v/>
      </c>
      <c r="X1112" s="32">
        <f>IF($W1112="","",IF(ISNUMBER($W1112),IF($W1112&gt;=10000000,IFERROR(DATE(INT($W1112/10000),MOD(INT($W1112/100),100),MOD($W1112,100)),""),INT($W1112)),IFERROR(DATE(--LEFT(LEFT(SUBSTITUTE(SUBSTITUTE(SUBSTITUTE(SUBSTITUTE(TRIM($W1112),"-",""),".",""),"/","")," ",""),8),4),--MID(LEFT(SUBSTITUTE(SUBSTITUTE(SUBSTITUTE(SUBSTITUTE(TRIM($W1112),"-",""),".",""),"/","")," ",""),8),5,2),--MID(LEFT(SUBSTITUTE(SUBSTITUTE(SUBSTITUTE(SUBSTITUTE(TRIM($W1112),"-",""),".",""),"/","")," ",""),8),7,2)),"")))</f>
        <v/>
      </c>
      <c r="Y1112" s="32">
        <f>IF($X1112="","",INT($X1112))</f>
        <v/>
      </c>
      <c r="Z1112" s="33">
        <f>IF(OR($Y1112="",$D$6=""),"",IF(INDEX($A:$U,ROW(),$D$6)="",0,IF(ISNUMBER(INDEX($A:$U,ROW(),$D$6)),INDEX($A:$U,ROW(),$D$6),IFERROR(--SUBSTITUTE(SUBSTITUTE(TRIM(INDEX($A:$U,ROW(),$D$6)),",",""),"원",""),0))))</f>
        <v/>
      </c>
      <c r="AA1112" s="31">
        <f>IF($Y1112="","",TRIM(INDEX($A:$U,ROW(),$E$6)&amp;IF($F$6="",""," "&amp;INDEX($A:$U,ROW(),$F$6))))</f>
        <v/>
      </c>
      <c r="AB1112" s="31">
        <f>IF($AA1112="","",SUBSTITUTE(SUBSTITUTE(SUBSTITUTE(SUBSTITUTE(SUBSTITUTE(SUBSTITUTE(SUBSTITUTE(SUBSTITUTE(SUBSTITUTE($AA1112," ",""),"　",""),"(주)",""),"（주）",""),"㈜",""),"주식회사",""),"(유)",""),"（유）",""),"유한회사",""))</f>
        <v/>
      </c>
      <c r="AC1112" s="31">
        <f>IF(OR($Y1112="",N($Z1112)&lt;=0,$AB1112=""),0,IFERROR(LOOKUP(2,1/((거래처별!$AC$8:$AC$307&lt;&gt;"")*ISNUMBER(SEARCH(거래처별!$AC$8:$AC$307,$AB1112))),거래처별!$A$8:$A$307),IFERROR(LOOKUP(2,1/((거래처별!$AD$8:$AD$307&lt;&gt;"")*ISNUMBER(SEARCH(거래처별!$AD$8:$AD$307,$AB1112))),거래처별!$A$8:$A$307),IFERROR(LOOKUP(2,1/((거래처별!$AE$8:$AE$307&lt;&gt;"")*ISNUMBER(SEARCH(거래처별!$AE$8:$AE$307,$AB1112))),거래처별!$A$8:$A$307),0))))</f>
        <v/>
      </c>
      <c r="AD1112" s="31">
        <f>IF(AND($Y1112&lt;&gt;"",N($Z1112)&gt;0,$AC1112=0),MAX($AD$7:$AD1111)+1,"")</f>
        <v/>
      </c>
      <c r="AE1112" s="31">
        <f>IF($Y1112="",0,$Y1112)</f>
        <v/>
      </c>
    </row>
    <row r="1113">
      <c r="W1113" s="31">
        <f>IF(OR($B$5="",$C$6="",ROW()&lt;$B$5),"",IF(INDEX($A:$U,ROW(),$C$6)="","",INDEX($A:$U,ROW(),$C$6)))</f>
        <v/>
      </c>
      <c r="X1113" s="32">
        <f>IF($W1113="","",IF(ISNUMBER($W1113),IF($W1113&gt;=10000000,IFERROR(DATE(INT($W1113/10000),MOD(INT($W1113/100),100),MOD($W1113,100)),""),INT($W1113)),IFERROR(DATE(--LEFT(LEFT(SUBSTITUTE(SUBSTITUTE(SUBSTITUTE(SUBSTITUTE(TRIM($W1113),"-",""),".",""),"/","")," ",""),8),4),--MID(LEFT(SUBSTITUTE(SUBSTITUTE(SUBSTITUTE(SUBSTITUTE(TRIM($W1113),"-",""),".",""),"/","")," ",""),8),5,2),--MID(LEFT(SUBSTITUTE(SUBSTITUTE(SUBSTITUTE(SUBSTITUTE(TRIM($W1113),"-",""),".",""),"/","")," ",""),8),7,2)),"")))</f>
        <v/>
      </c>
      <c r="Y1113" s="32">
        <f>IF($X1113="","",INT($X1113))</f>
        <v/>
      </c>
      <c r="Z1113" s="33">
        <f>IF(OR($Y1113="",$D$6=""),"",IF(INDEX($A:$U,ROW(),$D$6)="",0,IF(ISNUMBER(INDEX($A:$U,ROW(),$D$6)),INDEX($A:$U,ROW(),$D$6),IFERROR(--SUBSTITUTE(SUBSTITUTE(TRIM(INDEX($A:$U,ROW(),$D$6)),",",""),"원",""),0))))</f>
        <v/>
      </c>
      <c r="AA1113" s="31">
        <f>IF($Y1113="","",TRIM(INDEX($A:$U,ROW(),$E$6)&amp;IF($F$6="",""," "&amp;INDEX($A:$U,ROW(),$F$6))))</f>
        <v/>
      </c>
      <c r="AB1113" s="31">
        <f>IF($AA1113="","",SUBSTITUTE(SUBSTITUTE(SUBSTITUTE(SUBSTITUTE(SUBSTITUTE(SUBSTITUTE(SUBSTITUTE(SUBSTITUTE(SUBSTITUTE($AA1113," ",""),"　",""),"(주)",""),"（주）",""),"㈜",""),"주식회사",""),"(유)",""),"（유）",""),"유한회사",""))</f>
        <v/>
      </c>
      <c r="AC1113" s="31">
        <f>IF(OR($Y1113="",N($Z1113)&lt;=0,$AB1113=""),0,IFERROR(LOOKUP(2,1/((거래처별!$AC$8:$AC$307&lt;&gt;"")*ISNUMBER(SEARCH(거래처별!$AC$8:$AC$307,$AB1113))),거래처별!$A$8:$A$307),IFERROR(LOOKUP(2,1/((거래처별!$AD$8:$AD$307&lt;&gt;"")*ISNUMBER(SEARCH(거래처별!$AD$8:$AD$307,$AB1113))),거래처별!$A$8:$A$307),IFERROR(LOOKUP(2,1/((거래처별!$AE$8:$AE$307&lt;&gt;"")*ISNUMBER(SEARCH(거래처별!$AE$8:$AE$307,$AB1113))),거래처별!$A$8:$A$307),0))))</f>
        <v/>
      </c>
      <c r="AD1113" s="31">
        <f>IF(AND($Y1113&lt;&gt;"",N($Z1113)&gt;0,$AC1113=0),MAX($AD$7:$AD1112)+1,"")</f>
        <v/>
      </c>
      <c r="AE1113" s="31">
        <f>IF($Y1113="",0,$Y1113)</f>
        <v/>
      </c>
    </row>
    <row r="1114">
      <c r="W1114" s="31">
        <f>IF(OR($B$5="",$C$6="",ROW()&lt;$B$5),"",IF(INDEX($A:$U,ROW(),$C$6)="","",INDEX($A:$U,ROW(),$C$6)))</f>
        <v/>
      </c>
      <c r="X1114" s="32">
        <f>IF($W1114="","",IF(ISNUMBER($W1114),IF($W1114&gt;=10000000,IFERROR(DATE(INT($W1114/10000),MOD(INT($W1114/100),100),MOD($W1114,100)),""),INT($W1114)),IFERROR(DATE(--LEFT(LEFT(SUBSTITUTE(SUBSTITUTE(SUBSTITUTE(SUBSTITUTE(TRIM($W1114),"-",""),".",""),"/","")," ",""),8),4),--MID(LEFT(SUBSTITUTE(SUBSTITUTE(SUBSTITUTE(SUBSTITUTE(TRIM($W1114),"-",""),".",""),"/","")," ",""),8),5,2),--MID(LEFT(SUBSTITUTE(SUBSTITUTE(SUBSTITUTE(SUBSTITUTE(TRIM($W1114),"-",""),".",""),"/","")," ",""),8),7,2)),"")))</f>
        <v/>
      </c>
      <c r="Y1114" s="32">
        <f>IF($X1114="","",INT($X1114))</f>
        <v/>
      </c>
      <c r="Z1114" s="33">
        <f>IF(OR($Y1114="",$D$6=""),"",IF(INDEX($A:$U,ROW(),$D$6)="",0,IF(ISNUMBER(INDEX($A:$U,ROW(),$D$6)),INDEX($A:$U,ROW(),$D$6),IFERROR(--SUBSTITUTE(SUBSTITUTE(TRIM(INDEX($A:$U,ROW(),$D$6)),",",""),"원",""),0))))</f>
        <v/>
      </c>
      <c r="AA1114" s="31">
        <f>IF($Y1114="","",TRIM(INDEX($A:$U,ROW(),$E$6)&amp;IF($F$6="",""," "&amp;INDEX($A:$U,ROW(),$F$6))))</f>
        <v/>
      </c>
      <c r="AB1114" s="31">
        <f>IF($AA1114="","",SUBSTITUTE(SUBSTITUTE(SUBSTITUTE(SUBSTITUTE(SUBSTITUTE(SUBSTITUTE(SUBSTITUTE(SUBSTITUTE(SUBSTITUTE($AA1114," ",""),"　",""),"(주)",""),"（주）",""),"㈜",""),"주식회사",""),"(유)",""),"（유）",""),"유한회사",""))</f>
        <v/>
      </c>
      <c r="AC1114" s="31">
        <f>IF(OR($Y1114="",N($Z1114)&lt;=0,$AB1114=""),0,IFERROR(LOOKUP(2,1/((거래처별!$AC$8:$AC$307&lt;&gt;"")*ISNUMBER(SEARCH(거래처별!$AC$8:$AC$307,$AB1114))),거래처별!$A$8:$A$307),IFERROR(LOOKUP(2,1/((거래처별!$AD$8:$AD$307&lt;&gt;"")*ISNUMBER(SEARCH(거래처별!$AD$8:$AD$307,$AB1114))),거래처별!$A$8:$A$307),IFERROR(LOOKUP(2,1/((거래처별!$AE$8:$AE$307&lt;&gt;"")*ISNUMBER(SEARCH(거래처별!$AE$8:$AE$307,$AB1114))),거래처별!$A$8:$A$307),0))))</f>
        <v/>
      </c>
      <c r="AD1114" s="31">
        <f>IF(AND($Y1114&lt;&gt;"",N($Z1114)&gt;0,$AC1114=0),MAX($AD$7:$AD1113)+1,"")</f>
        <v/>
      </c>
      <c r="AE1114" s="31">
        <f>IF($Y1114="",0,$Y1114)</f>
        <v/>
      </c>
    </row>
    <row r="1115">
      <c r="W1115" s="31">
        <f>IF(OR($B$5="",$C$6="",ROW()&lt;$B$5),"",IF(INDEX($A:$U,ROW(),$C$6)="","",INDEX($A:$U,ROW(),$C$6)))</f>
        <v/>
      </c>
      <c r="X1115" s="32">
        <f>IF($W1115="","",IF(ISNUMBER($W1115),IF($W1115&gt;=10000000,IFERROR(DATE(INT($W1115/10000),MOD(INT($W1115/100),100),MOD($W1115,100)),""),INT($W1115)),IFERROR(DATE(--LEFT(LEFT(SUBSTITUTE(SUBSTITUTE(SUBSTITUTE(SUBSTITUTE(TRIM($W1115),"-",""),".",""),"/","")," ",""),8),4),--MID(LEFT(SUBSTITUTE(SUBSTITUTE(SUBSTITUTE(SUBSTITUTE(TRIM($W1115),"-",""),".",""),"/","")," ",""),8),5,2),--MID(LEFT(SUBSTITUTE(SUBSTITUTE(SUBSTITUTE(SUBSTITUTE(TRIM($W1115),"-",""),".",""),"/","")," ",""),8),7,2)),"")))</f>
        <v/>
      </c>
      <c r="Y1115" s="32">
        <f>IF($X1115="","",INT($X1115))</f>
        <v/>
      </c>
      <c r="Z1115" s="33">
        <f>IF(OR($Y1115="",$D$6=""),"",IF(INDEX($A:$U,ROW(),$D$6)="",0,IF(ISNUMBER(INDEX($A:$U,ROW(),$D$6)),INDEX($A:$U,ROW(),$D$6),IFERROR(--SUBSTITUTE(SUBSTITUTE(TRIM(INDEX($A:$U,ROW(),$D$6)),",",""),"원",""),0))))</f>
        <v/>
      </c>
      <c r="AA1115" s="31">
        <f>IF($Y1115="","",TRIM(INDEX($A:$U,ROW(),$E$6)&amp;IF($F$6="",""," "&amp;INDEX($A:$U,ROW(),$F$6))))</f>
        <v/>
      </c>
      <c r="AB1115" s="31">
        <f>IF($AA1115="","",SUBSTITUTE(SUBSTITUTE(SUBSTITUTE(SUBSTITUTE(SUBSTITUTE(SUBSTITUTE(SUBSTITUTE(SUBSTITUTE(SUBSTITUTE($AA1115," ",""),"　",""),"(주)",""),"（주）",""),"㈜",""),"주식회사",""),"(유)",""),"（유）",""),"유한회사",""))</f>
        <v/>
      </c>
      <c r="AC1115" s="31">
        <f>IF(OR($Y1115="",N($Z1115)&lt;=0,$AB1115=""),0,IFERROR(LOOKUP(2,1/((거래처별!$AC$8:$AC$307&lt;&gt;"")*ISNUMBER(SEARCH(거래처별!$AC$8:$AC$307,$AB1115))),거래처별!$A$8:$A$307),IFERROR(LOOKUP(2,1/((거래처별!$AD$8:$AD$307&lt;&gt;"")*ISNUMBER(SEARCH(거래처별!$AD$8:$AD$307,$AB1115))),거래처별!$A$8:$A$307),IFERROR(LOOKUP(2,1/((거래처별!$AE$8:$AE$307&lt;&gt;"")*ISNUMBER(SEARCH(거래처별!$AE$8:$AE$307,$AB1115))),거래처별!$A$8:$A$307),0))))</f>
        <v/>
      </c>
      <c r="AD1115" s="31">
        <f>IF(AND($Y1115&lt;&gt;"",N($Z1115)&gt;0,$AC1115=0),MAX($AD$7:$AD1114)+1,"")</f>
        <v/>
      </c>
      <c r="AE1115" s="31">
        <f>IF($Y1115="",0,$Y1115)</f>
        <v/>
      </c>
    </row>
    <row r="1116">
      <c r="W1116" s="31">
        <f>IF(OR($B$5="",$C$6="",ROW()&lt;$B$5),"",IF(INDEX($A:$U,ROW(),$C$6)="","",INDEX($A:$U,ROW(),$C$6)))</f>
        <v/>
      </c>
      <c r="X1116" s="32">
        <f>IF($W1116="","",IF(ISNUMBER($W1116),IF($W1116&gt;=10000000,IFERROR(DATE(INT($W1116/10000),MOD(INT($W1116/100),100),MOD($W1116,100)),""),INT($W1116)),IFERROR(DATE(--LEFT(LEFT(SUBSTITUTE(SUBSTITUTE(SUBSTITUTE(SUBSTITUTE(TRIM($W1116),"-",""),".",""),"/","")," ",""),8),4),--MID(LEFT(SUBSTITUTE(SUBSTITUTE(SUBSTITUTE(SUBSTITUTE(TRIM($W1116),"-",""),".",""),"/","")," ",""),8),5,2),--MID(LEFT(SUBSTITUTE(SUBSTITUTE(SUBSTITUTE(SUBSTITUTE(TRIM($W1116),"-",""),".",""),"/","")," ",""),8),7,2)),"")))</f>
        <v/>
      </c>
      <c r="Y1116" s="32">
        <f>IF($X1116="","",INT($X1116))</f>
        <v/>
      </c>
      <c r="Z1116" s="33">
        <f>IF(OR($Y1116="",$D$6=""),"",IF(INDEX($A:$U,ROW(),$D$6)="",0,IF(ISNUMBER(INDEX($A:$U,ROW(),$D$6)),INDEX($A:$U,ROW(),$D$6),IFERROR(--SUBSTITUTE(SUBSTITUTE(TRIM(INDEX($A:$U,ROW(),$D$6)),",",""),"원",""),0))))</f>
        <v/>
      </c>
      <c r="AA1116" s="31">
        <f>IF($Y1116="","",TRIM(INDEX($A:$U,ROW(),$E$6)&amp;IF($F$6="",""," "&amp;INDEX($A:$U,ROW(),$F$6))))</f>
        <v/>
      </c>
      <c r="AB1116" s="31">
        <f>IF($AA1116="","",SUBSTITUTE(SUBSTITUTE(SUBSTITUTE(SUBSTITUTE(SUBSTITUTE(SUBSTITUTE(SUBSTITUTE(SUBSTITUTE(SUBSTITUTE($AA1116," ",""),"　",""),"(주)",""),"（주）",""),"㈜",""),"주식회사",""),"(유)",""),"（유）",""),"유한회사",""))</f>
        <v/>
      </c>
      <c r="AC1116" s="31">
        <f>IF(OR($Y1116="",N($Z1116)&lt;=0,$AB1116=""),0,IFERROR(LOOKUP(2,1/((거래처별!$AC$8:$AC$307&lt;&gt;"")*ISNUMBER(SEARCH(거래처별!$AC$8:$AC$307,$AB1116))),거래처별!$A$8:$A$307),IFERROR(LOOKUP(2,1/((거래처별!$AD$8:$AD$307&lt;&gt;"")*ISNUMBER(SEARCH(거래처별!$AD$8:$AD$307,$AB1116))),거래처별!$A$8:$A$307),IFERROR(LOOKUP(2,1/((거래처별!$AE$8:$AE$307&lt;&gt;"")*ISNUMBER(SEARCH(거래처별!$AE$8:$AE$307,$AB1116))),거래처별!$A$8:$A$307),0))))</f>
        <v/>
      </c>
      <c r="AD1116" s="31">
        <f>IF(AND($Y1116&lt;&gt;"",N($Z1116)&gt;0,$AC1116=0),MAX($AD$7:$AD1115)+1,"")</f>
        <v/>
      </c>
      <c r="AE1116" s="31">
        <f>IF($Y1116="",0,$Y1116)</f>
        <v/>
      </c>
    </row>
    <row r="1117">
      <c r="W1117" s="31">
        <f>IF(OR($B$5="",$C$6="",ROW()&lt;$B$5),"",IF(INDEX($A:$U,ROW(),$C$6)="","",INDEX($A:$U,ROW(),$C$6)))</f>
        <v/>
      </c>
      <c r="X1117" s="32">
        <f>IF($W1117="","",IF(ISNUMBER($W1117),IF($W1117&gt;=10000000,IFERROR(DATE(INT($W1117/10000),MOD(INT($W1117/100),100),MOD($W1117,100)),""),INT($W1117)),IFERROR(DATE(--LEFT(LEFT(SUBSTITUTE(SUBSTITUTE(SUBSTITUTE(SUBSTITUTE(TRIM($W1117),"-",""),".",""),"/","")," ",""),8),4),--MID(LEFT(SUBSTITUTE(SUBSTITUTE(SUBSTITUTE(SUBSTITUTE(TRIM($W1117),"-",""),".",""),"/","")," ",""),8),5,2),--MID(LEFT(SUBSTITUTE(SUBSTITUTE(SUBSTITUTE(SUBSTITUTE(TRIM($W1117),"-",""),".",""),"/","")," ",""),8),7,2)),"")))</f>
        <v/>
      </c>
      <c r="Y1117" s="32">
        <f>IF($X1117="","",INT($X1117))</f>
        <v/>
      </c>
      <c r="Z1117" s="33">
        <f>IF(OR($Y1117="",$D$6=""),"",IF(INDEX($A:$U,ROW(),$D$6)="",0,IF(ISNUMBER(INDEX($A:$U,ROW(),$D$6)),INDEX($A:$U,ROW(),$D$6),IFERROR(--SUBSTITUTE(SUBSTITUTE(TRIM(INDEX($A:$U,ROW(),$D$6)),",",""),"원",""),0))))</f>
        <v/>
      </c>
      <c r="AA1117" s="31">
        <f>IF($Y1117="","",TRIM(INDEX($A:$U,ROW(),$E$6)&amp;IF($F$6="",""," "&amp;INDEX($A:$U,ROW(),$F$6))))</f>
        <v/>
      </c>
      <c r="AB1117" s="31">
        <f>IF($AA1117="","",SUBSTITUTE(SUBSTITUTE(SUBSTITUTE(SUBSTITUTE(SUBSTITUTE(SUBSTITUTE(SUBSTITUTE(SUBSTITUTE(SUBSTITUTE($AA1117," ",""),"　",""),"(주)",""),"（주）",""),"㈜",""),"주식회사",""),"(유)",""),"（유）",""),"유한회사",""))</f>
        <v/>
      </c>
      <c r="AC1117" s="31">
        <f>IF(OR($Y1117="",N($Z1117)&lt;=0,$AB1117=""),0,IFERROR(LOOKUP(2,1/((거래처별!$AC$8:$AC$307&lt;&gt;"")*ISNUMBER(SEARCH(거래처별!$AC$8:$AC$307,$AB1117))),거래처별!$A$8:$A$307),IFERROR(LOOKUP(2,1/((거래처별!$AD$8:$AD$307&lt;&gt;"")*ISNUMBER(SEARCH(거래처별!$AD$8:$AD$307,$AB1117))),거래처별!$A$8:$A$307),IFERROR(LOOKUP(2,1/((거래처별!$AE$8:$AE$307&lt;&gt;"")*ISNUMBER(SEARCH(거래처별!$AE$8:$AE$307,$AB1117))),거래처별!$A$8:$A$307),0))))</f>
        <v/>
      </c>
      <c r="AD1117" s="31">
        <f>IF(AND($Y1117&lt;&gt;"",N($Z1117)&gt;0,$AC1117=0),MAX($AD$7:$AD1116)+1,"")</f>
        <v/>
      </c>
      <c r="AE1117" s="31">
        <f>IF($Y1117="",0,$Y1117)</f>
        <v/>
      </c>
    </row>
    <row r="1118">
      <c r="W1118" s="31">
        <f>IF(OR($B$5="",$C$6="",ROW()&lt;$B$5),"",IF(INDEX($A:$U,ROW(),$C$6)="","",INDEX($A:$U,ROW(),$C$6)))</f>
        <v/>
      </c>
      <c r="X1118" s="32">
        <f>IF($W1118="","",IF(ISNUMBER($W1118),IF($W1118&gt;=10000000,IFERROR(DATE(INT($W1118/10000),MOD(INT($W1118/100),100),MOD($W1118,100)),""),INT($W1118)),IFERROR(DATE(--LEFT(LEFT(SUBSTITUTE(SUBSTITUTE(SUBSTITUTE(SUBSTITUTE(TRIM($W1118),"-",""),".",""),"/","")," ",""),8),4),--MID(LEFT(SUBSTITUTE(SUBSTITUTE(SUBSTITUTE(SUBSTITUTE(TRIM($W1118),"-",""),".",""),"/","")," ",""),8),5,2),--MID(LEFT(SUBSTITUTE(SUBSTITUTE(SUBSTITUTE(SUBSTITUTE(TRIM($W1118),"-",""),".",""),"/","")," ",""),8),7,2)),"")))</f>
        <v/>
      </c>
      <c r="Y1118" s="32">
        <f>IF($X1118="","",INT($X1118))</f>
        <v/>
      </c>
      <c r="Z1118" s="33">
        <f>IF(OR($Y1118="",$D$6=""),"",IF(INDEX($A:$U,ROW(),$D$6)="",0,IF(ISNUMBER(INDEX($A:$U,ROW(),$D$6)),INDEX($A:$U,ROW(),$D$6),IFERROR(--SUBSTITUTE(SUBSTITUTE(TRIM(INDEX($A:$U,ROW(),$D$6)),",",""),"원",""),0))))</f>
        <v/>
      </c>
      <c r="AA1118" s="31">
        <f>IF($Y1118="","",TRIM(INDEX($A:$U,ROW(),$E$6)&amp;IF($F$6="",""," "&amp;INDEX($A:$U,ROW(),$F$6))))</f>
        <v/>
      </c>
      <c r="AB1118" s="31">
        <f>IF($AA1118="","",SUBSTITUTE(SUBSTITUTE(SUBSTITUTE(SUBSTITUTE(SUBSTITUTE(SUBSTITUTE(SUBSTITUTE(SUBSTITUTE(SUBSTITUTE($AA1118," ",""),"　",""),"(주)",""),"（주）",""),"㈜",""),"주식회사",""),"(유)",""),"（유）",""),"유한회사",""))</f>
        <v/>
      </c>
      <c r="AC1118" s="31">
        <f>IF(OR($Y1118="",N($Z1118)&lt;=0,$AB1118=""),0,IFERROR(LOOKUP(2,1/((거래처별!$AC$8:$AC$307&lt;&gt;"")*ISNUMBER(SEARCH(거래처별!$AC$8:$AC$307,$AB1118))),거래처별!$A$8:$A$307),IFERROR(LOOKUP(2,1/((거래처별!$AD$8:$AD$307&lt;&gt;"")*ISNUMBER(SEARCH(거래처별!$AD$8:$AD$307,$AB1118))),거래처별!$A$8:$A$307),IFERROR(LOOKUP(2,1/((거래처별!$AE$8:$AE$307&lt;&gt;"")*ISNUMBER(SEARCH(거래처별!$AE$8:$AE$307,$AB1118))),거래처별!$A$8:$A$307),0))))</f>
        <v/>
      </c>
      <c r="AD1118" s="31">
        <f>IF(AND($Y1118&lt;&gt;"",N($Z1118)&gt;0,$AC1118=0),MAX($AD$7:$AD1117)+1,"")</f>
        <v/>
      </c>
      <c r="AE1118" s="31">
        <f>IF($Y1118="",0,$Y1118)</f>
        <v/>
      </c>
    </row>
    <row r="1119">
      <c r="W1119" s="31">
        <f>IF(OR($B$5="",$C$6="",ROW()&lt;$B$5),"",IF(INDEX($A:$U,ROW(),$C$6)="","",INDEX($A:$U,ROW(),$C$6)))</f>
        <v/>
      </c>
      <c r="X1119" s="32">
        <f>IF($W1119="","",IF(ISNUMBER($W1119),IF($W1119&gt;=10000000,IFERROR(DATE(INT($W1119/10000),MOD(INT($W1119/100),100),MOD($W1119,100)),""),INT($W1119)),IFERROR(DATE(--LEFT(LEFT(SUBSTITUTE(SUBSTITUTE(SUBSTITUTE(SUBSTITUTE(TRIM($W1119),"-",""),".",""),"/","")," ",""),8),4),--MID(LEFT(SUBSTITUTE(SUBSTITUTE(SUBSTITUTE(SUBSTITUTE(TRIM($W1119),"-",""),".",""),"/","")," ",""),8),5,2),--MID(LEFT(SUBSTITUTE(SUBSTITUTE(SUBSTITUTE(SUBSTITUTE(TRIM($W1119),"-",""),".",""),"/","")," ",""),8),7,2)),"")))</f>
        <v/>
      </c>
      <c r="Y1119" s="32">
        <f>IF($X1119="","",INT($X1119))</f>
        <v/>
      </c>
      <c r="Z1119" s="33">
        <f>IF(OR($Y1119="",$D$6=""),"",IF(INDEX($A:$U,ROW(),$D$6)="",0,IF(ISNUMBER(INDEX($A:$U,ROW(),$D$6)),INDEX($A:$U,ROW(),$D$6),IFERROR(--SUBSTITUTE(SUBSTITUTE(TRIM(INDEX($A:$U,ROW(),$D$6)),",",""),"원",""),0))))</f>
        <v/>
      </c>
      <c r="AA1119" s="31">
        <f>IF($Y1119="","",TRIM(INDEX($A:$U,ROW(),$E$6)&amp;IF($F$6="",""," "&amp;INDEX($A:$U,ROW(),$F$6))))</f>
        <v/>
      </c>
      <c r="AB1119" s="31">
        <f>IF($AA1119="","",SUBSTITUTE(SUBSTITUTE(SUBSTITUTE(SUBSTITUTE(SUBSTITUTE(SUBSTITUTE(SUBSTITUTE(SUBSTITUTE(SUBSTITUTE($AA1119," ",""),"　",""),"(주)",""),"（주）",""),"㈜",""),"주식회사",""),"(유)",""),"（유）",""),"유한회사",""))</f>
        <v/>
      </c>
      <c r="AC1119" s="31">
        <f>IF(OR($Y1119="",N($Z1119)&lt;=0,$AB1119=""),0,IFERROR(LOOKUP(2,1/((거래처별!$AC$8:$AC$307&lt;&gt;"")*ISNUMBER(SEARCH(거래처별!$AC$8:$AC$307,$AB1119))),거래처별!$A$8:$A$307),IFERROR(LOOKUP(2,1/((거래처별!$AD$8:$AD$307&lt;&gt;"")*ISNUMBER(SEARCH(거래처별!$AD$8:$AD$307,$AB1119))),거래처별!$A$8:$A$307),IFERROR(LOOKUP(2,1/((거래처별!$AE$8:$AE$307&lt;&gt;"")*ISNUMBER(SEARCH(거래처별!$AE$8:$AE$307,$AB1119))),거래처별!$A$8:$A$307),0))))</f>
        <v/>
      </c>
      <c r="AD1119" s="31">
        <f>IF(AND($Y1119&lt;&gt;"",N($Z1119)&gt;0,$AC1119=0),MAX($AD$7:$AD1118)+1,"")</f>
        <v/>
      </c>
      <c r="AE1119" s="31">
        <f>IF($Y1119="",0,$Y1119)</f>
        <v/>
      </c>
    </row>
    <row r="1120">
      <c r="W1120" s="31">
        <f>IF(OR($B$5="",$C$6="",ROW()&lt;$B$5),"",IF(INDEX($A:$U,ROW(),$C$6)="","",INDEX($A:$U,ROW(),$C$6)))</f>
        <v/>
      </c>
      <c r="X1120" s="32">
        <f>IF($W1120="","",IF(ISNUMBER($W1120),IF($W1120&gt;=10000000,IFERROR(DATE(INT($W1120/10000),MOD(INT($W1120/100),100),MOD($W1120,100)),""),INT($W1120)),IFERROR(DATE(--LEFT(LEFT(SUBSTITUTE(SUBSTITUTE(SUBSTITUTE(SUBSTITUTE(TRIM($W1120),"-",""),".",""),"/","")," ",""),8),4),--MID(LEFT(SUBSTITUTE(SUBSTITUTE(SUBSTITUTE(SUBSTITUTE(TRIM($W1120),"-",""),".",""),"/","")," ",""),8),5,2),--MID(LEFT(SUBSTITUTE(SUBSTITUTE(SUBSTITUTE(SUBSTITUTE(TRIM($W1120),"-",""),".",""),"/","")," ",""),8),7,2)),"")))</f>
        <v/>
      </c>
      <c r="Y1120" s="32">
        <f>IF($X1120="","",INT($X1120))</f>
        <v/>
      </c>
      <c r="Z1120" s="33">
        <f>IF(OR($Y1120="",$D$6=""),"",IF(INDEX($A:$U,ROW(),$D$6)="",0,IF(ISNUMBER(INDEX($A:$U,ROW(),$D$6)),INDEX($A:$U,ROW(),$D$6),IFERROR(--SUBSTITUTE(SUBSTITUTE(TRIM(INDEX($A:$U,ROW(),$D$6)),",",""),"원",""),0))))</f>
        <v/>
      </c>
      <c r="AA1120" s="31">
        <f>IF($Y1120="","",TRIM(INDEX($A:$U,ROW(),$E$6)&amp;IF($F$6="",""," "&amp;INDEX($A:$U,ROW(),$F$6))))</f>
        <v/>
      </c>
      <c r="AB1120" s="31">
        <f>IF($AA1120="","",SUBSTITUTE(SUBSTITUTE(SUBSTITUTE(SUBSTITUTE(SUBSTITUTE(SUBSTITUTE(SUBSTITUTE(SUBSTITUTE(SUBSTITUTE($AA1120," ",""),"　",""),"(주)",""),"（주）",""),"㈜",""),"주식회사",""),"(유)",""),"（유）",""),"유한회사",""))</f>
        <v/>
      </c>
      <c r="AC1120" s="31">
        <f>IF(OR($Y1120="",N($Z1120)&lt;=0,$AB1120=""),0,IFERROR(LOOKUP(2,1/((거래처별!$AC$8:$AC$307&lt;&gt;"")*ISNUMBER(SEARCH(거래처별!$AC$8:$AC$307,$AB1120))),거래처별!$A$8:$A$307),IFERROR(LOOKUP(2,1/((거래처별!$AD$8:$AD$307&lt;&gt;"")*ISNUMBER(SEARCH(거래처별!$AD$8:$AD$307,$AB1120))),거래처별!$A$8:$A$307),IFERROR(LOOKUP(2,1/((거래처별!$AE$8:$AE$307&lt;&gt;"")*ISNUMBER(SEARCH(거래처별!$AE$8:$AE$307,$AB1120))),거래처별!$A$8:$A$307),0))))</f>
        <v/>
      </c>
      <c r="AD1120" s="31">
        <f>IF(AND($Y1120&lt;&gt;"",N($Z1120)&gt;0,$AC1120=0),MAX($AD$7:$AD1119)+1,"")</f>
        <v/>
      </c>
      <c r="AE1120" s="31">
        <f>IF($Y1120="",0,$Y1120)</f>
        <v/>
      </c>
    </row>
    <row r="1121">
      <c r="W1121" s="31">
        <f>IF(OR($B$5="",$C$6="",ROW()&lt;$B$5),"",IF(INDEX($A:$U,ROW(),$C$6)="","",INDEX($A:$U,ROW(),$C$6)))</f>
        <v/>
      </c>
      <c r="X1121" s="32">
        <f>IF($W1121="","",IF(ISNUMBER($W1121),IF($W1121&gt;=10000000,IFERROR(DATE(INT($W1121/10000),MOD(INT($W1121/100),100),MOD($W1121,100)),""),INT($W1121)),IFERROR(DATE(--LEFT(LEFT(SUBSTITUTE(SUBSTITUTE(SUBSTITUTE(SUBSTITUTE(TRIM($W1121),"-",""),".",""),"/","")," ",""),8),4),--MID(LEFT(SUBSTITUTE(SUBSTITUTE(SUBSTITUTE(SUBSTITUTE(TRIM($W1121),"-",""),".",""),"/","")," ",""),8),5,2),--MID(LEFT(SUBSTITUTE(SUBSTITUTE(SUBSTITUTE(SUBSTITUTE(TRIM($W1121),"-",""),".",""),"/","")," ",""),8),7,2)),"")))</f>
        <v/>
      </c>
      <c r="Y1121" s="32">
        <f>IF($X1121="","",INT($X1121))</f>
        <v/>
      </c>
      <c r="Z1121" s="33">
        <f>IF(OR($Y1121="",$D$6=""),"",IF(INDEX($A:$U,ROW(),$D$6)="",0,IF(ISNUMBER(INDEX($A:$U,ROW(),$D$6)),INDEX($A:$U,ROW(),$D$6),IFERROR(--SUBSTITUTE(SUBSTITUTE(TRIM(INDEX($A:$U,ROW(),$D$6)),",",""),"원",""),0))))</f>
        <v/>
      </c>
      <c r="AA1121" s="31">
        <f>IF($Y1121="","",TRIM(INDEX($A:$U,ROW(),$E$6)&amp;IF($F$6="",""," "&amp;INDEX($A:$U,ROW(),$F$6))))</f>
        <v/>
      </c>
      <c r="AB1121" s="31">
        <f>IF($AA1121="","",SUBSTITUTE(SUBSTITUTE(SUBSTITUTE(SUBSTITUTE(SUBSTITUTE(SUBSTITUTE(SUBSTITUTE(SUBSTITUTE(SUBSTITUTE($AA1121," ",""),"　",""),"(주)",""),"（주）",""),"㈜",""),"주식회사",""),"(유)",""),"（유）",""),"유한회사",""))</f>
        <v/>
      </c>
      <c r="AC1121" s="31">
        <f>IF(OR($Y1121="",N($Z1121)&lt;=0,$AB1121=""),0,IFERROR(LOOKUP(2,1/((거래처별!$AC$8:$AC$307&lt;&gt;"")*ISNUMBER(SEARCH(거래처별!$AC$8:$AC$307,$AB1121))),거래처별!$A$8:$A$307),IFERROR(LOOKUP(2,1/((거래처별!$AD$8:$AD$307&lt;&gt;"")*ISNUMBER(SEARCH(거래처별!$AD$8:$AD$307,$AB1121))),거래처별!$A$8:$A$307),IFERROR(LOOKUP(2,1/((거래처별!$AE$8:$AE$307&lt;&gt;"")*ISNUMBER(SEARCH(거래처별!$AE$8:$AE$307,$AB1121))),거래처별!$A$8:$A$307),0))))</f>
        <v/>
      </c>
      <c r="AD1121" s="31">
        <f>IF(AND($Y1121&lt;&gt;"",N($Z1121)&gt;0,$AC1121=0),MAX($AD$7:$AD1120)+1,"")</f>
        <v/>
      </c>
      <c r="AE1121" s="31">
        <f>IF($Y1121="",0,$Y1121)</f>
        <v/>
      </c>
    </row>
    <row r="1122">
      <c r="W1122" s="31">
        <f>IF(OR($B$5="",$C$6="",ROW()&lt;$B$5),"",IF(INDEX($A:$U,ROW(),$C$6)="","",INDEX($A:$U,ROW(),$C$6)))</f>
        <v/>
      </c>
      <c r="X1122" s="32">
        <f>IF($W1122="","",IF(ISNUMBER($W1122),IF($W1122&gt;=10000000,IFERROR(DATE(INT($W1122/10000),MOD(INT($W1122/100),100),MOD($W1122,100)),""),INT($W1122)),IFERROR(DATE(--LEFT(LEFT(SUBSTITUTE(SUBSTITUTE(SUBSTITUTE(SUBSTITUTE(TRIM($W1122),"-",""),".",""),"/","")," ",""),8),4),--MID(LEFT(SUBSTITUTE(SUBSTITUTE(SUBSTITUTE(SUBSTITUTE(TRIM($W1122),"-",""),".",""),"/","")," ",""),8),5,2),--MID(LEFT(SUBSTITUTE(SUBSTITUTE(SUBSTITUTE(SUBSTITUTE(TRIM($W1122),"-",""),".",""),"/","")," ",""),8),7,2)),"")))</f>
        <v/>
      </c>
      <c r="Y1122" s="32">
        <f>IF($X1122="","",INT($X1122))</f>
        <v/>
      </c>
      <c r="Z1122" s="33">
        <f>IF(OR($Y1122="",$D$6=""),"",IF(INDEX($A:$U,ROW(),$D$6)="",0,IF(ISNUMBER(INDEX($A:$U,ROW(),$D$6)),INDEX($A:$U,ROW(),$D$6),IFERROR(--SUBSTITUTE(SUBSTITUTE(TRIM(INDEX($A:$U,ROW(),$D$6)),",",""),"원",""),0))))</f>
        <v/>
      </c>
      <c r="AA1122" s="31">
        <f>IF($Y1122="","",TRIM(INDEX($A:$U,ROW(),$E$6)&amp;IF($F$6="",""," "&amp;INDEX($A:$U,ROW(),$F$6))))</f>
        <v/>
      </c>
      <c r="AB1122" s="31">
        <f>IF($AA1122="","",SUBSTITUTE(SUBSTITUTE(SUBSTITUTE(SUBSTITUTE(SUBSTITUTE(SUBSTITUTE(SUBSTITUTE(SUBSTITUTE(SUBSTITUTE($AA1122," ",""),"　",""),"(주)",""),"（주）",""),"㈜",""),"주식회사",""),"(유)",""),"（유）",""),"유한회사",""))</f>
        <v/>
      </c>
      <c r="AC1122" s="31">
        <f>IF(OR($Y1122="",N($Z1122)&lt;=0,$AB1122=""),0,IFERROR(LOOKUP(2,1/((거래처별!$AC$8:$AC$307&lt;&gt;"")*ISNUMBER(SEARCH(거래처별!$AC$8:$AC$307,$AB1122))),거래처별!$A$8:$A$307),IFERROR(LOOKUP(2,1/((거래처별!$AD$8:$AD$307&lt;&gt;"")*ISNUMBER(SEARCH(거래처별!$AD$8:$AD$307,$AB1122))),거래처별!$A$8:$A$307),IFERROR(LOOKUP(2,1/((거래처별!$AE$8:$AE$307&lt;&gt;"")*ISNUMBER(SEARCH(거래처별!$AE$8:$AE$307,$AB1122))),거래처별!$A$8:$A$307),0))))</f>
        <v/>
      </c>
      <c r="AD1122" s="31">
        <f>IF(AND($Y1122&lt;&gt;"",N($Z1122)&gt;0,$AC1122=0),MAX($AD$7:$AD1121)+1,"")</f>
        <v/>
      </c>
      <c r="AE1122" s="31">
        <f>IF($Y1122="",0,$Y1122)</f>
        <v/>
      </c>
    </row>
    <row r="1123">
      <c r="W1123" s="31">
        <f>IF(OR($B$5="",$C$6="",ROW()&lt;$B$5),"",IF(INDEX($A:$U,ROW(),$C$6)="","",INDEX($A:$U,ROW(),$C$6)))</f>
        <v/>
      </c>
      <c r="X1123" s="32">
        <f>IF($W1123="","",IF(ISNUMBER($W1123),IF($W1123&gt;=10000000,IFERROR(DATE(INT($W1123/10000),MOD(INT($W1123/100),100),MOD($W1123,100)),""),INT($W1123)),IFERROR(DATE(--LEFT(LEFT(SUBSTITUTE(SUBSTITUTE(SUBSTITUTE(SUBSTITUTE(TRIM($W1123),"-",""),".",""),"/","")," ",""),8),4),--MID(LEFT(SUBSTITUTE(SUBSTITUTE(SUBSTITUTE(SUBSTITUTE(TRIM($W1123),"-",""),".",""),"/","")," ",""),8),5,2),--MID(LEFT(SUBSTITUTE(SUBSTITUTE(SUBSTITUTE(SUBSTITUTE(TRIM($W1123),"-",""),".",""),"/","")," ",""),8),7,2)),"")))</f>
        <v/>
      </c>
      <c r="Y1123" s="32">
        <f>IF($X1123="","",INT($X1123))</f>
        <v/>
      </c>
      <c r="Z1123" s="33">
        <f>IF(OR($Y1123="",$D$6=""),"",IF(INDEX($A:$U,ROW(),$D$6)="",0,IF(ISNUMBER(INDEX($A:$U,ROW(),$D$6)),INDEX($A:$U,ROW(),$D$6),IFERROR(--SUBSTITUTE(SUBSTITUTE(TRIM(INDEX($A:$U,ROW(),$D$6)),",",""),"원",""),0))))</f>
        <v/>
      </c>
      <c r="AA1123" s="31">
        <f>IF($Y1123="","",TRIM(INDEX($A:$U,ROW(),$E$6)&amp;IF($F$6="",""," "&amp;INDEX($A:$U,ROW(),$F$6))))</f>
        <v/>
      </c>
      <c r="AB1123" s="31">
        <f>IF($AA1123="","",SUBSTITUTE(SUBSTITUTE(SUBSTITUTE(SUBSTITUTE(SUBSTITUTE(SUBSTITUTE(SUBSTITUTE(SUBSTITUTE(SUBSTITUTE($AA1123," ",""),"　",""),"(주)",""),"（주）",""),"㈜",""),"주식회사",""),"(유)",""),"（유）",""),"유한회사",""))</f>
        <v/>
      </c>
      <c r="AC1123" s="31">
        <f>IF(OR($Y1123="",N($Z1123)&lt;=0,$AB1123=""),0,IFERROR(LOOKUP(2,1/((거래처별!$AC$8:$AC$307&lt;&gt;"")*ISNUMBER(SEARCH(거래처별!$AC$8:$AC$307,$AB1123))),거래처별!$A$8:$A$307),IFERROR(LOOKUP(2,1/((거래처별!$AD$8:$AD$307&lt;&gt;"")*ISNUMBER(SEARCH(거래처별!$AD$8:$AD$307,$AB1123))),거래처별!$A$8:$A$307),IFERROR(LOOKUP(2,1/((거래처별!$AE$8:$AE$307&lt;&gt;"")*ISNUMBER(SEARCH(거래처별!$AE$8:$AE$307,$AB1123))),거래처별!$A$8:$A$307),0))))</f>
        <v/>
      </c>
      <c r="AD1123" s="31">
        <f>IF(AND($Y1123&lt;&gt;"",N($Z1123)&gt;0,$AC1123=0),MAX($AD$7:$AD1122)+1,"")</f>
        <v/>
      </c>
      <c r="AE1123" s="31">
        <f>IF($Y1123="",0,$Y1123)</f>
        <v/>
      </c>
    </row>
    <row r="1124">
      <c r="W1124" s="31">
        <f>IF(OR($B$5="",$C$6="",ROW()&lt;$B$5),"",IF(INDEX($A:$U,ROW(),$C$6)="","",INDEX($A:$U,ROW(),$C$6)))</f>
        <v/>
      </c>
      <c r="X1124" s="32">
        <f>IF($W1124="","",IF(ISNUMBER($W1124),IF($W1124&gt;=10000000,IFERROR(DATE(INT($W1124/10000),MOD(INT($W1124/100),100),MOD($W1124,100)),""),INT($W1124)),IFERROR(DATE(--LEFT(LEFT(SUBSTITUTE(SUBSTITUTE(SUBSTITUTE(SUBSTITUTE(TRIM($W1124),"-",""),".",""),"/","")," ",""),8),4),--MID(LEFT(SUBSTITUTE(SUBSTITUTE(SUBSTITUTE(SUBSTITUTE(TRIM($W1124),"-",""),".",""),"/","")," ",""),8),5,2),--MID(LEFT(SUBSTITUTE(SUBSTITUTE(SUBSTITUTE(SUBSTITUTE(TRIM($W1124),"-",""),".",""),"/","")," ",""),8),7,2)),"")))</f>
        <v/>
      </c>
      <c r="Y1124" s="32">
        <f>IF($X1124="","",INT($X1124))</f>
        <v/>
      </c>
      <c r="Z1124" s="33">
        <f>IF(OR($Y1124="",$D$6=""),"",IF(INDEX($A:$U,ROW(),$D$6)="",0,IF(ISNUMBER(INDEX($A:$U,ROW(),$D$6)),INDEX($A:$U,ROW(),$D$6),IFERROR(--SUBSTITUTE(SUBSTITUTE(TRIM(INDEX($A:$U,ROW(),$D$6)),",",""),"원",""),0))))</f>
        <v/>
      </c>
      <c r="AA1124" s="31">
        <f>IF($Y1124="","",TRIM(INDEX($A:$U,ROW(),$E$6)&amp;IF($F$6="",""," "&amp;INDEX($A:$U,ROW(),$F$6))))</f>
        <v/>
      </c>
      <c r="AB1124" s="31">
        <f>IF($AA1124="","",SUBSTITUTE(SUBSTITUTE(SUBSTITUTE(SUBSTITUTE(SUBSTITUTE(SUBSTITUTE(SUBSTITUTE(SUBSTITUTE(SUBSTITUTE($AA1124," ",""),"　",""),"(주)",""),"（주）",""),"㈜",""),"주식회사",""),"(유)",""),"（유）",""),"유한회사",""))</f>
        <v/>
      </c>
      <c r="AC1124" s="31">
        <f>IF(OR($Y1124="",N($Z1124)&lt;=0,$AB1124=""),0,IFERROR(LOOKUP(2,1/((거래처별!$AC$8:$AC$307&lt;&gt;"")*ISNUMBER(SEARCH(거래처별!$AC$8:$AC$307,$AB1124))),거래처별!$A$8:$A$307),IFERROR(LOOKUP(2,1/((거래처별!$AD$8:$AD$307&lt;&gt;"")*ISNUMBER(SEARCH(거래처별!$AD$8:$AD$307,$AB1124))),거래처별!$A$8:$A$307),IFERROR(LOOKUP(2,1/((거래처별!$AE$8:$AE$307&lt;&gt;"")*ISNUMBER(SEARCH(거래처별!$AE$8:$AE$307,$AB1124))),거래처별!$A$8:$A$307),0))))</f>
        <v/>
      </c>
      <c r="AD1124" s="31">
        <f>IF(AND($Y1124&lt;&gt;"",N($Z1124)&gt;0,$AC1124=0),MAX($AD$7:$AD1123)+1,"")</f>
        <v/>
      </c>
      <c r="AE1124" s="31">
        <f>IF($Y1124="",0,$Y1124)</f>
        <v/>
      </c>
    </row>
    <row r="1125">
      <c r="W1125" s="31">
        <f>IF(OR($B$5="",$C$6="",ROW()&lt;$B$5),"",IF(INDEX($A:$U,ROW(),$C$6)="","",INDEX($A:$U,ROW(),$C$6)))</f>
        <v/>
      </c>
      <c r="X1125" s="32">
        <f>IF($W1125="","",IF(ISNUMBER($W1125),IF($W1125&gt;=10000000,IFERROR(DATE(INT($W1125/10000),MOD(INT($W1125/100),100),MOD($W1125,100)),""),INT($W1125)),IFERROR(DATE(--LEFT(LEFT(SUBSTITUTE(SUBSTITUTE(SUBSTITUTE(SUBSTITUTE(TRIM($W1125),"-",""),".",""),"/","")," ",""),8),4),--MID(LEFT(SUBSTITUTE(SUBSTITUTE(SUBSTITUTE(SUBSTITUTE(TRIM($W1125),"-",""),".",""),"/","")," ",""),8),5,2),--MID(LEFT(SUBSTITUTE(SUBSTITUTE(SUBSTITUTE(SUBSTITUTE(TRIM($W1125),"-",""),".",""),"/","")," ",""),8),7,2)),"")))</f>
        <v/>
      </c>
      <c r="Y1125" s="32">
        <f>IF($X1125="","",INT($X1125))</f>
        <v/>
      </c>
      <c r="Z1125" s="33">
        <f>IF(OR($Y1125="",$D$6=""),"",IF(INDEX($A:$U,ROW(),$D$6)="",0,IF(ISNUMBER(INDEX($A:$U,ROW(),$D$6)),INDEX($A:$U,ROW(),$D$6),IFERROR(--SUBSTITUTE(SUBSTITUTE(TRIM(INDEX($A:$U,ROW(),$D$6)),",",""),"원",""),0))))</f>
        <v/>
      </c>
      <c r="AA1125" s="31">
        <f>IF($Y1125="","",TRIM(INDEX($A:$U,ROW(),$E$6)&amp;IF($F$6="",""," "&amp;INDEX($A:$U,ROW(),$F$6))))</f>
        <v/>
      </c>
      <c r="AB1125" s="31">
        <f>IF($AA1125="","",SUBSTITUTE(SUBSTITUTE(SUBSTITUTE(SUBSTITUTE(SUBSTITUTE(SUBSTITUTE(SUBSTITUTE(SUBSTITUTE(SUBSTITUTE($AA1125," ",""),"　",""),"(주)",""),"（주）",""),"㈜",""),"주식회사",""),"(유)",""),"（유）",""),"유한회사",""))</f>
        <v/>
      </c>
      <c r="AC1125" s="31">
        <f>IF(OR($Y1125="",N($Z1125)&lt;=0,$AB1125=""),0,IFERROR(LOOKUP(2,1/((거래처별!$AC$8:$AC$307&lt;&gt;"")*ISNUMBER(SEARCH(거래처별!$AC$8:$AC$307,$AB1125))),거래처별!$A$8:$A$307),IFERROR(LOOKUP(2,1/((거래처별!$AD$8:$AD$307&lt;&gt;"")*ISNUMBER(SEARCH(거래처별!$AD$8:$AD$307,$AB1125))),거래처별!$A$8:$A$307),IFERROR(LOOKUP(2,1/((거래처별!$AE$8:$AE$307&lt;&gt;"")*ISNUMBER(SEARCH(거래처별!$AE$8:$AE$307,$AB1125))),거래처별!$A$8:$A$307),0))))</f>
        <v/>
      </c>
      <c r="AD1125" s="31">
        <f>IF(AND($Y1125&lt;&gt;"",N($Z1125)&gt;0,$AC1125=0),MAX($AD$7:$AD1124)+1,"")</f>
        <v/>
      </c>
      <c r="AE1125" s="31">
        <f>IF($Y1125="",0,$Y1125)</f>
        <v/>
      </c>
    </row>
    <row r="1126">
      <c r="W1126" s="31">
        <f>IF(OR($B$5="",$C$6="",ROW()&lt;$B$5),"",IF(INDEX($A:$U,ROW(),$C$6)="","",INDEX($A:$U,ROW(),$C$6)))</f>
        <v/>
      </c>
      <c r="X1126" s="32">
        <f>IF($W1126="","",IF(ISNUMBER($W1126),IF($W1126&gt;=10000000,IFERROR(DATE(INT($W1126/10000),MOD(INT($W1126/100),100),MOD($W1126,100)),""),INT($W1126)),IFERROR(DATE(--LEFT(LEFT(SUBSTITUTE(SUBSTITUTE(SUBSTITUTE(SUBSTITUTE(TRIM($W1126),"-",""),".",""),"/","")," ",""),8),4),--MID(LEFT(SUBSTITUTE(SUBSTITUTE(SUBSTITUTE(SUBSTITUTE(TRIM($W1126),"-",""),".",""),"/","")," ",""),8),5,2),--MID(LEFT(SUBSTITUTE(SUBSTITUTE(SUBSTITUTE(SUBSTITUTE(TRIM($W1126),"-",""),".",""),"/","")," ",""),8),7,2)),"")))</f>
        <v/>
      </c>
      <c r="Y1126" s="32">
        <f>IF($X1126="","",INT($X1126))</f>
        <v/>
      </c>
      <c r="Z1126" s="33">
        <f>IF(OR($Y1126="",$D$6=""),"",IF(INDEX($A:$U,ROW(),$D$6)="",0,IF(ISNUMBER(INDEX($A:$U,ROW(),$D$6)),INDEX($A:$U,ROW(),$D$6),IFERROR(--SUBSTITUTE(SUBSTITUTE(TRIM(INDEX($A:$U,ROW(),$D$6)),",",""),"원",""),0))))</f>
        <v/>
      </c>
      <c r="AA1126" s="31">
        <f>IF($Y1126="","",TRIM(INDEX($A:$U,ROW(),$E$6)&amp;IF($F$6="",""," "&amp;INDEX($A:$U,ROW(),$F$6))))</f>
        <v/>
      </c>
      <c r="AB1126" s="31">
        <f>IF($AA1126="","",SUBSTITUTE(SUBSTITUTE(SUBSTITUTE(SUBSTITUTE(SUBSTITUTE(SUBSTITUTE(SUBSTITUTE(SUBSTITUTE(SUBSTITUTE($AA1126," ",""),"　",""),"(주)",""),"（주）",""),"㈜",""),"주식회사",""),"(유)",""),"（유）",""),"유한회사",""))</f>
        <v/>
      </c>
      <c r="AC1126" s="31">
        <f>IF(OR($Y1126="",N($Z1126)&lt;=0,$AB1126=""),0,IFERROR(LOOKUP(2,1/((거래처별!$AC$8:$AC$307&lt;&gt;"")*ISNUMBER(SEARCH(거래처별!$AC$8:$AC$307,$AB1126))),거래처별!$A$8:$A$307),IFERROR(LOOKUP(2,1/((거래처별!$AD$8:$AD$307&lt;&gt;"")*ISNUMBER(SEARCH(거래처별!$AD$8:$AD$307,$AB1126))),거래처별!$A$8:$A$307),IFERROR(LOOKUP(2,1/((거래처별!$AE$8:$AE$307&lt;&gt;"")*ISNUMBER(SEARCH(거래처별!$AE$8:$AE$307,$AB1126))),거래처별!$A$8:$A$307),0))))</f>
        <v/>
      </c>
      <c r="AD1126" s="31">
        <f>IF(AND($Y1126&lt;&gt;"",N($Z1126)&gt;0,$AC1126=0),MAX($AD$7:$AD1125)+1,"")</f>
        <v/>
      </c>
      <c r="AE1126" s="31">
        <f>IF($Y1126="",0,$Y1126)</f>
        <v/>
      </c>
    </row>
    <row r="1127">
      <c r="W1127" s="31">
        <f>IF(OR($B$5="",$C$6="",ROW()&lt;$B$5),"",IF(INDEX($A:$U,ROW(),$C$6)="","",INDEX($A:$U,ROW(),$C$6)))</f>
        <v/>
      </c>
      <c r="X1127" s="32">
        <f>IF($W1127="","",IF(ISNUMBER($W1127),IF($W1127&gt;=10000000,IFERROR(DATE(INT($W1127/10000),MOD(INT($W1127/100),100),MOD($W1127,100)),""),INT($W1127)),IFERROR(DATE(--LEFT(LEFT(SUBSTITUTE(SUBSTITUTE(SUBSTITUTE(SUBSTITUTE(TRIM($W1127),"-",""),".",""),"/","")," ",""),8),4),--MID(LEFT(SUBSTITUTE(SUBSTITUTE(SUBSTITUTE(SUBSTITUTE(TRIM($W1127),"-",""),".",""),"/","")," ",""),8),5,2),--MID(LEFT(SUBSTITUTE(SUBSTITUTE(SUBSTITUTE(SUBSTITUTE(TRIM($W1127),"-",""),".",""),"/","")," ",""),8),7,2)),"")))</f>
        <v/>
      </c>
      <c r="Y1127" s="32">
        <f>IF($X1127="","",INT($X1127))</f>
        <v/>
      </c>
      <c r="Z1127" s="33">
        <f>IF(OR($Y1127="",$D$6=""),"",IF(INDEX($A:$U,ROW(),$D$6)="",0,IF(ISNUMBER(INDEX($A:$U,ROW(),$D$6)),INDEX($A:$U,ROW(),$D$6),IFERROR(--SUBSTITUTE(SUBSTITUTE(TRIM(INDEX($A:$U,ROW(),$D$6)),",",""),"원",""),0))))</f>
        <v/>
      </c>
      <c r="AA1127" s="31">
        <f>IF($Y1127="","",TRIM(INDEX($A:$U,ROW(),$E$6)&amp;IF($F$6="",""," "&amp;INDEX($A:$U,ROW(),$F$6))))</f>
        <v/>
      </c>
      <c r="AB1127" s="31">
        <f>IF($AA1127="","",SUBSTITUTE(SUBSTITUTE(SUBSTITUTE(SUBSTITUTE(SUBSTITUTE(SUBSTITUTE(SUBSTITUTE(SUBSTITUTE(SUBSTITUTE($AA1127," ",""),"　",""),"(주)",""),"（주）",""),"㈜",""),"주식회사",""),"(유)",""),"（유）",""),"유한회사",""))</f>
        <v/>
      </c>
      <c r="AC1127" s="31">
        <f>IF(OR($Y1127="",N($Z1127)&lt;=0,$AB1127=""),0,IFERROR(LOOKUP(2,1/((거래처별!$AC$8:$AC$307&lt;&gt;"")*ISNUMBER(SEARCH(거래처별!$AC$8:$AC$307,$AB1127))),거래처별!$A$8:$A$307),IFERROR(LOOKUP(2,1/((거래처별!$AD$8:$AD$307&lt;&gt;"")*ISNUMBER(SEARCH(거래처별!$AD$8:$AD$307,$AB1127))),거래처별!$A$8:$A$307),IFERROR(LOOKUP(2,1/((거래처별!$AE$8:$AE$307&lt;&gt;"")*ISNUMBER(SEARCH(거래처별!$AE$8:$AE$307,$AB1127))),거래처별!$A$8:$A$307),0))))</f>
        <v/>
      </c>
      <c r="AD1127" s="31">
        <f>IF(AND($Y1127&lt;&gt;"",N($Z1127)&gt;0,$AC1127=0),MAX($AD$7:$AD1126)+1,"")</f>
        <v/>
      </c>
      <c r="AE1127" s="31">
        <f>IF($Y1127="",0,$Y1127)</f>
        <v/>
      </c>
    </row>
    <row r="1128">
      <c r="W1128" s="31">
        <f>IF(OR($B$5="",$C$6="",ROW()&lt;$B$5),"",IF(INDEX($A:$U,ROW(),$C$6)="","",INDEX($A:$U,ROW(),$C$6)))</f>
        <v/>
      </c>
      <c r="X1128" s="32">
        <f>IF($W1128="","",IF(ISNUMBER($W1128),IF($W1128&gt;=10000000,IFERROR(DATE(INT($W1128/10000),MOD(INT($W1128/100),100),MOD($W1128,100)),""),INT($W1128)),IFERROR(DATE(--LEFT(LEFT(SUBSTITUTE(SUBSTITUTE(SUBSTITUTE(SUBSTITUTE(TRIM($W1128),"-",""),".",""),"/","")," ",""),8),4),--MID(LEFT(SUBSTITUTE(SUBSTITUTE(SUBSTITUTE(SUBSTITUTE(TRIM($W1128),"-",""),".",""),"/","")," ",""),8),5,2),--MID(LEFT(SUBSTITUTE(SUBSTITUTE(SUBSTITUTE(SUBSTITUTE(TRIM($W1128),"-",""),".",""),"/","")," ",""),8),7,2)),"")))</f>
        <v/>
      </c>
      <c r="Y1128" s="32">
        <f>IF($X1128="","",INT($X1128))</f>
        <v/>
      </c>
      <c r="Z1128" s="33">
        <f>IF(OR($Y1128="",$D$6=""),"",IF(INDEX($A:$U,ROW(),$D$6)="",0,IF(ISNUMBER(INDEX($A:$U,ROW(),$D$6)),INDEX($A:$U,ROW(),$D$6),IFERROR(--SUBSTITUTE(SUBSTITUTE(TRIM(INDEX($A:$U,ROW(),$D$6)),",",""),"원",""),0))))</f>
        <v/>
      </c>
      <c r="AA1128" s="31">
        <f>IF($Y1128="","",TRIM(INDEX($A:$U,ROW(),$E$6)&amp;IF($F$6="",""," "&amp;INDEX($A:$U,ROW(),$F$6))))</f>
        <v/>
      </c>
      <c r="AB1128" s="31">
        <f>IF($AA1128="","",SUBSTITUTE(SUBSTITUTE(SUBSTITUTE(SUBSTITUTE(SUBSTITUTE(SUBSTITUTE(SUBSTITUTE(SUBSTITUTE(SUBSTITUTE($AA1128," ",""),"　",""),"(주)",""),"（주）",""),"㈜",""),"주식회사",""),"(유)",""),"（유）",""),"유한회사",""))</f>
        <v/>
      </c>
      <c r="AC1128" s="31">
        <f>IF(OR($Y1128="",N($Z1128)&lt;=0,$AB1128=""),0,IFERROR(LOOKUP(2,1/((거래처별!$AC$8:$AC$307&lt;&gt;"")*ISNUMBER(SEARCH(거래처별!$AC$8:$AC$307,$AB1128))),거래처별!$A$8:$A$307),IFERROR(LOOKUP(2,1/((거래처별!$AD$8:$AD$307&lt;&gt;"")*ISNUMBER(SEARCH(거래처별!$AD$8:$AD$307,$AB1128))),거래처별!$A$8:$A$307),IFERROR(LOOKUP(2,1/((거래처별!$AE$8:$AE$307&lt;&gt;"")*ISNUMBER(SEARCH(거래처별!$AE$8:$AE$307,$AB1128))),거래처별!$A$8:$A$307),0))))</f>
        <v/>
      </c>
      <c r="AD1128" s="31">
        <f>IF(AND($Y1128&lt;&gt;"",N($Z1128)&gt;0,$AC1128=0),MAX($AD$7:$AD1127)+1,"")</f>
        <v/>
      </c>
      <c r="AE1128" s="31">
        <f>IF($Y1128="",0,$Y1128)</f>
        <v/>
      </c>
    </row>
    <row r="1129">
      <c r="W1129" s="31">
        <f>IF(OR($B$5="",$C$6="",ROW()&lt;$B$5),"",IF(INDEX($A:$U,ROW(),$C$6)="","",INDEX($A:$U,ROW(),$C$6)))</f>
        <v/>
      </c>
      <c r="X1129" s="32">
        <f>IF($W1129="","",IF(ISNUMBER($W1129),IF($W1129&gt;=10000000,IFERROR(DATE(INT($W1129/10000),MOD(INT($W1129/100),100),MOD($W1129,100)),""),INT($W1129)),IFERROR(DATE(--LEFT(LEFT(SUBSTITUTE(SUBSTITUTE(SUBSTITUTE(SUBSTITUTE(TRIM($W1129),"-",""),".",""),"/","")," ",""),8),4),--MID(LEFT(SUBSTITUTE(SUBSTITUTE(SUBSTITUTE(SUBSTITUTE(TRIM($W1129),"-",""),".",""),"/","")," ",""),8),5,2),--MID(LEFT(SUBSTITUTE(SUBSTITUTE(SUBSTITUTE(SUBSTITUTE(TRIM($W1129),"-",""),".",""),"/","")," ",""),8),7,2)),"")))</f>
        <v/>
      </c>
      <c r="Y1129" s="32">
        <f>IF($X1129="","",INT($X1129))</f>
        <v/>
      </c>
      <c r="Z1129" s="33">
        <f>IF(OR($Y1129="",$D$6=""),"",IF(INDEX($A:$U,ROW(),$D$6)="",0,IF(ISNUMBER(INDEX($A:$U,ROW(),$D$6)),INDEX($A:$U,ROW(),$D$6),IFERROR(--SUBSTITUTE(SUBSTITUTE(TRIM(INDEX($A:$U,ROW(),$D$6)),",",""),"원",""),0))))</f>
        <v/>
      </c>
      <c r="AA1129" s="31">
        <f>IF($Y1129="","",TRIM(INDEX($A:$U,ROW(),$E$6)&amp;IF($F$6="",""," "&amp;INDEX($A:$U,ROW(),$F$6))))</f>
        <v/>
      </c>
      <c r="AB1129" s="31">
        <f>IF($AA1129="","",SUBSTITUTE(SUBSTITUTE(SUBSTITUTE(SUBSTITUTE(SUBSTITUTE(SUBSTITUTE(SUBSTITUTE(SUBSTITUTE(SUBSTITUTE($AA1129," ",""),"　",""),"(주)",""),"（주）",""),"㈜",""),"주식회사",""),"(유)",""),"（유）",""),"유한회사",""))</f>
        <v/>
      </c>
      <c r="AC1129" s="31">
        <f>IF(OR($Y1129="",N($Z1129)&lt;=0,$AB1129=""),0,IFERROR(LOOKUP(2,1/((거래처별!$AC$8:$AC$307&lt;&gt;"")*ISNUMBER(SEARCH(거래처별!$AC$8:$AC$307,$AB1129))),거래처별!$A$8:$A$307),IFERROR(LOOKUP(2,1/((거래처별!$AD$8:$AD$307&lt;&gt;"")*ISNUMBER(SEARCH(거래처별!$AD$8:$AD$307,$AB1129))),거래처별!$A$8:$A$307),IFERROR(LOOKUP(2,1/((거래처별!$AE$8:$AE$307&lt;&gt;"")*ISNUMBER(SEARCH(거래처별!$AE$8:$AE$307,$AB1129))),거래처별!$A$8:$A$307),0))))</f>
        <v/>
      </c>
      <c r="AD1129" s="31">
        <f>IF(AND($Y1129&lt;&gt;"",N($Z1129)&gt;0,$AC1129=0),MAX($AD$7:$AD1128)+1,"")</f>
        <v/>
      </c>
      <c r="AE1129" s="31">
        <f>IF($Y1129="",0,$Y1129)</f>
        <v/>
      </c>
    </row>
    <row r="1130">
      <c r="W1130" s="31">
        <f>IF(OR($B$5="",$C$6="",ROW()&lt;$B$5),"",IF(INDEX($A:$U,ROW(),$C$6)="","",INDEX($A:$U,ROW(),$C$6)))</f>
        <v/>
      </c>
      <c r="X1130" s="32">
        <f>IF($W1130="","",IF(ISNUMBER($W1130),IF($W1130&gt;=10000000,IFERROR(DATE(INT($W1130/10000),MOD(INT($W1130/100),100),MOD($W1130,100)),""),INT($W1130)),IFERROR(DATE(--LEFT(LEFT(SUBSTITUTE(SUBSTITUTE(SUBSTITUTE(SUBSTITUTE(TRIM($W1130),"-",""),".",""),"/","")," ",""),8),4),--MID(LEFT(SUBSTITUTE(SUBSTITUTE(SUBSTITUTE(SUBSTITUTE(TRIM($W1130),"-",""),".",""),"/","")," ",""),8),5,2),--MID(LEFT(SUBSTITUTE(SUBSTITUTE(SUBSTITUTE(SUBSTITUTE(TRIM($W1130),"-",""),".",""),"/","")," ",""),8),7,2)),"")))</f>
        <v/>
      </c>
      <c r="Y1130" s="32">
        <f>IF($X1130="","",INT($X1130))</f>
        <v/>
      </c>
      <c r="Z1130" s="33">
        <f>IF(OR($Y1130="",$D$6=""),"",IF(INDEX($A:$U,ROW(),$D$6)="",0,IF(ISNUMBER(INDEX($A:$U,ROW(),$D$6)),INDEX($A:$U,ROW(),$D$6),IFERROR(--SUBSTITUTE(SUBSTITUTE(TRIM(INDEX($A:$U,ROW(),$D$6)),",",""),"원",""),0))))</f>
        <v/>
      </c>
      <c r="AA1130" s="31">
        <f>IF($Y1130="","",TRIM(INDEX($A:$U,ROW(),$E$6)&amp;IF($F$6="",""," "&amp;INDEX($A:$U,ROW(),$F$6))))</f>
        <v/>
      </c>
      <c r="AB1130" s="31">
        <f>IF($AA1130="","",SUBSTITUTE(SUBSTITUTE(SUBSTITUTE(SUBSTITUTE(SUBSTITUTE(SUBSTITUTE(SUBSTITUTE(SUBSTITUTE(SUBSTITUTE($AA1130," ",""),"　",""),"(주)",""),"（주）",""),"㈜",""),"주식회사",""),"(유)",""),"（유）",""),"유한회사",""))</f>
        <v/>
      </c>
      <c r="AC1130" s="31">
        <f>IF(OR($Y1130="",N($Z1130)&lt;=0,$AB1130=""),0,IFERROR(LOOKUP(2,1/((거래처별!$AC$8:$AC$307&lt;&gt;"")*ISNUMBER(SEARCH(거래처별!$AC$8:$AC$307,$AB1130))),거래처별!$A$8:$A$307),IFERROR(LOOKUP(2,1/((거래처별!$AD$8:$AD$307&lt;&gt;"")*ISNUMBER(SEARCH(거래처별!$AD$8:$AD$307,$AB1130))),거래처별!$A$8:$A$307),IFERROR(LOOKUP(2,1/((거래처별!$AE$8:$AE$307&lt;&gt;"")*ISNUMBER(SEARCH(거래처별!$AE$8:$AE$307,$AB1130))),거래처별!$A$8:$A$307),0))))</f>
        <v/>
      </c>
      <c r="AD1130" s="31">
        <f>IF(AND($Y1130&lt;&gt;"",N($Z1130)&gt;0,$AC1130=0),MAX($AD$7:$AD1129)+1,"")</f>
        <v/>
      </c>
      <c r="AE1130" s="31">
        <f>IF($Y1130="",0,$Y1130)</f>
        <v/>
      </c>
    </row>
    <row r="1131">
      <c r="W1131" s="31">
        <f>IF(OR($B$5="",$C$6="",ROW()&lt;$B$5),"",IF(INDEX($A:$U,ROW(),$C$6)="","",INDEX($A:$U,ROW(),$C$6)))</f>
        <v/>
      </c>
      <c r="X1131" s="32">
        <f>IF($W1131="","",IF(ISNUMBER($W1131),IF($W1131&gt;=10000000,IFERROR(DATE(INT($W1131/10000),MOD(INT($W1131/100),100),MOD($W1131,100)),""),INT($W1131)),IFERROR(DATE(--LEFT(LEFT(SUBSTITUTE(SUBSTITUTE(SUBSTITUTE(SUBSTITUTE(TRIM($W1131),"-",""),".",""),"/","")," ",""),8),4),--MID(LEFT(SUBSTITUTE(SUBSTITUTE(SUBSTITUTE(SUBSTITUTE(TRIM($W1131),"-",""),".",""),"/","")," ",""),8),5,2),--MID(LEFT(SUBSTITUTE(SUBSTITUTE(SUBSTITUTE(SUBSTITUTE(TRIM($W1131),"-",""),".",""),"/","")," ",""),8),7,2)),"")))</f>
        <v/>
      </c>
      <c r="Y1131" s="32">
        <f>IF($X1131="","",INT($X1131))</f>
        <v/>
      </c>
      <c r="Z1131" s="33">
        <f>IF(OR($Y1131="",$D$6=""),"",IF(INDEX($A:$U,ROW(),$D$6)="",0,IF(ISNUMBER(INDEX($A:$U,ROW(),$D$6)),INDEX($A:$U,ROW(),$D$6),IFERROR(--SUBSTITUTE(SUBSTITUTE(TRIM(INDEX($A:$U,ROW(),$D$6)),",",""),"원",""),0))))</f>
        <v/>
      </c>
      <c r="AA1131" s="31">
        <f>IF($Y1131="","",TRIM(INDEX($A:$U,ROW(),$E$6)&amp;IF($F$6="",""," "&amp;INDEX($A:$U,ROW(),$F$6))))</f>
        <v/>
      </c>
      <c r="AB1131" s="31">
        <f>IF($AA1131="","",SUBSTITUTE(SUBSTITUTE(SUBSTITUTE(SUBSTITUTE(SUBSTITUTE(SUBSTITUTE(SUBSTITUTE(SUBSTITUTE(SUBSTITUTE($AA1131," ",""),"　",""),"(주)",""),"（주）",""),"㈜",""),"주식회사",""),"(유)",""),"（유）",""),"유한회사",""))</f>
        <v/>
      </c>
      <c r="AC1131" s="31">
        <f>IF(OR($Y1131="",N($Z1131)&lt;=0,$AB1131=""),0,IFERROR(LOOKUP(2,1/((거래처별!$AC$8:$AC$307&lt;&gt;"")*ISNUMBER(SEARCH(거래처별!$AC$8:$AC$307,$AB1131))),거래처별!$A$8:$A$307),IFERROR(LOOKUP(2,1/((거래처별!$AD$8:$AD$307&lt;&gt;"")*ISNUMBER(SEARCH(거래처별!$AD$8:$AD$307,$AB1131))),거래처별!$A$8:$A$307),IFERROR(LOOKUP(2,1/((거래처별!$AE$8:$AE$307&lt;&gt;"")*ISNUMBER(SEARCH(거래처별!$AE$8:$AE$307,$AB1131))),거래처별!$A$8:$A$307),0))))</f>
        <v/>
      </c>
      <c r="AD1131" s="31">
        <f>IF(AND($Y1131&lt;&gt;"",N($Z1131)&gt;0,$AC1131=0),MAX($AD$7:$AD1130)+1,"")</f>
        <v/>
      </c>
      <c r="AE1131" s="31">
        <f>IF($Y1131="",0,$Y1131)</f>
        <v/>
      </c>
    </row>
    <row r="1132">
      <c r="W1132" s="31">
        <f>IF(OR($B$5="",$C$6="",ROW()&lt;$B$5),"",IF(INDEX($A:$U,ROW(),$C$6)="","",INDEX($A:$U,ROW(),$C$6)))</f>
        <v/>
      </c>
      <c r="X1132" s="32">
        <f>IF($W1132="","",IF(ISNUMBER($W1132),IF($W1132&gt;=10000000,IFERROR(DATE(INT($W1132/10000),MOD(INT($W1132/100),100),MOD($W1132,100)),""),INT($W1132)),IFERROR(DATE(--LEFT(LEFT(SUBSTITUTE(SUBSTITUTE(SUBSTITUTE(SUBSTITUTE(TRIM($W1132),"-",""),".",""),"/","")," ",""),8),4),--MID(LEFT(SUBSTITUTE(SUBSTITUTE(SUBSTITUTE(SUBSTITUTE(TRIM($W1132),"-",""),".",""),"/","")," ",""),8),5,2),--MID(LEFT(SUBSTITUTE(SUBSTITUTE(SUBSTITUTE(SUBSTITUTE(TRIM($W1132),"-",""),".",""),"/","")," ",""),8),7,2)),"")))</f>
        <v/>
      </c>
      <c r="Y1132" s="32">
        <f>IF($X1132="","",INT($X1132))</f>
        <v/>
      </c>
      <c r="Z1132" s="33">
        <f>IF(OR($Y1132="",$D$6=""),"",IF(INDEX($A:$U,ROW(),$D$6)="",0,IF(ISNUMBER(INDEX($A:$U,ROW(),$D$6)),INDEX($A:$U,ROW(),$D$6),IFERROR(--SUBSTITUTE(SUBSTITUTE(TRIM(INDEX($A:$U,ROW(),$D$6)),",",""),"원",""),0))))</f>
        <v/>
      </c>
      <c r="AA1132" s="31">
        <f>IF($Y1132="","",TRIM(INDEX($A:$U,ROW(),$E$6)&amp;IF($F$6="",""," "&amp;INDEX($A:$U,ROW(),$F$6))))</f>
        <v/>
      </c>
      <c r="AB1132" s="31">
        <f>IF($AA1132="","",SUBSTITUTE(SUBSTITUTE(SUBSTITUTE(SUBSTITUTE(SUBSTITUTE(SUBSTITUTE(SUBSTITUTE(SUBSTITUTE(SUBSTITUTE($AA1132," ",""),"　",""),"(주)",""),"（주）",""),"㈜",""),"주식회사",""),"(유)",""),"（유）",""),"유한회사",""))</f>
        <v/>
      </c>
      <c r="AC1132" s="31">
        <f>IF(OR($Y1132="",N($Z1132)&lt;=0,$AB1132=""),0,IFERROR(LOOKUP(2,1/((거래처별!$AC$8:$AC$307&lt;&gt;"")*ISNUMBER(SEARCH(거래처별!$AC$8:$AC$307,$AB1132))),거래처별!$A$8:$A$307),IFERROR(LOOKUP(2,1/((거래처별!$AD$8:$AD$307&lt;&gt;"")*ISNUMBER(SEARCH(거래처별!$AD$8:$AD$307,$AB1132))),거래처별!$A$8:$A$307),IFERROR(LOOKUP(2,1/((거래처별!$AE$8:$AE$307&lt;&gt;"")*ISNUMBER(SEARCH(거래처별!$AE$8:$AE$307,$AB1132))),거래처별!$A$8:$A$307),0))))</f>
        <v/>
      </c>
      <c r="AD1132" s="31">
        <f>IF(AND($Y1132&lt;&gt;"",N($Z1132)&gt;0,$AC1132=0),MAX($AD$7:$AD1131)+1,"")</f>
        <v/>
      </c>
      <c r="AE1132" s="31">
        <f>IF($Y1132="",0,$Y1132)</f>
        <v/>
      </c>
    </row>
    <row r="1133">
      <c r="W1133" s="31">
        <f>IF(OR($B$5="",$C$6="",ROW()&lt;$B$5),"",IF(INDEX($A:$U,ROW(),$C$6)="","",INDEX($A:$U,ROW(),$C$6)))</f>
        <v/>
      </c>
      <c r="X1133" s="32">
        <f>IF($W1133="","",IF(ISNUMBER($W1133),IF($W1133&gt;=10000000,IFERROR(DATE(INT($W1133/10000),MOD(INT($W1133/100),100),MOD($W1133,100)),""),INT($W1133)),IFERROR(DATE(--LEFT(LEFT(SUBSTITUTE(SUBSTITUTE(SUBSTITUTE(SUBSTITUTE(TRIM($W1133),"-",""),".",""),"/","")," ",""),8),4),--MID(LEFT(SUBSTITUTE(SUBSTITUTE(SUBSTITUTE(SUBSTITUTE(TRIM($W1133),"-",""),".",""),"/","")," ",""),8),5,2),--MID(LEFT(SUBSTITUTE(SUBSTITUTE(SUBSTITUTE(SUBSTITUTE(TRIM($W1133),"-",""),".",""),"/","")," ",""),8),7,2)),"")))</f>
        <v/>
      </c>
      <c r="Y1133" s="32">
        <f>IF($X1133="","",INT($X1133))</f>
        <v/>
      </c>
      <c r="Z1133" s="33">
        <f>IF(OR($Y1133="",$D$6=""),"",IF(INDEX($A:$U,ROW(),$D$6)="",0,IF(ISNUMBER(INDEX($A:$U,ROW(),$D$6)),INDEX($A:$U,ROW(),$D$6),IFERROR(--SUBSTITUTE(SUBSTITUTE(TRIM(INDEX($A:$U,ROW(),$D$6)),",",""),"원",""),0))))</f>
        <v/>
      </c>
      <c r="AA1133" s="31">
        <f>IF($Y1133="","",TRIM(INDEX($A:$U,ROW(),$E$6)&amp;IF($F$6="",""," "&amp;INDEX($A:$U,ROW(),$F$6))))</f>
        <v/>
      </c>
      <c r="AB1133" s="31">
        <f>IF($AA1133="","",SUBSTITUTE(SUBSTITUTE(SUBSTITUTE(SUBSTITUTE(SUBSTITUTE(SUBSTITUTE(SUBSTITUTE(SUBSTITUTE(SUBSTITUTE($AA1133," ",""),"　",""),"(주)",""),"（주）",""),"㈜",""),"주식회사",""),"(유)",""),"（유）",""),"유한회사",""))</f>
        <v/>
      </c>
      <c r="AC1133" s="31">
        <f>IF(OR($Y1133="",N($Z1133)&lt;=0,$AB1133=""),0,IFERROR(LOOKUP(2,1/((거래처별!$AC$8:$AC$307&lt;&gt;"")*ISNUMBER(SEARCH(거래처별!$AC$8:$AC$307,$AB1133))),거래처별!$A$8:$A$307),IFERROR(LOOKUP(2,1/((거래처별!$AD$8:$AD$307&lt;&gt;"")*ISNUMBER(SEARCH(거래처별!$AD$8:$AD$307,$AB1133))),거래처별!$A$8:$A$307),IFERROR(LOOKUP(2,1/((거래처별!$AE$8:$AE$307&lt;&gt;"")*ISNUMBER(SEARCH(거래처별!$AE$8:$AE$307,$AB1133))),거래처별!$A$8:$A$307),0))))</f>
        <v/>
      </c>
      <c r="AD1133" s="31">
        <f>IF(AND($Y1133&lt;&gt;"",N($Z1133)&gt;0,$AC1133=0),MAX($AD$7:$AD1132)+1,"")</f>
        <v/>
      </c>
      <c r="AE1133" s="31">
        <f>IF($Y1133="",0,$Y1133)</f>
        <v/>
      </c>
    </row>
    <row r="1134">
      <c r="W1134" s="31">
        <f>IF(OR($B$5="",$C$6="",ROW()&lt;$B$5),"",IF(INDEX($A:$U,ROW(),$C$6)="","",INDEX($A:$U,ROW(),$C$6)))</f>
        <v/>
      </c>
      <c r="X1134" s="32">
        <f>IF($W1134="","",IF(ISNUMBER($W1134),IF($W1134&gt;=10000000,IFERROR(DATE(INT($W1134/10000),MOD(INT($W1134/100),100),MOD($W1134,100)),""),INT($W1134)),IFERROR(DATE(--LEFT(LEFT(SUBSTITUTE(SUBSTITUTE(SUBSTITUTE(SUBSTITUTE(TRIM($W1134),"-",""),".",""),"/","")," ",""),8),4),--MID(LEFT(SUBSTITUTE(SUBSTITUTE(SUBSTITUTE(SUBSTITUTE(TRIM($W1134),"-",""),".",""),"/","")," ",""),8),5,2),--MID(LEFT(SUBSTITUTE(SUBSTITUTE(SUBSTITUTE(SUBSTITUTE(TRIM($W1134),"-",""),".",""),"/","")," ",""),8),7,2)),"")))</f>
        <v/>
      </c>
      <c r="Y1134" s="32">
        <f>IF($X1134="","",INT($X1134))</f>
        <v/>
      </c>
      <c r="Z1134" s="33">
        <f>IF(OR($Y1134="",$D$6=""),"",IF(INDEX($A:$U,ROW(),$D$6)="",0,IF(ISNUMBER(INDEX($A:$U,ROW(),$D$6)),INDEX($A:$U,ROW(),$D$6),IFERROR(--SUBSTITUTE(SUBSTITUTE(TRIM(INDEX($A:$U,ROW(),$D$6)),",",""),"원",""),0))))</f>
        <v/>
      </c>
      <c r="AA1134" s="31">
        <f>IF($Y1134="","",TRIM(INDEX($A:$U,ROW(),$E$6)&amp;IF($F$6="",""," "&amp;INDEX($A:$U,ROW(),$F$6))))</f>
        <v/>
      </c>
      <c r="AB1134" s="31">
        <f>IF($AA1134="","",SUBSTITUTE(SUBSTITUTE(SUBSTITUTE(SUBSTITUTE(SUBSTITUTE(SUBSTITUTE(SUBSTITUTE(SUBSTITUTE(SUBSTITUTE($AA1134," ",""),"　",""),"(주)",""),"（주）",""),"㈜",""),"주식회사",""),"(유)",""),"（유）",""),"유한회사",""))</f>
        <v/>
      </c>
      <c r="AC1134" s="31">
        <f>IF(OR($Y1134="",N($Z1134)&lt;=0,$AB1134=""),0,IFERROR(LOOKUP(2,1/((거래처별!$AC$8:$AC$307&lt;&gt;"")*ISNUMBER(SEARCH(거래처별!$AC$8:$AC$307,$AB1134))),거래처별!$A$8:$A$307),IFERROR(LOOKUP(2,1/((거래처별!$AD$8:$AD$307&lt;&gt;"")*ISNUMBER(SEARCH(거래처별!$AD$8:$AD$307,$AB1134))),거래처별!$A$8:$A$307),IFERROR(LOOKUP(2,1/((거래처별!$AE$8:$AE$307&lt;&gt;"")*ISNUMBER(SEARCH(거래처별!$AE$8:$AE$307,$AB1134))),거래처별!$A$8:$A$307),0))))</f>
        <v/>
      </c>
      <c r="AD1134" s="31">
        <f>IF(AND($Y1134&lt;&gt;"",N($Z1134)&gt;0,$AC1134=0),MAX($AD$7:$AD1133)+1,"")</f>
        <v/>
      </c>
      <c r="AE1134" s="31">
        <f>IF($Y1134="",0,$Y1134)</f>
        <v/>
      </c>
    </row>
    <row r="1135">
      <c r="W1135" s="31">
        <f>IF(OR($B$5="",$C$6="",ROW()&lt;$B$5),"",IF(INDEX($A:$U,ROW(),$C$6)="","",INDEX($A:$U,ROW(),$C$6)))</f>
        <v/>
      </c>
      <c r="X1135" s="32">
        <f>IF($W1135="","",IF(ISNUMBER($W1135),IF($W1135&gt;=10000000,IFERROR(DATE(INT($W1135/10000),MOD(INT($W1135/100),100),MOD($W1135,100)),""),INT($W1135)),IFERROR(DATE(--LEFT(LEFT(SUBSTITUTE(SUBSTITUTE(SUBSTITUTE(SUBSTITUTE(TRIM($W1135),"-",""),".",""),"/","")," ",""),8),4),--MID(LEFT(SUBSTITUTE(SUBSTITUTE(SUBSTITUTE(SUBSTITUTE(TRIM($W1135),"-",""),".",""),"/","")," ",""),8),5,2),--MID(LEFT(SUBSTITUTE(SUBSTITUTE(SUBSTITUTE(SUBSTITUTE(TRIM($W1135),"-",""),".",""),"/","")," ",""),8),7,2)),"")))</f>
        <v/>
      </c>
      <c r="Y1135" s="32">
        <f>IF($X1135="","",INT($X1135))</f>
        <v/>
      </c>
      <c r="Z1135" s="33">
        <f>IF(OR($Y1135="",$D$6=""),"",IF(INDEX($A:$U,ROW(),$D$6)="",0,IF(ISNUMBER(INDEX($A:$U,ROW(),$D$6)),INDEX($A:$U,ROW(),$D$6),IFERROR(--SUBSTITUTE(SUBSTITUTE(TRIM(INDEX($A:$U,ROW(),$D$6)),",",""),"원",""),0))))</f>
        <v/>
      </c>
      <c r="AA1135" s="31">
        <f>IF($Y1135="","",TRIM(INDEX($A:$U,ROW(),$E$6)&amp;IF($F$6="",""," "&amp;INDEX($A:$U,ROW(),$F$6))))</f>
        <v/>
      </c>
      <c r="AB1135" s="31">
        <f>IF($AA1135="","",SUBSTITUTE(SUBSTITUTE(SUBSTITUTE(SUBSTITUTE(SUBSTITUTE(SUBSTITUTE(SUBSTITUTE(SUBSTITUTE(SUBSTITUTE($AA1135," ",""),"　",""),"(주)",""),"（주）",""),"㈜",""),"주식회사",""),"(유)",""),"（유）",""),"유한회사",""))</f>
        <v/>
      </c>
      <c r="AC1135" s="31">
        <f>IF(OR($Y1135="",N($Z1135)&lt;=0,$AB1135=""),0,IFERROR(LOOKUP(2,1/((거래처별!$AC$8:$AC$307&lt;&gt;"")*ISNUMBER(SEARCH(거래처별!$AC$8:$AC$307,$AB1135))),거래처별!$A$8:$A$307),IFERROR(LOOKUP(2,1/((거래처별!$AD$8:$AD$307&lt;&gt;"")*ISNUMBER(SEARCH(거래처별!$AD$8:$AD$307,$AB1135))),거래처별!$A$8:$A$307),IFERROR(LOOKUP(2,1/((거래처별!$AE$8:$AE$307&lt;&gt;"")*ISNUMBER(SEARCH(거래처별!$AE$8:$AE$307,$AB1135))),거래처별!$A$8:$A$307),0))))</f>
        <v/>
      </c>
      <c r="AD1135" s="31">
        <f>IF(AND($Y1135&lt;&gt;"",N($Z1135)&gt;0,$AC1135=0),MAX($AD$7:$AD1134)+1,"")</f>
        <v/>
      </c>
      <c r="AE1135" s="31">
        <f>IF($Y1135="",0,$Y1135)</f>
        <v/>
      </c>
    </row>
    <row r="1136">
      <c r="W1136" s="31">
        <f>IF(OR($B$5="",$C$6="",ROW()&lt;$B$5),"",IF(INDEX($A:$U,ROW(),$C$6)="","",INDEX($A:$U,ROW(),$C$6)))</f>
        <v/>
      </c>
      <c r="X1136" s="32">
        <f>IF($W1136="","",IF(ISNUMBER($W1136),IF($W1136&gt;=10000000,IFERROR(DATE(INT($W1136/10000),MOD(INT($W1136/100),100),MOD($W1136,100)),""),INT($W1136)),IFERROR(DATE(--LEFT(LEFT(SUBSTITUTE(SUBSTITUTE(SUBSTITUTE(SUBSTITUTE(TRIM($W1136),"-",""),".",""),"/","")," ",""),8),4),--MID(LEFT(SUBSTITUTE(SUBSTITUTE(SUBSTITUTE(SUBSTITUTE(TRIM($W1136),"-",""),".",""),"/","")," ",""),8),5,2),--MID(LEFT(SUBSTITUTE(SUBSTITUTE(SUBSTITUTE(SUBSTITUTE(TRIM($W1136),"-",""),".",""),"/","")," ",""),8),7,2)),"")))</f>
        <v/>
      </c>
      <c r="Y1136" s="32">
        <f>IF($X1136="","",INT($X1136))</f>
        <v/>
      </c>
      <c r="Z1136" s="33">
        <f>IF(OR($Y1136="",$D$6=""),"",IF(INDEX($A:$U,ROW(),$D$6)="",0,IF(ISNUMBER(INDEX($A:$U,ROW(),$D$6)),INDEX($A:$U,ROW(),$D$6),IFERROR(--SUBSTITUTE(SUBSTITUTE(TRIM(INDEX($A:$U,ROW(),$D$6)),",",""),"원",""),0))))</f>
        <v/>
      </c>
      <c r="AA1136" s="31">
        <f>IF($Y1136="","",TRIM(INDEX($A:$U,ROW(),$E$6)&amp;IF($F$6="",""," "&amp;INDEX($A:$U,ROW(),$F$6))))</f>
        <v/>
      </c>
      <c r="AB1136" s="31">
        <f>IF($AA1136="","",SUBSTITUTE(SUBSTITUTE(SUBSTITUTE(SUBSTITUTE(SUBSTITUTE(SUBSTITUTE(SUBSTITUTE(SUBSTITUTE(SUBSTITUTE($AA1136," ",""),"　",""),"(주)",""),"（주）",""),"㈜",""),"주식회사",""),"(유)",""),"（유）",""),"유한회사",""))</f>
        <v/>
      </c>
      <c r="AC1136" s="31">
        <f>IF(OR($Y1136="",N($Z1136)&lt;=0,$AB1136=""),0,IFERROR(LOOKUP(2,1/((거래처별!$AC$8:$AC$307&lt;&gt;"")*ISNUMBER(SEARCH(거래처별!$AC$8:$AC$307,$AB1136))),거래처별!$A$8:$A$307),IFERROR(LOOKUP(2,1/((거래처별!$AD$8:$AD$307&lt;&gt;"")*ISNUMBER(SEARCH(거래처별!$AD$8:$AD$307,$AB1136))),거래처별!$A$8:$A$307),IFERROR(LOOKUP(2,1/((거래처별!$AE$8:$AE$307&lt;&gt;"")*ISNUMBER(SEARCH(거래처별!$AE$8:$AE$307,$AB1136))),거래처별!$A$8:$A$307),0))))</f>
        <v/>
      </c>
      <c r="AD1136" s="31">
        <f>IF(AND($Y1136&lt;&gt;"",N($Z1136)&gt;0,$AC1136=0),MAX($AD$7:$AD1135)+1,"")</f>
        <v/>
      </c>
      <c r="AE1136" s="31">
        <f>IF($Y1136="",0,$Y1136)</f>
        <v/>
      </c>
    </row>
    <row r="1137">
      <c r="W1137" s="31">
        <f>IF(OR($B$5="",$C$6="",ROW()&lt;$B$5),"",IF(INDEX($A:$U,ROW(),$C$6)="","",INDEX($A:$U,ROW(),$C$6)))</f>
        <v/>
      </c>
      <c r="X1137" s="32">
        <f>IF($W1137="","",IF(ISNUMBER($W1137),IF($W1137&gt;=10000000,IFERROR(DATE(INT($W1137/10000),MOD(INT($W1137/100),100),MOD($W1137,100)),""),INT($W1137)),IFERROR(DATE(--LEFT(LEFT(SUBSTITUTE(SUBSTITUTE(SUBSTITUTE(SUBSTITUTE(TRIM($W1137),"-",""),".",""),"/","")," ",""),8),4),--MID(LEFT(SUBSTITUTE(SUBSTITUTE(SUBSTITUTE(SUBSTITUTE(TRIM($W1137),"-",""),".",""),"/","")," ",""),8),5,2),--MID(LEFT(SUBSTITUTE(SUBSTITUTE(SUBSTITUTE(SUBSTITUTE(TRIM($W1137),"-",""),".",""),"/","")," ",""),8),7,2)),"")))</f>
        <v/>
      </c>
      <c r="Y1137" s="32">
        <f>IF($X1137="","",INT($X1137))</f>
        <v/>
      </c>
      <c r="Z1137" s="33">
        <f>IF(OR($Y1137="",$D$6=""),"",IF(INDEX($A:$U,ROW(),$D$6)="",0,IF(ISNUMBER(INDEX($A:$U,ROW(),$D$6)),INDEX($A:$U,ROW(),$D$6),IFERROR(--SUBSTITUTE(SUBSTITUTE(TRIM(INDEX($A:$U,ROW(),$D$6)),",",""),"원",""),0))))</f>
        <v/>
      </c>
      <c r="AA1137" s="31">
        <f>IF($Y1137="","",TRIM(INDEX($A:$U,ROW(),$E$6)&amp;IF($F$6="",""," "&amp;INDEX($A:$U,ROW(),$F$6))))</f>
        <v/>
      </c>
      <c r="AB1137" s="31">
        <f>IF($AA1137="","",SUBSTITUTE(SUBSTITUTE(SUBSTITUTE(SUBSTITUTE(SUBSTITUTE(SUBSTITUTE(SUBSTITUTE(SUBSTITUTE(SUBSTITUTE($AA1137," ",""),"　",""),"(주)",""),"（주）",""),"㈜",""),"주식회사",""),"(유)",""),"（유）",""),"유한회사",""))</f>
        <v/>
      </c>
      <c r="AC1137" s="31">
        <f>IF(OR($Y1137="",N($Z1137)&lt;=0,$AB1137=""),0,IFERROR(LOOKUP(2,1/((거래처별!$AC$8:$AC$307&lt;&gt;"")*ISNUMBER(SEARCH(거래처별!$AC$8:$AC$307,$AB1137))),거래처별!$A$8:$A$307),IFERROR(LOOKUP(2,1/((거래처별!$AD$8:$AD$307&lt;&gt;"")*ISNUMBER(SEARCH(거래처별!$AD$8:$AD$307,$AB1137))),거래처별!$A$8:$A$307),IFERROR(LOOKUP(2,1/((거래처별!$AE$8:$AE$307&lt;&gt;"")*ISNUMBER(SEARCH(거래처별!$AE$8:$AE$307,$AB1137))),거래처별!$A$8:$A$307),0))))</f>
        <v/>
      </c>
      <c r="AD1137" s="31">
        <f>IF(AND($Y1137&lt;&gt;"",N($Z1137)&gt;0,$AC1137=0),MAX($AD$7:$AD1136)+1,"")</f>
        <v/>
      </c>
      <c r="AE1137" s="31">
        <f>IF($Y1137="",0,$Y1137)</f>
        <v/>
      </c>
    </row>
    <row r="1138">
      <c r="W1138" s="31">
        <f>IF(OR($B$5="",$C$6="",ROW()&lt;$B$5),"",IF(INDEX($A:$U,ROW(),$C$6)="","",INDEX($A:$U,ROW(),$C$6)))</f>
        <v/>
      </c>
      <c r="X1138" s="32">
        <f>IF($W1138="","",IF(ISNUMBER($W1138),IF($W1138&gt;=10000000,IFERROR(DATE(INT($W1138/10000),MOD(INT($W1138/100),100),MOD($W1138,100)),""),INT($W1138)),IFERROR(DATE(--LEFT(LEFT(SUBSTITUTE(SUBSTITUTE(SUBSTITUTE(SUBSTITUTE(TRIM($W1138),"-",""),".",""),"/","")," ",""),8),4),--MID(LEFT(SUBSTITUTE(SUBSTITUTE(SUBSTITUTE(SUBSTITUTE(TRIM($W1138),"-",""),".",""),"/","")," ",""),8),5,2),--MID(LEFT(SUBSTITUTE(SUBSTITUTE(SUBSTITUTE(SUBSTITUTE(TRIM($W1138),"-",""),".",""),"/","")," ",""),8),7,2)),"")))</f>
        <v/>
      </c>
      <c r="Y1138" s="32">
        <f>IF($X1138="","",INT($X1138))</f>
        <v/>
      </c>
      <c r="Z1138" s="33">
        <f>IF(OR($Y1138="",$D$6=""),"",IF(INDEX($A:$U,ROW(),$D$6)="",0,IF(ISNUMBER(INDEX($A:$U,ROW(),$D$6)),INDEX($A:$U,ROW(),$D$6),IFERROR(--SUBSTITUTE(SUBSTITUTE(TRIM(INDEX($A:$U,ROW(),$D$6)),",",""),"원",""),0))))</f>
        <v/>
      </c>
      <c r="AA1138" s="31">
        <f>IF($Y1138="","",TRIM(INDEX($A:$U,ROW(),$E$6)&amp;IF($F$6="",""," "&amp;INDEX($A:$U,ROW(),$F$6))))</f>
        <v/>
      </c>
      <c r="AB1138" s="31">
        <f>IF($AA1138="","",SUBSTITUTE(SUBSTITUTE(SUBSTITUTE(SUBSTITUTE(SUBSTITUTE(SUBSTITUTE(SUBSTITUTE(SUBSTITUTE(SUBSTITUTE($AA1138," ",""),"　",""),"(주)",""),"（주）",""),"㈜",""),"주식회사",""),"(유)",""),"（유）",""),"유한회사",""))</f>
        <v/>
      </c>
      <c r="AC1138" s="31">
        <f>IF(OR($Y1138="",N($Z1138)&lt;=0,$AB1138=""),0,IFERROR(LOOKUP(2,1/((거래처별!$AC$8:$AC$307&lt;&gt;"")*ISNUMBER(SEARCH(거래처별!$AC$8:$AC$307,$AB1138))),거래처별!$A$8:$A$307),IFERROR(LOOKUP(2,1/((거래처별!$AD$8:$AD$307&lt;&gt;"")*ISNUMBER(SEARCH(거래처별!$AD$8:$AD$307,$AB1138))),거래처별!$A$8:$A$307),IFERROR(LOOKUP(2,1/((거래처별!$AE$8:$AE$307&lt;&gt;"")*ISNUMBER(SEARCH(거래처별!$AE$8:$AE$307,$AB1138))),거래처별!$A$8:$A$307),0))))</f>
        <v/>
      </c>
      <c r="AD1138" s="31">
        <f>IF(AND($Y1138&lt;&gt;"",N($Z1138)&gt;0,$AC1138=0),MAX($AD$7:$AD1137)+1,"")</f>
        <v/>
      </c>
      <c r="AE1138" s="31">
        <f>IF($Y1138="",0,$Y1138)</f>
        <v/>
      </c>
    </row>
    <row r="1139">
      <c r="W1139" s="31">
        <f>IF(OR($B$5="",$C$6="",ROW()&lt;$B$5),"",IF(INDEX($A:$U,ROW(),$C$6)="","",INDEX($A:$U,ROW(),$C$6)))</f>
        <v/>
      </c>
      <c r="X1139" s="32">
        <f>IF($W1139="","",IF(ISNUMBER($W1139),IF($W1139&gt;=10000000,IFERROR(DATE(INT($W1139/10000),MOD(INT($W1139/100),100),MOD($W1139,100)),""),INT($W1139)),IFERROR(DATE(--LEFT(LEFT(SUBSTITUTE(SUBSTITUTE(SUBSTITUTE(SUBSTITUTE(TRIM($W1139),"-",""),".",""),"/","")," ",""),8),4),--MID(LEFT(SUBSTITUTE(SUBSTITUTE(SUBSTITUTE(SUBSTITUTE(TRIM($W1139),"-",""),".",""),"/","")," ",""),8),5,2),--MID(LEFT(SUBSTITUTE(SUBSTITUTE(SUBSTITUTE(SUBSTITUTE(TRIM($W1139),"-",""),".",""),"/","")," ",""),8),7,2)),"")))</f>
        <v/>
      </c>
      <c r="Y1139" s="32">
        <f>IF($X1139="","",INT($X1139))</f>
        <v/>
      </c>
      <c r="Z1139" s="33">
        <f>IF(OR($Y1139="",$D$6=""),"",IF(INDEX($A:$U,ROW(),$D$6)="",0,IF(ISNUMBER(INDEX($A:$U,ROW(),$D$6)),INDEX($A:$U,ROW(),$D$6),IFERROR(--SUBSTITUTE(SUBSTITUTE(TRIM(INDEX($A:$U,ROW(),$D$6)),",",""),"원",""),0))))</f>
        <v/>
      </c>
      <c r="AA1139" s="31">
        <f>IF($Y1139="","",TRIM(INDEX($A:$U,ROW(),$E$6)&amp;IF($F$6="",""," "&amp;INDEX($A:$U,ROW(),$F$6))))</f>
        <v/>
      </c>
      <c r="AB1139" s="31">
        <f>IF($AA1139="","",SUBSTITUTE(SUBSTITUTE(SUBSTITUTE(SUBSTITUTE(SUBSTITUTE(SUBSTITUTE(SUBSTITUTE(SUBSTITUTE(SUBSTITUTE($AA1139," ",""),"　",""),"(주)",""),"（주）",""),"㈜",""),"주식회사",""),"(유)",""),"（유）",""),"유한회사",""))</f>
        <v/>
      </c>
      <c r="AC1139" s="31">
        <f>IF(OR($Y1139="",N($Z1139)&lt;=0,$AB1139=""),0,IFERROR(LOOKUP(2,1/((거래처별!$AC$8:$AC$307&lt;&gt;"")*ISNUMBER(SEARCH(거래처별!$AC$8:$AC$307,$AB1139))),거래처별!$A$8:$A$307),IFERROR(LOOKUP(2,1/((거래처별!$AD$8:$AD$307&lt;&gt;"")*ISNUMBER(SEARCH(거래처별!$AD$8:$AD$307,$AB1139))),거래처별!$A$8:$A$307),IFERROR(LOOKUP(2,1/((거래처별!$AE$8:$AE$307&lt;&gt;"")*ISNUMBER(SEARCH(거래처별!$AE$8:$AE$307,$AB1139))),거래처별!$A$8:$A$307),0))))</f>
        <v/>
      </c>
      <c r="AD1139" s="31">
        <f>IF(AND($Y1139&lt;&gt;"",N($Z1139)&gt;0,$AC1139=0),MAX($AD$7:$AD1138)+1,"")</f>
        <v/>
      </c>
      <c r="AE1139" s="31">
        <f>IF($Y1139="",0,$Y1139)</f>
        <v/>
      </c>
    </row>
    <row r="1140">
      <c r="W1140" s="31">
        <f>IF(OR($B$5="",$C$6="",ROW()&lt;$B$5),"",IF(INDEX($A:$U,ROW(),$C$6)="","",INDEX($A:$U,ROW(),$C$6)))</f>
        <v/>
      </c>
      <c r="X1140" s="32">
        <f>IF($W1140="","",IF(ISNUMBER($W1140),IF($W1140&gt;=10000000,IFERROR(DATE(INT($W1140/10000),MOD(INT($W1140/100),100),MOD($W1140,100)),""),INT($W1140)),IFERROR(DATE(--LEFT(LEFT(SUBSTITUTE(SUBSTITUTE(SUBSTITUTE(SUBSTITUTE(TRIM($W1140),"-",""),".",""),"/","")," ",""),8),4),--MID(LEFT(SUBSTITUTE(SUBSTITUTE(SUBSTITUTE(SUBSTITUTE(TRIM($W1140),"-",""),".",""),"/","")," ",""),8),5,2),--MID(LEFT(SUBSTITUTE(SUBSTITUTE(SUBSTITUTE(SUBSTITUTE(TRIM($W1140),"-",""),".",""),"/","")," ",""),8),7,2)),"")))</f>
        <v/>
      </c>
      <c r="Y1140" s="32">
        <f>IF($X1140="","",INT($X1140))</f>
        <v/>
      </c>
      <c r="Z1140" s="33">
        <f>IF(OR($Y1140="",$D$6=""),"",IF(INDEX($A:$U,ROW(),$D$6)="",0,IF(ISNUMBER(INDEX($A:$U,ROW(),$D$6)),INDEX($A:$U,ROW(),$D$6),IFERROR(--SUBSTITUTE(SUBSTITUTE(TRIM(INDEX($A:$U,ROW(),$D$6)),",",""),"원",""),0))))</f>
        <v/>
      </c>
      <c r="AA1140" s="31">
        <f>IF($Y1140="","",TRIM(INDEX($A:$U,ROW(),$E$6)&amp;IF($F$6="",""," "&amp;INDEX($A:$U,ROW(),$F$6))))</f>
        <v/>
      </c>
      <c r="AB1140" s="31">
        <f>IF($AA1140="","",SUBSTITUTE(SUBSTITUTE(SUBSTITUTE(SUBSTITUTE(SUBSTITUTE(SUBSTITUTE(SUBSTITUTE(SUBSTITUTE(SUBSTITUTE($AA1140," ",""),"　",""),"(주)",""),"（주）",""),"㈜",""),"주식회사",""),"(유)",""),"（유）",""),"유한회사",""))</f>
        <v/>
      </c>
      <c r="AC1140" s="31">
        <f>IF(OR($Y1140="",N($Z1140)&lt;=0,$AB1140=""),0,IFERROR(LOOKUP(2,1/((거래처별!$AC$8:$AC$307&lt;&gt;"")*ISNUMBER(SEARCH(거래처별!$AC$8:$AC$307,$AB1140))),거래처별!$A$8:$A$307),IFERROR(LOOKUP(2,1/((거래처별!$AD$8:$AD$307&lt;&gt;"")*ISNUMBER(SEARCH(거래처별!$AD$8:$AD$307,$AB1140))),거래처별!$A$8:$A$307),IFERROR(LOOKUP(2,1/((거래처별!$AE$8:$AE$307&lt;&gt;"")*ISNUMBER(SEARCH(거래처별!$AE$8:$AE$307,$AB1140))),거래처별!$A$8:$A$307),0))))</f>
        <v/>
      </c>
      <c r="AD1140" s="31">
        <f>IF(AND($Y1140&lt;&gt;"",N($Z1140)&gt;0,$AC1140=0),MAX($AD$7:$AD1139)+1,"")</f>
        <v/>
      </c>
      <c r="AE1140" s="31">
        <f>IF($Y1140="",0,$Y1140)</f>
        <v/>
      </c>
    </row>
    <row r="1141">
      <c r="W1141" s="31">
        <f>IF(OR($B$5="",$C$6="",ROW()&lt;$B$5),"",IF(INDEX($A:$U,ROW(),$C$6)="","",INDEX($A:$U,ROW(),$C$6)))</f>
        <v/>
      </c>
      <c r="X1141" s="32">
        <f>IF($W1141="","",IF(ISNUMBER($W1141),IF($W1141&gt;=10000000,IFERROR(DATE(INT($W1141/10000),MOD(INT($W1141/100),100),MOD($W1141,100)),""),INT($W1141)),IFERROR(DATE(--LEFT(LEFT(SUBSTITUTE(SUBSTITUTE(SUBSTITUTE(SUBSTITUTE(TRIM($W1141),"-",""),".",""),"/","")," ",""),8),4),--MID(LEFT(SUBSTITUTE(SUBSTITUTE(SUBSTITUTE(SUBSTITUTE(TRIM($W1141),"-",""),".",""),"/","")," ",""),8),5,2),--MID(LEFT(SUBSTITUTE(SUBSTITUTE(SUBSTITUTE(SUBSTITUTE(TRIM($W1141),"-",""),".",""),"/","")," ",""),8),7,2)),"")))</f>
        <v/>
      </c>
      <c r="Y1141" s="32">
        <f>IF($X1141="","",INT($X1141))</f>
        <v/>
      </c>
      <c r="Z1141" s="33">
        <f>IF(OR($Y1141="",$D$6=""),"",IF(INDEX($A:$U,ROW(),$D$6)="",0,IF(ISNUMBER(INDEX($A:$U,ROW(),$D$6)),INDEX($A:$U,ROW(),$D$6),IFERROR(--SUBSTITUTE(SUBSTITUTE(TRIM(INDEX($A:$U,ROW(),$D$6)),",",""),"원",""),0))))</f>
        <v/>
      </c>
      <c r="AA1141" s="31">
        <f>IF($Y1141="","",TRIM(INDEX($A:$U,ROW(),$E$6)&amp;IF($F$6="",""," "&amp;INDEX($A:$U,ROW(),$F$6))))</f>
        <v/>
      </c>
      <c r="AB1141" s="31">
        <f>IF($AA1141="","",SUBSTITUTE(SUBSTITUTE(SUBSTITUTE(SUBSTITUTE(SUBSTITUTE(SUBSTITUTE(SUBSTITUTE(SUBSTITUTE(SUBSTITUTE($AA1141," ",""),"　",""),"(주)",""),"（주）",""),"㈜",""),"주식회사",""),"(유)",""),"（유）",""),"유한회사",""))</f>
        <v/>
      </c>
      <c r="AC1141" s="31">
        <f>IF(OR($Y1141="",N($Z1141)&lt;=0,$AB1141=""),0,IFERROR(LOOKUP(2,1/((거래처별!$AC$8:$AC$307&lt;&gt;"")*ISNUMBER(SEARCH(거래처별!$AC$8:$AC$307,$AB1141))),거래처별!$A$8:$A$307),IFERROR(LOOKUP(2,1/((거래처별!$AD$8:$AD$307&lt;&gt;"")*ISNUMBER(SEARCH(거래처별!$AD$8:$AD$307,$AB1141))),거래처별!$A$8:$A$307),IFERROR(LOOKUP(2,1/((거래처별!$AE$8:$AE$307&lt;&gt;"")*ISNUMBER(SEARCH(거래처별!$AE$8:$AE$307,$AB1141))),거래처별!$A$8:$A$307),0))))</f>
        <v/>
      </c>
      <c r="AD1141" s="31">
        <f>IF(AND($Y1141&lt;&gt;"",N($Z1141)&gt;0,$AC1141=0),MAX($AD$7:$AD1140)+1,"")</f>
        <v/>
      </c>
      <c r="AE1141" s="31">
        <f>IF($Y1141="",0,$Y1141)</f>
        <v/>
      </c>
    </row>
    <row r="1142">
      <c r="W1142" s="31">
        <f>IF(OR($B$5="",$C$6="",ROW()&lt;$B$5),"",IF(INDEX($A:$U,ROW(),$C$6)="","",INDEX($A:$U,ROW(),$C$6)))</f>
        <v/>
      </c>
      <c r="X1142" s="32">
        <f>IF($W1142="","",IF(ISNUMBER($W1142),IF($W1142&gt;=10000000,IFERROR(DATE(INT($W1142/10000),MOD(INT($W1142/100),100),MOD($W1142,100)),""),INT($W1142)),IFERROR(DATE(--LEFT(LEFT(SUBSTITUTE(SUBSTITUTE(SUBSTITUTE(SUBSTITUTE(TRIM($W1142),"-",""),".",""),"/","")," ",""),8),4),--MID(LEFT(SUBSTITUTE(SUBSTITUTE(SUBSTITUTE(SUBSTITUTE(TRIM($W1142),"-",""),".",""),"/","")," ",""),8),5,2),--MID(LEFT(SUBSTITUTE(SUBSTITUTE(SUBSTITUTE(SUBSTITUTE(TRIM($W1142),"-",""),".",""),"/","")," ",""),8),7,2)),"")))</f>
        <v/>
      </c>
      <c r="Y1142" s="32">
        <f>IF($X1142="","",INT($X1142))</f>
        <v/>
      </c>
      <c r="Z1142" s="33">
        <f>IF(OR($Y1142="",$D$6=""),"",IF(INDEX($A:$U,ROW(),$D$6)="",0,IF(ISNUMBER(INDEX($A:$U,ROW(),$D$6)),INDEX($A:$U,ROW(),$D$6),IFERROR(--SUBSTITUTE(SUBSTITUTE(TRIM(INDEX($A:$U,ROW(),$D$6)),",",""),"원",""),0))))</f>
        <v/>
      </c>
      <c r="AA1142" s="31">
        <f>IF($Y1142="","",TRIM(INDEX($A:$U,ROW(),$E$6)&amp;IF($F$6="",""," "&amp;INDEX($A:$U,ROW(),$F$6))))</f>
        <v/>
      </c>
      <c r="AB1142" s="31">
        <f>IF($AA1142="","",SUBSTITUTE(SUBSTITUTE(SUBSTITUTE(SUBSTITUTE(SUBSTITUTE(SUBSTITUTE(SUBSTITUTE(SUBSTITUTE(SUBSTITUTE($AA1142," ",""),"　",""),"(주)",""),"（주）",""),"㈜",""),"주식회사",""),"(유)",""),"（유）",""),"유한회사",""))</f>
        <v/>
      </c>
      <c r="AC1142" s="31">
        <f>IF(OR($Y1142="",N($Z1142)&lt;=0,$AB1142=""),0,IFERROR(LOOKUP(2,1/((거래처별!$AC$8:$AC$307&lt;&gt;"")*ISNUMBER(SEARCH(거래처별!$AC$8:$AC$307,$AB1142))),거래처별!$A$8:$A$307),IFERROR(LOOKUP(2,1/((거래처별!$AD$8:$AD$307&lt;&gt;"")*ISNUMBER(SEARCH(거래처별!$AD$8:$AD$307,$AB1142))),거래처별!$A$8:$A$307),IFERROR(LOOKUP(2,1/((거래처별!$AE$8:$AE$307&lt;&gt;"")*ISNUMBER(SEARCH(거래처별!$AE$8:$AE$307,$AB1142))),거래처별!$A$8:$A$307),0))))</f>
        <v/>
      </c>
      <c r="AD1142" s="31">
        <f>IF(AND($Y1142&lt;&gt;"",N($Z1142)&gt;0,$AC1142=0),MAX($AD$7:$AD1141)+1,"")</f>
        <v/>
      </c>
      <c r="AE1142" s="31">
        <f>IF($Y1142="",0,$Y1142)</f>
        <v/>
      </c>
    </row>
    <row r="1143">
      <c r="W1143" s="31">
        <f>IF(OR($B$5="",$C$6="",ROW()&lt;$B$5),"",IF(INDEX($A:$U,ROW(),$C$6)="","",INDEX($A:$U,ROW(),$C$6)))</f>
        <v/>
      </c>
      <c r="X1143" s="32">
        <f>IF($W1143="","",IF(ISNUMBER($W1143),IF($W1143&gt;=10000000,IFERROR(DATE(INT($W1143/10000),MOD(INT($W1143/100),100),MOD($W1143,100)),""),INT($W1143)),IFERROR(DATE(--LEFT(LEFT(SUBSTITUTE(SUBSTITUTE(SUBSTITUTE(SUBSTITUTE(TRIM($W1143),"-",""),".",""),"/","")," ",""),8),4),--MID(LEFT(SUBSTITUTE(SUBSTITUTE(SUBSTITUTE(SUBSTITUTE(TRIM($W1143),"-",""),".",""),"/","")," ",""),8),5,2),--MID(LEFT(SUBSTITUTE(SUBSTITUTE(SUBSTITUTE(SUBSTITUTE(TRIM($W1143),"-",""),".",""),"/","")," ",""),8),7,2)),"")))</f>
        <v/>
      </c>
      <c r="Y1143" s="32">
        <f>IF($X1143="","",INT($X1143))</f>
        <v/>
      </c>
      <c r="Z1143" s="33">
        <f>IF(OR($Y1143="",$D$6=""),"",IF(INDEX($A:$U,ROW(),$D$6)="",0,IF(ISNUMBER(INDEX($A:$U,ROW(),$D$6)),INDEX($A:$U,ROW(),$D$6),IFERROR(--SUBSTITUTE(SUBSTITUTE(TRIM(INDEX($A:$U,ROW(),$D$6)),",",""),"원",""),0))))</f>
        <v/>
      </c>
      <c r="AA1143" s="31">
        <f>IF($Y1143="","",TRIM(INDEX($A:$U,ROW(),$E$6)&amp;IF($F$6="",""," "&amp;INDEX($A:$U,ROW(),$F$6))))</f>
        <v/>
      </c>
      <c r="AB1143" s="31">
        <f>IF($AA1143="","",SUBSTITUTE(SUBSTITUTE(SUBSTITUTE(SUBSTITUTE(SUBSTITUTE(SUBSTITUTE(SUBSTITUTE(SUBSTITUTE(SUBSTITUTE($AA1143," ",""),"　",""),"(주)",""),"（주）",""),"㈜",""),"주식회사",""),"(유)",""),"（유）",""),"유한회사",""))</f>
        <v/>
      </c>
      <c r="AC1143" s="31">
        <f>IF(OR($Y1143="",N($Z1143)&lt;=0,$AB1143=""),0,IFERROR(LOOKUP(2,1/((거래처별!$AC$8:$AC$307&lt;&gt;"")*ISNUMBER(SEARCH(거래처별!$AC$8:$AC$307,$AB1143))),거래처별!$A$8:$A$307),IFERROR(LOOKUP(2,1/((거래처별!$AD$8:$AD$307&lt;&gt;"")*ISNUMBER(SEARCH(거래처별!$AD$8:$AD$307,$AB1143))),거래처별!$A$8:$A$307),IFERROR(LOOKUP(2,1/((거래처별!$AE$8:$AE$307&lt;&gt;"")*ISNUMBER(SEARCH(거래처별!$AE$8:$AE$307,$AB1143))),거래처별!$A$8:$A$307),0))))</f>
        <v/>
      </c>
      <c r="AD1143" s="31">
        <f>IF(AND($Y1143&lt;&gt;"",N($Z1143)&gt;0,$AC1143=0),MAX($AD$7:$AD1142)+1,"")</f>
        <v/>
      </c>
      <c r="AE1143" s="31">
        <f>IF($Y1143="",0,$Y1143)</f>
        <v/>
      </c>
    </row>
    <row r="1144">
      <c r="W1144" s="31">
        <f>IF(OR($B$5="",$C$6="",ROW()&lt;$B$5),"",IF(INDEX($A:$U,ROW(),$C$6)="","",INDEX($A:$U,ROW(),$C$6)))</f>
        <v/>
      </c>
      <c r="X1144" s="32">
        <f>IF($W1144="","",IF(ISNUMBER($W1144),IF($W1144&gt;=10000000,IFERROR(DATE(INT($W1144/10000),MOD(INT($W1144/100),100),MOD($W1144,100)),""),INT($W1144)),IFERROR(DATE(--LEFT(LEFT(SUBSTITUTE(SUBSTITUTE(SUBSTITUTE(SUBSTITUTE(TRIM($W1144),"-",""),".",""),"/","")," ",""),8),4),--MID(LEFT(SUBSTITUTE(SUBSTITUTE(SUBSTITUTE(SUBSTITUTE(TRIM($W1144),"-",""),".",""),"/","")," ",""),8),5,2),--MID(LEFT(SUBSTITUTE(SUBSTITUTE(SUBSTITUTE(SUBSTITUTE(TRIM($W1144),"-",""),".",""),"/","")," ",""),8),7,2)),"")))</f>
        <v/>
      </c>
      <c r="Y1144" s="32">
        <f>IF($X1144="","",INT($X1144))</f>
        <v/>
      </c>
      <c r="Z1144" s="33">
        <f>IF(OR($Y1144="",$D$6=""),"",IF(INDEX($A:$U,ROW(),$D$6)="",0,IF(ISNUMBER(INDEX($A:$U,ROW(),$D$6)),INDEX($A:$U,ROW(),$D$6),IFERROR(--SUBSTITUTE(SUBSTITUTE(TRIM(INDEX($A:$U,ROW(),$D$6)),",",""),"원",""),0))))</f>
        <v/>
      </c>
      <c r="AA1144" s="31">
        <f>IF($Y1144="","",TRIM(INDEX($A:$U,ROW(),$E$6)&amp;IF($F$6="",""," "&amp;INDEX($A:$U,ROW(),$F$6))))</f>
        <v/>
      </c>
      <c r="AB1144" s="31">
        <f>IF($AA1144="","",SUBSTITUTE(SUBSTITUTE(SUBSTITUTE(SUBSTITUTE(SUBSTITUTE(SUBSTITUTE(SUBSTITUTE(SUBSTITUTE(SUBSTITUTE($AA1144," ",""),"　",""),"(주)",""),"（주）",""),"㈜",""),"주식회사",""),"(유)",""),"（유）",""),"유한회사",""))</f>
        <v/>
      </c>
      <c r="AC1144" s="31">
        <f>IF(OR($Y1144="",N($Z1144)&lt;=0,$AB1144=""),0,IFERROR(LOOKUP(2,1/((거래처별!$AC$8:$AC$307&lt;&gt;"")*ISNUMBER(SEARCH(거래처별!$AC$8:$AC$307,$AB1144))),거래처별!$A$8:$A$307),IFERROR(LOOKUP(2,1/((거래처별!$AD$8:$AD$307&lt;&gt;"")*ISNUMBER(SEARCH(거래처별!$AD$8:$AD$307,$AB1144))),거래처별!$A$8:$A$307),IFERROR(LOOKUP(2,1/((거래처별!$AE$8:$AE$307&lt;&gt;"")*ISNUMBER(SEARCH(거래처별!$AE$8:$AE$307,$AB1144))),거래처별!$A$8:$A$307),0))))</f>
        <v/>
      </c>
      <c r="AD1144" s="31">
        <f>IF(AND($Y1144&lt;&gt;"",N($Z1144)&gt;0,$AC1144=0),MAX($AD$7:$AD1143)+1,"")</f>
        <v/>
      </c>
      <c r="AE1144" s="31">
        <f>IF($Y1144="",0,$Y1144)</f>
        <v/>
      </c>
    </row>
    <row r="1145">
      <c r="W1145" s="31">
        <f>IF(OR($B$5="",$C$6="",ROW()&lt;$B$5),"",IF(INDEX($A:$U,ROW(),$C$6)="","",INDEX($A:$U,ROW(),$C$6)))</f>
        <v/>
      </c>
      <c r="X1145" s="32">
        <f>IF($W1145="","",IF(ISNUMBER($W1145),IF($W1145&gt;=10000000,IFERROR(DATE(INT($W1145/10000),MOD(INT($W1145/100),100),MOD($W1145,100)),""),INT($W1145)),IFERROR(DATE(--LEFT(LEFT(SUBSTITUTE(SUBSTITUTE(SUBSTITUTE(SUBSTITUTE(TRIM($W1145),"-",""),".",""),"/","")," ",""),8),4),--MID(LEFT(SUBSTITUTE(SUBSTITUTE(SUBSTITUTE(SUBSTITUTE(TRIM($W1145),"-",""),".",""),"/","")," ",""),8),5,2),--MID(LEFT(SUBSTITUTE(SUBSTITUTE(SUBSTITUTE(SUBSTITUTE(TRIM($W1145),"-",""),".",""),"/","")," ",""),8),7,2)),"")))</f>
        <v/>
      </c>
      <c r="Y1145" s="32">
        <f>IF($X1145="","",INT($X1145))</f>
        <v/>
      </c>
      <c r="Z1145" s="33">
        <f>IF(OR($Y1145="",$D$6=""),"",IF(INDEX($A:$U,ROW(),$D$6)="",0,IF(ISNUMBER(INDEX($A:$U,ROW(),$D$6)),INDEX($A:$U,ROW(),$D$6),IFERROR(--SUBSTITUTE(SUBSTITUTE(TRIM(INDEX($A:$U,ROW(),$D$6)),",",""),"원",""),0))))</f>
        <v/>
      </c>
      <c r="AA1145" s="31">
        <f>IF($Y1145="","",TRIM(INDEX($A:$U,ROW(),$E$6)&amp;IF($F$6="",""," "&amp;INDEX($A:$U,ROW(),$F$6))))</f>
        <v/>
      </c>
      <c r="AB1145" s="31">
        <f>IF($AA1145="","",SUBSTITUTE(SUBSTITUTE(SUBSTITUTE(SUBSTITUTE(SUBSTITUTE(SUBSTITUTE(SUBSTITUTE(SUBSTITUTE(SUBSTITUTE($AA1145," ",""),"　",""),"(주)",""),"（주）",""),"㈜",""),"주식회사",""),"(유)",""),"（유）",""),"유한회사",""))</f>
        <v/>
      </c>
      <c r="AC1145" s="31">
        <f>IF(OR($Y1145="",N($Z1145)&lt;=0,$AB1145=""),0,IFERROR(LOOKUP(2,1/((거래처별!$AC$8:$AC$307&lt;&gt;"")*ISNUMBER(SEARCH(거래처별!$AC$8:$AC$307,$AB1145))),거래처별!$A$8:$A$307),IFERROR(LOOKUP(2,1/((거래처별!$AD$8:$AD$307&lt;&gt;"")*ISNUMBER(SEARCH(거래처별!$AD$8:$AD$307,$AB1145))),거래처별!$A$8:$A$307),IFERROR(LOOKUP(2,1/((거래처별!$AE$8:$AE$307&lt;&gt;"")*ISNUMBER(SEARCH(거래처별!$AE$8:$AE$307,$AB1145))),거래처별!$A$8:$A$307),0))))</f>
        <v/>
      </c>
      <c r="AD1145" s="31">
        <f>IF(AND($Y1145&lt;&gt;"",N($Z1145)&gt;0,$AC1145=0),MAX($AD$7:$AD1144)+1,"")</f>
        <v/>
      </c>
      <c r="AE1145" s="31">
        <f>IF($Y1145="",0,$Y1145)</f>
        <v/>
      </c>
    </row>
    <row r="1146">
      <c r="W1146" s="31">
        <f>IF(OR($B$5="",$C$6="",ROW()&lt;$B$5),"",IF(INDEX($A:$U,ROW(),$C$6)="","",INDEX($A:$U,ROW(),$C$6)))</f>
        <v/>
      </c>
      <c r="X1146" s="32">
        <f>IF($W1146="","",IF(ISNUMBER($W1146),IF($W1146&gt;=10000000,IFERROR(DATE(INT($W1146/10000),MOD(INT($W1146/100),100),MOD($W1146,100)),""),INT($W1146)),IFERROR(DATE(--LEFT(LEFT(SUBSTITUTE(SUBSTITUTE(SUBSTITUTE(SUBSTITUTE(TRIM($W1146),"-",""),".",""),"/","")," ",""),8),4),--MID(LEFT(SUBSTITUTE(SUBSTITUTE(SUBSTITUTE(SUBSTITUTE(TRIM($W1146),"-",""),".",""),"/","")," ",""),8),5,2),--MID(LEFT(SUBSTITUTE(SUBSTITUTE(SUBSTITUTE(SUBSTITUTE(TRIM($W1146),"-",""),".",""),"/","")," ",""),8),7,2)),"")))</f>
        <v/>
      </c>
      <c r="Y1146" s="32">
        <f>IF($X1146="","",INT($X1146))</f>
        <v/>
      </c>
      <c r="Z1146" s="33">
        <f>IF(OR($Y1146="",$D$6=""),"",IF(INDEX($A:$U,ROW(),$D$6)="",0,IF(ISNUMBER(INDEX($A:$U,ROW(),$D$6)),INDEX($A:$U,ROW(),$D$6),IFERROR(--SUBSTITUTE(SUBSTITUTE(TRIM(INDEX($A:$U,ROW(),$D$6)),",",""),"원",""),0))))</f>
        <v/>
      </c>
      <c r="AA1146" s="31">
        <f>IF($Y1146="","",TRIM(INDEX($A:$U,ROW(),$E$6)&amp;IF($F$6="",""," "&amp;INDEX($A:$U,ROW(),$F$6))))</f>
        <v/>
      </c>
      <c r="AB1146" s="31">
        <f>IF($AA1146="","",SUBSTITUTE(SUBSTITUTE(SUBSTITUTE(SUBSTITUTE(SUBSTITUTE(SUBSTITUTE(SUBSTITUTE(SUBSTITUTE(SUBSTITUTE($AA1146," ",""),"　",""),"(주)",""),"（주）",""),"㈜",""),"주식회사",""),"(유)",""),"（유）",""),"유한회사",""))</f>
        <v/>
      </c>
      <c r="AC1146" s="31">
        <f>IF(OR($Y1146="",N($Z1146)&lt;=0,$AB1146=""),0,IFERROR(LOOKUP(2,1/((거래처별!$AC$8:$AC$307&lt;&gt;"")*ISNUMBER(SEARCH(거래처별!$AC$8:$AC$307,$AB1146))),거래처별!$A$8:$A$307),IFERROR(LOOKUP(2,1/((거래처별!$AD$8:$AD$307&lt;&gt;"")*ISNUMBER(SEARCH(거래처별!$AD$8:$AD$307,$AB1146))),거래처별!$A$8:$A$307),IFERROR(LOOKUP(2,1/((거래처별!$AE$8:$AE$307&lt;&gt;"")*ISNUMBER(SEARCH(거래처별!$AE$8:$AE$307,$AB1146))),거래처별!$A$8:$A$307),0))))</f>
        <v/>
      </c>
      <c r="AD1146" s="31">
        <f>IF(AND($Y1146&lt;&gt;"",N($Z1146)&gt;0,$AC1146=0),MAX($AD$7:$AD1145)+1,"")</f>
        <v/>
      </c>
      <c r="AE1146" s="31">
        <f>IF($Y1146="",0,$Y1146)</f>
        <v/>
      </c>
    </row>
    <row r="1147">
      <c r="W1147" s="31">
        <f>IF(OR($B$5="",$C$6="",ROW()&lt;$B$5),"",IF(INDEX($A:$U,ROW(),$C$6)="","",INDEX($A:$U,ROW(),$C$6)))</f>
        <v/>
      </c>
      <c r="X1147" s="32">
        <f>IF($W1147="","",IF(ISNUMBER($W1147),IF($W1147&gt;=10000000,IFERROR(DATE(INT($W1147/10000),MOD(INT($W1147/100),100),MOD($W1147,100)),""),INT($W1147)),IFERROR(DATE(--LEFT(LEFT(SUBSTITUTE(SUBSTITUTE(SUBSTITUTE(SUBSTITUTE(TRIM($W1147),"-",""),".",""),"/","")," ",""),8),4),--MID(LEFT(SUBSTITUTE(SUBSTITUTE(SUBSTITUTE(SUBSTITUTE(TRIM($W1147),"-",""),".",""),"/","")," ",""),8),5,2),--MID(LEFT(SUBSTITUTE(SUBSTITUTE(SUBSTITUTE(SUBSTITUTE(TRIM($W1147),"-",""),".",""),"/","")," ",""),8),7,2)),"")))</f>
        <v/>
      </c>
      <c r="Y1147" s="32">
        <f>IF($X1147="","",INT($X1147))</f>
        <v/>
      </c>
      <c r="Z1147" s="33">
        <f>IF(OR($Y1147="",$D$6=""),"",IF(INDEX($A:$U,ROW(),$D$6)="",0,IF(ISNUMBER(INDEX($A:$U,ROW(),$D$6)),INDEX($A:$U,ROW(),$D$6),IFERROR(--SUBSTITUTE(SUBSTITUTE(TRIM(INDEX($A:$U,ROW(),$D$6)),",",""),"원",""),0))))</f>
        <v/>
      </c>
      <c r="AA1147" s="31">
        <f>IF($Y1147="","",TRIM(INDEX($A:$U,ROW(),$E$6)&amp;IF($F$6="",""," "&amp;INDEX($A:$U,ROW(),$F$6))))</f>
        <v/>
      </c>
      <c r="AB1147" s="31">
        <f>IF($AA1147="","",SUBSTITUTE(SUBSTITUTE(SUBSTITUTE(SUBSTITUTE(SUBSTITUTE(SUBSTITUTE(SUBSTITUTE(SUBSTITUTE(SUBSTITUTE($AA1147," ",""),"　",""),"(주)",""),"（주）",""),"㈜",""),"주식회사",""),"(유)",""),"（유）",""),"유한회사",""))</f>
        <v/>
      </c>
      <c r="AC1147" s="31">
        <f>IF(OR($Y1147="",N($Z1147)&lt;=0,$AB1147=""),0,IFERROR(LOOKUP(2,1/((거래처별!$AC$8:$AC$307&lt;&gt;"")*ISNUMBER(SEARCH(거래처별!$AC$8:$AC$307,$AB1147))),거래처별!$A$8:$A$307),IFERROR(LOOKUP(2,1/((거래처별!$AD$8:$AD$307&lt;&gt;"")*ISNUMBER(SEARCH(거래처별!$AD$8:$AD$307,$AB1147))),거래처별!$A$8:$A$307),IFERROR(LOOKUP(2,1/((거래처별!$AE$8:$AE$307&lt;&gt;"")*ISNUMBER(SEARCH(거래처별!$AE$8:$AE$307,$AB1147))),거래처별!$A$8:$A$307),0))))</f>
        <v/>
      </c>
      <c r="AD1147" s="31">
        <f>IF(AND($Y1147&lt;&gt;"",N($Z1147)&gt;0,$AC1147=0),MAX($AD$7:$AD1146)+1,"")</f>
        <v/>
      </c>
      <c r="AE1147" s="31">
        <f>IF($Y1147="",0,$Y1147)</f>
        <v/>
      </c>
    </row>
    <row r="1148">
      <c r="W1148" s="31">
        <f>IF(OR($B$5="",$C$6="",ROW()&lt;$B$5),"",IF(INDEX($A:$U,ROW(),$C$6)="","",INDEX($A:$U,ROW(),$C$6)))</f>
        <v/>
      </c>
      <c r="X1148" s="32">
        <f>IF($W1148="","",IF(ISNUMBER($W1148),IF($W1148&gt;=10000000,IFERROR(DATE(INT($W1148/10000),MOD(INT($W1148/100),100),MOD($W1148,100)),""),INT($W1148)),IFERROR(DATE(--LEFT(LEFT(SUBSTITUTE(SUBSTITUTE(SUBSTITUTE(SUBSTITUTE(TRIM($W1148),"-",""),".",""),"/","")," ",""),8),4),--MID(LEFT(SUBSTITUTE(SUBSTITUTE(SUBSTITUTE(SUBSTITUTE(TRIM($W1148),"-",""),".",""),"/","")," ",""),8),5,2),--MID(LEFT(SUBSTITUTE(SUBSTITUTE(SUBSTITUTE(SUBSTITUTE(TRIM($W1148),"-",""),".",""),"/","")," ",""),8),7,2)),"")))</f>
        <v/>
      </c>
      <c r="Y1148" s="32">
        <f>IF($X1148="","",INT($X1148))</f>
        <v/>
      </c>
      <c r="Z1148" s="33">
        <f>IF(OR($Y1148="",$D$6=""),"",IF(INDEX($A:$U,ROW(),$D$6)="",0,IF(ISNUMBER(INDEX($A:$U,ROW(),$D$6)),INDEX($A:$U,ROW(),$D$6),IFERROR(--SUBSTITUTE(SUBSTITUTE(TRIM(INDEX($A:$U,ROW(),$D$6)),",",""),"원",""),0))))</f>
        <v/>
      </c>
      <c r="AA1148" s="31">
        <f>IF($Y1148="","",TRIM(INDEX($A:$U,ROW(),$E$6)&amp;IF($F$6="",""," "&amp;INDEX($A:$U,ROW(),$F$6))))</f>
        <v/>
      </c>
      <c r="AB1148" s="31">
        <f>IF($AA1148="","",SUBSTITUTE(SUBSTITUTE(SUBSTITUTE(SUBSTITUTE(SUBSTITUTE(SUBSTITUTE(SUBSTITUTE(SUBSTITUTE(SUBSTITUTE($AA1148," ",""),"　",""),"(주)",""),"（주）",""),"㈜",""),"주식회사",""),"(유)",""),"（유）",""),"유한회사",""))</f>
        <v/>
      </c>
      <c r="AC1148" s="31">
        <f>IF(OR($Y1148="",N($Z1148)&lt;=0,$AB1148=""),0,IFERROR(LOOKUP(2,1/((거래처별!$AC$8:$AC$307&lt;&gt;"")*ISNUMBER(SEARCH(거래처별!$AC$8:$AC$307,$AB1148))),거래처별!$A$8:$A$307),IFERROR(LOOKUP(2,1/((거래처별!$AD$8:$AD$307&lt;&gt;"")*ISNUMBER(SEARCH(거래처별!$AD$8:$AD$307,$AB1148))),거래처별!$A$8:$A$307),IFERROR(LOOKUP(2,1/((거래처별!$AE$8:$AE$307&lt;&gt;"")*ISNUMBER(SEARCH(거래처별!$AE$8:$AE$307,$AB1148))),거래처별!$A$8:$A$307),0))))</f>
        <v/>
      </c>
      <c r="AD1148" s="31">
        <f>IF(AND($Y1148&lt;&gt;"",N($Z1148)&gt;0,$AC1148=0),MAX($AD$7:$AD1147)+1,"")</f>
        <v/>
      </c>
      <c r="AE1148" s="31">
        <f>IF($Y1148="",0,$Y1148)</f>
        <v/>
      </c>
    </row>
    <row r="1149">
      <c r="W1149" s="31">
        <f>IF(OR($B$5="",$C$6="",ROW()&lt;$B$5),"",IF(INDEX($A:$U,ROW(),$C$6)="","",INDEX($A:$U,ROW(),$C$6)))</f>
        <v/>
      </c>
      <c r="X1149" s="32">
        <f>IF($W1149="","",IF(ISNUMBER($W1149),IF($W1149&gt;=10000000,IFERROR(DATE(INT($W1149/10000),MOD(INT($W1149/100),100),MOD($W1149,100)),""),INT($W1149)),IFERROR(DATE(--LEFT(LEFT(SUBSTITUTE(SUBSTITUTE(SUBSTITUTE(SUBSTITUTE(TRIM($W1149),"-",""),".",""),"/","")," ",""),8),4),--MID(LEFT(SUBSTITUTE(SUBSTITUTE(SUBSTITUTE(SUBSTITUTE(TRIM($W1149),"-",""),".",""),"/","")," ",""),8),5,2),--MID(LEFT(SUBSTITUTE(SUBSTITUTE(SUBSTITUTE(SUBSTITUTE(TRIM($W1149),"-",""),".",""),"/","")," ",""),8),7,2)),"")))</f>
        <v/>
      </c>
      <c r="Y1149" s="32">
        <f>IF($X1149="","",INT($X1149))</f>
        <v/>
      </c>
      <c r="Z1149" s="33">
        <f>IF(OR($Y1149="",$D$6=""),"",IF(INDEX($A:$U,ROW(),$D$6)="",0,IF(ISNUMBER(INDEX($A:$U,ROW(),$D$6)),INDEX($A:$U,ROW(),$D$6),IFERROR(--SUBSTITUTE(SUBSTITUTE(TRIM(INDEX($A:$U,ROW(),$D$6)),",",""),"원",""),0))))</f>
        <v/>
      </c>
      <c r="AA1149" s="31">
        <f>IF($Y1149="","",TRIM(INDEX($A:$U,ROW(),$E$6)&amp;IF($F$6="",""," "&amp;INDEX($A:$U,ROW(),$F$6))))</f>
        <v/>
      </c>
      <c r="AB1149" s="31">
        <f>IF($AA1149="","",SUBSTITUTE(SUBSTITUTE(SUBSTITUTE(SUBSTITUTE(SUBSTITUTE(SUBSTITUTE(SUBSTITUTE(SUBSTITUTE(SUBSTITUTE($AA1149," ",""),"　",""),"(주)",""),"（주）",""),"㈜",""),"주식회사",""),"(유)",""),"（유）",""),"유한회사",""))</f>
        <v/>
      </c>
      <c r="AC1149" s="31">
        <f>IF(OR($Y1149="",N($Z1149)&lt;=0,$AB1149=""),0,IFERROR(LOOKUP(2,1/((거래처별!$AC$8:$AC$307&lt;&gt;"")*ISNUMBER(SEARCH(거래처별!$AC$8:$AC$307,$AB1149))),거래처별!$A$8:$A$307),IFERROR(LOOKUP(2,1/((거래처별!$AD$8:$AD$307&lt;&gt;"")*ISNUMBER(SEARCH(거래처별!$AD$8:$AD$307,$AB1149))),거래처별!$A$8:$A$307),IFERROR(LOOKUP(2,1/((거래처별!$AE$8:$AE$307&lt;&gt;"")*ISNUMBER(SEARCH(거래처별!$AE$8:$AE$307,$AB1149))),거래처별!$A$8:$A$307),0))))</f>
        <v/>
      </c>
      <c r="AD1149" s="31">
        <f>IF(AND($Y1149&lt;&gt;"",N($Z1149)&gt;0,$AC1149=0),MAX($AD$7:$AD1148)+1,"")</f>
        <v/>
      </c>
      <c r="AE1149" s="31">
        <f>IF($Y1149="",0,$Y1149)</f>
        <v/>
      </c>
    </row>
    <row r="1150">
      <c r="W1150" s="31">
        <f>IF(OR($B$5="",$C$6="",ROW()&lt;$B$5),"",IF(INDEX($A:$U,ROW(),$C$6)="","",INDEX($A:$U,ROW(),$C$6)))</f>
        <v/>
      </c>
      <c r="X1150" s="32">
        <f>IF($W1150="","",IF(ISNUMBER($W1150),IF($W1150&gt;=10000000,IFERROR(DATE(INT($W1150/10000),MOD(INT($W1150/100),100),MOD($W1150,100)),""),INT($W1150)),IFERROR(DATE(--LEFT(LEFT(SUBSTITUTE(SUBSTITUTE(SUBSTITUTE(SUBSTITUTE(TRIM($W1150),"-",""),".",""),"/","")," ",""),8),4),--MID(LEFT(SUBSTITUTE(SUBSTITUTE(SUBSTITUTE(SUBSTITUTE(TRIM($W1150),"-",""),".",""),"/","")," ",""),8),5,2),--MID(LEFT(SUBSTITUTE(SUBSTITUTE(SUBSTITUTE(SUBSTITUTE(TRIM($W1150),"-",""),".",""),"/","")," ",""),8),7,2)),"")))</f>
        <v/>
      </c>
      <c r="Y1150" s="32">
        <f>IF($X1150="","",INT($X1150))</f>
        <v/>
      </c>
      <c r="Z1150" s="33">
        <f>IF(OR($Y1150="",$D$6=""),"",IF(INDEX($A:$U,ROW(),$D$6)="",0,IF(ISNUMBER(INDEX($A:$U,ROW(),$D$6)),INDEX($A:$U,ROW(),$D$6),IFERROR(--SUBSTITUTE(SUBSTITUTE(TRIM(INDEX($A:$U,ROW(),$D$6)),",",""),"원",""),0))))</f>
        <v/>
      </c>
      <c r="AA1150" s="31">
        <f>IF($Y1150="","",TRIM(INDEX($A:$U,ROW(),$E$6)&amp;IF($F$6="",""," "&amp;INDEX($A:$U,ROW(),$F$6))))</f>
        <v/>
      </c>
      <c r="AB1150" s="31">
        <f>IF($AA1150="","",SUBSTITUTE(SUBSTITUTE(SUBSTITUTE(SUBSTITUTE(SUBSTITUTE(SUBSTITUTE(SUBSTITUTE(SUBSTITUTE(SUBSTITUTE($AA1150," ",""),"　",""),"(주)",""),"（주）",""),"㈜",""),"주식회사",""),"(유)",""),"（유）",""),"유한회사",""))</f>
        <v/>
      </c>
      <c r="AC1150" s="31">
        <f>IF(OR($Y1150="",N($Z1150)&lt;=0,$AB1150=""),0,IFERROR(LOOKUP(2,1/((거래처별!$AC$8:$AC$307&lt;&gt;"")*ISNUMBER(SEARCH(거래처별!$AC$8:$AC$307,$AB1150))),거래처별!$A$8:$A$307),IFERROR(LOOKUP(2,1/((거래처별!$AD$8:$AD$307&lt;&gt;"")*ISNUMBER(SEARCH(거래처별!$AD$8:$AD$307,$AB1150))),거래처별!$A$8:$A$307),IFERROR(LOOKUP(2,1/((거래처별!$AE$8:$AE$307&lt;&gt;"")*ISNUMBER(SEARCH(거래처별!$AE$8:$AE$307,$AB1150))),거래처별!$A$8:$A$307),0))))</f>
        <v/>
      </c>
      <c r="AD1150" s="31">
        <f>IF(AND($Y1150&lt;&gt;"",N($Z1150)&gt;0,$AC1150=0),MAX($AD$7:$AD1149)+1,"")</f>
        <v/>
      </c>
      <c r="AE1150" s="31">
        <f>IF($Y1150="",0,$Y1150)</f>
        <v/>
      </c>
    </row>
    <row r="1151">
      <c r="W1151" s="31">
        <f>IF(OR($B$5="",$C$6="",ROW()&lt;$B$5),"",IF(INDEX($A:$U,ROW(),$C$6)="","",INDEX($A:$U,ROW(),$C$6)))</f>
        <v/>
      </c>
      <c r="X1151" s="32">
        <f>IF($W1151="","",IF(ISNUMBER($W1151),IF($W1151&gt;=10000000,IFERROR(DATE(INT($W1151/10000),MOD(INT($W1151/100),100),MOD($W1151,100)),""),INT($W1151)),IFERROR(DATE(--LEFT(LEFT(SUBSTITUTE(SUBSTITUTE(SUBSTITUTE(SUBSTITUTE(TRIM($W1151),"-",""),".",""),"/","")," ",""),8),4),--MID(LEFT(SUBSTITUTE(SUBSTITUTE(SUBSTITUTE(SUBSTITUTE(TRIM($W1151),"-",""),".",""),"/","")," ",""),8),5,2),--MID(LEFT(SUBSTITUTE(SUBSTITUTE(SUBSTITUTE(SUBSTITUTE(TRIM($W1151),"-",""),".",""),"/","")," ",""),8),7,2)),"")))</f>
        <v/>
      </c>
      <c r="Y1151" s="32">
        <f>IF($X1151="","",INT($X1151))</f>
        <v/>
      </c>
      <c r="Z1151" s="33">
        <f>IF(OR($Y1151="",$D$6=""),"",IF(INDEX($A:$U,ROW(),$D$6)="",0,IF(ISNUMBER(INDEX($A:$U,ROW(),$D$6)),INDEX($A:$U,ROW(),$D$6),IFERROR(--SUBSTITUTE(SUBSTITUTE(TRIM(INDEX($A:$U,ROW(),$D$6)),",",""),"원",""),0))))</f>
        <v/>
      </c>
      <c r="AA1151" s="31">
        <f>IF($Y1151="","",TRIM(INDEX($A:$U,ROW(),$E$6)&amp;IF($F$6="",""," "&amp;INDEX($A:$U,ROW(),$F$6))))</f>
        <v/>
      </c>
      <c r="AB1151" s="31">
        <f>IF($AA1151="","",SUBSTITUTE(SUBSTITUTE(SUBSTITUTE(SUBSTITUTE(SUBSTITUTE(SUBSTITUTE(SUBSTITUTE(SUBSTITUTE(SUBSTITUTE($AA1151," ",""),"　",""),"(주)",""),"（주）",""),"㈜",""),"주식회사",""),"(유)",""),"（유）",""),"유한회사",""))</f>
        <v/>
      </c>
      <c r="AC1151" s="31">
        <f>IF(OR($Y1151="",N($Z1151)&lt;=0,$AB1151=""),0,IFERROR(LOOKUP(2,1/((거래처별!$AC$8:$AC$307&lt;&gt;"")*ISNUMBER(SEARCH(거래처별!$AC$8:$AC$307,$AB1151))),거래처별!$A$8:$A$307),IFERROR(LOOKUP(2,1/((거래처별!$AD$8:$AD$307&lt;&gt;"")*ISNUMBER(SEARCH(거래처별!$AD$8:$AD$307,$AB1151))),거래처별!$A$8:$A$307),IFERROR(LOOKUP(2,1/((거래처별!$AE$8:$AE$307&lt;&gt;"")*ISNUMBER(SEARCH(거래처별!$AE$8:$AE$307,$AB1151))),거래처별!$A$8:$A$307),0))))</f>
        <v/>
      </c>
      <c r="AD1151" s="31">
        <f>IF(AND($Y1151&lt;&gt;"",N($Z1151)&gt;0,$AC1151=0),MAX($AD$7:$AD1150)+1,"")</f>
        <v/>
      </c>
      <c r="AE1151" s="31">
        <f>IF($Y1151="",0,$Y1151)</f>
        <v/>
      </c>
    </row>
    <row r="1152">
      <c r="W1152" s="31">
        <f>IF(OR($B$5="",$C$6="",ROW()&lt;$B$5),"",IF(INDEX($A:$U,ROW(),$C$6)="","",INDEX($A:$U,ROW(),$C$6)))</f>
        <v/>
      </c>
      <c r="X1152" s="32">
        <f>IF($W1152="","",IF(ISNUMBER($W1152),IF($W1152&gt;=10000000,IFERROR(DATE(INT($W1152/10000),MOD(INT($W1152/100),100),MOD($W1152,100)),""),INT($W1152)),IFERROR(DATE(--LEFT(LEFT(SUBSTITUTE(SUBSTITUTE(SUBSTITUTE(SUBSTITUTE(TRIM($W1152),"-",""),".",""),"/","")," ",""),8),4),--MID(LEFT(SUBSTITUTE(SUBSTITUTE(SUBSTITUTE(SUBSTITUTE(TRIM($W1152),"-",""),".",""),"/","")," ",""),8),5,2),--MID(LEFT(SUBSTITUTE(SUBSTITUTE(SUBSTITUTE(SUBSTITUTE(TRIM($W1152),"-",""),".",""),"/","")," ",""),8),7,2)),"")))</f>
        <v/>
      </c>
      <c r="Y1152" s="32">
        <f>IF($X1152="","",INT($X1152))</f>
        <v/>
      </c>
      <c r="Z1152" s="33">
        <f>IF(OR($Y1152="",$D$6=""),"",IF(INDEX($A:$U,ROW(),$D$6)="",0,IF(ISNUMBER(INDEX($A:$U,ROW(),$D$6)),INDEX($A:$U,ROW(),$D$6),IFERROR(--SUBSTITUTE(SUBSTITUTE(TRIM(INDEX($A:$U,ROW(),$D$6)),",",""),"원",""),0))))</f>
        <v/>
      </c>
      <c r="AA1152" s="31">
        <f>IF($Y1152="","",TRIM(INDEX($A:$U,ROW(),$E$6)&amp;IF($F$6="",""," "&amp;INDEX($A:$U,ROW(),$F$6))))</f>
        <v/>
      </c>
      <c r="AB1152" s="31">
        <f>IF($AA1152="","",SUBSTITUTE(SUBSTITUTE(SUBSTITUTE(SUBSTITUTE(SUBSTITUTE(SUBSTITUTE(SUBSTITUTE(SUBSTITUTE(SUBSTITUTE($AA1152," ",""),"　",""),"(주)",""),"（주）",""),"㈜",""),"주식회사",""),"(유)",""),"（유）",""),"유한회사",""))</f>
        <v/>
      </c>
      <c r="AC1152" s="31">
        <f>IF(OR($Y1152="",N($Z1152)&lt;=0,$AB1152=""),0,IFERROR(LOOKUP(2,1/((거래처별!$AC$8:$AC$307&lt;&gt;"")*ISNUMBER(SEARCH(거래처별!$AC$8:$AC$307,$AB1152))),거래처별!$A$8:$A$307),IFERROR(LOOKUP(2,1/((거래처별!$AD$8:$AD$307&lt;&gt;"")*ISNUMBER(SEARCH(거래처별!$AD$8:$AD$307,$AB1152))),거래처별!$A$8:$A$307),IFERROR(LOOKUP(2,1/((거래처별!$AE$8:$AE$307&lt;&gt;"")*ISNUMBER(SEARCH(거래처별!$AE$8:$AE$307,$AB1152))),거래처별!$A$8:$A$307),0))))</f>
        <v/>
      </c>
      <c r="AD1152" s="31">
        <f>IF(AND($Y1152&lt;&gt;"",N($Z1152)&gt;0,$AC1152=0),MAX($AD$7:$AD1151)+1,"")</f>
        <v/>
      </c>
      <c r="AE1152" s="31">
        <f>IF($Y1152="",0,$Y1152)</f>
        <v/>
      </c>
    </row>
    <row r="1153">
      <c r="W1153" s="31">
        <f>IF(OR($B$5="",$C$6="",ROW()&lt;$B$5),"",IF(INDEX($A:$U,ROW(),$C$6)="","",INDEX($A:$U,ROW(),$C$6)))</f>
        <v/>
      </c>
      <c r="X1153" s="32">
        <f>IF($W1153="","",IF(ISNUMBER($W1153),IF($W1153&gt;=10000000,IFERROR(DATE(INT($W1153/10000),MOD(INT($W1153/100),100),MOD($W1153,100)),""),INT($W1153)),IFERROR(DATE(--LEFT(LEFT(SUBSTITUTE(SUBSTITUTE(SUBSTITUTE(SUBSTITUTE(TRIM($W1153),"-",""),".",""),"/","")," ",""),8),4),--MID(LEFT(SUBSTITUTE(SUBSTITUTE(SUBSTITUTE(SUBSTITUTE(TRIM($W1153),"-",""),".",""),"/","")," ",""),8),5,2),--MID(LEFT(SUBSTITUTE(SUBSTITUTE(SUBSTITUTE(SUBSTITUTE(TRIM($W1153),"-",""),".",""),"/","")," ",""),8),7,2)),"")))</f>
        <v/>
      </c>
      <c r="Y1153" s="32">
        <f>IF($X1153="","",INT($X1153))</f>
        <v/>
      </c>
      <c r="Z1153" s="33">
        <f>IF(OR($Y1153="",$D$6=""),"",IF(INDEX($A:$U,ROW(),$D$6)="",0,IF(ISNUMBER(INDEX($A:$U,ROW(),$D$6)),INDEX($A:$U,ROW(),$D$6),IFERROR(--SUBSTITUTE(SUBSTITUTE(TRIM(INDEX($A:$U,ROW(),$D$6)),",",""),"원",""),0))))</f>
        <v/>
      </c>
      <c r="AA1153" s="31">
        <f>IF($Y1153="","",TRIM(INDEX($A:$U,ROW(),$E$6)&amp;IF($F$6="",""," "&amp;INDEX($A:$U,ROW(),$F$6))))</f>
        <v/>
      </c>
      <c r="AB1153" s="31">
        <f>IF($AA1153="","",SUBSTITUTE(SUBSTITUTE(SUBSTITUTE(SUBSTITUTE(SUBSTITUTE(SUBSTITUTE(SUBSTITUTE(SUBSTITUTE(SUBSTITUTE($AA1153," ",""),"　",""),"(주)",""),"（주）",""),"㈜",""),"주식회사",""),"(유)",""),"（유）",""),"유한회사",""))</f>
        <v/>
      </c>
      <c r="AC1153" s="31">
        <f>IF(OR($Y1153="",N($Z1153)&lt;=0,$AB1153=""),0,IFERROR(LOOKUP(2,1/((거래처별!$AC$8:$AC$307&lt;&gt;"")*ISNUMBER(SEARCH(거래처별!$AC$8:$AC$307,$AB1153))),거래처별!$A$8:$A$307),IFERROR(LOOKUP(2,1/((거래처별!$AD$8:$AD$307&lt;&gt;"")*ISNUMBER(SEARCH(거래처별!$AD$8:$AD$307,$AB1153))),거래처별!$A$8:$A$307),IFERROR(LOOKUP(2,1/((거래처별!$AE$8:$AE$307&lt;&gt;"")*ISNUMBER(SEARCH(거래처별!$AE$8:$AE$307,$AB1153))),거래처별!$A$8:$A$307),0))))</f>
        <v/>
      </c>
      <c r="AD1153" s="31">
        <f>IF(AND($Y1153&lt;&gt;"",N($Z1153)&gt;0,$AC1153=0),MAX($AD$7:$AD1152)+1,"")</f>
        <v/>
      </c>
      <c r="AE1153" s="31">
        <f>IF($Y1153="",0,$Y1153)</f>
        <v/>
      </c>
    </row>
    <row r="1154">
      <c r="W1154" s="31">
        <f>IF(OR($B$5="",$C$6="",ROW()&lt;$B$5),"",IF(INDEX($A:$U,ROW(),$C$6)="","",INDEX($A:$U,ROW(),$C$6)))</f>
        <v/>
      </c>
      <c r="X1154" s="32">
        <f>IF($W1154="","",IF(ISNUMBER($W1154),IF($W1154&gt;=10000000,IFERROR(DATE(INT($W1154/10000),MOD(INT($W1154/100),100),MOD($W1154,100)),""),INT($W1154)),IFERROR(DATE(--LEFT(LEFT(SUBSTITUTE(SUBSTITUTE(SUBSTITUTE(SUBSTITUTE(TRIM($W1154),"-",""),".",""),"/","")," ",""),8),4),--MID(LEFT(SUBSTITUTE(SUBSTITUTE(SUBSTITUTE(SUBSTITUTE(TRIM($W1154),"-",""),".",""),"/","")," ",""),8),5,2),--MID(LEFT(SUBSTITUTE(SUBSTITUTE(SUBSTITUTE(SUBSTITUTE(TRIM($W1154),"-",""),".",""),"/","")," ",""),8),7,2)),"")))</f>
        <v/>
      </c>
      <c r="Y1154" s="32">
        <f>IF($X1154="","",INT($X1154))</f>
        <v/>
      </c>
      <c r="Z1154" s="33">
        <f>IF(OR($Y1154="",$D$6=""),"",IF(INDEX($A:$U,ROW(),$D$6)="",0,IF(ISNUMBER(INDEX($A:$U,ROW(),$D$6)),INDEX($A:$U,ROW(),$D$6),IFERROR(--SUBSTITUTE(SUBSTITUTE(TRIM(INDEX($A:$U,ROW(),$D$6)),",",""),"원",""),0))))</f>
        <v/>
      </c>
      <c r="AA1154" s="31">
        <f>IF($Y1154="","",TRIM(INDEX($A:$U,ROW(),$E$6)&amp;IF($F$6="",""," "&amp;INDEX($A:$U,ROW(),$F$6))))</f>
        <v/>
      </c>
      <c r="AB1154" s="31">
        <f>IF($AA1154="","",SUBSTITUTE(SUBSTITUTE(SUBSTITUTE(SUBSTITUTE(SUBSTITUTE(SUBSTITUTE(SUBSTITUTE(SUBSTITUTE(SUBSTITUTE($AA1154," ",""),"　",""),"(주)",""),"（주）",""),"㈜",""),"주식회사",""),"(유)",""),"（유）",""),"유한회사",""))</f>
        <v/>
      </c>
      <c r="AC1154" s="31">
        <f>IF(OR($Y1154="",N($Z1154)&lt;=0,$AB1154=""),0,IFERROR(LOOKUP(2,1/((거래처별!$AC$8:$AC$307&lt;&gt;"")*ISNUMBER(SEARCH(거래처별!$AC$8:$AC$307,$AB1154))),거래처별!$A$8:$A$307),IFERROR(LOOKUP(2,1/((거래처별!$AD$8:$AD$307&lt;&gt;"")*ISNUMBER(SEARCH(거래처별!$AD$8:$AD$307,$AB1154))),거래처별!$A$8:$A$307),IFERROR(LOOKUP(2,1/((거래처별!$AE$8:$AE$307&lt;&gt;"")*ISNUMBER(SEARCH(거래처별!$AE$8:$AE$307,$AB1154))),거래처별!$A$8:$A$307),0))))</f>
        <v/>
      </c>
      <c r="AD1154" s="31">
        <f>IF(AND($Y1154&lt;&gt;"",N($Z1154)&gt;0,$AC1154=0),MAX($AD$7:$AD1153)+1,"")</f>
        <v/>
      </c>
      <c r="AE1154" s="31">
        <f>IF($Y1154="",0,$Y1154)</f>
        <v/>
      </c>
    </row>
    <row r="1155">
      <c r="W1155" s="31">
        <f>IF(OR($B$5="",$C$6="",ROW()&lt;$B$5),"",IF(INDEX($A:$U,ROW(),$C$6)="","",INDEX($A:$U,ROW(),$C$6)))</f>
        <v/>
      </c>
      <c r="X1155" s="32">
        <f>IF($W1155="","",IF(ISNUMBER($W1155),IF($W1155&gt;=10000000,IFERROR(DATE(INT($W1155/10000),MOD(INT($W1155/100),100),MOD($W1155,100)),""),INT($W1155)),IFERROR(DATE(--LEFT(LEFT(SUBSTITUTE(SUBSTITUTE(SUBSTITUTE(SUBSTITUTE(TRIM($W1155),"-",""),".",""),"/","")," ",""),8),4),--MID(LEFT(SUBSTITUTE(SUBSTITUTE(SUBSTITUTE(SUBSTITUTE(TRIM($W1155),"-",""),".",""),"/","")," ",""),8),5,2),--MID(LEFT(SUBSTITUTE(SUBSTITUTE(SUBSTITUTE(SUBSTITUTE(TRIM($W1155),"-",""),".",""),"/","")," ",""),8),7,2)),"")))</f>
        <v/>
      </c>
      <c r="Y1155" s="32">
        <f>IF($X1155="","",INT($X1155))</f>
        <v/>
      </c>
      <c r="Z1155" s="33">
        <f>IF(OR($Y1155="",$D$6=""),"",IF(INDEX($A:$U,ROW(),$D$6)="",0,IF(ISNUMBER(INDEX($A:$U,ROW(),$D$6)),INDEX($A:$U,ROW(),$D$6),IFERROR(--SUBSTITUTE(SUBSTITUTE(TRIM(INDEX($A:$U,ROW(),$D$6)),",",""),"원",""),0))))</f>
        <v/>
      </c>
      <c r="AA1155" s="31">
        <f>IF($Y1155="","",TRIM(INDEX($A:$U,ROW(),$E$6)&amp;IF($F$6="",""," "&amp;INDEX($A:$U,ROW(),$F$6))))</f>
        <v/>
      </c>
      <c r="AB1155" s="31">
        <f>IF($AA1155="","",SUBSTITUTE(SUBSTITUTE(SUBSTITUTE(SUBSTITUTE(SUBSTITUTE(SUBSTITUTE(SUBSTITUTE(SUBSTITUTE(SUBSTITUTE($AA1155," ",""),"　",""),"(주)",""),"（주）",""),"㈜",""),"주식회사",""),"(유)",""),"（유）",""),"유한회사",""))</f>
        <v/>
      </c>
      <c r="AC1155" s="31">
        <f>IF(OR($Y1155="",N($Z1155)&lt;=0,$AB1155=""),0,IFERROR(LOOKUP(2,1/((거래처별!$AC$8:$AC$307&lt;&gt;"")*ISNUMBER(SEARCH(거래처별!$AC$8:$AC$307,$AB1155))),거래처별!$A$8:$A$307),IFERROR(LOOKUP(2,1/((거래처별!$AD$8:$AD$307&lt;&gt;"")*ISNUMBER(SEARCH(거래처별!$AD$8:$AD$307,$AB1155))),거래처별!$A$8:$A$307),IFERROR(LOOKUP(2,1/((거래처별!$AE$8:$AE$307&lt;&gt;"")*ISNUMBER(SEARCH(거래처별!$AE$8:$AE$307,$AB1155))),거래처별!$A$8:$A$307),0))))</f>
        <v/>
      </c>
      <c r="AD1155" s="31">
        <f>IF(AND($Y1155&lt;&gt;"",N($Z1155)&gt;0,$AC1155=0),MAX($AD$7:$AD1154)+1,"")</f>
        <v/>
      </c>
      <c r="AE1155" s="31">
        <f>IF($Y1155="",0,$Y1155)</f>
        <v/>
      </c>
    </row>
    <row r="1156">
      <c r="W1156" s="31">
        <f>IF(OR($B$5="",$C$6="",ROW()&lt;$B$5),"",IF(INDEX($A:$U,ROW(),$C$6)="","",INDEX($A:$U,ROW(),$C$6)))</f>
        <v/>
      </c>
      <c r="X1156" s="32">
        <f>IF($W1156="","",IF(ISNUMBER($W1156),IF($W1156&gt;=10000000,IFERROR(DATE(INT($W1156/10000),MOD(INT($W1156/100),100),MOD($W1156,100)),""),INT($W1156)),IFERROR(DATE(--LEFT(LEFT(SUBSTITUTE(SUBSTITUTE(SUBSTITUTE(SUBSTITUTE(TRIM($W1156),"-",""),".",""),"/","")," ",""),8),4),--MID(LEFT(SUBSTITUTE(SUBSTITUTE(SUBSTITUTE(SUBSTITUTE(TRIM($W1156),"-",""),".",""),"/","")," ",""),8),5,2),--MID(LEFT(SUBSTITUTE(SUBSTITUTE(SUBSTITUTE(SUBSTITUTE(TRIM($W1156),"-",""),".",""),"/","")," ",""),8),7,2)),"")))</f>
        <v/>
      </c>
      <c r="Y1156" s="32">
        <f>IF($X1156="","",INT($X1156))</f>
        <v/>
      </c>
      <c r="Z1156" s="33">
        <f>IF(OR($Y1156="",$D$6=""),"",IF(INDEX($A:$U,ROW(),$D$6)="",0,IF(ISNUMBER(INDEX($A:$U,ROW(),$D$6)),INDEX($A:$U,ROW(),$D$6),IFERROR(--SUBSTITUTE(SUBSTITUTE(TRIM(INDEX($A:$U,ROW(),$D$6)),",",""),"원",""),0))))</f>
        <v/>
      </c>
      <c r="AA1156" s="31">
        <f>IF($Y1156="","",TRIM(INDEX($A:$U,ROW(),$E$6)&amp;IF($F$6="",""," "&amp;INDEX($A:$U,ROW(),$F$6))))</f>
        <v/>
      </c>
      <c r="AB1156" s="31">
        <f>IF($AA1156="","",SUBSTITUTE(SUBSTITUTE(SUBSTITUTE(SUBSTITUTE(SUBSTITUTE(SUBSTITUTE(SUBSTITUTE(SUBSTITUTE(SUBSTITUTE($AA1156," ",""),"　",""),"(주)",""),"（주）",""),"㈜",""),"주식회사",""),"(유)",""),"（유）",""),"유한회사",""))</f>
        <v/>
      </c>
      <c r="AC1156" s="31">
        <f>IF(OR($Y1156="",N($Z1156)&lt;=0,$AB1156=""),0,IFERROR(LOOKUP(2,1/((거래처별!$AC$8:$AC$307&lt;&gt;"")*ISNUMBER(SEARCH(거래처별!$AC$8:$AC$307,$AB1156))),거래처별!$A$8:$A$307),IFERROR(LOOKUP(2,1/((거래처별!$AD$8:$AD$307&lt;&gt;"")*ISNUMBER(SEARCH(거래처별!$AD$8:$AD$307,$AB1156))),거래처별!$A$8:$A$307),IFERROR(LOOKUP(2,1/((거래처별!$AE$8:$AE$307&lt;&gt;"")*ISNUMBER(SEARCH(거래처별!$AE$8:$AE$307,$AB1156))),거래처별!$A$8:$A$307),0))))</f>
        <v/>
      </c>
      <c r="AD1156" s="31">
        <f>IF(AND($Y1156&lt;&gt;"",N($Z1156)&gt;0,$AC1156=0),MAX($AD$7:$AD1155)+1,"")</f>
        <v/>
      </c>
      <c r="AE1156" s="31">
        <f>IF($Y1156="",0,$Y1156)</f>
        <v/>
      </c>
    </row>
    <row r="1157">
      <c r="W1157" s="31">
        <f>IF(OR($B$5="",$C$6="",ROW()&lt;$B$5),"",IF(INDEX($A:$U,ROW(),$C$6)="","",INDEX($A:$U,ROW(),$C$6)))</f>
        <v/>
      </c>
      <c r="X1157" s="32">
        <f>IF($W1157="","",IF(ISNUMBER($W1157),IF($W1157&gt;=10000000,IFERROR(DATE(INT($W1157/10000),MOD(INT($W1157/100),100),MOD($W1157,100)),""),INT($W1157)),IFERROR(DATE(--LEFT(LEFT(SUBSTITUTE(SUBSTITUTE(SUBSTITUTE(SUBSTITUTE(TRIM($W1157),"-",""),".",""),"/","")," ",""),8),4),--MID(LEFT(SUBSTITUTE(SUBSTITUTE(SUBSTITUTE(SUBSTITUTE(TRIM($W1157),"-",""),".",""),"/","")," ",""),8),5,2),--MID(LEFT(SUBSTITUTE(SUBSTITUTE(SUBSTITUTE(SUBSTITUTE(TRIM($W1157),"-",""),".",""),"/","")," ",""),8),7,2)),"")))</f>
        <v/>
      </c>
      <c r="Y1157" s="32">
        <f>IF($X1157="","",INT($X1157))</f>
        <v/>
      </c>
      <c r="Z1157" s="33">
        <f>IF(OR($Y1157="",$D$6=""),"",IF(INDEX($A:$U,ROW(),$D$6)="",0,IF(ISNUMBER(INDEX($A:$U,ROW(),$D$6)),INDEX($A:$U,ROW(),$D$6),IFERROR(--SUBSTITUTE(SUBSTITUTE(TRIM(INDEX($A:$U,ROW(),$D$6)),",",""),"원",""),0))))</f>
        <v/>
      </c>
      <c r="AA1157" s="31">
        <f>IF($Y1157="","",TRIM(INDEX($A:$U,ROW(),$E$6)&amp;IF($F$6="",""," "&amp;INDEX($A:$U,ROW(),$F$6))))</f>
        <v/>
      </c>
      <c r="AB1157" s="31">
        <f>IF($AA1157="","",SUBSTITUTE(SUBSTITUTE(SUBSTITUTE(SUBSTITUTE(SUBSTITUTE(SUBSTITUTE(SUBSTITUTE(SUBSTITUTE(SUBSTITUTE($AA1157," ",""),"　",""),"(주)",""),"（주）",""),"㈜",""),"주식회사",""),"(유)",""),"（유）",""),"유한회사",""))</f>
        <v/>
      </c>
      <c r="AC1157" s="31">
        <f>IF(OR($Y1157="",N($Z1157)&lt;=0,$AB1157=""),0,IFERROR(LOOKUP(2,1/((거래처별!$AC$8:$AC$307&lt;&gt;"")*ISNUMBER(SEARCH(거래처별!$AC$8:$AC$307,$AB1157))),거래처별!$A$8:$A$307),IFERROR(LOOKUP(2,1/((거래처별!$AD$8:$AD$307&lt;&gt;"")*ISNUMBER(SEARCH(거래처별!$AD$8:$AD$307,$AB1157))),거래처별!$A$8:$A$307),IFERROR(LOOKUP(2,1/((거래처별!$AE$8:$AE$307&lt;&gt;"")*ISNUMBER(SEARCH(거래처별!$AE$8:$AE$307,$AB1157))),거래처별!$A$8:$A$307),0))))</f>
        <v/>
      </c>
      <c r="AD1157" s="31">
        <f>IF(AND($Y1157&lt;&gt;"",N($Z1157)&gt;0,$AC1157=0),MAX($AD$7:$AD1156)+1,"")</f>
        <v/>
      </c>
      <c r="AE1157" s="31">
        <f>IF($Y1157="",0,$Y1157)</f>
        <v/>
      </c>
    </row>
    <row r="1158">
      <c r="W1158" s="31">
        <f>IF(OR($B$5="",$C$6="",ROW()&lt;$B$5),"",IF(INDEX($A:$U,ROW(),$C$6)="","",INDEX($A:$U,ROW(),$C$6)))</f>
        <v/>
      </c>
      <c r="X1158" s="32">
        <f>IF($W1158="","",IF(ISNUMBER($W1158),IF($W1158&gt;=10000000,IFERROR(DATE(INT($W1158/10000),MOD(INT($W1158/100),100),MOD($W1158,100)),""),INT($W1158)),IFERROR(DATE(--LEFT(LEFT(SUBSTITUTE(SUBSTITUTE(SUBSTITUTE(SUBSTITUTE(TRIM($W1158),"-",""),".",""),"/","")," ",""),8),4),--MID(LEFT(SUBSTITUTE(SUBSTITUTE(SUBSTITUTE(SUBSTITUTE(TRIM($W1158),"-",""),".",""),"/","")," ",""),8),5,2),--MID(LEFT(SUBSTITUTE(SUBSTITUTE(SUBSTITUTE(SUBSTITUTE(TRIM($W1158),"-",""),".",""),"/","")," ",""),8),7,2)),"")))</f>
        <v/>
      </c>
      <c r="Y1158" s="32">
        <f>IF($X1158="","",INT($X1158))</f>
        <v/>
      </c>
      <c r="Z1158" s="33">
        <f>IF(OR($Y1158="",$D$6=""),"",IF(INDEX($A:$U,ROW(),$D$6)="",0,IF(ISNUMBER(INDEX($A:$U,ROW(),$D$6)),INDEX($A:$U,ROW(),$D$6),IFERROR(--SUBSTITUTE(SUBSTITUTE(TRIM(INDEX($A:$U,ROW(),$D$6)),",",""),"원",""),0))))</f>
        <v/>
      </c>
      <c r="AA1158" s="31">
        <f>IF($Y1158="","",TRIM(INDEX($A:$U,ROW(),$E$6)&amp;IF($F$6="",""," "&amp;INDEX($A:$U,ROW(),$F$6))))</f>
        <v/>
      </c>
      <c r="AB1158" s="31">
        <f>IF($AA1158="","",SUBSTITUTE(SUBSTITUTE(SUBSTITUTE(SUBSTITUTE(SUBSTITUTE(SUBSTITUTE(SUBSTITUTE(SUBSTITUTE(SUBSTITUTE($AA1158," ",""),"　",""),"(주)",""),"（주）",""),"㈜",""),"주식회사",""),"(유)",""),"（유）",""),"유한회사",""))</f>
        <v/>
      </c>
      <c r="AC1158" s="31">
        <f>IF(OR($Y1158="",N($Z1158)&lt;=0,$AB1158=""),0,IFERROR(LOOKUP(2,1/((거래처별!$AC$8:$AC$307&lt;&gt;"")*ISNUMBER(SEARCH(거래처별!$AC$8:$AC$307,$AB1158))),거래처별!$A$8:$A$307),IFERROR(LOOKUP(2,1/((거래처별!$AD$8:$AD$307&lt;&gt;"")*ISNUMBER(SEARCH(거래처별!$AD$8:$AD$307,$AB1158))),거래처별!$A$8:$A$307),IFERROR(LOOKUP(2,1/((거래처별!$AE$8:$AE$307&lt;&gt;"")*ISNUMBER(SEARCH(거래처별!$AE$8:$AE$307,$AB1158))),거래처별!$A$8:$A$307),0))))</f>
        <v/>
      </c>
      <c r="AD1158" s="31">
        <f>IF(AND($Y1158&lt;&gt;"",N($Z1158)&gt;0,$AC1158=0),MAX($AD$7:$AD1157)+1,"")</f>
        <v/>
      </c>
      <c r="AE1158" s="31">
        <f>IF($Y1158="",0,$Y1158)</f>
        <v/>
      </c>
    </row>
    <row r="1159">
      <c r="W1159" s="31">
        <f>IF(OR($B$5="",$C$6="",ROW()&lt;$B$5),"",IF(INDEX($A:$U,ROW(),$C$6)="","",INDEX($A:$U,ROW(),$C$6)))</f>
        <v/>
      </c>
      <c r="X1159" s="32">
        <f>IF($W1159="","",IF(ISNUMBER($W1159),IF($W1159&gt;=10000000,IFERROR(DATE(INT($W1159/10000),MOD(INT($W1159/100),100),MOD($W1159,100)),""),INT($W1159)),IFERROR(DATE(--LEFT(LEFT(SUBSTITUTE(SUBSTITUTE(SUBSTITUTE(SUBSTITUTE(TRIM($W1159),"-",""),".",""),"/","")," ",""),8),4),--MID(LEFT(SUBSTITUTE(SUBSTITUTE(SUBSTITUTE(SUBSTITUTE(TRIM($W1159),"-",""),".",""),"/","")," ",""),8),5,2),--MID(LEFT(SUBSTITUTE(SUBSTITUTE(SUBSTITUTE(SUBSTITUTE(TRIM($W1159),"-",""),".",""),"/","")," ",""),8),7,2)),"")))</f>
        <v/>
      </c>
      <c r="Y1159" s="32">
        <f>IF($X1159="","",INT($X1159))</f>
        <v/>
      </c>
      <c r="Z1159" s="33">
        <f>IF(OR($Y1159="",$D$6=""),"",IF(INDEX($A:$U,ROW(),$D$6)="",0,IF(ISNUMBER(INDEX($A:$U,ROW(),$D$6)),INDEX($A:$U,ROW(),$D$6),IFERROR(--SUBSTITUTE(SUBSTITUTE(TRIM(INDEX($A:$U,ROW(),$D$6)),",",""),"원",""),0))))</f>
        <v/>
      </c>
      <c r="AA1159" s="31">
        <f>IF($Y1159="","",TRIM(INDEX($A:$U,ROW(),$E$6)&amp;IF($F$6="",""," "&amp;INDEX($A:$U,ROW(),$F$6))))</f>
        <v/>
      </c>
      <c r="AB1159" s="31">
        <f>IF($AA1159="","",SUBSTITUTE(SUBSTITUTE(SUBSTITUTE(SUBSTITUTE(SUBSTITUTE(SUBSTITUTE(SUBSTITUTE(SUBSTITUTE(SUBSTITUTE($AA1159," ",""),"　",""),"(주)",""),"（주）",""),"㈜",""),"주식회사",""),"(유)",""),"（유）",""),"유한회사",""))</f>
        <v/>
      </c>
      <c r="AC1159" s="31">
        <f>IF(OR($Y1159="",N($Z1159)&lt;=0,$AB1159=""),0,IFERROR(LOOKUP(2,1/((거래처별!$AC$8:$AC$307&lt;&gt;"")*ISNUMBER(SEARCH(거래처별!$AC$8:$AC$307,$AB1159))),거래처별!$A$8:$A$307),IFERROR(LOOKUP(2,1/((거래처별!$AD$8:$AD$307&lt;&gt;"")*ISNUMBER(SEARCH(거래처별!$AD$8:$AD$307,$AB1159))),거래처별!$A$8:$A$307),IFERROR(LOOKUP(2,1/((거래처별!$AE$8:$AE$307&lt;&gt;"")*ISNUMBER(SEARCH(거래처별!$AE$8:$AE$307,$AB1159))),거래처별!$A$8:$A$307),0))))</f>
        <v/>
      </c>
      <c r="AD1159" s="31">
        <f>IF(AND($Y1159&lt;&gt;"",N($Z1159)&gt;0,$AC1159=0),MAX($AD$7:$AD1158)+1,"")</f>
        <v/>
      </c>
      <c r="AE1159" s="31">
        <f>IF($Y1159="",0,$Y1159)</f>
        <v/>
      </c>
    </row>
    <row r="1160">
      <c r="W1160" s="31">
        <f>IF(OR($B$5="",$C$6="",ROW()&lt;$B$5),"",IF(INDEX($A:$U,ROW(),$C$6)="","",INDEX($A:$U,ROW(),$C$6)))</f>
        <v/>
      </c>
      <c r="X1160" s="32">
        <f>IF($W1160="","",IF(ISNUMBER($W1160),IF($W1160&gt;=10000000,IFERROR(DATE(INT($W1160/10000),MOD(INT($W1160/100),100),MOD($W1160,100)),""),INT($W1160)),IFERROR(DATE(--LEFT(LEFT(SUBSTITUTE(SUBSTITUTE(SUBSTITUTE(SUBSTITUTE(TRIM($W1160),"-",""),".",""),"/","")," ",""),8),4),--MID(LEFT(SUBSTITUTE(SUBSTITUTE(SUBSTITUTE(SUBSTITUTE(TRIM($W1160),"-",""),".",""),"/","")," ",""),8),5,2),--MID(LEFT(SUBSTITUTE(SUBSTITUTE(SUBSTITUTE(SUBSTITUTE(TRIM($W1160),"-",""),".",""),"/","")," ",""),8),7,2)),"")))</f>
        <v/>
      </c>
      <c r="Y1160" s="32">
        <f>IF($X1160="","",INT($X1160))</f>
        <v/>
      </c>
      <c r="Z1160" s="33">
        <f>IF(OR($Y1160="",$D$6=""),"",IF(INDEX($A:$U,ROW(),$D$6)="",0,IF(ISNUMBER(INDEX($A:$U,ROW(),$D$6)),INDEX($A:$U,ROW(),$D$6),IFERROR(--SUBSTITUTE(SUBSTITUTE(TRIM(INDEX($A:$U,ROW(),$D$6)),",",""),"원",""),0))))</f>
        <v/>
      </c>
      <c r="AA1160" s="31">
        <f>IF($Y1160="","",TRIM(INDEX($A:$U,ROW(),$E$6)&amp;IF($F$6="",""," "&amp;INDEX($A:$U,ROW(),$F$6))))</f>
        <v/>
      </c>
      <c r="AB1160" s="31">
        <f>IF($AA1160="","",SUBSTITUTE(SUBSTITUTE(SUBSTITUTE(SUBSTITUTE(SUBSTITUTE(SUBSTITUTE(SUBSTITUTE(SUBSTITUTE(SUBSTITUTE($AA1160," ",""),"　",""),"(주)",""),"（주）",""),"㈜",""),"주식회사",""),"(유)",""),"（유）",""),"유한회사",""))</f>
        <v/>
      </c>
      <c r="AC1160" s="31">
        <f>IF(OR($Y1160="",N($Z1160)&lt;=0,$AB1160=""),0,IFERROR(LOOKUP(2,1/((거래처별!$AC$8:$AC$307&lt;&gt;"")*ISNUMBER(SEARCH(거래처별!$AC$8:$AC$307,$AB1160))),거래처별!$A$8:$A$307),IFERROR(LOOKUP(2,1/((거래처별!$AD$8:$AD$307&lt;&gt;"")*ISNUMBER(SEARCH(거래처별!$AD$8:$AD$307,$AB1160))),거래처별!$A$8:$A$307),IFERROR(LOOKUP(2,1/((거래처별!$AE$8:$AE$307&lt;&gt;"")*ISNUMBER(SEARCH(거래처별!$AE$8:$AE$307,$AB1160))),거래처별!$A$8:$A$307),0))))</f>
        <v/>
      </c>
      <c r="AD1160" s="31">
        <f>IF(AND($Y1160&lt;&gt;"",N($Z1160)&gt;0,$AC1160=0),MAX($AD$7:$AD1159)+1,"")</f>
        <v/>
      </c>
      <c r="AE1160" s="31">
        <f>IF($Y1160="",0,$Y1160)</f>
        <v/>
      </c>
    </row>
    <row r="1161">
      <c r="W1161" s="31">
        <f>IF(OR($B$5="",$C$6="",ROW()&lt;$B$5),"",IF(INDEX($A:$U,ROW(),$C$6)="","",INDEX($A:$U,ROW(),$C$6)))</f>
        <v/>
      </c>
      <c r="X1161" s="32">
        <f>IF($W1161="","",IF(ISNUMBER($W1161),IF($W1161&gt;=10000000,IFERROR(DATE(INT($W1161/10000),MOD(INT($W1161/100),100),MOD($W1161,100)),""),INT($W1161)),IFERROR(DATE(--LEFT(LEFT(SUBSTITUTE(SUBSTITUTE(SUBSTITUTE(SUBSTITUTE(TRIM($W1161),"-",""),".",""),"/","")," ",""),8),4),--MID(LEFT(SUBSTITUTE(SUBSTITUTE(SUBSTITUTE(SUBSTITUTE(TRIM($W1161),"-",""),".",""),"/","")," ",""),8),5,2),--MID(LEFT(SUBSTITUTE(SUBSTITUTE(SUBSTITUTE(SUBSTITUTE(TRIM($W1161),"-",""),".",""),"/","")," ",""),8),7,2)),"")))</f>
        <v/>
      </c>
      <c r="Y1161" s="32">
        <f>IF($X1161="","",INT($X1161))</f>
        <v/>
      </c>
      <c r="Z1161" s="33">
        <f>IF(OR($Y1161="",$D$6=""),"",IF(INDEX($A:$U,ROW(),$D$6)="",0,IF(ISNUMBER(INDEX($A:$U,ROW(),$D$6)),INDEX($A:$U,ROW(),$D$6),IFERROR(--SUBSTITUTE(SUBSTITUTE(TRIM(INDEX($A:$U,ROW(),$D$6)),",",""),"원",""),0))))</f>
        <v/>
      </c>
      <c r="AA1161" s="31">
        <f>IF($Y1161="","",TRIM(INDEX($A:$U,ROW(),$E$6)&amp;IF($F$6="",""," "&amp;INDEX($A:$U,ROW(),$F$6))))</f>
        <v/>
      </c>
      <c r="AB1161" s="31">
        <f>IF($AA1161="","",SUBSTITUTE(SUBSTITUTE(SUBSTITUTE(SUBSTITUTE(SUBSTITUTE(SUBSTITUTE(SUBSTITUTE(SUBSTITUTE(SUBSTITUTE($AA1161," ",""),"　",""),"(주)",""),"（주）",""),"㈜",""),"주식회사",""),"(유)",""),"（유）",""),"유한회사",""))</f>
        <v/>
      </c>
      <c r="AC1161" s="31">
        <f>IF(OR($Y1161="",N($Z1161)&lt;=0,$AB1161=""),0,IFERROR(LOOKUP(2,1/((거래처별!$AC$8:$AC$307&lt;&gt;"")*ISNUMBER(SEARCH(거래처별!$AC$8:$AC$307,$AB1161))),거래처별!$A$8:$A$307),IFERROR(LOOKUP(2,1/((거래처별!$AD$8:$AD$307&lt;&gt;"")*ISNUMBER(SEARCH(거래처별!$AD$8:$AD$307,$AB1161))),거래처별!$A$8:$A$307),IFERROR(LOOKUP(2,1/((거래처별!$AE$8:$AE$307&lt;&gt;"")*ISNUMBER(SEARCH(거래처별!$AE$8:$AE$307,$AB1161))),거래처별!$A$8:$A$307),0))))</f>
        <v/>
      </c>
      <c r="AD1161" s="31">
        <f>IF(AND($Y1161&lt;&gt;"",N($Z1161)&gt;0,$AC1161=0),MAX($AD$7:$AD1160)+1,"")</f>
        <v/>
      </c>
      <c r="AE1161" s="31">
        <f>IF($Y1161="",0,$Y1161)</f>
        <v/>
      </c>
    </row>
    <row r="1162">
      <c r="W1162" s="31">
        <f>IF(OR($B$5="",$C$6="",ROW()&lt;$B$5),"",IF(INDEX($A:$U,ROW(),$C$6)="","",INDEX($A:$U,ROW(),$C$6)))</f>
        <v/>
      </c>
      <c r="X1162" s="32">
        <f>IF($W1162="","",IF(ISNUMBER($W1162),IF($W1162&gt;=10000000,IFERROR(DATE(INT($W1162/10000),MOD(INT($W1162/100),100),MOD($W1162,100)),""),INT($W1162)),IFERROR(DATE(--LEFT(LEFT(SUBSTITUTE(SUBSTITUTE(SUBSTITUTE(SUBSTITUTE(TRIM($W1162),"-",""),".",""),"/","")," ",""),8),4),--MID(LEFT(SUBSTITUTE(SUBSTITUTE(SUBSTITUTE(SUBSTITUTE(TRIM($W1162),"-",""),".",""),"/","")," ",""),8),5,2),--MID(LEFT(SUBSTITUTE(SUBSTITUTE(SUBSTITUTE(SUBSTITUTE(TRIM($W1162),"-",""),".",""),"/","")," ",""),8),7,2)),"")))</f>
        <v/>
      </c>
      <c r="Y1162" s="32">
        <f>IF($X1162="","",INT($X1162))</f>
        <v/>
      </c>
      <c r="Z1162" s="33">
        <f>IF(OR($Y1162="",$D$6=""),"",IF(INDEX($A:$U,ROW(),$D$6)="",0,IF(ISNUMBER(INDEX($A:$U,ROW(),$D$6)),INDEX($A:$U,ROW(),$D$6),IFERROR(--SUBSTITUTE(SUBSTITUTE(TRIM(INDEX($A:$U,ROW(),$D$6)),",",""),"원",""),0))))</f>
        <v/>
      </c>
      <c r="AA1162" s="31">
        <f>IF($Y1162="","",TRIM(INDEX($A:$U,ROW(),$E$6)&amp;IF($F$6="",""," "&amp;INDEX($A:$U,ROW(),$F$6))))</f>
        <v/>
      </c>
      <c r="AB1162" s="31">
        <f>IF($AA1162="","",SUBSTITUTE(SUBSTITUTE(SUBSTITUTE(SUBSTITUTE(SUBSTITUTE(SUBSTITUTE(SUBSTITUTE(SUBSTITUTE(SUBSTITUTE($AA1162," ",""),"　",""),"(주)",""),"（주）",""),"㈜",""),"주식회사",""),"(유)",""),"（유）",""),"유한회사",""))</f>
        <v/>
      </c>
      <c r="AC1162" s="31">
        <f>IF(OR($Y1162="",N($Z1162)&lt;=0,$AB1162=""),0,IFERROR(LOOKUP(2,1/((거래처별!$AC$8:$AC$307&lt;&gt;"")*ISNUMBER(SEARCH(거래처별!$AC$8:$AC$307,$AB1162))),거래처별!$A$8:$A$307),IFERROR(LOOKUP(2,1/((거래처별!$AD$8:$AD$307&lt;&gt;"")*ISNUMBER(SEARCH(거래처별!$AD$8:$AD$307,$AB1162))),거래처별!$A$8:$A$307),IFERROR(LOOKUP(2,1/((거래처별!$AE$8:$AE$307&lt;&gt;"")*ISNUMBER(SEARCH(거래처별!$AE$8:$AE$307,$AB1162))),거래처별!$A$8:$A$307),0))))</f>
        <v/>
      </c>
      <c r="AD1162" s="31">
        <f>IF(AND($Y1162&lt;&gt;"",N($Z1162)&gt;0,$AC1162=0),MAX($AD$7:$AD1161)+1,"")</f>
        <v/>
      </c>
      <c r="AE1162" s="31">
        <f>IF($Y1162="",0,$Y1162)</f>
        <v/>
      </c>
    </row>
    <row r="1163">
      <c r="W1163" s="31">
        <f>IF(OR($B$5="",$C$6="",ROW()&lt;$B$5),"",IF(INDEX($A:$U,ROW(),$C$6)="","",INDEX($A:$U,ROW(),$C$6)))</f>
        <v/>
      </c>
      <c r="X1163" s="32">
        <f>IF($W1163="","",IF(ISNUMBER($W1163),IF($W1163&gt;=10000000,IFERROR(DATE(INT($W1163/10000),MOD(INT($W1163/100),100),MOD($W1163,100)),""),INT($W1163)),IFERROR(DATE(--LEFT(LEFT(SUBSTITUTE(SUBSTITUTE(SUBSTITUTE(SUBSTITUTE(TRIM($W1163),"-",""),".",""),"/","")," ",""),8),4),--MID(LEFT(SUBSTITUTE(SUBSTITUTE(SUBSTITUTE(SUBSTITUTE(TRIM($W1163),"-",""),".",""),"/","")," ",""),8),5,2),--MID(LEFT(SUBSTITUTE(SUBSTITUTE(SUBSTITUTE(SUBSTITUTE(TRIM($W1163),"-",""),".",""),"/","")," ",""),8),7,2)),"")))</f>
        <v/>
      </c>
      <c r="Y1163" s="32">
        <f>IF($X1163="","",INT($X1163))</f>
        <v/>
      </c>
      <c r="Z1163" s="33">
        <f>IF(OR($Y1163="",$D$6=""),"",IF(INDEX($A:$U,ROW(),$D$6)="",0,IF(ISNUMBER(INDEX($A:$U,ROW(),$D$6)),INDEX($A:$U,ROW(),$D$6),IFERROR(--SUBSTITUTE(SUBSTITUTE(TRIM(INDEX($A:$U,ROW(),$D$6)),",",""),"원",""),0))))</f>
        <v/>
      </c>
      <c r="AA1163" s="31">
        <f>IF($Y1163="","",TRIM(INDEX($A:$U,ROW(),$E$6)&amp;IF($F$6="",""," "&amp;INDEX($A:$U,ROW(),$F$6))))</f>
        <v/>
      </c>
      <c r="AB1163" s="31">
        <f>IF($AA1163="","",SUBSTITUTE(SUBSTITUTE(SUBSTITUTE(SUBSTITUTE(SUBSTITUTE(SUBSTITUTE(SUBSTITUTE(SUBSTITUTE(SUBSTITUTE($AA1163," ",""),"　",""),"(주)",""),"（주）",""),"㈜",""),"주식회사",""),"(유)",""),"（유）",""),"유한회사",""))</f>
        <v/>
      </c>
      <c r="AC1163" s="31">
        <f>IF(OR($Y1163="",N($Z1163)&lt;=0,$AB1163=""),0,IFERROR(LOOKUP(2,1/((거래처별!$AC$8:$AC$307&lt;&gt;"")*ISNUMBER(SEARCH(거래처별!$AC$8:$AC$307,$AB1163))),거래처별!$A$8:$A$307),IFERROR(LOOKUP(2,1/((거래처별!$AD$8:$AD$307&lt;&gt;"")*ISNUMBER(SEARCH(거래처별!$AD$8:$AD$307,$AB1163))),거래처별!$A$8:$A$307),IFERROR(LOOKUP(2,1/((거래처별!$AE$8:$AE$307&lt;&gt;"")*ISNUMBER(SEARCH(거래처별!$AE$8:$AE$307,$AB1163))),거래처별!$A$8:$A$307),0))))</f>
        <v/>
      </c>
      <c r="AD1163" s="31">
        <f>IF(AND($Y1163&lt;&gt;"",N($Z1163)&gt;0,$AC1163=0),MAX($AD$7:$AD1162)+1,"")</f>
        <v/>
      </c>
      <c r="AE1163" s="31">
        <f>IF($Y1163="",0,$Y1163)</f>
        <v/>
      </c>
    </row>
    <row r="1164">
      <c r="W1164" s="31">
        <f>IF(OR($B$5="",$C$6="",ROW()&lt;$B$5),"",IF(INDEX($A:$U,ROW(),$C$6)="","",INDEX($A:$U,ROW(),$C$6)))</f>
        <v/>
      </c>
      <c r="X1164" s="32">
        <f>IF($W1164="","",IF(ISNUMBER($W1164),IF($W1164&gt;=10000000,IFERROR(DATE(INT($W1164/10000),MOD(INT($W1164/100),100),MOD($W1164,100)),""),INT($W1164)),IFERROR(DATE(--LEFT(LEFT(SUBSTITUTE(SUBSTITUTE(SUBSTITUTE(SUBSTITUTE(TRIM($W1164),"-",""),".",""),"/","")," ",""),8),4),--MID(LEFT(SUBSTITUTE(SUBSTITUTE(SUBSTITUTE(SUBSTITUTE(TRIM($W1164),"-",""),".",""),"/","")," ",""),8),5,2),--MID(LEFT(SUBSTITUTE(SUBSTITUTE(SUBSTITUTE(SUBSTITUTE(TRIM($W1164),"-",""),".",""),"/","")," ",""),8),7,2)),"")))</f>
        <v/>
      </c>
      <c r="Y1164" s="32">
        <f>IF($X1164="","",INT($X1164))</f>
        <v/>
      </c>
      <c r="Z1164" s="33">
        <f>IF(OR($Y1164="",$D$6=""),"",IF(INDEX($A:$U,ROW(),$D$6)="",0,IF(ISNUMBER(INDEX($A:$U,ROW(),$D$6)),INDEX($A:$U,ROW(),$D$6),IFERROR(--SUBSTITUTE(SUBSTITUTE(TRIM(INDEX($A:$U,ROW(),$D$6)),",",""),"원",""),0))))</f>
        <v/>
      </c>
      <c r="AA1164" s="31">
        <f>IF($Y1164="","",TRIM(INDEX($A:$U,ROW(),$E$6)&amp;IF($F$6="",""," "&amp;INDEX($A:$U,ROW(),$F$6))))</f>
        <v/>
      </c>
      <c r="AB1164" s="31">
        <f>IF($AA1164="","",SUBSTITUTE(SUBSTITUTE(SUBSTITUTE(SUBSTITUTE(SUBSTITUTE(SUBSTITUTE(SUBSTITUTE(SUBSTITUTE(SUBSTITUTE($AA1164," ",""),"　",""),"(주)",""),"（주）",""),"㈜",""),"주식회사",""),"(유)",""),"（유）",""),"유한회사",""))</f>
        <v/>
      </c>
      <c r="AC1164" s="31">
        <f>IF(OR($Y1164="",N($Z1164)&lt;=0,$AB1164=""),0,IFERROR(LOOKUP(2,1/((거래처별!$AC$8:$AC$307&lt;&gt;"")*ISNUMBER(SEARCH(거래처별!$AC$8:$AC$307,$AB1164))),거래처별!$A$8:$A$307),IFERROR(LOOKUP(2,1/((거래처별!$AD$8:$AD$307&lt;&gt;"")*ISNUMBER(SEARCH(거래처별!$AD$8:$AD$307,$AB1164))),거래처별!$A$8:$A$307),IFERROR(LOOKUP(2,1/((거래처별!$AE$8:$AE$307&lt;&gt;"")*ISNUMBER(SEARCH(거래처별!$AE$8:$AE$307,$AB1164))),거래처별!$A$8:$A$307),0))))</f>
        <v/>
      </c>
      <c r="AD1164" s="31">
        <f>IF(AND($Y1164&lt;&gt;"",N($Z1164)&gt;0,$AC1164=0),MAX($AD$7:$AD1163)+1,"")</f>
        <v/>
      </c>
      <c r="AE1164" s="31">
        <f>IF($Y1164="",0,$Y1164)</f>
        <v/>
      </c>
    </row>
    <row r="1165">
      <c r="W1165" s="31">
        <f>IF(OR($B$5="",$C$6="",ROW()&lt;$B$5),"",IF(INDEX($A:$U,ROW(),$C$6)="","",INDEX($A:$U,ROW(),$C$6)))</f>
        <v/>
      </c>
      <c r="X1165" s="32">
        <f>IF($W1165="","",IF(ISNUMBER($W1165),IF($W1165&gt;=10000000,IFERROR(DATE(INT($W1165/10000),MOD(INT($W1165/100),100),MOD($W1165,100)),""),INT($W1165)),IFERROR(DATE(--LEFT(LEFT(SUBSTITUTE(SUBSTITUTE(SUBSTITUTE(SUBSTITUTE(TRIM($W1165),"-",""),".",""),"/","")," ",""),8),4),--MID(LEFT(SUBSTITUTE(SUBSTITUTE(SUBSTITUTE(SUBSTITUTE(TRIM($W1165),"-",""),".",""),"/","")," ",""),8),5,2),--MID(LEFT(SUBSTITUTE(SUBSTITUTE(SUBSTITUTE(SUBSTITUTE(TRIM($W1165),"-",""),".",""),"/","")," ",""),8),7,2)),"")))</f>
        <v/>
      </c>
      <c r="Y1165" s="32">
        <f>IF($X1165="","",INT($X1165))</f>
        <v/>
      </c>
      <c r="Z1165" s="33">
        <f>IF(OR($Y1165="",$D$6=""),"",IF(INDEX($A:$U,ROW(),$D$6)="",0,IF(ISNUMBER(INDEX($A:$U,ROW(),$D$6)),INDEX($A:$U,ROW(),$D$6),IFERROR(--SUBSTITUTE(SUBSTITUTE(TRIM(INDEX($A:$U,ROW(),$D$6)),",",""),"원",""),0))))</f>
        <v/>
      </c>
      <c r="AA1165" s="31">
        <f>IF($Y1165="","",TRIM(INDEX($A:$U,ROW(),$E$6)&amp;IF($F$6="",""," "&amp;INDEX($A:$U,ROW(),$F$6))))</f>
        <v/>
      </c>
      <c r="AB1165" s="31">
        <f>IF($AA1165="","",SUBSTITUTE(SUBSTITUTE(SUBSTITUTE(SUBSTITUTE(SUBSTITUTE(SUBSTITUTE(SUBSTITUTE(SUBSTITUTE(SUBSTITUTE($AA1165," ",""),"　",""),"(주)",""),"（주）",""),"㈜",""),"주식회사",""),"(유)",""),"（유）",""),"유한회사",""))</f>
        <v/>
      </c>
      <c r="AC1165" s="31">
        <f>IF(OR($Y1165="",N($Z1165)&lt;=0,$AB1165=""),0,IFERROR(LOOKUP(2,1/((거래처별!$AC$8:$AC$307&lt;&gt;"")*ISNUMBER(SEARCH(거래처별!$AC$8:$AC$307,$AB1165))),거래처별!$A$8:$A$307),IFERROR(LOOKUP(2,1/((거래처별!$AD$8:$AD$307&lt;&gt;"")*ISNUMBER(SEARCH(거래처별!$AD$8:$AD$307,$AB1165))),거래처별!$A$8:$A$307),IFERROR(LOOKUP(2,1/((거래처별!$AE$8:$AE$307&lt;&gt;"")*ISNUMBER(SEARCH(거래처별!$AE$8:$AE$307,$AB1165))),거래처별!$A$8:$A$307),0))))</f>
        <v/>
      </c>
      <c r="AD1165" s="31">
        <f>IF(AND($Y1165&lt;&gt;"",N($Z1165)&gt;0,$AC1165=0),MAX($AD$7:$AD1164)+1,"")</f>
        <v/>
      </c>
      <c r="AE1165" s="31">
        <f>IF($Y1165="",0,$Y1165)</f>
        <v/>
      </c>
    </row>
    <row r="1166">
      <c r="W1166" s="31">
        <f>IF(OR($B$5="",$C$6="",ROW()&lt;$B$5),"",IF(INDEX($A:$U,ROW(),$C$6)="","",INDEX($A:$U,ROW(),$C$6)))</f>
        <v/>
      </c>
      <c r="X1166" s="32">
        <f>IF($W1166="","",IF(ISNUMBER($W1166),IF($W1166&gt;=10000000,IFERROR(DATE(INT($W1166/10000),MOD(INT($W1166/100),100),MOD($W1166,100)),""),INT($W1166)),IFERROR(DATE(--LEFT(LEFT(SUBSTITUTE(SUBSTITUTE(SUBSTITUTE(SUBSTITUTE(TRIM($W1166),"-",""),".",""),"/","")," ",""),8),4),--MID(LEFT(SUBSTITUTE(SUBSTITUTE(SUBSTITUTE(SUBSTITUTE(TRIM($W1166),"-",""),".",""),"/","")," ",""),8),5,2),--MID(LEFT(SUBSTITUTE(SUBSTITUTE(SUBSTITUTE(SUBSTITUTE(TRIM($W1166),"-",""),".",""),"/","")," ",""),8),7,2)),"")))</f>
        <v/>
      </c>
      <c r="Y1166" s="32">
        <f>IF($X1166="","",INT($X1166))</f>
        <v/>
      </c>
      <c r="Z1166" s="33">
        <f>IF(OR($Y1166="",$D$6=""),"",IF(INDEX($A:$U,ROW(),$D$6)="",0,IF(ISNUMBER(INDEX($A:$U,ROW(),$D$6)),INDEX($A:$U,ROW(),$D$6),IFERROR(--SUBSTITUTE(SUBSTITUTE(TRIM(INDEX($A:$U,ROW(),$D$6)),",",""),"원",""),0))))</f>
        <v/>
      </c>
      <c r="AA1166" s="31">
        <f>IF($Y1166="","",TRIM(INDEX($A:$U,ROW(),$E$6)&amp;IF($F$6="",""," "&amp;INDEX($A:$U,ROW(),$F$6))))</f>
        <v/>
      </c>
      <c r="AB1166" s="31">
        <f>IF($AA1166="","",SUBSTITUTE(SUBSTITUTE(SUBSTITUTE(SUBSTITUTE(SUBSTITUTE(SUBSTITUTE(SUBSTITUTE(SUBSTITUTE(SUBSTITUTE($AA1166," ",""),"　",""),"(주)",""),"（주）",""),"㈜",""),"주식회사",""),"(유)",""),"（유）",""),"유한회사",""))</f>
        <v/>
      </c>
      <c r="AC1166" s="31">
        <f>IF(OR($Y1166="",N($Z1166)&lt;=0,$AB1166=""),0,IFERROR(LOOKUP(2,1/((거래처별!$AC$8:$AC$307&lt;&gt;"")*ISNUMBER(SEARCH(거래처별!$AC$8:$AC$307,$AB1166))),거래처별!$A$8:$A$307),IFERROR(LOOKUP(2,1/((거래처별!$AD$8:$AD$307&lt;&gt;"")*ISNUMBER(SEARCH(거래처별!$AD$8:$AD$307,$AB1166))),거래처별!$A$8:$A$307),IFERROR(LOOKUP(2,1/((거래처별!$AE$8:$AE$307&lt;&gt;"")*ISNUMBER(SEARCH(거래처별!$AE$8:$AE$307,$AB1166))),거래처별!$A$8:$A$307),0))))</f>
        <v/>
      </c>
      <c r="AD1166" s="31">
        <f>IF(AND($Y1166&lt;&gt;"",N($Z1166)&gt;0,$AC1166=0),MAX($AD$7:$AD1165)+1,"")</f>
        <v/>
      </c>
      <c r="AE1166" s="31">
        <f>IF($Y1166="",0,$Y1166)</f>
        <v/>
      </c>
    </row>
    <row r="1167">
      <c r="W1167" s="31">
        <f>IF(OR($B$5="",$C$6="",ROW()&lt;$B$5),"",IF(INDEX($A:$U,ROW(),$C$6)="","",INDEX($A:$U,ROW(),$C$6)))</f>
        <v/>
      </c>
      <c r="X1167" s="32">
        <f>IF($W1167="","",IF(ISNUMBER($W1167),IF($W1167&gt;=10000000,IFERROR(DATE(INT($W1167/10000),MOD(INT($W1167/100),100),MOD($W1167,100)),""),INT($W1167)),IFERROR(DATE(--LEFT(LEFT(SUBSTITUTE(SUBSTITUTE(SUBSTITUTE(SUBSTITUTE(TRIM($W1167),"-",""),".",""),"/","")," ",""),8),4),--MID(LEFT(SUBSTITUTE(SUBSTITUTE(SUBSTITUTE(SUBSTITUTE(TRIM($W1167),"-",""),".",""),"/","")," ",""),8),5,2),--MID(LEFT(SUBSTITUTE(SUBSTITUTE(SUBSTITUTE(SUBSTITUTE(TRIM($W1167),"-",""),".",""),"/","")," ",""),8),7,2)),"")))</f>
        <v/>
      </c>
      <c r="Y1167" s="32">
        <f>IF($X1167="","",INT($X1167))</f>
        <v/>
      </c>
      <c r="Z1167" s="33">
        <f>IF(OR($Y1167="",$D$6=""),"",IF(INDEX($A:$U,ROW(),$D$6)="",0,IF(ISNUMBER(INDEX($A:$U,ROW(),$D$6)),INDEX($A:$U,ROW(),$D$6),IFERROR(--SUBSTITUTE(SUBSTITUTE(TRIM(INDEX($A:$U,ROW(),$D$6)),",",""),"원",""),0))))</f>
        <v/>
      </c>
      <c r="AA1167" s="31">
        <f>IF($Y1167="","",TRIM(INDEX($A:$U,ROW(),$E$6)&amp;IF($F$6="",""," "&amp;INDEX($A:$U,ROW(),$F$6))))</f>
        <v/>
      </c>
      <c r="AB1167" s="31">
        <f>IF($AA1167="","",SUBSTITUTE(SUBSTITUTE(SUBSTITUTE(SUBSTITUTE(SUBSTITUTE(SUBSTITUTE(SUBSTITUTE(SUBSTITUTE(SUBSTITUTE($AA1167," ",""),"　",""),"(주)",""),"（주）",""),"㈜",""),"주식회사",""),"(유)",""),"（유）",""),"유한회사",""))</f>
        <v/>
      </c>
      <c r="AC1167" s="31">
        <f>IF(OR($Y1167="",N($Z1167)&lt;=0,$AB1167=""),0,IFERROR(LOOKUP(2,1/((거래처별!$AC$8:$AC$307&lt;&gt;"")*ISNUMBER(SEARCH(거래처별!$AC$8:$AC$307,$AB1167))),거래처별!$A$8:$A$307),IFERROR(LOOKUP(2,1/((거래처별!$AD$8:$AD$307&lt;&gt;"")*ISNUMBER(SEARCH(거래처별!$AD$8:$AD$307,$AB1167))),거래처별!$A$8:$A$307),IFERROR(LOOKUP(2,1/((거래처별!$AE$8:$AE$307&lt;&gt;"")*ISNUMBER(SEARCH(거래처별!$AE$8:$AE$307,$AB1167))),거래처별!$A$8:$A$307),0))))</f>
        <v/>
      </c>
      <c r="AD1167" s="31">
        <f>IF(AND($Y1167&lt;&gt;"",N($Z1167)&gt;0,$AC1167=0),MAX($AD$7:$AD1166)+1,"")</f>
        <v/>
      </c>
      <c r="AE1167" s="31">
        <f>IF($Y1167="",0,$Y1167)</f>
        <v/>
      </c>
    </row>
    <row r="1168">
      <c r="W1168" s="31">
        <f>IF(OR($B$5="",$C$6="",ROW()&lt;$B$5),"",IF(INDEX($A:$U,ROW(),$C$6)="","",INDEX($A:$U,ROW(),$C$6)))</f>
        <v/>
      </c>
      <c r="X1168" s="32">
        <f>IF($W1168="","",IF(ISNUMBER($W1168),IF($W1168&gt;=10000000,IFERROR(DATE(INT($W1168/10000),MOD(INT($W1168/100),100),MOD($W1168,100)),""),INT($W1168)),IFERROR(DATE(--LEFT(LEFT(SUBSTITUTE(SUBSTITUTE(SUBSTITUTE(SUBSTITUTE(TRIM($W1168),"-",""),".",""),"/","")," ",""),8),4),--MID(LEFT(SUBSTITUTE(SUBSTITUTE(SUBSTITUTE(SUBSTITUTE(TRIM($W1168),"-",""),".",""),"/","")," ",""),8),5,2),--MID(LEFT(SUBSTITUTE(SUBSTITUTE(SUBSTITUTE(SUBSTITUTE(TRIM($W1168),"-",""),".",""),"/","")," ",""),8),7,2)),"")))</f>
        <v/>
      </c>
      <c r="Y1168" s="32">
        <f>IF($X1168="","",INT($X1168))</f>
        <v/>
      </c>
      <c r="Z1168" s="33">
        <f>IF(OR($Y1168="",$D$6=""),"",IF(INDEX($A:$U,ROW(),$D$6)="",0,IF(ISNUMBER(INDEX($A:$U,ROW(),$D$6)),INDEX($A:$U,ROW(),$D$6),IFERROR(--SUBSTITUTE(SUBSTITUTE(TRIM(INDEX($A:$U,ROW(),$D$6)),",",""),"원",""),0))))</f>
        <v/>
      </c>
      <c r="AA1168" s="31">
        <f>IF($Y1168="","",TRIM(INDEX($A:$U,ROW(),$E$6)&amp;IF($F$6="",""," "&amp;INDEX($A:$U,ROW(),$F$6))))</f>
        <v/>
      </c>
      <c r="AB1168" s="31">
        <f>IF($AA1168="","",SUBSTITUTE(SUBSTITUTE(SUBSTITUTE(SUBSTITUTE(SUBSTITUTE(SUBSTITUTE(SUBSTITUTE(SUBSTITUTE(SUBSTITUTE($AA1168," ",""),"　",""),"(주)",""),"（주）",""),"㈜",""),"주식회사",""),"(유)",""),"（유）",""),"유한회사",""))</f>
        <v/>
      </c>
      <c r="AC1168" s="31">
        <f>IF(OR($Y1168="",N($Z1168)&lt;=0,$AB1168=""),0,IFERROR(LOOKUP(2,1/((거래처별!$AC$8:$AC$307&lt;&gt;"")*ISNUMBER(SEARCH(거래처별!$AC$8:$AC$307,$AB1168))),거래처별!$A$8:$A$307),IFERROR(LOOKUP(2,1/((거래처별!$AD$8:$AD$307&lt;&gt;"")*ISNUMBER(SEARCH(거래처별!$AD$8:$AD$307,$AB1168))),거래처별!$A$8:$A$307),IFERROR(LOOKUP(2,1/((거래처별!$AE$8:$AE$307&lt;&gt;"")*ISNUMBER(SEARCH(거래처별!$AE$8:$AE$307,$AB1168))),거래처별!$A$8:$A$307),0))))</f>
        <v/>
      </c>
      <c r="AD1168" s="31">
        <f>IF(AND($Y1168&lt;&gt;"",N($Z1168)&gt;0,$AC1168=0),MAX($AD$7:$AD1167)+1,"")</f>
        <v/>
      </c>
      <c r="AE1168" s="31">
        <f>IF($Y1168="",0,$Y1168)</f>
        <v/>
      </c>
    </row>
    <row r="1169">
      <c r="W1169" s="31">
        <f>IF(OR($B$5="",$C$6="",ROW()&lt;$B$5),"",IF(INDEX($A:$U,ROW(),$C$6)="","",INDEX($A:$U,ROW(),$C$6)))</f>
        <v/>
      </c>
      <c r="X1169" s="32">
        <f>IF($W1169="","",IF(ISNUMBER($W1169),IF($W1169&gt;=10000000,IFERROR(DATE(INT($W1169/10000),MOD(INT($W1169/100),100),MOD($W1169,100)),""),INT($W1169)),IFERROR(DATE(--LEFT(LEFT(SUBSTITUTE(SUBSTITUTE(SUBSTITUTE(SUBSTITUTE(TRIM($W1169),"-",""),".",""),"/","")," ",""),8),4),--MID(LEFT(SUBSTITUTE(SUBSTITUTE(SUBSTITUTE(SUBSTITUTE(TRIM($W1169),"-",""),".",""),"/","")," ",""),8),5,2),--MID(LEFT(SUBSTITUTE(SUBSTITUTE(SUBSTITUTE(SUBSTITUTE(TRIM($W1169),"-",""),".",""),"/","")," ",""),8),7,2)),"")))</f>
        <v/>
      </c>
      <c r="Y1169" s="32">
        <f>IF($X1169="","",INT($X1169))</f>
        <v/>
      </c>
      <c r="Z1169" s="33">
        <f>IF(OR($Y1169="",$D$6=""),"",IF(INDEX($A:$U,ROW(),$D$6)="",0,IF(ISNUMBER(INDEX($A:$U,ROW(),$D$6)),INDEX($A:$U,ROW(),$D$6),IFERROR(--SUBSTITUTE(SUBSTITUTE(TRIM(INDEX($A:$U,ROW(),$D$6)),",",""),"원",""),0))))</f>
        <v/>
      </c>
      <c r="AA1169" s="31">
        <f>IF($Y1169="","",TRIM(INDEX($A:$U,ROW(),$E$6)&amp;IF($F$6="",""," "&amp;INDEX($A:$U,ROW(),$F$6))))</f>
        <v/>
      </c>
      <c r="AB1169" s="31">
        <f>IF($AA1169="","",SUBSTITUTE(SUBSTITUTE(SUBSTITUTE(SUBSTITUTE(SUBSTITUTE(SUBSTITUTE(SUBSTITUTE(SUBSTITUTE(SUBSTITUTE($AA1169," ",""),"　",""),"(주)",""),"（주）",""),"㈜",""),"주식회사",""),"(유)",""),"（유）",""),"유한회사",""))</f>
        <v/>
      </c>
      <c r="AC1169" s="31">
        <f>IF(OR($Y1169="",N($Z1169)&lt;=0,$AB1169=""),0,IFERROR(LOOKUP(2,1/((거래처별!$AC$8:$AC$307&lt;&gt;"")*ISNUMBER(SEARCH(거래처별!$AC$8:$AC$307,$AB1169))),거래처별!$A$8:$A$307),IFERROR(LOOKUP(2,1/((거래처별!$AD$8:$AD$307&lt;&gt;"")*ISNUMBER(SEARCH(거래처별!$AD$8:$AD$307,$AB1169))),거래처별!$A$8:$A$307),IFERROR(LOOKUP(2,1/((거래처별!$AE$8:$AE$307&lt;&gt;"")*ISNUMBER(SEARCH(거래처별!$AE$8:$AE$307,$AB1169))),거래처별!$A$8:$A$307),0))))</f>
        <v/>
      </c>
      <c r="AD1169" s="31">
        <f>IF(AND($Y1169&lt;&gt;"",N($Z1169)&gt;0,$AC1169=0),MAX($AD$7:$AD1168)+1,"")</f>
        <v/>
      </c>
      <c r="AE1169" s="31">
        <f>IF($Y1169="",0,$Y1169)</f>
        <v/>
      </c>
    </row>
    <row r="1170">
      <c r="W1170" s="31">
        <f>IF(OR($B$5="",$C$6="",ROW()&lt;$B$5),"",IF(INDEX($A:$U,ROW(),$C$6)="","",INDEX($A:$U,ROW(),$C$6)))</f>
        <v/>
      </c>
      <c r="X1170" s="32">
        <f>IF($W1170="","",IF(ISNUMBER($W1170),IF($W1170&gt;=10000000,IFERROR(DATE(INT($W1170/10000),MOD(INT($W1170/100),100),MOD($W1170,100)),""),INT($W1170)),IFERROR(DATE(--LEFT(LEFT(SUBSTITUTE(SUBSTITUTE(SUBSTITUTE(SUBSTITUTE(TRIM($W1170),"-",""),".",""),"/","")," ",""),8),4),--MID(LEFT(SUBSTITUTE(SUBSTITUTE(SUBSTITUTE(SUBSTITUTE(TRIM($W1170),"-",""),".",""),"/","")," ",""),8),5,2),--MID(LEFT(SUBSTITUTE(SUBSTITUTE(SUBSTITUTE(SUBSTITUTE(TRIM($W1170),"-",""),".",""),"/","")," ",""),8),7,2)),"")))</f>
        <v/>
      </c>
      <c r="Y1170" s="32">
        <f>IF($X1170="","",INT($X1170))</f>
        <v/>
      </c>
      <c r="Z1170" s="33">
        <f>IF(OR($Y1170="",$D$6=""),"",IF(INDEX($A:$U,ROW(),$D$6)="",0,IF(ISNUMBER(INDEX($A:$U,ROW(),$D$6)),INDEX($A:$U,ROW(),$D$6),IFERROR(--SUBSTITUTE(SUBSTITUTE(TRIM(INDEX($A:$U,ROW(),$D$6)),",",""),"원",""),0))))</f>
        <v/>
      </c>
      <c r="AA1170" s="31">
        <f>IF($Y1170="","",TRIM(INDEX($A:$U,ROW(),$E$6)&amp;IF($F$6="",""," "&amp;INDEX($A:$U,ROW(),$F$6))))</f>
        <v/>
      </c>
      <c r="AB1170" s="31">
        <f>IF($AA1170="","",SUBSTITUTE(SUBSTITUTE(SUBSTITUTE(SUBSTITUTE(SUBSTITUTE(SUBSTITUTE(SUBSTITUTE(SUBSTITUTE(SUBSTITUTE($AA1170," ",""),"　",""),"(주)",""),"（주）",""),"㈜",""),"주식회사",""),"(유)",""),"（유）",""),"유한회사",""))</f>
        <v/>
      </c>
      <c r="AC1170" s="31">
        <f>IF(OR($Y1170="",N($Z1170)&lt;=0,$AB1170=""),0,IFERROR(LOOKUP(2,1/((거래처별!$AC$8:$AC$307&lt;&gt;"")*ISNUMBER(SEARCH(거래처별!$AC$8:$AC$307,$AB1170))),거래처별!$A$8:$A$307),IFERROR(LOOKUP(2,1/((거래처별!$AD$8:$AD$307&lt;&gt;"")*ISNUMBER(SEARCH(거래처별!$AD$8:$AD$307,$AB1170))),거래처별!$A$8:$A$307),IFERROR(LOOKUP(2,1/((거래처별!$AE$8:$AE$307&lt;&gt;"")*ISNUMBER(SEARCH(거래처별!$AE$8:$AE$307,$AB1170))),거래처별!$A$8:$A$307),0))))</f>
        <v/>
      </c>
      <c r="AD1170" s="31">
        <f>IF(AND($Y1170&lt;&gt;"",N($Z1170)&gt;0,$AC1170=0),MAX($AD$7:$AD1169)+1,"")</f>
        <v/>
      </c>
      <c r="AE1170" s="31">
        <f>IF($Y1170="",0,$Y1170)</f>
        <v/>
      </c>
    </row>
    <row r="1171">
      <c r="W1171" s="31">
        <f>IF(OR($B$5="",$C$6="",ROW()&lt;$B$5),"",IF(INDEX($A:$U,ROW(),$C$6)="","",INDEX($A:$U,ROW(),$C$6)))</f>
        <v/>
      </c>
      <c r="X1171" s="32">
        <f>IF($W1171="","",IF(ISNUMBER($W1171),IF($W1171&gt;=10000000,IFERROR(DATE(INT($W1171/10000),MOD(INT($W1171/100),100),MOD($W1171,100)),""),INT($W1171)),IFERROR(DATE(--LEFT(LEFT(SUBSTITUTE(SUBSTITUTE(SUBSTITUTE(SUBSTITUTE(TRIM($W1171),"-",""),".",""),"/","")," ",""),8),4),--MID(LEFT(SUBSTITUTE(SUBSTITUTE(SUBSTITUTE(SUBSTITUTE(TRIM($W1171),"-",""),".",""),"/","")," ",""),8),5,2),--MID(LEFT(SUBSTITUTE(SUBSTITUTE(SUBSTITUTE(SUBSTITUTE(TRIM($W1171),"-",""),".",""),"/","")," ",""),8),7,2)),"")))</f>
        <v/>
      </c>
      <c r="Y1171" s="32">
        <f>IF($X1171="","",INT($X1171))</f>
        <v/>
      </c>
      <c r="Z1171" s="33">
        <f>IF(OR($Y1171="",$D$6=""),"",IF(INDEX($A:$U,ROW(),$D$6)="",0,IF(ISNUMBER(INDEX($A:$U,ROW(),$D$6)),INDEX($A:$U,ROW(),$D$6),IFERROR(--SUBSTITUTE(SUBSTITUTE(TRIM(INDEX($A:$U,ROW(),$D$6)),",",""),"원",""),0))))</f>
        <v/>
      </c>
      <c r="AA1171" s="31">
        <f>IF($Y1171="","",TRIM(INDEX($A:$U,ROW(),$E$6)&amp;IF($F$6="",""," "&amp;INDEX($A:$U,ROW(),$F$6))))</f>
        <v/>
      </c>
      <c r="AB1171" s="31">
        <f>IF($AA1171="","",SUBSTITUTE(SUBSTITUTE(SUBSTITUTE(SUBSTITUTE(SUBSTITUTE(SUBSTITUTE(SUBSTITUTE(SUBSTITUTE(SUBSTITUTE($AA1171," ",""),"　",""),"(주)",""),"（주）",""),"㈜",""),"주식회사",""),"(유)",""),"（유）",""),"유한회사",""))</f>
        <v/>
      </c>
      <c r="AC1171" s="31">
        <f>IF(OR($Y1171="",N($Z1171)&lt;=0,$AB1171=""),0,IFERROR(LOOKUP(2,1/((거래처별!$AC$8:$AC$307&lt;&gt;"")*ISNUMBER(SEARCH(거래처별!$AC$8:$AC$307,$AB1171))),거래처별!$A$8:$A$307),IFERROR(LOOKUP(2,1/((거래처별!$AD$8:$AD$307&lt;&gt;"")*ISNUMBER(SEARCH(거래처별!$AD$8:$AD$307,$AB1171))),거래처별!$A$8:$A$307),IFERROR(LOOKUP(2,1/((거래처별!$AE$8:$AE$307&lt;&gt;"")*ISNUMBER(SEARCH(거래처별!$AE$8:$AE$307,$AB1171))),거래처별!$A$8:$A$307),0))))</f>
        <v/>
      </c>
      <c r="AD1171" s="31">
        <f>IF(AND($Y1171&lt;&gt;"",N($Z1171)&gt;0,$AC1171=0),MAX($AD$7:$AD1170)+1,"")</f>
        <v/>
      </c>
      <c r="AE1171" s="31">
        <f>IF($Y1171="",0,$Y1171)</f>
        <v/>
      </c>
    </row>
    <row r="1172">
      <c r="W1172" s="31">
        <f>IF(OR($B$5="",$C$6="",ROW()&lt;$B$5),"",IF(INDEX($A:$U,ROW(),$C$6)="","",INDEX($A:$U,ROW(),$C$6)))</f>
        <v/>
      </c>
      <c r="X1172" s="32">
        <f>IF($W1172="","",IF(ISNUMBER($W1172),IF($W1172&gt;=10000000,IFERROR(DATE(INT($W1172/10000),MOD(INT($W1172/100),100),MOD($W1172,100)),""),INT($W1172)),IFERROR(DATE(--LEFT(LEFT(SUBSTITUTE(SUBSTITUTE(SUBSTITUTE(SUBSTITUTE(TRIM($W1172),"-",""),".",""),"/","")," ",""),8),4),--MID(LEFT(SUBSTITUTE(SUBSTITUTE(SUBSTITUTE(SUBSTITUTE(TRIM($W1172),"-",""),".",""),"/","")," ",""),8),5,2),--MID(LEFT(SUBSTITUTE(SUBSTITUTE(SUBSTITUTE(SUBSTITUTE(TRIM($W1172),"-",""),".",""),"/","")," ",""),8),7,2)),"")))</f>
        <v/>
      </c>
      <c r="Y1172" s="32">
        <f>IF($X1172="","",INT($X1172))</f>
        <v/>
      </c>
      <c r="Z1172" s="33">
        <f>IF(OR($Y1172="",$D$6=""),"",IF(INDEX($A:$U,ROW(),$D$6)="",0,IF(ISNUMBER(INDEX($A:$U,ROW(),$D$6)),INDEX($A:$U,ROW(),$D$6),IFERROR(--SUBSTITUTE(SUBSTITUTE(TRIM(INDEX($A:$U,ROW(),$D$6)),",",""),"원",""),0))))</f>
        <v/>
      </c>
      <c r="AA1172" s="31">
        <f>IF($Y1172="","",TRIM(INDEX($A:$U,ROW(),$E$6)&amp;IF($F$6="",""," "&amp;INDEX($A:$U,ROW(),$F$6))))</f>
        <v/>
      </c>
      <c r="AB1172" s="31">
        <f>IF($AA1172="","",SUBSTITUTE(SUBSTITUTE(SUBSTITUTE(SUBSTITUTE(SUBSTITUTE(SUBSTITUTE(SUBSTITUTE(SUBSTITUTE(SUBSTITUTE($AA1172," ",""),"　",""),"(주)",""),"（주）",""),"㈜",""),"주식회사",""),"(유)",""),"（유）",""),"유한회사",""))</f>
        <v/>
      </c>
      <c r="AC1172" s="31">
        <f>IF(OR($Y1172="",N($Z1172)&lt;=0,$AB1172=""),0,IFERROR(LOOKUP(2,1/((거래처별!$AC$8:$AC$307&lt;&gt;"")*ISNUMBER(SEARCH(거래처별!$AC$8:$AC$307,$AB1172))),거래처별!$A$8:$A$307),IFERROR(LOOKUP(2,1/((거래처별!$AD$8:$AD$307&lt;&gt;"")*ISNUMBER(SEARCH(거래처별!$AD$8:$AD$307,$AB1172))),거래처별!$A$8:$A$307),IFERROR(LOOKUP(2,1/((거래처별!$AE$8:$AE$307&lt;&gt;"")*ISNUMBER(SEARCH(거래처별!$AE$8:$AE$307,$AB1172))),거래처별!$A$8:$A$307),0))))</f>
        <v/>
      </c>
      <c r="AD1172" s="31">
        <f>IF(AND($Y1172&lt;&gt;"",N($Z1172)&gt;0,$AC1172=0),MAX($AD$7:$AD1171)+1,"")</f>
        <v/>
      </c>
      <c r="AE1172" s="31">
        <f>IF($Y1172="",0,$Y1172)</f>
        <v/>
      </c>
    </row>
    <row r="1173">
      <c r="W1173" s="31">
        <f>IF(OR($B$5="",$C$6="",ROW()&lt;$B$5),"",IF(INDEX($A:$U,ROW(),$C$6)="","",INDEX($A:$U,ROW(),$C$6)))</f>
        <v/>
      </c>
      <c r="X1173" s="32">
        <f>IF($W1173="","",IF(ISNUMBER($W1173),IF($W1173&gt;=10000000,IFERROR(DATE(INT($W1173/10000),MOD(INT($W1173/100),100),MOD($W1173,100)),""),INT($W1173)),IFERROR(DATE(--LEFT(LEFT(SUBSTITUTE(SUBSTITUTE(SUBSTITUTE(SUBSTITUTE(TRIM($W1173),"-",""),".",""),"/","")," ",""),8),4),--MID(LEFT(SUBSTITUTE(SUBSTITUTE(SUBSTITUTE(SUBSTITUTE(TRIM($W1173),"-",""),".",""),"/","")," ",""),8),5,2),--MID(LEFT(SUBSTITUTE(SUBSTITUTE(SUBSTITUTE(SUBSTITUTE(TRIM($W1173),"-",""),".",""),"/","")," ",""),8),7,2)),"")))</f>
        <v/>
      </c>
      <c r="Y1173" s="32">
        <f>IF($X1173="","",INT($X1173))</f>
        <v/>
      </c>
      <c r="Z1173" s="33">
        <f>IF(OR($Y1173="",$D$6=""),"",IF(INDEX($A:$U,ROW(),$D$6)="",0,IF(ISNUMBER(INDEX($A:$U,ROW(),$D$6)),INDEX($A:$U,ROW(),$D$6),IFERROR(--SUBSTITUTE(SUBSTITUTE(TRIM(INDEX($A:$U,ROW(),$D$6)),",",""),"원",""),0))))</f>
        <v/>
      </c>
      <c r="AA1173" s="31">
        <f>IF($Y1173="","",TRIM(INDEX($A:$U,ROW(),$E$6)&amp;IF($F$6="",""," "&amp;INDEX($A:$U,ROW(),$F$6))))</f>
        <v/>
      </c>
      <c r="AB1173" s="31">
        <f>IF($AA1173="","",SUBSTITUTE(SUBSTITUTE(SUBSTITUTE(SUBSTITUTE(SUBSTITUTE(SUBSTITUTE(SUBSTITUTE(SUBSTITUTE(SUBSTITUTE($AA1173," ",""),"　",""),"(주)",""),"（주）",""),"㈜",""),"주식회사",""),"(유)",""),"（유）",""),"유한회사",""))</f>
        <v/>
      </c>
      <c r="AC1173" s="31">
        <f>IF(OR($Y1173="",N($Z1173)&lt;=0,$AB1173=""),0,IFERROR(LOOKUP(2,1/((거래처별!$AC$8:$AC$307&lt;&gt;"")*ISNUMBER(SEARCH(거래처별!$AC$8:$AC$307,$AB1173))),거래처별!$A$8:$A$307),IFERROR(LOOKUP(2,1/((거래처별!$AD$8:$AD$307&lt;&gt;"")*ISNUMBER(SEARCH(거래처별!$AD$8:$AD$307,$AB1173))),거래처별!$A$8:$A$307),IFERROR(LOOKUP(2,1/((거래처별!$AE$8:$AE$307&lt;&gt;"")*ISNUMBER(SEARCH(거래처별!$AE$8:$AE$307,$AB1173))),거래처별!$A$8:$A$307),0))))</f>
        <v/>
      </c>
      <c r="AD1173" s="31">
        <f>IF(AND($Y1173&lt;&gt;"",N($Z1173)&gt;0,$AC1173=0),MAX($AD$7:$AD1172)+1,"")</f>
        <v/>
      </c>
      <c r="AE1173" s="31">
        <f>IF($Y1173="",0,$Y1173)</f>
        <v/>
      </c>
    </row>
    <row r="1174">
      <c r="W1174" s="31">
        <f>IF(OR($B$5="",$C$6="",ROW()&lt;$B$5),"",IF(INDEX($A:$U,ROW(),$C$6)="","",INDEX($A:$U,ROW(),$C$6)))</f>
        <v/>
      </c>
      <c r="X1174" s="32">
        <f>IF($W1174="","",IF(ISNUMBER($W1174),IF($W1174&gt;=10000000,IFERROR(DATE(INT($W1174/10000),MOD(INT($W1174/100),100),MOD($W1174,100)),""),INT($W1174)),IFERROR(DATE(--LEFT(LEFT(SUBSTITUTE(SUBSTITUTE(SUBSTITUTE(SUBSTITUTE(TRIM($W1174),"-",""),".",""),"/","")," ",""),8),4),--MID(LEFT(SUBSTITUTE(SUBSTITUTE(SUBSTITUTE(SUBSTITUTE(TRIM($W1174),"-",""),".",""),"/","")," ",""),8),5,2),--MID(LEFT(SUBSTITUTE(SUBSTITUTE(SUBSTITUTE(SUBSTITUTE(TRIM($W1174),"-",""),".",""),"/","")," ",""),8),7,2)),"")))</f>
        <v/>
      </c>
      <c r="Y1174" s="32">
        <f>IF($X1174="","",INT($X1174))</f>
        <v/>
      </c>
      <c r="Z1174" s="33">
        <f>IF(OR($Y1174="",$D$6=""),"",IF(INDEX($A:$U,ROW(),$D$6)="",0,IF(ISNUMBER(INDEX($A:$U,ROW(),$D$6)),INDEX($A:$U,ROW(),$D$6),IFERROR(--SUBSTITUTE(SUBSTITUTE(TRIM(INDEX($A:$U,ROW(),$D$6)),",",""),"원",""),0))))</f>
        <v/>
      </c>
      <c r="AA1174" s="31">
        <f>IF($Y1174="","",TRIM(INDEX($A:$U,ROW(),$E$6)&amp;IF($F$6="",""," "&amp;INDEX($A:$U,ROW(),$F$6))))</f>
        <v/>
      </c>
      <c r="AB1174" s="31">
        <f>IF($AA1174="","",SUBSTITUTE(SUBSTITUTE(SUBSTITUTE(SUBSTITUTE(SUBSTITUTE(SUBSTITUTE(SUBSTITUTE(SUBSTITUTE(SUBSTITUTE($AA1174," ",""),"　",""),"(주)",""),"（주）",""),"㈜",""),"주식회사",""),"(유)",""),"（유）",""),"유한회사",""))</f>
        <v/>
      </c>
      <c r="AC1174" s="31">
        <f>IF(OR($Y1174="",N($Z1174)&lt;=0,$AB1174=""),0,IFERROR(LOOKUP(2,1/((거래처별!$AC$8:$AC$307&lt;&gt;"")*ISNUMBER(SEARCH(거래처별!$AC$8:$AC$307,$AB1174))),거래처별!$A$8:$A$307),IFERROR(LOOKUP(2,1/((거래처별!$AD$8:$AD$307&lt;&gt;"")*ISNUMBER(SEARCH(거래처별!$AD$8:$AD$307,$AB1174))),거래처별!$A$8:$A$307),IFERROR(LOOKUP(2,1/((거래처별!$AE$8:$AE$307&lt;&gt;"")*ISNUMBER(SEARCH(거래처별!$AE$8:$AE$307,$AB1174))),거래처별!$A$8:$A$307),0))))</f>
        <v/>
      </c>
      <c r="AD1174" s="31">
        <f>IF(AND($Y1174&lt;&gt;"",N($Z1174)&gt;0,$AC1174=0),MAX($AD$7:$AD1173)+1,"")</f>
        <v/>
      </c>
      <c r="AE1174" s="31">
        <f>IF($Y1174="",0,$Y1174)</f>
        <v/>
      </c>
    </row>
    <row r="1175">
      <c r="W1175" s="31">
        <f>IF(OR($B$5="",$C$6="",ROW()&lt;$B$5),"",IF(INDEX($A:$U,ROW(),$C$6)="","",INDEX($A:$U,ROW(),$C$6)))</f>
        <v/>
      </c>
      <c r="X1175" s="32">
        <f>IF($W1175="","",IF(ISNUMBER($W1175),IF($W1175&gt;=10000000,IFERROR(DATE(INT($W1175/10000),MOD(INT($W1175/100),100),MOD($W1175,100)),""),INT($W1175)),IFERROR(DATE(--LEFT(LEFT(SUBSTITUTE(SUBSTITUTE(SUBSTITUTE(SUBSTITUTE(TRIM($W1175),"-",""),".",""),"/","")," ",""),8),4),--MID(LEFT(SUBSTITUTE(SUBSTITUTE(SUBSTITUTE(SUBSTITUTE(TRIM($W1175),"-",""),".",""),"/","")," ",""),8),5,2),--MID(LEFT(SUBSTITUTE(SUBSTITUTE(SUBSTITUTE(SUBSTITUTE(TRIM($W1175),"-",""),".",""),"/","")," ",""),8),7,2)),"")))</f>
        <v/>
      </c>
      <c r="Y1175" s="32">
        <f>IF($X1175="","",INT($X1175))</f>
        <v/>
      </c>
      <c r="Z1175" s="33">
        <f>IF(OR($Y1175="",$D$6=""),"",IF(INDEX($A:$U,ROW(),$D$6)="",0,IF(ISNUMBER(INDEX($A:$U,ROW(),$D$6)),INDEX($A:$U,ROW(),$D$6),IFERROR(--SUBSTITUTE(SUBSTITUTE(TRIM(INDEX($A:$U,ROW(),$D$6)),",",""),"원",""),0))))</f>
        <v/>
      </c>
      <c r="AA1175" s="31">
        <f>IF($Y1175="","",TRIM(INDEX($A:$U,ROW(),$E$6)&amp;IF($F$6="",""," "&amp;INDEX($A:$U,ROW(),$F$6))))</f>
        <v/>
      </c>
      <c r="AB1175" s="31">
        <f>IF($AA1175="","",SUBSTITUTE(SUBSTITUTE(SUBSTITUTE(SUBSTITUTE(SUBSTITUTE(SUBSTITUTE(SUBSTITUTE(SUBSTITUTE(SUBSTITUTE($AA1175," ",""),"　",""),"(주)",""),"（주）",""),"㈜",""),"주식회사",""),"(유)",""),"（유）",""),"유한회사",""))</f>
        <v/>
      </c>
      <c r="AC1175" s="31">
        <f>IF(OR($Y1175="",N($Z1175)&lt;=0,$AB1175=""),0,IFERROR(LOOKUP(2,1/((거래처별!$AC$8:$AC$307&lt;&gt;"")*ISNUMBER(SEARCH(거래처별!$AC$8:$AC$307,$AB1175))),거래처별!$A$8:$A$307),IFERROR(LOOKUP(2,1/((거래처별!$AD$8:$AD$307&lt;&gt;"")*ISNUMBER(SEARCH(거래처별!$AD$8:$AD$307,$AB1175))),거래처별!$A$8:$A$307),IFERROR(LOOKUP(2,1/((거래처별!$AE$8:$AE$307&lt;&gt;"")*ISNUMBER(SEARCH(거래처별!$AE$8:$AE$307,$AB1175))),거래처별!$A$8:$A$307),0))))</f>
        <v/>
      </c>
      <c r="AD1175" s="31">
        <f>IF(AND($Y1175&lt;&gt;"",N($Z1175)&gt;0,$AC1175=0),MAX($AD$7:$AD1174)+1,"")</f>
        <v/>
      </c>
      <c r="AE1175" s="31">
        <f>IF($Y1175="",0,$Y1175)</f>
        <v/>
      </c>
    </row>
    <row r="1176">
      <c r="W1176" s="31">
        <f>IF(OR($B$5="",$C$6="",ROW()&lt;$B$5),"",IF(INDEX($A:$U,ROW(),$C$6)="","",INDEX($A:$U,ROW(),$C$6)))</f>
        <v/>
      </c>
      <c r="X1176" s="32">
        <f>IF($W1176="","",IF(ISNUMBER($W1176),IF($W1176&gt;=10000000,IFERROR(DATE(INT($W1176/10000),MOD(INT($W1176/100),100),MOD($W1176,100)),""),INT($W1176)),IFERROR(DATE(--LEFT(LEFT(SUBSTITUTE(SUBSTITUTE(SUBSTITUTE(SUBSTITUTE(TRIM($W1176),"-",""),".",""),"/","")," ",""),8),4),--MID(LEFT(SUBSTITUTE(SUBSTITUTE(SUBSTITUTE(SUBSTITUTE(TRIM($W1176),"-",""),".",""),"/","")," ",""),8),5,2),--MID(LEFT(SUBSTITUTE(SUBSTITUTE(SUBSTITUTE(SUBSTITUTE(TRIM($W1176),"-",""),".",""),"/","")," ",""),8),7,2)),"")))</f>
        <v/>
      </c>
      <c r="Y1176" s="32">
        <f>IF($X1176="","",INT($X1176))</f>
        <v/>
      </c>
      <c r="Z1176" s="33">
        <f>IF(OR($Y1176="",$D$6=""),"",IF(INDEX($A:$U,ROW(),$D$6)="",0,IF(ISNUMBER(INDEX($A:$U,ROW(),$D$6)),INDEX($A:$U,ROW(),$D$6),IFERROR(--SUBSTITUTE(SUBSTITUTE(TRIM(INDEX($A:$U,ROW(),$D$6)),",",""),"원",""),0))))</f>
        <v/>
      </c>
      <c r="AA1176" s="31">
        <f>IF($Y1176="","",TRIM(INDEX($A:$U,ROW(),$E$6)&amp;IF($F$6="",""," "&amp;INDEX($A:$U,ROW(),$F$6))))</f>
        <v/>
      </c>
      <c r="AB1176" s="31">
        <f>IF($AA1176="","",SUBSTITUTE(SUBSTITUTE(SUBSTITUTE(SUBSTITUTE(SUBSTITUTE(SUBSTITUTE(SUBSTITUTE(SUBSTITUTE(SUBSTITUTE($AA1176," ",""),"　",""),"(주)",""),"（주）",""),"㈜",""),"주식회사",""),"(유)",""),"（유）",""),"유한회사",""))</f>
        <v/>
      </c>
      <c r="AC1176" s="31">
        <f>IF(OR($Y1176="",N($Z1176)&lt;=0,$AB1176=""),0,IFERROR(LOOKUP(2,1/((거래처별!$AC$8:$AC$307&lt;&gt;"")*ISNUMBER(SEARCH(거래처별!$AC$8:$AC$307,$AB1176))),거래처별!$A$8:$A$307),IFERROR(LOOKUP(2,1/((거래처별!$AD$8:$AD$307&lt;&gt;"")*ISNUMBER(SEARCH(거래처별!$AD$8:$AD$307,$AB1176))),거래처별!$A$8:$A$307),IFERROR(LOOKUP(2,1/((거래처별!$AE$8:$AE$307&lt;&gt;"")*ISNUMBER(SEARCH(거래처별!$AE$8:$AE$307,$AB1176))),거래처별!$A$8:$A$307),0))))</f>
        <v/>
      </c>
      <c r="AD1176" s="31">
        <f>IF(AND($Y1176&lt;&gt;"",N($Z1176)&gt;0,$AC1176=0),MAX($AD$7:$AD1175)+1,"")</f>
        <v/>
      </c>
      <c r="AE1176" s="31">
        <f>IF($Y1176="",0,$Y1176)</f>
        <v/>
      </c>
    </row>
    <row r="1177">
      <c r="W1177" s="31">
        <f>IF(OR($B$5="",$C$6="",ROW()&lt;$B$5),"",IF(INDEX($A:$U,ROW(),$C$6)="","",INDEX($A:$U,ROW(),$C$6)))</f>
        <v/>
      </c>
      <c r="X1177" s="32">
        <f>IF($W1177="","",IF(ISNUMBER($W1177),IF($W1177&gt;=10000000,IFERROR(DATE(INT($W1177/10000),MOD(INT($W1177/100),100),MOD($W1177,100)),""),INT($W1177)),IFERROR(DATE(--LEFT(LEFT(SUBSTITUTE(SUBSTITUTE(SUBSTITUTE(SUBSTITUTE(TRIM($W1177),"-",""),".",""),"/","")," ",""),8),4),--MID(LEFT(SUBSTITUTE(SUBSTITUTE(SUBSTITUTE(SUBSTITUTE(TRIM($W1177),"-",""),".",""),"/","")," ",""),8),5,2),--MID(LEFT(SUBSTITUTE(SUBSTITUTE(SUBSTITUTE(SUBSTITUTE(TRIM($W1177),"-",""),".",""),"/","")," ",""),8),7,2)),"")))</f>
        <v/>
      </c>
      <c r="Y1177" s="32">
        <f>IF($X1177="","",INT($X1177))</f>
        <v/>
      </c>
      <c r="Z1177" s="33">
        <f>IF(OR($Y1177="",$D$6=""),"",IF(INDEX($A:$U,ROW(),$D$6)="",0,IF(ISNUMBER(INDEX($A:$U,ROW(),$D$6)),INDEX($A:$U,ROW(),$D$6),IFERROR(--SUBSTITUTE(SUBSTITUTE(TRIM(INDEX($A:$U,ROW(),$D$6)),",",""),"원",""),0))))</f>
        <v/>
      </c>
      <c r="AA1177" s="31">
        <f>IF($Y1177="","",TRIM(INDEX($A:$U,ROW(),$E$6)&amp;IF($F$6="",""," "&amp;INDEX($A:$U,ROW(),$F$6))))</f>
        <v/>
      </c>
      <c r="AB1177" s="31">
        <f>IF($AA1177="","",SUBSTITUTE(SUBSTITUTE(SUBSTITUTE(SUBSTITUTE(SUBSTITUTE(SUBSTITUTE(SUBSTITUTE(SUBSTITUTE(SUBSTITUTE($AA1177," ",""),"　",""),"(주)",""),"（주）",""),"㈜",""),"주식회사",""),"(유)",""),"（유）",""),"유한회사",""))</f>
        <v/>
      </c>
      <c r="AC1177" s="31">
        <f>IF(OR($Y1177="",N($Z1177)&lt;=0,$AB1177=""),0,IFERROR(LOOKUP(2,1/((거래처별!$AC$8:$AC$307&lt;&gt;"")*ISNUMBER(SEARCH(거래처별!$AC$8:$AC$307,$AB1177))),거래처별!$A$8:$A$307),IFERROR(LOOKUP(2,1/((거래처별!$AD$8:$AD$307&lt;&gt;"")*ISNUMBER(SEARCH(거래처별!$AD$8:$AD$307,$AB1177))),거래처별!$A$8:$A$307),IFERROR(LOOKUP(2,1/((거래처별!$AE$8:$AE$307&lt;&gt;"")*ISNUMBER(SEARCH(거래처별!$AE$8:$AE$307,$AB1177))),거래처별!$A$8:$A$307),0))))</f>
        <v/>
      </c>
      <c r="AD1177" s="31">
        <f>IF(AND($Y1177&lt;&gt;"",N($Z1177)&gt;0,$AC1177=0),MAX($AD$7:$AD1176)+1,"")</f>
        <v/>
      </c>
      <c r="AE1177" s="31">
        <f>IF($Y1177="",0,$Y1177)</f>
        <v/>
      </c>
    </row>
    <row r="1178">
      <c r="W1178" s="31">
        <f>IF(OR($B$5="",$C$6="",ROW()&lt;$B$5),"",IF(INDEX($A:$U,ROW(),$C$6)="","",INDEX($A:$U,ROW(),$C$6)))</f>
        <v/>
      </c>
      <c r="X1178" s="32">
        <f>IF($W1178="","",IF(ISNUMBER($W1178),IF($W1178&gt;=10000000,IFERROR(DATE(INT($W1178/10000),MOD(INT($W1178/100),100),MOD($W1178,100)),""),INT($W1178)),IFERROR(DATE(--LEFT(LEFT(SUBSTITUTE(SUBSTITUTE(SUBSTITUTE(SUBSTITUTE(TRIM($W1178),"-",""),".",""),"/","")," ",""),8),4),--MID(LEFT(SUBSTITUTE(SUBSTITUTE(SUBSTITUTE(SUBSTITUTE(TRIM($W1178),"-",""),".",""),"/","")," ",""),8),5,2),--MID(LEFT(SUBSTITUTE(SUBSTITUTE(SUBSTITUTE(SUBSTITUTE(TRIM($W1178),"-",""),".",""),"/","")," ",""),8),7,2)),"")))</f>
        <v/>
      </c>
      <c r="Y1178" s="32">
        <f>IF($X1178="","",INT($X1178))</f>
        <v/>
      </c>
      <c r="Z1178" s="33">
        <f>IF(OR($Y1178="",$D$6=""),"",IF(INDEX($A:$U,ROW(),$D$6)="",0,IF(ISNUMBER(INDEX($A:$U,ROW(),$D$6)),INDEX($A:$U,ROW(),$D$6),IFERROR(--SUBSTITUTE(SUBSTITUTE(TRIM(INDEX($A:$U,ROW(),$D$6)),",",""),"원",""),0))))</f>
        <v/>
      </c>
      <c r="AA1178" s="31">
        <f>IF($Y1178="","",TRIM(INDEX($A:$U,ROW(),$E$6)&amp;IF($F$6="",""," "&amp;INDEX($A:$U,ROW(),$F$6))))</f>
        <v/>
      </c>
      <c r="AB1178" s="31">
        <f>IF($AA1178="","",SUBSTITUTE(SUBSTITUTE(SUBSTITUTE(SUBSTITUTE(SUBSTITUTE(SUBSTITUTE(SUBSTITUTE(SUBSTITUTE(SUBSTITUTE($AA1178," ",""),"　",""),"(주)",""),"（주）",""),"㈜",""),"주식회사",""),"(유)",""),"（유）",""),"유한회사",""))</f>
        <v/>
      </c>
      <c r="AC1178" s="31">
        <f>IF(OR($Y1178="",N($Z1178)&lt;=0,$AB1178=""),0,IFERROR(LOOKUP(2,1/((거래처별!$AC$8:$AC$307&lt;&gt;"")*ISNUMBER(SEARCH(거래처별!$AC$8:$AC$307,$AB1178))),거래처별!$A$8:$A$307),IFERROR(LOOKUP(2,1/((거래처별!$AD$8:$AD$307&lt;&gt;"")*ISNUMBER(SEARCH(거래처별!$AD$8:$AD$307,$AB1178))),거래처별!$A$8:$A$307),IFERROR(LOOKUP(2,1/((거래처별!$AE$8:$AE$307&lt;&gt;"")*ISNUMBER(SEARCH(거래처별!$AE$8:$AE$307,$AB1178))),거래처별!$A$8:$A$307),0))))</f>
        <v/>
      </c>
      <c r="AD1178" s="31">
        <f>IF(AND($Y1178&lt;&gt;"",N($Z1178)&gt;0,$AC1178=0),MAX($AD$7:$AD1177)+1,"")</f>
        <v/>
      </c>
      <c r="AE1178" s="31">
        <f>IF($Y1178="",0,$Y1178)</f>
        <v/>
      </c>
    </row>
    <row r="1179">
      <c r="W1179" s="31">
        <f>IF(OR($B$5="",$C$6="",ROW()&lt;$B$5),"",IF(INDEX($A:$U,ROW(),$C$6)="","",INDEX($A:$U,ROW(),$C$6)))</f>
        <v/>
      </c>
      <c r="X1179" s="32">
        <f>IF($W1179="","",IF(ISNUMBER($W1179),IF($W1179&gt;=10000000,IFERROR(DATE(INT($W1179/10000),MOD(INT($W1179/100),100),MOD($W1179,100)),""),INT($W1179)),IFERROR(DATE(--LEFT(LEFT(SUBSTITUTE(SUBSTITUTE(SUBSTITUTE(SUBSTITUTE(TRIM($W1179),"-",""),".",""),"/","")," ",""),8),4),--MID(LEFT(SUBSTITUTE(SUBSTITUTE(SUBSTITUTE(SUBSTITUTE(TRIM($W1179),"-",""),".",""),"/","")," ",""),8),5,2),--MID(LEFT(SUBSTITUTE(SUBSTITUTE(SUBSTITUTE(SUBSTITUTE(TRIM($W1179),"-",""),".",""),"/","")," ",""),8),7,2)),"")))</f>
        <v/>
      </c>
      <c r="Y1179" s="32">
        <f>IF($X1179="","",INT($X1179))</f>
        <v/>
      </c>
      <c r="Z1179" s="33">
        <f>IF(OR($Y1179="",$D$6=""),"",IF(INDEX($A:$U,ROW(),$D$6)="",0,IF(ISNUMBER(INDEX($A:$U,ROW(),$D$6)),INDEX($A:$U,ROW(),$D$6),IFERROR(--SUBSTITUTE(SUBSTITUTE(TRIM(INDEX($A:$U,ROW(),$D$6)),",",""),"원",""),0))))</f>
        <v/>
      </c>
      <c r="AA1179" s="31">
        <f>IF($Y1179="","",TRIM(INDEX($A:$U,ROW(),$E$6)&amp;IF($F$6="",""," "&amp;INDEX($A:$U,ROW(),$F$6))))</f>
        <v/>
      </c>
      <c r="AB1179" s="31">
        <f>IF($AA1179="","",SUBSTITUTE(SUBSTITUTE(SUBSTITUTE(SUBSTITUTE(SUBSTITUTE(SUBSTITUTE(SUBSTITUTE(SUBSTITUTE(SUBSTITUTE($AA1179," ",""),"　",""),"(주)",""),"（주）",""),"㈜",""),"주식회사",""),"(유)",""),"（유）",""),"유한회사",""))</f>
        <v/>
      </c>
      <c r="AC1179" s="31">
        <f>IF(OR($Y1179="",N($Z1179)&lt;=0,$AB1179=""),0,IFERROR(LOOKUP(2,1/((거래처별!$AC$8:$AC$307&lt;&gt;"")*ISNUMBER(SEARCH(거래처별!$AC$8:$AC$307,$AB1179))),거래처별!$A$8:$A$307),IFERROR(LOOKUP(2,1/((거래처별!$AD$8:$AD$307&lt;&gt;"")*ISNUMBER(SEARCH(거래처별!$AD$8:$AD$307,$AB1179))),거래처별!$A$8:$A$307),IFERROR(LOOKUP(2,1/((거래처별!$AE$8:$AE$307&lt;&gt;"")*ISNUMBER(SEARCH(거래처별!$AE$8:$AE$307,$AB1179))),거래처별!$A$8:$A$307),0))))</f>
        <v/>
      </c>
      <c r="AD1179" s="31">
        <f>IF(AND($Y1179&lt;&gt;"",N($Z1179)&gt;0,$AC1179=0),MAX($AD$7:$AD1178)+1,"")</f>
        <v/>
      </c>
      <c r="AE1179" s="31">
        <f>IF($Y1179="",0,$Y1179)</f>
        <v/>
      </c>
    </row>
    <row r="1180">
      <c r="W1180" s="31">
        <f>IF(OR($B$5="",$C$6="",ROW()&lt;$B$5),"",IF(INDEX($A:$U,ROW(),$C$6)="","",INDEX($A:$U,ROW(),$C$6)))</f>
        <v/>
      </c>
      <c r="X1180" s="32">
        <f>IF($W1180="","",IF(ISNUMBER($W1180),IF($W1180&gt;=10000000,IFERROR(DATE(INT($W1180/10000),MOD(INT($W1180/100),100),MOD($W1180,100)),""),INT($W1180)),IFERROR(DATE(--LEFT(LEFT(SUBSTITUTE(SUBSTITUTE(SUBSTITUTE(SUBSTITUTE(TRIM($W1180),"-",""),".",""),"/","")," ",""),8),4),--MID(LEFT(SUBSTITUTE(SUBSTITUTE(SUBSTITUTE(SUBSTITUTE(TRIM($W1180),"-",""),".",""),"/","")," ",""),8),5,2),--MID(LEFT(SUBSTITUTE(SUBSTITUTE(SUBSTITUTE(SUBSTITUTE(TRIM($W1180),"-",""),".",""),"/","")," ",""),8),7,2)),"")))</f>
        <v/>
      </c>
      <c r="Y1180" s="32">
        <f>IF($X1180="","",INT($X1180))</f>
        <v/>
      </c>
      <c r="Z1180" s="33">
        <f>IF(OR($Y1180="",$D$6=""),"",IF(INDEX($A:$U,ROW(),$D$6)="",0,IF(ISNUMBER(INDEX($A:$U,ROW(),$D$6)),INDEX($A:$U,ROW(),$D$6),IFERROR(--SUBSTITUTE(SUBSTITUTE(TRIM(INDEX($A:$U,ROW(),$D$6)),",",""),"원",""),0))))</f>
        <v/>
      </c>
      <c r="AA1180" s="31">
        <f>IF($Y1180="","",TRIM(INDEX($A:$U,ROW(),$E$6)&amp;IF($F$6="",""," "&amp;INDEX($A:$U,ROW(),$F$6))))</f>
        <v/>
      </c>
      <c r="AB1180" s="31">
        <f>IF($AA1180="","",SUBSTITUTE(SUBSTITUTE(SUBSTITUTE(SUBSTITUTE(SUBSTITUTE(SUBSTITUTE(SUBSTITUTE(SUBSTITUTE(SUBSTITUTE($AA1180," ",""),"　",""),"(주)",""),"（주）",""),"㈜",""),"주식회사",""),"(유)",""),"（유）",""),"유한회사",""))</f>
        <v/>
      </c>
      <c r="AC1180" s="31">
        <f>IF(OR($Y1180="",N($Z1180)&lt;=0,$AB1180=""),0,IFERROR(LOOKUP(2,1/((거래처별!$AC$8:$AC$307&lt;&gt;"")*ISNUMBER(SEARCH(거래처별!$AC$8:$AC$307,$AB1180))),거래처별!$A$8:$A$307),IFERROR(LOOKUP(2,1/((거래처별!$AD$8:$AD$307&lt;&gt;"")*ISNUMBER(SEARCH(거래처별!$AD$8:$AD$307,$AB1180))),거래처별!$A$8:$A$307),IFERROR(LOOKUP(2,1/((거래처별!$AE$8:$AE$307&lt;&gt;"")*ISNUMBER(SEARCH(거래처별!$AE$8:$AE$307,$AB1180))),거래처별!$A$8:$A$307),0))))</f>
        <v/>
      </c>
      <c r="AD1180" s="31">
        <f>IF(AND($Y1180&lt;&gt;"",N($Z1180)&gt;0,$AC1180=0),MAX($AD$7:$AD1179)+1,"")</f>
        <v/>
      </c>
      <c r="AE1180" s="31">
        <f>IF($Y1180="",0,$Y1180)</f>
        <v/>
      </c>
    </row>
    <row r="1181">
      <c r="W1181" s="31">
        <f>IF(OR($B$5="",$C$6="",ROW()&lt;$B$5),"",IF(INDEX($A:$U,ROW(),$C$6)="","",INDEX($A:$U,ROW(),$C$6)))</f>
        <v/>
      </c>
      <c r="X1181" s="32">
        <f>IF($W1181="","",IF(ISNUMBER($W1181),IF($W1181&gt;=10000000,IFERROR(DATE(INT($W1181/10000),MOD(INT($W1181/100),100),MOD($W1181,100)),""),INT($W1181)),IFERROR(DATE(--LEFT(LEFT(SUBSTITUTE(SUBSTITUTE(SUBSTITUTE(SUBSTITUTE(TRIM($W1181),"-",""),".",""),"/","")," ",""),8),4),--MID(LEFT(SUBSTITUTE(SUBSTITUTE(SUBSTITUTE(SUBSTITUTE(TRIM($W1181),"-",""),".",""),"/","")," ",""),8),5,2),--MID(LEFT(SUBSTITUTE(SUBSTITUTE(SUBSTITUTE(SUBSTITUTE(TRIM($W1181),"-",""),".",""),"/","")," ",""),8),7,2)),"")))</f>
        <v/>
      </c>
      <c r="Y1181" s="32">
        <f>IF($X1181="","",INT($X1181))</f>
        <v/>
      </c>
      <c r="Z1181" s="33">
        <f>IF(OR($Y1181="",$D$6=""),"",IF(INDEX($A:$U,ROW(),$D$6)="",0,IF(ISNUMBER(INDEX($A:$U,ROW(),$D$6)),INDEX($A:$U,ROW(),$D$6),IFERROR(--SUBSTITUTE(SUBSTITUTE(TRIM(INDEX($A:$U,ROW(),$D$6)),",",""),"원",""),0))))</f>
        <v/>
      </c>
      <c r="AA1181" s="31">
        <f>IF($Y1181="","",TRIM(INDEX($A:$U,ROW(),$E$6)&amp;IF($F$6="",""," "&amp;INDEX($A:$U,ROW(),$F$6))))</f>
        <v/>
      </c>
      <c r="AB1181" s="31">
        <f>IF($AA1181="","",SUBSTITUTE(SUBSTITUTE(SUBSTITUTE(SUBSTITUTE(SUBSTITUTE(SUBSTITUTE(SUBSTITUTE(SUBSTITUTE(SUBSTITUTE($AA1181," ",""),"　",""),"(주)",""),"（주）",""),"㈜",""),"주식회사",""),"(유)",""),"（유）",""),"유한회사",""))</f>
        <v/>
      </c>
      <c r="AC1181" s="31">
        <f>IF(OR($Y1181="",N($Z1181)&lt;=0,$AB1181=""),0,IFERROR(LOOKUP(2,1/((거래처별!$AC$8:$AC$307&lt;&gt;"")*ISNUMBER(SEARCH(거래처별!$AC$8:$AC$307,$AB1181))),거래처별!$A$8:$A$307),IFERROR(LOOKUP(2,1/((거래처별!$AD$8:$AD$307&lt;&gt;"")*ISNUMBER(SEARCH(거래처별!$AD$8:$AD$307,$AB1181))),거래처별!$A$8:$A$307),IFERROR(LOOKUP(2,1/((거래처별!$AE$8:$AE$307&lt;&gt;"")*ISNUMBER(SEARCH(거래처별!$AE$8:$AE$307,$AB1181))),거래처별!$A$8:$A$307),0))))</f>
        <v/>
      </c>
      <c r="AD1181" s="31">
        <f>IF(AND($Y1181&lt;&gt;"",N($Z1181)&gt;0,$AC1181=0),MAX($AD$7:$AD1180)+1,"")</f>
        <v/>
      </c>
      <c r="AE1181" s="31">
        <f>IF($Y1181="",0,$Y1181)</f>
        <v/>
      </c>
    </row>
    <row r="1182">
      <c r="W1182" s="31">
        <f>IF(OR($B$5="",$C$6="",ROW()&lt;$B$5),"",IF(INDEX($A:$U,ROW(),$C$6)="","",INDEX($A:$U,ROW(),$C$6)))</f>
        <v/>
      </c>
      <c r="X1182" s="32">
        <f>IF($W1182="","",IF(ISNUMBER($W1182),IF($W1182&gt;=10000000,IFERROR(DATE(INT($W1182/10000),MOD(INT($W1182/100),100),MOD($W1182,100)),""),INT($W1182)),IFERROR(DATE(--LEFT(LEFT(SUBSTITUTE(SUBSTITUTE(SUBSTITUTE(SUBSTITUTE(TRIM($W1182),"-",""),".",""),"/","")," ",""),8),4),--MID(LEFT(SUBSTITUTE(SUBSTITUTE(SUBSTITUTE(SUBSTITUTE(TRIM($W1182),"-",""),".",""),"/","")," ",""),8),5,2),--MID(LEFT(SUBSTITUTE(SUBSTITUTE(SUBSTITUTE(SUBSTITUTE(TRIM($W1182),"-",""),".",""),"/","")," ",""),8),7,2)),"")))</f>
        <v/>
      </c>
      <c r="Y1182" s="32">
        <f>IF($X1182="","",INT($X1182))</f>
        <v/>
      </c>
      <c r="Z1182" s="33">
        <f>IF(OR($Y1182="",$D$6=""),"",IF(INDEX($A:$U,ROW(),$D$6)="",0,IF(ISNUMBER(INDEX($A:$U,ROW(),$D$6)),INDEX($A:$U,ROW(),$D$6),IFERROR(--SUBSTITUTE(SUBSTITUTE(TRIM(INDEX($A:$U,ROW(),$D$6)),",",""),"원",""),0))))</f>
        <v/>
      </c>
      <c r="AA1182" s="31">
        <f>IF($Y1182="","",TRIM(INDEX($A:$U,ROW(),$E$6)&amp;IF($F$6="",""," "&amp;INDEX($A:$U,ROW(),$F$6))))</f>
        <v/>
      </c>
      <c r="AB1182" s="31">
        <f>IF($AA1182="","",SUBSTITUTE(SUBSTITUTE(SUBSTITUTE(SUBSTITUTE(SUBSTITUTE(SUBSTITUTE(SUBSTITUTE(SUBSTITUTE(SUBSTITUTE($AA1182," ",""),"　",""),"(주)",""),"（주）",""),"㈜",""),"주식회사",""),"(유)",""),"（유）",""),"유한회사",""))</f>
        <v/>
      </c>
      <c r="AC1182" s="31">
        <f>IF(OR($Y1182="",N($Z1182)&lt;=0,$AB1182=""),0,IFERROR(LOOKUP(2,1/((거래처별!$AC$8:$AC$307&lt;&gt;"")*ISNUMBER(SEARCH(거래처별!$AC$8:$AC$307,$AB1182))),거래처별!$A$8:$A$307),IFERROR(LOOKUP(2,1/((거래처별!$AD$8:$AD$307&lt;&gt;"")*ISNUMBER(SEARCH(거래처별!$AD$8:$AD$307,$AB1182))),거래처별!$A$8:$A$307),IFERROR(LOOKUP(2,1/((거래처별!$AE$8:$AE$307&lt;&gt;"")*ISNUMBER(SEARCH(거래처별!$AE$8:$AE$307,$AB1182))),거래처별!$A$8:$A$307),0))))</f>
        <v/>
      </c>
      <c r="AD1182" s="31">
        <f>IF(AND($Y1182&lt;&gt;"",N($Z1182)&gt;0,$AC1182=0),MAX($AD$7:$AD1181)+1,"")</f>
        <v/>
      </c>
      <c r="AE1182" s="31">
        <f>IF($Y1182="",0,$Y1182)</f>
        <v/>
      </c>
    </row>
    <row r="1183">
      <c r="W1183" s="31">
        <f>IF(OR($B$5="",$C$6="",ROW()&lt;$B$5),"",IF(INDEX($A:$U,ROW(),$C$6)="","",INDEX($A:$U,ROW(),$C$6)))</f>
        <v/>
      </c>
      <c r="X1183" s="32">
        <f>IF($W1183="","",IF(ISNUMBER($W1183),IF($W1183&gt;=10000000,IFERROR(DATE(INT($W1183/10000),MOD(INT($W1183/100),100),MOD($W1183,100)),""),INT($W1183)),IFERROR(DATE(--LEFT(LEFT(SUBSTITUTE(SUBSTITUTE(SUBSTITUTE(SUBSTITUTE(TRIM($W1183),"-",""),".",""),"/","")," ",""),8),4),--MID(LEFT(SUBSTITUTE(SUBSTITUTE(SUBSTITUTE(SUBSTITUTE(TRIM($W1183),"-",""),".",""),"/","")," ",""),8),5,2),--MID(LEFT(SUBSTITUTE(SUBSTITUTE(SUBSTITUTE(SUBSTITUTE(TRIM($W1183),"-",""),".",""),"/","")," ",""),8),7,2)),"")))</f>
        <v/>
      </c>
      <c r="Y1183" s="32">
        <f>IF($X1183="","",INT($X1183))</f>
        <v/>
      </c>
      <c r="Z1183" s="33">
        <f>IF(OR($Y1183="",$D$6=""),"",IF(INDEX($A:$U,ROW(),$D$6)="",0,IF(ISNUMBER(INDEX($A:$U,ROW(),$D$6)),INDEX($A:$U,ROW(),$D$6),IFERROR(--SUBSTITUTE(SUBSTITUTE(TRIM(INDEX($A:$U,ROW(),$D$6)),",",""),"원",""),0))))</f>
        <v/>
      </c>
      <c r="AA1183" s="31">
        <f>IF($Y1183="","",TRIM(INDEX($A:$U,ROW(),$E$6)&amp;IF($F$6="",""," "&amp;INDEX($A:$U,ROW(),$F$6))))</f>
        <v/>
      </c>
      <c r="AB1183" s="31">
        <f>IF($AA1183="","",SUBSTITUTE(SUBSTITUTE(SUBSTITUTE(SUBSTITUTE(SUBSTITUTE(SUBSTITUTE(SUBSTITUTE(SUBSTITUTE(SUBSTITUTE($AA1183," ",""),"　",""),"(주)",""),"（주）",""),"㈜",""),"주식회사",""),"(유)",""),"（유）",""),"유한회사",""))</f>
        <v/>
      </c>
      <c r="AC1183" s="31">
        <f>IF(OR($Y1183="",N($Z1183)&lt;=0,$AB1183=""),0,IFERROR(LOOKUP(2,1/((거래처별!$AC$8:$AC$307&lt;&gt;"")*ISNUMBER(SEARCH(거래처별!$AC$8:$AC$307,$AB1183))),거래처별!$A$8:$A$307),IFERROR(LOOKUP(2,1/((거래처별!$AD$8:$AD$307&lt;&gt;"")*ISNUMBER(SEARCH(거래처별!$AD$8:$AD$307,$AB1183))),거래처별!$A$8:$A$307),IFERROR(LOOKUP(2,1/((거래처별!$AE$8:$AE$307&lt;&gt;"")*ISNUMBER(SEARCH(거래처별!$AE$8:$AE$307,$AB1183))),거래처별!$A$8:$A$307),0))))</f>
        <v/>
      </c>
      <c r="AD1183" s="31">
        <f>IF(AND($Y1183&lt;&gt;"",N($Z1183)&gt;0,$AC1183=0),MAX($AD$7:$AD1182)+1,"")</f>
        <v/>
      </c>
      <c r="AE1183" s="31">
        <f>IF($Y1183="",0,$Y1183)</f>
        <v/>
      </c>
    </row>
    <row r="1184">
      <c r="W1184" s="31">
        <f>IF(OR($B$5="",$C$6="",ROW()&lt;$B$5),"",IF(INDEX($A:$U,ROW(),$C$6)="","",INDEX($A:$U,ROW(),$C$6)))</f>
        <v/>
      </c>
      <c r="X1184" s="32">
        <f>IF($W1184="","",IF(ISNUMBER($W1184),IF($W1184&gt;=10000000,IFERROR(DATE(INT($W1184/10000),MOD(INT($W1184/100),100),MOD($W1184,100)),""),INT($W1184)),IFERROR(DATE(--LEFT(LEFT(SUBSTITUTE(SUBSTITUTE(SUBSTITUTE(SUBSTITUTE(TRIM($W1184),"-",""),".",""),"/","")," ",""),8),4),--MID(LEFT(SUBSTITUTE(SUBSTITUTE(SUBSTITUTE(SUBSTITUTE(TRIM($W1184),"-",""),".",""),"/","")," ",""),8),5,2),--MID(LEFT(SUBSTITUTE(SUBSTITUTE(SUBSTITUTE(SUBSTITUTE(TRIM($W1184),"-",""),".",""),"/","")," ",""),8),7,2)),"")))</f>
        <v/>
      </c>
      <c r="Y1184" s="32">
        <f>IF($X1184="","",INT($X1184))</f>
        <v/>
      </c>
      <c r="Z1184" s="33">
        <f>IF(OR($Y1184="",$D$6=""),"",IF(INDEX($A:$U,ROW(),$D$6)="",0,IF(ISNUMBER(INDEX($A:$U,ROW(),$D$6)),INDEX($A:$U,ROW(),$D$6),IFERROR(--SUBSTITUTE(SUBSTITUTE(TRIM(INDEX($A:$U,ROW(),$D$6)),",",""),"원",""),0))))</f>
        <v/>
      </c>
      <c r="AA1184" s="31">
        <f>IF($Y1184="","",TRIM(INDEX($A:$U,ROW(),$E$6)&amp;IF($F$6="",""," "&amp;INDEX($A:$U,ROW(),$F$6))))</f>
        <v/>
      </c>
      <c r="AB1184" s="31">
        <f>IF($AA1184="","",SUBSTITUTE(SUBSTITUTE(SUBSTITUTE(SUBSTITUTE(SUBSTITUTE(SUBSTITUTE(SUBSTITUTE(SUBSTITUTE(SUBSTITUTE($AA1184," ",""),"　",""),"(주)",""),"（주）",""),"㈜",""),"주식회사",""),"(유)",""),"（유）",""),"유한회사",""))</f>
        <v/>
      </c>
      <c r="AC1184" s="31">
        <f>IF(OR($Y1184="",N($Z1184)&lt;=0,$AB1184=""),0,IFERROR(LOOKUP(2,1/((거래처별!$AC$8:$AC$307&lt;&gt;"")*ISNUMBER(SEARCH(거래처별!$AC$8:$AC$307,$AB1184))),거래처별!$A$8:$A$307),IFERROR(LOOKUP(2,1/((거래처별!$AD$8:$AD$307&lt;&gt;"")*ISNUMBER(SEARCH(거래처별!$AD$8:$AD$307,$AB1184))),거래처별!$A$8:$A$307),IFERROR(LOOKUP(2,1/((거래처별!$AE$8:$AE$307&lt;&gt;"")*ISNUMBER(SEARCH(거래처별!$AE$8:$AE$307,$AB1184))),거래처별!$A$8:$A$307),0))))</f>
        <v/>
      </c>
      <c r="AD1184" s="31">
        <f>IF(AND($Y1184&lt;&gt;"",N($Z1184)&gt;0,$AC1184=0),MAX($AD$7:$AD1183)+1,"")</f>
        <v/>
      </c>
      <c r="AE1184" s="31">
        <f>IF($Y1184="",0,$Y1184)</f>
        <v/>
      </c>
    </row>
    <row r="1185">
      <c r="W1185" s="31">
        <f>IF(OR($B$5="",$C$6="",ROW()&lt;$B$5),"",IF(INDEX($A:$U,ROW(),$C$6)="","",INDEX($A:$U,ROW(),$C$6)))</f>
        <v/>
      </c>
      <c r="X1185" s="32">
        <f>IF($W1185="","",IF(ISNUMBER($W1185),IF($W1185&gt;=10000000,IFERROR(DATE(INT($W1185/10000),MOD(INT($W1185/100),100),MOD($W1185,100)),""),INT($W1185)),IFERROR(DATE(--LEFT(LEFT(SUBSTITUTE(SUBSTITUTE(SUBSTITUTE(SUBSTITUTE(TRIM($W1185),"-",""),".",""),"/","")," ",""),8),4),--MID(LEFT(SUBSTITUTE(SUBSTITUTE(SUBSTITUTE(SUBSTITUTE(TRIM($W1185),"-",""),".",""),"/","")," ",""),8),5,2),--MID(LEFT(SUBSTITUTE(SUBSTITUTE(SUBSTITUTE(SUBSTITUTE(TRIM($W1185),"-",""),".",""),"/","")," ",""),8),7,2)),"")))</f>
        <v/>
      </c>
      <c r="Y1185" s="32">
        <f>IF($X1185="","",INT($X1185))</f>
        <v/>
      </c>
      <c r="Z1185" s="33">
        <f>IF(OR($Y1185="",$D$6=""),"",IF(INDEX($A:$U,ROW(),$D$6)="",0,IF(ISNUMBER(INDEX($A:$U,ROW(),$D$6)),INDEX($A:$U,ROW(),$D$6),IFERROR(--SUBSTITUTE(SUBSTITUTE(TRIM(INDEX($A:$U,ROW(),$D$6)),",",""),"원",""),0))))</f>
        <v/>
      </c>
      <c r="AA1185" s="31">
        <f>IF($Y1185="","",TRIM(INDEX($A:$U,ROW(),$E$6)&amp;IF($F$6="",""," "&amp;INDEX($A:$U,ROW(),$F$6))))</f>
        <v/>
      </c>
      <c r="AB1185" s="31">
        <f>IF($AA1185="","",SUBSTITUTE(SUBSTITUTE(SUBSTITUTE(SUBSTITUTE(SUBSTITUTE(SUBSTITUTE(SUBSTITUTE(SUBSTITUTE(SUBSTITUTE($AA1185," ",""),"　",""),"(주)",""),"（주）",""),"㈜",""),"주식회사",""),"(유)",""),"（유）",""),"유한회사",""))</f>
        <v/>
      </c>
      <c r="AC1185" s="31">
        <f>IF(OR($Y1185="",N($Z1185)&lt;=0,$AB1185=""),0,IFERROR(LOOKUP(2,1/((거래처별!$AC$8:$AC$307&lt;&gt;"")*ISNUMBER(SEARCH(거래처별!$AC$8:$AC$307,$AB1185))),거래처별!$A$8:$A$307),IFERROR(LOOKUP(2,1/((거래처별!$AD$8:$AD$307&lt;&gt;"")*ISNUMBER(SEARCH(거래처별!$AD$8:$AD$307,$AB1185))),거래처별!$A$8:$A$307),IFERROR(LOOKUP(2,1/((거래처별!$AE$8:$AE$307&lt;&gt;"")*ISNUMBER(SEARCH(거래처별!$AE$8:$AE$307,$AB1185))),거래처별!$A$8:$A$307),0))))</f>
        <v/>
      </c>
      <c r="AD1185" s="31">
        <f>IF(AND($Y1185&lt;&gt;"",N($Z1185)&gt;0,$AC1185=0),MAX($AD$7:$AD1184)+1,"")</f>
        <v/>
      </c>
      <c r="AE1185" s="31">
        <f>IF($Y1185="",0,$Y1185)</f>
        <v/>
      </c>
    </row>
    <row r="1186">
      <c r="W1186" s="31">
        <f>IF(OR($B$5="",$C$6="",ROW()&lt;$B$5),"",IF(INDEX($A:$U,ROW(),$C$6)="","",INDEX($A:$U,ROW(),$C$6)))</f>
        <v/>
      </c>
      <c r="X1186" s="32">
        <f>IF($W1186="","",IF(ISNUMBER($W1186),IF($W1186&gt;=10000000,IFERROR(DATE(INT($W1186/10000),MOD(INT($W1186/100),100),MOD($W1186,100)),""),INT($W1186)),IFERROR(DATE(--LEFT(LEFT(SUBSTITUTE(SUBSTITUTE(SUBSTITUTE(SUBSTITUTE(TRIM($W1186),"-",""),".",""),"/","")," ",""),8),4),--MID(LEFT(SUBSTITUTE(SUBSTITUTE(SUBSTITUTE(SUBSTITUTE(TRIM($W1186),"-",""),".",""),"/","")," ",""),8),5,2),--MID(LEFT(SUBSTITUTE(SUBSTITUTE(SUBSTITUTE(SUBSTITUTE(TRIM($W1186),"-",""),".",""),"/","")," ",""),8),7,2)),"")))</f>
        <v/>
      </c>
      <c r="Y1186" s="32">
        <f>IF($X1186="","",INT($X1186))</f>
        <v/>
      </c>
      <c r="Z1186" s="33">
        <f>IF(OR($Y1186="",$D$6=""),"",IF(INDEX($A:$U,ROW(),$D$6)="",0,IF(ISNUMBER(INDEX($A:$U,ROW(),$D$6)),INDEX($A:$U,ROW(),$D$6),IFERROR(--SUBSTITUTE(SUBSTITUTE(TRIM(INDEX($A:$U,ROW(),$D$6)),",",""),"원",""),0))))</f>
        <v/>
      </c>
      <c r="AA1186" s="31">
        <f>IF($Y1186="","",TRIM(INDEX($A:$U,ROW(),$E$6)&amp;IF($F$6="",""," "&amp;INDEX($A:$U,ROW(),$F$6))))</f>
        <v/>
      </c>
      <c r="AB1186" s="31">
        <f>IF($AA1186="","",SUBSTITUTE(SUBSTITUTE(SUBSTITUTE(SUBSTITUTE(SUBSTITUTE(SUBSTITUTE(SUBSTITUTE(SUBSTITUTE(SUBSTITUTE($AA1186," ",""),"　",""),"(주)",""),"（주）",""),"㈜",""),"주식회사",""),"(유)",""),"（유）",""),"유한회사",""))</f>
        <v/>
      </c>
      <c r="AC1186" s="31">
        <f>IF(OR($Y1186="",N($Z1186)&lt;=0,$AB1186=""),0,IFERROR(LOOKUP(2,1/((거래처별!$AC$8:$AC$307&lt;&gt;"")*ISNUMBER(SEARCH(거래처별!$AC$8:$AC$307,$AB1186))),거래처별!$A$8:$A$307),IFERROR(LOOKUP(2,1/((거래처별!$AD$8:$AD$307&lt;&gt;"")*ISNUMBER(SEARCH(거래처별!$AD$8:$AD$307,$AB1186))),거래처별!$A$8:$A$307),IFERROR(LOOKUP(2,1/((거래처별!$AE$8:$AE$307&lt;&gt;"")*ISNUMBER(SEARCH(거래처별!$AE$8:$AE$307,$AB1186))),거래처별!$A$8:$A$307),0))))</f>
        <v/>
      </c>
      <c r="AD1186" s="31">
        <f>IF(AND($Y1186&lt;&gt;"",N($Z1186)&gt;0,$AC1186=0),MAX($AD$7:$AD1185)+1,"")</f>
        <v/>
      </c>
      <c r="AE1186" s="31">
        <f>IF($Y1186="",0,$Y1186)</f>
        <v/>
      </c>
    </row>
    <row r="1187">
      <c r="W1187" s="31">
        <f>IF(OR($B$5="",$C$6="",ROW()&lt;$B$5),"",IF(INDEX($A:$U,ROW(),$C$6)="","",INDEX($A:$U,ROW(),$C$6)))</f>
        <v/>
      </c>
      <c r="X1187" s="32">
        <f>IF($W1187="","",IF(ISNUMBER($W1187),IF($W1187&gt;=10000000,IFERROR(DATE(INT($W1187/10000),MOD(INT($W1187/100),100),MOD($W1187,100)),""),INT($W1187)),IFERROR(DATE(--LEFT(LEFT(SUBSTITUTE(SUBSTITUTE(SUBSTITUTE(SUBSTITUTE(TRIM($W1187),"-",""),".",""),"/","")," ",""),8),4),--MID(LEFT(SUBSTITUTE(SUBSTITUTE(SUBSTITUTE(SUBSTITUTE(TRIM($W1187),"-",""),".",""),"/","")," ",""),8),5,2),--MID(LEFT(SUBSTITUTE(SUBSTITUTE(SUBSTITUTE(SUBSTITUTE(TRIM($W1187),"-",""),".",""),"/","")," ",""),8),7,2)),"")))</f>
        <v/>
      </c>
      <c r="Y1187" s="32">
        <f>IF($X1187="","",INT($X1187))</f>
        <v/>
      </c>
      <c r="Z1187" s="33">
        <f>IF(OR($Y1187="",$D$6=""),"",IF(INDEX($A:$U,ROW(),$D$6)="",0,IF(ISNUMBER(INDEX($A:$U,ROW(),$D$6)),INDEX($A:$U,ROW(),$D$6),IFERROR(--SUBSTITUTE(SUBSTITUTE(TRIM(INDEX($A:$U,ROW(),$D$6)),",",""),"원",""),0))))</f>
        <v/>
      </c>
      <c r="AA1187" s="31">
        <f>IF($Y1187="","",TRIM(INDEX($A:$U,ROW(),$E$6)&amp;IF($F$6="",""," "&amp;INDEX($A:$U,ROW(),$F$6))))</f>
        <v/>
      </c>
      <c r="AB1187" s="31">
        <f>IF($AA1187="","",SUBSTITUTE(SUBSTITUTE(SUBSTITUTE(SUBSTITUTE(SUBSTITUTE(SUBSTITUTE(SUBSTITUTE(SUBSTITUTE(SUBSTITUTE($AA1187," ",""),"　",""),"(주)",""),"（주）",""),"㈜",""),"주식회사",""),"(유)",""),"（유）",""),"유한회사",""))</f>
        <v/>
      </c>
      <c r="AC1187" s="31">
        <f>IF(OR($Y1187="",N($Z1187)&lt;=0,$AB1187=""),0,IFERROR(LOOKUP(2,1/((거래처별!$AC$8:$AC$307&lt;&gt;"")*ISNUMBER(SEARCH(거래처별!$AC$8:$AC$307,$AB1187))),거래처별!$A$8:$A$307),IFERROR(LOOKUP(2,1/((거래처별!$AD$8:$AD$307&lt;&gt;"")*ISNUMBER(SEARCH(거래처별!$AD$8:$AD$307,$AB1187))),거래처별!$A$8:$A$307),IFERROR(LOOKUP(2,1/((거래처별!$AE$8:$AE$307&lt;&gt;"")*ISNUMBER(SEARCH(거래처별!$AE$8:$AE$307,$AB1187))),거래처별!$A$8:$A$307),0))))</f>
        <v/>
      </c>
      <c r="AD1187" s="31">
        <f>IF(AND($Y1187&lt;&gt;"",N($Z1187)&gt;0,$AC1187=0),MAX($AD$7:$AD1186)+1,"")</f>
        <v/>
      </c>
      <c r="AE1187" s="31">
        <f>IF($Y1187="",0,$Y1187)</f>
        <v/>
      </c>
    </row>
    <row r="1188">
      <c r="W1188" s="31">
        <f>IF(OR($B$5="",$C$6="",ROW()&lt;$B$5),"",IF(INDEX($A:$U,ROW(),$C$6)="","",INDEX($A:$U,ROW(),$C$6)))</f>
        <v/>
      </c>
      <c r="X1188" s="32">
        <f>IF($W1188="","",IF(ISNUMBER($W1188),IF($W1188&gt;=10000000,IFERROR(DATE(INT($W1188/10000),MOD(INT($W1188/100),100),MOD($W1188,100)),""),INT($W1188)),IFERROR(DATE(--LEFT(LEFT(SUBSTITUTE(SUBSTITUTE(SUBSTITUTE(SUBSTITUTE(TRIM($W1188),"-",""),".",""),"/","")," ",""),8),4),--MID(LEFT(SUBSTITUTE(SUBSTITUTE(SUBSTITUTE(SUBSTITUTE(TRIM($W1188),"-",""),".",""),"/","")," ",""),8),5,2),--MID(LEFT(SUBSTITUTE(SUBSTITUTE(SUBSTITUTE(SUBSTITUTE(TRIM($W1188),"-",""),".",""),"/","")," ",""),8),7,2)),"")))</f>
        <v/>
      </c>
      <c r="Y1188" s="32">
        <f>IF($X1188="","",INT($X1188))</f>
        <v/>
      </c>
      <c r="Z1188" s="33">
        <f>IF(OR($Y1188="",$D$6=""),"",IF(INDEX($A:$U,ROW(),$D$6)="",0,IF(ISNUMBER(INDEX($A:$U,ROW(),$D$6)),INDEX($A:$U,ROW(),$D$6),IFERROR(--SUBSTITUTE(SUBSTITUTE(TRIM(INDEX($A:$U,ROW(),$D$6)),",",""),"원",""),0))))</f>
        <v/>
      </c>
      <c r="AA1188" s="31">
        <f>IF($Y1188="","",TRIM(INDEX($A:$U,ROW(),$E$6)&amp;IF($F$6="",""," "&amp;INDEX($A:$U,ROW(),$F$6))))</f>
        <v/>
      </c>
      <c r="AB1188" s="31">
        <f>IF($AA1188="","",SUBSTITUTE(SUBSTITUTE(SUBSTITUTE(SUBSTITUTE(SUBSTITUTE(SUBSTITUTE(SUBSTITUTE(SUBSTITUTE(SUBSTITUTE($AA1188," ",""),"　",""),"(주)",""),"（주）",""),"㈜",""),"주식회사",""),"(유)",""),"（유）",""),"유한회사",""))</f>
        <v/>
      </c>
      <c r="AC1188" s="31">
        <f>IF(OR($Y1188="",N($Z1188)&lt;=0,$AB1188=""),0,IFERROR(LOOKUP(2,1/((거래처별!$AC$8:$AC$307&lt;&gt;"")*ISNUMBER(SEARCH(거래처별!$AC$8:$AC$307,$AB1188))),거래처별!$A$8:$A$307),IFERROR(LOOKUP(2,1/((거래처별!$AD$8:$AD$307&lt;&gt;"")*ISNUMBER(SEARCH(거래처별!$AD$8:$AD$307,$AB1188))),거래처별!$A$8:$A$307),IFERROR(LOOKUP(2,1/((거래처별!$AE$8:$AE$307&lt;&gt;"")*ISNUMBER(SEARCH(거래처별!$AE$8:$AE$307,$AB1188))),거래처별!$A$8:$A$307),0))))</f>
        <v/>
      </c>
      <c r="AD1188" s="31">
        <f>IF(AND($Y1188&lt;&gt;"",N($Z1188)&gt;0,$AC1188=0),MAX($AD$7:$AD1187)+1,"")</f>
        <v/>
      </c>
      <c r="AE1188" s="31">
        <f>IF($Y1188="",0,$Y1188)</f>
        <v/>
      </c>
    </row>
    <row r="1189">
      <c r="W1189" s="31">
        <f>IF(OR($B$5="",$C$6="",ROW()&lt;$B$5),"",IF(INDEX($A:$U,ROW(),$C$6)="","",INDEX($A:$U,ROW(),$C$6)))</f>
        <v/>
      </c>
      <c r="X1189" s="32">
        <f>IF($W1189="","",IF(ISNUMBER($W1189),IF($W1189&gt;=10000000,IFERROR(DATE(INT($W1189/10000),MOD(INT($W1189/100),100),MOD($W1189,100)),""),INT($W1189)),IFERROR(DATE(--LEFT(LEFT(SUBSTITUTE(SUBSTITUTE(SUBSTITUTE(SUBSTITUTE(TRIM($W1189),"-",""),".",""),"/","")," ",""),8),4),--MID(LEFT(SUBSTITUTE(SUBSTITUTE(SUBSTITUTE(SUBSTITUTE(TRIM($W1189),"-",""),".",""),"/","")," ",""),8),5,2),--MID(LEFT(SUBSTITUTE(SUBSTITUTE(SUBSTITUTE(SUBSTITUTE(TRIM($W1189),"-",""),".",""),"/","")," ",""),8),7,2)),"")))</f>
        <v/>
      </c>
      <c r="Y1189" s="32">
        <f>IF($X1189="","",INT($X1189))</f>
        <v/>
      </c>
      <c r="Z1189" s="33">
        <f>IF(OR($Y1189="",$D$6=""),"",IF(INDEX($A:$U,ROW(),$D$6)="",0,IF(ISNUMBER(INDEX($A:$U,ROW(),$D$6)),INDEX($A:$U,ROW(),$D$6),IFERROR(--SUBSTITUTE(SUBSTITUTE(TRIM(INDEX($A:$U,ROW(),$D$6)),",",""),"원",""),0))))</f>
        <v/>
      </c>
      <c r="AA1189" s="31">
        <f>IF($Y1189="","",TRIM(INDEX($A:$U,ROW(),$E$6)&amp;IF($F$6="",""," "&amp;INDEX($A:$U,ROW(),$F$6))))</f>
        <v/>
      </c>
      <c r="AB1189" s="31">
        <f>IF($AA1189="","",SUBSTITUTE(SUBSTITUTE(SUBSTITUTE(SUBSTITUTE(SUBSTITUTE(SUBSTITUTE(SUBSTITUTE(SUBSTITUTE(SUBSTITUTE($AA1189," ",""),"　",""),"(주)",""),"（주）",""),"㈜",""),"주식회사",""),"(유)",""),"（유）",""),"유한회사",""))</f>
        <v/>
      </c>
      <c r="AC1189" s="31">
        <f>IF(OR($Y1189="",N($Z1189)&lt;=0,$AB1189=""),0,IFERROR(LOOKUP(2,1/((거래처별!$AC$8:$AC$307&lt;&gt;"")*ISNUMBER(SEARCH(거래처별!$AC$8:$AC$307,$AB1189))),거래처별!$A$8:$A$307),IFERROR(LOOKUP(2,1/((거래처별!$AD$8:$AD$307&lt;&gt;"")*ISNUMBER(SEARCH(거래처별!$AD$8:$AD$307,$AB1189))),거래처별!$A$8:$A$307),IFERROR(LOOKUP(2,1/((거래처별!$AE$8:$AE$307&lt;&gt;"")*ISNUMBER(SEARCH(거래처별!$AE$8:$AE$307,$AB1189))),거래처별!$A$8:$A$307),0))))</f>
        <v/>
      </c>
      <c r="AD1189" s="31">
        <f>IF(AND($Y1189&lt;&gt;"",N($Z1189)&gt;0,$AC1189=0),MAX($AD$7:$AD1188)+1,"")</f>
        <v/>
      </c>
      <c r="AE1189" s="31">
        <f>IF($Y1189="",0,$Y1189)</f>
        <v/>
      </c>
    </row>
    <row r="1190">
      <c r="W1190" s="31">
        <f>IF(OR($B$5="",$C$6="",ROW()&lt;$B$5),"",IF(INDEX($A:$U,ROW(),$C$6)="","",INDEX($A:$U,ROW(),$C$6)))</f>
        <v/>
      </c>
      <c r="X1190" s="32">
        <f>IF($W1190="","",IF(ISNUMBER($W1190),IF($W1190&gt;=10000000,IFERROR(DATE(INT($W1190/10000),MOD(INT($W1190/100),100),MOD($W1190,100)),""),INT($W1190)),IFERROR(DATE(--LEFT(LEFT(SUBSTITUTE(SUBSTITUTE(SUBSTITUTE(SUBSTITUTE(TRIM($W1190),"-",""),".",""),"/","")," ",""),8),4),--MID(LEFT(SUBSTITUTE(SUBSTITUTE(SUBSTITUTE(SUBSTITUTE(TRIM($W1190),"-",""),".",""),"/","")," ",""),8),5,2),--MID(LEFT(SUBSTITUTE(SUBSTITUTE(SUBSTITUTE(SUBSTITUTE(TRIM($W1190),"-",""),".",""),"/","")," ",""),8),7,2)),"")))</f>
        <v/>
      </c>
      <c r="Y1190" s="32">
        <f>IF($X1190="","",INT($X1190))</f>
        <v/>
      </c>
      <c r="Z1190" s="33">
        <f>IF(OR($Y1190="",$D$6=""),"",IF(INDEX($A:$U,ROW(),$D$6)="",0,IF(ISNUMBER(INDEX($A:$U,ROW(),$D$6)),INDEX($A:$U,ROW(),$D$6),IFERROR(--SUBSTITUTE(SUBSTITUTE(TRIM(INDEX($A:$U,ROW(),$D$6)),",",""),"원",""),0))))</f>
        <v/>
      </c>
      <c r="AA1190" s="31">
        <f>IF($Y1190="","",TRIM(INDEX($A:$U,ROW(),$E$6)&amp;IF($F$6="",""," "&amp;INDEX($A:$U,ROW(),$F$6))))</f>
        <v/>
      </c>
      <c r="AB1190" s="31">
        <f>IF($AA1190="","",SUBSTITUTE(SUBSTITUTE(SUBSTITUTE(SUBSTITUTE(SUBSTITUTE(SUBSTITUTE(SUBSTITUTE(SUBSTITUTE(SUBSTITUTE($AA1190," ",""),"　",""),"(주)",""),"（주）",""),"㈜",""),"주식회사",""),"(유)",""),"（유）",""),"유한회사",""))</f>
        <v/>
      </c>
      <c r="AC1190" s="31">
        <f>IF(OR($Y1190="",N($Z1190)&lt;=0,$AB1190=""),0,IFERROR(LOOKUP(2,1/((거래처별!$AC$8:$AC$307&lt;&gt;"")*ISNUMBER(SEARCH(거래처별!$AC$8:$AC$307,$AB1190))),거래처별!$A$8:$A$307),IFERROR(LOOKUP(2,1/((거래처별!$AD$8:$AD$307&lt;&gt;"")*ISNUMBER(SEARCH(거래처별!$AD$8:$AD$307,$AB1190))),거래처별!$A$8:$A$307),IFERROR(LOOKUP(2,1/((거래처별!$AE$8:$AE$307&lt;&gt;"")*ISNUMBER(SEARCH(거래처별!$AE$8:$AE$307,$AB1190))),거래처별!$A$8:$A$307),0))))</f>
        <v/>
      </c>
      <c r="AD1190" s="31">
        <f>IF(AND($Y1190&lt;&gt;"",N($Z1190)&gt;0,$AC1190=0),MAX($AD$7:$AD1189)+1,"")</f>
        <v/>
      </c>
      <c r="AE1190" s="31">
        <f>IF($Y1190="",0,$Y1190)</f>
        <v/>
      </c>
    </row>
    <row r="1191">
      <c r="W1191" s="31">
        <f>IF(OR($B$5="",$C$6="",ROW()&lt;$B$5),"",IF(INDEX($A:$U,ROW(),$C$6)="","",INDEX($A:$U,ROW(),$C$6)))</f>
        <v/>
      </c>
      <c r="X1191" s="32">
        <f>IF($W1191="","",IF(ISNUMBER($W1191),IF($W1191&gt;=10000000,IFERROR(DATE(INT($W1191/10000),MOD(INT($W1191/100),100),MOD($W1191,100)),""),INT($W1191)),IFERROR(DATE(--LEFT(LEFT(SUBSTITUTE(SUBSTITUTE(SUBSTITUTE(SUBSTITUTE(TRIM($W1191),"-",""),".",""),"/","")," ",""),8),4),--MID(LEFT(SUBSTITUTE(SUBSTITUTE(SUBSTITUTE(SUBSTITUTE(TRIM($W1191),"-",""),".",""),"/","")," ",""),8),5,2),--MID(LEFT(SUBSTITUTE(SUBSTITUTE(SUBSTITUTE(SUBSTITUTE(TRIM($W1191),"-",""),".",""),"/","")," ",""),8),7,2)),"")))</f>
        <v/>
      </c>
      <c r="Y1191" s="32">
        <f>IF($X1191="","",INT($X1191))</f>
        <v/>
      </c>
      <c r="Z1191" s="33">
        <f>IF(OR($Y1191="",$D$6=""),"",IF(INDEX($A:$U,ROW(),$D$6)="",0,IF(ISNUMBER(INDEX($A:$U,ROW(),$D$6)),INDEX($A:$U,ROW(),$D$6),IFERROR(--SUBSTITUTE(SUBSTITUTE(TRIM(INDEX($A:$U,ROW(),$D$6)),",",""),"원",""),0))))</f>
        <v/>
      </c>
      <c r="AA1191" s="31">
        <f>IF($Y1191="","",TRIM(INDEX($A:$U,ROW(),$E$6)&amp;IF($F$6="",""," "&amp;INDEX($A:$U,ROW(),$F$6))))</f>
        <v/>
      </c>
      <c r="AB1191" s="31">
        <f>IF($AA1191="","",SUBSTITUTE(SUBSTITUTE(SUBSTITUTE(SUBSTITUTE(SUBSTITUTE(SUBSTITUTE(SUBSTITUTE(SUBSTITUTE(SUBSTITUTE($AA1191," ",""),"　",""),"(주)",""),"（주）",""),"㈜",""),"주식회사",""),"(유)",""),"（유）",""),"유한회사",""))</f>
        <v/>
      </c>
      <c r="AC1191" s="31">
        <f>IF(OR($Y1191="",N($Z1191)&lt;=0,$AB1191=""),0,IFERROR(LOOKUP(2,1/((거래처별!$AC$8:$AC$307&lt;&gt;"")*ISNUMBER(SEARCH(거래처별!$AC$8:$AC$307,$AB1191))),거래처별!$A$8:$A$307),IFERROR(LOOKUP(2,1/((거래처별!$AD$8:$AD$307&lt;&gt;"")*ISNUMBER(SEARCH(거래처별!$AD$8:$AD$307,$AB1191))),거래처별!$A$8:$A$307),IFERROR(LOOKUP(2,1/((거래처별!$AE$8:$AE$307&lt;&gt;"")*ISNUMBER(SEARCH(거래처별!$AE$8:$AE$307,$AB1191))),거래처별!$A$8:$A$307),0))))</f>
        <v/>
      </c>
      <c r="AD1191" s="31">
        <f>IF(AND($Y1191&lt;&gt;"",N($Z1191)&gt;0,$AC1191=0),MAX($AD$7:$AD1190)+1,"")</f>
        <v/>
      </c>
      <c r="AE1191" s="31">
        <f>IF($Y1191="",0,$Y1191)</f>
        <v/>
      </c>
    </row>
    <row r="1192">
      <c r="W1192" s="31">
        <f>IF(OR($B$5="",$C$6="",ROW()&lt;$B$5),"",IF(INDEX($A:$U,ROW(),$C$6)="","",INDEX($A:$U,ROW(),$C$6)))</f>
        <v/>
      </c>
      <c r="X1192" s="32">
        <f>IF($W1192="","",IF(ISNUMBER($W1192),IF($W1192&gt;=10000000,IFERROR(DATE(INT($W1192/10000),MOD(INT($W1192/100),100),MOD($W1192,100)),""),INT($W1192)),IFERROR(DATE(--LEFT(LEFT(SUBSTITUTE(SUBSTITUTE(SUBSTITUTE(SUBSTITUTE(TRIM($W1192),"-",""),".",""),"/","")," ",""),8),4),--MID(LEFT(SUBSTITUTE(SUBSTITUTE(SUBSTITUTE(SUBSTITUTE(TRIM($W1192),"-",""),".",""),"/","")," ",""),8),5,2),--MID(LEFT(SUBSTITUTE(SUBSTITUTE(SUBSTITUTE(SUBSTITUTE(TRIM($W1192),"-",""),".",""),"/","")," ",""),8),7,2)),"")))</f>
        <v/>
      </c>
      <c r="Y1192" s="32">
        <f>IF($X1192="","",INT($X1192))</f>
        <v/>
      </c>
      <c r="Z1192" s="33">
        <f>IF(OR($Y1192="",$D$6=""),"",IF(INDEX($A:$U,ROW(),$D$6)="",0,IF(ISNUMBER(INDEX($A:$U,ROW(),$D$6)),INDEX($A:$U,ROW(),$D$6),IFERROR(--SUBSTITUTE(SUBSTITUTE(TRIM(INDEX($A:$U,ROW(),$D$6)),",",""),"원",""),0))))</f>
        <v/>
      </c>
      <c r="AA1192" s="31">
        <f>IF($Y1192="","",TRIM(INDEX($A:$U,ROW(),$E$6)&amp;IF($F$6="",""," "&amp;INDEX($A:$U,ROW(),$F$6))))</f>
        <v/>
      </c>
      <c r="AB1192" s="31">
        <f>IF($AA1192="","",SUBSTITUTE(SUBSTITUTE(SUBSTITUTE(SUBSTITUTE(SUBSTITUTE(SUBSTITUTE(SUBSTITUTE(SUBSTITUTE(SUBSTITUTE($AA1192," ",""),"　",""),"(주)",""),"（주）",""),"㈜",""),"주식회사",""),"(유)",""),"（유）",""),"유한회사",""))</f>
        <v/>
      </c>
      <c r="AC1192" s="31">
        <f>IF(OR($Y1192="",N($Z1192)&lt;=0,$AB1192=""),0,IFERROR(LOOKUP(2,1/((거래처별!$AC$8:$AC$307&lt;&gt;"")*ISNUMBER(SEARCH(거래처별!$AC$8:$AC$307,$AB1192))),거래처별!$A$8:$A$307),IFERROR(LOOKUP(2,1/((거래처별!$AD$8:$AD$307&lt;&gt;"")*ISNUMBER(SEARCH(거래처별!$AD$8:$AD$307,$AB1192))),거래처별!$A$8:$A$307),IFERROR(LOOKUP(2,1/((거래처별!$AE$8:$AE$307&lt;&gt;"")*ISNUMBER(SEARCH(거래처별!$AE$8:$AE$307,$AB1192))),거래처별!$A$8:$A$307),0))))</f>
        <v/>
      </c>
      <c r="AD1192" s="31">
        <f>IF(AND($Y1192&lt;&gt;"",N($Z1192)&gt;0,$AC1192=0),MAX($AD$7:$AD1191)+1,"")</f>
        <v/>
      </c>
      <c r="AE1192" s="31">
        <f>IF($Y1192="",0,$Y1192)</f>
        <v/>
      </c>
    </row>
    <row r="1193">
      <c r="W1193" s="31">
        <f>IF(OR($B$5="",$C$6="",ROW()&lt;$B$5),"",IF(INDEX($A:$U,ROW(),$C$6)="","",INDEX($A:$U,ROW(),$C$6)))</f>
        <v/>
      </c>
      <c r="X1193" s="32">
        <f>IF($W1193="","",IF(ISNUMBER($W1193),IF($W1193&gt;=10000000,IFERROR(DATE(INT($W1193/10000),MOD(INT($W1193/100),100),MOD($W1193,100)),""),INT($W1193)),IFERROR(DATE(--LEFT(LEFT(SUBSTITUTE(SUBSTITUTE(SUBSTITUTE(SUBSTITUTE(TRIM($W1193),"-",""),".",""),"/","")," ",""),8),4),--MID(LEFT(SUBSTITUTE(SUBSTITUTE(SUBSTITUTE(SUBSTITUTE(TRIM($W1193),"-",""),".",""),"/","")," ",""),8),5,2),--MID(LEFT(SUBSTITUTE(SUBSTITUTE(SUBSTITUTE(SUBSTITUTE(TRIM($W1193),"-",""),".",""),"/","")," ",""),8),7,2)),"")))</f>
        <v/>
      </c>
      <c r="Y1193" s="32">
        <f>IF($X1193="","",INT($X1193))</f>
        <v/>
      </c>
      <c r="Z1193" s="33">
        <f>IF(OR($Y1193="",$D$6=""),"",IF(INDEX($A:$U,ROW(),$D$6)="",0,IF(ISNUMBER(INDEX($A:$U,ROW(),$D$6)),INDEX($A:$U,ROW(),$D$6),IFERROR(--SUBSTITUTE(SUBSTITUTE(TRIM(INDEX($A:$U,ROW(),$D$6)),",",""),"원",""),0))))</f>
        <v/>
      </c>
      <c r="AA1193" s="31">
        <f>IF($Y1193="","",TRIM(INDEX($A:$U,ROW(),$E$6)&amp;IF($F$6="",""," "&amp;INDEX($A:$U,ROW(),$F$6))))</f>
        <v/>
      </c>
      <c r="AB1193" s="31">
        <f>IF($AA1193="","",SUBSTITUTE(SUBSTITUTE(SUBSTITUTE(SUBSTITUTE(SUBSTITUTE(SUBSTITUTE(SUBSTITUTE(SUBSTITUTE(SUBSTITUTE($AA1193," ",""),"　",""),"(주)",""),"（주）",""),"㈜",""),"주식회사",""),"(유)",""),"（유）",""),"유한회사",""))</f>
        <v/>
      </c>
      <c r="AC1193" s="31">
        <f>IF(OR($Y1193="",N($Z1193)&lt;=0,$AB1193=""),0,IFERROR(LOOKUP(2,1/((거래처별!$AC$8:$AC$307&lt;&gt;"")*ISNUMBER(SEARCH(거래처별!$AC$8:$AC$307,$AB1193))),거래처별!$A$8:$A$307),IFERROR(LOOKUP(2,1/((거래처별!$AD$8:$AD$307&lt;&gt;"")*ISNUMBER(SEARCH(거래처별!$AD$8:$AD$307,$AB1193))),거래처별!$A$8:$A$307),IFERROR(LOOKUP(2,1/((거래처별!$AE$8:$AE$307&lt;&gt;"")*ISNUMBER(SEARCH(거래처별!$AE$8:$AE$307,$AB1193))),거래처별!$A$8:$A$307),0))))</f>
        <v/>
      </c>
      <c r="AD1193" s="31">
        <f>IF(AND($Y1193&lt;&gt;"",N($Z1193)&gt;0,$AC1193=0),MAX($AD$7:$AD1192)+1,"")</f>
        <v/>
      </c>
      <c r="AE1193" s="31">
        <f>IF($Y1193="",0,$Y1193)</f>
        <v/>
      </c>
    </row>
    <row r="1194">
      <c r="W1194" s="31">
        <f>IF(OR($B$5="",$C$6="",ROW()&lt;$B$5),"",IF(INDEX($A:$U,ROW(),$C$6)="","",INDEX($A:$U,ROW(),$C$6)))</f>
        <v/>
      </c>
      <c r="X1194" s="32">
        <f>IF($W1194="","",IF(ISNUMBER($W1194),IF($W1194&gt;=10000000,IFERROR(DATE(INT($W1194/10000),MOD(INT($W1194/100),100),MOD($W1194,100)),""),INT($W1194)),IFERROR(DATE(--LEFT(LEFT(SUBSTITUTE(SUBSTITUTE(SUBSTITUTE(SUBSTITUTE(TRIM($W1194),"-",""),".",""),"/","")," ",""),8),4),--MID(LEFT(SUBSTITUTE(SUBSTITUTE(SUBSTITUTE(SUBSTITUTE(TRIM($W1194),"-",""),".",""),"/","")," ",""),8),5,2),--MID(LEFT(SUBSTITUTE(SUBSTITUTE(SUBSTITUTE(SUBSTITUTE(TRIM($W1194),"-",""),".",""),"/","")," ",""),8),7,2)),"")))</f>
        <v/>
      </c>
      <c r="Y1194" s="32">
        <f>IF($X1194="","",INT($X1194))</f>
        <v/>
      </c>
      <c r="Z1194" s="33">
        <f>IF(OR($Y1194="",$D$6=""),"",IF(INDEX($A:$U,ROW(),$D$6)="",0,IF(ISNUMBER(INDEX($A:$U,ROW(),$D$6)),INDEX($A:$U,ROW(),$D$6),IFERROR(--SUBSTITUTE(SUBSTITUTE(TRIM(INDEX($A:$U,ROW(),$D$6)),",",""),"원",""),0))))</f>
        <v/>
      </c>
      <c r="AA1194" s="31">
        <f>IF($Y1194="","",TRIM(INDEX($A:$U,ROW(),$E$6)&amp;IF($F$6="",""," "&amp;INDEX($A:$U,ROW(),$F$6))))</f>
        <v/>
      </c>
      <c r="AB1194" s="31">
        <f>IF($AA1194="","",SUBSTITUTE(SUBSTITUTE(SUBSTITUTE(SUBSTITUTE(SUBSTITUTE(SUBSTITUTE(SUBSTITUTE(SUBSTITUTE(SUBSTITUTE($AA1194," ",""),"　",""),"(주)",""),"（주）",""),"㈜",""),"주식회사",""),"(유)",""),"（유）",""),"유한회사",""))</f>
        <v/>
      </c>
      <c r="AC1194" s="31">
        <f>IF(OR($Y1194="",N($Z1194)&lt;=0,$AB1194=""),0,IFERROR(LOOKUP(2,1/((거래처별!$AC$8:$AC$307&lt;&gt;"")*ISNUMBER(SEARCH(거래처별!$AC$8:$AC$307,$AB1194))),거래처별!$A$8:$A$307),IFERROR(LOOKUP(2,1/((거래처별!$AD$8:$AD$307&lt;&gt;"")*ISNUMBER(SEARCH(거래처별!$AD$8:$AD$307,$AB1194))),거래처별!$A$8:$A$307),IFERROR(LOOKUP(2,1/((거래처별!$AE$8:$AE$307&lt;&gt;"")*ISNUMBER(SEARCH(거래처별!$AE$8:$AE$307,$AB1194))),거래처별!$A$8:$A$307),0))))</f>
        <v/>
      </c>
      <c r="AD1194" s="31">
        <f>IF(AND($Y1194&lt;&gt;"",N($Z1194)&gt;0,$AC1194=0),MAX($AD$7:$AD1193)+1,"")</f>
        <v/>
      </c>
      <c r="AE1194" s="31">
        <f>IF($Y1194="",0,$Y1194)</f>
        <v/>
      </c>
    </row>
    <row r="1195">
      <c r="W1195" s="31">
        <f>IF(OR($B$5="",$C$6="",ROW()&lt;$B$5),"",IF(INDEX($A:$U,ROW(),$C$6)="","",INDEX($A:$U,ROW(),$C$6)))</f>
        <v/>
      </c>
      <c r="X1195" s="32">
        <f>IF($W1195="","",IF(ISNUMBER($W1195),IF($W1195&gt;=10000000,IFERROR(DATE(INT($W1195/10000),MOD(INT($W1195/100),100),MOD($W1195,100)),""),INT($W1195)),IFERROR(DATE(--LEFT(LEFT(SUBSTITUTE(SUBSTITUTE(SUBSTITUTE(SUBSTITUTE(TRIM($W1195),"-",""),".",""),"/","")," ",""),8),4),--MID(LEFT(SUBSTITUTE(SUBSTITUTE(SUBSTITUTE(SUBSTITUTE(TRIM($W1195),"-",""),".",""),"/","")," ",""),8),5,2),--MID(LEFT(SUBSTITUTE(SUBSTITUTE(SUBSTITUTE(SUBSTITUTE(TRIM($W1195),"-",""),".",""),"/","")," ",""),8),7,2)),"")))</f>
        <v/>
      </c>
      <c r="Y1195" s="32">
        <f>IF($X1195="","",INT($X1195))</f>
        <v/>
      </c>
      <c r="Z1195" s="33">
        <f>IF(OR($Y1195="",$D$6=""),"",IF(INDEX($A:$U,ROW(),$D$6)="",0,IF(ISNUMBER(INDEX($A:$U,ROW(),$D$6)),INDEX($A:$U,ROW(),$D$6),IFERROR(--SUBSTITUTE(SUBSTITUTE(TRIM(INDEX($A:$U,ROW(),$D$6)),",",""),"원",""),0))))</f>
        <v/>
      </c>
      <c r="AA1195" s="31">
        <f>IF($Y1195="","",TRIM(INDEX($A:$U,ROW(),$E$6)&amp;IF($F$6="",""," "&amp;INDEX($A:$U,ROW(),$F$6))))</f>
        <v/>
      </c>
      <c r="AB1195" s="31">
        <f>IF($AA1195="","",SUBSTITUTE(SUBSTITUTE(SUBSTITUTE(SUBSTITUTE(SUBSTITUTE(SUBSTITUTE(SUBSTITUTE(SUBSTITUTE(SUBSTITUTE($AA1195," ",""),"　",""),"(주)",""),"（주）",""),"㈜",""),"주식회사",""),"(유)",""),"（유）",""),"유한회사",""))</f>
        <v/>
      </c>
      <c r="AC1195" s="31">
        <f>IF(OR($Y1195="",N($Z1195)&lt;=0,$AB1195=""),0,IFERROR(LOOKUP(2,1/((거래처별!$AC$8:$AC$307&lt;&gt;"")*ISNUMBER(SEARCH(거래처별!$AC$8:$AC$307,$AB1195))),거래처별!$A$8:$A$307),IFERROR(LOOKUP(2,1/((거래처별!$AD$8:$AD$307&lt;&gt;"")*ISNUMBER(SEARCH(거래처별!$AD$8:$AD$307,$AB1195))),거래처별!$A$8:$A$307),IFERROR(LOOKUP(2,1/((거래처별!$AE$8:$AE$307&lt;&gt;"")*ISNUMBER(SEARCH(거래처별!$AE$8:$AE$307,$AB1195))),거래처별!$A$8:$A$307),0))))</f>
        <v/>
      </c>
      <c r="AD1195" s="31">
        <f>IF(AND($Y1195&lt;&gt;"",N($Z1195)&gt;0,$AC1195=0),MAX($AD$7:$AD1194)+1,"")</f>
        <v/>
      </c>
      <c r="AE1195" s="31">
        <f>IF($Y1195="",0,$Y1195)</f>
        <v/>
      </c>
    </row>
    <row r="1196">
      <c r="W1196" s="31">
        <f>IF(OR($B$5="",$C$6="",ROW()&lt;$B$5),"",IF(INDEX($A:$U,ROW(),$C$6)="","",INDEX($A:$U,ROW(),$C$6)))</f>
        <v/>
      </c>
      <c r="X1196" s="32">
        <f>IF($W1196="","",IF(ISNUMBER($W1196),IF($W1196&gt;=10000000,IFERROR(DATE(INT($W1196/10000),MOD(INT($W1196/100),100),MOD($W1196,100)),""),INT($W1196)),IFERROR(DATE(--LEFT(LEFT(SUBSTITUTE(SUBSTITUTE(SUBSTITUTE(SUBSTITUTE(TRIM($W1196),"-",""),".",""),"/","")," ",""),8),4),--MID(LEFT(SUBSTITUTE(SUBSTITUTE(SUBSTITUTE(SUBSTITUTE(TRIM($W1196),"-",""),".",""),"/","")," ",""),8),5,2),--MID(LEFT(SUBSTITUTE(SUBSTITUTE(SUBSTITUTE(SUBSTITUTE(TRIM($W1196),"-",""),".",""),"/","")," ",""),8),7,2)),"")))</f>
        <v/>
      </c>
      <c r="Y1196" s="32">
        <f>IF($X1196="","",INT($X1196))</f>
        <v/>
      </c>
      <c r="Z1196" s="33">
        <f>IF(OR($Y1196="",$D$6=""),"",IF(INDEX($A:$U,ROW(),$D$6)="",0,IF(ISNUMBER(INDEX($A:$U,ROW(),$D$6)),INDEX($A:$U,ROW(),$D$6),IFERROR(--SUBSTITUTE(SUBSTITUTE(TRIM(INDEX($A:$U,ROW(),$D$6)),",",""),"원",""),0))))</f>
        <v/>
      </c>
      <c r="AA1196" s="31">
        <f>IF($Y1196="","",TRIM(INDEX($A:$U,ROW(),$E$6)&amp;IF($F$6="",""," "&amp;INDEX($A:$U,ROW(),$F$6))))</f>
        <v/>
      </c>
      <c r="AB1196" s="31">
        <f>IF($AA1196="","",SUBSTITUTE(SUBSTITUTE(SUBSTITUTE(SUBSTITUTE(SUBSTITUTE(SUBSTITUTE(SUBSTITUTE(SUBSTITUTE(SUBSTITUTE($AA1196," ",""),"　",""),"(주)",""),"（주）",""),"㈜",""),"주식회사",""),"(유)",""),"（유）",""),"유한회사",""))</f>
        <v/>
      </c>
      <c r="AC1196" s="31">
        <f>IF(OR($Y1196="",N($Z1196)&lt;=0,$AB1196=""),0,IFERROR(LOOKUP(2,1/((거래처별!$AC$8:$AC$307&lt;&gt;"")*ISNUMBER(SEARCH(거래처별!$AC$8:$AC$307,$AB1196))),거래처별!$A$8:$A$307),IFERROR(LOOKUP(2,1/((거래처별!$AD$8:$AD$307&lt;&gt;"")*ISNUMBER(SEARCH(거래처별!$AD$8:$AD$307,$AB1196))),거래처별!$A$8:$A$307),IFERROR(LOOKUP(2,1/((거래처별!$AE$8:$AE$307&lt;&gt;"")*ISNUMBER(SEARCH(거래처별!$AE$8:$AE$307,$AB1196))),거래처별!$A$8:$A$307),0))))</f>
        <v/>
      </c>
      <c r="AD1196" s="31">
        <f>IF(AND($Y1196&lt;&gt;"",N($Z1196)&gt;0,$AC1196=0),MAX($AD$7:$AD1195)+1,"")</f>
        <v/>
      </c>
      <c r="AE1196" s="31">
        <f>IF($Y1196="",0,$Y1196)</f>
        <v/>
      </c>
    </row>
    <row r="1197">
      <c r="W1197" s="31">
        <f>IF(OR($B$5="",$C$6="",ROW()&lt;$B$5),"",IF(INDEX($A:$U,ROW(),$C$6)="","",INDEX($A:$U,ROW(),$C$6)))</f>
        <v/>
      </c>
      <c r="X1197" s="32">
        <f>IF($W1197="","",IF(ISNUMBER($W1197),IF($W1197&gt;=10000000,IFERROR(DATE(INT($W1197/10000),MOD(INT($W1197/100),100),MOD($W1197,100)),""),INT($W1197)),IFERROR(DATE(--LEFT(LEFT(SUBSTITUTE(SUBSTITUTE(SUBSTITUTE(SUBSTITUTE(TRIM($W1197),"-",""),".",""),"/","")," ",""),8),4),--MID(LEFT(SUBSTITUTE(SUBSTITUTE(SUBSTITUTE(SUBSTITUTE(TRIM($W1197),"-",""),".",""),"/","")," ",""),8),5,2),--MID(LEFT(SUBSTITUTE(SUBSTITUTE(SUBSTITUTE(SUBSTITUTE(TRIM($W1197),"-",""),".",""),"/","")," ",""),8),7,2)),"")))</f>
        <v/>
      </c>
      <c r="Y1197" s="32">
        <f>IF($X1197="","",INT($X1197))</f>
        <v/>
      </c>
      <c r="Z1197" s="33">
        <f>IF(OR($Y1197="",$D$6=""),"",IF(INDEX($A:$U,ROW(),$D$6)="",0,IF(ISNUMBER(INDEX($A:$U,ROW(),$D$6)),INDEX($A:$U,ROW(),$D$6),IFERROR(--SUBSTITUTE(SUBSTITUTE(TRIM(INDEX($A:$U,ROW(),$D$6)),",",""),"원",""),0))))</f>
        <v/>
      </c>
      <c r="AA1197" s="31">
        <f>IF($Y1197="","",TRIM(INDEX($A:$U,ROW(),$E$6)&amp;IF($F$6="",""," "&amp;INDEX($A:$U,ROW(),$F$6))))</f>
        <v/>
      </c>
      <c r="AB1197" s="31">
        <f>IF($AA1197="","",SUBSTITUTE(SUBSTITUTE(SUBSTITUTE(SUBSTITUTE(SUBSTITUTE(SUBSTITUTE(SUBSTITUTE(SUBSTITUTE(SUBSTITUTE($AA1197," ",""),"　",""),"(주)",""),"（주）",""),"㈜",""),"주식회사",""),"(유)",""),"（유）",""),"유한회사",""))</f>
        <v/>
      </c>
      <c r="AC1197" s="31">
        <f>IF(OR($Y1197="",N($Z1197)&lt;=0,$AB1197=""),0,IFERROR(LOOKUP(2,1/((거래처별!$AC$8:$AC$307&lt;&gt;"")*ISNUMBER(SEARCH(거래처별!$AC$8:$AC$307,$AB1197))),거래처별!$A$8:$A$307),IFERROR(LOOKUP(2,1/((거래처별!$AD$8:$AD$307&lt;&gt;"")*ISNUMBER(SEARCH(거래처별!$AD$8:$AD$307,$AB1197))),거래처별!$A$8:$A$307),IFERROR(LOOKUP(2,1/((거래처별!$AE$8:$AE$307&lt;&gt;"")*ISNUMBER(SEARCH(거래처별!$AE$8:$AE$307,$AB1197))),거래처별!$A$8:$A$307),0))))</f>
        <v/>
      </c>
      <c r="AD1197" s="31">
        <f>IF(AND($Y1197&lt;&gt;"",N($Z1197)&gt;0,$AC1197=0),MAX($AD$7:$AD1196)+1,"")</f>
        <v/>
      </c>
      <c r="AE1197" s="31">
        <f>IF($Y1197="",0,$Y1197)</f>
        <v/>
      </c>
    </row>
    <row r="1198">
      <c r="W1198" s="31">
        <f>IF(OR($B$5="",$C$6="",ROW()&lt;$B$5),"",IF(INDEX($A:$U,ROW(),$C$6)="","",INDEX($A:$U,ROW(),$C$6)))</f>
        <v/>
      </c>
      <c r="X1198" s="32">
        <f>IF($W1198="","",IF(ISNUMBER($W1198),IF($W1198&gt;=10000000,IFERROR(DATE(INT($W1198/10000),MOD(INT($W1198/100),100),MOD($W1198,100)),""),INT($W1198)),IFERROR(DATE(--LEFT(LEFT(SUBSTITUTE(SUBSTITUTE(SUBSTITUTE(SUBSTITUTE(TRIM($W1198),"-",""),".",""),"/","")," ",""),8),4),--MID(LEFT(SUBSTITUTE(SUBSTITUTE(SUBSTITUTE(SUBSTITUTE(TRIM($W1198),"-",""),".",""),"/","")," ",""),8),5,2),--MID(LEFT(SUBSTITUTE(SUBSTITUTE(SUBSTITUTE(SUBSTITUTE(TRIM($W1198),"-",""),".",""),"/","")," ",""),8),7,2)),"")))</f>
        <v/>
      </c>
      <c r="Y1198" s="32">
        <f>IF($X1198="","",INT($X1198))</f>
        <v/>
      </c>
      <c r="Z1198" s="33">
        <f>IF(OR($Y1198="",$D$6=""),"",IF(INDEX($A:$U,ROW(),$D$6)="",0,IF(ISNUMBER(INDEX($A:$U,ROW(),$D$6)),INDEX($A:$U,ROW(),$D$6),IFERROR(--SUBSTITUTE(SUBSTITUTE(TRIM(INDEX($A:$U,ROW(),$D$6)),",",""),"원",""),0))))</f>
        <v/>
      </c>
      <c r="AA1198" s="31">
        <f>IF($Y1198="","",TRIM(INDEX($A:$U,ROW(),$E$6)&amp;IF($F$6="",""," "&amp;INDEX($A:$U,ROW(),$F$6))))</f>
        <v/>
      </c>
      <c r="AB1198" s="31">
        <f>IF($AA1198="","",SUBSTITUTE(SUBSTITUTE(SUBSTITUTE(SUBSTITUTE(SUBSTITUTE(SUBSTITUTE(SUBSTITUTE(SUBSTITUTE(SUBSTITUTE($AA1198," ",""),"　",""),"(주)",""),"（주）",""),"㈜",""),"주식회사",""),"(유)",""),"（유）",""),"유한회사",""))</f>
        <v/>
      </c>
      <c r="AC1198" s="31">
        <f>IF(OR($Y1198="",N($Z1198)&lt;=0,$AB1198=""),0,IFERROR(LOOKUP(2,1/((거래처별!$AC$8:$AC$307&lt;&gt;"")*ISNUMBER(SEARCH(거래처별!$AC$8:$AC$307,$AB1198))),거래처별!$A$8:$A$307),IFERROR(LOOKUP(2,1/((거래처별!$AD$8:$AD$307&lt;&gt;"")*ISNUMBER(SEARCH(거래처별!$AD$8:$AD$307,$AB1198))),거래처별!$A$8:$A$307),IFERROR(LOOKUP(2,1/((거래처별!$AE$8:$AE$307&lt;&gt;"")*ISNUMBER(SEARCH(거래처별!$AE$8:$AE$307,$AB1198))),거래처별!$A$8:$A$307),0))))</f>
        <v/>
      </c>
      <c r="AD1198" s="31">
        <f>IF(AND($Y1198&lt;&gt;"",N($Z1198)&gt;0,$AC1198=0),MAX($AD$7:$AD1197)+1,"")</f>
        <v/>
      </c>
      <c r="AE1198" s="31">
        <f>IF($Y1198="",0,$Y1198)</f>
        <v/>
      </c>
    </row>
    <row r="1199">
      <c r="W1199" s="31">
        <f>IF(OR($B$5="",$C$6="",ROW()&lt;$B$5),"",IF(INDEX($A:$U,ROW(),$C$6)="","",INDEX($A:$U,ROW(),$C$6)))</f>
        <v/>
      </c>
      <c r="X1199" s="32">
        <f>IF($W1199="","",IF(ISNUMBER($W1199),IF($W1199&gt;=10000000,IFERROR(DATE(INT($W1199/10000),MOD(INT($W1199/100),100),MOD($W1199,100)),""),INT($W1199)),IFERROR(DATE(--LEFT(LEFT(SUBSTITUTE(SUBSTITUTE(SUBSTITUTE(SUBSTITUTE(TRIM($W1199),"-",""),".",""),"/","")," ",""),8),4),--MID(LEFT(SUBSTITUTE(SUBSTITUTE(SUBSTITUTE(SUBSTITUTE(TRIM($W1199),"-",""),".",""),"/","")," ",""),8),5,2),--MID(LEFT(SUBSTITUTE(SUBSTITUTE(SUBSTITUTE(SUBSTITUTE(TRIM($W1199),"-",""),".",""),"/","")," ",""),8),7,2)),"")))</f>
        <v/>
      </c>
      <c r="Y1199" s="32">
        <f>IF($X1199="","",INT($X1199))</f>
        <v/>
      </c>
      <c r="Z1199" s="33">
        <f>IF(OR($Y1199="",$D$6=""),"",IF(INDEX($A:$U,ROW(),$D$6)="",0,IF(ISNUMBER(INDEX($A:$U,ROW(),$D$6)),INDEX($A:$U,ROW(),$D$6),IFERROR(--SUBSTITUTE(SUBSTITUTE(TRIM(INDEX($A:$U,ROW(),$D$6)),",",""),"원",""),0))))</f>
        <v/>
      </c>
      <c r="AA1199" s="31">
        <f>IF($Y1199="","",TRIM(INDEX($A:$U,ROW(),$E$6)&amp;IF($F$6="",""," "&amp;INDEX($A:$U,ROW(),$F$6))))</f>
        <v/>
      </c>
      <c r="AB1199" s="31">
        <f>IF($AA1199="","",SUBSTITUTE(SUBSTITUTE(SUBSTITUTE(SUBSTITUTE(SUBSTITUTE(SUBSTITUTE(SUBSTITUTE(SUBSTITUTE(SUBSTITUTE($AA1199," ",""),"　",""),"(주)",""),"（주）",""),"㈜",""),"주식회사",""),"(유)",""),"（유）",""),"유한회사",""))</f>
        <v/>
      </c>
      <c r="AC1199" s="31">
        <f>IF(OR($Y1199="",N($Z1199)&lt;=0,$AB1199=""),0,IFERROR(LOOKUP(2,1/((거래처별!$AC$8:$AC$307&lt;&gt;"")*ISNUMBER(SEARCH(거래처별!$AC$8:$AC$307,$AB1199))),거래처별!$A$8:$A$307),IFERROR(LOOKUP(2,1/((거래처별!$AD$8:$AD$307&lt;&gt;"")*ISNUMBER(SEARCH(거래처별!$AD$8:$AD$307,$AB1199))),거래처별!$A$8:$A$307),IFERROR(LOOKUP(2,1/((거래처별!$AE$8:$AE$307&lt;&gt;"")*ISNUMBER(SEARCH(거래처별!$AE$8:$AE$307,$AB1199))),거래처별!$A$8:$A$307),0))))</f>
        <v/>
      </c>
      <c r="AD1199" s="31">
        <f>IF(AND($Y1199&lt;&gt;"",N($Z1199)&gt;0,$AC1199=0),MAX($AD$7:$AD1198)+1,"")</f>
        <v/>
      </c>
      <c r="AE1199" s="31">
        <f>IF($Y1199="",0,$Y1199)</f>
        <v/>
      </c>
    </row>
    <row r="1200">
      <c r="W1200" s="31">
        <f>IF(OR($B$5="",$C$6="",ROW()&lt;$B$5),"",IF(INDEX($A:$U,ROW(),$C$6)="","",INDEX($A:$U,ROW(),$C$6)))</f>
        <v/>
      </c>
      <c r="X1200" s="32">
        <f>IF($W1200="","",IF(ISNUMBER($W1200),IF($W1200&gt;=10000000,IFERROR(DATE(INT($W1200/10000),MOD(INT($W1200/100),100),MOD($W1200,100)),""),INT($W1200)),IFERROR(DATE(--LEFT(LEFT(SUBSTITUTE(SUBSTITUTE(SUBSTITUTE(SUBSTITUTE(TRIM($W1200),"-",""),".",""),"/","")," ",""),8),4),--MID(LEFT(SUBSTITUTE(SUBSTITUTE(SUBSTITUTE(SUBSTITUTE(TRIM($W1200),"-",""),".",""),"/","")," ",""),8),5,2),--MID(LEFT(SUBSTITUTE(SUBSTITUTE(SUBSTITUTE(SUBSTITUTE(TRIM($W1200),"-",""),".",""),"/","")," ",""),8),7,2)),"")))</f>
        <v/>
      </c>
      <c r="Y1200" s="32">
        <f>IF($X1200="","",INT($X1200))</f>
        <v/>
      </c>
      <c r="Z1200" s="33">
        <f>IF(OR($Y1200="",$D$6=""),"",IF(INDEX($A:$U,ROW(),$D$6)="",0,IF(ISNUMBER(INDEX($A:$U,ROW(),$D$6)),INDEX($A:$U,ROW(),$D$6),IFERROR(--SUBSTITUTE(SUBSTITUTE(TRIM(INDEX($A:$U,ROW(),$D$6)),",",""),"원",""),0))))</f>
        <v/>
      </c>
      <c r="AA1200" s="31">
        <f>IF($Y1200="","",TRIM(INDEX($A:$U,ROW(),$E$6)&amp;IF($F$6="",""," "&amp;INDEX($A:$U,ROW(),$F$6))))</f>
        <v/>
      </c>
      <c r="AB1200" s="31">
        <f>IF($AA1200="","",SUBSTITUTE(SUBSTITUTE(SUBSTITUTE(SUBSTITUTE(SUBSTITUTE(SUBSTITUTE(SUBSTITUTE(SUBSTITUTE(SUBSTITUTE($AA1200," ",""),"　",""),"(주)",""),"（주）",""),"㈜",""),"주식회사",""),"(유)",""),"（유）",""),"유한회사",""))</f>
        <v/>
      </c>
      <c r="AC1200" s="31">
        <f>IF(OR($Y1200="",N($Z1200)&lt;=0,$AB1200=""),0,IFERROR(LOOKUP(2,1/((거래처별!$AC$8:$AC$307&lt;&gt;"")*ISNUMBER(SEARCH(거래처별!$AC$8:$AC$307,$AB1200))),거래처별!$A$8:$A$307),IFERROR(LOOKUP(2,1/((거래처별!$AD$8:$AD$307&lt;&gt;"")*ISNUMBER(SEARCH(거래처별!$AD$8:$AD$307,$AB1200))),거래처별!$A$8:$A$307),IFERROR(LOOKUP(2,1/((거래처별!$AE$8:$AE$307&lt;&gt;"")*ISNUMBER(SEARCH(거래처별!$AE$8:$AE$307,$AB1200))),거래처별!$A$8:$A$307),0))))</f>
        <v/>
      </c>
      <c r="AD1200" s="31">
        <f>IF(AND($Y1200&lt;&gt;"",N($Z1200)&gt;0,$AC1200=0),MAX($AD$7:$AD1199)+1,"")</f>
        <v/>
      </c>
      <c r="AE1200" s="31">
        <f>IF($Y1200="",0,$Y1200)</f>
        <v/>
      </c>
    </row>
    <row r="1201">
      <c r="W1201" s="31">
        <f>IF(OR($B$5="",$C$6="",ROW()&lt;$B$5),"",IF(INDEX($A:$U,ROW(),$C$6)="","",INDEX($A:$U,ROW(),$C$6)))</f>
        <v/>
      </c>
      <c r="X1201" s="32">
        <f>IF($W1201="","",IF(ISNUMBER($W1201),IF($W1201&gt;=10000000,IFERROR(DATE(INT($W1201/10000),MOD(INT($W1201/100),100),MOD($W1201,100)),""),INT($W1201)),IFERROR(DATE(--LEFT(LEFT(SUBSTITUTE(SUBSTITUTE(SUBSTITUTE(SUBSTITUTE(TRIM($W1201),"-",""),".",""),"/","")," ",""),8),4),--MID(LEFT(SUBSTITUTE(SUBSTITUTE(SUBSTITUTE(SUBSTITUTE(TRIM($W1201),"-",""),".",""),"/","")," ",""),8),5,2),--MID(LEFT(SUBSTITUTE(SUBSTITUTE(SUBSTITUTE(SUBSTITUTE(TRIM($W1201),"-",""),".",""),"/","")," ",""),8),7,2)),"")))</f>
        <v/>
      </c>
      <c r="Y1201" s="32">
        <f>IF($X1201="","",INT($X1201))</f>
        <v/>
      </c>
      <c r="Z1201" s="33">
        <f>IF(OR($Y1201="",$D$6=""),"",IF(INDEX($A:$U,ROW(),$D$6)="",0,IF(ISNUMBER(INDEX($A:$U,ROW(),$D$6)),INDEX($A:$U,ROW(),$D$6),IFERROR(--SUBSTITUTE(SUBSTITUTE(TRIM(INDEX($A:$U,ROW(),$D$6)),",",""),"원",""),0))))</f>
        <v/>
      </c>
      <c r="AA1201" s="31">
        <f>IF($Y1201="","",TRIM(INDEX($A:$U,ROW(),$E$6)&amp;IF($F$6="",""," "&amp;INDEX($A:$U,ROW(),$F$6))))</f>
        <v/>
      </c>
      <c r="AB1201" s="31">
        <f>IF($AA1201="","",SUBSTITUTE(SUBSTITUTE(SUBSTITUTE(SUBSTITUTE(SUBSTITUTE(SUBSTITUTE(SUBSTITUTE(SUBSTITUTE(SUBSTITUTE($AA1201," ",""),"　",""),"(주)",""),"（주）",""),"㈜",""),"주식회사",""),"(유)",""),"（유）",""),"유한회사",""))</f>
        <v/>
      </c>
      <c r="AC1201" s="31">
        <f>IF(OR($Y1201="",N($Z1201)&lt;=0,$AB1201=""),0,IFERROR(LOOKUP(2,1/((거래처별!$AC$8:$AC$307&lt;&gt;"")*ISNUMBER(SEARCH(거래처별!$AC$8:$AC$307,$AB1201))),거래처별!$A$8:$A$307),IFERROR(LOOKUP(2,1/((거래처별!$AD$8:$AD$307&lt;&gt;"")*ISNUMBER(SEARCH(거래처별!$AD$8:$AD$307,$AB1201))),거래처별!$A$8:$A$307),IFERROR(LOOKUP(2,1/((거래처별!$AE$8:$AE$307&lt;&gt;"")*ISNUMBER(SEARCH(거래처별!$AE$8:$AE$307,$AB1201))),거래처별!$A$8:$A$307),0))))</f>
        <v/>
      </c>
      <c r="AD1201" s="31">
        <f>IF(AND($Y1201&lt;&gt;"",N($Z1201)&gt;0,$AC1201=0),MAX($AD$7:$AD1200)+1,"")</f>
        <v/>
      </c>
      <c r="AE1201" s="31">
        <f>IF($Y1201="",0,$Y1201)</f>
        <v/>
      </c>
    </row>
    <row r="1202">
      <c r="W1202" s="31">
        <f>IF(OR($B$5="",$C$6="",ROW()&lt;$B$5),"",IF(INDEX($A:$U,ROW(),$C$6)="","",INDEX($A:$U,ROW(),$C$6)))</f>
        <v/>
      </c>
      <c r="X1202" s="32">
        <f>IF($W1202="","",IF(ISNUMBER($W1202),IF($W1202&gt;=10000000,IFERROR(DATE(INT($W1202/10000),MOD(INT($W1202/100),100),MOD($W1202,100)),""),INT($W1202)),IFERROR(DATE(--LEFT(LEFT(SUBSTITUTE(SUBSTITUTE(SUBSTITUTE(SUBSTITUTE(TRIM($W1202),"-",""),".",""),"/","")," ",""),8),4),--MID(LEFT(SUBSTITUTE(SUBSTITUTE(SUBSTITUTE(SUBSTITUTE(TRIM($W1202),"-",""),".",""),"/","")," ",""),8),5,2),--MID(LEFT(SUBSTITUTE(SUBSTITUTE(SUBSTITUTE(SUBSTITUTE(TRIM($W1202),"-",""),".",""),"/","")," ",""),8),7,2)),"")))</f>
        <v/>
      </c>
      <c r="Y1202" s="32">
        <f>IF($X1202="","",INT($X1202))</f>
        <v/>
      </c>
      <c r="Z1202" s="33">
        <f>IF(OR($Y1202="",$D$6=""),"",IF(INDEX($A:$U,ROW(),$D$6)="",0,IF(ISNUMBER(INDEX($A:$U,ROW(),$D$6)),INDEX($A:$U,ROW(),$D$6),IFERROR(--SUBSTITUTE(SUBSTITUTE(TRIM(INDEX($A:$U,ROW(),$D$6)),",",""),"원",""),0))))</f>
        <v/>
      </c>
      <c r="AA1202" s="31">
        <f>IF($Y1202="","",TRIM(INDEX($A:$U,ROW(),$E$6)&amp;IF($F$6="",""," "&amp;INDEX($A:$U,ROW(),$F$6))))</f>
        <v/>
      </c>
      <c r="AB1202" s="31">
        <f>IF($AA1202="","",SUBSTITUTE(SUBSTITUTE(SUBSTITUTE(SUBSTITUTE(SUBSTITUTE(SUBSTITUTE(SUBSTITUTE(SUBSTITUTE(SUBSTITUTE($AA1202," ",""),"　",""),"(주)",""),"（주）",""),"㈜",""),"주식회사",""),"(유)",""),"（유）",""),"유한회사",""))</f>
        <v/>
      </c>
      <c r="AC1202" s="31">
        <f>IF(OR($Y1202="",N($Z1202)&lt;=0,$AB1202=""),0,IFERROR(LOOKUP(2,1/((거래처별!$AC$8:$AC$307&lt;&gt;"")*ISNUMBER(SEARCH(거래처별!$AC$8:$AC$307,$AB1202))),거래처별!$A$8:$A$307),IFERROR(LOOKUP(2,1/((거래처별!$AD$8:$AD$307&lt;&gt;"")*ISNUMBER(SEARCH(거래처별!$AD$8:$AD$307,$AB1202))),거래처별!$A$8:$A$307),IFERROR(LOOKUP(2,1/((거래처별!$AE$8:$AE$307&lt;&gt;"")*ISNUMBER(SEARCH(거래처별!$AE$8:$AE$307,$AB1202))),거래처별!$A$8:$A$307),0))))</f>
        <v/>
      </c>
      <c r="AD1202" s="31">
        <f>IF(AND($Y1202&lt;&gt;"",N($Z1202)&gt;0,$AC1202=0),MAX($AD$7:$AD1201)+1,"")</f>
        <v/>
      </c>
      <c r="AE1202" s="31">
        <f>IF($Y1202="",0,$Y1202)</f>
        <v/>
      </c>
    </row>
    <row r="1203">
      <c r="W1203" s="31">
        <f>IF(OR($B$5="",$C$6="",ROW()&lt;$B$5),"",IF(INDEX($A:$U,ROW(),$C$6)="","",INDEX($A:$U,ROW(),$C$6)))</f>
        <v/>
      </c>
      <c r="X1203" s="32">
        <f>IF($W1203="","",IF(ISNUMBER($W1203),IF($W1203&gt;=10000000,IFERROR(DATE(INT($W1203/10000),MOD(INT($W1203/100),100),MOD($W1203,100)),""),INT($W1203)),IFERROR(DATE(--LEFT(LEFT(SUBSTITUTE(SUBSTITUTE(SUBSTITUTE(SUBSTITUTE(TRIM($W1203),"-",""),".",""),"/","")," ",""),8),4),--MID(LEFT(SUBSTITUTE(SUBSTITUTE(SUBSTITUTE(SUBSTITUTE(TRIM($W1203),"-",""),".",""),"/","")," ",""),8),5,2),--MID(LEFT(SUBSTITUTE(SUBSTITUTE(SUBSTITUTE(SUBSTITUTE(TRIM($W1203),"-",""),".",""),"/","")," ",""),8),7,2)),"")))</f>
        <v/>
      </c>
      <c r="Y1203" s="32">
        <f>IF($X1203="","",INT($X1203))</f>
        <v/>
      </c>
      <c r="Z1203" s="33">
        <f>IF(OR($Y1203="",$D$6=""),"",IF(INDEX($A:$U,ROW(),$D$6)="",0,IF(ISNUMBER(INDEX($A:$U,ROW(),$D$6)),INDEX($A:$U,ROW(),$D$6),IFERROR(--SUBSTITUTE(SUBSTITUTE(TRIM(INDEX($A:$U,ROW(),$D$6)),",",""),"원",""),0))))</f>
        <v/>
      </c>
      <c r="AA1203" s="31">
        <f>IF($Y1203="","",TRIM(INDEX($A:$U,ROW(),$E$6)&amp;IF($F$6="",""," "&amp;INDEX($A:$U,ROW(),$F$6))))</f>
        <v/>
      </c>
      <c r="AB1203" s="31">
        <f>IF($AA1203="","",SUBSTITUTE(SUBSTITUTE(SUBSTITUTE(SUBSTITUTE(SUBSTITUTE(SUBSTITUTE(SUBSTITUTE(SUBSTITUTE(SUBSTITUTE($AA1203," ",""),"　",""),"(주)",""),"（주）",""),"㈜",""),"주식회사",""),"(유)",""),"（유）",""),"유한회사",""))</f>
        <v/>
      </c>
      <c r="AC1203" s="31">
        <f>IF(OR($Y1203="",N($Z1203)&lt;=0,$AB1203=""),0,IFERROR(LOOKUP(2,1/((거래처별!$AC$8:$AC$307&lt;&gt;"")*ISNUMBER(SEARCH(거래처별!$AC$8:$AC$307,$AB1203))),거래처별!$A$8:$A$307),IFERROR(LOOKUP(2,1/((거래처별!$AD$8:$AD$307&lt;&gt;"")*ISNUMBER(SEARCH(거래처별!$AD$8:$AD$307,$AB1203))),거래처별!$A$8:$A$307),IFERROR(LOOKUP(2,1/((거래처별!$AE$8:$AE$307&lt;&gt;"")*ISNUMBER(SEARCH(거래처별!$AE$8:$AE$307,$AB1203))),거래처별!$A$8:$A$307),0))))</f>
        <v/>
      </c>
      <c r="AD1203" s="31">
        <f>IF(AND($Y1203&lt;&gt;"",N($Z1203)&gt;0,$AC1203=0),MAX($AD$7:$AD1202)+1,"")</f>
        <v/>
      </c>
      <c r="AE1203" s="31">
        <f>IF($Y1203="",0,$Y1203)</f>
        <v/>
      </c>
    </row>
    <row r="1204">
      <c r="W1204" s="31">
        <f>IF(OR($B$5="",$C$6="",ROW()&lt;$B$5),"",IF(INDEX($A:$U,ROW(),$C$6)="","",INDEX($A:$U,ROW(),$C$6)))</f>
        <v/>
      </c>
      <c r="X1204" s="32">
        <f>IF($W1204="","",IF(ISNUMBER($W1204),IF($W1204&gt;=10000000,IFERROR(DATE(INT($W1204/10000),MOD(INT($W1204/100),100),MOD($W1204,100)),""),INT($W1204)),IFERROR(DATE(--LEFT(LEFT(SUBSTITUTE(SUBSTITUTE(SUBSTITUTE(SUBSTITUTE(TRIM($W1204),"-",""),".",""),"/","")," ",""),8),4),--MID(LEFT(SUBSTITUTE(SUBSTITUTE(SUBSTITUTE(SUBSTITUTE(TRIM($W1204),"-",""),".",""),"/","")," ",""),8),5,2),--MID(LEFT(SUBSTITUTE(SUBSTITUTE(SUBSTITUTE(SUBSTITUTE(TRIM($W1204),"-",""),".",""),"/","")," ",""),8),7,2)),"")))</f>
        <v/>
      </c>
      <c r="Y1204" s="32">
        <f>IF($X1204="","",INT($X1204))</f>
        <v/>
      </c>
      <c r="Z1204" s="33">
        <f>IF(OR($Y1204="",$D$6=""),"",IF(INDEX($A:$U,ROW(),$D$6)="",0,IF(ISNUMBER(INDEX($A:$U,ROW(),$D$6)),INDEX($A:$U,ROW(),$D$6),IFERROR(--SUBSTITUTE(SUBSTITUTE(TRIM(INDEX($A:$U,ROW(),$D$6)),",",""),"원",""),0))))</f>
        <v/>
      </c>
      <c r="AA1204" s="31">
        <f>IF($Y1204="","",TRIM(INDEX($A:$U,ROW(),$E$6)&amp;IF($F$6="",""," "&amp;INDEX($A:$U,ROW(),$F$6))))</f>
        <v/>
      </c>
      <c r="AB1204" s="31">
        <f>IF($AA1204="","",SUBSTITUTE(SUBSTITUTE(SUBSTITUTE(SUBSTITUTE(SUBSTITUTE(SUBSTITUTE(SUBSTITUTE(SUBSTITUTE(SUBSTITUTE($AA1204," ",""),"　",""),"(주)",""),"（주）",""),"㈜",""),"주식회사",""),"(유)",""),"（유）",""),"유한회사",""))</f>
        <v/>
      </c>
      <c r="AC1204" s="31">
        <f>IF(OR($Y1204="",N($Z1204)&lt;=0,$AB1204=""),0,IFERROR(LOOKUP(2,1/((거래처별!$AC$8:$AC$307&lt;&gt;"")*ISNUMBER(SEARCH(거래처별!$AC$8:$AC$307,$AB1204))),거래처별!$A$8:$A$307),IFERROR(LOOKUP(2,1/((거래처별!$AD$8:$AD$307&lt;&gt;"")*ISNUMBER(SEARCH(거래처별!$AD$8:$AD$307,$AB1204))),거래처별!$A$8:$A$307),IFERROR(LOOKUP(2,1/((거래처별!$AE$8:$AE$307&lt;&gt;"")*ISNUMBER(SEARCH(거래처별!$AE$8:$AE$307,$AB1204))),거래처별!$A$8:$A$307),0))))</f>
        <v/>
      </c>
      <c r="AD1204" s="31">
        <f>IF(AND($Y1204&lt;&gt;"",N($Z1204)&gt;0,$AC1204=0),MAX($AD$7:$AD1203)+1,"")</f>
        <v/>
      </c>
      <c r="AE1204" s="31">
        <f>IF($Y1204="",0,$Y1204)</f>
        <v/>
      </c>
    </row>
    <row r="1205">
      <c r="W1205" s="31">
        <f>IF(OR($B$5="",$C$6="",ROW()&lt;$B$5),"",IF(INDEX($A:$U,ROW(),$C$6)="","",INDEX($A:$U,ROW(),$C$6)))</f>
        <v/>
      </c>
      <c r="X1205" s="32">
        <f>IF($W1205="","",IF(ISNUMBER($W1205),IF($W1205&gt;=10000000,IFERROR(DATE(INT($W1205/10000),MOD(INT($W1205/100),100),MOD($W1205,100)),""),INT($W1205)),IFERROR(DATE(--LEFT(LEFT(SUBSTITUTE(SUBSTITUTE(SUBSTITUTE(SUBSTITUTE(TRIM($W1205),"-",""),".",""),"/","")," ",""),8),4),--MID(LEFT(SUBSTITUTE(SUBSTITUTE(SUBSTITUTE(SUBSTITUTE(TRIM($W1205),"-",""),".",""),"/","")," ",""),8),5,2),--MID(LEFT(SUBSTITUTE(SUBSTITUTE(SUBSTITUTE(SUBSTITUTE(TRIM($W1205),"-",""),".",""),"/","")," ",""),8),7,2)),"")))</f>
        <v/>
      </c>
      <c r="Y1205" s="32">
        <f>IF($X1205="","",INT($X1205))</f>
        <v/>
      </c>
      <c r="Z1205" s="33">
        <f>IF(OR($Y1205="",$D$6=""),"",IF(INDEX($A:$U,ROW(),$D$6)="",0,IF(ISNUMBER(INDEX($A:$U,ROW(),$D$6)),INDEX($A:$U,ROW(),$D$6),IFERROR(--SUBSTITUTE(SUBSTITUTE(TRIM(INDEX($A:$U,ROW(),$D$6)),",",""),"원",""),0))))</f>
        <v/>
      </c>
      <c r="AA1205" s="31">
        <f>IF($Y1205="","",TRIM(INDEX($A:$U,ROW(),$E$6)&amp;IF($F$6="",""," "&amp;INDEX($A:$U,ROW(),$F$6))))</f>
        <v/>
      </c>
      <c r="AB1205" s="31">
        <f>IF($AA1205="","",SUBSTITUTE(SUBSTITUTE(SUBSTITUTE(SUBSTITUTE(SUBSTITUTE(SUBSTITUTE(SUBSTITUTE(SUBSTITUTE(SUBSTITUTE($AA1205," ",""),"　",""),"(주)",""),"（주）",""),"㈜",""),"주식회사",""),"(유)",""),"（유）",""),"유한회사",""))</f>
        <v/>
      </c>
      <c r="AC1205" s="31">
        <f>IF(OR($Y1205="",N($Z1205)&lt;=0,$AB1205=""),0,IFERROR(LOOKUP(2,1/((거래처별!$AC$8:$AC$307&lt;&gt;"")*ISNUMBER(SEARCH(거래처별!$AC$8:$AC$307,$AB1205))),거래처별!$A$8:$A$307),IFERROR(LOOKUP(2,1/((거래처별!$AD$8:$AD$307&lt;&gt;"")*ISNUMBER(SEARCH(거래처별!$AD$8:$AD$307,$AB1205))),거래처별!$A$8:$A$307),IFERROR(LOOKUP(2,1/((거래처별!$AE$8:$AE$307&lt;&gt;"")*ISNUMBER(SEARCH(거래처별!$AE$8:$AE$307,$AB1205))),거래처별!$A$8:$A$307),0))))</f>
        <v/>
      </c>
      <c r="AD1205" s="31">
        <f>IF(AND($Y1205&lt;&gt;"",N($Z1205)&gt;0,$AC1205=0),MAX($AD$7:$AD1204)+1,"")</f>
        <v/>
      </c>
      <c r="AE1205" s="31">
        <f>IF($Y1205="",0,$Y1205)</f>
        <v/>
      </c>
    </row>
    <row r="1206">
      <c r="W1206" s="31">
        <f>IF(OR($B$5="",$C$6="",ROW()&lt;$B$5),"",IF(INDEX($A:$U,ROW(),$C$6)="","",INDEX($A:$U,ROW(),$C$6)))</f>
        <v/>
      </c>
      <c r="X1206" s="32">
        <f>IF($W1206="","",IF(ISNUMBER($W1206),IF($W1206&gt;=10000000,IFERROR(DATE(INT($W1206/10000),MOD(INT($W1206/100),100),MOD($W1206,100)),""),INT($W1206)),IFERROR(DATE(--LEFT(LEFT(SUBSTITUTE(SUBSTITUTE(SUBSTITUTE(SUBSTITUTE(TRIM($W1206),"-",""),".",""),"/","")," ",""),8),4),--MID(LEFT(SUBSTITUTE(SUBSTITUTE(SUBSTITUTE(SUBSTITUTE(TRIM($W1206),"-",""),".",""),"/","")," ",""),8),5,2),--MID(LEFT(SUBSTITUTE(SUBSTITUTE(SUBSTITUTE(SUBSTITUTE(TRIM($W1206),"-",""),".",""),"/","")," ",""),8),7,2)),"")))</f>
        <v/>
      </c>
      <c r="Y1206" s="32">
        <f>IF($X1206="","",INT($X1206))</f>
        <v/>
      </c>
      <c r="Z1206" s="33">
        <f>IF(OR($Y1206="",$D$6=""),"",IF(INDEX($A:$U,ROW(),$D$6)="",0,IF(ISNUMBER(INDEX($A:$U,ROW(),$D$6)),INDEX($A:$U,ROW(),$D$6),IFERROR(--SUBSTITUTE(SUBSTITUTE(TRIM(INDEX($A:$U,ROW(),$D$6)),",",""),"원",""),0))))</f>
        <v/>
      </c>
      <c r="AA1206" s="31">
        <f>IF($Y1206="","",TRIM(INDEX($A:$U,ROW(),$E$6)&amp;IF($F$6="",""," "&amp;INDEX($A:$U,ROW(),$F$6))))</f>
        <v/>
      </c>
      <c r="AB1206" s="31">
        <f>IF($AA1206="","",SUBSTITUTE(SUBSTITUTE(SUBSTITUTE(SUBSTITUTE(SUBSTITUTE(SUBSTITUTE(SUBSTITUTE(SUBSTITUTE(SUBSTITUTE($AA1206," ",""),"　",""),"(주)",""),"（주）",""),"㈜",""),"주식회사",""),"(유)",""),"（유）",""),"유한회사",""))</f>
        <v/>
      </c>
      <c r="AC1206" s="31">
        <f>IF(OR($Y1206="",N($Z1206)&lt;=0,$AB1206=""),0,IFERROR(LOOKUP(2,1/((거래처별!$AC$8:$AC$307&lt;&gt;"")*ISNUMBER(SEARCH(거래처별!$AC$8:$AC$307,$AB1206))),거래처별!$A$8:$A$307),IFERROR(LOOKUP(2,1/((거래처별!$AD$8:$AD$307&lt;&gt;"")*ISNUMBER(SEARCH(거래처별!$AD$8:$AD$307,$AB1206))),거래처별!$A$8:$A$307),IFERROR(LOOKUP(2,1/((거래처별!$AE$8:$AE$307&lt;&gt;"")*ISNUMBER(SEARCH(거래처별!$AE$8:$AE$307,$AB1206))),거래처별!$A$8:$A$307),0))))</f>
        <v/>
      </c>
      <c r="AD1206" s="31">
        <f>IF(AND($Y1206&lt;&gt;"",N($Z1206)&gt;0,$AC1206=0),MAX($AD$7:$AD1205)+1,"")</f>
        <v/>
      </c>
      <c r="AE1206" s="31">
        <f>IF($Y1206="",0,$Y1206)</f>
        <v/>
      </c>
    </row>
    <row r="1207">
      <c r="W1207" s="31">
        <f>IF(OR($B$5="",$C$6="",ROW()&lt;$B$5),"",IF(INDEX($A:$U,ROW(),$C$6)="","",INDEX($A:$U,ROW(),$C$6)))</f>
        <v/>
      </c>
      <c r="X1207" s="32">
        <f>IF($W1207="","",IF(ISNUMBER($W1207),IF($W1207&gt;=10000000,IFERROR(DATE(INT($W1207/10000),MOD(INT($W1207/100),100),MOD($W1207,100)),""),INT($W1207)),IFERROR(DATE(--LEFT(LEFT(SUBSTITUTE(SUBSTITUTE(SUBSTITUTE(SUBSTITUTE(TRIM($W1207),"-",""),".",""),"/","")," ",""),8),4),--MID(LEFT(SUBSTITUTE(SUBSTITUTE(SUBSTITUTE(SUBSTITUTE(TRIM($W1207),"-",""),".",""),"/","")," ",""),8),5,2),--MID(LEFT(SUBSTITUTE(SUBSTITUTE(SUBSTITUTE(SUBSTITUTE(TRIM($W1207),"-",""),".",""),"/","")," ",""),8),7,2)),"")))</f>
        <v/>
      </c>
      <c r="Y1207" s="32">
        <f>IF($X1207="","",INT($X1207))</f>
        <v/>
      </c>
      <c r="Z1207" s="33">
        <f>IF(OR($Y1207="",$D$6=""),"",IF(INDEX($A:$U,ROW(),$D$6)="",0,IF(ISNUMBER(INDEX($A:$U,ROW(),$D$6)),INDEX($A:$U,ROW(),$D$6),IFERROR(--SUBSTITUTE(SUBSTITUTE(TRIM(INDEX($A:$U,ROW(),$D$6)),",",""),"원",""),0))))</f>
        <v/>
      </c>
      <c r="AA1207" s="31">
        <f>IF($Y1207="","",TRIM(INDEX($A:$U,ROW(),$E$6)&amp;IF($F$6="",""," "&amp;INDEX($A:$U,ROW(),$F$6))))</f>
        <v/>
      </c>
      <c r="AB1207" s="31">
        <f>IF($AA1207="","",SUBSTITUTE(SUBSTITUTE(SUBSTITUTE(SUBSTITUTE(SUBSTITUTE(SUBSTITUTE(SUBSTITUTE(SUBSTITUTE(SUBSTITUTE($AA1207," ",""),"　",""),"(주)",""),"（주）",""),"㈜",""),"주식회사",""),"(유)",""),"（유）",""),"유한회사",""))</f>
        <v/>
      </c>
      <c r="AC1207" s="31">
        <f>IF(OR($Y1207="",N($Z1207)&lt;=0,$AB1207=""),0,IFERROR(LOOKUP(2,1/((거래처별!$AC$8:$AC$307&lt;&gt;"")*ISNUMBER(SEARCH(거래처별!$AC$8:$AC$307,$AB1207))),거래처별!$A$8:$A$307),IFERROR(LOOKUP(2,1/((거래처별!$AD$8:$AD$307&lt;&gt;"")*ISNUMBER(SEARCH(거래처별!$AD$8:$AD$307,$AB1207))),거래처별!$A$8:$A$307),IFERROR(LOOKUP(2,1/((거래처별!$AE$8:$AE$307&lt;&gt;"")*ISNUMBER(SEARCH(거래처별!$AE$8:$AE$307,$AB1207))),거래처별!$A$8:$A$307),0))))</f>
        <v/>
      </c>
      <c r="AD1207" s="31">
        <f>IF(AND($Y1207&lt;&gt;"",N($Z1207)&gt;0,$AC1207=0),MAX($AD$7:$AD1206)+1,"")</f>
        <v/>
      </c>
      <c r="AE1207" s="31">
        <f>IF($Y1207="",0,$Y1207)</f>
        <v/>
      </c>
    </row>
    <row r="1208">
      <c r="W1208" s="31">
        <f>IF(OR($B$5="",$C$6="",ROW()&lt;$B$5),"",IF(INDEX($A:$U,ROW(),$C$6)="","",INDEX($A:$U,ROW(),$C$6)))</f>
        <v/>
      </c>
      <c r="X1208" s="32">
        <f>IF($W1208="","",IF(ISNUMBER($W1208),IF($W1208&gt;=10000000,IFERROR(DATE(INT($W1208/10000),MOD(INT($W1208/100),100),MOD($W1208,100)),""),INT($W1208)),IFERROR(DATE(--LEFT(LEFT(SUBSTITUTE(SUBSTITUTE(SUBSTITUTE(SUBSTITUTE(TRIM($W1208),"-",""),".",""),"/","")," ",""),8),4),--MID(LEFT(SUBSTITUTE(SUBSTITUTE(SUBSTITUTE(SUBSTITUTE(TRIM($W1208),"-",""),".",""),"/","")," ",""),8),5,2),--MID(LEFT(SUBSTITUTE(SUBSTITUTE(SUBSTITUTE(SUBSTITUTE(TRIM($W1208),"-",""),".",""),"/","")," ",""),8),7,2)),"")))</f>
        <v/>
      </c>
      <c r="Y1208" s="32">
        <f>IF($X1208="","",INT($X1208))</f>
        <v/>
      </c>
      <c r="Z1208" s="33">
        <f>IF(OR($Y1208="",$D$6=""),"",IF(INDEX($A:$U,ROW(),$D$6)="",0,IF(ISNUMBER(INDEX($A:$U,ROW(),$D$6)),INDEX($A:$U,ROW(),$D$6),IFERROR(--SUBSTITUTE(SUBSTITUTE(TRIM(INDEX($A:$U,ROW(),$D$6)),",",""),"원",""),0))))</f>
        <v/>
      </c>
      <c r="AA1208" s="31">
        <f>IF($Y1208="","",TRIM(INDEX($A:$U,ROW(),$E$6)&amp;IF($F$6="",""," "&amp;INDEX($A:$U,ROW(),$F$6))))</f>
        <v/>
      </c>
      <c r="AB1208" s="31">
        <f>IF($AA1208="","",SUBSTITUTE(SUBSTITUTE(SUBSTITUTE(SUBSTITUTE(SUBSTITUTE(SUBSTITUTE(SUBSTITUTE(SUBSTITUTE(SUBSTITUTE($AA1208," ",""),"　",""),"(주)",""),"（주）",""),"㈜",""),"주식회사",""),"(유)",""),"（유）",""),"유한회사",""))</f>
        <v/>
      </c>
      <c r="AC1208" s="31">
        <f>IF(OR($Y1208="",N($Z1208)&lt;=0,$AB1208=""),0,IFERROR(LOOKUP(2,1/((거래처별!$AC$8:$AC$307&lt;&gt;"")*ISNUMBER(SEARCH(거래처별!$AC$8:$AC$307,$AB1208))),거래처별!$A$8:$A$307),IFERROR(LOOKUP(2,1/((거래처별!$AD$8:$AD$307&lt;&gt;"")*ISNUMBER(SEARCH(거래처별!$AD$8:$AD$307,$AB1208))),거래처별!$A$8:$A$307),IFERROR(LOOKUP(2,1/((거래처별!$AE$8:$AE$307&lt;&gt;"")*ISNUMBER(SEARCH(거래처별!$AE$8:$AE$307,$AB1208))),거래처별!$A$8:$A$307),0))))</f>
        <v/>
      </c>
      <c r="AD1208" s="31">
        <f>IF(AND($Y1208&lt;&gt;"",N($Z1208)&gt;0,$AC1208=0),MAX($AD$7:$AD1207)+1,"")</f>
        <v/>
      </c>
      <c r="AE1208" s="31">
        <f>IF($Y1208="",0,$Y1208)</f>
        <v/>
      </c>
    </row>
    <row r="1209">
      <c r="W1209" s="31">
        <f>IF(OR($B$5="",$C$6="",ROW()&lt;$B$5),"",IF(INDEX($A:$U,ROW(),$C$6)="","",INDEX($A:$U,ROW(),$C$6)))</f>
        <v/>
      </c>
      <c r="X1209" s="32">
        <f>IF($W1209="","",IF(ISNUMBER($W1209),IF($W1209&gt;=10000000,IFERROR(DATE(INT($W1209/10000),MOD(INT($W1209/100),100),MOD($W1209,100)),""),INT($W1209)),IFERROR(DATE(--LEFT(LEFT(SUBSTITUTE(SUBSTITUTE(SUBSTITUTE(SUBSTITUTE(TRIM($W1209),"-",""),".",""),"/","")," ",""),8),4),--MID(LEFT(SUBSTITUTE(SUBSTITUTE(SUBSTITUTE(SUBSTITUTE(TRIM($W1209),"-",""),".",""),"/","")," ",""),8),5,2),--MID(LEFT(SUBSTITUTE(SUBSTITUTE(SUBSTITUTE(SUBSTITUTE(TRIM($W1209),"-",""),".",""),"/","")," ",""),8),7,2)),"")))</f>
        <v/>
      </c>
      <c r="Y1209" s="32">
        <f>IF($X1209="","",INT($X1209))</f>
        <v/>
      </c>
      <c r="Z1209" s="33">
        <f>IF(OR($Y1209="",$D$6=""),"",IF(INDEX($A:$U,ROW(),$D$6)="",0,IF(ISNUMBER(INDEX($A:$U,ROW(),$D$6)),INDEX($A:$U,ROW(),$D$6),IFERROR(--SUBSTITUTE(SUBSTITUTE(TRIM(INDEX($A:$U,ROW(),$D$6)),",",""),"원",""),0))))</f>
        <v/>
      </c>
      <c r="AA1209" s="31">
        <f>IF($Y1209="","",TRIM(INDEX($A:$U,ROW(),$E$6)&amp;IF($F$6="",""," "&amp;INDEX($A:$U,ROW(),$F$6))))</f>
        <v/>
      </c>
      <c r="AB1209" s="31">
        <f>IF($AA1209="","",SUBSTITUTE(SUBSTITUTE(SUBSTITUTE(SUBSTITUTE(SUBSTITUTE(SUBSTITUTE(SUBSTITUTE(SUBSTITUTE(SUBSTITUTE($AA1209," ",""),"　",""),"(주)",""),"（주）",""),"㈜",""),"주식회사",""),"(유)",""),"（유）",""),"유한회사",""))</f>
        <v/>
      </c>
      <c r="AC1209" s="31">
        <f>IF(OR($Y1209="",N($Z1209)&lt;=0,$AB1209=""),0,IFERROR(LOOKUP(2,1/((거래처별!$AC$8:$AC$307&lt;&gt;"")*ISNUMBER(SEARCH(거래처별!$AC$8:$AC$307,$AB1209))),거래처별!$A$8:$A$307),IFERROR(LOOKUP(2,1/((거래처별!$AD$8:$AD$307&lt;&gt;"")*ISNUMBER(SEARCH(거래처별!$AD$8:$AD$307,$AB1209))),거래처별!$A$8:$A$307),IFERROR(LOOKUP(2,1/((거래처별!$AE$8:$AE$307&lt;&gt;"")*ISNUMBER(SEARCH(거래처별!$AE$8:$AE$307,$AB1209))),거래처별!$A$8:$A$307),0))))</f>
        <v/>
      </c>
      <c r="AD1209" s="31">
        <f>IF(AND($Y1209&lt;&gt;"",N($Z1209)&gt;0,$AC1209=0),MAX($AD$7:$AD1208)+1,"")</f>
        <v/>
      </c>
      <c r="AE1209" s="31">
        <f>IF($Y1209="",0,$Y1209)</f>
        <v/>
      </c>
    </row>
    <row r="1210">
      <c r="W1210" s="31">
        <f>IF(OR($B$5="",$C$6="",ROW()&lt;$B$5),"",IF(INDEX($A:$U,ROW(),$C$6)="","",INDEX($A:$U,ROW(),$C$6)))</f>
        <v/>
      </c>
      <c r="X1210" s="32">
        <f>IF($W1210="","",IF(ISNUMBER($W1210),IF($W1210&gt;=10000000,IFERROR(DATE(INT($W1210/10000),MOD(INT($W1210/100),100),MOD($W1210,100)),""),INT($W1210)),IFERROR(DATE(--LEFT(LEFT(SUBSTITUTE(SUBSTITUTE(SUBSTITUTE(SUBSTITUTE(TRIM($W1210),"-",""),".",""),"/","")," ",""),8),4),--MID(LEFT(SUBSTITUTE(SUBSTITUTE(SUBSTITUTE(SUBSTITUTE(TRIM($W1210),"-",""),".",""),"/","")," ",""),8),5,2),--MID(LEFT(SUBSTITUTE(SUBSTITUTE(SUBSTITUTE(SUBSTITUTE(TRIM($W1210),"-",""),".",""),"/","")," ",""),8),7,2)),"")))</f>
        <v/>
      </c>
      <c r="Y1210" s="32">
        <f>IF($X1210="","",INT($X1210))</f>
        <v/>
      </c>
      <c r="Z1210" s="33">
        <f>IF(OR($Y1210="",$D$6=""),"",IF(INDEX($A:$U,ROW(),$D$6)="",0,IF(ISNUMBER(INDEX($A:$U,ROW(),$D$6)),INDEX($A:$U,ROW(),$D$6),IFERROR(--SUBSTITUTE(SUBSTITUTE(TRIM(INDEX($A:$U,ROW(),$D$6)),",",""),"원",""),0))))</f>
        <v/>
      </c>
      <c r="AA1210" s="31">
        <f>IF($Y1210="","",TRIM(INDEX($A:$U,ROW(),$E$6)&amp;IF($F$6="",""," "&amp;INDEX($A:$U,ROW(),$F$6))))</f>
        <v/>
      </c>
      <c r="AB1210" s="31">
        <f>IF($AA1210="","",SUBSTITUTE(SUBSTITUTE(SUBSTITUTE(SUBSTITUTE(SUBSTITUTE(SUBSTITUTE(SUBSTITUTE(SUBSTITUTE(SUBSTITUTE($AA1210," ",""),"　",""),"(주)",""),"（주）",""),"㈜",""),"주식회사",""),"(유)",""),"（유）",""),"유한회사",""))</f>
        <v/>
      </c>
      <c r="AC1210" s="31">
        <f>IF(OR($Y1210="",N($Z1210)&lt;=0,$AB1210=""),0,IFERROR(LOOKUP(2,1/((거래처별!$AC$8:$AC$307&lt;&gt;"")*ISNUMBER(SEARCH(거래처별!$AC$8:$AC$307,$AB1210))),거래처별!$A$8:$A$307),IFERROR(LOOKUP(2,1/((거래처별!$AD$8:$AD$307&lt;&gt;"")*ISNUMBER(SEARCH(거래처별!$AD$8:$AD$307,$AB1210))),거래처별!$A$8:$A$307),IFERROR(LOOKUP(2,1/((거래처별!$AE$8:$AE$307&lt;&gt;"")*ISNUMBER(SEARCH(거래처별!$AE$8:$AE$307,$AB1210))),거래처별!$A$8:$A$307),0))))</f>
        <v/>
      </c>
      <c r="AD1210" s="31">
        <f>IF(AND($Y1210&lt;&gt;"",N($Z1210)&gt;0,$AC1210=0),MAX($AD$7:$AD1209)+1,"")</f>
        <v/>
      </c>
      <c r="AE1210" s="31">
        <f>IF($Y1210="",0,$Y1210)</f>
        <v/>
      </c>
    </row>
    <row r="1211">
      <c r="W1211" s="31">
        <f>IF(OR($B$5="",$C$6="",ROW()&lt;$B$5),"",IF(INDEX($A:$U,ROW(),$C$6)="","",INDEX($A:$U,ROW(),$C$6)))</f>
        <v/>
      </c>
      <c r="X1211" s="32">
        <f>IF($W1211="","",IF(ISNUMBER($W1211),IF($W1211&gt;=10000000,IFERROR(DATE(INT($W1211/10000),MOD(INT($W1211/100),100),MOD($W1211,100)),""),INT($W1211)),IFERROR(DATE(--LEFT(LEFT(SUBSTITUTE(SUBSTITUTE(SUBSTITUTE(SUBSTITUTE(TRIM($W1211),"-",""),".",""),"/","")," ",""),8),4),--MID(LEFT(SUBSTITUTE(SUBSTITUTE(SUBSTITUTE(SUBSTITUTE(TRIM($W1211),"-",""),".",""),"/","")," ",""),8),5,2),--MID(LEFT(SUBSTITUTE(SUBSTITUTE(SUBSTITUTE(SUBSTITUTE(TRIM($W1211),"-",""),".",""),"/","")," ",""),8),7,2)),"")))</f>
        <v/>
      </c>
      <c r="Y1211" s="32">
        <f>IF($X1211="","",INT($X1211))</f>
        <v/>
      </c>
      <c r="Z1211" s="33">
        <f>IF(OR($Y1211="",$D$6=""),"",IF(INDEX($A:$U,ROW(),$D$6)="",0,IF(ISNUMBER(INDEX($A:$U,ROW(),$D$6)),INDEX($A:$U,ROW(),$D$6),IFERROR(--SUBSTITUTE(SUBSTITUTE(TRIM(INDEX($A:$U,ROW(),$D$6)),",",""),"원",""),0))))</f>
        <v/>
      </c>
      <c r="AA1211" s="31">
        <f>IF($Y1211="","",TRIM(INDEX($A:$U,ROW(),$E$6)&amp;IF($F$6="",""," "&amp;INDEX($A:$U,ROW(),$F$6))))</f>
        <v/>
      </c>
      <c r="AB1211" s="31">
        <f>IF($AA1211="","",SUBSTITUTE(SUBSTITUTE(SUBSTITUTE(SUBSTITUTE(SUBSTITUTE(SUBSTITUTE(SUBSTITUTE(SUBSTITUTE(SUBSTITUTE($AA1211," ",""),"　",""),"(주)",""),"（주）",""),"㈜",""),"주식회사",""),"(유)",""),"（유）",""),"유한회사",""))</f>
        <v/>
      </c>
      <c r="AC1211" s="31">
        <f>IF(OR($Y1211="",N($Z1211)&lt;=0,$AB1211=""),0,IFERROR(LOOKUP(2,1/((거래처별!$AC$8:$AC$307&lt;&gt;"")*ISNUMBER(SEARCH(거래처별!$AC$8:$AC$307,$AB1211))),거래처별!$A$8:$A$307),IFERROR(LOOKUP(2,1/((거래처별!$AD$8:$AD$307&lt;&gt;"")*ISNUMBER(SEARCH(거래처별!$AD$8:$AD$307,$AB1211))),거래처별!$A$8:$A$307),IFERROR(LOOKUP(2,1/((거래처별!$AE$8:$AE$307&lt;&gt;"")*ISNUMBER(SEARCH(거래처별!$AE$8:$AE$307,$AB1211))),거래처별!$A$8:$A$307),0))))</f>
        <v/>
      </c>
      <c r="AD1211" s="31">
        <f>IF(AND($Y1211&lt;&gt;"",N($Z1211)&gt;0,$AC1211=0),MAX($AD$7:$AD1210)+1,"")</f>
        <v/>
      </c>
      <c r="AE1211" s="31">
        <f>IF($Y1211="",0,$Y1211)</f>
        <v/>
      </c>
    </row>
    <row r="1212">
      <c r="W1212" s="31">
        <f>IF(OR($B$5="",$C$6="",ROW()&lt;$B$5),"",IF(INDEX($A:$U,ROW(),$C$6)="","",INDEX($A:$U,ROW(),$C$6)))</f>
        <v/>
      </c>
      <c r="X1212" s="32">
        <f>IF($W1212="","",IF(ISNUMBER($W1212),IF($W1212&gt;=10000000,IFERROR(DATE(INT($W1212/10000),MOD(INT($W1212/100),100),MOD($W1212,100)),""),INT($W1212)),IFERROR(DATE(--LEFT(LEFT(SUBSTITUTE(SUBSTITUTE(SUBSTITUTE(SUBSTITUTE(TRIM($W1212),"-",""),".",""),"/","")," ",""),8),4),--MID(LEFT(SUBSTITUTE(SUBSTITUTE(SUBSTITUTE(SUBSTITUTE(TRIM($W1212),"-",""),".",""),"/","")," ",""),8),5,2),--MID(LEFT(SUBSTITUTE(SUBSTITUTE(SUBSTITUTE(SUBSTITUTE(TRIM($W1212),"-",""),".",""),"/","")," ",""),8),7,2)),"")))</f>
        <v/>
      </c>
      <c r="Y1212" s="32">
        <f>IF($X1212="","",INT($X1212))</f>
        <v/>
      </c>
      <c r="Z1212" s="33">
        <f>IF(OR($Y1212="",$D$6=""),"",IF(INDEX($A:$U,ROW(),$D$6)="",0,IF(ISNUMBER(INDEX($A:$U,ROW(),$D$6)),INDEX($A:$U,ROW(),$D$6),IFERROR(--SUBSTITUTE(SUBSTITUTE(TRIM(INDEX($A:$U,ROW(),$D$6)),",",""),"원",""),0))))</f>
        <v/>
      </c>
      <c r="AA1212" s="31">
        <f>IF($Y1212="","",TRIM(INDEX($A:$U,ROW(),$E$6)&amp;IF($F$6="",""," "&amp;INDEX($A:$U,ROW(),$F$6))))</f>
        <v/>
      </c>
      <c r="AB1212" s="31">
        <f>IF($AA1212="","",SUBSTITUTE(SUBSTITUTE(SUBSTITUTE(SUBSTITUTE(SUBSTITUTE(SUBSTITUTE(SUBSTITUTE(SUBSTITUTE(SUBSTITUTE($AA1212," ",""),"　",""),"(주)",""),"（주）",""),"㈜",""),"주식회사",""),"(유)",""),"（유）",""),"유한회사",""))</f>
        <v/>
      </c>
      <c r="AC1212" s="31">
        <f>IF(OR($Y1212="",N($Z1212)&lt;=0,$AB1212=""),0,IFERROR(LOOKUP(2,1/((거래처별!$AC$8:$AC$307&lt;&gt;"")*ISNUMBER(SEARCH(거래처별!$AC$8:$AC$307,$AB1212))),거래처별!$A$8:$A$307),IFERROR(LOOKUP(2,1/((거래처별!$AD$8:$AD$307&lt;&gt;"")*ISNUMBER(SEARCH(거래처별!$AD$8:$AD$307,$AB1212))),거래처별!$A$8:$A$307),IFERROR(LOOKUP(2,1/((거래처별!$AE$8:$AE$307&lt;&gt;"")*ISNUMBER(SEARCH(거래처별!$AE$8:$AE$307,$AB1212))),거래처별!$A$8:$A$307),0))))</f>
        <v/>
      </c>
      <c r="AD1212" s="31">
        <f>IF(AND($Y1212&lt;&gt;"",N($Z1212)&gt;0,$AC1212=0),MAX($AD$7:$AD1211)+1,"")</f>
        <v/>
      </c>
      <c r="AE1212" s="31">
        <f>IF($Y1212="",0,$Y1212)</f>
        <v/>
      </c>
    </row>
    <row r="1213">
      <c r="W1213" s="31">
        <f>IF(OR($B$5="",$C$6="",ROW()&lt;$B$5),"",IF(INDEX($A:$U,ROW(),$C$6)="","",INDEX($A:$U,ROW(),$C$6)))</f>
        <v/>
      </c>
      <c r="X1213" s="32">
        <f>IF($W1213="","",IF(ISNUMBER($W1213),IF($W1213&gt;=10000000,IFERROR(DATE(INT($W1213/10000),MOD(INT($W1213/100),100),MOD($W1213,100)),""),INT($W1213)),IFERROR(DATE(--LEFT(LEFT(SUBSTITUTE(SUBSTITUTE(SUBSTITUTE(SUBSTITUTE(TRIM($W1213),"-",""),".",""),"/","")," ",""),8),4),--MID(LEFT(SUBSTITUTE(SUBSTITUTE(SUBSTITUTE(SUBSTITUTE(TRIM($W1213),"-",""),".",""),"/","")," ",""),8),5,2),--MID(LEFT(SUBSTITUTE(SUBSTITUTE(SUBSTITUTE(SUBSTITUTE(TRIM($W1213),"-",""),".",""),"/","")," ",""),8),7,2)),"")))</f>
        <v/>
      </c>
      <c r="Y1213" s="32">
        <f>IF($X1213="","",INT($X1213))</f>
        <v/>
      </c>
      <c r="Z1213" s="33">
        <f>IF(OR($Y1213="",$D$6=""),"",IF(INDEX($A:$U,ROW(),$D$6)="",0,IF(ISNUMBER(INDEX($A:$U,ROW(),$D$6)),INDEX($A:$U,ROW(),$D$6),IFERROR(--SUBSTITUTE(SUBSTITUTE(TRIM(INDEX($A:$U,ROW(),$D$6)),",",""),"원",""),0))))</f>
        <v/>
      </c>
      <c r="AA1213" s="31">
        <f>IF($Y1213="","",TRIM(INDEX($A:$U,ROW(),$E$6)&amp;IF($F$6="",""," "&amp;INDEX($A:$U,ROW(),$F$6))))</f>
        <v/>
      </c>
      <c r="AB1213" s="31">
        <f>IF($AA1213="","",SUBSTITUTE(SUBSTITUTE(SUBSTITUTE(SUBSTITUTE(SUBSTITUTE(SUBSTITUTE(SUBSTITUTE(SUBSTITUTE(SUBSTITUTE($AA1213," ",""),"　",""),"(주)",""),"（주）",""),"㈜",""),"주식회사",""),"(유)",""),"（유）",""),"유한회사",""))</f>
        <v/>
      </c>
      <c r="AC1213" s="31">
        <f>IF(OR($Y1213="",N($Z1213)&lt;=0,$AB1213=""),0,IFERROR(LOOKUP(2,1/((거래처별!$AC$8:$AC$307&lt;&gt;"")*ISNUMBER(SEARCH(거래처별!$AC$8:$AC$307,$AB1213))),거래처별!$A$8:$A$307),IFERROR(LOOKUP(2,1/((거래처별!$AD$8:$AD$307&lt;&gt;"")*ISNUMBER(SEARCH(거래처별!$AD$8:$AD$307,$AB1213))),거래처별!$A$8:$A$307),IFERROR(LOOKUP(2,1/((거래처별!$AE$8:$AE$307&lt;&gt;"")*ISNUMBER(SEARCH(거래처별!$AE$8:$AE$307,$AB1213))),거래처별!$A$8:$A$307),0))))</f>
        <v/>
      </c>
      <c r="AD1213" s="31">
        <f>IF(AND($Y1213&lt;&gt;"",N($Z1213)&gt;0,$AC1213=0),MAX($AD$7:$AD1212)+1,"")</f>
        <v/>
      </c>
      <c r="AE1213" s="31">
        <f>IF($Y1213="",0,$Y1213)</f>
        <v/>
      </c>
    </row>
    <row r="1214">
      <c r="W1214" s="31">
        <f>IF(OR($B$5="",$C$6="",ROW()&lt;$B$5),"",IF(INDEX($A:$U,ROW(),$C$6)="","",INDEX($A:$U,ROW(),$C$6)))</f>
        <v/>
      </c>
      <c r="X1214" s="32">
        <f>IF($W1214="","",IF(ISNUMBER($W1214),IF($W1214&gt;=10000000,IFERROR(DATE(INT($W1214/10000),MOD(INT($W1214/100),100),MOD($W1214,100)),""),INT($W1214)),IFERROR(DATE(--LEFT(LEFT(SUBSTITUTE(SUBSTITUTE(SUBSTITUTE(SUBSTITUTE(TRIM($W1214),"-",""),".",""),"/","")," ",""),8),4),--MID(LEFT(SUBSTITUTE(SUBSTITUTE(SUBSTITUTE(SUBSTITUTE(TRIM($W1214),"-",""),".",""),"/","")," ",""),8),5,2),--MID(LEFT(SUBSTITUTE(SUBSTITUTE(SUBSTITUTE(SUBSTITUTE(TRIM($W1214),"-",""),".",""),"/","")," ",""),8),7,2)),"")))</f>
        <v/>
      </c>
      <c r="Y1214" s="32">
        <f>IF($X1214="","",INT($X1214))</f>
        <v/>
      </c>
      <c r="Z1214" s="33">
        <f>IF(OR($Y1214="",$D$6=""),"",IF(INDEX($A:$U,ROW(),$D$6)="",0,IF(ISNUMBER(INDEX($A:$U,ROW(),$D$6)),INDEX($A:$U,ROW(),$D$6),IFERROR(--SUBSTITUTE(SUBSTITUTE(TRIM(INDEX($A:$U,ROW(),$D$6)),",",""),"원",""),0))))</f>
        <v/>
      </c>
      <c r="AA1214" s="31">
        <f>IF($Y1214="","",TRIM(INDEX($A:$U,ROW(),$E$6)&amp;IF($F$6="",""," "&amp;INDEX($A:$U,ROW(),$F$6))))</f>
        <v/>
      </c>
      <c r="AB1214" s="31">
        <f>IF($AA1214="","",SUBSTITUTE(SUBSTITUTE(SUBSTITUTE(SUBSTITUTE(SUBSTITUTE(SUBSTITUTE(SUBSTITUTE(SUBSTITUTE(SUBSTITUTE($AA1214," ",""),"　",""),"(주)",""),"（주）",""),"㈜",""),"주식회사",""),"(유)",""),"（유）",""),"유한회사",""))</f>
        <v/>
      </c>
      <c r="AC1214" s="31">
        <f>IF(OR($Y1214="",N($Z1214)&lt;=0,$AB1214=""),0,IFERROR(LOOKUP(2,1/((거래처별!$AC$8:$AC$307&lt;&gt;"")*ISNUMBER(SEARCH(거래처별!$AC$8:$AC$307,$AB1214))),거래처별!$A$8:$A$307),IFERROR(LOOKUP(2,1/((거래처별!$AD$8:$AD$307&lt;&gt;"")*ISNUMBER(SEARCH(거래처별!$AD$8:$AD$307,$AB1214))),거래처별!$A$8:$A$307),IFERROR(LOOKUP(2,1/((거래처별!$AE$8:$AE$307&lt;&gt;"")*ISNUMBER(SEARCH(거래처별!$AE$8:$AE$307,$AB1214))),거래처별!$A$8:$A$307),0))))</f>
        <v/>
      </c>
      <c r="AD1214" s="31">
        <f>IF(AND($Y1214&lt;&gt;"",N($Z1214)&gt;0,$AC1214=0),MAX($AD$7:$AD1213)+1,"")</f>
        <v/>
      </c>
      <c r="AE1214" s="31">
        <f>IF($Y1214="",0,$Y1214)</f>
        <v/>
      </c>
    </row>
    <row r="1215">
      <c r="W1215" s="31">
        <f>IF(OR($B$5="",$C$6="",ROW()&lt;$B$5),"",IF(INDEX($A:$U,ROW(),$C$6)="","",INDEX($A:$U,ROW(),$C$6)))</f>
        <v/>
      </c>
      <c r="X1215" s="32">
        <f>IF($W1215="","",IF(ISNUMBER($W1215),IF($W1215&gt;=10000000,IFERROR(DATE(INT($W1215/10000),MOD(INT($W1215/100),100),MOD($W1215,100)),""),INT($W1215)),IFERROR(DATE(--LEFT(LEFT(SUBSTITUTE(SUBSTITUTE(SUBSTITUTE(SUBSTITUTE(TRIM($W1215),"-",""),".",""),"/","")," ",""),8),4),--MID(LEFT(SUBSTITUTE(SUBSTITUTE(SUBSTITUTE(SUBSTITUTE(TRIM($W1215),"-",""),".",""),"/","")," ",""),8),5,2),--MID(LEFT(SUBSTITUTE(SUBSTITUTE(SUBSTITUTE(SUBSTITUTE(TRIM($W1215),"-",""),".",""),"/","")," ",""),8),7,2)),"")))</f>
        <v/>
      </c>
      <c r="Y1215" s="32">
        <f>IF($X1215="","",INT($X1215))</f>
        <v/>
      </c>
      <c r="Z1215" s="33">
        <f>IF(OR($Y1215="",$D$6=""),"",IF(INDEX($A:$U,ROW(),$D$6)="",0,IF(ISNUMBER(INDEX($A:$U,ROW(),$D$6)),INDEX($A:$U,ROW(),$D$6),IFERROR(--SUBSTITUTE(SUBSTITUTE(TRIM(INDEX($A:$U,ROW(),$D$6)),",",""),"원",""),0))))</f>
        <v/>
      </c>
      <c r="AA1215" s="31">
        <f>IF($Y1215="","",TRIM(INDEX($A:$U,ROW(),$E$6)&amp;IF($F$6="",""," "&amp;INDEX($A:$U,ROW(),$F$6))))</f>
        <v/>
      </c>
      <c r="AB1215" s="31">
        <f>IF($AA1215="","",SUBSTITUTE(SUBSTITUTE(SUBSTITUTE(SUBSTITUTE(SUBSTITUTE(SUBSTITUTE(SUBSTITUTE(SUBSTITUTE(SUBSTITUTE($AA1215," ",""),"　",""),"(주)",""),"（주）",""),"㈜",""),"주식회사",""),"(유)",""),"（유）",""),"유한회사",""))</f>
        <v/>
      </c>
      <c r="AC1215" s="31">
        <f>IF(OR($Y1215="",N($Z1215)&lt;=0,$AB1215=""),0,IFERROR(LOOKUP(2,1/((거래처별!$AC$8:$AC$307&lt;&gt;"")*ISNUMBER(SEARCH(거래처별!$AC$8:$AC$307,$AB1215))),거래처별!$A$8:$A$307),IFERROR(LOOKUP(2,1/((거래처별!$AD$8:$AD$307&lt;&gt;"")*ISNUMBER(SEARCH(거래처별!$AD$8:$AD$307,$AB1215))),거래처별!$A$8:$A$307),IFERROR(LOOKUP(2,1/((거래처별!$AE$8:$AE$307&lt;&gt;"")*ISNUMBER(SEARCH(거래처별!$AE$8:$AE$307,$AB1215))),거래처별!$A$8:$A$307),0))))</f>
        <v/>
      </c>
      <c r="AD1215" s="31">
        <f>IF(AND($Y1215&lt;&gt;"",N($Z1215)&gt;0,$AC1215=0),MAX($AD$7:$AD1214)+1,"")</f>
        <v/>
      </c>
      <c r="AE1215" s="31">
        <f>IF($Y1215="",0,$Y1215)</f>
        <v/>
      </c>
    </row>
    <row r="1216">
      <c r="W1216" s="31">
        <f>IF(OR($B$5="",$C$6="",ROW()&lt;$B$5),"",IF(INDEX($A:$U,ROW(),$C$6)="","",INDEX($A:$U,ROW(),$C$6)))</f>
        <v/>
      </c>
      <c r="X1216" s="32">
        <f>IF($W1216="","",IF(ISNUMBER($W1216),IF($W1216&gt;=10000000,IFERROR(DATE(INT($W1216/10000),MOD(INT($W1216/100),100),MOD($W1216,100)),""),INT($W1216)),IFERROR(DATE(--LEFT(LEFT(SUBSTITUTE(SUBSTITUTE(SUBSTITUTE(SUBSTITUTE(TRIM($W1216),"-",""),".",""),"/","")," ",""),8),4),--MID(LEFT(SUBSTITUTE(SUBSTITUTE(SUBSTITUTE(SUBSTITUTE(TRIM($W1216),"-",""),".",""),"/","")," ",""),8),5,2),--MID(LEFT(SUBSTITUTE(SUBSTITUTE(SUBSTITUTE(SUBSTITUTE(TRIM($W1216),"-",""),".",""),"/","")," ",""),8),7,2)),"")))</f>
        <v/>
      </c>
      <c r="Y1216" s="32">
        <f>IF($X1216="","",INT($X1216))</f>
        <v/>
      </c>
      <c r="Z1216" s="33">
        <f>IF(OR($Y1216="",$D$6=""),"",IF(INDEX($A:$U,ROW(),$D$6)="",0,IF(ISNUMBER(INDEX($A:$U,ROW(),$D$6)),INDEX($A:$U,ROW(),$D$6),IFERROR(--SUBSTITUTE(SUBSTITUTE(TRIM(INDEX($A:$U,ROW(),$D$6)),",",""),"원",""),0))))</f>
        <v/>
      </c>
      <c r="AA1216" s="31">
        <f>IF($Y1216="","",TRIM(INDEX($A:$U,ROW(),$E$6)&amp;IF($F$6="",""," "&amp;INDEX($A:$U,ROW(),$F$6))))</f>
        <v/>
      </c>
      <c r="AB1216" s="31">
        <f>IF($AA1216="","",SUBSTITUTE(SUBSTITUTE(SUBSTITUTE(SUBSTITUTE(SUBSTITUTE(SUBSTITUTE(SUBSTITUTE(SUBSTITUTE(SUBSTITUTE($AA1216," ",""),"　",""),"(주)",""),"（주）",""),"㈜",""),"주식회사",""),"(유)",""),"（유）",""),"유한회사",""))</f>
        <v/>
      </c>
      <c r="AC1216" s="31">
        <f>IF(OR($Y1216="",N($Z1216)&lt;=0,$AB1216=""),0,IFERROR(LOOKUP(2,1/((거래처별!$AC$8:$AC$307&lt;&gt;"")*ISNUMBER(SEARCH(거래처별!$AC$8:$AC$307,$AB1216))),거래처별!$A$8:$A$307),IFERROR(LOOKUP(2,1/((거래처별!$AD$8:$AD$307&lt;&gt;"")*ISNUMBER(SEARCH(거래처별!$AD$8:$AD$307,$AB1216))),거래처별!$A$8:$A$307),IFERROR(LOOKUP(2,1/((거래처별!$AE$8:$AE$307&lt;&gt;"")*ISNUMBER(SEARCH(거래처별!$AE$8:$AE$307,$AB1216))),거래처별!$A$8:$A$307),0))))</f>
        <v/>
      </c>
      <c r="AD1216" s="31">
        <f>IF(AND($Y1216&lt;&gt;"",N($Z1216)&gt;0,$AC1216=0),MAX($AD$7:$AD1215)+1,"")</f>
        <v/>
      </c>
      <c r="AE1216" s="31">
        <f>IF($Y1216="",0,$Y1216)</f>
        <v/>
      </c>
    </row>
    <row r="1217">
      <c r="W1217" s="31">
        <f>IF(OR($B$5="",$C$6="",ROW()&lt;$B$5),"",IF(INDEX($A:$U,ROW(),$C$6)="","",INDEX($A:$U,ROW(),$C$6)))</f>
        <v/>
      </c>
      <c r="X1217" s="32">
        <f>IF($W1217="","",IF(ISNUMBER($W1217),IF($W1217&gt;=10000000,IFERROR(DATE(INT($W1217/10000),MOD(INT($W1217/100),100),MOD($W1217,100)),""),INT($W1217)),IFERROR(DATE(--LEFT(LEFT(SUBSTITUTE(SUBSTITUTE(SUBSTITUTE(SUBSTITUTE(TRIM($W1217),"-",""),".",""),"/","")," ",""),8),4),--MID(LEFT(SUBSTITUTE(SUBSTITUTE(SUBSTITUTE(SUBSTITUTE(TRIM($W1217),"-",""),".",""),"/","")," ",""),8),5,2),--MID(LEFT(SUBSTITUTE(SUBSTITUTE(SUBSTITUTE(SUBSTITUTE(TRIM($W1217),"-",""),".",""),"/","")," ",""),8),7,2)),"")))</f>
        <v/>
      </c>
      <c r="Y1217" s="32">
        <f>IF($X1217="","",INT($X1217))</f>
        <v/>
      </c>
      <c r="Z1217" s="33">
        <f>IF(OR($Y1217="",$D$6=""),"",IF(INDEX($A:$U,ROW(),$D$6)="",0,IF(ISNUMBER(INDEX($A:$U,ROW(),$D$6)),INDEX($A:$U,ROW(),$D$6),IFERROR(--SUBSTITUTE(SUBSTITUTE(TRIM(INDEX($A:$U,ROW(),$D$6)),",",""),"원",""),0))))</f>
        <v/>
      </c>
      <c r="AA1217" s="31">
        <f>IF($Y1217="","",TRIM(INDEX($A:$U,ROW(),$E$6)&amp;IF($F$6="",""," "&amp;INDEX($A:$U,ROW(),$F$6))))</f>
        <v/>
      </c>
      <c r="AB1217" s="31">
        <f>IF($AA1217="","",SUBSTITUTE(SUBSTITUTE(SUBSTITUTE(SUBSTITUTE(SUBSTITUTE(SUBSTITUTE(SUBSTITUTE(SUBSTITUTE(SUBSTITUTE($AA1217," ",""),"　",""),"(주)",""),"（주）",""),"㈜",""),"주식회사",""),"(유)",""),"（유）",""),"유한회사",""))</f>
        <v/>
      </c>
      <c r="AC1217" s="31">
        <f>IF(OR($Y1217="",N($Z1217)&lt;=0,$AB1217=""),0,IFERROR(LOOKUP(2,1/((거래처별!$AC$8:$AC$307&lt;&gt;"")*ISNUMBER(SEARCH(거래처별!$AC$8:$AC$307,$AB1217))),거래처별!$A$8:$A$307),IFERROR(LOOKUP(2,1/((거래처별!$AD$8:$AD$307&lt;&gt;"")*ISNUMBER(SEARCH(거래처별!$AD$8:$AD$307,$AB1217))),거래처별!$A$8:$A$307),IFERROR(LOOKUP(2,1/((거래처별!$AE$8:$AE$307&lt;&gt;"")*ISNUMBER(SEARCH(거래처별!$AE$8:$AE$307,$AB1217))),거래처별!$A$8:$A$307),0))))</f>
        <v/>
      </c>
      <c r="AD1217" s="31">
        <f>IF(AND($Y1217&lt;&gt;"",N($Z1217)&gt;0,$AC1217=0),MAX($AD$7:$AD1216)+1,"")</f>
        <v/>
      </c>
      <c r="AE1217" s="31">
        <f>IF($Y1217="",0,$Y1217)</f>
        <v/>
      </c>
    </row>
    <row r="1218">
      <c r="W1218" s="31">
        <f>IF(OR($B$5="",$C$6="",ROW()&lt;$B$5),"",IF(INDEX($A:$U,ROW(),$C$6)="","",INDEX($A:$U,ROW(),$C$6)))</f>
        <v/>
      </c>
      <c r="X1218" s="32">
        <f>IF($W1218="","",IF(ISNUMBER($W1218),IF($W1218&gt;=10000000,IFERROR(DATE(INT($W1218/10000),MOD(INT($W1218/100),100),MOD($W1218,100)),""),INT($W1218)),IFERROR(DATE(--LEFT(LEFT(SUBSTITUTE(SUBSTITUTE(SUBSTITUTE(SUBSTITUTE(TRIM($W1218),"-",""),".",""),"/","")," ",""),8),4),--MID(LEFT(SUBSTITUTE(SUBSTITUTE(SUBSTITUTE(SUBSTITUTE(TRIM($W1218),"-",""),".",""),"/","")," ",""),8),5,2),--MID(LEFT(SUBSTITUTE(SUBSTITUTE(SUBSTITUTE(SUBSTITUTE(TRIM($W1218),"-",""),".",""),"/","")," ",""),8),7,2)),"")))</f>
        <v/>
      </c>
      <c r="Y1218" s="32">
        <f>IF($X1218="","",INT($X1218))</f>
        <v/>
      </c>
      <c r="Z1218" s="33">
        <f>IF(OR($Y1218="",$D$6=""),"",IF(INDEX($A:$U,ROW(),$D$6)="",0,IF(ISNUMBER(INDEX($A:$U,ROW(),$D$6)),INDEX($A:$U,ROW(),$D$6),IFERROR(--SUBSTITUTE(SUBSTITUTE(TRIM(INDEX($A:$U,ROW(),$D$6)),",",""),"원",""),0))))</f>
        <v/>
      </c>
      <c r="AA1218" s="31">
        <f>IF($Y1218="","",TRIM(INDEX($A:$U,ROW(),$E$6)&amp;IF($F$6="",""," "&amp;INDEX($A:$U,ROW(),$F$6))))</f>
        <v/>
      </c>
      <c r="AB1218" s="31">
        <f>IF($AA1218="","",SUBSTITUTE(SUBSTITUTE(SUBSTITUTE(SUBSTITUTE(SUBSTITUTE(SUBSTITUTE(SUBSTITUTE(SUBSTITUTE(SUBSTITUTE($AA1218," ",""),"　",""),"(주)",""),"（주）",""),"㈜",""),"주식회사",""),"(유)",""),"（유）",""),"유한회사",""))</f>
        <v/>
      </c>
      <c r="AC1218" s="31">
        <f>IF(OR($Y1218="",N($Z1218)&lt;=0,$AB1218=""),0,IFERROR(LOOKUP(2,1/((거래처별!$AC$8:$AC$307&lt;&gt;"")*ISNUMBER(SEARCH(거래처별!$AC$8:$AC$307,$AB1218))),거래처별!$A$8:$A$307),IFERROR(LOOKUP(2,1/((거래처별!$AD$8:$AD$307&lt;&gt;"")*ISNUMBER(SEARCH(거래처별!$AD$8:$AD$307,$AB1218))),거래처별!$A$8:$A$307),IFERROR(LOOKUP(2,1/((거래처별!$AE$8:$AE$307&lt;&gt;"")*ISNUMBER(SEARCH(거래처별!$AE$8:$AE$307,$AB1218))),거래처별!$A$8:$A$307),0))))</f>
        <v/>
      </c>
      <c r="AD1218" s="31">
        <f>IF(AND($Y1218&lt;&gt;"",N($Z1218)&gt;0,$AC1218=0),MAX($AD$7:$AD1217)+1,"")</f>
        <v/>
      </c>
      <c r="AE1218" s="31">
        <f>IF($Y1218="",0,$Y1218)</f>
        <v/>
      </c>
    </row>
    <row r="1219">
      <c r="W1219" s="31">
        <f>IF(OR($B$5="",$C$6="",ROW()&lt;$B$5),"",IF(INDEX($A:$U,ROW(),$C$6)="","",INDEX($A:$U,ROW(),$C$6)))</f>
        <v/>
      </c>
      <c r="X1219" s="32">
        <f>IF($W1219="","",IF(ISNUMBER($W1219),IF($W1219&gt;=10000000,IFERROR(DATE(INT($W1219/10000),MOD(INT($W1219/100),100),MOD($W1219,100)),""),INT($W1219)),IFERROR(DATE(--LEFT(LEFT(SUBSTITUTE(SUBSTITUTE(SUBSTITUTE(SUBSTITUTE(TRIM($W1219),"-",""),".",""),"/","")," ",""),8),4),--MID(LEFT(SUBSTITUTE(SUBSTITUTE(SUBSTITUTE(SUBSTITUTE(TRIM($W1219),"-",""),".",""),"/","")," ",""),8),5,2),--MID(LEFT(SUBSTITUTE(SUBSTITUTE(SUBSTITUTE(SUBSTITUTE(TRIM($W1219),"-",""),".",""),"/","")," ",""),8),7,2)),"")))</f>
        <v/>
      </c>
      <c r="Y1219" s="32">
        <f>IF($X1219="","",INT($X1219))</f>
        <v/>
      </c>
      <c r="Z1219" s="33">
        <f>IF(OR($Y1219="",$D$6=""),"",IF(INDEX($A:$U,ROW(),$D$6)="",0,IF(ISNUMBER(INDEX($A:$U,ROW(),$D$6)),INDEX($A:$U,ROW(),$D$6),IFERROR(--SUBSTITUTE(SUBSTITUTE(TRIM(INDEX($A:$U,ROW(),$D$6)),",",""),"원",""),0))))</f>
        <v/>
      </c>
      <c r="AA1219" s="31">
        <f>IF($Y1219="","",TRIM(INDEX($A:$U,ROW(),$E$6)&amp;IF($F$6="",""," "&amp;INDEX($A:$U,ROW(),$F$6))))</f>
        <v/>
      </c>
      <c r="AB1219" s="31">
        <f>IF($AA1219="","",SUBSTITUTE(SUBSTITUTE(SUBSTITUTE(SUBSTITUTE(SUBSTITUTE(SUBSTITUTE(SUBSTITUTE(SUBSTITUTE(SUBSTITUTE($AA1219," ",""),"　",""),"(주)",""),"（주）",""),"㈜",""),"주식회사",""),"(유)",""),"（유）",""),"유한회사",""))</f>
        <v/>
      </c>
      <c r="AC1219" s="31">
        <f>IF(OR($Y1219="",N($Z1219)&lt;=0,$AB1219=""),0,IFERROR(LOOKUP(2,1/((거래처별!$AC$8:$AC$307&lt;&gt;"")*ISNUMBER(SEARCH(거래처별!$AC$8:$AC$307,$AB1219))),거래처별!$A$8:$A$307),IFERROR(LOOKUP(2,1/((거래처별!$AD$8:$AD$307&lt;&gt;"")*ISNUMBER(SEARCH(거래처별!$AD$8:$AD$307,$AB1219))),거래처별!$A$8:$A$307),IFERROR(LOOKUP(2,1/((거래처별!$AE$8:$AE$307&lt;&gt;"")*ISNUMBER(SEARCH(거래처별!$AE$8:$AE$307,$AB1219))),거래처별!$A$8:$A$307),0))))</f>
        <v/>
      </c>
      <c r="AD1219" s="31">
        <f>IF(AND($Y1219&lt;&gt;"",N($Z1219)&gt;0,$AC1219=0),MAX($AD$7:$AD1218)+1,"")</f>
        <v/>
      </c>
      <c r="AE1219" s="31">
        <f>IF($Y1219="",0,$Y1219)</f>
        <v/>
      </c>
    </row>
    <row r="1220">
      <c r="W1220" s="31">
        <f>IF(OR($B$5="",$C$6="",ROW()&lt;$B$5),"",IF(INDEX($A:$U,ROW(),$C$6)="","",INDEX($A:$U,ROW(),$C$6)))</f>
        <v/>
      </c>
      <c r="X1220" s="32">
        <f>IF($W1220="","",IF(ISNUMBER($W1220),IF($W1220&gt;=10000000,IFERROR(DATE(INT($W1220/10000),MOD(INT($W1220/100),100),MOD($W1220,100)),""),INT($W1220)),IFERROR(DATE(--LEFT(LEFT(SUBSTITUTE(SUBSTITUTE(SUBSTITUTE(SUBSTITUTE(TRIM($W1220),"-",""),".",""),"/","")," ",""),8),4),--MID(LEFT(SUBSTITUTE(SUBSTITUTE(SUBSTITUTE(SUBSTITUTE(TRIM($W1220),"-",""),".",""),"/","")," ",""),8),5,2),--MID(LEFT(SUBSTITUTE(SUBSTITUTE(SUBSTITUTE(SUBSTITUTE(TRIM($W1220),"-",""),".",""),"/","")," ",""),8),7,2)),"")))</f>
        <v/>
      </c>
      <c r="Y1220" s="32">
        <f>IF($X1220="","",INT($X1220))</f>
        <v/>
      </c>
      <c r="Z1220" s="33">
        <f>IF(OR($Y1220="",$D$6=""),"",IF(INDEX($A:$U,ROW(),$D$6)="",0,IF(ISNUMBER(INDEX($A:$U,ROW(),$D$6)),INDEX($A:$U,ROW(),$D$6),IFERROR(--SUBSTITUTE(SUBSTITUTE(TRIM(INDEX($A:$U,ROW(),$D$6)),",",""),"원",""),0))))</f>
        <v/>
      </c>
      <c r="AA1220" s="31">
        <f>IF($Y1220="","",TRIM(INDEX($A:$U,ROW(),$E$6)&amp;IF($F$6="",""," "&amp;INDEX($A:$U,ROW(),$F$6))))</f>
        <v/>
      </c>
      <c r="AB1220" s="31">
        <f>IF($AA1220="","",SUBSTITUTE(SUBSTITUTE(SUBSTITUTE(SUBSTITUTE(SUBSTITUTE(SUBSTITUTE(SUBSTITUTE(SUBSTITUTE(SUBSTITUTE($AA1220," ",""),"　",""),"(주)",""),"（주）",""),"㈜",""),"주식회사",""),"(유)",""),"（유）",""),"유한회사",""))</f>
        <v/>
      </c>
      <c r="AC1220" s="31">
        <f>IF(OR($Y1220="",N($Z1220)&lt;=0,$AB1220=""),0,IFERROR(LOOKUP(2,1/((거래처별!$AC$8:$AC$307&lt;&gt;"")*ISNUMBER(SEARCH(거래처별!$AC$8:$AC$307,$AB1220))),거래처별!$A$8:$A$307),IFERROR(LOOKUP(2,1/((거래처별!$AD$8:$AD$307&lt;&gt;"")*ISNUMBER(SEARCH(거래처별!$AD$8:$AD$307,$AB1220))),거래처별!$A$8:$A$307),IFERROR(LOOKUP(2,1/((거래처별!$AE$8:$AE$307&lt;&gt;"")*ISNUMBER(SEARCH(거래처별!$AE$8:$AE$307,$AB1220))),거래처별!$A$8:$A$307),0))))</f>
        <v/>
      </c>
      <c r="AD1220" s="31">
        <f>IF(AND($Y1220&lt;&gt;"",N($Z1220)&gt;0,$AC1220=0),MAX($AD$7:$AD1219)+1,"")</f>
        <v/>
      </c>
      <c r="AE1220" s="31">
        <f>IF($Y1220="",0,$Y1220)</f>
        <v/>
      </c>
    </row>
    <row r="1221">
      <c r="W1221" s="31">
        <f>IF(OR($B$5="",$C$6="",ROW()&lt;$B$5),"",IF(INDEX($A:$U,ROW(),$C$6)="","",INDEX($A:$U,ROW(),$C$6)))</f>
        <v/>
      </c>
      <c r="X1221" s="32">
        <f>IF($W1221="","",IF(ISNUMBER($W1221),IF($W1221&gt;=10000000,IFERROR(DATE(INT($W1221/10000),MOD(INT($W1221/100),100),MOD($W1221,100)),""),INT($W1221)),IFERROR(DATE(--LEFT(LEFT(SUBSTITUTE(SUBSTITUTE(SUBSTITUTE(SUBSTITUTE(TRIM($W1221),"-",""),".",""),"/","")," ",""),8),4),--MID(LEFT(SUBSTITUTE(SUBSTITUTE(SUBSTITUTE(SUBSTITUTE(TRIM($W1221),"-",""),".",""),"/","")," ",""),8),5,2),--MID(LEFT(SUBSTITUTE(SUBSTITUTE(SUBSTITUTE(SUBSTITUTE(TRIM($W1221),"-",""),".",""),"/","")," ",""),8),7,2)),"")))</f>
        <v/>
      </c>
      <c r="Y1221" s="32">
        <f>IF($X1221="","",INT($X1221))</f>
        <v/>
      </c>
      <c r="Z1221" s="33">
        <f>IF(OR($Y1221="",$D$6=""),"",IF(INDEX($A:$U,ROW(),$D$6)="",0,IF(ISNUMBER(INDEX($A:$U,ROW(),$D$6)),INDEX($A:$U,ROW(),$D$6),IFERROR(--SUBSTITUTE(SUBSTITUTE(TRIM(INDEX($A:$U,ROW(),$D$6)),",",""),"원",""),0))))</f>
        <v/>
      </c>
      <c r="AA1221" s="31">
        <f>IF($Y1221="","",TRIM(INDEX($A:$U,ROW(),$E$6)&amp;IF($F$6="",""," "&amp;INDEX($A:$U,ROW(),$F$6))))</f>
        <v/>
      </c>
      <c r="AB1221" s="31">
        <f>IF($AA1221="","",SUBSTITUTE(SUBSTITUTE(SUBSTITUTE(SUBSTITUTE(SUBSTITUTE(SUBSTITUTE(SUBSTITUTE(SUBSTITUTE(SUBSTITUTE($AA1221," ",""),"　",""),"(주)",""),"（주）",""),"㈜",""),"주식회사",""),"(유)",""),"（유）",""),"유한회사",""))</f>
        <v/>
      </c>
      <c r="AC1221" s="31">
        <f>IF(OR($Y1221="",N($Z1221)&lt;=0,$AB1221=""),0,IFERROR(LOOKUP(2,1/((거래처별!$AC$8:$AC$307&lt;&gt;"")*ISNUMBER(SEARCH(거래처별!$AC$8:$AC$307,$AB1221))),거래처별!$A$8:$A$307),IFERROR(LOOKUP(2,1/((거래처별!$AD$8:$AD$307&lt;&gt;"")*ISNUMBER(SEARCH(거래처별!$AD$8:$AD$307,$AB1221))),거래처별!$A$8:$A$307),IFERROR(LOOKUP(2,1/((거래처별!$AE$8:$AE$307&lt;&gt;"")*ISNUMBER(SEARCH(거래처별!$AE$8:$AE$307,$AB1221))),거래처별!$A$8:$A$307),0))))</f>
        <v/>
      </c>
      <c r="AD1221" s="31">
        <f>IF(AND($Y1221&lt;&gt;"",N($Z1221)&gt;0,$AC1221=0),MAX($AD$7:$AD1220)+1,"")</f>
        <v/>
      </c>
      <c r="AE1221" s="31">
        <f>IF($Y1221="",0,$Y1221)</f>
        <v/>
      </c>
    </row>
    <row r="1222">
      <c r="W1222" s="31">
        <f>IF(OR($B$5="",$C$6="",ROW()&lt;$B$5),"",IF(INDEX($A:$U,ROW(),$C$6)="","",INDEX($A:$U,ROW(),$C$6)))</f>
        <v/>
      </c>
      <c r="X1222" s="32">
        <f>IF($W1222="","",IF(ISNUMBER($W1222),IF($W1222&gt;=10000000,IFERROR(DATE(INT($W1222/10000),MOD(INT($W1222/100),100),MOD($W1222,100)),""),INT($W1222)),IFERROR(DATE(--LEFT(LEFT(SUBSTITUTE(SUBSTITUTE(SUBSTITUTE(SUBSTITUTE(TRIM($W1222),"-",""),".",""),"/","")," ",""),8),4),--MID(LEFT(SUBSTITUTE(SUBSTITUTE(SUBSTITUTE(SUBSTITUTE(TRIM($W1222),"-",""),".",""),"/","")," ",""),8),5,2),--MID(LEFT(SUBSTITUTE(SUBSTITUTE(SUBSTITUTE(SUBSTITUTE(TRIM($W1222),"-",""),".",""),"/","")," ",""),8),7,2)),"")))</f>
        <v/>
      </c>
      <c r="Y1222" s="32">
        <f>IF($X1222="","",INT($X1222))</f>
        <v/>
      </c>
      <c r="Z1222" s="33">
        <f>IF(OR($Y1222="",$D$6=""),"",IF(INDEX($A:$U,ROW(),$D$6)="",0,IF(ISNUMBER(INDEX($A:$U,ROW(),$D$6)),INDEX($A:$U,ROW(),$D$6),IFERROR(--SUBSTITUTE(SUBSTITUTE(TRIM(INDEX($A:$U,ROW(),$D$6)),",",""),"원",""),0))))</f>
        <v/>
      </c>
      <c r="AA1222" s="31">
        <f>IF($Y1222="","",TRIM(INDEX($A:$U,ROW(),$E$6)&amp;IF($F$6="",""," "&amp;INDEX($A:$U,ROW(),$F$6))))</f>
        <v/>
      </c>
      <c r="AB1222" s="31">
        <f>IF($AA1222="","",SUBSTITUTE(SUBSTITUTE(SUBSTITUTE(SUBSTITUTE(SUBSTITUTE(SUBSTITUTE(SUBSTITUTE(SUBSTITUTE(SUBSTITUTE($AA1222," ",""),"　",""),"(주)",""),"（주）",""),"㈜",""),"주식회사",""),"(유)",""),"（유）",""),"유한회사",""))</f>
        <v/>
      </c>
      <c r="AC1222" s="31">
        <f>IF(OR($Y1222="",N($Z1222)&lt;=0,$AB1222=""),0,IFERROR(LOOKUP(2,1/((거래처별!$AC$8:$AC$307&lt;&gt;"")*ISNUMBER(SEARCH(거래처별!$AC$8:$AC$307,$AB1222))),거래처별!$A$8:$A$307),IFERROR(LOOKUP(2,1/((거래처별!$AD$8:$AD$307&lt;&gt;"")*ISNUMBER(SEARCH(거래처별!$AD$8:$AD$307,$AB1222))),거래처별!$A$8:$A$307),IFERROR(LOOKUP(2,1/((거래처별!$AE$8:$AE$307&lt;&gt;"")*ISNUMBER(SEARCH(거래처별!$AE$8:$AE$307,$AB1222))),거래처별!$A$8:$A$307),0))))</f>
        <v/>
      </c>
      <c r="AD1222" s="31">
        <f>IF(AND($Y1222&lt;&gt;"",N($Z1222)&gt;0,$AC1222=0),MAX($AD$7:$AD1221)+1,"")</f>
        <v/>
      </c>
      <c r="AE1222" s="31">
        <f>IF($Y1222="",0,$Y1222)</f>
        <v/>
      </c>
    </row>
    <row r="1223">
      <c r="W1223" s="31">
        <f>IF(OR($B$5="",$C$6="",ROW()&lt;$B$5),"",IF(INDEX($A:$U,ROW(),$C$6)="","",INDEX($A:$U,ROW(),$C$6)))</f>
        <v/>
      </c>
      <c r="X1223" s="32">
        <f>IF($W1223="","",IF(ISNUMBER($W1223),IF($W1223&gt;=10000000,IFERROR(DATE(INT($W1223/10000),MOD(INT($W1223/100),100),MOD($W1223,100)),""),INT($W1223)),IFERROR(DATE(--LEFT(LEFT(SUBSTITUTE(SUBSTITUTE(SUBSTITUTE(SUBSTITUTE(TRIM($W1223),"-",""),".",""),"/","")," ",""),8),4),--MID(LEFT(SUBSTITUTE(SUBSTITUTE(SUBSTITUTE(SUBSTITUTE(TRIM($W1223),"-",""),".",""),"/","")," ",""),8),5,2),--MID(LEFT(SUBSTITUTE(SUBSTITUTE(SUBSTITUTE(SUBSTITUTE(TRIM($W1223),"-",""),".",""),"/","")," ",""),8),7,2)),"")))</f>
        <v/>
      </c>
      <c r="Y1223" s="32">
        <f>IF($X1223="","",INT($X1223))</f>
        <v/>
      </c>
      <c r="Z1223" s="33">
        <f>IF(OR($Y1223="",$D$6=""),"",IF(INDEX($A:$U,ROW(),$D$6)="",0,IF(ISNUMBER(INDEX($A:$U,ROW(),$D$6)),INDEX($A:$U,ROW(),$D$6),IFERROR(--SUBSTITUTE(SUBSTITUTE(TRIM(INDEX($A:$U,ROW(),$D$6)),",",""),"원",""),0))))</f>
        <v/>
      </c>
      <c r="AA1223" s="31">
        <f>IF($Y1223="","",TRIM(INDEX($A:$U,ROW(),$E$6)&amp;IF($F$6="",""," "&amp;INDEX($A:$U,ROW(),$F$6))))</f>
        <v/>
      </c>
      <c r="AB1223" s="31">
        <f>IF($AA1223="","",SUBSTITUTE(SUBSTITUTE(SUBSTITUTE(SUBSTITUTE(SUBSTITUTE(SUBSTITUTE(SUBSTITUTE(SUBSTITUTE(SUBSTITUTE($AA1223," ",""),"　",""),"(주)",""),"（주）",""),"㈜",""),"주식회사",""),"(유)",""),"（유）",""),"유한회사",""))</f>
        <v/>
      </c>
      <c r="AC1223" s="31">
        <f>IF(OR($Y1223="",N($Z1223)&lt;=0,$AB1223=""),0,IFERROR(LOOKUP(2,1/((거래처별!$AC$8:$AC$307&lt;&gt;"")*ISNUMBER(SEARCH(거래처별!$AC$8:$AC$307,$AB1223))),거래처별!$A$8:$A$307),IFERROR(LOOKUP(2,1/((거래처별!$AD$8:$AD$307&lt;&gt;"")*ISNUMBER(SEARCH(거래처별!$AD$8:$AD$307,$AB1223))),거래처별!$A$8:$A$307),IFERROR(LOOKUP(2,1/((거래처별!$AE$8:$AE$307&lt;&gt;"")*ISNUMBER(SEARCH(거래처별!$AE$8:$AE$307,$AB1223))),거래처별!$A$8:$A$307),0))))</f>
        <v/>
      </c>
      <c r="AD1223" s="31">
        <f>IF(AND($Y1223&lt;&gt;"",N($Z1223)&gt;0,$AC1223=0),MAX($AD$7:$AD1222)+1,"")</f>
        <v/>
      </c>
      <c r="AE1223" s="31">
        <f>IF($Y1223="",0,$Y1223)</f>
        <v/>
      </c>
    </row>
    <row r="1224">
      <c r="W1224" s="31">
        <f>IF(OR($B$5="",$C$6="",ROW()&lt;$B$5),"",IF(INDEX($A:$U,ROW(),$C$6)="","",INDEX($A:$U,ROW(),$C$6)))</f>
        <v/>
      </c>
      <c r="X1224" s="32">
        <f>IF($W1224="","",IF(ISNUMBER($W1224),IF($W1224&gt;=10000000,IFERROR(DATE(INT($W1224/10000),MOD(INT($W1224/100),100),MOD($W1224,100)),""),INT($W1224)),IFERROR(DATE(--LEFT(LEFT(SUBSTITUTE(SUBSTITUTE(SUBSTITUTE(SUBSTITUTE(TRIM($W1224),"-",""),".",""),"/","")," ",""),8),4),--MID(LEFT(SUBSTITUTE(SUBSTITUTE(SUBSTITUTE(SUBSTITUTE(TRIM($W1224),"-",""),".",""),"/","")," ",""),8),5,2),--MID(LEFT(SUBSTITUTE(SUBSTITUTE(SUBSTITUTE(SUBSTITUTE(TRIM($W1224),"-",""),".",""),"/","")," ",""),8),7,2)),"")))</f>
        <v/>
      </c>
      <c r="Y1224" s="32">
        <f>IF($X1224="","",INT($X1224))</f>
        <v/>
      </c>
      <c r="Z1224" s="33">
        <f>IF(OR($Y1224="",$D$6=""),"",IF(INDEX($A:$U,ROW(),$D$6)="",0,IF(ISNUMBER(INDEX($A:$U,ROW(),$D$6)),INDEX($A:$U,ROW(),$D$6),IFERROR(--SUBSTITUTE(SUBSTITUTE(TRIM(INDEX($A:$U,ROW(),$D$6)),",",""),"원",""),0))))</f>
        <v/>
      </c>
      <c r="AA1224" s="31">
        <f>IF($Y1224="","",TRIM(INDEX($A:$U,ROW(),$E$6)&amp;IF($F$6="",""," "&amp;INDEX($A:$U,ROW(),$F$6))))</f>
        <v/>
      </c>
      <c r="AB1224" s="31">
        <f>IF($AA1224="","",SUBSTITUTE(SUBSTITUTE(SUBSTITUTE(SUBSTITUTE(SUBSTITUTE(SUBSTITUTE(SUBSTITUTE(SUBSTITUTE(SUBSTITUTE($AA1224," ",""),"　",""),"(주)",""),"（주）",""),"㈜",""),"주식회사",""),"(유)",""),"（유）",""),"유한회사",""))</f>
        <v/>
      </c>
      <c r="AC1224" s="31">
        <f>IF(OR($Y1224="",N($Z1224)&lt;=0,$AB1224=""),0,IFERROR(LOOKUP(2,1/((거래처별!$AC$8:$AC$307&lt;&gt;"")*ISNUMBER(SEARCH(거래처별!$AC$8:$AC$307,$AB1224))),거래처별!$A$8:$A$307),IFERROR(LOOKUP(2,1/((거래처별!$AD$8:$AD$307&lt;&gt;"")*ISNUMBER(SEARCH(거래처별!$AD$8:$AD$307,$AB1224))),거래처별!$A$8:$A$307),IFERROR(LOOKUP(2,1/((거래처별!$AE$8:$AE$307&lt;&gt;"")*ISNUMBER(SEARCH(거래처별!$AE$8:$AE$307,$AB1224))),거래처별!$A$8:$A$307),0))))</f>
        <v/>
      </c>
      <c r="AD1224" s="31">
        <f>IF(AND($Y1224&lt;&gt;"",N($Z1224)&gt;0,$AC1224=0),MAX($AD$7:$AD1223)+1,"")</f>
        <v/>
      </c>
      <c r="AE1224" s="31">
        <f>IF($Y1224="",0,$Y1224)</f>
        <v/>
      </c>
    </row>
    <row r="1225">
      <c r="W1225" s="31">
        <f>IF(OR($B$5="",$C$6="",ROW()&lt;$B$5),"",IF(INDEX($A:$U,ROW(),$C$6)="","",INDEX($A:$U,ROW(),$C$6)))</f>
        <v/>
      </c>
      <c r="X1225" s="32">
        <f>IF($W1225="","",IF(ISNUMBER($W1225),IF($W1225&gt;=10000000,IFERROR(DATE(INT($W1225/10000),MOD(INT($W1225/100),100),MOD($W1225,100)),""),INT($W1225)),IFERROR(DATE(--LEFT(LEFT(SUBSTITUTE(SUBSTITUTE(SUBSTITUTE(SUBSTITUTE(TRIM($W1225),"-",""),".",""),"/","")," ",""),8),4),--MID(LEFT(SUBSTITUTE(SUBSTITUTE(SUBSTITUTE(SUBSTITUTE(TRIM($W1225),"-",""),".",""),"/","")," ",""),8),5,2),--MID(LEFT(SUBSTITUTE(SUBSTITUTE(SUBSTITUTE(SUBSTITUTE(TRIM($W1225),"-",""),".",""),"/","")," ",""),8),7,2)),"")))</f>
        <v/>
      </c>
      <c r="Y1225" s="32">
        <f>IF($X1225="","",INT($X1225))</f>
        <v/>
      </c>
      <c r="Z1225" s="33">
        <f>IF(OR($Y1225="",$D$6=""),"",IF(INDEX($A:$U,ROW(),$D$6)="",0,IF(ISNUMBER(INDEX($A:$U,ROW(),$D$6)),INDEX($A:$U,ROW(),$D$6),IFERROR(--SUBSTITUTE(SUBSTITUTE(TRIM(INDEX($A:$U,ROW(),$D$6)),",",""),"원",""),0))))</f>
        <v/>
      </c>
      <c r="AA1225" s="31">
        <f>IF($Y1225="","",TRIM(INDEX($A:$U,ROW(),$E$6)&amp;IF($F$6="",""," "&amp;INDEX($A:$U,ROW(),$F$6))))</f>
        <v/>
      </c>
      <c r="AB1225" s="31">
        <f>IF($AA1225="","",SUBSTITUTE(SUBSTITUTE(SUBSTITUTE(SUBSTITUTE(SUBSTITUTE(SUBSTITUTE(SUBSTITUTE(SUBSTITUTE(SUBSTITUTE($AA1225," ",""),"　",""),"(주)",""),"（주）",""),"㈜",""),"주식회사",""),"(유)",""),"（유）",""),"유한회사",""))</f>
        <v/>
      </c>
      <c r="AC1225" s="31">
        <f>IF(OR($Y1225="",N($Z1225)&lt;=0,$AB1225=""),0,IFERROR(LOOKUP(2,1/((거래처별!$AC$8:$AC$307&lt;&gt;"")*ISNUMBER(SEARCH(거래처별!$AC$8:$AC$307,$AB1225))),거래처별!$A$8:$A$307),IFERROR(LOOKUP(2,1/((거래처별!$AD$8:$AD$307&lt;&gt;"")*ISNUMBER(SEARCH(거래처별!$AD$8:$AD$307,$AB1225))),거래처별!$A$8:$A$307),IFERROR(LOOKUP(2,1/((거래처별!$AE$8:$AE$307&lt;&gt;"")*ISNUMBER(SEARCH(거래처별!$AE$8:$AE$307,$AB1225))),거래처별!$A$8:$A$307),0))))</f>
        <v/>
      </c>
      <c r="AD1225" s="31">
        <f>IF(AND($Y1225&lt;&gt;"",N($Z1225)&gt;0,$AC1225=0),MAX($AD$7:$AD1224)+1,"")</f>
        <v/>
      </c>
      <c r="AE1225" s="31">
        <f>IF($Y1225="",0,$Y1225)</f>
        <v/>
      </c>
    </row>
    <row r="1226">
      <c r="W1226" s="31">
        <f>IF(OR($B$5="",$C$6="",ROW()&lt;$B$5),"",IF(INDEX($A:$U,ROW(),$C$6)="","",INDEX($A:$U,ROW(),$C$6)))</f>
        <v/>
      </c>
      <c r="X1226" s="32">
        <f>IF($W1226="","",IF(ISNUMBER($W1226),IF($W1226&gt;=10000000,IFERROR(DATE(INT($W1226/10000),MOD(INT($W1226/100),100),MOD($W1226,100)),""),INT($W1226)),IFERROR(DATE(--LEFT(LEFT(SUBSTITUTE(SUBSTITUTE(SUBSTITUTE(SUBSTITUTE(TRIM($W1226),"-",""),".",""),"/","")," ",""),8),4),--MID(LEFT(SUBSTITUTE(SUBSTITUTE(SUBSTITUTE(SUBSTITUTE(TRIM($W1226),"-",""),".",""),"/","")," ",""),8),5,2),--MID(LEFT(SUBSTITUTE(SUBSTITUTE(SUBSTITUTE(SUBSTITUTE(TRIM($W1226),"-",""),".",""),"/","")," ",""),8),7,2)),"")))</f>
        <v/>
      </c>
      <c r="Y1226" s="32">
        <f>IF($X1226="","",INT($X1226))</f>
        <v/>
      </c>
      <c r="Z1226" s="33">
        <f>IF(OR($Y1226="",$D$6=""),"",IF(INDEX($A:$U,ROW(),$D$6)="",0,IF(ISNUMBER(INDEX($A:$U,ROW(),$D$6)),INDEX($A:$U,ROW(),$D$6),IFERROR(--SUBSTITUTE(SUBSTITUTE(TRIM(INDEX($A:$U,ROW(),$D$6)),",",""),"원",""),0))))</f>
        <v/>
      </c>
      <c r="AA1226" s="31">
        <f>IF($Y1226="","",TRIM(INDEX($A:$U,ROW(),$E$6)&amp;IF($F$6="",""," "&amp;INDEX($A:$U,ROW(),$F$6))))</f>
        <v/>
      </c>
      <c r="AB1226" s="31">
        <f>IF($AA1226="","",SUBSTITUTE(SUBSTITUTE(SUBSTITUTE(SUBSTITUTE(SUBSTITUTE(SUBSTITUTE(SUBSTITUTE(SUBSTITUTE(SUBSTITUTE($AA1226," ",""),"　",""),"(주)",""),"（주）",""),"㈜",""),"주식회사",""),"(유)",""),"（유）",""),"유한회사",""))</f>
        <v/>
      </c>
      <c r="AC1226" s="31">
        <f>IF(OR($Y1226="",N($Z1226)&lt;=0,$AB1226=""),0,IFERROR(LOOKUP(2,1/((거래처별!$AC$8:$AC$307&lt;&gt;"")*ISNUMBER(SEARCH(거래처별!$AC$8:$AC$307,$AB1226))),거래처별!$A$8:$A$307),IFERROR(LOOKUP(2,1/((거래처별!$AD$8:$AD$307&lt;&gt;"")*ISNUMBER(SEARCH(거래처별!$AD$8:$AD$307,$AB1226))),거래처별!$A$8:$A$307),IFERROR(LOOKUP(2,1/((거래처별!$AE$8:$AE$307&lt;&gt;"")*ISNUMBER(SEARCH(거래처별!$AE$8:$AE$307,$AB1226))),거래처별!$A$8:$A$307),0))))</f>
        <v/>
      </c>
      <c r="AD1226" s="31">
        <f>IF(AND($Y1226&lt;&gt;"",N($Z1226)&gt;0,$AC1226=0),MAX($AD$7:$AD1225)+1,"")</f>
        <v/>
      </c>
      <c r="AE1226" s="31">
        <f>IF($Y1226="",0,$Y1226)</f>
        <v/>
      </c>
    </row>
    <row r="1227">
      <c r="W1227" s="31">
        <f>IF(OR($B$5="",$C$6="",ROW()&lt;$B$5),"",IF(INDEX($A:$U,ROW(),$C$6)="","",INDEX($A:$U,ROW(),$C$6)))</f>
        <v/>
      </c>
      <c r="X1227" s="32">
        <f>IF($W1227="","",IF(ISNUMBER($W1227),IF($W1227&gt;=10000000,IFERROR(DATE(INT($W1227/10000),MOD(INT($W1227/100),100),MOD($W1227,100)),""),INT($W1227)),IFERROR(DATE(--LEFT(LEFT(SUBSTITUTE(SUBSTITUTE(SUBSTITUTE(SUBSTITUTE(TRIM($W1227),"-",""),".",""),"/","")," ",""),8),4),--MID(LEFT(SUBSTITUTE(SUBSTITUTE(SUBSTITUTE(SUBSTITUTE(TRIM($W1227),"-",""),".",""),"/","")," ",""),8),5,2),--MID(LEFT(SUBSTITUTE(SUBSTITUTE(SUBSTITUTE(SUBSTITUTE(TRIM($W1227),"-",""),".",""),"/","")," ",""),8),7,2)),"")))</f>
        <v/>
      </c>
      <c r="Y1227" s="32">
        <f>IF($X1227="","",INT($X1227))</f>
        <v/>
      </c>
      <c r="Z1227" s="33">
        <f>IF(OR($Y1227="",$D$6=""),"",IF(INDEX($A:$U,ROW(),$D$6)="",0,IF(ISNUMBER(INDEX($A:$U,ROW(),$D$6)),INDEX($A:$U,ROW(),$D$6),IFERROR(--SUBSTITUTE(SUBSTITUTE(TRIM(INDEX($A:$U,ROW(),$D$6)),",",""),"원",""),0))))</f>
        <v/>
      </c>
      <c r="AA1227" s="31">
        <f>IF($Y1227="","",TRIM(INDEX($A:$U,ROW(),$E$6)&amp;IF($F$6="",""," "&amp;INDEX($A:$U,ROW(),$F$6))))</f>
        <v/>
      </c>
      <c r="AB1227" s="31">
        <f>IF($AA1227="","",SUBSTITUTE(SUBSTITUTE(SUBSTITUTE(SUBSTITUTE(SUBSTITUTE(SUBSTITUTE(SUBSTITUTE(SUBSTITUTE(SUBSTITUTE($AA1227," ",""),"　",""),"(주)",""),"（주）",""),"㈜",""),"주식회사",""),"(유)",""),"（유）",""),"유한회사",""))</f>
        <v/>
      </c>
      <c r="AC1227" s="31">
        <f>IF(OR($Y1227="",N($Z1227)&lt;=0,$AB1227=""),0,IFERROR(LOOKUP(2,1/((거래처별!$AC$8:$AC$307&lt;&gt;"")*ISNUMBER(SEARCH(거래처별!$AC$8:$AC$307,$AB1227))),거래처별!$A$8:$A$307),IFERROR(LOOKUP(2,1/((거래처별!$AD$8:$AD$307&lt;&gt;"")*ISNUMBER(SEARCH(거래처별!$AD$8:$AD$307,$AB1227))),거래처별!$A$8:$A$307),IFERROR(LOOKUP(2,1/((거래처별!$AE$8:$AE$307&lt;&gt;"")*ISNUMBER(SEARCH(거래처별!$AE$8:$AE$307,$AB1227))),거래처별!$A$8:$A$307),0))))</f>
        <v/>
      </c>
      <c r="AD1227" s="31">
        <f>IF(AND($Y1227&lt;&gt;"",N($Z1227)&gt;0,$AC1227=0),MAX($AD$7:$AD1226)+1,"")</f>
        <v/>
      </c>
      <c r="AE1227" s="31">
        <f>IF($Y1227="",0,$Y1227)</f>
        <v/>
      </c>
    </row>
    <row r="1228">
      <c r="W1228" s="31">
        <f>IF(OR($B$5="",$C$6="",ROW()&lt;$B$5),"",IF(INDEX($A:$U,ROW(),$C$6)="","",INDEX($A:$U,ROW(),$C$6)))</f>
        <v/>
      </c>
      <c r="X1228" s="32">
        <f>IF($W1228="","",IF(ISNUMBER($W1228),IF($W1228&gt;=10000000,IFERROR(DATE(INT($W1228/10000),MOD(INT($W1228/100),100),MOD($W1228,100)),""),INT($W1228)),IFERROR(DATE(--LEFT(LEFT(SUBSTITUTE(SUBSTITUTE(SUBSTITUTE(SUBSTITUTE(TRIM($W1228),"-",""),".",""),"/","")," ",""),8),4),--MID(LEFT(SUBSTITUTE(SUBSTITUTE(SUBSTITUTE(SUBSTITUTE(TRIM($W1228),"-",""),".",""),"/","")," ",""),8),5,2),--MID(LEFT(SUBSTITUTE(SUBSTITUTE(SUBSTITUTE(SUBSTITUTE(TRIM($W1228),"-",""),".",""),"/","")," ",""),8),7,2)),"")))</f>
        <v/>
      </c>
      <c r="Y1228" s="32">
        <f>IF($X1228="","",INT($X1228))</f>
        <v/>
      </c>
      <c r="Z1228" s="33">
        <f>IF(OR($Y1228="",$D$6=""),"",IF(INDEX($A:$U,ROW(),$D$6)="",0,IF(ISNUMBER(INDEX($A:$U,ROW(),$D$6)),INDEX($A:$U,ROW(),$D$6),IFERROR(--SUBSTITUTE(SUBSTITUTE(TRIM(INDEX($A:$U,ROW(),$D$6)),",",""),"원",""),0))))</f>
        <v/>
      </c>
      <c r="AA1228" s="31">
        <f>IF($Y1228="","",TRIM(INDEX($A:$U,ROW(),$E$6)&amp;IF($F$6="",""," "&amp;INDEX($A:$U,ROW(),$F$6))))</f>
        <v/>
      </c>
      <c r="AB1228" s="31">
        <f>IF($AA1228="","",SUBSTITUTE(SUBSTITUTE(SUBSTITUTE(SUBSTITUTE(SUBSTITUTE(SUBSTITUTE(SUBSTITUTE(SUBSTITUTE(SUBSTITUTE($AA1228," ",""),"　",""),"(주)",""),"（주）",""),"㈜",""),"주식회사",""),"(유)",""),"（유）",""),"유한회사",""))</f>
        <v/>
      </c>
      <c r="AC1228" s="31">
        <f>IF(OR($Y1228="",N($Z1228)&lt;=0,$AB1228=""),0,IFERROR(LOOKUP(2,1/((거래처별!$AC$8:$AC$307&lt;&gt;"")*ISNUMBER(SEARCH(거래처별!$AC$8:$AC$307,$AB1228))),거래처별!$A$8:$A$307),IFERROR(LOOKUP(2,1/((거래처별!$AD$8:$AD$307&lt;&gt;"")*ISNUMBER(SEARCH(거래처별!$AD$8:$AD$307,$AB1228))),거래처별!$A$8:$A$307),IFERROR(LOOKUP(2,1/((거래처별!$AE$8:$AE$307&lt;&gt;"")*ISNUMBER(SEARCH(거래처별!$AE$8:$AE$307,$AB1228))),거래처별!$A$8:$A$307),0))))</f>
        <v/>
      </c>
      <c r="AD1228" s="31">
        <f>IF(AND($Y1228&lt;&gt;"",N($Z1228)&gt;0,$AC1228=0),MAX($AD$7:$AD1227)+1,"")</f>
        <v/>
      </c>
      <c r="AE1228" s="31">
        <f>IF($Y1228="",0,$Y1228)</f>
        <v/>
      </c>
    </row>
    <row r="1229">
      <c r="W1229" s="31">
        <f>IF(OR($B$5="",$C$6="",ROW()&lt;$B$5),"",IF(INDEX($A:$U,ROW(),$C$6)="","",INDEX($A:$U,ROW(),$C$6)))</f>
        <v/>
      </c>
      <c r="X1229" s="32">
        <f>IF($W1229="","",IF(ISNUMBER($W1229),IF($W1229&gt;=10000000,IFERROR(DATE(INT($W1229/10000),MOD(INT($W1229/100),100),MOD($W1229,100)),""),INT($W1229)),IFERROR(DATE(--LEFT(LEFT(SUBSTITUTE(SUBSTITUTE(SUBSTITUTE(SUBSTITUTE(TRIM($W1229),"-",""),".",""),"/","")," ",""),8),4),--MID(LEFT(SUBSTITUTE(SUBSTITUTE(SUBSTITUTE(SUBSTITUTE(TRIM($W1229),"-",""),".",""),"/","")," ",""),8),5,2),--MID(LEFT(SUBSTITUTE(SUBSTITUTE(SUBSTITUTE(SUBSTITUTE(TRIM($W1229),"-",""),".",""),"/","")," ",""),8),7,2)),"")))</f>
        <v/>
      </c>
      <c r="Y1229" s="32">
        <f>IF($X1229="","",INT($X1229))</f>
        <v/>
      </c>
      <c r="Z1229" s="33">
        <f>IF(OR($Y1229="",$D$6=""),"",IF(INDEX($A:$U,ROW(),$D$6)="",0,IF(ISNUMBER(INDEX($A:$U,ROW(),$D$6)),INDEX($A:$U,ROW(),$D$6),IFERROR(--SUBSTITUTE(SUBSTITUTE(TRIM(INDEX($A:$U,ROW(),$D$6)),",",""),"원",""),0))))</f>
        <v/>
      </c>
      <c r="AA1229" s="31">
        <f>IF($Y1229="","",TRIM(INDEX($A:$U,ROW(),$E$6)&amp;IF($F$6="",""," "&amp;INDEX($A:$U,ROW(),$F$6))))</f>
        <v/>
      </c>
      <c r="AB1229" s="31">
        <f>IF($AA1229="","",SUBSTITUTE(SUBSTITUTE(SUBSTITUTE(SUBSTITUTE(SUBSTITUTE(SUBSTITUTE(SUBSTITUTE(SUBSTITUTE(SUBSTITUTE($AA1229," ",""),"　",""),"(주)",""),"（주）",""),"㈜",""),"주식회사",""),"(유)",""),"（유）",""),"유한회사",""))</f>
        <v/>
      </c>
      <c r="AC1229" s="31">
        <f>IF(OR($Y1229="",N($Z1229)&lt;=0,$AB1229=""),0,IFERROR(LOOKUP(2,1/((거래처별!$AC$8:$AC$307&lt;&gt;"")*ISNUMBER(SEARCH(거래처별!$AC$8:$AC$307,$AB1229))),거래처별!$A$8:$A$307),IFERROR(LOOKUP(2,1/((거래처별!$AD$8:$AD$307&lt;&gt;"")*ISNUMBER(SEARCH(거래처별!$AD$8:$AD$307,$AB1229))),거래처별!$A$8:$A$307),IFERROR(LOOKUP(2,1/((거래처별!$AE$8:$AE$307&lt;&gt;"")*ISNUMBER(SEARCH(거래처별!$AE$8:$AE$307,$AB1229))),거래처별!$A$8:$A$307),0))))</f>
        <v/>
      </c>
      <c r="AD1229" s="31">
        <f>IF(AND($Y1229&lt;&gt;"",N($Z1229)&gt;0,$AC1229=0),MAX($AD$7:$AD1228)+1,"")</f>
        <v/>
      </c>
      <c r="AE1229" s="31">
        <f>IF($Y1229="",0,$Y1229)</f>
        <v/>
      </c>
    </row>
    <row r="1230">
      <c r="W1230" s="31">
        <f>IF(OR($B$5="",$C$6="",ROW()&lt;$B$5),"",IF(INDEX($A:$U,ROW(),$C$6)="","",INDEX($A:$U,ROW(),$C$6)))</f>
        <v/>
      </c>
      <c r="X1230" s="32">
        <f>IF($W1230="","",IF(ISNUMBER($W1230),IF($W1230&gt;=10000000,IFERROR(DATE(INT($W1230/10000),MOD(INT($W1230/100),100),MOD($W1230,100)),""),INT($W1230)),IFERROR(DATE(--LEFT(LEFT(SUBSTITUTE(SUBSTITUTE(SUBSTITUTE(SUBSTITUTE(TRIM($W1230),"-",""),".",""),"/","")," ",""),8),4),--MID(LEFT(SUBSTITUTE(SUBSTITUTE(SUBSTITUTE(SUBSTITUTE(TRIM($W1230),"-",""),".",""),"/","")," ",""),8),5,2),--MID(LEFT(SUBSTITUTE(SUBSTITUTE(SUBSTITUTE(SUBSTITUTE(TRIM($W1230),"-",""),".",""),"/","")," ",""),8),7,2)),"")))</f>
        <v/>
      </c>
      <c r="Y1230" s="32">
        <f>IF($X1230="","",INT($X1230))</f>
        <v/>
      </c>
      <c r="Z1230" s="33">
        <f>IF(OR($Y1230="",$D$6=""),"",IF(INDEX($A:$U,ROW(),$D$6)="",0,IF(ISNUMBER(INDEX($A:$U,ROW(),$D$6)),INDEX($A:$U,ROW(),$D$6),IFERROR(--SUBSTITUTE(SUBSTITUTE(TRIM(INDEX($A:$U,ROW(),$D$6)),",",""),"원",""),0))))</f>
        <v/>
      </c>
      <c r="AA1230" s="31">
        <f>IF($Y1230="","",TRIM(INDEX($A:$U,ROW(),$E$6)&amp;IF($F$6="",""," "&amp;INDEX($A:$U,ROW(),$F$6))))</f>
        <v/>
      </c>
      <c r="AB1230" s="31">
        <f>IF($AA1230="","",SUBSTITUTE(SUBSTITUTE(SUBSTITUTE(SUBSTITUTE(SUBSTITUTE(SUBSTITUTE(SUBSTITUTE(SUBSTITUTE(SUBSTITUTE($AA1230," ",""),"　",""),"(주)",""),"（주）",""),"㈜",""),"주식회사",""),"(유)",""),"（유）",""),"유한회사",""))</f>
        <v/>
      </c>
      <c r="AC1230" s="31">
        <f>IF(OR($Y1230="",N($Z1230)&lt;=0,$AB1230=""),0,IFERROR(LOOKUP(2,1/((거래처별!$AC$8:$AC$307&lt;&gt;"")*ISNUMBER(SEARCH(거래처별!$AC$8:$AC$307,$AB1230))),거래처별!$A$8:$A$307),IFERROR(LOOKUP(2,1/((거래처별!$AD$8:$AD$307&lt;&gt;"")*ISNUMBER(SEARCH(거래처별!$AD$8:$AD$307,$AB1230))),거래처별!$A$8:$A$307),IFERROR(LOOKUP(2,1/((거래처별!$AE$8:$AE$307&lt;&gt;"")*ISNUMBER(SEARCH(거래처별!$AE$8:$AE$307,$AB1230))),거래처별!$A$8:$A$307),0))))</f>
        <v/>
      </c>
      <c r="AD1230" s="31">
        <f>IF(AND($Y1230&lt;&gt;"",N($Z1230)&gt;0,$AC1230=0),MAX($AD$7:$AD1229)+1,"")</f>
        <v/>
      </c>
      <c r="AE1230" s="31">
        <f>IF($Y1230="",0,$Y1230)</f>
        <v/>
      </c>
    </row>
    <row r="1231">
      <c r="W1231" s="31">
        <f>IF(OR($B$5="",$C$6="",ROW()&lt;$B$5),"",IF(INDEX($A:$U,ROW(),$C$6)="","",INDEX($A:$U,ROW(),$C$6)))</f>
        <v/>
      </c>
      <c r="X1231" s="32">
        <f>IF($W1231="","",IF(ISNUMBER($W1231),IF($W1231&gt;=10000000,IFERROR(DATE(INT($W1231/10000),MOD(INT($W1231/100),100),MOD($W1231,100)),""),INT($W1231)),IFERROR(DATE(--LEFT(LEFT(SUBSTITUTE(SUBSTITUTE(SUBSTITUTE(SUBSTITUTE(TRIM($W1231),"-",""),".",""),"/","")," ",""),8),4),--MID(LEFT(SUBSTITUTE(SUBSTITUTE(SUBSTITUTE(SUBSTITUTE(TRIM($W1231),"-",""),".",""),"/","")," ",""),8),5,2),--MID(LEFT(SUBSTITUTE(SUBSTITUTE(SUBSTITUTE(SUBSTITUTE(TRIM($W1231),"-",""),".",""),"/","")," ",""),8),7,2)),"")))</f>
        <v/>
      </c>
      <c r="Y1231" s="32">
        <f>IF($X1231="","",INT($X1231))</f>
        <v/>
      </c>
      <c r="Z1231" s="33">
        <f>IF(OR($Y1231="",$D$6=""),"",IF(INDEX($A:$U,ROW(),$D$6)="",0,IF(ISNUMBER(INDEX($A:$U,ROW(),$D$6)),INDEX($A:$U,ROW(),$D$6),IFERROR(--SUBSTITUTE(SUBSTITUTE(TRIM(INDEX($A:$U,ROW(),$D$6)),",",""),"원",""),0))))</f>
        <v/>
      </c>
      <c r="AA1231" s="31">
        <f>IF($Y1231="","",TRIM(INDEX($A:$U,ROW(),$E$6)&amp;IF($F$6="",""," "&amp;INDEX($A:$U,ROW(),$F$6))))</f>
        <v/>
      </c>
      <c r="AB1231" s="31">
        <f>IF($AA1231="","",SUBSTITUTE(SUBSTITUTE(SUBSTITUTE(SUBSTITUTE(SUBSTITUTE(SUBSTITUTE(SUBSTITUTE(SUBSTITUTE(SUBSTITUTE($AA1231," ",""),"　",""),"(주)",""),"（주）",""),"㈜",""),"주식회사",""),"(유)",""),"（유）",""),"유한회사",""))</f>
        <v/>
      </c>
      <c r="AC1231" s="31">
        <f>IF(OR($Y1231="",N($Z1231)&lt;=0,$AB1231=""),0,IFERROR(LOOKUP(2,1/((거래처별!$AC$8:$AC$307&lt;&gt;"")*ISNUMBER(SEARCH(거래처별!$AC$8:$AC$307,$AB1231))),거래처별!$A$8:$A$307),IFERROR(LOOKUP(2,1/((거래처별!$AD$8:$AD$307&lt;&gt;"")*ISNUMBER(SEARCH(거래처별!$AD$8:$AD$307,$AB1231))),거래처별!$A$8:$A$307),IFERROR(LOOKUP(2,1/((거래처별!$AE$8:$AE$307&lt;&gt;"")*ISNUMBER(SEARCH(거래처별!$AE$8:$AE$307,$AB1231))),거래처별!$A$8:$A$307),0))))</f>
        <v/>
      </c>
      <c r="AD1231" s="31">
        <f>IF(AND($Y1231&lt;&gt;"",N($Z1231)&gt;0,$AC1231=0),MAX($AD$7:$AD1230)+1,"")</f>
        <v/>
      </c>
      <c r="AE1231" s="31">
        <f>IF($Y1231="",0,$Y1231)</f>
        <v/>
      </c>
    </row>
    <row r="1232">
      <c r="W1232" s="31">
        <f>IF(OR($B$5="",$C$6="",ROW()&lt;$B$5),"",IF(INDEX($A:$U,ROW(),$C$6)="","",INDEX($A:$U,ROW(),$C$6)))</f>
        <v/>
      </c>
      <c r="X1232" s="32">
        <f>IF($W1232="","",IF(ISNUMBER($W1232),IF($W1232&gt;=10000000,IFERROR(DATE(INT($W1232/10000),MOD(INT($W1232/100),100),MOD($W1232,100)),""),INT($W1232)),IFERROR(DATE(--LEFT(LEFT(SUBSTITUTE(SUBSTITUTE(SUBSTITUTE(SUBSTITUTE(TRIM($W1232),"-",""),".",""),"/","")," ",""),8),4),--MID(LEFT(SUBSTITUTE(SUBSTITUTE(SUBSTITUTE(SUBSTITUTE(TRIM($W1232),"-",""),".",""),"/","")," ",""),8),5,2),--MID(LEFT(SUBSTITUTE(SUBSTITUTE(SUBSTITUTE(SUBSTITUTE(TRIM($W1232),"-",""),".",""),"/","")," ",""),8),7,2)),"")))</f>
        <v/>
      </c>
      <c r="Y1232" s="32">
        <f>IF($X1232="","",INT($X1232))</f>
        <v/>
      </c>
      <c r="Z1232" s="33">
        <f>IF(OR($Y1232="",$D$6=""),"",IF(INDEX($A:$U,ROW(),$D$6)="",0,IF(ISNUMBER(INDEX($A:$U,ROW(),$D$6)),INDEX($A:$U,ROW(),$D$6),IFERROR(--SUBSTITUTE(SUBSTITUTE(TRIM(INDEX($A:$U,ROW(),$D$6)),",",""),"원",""),0))))</f>
        <v/>
      </c>
      <c r="AA1232" s="31">
        <f>IF($Y1232="","",TRIM(INDEX($A:$U,ROW(),$E$6)&amp;IF($F$6="",""," "&amp;INDEX($A:$U,ROW(),$F$6))))</f>
        <v/>
      </c>
      <c r="AB1232" s="31">
        <f>IF($AA1232="","",SUBSTITUTE(SUBSTITUTE(SUBSTITUTE(SUBSTITUTE(SUBSTITUTE(SUBSTITUTE(SUBSTITUTE(SUBSTITUTE(SUBSTITUTE($AA1232," ",""),"　",""),"(주)",""),"（주）",""),"㈜",""),"주식회사",""),"(유)",""),"（유）",""),"유한회사",""))</f>
        <v/>
      </c>
      <c r="AC1232" s="31">
        <f>IF(OR($Y1232="",N($Z1232)&lt;=0,$AB1232=""),0,IFERROR(LOOKUP(2,1/((거래처별!$AC$8:$AC$307&lt;&gt;"")*ISNUMBER(SEARCH(거래처별!$AC$8:$AC$307,$AB1232))),거래처별!$A$8:$A$307),IFERROR(LOOKUP(2,1/((거래처별!$AD$8:$AD$307&lt;&gt;"")*ISNUMBER(SEARCH(거래처별!$AD$8:$AD$307,$AB1232))),거래처별!$A$8:$A$307),IFERROR(LOOKUP(2,1/((거래처별!$AE$8:$AE$307&lt;&gt;"")*ISNUMBER(SEARCH(거래처별!$AE$8:$AE$307,$AB1232))),거래처별!$A$8:$A$307),0))))</f>
        <v/>
      </c>
      <c r="AD1232" s="31">
        <f>IF(AND($Y1232&lt;&gt;"",N($Z1232)&gt;0,$AC1232=0),MAX($AD$7:$AD1231)+1,"")</f>
        <v/>
      </c>
      <c r="AE1232" s="31">
        <f>IF($Y1232="",0,$Y1232)</f>
        <v/>
      </c>
    </row>
    <row r="1233">
      <c r="W1233" s="31">
        <f>IF(OR($B$5="",$C$6="",ROW()&lt;$B$5),"",IF(INDEX($A:$U,ROW(),$C$6)="","",INDEX($A:$U,ROW(),$C$6)))</f>
        <v/>
      </c>
      <c r="X1233" s="32">
        <f>IF($W1233="","",IF(ISNUMBER($W1233),IF($W1233&gt;=10000000,IFERROR(DATE(INT($W1233/10000),MOD(INT($W1233/100),100),MOD($W1233,100)),""),INT($W1233)),IFERROR(DATE(--LEFT(LEFT(SUBSTITUTE(SUBSTITUTE(SUBSTITUTE(SUBSTITUTE(TRIM($W1233),"-",""),".",""),"/","")," ",""),8),4),--MID(LEFT(SUBSTITUTE(SUBSTITUTE(SUBSTITUTE(SUBSTITUTE(TRIM($W1233),"-",""),".",""),"/","")," ",""),8),5,2),--MID(LEFT(SUBSTITUTE(SUBSTITUTE(SUBSTITUTE(SUBSTITUTE(TRIM($W1233),"-",""),".",""),"/","")," ",""),8),7,2)),"")))</f>
        <v/>
      </c>
      <c r="Y1233" s="32">
        <f>IF($X1233="","",INT($X1233))</f>
        <v/>
      </c>
      <c r="Z1233" s="33">
        <f>IF(OR($Y1233="",$D$6=""),"",IF(INDEX($A:$U,ROW(),$D$6)="",0,IF(ISNUMBER(INDEX($A:$U,ROW(),$D$6)),INDEX($A:$U,ROW(),$D$6),IFERROR(--SUBSTITUTE(SUBSTITUTE(TRIM(INDEX($A:$U,ROW(),$D$6)),",",""),"원",""),0))))</f>
        <v/>
      </c>
      <c r="AA1233" s="31">
        <f>IF($Y1233="","",TRIM(INDEX($A:$U,ROW(),$E$6)&amp;IF($F$6="",""," "&amp;INDEX($A:$U,ROW(),$F$6))))</f>
        <v/>
      </c>
      <c r="AB1233" s="31">
        <f>IF($AA1233="","",SUBSTITUTE(SUBSTITUTE(SUBSTITUTE(SUBSTITUTE(SUBSTITUTE(SUBSTITUTE(SUBSTITUTE(SUBSTITUTE(SUBSTITUTE($AA1233," ",""),"　",""),"(주)",""),"（주）",""),"㈜",""),"주식회사",""),"(유)",""),"（유）",""),"유한회사",""))</f>
        <v/>
      </c>
      <c r="AC1233" s="31">
        <f>IF(OR($Y1233="",N($Z1233)&lt;=0,$AB1233=""),0,IFERROR(LOOKUP(2,1/((거래처별!$AC$8:$AC$307&lt;&gt;"")*ISNUMBER(SEARCH(거래처별!$AC$8:$AC$307,$AB1233))),거래처별!$A$8:$A$307),IFERROR(LOOKUP(2,1/((거래처별!$AD$8:$AD$307&lt;&gt;"")*ISNUMBER(SEARCH(거래처별!$AD$8:$AD$307,$AB1233))),거래처별!$A$8:$A$307),IFERROR(LOOKUP(2,1/((거래처별!$AE$8:$AE$307&lt;&gt;"")*ISNUMBER(SEARCH(거래처별!$AE$8:$AE$307,$AB1233))),거래처별!$A$8:$A$307),0))))</f>
        <v/>
      </c>
      <c r="AD1233" s="31">
        <f>IF(AND($Y1233&lt;&gt;"",N($Z1233)&gt;0,$AC1233=0),MAX($AD$7:$AD1232)+1,"")</f>
        <v/>
      </c>
      <c r="AE1233" s="31">
        <f>IF($Y1233="",0,$Y1233)</f>
        <v/>
      </c>
    </row>
    <row r="1234">
      <c r="W1234" s="31">
        <f>IF(OR($B$5="",$C$6="",ROW()&lt;$B$5),"",IF(INDEX($A:$U,ROW(),$C$6)="","",INDEX($A:$U,ROW(),$C$6)))</f>
        <v/>
      </c>
      <c r="X1234" s="32">
        <f>IF($W1234="","",IF(ISNUMBER($W1234),IF($W1234&gt;=10000000,IFERROR(DATE(INT($W1234/10000),MOD(INT($W1234/100),100),MOD($W1234,100)),""),INT($W1234)),IFERROR(DATE(--LEFT(LEFT(SUBSTITUTE(SUBSTITUTE(SUBSTITUTE(SUBSTITUTE(TRIM($W1234),"-",""),".",""),"/","")," ",""),8),4),--MID(LEFT(SUBSTITUTE(SUBSTITUTE(SUBSTITUTE(SUBSTITUTE(TRIM($W1234),"-",""),".",""),"/","")," ",""),8),5,2),--MID(LEFT(SUBSTITUTE(SUBSTITUTE(SUBSTITUTE(SUBSTITUTE(TRIM($W1234),"-",""),".",""),"/","")," ",""),8),7,2)),"")))</f>
        <v/>
      </c>
      <c r="Y1234" s="32">
        <f>IF($X1234="","",INT($X1234))</f>
        <v/>
      </c>
      <c r="Z1234" s="33">
        <f>IF(OR($Y1234="",$D$6=""),"",IF(INDEX($A:$U,ROW(),$D$6)="",0,IF(ISNUMBER(INDEX($A:$U,ROW(),$D$6)),INDEX($A:$U,ROW(),$D$6),IFERROR(--SUBSTITUTE(SUBSTITUTE(TRIM(INDEX($A:$U,ROW(),$D$6)),",",""),"원",""),0))))</f>
        <v/>
      </c>
      <c r="AA1234" s="31">
        <f>IF($Y1234="","",TRIM(INDEX($A:$U,ROW(),$E$6)&amp;IF($F$6="",""," "&amp;INDEX($A:$U,ROW(),$F$6))))</f>
        <v/>
      </c>
      <c r="AB1234" s="31">
        <f>IF($AA1234="","",SUBSTITUTE(SUBSTITUTE(SUBSTITUTE(SUBSTITUTE(SUBSTITUTE(SUBSTITUTE(SUBSTITUTE(SUBSTITUTE(SUBSTITUTE($AA1234," ",""),"　",""),"(주)",""),"（주）",""),"㈜",""),"주식회사",""),"(유)",""),"（유）",""),"유한회사",""))</f>
        <v/>
      </c>
      <c r="AC1234" s="31">
        <f>IF(OR($Y1234="",N($Z1234)&lt;=0,$AB1234=""),0,IFERROR(LOOKUP(2,1/((거래처별!$AC$8:$AC$307&lt;&gt;"")*ISNUMBER(SEARCH(거래처별!$AC$8:$AC$307,$AB1234))),거래처별!$A$8:$A$307),IFERROR(LOOKUP(2,1/((거래처별!$AD$8:$AD$307&lt;&gt;"")*ISNUMBER(SEARCH(거래처별!$AD$8:$AD$307,$AB1234))),거래처별!$A$8:$A$307),IFERROR(LOOKUP(2,1/((거래처별!$AE$8:$AE$307&lt;&gt;"")*ISNUMBER(SEARCH(거래처별!$AE$8:$AE$307,$AB1234))),거래처별!$A$8:$A$307),0))))</f>
        <v/>
      </c>
      <c r="AD1234" s="31">
        <f>IF(AND($Y1234&lt;&gt;"",N($Z1234)&gt;0,$AC1234=0),MAX($AD$7:$AD1233)+1,"")</f>
        <v/>
      </c>
      <c r="AE1234" s="31">
        <f>IF($Y1234="",0,$Y1234)</f>
        <v/>
      </c>
    </row>
    <row r="1235">
      <c r="W1235" s="31">
        <f>IF(OR($B$5="",$C$6="",ROW()&lt;$B$5),"",IF(INDEX($A:$U,ROW(),$C$6)="","",INDEX($A:$U,ROW(),$C$6)))</f>
        <v/>
      </c>
      <c r="X1235" s="32">
        <f>IF($W1235="","",IF(ISNUMBER($W1235),IF($W1235&gt;=10000000,IFERROR(DATE(INT($W1235/10000),MOD(INT($W1235/100),100),MOD($W1235,100)),""),INT($W1235)),IFERROR(DATE(--LEFT(LEFT(SUBSTITUTE(SUBSTITUTE(SUBSTITUTE(SUBSTITUTE(TRIM($W1235),"-",""),".",""),"/","")," ",""),8),4),--MID(LEFT(SUBSTITUTE(SUBSTITUTE(SUBSTITUTE(SUBSTITUTE(TRIM($W1235),"-",""),".",""),"/","")," ",""),8),5,2),--MID(LEFT(SUBSTITUTE(SUBSTITUTE(SUBSTITUTE(SUBSTITUTE(TRIM($W1235),"-",""),".",""),"/","")," ",""),8),7,2)),"")))</f>
        <v/>
      </c>
      <c r="Y1235" s="32">
        <f>IF($X1235="","",INT($X1235))</f>
        <v/>
      </c>
      <c r="Z1235" s="33">
        <f>IF(OR($Y1235="",$D$6=""),"",IF(INDEX($A:$U,ROW(),$D$6)="",0,IF(ISNUMBER(INDEX($A:$U,ROW(),$D$6)),INDEX($A:$U,ROW(),$D$6),IFERROR(--SUBSTITUTE(SUBSTITUTE(TRIM(INDEX($A:$U,ROW(),$D$6)),",",""),"원",""),0))))</f>
        <v/>
      </c>
      <c r="AA1235" s="31">
        <f>IF($Y1235="","",TRIM(INDEX($A:$U,ROW(),$E$6)&amp;IF($F$6="",""," "&amp;INDEX($A:$U,ROW(),$F$6))))</f>
        <v/>
      </c>
      <c r="AB1235" s="31">
        <f>IF($AA1235="","",SUBSTITUTE(SUBSTITUTE(SUBSTITUTE(SUBSTITUTE(SUBSTITUTE(SUBSTITUTE(SUBSTITUTE(SUBSTITUTE(SUBSTITUTE($AA1235," ",""),"　",""),"(주)",""),"（주）",""),"㈜",""),"주식회사",""),"(유)",""),"（유）",""),"유한회사",""))</f>
        <v/>
      </c>
      <c r="AC1235" s="31">
        <f>IF(OR($Y1235="",N($Z1235)&lt;=0,$AB1235=""),0,IFERROR(LOOKUP(2,1/((거래처별!$AC$8:$AC$307&lt;&gt;"")*ISNUMBER(SEARCH(거래처별!$AC$8:$AC$307,$AB1235))),거래처별!$A$8:$A$307),IFERROR(LOOKUP(2,1/((거래처별!$AD$8:$AD$307&lt;&gt;"")*ISNUMBER(SEARCH(거래처별!$AD$8:$AD$307,$AB1235))),거래처별!$A$8:$A$307),IFERROR(LOOKUP(2,1/((거래처별!$AE$8:$AE$307&lt;&gt;"")*ISNUMBER(SEARCH(거래처별!$AE$8:$AE$307,$AB1235))),거래처별!$A$8:$A$307),0))))</f>
        <v/>
      </c>
      <c r="AD1235" s="31">
        <f>IF(AND($Y1235&lt;&gt;"",N($Z1235)&gt;0,$AC1235=0),MAX($AD$7:$AD1234)+1,"")</f>
        <v/>
      </c>
      <c r="AE1235" s="31">
        <f>IF($Y1235="",0,$Y1235)</f>
        <v/>
      </c>
    </row>
    <row r="1236">
      <c r="W1236" s="31">
        <f>IF(OR($B$5="",$C$6="",ROW()&lt;$B$5),"",IF(INDEX($A:$U,ROW(),$C$6)="","",INDEX($A:$U,ROW(),$C$6)))</f>
        <v/>
      </c>
      <c r="X1236" s="32">
        <f>IF($W1236="","",IF(ISNUMBER($W1236),IF($W1236&gt;=10000000,IFERROR(DATE(INT($W1236/10000),MOD(INT($W1236/100),100),MOD($W1236,100)),""),INT($W1236)),IFERROR(DATE(--LEFT(LEFT(SUBSTITUTE(SUBSTITUTE(SUBSTITUTE(SUBSTITUTE(TRIM($W1236),"-",""),".",""),"/","")," ",""),8),4),--MID(LEFT(SUBSTITUTE(SUBSTITUTE(SUBSTITUTE(SUBSTITUTE(TRIM($W1236),"-",""),".",""),"/","")," ",""),8),5,2),--MID(LEFT(SUBSTITUTE(SUBSTITUTE(SUBSTITUTE(SUBSTITUTE(TRIM($W1236),"-",""),".",""),"/","")," ",""),8),7,2)),"")))</f>
        <v/>
      </c>
      <c r="Y1236" s="32">
        <f>IF($X1236="","",INT($X1236))</f>
        <v/>
      </c>
      <c r="Z1236" s="33">
        <f>IF(OR($Y1236="",$D$6=""),"",IF(INDEX($A:$U,ROW(),$D$6)="",0,IF(ISNUMBER(INDEX($A:$U,ROW(),$D$6)),INDEX($A:$U,ROW(),$D$6),IFERROR(--SUBSTITUTE(SUBSTITUTE(TRIM(INDEX($A:$U,ROW(),$D$6)),",",""),"원",""),0))))</f>
        <v/>
      </c>
      <c r="AA1236" s="31">
        <f>IF($Y1236="","",TRIM(INDEX($A:$U,ROW(),$E$6)&amp;IF($F$6="",""," "&amp;INDEX($A:$U,ROW(),$F$6))))</f>
        <v/>
      </c>
      <c r="AB1236" s="31">
        <f>IF($AA1236="","",SUBSTITUTE(SUBSTITUTE(SUBSTITUTE(SUBSTITUTE(SUBSTITUTE(SUBSTITUTE(SUBSTITUTE(SUBSTITUTE(SUBSTITUTE($AA1236," ",""),"　",""),"(주)",""),"（주）",""),"㈜",""),"주식회사",""),"(유)",""),"（유）",""),"유한회사",""))</f>
        <v/>
      </c>
      <c r="AC1236" s="31">
        <f>IF(OR($Y1236="",N($Z1236)&lt;=0,$AB1236=""),0,IFERROR(LOOKUP(2,1/((거래처별!$AC$8:$AC$307&lt;&gt;"")*ISNUMBER(SEARCH(거래처별!$AC$8:$AC$307,$AB1236))),거래처별!$A$8:$A$307),IFERROR(LOOKUP(2,1/((거래처별!$AD$8:$AD$307&lt;&gt;"")*ISNUMBER(SEARCH(거래처별!$AD$8:$AD$307,$AB1236))),거래처별!$A$8:$A$307),IFERROR(LOOKUP(2,1/((거래처별!$AE$8:$AE$307&lt;&gt;"")*ISNUMBER(SEARCH(거래처별!$AE$8:$AE$307,$AB1236))),거래처별!$A$8:$A$307),0))))</f>
        <v/>
      </c>
      <c r="AD1236" s="31">
        <f>IF(AND($Y1236&lt;&gt;"",N($Z1236)&gt;0,$AC1236=0),MAX($AD$7:$AD1235)+1,"")</f>
        <v/>
      </c>
      <c r="AE1236" s="31">
        <f>IF($Y1236="",0,$Y1236)</f>
        <v/>
      </c>
    </row>
    <row r="1237">
      <c r="W1237" s="31">
        <f>IF(OR($B$5="",$C$6="",ROW()&lt;$B$5),"",IF(INDEX($A:$U,ROW(),$C$6)="","",INDEX($A:$U,ROW(),$C$6)))</f>
        <v/>
      </c>
      <c r="X1237" s="32">
        <f>IF($W1237="","",IF(ISNUMBER($W1237),IF($W1237&gt;=10000000,IFERROR(DATE(INT($W1237/10000),MOD(INT($W1237/100),100),MOD($W1237,100)),""),INT($W1237)),IFERROR(DATE(--LEFT(LEFT(SUBSTITUTE(SUBSTITUTE(SUBSTITUTE(SUBSTITUTE(TRIM($W1237),"-",""),".",""),"/","")," ",""),8),4),--MID(LEFT(SUBSTITUTE(SUBSTITUTE(SUBSTITUTE(SUBSTITUTE(TRIM($W1237),"-",""),".",""),"/","")," ",""),8),5,2),--MID(LEFT(SUBSTITUTE(SUBSTITUTE(SUBSTITUTE(SUBSTITUTE(TRIM($W1237),"-",""),".",""),"/","")," ",""),8),7,2)),"")))</f>
        <v/>
      </c>
      <c r="Y1237" s="32">
        <f>IF($X1237="","",INT($X1237))</f>
        <v/>
      </c>
      <c r="Z1237" s="33">
        <f>IF(OR($Y1237="",$D$6=""),"",IF(INDEX($A:$U,ROW(),$D$6)="",0,IF(ISNUMBER(INDEX($A:$U,ROW(),$D$6)),INDEX($A:$U,ROW(),$D$6),IFERROR(--SUBSTITUTE(SUBSTITUTE(TRIM(INDEX($A:$U,ROW(),$D$6)),",",""),"원",""),0))))</f>
        <v/>
      </c>
      <c r="AA1237" s="31">
        <f>IF($Y1237="","",TRIM(INDEX($A:$U,ROW(),$E$6)&amp;IF($F$6="",""," "&amp;INDEX($A:$U,ROW(),$F$6))))</f>
        <v/>
      </c>
      <c r="AB1237" s="31">
        <f>IF($AA1237="","",SUBSTITUTE(SUBSTITUTE(SUBSTITUTE(SUBSTITUTE(SUBSTITUTE(SUBSTITUTE(SUBSTITUTE(SUBSTITUTE(SUBSTITUTE($AA1237," ",""),"　",""),"(주)",""),"（주）",""),"㈜",""),"주식회사",""),"(유)",""),"（유）",""),"유한회사",""))</f>
        <v/>
      </c>
      <c r="AC1237" s="31">
        <f>IF(OR($Y1237="",N($Z1237)&lt;=0,$AB1237=""),0,IFERROR(LOOKUP(2,1/((거래처별!$AC$8:$AC$307&lt;&gt;"")*ISNUMBER(SEARCH(거래처별!$AC$8:$AC$307,$AB1237))),거래처별!$A$8:$A$307),IFERROR(LOOKUP(2,1/((거래처별!$AD$8:$AD$307&lt;&gt;"")*ISNUMBER(SEARCH(거래처별!$AD$8:$AD$307,$AB1237))),거래처별!$A$8:$A$307),IFERROR(LOOKUP(2,1/((거래처별!$AE$8:$AE$307&lt;&gt;"")*ISNUMBER(SEARCH(거래처별!$AE$8:$AE$307,$AB1237))),거래처별!$A$8:$A$307),0))))</f>
        <v/>
      </c>
      <c r="AD1237" s="31">
        <f>IF(AND($Y1237&lt;&gt;"",N($Z1237)&gt;0,$AC1237=0),MAX($AD$7:$AD1236)+1,"")</f>
        <v/>
      </c>
      <c r="AE1237" s="31">
        <f>IF($Y1237="",0,$Y1237)</f>
        <v/>
      </c>
    </row>
    <row r="1238">
      <c r="W1238" s="31">
        <f>IF(OR($B$5="",$C$6="",ROW()&lt;$B$5),"",IF(INDEX($A:$U,ROW(),$C$6)="","",INDEX($A:$U,ROW(),$C$6)))</f>
        <v/>
      </c>
      <c r="X1238" s="32">
        <f>IF($W1238="","",IF(ISNUMBER($W1238),IF($W1238&gt;=10000000,IFERROR(DATE(INT($W1238/10000),MOD(INT($W1238/100),100),MOD($W1238,100)),""),INT($W1238)),IFERROR(DATE(--LEFT(LEFT(SUBSTITUTE(SUBSTITUTE(SUBSTITUTE(SUBSTITUTE(TRIM($W1238),"-",""),".",""),"/","")," ",""),8),4),--MID(LEFT(SUBSTITUTE(SUBSTITUTE(SUBSTITUTE(SUBSTITUTE(TRIM($W1238),"-",""),".",""),"/","")," ",""),8),5,2),--MID(LEFT(SUBSTITUTE(SUBSTITUTE(SUBSTITUTE(SUBSTITUTE(TRIM($W1238),"-",""),".",""),"/","")," ",""),8),7,2)),"")))</f>
        <v/>
      </c>
      <c r="Y1238" s="32">
        <f>IF($X1238="","",INT($X1238))</f>
        <v/>
      </c>
      <c r="Z1238" s="33">
        <f>IF(OR($Y1238="",$D$6=""),"",IF(INDEX($A:$U,ROW(),$D$6)="",0,IF(ISNUMBER(INDEX($A:$U,ROW(),$D$6)),INDEX($A:$U,ROW(),$D$6),IFERROR(--SUBSTITUTE(SUBSTITUTE(TRIM(INDEX($A:$U,ROW(),$D$6)),",",""),"원",""),0))))</f>
        <v/>
      </c>
      <c r="AA1238" s="31">
        <f>IF($Y1238="","",TRIM(INDEX($A:$U,ROW(),$E$6)&amp;IF($F$6="",""," "&amp;INDEX($A:$U,ROW(),$F$6))))</f>
        <v/>
      </c>
      <c r="AB1238" s="31">
        <f>IF($AA1238="","",SUBSTITUTE(SUBSTITUTE(SUBSTITUTE(SUBSTITUTE(SUBSTITUTE(SUBSTITUTE(SUBSTITUTE(SUBSTITUTE(SUBSTITUTE($AA1238," ",""),"　",""),"(주)",""),"（주）",""),"㈜",""),"주식회사",""),"(유)",""),"（유）",""),"유한회사",""))</f>
        <v/>
      </c>
      <c r="AC1238" s="31">
        <f>IF(OR($Y1238="",N($Z1238)&lt;=0,$AB1238=""),0,IFERROR(LOOKUP(2,1/((거래처별!$AC$8:$AC$307&lt;&gt;"")*ISNUMBER(SEARCH(거래처별!$AC$8:$AC$307,$AB1238))),거래처별!$A$8:$A$307),IFERROR(LOOKUP(2,1/((거래처별!$AD$8:$AD$307&lt;&gt;"")*ISNUMBER(SEARCH(거래처별!$AD$8:$AD$307,$AB1238))),거래처별!$A$8:$A$307),IFERROR(LOOKUP(2,1/((거래처별!$AE$8:$AE$307&lt;&gt;"")*ISNUMBER(SEARCH(거래처별!$AE$8:$AE$307,$AB1238))),거래처별!$A$8:$A$307),0))))</f>
        <v/>
      </c>
      <c r="AD1238" s="31">
        <f>IF(AND($Y1238&lt;&gt;"",N($Z1238)&gt;0,$AC1238=0),MAX($AD$7:$AD1237)+1,"")</f>
        <v/>
      </c>
      <c r="AE1238" s="31">
        <f>IF($Y1238="",0,$Y1238)</f>
        <v/>
      </c>
    </row>
    <row r="1239">
      <c r="W1239" s="31">
        <f>IF(OR($B$5="",$C$6="",ROW()&lt;$B$5),"",IF(INDEX($A:$U,ROW(),$C$6)="","",INDEX($A:$U,ROW(),$C$6)))</f>
        <v/>
      </c>
      <c r="X1239" s="32">
        <f>IF($W1239="","",IF(ISNUMBER($W1239),IF($W1239&gt;=10000000,IFERROR(DATE(INT($W1239/10000),MOD(INT($W1239/100),100),MOD($W1239,100)),""),INT($W1239)),IFERROR(DATE(--LEFT(LEFT(SUBSTITUTE(SUBSTITUTE(SUBSTITUTE(SUBSTITUTE(TRIM($W1239),"-",""),".",""),"/","")," ",""),8),4),--MID(LEFT(SUBSTITUTE(SUBSTITUTE(SUBSTITUTE(SUBSTITUTE(TRIM($W1239),"-",""),".",""),"/","")," ",""),8),5,2),--MID(LEFT(SUBSTITUTE(SUBSTITUTE(SUBSTITUTE(SUBSTITUTE(TRIM($W1239),"-",""),".",""),"/","")," ",""),8),7,2)),"")))</f>
        <v/>
      </c>
      <c r="Y1239" s="32">
        <f>IF($X1239="","",INT($X1239))</f>
        <v/>
      </c>
      <c r="Z1239" s="33">
        <f>IF(OR($Y1239="",$D$6=""),"",IF(INDEX($A:$U,ROW(),$D$6)="",0,IF(ISNUMBER(INDEX($A:$U,ROW(),$D$6)),INDEX($A:$U,ROW(),$D$6),IFERROR(--SUBSTITUTE(SUBSTITUTE(TRIM(INDEX($A:$U,ROW(),$D$6)),",",""),"원",""),0))))</f>
        <v/>
      </c>
      <c r="AA1239" s="31">
        <f>IF($Y1239="","",TRIM(INDEX($A:$U,ROW(),$E$6)&amp;IF($F$6="",""," "&amp;INDEX($A:$U,ROW(),$F$6))))</f>
        <v/>
      </c>
      <c r="AB1239" s="31">
        <f>IF($AA1239="","",SUBSTITUTE(SUBSTITUTE(SUBSTITUTE(SUBSTITUTE(SUBSTITUTE(SUBSTITUTE(SUBSTITUTE(SUBSTITUTE(SUBSTITUTE($AA1239," ",""),"　",""),"(주)",""),"（주）",""),"㈜",""),"주식회사",""),"(유)",""),"（유）",""),"유한회사",""))</f>
        <v/>
      </c>
      <c r="AC1239" s="31">
        <f>IF(OR($Y1239="",N($Z1239)&lt;=0,$AB1239=""),0,IFERROR(LOOKUP(2,1/((거래처별!$AC$8:$AC$307&lt;&gt;"")*ISNUMBER(SEARCH(거래처별!$AC$8:$AC$307,$AB1239))),거래처별!$A$8:$A$307),IFERROR(LOOKUP(2,1/((거래처별!$AD$8:$AD$307&lt;&gt;"")*ISNUMBER(SEARCH(거래처별!$AD$8:$AD$307,$AB1239))),거래처별!$A$8:$A$307),IFERROR(LOOKUP(2,1/((거래처별!$AE$8:$AE$307&lt;&gt;"")*ISNUMBER(SEARCH(거래처별!$AE$8:$AE$307,$AB1239))),거래처별!$A$8:$A$307),0))))</f>
        <v/>
      </c>
      <c r="AD1239" s="31">
        <f>IF(AND($Y1239&lt;&gt;"",N($Z1239)&gt;0,$AC1239=0),MAX($AD$7:$AD1238)+1,"")</f>
        <v/>
      </c>
      <c r="AE1239" s="31">
        <f>IF($Y1239="",0,$Y1239)</f>
        <v/>
      </c>
    </row>
    <row r="1240">
      <c r="W1240" s="31">
        <f>IF(OR($B$5="",$C$6="",ROW()&lt;$B$5),"",IF(INDEX($A:$U,ROW(),$C$6)="","",INDEX($A:$U,ROW(),$C$6)))</f>
        <v/>
      </c>
      <c r="X1240" s="32">
        <f>IF($W1240="","",IF(ISNUMBER($W1240),IF($W1240&gt;=10000000,IFERROR(DATE(INT($W1240/10000),MOD(INT($W1240/100),100),MOD($W1240,100)),""),INT($W1240)),IFERROR(DATE(--LEFT(LEFT(SUBSTITUTE(SUBSTITUTE(SUBSTITUTE(SUBSTITUTE(TRIM($W1240),"-",""),".",""),"/","")," ",""),8),4),--MID(LEFT(SUBSTITUTE(SUBSTITUTE(SUBSTITUTE(SUBSTITUTE(TRIM($W1240),"-",""),".",""),"/","")," ",""),8),5,2),--MID(LEFT(SUBSTITUTE(SUBSTITUTE(SUBSTITUTE(SUBSTITUTE(TRIM($W1240),"-",""),".",""),"/","")," ",""),8),7,2)),"")))</f>
        <v/>
      </c>
      <c r="Y1240" s="32">
        <f>IF($X1240="","",INT($X1240))</f>
        <v/>
      </c>
      <c r="Z1240" s="33">
        <f>IF(OR($Y1240="",$D$6=""),"",IF(INDEX($A:$U,ROW(),$D$6)="",0,IF(ISNUMBER(INDEX($A:$U,ROW(),$D$6)),INDEX($A:$U,ROW(),$D$6),IFERROR(--SUBSTITUTE(SUBSTITUTE(TRIM(INDEX($A:$U,ROW(),$D$6)),",",""),"원",""),0))))</f>
        <v/>
      </c>
      <c r="AA1240" s="31">
        <f>IF($Y1240="","",TRIM(INDEX($A:$U,ROW(),$E$6)&amp;IF($F$6="",""," "&amp;INDEX($A:$U,ROW(),$F$6))))</f>
        <v/>
      </c>
      <c r="AB1240" s="31">
        <f>IF($AA1240="","",SUBSTITUTE(SUBSTITUTE(SUBSTITUTE(SUBSTITUTE(SUBSTITUTE(SUBSTITUTE(SUBSTITUTE(SUBSTITUTE(SUBSTITUTE($AA1240," ",""),"　",""),"(주)",""),"（주）",""),"㈜",""),"주식회사",""),"(유)",""),"（유）",""),"유한회사",""))</f>
        <v/>
      </c>
      <c r="AC1240" s="31">
        <f>IF(OR($Y1240="",N($Z1240)&lt;=0,$AB1240=""),0,IFERROR(LOOKUP(2,1/((거래처별!$AC$8:$AC$307&lt;&gt;"")*ISNUMBER(SEARCH(거래처별!$AC$8:$AC$307,$AB1240))),거래처별!$A$8:$A$307),IFERROR(LOOKUP(2,1/((거래처별!$AD$8:$AD$307&lt;&gt;"")*ISNUMBER(SEARCH(거래처별!$AD$8:$AD$307,$AB1240))),거래처별!$A$8:$A$307),IFERROR(LOOKUP(2,1/((거래처별!$AE$8:$AE$307&lt;&gt;"")*ISNUMBER(SEARCH(거래처별!$AE$8:$AE$307,$AB1240))),거래처별!$A$8:$A$307),0))))</f>
        <v/>
      </c>
      <c r="AD1240" s="31">
        <f>IF(AND($Y1240&lt;&gt;"",N($Z1240)&gt;0,$AC1240=0),MAX($AD$7:$AD1239)+1,"")</f>
        <v/>
      </c>
      <c r="AE1240" s="31">
        <f>IF($Y1240="",0,$Y1240)</f>
        <v/>
      </c>
    </row>
    <row r="1241">
      <c r="W1241" s="31">
        <f>IF(OR($B$5="",$C$6="",ROW()&lt;$B$5),"",IF(INDEX($A:$U,ROW(),$C$6)="","",INDEX($A:$U,ROW(),$C$6)))</f>
        <v/>
      </c>
      <c r="X1241" s="32">
        <f>IF($W1241="","",IF(ISNUMBER($W1241),IF($W1241&gt;=10000000,IFERROR(DATE(INT($W1241/10000),MOD(INT($W1241/100),100),MOD($W1241,100)),""),INT($W1241)),IFERROR(DATE(--LEFT(LEFT(SUBSTITUTE(SUBSTITUTE(SUBSTITUTE(SUBSTITUTE(TRIM($W1241),"-",""),".",""),"/","")," ",""),8),4),--MID(LEFT(SUBSTITUTE(SUBSTITUTE(SUBSTITUTE(SUBSTITUTE(TRIM($W1241),"-",""),".",""),"/","")," ",""),8),5,2),--MID(LEFT(SUBSTITUTE(SUBSTITUTE(SUBSTITUTE(SUBSTITUTE(TRIM($W1241),"-",""),".",""),"/","")," ",""),8),7,2)),"")))</f>
        <v/>
      </c>
      <c r="Y1241" s="32">
        <f>IF($X1241="","",INT($X1241))</f>
        <v/>
      </c>
      <c r="Z1241" s="33">
        <f>IF(OR($Y1241="",$D$6=""),"",IF(INDEX($A:$U,ROW(),$D$6)="",0,IF(ISNUMBER(INDEX($A:$U,ROW(),$D$6)),INDEX($A:$U,ROW(),$D$6),IFERROR(--SUBSTITUTE(SUBSTITUTE(TRIM(INDEX($A:$U,ROW(),$D$6)),",",""),"원",""),0))))</f>
        <v/>
      </c>
      <c r="AA1241" s="31">
        <f>IF($Y1241="","",TRIM(INDEX($A:$U,ROW(),$E$6)&amp;IF($F$6="",""," "&amp;INDEX($A:$U,ROW(),$F$6))))</f>
        <v/>
      </c>
      <c r="AB1241" s="31">
        <f>IF($AA1241="","",SUBSTITUTE(SUBSTITUTE(SUBSTITUTE(SUBSTITUTE(SUBSTITUTE(SUBSTITUTE(SUBSTITUTE(SUBSTITUTE(SUBSTITUTE($AA1241," ",""),"　",""),"(주)",""),"（주）",""),"㈜",""),"주식회사",""),"(유)",""),"（유）",""),"유한회사",""))</f>
        <v/>
      </c>
      <c r="AC1241" s="31">
        <f>IF(OR($Y1241="",N($Z1241)&lt;=0,$AB1241=""),0,IFERROR(LOOKUP(2,1/((거래처별!$AC$8:$AC$307&lt;&gt;"")*ISNUMBER(SEARCH(거래처별!$AC$8:$AC$307,$AB1241))),거래처별!$A$8:$A$307),IFERROR(LOOKUP(2,1/((거래처별!$AD$8:$AD$307&lt;&gt;"")*ISNUMBER(SEARCH(거래처별!$AD$8:$AD$307,$AB1241))),거래처별!$A$8:$A$307),IFERROR(LOOKUP(2,1/((거래처별!$AE$8:$AE$307&lt;&gt;"")*ISNUMBER(SEARCH(거래처별!$AE$8:$AE$307,$AB1241))),거래처별!$A$8:$A$307),0))))</f>
        <v/>
      </c>
      <c r="AD1241" s="31">
        <f>IF(AND($Y1241&lt;&gt;"",N($Z1241)&gt;0,$AC1241=0),MAX($AD$7:$AD1240)+1,"")</f>
        <v/>
      </c>
      <c r="AE1241" s="31">
        <f>IF($Y1241="",0,$Y1241)</f>
        <v/>
      </c>
    </row>
    <row r="1242">
      <c r="W1242" s="31">
        <f>IF(OR($B$5="",$C$6="",ROW()&lt;$B$5),"",IF(INDEX($A:$U,ROW(),$C$6)="","",INDEX($A:$U,ROW(),$C$6)))</f>
        <v/>
      </c>
      <c r="X1242" s="32">
        <f>IF($W1242="","",IF(ISNUMBER($W1242),IF($W1242&gt;=10000000,IFERROR(DATE(INT($W1242/10000),MOD(INT($W1242/100),100),MOD($W1242,100)),""),INT($W1242)),IFERROR(DATE(--LEFT(LEFT(SUBSTITUTE(SUBSTITUTE(SUBSTITUTE(SUBSTITUTE(TRIM($W1242),"-",""),".",""),"/","")," ",""),8),4),--MID(LEFT(SUBSTITUTE(SUBSTITUTE(SUBSTITUTE(SUBSTITUTE(TRIM($W1242),"-",""),".",""),"/","")," ",""),8),5,2),--MID(LEFT(SUBSTITUTE(SUBSTITUTE(SUBSTITUTE(SUBSTITUTE(TRIM($W1242),"-",""),".",""),"/","")," ",""),8),7,2)),"")))</f>
        <v/>
      </c>
      <c r="Y1242" s="32">
        <f>IF($X1242="","",INT($X1242))</f>
        <v/>
      </c>
      <c r="Z1242" s="33">
        <f>IF(OR($Y1242="",$D$6=""),"",IF(INDEX($A:$U,ROW(),$D$6)="",0,IF(ISNUMBER(INDEX($A:$U,ROW(),$D$6)),INDEX($A:$U,ROW(),$D$6),IFERROR(--SUBSTITUTE(SUBSTITUTE(TRIM(INDEX($A:$U,ROW(),$D$6)),",",""),"원",""),0))))</f>
        <v/>
      </c>
      <c r="AA1242" s="31">
        <f>IF($Y1242="","",TRIM(INDEX($A:$U,ROW(),$E$6)&amp;IF($F$6="",""," "&amp;INDEX($A:$U,ROW(),$F$6))))</f>
        <v/>
      </c>
      <c r="AB1242" s="31">
        <f>IF($AA1242="","",SUBSTITUTE(SUBSTITUTE(SUBSTITUTE(SUBSTITUTE(SUBSTITUTE(SUBSTITUTE(SUBSTITUTE(SUBSTITUTE(SUBSTITUTE($AA1242," ",""),"　",""),"(주)",""),"（주）",""),"㈜",""),"주식회사",""),"(유)",""),"（유）",""),"유한회사",""))</f>
        <v/>
      </c>
      <c r="AC1242" s="31">
        <f>IF(OR($Y1242="",N($Z1242)&lt;=0,$AB1242=""),0,IFERROR(LOOKUP(2,1/((거래처별!$AC$8:$AC$307&lt;&gt;"")*ISNUMBER(SEARCH(거래처별!$AC$8:$AC$307,$AB1242))),거래처별!$A$8:$A$307),IFERROR(LOOKUP(2,1/((거래처별!$AD$8:$AD$307&lt;&gt;"")*ISNUMBER(SEARCH(거래처별!$AD$8:$AD$307,$AB1242))),거래처별!$A$8:$A$307),IFERROR(LOOKUP(2,1/((거래처별!$AE$8:$AE$307&lt;&gt;"")*ISNUMBER(SEARCH(거래처별!$AE$8:$AE$307,$AB1242))),거래처별!$A$8:$A$307),0))))</f>
        <v/>
      </c>
      <c r="AD1242" s="31">
        <f>IF(AND($Y1242&lt;&gt;"",N($Z1242)&gt;0,$AC1242=0),MAX($AD$7:$AD1241)+1,"")</f>
        <v/>
      </c>
      <c r="AE1242" s="31">
        <f>IF($Y1242="",0,$Y1242)</f>
        <v/>
      </c>
    </row>
    <row r="1243">
      <c r="W1243" s="31">
        <f>IF(OR($B$5="",$C$6="",ROW()&lt;$B$5),"",IF(INDEX($A:$U,ROW(),$C$6)="","",INDEX($A:$U,ROW(),$C$6)))</f>
        <v/>
      </c>
      <c r="X1243" s="32">
        <f>IF($W1243="","",IF(ISNUMBER($W1243),IF($W1243&gt;=10000000,IFERROR(DATE(INT($W1243/10000),MOD(INT($W1243/100),100),MOD($W1243,100)),""),INT($W1243)),IFERROR(DATE(--LEFT(LEFT(SUBSTITUTE(SUBSTITUTE(SUBSTITUTE(SUBSTITUTE(TRIM($W1243),"-",""),".",""),"/","")," ",""),8),4),--MID(LEFT(SUBSTITUTE(SUBSTITUTE(SUBSTITUTE(SUBSTITUTE(TRIM($W1243),"-",""),".",""),"/","")," ",""),8),5,2),--MID(LEFT(SUBSTITUTE(SUBSTITUTE(SUBSTITUTE(SUBSTITUTE(TRIM($W1243),"-",""),".",""),"/","")," ",""),8),7,2)),"")))</f>
        <v/>
      </c>
      <c r="Y1243" s="32">
        <f>IF($X1243="","",INT($X1243))</f>
        <v/>
      </c>
      <c r="Z1243" s="33">
        <f>IF(OR($Y1243="",$D$6=""),"",IF(INDEX($A:$U,ROW(),$D$6)="",0,IF(ISNUMBER(INDEX($A:$U,ROW(),$D$6)),INDEX($A:$U,ROW(),$D$6),IFERROR(--SUBSTITUTE(SUBSTITUTE(TRIM(INDEX($A:$U,ROW(),$D$6)),",",""),"원",""),0))))</f>
        <v/>
      </c>
      <c r="AA1243" s="31">
        <f>IF($Y1243="","",TRIM(INDEX($A:$U,ROW(),$E$6)&amp;IF($F$6="",""," "&amp;INDEX($A:$U,ROW(),$F$6))))</f>
        <v/>
      </c>
      <c r="AB1243" s="31">
        <f>IF($AA1243="","",SUBSTITUTE(SUBSTITUTE(SUBSTITUTE(SUBSTITUTE(SUBSTITUTE(SUBSTITUTE(SUBSTITUTE(SUBSTITUTE(SUBSTITUTE($AA1243," ",""),"　",""),"(주)",""),"（주）",""),"㈜",""),"주식회사",""),"(유)",""),"（유）",""),"유한회사",""))</f>
        <v/>
      </c>
      <c r="AC1243" s="31">
        <f>IF(OR($Y1243="",N($Z1243)&lt;=0,$AB1243=""),0,IFERROR(LOOKUP(2,1/((거래처별!$AC$8:$AC$307&lt;&gt;"")*ISNUMBER(SEARCH(거래처별!$AC$8:$AC$307,$AB1243))),거래처별!$A$8:$A$307),IFERROR(LOOKUP(2,1/((거래처별!$AD$8:$AD$307&lt;&gt;"")*ISNUMBER(SEARCH(거래처별!$AD$8:$AD$307,$AB1243))),거래처별!$A$8:$A$307),IFERROR(LOOKUP(2,1/((거래처별!$AE$8:$AE$307&lt;&gt;"")*ISNUMBER(SEARCH(거래처별!$AE$8:$AE$307,$AB1243))),거래처별!$A$8:$A$307),0))))</f>
        <v/>
      </c>
      <c r="AD1243" s="31">
        <f>IF(AND($Y1243&lt;&gt;"",N($Z1243)&gt;0,$AC1243=0),MAX($AD$7:$AD1242)+1,"")</f>
        <v/>
      </c>
      <c r="AE1243" s="31">
        <f>IF($Y1243="",0,$Y1243)</f>
        <v/>
      </c>
    </row>
    <row r="1244">
      <c r="W1244" s="31">
        <f>IF(OR($B$5="",$C$6="",ROW()&lt;$B$5),"",IF(INDEX($A:$U,ROW(),$C$6)="","",INDEX($A:$U,ROW(),$C$6)))</f>
        <v/>
      </c>
      <c r="X1244" s="32">
        <f>IF($W1244="","",IF(ISNUMBER($W1244),IF($W1244&gt;=10000000,IFERROR(DATE(INT($W1244/10000),MOD(INT($W1244/100),100),MOD($W1244,100)),""),INT($W1244)),IFERROR(DATE(--LEFT(LEFT(SUBSTITUTE(SUBSTITUTE(SUBSTITUTE(SUBSTITUTE(TRIM($W1244),"-",""),".",""),"/","")," ",""),8),4),--MID(LEFT(SUBSTITUTE(SUBSTITUTE(SUBSTITUTE(SUBSTITUTE(TRIM($W1244),"-",""),".",""),"/","")," ",""),8),5,2),--MID(LEFT(SUBSTITUTE(SUBSTITUTE(SUBSTITUTE(SUBSTITUTE(TRIM($W1244),"-",""),".",""),"/","")," ",""),8),7,2)),"")))</f>
        <v/>
      </c>
      <c r="Y1244" s="32">
        <f>IF($X1244="","",INT($X1244))</f>
        <v/>
      </c>
      <c r="Z1244" s="33">
        <f>IF(OR($Y1244="",$D$6=""),"",IF(INDEX($A:$U,ROW(),$D$6)="",0,IF(ISNUMBER(INDEX($A:$U,ROW(),$D$6)),INDEX($A:$U,ROW(),$D$6),IFERROR(--SUBSTITUTE(SUBSTITUTE(TRIM(INDEX($A:$U,ROW(),$D$6)),",",""),"원",""),0))))</f>
        <v/>
      </c>
      <c r="AA1244" s="31">
        <f>IF($Y1244="","",TRIM(INDEX($A:$U,ROW(),$E$6)&amp;IF($F$6="",""," "&amp;INDEX($A:$U,ROW(),$F$6))))</f>
        <v/>
      </c>
      <c r="AB1244" s="31">
        <f>IF($AA1244="","",SUBSTITUTE(SUBSTITUTE(SUBSTITUTE(SUBSTITUTE(SUBSTITUTE(SUBSTITUTE(SUBSTITUTE(SUBSTITUTE(SUBSTITUTE($AA1244," ",""),"　",""),"(주)",""),"（주）",""),"㈜",""),"주식회사",""),"(유)",""),"（유）",""),"유한회사",""))</f>
        <v/>
      </c>
      <c r="AC1244" s="31">
        <f>IF(OR($Y1244="",N($Z1244)&lt;=0,$AB1244=""),0,IFERROR(LOOKUP(2,1/((거래처별!$AC$8:$AC$307&lt;&gt;"")*ISNUMBER(SEARCH(거래처별!$AC$8:$AC$307,$AB1244))),거래처별!$A$8:$A$307),IFERROR(LOOKUP(2,1/((거래처별!$AD$8:$AD$307&lt;&gt;"")*ISNUMBER(SEARCH(거래처별!$AD$8:$AD$307,$AB1244))),거래처별!$A$8:$A$307),IFERROR(LOOKUP(2,1/((거래처별!$AE$8:$AE$307&lt;&gt;"")*ISNUMBER(SEARCH(거래처별!$AE$8:$AE$307,$AB1244))),거래처별!$A$8:$A$307),0))))</f>
        <v/>
      </c>
      <c r="AD1244" s="31">
        <f>IF(AND($Y1244&lt;&gt;"",N($Z1244)&gt;0,$AC1244=0),MAX($AD$7:$AD1243)+1,"")</f>
        <v/>
      </c>
      <c r="AE1244" s="31">
        <f>IF($Y1244="",0,$Y1244)</f>
        <v/>
      </c>
    </row>
    <row r="1245">
      <c r="W1245" s="31">
        <f>IF(OR($B$5="",$C$6="",ROW()&lt;$B$5),"",IF(INDEX($A:$U,ROW(),$C$6)="","",INDEX($A:$U,ROW(),$C$6)))</f>
        <v/>
      </c>
      <c r="X1245" s="32">
        <f>IF($W1245="","",IF(ISNUMBER($W1245),IF($W1245&gt;=10000000,IFERROR(DATE(INT($W1245/10000),MOD(INT($W1245/100),100),MOD($W1245,100)),""),INT($W1245)),IFERROR(DATE(--LEFT(LEFT(SUBSTITUTE(SUBSTITUTE(SUBSTITUTE(SUBSTITUTE(TRIM($W1245),"-",""),".",""),"/","")," ",""),8),4),--MID(LEFT(SUBSTITUTE(SUBSTITUTE(SUBSTITUTE(SUBSTITUTE(TRIM($W1245),"-",""),".",""),"/","")," ",""),8),5,2),--MID(LEFT(SUBSTITUTE(SUBSTITUTE(SUBSTITUTE(SUBSTITUTE(TRIM($W1245),"-",""),".",""),"/","")," ",""),8),7,2)),"")))</f>
        <v/>
      </c>
      <c r="Y1245" s="32">
        <f>IF($X1245="","",INT($X1245))</f>
        <v/>
      </c>
      <c r="Z1245" s="33">
        <f>IF(OR($Y1245="",$D$6=""),"",IF(INDEX($A:$U,ROW(),$D$6)="",0,IF(ISNUMBER(INDEX($A:$U,ROW(),$D$6)),INDEX($A:$U,ROW(),$D$6),IFERROR(--SUBSTITUTE(SUBSTITUTE(TRIM(INDEX($A:$U,ROW(),$D$6)),",",""),"원",""),0))))</f>
        <v/>
      </c>
      <c r="AA1245" s="31">
        <f>IF($Y1245="","",TRIM(INDEX($A:$U,ROW(),$E$6)&amp;IF($F$6="",""," "&amp;INDEX($A:$U,ROW(),$F$6))))</f>
        <v/>
      </c>
      <c r="AB1245" s="31">
        <f>IF($AA1245="","",SUBSTITUTE(SUBSTITUTE(SUBSTITUTE(SUBSTITUTE(SUBSTITUTE(SUBSTITUTE(SUBSTITUTE(SUBSTITUTE(SUBSTITUTE($AA1245," ",""),"　",""),"(주)",""),"（주）",""),"㈜",""),"주식회사",""),"(유)",""),"（유）",""),"유한회사",""))</f>
        <v/>
      </c>
      <c r="AC1245" s="31">
        <f>IF(OR($Y1245="",N($Z1245)&lt;=0,$AB1245=""),0,IFERROR(LOOKUP(2,1/((거래처별!$AC$8:$AC$307&lt;&gt;"")*ISNUMBER(SEARCH(거래처별!$AC$8:$AC$307,$AB1245))),거래처별!$A$8:$A$307),IFERROR(LOOKUP(2,1/((거래처별!$AD$8:$AD$307&lt;&gt;"")*ISNUMBER(SEARCH(거래처별!$AD$8:$AD$307,$AB1245))),거래처별!$A$8:$A$307),IFERROR(LOOKUP(2,1/((거래처별!$AE$8:$AE$307&lt;&gt;"")*ISNUMBER(SEARCH(거래처별!$AE$8:$AE$307,$AB1245))),거래처별!$A$8:$A$307),0))))</f>
        <v/>
      </c>
      <c r="AD1245" s="31">
        <f>IF(AND($Y1245&lt;&gt;"",N($Z1245)&gt;0,$AC1245=0),MAX($AD$7:$AD1244)+1,"")</f>
        <v/>
      </c>
      <c r="AE1245" s="31">
        <f>IF($Y1245="",0,$Y1245)</f>
        <v/>
      </c>
    </row>
    <row r="1246">
      <c r="W1246" s="31">
        <f>IF(OR($B$5="",$C$6="",ROW()&lt;$B$5),"",IF(INDEX($A:$U,ROW(),$C$6)="","",INDEX($A:$U,ROW(),$C$6)))</f>
        <v/>
      </c>
      <c r="X1246" s="32">
        <f>IF($W1246="","",IF(ISNUMBER($W1246),IF($W1246&gt;=10000000,IFERROR(DATE(INT($W1246/10000),MOD(INT($W1246/100),100),MOD($W1246,100)),""),INT($W1246)),IFERROR(DATE(--LEFT(LEFT(SUBSTITUTE(SUBSTITUTE(SUBSTITUTE(SUBSTITUTE(TRIM($W1246),"-",""),".",""),"/","")," ",""),8),4),--MID(LEFT(SUBSTITUTE(SUBSTITUTE(SUBSTITUTE(SUBSTITUTE(TRIM($W1246),"-",""),".",""),"/","")," ",""),8),5,2),--MID(LEFT(SUBSTITUTE(SUBSTITUTE(SUBSTITUTE(SUBSTITUTE(TRIM($W1246),"-",""),".",""),"/","")," ",""),8),7,2)),"")))</f>
        <v/>
      </c>
      <c r="Y1246" s="32">
        <f>IF($X1246="","",INT($X1246))</f>
        <v/>
      </c>
      <c r="Z1246" s="33">
        <f>IF(OR($Y1246="",$D$6=""),"",IF(INDEX($A:$U,ROW(),$D$6)="",0,IF(ISNUMBER(INDEX($A:$U,ROW(),$D$6)),INDEX($A:$U,ROW(),$D$6),IFERROR(--SUBSTITUTE(SUBSTITUTE(TRIM(INDEX($A:$U,ROW(),$D$6)),",",""),"원",""),0))))</f>
        <v/>
      </c>
      <c r="AA1246" s="31">
        <f>IF($Y1246="","",TRIM(INDEX($A:$U,ROW(),$E$6)&amp;IF($F$6="",""," "&amp;INDEX($A:$U,ROW(),$F$6))))</f>
        <v/>
      </c>
      <c r="AB1246" s="31">
        <f>IF($AA1246="","",SUBSTITUTE(SUBSTITUTE(SUBSTITUTE(SUBSTITUTE(SUBSTITUTE(SUBSTITUTE(SUBSTITUTE(SUBSTITUTE(SUBSTITUTE($AA1246," ",""),"　",""),"(주)",""),"（주）",""),"㈜",""),"주식회사",""),"(유)",""),"（유）",""),"유한회사",""))</f>
        <v/>
      </c>
      <c r="AC1246" s="31">
        <f>IF(OR($Y1246="",N($Z1246)&lt;=0,$AB1246=""),0,IFERROR(LOOKUP(2,1/((거래처별!$AC$8:$AC$307&lt;&gt;"")*ISNUMBER(SEARCH(거래처별!$AC$8:$AC$307,$AB1246))),거래처별!$A$8:$A$307),IFERROR(LOOKUP(2,1/((거래처별!$AD$8:$AD$307&lt;&gt;"")*ISNUMBER(SEARCH(거래처별!$AD$8:$AD$307,$AB1246))),거래처별!$A$8:$A$307),IFERROR(LOOKUP(2,1/((거래처별!$AE$8:$AE$307&lt;&gt;"")*ISNUMBER(SEARCH(거래처별!$AE$8:$AE$307,$AB1246))),거래처별!$A$8:$A$307),0))))</f>
        <v/>
      </c>
      <c r="AD1246" s="31">
        <f>IF(AND($Y1246&lt;&gt;"",N($Z1246)&gt;0,$AC1246=0),MAX($AD$7:$AD1245)+1,"")</f>
        <v/>
      </c>
      <c r="AE1246" s="31">
        <f>IF($Y1246="",0,$Y1246)</f>
        <v/>
      </c>
    </row>
    <row r="1247">
      <c r="W1247" s="31">
        <f>IF(OR($B$5="",$C$6="",ROW()&lt;$B$5),"",IF(INDEX($A:$U,ROW(),$C$6)="","",INDEX($A:$U,ROW(),$C$6)))</f>
        <v/>
      </c>
      <c r="X1247" s="32">
        <f>IF($W1247="","",IF(ISNUMBER($W1247),IF($W1247&gt;=10000000,IFERROR(DATE(INT($W1247/10000),MOD(INT($W1247/100),100),MOD($W1247,100)),""),INT($W1247)),IFERROR(DATE(--LEFT(LEFT(SUBSTITUTE(SUBSTITUTE(SUBSTITUTE(SUBSTITUTE(TRIM($W1247),"-",""),".",""),"/","")," ",""),8),4),--MID(LEFT(SUBSTITUTE(SUBSTITUTE(SUBSTITUTE(SUBSTITUTE(TRIM($W1247),"-",""),".",""),"/","")," ",""),8),5,2),--MID(LEFT(SUBSTITUTE(SUBSTITUTE(SUBSTITUTE(SUBSTITUTE(TRIM($W1247),"-",""),".",""),"/","")," ",""),8),7,2)),"")))</f>
        <v/>
      </c>
      <c r="Y1247" s="32">
        <f>IF($X1247="","",INT($X1247))</f>
        <v/>
      </c>
      <c r="Z1247" s="33">
        <f>IF(OR($Y1247="",$D$6=""),"",IF(INDEX($A:$U,ROW(),$D$6)="",0,IF(ISNUMBER(INDEX($A:$U,ROW(),$D$6)),INDEX($A:$U,ROW(),$D$6),IFERROR(--SUBSTITUTE(SUBSTITUTE(TRIM(INDEX($A:$U,ROW(),$D$6)),",",""),"원",""),0))))</f>
        <v/>
      </c>
      <c r="AA1247" s="31">
        <f>IF($Y1247="","",TRIM(INDEX($A:$U,ROW(),$E$6)&amp;IF($F$6="",""," "&amp;INDEX($A:$U,ROW(),$F$6))))</f>
        <v/>
      </c>
      <c r="AB1247" s="31">
        <f>IF($AA1247="","",SUBSTITUTE(SUBSTITUTE(SUBSTITUTE(SUBSTITUTE(SUBSTITUTE(SUBSTITUTE(SUBSTITUTE(SUBSTITUTE(SUBSTITUTE($AA1247," ",""),"　",""),"(주)",""),"（주）",""),"㈜",""),"주식회사",""),"(유)",""),"（유）",""),"유한회사",""))</f>
        <v/>
      </c>
      <c r="AC1247" s="31">
        <f>IF(OR($Y1247="",N($Z1247)&lt;=0,$AB1247=""),0,IFERROR(LOOKUP(2,1/((거래처별!$AC$8:$AC$307&lt;&gt;"")*ISNUMBER(SEARCH(거래처별!$AC$8:$AC$307,$AB1247))),거래처별!$A$8:$A$307),IFERROR(LOOKUP(2,1/((거래처별!$AD$8:$AD$307&lt;&gt;"")*ISNUMBER(SEARCH(거래처별!$AD$8:$AD$307,$AB1247))),거래처별!$A$8:$A$307),IFERROR(LOOKUP(2,1/((거래처별!$AE$8:$AE$307&lt;&gt;"")*ISNUMBER(SEARCH(거래처별!$AE$8:$AE$307,$AB1247))),거래처별!$A$8:$A$307),0))))</f>
        <v/>
      </c>
      <c r="AD1247" s="31">
        <f>IF(AND($Y1247&lt;&gt;"",N($Z1247)&gt;0,$AC1247=0),MAX($AD$7:$AD1246)+1,"")</f>
        <v/>
      </c>
      <c r="AE1247" s="31">
        <f>IF($Y1247="",0,$Y1247)</f>
        <v/>
      </c>
    </row>
    <row r="1248">
      <c r="W1248" s="31">
        <f>IF(OR($B$5="",$C$6="",ROW()&lt;$B$5),"",IF(INDEX($A:$U,ROW(),$C$6)="","",INDEX($A:$U,ROW(),$C$6)))</f>
        <v/>
      </c>
      <c r="X1248" s="32">
        <f>IF($W1248="","",IF(ISNUMBER($W1248),IF($W1248&gt;=10000000,IFERROR(DATE(INT($W1248/10000),MOD(INT($W1248/100),100),MOD($W1248,100)),""),INT($W1248)),IFERROR(DATE(--LEFT(LEFT(SUBSTITUTE(SUBSTITUTE(SUBSTITUTE(SUBSTITUTE(TRIM($W1248),"-",""),".",""),"/","")," ",""),8),4),--MID(LEFT(SUBSTITUTE(SUBSTITUTE(SUBSTITUTE(SUBSTITUTE(TRIM($W1248),"-",""),".",""),"/","")," ",""),8),5,2),--MID(LEFT(SUBSTITUTE(SUBSTITUTE(SUBSTITUTE(SUBSTITUTE(TRIM($W1248),"-",""),".",""),"/","")," ",""),8),7,2)),"")))</f>
        <v/>
      </c>
      <c r="Y1248" s="32">
        <f>IF($X1248="","",INT($X1248))</f>
        <v/>
      </c>
      <c r="Z1248" s="33">
        <f>IF(OR($Y1248="",$D$6=""),"",IF(INDEX($A:$U,ROW(),$D$6)="",0,IF(ISNUMBER(INDEX($A:$U,ROW(),$D$6)),INDEX($A:$U,ROW(),$D$6),IFERROR(--SUBSTITUTE(SUBSTITUTE(TRIM(INDEX($A:$U,ROW(),$D$6)),",",""),"원",""),0))))</f>
        <v/>
      </c>
      <c r="AA1248" s="31">
        <f>IF($Y1248="","",TRIM(INDEX($A:$U,ROW(),$E$6)&amp;IF($F$6="",""," "&amp;INDEX($A:$U,ROW(),$F$6))))</f>
        <v/>
      </c>
      <c r="AB1248" s="31">
        <f>IF($AA1248="","",SUBSTITUTE(SUBSTITUTE(SUBSTITUTE(SUBSTITUTE(SUBSTITUTE(SUBSTITUTE(SUBSTITUTE(SUBSTITUTE(SUBSTITUTE($AA1248," ",""),"　",""),"(주)",""),"（주）",""),"㈜",""),"주식회사",""),"(유)",""),"（유）",""),"유한회사",""))</f>
        <v/>
      </c>
      <c r="AC1248" s="31">
        <f>IF(OR($Y1248="",N($Z1248)&lt;=0,$AB1248=""),0,IFERROR(LOOKUP(2,1/((거래처별!$AC$8:$AC$307&lt;&gt;"")*ISNUMBER(SEARCH(거래처별!$AC$8:$AC$307,$AB1248))),거래처별!$A$8:$A$307),IFERROR(LOOKUP(2,1/((거래처별!$AD$8:$AD$307&lt;&gt;"")*ISNUMBER(SEARCH(거래처별!$AD$8:$AD$307,$AB1248))),거래처별!$A$8:$A$307),IFERROR(LOOKUP(2,1/((거래처별!$AE$8:$AE$307&lt;&gt;"")*ISNUMBER(SEARCH(거래처별!$AE$8:$AE$307,$AB1248))),거래처별!$A$8:$A$307),0))))</f>
        <v/>
      </c>
      <c r="AD1248" s="31">
        <f>IF(AND($Y1248&lt;&gt;"",N($Z1248)&gt;0,$AC1248=0),MAX($AD$7:$AD1247)+1,"")</f>
        <v/>
      </c>
      <c r="AE1248" s="31">
        <f>IF($Y1248="",0,$Y1248)</f>
        <v/>
      </c>
    </row>
    <row r="1249">
      <c r="W1249" s="31">
        <f>IF(OR($B$5="",$C$6="",ROW()&lt;$B$5),"",IF(INDEX($A:$U,ROW(),$C$6)="","",INDEX($A:$U,ROW(),$C$6)))</f>
        <v/>
      </c>
      <c r="X1249" s="32">
        <f>IF($W1249="","",IF(ISNUMBER($W1249),IF($W1249&gt;=10000000,IFERROR(DATE(INT($W1249/10000),MOD(INT($W1249/100),100),MOD($W1249,100)),""),INT($W1249)),IFERROR(DATE(--LEFT(LEFT(SUBSTITUTE(SUBSTITUTE(SUBSTITUTE(SUBSTITUTE(TRIM($W1249),"-",""),".",""),"/","")," ",""),8),4),--MID(LEFT(SUBSTITUTE(SUBSTITUTE(SUBSTITUTE(SUBSTITUTE(TRIM($W1249),"-",""),".",""),"/","")," ",""),8),5,2),--MID(LEFT(SUBSTITUTE(SUBSTITUTE(SUBSTITUTE(SUBSTITUTE(TRIM($W1249),"-",""),".",""),"/","")," ",""),8),7,2)),"")))</f>
        <v/>
      </c>
      <c r="Y1249" s="32">
        <f>IF($X1249="","",INT($X1249))</f>
        <v/>
      </c>
      <c r="Z1249" s="33">
        <f>IF(OR($Y1249="",$D$6=""),"",IF(INDEX($A:$U,ROW(),$D$6)="",0,IF(ISNUMBER(INDEX($A:$U,ROW(),$D$6)),INDEX($A:$U,ROW(),$D$6),IFERROR(--SUBSTITUTE(SUBSTITUTE(TRIM(INDEX($A:$U,ROW(),$D$6)),",",""),"원",""),0))))</f>
        <v/>
      </c>
      <c r="AA1249" s="31">
        <f>IF($Y1249="","",TRIM(INDEX($A:$U,ROW(),$E$6)&amp;IF($F$6="",""," "&amp;INDEX($A:$U,ROW(),$F$6))))</f>
        <v/>
      </c>
      <c r="AB1249" s="31">
        <f>IF($AA1249="","",SUBSTITUTE(SUBSTITUTE(SUBSTITUTE(SUBSTITUTE(SUBSTITUTE(SUBSTITUTE(SUBSTITUTE(SUBSTITUTE(SUBSTITUTE($AA1249," ",""),"　",""),"(주)",""),"（주）",""),"㈜",""),"주식회사",""),"(유)",""),"（유）",""),"유한회사",""))</f>
        <v/>
      </c>
      <c r="AC1249" s="31">
        <f>IF(OR($Y1249="",N($Z1249)&lt;=0,$AB1249=""),0,IFERROR(LOOKUP(2,1/((거래처별!$AC$8:$AC$307&lt;&gt;"")*ISNUMBER(SEARCH(거래처별!$AC$8:$AC$307,$AB1249))),거래처별!$A$8:$A$307),IFERROR(LOOKUP(2,1/((거래처별!$AD$8:$AD$307&lt;&gt;"")*ISNUMBER(SEARCH(거래처별!$AD$8:$AD$307,$AB1249))),거래처별!$A$8:$A$307),IFERROR(LOOKUP(2,1/((거래처별!$AE$8:$AE$307&lt;&gt;"")*ISNUMBER(SEARCH(거래처별!$AE$8:$AE$307,$AB1249))),거래처별!$A$8:$A$307),0))))</f>
        <v/>
      </c>
      <c r="AD1249" s="31">
        <f>IF(AND($Y1249&lt;&gt;"",N($Z1249)&gt;0,$AC1249=0),MAX($AD$7:$AD1248)+1,"")</f>
        <v/>
      </c>
      <c r="AE1249" s="31">
        <f>IF($Y1249="",0,$Y1249)</f>
        <v/>
      </c>
    </row>
    <row r="1250">
      <c r="W1250" s="31">
        <f>IF(OR($B$5="",$C$6="",ROW()&lt;$B$5),"",IF(INDEX($A:$U,ROW(),$C$6)="","",INDEX($A:$U,ROW(),$C$6)))</f>
        <v/>
      </c>
      <c r="X1250" s="32">
        <f>IF($W1250="","",IF(ISNUMBER($W1250),IF($W1250&gt;=10000000,IFERROR(DATE(INT($W1250/10000),MOD(INT($W1250/100),100),MOD($W1250,100)),""),INT($W1250)),IFERROR(DATE(--LEFT(LEFT(SUBSTITUTE(SUBSTITUTE(SUBSTITUTE(SUBSTITUTE(TRIM($W1250),"-",""),".",""),"/","")," ",""),8),4),--MID(LEFT(SUBSTITUTE(SUBSTITUTE(SUBSTITUTE(SUBSTITUTE(TRIM($W1250),"-",""),".",""),"/","")," ",""),8),5,2),--MID(LEFT(SUBSTITUTE(SUBSTITUTE(SUBSTITUTE(SUBSTITUTE(TRIM($W1250),"-",""),".",""),"/","")," ",""),8),7,2)),"")))</f>
        <v/>
      </c>
      <c r="Y1250" s="32">
        <f>IF($X1250="","",INT($X1250))</f>
        <v/>
      </c>
      <c r="Z1250" s="33">
        <f>IF(OR($Y1250="",$D$6=""),"",IF(INDEX($A:$U,ROW(),$D$6)="",0,IF(ISNUMBER(INDEX($A:$U,ROW(),$D$6)),INDEX($A:$U,ROW(),$D$6),IFERROR(--SUBSTITUTE(SUBSTITUTE(TRIM(INDEX($A:$U,ROW(),$D$6)),",",""),"원",""),0))))</f>
        <v/>
      </c>
      <c r="AA1250" s="31">
        <f>IF($Y1250="","",TRIM(INDEX($A:$U,ROW(),$E$6)&amp;IF($F$6="",""," "&amp;INDEX($A:$U,ROW(),$F$6))))</f>
        <v/>
      </c>
      <c r="AB1250" s="31">
        <f>IF($AA1250="","",SUBSTITUTE(SUBSTITUTE(SUBSTITUTE(SUBSTITUTE(SUBSTITUTE(SUBSTITUTE(SUBSTITUTE(SUBSTITUTE(SUBSTITUTE($AA1250," ",""),"　",""),"(주)",""),"（주）",""),"㈜",""),"주식회사",""),"(유)",""),"（유）",""),"유한회사",""))</f>
        <v/>
      </c>
      <c r="AC1250" s="31">
        <f>IF(OR($Y1250="",N($Z1250)&lt;=0,$AB1250=""),0,IFERROR(LOOKUP(2,1/((거래처별!$AC$8:$AC$307&lt;&gt;"")*ISNUMBER(SEARCH(거래처별!$AC$8:$AC$307,$AB1250))),거래처별!$A$8:$A$307),IFERROR(LOOKUP(2,1/((거래처별!$AD$8:$AD$307&lt;&gt;"")*ISNUMBER(SEARCH(거래처별!$AD$8:$AD$307,$AB1250))),거래처별!$A$8:$A$307),IFERROR(LOOKUP(2,1/((거래처별!$AE$8:$AE$307&lt;&gt;"")*ISNUMBER(SEARCH(거래처별!$AE$8:$AE$307,$AB1250))),거래처별!$A$8:$A$307),0))))</f>
        <v/>
      </c>
      <c r="AD1250" s="31">
        <f>IF(AND($Y1250&lt;&gt;"",N($Z1250)&gt;0,$AC1250=0),MAX($AD$7:$AD1249)+1,"")</f>
        <v/>
      </c>
      <c r="AE1250" s="31">
        <f>IF($Y1250="",0,$Y1250)</f>
        <v/>
      </c>
    </row>
    <row r="1251">
      <c r="W1251" s="31">
        <f>IF(OR($B$5="",$C$6="",ROW()&lt;$B$5),"",IF(INDEX($A:$U,ROW(),$C$6)="","",INDEX($A:$U,ROW(),$C$6)))</f>
        <v/>
      </c>
      <c r="X1251" s="32">
        <f>IF($W1251="","",IF(ISNUMBER($W1251),IF($W1251&gt;=10000000,IFERROR(DATE(INT($W1251/10000),MOD(INT($W1251/100),100),MOD($W1251,100)),""),INT($W1251)),IFERROR(DATE(--LEFT(LEFT(SUBSTITUTE(SUBSTITUTE(SUBSTITUTE(SUBSTITUTE(TRIM($W1251),"-",""),".",""),"/","")," ",""),8),4),--MID(LEFT(SUBSTITUTE(SUBSTITUTE(SUBSTITUTE(SUBSTITUTE(TRIM($W1251),"-",""),".",""),"/","")," ",""),8),5,2),--MID(LEFT(SUBSTITUTE(SUBSTITUTE(SUBSTITUTE(SUBSTITUTE(TRIM($W1251),"-",""),".",""),"/","")," ",""),8),7,2)),"")))</f>
        <v/>
      </c>
      <c r="Y1251" s="32">
        <f>IF($X1251="","",INT($X1251))</f>
        <v/>
      </c>
      <c r="Z1251" s="33">
        <f>IF(OR($Y1251="",$D$6=""),"",IF(INDEX($A:$U,ROW(),$D$6)="",0,IF(ISNUMBER(INDEX($A:$U,ROW(),$D$6)),INDEX($A:$U,ROW(),$D$6),IFERROR(--SUBSTITUTE(SUBSTITUTE(TRIM(INDEX($A:$U,ROW(),$D$6)),",",""),"원",""),0))))</f>
        <v/>
      </c>
      <c r="AA1251" s="31">
        <f>IF($Y1251="","",TRIM(INDEX($A:$U,ROW(),$E$6)&amp;IF($F$6="",""," "&amp;INDEX($A:$U,ROW(),$F$6))))</f>
        <v/>
      </c>
      <c r="AB1251" s="31">
        <f>IF($AA1251="","",SUBSTITUTE(SUBSTITUTE(SUBSTITUTE(SUBSTITUTE(SUBSTITUTE(SUBSTITUTE(SUBSTITUTE(SUBSTITUTE(SUBSTITUTE($AA1251," ",""),"　",""),"(주)",""),"（주）",""),"㈜",""),"주식회사",""),"(유)",""),"（유）",""),"유한회사",""))</f>
        <v/>
      </c>
      <c r="AC1251" s="31">
        <f>IF(OR($Y1251="",N($Z1251)&lt;=0,$AB1251=""),0,IFERROR(LOOKUP(2,1/((거래처별!$AC$8:$AC$307&lt;&gt;"")*ISNUMBER(SEARCH(거래처별!$AC$8:$AC$307,$AB1251))),거래처별!$A$8:$A$307),IFERROR(LOOKUP(2,1/((거래처별!$AD$8:$AD$307&lt;&gt;"")*ISNUMBER(SEARCH(거래처별!$AD$8:$AD$307,$AB1251))),거래처별!$A$8:$A$307),IFERROR(LOOKUP(2,1/((거래처별!$AE$8:$AE$307&lt;&gt;"")*ISNUMBER(SEARCH(거래처별!$AE$8:$AE$307,$AB1251))),거래처별!$A$8:$A$307),0))))</f>
        <v/>
      </c>
      <c r="AD1251" s="31">
        <f>IF(AND($Y1251&lt;&gt;"",N($Z1251)&gt;0,$AC1251=0),MAX($AD$7:$AD1250)+1,"")</f>
        <v/>
      </c>
      <c r="AE1251" s="31">
        <f>IF($Y1251="",0,$Y1251)</f>
        <v/>
      </c>
    </row>
    <row r="1252">
      <c r="W1252" s="31">
        <f>IF(OR($B$5="",$C$6="",ROW()&lt;$B$5),"",IF(INDEX($A:$U,ROW(),$C$6)="","",INDEX($A:$U,ROW(),$C$6)))</f>
        <v/>
      </c>
      <c r="X1252" s="32">
        <f>IF($W1252="","",IF(ISNUMBER($W1252),IF($W1252&gt;=10000000,IFERROR(DATE(INT($W1252/10000),MOD(INT($W1252/100),100),MOD($W1252,100)),""),INT($W1252)),IFERROR(DATE(--LEFT(LEFT(SUBSTITUTE(SUBSTITUTE(SUBSTITUTE(SUBSTITUTE(TRIM($W1252),"-",""),".",""),"/","")," ",""),8),4),--MID(LEFT(SUBSTITUTE(SUBSTITUTE(SUBSTITUTE(SUBSTITUTE(TRIM($W1252),"-",""),".",""),"/","")," ",""),8),5,2),--MID(LEFT(SUBSTITUTE(SUBSTITUTE(SUBSTITUTE(SUBSTITUTE(TRIM($W1252),"-",""),".",""),"/","")," ",""),8),7,2)),"")))</f>
        <v/>
      </c>
      <c r="Y1252" s="32">
        <f>IF($X1252="","",INT($X1252))</f>
        <v/>
      </c>
      <c r="Z1252" s="33">
        <f>IF(OR($Y1252="",$D$6=""),"",IF(INDEX($A:$U,ROW(),$D$6)="",0,IF(ISNUMBER(INDEX($A:$U,ROW(),$D$6)),INDEX($A:$U,ROW(),$D$6),IFERROR(--SUBSTITUTE(SUBSTITUTE(TRIM(INDEX($A:$U,ROW(),$D$6)),",",""),"원",""),0))))</f>
        <v/>
      </c>
      <c r="AA1252" s="31">
        <f>IF($Y1252="","",TRIM(INDEX($A:$U,ROW(),$E$6)&amp;IF($F$6="",""," "&amp;INDEX($A:$U,ROW(),$F$6))))</f>
        <v/>
      </c>
      <c r="AB1252" s="31">
        <f>IF($AA1252="","",SUBSTITUTE(SUBSTITUTE(SUBSTITUTE(SUBSTITUTE(SUBSTITUTE(SUBSTITUTE(SUBSTITUTE(SUBSTITUTE(SUBSTITUTE($AA1252," ",""),"　",""),"(주)",""),"（주）",""),"㈜",""),"주식회사",""),"(유)",""),"（유）",""),"유한회사",""))</f>
        <v/>
      </c>
      <c r="AC1252" s="31">
        <f>IF(OR($Y1252="",N($Z1252)&lt;=0,$AB1252=""),0,IFERROR(LOOKUP(2,1/((거래처별!$AC$8:$AC$307&lt;&gt;"")*ISNUMBER(SEARCH(거래처별!$AC$8:$AC$307,$AB1252))),거래처별!$A$8:$A$307),IFERROR(LOOKUP(2,1/((거래처별!$AD$8:$AD$307&lt;&gt;"")*ISNUMBER(SEARCH(거래처별!$AD$8:$AD$307,$AB1252))),거래처별!$A$8:$A$307),IFERROR(LOOKUP(2,1/((거래처별!$AE$8:$AE$307&lt;&gt;"")*ISNUMBER(SEARCH(거래처별!$AE$8:$AE$307,$AB1252))),거래처별!$A$8:$A$307),0))))</f>
        <v/>
      </c>
      <c r="AD1252" s="31">
        <f>IF(AND($Y1252&lt;&gt;"",N($Z1252)&gt;0,$AC1252=0),MAX($AD$7:$AD1251)+1,"")</f>
        <v/>
      </c>
      <c r="AE1252" s="31">
        <f>IF($Y1252="",0,$Y1252)</f>
        <v/>
      </c>
    </row>
    <row r="1253">
      <c r="W1253" s="31">
        <f>IF(OR($B$5="",$C$6="",ROW()&lt;$B$5),"",IF(INDEX($A:$U,ROW(),$C$6)="","",INDEX($A:$U,ROW(),$C$6)))</f>
        <v/>
      </c>
      <c r="X1253" s="32">
        <f>IF($W1253="","",IF(ISNUMBER($W1253),IF($W1253&gt;=10000000,IFERROR(DATE(INT($W1253/10000),MOD(INT($W1253/100),100),MOD($W1253,100)),""),INT($W1253)),IFERROR(DATE(--LEFT(LEFT(SUBSTITUTE(SUBSTITUTE(SUBSTITUTE(SUBSTITUTE(TRIM($W1253),"-",""),".",""),"/","")," ",""),8),4),--MID(LEFT(SUBSTITUTE(SUBSTITUTE(SUBSTITUTE(SUBSTITUTE(TRIM($W1253),"-",""),".",""),"/","")," ",""),8),5,2),--MID(LEFT(SUBSTITUTE(SUBSTITUTE(SUBSTITUTE(SUBSTITUTE(TRIM($W1253),"-",""),".",""),"/","")," ",""),8),7,2)),"")))</f>
        <v/>
      </c>
      <c r="Y1253" s="32">
        <f>IF($X1253="","",INT($X1253))</f>
        <v/>
      </c>
      <c r="Z1253" s="33">
        <f>IF(OR($Y1253="",$D$6=""),"",IF(INDEX($A:$U,ROW(),$D$6)="",0,IF(ISNUMBER(INDEX($A:$U,ROW(),$D$6)),INDEX($A:$U,ROW(),$D$6),IFERROR(--SUBSTITUTE(SUBSTITUTE(TRIM(INDEX($A:$U,ROW(),$D$6)),",",""),"원",""),0))))</f>
        <v/>
      </c>
      <c r="AA1253" s="31">
        <f>IF($Y1253="","",TRIM(INDEX($A:$U,ROW(),$E$6)&amp;IF($F$6="",""," "&amp;INDEX($A:$U,ROW(),$F$6))))</f>
        <v/>
      </c>
      <c r="AB1253" s="31">
        <f>IF($AA1253="","",SUBSTITUTE(SUBSTITUTE(SUBSTITUTE(SUBSTITUTE(SUBSTITUTE(SUBSTITUTE(SUBSTITUTE(SUBSTITUTE(SUBSTITUTE($AA1253," ",""),"　",""),"(주)",""),"（주）",""),"㈜",""),"주식회사",""),"(유)",""),"（유）",""),"유한회사",""))</f>
        <v/>
      </c>
      <c r="AC1253" s="31">
        <f>IF(OR($Y1253="",N($Z1253)&lt;=0,$AB1253=""),0,IFERROR(LOOKUP(2,1/((거래처별!$AC$8:$AC$307&lt;&gt;"")*ISNUMBER(SEARCH(거래처별!$AC$8:$AC$307,$AB1253))),거래처별!$A$8:$A$307),IFERROR(LOOKUP(2,1/((거래처별!$AD$8:$AD$307&lt;&gt;"")*ISNUMBER(SEARCH(거래처별!$AD$8:$AD$307,$AB1253))),거래처별!$A$8:$A$307),IFERROR(LOOKUP(2,1/((거래처별!$AE$8:$AE$307&lt;&gt;"")*ISNUMBER(SEARCH(거래처별!$AE$8:$AE$307,$AB1253))),거래처별!$A$8:$A$307),0))))</f>
        <v/>
      </c>
      <c r="AD1253" s="31">
        <f>IF(AND($Y1253&lt;&gt;"",N($Z1253)&gt;0,$AC1253=0),MAX($AD$7:$AD1252)+1,"")</f>
        <v/>
      </c>
      <c r="AE1253" s="31">
        <f>IF($Y1253="",0,$Y1253)</f>
        <v/>
      </c>
    </row>
    <row r="1254">
      <c r="W1254" s="31">
        <f>IF(OR($B$5="",$C$6="",ROW()&lt;$B$5),"",IF(INDEX($A:$U,ROW(),$C$6)="","",INDEX($A:$U,ROW(),$C$6)))</f>
        <v/>
      </c>
      <c r="X1254" s="32">
        <f>IF($W1254="","",IF(ISNUMBER($W1254),IF($W1254&gt;=10000000,IFERROR(DATE(INT($W1254/10000),MOD(INT($W1254/100),100),MOD($W1254,100)),""),INT($W1254)),IFERROR(DATE(--LEFT(LEFT(SUBSTITUTE(SUBSTITUTE(SUBSTITUTE(SUBSTITUTE(TRIM($W1254),"-",""),".",""),"/","")," ",""),8),4),--MID(LEFT(SUBSTITUTE(SUBSTITUTE(SUBSTITUTE(SUBSTITUTE(TRIM($W1254),"-",""),".",""),"/","")," ",""),8),5,2),--MID(LEFT(SUBSTITUTE(SUBSTITUTE(SUBSTITUTE(SUBSTITUTE(TRIM($W1254),"-",""),".",""),"/","")," ",""),8),7,2)),"")))</f>
        <v/>
      </c>
      <c r="Y1254" s="32">
        <f>IF($X1254="","",INT($X1254))</f>
        <v/>
      </c>
      <c r="Z1254" s="33">
        <f>IF(OR($Y1254="",$D$6=""),"",IF(INDEX($A:$U,ROW(),$D$6)="",0,IF(ISNUMBER(INDEX($A:$U,ROW(),$D$6)),INDEX($A:$U,ROW(),$D$6),IFERROR(--SUBSTITUTE(SUBSTITUTE(TRIM(INDEX($A:$U,ROW(),$D$6)),",",""),"원",""),0))))</f>
        <v/>
      </c>
      <c r="AA1254" s="31">
        <f>IF($Y1254="","",TRIM(INDEX($A:$U,ROW(),$E$6)&amp;IF($F$6="",""," "&amp;INDEX($A:$U,ROW(),$F$6))))</f>
        <v/>
      </c>
      <c r="AB1254" s="31">
        <f>IF($AA1254="","",SUBSTITUTE(SUBSTITUTE(SUBSTITUTE(SUBSTITUTE(SUBSTITUTE(SUBSTITUTE(SUBSTITUTE(SUBSTITUTE(SUBSTITUTE($AA1254," ",""),"　",""),"(주)",""),"（주）",""),"㈜",""),"주식회사",""),"(유)",""),"（유）",""),"유한회사",""))</f>
        <v/>
      </c>
      <c r="AC1254" s="31">
        <f>IF(OR($Y1254="",N($Z1254)&lt;=0,$AB1254=""),0,IFERROR(LOOKUP(2,1/((거래처별!$AC$8:$AC$307&lt;&gt;"")*ISNUMBER(SEARCH(거래처별!$AC$8:$AC$307,$AB1254))),거래처별!$A$8:$A$307),IFERROR(LOOKUP(2,1/((거래처별!$AD$8:$AD$307&lt;&gt;"")*ISNUMBER(SEARCH(거래처별!$AD$8:$AD$307,$AB1254))),거래처별!$A$8:$A$307),IFERROR(LOOKUP(2,1/((거래처별!$AE$8:$AE$307&lt;&gt;"")*ISNUMBER(SEARCH(거래처별!$AE$8:$AE$307,$AB1254))),거래처별!$A$8:$A$307),0))))</f>
        <v/>
      </c>
      <c r="AD1254" s="31">
        <f>IF(AND($Y1254&lt;&gt;"",N($Z1254)&gt;0,$AC1254=0),MAX($AD$7:$AD1253)+1,"")</f>
        <v/>
      </c>
      <c r="AE1254" s="31">
        <f>IF($Y1254="",0,$Y1254)</f>
        <v/>
      </c>
    </row>
    <row r="1255">
      <c r="W1255" s="31">
        <f>IF(OR($B$5="",$C$6="",ROW()&lt;$B$5),"",IF(INDEX($A:$U,ROW(),$C$6)="","",INDEX($A:$U,ROW(),$C$6)))</f>
        <v/>
      </c>
      <c r="X1255" s="32">
        <f>IF($W1255="","",IF(ISNUMBER($W1255),IF($W1255&gt;=10000000,IFERROR(DATE(INT($W1255/10000),MOD(INT($W1255/100),100),MOD($W1255,100)),""),INT($W1255)),IFERROR(DATE(--LEFT(LEFT(SUBSTITUTE(SUBSTITUTE(SUBSTITUTE(SUBSTITUTE(TRIM($W1255),"-",""),".",""),"/","")," ",""),8),4),--MID(LEFT(SUBSTITUTE(SUBSTITUTE(SUBSTITUTE(SUBSTITUTE(TRIM($W1255),"-",""),".",""),"/","")," ",""),8),5,2),--MID(LEFT(SUBSTITUTE(SUBSTITUTE(SUBSTITUTE(SUBSTITUTE(TRIM($W1255),"-",""),".",""),"/","")," ",""),8),7,2)),"")))</f>
        <v/>
      </c>
      <c r="Y1255" s="32">
        <f>IF($X1255="","",INT($X1255))</f>
        <v/>
      </c>
      <c r="Z1255" s="33">
        <f>IF(OR($Y1255="",$D$6=""),"",IF(INDEX($A:$U,ROW(),$D$6)="",0,IF(ISNUMBER(INDEX($A:$U,ROW(),$D$6)),INDEX($A:$U,ROW(),$D$6),IFERROR(--SUBSTITUTE(SUBSTITUTE(TRIM(INDEX($A:$U,ROW(),$D$6)),",",""),"원",""),0))))</f>
        <v/>
      </c>
      <c r="AA1255" s="31">
        <f>IF($Y1255="","",TRIM(INDEX($A:$U,ROW(),$E$6)&amp;IF($F$6="",""," "&amp;INDEX($A:$U,ROW(),$F$6))))</f>
        <v/>
      </c>
      <c r="AB1255" s="31">
        <f>IF($AA1255="","",SUBSTITUTE(SUBSTITUTE(SUBSTITUTE(SUBSTITUTE(SUBSTITUTE(SUBSTITUTE(SUBSTITUTE(SUBSTITUTE(SUBSTITUTE($AA1255," ",""),"　",""),"(주)",""),"（주）",""),"㈜",""),"주식회사",""),"(유)",""),"（유）",""),"유한회사",""))</f>
        <v/>
      </c>
      <c r="AC1255" s="31">
        <f>IF(OR($Y1255="",N($Z1255)&lt;=0,$AB1255=""),0,IFERROR(LOOKUP(2,1/((거래처별!$AC$8:$AC$307&lt;&gt;"")*ISNUMBER(SEARCH(거래처별!$AC$8:$AC$307,$AB1255))),거래처별!$A$8:$A$307),IFERROR(LOOKUP(2,1/((거래처별!$AD$8:$AD$307&lt;&gt;"")*ISNUMBER(SEARCH(거래처별!$AD$8:$AD$307,$AB1255))),거래처별!$A$8:$A$307),IFERROR(LOOKUP(2,1/((거래처별!$AE$8:$AE$307&lt;&gt;"")*ISNUMBER(SEARCH(거래처별!$AE$8:$AE$307,$AB1255))),거래처별!$A$8:$A$307),0))))</f>
        <v/>
      </c>
      <c r="AD1255" s="31">
        <f>IF(AND($Y1255&lt;&gt;"",N($Z1255)&gt;0,$AC1255=0),MAX($AD$7:$AD1254)+1,"")</f>
        <v/>
      </c>
      <c r="AE1255" s="31">
        <f>IF($Y1255="",0,$Y1255)</f>
        <v/>
      </c>
    </row>
    <row r="1256">
      <c r="W1256" s="31">
        <f>IF(OR($B$5="",$C$6="",ROW()&lt;$B$5),"",IF(INDEX($A:$U,ROW(),$C$6)="","",INDEX($A:$U,ROW(),$C$6)))</f>
        <v/>
      </c>
      <c r="X1256" s="32">
        <f>IF($W1256="","",IF(ISNUMBER($W1256),IF($W1256&gt;=10000000,IFERROR(DATE(INT($W1256/10000),MOD(INT($W1256/100),100),MOD($W1256,100)),""),INT($W1256)),IFERROR(DATE(--LEFT(LEFT(SUBSTITUTE(SUBSTITUTE(SUBSTITUTE(SUBSTITUTE(TRIM($W1256),"-",""),".",""),"/","")," ",""),8),4),--MID(LEFT(SUBSTITUTE(SUBSTITUTE(SUBSTITUTE(SUBSTITUTE(TRIM($W1256),"-",""),".",""),"/","")," ",""),8),5,2),--MID(LEFT(SUBSTITUTE(SUBSTITUTE(SUBSTITUTE(SUBSTITUTE(TRIM($W1256),"-",""),".",""),"/","")," ",""),8),7,2)),"")))</f>
        <v/>
      </c>
      <c r="Y1256" s="32">
        <f>IF($X1256="","",INT($X1256))</f>
        <v/>
      </c>
      <c r="Z1256" s="33">
        <f>IF(OR($Y1256="",$D$6=""),"",IF(INDEX($A:$U,ROW(),$D$6)="",0,IF(ISNUMBER(INDEX($A:$U,ROW(),$D$6)),INDEX($A:$U,ROW(),$D$6),IFERROR(--SUBSTITUTE(SUBSTITUTE(TRIM(INDEX($A:$U,ROW(),$D$6)),",",""),"원",""),0))))</f>
        <v/>
      </c>
      <c r="AA1256" s="31">
        <f>IF($Y1256="","",TRIM(INDEX($A:$U,ROW(),$E$6)&amp;IF($F$6="",""," "&amp;INDEX($A:$U,ROW(),$F$6))))</f>
        <v/>
      </c>
      <c r="AB1256" s="31">
        <f>IF($AA1256="","",SUBSTITUTE(SUBSTITUTE(SUBSTITUTE(SUBSTITUTE(SUBSTITUTE(SUBSTITUTE(SUBSTITUTE(SUBSTITUTE(SUBSTITUTE($AA1256," ",""),"　",""),"(주)",""),"（주）",""),"㈜",""),"주식회사",""),"(유)",""),"（유）",""),"유한회사",""))</f>
        <v/>
      </c>
      <c r="AC1256" s="31">
        <f>IF(OR($Y1256="",N($Z1256)&lt;=0,$AB1256=""),0,IFERROR(LOOKUP(2,1/((거래처별!$AC$8:$AC$307&lt;&gt;"")*ISNUMBER(SEARCH(거래처별!$AC$8:$AC$307,$AB1256))),거래처별!$A$8:$A$307),IFERROR(LOOKUP(2,1/((거래처별!$AD$8:$AD$307&lt;&gt;"")*ISNUMBER(SEARCH(거래처별!$AD$8:$AD$307,$AB1256))),거래처별!$A$8:$A$307),IFERROR(LOOKUP(2,1/((거래처별!$AE$8:$AE$307&lt;&gt;"")*ISNUMBER(SEARCH(거래처별!$AE$8:$AE$307,$AB1256))),거래처별!$A$8:$A$307),0))))</f>
        <v/>
      </c>
      <c r="AD1256" s="31">
        <f>IF(AND($Y1256&lt;&gt;"",N($Z1256)&gt;0,$AC1256=0),MAX($AD$7:$AD1255)+1,"")</f>
        <v/>
      </c>
      <c r="AE1256" s="31">
        <f>IF($Y1256="",0,$Y1256)</f>
        <v/>
      </c>
    </row>
    <row r="1257">
      <c r="W1257" s="31">
        <f>IF(OR($B$5="",$C$6="",ROW()&lt;$B$5),"",IF(INDEX($A:$U,ROW(),$C$6)="","",INDEX($A:$U,ROW(),$C$6)))</f>
        <v/>
      </c>
      <c r="X1257" s="32">
        <f>IF($W1257="","",IF(ISNUMBER($W1257),IF($W1257&gt;=10000000,IFERROR(DATE(INT($W1257/10000),MOD(INT($W1257/100),100),MOD($W1257,100)),""),INT($W1257)),IFERROR(DATE(--LEFT(LEFT(SUBSTITUTE(SUBSTITUTE(SUBSTITUTE(SUBSTITUTE(TRIM($W1257),"-",""),".",""),"/","")," ",""),8),4),--MID(LEFT(SUBSTITUTE(SUBSTITUTE(SUBSTITUTE(SUBSTITUTE(TRIM($W1257),"-",""),".",""),"/","")," ",""),8),5,2),--MID(LEFT(SUBSTITUTE(SUBSTITUTE(SUBSTITUTE(SUBSTITUTE(TRIM($W1257),"-",""),".",""),"/","")," ",""),8),7,2)),"")))</f>
        <v/>
      </c>
      <c r="Y1257" s="32">
        <f>IF($X1257="","",INT($X1257))</f>
        <v/>
      </c>
      <c r="Z1257" s="33">
        <f>IF(OR($Y1257="",$D$6=""),"",IF(INDEX($A:$U,ROW(),$D$6)="",0,IF(ISNUMBER(INDEX($A:$U,ROW(),$D$6)),INDEX($A:$U,ROW(),$D$6),IFERROR(--SUBSTITUTE(SUBSTITUTE(TRIM(INDEX($A:$U,ROW(),$D$6)),",",""),"원",""),0))))</f>
        <v/>
      </c>
      <c r="AA1257" s="31">
        <f>IF($Y1257="","",TRIM(INDEX($A:$U,ROW(),$E$6)&amp;IF($F$6="",""," "&amp;INDEX($A:$U,ROW(),$F$6))))</f>
        <v/>
      </c>
      <c r="AB1257" s="31">
        <f>IF($AA1257="","",SUBSTITUTE(SUBSTITUTE(SUBSTITUTE(SUBSTITUTE(SUBSTITUTE(SUBSTITUTE(SUBSTITUTE(SUBSTITUTE(SUBSTITUTE($AA1257," ",""),"　",""),"(주)",""),"（주）",""),"㈜",""),"주식회사",""),"(유)",""),"（유）",""),"유한회사",""))</f>
        <v/>
      </c>
      <c r="AC1257" s="31">
        <f>IF(OR($Y1257="",N($Z1257)&lt;=0,$AB1257=""),0,IFERROR(LOOKUP(2,1/((거래처별!$AC$8:$AC$307&lt;&gt;"")*ISNUMBER(SEARCH(거래처별!$AC$8:$AC$307,$AB1257))),거래처별!$A$8:$A$307),IFERROR(LOOKUP(2,1/((거래처별!$AD$8:$AD$307&lt;&gt;"")*ISNUMBER(SEARCH(거래처별!$AD$8:$AD$307,$AB1257))),거래처별!$A$8:$A$307),IFERROR(LOOKUP(2,1/((거래처별!$AE$8:$AE$307&lt;&gt;"")*ISNUMBER(SEARCH(거래처별!$AE$8:$AE$307,$AB1257))),거래처별!$A$8:$A$307),0))))</f>
        <v/>
      </c>
      <c r="AD1257" s="31">
        <f>IF(AND($Y1257&lt;&gt;"",N($Z1257)&gt;0,$AC1257=0),MAX($AD$7:$AD1256)+1,"")</f>
        <v/>
      </c>
      <c r="AE1257" s="31">
        <f>IF($Y1257="",0,$Y1257)</f>
        <v/>
      </c>
    </row>
    <row r="1258">
      <c r="W1258" s="31">
        <f>IF(OR($B$5="",$C$6="",ROW()&lt;$B$5),"",IF(INDEX($A:$U,ROW(),$C$6)="","",INDEX($A:$U,ROW(),$C$6)))</f>
        <v/>
      </c>
      <c r="X1258" s="32">
        <f>IF($W1258="","",IF(ISNUMBER($W1258),IF($W1258&gt;=10000000,IFERROR(DATE(INT($W1258/10000),MOD(INT($W1258/100),100),MOD($W1258,100)),""),INT($W1258)),IFERROR(DATE(--LEFT(LEFT(SUBSTITUTE(SUBSTITUTE(SUBSTITUTE(SUBSTITUTE(TRIM($W1258),"-",""),".",""),"/","")," ",""),8),4),--MID(LEFT(SUBSTITUTE(SUBSTITUTE(SUBSTITUTE(SUBSTITUTE(TRIM($W1258),"-",""),".",""),"/","")," ",""),8),5,2),--MID(LEFT(SUBSTITUTE(SUBSTITUTE(SUBSTITUTE(SUBSTITUTE(TRIM($W1258),"-",""),".",""),"/","")," ",""),8),7,2)),"")))</f>
        <v/>
      </c>
      <c r="Y1258" s="32">
        <f>IF($X1258="","",INT($X1258))</f>
        <v/>
      </c>
      <c r="Z1258" s="33">
        <f>IF(OR($Y1258="",$D$6=""),"",IF(INDEX($A:$U,ROW(),$D$6)="",0,IF(ISNUMBER(INDEX($A:$U,ROW(),$D$6)),INDEX($A:$U,ROW(),$D$6),IFERROR(--SUBSTITUTE(SUBSTITUTE(TRIM(INDEX($A:$U,ROW(),$D$6)),",",""),"원",""),0))))</f>
        <v/>
      </c>
      <c r="AA1258" s="31">
        <f>IF($Y1258="","",TRIM(INDEX($A:$U,ROW(),$E$6)&amp;IF($F$6="",""," "&amp;INDEX($A:$U,ROW(),$F$6))))</f>
        <v/>
      </c>
      <c r="AB1258" s="31">
        <f>IF($AA1258="","",SUBSTITUTE(SUBSTITUTE(SUBSTITUTE(SUBSTITUTE(SUBSTITUTE(SUBSTITUTE(SUBSTITUTE(SUBSTITUTE(SUBSTITUTE($AA1258," ",""),"　",""),"(주)",""),"（주）",""),"㈜",""),"주식회사",""),"(유)",""),"（유）",""),"유한회사",""))</f>
        <v/>
      </c>
      <c r="AC1258" s="31">
        <f>IF(OR($Y1258="",N($Z1258)&lt;=0,$AB1258=""),0,IFERROR(LOOKUP(2,1/((거래처별!$AC$8:$AC$307&lt;&gt;"")*ISNUMBER(SEARCH(거래처별!$AC$8:$AC$307,$AB1258))),거래처별!$A$8:$A$307),IFERROR(LOOKUP(2,1/((거래처별!$AD$8:$AD$307&lt;&gt;"")*ISNUMBER(SEARCH(거래처별!$AD$8:$AD$307,$AB1258))),거래처별!$A$8:$A$307),IFERROR(LOOKUP(2,1/((거래처별!$AE$8:$AE$307&lt;&gt;"")*ISNUMBER(SEARCH(거래처별!$AE$8:$AE$307,$AB1258))),거래처별!$A$8:$A$307),0))))</f>
        <v/>
      </c>
      <c r="AD1258" s="31">
        <f>IF(AND($Y1258&lt;&gt;"",N($Z1258)&gt;0,$AC1258=0),MAX($AD$7:$AD1257)+1,"")</f>
        <v/>
      </c>
      <c r="AE1258" s="31">
        <f>IF($Y1258="",0,$Y1258)</f>
        <v/>
      </c>
    </row>
    <row r="1259">
      <c r="W1259" s="31">
        <f>IF(OR($B$5="",$C$6="",ROW()&lt;$B$5),"",IF(INDEX($A:$U,ROW(),$C$6)="","",INDEX($A:$U,ROW(),$C$6)))</f>
        <v/>
      </c>
      <c r="X1259" s="32">
        <f>IF($W1259="","",IF(ISNUMBER($W1259),IF($W1259&gt;=10000000,IFERROR(DATE(INT($W1259/10000),MOD(INT($W1259/100),100),MOD($W1259,100)),""),INT($W1259)),IFERROR(DATE(--LEFT(LEFT(SUBSTITUTE(SUBSTITUTE(SUBSTITUTE(SUBSTITUTE(TRIM($W1259),"-",""),".",""),"/","")," ",""),8),4),--MID(LEFT(SUBSTITUTE(SUBSTITUTE(SUBSTITUTE(SUBSTITUTE(TRIM($W1259),"-",""),".",""),"/","")," ",""),8),5,2),--MID(LEFT(SUBSTITUTE(SUBSTITUTE(SUBSTITUTE(SUBSTITUTE(TRIM($W1259),"-",""),".",""),"/","")," ",""),8),7,2)),"")))</f>
        <v/>
      </c>
      <c r="Y1259" s="32">
        <f>IF($X1259="","",INT($X1259))</f>
        <v/>
      </c>
      <c r="Z1259" s="33">
        <f>IF(OR($Y1259="",$D$6=""),"",IF(INDEX($A:$U,ROW(),$D$6)="",0,IF(ISNUMBER(INDEX($A:$U,ROW(),$D$6)),INDEX($A:$U,ROW(),$D$6),IFERROR(--SUBSTITUTE(SUBSTITUTE(TRIM(INDEX($A:$U,ROW(),$D$6)),",",""),"원",""),0))))</f>
        <v/>
      </c>
      <c r="AA1259" s="31">
        <f>IF($Y1259="","",TRIM(INDEX($A:$U,ROW(),$E$6)&amp;IF($F$6="",""," "&amp;INDEX($A:$U,ROW(),$F$6))))</f>
        <v/>
      </c>
      <c r="AB1259" s="31">
        <f>IF($AA1259="","",SUBSTITUTE(SUBSTITUTE(SUBSTITUTE(SUBSTITUTE(SUBSTITUTE(SUBSTITUTE(SUBSTITUTE(SUBSTITUTE(SUBSTITUTE($AA1259," ",""),"　",""),"(주)",""),"（주）",""),"㈜",""),"주식회사",""),"(유)",""),"（유）",""),"유한회사",""))</f>
        <v/>
      </c>
      <c r="AC1259" s="31">
        <f>IF(OR($Y1259="",N($Z1259)&lt;=0,$AB1259=""),0,IFERROR(LOOKUP(2,1/((거래처별!$AC$8:$AC$307&lt;&gt;"")*ISNUMBER(SEARCH(거래처별!$AC$8:$AC$307,$AB1259))),거래처별!$A$8:$A$307),IFERROR(LOOKUP(2,1/((거래처별!$AD$8:$AD$307&lt;&gt;"")*ISNUMBER(SEARCH(거래처별!$AD$8:$AD$307,$AB1259))),거래처별!$A$8:$A$307),IFERROR(LOOKUP(2,1/((거래처별!$AE$8:$AE$307&lt;&gt;"")*ISNUMBER(SEARCH(거래처별!$AE$8:$AE$307,$AB1259))),거래처별!$A$8:$A$307),0))))</f>
        <v/>
      </c>
      <c r="AD1259" s="31">
        <f>IF(AND($Y1259&lt;&gt;"",N($Z1259)&gt;0,$AC1259=0),MAX($AD$7:$AD1258)+1,"")</f>
        <v/>
      </c>
      <c r="AE1259" s="31">
        <f>IF($Y1259="",0,$Y1259)</f>
        <v/>
      </c>
    </row>
    <row r="1260">
      <c r="W1260" s="31">
        <f>IF(OR($B$5="",$C$6="",ROW()&lt;$B$5),"",IF(INDEX($A:$U,ROW(),$C$6)="","",INDEX($A:$U,ROW(),$C$6)))</f>
        <v/>
      </c>
      <c r="X1260" s="32">
        <f>IF($W1260="","",IF(ISNUMBER($W1260),IF($W1260&gt;=10000000,IFERROR(DATE(INT($W1260/10000),MOD(INT($W1260/100),100),MOD($W1260,100)),""),INT($W1260)),IFERROR(DATE(--LEFT(LEFT(SUBSTITUTE(SUBSTITUTE(SUBSTITUTE(SUBSTITUTE(TRIM($W1260),"-",""),".",""),"/","")," ",""),8),4),--MID(LEFT(SUBSTITUTE(SUBSTITUTE(SUBSTITUTE(SUBSTITUTE(TRIM($W1260),"-",""),".",""),"/","")," ",""),8),5,2),--MID(LEFT(SUBSTITUTE(SUBSTITUTE(SUBSTITUTE(SUBSTITUTE(TRIM($W1260),"-",""),".",""),"/","")," ",""),8),7,2)),"")))</f>
        <v/>
      </c>
      <c r="Y1260" s="32">
        <f>IF($X1260="","",INT($X1260))</f>
        <v/>
      </c>
      <c r="Z1260" s="33">
        <f>IF(OR($Y1260="",$D$6=""),"",IF(INDEX($A:$U,ROW(),$D$6)="",0,IF(ISNUMBER(INDEX($A:$U,ROW(),$D$6)),INDEX($A:$U,ROW(),$D$6),IFERROR(--SUBSTITUTE(SUBSTITUTE(TRIM(INDEX($A:$U,ROW(),$D$6)),",",""),"원",""),0))))</f>
        <v/>
      </c>
      <c r="AA1260" s="31">
        <f>IF($Y1260="","",TRIM(INDEX($A:$U,ROW(),$E$6)&amp;IF($F$6="",""," "&amp;INDEX($A:$U,ROW(),$F$6))))</f>
        <v/>
      </c>
      <c r="AB1260" s="31">
        <f>IF($AA1260="","",SUBSTITUTE(SUBSTITUTE(SUBSTITUTE(SUBSTITUTE(SUBSTITUTE(SUBSTITUTE(SUBSTITUTE(SUBSTITUTE(SUBSTITUTE($AA1260," ",""),"　",""),"(주)",""),"（주）",""),"㈜",""),"주식회사",""),"(유)",""),"（유）",""),"유한회사",""))</f>
        <v/>
      </c>
      <c r="AC1260" s="31">
        <f>IF(OR($Y1260="",N($Z1260)&lt;=0,$AB1260=""),0,IFERROR(LOOKUP(2,1/((거래처별!$AC$8:$AC$307&lt;&gt;"")*ISNUMBER(SEARCH(거래처별!$AC$8:$AC$307,$AB1260))),거래처별!$A$8:$A$307),IFERROR(LOOKUP(2,1/((거래처별!$AD$8:$AD$307&lt;&gt;"")*ISNUMBER(SEARCH(거래처별!$AD$8:$AD$307,$AB1260))),거래처별!$A$8:$A$307),IFERROR(LOOKUP(2,1/((거래처별!$AE$8:$AE$307&lt;&gt;"")*ISNUMBER(SEARCH(거래처별!$AE$8:$AE$307,$AB1260))),거래처별!$A$8:$A$307),0))))</f>
        <v/>
      </c>
      <c r="AD1260" s="31">
        <f>IF(AND($Y1260&lt;&gt;"",N($Z1260)&gt;0,$AC1260=0),MAX($AD$7:$AD1259)+1,"")</f>
        <v/>
      </c>
      <c r="AE1260" s="31">
        <f>IF($Y1260="",0,$Y1260)</f>
        <v/>
      </c>
    </row>
    <row r="1261">
      <c r="W1261" s="31">
        <f>IF(OR($B$5="",$C$6="",ROW()&lt;$B$5),"",IF(INDEX($A:$U,ROW(),$C$6)="","",INDEX($A:$U,ROW(),$C$6)))</f>
        <v/>
      </c>
      <c r="X1261" s="32">
        <f>IF($W1261="","",IF(ISNUMBER($W1261),IF($W1261&gt;=10000000,IFERROR(DATE(INT($W1261/10000),MOD(INT($W1261/100),100),MOD($W1261,100)),""),INT($W1261)),IFERROR(DATE(--LEFT(LEFT(SUBSTITUTE(SUBSTITUTE(SUBSTITUTE(SUBSTITUTE(TRIM($W1261),"-",""),".",""),"/","")," ",""),8),4),--MID(LEFT(SUBSTITUTE(SUBSTITUTE(SUBSTITUTE(SUBSTITUTE(TRIM($W1261),"-",""),".",""),"/","")," ",""),8),5,2),--MID(LEFT(SUBSTITUTE(SUBSTITUTE(SUBSTITUTE(SUBSTITUTE(TRIM($W1261),"-",""),".",""),"/","")," ",""),8),7,2)),"")))</f>
        <v/>
      </c>
      <c r="Y1261" s="32">
        <f>IF($X1261="","",INT($X1261))</f>
        <v/>
      </c>
      <c r="Z1261" s="33">
        <f>IF(OR($Y1261="",$D$6=""),"",IF(INDEX($A:$U,ROW(),$D$6)="",0,IF(ISNUMBER(INDEX($A:$U,ROW(),$D$6)),INDEX($A:$U,ROW(),$D$6),IFERROR(--SUBSTITUTE(SUBSTITUTE(TRIM(INDEX($A:$U,ROW(),$D$6)),",",""),"원",""),0))))</f>
        <v/>
      </c>
      <c r="AA1261" s="31">
        <f>IF($Y1261="","",TRIM(INDEX($A:$U,ROW(),$E$6)&amp;IF($F$6="",""," "&amp;INDEX($A:$U,ROW(),$F$6))))</f>
        <v/>
      </c>
      <c r="AB1261" s="31">
        <f>IF($AA1261="","",SUBSTITUTE(SUBSTITUTE(SUBSTITUTE(SUBSTITUTE(SUBSTITUTE(SUBSTITUTE(SUBSTITUTE(SUBSTITUTE(SUBSTITUTE($AA1261," ",""),"　",""),"(주)",""),"（주）",""),"㈜",""),"주식회사",""),"(유)",""),"（유）",""),"유한회사",""))</f>
        <v/>
      </c>
      <c r="AC1261" s="31">
        <f>IF(OR($Y1261="",N($Z1261)&lt;=0,$AB1261=""),0,IFERROR(LOOKUP(2,1/((거래처별!$AC$8:$AC$307&lt;&gt;"")*ISNUMBER(SEARCH(거래처별!$AC$8:$AC$307,$AB1261))),거래처별!$A$8:$A$307),IFERROR(LOOKUP(2,1/((거래처별!$AD$8:$AD$307&lt;&gt;"")*ISNUMBER(SEARCH(거래처별!$AD$8:$AD$307,$AB1261))),거래처별!$A$8:$A$307),IFERROR(LOOKUP(2,1/((거래처별!$AE$8:$AE$307&lt;&gt;"")*ISNUMBER(SEARCH(거래처별!$AE$8:$AE$307,$AB1261))),거래처별!$A$8:$A$307),0))))</f>
        <v/>
      </c>
      <c r="AD1261" s="31">
        <f>IF(AND($Y1261&lt;&gt;"",N($Z1261)&gt;0,$AC1261=0),MAX($AD$7:$AD1260)+1,"")</f>
        <v/>
      </c>
      <c r="AE1261" s="31">
        <f>IF($Y1261="",0,$Y1261)</f>
        <v/>
      </c>
    </row>
    <row r="1262">
      <c r="W1262" s="31">
        <f>IF(OR($B$5="",$C$6="",ROW()&lt;$B$5),"",IF(INDEX($A:$U,ROW(),$C$6)="","",INDEX($A:$U,ROW(),$C$6)))</f>
        <v/>
      </c>
      <c r="X1262" s="32">
        <f>IF($W1262="","",IF(ISNUMBER($W1262),IF($W1262&gt;=10000000,IFERROR(DATE(INT($W1262/10000),MOD(INT($W1262/100),100),MOD($W1262,100)),""),INT($W1262)),IFERROR(DATE(--LEFT(LEFT(SUBSTITUTE(SUBSTITUTE(SUBSTITUTE(SUBSTITUTE(TRIM($W1262),"-",""),".",""),"/","")," ",""),8),4),--MID(LEFT(SUBSTITUTE(SUBSTITUTE(SUBSTITUTE(SUBSTITUTE(TRIM($W1262),"-",""),".",""),"/","")," ",""),8),5,2),--MID(LEFT(SUBSTITUTE(SUBSTITUTE(SUBSTITUTE(SUBSTITUTE(TRIM($W1262),"-",""),".",""),"/","")," ",""),8),7,2)),"")))</f>
        <v/>
      </c>
      <c r="Y1262" s="32">
        <f>IF($X1262="","",INT($X1262))</f>
        <v/>
      </c>
      <c r="Z1262" s="33">
        <f>IF(OR($Y1262="",$D$6=""),"",IF(INDEX($A:$U,ROW(),$D$6)="",0,IF(ISNUMBER(INDEX($A:$U,ROW(),$D$6)),INDEX($A:$U,ROW(),$D$6),IFERROR(--SUBSTITUTE(SUBSTITUTE(TRIM(INDEX($A:$U,ROW(),$D$6)),",",""),"원",""),0))))</f>
        <v/>
      </c>
      <c r="AA1262" s="31">
        <f>IF($Y1262="","",TRIM(INDEX($A:$U,ROW(),$E$6)&amp;IF($F$6="",""," "&amp;INDEX($A:$U,ROW(),$F$6))))</f>
        <v/>
      </c>
      <c r="AB1262" s="31">
        <f>IF($AA1262="","",SUBSTITUTE(SUBSTITUTE(SUBSTITUTE(SUBSTITUTE(SUBSTITUTE(SUBSTITUTE(SUBSTITUTE(SUBSTITUTE(SUBSTITUTE($AA1262," ",""),"　",""),"(주)",""),"（주）",""),"㈜",""),"주식회사",""),"(유)",""),"（유）",""),"유한회사",""))</f>
        <v/>
      </c>
      <c r="AC1262" s="31">
        <f>IF(OR($Y1262="",N($Z1262)&lt;=0,$AB1262=""),0,IFERROR(LOOKUP(2,1/((거래처별!$AC$8:$AC$307&lt;&gt;"")*ISNUMBER(SEARCH(거래처별!$AC$8:$AC$307,$AB1262))),거래처별!$A$8:$A$307),IFERROR(LOOKUP(2,1/((거래처별!$AD$8:$AD$307&lt;&gt;"")*ISNUMBER(SEARCH(거래처별!$AD$8:$AD$307,$AB1262))),거래처별!$A$8:$A$307),IFERROR(LOOKUP(2,1/((거래처별!$AE$8:$AE$307&lt;&gt;"")*ISNUMBER(SEARCH(거래처별!$AE$8:$AE$307,$AB1262))),거래처별!$A$8:$A$307),0))))</f>
        <v/>
      </c>
      <c r="AD1262" s="31">
        <f>IF(AND($Y1262&lt;&gt;"",N($Z1262)&gt;0,$AC1262=0),MAX($AD$7:$AD1261)+1,"")</f>
        <v/>
      </c>
      <c r="AE1262" s="31">
        <f>IF($Y1262="",0,$Y1262)</f>
        <v/>
      </c>
    </row>
    <row r="1263">
      <c r="W1263" s="31">
        <f>IF(OR($B$5="",$C$6="",ROW()&lt;$B$5),"",IF(INDEX($A:$U,ROW(),$C$6)="","",INDEX($A:$U,ROW(),$C$6)))</f>
        <v/>
      </c>
      <c r="X1263" s="32">
        <f>IF($W1263="","",IF(ISNUMBER($W1263),IF($W1263&gt;=10000000,IFERROR(DATE(INT($W1263/10000),MOD(INT($W1263/100),100),MOD($W1263,100)),""),INT($W1263)),IFERROR(DATE(--LEFT(LEFT(SUBSTITUTE(SUBSTITUTE(SUBSTITUTE(SUBSTITUTE(TRIM($W1263),"-",""),".",""),"/","")," ",""),8),4),--MID(LEFT(SUBSTITUTE(SUBSTITUTE(SUBSTITUTE(SUBSTITUTE(TRIM($W1263),"-",""),".",""),"/","")," ",""),8),5,2),--MID(LEFT(SUBSTITUTE(SUBSTITUTE(SUBSTITUTE(SUBSTITUTE(TRIM($W1263),"-",""),".",""),"/","")," ",""),8),7,2)),"")))</f>
        <v/>
      </c>
      <c r="Y1263" s="32">
        <f>IF($X1263="","",INT($X1263))</f>
        <v/>
      </c>
      <c r="Z1263" s="33">
        <f>IF(OR($Y1263="",$D$6=""),"",IF(INDEX($A:$U,ROW(),$D$6)="",0,IF(ISNUMBER(INDEX($A:$U,ROW(),$D$6)),INDEX($A:$U,ROW(),$D$6),IFERROR(--SUBSTITUTE(SUBSTITUTE(TRIM(INDEX($A:$U,ROW(),$D$6)),",",""),"원",""),0))))</f>
        <v/>
      </c>
      <c r="AA1263" s="31">
        <f>IF($Y1263="","",TRIM(INDEX($A:$U,ROW(),$E$6)&amp;IF($F$6="",""," "&amp;INDEX($A:$U,ROW(),$F$6))))</f>
        <v/>
      </c>
      <c r="AB1263" s="31">
        <f>IF($AA1263="","",SUBSTITUTE(SUBSTITUTE(SUBSTITUTE(SUBSTITUTE(SUBSTITUTE(SUBSTITUTE(SUBSTITUTE(SUBSTITUTE(SUBSTITUTE($AA1263," ",""),"　",""),"(주)",""),"（주）",""),"㈜",""),"주식회사",""),"(유)",""),"（유）",""),"유한회사",""))</f>
        <v/>
      </c>
      <c r="AC1263" s="31">
        <f>IF(OR($Y1263="",N($Z1263)&lt;=0,$AB1263=""),0,IFERROR(LOOKUP(2,1/((거래처별!$AC$8:$AC$307&lt;&gt;"")*ISNUMBER(SEARCH(거래처별!$AC$8:$AC$307,$AB1263))),거래처별!$A$8:$A$307),IFERROR(LOOKUP(2,1/((거래처별!$AD$8:$AD$307&lt;&gt;"")*ISNUMBER(SEARCH(거래처별!$AD$8:$AD$307,$AB1263))),거래처별!$A$8:$A$307),IFERROR(LOOKUP(2,1/((거래처별!$AE$8:$AE$307&lt;&gt;"")*ISNUMBER(SEARCH(거래처별!$AE$8:$AE$307,$AB1263))),거래처별!$A$8:$A$307),0))))</f>
        <v/>
      </c>
      <c r="AD1263" s="31">
        <f>IF(AND($Y1263&lt;&gt;"",N($Z1263)&gt;0,$AC1263=0),MAX($AD$7:$AD1262)+1,"")</f>
        <v/>
      </c>
      <c r="AE1263" s="31">
        <f>IF($Y1263="",0,$Y1263)</f>
        <v/>
      </c>
    </row>
    <row r="1264">
      <c r="W1264" s="31">
        <f>IF(OR($B$5="",$C$6="",ROW()&lt;$B$5),"",IF(INDEX($A:$U,ROW(),$C$6)="","",INDEX($A:$U,ROW(),$C$6)))</f>
        <v/>
      </c>
      <c r="X1264" s="32">
        <f>IF($W1264="","",IF(ISNUMBER($W1264),IF($W1264&gt;=10000000,IFERROR(DATE(INT($W1264/10000),MOD(INT($W1264/100),100),MOD($W1264,100)),""),INT($W1264)),IFERROR(DATE(--LEFT(LEFT(SUBSTITUTE(SUBSTITUTE(SUBSTITUTE(SUBSTITUTE(TRIM($W1264),"-",""),".",""),"/","")," ",""),8),4),--MID(LEFT(SUBSTITUTE(SUBSTITUTE(SUBSTITUTE(SUBSTITUTE(TRIM($W1264),"-",""),".",""),"/","")," ",""),8),5,2),--MID(LEFT(SUBSTITUTE(SUBSTITUTE(SUBSTITUTE(SUBSTITUTE(TRIM($W1264),"-",""),".",""),"/","")," ",""),8),7,2)),"")))</f>
        <v/>
      </c>
      <c r="Y1264" s="32">
        <f>IF($X1264="","",INT($X1264))</f>
        <v/>
      </c>
      <c r="Z1264" s="33">
        <f>IF(OR($Y1264="",$D$6=""),"",IF(INDEX($A:$U,ROW(),$D$6)="",0,IF(ISNUMBER(INDEX($A:$U,ROW(),$D$6)),INDEX($A:$U,ROW(),$D$6),IFERROR(--SUBSTITUTE(SUBSTITUTE(TRIM(INDEX($A:$U,ROW(),$D$6)),",",""),"원",""),0))))</f>
        <v/>
      </c>
      <c r="AA1264" s="31">
        <f>IF($Y1264="","",TRIM(INDEX($A:$U,ROW(),$E$6)&amp;IF($F$6="",""," "&amp;INDEX($A:$U,ROW(),$F$6))))</f>
        <v/>
      </c>
      <c r="AB1264" s="31">
        <f>IF($AA1264="","",SUBSTITUTE(SUBSTITUTE(SUBSTITUTE(SUBSTITUTE(SUBSTITUTE(SUBSTITUTE(SUBSTITUTE(SUBSTITUTE(SUBSTITUTE($AA1264," ",""),"　",""),"(주)",""),"（주）",""),"㈜",""),"주식회사",""),"(유)",""),"（유）",""),"유한회사",""))</f>
        <v/>
      </c>
      <c r="AC1264" s="31">
        <f>IF(OR($Y1264="",N($Z1264)&lt;=0,$AB1264=""),0,IFERROR(LOOKUP(2,1/((거래처별!$AC$8:$AC$307&lt;&gt;"")*ISNUMBER(SEARCH(거래처별!$AC$8:$AC$307,$AB1264))),거래처별!$A$8:$A$307),IFERROR(LOOKUP(2,1/((거래처별!$AD$8:$AD$307&lt;&gt;"")*ISNUMBER(SEARCH(거래처별!$AD$8:$AD$307,$AB1264))),거래처별!$A$8:$A$307),IFERROR(LOOKUP(2,1/((거래처별!$AE$8:$AE$307&lt;&gt;"")*ISNUMBER(SEARCH(거래처별!$AE$8:$AE$307,$AB1264))),거래처별!$A$8:$A$307),0))))</f>
        <v/>
      </c>
      <c r="AD1264" s="31">
        <f>IF(AND($Y1264&lt;&gt;"",N($Z1264)&gt;0,$AC1264=0),MAX($AD$7:$AD1263)+1,"")</f>
        <v/>
      </c>
      <c r="AE1264" s="31">
        <f>IF($Y1264="",0,$Y1264)</f>
        <v/>
      </c>
    </row>
    <row r="1265">
      <c r="W1265" s="31">
        <f>IF(OR($B$5="",$C$6="",ROW()&lt;$B$5),"",IF(INDEX($A:$U,ROW(),$C$6)="","",INDEX($A:$U,ROW(),$C$6)))</f>
        <v/>
      </c>
      <c r="X1265" s="32">
        <f>IF($W1265="","",IF(ISNUMBER($W1265),IF($W1265&gt;=10000000,IFERROR(DATE(INT($W1265/10000),MOD(INT($W1265/100),100),MOD($W1265,100)),""),INT($W1265)),IFERROR(DATE(--LEFT(LEFT(SUBSTITUTE(SUBSTITUTE(SUBSTITUTE(SUBSTITUTE(TRIM($W1265),"-",""),".",""),"/","")," ",""),8),4),--MID(LEFT(SUBSTITUTE(SUBSTITUTE(SUBSTITUTE(SUBSTITUTE(TRIM($W1265),"-",""),".",""),"/","")," ",""),8),5,2),--MID(LEFT(SUBSTITUTE(SUBSTITUTE(SUBSTITUTE(SUBSTITUTE(TRIM($W1265),"-",""),".",""),"/","")," ",""),8),7,2)),"")))</f>
        <v/>
      </c>
      <c r="Y1265" s="32">
        <f>IF($X1265="","",INT($X1265))</f>
        <v/>
      </c>
      <c r="Z1265" s="33">
        <f>IF(OR($Y1265="",$D$6=""),"",IF(INDEX($A:$U,ROW(),$D$6)="",0,IF(ISNUMBER(INDEX($A:$U,ROW(),$D$6)),INDEX($A:$U,ROW(),$D$6),IFERROR(--SUBSTITUTE(SUBSTITUTE(TRIM(INDEX($A:$U,ROW(),$D$6)),",",""),"원",""),0))))</f>
        <v/>
      </c>
      <c r="AA1265" s="31">
        <f>IF($Y1265="","",TRIM(INDEX($A:$U,ROW(),$E$6)&amp;IF($F$6="",""," "&amp;INDEX($A:$U,ROW(),$F$6))))</f>
        <v/>
      </c>
      <c r="AB1265" s="31">
        <f>IF($AA1265="","",SUBSTITUTE(SUBSTITUTE(SUBSTITUTE(SUBSTITUTE(SUBSTITUTE(SUBSTITUTE(SUBSTITUTE(SUBSTITUTE(SUBSTITUTE($AA1265," ",""),"　",""),"(주)",""),"（주）",""),"㈜",""),"주식회사",""),"(유)",""),"（유）",""),"유한회사",""))</f>
        <v/>
      </c>
      <c r="AC1265" s="31">
        <f>IF(OR($Y1265="",N($Z1265)&lt;=0,$AB1265=""),0,IFERROR(LOOKUP(2,1/((거래처별!$AC$8:$AC$307&lt;&gt;"")*ISNUMBER(SEARCH(거래처별!$AC$8:$AC$307,$AB1265))),거래처별!$A$8:$A$307),IFERROR(LOOKUP(2,1/((거래처별!$AD$8:$AD$307&lt;&gt;"")*ISNUMBER(SEARCH(거래처별!$AD$8:$AD$307,$AB1265))),거래처별!$A$8:$A$307),IFERROR(LOOKUP(2,1/((거래처별!$AE$8:$AE$307&lt;&gt;"")*ISNUMBER(SEARCH(거래처별!$AE$8:$AE$307,$AB1265))),거래처별!$A$8:$A$307),0))))</f>
        <v/>
      </c>
      <c r="AD1265" s="31">
        <f>IF(AND($Y1265&lt;&gt;"",N($Z1265)&gt;0,$AC1265=0),MAX($AD$7:$AD1264)+1,"")</f>
        <v/>
      </c>
      <c r="AE1265" s="31">
        <f>IF($Y1265="",0,$Y1265)</f>
        <v/>
      </c>
    </row>
    <row r="1266">
      <c r="W1266" s="31">
        <f>IF(OR($B$5="",$C$6="",ROW()&lt;$B$5),"",IF(INDEX($A:$U,ROW(),$C$6)="","",INDEX($A:$U,ROW(),$C$6)))</f>
        <v/>
      </c>
      <c r="X1266" s="32">
        <f>IF($W1266="","",IF(ISNUMBER($W1266),IF($W1266&gt;=10000000,IFERROR(DATE(INT($W1266/10000),MOD(INT($W1266/100),100),MOD($W1266,100)),""),INT($W1266)),IFERROR(DATE(--LEFT(LEFT(SUBSTITUTE(SUBSTITUTE(SUBSTITUTE(SUBSTITUTE(TRIM($W1266),"-",""),".",""),"/","")," ",""),8),4),--MID(LEFT(SUBSTITUTE(SUBSTITUTE(SUBSTITUTE(SUBSTITUTE(TRIM($W1266),"-",""),".",""),"/","")," ",""),8),5,2),--MID(LEFT(SUBSTITUTE(SUBSTITUTE(SUBSTITUTE(SUBSTITUTE(TRIM($W1266),"-",""),".",""),"/","")," ",""),8),7,2)),"")))</f>
        <v/>
      </c>
      <c r="Y1266" s="32">
        <f>IF($X1266="","",INT($X1266))</f>
        <v/>
      </c>
      <c r="Z1266" s="33">
        <f>IF(OR($Y1266="",$D$6=""),"",IF(INDEX($A:$U,ROW(),$D$6)="",0,IF(ISNUMBER(INDEX($A:$U,ROW(),$D$6)),INDEX($A:$U,ROW(),$D$6),IFERROR(--SUBSTITUTE(SUBSTITUTE(TRIM(INDEX($A:$U,ROW(),$D$6)),",",""),"원",""),0))))</f>
        <v/>
      </c>
      <c r="AA1266" s="31">
        <f>IF($Y1266="","",TRIM(INDEX($A:$U,ROW(),$E$6)&amp;IF($F$6="",""," "&amp;INDEX($A:$U,ROW(),$F$6))))</f>
        <v/>
      </c>
      <c r="AB1266" s="31">
        <f>IF($AA1266="","",SUBSTITUTE(SUBSTITUTE(SUBSTITUTE(SUBSTITUTE(SUBSTITUTE(SUBSTITUTE(SUBSTITUTE(SUBSTITUTE(SUBSTITUTE($AA1266," ",""),"　",""),"(주)",""),"（주）",""),"㈜",""),"주식회사",""),"(유)",""),"（유）",""),"유한회사",""))</f>
        <v/>
      </c>
      <c r="AC1266" s="31">
        <f>IF(OR($Y1266="",N($Z1266)&lt;=0,$AB1266=""),0,IFERROR(LOOKUP(2,1/((거래처별!$AC$8:$AC$307&lt;&gt;"")*ISNUMBER(SEARCH(거래처별!$AC$8:$AC$307,$AB1266))),거래처별!$A$8:$A$307),IFERROR(LOOKUP(2,1/((거래처별!$AD$8:$AD$307&lt;&gt;"")*ISNUMBER(SEARCH(거래처별!$AD$8:$AD$307,$AB1266))),거래처별!$A$8:$A$307),IFERROR(LOOKUP(2,1/((거래처별!$AE$8:$AE$307&lt;&gt;"")*ISNUMBER(SEARCH(거래처별!$AE$8:$AE$307,$AB1266))),거래처별!$A$8:$A$307),0))))</f>
        <v/>
      </c>
      <c r="AD1266" s="31">
        <f>IF(AND($Y1266&lt;&gt;"",N($Z1266)&gt;0,$AC1266=0),MAX($AD$7:$AD1265)+1,"")</f>
        <v/>
      </c>
      <c r="AE1266" s="31">
        <f>IF($Y1266="",0,$Y1266)</f>
        <v/>
      </c>
    </row>
    <row r="1267">
      <c r="W1267" s="31">
        <f>IF(OR($B$5="",$C$6="",ROW()&lt;$B$5),"",IF(INDEX($A:$U,ROW(),$C$6)="","",INDEX($A:$U,ROW(),$C$6)))</f>
        <v/>
      </c>
      <c r="X1267" s="32">
        <f>IF($W1267="","",IF(ISNUMBER($W1267),IF($W1267&gt;=10000000,IFERROR(DATE(INT($W1267/10000),MOD(INT($W1267/100),100),MOD($W1267,100)),""),INT($W1267)),IFERROR(DATE(--LEFT(LEFT(SUBSTITUTE(SUBSTITUTE(SUBSTITUTE(SUBSTITUTE(TRIM($W1267),"-",""),".",""),"/","")," ",""),8),4),--MID(LEFT(SUBSTITUTE(SUBSTITUTE(SUBSTITUTE(SUBSTITUTE(TRIM($W1267),"-",""),".",""),"/","")," ",""),8),5,2),--MID(LEFT(SUBSTITUTE(SUBSTITUTE(SUBSTITUTE(SUBSTITUTE(TRIM($W1267),"-",""),".",""),"/","")," ",""),8),7,2)),"")))</f>
        <v/>
      </c>
      <c r="Y1267" s="32">
        <f>IF($X1267="","",INT($X1267))</f>
        <v/>
      </c>
      <c r="Z1267" s="33">
        <f>IF(OR($Y1267="",$D$6=""),"",IF(INDEX($A:$U,ROW(),$D$6)="",0,IF(ISNUMBER(INDEX($A:$U,ROW(),$D$6)),INDEX($A:$U,ROW(),$D$6),IFERROR(--SUBSTITUTE(SUBSTITUTE(TRIM(INDEX($A:$U,ROW(),$D$6)),",",""),"원",""),0))))</f>
        <v/>
      </c>
      <c r="AA1267" s="31">
        <f>IF($Y1267="","",TRIM(INDEX($A:$U,ROW(),$E$6)&amp;IF($F$6="",""," "&amp;INDEX($A:$U,ROW(),$F$6))))</f>
        <v/>
      </c>
      <c r="AB1267" s="31">
        <f>IF($AA1267="","",SUBSTITUTE(SUBSTITUTE(SUBSTITUTE(SUBSTITUTE(SUBSTITUTE(SUBSTITUTE(SUBSTITUTE(SUBSTITUTE(SUBSTITUTE($AA1267," ",""),"　",""),"(주)",""),"（주）",""),"㈜",""),"주식회사",""),"(유)",""),"（유）",""),"유한회사",""))</f>
        <v/>
      </c>
      <c r="AC1267" s="31">
        <f>IF(OR($Y1267="",N($Z1267)&lt;=0,$AB1267=""),0,IFERROR(LOOKUP(2,1/((거래처별!$AC$8:$AC$307&lt;&gt;"")*ISNUMBER(SEARCH(거래처별!$AC$8:$AC$307,$AB1267))),거래처별!$A$8:$A$307),IFERROR(LOOKUP(2,1/((거래처별!$AD$8:$AD$307&lt;&gt;"")*ISNUMBER(SEARCH(거래처별!$AD$8:$AD$307,$AB1267))),거래처별!$A$8:$A$307),IFERROR(LOOKUP(2,1/((거래처별!$AE$8:$AE$307&lt;&gt;"")*ISNUMBER(SEARCH(거래처별!$AE$8:$AE$307,$AB1267))),거래처별!$A$8:$A$307),0))))</f>
        <v/>
      </c>
      <c r="AD1267" s="31">
        <f>IF(AND($Y1267&lt;&gt;"",N($Z1267)&gt;0,$AC1267=0),MAX($AD$7:$AD1266)+1,"")</f>
        <v/>
      </c>
      <c r="AE1267" s="31">
        <f>IF($Y1267="",0,$Y1267)</f>
        <v/>
      </c>
    </row>
    <row r="1268">
      <c r="W1268" s="31">
        <f>IF(OR($B$5="",$C$6="",ROW()&lt;$B$5),"",IF(INDEX($A:$U,ROW(),$C$6)="","",INDEX($A:$U,ROW(),$C$6)))</f>
        <v/>
      </c>
      <c r="X1268" s="32">
        <f>IF($W1268="","",IF(ISNUMBER($W1268),IF($W1268&gt;=10000000,IFERROR(DATE(INT($W1268/10000),MOD(INT($W1268/100),100),MOD($W1268,100)),""),INT($W1268)),IFERROR(DATE(--LEFT(LEFT(SUBSTITUTE(SUBSTITUTE(SUBSTITUTE(SUBSTITUTE(TRIM($W1268),"-",""),".",""),"/","")," ",""),8),4),--MID(LEFT(SUBSTITUTE(SUBSTITUTE(SUBSTITUTE(SUBSTITUTE(TRIM($W1268),"-",""),".",""),"/","")," ",""),8),5,2),--MID(LEFT(SUBSTITUTE(SUBSTITUTE(SUBSTITUTE(SUBSTITUTE(TRIM($W1268),"-",""),".",""),"/","")," ",""),8),7,2)),"")))</f>
        <v/>
      </c>
      <c r="Y1268" s="32">
        <f>IF($X1268="","",INT($X1268))</f>
        <v/>
      </c>
      <c r="Z1268" s="33">
        <f>IF(OR($Y1268="",$D$6=""),"",IF(INDEX($A:$U,ROW(),$D$6)="",0,IF(ISNUMBER(INDEX($A:$U,ROW(),$D$6)),INDEX($A:$U,ROW(),$D$6),IFERROR(--SUBSTITUTE(SUBSTITUTE(TRIM(INDEX($A:$U,ROW(),$D$6)),",",""),"원",""),0))))</f>
        <v/>
      </c>
      <c r="AA1268" s="31">
        <f>IF($Y1268="","",TRIM(INDEX($A:$U,ROW(),$E$6)&amp;IF($F$6="",""," "&amp;INDEX($A:$U,ROW(),$F$6))))</f>
        <v/>
      </c>
      <c r="AB1268" s="31">
        <f>IF($AA1268="","",SUBSTITUTE(SUBSTITUTE(SUBSTITUTE(SUBSTITUTE(SUBSTITUTE(SUBSTITUTE(SUBSTITUTE(SUBSTITUTE(SUBSTITUTE($AA1268," ",""),"　",""),"(주)",""),"（주）",""),"㈜",""),"주식회사",""),"(유)",""),"（유）",""),"유한회사",""))</f>
        <v/>
      </c>
      <c r="AC1268" s="31">
        <f>IF(OR($Y1268="",N($Z1268)&lt;=0,$AB1268=""),0,IFERROR(LOOKUP(2,1/((거래처별!$AC$8:$AC$307&lt;&gt;"")*ISNUMBER(SEARCH(거래처별!$AC$8:$AC$307,$AB1268))),거래처별!$A$8:$A$307),IFERROR(LOOKUP(2,1/((거래처별!$AD$8:$AD$307&lt;&gt;"")*ISNUMBER(SEARCH(거래처별!$AD$8:$AD$307,$AB1268))),거래처별!$A$8:$A$307),IFERROR(LOOKUP(2,1/((거래처별!$AE$8:$AE$307&lt;&gt;"")*ISNUMBER(SEARCH(거래처별!$AE$8:$AE$307,$AB1268))),거래처별!$A$8:$A$307),0))))</f>
        <v/>
      </c>
      <c r="AD1268" s="31">
        <f>IF(AND($Y1268&lt;&gt;"",N($Z1268)&gt;0,$AC1268=0),MAX($AD$7:$AD1267)+1,"")</f>
        <v/>
      </c>
      <c r="AE1268" s="31">
        <f>IF($Y1268="",0,$Y1268)</f>
        <v/>
      </c>
    </row>
    <row r="1269">
      <c r="W1269" s="31">
        <f>IF(OR($B$5="",$C$6="",ROW()&lt;$B$5),"",IF(INDEX($A:$U,ROW(),$C$6)="","",INDEX($A:$U,ROW(),$C$6)))</f>
        <v/>
      </c>
      <c r="X1269" s="32">
        <f>IF($W1269="","",IF(ISNUMBER($W1269),IF($W1269&gt;=10000000,IFERROR(DATE(INT($W1269/10000),MOD(INT($W1269/100),100),MOD($W1269,100)),""),INT($W1269)),IFERROR(DATE(--LEFT(LEFT(SUBSTITUTE(SUBSTITUTE(SUBSTITUTE(SUBSTITUTE(TRIM($W1269),"-",""),".",""),"/","")," ",""),8),4),--MID(LEFT(SUBSTITUTE(SUBSTITUTE(SUBSTITUTE(SUBSTITUTE(TRIM($W1269),"-",""),".",""),"/","")," ",""),8),5,2),--MID(LEFT(SUBSTITUTE(SUBSTITUTE(SUBSTITUTE(SUBSTITUTE(TRIM($W1269),"-",""),".",""),"/","")," ",""),8),7,2)),"")))</f>
        <v/>
      </c>
      <c r="Y1269" s="32">
        <f>IF($X1269="","",INT($X1269))</f>
        <v/>
      </c>
      <c r="Z1269" s="33">
        <f>IF(OR($Y1269="",$D$6=""),"",IF(INDEX($A:$U,ROW(),$D$6)="",0,IF(ISNUMBER(INDEX($A:$U,ROW(),$D$6)),INDEX($A:$U,ROW(),$D$6),IFERROR(--SUBSTITUTE(SUBSTITUTE(TRIM(INDEX($A:$U,ROW(),$D$6)),",",""),"원",""),0))))</f>
        <v/>
      </c>
      <c r="AA1269" s="31">
        <f>IF($Y1269="","",TRIM(INDEX($A:$U,ROW(),$E$6)&amp;IF($F$6="",""," "&amp;INDEX($A:$U,ROW(),$F$6))))</f>
        <v/>
      </c>
      <c r="AB1269" s="31">
        <f>IF($AA1269="","",SUBSTITUTE(SUBSTITUTE(SUBSTITUTE(SUBSTITUTE(SUBSTITUTE(SUBSTITUTE(SUBSTITUTE(SUBSTITUTE(SUBSTITUTE($AA1269," ",""),"　",""),"(주)",""),"（주）",""),"㈜",""),"주식회사",""),"(유)",""),"（유）",""),"유한회사",""))</f>
        <v/>
      </c>
      <c r="AC1269" s="31">
        <f>IF(OR($Y1269="",N($Z1269)&lt;=0,$AB1269=""),0,IFERROR(LOOKUP(2,1/((거래처별!$AC$8:$AC$307&lt;&gt;"")*ISNUMBER(SEARCH(거래처별!$AC$8:$AC$307,$AB1269))),거래처별!$A$8:$A$307),IFERROR(LOOKUP(2,1/((거래처별!$AD$8:$AD$307&lt;&gt;"")*ISNUMBER(SEARCH(거래처별!$AD$8:$AD$307,$AB1269))),거래처별!$A$8:$A$307),IFERROR(LOOKUP(2,1/((거래처별!$AE$8:$AE$307&lt;&gt;"")*ISNUMBER(SEARCH(거래처별!$AE$8:$AE$307,$AB1269))),거래처별!$A$8:$A$307),0))))</f>
        <v/>
      </c>
      <c r="AD1269" s="31">
        <f>IF(AND($Y1269&lt;&gt;"",N($Z1269)&gt;0,$AC1269=0),MAX($AD$7:$AD1268)+1,"")</f>
        <v/>
      </c>
      <c r="AE1269" s="31">
        <f>IF($Y1269="",0,$Y1269)</f>
        <v/>
      </c>
    </row>
    <row r="1270">
      <c r="W1270" s="31">
        <f>IF(OR($B$5="",$C$6="",ROW()&lt;$B$5),"",IF(INDEX($A:$U,ROW(),$C$6)="","",INDEX($A:$U,ROW(),$C$6)))</f>
        <v/>
      </c>
      <c r="X1270" s="32">
        <f>IF($W1270="","",IF(ISNUMBER($W1270),IF($W1270&gt;=10000000,IFERROR(DATE(INT($W1270/10000),MOD(INT($W1270/100),100),MOD($W1270,100)),""),INT($W1270)),IFERROR(DATE(--LEFT(LEFT(SUBSTITUTE(SUBSTITUTE(SUBSTITUTE(SUBSTITUTE(TRIM($W1270),"-",""),".",""),"/","")," ",""),8),4),--MID(LEFT(SUBSTITUTE(SUBSTITUTE(SUBSTITUTE(SUBSTITUTE(TRIM($W1270),"-",""),".",""),"/","")," ",""),8),5,2),--MID(LEFT(SUBSTITUTE(SUBSTITUTE(SUBSTITUTE(SUBSTITUTE(TRIM($W1270),"-",""),".",""),"/","")," ",""),8),7,2)),"")))</f>
        <v/>
      </c>
      <c r="Y1270" s="32">
        <f>IF($X1270="","",INT($X1270))</f>
        <v/>
      </c>
      <c r="Z1270" s="33">
        <f>IF(OR($Y1270="",$D$6=""),"",IF(INDEX($A:$U,ROW(),$D$6)="",0,IF(ISNUMBER(INDEX($A:$U,ROW(),$D$6)),INDEX($A:$U,ROW(),$D$6),IFERROR(--SUBSTITUTE(SUBSTITUTE(TRIM(INDEX($A:$U,ROW(),$D$6)),",",""),"원",""),0))))</f>
        <v/>
      </c>
      <c r="AA1270" s="31">
        <f>IF($Y1270="","",TRIM(INDEX($A:$U,ROW(),$E$6)&amp;IF($F$6="",""," "&amp;INDEX($A:$U,ROW(),$F$6))))</f>
        <v/>
      </c>
      <c r="AB1270" s="31">
        <f>IF($AA1270="","",SUBSTITUTE(SUBSTITUTE(SUBSTITUTE(SUBSTITUTE(SUBSTITUTE(SUBSTITUTE(SUBSTITUTE(SUBSTITUTE(SUBSTITUTE($AA1270," ",""),"　",""),"(주)",""),"（주）",""),"㈜",""),"주식회사",""),"(유)",""),"（유）",""),"유한회사",""))</f>
        <v/>
      </c>
      <c r="AC1270" s="31">
        <f>IF(OR($Y1270="",N($Z1270)&lt;=0,$AB1270=""),0,IFERROR(LOOKUP(2,1/((거래처별!$AC$8:$AC$307&lt;&gt;"")*ISNUMBER(SEARCH(거래처별!$AC$8:$AC$307,$AB1270))),거래처별!$A$8:$A$307),IFERROR(LOOKUP(2,1/((거래처별!$AD$8:$AD$307&lt;&gt;"")*ISNUMBER(SEARCH(거래처별!$AD$8:$AD$307,$AB1270))),거래처별!$A$8:$A$307),IFERROR(LOOKUP(2,1/((거래처별!$AE$8:$AE$307&lt;&gt;"")*ISNUMBER(SEARCH(거래처별!$AE$8:$AE$307,$AB1270))),거래처별!$A$8:$A$307),0))))</f>
        <v/>
      </c>
      <c r="AD1270" s="31">
        <f>IF(AND($Y1270&lt;&gt;"",N($Z1270)&gt;0,$AC1270=0),MAX($AD$7:$AD1269)+1,"")</f>
        <v/>
      </c>
      <c r="AE1270" s="31">
        <f>IF($Y1270="",0,$Y1270)</f>
        <v/>
      </c>
    </row>
    <row r="1271">
      <c r="W1271" s="31">
        <f>IF(OR($B$5="",$C$6="",ROW()&lt;$B$5),"",IF(INDEX($A:$U,ROW(),$C$6)="","",INDEX($A:$U,ROW(),$C$6)))</f>
        <v/>
      </c>
      <c r="X1271" s="32">
        <f>IF($W1271="","",IF(ISNUMBER($W1271),IF($W1271&gt;=10000000,IFERROR(DATE(INT($W1271/10000),MOD(INT($W1271/100),100),MOD($W1271,100)),""),INT($W1271)),IFERROR(DATE(--LEFT(LEFT(SUBSTITUTE(SUBSTITUTE(SUBSTITUTE(SUBSTITUTE(TRIM($W1271),"-",""),".",""),"/","")," ",""),8),4),--MID(LEFT(SUBSTITUTE(SUBSTITUTE(SUBSTITUTE(SUBSTITUTE(TRIM($W1271),"-",""),".",""),"/","")," ",""),8),5,2),--MID(LEFT(SUBSTITUTE(SUBSTITUTE(SUBSTITUTE(SUBSTITUTE(TRIM($W1271),"-",""),".",""),"/","")," ",""),8),7,2)),"")))</f>
        <v/>
      </c>
      <c r="Y1271" s="32">
        <f>IF($X1271="","",INT($X1271))</f>
        <v/>
      </c>
      <c r="Z1271" s="33">
        <f>IF(OR($Y1271="",$D$6=""),"",IF(INDEX($A:$U,ROW(),$D$6)="",0,IF(ISNUMBER(INDEX($A:$U,ROW(),$D$6)),INDEX($A:$U,ROW(),$D$6),IFERROR(--SUBSTITUTE(SUBSTITUTE(TRIM(INDEX($A:$U,ROW(),$D$6)),",",""),"원",""),0))))</f>
        <v/>
      </c>
      <c r="AA1271" s="31">
        <f>IF($Y1271="","",TRIM(INDEX($A:$U,ROW(),$E$6)&amp;IF($F$6="",""," "&amp;INDEX($A:$U,ROW(),$F$6))))</f>
        <v/>
      </c>
      <c r="AB1271" s="31">
        <f>IF($AA1271="","",SUBSTITUTE(SUBSTITUTE(SUBSTITUTE(SUBSTITUTE(SUBSTITUTE(SUBSTITUTE(SUBSTITUTE(SUBSTITUTE(SUBSTITUTE($AA1271," ",""),"　",""),"(주)",""),"（주）",""),"㈜",""),"주식회사",""),"(유)",""),"（유）",""),"유한회사",""))</f>
        <v/>
      </c>
      <c r="AC1271" s="31">
        <f>IF(OR($Y1271="",N($Z1271)&lt;=0,$AB1271=""),0,IFERROR(LOOKUP(2,1/((거래처별!$AC$8:$AC$307&lt;&gt;"")*ISNUMBER(SEARCH(거래처별!$AC$8:$AC$307,$AB1271))),거래처별!$A$8:$A$307),IFERROR(LOOKUP(2,1/((거래처별!$AD$8:$AD$307&lt;&gt;"")*ISNUMBER(SEARCH(거래처별!$AD$8:$AD$307,$AB1271))),거래처별!$A$8:$A$307),IFERROR(LOOKUP(2,1/((거래처별!$AE$8:$AE$307&lt;&gt;"")*ISNUMBER(SEARCH(거래처별!$AE$8:$AE$307,$AB1271))),거래처별!$A$8:$A$307),0))))</f>
        <v/>
      </c>
      <c r="AD1271" s="31">
        <f>IF(AND($Y1271&lt;&gt;"",N($Z1271)&gt;0,$AC1271=0),MAX($AD$7:$AD1270)+1,"")</f>
        <v/>
      </c>
      <c r="AE1271" s="31">
        <f>IF($Y1271="",0,$Y1271)</f>
        <v/>
      </c>
    </row>
    <row r="1272">
      <c r="W1272" s="31">
        <f>IF(OR($B$5="",$C$6="",ROW()&lt;$B$5),"",IF(INDEX($A:$U,ROW(),$C$6)="","",INDEX($A:$U,ROW(),$C$6)))</f>
        <v/>
      </c>
      <c r="X1272" s="32">
        <f>IF($W1272="","",IF(ISNUMBER($W1272),IF($W1272&gt;=10000000,IFERROR(DATE(INT($W1272/10000),MOD(INT($W1272/100),100),MOD($W1272,100)),""),INT($W1272)),IFERROR(DATE(--LEFT(LEFT(SUBSTITUTE(SUBSTITUTE(SUBSTITUTE(SUBSTITUTE(TRIM($W1272),"-",""),".",""),"/","")," ",""),8),4),--MID(LEFT(SUBSTITUTE(SUBSTITUTE(SUBSTITUTE(SUBSTITUTE(TRIM($W1272),"-",""),".",""),"/","")," ",""),8),5,2),--MID(LEFT(SUBSTITUTE(SUBSTITUTE(SUBSTITUTE(SUBSTITUTE(TRIM($W1272),"-",""),".",""),"/","")," ",""),8),7,2)),"")))</f>
        <v/>
      </c>
      <c r="Y1272" s="32">
        <f>IF($X1272="","",INT($X1272))</f>
        <v/>
      </c>
      <c r="Z1272" s="33">
        <f>IF(OR($Y1272="",$D$6=""),"",IF(INDEX($A:$U,ROW(),$D$6)="",0,IF(ISNUMBER(INDEX($A:$U,ROW(),$D$6)),INDEX($A:$U,ROW(),$D$6),IFERROR(--SUBSTITUTE(SUBSTITUTE(TRIM(INDEX($A:$U,ROW(),$D$6)),",",""),"원",""),0))))</f>
        <v/>
      </c>
      <c r="AA1272" s="31">
        <f>IF($Y1272="","",TRIM(INDEX($A:$U,ROW(),$E$6)&amp;IF($F$6="",""," "&amp;INDEX($A:$U,ROW(),$F$6))))</f>
        <v/>
      </c>
      <c r="AB1272" s="31">
        <f>IF($AA1272="","",SUBSTITUTE(SUBSTITUTE(SUBSTITUTE(SUBSTITUTE(SUBSTITUTE(SUBSTITUTE(SUBSTITUTE(SUBSTITUTE(SUBSTITUTE($AA1272," ",""),"　",""),"(주)",""),"（주）",""),"㈜",""),"주식회사",""),"(유)",""),"（유）",""),"유한회사",""))</f>
        <v/>
      </c>
      <c r="AC1272" s="31">
        <f>IF(OR($Y1272="",N($Z1272)&lt;=0,$AB1272=""),0,IFERROR(LOOKUP(2,1/((거래처별!$AC$8:$AC$307&lt;&gt;"")*ISNUMBER(SEARCH(거래처별!$AC$8:$AC$307,$AB1272))),거래처별!$A$8:$A$307),IFERROR(LOOKUP(2,1/((거래처별!$AD$8:$AD$307&lt;&gt;"")*ISNUMBER(SEARCH(거래처별!$AD$8:$AD$307,$AB1272))),거래처별!$A$8:$A$307),IFERROR(LOOKUP(2,1/((거래처별!$AE$8:$AE$307&lt;&gt;"")*ISNUMBER(SEARCH(거래처별!$AE$8:$AE$307,$AB1272))),거래처별!$A$8:$A$307),0))))</f>
        <v/>
      </c>
      <c r="AD1272" s="31">
        <f>IF(AND($Y1272&lt;&gt;"",N($Z1272)&gt;0,$AC1272=0),MAX($AD$7:$AD1271)+1,"")</f>
        <v/>
      </c>
      <c r="AE1272" s="31">
        <f>IF($Y1272="",0,$Y1272)</f>
        <v/>
      </c>
    </row>
    <row r="1273">
      <c r="W1273" s="31">
        <f>IF(OR($B$5="",$C$6="",ROW()&lt;$B$5),"",IF(INDEX($A:$U,ROW(),$C$6)="","",INDEX($A:$U,ROW(),$C$6)))</f>
        <v/>
      </c>
      <c r="X1273" s="32">
        <f>IF($W1273="","",IF(ISNUMBER($W1273),IF($W1273&gt;=10000000,IFERROR(DATE(INT($W1273/10000),MOD(INT($W1273/100),100),MOD($W1273,100)),""),INT($W1273)),IFERROR(DATE(--LEFT(LEFT(SUBSTITUTE(SUBSTITUTE(SUBSTITUTE(SUBSTITUTE(TRIM($W1273),"-",""),".",""),"/","")," ",""),8),4),--MID(LEFT(SUBSTITUTE(SUBSTITUTE(SUBSTITUTE(SUBSTITUTE(TRIM($W1273),"-",""),".",""),"/","")," ",""),8),5,2),--MID(LEFT(SUBSTITUTE(SUBSTITUTE(SUBSTITUTE(SUBSTITUTE(TRIM($W1273),"-",""),".",""),"/","")," ",""),8),7,2)),"")))</f>
        <v/>
      </c>
      <c r="Y1273" s="32">
        <f>IF($X1273="","",INT($X1273))</f>
        <v/>
      </c>
      <c r="Z1273" s="33">
        <f>IF(OR($Y1273="",$D$6=""),"",IF(INDEX($A:$U,ROW(),$D$6)="",0,IF(ISNUMBER(INDEX($A:$U,ROW(),$D$6)),INDEX($A:$U,ROW(),$D$6),IFERROR(--SUBSTITUTE(SUBSTITUTE(TRIM(INDEX($A:$U,ROW(),$D$6)),",",""),"원",""),0))))</f>
        <v/>
      </c>
      <c r="AA1273" s="31">
        <f>IF($Y1273="","",TRIM(INDEX($A:$U,ROW(),$E$6)&amp;IF($F$6="",""," "&amp;INDEX($A:$U,ROW(),$F$6))))</f>
        <v/>
      </c>
      <c r="AB1273" s="31">
        <f>IF($AA1273="","",SUBSTITUTE(SUBSTITUTE(SUBSTITUTE(SUBSTITUTE(SUBSTITUTE(SUBSTITUTE(SUBSTITUTE(SUBSTITUTE(SUBSTITUTE($AA1273," ",""),"　",""),"(주)",""),"（주）",""),"㈜",""),"주식회사",""),"(유)",""),"（유）",""),"유한회사",""))</f>
        <v/>
      </c>
      <c r="AC1273" s="31">
        <f>IF(OR($Y1273="",N($Z1273)&lt;=0,$AB1273=""),0,IFERROR(LOOKUP(2,1/((거래처별!$AC$8:$AC$307&lt;&gt;"")*ISNUMBER(SEARCH(거래처별!$AC$8:$AC$307,$AB1273))),거래처별!$A$8:$A$307),IFERROR(LOOKUP(2,1/((거래처별!$AD$8:$AD$307&lt;&gt;"")*ISNUMBER(SEARCH(거래처별!$AD$8:$AD$307,$AB1273))),거래처별!$A$8:$A$307),IFERROR(LOOKUP(2,1/((거래처별!$AE$8:$AE$307&lt;&gt;"")*ISNUMBER(SEARCH(거래처별!$AE$8:$AE$307,$AB1273))),거래처별!$A$8:$A$307),0))))</f>
        <v/>
      </c>
      <c r="AD1273" s="31">
        <f>IF(AND($Y1273&lt;&gt;"",N($Z1273)&gt;0,$AC1273=0),MAX($AD$7:$AD1272)+1,"")</f>
        <v/>
      </c>
      <c r="AE1273" s="31">
        <f>IF($Y1273="",0,$Y1273)</f>
        <v/>
      </c>
    </row>
    <row r="1274">
      <c r="W1274" s="31">
        <f>IF(OR($B$5="",$C$6="",ROW()&lt;$B$5),"",IF(INDEX($A:$U,ROW(),$C$6)="","",INDEX($A:$U,ROW(),$C$6)))</f>
        <v/>
      </c>
      <c r="X1274" s="32">
        <f>IF($W1274="","",IF(ISNUMBER($W1274),IF($W1274&gt;=10000000,IFERROR(DATE(INT($W1274/10000),MOD(INT($W1274/100),100),MOD($W1274,100)),""),INT($W1274)),IFERROR(DATE(--LEFT(LEFT(SUBSTITUTE(SUBSTITUTE(SUBSTITUTE(SUBSTITUTE(TRIM($W1274),"-",""),".",""),"/","")," ",""),8),4),--MID(LEFT(SUBSTITUTE(SUBSTITUTE(SUBSTITUTE(SUBSTITUTE(TRIM($W1274),"-",""),".",""),"/","")," ",""),8),5,2),--MID(LEFT(SUBSTITUTE(SUBSTITUTE(SUBSTITUTE(SUBSTITUTE(TRIM($W1274),"-",""),".",""),"/","")," ",""),8),7,2)),"")))</f>
        <v/>
      </c>
      <c r="Y1274" s="32">
        <f>IF($X1274="","",INT($X1274))</f>
        <v/>
      </c>
      <c r="Z1274" s="33">
        <f>IF(OR($Y1274="",$D$6=""),"",IF(INDEX($A:$U,ROW(),$D$6)="",0,IF(ISNUMBER(INDEX($A:$U,ROW(),$D$6)),INDEX($A:$U,ROW(),$D$6),IFERROR(--SUBSTITUTE(SUBSTITUTE(TRIM(INDEX($A:$U,ROW(),$D$6)),",",""),"원",""),0))))</f>
        <v/>
      </c>
      <c r="AA1274" s="31">
        <f>IF($Y1274="","",TRIM(INDEX($A:$U,ROW(),$E$6)&amp;IF($F$6="",""," "&amp;INDEX($A:$U,ROW(),$F$6))))</f>
        <v/>
      </c>
      <c r="AB1274" s="31">
        <f>IF($AA1274="","",SUBSTITUTE(SUBSTITUTE(SUBSTITUTE(SUBSTITUTE(SUBSTITUTE(SUBSTITUTE(SUBSTITUTE(SUBSTITUTE(SUBSTITUTE($AA1274," ",""),"　",""),"(주)",""),"（주）",""),"㈜",""),"주식회사",""),"(유)",""),"（유）",""),"유한회사",""))</f>
        <v/>
      </c>
      <c r="AC1274" s="31">
        <f>IF(OR($Y1274="",N($Z1274)&lt;=0,$AB1274=""),0,IFERROR(LOOKUP(2,1/((거래처별!$AC$8:$AC$307&lt;&gt;"")*ISNUMBER(SEARCH(거래처별!$AC$8:$AC$307,$AB1274))),거래처별!$A$8:$A$307),IFERROR(LOOKUP(2,1/((거래처별!$AD$8:$AD$307&lt;&gt;"")*ISNUMBER(SEARCH(거래처별!$AD$8:$AD$307,$AB1274))),거래처별!$A$8:$A$307),IFERROR(LOOKUP(2,1/((거래처별!$AE$8:$AE$307&lt;&gt;"")*ISNUMBER(SEARCH(거래처별!$AE$8:$AE$307,$AB1274))),거래처별!$A$8:$A$307),0))))</f>
        <v/>
      </c>
      <c r="AD1274" s="31">
        <f>IF(AND($Y1274&lt;&gt;"",N($Z1274)&gt;0,$AC1274=0),MAX($AD$7:$AD1273)+1,"")</f>
        <v/>
      </c>
      <c r="AE1274" s="31">
        <f>IF($Y1274="",0,$Y1274)</f>
        <v/>
      </c>
    </row>
    <row r="1275">
      <c r="W1275" s="31">
        <f>IF(OR($B$5="",$C$6="",ROW()&lt;$B$5),"",IF(INDEX($A:$U,ROW(),$C$6)="","",INDEX($A:$U,ROW(),$C$6)))</f>
        <v/>
      </c>
      <c r="X1275" s="32">
        <f>IF($W1275="","",IF(ISNUMBER($W1275),IF($W1275&gt;=10000000,IFERROR(DATE(INT($W1275/10000),MOD(INT($W1275/100),100),MOD($W1275,100)),""),INT($W1275)),IFERROR(DATE(--LEFT(LEFT(SUBSTITUTE(SUBSTITUTE(SUBSTITUTE(SUBSTITUTE(TRIM($W1275),"-",""),".",""),"/","")," ",""),8),4),--MID(LEFT(SUBSTITUTE(SUBSTITUTE(SUBSTITUTE(SUBSTITUTE(TRIM($W1275),"-",""),".",""),"/","")," ",""),8),5,2),--MID(LEFT(SUBSTITUTE(SUBSTITUTE(SUBSTITUTE(SUBSTITUTE(TRIM($W1275),"-",""),".",""),"/","")," ",""),8),7,2)),"")))</f>
        <v/>
      </c>
      <c r="Y1275" s="32">
        <f>IF($X1275="","",INT($X1275))</f>
        <v/>
      </c>
      <c r="Z1275" s="33">
        <f>IF(OR($Y1275="",$D$6=""),"",IF(INDEX($A:$U,ROW(),$D$6)="",0,IF(ISNUMBER(INDEX($A:$U,ROW(),$D$6)),INDEX($A:$U,ROW(),$D$6),IFERROR(--SUBSTITUTE(SUBSTITUTE(TRIM(INDEX($A:$U,ROW(),$D$6)),",",""),"원",""),0))))</f>
        <v/>
      </c>
      <c r="AA1275" s="31">
        <f>IF($Y1275="","",TRIM(INDEX($A:$U,ROW(),$E$6)&amp;IF($F$6="",""," "&amp;INDEX($A:$U,ROW(),$F$6))))</f>
        <v/>
      </c>
      <c r="AB1275" s="31">
        <f>IF($AA1275="","",SUBSTITUTE(SUBSTITUTE(SUBSTITUTE(SUBSTITUTE(SUBSTITUTE(SUBSTITUTE(SUBSTITUTE(SUBSTITUTE(SUBSTITUTE($AA1275," ",""),"　",""),"(주)",""),"（주）",""),"㈜",""),"주식회사",""),"(유)",""),"（유）",""),"유한회사",""))</f>
        <v/>
      </c>
      <c r="AC1275" s="31">
        <f>IF(OR($Y1275="",N($Z1275)&lt;=0,$AB1275=""),0,IFERROR(LOOKUP(2,1/((거래처별!$AC$8:$AC$307&lt;&gt;"")*ISNUMBER(SEARCH(거래처별!$AC$8:$AC$307,$AB1275))),거래처별!$A$8:$A$307),IFERROR(LOOKUP(2,1/((거래처별!$AD$8:$AD$307&lt;&gt;"")*ISNUMBER(SEARCH(거래처별!$AD$8:$AD$307,$AB1275))),거래처별!$A$8:$A$307),IFERROR(LOOKUP(2,1/((거래처별!$AE$8:$AE$307&lt;&gt;"")*ISNUMBER(SEARCH(거래처별!$AE$8:$AE$307,$AB1275))),거래처별!$A$8:$A$307),0))))</f>
        <v/>
      </c>
      <c r="AD1275" s="31">
        <f>IF(AND($Y1275&lt;&gt;"",N($Z1275)&gt;0,$AC1275=0),MAX($AD$7:$AD1274)+1,"")</f>
        <v/>
      </c>
      <c r="AE1275" s="31">
        <f>IF($Y1275="",0,$Y1275)</f>
        <v/>
      </c>
    </row>
    <row r="1276">
      <c r="W1276" s="31">
        <f>IF(OR($B$5="",$C$6="",ROW()&lt;$B$5),"",IF(INDEX($A:$U,ROW(),$C$6)="","",INDEX($A:$U,ROW(),$C$6)))</f>
        <v/>
      </c>
      <c r="X1276" s="32">
        <f>IF($W1276="","",IF(ISNUMBER($W1276),IF($W1276&gt;=10000000,IFERROR(DATE(INT($W1276/10000),MOD(INT($W1276/100),100),MOD($W1276,100)),""),INT($W1276)),IFERROR(DATE(--LEFT(LEFT(SUBSTITUTE(SUBSTITUTE(SUBSTITUTE(SUBSTITUTE(TRIM($W1276),"-",""),".",""),"/","")," ",""),8),4),--MID(LEFT(SUBSTITUTE(SUBSTITUTE(SUBSTITUTE(SUBSTITUTE(TRIM($W1276),"-",""),".",""),"/","")," ",""),8),5,2),--MID(LEFT(SUBSTITUTE(SUBSTITUTE(SUBSTITUTE(SUBSTITUTE(TRIM($W1276),"-",""),".",""),"/","")," ",""),8),7,2)),"")))</f>
        <v/>
      </c>
      <c r="Y1276" s="32">
        <f>IF($X1276="","",INT($X1276))</f>
        <v/>
      </c>
      <c r="Z1276" s="33">
        <f>IF(OR($Y1276="",$D$6=""),"",IF(INDEX($A:$U,ROW(),$D$6)="",0,IF(ISNUMBER(INDEX($A:$U,ROW(),$D$6)),INDEX($A:$U,ROW(),$D$6),IFERROR(--SUBSTITUTE(SUBSTITUTE(TRIM(INDEX($A:$U,ROW(),$D$6)),",",""),"원",""),0))))</f>
        <v/>
      </c>
      <c r="AA1276" s="31">
        <f>IF($Y1276="","",TRIM(INDEX($A:$U,ROW(),$E$6)&amp;IF($F$6="",""," "&amp;INDEX($A:$U,ROW(),$F$6))))</f>
        <v/>
      </c>
      <c r="AB1276" s="31">
        <f>IF($AA1276="","",SUBSTITUTE(SUBSTITUTE(SUBSTITUTE(SUBSTITUTE(SUBSTITUTE(SUBSTITUTE(SUBSTITUTE(SUBSTITUTE(SUBSTITUTE($AA1276," ",""),"　",""),"(주)",""),"（주）",""),"㈜",""),"주식회사",""),"(유)",""),"（유）",""),"유한회사",""))</f>
        <v/>
      </c>
      <c r="AC1276" s="31">
        <f>IF(OR($Y1276="",N($Z1276)&lt;=0,$AB1276=""),0,IFERROR(LOOKUP(2,1/((거래처별!$AC$8:$AC$307&lt;&gt;"")*ISNUMBER(SEARCH(거래처별!$AC$8:$AC$307,$AB1276))),거래처별!$A$8:$A$307),IFERROR(LOOKUP(2,1/((거래처별!$AD$8:$AD$307&lt;&gt;"")*ISNUMBER(SEARCH(거래처별!$AD$8:$AD$307,$AB1276))),거래처별!$A$8:$A$307),IFERROR(LOOKUP(2,1/((거래처별!$AE$8:$AE$307&lt;&gt;"")*ISNUMBER(SEARCH(거래처별!$AE$8:$AE$307,$AB1276))),거래처별!$A$8:$A$307),0))))</f>
        <v/>
      </c>
      <c r="AD1276" s="31">
        <f>IF(AND($Y1276&lt;&gt;"",N($Z1276)&gt;0,$AC1276=0),MAX($AD$7:$AD1275)+1,"")</f>
        <v/>
      </c>
      <c r="AE1276" s="31">
        <f>IF($Y1276="",0,$Y1276)</f>
        <v/>
      </c>
    </row>
    <row r="1277">
      <c r="W1277" s="31">
        <f>IF(OR($B$5="",$C$6="",ROW()&lt;$B$5),"",IF(INDEX($A:$U,ROW(),$C$6)="","",INDEX($A:$U,ROW(),$C$6)))</f>
        <v/>
      </c>
      <c r="X1277" s="32">
        <f>IF($W1277="","",IF(ISNUMBER($W1277),IF($W1277&gt;=10000000,IFERROR(DATE(INT($W1277/10000),MOD(INT($W1277/100),100),MOD($W1277,100)),""),INT($W1277)),IFERROR(DATE(--LEFT(LEFT(SUBSTITUTE(SUBSTITUTE(SUBSTITUTE(SUBSTITUTE(TRIM($W1277),"-",""),".",""),"/","")," ",""),8),4),--MID(LEFT(SUBSTITUTE(SUBSTITUTE(SUBSTITUTE(SUBSTITUTE(TRIM($W1277),"-",""),".",""),"/","")," ",""),8),5,2),--MID(LEFT(SUBSTITUTE(SUBSTITUTE(SUBSTITUTE(SUBSTITUTE(TRIM($W1277),"-",""),".",""),"/","")," ",""),8),7,2)),"")))</f>
        <v/>
      </c>
      <c r="Y1277" s="32">
        <f>IF($X1277="","",INT($X1277))</f>
        <v/>
      </c>
      <c r="Z1277" s="33">
        <f>IF(OR($Y1277="",$D$6=""),"",IF(INDEX($A:$U,ROW(),$D$6)="",0,IF(ISNUMBER(INDEX($A:$U,ROW(),$D$6)),INDEX($A:$U,ROW(),$D$6),IFERROR(--SUBSTITUTE(SUBSTITUTE(TRIM(INDEX($A:$U,ROW(),$D$6)),",",""),"원",""),0))))</f>
        <v/>
      </c>
      <c r="AA1277" s="31">
        <f>IF($Y1277="","",TRIM(INDEX($A:$U,ROW(),$E$6)&amp;IF($F$6="",""," "&amp;INDEX($A:$U,ROW(),$F$6))))</f>
        <v/>
      </c>
      <c r="AB1277" s="31">
        <f>IF($AA1277="","",SUBSTITUTE(SUBSTITUTE(SUBSTITUTE(SUBSTITUTE(SUBSTITUTE(SUBSTITUTE(SUBSTITUTE(SUBSTITUTE(SUBSTITUTE($AA1277," ",""),"　",""),"(주)",""),"（주）",""),"㈜",""),"주식회사",""),"(유)",""),"（유）",""),"유한회사",""))</f>
        <v/>
      </c>
      <c r="AC1277" s="31">
        <f>IF(OR($Y1277="",N($Z1277)&lt;=0,$AB1277=""),0,IFERROR(LOOKUP(2,1/((거래처별!$AC$8:$AC$307&lt;&gt;"")*ISNUMBER(SEARCH(거래처별!$AC$8:$AC$307,$AB1277))),거래처별!$A$8:$A$307),IFERROR(LOOKUP(2,1/((거래처별!$AD$8:$AD$307&lt;&gt;"")*ISNUMBER(SEARCH(거래처별!$AD$8:$AD$307,$AB1277))),거래처별!$A$8:$A$307),IFERROR(LOOKUP(2,1/((거래처별!$AE$8:$AE$307&lt;&gt;"")*ISNUMBER(SEARCH(거래처별!$AE$8:$AE$307,$AB1277))),거래처별!$A$8:$A$307),0))))</f>
        <v/>
      </c>
      <c r="AD1277" s="31">
        <f>IF(AND($Y1277&lt;&gt;"",N($Z1277)&gt;0,$AC1277=0),MAX($AD$7:$AD1276)+1,"")</f>
        <v/>
      </c>
      <c r="AE1277" s="31">
        <f>IF($Y1277="",0,$Y1277)</f>
        <v/>
      </c>
    </row>
    <row r="1278">
      <c r="W1278" s="31">
        <f>IF(OR($B$5="",$C$6="",ROW()&lt;$B$5),"",IF(INDEX($A:$U,ROW(),$C$6)="","",INDEX($A:$U,ROW(),$C$6)))</f>
        <v/>
      </c>
      <c r="X1278" s="32">
        <f>IF($W1278="","",IF(ISNUMBER($W1278),IF($W1278&gt;=10000000,IFERROR(DATE(INT($W1278/10000),MOD(INT($W1278/100),100),MOD($W1278,100)),""),INT($W1278)),IFERROR(DATE(--LEFT(LEFT(SUBSTITUTE(SUBSTITUTE(SUBSTITUTE(SUBSTITUTE(TRIM($W1278),"-",""),".",""),"/","")," ",""),8),4),--MID(LEFT(SUBSTITUTE(SUBSTITUTE(SUBSTITUTE(SUBSTITUTE(TRIM($W1278),"-",""),".",""),"/","")," ",""),8),5,2),--MID(LEFT(SUBSTITUTE(SUBSTITUTE(SUBSTITUTE(SUBSTITUTE(TRIM($W1278),"-",""),".",""),"/","")," ",""),8),7,2)),"")))</f>
        <v/>
      </c>
      <c r="Y1278" s="32">
        <f>IF($X1278="","",INT($X1278))</f>
        <v/>
      </c>
      <c r="Z1278" s="33">
        <f>IF(OR($Y1278="",$D$6=""),"",IF(INDEX($A:$U,ROW(),$D$6)="",0,IF(ISNUMBER(INDEX($A:$U,ROW(),$D$6)),INDEX($A:$U,ROW(),$D$6),IFERROR(--SUBSTITUTE(SUBSTITUTE(TRIM(INDEX($A:$U,ROW(),$D$6)),",",""),"원",""),0))))</f>
        <v/>
      </c>
      <c r="AA1278" s="31">
        <f>IF($Y1278="","",TRIM(INDEX($A:$U,ROW(),$E$6)&amp;IF($F$6="",""," "&amp;INDEX($A:$U,ROW(),$F$6))))</f>
        <v/>
      </c>
      <c r="AB1278" s="31">
        <f>IF($AA1278="","",SUBSTITUTE(SUBSTITUTE(SUBSTITUTE(SUBSTITUTE(SUBSTITUTE(SUBSTITUTE(SUBSTITUTE(SUBSTITUTE(SUBSTITUTE($AA1278," ",""),"　",""),"(주)",""),"（주）",""),"㈜",""),"주식회사",""),"(유)",""),"（유）",""),"유한회사",""))</f>
        <v/>
      </c>
      <c r="AC1278" s="31">
        <f>IF(OR($Y1278="",N($Z1278)&lt;=0,$AB1278=""),0,IFERROR(LOOKUP(2,1/((거래처별!$AC$8:$AC$307&lt;&gt;"")*ISNUMBER(SEARCH(거래처별!$AC$8:$AC$307,$AB1278))),거래처별!$A$8:$A$307),IFERROR(LOOKUP(2,1/((거래처별!$AD$8:$AD$307&lt;&gt;"")*ISNUMBER(SEARCH(거래처별!$AD$8:$AD$307,$AB1278))),거래처별!$A$8:$A$307),IFERROR(LOOKUP(2,1/((거래처별!$AE$8:$AE$307&lt;&gt;"")*ISNUMBER(SEARCH(거래처별!$AE$8:$AE$307,$AB1278))),거래처별!$A$8:$A$307),0))))</f>
        <v/>
      </c>
      <c r="AD1278" s="31">
        <f>IF(AND($Y1278&lt;&gt;"",N($Z1278)&gt;0,$AC1278=0),MAX($AD$7:$AD1277)+1,"")</f>
        <v/>
      </c>
      <c r="AE1278" s="31">
        <f>IF($Y1278="",0,$Y1278)</f>
        <v/>
      </c>
    </row>
    <row r="1279">
      <c r="W1279" s="31">
        <f>IF(OR($B$5="",$C$6="",ROW()&lt;$B$5),"",IF(INDEX($A:$U,ROW(),$C$6)="","",INDEX($A:$U,ROW(),$C$6)))</f>
        <v/>
      </c>
      <c r="X1279" s="32">
        <f>IF($W1279="","",IF(ISNUMBER($W1279),IF($W1279&gt;=10000000,IFERROR(DATE(INT($W1279/10000),MOD(INT($W1279/100),100),MOD($W1279,100)),""),INT($W1279)),IFERROR(DATE(--LEFT(LEFT(SUBSTITUTE(SUBSTITUTE(SUBSTITUTE(SUBSTITUTE(TRIM($W1279),"-",""),".",""),"/","")," ",""),8),4),--MID(LEFT(SUBSTITUTE(SUBSTITUTE(SUBSTITUTE(SUBSTITUTE(TRIM($W1279),"-",""),".",""),"/","")," ",""),8),5,2),--MID(LEFT(SUBSTITUTE(SUBSTITUTE(SUBSTITUTE(SUBSTITUTE(TRIM($W1279),"-",""),".",""),"/","")," ",""),8),7,2)),"")))</f>
        <v/>
      </c>
      <c r="Y1279" s="32">
        <f>IF($X1279="","",INT($X1279))</f>
        <v/>
      </c>
      <c r="Z1279" s="33">
        <f>IF(OR($Y1279="",$D$6=""),"",IF(INDEX($A:$U,ROW(),$D$6)="",0,IF(ISNUMBER(INDEX($A:$U,ROW(),$D$6)),INDEX($A:$U,ROW(),$D$6),IFERROR(--SUBSTITUTE(SUBSTITUTE(TRIM(INDEX($A:$U,ROW(),$D$6)),",",""),"원",""),0))))</f>
        <v/>
      </c>
      <c r="AA1279" s="31">
        <f>IF($Y1279="","",TRIM(INDEX($A:$U,ROW(),$E$6)&amp;IF($F$6="",""," "&amp;INDEX($A:$U,ROW(),$F$6))))</f>
        <v/>
      </c>
      <c r="AB1279" s="31">
        <f>IF($AA1279="","",SUBSTITUTE(SUBSTITUTE(SUBSTITUTE(SUBSTITUTE(SUBSTITUTE(SUBSTITUTE(SUBSTITUTE(SUBSTITUTE(SUBSTITUTE($AA1279," ",""),"　",""),"(주)",""),"（주）",""),"㈜",""),"주식회사",""),"(유)",""),"（유）",""),"유한회사",""))</f>
        <v/>
      </c>
      <c r="AC1279" s="31">
        <f>IF(OR($Y1279="",N($Z1279)&lt;=0,$AB1279=""),0,IFERROR(LOOKUP(2,1/((거래처별!$AC$8:$AC$307&lt;&gt;"")*ISNUMBER(SEARCH(거래처별!$AC$8:$AC$307,$AB1279))),거래처별!$A$8:$A$307),IFERROR(LOOKUP(2,1/((거래처별!$AD$8:$AD$307&lt;&gt;"")*ISNUMBER(SEARCH(거래처별!$AD$8:$AD$307,$AB1279))),거래처별!$A$8:$A$307),IFERROR(LOOKUP(2,1/((거래처별!$AE$8:$AE$307&lt;&gt;"")*ISNUMBER(SEARCH(거래처별!$AE$8:$AE$307,$AB1279))),거래처별!$A$8:$A$307),0))))</f>
        <v/>
      </c>
      <c r="AD1279" s="31">
        <f>IF(AND($Y1279&lt;&gt;"",N($Z1279)&gt;0,$AC1279=0),MAX($AD$7:$AD1278)+1,"")</f>
        <v/>
      </c>
      <c r="AE1279" s="31">
        <f>IF($Y1279="",0,$Y1279)</f>
        <v/>
      </c>
    </row>
    <row r="1280">
      <c r="W1280" s="31">
        <f>IF(OR($B$5="",$C$6="",ROW()&lt;$B$5),"",IF(INDEX($A:$U,ROW(),$C$6)="","",INDEX($A:$U,ROW(),$C$6)))</f>
        <v/>
      </c>
      <c r="X1280" s="32">
        <f>IF($W1280="","",IF(ISNUMBER($W1280),IF($W1280&gt;=10000000,IFERROR(DATE(INT($W1280/10000),MOD(INT($W1280/100),100),MOD($W1280,100)),""),INT($W1280)),IFERROR(DATE(--LEFT(LEFT(SUBSTITUTE(SUBSTITUTE(SUBSTITUTE(SUBSTITUTE(TRIM($W1280),"-",""),".",""),"/","")," ",""),8),4),--MID(LEFT(SUBSTITUTE(SUBSTITUTE(SUBSTITUTE(SUBSTITUTE(TRIM($W1280),"-",""),".",""),"/","")," ",""),8),5,2),--MID(LEFT(SUBSTITUTE(SUBSTITUTE(SUBSTITUTE(SUBSTITUTE(TRIM($W1280),"-",""),".",""),"/","")," ",""),8),7,2)),"")))</f>
        <v/>
      </c>
      <c r="Y1280" s="32">
        <f>IF($X1280="","",INT($X1280))</f>
        <v/>
      </c>
      <c r="Z1280" s="33">
        <f>IF(OR($Y1280="",$D$6=""),"",IF(INDEX($A:$U,ROW(),$D$6)="",0,IF(ISNUMBER(INDEX($A:$U,ROW(),$D$6)),INDEX($A:$U,ROW(),$D$6),IFERROR(--SUBSTITUTE(SUBSTITUTE(TRIM(INDEX($A:$U,ROW(),$D$6)),",",""),"원",""),0))))</f>
        <v/>
      </c>
      <c r="AA1280" s="31">
        <f>IF($Y1280="","",TRIM(INDEX($A:$U,ROW(),$E$6)&amp;IF($F$6="",""," "&amp;INDEX($A:$U,ROW(),$F$6))))</f>
        <v/>
      </c>
      <c r="AB1280" s="31">
        <f>IF($AA1280="","",SUBSTITUTE(SUBSTITUTE(SUBSTITUTE(SUBSTITUTE(SUBSTITUTE(SUBSTITUTE(SUBSTITUTE(SUBSTITUTE(SUBSTITUTE($AA1280," ",""),"　",""),"(주)",""),"（주）",""),"㈜",""),"주식회사",""),"(유)",""),"（유）",""),"유한회사",""))</f>
        <v/>
      </c>
      <c r="AC1280" s="31">
        <f>IF(OR($Y1280="",N($Z1280)&lt;=0,$AB1280=""),0,IFERROR(LOOKUP(2,1/((거래처별!$AC$8:$AC$307&lt;&gt;"")*ISNUMBER(SEARCH(거래처별!$AC$8:$AC$307,$AB1280))),거래처별!$A$8:$A$307),IFERROR(LOOKUP(2,1/((거래처별!$AD$8:$AD$307&lt;&gt;"")*ISNUMBER(SEARCH(거래처별!$AD$8:$AD$307,$AB1280))),거래처별!$A$8:$A$307),IFERROR(LOOKUP(2,1/((거래처별!$AE$8:$AE$307&lt;&gt;"")*ISNUMBER(SEARCH(거래처별!$AE$8:$AE$307,$AB1280))),거래처별!$A$8:$A$307),0))))</f>
        <v/>
      </c>
      <c r="AD1280" s="31">
        <f>IF(AND($Y1280&lt;&gt;"",N($Z1280)&gt;0,$AC1280=0),MAX($AD$7:$AD1279)+1,"")</f>
        <v/>
      </c>
      <c r="AE1280" s="31">
        <f>IF($Y1280="",0,$Y1280)</f>
        <v/>
      </c>
    </row>
    <row r="1281">
      <c r="W1281" s="31">
        <f>IF(OR($B$5="",$C$6="",ROW()&lt;$B$5),"",IF(INDEX($A:$U,ROW(),$C$6)="","",INDEX($A:$U,ROW(),$C$6)))</f>
        <v/>
      </c>
      <c r="X1281" s="32">
        <f>IF($W1281="","",IF(ISNUMBER($W1281),IF($W1281&gt;=10000000,IFERROR(DATE(INT($W1281/10000),MOD(INT($W1281/100),100),MOD($W1281,100)),""),INT($W1281)),IFERROR(DATE(--LEFT(LEFT(SUBSTITUTE(SUBSTITUTE(SUBSTITUTE(SUBSTITUTE(TRIM($W1281),"-",""),".",""),"/","")," ",""),8),4),--MID(LEFT(SUBSTITUTE(SUBSTITUTE(SUBSTITUTE(SUBSTITUTE(TRIM($W1281),"-",""),".",""),"/","")," ",""),8),5,2),--MID(LEFT(SUBSTITUTE(SUBSTITUTE(SUBSTITUTE(SUBSTITUTE(TRIM($W1281),"-",""),".",""),"/","")," ",""),8),7,2)),"")))</f>
        <v/>
      </c>
      <c r="Y1281" s="32">
        <f>IF($X1281="","",INT($X1281))</f>
        <v/>
      </c>
      <c r="Z1281" s="33">
        <f>IF(OR($Y1281="",$D$6=""),"",IF(INDEX($A:$U,ROW(),$D$6)="",0,IF(ISNUMBER(INDEX($A:$U,ROW(),$D$6)),INDEX($A:$U,ROW(),$D$6),IFERROR(--SUBSTITUTE(SUBSTITUTE(TRIM(INDEX($A:$U,ROW(),$D$6)),",",""),"원",""),0))))</f>
        <v/>
      </c>
      <c r="AA1281" s="31">
        <f>IF($Y1281="","",TRIM(INDEX($A:$U,ROW(),$E$6)&amp;IF($F$6="",""," "&amp;INDEX($A:$U,ROW(),$F$6))))</f>
        <v/>
      </c>
      <c r="AB1281" s="31">
        <f>IF($AA1281="","",SUBSTITUTE(SUBSTITUTE(SUBSTITUTE(SUBSTITUTE(SUBSTITUTE(SUBSTITUTE(SUBSTITUTE(SUBSTITUTE(SUBSTITUTE($AA1281," ",""),"　",""),"(주)",""),"（주）",""),"㈜",""),"주식회사",""),"(유)",""),"（유）",""),"유한회사",""))</f>
        <v/>
      </c>
      <c r="AC1281" s="31">
        <f>IF(OR($Y1281="",N($Z1281)&lt;=0,$AB1281=""),0,IFERROR(LOOKUP(2,1/((거래처별!$AC$8:$AC$307&lt;&gt;"")*ISNUMBER(SEARCH(거래처별!$AC$8:$AC$307,$AB1281))),거래처별!$A$8:$A$307),IFERROR(LOOKUP(2,1/((거래처별!$AD$8:$AD$307&lt;&gt;"")*ISNUMBER(SEARCH(거래처별!$AD$8:$AD$307,$AB1281))),거래처별!$A$8:$A$307),IFERROR(LOOKUP(2,1/((거래처별!$AE$8:$AE$307&lt;&gt;"")*ISNUMBER(SEARCH(거래처별!$AE$8:$AE$307,$AB1281))),거래처별!$A$8:$A$307),0))))</f>
        <v/>
      </c>
      <c r="AD1281" s="31">
        <f>IF(AND($Y1281&lt;&gt;"",N($Z1281)&gt;0,$AC1281=0),MAX($AD$7:$AD1280)+1,"")</f>
        <v/>
      </c>
      <c r="AE1281" s="31">
        <f>IF($Y1281="",0,$Y1281)</f>
        <v/>
      </c>
    </row>
    <row r="1282">
      <c r="W1282" s="31">
        <f>IF(OR($B$5="",$C$6="",ROW()&lt;$B$5),"",IF(INDEX($A:$U,ROW(),$C$6)="","",INDEX($A:$U,ROW(),$C$6)))</f>
        <v/>
      </c>
      <c r="X1282" s="32">
        <f>IF($W1282="","",IF(ISNUMBER($W1282),IF($W1282&gt;=10000000,IFERROR(DATE(INT($W1282/10000),MOD(INT($W1282/100),100),MOD($W1282,100)),""),INT($W1282)),IFERROR(DATE(--LEFT(LEFT(SUBSTITUTE(SUBSTITUTE(SUBSTITUTE(SUBSTITUTE(TRIM($W1282),"-",""),".",""),"/","")," ",""),8),4),--MID(LEFT(SUBSTITUTE(SUBSTITUTE(SUBSTITUTE(SUBSTITUTE(TRIM($W1282),"-",""),".",""),"/","")," ",""),8),5,2),--MID(LEFT(SUBSTITUTE(SUBSTITUTE(SUBSTITUTE(SUBSTITUTE(TRIM($W1282),"-",""),".",""),"/","")," ",""),8),7,2)),"")))</f>
        <v/>
      </c>
      <c r="Y1282" s="32">
        <f>IF($X1282="","",INT($X1282))</f>
        <v/>
      </c>
      <c r="Z1282" s="33">
        <f>IF(OR($Y1282="",$D$6=""),"",IF(INDEX($A:$U,ROW(),$D$6)="",0,IF(ISNUMBER(INDEX($A:$U,ROW(),$D$6)),INDEX($A:$U,ROW(),$D$6),IFERROR(--SUBSTITUTE(SUBSTITUTE(TRIM(INDEX($A:$U,ROW(),$D$6)),",",""),"원",""),0))))</f>
        <v/>
      </c>
      <c r="AA1282" s="31">
        <f>IF($Y1282="","",TRIM(INDEX($A:$U,ROW(),$E$6)&amp;IF($F$6="",""," "&amp;INDEX($A:$U,ROW(),$F$6))))</f>
        <v/>
      </c>
      <c r="AB1282" s="31">
        <f>IF($AA1282="","",SUBSTITUTE(SUBSTITUTE(SUBSTITUTE(SUBSTITUTE(SUBSTITUTE(SUBSTITUTE(SUBSTITUTE(SUBSTITUTE(SUBSTITUTE($AA1282," ",""),"　",""),"(주)",""),"（주）",""),"㈜",""),"주식회사",""),"(유)",""),"（유）",""),"유한회사",""))</f>
        <v/>
      </c>
      <c r="AC1282" s="31">
        <f>IF(OR($Y1282="",N($Z1282)&lt;=0,$AB1282=""),0,IFERROR(LOOKUP(2,1/((거래처별!$AC$8:$AC$307&lt;&gt;"")*ISNUMBER(SEARCH(거래처별!$AC$8:$AC$307,$AB1282))),거래처별!$A$8:$A$307),IFERROR(LOOKUP(2,1/((거래처별!$AD$8:$AD$307&lt;&gt;"")*ISNUMBER(SEARCH(거래처별!$AD$8:$AD$307,$AB1282))),거래처별!$A$8:$A$307),IFERROR(LOOKUP(2,1/((거래처별!$AE$8:$AE$307&lt;&gt;"")*ISNUMBER(SEARCH(거래처별!$AE$8:$AE$307,$AB1282))),거래처별!$A$8:$A$307),0))))</f>
        <v/>
      </c>
      <c r="AD1282" s="31">
        <f>IF(AND($Y1282&lt;&gt;"",N($Z1282)&gt;0,$AC1282=0),MAX($AD$7:$AD1281)+1,"")</f>
        <v/>
      </c>
      <c r="AE1282" s="31">
        <f>IF($Y1282="",0,$Y1282)</f>
        <v/>
      </c>
    </row>
    <row r="1283">
      <c r="W1283" s="31">
        <f>IF(OR($B$5="",$C$6="",ROW()&lt;$B$5),"",IF(INDEX($A:$U,ROW(),$C$6)="","",INDEX($A:$U,ROW(),$C$6)))</f>
        <v/>
      </c>
      <c r="X1283" s="32">
        <f>IF($W1283="","",IF(ISNUMBER($W1283),IF($W1283&gt;=10000000,IFERROR(DATE(INT($W1283/10000),MOD(INT($W1283/100),100),MOD($W1283,100)),""),INT($W1283)),IFERROR(DATE(--LEFT(LEFT(SUBSTITUTE(SUBSTITUTE(SUBSTITUTE(SUBSTITUTE(TRIM($W1283),"-",""),".",""),"/","")," ",""),8),4),--MID(LEFT(SUBSTITUTE(SUBSTITUTE(SUBSTITUTE(SUBSTITUTE(TRIM($W1283),"-",""),".",""),"/","")," ",""),8),5,2),--MID(LEFT(SUBSTITUTE(SUBSTITUTE(SUBSTITUTE(SUBSTITUTE(TRIM($W1283),"-",""),".",""),"/","")," ",""),8),7,2)),"")))</f>
        <v/>
      </c>
      <c r="Y1283" s="32">
        <f>IF($X1283="","",INT($X1283))</f>
        <v/>
      </c>
      <c r="Z1283" s="33">
        <f>IF(OR($Y1283="",$D$6=""),"",IF(INDEX($A:$U,ROW(),$D$6)="",0,IF(ISNUMBER(INDEX($A:$U,ROW(),$D$6)),INDEX($A:$U,ROW(),$D$6),IFERROR(--SUBSTITUTE(SUBSTITUTE(TRIM(INDEX($A:$U,ROW(),$D$6)),",",""),"원",""),0))))</f>
        <v/>
      </c>
      <c r="AA1283" s="31">
        <f>IF($Y1283="","",TRIM(INDEX($A:$U,ROW(),$E$6)&amp;IF($F$6="",""," "&amp;INDEX($A:$U,ROW(),$F$6))))</f>
        <v/>
      </c>
      <c r="AB1283" s="31">
        <f>IF($AA1283="","",SUBSTITUTE(SUBSTITUTE(SUBSTITUTE(SUBSTITUTE(SUBSTITUTE(SUBSTITUTE(SUBSTITUTE(SUBSTITUTE(SUBSTITUTE($AA1283," ",""),"　",""),"(주)",""),"（주）",""),"㈜",""),"주식회사",""),"(유)",""),"（유）",""),"유한회사",""))</f>
        <v/>
      </c>
      <c r="AC1283" s="31">
        <f>IF(OR($Y1283="",N($Z1283)&lt;=0,$AB1283=""),0,IFERROR(LOOKUP(2,1/((거래처별!$AC$8:$AC$307&lt;&gt;"")*ISNUMBER(SEARCH(거래처별!$AC$8:$AC$307,$AB1283))),거래처별!$A$8:$A$307),IFERROR(LOOKUP(2,1/((거래처별!$AD$8:$AD$307&lt;&gt;"")*ISNUMBER(SEARCH(거래처별!$AD$8:$AD$307,$AB1283))),거래처별!$A$8:$A$307),IFERROR(LOOKUP(2,1/((거래처별!$AE$8:$AE$307&lt;&gt;"")*ISNUMBER(SEARCH(거래처별!$AE$8:$AE$307,$AB1283))),거래처별!$A$8:$A$307),0))))</f>
        <v/>
      </c>
      <c r="AD1283" s="31">
        <f>IF(AND($Y1283&lt;&gt;"",N($Z1283)&gt;0,$AC1283=0),MAX($AD$7:$AD1282)+1,"")</f>
        <v/>
      </c>
      <c r="AE1283" s="31">
        <f>IF($Y1283="",0,$Y1283)</f>
        <v/>
      </c>
    </row>
    <row r="1284">
      <c r="W1284" s="31">
        <f>IF(OR($B$5="",$C$6="",ROW()&lt;$B$5),"",IF(INDEX($A:$U,ROW(),$C$6)="","",INDEX($A:$U,ROW(),$C$6)))</f>
        <v/>
      </c>
      <c r="X1284" s="32">
        <f>IF($W1284="","",IF(ISNUMBER($W1284),IF($W1284&gt;=10000000,IFERROR(DATE(INT($W1284/10000),MOD(INT($W1284/100),100),MOD($W1284,100)),""),INT($W1284)),IFERROR(DATE(--LEFT(LEFT(SUBSTITUTE(SUBSTITUTE(SUBSTITUTE(SUBSTITUTE(TRIM($W1284),"-",""),".",""),"/","")," ",""),8),4),--MID(LEFT(SUBSTITUTE(SUBSTITUTE(SUBSTITUTE(SUBSTITUTE(TRIM($W1284),"-",""),".",""),"/","")," ",""),8),5,2),--MID(LEFT(SUBSTITUTE(SUBSTITUTE(SUBSTITUTE(SUBSTITUTE(TRIM($W1284),"-",""),".",""),"/","")," ",""),8),7,2)),"")))</f>
        <v/>
      </c>
      <c r="Y1284" s="32">
        <f>IF($X1284="","",INT($X1284))</f>
        <v/>
      </c>
      <c r="Z1284" s="33">
        <f>IF(OR($Y1284="",$D$6=""),"",IF(INDEX($A:$U,ROW(),$D$6)="",0,IF(ISNUMBER(INDEX($A:$U,ROW(),$D$6)),INDEX($A:$U,ROW(),$D$6),IFERROR(--SUBSTITUTE(SUBSTITUTE(TRIM(INDEX($A:$U,ROW(),$D$6)),",",""),"원",""),0))))</f>
        <v/>
      </c>
      <c r="AA1284" s="31">
        <f>IF($Y1284="","",TRIM(INDEX($A:$U,ROW(),$E$6)&amp;IF($F$6="",""," "&amp;INDEX($A:$U,ROW(),$F$6))))</f>
        <v/>
      </c>
      <c r="AB1284" s="31">
        <f>IF($AA1284="","",SUBSTITUTE(SUBSTITUTE(SUBSTITUTE(SUBSTITUTE(SUBSTITUTE(SUBSTITUTE(SUBSTITUTE(SUBSTITUTE(SUBSTITUTE($AA1284," ",""),"　",""),"(주)",""),"（주）",""),"㈜",""),"주식회사",""),"(유)",""),"（유）",""),"유한회사",""))</f>
        <v/>
      </c>
      <c r="AC1284" s="31">
        <f>IF(OR($Y1284="",N($Z1284)&lt;=0,$AB1284=""),0,IFERROR(LOOKUP(2,1/((거래처별!$AC$8:$AC$307&lt;&gt;"")*ISNUMBER(SEARCH(거래처별!$AC$8:$AC$307,$AB1284))),거래처별!$A$8:$A$307),IFERROR(LOOKUP(2,1/((거래처별!$AD$8:$AD$307&lt;&gt;"")*ISNUMBER(SEARCH(거래처별!$AD$8:$AD$307,$AB1284))),거래처별!$A$8:$A$307),IFERROR(LOOKUP(2,1/((거래처별!$AE$8:$AE$307&lt;&gt;"")*ISNUMBER(SEARCH(거래처별!$AE$8:$AE$307,$AB1284))),거래처별!$A$8:$A$307),0))))</f>
        <v/>
      </c>
      <c r="AD1284" s="31">
        <f>IF(AND($Y1284&lt;&gt;"",N($Z1284)&gt;0,$AC1284=0),MAX($AD$7:$AD1283)+1,"")</f>
        <v/>
      </c>
      <c r="AE1284" s="31">
        <f>IF($Y1284="",0,$Y1284)</f>
        <v/>
      </c>
    </row>
    <row r="1285">
      <c r="W1285" s="31">
        <f>IF(OR($B$5="",$C$6="",ROW()&lt;$B$5),"",IF(INDEX($A:$U,ROW(),$C$6)="","",INDEX($A:$U,ROW(),$C$6)))</f>
        <v/>
      </c>
      <c r="X1285" s="32">
        <f>IF($W1285="","",IF(ISNUMBER($W1285),IF($W1285&gt;=10000000,IFERROR(DATE(INT($W1285/10000),MOD(INT($W1285/100),100),MOD($W1285,100)),""),INT($W1285)),IFERROR(DATE(--LEFT(LEFT(SUBSTITUTE(SUBSTITUTE(SUBSTITUTE(SUBSTITUTE(TRIM($W1285),"-",""),".",""),"/","")," ",""),8),4),--MID(LEFT(SUBSTITUTE(SUBSTITUTE(SUBSTITUTE(SUBSTITUTE(TRIM($W1285),"-",""),".",""),"/","")," ",""),8),5,2),--MID(LEFT(SUBSTITUTE(SUBSTITUTE(SUBSTITUTE(SUBSTITUTE(TRIM($W1285),"-",""),".",""),"/","")," ",""),8),7,2)),"")))</f>
        <v/>
      </c>
      <c r="Y1285" s="32">
        <f>IF($X1285="","",INT($X1285))</f>
        <v/>
      </c>
      <c r="Z1285" s="33">
        <f>IF(OR($Y1285="",$D$6=""),"",IF(INDEX($A:$U,ROW(),$D$6)="",0,IF(ISNUMBER(INDEX($A:$U,ROW(),$D$6)),INDEX($A:$U,ROW(),$D$6),IFERROR(--SUBSTITUTE(SUBSTITUTE(TRIM(INDEX($A:$U,ROW(),$D$6)),",",""),"원",""),0))))</f>
        <v/>
      </c>
      <c r="AA1285" s="31">
        <f>IF($Y1285="","",TRIM(INDEX($A:$U,ROW(),$E$6)&amp;IF($F$6="",""," "&amp;INDEX($A:$U,ROW(),$F$6))))</f>
        <v/>
      </c>
      <c r="AB1285" s="31">
        <f>IF($AA1285="","",SUBSTITUTE(SUBSTITUTE(SUBSTITUTE(SUBSTITUTE(SUBSTITUTE(SUBSTITUTE(SUBSTITUTE(SUBSTITUTE(SUBSTITUTE($AA1285," ",""),"　",""),"(주)",""),"（주）",""),"㈜",""),"주식회사",""),"(유)",""),"（유）",""),"유한회사",""))</f>
        <v/>
      </c>
      <c r="AC1285" s="31">
        <f>IF(OR($Y1285="",N($Z1285)&lt;=0,$AB1285=""),0,IFERROR(LOOKUP(2,1/((거래처별!$AC$8:$AC$307&lt;&gt;"")*ISNUMBER(SEARCH(거래처별!$AC$8:$AC$307,$AB1285))),거래처별!$A$8:$A$307),IFERROR(LOOKUP(2,1/((거래처별!$AD$8:$AD$307&lt;&gt;"")*ISNUMBER(SEARCH(거래처별!$AD$8:$AD$307,$AB1285))),거래처별!$A$8:$A$307),IFERROR(LOOKUP(2,1/((거래처별!$AE$8:$AE$307&lt;&gt;"")*ISNUMBER(SEARCH(거래처별!$AE$8:$AE$307,$AB1285))),거래처별!$A$8:$A$307),0))))</f>
        <v/>
      </c>
      <c r="AD1285" s="31">
        <f>IF(AND($Y1285&lt;&gt;"",N($Z1285)&gt;0,$AC1285=0),MAX($AD$7:$AD1284)+1,"")</f>
        <v/>
      </c>
      <c r="AE1285" s="31">
        <f>IF($Y1285="",0,$Y1285)</f>
        <v/>
      </c>
    </row>
    <row r="1286">
      <c r="W1286" s="31">
        <f>IF(OR($B$5="",$C$6="",ROW()&lt;$B$5),"",IF(INDEX($A:$U,ROW(),$C$6)="","",INDEX($A:$U,ROW(),$C$6)))</f>
        <v/>
      </c>
      <c r="X1286" s="32">
        <f>IF($W1286="","",IF(ISNUMBER($W1286),IF($W1286&gt;=10000000,IFERROR(DATE(INT($W1286/10000),MOD(INT($W1286/100),100),MOD($W1286,100)),""),INT($W1286)),IFERROR(DATE(--LEFT(LEFT(SUBSTITUTE(SUBSTITUTE(SUBSTITUTE(SUBSTITUTE(TRIM($W1286),"-",""),".",""),"/","")," ",""),8),4),--MID(LEFT(SUBSTITUTE(SUBSTITUTE(SUBSTITUTE(SUBSTITUTE(TRIM($W1286),"-",""),".",""),"/","")," ",""),8),5,2),--MID(LEFT(SUBSTITUTE(SUBSTITUTE(SUBSTITUTE(SUBSTITUTE(TRIM($W1286),"-",""),".",""),"/","")," ",""),8),7,2)),"")))</f>
        <v/>
      </c>
      <c r="Y1286" s="32">
        <f>IF($X1286="","",INT($X1286))</f>
        <v/>
      </c>
      <c r="Z1286" s="33">
        <f>IF(OR($Y1286="",$D$6=""),"",IF(INDEX($A:$U,ROW(),$D$6)="",0,IF(ISNUMBER(INDEX($A:$U,ROW(),$D$6)),INDEX($A:$U,ROW(),$D$6),IFERROR(--SUBSTITUTE(SUBSTITUTE(TRIM(INDEX($A:$U,ROW(),$D$6)),",",""),"원",""),0))))</f>
        <v/>
      </c>
      <c r="AA1286" s="31">
        <f>IF($Y1286="","",TRIM(INDEX($A:$U,ROW(),$E$6)&amp;IF($F$6="",""," "&amp;INDEX($A:$U,ROW(),$F$6))))</f>
        <v/>
      </c>
      <c r="AB1286" s="31">
        <f>IF($AA1286="","",SUBSTITUTE(SUBSTITUTE(SUBSTITUTE(SUBSTITUTE(SUBSTITUTE(SUBSTITUTE(SUBSTITUTE(SUBSTITUTE(SUBSTITUTE($AA1286," ",""),"　",""),"(주)",""),"（주）",""),"㈜",""),"주식회사",""),"(유)",""),"（유）",""),"유한회사",""))</f>
        <v/>
      </c>
      <c r="AC1286" s="31">
        <f>IF(OR($Y1286="",N($Z1286)&lt;=0,$AB1286=""),0,IFERROR(LOOKUP(2,1/((거래처별!$AC$8:$AC$307&lt;&gt;"")*ISNUMBER(SEARCH(거래처별!$AC$8:$AC$307,$AB1286))),거래처별!$A$8:$A$307),IFERROR(LOOKUP(2,1/((거래처별!$AD$8:$AD$307&lt;&gt;"")*ISNUMBER(SEARCH(거래처별!$AD$8:$AD$307,$AB1286))),거래처별!$A$8:$A$307),IFERROR(LOOKUP(2,1/((거래처별!$AE$8:$AE$307&lt;&gt;"")*ISNUMBER(SEARCH(거래처별!$AE$8:$AE$307,$AB1286))),거래처별!$A$8:$A$307),0))))</f>
        <v/>
      </c>
      <c r="AD1286" s="31">
        <f>IF(AND($Y1286&lt;&gt;"",N($Z1286)&gt;0,$AC1286=0),MAX($AD$7:$AD1285)+1,"")</f>
        <v/>
      </c>
      <c r="AE1286" s="31">
        <f>IF($Y1286="",0,$Y1286)</f>
        <v/>
      </c>
    </row>
    <row r="1287">
      <c r="W1287" s="31">
        <f>IF(OR($B$5="",$C$6="",ROW()&lt;$B$5),"",IF(INDEX($A:$U,ROW(),$C$6)="","",INDEX($A:$U,ROW(),$C$6)))</f>
        <v/>
      </c>
      <c r="X1287" s="32">
        <f>IF($W1287="","",IF(ISNUMBER($W1287),IF($W1287&gt;=10000000,IFERROR(DATE(INT($W1287/10000),MOD(INT($W1287/100),100),MOD($W1287,100)),""),INT($W1287)),IFERROR(DATE(--LEFT(LEFT(SUBSTITUTE(SUBSTITUTE(SUBSTITUTE(SUBSTITUTE(TRIM($W1287),"-",""),".",""),"/","")," ",""),8),4),--MID(LEFT(SUBSTITUTE(SUBSTITUTE(SUBSTITUTE(SUBSTITUTE(TRIM($W1287),"-",""),".",""),"/","")," ",""),8),5,2),--MID(LEFT(SUBSTITUTE(SUBSTITUTE(SUBSTITUTE(SUBSTITUTE(TRIM($W1287),"-",""),".",""),"/","")," ",""),8),7,2)),"")))</f>
        <v/>
      </c>
      <c r="Y1287" s="32">
        <f>IF($X1287="","",INT($X1287))</f>
        <v/>
      </c>
      <c r="Z1287" s="33">
        <f>IF(OR($Y1287="",$D$6=""),"",IF(INDEX($A:$U,ROW(),$D$6)="",0,IF(ISNUMBER(INDEX($A:$U,ROW(),$D$6)),INDEX($A:$U,ROW(),$D$6),IFERROR(--SUBSTITUTE(SUBSTITUTE(TRIM(INDEX($A:$U,ROW(),$D$6)),",",""),"원",""),0))))</f>
        <v/>
      </c>
      <c r="AA1287" s="31">
        <f>IF($Y1287="","",TRIM(INDEX($A:$U,ROW(),$E$6)&amp;IF($F$6="",""," "&amp;INDEX($A:$U,ROW(),$F$6))))</f>
        <v/>
      </c>
      <c r="AB1287" s="31">
        <f>IF($AA1287="","",SUBSTITUTE(SUBSTITUTE(SUBSTITUTE(SUBSTITUTE(SUBSTITUTE(SUBSTITUTE(SUBSTITUTE(SUBSTITUTE(SUBSTITUTE($AA1287," ",""),"　",""),"(주)",""),"（주）",""),"㈜",""),"주식회사",""),"(유)",""),"（유）",""),"유한회사",""))</f>
        <v/>
      </c>
      <c r="AC1287" s="31">
        <f>IF(OR($Y1287="",N($Z1287)&lt;=0,$AB1287=""),0,IFERROR(LOOKUP(2,1/((거래처별!$AC$8:$AC$307&lt;&gt;"")*ISNUMBER(SEARCH(거래처별!$AC$8:$AC$307,$AB1287))),거래처별!$A$8:$A$307),IFERROR(LOOKUP(2,1/((거래처별!$AD$8:$AD$307&lt;&gt;"")*ISNUMBER(SEARCH(거래처별!$AD$8:$AD$307,$AB1287))),거래처별!$A$8:$A$307),IFERROR(LOOKUP(2,1/((거래처별!$AE$8:$AE$307&lt;&gt;"")*ISNUMBER(SEARCH(거래처별!$AE$8:$AE$307,$AB1287))),거래처별!$A$8:$A$307),0))))</f>
        <v/>
      </c>
      <c r="AD1287" s="31">
        <f>IF(AND($Y1287&lt;&gt;"",N($Z1287)&gt;0,$AC1287=0),MAX($AD$7:$AD1286)+1,"")</f>
        <v/>
      </c>
      <c r="AE1287" s="31">
        <f>IF($Y1287="",0,$Y1287)</f>
        <v/>
      </c>
    </row>
    <row r="1288">
      <c r="W1288" s="31">
        <f>IF(OR($B$5="",$C$6="",ROW()&lt;$B$5),"",IF(INDEX($A:$U,ROW(),$C$6)="","",INDEX($A:$U,ROW(),$C$6)))</f>
        <v/>
      </c>
      <c r="X1288" s="32">
        <f>IF($W1288="","",IF(ISNUMBER($W1288),IF($W1288&gt;=10000000,IFERROR(DATE(INT($W1288/10000),MOD(INT($W1288/100),100),MOD($W1288,100)),""),INT($W1288)),IFERROR(DATE(--LEFT(LEFT(SUBSTITUTE(SUBSTITUTE(SUBSTITUTE(SUBSTITUTE(TRIM($W1288),"-",""),".",""),"/","")," ",""),8),4),--MID(LEFT(SUBSTITUTE(SUBSTITUTE(SUBSTITUTE(SUBSTITUTE(TRIM($W1288),"-",""),".",""),"/","")," ",""),8),5,2),--MID(LEFT(SUBSTITUTE(SUBSTITUTE(SUBSTITUTE(SUBSTITUTE(TRIM($W1288),"-",""),".",""),"/","")," ",""),8),7,2)),"")))</f>
        <v/>
      </c>
      <c r="Y1288" s="32">
        <f>IF($X1288="","",INT($X1288))</f>
        <v/>
      </c>
      <c r="Z1288" s="33">
        <f>IF(OR($Y1288="",$D$6=""),"",IF(INDEX($A:$U,ROW(),$D$6)="",0,IF(ISNUMBER(INDEX($A:$U,ROW(),$D$6)),INDEX($A:$U,ROW(),$D$6),IFERROR(--SUBSTITUTE(SUBSTITUTE(TRIM(INDEX($A:$U,ROW(),$D$6)),",",""),"원",""),0))))</f>
        <v/>
      </c>
      <c r="AA1288" s="31">
        <f>IF($Y1288="","",TRIM(INDEX($A:$U,ROW(),$E$6)&amp;IF($F$6="",""," "&amp;INDEX($A:$U,ROW(),$F$6))))</f>
        <v/>
      </c>
      <c r="AB1288" s="31">
        <f>IF($AA1288="","",SUBSTITUTE(SUBSTITUTE(SUBSTITUTE(SUBSTITUTE(SUBSTITUTE(SUBSTITUTE(SUBSTITUTE(SUBSTITUTE(SUBSTITUTE($AA1288," ",""),"　",""),"(주)",""),"（주）",""),"㈜",""),"주식회사",""),"(유)",""),"（유）",""),"유한회사",""))</f>
        <v/>
      </c>
      <c r="AC1288" s="31">
        <f>IF(OR($Y1288="",N($Z1288)&lt;=0,$AB1288=""),0,IFERROR(LOOKUP(2,1/((거래처별!$AC$8:$AC$307&lt;&gt;"")*ISNUMBER(SEARCH(거래처별!$AC$8:$AC$307,$AB1288))),거래처별!$A$8:$A$307),IFERROR(LOOKUP(2,1/((거래처별!$AD$8:$AD$307&lt;&gt;"")*ISNUMBER(SEARCH(거래처별!$AD$8:$AD$307,$AB1288))),거래처별!$A$8:$A$307),IFERROR(LOOKUP(2,1/((거래처별!$AE$8:$AE$307&lt;&gt;"")*ISNUMBER(SEARCH(거래처별!$AE$8:$AE$307,$AB1288))),거래처별!$A$8:$A$307),0))))</f>
        <v/>
      </c>
      <c r="AD1288" s="31">
        <f>IF(AND($Y1288&lt;&gt;"",N($Z1288)&gt;0,$AC1288=0),MAX($AD$7:$AD1287)+1,"")</f>
        <v/>
      </c>
      <c r="AE1288" s="31">
        <f>IF($Y1288="",0,$Y1288)</f>
        <v/>
      </c>
    </row>
    <row r="1289">
      <c r="W1289" s="31">
        <f>IF(OR($B$5="",$C$6="",ROW()&lt;$B$5),"",IF(INDEX($A:$U,ROW(),$C$6)="","",INDEX($A:$U,ROW(),$C$6)))</f>
        <v/>
      </c>
      <c r="X1289" s="32">
        <f>IF($W1289="","",IF(ISNUMBER($W1289),IF($W1289&gt;=10000000,IFERROR(DATE(INT($W1289/10000),MOD(INT($W1289/100),100),MOD($W1289,100)),""),INT($W1289)),IFERROR(DATE(--LEFT(LEFT(SUBSTITUTE(SUBSTITUTE(SUBSTITUTE(SUBSTITUTE(TRIM($W1289),"-",""),".",""),"/","")," ",""),8),4),--MID(LEFT(SUBSTITUTE(SUBSTITUTE(SUBSTITUTE(SUBSTITUTE(TRIM($W1289),"-",""),".",""),"/","")," ",""),8),5,2),--MID(LEFT(SUBSTITUTE(SUBSTITUTE(SUBSTITUTE(SUBSTITUTE(TRIM($W1289),"-",""),".",""),"/","")," ",""),8),7,2)),"")))</f>
        <v/>
      </c>
      <c r="Y1289" s="32">
        <f>IF($X1289="","",INT($X1289))</f>
        <v/>
      </c>
      <c r="Z1289" s="33">
        <f>IF(OR($Y1289="",$D$6=""),"",IF(INDEX($A:$U,ROW(),$D$6)="",0,IF(ISNUMBER(INDEX($A:$U,ROW(),$D$6)),INDEX($A:$U,ROW(),$D$6),IFERROR(--SUBSTITUTE(SUBSTITUTE(TRIM(INDEX($A:$U,ROW(),$D$6)),",",""),"원",""),0))))</f>
        <v/>
      </c>
      <c r="AA1289" s="31">
        <f>IF($Y1289="","",TRIM(INDEX($A:$U,ROW(),$E$6)&amp;IF($F$6="",""," "&amp;INDEX($A:$U,ROW(),$F$6))))</f>
        <v/>
      </c>
      <c r="AB1289" s="31">
        <f>IF($AA1289="","",SUBSTITUTE(SUBSTITUTE(SUBSTITUTE(SUBSTITUTE(SUBSTITUTE(SUBSTITUTE(SUBSTITUTE(SUBSTITUTE(SUBSTITUTE($AA1289," ",""),"　",""),"(주)",""),"（주）",""),"㈜",""),"주식회사",""),"(유)",""),"（유）",""),"유한회사",""))</f>
        <v/>
      </c>
      <c r="AC1289" s="31">
        <f>IF(OR($Y1289="",N($Z1289)&lt;=0,$AB1289=""),0,IFERROR(LOOKUP(2,1/((거래처별!$AC$8:$AC$307&lt;&gt;"")*ISNUMBER(SEARCH(거래처별!$AC$8:$AC$307,$AB1289))),거래처별!$A$8:$A$307),IFERROR(LOOKUP(2,1/((거래처별!$AD$8:$AD$307&lt;&gt;"")*ISNUMBER(SEARCH(거래처별!$AD$8:$AD$307,$AB1289))),거래처별!$A$8:$A$307),IFERROR(LOOKUP(2,1/((거래처별!$AE$8:$AE$307&lt;&gt;"")*ISNUMBER(SEARCH(거래처별!$AE$8:$AE$307,$AB1289))),거래처별!$A$8:$A$307),0))))</f>
        <v/>
      </c>
      <c r="AD1289" s="31">
        <f>IF(AND($Y1289&lt;&gt;"",N($Z1289)&gt;0,$AC1289=0),MAX($AD$7:$AD1288)+1,"")</f>
        <v/>
      </c>
      <c r="AE1289" s="31">
        <f>IF($Y1289="",0,$Y1289)</f>
        <v/>
      </c>
    </row>
    <row r="1290">
      <c r="W1290" s="31">
        <f>IF(OR($B$5="",$C$6="",ROW()&lt;$B$5),"",IF(INDEX($A:$U,ROW(),$C$6)="","",INDEX($A:$U,ROW(),$C$6)))</f>
        <v/>
      </c>
      <c r="X1290" s="32">
        <f>IF($W1290="","",IF(ISNUMBER($W1290),IF($W1290&gt;=10000000,IFERROR(DATE(INT($W1290/10000),MOD(INT($W1290/100),100),MOD($W1290,100)),""),INT($W1290)),IFERROR(DATE(--LEFT(LEFT(SUBSTITUTE(SUBSTITUTE(SUBSTITUTE(SUBSTITUTE(TRIM($W1290),"-",""),".",""),"/","")," ",""),8),4),--MID(LEFT(SUBSTITUTE(SUBSTITUTE(SUBSTITUTE(SUBSTITUTE(TRIM($W1290),"-",""),".",""),"/","")," ",""),8),5,2),--MID(LEFT(SUBSTITUTE(SUBSTITUTE(SUBSTITUTE(SUBSTITUTE(TRIM($W1290),"-",""),".",""),"/","")," ",""),8),7,2)),"")))</f>
        <v/>
      </c>
      <c r="Y1290" s="32">
        <f>IF($X1290="","",INT($X1290))</f>
        <v/>
      </c>
      <c r="Z1290" s="33">
        <f>IF(OR($Y1290="",$D$6=""),"",IF(INDEX($A:$U,ROW(),$D$6)="",0,IF(ISNUMBER(INDEX($A:$U,ROW(),$D$6)),INDEX($A:$U,ROW(),$D$6),IFERROR(--SUBSTITUTE(SUBSTITUTE(TRIM(INDEX($A:$U,ROW(),$D$6)),",",""),"원",""),0))))</f>
        <v/>
      </c>
      <c r="AA1290" s="31">
        <f>IF($Y1290="","",TRIM(INDEX($A:$U,ROW(),$E$6)&amp;IF($F$6="",""," "&amp;INDEX($A:$U,ROW(),$F$6))))</f>
        <v/>
      </c>
      <c r="AB1290" s="31">
        <f>IF($AA1290="","",SUBSTITUTE(SUBSTITUTE(SUBSTITUTE(SUBSTITUTE(SUBSTITUTE(SUBSTITUTE(SUBSTITUTE(SUBSTITUTE(SUBSTITUTE($AA1290," ",""),"　",""),"(주)",""),"（주）",""),"㈜",""),"주식회사",""),"(유)",""),"（유）",""),"유한회사",""))</f>
        <v/>
      </c>
      <c r="AC1290" s="31">
        <f>IF(OR($Y1290="",N($Z1290)&lt;=0,$AB1290=""),0,IFERROR(LOOKUP(2,1/((거래처별!$AC$8:$AC$307&lt;&gt;"")*ISNUMBER(SEARCH(거래처별!$AC$8:$AC$307,$AB1290))),거래처별!$A$8:$A$307),IFERROR(LOOKUP(2,1/((거래처별!$AD$8:$AD$307&lt;&gt;"")*ISNUMBER(SEARCH(거래처별!$AD$8:$AD$307,$AB1290))),거래처별!$A$8:$A$307),IFERROR(LOOKUP(2,1/((거래처별!$AE$8:$AE$307&lt;&gt;"")*ISNUMBER(SEARCH(거래처별!$AE$8:$AE$307,$AB1290))),거래처별!$A$8:$A$307),0))))</f>
        <v/>
      </c>
      <c r="AD1290" s="31">
        <f>IF(AND($Y1290&lt;&gt;"",N($Z1290)&gt;0,$AC1290=0),MAX($AD$7:$AD1289)+1,"")</f>
        <v/>
      </c>
      <c r="AE1290" s="31">
        <f>IF($Y1290="",0,$Y1290)</f>
        <v/>
      </c>
    </row>
    <row r="1291">
      <c r="W1291" s="31">
        <f>IF(OR($B$5="",$C$6="",ROW()&lt;$B$5),"",IF(INDEX($A:$U,ROW(),$C$6)="","",INDEX($A:$U,ROW(),$C$6)))</f>
        <v/>
      </c>
      <c r="X1291" s="32">
        <f>IF($W1291="","",IF(ISNUMBER($W1291),IF($W1291&gt;=10000000,IFERROR(DATE(INT($W1291/10000),MOD(INT($W1291/100),100),MOD($W1291,100)),""),INT($W1291)),IFERROR(DATE(--LEFT(LEFT(SUBSTITUTE(SUBSTITUTE(SUBSTITUTE(SUBSTITUTE(TRIM($W1291),"-",""),".",""),"/","")," ",""),8),4),--MID(LEFT(SUBSTITUTE(SUBSTITUTE(SUBSTITUTE(SUBSTITUTE(TRIM($W1291),"-",""),".",""),"/","")," ",""),8),5,2),--MID(LEFT(SUBSTITUTE(SUBSTITUTE(SUBSTITUTE(SUBSTITUTE(TRIM($W1291),"-",""),".",""),"/","")," ",""),8),7,2)),"")))</f>
        <v/>
      </c>
      <c r="Y1291" s="32">
        <f>IF($X1291="","",INT($X1291))</f>
        <v/>
      </c>
      <c r="Z1291" s="33">
        <f>IF(OR($Y1291="",$D$6=""),"",IF(INDEX($A:$U,ROW(),$D$6)="",0,IF(ISNUMBER(INDEX($A:$U,ROW(),$D$6)),INDEX($A:$U,ROW(),$D$6),IFERROR(--SUBSTITUTE(SUBSTITUTE(TRIM(INDEX($A:$U,ROW(),$D$6)),",",""),"원",""),0))))</f>
        <v/>
      </c>
      <c r="AA1291" s="31">
        <f>IF($Y1291="","",TRIM(INDEX($A:$U,ROW(),$E$6)&amp;IF($F$6="",""," "&amp;INDEX($A:$U,ROW(),$F$6))))</f>
        <v/>
      </c>
      <c r="AB1291" s="31">
        <f>IF($AA1291="","",SUBSTITUTE(SUBSTITUTE(SUBSTITUTE(SUBSTITUTE(SUBSTITUTE(SUBSTITUTE(SUBSTITUTE(SUBSTITUTE(SUBSTITUTE($AA1291," ",""),"　",""),"(주)",""),"（주）",""),"㈜",""),"주식회사",""),"(유)",""),"（유）",""),"유한회사",""))</f>
        <v/>
      </c>
      <c r="AC1291" s="31">
        <f>IF(OR($Y1291="",N($Z1291)&lt;=0,$AB1291=""),0,IFERROR(LOOKUP(2,1/((거래처별!$AC$8:$AC$307&lt;&gt;"")*ISNUMBER(SEARCH(거래처별!$AC$8:$AC$307,$AB1291))),거래처별!$A$8:$A$307),IFERROR(LOOKUP(2,1/((거래처별!$AD$8:$AD$307&lt;&gt;"")*ISNUMBER(SEARCH(거래처별!$AD$8:$AD$307,$AB1291))),거래처별!$A$8:$A$307),IFERROR(LOOKUP(2,1/((거래처별!$AE$8:$AE$307&lt;&gt;"")*ISNUMBER(SEARCH(거래처별!$AE$8:$AE$307,$AB1291))),거래처별!$A$8:$A$307),0))))</f>
        <v/>
      </c>
      <c r="AD1291" s="31">
        <f>IF(AND($Y1291&lt;&gt;"",N($Z1291)&gt;0,$AC1291=0),MAX($AD$7:$AD1290)+1,"")</f>
        <v/>
      </c>
      <c r="AE1291" s="31">
        <f>IF($Y1291="",0,$Y1291)</f>
        <v/>
      </c>
    </row>
    <row r="1292">
      <c r="W1292" s="31">
        <f>IF(OR($B$5="",$C$6="",ROW()&lt;$B$5),"",IF(INDEX($A:$U,ROW(),$C$6)="","",INDEX($A:$U,ROW(),$C$6)))</f>
        <v/>
      </c>
      <c r="X1292" s="32">
        <f>IF($W1292="","",IF(ISNUMBER($W1292),IF($W1292&gt;=10000000,IFERROR(DATE(INT($W1292/10000),MOD(INT($W1292/100),100),MOD($W1292,100)),""),INT($W1292)),IFERROR(DATE(--LEFT(LEFT(SUBSTITUTE(SUBSTITUTE(SUBSTITUTE(SUBSTITUTE(TRIM($W1292),"-",""),".",""),"/","")," ",""),8),4),--MID(LEFT(SUBSTITUTE(SUBSTITUTE(SUBSTITUTE(SUBSTITUTE(TRIM($W1292),"-",""),".",""),"/","")," ",""),8),5,2),--MID(LEFT(SUBSTITUTE(SUBSTITUTE(SUBSTITUTE(SUBSTITUTE(TRIM($W1292),"-",""),".",""),"/","")," ",""),8),7,2)),"")))</f>
        <v/>
      </c>
      <c r="Y1292" s="32">
        <f>IF($X1292="","",INT($X1292))</f>
        <v/>
      </c>
      <c r="Z1292" s="33">
        <f>IF(OR($Y1292="",$D$6=""),"",IF(INDEX($A:$U,ROW(),$D$6)="",0,IF(ISNUMBER(INDEX($A:$U,ROW(),$D$6)),INDEX($A:$U,ROW(),$D$6),IFERROR(--SUBSTITUTE(SUBSTITUTE(TRIM(INDEX($A:$U,ROW(),$D$6)),",",""),"원",""),0))))</f>
        <v/>
      </c>
      <c r="AA1292" s="31">
        <f>IF($Y1292="","",TRIM(INDEX($A:$U,ROW(),$E$6)&amp;IF($F$6="",""," "&amp;INDEX($A:$U,ROW(),$F$6))))</f>
        <v/>
      </c>
      <c r="AB1292" s="31">
        <f>IF($AA1292="","",SUBSTITUTE(SUBSTITUTE(SUBSTITUTE(SUBSTITUTE(SUBSTITUTE(SUBSTITUTE(SUBSTITUTE(SUBSTITUTE(SUBSTITUTE($AA1292," ",""),"　",""),"(주)",""),"（주）",""),"㈜",""),"주식회사",""),"(유)",""),"（유）",""),"유한회사",""))</f>
        <v/>
      </c>
      <c r="AC1292" s="31">
        <f>IF(OR($Y1292="",N($Z1292)&lt;=0,$AB1292=""),0,IFERROR(LOOKUP(2,1/((거래처별!$AC$8:$AC$307&lt;&gt;"")*ISNUMBER(SEARCH(거래처별!$AC$8:$AC$307,$AB1292))),거래처별!$A$8:$A$307),IFERROR(LOOKUP(2,1/((거래처별!$AD$8:$AD$307&lt;&gt;"")*ISNUMBER(SEARCH(거래처별!$AD$8:$AD$307,$AB1292))),거래처별!$A$8:$A$307),IFERROR(LOOKUP(2,1/((거래처별!$AE$8:$AE$307&lt;&gt;"")*ISNUMBER(SEARCH(거래처별!$AE$8:$AE$307,$AB1292))),거래처별!$A$8:$A$307),0))))</f>
        <v/>
      </c>
      <c r="AD1292" s="31">
        <f>IF(AND($Y1292&lt;&gt;"",N($Z1292)&gt;0,$AC1292=0),MAX($AD$7:$AD1291)+1,"")</f>
        <v/>
      </c>
      <c r="AE1292" s="31">
        <f>IF($Y1292="",0,$Y1292)</f>
        <v/>
      </c>
    </row>
    <row r="1293">
      <c r="W1293" s="31">
        <f>IF(OR($B$5="",$C$6="",ROW()&lt;$B$5),"",IF(INDEX($A:$U,ROW(),$C$6)="","",INDEX($A:$U,ROW(),$C$6)))</f>
        <v/>
      </c>
      <c r="X1293" s="32">
        <f>IF($W1293="","",IF(ISNUMBER($W1293),IF($W1293&gt;=10000000,IFERROR(DATE(INT($W1293/10000),MOD(INT($W1293/100),100),MOD($W1293,100)),""),INT($W1293)),IFERROR(DATE(--LEFT(LEFT(SUBSTITUTE(SUBSTITUTE(SUBSTITUTE(SUBSTITUTE(TRIM($W1293),"-",""),".",""),"/","")," ",""),8),4),--MID(LEFT(SUBSTITUTE(SUBSTITUTE(SUBSTITUTE(SUBSTITUTE(TRIM($W1293),"-",""),".",""),"/","")," ",""),8),5,2),--MID(LEFT(SUBSTITUTE(SUBSTITUTE(SUBSTITUTE(SUBSTITUTE(TRIM($W1293),"-",""),".",""),"/","")," ",""),8),7,2)),"")))</f>
        <v/>
      </c>
      <c r="Y1293" s="32">
        <f>IF($X1293="","",INT($X1293))</f>
        <v/>
      </c>
      <c r="Z1293" s="33">
        <f>IF(OR($Y1293="",$D$6=""),"",IF(INDEX($A:$U,ROW(),$D$6)="",0,IF(ISNUMBER(INDEX($A:$U,ROW(),$D$6)),INDEX($A:$U,ROW(),$D$6),IFERROR(--SUBSTITUTE(SUBSTITUTE(TRIM(INDEX($A:$U,ROW(),$D$6)),",",""),"원",""),0))))</f>
        <v/>
      </c>
      <c r="AA1293" s="31">
        <f>IF($Y1293="","",TRIM(INDEX($A:$U,ROW(),$E$6)&amp;IF($F$6="",""," "&amp;INDEX($A:$U,ROW(),$F$6))))</f>
        <v/>
      </c>
      <c r="AB1293" s="31">
        <f>IF($AA1293="","",SUBSTITUTE(SUBSTITUTE(SUBSTITUTE(SUBSTITUTE(SUBSTITUTE(SUBSTITUTE(SUBSTITUTE(SUBSTITUTE(SUBSTITUTE($AA1293," ",""),"　",""),"(주)",""),"（주）",""),"㈜",""),"주식회사",""),"(유)",""),"（유）",""),"유한회사",""))</f>
        <v/>
      </c>
      <c r="AC1293" s="31">
        <f>IF(OR($Y1293="",N($Z1293)&lt;=0,$AB1293=""),0,IFERROR(LOOKUP(2,1/((거래처별!$AC$8:$AC$307&lt;&gt;"")*ISNUMBER(SEARCH(거래처별!$AC$8:$AC$307,$AB1293))),거래처별!$A$8:$A$307),IFERROR(LOOKUP(2,1/((거래처별!$AD$8:$AD$307&lt;&gt;"")*ISNUMBER(SEARCH(거래처별!$AD$8:$AD$307,$AB1293))),거래처별!$A$8:$A$307),IFERROR(LOOKUP(2,1/((거래처별!$AE$8:$AE$307&lt;&gt;"")*ISNUMBER(SEARCH(거래처별!$AE$8:$AE$307,$AB1293))),거래처별!$A$8:$A$307),0))))</f>
        <v/>
      </c>
      <c r="AD1293" s="31">
        <f>IF(AND($Y1293&lt;&gt;"",N($Z1293)&gt;0,$AC1293=0),MAX($AD$7:$AD1292)+1,"")</f>
        <v/>
      </c>
      <c r="AE1293" s="31">
        <f>IF($Y1293="",0,$Y1293)</f>
        <v/>
      </c>
    </row>
    <row r="1294">
      <c r="W1294" s="31">
        <f>IF(OR($B$5="",$C$6="",ROW()&lt;$B$5),"",IF(INDEX($A:$U,ROW(),$C$6)="","",INDEX($A:$U,ROW(),$C$6)))</f>
        <v/>
      </c>
      <c r="X1294" s="32">
        <f>IF($W1294="","",IF(ISNUMBER($W1294),IF($W1294&gt;=10000000,IFERROR(DATE(INT($W1294/10000),MOD(INT($W1294/100),100),MOD($W1294,100)),""),INT($W1294)),IFERROR(DATE(--LEFT(LEFT(SUBSTITUTE(SUBSTITUTE(SUBSTITUTE(SUBSTITUTE(TRIM($W1294),"-",""),".",""),"/","")," ",""),8),4),--MID(LEFT(SUBSTITUTE(SUBSTITUTE(SUBSTITUTE(SUBSTITUTE(TRIM($W1294),"-",""),".",""),"/","")," ",""),8),5,2),--MID(LEFT(SUBSTITUTE(SUBSTITUTE(SUBSTITUTE(SUBSTITUTE(TRIM($W1294),"-",""),".",""),"/","")," ",""),8),7,2)),"")))</f>
        <v/>
      </c>
      <c r="Y1294" s="32">
        <f>IF($X1294="","",INT($X1294))</f>
        <v/>
      </c>
      <c r="Z1294" s="33">
        <f>IF(OR($Y1294="",$D$6=""),"",IF(INDEX($A:$U,ROW(),$D$6)="",0,IF(ISNUMBER(INDEX($A:$U,ROW(),$D$6)),INDEX($A:$U,ROW(),$D$6),IFERROR(--SUBSTITUTE(SUBSTITUTE(TRIM(INDEX($A:$U,ROW(),$D$6)),",",""),"원",""),0))))</f>
        <v/>
      </c>
      <c r="AA1294" s="31">
        <f>IF($Y1294="","",TRIM(INDEX($A:$U,ROW(),$E$6)&amp;IF($F$6="",""," "&amp;INDEX($A:$U,ROW(),$F$6))))</f>
        <v/>
      </c>
      <c r="AB1294" s="31">
        <f>IF($AA1294="","",SUBSTITUTE(SUBSTITUTE(SUBSTITUTE(SUBSTITUTE(SUBSTITUTE(SUBSTITUTE(SUBSTITUTE(SUBSTITUTE(SUBSTITUTE($AA1294," ",""),"　",""),"(주)",""),"（주）",""),"㈜",""),"주식회사",""),"(유)",""),"（유）",""),"유한회사",""))</f>
        <v/>
      </c>
      <c r="AC1294" s="31">
        <f>IF(OR($Y1294="",N($Z1294)&lt;=0,$AB1294=""),0,IFERROR(LOOKUP(2,1/((거래처별!$AC$8:$AC$307&lt;&gt;"")*ISNUMBER(SEARCH(거래처별!$AC$8:$AC$307,$AB1294))),거래처별!$A$8:$A$307),IFERROR(LOOKUP(2,1/((거래처별!$AD$8:$AD$307&lt;&gt;"")*ISNUMBER(SEARCH(거래처별!$AD$8:$AD$307,$AB1294))),거래처별!$A$8:$A$307),IFERROR(LOOKUP(2,1/((거래처별!$AE$8:$AE$307&lt;&gt;"")*ISNUMBER(SEARCH(거래처별!$AE$8:$AE$307,$AB1294))),거래처별!$A$8:$A$307),0))))</f>
        <v/>
      </c>
      <c r="AD1294" s="31">
        <f>IF(AND($Y1294&lt;&gt;"",N($Z1294)&gt;0,$AC1294=0),MAX($AD$7:$AD1293)+1,"")</f>
        <v/>
      </c>
      <c r="AE1294" s="31">
        <f>IF($Y1294="",0,$Y1294)</f>
        <v/>
      </c>
    </row>
    <row r="1295">
      <c r="W1295" s="31">
        <f>IF(OR($B$5="",$C$6="",ROW()&lt;$B$5),"",IF(INDEX($A:$U,ROW(),$C$6)="","",INDEX($A:$U,ROW(),$C$6)))</f>
        <v/>
      </c>
      <c r="X1295" s="32">
        <f>IF($W1295="","",IF(ISNUMBER($W1295),IF($W1295&gt;=10000000,IFERROR(DATE(INT($W1295/10000),MOD(INT($W1295/100),100),MOD($W1295,100)),""),INT($W1295)),IFERROR(DATE(--LEFT(LEFT(SUBSTITUTE(SUBSTITUTE(SUBSTITUTE(SUBSTITUTE(TRIM($W1295),"-",""),".",""),"/","")," ",""),8),4),--MID(LEFT(SUBSTITUTE(SUBSTITUTE(SUBSTITUTE(SUBSTITUTE(TRIM($W1295),"-",""),".",""),"/","")," ",""),8),5,2),--MID(LEFT(SUBSTITUTE(SUBSTITUTE(SUBSTITUTE(SUBSTITUTE(TRIM($W1295),"-",""),".",""),"/","")," ",""),8),7,2)),"")))</f>
        <v/>
      </c>
      <c r="Y1295" s="32">
        <f>IF($X1295="","",INT($X1295))</f>
        <v/>
      </c>
      <c r="Z1295" s="33">
        <f>IF(OR($Y1295="",$D$6=""),"",IF(INDEX($A:$U,ROW(),$D$6)="",0,IF(ISNUMBER(INDEX($A:$U,ROW(),$D$6)),INDEX($A:$U,ROW(),$D$6),IFERROR(--SUBSTITUTE(SUBSTITUTE(TRIM(INDEX($A:$U,ROW(),$D$6)),",",""),"원",""),0))))</f>
        <v/>
      </c>
      <c r="AA1295" s="31">
        <f>IF($Y1295="","",TRIM(INDEX($A:$U,ROW(),$E$6)&amp;IF($F$6="",""," "&amp;INDEX($A:$U,ROW(),$F$6))))</f>
        <v/>
      </c>
      <c r="AB1295" s="31">
        <f>IF($AA1295="","",SUBSTITUTE(SUBSTITUTE(SUBSTITUTE(SUBSTITUTE(SUBSTITUTE(SUBSTITUTE(SUBSTITUTE(SUBSTITUTE(SUBSTITUTE($AA1295," ",""),"　",""),"(주)",""),"（주）",""),"㈜",""),"주식회사",""),"(유)",""),"（유）",""),"유한회사",""))</f>
        <v/>
      </c>
      <c r="AC1295" s="31">
        <f>IF(OR($Y1295="",N($Z1295)&lt;=0,$AB1295=""),0,IFERROR(LOOKUP(2,1/((거래처별!$AC$8:$AC$307&lt;&gt;"")*ISNUMBER(SEARCH(거래처별!$AC$8:$AC$307,$AB1295))),거래처별!$A$8:$A$307),IFERROR(LOOKUP(2,1/((거래처별!$AD$8:$AD$307&lt;&gt;"")*ISNUMBER(SEARCH(거래처별!$AD$8:$AD$307,$AB1295))),거래처별!$A$8:$A$307),IFERROR(LOOKUP(2,1/((거래처별!$AE$8:$AE$307&lt;&gt;"")*ISNUMBER(SEARCH(거래처별!$AE$8:$AE$307,$AB1295))),거래처별!$A$8:$A$307),0))))</f>
        <v/>
      </c>
      <c r="AD1295" s="31">
        <f>IF(AND($Y1295&lt;&gt;"",N($Z1295)&gt;0,$AC1295=0),MAX($AD$7:$AD1294)+1,"")</f>
        <v/>
      </c>
      <c r="AE1295" s="31">
        <f>IF($Y1295="",0,$Y1295)</f>
        <v/>
      </c>
    </row>
    <row r="1296">
      <c r="W1296" s="31">
        <f>IF(OR($B$5="",$C$6="",ROW()&lt;$B$5),"",IF(INDEX($A:$U,ROW(),$C$6)="","",INDEX($A:$U,ROW(),$C$6)))</f>
        <v/>
      </c>
      <c r="X1296" s="32">
        <f>IF($W1296="","",IF(ISNUMBER($W1296),IF($W1296&gt;=10000000,IFERROR(DATE(INT($W1296/10000),MOD(INT($W1296/100),100),MOD($W1296,100)),""),INT($W1296)),IFERROR(DATE(--LEFT(LEFT(SUBSTITUTE(SUBSTITUTE(SUBSTITUTE(SUBSTITUTE(TRIM($W1296),"-",""),".",""),"/","")," ",""),8),4),--MID(LEFT(SUBSTITUTE(SUBSTITUTE(SUBSTITUTE(SUBSTITUTE(TRIM($W1296),"-",""),".",""),"/","")," ",""),8),5,2),--MID(LEFT(SUBSTITUTE(SUBSTITUTE(SUBSTITUTE(SUBSTITUTE(TRIM($W1296),"-",""),".",""),"/","")," ",""),8),7,2)),"")))</f>
        <v/>
      </c>
      <c r="Y1296" s="32">
        <f>IF($X1296="","",INT($X1296))</f>
        <v/>
      </c>
      <c r="Z1296" s="33">
        <f>IF(OR($Y1296="",$D$6=""),"",IF(INDEX($A:$U,ROW(),$D$6)="",0,IF(ISNUMBER(INDEX($A:$U,ROW(),$D$6)),INDEX($A:$U,ROW(),$D$6),IFERROR(--SUBSTITUTE(SUBSTITUTE(TRIM(INDEX($A:$U,ROW(),$D$6)),",",""),"원",""),0))))</f>
        <v/>
      </c>
      <c r="AA1296" s="31">
        <f>IF($Y1296="","",TRIM(INDEX($A:$U,ROW(),$E$6)&amp;IF($F$6="",""," "&amp;INDEX($A:$U,ROW(),$F$6))))</f>
        <v/>
      </c>
      <c r="AB1296" s="31">
        <f>IF($AA1296="","",SUBSTITUTE(SUBSTITUTE(SUBSTITUTE(SUBSTITUTE(SUBSTITUTE(SUBSTITUTE(SUBSTITUTE(SUBSTITUTE(SUBSTITUTE($AA1296," ",""),"　",""),"(주)",""),"（주）",""),"㈜",""),"주식회사",""),"(유)",""),"（유）",""),"유한회사",""))</f>
        <v/>
      </c>
      <c r="AC1296" s="31">
        <f>IF(OR($Y1296="",N($Z1296)&lt;=0,$AB1296=""),0,IFERROR(LOOKUP(2,1/((거래처별!$AC$8:$AC$307&lt;&gt;"")*ISNUMBER(SEARCH(거래처별!$AC$8:$AC$307,$AB1296))),거래처별!$A$8:$A$307),IFERROR(LOOKUP(2,1/((거래처별!$AD$8:$AD$307&lt;&gt;"")*ISNUMBER(SEARCH(거래처별!$AD$8:$AD$307,$AB1296))),거래처별!$A$8:$A$307),IFERROR(LOOKUP(2,1/((거래처별!$AE$8:$AE$307&lt;&gt;"")*ISNUMBER(SEARCH(거래처별!$AE$8:$AE$307,$AB1296))),거래처별!$A$8:$A$307),0))))</f>
        <v/>
      </c>
      <c r="AD1296" s="31">
        <f>IF(AND($Y1296&lt;&gt;"",N($Z1296)&gt;0,$AC1296=0),MAX($AD$7:$AD1295)+1,"")</f>
        <v/>
      </c>
      <c r="AE1296" s="31">
        <f>IF($Y1296="",0,$Y1296)</f>
        <v/>
      </c>
    </row>
    <row r="1297">
      <c r="W1297" s="31">
        <f>IF(OR($B$5="",$C$6="",ROW()&lt;$B$5),"",IF(INDEX($A:$U,ROW(),$C$6)="","",INDEX($A:$U,ROW(),$C$6)))</f>
        <v/>
      </c>
      <c r="X1297" s="32">
        <f>IF($W1297="","",IF(ISNUMBER($W1297),IF($W1297&gt;=10000000,IFERROR(DATE(INT($W1297/10000),MOD(INT($W1297/100),100),MOD($W1297,100)),""),INT($W1297)),IFERROR(DATE(--LEFT(LEFT(SUBSTITUTE(SUBSTITUTE(SUBSTITUTE(SUBSTITUTE(TRIM($W1297),"-",""),".",""),"/","")," ",""),8),4),--MID(LEFT(SUBSTITUTE(SUBSTITUTE(SUBSTITUTE(SUBSTITUTE(TRIM($W1297),"-",""),".",""),"/","")," ",""),8),5,2),--MID(LEFT(SUBSTITUTE(SUBSTITUTE(SUBSTITUTE(SUBSTITUTE(TRIM($W1297),"-",""),".",""),"/","")," ",""),8),7,2)),"")))</f>
        <v/>
      </c>
      <c r="Y1297" s="32">
        <f>IF($X1297="","",INT($X1297))</f>
        <v/>
      </c>
      <c r="Z1297" s="33">
        <f>IF(OR($Y1297="",$D$6=""),"",IF(INDEX($A:$U,ROW(),$D$6)="",0,IF(ISNUMBER(INDEX($A:$U,ROW(),$D$6)),INDEX($A:$U,ROW(),$D$6),IFERROR(--SUBSTITUTE(SUBSTITUTE(TRIM(INDEX($A:$U,ROW(),$D$6)),",",""),"원",""),0))))</f>
        <v/>
      </c>
      <c r="AA1297" s="31">
        <f>IF($Y1297="","",TRIM(INDEX($A:$U,ROW(),$E$6)&amp;IF($F$6="",""," "&amp;INDEX($A:$U,ROW(),$F$6))))</f>
        <v/>
      </c>
      <c r="AB1297" s="31">
        <f>IF($AA1297="","",SUBSTITUTE(SUBSTITUTE(SUBSTITUTE(SUBSTITUTE(SUBSTITUTE(SUBSTITUTE(SUBSTITUTE(SUBSTITUTE(SUBSTITUTE($AA1297," ",""),"　",""),"(주)",""),"（주）",""),"㈜",""),"주식회사",""),"(유)",""),"（유）",""),"유한회사",""))</f>
        <v/>
      </c>
      <c r="AC1297" s="31">
        <f>IF(OR($Y1297="",N($Z1297)&lt;=0,$AB1297=""),0,IFERROR(LOOKUP(2,1/((거래처별!$AC$8:$AC$307&lt;&gt;"")*ISNUMBER(SEARCH(거래처별!$AC$8:$AC$307,$AB1297))),거래처별!$A$8:$A$307),IFERROR(LOOKUP(2,1/((거래처별!$AD$8:$AD$307&lt;&gt;"")*ISNUMBER(SEARCH(거래처별!$AD$8:$AD$307,$AB1297))),거래처별!$A$8:$A$307),IFERROR(LOOKUP(2,1/((거래처별!$AE$8:$AE$307&lt;&gt;"")*ISNUMBER(SEARCH(거래처별!$AE$8:$AE$307,$AB1297))),거래처별!$A$8:$A$307),0))))</f>
        <v/>
      </c>
      <c r="AD1297" s="31">
        <f>IF(AND($Y1297&lt;&gt;"",N($Z1297)&gt;0,$AC1297=0),MAX($AD$7:$AD1296)+1,"")</f>
        <v/>
      </c>
      <c r="AE1297" s="31">
        <f>IF($Y1297="",0,$Y1297)</f>
        <v/>
      </c>
    </row>
    <row r="1298">
      <c r="W1298" s="31">
        <f>IF(OR($B$5="",$C$6="",ROW()&lt;$B$5),"",IF(INDEX($A:$U,ROW(),$C$6)="","",INDEX($A:$U,ROW(),$C$6)))</f>
        <v/>
      </c>
      <c r="X1298" s="32">
        <f>IF($W1298="","",IF(ISNUMBER($W1298),IF($W1298&gt;=10000000,IFERROR(DATE(INT($W1298/10000),MOD(INT($W1298/100),100),MOD($W1298,100)),""),INT($W1298)),IFERROR(DATE(--LEFT(LEFT(SUBSTITUTE(SUBSTITUTE(SUBSTITUTE(SUBSTITUTE(TRIM($W1298),"-",""),".",""),"/","")," ",""),8),4),--MID(LEFT(SUBSTITUTE(SUBSTITUTE(SUBSTITUTE(SUBSTITUTE(TRIM($W1298),"-",""),".",""),"/","")," ",""),8),5,2),--MID(LEFT(SUBSTITUTE(SUBSTITUTE(SUBSTITUTE(SUBSTITUTE(TRIM($W1298),"-",""),".",""),"/","")," ",""),8),7,2)),"")))</f>
        <v/>
      </c>
      <c r="Y1298" s="32">
        <f>IF($X1298="","",INT($X1298))</f>
        <v/>
      </c>
      <c r="Z1298" s="33">
        <f>IF(OR($Y1298="",$D$6=""),"",IF(INDEX($A:$U,ROW(),$D$6)="",0,IF(ISNUMBER(INDEX($A:$U,ROW(),$D$6)),INDEX($A:$U,ROW(),$D$6),IFERROR(--SUBSTITUTE(SUBSTITUTE(TRIM(INDEX($A:$U,ROW(),$D$6)),",",""),"원",""),0))))</f>
        <v/>
      </c>
      <c r="AA1298" s="31">
        <f>IF($Y1298="","",TRIM(INDEX($A:$U,ROW(),$E$6)&amp;IF($F$6="",""," "&amp;INDEX($A:$U,ROW(),$F$6))))</f>
        <v/>
      </c>
      <c r="AB1298" s="31">
        <f>IF($AA1298="","",SUBSTITUTE(SUBSTITUTE(SUBSTITUTE(SUBSTITUTE(SUBSTITUTE(SUBSTITUTE(SUBSTITUTE(SUBSTITUTE(SUBSTITUTE($AA1298," ",""),"　",""),"(주)",""),"（주）",""),"㈜",""),"주식회사",""),"(유)",""),"（유）",""),"유한회사",""))</f>
        <v/>
      </c>
      <c r="AC1298" s="31">
        <f>IF(OR($Y1298="",N($Z1298)&lt;=0,$AB1298=""),0,IFERROR(LOOKUP(2,1/((거래처별!$AC$8:$AC$307&lt;&gt;"")*ISNUMBER(SEARCH(거래처별!$AC$8:$AC$307,$AB1298))),거래처별!$A$8:$A$307),IFERROR(LOOKUP(2,1/((거래처별!$AD$8:$AD$307&lt;&gt;"")*ISNUMBER(SEARCH(거래처별!$AD$8:$AD$307,$AB1298))),거래처별!$A$8:$A$307),IFERROR(LOOKUP(2,1/((거래처별!$AE$8:$AE$307&lt;&gt;"")*ISNUMBER(SEARCH(거래처별!$AE$8:$AE$307,$AB1298))),거래처별!$A$8:$A$307),0))))</f>
        <v/>
      </c>
      <c r="AD1298" s="31">
        <f>IF(AND($Y1298&lt;&gt;"",N($Z1298)&gt;0,$AC1298=0),MAX($AD$7:$AD1297)+1,"")</f>
        <v/>
      </c>
      <c r="AE1298" s="31">
        <f>IF($Y1298="",0,$Y1298)</f>
        <v/>
      </c>
    </row>
    <row r="1299">
      <c r="W1299" s="31">
        <f>IF(OR($B$5="",$C$6="",ROW()&lt;$B$5),"",IF(INDEX($A:$U,ROW(),$C$6)="","",INDEX($A:$U,ROW(),$C$6)))</f>
        <v/>
      </c>
      <c r="X1299" s="32">
        <f>IF($W1299="","",IF(ISNUMBER($W1299),IF($W1299&gt;=10000000,IFERROR(DATE(INT($W1299/10000),MOD(INT($W1299/100),100),MOD($W1299,100)),""),INT($W1299)),IFERROR(DATE(--LEFT(LEFT(SUBSTITUTE(SUBSTITUTE(SUBSTITUTE(SUBSTITUTE(TRIM($W1299),"-",""),".",""),"/","")," ",""),8),4),--MID(LEFT(SUBSTITUTE(SUBSTITUTE(SUBSTITUTE(SUBSTITUTE(TRIM($W1299),"-",""),".",""),"/","")," ",""),8),5,2),--MID(LEFT(SUBSTITUTE(SUBSTITUTE(SUBSTITUTE(SUBSTITUTE(TRIM($W1299),"-",""),".",""),"/","")," ",""),8),7,2)),"")))</f>
        <v/>
      </c>
      <c r="Y1299" s="32">
        <f>IF($X1299="","",INT($X1299))</f>
        <v/>
      </c>
      <c r="Z1299" s="33">
        <f>IF(OR($Y1299="",$D$6=""),"",IF(INDEX($A:$U,ROW(),$D$6)="",0,IF(ISNUMBER(INDEX($A:$U,ROW(),$D$6)),INDEX($A:$U,ROW(),$D$6),IFERROR(--SUBSTITUTE(SUBSTITUTE(TRIM(INDEX($A:$U,ROW(),$D$6)),",",""),"원",""),0))))</f>
        <v/>
      </c>
      <c r="AA1299" s="31">
        <f>IF($Y1299="","",TRIM(INDEX($A:$U,ROW(),$E$6)&amp;IF($F$6="",""," "&amp;INDEX($A:$U,ROW(),$F$6))))</f>
        <v/>
      </c>
      <c r="AB1299" s="31">
        <f>IF($AA1299="","",SUBSTITUTE(SUBSTITUTE(SUBSTITUTE(SUBSTITUTE(SUBSTITUTE(SUBSTITUTE(SUBSTITUTE(SUBSTITUTE(SUBSTITUTE($AA1299," ",""),"　",""),"(주)",""),"（주）",""),"㈜",""),"주식회사",""),"(유)",""),"（유）",""),"유한회사",""))</f>
        <v/>
      </c>
      <c r="AC1299" s="31">
        <f>IF(OR($Y1299="",N($Z1299)&lt;=0,$AB1299=""),0,IFERROR(LOOKUP(2,1/((거래처별!$AC$8:$AC$307&lt;&gt;"")*ISNUMBER(SEARCH(거래처별!$AC$8:$AC$307,$AB1299))),거래처별!$A$8:$A$307),IFERROR(LOOKUP(2,1/((거래처별!$AD$8:$AD$307&lt;&gt;"")*ISNUMBER(SEARCH(거래처별!$AD$8:$AD$307,$AB1299))),거래처별!$A$8:$A$307),IFERROR(LOOKUP(2,1/((거래처별!$AE$8:$AE$307&lt;&gt;"")*ISNUMBER(SEARCH(거래처별!$AE$8:$AE$307,$AB1299))),거래처별!$A$8:$A$307),0))))</f>
        <v/>
      </c>
      <c r="AD1299" s="31">
        <f>IF(AND($Y1299&lt;&gt;"",N($Z1299)&gt;0,$AC1299=0),MAX($AD$7:$AD1298)+1,"")</f>
        <v/>
      </c>
      <c r="AE1299" s="31">
        <f>IF($Y1299="",0,$Y1299)</f>
        <v/>
      </c>
    </row>
    <row r="1300">
      <c r="W1300" s="31">
        <f>IF(OR($B$5="",$C$6="",ROW()&lt;$B$5),"",IF(INDEX($A:$U,ROW(),$C$6)="","",INDEX($A:$U,ROW(),$C$6)))</f>
        <v/>
      </c>
      <c r="X1300" s="32">
        <f>IF($W1300="","",IF(ISNUMBER($W1300),IF($W1300&gt;=10000000,IFERROR(DATE(INT($W1300/10000),MOD(INT($W1300/100),100),MOD($W1300,100)),""),INT($W1300)),IFERROR(DATE(--LEFT(LEFT(SUBSTITUTE(SUBSTITUTE(SUBSTITUTE(SUBSTITUTE(TRIM($W1300),"-",""),".",""),"/","")," ",""),8),4),--MID(LEFT(SUBSTITUTE(SUBSTITUTE(SUBSTITUTE(SUBSTITUTE(TRIM($W1300),"-",""),".",""),"/","")," ",""),8),5,2),--MID(LEFT(SUBSTITUTE(SUBSTITUTE(SUBSTITUTE(SUBSTITUTE(TRIM($W1300),"-",""),".",""),"/","")," ",""),8),7,2)),"")))</f>
        <v/>
      </c>
      <c r="Y1300" s="32">
        <f>IF($X1300="","",INT($X1300))</f>
        <v/>
      </c>
      <c r="Z1300" s="33">
        <f>IF(OR($Y1300="",$D$6=""),"",IF(INDEX($A:$U,ROW(),$D$6)="",0,IF(ISNUMBER(INDEX($A:$U,ROW(),$D$6)),INDEX($A:$U,ROW(),$D$6),IFERROR(--SUBSTITUTE(SUBSTITUTE(TRIM(INDEX($A:$U,ROW(),$D$6)),",",""),"원",""),0))))</f>
        <v/>
      </c>
      <c r="AA1300" s="31">
        <f>IF($Y1300="","",TRIM(INDEX($A:$U,ROW(),$E$6)&amp;IF($F$6="",""," "&amp;INDEX($A:$U,ROW(),$F$6))))</f>
        <v/>
      </c>
      <c r="AB1300" s="31">
        <f>IF($AA1300="","",SUBSTITUTE(SUBSTITUTE(SUBSTITUTE(SUBSTITUTE(SUBSTITUTE(SUBSTITUTE(SUBSTITUTE(SUBSTITUTE(SUBSTITUTE($AA1300," ",""),"　",""),"(주)",""),"（주）",""),"㈜",""),"주식회사",""),"(유)",""),"（유）",""),"유한회사",""))</f>
        <v/>
      </c>
      <c r="AC1300" s="31">
        <f>IF(OR($Y1300="",N($Z1300)&lt;=0,$AB1300=""),0,IFERROR(LOOKUP(2,1/((거래처별!$AC$8:$AC$307&lt;&gt;"")*ISNUMBER(SEARCH(거래처별!$AC$8:$AC$307,$AB1300))),거래처별!$A$8:$A$307),IFERROR(LOOKUP(2,1/((거래처별!$AD$8:$AD$307&lt;&gt;"")*ISNUMBER(SEARCH(거래처별!$AD$8:$AD$307,$AB1300))),거래처별!$A$8:$A$307),IFERROR(LOOKUP(2,1/((거래처별!$AE$8:$AE$307&lt;&gt;"")*ISNUMBER(SEARCH(거래처별!$AE$8:$AE$307,$AB1300))),거래처별!$A$8:$A$307),0))))</f>
        <v/>
      </c>
      <c r="AD1300" s="31">
        <f>IF(AND($Y1300&lt;&gt;"",N($Z1300)&gt;0,$AC1300=0),MAX($AD$7:$AD1299)+1,"")</f>
        <v/>
      </c>
      <c r="AE1300" s="31">
        <f>IF($Y1300="",0,$Y1300)</f>
        <v/>
      </c>
    </row>
    <row r="1301">
      <c r="W1301" s="31">
        <f>IF(OR($B$5="",$C$6="",ROW()&lt;$B$5),"",IF(INDEX($A:$U,ROW(),$C$6)="","",INDEX($A:$U,ROW(),$C$6)))</f>
        <v/>
      </c>
      <c r="X1301" s="32">
        <f>IF($W1301="","",IF(ISNUMBER($W1301),IF($W1301&gt;=10000000,IFERROR(DATE(INT($W1301/10000),MOD(INT($W1301/100),100),MOD($W1301,100)),""),INT($W1301)),IFERROR(DATE(--LEFT(LEFT(SUBSTITUTE(SUBSTITUTE(SUBSTITUTE(SUBSTITUTE(TRIM($W1301),"-",""),".",""),"/","")," ",""),8),4),--MID(LEFT(SUBSTITUTE(SUBSTITUTE(SUBSTITUTE(SUBSTITUTE(TRIM($W1301),"-",""),".",""),"/","")," ",""),8),5,2),--MID(LEFT(SUBSTITUTE(SUBSTITUTE(SUBSTITUTE(SUBSTITUTE(TRIM($W1301),"-",""),".",""),"/","")," ",""),8),7,2)),"")))</f>
        <v/>
      </c>
      <c r="Y1301" s="32">
        <f>IF($X1301="","",INT($X1301))</f>
        <v/>
      </c>
      <c r="Z1301" s="33">
        <f>IF(OR($Y1301="",$D$6=""),"",IF(INDEX($A:$U,ROW(),$D$6)="",0,IF(ISNUMBER(INDEX($A:$U,ROW(),$D$6)),INDEX($A:$U,ROW(),$D$6),IFERROR(--SUBSTITUTE(SUBSTITUTE(TRIM(INDEX($A:$U,ROW(),$D$6)),",",""),"원",""),0))))</f>
        <v/>
      </c>
      <c r="AA1301" s="31">
        <f>IF($Y1301="","",TRIM(INDEX($A:$U,ROW(),$E$6)&amp;IF($F$6="",""," "&amp;INDEX($A:$U,ROW(),$F$6))))</f>
        <v/>
      </c>
      <c r="AB1301" s="31">
        <f>IF($AA1301="","",SUBSTITUTE(SUBSTITUTE(SUBSTITUTE(SUBSTITUTE(SUBSTITUTE(SUBSTITUTE(SUBSTITUTE(SUBSTITUTE(SUBSTITUTE($AA1301," ",""),"　",""),"(주)",""),"（주）",""),"㈜",""),"주식회사",""),"(유)",""),"（유）",""),"유한회사",""))</f>
        <v/>
      </c>
      <c r="AC1301" s="31">
        <f>IF(OR($Y1301="",N($Z1301)&lt;=0,$AB1301=""),0,IFERROR(LOOKUP(2,1/((거래처별!$AC$8:$AC$307&lt;&gt;"")*ISNUMBER(SEARCH(거래처별!$AC$8:$AC$307,$AB1301))),거래처별!$A$8:$A$307),IFERROR(LOOKUP(2,1/((거래처별!$AD$8:$AD$307&lt;&gt;"")*ISNUMBER(SEARCH(거래처별!$AD$8:$AD$307,$AB1301))),거래처별!$A$8:$A$307),IFERROR(LOOKUP(2,1/((거래처별!$AE$8:$AE$307&lt;&gt;"")*ISNUMBER(SEARCH(거래처별!$AE$8:$AE$307,$AB1301))),거래처별!$A$8:$A$307),0))))</f>
        <v/>
      </c>
      <c r="AD1301" s="31">
        <f>IF(AND($Y1301&lt;&gt;"",N($Z1301)&gt;0,$AC1301=0),MAX($AD$7:$AD1300)+1,"")</f>
        <v/>
      </c>
      <c r="AE1301" s="31">
        <f>IF($Y1301="",0,$Y1301)</f>
        <v/>
      </c>
    </row>
    <row r="1302">
      <c r="W1302" s="31">
        <f>IF(OR($B$5="",$C$6="",ROW()&lt;$B$5),"",IF(INDEX($A:$U,ROW(),$C$6)="","",INDEX($A:$U,ROW(),$C$6)))</f>
        <v/>
      </c>
      <c r="X1302" s="32">
        <f>IF($W1302="","",IF(ISNUMBER($W1302),IF($W1302&gt;=10000000,IFERROR(DATE(INT($W1302/10000),MOD(INT($W1302/100),100),MOD($W1302,100)),""),INT($W1302)),IFERROR(DATE(--LEFT(LEFT(SUBSTITUTE(SUBSTITUTE(SUBSTITUTE(SUBSTITUTE(TRIM($W1302),"-",""),".",""),"/","")," ",""),8),4),--MID(LEFT(SUBSTITUTE(SUBSTITUTE(SUBSTITUTE(SUBSTITUTE(TRIM($W1302),"-",""),".",""),"/","")," ",""),8),5,2),--MID(LEFT(SUBSTITUTE(SUBSTITUTE(SUBSTITUTE(SUBSTITUTE(TRIM($W1302),"-",""),".",""),"/","")," ",""),8),7,2)),"")))</f>
        <v/>
      </c>
      <c r="Y1302" s="32">
        <f>IF($X1302="","",INT($X1302))</f>
        <v/>
      </c>
      <c r="Z1302" s="33">
        <f>IF(OR($Y1302="",$D$6=""),"",IF(INDEX($A:$U,ROW(),$D$6)="",0,IF(ISNUMBER(INDEX($A:$U,ROW(),$D$6)),INDEX($A:$U,ROW(),$D$6),IFERROR(--SUBSTITUTE(SUBSTITUTE(TRIM(INDEX($A:$U,ROW(),$D$6)),",",""),"원",""),0))))</f>
        <v/>
      </c>
      <c r="AA1302" s="31">
        <f>IF($Y1302="","",TRIM(INDEX($A:$U,ROW(),$E$6)&amp;IF($F$6="",""," "&amp;INDEX($A:$U,ROW(),$F$6))))</f>
        <v/>
      </c>
      <c r="AB1302" s="31">
        <f>IF($AA1302="","",SUBSTITUTE(SUBSTITUTE(SUBSTITUTE(SUBSTITUTE(SUBSTITUTE(SUBSTITUTE(SUBSTITUTE(SUBSTITUTE(SUBSTITUTE($AA1302," ",""),"　",""),"(주)",""),"（주）",""),"㈜",""),"주식회사",""),"(유)",""),"（유）",""),"유한회사",""))</f>
        <v/>
      </c>
      <c r="AC1302" s="31">
        <f>IF(OR($Y1302="",N($Z1302)&lt;=0,$AB1302=""),0,IFERROR(LOOKUP(2,1/((거래처별!$AC$8:$AC$307&lt;&gt;"")*ISNUMBER(SEARCH(거래처별!$AC$8:$AC$307,$AB1302))),거래처별!$A$8:$A$307),IFERROR(LOOKUP(2,1/((거래처별!$AD$8:$AD$307&lt;&gt;"")*ISNUMBER(SEARCH(거래처별!$AD$8:$AD$307,$AB1302))),거래처별!$A$8:$A$307),IFERROR(LOOKUP(2,1/((거래처별!$AE$8:$AE$307&lt;&gt;"")*ISNUMBER(SEARCH(거래처별!$AE$8:$AE$307,$AB1302))),거래처별!$A$8:$A$307),0))))</f>
        <v/>
      </c>
      <c r="AD1302" s="31">
        <f>IF(AND($Y1302&lt;&gt;"",N($Z1302)&gt;0,$AC1302=0),MAX($AD$7:$AD1301)+1,"")</f>
        <v/>
      </c>
      <c r="AE1302" s="31">
        <f>IF($Y1302="",0,$Y1302)</f>
        <v/>
      </c>
    </row>
    <row r="1303">
      <c r="W1303" s="31">
        <f>IF(OR($B$5="",$C$6="",ROW()&lt;$B$5),"",IF(INDEX($A:$U,ROW(),$C$6)="","",INDEX($A:$U,ROW(),$C$6)))</f>
        <v/>
      </c>
      <c r="X1303" s="32">
        <f>IF($W1303="","",IF(ISNUMBER($W1303),IF($W1303&gt;=10000000,IFERROR(DATE(INT($W1303/10000),MOD(INT($W1303/100),100),MOD($W1303,100)),""),INT($W1303)),IFERROR(DATE(--LEFT(LEFT(SUBSTITUTE(SUBSTITUTE(SUBSTITUTE(SUBSTITUTE(TRIM($W1303),"-",""),".",""),"/","")," ",""),8),4),--MID(LEFT(SUBSTITUTE(SUBSTITUTE(SUBSTITUTE(SUBSTITUTE(TRIM($W1303),"-",""),".",""),"/","")," ",""),8),5,2),--MID(LEFT(SUBSTITUTE(SUBSTITUTE(SUBSTITUTE(SUBSTITUTE(TRIM($W1303),"-",""),".",""),"/","")," ",""),8),7,2)),"")))</f>
        <v/>
      </c>
      <c r="Y1303" s="32">
        <f>IF($X1303="","",INT($X1303))</f>
        <v/>
      </c>
      <c r="Z1303" s="33">
        <f>IF(OR($Y1303="",$D$6=""),"",IF(INDEX($A:$U,ROW(),$D$6)="",0,IF(ISNUMBER(INDEX($A:$U,ROW(),$D$6)),INDEX($A:$U,ROW(),$D$6),IFERROR(--SUBSTITUTE(SUBSTITUTE(TRIM(INDEX($A:$U,ROW(),$D$6)),",",""),"원",""),0))))</f>
        <v/>
      </c>
      <c r="AA1303" s="31">
        <f>IF($Y1303="","",TRIM(INDEX($A:$U,ROW(),$E$6)&amp;IF($F$6="",""," "&amp;INDEX($A:$U,ROW(),$F$6))))</f>
        <v/>
      </c>
      <c r="AB1303" s="31">
        <f>IF($AA1303="","",SUBSTITUTE(SUBSTITUTE(SUBSTITUTE(SUBSTITUTE(SUBSTITUTE(SUBSTITUTE(SUBSTITUTE(SUBSTITUTE(SUBSTITUTE($AA1303," ",""),"　",""),"(주)",""),"（주）",""),"㈜",""),"주식회사",""),"(유)",""),"（유）",""),"유한회사",""))</f>
        <v/>
      </c>
      <c r="AC1303" s="31">
        <f>IF(OR($Y1303="",N($Z1303)&lt;=0,$AB1303=""),0,IFERROR(LOOKUP(2,1/((거래처별!$AC$8:$AC$307&lt;&gt;"")*ISNUMBER(SEARCH(거래처별!$AC$8:$AC$307,$AB1303))),거래처별!$A$8:$A$307),IFERROR(LOOKUP(2,1/((거래처별!$AD$8:$AD$307&lt;&gt;"")*ISNUMBER(SEARCH(거래처별!$AD$8:$AD$307,$AB1303))),거래처별!$A$8:$A$307),IFERROR(LOOKUP(2,1/((거래처별!$AE$8:$AE$307&lt;&gt;"")*ISNUMBER(SEARCH(거래처별!$AE$8:$AE$307,$AB1303))),거래처별!$A$8:$A$307),0))))</f>
        <v/>
      </c>
      <c r="AD1303" s="31">
        <f>IF(AND($Y1303&lt;&gt;"",N($Z1303)&gt;0,$AC1303=0),MAX($AD$7:$AD1302)+1,"")</f>
        <v/>
      </c>
      <c r="AE1303" s="31">
        <f>IF($Y1303="",0,$Y1303)</f>
        <v/>
      </c>
    </row>
    <row r="1304">
      <c r="W1304" s="31">
        <f>IF(OR($B$5="",$C$6="",ROW()&lt;$B$5),"",IF(INDEX($A:$U,ROW(),$C$6)="","",INDEX($A:$U,ROW(),$C$6)))</f>
        <v/>
      </c>
      <c r="X1304" s="32">
        <f>IF($W1304="","",IF(ISNUMBER($W1304),IF($W1304&gt;=10000000,IFERROR(DATE(INT($W1304/10000),MOD(INT($W1304/100),100),MOD($W1304,100)),""),INT($W1304)),IFERROR(DATE(--LEFT(LEFT(SUBSTITUTE(SUBSTITUTE(SUBSTITUTE(SUBSTITUTE(TRIM($W1304),"-",""),".",""),"/","")," ",""),8),4),--MID(LEFT(SUBSTITUTE(SUBSTITUTE(SUBSTITUTE(SUBSTITUTE(TRIM($W1304),"-",""),".",""),"/","")," ",""),8),5,2),--MID(LEFT(SUBSTITUTE(SUBSTITUTE(SUBSTITUTE(SUBSTITUTE(TRIM($W1304),"-",""),".",""),"/","")," ",""),8),7,2)),"")))</f>
        <v/>
      </c>
      <c r="Y1304" s="32">
        <f>IF($X1304="","",INT($X1304))</f>
        <v/>
      </c>
      <c r="Z1304" s="33">
        <f>IF(OR($Y1304="",$D$6=""),"",IF(INDEX($A:$U,ROW(),$D$6)="",0,IF(ISNUMBER(INDEX($A:$U,ROW(),$D$6)),INDEX($A:$U,ROW(),$D$6),IFERROR(--SUBSTITUTE(SUBSTITUTE(TRIM(INDEX($A:$U,ROW(),$D$6)),",",""),"원",""),0))))</f>
        <v/>
      </c>
      <c r="AA1304" s="31">
        <f>IF($Y1304="","",TRIM(INDEX($A:$U,ROW(),$E$6)&amp;IF($F$6="",""," "&amp;INDEX($A:$U,ROW(),$F$6))))</f>
        <v/>
      </c>
      <c r="AB1304" s="31">
        <f>IF($AA1304="","",SUBSTITUTE(SUBSTITUTE(SUBSTITUTE(SUBSTITUTE(SUBSTITUTE(SUBSTITUTE(SUBSTITUTE(SUBSTITUTE(SUBSTITUTE($AA1304," ",""),"　",""),"(주)",""),"（주）",""),"㈜",""),"주식회사",""),"(유)",""),"（유）",""),"유한회사",""))</f>
        <v/>
      </c>
      <c r="AC1304" s="31">
        <f>IF(OR($Y1304="",N($Z1304)&lt;=0,$AB1304=""),0,IFERROR(LOOKUP(2,1/((거래처별!$AC$8:$AC$307&lt;&gt;"")*ISNUMBER(SEARCH(거래처별!$AC$8:$AC$307,$AB1304))),거래처별!$A$8:$A$307),IFERROR(LOOKUP(2,1/((거래처별!$AD$8:$AD$307&lt;&gt;"")*ISNUMBER(SEARCH(거래처별!$AD$8:$AD$307,$AB1304))),거래처별!$A$8:$A$307),IFERROR(LOOKUP(2,1/((거래처별!$AE$8:$AE$307&lt;&gt;"")*ISNUMBER(SEARCH(거래처별!$AE$8:$AE$307,$AB1304))),거래처별!$A$8:$A$307),0))))</f>
        <v/>
      </c>
      <c r="AD1304" s="31">
        <f>IF(AND($Y1304&lt;&gt;"",N($Z1304)&gt;0,$AC1304=0),MAX($AD$7:$AD1303)+1,"")</f>
        <v/>
      </c>
      <c r="AE1304" s="31">
        <f>IF($Y1304="",0,$Y1304)</f>
        <v/>
      </c>
    </row>
    <row r="1305">
      <c r="W1305" s="31">
        <f>IF(OR($B$5="",$C$6="",ROW()&lt;$B$5),"",IF(INDEX($A:$U,ROW(),$C$6)="","",INDEX($A:$U,ROW(),$C$6)))</f>
        <v/>
      </c>
      <c r="X1305" s="32">
        <f>IF($W1305="","",IF(ISNUMBER($W1305),IF($W1305&gt;=10000000,IFERROR(DATE(INT($W1305/10000),MOD(INT($W1305/100),100),MOD($W1305,100)),""),INT($W1305)),IFERROR(DATE(--LEFT(LEFT(SUBSTITUTE(SUBSTITUTE(SUBSTITUTE(SUBSTITUTE(TRIM($W1305),"-",""),".",""),"/","")," ",""),8),4),--MID(LEFT(SUBSTITUTE(SUBSTITUTE(SUBSTITUTE(SUBSTITUTE(TRIM($W1305),"-",""),".",""),"/","")," ",""),8),5,2),--MID(LEFT(SUBSTITUTE(SUBSTITUTE(SUBSTITUTE(SUBSTITUTE(TRIM($W1305),"-",""),".",""),"/","")," ",""),8),7,2)),"")))</f>
        <v/>
      </c>
      <c r="Y1305" s="32">
        <f>IF($X1305="","",INT($X1305))</f>
        <v/>
      </c>
      <c r="Z1305" s="33">
        <f>IF(OR($Y1305="",$D$6=""),"",IF(INDEX($A:$U,ROW(),$D$6)="",0,IF(ISNUMBER(INDEX($A:$U,ROW(),$D$6)),INDEX($A:$U,ROW(),$D$6),IFERROR(--SUBSTITUTE(SUBSTITUTE(TRIM(INDEX($A:$U,ROW(),$D$6)),",",""),"원",""),0))))</f>
        <v/>
      </c>
      <c r="AA1305" s="31">
        <f>IF($Y1305="","",TRIM(INDEX($A:$U,ROW(),$E$6)&amp;IF($F$6="",""," "&amp;INDEX($A:$U,ROW(),$F$6))))</f>
        <v/>
      </c>
      <c r="AB1305" s="31">
        <f>IF($AA1305="","",SUBSTITUTE(SUBSTITUTE(SUBSTITUTE(SUBSTITUTE(SUBSTITUTE(SUBSTITUTE(SUBSTITUTE(SUBSTITUTE(SUBSTITUTE($AA1305," ",""),"　",""),"(주)",""),"（주）",""),"㈜",""),"주식회사",""),"(유)",""),"（유）",""),"유한회사",""))</f>
        <v/>
      </c>
      <c r="AC1305" s="31">
        <f>IF(OR($Y1305="",N($Z1305)&lt;=0,$AB1305=""),0,IFERROR(LOOKUP(2,1/((거래처별!$AC$8:$AC$307&lt;&gt;"")*ISNUMBER(SEARCH(거래처별!$AC$8:$AC$307,$AB1305))),거래처별!$A$8:$A$307),IFERROR(LOOKUP(2,1/((거래처별!$AD$8:$AD$307&lt;&gt;"")*ISNUMBER(SEARCH(거래처별!$AD$8:$AD$307,$AB1305))),거래처별!$A$8:$A$307),IFERROR(LOOKUP(2,1/((거래처별!$AE$8:$AE$307&lt;&gt;"")*ISNUMBER(SEARCH(거래처별!$AE$8:$AE$307,$AB1305))),거래처별!$A$8:$A$307),0))))</f>
        <v/>
      </c>
      <c r="AD1305" s="31">
        <f>IF(AND($Y1305&lt;&gt;"",N($Z1305)&gt;0,$AC1305=0),MAX($AD$7:$AD1304)+1,"")</f>
        <v/>
      </c>
      <c r="AE1305" s="31">
        <f>IF($Y1305="",0,$Y1305)</f>
        <v/>
      </c>
    </row>
    <row r="1306">
      <c r="W1306" s="31">
        <f>IF(OR($B$5="",$C$6="",ROW()&lt;$B$5),"",IF(INDEX($A:$U,ROW(),$C$6)="","",INDEX($A:$U,ROW(),$C$6)))</f>
        <v/>
      </c>
      <c r="X1306" s="32">
        <f>IF($W1306="","",IF(ISNUMBER($W1306),IF($W1306&gt;=10000000,IFERROR(DATE(INT($W1306/10000),MOD(INT($W1306/100),100),MOD($W1306,100)),""),INT($W1306)),IFERROR(DATE(--LEFT(LEFT(SUBSTITUTE(SUBSTITUTE(SUBSTITUTE(SUBSTITUTE(TRIM($W1306),"-",""),".",""),"/","")," ",""),8),4),--MID(LEFT(SUBSTITUTE(SUBSTITUTE(SUBSTITUTE(SUBSTITUTE(TRIM($W1306),"-",""),".",""),"/","")," ",""),8),5,2),--MID(LEFT(SUBSTITUTE(SUBSTITUTE(SUBSTITUTE(SUBSTITUTE(TRIM($W1306),"-",""),".",""),"/","")," ",""),8),7,2)),"")))</f>
        <v/>
      </c>
      <c r="Y1306" s="32">
        <f>IF($X1306="","",INT($X1306))</f>
        <v/>
      </c>
      <c r="Z1306" s="33">
        <f>IF(OR($Y1306="",$D$6=""),"",IF(INDEX($A:$U,ROW(),$D$6)="",0,IF(ISNUMBER(INDEX($A:$U,ROW(),$D$6)),INDEX($A:$U,ROW(),$D$6),IFERROR(--SUBSTITUTE(SUBSTITUTE(TRIM(INDEX($A:$U,ROW(),$D$6)),",",""),"원",""),0))))</f>
        <v/>
      </c>
      <c r="AA1306" s="31">
        <f>IF($Y1306="","",TRIM(INDEX($A:$U,ROW(),$E$6)&amp;IF($F$6="",""," "&amp;INDEX($A:$U,ROW(),$F$6))))</f>
        <v/>
      </c>
      <c r="AB1306" s="31">
        <f>IF($AA1306="","",SUBSTITUTE(SUBSTITUTE(SUBSTITUTE(SUBSTITUTE(SUBSTITUTE(SUBSTITUTE(SUBSTITUTE(SUBSTITUTE(SUBSTITUTE($AA1306," ",""),"　",""),"(주)",""),"（주）",""),"㈜",""),"주식회사",""),"(유)",""),"（유）",""),"유한회사",""))</f>
        <v/>
      </c>
      <c r="AC1306" s="31">
        <f>IF(OR($Y1306="",N($Z1306)&lt;=0,$AB1306=""),0,IFERROR(LOOKUP(2,1/((거래처별!$AC$8:$AC$307&lt;&gt;"")*ISNUMBER(SEARCH(거래처별!$AC$8:$AC$307,$AB1306))),거래처별!$A$8:$A$307),IFERROR(LOOKUP(2,1/((거래처별!$AD$8:$AD$307&lt;&gt;"")*ISNUMBER(SEARCH(거래처별!$AD$8:$AD$307,$AB1306))),거래처별!$A$8:$A$307),IFERROR(LOOKUP(2,1/((거래처별!$AE$8:$AE$307&lt;&gt;"")*ISNUMBER(SEARCH(거래처별!$AE$8:$AE$307,$AB1306))),거래처별!$A$8:$A$307),0))))</f>
        <v/>
      </c>
      <c r="AD1306" s="31">
        <f>IF(AND($Y1306&lt;&gt;"",N($Z1306)&gt;0,$AC1306=0),MAX($AD$7:$AD1305)+1,"")</f>
        <v/>
      </c>
      <c r="AE1306" s="31">
        <f>IF($Y1306="",0,$Y1306)</f>
        <v/>
      </c>
    </row>
    <row r="1307">
      <c r="W1307" s="31">
        <f>IF(OR($B$5="",$C$6="",ROW()&lt;$B$5),"",IF(INDEX($A:$U,ROW(),$C$6)="","",INDEX($A:$U,ROW(),$C$6)))</f>
        <v/>
      </c>
      <c r="X1307" s="32">
        <f>IF($W1307="","",IF(ISNUMBER($W1307),IF($W1307&gt;=10000000,IFERROR(DATE(INT($W1307/10000),MOD(INT($W1307/100),100),MOD($W1307,100)),""),INT($W1307)),IFERROR(DATE(--LEFT(LEFT(SUBSTITUTE(SUBSTITUTE(SUBSTITUTE(SUBSTITUTE(TRIM($W1307),"-",""),".",""),"/","")," ",""),8),4),--MID(LEFT(SUBSTITUTE(SUBSTITUTE(SUBSTITUTE(SUBSTITUTE(TRIM($W1307),"-",""),".",""),"/","")," ",""),8),5,2),--MID(LEFT(SUBSTITUTE(SUBSTITUTE(SUBSTITUTE(SUBSTITUTE(TRIM($W1307),"-",""),".",""),"/","")," ",""),8),7,2)),"")))</f>
        <v/>
      </c>
      <c r="Y1307" s="32">
        <f>IF($X1307="","",INT($X1307))</f>
        <v/>
      </c>
      <c r="Z1307" s="33">
        <f>IF(OR($Y1307="",$D$6=""),"",IF(INDEX($A:$U,ROW(),$D$6)="",0,IF(ISNUMBER(INDEX($A:$U,ROW(),$D$6)),INDEX($A:$U,ROW(),$D$6),IFERROR(--SUBSTITUTE(SUBSTITUTE(TRIM(INDEX($A:$U,ROW(),$D$6)),",",""),"원",""),0))))</f>
        <v/>
      </c>
      <c r="AA1307" s="31">
        <f>IF($Y1307="","",TRIM(INDEX($A:$U,ROW(),$E$6)&amp;IF($F$6="",""," "&amp;INDEX($A:$U,ROW(),$F$6))))</f>
        <v/>
      </c>
      <c r="AB1307" s="31">
        <f>IF($AA1307="","",SUBSTITUTE(SUBSTITUTE(SUBSTITUTE(SUBSTITUTE(SUBSTITUTE(SUBSTITUTE(SUBSTITUTE(SUBSTITUTE(SUBSTITUTE($AA1307," ",""),"　",""),"(주)",""),"（주）",""),"㈜",""),"주식회사",""),"(유)",""),"（유）",""),"유한회사",""))</f>
        <v/>
      </c>
      <c r="AC1307" s="31">
        <f>IF(OR($Y1307="",N($Z1307)&lt;=0,$AB1307=""),0,IFERROR(LOOKUP(2,1/((거래처별!$AC$8:$AC$307&lt;&gt;"")*ISNUMBER(SEARCH(거래처별!$AC$8:$AC$307,$AB1307))),거래처별!$A$8:$A$307),IFERROR(LOOKUP(2,1/((거래처별!$AD$8:$AD$307&lt;&gt;"")*ISNUMBER(SEARCH(거래처별!$AD$8:$AD$307,$AB1307))),거래처별!$A$8:$A$307),IFERROR(LOOKUP(2,1/((거래처별!$AE$8:$AE$307&lt;&gt;"")*ISNUMBER(SEARCH(거래처별!$AE$8:$AE$307,$AB1307))),거래처별!$A$8:$A$307),0))))</f>
        <v/>
      </c>
      <c r="AD1307" s="31">
        <f>IF(AND($Y1307&lt;&gt;"",N($Z1307)&gt;0,$AC1307=0),MAX($AD$7:$AD1306)+1,"")</f>
        <v/>
      </c>
      <c r="AE1307" s="31">
        <f>IF($Y1307="",0,$Y1307)</f>
        <v/>
      </c>
    </row>
    <row r="1308">
      <c r="W1308" s="31">
        <f>IF(OR($B$5="",$C$6="",ROW()&lt;$B$5),"",IF(INDEX($A:$U,ROW(),$C$6)="","",INDEX($A:$U,ROW(),$C$6)))</f>
        <v/>
      </c>
      <c r="X1308" s="32">
        <f>IF($W1308="","",IF(ISNUMBER($W1308),IF($W1308&gt;=10000000,IFERROR(DATE(INT($W1308/10000),MOD(INT($W1308/100),100),MOD($W1308,100)),""),INT($W1308)),IFERROR(DATE(--LEFT(LEFT(SUBSTITUTE(SUBSTITUTE(SUBSTITUTE(SUBSTITUTE(TRIM($W1308),"-",""),".",""),"/","")," ",""),8),4),--MID(LEFT(SUBSTITUTE(SUBSTITUTE(SUBSTITUTE(SUBSTITUTE(TRIM($W1308),"-",""),".",""),"/","")," ",""),8),5,2),--MID(LEFT(SUBSTITUTE(SUBSTITUTE(SUBSTITUTE(SUBSTITUTE(TRIM($W1308),"-",""),".",""),"/","")," ",""),8),7,2)),"")))</f>
        <v/>
      </c>
      <c r="Y1308" s="32">
        <f>IF($X1308="","",INT($X1308))</f>
        <v/>
      </c>
      <c r="Z1308" s="33">
        <f>IF(OR($Y1308="",$D$6=""),"",IF(INDEX($A:$U,ROW(),$D$6)="",0,IF(ISNUMBER(INDEX($A:$U,ROW(),$D$6)),INDEX($A:$U,ROW(),$D$6),IFERROR(--SUBSTITUTE(SUBSTITUTE(TRIM(INDEX($A:$U,ROW(),$D$6)),",",""),"원",""),0))))</f>
        <v/>
      </c>
      <c r="AA1308" s="31">
        <f>IF($Y1308="","",TRIM(INDEX($A:$U,ROW(),$E$6)&amp;IF($F$6="",""," "&amp;INDEX($A:$U,ROW(),$F$6))))</f>
        <v/>
      </c>
      <c r="AB1308" s="31">
        <f>IF($AA1308="","",SUBSTITUTE(SUBSTITUTE(SUBSTITUTE(SUBSTITUTE(SUBSTITUTE(SUBSTITUTE(SUBSTITUTE(SUBSTITUTE(SUBSTITUTE($AA1308," ",""),"　",""),"(주)",""),"（주）",""),"㈜",""),"주식회사",""),"(유)",""),"（유）",""),"유한회사",""))</f>
        <v/>
      </c>
      <c r="AC1308" s="31">
        <f>IF(OR($Y1308="",N($Z1308)&lt;=0,$AB1308=""),0,IFERROR(LOOKUP(2,1/((거래처별!$AC$8:$AC$307&lt;&gt;"")*ISNUMBER(SEARCH(거래처별!$AC$8:$AC$307,$AB1308))),거래처별!$A$8:$A$307),IFERROR(LOOKUP(2,1/((거래처별!$AD$8:$AD$307&lt;&gt;"")*ISNUMBER(SEARCH(거래처별!$AD$8:$AD$307,$AB1308))),거래처별!$A$8:$A$307),IFERROR(LOOKUP(2,1/((거래처별!$AE$8:$AE$307&lt;&gt;"")*ISNUMBER(SEARCH(거래처별!$AE$8:$AE$307,$AB1308))),거래처별!$A$8:$A$307),0))))</f>
        <v/>
      </c>
      <c r="AD1308" s="31">
        <f>IF(AND($Y1308&lt;&gt;"",N($Z1308)&gt;0,$AC1308=0),MAX($AD$7:$AD1307)+1,"")</f>
        <v/>
      </c>
      <c r="AE1308" s="31">
        <f>IF($Y1308="",0,$Y1308)</f>
        <v/>
      </c>
    </row>
    <row r="1309">
      <c r="W1309" s="31">
        <f>IF(OR($B$5="",$C$6="",ROW()&lt;$B$5),"",IF(INDEX($A:$U,ROW(),$C$6)="","",INDEX($A:$U,ROW(),$C$6)))</f>
        <v/>
      </c>
      <c r="X1309" s="32">
        <f>IF($W1309="","",IF(ISNUMBER($W1309),IF($W1309&gt;=10000000,IFERROR(DATE(INT($W1309/10000),MOD(INT($W1309/100),100),MOD($W1309,100)),""),INT($W1309)),IFERROR(DATE(--LEFT(LEFT(SUBSTITUTE(SUBSTITUTE(SUBSTITUTE(SUBSTITUTE(TRIM($W1309),"-",""),".",""),"/","")," ",""),8),4),--MID(LEFT(SUBSTITUTE(SUBSTITUTE(SUBSTITUTE(SUBSTITUTE(TRIM($W1309),"-",""),".",""),"/","")," ",""),8),5,2),--MID(LEFT(SUBSTITUTE(SUBSTITUTE(SUBSTITUTE(SUBSTITUTE(TRIM($W1309),"-",""),".",""),"/","")," ",""),8),7,2)),"")))</f>
        <v/>
      </c>
      <c r="Y1309" s="32">
        <f>IF($X1309="","",INT($X1309))</f>
        <v/>
      </c>
      <c r="Z1309" s="33">
        <f>IF(OR($Y1309="",$D$6=""),"",IF(INDEX($A:$U,ROW(),$D$6)="",0,IF(ISNUMBER(INDEX($A:$U,ROW(),$D$6)),INDEX($A:$U,ROW(),$D$6),IFERROR(--SUBSTITUTE(SUBSTITUTE(TRIM(INDEX($A:$U,ROW(),$D$6)),",",""),"원",""),0))))</f>
        <v/>
      </c>
      <c r="AA1309" s="31">
        <f>IF($Y1309="","",TRIM(INDEX($A:$U,ROW(),$E$6)&amp;IF($F$6="",""," "&amp;INDEX($A:$U,ROW(),$F$6))))</f>
        <v/>
      </c>
      <c r="AB1309" s="31">
        <f>IF($AA1309="","",SUBSTITUTE(SUBSTITUTE(SUBSTITUTE(SUBSTITUTE(SUBSTITUTE(SUBSTITUTE(SUBSTITUTE(SUBSTITUTE(SUBSTITUTE($AA1309," ",""),"　",""),"(주)",""),"（주）",""),"㈜",""),"주식회사",""),"(유)",""),"（유）",""),"유한회사",""))</f>
        <v/>
      </c>
      <c r="AC1309" s="31">
        <f>IF(OR($Y1309="",N($Z1309)&lt;=0,$AB1309=""),0,IFERROR(LOOKUP(2,1/((거래처별!$AC$8:$AC$307&lt;&gt;"")*ISNUMBER(SEARCH(거래처별!$AC$8:$AC$307,$AB1309))),거래처별!$A$8:$A$307),IFERROR(LOOKUP(2,1/((거래처별!$AD$8:$AD$307&lt;&gt;"")*ISNUMBER(SEARCH(거래처별!$AD$8:$AD$307,$AB1309))),거래처별!$A$8:$A$307),IFERROR(LOOKUP(2,1/((거래처별!$AE$8:$AE$307&lt;&gt;"")*ISNUMBER(SEARCH(거래처별!$AE$8:$AE$307,$AB1309))),거래처별!$A$8:$A$307),0))))</f>
        <v/>
      </c>
      <c r="AD1309" s="31">
        <f>IF(AND($Y1309&lt;&gt;"",N($Z1309)&gt;0,$AC1309=0),MAX($AD$7:$AD1308)+1,"")</f>
        <v/>
      </c>
      <c r="AE1309" s="31">
        <f>IF($Y1309="",0,$Y1309)</f>
        <v/>
      </c>
    </row>
    <row r="1310">
      <c r="W1310" s="31">
        <f>IF(OR($B$5="",$C$6="",ROW()&lt;$B$5),"",IF(INDEX($A:$U,ROW(),$C$6)="","",INDEX($A:$U,ROW(),$C$6)))</f>
        <v/>
      </c>
      <c r="X1310" s="32">
        <f>IF($W1310="","",IF(ISNUMBER($W1310),IF($W1310&gt;=10000000,IFERROR(DATE(INT($W1310/10000),MOD(INT($W1310/100),100),MOD($W1310,100)),""),INT($W1310)),IFERROR(DATE(--LEFT(LEFT(SUBSTITUTE(SUBSTITUTE(SUBSTITUTE(SUBSTITUTE(TRIM($W1310),"-",""),".",""),"/","")," ",""),8),4),--MID(LEFT(SUBSTITUTE(SUBSTITUTE(SUBSTITUTE(SUBSTITUTE(TRIM($W1310),"-",""),".",""),"/","")," ",""),8),5,2),--MID(LEFT(SUBSTITUTE(SUBSTITUTE(SUBSTITUTE(SUBSTITUTE(TRIM($W1310),"-",""),".",""),"/","")," ",""),8),7,2)),"")))</f>
        <v/>
      </c>
      <c r="Y1310" s="32">
        <f>IF($X1310="","",INT($X1310))</f>
        <v/>
      </c>
      <c r="Z1310" s="33">
        <f>IF(OR($Y1310="",$D$6=""),"",IF(INDEX($A:$U,ROW(),$D$6)="",0,IF(ISNUMBER(INDEX($A:$U,ROW(),$D$6)),INDEX($A:$U,ROW(),$D$6),IFERROR(--SUBSTITUTE(SUBSTITUTE(TRIM(INDEX($A:$U,ROW(),$D$6)),",",""),"원",""),0))))</f>
        <v/>
      </c>
      <c r="AA1310" s="31">
        <f>IF($Y1310="","",TRIM(INDEX($A:$U,ROW(),$E$6)&amp;IF($F$6="",""," "&amp;INDEX($A:$U,ROW(),$F$6))))</f>
        <v/>
      </c>
      <c r="AB1310" s="31">
        <f>IF($AA1310="","",SUBSTITUTE(SUBSTITUTE(SUBSTITUTE(SUBSTITUTE(SUBSTITUTE(SUBSTITUTE(SUBSTITUTE(SUBSTITUTE(SUBSTITUTE($AA1310," ",""),"　",""),"(주)",""),"（주）",""),"㈜",""),"주식회사",""),"(유)",""),"（유）",""),"유한회사",""))</f>
        <v/>
      </c>
      <c r="AC1310" s="31">
        <f>IF(OR($Y1310="",N($Z1310)&lt;=0,$AB1310=""),0,IFERROR(LOOKUP(2,1/((거래처별!$AC$8:$AC$307&lt;&gt;"")*ISNUMBER(SEARCH(거래처별!$AC$8:$AC$307,$AB1310))),거래처별!$A$8:$A$307),IFERROR(LOOKUP(2,1/((거래처별!$AD$8:$AD$307&lt;&gt;"")*ISNUMBER(SEARCH(거래처별!$AD$8:$AD$307,$AB1310))),거래처별!$A$8:$A$307),IFERROR(LOOKUP(2,1/((거래처별!$AE$8:$AE$307&lt;&gt;"")*ISNUMBER(SEARCH(거래처별!$AE$8:$AE$307,$AB1310))),거래처별!$A$8:$A$307),0))))</f>
        <v/>
      </c>
      <c r="AD1310" s="31">
        <f>IF(AND($Y1310&lt;&gt;"",N($Z1310)&gt;0,$AC1310=0),MAX($AD$7:$AD1309)+1,"")</f>
        <v/>
      </c>
      <c r="AE1310" s="31">
        <f>IF($Y1310="",0,$Y1310)</f>
        <v/>
      </c>
    </row>
    <row r="1311">
      <c r="W1311" s="31">
        <f>IF(OR($B$5="",$C$6="",ROW()&lt;$B$5),"",IF(INDEX($A:$U,ROW(),$C$6)="","",INDEX($A:$U,ROW(),$C$6)))</f>
        <v/>
      </c>
      <c r="X1311" s="32">
        <f>IF($W1311="","",IF(ISNUMBER($W1311),IF($W1311&gt;=10000000,IFERROR(DATE(INT($W1311/10000),MOD(INT($W1311/100),100),MOD($W1311,100)),""),INT($W1311)),IFERROR(DATE(--LEFT(LEFT(SUBSTITUTE(SUBSTITUTE(SUBSTITUTE(SUBSTITUTE(TRIM($W1311),"-",""),".",""),"/","")," ",""),8),4),--MID(LEFT(SUBSTITUTE(SUBSTITUTE(SUBSTITUTE(SUBSTITUTE(TRIM($W1311),"-",""),".",""),"/","")," ",""),8),5,2),--MID(LEFT(SUBSTITUTE(SUBSTITUTE(SUBSTITUTE(SUBSTITUTE(TRIM($W1311),"-",""),".",""),"/","")," ",""),8),7,2)),"")))</f>
        <v/>
      </c>
      <c r="Y1311" s="32">
        <f>IF($X1311="","",INT($X1311))</f>
        <v/>
      </c>
      <c r="Z1311" s="33">
        <f>IF(OR($Y1311="",$D$6=""),"",IF(INDEX($A:$U,ROW(),$D$6)="",0,IF(ISNUMBER(INDEX($A:$U,ROW(),$D$6)),INDEX($A:$U,ROW(),$D$6),IFERROR(--SUBSTITUTE(SUBSTITUTE(TRIM(INDEX($A:$U,ROW(),$D$6)),",",""),"원",""),0))))</f>
        <v/>
      </c>
      <c r="AA1311" s="31">
        <f>IF($Y1311="","",TRIM(INDEX($A:$U,ROW(),$E$6)&amp;IF($F$6="",""," "&amp;INDEX($A:$U,ROW(),$F$6))))</f>
        <v/>
      </c>
      <c r="AB1311" s="31">
        <f>IF($AA1311="","",SUBSTITUTE(SUBSTITUTE(SUBSTITUTE(SUBSTITUTE(SUBSTITUTE(SUBSTITUTE(SUBSTITUTE(SUBSTITUTE(SUBSTITUTE($AA1311," ",""),"　",""),"(주)",""),"（주）",""),"㈜",""),"주식회사",""),"(유)",""),"（유）",""),"유한회사",""))</f>
        <v/>
      </c>
      <c r="AC1311" s="31">
        <f>IF(OR($Y1311="",N($Z1311)&lt;=0,$AB1311=""),0,IFERROR(LOOKUP(2,1/((거래처별!$AC$8:$AC$307&lt;&gt;"")*ISNUMBER(SEARCH(거래처별!$AC$8:$AC$307,$AB1311))),거래처별!$A$8:$A$307),IFERROR(LOOKUP(2,1/((거래처별!$AD$8:$AD$307&lt;&gt;"")*ISNUMBER(SEARCH(거래처별!$AD$8:$AD$307,$AB1311))),거래처별!$A$8:$A$307),IFERROR(LOOKUP(2,1/((거래처별!$AE$8:$AE$307&lt;&gt;"")*ISNUMBER(SEARCH(거래처별!$AE$8:$AE$307,$AB1311))),거래처별!$A$8:$A$307),0))))</f>
        <v/>
      </c>
      <c r="AD1311" s="31">
        <f>IF(AND($Y1311&lt;&gt;"",N($Z1311)&gt;0,$AC1311=0),MAX($AD$7:$AD1310)+1,"")</f>
        <v/>
      </c>
      <c r="AE1311" s="31">
        <f>IF($Y1311="",0,$Y1311)</f>
        <v/>
      </c>
    </row>
    <row r="1312">
      <c r="W1312" s="31">
        <f>IF(OR($B$5="",$C$6="",ROW()&lt;$B$5),"",IF(INDEX($A:$U,ROW(),$C$6)="","",INDEX($A:$U,ROW(),$C$6)))</f>
        <v/>
      </c>
      <c r="X1312" s="32">
        <f>IF($W1312="","",IF(ISNUMBER($W1312),IF($W1312&gt;=10000000,IFERROR(DATE(INT($W1312/10000),MOD(INT($W1312/100),100),MOD($W1312,100)),""),INT($W1312)),IFERROR(DATE(--LEFT(LEFT(SUBSTITUTE(SUBSTITUTE(SUBSTITUTE(SUBSTITUTE(TRIM($W1312),"-",""),".",""),"/","")," ",""),8),4),--MID(LEFT(SUBSTITUTE(SUBSTITUTE(SUBSTITUTE(SUBSTITUTE(TRIM($W1312),"-",""),".",""),"/","")," ",""),8),5,2),--MID(LEFT(SUBSTITUTE(SUBSTITUTE(SUBSTITUTE(SUBSTITUTE(TRIM($W1312),"-",""),".",""),"/","")," ",""),8),7,2)),"")))</f>
        <v/>
      </c>
      <c r="Y1312" s="32">
        <f>IF($X1312="","",INT($X1312))</f>
        <v/>
      </c>
      <c r="Z1312" s="33">
        <f>IF(OR($Y1312="",$D$6=""),"",IF(INDEX($A:$U,ROW(),$D$6)="",0,IF(ISNUMBER(INDEX($A:$U,ROW(),$D$6)),INDEX($A:$U,ROW(),$D$6),IFERROR(--SUBSTITUTE(SUBSTITUTE(TRIM(INDEX($A:$U,ROW(),$D$6)),",",""),"원",""),0))))</f>
        <v/>
      </c>
      <c r="AA1312" s="31">
        <f>IF($Y1312="","",TRIM(INDEX($A:$U,ROW(),$E$6)&amp;IF($F$6="",""," "&amp;INDEX($A:$U,ROW(),$F$6))))</f>
        <v/>
      </c>
      <c r="AB1312" s="31">
        <f>IF($AA1312="","",SUBSTITUTE(SUBSTITUTE(SUBSTITUTE(SUBSTITUTE(SUBSTITUTE(SUBSTITUTE(SUBSTITUTE(SUBSTITUTE(SUBSTITUTE($AA1312," ",""),"　",""),"(주)",""),"（주）",""),"㈜",""),"주식회사",""),"(유)",""),"（유）",""),"유한회사",""))</f>
        <v/>
      </c>
      <c r="AC1312" s="31">
        <f>IF(OR($Y1312="",N($Z1312)&lt;=0,$AB1312=""),0,IFERROR(LOOKUP(2,1/((거래처별!$AC$8:$AC$307&lt;&gt;"")*ISNUMBER(SEARCH(거래처별!$AC$8:$AC$307,$AB1312))),거래처별!$A$8:$A$307),IFERROR(LOOKUP(2,1/((거래처별!$AD$8:$AD$307&lt;&gt;"")*ISNUMBER(SEARCH(거래처별!$AD$8:$AD$307,$AB1312))),거래처별!$A$8:$A$307),IFERROR(LOOKUP(2,1/((거래처별!$AE$8:$AE$307&lt;&gt;"")*ISNUMBER(SEARCH(거래처별!$AE$8:$AE$307,$AB1312))),거래처별!$A$8:$A$307),0))))</f>
        <v/>
      </c>
      <c r="AD1312" s="31">
        <f>IF(AND($Y1312&lt;&gt;"",N($Z1312)&gt;0,$AC1312=0),MAX($AD$7:$AD1311)+1,"")</f>
        <v/>
      </c>
      <c r="AE1312" s="31">
        <f>IF($Y1312="",0,$Y1312)</f>
        <v/>
      </c>
    </row>
    <row r="1313">
      <c r="W1313" s="31">
        <f>IF(OR($B$5="",$C$6="",ROW()&lt;$B$5),"",IF(INDEX($A:$U,ROW(),$C$6)="","",INDEX($A:$U,ROW(),$C$6)))</f>
        <v/>
      </c>
      <c r="X1313" s="32">
        <f>IF($W1313="","",IF(ISNUMBER($W1313),IF($W1313&gt;=10000000,IFERROR(DATE(INT($W1313/10000),MOD(INT($W1313/100),100),MOD($W1313,100)),""),INT($W1313)),IFERROR(DATE(--LEFT(LEFT(SUBSTITUTE(SUBSTITUTE(SUBSTITUTE(SUBSTITUTE(TRIM($W1313),"-",""),".",""),"/","")," ",""),8),4),--MID(LEFT(SUBSTITUTE(SUBSTITUTE(SUBSTITUTE(SUBSTITUTE(TRIM($W1313),"-",""),".",""),"/","")," ",""),8),5,2),--MID(LEFT(SUBSTITUTE(SUBSTITUTE(SUBSTITUTE(SUBSTITUTE(TRIM($W1313),"-",""),".",""),"/","")," ",""),8),7,2)),"")))</f>
        <v/>
      </c>
      <c r="Y1313" s="32">
        <f>IF($X1313="","",INT($X1313))</f>
        <v/>
      </c>
      <c r="Z1313" s="33">
        <f>IF(OR($Y1313="",$D$6=""),"",IF(INDEX($A:$U,ROW(),$D$6)="",0,IF(ISNUMBER(INDEX($A:$U,ROW(),$D$6)),INDEX($A:$U,ROW(),$D$6),IFERROR(--SUBSTITUTE(SUBSTITUTE(TRIM(INDEX($A:$U,ROW(),$D$6)),",",""),"원",""),0))))</f>
        <v/>
      </c>
      <c r="AA1313" s="31">
        <f>IF($Y1313="","",TRIM(INDEX($A:$U,ROW(),$E$6)&amp;IF($F$6="",""," "&amp;INDEX($A:$U,ROW(),$F$6))))</f>
        <v/>
      </c>
      <c r="AB1313" s="31">
        <f>IF($AA1313="","",SUBSTITUTE(SUBSTITUTE(SUBSTITUTE(SUBSTITUTE(SUBSTITUTE(SUBSTITUTE(SUBSTITUTE(SUBSTITUTE(SUBSTITUTE($AA1313," ",""),"　",""),"(주)",""),"（주）",""),"㈜",""),"주식회사",""),"(유)",""),"（유）",""),"유한회사",""))</f>
        <v/>
      </c>
      <c r="AC1313" s="31">
        <f>IF(OR($Y1313="",N($Z1313)&lt;=0,$AB1313=""),0,IFERROR(LOOKUP(2,1/((거래처별!$AC$8:$AC$307&lt;&gt;"")*ISNUMBER(SEARCH(거래처별!$AC$8:$AC$307,$AB1313))),거래처별!$A$8:$A$307),IFERROR(LOOKUP(2,1/((거래처별!$AD$8:$AD$307&lt;&gt;"")*ISNUMBER(SEARCH(거래처별!$AD$8:$AD$307,$AB1313))),거래처별!$A$8:$A$307),IFERROR(LOOKUP(2,1/((거래처별!$AE$8:$AE$307&lt;&gt;"")*ISNUMBER(SEARCH(거래처별!$AE$8:$AE$307,$AB1313))),거래처별!$A$8:$A$307),0))))</f>
        <v/>
      </c>
      <c r="AD1313" s="31">
        <f>IF(AND($Y1313&lt;&gt;"",N($Z1313)&gt;0,$AC1313=0),MAX($AD$7:$AD1312)+1,"")</f>
        <v/>
      </c>
      <c r="AE1313" s="31">
        <f>IF($Y1313="",0,$Y1313)</f>
        <v/>
      </c>
    </row>
    <row r="1314">
      <c r="W1314" s="31">
        <f>IF(OR($B$5="",$C$6="",ROW()&lt;$B$5),"",IF(INDEX($A:$U,ROW(),$C$6)="","",INDEX($A:$U,ROW(),$C$6)))</f>
        <v/>
      </c>
      <c r="X1314" s="32">
        <f>IF($W1314="","",IF(ISNUMBER($W1314),IF($W1314&gt;=10000000,IFERROR(DATE(INT($W1314/10000),MOD(INT($W1314/100),100),MOD($W1314,100)),""),INT($W1314)),IFERROR(DATE(--LEFT(LEFT(SUBSTITUTE(SUBSTITUTE(SUBSTITUTE(SUBSTITUTE(TRIM($W1314),"-",""),".",""),"/","")," ",""),8),4),--MID(LEFT(SUBSTITUTE(SUBSTITUTE(SUBSTITUTE(SUBSTITUTE(TRIM($W1314),"-",""),".",""),"/","")," ",""),8),5,2),--MID(LEFT(SUBSTITUTE(SUBSTITUTE(SUBSTITUTE(SUBSTITUTE(TRIM($W1314),"-",""),".",""),"/","")," ",""),8),7,2)),"")))</f>
        <v/>
      </c>
      <c r="Y1314" s="32">
        <f>IF($X1314="","",INT($X1314))</f>
        <v/>
      </c>
      <c r="Z1314" s="33">
        <f>IF(OR($Y1314="",$D$6=""),"",IF(INDEX($A:$U,ROW(),$D$6)="",0,IF(ISNUMBER(INDEX($A:$U,ROW(),$D$6)),INDEX($A:$U,ROW(),$D$6),IFERROR(--SUBSTITUTE(SUBSTITUTE(TRIM(INDEX($A:$U,ROW(),$D$6)),",",""),"원",""),0))))</f>
        <v/>
      </c>
      <c r="AA1314" s="31">
        <f>IF($Y1314="","",TRIM(INDEX($A:$U,ROW(),$E$6)&amp;IF($F$6="",""," "&amp;INDEX($A:$U,ROW(),$F$6))))</f>
        <v/>
      </c>
      <c r="AB1314" s="31">
        <f>IF($AA1314="","",SUBSTITUTE(SUBSTITUTE(SUBSTITUTE(SUBSTITUTE(SUBSTITUTE(SUBSTITUTE(SUBSTITUTE(SUBSTITUTE(SUBSTITUTE($AA1314," ",""),"　",""),"(주)",""),"（주）",""),"㈜",""),"주식회사",""),"(유)",""),"（유）",""),"유한회사",""))</f>
        <v/>
      </c>
      <c r="AC1314" s="31">
        <f>IF(OR($Y1314="",N($Z1314)&lt;=0,$AB1314=""),0,IFERROR(LOOKUP(2,1/((거래처별!$AC$8:$AC$307&lt;&gt;"")*ISNUMBER(SEARCH(거래처별!$AC$8:$AC$307,$AB1314))),거래처별!$A$8:$A$307),IFERROR(LOOKUP(2,1/((거래처별!$AD$8:$AD$307&lt;&gt;"")*ISNUMBER(SEARCH(거래처별!$AD$8:$AD$307,$AB1314))),거래처별!$A$8:$A$307),IFERROR(LOOKUP(2,1/((거래처별!$AE$8:$AE$307&lt;&gt;"")*ISNUMBER(SEARCH(거래처별!$AE$8:$AE$307,$AB1314))),거래처별!$A$8:$A$307),0))))</f>
        <v/>
      </c>
      <c r="AD1314" s="31">
        <f>IF(AND($Y1314&lt;&gt;"",N($Z1314)&gt;0,$AC1314=0),MAX($AD$7:$AD1313)+1,"")</f>
        <v/>
      </c>
      <c r="AE1314" s="31">
        <f>IF($Y1314="",0,$Y1314)</f>
        <v/>
      </c>
    </row>
    <row r="1315">
      <c r="W1315" s="31">
        <f>IF(OR($B$5="",$C$6="",ROW()&lt;$B$5),"",IF(INDEX($A:$U,ROW(),$C$6)="","",INDEX($A:$U,ROW(),$C$6)))</f>
        <v/>
      </c>
      <c r="X1315" s="32">
        <f>IF($W1315="","",IF(ISNUMBER($W1315),IF($W1315&gt;=10000000,IFERROR(DATE(INT($W1315/10000),MOD(INT($W1315/100),100),MOD($W1315,100)),""),INT($W1315)),IFERROR(DATE(--LEFT(LEFT(SUBSTITUTE(SUBSTITUTE(SUBSTITUTE(SUBSTITUTE(TRIM($W1315),"-",""),".",""),"/","")," ",""),8),4),--MID(LEFT(SUBSTITUTE(SUBSTITUTE(SUBSTITUTE(SUBSTITUTE(TRIM($W1315),"-",""),".",""),"/","")," ",""),8),5,2),--MID(LEFT(SUBSTITUTE(SUBSTITUTE(SUBSTITUTE(SUBSTITUTE(TRIM($W1315),"-",""),".",""),"/","")," ",""),8),7,2)),"")))</f>
        <v/>
      </c>
      <c r="Y1315" s="32">
        <f>IF($X1315="","",INT($X1315))</f>
        <v/>
      </c>
      <c r="Z1315" s="33">
        <f>IF(OR($Y1315="",$D$6=""),"",IF(INDEX($A:$U,ROW(),$D$6)="",0,IF(ISNUMBER(INDEX($A:$U,ROW(),$D$6)),INDEX($A:$U,ROW(),$D$6),IFERROR(--SUBSTITUTE(SUBSTITUTE(TRIM(INDEX($A:$U,ROW(),$D$6)),",",""),"원",""),0))))</f>
        <v/>
      </c>
      <c r="AA1315" s="31">
        <f>IF($Y1315="","",TRIM(INDEX($A:$U,ROW(),$E$6)&amp;IF($F$6="",""," "&amp;INDEX($A:$U,ROW(),$F$6))))</f>
        <v/>
      </c>
      <c r="AB1315" s="31">
        <f>IF($AA1315="","",SUBSTITUTE(SUBSTITUTE(SUBSTITUTE(SUBSTITUTE(SUBSTITUTE(SUBSTITUTE(SUBSTITUTE(SUBSTITUTE(SUBSTITUTE($AA1315," ",""),"　",""),"(주)",""),"（주）",""),"㈜",""),"주식회사",""),"(유)",""),"（유）",""),"유한회사",""))</f>
        <v/>
      </c>
      <c r="AC1315" s="31">
        <f>IF(OR($Y1315="",N($Z1315)&lt;=0,$AB1315=""),0,IFERROR(LOOKUP(2,1/((거래처별!$AC$8:$AC$307&lt;&gt;"")*ISNUMBER(SEARCH(거래처별!$AC$8:$AC$307,$AB1315))),거래처별!$A$8:$A$307),IFERROR(LOOKUP(2,1/((거래처별!$AD$8:$AD$307&lt;&gt;"")*ISNUMBER(SEARCH(거래처별!$AD$8:$AD$307,$AB1315))),거래처별!$A$8:$A$307),IFERROR(LOOKUP(2,1/((거래처별!$AE$8:$AE$307&lt;&gt;"")*ISNUMBER(SEARCH(거래처별!$AE$8:$AE$307,$AB1315))),거래처별!$A$8:$A$307),0))))</f>
        <v/>
      </c>
      <c r="AD1315" s="31">
        <f>IF(AND($Y1315&lt;&gt;"",N($Z1315)&gt;0,$AC1315=0),MAX($AD$7:$AD1314)+1,"")</f>
        <v/>
      </c>
      <c r="AE1315" s="31">
        <f>IF($Y1315="",0,$Y1315)</f>
        <v/>
      </c>
    </row>
    <row r="1316">
      <c r="W1316" s="31">
        <f>IF(OR($B$5="",$C$6="",ROW()&lt;$B$5),"",IF(INDEX($A:$U,ROW(),$C$6)="","",INDEX($A:$U,ROW(),$C$6)))</f>
        <v/>
      </c>
      <c r="X1316" s="32">
        <f>IF($W1316="","",IF(ISNUMBER($W1316),IF($W1316&gt;=10000000,IFERROR(DATE(INT($W1316/10000),MOD(INT($W1316/100),100),MOD($W1316,100)),""),INT($W1316)),IFERROR(DATE(--LEFT(LEFT(SUBSTITUTE(SUBSTITUTE(SUBSTITUTE(SUBSTITUTE(TRIM($W1316),"-",""),".",""),"/","")," ",""),8),4),--MID(LEFT(SUBSTITUTE(SUBSTITUTE(SUBSTITUTE(SUBSTITUTE(TRIM($W1316),"-",""),".",""),"/","")," ",""),8),5,2),--MID(LEFT(SUBSTITUTE(SUBSTITUTE(SUBSTITUTE(SUBSTITUTE(TRIM($W1316),"-",""),".",""),"/","")," ",""),8),7,2)),"")))</f>
        <v/>
      </c>
      <c r="Y1316" s="32">
        <f>IF($X1316="","",INT($X1316))</f>
        <v/>
      </c>
      <c r="Z1316" s="33">
        <f>IF(OR($Y1316="",$D$6=""),"",IF(INDEX($A:$U,ROW(),$D$6)="",0,IF(ISNUMBER(INDEX($A:$U,ROW(),$D$6)),INDEX($A:$U,ROW(),$D$6),IFERROR(--SUBSTITUTE(SUBSTITUTE(TRIM(INDEX($A:$U,ROW(),$D$6)),",",""),"원",""),0))))</f>
        <v/>
      </c>
      <c r="AA1316" s="31">
        <f>IF($Y1316="","",TRIM(INDEX($A:$U,ROW(),$E$6)&amp;IF($F$6="",""," "&amp;INDEX($A:$U,ROW(),$F$6))))</f>
        <v/>
      </c>
      <c r="AB1316" s="31">
        <f>IF($AA1316="","",SUBSTITUTE(SUBSTITUTE(SUBSTITUTE(SUBSTITUTE(SUBSTITUTE(SUBSTITUTE(SUBSTITUTE(SUBSTITUTE(SUBSTITUTE($AA1316," ",""),"　",""),"(주)",""),"（주）",""),"㈜",""),"주식회사",""),"(유)",""),"（유）",""),"유한회사",""))</f>
        <v/>
      </c>
      <c r="AC1316" s="31">
        <f>IF(OR($Y1316="",N($Z1316)&lt;=0,$AB1316=""),0,IFERROR(LOOKUP(2,1/((거래처별!$AC$8:$AC$307&lt;&gt;"")*ISNUMBER(SEARCH(거래처별!$AC$8:$AC$307,$AB1316))),거래처별!$A$8:$A$307),IFERROR(LOOKUP(2,1/((거래처별!$AD$8:$AD$307&lt;&gt;"")*ISNUMBER(SEARCH(거래처별!$AD$8:$AD$307,$AB1316))),거래처별!$A$8:$A$307),IFERROR(LOOKUP(2,1/((거래처별!$AE$8:$AE$307&lt;&gt;"")*ISNUMBER(SEARCH(거래처별!$AE$8:$AE$307,$AB1316))),거래처별!$A$8:$A$307),0))))</f>
        <v/>
      </c>
      <c r="AD1316" s="31">
        <f>IF(AND($Y1316&lt;&gt;"",N($Z1316)&gt;0,$AC1316=0),MAX($AD$7:$AD1315)+1,"")</f>
        <v/>
      </c>
      <c r="AE1316" s="31">
        <f>IF($Y1316="",0,$Y1316)</f>
        <v/>
      </c>
    </row>
    <row r="1317">
      <c r="W1317" s="31">
        <f>IF(OR($B$5="",$C$6="",ROW()&lt;$B$5),"",IF(INDEX($A:$U,ROW(),$C$6)="","",INDEX($A:$U,ROW(),$C$6)))</f>
        <v/>
      </c>
      <c r="X1317" s="32">
        <f>IF($W1317="","",IF(ISNUMBER($W1317),IF($W1317&gt;=10000000,IFERROR(DATE(INT($W1317/10000),MOD(INT($W1317/100),100),MOD($W1317,100)),""),INT($W1317)),IFERROR(DATE(--LEFT(LEFT(SUBSTITUTE(SUBSTITUTE(SUBSTITUTE(SUBSTITUTE(TRIM($W1317),"-",""),".",""),"/","")," ",""),8),4),--MID(LEFT(SUBSTITUTE(SUBSTITUTE(SUBSTITUTE(SUBSTITUTE(TRIM($W1317),"-",""),".",""),"/","")," ",""),8),5,2),--MID(LEFT(SUBSTITUTE(SUBSTITUTE(SUBSTITUTE(SUBSTITUTE(TRIM($W1317),"-",""),".",""),"/","")," ",""),8),7,2)),"")))</f>
        <v/>
      </c>
      <c r="Y1317" s="32">
        <f>IF($X1317="","",INT($X1317))</f>
        <v/>
      </c>
      <c r="Z1317" s="33">
        <f>IF(OR($Y1317="",$D$6=""),"",IF(INDEX($A:$U,ROW(),$D$6)="",0,IF(ISNUMBER(INDEX($A:$U,ROW(),$D$6)),INDEX($A:$U,ROW(),$D$6),IFERROR(--SUBSTITUTE(SUBSTITUTE(TRIM(INDEX($A:$U,ROW(),$D$6)),",",""),"원",""),0))))</f>
        <v/>
      </c>
      <c r="AA1317" s="31">
        <f>IF($Y1317="","",TRIM(INDEX($A:$U,ROW(),$E$6)&amp;IF($F$6="",""," "&amp;INDEX($A:$U,ROW(),$F$6))))</f>
        <v/>
      </c>
      <c r="AB1317" s="31">
        <f>IF($AA1317="","",SUBSTITUTE(SUBSTITUTE(SUBSTITUTE(SUBSTITUTE(SUBSTITUTE(SUBSTITUTE(SUBSTITUTE(SUBSTITUTE(SUBSTITUTE($AA1317," ",""),"　",""),"(주)",""),"（주）",""),"㈜",""),"주식회사",""),"(유)",""),"（유）",""),"유한회사",""))</f>
        <v/>
      </c>
      <c r="AC1317" s="31">
        <f>IF(OR($Y1317="",N($Z1317)&lt;=0,$AB1317=""),0,IFERROR(LOOKUP(2,1/((거래처별!$AC$8:$AC$307&lt;&gt;"")*ISNUMBER(SEARCH(거래처별!$AC$8:$AC$307,$AB1317))),거래처별!$A$8:$A$307),IFERROR(LOOKUP(2,1/((거래처별!$AD$8:$AD$307&lt;&gt;"")*ISNUMBER(SEARCH(거래처별!$AD$8:$AD$307,$AB1317))),거래처별!$A$8:$A$307),IFERROR(LOOKUP(2,1/((거래처별!$AE$8:$AE$307&lt;&gt;"")*ISNUMBER(SEARCH(거래처별!$AE$8:$AE$307,$AB1317))),거래처별!$A$8:$A$307),0))))</f>
        <v/>
      </c>
      <c r="AD1317" s="31">
        <f>IF(AND($Y1317&lt;&gt;"",N($Z1317)&gt;0,$AC1317=0),MAX($AD$7:$AD1316)+1,"")</f>
        <v/>
      </c>
      <c r="AE1317" s="31">
        <f>IF($Y1317="",0,$Y1317)</f>
        <v/>
      </c>
    </row>
    <row r="1318">
      <c r="W1318" s="31">
        <f>IF(OR($B$5="",$C$6="",ROW()&lt;$B$5),"",IF(INDEX($A:$U,ROW(),$C$6)="","",INDEX($A:$U,ROW(),$C$6)))</f>
        <v/>
      </c>
      <c r="X1318" s="32">
        <f>IF($W1318="","",IF(ISNUMBER($W1318),IF($W1318&gt;=10000000,IFERROR(DATE(INT($W1318/10000),MOD(INT($W1318/100),100),MOD($W1318,100)),""),INT($W1318)),IFERROR(DATE(--LEFT(LEFT(SUBSTITUTE(SUBSTITUTE(SUBSTITUTE(SUBSTITUTE(TRIM($W1318),"-",""),".",""),"/","")," ",""),8),4),--MID(LEFT(SUBSTITUTE(SUBSTITUTE(SUBSTITUTE(SUBSTITUTE(TRIM($W1318),"-",""),".",""),"/","")," ",""),8),5,2),--MID(LEFT(SUBSTITUTE(SUBSTITUTE(SUBSTITUTE(SUBSTITUTE(TRIM($W1318),"-",""),".",""),"/","")," ",""),8),7,2)),"")))</f>
        <v/>
      </c>
      <c r="Y1318" s="32">
        <f>IF($X1318="","",INT($X1318))</f>
        <v/>
      </c>
      <c r="Z1318" s="33">
        <f>IF(OR($Y1318="",$D$6=""),"",IF(INDEX($A:$U,ROW(),$D$6)="",0,IF(ISNUMBER(INDEX($A:$U,ROW(),$D$6)),INDEX($A:$U,ROW(),$D$6),IFERROR(--SUBSTITUTE(SUBSTITUTE(TRIM(INDEX($A:$U,ROW(),$D$6)),",",""),"원",""),0))))</f>
        <v/>
      </c>
      <c r="AA1318" s="31">
        <f>IF($Y1318="","",TRIM(INDEX($A:$U,ROW(),$E$6)&amp;IF($F$6="",""," "&amp;INDEX($A:$U,ROW(),$F$6))))</f>
        <v/>
      </c>
      <c r="AB1318" s="31">
        <f>IF($AA1318="","",SUBSTITUTE(SUBSTITUTE(SUBSTITUTE(SUBSTITUTE(SUBSTITUTE(SUBSTITUTE(SUBSTITUTE(SUBSTITUTE(SUBSTITUTE($AA1318," ",""),"　",""),"(주)",""),"（주）",""),"㈜",""),"주식회사",""),"(유)",""),"（유）",""),"유한회사",""))</f>
        <v/>
      </c>
      <c r="AC1318" s="31">
        <f>IF(OR($Y1318="",N($Z1318)&lt;=0,$AB1318=""),0,IFERROR(LOOKUP(2,1/((거래처별!$AC$8:$AC$307&lt;&gt;"")*ISNUMBER(SEARCH(거래처별!$AC$8:$AC$307,$AB1318))),거래처별!$A$8:$A$307),IFERROR(LOOKUP(2,1/((거래처별!$AD$8:$AD$307&lt;&gt;"")*ISNUMBER(SEARCH(거래처별!$AD$8:$AD$307,$AB1318))),거래처별!$A$8:$A$307),IFERROR(LOOKUP(2,1/((거래처별!$AE$8:$AE$307&lt;&gt;"")*ISNUMBER(SEARCH(거래처별!$AE$8:$AE$307,$AB1318))),거래처별!$A$8:$A$307),0))))</f>
        <v/>
      </c>
      <c r="AD1318" s="31">
        <f>IF(AND($Y1318&lt;&gt;"",N($Z1318)&gt;0,$AC1318=0),MAX($AD$7:$AD1317)+1,"")</f>
        <v/>
      </c>
      <c r="AE1318" s="31">
        <f>IF($Y1318="",0,$Y1318)</f>
        <v/>
      </c>
    </row>
    <row r="1319">
      <c r="W1319" s="31">
        <f>IF(OR($B$5="",$C$6="",ROW()&lt;$B$5),"",IF(INDEX($A:$U,ROW(),$C$6)="","",INDEX($A:$U,ROW(),$C$6)))</f>
        <v/>
      </c>
      <c r="X1319" s="32">
        <f>IF($W1319="","",IF(ISNUMBER($W1319),IF($W1319&gt;=10000000,IFERROR(DATE(INT($W1319/10000),MOD(INT($W1319/100),100),MOD($W1319,100)),""),INT($W1319)),IFERROR(DATE(--LEFT(LEFT(SUBSTITUTE(SUBSTITUTE(SUBSTITUTE(SUBSTITUTE(TRIM($W1319),"-",""),".",""),"/","")," ",""),8),4),--MID(LEFT(SUBSTITUTE(SUBSTITUTE(SUBSTITUTE(SUBSTITUTE(TRIM($W1319),"-",""),".",""),"/","")," ",""),8),5,2),--MID(LEFT(SUBSTITUTE(SUBSTITUTE(SUBSTITUTE(SUBSTITUTE(TRIM($W1319),"-",""),".",""),"/","")," ",""),8),7,2)),"")))</f>
        <v/>
      </c>
      <c r="Y1319" s="32">
        <f>IF($X1319="","",INT($X1319))</f>
        <v/>
      </c>
      <c r="Z1319" s="33">
        <f>IF(OR($Y1319="",$D$6=""),"",IF(INDEX($A:$U,ROW(),$D$6)="",0,IF(ISNUMBER(INDEX($A:$U,ROW(),$D$6)),INDEX($A:$U,ROW(),$D$6),IFERROR(--SUBSTITUTE(SUBSTITUTE(TRIM(INDEX($A:$U,ROW(),$D$6)),",",""),"원",""),0))))</f>
        <v/>
      </c>
      <c r="AA1319" s="31">
        <f>IF($Y1319="","",TRIM(INDEX($A:$U,ROW(),$E$6)&amp;IF($F$6="",""," "&amp;INDEX($A:$U,ROW(),$F$6))))</f>
        <v/>
      </c>
      <c r="AB1319" s="31">
        <f>IF($AA1319="","",SUBSTITUTE(SUBSTITUTE(SUBSTITUTE(SUBSTITUTE(SUBSTITUTE(SUBSTITUTE(SUBSTITUTE(SUBSTITUTE(SUBSTITUTE($AA1319," ",""),"　",""),"(주)",""),"（주）",""),"㈜",""),"주식회사",""),"(유)",""),"（유）",""),"유한회사",""))</f>
        <v/>
      </c>
      <c r="AC1319" s="31">
        <f>IF(OR($Y1319="",N($Z1319)&lt;=0,$AB1319=""),0,IFERROR(LOOKUP(2,1/((거래처별!$AC$8:$AC$307&lt;&gt;"")*ISNUMBER(SEARCH(거래처별!$AC$8:$AC$307,$AB1319))),거래처별!$A$8:$A$307),IFERROR(LOOKUP(2,1/((거래처별!$AD$8:$AD$307&lt;&gt;"")*ISNUMBER(SEARCH(거래처별!$AD$8:$AD$307,$AB1319))),거래처별!$A$8:$A$307),IFERROR(LOOKUP(2,1/((거래처별!$AE$8:$AE$307&lt;&gt;"")*ISNUMBER(SEARCH(거래처별!$AE$8:$AE$307,$AB1319))),거래처별!$A$8:$A$307),0))))</f>
        <v/>
      </c>
      <c r="AD1319" s="31">
        <f>IF(AND($Y1319&lt;&gt;"",N($Z1319)&gt;0,$AC1319=0),MAX($AD$7:$AD1318)+1,"")</f>
        <v/>
      </c>
      <c r="AE1319" s="31">
        <f>IF($Y1319="",0,$Y1319)</f>
        <v/>
      </c>
    </row>
    <row r="1320">
      <c r="W1320" s="31">
        <f>IF(OR($B$5="",$C$6="",ROW()&lt;$B$5),"",IF(INDEX($A:$U,ROW(),$C$6)="","",INDEX($A:$U,ROW(),$C$6)))</f>
        <v/>
      </c>
      <c r="X1320" s="32">
        <f>IF($W1320="","",IF(ISNUMBER($W1320),IF($W1320&gt;=10000000,IFERROR(DATE(INT($W1320/10000),MOD(INT($W1320/100),100),MOD($W1320,100)),""),INT($W1320)),IFERROR(DATE(--LEFT(LEFT(SUBSTITUTE(SUBSTITUTE(SUBSTITUTE(SUBSTITUTE(TRIM($W1320),"-",""),".",""),"/","")," ",""),8),4),--MID(LEFT(SUBSTITUTE(SUBSTITUTE(SUBSTITUTE(SUBSTITUTE(TRIM($W1320),"-",""),".",""),"/","")," ",""),8),5,2),--MID(LEFT(SUBSTITUTE(SUBSTITUTE(SUBSTITUTE(SUBSTITUTE(TRIM($W1320),"-",""),".",""),"/","")," ",""),8),7,2)),"")))</f>
        <v/>
      </c>
      <c r="Y1320" s="32">
        <f>IF($X1320="","",INT($X1320))</f>
        <v/>
      </c>
      <c r="Z1320" s="33">
        <f>IF(OR($Y1320="",$D$6=""),"",IF(INDEX($A:$U,ROW(),$D$6)="",0,IF(ISNUMBER(INDEX($A:$U,ROW(),$D$6)),INDEX($A:$U,ROW(),$D$6),IFERROR(--SUBSTITUTE(SUBSTITUTE(TRIM(INDEX($A:$U,ROW(),$D$6)),",",""),"원",""),0))))</f>
        <v/>
      </c>
      <c r="AA1320" s="31">
        <f>IF($Y1320="","",TRIM(INDEX($A:$U,ROW(),$E$6)&amp;IF($F$6="",""," "&amp;INDEX($A:$U,ROW(),$F$6))))</f>
        <v/>
      </c>
      <c r="AB1320" s="31">
        <f>IF($AA1320="","",SUBSTITUTE(SUBSTITUTE(SUBSTITUTE(SUBSTITUTE(SUBSTITUTE(SUBSTITUTE(SUBSTITUTE(SUBSTITUTE(SUBSTITUTE($AA1320," ",""),"　",""),"(주)",""),"（주）",""),"㈜",""),"주식회사",""),"(유)",""),"（유）",""),"유한회사",""))</f>
        <v/>
      </c>
      <c r="AC1320" s="31">
        <f>IF(OR($Y1320="",N($Z1320)&lt;=0,$AB1320=""),0,IFERROR(LOOKUP(2,1/((거래처별!$AC$8:$AC$307&lt;&gt;"")*ISNUMBER(SEARCH(거래처별!$AC$8:$AC$307,$AB1320))),거래처별!$A$8:$A$307),IFERROR(LOOKUP(2,1/((거래처별!$AD$8:$AD$307&lt;&gt;"")*ISNUMBER(SEARCH(거래처별!$AD$8:$AD$307,$AB1320))),거래처별!$A$8:$A$307),IFERROR(LOOKUP(2,1/((거래처별!$AE$8:$AE$307&lt;&gt;"")*ISNUMBER(SEARCH(거래처별!$AE$8:$AE$307,$AB1320))),거래처별!$A$8:$A$307),0))))</f>
        <v/>
      </c>
      <c r="AD1320" s="31">
        <f>IF(AND($Y1320&lt;&gt;"",N($Z1320)&gt;0,$AC1320=0),MAX($AD$7:$AD1319)+1,"")</f>
        <v/>
      </c>
      <c r="AE1320" s="31">
        <f>IF($Y1320="",0,$Y1320)</f>
        <v/>
      </c>
    </row>
    <row r="1321">
      <c r="W1321" s="31">
        <f>IF(OR($B$5="",$C$6="",ROW()&lt;$B$5),"",IF(INDEX($A:$U,ROW(),$C$6)="","",INDEX($A:$U,ROW(),$C$6)))</f>
        <v/>
      </c>
      <c r="X1321" s="32">
        <f>IF($W1321="","",IF(ISNUMBER($W1321),IF($W1321&gt;=10000000,IFERROR(DATE(INT($W1321/10000),MOD(INT($W1321/100),100),MOD($W1321,100)),""),INT($W1321)),IFERROR(DATE(--LEFT(LEFT(SUBSTITUTE(SUBSTITUTE(SUBSTITUTE(SUBSTITUTE(TRIM($W1321),"-",""),".",""),"/","")," ",""),8),4),--MID(LEFT(SUBSTITUTE(SUBSTITUTE(SUBSTITUTE(SUBSTITUTE(TRIM($W1321),"-",""),".",""),"/","")," ",""),8),5,2),--MID(LEFT(SUBSTITUTE(SUBSTITUTE(SUBSTITUTE(SUBSTITUTE(TRIM($W1321),"-",""),".",""),"/","")," ",""),8),7,2)),"")))</f>
        <v/>
      </c>
      <c r="Y1321" s="32">
        <f>IF($X1321="","",INT($X1321))</f>
        <v/>
      </c>
      <c r="Z1321" s="33">
        <f>IF(OR($Y1321="",$D$6=""),"",IF(INDEX($A:$U,ROW(),$D$6)="",0,IF(ISNUMBER(INDEX($A:$U,ROW(),$D$6)),INDEX($A:$U,ROW(),$D$6),IFERROR(--SUBSTITUTE(SUBSTITUTE(TRIM(INDEX($A:$U,ROW(),$D$6)),",",""),"원",""),0))))</f>
        <v/>
      </c>
      <c r="AA1321" s="31">
        <f>IF($Y1321="","",TRIM(INDEX($A:$U,ROW(),$E$6)&amp;IF($F$6="",""," "&amp;INDEX($A:$U,ROW(),$F$6))))</f>
        <v/>
      </c>
      <c r="AB1321" s="31">
        <f>IF($AA1321="","",SUBSTITUTE(SUBSTITUTE(SUBSTITUTE(SUBSTITUTE(SUBSTITUTE(SUBSTITUTE(SUBSTITUTE(SUBSTITUTE(SUBSTITUTE($AA1321," ",""),"　",""),"(주)",""),"（주）",""),"㈜",""),"주식회사",""),"(유)",""),"（유）",""),"유한회사",""))</f>
        <v/>
      </c>
      <c r="AC1321" s="31">
        <f>IF(OR($Y1321="",N($Z1321)&lt;=0,$AB1321=""),0,IFERROR(LOOKUP(2,1/((거래처별!$AC$8:$AC$307&lt;&gt;"")*ISNUMBER(SEARCH(거래처별!$AC$8:$AC$307,$AB1321))),거래처별!$A$8:$A$307),IFERROR(LOOKUP(2,1/((거래처별!$AD$8:$AD$307&lt;&gt;"")*ISNUMBER(SEARCH(거래처별!$AD$8:$AD$307,$AB1321))),거래처별!$A$8:$A$307),IFERROR(LOOKUP(2,1/((거래처별!$AE$8:$AE$307&lt;&gt;"")*ISNUMBER(SEARCH(거래처별!$AE$8:$AE$307,$AB1321))),거래처별!$A$8:$A$307),0))))</f>
        <v/>
      </c>
      <c r="AD1321" s="31">
        <f>IF(AND($Y1321&lt;&gt;"",N($Z1321)&gt;0,$AC1321=0),MAX($AD$7:$AD1320)+1,"")</f>
        <v/>
      </c>
      <c r="AE1321" s="31">
        <f>IF($Y1321="",0,$Y1321)</f>
        <v/>
      </c>
    </row>
    <row r="1322">
      <c r="W1322" s="31">
        <f>IF(OR($B$5="",$C$6="",ROW()&lt;$B$5),"",IF(INDEX($A:$U,ROW(),$C$6)="","",INDEX($A:$U,ROW(),$C$6)))</f>
        <v/>
      </c>
      <c r="X1322" s="32">
        <f>IF($W1322="","",IF(ISNUMBER($W1322),IF($W1322&gt;=10000000,IFERROR(DATE(INT($W1322/10000),MOD(INT($W1322/100),100),MOD($W1322,100)),""),INT($W1322)),IFERROR(DATE(--LEFT(LEFT(SUBSTITUTE(SUBSTITUTE(SUBSTITUTE(SUBSTITUTE(TRIM($W1322),"-",""),".",""),"/","")," ",""),8),4),--MID(LEFT(SUBSTITUTE(SUBSTITUTE(SUBSTITUTE(SUBSTITUTE(TRIM($W1322),"-",""),".",""),"/","")," ",""),8),5,2),--MID(LEFT(SUBSTITUTE(SUBSTITUTE(SUBSTITUTE(SUBSTITUTE(TRIM($W1322),"-",""),".",""),"/","")," ",""),8),7,2)),"")))</f>
        <v/>
      </c>
      <c r="Y1322" s="32">
        <f>IF($X1322="","",INT($X1322))</f>
        <v/>
      </c>
      <c r="Z1322" s="33">
        <f>IF(OR($Y1322="",$D$6=""),"",IF(INDEX($A:$U,ROW(),$D$6)="",0,IF(ISNUMBER(INDEX($A:$U,ROW(),$D$6)),INDEX($A:$U,ROW(),$D$6),IFERROR(--SUBSTITUTE(SUBSTITUTE(TRIM(INDEX($A:$U,ROW(),$D$6)),",",""),"원",""),0))))</f>
        <v/>
      </c>
      <c r="AA1322" s="31">
        <f>IF($Y1322="","",TRIM(INDEX($A:$U,ROW(),$E$6)&amp;IF($F$6="",""," "&amp;INDEX($A:$U,ROW(),$F$6))))</f>
        <v/>
      </c>
      <c r="AB1322" s="31">
        <f>IF($AA1322="","",SUBSTITUTE(SUBSTITUTE(SUBSTITUTE(SUBSTITUTE(SUBSTITUTE(SUBSTITUTE(SUBSTITUTE(SUBSTITUTE(SUBSTITUTE($AA1322," ",""),"　",""),"(주)",""),"（주）",""),"㈜",""),"주식회사",""),"(유)",""),"（유）",""),"유한회사",""))</f>
        <v/>
      </c>
      <c r="AC1322" s="31">
        <f>IF(OR($Y1322="",N($Z1322)&lt;=0,$AB1322=""),0,IFERROR(LOOKUP(2,1/((거래처별!$AC$8:$AC$307&lt;&gt;"")*ISNUMBER(SEARCH(거래처별!$AC$8:$AC$307,$AB1322))),거래처별!$A$8:$A$307),IFERROR(LOOKUP(2,1/((거래처별!$AD$8:$AD$307&lt;&gt;"")*ISNUMBER(SEARCH(거래처별!$AD$8:$AD$307,$AB1322))),거래처별!$A$8:$A$307),IFERROR(LOOKUP(2,1/((거래처별!$AE$8:$AE$307&lt;&gt;"")*ISNUMBER(SEARCH(거래처별!$AE$8:$AE$307,$AB1322))),거래처별!$A$8:$A$307),0))))</f>
        <v/>
      </c>
      <c r="AD1322" s="31">
        <f>IF(AND($Y1322&lt;&gt;"",N($Z1322)&gt;0,$AC1322=0),MAX($AD$7:$AD1321)+1,"")</f>
        <v/>
      </c>
      <c r="AE1322" s="31">
        <f>IF($Y1322="",0,$Y1322)</f>
        <v/>
      </c>
    </row>
    <row r="1323">
      <c r="W1323" s="31">
        <f>IF(OR($B$5="",$C$6="",ROW()&lt;$B$5),"",IF(INDEX($A:$U,ROW(),$C$6)="","",INDEX($A:$U,ROW(),$C$6)))</f>
        <v/>
      </c>
      <c r="X1323" s="32">
        <f>IF($W1323="","",IF(ISNUMBER($W1323),IF($W1323&gt;=10000000,IFERROR(DATE(INT($W1323/10000),MOD(INT($W1323/100),100),MOD($W1323,100)),""),INT($W1323)),IFERROR(DATE(--LEFT(LEFT(SUBSTITUTE(SUBSTITUTE(SUBSTITUTE(SUBSTITUTE(TRIM($W1323),"-",""),".",""),"/","")," ",""),8),4),--MID(LEFT(SUBSTITUTE(SUBSTITUTE(SUBSTITUTE(SUBSTITUTE(TRIM($W1323),"-",""),".",""),"/","")," ",""),8),5,2),--MID(LEFT(SUBSTITUTE(SUBSTITUTE(SUBSTITUTE(SUBSTITUTE(TRIM($W1323),"-",""),".",""),"/","")," ",""),8),7,2)),"")))</f>
        <v/>
      </c>
      <c r="Y1323" s="32">
        <f>IF($X1323="","",INT($X1323))</f>
        <v/>
      </c>
      <c r="Z1323" s="33">
        <f>IF(OR($Y1323="",$D$6=""),"",IF(INDEX($A:$U,ROW(),$D$6)="",0,IF(ISNUMBER(INDEX($A:$U,ROW(),$D$6)),INDEX($A:$U,ROW(),$D$6),IFERROR(--SUBSTITUTE(SUBSTITUTE(TRIM(INDEX($A:$U,ROW(),$D$6)),",",""),"원",""),0))))</f>
        <v/>
      </c>
      <c r="AA1323" s="31">
        <f>IF($Y1323="","",TRIM(INDEX($A:$U,ROW(),$E$6)&amp;IF($F$6="",""," "&amp;INDEX($A:$U,ROW(),$F$6))))</f>
        <v/>
      </c>
      <c r="AB1323" s="31">
        <f>IF($AA1323="","",SUBSTITUTE(SUBSTITUTE(SUBSTITUTE(SUBSTITUTE(SUBSTITUTE(SUBSTITUTE(SUBSTITUTE(SUBSTITUTE(SUBSTITUTE($AA1323," ",""),"　",""),"(주)",""),"（주）",""),"㈜",""),"주식회사",""),"(유)",""),"（유）",""),"유한회사",""))</f>
        <v/>
      </c>
      <c r="AC1323" s="31">
        <f>IF(OR($Y1323="",N($Z1323)&lt;=0,$AB1323=""),0,IFERROR(LOOKUP(2,1/((거래처별!$AC$8:$AC$307&lt;&gt;"")*ISNUMBER(SEARCH(거래처별!$AC$8:$AC$307,$AB1323))),거래처별!$A$8:$A$307),IFERROR(LOOKUP(2,1/((거래처별!$AD$8:$AD$307&lt;&gt;"")*ISNUMBER(SEARCH(거래처별!$AD$8:$AD$307,$AB1323))),거래처별!$A$8:$A$307),IFERROR(LOOKUP(2,1/((거래처별!$AE$8:$AE$307&lt;&gt;"")*ISNUMBER(SEARCH(거래처별!$AE$8:$AE$307,$AB1323))),거래처별!$A$8:$A$307),0))))</f>
        <v/>
      </c>
      <c r="AD1323" s="31">
        <f>IF(AND($Y1323&lt;&gt;"",N($Z1323)&gt;0,$AC1323=0),MAX($AD$7:$AD1322)+1,"")</f>
        <v/>
      </c>
      <c r="AE1323" s="31">
        <f>IF($Y1323="",0,$Y1323)</f>
        <v/>
      </c>
    </row>
    <row r="1324">
      <c r="W1324" s="31">
        <f>IF(OR($B$5="",$C$6="",ROW()&lt;$B$5),"",IF(INDEX($A:$U,ROW(),$C$6)="","",INDEX($A:$U,ROW(),$C$6)))</f>
        <v/>
      </c>
      <c r="X1324" s="32">
        <f>IF($W1324="","",IF(ISNUMBER($W1324),IF($W1324&gt;=10000000,IFERROR(DATE(INT($W1324/10000),MOD(INT($W1324/100),100),MOD($W1324,100)),""),INT($W1324)),IFERROR(DATE(--LEFT(LEFT(SUBSTITUTE(SUBSTITUTE(SUBSTITUTE(SUBSTITUTE(TRIM($W1324),"-",""),".",""),"/","")," ",""),8),4),--MID(LEFT(SUBSTITUTE(SUBSTITUTE(SUBSTITUTE(SUBSTITUTE(TRIM($W1324),"-",""),".",""),"/","")," ",""),8),5,2),--MID(LEFT(SUBSTITUTE(SUBSTITUTE(SUBSTITUTE(SUBSTITUTE(TRIM($W1324),"-",""),".",""),"/","")," ",""),8),7,2)),"")))</f>
        <v/>
      </c>
      <c r="Y1324" s="32">
        <f>IF($X1324="","",INT($X1324))</f>
        <v/>
      </c>
      <c r="Z1324" s="33">
        <f>IF(OR($Y1324="",$D$6=""),"",IF(INDEX($A:$U,ROW(),$D$6)="",0,IF(ISNUMBER(INDEX($A:$U,ROW(),$D$6)),INDEX($A:$U,ROW(),$D$6),IFERROR(--SUBSTITUTE(SUBSTITUTE(TRIM(INDEX($A:$U,ROW(),$D$6)),",",""),"원",""),0))))</f>
        <v/>
      </c>
      <c r="AA1324" s="31">
        <f>IF($Y1324="","",TRIM(INDEX($A:$U,ROW(),$E$6)&amp;IF($F$6="",""," "&amp;INDEX($A:$U,ROW(),$F$6))))</f>
        <v/>
      </c>
      <c r="AB1324" s="31">
        <f>IF($AA1324="","",SUBSTITUTE(SUBSTITUTE(SUBSTITUTE(SUBSTITUTE(SUBSTITUTE(SUBSTITUTE(SUBSTITUTE(SUBSTITUTE(SUBSTITUTE($AA1324," ",""),"　",""),"(주)",""),"（주）",""),"㈜",""),"주식회사",""),"(유)",""),"（유）",""),"유한회사",""))</f>
        <v/>
      </c>
      <c r="AC1324" s="31">
        <f>IF(OR($Y1324="",N($Z1324)&lt;=0,$AB1324=""),0,IFERROR(LOOKUP(2,1/((거래처별!$AC$8:$AC$307&lt;&gt;"")*ISNUMBER(SEARCH(거래처별!$AC$8:$AC$307,$AB1324))),거래처별!$A$8:$A$307),IFERROR(LOOKUP(2,1/((거래처별!$AD$8:$AD$307&lt;&gt;"")*ISNUMBER(SEARCH(거래처별!$AD$8:$AD$307,$AB1324))),거래처별!$A$8:$A$307),IFERROR(LOOKUP(2,1/((거래처별!$AE$8:$AE$307&lt;&gt;"")*ISNUMBER(SEARCH(거래처별!$AE$8:$AE$307,$AB1324))),거래처별!$A$8:$A$307),0))))</f>
        <v/>
      </c>
      <c r="AD1324" s="31">
        <f>IF(AND($Y1324&lt;&gt;"",N($Z1324)&gt;0,$AC1324=0),MAX($AD$7:$AD1323)+1,"")</f>
        <v/>
      </c>
      <c r="AE1324" s="31">
        <f>IF($Y1324="",0,$Y1324)</f>
        <v/>
      </c>
    </row>
    <row r="1325">
      <c r="W1325" s="31">
        <f>IF(OR($B$5="",$C$6="",ROW()&lt;$B$5),"",IF(INDEX($A:$U,ROW(),$C$6)="","",INDEX($A:$U,ROW(),$C$6)))</f>
        <v/>
      </c>
      <c r="X1325" s="32">
        <f>IF($W1325="","",IF(ISNUMBER($W1325),IF($W1325&gt;=10000000,IFERROR(DATE(INT($W1325/10000),MOD(INT($W1325/100),100),MOD($W1325,100)),""),INT($W1325)),IFERROR(DATE(--LEFT(LEFT(SUBSTITUTE(SUBSTITUTE(SUBSTITUTE(SUBSTITUTE(TRIM($W1325),"-",""),".",""),"/","")," ",""),8),4),--MID(LEFT(SUBSTITUTE(SUBSTITUTE(SUBSTITUTE(SUBSTITUTE(TRIM($W1325),"-",""),".",""),"/","")," ",""),8),5,2),--MID(LEFT(SUBSTITUTE(SUBSTITUTE(SUBSTITUTE(SUBSTITUTE(TRIM($W1325),"-",""),".",""),"/","")," ",""),8),7,2)),"")))</f>
        <v/>
      </c>
      <c r="Y1325" s="32">
        <f>IF($X1325="","",INT($X1325))</f>
        <v/>
      </c>
      <c r="Z1325" s="33">
        <f>IF(OR($Y1325="",$D$6=""),"",IF(INDEX($A:$U,ROW(),$D$6)="",0,IF(ISNUMBER(INDEX($A:$U,ROW(),$D$6)),INDEX($A:$U,ROW(),$D$6),IFERROR(--SUBSTITUTE(SUBSTITUTE(TRIM(INDEX($A:$U,ROW(),$D$6)),",",""),"원",""),0))))</f>
        <v/>
      </c>
      <c r="AA1325" s="31">
        <f>IF($Y1325="","",TRIM(INDEX($A:$U,ROW(),$E$6)&amp;IF($F$6="",""," "&amp;INDEX($A:$U,ROW(),$F$6))))</f>
        <v/>
      </c>
      <c r="AB1325" s="31">
        <f>IF($AA1325="","",SUBSTITUTE(SUBSTITUTE(SUBSTITUTE(SUBSTITUTE(SUBSTITUTE(SUBSTITUTE(SUBSTITUTE(SUBSTITUTE(SUBSTITUTE($AA1325," ",""),"　",""),"(주)",""),"（주）",""),"㈜",""),"주식회사",""),"(유)",""),"（유）",""),"유한회사",""))</f>
        <v/>
      </c>
      <c r="AC1325" s="31">
        <f>IF(OR($Y1325="",N($Z1325)&lt;=0,$AB1325=""),0,IFERROR(LOOKUP(2,1/((거래처별!$AC$8:$AC$307&lt;&gt;"")*ISNUMBER(SEARCH(거래처별!$AC$8:$AC$307,$AB1325))),거래처별!$A$8:$A$307),IFERROR(LOOKUP(2,1/((거래처별!$AD$8:$AD$307&lt;&gt;"")*ISNUMBER(SEARCH(거래처별!$AD$8:$AD$307,$AB1325))),거래처별!$A$8:$A$307),IFERROR(LOOKUP(2,1/((거래처별!$AE$8:$AE$307&lt;&gt;"")*ISNUMBER(SEARCH(거래처별!$AE$8:$AE$307,$AB1325))),거래처별!$A$8:$A$307),0))))</f>
        <v/>
      </c>
      <c r="AD1325" s="31">
        <f>IF(AND($Y1325&lt;&gt;"",N($Z1325)&gt;0,$AC1325=0),MAX($AD$7:$AD1324)+1,"")</f>
        <v/>
      </c>
      <c r="AE1325" s="31">
        <f>IF($Y1325="",0,$Y1325)</f>
        <v/>
      </c>
    </row>
    <row r="1326">
      <c r="W1326" s="31">
        <f>IF(OR($B$5="",$C$6="",ROW()&lt;$B$5),"",IF(INDEX($A:$U,ROW(),$C$6)="","",INDEX($A:$U,ROW(),$C$6)))</f>
        <v/>
      </c>
      <c r="X1326" s="32">
        <f>IF($W1326="","",IF(ISNUMBER($W1326),IF($W1326&gt;=10000000,IFERROR(DATE(INT($W1326/10000),MOD(INT($W1326/100),100),MOD($W1326,100)),""),INT($W1326)),IFERROR(DATE(--LEFT(LEFT(SUBSTITUTE(SUBSTITUTE(SUBSTITUTE(SUBSTITUTE(TRIM($W1326),"-",""),".",""),"/","")," ",""),8),4),--MID(LEFT(SUBSTITUTE(SUBSTITUTE(SUBSTITUTE(SUBSTITUTE(TRIM($W1326),"-",""),".",""),"/","")," ",""),8),5,2),--MID(LEFT(SUBSTITUTE(SUBSTITUTE(SUBSTITUTE(SUBSTITUTE(TRIM($W1326),"-",""),".",""),"/","")," ",""),8),7,2)),"")))</f>
        <v/>
      </c>
      <c r="Y1326" s="32">
        <f>IF($X1326="","",INT($X1326))</f>
        <v/>
      </c>
      <c r="Z1326" s="33">
        <f>IF(OR($Y1326="",$D$6=""),"",IF(INDEX($A:$U,ROW(),$D$6)="",0,IF(ISNUMBER(INDEX($A:$U,ROW(),$D$6)),INDEX($A:$U,ROW(),$D$6),IFERROR(--SUBSTITUTE(SUBSTITUTE(TRIM(INDEX($A:$U,ROW(),$D$6)),",",""),"원",""),0))))</f>
        <v/>
      </c>
      <c r="AA1326" s="31">
        <f>IF($Y1326="","",TRIM(INDEX($A:$U,ROW(),$E$6)&amp;IF($F$6="",""," "&amp;INDEX($A:$U,ROW(),$F$6))))</f>
        <v/>
      </c>
      <c r="AB1326" s="31">
        <f>IF($AA1326="","",SUBSTITUTE(SUBSTITUTE(SUBSTITUTE(SUBSTITUTE(SUBSTITUTE(SUBSTITUTE(SUBSTITUTE(SUBSTITUTE(SUBSTITUTE($AA1326," ",""),"　",""),"(주)",""),"（주）",""),"㈜",""),"주식회사",""),"(유)",""),"（유）",""),"유한회사",""))</f>
        <v/>
      </c>
      <c r="AC1326" s="31">
        <f>IF(OR($Y1326="",N($Z1326)&lt;=0,$AB1326=""),0,IFERROR(LOOKUP(2,1/((거래처별!$AC$8:$AC$307&lt;&gt;"")*ISNUMBER(SEARCH(거래처별!$AC$8:$AC$307,$AB1326))),거래처별!$A$8:$A$307),IFERROR(LOOKUP(2,1/((거래처별!$AD$8:$AD$307&lt;&gt;"")*ISNUMBER(SEARCH(거래처별!$AD$8:$AD$307,$AB1326))),거래처별!$A$8:$A$307),IFERROR(LOOKUP(2,1/((거래처별!$AE$8:$AE$307&lt;&gt;"")*ISNUMBER(SEARCH(거래처별!$AE$8:$AE$307,$AB1326))),거래처별!$A$8:$A$307),0))))</f>
        <v/>
      </c>
      <c r="AD1326" s="31">
        <f>IF(AND($Y1326&lt;&gt;"",N($Z1326)&gt;0,$AC1326=0),MAX($AD$7:$AD1325)+1,"")</f>
        <v/>
      </c>
      <c r="AE1326" s="31">
        <f>IF($Y1326="",0,$Y1326)</f>
        <v/>
      </c>
    </row>
    <row r="1327">
      <c r="W1327" s="31">
        <f>IF(OR($B$5="",$C$6="",ROW()&lt;$B$5),"",IF(INDEX($A:$U,ROW(),$C$6)="","",INDEX($A:$U,ROW(),$C$6)))</f>
        <v/>
      </c>
      <c r="X1327" s="32">
        <f>IF($W1327="","",IF(ISNUMBER($W1327),IF($W1327&gt;=10000000,IFERROR(DATE(INT($W1327/10000),MOD(INT($W1327/100),100),MOD($W1327,100)),""),INT($W1327)),IFERROR(DATE(--LEFT(LEFT(SUBSTITUTE(SUBSTITUTE(SUBSTITUTE(SUBSTITUTE(TRIM($W1327),"-",""),".",""),"/","")," ",""),8),4),--MID(LEFT(SUBSTITUTE(SUBSTITUTE(SUBSTITUTE(SUBSTITUTE(TRIM($W1327),"-",""),".",""),"/","")," ",""),8),5,2),--MID(LEFT(SUBSTITUTE(SUBSTITUTE(SUBSTITUTE(SUBSTITUTE(TRIM($W1327),"-",""),".",""),"/","")," ",""),8),7,2)),"")))</f>
        <v/>
      </c>
      <c r="Y1327" s="32">
        <f>IF($X1327="","",INT($X1327))</f>
        <v/>
      </c>
      <c r="Z1327" s="33">
        <f>IF(OR($Y1327="",$D$6=""),"",IF(INDEX($A:$U,ROW(),$D$6)="",0,IF(ISNUMBER(INDEX($A:$U,ROW(),$D$6)),INDEX($A:$U,ROW(),$D$6),IFERROR(--SUBSTITUTE(SUBSTITUTE(TRIM(INDEX($A:$U,ROW(),$D$6)),",",""),"원",""),0))))</f>
        <v/>
      </c>
      <c r="AA1327" s="31">
        <f>IF($Y1327="","",TRIM(INDEX($A:$U,ROW(),$E$6)&amp;IF($F$6="",""," "&amp;INDEX($A:$U,ROW(),$F$6))))</f>
        <v/>
      </c>
      <c r="AB1327" s="31">
        <f>IF($AA1327="","",SUBSTITUTE(SUBSTITUTE(SUBSTITUTE(SUBSTITUTE(SUBSTITUTE(SUBSTITUTE(SUBSTITUTE(SUBSTITUTE(SUBSTITUTE($AA1327," ",""),"　",""),"(주)",""),"（주）",""),"㈜",""),"주식회사",""),"(유)",""),"（유）",""),"유한회사",""))</f>
        <v/>
      </c>
      <c r="AC1327" s="31">
        <f>IF(OR($Y1327="",N($Z1327)&lt;=0,$AB1327=""),0,IFERROR(LOOKUP(2,1/((거래처별!$AC$8:$AC$307&lt;&gt;"")*ISNUMBER(SEARCH(거래처별!$AC$8:$AC$307,$AB1327))),거래처별!$A$8:$A$307),IFERROR(LOOKUP(2,1/((거래처별!$AD$8:$AD$307&lt;&gt;"")*ISNUMBER(SEARCH(거래처별!$AD$8:$AD$307,$AB1327))),거래처별!$A$8:$A$307),IFERROR(LOOKUP(2,1/((거래처별!$AE$8:$AE$307&lt;&gt;"")*ISNUMBER(SEARCH(거래처별!$AE$8:$AE$307,$AB1327))),거래처별!$A$8:$A$307),0))))</f>
        <v/>
      </c>
      <c r="AD1327" s="31">
        <f>IF(AND($Y1327&lt;&gt;"",N($Z1327)&gt;0,$AC1327=0),MAX($AD$7:$AD1326)+1,"")</f>
        <v/>
      </c>
      <c r="AE1327" s="31">
        <f>IF($Y1327="",0,$Y1327)</f>
        <v/>
      </c>
    </row>
    <row r="1328">
      <c r="W1328" s="31">
        <f>IF(OR($B$5="",$C$6="",ROW()&lt;$B$5),"",IF(INDEX($A:$U,ROW(),$C$6)="","",INDEX($A:$U,ROW(),$C$6)))</f>
        <v/>
      </c>
      <c r="X1328" s="32">
        <f>IF($W1328="","",IF(ISNUMBER($W1328),IF($W1328&gt;=10000000,IFERROR(DATE(INT($W1328/10000),MOD(INT($W1328/100),100),MOD($W1328,100)),""),INT($W1328)),IFERROR(DATE(--LEFT(LEFT(SUBSTITUTE(SUBSTITUTE(SUBSTITUTE(SUBSTITUTE(TRIM($W1328),"-",""),".",""),"/","")," ",""),8),4),--MID(LEFT(SUBSTITUTE(SUBSTITUTE(SUBSTITUTE(SUBSTITUTE(TRIM($W1328),"-",""),".",""),"/","")," ",""),8),5,2),--MID(LEFT(SUBSTITUTE(SUBSTITUTE(SUBSTITUTE(SUBSTITUTE(TRIM($W1328),"-",""),".",""),"/","")," ",""),8),7,2)),"")))</f>
        <v/>
      </c>
      <c r="Y1328" s="32">
        <f>IF($X1328="","",INT($X1328))</f>
        <v/>
      </c>
      <c r="Z1328" s="33">
        <f>IF(OR($Y1328="",$D$6=""),"",IF(INDEX($A:$U,ROW(),$D$6)="",0,IF(ISNUMBER(INDEX($A:$U,ROW(),$D$6)),INDEX($A:$U,ROW(),$D$6),IFERROR(--SUBSTITUTE(SUBSTITUTE(TRIM(INDEX($A:$U,ROW(),$D$6)),",",""),"원",""),0))))</f>
        <v/>
      </c>
      <c r="AA1328" s="31">
        <f>IF($Y1328="","",TRIM(INDEX($A:$U,ROW(),$E$6)&amp;IF($F$6="",""," "&amp;INDEX($A:$U,ROW(),$F$6))))</f>
        <v/>
      </c>
      <c r="AB1328" s="31">
        <f>IF($AA1328="","",SUBSTITUTE(SUBSTITUTE(SUBSTITUTE(SUBSTITUTE(SUBSTITUTE(SUBSTITUTE(SUBSTITUTE(SUBSTITUTE(SUBSTITUTE($AA1328," ",""),"　",""),"(주)",""),"（주）",""),"㈜",""),"주식회사",""),"(유)",""),"（유）",""),"유한회사",""))</f>
        <v/>
      </c>
      <c r="AC1328" s="31">
        <f>IF(OR($Y1328="",N($Z1328)&lt;=0,$AB1328=""),0,IFERROR(LOOKUP(2,1/((거래처별!$AC$8:$AC$307&lt;&gt;"")*ISNUMBER(SEARCH(거래처별!$AC$8:$AC$307,$AB1328))),거래처별!$A$8:$A$307),IFERROR(LOOKUP(2,1/((거래처별!$AD$8:$AD$307&lt;&gt;"")*ISNUMBER(SEARCH(거래처별!$AD$8:$AD$307,$AB1328))),거래처별!$A$8:$A$307),IFERROR(LOOKUP(2,1/((거래처별!$AE$8:$AE$307&lt;&gt;"")*ISNUMBER(SEARCH(거래처별!$AE$8:$AE$307,$AB1328))),거래처별!$A$8:$A$307),0))))</f>
        <v/>
      </c>
      <c r="AD1328" s="31">
        <f>IF(AND($Y1328&lt;&gt;"",N($Z1328)&gt;0,$AC1328=0),MAX($AD$7:$AD1327)+1,"")</f>
        <v/>
      </c>
      <c r="AE1328" s="31">
        <f>IF($Y1328="",0,$Y1328)</f>
        <v/>
      </c>
    </row>
    <row r="1329">
      <c r="W1329" s="31">
        <f>IF(OR($B$5="",$C$6="",ROW()&lt;$B$5),"",IF(INDEX($A:$U,ROW(),$C$6)="","",INDEX($A:$U,ROW(),$C$6)))</f>
        <v/>
      </c>
      <c r="X1329" s="32">
        <f>IF($W1329="","",IF(ISNUMBER($W1329),IF($W1329&gt;=10000000,IFERROR(DATE(INT($W1329/10000),MOD(INT($W1329/100),100),MOD($W1329,100)),""),INT($W1329)),IFERROR(DATE(--LEFT(LEFT(SUBSTITUTE(SUBSTITUTE(SUBSTITUTE(SUBSTITUTE(TRIM($W1329),"-",""),".",""),"/","")," ",""),8),4),--MID(LEFT(SUBSTITUTE(SUBSTITUTE(SUBSTITUTE(SUBSTITUTE(TRIM($W1329),"-",""),".",""),"/","")," ",""),8),5,2),--MID(LEFT(SUBSTITUTE(SUBSTITUTE(SUBSTITUTE(SUBSTITUTE(TRIM($W1329),"-",""),".",""),"/","")," ",""),8),7,2)),"")))</f>
        <v/>
      </c>
      <c r="Y1329" s="32">
        <f>IF($X1329="","",INT($X1329))</f>
        <v/>
      </c>
      <c r="Z1329" s="33">
        <f>IF(OR($Y1329="",$D$6=""),"",IF(INDEX($A:$U,ROW(),$D$6)="",0,IF(ISNUMBER(INDEX($A:$U,ROW(),$D$6)),INDEX($A:$U,ROW(),$D$6),IFERROR(--SUBSTITUTE(SUBSTITUTE(TRIM(INDEX($A:$U,ROW(),$D$6)),",",""),"원",""),0))))</f>
        <v/>
      </c>
      <c r="AA1329" s="31">
        <f>IF($Y1329="","",TRIM(INDEX($A:$U,ROW(),$E$6)&amp;IF($F$6="",""," "&amp;INDEX($A:$U,ROW(),$F$6))))</f>
        <v/>
      </c>
      <c r="AB1329" s="31">
        <f>IF($AA1329="","",SUBSTITUTE(SUBSTITUTE(SUBSTITUTE(SUBSTITUTE(SUBSTITUTE(SUBSTITUTE(SUBSTITUTE(SUBSTITUTE(SUBSTITUTE($AA1329," ",""),"　",""),"(주)",""),"（주）",""),"㈜",""),"주식회사",""),"(유)",""),"（유）",""),"유한회사",""))</f>
        <v/>
      </c>
      <c r="AC1329" s="31">
        <f>IF(OR($Y1329="",N($Z1329)&lt;=0,$AB1329=""),0,IFERROR(LOOKUP(2,1/((거래처별!$AC$8:$AC$307&lt;&gt;"")*ISNUMBER(SEARCH(거래처별!$AC$8:$AC$307,$AB1329))),거래처별!$A$8:$A$307),IFERROR(LOOKUP(2,1/((거래처별!$AD$8:$AD$307&lt;&gt;"")*ISNUMBER(SEARCH(거래처별!$AD$8:$AD$307,$AB1329))),거래처별!$A$8:$A$307),IFERROR(LOOKUP(2,1/((거래처별!$AE$8:$AE$307&lt;&gt;"")*ISNUMBER(SEARCH(거래처별!$AE$8:$AE$307,$AB1329))),거래처별!$A$8:$A$307),0))))</f>
        <v/>
      </c>
      <c r="AD1329" s="31">
        <f>IF(AND($Y1329&lt;&gt;"",N($Z1329)&gt;0,$AC1329=0),MAX($AD$7:$AD1328)+1,"")</f>
        <v/>
      </c>
      <c r="AE1329" s="31">
        <f>IF($Y1329="",0,$Y1329)</f>
        <v/>
      </c>
    </row>
    <row r="1330">
      <c r="W1330" s="31">
        <f>IF(OR($B$5="",$C$6="",ROW()&lt;$B$5),"",IF(INDEX($A:$U,ROW(),$C$6)="","",INDEX($A:$U,ROW(),$C$6)))</f>
        <v/>
      </c>
      <c r="X1330" s="32">
        <f>IF($W1330="","",IF(ISNUMBER($W1330),IF($W1330&gt;=10000000,IFERROR(DATE(INT($W1330/10000),MOD(INT($W1330/100),100),MOD($W1330,100)),""),INT($W1330)),IFERROR(DATE(--LEFT(LEFT(SUBSTITUTE(SUBSTITUTE(SUBSTITUTE(SUBSTITUTE(TRIM($W1330),"-",""),".",""),"/","")," ",""),8),4),--MID(LEFT(SUBSTITUTE(SUBSTITUTE(SUBSTITUTE(SUBSTITUTE(TRIM($W1330),"-",""),".",""),"/","")," ",""),8),5,2),--MID(LEFT(SUBSTITUTE(SUBSTITUTE(SUBSTITUTE(SUBSTITUTE(TRIM($W1330),"-",""),".",""),"/","")," ",""),8),7,2)),"")))</f>
        <v/>
      </c>
      <c r="Y1330" s="32">
        <f>IF($X1330="","",INT($X1330))</f>
        <v/>
      </c>
      <c r="Z1330" s="33">
        <f>IF(OR($Y1330="",$D$6=""),"",IF(INDEX($A:$U,ROW(),$D$6)="",0,IF(ISNUMBER(INDEX($A:$U,ROW(),$D$6)),INDEX($A:$U,ROW(),$D$6),IFERROR(--SUBSTITUTE(SUBSTITUTE(TRIM(INDEX($A:$U,ROW(),$D$6)),",",""),"원",""),0))))</f>
        <v/>
      </c>
      <c r="AA1330" s="31">
        <f>IF($Y1330="","",TRIM(INDEX($A:$U,ROW(),$E$6)&amp;IF($F$6="",""," "&amp;INDEX($A:$U,ROW(),$F$6))))</f>
        <v/>
      </c>
      <c r="AB1330" s="31">
        <f>IF($AA1330="","",SUBSTITUTE(SUBSTITUTE(SUBSTITUTE(SUBSTITUTE(SUBSTITUTE(SUBSTITUTE(SUBSTITUTE(SUBSTITUTE(SUBSTITUTE($AA1330," ",""),"　",""),"(주)",""),"（주）",""),"㈜",""),"주식회사",""),"(유)",""),"（유）",""),"유한회사",""))</f>
        <v/>
      </c>
      <c r="AC1330" s="31">
        <f>IF(OR($Y1330="",N($Z1330)&lt;=0,$AB1330=""),0,IFERROR(LOOKUP(2,1/((거래처별!$AC$8:$AC$307&lt;&gt;"")*ISNUMBER(SEARCH(거래처별!$AC$8:$AC$307,$AB1330))),거래처별!$A$8:$A$307),IFERROR(LOOKUP(2,1/((거래처별!$AD$8:$AD$307&lt;&gt;"")*ISNUMBER(SEARCH(거래처별!$AD$8:$AD$307,$AB1330))),거래처별!$A$8:$A$307),IFERROR(LOOKUP(2,1/((거래처별!$AE$8:$AE$307&lt;&gt;"")*ISNUMBER(SEARCH(거래처별!$AE$8:$AE$307,$AB1330))),거래처별!$A$8:$A$307),0))))</f>
        <v/>
      </c>
      <c r="AD1330" s="31">
        <f>IF(AND($Y1330&lt;&gt;"",N($Z1330)&gt;0,$AC1330=0),MAX($AD$7:$AD1329)+1,"")</f>
        <v/>
      </c>
      <c r="AE1330" s="31">
        <f>IF($Y1330="",0,$Y1330)</f>
        <v/>
      </c>
    </row>
    <row r="1331">
      <c r="W1331" s="31">
        <f>IF(OR($B$5="",$C$6="",ROW()&lt;$B$5),"",IF(INDEX($A:$U,ROW(),$C$6)="","",INDEX($A:$U,ROW(),$C$6)))</f>
        <v/>
      </c>
      <c r="X1331" s="32">
        <f>IF($W1331="","",IF(ISNUMBER($W1331),IF($W1331&gt;=10000000,IFERROR(DATE(INT($W1331/10000),MOD(INT($W1331/100),100),MOD($W1331,100)),""),INT($W1331)),IFERROR(DATE(--LEFT(LEFT(SUBSTITUTE(SUBSTITUTE(SUBSTITUTE(SUBSTITUTE(TRIM($W1331),"-",""),".",""),"/","")," ",""),8),4),--MID(LEFT(SUBSTITUTE(SUBSTITUTE(SUBSTITUTE(SUBSTITUTE(TRIM($W1331),"-",""),".",""),"/","")," ",""),8),5,2),--MID(LEFT(SUBSTITUTE(SUBSTITUTE(SUBSTITUTE(SUBSTITUTE(TRIM($W1331),"-",""),".",""),"/","")," ",""),8),7,2)),"")))</f>
        <v/>
      </c>
      <c r="Y1331" s="32">
        <f>IF($X1331="","",INT($X1331))</f>
        <v/>
      </c>
      <c r="Z1331" s="33">
        <f>IF(OR($Y1331="",$D$6=""),"",IF(INDEX($A:$U,ROW(),$D$6)="",0,IF(ISNUMBER(INDEX($A:$U,ROW(),$D$6)),INDEX($A:$U,ROW(),$D$6),IFERROR(--SUBSTITUTE(SUBSTITUTE(TRIM(INDEX($A:$U,ROW(),$D$6)),",",""),"원",""),0))))</f>
        <v/>
      </c>
      <c r="AA1331" s="31">
        <f>IF($Y1331="","",TRIM(INDEX($A:$U,ROW(),$E$6)&amp;IF($F$6="",""," "&amp;INDEX($A:$U,ROW(),$F$6))))</f>
        <v/>
      </c>
      <c r="AB1331" s="31">
        <f>IF($AA1331="","",SUBSTITUTE(SUBSTITUTE(SUBSTITUTE(SUBSTITUTE(SUBSTITUTE(SUBSTITUTE(SUBSTITUTE(SUBSTITUTE(SUBSTITUTE($AA1331," ",""),"　",""),"(주)",""),"（주）",""),"㈜",""),"주식회사",""),"(유)",""),"（유）",""),"유한회사",""))</f>
        <v/>
      </c>
      <c r="AC1331" s="31">
        <f>IF(OR($Y1331="",N($Z1331)&lt;=0,$AB1331=""),0,IFERROR(LOOKUP(2,1/((거래처별!$AC$8:$AC$307&lt;&gt;"")*ISNUMBER(SEARCH(거래처별!$AC$8:$AC$307,$AB1331))),거래처별!$A$8:$A$307),IFERROR(LOOKUP(2,1/((거래처별!$AD$8:$AD$307&lt;&gt;"")*ISNUMBER(SEARCH(거래처별!$AD$8:$AD$307,$AB1331))),거래처별!$A$8:$A$307),IFERROR(LOOKUP(2,1/((거래처별!$AE$8:$AE$307&lt;&gt;"")*ISNUMBER(SEARCH(거래처별!$AE$8:$AE$307,$AB1331))),거래처별!$A$8:$A$307),0))))</f>
        <v/>
      </c>
      <c r="AD1331" s="31">
        <f>IF(AND($Y1331&lt;&gt;"",N($Z1331)&gt;0,$AC1331=0),MAX($AD$7:$AD1330)+1,"")</f>
        <v/>
      </c>
      <c r="AE1331" s="31">
        <f>IF($Y1331="",0,$Y1331)</f>
        <v/>
      </c>
    </row>
    <row r="1332">
      <c r="W1332" s="31">
        <f>IF(OR($B$5="",$C$6="",ROW()&lt;$B$5),"",IF(INDEX($A:$U,ROW(),$C$6)="","",INDEX($A:$U,ROW(),$C$6)))</f>
        <v/>
      </c>
      <c r="X1332" s="32">
        <f>IF($W1332="","",IF(ISNUMBER($W1332),IF($W1332&gt;=10000000,IFERROR(DATE(INT($W1332/10000),MOD(INT($W1332/100),100),MOD($W1332,100)),""),INT($W1332)),IFERROR(DATE(--LEFT(LEFT(SUBSTITUTE(SUBSTITUTE(SUBSTITUTE(SUBSTITUTE(TRIM($W1332),"-",""),".",""),"/","")," ",""),8),4),--MID(LEFT(SUBSTITUTE(SUBSTITUTE(SUBSTITUTE(SUBSTITUTE(TRIM($W1332),"-",""),".",""),"/","")," ",""),8),5,2),--MID(LEFT(SUBSTITUTE(SUBSTITUTE(SUBSTITUTE(SUBSTITUTE(TRIM($W1332),"-",""),".",""),"/","")," ",""),8),7,2)),"")))</f>
        <v/>
      </c>
      <c r="Y1332" s="32">
        <f>IF($X1332="","",INT($X1332))</f>
        <v/>
      </c>
      <c r="Z1332" s="33">
        <f>IF(OR($Y1332="",$D$6=""),"",IF(INDEX($A:$U,ROW(),$D$6)="",0,IF(ISNUMBER(INDEX($A:$U,ROW(),$D$6)),INDEX($A:$U,ROW(),$D$6),IFERROR(--SUBSTITUTE(SUBSTITUTE(TRIM(INDEX($A:$U,ROW(),$D$6)),",",""),"원",""),0))))</f>
        <v/>
      </c>
      <c r="AA1332" s="31">
        <f>IF($Y1332="","",TRIM(INDEX($A:$U,ROW(),$E$6)&amp;IF($F$6="",""," "&amp;INDEX($A:$U,ROW(),$F$6))))</f>
        <v/>
      </c>
      <c r="AB1332" s="31">
        <f>IF($AA1332="","",SUBSTITUTE(SUBSTITUTE(SUBSTITUTE(SUBSTITUTE(SUBSTITUTE(SUBSTITUTE(SUBSTITUTE(SUBSTITUTE(SUBSTITUTE($AA1332," ",""),"　",""),"(주)",""),"（주）",""),"㈜",""),"주식회사",""),"(유)",""),"（유）",""),"유한회사",""))</f>
        <v/>
      </c>
      <c r="AC1332" s="31">
        <f>IF(OR($Y1332="",N($Z1332)&lt;=0,$AB1332=""),0,IFERROR(LOOKUP(2,1/((거래처별!$AC$8:$AC$307&lt;&gt;"")*ISNUMBER(SEARCH(거래처별!$AC$8:$AC$307,$AB1332))),거래처별!$A$8:$A$307),IFERROR(LOOKUP(2,1/((거래처별!$AD$8:$AD$307&lt;&gt;"")*ISNUMBER(SEARCH(거래처별!$AD$8:$AD$307,$AB1332))),거래처별!$A$8:$A$307),IFERROR(LOOKUP(2,1/((거래처별!$AE$8:$AE$307&lt;&gt;"")*ISNUMBER(SEARCH(거래처별!$AE$8:$AE$307,$AB1332))),거래처별!$A$8:$A$307),0))))</f>
        <v/>
      </c>
      <c r="AD1332" s="31">
        <f>IF(AND($Y1332&lt;&gt;"",N($Z1332)&gt;0,$AC1332=0),MAX($AD$7:$AD1331)+1,"")</f>
        <v/>
      </c>
      <c r="AE1332" s="31">
        <f>IF($Y1332="",0,$Y1332)</f>
        <v/>
      </c>
    </row>
    <row r="1333">
      <c r="W1333" s="31">
        <f>IF(OR($B$5="",$C$6="",ROW()&lt;$B$5),"",IF(INDEX($A:$U,ROW(),$C$6)="","",INDEX($A:$U,ROW(),$C$6)))</f>
        <v/>
      </c>
      <c r="X1333" s="32">
        <f>IF($W1333="","",IF(ISNUMBER($W1333),IF($W1333&gt;=10000000,IFERROR(DATE(INT($W1333/10000),MOD(INT($W1333/100),100),MOD($W1333,100)),""),INT($W1333)),IFERROR(DATE(--LEFT(LEFT(SUBSTITUTE(SUBSTITUTE(SUBSTITUTE(SUBSTITUTE(TRIM($W1333),"-",""),".",""),"/","")," ",""),8),4),--MID(LEFT(SUBSTITUTE(SUBSTITUTE(SUBSTITUTE(SUBSTITUTE(TRIM($W1333),"-",""),".",""),"/","")," ",""),8),5,2),--MID(LEFT(SUBSTITUTE(SUBSTITUTE(SUBSTITUTE(SUBSTITUTE(TRIM($W1333),"-",""),".",""),"/","")," ",""),8),7,2)),"")))</f>
        <v/>
      </c>
      <c r="Y1333" s="32">
        <f>IF($X1333="","",INT($X1333))</f>
        <v/>
      </c>
      <c r="Z1333" s="33">
        <f>IF(OR($Y1333="",$D$6=""),"",IF(INDEX($A:$U,ROW(),$D$6)="",0,IF(ISNUMBER(INDEX($A:$U,ROW(),$D$6)),INDEX($A:$U,ROW(),$D$6),IFERROR(--SUBSTITUTE(SUBSTITUTE(TRIM(INDEX($A:$U,ROW(),$D$6)),",",""),"원",""),0))))</f>
        <v/>
      </c>
      <c r="AA1333" s="31">
        <f>IF($Y1333="","",TRIM(INDEX($A:$U,ROW(),$E$6)&amp;IF($F$6="",""," "&amp;INDEX($A:$U,ROW(),$F$6))))</f>
        <v/>
      </c>
      <c r="AB1333" s="31">
        <f>IF($AA1333="","",SUBSTITUTE(SUBSTITUTE(SUBSTITUTE(SUBSTITUTE(SUBSTITUTE(SUBSTITUTE(SUBSTITUTE(SUBSTITUTE(SUBSTITUTE($AA1333," ",""),"　",""),"(주)",""),"（주）",""),"㈜",""),"주식회사",""),"(유)",""),"（유）",""),"유한회사",""))</f>
        <v/>
      </c>
      <c r="AC1333" s="31">
        <f>IF(OR($Y1333="",N($Z1333)&lt;=0,$AB1333=""),0,IFERROR(LOOKUP(2,1/((거래처별!$AC$8:$AC$307&lt;&gt;"")*ISNUMBER(SEARCH(거래처별!$AC$8:$AC$307,$AB1333))),거래처별!$A$8:$A$307),IFERROR(LOOKUP(2,1/((거래처별!$AD$8:$AD$307&lt;&gt;"")*ISNUMBER(SEARCH(거래처별!$AD$8:$AD$307,$AB1333))),거래처별!$A$8:$A$307),IFERROR(LOOKUP(2,1/((거래처별!$AE$8:$AE$307&lt;&gt;"")*ISNUMBER(SEARCH(거래처별!$AE$8:$AE$307,$AB1333))),거래처별!$A$8:$A$307),0))))</f>
        <v/>
      </c>
      <c r="AD1333" s="31">
        <f>IF(AND($Y1333&lt;&gt;"",N($Z1333)&gt;0,$AC1333=0),MAX($AD$7:$AD1332)+1,"")</f>
        <v/>
      </c>
      <c r="AE1333" s="31">
        <f>IF($Y1333="",0,$Y1333)</f>
        <v/>
      </c>
    </row>
    <row r="1334">
      <c r="W1334" s="31">
        <f>IF(OR($B$5="",$C$6="",ROW()&lt;$B$5),"",IF(INDEX($A:$U,ROW(),$C$6)="","",INDEX($A:$U,ROW(),$C$6)))</f>
        <v/>
      </c>
      <c r="X1334" s="32">
        <f>IF($W1334="","",IF(ISNUMBER($W1334),IF($W1334&gt;=10000000,IFERROR(DATE(INT($W1334/10000),MOD(INT($W1334/100),100),MOD($W1334,100)),""),INT($W1334)),IFERROR(DATE(--LEFT(LEFT(SUBSTITUTE(SUBSTITUTE(SUBSTITUTE(SUBSTITUTE(TRIM($W1334),"-",""),".",""),"/","")," ",""),8),4),--MID(LEFT(SUBSTITUTE(SUBSTITUTE(SUBSTITUTE(SUBSTITUTE(TRIM($W1334),"-",""),".",""),"/","")," ",""),8),5,2),--MID(LEFT(SUBSTITUTE(SUBSTITUTE(SUBSTITUTE(SUBSTITUTE(TRIM($W1334),"-",""),".",""),"/","")," ",""),8),7,2)),"")))</f>
        <v/>
      </c>
      <c r="Y1334" s="32">
        <f>IF($X1334="","",INT($X1334))</f>
        <v/>
      </c>
      <c r="Z1334" s="33">
        <f>IF(OR($Y1334="",$D$6=""),"",IF(INDEX($A:$U,ROW(),$D$6)="",0,IF(ISNUMBER(INDEX($A:$U,ROW(),$D$6)),INDEX($A:$U,ROW(),$D$6),IFERROR(--SUBSTITUTE(SUBSTITUTE(TRIM(INDEX($A:$U,ROW(),$D$6)),",",""),"원",""),0))))</f>
        <v/>
      </c>
      <c r="AA1334" s="31">
        <f>IF($Y1334="","",TRIM(INDEX($A:$U,ROW(),$E$6)&amp;IF($F$6="",""," "&amp;INDEX($A:$U,ROW(),$F$6))))</f>
        <v/>
      </c>
      <c r="AB1334" s="31">
        <f>IF($AA1334="","",SUBSTITUTE(SUBSTITUTE(SUBSTITUTE(SUBSTITUTE(SUBSTITUTE(SUBSTITUTE(SUBSTITUTE(SUBSTITUTE(SUBSTITUTE($AA1334," ",""),"　",""),"(주)",""),"（주）",""),"㈜",""),"주식회사",""),"(유)",""),"（유）",""),"유한회사",""))</f>
        <v/>
      </c>
      <c r="AC1334" s="31">
        <f>IF(OR($Y1334="",N($Z1334)&lt;=0,$AB1334=""),0,IFERROR(LOOKUP(2,1/((거래처별!$AC$8:$AC$307&lt;&gt;"")*ISNUMBER(SEARCH(거래처별!$AC$8:$AC$307,$AB1334))),거래처별!$A$8:$A$307),IFERROR(LOOKUP(2,1/((거래처별!$AD$8:$AD$307&lt;&gt;"")*ISNUMBER(SEARCH(거래처별!$AD$8:$AD$307,$AB1334))),거래처별!$A$8:$A$307),IFERROR(LOOKUP(2,1/((거래처별!$AE$8:$AE$307&lt;&gt;"")*ISNUMBER(SEARCH(거래처별!$AE$8:$AE$307,$AB1334))),거래처별!$A$8:$A$307),0))))</f>
        <v/>
      </c>
      <c r="AD1334" s="31">
        <f>IF(AND($Y1334&lt;&gt;"",N($Z1334)&gt;0,$AC1334=0),MAX($AD$7:$AD1333)+1,"")</f>
        <v/>
      </c>
      <c r="AE1334" s="31">
        <f>IF($Y1334="",0,$Y1334)</f>
        <v/>
      </c>
    </row>
    <row r="1335">
      <c r="W1335" s="31">
        <f>IF(OR($B$5="",$C$6="",ROW()&lt;$B$5),"",IF(INDEX($A:$U,ROW(),$C$6)="","",INDEX($A:$U,ROW(),$C$6)))</f>
        <v/>
      </c>
      <c r="X1335" s="32">
        <f>IF($W1335="","",IF(ISNUMBER($W1335),IF($W1335&gt;=10000000,IFERROR(DATE(INT($W1335/10000),MOD(INT($W1335/100),100),MOD($W1335,100)),""),INT($W1335)),IFERROR(DATE(--LEFT(LEFT(SUBSTITUTE(SUBSTITUTE(SUBSTITUTE(SUBSTITUTE(TRIM($W1335),"-",""),".",""),"/","")," ",""),8),4),--MID(LEFT(SUBSTITUTE(SUBSTITUTE(SUBSTITUTE(SUBSTITUTE(TRIM($W1335),"-",""),".",""),"/","")," ",""),8),5,2),--MID(LEFT(SUBSTITUTE(SUBSTITUTE(SUBSTITUTE(SUBSTITUTE(TRIM($W1335),"-",""),".",""),"/","")," ",""),8),7,2)),"")))</f>
        <v/>
      </c>
      <c r="Y1335" s="32">
        <f>IF($X1335="","",INT($X1335))</f>
        <v/>
      </c>
      <c r="Z1335" s="33">
        <f>IF(OR($Y1335="",$D$6=""),"",IF(INDEX($A:$U,ROW(),$D$6)="",0,IF(ISNUMBER(INDEX($A:$U,ROW(),$D$6)),INDEX($A:$U,ROW(),$D$6),IFERROR(--SUBSTITUTE(SUBSTITUTE(TRIM(INDEX($A:$U,ROW(),$D$6)),",",""),"원",""),0))))</f>
        <v/>
      </c>
      <c r="AA1335" s="31">
        <f>IF($Y1335="","",TRIM(INDEX($A:$U,ROW(),$E$6)&amp;IF($F$6="",""," "&amp;INDEX($A:$U,ROW(),$F$6))))</f>
        <v/>
      </c>
      <c r="AB1335" s="31">
        <f>IF($AA1335="","",SUBSTITUTE(SUBSTITUTE(SUBSTITUTE(SUBSTITUTE(SUBSTITUTE(SUBSTITUTE(SUBSTITUTE(SUBSTITUTE(SUBSTITUTE($AA1335," ",""),"　",""),"(주)",""),"（주）",""),"㈜",""),"주식회사",""),"(유)",""),"（유）",""),"유한회사",""))</f>
        <v/>
      </c>
      <c r="AC1335" s="31">
        <f>IF(OR($Y1335="",N($Z1335)&lt;=0,$AB1335=""),0,IFERROR(LOOKUP(2,1/((거래처별!$AC$8:$AC$307&lt;&gt;"")*ISNUMBER(SEARCH(거래처별!$AC$8:$AC$307,$AB1335))),거래처별!$A$8:$A$307),IFERROR(LOOKUP(2,1/((거래처별!$AD$8:$AD$307&lt;&gt;"")*ISNUMBER(SEARCH(거래처별!$AD$8:$AD$307,$AB1335))),거래처별!$A$8:$A$307),IFERROR(LOOKUP(2,1/((거래처별!$AE$8:$AE$307&lt;&gt;"")*ISNUMBER(SEARCH(거래처별!$AE$8:$AE$307,$AB1335))),거래처별!$A$8:$A$307),0))))</f>
        <v/>
      </c>
      <c r="AD1335" s="31">
        <f>IF(AND($Y1335&lt;&gt;"",N($Z1335)&gt;0,$AC1335=0),MAX($AD$7:$AD1334)+1,"")</f>
        <v/>
      </c>
      <c r="AE1335" s="31">
        <f>IF($Y1335="",0,$Y1335)</f>
        <v/>
      </c>
    </row>
    <row r="1336">
      <c r="W1336" s="31">
        <f>IF(OR($B$5="",$C$6="",ROW()&lt;$B$5),"",IF(INDEX($A:$U,ROW(),$C$6)="","",INDEX($A:$U,ROW(),$C$6)))</f>
        <v/>
      </c>
      <c r="X1336" s="32">
        <f>IF($W1336="","",IF(ISNUMBER($W1336),IF($W1336&gt;=10000000,IFERROR(DATE(INT($W1336/10000),MOD(INT($W1336/100),100),MOD($W1336,100)),""),INT($W1336)),IFERROR(DATE(--LEFT(LEFT(SUBSTITUTE(SUBSTITUTE(SUBSTITUTE(SUBSTITUTE(TRIM($W1336),"-",""),".",""),"/","")," ",""),8),4),--MID(LEFT(SUBSTITUTE(SUBSTITUTE(SUBSTITUTE(SUBSTITUTE(TRIM($W1336),"-",""),".",""),"/","")," ",""),8),5,2),--MID(LEFT(SUBSTITUTE(SUBSTITUTE(SUBSTITUTE(SUBSTITUTE(TRIM($W1336),"-",""),".",""),"/","")," ",""),8),7,2)),"")))</f>
        <v/>
      </c>
      <c r="Y1336" s="32">
        <f>IF($X1336="","",INT($X1336))</f>
        <v/>
      </c>
      <c r="Z1336" s="33">
        <f>IF(OR($Y1336="",$D$6=""),"",IF(INDEX($A:$U,ROW(),$D$6)="",0,IF(ISNUMBER(INDEX($A:$U,ROW(),$D$6)),INDEX($A:$U,ROW(),$D$6),IFERROR(--SUBSTITUTE(SUBSTITUTE(TRIM(INDEX($A:$U,ROW(),$D$6)),",",""),"원",""),0))))</f>
        <v/>
      </c>
      <c r="AA1336" s="31">
        <f>IF($Y1336="","",TRIM(INDEX($A:$U,ROW(),$E$6)&amp;IF($F$6="",""," "&amp;INDEX($A:$U,ROW(),$F$6))))</f>
        <v/>
      </c>
      <c r="AB1336" s="31">
        <f>IF($AA1336="","",SUBSTITUTE(SUBSTITUTE(SUBSTITUTE(SUBSTITUTE(SUBSTITUTE(SUBSTITUTE(SUBSTITUTE(SUBSTITUTE(SUBSTITUTE($AA1336," ",""),"　",""),"(주)",""),"（주）",""),"㈜",""),"주식회사",""),"(유)",""),"（유）",""),"유한회사",""))</f>
        <v/>
      </c>
      <c r="AC1336" s="31">
        <f>IF(OR($Y1336="",N($Z1336)&lt;=0,$AB1336=""),0,IFERROR(LOOKUP(2,1/((거래처별!$AC$8:$AC$307&lt;&gt;"")*ISNUMBER(SEARCH(거래처별!$AC$8:$AC$307,$AB1336))),거래처별!$A$8:$A$307),IFERROR(LOOKUP(2,1/((거래처별!$AD$8:$AD$307&lt;&gt;"")*ISNUMBER(SEARCH(거래처별!$AD$8:$AD$307,$AB1336))),거래처별!$A$8:$A$307),IFERROR(LOOKUP(2,1/((거래처별!$AE$8:$AE$307&lt;&gt;"")*ISNUMBER(SEARCH(거래처별!$AE$8:$AE$307,$AB1336))),거래처별!$A$8:$A$307),0))))</f>
        <v/>
      </c>
      <c r="AD1336" s="31">
        <f>IF(AND($Y1336&lt;&gt;"",N($Z1336)&gt;0,$AC1336=0),MAX($AD$7:$AD1335)+1,"")</f>
        <v/>
      </c>
      <c r="AE1336" s="31">
        <f>IF($Y1336="",0,$Y1336)</f>
        <v/>
      </c>
    </row>
    <row r="1337">
      <c r="W1337" s="31">
        <f>IF(OR($B$5="",$C$6="",ROW()&lt;$B$5),"",IF(INDEX($A:$U,ROW(),$C$6)="","",INDEX($A:$U,ROW(),$C$6)))</f>
        <v/>
      </c>
      <c r="X1337" s="32">
        <f>IF($W1337="","",IF(ISNUMBER($W1337),IF($W1337&gt;=10000000,IFERROR(DATE(INT($W1337/10000),MOD(INT($W1337/100),100),MOD($W1337,100)),""),INT($W1337)),IFERROR(DATE(--LEFT(LEFT(SUBSTITUTE(SUBSTITUTE(SUBSTITUTE(SUBSTITUTE(TRIM($W1337),"-",""),".",""),"/","")," ",""),8),4),--MID(LEFT(SUBSTITUTE(SUBSTITUTE(SUBSTITUTE(SUBSTITUTE(TRIM($W1337),"-",""),".",""),"/","")," ",""),8),5,2),--MID(LEFT(SUBSTITUTE(SUBSTITUTE(SUBSTITUTE(SUBSTITUTE(TRIM($W1337),"-",""),".",""),"/","")," ",""),8),7,2)),"")))</f>
        <v/>
      </c>
      <c r="Y1337" s="32">
        <f>IF($X1337="","",INT($X1337))</f>
        <v/>
      </c>
      <c r="Z1337" s="33">
        <f>IF(OR($Y1337="",$D$6=""),"",IF(INDEX($A:$U,ROW(),$D$6)="",0,IF(ISNUMBER(INDEX($A:$U,ROW(),$D$6)),INDEX($A:$U,ROW(),$D$6),IFERROR(--SUBSTITUTE(SUBSTITUTE(TRIM(INDEX($A:$U,ROW(),$D$6)),",",""),"원",""),0))))</f>
        <v/>
      </c>
      <c r="AA1337" s="31">
        <f>IF($Y1337="","",TRIM(INDEX($A:$U,ROW(),$E$6)&amp;IF($F$6="",""," "&amp;INDEX($A:$U,ROW(),$F$6))))</f>
        <v/>
      </c>
      <c r="AB1337" s="31">
        <f>IF($AA1337="","",SUBSTITUTE(SUBSTITUTE(SUBSTITUTE(SUBSTITUTE(SUBSTITUTE(SUBSTITUTE(SUBSTITUTE(SUBSTITUTE(SUBSTITUTE($AA1337," ",""),"　",""),"(주)",""),"（주）",""),"㈜",""),"주식회사",""),"(유)",""),"（유）",""),"유한회사",""))</f>
        <v/>
      </c>
      <c r="AC1337" s="31">
        <f>IF(OR($Y1337="",N($Z1337)&lt;=0,$AB1337=""),0,IFERROR(LOOKUP(2,1/((거래처별!$AC$8:$AC$307&lt;&gt;"")*ISNUMBER(SEARCH(거래처별!$AC$8:$AC$307,$AB1337))),거래처별!$A$8:$A$307),IFERROR(LOOKUP(2,1/((거래처별!$AD$8:$AD$307&lt;&gt;"")*ISNUMBER(SEARCH(거래처별!$AD$8:$AD$307,$AB1337))),거래처별!$A$8:$A$307),IFERROR(LOOKUP(2,1/((거래처별!$AE$8:$AE$307&lt;&gt;"")*ISNUMBER(SEARCH(거래처별!$AE$8:$AE$307,$AB1337))),거래처별!$A$8:$A$307),0))))</f>
        <v/>
      </c>
      <c r="AD1337" s="31">
        <f>IF(AND($Y1337&lt;&gt;"",N($Z1337)&gt;0,$AC1337=0),MAX($AD$7:$AD1336)+1,"")</f>
        <v/>
      </c>
      <c r="AE1337" s="31">
        <f>IF($Y1337="",0,$Y1337)</f>
        <v/>
      </c>
    </row>
    <row r="1338">
      <c r="W1338" s="31">
        <f>IF(OR($B$5="",$C$6="",ROW()&lt;$B$5),"",IF(INDEX($A:$U,ROW(),$C$6)="","",INDEX($A:$U,ROW(),$C$6)))</f>
        <v/>
      </c>
      <c r="X1338" s="32">
        <f>IF($W1338="","",IF(ISNUMBER($W1338),IF($W1338&gt;=10000000,IFERROR(DATE(INT($W1338/10000),MOD(INT($W1338/100),100),MOD($W1338,100)),""),INT($W1338)),IFERROR(DATE(--LEFT(LEFT(SUBSTITUTE(SUBSTITUTE(SUBSTITUTE(SUBSTITUTE(TRIM($W1338),"-",""),".",""),"/","")," ",""),8),4),--MID(LEFT(SUBSTITUTE(SUBSTITUTE(SUBSTITUTE(SUBSTITUTE(TRIM($W1338),"-",""),".",""),"/","")," ",""),8),5,2),--MID(LEFT(SUBSTITUTE(SUBSTITUTE(SUBSTITUTE(SUBSTITUTE(TRIM($W1338),"-",""),".",""),"/","")," ",""),8),7,2)),"")))</f>
        <v/>
      </c>
      <c r="Y1338" s="32">
        <f>IF($X1338="","",INT($X1338))</f>
        <v/>
      </c>
      <c r="Z1338" s="33">
        <f>IF(OR($Y1338="",$D$6=""),"",IF(INDEX($A:$U,ROW(),$D$6)="",0,IF(ISNUMBER(INDEX($A:$U,ROW(),$D$6)),INDEX($A:$U,ROW(),$D$6),IFERROR(--SUBSTITUTE(SUBSTITUTE(TRIM(INDEX($A:$U,ROW(),$D$6)),",",""),"원",""),0))))</f>
        <v/>
      </c>
      <c r="AA1338" s="31">
        <f>IF($Y1338="","",TRIM(INDEX($A:$U,ROW(),$E$6)&amp;IF($F$6="",""," "&amp;INDEX($A:$U,ROW(),$F$6))))</f>
        <v/>
      </c>
      <c r="AB1338" s="31">
        <f>IF($AA1338="","",SUBSTITUTE(SUBSTITUTE(SUBSTITUTE(SUBSTITUTE(SUBSTITUTE(SUBSTITUTE(SUBSTITUTE(SUBSTITUTE(SUBSTITUTE($AA1338," ",""),"　",""),"(주)",""),"（주）",""),"㈜",""),"주식회사",""),"(유)",""),"（유）",""),"유한회사",""))</f>
        <v/>
      </c>
      <c r="AC1338" s="31">
        <f>IF(OR($Y1338="",N($Z1338)&lt;=0,$AB1338=""),0,IFERROR(LOOKUP(2,1/((거래처별!$AC$8:$AC$307&lt;&gt;"")*ISNUMBER(SEARCH(거래처별!$AC$8:$AC$307,$AB1338))),거래처별!$A$8:$A$307),IFERROR(LOOKUP(2,1/((거래처별!$AD$8:$AD$307&lt;&gt;"")*ISNUMBER(SEARCH(거래처별!$AD$8:$AD$307,$AB1338))),거래처별!$A$8:$A$307),IFERROR(LOOKUP(2,1/((거래처별!$AE$8:$AE$307&lt;&gt;"")*ISNUMBER(SEARCH(거래처별!$AE$8:$AE$307,$AB1338))),거래처별!$A$8:$A$307),0))))</f>
        <v/>
      </c>
      <c r="AD1338" s="31">
        <f>IF(AND($Y1338&lt;&gt;"",N($Z1338)&gt;0,$AC1338=0),MAX($AD$7:$AD1337)+1,"")</f>
        <v/>
      </c>
      <c r="AE1338" s="31">
        <f>IF($Y1338="",0,$Y1338)</f>
        <v/>
      </c>
    </row>
    <row r="1339">
      <c r="W1339" s="31">
        <f>IF(OR($B$5="",$C$6="",ROW()&lt;$B$5),"",IF(INDEX($A:$U,ROW(),$C$6)="","",INDEX($A:$U,ROW(),$C$6)))</f>
        <v/>
      </c>
      <c r="X1339" s="32">
        <f>IF($W1339="","",IF(ISNUMBER($W1339),IF($W1339&gt;=10000000,IFERROR(DATE(INT($W1339/10000),MOD(INT($W1339/100),100),MOD($W1339,100)),""),INT($W1339)),IFERROR(DATE(--LEFT(LEFT(SUBSTITUTE(SUBSTITUTE(SUBSTITUTE(SUBSTITUTE(TRIM($W1339),"-",""),".",""),"/","")," ",""),8),4),--MID(LEFT(SUBSTITUTE(SUBSTITUTE(SUBSTITUTE(SUBSTITUTE(TRIM($W1339),"-",""),".",""),"/","")," ",""),8),5,2),--MID(LEFT(SUBSTITUTE(SUBSTITUTE(SUBSTITUTE(SUBSTITUTE(TRIM($W1339),"-",""),".",""),"/","")," ",""),8),7,2)),"")))</f>
        <v/>
      </c>
      <c r="Y1339" s="32">
        <f>IF($X1339="","",INT($X1339))</f>
        <v/>
      </c>
      <c r="Z1339" s="33">
        <f>IF(OR($Y1339="",$D$6=""),"",IF(INDEX($A:$U,ROW(),$D$6)="",0,IF(ISNUMBER(INDEX($A:$U,ROW(),$D$6)),INDEX($A:$U,ROW(),$D$6),IFERROR(--SUBSTITUTE(SUBSTITUTE(TRIM(INDEX($A:$U,ROW(),$D$6)),",",""),"원",""),0))))</f>
        <v/>
      </c>
      <c r="AA1339" s="31">
        <f>IF($Y1339="","",TRIM(INDEX($A:$U,ROW(),$E$6)&amp;IF($F$6="",""," "&amp;INDEX($A:$U,ROW(),$F$6))))</f>
        <v/>
      </c>
      <c r="AB1339" s="31">
        <f>IF($AA1339="","",SUBSTITUTE(SUBSTITUTE(SUBSTITUTE(SUBSTITUTE(SUBSTITUTE(SUBSTITUTE(SUBSTITUTE(SUBSTITUTE(SUBSTITUTE($AA1339," ",""),"　",""),"(주)",""),"（주）",""),"㈜",""),"주식회사",""),"(유)",""),"（유）",""),"유한회사",""))</f>
        <v/>
      </c>
      <c r="AC1339" s="31">
        <f>IF(OR($Y1339="",N($Z1339)&lt;=0,$AB1339=""),0,IFERROR(LOOKUP(2,1/((거래처별!$AC$8:$AC$307&lt;&gt;"")*ISNUMBER(SEARCH(거래처별!$AC$8:$AC$307,$AB1339))),거래처별!$A$8:$A$307),IFERROR(LOOKUP(2,1/((거래처별!$AD$8:$AD$307&lt;&gt;"")*ISNUMBER(SEARCH(거래처별!$AD$8:$AD$307,$AB1339))),거래처별!$A$8:$A$307),IFERROR(LOOKUP(2,1/((거래처별!$AE$8:$AE$307&lt;&gt;"")*ISNUMBER(SEARCH(거래처별!$AE$8:$AE$307,$AB1339))),거래처별!$A$8:$A$307),0))))</f>
        <v/>
      </c>
      <c r="AD1339" s="31">
        <f>IF(AND($Y1339&lt;&gt;"",N($Z1339)&gt;0,$AC1339=0),MAX($AD$7:$AD1338)+1,"")</f>
        <v/>
      </c>
      <c r="AE1339" s="31">
        <f>IF($Y1339="",0,$Y1339)</f>
        <v/>
      </c>
    </row>
    <row r="1340">
      <c r="W1340" s="31">
        <f>IF(OR($B$5="",$C$6="",ROW()&lt;$B$5),"",IF(INDEX($A:$U,ROW(),$C$6)="","",INDEX($A:$U,ROW(),$C$6)))</f>
        <v/>
      </c>
      <c r="X1340" s="32">
        <f>IF($W1340="","",IF(ISNUMBER($W1340),IF($W1340&gt;=10000000,IFERROR(DATE(INT($W1340/10000),MOD(INT($W1340/100),100),MOD($W1340,100)),""),INT($W1340)),IFERROR(DATE(--LEFT(LEFT(SUBSTITUTE(SUBSTITUTE(SUBSTITUTE(SUBSTITUTE(TRIM($W1340),"-",""),".",""),"/","")," ",""),8),4),--MID(LEFT(SUBSTITUTE(SUBSTITUTE(SUBSTITUTE(SUBSTITUTE(TRIM($W1340),"-",""),".",""),"/","")," ",""),8),5,2),--MID(LEFT(SUBSTITUTE(SUBSTITUTE(SUBSTITUTE(SUBSTITUTE(TRIM($W1340),"-",""),".",""),"/","")," ",""),8),7,2)),"")))</f>
        <v/>
      </c>
      <c r="Y1340" s="32">
        <f>IF($X1340="","",INT($X1340))</f>
        <v/>
      </c>
      <c r="Z1340" s="33">
        <f>IF(OR($Y1340="",$D$6=""),"",IF(INDEX($A:$U,ROW(),$D$6)="",0,IF(ISNUMBER(INDEX($A:$U,ROW(),$D$6)),INDEX($A:$U,ROW(),$D$6),IFERROR(--SUBSTITUTE(SUBSTITUTE(TRIM(INDEX($A:$U,ROW(),$D$6)),",",""),"원",""),0))))</f>
        <v/>
      </c>
      <c r="AA1340" s="31">
        <f>IF($Y1340="","",TRIM(INDEX($A:$U,ROW(),$E$6)&amp;IF($F$6="",""," "&amp;INDEX($A:$U,ROW(),$F$6))))</f>
        <v/>
      </c>
      <c r="AB1340" s="31">
        <f>IF($AA1340="","",SUBSTITUTE(SUBSTITUTE(SUBSTITUTE(SUBSTITUTE(SUBSTITUTE(SUBSTITUTE(SUBSTITUTE(SUBSTITUTE(SUBSTITUTE($AA1340," ",""),"　",""),"(주)",""),"（주）",""),"㈜",""),"주식회사",""),"(유)",""),"（유）",""),"유한회사",""))</f>
        <v/>
      </c>
      <c r="AC1340" s="31">
        <f>IF(OR($Y1340="",N($Z1340)&lt;=0,$AB1340=""),0,IFERROR(LOOKUP(2,1/((거래처별!$AC$8:$AC$307&lt;&gt;"")*ISNUMBER(SEARCH(거래처별!$AC$8:$AC$307,$AB1340))),거래처별!$A$8:$A$307),IFERROR(LOOKUP(2,1/((거래처별!$AD$8:$AD$307&lt;&gt;"")*ISNUMBER(SEARCH(거래처별!$AD$8:$AD$307,$AB1340))),거래처별!$A$8:$A$307),IFERROR(LOOKUP(2,1/((거래처별!$AE$8:$AE$307&lt;&gt;"")*ISNUMBER(SEARCH(거래처별!$AE$8:$AE$307,$AB1340))),거래처별!$A$8:$A$307),0))))</f>
        <v/>
      </c>
      <c r="AD1340" s="31">
        <f>IF(AND($Y1340&lt;&gt;"",N($Z1340)&gt;0,$AC1340=0),MAX($AD$7:$AD1339)+1,"")</f>
        <v/>
      </c>
      <c r="AE1340" s="31">
        <f>IF($Y1340="",0,$Y1340)</f>
        <v/>
      </c>
    </row>
    <row r="1341">
      <c r="W1341" s="31">
        <f>IF(OR($B$5="",$C$6="",ROW()&lt;$B$5),"",IF(INDEX($A:$U,ROW(),$C$6)="","",INDEX($A:$U,ROW(),$C$6)))</f>
        <v/>
      </c>
      <c r="X1341" s="32">
        <f>IF($W1341="","",IF(ISNUMBER($W1341),IF($W1341&gt;=10000000,IFERROR(DATE(INT($W1341/10000),MOD(INT($W1341/100),100),MOD($W1341,100)),""),INT($W1341)),IFERROR(DATE(--LEFT(LEFT(SUBSTITUTE(SUBSTITUTE(SUBSTITUTE(SUBSTITUTE(TRIM($W1341),"-",""),".",""),"/","")," ",""),8),4),--MID(LEFT(SUBSTITUTE(SUBSTITUTE(SUBSTITUTE(SUBSTITUTE(TRIM($W1341),"-",""),".",""),"/","")," ",""),8),5,2),--MID(LEFT(SUBSTITUTE(SUBSTITUTE(SUBSTITUTE(SUBSTITUTE(TRIM($W1341),"-",""),".",""),"/","")," ",""),8),7,2)),"")))</f>
        <v/>
      </c>
      <c r="Y1341" s="32">
        <f>IF($X1341="","",INT($X1341))</f>
        <v/>
      </c>
      <c r="Z1341" s="33">
        <f>IF(OR($Y1341="",$D$6=""),"",IF(INDEX($A:$U,ROW(),$D$6)="",0,IF(ISNUMBER(INDEX($A:$U,ROW(),$D$6)),INDEX($A:$U,ROW(),$D$6),IFERROR(--SUBSTITUTE(SUBSTITUTE(TRIM(INDEX($A:$U,ROW(),$D$6)),",",""),"원",""),0))))</f>
        <v/>
      </c>
      <c r="AA1341" s="31">
        <f>IF($Y1341="","",TRIM(INDEX($A:$U,ROW(),$E$6)&amp;IF($F$6="",""," "&amp;INDEX($A:$U,ROW(),$F$6))))</f>
        <v/>
      </c>
      <c r="AB1341" s="31">
        <f>IF($AA1341="","",SUBSTITUTE(SUBSTITUTE(SUBSTITUTE(SUBSTITUTE(SUBSTITUTE(SUBSTITUTE(SUBSTITUTE(SUBSTITUTE(SUBSTITUTE($AA1341," ",""),"　",""),"(주)",""),"（주）",""),"㈜",""),"주식회사",""),"(유)",""),"（유）",""),"유한회사",""))</f>
        <v/>
      </c>
      <c r="AC1341" s="31">
        <f>IF(OR($Y1341="",N($Z1341)&lt;=0,$AB1341=""),0,IFERROR(LOOKUP(2,1/((거래처별!$AC$8:$AC$307&lt;&gt;"")*ISNUMBER(SEARCH(거래처별!$AC$8:$AC$307,$AB1341))),거래처별!$A$8:$A$307),IFERROR(LOOKUP(2,1/((거래처별!$AD$8:$AD$307&lt;&gt;"")*ISNUMBER(SEARCH(거래처별!$AD$8:$AD$307,$AB1341))),거래처별!$A$8:$A$307),IFERROR(LOOKUP(2,1/((거래처별!$AE$8:$AE$307&lt;&gt;"")*ISNUMBER(SEARCH(거래처별!$AE$8:$AE$307,$AB1341))),거래처별!$A$8:$A$307),0))))</f>
        <v/>
      </c>
      <c r="AD1341" s="31">
        <f>IF(AND($Y1341&lt;&gt;"",N($Z1341)&gt;0,$AC1341=0),MAX($AD$7:$AD1340)+1,"")</f>
        <v/>
      </c>
      <c r="AE1341" s="31">
        <f>IF($Y1341="",0,$Y1341)</f>
        <v/>
      </c>
    </row>
    <row r="1342">
      <c r="W1342" s="31">
        <f>IF(OR($B$5="",$C$6="",ROW()&lt;$B$5),"",IF(INDEX($A:$U,ROW(),$C$6)="","",INDEX($A:$U,ROW(),$C$6)))</f>
        <v/>
      </c>
      <c r="X1342" s="32">
        <f>IF($W1342="","",IF(ISNUMBER($W1342),IF($W1342&gt;=10000000,IFERROR(DATE(INT($W1342/10000),MOD(INT($W1342/100),100),MOD($W1342,100)),""),INT($W1342)),IFERROR(DATE(--LEFT(LEFT(SUBSTITUTE(SUBSTITUTE(SUBSTITUTE(SUBSTITUTE(TRIM($W1342),"-",""),".",""),"/","")," ",""),8),4),--MID(LEFT(SUBSTITUTE(SUBSTITUTE(SUBSTITUTE(SUBSTITUTE(TRIM($W1342),"-",""),".",""),"/","")," ",""),8),5,2),--MID(LEFT(SUBSTITUTE(SUBSTITUTE(SUBSTITUTE(SUBSTITUTE(TRIM($W1342),"-",""),".",""),"/","")," ",""),8),7,2)),"")))</f>
        <v/>
      </c>
      <c r="Y1342" s="32">
        <f>IF($X1342="","",INT($X1342))</f>
        <v/>
      </c>
      <c r="Z1342" s="33">
        <f>IF(OR($Y1342="",$D$6=""),"",IF(INDEX($A:$U,ROW(),$D$6)="",0,IF(ISNUMBER(INDEX($A:$U,ROW(),$D$6)),INDEX($A:$U,ROW(),$D$6),IFERROR(--SUBSTITUTE(SUBSTITUTE(TRIM(INDEX($A:$U,ROW(),$D$6)),",",""),"원",""),0))))</f>
        <v/>
      </c>
      <c r="AA1342" s="31">
        <f>IF($Y1342="","",TRIM(INDEX($A:$U,ROW(),$E$6)&amp;IF($F$6="",""," "&amp;INDEX($A:$U,ROW(),$F$6))))</f>
        <v/>
      </c>
      <c r="AB1342" s="31">
        <f>IF($AA1342="","",SUBSTITUTE(SUBSTITUTE(SUBSTITUTE(SUBSTITUTE(SUBSTITUTE(SUBSTITUTE(SUBSTITUTE(SUBSTITUTE(SUBSTITUTE($AA1342," ",""),"　",""),"(주)",""),"（주）",""),"㈜",""),"주식회사",""),"(유)",""),"（유）",""),"유한회사",""))</f>
        <v/>
      </c>
      <c r="AC1342" s="31">
        <f>IF(OR($Y1342="",N($Z1342)&lt;=0,$AB1342=""),0,IFERROR(LOOKUP(2,1/((거래처별!$AC$8:$AC$307&lt;&gt;"")*ISNUMBER(SEARCH(거래처별!$AC$8:$AC$307,$AB1342))),거래처별!$A$8:$A$307),IFERROR(LOOKUP(2,1/((거래처별!$AD$8:$AD$307&lt;&gt;"")*ISNUMBER(SEARCH(거래처별!$AD$8:$AD$307,$AB1342))),거래처별!$A$8:$A$307),IFERROR(LOOKUP(2,1/((거래처별!$AE$8:$AE$307&lt;&gt;"")*ISNUMBER(SEARCH(거래처별!$AE$8:$AE$307,$AB1342))),거래처별!$A$8:$A$307),0))))</f>
        <v/>
      </c>
      <c r="AD1342" s="31">
        <f>IF(AND($Y1342&lt;&gt;"",N($Z1342)&gt;0,$AC1342=0),MAX($AD$7:$AD1341)+1,"")</f>
        <v/>
      </c>
      <c r="AE1342" s="31">
        <f>IF($Y1342="",0,$Y1342)</f>
        <v/>
      </c>
    </row>
    <row r="1343">
      <c r="W1343" s="31">
        <f>IF(OR($B$5="",$C$6="",ROW()&lt;$B$5),"",IF(INDEX($A:$U,ROW(),$C$6)="","",INDEX($A:$U,ROW(),$C$6)))</f>
        <v/>
      </c>
      <c r="X1343" s="32">
        <f>IF($W1343="","",IF(ISNUMBER($W1343),IF($W1343&gt;=10000000,IFERROR(DATE(INT($W1343/10000),MOD(INT($W1343/100),100),MOD($W1343,100)),""),INT($W1343)),IFERROR(DATE(--LEFT(LEFT(SUBSTITUTE(SUBSTITUTE(SUBSTITUTE(SUBSTITUTE(TRIM($W1343),"-",""),".",""),"/","")," ",""),8),4),--MID(LEFT(SUBSTITUTE(SUBSTITUTE(SUBSTITUTE(SUBSTITUTE(TRIM($W1343),"-",""),".",""),"/","")," ",""),8),5,2),--MID(LEFT(SUBSTITUTE(SUBSTITUTE(SUBSTITUTE(SUBSTITUTE(TRIM($W1343),"-",""),".",""),"/","")," ",""),8),7,2)),"")))</f>
        <v/>
      </c>
      <c r="Y1343" s="32">
        <f>IF($X1343="","",INT($X1343))</f>
        <v/>
      </c>
      <c r="Z1343" s="33">
        <f>IF(OR($Y1343="",$D$6=""),"",IF(INDEX($A:$U,ROW(),$D$6)="",0,IF(ISNUMBER(INDEX($A:$U,ROW(),$D$6)),INDEX($A:$U,ROW(),$D$6),IFERROR(--SUBSTITUTE(SUBSTITUTE(TRIM(INDEX($A:$U,ROW(),$D$6)),",",""),"원",""),0))))</f>
        <v/>
      </c>
      <c r="AA1343" s="31">
        <f>IF($Y1343="","",TRIM(INDEX($A:$U,ROW(),$E$6)&amp;IF($F$6="",""," "&amp;INDEX($A:$U,ROW(),$F$6))))</f>
        <v/>
      </c>
      <c r="AB1343" s="31">
        <f>IF($AA1343="","",SUBSTITUTE(SUBSTITUTE(SUBSTITUTE(SUBSTITUTE(SUBSTITUTE(SUBSTITUTE(SUBSTITUTE(SUBSTITUTE(SUBSTITUTE($AA1343," ",""),"　",""),"(주)",""),"（주）",""),"㈜",""),"주식회사",""),"(유)",""),"（유）",""),"유한회사",""))</f>
        <v/>
      </c>
      <c r="AC1343" s="31">
        <f>IF(OR($Y1343="",N($Z1343)&lt;=0,$AB1343=""),0,IFERROR(LOOKUP(2,1/((거래처별!$AC$8:$AC$307&lt;&gt;"")*ISNUMBER(SEARCH(거래처별!$AC$8:$AC$307,$AB1343))),거래처별!$A$8:$A$307),IFERROR(LOOKUP(2,1/((거래처별!$AD$8:$AD$307&lt;&gt;"")*ISNUMBER(SEARCH(거래처별!$AD$8:$AD$307,$AB1343))),거래처별!$A$8:$A$307),IFERROR(LOOKUP(2,1/((거래처별!$AE$8:$AE$307&lt;&gt;"")*ISNUMBER(SEARCH(거래처별!$AE$8:$AE$307,$AB1343))),거래처별!$A$8:$A$307),0))))</f>
        <v/>
      </c>
      <c r="AD1343" s="31">
        <f>IF(AND($Y1343&lt;&gt;"",N($Z1343)&gt;0,$AC1343=0),MAX($AD$7:$AD1342)+1,"")</f>
        <v/>
      </c>
      <c r="AE1343" s="31">
        <f>IF($Y1343="",0,$Y1343)</f>
        <v/>
      </c>
    </row>
    <row r="1344">
      <c r="W1344" s="31">
        <f>IF(OR($B$5="",$C$6="",ROW()&lt;$B$5),"",IF(INDEX($A:$U,ROW(),$C$6)="","",INDEX($A:$U,ROW(),$C$6)))</f>
        <v/>
      </c>
      <c r="X1344" s="32">
        <f>IF($W1344="","",IF(ISNUMBER($W1344),IF($W1344&gt;=10000000,IFERROR(DATE(INT($W1344/10000),MOD(INT($W1344/100),100),MOD($W1344,100)),""),INT($W1344)),IFERROR(DATE(--LEFT(LEFT(SUBSTITUTE(SUBSTITUTE(SUBSTITUTE(SUBSTITUTE(TRIM($W1344),"-",""),".",""),"/","")," ",""),8),4),--MID(LEFT(SUBSTITUTE(SUBSTITUTE(SUBSTITUTE(SUBSTITUTE(TRIM($W1344),"-",""),".",""),"/","")," ",""),8),5,2),--MID(LEFT(SUBSTITUTE(SUBSTITUTE(SUBSTITUTE(SUBSTITUTE(TRIM($W1344),"-",""),".",""),"/","")," ",""),8),7,2)),"")))</f>
        <v/>
      </c>
      <c r="Y1344" s="32">
        <f>IF($X1344="","",INT($X1344))</f>
        <v/>
      </c>
      <c r="Z1344" s="33">
        <f>IF(OR($Y1344="",$D$6=""),"",IF(INDEX($A:$U,ROW(),$D$6)="",0,IF(ISNUMBER(INDEX($A:$U,ROW(),$D$6)),INDEX($A:$U,ROW(),$D$6),IFERROR(--SUBSTITUTE(SUBSTITUTE(TRIM(INDEX($A:$U,ROW(),$D$6)),",",""),"원",""),0))))</f>
        <v/>
      </c>
      <c r="AA1344" s="31">
        <f>IF($Y1344="","",TRIM(INDEX($A:$U,ROW(),$E$6)&amp;IF($F$6="",""," "&amp;INDEX($A:$U,ROW(),$F$6))))</f>
        <v/>
      </c>
      <c r="AB1344" s="31">
        <f>IF($AA1344="","",SUBSTITUTE(SUBSTITUTE(SUBSTITUTE(SUBSTITUTE(SUBSTITUTE(SUBSTITUTE(SUBSTITUTE(SUBSTITUTE(SUBSTITUTE($AA1344," ",""),"　",""),"(주)",""),"（주）",""),"㈜",""),"주식회사",""),"(유)",""),"（유）",""),"유한회사",""))</f>
        <v/>
      </c>
      <c r="AC1344" s="31">
        <f>IF(OR($Y1344="",N($Z1344)&lt;=0,$AB1344=""),0,IFERROR(LOOKUP(2,1/((거래처별!$AC$8:$AC$307&lt;&gt;"")*ISNUMBER(SEARCH(거래처별!$AC$8:$AC$307,$AB1344))),거래처별!$A$8:$A$307),IFERROR(LOOKUP(2,1/((거래처별!$AD$8:$AD$307&lt;&gt;"")*ISNUMBER(SEARCH(거래처별!$AD$8:$AD$307,$AB1344))),거래처별!$A$8:$A$307),IFERROR(LOOKUP(2,1/((거래처별!$AE$8:$AE$307&lt;&gt;"")*ISNUMBER(SEARCH(거래처별!$AE$8:$AE$307,$AB1344))),거래처별!$A$8:$A$307),0))))</f>
        <v/>
      </c>
      <c r="AD1344" s="31">
        <f>IF(AND($Y1344&lt;&gt;"",N($Z1344)&gt;0,$AC1344=0),MAX($AD$7:$AD1343)+1,"")</f>
        <v/>
      </c>
      <c r="AE1344" s="31">
        <f>IF($Y1344="",0,$Y1344)</f>
        <v/>
      </c>
    </row>
    <row r="1345">
      <c r="W1345" s="31">
        <f>IF(OR($B$5="",$C$6="",ROW()&lt;$B$5),"",IF(INDEX($A:$U,ROW(),$C$6)="","",INDEX($A:$U,ROW(),$C$6)))</f>
        <v/>
      </c>
      <c r="X1345" s="32">
        <f>IF($W1345="","",IF(ISNUMBER($W1345),IF($W1345&gt;=10000000,IFERROR(DATE(INT($W1345/10000),MOD(INT($W1345/100),100),MOD($W1345,100)),""),INT($W1345)),IFERROR(DATE(--LEFT(LEFT(SUBSTITUTE(SUBSTITUTE(SUBSTITUTE(SUBSTITUTE(TRIM($W1345),"-",""),".",""),"/","")," ",""),8),4),--MID(LEFT(SUBSTITUTE(SUBSTITUTE(SUBSTITUTE(SUBSTITUTE(TRIM($W1345),"-",""),".",""),"/","")," ",""),8),5,2),--MID(LEFT(SUBSTITUTE(SUBSTITUTE(SUBSTITUTE(SUBSTITUTE(TRIM($W1345),"-",""),".",""),"/","")," ",""),8),7,2)),"")))</f>
        <v/>
      </c>
      <c r="Y1345" s="32">
        <f>IF($X1345="","",INT($X1345))</f>
        <v/>
      </c>
      <c r="Z1345" s="33">
        <f>IF(OR($Y1345="",$D$6=""),"",IF(INDEX($A:$U,ROW(),$D$6)="",0,IF(ISNUMBER(INDEX($A:$U,ROW(),$D$6)),INDEX($A:$U,ROW(),$D$6),IFERROR(--SUBSTITUTE(SUBSTITUTE(TRIM(INDEX($A:$U,ROW(),$D$6)),",",""),"원",""),0))))</f>
        <v/>
      </c>
      <c r="AA1345" s="31">
        <f>IF($Y1345="","",TRIM(INDEX($A:$U,ROW(),$E$6)&amp;IF($F$6="",""," "&amp;INDEX($A:$U,ROW(),$F$6))))</f>
        <v/>
      </c>
      <c r="AB1345" s="31">
        <f>IF($AA1345="","",SUBSTITUTE(SUBSTITUTE(SUBSTITUTE(SUBSTITUTE(SUBSTITUTE(SUBSTITUTE(SUBSTITUTE(SUBSTITUTE(SUBSTITUTE($AA1345," ",""),"　",""),"(주)",""),"（주）",""),"㈜",""),"주식회사",""),"(유)",""),"（유）",""),"유한회사",""))</f>
        <v/>
      </c>
      <c r="AC1345" s="31">
        <f>IF(OR($Y1345="",N($Z1345)&lt;=0,$AB1345=""),0,IFERROR(LOOKUP(2,1/((거래처별!$AC$8:$AC$307&lt;&gt;"")*ISNUMBER(SEARCH(거래처별!$AC$8:$AC$307,$AB1345))),거래처별!$A$8:$A$307),IFERROR(LOOKUP(2,1/((거래처별!$AD$8:$AD$307&lt;&gt;"")*ISNUMBER(SEARCH(거래처별!$AD$8:$AD$307,$AB1345))),거래처별!$A$8:$A$307),IFERROR(LOOKUP(2,1/((거래처별!$AE$8:$AE$307&lt;&gt;"")*ISNUMBER(SEARCH(거래처별!$AE$8:$AE$307,$AB1345))),거래처별!$A$8:$A$307),0))))</f>
        <v/>
      </c>
      <c r="AD1345" s="31">
        <f>IF(AND($Y1345&lt;&gt;"",N($Z1345)&gt;0,$AC1345=0),MAX($AD$7:$AD1344)+1,"")</f>
        <v/>
      </c>
      <c r="AE1345" s="31">
        <f>IF($Y1345="",0,$Y1345)</f>
        <v/>
      </c>
    </row>
    <row r="1346">
      <c r="W1346" s="31">
        <f>IF(OR($B$5="",$C$6="",ROW()&lt;$B$5),"",IF(INDEX($A:$U,ROW(),$C$6)="","",INDEX($A:$U,ROW(),$C$6)))</f>
        <v/>
      </c>
      <c r="X1346" s="32">
        <f>IF($W1346="","",IF(ISNUMBER($W1346),IF($W1346&gt;=10000000,IFERROR(DATE(INT($W1346/10000),MOD(INT($W1346/100),100),MOD($W1346,100)),""),INT($W1346)),IFERROR(DATE(--LEFT(LEFT(SUBSTITUTE(SUBSTITUTE(SUBSTITUTE(SUBSTITUTE(TRIM($W1346),"-",""),".",""),"/","")," ",""),8),4),--MID(LEFT(SUBSTITUTE(SUBSTITUTE(SUBSTITUTE(SUBSTITUTE(TRIM($W1346),"-",""),".",""),"/","")," ",""),8),5,2),--MID(LEFT(SUBSTITUTE(SUBSTITUTE(SUBSTITUTE(SUBSTITUTE(TRIM($W1346),"-",""),".",""),"/","")," ",""),8),7,2)),"")))</f>
        <v/>
      </c>
      <c r="Y1346" s="32">
        <f>IF($X1346="","",INT($X1346))</f>
        <v/>
      </c>
      <c r="Z1346" s="33">
        <f>IF(OR($Y1346="",$D$6=""),"",IF(INDEX($A:$U,ROW(),$D$6)="",0,IF(ISNUMBER(INDEX($A:$U,ROW(),$D$6)),INDEX($A:$U,ROW(),$D$6),IFERROR(--SUBSTITUTE(SUBSTITUTE(TRIM(INDEX($A:$U,ROW(),$D$6)),",",""),"원",""),0))))</f>
        <v/>
      </c>
      <c r="AA1346" s="31">
        <f>IF($Y1346="","",TRIM(INDEX($A:$U,ROW(),$E$6)&amp;IF($F$6="",""," "&amp;INDEX($A:$U,ROW(),$F$6))))</f>
        <v/>
      </c>
      <c r="AB1346" s="31">
        <f>IF($AA1346="","",SUBSTITUTE(SUBSTITUTE(SUBSTITUTE(SUBSTITUTE(SUBSTITUTE(SUBSTITUTE(SUBSTITUTE(SUBSTITUTE(SUBSTITUTE($AA1346," ",""),"　",""),"(주)",""),"（주）",""),"㈜",""),"주식회사",""),"(유)",""),"（유）",""),"유한회사",""))</f>
        <v/>
      </c>
      <c r="AC1346" s="31">
        <f>IF(OR($Y1346="",N($Z1346)&lt;=0,$AB1346=""),0,IFERROR(LOOKUP(2,1/((거래처별!$AC$8:$AC$307&lt;&gt;"")*ISNUMBER(SEARCH(거래처별!$AC$8:$AC$307,$AB1346))),거래처별!$A$8:$A$307),IFERROR(LOOKUP(2,1/((거래처별!$AD$8:$AD$307&lt;&gt;"")*ISNUMBER(SEARCH(거래처별!$AD$8:$AD$307,$AB1346))),거래처별!$A$8:$A$307),IFERROR(LOOKUP(2,1/((거래처별!$AE$8:$AE$307&lt;&gt;"")*ISNUMBER(SEARCH(거래처별!$AE$8:$AE$307,$AB1346))),거래처별!$A$8:$A$307),0))))</f>
        <v/>
      </c>
      <c r="AD1346" s="31">
        <f>IF(AND($Y1346&lt;&gt;"",N($Z1346)&gt;0,$AC1346=0),MAX($AD$7:$AD1345)+1,"")</f>
        <v/>
      </c>
      <c r="AE1346" s="31">
        <f>IF($Y1346="",0,$Y1346)</f>
        <v/>
      </c>
    </row>
    <row r="1347">
      <c r="W1347" s="31">
        <f>IF(OR($B$5="",$C$6="",ROW()&lt;$B$5),"",IF(INDEX($A:$U,ROW(),$C$6)="","",INDEX($A:$U,ROW(),$C$6)))</f>
        <v/>
      </c>
      <c r="X1347" s="32">
        <f>IF($W1347="","",IF(ISNUMBER($W1347),IF($W1347&gt;=10000000,IFERROR(DATE(INT($W1347/10000),MOD(INT($W1347/100),100),MOD($W1347,100)),""),INT($W1347)),IFERROR(DATE(--LEFT(LEFT(SUBSTITUTE(SUBSTITUTE(SUBSTITUTE(SUBSTITUTE(TRIM($W1347),"-",""),".",""),"/","")," ",""),8),4),--MID(LEFT(SUBSTITUTE(SUBSTITUTE(SUBSTITUTE(SUBSTITUTE(TRIM($W1347),"-",""),".",""),"/","")," ",""),8),5,2),--MID(LEFT(SUBSTITUTE(SUBSTITUTE(SUBSTITUTE(SUBSTITUTE(TRIM($W1347),"-",""),".",""),"/","")," ",""),8),7,2)),"")))</f>
        <v/>
      </c>
      <c r="Y1347" s="32">
        <f>IF($X1347="","",INT($X1347))</f>
        <v/>
      </c>
      <c r="Z1347" s="33">
        <f>IF(OR($Y1347="",$D$6=""),"",IF(INDEX($A:$U,ROW(),$D$6)="",0,IF(ISNUMBER(INDEX($A:$U,ROW(),$D$6)),INDEX($A:$U,ROW(),$D$6),IFERROR(--SUBSTITUTE(SUBSTITUTE(TRIM(INDEX($A:$U,ROW(),$D$6)),",",""),"원",""),0))))</f>
        <v/>
      </c>
      <c r="AA1347" s="31">
        <f>IF($Y1347="","",TRIM(INDEX($A:$U,ROW(),$E$6)&amp;IF($F$6="",""," "&amp;INDEX($A:$U,ROW(),$F$6))))</f>
        <v/>
      </c>
      <c r="AB1347" s="31">
        <f>IF($AA1347="","",SUBSTITUTE(SUBSTITUTE(SUBSTITUTE(SUBSTITUTE(SUBSTITUTE(SUBSTITUTE(SUBSTITUTE(SUBSTITUTE(SUBSTITUTE($AA1347," ",""),"　",""),"(주)",""),"（주）",""),"㈜",""),"주식회사",""),"(유)",""),"（유）",""),"유한회사",""))</f>
        <v/>
      </c>
      <c r="AC1347" s="31">
        <f>IF(OR($Y1347="",N($Z1347)&lt;=0,$AB1347=""),0,IFERROR(LOOKUP(2,1/((거래처별!$AC$8:$AC$307&lt;&gt;"")*ISNUMBER(SEARCH(거래처별!$AC$8:$AC$307,$AB1347))),거래처별!$A$8:$A$307),IFERROR(LOOKUP(2,1/((거래처별!$AD$8:$AD$307&lt;&gt;"")*ISNUMBER(SEARCH(거래처별!$AD$8:$AD$307,$AB1347))),거래처별!$A$8:$A$307),IFERROR(LOOKUP(2,1/((거래처별!$AE$8:$AE$307&lt;&gt;"")*ISNUMBER(SEARCH(거래처별!$AE$8:$AE$307,$AB1347))),거래처별!$A$8:$A$307),0))))</f>
        <v/>
      </c>
      <c r="AD1347" s="31">
        <f>IF(AND($Y1347&lt;&gt;"",N($Z1347)&gt;0,$AC1347=0),MAX($AD$7:$AD1346)+1,"")</f>
        <v/>
      </c>
      <c r="AE1347" s="31">
        <f>IF($Y1347="",0,$Y1347)</f>
        <v/>
      </c>
    </row>
    <row r="1348">
      <c r="W1348" s="31">
        <f>IF(OR($B$5="",$C$6="",ROW()&lt;$B$5),"",IF(INDEX($A:$U,ROW(),$C$6)="","",INDEX($A:$U,ROW(),$C$6)))</f>
        <v/>
      </c>
      <c r="X1348" s="32">
        <f>IF($W1348="","",IF(ISNUMBER($W1348),IF($W1348&gt;=10000000,IFERROR(DATE(INT($W1348/10000),MOD(INT($W1348/100),100),MOD($W1348,100)),""),INT($W1348)),IFERROR(DATE(--LEFT(LEFT(SUBSTITUTE(SUBSTITUTE(SUBSTITUTE(SUBSTITUTE(TRIM($W1348),"-",""),".",""),"/","")," ",""),8),4),--MID(LEFT(SUBSTITUTE(SUBSTITUTE(SUBSTITUTE(SUBSTITUTE(TRIM($W1348),"-",""),".",""),"/","")," ",""),8),5,2),--MID(LEFT(SUBSTITUTE(SUBSTITUTE(SUBSTITUTE(SUBSTITUTE(TRIM($W1348),"-",""),".",""),"/","")," ",""),8),7,2)),"")))</f>
        <v/>
      </c>
      <c r="Y1348" s="32">
        <f>IF($X1348="","",INT($X1348))</f>
        <v/>
      </c>
      <c r="Z1348" s="33">
        <f>IF(OR($Y1348="",$D$6=""),"",IF(INDEX($A:$U,ROW(),$D$6)="",0,IF(ISNUMBER(INDEX($A:$U,ROW(),$D$6)),INDEX($A:$U,ROW(),$D$6),IFERROR(--SUBSTITUTE(SUBSTITUTE(TRIM(INDEX($A:$U,ROW(),$D$6)),",",""),"원",""),0))))</f>
        <v/>
      </c>
      <c r="AA1348" s="31">
        <f>IF($Y1348="","",TRIM(INDEX($A:$U,ROW(),$E$6)&amp;IF($F$6="",""," "&amp;INDEX($A:$U,ROW(),$F$6))))</f>
        <v/>
      </c>
      <c r="AB1348" s="31">
        <f>IF($AA1348="","",SUBSTITUTE(SUBSTITUTE(SUBSTITUTE(SUBSTITUTE(SUBSTITUTE(SUBSTITUTE(SUBSTITUTE(SUBSTITUTE(SUBSTITUTE($AA1348," ",""),"　",""),"(주)",""),"（주）",""),"㈜",""),"주식회사",""),"(유)",""),"（유）",""),"유한회사",""))</f>
        <v/>
      </c>
      <c r="AC1348" s="31">
        <f>IF(OR($Y1348="",N($Z1348)&lt;=0,$AB1348=""),0,IFERROR(LOOKUP(2,1/((거래처별!$AC$8:$AC$307&lt;&gt;"")*ISNUMBER(SEARCH(거래처별!$AC$8:$AC$307,$AB1348))),거래처별!$A$8:$A$307),IFERROR(LOOKUP(2,1/((거래처별!$AD$8:$AD$307&lt;&gt;"")*ISNUMBER(SEARCH(거래처별!$AD$8:$AD$307,$AB1348))),거래처별!$A$8:$A$307),IFERROR(LOOKUP(2,1/((거래처별!$AE$8:$AE$307&lt;&gt;"")*ISNUMBER(SEARCH(거래처별!$AE$8:$AE$307,$AB1348))),거래처별!$A$8:$A$307),0))))</f>
        <v/>
      </c>
      <c r="AD1348" s="31">
        <f>IF(AND($Y1348&lt;&gt;"",N($Z1348)&gt;0,$AC1348=0),MAX($AD$7:$AD1347)+1,"")</f>
        <v/>
      </c>
      <c r="AE1348" s="31">
        <f>IF($Y1348="",0,$Y1348)</f>
        <v/>
      </c>
    </row>
    <row r="1349">
      <c r="W1349" s="31">
        <f>IF(OR($B$5="",$C$6="",ROW()&lt;$B$5),"",IF(INDEX($A:$U,ROW(),$C$6)="","",INDEX($A:$U,ROW(),$C$6)))</f>
        <v/>
      </c>
      <c r="X1349" s="32">
        <f>IF($W1349="","",IF(ISNUMBER($W1349),IF($W1349&gt;=10000000,IFERROR(DATE(INT($W1349/10000),MOD(INT($W1349/100),100),MOD($W1349,100)),""),INT($W1349)),IFERROR(DATE(--LEFT(LEFT(SUBSTITUTE(SUBSTITUTE(SUBSTITUTE(SUBSTITUTE(TRIM($W1349),"-",""),".",""),"/","")," ",""),8),4),--MID(LEFT(SUBSTITUTE(SUBSTITUTE(SUBSTITUTE(SUBSTITUTE(TRIM($W1349),"-",""),".",""),"/","")," ",""),8),5,2),--MID(LEFT(SUBSTITUTE(SUBSTITUTE(SUBSTITUTE(SUBSTITUTE(TRIM($W1349),"-",""),".",""),"/","")," ",""),8),7,2)),"")))</f>
        <v/>
      </c>
      <c r="Y1349" s="32">
        <f>IF($X1349="","",INT($X1349))</f>
        <v/>
      </c>
      <c r="Z1349" s="33">
        <f>IF(OR($Y1349="",$D$6=""),"",IF(INDEX($A:$U,ROW(),$D$6)="",0,IF(ISNUMBER(INDEX($A:$U,ROW(),$D$6)),INDEX($A:$U,ROW(),$D$6),IFERROR(--SUBSTITUTE(SUBSTITUTE(TRIM(INDEX($A:$U,ROW(),$D$6)),",",""),"원",""),0))))</f>
        <v/>
      </c>
      <c r="AA1349" s="31">
        <f>IF($Y1349="","",TRIM(INDEX($A:$U,ROW(),$E$6)&amp;IF($F$6="",""," "&amp;INDEX($A:$U,ROW(),$F$6))))</f>
        <v/>
      </c>
      <c r="AB1349" s="31">
        <f>IF($AA1349="","",SUBSTITUTE(SUBSTITUTE(SUBSTITUTE(SUBSTITUTE(SUBSTITUTE(SUBSTITUTE(SUBSTITUTE(SUBSTITUTE(SUBSTITUTE($AA1349," ",""),"　",""),"(주)",""),"（주）",""),"㈜",""),"주식회사",""),"(유)",""),"（유）",""),"유한회사",""))</f>
        <v/>
      </c>
      <c r="AC1349" s="31">
        <f>IF(OR($Y1349="",N($Z1349)&lt;=0,$AB1349=""),0,IFERROR(LOOKUP(2,1/((거래처별!$AC$8:$AC$307&lt;&gt;"")*ISNUMBER(SEARCH(거래처별!$AC$8:$AC$307,$AB1349))),거래처별!$A$8:$A$307),IFERROR(LOOKUP(2,1/((거래처별!$AD$8:$AD$307&lt;&gt;"")*ISNUMBER(SEARCH(거래처별!$AD$8:$AD$307,$AB1349))),거래처별!$A$8:$A$307),IFERROR(LOOKUP(2,1/((거래처별!$AE$8:$AE$307&lt;&gt;"")*ISNUMBER(SEARCH(거래처별!$AE$8:$AE$307,$AB1349))),거래처별!$A$8:$A$307),0))))</f>
        <v/>
      </c>
      <c r="AD1349" s="31">
        <f>IF(AND($Y1349&lt;&gt;"",N($Z1349)&gt;0,$AC1349=0),MAX($AD$7:$AD1348)+1,"")</f>
        <v/>
      </c>
      <c r="AE1349" s="31">
        <f>IF($Y1349="",0,$Y1349)</f>
        <v/>
      </c>
    </row>
    <row r="1350">
      <c r="W1350" s="31">
        <f>IF(OR($B$5="",$C$6="",ROW()&lt;$B$5),"",IF(INDEX($A:$U,ROW(),$C$6)="","",INDEX($A:$U,ROW(),$C$6)))</f>
        <v/>
      </c>
      <c r="X1350" s="32">
        <f>IF($W1350="","",IF(ISNUMBER($W1350),IF($W1350&gt;=10000000,IFERROR(DATE(INT($W1350/10000),MOD(INT($W1350/100),100),MOD($W1350,100)),""),INT($W1350)),IFERROR(DATE(--LEFT(LEFT(SUBSTITUTE(SUBSTITUTE(SUBSTITUTE(SUBSTITUTE(TRIM($W1350),"-",""),".",""),"/","")," ",""),8),4),--MID(LEFT(SUBSTITUTE(SUBSTITUTE(SUBSTITUTE(SUBSTITUTE(TRIM($W1350),"-",""),".",""),"/","")," ",""),8),5,2),--MID(LEFT(SUBSTITUTE(SUBSTITUTE(SUBSTITUTE(SUBSTITUTE(TRIM($W1350),"-",""),".",""),"/","")," ",""),8),7,2)),"")))</f>
        <v/>
      </c>
      <c r="Y1350" s="32">
        <f>IF($X1350="","",INT($X1350))</f>
        <v/>
      </c>
      <c r="Z1350" s="33">
        <f>IF(OR($Y1350="",$D$6=""),"",IF(INDEX($A:$U,ROW(),$D$6)="",0,IF(ISNUMBER(INDEX($A:$U,ROW(),$D$6)),INDEX($A:$U,ROW(),$D$6),IFERROR(--SUBSTITUTE(SUBSTITUTE(TRIM(INDEX($A:$U,ROW(),$D$6)),",",""),"원",""),0))))</f>
        <v/>
      </c>
      <c r="AA1350" s="31">
        <f>IF($Y1350="","",TRIM(INDEX($A:$U,ROW(),$E$6)&amp;IF($F$6="",""," "&amp;INDEX($A:$U,ROW(),$F$6))))</f>
        <v/>
      </c>
      <c r="AB1350" s="31">
        <f>IF($AA1350="","",SUBSTITUTE(SUBSTITUTE(SUBSTITUTE(SUBSTITUTE(SUBSTITUTE(SUBSTITUTE(SUBSTITUTE(SUBSTITUTE(SUBSTITUTE($AA1350," ",""),"　",""),"(주)",""),"（주）",""),"㈜",""),"주식회사",""),"(유)",""),"（유）",""),"유한회사",""))</f>
        <v/>
      </c>
      <c r="AC1350" s="31">
        <f>IF(OR($Y1350="",N($Z1350)&lt;=0,$AB1350=""),0,IFERROR(LOOKUP(2,1/((거래처별!$AC$8:$AC$307&lt;&gt;"")*ISNUMBER(SEARCH(거래처별!$AC$8:$AC$307,$AB1350))),거래처별!$A$8:$A$307),IFERROR(LOOKUP(2,1/((거래처별!$AD$8:$AD$307&lt;&gt;"")*ISNUMBER(SEARCH(거래처별!$AD$8:$AD$307,$AB1350))),거래처별!$A$8:$A$307),IFERROR(LOOKUP(2,1/((거래처별!$AE$8:$AE$307&lt;&gt;"")*ISNUMBER(SEARCH(거래처별!$AE$8:$AE$307,$AB1350))),거래처별!$A$8:$A$307),0))))</f>
        <v/>
      </c>
      <c r="AD1350" s="31">
        <f>IF(AND($Y1350&lt;&gt;"",N($Z1350)&gt;0,$AC1350=0),MAX($AD$7:$AD1349)+1,"")</f>
        <v/>
      </c>
      <c r="AE1350" s="31">
        <f>IF($Y1350="",0,$Y1350)</f>
        <v/>
      </c>
    </row>
    <row r="1351">
      <c r="W1351" s="31">
        <f>IF(OR($B$5="",$C$6="",ROW()&lt;$B$5),"",IF(INDEX($A:$U,ROW(),$C$6)="","",INDEX($A:$U,ROW(),$C$6)))</f>
        <v/>
      </c>
      <c r="X1351" s="32">
        <f>IF($W1351="","",IF(ISNUMBER($W1351),IF($W1351&gt;=10000000,IFERROR(DATE(INT($W1351/10000),MOD(INT($W1351/100),100),MOD($W1351,100)),""),INT($W1351)),IFERROR(DATE(--LEFT(LEFT(SUBSTITUTE(SUBSTITUTE(SUBSTITUTE(SUBSTITUTE(TRIM($W1351),"-",""),".",""),"/","")," ",""),8),4),--MID(LEFT(SUBSTITUTE(SUBSTITUTE(SUBSTITUTE(SUBSTITUTE(TRIM($W1351),"-",""),".",""),"/","")," ",""),8),5,2),--MID(LEFT(SUBSTITUTE(SUBSTITUTE(SUBSTITUTE(SUBSTITUTE(TRIM($W1351),"-",""),".",""),"/","")," ",""),8),7,2)),"")))</f>
        <v/>
      </c>
      <c r="Y1351" s="32">
        <f>IF($X1351="","",INT($X1351))</f>
        <v/>
      </c>
      <c r="Z1351" s="33">
        <f>IF(OR($Y1351="",$D$6=""),"",IF(INDEX($A:$U,ROW(),$D$6)="",0,IF(ISNUMBER(INDEX($A:$U,ROW(),$D$6)),INDEX($A:$U,ROW(),$D$6),IFERROR(--SUBSTITUTE(SUBSTITUTE(TRIM(INDEX($A:$U,ROW(),$D$6)),",",""),"원",""),0))))</f>
        <v/>
      </c>
      <c r="AA1351" s="31">
        <f>IF($Y1351="","",TRIM(INDEX($A:$U,ROW(),$E$6)&amp;IF($F$6="",""," "&amp;INDEX($A:$U,ROW(),$F$6))))</f>
        <v/>
      </c>
      <c r="AB1351" s="31">
        <f>IF($AA1351="","",SUBSTITUTE(SUBSTITUTE(SUBSTITUTE(SUBSTITUTE(SUBSTITUTE(SUBSTITUTE(SUBSTITUTE(SUBSTITUTE(SUBSTITUTE($AA1351," ",""),"　",""),"(주)",""),"（주）",""),"㈜",""),"주식회사",""),"(유)",""),"（유）",""),"유한회사",""))</f>
        <v/>
      </c>
      <c r="AC1351" s="31">
        <f>IF(OR($Y1351="",N($Z1351)&lt;=0,$AB1351=""),0,IFERROR(LOOKUP(2,1/((거래처별!$AC$8:$AC$307&lt;&gt;"")*ISNUMBER(SEARCH(거래처별!$AC$8:$AC$307,$AB1351))),거래처별!$A$8:$A$307),IFERROR(LOOKUP(2,1/((거래처별!$AD$8:$AD$307&lt;&gt;"")*ISNUMBER(SEARCH(거래처별!$AD$8:$AD$307,$AB1351))),거래처별!$A$8:$A$307),IFERROR(LOOKUP(2,1/((거래처별!$AE$8:$AE$307&lt;&gt;"")*ISNUMBER(SEARCH(거래처별!$AE$8:$AE$307,$AB1351))),거래처별!$A$8:$A$307),0))))</f>
        <v/>
      </c>
      <c r="AD1351" s="31">
        <f>IF(AND($Y1351&lt;&gt;"",N($Z1351)&gt;0,$AC1351=0),MAX($AD$7:$AD1350)+1,"")</f>
        <v/>
      </c>
      <c r="AE1351" s="31">
        <f>IF($Y1351="",0,$Y1351)</f>
        <v/>
      </c>
    </row>
    <row r="1352">
      <c r="W1352" s="31">
        <f>IF(OR($B$5="",$C$6="",ROW()&lt;$B$5),"",IF(INDEX($A:$U,ROW(),$C$6)="","",INDEX($A:$U,ROW(),$C$6)))</f>
        <v/>
      </c>
      <c r="X1352" s="32">
        <f>IF($W1352="","",IF(ISNUMBER($W1352),IF($W1352&gt;=10000000,IFERROR(DATE(INT($W1352/10000),MOD(INT($W1352/100),100),MOD($W1352,100)),""),INT($W1352)),IFERROR(DATE(--LEFT(LEFT(SUBSTITUTE(SUBSTITUTE(SUBSTITUTE(SUBSTITUTE(TRIM($W1352),"-",""),".",""),"/","")," ",""),8),4),--MID(LEFT(SUBSTITUTE(SUBSTITUTE(SUBSTITUTE(SUBSTITUTE(TRIM($W1352),"-",""),".",""),"/","")," ",""),8),5,2),--MID(LEFT(SUBSTITUTE(SUBSTITUTE(SUBSTITUTE(SUBSTITUTE(TRIM($W1352),"-",""),".",""),"/","")," ",""),8),7,2)),"")))</f>
        <v/>
      </c>
      <c r="Y1352" s="32">
        <f>IF($X1352="","",INT($X1352))</f>
        <v/>
      </c>
      <c r="Z1352" s="33">
        <f>IF(OR($Y1352="",$D$6=""),"",IF(INDEX($A:$U,ROW(),$D$6)="",0,IF(ISNUMBER(INDEX($A:$U,ROW(),$D$6)),INDEX($A:$U,ROW(),$D$6),IFERROR(--SUBSTITUTE(SUBSTITUTE(TRIM(INDEX($A:$U,ROW(),$D$6)),",",""),"원",""),0))))</f>
        <v/>
      </c>
      <c r="AA1352" s="31">
        <f>IF($Y1352="","",TRIM(INDEX($A:$U,ROW(),$E$6)&amp;IF($F$6="",""," "&amp;INDEX($A:$U,ROW(),$F$6))))</f>
        <v/>
      </c>
      <c r="AB1352" s="31">
        <f>IF($AA1352="","",SUBSTITUTE(SUBSTITUTE(SUBSTITUTE(SUBSTITUTE(SUBSTITUTE(SUBSTITUTE(SUBSTITUTE(SUBSTITUTE(SUBSTITUTE($AA1352," ",""),"　",""),"(주)",""),"（주）",""),"㈜",""),"주식회사",""),"(유)",""),"（유）",""),"유한회사",""))</f>
        <v/>
      </c>
      <c r="AC1352" s="31">
        <f>IF(OR($Y1352="",N($Z1352)&lt;=0,$AB1352=""),0,IFERROR(LOOKUP(2,1/((거래처별!$AC$8:$AC$307&lt;&gt;"")*ISNUMBER(SEARCH(거래처별!$AC$8:$AC$307,$AB1352))),거래처별!$A$8:$A$307),IFERROR(LOOKUP(2,1/((거래처별!$AD$8:$AD$307&lt;&gt;"")*ISNUMBER(SEARCH(거래처별!$AD$8:$AD$307,$AB1352))),거래처별!$A$8:$A$307),IFERROR(LOOKUP(2,1/((거래처별!$AE$8:$AE$307&lt;&gt;"")*ISNUMBER(SEARCH(거래처별!$AE$8:$AE$307,$AB1352))),거래처별!$A$8:$A$307),0))))</f>
        <v/>
      </c>
      <c r="AD1352" s="31">
        <f>IF(AND($Y1352&lt;&gt;"",N($Z1352)&gt;0,$AC1352=0),MAX($AD$7:$AD1351)+1,"")</f>
        <v/>
      </c>
      <c r="AE1352" s="31">
        <f>IF($Y1352="",0,$Y1352)</f>
        <v/>
      </c>
    </row>
    <row r="1353">
      <c r="W1353" s="31">
        <f>IF(OR($B$5="",$C$6="",ROW()&lt;$B$5),"",IF(INDEX($A:$U,ROW(),$C$6)="","",INDEX($A:$U,ROW(),$C$6)))</f>
        <v/>
      </c>
      <c r="X1353" s="32">
        <f>IF($W1353="","",IF(ISNUMBER($W1353),IF($W1353&gt;=10000000,IFERROR(DATE(INT($W1353/10000),MOD(INT($W1353/100),100),MOD($W1353,100)),""),INT($W1353)),IFERROR(DATE(--LEFT(LEFT(SUBSTITUTE(SUBSTITUTE(SUBSTITUTE(SUBSTITUTE(TRIM($W1353),"-",""),".",""),"/","")," ",""),8),4),--MID(LEFT(SUBSTITUTE(SUBSTITUTE(SUBSTITUTE(SUBSTITUTE(TRIM($W1353),"-",""),".",""),"/","")," ",""),8),5,2),--MID(LEFT(SUBSTITUTE(SUBSTITUTE(SUBSTITUTE(SUBSTITUTE(TRIM($W1353),"-",""),".",""),"/","")," ",""),8),7,2)),"")))</f>
        <v/>
      </c>
      <c r="Y1353" s="32">
        <f>IF($X1353="","",INT($X1353))</f>
        <v/>
      </c>
      <c r="Z1353" s="33">
        <f>IF(OR($Y1353="",$D$6=""),"",IF(INDEX($A:$U,ROW(),$D$6)="",0,IF(ISNUMBER(INDEX($A:$U,ROW(),$D$6)),INDEX($A:$U,ROW(),$D$6),IFERROR(--SUBSTITUTE(SUBSTITUTE(TRIM(INDEX($A:$U,ROW(),$D$6)),",",""),"원",""),0))))</f>
        <v/>
      </c>
      <c r="AA1353" s="31">
        <f>IF($Y1353="","",TRIM(INDEX($A:$U,ROW(),$E$6)&amp;IF($F$6="",""," "&amp;INDEX($A:$U,ROW(),$F$6))))</f>
        <v/>
      </c>
      <c r="AB1353" s="31">
        <f>IF($AA1353="","",SUBSTITUTE(SUBSTITUTE(SUBSTITUTE(SUBSTITUTE(SUBSTITUTE(SUBSTITUTE(SUBSTITUTE(SUBSTITUTE(SUBSTITUTE($AA1353," ",""),"　",""),"(주)",""),"（주）",""),"㈜",""),"주식회사",""),"(유)",""),"（유）",""),"유한회사",""))</f>
        <v/>
      </c>
      <c r="AC1353" s="31">
        <f>IF(OR($Y1353="",N($Z1353)&lt;=0,$AB1353=""),0,IFERROR(LOOKUP(2,1/((거래처별!$AC$8:$AC$307&lt;&gt;"")*ISNUMBER(SEARCH(거래처별!$AC$8:$AC$307,$AB1353))),거래처별!$A$8:$A$307),IFERROR(LOOKUP(2,1/((거래처별!$AD$8:$AD$307&lt;&gt;"")*ISNUMBER(SEARCH(거래처별!$AD$8:$AD$307,$AB1353))),거래처별!$A$8:$A$307),IFERROR(LOOKUP(2,1/((거래처별!$AE$8:$AE$307&lt;&gt;"")*ISNUMBER(SEARCH(거래처별!$AE$8:$AE$307,$AB1353))),거래처별!$A$8:$A$307),0))))</f>
        <v/>
      </c>
      <c r="AD1353" s="31">
        <f>IF(AND($Y1353&lt;&gt;"",N($Z1353)&gt;0,$AC1353=0),MAX($AD$7:$AD1352)+1,"")</f>
        <v/>
      </c>
      <c r="AE1353" s="31">
        <f>IF($Y1353="",0,$Y1353)</f>
        <v/>
      </c>
    </row>
    <row r="1354">
      <c r="W1354" s="31">
        <f>IF(OR($B$5="",$C$6="",ROW()&lt;$B$5),"",IF(INDEX($A:$U,ROW(),$C$6)="","",INDEX($A:$U,ROW(),$C$6)))</f>
        <v/>
      </c>
      <c r="X1354" s="32">
        <f>IF($W1354="","",IF(ISNUMBER($W1354),IF($W1354&gt;=10000000,IFERROR(DATE(INT($W1354/10000),MOD(INT($W1354/100),100),MOD($W1354,100)),""),INT($W1354)),IFERROR(DATE(--LEFT(LEFT(SUBSTITUTE(SUBSTITUTE(SUBSTITUTE(SUBSTITUTE(TRIM($W1354),"-",""),".",""),"/","")," ",""),8),4),--MID(LEFT(SUBSTITUTE(SUBSTITUTE(SUBSTITUTE(SUBSTITUTE(TRIM($W1354),"-",""),".",""),"/","")," ",""),8),5,2),--MID(LEFT(SUBSTITUTE(SUBSTITUTE(SUBSTITUTE(SUBSTITUTE(TRIM($W1354),"-",""),".",""),"/","")," ",""),8),7,2)),"")))</f>
        <v/>
      </c>
      <c r="Y1354" s="32">
        <f>IF($X1354="","",INT($X1354))</f>
        <v/>
      </c>
      <c r="Z1354" s="33">
        <f>IF(OR($Y1354="",$D$6=""),"",IF(INDEX($A:$U,ROW(),$D$6)="",0,IF(ISNUMBER(INDEX($A:$U,ROW(),$D$6)),INDEX($A:$U,ROW(),$D$6),IFERROR(--SUBSTITUTE(SUBSTITUTE(TRIM(INDEX($A:$U,ROW(),$D$6)),",",""),"원",""),0))))</f>
        <v/>
      </c>
      <c r="AA1354" s="31">
        <f>IF($Y1354="","",TRIM(INDEX($A:$U,ROW(),$E$6)&amp;IF($F$6="",""," "&amp;INDEX($A:$U,ROW(),$F$6))))</f>
        <v/>
      </c>
      <c r="AB1354" s="31">
        <f>IF($AA1354="","",SUBSTITUTE(SUBSTITUTE(SUBSTITUTE(SUBSTITUTE(SUBSTITUTE(SUBSTITUTE(SUBSTITUTE(SUBSTITUTE(SUBSTITUTE($AA1354," ",""),"　",""),"(주)",""),"（주）",""),"㈜",""),"주식회사",""),"(유)",""),"（유）",""),"유한회사",""))</f>
        <v/>
      </c>
      <c r="AC1354" s="31">
        <f>IF(OR($Y1354="",N($Z1354)&lt;=0,$AB1354=""),0,IFERROR(LOOKUP(2,1/((거래처별!$AC$8:$AC$307&lt;&gt;"")*ISNUMBER(SEARCH(거래처별!$AC$8:$AC$307,$AB1354))),거래처별!$A$8:$A$307),IFERROR(LOOKUP(2,1/((거래처별!$AD$8:$AD$307&lt;&gt;"")*ISNUMBER(SEARCH(거래처별!$AD$8:$AD$307,$AB1354))),거래처별!$A$8:$A$307),IFERROR(LOOKUP(2,1/((거래처별!$AE$8:$AE$307&lt;&gt;"")*ISNUMBER(SEARCH(거래처별!$AE$8:$AE$307,$AB1354))),거래처별!$A$8:$A$307),0))))</f>
        <v/>
      </c>
      <c r="AD1354" s="31">
        <f>IF(AND($Y1354&lt;&gt;"",N($Z1354)&gt;0,$AC1354=0),MAX($AD$7:$AD1353)+1,"")</f>
        <v/>
      </c>
      <c r="AE1354" s="31">
        <f>IF($Y1354="",0,$Y1354)</f>
        <v/>
      </c>
    </row>
    <row r="1355">
      <c r="W1355" s="31">
        <f>IF(OR($B$5="",$C$6="",ROW()&lt;$B$5),"",IF(INDEX($A:$U,ROW(),$C$6)="","",INDEX($A:$U,ROW(),$C$6)))</f>
        <v/>
      </c>
      <c r="X1355" s="32">
        <f>IF($W1355="","",IF(ISNUMBER($W1355),IF($W1355&gt;=10000000,IFERROR(DATE(INT($W1355/10000),MOD(INT($W1355/100),100),MOD($W1355,100)),""),INT($W1355)),IFERROR(DATE(--LEFT(LEFT(SUBSTITUTE(SUBSTITUTE(SUBSTITUTE(SUBSTITUTE(TRIM($W1355),"-",""),".",""),"/","")," ",""),8),4),--MID(LEFT(SUBSTITUTE(SUBSTITUTE(SUBSTITUTE(SUBSTITUTE(TRIM($W1355),"-",""),".",""),"/","")," ",""),8),5,2),--MID(LEFT(SUBSTITUTE(SUBSTITUTE(SUBSTITUTE(SUBSTITUTE(TRIM($W1355),"-",""),".",""),"/","")," ",""),8),7,2)),"")))</f>
        <v/>
      </c>
      <c r="Y1355" s="32">
        <f>IF($X1355="","",INT($X1355))</f>
        <v/>
      </c>
      <c r="Z1355" s="33">
        <f>IF(OR($Y1355="",$D$6=""),"",IF(INDEX($A:$U,ROW(),$D$6)="",0,IF(ISNUMBER(INDEX($A:$U,ROW(),$D$6)),INDEX($A:$U,ROW(),$D$6),IFERROR(--SUBSTITUTE(SUBSTITUTE(TRIM(INDEX($A:$U,ROW(),$D$6)),",",""),"원",""),0))))</f>
        <v/>
      </c>
      <c r="AA1355" s="31">
        <f>IF($Y1355="","",TRIM(INDEX($A:$U,ROW(),$E$6)&amp;IF($F$6="",""," "&amp;INDEX($A:$U,ROW(),$F$6))))</f>
        <v/>
      </c>
      <c r="AB1355" s="31">
        <f>IF($AA1355="","",SUBSTITUTE(SUBSTITUTE(SUBSTITUTE(SUBSTITUTE(SUBSTITUTE(SUBSTITUTE(SUBSTITUTE(SUBSTITUTE(SUBSTITUTE($AA1355," ",""),"　",""),"(주)",""),"（주）",""),"㈜",""),"주식회사",""),"(유)",""),"（유）",""),"유한회사",""))</f>
        <v/>
      </c>
      <c r="AC1355" s="31">
        <f>IF(OR($Y1355="",N($Z1355)&lt;=0,$AB1355=""),0,IFERROR(LOOKUP(2,1/((거래처별!$AC$8:$AC$307&lt;&gt;"")*ISNUMBER(SEARCH(거래처별!$AC$8:$AC$307,$AB1355))),거래처별!$A$8:$A$307),IFERROR(LOOKUP(2,1/((거래처별!$AD$8:$AD$307&lt;&gt;"")*ISNUMBER(SEARCH(거래처별!$AD$8:$AD$307,$AB1355))),거래처별!$A$8:$A$307),IFERROR(LOOKUP(2,1/((거래처별!$AE$8:$AE$307&lt;&gt;"")*ISNUMBER(SEARCH(거래처별!$AE$8:$AE$307,$AB1355))),거래처별!$A$8:$A$307),0))))</f>
        <v/>
      </c>
      <c r="AD1355" s="31">
        <f>IF(AND($Y1355&lt;&gt;"",N($Z1355)&gt;0,$AC1355=0),MAX($AD$7:$AD1354)+1,"")</f>
        <v/>
      </c>
      <c r="AE1355" s="31">
        <f>IF($Y1355="",0,$Y1355)</f>
        <v/>
      </c>
    </row>
    <row r="1356">
      <c r="W1356" s="31">
        <f>IF(OR($B$5="",$C$6="",ROW()&lt;$B$5),"",IF(INDEX($A:$U,ROW(),$C$6)="","",INDEX($A:$U,ROW(),$C$6)))</f>
        <v/>
      </c>
      <c r="X1356" s="32">
        <f>IF($W1356="","",IF(ISNUMBER($W1356),IF($W1356&gt;=10000000,IFERROR(DATE(INT($W1356/10000),MOD(INT($W1356/100),100),MOD($W1356,100)),""),INT($W1356)),IFERROR(DATE(--LEFT(LEFT(SUBSTITUTE(SUBSTITUTE(SUBSTITUTE(SUBSTITUTE(TRIM($W1356),"-",""),".",""),"/","")," ",""),8),4),--MID(LEFT(SUBSTITUTE(SUBSTITUTE(SUBSTITUTE(SUBSTITUTE(TRIM($W1356),"-",""),".",""),"/","")," ",""),8),5,2),--MID(LEFT(SUBSTITUTE(SUBSTITUTE(SUBSTITUTE(SUBSTITUTE(TRIM($W1356),"-",""),".",""),"/","")," ",""),8),7,2)),"")))</f>
        <v/>
      </c>
      <c r="Y1356" s="32">
        <f>IF($X1356="","",INT($X1356))</f>
        <v/>
      </c>
      <c r="Z1356" s="33">
        <f>IF(OR($Y1356="",$D$6=""),"",IF(INDEX($A:$U,ROW(),$D$6)="",0,IF(ISNUMBER(INDEX($A:$U,ROW(),$D$6)),INDEX($A:$U,ROW(),$D$6),IFERROR(--SUBSTITUTE(SUBSTITUTE(TRIM(INDEX($A:$U,ROW(),$D$6)),",",""),"원",""),0))))</f>
        <v/>
      </c>
      <c r="AA1356" s="31">
        <f>IF($Y1356="","",TRIM(INDEX($A:$U,ROW(),$E$6)&amp;IF($F$6="",""," "&amp;INDEX($A:$U,ROW(),$F$6))))</f>
        <v/>
      </c>
      <c r="AB1356" s="31">
        <f>IF($AA1356="","",SUBSTITUTE(SUBSTITUTE(SUBSTITUTE(SUBSTITUTE(SUBSTITUTE(SUBSTITUTE(SUBSTITUTE(SUBSTITUTE(SUBSTITUTE($AA1356," ",""),"　",""),"(주)",""),"（주）",""),"㈜",""),"주식회사",""),"(유)",""),"（유）",""),"유한회사",""))</f>
        <v/>
      </c>
      <c r="AC1356" s="31">
        <f>IF(OR($Y1356="",N($Z1356)&lt;=0,$AB1356=""),0,IFERROR(LOOKUP(2,1/((거래처별!$AC$8:$AC$307&lt;&gt;"")*ISNUMBER(SEARCH(거래처별!$AC$8:$AC$307,$AB1356))),거래처별!$A$8:$A$307),IFERROR(LOOKUP(2,1/((거래처별!$AD$8:$AD$307&lt;&gt;"")*ISNUMBER(SEARCH(거래처별!$AD$8:$AD$307,$AB1356))),거래처별!$A$8:$A$307),IFERROR(LOOKUP(2,1/((거래처별!$AE$8:$AE$307&lt;&gt;"")*ISNUMBER(SEARCH(거래처별!$AE$8:$AE$307,$AB1356))),거래처별!$A$8:$A$307),0))))</f>
        <v/>
      </c>
      <c r="AD1356" s="31">
        <f>IF(AND($Y1356&lt;&gt;"",N($Z1356)&gt;0,$AC1356=0),MAX($AD$7:$AD1355)+1,"")</f>
        <v/>
      </c>
      <c r="AE1356" s="31">
        <f>IF($Y1356="",0,$Y1356)</f>
        <v/>
      </c>
    </row>
    <row r="1357">
      <c r="W1357" s="31">
        <f>IF(OR($B$5="",$C$6="",ROW()&lt;$B$5),"",IF(INDEX($A:$U,ROW(),$C$6)="","",INDEX($A:$U,ROW(),$C$6)))</f>
        <v/>
      </c>
      <c r="X1357" s="32">
        <f>IF($W1357="","",IF(ISNUMBER($W1357),IF($W1357&gt;=10000000,IFERROR(DATE(INT($W1357/10000),MOD(INT($W1357/100),100),MOD($W1357,100)),""),INT($W1357)),IFERROR(DATE(--LEFT(LEFT(SUBSTITUTE(SUBSTITUTE(SUBSTITUTE(SUBSTITUTE(TRIM($W1357),"-",""),".",""),"/","")," ",""),8),4),--MID(LEFT(SUBSTITUTE(SUBSTITUTE(SUBSTITUTE(SUBSTITUTE(TRIM($W1357),"-",""),".",""),"/","")," ",""),8),5,2),--MID(LEFT(SUBSTITUTE(SUBSTITUTE(SUBSTITUTE(SUBSTITUTE(TRIM($W1357),"-",""),".",""),"/","")," ",""),8),7,2)),"")))</f>
        <v/>
      </c>
      <c r="Y1357" s="32">
        <f>IF($X1357="","",INT($X1357))</f>
        <v/>
      </c>
      <c r="Z1357" s="33">
        <f>IF(OR($Y1357="",$D$6=""),"",IF(INDEX($A:$U,ROW(),$D$6)="",0,IF(ISNUMBER(INDEX($A:$U,ROW(),$D$6)),INDEX($A:$U,ROW(),$D$6),IFERROR(--SUBSTITUTE(SUBSTITUTE(TRIM(INDEX($A:$U,ROW(),$D$6)),",",""),"원",""),0))))</f>
        <v/>
      </c>
      <c r="AA1357" s="31">
        <f>IF($Y1357="","",TRIM(INDEX($A:$U,ROW(),$E$6)&amp;IF($F$6="",""," "&amp;INDEX($A:$U,ROW(),$F$6))))</f>
        <v/>
      </c>
      <c r="AB1357" s="31">
        <f>IF($AA1357="","",SUBSTITUTE(SUBSTITUTE(SUBSTITUTE(SUBSTITUTE(SUBSTITUTE(SUBSTITUTE(SUBSTITUTE(SUBSTITUTE(SUBSTITUTE($AA1357," ",""),"　",""),"(주)",""),"（주）",""),"㈜",""),"주식회사",""),"(유)",""),"（유）",""),"유한회사",""))</f>
        <v/>
      </c>
      <c r="AC1357" s="31">
        <f>IF(OR($Y1357="",N($Z1357)&lt;=0,$AB1357=""),0,IFERROR(LOOKUP(2,1/((거래처별!$AC$8:$AC$307&lt;&gt;"")*ISNUMBER(SEARCH(거래처별!$AC$8:$AC$307,$AB1357))),거래처별!$A$8:$A$307),IFERROR(LOOKUP(2,1/((거래처별!$AD$8:$AD$307&lt;&gt;"")*ISNUMBER(SEARCH(거래처별!$AD$8:$AD$307,$AB1357))),거래처별!$A$8:$A$307),IFERROR(LOOKUP(2,1/((거래처별!$AE$8:$AE$307&lt;&gt;"")*ISNUMBER(SEARCH(거래처별!$AE$8:$AE$307,$AB1357))),거래처별!$A$8:$A$307),0))))</f>
        <v/>
      </c>
      <c r="AD1357" s="31">
        <f>IF(AND($Y1357&lt;&gt;"",N($Z1357)&gt;0,$AC1357=0),MAX($AD$7:$AD1356)+1,"")</f>
        <v/>
      </c>
      <c r="AE1357" s="31">
        <f>IF($Y1357="",0,$Y1357)</f>
        <v/>
      </c>
    </row>
    <row r="1358">
      <c r="W1358" s="31">
        <f>IF(OR($B$5="",$C$6="",ROW()&lt;$B$5),"",IF(INDEX($A:$U,ROW(),$C$6)="","",INDEX($A:$U,ROW(),$C$6)))</f>
        <v/>
      </c>
      <c r="X1358" s="32">
        <f>IF($W1358="","",IF(ISNUMBER($W1358),IF($W1358&gt;=10000000,IFERROR(DATE(INT($W1358/10000),MOD(INT($W1358/100),100),MOD($W1358,100)),""),INT($W1358)),IFERROR(DATE(--LEFT(LEFT(SUBSTITUTE(SUBSTITUTE(SUBSTITUTE(SUBSTITUTE(TRIM($W1358),"-",""),".",""),"/","")," ",""),8),4),--MID(LEFT(SUBSTITUTE(SUBSTITUTE(SUBSTITUTE(SUBSTITUTE(TRIM($W1358),"-",""),".",""),"/","")," ",""),8),5,2),--MID(LEFT(SUBSTITUTE(SUBSTITUTE(SUBSTITUTE(SUBSTITUTE(TRIM($W1358),"-",""),".",""),"/","")," ",""),8),7,2)),"")))</f>
        <v/>
      </c>
      <c r="Y1358" s="32">
        <f>IF($X1358="","",INT($X1358))</f>
        <v/>
      </c>
      <c r="Z1358" s="33">
        <f>IF(OR($Y1358="",$D$6=""),"",IF(INDEX($A:$U,ROW(),$D$6)="",0,IF(ISNUMBER(INDEX($A:$U,ROW(),$D$6)),INDEX($A:$U,ROW(),$D$6),IFERROR(--SUBSTITUTE(SUBSTITUTE(TRIM(INDEX($A:$U,ROW(),$D$6)),",",""),"원",""),0))))</f>
        <v/>
      </c>
      <c r="AA1358" s="31">
        <f>IF($Y1358="","",TRIM(INDEX($A:$U,ROW(),$E$6)&amp;IF($F$6="",""," "&amp;INDEX($A:$U,ROW(),$F$6))))</f>
        <v/>
      </c>
      <c r="AB1358" s="31">
        <f>IF($AA1358="","",SUBSTITUTE(SUBSTITUTE(SUBSTITUTE(SUBSTITUTE(SUBSTITUTE(SUBSTITUTE(SUBSTITUTE(SUBSTITUTE(SUBSTITUTE($AA1358," ",""),"　",""),"(주)",""),"（주）",""),"㈜",""),"주식회사",""),"(유)",""),"（유）",""),"유한회사",""))</f>
        <v/>
      </c>
      <c r="AC1358" s="31">
        <f>IF(OR($Y1358="",N($Z1358)&lt;=0,$AB1358=""),0,IFERROR(LOOKUP(2,1/((거래처별!$AC$8:$AC$307&lt;&gt;"")*ISNUMBER(SEARCH(거래처별!$AC$8:$AC$307,$AB1358))),거래처별!$A$8:$A$307),IFERROR(LOOKUP(2,1/((거래처별!$AD$8:$AD$307&lt;&gt;"")*ISNUMBER(SEARCH(거래처별!$AD$8:$AD$307,$AB1358))),거래처별!$A$8:$A$307),IFERROR(LOOKUP(2,1/((거래처별!$AE$8:$AE$307&lt;&gt;"")*ISNUMBER(SEARCH(거래처별!$AE$8:$AE$307,$AB1358))),거래처별!$A$8:$A$307),0))))</f>
        <v/>
      </c>
      <c r="AD1358" s="31">
        <f>IF(AND($Y1358&lt;&gt;"",N($Z1358)&gt;0,$AC1358=0),MAX($AD$7:$AD1357)+1,"")</f>
        <v/>
      </c>
      <c r="AE1358" s="31">
        <f>IF($Y1358="",0,$Y1358)</f>
        <v/>
      </c>
    </row>
    <row r="1359">
      <c r="W1359" s="31">
        <f>IF(OR($B$5="",$C$6="",ROW()&lt;$B$5),"",IF(INDEX($A:$U,ROW(),$C$6)="","",INDEX($A:$U,ROW(),$C$6)))</f>
        <v/>
      </c>
      <c r="X1359" s="32">
        <f>IF($W1359="","",IF(ISNUMBER($W1359),IF($W1359&gt;=10000000,IFERROR(DATE(INT($W1359/10000),MOD(INT($W1359/100),100),MOD($W1359,100)),""),INT($W1359)),IFERROR(DATE(--LEFT(LEFT(SUBSTITUTE(SUBSTITUTE(SUBSTITUTE(SUBSTITUTE(TRIM($W1359),"-",""),".",""),"/","")," ",""),8),4),--MID(LEFT(SUBSTITUTE(SUBSTITUTE(SUBSTITUTE(SUBSTITUTE(TRIM($W1359),"-",""),".",""),"/","")," ",""),8),5,2),--MID(LEFT(SUBSTITUTE(SUBSTITUTE(SUBSTITUTE(SUBSTITUTE(TRIM($W1359),"-",""),".",""),"/","")," ",""),8),7,2)),"")))</f>
        <v/>
      </c>
      <c r="Y1359" s="32">
        <f>IF($X1359="","",INT($X1359))</f>
        <v/>
      </c>
      <c r="Z1359" s="33">
        <f>IF(OR($Y1359="",$D$6=""),"",IF(INDEX($A:$U,ROW(),$D$6)="",0,IF(ISNUMBER(INDEX($A:$U,ROW(),$D$6)),INDEX($A:$U,ROW(),$D$6),IFERROR(--SUBSTITUTE(SUBSTITUTE(TRIM(INDEX($A:$U,ROW(),$D$6)),",",""),"원",""),0))))</f>
        <v/>
      </c>
      <c r="AA1359" s="31">
        <f>IF($Y1359="","",TRIM(INDEX($A:$U,ROW(),$E$6)&amp;IF($F$6="",""," "&amp;INDEX($A:$U,ROW(),$F$6))))</f>
        <v/>
      </c>
      <c r="AB1359" s="31">
        <f>IF($AA1359="","",SUBSTITUTE(SUBSTITUTE(SUBSTITUTE(SUBSTITUTE(SUBSTITUTE(SUBSTITUTE(SUBSTITUTE(SUBSTITUTE(SUBSTITUTE($AA1359," ",""),"　",""),"(주)",""),"（주）",""),"㈜",""),"주식회사",""),"(유)",""),"（유）",""),"유한회사",""))</f>
        <v/>
      </c>
      <c r="AC1359" s="31">
        <f>IF(OR($Y1359="",N($Z1359)&lt;=0,$AB1359=""),0,IFERROR(LOOKUP(2,1/((거래처별!$AC$8:$AC$307&lt;&gt;"")*ISNUMBER(SEARCH(거래처별!$AC$8:$AC$307,$AB1359))),거래처별!$A$8:$A$307),IFERROR(LOOKUP(2,1/((거래처별!$AD$8:$AD$307&lt;&gt;"")*ISNUMBER(SEARCH(거래처별!$AD$8:$AD$307,$AB1359))),거래처별!$A$8:$A$307),IFERROR(LOOKUP(2,1/((거래처별!$AE$8:$AE$307&lt;&gt;"")*ISNUMBER(SEARCH(거래처별!$AE$8:$AE$307,$AB1359))),거래처별!$A$8:$A$307),0))))</f>
        <v/>
      </c>
      <c r="AD1359" s="31">
        <f>IF(AND($Y1359&lt;&gt;"",N($Z1359)&gt;0,$AC1359=0),MAX($AD$7:$AD1358)+1,"")</f>
        <v/>
      </c>
      <c r="AE1359" s="31">
        <f>IF($Y1359="",0,$Y1359)</f>
        <v/>
      </c>
    </row>
    <row r="1360">
      <c r="W1360" s="31">
        <f>IF(OR($B$5="",$C$6="",ROW()&lt;$B$5),"",IF(INDEX($A:$U,ROW(),$C$6)="","",INDEX($A:$U,ROW(),$C$6)))</f>
        <v/>
      </c>
      <c r="X1360" s="32">
        <f>IF($W1360="","",IF(ISNUMBER($W1360),IF($W1360&gt;=10000000,IFERROR(DATE(INT($W1360/10000),MOD(INT($W1360/100),100),MOD($W1360,100)),""),INT($W1360)),IFERROR(DATE(--LEFT(LEFT(SUBSTITUTE(SUBSTITUTE(SUBSTITUTE(SUBSTITUTE(TRIM($W1360),"-",""),".",""),"/","")," ",""),8),4),--MID(LEFT(SUBSTITUTE(SUBSTITUTE(SUBSTITUTE(SUBSTITUTE(TRIM($W1360),"-",""),".",""),"/","")," ",""),8),5,2),--MID(LEFT(SUBSTITUTE(SUBSTITUTE(SUBSTITUTE(SUBSTITUTE(TRIM($W1360),"-",""),".",""),"/","")," ",""),8),7,2)),"")))</f>
        <v/>
      </c>
      <c r="Y1360" s="32">
        <f>IF($X1360="","",INT($X1360))</f>
        <v/>
      </c>
      <c r="Z1360" s="33">
        <f>IF(OR($Y1360="",$D$6=""),"",IF(INDEX($A:$U,ROW(),$D$6)="",0,IF(ISNUMBER(INDEX($A:$U,ROW(),$D$6)),INDEX($A:$U,ROW(),$D$6),IFERROR(--SUBSTITUTE(SUBSTITUTE(TRIM(INDEX($A:$U,ROW(),$D$6)),",",""),"원",""),0))))</f>
        <v/>
      </c>
      <c r="AA1360" s="31">
        <f>IF($Y1360="","",TRIM(INDEX($A:$U,ROW(),$E$6)&amp;IF($F$6="",""," "&amp;INDEX($A:$U,ROW(),$F$6))))</f>
        <v/>
      </c>
      <c r="AB1360" s="31">
        <f>IF($AA1360="","",SUBSTITUTE(SUBSTITUTE(SUBSTITUTE(SUBSTITUTE(SUBSTITUTE(SUBSTITUTE(SUBSTITUTE(SUBSTITUTE(SUBSTITUTE($AA1360," ",""),"　",""),"(주)",""),"（주）",""),"㈜",""),"주식회사",""),"(유)",""),"（유）",""),"유한회사",""))</f>
        <v/>
      </c>
      <c r="AC1360" s="31">
        <f>IF(OR($Y1360="",N($Z1360)&lt;=0,$AB1360=""),0,IFERROR(LOOKUP(2,1/((거래처별!$AC$8:$AC$307&lt;&gt;"")*ISNUMBER(SEARCH(거래처별!$AC$8:$AC$307,$AB1360))),거래처별!$A$8:$A$307),IFERROR(LOOKUP(2,1/((거래처별!$AD$8:$AD$307&lt;&gt;"")*ISNUMBER(SEARCH(거래처별!$AD$8:$AD$307,$AB1360))),거래처별!$A$8:$A$307),IFERROR(LOOKUP(2,1/((거래처별!$AE$8:$AE$307&lt;&gt;"")*ISNUMBER(SEARCH(거래처별!$AE$8:$AE$307,$AB1360))),거래처별!$A$8:$A$307),0))))</f>
        <v/>
      </c>
      <c r="AD1360" s="31">
        <f>IF(AND($Y1360&lt;&gt;"",N($Z1360)&gt;0,$AC1360=0),MAX($AD$7:$AD1359)+1,"")</f>
        <v/>
      </c>
      <c r="AE1360" s="31">
        <f>IF($Y1360="",0,$Y1360)</f>
        <v/>
      </c>
    </row>
    <row r="1361">
      <c r="W1361" s="31">
        <f>IF(OR($B$5="",$C$6="",ROW()&lt;$B$5),"",IF(INDEX($A:$U,ROW(),$C$6)="","",INDEX($A:$U,ROW(),$C$6)))</f>
        <v/>
      </c>
      <c r="X1361" s="32">
        <f>IF($W1361="","",IF(ISNUMBER($W1361),IF($W1361&gt;=10000000,IFERROR(DATE(INT($W1361/10000),MOD(INT($W1361/100),100),MOD($W1361,100)),""),INT($W1361)),IFERROR(DATE(--LEFT(LEFT(SUBSTITUTE(SUBSTITUTE(SUBSTITUTE(SUBSTITUTE(TRIM($W1361),"-",""),".",""),"/","")," ",""),8),4),--MID(LEFT(SUBSTITUTE(SUBSTITUTE(SUBSTITUTE(SUBSTITUTE(TRIM($W1361),"-",""),".",""),"/","")," ",""),8),5,2),--MID(LEFT(SUBSTITUTE(SUBSTITUTE(SUBSTITUTE(SUBSTITUTE(TRIM($W1361),"-",""),".",""),"/","")," ",""),8),7,2)),"")))</f>
        <v/>
      </c>
      <c r="Y1361" s="32">
        <f>IF($X1361="","",INT($X1361))</f>
        <v/>
      </c>
      <c r="Z1361" s="33">
        <f>IF(OR($Y1361="",$D$6=""),"",IF(INDEX($A:$U,ROW(),$D$6)="",0,IF(ISNUMBER(INDEX($A:$U,ROW(),$D$6)),INDEX($A:$U,ROW(),$D$6),IFERROR(--SUBSTITUTE(SUBSTITUTE(TRIM(INDEX($A:$U,ROW(),$D$6)),",",""),"원",""),0))))</f>
        <v/>
      </c>
      <c r="AA1361" s="31">
        <f>IF($Y1361="","",TRIM(INDEX($A:$U,ROW(),$E$6)&amp;IF($F$6="",""," "&amp;INDEX($A:$U,ROW(),$F$6))))</f>
        <v/>
      </c>
      <c r="AB1361" s="31">
        <f>IF($AA1361="","",SUBSTITUTE(SUBSTITUTE(SUBSTITUTE(SUBSTITUTE(SUBSTITUTE(SUBSTITUTE(SUBSTITUTE(SUBSTITUTE(SUBSTITUTE($AA1361," ",""),"　",""),"(주)",""),"（주）",""),"㈜",""),"주식회사",""),"(유)",""),"（유）",""),"유한회사",""))</f>
        <v/>
      </c>
      <c r="AC1361" s="31">
        <f>IF(OR($Y1361="",N($Z1361)&lt;=0,$AB1361=""),0,IFERROR(LOOKUP(2,1/((거래처별!$AC$8:$AC$307&lt;&gt;"")*ISNUMBER(SEARCH(거래처별!$AC$8:$AC$307,$AB1361))),거래처별!$A$8:$A$307),IFERROR(LOOKUP(2,1/((거래처별!$AD$8:$AD$307&lt;&gt;"")*ISNUMBER(SEARCH(거래처별!$AD$8:$AD$307,$AB1361))),거래처별!$A$8:$A$307),IFERROR(LOOKUP(2,1/((거래처별!$AE$8:$AE$307&lt;&gt;"")*ISNUMBER(SEARCH(거래처별!$AE$8:$AE$307,$AB1361))),거래처별!$A$8:$A$307),0))))</f>
        <v/>
      </c>
      <c r="AD1361" s="31">
        <f>IF(AND($Y1361&lt;&gt;"",N($Z1361)&gt;0,$AC1361=0),MAX($AD$7:$AD1360)+1,"")</f>
        <v/>
      </c>
      <c r="AE1361" s="31">
        <f>IF($Y1361="",0,$Y1361)</f>
        <v/>
      </c>
    </row>
    <row r="1362">
      <c r="W1362" s="31">
        <f>IF(OR($B$5="",$C$6="",ROW()&lt;$B$5),"",IF(INDEX($A:$U,ROW(),$C$6)="","",INDEX($A:$U,ROW(),$C$6)))</f>
        <v/>
      </c>
      <c r="X1362" s="32">
        <f>IF($W1362="","",IF(ISNUMBER($W1362),IF($W1362&gt;=10000000,IFERROR(DATE(INT($W1362/10000),MOD(INT($W1362/100),100),MOD($W1362,100)),""),INT($W1362)),IFERROR(DATE(--LEFT(LEFT(SUBSTITUTE(SUBSTITUTE(SUBSTITUTE(SUBSTITUTE(TRIM($W1362),"-",""),".",""),"/","")," ",""),8),4),--MID(LEFT(SUBSTITUTE(SUBSTITUTE(SUBSTITUTE(SUBSTITUTE(TRIM($W1362),"-",""),".",""),"/","")," ",""),8),5,2),--MID(LEFT(SUBSTITUTE(SUBSTITUTE(SUBSTITUTE(SUBSTITUTE(TRIM($W1362),"-",""),".",""),"/","")," ",""),8),7,2)),"")))</f>
        <v/>
      </c>
      <c r="Y1362" s="32">
        <f>IF($X1362="","",INT($X1362))</f>
        <v/>
      </c>
      <c r="Z1362" s="33">
        <f>IF(OR($Y1362="",$D$6=""),"",IF(INDEX($A:$U,ROW(),$D$6)="",0,IF(ISNUMBER(INDEX($A:$U,ROW(),$D$6)),INDEX($A:$U,ROW(),$D$6),IFERROR(--SUBSTITUTE(SUBSTITUTE(TRIM(INDEX($A:$U,ROW(),$D$6)),",",""),"원",""),0))))</f>
        <v/>
      </c>
      <c r="AA1362" s="31">
        <f>IF($Y1362="","",TRIM(INDEX($A:$U,ROW(),$E$6)&amp;IF($F$6="",""," "&amp;INDEX($A:$U,ROW(),$F$6))))</f>
        <v/>
      </c>
      <c r="AB1362" s="31">
        <f>IF($AA1362="","",SUBSTITUTE(SUBSTITUTE(SUBSTITUTE(SUBSTITUTE(SUBSTITUTE(SUBSTITUTE(SUBSTITUTE(SUBSTITUTE(SUBSTITUTE($AA1362," ",""),"　",""),"(주)",""),"（주）",""),"㈜",""),"주식회사",""),"(유)",""),"（유）",""),"유한회사",""))</f>
        <v/>
      </c>
      <c r="AC1362" s="31">
        <f>IF(OR($Y1362="",N($Z1362)&lt;=0,$AB1362=""),0,IFERROR(LOOKUP(2,1/((거래처별!$AC$8:$AC$307&lt;&gt;"")*ISNUMBER(SEARCH(거래처별!$AC$8:$AC$307,$AB1362))),거래처별!$A$8:$A$307),IFERROR(LOOKUP(2,1/((거래처별!$AD$8:$AD$307&lt;&gt;"")*ISNUMBER(SEARCH(거래처별!$AD$8:$AD$307,$AB1362))),거래처별!$A$8:$A$307),IFERROR(LOOKUP(2,1/((거래처별!$AE$8:$AE$307&lt;&gt;"")*ISNUMBER(SEARCH(거래처별!$AE$8:$AE$307,$AB1362))),거래처별!$A$8:$A$307),0))))</f>
        <v/>
      </c>
      <c r="AD1362" s="31">
        <f>IF(AND($Y1362&lt;&gt;"",N($Z1362)&gt;0,$AC1362=0),MAX($AD$7:$AD1361)+1,"")</f>
        <v/>
      </c>
      <c r="AE1362" s="31">
        <f>IF($Y1362="",0,$Y1362)</f>
        <v/>
      </c>
    </row>
    <row r="1363">
      <c r="W1363" s="31">
        <f>IF(OR($B$5="",$C$6="",ROW()&lt;$B$5),"",IF(INDEX($A:$U,ROW(),$C$6)="","",INDEX($A:$U,ROW(),$C$6)))</f>
        <v/>
      </c>
      <c r="X1363" s="32">
        <f>IF($W1363="","",IF(ISNUMBER($W1363),IF($W1363&gt;=10000000,IFERROR(DATE(INT($W1363/10000),MOD(INT($W1363/100),100),MOD($W1363,100)),""),INT($W1363)),IFERROR(DATE(--LEFT(LEFT(SUBSTITUTE(SUBSTITUTE(SUBSTITUTE(SUBSTITUTE(TRIM($W1363),"-",""),".",""),"/","")," ",""),8),4),--MID(LEFT(SUBSTITUTE(SUBSTITUTE(SUBSTITUTE(SUBSTITUTE(TRIM($W1363),"-",""),".",""),"/","")," ",""),8),5,2),--MID(LEFT(SUBSTITUTE(SUBSTITUTE(SUBSTITUTE(SUBSTITUTE(TRIM($W1363),"-",""),".",""),"/","")," ",""),8),7,2)),"")))</f>
        <v/>
      </c>
      <c r="Y1363" s="32">
        <f>IF($X1363="","",INT($X1363))</f>
        <v/>
      </c>
      <c r="Z1363" s="33">
        <f>IF(OR($Y1363="",$D$6=""),"",IF(INDEX($A:$U,ROW(),$D$6)="",0,IF(ISNUMBER(INDEX($A:$U,ROW(),$D$6)),INDEX($A:$U,ROW(),$D$6),IFERROR(--SUBSTITUTE(SUBSTITUTE(TRIM(INDEX($A:$U,ROW(),$D$6)),",",""),"원",""),0))))</f>
        <v/>
      </c>
      <c r="AA1363" s="31">
        <f>IF($Y1363="","",TRIM(INDEX($A:$U,ROW(),$E$6)&amp;IF($F$6="",""," "&amp;INDEX($A:$U,ROW(),$F$6))))</f>
        <v/>
      </c>
      <c r="AB1363" s="31">
        <f>IF($AA1363="","",SUBSTITUTE(SUBSTITUTE(SUBSTITUTE(SUBSTITUTE(SUBSTITUTE(SUBSTITUTE(SUBSTITUTE(SUBSTITUTE(SUBSTITUTE($AA1363," ",""),"　",""),"(주)",""),"（주）",""),"㈜",""),"주식회사",""),"(유)",""),"（유）",""),"유한회사",""))</f>
        <v/>
      </c>
      <c r="AC1363" s="31">
        <f>IF(OR($Y1363="",N($Z1363)&lt;=0,$AB1363=""),0,IFERROR(LOOKUP(2,1/((거래처별!$AC$8:$AC$307&lt;&gt;"")*ISNUMBER(SEARCH(거래처별!$AC$8:$AC$307,$AB1363))),거래처별!$A$8:$A$307),IFERROR(LOOKUP(2,1/((거래처별!$AD$8:$AD$307&lt;&gt;"")*ISNUMBER(SEARCH(거래처별!$AD$8:$AD$307,$AB1363))),거래처별!$A$8:$A$307),IFERROR(LOOKUP(2,1/((거래처별!$AE$8:$AE$307&lt;&gt;"")*ISNUMBER(SEARCH(거래처별!$AE$8:$AE$307,$AB1363))),거래처별!$A$8:$A$307),0))))</f>
        <v/>
      </c>
      <c r="AD1363" s="31">
        <f>IF(AND($Y1363&lt;&gt;"",N($Z1363)&gt;0,$AC1363=0),MAX($AD$7:$AD1362)+1,"")</f>
        <v/>
      </c>
      <c r="AE1363" s="31">
        <f>IF($Y1363="",0,$Y1363)</f>
        <v/>
      </c>
    </row>
    <row r="1364">
      <c r="W1364" s="31">
        <f>IF(OR($B$5="",$C$6="",ROW()&lt;$B$5),"",IF(INDEX($A:$U,ROW(),$C$6)="","",INDEX($A:$U,ROW(),$C$6)))</f>
        <v/>
      </c>
      <c r="X1364" s="32">
        <f>IF($W1364="","",IF(ISNUMBER($W1364),IF($W1364&gt;=10000000,IFERROR(DATE(INT($W1364/10000),MOD(INT($W1364/100),100),MOD($W1364,100)),""),INT($W1364)),IFERROR(DATE(--LEFT(LEFT(SUBSTITUTE(SUBSTITUTE(SUBSTITUTE(SUBSTITUTE(TRIM($W1364),"-",""),".",""),"/","")," ",""),8),4),--MID(LEFT(SUBSTITUTE(SUBSTITUTE(SUBSTITUTE(SUBSTITUTE(TRIM($W1364),"-",""),".",""),"/","")," ",""),8),5,2),--MID(LEFT(SUBSTITUTE(SUBSTITUTE(SUBSTITUTE(SUBSTITUTE(TRIM($W1364),"-",""),".",""),"/","")," ",""),8),7,2)),"")))</f>
        <v/>
      </c>
      <c r="Y1364" s="32">
        <f>IF($X1364="","",INT($X1364))</f>
        <v/>
      </c>
      <c r="Z1364" s="33">
        <f>IF(OR($Y1364="",$D$6=""),"",IF(INDEX($A:$U,ROW(),$D$6)="",0,IF(ISNUMBER(INDEX($A:$U,ROW(),$D$6)),INDEX($A:$U,ROW(),$D$6),IFERROR(--SUBSTITUTE(SUBSTITUTE(TRIM(INDEX($A:$U,ROW(),$D$6)),",",""),"원",""),0))))</f>
        <v/>
      </c>
      <c r="AA1364" s="31">
        <f>IF($Y1364="","",TRIM(INDEX($A:$U,ROW(),$E$6)&amp;IF($F$6="",""," "&amp;INDEX($A:$U,ROW(),$F$6))))</f>
        <v/>
      </c>
      <c r="AB1364" s="31">
        <f>IF($AA1364="","",SUBSTITUTE(SUBSTITUTE(SUBSTITUTE(SUBSTITUTE(SUBSTITUTE(SUBSTITUTE(SUBSTITUTE(SUBSTITUTE(SUBSTITUTE($AA1364," ",""),"　",""),"(주)",""),"（주）",""),"㈜",""),"주식회사",""),"(유)",""),"（유）",""),"유한회사",""))</f>
        <v/>
      </c>
      <c r="AC1364" s="31">
        <f>IF(OR($Y1364="",N($Z1364)&lt;=0,$AB1364=""),0,IFERROR(LOOKUP(2,1/((거래처별!$AC$8:$AC$307&lt;&gt;"")*ISNUMBER(SEARCH(거래처별!$AC$8:$AC$307,$AB1364))),거래처별!$A$8:$A$307),IFERROR(LOOKUP(2,1/((거래처별!$AD$8:$AD$307&lt;&gt;"")*ISNUMBER(SEARCH(거래처별!$AD$8:$AD$307,$AB1364))),거래처별!$A$8:$A$307),IFERROR(LOOKUP(2,1/((거래처별!$AE$8:$AE$307&lt;&gt;"")*ISNUMBER(SEARCH(거래처별!$AE$8:$AE$307,$AB1364))),거래처별!$A$8:$A$307),0))))</f>
        <v/>
      </c>
      <c r="AD1364" s="31">
        <f>IF(AND($Y1364&lt;&gt;"",N($Z1364)&gt;0,$AC1364=0),MAX($AD$7:$AD1363)+1,"")</f>
        <v/>
      </c>
      <c r="AE1364" s="31">
        <f>IF($Y1364="",0,$Y1364)</f>
        <v/>
      </c>
    </row>
    <row r="1365">
      <c r="W1365" s="31">
        <f>IF(OR($B$5="",$C$6="",ROW()&lt;$B$5),"",IF(INDEX($A:$U,ROW(),$C$6)="","",INDEX($A:$U,ROW(),$C$6)))</f>
        <v/>
      </c>
      <c r="X1365" s="32">
        <f>IF($W1365="","",IF(ISNUMBER($W1365),IF($W1365&gt;=10000000,IFERROR(DATE(INT($W1365/10000),MOD(INT($W1365/100),100),MOD($W1365,100)),""),INT($W1365)),IFERROR(DATE(--LEFT(LEFT(SUBSTITUTE(SUBSTITUTE(SUBSTITUTE(SUBSTITUTE(TRIM($W1365),"-",""),".",""),"/","")," ",""),8),4),--MID(LEFT(SUBSTITUTE(SUBSTITUTE(SUBSTITUTE(SUBSTITUTE(TRIM($W1365),"-",""),".",""),"/","")," ",""),8),5,2),--MID(LEFT(SUBSTITUTE(SUBSTITUTE(SUBSTITUTE(SUBSTITUTE(TRIM($W1365),"-",""),".",""),"/","")," ",""),8),7,2)),"")))</f>
        <v/>
      </c>
      <c r="Y1365" s="32">
        <f>IF($X1365="","",INT($X1365))</f>
        <v/>
      </c>
      <c r="Z1365" s="33">
        <f>IF(OR($Y1365="",$D$6=""),"",IF(INDEX($A:$U,ROW(),$D$6)="",0,IF(ISNUMBER(INDEX($A:$U,ROW(),$D$6)),INDEX($A:$U,ROW(),$D$6),IFERROR(--SUBSTITUTE(SUBSTITUTE(TRIM(INDEX($A:$U,ROW(),$D$6)),",",""),"원",""),0))))</f>
        <v/>
      </c>
      <c r="AA1365" s="31">
        <f>IF($Y1365="","",TRIM(INDEX($A:$U,ROW(),$E$6)&amp;IF($F$6="",""," "&amp;INDEX($A:$U,ROW(),$F$6))))</f>
        <v/>
      </c>
      <c r="AB1365" s="31">
        <f>IF($AA1365="","",SUBSTITUTE(SUBSTITUTE(SUBSTITUTE(SUBSTITUTE(SUBSTITUTE(SUBSTITUTE(SUBSTITUTE(SUBSTITUTE(SUBSTITUTE($AA1365," ",""),"　",""),"(주)",""),"（주）",""),"㈜",""),"주식회사",""),"(유)",""),"（유）",""),"유한회사",""))</f>
        <v/>
      </c>
      <c r="AC1365" s="31">
        <f>IF(OR($Y1365="",N($Z1365)&lt;=0,$AB1365=""),0,IFERROR(LOOKUP(2,1/((거래처별!$AC$8:$AC$307&lt;&gt;"")*ISNUMBER(SEARCH(거래처별!$AC$8:$AC$307,$AB1365))),거래처별!$A$8:$A$307),IFERROR(LOOKUP(2,1/((거래처별!$AD$8:$AD$307&lt;&gt;"")*ISNUMBER(SEARCH(거래처별!$AD$8:$AD$307,$AB1365))),거래처별!$A$8:$A$307),IFERROR(LOOKUP(2,1/((거래처별!$AE$8:$AE$307&lt;&gt;"")*ISNUMBER(SEARCH(거래처별!$AE$8:$AE$307,$AB1365))),거래처별!$A$8:$A$307),0))))</f>
        <v/>
      </c>
      <c r="AD1365" s="31">
        <f>IF(AND($Y1365&lt;&gt;"",N($Z1365)&gt;0,$AC1365=0),MAX($AD$7:$AD1364)+1,"")</f>
        <v/>
      </c>
      <c r="AE1365" s="31">
        <f>IF($Y1365="",0,$Y1365)</f>
        <v/>
      </c>
    </row>
    <row r="1366">
      <c r="W1366" s="31">
        <f>IF(OR($B$5="",$C$6="",ROW()&lt;$B$5),"",IF(INDEX($A:$U,ROW(),$C$6)="","",INDEX($A:$U,ROW(),$C$6)))</f>
        <v/>
      </c>
      <c r="X1366" s="32">
        <f>IF($W1366="","",IF(ISNUMBER($W1366),IF($W1366&gt;=10000000,IFERROR(DATE(INT($W1366/10000),MOD(INT($W1366/100),100),MOD($W1366,100)),""),INT($W1366)),IFERROR(DATE(--LEFT(LEFT(SUBSTITUTE(SUBSTITUTE(SUBSTITUTE(SUBSTITUTE(TRIM($W1366),"-",""),".",""),"/","")," ",""),8),4),--MID(LEFT(SUBSTITUTE(SUBSTITUTE(SUBSTITUTE(SUBSTITUTE(TRIM($W1366),"-",""),".",""),"/","")," ",""),8),5,2),--MID(LEFT(SUBSTITUTE(SUBSTITUTE(SUBSTITUTE(SUBSTITUTE(TRIM($W1366),"-",""),".",""),"/","")," ",""),8),7,2)),"")))</f>
        <v/>
      </c>
      <c r="Y1366" s="32">
        <f>IF($X1366="","",INT($X1366))</f>
        <v/>
      </c>
      <c r="Z1366" s="33">
        <f>IF(OR($Y1366="",$D$6=""),"",IF(INDEX($A:$U,ROW(),$D$6)="",0,IF(ISNUMBER(INDEX($A:$U,ROW(),$D$6)),INDEX($A:$U,ROW(),$D$6),IFERROR(--SUBSTITUTE(SUBSTITUTE(TRIM(INDEX($A:$U,ROW(),$D$6)),",",""),"원",""),0))))</f>
        <v/>
      </c>
      <c r="AA1366" s="31">
        <f>IF($Y1366="","",TRIM(INDEX($A:$U,ROW(),$E$6)&amp;IF($F$6="",""," "&amp;INDEX($A:$U,ROW(),$F$6))))</f>
        <v/>
      </c>
      <c r="AB1366" s="31">
        <f>IF($AA1366="","",SUBSTITUTE(SUBSTITUTE(SUBSTITUTE(SUBSTITUTE(SUBSTITUTE(SUBSTITUTE(SUBSTITUTE(SUBSTITUTE(SUBSTITUTE($AA1366," ",""),"　",""),"(주)",""),"（주）",""),"㈜",""),"주식회사",""),"(유)",""),"（유）",""),"유한회사",""))</f>
        <v/>
      </c>
      <c r="AC1366" s="31">
        <f>IF(OR($Y1366="",N($Z1366)&lt;=0,$AB1366=""),0,IFERROR(LOOKUP(2,1/((거래처별!$AC$8:$AC$307&lt;&gt;"")*ISNUMBER(SEARCH(거래처별!$AC$8:$AC$307,$AB1366))),거래처별!$A$8:$A$307),IFERROR(LOOKUP(2,1/((거래처별!$AD$8:$AD$307&lt;&gt;"")*ISNUMBER(SEARCH(거래처별!$AD$8:$AD$307,$AB1366))),거래처별!$A$8:$A$307),IFERROR(LOOKUP(2,1/((거래처별!$AE$8:$AE$307&lt;&gt;"")*ISNUMBER(SEARCH(거래처별!$AE$8:$AE$307,$AB1366))),거래처별!$A$8:$A$307),0))))</f>
        <v/>
      </c>
      <c r="AD1366" s="31">
        <f>IF(AND($Y1366&lt;&gt;"",N($Z1366)&gt;0,$AC1366=0),MAX($AD$7:$AD1365)+1,"")</f>
        <v/>
      </c>
      <c r="AE1366" s="31">
        <f>IF($Y1366="",0,$Y1366)</f>
        <v/>
      </c>
    </row>
    <row r="1367">
      <c r="W1367" s="31">
        <f>IF(OR($B$5="",$C$6="",ROW()&lt;$B$5),"",IF(INDEX($A:$U,ROW(),$C$6)="","",INDEX($A:$U,ROW(),$C$6)))</f>
        <v/>
      </c>
      <c r="X1367" s="32">
        <f>IF($W1367="","",IF(ISNUMBER($W1367),IF($W1367&gt;=10000000,IFERROR(DATE(INT($W1367/10000),MOD(INT($W1367/100),100),MOD($W1367,100)),""),INT($W1367)),IFERROR(DATE(--LEFT(LEFT(SUBSTITUTE(SUBSTITUTE(SUBSTITUTE(SUBSTITUTE(TRIM($W1367),"-",""),".",""),"/","")," ",""),8),4),--MID(LEFT(SUBSTITUTE(SUBSTITUTE(SUBSTITUTE(SUBSTITUTE(TRIM($W1367),"-",""),".",""),"/","")," ",""),8),5,2),--MID(LEFT(SUBSTITUTE(SUBSTITUTE(SUBSTITUTE(SUBSTITUTE(TRIM($W1367),"-",""),".",""),"/","")," ",""),8),7,2)),"")))</f>
        <v/>
      </c>
      <c r="Y1367" s="32">
        <f>IF($X1367="","",INT($X1367))</f>
        <v/>
      </c>
      <c r="Z1367" s="33">
        <f>IF(OR($Y1367="",$D$6=""),"",IF(INDEX($A:$U,ROW(),$D$6)="",0,IF(ISNUMBER(INDEX($A:$U,ROW(),$D$6)),INDEX($A:$U,ROW(),$D$6),IFERROR(--SUBSTITUTE(SUBSTITUTE(TRIM(INDEX($A:$U,ROW(),$D$6)),",",""),"원",""),0))))</f>
        <v/>
      </c>
      <c r="AA1367" s="31">
        <f>IF($Y1367="","",TRIM(INDEX($A:$U,ROW(),$E$6)&amp;IF($F$6="",""," "&amp;INDEX($A:$U,ROW(),$F$6))))</f>
        <v/>
      </c>
      <c r="AB1367" s="31">
        <f>IF($AA1367="","",SUBSTITUTE(SUBSTITUTE(SUBSTITUTE(SUBSTITUTE(SUBSTITUTE(SUBSTITUTE(SUBSTITUTE(SUBSTITUTE(SUBSTITUTE($AA1367," ",""),"　",""),"(주)",""),"（주）",""),"㈜",""),"주식회사",""),"(유)",""),"（유）",""),"유한회사",""))</f>
        <v/>
      </c>
      <c r="AC1367" s="31">
        <f>IF(OR($Y1367="",N($Z1367)&lt;=0,$AB1367=""),0,IFERROR(LOOKUP(2,1/((거래처별!$AC$8:$AC$307&lt;&gt;"")*ISNUMBER(SEARCH(거래처별!$AC$8:$AC$307,$AB1367))),거래처별!$A$8:$A$307),IFERROR(LOOKUP(2,1/((거래처별!$AD$8:$AD$307&lt;&gt;"")*ISNUMBER(SEARCH(거래처별!$AD$8:$AD$307,$AB1367))),거래처별!$A$8:$A$307),IFERROR(LOOKUP(2,1/((거래처별!$AE$8:$AE$307&lt;&gt;"")*ISNUMBER(SEARCH(거래처별!$AE$8:$AE$307,$AB1367))),거래처별!$A$8:$A$307),0))))</f>
        <v/>
      </c>
      <c r="AD1367" s="31">
        <f>IF(AND($Y1367&lt;&gt;"",N($Z1367)&gt;0,$AC1367=0),MAX($AD$7:$AD1366)+1,"")</f>
        <v/>
      </c>
      <c r="AE1367" s="31">
        <f>IF($Y1367="",0,$Y1367)</f>
        <v/>
      </c>
    </row>
    <row r="1368">
      <c r="W1368" s="31">
        <f>IF(OR($B$5="",$C$6="",ROW()&lt;$B$5),"",IF(INDEX($A:$U,ROW(),$C$6)="","",INDEX($A:$U,ROW(),$C$6)))</f>
        <v/>
      </c>
      <c r="X1368" s="32">
        <f>IF($W1368="","",IF(ISNUMBER($W1368),IF($W1368&gt;=10000000,IFERROR(DATE(INT($W1368/10000),MOD(INT($W1368/100),100),MOD($W1368,100)),""),INT($W1368)),IFERROR(DATE(--LEFT(LEFT(SUBSTITUTE(SUBSTITUTE(SUBSTITUTE(SUBSTITUTE(TRIM($W1368),"-",""),".",""),"/","")," ",""),8),4),--MID(LEFT(SUBSTITUTE(SUBSTITUTE(SUBSTITUTE(SUBSTITUTE(TRIM($W1368),"-",""),".",""),"/","")," ",""),8),5,2),--MID(LEFT(SUBSTITUTE(SUBSTITUTE(SUBSTITUTE(SUBSTITUTE(TRIM($W1368),"-",""),".",""),"/","")," ",""),8),7,2)),"")))</f>
        <v/>
      </c>
      <c r="Y1368" s="32">
        <f>IF($X1368="","",INT($X1368))</f>
        <v/>
      </c>
      <c r="Z1368" s="33">
        <f>IF(OR($Y1368="",$D$6=""),"",IF(INDEX($A:$U,ROW(),$D$6)="",0,IF(ISNUMBER(INDEX($A:$U,ROW(),$D$6)),INDEX($A:$U,ROW(),$D$6),IFERROR(--SUBSTITUTE(SUBSTITUTE(TRIM(INDEX($A:$U,ROW(),$D$6)),",",""),"원",""),0))))</f>
        <v/>
      </c>
      <c r="AA1368" s="31">
        <f>IF($Y1368="","",TRIM(INDEX($A:$U,ROW(),$E$6)&amp;IF($F$6="",""," "&amp;INDEX($A:$U,ROW(),$F$6))))</f>
        <v/>
      </c>
      <c r="AB1368" s="31">
        <f>IF($AA1368="","",SUBSTITUTE(SUBSTITUTE(SUBSTITUTE(SUBSTITUTE(SUBSTITUTE(SUBSTITUTE(SUBSTITUTE(SUBSTITUTE(SUBSTITUTE($AA1368," ",""),"　",""),"(주)",""),"（주）",""),"㈜",""),"주식회사",""),"(유)",""),"（유）",""),"유한회사",""))</f>
        <v/>
      </c>
      <c r="AC1368" s="31">
        <f>IF(OR($Y1368="",N($Z1368)&lt;=0,$AB1368=""),0,IFERROR(LOOKUP(2,1/((거래처별!$AC$8:$AC$307&lt;&gt;"")*ISNUMBER(SEARCH(거래처별!$AC$8:$AC$307,$AB1368))),거래처별!$A$8:$A$307),IFERROR(LOOKUP(2,1/((거래처별!$AD$8:$AD$307&lt;&gt;"")*ISNUMBER(SEARCH(거래처별!$AD$8:$AD$307,$AB1368))),거래처별!$A$8:$A$307),IFERROR(LOOKUP(2,1/((거래처별!$AE$8:$AE$307&lt;&gt;"")*ISNUMBER(SEARCH(거래처별!$AE$8:$AE$307,$AB1368))),거래처별!$A$8:$A$307),0))))</f>
        <v/>
      </c>
      <c r="AD1368" s="31">
        <f>IF(AND($Y1368&lt;&gt;"",N($Z1368)&gt;0,$AC1368=0),MAX($AD$7:$AD1367)+1,"")</f>
        <v/>
      </c>
      <c r="AE1368" s="31">
        <f>IF($Y1368="",0,$Y1368)</f>
        <v/>
      </c>
    </row>
    <row r="1369">
      <c r="W1369" s="31">
        <f>IF(OR($B$5="",$C$6="",ROW()&lt;$B$5),"",IF(INDEX($A:$U,ROW(),$C$6)="","",INDEX($A:$U,ROW(),$C$6)))</f>
        <v/>
      </c>
      <c r="X1369" s="32">
        <f>IF($W1369="","",IF(ISNUMBER($W1369),IF($W1369&gt;=10000000,IFERROR(DATE(INT($W1369/10000),MOD(INT($W1369/100),100),MOD($W1369,100)),""),INT($W1369)),IFERROR(DATE(--LEFT(LEFT(SUBSTITUTE(SUBSTITUTE(SUBSTITUTE(SUBSTITUTE(TRIM($W1369),"-",""),".",""),"/","")," ",""),8),4),--MID(LEFT(SUBSTITUTE(SUBSTITUTE(SUBSTITUTE(SUBSTITUTE(TRIM($W1369),"-",""),".",""),"/","")," ",""),8),5,2),--MID(LEFT(SUBSTITUTE(SUBSTITUTE(SUBSTITUTE(SUBSTITUTE(TRIM($W1369),"-",""),".",""),"/","")," ",""),8),7,2)),"")))</f>
        <v/>
      </c>
      <c r="Y1369" s="32">
        <f>IF($X1369="","",INT($X1369))</f>
        <v/>
      </c>
      <c r="Z1369" s="33">
        <f>IF(OR($Y1369="",$D$6=""),"",IF(INDEX($A:$U,ROW(),$D$6)="",0,IF(ISNUMBER(INDEX($A:$U,ROW(),$D$6)),INDEX($A:$U,ROW(),$D$6),IFERROR(--SUBSTITUTE(SUBSTITUTE(TRIM(INDEX($A:$U,ROW(),$D$6)),",",""),"원",""),0))))</f>
        <v/>
      </c>
      <c r="AA1369" s="31">
        <f>IF($Y1369="","",TRIM(INDEX($A:$U,ROW(),$E$6)&amp;IF($F$6="",""," "&amp;INDEX($A:$U,ROW(),$F$6))))</f>
        <v/>
      </c>
      <c r="AB1369" s="31">
        <f>IF($AA1369="","",SUBSTITUTE(SUBSTITUTE(SUBSTITUTE(SUBSTITUTE(SUBSTITUTE(SUBSTITUTE(SUBSTITUTE(SUBSTITUTE(SUBSTITUTE($AA1369," ",""),"　",""),"(주)",""),"（주）",""),"㈜",""),"주식회사",""),"(유)",""),"（유）",""),"유한회사",""))</f>
        <v/>
      </c>
      <c r="AC1369" s="31">
        <f>IF(OR($Y1369="",N($Z1369)&lt;=0,$AB1369=""),0,IFERROR(LOOKUP(2,1/((거래처별!$AC$8:$AC$307&lt;&gt;"")*ISNUMBER(SEARCH(거래처별!$AC$8:$AC$307,$AB1369))),거래처별!$A$8:$A$307),IFERROR(LOOKUP(2,1/((거래처별!$AD$8:$AD$307&lt;&gt;"")*ISNUMBER(SEARCH(거래처별!$AD$8:$AD$307,$AB1369))),거래처별!$A$8:$A$307),IFERROR(LOOKUP(2,1/((거래처별!$AE$8:$AE$307&lt;&gt;"")*ISNUMBER(SEARCH(거래처별!$AE$8:$AE$307,$AB1369))),거래처별!$A$8:$A$307),0))))</f>
        <v/>
      </c>
      <c r="AD1369" s="31">
        <f>IF(AND($Y1369&lt;&gt;"",N($Z1369)&gt;0,$AC1369=0),MAX($AD$7:$AD1368)+1,"")</f>
        <v/>
      </c>
      <c r="AE1369" s="31">
        <f>IF($Y1369="",0,$Y1369)</f>
        <v/>
      </c>
    </row>
    <row r="1370">
      <c r="W1370" s="31">
        <f>IF(OR($B$5="",$C$6="",ROW()&lt;$B$5),"",IF(INDEX($A:$U,ROW(),$C$6)="","",INDEX($A:$U,ROW(),$C$6)))</f>
        <v/>
      </c>
      <c r="X1370" s="32">
        <f>IF($W1370="","",IF(ISNUMBER($W1370),IF($W1370&gt;=10000000,IFERROR(DATE(INT($W1370/10000),MOD(INT($W1370/100),100),MOD($W1370,100)),""),INT($W1370)),IFERROR(DATE(--LEFT(LEFT(SUBSTITUTE(SUBSTITUTE(SUBSTITUTE(SUBSTITUTE(TRIM($W1370),"-",""),".",""),"/","")," ",""),8),4),--MID(LEFT(SUBSTITUTE(SUBSTITUTE(SUBSTITUTE(SUBSTITUTE(TRIM($W1370),"-",""),".",""),"/","")," ",""),8),5,2),--MID(LEFT(SUBSTITUTE(SUBSTITUTE(SUBSTITUTE(SUBSTITUTE(TRIM($W1370),"-",""),".",""),"/","")," ",""),8),7,2)),"")))</f>
        <v/>
      </c>
      <c r="Y1370" s="32">
        <f>IF($X1370="","",INT($X1370))</f>
        <v/>
      </c>
      <c r="Z1370" s="33">
        <f>IF(OR($Y1370="",$D$6=""),"",IF(INDEX($A:$U,ROW(),$D$6)="",0,IF(ISNUMBER(INDEX($A:$U,ROW(),$D$6)),INDEX($A:$U,ROW(),$D$6),IFERROR(--SUBSTITUTE(SUBSTITUTE(TRIM(INDEX($A:$U,ROW(),$D$6)),",",""),"원",""),0))))</f>
        <v/>
      </c>
      <c r="AA1370" s="31">
        <f>IF($Y1370="","",TRIM(INDEX($A:$U,ROW(),$E$6)&amp;IF($F$6="",""," "&amp;INDEX($A:$U,ROW(),$F$6))))</f>
        <v/>
      </c>
      <c r="AB1370" s="31">
        <f>IF($AA1370="","",SUBSTITUTE(SUBSTITUTE(SUBSTITUTE(SUBSTITUTE(SUBSTITUTE(SUBSTITUTE(SUBSTITUTE(SUBSTITUTE(SUBSTITUTE($AA1370," ",""),"　",""),"(주)",""),"（주）",""),"㈜",""),"주식회사",""),"(유)",""),"（유）",""),"유한회사",""))</f>
        <v/>
      </c>
      <c r="AC1370" s="31">
        <f>IF(OR($Y1370="",N($Z1370)&lt;=0,$AB1370=""),0,IFERROR(LOOKUP(2,1/((거래처별!$AC$8:$AC$307&lt;&gt;"")*ISNUMBER(SEARCH(거래처별!$AC$8:$AC$307,$AB1370))),거래처별!$A$8:$A$307),IFERROR(LOOKUP(2,1/((거래처별!$AD$8:$AD$307&lt;&gt;"")*ISNUMBER(SEARCH(거래처별!$AD$8:$AD$307,$AB1370))),거래처별!$A$8:$A$307),IFERROR(LOOKUP(2,1/((거래처별!$AE$8:$AE$307&lt;&gt;"")*ISNUMBER(SEARCH(거래처별!$AE$8:$AE$307,$AB1370))),거래처별!$A$8:$A$307),0))))</f>
        <v/>
      </c>
      <c r="AD1370" s="31">
        <f>IF(AND($Y1370&lt;&gt;"",N($Z1370)&gt;0,$AC1370=0),MAX($AD$7:$AD1369)+1,"")</f>
        <v/>
      </c>
      <c r="AE1370" s="31">
        <f>IF($Y1370="",0,$Y1370)</f>
        <v/>
      </c>
    </row>
    <row r="1371">
      <c r="W1371" s="31">
        <f>IF(OR($B$5="",$C$6="",ROW()&lt;$B$5),"",IF(INDEX($A:$U,ROW(),$C$6)="","",INDEX($A:$U,ROW(),$C$6)))</f>
        <v/>
      </c>
      <c r="X1371" s="32">
        <f>IF($W1371="","",IF(ISNUMBER($W1371),IF($W1371&gt;=10000000,IFERROR(DATE(INT($W1371/10000),MOD(INT($W1371/100),100),MOD($W1371,100)),""),INT($W1371)),IFERROR(DATE(--LEFT(LEFT(SUBSTITUTE(SUBSTITUTE(SUBSTITUTE(SUBSTITUTE(TRIM($W1371),"-",""),".",""),"/","")," ",""),8),4),--MID(LEFT(SUBSTITUTE(SUBSTITUTE(SUBSTITUTE(SUBSTITUTE(TRIM($W1371),"-",""),".",""),"/","")," ",""),8),5,2),--MID(LEFT(SUBSTITUTE(SUBSTITUTE(SUBSTITUTE(SUBSTITUTE(TRIM($W1371),"-",""),".",""),"/","")," ",""),8),7,2)),"")))</f>
        <v/>
      </c>
      <c r="Y1371" s="32">
        <f>IF($X1371="","",INT($X1371))</f>
        <v/>
      </c>
      <c r="Z1371" s="33">
        <f>IF(OR($Y1371="",$D$6=""),"",IF(INDEX($A:$U,ROW(),$D$6)="",0,IF(ISNUMBER(INDEX($A:$U,ROW(),$D$6)),INDEX($A:$U,ROW(),$D$6),IFERROR(--SUBSTITUTE(SUBSTITUTE(TRIM(INDEX($A:$U,ROW(),$D$6)),",",""),"원",""),0))))</f>
        <v/>
      </c>
      <c r="AA1371" s="31">
        <f>IF($Y1371="","",TRIM(INDEX($A:$U,ROW(),$E$6)&amp;IF($F$6="",""," "&amp;INDEX($A:$U,ROW(),$F$6))))</f>
        <v/>
      </c>
      <c r="AB1371" s="31">
        <f>IF($AA1371="","",SUBSTITUTE(SUBSTITUTE(SUBSTITUTE(SUBSTITUTE(SUBSTITUTE(SUBSTITUTE(SUBSTITUTE(SUBSTITUTE(SUBSTITUTE($AA1371," ",""),"　",""),"(주)",""),"（주）",""),"㈜",""),"주식회사",""),"(유)",""),"（유）",""),"유한회사",""))</f>
        <v/>
      </c>
      <c r="AC1371" s="31">
        <f>IF(OR($Y1371="",N($Z1371)&lt;=0,$AB1371=""),0,IFERROR(LOOKUP(2,1/((거래처별!$AC$8:$AC$307&lt;&gt;"")*ISNUMBER(SEARCH(거래처별!$AC$8:$AC$307,$AB1371))),거래처별!$A$8:$A$307),IFERROR(LOOKUP(2,1/((거래처별!$AD$8:$AD$307&lt;&gt;"")*ISNUMBER(SEARCH(거래처별!$AD$8:$AD$307,$AB1371))),거래처별!$A$8:$A$307),IFERROR(LOOKUP(2,1/((거래처별!$AE$8:$AE$307&lt;&gt;"")*ISNUMBER(SEARCH(거래처별!$AE$8:$AE$307,$AB1371))),거래처별!$A$8:$A$307),0))))</f>
        <v/>
      </c>
      <c r="AD1371" s="31">
        <f>IF(AND($Y1371&lt;&gt;"",N($Z1371)&gt;0,$AC1371=0),MAX($AD$7:$AD1370)+1,"")</f>
        <v/>
      </c>
      <c r="AE1371" s="31">
        <f>IF($Y1371="",0,$Y1371)</f>
        <v/>
      </c>
    </row>
    <row r="1372">
      <c r="W1372" s="31">
        <f>IF(OR($B$5="",$C$6="",ROW()&lt;$B$5),"",IF(INDEX($A:$U,ROW(),$C$6)="","",INDEX($A:$U,ROW(),$C$6)))</f>
        <v/>
      </c>
      <c r="X1372" s="32">
        <f>IF($W1372="","",IF(ISNUMBER($W1372),IF($W1372&gt;=10000000,IFERROR(DATE(INT($W1372/10000),MOD(INT($W1372/100),100),MOD($W1372,100)),""),INT($W1372)),IFERROR(DATE(--LEFT(LEFT(SUBSTITUTE(SUBSTITUTE(SUBSTITUTE(SUBSTITUTE(TRIM($W1372),"-",""),".",""),"/","")," ",""),8),4),--MID(LEFT(SUBSTITUTE(SUBSTITUTE(SUBSTITUTE(SUBSTITUTE(TRIM($W1372),"-",""),".",""),"/","")," ",""),8),5,2),--MID(LEFT(SUBSTITUTE(SUBSTITUTE(SUBSTITUTE(SUBSTITUTE(TRIM($W1372),"-",""),".",""),"/","")," ",""),8),7,2)),"")))</f>
        <v/>
      </c>
      <c r="Y1372" s="32">
        <f>IF($X1372="","",INT($X1372))</f>
        <v/>
      </c>
      <c r="Z1372" s="33">
        <f>IF(OR($Y1372="",$D$6=""),"",IF(INDEX($A:$U,ROW(),$D$6)="",0,IF(ISNUMBER(INDEX($A:$U,ROW(),$D$6)),INDEX($A:$U,ROW(),$D$6),IFERROR(--SUBSTITUTE(SUBSTITUTE(TRIM(INDEX($A:$U,ROW(),$D$6)),",",""),"원",""),0))))</f>
        <v/>
      </c>
      <c r="AA1372" s="31">
        <f>IF($Y1372="","",TRIM(INDEX($A:$U,ROW(),$E$6)&amp;IF($F$6="",""," "&amp;INDEX($A:$U,ROW(),$F$6))))</f>
        <v/>
      </c>
      <c r="AB1372" s="31">
        <f>IF($AA1372="","",SUBSTITUTE(SUBSTITUTE(SUBSTITUTE(SUBSTITUTE(SUBSTITUTE(SUBSTITUTE(SUBSTITUTE(SUBSTITUTE(SUBSTITUTE($AA1372," ",""),"　",""),"(주)",""),"（주）",""),"㈜",""),"주식회사",""),"(유)",""),"（유）",""),"유한회사",""))</f>
        <v/>
      </c>
      <c r="AC1372" s="31">
        <f>IF(OR($Y1372="",N($Z1372)&lt;=0,$AB1372=""),0,IFERROR(LOOKUP(2,1/((거래처별!$AC$8:$AC$307&lt;&gt;"")*ISNUMBER(SEARCH(거래처별!$AC$8:$AC$307,$AB1372))),거래처별!$A$8:$A$307),IFERROR(LOOKUP(2,1/((거래처별!$AD$8:$AD$307&lt;&gt;"")*ISNUMBER(SEARCH(거래처별!$AD$8:$AD$307,$AB1372))),거래처별!$A$8:$A$307),IFERROR(LOOKUP(2,1/((거래처별!$AE$8:$AE$307&lt;&gt;"")*ISNUMBER(SEARCH(거래처별!$AE$8:$AE$307,$AB1372))),거래처별!$A$8:$A$307),0))))</f>
        <v/>
      </c>
      <c r="AD1372" s="31">
        <f>IF(AND($Y1372&lt;&gt;"",N($Z1372)&gt;0,$AC1372=0),MAX($AD$7:$AD1371)+1,"")</f>
        <v/>
      </c>
      <c r="AE1372" s="31">
        <f>IF($Y1372="",0,$Y1372)</f>
        <v/>
      </c>
    </row>
    <row r="1373">
      <c r="W1373" s="31">
        <f>IF(OR($B$5="",$C$6="",ROW()&lt;$B$5),"",IF(INDEX($A:$U,ROW(),$C$6)="","",INDEX($A:$U,ROW(),$C$6)))</f>
        <v/>
      </c>
      <c r="X1373" s="32">
        <f>IF($W1373="","",IF(ISNUMBER($W1373),IF($W1373&gt;=10000000,IFERROR(DATE(INT($W1373/10000),MOD(INT($W1373/100),100),MOD($W1373,100)),""),INT($W1373)),IFERROR(DATE(--LEFT(LEFT(SUBSTITUTE(SUBSTITUTE(SUBSTITUTE(SUBSTITUTE(TRIM($W1373),"-",""),".",""),"/","")," ",""),8),4),--MID(LEFT(SUBSTITUTE(SUBSTITUTE(SUBSTITUTE(SUBSTITUTE(TRIM($W1373),"-",""),".",""),"/","")," ",""),8),5,2),--MID(LEFT(SUBSTITUTE(SUBSTITUTE(SUBSTITUTE(SUBSTITUTE(TRIM($W1373),"-",""),".",""),"/","")," ",""),8),7,2)),"")))</f>
        <v/>
      </c>
      <c r="Y1373" s="32">
        <f>IF($X1373="","",INT($X1373))</f>
        <v/>
      </c>
      <c r="Z1373" s="33">
        <f>IF(OR($Y1373="",$D$6=""),"",IF(INDEX($A:$U,ROW(),$D$6)="",0,IF(ISNUMBER(INDEX($A:$U,ROW(),$D$6)),INDEX($A:$U,ROW(),$D$6),IFERROR(--SUBSTITUTE(SUBSTITUTE(TRIM(INDEX($A:$U,ROW(),$D$6)),",",""),"원",""),0))))</f>
        <v/>
      </c>
      <c r="AA1373" s="31">
        <f>IF($Y1373="","",TRIM(INDEX($A:$U,ROW(),$E$6)&amp;IF($F$6="",""," "&amp;INDEX($A:$U,ROW(),$F$6))))</f>
        <v/>
      </c>
      <c r="AB1373" s="31">
        <f>IF($AA1373="","",SUBSTITUTE(SUBSTITUTE(SUBSTITUTE(SUBSTITUTE(SUBSTITUTE(SUBSTITUTE(SUBSTITUTE(SUBSTITUTE(SUBSTITUTE($AA1373," ",""),"　",""),"(주)",""),"（주）",""),"㈜",""),"주식회사",""),"(유)",""),"（유）",""),"유한회사",""))</f>
        <v/>
      </c>
      <c r="AC1373" s="31">
        <f>IF(OR($Y1373="",N($Z1373)&lt;=0,$AB1373=""),0,IFERROR(LOOKUP(2,1/((거래처별!$AC$8:$AC$307&lt;&gt;"")*ISNUMBER(SEARCH(거래처별!$AC$8:$AC$307,$AB1373))),거래처별!$A$8:$A$307),IFERROR(LOOKUP(2,1/((거래처별!$AD$8:$AD$307&lt;&gt;"")*ISNUMBER(SEARCH(거래처별!$AD$8:$AD$307,$AB1373))),거래처별!$A$8:$A$307),IFERROR(LOOKUP(2,1/((거래처별!$AE$8:$AE$307&lt;&gt;"")*ISNUMBER(SEARCH(거래처별!$AE$8:$AE$307,$AB1373))),거래처별!$A$8:$A$307),0))))</f>
        <v/>
      </c>
      <c r="AD1373" s="31">
        <f>IF(AND($Y1373&lt;&gt;"",N($Z1373)&gt;0,$AC1373=0),MAX($AD$7:$AD1372)+1,"")</f>
        <v/>
      </c>
      <c r="AE1373" s="31">
        <f>IF($Y1373="",0,$Y1373)</f>
        <v/>
      </c>
    </row>
    <row r="1374">
      <c r="W1374" s="31">
        <f>IF(OR($B$5="",$C$6="",ROW()&lt;$B$5),"",IF(INDEX($A:$U,ROW(),$C$6)="","",INDEX($A:$U,ROW(),$C$6)))</f>
        <v/>
      </c>
      <c r="X1374" s="32">
        <f>IF($W1374="","",IF(ISNUMBER($W1374),IF($W1374&gt;=10000000,IFERROR(DATE(INT($W1374/10000),MOD(INT($W1374/100),100),MOD($W1374,100)),""),INT($W1374)),IFERROR(DATE(--LEFT(LEFT(SUBSTITUTE(SUBSTITUTE(SUBSTITUTE(SUBSTITUTE(TRIM($W1374),"-",""),".",""),"/","")," ",""),8),4),--MID(LEFT(SUBSTITUTE(SUBSTITUTE(SUBSTITUTE(SUBSTITUTE(TRIM($W1374),"-",""),".",""),"/","")," ",""),8),5,2),--MID(LEFT(SUBSTITUTE(SUBSTITUTE(SUBSTITUTE(SUBSTITUTE(TRIM($W1374),"-",""),".",""),"/","")," ",""),8),7,2)),"")))</f>
        <v/>
      </c>
      <c r="Y1374" s="32">
        <f>IF($X1374="","",INT($X1374))</f>
        <v/>
      </c>
      <c r="Z1374" s="33">
        <f>IF(OR($Y1374="",$D$6=""),"",IF(INDEX($A:$U,ROW(),$D$6)="",0,IF(ISNUMBER(INDEX($A:$U,ROW(),$D$6)),INDEX($A:$U,ROW(),$D$6),IFERROR(--SUBSTITUTE(SUBSTITUTE(TRIM(INDEX($A:$U,ROW(),$D$6)),",",""),"원",""),0))))</f>
        <v/>
      </c>
      <c r="AA1374" s="31">
        <f>IF($Y1374="","",TRIM(INDEX($A:$U,ROW(),$E$6)&amp;IF($F$6="",""," "&amp;INDEX($A:$U,ROW(),$F$6))))</f>
        <v/>
      </c>
      <c r="AB1374" s="31">
        <f>IF($AA1374="","",SUBSTITUTE(SUBSTITUTE(SUBSTITUTE(SUBSTITUTE(SUBSTITUTE(SUBSTITUTE(SUBSTITUTE(SUBSTITUTE(SUBSTITUTE($AA1374," ",""),"　",""),"(주)",""),"（주）",""),"㈜",""),"주식회사",""),"(유)",""),"（유）",""),"유한회사",""))</f>
        <v/>
      </c>
      <c r="AC1374" s="31">
        <f>IF(OR($Y1374="",N($Z1374)&lt;=0,$AB1374=""),0,IFERROR(LOOKUP(2,1/((거래처별!$AC$8:$AC$307&lt;&gt;"")*ISNUMBER(SEARCH(거래처별!$AC$8:$AC$307,$AB1374))),거래처별!$A$8:$A$307),IFERROR(LOOKUP(2,1/((거래처별!$AD$8:$AD$307&lt;&gt;"")*ISNUMBER(SEARCH(거래처별!$AD$8:$AD$307,$AB1374))),거래처별!$A$8:$A$307),IFERROR(LOOKUP(2,1/((거래처별!$AE$8:$AE$307&lt;&gt;"")*ISNUMBER(SEARCH(거래처별!$AE$8:$AE$307,$AB1374))),거래처별!$A$8:$A$307),0))))</f>
        <v/>
      </c>
      <c r="AD1374" s="31">
        <f>IF(AND($Y1374&lt;&gt;"",N($Z1374)&gt;0,$AC1374=0),MAX($AD$7:$AD1373)+1,"")</f>
        <v/>
      </c>
      <c r="AE1374" s="31">
        <f>IF($Y1374="",0,$Y1374)</f>
        <v/>
      </c>
    </row>
    <row r="1375">
      <c r="W1375" s="31">
        <f>IF(OR($B$5="",$C$6="",ROW()&lt;$B$5),"",IF(INDEX($A:$U,ROW(),$C$6)="","",INDEX($A:$U,ROW(),$C$6)))</f>
        <v/>
      </c>
      <c r="X1375" s="32">
        <f>IF($W1375="","",IF(ISNUMBER($W1375),IF($W1375&gt;=10000000,IFERROR(DATE(INT($W1375/10000),MOD(INT($W1375/100),100),MOD($W1375,100)),""),INT($W1375)),IFERROR(DATE(--LEFT(LEFT(SUBSTITUTE(SUBSTITUTE(SUBSTITUTE(SUBSTITUTE(TRIM($W1375),"-",""),".",""),"/","")," ",""),8),4),--MID(LEFT(SUBSTITUTE(SUBSTITUTE(SUBSTITUTE(SUBSTITUTE(TRIM($W1375),"-",""),".",""),"/","")," ",""),8),5,2),--MID(LEFT(SUBSTITUTE(SUBSTITUTE(SUBSTITUTE(SUBSTITUTE(TRIM($W1375),"-",""),".",""),"/","")," ",""),8),7,2)),"")))</f>
        <v/>
      </c>
      <c r="Y1375" s="32">
        <f>IF($X1375="","",INT($X1375))</f>
        <v/>
      </c>
      <c r="Z1375" s="33">
        <f>IF(OR($Y1375="",$D$6=""),"",IF(INDEX($A:$U,ROW(),$D$6)="",0,IF(ISNUMBER(INDEX($A:$U,ROW(),$D$6)),INDEX($A:$U,ROW(),$D$6),IFERROR(--SUBSTITUTE(SUBSTITUTE(TRIM(INDEX($A:$U,ROW(),$D$6)),",",""),"원",""),0))))</f>
        <v/>
      </c>
      <c r="AA1375" s="31">
        <f>IF($Y1375="","",TRIM(INDEX($A:$U,ROW(),$E$6)&amp;IF($F$6="",""," "&amp;INDEX($A:$U,ROW(),$F$6))))</f>
        <v/>
      </c>
      <c r="AB1375" s="31">
        <f>IF($AA1375="","",SUBSTITUTE(SUBSTITUTE(SUBSTITUTE(SUBSTITUTE(SUBSTITUTE(SUBSTITUTE(SUBSTITUTE(SUBSTITUTE(SUBSTITUTE($AA1375," ",""),"　",""),"(주)",""),"（주）",""),"㈜",""),"주식회사",""),"(유)",""),"（유）",""),"유한회사",""))</f>
        <v/>
      </c>
      <c r="AC1375" s="31">
        <f>IF(OR($Y1375="",N($Z1375)&lt;=0,$AB1375=""),0,IFERROR(LOOKUP(2,1/((거래처별!$AC$8:$AC$307&lt;&gt;"")*ISNUMBER(SEARCH(거래처별!$AC$8:$AC$307,$AB1375))),거래처별!$A$8:$A$307),IFERROR(LOOKUP(2,1/((거래처별!$AD$8:$AD$307&lt;&gt;"")*ISNUMBER(SEARCH(거래처별!$AD$8:$AD$307,$AB1375))),거래처별!$A$8:$A$307),IFERROR(LOOKUP(2,1/((거래처별!$AE$8:$AE$307&lt;&gt;"")*ISNUMBER(SEARCH(거래처별!$AE$8:$AE$307,$AB1375))),거래처별!$A$8:$A$307),0))))</f>
        <v/>
      </c>
      <c r="AD1375" s="31">
        <f>IF(AND($Y1375&lt;&gt;"",N($Z1375)&gt;0,$AC1375=0),MAX($AD$7:$AD1374)+1,"")</f>
        <v/>
      </c>
      <c r="AE1375" s="31">
        <f>IF($Y1375="",0,$Y1375)</f>
        <v/>
      </c>
    </row>
    <row r="1376">
      <c r="W1376" s="31">
        <f>IF(OR($B$5="",$C$6="",ROW()&lt;$B$5),"",IF(INDEX($A:$U,ROW(),$C$6)="","",INDEX($A:$U,ROW(),$C$6)))</f>
        <v/>
      </c>
      <c r="X1376" s="32">
        <f>IF($W1376="","",IF(ISNUMBER($W1376),IF($W1376&gt;=10000000,IFERROR(DATE(INT($W1376/10000),MOD(INT($W1376/100),100),MOD($W1376,100)),""),INT($W1376)),IFERROR(DATE(--LEFT(LEFT(SUBSTITUTE(SUBSTITUTE(SUBSTITUTE(SUBSTITUTE(TRIM($W1376),"-",""),".",""),"/","")," ",""),8),4),--MID(LEFT(SUBSTITUTE(SUBSTITUTE(SUBSTITUTE(SUBSTITUTE(TRIM($W1376),"-",""),".",""),"/","")," ",""),8),5,2),--MID(LEFT(SUBSTITUTE(SUBSTITUTE(SUBSTITUTE(SUBSTITUTE(TRIM($W1376),"-",""),".",""),"/","")," ",""),8),7,2)),"")))</f>
        <v/>
      </c>
      <c r="Y1376" s="32">
        <f>IF($X1376="","",INT($X1376))</f>
        <v/>
      </c>
      <c r="Z1376" s="33">
        <f>IF(OR($Y1376="",$D$6=""),"",IF(INDEX($A:$U,ROW(),$D$6)="",0,IF(ISNUMBER(INDEX($A:$U,ROW(),$D$6)),INDEX($A:$U,ROW(),$D$6),IFERROR(--SUBSTITUTE(SUBSTITUTE(TRIM(INDEX($A:$U,ROW(),$D$6)),",",""),"원",""),0))))</f>
        <v/>
      </c>
      <c r="AA1376" s="31">
        <f>IF($Y1376="","",TRIM(INDEX($A:$U,ROW(),$E$6)&amp;IF($F$6="",""," "&amp;INDEX($A:$U,ROW(),$F$6))))</f>
        <v/>
      </c>
      <c r="AB1376" s="31">
        <f>IF($AA1376="","",SUBSTITUTE(SUBSTITUTE(SUBSTITUTE(SUBSTITUTE(SUBSTITUTE(SUBSTITUTE(SUBSTITUTE(SUBSTITUTE(SUBSTITUTE($AA1376," ",""),"　",""),"(주)",""),"（주）",""),"㈜",""),"주식회사",""),"(유)",""),"（유）",""),"유한회사",""))</f>
        <v/>
      </c>
      <c r="AC1376" s="31">
        <f>IF(OR($Y1376="",N($Z1376)&lt;=0,$AB1376=""),0,IFERROR(LOOKUP(2,1/((거래처별!$AC$8:$AC$307&lt;&gt;"")*ISNUMBER(SEARCH(거래처별!$AC$8:$AC$307,$AB1376))),거래처별!$A$8:$A$307),IFERROR(LOOKUP(2,1/((거래처별!$AD$8:$AD$307&lt;&gt;"")*ISNUMBER(SEARCH(거래처별!$AD$8:$AD$307,$AB1376))),거래처별!$A$8:$A$307),IFERROR(LOOKUP(2,1/((거래처별!$AE$8:$AE$307&lt;&gt;"")*ISNUMBER(SEARCH(거래처별!$AE$8:$AE$307,$AB1376))),거래처별!$A$8:$A$307),0))))</f>
        <v/>
      </c>
      <c r="AD1376" s="31">
        <f>IF(AND($Y1376&lt;&gt;"",N($Z1376)&gt;0,$AC1376=0),MAX($AD$7:$AD1375)+1,"")</f>
        <v/>
      </c>
      <c r="AE1376" s="31">
        <f>IF($Y1376="",0,$Y1376)</f>
        <v/>
      </c>
    </row>
    <row r="1377">
      <c r="W1377" s="31">
        <f>IF(OR($B$5="",$C$6="",ROW()&lt;$B$5),"",IF(INDEX($A:$U,ROW(),$C$6)="","",INDEX($A:$U,ROW(),$C$6)))</f>
        <v/>
      </c>
      <c r="X1377" s="32">
        <f>IF($W1377="","",IF(ISNUMBER($W1377),IF($W1377&gt;=10000000,IFERROR(DATE(INT($W1377/10000),MOD(INT($W1377/100),100),MOD($W1377,100)),""),INT($W1377)),IFERROR(DATE(--LEFT(LEFT(SUBSTITUTE(SUBSTITUTE(SUBSTITUTE(SUBSTITUTE(TRIM($W1377),"-",""),".",""),"/","")," ",""),8),4),--MID(LEFT(SUBSTITUTE(SUBSTITUTE(SUBSTITUTE(SUBSTITUTE(TRIM($W1377),"-",""),".",""),"/","")," ",""),8),5,2),--MID(LEFT(SUBSTITUTE(SUBSTITUTE(SUBSTITUTE(SUBSTITUTE(TRIM($W1377),"-",""),".",""),"/","")," ",""),8),7,2)),"")))</f>
        <v/>
      </c>
      <c r="Y1377" s="32">
        <f>IF($X1377="","",INT($X1377))</f>
        <v/>
      </c>
      <c r="Z1377" s="33">
        <f>IF(OR($Y1377="",$D$6=""),"",IF(INDEX($A:$U,ROW(),$D$6)="",0,IF(ISNUMBER(INDEX($A:$U,ROW(),$D$6)),INDEX($A:$U,ROW(),$D$6),IFERROR(--SUBSTITUTE(SUBSTITUTE(TRIM(INDEX($A:$U,ROW(),$D$6)),",",""),"원",""),0))))</f>
        <v/>
      </c>
      <c r="AA1377" s="31">
        <f>IF($Y1377="","",TRIM(INDEX($A:$U,ROW(),$E$6)&amp;IF($F$6="",""," "&amp;INDEX($A:$U,ROW(),$F$6))))</f>
        <v/>
      </c>
      <c r="AB1377" s="31">
        <f>IF($AA1377="","",SUBSTITUTE(SUBSTITUTE(SUBSTITUTE(SUBSTITUTE(SUBSTITUTE(SUBSTITUTE(SUBSTITUTE(SUBSTITUTE(SUBSTITUTE($AA1377," ",""),"　",""),"(주)",""),"（주）",""),"㈜",""),"주식회사",""),"(유)",""),"（유）",""),"유한회사",""))</f>
        <v/>
      </c>
      <c r="AC1377" s="31">
        <f>IF(OR($Y1377="",N($Z1377)&lt;=0,$AB1377=""),0,IFERROR(LOOKUP(2,1/((거래처별!$AC$8:$AC$307&lt;&gt;"")*ISNUMBER(SEARCH(거래처별!$AC$8:$AC$307,$AB1377))),거래처별!$A$8:$A$307),IFERROR(LOOKUP(2,1/((거래처별!$AD$8:$AD$307&lt;&gt;"")*ISNUMBER(SEARCH(거래처별!$AD$8:$AD$307,$AB1377))),거래처별!$A$8:$A$307),IFERROR(LOOKUP(2,1/((거래처별!$AE$8:$AE$307&lt;&gt;"")*ISNUMBER(SEARCH(거래처별!$AE$8:$AE$307,$AB1377))),거래처별!$A$8:$A$307),0))))</f>
        <v/>
      </c>
      <c r="AD1377" s="31">
        <f>IF(AND($Y1377&lt;&gt;"",N($Z1377)&gt;0,$AC1377=0),MAX($AD$7:$AD1376)+1,"")</f>
        <v/>
      </c>
      <c r="AE1377" s="31">
        <f>IF($Y1377="",0,$Y1377)</f>
        <v/>
      </c>
    </row>
    <row r="1378">
      <c r="W1378" s="31">
        <f>IF(OR($B$5="",$C$6="",ROW()&lt;$B$5),"",IF(INDEX($A:$U,ROW(),$C$6)="","",INDEX($A:$U,ROW(),$C$6)))</f>
        <v/>
      </c>
      <c r="X1378" s="32">
        <f>IF($W1378="","",IF(ISNUMBER($W1378),IF($W1378&gt;=10000000,IFERROR(DATE(INT($W1378/10000),MOD(INT($W1378/100),100),MOD($W1378,100)),""),INT($W1378)),IFERROR(DATE(--LEFT(LEFT(SUBSTITUTE(SUBSTITUTE(SUBSTITUTE(SUBSTITUTE(TRIM($W1378),"-",""),".",""),"/","")," ",""),8),4),--MID(LEFT(SUBSTITUTE(SUBSTITUTE(SUBSTITUTE(SUBSTITUTE(TRIM($W1378),"-",""),".",""),"/","")," ",""),8),5,2),--MID(LEFT(SUBSTITUTE(SUBSTITUTE(SUBSTITUTE(SUBSTITUTE(TRIM($W1378),"-",""),".",""),"/","")," ",""),8),7,2)),"")))</f>
        <v/>
      </c>
      <c r="Y1378" s="32">
        <f>IF($X1378="","",INT($X1378))</f>
        <v/>
      </c>
      <c r="Z1378" s="33">
        <f>IF(OR($Y1378="",$D$6=""),"",IF(INDEX($A:$U,ROW(),$D$6)="",0,IF(ISNUMBER(INDEX($A:$U,ROW(),$D$6)),INDEX($A:$U,ROW(),$D$6),IFERROR(--SUBSTITUTE(SUBSTITUTE(TRIM(INDEX($A:$U,ROW(),$D$6)),",",""),"원",""),0))))</f>
        <v/>
      </c>
      <c r="AA1378" s="31">
        <f>IF($Y1378="","",TRIM(INDEX($A:$U,ROW(),$E$6)&amp;IF($F$6="",""," "&amp;INDEX($A:$U,ROW(),$F$6))))</f>
        <v/>
      </c>
      <c r="AB1378" s="31">
        <f>IF($AA1378="","",SUBSTITUTE(SUBSTITUTE(SUBSTITUTE(SUBSTITUTE(SUBSTITUTE(SUBSTITUTE(SUBSTITUTE(SUBSTITUTE(SUBSTITUTE($AA1378," ",""),"　",""),"(주)",""),"（주）",""),"㈜",""),"주식회사",""),"(유)",""),"（유）",""),"유한회사",""))</f>
        <v/>
      </c>
      <c r="AC1378" s="31">
        <f>IF(OR($Y1378="",N($Z1378)&lt;=0,$AB1378=""),0,IFERROR(LOOKUP(2,1/((거래처별!$AC$8:$AC$307&lt;&gt;"")*ISNUMBER(SEARCH(거래처별!$AC$8:$AC$307,$AB1378))),거래처별!$A$8:$A$307),IFERROR(LOOKUP(2,1/((거래처별!$AD$8:$AD$307&lt;&gt;"")*ISNUMBER(SEARCH(거래처별!$AD$8:$AD$307,$AB1378))),거래처별!$A$8:$A$307),IFERROR(LOOKUP(2,1/((거래처별!$AE$8:$AE$307&lt;&gt;"")*ISNUMBER(SEARCH(거래처별!$AE$8:$AE$307,$AB1378))),거래처별!$A$8:$A$307),0))))</f>
        <v/>
      </c>
      <c r="AD1378" s="31">
        <f>IF(AND($Y1378&lt;&gt;"",N($Z1378)&gt;0,$AC1378=0),MAX($AD$7:$AD1377)+1,"")</f>
        <v/>
      </c>
      <c r="AE1378" s="31">
        <f>IF($Y1378="",0,$Y1378)</f>
        <v/>
      </c>
    </row>
    <row r="1379">
      <c r="W1379" s="31">
        <f>IF(OR($B$5="",$C$6="",ROW()&lt;$B$5),"",IF(INDEX($A:$U,ROW(),$C$6)="","",INDEX($A:$U,ROW(),$C$6)))</f>
        <v/>
      </c>
      <c r="X1379" s="32">
        <f>IF($W1379="","",IF(ISNUMBER($W1379),IF($W1379&gt;=10000000,IFERROR(DATE(INT($W1379/10000),MOD(INT($W1379/100),100),MOD($W1379,100)),""),INT($W1379)),IFERROR(DATE(--LEFT(LEFT(SUBSTITUTE(SUBSTITUTE(SUBSTITUTE(SUBSTITUTE(TRIM($W1379),"-",""),".",""),"/","")," ",""),8),4),--MID(LEFT(SUBSTITUTE(SUBSTITUTE(SUBSTITUTE(SUBSTITUTE(TRIM($W1379),"-",""),".",""),"/","")," ",""),8),5,2),--MID(LEFT(SUBSTITUTE(SUBSTITUTE(SUBSTITUTE(SUBSTITUTE(TRIM($W1379),"-",""),".",""),"/","")," ",""),8),7,2)),"")))</f>
        <v/>
      </c>
      <c r="Y1379" s="32">
        <f>IF($X1379="","",INT($X1379))</f>
        <v/>
      </c>
      <c r="Z1379" s="33">
        <f>IF(OR($Y1379="",$D$6=""),"",IF(INDEX($A:$U,ROW(),$D$6)="",0,IF(ISNUMBER(INDEX($A:$U,ROW(),$D$6)),INDEX($A:$U,ROW(),$D$6),IFERROR(--SUBSTITUTE(SUBSTITUTE(TRIM(INDEX($A:$U,ROW(),$D$6)),",",""),"원",""),0))))</f>
        <v/>
      </c>
      <c r="AA1379" s="31">
        <f>IF($Y1379="","",TRIM(INDEX($A:$U,ROW(),$E$6)&amp;IF($F$6="",""," "&amp;INDEX($A:$U,ROW(),$F$6))))</f>
        <v/>
      </c>
      <c r="AB1379" s="31">
        <f>IF($AA1379="","",SUBSTITUTE(SUBSTITUTE(SUBSTITUTE(SUBSTITUTE(SUBSTITUTE(SUBSTITUTE(SUBSTITUTE(SUBSTITUTE(SUBSTITUTE($AA1379," ",""),"　",""),"(주)",""),"（주）",""),"㈜",""),"주식회사",""),"(유)",""),"（유）",""),"유한회사",""))</f>
        <v/>
      </c>
      <c r="AC1379" s="31">
        <f>IF(OR($Y1379="",N($Z1379)&lt;=0,$AB1379=""),0,IFERROR(LOOKUP(2,1/((거래처별!$AC$8:$AC$307&lt;&gt;"")*ISNUMBER(SEARCH(거래처별!$AC$8:$AC$307,$AB1379))),거래처별!$A$8:$A$307),IFERROR(LOOKUP(2,1/((거래처별!$AD$8:$AD$307&lt;&gt;"")*ISNUMBER(SEARCH(거래처별!$AD$8:$AD$307,$AB1379))),거래처별!$A$8:$A$307),IFERROR(LOOKUP(2,1/((거래처별!$AE$8:$AE$307&lt;&gt;"")*ISNUMBER(SEARCH(거래처별!$AE$8:$AE$307,$AB1379))),거래처별!$A$8:$A$307),0))))</f>
        <v/>
      </c>
      <c r="AD1379" s="31">
        <f>IF(AND($Y1379&lt;&gt;"",N($Z1379)&gt;0,$AC1379=0),MAX($AD$7:$AD1378)+1,"")</f>
        <v/>
      </c>
      <c r="AE1379" s="31">
        <f>IF($Y1379="",0,$Y1379)</f>
        <v/>
      </c>
    </row>
    <row r="1380">
      <c r="W1380" s="31">
        <f>IF(OR($B$5="",$C$6="",ROW()&lt;$B$5),"",IF(INDEX($A:$U,ROW(),$C$6)="","",INDEX($A:$U,ROW(),$C$6)))</f>
        <v/>
      </c>
      <c r="X1380" s="32">
        <f>IF($W1380="","",IF(ISNUMBER($W1380),IF($W1380&gt;=10000000,IFERROR(DATE(INT($W1380/10000),MOD(INT($W1380/100),100),MOD($W1380,100)),""),INT($W1380)),IFERROR(DATE(--LEFT(LEFT(SUBSTITUTE(SUBSTITUTE(SUBSTITUTE(SUBSTITUTE(TRIM($W1380),"-",""),".",""),"/","")," ",""),8),4),--MID(LEFT(SUBSTITUTE(SUBSTITUTE(SUBSTITUTE(SUBSTITUTE(TRIM($W1380),"-",""),".",""),"/","")," ",""),8),5,2),--MID(LEFT(SUBSTITUTE(SUBSTITUTE(SUBSTITUTE(SUBSTITUTE(TRIM($W1380),"-",""),".",""),"/","")," ",""),8),7,2)),"")))</f>
        <v/>
      </c>
      <c r="Y1380" s="32">
        <f>IF($X1380="","",INT($X1380))</f>
        <v/>
      </c>
      <c r="Z1380" s="33">
        <f>IF(OR($Y1380="",$D$6=""),"",IF(INDEX($A:$U,ROW(),$D$6)="",0,IF(ISNUMBER(INDEX($A:$U,ROW(),$D$6)),INDEX($A:$U,ROW(),$D$6),IFERROR(--SUBSTITUTE(SUBSTITUTE(TRIM(INDEX($A:$U,ROW(),$D$6)),",",""),"원",""),0))))</f>
        <v/>
      </c>
      <c r="AA1380" s="31">
        <f>IF($Y1380="","",TRIM(INDEX($A:$U,ROW(),$E$6)&amp;IF($F$6="",""," "&amp;INDEX($A:$U,ROW(),$F$6))))</f>
        <v/>
      </c>
      <c r="AB1380" s="31">
        <f>IF($AA1380="","",SUBSTITUTE(SUBSTITUTE(SUBSTITUTE(SUBSTITUTE(SUBSTITUTE(SUBSTITUTE(SUBSTITUTE(SUBSTITUTE(SUBSTITUTE($AA1380," ",""),"　",""),"(주)",""),"（주）",""),"㈜",""),"주식회사",""),"(유)",""),"（유）",""),"유한회사",""))</f>
        <v/>
      </c>
      <c r="AC1380" s="31">
        <f>IF(OR($Y1380="",N($Z1380)&lt;=0,$AB1380=""),0,IFERROR(LOOKUP(2,1/((거래처별!$AC$8:$AC$307&lt;&gt;"")*ISNUMBER(SEARCH(거래처별!$AC$8:$AC$307,$AB1380))),거래처별!$A$8:$A$307),IFERROR(LOOKUP(2,1/((거래처별!$AD$8:$AD$307&lt;&gt;"")*ISNUMBER(SEARCH(거래처별!$AD$8:$AD$307,$AB1380))),거래처별!$A$8:$A$307),IFERROR(LOOKUP(2,1/((거래처별!$AE$8:$AE$307&lt;&gt;"")*ISNUMBER(SEARCH(거래처별!$AE$8:$AE$307,$AB1380))),거래처별!$A$8:$A$307),0))))</f>
        <v/>
      </c>
      <c r="AD1380" s="31">
        <f>IF(AND($Y1380&lt;&gt;"",N($Z1380)&gt;0,$AC1380=0),MAX($AD$7:$AD1379)+1,"")</f>
        <v/>
      </c>
      <c r="AE1380" s="31">
        <f>IF($Y1380="",0,$Y1380)</f>
        <v/>
      </c>
    </row>
    <row r="1381">
      <c r="W1381" s="31">
        <f>IF(OR($B$5="",$C$6="",ROW()&lt;$B$5),"",IF(INDEX($A:$U,ROW(),$C$6)="","",INDEX($A:$U,ROW(),$C$6)))</f>
        <v/>
      </c>
      <c r="X1381" s="32">
        <f>IF($W1381="","",IF(ISNUMBER($W1381),IF($W1381&gt;=10000000,IFERROR(DATE(INT($W1381/10000),MOD(INT($W1381/100),100),MOD($W1381,100)),""),INT($W1381)),IFERROR(DATE(--LEFT(LEFT(SUBSTITUTE(SUBSTITUTE(SUBSTITUTE(SUBSTITUTE(TRIM($W1381),"-",""),".",""),"/","")," ",""),8),4),--MID(LEFT(SUBSTITUTE(SUBSTITUTE(SUBSTITUTE(SUBSTITUTE(TRIM($W1381),"-",""),".",""),"/","")," ",""),8),5,2),--MID(LEFT(SUBSTITUTE(SUBSTITUTE(SUBSTITUTE(SUBSTITUTE(TRIM($W1381),"-",""),".",""),"/","")," ",""),8),7,2)),"")))</f>
        <v/>
      </c>
      <c r="Y1381" s="32">
        <f>IF($X1381="","",INT($X1381))</f>
        <v/>
      </c>
      <c r="Z1381" s="33">
        <f>IF(OR($Y1381="",$D$6=""),"",IF(INDEX($A:$U,ROW(),$D$6)="",0,IF(ISNUMBER(INDEX($A:$U,ROW(),$D$6)),INDEX($A:$U,ROW(),$D$6),IFERROR(--SUBSTITUTE(SUBSTITUTE(TRIM(INDEX($A:$U,ROW(),$D$6)),",",""),"원",""),0))))</f>
        <v/>
      </c>
      <c r="AA1381" s="31">
        <f>IF($Y1381="","",TRIM(INDEX($A:$U,ROW(),$E$6)&amp;IF($F$6="",""," "&amp;INDEX($A:$U,ROW(),$F$6))))</f>
        <v/>
      </c>
      <c r="AB1381" s="31">
        <f>IF($AA1381="","",SUBSTITUTE(SUBSTITUTE(SUBSTITUTE(SUBSTITUTE(SUBSTITUTE(SUBSTITUTE(SUBSTITUTE(SUBSTITUTE(SUBSTITUTE($AA1381," ",""),"　",""),"(주)",""),"（주）",""),"㈜",""),"주식회사",""),"(유)",""),"（유）",""),"유한회사",""))</f>
        <v/>
      </c>
      <c r="AC1381" s="31">
        <f>IF(OR($Y1381="",N($Z1381)&lt;=0,$AB1381=""),0,IFERROR(LOOKUP(2,1/((거래처별!$AC$8:$AC$307&lt;&gt;"")*ISNUMBER(SEARCH(거래처별!$AC$8:$AC$307,$AB1381))),거래처별!$A$8:$A$307),IFERROR(LOOKUP(2,1/((거래처별!$AD$8:$AD$307&lt;&gt;"")*ISNUMBER(SEARCH(거래처별!$AD$8:$AD$307,$AB1381))),거래처별!$A$8:$A$307),IFERROR(LOOKUP(2,1/((거래처별!$AE$8:$AE$307&lt;&gt;"")*ISNUMBER(SEARCH(거래처별!$AE$8:$AE$307,$AB1381))),거래처별!$A$8:$A$307),0))))</f>
        <v/>
      </c>
      <c r="AD1381" s="31">
        <f>IF(AND($Y1381&lt;&gt;"",N($Z1381)&gt;0,$AC1381=0),MAX($AD$7:$AD1380)+1,"")</f>
        <v/>
      </c>
      <c r="AE1381" s="31">
        <f>IF($Y1381="",0,$Y1381)</f>
        <v/>
      </c>
    </row>
    <row r="1382">
      <c r="W1382" s="31">
        <f>IF(OR($B$5="",$C$6="",ROW()&lt;$B$5),"",IF(INDEX($A:$U,ROW(),$C$6)="","",INDEX($A:$U,ROW(),$C$6)))</f>
        <v/>
      </c>
      <c r="X1382" s="32">
        <f>IF($W1382="","",IF(ISNUMBER($W1382),IF($W1382&gt;=10000000,IFERROR(DATE(INT($W1382/10000),MOD(INT($W1382/100),100),MOD($W1382,100)),""),INT($W1382)),IFERROR(DATE(--LEFT(LEFT(SUBSTITUTE(SUBSTITUTE(SUBSTITUTE(SUBSTITUTE(TRIM($W1382),"-",""),".",""),"/","")," ",""),8),4),--MID(LEFT(SUBSTITUTE(SUBSTITUTE(SUBSTITUTE(SUBSTITUTE(TRIM($W1382),"-",""),".",""),"/","")," ",""),8),5,2),--MID(LEFT(SUBSTITUTE(SUBSTITUTE(SUBSTITUTE(SUBSTITUTE(TRIM($W1382),"-",""),".",""),"/","")," ",""),8),7,2)),"")))</f>
        <v/>
      </c>
      <c r="Y1382" s="32">
        <f>IF($X1382="","",INT($X1382))</f>
        <v/>
      </c>
      <c r="Z1382" s="33">
        <f>IF(OR($Y1382="",$D$6=""),"",IF(INDEX($A:$U,ROW(),$D$6)="",0,IF(ISNUMBER(INDEX($A:$U,ROW(),$D$6)),INDEX($A:$U,ROW(),$D$6),IFERROR(--SUBSTITUTE(SUBSTITUTE(TRIM(INDEX($A:$U,ROW(),$D$6)),",",""),"원",""),0))))</f>
        <v/>
      </c>
      <c r="AA1382" s="31">
        <f>IF($Y1382="","",TRIM(INDEX($A:$U,ROW(),$E$6)&amp;IF($F$6="",""," "&amp;INDEX($A:$U,ROW(),$F$6))))</f>
        <v/>
      </c>
      <c r="AB1382" s="31">
        <f>IF($AA1382="","",SUBSTITUTE(SUBSTITUTE(SUBSTITUTE(SUBSTITUTE(SUBSTITUTE(SUBSTITUTE(SUBSTITUTE(SUBSTITUTE(SUBSTITUTE($AA1382," ",""),"　",""),"(주)",""),"（주）",""),"㈜",""),"주식회사",""),"(유)",""),"（유）",""),"유한회사",""))</f>
        <v/>
      </c>
      <c r="AC1382" s="31">
        <f>IF(OR($Y1382="",N($Z1382)&lt;=0,$AB1382=""),0,IFERROR(LOOKUP(2,1/((거래처별!$AC$8:$AC$307&lt;&gt;"")*ISNUMBER(SEARCH(거래처별!$AC$8:$AC$307,$AB1382))),거래처별!$A$8:$A$307),IFERROR(LOOKUP(2,1/((거래처별!$AD$8:$AD$307&lt;&gt;"")*ISNUMBER(SEARCH(거래처별!$AD$8:$AD$307,$AB1382))),거래처별!$A$8:$A$307),IFERROR(LOOKUP(2,1/((거래처별!$AE$8:$AE$307&lt;&gt;"")*ISNUMBER(SEARCH(거래처별!$AE$8:$AE$307,$AB1382))),거래처별!$A$8:$A$307),0))))</f>
        <v/>
      </c>
      <c r="AD1382" s="31">
        <f>IF(AND($Y1382&lt;&gt;"",N($Z1382)&gt;0,$AC1382=0),MAX($AD$7:$AD1381)+1,"")</f>
        <v/>
      </c>
      <c r="AE1382" s="31">
        <f>IF($Y1382="",0,$Y1382)</f>
        <v/>
      </c>
    </row>
    <row r="1383">
      <c r="W1383" s="31">
        <f>IF(OR($B$5="",$C$6="",ROW()&lt;$B$5),"",IF(INDEX($A:$U,ROW(),$C$6)="","",INDEX($A:$U,ROW(),$C$6)))</f>
        <v/>
      </c>
      <c r="X1383" s="32">
        <f>IF($W1383="","",IF(ISNUMBER($W1383),IF($W1383&gt;=10000000,IFERROR(DATE(INT($W1383/10000),MOD(INT($W1383/100),100),MOD($W1383,100)),""),INT($W1383)),IFERROR(DATE(--LEFT(LEFT(SUBSTITUTE(SUBSTITUTE(SUBSTITUTE(SUBSTITUTE(TRIM($W1383),"-",""),".",""),"/","")," ",""),8),4),--MID(LEFT(SUBSTITUTE(SUBSTITUTE(SUBSTITUTE(SUBSTITUTE(TRIM($W1383),"-",""),".",""),"/","")," ",""),8),5,2),--MID(LEFT(SUBSTITUTE(SUBSTITUTE(SUBSTITUTE(SUBSTITUTE(TRIM($W1383),"-",""),".",""),"/","")," ",""),8),7,2)),"")))</f>
        <v/>
      </c>
      <c r="Y1383" s="32">
        <f>IF($X1383="","",INT($X1383))</f>
        <v/>
      </c>
      <c r="Z1383" s="33">
        <f>IF(OR($Y1383="",$D$6=""),"",IF(INDEX($A:$U,ROW(),$D$6)="",0,IF(ISNUMBER(INDEX($A:$U,ROW(),$D$6)),INDEX($A:$U,ROW(),$D$6),IFERROR(--SUBSTITUTE(SUBSTITUTE(TRIM(INDEX($A:$U,ROW(),$D$6)),",",""),"원",""),0))))</f>
        <v/>
      </c>
      <c r="AA1383" s="31">
        <f>IF($Y1383="","",TRIM(INDEX($A:$U,ROW(),$E$6)&amp;IF($F$6="",""," "&amp;INDEX($A:$U,ROW(),$F$6))))</f>
        <v/>
      </c>
      <c r="AB1383" s="31">
        <f>IF($AA1383="","",SUBSTITUTE(SUBSTITUTE(SUBSTITUTE(SUBSTITUTE(SUBSTITUTE(SUBSTITUTE(SUBSTITUTE(SUBSTITUTE(SUBSTITUTE($AA1383," ",""),"　",""),"(주)",""),"（주）",""),"㈜",""),"주식회사",""),"(유)",""),"（유）",""),"유한회사",""))</f>
        <v/>
      </c>
      <c r="AC1383" s="31">
        <f>IF(OR($Y1383="",N($Z1383)&lt;=0,$AB1383=""),0,IFERROR(LOOKUP(2,1/((거래처별!$AC$8:$AC$307&lt;&gt;"")*ISNUMBER(SEARCH(거래처별!$AC$8:$AC$307,$AB1383))),거래처별!$A$8:$A$307),IFERROR(LOOKUP(2,1/((거래처별!$AD$8:$AD$307&lt;&gt;"")*ISNUMBER(SEARCH(거래처별!$AD$8:$AD$307,$AB1383))),거래처별!$A$8:$A$307),IFERROR(LOOKUP(2,1/((거래처별!$AE$8:$AE$307&lt;&gt;"")*ISNUMBER(SEARCH(거래처별!$AE$8:$AE$307,$AB1383))),거래처별!$A$8:$A$307),0))))</f>
        <v/>
      </c>
      <c r="AD1383" s="31">
        <f>IF(AND($Y1383&lt;&gt;"",N($Z1383)&gt;0,$AC1383=0),MAX($AD$7:$AD1382)+1,"")</f>
        <v/>
      </c>
      <c r="AE1383" s="31">
        <f>IF($Y1383="",0,$Y1383)</f>
        <v/>
      </c>
    </row>
    <row r="1384">
      <c r="W1384" s="31">
        <f>IF(OR($B$5="",$C$6="",ROW()&lt;$B$5),"",IF(INDEX($A:$U,ROW(),$C$6)="","",INDEX($A:$U,ROW(),$C$6)))</f>
        <v/>
      </c>
      <c r="X1384" s="32">
        <f>IF($W1384="","",IF(ISNUMBER($W1384),IF($W1384&gt;=10000000,IFERROR(DATE(INT($W1384/10000),MOD(INT($W1384/100),100),MOD($W1384,100)),""),INT($W1384)),IFERROR(DATE(--LEFT(LEFT(SUBSTITUTE(SUBSTITUTE(SUBSTITUTE(SUBSTITUTE(TRIM($W1384),"-",""),".",""),"/","")," ",""),8),4),--MID(LEFT(SUBSTITUTE(SUBSTITUTE(SUBSTITUTE(SUBSTITUTE(TRIM($W1384),"-",""),".",""),"/","")," ",""),8),5,2),--MID(LEFT(SUBSTITUTE(SUBSTITUTE(SUBSTITUTE(SUBSTITUTE(TRIM($W1384),"-",""),".",""),"/","")," ",""),8),7,2)),"")))</f>
        <v/>
      </c>
      <c r="Y1384" s="32">
        <f>IF($X1384="","",INT($X1384))</f>
        <v/>
      </c>
      <c r="Z1384" s="33">
        <f>IF(OR($Y1384="",$D$6=""),"",IF(INDEX($A:$U,ROW(),$D$6)="",0,IF(ISNUMBER(INDEX($A:$U,ROW(),$D$6)),INDEX($A:$U,ROW(),$D$6),IFERROR(--SUBSTITUTE(SUBSTITUTE(TRIM(INDEX($A:$U,ROW(),$D$6)),",",""),"원",""),0))))</f>
        <v/>
      </c>
      <c r="AA1384" s="31">
        <f>IF($Y1384="","",TRIM(INDEX($A:$U,ROW(),$E$6)&amp;IF($F$6="",""," "&amp;INDEX($A:$U,ROW(),$F$6))))</f>
        <v/>
      </c>
      <c r="AB1384" s="31">
        <f>IF($AA1384="","",SUBSTITUTE(SUBSTITUTE(SUBSTITUTE(SUBSTITUTE(SUBSTITUTE(SUBSTITUTE(SUBSTITUTE(SUBSTITUTE(SUBSTITUTE($AA1384," ",""),"　",""),"(주)",""),"（주）",""),"㈜",""),"주식회사",""),"(유)",""),"（유）",""),"유한회사",""))</f>
        <v/>
      </c>
      <c r="AC1384" s="31">
        <f>IF(OR($Y1384="",N($Z1384)&lt;=0,$AB1384=""),0,IFERROR(LOOKUP(2,1/((거래처별!$AC$8:$AC$307&lt;&gt;"")*ISNUMBER(SEARCH(거래처별!$AC$8:$AC$307,$AB1384))),거래처별!$A$8:$A$307),IFERROR(LOOKUP(2,1/((거래처별!$AD$8:$AD$307&lt;&gt;"")*ISNUMBER(SEARCH(거래처별!$AD$8:$AD$307,$AB1384))),거래처별!$A$8:$A$307),IFERROR(LOOKUP(2,1/((거래처별!$AE$8:$AE$307&lt;&gt;"")*ISNUMBER(SEARCH(거래처별!$AE$8:$AE$307,$AB1384))),거래처별!$A$8:$A$307),0))))</f>
        <v/>
      </c>
      <c r="AD1384" s="31">
        <f>IF(AND($Y1384&lt;&gt;"",N($Z1384)&gt;0,$AC1384=0),MAX($AD$7:$AD1383)+1,"")</f>
        <v/>
      </c>
      <c r="AE1384" s="31">
        <f>IF($Y1384="",0,$Y1384)</f>
        <v/>
      </c>
    </row>
    <row r="1385">
      <c r="W1385" s="31">
        <f>IF(OR($B$5="",$C$6="",ROW()&lt;$B$5),"",IF(INDEX($A:$U,ROW(),$C$6)="","",INDEX($A:$U,ROW(),$C$6)))</f>
        <v/>
      </c>
      <c r="X1385" s="32">
        <f>IF($W1385="","",IF(ISNUMBER($W1385),IF($W1385&gt;=10000000,IFERROR(DATE(INT($W1385/10000),MOD(INT($W1385/100),100),MOD($W1385,100)),""),INT($W1385)),IFERROR(DATE(--LEFT(LEFT(SUBSTITUTE(SUBSTITUTE(SUBSTITUTE(SUBSTITUTE(TRIM($W1385),"-",""),".",""),"/","")," ",""),8),4),--MID(LEFT(SUBSTITUTE(SUBSTITUTE(SUBSTITUTE(SUBSTITUTE(TRIM($W1385),"-",""),".",""),"/","")," ",""),8),5,2),--MID(LEFT(SUBSTITUTE(SUBSTITUTE(SUBSTITUTE(SUBSTITUTE(TRIM($W1385),"-",""),".",""),"/","")," ",""),8),7,2)),"")))</f>
        <v/>
      </c>
      <c r="Y1385" s="32">
        <f>IF($X1385="","",INT($X1385))</f>
        <v/>
      </c>
      <c r="Z1385" s="33">
        <f>IF(OR($Y1385="",$D$6=""),"",IF(INDEX($A:$U,ROW(),$D$6)="",0,IF(ISNUMBER(INDEX($A:$U,ROW(),$D$6)),INDEX($A:$U,ROW(),$D$6),IFERROR(--SUBSTITUTE(SUBSTITUTE(TRIM(INDEX($A:$U,ROW(),$D$6)),",",""),"원",""),0))))</f>
        <v/>
      </c>
      <c r="AA1385" s="31">
        <f>IF($Y1385="","",TRIM(INDEX($A:$U,ROW(),$E$6)&amp;IF($F$6="",""," "&amp;INDEX($A:$U,ROW(),$F$6))))</f>
        <v/>
      </c>
      <c r="AB1385" s="31">
        <f>IF($AA1385="","",SUBSTITUTE(SUBSTITUTE(SUBSTITUTE(SUBSTITUTE(SUBSTITUTE(SUBSTITUTE(SUBSTITUTE(SUBSTITUTE(SUBSTITUTE($AA1385," ",""),"　",""),"(주)",""),"（주）",""),"㈜",""),"주식회사",""),"(유)",""),"（유）",""),"유한회사",""))</f>
        <v/>
      </c>
      <c r="AC1385" s="31">
        <f>IF(OR($Y1385="",N($Z1385)&lt;=0,$AB1385=""),0,IFERROR(LOOKUP(2,1/((거래처별!$AC$8:$AC$307&lt;&gt;"")*ISNUMBER(SEARCH(거래처별!$AC$8:$AC$307,$AB1385))),거래처별!$A$8:$A$307),IFERROR(LOOKUP(2,1/((거래처별!$AD$8:$AD$307&lt;&gt;"")*ISNUMBER(SEARCH(거래처별!$AD$8:$AD$307,$AB1385))),거래처별!$A$8:$A$307),IFERROR(LOOKUP(2,1/((거래처별!$AE$8:$AE$307&lt;&gt;"")*ISNUMBER(SEARCH(거래처별!$AE$8:$AE$307,$AB1385))),거래처별!$A$8:$A$307),0))))</f>
        <v/>
      </c>
      <c r="AD1385" s="31">
        <f>IF(AND($Y1385&lt;&gt;"",N($Z1385)&gt;0,$AC1385=0),MAX($AD$7:$AD1384)+1,"")</f>
        <v/>
      </c>
      <c r="AE1385" s="31">
        <f>IF($Y1385="",0,$Y1385)</f>
        <v/>
      </c>
    </row>
    <row r="1386">
      <c r="W1386" s="31">
        <f>IF(OR($B$5="",$C$6="",ROW()&lt;$B$5),"",IF(INDEX($A:$U,ROW(),$C$6)="","",INDEX($A:$U,ROW(),$C$6)))</f>
        <v/>
      </c>
      <c r="X1386" s="32">
        <f>IF($W1386="","",IF(ISNUMBER($W1386),IF($W1386&gt;=10000000,IFERROR(DATE(INT($W1386/10000),MOD(INT($W1386/100),100),MOD($W1386,100)),""),INT($W1386)),IFERROR(DATE(--LEFT(LEFT(SUBSTITUTE(SUBSTITUTE(SUBSTITUTE(SUBSTITUTE(TRIM($W1386),"-",""),".",""),"/","")," ",""),8),4),--MID(LEFT(SUBSTITUTE(SUBSTITUTE(SUBSTITUTE(SUBSTITUTE(TRIM($W1386),"-",""),".",""),"/","")," ",""),8),5,2),--MID(LEFT(SUBSTITUTE(SUBSTITUTE(SUBSTITUTE(SUBSTITUTE(TRIM($W1386),"-",""),".",""),"/","")," ",""),8),7,2)),"")))</f>
        <v/>
      </c>
      <c r="Y1386" s="32">
        <f>IF($X1386="","",INT($X1386))</f>
        <v/>
      </c>
      <c r="Z1386" s="33">
        <f>IF(OR($Y1386="",$D$6=""),"",IF(INDEX($A:$U,ROW(),$D$6)="",0,IF(ISNUMBER(INDEX($A:$U,ROW(),$D$6)),INDEX($A:$U,ROW(),$D$6),IFERROR(--SUBSTITUTE(SUBSTITUTE(TRIM(INDEX($A:$U,ROW(),$D$6)),",",""),"원",""),0))))</f>
        <v/>
      </c>
      <c r="AA1386" s="31">
        <f>IF($Y1386="","",TRIM(INDEX($A:$U,ROW(),$E$6)&amp;IF($F$6="",""," "&amp;INDEX($A:$U,ROW(),$F$6))))</f>
        <v/>
      </c>
      <c r="AB1386" s="31">
        <f>IF($AA1386="","",SUBSTITUTE(SUBSTITUTE(SUBSTITUTE(SUBSTITUTE(SUBSTITUTE(SUBSTITUTE(SUBSTITUTE(SUBSTITUTE(SUBSTITUTE($AA1386," ",""),"　",""),"(주)",""),"（주）",""),"㈜",""),"주식회사",""),"(유)",""),"（유）",""),"유한회사",""))</f>
        <v/>
      </c>
      <c r="AC1386" s="31">
        <f>IF(OR($Y1386="",N($Z1386)&lt;=0,$AB1386=""),0,IFERROR(LOOKUP(2,1/((거래처별!$AC$8:$AC$307&lt;&gt;"")*ISNUMBER(SEARCH(거래처별!$AC$8:$AC$307,$AB1386))),거래처별!$A$8:$A$307),IFERROR(LOOKUP(2,1/((거래처별!$AD$8:$AD$307&lt;&gt;"")*ISNUMBER(SEARCH(거래처별!$AD$8:$AD$307,$AB1386))),거래처별!$A$8:$A$307),IFERROR(LOOKUP(2,1/((거래처별!$AE$8:$AE$307&lt;&gt;"")*ISNUMBER(SEARCH(거래처별!$AE$8:$AE$307,$AB1386))),거래처별!$A$8:$A$307),0))))</f>
        <v/>
      </c>
      <c r="AD1386" s="31">
        <f>IF(AND($Y1386&lt;&gt;"",N($Z1386)&gt;0,$AC1386=0),MAX($AD$7:$AD1385)+1,"")</f>
        <v/>
      </c>
      <c r="AE1386" s="31">
        <f>IF($Y1386="",0,$Y1386)</f>
        <v/>
      </c>
    </row>
    <row r="1387">
      <c r="W1387" s="31">
        <f>IF(OR($B$5="",$C$6="",ROW()&lt;$B$5),"",IF(INDEX($A:$U,ROW(),$C$6)="","",INDEX($A:$U,ROW(),$C$6)))</f>
        <v/>
      </c>
      <c r="X1387" s="32">
        <f>IF($W1387="","",IF(ISNUMBER($W1387),IF($W1387&gt;=10000000,IFERROR(DATE(INT($W1387/10000),MOD(INT($W1387/100),100),MOD($W1387,100)),""),INT($W1387)),IFERROR(DATE(--LEFT(LEFT(SUBSTITUTE(SUBSTITUTE(SUBSTITUTE(SUBSTITUTE(TRIM($W1387),"-",""),".",""),"/","")," ",""),8),4),--MID(LEFT(SUBSTITUTE(SUBSTITUTE(SUBSTITUTE(SUBSTITUTE(TRIM($W1387),"-",""),".",""),"/","")," ",""),8),5,2),--MID(LEFT(SUBSTITUTE(SUBSTITUTE(SUBSTITUTE(SUBSTITUTE(TRIM($W1387),"-",""),".",""),"/","")," ",""),8),7,2)),"")))</f>
        <v/>
      </c>
      <c r="Y1387" s="32">
        <f>IF($X1387="","",INT($X1387))</f>
        <v/>
      </c>
      <c r="Z1387" s="33">
        <f>IF(OR($Y1387="",$D$6=""),"",IF(INDEX($A:$U,ROW(),$D$6)="",0,IF(ISNUMBER(INDEX($A:$U,ROW(),$D$6)),INDEX($A:$U,ROW(),$D$6),IFERROR(--SUBSTITUTE(SUBSTITUTE(TRIM(INDEX($A:$U,ROW(),$D$6)),",",""),"원",""),0))))</f>
        <v/>
      </c>
      <c r="AA1387" s="31">
        <f>IF($Y1387="","",TRIM(INDEX($A:$U,ROW(),$E$6)&amp;IF($F$6="",""," "&amp;INDEX($A:$U,ROW(),$F$6))))</f>
        <v/>
      </c>
      <c r="AB1387" s="31">
        <f>IF($AA1387="","",SUBSTITUTE(SUBSTITUTE(SUBSTITUTE(SUBSTITUTE(SUBSTITUTE(SUBSTITUTE(SUBSTITUTE(SUBSTITUTE(SUBSTITUTE($AA1387," ",""),"　",""),"(주)",""),"（주）",""),"㈜",""),"주식회사",""),"(유)",""),"（유）",""),"유한회사",""))</f>
        <v/>
      </c>
      <c r="AC1387" s="31">
        <f>IF(OR($Y1387="",N($Z1387)&lt;=0,$AB1387=""),0,IFERROR(LOOKUP(2,1/((거래처별!$AC$8:$AC$307&lt;&gt;"")*ISNUMBER(SEARCH(거래처별!$AC$8:$AC$307,$AB1387))),거래처별!$A$8:$A$307),IFERROR(LOOKUP(2,1/((거래처별!$AD$8:$AD$307&lt;&gt;"")*ISNUMBER(SEARCH(거래처별!$AD$8:$AD$307,$AB1387))),거래처별!$A$8:$A$307),IFERROR(LOOKUP(2,1/((거래처별!$AE$8:$AE$307&lt;&gt;"")*ISNUMBER(SEARCH(거래처별!$AE$8:$AE$307,$AB1387))),거래처별!$A$8:$A$307),0))))</f>
        <v/>
      </c>
      <c r="AD1387" s="31">
        <f>IF(AND($Y1387&lt;&gt;"",N($Z1387)&gt;0,$AC1387=0),MAX($AD$7:$AD1386)+1,"")</f>
        <v/>
      </c>
      <c r="AE1387" s="31">
        <f>IF($Y1387="",0,$Y1387)</f>
        <v/>
      </c>
    </row>
    <row r="1388">
      <c r="W1388" s="31">
        <f>IF(OR($B$5="",$C$6="",ROW()&lt;$B$5),"",IF(INDEX($A:$U,ROW(),$C$6)="","",INDEX($A:$U,ROW(),$C$6)))</f>
        <v/>
      </c>
      <c r="X1388" s="32">
        <f>IF($W1388="","",IF(ISNUMBER($W1388),IF($W1388&gt;=10000000,IFERROR(DATE(INT($W1388/10000),MOD(INT($W1388/100),100),MOD($W1388,100)),""),INT($W1388)),IFERROR(DATE(--LEFT(LEFT(SUBSTITUTE(SUBSTITUTE(SUBSTITUTE(SUBSTITUTE(TRIM($W1388),"-",""),".",""),"/","")," ",""),8),4),--MID(LEFT(SUBSTITUTE(SUBSTITUTE(SUBSTITUTE(SUBSTITUTE(TRIM($W1388),"-",""),".",""),"/","")," ",""),8),5,2),--MID(LEFT(SUBSTITUTE(SUBSTITUTE(SUBSTITUTE(SUBSTITUTE(TRIM($W1388),"-",""),".",""),"/","")," ",""),8),7,2)),"")))</f>
        <v/>
      </c>
      <c r="Y1388" s="32">
        <f>IF($X1388="","",INT($X1388))</f>
        <v/>
      </c>
      <c r="Z1388" s="33">
        <f>IF(OR($Y1388="",$D$6=""),"",IF(INDEX($A:$U,ROW(),$D$6)="",0,IF(ISNUMBER(INDEX($A:$U,ROW(),$D$6)),INDEX($A:$U,ROW(),$D$6),IFERROR(--SUBSTITUTE(SUBSTITUTE(TRIM(INDEX($A:$U,ROW(),$D$6)),",",""),"원",""),0))))</f>
        <v/>
      </c>
      <c r="AA1388" s="31">
        <f>IF($Y1388="","",TRIM(INDEX($A:$U,ROW(),$E$6)&amp;IF($F$6="",""," "&amp;INDEX($A:$U,ROW(),$F$6))))</f>
        <v/>
      </c>
      <c r="AB1388" s="31">
        <f>IF($AA1388="","",SUBSTITUTE(SUBSTITUTE(SUBSTITUTE(SUBSTITUTE(SUBSTITUTE(SUBSTITUTE(SUBSTITUTE(SUBSTITUTE(SUBSTITUTE($AA1388," ",""),"　",""),"(주)",""),"（주）",""),"㈜",""),"주식회사",""),"(유)",""),"（유）",""),"유한회사",""))</f>
        <v/>
      </c>
      <c r="AC1388" s="31">
        <f>IF(OR($Y1388="",N($Z1388)&lt;=0,$AB1388=""),0,IFERROR(LOOKUP(2,1/((거래처별!$AC$8:$AC$307&lt;&gt;"")*ISNUMBER(SEARCH(거래처별!$AC$8:$AC$307,$AB1388))),거래처별!$A$8:$A$307),IFERROR(LOOKUP(2,1/((거래처별!$AD$8:$AD$307&lt;&gt;"")*ISNUMBER(SEARCH(거래처별!$AD$8:$AD$307,$AB1388))),거래처별!$A$8:$A$307),IFERROR(LOOKUP(2,1/((거래처별!$AE$8:$AE$307&lt;&gt;"")*ISNUMBER(SEARCH(거래처별!$AE$8:$AE$307,$AB1388))),거래처별!$A$8:$A$307),0))))</f>
        <v/>
      </c>
      <c r="AD1388" s="31">
        <f>IF(AND($Y1388&lt;&gt;"",N($Z1388)&gt;0,$AC1388=0),MAX($AD$7:$AD1387)+1,"")</f>
        <v/>
      </c>
      <c r="AE1388" s="31">
        <f>IF($Y1388="",0,$Y1388)</f>
        <v/>
      </c>
    </row>
    <row r="1389">
      <c r="W1389" s="31">
        <f>IF(OR($B$5="",$C$6="",ROW()&lt;$B$5),"",IF(INDEX($A:$U,ROW(),$C$6)="","",INDEX($A:$U,ROW(),$C$6)))</f>
        <v/>
      </c>
      <c r="X1389" s="32">
        <f>IF($W1389="","",IF(ISNUMBER($W1389),IF($W1389&gt;=10000000,IFERROR(DATE(INT($W1389/10000),MOD(INT($W1389/100),100),MOD($W1389,100)),""),INT($W1389)),IFERROR(DATE(--LEFT(LEFT(SUBSTITUTE(SUBSTITUTE(SUBSTITUTE(SUBSTITUTE(TRIM($W1389),"-",""),".",""),"/","")," ",""),8),4),--MID(LEFT(SUBSTITUTE(SUBSTITUTE(SUBSTITUTE(SUBSTITUTE(TRIM($W1389),"-",""),".",""),"/","")," ",""),8),5,2),--MID(LEFT(SUBSTITUTE(SUBSTITUTE(SUBSTITUTE(SUBSTITUTE(TRIM($W1389),"-",""),".",""),"/","")," ",""),8),7,2)),"")))</f>
        <v/>
      </c>
      <c r="Y1389" s="32">
        <f>IF($X1389="","",INT($X1389))</f>
        <v/>
      </c>
      <c r="Z1389" s="33">
        <f>IF(OR($Y1389="",$D$6=""),"",IF(INDEX($A:$U,ROW(),$D$6)="",0,IF(ISNUMBER(INDEX($A:$U,ROW(),$D$6)),INDEX($A:$U,ROW(),$D$6),IFERROR(--SUBSTITUTE(SUBSTITUTE(TRIM(INDEX($A:$U,ROW(),$D$6)),",",""),"원",""),0))))</f>
        <v/>
      </c>
      <c r="AA1389" s="31">
        <f>IF($Y1389="","",TRIM(INDEX($A:$U,ROW(),$E$6)&amp;IF($F$6="",""," "&amp;INDEX($A:$U,ROW(),$F$6))))</f>
        <v/>
      </c>
      <c r="AB1389" s="31">
        <f>IF($AA1389="","",SUBSTITUTE(SUBSTITUTE(SUBSTITUTE(SUBSTITUTE(SUBSTITUTE(SUBSTITUTE(SUBSTITUTE(SUBSTITUTE(SUBSTITUTE($AA1389," ",""),"　",""),"(주)",""),"（주）",""),"㈜",""),"주식회사",""),"(유)",""),"（유）",""),"유한회사",""))</f>
        <v/>
      </c>
      <c r="AC1389" s="31">
        <f>IF(OR($Y1389="",N($Z1389)&lt;=0,$AB1389=""),0,IFERROR(LOOKUP(2,1/((거래처별!$AC$8:$AC$307&lt;&gt;"")*ISNUMBER(SEARCH(거래처별!$AC$8:$AC$307,$AB1389))),거래처별!$A$8:$A$307),IFERROR(LOOKUP(2,1/((거래처별!$AD$8:$AD$307&lt;&gt;"")*ISNUMBER(SEARCH(거래처별!$AD$8:$AD$307,$AB1389))),거래처별!$A$8:$A$307),IFERROR(LOOKUP(2,1/((거래처별!$AE$8:$AE$307&lt;&gt;"")*ISNUMBER(SEARCH(거래처별!$AE$8:$AE$307,$AB1389))),거래처별!$A$8:$A$307),0))))</f>
        <v/>
      </c>
      <c r="AD1389" s="31">
        <f>IF(AND($Y1389&lt;&gt;"",N($Z1389)&gt;0,$AC1389=0),MAX($AD$7:$AD1388)+1,"")</f>
        <v/>
      </c>
      <c r="AE1389" s="31">
        <f>IF($Y1389="",0,$Y1389)</f>
        <v/>
      </c>
    </row>
    <row r="1390">
      <c r="W1390" s="31">
        <f>IF(OR($B$5="",$C$6="",ROW()&lt;$B$5),"",IF(INDEX($A:$U,ROW(),$C$6)="","",INDEX($A:$U,ROW(),$C$6)))</f>
        <v/>
      </c>
      <c r="X1390" s="32">
        <f>IF($W1390="","",IF(ISNUMBER($W1390),IF($W1390&gt;=10000000,IFERROR(DATE(INT($W1390/10000),MOD(INT($W1390/100),100),MOD($W1390,100)),""),INT($W1390)),IFERROR(DATE(--LEFT(LEFT(SUBSTITUTE(SUBSTITUTE(SUBSTITUTE(SUBSTITUTE(TRIM($W1390),"-",""),".",""),"/","")," ",""),8),4),--MID(LEFT(SUBSTITUTE(SUBSTITUTE(SUBSTITUTE(SUBSTITUTE(TRIM($W1390),"-",""),".",""),"/","")," ",""),8),5,2),--MID(LEFT(SUBSTITUTE(SUBSTITUTE(SUBSTITUTE(SUBSTITUTE(TRIM($W1390),"-",""),".",""),"/","")," ",""),8),7,2)),"")))</f>
        <v/>
      </c>
      <c r="Y1390" s="32">
        <f>IF($X1390="","",INT($X1390))</f>
        <v/>
      </c>
      <c r="Z1390" s="33">
        <f>IF(OR($Y1390="",$D$6=""),"",IF(INDEX($A:$U,ROW(),$D$6)="",0,IF(ISNUMBER(INDEX($A:$U,ROW(),$D$6)),INDEX($A:$U,ROW(),$D$6),IFERROR(--SUBSTITUTE(SUBSTITUTE(TRIM(INDEX($A:$U,ROW(),$D$6)),",",""),"원",""),0))))</f>
        <v/>
      </c>
      <c r="AA1390" s="31">
        <f>IF($Y1390="","",TRIM(INDEX($A:$U,ROW(),$E$6)&amp;IF($F$6="",""," "&amp;INDEX($A:$U,ROW(),$F$6))))</f>
        <v/>
      </c>
      <c r="AB1390" s="31">
        <f>IF($AA1390="","",SUBSTITUTE(SUBSTITUTE(SUBSTITUTE(SUBSTITUTE(SUBSTITUTE(SUBSTITUTE(SUBSTITUTE(SUBSTITUTE(SUBSTITUTE($AA1390," ",""),"　",""),"(주)",""),"（주）",""),"㈜",""),"주식회사",""),"(유)",""),"（유）",""),"유한회사",""))</f>
        <v/>
      </c>
      <c r="AC1390" s="31">
        <f>IF(OR($Y1390="",N($Z1390)&lt;=0,$AB1390=""),0,IFERROR(LOOKUP(2,1/((거래처별!$AC$8:$AC$307&lt;&gt;"")*ISNUMBER(SEARCH(거래처별!$AC$8:$AC$307,$AB1390))),거래처별!$A$8:$A$307),IFERROR(LOOKUP(2,1/((거래처별!$AD$8:$AD$307&lt;&gt;"")*ISNUMBER(SEARCH(거래처별!$AD$8:$AD$307,$AB1390))),거래처별!$A$8:$A$307),IFERROR(LOOKUP(2,1/((거래처별!$AE$8:$AE$307&lt;&gt;"")*ISNUMBER(SEARCH(거래처별!$AE$8:$AE$307,$AB1390))),거래처별!$A$8:$A$307),0))))</f>
        <v/>
      </c>
      <c r="AD1390" s="31">
        <f>IF(AND($Y1390&lt;&gt;"",N($Z1390)&gt;0,$AC1390=0),MAX($AD$7:$AD1389)+1,"")</f>
        <v/>
      </c>
      <c r="AE1390" s="31">
        <f>IF($Y1390="",0,$Y1390)</f>
        <v/>
      </c>
    </row>
    <row r="1391">
      <c r="W1391" s="31">
        <f>IF(OR($B$5="",$C$6="",ROW()&lt;$B$5),"",IF(INDEX($A:$U,ROW(),$C$6)="","",INDEX($A:$U,ROW(),$C$6)))</f>
        <v/>
      </c>
      <c r="X1391" s="32">
        <f>IF($W1391="","",IF(ISNUMBER($W1391),IF($W1391&gt;=10000000,IFERROR(DATE(INT($W1391/10000),MOD(INT($W1391/100),100),MOD($W1391,100)),""),INT($W1391)),IFERROR(DATE(--LEFT(LEFT(SUBSTITUTE(SUBSTITUTE(SUBSTITUTE(SUBSTITUTE(TRIM($W1391),"-",""),".",""),"/","")," ",""),8),4),--MID(LEFT(SUBSTITUTE(SUBSTITUTE(SUBSTITUTE(SUBSTITUTE(TRIM($W1391),"-",""),".",""),"/","")," ",""),8),5,2),--MID(LEFT(SUBSTITUTE(SUBSTITUTE(SUBSTITUTE(SUBSTITUTE(TRIM($W1391),"-",""),".",""),"/","")," ",""),8),7,2)),"")))</f>
        <v/>
      </c>
      <c r="Y1391" s="32">
        <f>IF($X1391="","",INT($X1391))</f>
        <v/>
      </c>
      <c r="Z1391" s="33">
        <f>IF(OR($Y1391="",$D$6=""),"",IF(INDEX($A:$U,ROW(),$D$6)="",0,IF(ISNUMBER(INDEX($A:$U,ROW(),$D$6)),INDEX($A:$U,ROW(),$D$6),IFERROR(--SUBSTITUTE(SUBSTITUTE(TRIM(INDEX($A:$U,ROW(),$D$6)),",",""),"원",""),0))))</f>
        <v/>
      </c>
      <c r="AA1391" s="31">
        <f>IF($Y1391="","",TRIM(INDEX($A:$U,ROW(),$E$6)&amp;IF($F$6="",""," "&amp;INDEX($A:$U,ROW(),$F$6))))</f>
        <v/>
      </c>
      <c r="AB1391" s="31">
        <f>IF($AA1391="","",SUBSTITUTE(SUBSTITUTE(SUBSTITUTE(SUBSTITUTE(SUBSTITUTE(SUBSTITUTE(SUBSTITUTE(SUBSTITUTE(SUBSTITUTE($AA1391," ",""),"　",""),"(주)",""),"（주）",""),"㈜",""),"주식회사",""),"(유)",""),"（유）",""),"유한회사",""))</f>
        <v/>
      </c>
      <c r="AC1391" s="31">
        <f>IF(OR($Y1391="",N($Z1391)&lt;=0,$AB1391=""),0,IFERROR(LOOKUP(2,1/((거래처별!$AC$8:$AC$307&lt;&gt;"")*ISNUMBER(SEARCH(거래처별!$AC$8:$AC$307,$AB1391))),거래처별!$A$8:$A$307),IFERROR(LOOKUP(2,1/((거래처별!$AD$8:$AD$307&lt;&gt;"")*ISNUMBER(SEARCH(거래처별!$AD$8:$AD$307,$AB1391))),거래처별!$A$8:$A$307),IFERROR(LOOKUP(2,1/((거래처별!$AE$8:$AE$307&lt;&gt;"")*ISNUMBER(SEARCH(거래처별!$AE$8:$AE$307,$AB1391))),거래처별!$A$8:$A$307),0))))</f>
        <v/>
      </c>
      <c r="AD1391" s="31">
        <f>IF(AND($Y1391&lt;&gt;"",N($Z1391)&gt;0,$AC1391=0),MAX($AD$7:$AD1390)+1,"")</f>
        <v/>
      </c>
      <c r="AE1391" s="31">
        <f>IF($Y1391="",0,$Y1391)</f>
        <v/>
      </c>
    </row>
    <row r="1392">
      <c r="W1392" s="31">
        <f>IF(OR($B$5="",$C$6="",ROW()&lt;$B$5),"",IF(INDEX($A:$U,ROW(),$C$6)="","",INDEX($A:$U,ROW(),$C$6)))</f>
        <v/>
      </c>
      <c r="X1392" s="32">
        <f>IF($W1392="","",IF(ISNUMBER($W1392),IF($W1392&gt;=10000000,IFERROR(DATE(INT($W1392/10000),MOD(INT($W1392/100),100),MOD($W1392,100)),""),INT($W1392)),IFERROR(DATE(--LEFT(LEFT(SUBSTITUTE(SUBSTITUTE(SUBSTITUTE(SUBSTITUTE(TRIM($W1392),"-",""),".",""),"/","")," ",""),8),4),--MID(LEFT(SUBSTITUTE(SUBSTITUTE(SUBSTITUTE(SUBSTITUTE(TRIM($W1392),"-",""),".",""),"/","")," ",""),8),5,2),--MID(LEFT(SUBSTITUTE(SUBSTITUTE(SUBSTITUTE(SUBSTITUTE(TRIM($W1392),"-",""),".",""),"/","")," ",""),8),7,2)),"")))</f>
        <v/>
      </c>
      <c r="Y1392" s="32">
        <f>IF($X1392="","",INT($X1392))</f>
        <v/>
      </c>
      <c r="Z1392" s="33">
        <f>IF(OR($Y1392="",$D$6=""),"",IF(INDEX($A:$U,ROW(),$D$6)="",0,IF(ISNUMBER(INDEX($A:$U,ROW(),$D$6)),INDEX($A:$U,ROW(),$D$6),IFERROR(--SUBSTITUTE(SUBSTITUTE(TRIM(INDEX($A:$U,ROW(),$D$6)),",",""),"원",""),0))))</f>
        <v/>
      </c>
      <c r="AA1392" s="31">
        <f>IF($Y1392="","",TRIM(INDEX($A:$U,ROW(),$E$6)&amp;IF($F$6="",""," "&amp;INDEX($A:$U,ROW(),$F$6))))</f>
        <v/>
      </c>
      <c r="AB1392" s="31">
        <f>IF($AA1392="","",SUBSTITUTE(SUBSTITUTE(SUBSTITUTE(SUBSTITUTE(SUBSTITUTE(SUBSTITUTE(SUBSTITUTE(SUBSTITUTE(SUBSTITUTE($AA1392," ",""),"　",""),"(주)",""),"（주）",""),"㈜",""),"주식회사",""),"(유)",""),"（유）",""),"유한회사",""))</f>
        <v/>
      </c>
      <c r="AC1392" s="31">
        <f>IF(OR($Y1392="",N($Z1392)&lt;=0,$AB1392=""),0,IFERROR(LOOKUP(2,1/((거래처별!$AC$8:$AC$307&lt;&gt;"")*ISNUMBER(SEARCH(거래처별!$AC$8:$AC$307,$AB1392))),거래처별!$A$8:$A$307),IFERROR(LOOKUP(2,1/((거래처별!$AD$8:$AD$307&lt;&gt;"")*ISNUMBER(SEARCH(거래처별!$AD$8:$AD$307,$AB1392))),거래처별!$A$8:$A$307),IFERROR(LOOKUP(2,1/((거래처별!$AE$8:$AE$307&lt;&gt;"")*ISNUMBER(SEARCH(거래처별!$AE$8:$AE$307,$AB1392))),거래처별!$A$8:$A$307),0))))</f>
        <v/>
      </c>
      <c r="AD1392" s="31">
        <f>IF(AND($Y1392&lt;&gt;"",N($Z1392)&gt;0,$AC1392=0),MAX($AD$7:$AD1391)+1,"")</f>
        <v/>
      </c>
      <c r="AE1392" s="31">
        <f>IF($Y1392="",0,$Y1392)</f>
        <v/>
      </c>
    </row>
    <row r="1393">
      <c r="W1393" s="31">
        <f>IF(OR($B$5="",$C$6="",ROW()&lt;$B$5),"",IF(INDEX($A:$U,ROW(),$C$6)="","",INDEX($A:$U,ROW(),$C$6)))</f>
        <v/>
      </c>
      <c r="X1393" s="32">
        <f>IF($W1393="","",IF(ISNUMBER($W1393),IF($W1393&gt;=10000000,IFERROR(DATE(INT($W1393/10000),MOD(INT($W1393/100),100),MOD($W1393,100)),""),INT($W1393)),IFERROR(DATE(--LEFT(LEFT(SUBSTITUTE(SUBSTITUTE(SUBSTITUTE(SUBSTITUTE(TRIM($W1393),"-",""),".",""),"/","")," ",""),8),4),--MID(LEFT(SUBSTITUTE(SUBSTITUTE(SUBSTITUTE(SUBSTITUTE(TRIM($W1393),"-",""),".",""),"/","")," ",""),8),5,2),--MID(LEFT(SUBSTITUTE(SUBSTITUTE(SUBSTITUTE(SUBSTITUTE(TRIM($W1393),"-",""),".",""),"/","")," ",""),8),7,2)),"")))</f>
        <v/>
      </c>
      <c r="Y1393" s="32">
        <f>IF($X1393="","",INT($X1393))</f>
        <v/>
      </c>
      <c r="Z1393" s="33">
        <f>IF(OR($Y1393="",$D$6=""),"",IF(INDEX($A:$U,ROW(),$D$6)="",0,IF(ISNUMBER(INDEX($A:$U,ROW(),$D$6)),INDEX($A:$U,ROW(),$D$6),IFERROR(--SUBSTITUTE(SUBSTITUTE(TRIM(INDEX($A:$U,ROW(),$D$6)),",",""),"원",""),0))))</f>
        <v/>
      </c>
      <c r="AA1393" s="31">
        <f>IF($Y1393="","",TRIM(INDEX($A:$U,ROW(),$E$6)&amp;IF($F$6="",""," "&amp;INDEX($A:$U,ROW(),$F$6))))</f>
        <v/>
      </c>
      <c r="AB1393" s="31">
        <f>IF($AA1393="","",SUBSTITUTE(SUBSTITUTE(SUBSTITUTE(SUBSTITUTE(SUBSTITUTE(SUBSTITUTE(SUBSTITUTE(SUBSTITUTE(SUBSTITUTE($AA1393," ",""),"　",""),"(주)",""),"（주）",""),"㈜",""),"주식회사",""),"(유)",""),"（유）",""),"유한회사",""))</f>
        <v/>
      </c>
      <c r="AC1393" s="31">
        <f>IF(OR($Y1393="",N($Z1393)&lt;=0,$AB1393=""),0,IFERROR(LOOKUP(2,1/((거래처별!$AC$8:$AC$307&lt;&gt;"")*ISNUMBER(SEARCH(거래처별!$AC$8:$AC$307,$AB1393))),거래처별!$A$8:$A$307),IFERROR(LOOKUP(2,1/((거래처별!$AD$8:$AD$307&lt;&gt;"")*ISNUMBER(SEARCH(거래처별!$AD$8:$AD$307,$AB1393))),거래처별!$A$8:$A$307),IFERROR(LOOKUP(2,1/((거래처별!$AE$8:$AE$307&lt;&gt;"")*ISNUMBER(SEARCH(거래처별!$AE$8:$AE$307,$AB1393))),거래처별!$A$8:$A$307),0))))</f>
        <v/>
      </c>
      <c r="AD1393" s="31">
        <f>IF(AND($Y1393&lt;&gt;"",N($Z1393)&gt;0,$AC1393=0),MAX($AD$7:$AD1392)+1,"")</f>
        <v/>
      </c>
      <c r="AE1393" s="31">
        <f>IF($Y1393="",0,$Y1393)</f>
        <v/>
      </c>
    </row>
    <row r="1394">
      <c r="W1394" s="31">
        <f>IF(OR($B$5="",$C$6="",ROW()&lt;$B$5),"",IF(INDEX($A:$U,ROW(),$C$6)="","",INDEX($A:$U,ROW(),$C$6)))</f>
        <v/>
      </c>
      <c r="X1394" s="32">
        <f>IF($W1394="","",IF(ISNUMBER($W1394),IF($W1394&gt;=10000000,IFERROR(DATE(INT($W1394/10000),MOD(INT($W1394/100),100),MOD($W1394,100)),""),INT($W1394)),IFERROR(DATE(--LEFT(LEFT(SUBSTITUTE(SUBSTITUTE(SUBSTITUTE(SUBSTITUTE(TRIM($W1394),"-",""),".",""),"/","")," ",""),8),4),--MID(LEFT(SUBSTITUTE(SUBSTITUTE(SUBSTITUTE(SUBSTITUTE(TRIM($W1394),"-",""),".",""),"/","")," ",""),8),5,2),--MID(LEFT(SUBSTITUTE(SUBSTITUTE(SUBSTITUTE(SUBSTITUTE(TRIM($W1394),"-",""),".",""),"/","")," ",""),8),7,2)),"")))</f>
        <v/>
      </c>
      <c r="Y1394" s="32">
        <f>IF($X1394="","",INT($X1394))</f>
        <v/>
      </c>
      <c r="Z1394" s="33">
        <f>IF(OR($Y1394="",$D$6=""),"",IF(INDEX($A:$U,ROW(),$D$6)="",0,IF(ISNUMBER(INDEX($A:$U,ROW(),$D$6)),INDEX($A:$U,ROW(),$D$6),IFERROR(--SUBSTITUTE(SUBSTITUTE(TRIM(INDEX($A:$U,ROW(),$D$6)),",",""),"원",""),0))))</f>
        <v/>
      </c>
      <c r="AA1394" s="31">
        <f>IF($Y1394="","",TRIM(INDEX($A:$U,ROW(),$E$6)&amp;IF($F$6="",""," "&amp;INDEX($A:$U,ROW(),$F$6))))</f>
        <v/>
      </c>
      <c r="AB1394" s="31">
        <f>IF($AA1394="","",SUBSTITUTE(SUBSTITUTE(SUBSTITUTE(SUBSTITUTE(SUBSTITUTE(SUBSTITUTE(SUBSTITUTE(SUBSTITUTE(SUBSTITUTE($AA1394," ",""),"　",""),"(주)",""),"（주）",""),"㈜",""),"주식회사",""),"(유)",""),"（유）",""),"유한회사",""))</f>
        <v/>
      </c>
      <c r="AC1394" s="31">
        <f>IF(OR($Y1394="",N($Z1394)&lt;=0,$AB1394=""),0,IFERROR(LOOKUP(2,1/((거래처별!$AC$8:$AC$307&lt;&gt;"")*ISNUMBER(SEARCH(거래처별!$AC$8:$AC$307,$AB1394))),거래처별!$A$8:$A$307),IFERROR(LOOKUP(2,1/((거래처별!$AD$8:$AD$307&lt;&gt;"")*ISNUMBER(SEARCH(거래처별!$AD$8:$AD$307,$AB1394))),거래처별!$A$8:$A$307),IFERROR(LOOKUP(2,1/((거래처별!$AE$8:$AE$307&lt;&gt;"")*ISNUMBER(SEARCH(거래처별!$AE$8:$AE$307,$AB1394))),거래처별!$A$8:$A$307),0))))</f>
        <v/>
      </c>
      <c r="AD1394" s="31">
        <f>IF(AND($Y1394&lt;&gt;"",N($Z1394)&gt;0,$AC1394=0),MAX($AD$7:$AD1393)+1,"")</f>
        <v/>
      </c>
      <c r="AE1394" s="31">
        <f>IF($Y1394="",0,$Y1394)</f>
        <v/>
      </c>
    </row>
    <row r="1395">
      <c r="W1395" s="31">
        <f>IF(OR($B$5="",$C$6="",ROW()&lt;$B$5),"",IF(INDEX($A:$U,ROW(),$C$6)="","",INDEX($A:$U,ROW(),$C$6)))</f>
        <v/>
      </c>
      <c r="X1395" s="32">
        <f>IF($W1395="","",IF(ISNUMBER($W1395),IF($W1395&gt;=10000000,IFERROR(DATE(INT($W1395/10000),MOD(INT($W1395/100),100),MOD($W1395,100)),""),INT($W1395)),IFERROR(DATE(--LEFT(LEFT(SUBSTITUTE(SUBSTITUTE(SUBSTITUTE(SUBSTITUTE(TRIM($W1395),"-",""),".",""),"/","")," ",""),8),4),--MID(LEFT(SUBSTITUTE(SUBSTITUTE(SUBSTITUTE(SUBSTITUTE(TRIM($W1395),"-",""),".",""),"/","")," ",""),8),5,2),--MID(LEFT(SUBSTITUTE(SUBSTITUTE(SUBSTITUTE(SUBSTITUTE(TRIM($W1395),"-",""),".",""),"/","")," ",""),8),7,2)),"")))</f>
        <v/>
      </c>
      <c r="Y1395" s="32">
        <f>IF($X1395="","",INT($X1395))</f>
        <v/>
      </c>
      <c r="Z1395" s="33">
        <f>IF(OR($Y1395="",$D$6=""),"",IF(INDEX($A:$U,ROW(),$D$6)="",0,IF(ISNUMBER(INDEX($A:$U,ROW(),$D$6)),INDEX($A:$U,ROW(),$D$6),IFERROR(--SUBSTITUTE(SUBSTITUTE(TRIM(INDEX($A:$U,ROW(),$D$6)),",",""),"원",""),0))))</f>
        <v/>
      </c>
      <c r="AA1395" s="31">
        <f>IF($Y1395="","",TRIM(INDEX($A:$U,ROW(),$E$6)&amp;IF($F$6="",""," "&amp;INDEX($A:$U,ROW(),$F$6))))</f>
        <v/>
      </c>
      <c r="AB1395" s="31">
        <f>IF($AA1395="","",SUBSTITUTE(SUBSTITUTE(SUBSTITUTE(SUBSTITUTE(SUBSTITUTE(SUBSTITUTE(SUBSTITUTE(SUBSTITUTE(SUBSTITUTE($AA1395," ",""),"　",""),"(주)",""),"（주）",""),"㈜",""),"주식회사",""),"(유)",""),"（유）",""),"유한회사",""))</f>
        <v/>
      </c>
      <c r="AC1395" s="31">
        <f>IF(OR($Y1395="",N($Z1395)&lt;=0,$AB1395=""),0,IFERROR(LOOKUP(2,1/((거래처별!$AC$8:$AC$307&lt;&gt;"")*ISNUMBER(SEARCH(거래처별!$AC$8:$AC$307,$AB1395))),거래처별!$A$8:$A$307),IFERROR(LOOKUP(2,1/((거래처별!$AD$8:$AD$307&lt;&gt;"")*ISNUMBER(SEARCH(거래처별!$AD$8:$AD$307,$AB1395))),거래처별!$A$8:$A$307),IFERROR(LOOKUP(2,1/((거래처별!$AE$8:$AE$307&lt;&gt;"")*ISNUMBER(SEARCH(거래처별!$AE$8:$AE$307,$AB1395))),거래처별!$A$8:$A$307),0))))</f>
        <v/>
      </c>
      <c r="AD1395" s="31">
        <f>IF(AND($Y1395&lt;&gt;"",N($Z1395)&gt;0,$AC1395=0),MAX($AD$7:$AD1394)+1,"")</f>
        <v/>
      </c>
      <c r="AE1395" s="31">
        <f>IF($Y1395="",0,$Y1395)</f>
        <v/>
      </c>
    </row>
    <row r="1396">
      <c r="W1396" s="31">
        <f>IF(OR($B$5="",$C$6="",ROW()&lt;$B$5),"",IF(INDEX($A:$U,ROW(),$C$6)="","",INDEX($A:$U,ROW(),$C$6)))</f>
        <v/>
      </c>
      <c r="X1396" s="32">
        <f>IF($W1396="","",IF(ISNUMBER($W1396),IF($W1396&gt;=10000000,IFERROR(DATE(INT($W1396/10000),MOD(INT($W1396/100),100),MOD($W1396,100)),""),INT($W1396)),IFERROR(DATE(--LEFT(LEFT(SUBSTITUTE(SUBSTITUTE(SUBSTITUTE(SUBSTITUTE(TRIM($W1396),"-",""),".",""),"/","")," ",""),8),4),--MID(LEFT(SUBSTITUTE(SUBSTITUTE(SUBSTITUTE(SUBSTITUTE(TRIM($W1396),"-",""),".",""),"/","")," ",""),8),5,2),--MID(LEFT(SUBSTITUTE(SUBSTITUTE(SUBSTITUTE(SUBSTITUTE(TRIM($W1396),"-",""),".",""),"/","")," ",""),8),7,2)),"")))</f>
        <v/>
      </c>
      <c r="Y1396" s="32">
        <f>IF($X1396="","",INT($X1396))</f>
        <v/>
      </c>
      <c r="Z1396" s="33">
        <f>IF(OR($Y1396="",$D$6=""),"",IF(INDEX($A:$U,ROW(),$D$6)="",0,IF(ISNUMBER(INDEX($A:$U,ROW(),$D$6)),INDEX($A:$U,ROW(),$D$6),IFERROR(--SUBSTITUTE(SUBSTITUTE(TRIM(INDEX($A:$U,ROW(),$D$6)),",",""),"원",""),0))))</f>
        <v/>
      </c>
      <c r="AA1396" s="31">
        <f>IF($Y1396="","",TRIM(INDEX($A:$U,ROW(),$E$6)&amp;IF($F$6="",""," "&amp;INDEX($A:$U,ROW(),$F$6))))</f>
        <v/>
      </c>
      <c r="AB1396" s="31">
        <f>IF($AA1396="","",SUBSTITUTE(SUBSTITUTE(SUBSTITUTE(SUBSTITUTE(SUBSTITUTE(SUBSTITUTE(SUBSTITUTE(SUBSTITUTE(SUBSTITUTE($AA1396," ",""),"　",""),"(주)",""),"（주）",""),"㈜",""),"주식회사",""),"(유)",""),"（유）",""),"유한회사",""))</f>
        <v/>
      </c>
      <c r="AC1396" s="31">
        <f>IF(OR($Y1396="",N($Z1396)&lt;=0,$AB1396=""),0,IFERROR(LOOKUP(2,1/((거래처별!$AC$8:$AC$307&lt;&gt;"")*ISNUMBER(SEARCH(거래처별!$AC$8:$AC$307,$AB1396))),거래처별!$A$8:$A$307),IFERROR(LOOKUP(2,1/((거래처별!$AD$8:$AD$307&lt;&gt;"")*ISNUMBER(SEARCH(거래처별!$AD$8:$AD$307,$AB1396))),거래처별!$A$8:$A$307),IFERROR(LOOKUP(2,1/((거래처별!$AE$8:$AE$307&lt;&gt;"")*ISNUMBER(SEARCH(거래처별!$AE$8:$AE$307,$AB1396))),거래처별!$A$8:$A$307),0))))</f>
        <v/>
      </c>
      <c r="AD1396" s="31">
        <f>IF(AND($Y1396&lt;&gt;"",N($Z1396)&gt;0,$AC1396=0),MAX($AD$7:$AD1395)+1,"")</f>
        <v/>
      </c>
      <c r="AE1396" s="31">
        <f>IF($Y1396="",0,$Y1396)</f>
        <v/>
      </c>
    </row>
    <row r="1397">
      <c r="W1397" s="31">
        <f>IF(OR($B$5="",$C$6="",ROW()&lt;$B$5),"",IF(INDEX($A:$U,ROW(),$C$6)="","",INDEX($A:$U,ROW(),$C$6)))</f>
        <v/>
      </c>
      <c r="X1397" s="32">
        <f>IF($W1397="","",IF(ISNUMBER($W1397),IF($W1397&gt;=10000000,IFERROR(DATE(INT($W1397/10000),MOD(INT($W1397/100),100),MOD($W1397,100)),""),INT($W1397)),IFERROR(DATE(--LEFT(LEFT(SUBSTITUTE(SUBSTITUTE(SUBSTITUTE(SUBSTITUTE(TRIM($W1397),"-",""),".",""),"/","")," ",""),8),4),--MID(LEFT(SUBSTITUTE(SUBSTITUTE(SUBSTITUTE(SUBSTITUTE(TRIM($W1397),"-",""),".",""),"/","")," ",""),8),5,2),--MID(LEFT(SUBSTITUTE(SUBSTITUTE(SUBSTITUTE(SUBSTITUTE(TRIM($W1397),"-",""),".",""),"/","")," ",""),8),7,2)),"")))</f>
        <v/>
      </c>
      <c r="Y1397" s="32">
        <f>IF($X1397="","",INT($X1397))</f>
        <v/>
      </c>
      <c r="Z1397" s="33">
        <f>IF(OR($Y1397="",$D$6=""),"",IF(INDEX($A:$U,ROW(),$D$6)="",0,IF(ISNUMBER(INDEX($A:$U,ROW(),$D$6)),INDEX($A:$U,ROW(),$D$6),IFERROR(--SUBSTITUTE(SUBSTITUTE(TRIM(INDEX($A:$U,ROW(),$D$6)),",",""),"원",""),0))))</f>
        <v/>
      </c>
      <c r="AA1397" s="31">
        <f>IF($Y1397="","",TRIM(INDEX($A:$U,ROW(),$E$6)&amp;IF($F$6="",""," "&amp;INDEX($A:$U,ROW(),$F$6))))</f>
        <v/>
      </c>
      <c r="AB1397" s="31">
        <f>IF($AA1397="","",SUBSTITUTE(SUBSTITUTE(SUBSTITUTE(SUBSTITUTE(SUBSTITUTE(SUBSTITUTE(SUBSTITUTE(SUBSTITUTE(SUBSTITUTE($AA1397," ",""),"　",""),"(주)",""),"（주）",""),"㈜",""),"주식회사",""),"(유)",""),"（유）",""),"유한회사",""))</f>
        <v/>
      </c>
      <c r="AC1397" s="31">
        <f>IF(OR($Y1397="",N($Z1397)&lt;=0,$AB1397=""),0,IFERROR(LOOKUP(2,1/((거래처별!$AC$8:$AC$307&lt;&gt;"")*ISNUMBER(SEARCH(거래처별!$AC$8:$AC$307,$AB1397))),거래처별!$A$8:$A$307),IFERROR(LOOKUP(2,1/((거래처별!$AD$8:$AD$307&lt;&gt;"")*ISNUMBER(SEARCH(거래처별!$AD$8:$AD$307,$AB1397))),거래처별!$A$8:$A$307),IFERROR(LOOKUP(2,1/((거래처별!$AE$8:$AE$307&lt;&gt;"")*ISNUMBER(SEARCH(거래처별!$AE$8:$AE$307,$AB1397))),거래처별!$A$8:$A$307),0))))</f>
        <v/>
      </c>
      <c r="AD1397" s="31">
        <f>IF(AND($Y1397&lt;&gt;"",N($Z1397)&gt;0,$AC1397=0),MAX($AD$7:$AD1396)+1,"")</f>
        <v/>
      </c>
      <c r="AE1397" s="31">
        <f>IF($Y1397="",0,$Y1397)</f>
        <v/>
      </c>
    </row>
    <row r="1398">
      <c r="W1398" s="31">
        <f>IF(OR($B$5="",$C$6="",ROW()&lt;$B$5),"",IF(INDEX($A:$U,ROW(),$C$6)="","",INDEX($A:$U,ROW(),$C$6)))</f>
        <v/>
      </c>
      <c r="X1398" s="32">
        <f>IF($W1398="","",IF(ISNUMBER($W1398),IF($W1398&gt;=10000000,IFERROR(DATE(INT($W1398/10000),MOD(INT($W1398/100),100),MOD($W1398,100)),""),INT($W1398)),IFERROR(DATE(--LEFT(LEFT(SUBSTITUTE(SUBSTITUTE(SUBSTITUTE(SUBSTITUTE(TRIM($W1398),"-",""),".",""),"/","")," ",""),8),4),--MID(LEFT(SUBSTITUTE(SUBSTITUTE(SUBSTITUTE(SUBSTITUTE(TRIM($W1398),"-",""),".",""),"/","")," ",""),8),5,2),--MID(LEFT(SUBSTITUTE(SUBSTITUTE(SUBSTITUTE(SUBSTITUTE(TRIM($W1398),"-",""),".",""),"/","")," ",""),8),7,2)),"")))</f>
        <v/>
      </c>
      <c r="Y1398" s="32">
        <f>IF($X1398="","",INT($X1398))</f>
        <v/>
      </c>
      <c r="Z1398" s="33">
        <f>IF(OR($Y1398="",$D$6=""),"",IF(INDEX($A:$U,ROW(),$D$6)="",0,IF(ISNUMBER(INDEX($A:$U,ROW(),$D$6)),INDEX($A:$U,ROW(),$D$6),IFERROR(--SUBSTITUTE(SUBSTITUTE(TRIM(INDEX($A:$U,ROW(),$D$6)),",",""),"원",""),0))))</f>
        <v/>
      </c>
      <c r="AA1398" s="31">
        <f>IF($Y1398="","",TRIM(INDEX($A:$U,ROW(),$E$6)&amp;IF($F$6="",""," "&amp;INDEX($A:$U,ROW(),$F$6))))</f>
        <v/>
      </c>
      <c r="AB1398" s="31">
        <f>IF($AA1398="","",SUBSTITUTE(SUBSTITUTE(SUBSTITUTE(SUBSTITUTE(SUBSTITUTE(SUBSTITUTE(SUBSTITUTE(SUBSTITUTE(SUBSTITUTE($AA1398," ",""),"　",""),"(주)",""),"（주）",""),"㈜",""),"주식회사",""),"(유)",""),"（유）",""),"유한회사",""))</f>
        <v/>
      </c>
      <c r="AC1398" s="31">
        <f>IF(OR($Y1398="",N($Z1398)&lt;=0,$AB1398=""),0,IFERROR(LOOKUP(2,1/((거래처별!$AC$8:$AC$307&lt;&gt;"")*ISNUMBER(SEARCH(거래처별!$AC$8:$AC$307,$AB1398))),거래처별!$A$8:$A$307),IFERROR(LOOKUP(2,1/((거래처별!$AD$8:$AD$307&lt;&gt;"")*ISNUMBER(SEARCH(거래처별!$AD$8:$AD$307,$AB1398))),거래처별!$A$8:$A$307),IFERROR(LOOKUP(2,1/((거래처별!$AE$8:$AE$307&lt;&gt;"")*ISNUMBER(SEARCH(거래처별!$AE$8:$AE$307,$AB1398))),거래처별!$A$8:$A$307),0))))</f>
        <v/>
      </c>
      <c r="AD1398" s="31">
        <f>IF(AND($Y1398&lt;&gt;"",N($Z1398)&gt;0,$AC1398=0),MAX($AD$7:$AD1397)+1,"")</f>
        <v/>
      </c>
      <c r="AE1398" s="31">
        <f>IF($Y1398="",0,$Y1398)</f>
        <v/>
      </c>
    </row>
    <row r="1399">
      <c r="W1399" s="31">
        <f>IF(OR($B$5="",$C$6="",ROW()&lt;$B$5),"",IF(INDEX($A:$U,ROW(),$C$6)="","",INDEX($A:$U,ROW(),$C$6)))</f>
        <v/>
      </c>
      <c r="X1399" s="32">
        <f>IF($W1399="","",IF(ISNUMBER($W1399),IF($W1399&gt;=10000000,IFERROR(DATE(INT($W1399/10000),MOD(INT($W1399/100),100),MOD($W1399,100)),""),INT($W1399)),IFERROR(DATE(--LEFT(LEFT(SUBSTITUTE(SUBSTITUTE(SUBSTITUTE(SUBSTITUTE(TRIM($W1399),"-",""),".",""),"/","")," ",""),8),4),--MID(LEFT(SUBSTITUTE(SUBSTITUTE(SUBSTITUTE(SUBSTITUTE(TRIM($W1399),"-",""),".",""),"/","")," ",""),8),5,2),--MID(LEFT(SUBSTITUTE(SUBSTITUTE(SUBSTITUTE(SUBSTITUTE(TRIM($W1399),"-",""),".",""),"/","")," ",""),8),7,2)),"")))</f>
        <v/>
      </c>
      <c r="Y1399" s="32">
        <f>IF($X1399="","",INT($X1399))</f>
        <v/>
      </c>
      <c r="Z1399" s="33">
        <f>IF(OR($Y1399="",$D$6=""),"",IF(INDEX($A:$U,ROW(),$D$6)="",0,IF(ISNUMBER(INDEX($A:$U,ROW(),$D$6)),INDEX($A:$U,ROW(),$D$6),IFERROR(--SUBSTITUTE(SUBSTITUTE(TRIM(INDEX($A:$U,ROW(),$D$6)),",",""),"원",""),0))))</f>
        <v/>
      </c>
      <c r="AA1399" s="31">
        <f>IF($Y1399="","",TRIM(INDEX($A:$U,ROW(),$E$6)&amp;IF($F$6="",""," "&amp;INDEX($A:$U,ROW(),$F$6))))</f>
        <v/>
      </c>
      <c r="AB1399" s="31">
        <f>IF($AA1399="","",SUBSTITUTE(SUBSTITUTE(SUBSTITUTE(SUBSTITUTE(SUBSTITUTE(SUBSTITUTE(SUBSTITUTE(SUBSTITUTE(SUBSTITUTE($AA1399," ",""),"　",""),"(주)",""),"（주）",""),"㈜",""),"주식회사",""),"(유)",""),"（유）",""),"유한회사",""))</f>
        <v/>
      </c>
      <c r="AC1399" s="31">
        <f>IF(OR($Y1399="",N($Z1399)&lt;=0,$AB1399=""),0,IFERROR(LOOKUP(2,1/((거래처별!$AC$8:$AC$307&lt;&gt;"")*ISNUMBER(SEARCH(거래처별!$AC$8:$AC$307,$AB1399))),거래처별!$A$8:$A$307),IFERROR(LOOKUP(2,1/((거래처별!$AD$8:$AD$307&lt;&gt;"")*ISNUMBER(SEARCH(거래처별!$AD$8:$AD$307,$AB1399))),거래처별!$A$8:$A$307),IFERROR(LOOKUP(2,1/((거래처별!$AE$8:$AE$307&lt;&gt;"")*ISNUMBER(SEARCH(거래처별!$AE$8:$AE$307,$AB1399))),거래처별!$A$8:$A$307),0))))</f>
        <v/>
      </c>
      <c r="AD1399" s="31">
        <f>IF(AND($Y1399&lt;&gt;"",N($Z1399)&gt;0,$AC1399=0),MAX($AD$7:$AD1398)+1,"")</f>
        <v/>
      </c>
      <c r="AE1399" s="31">
        <f>IF($Y1399="",0,$Y1399)</f>
        <v/>
      </c>
    </row>
    <row r="1400">
      <c r="W1400" s="31">
        <f>IF(OR($B$5="",$C$6="",ROW()&lt;$B$5),"",IF(INDEX($A:$U,ROW(),$C$6)="","",INDEX($A:$U,ROW(),$C$6)))</f>
        <v/>
      </c>
      <c r="X1400" s="32">
        <f>IF($W1400="","",IF(ISNUMBER($W1400),IF($W1400&gt;=10000000,IFERROR(DATE(INT($W1400/10000),MOD(INT($W1400/100),100),MOD($W1400,100)),""),INT($W1400)),IFERROR(DATE(--LEFT(LEFT(SUBSTITUTE(SUBSTITUTE(SUBSTITUTE(SUBSTITUTE(TRIM($W1400),"-",""),".",""),"/","")," ",""),8),4),--MID(LEFT(SUBSTITUTE(SUBSTITUTE(SUBSTITUTE(SUBSTITUTE(TRIM($W1400),"-",""),".",""),"/","")," ",""),8),5,2),--MID(LEFT(SUBSTITUTE(SUBSTITUTE(SUBSTITUTE(SUBSTITUTE(TRIM($W1400),"-",""),".",""),"/","")," ",""),8),7,2)),"")))</f>
        <v/>
      </c>
      <c r="Y1400" s="32">
        <f>IF($X1400="","",INT($X1400))</f>
        <v/>
      </c>
      <c r="Z1400" s="33">
        <f>IF(OR($Y1400="",$D$6=""),"",IF(INDEX($A:$U,ROW(),$D$6)="",0,IF(ISNUMBER(INDEX($A:$U,ROW(),$D$6)),INDEX($A:$U,ROW(),$D$6),IFERROR(--SUBSTITUTE(SUBSTITUTE(TRIM(INDEX($A:$U,ROW(),$D$6)),",",""),"원",""),0))))</f>
        <v/>
      </c>
      <c r="AA1400" s="31">
        <f>IF($Y1400="","",TRIM(INDEX($A:$U,ROW(),$E$6)&amp;IF($F$6="",""," "&amp;INDEX($A:$U,ROW(),$F$6))))</f>
        <v/>
      </c>
      <c r="AB1400" s="31">
        <f>IF($AA1400="","",SUBSTITUTE(SUBSTITUTE(SUBSTITUTE(SUBSTITUTE(SUBSTITUTE(SUBSTITUTE(SUBSTITUTE(SUBSTITUTE(SUBSTITUTE($AA1400," ",""),"　",""),"(주)",""),"（주）",""),"㈜",""),"주식회사",""),"(유)",""),"（유）",""),"유한회사",""))</f>
        <v/>
      </c>
      <c r="AC1400" s="31">
        <f>IF(OR($Y1400="",N($Z1400)&lt;=0,$AB1400=""),0,IFERROR(LOOKUP(2,1/((거래처별!$AC$8:$AC$307&lt;&gt;"")*ISNUMBER(SEARCH(거래처별!$AC$8:$AC$307,$AB1400))),거래처별!$A$8:$A$307),IFERROR(LOOKUP(2,1/((거래처별!$AD$8:$AD$307&lt;&gt;"")*ISNUMBER(SEARCH(거래처별!$AD$8:$AD$307,$AB1400))),거래처별!$A$8:$A$307),IFERROR(LOOKUP(2,1/((거래처별!$AE$8:$AE$307&lt;&gt;"")*ISNUMBER(SEARCH(거래처별!$AE$8:$AE$307,$AB1400))),거래처별!$A$8:$A$307),0))))</f>
        <v/>
      </c>
      <c r="AD1400" s="31">
        <f>IF(AND($Y1400&lt;&gt;"",N($Z1400)&gt;0,$AC1400=0),MAX($AD$7:$AD1399)+1,"")</f>
        <v/>
      </c>
      <c r="AE1400" s="31">
        <f>IF($Y1400="",0,$Y1400)</f>
        <v/>
      </c>
    </row>
    <row r="1401">
      <c r="W1401" s="31">
        <f>IF(OR($B$5="",$C$6="",ROW()&lt;$B$5),"",IF(INDEX($A:$U,ROW(),$C$6)="","",INDEX($A:$U,ROW(),$C$6)))</f>
        <v/>
      </c>
      <c r="X1401" s="32">
        <f>IF($W1401="","",IF(ISNUMBER($W1401),IF($W1401&gt;=10000000,IFERROR(DATE(INT($W1401/10000),MOD(INT($W1401/100),100),MOD($W1401,100)),""),INT($W1401)),IFERROR(DATE(--LEFT(LEFT(SUBSTITUTE(SUBSTITUTE(SUBSTITUTE(SUBSTITUTE(TRIM($W1401),"-",""),".",""),"/","")," ",""),8),4),--MID(LEFT(SUBSTITUTE(SUBSTITUTE(SUBSTITUTE(SUBSTITUTE(TRIM($W1401),"-",""),".",""),"/","")," ",""),8),5,2),--MID(LEFT(SUBSTITUTE(SUBSTITUTE(SUBSTITUTE(SUBSTITUTE(TRIM($W1401),"-",""),".",""),"/","")," ",""),8),7,2)),"")))</f>
        <v/>
      </c>
      <c r="Y1401" s="32">
        <f>IF($X1401="","",INT($X1401))</f>
        <v/>
      </c>
      <c r="Z1401" s="33">
        <f>IF(OR($Y1401="",$D$6=""),"",IF(INDEX($A:$U,ROW(),$D$6)="",0,IF(ISNUMBER(INDEX($A:$U,ROW(),$D$6)),INDEX($A:$U,ROW(),$D$6),IFERROR(--SUBSTITUTE(SUBSTITUTE(TRIM(INDEX($A:$U,ROW(),$D$6)),",",""),"원",""),0))))</f>
        <v/>
      </c>
      <c r="AA1401" s="31">
        <f>IF($Y1401="","",TRIM(INDEX($A:$U,ROW(),$E$6)&amp;IF($F$6="",""," "&amp;INDEX($A:$U,ROW(),$F$6))))</f>
        <v/>
      </c>
      <c r="AB1401" s="31">
        <f>IF($AA1401="","",SUBSTITUTE(SUBSTITUTE(SUBSTITUTE(SUBSTITUTE(SUBSTITUTE(SUBSTITUTE(SUBSTITUTE(SUBSTITUTE(SUBSTITUTE($AA1401," ",""),"　",""),"(주)",""),"（주）",""),"㈜",""),"주식회사",""),"(유)",""),"（유）",""),"유한회사",""))</f>
        <v/>
      </c>
      <c r="AC1401" s="31">
        <f>IF(OR($Y1401="",N($Z1401)&lt;=0,$AB1401=""),0,IFERROR(LOOKUP(2,1/((거래처별!$AC$8:$AC$307&lt;&gt;"")*ISNUMBER(SEARCH(거래처별!$AC$8:$AC$307,$AB1401))),거래처별!$A$8:$A$307),IFERROR(LOOKUP(2,1/((거래처별!$AD$8:$AD$307&lt;&gt;"")*ISNUMBER(SEARCH(거래처별!$AD$8:$AD$307,$AB1401))),거래처별!$A$8:$A$307),IFERROR(LOOKUP(2,1/((거래처별!$AE$8:$AE$307&lt;&gt;"")*ISNUMBER(SEARCH(거래처별!$AE$8:$AE$307,$AB1401))),거래처별!$A$8:$A$307),0))))</f>
        <v/>
      </c>
      <c r="AD1401" s="31">
        <f>IF(AND($Y1401&lt;&gt;"",N($Z1401)&gt;0,$AC1401=0),MAX($AD$7:$AD1400)+1,"")</f>
        <v/>
      </c>
      <c r="AE1401" s="31">
        <f>IF($Y1401="",0,$Y1401)</f>
        <v/>
      </c>
    </row>
    <row r="1402">
      <c r="W1402" s="31">
        <f>IF(OR($B$5="",$C$6="",ROW()&lt;$B$5),"",IF(INDEX($A:$U,ROW(),$C$6)="","",INDEX($A:$U,ROW(),$C$6)))</f>
        <v/>
      </c>
      <c r="X1402" s="32">
        <f>IF($W1402="","",IF(ISNUMBER($W1402),IF($W1402&gt;=10000000,IFERROR(DATE(INT($W1402/10000),MOD(INT($W1402/100),100),MOD($W1402,100)),""),INT($W1402)),IFERROR(DATE(--LEFT(LEFT(SUBSTITUTE(SUBSTITUTE(SUBSTITUTE(SUBSTITUTE(TRIM($W1402),"-",""),".",""),"/","")," ",""),8),4),--MID(LEFT(SUBSTITUTE(SUBSTITUTE(SUBSTITUTE(SUBSTITUTE(TRIM($W1402),"-",""),".",""),"/","")," ",""),8),5,2),--MID(LEFT(SUBSTITUTE(SUBSTITUTE(SUBSTITUTE(SUBSTITUTE(TRIM($W1402),"-",""),".",""),"/","")," ",""),8),7,2)),"")))</f>
        <v/>
      </c>
      <c r="Y1402" s="32">
        <f>IF($X1402="","",INT($X1402))</f>
        <v/>
      </c>
      <c r="Z1402" s="33">
        <f>IF(OR($Y1402="",$D$6=""),"",IF(INDEX($A:$U,ROW(),$D$6)="",0,IF(ISNUMBER(INDEX($A:$U,ROW(),$D$6)),INDEX($A:$U,ROW(),$D$6),IFERROR(--SUBSTITUTE(SUBSTITUTE(TRIM(INDEX($A:$U,ROW(),$D$6)),",",""),"원",""),0))))</f>
        <v/>
      </c>
      <c r="AA1402" s="31">
        <f>IF($Y1402="","",TRIM(INDEX($A:$U,ROW(),$E$6)&amp;IF($F$6="",""," "&amp;INDEX($A:$U,ROW(),$F$6))))</f>
        <v/>
      </c>
      <c r="AB1402" s="31">
        <f>IF($AA1402="","",SUBSTITUTE(SUBSTITUTE(SUBSTITUTE(SUBSTITUTE(SUBSTITUTE(SUBSTITUTE(SUBSTITUTE(SUBSTITUTE(SUBSTITUTE($AA1402," ",""),"　",""),"(주)",""),"（주）",""),"㈜",""),"주식회사",""),"(유)",""),"（유）",""),"유한회사",""))</f>
        <v/>
      </c>
      <c r="AC1402" s="31">
        <f>IF(OR($Y1402="",N($Z1402)&lt;=0,$AB1402=""),0,IFERROR(LOOKUP(2,1/((거래처별!$AC$8:$AC$307&lt;&gt;"")*ISNUMBER(SEARCH(거래처별!$AC$8:$AC$307,$AB1402))),거래처별!$A$8:$A$307),IFERROR(LOOKUP(2,1/((거래처별!$AD$8:$AD$307&lt;&gt;"")*ISNUMBER(SEARCH(거래처별!$AD$8:$AD$307,$AB1402))),거래처별!$A$8:$A$307),IFERROR(LOOKUP(2,1/((거래처별!$AE$8:$AE$307&lt;&gt;"")*ISNUMBER(SEARCH(거래처별!$AE$8:$AE$307,$AB1402))),거래처별!$A$8:$A$307),0))))</f>
        <v/>
      </c>
      <c r="AD1402" s="31">
        <f>IF(AND($Y1402&lt;&gt;"",N($Z1402)&gt;0,$AC1402=0),MAX($AD$7:$AD1401)+1,"")</f>
        <v/>
      </c>
      <c r="AE1402" s="31">
        <f>IF($Y1402="",0,$Y1402)</f>
        <v/>
      </c>
    </row>
    <row r="1403">
      <c r="W1403" s="31">
        <f>IF(OR($B$5="",$C$6="",ROW()&lt;$B$5),"",IF(INDEX($A:$U,ROW(),$C$6)="","",INDEX($A:$U,ROW(),$C$6)))</f>
        <v/>
      </c>
      <c r="X1403" s="32">
        <f>IF($W1403="","",IF(ISNUMBER($W1403),IF($W1403&gt;=10000000,IFERROR(DATE(INT($W1403/10000),MOD(INT($W1403/100),100),MOD($W1403,100)),""),INT($W1403)),IFERROR(DATE(--LEFT(LEFT(SUBSTITUTE(SUBSTITUTE(SUBSTITUTE(SUBSTITUTE(TRIM($W1403),"-",""),".",""),"/","")," ",""),8),4),--MID(LEFT(SUBSTITUTE(SUBSTITUTE(SUBSTITUTE(SUBSTITUTE(TRIM($W1403),"-",""),".",""),"/","")," ",""),8),5,2),--MID(LEFT(SUBSTITUTE(SUBSTITUTE(SUBSTITUTE(SUBSTITUTE(TRIM($W1403),"-",""),".",""),"/","")," ",""),8),7,2)),"")))</f>
        <v/>
      </c>
      <c r="Y1403" s="32">
        <f>IF($X1403="","",INT($X1403))</f>
        <v/>
      </c>
      <c r="Z1403" s="33">
        <f>IF(OR($Y1403="",$D$6=""),"",IF(INDEX($A:$U,ROW(),$D$6)="",0,IF(ISNUMBER(INDEX($A:$U,ROW(),$D$6)),INDEX($A:$U,ROW(),$D$6),IFERROR(--SUBSTITUTE(SUBSTITUTE(TRIM(INDEX($A:$U,ROW(),$D$6)),",",""),"원",""),0))))</f>
        <v/>
      </c>
      <c r="AA1403" s="31">
        <f>IF($Y1403="","",TRIM(INDEX($A:$U,ROW(),$E$6)&amp;IF($F$6="",""," "&amp;INDEX($A:$U,ROW(),$F$6))))</f>
        <v/>
      </c>
      <c r="AB1403" s="31">
        <f>IF($AA1403="","",SUBSTITUTE(SUBSTITUTE(SUBSTITUTE(SUBSTITUTE(SUBSTITUTE(SUBSTITUTE(SUBSTITUTE(SUBSTITUTE(SUBSTITUTE($AA1403," ",""),"　",""),"(주)",""),"（주）",""),"㈜",""),"주식회사",""),"(유)",""),"（유）",""),"유한회사",""))</f>
        <v/>
      </c>
      <c r="AC1403" s="31">
        <f>IF(OR($Y1403="",N($Z1403)&lt;=0,$AB1403=""),0,IFERROR(LOOKUP(2,1/((거래처별!$AC$8:$AC$307&lt;&gt;"")*ISNUMBER(SEARCH(거래처별!$AC$8:$AC$307,$AB1403))),거래처별!$A$8:$A$307),IFERROR(LOOKUP(2,1/((거래처별!$AD$8:$AD$307&lt;&gt;"")*ISNUMBER(SEARCH(거래처별!$AD$8:$AD$307,$AB1403))),거래처별!$A$8:$A$307),IFERROR(LOOKUP(2,1/((거래처별!$AE$8:$AE$307&lt;&gt;"")*ISNUMBER(SEARCH(거래처별!$AE$8:$AE$307,$AB1403))),거래처별!$A$8:$A$307),0))))</f>
        <v/>
      </c>
      <c r="AD1403" s="31">
        <f>IF(AND($Y1403&lt;&gt;"",N($Z1403)&gt;0,$AC1403=0),MAX($AD$7:$AD1402)+1,"")</f>
        <v/>
      </c>
      <c r="AE1403" s="31">
        <f>IF($Y1403="",0,$Y1403)</f>
        <v/>
      </c>
    </row>
    <row r="1404">
      <c r="W1404" s="31">
        <f>IF(OR($B$5="",$C$6="",ROW()&lt;$B$5),"",IF(INDEX($A:$U,ROW(),$C$6)="","",INDEX($A:$U,ROW(),$C$6)))</f>
        <v/>
      </c>
      <c r="X1404" s="32">
        <f>IF($W1404="","",IF(ISNUMBER($W1404),IF($W1404&gt;=10000000,IFERROR(DATE(INT($W1404/10000),MOD(INT($W1404/100),100),MOD($W1404,100)),""),INT($W1404)),IFERROR(DATE(--LEFT(LEFT(SUBSTITUTE(SUBSTITUTE(SUBSTITUTE(SUBSTITUTE(TRIM($W1404),"-",""),".",""),"/","")," ",""),8),4),--MID(LEFT(SUBSTITUTE(SUBSTITUTE(SUBSTITUTE(SUBSTITUTE(TRIM($W1404),"-",""),".",""),"/","")," ",""),8),5,2),--MID(LEFT(SUBSTITUTE(SUBSTITUTE(SUBSTITUTE(SUBSTITUTE(TRIM($W1404),"-",""),".",""),"/","")," ",""),8),7,2)),"")))</f>
        <v/>
      </c>
      <c r="Y1404" s="32">
        <f>IF($X1404="","",INT($X1404))</f>
        <v/>
      </c>
      <c r="Z1404" s="33">
        <f>IF(OR($Y1404="",$D$6=""),"",IF(INDEX($A:$U,ROW(),$D$6)="",0,IF(ISNUMBER(INDEX($A:$U,ROW(),$D$6)),INDEX($A:$U,ROW(),$D$6),IFERROR(--SUBSTITUTE(SUBSTITUTE(TRIM(INDEX($A:$U,ROW(),$D$6)),",",""),"원",""),0))))</f>
        <v/>
      </c>
      <c r="AA1404" s="31">
        <f>IF($Y1404="","",TRIM(INDEX($A:$U,ROW(),$E$6)&amp;IF($F$6="",""," "&amp;INDEX($A:$U,ROW(),$F$6))))</f>
        <v/>
      </c>
      <c r="AB1404" s="31">
        <f>IF($AA1404="","",SUBSTITUTE(SUBSTITUTE(SUBSTITUTE(SUBSTITUTE(SUBSTITUTE(SUBSTITUTE(SUBSTITUTE(SUBSTITUTE(SUBSTITUTE($AA1404," ",""),"　",""),"(주)",""),"（주）",""),"㈜",""),"주식회사",""),"(유)",""),"（유）",""),"유한회사",""))</f>
        <v/>
      </c>
      <c r="AC1404" s="31">
        <f>IF(OR($Y1404="",N($Z1404)&lt;=0,$AB1404=""),0,IFERROR(LOOKUP(2,1/((거래처별!$AC$8:$AC$307&lt;&gt;"")*ISNUMBER(SEARCH(거래처별!$AC$8:$AC$307,$AB1404))),거래처별!$A$8:$A$307),IFERROR(LOOKUP(2,1/((거래처별!$AD$8:$AD$307&lt;&gt;"")*ISNUMBER(SEARCH(거래처별!$AD$8:$AD$307,$AB1404))),거래처별!$A$8:$A$307),IFERROR(LOOKUP(2,1/((거래처별!$AE$8:$AE$307&lt;&gt;"")*ISNUMBER(SEARCH(거래처별!$AE$8:$AE$307,$AB1404))),거래처별!$A$8:$A$307),0))))</f>
        <v/>
      </c>
      <c r="AD1404" s="31">
        <f>IF(AND($Y1404&lt;&gt;"",N($Z1404)&gt;0,$AC1404=0),MAX($AD$7:$AD1403)+1,"")</f>
        <v/>
      </c>
      <c r="AE1404" s="31">
        <f>IF($Y1404="",0,$Y1404)</f>
        <v/>
      </c>
    </row>
    <row r="1405">
      <c r="W1405" s="31">
        <f>IF(OR($B$5="",$C$6="",ROW()&lt;$B$5),"",IF(INDEX($A:$U,ROW(),$C$6)="","",INDEX($A:$U,ROW(),$C$6)))</f>
        <v/>
      </c>
      <c r="X1405" s="32">
        <f>IF($W1405="","",IF(ISNUMBER($W1405),IF($W1405&gt;=10000000,IFERROR(DATE(INT($W1405/10000),MOD(INT($W1405/100),100),MOD($W1405,100)),""),INT($W1405)),IFERROR(DATE(--LEFT(LEFT(SUBSTITUTE(SUBSTITUTE(SUBSTITUTE(SUBSTITUTE(TRIM($W1405),"-",""),".",""),"/","")," ",""),8),4),--MID(LEFT(SUBSTITUTE(SUBSTITUTE(SUBSTITUTE(SUBSTITUTE(TRIM($W1405),"-",""),".",""),"/","")," ",""),8),5,2),--MID(LEFT(SUBSTITUTE(SUBSTITUTE(SUBSTITUTE(SUBSTITUTE(TRIM($W1405),"-",""),".",""),"/","")," ",""),8),7,2)),"")))</f>
        <v/>
      </c>
      <c r="Y1405" s="32">
        <f>IF($X1405="","",INT($X1405))</f>
        <v/>
      </c>
      <c r="Z1405" s="33">
        <f>IF(OR($Y1405="",$D$6=""),"",IF(INDEX($A:$U,ROW(),$D$6)="",0,IF(ISNUMBER(INDEX($A:$U,ROW(),$D$6)),INDEX($A:$U,ROW(),$D$6),IFERROR(--SUBSTITUTE(SUBSTITUTE(TRIM(INDEX($A:$U,ROW(),$D$6)),",",""),"원",""),0))))</f>
        <v/>
      </c>
      <c r="AA1405" s="31">
        <f>IF($Y1405="","",TRIM(INDEX($A:$U,ROW(),$E$6)&amp;IF($F$6="",""," "&amp;INDEX($A:$U,ROW(),$F$6))))</f>
        <v/>
      </c>
      <c r="AB1405" s="31">
        <f>IF($AA1405="","",SUBSTITUTE(SUBSTITUTE(SUBSTITUTE(SUBSTITUTE(SUBSTITUTE(SUBSTITUTE(SUBSTITUTE(SUBSTITUTE(SUBSTITUTE($AA1405," ",""),"　",""),"(주)",""),"（주）",""),"㈜",""),"주식회사",""),"(유)",""),"（유）",""),"유한회사",""))</f>
        <v/>
      </c>
      <c r="AC1405" s="31">
        <f>IF(OR($Y1405="",N($Z1405)&lt;=0,$AB1405=""),0,IFERROR(LOOKUP(2,1/((거래처별!$AC$8:$AC$307&lt;&gt;"")*ISNUMBER(SEARCH(거래처별!$AC$8:$AC$307,$AB1405))),거래처별!$A$8:$A$307),IFERROR(LOOKUP(2,1/((거래처별!$AD$8:$AD$307&lt;&gt;"")*ISNUMBER(SEARCH(거래처별!$AD$8:$AD$307,$AB1405))),거래처별!$A$8:$A$307),IFERROR(LOOKUP(2,1/((거래처별!$AE$8:$AE$307&lt;&gt;"")*ISNUMBER(SEARCH(거래처별!$AE$8:$AE$307,$AB1405))),거래처별!$A$8:$A$307),0))))</f>
        <v/>
      </c>
      <c r="AD1405" s="31">
        <f>IF(AND($Y1405&lt;&gt;"",N($Z1405)&gt;0,$AC1405=0),MAX($AD$7:$AD1404)+1,"")</f>
        <v/>
      </c>
      <c r="AE1405" s="31">
        <f>IF($Y1405="",0,$Y1405)</f>
        <v/>
      </c>
    </row>
    <row r="1406">
      <c r="W1406" s="31">
        <f>IF(OR($B$5="",$C$6="",ROW()&lt;$B$5),"",IF(INDEX($A:$U,ROW(),$C$6)="","",INDEX($A:$U,ROW(),$C$6)))</f>
        <v/>
      </c>
      <c r="X1406" s="32">
        <f>IF($W1406="","",IF(ISNUMBER($W1406),IF($W1406&gt;=10000000,IFERROR(DATE(INT($W1406/10000),MOD(INT($W1406/100),100),MOD($W1406,100)),""),INT($W1406)),IFERROR(DATE(--LEFT(LEFT(SUBSTITUTE(SUBSTITUTE(SUBSTITUTE(SUBSTITUTE(TRIM($W1406),"-",""),".",""),"/","")," ",""),8),4),--MID(LEFT(SUBSTITUTE(SUBSTITUTE(SUBSTITUTE(SUBSTITUTE(TRIM($W1406),"-",""),".",""),"/","")," ",""),8),5,2),--MID(LEFT(SUBSTITUTE(SUBSTITUTE(SUBSTITUTE(SUBSTITUTE(TRIM($W1406),"-",""),".",""),"/","")," ",""),8),7,2)),"")))</f>
        <v/>
      </c>
      <c r="Y1406" s="32">
        <f>IF($X1406="","",INT($X1406))</f>
        <v/>
      </c>
      <c r="Z1406" s="33">
        <f>IF(OR($Y1406="",$D$6=""),"",IF(INDEX($A:$U,ROW(),$D$6)="",0,IF(ISNUMBER(INDEX($A:$U,ROW(),$D$6)),INDEX($A:$U,ROW(),$D$6),IFERROR(--SUBSTITUTE(SUBSTITUTE(TRIM(INDEX($A:$U,ROW(),$D$6)),",",""),"원",""),0))))</f>
        <v/>
      </c>
      <c r="AA1406" s="31">
        <f>IF($Y1406="","",TRIM(INDEX($A:$U,ROW(),$E$6)&amp;IF($F$6="",""," "&amp;INDEX($A:$U,ROW(),$F$6))))</f>
        <v/>
      </c>
      <c r="AB1406" s="31">
        <f>IF($AA1406="","",SUBSTITUTE(SUBSTITUTE(SUBSTITUTE(SUBSTITUTE(SUBSTITUTE(SUBSTITUTE(SUBSTITUTE(SUBSTITUTE(SUBSTITUTE($AA1406," ",""),"　",""),"(주)",""),"（주）",""),"㈜",""),"주식회사",""),"(유)",""),"（유）",""),"유한회사",""))</f>
        <v/>
      </c>
      <c r="AC1406" s="31">
        <f>IF(OR($Y1406="",N($Z1406)&lt;=0,$AB1406=""),0,IFERROR(LOOKUP(2,1/((거래처별!$AC$8:$AC$307&lt;&gt;"")*ISNUMBER(SEARCH(거래처별!$AC$8:$AC$307,$AB1406))),거래처별!$A$8:$A$307),IFERROR(LOOKUP(2,1/((거래처별!$AD$8:$AD$307&lt;&gt;"")*ISNUMBER(SEARCH(거래처별!$AD$8:$AD$307,$AB1406))),거래처별!$A$8:$A$307),IFERROR(LOOKUP(2,1/((거래처별!$AE$8:$AE$307&lt;&gt;"")*ISNUMBER(SEARCH(거래처별!$AE$8:$AE$307,$AB1406))),거래처별!$A$8:$A$307),0))))</f>
        <v/>
      </c>
      <c r="AD1406" s="31">
        <f>IF(AND($Y1406&lt;&gt;"",N($Z1406)&gt;0,$AC1406=0),MAX($AD$7:$AD1405)+1,"")</f>
        <v/>
      </c>
      <c r="AE1406" s="31">
        <f>IF($Y1406="",0,$Y1406)</f>
        <v/>
      </c>
    </row>
    <row r="1407">
      <c r="W1407" s="31">
        <f>IF(OR($B$5="",$C$6="",ROW()&lt;$B$5),"",IF(INDEX($A:$U,ROW(),$C$6)="","",INDEX($A:$U,ROW(),$C$6)))</f>
        <v/>
      </c>
      <c r="X1407" s="32">
        <f>IF($W1407="","",IF(ISNUMBER($W1407),IF($W1407&gt;=10000000,IFERROR(DATE(INT($W1407/10000),MOD(INT($W1407/100),100),MOD($W1407,100)),""),INT($W1407)),IFERROR(DATE(--LEFT(LEFT(SUBSTITUTE(SUBSTITUTE(SUBSTITUTE(SUBSTITUTE(TRIM($W1407),"-",""),".",""),"/","")," ",""),8),4),--MID(LEFT(SUBSTITUTE(SUBSTITUTE(SUBSTITUTE(SUBSTITUTE(TRIM($W1407),"-",""),".",""),"/","")," ",""),8),5,2),--MID(LEFT(SUBSTITUTE(SUBSTITUTE(SUBSTITUTE(SUBSTITUTE(TRIM($W1407),"-",""),".",""),"/","")," ",""),8),7,2)),"")))</f>
        <v/>
      </c>
      <c r="Y1407" s="32">
        <f>IF($X1407="","",INT($X1407))</f>
        <v/>
      </c>
      <c r="Z1407" s="33">
        <f>IF(OR($Y1407="",$D$6=""),"",IF(INDEX($A:$U,ROW(),$D$6)="",0,IF(ISNUMBER(INDEX($A:$U,ROW(),$D$6)),INDEX($A:$U,ROW(),$D$6),IFERROR(--SUBSTITUTE(SUBSTITUTE(TRIM(INDEX($A:$U,ROW(),$D$6)),",",""),"원",""),0))))</f>
        <v/>
      </c>
      <c r="AA1407" s="31">
        <f>IF($Y1407="","",TRIM(INDEX($A:$U,ROW(),$E$6)&amp;IF($F$6="",""," "&amp;INDEX($A:$U,ROW(),$F$6))))</f>
        <v/>
      </c>
      <c r="AB1407" s="31">
        <f>IF($AA1407="","",SUBSTITUTE(SUBSTITUTE(SUBSTITUTE(SUBSTITUTE(SUBSTITUTE(SUBSTITUTE(SUBSTITUTE(SUBSTITUTE(SUBSTITUTE($AA1407," ",""),"　",""),"(주)",""),"（주）",""),"㈜",""),"주식회사",""),"(유)",""),"（유）",""),"유한회사",""))</f>
        <v/>
      </c>
      <c r="AC1407" s="31">
        <f>IF(OR($Y1407="",N($Z1407)&lt;=0,$AB1407=""),0,IFERROR(LOOKUP(2,1/((거래처별!$AC$8:$AC$307&lt;&gt;"")*ISNUMBER(SEARCH(거래처별!$AC$8:$AC$307,$AB1407))),거래처별!$A$8:$A$307),IFERROR(LOOKUP(2,1/((거래처별!$AD$8:$AD$307&lt;&gt;"")*ISNUMBER(SEARCH(거래처별!$AD$8:$AD$307,$AB1407))),거래처별!$A$8:$A$307),IFERROR(LOOKUP(2,1/((거래처별!$AE$8:$AE$307&lt;&gt;"")*ISNUMBER(SEARCH(거래처별!$AE$8:$AE$307,$AB1407))),거래처별!$A$8:$A$307),0))))</f>
        <v/>
      </c>
      <c r="AD1407" s="31">
        <f>IF(AND($Y1407&lt;&gt;"",N($Z1407)&gt;0,$AC1407=0),MAX($AD$7:$AD1406)+1,"")</f>
        <v/>
      </c>
      <c r="AE1407" s="31">
        <f>IF($Y1407="",0,$Y1407)</f>
        <v/>
      </c>
    </row>
    <row r="1408">
      <c r="W1408" s="31">
        <f>IF(OR($B$5="",$C$6="",ROW()&lt;$B$5),"",IF(INDEX($A:$U,ROW(),$C$6)="","",INDEX($A:$U,ROW(),$C$6)))</f>
        <v/>
      </c>
      <c r="X1408" s="32">
        <f>IF($W1408="","",IF(ISNUMBER($W1408),IF($W1408&gt;=10000000,IFERROR(DATE(INT($W1408/10000),MOD(INT($W1408/100),100),MOD($W1408,100)),""),INT($W1408)),IFERROR(DATE(--LEFT(LEFT(SUBSTITUTE(SUBSTITUTE(SUBSTITUTE(SUBSTITUTE(TRIM($W1408),"-",""),".",""),"/","")," ",""),8),4),--MID(LEFT(SUBSTITUTE(SUBSTITUTE(SUBSTITUTE(SUBSTITUTE(TRIM($W1408),"-",""),".",""),"/","")," ",""),8),5,2),--MID(LEFT(SUBSTITUTE(SUBSTITUTE(SUBSTITUTE(SUBSTITUTE(TRIM($W1408),"-",""),".",""),"/","")," ",""),8),7,2)),"")))</f>
        <v/>
      </c>
      <c r="Y1408" s="32">
        <f>IF($X1408="","",INT($X1408))</f>
        <v/>
      </c>
      <c r="Z1408" s="33">
        <f>IF(OR($Y1408="",$D$6=""),"",IF(INDEX($A:$U,ROW(),$D$6)="",0,IF(ISNUMBER(INDEX($A:$U,ROW(),$D$6)),INDEX($A:$U,ROW(),$D$6),IFERROR(--SUBSTITUTE(SUBSTITUTE(TRIM(INDEX($A:$U,ROW(),$D$6)),",",""),"원",""),0))))</f>
        <v/>
      </c>
      <c r="AA1408" s="31">
        <f>IF($Y1408="","",TRIM(INDEX($A:$U,ROW(),$E$6)&amp;IF($F$6="",""," "&amp;INDEX($A:$U,ROW(),$F$6))))</f>
        <v/>
      </c>
      <c r="AB1408" s="31">
        <f>IF($AA1408="","",SUBSTITUTE(SUBSTITUTE(SUBSTITUTE(SUBSTITUTE(SUBSTITUTE(SUBSTITUTE(SUBSTITUTE(SUBSTITUTE(SUBSTITUTE($AA1408," ",""),"　",""),"(주)",""),"（주）",""),"㈜",""),"주식회사",""),"(유)",""),"（유）",""),"유한회사",""))</f>
        <v/>
      </c>
      <c r="AC1408" s="31">
        <f>IF(OR($Y1408="",N($Z1408)&lt;=0,$AB1408=""),0,IFERROR(LOOKUP(2,1/((거래처별!$AC$8:$AC$307&lt;&gt;"")*ISNUMBER(SEARCH(거래처별!$AC$8:$AC$307,$AB1408))),거래처별!$A$8:$A$307),IFERROR(LOOKUP(2,1/((거래처별!$AD$8:$AD$307&lt;&gt;"")*ISNUMBER(SEARCH(거래처별!$AD$8:$AD$307,$AB1408))),거래처별!$A$8:$A$307),IFERROR(LOOKUP(2,1/((거래처별!$AE$8:$AE$307&lt;&gt;"")*ISNUMBER(SEARCH(거래처별!$AE$8:$AE$307,$AB1408))),거래처별!$A$8:$A$307),0))))</f>
        <v/>
      </c>
      <c r="AD1408" s="31">
        <f>IF(AND($Y1408&lt;&gt;"",N($Z1408)&gt;0,$AC1408=0),MAX($AD$7:$AD1407)+1,"")</f>
        <v/>
      </c>
      <c r="AE1408" s="31">
        <f>IF($Y1408="",0,$Y1408)</f>
        <v/>
      </c>
    </row>
    <row r="1409">
      <c r="W1409" s="31">
        <f>IF(OR($B$5="",$C$6="",ROW()&lt;$B$5),"",IF(INDEX($A:$U,ROW(),$C$6)="","",INDEX($A:$U,ROW(),$C$6)))</f>
        <v/>
      </c>
      <c r="X1409" s="32">
        <f>IF($W1409="","",IF(ISNUMBER($W1409),IF($W1409&gt;=10000000,IFERROR(DATE(INT($W1409/10000),MOD(INT($W1409/100),100),MOD($W1409,100)),""),INT($W1409)),IFERROR(DATE(--LEFT(LEFT(SUBSTITUTE(SUBSTITUTE(SUBSTITUTE(SUBSTITUTE(TRIM($W1409),"-",""),".",""),"/","")," ",""),8),4),--MID(LEFT(SUBSTITUTE(SUBSTITUTE(SUBSTITUTE(SUBSTITUTE(TRIM($W1409),"-",""),".",""),"/","")," ",""),8),5,2),--MID(LEFT(SUBSTITUTE(SUBSTITUTE(SUBSTITUTE(SUBSTITUTE(TRIM($W1409),"-",""),".",""),"/","")," ",""),8),7,2)),"")))</f>
        <v/>
      </c>
      <c r="Y1409" s="32">
        <f>IF($X1409="","",INT($X1409))</f>
        <v/>
      </c>
      <c r="Z1409" s="33">
        <f>IF(OR($Y1409="",$D$6=""),"",IF(INDEX($A:$U,ROW(),$D$6)="",0,IF(ISNUMBER(INDEX($A:$U,ROW(),$D$6)),INDEX($A:$U,ROW(),$D$6),IFERROR(--SUBSTITUTE(SUBSTITUTE(TRIM(INDEX($A:$U,ROW(),$D$6)),",",""),"원",""),0))))</f>
        <v/>
      </c>
      <c r="AA1409" s="31">
        <f>IF($Y1409="","",TRIM(INDEX($A:$U,ROW(),$E$6)&amp;IF($F$6="",""," "&amp;INDEX($A:$U,ROW(),$F$6))))</f>
        <v/>
      </c>
      <c r="AB1409" s="31">
        <f>IF($AA1409="","",SUBSTITUTE(SUBSTITUTE(SUBSTITUTE(SUBSTITUTE(SUBSTITUTE(SUBSTITUTE(SUBSTITUTE(SUBSTITUTE(SUBSTITUTE($AA1409," ",""),"　",""),"(주)",""),"（주）",""),"㈜",""),"주식회사",""),"(유)",""),"（유）",""),"유한회사",""))</f>
        <v/>
      </c>
      <c r="AC1409" s="31">
        <f>IF(OR($Y1409="",N($Z1409)&lt;=0,$AB1409=""),0,IFERROR(LOOKUP(2,1/((거래처별!$AC$8:$AC$307&lt;&gt;"")*ISNUMBER(SEARCH(거래처별!$AC$8:$AC$307,$AB1409))),거래처별!$A$8:$A$307),IFERROR(LOOKUP(2,1/((거래처별!$AD$8:$AD$307&lt;&gt;"")*ISNUMBER(SEARCH(거래처별!$AD$8:$AD$307,$AB1409))),거래처별!$A$8:$A$307),IFERROR(LOOKUP(2,1/((거래처별!$AE$8:$AE$307&lt;&gt;"")*ISNUMBER(SEARCH(거래처별!$AE$8:$AE$307,$AB1409))),거래처별!$A$8:$A$307),0))))</f>
        <v/>
      </c>
      <c r="AD1409" s="31">
        <f>IF(AND($Y1409&lt;&gt;"",N($Z1409)&gt;0,$AC1409=0),MAX($AD$7:$AD1408)+1,"")</f>
        <v/>
      </c>
      <c r="AE1409" s="31">
        <f>IF($Y1409="",0,$Y1409)</f>
        <v/>
      </c>
    </row>
    <row r="1410">
      <c r="W1410" s="31">
        <f>IF(OR($B$5="",$C$6="",ROW()&lt;$B$5),"",IF(INDEX($A:$U,ROW(),$C$6)="","",INDEX($A:$U,ROW(),$C$6)))</f>
        <v/>
      </c>
      <c r="X1410" s="32">
        <f>IF($W1410="","",IF(ISNUMBER($W1410),IF($W1410&gt;=10000000,IFERROR(DATE(INT($W1410/10000),MOD(INT($W1410/100),100),MOD($W1410,100)),""),INT($W1410)),IFERROR(DATE(--LEFT(LEFT(SUBSTITUTE(SUBSTITUTE(SUBSTITUTE(SUBSTITUTE(TRIM($W1410),"-",""),".",""),"/","")," ",""),8),4),--MID(LEFT(SUBSTITUTE(SUBSTITUTE(SUBSTITUTE(SUBSTITUTE(TRIM($W1410),"-",""),".",""),"/","")," ",""),8),5,2),--MID(LEFT(SUBSTITUTE(SUBSTITUTE(SUBSTITUTE(SUBSTITUTE(TRIM($W1410),"-",""),".",""),"/","")," ",""),8),7,2)),"")))</f>
        <v/>
      </c>
      <c r="Y1410" s="32">
        <f>IF($X1410="","",INT($X1410))</f>
        <v/>
      </c>
      <c r="Z1410" s="33">
        <f>IF(OR($Y1410="",$D$6=""),"",IF(INDEX($A:$U,ROW(),$D$6)="",0,IF(ISNUMBER(INDEX($A:$U,ROW(),$D$6)),INDEX($A:$U,ROW(),$D$6),IFERROR(--SUBSTITUTE(SUBSTITUTE(TRIM(INDEX($A:$U,ROW(),$D$6)),",",""),"원",""),0))))</f>
        <v/>
      </c>
      <c r="AA1410" s="31">
        <f>IF($Y1410="","",TRIM(INDEX($A:$U,ROW(),$E$6)&amp;IF($F$6="",""," "&amp;INDEX($A:$U,ROW(),$F$6))))</f>
        <v/>
      </c>
      <c r="AB1410" s="31">
        <f>IF($AA1410="","",SUBSTITUTE(SUBSTITUTE(SUBSTITUTE(SUBSTITUTE(SUBSTITUTE(SUBSTITUTE(SUBSTITUTE(SUBSTITUTE(SUBSTITUTE($AA1410," ",""),"　",""),"(주)",""),"（주）",""),"㈜",""),"주식회사",""),"(유)",""),"（유）",""),"유한회사",""))</f>
        <v/>
      </c>
      <c r="AC1410" s="31">
        <f>IF(OR($Y1410="",N($Z1410)&lt;=0,$AB1410=""),0,IFERROR(LOOKUP(2,1/((거래처별!$AC$8:$AC$307&lt;&gt;"")*ISNUMBER(SEARCH(거래처별!$AC$8:$AC$307,$AB1410))),거래처별!$A$8:$A$307),IFERROR(LOOKUP(2,1/((거래처별!$AD$8:$AD$307&lt;&gt;"")*ISNUMBER(SEARCH(거래처별!$AD$8:$AD$307,$AB1410))),거래처별!$A$8:$A$307),IFERROR(LOOKUP(2,1/((거래처별!$AE$8:$AE$307&lt;&gt;"")*ISNUMBER(SEARCH(거래처별!$AE$8:$AE$307,$AB1410))),거래처별!$A$8:$A$307),0))))</f>
        <v/>
      </c>
      <c r="AD1410" s="31">
        <f>IF(AND($Y1410&lt;&gt;"",N($Z1410)&gt;0,$AC1410=0),MAX($AD$7:$AD1409)+1,"")</f>
        <v/>
      </c>
      <c r="AE1410" s="31">
        <f>IF($Y1410="",0,$Y1410)</f>
        <v/>
      </c>
    </row>
    <row r="1411">
      <c r="W1411" s="31">
        <f>IF(OR($B$5="",$C$6="",ROW()&lt;$B$5),"",IF(INDEX($A:$U,ROW(),$C$6)="","",INDEX($A:$U,ROW(),$C$6)))</f>
        <v/>
      </c>
      <c r="X1411" s="32">
        <f>IF($W1411="","",IF(ISNUMBER($W1411),IF($W1411&gt;=10000000,IFERROR(DATE(INT($W1411/10000),MOD(INT($W1411/100),100),MOD($W1411,100)),""),INT($W1411)),IFERROR(DATE(--LEFT(LEFT(SUBSTITUTE(SUBSTITUTE(SUBSTITUTE(SUBSTITUTE(TRIM($W1411),"-",""),".",""),"/","")," ",""),8),4),--MID(LEFT(SUBSTITUTE(SUBSTITUTE(SUBSTITUTE(SUBSTITUTE(TRIM($W1411),"-",""),".",""),"/","")," ",""),8),5,2),--MID(LEFT(SUBSTITUTE(SUBSTITUTE(SUBSTITUTE(SUBSTITUTE(TRIM($W1411),"-",""),".",""),"/","")," ",""),8),7,2)),"")))</f>
        <v/>
      </c>
      <c r="Y1411" s="32">
        <f>IF($X1411="","",INT($X1411))</f>
        <v/>
      </c>
      <c r="Z1411" s="33">
        <f>IF(OR($Y1411="",$D$6=""),"",IF(INDEX($A:$U,ROW(),$D$6)="",0,IF(ISNUMBER(INDEX($A:$U,ROW(),$D$6)),INDEX($A:$U,ROW(),$D$6),IFERROR(--SUBSTITUTE(SUBSTITUTE(TRIM(INDEX($A:$U,ROW(),$D$6)),",",""),"원",""),0))))</f>
        <v/>
      </c>
      <c r="AA1411" s="31">
        <f>IF($Y1411="","",TRIM(INDEX($A:$U,ROW(),$E$6)&amp;IF($F$6="",""," "&amp;INDEX($A:$U,ROW(),$F$6))))</f>
        <v/>
      </c>
      <c r="AB1411" s="31">
        <f>IF($AA1411="","",SUBSTITUTE(SUBSTITUTE(SUBSTITUTE(SUBSTITUTE(SUBSTITUTE(SUBSTITUTE(SUBSTITUTE(SUBSTITUTE(SUBSTITUTE($AA1411," ",""),"　",""),"(주)",""),"（주）",""),"㈜",""),"주식회사",""),"(유)",""),"（유）",""),"유한회사",""))</f>
        <v/>
      </c>
      <c r="AC1411" s="31">
        <f>IF(OR($Y1411="",N($Z1411)&lt;=0,$AB1411=""),0,IFERROR(LOOKUP(2,1/((거래처별!$AC$8:$AC$307&lt;&gt;"")*ISNUMBER(SEARCH(거래처별!$AC$8:$AC$307,$AB1411))),거래처별!$A$8:$A$307),IFERROR(LOOKUP(2,1/((거래처별!$AD$8:$AD$307&lt;&gt;"")*ISNUMBER(SEARCH(거래처별!$AD$8:$AD$307,$AB1411))),거래처별!$A$8:$A$307),IFERROR(LOOKUP(2,1/((거래처별!$AE$8:$AE$307&lt;&gt;"")*ISNUMBER(SEARCH(거래처별!$AE$8:$AE$307,$AB1411))),거래처별!$A$8:$A$307),0))))</f>
        <v/>
      </c>
      <c r="AD1411" s="31">
        <f>IF(AND($Y1411&lt;&gt;"",N($Z1411)&gt;0,$AC1411=0),MAX($AD$7:$AD1410)+1,"")</f>
        <v/>
      </c>
      <c r="AE1411" s="31">
        <f>IF($Y1411="",0,$Y1411)</f>
        <v/>
      </c>
    </row>
    <row r="1412">
      <c r="W1412" s="31">
        <f>IF(OR($B$5="",$C$6="",ROW()&lt;$B$5),"",IF(INDEX($A:$U,ROW(),$C$6)="","",INDEX($A:$U,ROW(),$C$6)))</f>
        <v/>
      </c>
      <c r="X1412" s="32">
        <f>IF($W1412="","",IF(ISNUMBER($W1412),IF($W1412&gt;=10000000,IFERROR(DATE(INT($W1412/10000),MOD(INT($W1412/100),100),MOD($W1412,100)),""),INT($W1412)),IFERROR(DATE(--LEFT(LEFT(SUBSTITUTE(SUBSTITUTE(SUBSTITUTE(SUBSTITUTE(TRIM($W1412),"-",""),".",""),"/","")," ",""),8),4),--MID(LEFT(SUBSTITUTE(SUBSTITUTE(SUBSTITUTE(SUBSTITUTE(TRIM($W1412),"-",""),".",""),"/","")," ",""),8),5,2),--MID(LEFT(SUBSTITUTE(SUBSTITUTE(SUBSTITUTE(SUBSTITUTE(TRIM($W1412),"-",""),".",""),"/","")," ",""),8),7,2)),"")))</f>
        <v/>
      </c>
      <c r="Y1412" s="32">
        <f>IF($X1412="","",INT($X1412))</f>
        <v/>
      </c>
      <c r="Z1412" s="33">
        <f>IF(OR($Y1412="",$D$6=""),"",IF(INDEX($A:$U,ROW(),$D$6)="",0,IF(ISNUMBER(INDEX($A:$U,ROW(),$D$6)),INDEX($A:$U,ROW(),$D$6),IFERROR(--SUBSTITUTE(SUBSTITUTE(TRIM(INDEX($A:$U,ROW(),$D$6)),",",""),"원",""),0))))</f>
        <v/>
      </c>
      <c r="AA1412" s="31">
        <f>IF($Y1412="","",TRIM(INDEX($A:$U,ROW(),$E$6)&amp;IF($F$6="",""," "&amp;INDEX($A:$U,ROW(),$F$6))))</f>
        <v/>
      </c>
      <c r="AB1412" s="31">
        <f>IF($AA1412="","",SUBSTITUTE(SUBSTITUTE(SUBSTITUTE(SUBSTITUTE(SUBSTITUTE(SUBSTITUTE(SUBSTITUTE(SUBSTITUTE(SUBSTITUTE($AA1412," ",""),"　",""),"(주)",""),"（주）",""),"㈜",""),"주식회사",""),"(유)",""),"（유）",""),"유한회사",""))</f>
        <v/>
      </c>
      <c r="AC1412" s="31">
        <f>IF(OR($Y1412="",N($Z1412)&lt;=0,$AB1412=""),0,IFERROR(LOOKUP(2,1/((거래처별!$AC$8:$AC$307&lt;&gt;"")*ISNUMBER(SEARCH(거래처별!$AC$8:$AC$307,$AB1412))),거래처별!$A$8:$A$307),IFERROR(LOOKUP(2,1/((거래처별!$AD$8:$AD$307&lt;&gt;"")*ISNUMBER(SEARCH(거래처별!$AD$8:$AD$307,$AB1412))),거래처별!$A$8:$A$307),IFERROR(LOOKUP(2,1/((거래처별!$AE$8:$AE$307&lt;&gt;"")*ISNUMBER(SEARCH(거래처별!$AE$8:$AE$307,$AB1412))),거래처별!$A$8:$A$307),0))))</f>
        <v/>
      </c>
      <c r="AD1412" s="31">
        <f>IF(AND($Y1412&lt;&gt;"",N($Z1412)&gt;0,$AC1412=0),MAX($AD$7:$AD1411)+1,"")</f>
        <v/>
      </c>
      <c r="AE1412" s="31">
        <f>IF($Y1412="",0,$Y1412)</f>
        <v/>
      </c>
    </row>
    <row r="1413">
      <c r="W1413" s="31">
        <f>IF(OR($B$5="",$C$6="",ROW()&lt;$B$5),"",IF(INDEX($A:$U,ROW(),$C$6)="","",INDEX($A:$U,ROW(),$C$6)))</f>
        <v/>
      </c>
      <c r="X1413" s="32">
        <f>IF($W1413="","",IF(ISNUMBER($W1413),IF($W1413&gt;=10000000,IFERROR(DATE(INT($W1413/10000),MOD(INT($W1413/100),100),MOD($W1413,100)),""),INT($W1413)),IFERROR(DATE(--LEFT(LEFT(SUBSTITUTE(SUBSTITUTE(SUBSTITUTE(SUBSTITUTE(TRIM($W1413),"-",""),".",""),"/","")," ",""),8),4),--MID(LEFT(SUBSTITUTE(SUBSTITUTE(SUBSTITUTE(SUBSTITUTE(TRIM($W1413),"-",""),".",""),"/","")," ",""),8),5,2),--MID(LEFT(SUBSTITUTE(SUBSTITUTE(SUBSTITUTE(SUBSTITUTE(TRIM($W1413),"-",""),".",""),"/","")," ",""),8),7,2)),"")))</f>
        <v/>
      </c>
      <c r="Y1413" s="32">
        <f>IF($X1413="","",INT($X1413))</f>
        <v/>
      </c>
      <c r="Z1413" s="33">
        <f>IF(OR($Y1413="",$D$6=""),"",IF(INDEX($A:$U,ROW(),$D$6)="",0,IF(ISNUMBER(INDEX($A:$U,ROW(),$D$6)),INDEX($A:$U,ROW(),$D$6),IFERROR(--SUBSTITUTE(SUBSTITUTE(TRIM(INDEX($A:$U,ROW(),$D$6)),",",""),"원",""),0))))</f>
        <v/>
      </c>
      <c r="AA1413" s="31">
        <f>IF($Y1413="","",TRIM(INDEX($A:$U,ROW(),$E$6)&amp;IF($F$6="",""," "&amp;INDEX($A:$U,ROW(),$F$6))))</f>
        <v/>
      </c>
      <c r="AB1413" s="31">
        <f>IF($AA1413="","",SUBSTITUTE(SUBSTITUTE(SUBSTITUTE(SUBSTITUTE(SUBSTITUTE(SUBSTITUTE(SUBSTITUTE(SUBSTITUTE(SUBSTITUTE($AA1413," ",""),"　",""),"(주)",""),"（주）",""),"㈜",""),"주식회사",""),"(유)",""),"（유）",""),"유한회사",""))</f>
        <v/>
      </c>
      <c r="AC1413" s="31">
        <f>IF(OR($Y1413="",N($Z1413)&lt;=0,$AB1413=""),0,IFERROR(LOOKUP(2,1/((거래처별!$AC$8:$AC$307&lt;&gt;"")*ISNUMBER(SEARCH(거래처별!$AC$8:$AC$307,$AB1413))),거래처별!$A$8:$A$307),IFERROR(LOOKUP(2,1/((거래처별!$AD$8:$AD$307&lt;&gt;"")*ISNUMBER(SEARCH(거래처별!$AD$8:$AD$307,$AB1413))),거래처별!$A$8:$A$307),IFERROR(LOOKUP(2,1/((거래처별!$AE$8:$AE$307&lt;&gt;"")*ISNUMBER(SEARCH(거래처별!$AE$8:$AE$307,$AB1413))),거래처별!$A$8:$A$307),0))))</f>
        <v/>
      </c>
      <c r="AD1413" s="31">
        <f>IF(AND($Y1413&lt;&gt;"",N($Z1413)&gt;0,$AC1413=0),MAX($AD$7:$AD1412)+1,"")</f>
        <v/>
      </c>
      <c r="AE1413" s="31">
        <f>IF($Y1413="",0,$Y1413)</f>
        <v/>
      </c>
    </row>
    <row r="1414">
      <c r="W1414" s="31">
        <f>IF(OR($B$5="",$C$6="",ROW()&lt;$B$5),"",IF(INDEX($A:$U,ROW(),$C$6)="","",INDEX($A:$U,ROW(),$C$6)))</f>
        <v/>
      </c>
      <c r="X1414" s="32">
        <f>IF($W1414="","",IF(ISNUMBER($W1414),IF($W1414&gt;=10000000,IFERROR(DATE(INT($W1414/10000),MOD(INT($W1414/100),100),MOD($W1414,100)),""),INT($W1414)),IFERROR(DATE(--LEFT(LEFT(SUBSTITUTE(SUBSTITUTE(SUBSTITUTE(SUBSTITUTE(TRIM($W1414),"-",""),".",""),"/","")," ",""),8),4),--MID(LEFT(SUBSTITUTE(SUBSTITUTE(SUBSTITUTE(SUBSTITUTE(TRIM($W1414),"-",""),".",""),"/","")," ",""),8),5,2),--MID(LEFT(SUBSTITUTE(SUBSTITUTE(SUBSTITUTE(SUBSTITUTE(TRIM($W1414),"-",""),".",""),"/","")," ",""),8),7,2)),"")))</f>
        <v/>
      </c>
      <c r="Y1414" s="32">
        <f>IF($X1414="","",INT($X1414))</f>
        <v/>
      </c>
      <c r="Z1414" s="33">
        <f>IF(OR($Y1414="",$D$6=""),"",IF(INDEX($A:$U,ROW(),$D$6)="",0,IF(ISNUMBER(INDEX($A:$U,ROW(),$D$6)),INDEX($A:$U,ROW(),$D$6),IFERROR(--SUBSTITUTE(SUBSTITUTE(TRIM(INDEX($A:$U,ROW(),$D$6)),",",""),"원",""),0))))</f>
        <v/>
      </c>
      <c r="AA1414" s="31">
        <f>IF($Y1414="","",TRIM(INDEX($A:$U,ROW(),$E$6)&amp;IF($F$6="",""," "&amp;INDEX($A:$U,ROW(),$F$6))))</f>
        <v/>
      </c>
      <c r="AB1414" s="31">
        <f>IF($AA1414="","",SUBSTITUTE(SUBSTITUTE(SUBSTITUTE(SUBSTITUTE(SUBSTITUTE(SUBSTITUTE(SUBSTITUTE(SUBSTITUTE(SUBSTITUTE($AA1414," ",""),"　",""),"(주)",""),"（주）",""),"㈜",""),"주식회사",""),"(유)",""),"（유）",""),"유한회사",""))</f>
        <v/>
      </c>
      <c r="AC1414" s="31">
        <f>IF(OR($Y1414="",N($Z1414)&lt;=0,$AB1414=""),0,IFERROR(LOOKUP(2,1/((거래처별!$AC$8:$AC$307&lt;&gt;"")*ISNUMBER(SEARCH(거래처별!$AC$8:$AC$307,$AB1414))),거래처별!$A$8:$A$307),IFERROR(LOOKUP(2,1/((거래처별!$AD$8:$AD$307&lt;&gt;"")*ISNUMBER(SEARCH(거래처별!$AD$8:$AD$307,$AB1414))),거래처별!$A$8:$A$307),IFERROR(LOOKUP(2,1/((거래처별!$AE$8:$AE$307&lt;&gt;"")*ISNUMBER(SEARCH(거래처별!$AE$8:$AE$307,$AB1414))),거래처별!$A$8:$A$307),0))))</f>
        <v/>
      </c>
      <c r="AD1414" s="31">
        <f>IF(AND($Y1414&lt;&gt;"",N($Z1414)&gt;0,$AC1414=0),MAX($AD$7:$AD1413)+1,"")</f>
        <v/>
      </c>
      <c r="AE1414" s="31">
        <f>IF($Y1414="",0,$Y1414)</f>
        <v/>
      </c>
    </row>
    <row r="1415">
      <c r="W1415" s="31">
        <f>IF(OR($B$5="",$C$6="",ROW()&lt;$B$5),"",IF(INDEX($A:$U,ROW(),$C$6)="","",INDEX($A:$U,ROW(),$C$6)))</f>
        <v/>
      </c>
      <c r="X1415" s="32">
        <f>IF($W1415="","",IF(ISNUMBER($W1415),IF($W1415&gt;=10000000,IFERROR(DATE(INT($W1415/10000),MOD(INT($W1415/100),100),MOD($W1415,100)),""),INT($W1415)),IFERROR(DATE(--LEFT(LEFT(SUBSTITUTE(SUBSTITUTE(SUBSTITUTE(SUBSTITUTE(TRIM($W1415),"-",""),".",""),"/","")," ",""),8),4),--MID(LEFT(SUBSTITUTE(SUBSTITUTE(SUBSTITUTE(SUBSTITUTE(TRIM($W1415),"-",""),".",""),"/","")," ",""),8),5,2),--MID(LEFT(SUBSTITUTE(SUBSTITUTE(SUBSTITUTE(SUBSTITUTE(TRIM($W1415),"-",""),".",""),"/","")," ",""),8),7,2)),"")))</f>
        <v/>
      </c>
      <c r="Y1415" s="32">
        <f>IF($X1415="","",INT($X1415))</f>
        <v/>
      </c>
      <c r="Z1415" s="33">
        <f>IF(OR($Y1415="",$D$6=""),"",IF(INDEX($A:$U,ROW(),$D$6)="",0,IF(ISNUMBER(INDEX($A:$U,ROW(),$D$6)),INDEX($A:$U,ROW(),$D$6),IFERROR(--SUBSTITUTE(SUBSTITUTE(TRIM(INDEX($A:$U,ROW(),$D$6)),",",""),"원",""),0))))</f>
        <v/>
      </c>
      <c r="AA1415" s="31">
        <f>IF($Y1415="","",TRIM(INDEX($A:$U,ROW(),$E$6)&amp;IF($F$6="",""," "&amp;INDEX($A:$U,ROW(),$F$6))))</f>
        <v/>
      </c>
      <c r="AB1415" s="31">
        <f>IF($AA1415="","",SUBSTITUTE(SUBSTITUTE(SUBSTITUTE(SUBSTITUTE(SUBSTITUTE(SUBSTITUTE(SUBSTITUTE(SUBSTITUTE(SUBSTITUTE($AA1415," ",""),"　",""),"(주)",""),"（주）",""),"㈜",""),"주식회사",""),"(유)",""),"（유）",""),"유한회사",""))</f>
        <v/>
      </c>
      <c r="AC1415" s="31">
        <f>IF(OR($Y1415="",N($Z1415)&lt;=0,$AB1415=""),0,IFERROR(LOOKUP(2,1/((거래처별!$AC$8:$AC$307&lt;&gt;"")*ISNUMBER(SEARCH(거래처별!$AC$8:$AC$307,$AB1415))),거래처별!$A$8:$A$307),IFERROR(LOOKUP(2,1/((거래처별!$AD$8:$AD$307&lt;&gt;"")*ISNUMBER(SEARCH(거래처별!$AD$8:$AD$307,$AB1415))),거래처별!$A$8:$A$307),IFERROR(LOOKUP(2,1/((거래처별!$AE$8:$AE$307&lt;&gt;"")*ISNUMBER(SEARCH(거래처별!$AE$8:$AE$307,$AB1415))),거래처별!$A$8:$A$307),0))))</f>
        <v/>
      </c>
      <c r="AD1415" s="31">
        <f>IF(AND($Y1415&lt;&gt;"",N($Z1415)&gt;0,$AC1415=0),MAX($AD$7:$AD1414)+1,"")</f>
        <v/>
      </c>
      <c r="AE1415" s="31">
        <f>IF($Y1415="",0,$Y1415)</f>
        <v/>
      </c>
    </row>
    <row r="1416">
      <c r="W1416" s="31">
        <f>IF(OR($B$5="",$C$6="",ROW()&lt;$B$5),"",IF(INDEX($A:$U,ROW(),$C$6)="","",INDEX($A:$U,ROW(),$C$6)))</f>
        <v/>
      </c>
      <c r="X1416" s="32">
        <f>IF($W1416="","",IF(ISNUMBER($W1416),IF($W1416&gt;=10000000,IFERROR(DATE(INT($W1416/10000),MOD(INT($W1416/100),100),MOD($W1416,100)),""),INT($W1416)),IFERROR(DATE(--LEFT(LEFT(SUBSTITUTE(SUBSTITUTE(SUBSTITUTE(SUBSTITUTE(TRIM($W1416),"-",""),".",""),"/","")," ",""),8),4),--MID(LEFT(SUBSTITUTE(SUBSTITUTE(SUBSTITUTE(SUBSTITUTE(TRIM($W1416),"-",""),".",""),"/","")," ",""),8),5,2),--MID(LEFT(SUBSTITUTE(SUBSTITUTE(SUBSTITUTE(SUBSTITUTE(TRIM($W1416),"-",""),".",""),"/","")," ",""),8),7,2)),"")))</f>
        <v/>
      </c>
      <c r="Y1416" s="32">
        <f>IF($X1416="","",INT($X1416))</f>
        <v/>
      </c>
      <c r="Z1416" s="33">
        <f>IF(OR($Y1416="",$D$6=""),"",IF(INDEX($A:$U,ROW(),$D$6)="",0,IF(ISNUMBER(INDEX($A:$U,ROW(),$D$6)),INDEX($A:$U,ROW(),$D$6),IFERROR(--SUBSTITUTE(SUBSTITUTE(TRIM(INDEX($A:$U,ROW(),$D$6)),",",""),"원",""),0))))</f>
        <v/>
      </c>
      <c r="AA1416" s="31">
        <f>IF($Y1416="","",TRIM(INDEX($A:$U,ROW(),$E$6)&amp;IF($F$6="",""," "&amp;INDEX($A:$U,ROW(),$F$6))))</f>
        <v/>
      </c>
      <c r="AB1416" s="31">
        <f>IF($AA1416="","",SUBSTITUTE(SUBSTITUTE(SUBSTITUTE(SUBSTITUTE(SUBSTITUTE(SUBSTITUTE(SUBSTITUTE(SUBSTITUTE(SUBSTITUTE($AA1416," ",""),"　",""),"(주)",""),"（주）",""),"㈜",""),"주식회사",""),"(유)",""),"（유）",""),"유한회사",""))</f>
        <v/>
      </c>
      <c r="AC1416" s="31">
        <f>IF(OR($Y1416="",N($Z1416)&lt;=0,$AB1416=""),0,IFERROR(LOOKUP(2,1/((거래처별!$AC$8:$AC$307&lt;&gt;"")*ISNUMBER(SEARCH(거래처별!$AC$8:$AC$307,$AB1416))),거래처별!$A$8:$A$307),IFERROR(LOOKUP(2,1/((거래처별!$AD$8:$AD$307&lt;&gt;"")*ISNUMBER(SEARCH(거래처별!$AD$8:$AD$307,$AB1416))),거래처별!$A$8:$A$307),IFERROR(LOOKUP(2,1/((거래처별!$AE$8:$AE$307&lt;&gt;"")*ISNUMBER(SEARCH(거래처별!$AE$8:$AE$307,$AB1416))),거래처별!$A$8:$A$307),0))))</f>
        <v/>
      </c>
      <c r="AD1416" s="31">
        <f>IF(AND($Y1416&lt;&gt;"",N($Z1416)&gt;0,$AC1416=0),MAX($AD$7:$AD1415)+1,"")</f>
        <v/>
      </c>
      <c r="AE1416" s="31">
        <f>IF($Y1416="",0,$Y1416)</f>
        <v/>
      </c>
    </row>
    <row r="1417">
      <c r="W1417" s="31">
        <f>IF(OR($B$5="",$C$6="",ROW()&lt;$B$5),"",IF(INDEX($A:$U,ROW(),$C$6)="","",INDEX($A:$U,ROW(),$C$6)))</f>
        <v/>
      </c>
      <c r="X1417" s="32">
        <f>IF($W1417="","",IF(ISNUMBER($W1417),IF($W1417&gt;=10000000,IFERROR(DATE(INT($W1417/10000),MOD(INT($W1417/100),100),MOD($W1417,100)),""),INT($W1417)),IFERROR(DATE(--LEFT(LEFT(SUBSTITUTE(SUBSTITUTE(SUBSTITUTE(SUBSTITUTE(TRIM($W1417),"-",""),".",""),"/","")," ",""),8),4),--MID(LEFT(SUBSTITUTE(SUBSTITUTE(SUBSTITUTE(SUBSTITUTE(TRIM($W1417),"-",""),".",""),"/","")," ",""),8),5,2),--MID(LEFT(SUBSTITUTE(SUBSTITUTE(SUBSTITUTE(SUBSTITUTE(TRIM($W1417),"-",""),".",""),"/","")," ",""),8),7,2)),"")))</f>
        <v/>
      </c>
      <c r="Y1417" s="32">
        <f>IF($X1417="","",INT($X1417))</f>
        <v/>
      </c>
      <c r="Z1417" s="33">
        <f>IF(OR($Y1417="",$D$6=""),"",IF(INDEX($A:$U,ROW(),$D$6)="",0,IF(ISNUMBER(INDEX($A:$U,ROW(),$D$6)),INDEX($A:$U,ROW(),$D$6),IFERROR(--SUBSTITUTE(SUBSTITUTE(TRIM(INDEX($A:$U,ROW(),$D$6)),",",""),"원",""),0))))</f>
        <v/>
      </c>
      <c r="AA1417" s="31">
        <f>IF($Y1417="","",TRIM(INDEX($A:$U,ROW(),$E$6)&amp;IF($F$6="",""," "&amp;INDEX($A:$U,ROW(),$F$6))))</f>
        <v/>
      </c>
      <c r="AB1417" s="31">
        <f>IF($AA1417="","",SUBSTITUTE(SUBSTITUTE(SUBSTITUTE(SUBSTITUTE(SUBSTITUTE(SUBSTITUTE(SUBSTITUTE(SUBSTITUTE(SUBSTITUTE($AA1417," ",""),"　",""),"(주)",""),"（주）",""),"㈜",""),"주식회사",""),"(유)",""),"（유）",""),"유한회사",""))</f>
        <v/>
      </c>
      <c r="AC1417" s="31">
        <f>IF(OR($Y1417="",N($Z1417)&lt;=0,$AB1417=""),0,IFERROR(LOOKUP(2,1/((거래처별!$AC$8:$AC$307&lt;&gt;"")*ISNUMBER(SEARCH(거래처별!$AC$8:$AC$307,$AB1417))),거래처별!$A$8:$A$307),IFERROR(LOOKUP(2,1/((거래처별!$AD$8:$AD$307&lt;&gt;"")*ISNUMBER(SEARCH(거래처별!$AD$8:$AD$307,$AB1417))),거래처별!$A$8:$A$307),IFERROR(LOOKUP(2,1/((거래처별!$AE$8:$AE$307&lt;&gt;"")*ISNUMBER(SEARCH(거래처별!$AE$8:$AE$307,$AB1417))),거래처별!$A$8:$A$307),0))))</f>
        <v/>
      </c>
      <c r="AD1417" s="31">
        <f>IF(AND($Y1417&lt;&gt;"",N($Z1417)&gt;0,$AC1417=0),MAX($AD$7:$AD1416)+1,"")</f>
        <v/>
      </c>
      <c r="AE1417" s="31">
        <f>IF($Y1417="",0,$Y1417)</f>
        <v/>
      </c>
    </row>
    <row r="1418">
      <c r="W1418" s="31">
        <f>IF(OR($B$5="",$C$6="",ROW()&lt;$B$5),"",IF(INDEX($A:$U,ROW(),$C$6)="","",INDEX($A:$U,ROW(),$C$6)))</f>
        <v/>
      </c>
      <c r="X1418" s="32">
        <f>IF($W1418="","",IF(ISNUMBER($W1418),IF($W1418&gt;=10000000,IFERROR(DATE(INT($W1418/10000),MOD(INT($W1418/100),100),MOD($W1418,100)),""),INT($W1418)),IFERROR(DATE(--LEFT(LEFT(SUBSTITUTE(SUBSTITUTE(SUBSTITUTE(SUBSTITUTE(TRIM($W1418),"-",""),".",""),"/","")," ",""),8),4),--MID(LEFT(SUBSTITUTE(SUBSTITUTE(SUBSTITUTE(SUBSTITUTE(TRIM($W1418),"-",""),".",""),"/","")," ",""),8),5,2),--MID(LEFT(SUBSTITUTE(SUBSTITUTE(SUBSTITUTE(SUBSTITUTE(TRIM($W1418),"-",""),".",""),"/","")," ",""),8),7,2)),"")))</f>
        <v/>
      </c>
      <c r="Y1418" s="32">
        <f>IF($X1418="","",INT($X1418))</f>
        <v/>
      </c>
      <c r="Z1418" s="33">
        <f>IF(OR($Y1418="",$D$6=""),"",IF(INDEX($A:$U,ROW(),$D$6)="",0,IF(ISNUMBER(INDEX($A:$U,ROW(),$D$6)),INDEX($A:$U,ROW(),$D$6),IFERROR(--SUBSTITUTE(SUBSTITUTE(TRIM(INDEX($A:$U,ROW(),$D$6)),",",""),"원",""),0))))</f>
        <v/>
      </c>
      <c r="AA1418" s="31">
        <f>IF($Y1418="","",TRIM(INDEX($A:$U,ROW(),$E$6)&amp;IF($F$6="",""," "&amp;INDEX($A:$U,ROW(),$F$6))))</f>
        <v/>
      </c>
      <c r="AB1418" s="31">
        <f>IF($AA1418="","",SUBSTITUTE(SUBSTITUTE(SUBSTITUTE(SUBSTITUTE(SUBSTITUTE(SUBSTITUTE(SUBSTITUTE(SUBSTITUTE(SUBSTITUTE($AA1418," ",""),"　",""),"(주)",""),"（주）",""),"㈜",""),"주식회사",""),"(유)",""),"（유）",""),"유한회사",""))</f>
        <v/>
      </c>
      <c r="AC1418" s="31">
        <f>IF(OR($Y1418="",N($Z1418)&lt;=0,$AB1418=""),0,IFERROR(LOOKUP(2,1/((거래처별!$AC$8:$AC$307&lt;&gt;"")*ISNUMBER(SEARCH(거래처별!$AC$8:$AC$307,$AB1418))),거래처별!$A$8:$A$307),IFERROR(LOOKUP(2,1/((거래처별!$AD$8:$AD$307&lt;&gt;"")*ISNUMBER(SEARCH(거래처별!$AD$8:$AD$307,$AB1418))),거래처별!$A$8:$A$307),IFERROR(LOOKUP(2,1/((거래처별!$AE$8:$AE$307&lt;&gt;"")*ISNUMBER(SEARCH(거래처별!$AE$8:$AE$307,$AB1418))),거래처별!$A$8:$A$307),0))))</f>
        <v/>
      </c>
      <c r="AD1418" s="31">
        <f>IF(AND($Y1418&lt;&gt;"",N($Z1418)&gt;0,$AC1418=0),MAX($AD$7:$AD1417)+1,"")</f>
        <v/>
      </c>
      <c r="AE1418" s="31">
        <f>IF($Y1418="",0,$Y1418)</f>
        <v/>
      </c>
    </row>
    <row r="1419">
      <c r="W1419" s="31">
        <f>IF(OR($B$5="",$C$6="",ROW()&lt;$B$5),"",IF(INDEX($A:$U,ROW(),$C$6)="","",INDEX($A:$U,ROW(),$C$6)))</f>
        <v/>
      </c>
      <c r="X1419" s="32">
        <f>IF($W1419="","",IF(ISNUMBER($W1419),IF($W1419&gt;=10000000,IFERROR(DATE(INT($W1419/10000),MOD(INT($W1419/100),100),MOD($W1419,100)),""),INT($W1419)),IFERROR(DATE(--LEFT(LEFT(SUBSTITUTE(SUBSTITUTE(SUBSTITUTE(SUBSTITUTE(TRIM($W1419),"-",""),".",""),"/","")," ",""),8),4),--MID(LEFT(SUBSTITUTE(SUBSTITUTE(SUBSTITUTE(SUBSTITUTE(TRIM($W1419),"-",""),".",""),"/","")," ",""),8),5,2),--MID(LEFT(SUBSTITUTE(SUBSTITUTE(SUBSTITUTE(SUBSTITUTE(TRIM($W1419),"-",""),".",""),"/","")," ",""),8),7,2)),"")))</f>
        <v/>
      </c>
      <c r="Y1419" s="32">
        <f>IF($X1419="","",INT($X1419))</f>
        <v/>
      </c>
      <c r="Z1419" s="33">
        <f>IF(OR($Y1419="",$D$6=""),"",IF(INDEX($A:$U,ROW(),$D$6)="",0,IF(ISNUMBER(INDEX($A:$U,ROW(),$D$6)),INDEX($A:$U,ROW(),$D$6),IFERROR(--SUBSTITUTE(SUBSTITUTE(TRIM(INDEX($A:$U,ROW(),$D$6)),",",""),"원",""),0))))</f>
        <v/>
      </c>
      <c r="AA1419" s="31">
        <f>IF($Y1419="","",TRIM(INDEX($A:$U,ROW(),$E$6)&amp;IF($F$6="",""," "&amp;INDEX($A:$U,ROW(),$F$6))))</f>
        <v/>
      </c>
      <c r="AB1419" s="31">
        <f>IF($AA1419="","",SUBSTITUTE(SUBSTITUTE(SUBSTITUTE(SUBSTITUTE(SUBSTITUTE(SUBSTITUTE(SUBSTITUTE(SUBSTITUTE(SUBSTITUTE($AA1419," ",""),"　",""),"(주)",""),"（주）",""),"㈜",""),"주식회사",""),"(유)",""),"（유）",""),"유한회사",""))</f>
        <v/>
      </c>
      <c r="AC1419" s="31">
        <f>IF(OR($Y1419="",N($Z1419)&lt;=0,$AB1419=""),0,IFERROR(LOOKUP(2,1/((거래처별!$AC$8:$AC$307&lt;&gt;"")*ISNUMBER(SEARCH(거래처별!$AC$8:$AC$307,$AB1419))),거래처별!$A$8:$A$307),IFERROR(LOOKUP(2,1/((거래처별!$AD$8:$AD$307&lt;&gt;"")*ISNUMBER(SEARCH(거래처별!$AD$8:$AD$307,$AB1419))),거래처별!$A$8:$A$307),IFERROR(LOOKUP(2,1/((거래처별!$AE$8:$AE$307&lt;&gt;"")*ISNUMBER(SEARCH(거래처별!$AE$8:$AE$307,$AB1419))),거래처별!$A$8:$A$307),0))))</f>
        <v/>
      </c>
      <c r="AD1419" s="31">
        <f>IF(AND($Y1419&lt;&gt;"",N($Z1419)&gt;0,$AC1419=0),MAX($AD$7:$AD1418)+1,"")</f>
        <v/>
      </c>
      <c r="AE1419" s="31">
        <f>IF($Y1419="",0,$Y1419)</f>
        <v/>
      </c>
    </row>
    <row r="1420">
      <c r="W1420" s="31">
        <f>IF(OR($B$5="",$C$6="",ROW()&lt;$B$5),"",IF(INDEX($A:$U,ROW(),$C$6)="","",INDEX($A:$U,ROW(),$C$6)))</f>
        <v/>
      </c>
      <c r="X1420" s="32">
        <f>IF($W1420="","",IF(ISNUMBER($W1420),IF($W1420&gt;=10000000,IFERROR(DATE(INT($W1420/10000),MOD(INT($W1420/100),100),MOD($W1420,100)),""),INT($W1420)),IFERROR(DATE(--LEFT(LEFT(SUBSTITUTE(SUBSTITUTE(SUBSTITUTE(SUBSTITUTE(TRIM($W1420),"-",""),".",""),"/","")," ",""),8),4),--MID(LEFT(SUBSTITUTE(SUBSTITUTE(SUBSTITUTE(SUBSTITUTE(TRIM($W1420),"-",""),".",""),"/","")," ",""),8),5,2),--MID(LEFT(SUBSTITUTE(SUBSTITUTE(SUBSTITUTE(SUBSTITUTE(TRIM($W1420),"-",""),".",""),"/","")," ",""),8),7,2)),"")))</f>
        <v/>
      </c>
      <c r="Y1420" s="32">
        <f>IF($X1420="","",INT($X1420))</f>
        <v/>
      </c>
      <c r="Z1420" s="33">
        <f>IF(OR($Y1420="",$D$6=""),"",IF(INDEX($A:$U,ROW(),$D$6)="",0,IF(ISNUMBER(INDEX($A:$U,ROW(),$D$6)),INDEX($A:$U,ROW(),$D$6),IFERROR(--SUBSTITUTE(SUBSTITUTE(TRIM(INDEX($A:$U,ROW(),$D$6)),",",""),"원",""),0))))</f>
        <v/>
      </c>
      <c r="AA1420" s="31">
        <f>IF($Y1420="","",TRIM(INDEX($A:$U,ROW(),$E$6)&amp;IF($F$6="",""," "&amp;INDEX($A:$U,ROW(),$F$6))))</f>
        <v/>
      </c>
      <c r="AB1420" s="31">
        <f>IF($AA1420="","",SUBSTITUTE(SUBSTITUTE(SUBSTITUTE(SUBSTITUTE(SUBSTITUTE(SUBSTITUTE(SUBSTITUTE(SUBSTITUTE(SUBSTITUTE($AA1420," ",""),"　",""),"(주)",""),"（주）",""),"㈜",""),"주식회사",""),"(유)",""),"（유）",""),"유한회사",""))</f>
        <v/>
      </c>
      <c r="AC1420" s="31">
        <f>IF(OR($Y1420="",N($Z1420)&lt;=0,$AB1420=""),0,IFERROR(LOOKUP(2,1/((거래처별!$AC$8:$AC$307&lt;&gt;"")*ISNUMBER(SEARCH(거래처별!$AC$8:$AC$307,$AB1420))),거래처별!$A$8:$A$307),IFERROR(LOOKUP(2,1/((거래처별!$AD$8:$AD$307&lt;&gt;"")*ISNUMBER(SEARCH(거래처별!$AD$8:$AD$307,$AB1420))),거래처별!$A$8:$A$307),IFERROR(LOOKUP(2,1/((거래처별!$AE$8:$AE$307&lt;&gt;"")*ISNUMBER(SEARCH(거래처별!$AE$8:$AE$307,$AB1420))),거래처별!$A$8:$A$307),0))))</f>
        <v/>
      </c>
      <c r="AD1420" s="31">
        <f>IF(AND($Y1420&lt;&gt;"",N($Z1420)&gt;0,$AC1420=0),MAX($AD$7:$AD1419)+1,"")</f>
        <v/>
      </c>
      <c r="AE1420" s="31">
        <f>IF($Y1420="",0,$Y1420)</f>
        <v/>
      </c>
    </row>
    <row r="1421">
      <c r="W1421" s="31">
        <f>IF(OR($B$5="",$C$6="",ROW()&lt;$B$5),"",IF(INDEX($A:$U,ROW(),$C$6)="","",INDEX($A:$U,ROW(),$C$6)))</f>
        <v/>
      </c>
      <c r="X1421" s="32">
        <f>IF($W1421="","",IF(ISNUMBER($W1421),IF($W1421&gt;=10000000,IFERROR(DATE(INT($W1421/10000),MOD(INT($W1421/100),100),MOD($W1421,100)),""),INT($W1421)),IFERROR(DATE(--LEFT(LEFT(SUBSTITUTE(SUBSTITUTE(SUBSTITUTE(SUBSTITUTE(TRIM($W1421),"-",""),".",""),"/","")," ",""),8),4),--MID(LEFT(SUBSTITUTE(SUBSTITUTE(SUBSTITUTE(SUBSTITUTE(TRIM($W1421),"-",""),".",""),"/","")," ",""),8),5,2),--MID(LEFT(SUBSTITUTE(SUBSTITUTE(SUBSTITUTE(SUBSTITUTE(TRIM($W1421),"-",""),".",""),"/","")," ",""),8),7,2)),"")))</f>
        <v/>
      </c>
      <c r="Y1421" s="32">
        <f>IF($X1421="","",INT($X1421))</f>
        <v/>
      </c>
      <c r="Z1421" s="33">
        <f>IF(OR($Y1421="",$D$6=""),"",IF(INDEX($A:$U,ROW(),$D$6)="",0,IF(ISNUMBER(INDEX($A:$U,ROW(),$D$6)),INDEX($A:$U,ROW(),$D$6),IFERROR(--SUBSTITUTE(SUBSTITUTE(TRIM(INDEX($A:$U,ROW(),$D$6)),",",""),"원",""),0))))</f>
        <v/>
      </c>
      <c r="AA1421" s="31">
        <f>IF($Y1421="","",TRIM(INDEX($A:$U,ROW(),$E$6)&amp;IF($F$6="",""," "&amp;INDEX($A:$U,ROW(),$F$6))))</f>
        <v/>
      </c>
      <c r="AB1421" s="31">
        <f>IF($AA1421="","",SUBSTITUTE(SUBSTITUTE(SUBSTITUTE(SUBSTITUTE(SUBSTITUTE(SUBSTITUTE(SUBSTITUTE(SUBSTITUTE(SUBSTITUTE($AA1421," ",""),"　",""),"(주)",""),"（주）",""),"㈜",""),"주식회사",""),"(유)",""),"（유）",""),"유한회사",""))</f>
        <v/>
      </c>
      <c r="AC1421" s="31">
        <f>IF(OR($Y1421="",N($Z1421)&lt;=0,$AB1421=""),0,IFERROR(LOOKUP(2,1/((거래처별!$AC$8:$AC$307&lt;&gt;"")*ISNUMBER(SEARCH(거래처별!$AC$8:$AC$307,$AB1421))),거래처별!$A$8:$A$307),IFERROR(LOOKUP(2,1/((거래처별!$AD$8:$AD$307&lt;&gt;"")*ISNUMBER(SEARCH(거래처별!$AD$8:$AD$307,$AB1421))),거래처별!$A$8:$A$307),IFERROR(LOOKUP(2,1/((거래처별!$AE$8:$AE$307&lt;&gt;"")*ISNUMBER(SEARCH(거래처별!$AE$8:$AE$307,$AB1421))),거래처별!$A$8:$A$307),0))))</f>
        <v/>
      </c>
      <c r="AD1421" s="31">
        <f>IF(AND($Y1421&lt;&gt;"",N($Z1421)&gt;0,$AC1421=0),MAX($AD$7:$AD1420)+1,"")</f>
        <v/>
      </c>
      <c r="AE1421" s="31">
        <f>IF($Y1421="",0,$Y1421)</f>
        <v/>
      </c>
    </row>
    <row r="1422">
      <c r="W1422" s="31">
        <f>IF(OR($B$5="",$C$6="",ROW()&lt;$B$5),"",IF(INDEX($A:$U,ROW(),$C$6)="","",INDEX($A:$U,ROW(),$C$6)))</f>
        <v/>
      </c>
      <c r="X1422" s="32">
        <f>IF($W1422="","",IF(ISNUMBER($W1422),IF($W1422&gt;=10000000,IFERROR(DATE(INT($W1422/10000),MOD(INT($W1422/100),100),MOD($W1422,100)),""),INT($W1422)),IFERROR(DATE(--LEFT(LEFT(SUBSTITUTE(SUBSTITUTE(SUBSTITUTE(SUBSTITUTE(TRIM($W1422),"-",""),".",""),"/","")," ",""),8),4),--MID(LEFT(SUBSTITUTE(SUBSTITUTE(SUBSTITUTE(SUBSTITUTE(TRIM($W1422),"-",""),".",""),"/","")," ",""),8),5,2),--MID(LEFT(SUBSTITUTE(SUBSTITUTE(SUBSTITUTE(SUBSTITUTE(TRIM($W1422),"-",""),".",""),"/","")," ",""),8),7,2)),"")))</f>
        <v/>
      </c>
      <c r="Y1422" s="32">
        <f>IF($X1422="","",INT($X1422))</f>
        <v/>
      </c>
      <c r="Z1422" s="33">
        <f>IF(OR($Y1422="",$D$6=""),"",IF(INDEX($A:$U,ROW(),$D$6)="",0,IF(ISNUMBER(INDEX($A:$U,ROW(),$D$6)),INDEX($A:$U,ROW(),$D$6),IFERROR(--SUBSTITUTE(SUBSTITUTE(TRIM(INDEX($A:$U,ROW(),$D$6)),",",""),"원",""),0))))</f>
        <v/>
      </c>
      <c r="AA1422" s="31">
        <f>IF($Y1422="","",TRIM(INDEX($A:$U,ROW(),$E$6)&amp;IF($F$6="",""," "&amp;INDEX($A:$U,ROW(),$F$6))))</f>
        <v/>
      </c>
      <c r="AB1422" s="31">
        <f>IF($AA1422="","",SUBSTITUTE(SUBSTITUTE(SUBSTITUTE(SUBSTITUTE(SUBSTITUTE(SUBSTITUTE(SUBSTITUTE(SUBSTITUTE(SUBSTITUTE($AA1422," ",""),"　",""),"(주)",""),"（주）",""),"㈜",""),"주식회사",""),"(유)",""),"（유）",""),"유한회사",""))</f>
        <v/>
      </c>
      <c r="AC1422" s="31">
        <f>IF(OR($Y1422="",N($Z1422)&lt;=0,$AB1422=""),0,IFERROR(LOOKUP(2,1/((거래처별!$AC$8:$AC$307&lt;&gt;"")*ISNUMBER(SEARCH(거래처별!$AC$8:$AC$307,$AB1422))),거래처별!$A$8:$A$307),IFERROR(LOOKUP(2,1/((거래처별!$AD$8:$AD$307&lt;&gt;"")*ISNUMBER(SEARCH(거래처별!$AD$8:$AD$307,$AB1422))),거래처별!$A$8:$A$307),IFERROR(LOOKUP(2,1/((거래처별!$AE$8:$AE$307&lt;&gt;"")*ISNUMBER(SEARCH(거래처별!$AE$8:$AE$307,$AB1422))),거래처별!$A$8:$A$307),0))))</f>
        <v/>
      </c>
      <c r="AD1422" s="31">
        <f>IF(AND($Y1422&lt;&gt;"",N($Z1422)&gt;0,$AC1422=0),MAX($AD$7:$AD1421)+1,"")</f>
        <v/>
      </c>
      <c r="AE1422" s="31">
        <f>IF($Y1422="",0,$Y1422)</f>
        <v/>
      </c>
    </row>
    <row r="1423">
      <c r="W1423" s="31">
        <f>IF(OR($B$5="",$C$6="",ROW()&lt;$B$5),"",IF(INDEX($A:$U,ROW(),$C$6)="","",INDEX($A:$U,ROW(),$C$6)))</f>
        <v/>
      </c>
      <c r="X1423" s="32">
        <f>IF($W1423="","",IF(ISNUMBER($W1423),IF($W1423&gt;=10000000,IFERROR(DATE(INT($W1423/10000),MOD(INT($W1423/100),100),MOD($W1423,100)),""),INT($W1423)),IFERROR(DATE(--LEFT(LEFT(SUBSTITUTE(SUBSTITUTE(SUBSTITUTE(SUBSTITUTE(TRIM($W1423),"-",""),".",""),"/","")," ",""),8),4),--MID(LEFT(SUBSTITUTE(SUBSTITUTE(SUBSTITUTE(SUBSTITUTE(TRIM($W1423),"-",""),".",""),"/","")," ",""),8),5,2),--MID(LEFT(SUBSTITUTE(SUBSTITUTE(SUBSTITUTE(SUBSTITUTE(TRIM($W1423),"-",""),".",""),"/","")," ",""),8),7,2)),"")))</f>
        <v/>
      </c>
      <c r="Y1423" s="32">
        <f>IF($X1423="","",INT($X1423))</f>
        <v/>
      </c>
      <c r="Z1423" s="33">
        <f>IF(OR($Y1423="",$D$6=""),"",IF(INDEX($A:$U,ROW(),$D$6)="",0,IF(ISNUMBER(INDEX($A:$U,ROW(),$D$6)),INDEX($A:$U,ROW(),$D$6),IFERROR(--SUBSTITUTE(SUBSTITUTE(TRIM(INDEX($A:$U,ROW(),$D$6)),",",""),"원",""),0))))</f>
        <v/>
      </c>
      <c r="AA1423" s="31">
        <f>IF($Y1423="","",TRIM(INDEX($A:$U,ROW(),$E$6)&amp;IF($F$6="",""," "&amp;INDEX($A:$U,ROW(),$F$6))))</f>
        <v/>
      </c>
      <c r="AB1423" s="31">
        <f>IF($AA1423="","",SUBSTITUTE(SUBSTITUTE(SUBSTITUTE(SUBSTITUTE(SUBSTITUTE(SUBSTITUTE(SUBSTITUTE(SUBSTITUTE(SUBSTITUTE($AA1423," ",""),"　",""),"(주)",""),"（주）",""),"㈜",""),"주식회사",""),"(유)",""),"（유）",""),"유한회사",""))</f>
        <v/>
      </c>
      <c r="AC1423" s="31">
        <f>IF(OR($Y1423="",N($Z1423)&lt;=0,$AB1423=""),0,IFERROR(LOOKUP(2,1/((거래처별!$AC$8:$AC$307&lt;&gt;"")*ISNUMBER(SEARCH(거래처별!$AC$8:$AC$307,$AB1423))),거래처별!$A$8:$A$307),IFERROR(LOOKUP(2,1/((거래처별!$AD$8:$AD$307&lt;&gt;"")*ISNUMBER(SEARCH(거래처별!$AD$8:$AD$307,$AB1423))),거래처별!$A$8:$A$307),IFERROR(LOOKUP(2,1/((거래처별!$AE$8:$AE$307&lt;&gt;"")*ISNUMBER(SEARCH(거래처별!$AE$8:$AE$307,$AB1423))),거래처별!$A$8:$A$307),0))))</f>
        <v/>
      </c>
      <c r="AD1423" s="31">
        <f>IF(AND($Y1423&lt;&gt;"",N($Z1423)&gt;0,$AC1423=0),MAX($AD$7:$AD1422)+1,"")</f>
        <v/>
      </c>
      <c r="AE1423" s="31">
        <f>IF($Y1423="",0,$Y1423)</f>
        <v/>
      </c>
    </row>
    <row r="1424">
      <c r="W1424" s="31">
        <f>IF(OR($B$5="",$C$6="",ROW()&lt;$B$5),"",IF(INDEX($A:$U,ROW(),$C$6)="","",INDEX($A:$U,ROW(),$C$6)))</f>
        <v/>
      </c>
      <c r="X1424" s="32">
        <f>IF($W1424="","",IF(ISNUMBER($W1424),IF($W1424&gt;=10000000,IFERROR(DATE(INT($W1424/10000),MOD(INT($W1424/100),100),MOD($W1424,100)),""),INT($W1424)),IFERROR(DATE(--LEFT(LEFT(SUBSTITUTE(SUBSTITUTE(SUBSTITUTE(SUBSTITUTE(TRIM($W1424),"-",""),".",""),"/","")," ",""),8),4),--MID(LEFT(SUBSTITUTE(SUBSTITUTE(SUBSTITUTE(SUBSTITUTE(TRIM($W1424),"-",""),".",""),"/","")," ",""),8),5,2),--MID(LEFT(SUBSTITUTE(SUBSTITUTE(SUBSTITUTE(SUBSTITUTE(TRIM($W1424),"-",""),".",""),"/","")," ",""),8),7,2)),"")))</f>
        <v/>
      </c>
      <c r="Y1424" s="32">
        <f>IF($X1424="","",INT($X1424))</f>
        <v/>
      </c>
      <c r="Z1424" s="33">
        <f>IF(OR($Y1424="",$D$6=""),"",IF(INDEX($A:$U,ROW(),$D$6)="",0,IF(ISNUMBER(INDEX($A:$U,ROW(),$D$6)),INDEX($A:$U,ROW(),$D$6),IFERROR(--SUBSTITUTE(SUBSTITUTE(TRIM(INDEX($A:$U,ROW(),$D$6)),",",""),"원",""),0))))</f>
        <v/>
      </c>
      <c r="AA1424" s="31">
        <f>IF($Y1424="","",TRIM(INDEX($A:$U,ROW(),$E$6)&amp;IF($F$6="",""," "&amp;INDEX($A:$U,ROW(),$F$6))))</f>
        <v/>
      </c>
      <c r="AB1424" s="31">
        <f>IF($AA1424="","",SUBSTITUTE(SUBSTITUTE(SUBSTITUTE(SUBSTITUTE(SUBSTITUTE(SUBSTITUTE(SUBSTITUTE(SUBSTITUTE(SUBSTITUTE($AA1424," ",""),"　",""),"(주)",""),"（주）",""),"㈜",""),"주식회사",""),"(유)",""),"（유）",""),"유한회사",""))</f>
        <v/>
      </c>
      <c r="AC1424" s="31">
        <f>IF(OR($Y1424="",N($Z1424)&lt;=0,$AB1424=""),0,IFERROR(LOOKUP(2,1/((거래처별!$AC$8:$AC$307&lt;&gt;"")*ISNUMBER(SEARCH(거래처별!$AC$8:$AC$307,$AB1424))),거래처별!$A$8:$A$307),IFERROR(LOOKUP(2,1/((거래처별!$AD$8:$AD$307&lt;&gt;"")*ISNUMBER(SEARCH(거래처별!$AD$8:$AD$307,$AB1424))),거래처별!$A$8:$A$307),IFERROR(LOOKUP(2,1/((거래처별!$AE$8:$AE$307&lt;&gt;"")*ISNUMBER(SEARCH(거래처별!$AE$8:$AE$307,$AB1424))),거래처별!$A$8:$A$307),0))))</f>
        <v/>
      </c>
      <c r="AD1424" s="31">
        <f>IF(AND($Y1424&lt;&gt;"",N($Z1424)&gt;0,$AC1424=0),MAX($AD$7:$AD1423)+1,"")</f>
        <v/>
      </c>
      <c r="AE1424" s="31">
        <f>IF($Y1424="",0,$Y1424)</f>
        <v/>
      </c>
    </row>
    <row r="1425">
      <c r="W1425" s="31">
        <f>IF(OR($B$5="",$C$6="",ROW()&lt;$B$5),"",IF(INDEX($A:$U,ROW(),$C$6)="","",INDEX($A:$U,ROW(),$C$6)))</f>
        <v/>
      </c>
      <c r="X1425" s="32">
        <f>IF($W1425="","",IF(ISNUMBER($W1425),IF($W1425&gt;=10000000,IFERROR(DATE(INT($W1425/10000),MOD(INT($W1425/100),100),MOD($W1425,100)),""),INT($W1425)),IFERROR(DATE(--LEFT(LEFT(SUBSTITUTE(SUBSTITUTE(SUBSTITUTE(SUBSTITUTE(TRIM($W1425),"-",""),".",""),"/","")," ",""),8),4),--MID(LEFT(SUBSTITUTE(SUBSTITUTE(SUBSTITUTE(SUBSTITUTE(TRIM($W1425),"-",""),".",""),"/","")," ",""),8),5,2),--MID(LEFT(SUBSTITUTE(SUBSTITUTE(SUBSTITUTE(SUBSTITUTE(TRIM($W1425),"-",""),".",""),"/","")," ",""),8),7,2)),"")))</f>
        <v/>
      </c>
      <c r="Y1425" s="32">
        <f>IF($X1425="","",INT($X1425))</f>
        <v/>
      </c>
      <c r="Z1425" s="33">
        <f>IF(OR($Y1425="",$D$6=""),"",IF(INDEX($A:$U,ROW(),$D$6)="",0,IF(ISNUMBER(INDEX($A:$U,ROW(),$D$6)),INDEX($A:$U,ROW(),$D$6),IFERROR(--SUBSTITUTE(SUBSTITUTE(TRIM(INDEX($A:$U,ROW(),$D$6)),",",""),"원",""),0))))</f>
        <v/>
      </c>
      <c r="AA1425" s="31">
        <f>IF($Y1425="","",TRIM(INDEX($A:$U,ROW(),$E$6)&amp;IF($F$6="",""," "&amp;INDEX($A:$U,ROW(),$F$6))))</f>
        <v/>
      </c>
      <c r="AB1425" s="31">
        <f>IF($AA1425="","",SUBSTITUTE(SUBSTITUTE(SUBSTITUTE(SUBSTITUTE(SUBSTITUTE(SUBSTITUTE(SUBSTITUTE(SUBSTITUTE(SUBSTITUTE($AA1425," ",""),"　",""),"(주)",""),"（주）",""),"㈜",""),"주식회사",""),"(유)",""),"（유）",""),"유한회사",""))</f>
        <v/>
      </c>
      <c r="AC1425" s="31">
        <f>IF(OR($Y1425="",N($Z1425)&lt;=0,$AB1425=""),0,IFERROR(LOOKUP(2,1/((거래처별!$AC$8:$AC$307&lt;&gt;"")*ISNUMBER(SEARCH(거래처별!$AC$8:$AC$307,$AB1425))),거래처별!$A$8:$A$307),IFERROR(LOOKUP(2,1/((거래처별!$AD$8:$AD$307&lt;&gt;"")*ISNUMBER(SEARCH(거래처별!$AD$8:$AD$307,$AB1425))),거래처별!$A$8:$A$307),IFERROR(LOOKUP(2,1/((거래처별!$AE$8:$AE$307&lt;&gt;"")*ISNUMBER(SEARCH(거래처별!$AE$8:$AE$307,$AB1425))),거래처별!$A$8:$A$307),0))))</f>
        <v/>
      </c>
      <c r="AD1425" s="31">
        <f>IF(AND($Y1425&lt;&gt;"",N($Z1425)&gt;0,$AC1425=0),MAX($AD$7:$AD1424)+1,"")</f>
        <v/>
      </c>
      <c r="AE1425" s="31">
        <f>IF($Y1425="",0,$Y1425)</f>
        <v/>
      </c>
    </row>
    <row r="1426">
      <c r="W1426" s="31">
        <f>IF(OR($B$5="",$C$6="",ROW()&lt;$B$5),"",IF(INDEX($A:$U,ROW(),$C$6)="","",INDEX($A:$U,ROW(),$C$6)))</f>
        <v/>
      </c>
      <c r="X1426" s="32">
        <f>IF($W1426="","",IF(ISNUMBER($W1426),IF($W1426&gt;=10000000,IFERROR(DATE(INT($W1426/10000),MOD(INT($W1426/100),100),MOD($W1426,100)),""),INT($W1426)),IFERROR(DATE(--LEFT(LEFT(SUBSTITUTE(SUBSTITUTE(SUBSTITUTE(SUBSTITUTE(TRIM($W1426),"-",""),".",""),"/","")," ",""),8),4),--MID(LEFT(SUBSTITUTE(SUBSTITUTE(SUBSTITUTE(SUBSTITUTE(TRIM($W1426),"-",""),".",""),"/","")," ",""),8),5,2),--MID(LEFT(SUBSTITUTE(SUBSTITUTE(SUBSTITUTE(SUBSTITUTE(TRIM($W1426),"-",""),".",""),"/","")," ",""),8),7,2)),"")))</f>
        <v/>
      </c>
      <c r="Y1426" s="32">
        <f>IF($X1426="","",INT($X1426))</f>
        <v/>
      </c>
      <c r="Z1426" s="33">
        <f>IF(OR($Y1426="",$D$6=""),"",IF(INDEX($A:$U,ROW(),$D$6)="",0,IF(ISNUMBER(INDEX($A:$U,ROW(),$D$6)),INDEX($A:$U,ROW(),$D$6),IFERROR(--SUBSTITUTE(SUBSTITUTE(TRIM(INDEX($A:$U,ROW(),$D$6)),",",""),"원",""),0))))</f>
        <v/>
      </c>
      <c r="AA1426" s="31">
        <f>IF($Y1426="","",TRIM(INDEX($A:$U,ROW(),$E$6)&amp;IF($F$6="",""," "&amp;INDEX($A:$U,ROW(),$F$6))))</f>
        <v/>
      </c>
      <c r="AB1426" s="31">
        <f>IF($AA1426="","",SUBSTITUTE(SUBSTITUTE(SUBSTITUTE(SUBSTITUTE(SUBSTITUTE(SUBSTITUTE(SUBSTITUTE(SUBSTITUTE(SUBSTITUTE($AA1426," ",""),"　",""),"(주)",""),"（주）",""),"㈜",""),"주식회사",""),"(유)",""),"（유）",""),"유한회사",""))</f>
        <v/>
      </c>
      <c r="AC1426" s="31">
        <f>IF(OR($Y1426="",N($Z1426)&lt;=0,$AB1426=""),0,IFERROR(LOOKUP(2,1/((거래처별!$AC$8:$AC$307&lt;&gt;"")*ISNUMBER(SEARCH(거래처별!$AC$8:$AC$307,$AB1426))),거래처별!$A$8:$A$307),IFERROR(LOOKUP(2,1/((거래처별!$AD$8:$AD$307&lt;&gt;"")*ISNUMBER(SEARCH(거래처별!$AD$8:$AD$307,$AB1426))),거래처별!$A$8:$A$307),IFERROR(LOOKUP(2,1/((거래처별!$AE$8:$AE$307&lt;&gt;"")*ISNUMBER(SEARCH(거래처별!$AE$8:$AE$307,$AB1426))),거래처별!$A$8:$A$307),0))))</f>
        <v/>
      </c>
      <c r="AD1426" s="31">
        <f>IF(AND($Y1426&lt;&gt;"",N($Z1426)&gt;0,$AC1426=0),MAX($AD$7:$AD1425)+1,"")</f>
        <v/>
      </c>
      <c r="AE1426" s="31">
        <f>IF($Y1426="",0,$Y1426)</f>
        <v/>
      </c>
    </row>
    <row r="1427">
      <c r="W1427" s="31">
        <f>IF(OR($B$5="",$C$6="",ROW()&lt;$B$5),"",IF(INDEX($A:$U,ROW(),$C$6)="","",INDEX($A:$U,ROW(),$C$6)))</f>
        <v/>
      </c>
      <c r="X1427" s="32">
        <f>IF($W1427="","",IF(ISNUMBER($W1427),IF($W1427&gt;=10000000,IFERROR(DATE(INT($W1427/10000),MOD(INT($W1427/100),100),MOD($W1427,100)),""),INT($W1427)),IFERROR(DATE(--LEFT(LEFT(SUBSTITUTE(SUBSTITUTE(SUBSTITUTE(SUBSTITUTE(TRIM($W1427),"-",""),".",""),"/","")," ",""),8),4),--MID(LEFT(SUBSTITUTE(SUBSTITUTE(SUBSTITUTE(SUBSTITUTE(TRIM($W1427),"-",""),".",""),"/","")," ",""),8),5,2),--MID(LEFT(SUBSTITUTE(SUBSTITUTE(SUBSTITUTE(SUBSTITUTE(TRIM($W1427),"-",""),".",""),"/","")," ",""),8),7,2)),"")))</f>
        <v/>
      </c>
      <c r="Y1427" s="32">
        <f>IF($X1427="","",INT($X1427))</f>
        <v/>
      </c>
      <c r="Z1427" s="33">
        <f>IF(OR($Y1427="",$D$6=""),"",IF(INDEX($A:$U,ROW(),$D$6)="",0,IF(ISNUMBER(INDEX($A:$U,ROW(),$D$6)),INDEX($A:$U,ROW(),$D$6),IFERROR(--SUBSTITUTE(SUBSTITUTE(TRIM(INDEX($A:$U,ROW(),$D$6)),",",""),"원",""),0))))</f>
        <v/>
      </c>
      <c r="AA1427" s="31">
        <f>IF($Y1427="","",TRIM(INDEX($A:$U,ROW(),$E$6)&amp;IF($F$6="",""," "&amp;INDEX($A:$U,ROW(),$F$6))))</f>
        <v/>
      </c>
      <c r="AB1427" s="31">
        <f>IF($AA1427="","",SUBSTITUTE(SUBSTITUTE(SUBSTITUTE(SUBSTITUTE(SUBSTITUTE(SUBSTITUTE(SUBSTITUTE(SUBSTITUTE(SUBSTITUTE($AA1427," ",""),"　",""),"(주)",""),"（주）",""),"㈜",""),"주식회사",""),"(유)",""),"（유）",""),"유한회사",""))</f>
        <v/>
      </c>
      <c r="AC1427" s="31">
        <f>IF(OR($Y1427="",N($Z1427)&lt;=0,$AB1427=""),0,IFERROR(LOOKUP(2,1/((거래처별!$AC$8:$AC$307&lt;&gt;"")*ISNUMBER(SEARCH(거래처별!$AC$8:$AC$307,$AB1427))),거래처별!$A$8:$A$307),IFERROR(LOOKUP(2,1/((거래처별!$AD$8:$AD$307&lt;&gt;"")*ISNUMBER(SEARCH(거래처별!$AD$8:$AD$307,$AB1427))),거래처별!$A$8:$A$307),IFERROR(LOOKUP(2,1/((거래처별!$AE$8:$AE$307&lt;&gt;"")*ISNUMBER(SEARCH(거래처별!$AE$8:$AE$307,$AB1427))),거래처별!$A$8:$A$307),0))))</f>
        <v/>
      </c>
      <c r="AD1427" s="31">
        <f>IF(AND($Y1427&lt;&gt;"",N($Z1427)&gt;0,$AC1427=0),MAX($AD$7:$AD1426)+1,"")</f>
        <v/>
      </c>
      <c r="AE1427" s="31">
        <f>IF($Y1427="",0,$Y1427)</f>
        <v/>
      </c>
    </row>
    <row r="1428">
      <c r="W1428" s="31">
        <f>IF(OR($B$5="",$C$6="",ROW()&lt;$B$5),"",IF(INDEX($A:$U,ROW(),$C$6)="","",INDEX($A:$U,ROW(),$C$6)))</f>
        <v/>
      </c>
      <c r="X1428" s="32">
        <f>IF($W1428="","",IF(ISNUMBER($W1428),IF($W1428&gt;=10000000,IFERROR(DATE(INT($W1428/10000),MOD(INT($W1428/100),100),MOD($W1428,100)),""),INT($W1428)),IFERROR(DATE(--LEFT(LEFT(SUBSTITUTE(SUBSTITUTE(SUBSTITUTE(SUBSTITUTE(TRIM($W1428),"-",""),".",""),"/","")," ",""),8),4),--MID(LEFT(SUBSTITUTE(SUBSTITUTE(SUBSTITUTE(SUBSTITUTE(TRIM($W1428),"-",""),".",""),"/","")," ",""),8),5,2),--MID(LEFT(SUBSTITUTE(SUBSTITUTE(SUBSTITUTE(SUBSTITUTE(TRIM($W1428),"-",""),".",""),"/","")," ",""),8),7,2)),"")))</f>
        <v/>
      </c>
      <c r="Y1428" s="32">
        <f>IF($X1428="","",INT($X1428))</f>
        <v/>
      </c>
      <c r="Z1428" s="33">
        <f>IF(OR($Y1428="",$D$6=""),"",IF(INDEX($A:$U,ROW(),$D$6)="",0,IF(ISNUMBER(INDEX($A:$U,ROW(),$D$6)),INDEX($A:$U,ROW(),$D$6),IFERROR(--SUBSTITUTE(SUBSTITUTE(TRIM(INDEX($A:$U,ROW(),$D$6)),",",""),"원",""),0))))</f>
        <v/>
      </c>
      <c r="AA1428" s="31">
        <f>IF($Y1428="","",TRIM(INDEX($A:$U,ROW(),$E$6)&amp;IF($F$6="",""," "&amp;INDEX($A:$U,ROW(),$F$6))))</f>
        <v/>
      </c>
      <c r="AB1428" s="31">
        <f>IF($AA1428="","",SUBSTITUTE(SUBSTITUTE(SUBSTITUTE(SUBSTITUTE(SUBSTITUTE(SUBSTITUTE(SUBSTITUTE(SUBSTITUTE(SUBSTITUTE($AA1428," ",""),"　",""),"(주)",""),"（주）",""),"㈜",""),"주식회사",""),"(유)",""),"（유）",""),"유한회사",""))</f>
        <v/>
      </c>
      <c r="AC1428" s="31">
        <f>IF(OR($Y1428="",N($Z1428)&lt;=0,$AB1428=""),0,IFERROR(LOOKUP(2,1/((거래처별!$AC$8:$AC$307&lt;&gt;"")*ISNUMBER(SEARCH(거래처별!$AC$8:$AC$307,$AB1428))),거래처별!$A$8:$A$307),IFERROR(LOOKUP(2,1/((거래처별!$AD$8:$AD$307&lt;&gt;"")*ISNUMBER(SEARCH(거래처별!$AD$8:$AD$307,$AB1428))),거래처별!$A$8:$A$307),IFERROR(LOOKUP(2,1/((거래처별!$AE$8:$AE$307&lt;&gt;"")*ISNUMBER(SEARCH(거래처별!$AE$8:$AE$307,$AB1428))),거래처별!$A$8:$A$307),0))))</f>
        <v/>
      </c>
      <c r="AD1428" s="31">
        <f>IF(AND($Y1428&lt;&gt;"",N($Z1428)&gt;0,$AC1428=0),MAX($AD$7:$AD1427)+1,"")</f>
        <v/>
      </c>
      <c r="AE1428" s="31">
        <f>IF($Y1428="",0,$Y1428)</f>
        <v/>
      </c>
    </row>
    <row r="1429">
      <c r="W1429" s="31">
        <f>IF(OR($B$5="",$C$6="",ROW()&lt;$B$5),"",IF(INDEX($A:$U,ROW(),$C$6)="","",INDEX($A:$U,ROW(),$C$6)))</f>
        <v/>
      </c>
      <c r="X1429" s="32">
        <f>IF($W1429="","",IF(ISNUMBER($W1429),IF($W1429&gt;=10000000,IFERROR(DATE(INT($W1429/10000),MOD(INT($W1429/100),100),MOD($W1429,100)),""),INT($W1429)),IFERROR(DATE(--LEFT(LEFT(SUBSTITUTE(SUBSTITUTE(SUBSTITUTE(SUBSTITUTE(TRIM($W1429),"-",""),".",""),"/","")," ",""),8),4),--MID(LEFT(SUBSTITUTE(SUBSTITUTE(SUBSTITUTE(SUBSTITUTE(TRIM($W1429),"-",""),".",""),"/","")," ",""),8),5,2),--MID(LEFT(SUBSTITUTE(SUBSTITUTE(SUBSTITUTE(SUBSTITUTE(TRIM($W1429),"-",""),".",""),"/","")," ",""),8),7,2)),"")))</f>
        <v/>
      </c>
      <c r="Y1429" s="32">
        <f>IF($X1429="","",INT($X1429))</f>
        <v/>
      </c>
      <c r="Z1429" s="33">
        <f>IF(OR($Y1429="",$D$6=""),"",IF(INDEX($A:$U,ROW(),$D$6)="",0,IF(ISNUMBER(INDEX($A:$U,ROW(),$D$6)),INDEX($A:$U,ROW(),$D$6),IFERROR(--SUBSTITUTE(SUBSTITUTE(TRIM(INDEX($A:$U,ROW(),$D$6)),",",""),"원",""),0))))</f>
        <v/>
      </c>
      <c r="AA1429" s="31">
        <f>IF($Y1429="","",TRIM(INDEX($A:$U,ROW(),$E$6)&amp;IF($F$6="",""," "&amp;INDEX($A:$U,ROW(),$F$6))))</f>
        <v/>
      </c>
      <c r="AB1429" s="31">
        <f>IF($AA1429="","",SUBSTITUTE(SUBSTITUTE(SUBSTITUTE(SUBSTITUTE(SUBSTITUTE(SUBSTITUTE(SUBSTITUTE(SUBSTITUTE(SUBSTITUTE($AA1429," ",""),"　",""),"(주)",""),"（주）",""),"㈜",""),"주식회사",""),"(유)",""),"（유）",""),"유한회사",""))</f>
        <v/>
      </c>
      <c r="AC1429" s="31">
        <f>IF(OR($Y1429="",N($Z1429)&lt;=0,$AB1429=""),0,IFERROR(LOOKUP(2,1/((거래처별!$AC$8:$AC$307&lt;&gt;"")*ISNUMBER(SEARCH(거래처별!$AC$8:$AC$307,$AB1429))),거래처별!$A$8:$A$307),IFERROR(LOOKUP(2,1/((거래처별!$AD$8:$AD$307&lt;&gt;"")*ISNUMBER(SEARCH(거래처별!$AD$8:$AD$307,$AB1429))),거래처별!$A$8:$A$307),IFERROR(LOOKUP(2,1/((거래처별!$AE$8:$AE$307&lt;&gt;"")*ISNUMBER(SEARCH(거래처별!$AE$8:$AE$307,$AB1429))),거래처별!$A$8:$A$307),0))))</f>
        <v/>
      </c>
      <c r="AD1429" s="31">
        <f>IF(AND($Y1429&lt;&gt;"",N($Z1429)&gt;0,$AC1429=0),MAX($AD$7:$AD1428)+1,"")</f>
        <v/>
      </c>
      <c r="AE1429" s="31">
        <f>IF($Y1429="",0,$Y1429)</f>
        <v/>
      </c>
    </row>
    <row r="1430">
      <c r="W1430" s="31">
        <f>IF(OR($B$5="",$C$6="",ROW()&lt;$B$5),"",IF(INDEX($A:$U,ROW(),$C$6)="","",INDEX($A:$U,ROW(),$C$6)))</f>
        <v/>
      </c>
      <c r="X1430" s="32">
        <f>IF($W1430="","",IF(ISNUMBER($W1430),IF($W1430&gt;=10000000,IFERROR(DATE(INT($W1430/10000),MOD(INT($W1430/100),100),MOD($W1430,100)),""),INT($W1430)),IFERROR(DATE(--LEFT(LEFT(SUBSTITUTE(SUBSTITUTE(SUBSTITUTE(SUBSTITUTE(TRIM($W1430),"-",""),".",""),"/","")," ",""),8),4),--MID(LEFT(SUBSTITUTE(SUBSTITUTE(SUBSTITUTE(SUBSTITUTE(TRIM($W1430),"-",""),".",""),"/","")," ",""),8),5,2),--MID(LEFT(SUBSTITUTE(SUBSTITUTE(SUBSTITUTE(SUBSTITUTE(TRIM($W1430),"-",""),".",""),"/","")," ",""),8),7,2)),"")))</f>
        <v/>
      </c>
      <c r="Y1430" s="32">
        <f>IF($X1430="","",INT($X1430))</f>
        <v/>
      </c>
      <c r="Z1430" s="33">
        <f>IF(OR($Y1430="",$D$6=""),"",IF(INDEX($A:$U,ROW(),$D$6)="",0,IF(ISNUMBER(INDEX($A:$U,ROW(),$D$6)),INDEX($A:$U,ROW(),$D$6),IFERROR(--SUBSTITUTE(SUBSTITUTE(TRIM(INDEX($A:$U,ROW(),$D$6)),",",""),"원",""),0))))</f>
        <v/>
      </c>
      <c r="AA1430" s="31">
        <f>IF($Y1430="","",TRIM(INDEX($A:$U,ROW(),$E$6)&amp;IF($F$6="",""," "&amp;INDEX($A:$U,ROW(),$F$6))))</f>
        <v/>
      </c>
      <c r="AB1430" s="31">
        <f>IF($AA1430="","",SUBSTITUTE(SUBSTITUTE(SUBSTITUTE(SUBSTITUTE(SUBSTITUTE(SUBSTITUTE(SUBSTITUTE(SUBSTITUTE(SUBSTITUTE($AA1430," ",""),"　",""),"(주)",""),"（주）",""),"㈜",""),"주식회사",""),"(유)",""),"（유）",""),"유한회사",""))</f>
        <v/>
      </c>
      <c r="AC1430" s="31">
        <f>IF(OR($Y1430="",N($Z1430)&lt;=0,$AB1430=""),0,IFERROR(LOOKUP(2,1/((거래처별!$AC$8:$AC$307&lt;&gt;"")*ISNUMBER(SEARCH(거래처별!$AC$8:$AC$307,$AB1430))),거래처별!$A$8:$A$307),IFERROR(LOOKUP(2,1/((거래처별!$AD$8:$AD$307&lt;&gt;"")*ISNUMBER(SEARCH(거래처별!$AD$8:$AD$307,$AB1430))),거래처별!$A$8:$A$307),IFERROR(LOOKUP(2,1/((거래처별!$AE$8:$AE$307&lt;&gt;"")*ISNUMBER(SEARCH(거래처별!$AE$8:$AE$307,$AB1430))),거래처별!$A$8:$A$307),0))))</f>
        <v/>
      </c>
      <c r="AD1430" s="31">
        <f>IF(AND($Y1430&lt;&gt;"",N($Z1430)&gt;0,$AC1430=0),MAX($AD$7:$AD1429)+1,"")</f>
        <v/>
      </c>
      <c r="AE1430" s="31">
        <f>IF($Y1430="",0,$Y1430)</f>
        <v/>
      </c>
    </row>
    <row r="1431">
      <c r="W1431" s="31">
        <f>IF(OR($B$5="",$C$6="",ROW()&lt;$B$5),"",IF(INDEX($A:$U,ROW(),$C$6)="","",INDEX($A:$U,ROW(),$C$6)))</f>
        <v/>
      </c>
      <c r="X1431" s="32">
        <f>IF($W1431="","",IF(ISNUMBER($W1431),IF($W1431&gt;=10000000,IFERROR(DATE(INT($W1431/10000),MOD(INT($W1431/100),100),MOD($W1431,100)),""),INT($W1431)),IFERROR(DATE(--LEFT(LEFT(SUBSTITUTE(SUBSTITUTE(SUBSTITUTE(SUBSTITUTE(TRIM($W1431),"-",""),".",""),"/","")," ",""),8),4),--MID(LEFT(SUBSTITUTE(SUBSTITUTE(SUBSTITUTE(SUBSTITUTE(TRIM($W1431),"-",""),".",""),"/","")," ",""),8),5,2),--MID(LEFT(SUBSTITUTE(SUBSTITUTE(SUBSTITUTE(SUBSTITUTE(TRIM($W1431),"-",""),".",""),"/","")," ",""),8),7,2)),"")))</f>
        <v/>
      </c>
      <c r="Y1431" s="32">
        <f>IF($X1431="","",INT($X1431))</f>
        <v/>
      </c>
      <c r="Z1431" s="33">
        <f>IF(OR($Y1431="",$D$6=""),"",IF(INDEX($A:$U,ROW(),$D$6)="",0,IF(ISNUMBER(INDEX($A:$U,ROW(),$D$6)),INDEX($A:$U,ROW(),$D$6),IFERROR(--SUBSTITUTE(SUBSTITUTE(TRIM(INDEX($A:$U,ROW(),$D$6)),",",""),"원",""),0))))</f>
        <v/>
      </c>
      <c r="AA1431" s="31">
        <f>IF($Y1431="","",TRIM(INDEX($A:$U,ROW(),$E$6)&amp;IF($F$6="",""," "&amp;INDEX($A:$U,ROW(),$F$6))))</f>
        <v/>
      </c>
      <c r="AB1431" s="31">
        <f>IF($AA1431="","",SUBSTITUTE(SUBSTITUTE(SUBSTITUTE(SUBSTITUTE(SUBSTITUTE(SUBSTITUTE(SUBSTITUTE(SUBSTITUTE(SUBSTITUTE($AA1431," ",""),"　",""),"(주)",""),"（주）",""),"㈜",""),"주식회사",""),"(유)",""),"（유）",""),"유한회사",""))</f>
        <v/>
      </c>
      <c r="AC1431" s="31">
        <f>IF(OR($Y1431="",N($Z1431)&lt;=0,$AB1431=""),0,IFERROR(LOOKUP(2,1/((거래처별!$AC$8:$AC$307&lt;&gt;"")*ISNUMBER(SEARCH(거래처별!$AC$8:$AC$307,$AB1431))),거래처별!$A$8:$A$307),IFERROR(LOOKUP(2,1/((거래처별!$AD$8:$AD$307&lt;&gt;"")*ISNUMBER(SEARCH(거래처별!$AD$8:$AD$307,$AB1431))),거래처별!$A$8:$A$307),IFERROR(LOOKUP(2,1/((거래처별!$AE$8:$AE$307&lt;&gt;"")*ISNUMBER(SEARCH(거래처별!$AE$8:$AE$307,$AB1431))),거래처별!$A$8:$A$307),0))))</f>
        <v/>
      </c>
      <c r="AD1431" s="31">
        <f>IF(AND($Y1431&lt;&gt;"",N($Z1431)&gt;0,$AC1431=0),MAX($AD$7:$AD1430)+1,"")</f>
        <v/>
      </c>
      <c r="AE1431" s="31">
        <f>IF($Y1431="",0,$Y1431)</f>
        <v/>
      </c>
    </row>
    <row r="1432">
      <c r="W1432" s="31">
        <f>IF(OR($B$5="",$C$6="",ROW()&lt;$B$5),"",IF(INDEX($A:$U,ROW(),$C$6)="","",INDEX($A:$U,ROW(),$C$6)))</f>
        <v/>
      </c>
      <c r="X1432" s="32">
        <f>IF($W1432="","",IF(ISNUMBER($W1432),IF($W1432&gt;=10000000,IFERROR(DATE(INT($W1432/10000),MOD(INT($W1432/100),100),MOD($W1432,100)),""),INT($W1432)),IFERROR(DATE(--LEFT(LEFT(SUBSTITUTE(SUBSTITUTE(SUBSTITUTE(SUBSTITUTE(TRIM($W1432),"-",""),".",""),"/","")," ",""),8),4),--MID(LEFT(SUBSTITUTE(SUBSTITUTE(SUBSTITUTE(SUBSTITUTE(TRIM($W1432),"-",""),".",""),"/","")," ",""),8),5,2),--MID(LEFT(SUBSTITUTE(SUBSTITUTE(SUBSTITUTE(SUBSTITUTE(TRIM($W1432),"-",""),".",""),"/","")," ",""),8),7,2)),"")))</f>
        <v/>
      </c>
      <c r="Y1432" s="32">
        <f>IF($X1432="","",INT($X1432))</f>
        <v/>
      </c>
      <c r="Z1432" s="33">
        <f>IF(OR($Y1432="",$D$6=""),"",IF(INDEX($A:$U,ROW(),$D$6)="",0,IF(ISNUMBER(INDEX($A:$U,ROW(),$D$6)),INDEX($A:$U,ROW(),$D$6),IFERROR(--SUBSTITUTE(SUBSTITUTE(TRIM(INDEX($A:$U,ROW(),$D$6)),",",""),"원",""),0))))</f>
        <v/>
      </c>
      <c r="AA1432" s="31">
        <f>IF($Y1432="","",TRIM(INDEX($A:$U,ROW(),$E$6)&amp;IF($F$6="",""," "&amp;INDEX($A:$U,ROW(),$F$6))))</f>
        <v/>
      </c>
      <c r="AB1432" s="31">
        <f>IF($AA1432="","",SUBSTITUTE(SUBSTITUTE(SUBSTITUTE(SUBSTITUTE(SUBSTITUTE(SUBSTITUTE(SUBSTITUTE(SUBSTITUTE(SUBSTITUTE($AA1432," ",""),"　",""),"(주)",""),"（주）",""),"㈜",""),"주식회사",""),"(유)",""),"（유）",""),"유한회사",""))</f>
        <v/>
      </c>
      <c r="AC1432" s="31">
        <f>IF(OR($Y1432="",N($Z1432)&lt;=0,$AB1432=""),0,IFERROR(LOOKUP(2,1/((거래처별!$AC$8:$AC$307&lt;&gt;"")*ISNUMBER(SEARCH(거래처별!$AC$8:$AC$307,$AB1432))),거래처별!$A$8:$A$307),IFERROR(LOOKUP(2,1/((거래처별!$AD$8:$AD$307&lt;&gt;"")*ISNUMBER(SEARCH(거래처별!$AD$8:$AD$307,$AB1432))),거래처별!$A$8:$A$307),IFERROR(LOOKUP(2,1/((거래처별!$AE$8:$AE$307&lt;&gt;"")*ISNUMBER(SEARCH(거래처별!$AE$8:$AE$307,$AB1432))),거래처별!$A$8:$A$307),0))))</f>
        <v/>
      </c>
      <c r="AD1432" s="31">
        <f>IF(AND($Y1432&lt;&gt;"",N($Z1432)&gt;0,$AC1432=0),MAX($AD$7:$AD1431)+1,"")</f>
        <v/>
      </c>
      <c r="AE1432" s="31">
        <f>IF($Y1432="",0,$Y1432)</f>
        <v/>
      </c>
    </row>
    <row r="1433">
      <c r="W1433" s="31">
        <f>IF(OR($B$5="",$C$6="",ROW()&lt;$B$5),"",IF(INDEX($A:$U,ROW(),$C$6)="","",INDEX($A:$U,ROW(),$C$6)))</f>
        <v/>
      </c>
      <c r="X1433" s="32">
        <f>IF($W1433="","",IF(ISNUMBER($W1433),IF($W1433&gt;=10000000,IFERROR(DATE(INT($W1433/10000),MOD(INT($W1433/100),100),MOD($W1433,100)),""),INT($W1433)),IFERROR(DATE(--LEFT(LEFT(SUBSTITUTE(SUBSTITUTE(SUBSTITUTE(SUBSTITUTE(TRIM($W1433),"-",""),".",""),"/","")," ",""),8),4),--MID(LEFT(SUBSTITUTE(SUBSTITUTE(SUBSTITUTE(SUBSTITUTE(TRIM($W1433),"-",""),".",""),"/","")," ",""),8),5,2),--MID(LEFT(SUBSTITUTE(SUBSTITUTE(SUBSTITUTE(SUBSTITUTE(TRIM($W1433),"-",""),".",""),"/","")," ",""),8),7,2)),"")))</f>
        <v/>
      </c>
      <c r="Y1433" s="32">
        <f>IF($X1433="","",INT($X1433))</f>
        <v/>
      </c>
      <c r="Z1433" s="33">
        <f>IF(OR($Y1433="",$D$6=""),"",IF(INDEX($A:$U,ROW(),$D$6)="",0,IF(ISNUMBER(INDEX($A:$U,ROW(),$D$6)),INDEX($A:$U,ROW(),$D$6),IFERROR(--SUBSTITUTE(SUBSTITUTE(TRIM(INDEX($A:$U,ROW(),$D$6)),",",""),"원",""),0))))</f>
        <v/>
      </c>
      <c r="AA1433" s="31">
        <f>IF($Y1433="","",TRIM(INDEX($A:$U,ROW(),$E$6)&amp;IF($F$6="",""," "&amp;INDEX($A:$U,ROW(),$F$6))))</f>
        <v/>
      </c>
      <c r="AB1433" s="31">
        <f>IF($AA1433="","",SUBSTITUTE(SUBSTITUTE(SUBSTITUTE(SUBSTITUTE(SUBSTITUTE(SUBSTITUTE(SUBSTITUTE(SUBSTITUTE(SUBSTITUTE($AA1433," ",""),"　",""),"(주)",""),"（주）",""),"㈜",""),"주식회사",""),"(유)",""),"（유）",""),"유한회사",""))</f>
        <v/>
      </c>
      <c r="AC1433" s="31">
        <f>IF(OR($Y1433="",N($Z1433)&lt;=0,$AB1433=""),0,IFERROR(LOOKUP(2,1/((거래처별!$AC$8:$AC$307&lt;&gt;"")*ISNUMBER(SEARCH(거래처별!$AC$8:$AC$307,$AB1433))),거래처별!$A$8:$A$307),IFERROR(LOOKUP(2,1/((거래처별!$AD$8:$AD$307&lt;&gt;"")*ISNUMBER(SEARCH(거래처별!$AD$8:$AD$307,$AB1433))),거래처별!$A$8:$A$307),IFERROR(LOOKUP(2,1/((거래처별!$AE$8:$AE$307&lt;&gt;"")*ISNUMBER(SEARCH(거래처별!$AE$8:$AE$307,$AB1433))),거래처별!$A$8:$A$307),0))))</f>
        <v/>
      </c>
      <c r="AD1433" s="31">
        <f>IF(AND($Y1433&lt;&gt;"",N($Z1433)&gt;0,$AC1433=0),MAX($AD$7:$AD1432)+1,"")</f>
        <v/>
      </c>
      <c r="AE1433" s="31">
        <f>IF($Y1433="",0,$Y1433)</f>
        <v/>
      </c>
    </row>
    <row r="1434">
      <c r="W1434" s="31">
        <f>IF(OR($B$5="",$C$6="",ROW()&lt;$B$5),"",IF(INDEX($A:$U,ROW(),$C$6)="","",INDEX($A:$U,ROW(),$C$6)))</f>
        <v/>
      </c>
      <c r="X1434" s="32">
        <f>IF($W1434="","",IF(ISNUMBER($W1434),IF($W1434&gt;=10000000,IFERROR(DATE(INT($W1434/10000),MOD(INT($W1434/100),100),MOD($W1434,100)),""),INT($W1434)),IFERROR(DATE(--LEFT(LEFT(SUBSTITUTE(SUBSTITUTE(SUBSTITUTE(SUBSTITUTE(TRIM($W1434),"-",""),".",""),"/","")," ",""),8),4),--MID(LEFT(SUBSTITUTE(SUBSTITUTE(SUBSTITUTE(SUBSTITUTE(TRIM($W1434),"-",""),".",""),"/","")," ",""),8),5,2),--MID(LEFT(SUBSTITUTE(SUBSTITUTE(SUBSTITUTE(SUBSTITUTE(TRIM($W1434),"-",""),".",""),"/","")," ",""),8),7,2)),"")))</f>
        <v/>
      </c>
      <c r="Y1434" s="32">
        <f>IF($X1434="","",INT($X1434))</f>
        <v/>
      </c>
      <c r="Z1434" s="33">
        <f>IF(OR($Y1434="",$D$6=""),"",IF(INDEX($A:$U,ROW(),$D$6)="",0,IF(ISNUMBER(INDEX($A:$U,ROW(),$D$6)),INDEX($A:$U,ROW(),$D$6),IFERROR(--SUBSTITUTE(SUBSTITUTE(TRIM(INDEX($A:$U,ROW(),$D$6)),",",""),"원",""),0))))</f>
        <v/>
      </c>
      <c r="AA1434" s="31">
        <f>IF($Y1434="","",TRIM(INDEX($A:$U,ROW(),$E$6)&amp;IF($F$6="",""," "&amp;INDEX($A:$U,ROW(),$F$6))))</f>
        <v/>
      </c>
      <c r="AB1434" s="31">
        <f>IF($AA1434="","",SUBSTITUTE(SUBSTITUTE(SUBSTITUTE(SUBSTITUTE(SUBSTITUTE(SUBSTITUTE(SUBSTITUTE(SUBSTITUTE(SUBSTITUTE($AA1434," ",""),"　",""),"(주)",""),"（주）",""),"㈜",""),"주식회사",""),"(유)",""),"（유）",""),"유한회사",""))</f>
        <v/>
      </c>
      <c r="AC1434" s="31">
        <f>IF(OR($Y1434="",N($Z1434)&lt;=0,$AB1434=""),0,IFERROR(LOOKUP(2,1/((거래처별!$AC$8:$AC$307&lt;&gt;"")*ISNUMBER(SEARCH(거래처별!$AC$8:$AC$307,$AB1434))),거래처별!$A$8:$A$307),IFERROR(LOOKUP(2,1/((거래처별!$AD$8:$AD$307&lt;&gt;"")*ISNUMBER(SEARCH(거래처별!$AD$8:$AD$307,$AB1434))),거래처별!$A$8:$A$307),IFERROR(LOOKUP(2,1/((거래처별!$AE$8:$AE$307&lt;&gt;"")*ISNUMBER(SEARCH(거래처별!$AE$8:$AE$307,$AB1434))),거래처별!$A$8:$A$307),0))))</f>
        <v/>
      </c>
      <c r="AD1434" s="31">
        <f>IF(AND($Y1434&lt;&gt;"",N($Z1434)&gt;0,$AC1434=0),MAX($AD$7:$AD1433)+1,"")</f>
        <v/>
      </c>
      <c r="AE1434" s="31">
        <f>IF($Y1434="",0,$Y1434)</f>
        <v/>
      </c>
    </row>
    <row r="1435">
      <c r="W1435" s="31">
        <f>IF(OR($B$5="",$C$6="",ROW()&lt;$B$5),"",IF(INDEX($A:$U,ROW(),$C$6)="","",INDEX($A:$U,ROW(),$C$6)))</f>
        <v/>
      </c>
      <c r="X1435" s="32">
        <f>IF($W1435="","",IF(ISNUMBER($W1435),IF($W1435&gt;=10000000,IFERROR(DATE(INT($W1435/10000),MOD(INT($W1435/100),100),MOD($W1435,100)),""),INT($W1435)),IFERROR(DATE(--LEFT(LEFT(SUBSTITUTE(SUBSTITUTE(SUBSTITUTE(SUBSTITUTE(TRIM($W1435),"-",""),".",""),"/","")," ",""),8),4),--MID(LEFT(SUBSTITUTE(SUBSTITUTE(SUBSTITUTE(SUBSTITUTE(TRIM($W1435),"-",""),".",""),"/","")," ",""),8),5,2),--MID(LEFT(SUBSTITUTE(SUBSTITUTE(SUBSTITUTE(SUBSTITUTE(TRIM($W1435),"-",""),".",""),"/","")," ",""),8),7,2)),"")))</f>
        <v/>
      </c>
      <c r="Y1435" s="32">
        <f>IF($X1435="","",INT($X1435))</f>
        <v/>
      </c>
      <c r="Z1435" s="33">
        <f>IF(OR($Y1435="",$D$6=""),"",IF(INDEX($A:$U,ROW(),$D$6)="",0,IF(ISNUMBER(INDEX($A:$U,ROW(),$D$6)),INDEX($A:$U,ROW(),$D$6),IFERROR(--SUBSTITUTE(SUBSTITUTE(TRIM(INDEX($A:$U,ROW(),$D$6)),",",""),"원",""),0))))</f>
        <v/>
      </c>
      <c r="AA1435" s="31">
        <f>IF($Y1435="","",TRIM(INDEX($A:$U,ROW(),$E$6)&amp;IF($F$6="",""," "&amp;INDEX($A:$U,ROW(),$F$6))))</f>
        <v/>
      </c>
      <c r="AB1435" s="31">
        <f>IF($AA1435="","",SUBSTITUTE(SUBSTITUTE(SUBSTITUTE(SUBSTITUTE(SUBSTITUTE(SUBSTITUTE(SUBSTITUTE(SUBSTITUTE(SUBSTITUTE($AA1435," ",""),"　",""),"(주)",""),"（주）",""),"㈜",""),"주식회사",""),"(유)",""),"（유）",""),"유한회사",""))</f>
        <v/>
      </c>
      <c r="AC1435" s="31">
        <f>IF(OR($Y1435="",N($Z1435)&lt;=0,$AB1435=""),0,IFERROR(LOOKUP(2,1/((거래처별!$AC$8:$AC$307&lt;&gt;"")*ISNUMBER(SEARCH(거래처별!$AC$8:$AC$307,$AB1435))),거래처별!$A$8:$A$307),IFERROR(LOOKUP(2,1/((거래처별!$AD$8:$AD$307&lt;&gt;"")*ISNUMBER(SEARCH(거래처별!$AD$8:$AD$307,$AB1435))),거래처별!$A$8:$A$307),IFERROR(LOOKUP(2,1/((거래처별!$AE$8:$AE$307&lt;&gt;"")*ISNUMBER(SEARCH(거래처별!$AE$8:$AE$307,$AB1435))),거래처별!$A$8:$A$307),0))))</f>
        <v/>
      </c>
      <c r="AD1435" s="31">
        <f>IF(AND($Y1435&lt;&gt;"",N($Z1435)&gt;0,$AC1435=0),MAX($AD$7:$AD1434)+1,"")</f>
        <v/>
      </c>
      <c r="AE1435" s="31">
        <f>IF($Y1435="",0,$Y1435)</f>
        <v/>
      </c>
    </row>
    <row r="1436">
      <c r="W1436" s="31">
        <f>IF(OR($B$5="",$C$6="",ROW()&lt;$B$5),"",IF(INDEX($A:$U,ROW(),$C$6)="","",INDEX($A:$U,ROW(),$C$6)))</f>
        <v/>
      </c>
      <c r="X1436" s="32">
        <f>IF($W1436="","",IF(ISNUMBER($W1436),IF($W1436&gt;=10000000,IFERROR(DATE(INT($W1436/10000),MOD(INT($W1436/100),100),MOD($W1436,100)),""),INT($W1436)),IFERROR(DATE(--LEFT(LEFT(SUBSTITUTE(SUBSTITUTE(SUBSTITUTE(SUBSTITUTE(TRIM($W1436),"-",""),".",""),"/","")," ",""),8),4),--MID(LEFT(SUBSTITUTE(SUBSTITUTE(SUBSTITUTE(SUBSTITUTE(TRIM($W1436),"-",""),".",""),"/","")," ",""),8),5,2),--MID(LEFT(SUBSTITUTE(SUBSTITUTE(SUBSTITUTE(SUBSTITUTE(TRIM($W1436),"-",""),".",""),"/","")," ",""),8),7,2)),"")))</f>
        <v/>
      </c>
      <c r="Y1436" s="32">
        <f>IF($X1436="","",INT($X1436))</f>
        <v/>
      </c>
      <c r="Z1436" s="33">
        <f>IF(OR($Y1436="",$D$6=""),"",IF(INDEX($A:$U,ROW(),$D$6)="",0,IF(ISNUMBER(INDEX($A:$U,ROW(),$D$6)),INDEX($A:$U,ROW(),$D$6),IFERROR(--SUBSTITUTE(SUBSTITUTE(TRIM(INDEX($A:$U,ROW(),$D$6)),",",""),"원",""),0))))</f>
        <v/>
      </c>
      <c r="AA1436" s="31">
        <f>IF($Y1436="","",TRIM(INDEX($A:$U,ROW(),$E$6)&amp;IF($F$6="",""," "&amp;INDEX($A:$U,ROW(),$F$6))))</f>
        <v/>
      </c>
      <c r="AB1436" s="31">
        <f>IF($AA1436="","",SUBSTITUTE(SUBSTITUTE(SUBSTITUTE(SUBSTITUTE(SUBSTITUTE(SUBSTITUTE(SUBSTITUTE(SUBSTITUTE(SUBSTITUTE($AA1436," ",""),"　",""),"(주)",""),"（주）",""),"㈜",""),"주식회사",""),"(유)",""),"（유）",""),"유한회사",""))</f>
        <v/>
      </c>
      <c r="AC1436" s="31">
        <f>IF(OR($Y1436="",N($Z1436)&lt;=0,$AB1436=""),0,IFERROR(LOOKUP(2,1/((거래처별!$AC$8:$AC$307&lt;&gt;"")*ISNUMBER(SEARCH(거래처별!$AC$8:$AC$307,$AB1436))),거래처별!$A$8:$A$307),IFERROR(LOOKUP(2,1/((거래처별!$AD$8:$AD$307&lt;&gt;"")*ISNUMBER(SEARCH(거래처별!$AD$8:$AD$307,$AB1436))),거래처별!$A$8:$A$307),IFERROR(LOOKUP(2,1/((거래처별!$AE$8:$AE$307&lt;&gt;"")*ISNUMBER(SEARCH(거래처별!$AE$8:$AE$307,$AB1436))),거래처별!$A$8:$A$307),0))))</f>
        <v/>
      </c>
      <c r="AD1436" s="31">
        <f>IF(AND($Y1436&lt;&gt;"",N($Z1436)&gt;0,$AC1436=0),MAX($AD$7:$AD1435)+1,"")</f>
        <v/>
      </c>
      <c r="AE1436" s="31">
        <f>IF($Y1436="",0,$Y1436)</f>
        <v/>
      </c>
    </row>
    <row r="1437">
      <c r="W1437" s="31">
        <f>IF(OR($B$5="",$C$6="",ROW()&lt;$B$5),"",IF(INDEX($A:$U,ROW(),$C$6)="","",INDEX($A:$U,ROW(),$C$6)))</f>
        <v/>
      </c>
      <c r="X1437" s="32">
        <f>IF($W1437="","",IF(ISNUMBER($W1437),IF($W1437&gt;=10000000,IFERROR(DATE(INT($W1437/10000),MOD(INT($W1437/100),100),MOD($W1437,100)),""),INT($W1437)),IFERROR(DATE(--LEFT(LEFT(SUBSTITUTE(SUBSTITUTE(SUBSTITUTE(SUBSTITUTE(TRIM($W1437),"-",""),".",""),"/","")," ",""),8),4),--MID(LEFT(SUBSTITUTE(SUBSTITUTE(SUBSTITUTE(SUBSTITUTE(TRIM($W1437),"-",""),".",""),"/","")," ",""),8),5,2),--MID(LEFT(SUBSTITUTE(SUBSTITUTE(SUBSTITUTE(SUBSTITUTE(TRIM($W1437),"-",""),".",""),"/","")," ",""),8),7,2)),"")))</f>
        <v/>
      </c>
      <c r="Y1437" s="32">
        <f>IF($X1437="","",INT($X1437))</f>
        <v/>
      </c>
      <c r="Z1437" s="33">
        <f>IF(OR($Y1437="",$D$6=""),"",IF(INDEX($A:$U,ROW(),$D$6)="",0,IF(ISNUMBER(INDEX($A:$U,ROW(),$D$6)),INDEX($A:$U,ROW(),$D$6),IFERROR(--SUBSTITUTE(SUBSTITUTE(TRIM(INDEX($A:$U,ROW(),$D$6)),",",""),"원",""),0))))</f>
        <v/>
      </c>
      <c r="AA1437" s="31">
        <f>IF($Y1437="","",TRIM(INDEX($A:$U,ROW(),$E$6)&amp;IF($F$6="",""," "&amp;INDEX($A:$U,ROW(),$F$6))))</f>
        <v/>
      </c>
      <c r="AB1437" s="31">
        <f>IF($AA1437="","",SUBSTITUTE(SUBSTITUTE(SUBSTITUTE(SUBSTITUTE(SUBSTITUTE(SUBSTITUTE(SUBSTITUTE(SUBSTITUTE(SUBSTITUTE($AA1437," ",""),"　",""),"(주)",""),"（주）",""),"㈜",""),"주식회사",""),"(유)",""),"（유）",""),"유한회사",""))</f>
        <v/>
      </c>
      <c r="AC1437" s="31">
        <f>IF(OR($Y1437="",N($Z1437)&lt;=0,$AB1437=""),0,IFERROR(LOOKUP(2,1/((거래처별!$AC$8:$AC$307&lt;&gt;"")*ISNUMBER(SEARCH(거래처별!$AC$8:$AC$307,$AB1437))),거래처별!$A$8:$A$307),IFERROR(LOOKUP(2,1/((거래처별!$AD$8:$AD$307&lt;&gt;"")*ISNUMBER(SEARCH(거래처별!$AD$8:$AD$307,$AB1437))),거래처별!$A$8:$A$307),IFERROR(LOOKUP(2,1/((거래처별!$AE$8:$AE$307&lt;&gt;"")*ISNUMBER(SEARCH(거래처별!$AE$8:$AE$307,$AB1437))),거래처별!$A$8:$A$307),0))))</f>
        <v/>
      </c>
      <c r="AD1437" s="31">
        <f>IF(AND($Y1437&lt;&gt;"",N($Z1437)&gt;0,$AC1437=0),MAX($AD$7:$AD1436)+1,"")</f>
        <v/>
      </c>
      <c r="AE1437" s="31">
        <f>IF($Y1437="",0,$Y1437)</f>
        <v/>
      </c>
    </row>
    <row r="1438">
      <c r="W1438" s="31">
        <f>IF(OR($B$5="",$C$6="",ROW()&lt;$B$5),"",IF(INDEX($A:$U,ROW(),$C$6)="","",INDEX($A:$U,ROW(),$C$6)))</f>
        <v/>
      </c>
      <c r="X1438" s="32">
        <f>IF($W1438="","",IF(ISNUMBER($W1438),IF($W1438&gt;=10000000,IFERROR(DATE(INT($W1438/10000),MOD(INT($W1438/100),100),MOD($W1438,100)),""),INT($W1438)),IFERROR(DATE(--LEFT(LEFT(SUBSTITUTE(SUBSTITUTE(SUBSTITUTE(SUBSTITUTE(TRIM($W1438),"-",""),".",""),"/","")," ",""),8),4),--MID(LEFT(SUBSTITUTE(SUBSTITUTE(SUBSTITUTE(SUBSTITUTE(TRIM($W1438),"-",""),".",""),"/","")," ",""),8),5,2),--MID(LEFT(SUBSTITUTE(SUBSTITUTE(SUBSTITUTE(SUBSTITUTE(TRIM($W1438),"-",""),".",""),"/","")," ",""),8),7,2)),"")))</f>
        <v/>
      </c>
      <c r="Y1438" s="32">
        <f>IF($X1438="","",INT($X1438))</f>
        <v/>
      </c>
      <c r="Z1438" s="33">
        <f>IF(OR($Y1438="",$D$6=""),"",IF(INDEX($A:$U,ROW(),$D$6)="",0,IF(ISNUMBER(INDEX($A:$U,ROW(),$D$6)),INDEX($A:$U,ROW(),$D$6),IFERROR(--SUBSTITUTE(SUBSTITUTE(TRIM(INDEX($A:$U,ROW(),$D$6)),",",""),"원",""),0))))</f>
        <v/>
      </c>
      <c r="AA1438" s="31">
        <f>IF($Y1438="","",TRIM(INDEX($A:$U,ROW(),$E$6)&amp;IF($F$6="",""," "&amp;INDEX($A:$U,ROW(),$F$6))))</f>
        <v/>
      </c>
      <c r="AB1438" s="31">
        <f>IF($AA1438="","",SUBSTITUTE(SUBSTITUTE(SUBSTITUTE(SUBSTITUTE(SUBSTITUTE(SUBSTITUTE(SUBSTITUTE(SUBSTITUTE(SUBSTITUTE($AA1438," ",""),"　",""),"(주)",""),"（주）",""),"㈜",""),"주식회사",""),"(유)",""),"（유）",""),"유한회사",""))</f>
        <v/>
      </c>
      <c r="AC1438" s="31">
        <f>IF(OR($Y1438="",N($Z1438)&lt;=0,$AB1438=""),0,IFERROR(LOOKUP(2,1/((거래처별!$AC$8:$AC$307&lt;&gt;"")*ISNUMBER(SEARCH(거래처별!$AC$8:$AC$307,$AB1438))),거래처별!$A$8:$A$307),IFERROR(LOOKUP(2,1/((거래처별!$AD$8:$AD$307&lt;&gt;"")*ISNUMBER(SEARCH(거래처별!$AD$8:$AD$307,$AB1438))),거래처별!$A$8:$A$307),IFERROR(LOOKUP(2,1/((거래처별!$AE$8:$AE$307&lt;&gt;"")*ISNUMBER(SEARCH(거래처별!$AE$8:$AE$307,$AB1438))),거래처별!$A$8:$A$307),0))))</f>
        <v/>
      </c>
      <c r="AD1438" s="31">
        <f>IF(AND($Y1438&lt;&gt;"",N($Z1438)&gt;0,$AC1438=0),MAX($AD$7:$AD1437)+1,"")</f>
        <v/>
      </c>
      <c r="AE1438" s="31">
        <f>IF($Y1438="",0,$Y1438)</f>
        <v/>
      </c>
    </row>
    <row r="1439">
      <c r="W1439" s="31">
        <f>IF(OR($B$5="",$C$6="",ROW()&lt;$B$5),"",IF(INDEX($A:$U,ROW(),$C$6)="","",INDEX($A:$U,ROW(),$C$6)))</f>
        <v/>
      </c>
      <c r="X1439" s="32">
        <f>IF($W1439="","",IF(ISNUMBER($W1439),IF($W1439&gt;=10000000,IFERROR(DATE(INT($W1439/10000),MOD(INT($W1439/100),100),MOD($W1439,100)),""),INT($W1439)),IFERROR(DATE(--LEFT(LEFT(SUBSTITUTE(SUBSTITUTE(SUBSTITUTE(SUBSTITUTE(TRIM($W1439),"-",""),".",""),"/","")," ",""),8),4),--MID(LEFT(SUBSTITUTE(SUBSTITUTE(SUBSTITUTE(SUBSTITUTE(TRIM($W1439),"-",""),".",""),"/","")," ",""),8),5,2),--MID(LEFT(SUBSTITUTE(SUBSTITUTE(SUBSTITUTE(SUBSTITUTE(TRIM($W1439),"-",""),".",""),"/","")," ",""),8),7,2)),"")))</f>
        <v/>
      </c>
      <c r="Y1439" s="32">
        <f>IF($X1439="","",INT($X1439))</f>
        <v/>
      </c>
      <c r="Z1439" s="33">
        <f>IF(OR($Y1439="",$D$6=""),"",IF(INDEX($A:$U,ROW(),$D$6)="",0,IF(ISNUMBER(INDEX($A:$U,ROW(),$D$6)),INDEX($A:$U,ROW(),$D$6),IFERROR(--SUBSTITUTE(SUBSTITUTE(TRIM(INDEX($A:$U,ROW(),$D$6)),",",""),"원",""),0))))</f>
        <v/>
      </c>
      <c r="AA1439" s="31">
        <f>IF($Y1439="","",TRIM(INDEX($A:$U,ROW(),$E$6)&amp;IF($F$6="",""," "&amp;INDEX($A:$U,ROW(),$F$6))))</f>
        <v/>
      </c>
      <c r="AB1439" s="31">
        <f>IF($AA1439="","",SUBSTITUTE(SUBSTITUTE(SUBSTITUTE(SUBSTITUTE(SUBSTITUTE(SUBSTITUTE(SUBSTITUTE(SUBSTITUTE(SUBSTITUTE($AA1439," ",""),"　",""),"(주)",""),"（주）",""),"㈜",""),"주식회사",""),"(유)",""),"（유）",""),"유한회사",""))</f>
        <v/>
      </c>
      <c r="AC1439" s="31">
        <f>IF(OR($Y1439="",N($Z1439)&lt;=0,$AB1439=""),0,IFERROR(LOOKUP(2,1/((거래처별!$AC$8:$AC$307&lt;&gt;"")*ISNUMBER(SEARCH(거래처별!$AC$8:$AC$307,$AB1439))),거래처별!$A$8:$A$307),IFERROR(LOOKUP(2,1/((거래처별!$AD$8:$AD$307&lt;&gt;"")*ISNUMBER(SEARCH(거래처별!$AD$8:$AD$307,$AB1439))),거래처별!$A$8:$A$307),IFERROR(LOOKUP(2,1/((거래처별!$AE$8:$AE$307&lt;&gt;"")*ISNUMBER(SEARCH(거래처별!$AE$8:$AE$307,$AB1439))),거래처별!$A$8:$A$307),0))))</f>
        <v/>
      </c>
      <c r="AD1439" s="31">
        <f>IF(AND($Y1439&lt;&gt;"",N($Z1439)&gt;0,$AC1439=0),MAX($AD$7:$AD1438)+1,"")</f>
        <v/>
      </c>
      <c r="AE1439" s="31">
        <f>IF($Y1439="",0,$Y1439)</f>
        <v/>
      </c>
    </row>
    <row r="1440">
      <c r="W1440" s="31">
        <f>IF(OR($B$5="",$C$6="",ROW()&lt;$B$5),"",IF(INDEX($A:$U,ROW(),$C$6)="","",INDEX($A:$U,ROW(),$C$6)))</f>
        <v/>
      </c>
      <c r="X1440" s="32">
        <f>IF($W1440="","",IF(ISNUMBER($W1440),IF($W1440&gt;=10000000,IFERROR(DATE(INT($W1440/10000),MOD(INT($W1440/100),100),MOD($W1440,100)),""),INT($W1440)),IFERROR(DATE(--LEFT(LEFT(SUBSTITUTE(SUBSTITUTE(SUBSTITUTE(SUBSTITUTE(TRIM($W1440),"-",""),".",""),"/","")," ",""),8),4),--MID(LEFT(SUBSTITUTE(SUBSTITUTE(SUBSTITUTE(SUBSTITUTE(TRIM($W1440),"-",""),".",""),"/","")," ",""),8),5,2),--MID(LEFT(SUBSTITUTE(SUBSTITUTE(SUBSTITUTE(SUBSTITUTE(TRIM($W1440),"-",""),".",""),"/","")," ",""),8),7,2)),"")))</f>
        <v/>
      </c>
      <c r="Y1440" s="32">
        <f>IF($X1440="","",INT($X1440))</f>
        <v/>
      </c>
      <c r="Z1440" s="33">
        <f>IF(OR($Y1440="",$D$6=""),"",IF(INDEX($A:$U,ROW(),$D$6)="",0,IF(ISNUMBER(INDEX($A:$U,ROW(),$D$6)),INDEX($A:$U,ROW(),$D$6),IFERROR(--SUBSTITUTE(SUBSTITUTE(TRIM(INDEX($A:$U,ROW(),$D$6)),",",""),"원",""),0))))</f>
        <v/>
      </c>
      <c r="AA1440" s="31">
        <f>IF($Y1440="","",TRIM(INDEX($A:$U,ROW(),$E$6)&amp;IF($F$6="",""," "&amp;INDEX($A:$U,ROW(),$F$6))))</f>
        <v/>
      </c>
      <c r="AB1440" s="31">
        <f>IF($AA1440="","",SUBSTITUTE(SUBSTITUTE(SUBSTITUTE(SUBSTITUTE(SUBSTITUTE(SUBSTITUTE(SUBSTITUTE(SUBSTITUTE(SUBSTITUTE($AA1440," ",""),"　",""),"(주)",""),"（주）",""),"㈜",""),"주식회사",""),"(유)",""),"（유）",""),"유한회사",""))</f>
        <v/>
      </c>
      <c r="AC1440" s="31">
        <f>IF(OR($Y1440="",N($Z1440)&lt;=0,$AB1440=""),0,IFERROR(LOOKUP(2,1/((거래처별!$AC$8:$AC$307&lt;&gt;"")*ISNUMBER(SEARCH(거래처별!$AC$8:$AC$307,$AB1440))),거래처별!$A$8:$A$307),IFERROR(LOOKUP(2,1/((거래처별!$AD$8:$AD$307&lt;&gt;"")*ISNUMBER(SEARCH(거래처별!$AD$8:$AD$307,$AB1440))),거래처별!$A$8:$A$307),IFERROR(LOOKUP(2,1/((거래처별!$AE$8:$AE$307&lt;&gt;"")*ISNUMBER(SEARCH(거래처별!$AE$8:$AE$307,$AB1440))),거래처별!$A$8:$A$307),0))))</f>
        <v/>
      </c>
      <c r="AD1440" s="31">
        <f>IF(AND($Y1440&lt;&gt;"",N($Z1440)&gt;0,$AC1440=0),MAX($AD$7:$AD1439)+1,"")</f>
        <v/>
      </c>
      <c r="AE1440" s="31">
        <f>IF($Y1440="",0,$Y1440)</f>
        <v/>
      </c>
    </row>
    <row r="1441">
      <c r="W1441" s="31">
        <f>IF(OR($B$5="",$C$6="",ROW()&lt;$B$5),"",IF(INDEX($A:$U,ROW(),$C$6)="","",INDEX($A:$U,ROW(),$C$6)))</f>
        <v/>
      </c>
      <c r="X1441" s="32">
        <f>IF($W1441="","",IF(ISNUMBER($W1441),IF($W1441&gt;=10000000,IFERROR(DATE(INT($W1441/10000),MOD(INT($W1441/100),100),MOD($W1441,100)),""),INT($W1441)),IFERROR(DATE(--LEFT(LEFT(SUBSTITUTE(SUBSTITUTE(SUBSTITUTE(SUBSTITUTE(TRIM($W1441),"-",""),".",""),"/","")," ",""),8),4),--MID(LEFT(SUBSTITUTE(SUBSTITUTE(SUBSTITUTE(SUBSTITUTE(TRIM($W1441),"-",""),".",""),"/","")," ",""),8),5,2),--MID(LEFT(SUBSTITUTE(SUBSTITUTE(SUBSTITUTE(SUBSTITUTE(TRIM($W1441),"-",""),".",""),"/","")," ",""),8),7,2)),"")))</f>
        <v/>
      </c>
      <c r="Y1441" s="32">
        <f>IF($X1441="","",INT($X1441))</f>
        <v/>
      </c>
      <c r="Z1441" s="33">
        <f>IF(OR($Y1441="",$D$6=""),"",IF(INDEX($A:$U,ROW(),$D$6)="",0,IF(ISNUMBER(INDEX($A:$U,ROW(),$D$6)),INDEX($A:$U,ROW(),$D$6),IFERROR(--SUBSTITUTE(SUBSTITUTE(TRIM(INDEX($A:$U,ROW(),$D$6)),",",""),"원",""),0))))</f>
        <v/>
      </c>
      <c r="AA1441" s="31">
        <f>IF($Y1441="","",TRIM(INDEX($A:$U,ROW(),$E$6)&amp;IF($F$6="",""," "&amp;INDEX($A:$U,ROW(),$F$6))))</f>
        <v/>
      </c>
      <c r="AB1441" s="31">
        <f>IF($AA1441="","",SUBSTITUTE(SUBSTITUTE(SUBSTITUTE(SUBSTITUTE(SUBSTITUTE(SUBSTITUTE(SUBSTITUTE(SUBSTITUTE(SUBSTITUTE($AA1441," ",""),"　",""),"(주)",""),"（주）",""),"㈜",""),"주식회사",""),"(유)",""),"（유）",""),"유한회사",""))</f>
        <v/>
      </c>
      <c r="AC1441" s="31">
        <f>IF(OR($Y1441="",N($Z1441)&lt;=0,$AB1441=""),0,IFERROR(LOOKUP(2,1/((거래처별!$AC$8:$AC$307&lt;&gt;"")*ISNUMBER(SEARCH(거래처별!$AC$8:$AC$307,$AB1441))),거래처별!$A$8:$A$307),IFERROR(LOOKUP(2,1/((거래처별!$AD$8:$AD$307&lt;&gt;"")*ISNUMBER(SEARCH(거래처별!$AD$8:$AD$307,$AB1441))),거래처별!$A$8:$A$307),IFERROR(LOOKUP(2,1/((거래처별!$AE$8:$AE$307&lt;&gt;"")*ISNUMBER(SEARCH(거래처별!$AE$8:$AE$307,$AB1441))),거래처별!$A$8:$A$307),0))))</f>
        <v/>
      </c>
      <c r="AD1441" s="31">
        <f>IF(AND($Y1441&lt;&gt;"",N($Z1441)&gt;0,$AC1441=0),MAX($AD$7:$AD1440)+1,"")</f>
        <v/>
      </c>
      <c r="AE1441" s="31">
        <f>IF($Y1441="",0,$Y1441)</f>
        <v/>
      </c>
    </row>
    <row r="1442">
      <c r="W1442" s="31">
        <f>IF(OR($B$5="",$C$6="",ROW()&lt;$B$5),"",IF(INDEX($A:$U,ROW(),$C$6)="","",INDEX($A:$U,ROW(),$C$6)))</f>
        <v/>
      </c>
      <c r="X1442" s="32">
        <f>IF($W1442="","",IF(ISNUMBER($W1442),IF($W1442&gt;=10000000,IFERROR(DATE(INT($W1442/10000),MOD(INT($W1442/100),100),MOD($W1442,100)),""),INT($W1442)),IFERROR(DATE(--LEFT(LEFT(SUBSTITUTE(SUBSTITUTE(SUBSTITUTE(SUBSTITUTE(TRIM($W1442),"-",""),".",""),"/","")," ",""),8),4),--MID(LEFT(SUBSTITUTE(SUBSTITUTE(SUBSTITUTE(SUBSTITUTE(TRIM($W1442),"-",""),".",""),"/","")," ",""),8),5,2),--MID(LEFT(SUBSTITUTE(SUBSTITUTE(SUBSTITUTE(SUBSTITUTE(TRIM($W1442),"-",""),".",""),"/","")," ",""),8),7,2)),"")))</f>
        <v/>
      </c>
      <c r="Y1442" s="32">
        <f>IF($X1442="","",INT($X1442))</f>
        <v/>
      </c>
      <c r="Z1442" s="33">
        <f>IF(OR($Y1442="",$D$6=""),"",IF(INDEX($A:$U,ROW(),$D$6)="",0,IF(ISNUMBER(INDEX($A:$U,ROW(),$D$6)),INDEX($A:$U,ROW(),$D$6),IFERROR(--SUBSTITUTE(SUBSTITUTE(TRIM(INDEX($A:$U,ROW(),$D$6)),",",""),"원",""),0))))</f>
        <v/>
      </c>
      <c r="AA1442" s="31">
        <f>IF($Y1442="","",TRIM(INDEX($A:$U,ROW(),$E$6)&amp;IF($F$6="",""," "&amp;INDEX($A:$U,ROW(),$F$6))))</f>
        <v/>
      </c>
      <c r="AB1442" s="31">
        <f>IF($AA1442="","",SUBSTITUTE(SUBSTITUTE(SUBSTITUTE(SUBSTITUTE(SUBSTITUTE(SUBSTITUTE(SUBSTITUTE(SUBSTITUTE(SUBSTITUTE($AA1442," ",""),"　",""),"(주)",""),"（주）",""),"㈜",""),"주식회사",""),"(유)",""),"（유）",""),"유한회사",""))</f>
        <v/>
      </c>
      <c r="AC1442" s="31">
        <f>IF(OR($Y1442="",N($Z1442)&lt;=0,$AB1442=""),0,IFERROR(LOOKUP(2,1/((거래처별!$AC$8:$AC$307&lt;&gt;"")*ISNUMBER(SEARCH(거래처별!$AC$8:$AC$307,$AB1442))),거래처별!$A$8:$A$307),IFERROR(LOOKUP(2,1/((거래처별!$AD$8:$AD$307&lt;&gt;"")*ISNUMBER(SEARCH(거래처별!$AD$8:$AD$307,$AB1442))),거래처별!$A$8:$A$307),IFERROR(LOOKUP(2,1/((거래처별!$AE$8:$AE$307&lt;&gt;"")*ISNUMBER(SEARCH(거래처별!$AE$8:$AE$307,$AB1442))),거래처별!$A$8:$A$307),0))))</f>
        <v/>
      </c>
      <c r="AD1442" s="31">
        <f>IF(AND($Y1442&lt;&gt;"",N($Z1442)&gt;0,$AC1442=0),MAX($AD$7:$AD1441)+1,"")</f>
        <v/>
      </c>
      <c r="AE1442" s="31">
        <f>IF($Y1442="",0,$Y1442)</f>
        <v/>
      </c>
    </row>
    <row r="1443">
      <c r="W1443" s="31">
        <f>IF(OR($B$5="",$C$6="",ROW()&lt;$B$5),"",IF(INDEX($A:$U,ROW(),$C$6)="","",INDEX($A:$U,ROW(),$C$6)))</f>
        <v/>
      </c>
      <c r="X1443" s="32">
        <f>IF($W1443="","",IF(ISNUMBER($W1443),IF($W1443&gt;=10000000,IFERROR(DATE(INT($W1443/10000),MOD(INT($W1443/100),100),MOD($W1443,100)),""),INT($W1443)),IFERROR(DATE(--LEFT(LEFT(SUBSTITUTE(SUBSTITUTE(SUBSTITUTE(SUBSTITUTE(TRIM($W1443),"-",""),".",""),"/","")," ",""),8),4),--MID(LEFT(SUBSTITUTE(SUBSTITUTE(SUBSTITUTE(SUBSTITUTE(TRIM($W1443),"-",""),".",""),"/","")," ",""),8),5,2),--MID(LEFT(SUBSTITUTE(SUBSTITUTE(SUBSTITUTE(SUBSTITUTE(TRIM($W1443),"-",""),".",""),"/","")," ",""),8),7,2)),"")))</f>
        <v/>
      </c>
      <c r="Y1443" s="32">
        <f>IF($X1443="","",INT($X1443))</f>
        <v/>
      </c>
      <c r="Z1443" s="33">
        <f>IF(OR($Y1443="",$D$6=""),"",IF(INDEX($A:$U,ROW(),$D$6)="",0,IF(ISNUMBER(INDEX($A:$U,ROW(),$D$6)),INDEX($A:$U,ROW(),$D$6),IFERROR(--SUBSTITUTE(SUBSTITUTE(TRIM(INDEX($A:$U,ROW(),$D$6)),",",""),"원",""),0))))</f>
        <v/>
      </c>
      <c r="AA1443" s="31">
        <f>IF($Y1443="","",TRIM(INDEX($A:$U,ROW(),$E$6)&amp;IF($F$6="",""," "&amp;INDEX($A:$U,ROW(),$F$6))))</f>
        <v/>
      </c>
      <c r="AB1443" s="31">
        <f>IF($AA1443="","",SUBSTITUTE(SUBSTITUTE(SUBSTITUTE(SUBSTITUTE(SUBSTITUTE(SUBSTITUTE(SUBSTITUTE(SUBSTITUTE(SUBSTITUTE($AA1443," ",""),"　",""),"(주)",""),"（주）",""),"㈜",""),"주식회사",""),"(유)",""),"（유）",""),"유한회사",""))</f>
        <v/>
      </c>
      <c r="AC1443" s="31">
        <f>IF(OR($Y1443="",N($Z1443)&lt;=0,$AB1443=""),0,IFERROR(LOOKUP(2,1/((거래처별!$AC$8:$AC$307&lt;&gt;"")*ISNUMBER(SEARCH(거래처별!$AC$8:$AC$307,$AB1443))),거래처별!$A$8:$A$307),IFERROR(LOOKUP(2,1/((거래처별!$AD$8:$AD$307&lt;&gt;"")*ISNUMBER(SEARCH(거래처별!$AD$8:$AD$307,$AB1443))),거래처별!$A$8:$A$307),IFERROR(LOOKUP(2,1/((거래처별!$AE$8:$AE$307&lt;&gt;"")*ISNUMBER(SEARCH(거래처별!$AE$8:$AE$307,$AB1443))),거래처별!$A$8:$A$307),0))))</f>
        <v/>
      </c>
      <c r="AD1443" s="31">
        <f>IF(AND($Y1443&lt;&gt;"",N($Z1443)&gt;0,$AC1443=0),MAX($AD$7:$AD1442)+1,"")</f>
        <v/>
      </c>
      <c r="AE1443" s="31">
        <f>IF($Y1443="",0,$Y1443)</f>
        <v/>
      </c>
    </row>
    <row r="1444">
      <c r="W1444" s="31">
        <f>IF(OR($B$5="",$C$6="",ROW()&lt;$B$5),"",IF(INDEX($A:$U,ROW(),$C$6)="","",INDEX($A:$U,ROW(),$C$6)))</f>
        <v/>
      </c>
      <c r="X1444" s="32">
        <f>IF($W1444="","",IF(ISNUMBER($W1444),IF($W1444&gt;=10000000,IFERROR(DATE(INT($W1444/10000),MOD(INT($W1444/100),100),MOD($W1444,100)),""),INT($W1444)),IFERROR(DATE(--LEFT(LEFT(SUBSTITUTE(SUBSTITUTE(SUBSTITUTE(SUBSTITUTE(TRIM($W1444),"-",""),".",""),"/","")," ",""),8),4),--MID(LEFT(SUBSTITUTE(SUBSTITUTE(SUBSTITUTE(SUBSTITUTE(TRIM($W1444),"-",""),".",""),"/","")," ",""),8),5,2),--MID(LEFT(SUBSTITUTE(SUBSTITUTE(SUBSTITUTE(SUBSTITUTE(TRIM($W1444),"-",""),".",""),"/","")," ",""),8),7,2)),"")))</f>
        <v/>
      </c>
      <c r="Y1444" s="32">
        <f>IF($X1444="","",INT($X1444))</f>
        <v/>
      </c>
      <c r="Z1444" s="33">
        <f>IF(OR($Y1444="",$D$6=""),"",IF(INDEX($A:$U,ROW(),$D$6)="",0,IF(ISNUMBER(INDEX($A:$U,ROW(),$D$6)),INDEX($A:$U,ROW(),$D$6),IFERROR(--SUBSTITUTE(SUBSTITUTE(TRIM(INDEX($A:$U,ROW(),$D$6)),",",""),"원",""),0))))</f>
        <v/>
      </c>
      <c r="AA1444" s="31">
        <f>IF($Y1444="","",TRIM(INDEX($A:$U,ROW(),$E$6)&amp;IF($F$6="",""," "&amp;INDEX($A:$U,ROW(),$F$6))))</f>
        <v/>
      </c>
      <c r="AB1444" s="31">
        <f>IF($AA1444="","",SUBSTITUTE(SUBSTITUTE(SUBSTITUTE(SUBSTITUTE(SUBSTITUTE(SUBSTITUTE(SUBSTITUTE(SUBSTITUTE(SUBSTITUTE($AA1444," ",""),"　",""),"(주)",""),"（주）",""),"㈜",""),"주식회사",""),"(유)",""),"（유）",""),"유한회사",""))</f>
        <v/>
      </c>
      <c r="AC1444" s="31">
        <f>IF(OR($Y1444="",N($Z1444)&lt;=0,$AB1444=""),0,IFERROR(LOOKUP(2,1/((거래처별!$AC$8:$AC$307&lt;&gt;"")*ISNUMBER(SEARCH(거래처별!$AC$8:$AC$307,$AB1444))),거래처별!$A$8:$A$307),IFERROR(LOOKUP(2,1/((거래처별!$AD$8:$AD$307&lt;&gt;"")*ISNUMBER(SEARCH(거래처별!$AD$8:$AD$307,$AB1444))),거래처별!$A$8:$A$307),IFERROR(LOOKUP(2,1/((거래처별!$AE$8:$AE$307&lt;&gt;"")*ISNUMBER(SEARCH(거래처별!$AE$8:$AE$307,$AB1444))),거래처별!$A$8:$A$307),0))))</f>
        <v/>
      </c>
      <c r="AD1444" s="31">
        <f>IF(AND($Y1444&lt;&gt;"",N($Z1444)&gt;0,$AC1444=0),MAX($AD$7:$AD1443)+1,"")</f>
        <v/>
      </c>
      <c r="AE1444" s="31">
        <f>IF($Y1444="",0,$Y1444)</f>
        <v/>
      </c>
    </row>
    <row r="1445">
      <c r="W1445" s="31">
        <f>IF(OR($B$5="",$C$6="",ROW()&lt;$B$5),"",IF(INDEX($A:$U,ROW(),$C$6)="","",INDEX($A:$U,ROW(),$C$6)))</f>
        <v/>
      </c>
      <c r="X1445" s="32">
        <f>IF($W1445="","",IF(ISNUMBER($W1445),IF($W1445&gt;=10000000,IFERROR(DATE(INT($W1445/10000),MOD(INT($W1445/100),100),MOD($W1445,100)),""),INT($W1445)),IFERROR(DATE(--LEFT(LEFT(SUBSTITUTE(SUBSTITUTE(SUBSTITUTE(SUBSTITUTE(TRIM($W1445),"-",""),".",""),"/","")," ",""),8),4),--MID(LEFT(SUBSTITUTE(SUBSTITUTE(SUBSTITUTE(SUBSTITUTE(TRIM($W1445),"-",""),".",""),"/","")," ",""),8),5,2),--MID(LEFT(SUBSTITUTE(SUBSTITUTE(SUBSTITUTE(SUBSTITUTE(TRIM($W1445),"-",""),".",""),"/","")," ",""),8),7,2)),"")))</f>
        <v/>
      </c>
      <c r="Y1445" s="32">
        <f>IF($X1445="","",INT($X1445))</f>
        <v/>
      </c>
      <c r="Z1445" s="33">
        <f>IF(OR($Y1445="",$D$6=""),"",IF(INDEX($A:$U,ROW(),$D$6)="",0,IF(ISNUMBER(INDEX($A:$U,ROW(),$D$6)),INDEX($A:$U,ROW(),$D$6),IFERROR(--SUBSTITUTE(SUBSTITUTE(TRIM(INDEX($A:$U,ROW(),$D$6)),",",""),"원",""),0))))</f>
        <v/>
      </c>
      <c r="AA1445" s="31">
        <f>IF($Y1445="","",TRIM(INDEX($A:$U,ROW(),$E$6)&amp;IF($F$6="",""," "&amp;INDEX($A:$U,ROW(),$F$6))))</f>
        <v/>
      </c>
      <c r="AB1445" s="31">
        <f>IF($AA1445="","",SUBSTITUTE(SUBSTITUTE(SUBSTITUTE(SUBSTITUTE(SUBSTITUTE(SUBSTITUTE(SUBSTITUTE(SUBSTITUTE(SUBSTITUTE($AA1445," ",""),"　",""),"(주)",""),"（주）",""),"㈜",""),"주식회사",""),"(유)",""),"（유）",""),"유한회사",""))</f>
        <v/>
      </c>
      <c r="AC1445" s="31">
        <f>IF(OR($Y1445="",N($Z1445)&lt;=0,$AB1445=""),0,IFERROR(LOOKUP(2,1/((거래처별!$AC$8:$AC$307&lt;&gt;"")*ISNUMBER(SEARCH(거래처별!$AC$8:$AC$307,$AB1445))),거래처별!$A$8:$A$307),IFERROR(LOOKUP(2,1/((거래처별!$AD$8:$AD$307&lt;&gt;"")*ISNUMBER(SEARCH(거래처별!$AD$8:$AD$307,$AB1445))),거래처별!$A$8:$A$307),IFERROR(LOOKUP(2,1/((거래처별!$AE$8:$AE$307&lt;&gt;"")*ISNUMBER(SEARCH(거래처별!$AE$8:$AE$307,$AB1445))),거래처별!$A$8:$A$307),0))))</f>
        <v/>
      </c>
      <c r="AD1445" s="31">
        <f>IF(AND($Y1445&lt;&gt;"",N($Z1445)&gt;0,$AC1445=0),MAX($AD$7:$AD1444)+1,"")</f>
        <v/>
      </c>
      <c r="AE1445" s="31">
        <f>IF($Y1445="",0,$Y1445)</f>
        <v/>
      </c>
    </row>
    <row r="1446">
      <c r="W1446" s="31">
        <f>IF(OR($B$5="",$C$6="",ROW()&lt;$B$5),"",IF(INDEX($A:$U,ROW(),$C$6)="","",INDEX($A:$U,ROW(),$C$6)))</f>
        <v/>
      </c>
      <c r="X1446" s="32">
        <f>IF($W1446="","",IF(ISNUMBER($W1446),IF($W1446&gt;=10000000,IFERROR(DATE(INT($W1446/10000),MOD(INT($W1446/100),100),MOD($W1446,100)),""),INT($W1446)),IFERROR(DATE(--LEFT(LEFT(SUBSTITUTE(SUBSTITUTE(SUBSTITUTE(SUBSTITUTE(TRIM($W1446),"-",""),".",""),"/","")," ",""),8),4),--MID(LEFT(SUBSTITUTE(SUBSTITUTE(SUBSTITUTE(SUBSTITUTE(TRIM($W1446),"-",""),".",""),"/","")," ",""),8),5,2),--MID(LEFT(SUBSTITUTE(SUBSTITUTE(SUBSTITUTE(SUBSTITUTE(TRIM($W1446),"-",""),".",""),"/","")," ",""),8),7,2)),"")))</f>
        <v/>
      </c>
      <c r="Y1446" s="32">
        <f>IF($X1446="","",INT($X1446))</f>
        <v/>
      </c>
      <c r="Z1446" s="33">
        <f>IF(OR($Y1446="",$D$6=""),"",IF(INDEX($A:$U,ROW(),$D$6)="",0,IF(ISNUMBER(INDEX($A:$U,ROW(),$D$6)),INDEX($A:$U,ROW(),$D$6),IFERROR(--SUBSTITUTE(SUBSTITUTE(TRIM(INDEX($A:$U,ROW(),$D$6)),",",""),"원",""),0))))</f>
        <v/>
      </c>
      <c r="AA1446" s="31">
        <f>IF($Y1446="","",TRIM(INDEX($A:$U,ROW(),$E$6)&amp;IF($F$6="",""," "&amp;INDEX($A:$U,ROW(),$F$6))))</f>
        <v/>
      </c>
      <c r="AB1446" s="31">
        <f>IF($AA1446="","",SUBSTITUTE(SUBSTITUTE(SUBSTITUTE(SUBSTITUTE(SUBSTITUTE(SUBSTITUTE(SUBSTITUTE(SUBSTITUTE(SUBSTITUTE($AA1446," ",""),"　",""),"(주)",""),"（주）",""),"㈜",""),"주식회사",""),"(유)",""),"（유）",""),"유한회사",""))</f>
        <v/>
      </c>
      <c r="AC1446" s="31">
        <f>IF(OR($Y1446="",N($Z1446)&lt;=0,$AB1446=""),0,IFERROR(LOOKUP(2,1/((거래처별!$AC$8:$AC$307&lt;&gt;"")*ISNUMBER(SEARCH(거래처별!$AC$8:$AC$307,$AB1446))),거래처별!$A$8:$A$307),IFERROR(LOOKUP(2,1/((거래처별!$AD$8:$AD$307&lt;&gt;"")*ISNUMBER(SEARCH(거래처별!$AD$8:$AD$307,$AB1446))),거래처별!$A$8:$A$307),IFERROR(LOOKUP(2,1/((거래처별!$AE$8:$AE$307&lt;&gt;"")*ISNUMBER(SEARCH(거래처별!$AE$8:$AE$307,$AB1446))),거래처별!$A$8:$A$307),0))))</f>
        <v/>
      </c>
      <c r="AD1446" s="31">
        <f>IF(AND($Y1446&lt;&gt;"",N($Z1446)&gt;0,$AC1446=0),MAX($AD$7:$AD1445)+1,"")</f>
        <v/>
      </c>
      <c r="AE1446" s="31">
        <f>IF($Y1446="",0,$Y1446)</f>
        <v/>
      </c>
    </row>
    <row r="1447">
      <c r="W1447" s="31">
        <f>IF(OR($B$5="",$C$6="",ROW()&lt;$B$5),"",IF(INDEX($A:$U,ROW(),$C$6)="","",INDEX($A:$U,ROW(),$C$6)))</f>
        <v/>
      </c>
      <c r="X1447" s="32">
        <f>IF($W1447="","",IF(ISNUMBER($W1447),IF($W1447&gt;=10000000,IFERROR(DATE(INT($W1447/10000),MOD(INT($W1447/100),100),MOD($W1447,100)),""),INT($W1447)),IFERROR(DATE(--LEFT(LEFT(SUBSTITUTE(SUBSTITUTE(SUBSTITUTE(SUBSTITUTE(TRIM($W1447),"-",""),".",""),"/","")," ",""),8),4),--MID(LEFT(SUBSTITUTE(SUBSTITUTE(SUBSTITUTE(SUBSTITUTE(TRIM($W1447),"-",""),".",""),"/","")," ",""),8),5,2),--MID(LEFT(SUBSTITUTE(SUBSTITUTE(SUBSTITUTE(SUBSTITUTE(TRIM($W1447),"-",""),".",""),"/","")," ",""),8),7,2)),"")))</f>
        <v/>
      </c>
      <c r="Y1447" s="32">
        <f>IF($X1447="","",INT($X1447))</f>
        <v/>
      </c>
      <c r="Z1447" s="33">
        <f>IF(OR($Y1447="",$D$6=""),"",IF(INDEX($A:$U,ROW(),$D$6)="",0,IF(ISNUMBER(INDEX($A:$U,ROW(),$D$6)),INDEX($A:$U,ROW(),$D$6),IFERROR(--SUBSTITUTE(SUBSTITUTE(TRIM(INDEX($A:$U,ROW(),$D$6)),",",""),"원",""),0))))</f>
        <v/>
      </c>
      <c r="AA1447" s="31">
        <f>IF($Y1447="","",TRIM(INDEX($A:$U,ROW(),$E$6)&amp;IF($F$6="",""," "&amp;INDEX($A:$U,ROW(),$F$6))))</f>
        <v/>
      </c>
      <c r="AB1447" s="31">
        <f>IF($AA1447="","",SUBSTITUTE(SUBSTITUTE(SUBSTITUTE(SUBSTITUTE(SUBSTITUTE(SUBSTITUTE(SUBSTITUTE(SUBSTITUTE(SUBSTITUTE($AA1447," ",""),"　",""),"(주)",""),"（주）",""),"㈜",""),"주식회사",""),"(유)",""),"（유）",""),"유한회사",""))</f>
        <v/>
      </c>
      <c r="AC1447" s="31">
        <f>IF(OR($Y1447="",N($Z1447)&lt;=0,$AB1447=""),0,IFERROR(LOOKUP(2,1/((거래처별!$AC$8:$AC$307&lt;&gt;"")*ISNUMBER(SEARCH(거래처별!$AC$8:$AC$307,$AB1447))),거래처별!$A$8:$A$307),IFERROR(LOOKUP(2,1/((거래처별!$AD$8:$AD$307&lt;&gt;"")*ISNUMBER(SEARCH(거래처별!$AD$8:$AD$307,$AB1447))),거래처별!$A$8:$A$307),IFERROR(LOOKUP(2,1/((거래처별!$AE$8:$AE$307&lt;&gt;"")*ISNUMBER(SEARCH(거래처별!$AE$8:$AE$307,$AB1447))),거래처별!$A$8:$A$307),0))))</f>
        <v/>
      </c>
      <c r="AD1447" s="31">
        <f>IF(AND($Y1447&lt;&gt;"",N($Z1447)&gt;0,$AC1447=0),MAX($AD$7:$AD1446)+1,"")</f>
        <v/>
      </c>
      <c r="AE1447" s="31">
        <f>IF($Y1447="",0,$Y1447)</f>
        <v/>
      </c>
    </row>
    <row r="1448">
      <c r="W1448" s="31">
        <f>IF(OR($B$5="",$C$6="",ROW()&lt;$B$5),"",IF(INDEX($A:$U,ROW(),$C$6)="","",INDEX($A:$U,ROW(),$C$6)))</f>
        <v/>
      </c>
      <c r="X1448" s="32">
        <f>IF($W1448="","",IF(ISNUMBER($W1448),IF($W1448&gt;=10000000,IFERROR(DATE(INT($W1448/10000),MOD(INT($W1448/100),100),MOD($W1448,100)),""),INT($W1448)),IFERROR(DATE(--LEFT(LEFT(SUBSTITUTE(SUBSTITUTE(SUBSTITUTE(SUBSTITUTE(TRIM($W1448),"-",""),".",""),"/","")," ",""),8),4),--MID(LEFT(SUBSTITUTE(SUBSTITUTE(SUBSTITUTE(SUBSTITUTE(TRIM($W1448),"-",""),".",""),"/","")," ",""),8),5,2),--MID(LEFT(SUBSTITUTE(SUBSTITUTE(SUBSTITUTE(SUBSTITUTE(TRIM($W1448),"-",""),".",""),"/","")," ",""),8),7,2)),"")))</f>
        <v/>
      </c>
      <c r="Y1448" s="32">
        <f>IF($X1448="","",INT($X1448))</f>
        <v/>
      </c>
      <c r="Z1448" s="33">
        <f>IF(OR($Y1448="",$D$6=""),"",IF(INDEX($A:$U,ROW(),$D$6)="",0,IF(ISNUMBER(INDEX($A:$U,ROW(),$D$6)),INDEX($A:$U,ROW(),$D$6),IFERROR(--SUBSTITUTE(SUBSTITUTE(TRIM(INDEX($A:$U,ROW(),$D$6)),",",""),"원",""),0))))</f>
        <v/>
      </c>
      <c r="AA1448" s="31">
        <f>IF($Y1448="","",TRIM(INDEX($A:$U,ROW(),$E$6)&amp;IF($F$6="",""," "&amp;INDEX($A:$U,ROW(),$F$6))))</f>
        <v/>
      </c>
      <c r="AB1448" s="31">
        <f>IF($AA1448="","",SUBSTITUTE(SUBSTITUTE(SUBSTITUTE(SUBSTITUTE(SUBSTITUTE(SUBSTITUTE(SUBSTITUTE(SUBSTITUTE(SUBSTITUTE($AA1448," ",""),"　",""),"(주)",""),"（주）",""),"㈜",""),"주식회사",""),"(유)",""),"（유）",""),"유한회사",""))</f>
        <v/>
      </c>
      <c r="AC1448" s="31">
        <f>IF(OR($Y1448="",N($Z1448)&lt;=0,$AB1448=""),0,IFERROR(LOOKUP(2,1/((거래처별!$AC$8:$AC$307&lt;&gt;"")*ISNUMBER(SEARCH(거래처별!$AC$8:$AC$307,$AB1448))),거래처별!$A$8:$A$307),IFERROR(LOOKUP(2,1/((거래처별!$AD$8:$AD$307&lt;&gt;"")*ISNUMBER(SEARCH(거래처별!$AD$8:$AD$307,$AB1448))),거래처별!$A$8:$A$307),IFERROR(LOOKUP(2,1/((거래처별!$AE$8:$AE$307&lt;&gt;"")*ISNUMBER(SEARCH(거래처별!$AE$8:$AE$307,$AB1448))),거래처별!$A$8:$A$307),0))))</f>
        <v/>
      </c>
      <c r="AD1448" s="31">
        <f>IF(AND($Y1448&lt;&gt;"",N($Z1448)&gt;0,$AC1448=0),MAX($AD$7:$AD1447)+1,"")</f>
        <v/>
      </c>
      <c r="AE1448" s="31">
        <f>IF($Y1448="",0,$Y1448)</f>
        <v/>
      </c>
    </row>
    <row r="1449">
      <c r="W1449" s="31">
        <f>IF(OR($B$5="",$C$6="",ROW()&lt;$B$5),"",IF(INDEX($A:$U,ROW(),$C$6)="","",INDEX($A:$U,ROW(),$C$6)))</f>
        <v/>
      </c>
      <c r="X1449" s="32">
        <f>IF($W1449="","",IF(ISNUMBER($W1449),IF($W1449&gt;=10000000,IFERROR(DATE(INT($W1449/10000),MOD(INT($W1449/100),100),MOD($W1449,100)),""),INT($W1449)),IFERROR(DATE(--LEFT(LEFT(SUBSTITUTE(SUBSTITUTE(SUBSTITUTE(SUBSTITUTE(TRIM($W1449),"-",""),".",""),"/","")," ",""),8),4),--MID(LEFT(SUBSTITUTE(SUBSTITUTE(SUBSTITUTE(SUBSTITUTE(TRIM($W1449),"-",""),".",""),"/","")," ",""),8),5,2),--MID(LEFT(SUBSTITUTE(SUBSTITUTE(SUBSTITUTE(SUBSTITUTE(TRIM($W1449),"-",""),".",""),"/","")," ",""),8),7,2)),"")))</f>
        <v/>
      </c>
      <c r="Y1449" s="32">
        <f>IF($X1449="","",INT($X1449))</f>
        <v/>
      </c>
      <c r="Z1449" s="33">
        <f>IF(OR($Y1449="",$D$6=""),"",IF(INDEX($A:$U,ROW(),$D$6)="",0,IF(ISNUMBER(INDEX($A:$U,ROW(),$D$6)),INDEX($A:$U,ROW(),$D$6),IFERROR(--SUBSTITUTE(SUBSTITUTE(TRIM(INDEX($A:$U,ROW(),$D$6)),",",""),"원",""),0))))</f>
        <v/>
      </c>
      <c r="AA1449" s="31">
        <f>IF($Y1449="","",TRIM(INDEX($A:$U,ROW(),$E$6)&amp;IF($F$6="",""," "&amp;INDEX($A:$U,ROW(),$F$6))))</f>
        <v/>
      </c>
      <c r="AB1449" s="31">
        <f>IF($AA1449="","",SUBSTITUTE(SUBSTITUTE(SUBSTITUTE(SUBSTITUTE(SUBSTITUTE(SUBSTITUTE(SUBSTITUTE(SUBSTITUTE(SUBSTITUTE($AA1449," ",""),"　",""),"(주)",""),"（주）",""),"㈜",""),"주식회사",""),"(유)",""),"（유）",""),"유한회사",""))</f>
        <v/>
      </c>
      <c r="AC1449" s="31">
        <f>IF(OR($Y1449="",N($Z1449)&lt;=0,$AB1449=""),0,IFERROR(LOOKUP(2,1/((거래처별!$AC$8:$AC$307&lt;&gt;"")*ISNUMBER(SEARCH(거래처별!$AC$8:$AC$307,$AB1449))),거래처별!$A$8:$A$307),IFERROR(LOOKUP(2,1/((거래처별!$AD$8:$AD$307&lt;&gt;"")*ISNUMBER(SEARCH(거래처별!$AD$8:$AD$307,$AB1449))),거래처별!$A$8:$A$307),IFERROR(LOOKUP(2,1/((거래처별!$AE$8:$AE$307&lt;&gt;"")*ISNUMBER(SEARCH(거래처별!$AE$8:$AE$307,$AB1449))),거래처별!$A$8:$A$307),0))))</f>
        <v/>
      </c>
      <c r="AD1449" s="31">
        <f>IF(AND($Y1449&lt;&gt;"",N($Z1449)&gt;0,$AC1449=0),MAX($AD$7:$AD1448)+1,"")</f>
        <v/>
      </c>
      <c r="AE1449" s="31">
        <f>IF($Y1449="",0,$Y1449)</f>
        <v/>
      </c>
    </row>
    <row r="1450">
      <c r="W1450" s="31">
        <f>IF(OR($B$5="",$C$6="",ROW()&lt;$B$5),"",IF(INDEX($A:$U,ROW(),$C$6)="","",INDEX($A:$U,ROW(),$C$6)))</f>
        <v/>
      </c>
      <c r="X1450" s="32">
        <f>IF($W1450="","",IF(ISNUMBER($W1450),IF($W1450&gt;=10000000,IFERROR(DATE(INT($W1450/10000),MOD(INT($W1450/100),100),MOD($W1450,100)),""),INT($W1450)),IFERROR(DATE(--LEFT(LEFT(SUBSTITUTE(SUBSTITUTE(SUBSTITUTE(SUBSTITUTE(TRIM($W1450),"-",""),".",""),"/","")," ",""),8),4),--MID(LEFT(SUBSTITUTE(SUBSTITUTE(SUBSTITUTE(SUBSTITUTE(TRIM($W1450),"-",""),".",""),"/","")," ",""),8),5,2),--MID(LEFT(SUBSTITUTE(SUBSTITUTE(SUBSTITUTE(SUBSTITUTE(TRIM($W1450),"-",""),".",""),"/","")," ",""),8),7,2)),"")))</f>
        <v/>
      </c>
      <c r="Y1450" s="32">
        <f>IF($X1450="","",INT($X1450))</f>
        <v/>
      </c>
      <c r="Z1450" s="33">
        <f>IF(OR($Y1450="",$D$6=""),"",IF(INDEX($A:$U,ROW(),$D$6)="",0,IF(ISNUMBER(INDEX($A:$U,ROW(),$D$6)),INDEX($A:$U,ROW(),$D$6),IFERROR(--SUBSTITUTE(SUBSTITUTE(TRIM(INDEX($A:$U,ROW(),$D$6)),",",""),"원",""),0))))</f>
        <v/>
      </c>
      <c r="AA1450" s="31">
        <f>IF($Y1450="","",TRIM(INDEX($A:$U,ROW(),$E$6)&amp;IF($F$6="",""," "&amp;INDEX($A:$U,ROW(),$F$6))))</f>
        <v/>
      </c>
      <c r="AB1450" s="31">
        <f>IF($AA1450="","",SUBSTITUTE(SUBSTITUTE(SUBSTITUTE(SUBSTITUTE(SUBSTITUTE(SUBSTITUTE(SUBSTITUTE(SUBSTITUTE(SUBSTITUTE($AA1450," ",""),"　",""),"(주)",""),"（주）",""),"㈜",""),"주식회사",""),"(유)",""),"（유）",""),"유한회사",""))</f>
        <v/>
      </c>
      <c r="AC1450" s="31">
        <f>IF(OR($Y1450="",N($Z1450)&lt;=0,$AB1450=""),0,IFERROR(LOOKUP(2,1/((거래처별!$AC$8:$AC$307&lt;&gt;"")*ISNUMBER(SEARCH(거래처별!$AC$8:$AC$307,$AB1450))),거래처별!$A$8:$A$307),IFERROR(LOOKUP(2,1/((거래처별!$AD$8:$AD$307&lt;&gt;"")*ISNUMBER(SEARCH(거래처별!$AD$8:$AD$307,$AB1450))),거래처별!$A$8:$A$307),IFERROR(LOOKUP(2,1/((거래처별!$AE$8:$AE$307&lt;&gt;"")*ISNUMBER(SEARCH(거래처별!$AE$8:$AE$307,$AB1450))),거래처별!$A$8:$A$307),0))))</f>
        <v/>
      </c>
      <c r="AD1450" s="31">
        <f>IF(AND($Y1450&lt;&gt;"",N($Z1450)&gt;0,$AC1450=0),MAX($AD$7:$AD1449)+1,"")</f>
        <v/>
      </c>
      <c r="AE1450" s="31">
        <f>IF($Y1450="",0,$Y1450)</f>
        <v/>
      </c>
    </row>
    <row r="1451">
      <c r="W1451" s="31">
        <f>IF(OR($B$5="",$C$6="",ROW()&lt;$B$5),"",IF(INDEX($A:$U,ROW(),$C$6)="","",INDEX($A:$U,ROW(),$C$6)))</f>
        <v/>
      </c>
      <c r="X1451" s="32">
        <f>IF($W1451="","",IF(ISNUMBER($W1451),IF($W1451&gt;=10000000,IFERROR(DATE(INT($W1451/10000),MOD(INT($W1451/100),100),MOD($W1451,100)),""),INT($W1451)),IFERROR(DATE(--LEFT(LEFT(SUBSTITUTE(SUBSTITUTE(SUBSTITUTE(SUBSTITUTE(TRIM($W1451),"-",""),".",""),"/","")," ",""),8),4),--MID(LEFT(SUBSTITUTE(SUBSTITUTE(SUBSTITUTE(SUBSTITUTE(TRIM($W1451),"-",""),".",""),"/","")," ",""),8),5,2),--MID(LEFT(SUBSTITUTE(SUBSTITUTE(SUBSTITUTE(SUBSTITUTE(TRIM($W1451),"-",""),".",""),"/","")," ",""),8),7,2)),"")))</f>
        <v/>
      </c>
      <c r="Y1451" s="32">
        <f>IF($X1451="","",INT($X1451))</f>
        <v/>
      </c>
      <c r="Z1451" s="33">
        <f>IF(OR($Y1451="",$D$6=""),"",IF(INDEX($A:$U,ROW(),$D$6)="",0,IF(ISNUMBER(INDEX($A:$U,ROW(),$D$6)),INDEX($A:$U,ROW(),$D$6),IFERROR(--SUBSTITUTE(SUBSTITUTE(TRIM(INDEX($A:$U,ROW(),$D$6)),",",""),"원",""),0))))</f>
        <v/>
      </c>
      <c r="AA1451" s="31">
        <f>IF($Y1451="","",TRIM(INDEX($A:$U,ROW(),$E$6)&amp;IF($F$6="",""," "&amp;INDEX($A:$U,ROW(),$F$6))))</f>
        <v/>
      </c>
      <c r="AB1451" s="31">
        <f>IF($AA1451="","",SUBSTITUTE(SUBSTITUTE(SUBSTITUTE(SUBSTITUTE(SUBSTITUTE(SUBSTITUTE(SUBSTITUTE(SUBSTITUTE(SUBSTITUTE($AA1451," ",""),"　",""),"(주)",""),"（주）",""),"㈜",""),"주식회사",""),"(유)",""),"（유）",""),"유한회사",""))</f>
        <v/>
      </c>
      <c r="AC1451" s="31">
        <f>IF(OR($Y1451="",N($Z1451)&lt;=0,$AB1451=""),0,IFERROR(LOOKUP(2,1/((거래처별!$AC$8:$AC$307&lt;&gt;"")*ISNUMBER(SEARCH(거래처별!$AC$8:$AC$307,$AB1451))),거래처별!$A$8:$A$307),IFERROR(LOOKUP(2,1/((거래처별!$AD$8:$AD$307&lt;&gt;"")*ISNUMBER(SEARCH(거래처별!$AD$8:$AD$307,$AB1451))),거래처별!$A$8:$A$307),IFERROR(LOOKUP(2,1/((거래처별!$AE$8:$AE$307&lt;&gt;"")*ISNUMBER(SEARCH(거래처별!$AE$8:$AE$307,$AB1451))),거래처별!$A$8:$A$307),0))))</f>
        <v/>
      </c>
      <c r="AD1451" s="31">
        <f>IF(AND($Y1451&lt;&gt;"",N($Z1451)&gt;0,$AC1451=0),MAX($AD$7:$AD1450)+1,"")</f>
        <v/>
      </c>
      <c r="AE1451" s="31">
        <f>IF($Y1451="",0,$Y1451)</f>
        <v/>
      </c>
    </row>
    <row r="1452">
      <c r="W1452" s="31">
        <f>IF(OR($B$5="",$C$6="",ROW()&lt;$B$5),"",IF(INDEX($A:$U,ROW(),$C$6)="","",INDEX($A:$U,ROW(),$C$6)))</f>
        <v/>
      </c>
      <c r="X1452" s="32">
        <f>IF($W1452="","",IF(ISNUMBER($W1452),IF($W1452&gt;=10000000,IFERROR(DATE(INT($W1452/10000),MOD(INT($W1452/100),100),MOD($W1452,100)),""),INT($W1452)),IFERROR(DATE(--LEFT(LEFT(SUBSTITUTE(SUBSTITUTE(SUBSTITUTE(SUBSTITUTE(TRIM($W1452),"-",""),".",""),"/","")," ",""),8),4),--MID(LEFT(SUBSTITUTE(SUBSTITUTE(SUBSTITUTE(SUBSTITUTE(TRIM($W1452),"-",""),".",""),"/","")," ",""),8),5,2),--MID(LEFT(SUBSTITUTE(SUBSTITUTE(SUBSTITUTE(SUBSTITUTE(TRIM($W1452),"-",""),".",""),"/","")," ",""),8),7,2)),"")))</f>
        <v/>
      </c>
      <c r="Y1452" s="32">
        <f>IF($X1452="","",INT($X1452))</f>
        <v/>
      </c>
      <c r="Z1452" s="33">
        <f>IF(OR($Y1452="",$D$6=""),"",IF(INDEX($A:$U,ROW(),$D$6)="",0,IF(ISNUMBER(INDEX($A:$U,ROW(),$D$6)),INDEX($A:$U,ROW(),$D$6),IFERROR(--SUBSTITUTE(SUBSTITUTE(TRIM(INDEX($A:$U,ROW(),$D$6)),",",""),"원",""),0))))</f>
        <v/>
      </c>
      <c r="AA1452" s="31">
        <f>IF($Y1452="","",TRIM(INDEX($A:$U,ROW(),$E$6)&amp;IF($F$6="",""," "&amp;INDEX($A:$U,ROW(),$F$6))))</f>
        <v/>
      </c>
      <c r="AB1452" s="31">
        <f>IF($AA1452="","",SUBSTITUTE(SUBSTITUTE(SUBSTITUTE(SUBSTITUTE(SUBSTITUTE(SUBSTITUTE(SUBSTITUTE(SUBSTITUTE(SUBSTITUTE($AA1452," ",""),"　",""),"(주)",""),"（주）",""),"㈜",""),"주식회사",""),"(유)",""),"（유）",""),"유한회사",""))</f>
        <v/>
      </c>
      <c r="AC1452" s="31">
        <f>IF(OR($Y1452="",N($Z1452)&lt;=0,$AB1452=""),0,IFERROR(LOOKUP(2,1/((거래처별!$AC$8:$AC$307&lt;&gt;"")*ISNUMBER(SEARCH(거래처별!$AC$8:$AC$307,$AB1452))),거래처별!$A$8:$A$307),IFERROR(LOOKUP(2,1/((거래처별!$AD$8:$AD$307&lt;&gt;"")*ISNUMBER(SEARCH(거래처별!$AD$8:$AD$307,$AB1452))),거래처별!$A$8:$A$307),IFERROR(LOOKUP(2,1/((거래처별!$AE$8:$AE$307&lt;&gt;"")*ISNUMBER(SEARCH(거래처별!$AE$8:$AE$307,$AB1452))),거래처별!$A$8:$A$307),0))))</f>
        <v/>
      </c>
      <c r="AD1452" s="31">
        <f>IF(AND($Y1452&lt;&gt;"",N($Z1452)&gt;0,$AC1452=0),MAX($AD$7:$AD1451)+1,"")</f>
        <v/>
      </c>
      <c r="AE1452" s="31">
        <f>IF($Y1452="",0,$Y1452)</f>
        <v/>
      </c>
    </row>
    <row r="1453">
      <c r="W1453" s="31">
        <f>IF(OR($B$5="",$C$6="",ROW()&lt;$B$5),"",IF(INDEX($A:$U,ROW(),$C$6)="","",INDEX($A:$U,ROW(),$C$6)))</f>
        <v/>
      </c>
      <c r="X1453" s="32">
        <f>IF($W1453="","",IF(ISNUMBER($W1453),IF($W1453&gt;=10000000,IFERROR(DATE(INT($W1453/10000),MOD(INT($W1453/100),100),MOD($W1453,100)),""),INT($W1453)),IFERROR(DATE(--LEFT(LEFT(SUBSTITUTE(SUBSTITUTE(SUBSTITUTE(SUBSTITUTE(TRIM($W1453),"-",""),".",""),"/","")," ",""),8),4),--MID(LEFT(SUBSTITUTE(SUBSTITUTE(SUBSTITUTE(SUBSTITUTE(TRIM($W1453),"-",""),".",""),"/","")," ",""),8),5,2),--MID(LEFT(SUBSTITUTE(SUBSTITUTE(SUBSTITUTE(SUBSTITUTE(TRIM($W1453),"-",""),".",""),"/","")," ",""),8),7,2)),"")))</f>
        <v/>
      </c>
      <c r="Y1453" s="32">
        <f>IF($X1453="","",INT($X1453))</f>
        <v/>
      </c>
      <c r="Z1453" s="33">
        <f>IF(OR($Y1453="",$D$6=""),"",IF(INDEX($A:$U,ROW(),$D$6)="",0,IF(ISNUMBER(INDEX($A:$U,ROW(),$D$6)),INDEX($A:$U,ROW(),$D$6),IFERROR(--SUBSTITUTE(SUBSTITUTE(TRIM(INDEX($A:$U,ROW(),$D$6)),",",""),"원",""),0))))</f>
        <v/>
      </c>
      <c r="AA1453" s="31">
        <f>IF($Y1453="","",TRIM(INDEX($A:$U,ROW(),$E$6)&amp;IF($F$6="",""," "&amp;INDEX($A:$U,ROW(),$F$6))))</f>
        <v/>
      </c>
      <c r="AB1453" s="31">
        <f>IF($AA1453="","",SUBSTITUTE(SUBSTITUTE(SUBSTITUTE(SUBSTITUTE(SUBSTITUTE(SUBSTITUTE(SUBSTITUTE(SUBSTITUTE(SUBSTITUTE($AA1453," ",""),"　",""),"(주)",""),"（주）",""),"㈜",""),"주식회사",""),"(유)",""),"（유）",""),"유한회사",""))</f>
        <v/>
      </c>
      <c r="AC1453" s="31">
        <f>IF(OR($Y1453="",N($Z1453)&lt;=0,$AB1453=""),0,IFERROR(LOOKUP(2,1/((거래처별!$AC$8:$AC$307&lt;&gt;"")*ISNUMBER(SEARCH(거래처별!$AC$8:$AC$307,$AB1453))),거래처별!$A$8:$A$307),IFERROR(LOOKUP(2,1/((거래처별!$AD$8:$AD$307&lt;&gt;"")*ISNUMBER(SEARCH(거래처별!$AD$8:$AD$307,$AB1453))),거래처별!$A$8:$A$307),IFERROR(LOOKUP(2,1/((거래처별!$AE$8:$AE$307&lt;&gt;"")*ISNUMBER(SEARCH(거래처별!$AE$8:$AE$307,$AB1453))),거래처별!$A$8:$A$307),0))))</f>
        <v/>
      </c>
      <c r="AD1453" s="31">
        <f>IF(AND($Y1453&lt;&gt;"",N($Z1453)&gt;0,$AC1453=0),MAX($AD$7:$AD1452)+1,"")</f>
        <v/>
      </c>
      <c r="AE1453" s="31">
        <f>IF($Y1453="",0,$Y1453)</f>
        <v/>
      </c>
    </row>
    <row r="1454">
      <c r="W1454" s="31">
        <f>IF(OR($B$5="",$C$6="",ROW()&lt;$B$5),"",IF(INDEX($A:$U,ROW(),$C$6)="","",INDEX($A:$U,ROW(),$C$6)))</f>
        <v/>
      </c>
      <c r="X1454" s="32">
        <f>IF($W1454="","",IF(ISNUMBER($W1454),IF($W1454&gt;=10000000,IFERROR(DATE(INT($W1454/10000),MOD(INT($W1454/100),100),MOD($W1454,100)),""),INT($W1454)),IFERROR(DATE(--LEFT(LEFT(SUBSTITUTE(SUBSTITUTE(SUBSTITUTE(SUBSTITUTE(TRIM($W1454),"-",""),".",""),"/","")," ",""),8),4),--MID(LEFT(SUBSTITUTE(SUBSTITUTE(SUBSTITUTE(SUBSTITUTE(TRIM($W1454),"-",""),".",""),"/","")," ",""),8),5,2),--MID(LEFT(SUBSTITUTE(SUBSTITUTE(SUBSTITUTE(SUBSTITUTE(TRIM($W1454),"-",""),".",""),"/","")," ",""),8),7,2)),"")))</f>
        <v/>
      </c>
      <c r="Y1454" s="32">
        <f>IF($X1454="","",INT($X1454))</f>
        <v/>
      </c>
      <c r="Z1454" s="33">
        <f>IF(OR($Y1454="",$D$6=""),"",IF(INDEX($A:$U,ROW(),$D$6)="",0,IF(ISNUMBER(INDEX($A:$U,ROW(),$D$6)),INDEX($A:$U,ROW(),$D$6),IFERROR(--SUBSTITUTE(SUBSTITUTE(TRIM(INDEX($A:$U,ROW(),$D$6)),",",""),"원",""),0))))</f>
        <v/>
      </c>
      <c r="AA1454" s="31">
        <f>IF($Y1454="","",TRIM(INDEX($A:$U,ROW(),$E$6)&amp;IF($F$6="",""," "&amp;INDEX($A:$U,ROW(),$F$6))))</f>
        <v/>
      </c>
      <c r="AB1454" s="31">
        <f>IF($AA1454="","",SUBSTITUTE(SUBSTITUTE(SUBSTITUTE(SUBSTITUTE(SUBSTITUTE(SUBSTITUTE(SUBSTITUTE(SUBSTITUTE(SUBSTITUTE($AA1454," ",""),"　",""),"(주)",""),"（주）",""),"㈜",""),"주식회사",""),"(유)",""),"（유）",""),"유한회사",""))</f>
        <v/>
      </c>
      <c r="AC1454" s="31">
        <f>IF(OR($Y1454="",N($Z1454)&lt;=0,$AB1454=""),0,IFERROR(LOOKUP(2,1/((거래처별!$AC$8:$AC$307&lt;&gt;"")*ISNUMBER(SEARCH(거래처별!$AC$8:$AC$307,$AB1454))),거래처별!$A$8:$A$307),IFERROR(LOOKUP(2,1/((거래처별!$AD$8:$AD$307&lt;&gt;"")*ISNUMBER(SEARCH(거래처별!$AD$8:$AD$307,$AB1454))),거래처별!$A$8:$A$307),IFERROR(LOOKUP(2,1/((거래처별!$AE$8:$AE$307&lt;&gt;"")*ISNUMBER(SEARCH(거래처별!$AE$8:$AE$307,$AB1454))),거래처별!$A$8:$A$307),0))))</f>
        <v/>
      </c>
      <c r="AD1454" s="31">
        <f>IF(AND($Y1454&lt;&gt;"",N($Z1454)&gt;0,$AC1454=0),MAX($AD$7:$AD1453)+1,"")</f>
        <v/>
      </c>
      <c r="AE1454" s="31">
        <f>IF($Y1454="",0,$Y1454)</f>
        <v/>
      </c>
    </row>
    <row r="1455">
      <c r="W1455" s="31">
        <f>IF(OR($B$5="",$C$6="",ROW()&lt;$B$5),"",IF(INDEX($A:$U,ROW(),$C$6)="","",INDEX($A:$U,ROW(),$C$6)))</f>
        <v/>
      </c>
      <c r="X1455" s="32">
        <f>IF($W1455="","",IF(ISNUMBER($W1455),IF($W1455&gt;=10000000,IFERROR(DATE(INT($W1455/10000),MOD(INT($W1455/100),100),MOD($W1455,100)),""),INT($W1455)),IFERROR(DATE(--LEFT(LEFT(SUBSTITUTE(SUBSTITUTE(SUBSTITUTE(SUBSTITUTE(TRIM($W1455),"-",""),".",""),"/","")," ",""),8),4),--MID(LEFT(SUBSTITUTE(SUBSTITUTE(SUBSTITUTE(SUBSTITUTE(TRIM($W1455),"-",""),".",""),"/","")," ",""),8),5,2),--MID(LEFT(SUBSTITUTE(SUBSTITUTE(SUBSTITUTE(SUBSTITUTE(TRIM($W1455),"-",""),".",""),"/","")," ",""),8),7,2)),"")))</f>
        <v/>
      </c>
      <c r="Y1455" s="32">
        <f>IF($X1455="","",INT($X1455))</f>
        <v/>
      </c>
      <c r="Z1455" s="33">
        <f>IF(OR($Y1455="",$D$6=""),"",IF(INDEX($A:$U,ROW(),$D$6)="",0,IF(ISNUMBER(INDEX($A:$U,ROW(),$D$6)),INDEX($A:$U,ROW(),$D$6),IFERROR(--SUBSTITUTE(SUBSTITUTE(TRIM(INDEX($A:$U,ROW(),$D$6)),",",""),"원",""),0))))</f>
        <v/>
      </c>
      <c r="AA1455" s="31">
        <f>IF($Y1455="","",TRIM(INDEX($A:$U,ROW(),$E$6)&amp;IF($F$6="",""," "&amp;INDEX($A:$U,ROW(),$F$6))))</f>
        <v/>
      </c>
      <c r="AB1455" s="31">
        <f>IF($AA1455="","",SUBSTITUTE(SUBSTITUTE(SUBSTITUTE(SUBSTITUTE(SUBSTITUTE(SUBSTITUTE(SUBSTITUTE(SUBSTITUTE(SUBSTITUTE($AA1455," ",""),"　",""),"(주)",""),"（주）",""),"㈜",""),"주식회사",""),"(유)",""),"（유）",""),"유한회사",""))</f>
        <v/>
      </c>
      <c r="AC1455" s="31">
        <f>IF(OR($Y1455="",N($Z1455)&lt;=0,$AB1455=""),0,IFERROR(LOOKUP(2,1/((거래처별!$AC$8:$AC$307&lt;&gt;"")*ISNUMBER(SEARCH(거래처별!$AC$8:$AC$307,$AB1455))),거래처별!$A$8:$A$307),IFERROR(LOOKUP(2,1/((거래처별!$AD$8:$AD$307&lt;&gt;"")*ISNUMBER(SEARCH(거래처별!$AD$8:$AD$307,$AB1455))),거래처별!$A$8:$A$307),IFERROR(LOOKUP(2,1/((거래처별!$AE$8:$AE$307&lt;&gt;"")*ISNUMBER(SEARCH(거래처별!$AE$8:$AE$307,$AB1455))),거래처별!$A$8:$A$307),0))))</f>
        <v/>
      </c>
      <c r="AD1455" s="31">
        <f>IF(AND($Y1455&lt;&gt;"",N($Z1455)&gt;0,$AC1455=0),MAX($AD$7:$AD1454)+1,"")</f>
        <v/>
      </c>
      <c r="AE1455" s="31">
        <f>IF($Y1455="",0,$Y1455)</f>
        <v/>
      </c>
    </row>
    <row r="1456">
      <c r="W1456" s="31">
        <f>IF(OR($B$5="",$C$6="",ROW()&lt;$B$5),"",IF(INDEX($A:$U,ROW(),$C$6)="","",INDEX($A:$U,ROW(),$C$6)))</f>
        <v/>
      </c>
      <c r="X1456" s="32">
        <f>IF($W1456="","",IF(ISNUMBER($W1456),IF($W1456&gt;=10000000,IFERROR(DATE(INT($W1456/10000),MOD(INT($W1456/100),100),MOD($W1456,100)),""),INT($W1456)),IFERROR(DATE(--LEFT(LEFT(SUBSTITUTE(SUBSTITUTE(SUBSTITUTE(SUBSTITUTE(TRIM($W1456),"-",""),".",""),"/","")," ",""),8),4),--MID(LEFT(SUBSTITUTE(SUBSTITUTE(SUBSTITUTE(SUBSTITUTE(TRIM($W1456),"-",""),".",""),"/","")," ",""),8),5,2),--MID(LEFT(SUBSTITUTE(SUBSTITUTE(SUBSTITUTE(SUBSTITUTE(TRIM($W1456),"-",""),".",""),"/","")," ",""),8),7,2)),"")))</f>
        <v/>
      </c>
      <c r="Y1456" s="32">
        <f>IF($X1456="","",INT($X1456))</f>
        <v/>
      </c>
      <c r="Z1456" s="33">
        <f>IF(OR($Y1456="",$D$6=""),"",IF(INDEX($A:$U,ROW(),$D$6)="",0,IF(ISNUMBER(INDEX($A:$U,ROW(),$D$6)),INDEX($A:$U,ROW(),$D$6),IFERROR(--SUBSTITUTE(SUBSTITUTE(TRIM(INDEX($A:$U,ROW(),$D$6)),",",""),"원",""),0))))</f>
        <v/>
      </c>
      <c r="AA1456" s="31">
        <f>IF($Y1456="","",TRIM(INDEX($A:$U,ROW(),$E$6)&amp;IF($F$6="",""," "&amp;INDEX($A:$U,ROW(),$F$6))))</f>
        <v/>
      </c>
      <c r="AB1456" s="31">
        <f>IF($AA1456="","",SUBSTITUTE(SUBSTITUTE(SUBSTITUTE(SUBSTITUTE(SUBSTITUTE(SUBSTITUTE(SUBSTITUTE(SUBSTITUTE(SUBSTITUTE($AA1456," ",""),"　",""),"(주)",""),"（주）",""),"㈜",""),"주식회사",""),"(유)",""),"（유）",""),"유한회사",""))</f>
        <v/>
      </c>
      <c r="AC1456" s="31">
        <f>IF(OR($Y1456="",N($Z1456)&lt;=0,$AB1456=""),0,IFERROR(LOOKUP(2,1/((거래처별!$AC$8:$AC$307&lt;&gt;"")*ISNUMBER(SEARCH(거래처별!$AC$8:$AC$307,$AB1456))),거래처별!$A$8:$A$307),IFERROR(LOOKUP(2,1/((거래처별!$AD$8:$AD$307&lt;&gt;"")*ISNUMBER(SEARCH(거래처별!$AD$8:$AD$307,$AB1456))),거래처별!$A$8:$A$307),IFERROR(LOOKUP(2,1/((거래처별!$AE$8:$AE$307&lt;&gt;"")*ISNUMBER(SEARCH(거래처별!$AE$8:$AE$307,$AB1456))),거래처별!$A$8:$A$307),0))))</f>
        <v/>
      </c>
      <c r="AD1456" s="31">
        <f>IF(AND($Y1456&lt;&gt;"",N($Z1456)&gt;0,$AC1456=0),MAX($AD$7:$AD1455)+1,"")</f>
        <v/>
      </c>
      <c r="AE1456" s="31">
        <f>IF($Y1456="",0,$Y1456)</f>
        <v/>
      </c>
    </row>
    <row r="1457">
      <c r="W1457" s="31">
        <f>IF(OR($B$5="",$C$6="",ROW()&lt;$B$5),"",IF(INDEX($A:$U,ROW(),$C$6)="","",INDEX($A:$U,ROW(),$C$6)))</f>
        <v/>
      </c>
      <c r="X1457" s="32">
        <f>IF($W1457="","",IF(ISNUMBER($W1457),IF($W1457&gt;=10000000,IFERROR(DATE(INT($W1457/10000),MOD(INT($W1457/100),100),MOD($W1457,100)),""),INT($W1457)),IFERROR(DATE(--LEFT(LEFT(SUBSTITUTE(SUBSTITUTE(SUBSTITUTE(SUBSTITUTE(TRIM($W1457),"-",""),".",""),"/","")," ",""),8),4),--MID(LEFT(SUBSTITUTE(SUBSTITUTE(SUBSTITUTE(SUBSTITUTE(TRIM($W1457),"-",""),".",""),"/","")," ",""),8),5,2),--MID(LEFT(SUBSTITUTE(SUBSTITUTE(SUBSTITUTE(SUBSTITUTE(TRIM($W1457),"-",""),".",""),"/","")," ",""),8),7,2)),"")))</f>
        <v/>
      </c>
      <c r="Y1457" s="32">
        <f>IF($X1457="","",INT($X1457))</f>
        <v/>
      </c>
      <c r="Z1457" s="33">
        <f>IF(OR($Y1457="",$D$6=""),"",IF(INDEX($A:$U,ROW(),$D$6)="",0,IF(ISNUMBER(INDEX($A:$U,ROW(),$D$6)),INDEX($A:$U,ROW(),$D$6),IFERROR(--SUBSTITUTE(SUBSTITUTE(TRIM(INDEX($A:$U,ROW(),$D$6)),",",""),"원",""),0))))</f>
        <v/>
      </c>
      <c r="AA1457" s="31">
        <f>IF($Y1457="","",TRIM(INDEX($A:$U,ROW(),$E$6)&amp;IF($F$6="",""," "&amp;INDEX($A:$U,ROW(),$F$6))))</f>
        <v/>
      </c>
      <c r="AB1457" s="31">
        <f>IF($AA1457="","",SUBSTITUTE(SUBSTITUTE(SUBSTITUTE(SUBSTITUTE(SUBSTITUTE(SUBSTITUTE(SUBSTITUTE(SUBSTITUTE(SUBSTITUTE($AA1457," ",""),"　",""),"(주)",""),"（주）",""),"㈜",""),"주식회사",""),"(유)",""),"（유）",""),"유한회사",""))</f>
        <v/>
      </c>
      <c r="AC1457" s="31">
        <f>IF(OR($Y1457="",N($Z1457)&lt;=0,$AB1457=""),0,IFERROR(LOOKUP(2,1/((거래처별!$AC$8:$AC$307&lt;&gt;"")*ISNUMBER(SEARCH(거래처별!$AC$8:$AC$307,$AB1457))),거래처별!$A$8:$A$307),IFERROR(LOOKUP(2,1/((거래처별!$AD$8:$AD$307&lt;&gt;"")*ISNUMBER(SEARCH(거래처별!$AD$8:$AD$307,$AB1457))),거래처별!$A$8:$A$307),IFERROR(LOOKUP(2,1/((거래처별!$AE$8:$AE$307&lt;&gt;"")*ISNUMBER(SEARCH(거래처별!$AE$8:$AE$307,$AB1457))),거래처별!$A$8:$A$307),0))))</f>
        <v/>
      </c>
      <c r="AD1457" s="31">
        <f>IF(AND($Y1457&lt;&gt;"",N($Z1457)&gt;0,$AC1457=0),MAX($AD$7:$AD1456)+1,"")</f>
        <v/>
      </c>
      <c r="AE1457" s="31">
        <f>IF($Y1457="",0,$Y1457)</f>
        <v/>
      </c>
    </row>
    <row r="1458">
      <c r="W1458" s="31">
        <f>IF(OR($B$5="",$C$6="",ROW()&lt;$B$5),"",IF(INDEX($A:$U,ROW(),$C$6)="","",INDEX($A:$U,ROW(),$C$6)))</f>
        <v/>
      </c>
      <c r="X1458" s="32">
        <f>IF($W1458="","",IF(ISNUMBER($W1458),IF($W1458&gt;=10000000,IFERROR(DATE(INT($W1458/10000),MOD(INT($W1458/100),100),MOD($W1458,100)),""),INT($W1458)),IFERROR(DATE(--LEFT(LEFT(SUBSTITUTE(SUBSTITUTE(SUBSTITUTE(SUBSTITUTE(TRIM($W1458),"-",""),".",""),"/","")," ",""),8),4),--MID(LEFT(SUBSTITUTE(SUBSTITUTE(SUBSTITUTE(SUBSTITUTE(TRIM($W1458),"-",""),".",""),"/","")," ",""),8),5,2),--MID(LEFT(SUBSTITUTE(SUBSTITUTE(SUBSTITUTE(SUBSTITUTE(TRIM($W1458),"-",""),".",""),"/","")," ",""),8),7,2)),"")))</f>
        <v/>
      </c>
      <c r="Y1458" s="32">
        <f>IF($X1458="","",INT($X1458))</f>
        <v/>
      </c>
      <c r="Z1458" s="33">
        <f>IF(OR($Y1458="",$D$6=""),"",IF(INDEX($A:$U,ROW(),$D$6)="",0,IF(ISNUMBER(INDEX($A:$U,ROW(),$D$6)),INDEX($A:$U,ROW(),$D$6),IFERROR(--SUBSTITUTE(SUBSTITUTE(TRIM(INDEX($A:$U,ROW(),$D$6)),",",""),"원",""),0))))</f>
        <v/>
      </c>
      <c r="AA1458" s="31">
        <f>IF($Y1458="","",TRIM(INDEX($A:$U,ROW(),$E$6)&amp;IF($F$6="",""," "&amp;INDEX($A:$U,ROW(),$F$6))))</f>
        <v/>
      </c>
      <c r="AB1458" s="31">
        <f>IF($AA1458="","",SUBSTITUTE(SUBSTITUTE(SUBSTITUTE(SUBSTITUTE(SUBSTITUTE(SUBSTITUTE(SUBSTITUTE(SUBSTITUTE(SUBSTITUTE($AA1458," ",""),"　",""),"(주)",""),"（주）",""),"㈜",""),"주식회사",""),"(유)",""),"（유）",""),"유한회사",""))</f>
        <v/>
      </c>
      <c r="AC1458" s="31">
        <f>IF(OR($Y1458="",N($Z1458)&lt;=0,$AB1458=""),0,IFERROR(LOOKUP(2,1/((거래처별!$AC$8:$AC$307&lt;&gt;"")*ISNUMBER(SEARCH(거래처별!$AC$8:$AC$307,$AB1458))),거래처별!$A$8:$A$307),IFERROR(LOOKUP(2,1/((거래처별!$AD$8:$AD$307&lt;&gt;"")*ISNUMBER(SEARCH(거래처별!$AD$8:$AD$307,$AB1458))),거래처별!$A$8:$A$307),IFERROR(LOOKUP(2,1/((거래처별!$AE$8:$AE$307&lt;&gt;"")*ISNUMBER(SEARCH(거래처별!$AE$8:$AE$307,$AB1458))),거래처별!$A$8:$A$307),0))))</f>
        <v/>
      </c>
      <c r="AD1458" s="31">
        <f>IF(AND($Y1458&lt;&gt;"",N($Z1458)&gt;0,$AC1458=0),MAX($AD$7:$AD1457)+1,"")</f>
        <v/>
      </c>
      <c r="AE1458" s="31">
        <f>IF($Y1458="",0,$Y1458)</f>
        <v/>
      </c>
    </row>
    <row r="1459">
      <c r="W1459" s="31">
        <f>IF(OR($B$5="",$C$6="",ROW()&lt;$B$5),"",IF(INDEX($A:$U,ROW(),$C$6)="","",INDEX($A:$U,ROW(),$C$6)))</f>
        <v/>
      </c>
      <c r="X1459" s="32">
        <f>IF($W1459="","",IF(ISNUMBER($W1459),IF($W1459&gt;=10000000,IFERROR(DATE(INT($W1459/10000),MOD(INT($W1459/100),100),MOD($W1459,100)),""),INT($W1459)),IFERROR(DATE(--LEFT(LEFT(SUBSTITUTE(SUBSTITUTE(SUBSTITUTE(SUBSTITUTE(TRIM($W1459),"-",""),".",""),"/","")," ",""),8),4),--MID(LEFT(SUBSTITUTE(SUBSTITUTE(SUBSTITUTE(SUBSTITUTE(TRIM($W1459),"-",""),".",""),"/","")," ",""),8),5,2),--MID(LEFT(SUBSTITUTE(SUBSTITUTE(SUBSTITUTE(SUBSTITUTE(TRIM($W1459),"-",""),".",""),"/","")," ",""),8),7,2)),"")))</f>
        <v/>
      </c>
      <c r="Y1459" s="32">
        <f>IF($X1459="","",INT($X1459))</f>
        <v/>
      </c>
      <c r="Z1459" s="33">
        <f>IF(OR($Y1459="",$D$6=""),"",IF(INDEX($A:$U,ROW(),$D$6)="",0,IF(ISNUMBER(INDEX($A:$U,ROW(),$D$6)),INDEX($A:$U,ROW(),$D$6),IFERROR(--SUBSTITUTE(SUBSTITUTE(TRIM(INDEX($A:$U,ROW(),$D$6)),",",""),"원",""),0))))</f>
        <v/>
      </c>
      <c r="AA1459" s="31">
        <f>IF($Y1459="","",TRIM(INDEX($A:$U,ROW(),$E$6)&amp;IF($F$6="",""," "&amp;INDEX($A:$U,ROW(),$F$6))))</f>
        <v/>
      </c>
      <c r="AB1459" s="31">
        <f>IF($AA1459="","",SUBSTITUTE(SUBSTITUTE(SUBSTITUTE(SUBSTITUTE(SUBSTITUTE(SUBSTITUTE(SUBSTITUTE(SUBSTITUTE(SUBSTITUTE($AA1459," ",""),"　",""),"(주)",""),"（주）",""),"㈜",""),"주식회사",""),"(유)",""),"（유）",""),"유한회사",""))</f>
        <v/>
      </c>
      <c r="AC1459" s="31">
        <f>IF(OR($Y1459="",N($Z1459)&lt;=0,$AB1459=""),0,IFERROR(LOOKUP(2,1/((거래처별!$AC$8:$AC$307&lt;&gt;"")*ISNUMBER(SEARCH(거래처별!$AC$8:$AC$307,$AB1459))),거래처별!$A$8:$A$307),IFERROR(LOOKUP(2,1/((거래처별!$AD$8:$AD$307&lt;&gt;"")*ISNUMBER(SEARCH(거래처별!$AD$8:$AD$307,$AB1459))),거래처별!$A$8:$A$307),IFERROR(LOOKUP(2,1/((거래처별!$AE$8:$AE$307&lt;&gt;"")*ISNUMBER(SEARCH(거래처별!$AE$8:$AE$307,$AB1459))),거래처별!$A$8:$A$307),0))))</f>
        <v/>
      </c>
      <c r="AD1459" s="31">
        <f>IF(AND($Y1459&lt;&gt;"",N($Z1459)&gt;0,$AC1459=0),MAX($AD$7:$AD1458)+1,"")</f>
        <v/>
      </c>
      <c r="AE1459" s="31">
        <f>IF($Y1459="",0,$Y1459)</f>
        <v/>
      </c>
    </row>
    <row r="1460">
      <c r="W1460" s="31">
        <f>IF(OR($B$5="",$C$6="",ROW()&lt;$B$5),"",IF(INDEX($A:$U,ROW(),$C$6)="","",INDEX($A:$U,ROW(),$C$6)))</f>
        <v/>
      </c>
      <c r="X1460" s="32">
        <f>IF($W1460="","",IF(ISNUMBER($W1460),IF($W1460&gt;=10000000,IFERROR(DATE(INT($W1460/10000),MOD(INT($W1460/100),100),MOD($W1460,100)),""),INT($W1460)),IFERROR(DATE(--LEFT(LEFT(SUBSTITUTE(SUBSTITUTE(SUBSTITUTE(SUBSTITUTE(TRIM($W1460),"-",""),".",""),"/","")," ",""),8),4),--MID(LEFT(SUBSTITUTE(SUBSTITUTE(SUBSTITUTE(SUBSTITUTE(TRIM($W1460),"-",""),".",""),"/","")," ",""),8),5,2),--MID(LEFT(SUBSTITUTE(SUBSTITUTE(SUBSTITUTE(SUBSTITUTE(TRIM($W1460),"-",""),".",""),"/","")," ",""),8),7,2)),"")))</f>
        <v/>
      </c>
      <c r="Y1460" s="32">
        <f>IF($X1460="","",INT($X1460))</f>
        <v/>
      </c>
      <c r="Z1460" s="33">
        <f>IF(OR($Y1460="",$D$6=""),"",IF(INDEX($A:$U,ROW(),$D$6)="",0,IF(ISNUMBER(INDEX($A:$U,ROW(),$D$6)),INDEX($A:$U,ROW(),$D$6),IFERROR(--SUBSTITUTE(SUBSTITUTE(TRIM(INDEX($A:$U,ROW(),$D$6)),",",""),"원",""),0))))</f>
        <v/>
      </c>
      <c r="AA1460" s="31">
        <f>IF($Y1460="","",TRIM(INDEX($A:$U,ROW(),$E$6)&amp;IF($F$6="",""," "&amp;INDEX($A:$U,ROW(),$F$6))))</f>
        <v/>
      </c>
      <c r="AB1460" s="31">
        <f>IF($AA1460="","",SUBSTITUTE(SUBSTITUTE(SUBSTITUTE(SUBSTITUTE(SUBSTITUTE(SUBSTITUTE(SUBSTITUTE(SUBSTITUTE(SUBSTITUTE($AA1460," ",""),"　",""),"(주)",""),"（주）",""),"㈜",""),"주식회사",""),"(유)",""),"（유）",""),"유한회사",""))</f>
        <v/>
      </c>
      <c r="AC1460" s="31">
        <f>IF(OR($Y1460="",N($Z1460)&lt;=0,$AB1460=""),0,IFERROR(LOOKUP(2,1/((거래처별!$AC$8:$AC$307&lt;&gt;"")*ISNUMBER(SEARCH(거래처별!$AC$8:$AC$307,$AB1460))),거래처별!$A$8:$A$307),IFERROR(LOOKUP(2,1/((거래처별!$AD$8:$AD$307&lt;&gt;"")*ISNUMBER(SEARCH(거래처별!$AD$8:$AD$307,$AB1460))),거래처별!$A$8:$A$307),IFERROR(LOOKUP(2,1/((거래처별!$AE$8:$AE$307&lt;&gt;"")*ISNUMBER(SEARCH(거래처별!$AE$8:$AE$307,$AB1460))),거래처별!$A$8:$A$307),0))))</f>
        <v/>
      </c>
      <c r="AD1460" s="31">
        <f>IF(AND($Y1460&lt;&gt;"",N($Z1460)&gt;0,$AC1460=0),MAX($AD$7:$AD1459)+1,"")</f>
        <v/>
      </c>
      <c r="AE1460" s="31">
        <f>IF($Y1460="",0,$Y1460)</f>
        <v/>
      </c>
    </row>
    <row r="1461">
      <c r="W1461" s="31">
        <f>IF(OR($B$5="",$C$6="",ROW()&lt;$B$5),"",IF(INDEX($A:$U,ROW(),$C$6)="","",INDEX($A:$U,ROW(),$C$6)))</f>
        <v/>
      </c>
      <c r="X1461" s="32">
        <f>IF($W1461="","",IF(ISNUMBER($W1461),IF($W1461&gt;=10000000,IFERROR(DATE(INT($W1461/10000),MOD(INT($W1461/100),100),MOD($W1461,100)),""),INT($W1461)),IFERROR(DATE(--LEFT(LEFT(SUBSTITUTE(SUBSTITUTE(SUBSTITUTE(SUBSTITUTE(TRIM($W1461),"-",""),".",""),"/","")," ",""),8),4),--MID(LEFT(SUBSTITUTE(SUBSTITUTE(SUBSTITUTE(SUBSTITUTE(TRIM($W1461),"-",""),".",""),"/","")," ",""),8),5,2),--MID(LEFT(SUBSTITUTE(SUBSTITUTE(SUBSTITUTE(SUBSTITUTE(TRIM($W1461),"-",""),".",""),"/","")," ",""),8),7,2)),"")))</f>
        <v/>
      </c>
      <c r="Y1461" s="32">
        <f>IF($X1461="","",INT($X1461))</f>
        <v/>
      </c>
      <c r="Z1461" s="33">
        <f>IF(OR($Y1461="",$D$6=""),"",IF(INDEX($A:$U,ROW(),$D$6)="",0,IF(ISNUMBER(INDEX($A:$U,ROW(),$D$6)),INDEX($A:$U,ROW(),$D$6),IFERROR(--SUBSTITUTE(SUBSTITUTE(TRIM(INDEX($A:$U,ROW(),$D$6)),",",""),"원",""),0))))</f>
        <v/>
      </c>
      <c r="AA1461" s="31">
        <f>IF($Y1461="","",TRIM(INDEX($A:$U,ROW(),$E$6)&amp;IF($F$6="",""," "&amp;INDEX($A:$U,ROW(),$F$6))))</f>
        <v/>
      </c>
      <c r="AB1461" s="31">
        <f>IF($AA1461="","",SUBSTITUTE(SUBSTITUTE(SUBSTITUTE(SUBSTITUTE(SUBSTITUTE(SUBSTITUTE(SUBSTITUTE(SUBSTITUTE(SUBSTITUTE($AA1461," ",""),"　",""),"(주)",""),"（주）",""),"㈜",""),"주식회사",""),"(유)",""),"（유）",""),"유한회사",""))</f>
        <v/>
      </c>
      <c r="AC1461" s="31">
        <f>IF(OR($Y1461="",N($Z1461)&lt;=0,$AB1461=""),0,IFERROR(LOOKUP(2,1/((거래처별!$AC$8:$AC$307&lt;&gt;"")*ISNUMBER(SEARCH(거래처별!$AC$8:$AC$307,$AB1461))),거래처별!$A$8:$A$307),IFERROR(LOOKUP(2,1/((거래처별!$AD$8:$AD$307&lt;&gt;"")*ISNUMBER(SEARCH(거래처별!$AD$8:$AD$307,$AB1461))),거래처별!$A$8:$A$307),IFERROR(LOOKUP(2,1/((거래처별!$AE$8:$AE$307&lt;&gt;"")*ISNUMBER(SEARCH(거래처별!$AE$8:$AE$307,$AB1461))),거래처별!$A$8:$A$307),0))))</f>
        <v/>
      </c>
      <c r="AD1461" s="31">
        <f>IF(AND($Y1461&lt;&gt;"",N($Z1461)&gt;0,$AC1461=0),MAX($AD$7:$AD1460)+1,"")</f>
        <v/>
      </c>
      <c r="AE1461" s="31">
        <f>IF($Y1461="",0,$Y1461)</f>
        <v/>
      </c>
    </row>
    <row r="1462">
      <c r="W1462" s="31">
        <f>IF(OR($B$5="",$C$6="",ROW()&lt;$B$5),"",IF(INDEX($A:$U,ROW(),$C$6)="","",INDEX($A:$U,ROW(),$C$6)))</f>
        <v/>
      </c>
      <c r="X1462" s="32">
        <f>IF($W1462="","",IF(ISNUMBER($W1462),IF($W1462&gt;=10000000,IFERROR(DATE(INT($W1462/10000),MOD(INT($W1462/100),100),MOD($W1462,100)),""),INT($W1462)),IFERROR(DATE(--LEFT(LEFT(SUBSTITUTE(SUBSTITUTE(SUBSTITUTE(SUBSTITUTE(TRIM($W1462),"-",""),".",""),"/","")," ",""),8),4),--MID(LEFT(SUBSTITUTE(SUBSTITUTE(SUBSTITUTE(SUBSTITUTE(TRIM($W1462),"-",""),".",""),"/","")," ",""),8),5,2),--MID(LEFT(SUBSTITUTE(SUBSTITUTE(SUBSTITUTE(SUBSTITUTE(TRIM($W1462),"-",""),".",""),"/","")," ",""),8),7,2)),"")))</f>
        <v/>
      </c>
      <c r="Y1462" s="32">
        <f>IF($X1462="","",INT($X1462))</f>
        <v/>
      </c>
      <c r="Z1462" s="33">
        <f>IF(OR($Y1462="",$D$6=""),"",IF(INDEX($A:$U,ROW(),$D$6)="",0,IF(ISNUMBER(INDEX($A:$U,ROW(),$D$6)),INDEX($A:$U,ROW(),$D$6),IFERROR(--SUBSTITUTE(SUBSTITUTE(TRIM(INDEX($A:$U,ROW(),$D$6)),",",""),"원",""),0))))</f>
        <v/>
      </c>
      <c r="AA1462" s="31">
        <f>IF($Y1462="","",TRIM(INDEX($A:$U,ROW(),$E$6)&amp;IF($F$6="",""," "&amp;INDEX($A:$U,ROW(),$F$6))))</f>
        <v/>
      </c>
      <c r="AB1462" s="31">
        <f>IF($AA1462="","",SUBSTITUTE(SUBSTITUTE(SUBSTITUTE(SUBSTITUTE(SUBSTITUTE(SUBSTITUTE(SUBSTITUTE(SUBSTITUTE(SUBSTITUTE($AA1462," ",""),"　",""),"(주)",""),"（주）",""),"㈜",""),"주식회사",""),"(유)",""),"（유）",""),"유한회사",""))</f>
        <v/>
      </c>
      <c r="AC1462" s="31">
        <f>IF(OR($Y1462="",N($Z1462)&lt;=0,$AB1462=""),0,IFERROR(LOOKUP(2,1/((거래처별!$AC$8:$AC$307&lt;&gt;"")*ISNUMBER(SEARCH(거래처별!$AC$8:$AC$307,$AB1462))),거래처별!$A$8:$A$307),IFERROR(LOOKUP(2,1/((거래처별!$AD$8:$AD$307&lt;&gt;"")*ISNUMBER(SEARCH(거래처별!$AD$8:$AD$307,$AB1462))),거래처별!$A$8:$A$307),IFERROR(LOOKUP(2,1/((거래처별!$AE$8:$AE$307&lt;&gt;"")*ISNUMBER(SEARCH(거래처별!$AE$8:$AE$307,$AB1462))),거래처별!$A$8:$A$307),0))))</f>
        <v/>
      </c>
      <c r="AD1462" s="31">
        <f>IF(AND($Y1462&lt;&gt;"",N($Z1462)&gt;0,$AC1462=0),MAX($AD$7:$AD1461)+1,"")</f>
        <v/>
      </c>
      <c r="AE1462" s="31">
        <f>IF($Y1462="",0,$Y1462)</f>
        <v/>
      </c>
    </row>
    <row r="1463">
      <c r="W1463" s="31">
        <f>IF(OR($B$5="",$C$6="",ROW()&lt;$B$5),"",IF(INDEX($A:$U,ROW(),$C$6)="","",INDEX($A:$U,ROW(),$C$6)))</f>
        <v/>
      </c>
      <c r="X1463" s="32">
        <f>IF($W1463="","",IF(ISNUMBER($W1463),IF($W1463&gt;=10000000,IFERROR(DATE(INT($W1463/10000),MOD(INT($W1463/100),100),MOD($W1463,100)),""),INT($W1463)),IFERROR(DATE(--LEFT(LEFT(SUBSTITUTE(SUBSTITUTE(SUBSTITUTE(SUBSTITUTE(TRIM($W1463),"-",""),".",""),"/","")," ",""),8),4),--MID(LEFT(SUBSTITUTE(SUBSTITUTE(SUBSTITUTE(SUBSTITUTE(TRIM($W1463),"-",""),".",""),"/","")," ",""),8),5,2),--MID(LEFT(SUBSTITUTE(SUBSTITUTE(SUBSTITUTE(SUBSTITUTE(TRIM($W1463),"-",""),".",""),"/","")," ",""),8),7,2)),"")))</f>
        <v/>
      </c>
      <c r="Y1463" s="32">
        <f>IF($X1463="","",INT($X1463))</f>
        <v/>
      </c>
      <c r="Z1463" s="33">
        <f>IF(OR($Y1463="",$D$6=""),"",IF(INDEX($A:$U,ROW(),$D$6)="",0,IF(ISNUMBER(INDEX($A:$U,ROW(),$D$6)),INDEX($A:$U,ROW(),$D$6),IFERROR(--SUBSTITUTE(SUBSTITUTE(TRIM(INDEX($A:$U,ROW(),$D$6)),",",""),"원",""),0))))</f>
        <v/>
      </c>
      <c r="AA1463" s="31">
        <f>IF($Y1463="","",TRIM(INDEX($A:$U,ROW(),$E$6)&amp;IF($F$6="",""," "&amp;INDEX($A:$U,ROW(),$F$6))))</f>
        <v/>
      </c>
      <c r="AB1463" s="31">
        <f>IF($AA1463="","",SUBSTITUTE(SUBSTITUTE(SUBSTITUTE(SUBSTITUTE(SUBSTITUTE(SUBSTITUTE(SUBSTITUTE(SUBSTITUTE(SUBSTITUTE($AA1463," ",""),"　",""),"(주)",""),"（주）",""),"㈜",""),"주식회사",""),"(유)",""),"（유）",""),"유한회사",""))</f>
        <v/>
      </c>
      <c r="AC1463" s="31">
        <f>IF(OR($Y1463="",N($Z1463)&lt;=0,$AB1463=""),0,IFERROR(LOOKUP(2,1/((거래처별!$AC$8:$AC$307&lt;&gt;"")*ISNUMBER(SEARCH(거래처별!$AC$8:$AC$307,$AB1463))),거래처별!$A$8:$A$307),IFERROR(LOOKUP(2,1/((거래처별!$AD$8:$AD$307&lt;&gt;"")*ISNUMBER(SEARCH(거래처별!$AD$8:$AD$307,$AB1463))),거래처별!$A$8:$A$307),IFERROR(LOOKUP(2,1/((거래처별!$AE$8:$AE$307&lt;&gt;"")*ISNUMBER(SEARCH(거래처별!$AE$8:$AE$307,$AB1463))),거래처별!$A$8:$A$307),0))))</f>
        <v/>
      </c>
      <c r="AD1463" s="31">
        <f>IF(AND($Y1463&lt;&gt;"",N($Z1463)&gt;0,$AC1463=0),MAX($AD$7:$AD1462)+1,"")</f>
        <v/>
      </c>
      <c r="AE1463" s="31">
        <f>IF($Y1463="",0,$Y1463)</f>
        <v/>
      </c>
    </row>
    <row r="1464">
      <c r="W1464" s="31">
        <f>IF(OR($B$5="",$C$6="",ROW()&lt;$B$5),"",IF(INDEX($A:$U,ROW(),$C$6)="","",INDEX($A:$U,ROW(),$C$6)))</f>
        <v/>
      </c>
      <c r="X1464" s="32">
        <f>IF($W1464="","",IF(ISNUMBER($W1464),IF($W1464&gt;=10000000,IFERROR(DATE(INT($W1464/10000),MOD(INT($W1464/100),100),MOD($W1464,100)),""),INT($W1464)),IFERROR(DATE(--LEFT(LEFT(SUBSTITUTE(SUBSTITUTE(SUBSTITUTE(SUBSTITUTE(TRIM($W1464),"-",""),".",""),"/","")," ",""),8),4),--MID(LEFT(SUBSTITUTE(SUBSTITUTE(SUBSTITUTE(SUBSTITUTE(TRIM($W1464),"-",""),".",""),"/","")," ",""),8),5,2),--MID(LEFT(SUBSTITUTE(SUBSTITUTE(SUBSTITUTE(SUBSTITUTE(TRIM($W1464),"-",""),".",""),"/","")," ",""),8),7,2)),"")))</f>
        <v/>
      </c>
      <c r="Y1464" s="32">
        <f>IF($X1464="","",INT($X1464))</f>
        <v/>
      </c>
      <c r="Z1464" s="33">
        <f>IF(OR($Y1464="",$D$6=""),"",IF(INDEX($A:$U,ROW(),$D$6)="",0,IF(ISNUMBER(INDEX($A:$U,ROW(),$D$6)),INDEX($A:$U,ROW(),$D$6),IFERROR(--SUBSTITUTE(SUBSTITUTE(TRIM(INDEX($A:$U,ROW(),$D$6)),",",""),"원",""),0))))</f>
        <v/>
      </c>
      <c r="AA1464" s="31">
        <f>IF($Y1464="","",TRIM(INDEX($A:$U,ROW(),$E$6)&amp;IF($F$6="",""," "&amp;INDEX($A:$U,ROW(),$F$6))))</f>
        <v/>
      </c>
      <c r="AB1464" s="31">
        <f>IF($AA1464="","",SUBSTITUTE(SUBSTITUTE(SUBSTITUTE(SUBSTITUTE(SUBSTITUTE(SUBSTITUTE(SUBSTITUTE(SUBSTITUTE(SUBSTITUTE($AA1464," ",""),"　",""),"(주)",""),"（주）",""),"㈜",""),"주식회사",""),"(유)",""),"（유）",""),"유한회사",""))</f>
        <v/>
      </c>
      <c r="AC1464" s="31">
        <f>IF(OR($Y1464="",N($Z1464)&lt;=0,$AB1464=""),0,IFERROR(LOOKUP(2,1/((거래처별!$AC$8:$AC$307&lt;&gt;"")*ISNUMBER(SEARCH(거래처별!$AC$8:$AC$307,$AB1464))),거래처별!$A$8:$A$307),IFERROR(LOOKUP(2,1/((거래처별!$AD$8:$AD$307&lt;&gt;"")*ISNUMBER(SEARCH(거래처별!$AD$8:$AD$307,$AB1464))),거래처별!$A$8:$A$307),IFERROR(LOOKUP(2,1/((거래처별!$AE$8:$AE$307&lt;&gt;"")*ISNUMBER(SEARCH(거래처별!$AE$8:$AE$307,$AB1464))),거래처별!$A$8:$A$307),0))))</f>
        <v/>
      </c>
      <c r="AD1464" s="31">
        <f>IF(AND($Y1464&lt;&gt;"",N($Z1464)&gt;0,$AC1464=0),MAX($AD$7:$AD1463)+1,"")</f>
        <v/>
      </c>
      <c r="AE1464" s="31">
        <f>IF($Y1464="",0,$Y1464)</f>
        <v/>
      </c>
    </row>
    <row r="1465">
      <c r="W1465" s="31">
        <f>IF(OR($B$5="",$C$6="",ROW()&lt;$B$5),"",IF(INDEX($A:$U,ROW(),$C$6)="","",INDEX($A:$U,ROW(),$C$6)))</f>
        <v/>
      </c>
      <c r="X1465" s="32">
        <f>IF($W1465="","",IF(ISNUMBER($W1465),IF($W1465&gt;=10000000,IFERROR(DATE(INT($W1465/10000),MOD(INT($W1465/100),100),MOD($W1465,100)),""),INT($W1465)),IFERROR(DATE(--LEFT(LEFT(SUBSTITUTE(SUBSTITUTE(SUBSTITUTE(SUBSTITUTE(TRIM($W1465),"-",""),".",""),"/","")," ",""),8),4),--MID(LEFT(SUBSTITUTE(SUBSTITUTE(SUBSTITUTE(SUBSTITUTE(TRIM($W1465),"-",""),".",""),"/","")," ",""),8),5,2),--MID(LEFT(SUBSTITUTE(SUBSTITUTE(SUBSTITUTE(SUBSTITUTE(TRIM($W1465),"-",""),".",""),"/","")," ",""),8),7,2)),"")))</f>
        <v/>
      </c>
      <c r="Y1465" s="32">
        <f>IF($X1465="","",INT($X1465))</f>
        <v/>
      </c>
      <c r="Z1465" s="33">
        <f>IF(OR($Y1465="",$D$6=""),"",IF(INDEX($A:$U,ROW(),$D$6)="",0,IF(ISNUMBER(INDEX($A:$U,ROW(),$D$6)),INDEX($A:$U,ROW(),$D$6),IFERROR(--SUBSTITUTE(SUBSTITUTE(TRIM(INDEX($A:$U,ROW(),$D$6)),",",""),"원",""),0))))</f>
        <v/>
      </c>
      <c r="AA1465" s="31">
        <f>IF($Y1465="","",TRIM(INDEX($A:$U,ROW(),$E$6)&amp;IF($F$6="",""," "&amp;INDEX($A:$U,ROW(),$F$6))))</f>
        <v/>
      </c>
      <c r="AB1465" s="31">
        <f>IF($AA1465="","",SUBSTITUTE(SUBSTITUTE(SUBSTITUTE(SUBSTITUTE(SUBSTITUTE(SUBSTITUTE(SUBSTITUTE(SUBSTITUTE(SUBSTITUTE($AA1465," ",""),"　",""),"(주)",""),"（주）",""),"㈜",""),"주식회사",""),"(유)",""),"（유）",""),"유한회사",""))</f>
        <v/>
      </c>
      <c r="AC1465" s="31">
        <f>IF(OR($Y1465="",N($Z1465)&lt;=0,$AB1465=""),0,IFERROR(LOOKUP(2,1/((거래처별!$AC$8:$AC$307&lt;&gt;"")*ISNUMBER(SEARCH(거래처별!$AC$8:$AC$307,$AB1465))),거래처별!$A$8:$A$307),IFERROR(LOOKUP(2,1/((거래처별!$AD$8:$AD$307&lt;&gt;"")*ISNUMBER(SEARCH(거래처별!$AD$8:$AD$307,$AB1465))),거래처별!$A$8:$A$307),IFERROR(LOOKUP(2,1/((거래처별!$AE$8:$AE$307&lt;&gt;"")*ISNUMBER(SEARCH(거래처별!$AE$8:$AE$307,$AB1465))),거래처별!$A$8:$A$307),0))))</f>
        <v/>
      </c>
      <c r="AD1465" s="31">
        <f>IF(AND($Y1465&lt;&gt;"",N($Z1465)&gt;0,$AC1465=0),MAX($AD$7:$AD1464)+1,"")</f>
        <v/>
      </c>
      <c r="AE1465" s="31">
        <f>IF($Y1465="",0,$Y1465)</f>
        <v/>
      </c>
    </row>
    <row r="1466">
      <c r="W1466" s="31">
        <f>IF(OR($B$5="",$C$6="",ROW()&lt;$B$5),"",IF(INDEX($A:$U,ROW(),$C$6)="","",INDEX($A:$U,ROW(),$C$6)))</f>
        <v/>
      </c>
      <c r="X1466" s="32">
        <f>IF($W1466="","",IF(ISNUMBER($W1466),IF($W1466&gt;=10000000,IFERROR(DATE(INT($W1466/10000),MOD(INT($W1466/100),100),MOD($W1466,100)),""),INT($W1466)),IFERROR(DATE(--LEFT(LEFT(SUBSTITUTE(SUBSTITUTE(SUBSTITUTE(SUBSTITUTE(TRIM($W1466),"-",""),".",""),"/","")," ",""),8),4),--MID(LEFT(SUBSTITUTE(SUBSTITUTE(SUBSTITUTE(SUBSTITUTE(TRIM($W1466),"-",""),".",""),"/","")," ",""),8),5,2),--MID(LEFT(SUBSTITUTE(SUBSTITUTE(SUBSTITUTE(SUBSTITUTE(TRIM($W1466),"-",""),".",""),"/","")," ",""),8),7,2)),"")))</f>
        <v/>
      </c>
      <c r="Y1466" s="32">
        <f>IF($X1466="","",INT($X1466))</f>
        <v/>
      </c>
      <c r="Z1466" s="33">
        <f>IF(OR($Y1466="",$D$6=""),"",IF(INDEX($A:$U,ROW(),$D$6)="",0,IF(ISNUMBER(INDEX($A:$U,ROW(),$D$6)),INDEX($A:$U,ROW(),$D$6),IFERROR(--SUBSTITUTE(SUBSTITUTE(TRIM(INDEX($A:$U,ROW(),$D$6)),",",""),"원",""),0))))</f>
        <v/>
      </c>
      <c r="AA1466" s="31">
        <f>IF($Y1466="","",TRIM(INDEX($A:$U,ROW(),$E$6)&amp;IF($F$6="",""," "&amp;INDEX($A:$U,ROW(),$F$6))))</f>
        <v/>
      </c>
      <c r="AB1466" s="31">
        <f>IF($AA1466="","",SUBSTITUTE(SUBSTITUTE(SUBSTITUTE(SUBSTITUTE(SUBSTITUTE(SUBSTITUTE(SUBSTITUTE(SUBSTITUTE(SUBSTITUTE($AA1466," ",""),"　",""),"(주)",""),"（주）",""),"㈜",""),"주식회사",""),"(유)",""),"（유）",""),"유한회사",""))</f>
        <v/>
      </c>
      <c r="AC1466" s="31">
        <f>IF(OR($Y1466="",N($Z1466)&lt;=0,$AB1466=""),0,IFERROR(LOOKUP(2,1/((거래처별!$AC$8:$AC$307&lt;&gt;"")*ISNUMBER(SEARCH(거래처별!$AC$8:$AC$307,$AB1466))),거래처별!$A$8:$A$307),IFERROR(LOOKUP(2,1/((거래처별!$AD$8:$AD$307&lt;&gt;"")*ISNUMBER(SEARCH(거래처별!$AD$8:$AD$307,$AB1466))),거래처별!$A$8:$A$307),IFERROR(LOOKUP(2,1/((거래처별!$AE$8:$AE$307&lt;&gt;"")*ISNUMBER(SEARCH(거래처별!$AE$8:$AE$307,$AB1466))),거래처별!$A$8:$A$307),0))))</f>
        <v/>
      </c>
      <c r="AD1466" s="31">
        <f>IF(AND($Y1466&lt;&gt;"",N($Z1466)&gt;0,$AC1466=0),MAX($AD$7:$AD1465)+1,"")</f>
        <v/>
      </c>
      <c r="AE1466" s="31">
        <f>IF($Y1466="",0,$Y1466)</f>
        <v/>
      </c>
    </row>
    <row r="1467">
      <c r="W1467" s="31">
        <f>IF(OR($B$5="",$C$6="",ROW()&lt;$B$5),"",IF(INDEX($A:$U,ROW(),$C$6)="","",INDEX($A:$U,ROW(),$C$6)))</f>
        <v/>
      </c>
      <c r="X1467" s="32">
        <f>IF($W1467="","",IF(ISNUMBER($W1467),IF($W1467&gt;=10000000,IFERROR(DATE(INT($W1467/10000),MOD(INT($W1467/100),100),MOD($W1467,100)),""),INT($W1467)),IFERROR(DATE(--LEFT(LEFT(SUBSTITUTE(SUBSTITUTE(SUBSTITUTE(SUBSTITUTE(TRIM($W1467),"-",""),".",""),"/","")," ",""),8),4),--MID(LEFT(SUBSTITUTE(SUBSTITUTE(SUBSTITUTE(SUBSTITUTE(TRIM($W1467),"-",""),".",""),"/","")," ",""),8),5,2),--MID(LEFT(SUBSTITUTE(SUBSTITUTE(SUBSTITUTE(SUBSTITUTE(TRIM($W1467),"-",""),".",""),"/","")," ",""),8),7,2)),"")))</f>
        <v/>
      </c>
      <c r="Y1467" s="32">
        <f>IF($X1467="","",INT($X1467))</f>
        <v/>
      </c>
      <c r="Z1467" s="33">
        <f>IF(OR($Y1467="",$D$6=""),"",IF(INDEX($A:$U,ROW(),$D$6)="",0,IF(ISNUMBER(INDEX($A:$U,ROW(),$D$6)),INDEX($A:$U,ROW(),$D$6),IFERROR(--SUBSTITUTE(SUBSTITUTE(TRIM(INDEX($A:$U,ROW(),$D$6)),",",""),"원",""),0))))</f>
        <v/>
      </c>
      <c r="AA1467" s="31">
        <f>IF($Y1467="","",TRIM(INDEX($A:$U,ROW(),$E$6)&amp;IF($F$6="",""," "&amp;INDEX($A:$U,ROW(),$F$6))))</f>
        <v/>
      </c>
      <c r="AB1467" s="31">
        <f>IF($AA1467="","",SUBSTITUTE(SUBSTITUTE(SUBSTITUTE(SUBSTITUTE(SUBSTITUTE(SUBSTITUTE(SUBSTITUTE(SUBSTITUTE(SUBSTITUTE($AA1467," ",""),"　",""),"(주)",""),"（주）",""),"㈜",""),"주식회사",""),"(유)",""),"（유）",""),"유한회사",""))</f>
        <v/>
      </c>
      <c r="AC1467" s="31">
        <f>IF(OR($Y1467="",N($Z1467)&lt;=0,$AB1467=""),0,IFERROR(LOOKUP(2,1/((거래처별!$AC$8:$AC$307&lt;&gt;"")*ISNUMBER(SEARCH(거래처별!$AC$8:$AC$307,$AB1467))),거래처별!$A$8:$A$307),IFERROR(LOOKUP(2,1/((거래처별!$AD$8:$AD$307&lt;&gt;"")*ISNUMBER(SEARCH(거래처별!$AD$8:$AD$307,$AB1467))),거래처별!$A$8:$A$307),IFERROR(LOOKUP(2,1/((거래처별!$AE$8:$AE$307&lt;&gt;"")*ISNUMBER(SEARCH(거래처별!$AE$8:$AE$307,$AB1467))),거래처별!$A$8:$A$307),0))))</f>
        <v/>
      </c>
      <c r="AD1467" s="31">
        <f>IF(AND($Y1467&lt;&gt;"",N($Z1467)&gt;0,$AC1467=0),MAX($AD$7:$AD1466)+1,"")</f>
        <v/>
      </c>
      <c r="AE1467" s="31">
        <f>IF($Y1467="",0,$Y1467)</f>
        <v/>
      </c>
    </row>
    <row r="1468">
      <c r="W1468" s="31">
        <f>IF(OR($B$5="",$C$6="",ROW()&lt;$B$5),"",IF(INDEX($A:$U,ROW(),$C$6)="","",INDEX($A:$U,ROW(),$C$6)))</f>
        <v/>
      </c>
      <c r="X1468" s="32">
        <f>IF($W1468="","",IF(ISNUMBER($W1468),IF($W1468&gt;=10000000,IFERROR(DATE(INT($W1468/10000),MOD(INT($W1468/100),100),MOD($W1468,100)),""),INT($W1468)),IFERROR(DATE(--LEFT(LEFT(SUBSTITUTE(SUBSTITUTE(SUBSTITUTE(SUBSTITUTE(TRIM($W1468),"-",""),".",""),"/","")," ",""),8),4),--MID(LEFT(SUBSTITUTE(SUBSTITUTE(SUBSTITUTE(SUBSTITUTE(TRIM($W1468),"-",""),".",""),"/","")," ",""),8),5,2),--MID(LEFT(SUBSTITUTE(SUBSTITUTE(SUBSTITUTE(SUBSTITUTE(TRIM($W1468),"-",""),".",""),"/","")," ",""),8),7,2)),"")))</f>
        <v/>
      </c>
      <c r="Y1468" s="32">
        <f>IF($X1468="","",INT($X1468))</f>
        <v/>
      </c>
      <c r="Z1468" s="33">
        <f>IF(OR($Y1468="",$D$6=""),"",IF(INDEX($A:$U,ROW(),$D$6)="",0,IF(ISNUMBER(INDEX($A:$U,ROW(),$D$6)),INDEX($A:$U,ROW(),$D$6),IFERROR(--SUBSTITUTE(SUBSTITUTE(TRIM(INDEX($A:$U,ROW(),$D$6)),",",""),"원",""),0))))</f>
        <v/>
      </c>
      <c r="AA1468" s="31">
        <f>IF($Y1468="","",TRIM(INDEX($A:$U,ROW(),$E$6)&amp;IF($F$6="",""," "&amp;INDEX($A:$U,ROW(),$F$6))))</f>
        <v/>
      </c>
      <c r="AB1468" s="31">
        <f>IF($AA1468="","",SUBSTITUTE(SUBSTITUTE(SUBSTITUTE(SUBSTITUTE(SUBSTITUTE(SUBSTITUTE(SUBSTITUTE(SUBSTITUTE(SUBSTITUTE($AA1468," ",""),"　",""),"(주)",""),"（주）",""),"㈜",""),"주식회사",""),"(유)",""),"（유）",""),"유한회사",""))</f>
        <v/>
      </c>
      <c r="AC1468" s="31">
        <f>IF(OR($Y1468="",N($Z1468)&lt;=0,$AB1468=""),0,IFERROR(LOOKUP(2,1/((거래처별!$AC$8:$AC$307&lt;&gt;"")*ISNUMBER(SEARCH(거래처별!$AC$8:$AC$307,$AB1468))),거래처별!$A$8:$A$307),IFERROR(LOOKUP(2,1/((거래처별!$AD$8:$AD$307&lt;&gt;"")*ISNUMBER(SEARCH(거래처별!$AD$8:$AD$307,$AB1468))),거래처별!$A$8:$A$307),IFERROR(LOOKUP(2,1/((거래처별!$AE$8:$AE$307&lt;&gt;"")*ISNUMBER(SEARCH(거래처별!$AE$8:$AE$307,$AB1468))),거래처별!$A$8:$A$307),0))))</f>
        <v/>
      </c>
      <c r="AD1468" s="31">
        <f>IF(AND($Y1468&lt;&gt;"",N($Z1468)&gt;0,$AC1468=0),MAX($AD$7:$AD1467)+1,"")</f>
        <v/>
      </c>
      <c r="AE1468" s="31">
        <f>IF($Y1468="",0,$Y1468)</f>
        <v/>
      </c>
    </row>
    <row r="1469">
      <c r="W1469" s="31">
        <f>IF(OR($B$5="",$C$6="",ROW()&lt;$B$5),"",IF(INDEX($A:$U,ROW(),$C$6)="","",INDEX($A:$U,ROW(),$C$6)))</f>
        <v/>
      </c>
      <c r="X1469" s="32">
        <f>IF($W1469="","",IF(ISNUMBER($W1469),IF($W1469&gt;=10000000,IFERROR(DATE(INT($W1469/10000),MOD(INT($W1469/100),100),MOD($W1469,100)),""),INT($W1469)),IFERROR(DATE(--LEFT(LEFT(SUBSTITUTE(SUBSTITUTE(SUBSTITUTE(SUBSTITUTE(TRIM($W1469),"-",""),".",""),"/","")," ",""),8),4),--MID(LEFT(SUBSTITUTE(SUBSTITUTE(SUBSTITUTE(SUBSTITUTE(TRIM($W1469),"-",""),".",""),"/","")," ",""),8),5,2),--MID(LEFT(SUBSTITUTE(SUBSTITUTE(SUBSTITUTE(SUBSTITUTE(TRIM($W1469),"-",""),".",""),"/","")," ",""),8),7,2)),"")))</f>
        <v/>
      </c>
      <c r="Y1469" s="32">
        <f>IF($X1469="","",INT($X1469))</f>
        <v/>
      </c>
      <c r="Z1469" s="33">
        <f>IF(OR($Y1469="",$D$6=""),"",IF(INDEX($A:$U,ROW(),$D$6)="",0,IF(ISNUMBER(INDEX($A:$U,ROW(),$D$6)),INDEX($A:$U,ROW(),$D$6),IFERROR(--SUBSTITUTE(SUBSTITUTE(TRIM(INDEX($A:$U,ROW(),$D$6)),",",""),"원",""),0))))</f>
        <v/>
      </c>
      <c r="AA1469" s="31">
        <f>IF($Y1469="","",TRIM(INDEX($A:$U,ROW(),$E$6)&amp;IF($F$6="",""," "&amp;INDEX($A:$U,ROW(),$F$6))))</f>
        <v/>
      </c>
      <c r="AB1469" s="31">
        <f>IF($AA1469="","",SUBSTITUTE(SUBSTITUTE(SUBSTITUTE(SUBSTITUTE(SUBSTITUTE(SUBSTITUTE(SUBSTITUTE(SUBSTITUTE(SUBSTITUTE($AA1469," ",""),"　",""),"(주)",""),"（주）",""),"㈜",""),"주식회사",""),"(유)",""),"（유）",""),"유한회사",""))</f>
        <v/>
      </c>
      <c r="AC1469" s="31">
        <f>IF(OR($Y1469="",N($Z1469)&lt;=0,$AB1469=""),0,IFERROR(LOOKUP(2,1/((거래처별!$AC$8:$AC$307&lt;&gt;"")*ISNUMBER(SEARCH(거래처별!$AC$8:$AC$307,$AB1469))),거래처별!$A$8:$A$307),IFERROR(LOOKUP(2,1/((거래처별!$AD$8:$AD$307&lt;&gt;"")*ISNUMBER(SEARCH(거래처별!$AD$8:$AD$307,$AB1469))),거래처별!$A$8:$A$307),IFERROR(LOOKUP(2,1/((거래처별!$AE$8:$AE$307&lt;&gt;"")*ISNUMBER(SEARCH(거래처별!$AE$8:$AE$307,$AB1469))),거래처별!$A$8:$A$307),0))))</f>
        <v/>
      </c>
      <c r="AD1469" s="31">
        <f>IF(AND($Y1469&lt;&gt;"",N($Z1469)&gt;0,$AC1469=0),MAX($AD$7:$AD1468)+1,"")</f>
        <v/>
      </c>
      <c r="AE1469" s="31">
        <f>IF($Y1469="",0,$Y1469)</f>
        <v/>
      </c>
    </row>
    <row r="1470">
      <c r="W1470" s="31">
        <f>IF(OR($B$5="",$C$6="",ROW()&lt;$B$5),"",IF(INDEX($A:$U,ROW(),$C$6)="","",INDEX($A:$U,ROW(),$C$6)))</f>
        <v/>
      </c>
      <c r="X1470" s="32">
        <f>IF($W1470="","",IF(ISNUMBER($W1470),IF($W1470&gt;=10000000,IFERROR(DATE(INT($W1470/10000),MOD(INT($W1470/100),100),MOD($W1470,100)),""),INT($W1470)),IFERROR(DATE(--LEFT(LEFT(SUBSTITUTE(SUBSTITUTE(SUBSTITUTE(SUBSTITUTE(TRIM($W1470),"-",""),".",""),"/","")," ",""),8),4),--MID(LEFT(SUBSTITUTE(SUBSTITUTE(SUBSTITUTE(SUBSTITUTE(TRIM($W1470),"-",""),".",""),"/","")," ",""),8),5,2),--MID(LEFT(SUBSTITUTE(SUBSTITUTE(SUBSTITUTE(SUBSTITUTE(TRIM($W1470),"-",""),".",""),"/","")," ",""),8),7,2)),"")))</f>
        <v/>
      </c>
      <c r="Y1470" s="32">
        <f>IF($X1470="","",INT($X1470))</f>
        <v/>
      </c>
      <c r="Z1470" s="33">
        <f>IF(OR($Y1470="",$D$6=""),"",IF(INDEX($A:$U,ROW(),$D$6)="",0,IF(ISNUMBER(INDEX($A:$U,ROW(),$D$6)),INDEX($A:$U,ROW(),$D$6),IFERROR(--SUBSTITUTE(SUBSTITUTE(TRIM(INDEX($A:$U,ROW(),$D$6)),",",""),"원",""),0))))</f>
        <v/>
      </c>
      <c r="AA1470" s="31">
        <f>IF($Y1470="","",TRIM(INDEX($A:$U,ROW(),$E$6)&amp;IF($F$6="",""," "&amp;INDEX($A:$U,ROW(),$F$6))))</f>
        <v/>
      </c>
      <c r="AB1470" s="31">
        <f>IF($AA1470="","",SUBSTITUTE(SUBSTITUTE(SUBSTITUTE(SUBSTITUTE(SUBSTITUTE(SUBSTITUTE(SUBSTITUTE(SUBSTITUTE(SUBSTITUTE($AA1470," ",""),"　",""),"(주)",""),"（주）",""),"㈜",""),"주식회사",""),"(유)",""),"（유）",""),"유한회사",""))</f>
        <v/>
      </c>
      <c r="AC1470" s="31">
        <f>IF(OR($Y1470="",N($Z1470)&lt;=0,$AB1470=""),0,IFERROR(LOOKUP(2,1/((거래처별!$AC$8:$AC$307&lt;&gt;"")*ISNUMBER(SEARCH(거래처별!$AC$8:$AC$307,$AB1470))),거래처별!$A$8:$A$307),IFERROR(LOOKUP(2,1/((거래처별!$AD$8:$AD$307&lt;&gt;"")*ISNUMBER(SEARCH(거래처별!$AD$8:$AD$307,$AB1470))),거래처별!$A$8:$A$307),IFERROR(LOOKUP(2,1/((거래처별!$AE$8:$AE$307&lt;&gt;"")*ISNUMBER(SEARCH(거래처별!$AE$8:$AE$307,$AB1470))),거래처별!$A$8:$A$307),0))))</f>
        <v/>
      </c>
      <c r="AD1470" s="31">
        <f>IF(AND($Y1470&lt;&gt;"",N($Z1470)&gt;0,$AC1470=0),MAX($AD$7:$AD1469)+1,"")</f>
        <v/>
      </c>
      <c r="AE1470" s="31">
        <f>IF($Y1470="",0,$Y1470)</f>
        <v/>
      </c>
    </row>
    <row r="1471">
      <c r="W1471" s="31">
        <f>IF(OR($B$5="",$C$6="",ROW()&lt;$B$5),"",IF(INDEX($A:$U,ROW(),$C$6)="","",INDEX($A:$U,ROW(),$C$6)))</f>
        <v/>
      </c>
      <c r="X1471" s="32">
        <f>IF($W1471="","",IF(ISNUMBER($W1471),IF($W1471&gt;=10000000,IFERROR(DATE(INT($W1471/10000),MOD(INT($W1471/100),100),MOD($W1471,100)),""),INT($W1471)),IFERROR(DATE(--LEFT(LEFT(SUBSTITUTE(SUBSTITUTE(SUBSTITUTE(SUBSTITUTE(TRIM($W1471),"-",""),".",""),"/","")," ",""),8),4),--MID(LEFT(SUBSTITUTE(SUBSTITUTE(SUBSTITUTE(SUBSTITUTE(TRIM($W1471),"-",""),".",""),"/","")," ",""),8),5,2),--MID(LEFT(SUBSTITUTE(SUBSTITUTE(SUBSTITUTE(SUBSTITUTE(TRIM($W1471),"-",""),".",""),"/","")," ",""),8),7,2)),"")))</f>
        <v/>
      </c>
      <c r="Y1471" s="32">
        <f>IF($X1471="","",INT($X1471))</f>
        <v/>
      </c>
      <c r="Z1471" s="33">
        <f>IF(OR($Y1471="",$D$6=""),"",IF(INDEX($A:$U,ROW(),$D$6)="",0,IF(ISNUMBER(INDEX($A:$U,ROW(),$D$6)),INDEX($A:$U,ROW(),$D$6),IFERROR(--SUBSTITUTE(SUBSTITUTE(TRIM(INDEX($A:$U,ROW(),$D$6)),",",""),"원",""),0))))</f>
        <v/>
      </c>
      <c r="AA1471" s="31">
        <f>IF($Y1471="","",TRIM(INDEX($A:$U,ROW(),$E$6)&amp;IF($F$6="",""," "&amp;INDEX($A:$U,ROW(),$F$6))))</f>
        <v/>
      </c>
      <c r="AB1471" s="31">
        <f>IF($AA1471="","",SUBSTITUTE(SUBSTITUTE(SUBSTITUTE(SUBSTITUTE(SUBSTITUTE(SUBSTITUTE(SUBSTITUTE(SUBSTITUTE(SUBSTITUTE($AA1471," ",""),"　",""),"(주)",""),"（주）",""),"㈜",""),"주식회사",""),"(유)",""),"（유）",""),"유한회사",""))</f>
        <v/>
      </c>
      <c r="AC1471" s="31">
        <f>IF(OR($Y1471="",N($Z1471)&lt;=0,$AB1471=""),0,IFERROR(LOOKUP(2,1/((거래처별!$AC$8:$AC$307&lt;&gt;"")*ISNUMBER(SEARCH(거래처별!$AC$8:$AC$307,$AB1471))),거래처별!$A$8:$A$307),IFERROR(LOOKUP(2,1/((거래처별!$AD$8:$AD$307&lt;&gt;"")*ISNUMBER(SEARCH(거래처별!$AD$8:$AD$307,$AB1471))),거래처별!$A$8:$A$307),IFERROR(LOOKUP(2,1/((거래처별!$AE$8:$AE$307&lt;&gt;"")*ISNUMBER(SEARCH(거래처별!$AE$8:$AE$307,$AB1471))),거래처별!$A$8:$A$307),0))))</f>
        <v/>
      </c>
      <c r="AD1471" s="31">
        <f>IF(AND($Y1471&lt;&gt;"",N($Z1471)&gt;0,$AC1471=0),MAX($AD$7:$AD1470)+1,"")</f>
        <v/>
      </c>
      <c r="AE1471" s="31">
        <f>IF($Y1471="",0,$Y1471)</f>
        <v/>
      </c>
    </row>
    <row r="1472">
      <c r="W1472" s="31">
        <f>IF(OR($B$5="",$C$6="",ROW()&lt;$B$5),"",IF(INDEX($A:$U,ROW(),$C$6)="","",INDEX($A:$U,ROW(),$C$6)))</f>
        <v/>
      </c>
      <c r="X1472" s="32">
        <f>IF($W1472="","",IF(ISNUMBER($W1472),IF($W1472&gt;=10000000,IFERROR(DATE(INT($W1472/10000),MOD(INT($W1472/100),100),MOD($W1472,100)),""),INT($W1472)),IFERROR(DATE(--LEFT(LEFT(SUBSTITUTE(SUBSTITUTE(SUBSTITUTE(SUBSTITUTE(TRIM($W1472),"-",""),".",""),"/","")," ",""),8),4),--MID(LEFT(SUBSTITUTE(SUBSTITUTE(SUBSTITUTE(SUBSTITUTE(TRIM($W1472),"-",""),".",""),"/","")," ",""),8),5,2),--MID(LEFT(SUBSTITUTE(SUBSTITUTE(SUBSTITUTE(SUBSTITUTE(TRIM($W1472),"-",""),".",""),"/","")," ",""),8),7,2)),"")))</f>
        <v/>
      </c>
      <c r="Y1472" s="32">
        <f>IF($X1472="","",INT($X1472))</f>
        <v/>
      </c>
      <c r="Z1472" s="33">
        <f>IF(OR($Y1472="",$D$6=""),"",IF(INDEX($A:$U,ROW(),$D$6)="",0,IF(ISNUMBER(INDEX($A:$U,ROW(),$D$6)),INDEX($A:$U,ROW(),$D$6),IFERROR(--SUBSTITUTE(SUBSTITUTE(TRIM(INDEX($A:$U,ROW(),$D$6)),",",""),"원",""),0))))</f>
        <v/>
      </c>
      <c r="AA1472" s="31">
        <f>IF($Y1472="","",TRIM(INDEX($A:$U,ROW(),$E$6)&amp;IF($F$6="",""," "&amp;INDEX($A:$U,ROW(),$F$6))))</f>
        <v/>
      </c>
      <c r="AB1472" s="31">
        <f>IF($AA1472="","",SUBSTITUTE(SUBSTITUTE(SUBSTITUTE(SUBSTITUTE(SUBSTITUTE(SUBSTITUTE(SUBSTITUTE(SUBSTITUTE(SUBSTITUTE($AA1472," ",""),"　",""),"(주)",""),"（주）",""),"㈜",""),"주식회사",""),"(유)",""),"（유）",""),"유한회사",""))</f>
        <v/>
      </c>
      <c r="AC1472" s="31">
        <f>IF(OR($Y1472="",N($Z1472)&lt;=0,$AB1472=""),0,IFERROR(LOOKUP(2,1/((거래처별!$AC$8:$AC$307&lt;&gt;"")*ISNUMBER(SEARCH(거래처별!$AC$8:$AC$307,$AB1472))),거래처별!$A$8:$A$307),IFERROR(LOOKUP(2,1/((거래처별!$AD$8:$AD$307&lt;&gt;"")*ISNUMBER(SEARCH(거래처별!$AD$8:$AD$307,$AB1472))),거래처별!$A$8:$A$307),IFERROR(LOOKUP(2,1/((거래처별!$AE$8:$AE$307&lt;&gt;"")*ISNUMBER(SEARCH(거래처별!$AE$8:$AE$307,$AB1472))),거래처별!$A$8:$A$307),0))))</f>
        <v/>
      </c>
      <c r="AD1472" s="31">
        <f>IF(AND($Y1472&lt;&gt;"",N($Z1472)&gt;0,$AC1472=0),MAX($AD$7:$AD1471)+1,"")</f>
        <v/>
      </c>
      <c r="AE1472" s="31">
        <f>IF($Y1472="",0,$Y1472)</f>
        <v/>
      </c>
    </row>
    <row r="1473">
      <c r="W1473" s="31">
        <f>IF(OR($B$5="",$C$6="",ROW()&lt;$B$5),"",IF(INDEX($A:$U,ROW(),$C$6)="","",INDEX($A:$U,ROW(),$C$6)))</f>
        <v/>
      </c>
      <c r="X1473" s="32">
        <f>IF($W1473="","",IF(ISNUMBER($W1473),IF($W1473&gt;=10000000,IFERROR(DATE(INT($W1473/10000),MOD(INT($W1473/100),100),MOD($W1473,100)),""),INT($W1473)),IFERROR(DATE(--LEFT(LEFT(SUBSTITUTE(SUBSTITUTE(SUBSTITUTE(SUBSTITUTE(TRIM($W1473),"-",""),".",""),"/","")," ",""),8),4),--MID(LEFT(SUBSTITUTE(SUBSTITUTE(SUBSTITUTE(SUBSTITUTE(TRIM($W1473),"-",""),".",""),"/","")," ",""),8),5,2),--MID(LEFT(SUBSTITUTE(SUBSTITUTE(SUBSTITUTE(SUBSTITUTE(TRIM($W1473),"-",""),".",""),"/","")," ",""),8),7,2)),"")))</f>
        <v/>
      </c>
      <c r="Y1473" s="32">
        <f>IF($X1473="","",INT($X1473))</f>
        <v/>
      </c>
      <c r="Z1473" s="33">
        <f>IF(OR($Y1473="",$D$6=""),"",IF(INDEX($A:$U,ROW(),$D$6)="",0,IF(ISNUMBER(INDEX($A:$U,ROW(),$D$6)),INDEX($A:$U,ROW(),$D$6),IFERROR(--SUBSTITUTE(SUBSTITUTE(TRIM(INDEX($A:$U,ROW(),$D$6)),",",""),"원",""),0))))</f>
        <v/>
      </c>
      <c r="AA1473" s="31">
        <f>IF($Y1473="","",TRIM(INDEX($A:$U,ROW(),$E$6)&amp;IF($F$6="",""," "&amp;INDEX($A:$U,ROW(),$F$6))))</f>
        <v/>
      </c>
      <c r="AB1473" s="31">
        <f>IF($AA1473="","",SUBSTITUTE(SUBSTITUTE(SUBSTITUTE(SUBSTITUTE(SUBSTITUTE(SUBSTITUTE(SUBSTITUTE(SUBSTITUTE(SUBSTITUTE($AA1473," ",""),"　",""),"(주)",""),"（주）",""),"㈜",""),"주식회사",""),"(유)",""),"（유）",""),"유한회사",""))</f>
        <v/>
      </c>
      <c r="AC1473" s="31">
        <f>IF(OR($Y1473="",N($Z1473)&lt;=0,$AB1473=""),0,IFERROR(LOOKUP(2,1/((거래처별!$AC$8:$AC$307&lt;&gt;"")*ISNUMBER(SEARCH(거래처별!$AC$8:$AC$307,$AB1473))),거래처별!$A$8:$A$307),IFERROR(LOOKUP(2,1/((거래처별!$AD$8:$AD$307&lt;&gt;"")*ISNUMBER(SEARCH(거래처별!$AD$8:$AD$307,$AB1473))),거래처별!$A$8:$A$307),IFERROR(LOOKUP(2,1/((거래처별!$AE$8:$AE$307&lt;&gt;"")*ISNUMBER(SEARCH(거래처별!$AE$8:$AE$307,$AB1473))),거래처별!$A$8:$A$307),0))))</f>
        <v/>
      </c>
      <c r="AD1473" s="31">
        <f>IF(AND($Y1473&lt;&gt;"",N($Z1473)&gt;0,$AC1473=0),MAX($AD$7:$AD1472)+1,"")</f>
        <v/>
      </c>
      <c r="AE1473" s="31">
        <f>IF($Y1473="",0,$Y1473)</f>
        <v/>
      </c>
    </row>
    <row r="1474">
      <c r="W1474" s="31">
        <f>IF(OR($B$5="",$C$6="",ROW()&lt;$B$5),"",IF(INDEX($A:$U,ROW(),$C$6)="","",INDEX($A:$U,ROW(),$C$6)))</f>
        <v/>
      </c>
      <c r="X1474" s="32">
        <f>IF($W1474="","",IF(ISNUMBER($W1474),IF($W1474&gt;=10000000,IFERROR(DATE(INT($W1474/10000),MOD(INT($W1474/100),100),MOD($W1474,100)),""),INT($W1474)),IFERROR(DATE(--LEFT(LEFT(SUBSTITUTE(SUBSTITUTE(SUBSTITUTE(SUBSTITUTE(TRIM($W1474),"-",""),".",""),"/","")," ",""),8),4),--MID(LEFT(SUBSTITUTE(SUBSTITUTE(SUBSTITUTE(SUBSTITUTE(TRIM($W1474),"-",""),".",""),"/","")," ",""),8),5,2),--MID(LEFT(SUBSTITUTE(SUBSTITUTE(SUBSTITUTE(SUBSTITUTE(TRIM($W1474),"-",""),".",""),"/","")," ",""),8),7,2)),"")))</f>
        <v/>
      </c>
      <c r="Y1474" s="32">
        <f>IF($X1474="","",INT($X1474))</f>
        <v/>
      </c>
      <c r="Z1474" s="33">
        <f>IF(OR($Y1474="",$D$6=""),"",IF(INDEX($A:$U,ROW(),$D$6)="",0,IF(ISNUMBER(INDEX($A:$U,ROW(),$D$6)),INDEX($A:$U,ROW(),$D$6),IFERROR(--SUBSTITUTE(SUBSTITUTE(TRIM(INDEX($A:$U,ROW(),$D$6)),",",""),"원",""),0))))</f>
        <v/>
      </c>
      <c r="AA1474" s="31">
        <f>IF($Y1474="","",TRIM(INDEX($A:$U,ROW(),$E$6)&amp;IF($F$6="",""," "&amp;INDEX($A:$U,ROW(),$F$6))))</f>
        <v/>
      </c>
      <c r="AB1474" s="31">
        <f>IF($AA1474="","",SUBSTITUTE(SUBSTITUTE(SUBSTITUTE(SUBSTITUTE(SUBSTITUTE(SUBSTITUTE(SUBSTITUTE(SUBSTITUTE(SUBSTITUTE($AA1474," ",""),"　",""),"(주)",""),"（주）",""),"㈜",""),"주식회사",""),"(유)",""),"（유）",""),"유한회사",""))</f>
        <v/>
      </c>
      <c r="AC1474" s="31">
        <f>IF(OR($Y1474="",N($Z1474)&lt;=0,$AB1474=""),0,IFERROR(LOOKUP(2,1/((거래처별!$AC$8:$AC$307&lt;&gt;"")*ISNUMBER(SEARCH(거래처별!$AC$8:$AC$307,$AB1474))),거래처별!$A$8:$A$307),IFERROR(LOOKUP(2,1/((거래처별!$AD$8:$AD$307&lt;&gt;"")*ISNUMBER(SEARCH(거래처별!$AD$8:$AD$307,$AB1474))),거래처별!$A$8:$A$307),IFERROR(LOOKUP(2,1/((거래처별!$AE$8:$AE$307&lt;&gt;"")*ISNUMBER(SEARCH(거래처별!$AE$8:$AE$307,$AB1474))),거래처별!$A$8:$A$307),0))))</f>
        <v/>
      </c>
      <c r="AD1474" s="31">
        <f>IF(AND($Y1474&lt;&gt;"",N($Z1474)&gt;0,$AC1474=0),MAX($AD$7:$AD1473)+1,"")</f>
        <v/>
      </c>
      <c r="AE1474" s="31">
        <f>IF($Y1474="",0,$Y1474)</f>
        <v/>
      </c>
    </row>
    <row r="1475">
      <c r="W1475" s="31">
        <f>IF(OR($B$5="",$C$6="",ROW()&lt;$B$5),"",IF(INDEX($A:$U,ROW(),$C$6)="","",INDEX($A:$U,ROW(),$C$6)))</f>
        <v/>
      </c>
      <c r="X1475" s="32">
        <f>IF($W1475="","",IF(ISNUMBER($W1475),IF($W1475&gt;=10000000,IFERROR(DATE(INT($W1475/10000),MOD(INT($W1475/100),100),MOD($W1475,100)),""),INT($W1475)),IFERROR(DATE(--LEFT(LEFT(SUBSTITUTE(SUBSTITUTE(SUBSTITUTE(SUBSTITUTE(TRIM($W1475),"-",""),".",""),"/","")," ",""),8),4),--MID(LEFT(SUBSTITUTE(SUBSTITUTE(SUBSTITUTE(SUBSTITUTE(TRIM($W1475),"-",""),".",""),"/","")," ",""),8),5,2),--MID(LEFT(SUBSTITUTE(SUBSTITUTE(SUBSTITUTE(SUBSTITUTE(TRIM($W1475),"-",""),".",""),"/","")," ",""),8),7,2)),"")))</f>
        <v/>
      </c>
      <c r="Y1475" s="32">
        <f>IF($X1475="","",INT($X1475))</f>
        <v/>
      </c>
      <c r="Z1475" s="33">
        <f>IF(OR($Y1475="",$D$6=""),"",IF(INDEX($A:$U,ROW(),$D$6)="",0,IF(ISNUMBER(INDEX($A:$U,ROW(),$D$6)),INDEX($A:$U,ROW(),$D$6),IFERROR(--SUBSTITUTE(SUBSTITUTE(TRIM(INDEX($A:$U,ROW(),$D$6)),",",""),"원",""),0))))</f>
        <v/>
      </c>
      <c r="AA1475" s="31">
        <f>IF($Y1475="","",TRIM(INDEX($A:$U,ROW(),$E$6)&amp;IF($F$6="",""," "&amp;INDEX($A:$U,ROW(),$F$6))))</f>
        <v/>
      </c>
      <c r="AB1475" s="31">
        <f>IF($AA1475="","",SUBSTITUTE(SUBSTITUTE(SUBSTITUTE(SUBSTITUTE(SUBSTITUTE(SUBSTITUTE(SUBSTITUTE(SUBSTITUTE(SUBSTITUTE($AA1475," ",""),"　",""),"(주)",""),"（주）",""),"㈜",""),"주식회사",""),"(유)",""),"（유）",""),"유한회사",""))</f>
        <v/>
      </c>
      <c r="AC1475" s="31">
        <f>IF(OR($Y1475="",N($Z1475)&lt;=0,$AB1475=""),0,IFERROR(LOOKUP(2,1/((거래처별!$AC$8:$AC$307&lt;&gt;"")*ISNUMBER(SEARCH(거래처별!$AC$8:$AC$307,$AB1475))),거래처별!$A$8:$A$307),IFERROR(LOOKUP(2,1/((거래처별!$AD$8:$AD$307&lt;&gt;"")*ISNUMBER(SEARCH(거래처별!$AD$8:$AD$307,$AB1475))),거래처별!$A$8:$A$307),IFERROR(LOOKUP(2,1/((거래처별!$AE$8:$AE$307&lt;&gt;"")*ISNUMBER(SEARCH(거래처별!$AE$8:$AE$307,$AB1475))),거래처별!$A$8:$A$307),0))))</f>
        <v/>
      </c>
      <c r="AD1475" s="31">
        <f>IF(AND($Y1475&lt;&gt;"",N($Z1475)&gt;0,$AC1475=0),MAX($AD$7:$AD1474)+1,"")</f>
        <v/>
      </c>
      <c r="AE1475" s="31">
        <f>IF($Y1475="",0,$Y1475)</f>
        <v/>
      </c>
    </row>
    <row r="1476">
      <c r="W1476" s="31">
        <f>IF(OR($B$5="",$C$6="",ROW()&lt;$B$5),"",IF(INDEX($A:$U,ROW(),$C$6)="","",INDEX($A:$U,ROW(),$C$6)))</f>
        <v/>
      </c>
      <c r="X1476" s="32">
        <f>IF($W1476="","",IF(ISNUMBER($W1476),IF($W1476&gt;=10000000,IFERROR(DATE(INT($W1476/10000),MOD(INT($W1476/100),100),MOD($W1476,100)),""),INT($W1476)),IFERROR(DATE(--LEFT(LEFT(SUBSTITUTE(SUBSTITUTE(SUBSTITUTE(SUBSTITUTE(TRIM($W1476),"-",""),".",""),"/","")," ",""),8),4),--MID(LEFT(SUBSTITUTE(SUBSTITUTE(SUBSTITUTE(SUBSTITUTE(TRIM($W1476),"-",""),".",""),"/","")," ",""),8),5,2),--MID(LEFT(SUBSTITUTE(SUBSTITUTE(SUBSTITUTE(SUBSTITUTE(TRIM($W1476),"-",""),".",""),"/","")," ",""),8),7,2)),"")))</f>
        <v/>
      </c>
      <c r="Y1476" s="32">
        <f>IF($X1476="","",INT($X1476))</f>
        <v/>
      </c>
      <c r="Z1476" s="33">
        <f>IF(OR($Y1476="",$D$6=""),"",IF(INDEX($A:$U,ROW(),$D$6)="",0,IF(ISNUMBER(INDEX($A:$U,ROW(),$D$6)),INDEX($A:$U,ROW(),$D$6),IFERROR(--SUBSTITUTE(SUBSTITUTE(TRIM(INDEX($A:$U,ROW(),$D$6)),",",""),"원",""),0))))</f>
        <v/>
      </c>
      <c r="AA1476" s="31">
        <f>IF($Y1476="","",TRIM(INDEX($A:$U,ROW(),$E$6)&amp;IF($F$6="",""," "&amp;INDEX($A:$U,ROW(),$F$6))))</f>
        <v/>
      </c>
      <c r="AB1476" s="31">
        <f>IF($AA1476="","",SUBSTITUTE(SUBSTITUTE(SUBSTITUTE(SUBSTITUTE(SUBSTITUTE(SUBSTITUTE(SUBSTITUTE(SUBSTITUTE(SUBSTITUTE($AA1476," ",""),"　",""),"(주)",""),"（주）",""),"㈜",""),"주식회사",""),"(유)",""),"（유）",""),"유한회사",""))</f>
        <v/>
      </c>
      <c r="AC1476" s="31">
        <f>IF(OR($Y1476="",N($Z1476)&lt;=0,$AB1476=""),0,IFERROR(LOOKUP(2,1/((거래처별!$AC$8:$AC$307&lt;&gt;"")*ISNUMBER(SEARCH(거래처별!$AC$8:$AC$307,$AB1476))),거래처별!$A$8:$A$307),IFERROR(LOOKUP(2,1/((거래처별!$AD$8:$AD$307&lt;&gt;"")*ISNUMBER(SEARCH(거래처별!$AD$8:$AD$307,$AB1476))),거래처별!$A$8:$A$307),IFERROR(LOOKUP(2,1/((거래처별!$AE$8:$AE$307&lt;&gt;"")*ISNUMBER(SEARCH(거래처별!$AE$8:$AE$307,$AB1476))),거래처별!$A$8:$A$307),0))))</f>
        <v/>
      </c>
      <c r="AD1476" s="31">
        <f>IF(AND($Y1476&lt;&gt;"",N($Z1476)&gt;0,$AC1476=0),MAX($AD$7:$AD1475)+1,"")</f>
        <v/>
      </c>
      <c r="AE1476" s="31">
        <f>IF($Y1476="",0,$Y1476)</f>
        <v/>
      </c>
    </row>
    <row r="1477">
      <c r="W1477" s="31">
        <f>IF(OR($B$5="",$C$6="",ROW()&lt;$B$5),"",IF(INDEX($A:$U,ROW(),$C$6)="","",INDEX($A:$U,ROW(),$C$6)))</f>
        <v/>
      </c>
      <c r="X1477" s="32">
        <f>IF($W1477="","",IF(ISNUMBER($W1477),IF($W1477&gt;=10000000,IFERROR(DATE(INT($W1477/10000),MOD(INT($W1477/100),100),MOD($W1477,100)),""),INT($W1477)),IFERROR(DATE(--LEFT(LEFT(SUBSTITUTE(SUBSTITUTE(SUBSTITUTE(SUBSTITUTE(TRIM($W1477),"-",""),".",""),"/","")," ",""),8),4),--MID(LEFT(SUBSTITUTE(SUBSTITUTE(SUBSTITUTE(SUBSTITUTE(TRIM($W1477),"-",""),".",""),"/","")," ",""),8),5,2),--MID(LEFT(SUBSTITUTE(SUBSTITUTE(SUBSTITUTE(SUBSTITUTE(TRIM($W1477),"-",""),".",""),"/","")," ",""),8),7,2)),"")))</f>
        <v/>
      </c>
      <c r="Y1477" s="32">
        <f>IF($X1477="","",INT($X1477))</f>
        <v/>
      </c>
      <c r="Z1477" s="33">
        <f>IF(OR($Y1477="",$D$6=""),"",IF(INDEX($A:$U,ROW(),$D$6)="",0,IF(ISNUMBER(INDEX($A:$U,ROW(),$D$6)),INDEX($A:$U,ROW(),$D$6),IFERROR(--SUBSTITUTE(SUBSTITUTE(TRIM(INDEX($A:$U,ROW(),$D$6)),",",""),"원",""),0))))</f>
        <v/>
      </c>
      <c r="AA1477" s="31">
        <f>IF($Y1477="","",TRIM(INDEX($A:$U,ROW(),$E$6)&amp;IF($F$6="",""," "&amp;INDEX($A:$U,ROW(),$F$6))))</f>
        <v/>
      </c>
      <c r="AB1477" s="31">
        <f>IF($AA1477="","",SUBSTITUTE(SUBSTITUTE(SUBSTITUTE(SUBSTITUTE(SUBSTITUTE(SUBSTITUTE(SUBSTITUTE(SUBSTITUTE(SUBSTITUTE($AA1477," ",""),"　",""),"(주)",""),"（주）",""),"㈜",""),"주식회사",""),"(유)",""),"（유）",""),"유한회사",""))</f>
        <v/>
      </c>
      <c r="AC1477" s="31">
        <f>IF(OR($Y1477="",N($Z1477)&lt;=0,$AB1477=""),0,IFERROR(LOOKUP(2,1/((거래처별!$AC$8:$AC$307&lt;&gt;"")*ISNUMBER(SEARCH(거래처별!$AC$8:$AC$307,$AB1477))),거래처별!$A$8:$A$307),IFERROR(LOOKUP(2,1/((거래처별!$AD$8:$AD$307&lt;&gt;"")*ISNUMBER(SEARCH(거래처별!$AD$8:$AD$307,$AB1477))),거래처별!$A$8:$A$307),IFERROR(LOOKUP(2,1/((거래처별!$AE$8:$AE$307&lt;&gt;"")*ISNUMBER(SEARCH(거래처별!$AE$8:$AE$307,$AB1477))),거래처별!$A$8:$A$307),0))))</f>
        <v/>
      </c>
      <c r="AD1477" s="31">
        <f>IF(AND($Y1477&lt;&gt;"",N($Z1477)&gt;0,$AC1477=0),MAX($AD$7:$AD1476)+1,"")</f>
        <v/>
      </c>
      <c r="AE1477" s="31">
        <f>IF($Y1477="",0,$Y1477)</f>
        <v/>
      </c>
    </row>
    <row r="1478">
      <c r="W1478" s="31">
        <f>IF(OR($B$5="",$C$6="",ROW()&lt;$B$5),"",IF(INDEX($A:$U,ROW(),$C$6)="","",INDEX($A:$U,ROW(),$C$6)))</f>
        <v/>
      </c>
      <c r="X1478" s="32">
        <f>IF($W1478="","",IF(ISNUMBER($W1478),IF($W1478&gt;=10000000,IFERROR(DATE(INT($W1478/10000),MOD(INT($W1478/100),100),MOD($W1478,100)),""),INT($W1478)),IFERROR(DATE(--LEFT(LEFT(SUBSTITUTE(SUBSTITUTE(SUBSTITUTE(SUBSTITUTE(TRIM($W1478),"-",""),".",""),"/","")," ",""),8),4),--MID(LEFT(SUBSTITUTE(SUBSTITUTE(SUBSTITUTE(SUBSTITUTE(TRIM($W1478),"-",""),".",""),"/","")," ",""),8),5,2),--MID(LEFT(SUBSTITUTE(SUBSTITUTE(SUBSTITUTE(SUBSTITUTE(TRIM($W1478),"-",""),".",""),"/","")," ",""),8),7,2)),"")))</f>
        <v/>
      </c>
      <c r="Y1478" s="32">
        <f>IF($X1478="","",INT($X1478))</f>
        <v/>
      </c>
      <c r="Z1478" s="33">
        <f>IF(OR($Y1478="",$D$6=""),"",IF(INDEX($A:$U,ROW(),$D$6)="",0,IF(ISNUMBER(INDEX($A:$U,ROW(),$D$6)),INDEX($A:$U,ROW(),$D$6),IFERROR(--SUBSTITUTE(SUBSTITUTE(TRIM(INDEX($A:$U,ROW(),$D$6)),",",""),"원",""),0))))</f>
        <v/>
      </c>
      <c r="AA1478" s="31">
        <f>IF($Y1478="","",TRIM(INDEX($A:$U,ROW(),$E$6)&amp;IF($F$6="",""," "&amp;INDEX($A:$U,ROW(),$F$6))))</f>
        <v/>
      </c>
      <c r="AB1478" s="31">
        <f>IF($AA1478="","",SUBSTITUTE(SUBSTITUTE(SUBSTITUTE(SUBSTITUTE(SUBSTITUTE(SUBSTITUTE(SUBSTITUTE(SUBSTITUTE(SUBSTITUTE($AA1478," ",""),"　",""),"(주)",""),"（주）",""),"㈜",""),"주식회사",""),"(유)",""),"（유）",""),"유한회사",""))</f>
        <v/>
      </c>
      <c r="AC1478" s="31">
        <f>IF(OR($Y1478="",N($Z1478)&lt;=0,$AB1478=""),0,IFERROR(LOOKUP(2,1/((거래처별!$AC$8:$AC$307&lt;&gt;"")*ISNUMBER(SEARCH(거래처별!$AC$8:$AC$307,$AB1478))),거래처별!$A$8:$A$307),IFERROR(LOOKUP(2,1/((거래처별!$AD$8:$AD$307&lt;&gt;"")*ISNUMBER(SEARCH(거래처별!$AD$8:$AD$307,$AB1478))),거래처별!$A$8:$A$307),IFERROR(LOOKUP(2,1/((거래처별!$AE$8:$AE$307&lt;&gt;"")*ISNUMBER(SEARCH(거래처별!$AE$8:$AE$307,$AB1478))),거래처별!$A$8:$A$307),0))))</f>
        <v/>
      </c>
      <c r="AD1478" s="31">
        <f>IF(AND($Y1478&lt;&gt;"",N($Z1478)&gt;0,$AC1478=0),MAX($AD$7:$AD1477)+1,"")</f>
        <v/>
      </c>
      <c r="AE1478" s="31">
        <f>IF($Y1478="",0,$Y1478)</f>
        <v/>
      </c>
    </row>
    <row r="1479">
      <c r="W1479" s="31">
        <f>IF(OR($B$5="",$C$6="",ROW()&lt;$B$5),"",IF(INDEX($A:$U,ROW(),$C$6)="","",INDEX($A:$U,ROW(),$C$6)))</f>
        <v/>
      </c>
      <c r="X1479" s="32">
        <f>IF($W1479="","",IF(ISNUMBER($W1479),IF($W1479&gt;=10000000,IFERROR(DATE(INT($W1479/10000),MOD(INT($W1479/100),100),MOD($W1479,100)),""),INT($W1479)),IFERROR(DATE(--LEFT(LEFT(SUBSTITUTE(SUBSTITUTE(SUBSTITUTE(SUBSTITUTE(TRIM($W1479),"-",""),".",""),"/","")," ",""),8),4),--MID(LEFT(SUBSTITUTE(SUBSTITUTE(SUBSTITUTE(SUBSTITUTE(TRIM($W1479),"-",""),".",""),"/","")," ",""),8),5,2),--MID(LEFT(SUBSTITUTE(SUBSTITUTE(SUBSTITUTE(SUBSTITUTE(TRIM($W1479),"-",""),".",""),"/","")," ",""),8),7,2)),"")))</f>
        <v/>
      </c>
      <c r="Y1479" s="32">
        <f>IF($X1479="","",INT($X1479))</f>
        <v/>
      </c>
      <c r="Z1479" s="33">
        <f>IF(OR($Y1479="",$D$6=""),"",IF(INDEX($A:$U,ROW(),$D$6)="",0,IF(ISNUMBER(INDEX($A:$U,ROW(),$D$6)),INDEX($A:$U,ROW(),$D$6),IFERROR(--SUBSTITUTE(SUBSTITUTE(TRIM(INDEX($A:$U,ROW(),$D$6)),",",""),"원",""),0))))</f>
        <v/>
      </c>
      <c r="AA1479" s="31">
        <f>IF($Y1479="","",TRIM(INDEX($A:$U,ROW(),$E$6)&amp;IF($F$6="",""," "&amp;INDEX($A:$U,ROW(),$F$6))))</f>
        <v/>
      </c>
      <c r="AB1479" s="31">
        <f>IF($AA1479="","",SUBSTITUTE(SUBSTITUTE(SUBSTITUTE(SUBSTITUTE(SUBSTITUTE(SUBSTITUTE(SUBSTITUTE(SUBSTITUTE(SUBSTITUTE($AA1479," ",""),"　",""),"(주)",""),"（주）",""),"㈜",""),"주식회사",""),"(유)",""),"（유）",""),"유한회사",""))</f>
        <v/>
      </c>
      <c r="AC1479" s="31">
        <f>IF(OR($Y1479="",N($Z1479)&lt;=0,$AB1479=""),0,IFERROR(LOOKUP(2,1/((거래처별!$AC$8:$AC$307&lt;&gt;"")*ISNUMBER(SEARCH(거래처별!$AC$8:$AC$307,$AB1479))),거래처별!$A$8:$A$307),IFERROR(LOOKUP(2,1/((거래처별!$AD$8:$AD$307&lt;&gt;"")*ISNUMBER(SEARCH(거래처별!$AD$8:$AD$307,$AB1479))),거래처별!$A$8:$A$307),IFERROR(LOOKUP(2,1/((거래처별!$AE$8:$AE$307&lt;&gt;"")*ISNUMBER(SEARCH(거래처별!$AE$8:$AE$307,$AB1479))),거래처별!$A$8:$A$307),0))))</f>
        <v/>
      </c>
      <c r="AD1479" s="31">
        <f>IF(AND($Y1479&lt;&gt;"",N($Z1479)&gt;0,$AC1479=0),MAX($AD$7:$AD1478)+1,"")</f>
        <v/>
      </c>
      <c r="AE1479" s="31">
        <f>IF($Y1479="",0,$Y1479)</f>
        <v/>
      </c>
    </row>
    <row r="1480">
      <c r="W1480" s="31">
        <f>IF(OR($B$5="",$C$6="",ROW()&lt;$B$5),"",IF(INDEX($A:$U,ROW(),$C$6)="","",INDEX($A:$U,ROW(),$C$6)))</f>
        <v/>
      </c>
      <c r="X1480" s="32">
        <f>IF($W1480="","",IF(ISNUMBER($W1480),IF($W1480&gt;=10000000,IFERROR(DATE(INT($W1480/10000),MOD(INT($W1480/100),100),MOD($W1480,100)),""),INT($W1480)),IFERROR(DATE(--LEFT(LEFT(SUBSTITUTE(SUBSTITUTE(SUBSTITUTE(SUBSTITUTE(TRIM($W1480),"-",""),".",""),"/","")," ",""),8),4),--MID(LEFT(SUBSTITUTE(SUBSTITUTE(SUBSTITUTE(SUBSTITUTE(TRIM($W1480),"-",""),".",""),"/","")," ",""),8),5,2),--MID(LEFT(SUBSTITUTE(SUBSTITUTE(SUBSTITUTE(SUBSTITUTE(TRIM($W1480),"-",""),".",""),"/","")," ",""),8),7,2)),"")))</f>
        <v/>
      </c>
      <c r="Y1480" s="32">
        <f>IF($X1480="","",INT($X1480))</f>
        <v/>
      </c>
      <c r="Z1480" s="33">
        <f>IF(OR($Y1480="",$D$6=""),"",IF(INDEX($A:$U,ROW(),$D$6)="",0,IF(ISNUMBER(INDEX($A:$U,ROW(),$D$6)),INDEX($A:$U,ROW(),$D$6),IFERROR(--SUBSTITUTE(SUBSTITUTE(TRIM(INDEX($A:$U,ROW(),$D$6)),",",""),"원",""),0))))</f>
        <v/>
      </c>
      <c r="AA1480" s="31">
        <f>IF($Y1480="","",TRIM(INDEX($A:$U,ROW(),$E$6)&amp;IF($F$6="",""," "&amp;INDEX($A:$U,ROW(),$F$6))))</f>
        <v/>
      </c>
      <c r="AB1480" s="31">
        <f>IF($AA1480="","",SUBSTITUTE(SUBSTITUTE(SUBSTITUTE(SUBSTITUTE(SUBSTITUTE(SUBSTITUTE(SUBSTITUTE(SUBSTITUTE(SUBSTITUTE($AA1480," ",""),"　",""),"(주)",""),"（주）",""),"㈜",""),"주식회사",""),"(유)",""),"（유）",""),"유한회사",""))</f>
        <v/>
      </c>
      <c r="AC1480" s="31">
        <f>IF(OR($Y1480="",N($Z1480)&lt;=0,$AB1480=""),0,IFERROR(LOOKUP(2,1/((거래처별!$AC$8:$AC$307&lt;&gt;"")*ISNUMBER(SEARCH(거래처별!$AC$8:$AC$307,$AB1480))),거래처별!$A$8:$A$307),IFERROR(LOOKUP(2,1/((거래처별!$AD$8:$AD$307&lt;&gt;"")*ISNUMBER(SEARCH(거래처별!$AD$8:$AD$307,$AB1480))),거래처별!$A$8:$A$307),IFERROR(LOOKUP(2,1/((거래처별!$AE$8:$AE$307&lt;&gt;"")*ISNUMBER(SEARCH(거래처별!$AE$8:$AE$307,$AB1480))),거래처별!$A$8:$A$307),0))))</f>
        <v/>
      </c>
      <c r="AD1480" s="31">
        <f>IF(AND($Y1480&lt;&gt;"",N($Z1480)&gt;0,$AC1480=0),MAX($AD$7:$AD1479)+1,"")</f>
        <v/>
      </c>
      <c r="AE1480" s="31">
        <f>IF($Y1480="",0,$Y1480)</f>
        <v/>
      </c>
    </row>
    <row r="1481">
      <c r="W1481" s="31">
        <f>IF(OR($B$5="",$C$6="",ROW()&lt;$B$5),"",IF(INDEX($A:$U,ROW(),$C$6)="","",INDEX($A:$U,ROW(),$C$6)))</f>
        <v/>
      </c>
      <c r="X1481" s="32">
        <f>IF($W1481="","",IF(ISNUMBER($W1481),IF($W1481&gt;=10000000,IFERROR(DATE(INT($W1481/10000),MOD(INT($W1481/100),100),MOD($W1481,100)),""),INT($W1481)),IFERROR(DATE(--LEFT(LEFT(SUBSTITUTE(SUBSTITUTE(SUBSTITUTE(SUBSTITUTE(TRIM($W1481),"-",""),".",""),"/","")," ",""),8),4),--MID(LEFT(SUBSTITUTE(SUBSTITUTE(SUBSTITUTE(SUBSTITUTE(TRIM($W1481),"-",""),".",""),"/","")," ",""),8),5,2),--MID(LEFT(SUBSTITUTE(SUBSTITUTE(SUBSTITUTE(SUBSTITUTE(TRIM($W1481),"-",""),".",""),"/","")," ",""),8),7,2)),"")))</f>
        <v/>
      </c>
      <c r="Y1481" s="32">
        <f>IF($X1481="","",INT($X1481))</f>
        <v/>
      </c>
      <c r="Z1481" s="33">
        <f>IF(OR($Y1481="",$D$6=""),"",IF(INDEX($A:$U,ROW(),$D$6)="",0,IF(ISNUMBER(INDEX($A:$U,ROW(),$D$6)),INDEX($A:$U,ROW(),$D$6),IFERROR(--SUBSTITUTE(SUBSTITUTE(TRIM(INDEX($A:$U,ROW(),$D$6)),",",""),"원",""),0))))</f>
        <v/>
      </c>
      <c r="AA1481" s="31">
        <f>IF($Y1481="","",TRIM(INDEX($A:$U,ROW(),$E$6)&amp;IF($F$6="",""," "&amp;INDEX($A:$U,ROW(),$F$6))))</f>
        <v/>
      </c>
      <c r="AB1481" s="31">
        <f>IF($AA1481="","",SUBSTITUTE(SUBSTITUTE(SUBSTITUTE(SUBSTITUTE(SUBSTITUTE(SUBSTITUTE(SUBSTITUTE(SUBSTITUTE(SUBSTITUTE($AA1481," ",""),"　",""),"(주)",""),"（주）",""),"㈜",""),"주식회사",""),"(유)",""),"（유）",""),"유한회사",""))</f>
        <v/>
      </c>
      <c r="AC1481" s="31">
        <f>IF(OR($Y1481="",N($Z1481)&lt;=0,$AB1481=""),0,IFERROR(LOOKUP(2,1/((거래처별!$AC$8:$AC$307&lt;&gt;"")*ISNUMBER(SEARCH(거래처별!$AC$8:$AC$307,$AB1481))),거래처별!$A$8:$A$307),IFERROR(LOOKUP(2,1/((거래처별!$AD$8:$AD$307&lt;&gt;"")*ISNUMBER(SEARCH(거래처별!$AD$8:$AD$307,$AB1481))),거래처별!$A$8:$A$307),IFERROR(LOOKUP(2,1/((거래처별!$AE$8:$AE$307&lt;&gt;"")*ISNUMBER(SEARCH(거래처별!$AE$8:$AE$307,$AB1481))),거래처별!$A$8:$A$307),0))))</f>
        <v/>
      </c>
      <c r="AD1481" s="31">
        <f>IF(AND($Y1481&lt;&gt;"",N($Z1481)&gt;0,$AC1481=0),MAX($AD$7:$AD1480)+1,"")</f>
        <v/>
      </c>
      <c r="AE1481" s="31">
        <f>IF($Y1481="",0,$Y1481)</f>
        <v/>
      </c>
    </row>
    <row r="1482">
      <c r="W1482" s="31">
        <f>IF(OR($B$5="",$C$6="",ROW()&lt;$B$5),"",IF(INDEX($A:$U,ROW(),$C$6)="","",INDEX($A:$U,ROW(),$C$6)))</f>
        <v/>
      </c>
      <c r="X1482" s="32">
        <f>IF($W1482="","",IF(ISNUMBER($W1482),IF($W1482&gt;=10000000,IFERROR(DATE(INT($W1482/10000),MOD(INT($W1482/100),100),MOD($W1482,100)),""),INT($W1482)),IFERROR(DATE(--LEFT(LEFT(SUBSTITUTE(SUBSTITUTE(SUBSTITUTE(SUBSTITUTE(TRIM($W1482),"-",""),".",""),"/","")," ",""),8),4),--MID(LEFT(SUBSTITUTE(SUBSTITUTE(SUBSTITUTE(SUBSTITUTE(TRIM($W1482),"-",""),".",""),"/","")," ",""),8),5,2),--MID(LEFT(SUBSTITUTE(SUBSTITUTE(SUBSTITUTE(SUBSTITUTE(TRIM($W1482),"-",""),".",""),"/","")," ",""),8),7,2)),"")))</f>
        <v/>
      </c>
      <c r="Y1482" s="32">
        <f>IF($X1482="","",INT($X1482))</f>
        <v/>
      </c>
      <c r="Z1482" s="33">
        <f>IF(OR($Y1482="",$D$6=""),"",IF(INDEX($A:$U,ROW(),$D$6)="",0,IF(ISNUMBER(INDEX($A:$U,ROW(),$D$6)),INDEX($A:$U,ROW(),$D$6),IFERROR(--SUBSTITUTE(SUBSTITUTE(TRIM(INDEX($A:$U,ROW(),$D$6)),",",""),"원",""),0))))</f>
        <v/>
      </c>
      <c r="AA1482" s="31">
        <f>IF($Y1482="","",TRIM(INDEX($A:$U,ROW(),$E$6)&amp;IF($F$6="",""," "&amp;INDEX($A:$U,ROW(),$F$6))))</f>
        <v/>
      </c>
      <c r="AB1482" s="31">
        <f>IF($AA1482="","",SUBSTITUTE(SUBSTITUTE(SUBSTITUTE(SUBSTITUTE(SUBSTITUTE(SUBSTITUTE(SUBSTITUTE(SUBSTITUTE(SUBSTITUTE($AA1482," ",""),"　",""),"(주)",""),"（주）",""),"㈜",""),"주식회사",""),"(유)",""),"（유）",""),"유한회사",""))</f>
        <v/>
      </c>
      <c r="AC1482" s="31">
        <f>IF(OR($Y1482="",N($Z1482)&lt;=0,$AB1482=""),0,IFERROR(LOOKUP(2,1/((거래처별!$AC$8:$AC$307&lt;&gt;"")*ISNUMBER(SEARCH(거래처별!$AC$8:$AC$307,$AB1482))),거래처별!$A$8:$A$307),IFERROR(LOOKUP(2,1/((거래처별!$AD$8:$AD$307&lt;&gt;"")*ISNUMBER(SEARCH(거래처별!$AD$8:$AD$307,$AB1482))),거래처별!$A$8:$A$307),IFERROR(LOOKUP(2,1/((거래처별!$AE$8:$AE$307&lt;&gt;"")*ISNUMBER(SEARCH(거래처별!$AE$8:$AE$307,$AB1482))),거래처별!$A$8:$A$307),0))))</f>
        <v/>
      </c>
      <c r="AD1482" s="31">
        <f>IF(AND($Y1482&lt;&gt;"",N($Z1482)&gt;0,$AC1482=0),MAX($AD$7:$AD1481)+1,"")</f>
        <v/>
      </c>
      <c r="AE1482" s="31">
        <f>IF($Y1482="",0,$Y1482)</f>
        <v/>
      </c>
    </row>
    <row r="1483">
      <c r="W1483" s="31">
        <f>IF(OR($B$5="",$C$6="",ROW()&lt;$B$5),"",IF(INDEX($A:$U,ROW(),$C$6)="","",INDEX($A:$U,ROW(),$C$6)))</f>
        <v/>
      </c>
      <c r="X1483" s="32">
        <f>IF($W1483="","",IF(ISNUMBER($W1483),IF($W1483&gt;=10000000,IFERROR(DATE(INT($W1483/10000),MOD(INT($W1483/100),100),MOD($W1483,100)),""),INT($W1483)),IFERROR(DATE(--LEFT(LEFT(SUBSTITUTE(SUBSTITUTE(SUBSTITUTE(SUBSTITUTE(TRIM($W1483),"-",""),".",""),"/","")," ",""),8),4),--MID(LEFT(SUBSTITUTE(SUBSTITUTE(SUBSTITUTE(SUBSTITUTE(TRIM($W1483),"-",""),".",""),"/","")," ",""),8),5,2),--MID(LEFT(SUBSTITUTE(SUBSTITUTE(SUBSTITUTE(SUBSTITUTE(TRIM($W1483),"-",""),".",""),"/","")," ",""),8),7,2)),"")))</f>
        <v/>
      </c>
      <c r="Y1483" s="32">
        <f>IF($X1483="","",INT($X1483))</f>
        <v/>
      </c>
      <c r="Z1483" s="33">
        <f>IF(OR($Y1483="",$D$6=""),"",IF(INDEX($A:$U,ROW(),$D$6)="",0,IF(ISNUMBER(INDEX($A:$U,ROW(),$D$6)),INDEX($A:$U,ROW(),$D$6),IFERROR(--SUBSTITUTE(SUBSTITUTE(TRIM(INDEX($A:$U,ROW(),$D$6)),",",""),"원",""),0))))</f>
        <v/>
      </c>
      <c r="AA1483" s="31">
        <f>IF($Y1483="","",TRIM(INDEX($A:$U,ROW(),$E$6)&amp;IF($F$6="",""," "&amp;INDEX($A:$U,ROW(),$F$6))))</f>
        <v/>
      </c>
      <c r="AB1483" s="31">
        <f>IF($AA1483="","",SUBSTITUTE(SUBSTITUTE(SUBSTITUTE(SUBSTITUTE(SUBSTITUTE(SUBSTITUTE(SUBSTITUTE(SUBSTITUTE(SUBSTITUTE($AA1483," ",""),"　",""),"(주)",""),"（주）",""),"㈜",""),"주식회사",""),"(유)",""),"（유）",""),"유한회사",""))</f>
        <v/>
      </c>
      <c r="AC1483" s="31">
        <f>IF(OR($Y1483="",N($Z1483)&lt;=0,$AB1483=""),0,IFERROR(LOOKUP(2,1/((거래처별!$AC$8:$AC$307&lt;&gt;"")*ISNUMBER(SEARCH(거래처별!$AC$8:$AC$307,$AB1483))),거래처별!$A$8:$A$307),IFERROR(LOOKUP(2,1/((거래처별!$AD$8:$AD$307&lt;&gt;"")*ISNUMBER(SEARCH(거래처별!$AD$8:$AD$307,$AB1483))),거래처별!$A$8:$A$307),IFERROR(LOOKUP(2,1/((거래처별!$AE$8:$AE$307&lt;&gt;"")*ISNUMBER(SEARCH(거래처별!$AE$8:$AE$307,$AB1483))),거래처별!$A$8:$A$307),0))))</f>
        <v/>
      </c>
      <c r="AD1483" s="31">
        <f>IF(AND($Y1483&lt;&gt;"",N($Z1483)&gt;0,$AC1483=0),MAX($AD$7:$AD1482)+1,"")</f>
        <v/>
      </c>
      <c r="AE1483" s="31">
        <f>IF($Y1483="",0,$Y1483)</f>
        <v/>
      </c>
    </row>
    <row r="1484">
      <c r="W1484" s="31">
        <f>IF(OR($B$5="",$C$6="",ROW()&lt;$B$5),"",IF(INDEX($A:$U,ROW(),$C$6)="","",INDEX($A:$U,ROW(),$C$6)))</f>
        <v/>
      </c>
      <c r="X1484" s="32">
        <f>IF($W1484="","",IF(ISNUMBER($W1484),IF($W1484&gt;=10000000,IFERROR(DATE(INT($W1484/10000),MOD(INT($W1484/100),100),MOD($W1484,100)),""),INT($W1484)),IFERROR(DATE(--LEFT(LEFT(SUBSTITUTE(SUBSTITUTE(SUBSTITUTE(SUBSTITUTE(TRIM($W1484),"-",""),".",""),"/","")," ",""),8),4),--MID(LEFT(SUBSTITUTE(SUBSTITUTE(SUBSTITUTE(SUBSTITUTE(TRIM($W1484),"-",""),".",""),"/","")," ",""),8),5,2),--MID(LEFT(SUBSTITUTE(SUBSTITUTE(SUBSTITUTE(SUBSTITUTE(TRIM($W1484),"-",""),".",""),"/","")," ",""),8),7,2)),"")))</f>
        <v/>
      </c>
      <c r="Y1484" s="32">
        <f>IF($X1484="","",INT($X1484))</f>
        <v/>
      </c>
      <c r="Z1484" s="33">
        <f>IF(OR($Y1484="",$D$6=""),"",IF(INDEX($A:$U,ROW(),$D$6)="",0,IF(ISNUMBER(INDEX($A:$U,ROW(),$D$6)),INDEX($A:$U,ROW(),$D$6),IFERROR(--SUBSTITUTE(SUBSTITUTE(TRIM(INDEX($A:$U,ROW(),$D$6)),",",""),"원",""),0))))</f>
        <v/>
      </c>
      <c r="AA1484" s="31">
        <f>IF($Y1484="","",TRIM(INDEX($A:$U,ROW(),$E$6)&amp;IF($F$6="",""," "&amp;INDEX($A:$U,ROW(),$F$6))))</f>
        <v/>
      </c>
      <c r="AB1484" s="31">
        <f>IF($AA1484="","",SUBSTITUTE(SUBSTITUTE(SUBSTITUTE(SUBSTITUTE(SUBSTITUTE(SUBSTITUTE(SUBSTITUTE(SUBSTITUTE(SUBSTITUTE($AA1484," ",""),"　",""),"(주)",""),"（주）",""),"㈜",""),"주식회사",""),"(유)",""),"（유）",""),"유한회사",""))</f>
        <v/>
      </c>
      <c r="AC1484" s="31">
        <f>IF(OR($Y1484="",N($Z1484)&lt;=0,$AB1484=""),0,IFERROR(LOOKUP(2,1/((거래처별!$AC$8:$AC$307&lt;&gt;"")*ISNUMBER(SEARCH(거래처별!$AC$8:$AC$307,$AB1484))),거래처별!$A$8:$A$307),IFERROR(LOOKUP(2,1/((거래처별!$AD$8:$AD$307&lt;&gt;"")*ISNUMBER(SEARCH(거래처별!$AD$8:$AD$307,$AB1484))),거래처별!$A$8:$A$307),IFERROR(LOOKUP(2,1/((거래처별!$AE$8:$AE$307&lt;&gt;"")*ISNUMBER(SEARCH(거래처별!$AE$8:$AE$307,$AB1484))),거래처별!$A$8:$A$307),0))))</f>
        <v/>
      </c>
      <c r="AD1484" s="31">
        <f>IF(AND($Y1484&lt;&gt;"",N($Z1484)&gt;0,$AC1484=0),MAX($AD$7:$AD1483)+1,"")</f>
        <v/>
      </c>
      <c r="AE1484" s="31">
        <f>IF($Y1484="",0,$Y1484)</f>
        <v/>
      </c>
    </row>
    <row r="1485">
      <c r="W1485" s="31">
        <f>IF(OR($B$5="",$C$6="",ROW()&lt;$B$5),"",IF(INDEX($A:$U,ROW(),$C$6)="","",INDEX($A:$U,ROW(),$C$6)))</f>
        <v/>
      </c>
      <c r="X1485" s="32">
        <f>IF($W1485="","",IF(ISNUMBER($W1485),IF($W1485&gt;=10000000,IFERROR(DATE(INT($W1485/10000),MOD(INT($W1485/100),100),MOD($W1485,100)),""),INT($W1485)),IFERROR(DATE(--LEFT(LEFT(SUBSTITUTE(SUBSTITUTE(SUBSTITUTE(SUBSTITUTE(TRIM($W1485),"-",""),".",""),"/","")," ",""),8),4),--MID(LEFT(SUBSTITUTE(SUBSTITUTE(SUBSTITUTE(SUBSTITUTE(TRIM($W1485),"-",""),".",""),"/","")," ",""),8),5,2),--MID(LEFT(SUBSTITUTE(SUBSTITUTE(SUBSTITUTE(SUBSTITUTE(TRIM($W1485),"-",""),".",""),"/","")," ",""),8),7,2)),"")))</f>
        <v/>
      </c>
      <c r="Y1485" s="32">
        <f>IF($X1485="","",INT($X1485))</f>
        <v/>
      </c>
      <c r="Z1485" s="33">
        <f>IF(OR($Y1485="",$D$6=""),"",IF(INDEX($A:$U,ROW(),$D$6)="",0,IF(ISNUMBER(INDEX($A:$U,ROW(),$D$6)),INDEX($A:$U,ROW(),$D$6),IFERROR(--SUBSTITUTE(SUBSTITUTE(TRIM(INDEX($A:$U,ROW(),$D$6)),",",""),"원",""),0))))</f>
        <v/>
      </c>
      <c r="AA1485" s="31">
        <f>IF($Y1485="","",TRIM(INDEX($A:$U,ROW(),$E$6)&amp;IF($F$6="",""," "&amp;INDEX($A:$U,ROW(),$F$6))))</f>
        <v/>
      </c>
      <c r="AB1485" s="31">
        <f>IF($AA1485="","",SUBSTITUTE(SUBSTITUTE(SUBSTITUTE(SUBSTITUTE(SUBSTITUTE(SUBSTITUTE(SUBSTITUTE(SUBSTITUTE(SUBSTITUTE($AA1485," ",""),"　",""),"(주)",""),"（주）",""),"㈜",""),"주식회사",""),"(유)",""),"（유）",""),"유한회사",""))</f>
        <v/>
      </c>
      <c r="AC1485" s="31">
        <f>IF(OR($Y1485="",N($Z1485)&lt;=0,$AB1485=""),0,IFERROR(LOOKUP(2,1/((거래처별!$AC$8:$AC$307&lt;&gt;"")*ISNUMBER(SEARCH(거래처별!$AC$8:$AC$307,$AB1485))),거래처별!$A$8:$A$307),IFERROR(LOOKUP(2,1/((거래처별!$AD$8:$AD$307&lt;&gt;"")*ISNUMBER(SEARCH(거래처별!$AD$8:$AD$307,$AB1485))),거래처별!$A$8:$A$307),IFERROR(LOOKUP(2,1/((거래처별!$AE$8:$AE$307&lt;&gt;"")*ISNUMBER(SEARCH(거래처별!$AE$8:$AE$307,$AB1485))),거래처별!$A$8:$A$307),0))))</f>
        <v/>
      </c>
      <c r="AD1485" s="31">
        <f>IF(AND($Y1485&lt;&gt;"",N($Z1485)&gt;0,$AC1485=0),MAX($AD$7:$AD1484)+1,"")</f>
        <v/>
      </c>
      <c r="AE1485" s="31">
        <f>IF($Y1485="",0,$Y1485)</f>
        <v/>
      </c>
    </row>
    <row r="1486">
      <c r="W1486" s="31">
        <f>IF(OR($B$5="",$C$6="",ROW()&lt;$B$5),"",IF(INDEX($A:$U,ROW(),$C$6)="","",INDEX($A:$U,ROW(),$C$6)))</f>
        <v/>
      </c>
      <c r="X1486" s="32">
        <f>IF($W1486="","",IF(ISNUMBER($W1486),IF($W1486&gt;=10000000,IFERROR(DATE(INT($W1486/10000),MOD(INT($W1486/100),100),MOD($W1486,100)),""),INT($W1486)),IFERROR(DATE(--LEFT(LEFT(SUBSTITUTE(SUBSTITUTE(SUBSTITUTE(SUBSTITUTE(TRIM($W1486),"-",""),".",""),"/","")," ",""),8),4),--MID(LEFT(SUBSTITUTE(SUBSTITUTE(SUBSTITUTE(SUBSTITUTE(TRIM($W1486),"-",""),".",""),"/","")," ",""),8),5,2),--MID(LEFT(SUBSTITUTE(SUBSTITUTE(SUBSTITUTE(SUBSTITUTE(TRIM($W1486),"-",""),".",""),"/","")," ",""),8),7,2)),"")))</f>
        <v/>
      </c>
      <c r="Y1486" s="32">
        <f>IF($X1486="","",INT($X1486))</f>
        <v/>
      </c>
      <c r="Z1486" s="33">
        <f>IF(OR($Y1486="",$D$6=""),"",IF(INDEX($A:$U,ROW(),$D$6)="",0,IF(ISNUMBER(INDEX($A:$U,ROW(),$D$6)),INDEX($A:$U,ROW(),$D$6),IFERROR(--SUBSTITUTE(SUBSTITUTE(TRIM(INDEX($A:$U,ROW(),$D$6)),",",""),"원",""),0))))</f>
        <v/>
      </c>
      <c r="AA1486" s="31">
        <f>IF($Y1486="","",TRIM(INDEX($A:$U,ROW(),$E$6)&amp;IF($F$6="",""," "&amp;INDEX($A:$U,ROW(),$F$6))))</f>
        <v/>
      </c>
      <c r="AB1486" s="31">
        <f>IF($AA1486="","",SUBSTITUTE(SUBSTITUTE(SUBSTITUTE(SUBSTITUTE(SUBSTITUTE(SUBSTITUTE(SUBSTITUTE(SUBSTITUTE(SUBSTITUTE($AA1486," ",""),"　",""),"(주)",""),"（주）",""),"㈜",""),"주식회사",""),"(유)",""),"（유）",""),"유한회사",""))</f>
        <v/>
      </c>
      <c r="AC1486" s="31">
        <f>IF(OR($Y1486="",N($Z1486)&lt;=0,$AB1486=""),0,IFERROR(LOOKUP(2,1/((거래처별!$AC$8:$AC$307&lt;&gt;"")*ISNUMBER(SEARCH(거래처별!$AC$8:$AC$307,$AB1486))),거래처별!$A$8:$A$307),IFERROR(LOOKUP(2,1/((거래처별!$AD$8:$AD$307&lt;&gt;"")*ISNUMBER(SEARCH(거래처별!$AD$8:$AD$307,$AB1486))),거래처별!$A$8:$A$307),IFERROR(LOOKUP(2,1/((거래처별!$AE$8:$AE$307&lt;&gt;"")*ISNUMBER(SEARCH(거래처별!$AE$8:$AE$307,$AB1486))),거래처별!$A$8:$A$307),0))))</f>
        <v/>
      </c>
      <c r="AD1486" s="31">
        <f>IF(AND($Y1486&lt;&gt;"",N($Z1486)&gt;0,$AC1486=0),MAX($AD$7:$AD1485)+1,"")</f>
        <v/>
      </c>
      <c r="AE1486" s="31">
        <f>IF($Y1486="",0,$Y1486)</f>
        <v/>
      </c>
    </row>
    <row r="1487">
      <c r="W1487" s="31">
        <f>IF(OR($B$5="",$C$6="",ROW()&lt;$B$5),"",IF(INDEX($A:$U,ROW(),$C$6)="","",INDEX($A:$U,ROW(),$C$6)))</f>
        <v/>
      </c>
      <c r="X1487" s="32">
        <f>IF($W1487="","",IF(ISNUMBER($W1487),IF($W1487&gt;=10000000,IFERROR(DATE(INT($W1487/10000),MOD(INT($W1487/100),100),MOD($W1487,100)),""),INT($W1487)),IFERROR(DATE(--LEFT(LEFT(SUBSTITUTE(SUBSTITUTE(SUBSTITUTE(SUBSTITUTE(TRIM($W1487),"-",""),".",""),"/","")," ",""),8),4),--MID(LEFT(SUBSTITUTE(SUBSTITUTE(SUBSTITUTE(SUBSTITUTE(TRIM($W1487),"-",""),".",""),"/","")," ",""),8),5,2),--MID(LEFT(SUBSTITUTE(SUBSTITUTE(SUBSTITUTE(SUBSTITUTE(TRIM($W1487),"-",""),".",""),"/","")," ",""),8),7,2)),"")))</f>
        <v/>
      </c>
      <c r="Y1487" s="32">
        <f>IF($X1487="","",INT($X1487))</f>
        <v/>
      </c>
      <c r="Z1487" s="33">
        <f>IF(OR($Y1487="",$D$6=""),"",IF(INDEX($A:$U,ROW(),$D$6)="",0,IF(ISNUMBER(INDEX($A:$U,ROW(),$D$6)),INDEX($A:$U,ROW(),$D$6),IFERROR(--SUBSTITUTE(SUBSTITUTE(TRIM(INDEX($A:$U,ROW(),$D$6)),",",""),"원",""),0))))</f>
        <v/>
      </c>
      <c r="AA1487" s="31">
        <f>IF($Y1487="","",TRIM(INDEX($A:$U,ROW(),$E$6)&amp;IF($F$6="",""," "&amp;INDEX($A:$U,ROW(),$F$6))))</f>
        <v/>
      </c>
      <c r="AB1487" s="31">
        <f>IF($AA1487="","",SUBSTITUTE(SUBSTITUTE(SUBSTITUTE(SUBSTITUTE(SUBSTITUTE(SUBSTITUTE(SUBSTITUTE(SUBSTITUTE(SUBSTITUTE($AA1487," ",""),"　",""),"(주)",""),"（주）",""),"㈜",""),"주식회사",""),"(유)",""),"（유）",""),"유한회사",""))</f>
        <v/>
      </c>
      <c r="AC1487" s="31">
        <f>IF(OR($Y1487="",N($Z1487)&lt;=0,$AB1487=""),0,IFERROR(LOOKUP(2,1/((거래처별!$AC$8:$AC$307&lt;&gt;"")*ISNUMBER(SEARCH(거래처별!$AC$8:$AC$307,$AB1487))),거래처별!$A$8:$A$307),IFERROR(LOOKUP(2,1/((거래처별!$AD$8:$AD$307&lt;&gt;"")*ISNUMBER(SEARCH(거래처별!$AD$8:$AD$307,$AB1487))),거래처별!$A$8:$A$307),IFERROR(LOOKUP(2,1/((거래처별!$AE$8:$AE$307&lt;&gt;"")*ISNUMBER(SEARCH(거래처별!$AE$8:$AE$307,$AB1487))),거래처별!$A$8:$A$307),0))))</f>
        <v/>
      </c>
      <c r="AD1487" s="31">
        <f>IF(AND($Y1487&lt;&gt;"",N($Z1487)&gt;0,$AC1487=0),MAX($AD$7:$AD1486)+1,"")</f>
        <v/>
      </c>
      <c r="AE1487" s="31">
        <f>IF($Y1487="",0,$Y1487)</f>
        <v/>
      </c>
    </row>
    <row r="1488">
      <c r="W1488" s="31">
        <f>IF(OR($B$5="",$C$6="",ROW()&lt;$B$5),"",IF(INDEX($A:$U,ROW(),$C$6)="","",INDEX($A:$U,ROW(),$C$6)))</f>
        <v/>
      </c>
      <c r="X1488" s="32">
        <f>IF($W1488="","",IF(ISNUMBER($W1488),IF($W1488&gt;=10000000,IFERROR(DATE(INT($W1488/10000),MOD(INT($W1488/100),100),MOD($W1488,100)),""),INT($W1488)),IFERROR(DATE(--LEFT(LEFT(SUBSTITUTE(SUBSTITUTE(SUBSTITUTE(SUBSTITUTE(TRIM($W1488),"-",""),".",""),"/","")," ",""),8),4),--MID(LEFT(SUBSTITUTE(SUBSTITUTE(SUBSTITUTE(SUBSTITUTE(TRIM($W1488),"-",""),".",""),"/","")," ",""),8),5,2),--MID(LEFT(SUBSTITUTE(SUBSTITUTE(SUBSTITUTE(SUBSTITUTE(TRIM($W1488),"-",""),".",""),"/","")," ",""),8),7,2)),"")))</f>
        <v/>
      </c>
      <c r="Y1488" s="32">
        <f>IF($X1488="","",INT($X1488))</f>
        <v/>
      </c>
      <c r="Z1488" s="33">
        <f>IF(OR($Y1488="",$D$6=""),"",IF(INDEX($A:$U,ROW(),$D$6)="",0,IF(ISNUMBER(INDEX($A:$U,ROW(),$D$6)),INDEX($A:$U,ROW(),$D$6),IFERROR(--SUBSTITUTE(SUBSTITUTE(TRIM(INDEX($A:$U,ROW(),$D$6)),",",""),"원",""),0))))</f>
        <v/>
      </c>
      <c r="AA1488" s="31">
        <f>IF($Y1488="","",TRIM(INDEX($A:$U,ROW(),$E$6)&amp;IF($F$6="",""," "&amp;INDEX($A:$U,ROW(),$F$6))))</f>
        <v/>
      </c>
      <c r="AB1488" s="31">
        <f>IF($AA1488="","",SUBSTITUTE(SUBSTITUTE(SUBSTITUTE(SUBSTITUTE(SUBSTITUTE(SUBSTITUTE(SUBSTITUTE(SUBSTITUTE(SUBSTITUTE($AA1488," ",""),"　",""),"(주)",""),"（주）",""),"㈜",""),"주식회사",""),"(유)",""),"（유）",""),"유한회사",""))</f>
        <v/>
      </c>
      <c r="AC1488" s="31">
        <f>IF(OR($Y1488="",N($Z1488)&lt;=0,$AB1488=""),0,IFERROR(LOOKUP(2,1/((거래처별!$AC$8:$AC$307&lt;&gt;"")*ISNUMBER(SEARCH(거래처별!$AC$8:$AC$307,$AB1488))),거래처별!$A$8:$A$307),IFERROR(LOOKUP(2,1/((거래처별!$AD$8:$AD$307&lt;&gt;"")*ISNUMBER(SEARCH(거래처별!$AD$8:$AD$307,$AB1488))),거래처별!$A$8:$A$307),IFERROR(LOOKUP(2,1/((거래처별!$AE$8:$AE$307&lt;&gt;"")*ISNUMBER(SEARCH(거래처별!$AE$8:$AE$307,$AB1488))),거래처별!$A$8:$A$307),0))))</f>
        <v/>
      </c>
      <c r="AD1488" s="31">
        <f>IF(AND($Y1488&lt;&gt;"",N($Z1488)&gt;0,$AC1488=0),MAX($AD$7:$AD1487)+1,"")</f>
        <v/>
      </c>
      <c r="AE1488" s="31">
        <f>IF($Y1488="",0,$Y1488)</f>
        <v/>
      </c>
    </row>
    <row r="1489">
      <c r="W1489" s="31">
        <f>IF(OR($B$5="",$C$6="",ROW()&lt;$B$5),"",IF(INDEX($A:$U,ROW(),$C$6)="","",INDEX($A:$U,ROW(),$C$6)))</f>
        <v/>
      </c>
      <c r="X1489" s="32">
        <f>IF($W1489="","",IF(ISNUMBER($W1489),IF($W1489&gt;=10000000,IFERROR(DATE(INT($W1489/10000),MOD(INT($W1489/100),100),MOD($W1489,100)),""),INT($W1489)),IFERROR(DATE(--LEFT(LEFT(SUBSTITUTE(SUBSTITUTE(SUBSTITUTE(SUBSTITUTE(TRIM($W1489),"-",""),".",""),"/","")," ",""),8),4),--MID(LEFT(SUBSTITUTE(SUBSTITUTE(SUBSTITUTE(SUBSTITUTE(TRIM($W1489),"-",""),".",""),"/","")," ",""),8),5,2),--MID(LEFT(SUBSTITUTE(SUBSTITUTE(SUBSTITUTE(SUBSTITUTE(TRIM($W1489),"-",""),".",""),"/","")," ",""),8),7,2)),"")))</f>
        <v/>
      </c>
      <c r="Y1489" s="32">
        <f>IF($X1489="","",INT($X1489))</f>
        <v/>
      </c>
      <c r="Z1489" s="33">
        <f>IF(OR($Y1489="",$D$6=""),"",IF(INDEX($A:$U,ROW(),$D$6)="",0,IF(ISNUMBER(INDEX($A:$U,ROW(),$D$6)),INDEX($A:$U,ROW(),$D$6),IFERROR(--SUBSTITUTE(SUBSTITUTE(TRIM(INDEX($A:$U,ROW(),$D$6)),",",""),"원",""),0))))</f>
        <v/>
      </c>
      <c r="AA1489" s="31">
        <f>IF($Y1489="","",TRIM(INDEX($A:$U,ROW(),$E$6)&amp;IF($F$6="",""," "&amp;INDEX($A:$U,ROW(),$F$6))))</f>
        <v/>
      </c>
      <c r="AB1489" s="31">
        <f>IF($AA1489="","",SUBSTITUTE(SUBSTITUTE(SUBSTITUTE(SUBSTITUTE(SUBSTITUTE(SUBSTITUTE(SUBSTITUTE(SUBSTITUTE(SUBSTITUTE($AA1489," ",""),"　",""),"(주)",""),"（주）",""),"㈜",""),"주식회사",""),"(유)",""),"（유）",""),"유한회사",""))</f>
        <v/>
      </c>
      <c r="AC1489" s="31">
        <f>IF(OR($Y1489="",N($Z1489)&lt;=0,$AB1489=""),0,IFERROR(LOOKUP(2,1/((거래처별!$AC$8:$AC$307&lt;&gt;"")*ISNUMBER(SEARCH(거래처별!$AC$8:$AC$307,$AB1489))),거래처별!$A$8:$A$307),IFERROR(LOOKUP(2,1/((거래처별!$AD$8:$AD$307&lt;&gt;"")*ISNUMBER(SEARCH(거래처별!$AD$8:$AD$307,$AB1489))),거래처별!$A$8:$A$307),IFERROR(LOOKUP(2,1/((거래처별!$AE$8:$AE$307&lt;&gt;"")*ISNUMBER(SEARCH(거래처별!$AE$8:$AE$307,$AB1489))),거래처별!$A$8:$A$307),0))))</f>
        <v/>
      </c>
      <c r="AD1489" s="31">
        <f>IF(AND($Y1489&lt;&gt;"",N($Z1489)&gt;0,$AC1489=0),MAX($AD$7:$AD1488)+1,"")</f>
        <v/>
      </c>
      <c r="AE1489" s="31">
        <f>IF($Y1489="",0,$Y1489)</f>
        <v/>
      </c>
    </row>
    <row r="1490">
      <c r="W1490" s="31">
        <f>IF(OR($B$5="",$C$6="",ROW()&lt;$B$5),"",IF(INDEX($A:$U,ROW(),$C$6)="","",INDEX($A:$U,ROW(),$C$6)))</f>
        <v/>
      </c>
      <c r="X1490" s="32">
        <f>IF($W1490="","",IF(ISNUMBER($W1490),IF($W1490&gt;=10000000,IFERROR(DATE(INT($W1490/10000),MOD(INT($W1490/100),100),MOD($W1490,100)),""),INT($W1490)),IFERROR(DATE(--LEFT(LEFT(SUBSTITUTE(SUBSTITUTE(SUBSTITUTE(SUBSTITUTE(TRIM($W1490),"-",""),".",""),"/","")," ",""),8),4),--MID(LEFT(SUBSTITUTE(SUBSTITUTE(SUBSTITUTE(SUBSTITUTE(TRIM($W1490),"-",""),".",""),"/","")," ",""),8),5,2),--MID(LEFT(SUBSTITUTE(SUBSTITUTE(SUBSTITUTE(SUBSTITUTE(TRIM($W1490),"-",""),".",""),"/","")," ",""),8),7,2)),"")))</f>
        <v/>
      </c>
      <c r="Y1490" s="32">
        <f>IF($X1490="","",INT($X1490))</f>
        <v/>
      </c>
      <c r="Z1490" s="33">
        <f>IF(OR($Y1490="",$D$6=""),"",IF(INDEX($A:$U,ROW(),$D$6)="",0,IF(ISNUMBER(INDEX($A:$U,ROW(),$D$6)),INDEX($A:$U,ROW(),$D$6),IFERROR(--SUBSTITUTE(SUBSTITUTE(TRIM(INDEX($A:$U,ROW(),$D$6)),",",""),"원",""),0))))</f>
        <v/>
      </c>
      <c r="AA1490" s="31">
        <f>IF($Y1490="","",TRIM(INDEX($A:$U,ROW(),$E$6)&amp;IF($F$6="",""," "&amp;INDEX($A:$U,ROW(),$F$6))))</f>
        <v/>
      </c>
      <c r="AB1490" s="31">
        <f>IF($AA1490="","",SUBSTITUTE(SUBSTITUTE(SUBSTITUTE(SUBSTITUTE(SUBSTITUTE(SUBSTITUTE(SUBSTITUTE(SUBSTITUTE(SUBSTITUTE($AA1490," ",""),"　",""),"(주)",""),"（주）",""),"㈜",""),"주식회사",""),"(유)",""),"（유）",""),"유한회사",""))</f>
        <v/>
      </c>
      <c r="AC1490" s="31">
        <f>IF(OR($Y1490="",N($Z1490)&lt;=0,$AB1490=""),0,IFERROR(LOOKUP(2,1/((거래처별!$AC$8:$AC$307&lt;&gt;"")*ISNUMBER(SEARCH(거래처별!$AC$8:$AC$307,$AB1490))),거래처별!$A$8:$A$307),IFERROR(LOOKUP(2,1/((거래처별!$AD$8:$AD$307&lt;&gt;"")*ISNUMBER(SEARCH(거래처별!$AD$8:$AD$307,$AB1490))),거래처별!$A$8:$A$307),IFERROR(LOOKUP(2,1/((거래처별!$AE$8:$AE$307&lt;&gt;"")*ISNUMBER(SEARCH(거래처별!$AE$8:$AE$307,$AB1490))),거래처별!$A$8:$A$307),0))))</f>
        <v/>
      </c>
      <c r="AD1490" s="31">
        <f>IF(AND($Y1490&lt;&gt;"",N($Z1490)&gt;0,$AC1490=0),MAX($AD$7:$AD1489)+1,"")</f>
        <v/>
      </c>
      <c r="AE1490" s="31">
        <f>IF($Y1490="",0,$Y1490)</f>
        <v/>
      </c>
    </row>
    <row r="1491">
      <c r="W1491" s="31">
        <f>IF(OR($B$5="",$C$6="",ROW()&lt;$B$5),"",IF(INDEX($A:$U,ROW(),$C$6)="","",INDEX($A:$U,ROW(),$C$6)))</f>
        <v/>
      </c>
      <c r="X1491" s="32">
        <f>IF($W1491="","",IF(ISNUMBER($W1491),IF($W1491&gt;=10000000,IFERROR(DATE(INT($W1491/10000),MOD(INT($W1491/100),100),MOD($W1491,100)),""),INT($W1491)),IFERROR(DATE(--LEFT(LEFT(SUBSTITUTE(SUBSTITUTE(SUBSTITUTE(SUBSTITUTE(TRIM($W1491),"-",""),".",""),"/","")," ",""),8),4),--MID(LEFT(SUBSTITUTE(SUBSTITUTE(SUBSTITUTE(SUBSTITUTE(TRIM($W1491),"-",""),".",""),"/","")," ",""),8),5,2),--MID(LEFT(SUBSTITUTE(SUBSTITUTE(SUBSTITUTE(SUBSTITUTE(TRIM($W1491),"-",""),".",""),"/","")," ",""),8),7,2)),"")))</f>
        <v/>
      </c>
      <c r="Y1491" s="32">
        <f>IF($X1491="","",INT($X1491))</f>
        <v/>
      </c>
      <c r="Z1491" s="33">
        <f>IF(OR($Y1491="",$D$6=""),"",IF(INDEX($A:$U,ROW(),$D$6)="",0,IF(ISNUMBER(INDEX($A:$U,ROW(),$D$6)),INDEX($A:$U,ROW(),$D$6),IFERROR(--SUBSTITUTE(SUBSTITUTE(TRIM(INDEX($A:$U,ROW(),$D$6)),",",""),"원",""),0))))</f>
        <v/>
      </c>
      <c r="AA1491" s="31">
        <f>IF($Y1491="","",TRIM(INDEX($A:$U,ROW(),$E$6)&amp;IF($F$6="",""," "&amp;INDEX($A:$U,ROW(),$F$6))))</f>
        <v/>
      </c>
      <c r="AB1491" s="31">
        <f>IF($AA1491="","",SUBSTITUTE(SUBSTITUTE(SUBSTITUTE(SUBSTITUTE(SUBSTITUTE(SUBSTITUTE(SUBSTITUTE(SUBSTITUTE(SUBSTITUTE($AA1491," ",""),"　",""),"(주)",""),"（주）",""),"㈜",""),"주식회사",""),"(유)",""),"（유）",""),"유한회사",""))</f>
        <v/>
      </c>
      <c r="AC1491" s="31">
        <f>IF(OR($Y1491="",N($Z1491)&lt;=0,$AB1491=""),0,IFERROR(LOOKUP(2,1/((거래처별!$AC$8:$AC$307&lt;&gt;"")*ISNUMBER(SEARCH(거래처별!$AC$8:$AC$307,$AB1491))),거래처별!$A$8:$A$307),IFERROR(LOOKUP(2,1/((거래처별!$AD$8:$AD$307&lt;&gt;"")*ISNUMBER(SEARCH(거래처별!$AD$8:$AD$307,$AB1491))),거래처별!$A$8:$A$307),IFERROR(LOOKUP(2,1/((거래처별!$AE$8:$AE$307&lt;&gt;"")*ISNUMBER(SEARCH(거래처별!$AE$8:$AE$307,$AB1491))),거래처별!$A$8:$A$307),0))))</f>
        <v/>
      </c>
      <c r="AD1491" s="31">
        <f>IF(AND($Y1491&lt;&gt;"",N($Z1491)&gt;0,$AC1491=0),MAX($AD$7:$AD1490)+1,"")</f>
        <v/>
      </c>
      <c r="AE1491" s="31">
        <f>IF($Y1491="",0,$Y1491)</f>
        <v/>
      </c>
    </row>
    <row r="1492">
      <c r="W1492" s="31">
        <f>IF(OR($B$5="",$C$6="",ROW()&lt;$B$5),"",IF(INDEX($A:$U,ROW(),$C$6)="","",INDEX($A:$U,ROW(),$C$6)))</f>
        <v/>
      </c>
      <c r="X1492" s="32">
        <f>IF($W1492="","",IF(ISNUMBER($W1492),IF($W1492&gt;=10000000,IFERROR(DATE(INT($W1492/10000),MOD(INT($W1492/100),100),MOD($W1492,100)),""),INT($W1492)),IFERROR(DATE(--LEFT(LEFT(SUBSTITUTE(SUBSTITUTE(SUBSTITUTE(SUBSTITUTE(TRIM($W1492),"-",""),".",""),"/","")," ",""),8),4),--MID(LEFT(SUBSTITUTE(SUBSTITUTE(SUBSTITUTE(SUBSTITUTE(TRIM($W1492),"-",""),".",""),"/","")," ",""),8),5,2),--MID(LEFT(SUBSTITUTE(SUBSTITUTE(SUBSTITUTE(SUBSTITUTE(TRIM($W1492),"-",""),".",""),"/","")," ",""),8),7,2)),"")))</f>
        <v/>
      </c>
      <c r="Y1492" s="32">
        <f>IF($X1492="","",INT($X1492))</f>
        <v/>
      </c>
      <c r="Z1492" s="33">
        <f>IF(OR($Y1492="",$D$6=""),"",IF(INDEX($A:$U,ROW(),$D$6)="",0,IF(ISNUMBER(INDEX($A:$U,ROW(),$D$6)),INDEX($A:$U,ROW(),$D$6),IFERROR(--SUBSTITUTE(SUBSTITUTE(TRIM(INDEX($A:$U,ROW(),$D$6)),",",""),"원",""),0))))</f>
        <v/>
      </c>
      <c r="AA1492" s="31">
        <f>IF($Y1492="","",TRIM(INDEX($A:$U,ROW(),$E$6)&amp;IF($F$6="",""," "&amp;INDEX($A:$U,ROW(),$F$6))))</f>
        <v/>
      </c>
      <c r="AB1492" s="31">
        <f>IF($AA1492="","",SUBSTITUTE(SUBSTITUTE(SUBSTITUTE(SUBSTITUTE(SUBSTITUTE(SUBSTITUTE(SUBSTITUTE(SUBSTITUTE(SUBSTITUTE($AA1492," ",""),"　",""),"(주)",""),"（주）",""),"㈜",""),"주식회사",""),"(유)",""),"（유）",""),"유한회사",""))</f>
        <v/>
      </c>
      <c r="AC1492" s="31">
        <f>IF(OR($Y1492="",N($Z1492)&lt;=0,$AB1492=""),0,IFERROR(LOOKUP(2,1/((거래처별!$AC$8:$AC$307&lt;&gt;"")*ISNUMBER(SEARCH(거래처별!$AC$8:$AC$307,$AB1492))),거래처별!$A$8:$A$307),IFERROR(LOOKUP(2,1/((거래처별!$AD$8:$AD$307&lt;&gt;"")*ISNUMBER(SEARCH(거래처별!$AD$8:$AD$307,$AB1492))),거래처별!$A$8:$A$307),IFERROR(LOOKUP(2,1/((거래처별!$AE$8:$AE$307&lt;&gt;"")*ISNUMBER(SEARCH(거래처별!$AE$8:$AE$307,$AB1492))),거래처별!$A$8:$A$307),0))))</f>
        <v/>
      </c>
      <c r="AD1492" s="31">
        <f>IF(AND($Y1492&lt;&gt;"",N($Z1492)&gt;0,$AC1492=0),MAX($AD$7:$AD1491)+1,"")</f>
        <v/>
      </c>
      <c r="AE1492" s="31">
        <f>IF($Y1492="",0,$Y1492)</f>
        <v/>
      </c>
    </row>
    <row r="1493">
      <c r="W1493" s="31">
        <f>IF(OR($B$5="",$C$6="",ROW()&lt;$B$5),"",IF(INDEX($A:$U,ROW(),$C$6)="","",INDEX($A:$U,ROW(),$C$6)))</f>
        <v/>
      </c>
      <c r="X1493" s="32">
        <f>IF($W1493="","",IF(ISNUMBER($W1493),IF($W1493&gt;=10000000,IFERROR(DATE(INT($W1493/10000),MOD(INT($W1493/100),100),MOD($W1493,100)),""),INT($W1493)),IFERROR(DATE(--LEFT(LEFT(SUBSTITUTE(SUBSTITUTE(SUBSTITUTE(SUBSTITUTE(TRIM($W1493),"-",""),".",""),"/","")," ",""),8),4),--MID(LEFT(SUBSTITUTE(SUBSTITUTE(SUBSTITUTE(SUBSTITUTE(TRIM($W1493),"-",""),".",""),"/","")," ",""),8),5,2),--MID(LEFT(SUBSTITUTE(SUBSTITUTE(SUBSTITUTE(SUBSTITUTE(TRIM($W1493),"-",""),".",""),"/","")," ",""),8),7,2)),"")))</f>
        <v/>
      </c>
      <c r="Y1493" s="32">
        <f>IF($X1493="","",INT($X1493))</f>
        <v/>
      </c>
      <c r="Z1493" s="33">
        <f>IF(OR($Y1493="",$D$6=""),"",IF(INDEX($A:$U,ROW(),$D$6)="",0,IF(ISNUMBER(INDEX($A:$U,ROW(),$D$6)),INDEX($A:$U,ROW(),$D$6),IFERROR(--SUBSTITUTE(SUBSTITUTE(TRIM(INDEX($A:$U,ROW(),$D$6)),",",""),"원",""),0))))</f>
        <v/>
      </c>
      <c r="AA1493" s="31">
        <f>IF($Y1493="","",TRIM(INDEX($A:$U,ROW(),$E$6)&amp;IF($F$6="",""," "&amp;INDEX($A:$U,ROW(),$F$6))))</f>
        <v/>
      </c>
      <c r="AB1493" s="31">
        <f>IF($AA1493="","",SUBSTITUTE(SUBSTITUTE(SUBSTITUTE(SUBSTITUTE(SUBSTITUTE(SUBSTITUTE(SUBSTITUTE(SUBSTITUTE(SUBSTITUTE($AA1493," ",""),"　",""),"(주)",""),"（주）",""),"㈜",""),"주식회사",""),"(유)",""),"（유）",""),"유한회사",""))</f>
        <v/>
      </c>
      <c r="AC1493" s="31">
        <f>IF(OR($Y1493="",N($Z1493)&lt;=0,$AB1493=""),0,IFERROR(LOOKUP(2,1/((거래처별!$AC$8:$AC$307&lt;&gt;"")*ISNUMBER(SEARCH(거래처별!$AC$8:$AC$307,$AB1493))),거래처별!$A$8:$A$307),IFERROR(LOOKUP(2,1/((거래처별!$AD$8:$AD$307&lt;&gt;"")*ISNUMBER(SEARCH(거래처별!$AD$8:$AD$307,$AB1493))),거래처별!$A$8:$A$307),IFERROR(LOOKUP(2,1/((거래처별!$AE$8:$AE$307&lt;&gt;"")*ISNUMBER(SEARCH(거래처별!$AE$8:$AE$307,$AB1493))),거래처별!$A$8:$A$307),0))))</f>
        <v/>
      </c>
      <c r="AD1493" s="31">
        <f>IF(AND($Y1493&lt;&gt;"",N($Z1493)&gt;0,$AC1493=0),MAX($AD$7:$AD1492)+1,"")</f>
        <v/>
      </c>
      <c r="AE1493" s="31">
        <f>IF($Y1493="",0,$Y1493)</f>
        <v/>
      </c>
    </row>
    <row r="1494">
      <c r="W1494" s="31">
        <f>IF(OR($B$5="",$C$6="",ROW()&lt;$B$5),"",IF(INDEX($A:$U,ROW(),$C$6)="","",INDEX($A:$U,ROW(),$C$6)))</f>
        <v/>
      </c>
      <c r="X1494" s="32">
        <f>IF($W1494="","",IF(ISNUMBER($W1494),IF($W1494&gt;=10000000,IFERROR(DATE(INT($W1494/10000),MOD(INT($W1494/100),100),MOD($W1494,100)),""),INT($W1494)),IFERROR(DATE(--LEFT(LEFT(SUBSTITUTE(SUBSTITUTE(SUBSTITUTE(SUBSTITUTE(TRIM($W1494),"-",""),".",""),"/","")," ",""),8),4),--MID(LEFT(SUBSTITUTE(SUBSTITUTE(SUBSTITUTE(SUBSTITUTE(TRIM($W1494),"-",""),".",""),"/","")," ",""),8),5,2),--MID(LEFT(SUBSTITUTE(SUBSTITUTE(SUBSTITUTE(SUBSTITUTE(TRIM($W1494),"-",""),".",""),"/","")," ",""),8),7,2)),"")))</f>
        <v/>
      </c>
      <c r="Y1494" s="32">
        <f>IF($X1494="","",INT($X1494))</f>
        <v/>
      </c>
      <c r="Z1494" s="33">
        <f>IF(OR($Y1494="",$D$6=""),"",IF(INDEX($A:$U,ROW(),$D$6)="",0,IF(ISNUMBER(INDEX($A:$U,ROW(),$D$6)),INDEX($A:$U,ROW(),$D$6),IFERROR(--SUBSTITUTE(SUBSTITUTE(TRIM(INDEX($A:$U,ROW(),$D$6)),",",""),"원",""),0))))</f>
        <v/>
      </c>
      <c r="AA1494" s="31">
        <f>IF($Y1494="","",TRIM(INDEX($A:$U,ROW(),$E$6)&amp;IF($F$6="",""," "&amp;INDEX($A:$U,ROW(),$F$6))))</f>
        <v/>
      </c>
      <c r="AB1494" s="31">
        <f>IF($AA1494="","",SUBSTITUTE(SUBSTITUTE(SUBSTITUTE(SUBSTITUTE(SUBSTITUTE(SUBSTITUTE(SUBSTITUTE(SUBSTITUTE(SUBSTITUTE($AA1494," ",""),"　",""),"(주)",""),"（주）",""),"㈜",""),"주식회사",""),"(유)",""),"（유）",""),"유한회사",""))</f>
        <v/>
      </c>
      <c r="AC1494" s="31">
        <f>IF(OR($Y1494="",N($Z1494)&lt;=0,$AB1494=""),0,IFERROR(LOOKUP(2,1/((거래처별!$AC$8:$AC$307&lt;&gt;"")*ISNUMBER(SEARCH(거래처별!$AC$8:$AC$307,$AB1494))),거래처별!$A$8:$A$307),IFERROR(LOOKUP(2,1/((거래처별!$AD$8:$AD$307&lt;&gt;"")*ISNUMBER(SEARCH(거래처별!$AD$8:$AD$307,$AB1494))),거래처별!$A$8:$A$307),IFERROR(LOOKUP(2,1/((거래처별!$AE$8:$AE$307&lt;&gt;"")*ISNUMBER(SEARCH(거래처별!$AE$8:$AE$307,$AB1494))),거래처별!$A$8:$A$307),0))))</f>
        <v/>
      </c>
      <c r="AD1494" s="31">
        <f>IF(AND($Y1494&lt;&gt;"",N($Z1494)&gt;0,$AC1494=0),MAX($AD$7:$AD1493)+1,"")</f>
        <v/>
      </c>
      <c r="AE1494" s="31">
        <f>IF($Y1494="",0,$Y1494)</f>
        <v/>
      </c>
    </row>
    <row r="1495">
      <c r="W1495" s="31">
        <f>IF(OR($B$5="",$C$6="",ROW()&lt;$B$5),"",IF(INDEX($A:$U,ROW(),$C$6)="","",INDEX($A:$U,ROW(),$C$6)))</f>
        <v/>
      </c>
      <c r="X1495" s="32">
        <f>IF($W1495="","",IF(ISNUMBER($W1495),IF($W1495&gt;=10000000,IFERROR(DATE(INT($W1495/10000),MOD(INT($W1495/100),100),MOD($W1495,100)),""),INT($W1495)),IFERROR(DATE(--LEFT(LEFT(SUBSTITUTE(SUBSTITUTE(SUBSTITUTE(SUBSTITUTE(TRIM($W1495),"-",""),".",""),"/","")," ",""),8),4),--MID(LEFT(SUBSTITUTE(SUBSTITUTE(SUBSTITUTE(SUBSTITUTE(TRIM($W1495),"-",""),".",""),"/","")," ",""),8),5,2),--MID(LEFT(SUBSTITUTE(SUBSTITUTE(SUBSTITUTE(SUBSTITUTE(TRIM($W1495),"-",""),".",""),"/","")," ",""),8),7,2)),"")))</f>
        <v/>
      </c>
      <c r="Y1495" s="32">
        <f>IF($X1495="","",INT($X1495))</f>
        <v/>
      </c>
      <c r="Z1495" s="33">
        <f>IF(OR($Y1495="",$D$6=""),"",IF(INDEX($A:$U,ROW(),$D$6)="",0,IF(ISNUMBER(INDEX($A:$U,ROW(),$D$6)),INDEX($A:$U,ROW(),$D$6),IFERROR(--SUBSTITUTE(SUBSTITUTE(TRIM(INDEX($A:$U,ROW(),$D$6)),",",""),"원",""),0))))</f>
        <v/>
      </c>
      <c r="AA1495" s="31">
        <f>IF($Y1495="","",TRIM(INDEX($A:$U,ROW(),$E$6)&amp;IF($F$6="",""," "&amp;INDEX($A:$U,ROW(),$F$6))))</f>
        <v/>
      </c>
      <c r="AB1495" s="31">
        <f>IF($AA1495="","",SUBSTITUTE(SUBSTITUTE(SUBSTITUTE(SUBSTITUTE(SUBSTITUTE(SUBSTITUTE(SUBSTITUTE(SUBSTITUTE(SUBSTITUTE($AA1495," ",""),"　",""),"(주)",""),"（주）",""),"㈜",""),"주식회사",""),"(유)",""),"（유）",""),"유한회사",""))</f>
        <v/>
      </c>
      <c r="AC1495" s="31">
        <f>IF(OR($Y1495="",N($Z1495)&lt;=0,$AB1495=""),0,IFERROR(LOOKUP(2,1/((거래처별!$AC$8:$AC$307&lt;&gt;"")*ISNUMBER(SEARCH(거래처별!$AC$8:$AC$307,$AB1495))),거래처별!$A$8:$A$307),IFERROR(LOOKUP(2,1/((거래처별!$AD$8:$AD$307&lt;&gt;"")*ISNUMBER(SEARCH(거래처별!$AD$8:$AD$307,$AB1495))),거래처별!$A$8:$A$307),IFERROR(LOOKUP(2,1/((거래처별!$AE$8:$AE$307&lt;&gt;"")*ISNUMBER(SEARCH(거래처별!$AE$8:$AE$307,$AB1495))),거래처별!$A$8:$A$307),0))))</f>
        <v/>
      </c>
      <c r="AD1495" s="31">
        <f>IF(AND($Y1495&lt;&gt;"",N($Z1495)&gt;0,$AC1495=0),MAX($AD$7:$AD1494)+1,"")</f>
        <v/>
      </c>
      <c r="AE1495" s="31">
        <f>IF($Y1495="",0,$Y1495)</f>
        <v/>
      </c>
    </row>
    <row r="1496">
      <c r="W1496" s="31">
        <f>IF(OR($B$5="",$C$6="",ROW()&lt;$B$5),"",IF(INDEX($A:$U,ROW(),$C$6)="","",INDEX($A:$U,ROW(),$C$6)))</f>
        <v/>
      </c>
      <c r="X1496" s="32">
        <f>IF($W1496="","",IF(ISNUMBER($W1496),IF($W1496&gt;=10000000,IFERROR(DATE(INT($W1496/10000),MOD(INT($W1496/100),100),MOD($W1496,100)),""),INT($W1496)),IFERROR(DATE(--LEFT(LEFT(SUBSTITUTE(SUBSTITUTE(SUBSTITUTE(SUBSTITUTE(TRIM($W1496),"-",""),".",""),"/","")," ",""),8),4),--MID(LEFT(SUBSTITUTE(SUBSTITUTE(SUBSTITUTE(SUBSTITUTE(TRIM($W1496),"-",""),".",""),"/","")," ",""),8),5,2),--MID(LEFT(SUBSTITUTE(SUBSTITUTE(SUBSTITUTE(SUBSTITUTE(TRIM($W1496),"-",""),".",""),"/","")," ",""),8),7,2)),"")))</f>
        <v/>
      </c>
      <c r="Y1496" s="32">
        <f>IF($X1496="","",INT($X1496))</f>
        <v/>
      </c>
      <c r="Z1496" s="33">
        <f>IF(OR($Y1496="",$D$6=""),"",IF(INDEX($A:$U,ROW(),$D$6)="",0,IF(ISNUMBER(INDEX($A:$U,ROW(),$D$6)),INDEX($A:$U,ROW(),$D$6),IFERROR(--SUBSTITUTE(SUBSTITUTE(TRIM(INDEX($A:$U,ROW(),$D$6)),",",""),"원",""),0))))</f>
        <v/>
      </c>
      <c r="AA1496" s="31">
        <f>IF($Y1496="","",TRIM(INDEX($A:$U,ROW(),$E$6)&amp;IF($F$6="",""," "&amp;INDEX($A:$U,ROW(),$F$6))))</f>
        <v/>
      </c>
      <c r="AB1496" s="31">
        <f>IF($AA1496="","",SUBSTITUTE(SUBSTITUTE(SUBSTITUTE(SUBSTITUTE(SUBSTITUTE(SUBSTITUTE(SUBSTITUTE(SUBSTITUTE(SUBSTITUTE($AA1496," ",""),"　",""),"(주)",""),"（주）",""),"㈜",""),"주식회사",""),"(유)",""),"（유）",""),"유한회사",""))</f>
        <v/>
      </c>
      <c r="AC1496" s="31">
        <f>IF(OR($Y1496="",N($Z1496)&lt;=0,$AB1496=""),0,IFERROR(LOOKUP(2,1/((거래처별!$AC$8:$AC$307&lt;&gt;"")*ISNUMBER(SEARCH(거래처별!$AC$8:$AC$307,$AB1496))),거래처별!$A$8:$A$307),IFERROR(LOOKUP(2,1/((거래처별!$AD$8:$AD$307&lt;&gt;"")*ISNUMBER(SEARCH(거래처별!$AD$8:$AD$307,$AB1496))),거래처별!$A$8:$A$307),IFERROR(LOOKUP(2,1/((거래처별!$AE$8:$AE$307&lt;&gt;"")*ISNUMBER(SEARCH(거래처별!$AE$8:$AE$307,$AB1496))),거래처별!$A$8:$A$307),0))))</f>
        <v/>
      </c>
      <c r="AD1496" s="31">
        <f>IF(AND($Y1496&lt;&gt;"",N($Z1496)&gt;0,$AC1496=0),MAX($AD$7:$AD1495)+1,"")</f>
        <v/>
      </c>
      <c r="AE1496" s="31">
        <f>IF($Y1496="",0,$Y1496)</f>
        <v/>
      </c>
    </row>
    <row r="1497">
      <c r="W1497" s="31">
        <f>IF(OR($B$5="",$C$6="",ROW()&lt;$B$5),"",IF(INDEX($A:$U,ROW(),$C$6)="","",INDEX($A:$U,ROW(),$C$6)))</f>
        <v/>
      </c>
      <c r="X1497" s="32">
        <f>IF($W1497="","",IF(ISNUMBER($W1497),IF($W1497&gt;=10000000,IFERROR(DATE(INT($W1497/10000),MOD(INT($W1497/100),100),MOD($W1497,100)),""),INT($W1497)),IFERROR(DATE(--LEFT(LEFT(SUBSTITUTE(SUBSTITUTE(SUBSTITUTE(SUBSTITUTE(TRIM($W1497),"-",""),".",""),"/","")," ",""),8),4),--MID(LEFT(SUBSTITUTE(SUBSTITUTE(SUBSTITUTE(SUBSTITUTE(TRIM($W1497),"-",""),".",""),"/","")," ",""),8),5,2),--MID(LEFT(SUBSTITUTE(SUBSTITUTE(SUBSTITUTE(SUBSTITUTE(TRIM($W1497),"-",""),".",""),"/","")," ",""),8),7,2)),"")))</f>
        <v/>
      </c>
      <c r="Y1497" s="32">
        <f>IF($X1497="","",INT($X1497))</f>
        <v/>
      </c>
      <c r="Z1497" s="33">
        <f>IF(OR($Y1497="",$D$6=""),"",IF(INDEX($A:$U,ROW(),$D$6)="",0,IF(ISNUMBER(INDEX($A:$U,ROW(),$D$6)),INDEX($A:$U,ROW(),$D$6),IFERROR(--SUBSTITUTE(SUBSTITUTE(TRIM(INDEX($A:$U,ROW(),$D$6)),",",""),"원",""),0))))</f>
        <v/>
      </c>
      <c r="AA1497" s="31">
        <f>IF($Y1497="","",TRIM(INDEX($A:$U,ROW(),$E$6)&amp;IF($F$6="",""," "&amp;INDEX($A:$U,ROW(),$F$6))))</f>
        <v/>
      </c>
      <c r="AB1497" s="31">
        <f>IF($AA1497="","",SUBSTITUTE(SUBSTITUTE(SUBSTITUTE(SUBSTITUTE(SUBSTITUTE(SUBSTITUTE(SUBSTITUTE(SUBSTITUTE(SUBSTITUTE($AA1497," ",""),"　",""),"(주)",""),"（주）",""),"㈜",""),"주식회사",""),"(유)",""),"（유）",""),"유한회사",""))</f>
        <v/>
      </c>
      <c r="AC1497" s="31">
        <f>IF(OR($Y1497="",N($Z1497)&lt;=0,$AB1497=""),0,IFERROR(LOOKUP(2,1/((거래처별!$AC$8:$AC$307&lt;&gt;"")*ISNUMBER(SEARCH(거래처별!$AC$8:$AC$307,$AB1497))),거래처별!$A$8:$A$307),IFERROR(LOOKUP(2,1/((거래처별!$AD$8:$AD$307&lt;&gt;"")*ISNUMBER(SEARCH(거래처별!$AD$8:$AD$307,$AB1497))),거래처별!$A$8:$A$307),IFERROR(LOOKUP(2,1/((거래처별!$AE$8:$AE$307&lt;&gt;"")*ISNUMBER(SEARCH(거래처별!$AE$8:$AE$307,$AB1497))),거래처별!$A$8:$A$307),0))))</f>
        <v/>
      </c>
      <c r="AD1497" s="31">
        <f>IF(AND($Y1497&lt;&gt;"",N($Z1497)&gt;0,$AC1497=0),MAX($AD$7:$AD1496)+1,"")</f>
        <v/>
      </c>
      <c r="AE1497" s="31">
        <f>IF($Y1497="",0,$Y1497)</f>
        <v/>
      </c>
    </row>
    <row r="1498">
      <c r="W1498" s="31">
        <f>IF(OR($B$5="",$C$6="",ROW()&lt;$B$5),"",IF(INDEX($A:$U,ROW(),$C$6)="","",INDEX($A:$U,ROW(),$C$6)))</f>
        <v/>
      </c>
      <c r="X1498" s="32">
        <f>IF($W1498="","",IF(ISNUMBER($W1498),IF($W1498&gt;=10000000,IFERROR(DATE(INT($W1498/10000),MOD(INT($W1498/100),100),MOD($W1498,100)),""),INT($W1498)),IFERROR(DATE(--LEFT(LEFT(SUBSTITUTE(SUBSTITUTE(SUBSTITUTE(SUBSTITUTE(TRIM($W1498),"-",""),".",""),"/","")," ",""),8),4),--MID(LEFT(SUBSTITUTE(SUBSTITUTE(SUBSTITUTE(SUBSTITUTE(TRIM($W1498),"-",""),".",""),"/","")," ",""),8),5,2),--MID(LEFT(SUBSTITUTE(SUBSTITUTE(SUBSTITUTE(SUBSTITUTE(TRIM($W1498),"-",""),".",""),"/","")," ",""),8),7,2)),"")))</f>
        <v/>
      </c>
      <c r="Y1498" s="32">
        <f>IF($X1498="","",INT($X1498))</f>
        <v/>
      </c>
      <c r="Z1498" s="33">
        <f>IF(OR($Y1498="",$D$6=""),"",IF(INDEX($A:$U,ROW(),$D$6)="",0,IF(ISNUMBER(INDEX($A:$U,ROW(),$D$6)),INDEX($A:$U,ROW(),$D$6),IFERROR(--SUBSTITUTE(SUBSTITUTE(TRIM(INDEX($A:$U,ROW(),$D$6)),",",""),"원",""),0))))</f>
        <v/>
      </c>
      <c r="AA1498" s="31">
        <f>IF($Y1498="","",TRIM(INDEX($A:$U,ROW(),$E$6)&amp;IF($F$6="",""," "&amp;INDEX($A:$U,ROW(),$F$6))))</f>
        <v/>
      </c>
      <c r="AB1498" s="31">
        <f>IF($AA1498="","",SUBSTITUTE(SUBSTITUTE(SUBSTITUTE(SUBSTITUTE(SUBSTITUTE(SUBSTITUTE(SUBSTITUTE(SUBSTITUTE(SUBSTITUTE($AA1498," ",""),"　",""),"(주)",""),"（주）",""),"㈜",""),"주식회사",""),"(유)",""),"（유）",""),"유한회사",""))</f>
        <v/>
      </c>
      <c r="AC1498" s="31">
        <f>IF(OR($Y1498="",N($Z1498)&lt;=0,$AB1498=""),0,IFERROR(LOOKUP(2,1/((거래처별!$AC$8:$AC$307&lt;&gt;"")*ISNUMBER(SEARCH(거래처별!$AC$8:$AC$307,$AB1498))),거래처별!$A$8:$A$307),IFERROR(LOOKUP(2,1/((거래처별!$AD$8:$AD$307&lt;&gt;"")*ISNUMBER(SEARCH(거래처별!$AD$8:$AD$307,$AB1498))),거래처별!$A$8:$A$307),IFERROR(LOOKUP(2,1/((거래처별!$AE$8:$AE$307&lt;&gt;"")*ISNUMBER(SEARCH(거래처별!$AE$8:$AE$307,$AB1498))),거래처별!$A$8:$A$307),0))))</f>
        <v/>
      </c>
      <c r="AD1498" s="31">
        <f>IF(AND($Y1498&lt;&gt;"",N($Z1498)&gt;0,$AC1498=0),MAX($AD$7:$AD1497)+1,"")</f>
        <v/>
      </c>
      <c r="AE1498" s="31">
        <f>IF($Y1498="",0,$Y1498)</f>
        <v/>
      </c>
    </row>
    <row r="1499">
      <c r="W1499" s="31">
        <f>IF(OR($B$5="",$C$6="",ROW()&lt;$B$5),"",IF(INDEX($A:$U,ROW(),$C$6)="","",INDEX($A:$U,ROW(),$C$6)))</f>
        <v/>
      </c>
      <c r="X1499" s="32">
        <f>IF($W1499="","",IF(ISNUMBER($W1499),IF($W1499&gt;=10000000,IFERROR(DATE(INT($W1499/10000),MOD(INT($W1499/100),100),MOD($W1499,100)),""),INT($W1499)),IFERROR(DATE(--LEFT(LEFT(SUBSTITUTE(SUBSTITUTE(SUBSTITUTE(SUBSTITUTE(TRIM($W1499),"-",""),".",""),"/","")," ",""),8),4),--MID(LEFT(SUBSTITUTE(SUBSTITUTE(SUBSTITUTE(SUBSTITUTE(TRIM($W1499),"-",""),".",""),"/","")," ",""),8),5,2),--MID(LEFT(SUBSTITUTE(SUBSTITUTE(SUBSTITUTE(SUBSTITUTE(TRIM($W1499),"-",""),".",""),"/","")," ",""),8),7,2)),"")))</f>
        <v/>
      </c>
      <c r="Y1499" s="32">
        <f>IF($X1499="","",INT($X1499))</f>
        <v/>
      </c>
      <c r="Z1499" s="33">
        <f>IF(OR($Y1499="",$D$6=""),"",IF(INDEX($A:$U,ROW(),$D$6)="",0,IF(ISNUMBER(INDEX($A:$U,ROW(),$D$6)),INDEX($A:$U,ROW(),$D$6),IFERROR(--SUBSTITUTE(SUBSTITUTE(TRIM(INDEX($A:$U,ROW(),$D$6)),",",""),"원",""),0))))</f>
        <v/>
      </c>
      <c r="AA1499" s="31">
        <f>IF($Y1499="","",TRIM(INDEX($A:$U,ROW(),$E$6)&amp;IF($F$6="",""," "&amp;INDEX($A:$U,ROW(),$F$6))))</f>
        <v/>
      </c>
      <c r="AB1499" s="31">
        <f>IF($AA1499="","",SUBSTITUTE(SUBSTITUTE(SUBSTITUTE(SUBSTITUTE(SUBSTITUTE(SUBSTITUTE(SUBSTITUTE(SUBSTITUTE(SUBSTITUTE($AA1499," ",""),"　",""),"(주)",""),"（주）",""),"㈜",""),"주식회사",""),"(유)",""),"（유）",""),"유한회사",""))</f>
        <v/>
      </c>
      <c r="AC1499" s="31">
        <f>IF(OR($Y1499="",N($Z1499)&lt;=0,$AB1499=""),0,IFERROR(LOOKUP(2,1/((거래처별!$AC$8:$AC$307&lt;&gt;"")*ISNUMBER(SEARCH(거래처별!$AC$8:$AC$307,$AB1499))),거래처별!$A$8:$A$307),IFERROR(LOOKUP(2,1/((거래처별!$AD$8:$AD$307&lt;&gt;"")*ISNUMBER(SEARCH(거래처별!$AD$8:$AD$307,$AB1499))),거래처별!$A$8:$A$307),IFERROR(LOOKUP(2,1/((거래처별!$AE$8:$AE$307&lt;&gt;"")*ISNUMBER(SEARCH(거래처별!$AE$8:$AE$307,$AB1499))),거래처별!$A$8:$A$307),0))))</f>
        <v/>
      </c>
      <c r="AD1499" s="31">
        <f>IF(AND($Y1499&lt;&gt;"",N($Z1499)&gt;0,$AC1499=0),MAX($AD$7:$AD1498)+1,"")</f>
        <v/>
      </c>
      <c r="AE1499" s="31">
        <f>IF($Y1499="",0,$Y1499)</f>
        <v/>
      </c>
    </row>
    <row r="1500">
      <c r="W1500" s="31">
        <f>IF(OR($B$5="",$C$6="",ROW()&lt;$B$5),"",IF(INDEX($A:$U,ROW(),$C$6)="","",INDEX($A:$U,ROW(),$C$6)))</f>
        <v/>
      </c>
      <c r="X1500" s="32">
        <f>IF($W1500="","",IF(ISNUMBER($W1500),IF($W1500&gt;=10000000,IFERROR(DATE(INT($W1500/10000),MOD(INT($W1500/100),100),MOD($W1500,100)),""),INT($W1500)),IFERROR(DATE(--LEFT(LEFT(SUBSTITUTE(SUBSTITUTE(SUBSTITUTE(SUBSTITUTE(TRIM($W1500),"-",""),".",""),"/","")," ",""),8),4),--MID(LEFT(SUBSTITUTE(SUBSTITUTE(SUBSTITUTE(SUBSTITUTE(TRIM($W1500),"-",""),".",""),"/","")," ",""),8),5,2),--MID(LEFT(SUBSTITUTE(SUBSTITUTE(SUBSTITUTE(SUBSTITUTE(TRIM($W1500),"-",""),".",""),"/","")," ",""),8),7,2)),"")))</f>
        <v/>
      </c>
      <c r="Y1500" s="32">
        <f>IF($X1500="","",INT($X1500))</f>
        <v/>
      </c>
      <c r="Z1500" s="33">
        <f>IF(OR($Y1500="",$D$6=""),"",IF(INDEX($A:$U,ROW(),$D$6)="",0,IF(ISNUMBER(INDEX($A:$U,ROW(),$D$6)),INDEX($A:$U,ROW(),$D$6),IFERROR(--SUBSTITUTE(SUBSTITUTE(TRIM(INDEX($A:$U,ROW(),$D$6)),",",""),"원",""),0))))</f>
        <v/>
      </c>
      <c r="AA1500" s="31">
        <f>IF($Y1500="","",TRIM(INDEX($A:$U,ROW(),$E$6)&amp;IF($F$6="",""," "&amp;INDEX($A:$U,ROW(),$F$6))))</f>
        <v/>
      </c>
      <c r="AB1500" s="31">
        <f>IF($AA1500="","",SUBSTITUTE(SUBSTITUTE(SUBSTITUTE(SUBSTITUTE(SUBSTITUTE(SUBSTITUTE(SUBSTITUTE(SUBSTITUTE(SUBSTITUTE($AA1500," ",""),"　",""),"(주)",""),"（주）",""),"㈜",""),"주식회사",""),"(유)",""),"（유）",""),"유한회사",""))</f>
        <v/>
      </c>
      <c r="AC1500" s="31">
        <f>IF(OR($Y1500="",N($Z1500)&lt;=0,$AB1500=""),0,IFERROR(LOOKUP(2,1/((거래처별!$AC$8:$AC$307&lt;&gt;"")*ISNUMBER(SEARCH(거래처별!$AC$8:$AC$307,$AB1500))),거래처별!$A$8:$A$307),IFERROR(LOOKUP(2,1/((거래처별!$AD$8:$AD$307&lt;&gt;"")*ISNUMBER(SEARCH(거래처별!$AD$8:$AD$307,$AB1500))),거래처별!$A$8:$A$307),IFERROR(LOOKUP(2,1/((거래처별!$AE$8:$AE$307&lt;&gt;"")*ISNUMBER(SEARCH(거래처별!$AE$8:$AE$307,$AB1500))),거래처별!$A$8:$A$307),0))))</f>
        <v/>
      </c>
      <c r="AD1500" s="31">
        <f>IF(AND($Y1500&lt;&gt;"",N($Z1500)&gt;0,$AC1500=0),MAX($AD$7:$AD1499)+1,"")</f>
        <v/>
      </c>
      <c r="AE1500" s="31">
        <f>IF($Y1500="",0,$Y1500)</f>
        <v/>
      </c>
    </row>
    <row r="1501">
      <c r="W1501" s="31">
        <f>IF(OR($B$5="",$C$6="",ROW()&lt;$B$5),"",IF(INDEX($A:$U,ROW(),$C$6)="","",INDEX($A:$U,ROW(),$C$6)))</f>
        <v/>
      </c>
      <c r="X1501" s="32">
        <f>IF($W1501="","",IF(ISNUMBER($W1501),IF($W1501&gt;=10000000,IFERROR(DATE(INT($W1501/10000),MOD(INT($W1501/100),100),MOD($W1501,100)),""),INT($W1501)),IFERROR(DATE(--LEFT(LEFT(SUBSTITUTE(SUBSTITUTE(SUBSTITUTE(SUBSTITUTE(TRIM($W1501),"-",""),".",""),"/","")," ",""),8),4),--MID(LEFT(SUBSTITUTE(SUBSTITUTE(SUBSTITUTE(SUBSTITUTE(TRIM($W1501),"-",""),".",""),"/","")," ",""),8),5,2),--MID(LEFT(SUBSTITUTE(SUBSTITUTE(SUBSTITUTE(SUBSTITUTE(TRIM($W1501),"-",""),".",""),"/","")," ",""),8),7,2)),"")))</f>
        <v/>
      </c>
      <c r="Y1501" s="32">
        <f>IF($X1501="","",INT($X1501))</f>
        <v/>
      </c>
      <c r="Z1501" s="33">
        <f>IF(OR($Y1501="",$D$6=""),"",IF(INDEX($A:$U,ROW(),$D$6)="",0,IF(ISNUMBER(INDEX($A:$U,ROW(),$D$6)),INDEX($A:$U,ROW(),$D$6),IFERROR(--SUBSTITUTE(SUBSTITUTE(TRIM(INDEX($A:$U,ROW(),$D$6)),",",""),"원",""),0))))</f>
        <v/>
      </c>
      <c r="AA1501" s="31">
        <f>IF($Y1501="","",TRIM(INDEX($A:$U,ROW(),$E$6)&amp;IF($F$6="",""," "&amp;INDEX($A:$U,ROW(),$F$6))))</f>
        <v/>
      </c>
      <c r="AB1501" s="31">
        <f>IF($AA1501="","",SUBSTITUTE(SUBSTITUTE(SUBSTITUTE(SUBSTITUTE(SUBSTITUTE(SUBSTITUTE(SUBSTITUTE(SUBSTITUTE(SUBSTITUTE($AA1501," ",""),"　",""),"(주)",""),"（주）",""),"㈜",""),"주식회사",""),"(유)",""),"（유）",""),"유한회사",""))</f>
        <v/>
      </c>
      <c r="AC1501" s="31">
        <f>IF(OR($Y1501="",N($Z1501)&lt;=0,$AB1501=""),0,IFERROR(LOOKUP(2,1/((거래처별!$AC$8:$AC$307&lt;&gt;"")*ISNUMBER(SEARCH(거래처별!$AC$8:$AC$307,$AB1501))),거래처별!$A$8:$A$307),IFERROR(LOOKUP(2,1/((거래처별!$AD$8:$AD$307&lt;&gt;"")*ISNUMBER(SEARCH(거래처별!$AD$8:$AD$307,$AB1501))),거래처별!$A$8:$A$307),IFERROR(LOOKUP(2,1/((거래처별!$AE$8:$AE$307&lt;&gt;"")*ISNUMBER(SEARCH(거래처별!$AE$8:$AE$307,$AB1501))),거래처별!$A$8:$A$307),0))))</f>
        <v/>
      </c>
      <c r="AD1501" s="31">
        <f>IF(AND($Y1501&lt;&gt;"",N($Z1501)&gt;0,$AC1501=0),MAX($AD$7:$AD1500)+1,"")</f>
        <v/>
      </c>
      <c r="AE1501" s="31">
        <f>IF($Y1501="",0,$Y1501)</f>
        <v/>
      </c>
    </row>
    <row r="1502">
      <c r="W1502" s="31">
        <f>IF(OR($B$5="",$C$6="",ROW()&lt;$B$5),"",IF(INDEX($A:$U,ROW(),$C$6)="","",INDEX($A:$U,ROW(),$C$6)))</f>
        <v/>
      </c>
      <c r="X1502" s="32">
        <f>IF($W1502="","",IF(ISNUMBER($W1502),IF($W1502&gt;=10000000,IFERROR(DATE(INT($W1502/10000),MOD(INT($W1502/100),100),MOD($W1502,100)),""),INT($W1502)),IFERROR(DATE(--LEFT(LEFT(SUBSTITUTE(SUBSTITUTE(SUBSTITUTE(SUBSTITUTE(TRIM($W1502),"-",""),".",""),"/","")," ",""),8),4),--MID(LEFT(SUBSTITUTE(SUBSTITUTE(SUBSTITUTE(SUBSTITUTE(TRIM($W1502),"-",""),".",""),"/","")," ",""),8),5,2),--MID(LEFT(SUBSTITUTE(SUBSTITUTE(SUBSTITUTE(SUBSTITUTE(TRIM($W1502),"-",""),".",""),"/","")," ",""),8),7,2)),"")))</f>
        <v/>
      </c>
      <c r="Y1502" s="32">
        <f>IF($X1502="","",INT($X1502))</f>
        <v/>
      </c>
      <c r="Z1502" s="33">
        <f>IF(OR($Y1502="",$D$6=""),"",IF(INDEX($A:$U,ROW(),$D$6)="",0,IF(ISNUMBER(INDEX($A:$U,ROW(),$D$6)),INDEX($A:$U,ROW(),$D$6),IFERROR(--SUBSTITUTE(SUBSTITUTE(TRIM(INDEX($A:$U,ROW(),$D$6)),",",""),"원",""),0))))</f>
        <v/>
      </c>
      <c r="AA1502" s="31">
        <f>IF($Y1502="","",TRIM(INDEX($A:$U,ROW(),$E$6)&amp;IF($F$6="",""," "&amp;INDEX($A:$U,ROW(),$F$6))))</f>
        <v/>
      </c>
      <c r="AB1502" s="31">
        <f>IF($AA1502="","",SUBSTITUTE(SUBSTITUTE(SUBSTITUTE(SUBSTITUTE(SUBSTITUTE(SUBSTITUTE(SUBSTITUTE(SUBSTITUTE(SUBSTITUTE($AA1502," ",""),"　",""),"(주)",""),"（주）",""),"㈜",""),"주식회사",""),"(유)",""),"（유）",""),"유한회사",""))</f>
        <v/>
      </c>
      <c r="AC1502" s="31">
        <f>IF(OR($Y1502="",N($Z1502)&lt;=0,$AB1502=""),0,IFERROR(LOOKUP(2,1/((거래처별!$AC$8:$AC$307&lt;&gt;"")*ISNUMBER(SEARCH(거래처별!$AC$8:$AC$307,$AB1502))),거래처별!$A$8:$A$307),IFERROR(LOOKUP(2,1/((거래처별!$AD$8:$AD$307&lt;&gt;"")*ISNUMBER(SEARCH(거래처별!$AD$8:$AD$307,$AB1502))),거래처별!$A$8:$A$307),IFERROR(LOOKUP(2,1/((거래처별!$AE$8:$AE$307&lt;&gt;"")*ISNUMBER(SEARCH(거래처별!$AE$8:$AE$307,$AB1502))),거래처별!$A$8:$A$307),0))))</f>
        <v/>
      </c>
      <c r="AD1502" s="31">
        <f>IF(AND($Y1502&lt;&gt;"",N($Z1502)&gt;0,$AC1502=0),MAX($AD$7:$AD1501)+1,"")</f>
        <v/>
      </c>
      <c r="AE1502" s="31">
        <f>IF($Y1502="",0,$Y1502)</f>
        <v/>
      </c>
    </row>
    <row r="1503">
      <c r="W1503" s="31">
        <f>IF(OR($B$5="",$C$6="",ROW()&lt;$B$5),"",IF(INDEX($A:$U,ROW(),$C$6)="","",INDEX($A:$U,ROW(),$C$6)))</f>
        <v/>
      </c>
      <c r="X1503" s="32">
        <f>IF($W1503="","",IF(ISNUMBER($W1503),IF($W1503&gt;=10000000,IFERROR(DATE(INT($W1503/10000),MOD(INT($W1503/100),100),MOD($W1503,100)),""),INT($W1503)),IFERROR(DATE(--LEFT(LEFT(SUBSTITUTE(SUBSTITUTE(SUBSTITUTE(SUBSTITUTE(TRIM($W1503),"-",""),".",""),"/","")," ",""),8),4),--MID(LEFT(SUBSTITUTE(SUBSTITUTE(SUBSTITUTE(SUBSTITUTE(TRIM($W1503),"-",""),".",""),"/","")," ",""),8),5,2),--MID(LEFT(SUBSTITUTE(SUBSTITUTE(SUBSTITUTE(SUBSTITUTE(TRIM($W1503),"-",""),".",""),"/","")," ",""),8),7,2)),"")))</f>
        <v/>
      </c>
      <c r="Y1503" s="32">
        <f>IF($X1503="","",INT($X1503))</f>
        <v/>
      </c>
      <c r="Z1503" s="33">
        <f>IF(OR($Y1503="",$D$6=""),"",IF(INDEX($A:$U,ROW(),$D$6)="",0,IF(ISNUMBER(INDEX($A:$U,ROW(),$D$6)),INDEX($A:$U,ROW(),$D$6),IFERROR(--SUBSTITUTE(SUBSTITUTE(TRIM(INDEX($A:$U,ROW(),$D$6)),",",""),"원",""),0))))</f>
        <v/>
      </c>
      <c r="AA1503" s="31">
        <f>IF($Y1503="","",TRIM(INDEX($A:$U,ROW(),$E$6)&amp;IF($F$6="",""," "&amp;INDEX($A:$U,ROW(),$F$6))))</f>
        <v/>
      </c>
      <c r="AB1503" s="31">
        <f>IF($AA1503="","",SUBSTITUTE(SUBSTITUTE(SUBSTITUTE(SUBSTITUTE(SUBSTITUTE(SUBSTITUTE(SUBSTITUTE(SUBSTITUTE(SUBSTITUTE($AA1503," ",""),"　",""),"(주)",""),"（주）",""),"㈜",""),"주식회사",""),"(유)",""),"（유）",""),"유한회사",""))</f>
        <v/>
      </c>
      <c r="AC1503" s="31">
        <f>IF(OR($Y1503="",N($Z1503)&lt;=0,$AB1503=""),0,IFERROR(LOOKUP(2,1/((거래처별!$AC$8:$AC$307&lt;&gt;"")*ISNUMBER(SEARCH(거래처별!$AC$8:$AC$307,$AB1503))),거래처별!$A$8:$A$307),IFERROR(LOOKUP(2,1/((거래처별!$AD$8:$AD$307&lt;&gt;"")*ISNUMBER(SEARCH(거래처별!$AD$8:$AD$307,$AB1503))),거래처별!$A$8:$A$307),IFERROR(LOOKUP(2,1/((거래처별!$AE$8:$AE$307&lt;&gt;"")*ISNUMBER(SEARCH(거래처별!$AE$8:$AE$307,$AB1503))),거래처별!$A$8:$A$307),0))))</f>
        <v/>
      </c>
      <c r="AD1503" s="31">
        <f>IF(AND($Y1503&lt;&gt;"",N($Z1503)&gt;0,$AC1503=0),MAX($AD$7:$AD1502)+1,"")</f>
        <v/>
      </c>
      <c r="AE1503" s="31">
        <f>IF($Y1503="",0,$Y1503)</f>
        <v/>
      </c>
    </row>
    <row r="1504">
      <c r="W1504" s="31">
        <f>IF(OR($B$5="",$C$6="",ROW()&lt;$B$5),"",IF(INDEX($A:$U,ROW(),$C$6)="","",INDEX($A:$U,ROW(),$C$6)))</f>
        <v/>
      </c>
      <c r="X1504" s="32">
        <f>IF($W1504="","",IF(ISNUMBER($W1504),IF($W1504&gt;=10000000,IFERROR(DATE(INT($W1504/10000),MOD(INT($W1504/100),100),MOD($W1504,100)),""),INT($W1504)),IFERROR(DATE(--LEFT(LEFT(SUBSTITUTE(SUBSTITUTE(SUBSTITUTE(SUBSTITUTE(TRIM($W1504),"-",""),".",""),"/","")," ",""),8),4),--MID(LEFT(SUBSTITUTE(SUBSTITUTE(SUBSTITUTE(SUBSTITUTE(TRIM($W1504),"-",""),".",""),"/","")," ",""),8),5,2),--MID(LEFT(SUBSTITUTE(SUBSTITUTE(SUBSTITUTE(SUBSTITUTE(TRIM($W1504),"-",""),".",""),"/","")," ",""),8),7,2)),"")))</f>
        <v/>
      </c>
      <c r="Y1504" s="32">
        <f>IF($X1504="","",INT($X1504))</f>
        <v/>
      </c>
      <c r="Z1504" s="33">
        <f>IF(OR($Y1504="",$D$6=""),"",IF(INDEX($A:$U,ROW(),$D$6)="",0,IF(ISNUMBER(INDEX($A:$U,ROW(),$D$6)),INDEX($A:$U,ROW(),$D$6),IFERROR(--SUBSTITUTE(SUBSTITUTE(TRIM(INDEX($A:$U,ROW(),$D$6)),",",""),"원",""),0))))</f>
        <v/>
      </c>
      <c r="AA1504" s="31">
        <f>IF($Y1504="","",TRIM(INDEX($A:$U,ROW(),$E$6)&amp;IF($F$6="",""," "&amp;INDEX($A:$U,ROW(),$F$6))))</f>
        <v/>
      </c>
      <c r="AB1504" s="31">
        <f>IF($AA1504="","",SUBSTITUTE(SUBSTITUTE(SUBSTITUTE(SUBSTITUTE(SUBSTITUTE(SUBSTITUTE(SUBSTITUTE(SUBSTITUTE(SUBSTITUTE($AA1504," ",""),"　",""),"(주)",""),"（주）",""),"㈜",""),"주식회사",""),"(유)",""),"（유）",""),"유한회사",""))</f>
        <v/>
      </c>
      <c r="AC1504" s="31">
        <f>IF(OR($Y1504="",N($Z1504)&lt;=0,$AB1504=""),0,IFERROR(LOOKUP(2,1/((거래처별!$AC$8:$AC$307&lt;&gt;"")*ISNUMBER(SEARCH(거래처별!$AC$8:$AC$307,$AB1504))),거래처별!$A$8:$A$307),IFERROR(LOOKUP(2,1/((거래처별!$AD$8:$AD$307&lt;&gt;"")*ISNUMBER(SEARCH(거래처별!$AD$8:$AD$307,$AB1504))),거래처별!$A$8:$A$307),IFERROR(LOOKUP(2,1/((거래처별!$AE$8:$AE$307&lt;&gt;"")*ISNUMBER(SEARCH(거래처별!$AE$8:$AE$307,$AB1504))),거래처별!$A$8:$A$307),0))))</f>
        <v/>
      </c>
      <c r="AD1504" s="31">
        <f>IF(AND($Y1504&lt;&gt;"",N($Z1504)&gt;0,$AC1504=0),MAX($AD$7:$AD1503)+1,"")</f>
        <v/>
      </c>
      <c r="AE1504" s="31">
        <f>IF($Y1504="",0,$Y1504)</f>
        <v/>
      </c>
    </row>
    <row r="1505">
      <c r="W1505" s="31">
        <f>IF(OR($B$5="",$C$6="",ROW()&lt;$B$5),"",IF(INDEX($A:$U,ROW(),$C$6)="","",INDEX($A:$U,ROW(),$C$6)))</f>
        <v/>
      </c>
      <c r="X1505" s="32">
        <f>IF($W1505="","",IF(ISNUMBER($W1505),IF($W1505&gt;=10000000,IFERROR(DATE(INT($W1505/10000),MOD(INT($W1505/100),100),MOD($W1505,100)),""),INT($W1505)),IFERROR(DATE(--LEFT(LEFT(SUBSTITUTE(SUBSTITUTE(SUBSTITUTE(SUBSTITUTE(TRIM($W1505),"-",""),".",""),"/","")," ",""),8),4),--MID(LEFT(SUBSTITUTE(SUBSTITUTE(SUBSTITUTE(SUBSTITUTE(TRIM($W1505),"-",""),".",""),"/","")," ",""),8),5,2),--MID(LEFT(SUBSTITUTE(SUBSTITUTE(SUBSTITUTE(SUBSTITUTE(TRIM($W1505),"-",""),".",""),"/","")," ",""),8),7,2)),"")))</f>
        <v/>
      </c>
      <c r="Y1505" s="32">
        <f>IF($X1505="","",INT($X1505))</f>
        <v/>
      </c>
      <c r="Z1505" s="33">
        <f>IF(OR($Y1505="",$D$6=""),"",IF(INDEX($A:$U,ROW(),$D$6)="",0,IF(ISNUMBER(INDEX($A:$U,ROW(),$D$6)),INDEX($A:$U,ROW(),$D$6),IFERROR(--SUBSTITUTE(SUBSTITUTE(TRIM(INDEX($A:$U,ROW(),$D$6)),",",""),"원",""),0))))</f>
        <v/>
      </c>
      <c r="AA1505" s="31">
        <f>IF($Y1505="","",TRIM(INDEX($A:$U,ROW(),$E$6)&amp;IF($F$6="",""," "&amp;INDEX($A:$U,ROW(),$F$6))))</f>
        <v/>
      </c>
      <c r="AB1505" s="31">
        <f>IF($AA1505="","",SUBSTITUTE(SUBSTITUTE(SUBSTITUTE(SUBSTITUTE(SUBSTITUTE(SUBSTITUTE(SUBSTITUTE(SUBSTITUTE(SUBSTITUTE($AA1505," ",""),"　",""),"(주)",""),"（주）",""),"㈜",""),"주식회사",""),"(유)",""),"（유）",""),"유한회사",""))</f>
        <v/>
      </c>
      <c r="AC1505" s="31">
        <f>IF(OR($Y1505="",N($Z1505)&lt;=0,$AB1505=""),0,IFERROR(LOOKUP(2,1/((거래처별!$AC$8:$AC$307&lt;&gt;"")*ISNUMBER(SEARCH(거래처별!$AC$8:$AC$307,$AB1505))),거래처별!$A$8:$A$307),IFERROR(LOOKUP(2,1/((거래처별!$AD$8:$AD$307&lt;&gt;"")*ISNUMBER(SEARCH(거래처별!$AD$8:$AD$307,$AB1505))),거래처별!$A$8:$A$307),IFERROR(LOOKUP(2,1/((거래처별!$AE$8:$AE$307&lt;&gt;"")*ISNUMBER(SEARCH(거래처별!$AE$8:$AE$307,$AB1505))),거래처별!$A$8:$A$307),0))))</f>
        <v/>
      </c>
      <c r="AD1505" s="31">
        <f>IF(AND($Y1505&lt;&gt;"",N($Z1505)&gt;0,$AC1505=0),MAX($AD$7:$AD1504)+1,"")</f>
        <v/>
      </c>
      <c r="AE1505" s="31">
        <f>IF($Y1505="",0,$Y1505)</f>
        <v/>
      </c>
    </row>
    <row r="1506">
      <c r="W1506" s="31">
        <f>IF(OR($B$5="",$C$6="",ROW()&lt;$B$5),"",IF(INDEX($A:$U,ROW(),$C$6)="","",INDEX($A:$U,ROW(),$C$6)))</f>
        <v/>
      </c>
      <c r="X1506" s="32">
        <f>IF($W1506="","",IF(ISNUMBER($W1506),IF($W1506&gt;=10000000,IFERROR(DATE(INT($W1506/10000),MOD(INT($W1506/100),100),MOD($W1506,100)),""),INT($W1506)),IFERROR(DATE(--LEFT(LEFT(SUBSTITUTE(SUBSTITUTE(SUBSTITUTE(SUBSTITUTE(TRIM($W1506),"-",""),".",""),"/","")," ",""),8),4),--MID(LEFT(SUBSTITUTE(SUBSTITUTE(SUBSTITUTE(SUBSTITUTE(TRIM($W1506),"-",""),".",""),"/","")," ",""),8),5,2),--MID(LEFT(SUBSTITUTE(SUBSTITUTE(SUBSTITUTE(SUBSTITUTE(TRIM($W1506),"-",""),".",""),"/","")," ",""),8),7,2)),"")))</f>
        <v/>
      </c>
      <c r="Y1506" s="32">
        <f>IF($X1506="","",INT($X1506))</f>
        <v/>
      </c>
      <c r="Z1506" s="33">
        <f>IF(OR($Y1506="",$D$6=""),"",IF(INDEX($A:$U,ROW(),$D$6)="",0,IF(ISNUMBER(INDEX($A:$U,ROW(),$D$6)),INDEX($A:$U,ROW(),$D$6),IFERROR(--SUBSTITUTE(SUBSTITUTE(TRIM(INDEX($A:$U,ROW(),$D$6)),",",""),"원",""),0))))</f>
        <v/>
      </c>
      <c r="AA1506" s="31">
        <f>IF($Y1506="","",TRIM(INDEX($A:$U,ROW(),$E$6)&amp;IF($F$6="",""," "&amp;INDEX($A:$U,ROW(),$F$6))))</f>
        <v/>
      </c>
      <c r="AB1506" s="31">
        <f>IF($AA1506="","",SUBSTITUTE(SUBSTITUTE(SUBSTITUTE(SUBSTITUTE(SUBSTITUTE(SUBSTITUTE(SUBSTITUTE(SUBSTITUTE(SUBSTITUTE($AA1506," ",""),"　",""),"(주)",""),"（주）",""),"㈜",""),"주식회사",""),"(유)",""),"（유）",""),"유한회사",""))</f>
        <v/>
      </c>
      <c r="AC1506" s="31">
        <f>IF(OR($Y1506="",N($Z1506)&lt;=0,$AB1506=""),0,IFERROR(LOOKUP(2,1/((거래처별!$AC$8:$AC$307&lt;&gt;"")*ISNUMBER(SEARCH(거래처별!$AC$8:$AC$307,$AB1506))),거래처별!$A$8:$A$307),IFERROR(LOOKUP(2,1/((거래처별!$AD$8:$AD$307&lt;&gt;"")*ISNUMBER(SEARCH(거래처별!$AD$8:$AD$307,$AB1506))),거래처별!$A$8:$A$307),IFERROR(LOOKUP(2,1/((거래처별!$AE$8:$AE$307&lt;&gt;"")*ISNUMBER(SEARCH(거래처별!$AE$8:$AE$307,$AB1506))),거래처별!$A$8:$A$307),0))))</f>
        <v/>
      </c>
      <c r="AD1506" s="31">
        <f>IF(AND($Y1506&lt;&gt;"",N($Z1506)&gt;0,$AC1506=0),MAX($AD$7:$AD1505)+1,"")</f>
        <v/>
      </c>
      <c r="AE1506" s="31">
        <f>IF($Y1506="",0,$Y1506)</f>
        <v/>
      </c>
    </row>
    <row r="1507">
      <c r="W1507" s="31">
        <f>IF(OR($B$5="",$C$6="",ROW()&lt;$B$5),"",IF(INDEX($A:$U,ROW(),$C$6)="","",INDEX($A:$U,ROW(),$C$6)))</f>
        <v/>
      </c>
      <c r="X1507" s="32">
        <f>IF($W1507="","",IF(ISNUMBER($W1507),IF($W1507&gt;=10000000,IFERROR(DATE(INT($W1507/10000),MOD(INT($W1507/100),100),MOD($W1507,100)),""),INT($W1507)),IFERROR(DATE(--LEFT(LEFT(SUBSTITUTE(SUBSTITUTE(SUBSTITUTE(SUBSTITUTE(TRIM($W1507),"-",""),".",""),"/","")," ",""),8),4),--MID(LEFT(SUBSTITUTE(SUBSTITUTE(SUBSTITUTE(SUBSTITUTE(TRIM($W1507),"-",""),".",""),"/","")," ",""),8),5,2),--MID(LEFT(SUBSTITUTE(SUBSTITUTE(SUBSTITUTE(SUBSTITUTE(TRIM($W1507),"-",""),".",""),"/","")," ",""),8),7,2)),"")))</f>
        <v/>
      </c>
      <c r="Y1507" s="32">
        <f>IF($X1507="","",INT($X1507))</f>
        <v/>
      </c>
      <c r="Z1507" s="33">
        <f>IF(OR($Y1507="",$D$6=""),"",IF(INDEX($A:$U,ROW(),$D$6)="",0,IF(ISNUMBER(INDEX($A:$U,ROW(),$D$6)),INDEX($A:$U,ROW(),$D$6),IFERROR(--SUBSTITUTE(SUBSTITUTE(TRIM(INDEX($A:$U,ROW(),$D$6)),",",""),"원",""),0))))</f>
        <v/>
      </c>
      <c r="AA1507" s="31">
        <f>IF($Y1507="","",TRIM(INDEX($A:$U,ROW(),$E$6)&amp;IF($F$6="",""," "&amp;INDEX($A:$U,ROW(),$F$6))))</f>
        <v/>
      </c>
      <c r="AB1507" s="31">
        <f>IF($AA1507="","",SUBSTITUTE(SUBSTITUTE(SUBSTITUTE(SUBSTITUTE(SUBSTITUTE(SUBSTITUTE(SUBSTITUTE(SUBSTITUTE(SUBSTITUTE($AA1507," ",""),"　",""),"(주)",""),"（주）",""),"㈜",""),"주식회사",""),"(유)",""),"（유）",""),"유한회사",""))</f>
        <v/>
      </c>
      <c r="AC1507" s="31">
        <f>IF(OR($Y1507="",N($Z1507)&lt;=0,$AB1507=""),0,IFERROR(LOOKUP(2,1/((거래처별!$AC$8:$AC$307&lt;&gt;"")*ISNUMBER(SEARCH(거래처별!$AC$8:$AC$307,$AB1507))),거래처별!$A$8:$A$307),IFERROR(LOOKUP(2,1/((거래처별!$AD$8:$AD$307&lt;&gt;"")*ISNUMBER(SEARCH(거래처별!$AD$8:$AD$307,$AB1507))),거래처별!$A$8:$A$307),IFERROR(LOOKUP(2,1/((거래처별!$AE$8:$AE$307&lt;&gt;"")*ISNUMBER(SEARCH(거래처별!$AE$8:$AE$307,$AB1507))),거래처별!$A$8:$A$307),0))))</f>
        <v/>
      </c>
      <c r="AD1507" s="31">
        <f>IF(AND($Y1507&lt;&gt;"",N($Z1507)&gt;0,$AC1507=0),MAX($AD$7:$AD1506)+1,"")</f>
        <v/>
      </c>
      <c r="AE1507" s="31">
        <f>IF($Y1507="",0,$Y1507)</f>
        <v/>
      </c>
    </row>
    <row r="1508">
      <c r="W1508" s="31">
        <f>IF(OR($B$5="",$C$6="",ROW()&lt;$B$5),"",IF(INDEX($A:$U,ROW(),$C$6)="","",INDEX($A:$U,ROW(),$C$6)))</f>
        <v/>
      </c>
      <c r="X1508" s="32">
        <f>IF($W1508="","",IF(ISNUMBER($W1508),IF($W1508&gt;=10000000,IFERROR(DATE(INT($W1508/10000),MOD(INT($W1508/100),100),MOD($W1508,100)),""),INT($W1508)),IFERROR(DATE(--LEFT(LEFT(SUBSTITUTE(SUBSTITUTE(SUBSTITUTE(SUBSTITUTE(TRIM($W1508),"-",""),".",""),"/","")," ",""),8),4),--MID(LEFT(SUBSTITUTE(SUBSTITUTE(SUBSTITUTE(SUBSTITUTE(TRIM($W1508),"-",""),".",""),"/","")," ",""),8),5,2),--MID(LEFT(SUBSTITUTE(SUBSTITUTE(SUBSTITUTE(SUBSTITUTE(TRIM($W1508),"-",""),".",""),"/","")," ",""),8),7,2)),"")))</f>
        <v/>
      </c>
      <c r="Y1508" s="32">
        <f>IF($X1508="","",INT($X1508))</f>
        <v/>
      </c>
      <c r="Z1508" s="33">
        <f>IF(OR($Y1508="",$D$6=""),"",IF(INDEX($A:$U,ROW(),$D$6)="",0,IF(ISNUMBER(INDEX($A:$U,ROW(),$D$6)),INDEX($A:$U,ROW(),$D$6),IFERROR(--SUBSTITUTE(SUBSTITUTE(TRIM(INDEX($A:$U,ROW(),$D$6)),",",""),"원",""),0))))</f>
        <v/>
      </c>
      <c r="AA1508" s="31">
        <f>IF($Y1508="","",TRIM(INDEX($A:$U,ROW(),$E$6)&amp;IF($F$6="",""," "&amp;INDEX($A:$U,ROW(),$F$6))))</f>
        <v/>
      </c>
      <c r="AB1508" s="31">
        <f>IF($AA1508="","",SUBSTITUTE(SUBSTITUTE(SUBSTITUTE(SUBSTITUTE(SUBSTITUTE(SUBSTITUTE(SUBSTITUTE(SUBSTITUTE(SUBSTITUTE($AA1508," ",""),"　",""),"(주)",""),"（주）",""),"㈜",""),"주식회사",""),"(유)",""),"（유）",""),"유한회사",""))</f>
        <v/>
      </c>
      <c r="AC1508" s="31">
        <f>IF(OR($Y1508="",N($Z1508)&lt;=0,$AB1508=""),0,IFERROR(LOOKUP(2,1/((거래처별!$AC$8:$AC$307&lt;&gt;"")*ISNUMBER(SEARCH(거래처별!$AC$8:$AC$307,$AB1508))),거래처별!$A$8:$A$307),IFERROR(LOOKUP(2,1/((거래처별!$AD$8:$AD$307&lt;&gt;"")*ISNUMBER(SEARCH(거래처별!$AD$8:$AD$307,$AB1508))),거래처별!$A$8:$A$307),IFERROR(LOOKUP(2,1/((거래처별!$AE$8:$AE$307&lt;&gt;"")*ISNUMBER(SEARCH(거래처별!$AE$8:$AE$307,$AB1508))),거래처별!$A$8:$A$307),0))))</f>
        <v/>
      </c>
      <c r="AD1508" s="31">
        <f>IF(AND($Y1508&lt;&gt;"",N($Z1508)&gt;0,$AC1508=0),MAX($AD$7:$AD1507)+1,"")</f>
        <v/>
      </c>
      <c r="AE1508" s="31">
        <f>IF($Y1508="",0,$Y1508)</f>
        <v/>
      </c>
    </row>
    <row r="1509">
      <c r="W1509" s="31">
        <f>IF(OR($B$5="",$C$6="",ROW()&lt;$B$5),"",IF(INDEX($A:$U,ROW(),$C$6)="","",INDEX($A:$U,ROW(),$C$6)))</f>
        <v/>
      </c>
      <c r="X1509" s="32">
        <f>IF($W1509="","",IF(ISNUMBER($W1509),IF($W1509&gt;=10000000,IFERROR(DATE(INT($W1509/10000),MOD(INT($W1509/100),100),MOD($W1509,100)),""),INT($W1509)),IFERROR(DATE(--LEFT(LEFT(SUBSTITUTE(SUBSTITUTE(SUBSTITUTE(SUBSTITUTE(TRIM($W1509),"-",""),".",""),"/","")," ",""),8),4),--MID(LEFT(SUBSTITUTE(SUBSTITUTE(SUBSTITUTE(SUBSTITUTE(TRIM($W1509),"-",""),".",""),"/","")," ",""),8),5,2),--MID(LEFT(SUBSTITUTE(SUBSTITUTE(SUBSTITUTE(SUBSTITUTE(TRIM($W1509),"-",""),".",""),"/","")," ",""),8),7,2)),"")))</f>
        <v/>
      </c>
      <c r="Y1509" s="32">
        <f>IF($X1509="","",INT($X1509))</f>
        <v/>
      </c>
      <c r="Z1509" s="33">
        <f>IF(OR($Y1509="",$D$6=""),"",IF(INDEX($A:$U,ROW(),$D$6)="",0,IF(ISNUMBER(INDEX($A:$U,ROW(),$D$6)),INDEX($A:$U,ROW(),$D$6),IFERROR(--SUBSTITUTE(SUBSTITUTE(TRIM(INDEX($A:$U,ROW(),$D$6)),",",""),"원",""),0))))</f>
        <v/>
      </c>
      <c r="AA1509" s="31">
        <f>IF($Y1509="","",TRIM(INDEX($A:$U,ROW(),$E$6)&amp;IF($F$6="",""," "&amp;INDEX($A:$U,ROW(),$F$6))))</f>
        <v/>
      </c>
      <c r="AB1509" s="31">
        <f>IF($AA1509="","",SUBSTITUTE(SUBSTITUTE(SUBSTITUTE(SUBSTITUTE(SUBSTITUTE(SUBSTITUTE(SUBSTITUTE(SUBSTITUTE(SUBSTITUTE($AA1509," ",""),"　",""),"(주)",""),"（주）",""),"㈜",""),"주식회사",""),"(유)",""),"（유）",""),"유한회사",""))</f>
        <v/>
      </c>
      <c r="AC1509" s="31">
        <f>IF(OR($Y1509="",N($Z1509)&lt;=0,$AB1509=""),0,IFERROR(LOOKUP(2,1/((거래처별!$AC$8:$AC$307&lt;&gt;"")*ISNUMBER(SEARCH(거래처별!$AC$8:$AC$307,$AB1509))),거래처별!$A$8:$A$307),IFERROR(LOOKUP(2,1/((거래처별!$AD$8:$AD$307&lt;&gt;"")*ISNUMBER(SEARCH(거래처별!$AD$8:$AD$307,$AB1509))),거래처별!$A$8:$A$307),IFERROR(LOOKUP(2,1/((거래처별!$AE$8:$AE$307&lt;&gt;"")*ISNUMBER(SEARCH(거래처별!$AE$8:$AE$307,$AB1509))),거래처별!$A$8:$A$307),0))))</f>
        <v/>
      </c>
      <c r="AD1509" s="31">
        <f>IF(AND($Y1509&lt;&gt;"",N($Z1509)&gt;0,$AC1509=0),MAX($AD$7:$AD1508)+1,"")</f>
        <v/>
      </c>
      <c r="AE1509" s="31">
        <f>IF($Y1509="",0,$Y1509)</f>
        <v/>
      </c>
    </row>
    <row r="1510">
      <c r="W1510" s="31">
        <f>IF(OR($B$5="",$C$6="",ROW()&lt;$B$5),"",IF(INDEX($A:$U,ROW(),$C$6)="","",INDEX($A:$U,ROW(),$C$6)))</f>
        <v/>
      </c>
      <c r="X1510" s="32">
        <f>IF($W1510="","",IF(ISNUMBER($W1510),IF($W1510&gt;=10000000,IFERROR(DATE(INT($W1510/10000),MOD(INT($W1510/100),100),MOD($W1510,100)),""),INT($W1510)),IFERROR(DATE(--LEFT(LEFT(SUBSTITUTE(SUBSTITUTE(SUBSTITUTE(SUBSTITUTE(TRIM($W1510),"-",""),".",""),"/","")," ",""),8),4),--MID(LEFT(SUBSTITUTE(SUBSTITUTE(SUBSTITUTE(SUBSTITUTE(TRIM($W1510),"-",""),".",""),"/","")," ",""),8),5,2),--MID(LEFT(SUBSTITUTE(SUBSTITUTE(SUBSTITUTE(SUBSTITUTE(TRIM($W1510),"-",""),".",""),"/","")," ",""),8),7,2)),"")))</f>
        <v/>
      </c>
      <c r="Y1510" s="32">
        <f>IF($X1510="","",INT($X1510))</f>
        <v/>
      </c>
      <c r="Z1510" s="33">
        <f>IF(OR($Y1510="",$D$6=""),"",IF(INDEX($A:$U,ROW(),$D$6)="",0,IF(ISNUMBER(INDEX($A:$U,ROW(),$D$6)),INDEX($A:$U,ROW(),$D$6),IFERROR(--SUBSTITUTE(SUBSTITUTE(TRIM(INDEX($A:$U,ROW(),$D$6)),",",""),"원",""),0))))</f>
        <v/>
      </c>
      <c r="AA1510" s="31">
        <f>IF($Y1510="","",TRIM(INDEX($A:$U,ROW(),$E$6)&amp;IF($F$6="",""," "&amp;INDEX($A:$U,ROW(),$F$6))))</f>
        <v/>
      </c>
      <c r="AB1510" s="31">
        <f>IF($AA1510="","",SUBSTITUTE(SUBSTITUTE(SUBSTITUTE(SUBSTITUTE(SUBSTITUTE(SUBSTITUTE(SUBSTITUTE(SUBSTITUTE(SUBSTITUTE($AA1510," ",""),"　",""),"(주)",""),"（주）",""),"㈜",""),"주식회사",""),"(유)",""),"（유）",""),"유한회사",""))</f>
        <v/>
      </c>
      <c r="AC1510" s="31">
        <f>IF(OR($Y1510="",N($Z1510)&lt;=0,$AB1510=""),0,IFERROR(LOOKUP(2,1/((거래처별!$AC$8:$AC$307&lt;&gt;"")*ISNUMBER(SEARCH(거래처별!$AC$8:$AC$307,$AB1510))),거래처별!$A$8:$A$307),IFERROR(LOOKUP(2,1/((거래처별!$AD$8:$AD$307&lt;&gt;"")*ISNUMBER(SEARCH(거래처별!$AD$8:$AD$307,$AB1510))),거래처별!$A$8:$A$307),IFERROR(LOOKUP(2,1/((거래처별!$AE$8:$AE$307&lt;&gt;"")*ISNUMBER(SEARCH(거래처별!$AE$8:$AE$307,$AB1510))),거래처별!$A$8:$A$307),0))))</f>
        <v/>
      </c>
      <c r="AD1510" s="31">
        <f>IF(AND($Y1510&lt;&gt;"",N($Z1510)&gt;0,$AC1510=0),MAX($AD$7:$AD1509)+1,"")</f>
        <v/>
      </c>
      <c r="AE1510" s="31">
        <f>IF($Y1510="",0,$Y1510)</f>
        <v/>
      </c>
    </row>
    <row r="1511">
      <c r="W1511" s="31">
        <f>IF(OR($B$5="",$C$6="",ROW()&lt;$B$5),"",IF(INDEX($A:$U,ROW(),$C$6)="","",INDEX($A:$U,ROW(),$C$6)))</f>
        <v/>
      </c>
      <c r="X1511" s="32">
        <f>IF($W1511="","",IF(ISNUMBER($W1511),IF($W1511&gt;=10000000,IFERROR(DATE(INT($W1511/10000),MOD(INT($W1511/100),100),MOD($W1511,100)),""),INT($W1511)),IFERROR(DATE(--LEFT(LEFT(SUBSTITUTE(SUBSTITUTE(SUBSTITUTE(SUBSTITUTE(TRIM($W1511),"-",""),".",""),"/","")," ",""),8),4),--MID(LEFT(SUBSTITUTE(SUBSTITUTE(SUBSTITUTE(SUBSTITUTE(TRIM($W1511),"-",""),".",""),"/","")," ",""),8),5,2),--MID(LEFT(SUBSTITUTE(SUBSTITUTE(SUBSTITUTE(SUBSTITUTE(TRIM($W1511),"-",""),".",""),"/","")," ",""),8),7,2)),"")))</f>
        <v/>
      </c>
      <c r="Y1511" s="32">
        <f>IF($X1511="","",INT($X1511))</f>
        <v/>
      </c>
      <c r="Z1511" s="33">
        <f>IF(OR($Y1511="",$D$6=""),"",IF(INDEX($A:$U,ROW(),$D$6)="",0,IF(ISNUMBER(INDEX($A:$U,ROW(),$D$6)),INDEX($A:$U,ROW(),$D$6),IFERROR(--SUBSTITUTE(SUBSTITUTE(TRIM(INDEX($A:$U,ROW(),$D$6)),",",""),"원",""),0))))</f>
        <v/>
      </c>
      <c r="AA1511" s="31">
        <f>IF($Y1511="","",TRIM(INDEX($A:$U,ROW(),$E$6)&amp;IF($F$6="",""," "&amp;INDEX($A:$U,ROW(),$F$6))))</f>
        <v/>
      </c>
      <c r="AB1511" s="31">
        <f>IF($AA1511="","",SUBSTITUTE(SUBSTITUTE(SUBSTITUTE(SUBSTITUTE(SUBSTITUTE(SUBSTITUTE(SUBSTITUTE(SUBSTITUTE(SUBSTITUTE($AA1511," ",""),"　",""),"(주)",""),"（주）",""),"㈜",""),"주식회사",""),"(유)",""),"（유）",""),"유한회사",""))</f>
        <v/>
      </c>
      <c r="AC1511" s="31">
        <f>IF(OR($Y1511="",N($Z1511)&lt;=0,$AB1511=""),0,IFERROR(LOOKUP(2,1/((거래처별!$AC$8:$AC$307&lt;&gt;"")*ISNUMBER(SEARCH(거래처별!$AC$8:$AC$307,$AB1511))),거래처별!$A$8:$A$307),IFERROR(LOOKUP(2,1/((거래처별!$AD$8:$AD$307&lt;&gt;"")*ISNUMBER(SEARCH(거래처별!$AD$8:$AD$307,$AB1511))),거래처별!$A$8:$A$307),IFERROR(LOOKUP(2,1/((거래처별!$AE$8:$AE$307&lt;&gt;"")*ISNUMBER(SEARCH(거래처별!$AE$8:$AE$307,$AB1511))),거래처별!$A$8:$A$307),0))))</f>
        <v/>
      </c>
      <c r="AD1511" s="31">
        <f>IF(AND($Y1511&lt;&gt;"",N($Z1511)&gt;0,$AC1511=0),MAX($AD$7:$AD1510)+1,"")</f>
        <v/>
      </c>
      <c r="AE1511" s="31">
        <f>IF($Y1511="",0,$Y1511)</f>
        <v/>
      </c>
    </row>
    <row r="1512">
      <c r="W1512" s="31">
        <f>IF(OR($B$5="",$C$6="",ROW()&lt;$B$5),"",IF(INDEX($A:$U,ROW(),$C$6)="","",INDEX($A:$U,ROW(),$C$6)))</f>
        <v/>
      </c>
      <c r="X1512" s="32">
        <f>IF($W1512="","",IF(ISNUMBER($W1512),IF($W1512&gt;=10000000,IFERROR(DATE(INT($W1512/10000),MOD(INT($W1512/100),100),MOD($W1512,100)),""),INT($W1512)),IFERROR(DATE(--LEFT(LEFT(SUBSTITUTE(SUBSTITUTE(SUBSTITUTE(SUBSTITUTE(TRIM($W1512),"-",""),".",""),"/","")," ",""),8),4),--MID(LEFT(SUBSTITUTE(SUBSTITUTE(SUBSTITUTE(SUBSTITUTE(TRIM($W1512),"-",""),".",""),"/","")," ",""),8),5,2),--MID(LEFT(SUBSTITUTE(SUBSTITUTE(SUBSTITUTE(SUBSTITUTE(TRIM($W1512),"-",""),".",""),"/","")," ",""),8),7,2)),"")))</f>
        <v/>
      </c>
      <c r="Y1512" s="32">
        <f>IF($X1512="","",INT($X1512))</f>
        <v/>
      </c>
      <c r="Z1512" s="33">
        <f>IF(OR($Y1512="",$D$6=""),"",IF(INDEX($A:$U,ROW(),$D$6)="",0,IF(ISNUMBER(INDEX($A:$U,ROW(),$D$6)),INDEX($A:$U,ROW(),$D$6),IFERROR(--SUBSTITUTE(SUBSTITUTE(TRIM(INDEX($A:$U,ROW(),$D$6)),",",""),"원",""),0))))</f>
        <v/>
      </c>
      <c r="AA1512" s="31">
        <f>IF($Y1512="","",TRIM(INDEX($A:$U,ROW(),$E$6)&amp;IF($F$6="",""," "&amp;INDEX($A:$U,ROW(),$F$6))))</f>
        <v/>
      </c>
      <c r="AB1512" s="31">
        <f>IF($AA1512="","",SUBSTITUTE(SUBSTITUTE(SUBSTITUTE(SUBSTITUTE(SUBSTITUTE(SUBSTITUTE(SUBSTITUTE(SUBSTITUTE(SUBSTITUTE($AA1512," ",""),"　",""),"(주)",""),"（주）",""),"㈜",""),"주식회사",""),"(유)",""),"（유）",""),"유한회사",""))</f>
        <v/>
      </c>
      <c r="AC1512" s="31">
        <f>IF(OR($Y1512="",N($Z1512)&lt;=0,$AB1512=""),0,IFERROR(LOOKUP(2,1/((거래처별!$AC$8:$AC$307&lt;&gt;"")*ISNUMBER(SEARCH(거래처별!$AC$8:$AC$307,$AB1512))),거래처별!$A$8:$A$307),IFERROR(LOOKUP(2,1/((거래처별!$AD$8:$AD$307&lt;&gt;"")*ISNUMBER(SEARCH(거래처별!$AD$8:$AD$307,$AB1512))),거래처별!$A$8:$A$307),IFERROR(LOOKUP(2,1/((거래처별!$AE$8:$AE$307&lt;&gt;"")*ISNUMBER(SEARCH(거래처별!$AE$8:$AE$307,$AB1512))),거래처별!$A$8:$A$307),0))))</f>
        <v/>
      </c>
      <c r="AD1512" s="31">
        <f>IF(AND($Y1512&lt;&gt;"",N($Z1512)&gt;0,$AC1512=0),MAX($AD$7:$AD1511)+1,"")</f>
        <v/>
      </c>
      <c r="AE1512" s="31">
        <f>IF($Y1512="",0,$Y1512)</f>
        <v/>
      </c>
    </row>
    <row r="1513">
      <c r="W1513" s="31">
        <f>IF(OR($B$5="",$C$6="",ROW()&lt;$B$5),"",IF(INDEX($A:$U,ROW(),$C$6)="","",INDEX($A:$U,ROW(),$C$6)))</f>
        <v/>
      </c>
      <c r="X1513" s="32">
        <f>IF($W1513="","",IF(ISNUMBER($W1513),IF($W1513&gt;=10000000,IFERROR(DATE(INT($W1513/10000),MOD(INT($W1513/100),100),MOD($W1513,100)),""),INT($W1513)),IFERROR(DATE(--LEFT(LEFT(SUBSTITUTE(SUBSTITUTE(SUBSTITUTE(SUBSTITUTE(TRIM($W1513),"-",""),".",""),"/","")," ",""),8),4),--MID(LEFT(SUBSTITUTE(SUBSTITUTE(SUBSTITUTE(SUBSTITUTE(TRIM($W1513),"-",""),".",""),"/","")," ",""),8),5,2),--MID(LEFT(SUBSTITUTE(SUBSTITUTE(SUBSTITUTE(SUBSTITUTE(TRIM($W1513),"-",""),".",""),"/","")," ",""),8),7,2)),"")))</f>
        <v/>
      </c>
      <c r="Y1513" s="32">
        <f>IF($X1513="","",INT($X1513))</f>
        <v/>
      </c>
      <c r="Z1513" s="33">
        <f>IF(OR($Y1513="",$D$6=""),"",IF(INDEX($A:$U,ROW(),$D$6)="",0,IF(ISNUMBER(INDEX($A:$U,ROW(),$D$6)),INDEX($A:$U,ROW(),$D$6),IFERROR(--SUBSTITUTE(SUBSTITUTE(TRIM(INDEX($A:$U,ROW(),$D$6)),",",""),"원",""),0))))</f>
        <v/>
      </c>
      <c r="AA1513" s="31">
        <f>IF($Y1513="","",TRIM(INDEX($A:$U,ROW(),$E$6)&amp;IF($F$6="",""," "&amp;INDEX($A:$U,ROW(),$F$6))))</f>
        <v/>
      </c>
      <c r="AB1513" s="31">
        <f>IF($AA1513="","",SUBSTITUTE(SUBSTITUTE(SUBSTITUTE(SUBSTITUTE(SUBSTITUTE(SUBSTITUTE(SUBSTITUTE(SUBSTITUTE(SUBSTITUTE($AA1513," ",""),"　",""),"(주)",""),"（주）",""),"㈜",""),"주식회사",""),"(유)",""),"（유）",""),"유한회사",""))</f>
        <v/>
      </c>
      <c r="AC1513" s="31">
        <f>IF(OR($Y1513="",N($Z1513)&lt;=0,$AB1513=""),0,IFERROR(LOOKUP(2,1/((거래처별!$AC$8:$AC$307&lt;&gt;"")*ISNUMBER(SEARCH(거래처별!$AC$8:$AC$307,$AB1513))),거래처별!$A$8:$A$307),IFERROR(LOOKUP(2,1/((거래처별!$AD$8:$AD$307&lt;&gt;"")*ISNUMBER(SEARCH(거래처별!$AD$8:$AD$307,$AB1513))),거래처별!$A$8:$A$307),IFERROR(LOOKUP(2,1/((거래처별!$AE$8:$AE$307&lt;&gt;"")*ISNUMBER(SEARCH(거래처별!$AE$8:$AE$307,$AB1513))),거래처별!$A$8:$A$307),0))))</f>
        <v/>
      </c>
      <c r="AD1513" s="31">
        <f>IF(AND($Y1513&lt;&gt;"",N($Z1513)&gt;0,$AC1513=0),MAX($AD$7:$AD1512)+1,"")</f>
        <v/>
      </c>
      <c r="AE1513" s="31">
        <f>IF($Y1513="",0,$Y1513)</f>
        <v/>
      </c>
    </row>
    <row r="1514">
      <c r="W1514" s="31">
        <f>IF(OR($B$5="",$C$6="",ROW()&lt;$B$5),"",IF(INDEX($A:$U,ROW(),$C$6)="","",INDEX($A:$U,ROW(),$C$6)))</f>
        <v/>
      </c>
      <c r="X1514" s="32">
        <f>IF($W1514="","",IF(ISNUMBER($W1514),IF($W1514&gt;=10000000,IFERROR(DATE(INT($W1514/10000),MOD(INT($W1514/100),100),MOD($W1514,100)),""),INT($W1514)),IFERROR(DATE(--LEFT(LEFT(SUBSTITUTE(SUBSTITUTE(SUBSTITUTE(SUBSTITUTE(TRIM($W1514),"-",""),".",""),"/","")," ",""),8),4),--MID(LEFT(SUBSTITUTE(SUBSTITUTE(SUBSTITUTE(SUBSTITUTE(TRIM($W1514),"-",""),".",""),"/","")," ",""),8),5,2),--MID(LEFT(SUBSTITUTE(SUBSTITUTE(SUBSTITUTE(SUBSTITUTE(TRIM($W1514),"-",""),".",""),"/","")," ",""),8),7,2)),"")))</f>
        <v/>
      </c>
      <c r="Y1514" s="32">
        <f>IF($X1514="","",INT($X1514))</f>
        <v/>
      </c>
      <c r="Z1514" s="33">
        <f>IF(OR($Y1514="",$D$6=""),"",IF(INDEX($A:$U,ROW(),$D$6)="",0,IF(ISNUMBER(INDEX($A:$U,ROW(),$D$6)),INDEX($A:$U,ROW(),$D$6),IFERROR(--SUBSTITUTE(SUBSTITUTE(TRIM(INDEX($A:$U,ROW(),$D$6)),",",""),"원",""),0))))</f>
        <v/>
      </c>
      <c r="AA1514" s="31">
        <f>IF($Y1514="","",TRIM(INDEX($A:$U,ROW(),$E$6)&amp;IF($F$6="",""," "&amp;INDEX($A:$U,ROW(),$F$6))))</f>
        <v/>
      </c>
      <c r="AB1514" s="31">
        <f>IF($AA1514="","",SUBSTITUTE(SUBSTITUTE(SUBSTITUTE(SUBSTITUTE(SUBSTITUTE(SUBSTITUTE(SUBSTITUTE(SUBSTITUTE(SUBSTITUTE($AA1514," ",""),"　",""),"(주)",""),"（주）",""),"㈜",""),"주식회사",""),"(유)",""),"（유）",""),"유한회사",""))</f>
        <v/>
      </c>
      <c r="AC1514" s="31">
        <f>IF(OR($Y1514="",N($Z1514)&lt;=0,$AB1514=""),0,IFERROR(LOOKUP(2,1/((거래처별!$AC$8:$AC$307&lt;&gt;"")*ISNUMBER(SEARCH(거래처별!$AC$8:$AC$307,$AB1514))),거래처별!$A$8:$A$307),IFERROR(LOOKUP(2,1/((거래처별!$AD$8:$AD$307&lt;&gt;"")*ISNUMBER(SEARCH(거래처별!$AD$8:$AD$307,$AB1514))),거래처별!$A$8:$A$307),IFERROR(LOOKUP(2,1/((거래처별!$AE$8:$AE$307&lt;&gt;"")*ISNUMBER(SEARCH(거래처별!$AE$8:$AE$307,$AB1514))),거래처별!$A$8:$A$307),0))))</f>
        <v/>
      </c>
      <c r="AD1514" s="31">
        <f>IF(AND($Y1514&lt;&gt;"",N($Z1514)&gt;0,$AC1514=0),MAX($AD$7:$AD1513)+1,"")</f>
        <v/>
      </c>
      <c r="AE1514" s="31">
        <f>IF($Y1514="",0,$Y1514)</f>
        <v/>
      </c>
    </row>
    <row r="1515">
      <c r="W1515" s="31">
        <f>IF(OR($B$5="",$C$6="",ROW()&lt;$B$5),"",IF(INDEX($A:$U,ROW(),$C$6)="","",INDEX($A:$U,ROW(),$C$6)))</f>
        <v/>
      </c>
      <c r="X1515" s="32">
        <f>IF($W1515="","",IF(ISNUMBER($W1515),IF($W1515&gt;=10000000,IFERROR(DATE(INT($W1515/10000),MOD(INT($W1515/100),100),MOD($W1515,100)),""),INT($W1515)),IFERROR(DATE(--LEFT(LEFT(SUBSTITUTE(SUBSTITUTE(SUBSTITUTE(SUBSTITUTE(TRIM($W1515),"-",""),".",""),"/","")," ",""),8),4),--MID(LEFT(SUBSTITUTE(SUBSTITUTE(SUBSTITUTE(SUBSTITUTE(TRIM($W1515),"-",""),".",""),"/","")," ",""),8),5,2),--MID(LEFT(SUBSTITUTE(SUBSTITUTE(SUBSTITUTE(SUBSTITUTE(TRIM($W1515),"-",""),".",""),"/","")," ",""),8),7,2)),"")))</f>
        <v/>
      </c>
      <c r="Y1515" s="32">
        <f>IF($X1515="","",INT($X1515))</f>
        <v/>
      </c>
      <c r="Z1515" s="33">
        <f>IF(OR($Y1515="",$D$6=""),"",IF(INDEX($A:$U,ROW(),$D$6)="",0,IF(ISNUMBER(INDEX($A:$U,ROW(),$D$6)),INDEX($A:$U,ROW(),$D$6),IFERROR(--SUBSTITUTE(SUBSTITUTE(TRIM(INDEX($A:$U,ROW(),$D$6)),",",""),"원",""),0))))</f>
        <v/>
      </c>
      <c r="AA1515" s="31">
        <f>IF($Y1515="","",TRIM(INDEX($A:$U,ROW(),$E$6)&amp;IF($F$6="",""," "&amp;INDEX($A:$U,ROW(),$F$6))))</f>
        <v/>
      </c>
      <c r="AB1515" s="31">
        <f>IF($AA1515="","",SUBSTITUTE(SUBSTITUTE(SUBSTITUTE(SUBSTITUTE(SUBSTITUTE(SUBSTITUTE(SUBSTITUTE(SUBSTITUTE(SUBSTITUTE($AA1515," ",""),"　",""),"(주)",""),"（주）",""),"㈜",""),"주식회사",""),"(유)",""),"（유）",""),"유한회사",""))</f>
        <v/>
      </c>
      <c r="AC1515" s="31">
        <f>IF(OR($Y1515="",N($Z1515)&lt;=0,$AB1515=""),0,IFERROR(LOOKUP(2,1/((거래처별!$AC$8:$AC$307&lt;&gt;"")*ISNUMBER(SEARCH(거래처별!$AC$8:$AC$307,$AB1515))),거래처별!$A$8:$A$307),IFERROR(LOOKUP(2,1/((거래처별!$AD$8:$AD$307&lt;&gt;"")*ISNUMBER(SEARCH(거래처별!$AD$8:$AD$307,$AB1515))),거래처별!$A$8:$A$307),IFERROR(LOOKUP(2,1/((거래처별!$AE$8:$AE$307&lt;&gt;"")*ISNUMBER(SEARCH(거래처별!$AE$8:$AE$307,$AB1515))),거래처별!$A$8:$A$307),0))))</f>
        <v/>
      </c>
      <c r="AD1515" s="31">
        <f>IF(AND($Y1515&lt;&gt;"",N($Z1515)&gt;0,$AC1515=0),MAX($AD$7:$AD1514)+1,"")</f>
        <v/>
      </c>
      <c r="AE1515" s="31">
        <f>IF($Y1515="",0,$Y1515)</f>
        <v/>
      </c>
    </row>
    <row r="1516">
      <c r="W1516" s="31">
        <f>IF(OR($B$5="",$C$6="",ROW()&lt;$B$5),"",IF(INDEX($A:$U,ROW(),$C$6)="","",INDEX($A:$U,ROW(),$C$6)))</f>
        <v/>
      </c>
      <c r="X1516" s="32">
        <f>IF($W1516="","",IF(ISNUMBER($W1516),IF($W1516&gt;=10000000,IFERROR(DATE(INT($W1516/10000),MOD(INT($W1516/100),100),MOD($W1516,100)),""),INT($W1516)),IFERROR(DATE(--LEFT(LEFT(SUBSTITUTE(SUBSTITUTE(SUBSTITUTE(SUBSTITUTE(TRIM($W1516),"-",""),".",""),"/","")," ",""),8),4),--MID(LEFT(SUBSTITUTE(SUBSTITUTE(SUBSTITUTE(SUBSTITUTE(TRIM($W1516),"-",""),".",""),"/","")," ",""),8),5,2),--MID(LEFT(SUBSTITUTE(SUBSTITUTE(SUBSTITUTE(SUBSTITUTE(TRIM($W1516),"-",""),".",""),"/","")," ",""),8),7,2)),"")))</f>
        <v/>
      </c>
      <c r="Y1516" s="32">
        <f>IF($X1516="","",INT($X1516))</f>
        <v/>
      </c>
      <c r="Z1516" s="33">
        <f>IF(OR($Y1516="",$D$6=""),"",IF(INDEX($A:$U,ROW(),$D$6)="",0,IF(ISNUMBER(INDEX($A:$U,ROW(),$D$6)),INDEX($A:$U,ROW(),$D$6),IFERROR(--SUBSTITUTE(SUBSTITUTE(TRIM(INDEX($A:$U,ROW(),$D$6)),",",""),"원",""),0))))</f>
        <v/>
      </c>
      <c r="AA1516" s="31">
        <f>IF($Y1516="","",TRIM(INDEX($A:$U,ROW(),$E$6)&amp;IF($F$6="",""," "&amp;INDEX($A:$U,ROW(),$F$6))))</f>
        <v/>
      </c>
      <c r="AB1516" s="31">
        <f>IF($AA1516="","",SUBSTITUTE(SUBSTITUTE(SUBSTITUTE(SUBSTITUTE(SUBSTITUTE(SUBSTITUTE(SUBSTITUTE(SUBSTITUTE(SUBSTITUTE($AA1516," ",""),"　",""),"(주)",""),"（주）",""),"㈜",""),"주식회사",""),"(유)",""),"（유）",""),"유한회사",""))</f>
        <v/>
      </c>
      <c r="AC1516" s="31">
        <f>IF(OR($Y1516="",N($Z1516)&lt;=0,$AB1516=""),0,IFERROR(LOOKUP(2,1/((거래처별!$AC$8:$AC$307&lt;&gt;"")*ISNUMBER(SEARCH(거래처별!$AC$8:$AC$307,$AB1516))),거래처별!$A$8:$A$307),IFERROR(LOOKUP(2,1/((거래처별!$AD$8:$AD$307&lt;&gt;"")*ISNUMBER(SEARCH(거래처별!$AD$8:$AD$307,$AB1516))),거래처별!$A$8:$A$307),IFERROR(LOOKUP(2,1/((거래처별!$AE$8:$AE$307&lt;&gt;"")*ISNUMBER(SEARCH(거래처별!$AE$8:$AE$307,$AB1516))),거래처별!$A$8:$A$307),0))))</f>
        <v/>
      </c>
      <c r="AD1516" s="31">
        <f>IF(AND($Y1516&lt;&gt;"",N($Z1516)&gt;0,$AC1516=0),MAX($AD$7:$AD1515)+1,"")</f>
        <v/>
      </c>
      <c r="AE1516" s="31">
        <f>IF($Y1516="",0,$Y1516)</f>
        <v/>
      </c>
    </row>
    <row r="1517">
      <c r="W1517" s="31">
        <f>IF(OR($B$5="",$C$6="",ROW()&lt;$B$5),"",IF(INDEX($A:$U,ROW(),$C$6)="","",INDEX($A:$U,ROW(),$C$6)))</f>
        <v/>
      </c>
      <c r="X1517" s="32">
        <f>IF($W1517="","",IF(ISNUMBER($W1517),IF($W1517&gt;=10000000,IFERROR(DATE(INT($W1517/10000),MOD(INT($W1517/100),100),MOD($W1517,100)),""),INT($W1517)),IFERROR(DATE(--LEFT(LEFT(SUBSTITUTE(SUBSTITUTE(SUBSTITUTE(SUBSTITUTE(TRIM($W1517),"-",""),".",""),"/","")," ",""),8),4),--MID(LEFT(SUBSTITUTE(SUBSTITUTE(SUBSTITUTE(SUBSTITUTE(TRIM($W1517),"-",""),".",""),"/","")," ",""),8),5,2),--MID(LEFT(SUBSTITUTE(SUBSTITUTE(SUBSTITUTE(SUBSTITUTE(TRIM($W1517),"-",""),".",""),"/","")," ",""),8),7,2)),"")))</f>
        <v/>
      </c>
      <c r="Y1517" s="32">
        <f>IF($X1517="","",INT($X1517))</f>
        <v/>
      </c>
      <c r="Z1517" s="33">
        <f>IF(OR($Y1517="",$D$6=""),"",IF(INDEX($A:$U,ROW(),$D$6)="",0,IF(ISNUMBER(INDEX($A:$U,ROW(),$D$6)),INDEX($A:$U,ROW(),$D$6),IFERROR(--SUBSTITUTE(SUBSTITUTE(TRIM(INDEX($A:$U,ROW(),$D$6)),",",""),"원",""),0))))</f>
        <v/>
      </c>
      <c r="AA1517" s="31">
        <f>IF($Y1517="","",TRIM(INDEX($A:$U,ROW(),$E$6)&amp;IF($F$6="",""," "&amp;INDEX($A:$U,ROW(),$F$6))))</f>
        <v/>
      </c>
      <c r="AB1517" s="31">
        <f>IF($AA1517="","",SUBSTITUTE(SUBSTITUTE(SUBSTITUTE(SUBSTITUTE(SUBSTITUTE(SUBSTITUTE(SUBSTITUTE(SUBSTITUTE(SUBSTITUTE($AA1517," ",""),"　",""),"(주)",""),"（주）",""),"㈜",""),"주식회사",""),"(유)",""),"（유）",""),"유한회사",""))</f>
        <v/>
      </c>
      <c r="AC1517" s="31">
        <f>IF(OR($Y1517="",N($Z1517)&lt;=0,$AB1517=""),0,IFERROR(LOOKUP(2,1/((거래처별!$AC$8:$AC$307&lt;&gt;"")*ISNUMBER(SEARCH(거래처별!$AC$8:$AC$307,$AB1517))),거래처별!$A$8:$A$307),IFERROR(LOOKUP(2,1/((거래처별!$AD$8:$AD$307&lt;&gt;"")*ISNUMBER(SEARCH(거래처별!$AD$8:$AD$307,$AB1517))),거래처별!$A$8:$A$307),IFERROR(LOOKUP(2,1/((거래처별!$AE$8:$AE$307&lt;&gt;"")*ISNUMBER(SEARCH(거래처별!$AE$8:$AE$307,$AB1517))),거래처별!$A$8:$A$307),0))))</f>
        <v/>
      </c>
      <c r="AD1517" s="31">
        <f>IF(AND($Y1517&lt;&gt;"",N($Z1517)&gt;0,$AC1517=0),MAX($AD$7:$AD1516)+1,"")</f>
        <v/>
      </c>
      <c r="AE1517" s="31">
        <f>IF($Y1517="",0,$Y1517)</f>
        <v/>
      </c>
    </row>
    <row r="1518">
      <c r="W1518" s="31">
        <f>IF(OR($B$5="",$C$6="",ROW()&lt;$B$5),"",IF(INDEX($A:$U,ROW(),$C$6)="","",INDEX($A:$U,ROW(),$C$6)))</f>
        <v/>
      </c>
      <c r="X1518" s="32">
        <f>IF($W1518="","",IF(ISNUMBER($W1518),IF($W1518&gt;=10000000,IFERROR(DATE(INT($W1518/10000),MOD(INT($W1518/100),100),MOD($W1518,100)),""),INT($W1518)),IFERROR(DATE(--LEFT(LEFT(SUBSTITUTE(SUBSTITUTE(SUBSTITUTE(SUBSTITUTE(TRIM($W1518),"-",""),".",""),"/","")," ",""),8),4),--MID(LEFT(SUBSTITUTE(SUBSTITUTE(SUBSTITUTE(SUBSTITUTE(TRIM($W1518),"-",""),".",""),"/","")," ",""),8),5,2),--MID(LEFT(SUBSTITUTE(SUBSTITUTE(SUBSTITUTE(SUBSTITUTE(TRIM($W1518),"-",""),".",""),"/","")," ",""),8),7,2)),"")))</f>
        <v/>
      </c>
      <c r="Y1518" s="32">
        <f>IF($X1518="","",INT($X1518))</f>
        <v/>
      </c>
      <c r="Z1518" s="33">
        <f>IF(OR($Y1518="",$D$6=""),"",IF(INDEX($A:$U,ROW(),$D$6)="",0,IF(ISNUMBER(INDEX($A:$U,ROW(),$D$6)),INDEX($A:$U,ROW(),$D$6),IFERROR(--SUBSTITUTE(SUBSTITUTE(TRIM(INDEX($A:$U,ROW(),$D$6)),",",""),"원",""),0))))</f>
        <v/>
      </c>
      <c r="AA1518" s="31">
        <f>IF($Y1518="","",TRIM(INDEX($A:$U,ROW(),$E$6)&amp;IF($F$6="",""," "&amp;INDEX($A:$U,ROW(),$F$6))))</f>
        <v/>
      </c>
      <c r="AB1518" s="31">
        <f>IF($AA1518="","",SUBSTITUTE(SUBSTITUTE(SUBSTITUTE(SUBSTITUTE(SUBSTITUTE(SUBSTITUTE(SUBSTITUTE(SUBSTITUTE(SUBSTITUTE($AA1518," ",""),"　",""),"(주)",""),"（주）",""),"㈜",""),"주식회사",""),"(유)",""),"（유）",""),"유한회사",""))</f>
        <v/>
      </c>
      <c r="AC1518" s="31">
        <f>IF(OR($Y1518="",N($Z1518)&lt;=0,$AB1518=""),0,IFERROR(LOOKUP(2,1/((거래처별!$AC$8:$AC$307&lt;&gt;"")*ISNUMBER(SEARCH(거래처별!$AC$8:$AC$307,$AB1518))),거래처별!$A$8:$A$307),IFERROR(LOOKUP(2,1/((거래처별!$AD$8:$AD$307&lt;&gt;"")*ISNUMBER(SEARCH(거래처별!$AD$8:$AD$307,$AB1518))),거래처별!$A$8:$A$307),IFERROR(LOOKUP(2,1/((거래처별!$AE$8:$AE$307&lt;&gt;"")*ISNUMBER(SEARCH(거래처별!$AE$8:$AE$307,$AB1518))),거래처별!$A$8:$A$307),0))))</f>
        <v/>
      </c>
      <c r="AD1518" s="31">
        <f>IF(AND($Y1518&lt;&gt;"",N($Z1518)&gt;0,$AC1518=0),MAX($AD$7:$AD1517)+1,"")</f>
        <v/>
      </c>
      <c r="AE1518" s="31">
        <f>IF($Y1518="",0,$Y1518)</f>
        <v/>
      </c>
    </row>
    <row r="1519">
      <c r="W1519" s="31">
        <f>IF(OR($B$5="",$C$6="",ROW()&lt;$B$5),"",IF(INDEX($A:$U,ROW(),$C$6)="","",INDEX($A:$U,ROW(),$C$6)))</f>
        <v/>
      </c>
      <c r="X1519" s="32">
        <f>IF($W1519="","",IF(ISNUMBER($W1519),IF($W1519&gt;=10000000,IFERROR(DATE(INT($W1519/10000),MOD(INT($W1519/100),100),MOD($W1519,100)),""),INT($W1519)),IFERROR(DATE(--LEFT(LEFT(SUBSTITUTE(SUBSTITUTE(SUBSTITUTE(SUBSTITUTE(TRIM($W1519),"-",""),".",""),"/","")," ",""),8),4),--MID(LEFT(SUBSTITUTE(SUBSTITUTE(SUBSTITUTE(SUBSTITUTE(TRIM($W1519),"-",""),".",""),"/","")," ",""),8),5,2),--MID(LEFT(SUBSTITUTE(SUBSTITUTE(SUBSTITUTE(SUBSTITUTE(TRIM($W1519),"-",""),".",""),"/","")," ",""),8),7,2)),"")))</f>
        <v/>
      </c>
      <c r="Y1519" s="32">
        <f>IF($X1519="","",INT($X1519))</f>
        <v/>
      </c>
      <c r="Z1519" s="33">
        <f>IF(OR($Y1519="",$D$6=""),"",IF(INDEX($A:$U,ROW(),$D$6)="",0,IF(ISNUMBER(INDEX($A:$U,ROW(),$D$6)),INDEX($A:$U,ROW(),$D$6),IFERROR(--SUBSTITUTE(SUBSTITUTE(TRIM(INDEX($A:$U,ROW(),$D$6)),",",""),"원",""),0))))</f>
        <v/>
      </c>
      <c r="AA1519" s="31">
        <f>IF($Y1519="","",TRIM(INDEX($A:$U,ROW(),$E$6)&amp;IF($F$6="",""," "&amp;INDEX($A:$U,ROW(),$F$6))))</f>
        <v/>
      </c>
      <c r="AB1519" s="31">
        <f>IF($AA1519="","",SUBSTITUTE(SUBSTITUTE(SUBSTITUTE(SUBSTITUTE(SUBSTITUTE(SUBSTITUTE(SUBSTITUTE(SUBSTITUTE(SUBSTITUTE($AA1519," ",""),"　",""),"(주)",""),"（주）",""),"㈜",""),"주식회사",""),"(유)",""),"（유）",""),"유한회사",""))</f>
        <v/>
      </c>
      <c r="AC1519" s="31">
        <f>IF(OR($Y1519="",N($Z1519)&lt;=0,$AB1519=""),0,IFERROR(LOOKUP(2,1/((거래처별!$AC$8:$AC$307&lt;&gt;"")*ISNUMBER(SEARCH(거래처별!$AC$8:$AC$307,$AB1519))),거래처별!$A$8:$A$307),IFERROR(LOOKUP(2,1/((거래처별!$AD$8:$AD$307&lt;&gt;"")*ISNUMBER(SEARCH(거래처별!$AD$8:$AD$307,$AB1519))),거래처별!$A$8:$A$307),IFERROR(LOOKUP(2,1/((거래처별!$AE$8:$AE$307&lt;&gt;"")*ISNUMBER(SEARCH(거래처별!$AE$8:$AE$307,$AB1519))),거래처별!$A$8:$A$307),0))))</f>
        <v/>
      </c>
      <c r="AD1519" s="31">
        <f>IF(AND($Y1519&lt;&gt;"",N($Z1519)&gt;0,$AC1519=0),MAX($AD$7:$AD1518)+1,"")</f>
        <v/>
      </c>
      <c r="AE1519" s="31">
        <f>IF($Y1519="",0,$Y1519)</f>
        <v/>
      </c>
    </row>
    <row r="1520">
      <c r="W1520" s="31">
        <f>IF(OR($B$5="",$C$6="",ROW()&lt;$B$5),"",IF(INDEX($A:$U,ROW(),$C$6)="","",INDEX($A:$U,ROW(),$C$6)))</f>
        <v/>
      </c>
      <c r="X1520" s="32">
        <f>IF($W1520="","",IF(ISNUMBER($W1520),IF($W1520&gt;=10000000,IFERROR(DATE(INT($W1520/10000),MOD(INT($W1520/100),100),MOD($W1520,100)),""),INT($W1520)),IFERROR(DATE(--LEFT(LEFT(SUBSTITUTE(SUBSTITUTE(SUBSTITUTE(SUBSTITUTE(TRIM($W1520),"-",""),".",""),"/","")," ",""),8),4),--MID(LEFT(SUBSTITUTE(SUBSTITUTE(SUBSTITUTE(SUBSTITUTE(TRIM($W1520),"-",""),".",""),"/","")," ",""),8),5,2),--MID(LEFT(SUBSTITUTE(SUBSTITUTE(SUBSTITUTE(SUBSTITUTE(TRIM($W1520),"-",""),".",""),"/","")," ",""),8),7,2)),"")))</f>
        <v/>
      </c>
      <c r="Y1520" s="32">
        <f>IF($X1520="","",INT($X1520))</f>
        <v/>
      </c>
      <c r="Z1520" s="33">
        <f>IF(OR($Y1520="",$D$6=""),"",IF(INDEX($A:$U,ROW(),$D$6)="",0,IF(ISNUMBER(INDEX($A:$U,ROW(),$D$6)),INDEX($A:$U,ROW(),$D$6),IFERROR(--SUBSTITUTE(SUBSTITUTE(TRIM(INDEX($A:$U,ROW(),$D$6)),",",""),"원",""),0))))</f>
        <v/>
      </c>
      <c r="AA1520" s="31">
        <f>IF($Y1520="","",TRIM(INDEX($A:$U,ROW(),$E$6)&amp;IF($F$6="",""," "&amp;INDEX($A:$U,ROW(),$F$6))))</f>
        <v/>
      </c>
      <c r="AB1520" s="31">
        <f>IF($AA1520="","",SUBSTITUTE(SUBSTITUTE(SUBSTITUTE(SUBSTITUTE(SUBSTITUTE(SUBSTITUTE(SUBSTITUTE(SUBSTITUTE(SUBSTITUTE($AA1520," ",""),"　",""),"(주)",""),"（주）",""),"㈜",""),"주식회사",""),"(유)",""),"（유）",""),"유한회사",""))</f>
        <v/>
      </c>
      <c r="AC1520" s="31">
        <f>IF(OR($Y1520="",N($Z1520)&lt;=0,$AB1520=""),0,IFERROR(LOOKUP(2,1/((거래처별!$AC$8:$AC$307&lt;&gt;"")*ISNUMBER(SEARCH(거래처별!$AC$8:$AC$307,$AB1520))),거래처별!$A$8:$A$307),IFERROR(LOOKUP(2,1/((거래처별!$AD$8:$AD$307&lt;&gt;"")*ISNUMBER(SEARCH(거래처별!$AD$8:$AD$307,$AB1520))),거래처별!$A$8:$A$307),IFERROR(LOOKUP(2,1/((거래처별!$AE$8:$AE$307&lt;&gt;"")*ISNUMBER(SEARCH(거래처별!$AE$8:$AE$307,$AB1520))),거래처별!$A$8:$A$307),0))))</f>
        <v/>
      </c>
      <c r="AD1520" s="31">
        <f>IF(AND($Y1520&lt;&gt;"",N($Z1520)&gt;0,$AC1520=0),MAX($AD$7:$AD1519)+1,"")</f>
        <v/>
      </c>
      <c r="AE1520" s="31">
        <f>IF($Y1520="",0,$Y1520)</f>
        <v/>
      </c>
    </row>
    <row r="1521">
      <c r="W1521" s="31">
        <f>IF(OR($B$5="",$C$6="",ROW()&lt;$B$5),"",IF(INDEX($A:$U,ROW(),$C$6)="","",INDEX($A:$U,ROW(),$C$6)))</f>
        <v/>
      </c>
      <c r="X1521" s="32">
        <f>IF($W1521="","",IF(ISNUMBER($W1521),IF($W1521&gt;=10000000,IFERROR(DATE(INT($W1521/10000),MOD(INT($W1521/100),100),MOD($W1521,100)),""),INT($W1521)),IFERROR(DATE(--LEFT(LEFT(SUBSTITUTE(SUBSTITUTE(SUBSTITUTE(SUBSTITUTE(TRIM($W1521),"-",""),".",""),"/","")," ",""),8),4),--MID(LEFT(SUBSTITUTE(SUBSTITUTE(SUBSTITUTE(SUBSTITUTE(TRIM($W1521),"-",""),".",""),"/","")," ",""),8),5,2),--MID(LEFT(SUBSTITUTE(SUBSTITUTE(SUBSTITUTE(SUBSTITUTE(TRIM($W1521),"-",""),".",""),"/","")," ",""),8),7,2)),"")))</f>
        <v/>
      </c>
      <c r="Y1521" s="32">
        <f>IF($X1521="","",INT($X1521))</f>
        <v/>
      </c>
      <c r="Z1521" s="33">
        <f>IF(OR($Y1521="",$D$6=""),"",IF(INDEX($A:$U,ROW(),$D$6)="",0,IF(ISNUMBER(INDEX($A:$U,ROW(),$D$6)),INDEX($A:$U,ROW(),$D$6),IFERROR(--SUBSTITUTE(SUBSTITUTE(TRIM(INDEX($A:$U,ROW(),$D$6)),",",""),"원",""),0))))</f>
        <v/>
      </c>
      <c r="AA1521" s="31">
        <f>IF($Y1521="","",TRIM(INDEX($A:$U,ROW(),$E$6)&amp;IF($F$6="",""," "&amp;INDEX($A:$U,ROW(),$F$6))))</f>
        <v/>
      </c>
      <c r="AB1521" s="31">
        <f>IF($AA1521="","",SUBSTITUTE(SUBSTITUTE(SUBSTITUTE(SUBSTITUTE(SUBSTITUTE(SUBSTITUTE(SUBSTITUTE(SUBSTITUTE(SUBSTITUTE($AA1521," ",""),"　",""),"(주)",""),"（주）",""),"㈜",""),"주식회사",""),"(유)",""),"（유）",""),"유한회사",""))</f>
        <v/>
      </c>
      <c r="AC1521" s="31">
        <f>IF(OR($Y1521="",N($Z1521)&lt;=0,$AB1521=""),0,IFERROR(LOOKUP(2,1/((거래처별!$AC$8:$AC$307&lt;&gt;"")*ISNUMBER(SEARCH(거래처별!$AC$8:$AC$307,$AB1521))),거래처별!$A$8:$A$307),IFERROR(LOOKUP(2,1/((거래처별!$AD$8:$AD$307&lt;&gt;"")*ISNUMBER(SEARCH(거래처별!$AD$8:$AD$307,$AB1521))),거래처별!$A$8:$A$307),IFERROR(LOOKUP(2,1/((거래처별!$AE$8:$AE$307&lt;&gt;"")*ISNUMBER(SEARCH(거래처별!$AE$8:$AE$307,$AB1521))),거래처별!$A$8:$A$307),0))))</f>
        <v/>
      </c>
      <c r="AD1521" s="31">
        <f>IF(AND($Y1521&lt;&gt;"",N($Z1521)&gt;0,$AC1521=0),MAX($AD$7:$AD1520)+1,"")</f>
        <v/>
      </c>
      <c r="AE1521" s="31">
        <f>IF($Y1521="",0,$Y1521)</f>
        <v/>
      </c>
    </row>
    <row r="1522">
      <c r="W1522" s="31">
        <f>IF(OR($B$5="",$C$6="",ROW()&lt;$B$5),"",IF(INDEX($A:$U,ROW(),$C$6)="","",INDEX($A:$U,ROW(),$C$6)))</f>
        <v/>
      </c>
      <c r="X1522" s="32">
        <f>IF($W1522="","",IF(ISNUMBER($W1522),IF($W1522&gt;=10000000,IFERROR(DATE(INT($W1522/10000),MOD(INT($W1522/100),100),MOD($W1522,100)),""),INT($W1522)),IFERROR(DATE(--LEFT(LEFT(SUBSTITUTE(SUBSTITUTE(SUBSTITUTE(SUBSTITUTE(TRIM($W1522),"-",""),".",""),"/","")," ",""),8),4),--MID(LEFT(SUBSTITUTE(SUBSTITUTE(SUBSTITUTE(SUBSTITUTE(TRIM($W1522),"-",""),".",""),"/","")," ",""),8),5,2),--MID(LEFT(SUBSTITUTE(SUBSTITUTE(SUBSTITUTE(SUBSTITUTE(TRIM($W1522),"-",""),".",""),"/","")," ",""),8),7,2)),"")))</f>
        <v/>
      </c>
      <c r="Y1522" s="32">
        <f>IF($X1522="","",INT($X1522))</f>
        <v/>
      </c>
      <c r="Z1522" s="33">
        <f>IF(OR($Y1522="",$D$6=""),"",IF(INDEX($A:$U,ROW(),$D$6)="",0,IF(ISNUMBER(INDEX($A:$U,ROW(),$D$6)),INDEX($A:$U,ROW(),$D$6),IFERROR(--SUBSTITUTE(SUBSTITUTE(TRIM(INDEX($A:$U,ROW(),$D$6)),",",""),"원",""),0))))</f>
        <v/>
      </c>
      <c r="AA1522" s="31">
        <f>IF($Y1522="","",TRIM(INDEX($A:$U,ROW(),$E$6)&amp;IF($F$6="",""," "&amp;INDEX($A:$U,ROW(),$F$6))))</f>
        <v/>
      </c>
      <c r="AB1522" s="31">
        <f>IF($AA1522="","",SUBSTITUTE(SUBSTITUTE(SUBSTITUTE(SUBSTITUTE(SUBSTITUTE(SUBSTITUTE(SUBSTITUTE(SUBSTITUTE(SUBSTITUTE($AA1522," ",""),"　",""),"(주)",""),"（주）",""),"㈜",""),"주식회사",""),"(유)",""),"（유）",""),"유한회사",""))</f>
        <v/>
      </c>
      <c r="AC1522" s="31">
        <f>IF(OR($Y1522="",N($Z1522)&lt;=0,$AB1522=""),0,IFERROR(LOOKUP(2,1/((거래처별!$AC$8:$AC$307&lt;&gt;"")*ISNUMBER(SEARCH(거래처별!$AC$8:$AC$307,$AB1522))),거래처별!$A$8:$A$307),IFERROR(LOOKUP(2,1/((거래처별!$AD$8:$AD$307&lt;&gt;"")*ISNUMBER(SEARCH(거래처별!$AD$8:$AD$307,$AB1522))),거래처별!$A$8:$A$307),IFERROR(LOOKUP(2,1/((거래처별!$AE$8:$AE$307&lt;&gt;"")*ISNUMBER(SEARCH(거래처별!$AE$8:$AE$307,$AB1522))),거래처별!$A$8:$A$307),0))))</f>
        <v/>
      </c>
      <c r="AD1522" s="31">
        <f>IF(AND($Y1522&lt;&gt;"",N($Z1522)&gt;0,$AC1522=0),MAX($AD$7:$AD1521)+1,"")</f>
        <v/>
      </c>
      <c r="AE1522" s="31">
        <f>IF($Y1522="",0,$Y1522)</f>
        <v/>
      </c>
    </row>
    <row r="1523">
      <c r="W1523" s="31">
        <f>IF(OR($B$5="",$C$6="",ROW()&lt;$B$5),"",IF(INDEX($A:$U,ROW(),$C$6)="","",INDEX($A:$U,ROW(),$C$6)))</f>
        <v/>
      </c>
      <c r="X1523" s="32">
        <f>IF($W1523="","",IF(ISNUMBER($W1523),IF($W1523&gt;=10000000,IFERROR(DATE(INT($W1523/10000),MOD(INT($W1523/100),100),MOD($W1523,100)),""),INT($W1523)),IFERROR(DATE(--LEFT(LEFT(SUBSTITUTE(SUBSTITUTE(SUBSTITUTE(SUBSTITUTE(TRIM($W1523),"-",""),".",""),"/","")," ",""),8),4),--MID(LEFT(SUBSTITUTE(SUBSTITUTE(SUBSTITUTE(SUBSTITUTE(TRIM($W1523),"-",""),".",""),"/","")," ",""),8),5,2),--MID(LEFT(SUBSTITUTE(SUBSTITUTE(SUBSTITUTE(SUBSTITUTE(TRIM($W1523),"-",""),".",""),"/","")," ",""),8),7,2)),"")))</f>
        <v/>
      </c>
      <c r="Y1523" s="32">
        <f>IF($X1523="","",INT($X1523))</f>
        <v/>
      </c>
      <c r="Z1523" s="33">
        <f>IF(OR($Y1523="",$D$6=""),"",IF(INDEX($A:$U,ROW(),$D$6)="",0,IF(ISNUMBER(INDEX($A:$U,ROW(),$D$6)),INDEX($A:$U,ROW(),$D$6),IFERROR(--SUBSTITUTE(SUBSTITUTE(TRIM(INDEX($A:$U,ROW(),$D$6)),",",""),"원",""),0))))</f>
        <v/>
      </c>
      <c r="AA1523" s="31">
        <f>IF($Y1523="","",TRIM(INDEX($A:$U,ROW(),$E$6)&amp;IF($F$6="",""," "&amp;INDEX($A:$U,ROW(),$F$6))))</f>
        <v/>
      </c>
      <c r="AB1523" s="31">
        <f>IF($AA1523="","",SUBSTITUTE(SUBSTITUTE(SUBSTITUTE(SUBSTITUTE(SUBSTITUTE(SUBSTITUTE(SUBSTITUTE(SUBSTITUTE(SUBSTITUTE($AA1523," ",""),"　",""),"(주)",""),"（주）",""),"㈜",""),"주식회사",""),"(유)",""),"（유）",""),"유한회사",""))</f>
        <v/>
      </c>
      <c r="AC1523" s="31">
        <f>IF(OR($Y1523="",N($Z1523)&lt;=0,$AB1523=""),0,IFERROR(LOOKUP(2,1/((거래처별!$AC$8:$AC$307&lt;&gt;"")*ISNUMBER(SEARCH(거래처별!$AC$8:$AC$307,$AB1523))),거래처별!$A$8:$A$307),IFERROR(LOOKUP(2,1/((거래처별!$AD$8:$AD$307&lt;&gt;"")*ISNUMBER(SEARCH(거래처별!$AD$8:$AD$307,$AB1523))),거래처별!$A$8:$A$307),IFERROR(LOOKUP(2,1/((거래처별!$AE$8:$AE$307&lt;&gt;"")*ISNUMBER(SEARCH(거래처별!$AE$8:$AE$307,$AB1523))),거래처별!$A$8:$A$307),0))))</f>
        <v/>
      </c>
      <c r="AD1523" s="31">
        <f>IF(AND($Y1523&lt;&gt;"",N($Z1523)&gt;0,$AC1523=0),MAX($AD$7:$AD1522)+1,"")</f>
        <v/>
      </c>
      <c r="AE1523" s="31">
        <f>IF($Y1523="",0,$Y1523)</f>
        <v/>
      </c>
    </row>
    <row r="1524">
      <c r="W1524" s="31">
        <f>IF(OR($B$5="",$C$6="",ROW()&lt;$B$5),"",IF(INDEX($A:$U,ROW(),$C$6)="","",INDEX($A:$U,ROW(),$C$6)))</f>
        <v/>
      </c>
      <c r="X1524" s="32">
        <f>IF($W1524="","",IF(ISNUMBER($W1524),IF($W1524&gt;=10000000,IFERROR(DATE(INT($W1524/10000),MOD(INT($W1524/100),100),MOD($W1524,100)),""),INT($W1524)),IFERROR(DATE(--LEFT(LEFT(SUBSTITUTE(SUBSTITUTE(SUBSTITUTE(SUBSTITUTE(TRIM($W1524),"-",""),".",""),"/","")," ",""),8),4),--MID(LEFT(SUBSTITUTE(SUBSTITUTE(SUBSTITUTE(SUBSTITUTE(TRIM($W1524),"-",""),".",""),"/","")," ",""),8),5,2),--MID(LEFT(SUBSTITUTE(SUBSTITUTE(SUBSTITUTE(SUBSTITUTE(TRIM($W1524),"-",""),".",""),"/","")," ",""),8),7,2)),"")))</f>
        <v/>
      </c>
      <c r="Y1524" s="32">
        <f>IF($X1524="","",INT($X1524))</f>
        <v/>
      </c>
      <c r="Z1524" s="33">
        <f>IF(OR($Y1524="",$D$6=""),"",IF(INDEX($A:$U,ROW(),$D$6)="",0,IF(ISNUMBER(INDEX($A:$U,ROW(),$D$6)),INDEX($A:$U,ROW(),$D$6),IFERROR(--SUBSTITUTE(SUBSTITUTE(TRIM(INDEX($A:$U,ROW(),$D$6)),",",""),"원",""),0))))</f>
        <v/>
      </c>
      <c r="AA1524" s="31">
        <f>IF($Y1524="","",TRIM(INDEX($A:$U,ROW(),$E$6)&amp;IF($F$6="",""," "&amp;INDEX($A:$U,ROW(),$F$6))))</f>
        <v/>
      </c>
      <c r="AB1524" s="31">
        <f>IF($AA1524="","",SUBSTITUTE(SUBSTITUTE(SUBSTITUTE(SUBSTITUTE(SUBSTITUTE(SUBSTITUTE(SUBSTITUTE(SUBSTITUTE(SUBSTITUTE($AA1524," ",""),"　",""),"(주)",""),"（주）",""),"㈜",""),"주식회사",""),"(유)",""),"（유）",""),"유한회사",""))</f>
        <v/>
      </c>
      <c r="AC1524" s="31">
        <f>IF(OR($Y1524="",N($Z1524)&lt;=0,$AB1524=""),0,IFERROR(LOOKUP(2,1/((거래처별!$AC$8:$AC$307&lt;&gt;"")*ISNUMBER(SEARCH(거래처별!$AC$8:$AC$307,$AB1524))),거래처별!$A$8:$A$307),IFERROR(LOOKUP(2,1/((거래처별!$AD$8:$AD$307&lt;&gt;"")*ISNUMBER(SEARCH(거래처별!$AD$8:$AD$307,$AB1524))),거래처별!$A$8:$A$307),IFERROR(LOOKUP(2,1/((거래처별!$AE$8:$AE$307&lt;&gt;"")*ISNUMBER(SEARCH(거래처별!$AE$8:$AE$307,$AB1524))),거래처별!$A$8:$A$307),0))))</f>
        <v/>
      </c>
      <c r="AD1524" s="31">
        <f>IF(AND($Y1524&lt;&gt;"",N($Z1524)&gt;0,$AC1524=0),MAX($AD$7:$AD1523)+1,"")</f>
        <v/>
      </c>
      <c r="AE1524" s="31">
        <f>IF($Y1524="",0,$Y1524)</f>
        <v/>
      </c>
    </row>
    <row r="1525">
      <c r="W1525" s="31">
        <f>IF(OR($B$5="",$C$6="",ROW()&lt;$B$5),"",IF(INDEX($A:$U,ROW(),$C$6)="","",INDEX($A:$U,ROW(),$C$6)))</f>
        <v/>
      </c>
      <c r="X1525" s="32">
        <f>IF($W1525="","",IF(ISNUMBER($W1525),IF($W1525&gt;=10000000,IFERROR(DATE(INT($W1525/10000),MOD(INT($W1525/100),100),MOD($W1525,100)),""),INT($W1525)),IFERROR(DATE(--LEFT(LEFT(SUBSTITUTE(SUBSTITUTE(SUBSTITUTE(SUBSTITUTE(TRIM($W1525),"-",""),".",""),"/","")," ",""),8),4),--MID(LEFT(SUBSTITUTE(SUBSTITUTE(SUBSTITUTE(SUBSTITUTE(TRIM($W1525),"-",""),".",""),"/","")," ",""),8),5,2),--MID(LEFT(SUBSTITUTE(SUBSTITUTE(SUBSTITUTE(SUBSTITUTE(TRIM($W1525),"-",""),".",""),"/","")," ",""),8),7,2)),"")))</f>
        <v/>
      </c>
      <c r="Y1525" s="32">
        <f>IF($X1525="","",INT($X1525))</f>
        <v/>
      </c>
      <c r="Z1525" s="33">
        <f>IF(OR($Y1525="",$D$6=""),"",IF(INDEX($A:$U,ROW(),$D$6)="",0,IF(ISNUMBER(INDEX($A:$U,ROW(),$D$6)),INDEX($A:$U,ROW(),$D$6),IFERROR(--SUBSTITUTE(SUBSTITUTE(TRIM(INDEX($A:$U,ROW(),$D$6)),",",""),"원",""),0))))</f>
        <v/>
      </c>
      <c r="AA1525" s="31">
        <f>IF($Y1525="","",TRIM(INDEX($A:$U,ROW(),$E$6)&amp;IF($F$6="",""," "&amp;INDEX($A:$U,ROW(),$F$6))))</f>
        <v/>
      </c>
      <c r="AB1525" s="31">
        <f>IF($AA1525="","",SUBSTITUTE(SUBSTITUTE(SUBSTITUTE(SUBSTITUTE(SUBSTITUTE(SUBSTITUTE(SUBSTITUTE(SUBSTITUTE(SUBSTITUTE($AA1525," ",""),"　",""),"(주)",""),"（주）",""),"㈜",""),"주식회사",""),"(유)",""),"（유）",""),"유한회사",""))</f>
        <v/>
      </c>
      <c r="AC1525" s="31">
        <f>IF(OR($Y1525="",N($Z1525)&lt;=0,$AB1525=""),0,IFERROR(LOOKUP(2,1/((거래처별!$AC$8:$AC$307&lt;&gt;"")*ISNUMBER(SEARCH(거래처별!$AC$8:$AC$307,$AB1525))),거래처별!$A$8:$A$307),IFERROR(LOOKUP(2,1/((거래처별!$AD$8:$AD$307&lt;&gt;"")*ISNUMBER(SEARCH(거래처별!$AD$8:$AD$307,$AB1525))),거래처별!$A$8:$A$307),IFERROR(LOOKUP(2,1/((거래처별!$AE$8:$AE$307&lt;&gt;"")*ISNUMBER(SEARCH(거래처별!$AE$8:$AE$307,$AB1525))),거래처별!$A$8:$A$307),0))))</f>
        <v/>
      </c>
      <c r="AD1525" s="31">
        <f>IF(AND($Y1525&lt;&gt;"",N($Z1525)&gt;0,$AC1525=0),MAX($AD$7:$AD1524)+1,"")</f>
        <v/>
      </c>
      <c r="AE1525" s="31">
        <f>IF($Y1525="",0,$Y1525)</f>
        <v/>
      </c>
    </row>
    <row r="1526">
      <c r="W1526" s="31">
        <f>IF(OR($B$5="",$C$6="",ROW()&lt;$B$5),"",IF(INDEX($A:$U,ROW(),$C$6)="","",INDEX($A:$U,ROW(),$C$6)))</f>
        <v/>
      </c>
      <c r="X1526" s="32">
        <f>IF($W1526="","",IF(ISNUMBER($W1526),IF($W1526&gt;=10000000,IFERROR(DATE(INT($W1526/10000),MOD(INT($W1526/100),100),MOD($W1526,100)),""),INT($W1526)),IFERROR(DATE(--LEFT(LEFT(SUBSTITUTE(SUBSTITUTE(SUBSTITUTE(SUBSTITUTE(TRIM($W1526),"-",""),".",""),"/","")," ",""),8),4),--MID(LEFT(SUBSTITUTE(SUBSTITUTE(SUBSTITUTE(SUBSTITUTE(TRIM($W1526),"-",""),".",""),"/","")," ",""),8),5,2),--MID(LEFT(SUBSTITUTE(SUBSTITUTE(SUBSTITUTE(SUBSTITUTE(TRIM($W1526),"-",""),".",""),"/","")," ",""),8),7,2)),"")))</f>
        <v/>
      </c>
      <c r="Y1526" s="32">
        <f>IF($X1526="","",INT($X1526))</f>
        <v/>
      </c>
      <c r="Z1526" s="33">
        <f>IF(OR($Y1526="",$D$6=""),"",IF(INDEX($A:$U,ROW(),$D$6)="",0,IF(ISNUMBER(INDEX($A:$U,ROW(),$D$6)),INDEX($A:$U,ROW(),$D$6),IFERROR(--SUBSTITUTE(SUBSTITUTE(TRIM(INDEX($A:$U,ROW(),$D$6)),",",""),"원",""),0))))</f>
        <v/>
      </c>
      <c r="AA1526" s="31">
        <f>IF($Y1526="","",TRIM(INDEX($A:$U,ROW(),$E$6)&amp;IF($F$6="",""," "&amp;INDEX($A:$U,ROW(),$F$6))))</f>
        <v/>
      </c>
      <c r="AB1526" s="31">
        <f>IF($AA1526="","",SUBSTITUTE(SUBSTITUTE(SUBSTITUTE(SUBSTITUTE(SUBSTITUTE(SUBSTITUTE(SUBSTITUTE(SUBSTITUTE(SUBSTITUTE($AA1526," ",""),"　",""),"(주)",""),"（주）",""),"㈜",""),"주식회사",""),"(유)",""),"（유）",""),"유한회사",""))</f>
        <v/>
      </c>
      <c r="AC1526" s="31">
        <f>IF(OR($Y1526="",N($Z1526)&lt;=0,$AB1526=""),0,IFERROR(LOOKUP(2,1/((거래처별!$AC$8:$AC$307&lt;&gt;"")*ISNUMBER(SEARCH(거래처별!$AC$8:$AC$307,$AB1526))),거래처별!$A$8:$A$307),IFERROR(LOOKUP(2,1/((거래처별!$AD$8:$AD$307&lt;&gt;"")*ISNUMBER(SEARCH(거래처별!$AD$8:$AD$307,$AB1526))),거래처별!$A$8:$A$307),IFERROR(LOOKUP(2,1/((거래처별!$AE$8:$AE$307&lt;&gt;"")*ISNUMBER(SEARCH(거래처별!$AE$8:$AE$307,$AB1526))),거래처별!$A$8:$A$307),0))))</f>
        <v/>
      </c>
      <c r="AD1526" s="31">
        <f>IF(AND($Y1526&lt;&gt;"",N($Z1526)&gt;0,$AC1526=0),MAX($AD$7:$AD1525)+1,"")</f>
        <v/>
      </c>
      <c r="AE1526" s="31">
        <f>IF($Y1526="",0,$Y1526)</f>
        <v/>
      </c>
    </row>
    <row r="1527">
      <c r="W1527" s="31">
        <f>IF(OR($B$5="",$C$6="",ROW()&lt;$B$5),"",IF(INDEX($A:$U,ROW(),$C$6)="","",INDEX($A:$U,ROW(),$C$6)))</f>
        <v/>
      </c>
      <c r="X1527" s="32">
        <f>IF($W1527="","",IF(ISNUMBER($W1527),IF($W1527&gt;=10000000,IFERROR(DATE(INT($W1527/10000),MOD(INT($W1527/100),100),MOD($W1527,100)),""),INT($W1527)),IFERROR(DATE(--LEFT(LEFT(SUBSTITUTE(SUBSTITUTE(SUBSTITUTE(SUBSTITUTE(TRIM($W1527),"-",""),".",""),"/","")," ",""),8),4),--MID(LEFT(SUBSTITUTE(SUBSTITUTE(SUBSTITUTE(SUBSTITUTE(TRIM($W1527),"-",""),".",""),"/","")," ",""),8),5,2),--MID(LEFT(SUBSTITUTE(SUBSTITUTE(SUBSTITUTE(SUBSTITUTE(TRIM($W1527),"-",""),".",""),"/","")," ",""),8),7,2)),"")))</f>
        <v/>
      </c>
      <c r="Y1527" s="32">
        <f>IF($X1527="","",INT($X1527))</f>
        <v/>
      </c>
      <c r="Z1527" s="33">
        <f>IF(OR($Y1527="",$D$6=""),"",IF(INDEX($A:$U,ROW(),$D$6)="",0,IF(ISNUMBER(INDEX($A:$U,ROW(),$D$6)),INDEX($A:$U,ROW(),$D$6),IFERROR(--SUBSTITUTE(SUBSTITUTE(TRIM(INDEX($A:$U,ROW(),$D$6)),",",""),"원",""),0))))</f>
        <v/>
      </c>
      <c r="AA1527" s="31">
        <f>IF($Y1527="","",TRIM(INDEX($A:$U,ROW(),$E$6)&amp;IF($F$6="",""," "&amp;INDEX($A:$U,ROW(),$F$6))))</f>
        <v/>
      </c>
      <c r="AB1527" s="31">
        <f>IF($AA1527="","",SUBSTITUTE(SUBSTITUTE(SUBSTITUTE(SUBSTITUTE(SUBSTITUTE(SUBSTITUTE(SUBSTITUTE(SUBSTITUTE(SUBSTITUTE($AA1527," ",""),"　",""),"(주)",""),"（주）",""),"㈜",""),"주식회사",""),"(유)",""),"（유）",""),"유한회사",""))</f>
        <v/>
      </c>
      <c r="AC1527" s="31">
        <f>IF(OR($Y1527="",N($Z1527)&lt;=0,$AB1527=""),0,IFERROR(LOOKUP(2,1/((거래처별!$AC$8:$AC$307&lt;&gt;"")*ISNUMBER(SEARCH(거래처별!$AC$8:$AC$307,$AB1527))),거래처별!$A$8:$A$307),IFERROR(LOOKUP(2,1/((거래처별!$AD$8:$AD$307&lt;&gt;"")*ISNUMBER(SEARCH(거래처별!$AD$8:$AD$307,$AB1527))),거래처별!$A$8:$A$307),IFERROR(LOOKUP(2,1/((거래처별!$AE$8:$AE$307&lt;&gt;"")*ISNUMBER(SEARCH(거래처별!$AE$8:$AE$307,$AB1527))),거래처별!$A$8:$A$307),0))))</f>
        <v/>
      </c>
      <c r="AD1527" s="31">
        <f>IF(AND($Y1527&lt;&gt;"",N($Z1527)&gt;0,$AC1527=0),MAX($AD$7:$AD1526)+1,"")</f>
        <v/>
      </c>
      <c r="AE1527" s="31">
        <f>IF($Y1527="",0,$Y1527)</f>
        <v/>
      </c>
    </row>
    <row r="1528">
      <c r="W1528" s="31">
        <f>IF(OR($B$5="",$C$6="",ROW()&lt;$B$5),"",IF(INDEX($A:$U,ROW(),$C$6)="","",INDEX($A:$U,ROW(),$C$6)))</f>
        <v/>
      </c>
      <c r="X1528" s="32">
        <f>IF($W1528="","",IF(ISNUMBER($W1528),IF($W1528&gt;=10000000,IFERROR(DATE(INT($W1528/10000),MOD(INT($W1528/100),100),MOD($W1528,100)),""),INT($W1528)),IFERROR(DATE(--LEFT(LEFT(SUBSTITUTE(SUBSTITUTE(SUBSTITUTE(SUBSTITUTE(TRIM($W1528),"-",""),".",""),"/","")," ",""),8),4),--MID(LEFT(SUBSTITUTE(SUBSTITUTE(SUBSTITUTE(SUBSTITUTE(TRIM($W1528),"-",""),".",""),"/","")," ",""),8),5,2),--MID(LEFT(SUBSTITUTE(SUBSTITUTE(SUBSTITUTE(SUBSTITUTE(TRIM($W1528),"-",""),".",""),"/","")," ",""),8),7,2)),"")))</f>
        <v/>
      </c>
      <c r="Y1528" s="32">
        <f>IF($X1528="","",INT($X1528))</f>
        <v/>
      </c>
      <c r="Z1528" s="33">
        <f>IF(OR($Y1528="",$D$6=""),"",IF(INDEX($A:$U,ROW(),$D$6)="",0,IF(ISNUMBER(INDEX($A:$U,ROW(),$D$6)),INDEX($A:$U,ROW(),$D$6),IFERROR(--SUBSTITUTE(SUBSTITUTE(TRIM(INDEX($A:$U,ROW(),$D$6)),",",""),"원",""),0))))</f>
        <v/>
      </c>
      <c r="AA1528" s="31">
        <f>IF($Y1528="","",TRIM(INDEX($A:$U,ROW(),$E$6)&amp;IF($F$6="",""," "&amp;INDEX($A:$U,ROW(),$F$6))))</f>
        <v/>
      </c>
      <c r="AB1528" s="31">
        <f>IF($AA1528="","",SUBSTITUTE(SUBSTITUTE(SUBSTITUTE(SUBSTITUTE(SUBSTITUTE(SUBSTITUTE(SUBSTITUTE(SUBSTITUTE(SUBSTITUTE($AA1528," ",""),"　",""),"(주)",""),"（주）",""),"㈜",""),"주식회사",""),"(유)",""),"（유）",""),"유한회사",""))</f>
        <v/>
      </c>
      <c r="AC1528" s="31">
        <f>IF(OR($Y1528="",N($Z1528)&lt;=0,$AB1528=""),0,IFERROR(LOOKUP(2,1/((거래처별!$AC$8:$AC$307&lt;&gt;"")*ISNUMBER(SEARCH(거래처별!$AC$8:$AC$307,$AB1528))),거래처별!$A$8:$A$307),IFERROR(LOOKUP(2,1/((거래처별!$AD$8:$AD$307&lt;&gt;"")*ISNUMBER(SEARCH(거래처별!$AD$8:$AD$307,$AB1528))),거래처별!$A$8:$A$307),IFERROR(LOOKUP(2,1/((거래처별!$AE$8:$AE$307&lt;&gt;"")*ISNUMBER(SEARCH(거래처별!$AE$8:$AE$307,$AB1528))),거래처별!$A$8:$A$307),0))))</f>
        <v/>
      </c>
      <c r="AD1528" s="31">
        <f>IF(AND($Y1528&lt;&gt;"",N($Z1528)&gt;0,$AC1528=0),MAX($AD$7:$AD1527)+1,"")</f>
        <v/>
      </c>
      <c r="AE1528" s="31">
        <f>IF($Y1528="",0,$Y1528)</f>
        <v/>
      </c>
    </row>
    <row r="1529">
      <c r="W1529" s="31">
        <f>IF(OR($B$5="",$C$6="",ROW()&lt;$B$5),"",IF(INDEX($A:$U,ROW(),$C$6)="","",INDEX($A:$U,ROW(),$C$6)))</f>
        <v/>
      </c>
      <c r="X1529" s="32">
        <f>IF($W1529="","",IF(ISNUMBER($W1529),IF($W1529&gt;=10000000,IFERROR(DATE(INT($W1529/10000),MOD(INT($W1529/100),100),MOD($W1529,100)),""),INT($W1529)),IFERROR(DATE(--LEFT(LEFT(SUBSTITUTE(SUBSTITUTE(SUBSTITUTE(SUBSTITUTE(TRIM($W1529),"-",""),".",""),"/","")," ",""),8),4),--MID(LEFT(SUBSTITUTE(SUBSTITUTE(SUBSTITUTE(SUBSTITUTE(TRIM($W1529),"-",""),".",""),"/","")," ",""),8),5,2),--MID(LEFT(SUBSTITUTE(SUBSTITUTE(SUBSTITUTE(SUBSTITUTE(TRIM($W1529),"-",""),".",""),"/","")," ",""),8),7,2)),"")))</f>
        <v/>
      </c>
      <c r="Y1529" s="32">
        <f>IF($X1529="","",INT($X1529))</f>
        <v/>
      </c>
      <c r="Z1529" s="33">
        <f>IF(OR($Y1529="",$D$6=""),"",IF(INDEX($A:$U,ROW(),$D$6)="",0,IF(ISNUMBER(INDEX($A:$U,ROW(),$D$6)),INDEX($A:$U,ROW(),$D$6),IFERROR(--SUBSTITUTE(SUBSTITUTE(TRIM(INDEX($A:$U,ROW(),$D$6)),",",""),"원",""),0))))</f>
        <v/>
      </c>
      <c r="AA1529" s="31">
        <f>IF($Y1529="","",TRIM(INDEX($A:$U,ROW(),$E$6)&amp;IF($F$6="",""," "&amp;INDEX($A:$U,ROW(),$F$6))))</f>
        <v/>
      </c>
      <c r="AB1529" s="31">
        <f>IF($AA1529="","",SUBSTITUTE(SUBSTITUTE(SUBSTITUTE(SUBSTITUTE(SUBSTITUTE(SUBSTITUTE(SUBSTITUTE(SUBSTITUTE(SUBSTITUTE($AA1529," ",""),"　",""),"(주)",""),"（주）",""),"㈜",""),"주식회사",""),"(유)",""),"（유）",""),"유한회사",""))</f>
        <v/>
      </c>
      <c r="AC1529" s="31">
        <f>IF(OR($Y1529="",N($Z1529)&lt;=0,$AB1529=""),0,IFERROR(LOOKUP(2,1/((거래처별!$AC$8:$AC$307&lt;&gt;"")*ISNUMBER(SEARCH(거래처별!$AC$8:$AC$307,$AB1529))),거래처별!$A$8:$A$307),IFERROR(LOOKUP(2,1/((거래처별!$AD$8:$AD$307&lt;&gt;"")*ISNUMBER(SEARCH(거래처별!$AD$8:$AD$307,$AB1529))),거래처별!$A$8:$A$307),IFERROR(LOOKUP(2,1/((거래처별!$AE$8:$AE$307&lt;&gt;"")*ISNUMBER(SEARCH(거래처별!$AE$8:$AE$307,$AB1529))),거래처별!$A$8:$A$307),0))))</f>
        <v/>
      </c>
      <c r="AD1529" s="31">
        <f>IF(AND($Y1529&lt;&gt;"",N($Z1529)&gt;0,$AC1529=0),MAX($AD$7:$AD1528)+1,"")</f>
        <v/>
      </c>
      <c r="AE1529" s="31">
        <f>IF($Y1529="",0,$Y1529)</f>
        <v/>
      </c>
    </row>
    <row r="1530">
      <c r="W1530" s="31">
        <f>IF(OR($B$5="",$C$6="",ROW()&lt;$B$5),"",IF(INDEX($A:$U,ROW(),$C$6)="","",INDEX($A:$U,ROW(),$C$6)))</f>
        <v/>
      </c>
      <c r="X1530" s="32">
        <f>IF($W1530="","",IF(ISNUMBER($W1530),IF($W1530&gt;=10000000,IFERROR(DATE(INT($W1530/10000),MOD(INT($W1530/100),100),MOD($W1530,100)),""),INT($W1530)),IFERROR(DATE(--LEFT(LEFT(SUBSTITUTE(SUBSTITUTE(SUBSTITUTE(SUBSTITUTE(TRIM($W1530),"-",""),".",""),"/","")," ",""),8),4),--MID(LEFT(SUBSTITUTE(SUBSTITUTE(SUBSTITUTE(SUBSTITUTE(TRIM($W1530),"-",""),".",""),"/","")," ",""),8),5,2),--MID(LEFT(SUBSTITUTE(SUBSTITUTE(SUBSTITUTE(SUBSTITUTE(TRIM($W1530),"-",""),".",""),"/","")," ",""),8),7,2)),"")))</f>
        <v/>
      </c>
      <c r="Y1530" s="32">
        <f>IF($X1530="","",INT($X1530))</f>
        <v/>
      </c>
      <c r="Z1530" s="33">
        <f>IF(OR($Y1530="",$D$6=""),"",IF(INDEX($A:$U,ROW(),$D$6)="",0,IF(ISNUMBER(INDEX($A:$U,ROW(),$D$6)),INDEX($A:$U,ROW(),$D$6),IFERROR(--SUBSTITUTE(SUBSTITUTE(TRIM(INDEX($A:$U,ROW(),$D$6)),",",""),"원",""),0))))</f>
        <v/>
      </c>
      <c r="AA1530" s="31">
        <f>IF($Y1530="","",TRIM(INDEX($A:$U,ROW(),$E$6)&amp;IF($F$6="",""," "&amp;INDEX($A:$U,ROW(),$F$6))))</f>
        <v/>
      </c>
      <c r="AB1530" s="31">
        <f>IF($AA1530="","",SUBSTITUTE(SUBSTITUTE(SUBSTITUTE(SUBSTITUTE(SUBSTITUTE(SUBSTITUTE(SUBSTITUTE(SUBSTITUTE(SUBSTITUTE($AA1530," ",""),"　",""),"(주)",""),"（주）",""),"㈜",""),"주식회사",""),"(유)",""),"（유）",""),"유한회사",""))</f>
        <v/>
      </c>
      <c r="AC1530" s="31">
        <f>IF(OR($Y1530="",N($Z1530)&lt;=0,$AB1530=""),0,IFERROR(LOOKUP(2,1/((거래처별!$AC$8:$AC$307&lt;&gt;"")*ISNUMBER(SEARCH(거래처별!$AC$8:$AC$307,$AB1530))),거래처별!$A$8:$A$307),IFERROR(LOOKUP(2,1/((거래처별!$AD$8:$AD$307&lt;&gt;"")*ISNUMBER(SEARCH(거래처별!$AD$8:$AD$307,$AB1530))),거래처별!$A$8:$A$307),IFERROR(LOOKUP(2,1/((거래처별!$AE$8:$AE$307&lt;&gt;"")*ISNUMBER(SEARCH(거래처별!$AE$8:$AE$307,$AB1530))),거래처별!$A$8:$A$307),0))))</f>
        <v/>
      </c>
      <c r="AD1530" s="31">
        <f>IF(AND($Y1530&lt;&gt;"",N($Z1530)&gt;0,$AC1530=0),MAX($AD$7:$AD1529)+1,"")</f>
        <v/>
      </c>
      <c r="AE1530" s="31">
        <f>IF($Y1530="",0,$Y1530)</f>
        <v/>
      </c>
    </row>
    <row r="1531">
      <c r="W1531" s="31">
        <f>IF(OR($B$5="",$C$6="",ROW()&lt;$B$5),"",IF(INDEX($A:$U,ROW(),$C$6)="","",INDEX($A:$U,ROW(),$C$6)))</f>
        <v/>
      </c>
      <c r="X1531" s="32">
        <f>IF($W1531="","",IF(ISNUMBER($W1531),IF($W1531&gt;=10000000,IFERROR(DATE(INT($W1531/10000),MOD(INT($W1531/100),100),MOD($W1531,100)),""),INT($W1531)),IFERROR(DATE(--LEFT(LEFT(SUBSTITUTE(SUBSTITUTE(SUBSTITUTE(SUBSTITUTE(TRIM($W1531),"-",""),".",""),"/","")," ",""),8),4),--MID(LEFT(SUBSTITUTE(SUBSTITUTE(SUBSTITUTE(SUBSTITUTE(TRIM($W1531),"-",""),".",""),"/","")," ",""),8),5,2),--MID(LEFT(SUBSTITUTE(SUBSTITUTE(SUBSTITUTE(SUBSTITUTE(TRIM($W1531),"-",""),".",""),"/","")," ",""),8),7,2)),"")))</f>
        <v/>
      </c>
      <c r="Y1531" s="32">
        <f>IF($X1531="","",INT($X1531))</f>
        <v/>
      </c>
      <c r="Z1531" s="33">
        <f>IF(OR($Y1531="",$D$6=""),"",IF(INDEX($A:$U,ROW(),$D$6)="",0,IF(ISNUMBER(INDEX($A:$U,ROW(),$D$6)),INDEX($A:$U,ROW(),$D$6),IFERROR(--SUBSTITUTE(SUBSTITUTE(TRIM(INDEX($A:$U,ROW(),$D$6)),",",""),"원",""),0))))</f>
        <v/>
      </c>
      <c r="AA1531" s="31">
        <f>IF($Y1531="","",TRIM(INDEX($A:$U,ROW(),$E$6)&amp;IF($F$6="",""," "&amp;INDEX($A:$U,ROW(),$F$6))))</f>
        <v/>
      </c>
      <c r="AB1531" s="31">
        <f>IF($AA1531="","",SUBSTITUTE(SUBSTITUTE(SUBSTITUTE(SUBSTITUTE(SUBSTITUTE(SUBSTITUTE(SUBSTITUTE(SUBSTITUTE(SUBSTITUTE($AA1531," ",""),"　",""),"(주)",""),"（주）",""),"㈜",""),"주식회사",""),"(유)",""),"（유）",""),"유한회사",""))</f>
        <v/>
      </c>
      <c r="AC1531" s="31">
        <f>IF(OR($Y1531="",N($Z1531)&lt;=0,$AB1531=""),0,IFERROR(LOOKUP(2,1/((거래처별!$AC$8:$AC$307&lt;&gt;"")*ISNUMBER(SEARCH(거래처별!$AC$8:$AC$307,$AB1531))),거래처별!$A$8:$A$307),IFERROR(LOOKUP(2,1/((거래처별!$AD$8:$AD$307&lt;&gt;"")*ISNUMBER(SEARCH(거래처별!$AD$8:$AD$307,$AB1531))),거래처별!$A$8:$A$307),IFERROR(LOOKUP(2,1/((거래처별!$AE$8:$AE$307&lt;&gt;"")*ISNUMBER(SEARCH(거래처별!$AE$8:$AE$307,$AB1531))),거래처별!$A$8:$A$307),0))))</f>
        <v/>
      </c>
      <c r="AD1531" s="31">
        <f>IF(AND($Y1531&lt;&gt;"",N($Z1531)&gt;0,$AC1531=0),MAX($AD$7:$AD1530)+1,"")</f>
        <v/>
      </c>
      <c r="AE1531" s="31">
        <f>IF($Y1531="",0,$Y1531)</f>
        <v/>
      </c>
    </row>
    <row r="1532">
      <c r="W1532" s="31">
        <f>IF(OR($B$5="",$C$6="",ROW()&lt;$B$5),"",IF(INDEX($A:$U,ROW(),$C$6)="","",INDEX($A:$U,ROW(),$C$6)))</f>
        <v/>
      </c>
      <c r="X1532" s="32">
        <f>IF($W1532="","",IF(ISNUMBER($W1532),IF($W1532&gt;=10000000,IFERROR(DATE(INT($W1532/10000),MOD(INT($W1532/100),100),MOD($W1532,100)),""),INT($W1532)),IFERROR(DATE(--LEFT(LEFT(SUBSTITUTE(SUBSTITUTE(SUBSTITUTE(SUBSTITUTE(TRIM($W1532),"-",""),".",""),"/","")," ",""),8),4),--MID(LEFT(SUBSTITUTE(SUBSTITUTE(SUBSTITUTE(SUBSTITUTE(TRIM($W1532),"-",""),".",""),"/","")," ",""),8),5,2),--MID(LEFT(SUBSTITUTE(SUBSTITUTE(SUBSTITUTE(SUBSTITUTE(TRIM($W1532),"-",""),".",""),"/","")," ",""),8),7,2)),"")))</f>
        <v/>
      </c>
      <c r="Y1532" s="32">
        <f>IF($X1532="","",INT($X1532))</f>
        <v/>
      </c>
      <c r="Z1532" s="33">
        <f>IF(OR($Y1532="",$D$6=""),"",IF(INDEX($A:$U,ROW(),$D$6)="",0,IF(ISNUMBER(INDEX($A:$U,ROW(),$D$6)),INDEX($A:$U,ROW(),$D$6),IFERROR(--SUBSTITUTE(SUBSTITUTE(TRIM(INDEX($A:$U,ROW(),$D$6)),",",""),"원",""),0))))</f>
        <v/>
      </c>
      <c r="AA1532" s="31">
        <f>IF($Y1532="","",TRIM(INDEX($A:$U,ROW(),$E$6)&amp;IF($F$6="",""," "&amp;INDEX($A:$U,ROW(),$F$6))))</f>
        <v/>
      </c>
      <c r="AB1532" s="31">
        <f>IF($AA1532="","",SUBSTITUTE(SUBSTITUTE(SUBSTITUTE(SUBSTITUTE(SUBSTITUTE(SUBSTITUTE(SUBSTITUTE(SUBSTITUTE(SUBSTITUTE($AA1532," ",""),"　",""),"(주)",""),"（주）",""),"㈜",""),"주식회사",""),"(유)",""),"（유）",""),"유한회사",""))</f>
        <v/>
      </c>
      <c r="AC1532" s="31">
        <f>IF(OR($Y1532="",N($Z1532)&lt;=0,$AB1532=""),0,IFERROR(LOOKUP(2,1/((거래처별!$AC$8:$AC$307&lt;&gt;"")*ISNUMBER(SEARCH(거래처별!$AC$8:$AC$307,$AB1532))),거래처별!$A$8:$A$307),IFERROR(LOOKUP(2,1/((거래처별!$AD$8:$AD$307&lt;&gt;"")*ISNUMBER(SEARCH(거래처별!$AD$8:$AD$307,$AB1532))),거래처별!$A$8:$A$307),IFERROR(LOOKUP(2,1/((거래처별!$AE$8:$AE$307&lt;&gt;"")*ISNUMBER(SEARCH(거래처별!$AE$8:$AE$307,$AB1532))),거래처별!$A$8:$A$307),0))))</f>
        <v/>
      </c>
      <c r="AD1532" s="31">
        <f>IF(AND($Y1532&lt;&gt;"",N($Z1532)&gt;0,$AC1532=0),MAX($AD$7:$AD1531)+1,"")</f>
        <v/>
      </c>
      <c r="AE1532" s="31">
        <f>IF($Y1532="",0,$Y1532)</f>
        <v/>
      </c>
    </row>
    <row r="1533">
      <c r="W1533" s="31">
        <f>IF(OR($B$5="",$C$6="",ROW()&lt;$B$5),"",IF(INDEX($A:$U,ROW(),$C$6)="","",INDEX($A:$U,ROW(),$C$6)))</f>
        <v/>
      </c>
      <c r="X1533" s="32">
        <f>IF($W1533="","",IF(ISNUMBER($W1533),IF($W1533&gt;=10000000,IFERROR(DATE(INT($W1533/10000),MOD(INT($W1533/100),100),MOD($W1533,100)),""),INT($W1533)),IFERROR(DATE(--LEFT(LEFT(SUBSTITUTE(SUBSTITUTE(SUBSTITUTE(SUBSTITUTE(TRIM($W1533),"-",""),".",""),"/","")," ",""),8),4),--MID(LEFT(SUBSTITUTE(SUBSTITUTE(SUBSTITUTE(SUBSTITUTE(TRIM($W1533),"-",""),".",""),"/","")," ",""),8),5,2),--MID(LEFT(SUBSTITUTE(SUBSTITUTE(SUBSTITUTE(SUBSTITUTE(TRIM($W1533),"-",""),".",""),"/","")," ",""),8),7,2)),"")))</f>
        <v/>
      </c>
      <c r="Y1533" s="32">
        <f>IF($X1533="","",INT($X1533))</f>
        <v/>
      </c>
      <c r="Z1533" s="33">
        <f>IF(OR($Y1533="",$D$6=""),"",IF(INDEX($A:$U,ROW(),$D$6)="",0,IF(ISNUMBER(INDEX($A:$U,ROW(),$D$6)),INDEX($A:$U,ROW(),$D$6),IFERROR(--SUBSTITUTE(SUBSTITUTE(TRIM(INDEX($A:$U,ROW(),$D$6)),",",""),"원",""),0))))</f>
        <v/>
      </c>
      <c r="AA1533" s="31">
        <f>IF($Y1533="","",TRIM(INDEX($A:$U,ROW(),$E$6)&amp;IF($F$6="",""," "&amp;INDEX($A:$U,ROW(),$F$6))))</f>
        <v/>
      </c>
      <c r="AB1533" s="31">
        <f>IF($AA1533="","",SUBSTITUTE(SUBSTITUTE(SUBSTITUTE(SUBSTITUTE(SUBSTITUTE(SUBSTITUTE(SUBSTITUTE(SUBSTITUTE(SUBSTITUTE($AA1533," ",""),"　",""),"(주)",""),"（주）",""),"㈜",""),"주식회사",""),"(유)",""),"（유）",""),"유한회사",""))</f>
        <v/>
      </c>
      <c r="AC1533" s="31">
        <f>IF(OR($Y1533="",N($Z1533)&lt;=0,$AB1533=""),0,IFERROR(LOOKUP(2,1/((거래처별!$AC$8:$AC$307&lt;&gt;"")*ISNUMBER(SEARCH(거래처별!$AC$8:$AC$307,$AB1533))),거래처별!$A$8:$A$307),IFERROR(LOOKUP(2,1/((거래처별!$AD$8:$AD$307&lt;&gt;"")*ISNUMBER(SEARCH(거래처별!$AD$8:$AD$307,$AB1533))),거래처별!$A$8:$A$307),IFERROR(LOOKUP(2,1/((거래처별!$AE$8:$AE$307&lt;&gt;"")*ISNUMBER(SEARCH(거래처별!$AE$8:$AE$307,$AB1533))),거래처별!$A$8:$A$307),0))))</f>
        <v/>
      </c>
      <c r="AD1533" s="31">
        <f>IF(AND($Y1533&lt;&gt;"",N($Z1533)&gt;0,$AC1533=0),MAX($AD$7:$AD1532)+1,"")</f>
        <v/>
      </c>
      <c r="AE1533" s="31">
        <f>IF($Y1533="",0,$Y1533)</f>
        <v/>
      </c>
    </row>
    <row r="1534">
      <c r="W1534" s="31">
        <f>IF(OR($B$5="",$C$6="",ROW()&lt;$B$5),"",IF(INDEX($A:$U,ROW(),$C$6)="","",INDEX($A:$U,ROW(),$C$6)))</f>
        <v/>
      </c>
      <c r="X1534" s="32">
        <f>IF($W1534="","",IF(ISNUMBER($W1534),IF($W1534&gt;=10000000,IFERROR(DATE(INT($W1534/10000),MOD(INT($W1534/100),100),MOD($W1534,100)),""),INT($W1534)),IFERROR(DATE(--LEFT(LEFT(SUBSTITUTE(SUBSTITUTE(SUBSTITUTE(SUBSTITUTE(TRIM($W1534),"-",""),".",""),"/","")," ",""),8),4),--MID(LEFT(SUBSTITUTE(SUBSTITUTE(SUBSTITUTE(SUBSTITUTE(TRIM($W1534),"-",""),".",""),"/","")," ",""),8),5,2),--MID(LEFT(SUBSTITUTE(SUBSTITUTE(SUBSTITUTE(SUBSTITUTE(TRIM($W1534),"-",""),".",""),"/","")," ",""),8),7,2)),"")))</f>
        <v/>
      </c>
      <c r="Y1534" s="32">
        <f>IF($X1534="","",INT($X1534))</f>
        <v/>
      </c>
      <c r="Z1534" s="33">
        <f>IF(OR($Y1534="",$D$6=""),"",IF(INDEX($A:$U,ROW(),$D$6)="",0,IF(ISNUMBER(INDEX($A:$U,ROW(),$D$6)),INDEX($A:$U,ROW(),$D$6),IFERROR(--SUBSTITUTE(SUBSTITUTE(TRIM(INDEX($A:$U,ROW(),$D$6)),",",""),"원",""),0))))</f>
        <v/>
      </c>
      <c r="AA1534" s="31">
        <f>IF($Y1534="","",TRIM(INDEX($A:$U,ROW(),$E$6)&amp;IF($F$6="",""," "&amp;INDEX($A:$U,ROW(),$F$6))))</f>
        <v/>
      </c>
      <c r="AB1534" s="31">
        <f>IF($AA1534="","",SUBSTITUTE(SUBSTITUTE(SUBSTITUTE(SUBSTITUTE(SUBSTITUTE(SUBSTITUTE(SUBSTITUTE(SUBSTITUTE(SUBSTITUTE($AA1534," ",""),"　",""),"(주)",""),"（주）",""),"㈜",""),"주식회사",""),"(유)",""),"（유）",""),"유한회사",""))</f>
        <v/>
      </c>
      <c r="AC1534" s="31">
        <f>IF(OR($Y1534="",N($Z1534)&lt;=0,$AB1534=""),0,IFERROR(LOOKUP(2,1/((거래처별!$AC$8:$AC$307&lt;&gt;"")*ISNUMBER(SEARCH(거래처별!$AC$8:$AC$307,$AB1534))),거래처별!$A$8:$A$307),IFERROR(LOOKUP(2,1/((거래처별!$AD$8:$AD$307&lt;&gt;"")*ISNUMBER(SEARCH(거래처별!$AD$8:$AD$307,$AB1534))),거래처별!$A$8:$A$307),IFERROR(LOOKUP(2,1/((거래처별!$AE$8:$AE$307&lt;&gt;"")*ISNUMBER(SEARCH(거래처별!$AE$8:$AE$307,$AB1534))),거래처별!$A$8:$A$307),0))))</f>
        <v/>
      </c>
      <c r="AD1534" s="31">
        <f>IF(AND($Y1534&lt;&gt;"",N($Z1534)&gt;0,$AC1534=0),MAX($AD$7:$AD1533)+1,"")</f>
        <v/>
      </c>
      <c r="AE1534" s="31">
        <f>IF($Y1534="",0,$Y1534)</f>
        <v/>
      </c>
    </row>
    <row r="1535">
      <c r="W1535" s="31">
        <f>IF(OR($B$5="",$C$6="",ROW()&lt;$B$5),"",IF(INDEX($A:$U,ROW(),$C$6)="","",INDEX($A:$U,ROW(),$C$6)))</f>
        <v/>
      </c>
      <c r="X1535" s="32">
        <f>IF($W1535="","",IF(ISNUMBER($W1535),IF($W1535&gt;=10000000,IFERROR(DATE(INT($W1535/10000),MOD(INT($W1535/100),100),MOD($W1535,100)),""),INT($W1535)),IFERROR(DATE(--LEFT(LEFT(SUBSTITUTE(SUBSTITUTE(SUBSTITUTE(SUBSTITUTE(TRIM($W1535),"-",""),".",""),"/","")," ",""),8),4),--MID(LEFT(SUBSTITUTE(SUBSTITUTE(SUBSTITUTE(SUBSTITUTE(TRIM($W1535),"-",""),".",""),"/","")," ",""),8),5,2),--MID(LEFT(SUBSTITUTE(SUBSTITUTE(SUBSTITUTE(SUBSTITUTE(TRIM($W1535),"-",""),".",""),"/","")," ",""),8),7,2)),"")))</f>
        <v/>
      </c>
      <c r="Y1535" s="32">
        <f>IF($X1535="","",INT($X1535))</f>
        <v/>
      </c>
      <c r="Z1535" s="33">
        <f>IF(OR($Y1535="",$D$6=""),"",IF(INDEX($A:$U,ROW(),$D$6)="",0,IF(ISNUMBER(INDEX($A:$U,ROW(),$D$6)),INDEX($A:$U,ROW(),$D$6),IFERROR(--SUBSTITUTE(SUBSTITUTE(TRIM(INDEX($A:$U,ROW(),$D$6)),",",""),"원",""),0))))</f>
        <v/>
      </c>
      <c r="AA1535" s="31">
        <f>IF($Y1535="","",TRIM(INDEX($A:$U,ROW(),$E$6)&amp;IF($F$6="",""," "&amp;INDEX($A:$U,ROW(),$F$6))))</f>
        <v/>
      </c>
      <c r="AB1535" s="31">
        <f>IF($AA1535="","",SUBSTITUTE(SUBSTITUTE(SUBSTITUTE(SUBSTITUTE(SUBSTITUTE(SUBSTITUTE(SUBSTITUTE(SUBSTITUTE(SUBSTITUTE($AA1535," ",""),"　",""),"(주)",""),"（주）",""),"㈜",""),"주식회사",""),"(유)",""),"（유）",""),"유한회사",""))</f>
        <v/>
      </c>
      <c r="AC1535" s="31">
        <f>IF(OR($Y1535="",N($Z1535)&lt;=0,$AB1535=""),0,IFERROR(LOOKUP(2,1/((거래처별!$AC$8:$AC$307&lt;&gt;"")*ISNUMBER(SEARCH(거래처별!$AC$8:$AC$307,$AB1535))),거래처별!$A$8:$A$307),IFERROR(LOOKUP(2,1/((거래처별!$AD$8:$AD$307&lt;&gt;"")*ISNUMBER(SEARCH(거래처별!$AD$8:$AD$307,$AB1535))),거래처별!$A$8:$A$307),IFERROR(LOOKUP(2,1/((거래처별!$AE$8:$AE$307&lt;&gt;"")*ISNUMBER(SEARCH(거래처별!$AE$8:$AE$307,$AB1535))),거래처별!$A$8:$A$307),0))))</f>
        <v/>
      </c>
      <c r="AD1535" s="31">
        <f>IF(AND($Y1535&lt;&gt;"",N($Z1535)&gt;0,$AC1535=0),MAX($AD$7:$AD1534)+1,"")</f>
        <v/>
      </c>
      <c r="AE1535" s="31">
        <f>IF($Y1535="",0,$Y1535)</f>
        <v/>
      </c>
    </row>
    <row r="1536">
      <c r="W1536" s="31">
        <f>IF(OR($B$5="",$C$6="",ROW()&lt;$B$5),"",IF(INDEX($A:$U,ROW(),$C$6)="","",INDEX($A:$U,ROW(),$C$6)))</f>
        <v/>
      </c>
      <c r="X1536" s="32">
        <f>IF($W1536="","",IF(ISNUMBER($W1536),IF($W1536&gt;=10000000,IFERROR(DATE(INT($W1536/10000),MOD(INT($W1536/100),100),MOD($W1536,100)),""),INT($W1536)),IFERROR(DATE(--LEFT(LEFT(SUBSTITUTE(SUBSTITUTE(SUBSTITUTE(SUBSTITUTE(TRIM($W1536),"-",""),".",""),"/","")," ",""),8),4),--MID(LEFT(SUBSTITUTE(SUBSTITUTE(SUBSTITUTE(SUBSTITUTE(TRIM($W1536),"-",""),".",""),"/","")," ",""),8),5,2),--MID(LEFT(SUBSTITUTE(SUBSTITUTE(SUBSTITUTE(SUBSTITUTE(TRIM($W1536),"-",""),".",""),"/","")," ",""),8),7,2)),"")))</f>
        <v/>
      </c>
      <c r="Y1536" s="32">
        <f>IF($X1536="","",INT($X1536))</f>
        <v/>
      </c>
      <c r="Z1536" s="33">
        <f>IF(OR($Y1536="",$D$6=""),"",IF(INDEX($A:$U,ROW(),$D$6)="",0,IF(ISNUMBER(INDEX($A:$U,ROW(),$D$6)),INDEX($A:$U,ROW(),$D$6),IFERROR(--SUBSTITUTE(SUBSTITUTE(TRIM(INDEX($A:$U,ROW(),$D$6)),",",""),"원",""),0))))</f>
        <v/>
      </c>
      <c r="AA1536" s="31">
        <f>IF($Y1536="","",TRIM(INDEX($A:$U,ROW(),$E$6)&amp;IF($F$6="",""," "&amp;INDEX($A:$U,ROW(),$F$6))))</f>
        <v/>
      </c>
      <c r="AB1536" s="31">
        <f>IF($AA1536="","",SUBSTITUTE(SUBSTITUTE(SUBSTITUTE(SUBSTITUTE(SUBSTITUTE(SUBSTITUTE(SUBSTITUTE(SUBSTITUTE(SUBSTITUTE($AA1536," ",""),"　",""),"(주)",""),"（주）",""),"㈜",""),"주식회사",""),"(유)",""),"（유）",""),"유한회사",""))</f>
        <v/>
      </c>
      <c r="AC1536" s="31">
        <f>IF(OR($Y1536="",N($Z1536)&lt;=0,$AB1536=""),0,IFERROR(LOOKUP(2,1/((거래처별!$AC$8:$AC$307&lt;&gt;"")*ISNUMBER(SEARCH(거래처별!$AC$8:$AC$307,$AB1536))),거래처별!$A$8:$A$307),IFERROR(LOOKUP(2,1/((거래처별!$AD$8:$AD$307&lt;&gt;"")*ISNUMBER(SEARCH(거래처별!$AD$8:$AD$307,$AB1536))),거래처별!$A$8:$A$307),IFERROR(LOOKUP(2,1/((거래처별!$AE$8:$AE$307&lt;&gt;"")*ISNUMBER(SEARCH(거래처별!$AE$8:$AE$307,$AB1536))),거래처별!$A$8:$A$307),0))))</f>
        <v/>
      </c>
      <c r="AD1536" s="31">
        <f>IF(AND($Y1536&lt;&gt;"",N($Z1536)&gt;0,$AC1536=0),MAX($AD$7:$AD1535)+1,"")</f>
        <v/>
      </c>
      <c r="AE1536" s="31">
        <f>IF($Y1536="",0,$Y1536)</f>
        <v/>
      </c>
    </row>
    <row r="1537">
      <c r="W1537" s="31">
        <f>IF(OR($B$5="",$C$6="",ROW()&lt;$B$5),"",IF(INDEX($A:$U,ROW(),$C$6)="","",INDEX($A:$U,ROW(),$C$6)))</f>
        <v/>
      </c>
      <c r="X1537" s="32">
        <f>IF($W1537="","",IF(ISNUMBER($W1537),IF($W1537&gt;=10000000,IFERROR(DATE(INT($W1537/10000),MOD(INT($W1537/100),100),MOD($W1537,100)),""),INT($W1537)),IFERROR(DATE(--LEFT(LEFT(SUBSTITUTE(SUBSTITUTE(SUBSTITUTE(SUBSTITUTE(TRIM($W1537),"-",""),".",""),"/","")," ",""),8),4),--MID(LEFT(SUBSTITUTE(SUBSTITUTE(SUBSTITUTE(SUBSTITUTE(TRIM($W1537),"-",""),".",""),"/","")," ",""),8),5,2),--MID(LEFT(SUBSTITUTE(SUBSTITUTE(SUBSTITUTE(SUBSTITUTE(TRIM($W1537),"-",""),".",""),"/","")," ",""),8),7,2)),"")))</f>
        <v/>
      </c>
      <c r="Y1537" s="32">
        <f>IF($X1537="","",INT($X1537))</f>
        <v/>
      </c>
      <c r="Z1537" s="33">
        <f>IF(OR($Y1537="",$D$6=""),"",IF(INDEX($A:$U,ROW(),$D$6)="",0,IF(ISNUMBER(INDEX($A:$U,ROW(),$D$6)),INDEX($A:$U,ROW(),$D$6),IFERROR(--SUBSTITUTE(SUBSTITUTE(TRIM(INDEX($A:$U,ROW(),$D$6)),",",""),"원",""),0))))</f>
        <v/>
      </c>
      <c r="AA1537" s="31">
        <f>IF($Y1537="","",TRIM(INDEX($A:$U,ROW(),$E$6)&amp;IF($F$6="",""," "&amp;INDEX($A:$U,ROW(),$F$6))))</f>
        <v/>
      </c>
      <c r="AB1537" s="31">
        <f>IF($AA1537="","",SUBSTITUTE(SUBSTITUTE(SUBSTITUTE(SUBSTITUTE(SUBSTITUTE(SUBSTITUTE(SUBSTITUTE(SUBSTITUTE(SUBSTITUTE($AA1537," ",""),"　",""),"(주)",""),"（주）",""),"㈜",""),"주식회사",""),"(유)",""),"（유）",""),"유한회사",""))</f>
        <v/>
      </c>
      <c r="AC1537" s="31">
        <f>IF(OR($Y1537="",N($Z1537)&lt;=0,$AB1537=""),0,IFERROR(LOOKUP(2,1/((거래처별!$AC$8:$AC$307&lt;&gt;"")*ISNUMBER(SEARCH(거래처별!$AC$8:$AC$307,$AB1537))),거래처별!$A$8:$A$307),IFERROR(LOOKUP(2,1/((거래처별!$AD$8:$AD$307&lt;&gt;"")*ISNUMBER(SEARCH(거래처별!$AD$8:$AD$307,$AB1537))),거래처별!$A$8:$A$307),IFERROR(LOOKUP(2,1/((거래처별!$AE$8:$AE$307&lt;&gt;"")*ISNUMBER(SEARCH(거래처별!$AE$8:$AE$307,$AB1537))),거래처별!$A$8:$A$307),0))))</f>
        <v/>
      </c>
      <c r="AD1537" s="31">
        <f>IF(AND($Y1537&lt;&gt;"",N($Z1537)&gt;0,$AC1537=0),MAX($AD$7:$AD1536)+1,"")</f>
        <v/>
      </c>
      <c r="AE1537" s="31">
        <f>IF($Y1537="",0,$Y1537)</f>
        <v/>
      </c>
    </row>
    <row r="1538">
      <c r="W1538" s="31">
        <f>IF(OR($B$5="",$C$6="",ROW()&lt;$B$5),"",IF(INDEX($A:$U,ROW(),$C$6)="","",INDEX($A:$U,ROW(),$C$6)))</f>
        <v/>
      </c>
      <c r="X1538" s="32">
        <f>IF($W1538="","",IF(ISNUMBER($W1538),IF($W1538&gt;=10000000,IFERROR(DATE(INT($W1538/10000),MOD(INT($W1538/100),100),MOD($W1538,100)),""),INT($W1538)),IFERROR(DATE(--LEFT(LEFT(SUBSTITUTE(SUBSTITUTE(SUBSTITUTE(SUBSTITUTE(TRIM($W1538),"-",""),".",""),"/","")," ",""),8),4),--MID(LEFT(SUBSTITUTE(SUBSTITUTE(SUBSTITUTE(SUBSTITUTE(TRIM($W1538),"-",""),".",""),"/","")," ",""),8),5,2),--MID(LEFT(SUBSTITUTE(SUBSTITUTE(SUBSTITUTE(SUBSTITUTE(TRIM($W1538),"-",""),".",""),"/","")," ",""),8),7,2)),"")))</f>
        <v/>
      </c>
      <c r="Y1538" s="32">
        <f>IF($X1538="","",INT($X1538))</f>
        <v/>
      </c>
      <c r="Z1538" s="33">
        <f>IF(OR($Y1538="",$D$6=""),"",IF(INDEX($A:$U,ROW(),$D$6)="",0,IF(ISNUMBER(INDEX($A:$U,ROW(),$D$6)),INDEX($A:$U,ROW(),$D$6),IFERROR(--SUBSTITUTE(SUBSTITUTE(TRIM(INDEX($A:$U,ROW(),$D$6)),",",""),"원",""),0))))</f>
        <v/>
      </c>
      <c r="AA1538" s="31">
        <f>IF($Y1538="","",TRIM(INDEX($A:$U,ROW(),$E$6)&amp;IF($F$6="",""," "&amp;INDEX($A:$U,ROW(),$F$6))))</f>
        <v/>
      </c>
      <c r="AB1538" s="31">
        <f>IF($AA1538="","",SUBSTITUTE(SUBSTITUTE(SUBSTITUTE(SUBSTITUTE(SUBSTITUTE(SUBSTITUTE(SUBSTITUTE(SUBSTITUTE(SUBSTITUTE($AA1538," ",""),"　",""),"(주)",""),"（주）",""),"㈜",""),"주식회사",""),"(유)",""),"（유）",""),"유한회사",""))</f>
        <v/>
      </c>
      <c r="AC1538" s="31">
        <f>IF(OR($Y1538="",N($Z1538)&lt;=0,$AB1538=""),0,IFERROR(LOOKUP(2,1/((거래처별!$AC$8:$AC$307&lt;&gt;"")*ISNUMBER(SEARCH(거래처별!$AC$8:$AC$307,$AB1538))),거래처별!$A$8:$A$307),IFERROR(LOOKUP(2,1/((거래처별!$AD$8:$AD$307&lt;&gt;"")*ISNUMBER(SEARCH(거래처별!$AD$8:$AD$307,$AB1538))),거래처별!$A$8:$A$307),IFERROR(LOOKUP(2,1/((거래처별!$AE$8:$AE$307&lt;&gt;"")*ISNUMBER(SEARCH(거래처별!$AE$8:$AE$307,$AB1538))),거래처별!$A$8:$A$307),0))))</f>
        <v/>
      </c>
      <c r="AD1538" s="31">
        <f>IF(AND($Y1538&lt;&gt;"",N($Z1538)&gt;0,$AC1538=0),MAX($AD$7:$AD1537)+1,"")</f>
        <v/>
      </c>
      <c r="AE1538" s="31">
        <f>IF($Y1538="",0,$Y1538)</f>
        <v/>
      </c>
    </row>
    <row r="1539">
      <c r="W1539" s="31">
        <f>IF(OR($B$5="",$C$6="",ROW()&lt;$B$5),"",IF(INDEX($A:$U,ROW(),$C$6)="","",INDEX($A:$U,ROW(),$C$6)))</f>
        <v/>
      </c>
      <c r="X1539" s="32">
        <f>IF($W1539="","",IF(ISNUMBER($W1539),IF($W1539&gt;=10000000,IFERROR(DATE(INT($W1539/10000),MOD(INT($W1539/100),100),MOD($W1539,100)),""),INT($W1539)),IFERROR(DATE(--LEFT(LEFT(SUBSTITUTE(SUBSTITUTE(SUBSTITUTE(SUBSTITUTE(TRIM($W1539),"-",""),".",""),"/","")," ",""),8),4),--MID(LEFT(SUBSTITUTE(SUBSTITUTE(SUBSTITUTE(SUBSTITUTE(TRIM($W1539),"-",""),".",""),"/","")," ",""),8),5,2),--MID(LEFT(SUBSTITUTE(SUBSTITUTE(SUBSTITUTE(SUBSTITUTE(TRIM($W1539),"-",""),".",""),"/","")," ",""),8),7,2)),"")))</f>
        <v/>
      </c>
      <c r="Y1539" s="32">
        <f>IF($X1539="","",INT($X1539))</f>
        <v/>
      </c>
      <c r="Z1539" s="33">
        <f>IF(OR($Y1539="",$D$6=""),"",IF(INDEX($A:$U,ROW(),$D$6)="",0,IF(ISNUMBER(INDEX($A:$U,ROW(),$D$6)),INDEX($A:$U,ROW(),$D$6),IFERROR(--SUBSTITUTE(SUBSTITUTE(TRIM(INDEX($A:$U,ROW(),$D$6)),",",""),"원",""),0))))</f>
        <v/>
      </c>
      <c r="AA1539" s="31">
        <f>IF($Y1539="","",TRIM(INDEX($A:$U,ROW(),$E$6)&amp;IF($F$6="",""," "&amp;INDEX($A:$U,ROW(),$F$6))))</f>
        <v/>
      </c>
      <c r="AB1539" s="31">
        <f>IF($AA1539="","",SUBSTITUTE(SUBSTITUTE(SUBSTITUTE(SUBSTITUTE(SUBSTITUTE(SUBSTITUTE(SUBSTITUTE(SUBSTITUTE(SUBSTITUTE($AA1539," ",""),"　",""),"(주)",""),"（주）",""),"㈜",""),"주식회사",""),"(유)",""),"（유）",""),"유한회사",""))</f>
        <v/>
      </c>
      <c r="AC1539" s="31">
        <f>IF(OR($Y1539="",N($Z1539)&lt;=0,$AB1539=""),0,IFERROR(LOOKUP(2,1/((거래처별!$AC$8:$AC$307&lt;&gt;"")*ISNUMBER(SEARCH(거래처별!$AC$8:$AC$307,$AB1539))),거래처별!$A$8:$A$307),IFERROR(LOOKUP(2,1/((거래처별!$AD$8:$AD$307&lt;&gt;"")*ISNUMBER(SEARCH(거래처별!$AD$8:$AD$307,$AB1539))),거래처별!$A$8:$A$307),IFERROR(LOOKUP(2,1/((거래처별!$AE$8:$AE$307&lt;&gt;"")*ISNUMBER(SEARCH(거래처별!$AE$8:$AE$307,$AB1539))),거래처별!$A$8:$A$307),0))))</f>
        <v/>
      </c>
      <c r="AD1539" s="31">
        <f>IF(AND($Y1539&lt;&gt;"",N($Z1539)&gt;0,$AC1539=0),MAX($AD$7:$AD1538)+1,"")</f>
        <v/>
      </c>
      <c r="AE1539" s="31">
        <f>IF($Y1539="",0,$Y1539)</f>
        <v/>
      </c>
    </row>
    <row r="1540">
      <c r="W1540" s="31">
        <f>IF(OR($B$5="",$C$6="",ROW()&lt;$B$5),"",IF(INDEX($A:$U,ROW(),$C$6)="","",INDEX($A:$U,ROW(),$C$6)))</f>
        <v/>
      </c>
      <c r="X1540" s="32">
        <f>IF($W1540="","",IF(ISNUMBER($W1540),IF($W1540&gt;=10000000,IFERROR(DATE(INT($W1540/10000),MOD(INT($W1540/100),100),MOD($W1540,100)),""),INT($W1540)),IFERROR(DATE(--LEFT(LEFT(SUBSTITUTE(SUBSTITUTE(SUBSTITUTE(SUBSTITUTE(TRIM($W1540),"-",""),".",""),"/","")," ",""),8),4),--MID(LEFT(SUBSTITUTE(SUBSTITUTE(SUBSTITUTE(SUBSTITUTE(TRIM($W1540),"-",""),".",""),"/","")," ",""),8),5,2),--MID(LEFT(SUBSTITUTE(SUBSTITUTE(SUBSTITUTE(SUBSTITUTE(TRIM($W1540),"-",""),".",""),"/","")," ",""),8),7,2)),"")))</f>
        <v/>
      </c>
      <c r="Y1540" s="32">
        <f>IF($X1540="","",INT($X1540))</f>
        <v/>
      </c>
      <c r="Z1540" s="33">
        <f>IF(OR($Y1540="",$D$6=""),"",IF(INDEX($A:$U,ROW(),$D$6)="",0,IF(ISNUMBER(INDEX($A:$U,ROW(),$D$6)),INDEX($A:$U,ROW(),$D$6),IFERROR(--SUBSTITUTE(SUBSTITUTE(TRIM(INDEX($A:$U,ROW(),$D$6)),",",""),"원",""),0))))</f>
        <v/>
      </c>
      <c r="AA1540" s="31">
        <f>IF($Y1540="","",TRIM(INDEX($A:$U,ROW(),$E$6)&amp;IF($F$6="",""," "&amp;INDEX($A:$U,ROW(),$F$6))))</f>
        <v/>
      </c>
      <c r="AB1540" s="31">
        <f>IF($AA1540="","",SUBSTITUTE(SUBSTITUTE(SUBSTITUTE(SUBSTITUTE(SUBSTITUTE(SUBSTITUTE(SUBSTITUTE(SUBSTITUTE(SUBSTITUTE($AA1540," ",""),"　",""),"(주)",""),"（주）",""),"㈜",""),"주식회사",""),"(유)",""),"（유）",""),"유한회사",""))</f>
        <v/>
      </c>
      <c r="AC1540" s="31">
        <f>IF(OR($Y1540="",N($Z1540)&lt;=0,$AB1540=""),0,IFERROR(LOOKUP(2,1/((거래처별!$AC$8:$AC$307&lt;&gt;"")*ISNUMBER(SEARCH(거래처별!$AC$8:$AC$307,$AB1540))),거래처별!$A$8:$A$307),IFERROR(LOOKUP(2,1/((거래처별!$AD$8:$AD$307&lt;&gt;"")*ISNUMBER(SEARCH(거래처별!$AD$8:$AD$307,$AB1540))),거래처별!$A$8:$A$307),IFERROR(LOOKUP(2,1/((거래처별!$AE$8:$AE$307&lt;&gt;"")*ISNUMBER(SEARCH(거래처별!$AE$8:$AE$307,$AB1540))),거래처별!$A$8:$A$307),0))))</f>
        <v/>
      </c>
      <c r="AD1540" s="31">
        <f>IF(AND($Y1540&lt;&gt;"",N($Z1540)&gt;0,$AC1540=0),MAX($AD$7:$AD1539)+1,"")</f>
        <v/>
      </c>
      <c r="AE1540" s="31">
        <f>IF($Y1540="",0,$Y1540)</f>
        <v/>
      </c>
    </row>
    <row r="1541">
      <c r="W1541" s="31">
        <f>IF(OR($B$5="",$C$6="",ROW()&lt;$B$5),"",IF(INDEX($A:$U,ROW(),$C$6)="","",INDEX($A:$U,ROW(),$C$6)))</f>
        <v/>
      </c>
      <c r="X1541" s="32">
        <f>IF($W1541="","",IF(ISNUMBER($W1541),IF($W1541&gt;=10000000,IFERROR(DATE(INT($W1541/10000),MOD(INT($W1541/100),100),MOD($W1541,100)),""),INT($W1541)),IFERROR(DATE(--LEFT(LEFT(SUBSTITUTE(SUBSTITUTE(SUBSTITUTE(SUBSTITUTE(TRIM($W1541),"-",""),".",""),"/","")," ",""),8),4),--MID(LEFT(SUBSTITUTE(SUBSTITUTE(SUBSTITUTE(SUBSTITUTE(TRIM($W1541),"-",""),".",""),"/","")," ",""),8),5,2),--MID(LEFT(SUBSTITUTE(SUBSTITUTE(SUBSTITUTE(SUBSTITUTE(TRIM($W1541),"-",""),".",""),"/","")," ",""),8),7,2)),"")))</f>
        <v/>
      </c>
      <c r="Y1541" s="32">
        <f>IF($X1541="","",INT($X1541))</f>
        <v/>
      </c>
      <c r="Z1541" s="33">
        <f>IF(OR($Y1541="",$D$6=""),"",IF(INDEX($A:$U,ROW(),$D$6)="",0,IF(ISNUMBER(INDEX($A:$U,ROW(),$D$6)),INDEX($A:$U,ROW(),$D$6),IFERROR(--SUBSTITUTE(SUBSTITUTE(TRIM(INDEX($A:$U,ROW(),$D$6)),",",""),"원",""),0))))</f>
        <v/>
      </c>
      <c r="AA1541" s="31">
        <f>IF($Y1541="","",TRIM(INDEX($A:$U,ROW(),$E$6)&amp;IF($F$6="",""," "&amp;INDEX($A:$U,ROW(),$F$6))))</f>
        <v/>
      </c>
      <c r="AB1541" s="31">
        <f>IF($AA1541="","",SUBSTITUTE(SUBSTITUTE(SUBSTITUTE(SUBSTITUTE(SUBSTITUTE(SUBSTITUTE(SUBSTITUTE(SUBSTITUTE(SUBSTITUTE($AA1541," ",""),"　",""),"(주)",""),"（주）",""),"㈜",""),"주식회사",""),"(유)",""),"（유）",""),"유한회사",""))</f>
        <v/>
      </c>
      <c r="AC1541" s="31">
        <f>IF(OR($Y1541="",N($Z1541)&lt;=0,$AB1541=""),0,IFERROR(LOOKUP(2,1/((거래처별!$AC$8:$AC$307&lt;&gt;"")*ISNUMBER(SEARCH(거래처별!$AC$8:$AC$307,$AB1541))),거래처별!$A$8:$A$307),IFERROR(LOOKUP(2,1/((거래처별!$AD$8:$AD$307&lt;&gt;"")*ISNUMBER(SEARCH(거래처별!$AD$8:$AD$307,$AB1541))),거래처별!$A$8:$A$307),IFERROR(LOOKUP(2,1/((거래처별!$AE$8:$AE$307&lt;&gt;"")*ISNUMBER(SEARCH(거래처별!$AE$8:$AE$307,$AB1541))),거래처별!$A$8:$A$307),0))))</f>
        <v/>
      </c>
      <c r="AD1541" s="31">
        <f>IF(AND($Y1541&lt;&gt;"",N($Z1541)&gt;0,$AC1541=0),MAX($AD$7:$AD1540)+1,"")</f>
        <v/>
      </c>
      <c r="AE1541" s="31">
        <f>IF($Y1541="",0,$Y1541)</f>
        <v/>
      </c>
    </row>
    <row r="1542">
      <c r="W1542" s="31">
        <f>IF(OR($B$5="",$C$6="",ROW()&lt;$B$5),"",IF(INDEX($A:$U,ROW(),$C$6)="","",INDEX($A:$U,ROW(),$C$6)))</f>
        <v/>
      </c>
      <c r="X1542" s="32">
        <f>IF($W1542="","",IF(ISNUMBER($W1542),IF($W1542&gt;=10000000,IFERROR(DATE(INT($W1542/10000),MOD(INT($W1542/100),100),MOD($W1542,100)),""),INT($W1542)),IFERROR(DATE(--LEFT(LEFT(SUBSTITUTE(SUBSTITUTE(SUBSTITUTE(SUBSTITUTE(TRIM($W1542),"-",""),".",""),"/","")," ",""),8),4),--MID(LEFT(SUBSTITUTE(SUBSTITUTE(SUBSTITUTE(SUBSTITUTE(TRIM($W1542),"-",""),".",""),"/","")," ",""),8),5,2),--MID(LEFT(SUBSTITUTE(SUBSTITUTE(SUBSTITUTE(SUBSTITUTE(TRIM($W1542),"-",""),".",""),"/","")," ",""),8),7,2)),"")))</f>
        <v/>
      </c>
      <c r="Y1542" s="32">
        <f>IF($X1542="","",INT($X1542))</f>
        <v/>
      </c>
      <c r="Z1542" s="33">
        <f>IF(OR($Y1542="",$D$6=""),"",IF(INDEX($A:$U,ROW(),$D$6)="",0,IF(ISNUMBER(INDEX($A:$U,ROW(),$D$6)),INDEX($A:$U,ROW(),$D$6),IFERROR(--SUBSTITUTE(SUBSTITUTE(TRIM(INDEX($A:$U,ROW(),$D$6)),",",""),"원",""),0))))</f>
        <v/>
      </c>
      <c r="AA1542" s="31">
        <f>IF($Y1542="","",TRIM(INDEX($A:$U,ROW(),$E$6)&amp;IF($F$6="",""," "&amp;INDEX($A:$U,ROW(),$F$6))))</f>
        <v/>
      </c>
      <c r="AB1542" s="31">
        <f>IF($AA1542="","",SUBSTITUTE(SUBSTITUTE(SUBSTITUTE(SUBSTITUTE(SUBSTITUTE(SUBSTITUTE(SUBSTITUTE(SUBSTITUTE(SUBSTITUTE($AA1542," ",""),"　",""),"(주)",""),"（주）",""),"㈜",""),"주식회사",""),"(유)",""),"（유）",""),"유한회사",""))</f>
        <v/>
      </c>
      <c r="AC1542" s="31">
        <f>IF(OR($Y1542="",N($Z1542)&lt;=0,$AB1542=""),0,IFERROR(LOOKUP(2,1/((거래처별!$AC$8:$AC$307&lt;&gt;"")*ISNUMBER(SEARCH(거래처별!$AC$8:$AC$307,$AB1542))),거래처별!$A$8:$A$307),IFERROR(LOOKUP(2,1/((거래처별!$AD$8:$AD$307&lt;&gt;"")*ISNUMBER(SEARCH(거래처별!$AD$8:$AD$307,$AB1542))),거래처별!$A$8:$A$307),IFERROR(LOOKUP(2,1/((거래처별!$AE$8:$AE$307&lt;&gt;"")*ISNUMBER(SEARCH(거래처별!$AE$8:$AE$307,$AB1542))),거래처별!$A$8:$A$307),0))))</f>
        <v/>
      </c>
      <c r="AD1542" s="31">
        <f>IF(AND($Y1542&lt;&gt;"",N($Z1542)&gt;0,$AC1542=0),MAX($AD$7:$AD1541)+1,"")</f>
        <v/>
      </c>
      <c r="AE1542" s="31">
        <f>IF($Y1542="",0,$Y1542)</f>
        <v/>
      </c>
    </row>
    <row r="1543">
      <c r="W1543" s="31">
        <f>IF(OR($B$5="",$C$6="",ROW()&lt;$B$5),"",IF(INDEX($A:$U,ROW(),$C$6)="","",INDEX($A:$U,ROW(),$C$6)))</f>
        <v/>
      </c>
      <c r="X1543" s="32">
        <f>IF($W1543="","",IF(ISNUMBER($W1543),IF($W1543&gt;=10000000,IFERROR(DATE(INT($W1543/10000),MOD(INT($W1543/100),100),MOD($W1543,100)),""),INT($W1543)),IFERROR(DATE(--LEFT(LEFT(SUBSTITUTE(SUBSTITUTE(SUBSTITUTE(SUBSTITUTE(TRIM($W1543),"-",""),".",""),"/","")," ",""),8),4),--MID(LEFT(SUBSTITUTE(SUBSTITUTE(SUBSTITUTE(SUBSTITUTE(TRIM($W1543),"-",""),".",""),"/","")," ",""),8),5,2),--MID(LEFT(SUBSTITUTE(SUBSTITUTE(SUBSTITUTE(SUBSTITUTE(TRIM($W1543),"-",""),".",""),"/","")," ",""),8),7,2)),"")))</f>
        <v/>
      </c>
      <c r="Y1543" s="32">
        <f>IF($X1543="","",INT($X1543))</f>
        <v/>
      </c>
      <c r="Z1543" s="33">
        <f>IF(OR($Y1543="",$D$6=""),"",IF(INDEX($A:$U,ROW(),$D$6)="",0,IF(ISNUMBER(INDEX($A:$U,ROW(),$D$6)),INDEX($A:$U,ROW(),$D$6),IFERROR(--SUBSTITUTE(SUBSTITUTE(TRIM(INDEX($A:$U,ROW(),$D$6)),",",""),"원",""),0))))</f>
        <v/>
      </c>
      <c r="AA1543" s="31">
        <f>IF($Y1543="","",TRIM(INDEX($A:$U,ROW(),$E$6)&amp;IF($F$6="",""," "&amp;INDEX($A:$U,ROW(),$F$6))))</f>
        <v/>
      </c>
      <c r="AB1543" s="31">
        <f>IF($AA1543="","",SUBSTITUTE(SUBSTITUTE(SUBSTITUTE(SUBSTITUTE(SUBSTITUTE(SUBSTITUTE(SUBSTITUTE(SUBSTITUTE(SUBSTITUTE($AA1543," ",""),"　",""),"(주)",""),"（주）",""),"㈜",""),"주식회사",""),"(유)",""),"（유）",""),"유한회사",""))</f>
        <v/>
      </c>
      <c r="AC1543" s="31">
        <f>IF(OR($Y1543="",N($Z1543)&lt;=0,$AB1543=""),0,IFERROR(LOOKUP(2,1/((거래처별!$AC$8:$AC$307&lt;&gt;"")*ISNUMBER(SEARCH(거래처별!$AC$8:$AC$307,$AB1543))),거래처별!$A$8:$A$307),IFERROR(LOOKUP(2,1/((거래처별!$AD$8:$AD$307&lt;&gt;"")*ISNUMBER(SEARCH(거래처별!$AD$8:$AD$307,$AB1543))),거래처별!$A$8:$A$307),IFERROR(LOOKUP(2,1/((거래처별!$AE$8:$AE$307&lt;&gt;"")*ISNUMBER(SEARCH(거래처별!$AE$8:$AE$307,$AB1543))),거래처별!$A$8:$A$307),0))))</f>
        <v/>
      </c>
      <c r="AD1543" s="31">
        <f>IF(AND($Y1543&lt;&gt;"",N($Z1543)&gt;0,$AC1543=0),MAX($AD$7:$AD1542)+1,"")</f>
        <v/>
      </c>
      <c r="AE1543" s="31">
        <f>IF($Y1543="",0,$Y1543)</f>
        <v/>
      </c>
    </row>
    <row r="1544">
      <c r="W1544" s="31">
        <f>IF(OR($B$5="",$C$6="",ROW()&lt;$B$5),"",IF(INDEX($A:$U,ROW(),$C$6)="","",INDEX($A:$U,ROW(),$C$6)))</f>
        <v/>
      </c>
      <c r="X1544" s="32">
        <f>IF($W1544="","",IF(ISNUMBER($W1544),IF($W1544&gt;=10000000,IFERROR(DATE(INT($W1544/10000),MOD(INT($W1544/100),100),MOD($W1544,100)),""),INT($W1544)),IFERROR(DATE(--LEFT(LEFT(SUBSTITUTE(SUBSTITUTE(SUBSTITUTE(SUBSTITUTE(TRIM($W1544),"-",""),".",""),"/","")," ",""),8),4),--MID(LEFT(SUBSTITUTE(SUBSTITUTE(SUBSTITUTE(SUBSTITUTE(TRIM($W1544),"-",""),".",""),"/","")," ",""),8),5,2),--MID(LEFT(SUBSTITUTE(SUBSTITUTE(SUBSTITUTE(SUBSTITUTE(TRIM($W1544),"-",""),".",""),"/","")," ",""),8),7,2)),"")))</f>
        <v/>
      </c>
      <c r="Y1544" s="32">
        <f>IF($X1544="","",INT($X1544))</f>
        <v/>
      </c>
      <c r="Z1544" s="33">
        <f>IF(OR($Y1544="",$D$6=""),"",IF(INDEX($A:$U,ROW(),$D$6)="",0,IF(ISNUMBER(INDEX($A:$U,ROW(),$D$6)),INDEX($A:$U,ROW(),$D$6),IFERROR(--SUBSTITUTE(SUBSTITUTE(TRIM(INDEX($A:$U,ROW(),$D$6)),",",""),"원",""),0))))</f>
        <v/>
      </c>
      <c r="AA1544" s="31">
        <f>IF($Y1544="","",TRIM(INDEX($A:$U,ROW(),$E$6)&amp;IF($F$6="",""," "&amp;INDEX($A:$U,ROW(),$F$6))))</f>
        <v/>
      </c>
      <c r="AB1544" s="31">
        <f>IF($AA1544="","",SUBSTITUTE(SUBSTITUTE(SUBSTITUTE(SUBSTITUTE(SUBSTITUTE(SUBSTITUTE(SUBSTITUTE(SUBSTITUTE(SUBSTITUTE($AA1544," ",""),"　",""),"(주)",""),"（주）",""),"㈜",""),"주식회사",""),"(유)",""),"（유）",""),"유한회사",""))</f>
        <v/>
      </c>
      <c r="AC1544" s="31">
        <f>IF(OR($Y1544="",N($Z1544)&lt;=0,$AB1544=""),0,IFERROR(LOOKUP(2,1/((거래처별!$AC$8:$AC$307&lt;&gt;"")*ISNUMBER(SEARCH(거래처별!$AC$8:$AC$307,$AB1544))),거래처별!$A$8:$A$307),IFERROR(LOOKUP(2,1/((거래처별!$AD$8:$AD$307&lt;&gt;"")*ISNUMBER(SEARCH(거래처별!$AD$8:$AD$307,$AB1544))),거래처별!$A$8:$A$307),IFERROR(LOOKUP(2,1/((거래처별!$AE$8:$AE$307&lt;&gt;"")*ISNUMBER(SEARCH(거래처별!$AE$8:$AE$307,$AB1544))),거래처별!$A$8:$A$307),0))))</f>
        <v/>
      </c>
      <c r="AD1544" s="31">
        <f>IF(AND($Y1544&lt;&gt;"",N($Z1544)&gt;0,$AC1544=0),MAX($AD$7:$AD1543)+1,"")</f>
        <v/>
      </c>
      <c r="AE1544" s="31">
        <f>IF($Y1544="",0,$Y1544)</f>
        <v/>
      </c>
    </row>
    <row r="1545">
      <c r="W1545" s="31">
        <f>IF(OR($B$5="",$C$6="",ROW()&lt;$B$5),"",IF(INDEX($A:$U,ROW(),$C$6)="","",INDEX($A:$U,ROW(),$C$6)))</f>
        <v/>
      </c>
      <c r="X1545" s="32">
        <f>IF($W1545="","",IF(ISNUMBER($W1545),IF($W1545&gt;=10000000,IFERROR(DATE(INT($W1545/10000),MOD(INT($W1545/100),100),MOD($W1545,100)),""),INT($W1545)),IFERROR(DATE(--LEFT(LEFT(SUBSTITUTE(SUBSTITUTE(SUBSTITUTE(SUBSTITUTE(TRIM($W1545),"-",""),".",""),"/","")," ",""),8),4),--MID(LEFT(SUBSTITUTE(SUBSTITUTE(SUBSTITUTE(SUBSTITUTE(TRIM($W1545),"-",""),".",""),"/","")," ",""),8),5,2),--MID(LEFT(SUBSTITUTE(SUBSTITUTE(SUBSTITUTE(SUBSTITUTE(TRIM($W1545),"-",""),".",""),"/","")," ",""),8),7,2)),"")))</f>
        <v/>
      </c>
      <c r="Y1545" s="32">
        <f>IF($X1545="","",INT($X1545))</f>
        <v/>
      </c>
      <c r="Z1545" s="33">
        <f>IF(OR($Y1545="",$D$6=""),"",IF(INDEX($A:$U,ROW(),$D$6)="",0,IF(ISNUMBER(INDEX($A:$U,ROW(),$D$6)),INDEX($A:$U,ROW(),$D$6),IFERROR(--SUBSTITUTE(SUBSTITUTE(TRIM(INDEX($A:$U,ROW(),$D$6)),",",""),"원",""),0))))</f>
        <v/>
      </c>
      <c r="AA1545" s="31">
        <f>IF($Y1545="","",TRIM(INDEX($A:$U,ROW(),$E$6)&amp;IF($F$6="",""," "&amp;INDEX($A:$U,ROW(),$F$6))))</f>
        <v/>
      </c>
      <c r="AB1545" s="31">
        <f>IF($AA1545="","",SUBSTITUTE(SUBSTITUTE(SUBSTITUTE(SUBSTITUTE(SUBSTITUTE(SUBSTITUTE(SUBSTITUTE(SUBSTITUTE(SUBSTITUTE($AA1545," ",""),"　",""),"(주)",""),"（주）",""),"㈜",""),"주식회사",""),"(유)",""),"（유）",""),"유한회사",""))</f>
        <v/>
      </c>
      <c r="AC1545" s="31">
        <f>IF(OR($Y1545="",N($Z1545)&lt;=0,$AB1545=""),0,IFERROR(LOOKUP(2,1/((거래처별!$AC$8:$AC$307&lt;&gt;"")*ISNUMBER(SEARCH(거래처별!$AC$8:$AC$307,$AB1545))),거래처별!$A$8:$A$307),IFERROR(LOOKUP(2,1/((거래처별!$AD$8:$AD$307&lt;&gt;"")*ISNUMBER(SEARCH(거래처별!$AD$8:$AD$307,$AB1545))),거래처별!$A$8:$A$307),IFERROR(LOOKUP(2,1/((거래처별!$AE$8:$AE$307&lt;&gt;"")*ISNUMBER(SEARCH(거래처별!$AE$8:$AE$307,$AB1545))),거래처별!$A$8:$A$307),0))))</f>
        <v/>
      </c>
      <c r="AD1545" s="31">
        <f>IF(AND($Y1545&lt;&gt;"",N($Z1545)&gt;0,$AC1545=0),MAX($AD$7:$AD1544)+1,"")</f>
        <v/>
      </c>
      <c r="AE1545" s="31">
        <f>IF($Y1545="",0,$Y1545)</f>
        <v/>
      </c>
    </row>
    <row r="1546">
      <c r="W1546" s="31">
        <f>IF(OR($B$5="",$C$6="",ROW()&lt;$B$5),"",IF(INDEX($A:$U,ROW(),$C$6)="","",INDEX($A:$U,ROW(),$C$6)))</f>
        <v/>
      </c>
      <c r="X1546" s="32">
        <f>IF($W1546="","",IF(ISNUMBER($W1546),IF($W1546&gt;=10000000,IFERROR(DATE(INT($W1546/10000),MOD(INT($W1546/100),100),MOD($W1546,100)),""),INT($W1546)),IFERROR(DATE(--LEFT(LEFT(SUBSTITUTE(SUBSTITUTE(SUBSTITUTE(SUBSTITUTE(TRIM($W1546),"-",""),".",""),"/","")," ",""),8),4),--MID(LEFT(SUBSTITUTE(SUBSTITUTE(SUBSTITUTE(SUBSTITUTE(TRIM($W1546),"-",""),".",""),"/","")," ",""),8),5,2),--MID(LEFT(SUBSTITUTE(SUBSTITUTE(SUBSTITUTE(SUBSTITUTE(TRIM($W1546),"-",""),".",""),"/","")," ",""),8),7,2)),"")))</f>
        <v/>
      </c>
      <c r="Y1546" s="32">
        <f>IF($X1546="","",INT($X1546))</f>
        <v/>
      </c>
      <c r="Z1546" s="33">
        <f>IF(OR($Y1546="",$D$6=""),"",IF(INDEX($A:$U,ROW(),$D$6)="",0,IF(ISNUMBER(INDEX($A:$U,ROW(),$D$6)),INDEX($A:$U,ROW(),$D$6),IFERROR(--SUBSTITUTE(SUBSTITUTE(TRIM(INDEX($A:$U,ROW(),$D$6)),",",""),"원",""),0))))</f>
        <v/>
      </c>
      <c r="AA1546" s="31">
        <f>IF($Y1546="","",TRIM(INDEX($A:$U,ROW(),$E$6)&amp;IF($F$6="",""," "&amp;INDEX($A:$U,ROW(),$F$6))))</f>
        <v/>
      </c>
      <c r="AB1546" s="31">
        <f>IF($AA1546="","",SUBSTITUTE(SUBSTITUTE(SUBSTITUTE(SUBSTITUTE(SUBSTITUTE(SUBSTITUTE(SUBSTITUTE(SUBSTITUTE(SUBSTITUTE($AA1546," ",""),"　",""),"(주)",""),"（주）",""),"㈜",""),"주식회사",""),"(유)",""),"（유）",""),"유한회사",""))</f>
        <v/>
      </c>
      <c r="AC1546" s="31">
        <f>IF(OR($Y1546="",N($Z1546)&lt;=0,$AB1546=""),0,IFERROR(LOOKUP(2,1/((거래처별!$AC$8:$AC$307&lt;&gt;"")*ISNUMBER(SEARCH(거래처별!$AC$8:$AC$307,$AB1546))),거래처별!$A$8:$A$307),IFERROR(LOOKUP(2,1/((거래처별!$AD$8:$AD$307&lt;&gt;"")*ISNUMBER(SEARCH(거래처별!$AD$8:$AD$307,$AB1546))),거래처별!$A$8:$A$307),IFERROR(LOOKUP(2,1/((거래처별!$AE$8:$AE$307&lt;&gt;"")*ISNUMBER(SEARCH(거래처별!$AE$8:$AE$307,$AB1546))),거래처별!$A$8:$A$307),0))))</f>
        <v/>
      </c>
      <c r="AD1546" s="31">
        <f>IF(AND($Y1546&lt;&gt;"",N($Z1546)&gt;0,$AC1546=0),MAX($AD$7:$AD1545)+1,"")</f>
        <v/>
      </c>
      <c r="AE1546" s="31">
        <f>IF($Y1546="",0,$Y1546)</f>
        <v/>
      </c>
    </row>
    <row r="1547">
      <c r="W1547" s="31">
        <f>IF(OR($B$5="",$C$6="",ROW()&lt;$B$5),"",IF(INDEX($A:$U,ROW(),$C$6)="","",INDEX($A:$U,ROW(),$C$6)))</f>
        <v/>
      </c>
      <c r="X1547" s="32">
        <f>IF($W1547="","",IF(ISNUMBER($W1547),IF($W1547&gt;=10000000,IFERROR(DATE(INT($W1547/10000),MOD(INT($W1547/100),100),MOD($W1547,100)),""),INT($W1547)),IFERROR(DATE(--LEFT(LEFT(SUBSTITUTE(SUBSTITUTE(SUBSTITUTE(SUBSTITUTE(TRIM($W1547),"-",""),".",""),"/","")," ",""),8),4),--MID(LEFT(SUBSTITUTE(SUBSTITUTE(SUBSTITUTE(SUBSTITUTE(TRIM($W1547),"-",""),".",""),"/","")," ",""),8),5,2),--MID(LEFT(SUBSTITUTE(SUBSTITUTE(SUBSTITUTE(SUBSTITUTE(TRIM($W1547),"-",""),".",""),"/","")," ",""),8),7,2)),"")))</f>
        <v/>
      </c>
      <c r="Y1547" s="32">
        <f>IF($X1547="","",INT($X1547))</f>
        <v/>
      </c>
      <c r="Z1547" s="33">
        <f>IF(OR($Y1547="",$D$6=""),"",IF(INDEX($A:$U,ROW(),$D$6)="",0,IF(ISNUMBER(INDEX($A:$U,ROW(),$D$6)),INDEX($A:$U,ROW(),$D$6),IFERROR(--SUBSTITUTE(SUBSTITUTE(TRIM(INDEX($A:$U,ROW(),$D$6)),",",""),"원",""),0))))</f>
        <v/>
      </c>
      <c r="AA1547" s="31">
        <f>IF($Y1547="","",TRIM(INDEX($A:$U,ROW(),$E$6)&amp;IF($F$6="",""," "&amp;INDEX($A:$U,ROW(),$F$6))))</f>
        <v/>
      </c>
      <c r="AB1547" s="31">
        <f>IF($AA1547="","",SUBSTITUTE(SUBSTITUTE(SUBSTITUTE(SUBSTITUTE(SUBSTITUTE(SUBSTITUTE(SUBSTITUTE(SUBSTITUTE(SUBSTITUTE($AA1547," ",""),"　",""),"(주)",""),"（주）",""),"㈜",""),"주식회사",""),"(유)",""),"（유）",""),"유한회사",""))</f>
        <v/>
      </c>
      <c r="AC1547" s="31">
        <f>IF(OR($Y1547="",N($Z1547)&lt;=0,$AB1547=""),0,IFERROR(LOOKUP(2,1/((거래처별!$AC$8:$AC$307&lt;&gt;"")*ISNUMBER(SEARCH(거래처별!$AC$8:$AC$307,$AB1547))),거래처별!$A$8:$A$307),IFERROR(LOOKUP(2,1/((거래처별!$AD$8:$AD$307&lt;&gt;"")*ISNUMBER(SEARCH(거래처별!$AD$8:$AD$307,$AB1547))),거래처별!$A$8:$A$307),IFERROR(LOOKUP(2,1/((거래처별!$AE$8:$AE$307&lt;&gt;"")*ISNUMBER(SEARCH(거래처별!$AE$8:$AE$307,$AB1547))),거래처별!$A$8:$A$307),0))))</f>
        <v/>
      </c>
      <c r="AD1547" s="31">
        <f>IF(AND($Y1547&lt;&gt;"",N($Z1547)&gt;0,$AC1547=0),MAX($AD$7:$AD1546)+1,"")</f>
        <v/>
      </c>
      <c r="AE1547" s="31">
        <f>IF($Y1547="",0,$Y1547)</f>
        <v/>
      </c>
    </row>
    <row r="1548">
      <c r="W1548" s="31">
        <f>IF(OR($B$5="",$C$6="",ROW()&lt;$B$5),"",IF(INDEX($A:$U,ROW(),$C$6)="","",INDEX($A:$U,ROW(),$C$6)))</f>
        <v/>
      </c>
      <c r="X1548" s="32">
        <f>IF($W1548="","",IF(ISNUMBER($W1548),IF($W1548&gt;=10000000,IFERROR(DATE(INT($W1548/10000),MOD(INT($W1548/100),100),MOD($W1548,100)),""),INT($W1548)),IFERROR(DATE(--LEFT(LEFT(SUBSTITUTE(SUBSTITUTE(SUBSTITUTE(SUBSTITUTE(TRIM($W1548),"-",""),".",""),"/","")," ",""),8),4),--MID(LEFT(SUBSTITUTE(SUBSTITUTE(SUBSTITUTE(SUBSTITUTE(TRIM($W1548),"-",""),".",""),"/","")," ",""),8),5,2),--MID(LEFT(SUBSTITUTE(SUBSTITUTE(SUBSTITUTE(SUBSTITUTE(TRIM($W1548),"-",""),".",""),"/","")," ",""),8),7,2)),"")))</f>
        <v/>
      </c>
      <c r="Y1548" s="32">
        <f>IF($X1548="","",INT($X1548))</f>
        <v/>
      </c>
      <c r="Z1548" s="33">
        <f>IF(OR($Y1548="",$D$6=""),"",IF(INDEX($A:$U,ROW(),$D$6)="",0,IF(ISNUMBER(INDEX($A:$U,ROW(),$D$6)),INDEX($A:$U,ROW(),$D$6),IFERROR(--SUBSTITUTE(SUBSTITUTE(TRIM(INDEX($A:$U,ROW(),$D$6)),",",""),"원",""),0))))</f>
        <v/>
      </c>
      <c r="AA1548" s="31">
        <f>IF($Y1548="","",TRIM(INDEX($A:$U,ROW(),$E$6)&amp;IF($F$6="",""," "&amp;INDEX($A:$U,ROW(),$F$6))))</f>
        <v/>
      </c>
      <c r="AB1548" s="31">
        <f>IF($AA1548="","",SUBSTITUTE(SUBSTITUTE(SUBSTITUTE(SUBSTITUTE(SUBSTITUTE(SUBSTITUTE(SUBSTITUTE(SUBSTITUTE(SUBSTITUTE($AA1548," ",""),"　",""),"(주)",""),"（주）",""),"㈜",""),"주식회사",""),"(유)",""),"（유）",""),"유한회사",""))</f>
        <v/>
      </c>
      <c r="AC1548" s="31">
        <f>IF(OR($Y1548="",N($Z1548)&lt;=0,$AB1548=""),0,IFERROR(LOOKUP(2,1/((거래처별!$AC$8:$AC$307&lt;&gt;"")*ISNUMBER(SEARCH(거래처별!$AC$8:$AC$307,$AB1548))),거래처별!$A$8:$A$307),IFERROR(LOOKUP(2,1/((거래처별!$AD$8:$AD$307&lt;&gt;"")*ISNUMBER(SEARCH(거래처별!$AD$8:$AD$307,$AB1548))),거래처별!$A$8:$A$307),IFERROR(LOOKUP(2,1/((거래처별!$AE$8:$AE$307&lt;&gt;"")*ISNUMBER(SEARCH(거래처별!$AE$8:$AE$307,$AB1548))),거래처별!$A$8:$A$307),0))))</f>
        <v/>
      </c>
      <c r="AD1548" s="31">
        <f>IF(AND($Y1548&lt;&gt;"",N($Z1548)&gt;0,$AC1548=0),MAX($AD$7:$AD1547)+1,"")</f>
        <v/>
      </c>
      <c r="AE1548" s="31">
        <f>IF($Y1548="",0,$Y1548)</f>
        <v/>
      </c>
    </row>
    <row r="1549">
      <c r="W1549" s="31">
        <f>IF(OR($B$5="",$C$6="",ROW()&lt;$B$5),"",IF(INDEX($A:$U,ROW(),$C$6)="","",INDEX($A:$U,ROW(),$C$6)))</f>
        <v/>
      </c>
      <c r="X1549" s="32">
        <f>IF($W1549="","",IF(ISNUMBER($W1549),IF($W1549&gt;=10000000,IFERROR(DATE(INT($W1549/10000),MOD(INT($W1549/100),100),MOD($W1549,100)),""),INT($W1549)),IFERROR(DATE(--LEFT(LEFT(SUBSTITUTE(SUBSTITUTE(SUBSTITUTE(SUBSTITUTE(TRIM($W1549),"-",""),".",""),"/","")," ",""),8),4),--MID(LEFT(SUBSTITUTE(SUBSTITUTE(SUBSTITUTE(SUBSTITUTE(TRIM($W1549),"-",""),".",""),"/","")," ",""),8),5,2),--MID(LEFT(SUBSTITUTE(SUBSTITUTE(SUBSTITUTE(SUBSTITUTE(TRIM($W1549),"-",""),".",""),"/","")," ",""),8),7,2)),"")))</f>
        <v/>
      </c>
      <c r="Y1549" s="32">
        <f>IF($X1549="","",INT($X1549))</f>
        <v/>
      </c>
      <c r="Z1549" s="33">
        <f>IF(OR($Y1549="",$D$6=""),"",IF(INDEX($A:$U,ROW(),$D$6)="",0,IF(ISNUMBER(INDEX($A:$U,ROW(),$D$6)),INDEX($A:$U,ROW(),$D$6),IFERROR(--SUBSTITUTE(SUBSTITUTE(TRIM(INDEX($A:$U,ROW(),$D$6)),",",""),"원",""),0))))</f>
        <v/>
      </c>
      <c r="AA1549" s="31">
        <f>IF($Y1549="","",TRIM(INDEX($A:$U,ROW(),$E$6)&amp;IF($F$6="",""," "&amp;INDEX($A:$U,ROW(),$F$6))))</f>
        <v/>
      </c>
      <c r="AB1549" s="31">
        <f>IF($AA1549="","",SUBSTITUTE(SUBSTITUTE(SUBSTITUTE(SUBSTITUTE(SUBSTITUTE(SUBSTITUTE(SUBSTITUTE(SUBSTITUTE(SUBSTITUTE($AA1549," ",""),"　",""),"(주)",""),"（주）",""),"㈜",""),"주식회사",""),"(유)",""),"（유）",""),"유한회사",""))</f>
        <v/>
      </c>
      <c r="AC1549" s="31">
        <f>IF(OR($Y1549="",N($Z1549)&lt;=0,$AB1549=""),0,IFERROR(LOOKUP(2,1/((거래처별!$AC$8:$AC$307&lt;&gt;"")*ISNUMBER(SEARCH(거래처별!$AC$8:$AC$307,$AB1549))),거래처별!$A$8:$A$307),IFERROR(LOOKUP(2,1/((거래처별!$AD$8:$AD$307&lt;&gt;"")*ISNUMBER(SEARCH(거래처별!$AD$8:$AD$307,$AB1549))),거래처별!$A$8:$A$307),IFERROR(LOOKUP(2,1/((거래처별!$AE$8:$AE$307&lt;&gt;"")*ISNUMBER(SEARCH(거래처별!$AE$8:$AE$307,$AB1549))),거래처별!$A$8:$A$307),0))))</f>
        <v/>
      </c>
      <c r="AD1549" s="31">
        <f>IF(AND($Y1549&lt;&gt;"",N($Z1549)&gt;0,$AC1549=0),MAX($AD$7:$AD1548)+1,"")</f>
        <v/>
      </c>
      <c r="AE1549" s="31">
        <f>IF($Y1549="",0,$Y1549)</f>
        <v/>
      </c>
    </row>
    <row r="1550">
      <c r="W1550" s="31">
        <f>IF(OR($B$5="",$C$6="",ROW()&lt;$B$5),"",IF(INDEX($A:$U,ROW(),$C$6)="","",INDEX($A:$U,ROW(),$C$6)))</f>
        <v/>
      </c>
      <c r="X1550" s="32">
        <f>IF($W1550="","",IF(ISNUMBER($W1550),IF($W1550&gt;=10000000,IFERROR(DATE(INT($W1550/10000),MOD(INT($W1550/100),100),MOD($W1550,100)),""),INT($W1550)),IFERROR(DATE(--LEFT(LEFT(SUBSTITUTE(SUBSTITUTE(SUBSTITUTE(SUBSTITUTE(TRIM($W1550),"-",""),".",""),"/","")," ",""),8),4),--MID(LEFT(SUBSTITUTE(SUBSTITUTE(SUBSTITUTE(SUBSTITUTE(TRIM($W1550),"-",""),".",""),"/","")," ",""),8),5,2),--MID(LEFT(SUBSTITUTE(SUBSTITUTE(SUBSTITUTE(SUBSTITUTE(TRIM($W1550),"-",""),".",""),"/","")," ",""),8),7,2)),"")))</f>
        <v/>
      </c>
      <c r="Y1550" s="32">
        <f>IF($X1550="","",INT($X1550))</f>
        <v/>
      </c>
      <c r="Z1550" s="33">
        <f>IF(OR($Y1550="",$D$6=""),"",IF(INDEX($A:$U,ROW(),$D$6)="",0,IF(ISNUMBER(INDEX($A:$U,ROW(),$D$6)),INDEX($A:$U,ROW(),$D$6),IFERROR(--SUBSTITUTE(SUBSTITUTE(TRIM(INDEX($A:$U,ROW(),$D$6)),",",""),"원",""),0))))</f>
        <v/>
      </c>
      <c r="AA1550" s="31">
        <f>IF($Y1550="","",TRIM(INDEX($A:$U,ROW(),$E$6)&amp;IF($F$6="",""," "&amp;INDEX($A:$U,ROW(),$F$6))))</f>
        <v/>
      </c>
      <c r="AB1550" s="31">
        <f>IF($AA1550="","",SUBSTITUTE(SUBSTITUTE(SUBSTITUTE(SUBSTITUTE(SUBSTITUTE(SUBSTITUTE(SUBSTITUTE(SUBSTITUTE(SUBSTITUTE($AA1550," ",""),"　",""),"(주)",""),"（주）",""),"㈜",""),"주식회사",""),"(유)",""),"（유）",""),"유한회사",""))</f>
        <v/>
      </c>
      <c r="AC1550" s="31">
        <f>IF(OR($Y1550="",N($Z1550)&lt;=0,$AB1550=""),0,IFERROR(LOOKUP(2,1/((거래처별!$AC$8:$AC$307&lt;&gt;"")*ISNUMBER(SEARCH(거래처별!$AC$8:$AC$307,$AB1550))),거래처별!$A$8:$A$307),IFERROR(LOOKUP(2,1/((거래처별!$AD$8:$AD$307&lt;&gt;"")*ISNUMBER(SEARCH(거래처별!$AD$8:$AD$307,$AB1550))),거래처별!$A$8:$A$307),IFERROR(LOOKUP(2,1/((거래처별!$AE$8:$AE$307&lt;&gt;"")*ISNUMBER(SEARCH(거래처별!$AE$8:$AE$307,$AB1550))),거래처별!$A$8:$A$307),0))))</f>
        <v/>
      </c>
      <c r="AD1550" s="31">
        <f>IF(AND($Y1550&lt;&gt;"",N($Z1550)&gt;0,$AC1550=0),MAX($AD$7:$AD1549)+1,"")</f>
        <v/>
      </c>
      <c r="AE1550" s="31">
        <f>IF($Y1550="",0,$Y1550)</f>
        <v/>
      </c>
    </row>
    <row r="1551">
      <c r="W1551" s="31">
        <f>IF(OR($B$5="",$C$6="",ROW()&lt;$B$5),"",IF(INDEX($A:$U,ROW(),$C$6)="","",INDEX($A:$U,ROW(),$C$6)))</f>
        <v/>
      </c>
      <c r="X1551" s="32">
        <f>IF($W1551="","",IF(ISNUMBER($W1551),IF($W1551&gt;=10000000,IFERROR(DATE(INT($W1551/10000),MOD(INT($W1551/100),100),MOD($W1551,100)),""),INT($W1551)),IFERROR(DATE(--LEFT(LEFT(SUBSTITUTE(SUBSTITUTE(SUBSTITUTE(SUBSTITUTE(TRIM($W1551),"-",""),".",""),"/","")," ",""),8),4),--MID(LEFT(SUBSTITUTE(SUBSTITUTE(SUBSTITUTE(SUBSTITUTE(TRIM($W1551),"-",""),".",""),"/","")," ",""),8),5,2),--MID(LEFT(SUBSTITUTE(SUBSTITUTE(SUBSTITUTE(SUBSTITUTE(TRIM($W1551),"-",""),".",""),"/","")," ",""),8),7,2)),"")))</f>
        <v/>
      </c>
      <c r="Y1551" s="32">
        <f>IF($X1551="","",INT($X1551))</f>
        <v/>
      </c>
      <c r="Z1551" s="33">
        <f>IF(OR($Y1551="",$D$6=""),"",IF(INDEX($A:$U,ROW(),$D$6)="",0,IF(ISNUMBER(INDEX($A:$U,ROW(),$D$6)),INDEX($A:$U,ROW(),$D$6),IFERROR(--SUBSTITUTE(SUBSTITUTE(TRIM(INDEX($A:$U,ROW(),$D$6)),",",""),"원",""),0))))</f>
        <v/>
      </c>
      <c r="AA1551" s="31">
        <f>IF($Y1551="","",TRIM(INDEX($A:$U,ROW(),$E$6)&amp;IF($F$6="",""," "&amp;INDEX($A:$U,ROW(),$F$6))))</f>
        <v/>
      </c>
      <c r="AB1551" s="31">
        <f>IF($AA1551="","",SUBSTITUTE(SUBSTITUTE(SUBSTITUTE(SUBSTITUTE(SUBSTITUTE(SUBSTITUTE(SUBSTITUTE(SUBSTITUTE(SUBSTITUTE($AA1551," ",""),"　",""),"(주)",""),"（주）",""),"㈜",""),"주식회사",""),"(유)",""),"（유）",""),"유한회사",""))</f>
        <v/>
      </c>
      <c r="AC1551" s="31">
        <f>IF(OR($Y1551="",N($Z1551)&lt;=0,$AB1551=""),0,IFERROR(LOOKUP(2,1/((거래처별!$AC$8:$AC$307&lt;&gt;"")*ISNUMBER(SEARCH(거래처별!$AC$8:$AC$307,$AB1551))),거래처별!$A$8:$A$307),IFERROR(LOOKUP(2,1/((거래처별!$AD$8:$AD$307&lt;&gt;"")*ISNUMBER(SEARCH(거래처별!$AD$8:$AD$307,$AB1551))),거래처별!$A$8:$A$307),IFERROR(LOOKUP(2,1/((거래처별!$AE$8:$AE$307&lt;&gt;"")*ISNUMBER(SEARCH(거래처별!$AE$8:$AE$307,$AB1551))),거래처별!$A$8:$A$307),0))))</f>
        <v/>
      </c>
      <c r="AD1551" s="31">
        <f>IF(AND($Y1551&lt;&gt;"",N($Z1551)&gt;0,$AC1551=0),MAX($AD$7:$AD1550)+1,"")</f>
        <v/>
      </c>
      <c r="AE1551" s="31">
        <f>IF($Y1551="",0,$Y1551)</f>
        <v/>
      </c>
    </row>
    <row r="1552">
      <c r="W1552" s="31">
        <f>IF(OR($B$5="",$C$6="",ROW()&lt;$B$5),"",IF(INDEX($A:$U,ROW(),$C$6)="","",INDEX($A:$U,ROW(),$C$6)))</f>
        <v/>
      </c>
      <c r="X1552" s="32">
        <f>IF($W1552="","",IF(ISNUMBER($W1552),IF($W1552&gt;=10000000,IFERROR(DATE(INT($W1552/10000),MOD(INT($W1552/100),100),MOD($W1552,100)),""),INT($W1552)),IFERROR(DATE(--LEFT(LEFT(SUBSTITUTE(SUBSTITUTE(SUBSTITUTE(SUBSTITUTE(TRIM($W1552),"-",""),".",""),"/","")," ",""),8),4),--MID(LEFT(SUBSTITUTE(SUBSTITUTE(SUBSTITUTE(SUBSTITUTE(TRIM($W1552),"-",""),".",""),"/","")," ",""),8),5,2),--MID(LEFT(SUBSTITUTE(SUBSTITUTE(SUBSTITUTE(SUBSTITUTE(TRIM($W1552),"-",""),".",""),"/","")," ",""),8),7,2)),"")))</f>
        <v/>
      </c>
      <c r="Y1552" s="32">
        <f>IF($X1552="","",INT($X1552))</f>
        <v/>
      </c>
      <c r="Z1552" s="33">
        <f>IF(OR($Y1552="",$D$6=""),"",IF(INDEX($A:$U,ROW(),$D$6)="",0,IF(ISNUMBER(INDEX($A:$U,ROW(),$D$6)),INDEX($A:$U,ROW(),$D$6),IFERROR(--SUBSTITUTE(SUBSTITUTE(TRIM(INDEX($A:$U,ROW(),$D$6)),",",""),"원",""),0))))</f>
        <v/>
      </c>
      <c r="AA1552" s="31">
        <f>IF($Y1552="","",TRIM(INDEX($A:$U,ROW(),$E$6)&amp;IF($F$6="",""," "&amp;INDEX($A:$U,ROW(),$F$6))))</f>
        <v/>
      </c>
      <c r="AB1552" s="31">
        <f>IF($AA1552="","",SUBSTITUTE(SUBSTITUTE(SUBSTITUTE(SUBSTITUTE(SUBSTITUTE(SUBSTITUTE(SUBSTITUTE(SUBSTITUTE(SUBSTITUTE($AA1552," ",""),"　",""),"(주)",""),"（주）",""),"㈜",""),"주식회사",""),"(유)",""),"（유）",""),"유한회사",""))</f>
        <v/>
      </c>
      <c r="AC1552" s="31">
        <f>IF(OR($Y1552="",N($Z1552)&lt;=0,$AB1552=""),0,IFERROR(LOOKUP(2,1/((거래처별!$AC$8:$AC$307&lt;&gt;"")*ISNUMBER(SEARCH(거래처별!$AC$8:$AC$307,$AB1552))),거래처별!$A$8:$A$307),IFERROR(LOOKUP(2,1/((거래처별!$AD$8:$AD$307&lt;&gt;"")*ISNUMBER(SEARCH(거래처별!$AD$8:$AD$307,$AB1552))),거래처별!$A$8:$A$307),IFERROR(LOOKUP(2,1/((거래처별!$AE$8:$AE$307&lt;&gt;"")*ISNUMBER(SEARCH(거래처별!$AE$8:$AE$307,$AB1552))),거래처별!$A$8:$A$307),0))))</f>
        <v/>
      </c>
      <c r="AD1552" s="31">
        <f>IF(AND($Y1552&lt;&gt;"",N($Z1552)&gt;0,$AC1552=0),MAX($AD$7:$AD1551)+1,"")</f>
        <v/>
      </c>
      <c r="AE1552" s="31">
        <f>IF($Y1552="",0,$Y1552)</f>
        <v/>
      </c>
    </row>
    <row r="1553">
      <c r="W1553" s="31">
        <f>IF(OR($B$5="",$C$6="",ROW()&lt;$B$5),"",IF(INDEX($A:$U,ROW(),$C$6)="","",INDEX($A:$U,ROW(),$C$6)))</f>
        <v/>
      </c>
      <c r="X1553" s="32">
        <f>IF($W1553="","",IF(ISNUMBER($W1553),IF($W1553&gt;=10000000,IFERROR(DATE(INT($W1553/10000),MOD(INT($W1553/100),100),MOD($W1553,100)),""),INT($W1553)),IFERROR(DATE(--LEFT(LEFT(SUBSTITUTE(SUBSTITUTE(SUBSTITUTE(SUBSTITUTE(TRIM($W1553),"-",""),".",""),"/","")," ",""),8),4),--MID(LEFT(SUBSTITUTE(SUBSTITUTE(SUBSTITUTE(SUBSTITUTE(TRIM($W1553),"-",""),".",""),"/","")," ",""),8),5,2),--MID(LEFT(SUBSTITUTE(SUBSTITUTE(SUBSTITUTE(SUBSTITUTE(TRIM($W1553),"-",""),".",""),"/","")," ",""),8),7,2)),"")))</f>
        <v/>
      </c>
      <c r="Y1553" s="32">
        <f>IF($X1553="","",INT($X1553))</f>
        <v/>
      </c>
      <c r="Z1553" s="33">
        <f>IF(OR($Y1553="",$D$6=""),"",IF(INDEX($A:$U,ROW(),$D$6)="",0,IF(ISNUMBER(INDEX($A:$U,ROW(),$D$6)),INDEX($A:$U,ROW(),$D$6),IFERROR(--SUBSTITUTE(SUBSTITUTE(TRIM(INDEX($A:$U,ROW(),$D$6)),",",""),"원",""),0))))</f>
        <v/>
      </c>
      <c r="AA1553" s="31">
        <f>IF($Y1553="","",TRIM(INDEX($A:$U,ROW(),$E$6)&amp;IF($F$6="",""," "&amp;INDEX($A:$U,ROW(),$F$6))))</f>
        <v/>
      </c>
      <c r="AB1553" s="31">
        <f>IF($AA1553="","",SUBSTITUTE(SUBSTITUTE(SUBSTITUTE(SUBSTITUTE(SUBSTITUTE(SUBSTITUTE(SUBSTITUTE(SUBSTITUTE(SUBSTITUTE($AA1553," ",""),"　",""),"(주)",""),"（주）",""),"㈜",""),"주식회사",""),"(유)",""),"（유）",""),"유한회사",""))</f>
        <v/>
      </c>
      <c r="AC1553" s="31">
        <f>IF(OR($Y1553="",N($Z1553)&lt;=0,$AB1553=""),0,IFERROR(LOOKUP(2,1/((거래처별!$AC$8:$AC$307&lt;&gt;"")*ISNUMBER(SEARCH(거래처별!$AC$8:$AC$307,$AB1553))),거래처별!$A$8:$A$307),IFERROR(LOOKUP(2,1/((거래처별!$AD$8:$AD$307&lt;&gt;"")*ISNUMBER(SEARCH(거래처별!$AD$8:$AD$307,$AB1553))),거래처별!$A$8:$A$307),IFERROR(LOOKUP(2,1/((거래처별!$AE$8:$AE$307&lt;&gt;"")*ISNUMBER(SEARCH(거래처별!$AE$8:$AE$307,$AB1553))),거래처별!$A$8:$A$307),0))))</f>
        <v/>
      </c>
      <c r="AD1553" s="31">
        <f>IF(AND($Y1553&lt;&gt;"",N($Z1553)&gt;0,$AC1553=0),MAX($AD$7:$AD1552)+1,"")</f>
        <v/>
      </c>
      <c r="AE1553" s="31">
        <f>IF($Y1553="",0,$Y1553)</f>
        <v/>
      </c>
    </row>
    <row r="1554">
      <c r="W1554" s="31">
        <f>IF(OR($B$5="",$C$6="",ROW()&lt;$B$5),"",IF(INDEX($A:$U,ROW(),$C$6)="","",INDEX($A:$U,ROW(),$C$6)))</f>
        <v/>
      </c>
      <c r="X1554" s="32">
        <f>IF($W1554="","",IF(ISNUMBER($W1554),IF($W1554&gt;=10000000,IFERROR(DATE(INT($W1554/10000),MOD(INT($W1554/100),100),MOD($W1554,100)),""),INT($W1554)),IFERROR(DATE(--LEFT(LEFT(SUBSTITUTE(SUBSTITUTE(SUBSTITUTE(SUBSTITUTE(TRIM($W1554),"-",""),".",""),"/","")," ",""),8),4),--MID(LEFT(SUBSTITUTE(SUBSTITUTE(SUBSTITUTE(SUBSTITUTE(TRIM($W1554),"-",""),".",""),"/","")," ",""),8),5,2),--MID(LEFT(SUBSTITUTE(SUBSTITUTE(SUBSTITUTE(SUBSTITUTE(TRIM($W1554),"-",""),".",""),"/","")," ",""),8),7,2)),"")))</f>
        <v/>
      </c>
      <c r="Y1554" s="32">
        <f>IF($X1554="","",INT($X1554))</f>
        <v/>
      </c>
      <c r="Z1554" s="33">
        <f>IF(OR($Y1554="",$D$6=""),"",IF(INDEX($A:$U,ROW(),$D$6)="",0,IF(ISNUMBER(INDEX($A:$U,ROW(),$D$6)),INDEX($A:$U,ROW(),$D$6),IFERROR(--SUBSTITUTE(SUBSTITUTE(TRIM(INDEX($A:$U,ROW(),$D$6)),",",""),"원",""),0))))</f>
        <v/>
      </c>
      <c r="AA1554" s="31">
        <f>IF($Y1554="","",TRIM(INDEX($A:$U,ROW(),$E$6)&amp;IF($F$6="",""," "&amp;INDEX($A:$U,ROW(),$F$6))))</f>
        <v/>
      </c>
      <c r="AB1554" s="31">
        <f>IF($AA1554="","",SUBSTITUTE(SUBSTITUTE(SUBSTITUTE(SUBSTITUTE(SUBSTITUTE(SUBSTITUTE(SUBSTITUTE(SUBSTITUTE(SUBSTITUTE($AA1554," ",""),"　",""),"(주)",""),"（주）",""),"㈜",""),"주식회사",""),"(유)",""),"（유）",""),"유한회사",""))</f>
        <v/>
      </c>
      <c r="AC1554" s="31">
        <f>IF(OR($Y1554="",N($Z1554)&lt;=0,$AB1554=""),0,IFERROR(LOOKUP(2,1/((거래처별!$AC$8:$AC$307&lt;&gt;"")*ISNUMBER(SEARCH(거래처별!$AC$8:$AC$307,$AB1554))),거래처별!$A$8:$A$307),IFERROR(LOOKUP(2,1/((거래처별!$AD$8:$AD$307&lt;&gt;"")*ISNUMBER(SEARCH(거래처별!$AD$8:$AD$307,$AB1554))),거래처별!$A$8:$A$307),IFERROR(LOOKUP(2,1/((거래처별!$AE$8:$AE$307&lt;&gt;"")*ISNUMBER(SEARCH(거래처별!$AE$8:$AE$307,$AB1554))),거래처별!$A$8:$A$307),0))))</f>
        <v/>
      </c>
      <c r="AD1554" s="31">
        <f>IF(AND($Y1554&lt;&gt;"",N($Z1554)&gt;0,$AC1554=0),MAX($AD$7:$AD1553)+1,"")</f>
        <v/>
      </c>
      <c r="AE1554" s="31">
        <f>IF($Y1554="",0,$Y1554)</f>
        <v/>
      </c>
    </row>
    <row r="1555">
      <c r="W1555" s="31">
        <f>IF(OR($B$5="",$C$6="",ROW()&lt;$B$5),"",IF(INDEX($A:$U,ROW(),$C$6)="","",INDEX($A:$U,ROW(),$C$6)))</f>
        <v/>
      </c>
      <c r="X1555" s="32">
        <f>IF($W1555="","",IF(ISNUMBER($W1555),IF($W1555&gt;=10000000,IFERROR(DATE(INT($W1555/10000),MOD(INT($W1555/100),100),MOD($W1555,100)),""),INT($W1555)),IFERROR(DATE(--LEFT(LEFT(SUBSTITUTE(SUBSTITUTE(SUBSTITUTE(SUBSTITUTE(TRIM($W1555),"-",""),".",""),"/","")," ",""),8),4),--MID(LEFT(SUBSTITUTE(SUBSTITUTE(SUBSTITUTE(SUBSTITUTE(TRIM($W1555),"-",""),".",""),"/","")," ",""),8),5,2),--MID(LEFT(SUBSTITUTE(SUBSTITUTE(SUBSTITUTE(SUBSTITUTE(TRIM($W1555),"-",""),".",""),"/","")," ",""),8),7,2)),"")))</f>
        <v/>
      </c>
      <c r="Y1555" s="32">
        <f>IF($X1555="","",INT($X1555))</f>
        <v/>
      </c>
      <c r="Z1555" s="33">
        <f>IF(OR($Y1555="",$D$6=""),"",IF(INDEX($A:$U,ROW(),$D$6)="",0,IF(ISNUMBER(INDEX($A:$U,ROW(),$D$6)),INDEX($A:$U,ROW(),$D$6),IFERROR(--SUBSTITUTE(SUBSTITUTE(TRIM(INDEX($A:$U,ROW(),$D$6)),",",""),"원",""),0))))</f>
        <v/>
      </c>
      <c r="AA1555" s="31">
        <f>IF($Y1555="","",TRIM(INDEX($A:$U,ROW(),$E$6)&amp;IF($F$6="",""," "&amp;INDEX($A:$U,ROW(),$F$6))))</f>
        <v/>
      </c>
      <c r="AB1555" s="31">
        <f>IF($AA1555="","",SUBSTITUTE(SUBSTITUTE(SUBSTITUTE(SUBSTITUTE(SUBSTITUTE(SUBSTITUTE(SUBSTITUTE(SUBSTITUTE(SUBSTITUTE($AA1555," ",""),"　",""),"(주)",""),"（주）",""),"㈜",""),"주식회사",""),"(유)",""),"（유）",""),"유한회사",""))</f>
        <v/>
      </c>
      <c r="AC1555" s="31">
        <f>IF(OR($Y1555="",N($Z1555)&lt;=0,$AB1555=""),0,IFERROR(LOOKUP(2,1/((거래처별!$AC$8:$AC$307&lt;&gt;"")*ISNUMBER(SEARCH(거래처별!$AC$8:$AC$307,$AB1555))),거래처별!$A$8:$A$307),IFERROR(LOOKUP(2,1/((거래처별!$AD$8:$AD$307&lt;&gt;"")*ISNUMBER(SEARCH(거래처별!$AD$8:$AD$307,$AB1555))),거래처별!$A$8:$A$307),IFERROR(LOOKUP(2,1/((거래처별!$AE$8:$AE$307&lt;&gt;"")*ISNUMBER(SEARCH(거래처별!$AE$8:$AE$307,$AB1555))),거래처별!$A$8:$A$307),0))))</f>
        <v/>
      </c>
      <c r="AD1555" s="31">
        <f>IF(AND($Y1555&lt;&gt;"",N($Z1555)&gt;0,$AC1555=0),MAX($AD$7:$AD1554)+1,"")</f>
        <v/>
      </c>
      <c r="AE1555" s="31">
        <f>IF($Y1555="",0,$Y1555)</f>
        <v/>
      </c>
    </row>
    <row r="1556">
      <c r="W1556" s="31">
        <f>IF(OR($B$5="",$C$6="",ROW()&lt;$B$5),"",IF(INDEX($A:$U,ROW(),$C$6)="","",INDEX($A:$U,ROW(),$C$6)))</f>
        <v/>
      </c>
      <c r="X1556" s="32">
        <f>IF($W1556="","",IF(ISNUMBER($W1556),IF($W1556&gt;=10000000,IFERROR(DATE(INT($W1556/10000),MOD(INT($W1556/100),100),MOD($W1556,100)),""),INT($W1556)),IFERROR(DATE(--LEFT(LEFT(SUBSTITUTE(SUBSTITUTE(SUBSTITUTE(SUBSTITUTE(TRIM($W1556),"-",""),".",""),"/","")," ",""),8),4),--MID(LEFT(SUBSTITUTE(SUBSTITUTE(SUBSTITUTE(SUBSTITUTE(TRIM($W1556),"-",""),".",""),"/","")," ",""),8),5,2),--MID(LEFT(SUBSTITUTE(SUBSTITUTE(SUBSTITUTE(SUBSTITUTE(TRIM($W1556),"-",""),".",""),"/","")," ",""),8),7,2)),"")))</f>
        <v/>
      </c>
      <c r="Y1556" s="32">
        <f>IF($X1556="","",INT($X1556))</f>
        <v/>
      </c>
      <c r="Z1556" s="33">
        <f>IF(OR($Y1556="",$D$6=""),"",IF(INDEX($A:$U,ROW(),$D$6)="",0,IF(ISNUMBER(INDEX($A:$U,ROW(),$D$6)),INDEX($A:$U,ROW(),$D$6),IFERROR(--SUBSTITUTE(SUBSTITUTE(TRIM(INDEX($A:$U,ROW(),$D$6)),",",""),"원",""),0))))</f>
        <v/>
      </c>
      <c r="AA1556" s="31">
        <f>IF($Y1556="","",TRIM(INDEX($A:$U,ROW(),$E$6)&amp;IF($F$6="",""," "&amp;INDEX($A:$U,ROW(),$F$6))))</f>
        <v/>
      </c>
      <c r="AB1556" s="31">
        <f>IF($AA1556="","",SUBSTITUTE(SUBSTITUTE(SUBSTITUTE(SUBSTITUTE(SUBSTITUTE(SUBSTITUTE(SUBSTITUTE(SUBSTITUTE(SUBSTITUTE($AA1556," ",""),"　",""),"(주)",""),"（주）",""),"㈜",""),"주식회사",""),"(유)",""),"（유）",""),"유한회사",""))</f>
        <v/>
      </c>
      <c r="AC1556" s="31">
        <f>IF(OR($Y1556="",N($Z1556)&lt;=0,$AB1556=""),0,IFERROR(LOOKUP(2,1/((거래처별!$AC$8:$AC$307&lt;&gt;"")*ISNUMBER(SEARCH(거래처별!$AC$8:$AC$307,$AB1556))),거래처별!$A$8:$A$307),IFERROR(LOOKUP(2,1/((거래처별!$AD$8:$AD$307&lt;&gt;"")*ISNUMBER(SEARCH(거래처별!$AD$8:$AD$307,$AB1556))),거래처별!$A$8:$A$307),IFERROR(LOOKUP(2,1/((거래처별!$AE$8:$AE$307&lt;&gt;"")*ISNUMBER(SEARCH(거래처별!$AE$8:$AE$307,$AB1556))),거래처별!$A$8:$A$307),0))))</f>
        <v/>
      </c>
      <c r="AD1556" s="31">
        <f>IF(AND($Y1556&lt;&gt;"",N($Z1556)&gt;0,$AC1556=0),MAX($AD$7:$AD1555)+1,"")</f>
        <v/>
      </c>
      <c r="AE1556" s="31">
        <f>IF($Y1556="",0,$Y1556)</f>
        <v/>
      </c>
    </row>
    <row r="1557">
      <c r="W1557" s="31">
        <f>IF(OR($B$5="",$C$6="",ROW()&lt;$B$5),"",IF(INDEX($A:$U,ROW(),$C$6)="","",INDEX($A:$U,ROW(),$C$6)))</f>
        <v/>
      </c>
      <c r="X1557" s="32">
        <f>IF($W1557="","",IF(ISNUMBER($W1557),IF($W1557&gt;=10000000,IFERROR(DATE(INT($W1557/10000),MOD(INT($W1557/100),100),MOD($W1557,100)),""),INT($W1557)),IFERROR(DATE(--LEFT(LEFT(SUBSTITUTE(SUBSTITUTE(SUBSTITUTE(SUBSTITUTE(TRIM($W1557),"-",""),".",""),"/","")," ",""),8),4),--MID(LEFT(SUBSTITUTE(SUBSTITUTE(SUBSTITUTE(SUBSTITUTE(TRIM($W1557),"-",""),".",""),"/","")," ",""),8),5,2),--MID(LEFT(SUBSTITUTE(SUBSTITUTE(SUBSTITUTE(SUBSTITUTE(TRIM($W1557),"-",""),".",""),"/","")," ",""),8),7,2)),"")))</f>
        <v/>
      </c>
      <c r="Y1557" s="32">
        <f>IF($X1557="","",INT($X1557))</f>
        <v/>
      </c>
      <c r="Z1557" s="33">
        <f>IF(OR($Y1557="",$D$6=""),"",IF(INDEX($A:$U,ROW(),$D$6)="",0,IF(ISNUMBER(INDEX($A:$U,ROW(),$D$6)),INDEX($A:$U,ROW(),$D$6),IFERROR(--SUBSTITUTE(SUBSTITUTE(TRIM(INDEX($A:$U,ROW(),$D$6)),",",""),"원",""),0))))</f>
        <v/>
      </c>
      <c r="AA1557" s="31">
        <f>IF($Y1557="","",TRIM(INDEX($A:$U,ROW(),$E$6)&amp;IF($F$6="",""," "&amp;INDEX($A:$U,ROW(),$F$6))))</f>
        <v/>
      </c>
      <c r="AB1557" s="31">
        <f>IF($AA1557="","",SUBSTITUTE(SUBSTITUTE(SUBSTITUTE(SUBSTITUTE(SUBSTITUTE(SUBSTITUTE(SUBSTITUTE(SUBSTITUTE(SUBSTITUTE($AA1557," ",""),"　",""),"(주)",""),"（주）",""),"㈜",""),"주식회사",""),"(유)",""),"（유）",""),"유한회사",""))</f>
        <v/>
      </c>
      <c r="AC1557" s="31">
        <f>IF(OR($Y1557="",N($Z1557)&lt;=0,$AB1557=""),0,IFERROR(LOOKUP(2,1/((거래처별!$AC$8:$AC$307&lt;&gt;"")*ISNUMBER(SEARCH(거래처별!$AC$8:$AC$307,$AB1557))),거래처별!$A$8:$A$307),IFERROR(LOOKUP(2,1/((거래처별!$AD$8:$AD$307&lt;&gt;"")*ISNUMBER(SEARCH(거래처별!$AD$8:$AD$307,$AB1557))),거래처별!$A$8:$A$307),IFERROR(LOOKUP(2,1/((거래처별!$AE$8:$AE$307&lt;&gt;"")*ISNUMBER(SEARCH(거래처별!$AE$8:$AE$307,$AB1557))),거래처별!$A$8:$A$307),0))))</f>
        <v/>
      </c>
      <c r="AD1557" s="31">
        <f>IF(AND($Y1557&lt;&gt;"",N($Z1557)&gt;0,$AC1557=0),MAX($AD$7:$AD1556)+1,"")</f>
        <v/>
      </c>
      <c r="AE1557" s="31">
        <f>IF($Y1557="",0,$Y1557)</f>
        <v/>
      </c>
    </row>
    <row r="1558">
      <c r="W1558" s="31">
        <f>IF(OR($B$5="",$C$6="",ROW()&lt;$B$5),"",IF(INDEX($A:$U,ROW(),$C$6)="","",INDEX($A:$U,ROW(),$C$6)))</f>
        <v/>
      </c>
      <c r="X1558" s="32">
        <f>IF($W1558="","",IF(ISNUMBER($W1558),IF($W1558&gt;=10000000,IFERROR(DATE(INT($W1558/10000),MOD(INT($W1558/100),100),MOD($W1558,100)),""),INT($W1558)),IFERROR(DATE(--LEFT(LEFT(SUBSTITUTE(SUBSTITUTE(SUBSTITUTE(SUBSTITUTE(TRIM($W1558),"-",""),".",""),"/","")," ",""),8),4),--MID(LEFT(SUBSTITUTE(SUBSTITUTE(SUBSTITUTE(SUBSTITUTE(TRIM($W1558),"-",""),".",""),"/","")," ",""),8),5,2),--MID(LEFT(SUBSTITUTE(SUBSTITUTE(SUBSTITUTE(SUBSTITUTE(TRIM($W1558),"-",""),".",""),"/","")," ",""),8),7,2)),"")))</f>
        <v/>
      </c>
      <c r="Y1558" s="32">
        <f>IF($X1558="","",INT($X1558))</f>
        <v/>
      </c>
      <c r="Z1558" s="33">
        <f>IF(OR($Y1558="",$D$6=""),"",IF(INDEX($A:$U,ROW(),$D$6)="",0,IF(ISNUMBER(INDEX($A:$U,ROW(),$D$6)),INDEX($A:$U,ROW(),$D$6),IFERROR(--SUBSTITUTE(SUBSTITUTE(TRIM(INDEX($A:$U,ROW(),$D$6)),",",""),"원",""),0))))</f>
        <v/>
      </c>
      <c r="AA1558" s="31">
        <f>IF($Y1558="","",TRIM(INDEX($A:$U,ROW(),$E$6)&amp;IF($F$6="",""," "&amp;INDEX($A:$U,ROW(),$F$6))))</f>
        <v/>
      </c>
      <c r="AB1558" s="31">
        <f>IF($AA1558="","",SUBSTITUTE(SUBSTITUTE(SUBSTITUTE(SUBSTITUTE(SUBSTITUTE(SUBSTITUTE(SUBSTITUTE(SUBSTITUTE(SUBSTITUTE($AA1558," ",""),"　",""),"(주)",""),"（주）",""),"㈜",""),"주식회사",""),"(유)",""),"（유）",""),"유한회사",""))</f>
        <v/>
      </c>
      <c r="AC1558" s="31">
        <f>IF(OR($Y1558="",N($Z1558)&lt;=0,$AB1558=""),0,IFERROR(LOOKUP(2,1/((거래처별!$AC$8:$AC$307&lt;&gt;"")*ISNUMBER(SEARCH(거래처별!$AC$8:$AC$307,$AB1558))),거래처별!$A$8:$A$307),IFERROR(LOOKUP(2,1/((거래처별!$AD$8:$AD$307&lt;&gt;"")*ISNUMBER(SEARCH(거래처별!$AD$8:$AD$307,$AB1558))),거래처별!$A$8:$A$307),IFERROR(LOOKUP(2,1/((거래처별!$AE$8:$AE$307&lt;&gt;"")*ISNUMBER(SEARCH(거래처별!$AE$8:$AE$307,$AB1558))),거래처별!$A$8:$A$307),0))))</f>
        <v/>
      </c>
      <c r="AD1558" s="31">
        <f>IF(AND($Y1558&lt;&gt;"",N($Z1558)&gt;0,$AC1558=0),MAX($AD$7:$AD1557)+1,"")</f>
        <v/>
      </c>
      <c r="AE1558" s="31">
        <f>IF($Y1558="",0,$Y1558)</f>
        <v/>
      </c>
    </row>
    <row r="1559">
      <c r="W1559" s="31">
        <f>IF(OR($B$5="",$C$6="",ROW()&lt;$B$5),"",IF(INDEX($A:$U,ROW(),$C$6)="","",INDEX($A:$U,ROW(),$C$6)))</f>
        <v/>
      </c>
      <c r="X1559" s="32">
        <f>IF($W1559="","",IF(ISNUMBER($W1559),IF($W1559&gt;=10000000,IFERROR(DATE(INT($W1559/10000),MOD(INT($W1559/100),100),MOD($W1559,100)),""),INT($W1559)),IFERROR(DATE(--LEFT(LEFT(SUBSTITUTE(SUBSTITUTE(SUBSTITUTE(SUBSTITUTE(TRIM($W1559),"-",""),".",""),"/","")," ",""),8),4),--MID(LEFT(SUBSTITUTE(SUBSTITUTE(SUBSTITUTE(SUBSTITUTE(TRIM($W1559),"-",""),".",""),"/","")," ",""),8),5,2),--MID(LEFT(SUBSTITUTE(SUBSTITUTE(SUBSTITUTE(SUBSTITUTE(TRIM($W1559),"-",""),".",""),"/","")," ",""),8),7,2)),"")))</f>
        <v/>
      </c>
      <c r="Y1559" s="32">
        <f>IF($X1559="","",INT($X1559))</f>
        <v/>
      </c>
      <c r="Z1559" s="33">
        <f>IF(OR($Y1559="",$D$6=""),"",IF(INDEX($A:$U,ROW(),$D$6)="",0,IF(ISNUMBER(INDEX($A:$U,ROW(),$D$6)),INDEX($A:$U,ROW(),$D$6),IFERROR(--SUBSTITUTE(SUBSTITUTE(TRIM(INDEX($A:$U,ROW(),$D$6)),",",""),"원",""),0))))</f>
        <v/>
      </c>
      <c r="AA1559" s="31">
        <f>IF($Y1559="","",TRIM(INDEX($A:$U,ROW(),$E$6)&amp;IF($F$6="",""," "&amp;INDEX($A:$U,ROW(),$F$6))))</f>
        <v/>
      </c>
      <c r="AB1559" s="31">
        <f>IF($AA1559="","",SUBSTITUTE(SUBSTITUTE(SUBSTITUTE(SUBSTITUTE(SUBSTITUTE(SUBSTITUTE(SUBSTITUTE(SUBSTITUTE(SUBSTITUTE($AA1559," ",""),"　",""),"(주)",""),"（주）",""),"㈜",""),"주식회사",""),"(유)",""),"（유）",""),"유한회사",""))</f>
        <v/>
      </c>
      <c r="AC1559" s="31">
        <f>IF(OR($Y1559="",N($Z1559)&lt;=0,$AB1559=""),0,IFERROR(LOOKUP(2,1/((거래처별!$AC$8:$AC$307&lt;&gt;"")*ISNUMBER(SEARCH(거래처별!$AC$8:$AC$307,$AB1559))),거래처별!$A$8:$A$307),IFERROR(LOOKUP(2,1/((거래처별!$AD$8:$AD$307&lt;&gt;"")*ISNUMBER(SEARCH(거래처별!$AD$8:$AD$307,$AB1559))),거래처별!$A$8:$A$307),IFERROR(LOOKUP(2,1/((거래처별!$AE$8:$AE$307&lt;&gt;"")*ISNUMBER(SEARCH(거래처별!$AE$8:$AE$307,$AB1559))),거래처별!$A$8:$A$307),0))))</f>
        <v/>
      </c>
      <c r="AD1559" s="31">
        <f>IF(AND($Y1559&lt;&gt;"",N($Z1559)&gt;0,$AC1559=0),MAX($AD$7:$AD1558)+1,"")</f>
        <v/>
      </c>
      <c r="AE1559" s="31">
        <f>IF($Y1559="",0,$Y1559)</f>
        <v/>
      </c>
    </row>
    <row r="1560">
      <c r="W1560" s="31">
        <f>IF(OR($B$5="",$C$6="",ROW()&lt;$B$5),"",IF(INDEX($A:$U,ROW(),$C$6)="","",INDEX($A:$U,ROW(),$C$6)))</f>
        <v/>
      </c>
      <c r="X1560" s="32">
        <f>IF($W1560="","",IF(ISNUMBER($W1560),IF($W1560&gt;=10000000,IFERROR(DATE(INT($W1560/10000),MOD(INT($W1560/100),100),MOD($W1560,100)),""),INT($W1560)),IFERROR(DATE(--LEFT(LEFT(SUBSTITUTE(SUBSTITUTE(SUBSTITUTE(SUBSTITUTE(TRIM($W1560),"-",""),".",""),"/","")," ",""),8),4),--MID(LEFT(SUBSTITUTE(SUBSTITUTE(SUBSTITUTE(SUBSTITUTE(TRIM($W1560),"-",""),".",""),"/","")," ",""),8),5,2),--MID(LEFT(SUBSTITUTE(SUBSTITUTE(SUBSTITUTE(SUBSTITUTE(TRIM($W1560),"-",""),".",""),"/","")," ",""),8),7,2)),"")))</f>
        <v/>
      </c>
      <c r="Y1560" s="32">
        <f>IF($X1560="","",INT($X1560))</f>
        <v/>
      </c>
      <c r="Z1560" s="33">
        <f>IF(OR($Y1560="",$D$6=""),"",IF(INDEX($A:$U,ROW(),$D$6)="",0,IF(ISNUMBER(INDEX($A:$U,ROW(),$D$6)),INDEX($A:$U,ROW(),$D$6),IFERROR(--SUBSTITUTE(SUBSTITUTE(TRIM(INDEX($A:$U,ROW(),$D$6)),",",""),"원",""),0))))</f>
        <v/>
      </c>
      <c r="AA1560" s="31">
        <f>IF($Y1560="","",TRIM(INDEX($A:$U,ROW(),$E$6)&amp;IF($F$6="",""," "&amp;INDEX($A:$U,ROW(),$F$6))))</f>
        <v/>
      </c>
      <c r="AB1560" s="31">
        <f>IF($AA1560="","",SUBSTITUTE(SUBSTITUTE(SUBSTITUTE(SUBSTITUTE(SUBSTITUTE(SUBSTITUTE(SUBSTITUTE(SUBSTITUTE(SUBSTITUTE($AA1560," ",""),"　",""),"(주)",""),"（주）",""),"㈜",""),"주식회사",""),"(유)",""),"（유）",""),"유한회사",""))</f>
        <v/>
      </c>
      <c r="AC1560" s="31">
        <f>IF(OR($Y1560="",N($Z1560)&lt;=0,$AB1560=""),0,IFERROR(LOOKUP(2,1/((거래처별!$AC$8:$AC$307&lt;&gt;"")*ISNUMBER(SEARCH(거래처별!$AC$8:$AC$307,$AB1560))),거래처별!$A$8:$A$307),IFERROR(LOOKUP(2,1/((거래처별!$AD$8:$AD$307&lt;&gt;"")*ISNUMBER(SEARCH(거래처별!$AD$8:$AD$307,$AB1560))),거래처별!$A$8:$A$307),IFERROR(LOOKUP(2,1/((거래처별!$AE$8:$AE$307&lt;&gt;"")*ISNUMBER(SEARCH(거래처별!$AE$8:$AE$307,$AB1560))),거래처별!$A$8:$A$307),0))))</f>
        <v/>
      </c>
      <c r="AD1560" s="31">
        <f>IF(AND($Y1560&lt;&gt;"",N($Z1560)&gt;0,$AC1560=0),MAX($AD$7:$AD1559)+1,"")</f>
        <v/>
      </c>
      <c r="AE1560" s="31">
        <f>IF($Y1560="",0,$Y1560)</f>
        <v/>
      </c>
    </row>
    <row r="1561">
      <c r="W1561" s="31">
        <f>IF(OR($B$5="",$C$6="",ROW()&lt;$B$5),"",IF(INDEX($A:$U,ROW(),$C$6)="","",INDEX($A:$U,ROW(),$C$6)))</f>
        <v/>
      </c>
      <c r="X1561" s="32">
        <f>IF($W1561="","",IF(ISNUMBER($W1561),IF($W1561&gt;=10000000,IFERROR(DATE(INT($W1561/10000),MOD(INT($W1561/100),100),MOD($W1561,100)),""),INT($W1561)),IFERROR(DATE(--LEFT(LEFT(SUBSTITUTE(SUBSTITUTE(SUBSTITUTE(SUBSTITUTE(TRIM($W1561),"-",""),".",""),"/","")," ",""),8),4),--MID(LEFT(SUBSTITUTE(SUBSTITUTE(SUBSTITUTE(SUBSTITUTE(TRIM($W1561),"-",""),".",""),"/","")," ",""),8),5,2),--MID(LEFT(SUBSTITUTE(SUBSTITUTE(SUBSTITUTE(SUBSTITUTE(TRIM($W1561),"-",""),".",""),"/","")," ",""),8),7,2)),"")))</f>
        <v/>
      </c>
      <c r="Y1561" s="32">
        <f>IF($X1561="","",INT($X1561))</f>
        <v/>
      </c>
      <c r="Z1561" s="33">
        <f>IF(OR($Y1561="",$D$6=""),"",IF(INDEX($A:$U,ROW(),$D$6)="",0,IF(ISNUMBER(INDEX($A:$U,ROW(),$D$6)),INDEX($A:$U,ROW(),$D$6),IFERROR(--SUBSTITUTE(SUBSTITUTE(TRIM(INDEX($A:$U,ROW(),$D$6)),",",""),"원",""),0))))</f>
        <v/>
      </c>
      <c r="AA1561" s="31">
        <f>IF($Y1561="","",TRIM(INDEX($A:$U,ROW(),$E$6)&amp;IF($F$6="",""," "&amp;INDEX($A:$U,ROW(),$F$6))))</f>
        <v/>
      </c>
      <c r="AB1561" s="31">
        <f>IF($AA1561="","",SUBSTITUTE(SUBSTITUTE(SUBSTITUTE(SUBSTITUTE(SUBSTITUTE(SUBSTITUTE(SUBSTITUTE(SUBSTITUTE(SUBSTITUTE($AA1561," ",""),"　",""),"(주)",""),"（주）",""),"㈜",""),"주식회사",""),"(유)",""),"（유）",""),"유한회사",""))</f>
        <v/>
      </c>
      <c r="AC1561" s="31">
        <f>IF(OR($Y1561="",N($Z1561)&lt;=0,$AB1561=""),0,IFERROR(LOOKUP(2,1/((거래처별!$AC$8:$AC$307&lt;&gt;"")*ISNUMBER(SEARCH(거래처별!$AC$8:$AC$307,$AB1561))),거래처별!$A$8:$A$307),IFERROR(LOOKUP(2,1/((거래처별!$AD$8:$AD$307&lt;&gt;"")*ISNUMBER(SEARCH(거래처별!$AD$8:$AD$307,$AB1561))),거래처별!$A$8:$A$307),IFERROR(LOOKUP(2,1/((거래처별!$AE$8:$AE$307&lt;&gt;"")*ISNUMBER(SEARCH(거래처별!$AE$8:$AE$307,$AB1561))),거래처별!$A$8:$A$307),0))))</f>
        <v/>
      </c>
      <c r="AD1561" s="31">
        <f>IF(AND($Y1561&lt;&gt;"",N($Z1561)&gt;0,$AC1561=0),MAX($AD$7:$AD1560)+1,"")</f>
        <v/>
      </c>
      <c r="AE1561" s="31">
        <f>IF($Y1561="",0,$Y1561)</f>
        <v/>
      </c>
    </row>
    <row r="1562">
      <c r="W1562" s="31">
        <f>IF(OR($B$5="",$C$6="",ROW()&lt;$B$5),"",IF(INDEX($A:$U,ROW(),$C$6)="","",INDEX($A:$U,ROW(),$C$6)))</f>
        <v/>
      </c>
      <c r="X1562" s="32">
        <f>IF($W1562="","",IF(ISNUMBER($W1562),IF($W1562&gt;=10000000,IFERROR(DATE(INT($W1562/10000),MOD(INT($W1562/100),100),MOD($W1562,100)),""),INT($W1562)),IFERROR(DATE(--LEFT(LEFT(SUBSTITUTE(SUBSTITUTE(SUBSTITUTE(SUBSTITUTE(TRIM($W1562),"-",""),".",""),"/","")," ",""),8),4),--MID(LEFT(SUBSTITUTE(SUBSTITUTE(SUBSTITUTE(SUBSTITUTE(TRIM($W1562),"-",""),".",""),"/","")," ",""),8),5,2),--MID(LEFT(SUBSTITUTE(SUBSTITUTE(SUBSTITUTE(SUBSTITUTE(TRIM($W1562),"-",""),".",""),"/","")," ",""),8),7,2)),"")))</f>
        <v/>
      </c>
      <c r="Y1562" s="32">
        <f>IF($X1562="","",INT($X1562))</f>
        <v/>
      </c>
      <c r="Z1562" s="33">
        <f>IF(OR($Y1562="",$D$6=""),"",IF(INDEX($A:$U,ROW(),$D$6)="",0,IF(ISNUMBER(INDEX($A:$U,ROW(),$D$6)),INDEX($A:$U,ROW(),$D$6),IFERROR(--SUBSTITUTE(SUBSTITUTE(TRIM(INDEX($A:$U,ROW(),$D$6)),",",""),"원",""),0))))</f>
        <v/>
      </c>
      <c r="AA1562" s="31">
        <f>IF($Y1562="","",TRIM(INDEX($A:$U,ROW(),$E$6)&amp;IF($F$6="",""," "&amp;INDEX($A:$U,ROW(),$F$6))))</f>
        <v/>
      </c>
      <c r="AB1562" s="31">
        <f>IF($AA1562="","",SUBSTITUTE(SUBSTITUTE(SUBSTITUTE(SUBSTITUTE(SUBSTITUTE(SUBSTITUTE(SUBSTITUTE(SUBSTITUTE(SUBSTITUTE($AA1562," ",""),"　",""),"(주)",""),"（주）",""),"㈜",""),"주식회사",""),"(유)",""),"（유）",""),"유한회사",""))</f>
        <v/>
      </c>
      <c r="AC1562" s="31">
        <f>IF(OR($Y1562="",N($Z1562)&lt;=0,$AB1562=""),0,IFERROR(LOOKUP(2,1/((거래처별!$AC$8:$AC$307&lt;&gt;"")*ISNUMBER(SEARCH(거래처별!$AC$8:$AC$307,$AB1562))),거래처별!$A$8:$A$307),IFERROR(LOOKUP(2,1/((거래처별!$AD$8:$AD$307&lt;&gt;"")*ISNUMBER(SEARCH(거래처별!$AD$8:$AD$307,$AB1562))),거래처별!$A$8:$A$307),IFERROR(LOOKUP(2,1/((거래처별!$AE$8:$AE$307&lt;&gt;"")*ISNUMBER(SEARCH(거래처별!$AE$8:$AE$307,$AB1562))),거래처별!$A$8:$A$307),0))))</f>
        <v/>
      </c>
      <c r="AD1562" s="31">
        <f>IF(AND($Y1562&lt;&gt;"",N($Z1562)&gt;0,$AC1562=0),MAX($AD$7:$AD1561)+1,"")</f>
        <v/>
      </c>
      <c r="AE1562" s="31">
        <f>IF($Y1562="",0,$Y1562)</f>
        <v/>
      </c>
    </row>
    <row r="1563">
      <c r="W1563" s="31">
        <f>IF(OR($B$5="",$C$6="",ROW()&lt;$B$5),"",IF(INDEX($A:$U,ROW(),$C$6)="","",INDEX($A:$U,ROW(),$C$6)))</f>
        <v/>
      </c>
      <c r="X1563" s="32">
        <f>IF($W1563="","",IF(ISNUMBER($W1563),IF($W1563&gt;=10000000,IFERROR(DATE(INT($W1563/10000),MOD(INT($W1563/100),100),MOD($W1563,100)),""),INT($W1563)),IFERROR(DATE(--LEFT(LEFT(SUBSTITUTE(SUBSTITUTE(SUBSTITUTE(SUBSTITUTE(TRIM($W1563),"-",""),".",""),"/","")," ",""),8),4),--MID(LEFT(SUBSTITUTE(SUBSTITUTE(SUBSTITUTE(SUBSTITUTE(TRIM($W1563),"-",""),".",""),"/","")," ",""),8),5,2),--MID(LEFT(SUBSTITUTE(SUBSTITUTE(SUBSTITUTE(SUBSTITUTE(TRIM($W1563),"-",""),".",""),"/","")," ",""),8),7,2)),"")))</f>
        <v/>
      </c>
      <c r="Y1563" s="32">
        <f>IF($X1563="","",INT($X1563))</f>
        <v/>
      </c>
      <c r="Z1563" s="33">
        <f>IF(OR($Y1563="",$D$6=""),"",IF(INDEX($A:$U,ROW(),$D$6)="",0,IF(ISNUMBER(INDEX($A:$U,ROW(),$D$6)),INDEX($A:$U,ROW(),$D$6),IFERROR(--SUBSTITUTE(SUBSTITUTE(TRIM(INDEX($A:$U,ROW(),$D$6)),",",""),"원",""),0))))</f>
        <v/>
      </c>
      <c r="AA1563" s="31">
        <f>IF($Y1563="","",TRIM(INDEX($A:$U,ROW(),$E$6)&amp;IF($F$6="",""," "&amp;INDEX($A:$U,ROW(),$F$6))))</f>
        <v/>
      </c>
      <c r="AB1563" s="31">
        <f>IF($AA1563="","",SUBSTITUTE(SUBSTITUTE(SUBSTITUTE(SUBSTITUTE(SUBSTITUTE(SUBSTITUTE(SUBSTITUTE(SUBSTITUTE(SUBSTITUTE($AA1563," ",""),"　",""),"(주)",""),"（주）",""),"㈜",""),"주식회사",""),"(유)",""),"（유）",""),"유한회사",""))</f>
        <v/>
      </c>
      <c r="AC1563" s="31">
        <f>IF(OR($Y1563="",N($Z1563)&lt;=0,$AB1563=""),0,IFERROR(LOOKUP(2,1/((거래처별!$AC$8:$AC$307&lt;&gt;"")*ISNUMBER(SEARCH(거래처별!$AC$8:$AC$307,$AB1563))),거래처별!$A$8:$A$307),IFERROR(LOOKUP(2,1/((거래처별!$AD$8:$AD$307&lt;&gt;"")*ISNUMBER(SEARCH(거래처별!$AD$8:$AD$307,$AB1563))),거래처별!$A$8:$A$307),IFERROR(LOOKUP(2,1/((거래처별!$AE$8:$AE$307&lt;&gt;"")*ISNUMBER(SEARCH(거래처별!$AE$8:$AE$307,$AB1563))),거래처별!$A$8:$A$307),0))))</f>
        <v/>
      </c>
      <c r="AD1563" s="31">
        <f>IF(AND($Y1563&lt;&gt;"",N($Z1563)&gt;0,$AC1563=0),MAX($AD$7:$AD1562)+1,"")</f>
        <v/>
      </c>
      <c r="AE1563" s="31">
        <f>IF($Y1563="",0,$Y1563)</f>
        <v/>
      </c>
    </row>
    <row r="1564">
      <c r="W1564" s="31">
        <f>IF(OR($B$5="",$C$6="",ROW()&lt;$B$5),"",IF(INDEX($A:$U,ROW(),$C$6)="","",INDEX($A:$U,ROW(),$C$6)))</f>
        <v/>
      </c>
      <c r="X1564" s="32">
        <f>IF($W1564="","",IF(ISNUMBER($W1564),IF($W1564&gt;=10000000,IFERROR(DATE(INT($W1564/10000),MOD(INT($W1564/100),100),MOD($W1564,100)),""),INT($W1564)),IFERROR(DATE(--LEFT(LEFT(SUBSTITUTE(SUBSTITUTE(SUBSTITUTE(SUBSTITUTE(TRIM($W1564),"-",""),".",""),"/","")," ",""),8),4),--MID(LEFT(SUBSTITUTE(SUBSTITUTE(SUBSTITUTE(SUBSTITUTE(TRIM($W1564),"-",""),".",""),"/","")," ",""),8),5,2),--MID(LEFT(SUBSTITUTE(SUBSTITUTE(SUBSTITUTE(SUBSTITUTE(TRIM($W1564),"-",""),".",""),"/","")," ",""),8),7,2)),"")))</f>
        <v/>
      </c>
      <c r="Y1564" s="32">
        <f>IF($X1564="","",INT($X1564))</f>
        <v/>
      </c>
      <c r="Z1564" s="33">
        <f>IF(OR($Y1564="",$D$6=""),"",IF(INDEX($A:$U,ROW(),$D$6)="",0,IF(ISNUMBER(INDEX($A:$U,ROW(),$D$6)),INDEX($A:$U,ROW(),$D$6),IFERROR(--SUBSTITUTE(SUBSTITUTE(TRIM(INDEX($A:$U,ROW(),$D$6)),",",""),"원",""),0))))</f>
        <v/>
      </c>
      <c r="AA1564" s="31">
        <f>IF($Y1564="","",TRIM(INDEX($A:$U,ROW(),$E$6)&amp;IF($F$6="",""," "&amp;INDEX($A:$U,ROW(),$F$6))))</f>
        <v/>
      </c>
      <c r="AB1564" s="31">
        <f>IF($AA1564="","",SUBSTITUTE(SUBSTITUTE(SUBSTITUTE(SUBSTITUTE(SUBSTITUTE(SUBSTITUTE(SUBSTITUTE(SUBSTITUTE(SUBSTITUTE($AA1564," ",""),"　",""),"(주)",""),"（주）",""),"㈜",""),"주식회사",""),"(유)",""),"（유）",""),"유한회사",""))</f>
        <v/>
      </c>
      <c r="AC1564" s="31">
        <f>IF(OR($Y1564="",N($Z1564)&lt;=0,$AB1564=""),0,IFERROR(LOOKUP(2,1/((거래처별!$AC$8:$AC$307&lt;&gt;"")*ISNUMBER(SEARCH(거래처별!$AC$8:$AC$307,$AB1564))),거래처별!$A$8:$A$307),IFERROR(LOOKUP(2,1/((거래처별!$AD$8:$AD$307&lt;&gt;"")*ISNUMBER(SEARCH(거래처별!$AD$8:$AD$307,$AB1564))),거래처별!$A$8:$A$307),IFERROR(LOOKUP(2,1/((거래처별!$AE$8:$AE$307&lt;&gt;"")*ISNUMBER(SEARCH(거래처별!$AE$8:$AE$307,$AB1564))),거래처별!$A$8:$A$307),0))))</f>
        <v/>
      </c>
      <c r="AD1564" s="31">
        <f>IF(AND($Y1564&lt;&gt;"",N($Z1564)&gt;0,$AC1564=0),MAX($AD$7:$AD1563)+1,"")</f>
        <v/>
      </c>
      <c r="AE1564" s="31">
        <f>IF($Y1564="",0,$Y1564)</f>
        <v/>
      </c>
    </row>
    <row r="1565">
      <c r="W1565" s="31">
        <f>IF(OR($B$5="",$C$6="",ROW()&lt;$B$5),"",IF(INDEX($A:$U,ROW(),$C$6)="","",INDEX($A:$U,ROW(),$C$6)))</f>
        <v/>
      </c>
      <c r="X1565" s="32">
        <f>IF($W1565="","",IF(ISNUMBER($W1565),IF($W1565&gt;=10000000,IFERROR(DATE(INT($W1565/10000),MOD(INT($W1565/100),100),MOD($W1565,100)),""),INT($W1565)),IFERROR(DATE(--LEFT(LEFT(SUBSTITUTE(SUBSTITUTE(SUBSTITUTE(SUBSTITUTE(TRIM($W1565),"-",""),".",""),"/","")," ",""),8),4),--MID(LEFT(SUBSTITUTE(SUBSTITUTE(SUBSTITUTE(SUBSTITUTE(TRIM($W1565),"-",""),".",""),"/","")," ",""),8),5,2),--MID(LEFT(SUBSTITUTE(SUBSTITUTE(SUBSTITUTE(SUBSTITUTE(TRIM($W1565),"-",""),".",""),"/","")," ",""),8),7,2)),"")))</f>
        <v/>
      </c>
      <c r="Y1565" s="32">
        <f>IF($X1565="","",INT($X1565))</f>
        <v/>
      </c>
      <c r="Z1565" s="33">
        <f>IF(OR($Y1565="",$D$6=""),"",IF(INDEX($A:$U,ROW(),$D$6)="",0,IF(ISNUMBER(INDEX($A:$U,ROW(),$D$6)),INDEX($A:$U,ROW(),$D$6),IFERROR(--SUBSTITUTE(SUBSTITUTE(TRIM(INDEX($A:$U,ROW(),$D$6)),",",""),"원",""),0))))</f>
        <v/>
      </c>
      <c r="AA1565" s="31">
        <f>IF($Y1565="","",TRIM(INDEX($A:$U,ROW(),$E$6)&amp;IF($F$6="",""," "&amp;INDEX($A:$U,ROW(),$F$6))))</f>
        <v/>
      </c>
      <c r="AB1565" s="31">
        <f>IF($AA1565="","",SUBSTITUTE(SUBSTITUTE(SUBSTITUTE(SUBSTITUTE(SUBSTITUTE(SUBSTITUTE(SUBSTITUTE(SUBSTITUTE(SUBSTITUTE($AA1565," ",""),"　",""),"(주)",""),"（주）",""),"㈜",""),"주식회사",""),"(유)",""),"（유）",""),"유한회사",""))</f>
        <v/>
      </c>
      <c r="AC1565" s="31">
        <f>IF(OR($Y1565="",N($Z1565)&lt;=0,$AB1565=""),0,IFERROR(LOOKUP(2,1/((거래처별!$AC$8:$AC$307&lt;&gt;"")*ISNUMBER(SEARCH(거래처별!$AC$8:$AC$307,$AB1565))),거래처별!$A$8:$A$307),IFERROR(LOOKUP(2,1/((거래처별!$AD$8:$AD$307&lt;&gt;"")*ISNUMBER(SEARCH(거래처별!$AD$8:$AD$307,$AB1565))),거래처별!$A$8:$A$307),IFERROR(LOOKUP(2,1/((거래처별!$AE$8:$AE$307&lt;&gt;"")*ISNUMBER(SEARCH(거래처별!$AE$8:$AE$307,$AB1565))),거래처별!$A$8:$A$307),0))))</f>
        <v/>
      </c>
      <c r="AD1565" s="31">
        <f>IF(AND($Y1565&lt;&gt;"",N($Z1565)&gt;0,$AC1565=0),MAX($AD$7:$AD1564)+1,"")</f>
        <v/>
      </c>
      <c r="AE1565" s="31">
        <f>IF($Y1565="",0,$Y1565)</f>
        <v/>
      </c>
    </row>
    <row r="1566">
      <c r="W1566" s="31">
        <f>IF(OR($B$5="",$C$6="",ROW()&lt;$B$5),"",IF(INDEX($A:$U,ROW(),$C$6)="","",INDEX($A:$U,ROW(),$C$6)))</f>
        <v/>
      </c>
      <c r="X1566" s="32">
        <f>IF($W1566="","",IF(ISNUMBER($W1566),IF($W1566&gt;=10000000,IFERROR(DATE(INT($W1566/10000),MOD(INT($W1566/100),100),MOD($W1566,100)),""),INT($W1566)),IFERROR(DATE(--LEFT(LEFT(SUBSTITUTE(SUBSTITUTE(SUBSTITUTE(SUBSTITUTE(TRIM($W1566),"-",""),".",""),"/","")," ",""),8),4),--MID(LEFT(SUBSTITUTE(SUBSTITUTE(SUBSTITUTE(SUBSTITUTE(TRIM($W1566),"-",""),".",""),"/","")," ",""),8),5,2),--MID(LEFT(SUBSTITUTE(SUBSTITUTE(SUBSTITUTE(SUBSTITUTE(TRIM($W1566),"-",""),".",""),"/","")," ",""),8),7,2)),"")))</f>
        <v/>
      </c>
      <c r="Y1566" s="32">
        <f>IF($X1566="","",INT($X1566))</f>
        <v/>
      </c>
      <c r="Z1566" s="33">
        <f>IF(OR($Y1566="",$D$6=""),"",IF(INDEX($A:$U,ROW(),$D$6)="",0,IF(ISNUMBER(INDEX($A:$U,ROW(),$D$6)),INDEX($A:$U,ROW(),$D$6),IFERROR(--SUBSTITUTE(SUBSTITUTE(TRIM(INDEX($A:$U,ROW(),$D$6)),",",""),"원",""),0))))</f>
        <v/>
      </c>
      <c r="AA1566" s="31">
        <f>IF($Y1566="","",TRIM(INDEX($A:$U,ROW(),$E$6)&amp;IF($F$6="",""," "&amp;INDEX($A:$U,ROW(),$F$6))))</f>
        <v/>
      </c>
      <c r="AB1566" s="31">
        <f>IF($AA1566="","",SUBSTITUTE(SUBSTITUTE(SUBSTITUTE(SUBSTITUTE(SUBSTITUTE(SUBSTITUTE(SUBSTITUTE(SUBSTITUTE(SUBSTITUTE($AA1566," ",""),"　",""),"(주)",""),"（주）",""),"㈜",""),"주식회사",""),"(유)",""),"（유）",""),"유한회사",""))</f>
        <v/>
      </c>
      <c r="AC1566" s="31">
        <f>IF(OR($Y1566="",N($Z1566)&lt;=0,$AB1566=""),0,IFERROR(LOOKUP(2,1/((거래처별!$AC$8:$AC$307&lt;&gt;"")*ISNUMBER(SEARCH(거래처별!$AC$8:$AC$307,$AB1566))),거래처별!$A$8:$A$307),IFERROR(LOOKUP(2,1/((거래처별!$AD$8:$AD$307&lt;&gt;"")*ISNUMBER(SEARCH(거래처별!$AD$8:$AD$307,$AB1566))),거래처별!$A$8:$A$307),IFERROR(LOOKUP(2,1/((거래처별!$AE$8:$AE$307&lt;&gt;"")*ISNUMBER(SEARCH(거래처별!$AE$8:$AE$307,$AB1566))),거래처별!$A$8:$A$307),0))))</f>
        <v/>
      </c>
      <c r="AD1566" s="31">
        <f>IF(AND($Y1566&lt;&gt;"",N($Z1566)&gt;0,$AC1566=0),MAX($AD$7:$AD1565)+1,"")</f>
        <v/>
      </c>
      <c r="AE1566" s="31">
        <f>IF($Y1566="",0,$Y1566)</f>
        <v/>
      </c>
    </row>
    <row r="1567">
      <c r="W1567" s="31">
        <f>IF(OR($B$5="",$C$6="",ROW()&lt;$B$5),"",IF(INDEX($A:$U,ROW(),$C$6)="","",INDEX($A:$U,ROW(),$C$6)))</f>
        <v/>
      </c>
      <c r="X1567" s="32">
        <f>IF($W1567="","",IF(ISNUMBER($W1567),IF($W1567&gt;=10000000,IFERROR(DATE(INT($W1567/10000),MOD(INT($W1567/100),100),MOD($W1567,100)),""),INT($W1567)),IFERROR(DATE(--LEFT(LEFT(SUBSTITUTE(SUBSTITUTE(SUBSTITUTE(SUBSTITUTE(TRIM($W1567),"-",""),".",""),"/","")," ",""),8),4),--MID(LEFT(SUBSTITUTE(SUBSTITUTE(SUBSTITUTE(SUBSTITUTE(TRIM($W1567),"-",""),".",""),"/","")," ",""),8),5,2),--MID(LEFT(SUBSTITUTE(SUBSTITUTE(SUBSTITUTE(SUBSTITUTE(TRIM($W1567),"-",""),".",""),"/","")," ",""),8),7,2)),"")))</f>
        <v/>
      </c>
      <c r="Y1567" s="32">
        <f>IF($X1567="","",INT($X1567))</f>
        <v/>
      </c>
      <c r="Z1567" s="33">
        <f>IF(OR($Y1567="",$D$6=""),"",IF(INDEX($A:$U,ROW(),$D$6)="",0,IF(ISNUMBER(INDEX($A:$U,ROW(),$D$6)),INDEX($A:$U,ROW(),$D$6),IFERROR(--SUBSTITUTE(SUBSTITUTE(TRIM(INDEX($A:$U,ROW(),$D$6)),",",""),"원",""),0))))</f>
        <v/>
      </c>
      <c r="AA1567" s="31">
        <f>IF($Y1567="","",TRIM(INDEX($A:$U,ROW(),$E$6)&amp;IF($F$6="",""," "&amp;INDEX($A:$U,ROW(),$F$6))))</f>
        <v/>
      </c>
      <c r="AB1567" s="31">
        <f>IF($AA1567="","",SUBSTITUTE(SUBSTITUTE(SUBSTITUTE(SUBSTITUTE(SUBSTITUTE(SUBSTITUTE(SUBSTITUTE(SUBSTITUTE(SUBSTITUTE($AA1567," ",""),"　",""),"(주)",""),"（주）",""),"㈜",""),"주식회사",""),"(유)",""),"（유）",""),"유한회사",""))</f>
        <v/>
      </c>
      <c r="AC1567" s="31">
        <f>IF(OR($Y1567="",N($Z1567)&lt;=0,$AB1567=""),0,IFERROR(LOOKUP(2,1/((거래처별!$AC$8:$AC$307&lt;&gt;"")*ISNUMBER(SEARCH(거래처별!$AC$8:$AC$307,$AB1567))),거래처별!$A$8:$A$307),IFERROR(LOOKUP(2,1/((거래처별!$AD$8:$AD$307&lt;&gt;"")*ISNUMBER(SEARCH(거래처별!$AD$8:$AD$307,$AB1567))),거래처별!$A$8:$A$307),IFERROR(LOOKUP(2,1/((거래처별!$AE$8:$AE$307&lt;&gt;"")*ISNUMBER(SEARCH(거래처별!$AE$8:$AE$307,$AB1567))),거래처별!$A$8:$A$307),0))))</f>
        <v/>
      </c>
      <c r="AD1567" s="31">
        <f>IF(AND($Y1567&lt;&gt;"",N($Z1567)&gt;0,$AC1567=0),MAX($AD$7:$AD1566)+1,"")</f>
        <v/>
      </c>
      <c r="AE1567" s="31">
        <f>IF($Y1567="",0,$Y1567)</f>
        <v/>
      </c>
    </row>
    <row r="1568">
      <c r="W1568" s="31">
        <f>IF(OR($B$5="",$C$6="",ROW()&lt;$B$5),"",IF(INDEX($A:$U,ROW(),$C$6)="","",INDEX($A:$U,ROW(),$C$6)))</f>
        <v/>
      </c>
      <c r="X1568" s="32">
        <f>IF($W1568="","",IF(ISNUMBER($W1568),IF($W1568&gt;=10000000,IFERROR(DATE(INT($W1568/10000),MOD(INT($W1568/100),100),MOD($W1568,100)),""),INT($W1568)),IFERROR(DATE(--LEFT(LEFT(SUBSTITUTE(SUBSTITUTE(SUBSTITUTE(SUBSTITUTE(TRIM($W1568),"-",""),".",""),"/","")," ",""),8),4),--MID(LEFT(SUBSTITUTE(SUBSTITUTE(SUBSTITUTE(SUBSTITUTE(TRIM($W1568),"-",""),".",""),"/","")," ",""),8),5,2),--MID(LEFT(SUBSTITUTE(SUBSTITUTE(SUBSTITUTE(SUBSTITUTE(TRIM($W1568),"-",""),".",""),"/","")," ",""),8),7,2)),"")))</f>
        <v/>
      </c>
      <c r="Y1568" s="32">
        <f>IF($X1568="","",INT($X1568))</f>
        <v/>
      </c>
      <c r="Z1568" s="33">
        <f>IF(OR($Y1568="",$D$6=""),"",IF(INDEX($A:$U,ROW(),$D$6)="",0,IF(ISNUMBER(INDEX($A:$U,ROW(),$D$6)),INDEX($A:$U,ROW(),$D$6),IFERROR(--SUBSTITUTE(SUBSTITUTE(TRIM(INDEX($A:$U,ROW(),$D$6)),",",""),"원",""),0))))</f>
        <v/>
      </c>
      <c r="AA1568" s="31">
        <f>IF($Y1568="","",TRIM(INDEX($A:$U,ROW(),$E$6)&amp;IF($F$6="",""," "&amp;INDEX($A:$U,ROW(),$F$6))))</f>
        <v/>
      </c>
      <c r="AB1568" s="31">
        <f>IF($AA1568="","",SUBSTITUTE(SUBSTITUTE(SUBSTITUTE(SUBSTITUTE(SUBSTITUTE(SUBSTITUTE(SUBSTITUTE(SUBSTITUTE(SUBSTITUTE($AA1568," ",""),"　",""),"(주)",""),"（주）",""),"㈜",""),"주식회사",""),"(유)",""),"（유）",""),"유한회사",""))</f>
        <v/>
      </c>
      <c r="AC1568" s="31">
        <f>IF(OR($Y1568="",N($Z1568)&lt;=0,$AB1568=""),0,IFERROR(LOOKUP(2,1/((거래처별!$AC$8:$AC$307&lt;&gt;"")*ISNUMBER(SEARCH(거래처별!$AC$8:$AC$307,$AB1568))),거래처별!$A$8:$A$307),IFERROR(LOOKUP(2,1/((거래처별!$AD$8:$AD$307&lt;&gt;"")*ISNUMBER(SEARCH(거래처별!$AD$8:$AD$307,$AB1568))),거래처별!$A$8:$A$307),IFERROR(LOOKUP(2,1/((거래처별!$AE$8:$AE$307&lt;&gt;"")*ISNUMBER(SEARCH(거래처별!$AE$8:$AE$307,$AB1568))),거래처별!$A$8:$A$307),0))))</f>
        <v/>
      </c>
      <c r="AD1568" s="31">
        <f>IF(AND($Y1568&lt;&gt;"",N($Z1568)&gt;0,$AC1568=0),MAX($AD$7:$AD1567)+1,"")</f>
        <v/>
      </c>
      <c r="AE1568" s="31">
        <f>IF($Y1568="",0,$Y1568)</f>
        <v/>
      </c>
    </row>
    <row r="1569">
      <c r="W1569" s="31">
        <f>IF(OR($B$5="",$C$6="",ROW()&lt;$B$5),"",IF(INDEX($A:$U,ROW(),$C$6)="","",INDEX($A:$U,ROW(),$C$6)))</f>
        <v/>
      </c>
      <c r="X1569" s="32">
        <f>IF($W1569="","",IF(ISNUMBER($W1569),IF($W1569&gt;=10000000,IFERROR(DATE(INT($W1569/10000),MOD(INT($W1569/100),100),MOD($W1569,100)),""),INT($W1569)),IFERROR(DATE(--LEFT(LEFT(SUBSTITUTE(SUBSTITUTE(SUBSTITUTE(SUBSTITUTE(TRIM($W1569),"-",""),".",""),"/","")," ",""),8),4),--MID(LEFT(SUBSTITUTE(SUBSTITUTE(SUBSTITUTE(SUBSTITUTE(TRIM($W1569),"-",""),".",""),"/","")," ",""),8),5,2),--MID(LEFT(SUBSTITUTE(SUBSTITUTE(SUBSTITUTE(SUBSTITUTE(TRIM($W1569),"-",""),".",""),"/","")," ",""),8),7,2)),"")))</f>
        <v/>
      </c>
      <c r="Y1569" s="32">
        <f>IF($X1569="","",INT($X1569))</f>
        <v/>
      </c>
      <c r="Z1569" s="33">
        <f>IF(OR($Y1569="",$D$6=""),"",IF(INDEX($A:$U,ROW(),$D$6)="",0,IF(ISNUMBER(INDEX($A:$U,ROW(),$D$6)),INDEX($A:$U,ROW(),$D$6),IFERROR(--SUBSTITUTE(SUBSTITUTE(TRIM(INDEX($A:$U,ROW(),$D$6)),",",""),"원",""),0))))</f>
        <v/>
      </c>
      <c r="AA1569" s="31">
        <f>IF($Y1569="","",TRIM(INDEX($A:$U,ROW(),$E$6)&amp;IF($F$6="",""," "&amp;INDEX($A:$U,ROW(),$F$6))))</f>
        <v/>
      </c>
      <c r="AB1569" s="31">
        <f>IF($AA1569="","",SUBSTITUTE(SUBSTITUTE(SUBSTITUTE(SUBSTITUTE(SUBSTITUTE(SUBSTITUTE(SUBSTITUTE(SUBSTITUTE(SUBSTITUTE($AA1569," ",""),"　",""),"(주)",""),"（주）",""),"㈜",""),"주식회사",""),"(유)",""),"（유）",""),"유한회사",""))</f>
        <v/>
      </c>
      <c r="AC1569" s="31">
        <f>IF(OR($Y1569="",N($Z1569)&lt;=0,$AB1569=""),0,IFERROR(LOOKUP(2,1/((거래처별!$AC$8:$AC$307&lt;&gt;"")*ISNUMBER(SEARCH(거래처별!$AC$8:$AC$307,$AB1569))),거래처별!$A$8:$A$307),IFERROR(LOOKUP(2,1/((거래처별!$AD$8:$AD$307&lt;&gt;"")*ISNUMBER(SEARCH(거래처별!$AD$8:$AD$307,$AB1569))),거래처별!$A$8:$A$307),IFERROR(LOOKUP(2,1/((거래처별!$AE$8:$AE$307&lt;&gt;"")*ISNUMBER(SEARCH(거래처별!$AE$8:$AE$307,$AB1569))),거래처별!$A$8:$A$307),0))))</f>
        <v/>
      </c>
      <c r="AD1569" s="31">
        <f>IF(AND($Y1569&lt;&gt;"",N($Z1569)&gt;0,$AC1569=0),MAX($AD$7:$AD1568)+1,"")</f>
        <v/>
      </c>
      <c r="AE1569" s="31">
        <f>IF($Y1569="",0,$Y1569)</f>
        <v/>
      </c>
    </row>
    <row r="1570">
      <c r="W1570" s="31">
        <f>IF(OR($B$5="",$C$6="",ROW()&lt;$B$5),"",IF(INDEX($A:$U,ROW(),$C$6)="","",INDEX($A:$U,ROW(),$C$6)))</f>
        <v/>
      </c>
      <c r="X1570" s="32">
        <f>IF($W1570="","",IF(ISNUMBER($W1570),IF($W1570&gt;=10000000,IFERROR(DATE(INT($W1570/10000),MOD(INT($W1570/100),100),MOD($W1570,100)),""),INT($W1570)),IFERROR(DATE(--LEFT(LEFT(SUBSTITUTE(SUBSTITUTE(SUBSTITUTE(SUBSTITUTE(TRIM($W1570),"-",""),".",""),"/","")," ",""),8),4),--MID(LEFT(SUBSTITUTE(SUBSTITUTE(SUBSTITUTE(SUBSTITUTE(TRIM($W1570),"-",""),".",""),"/","")," ",""),8),5,2),--MID(LEFT(SUBSTITUTE(SUBSTITUTE(SUBSTITUTE(SUBSTITUTE(TRIM($W1570),"-",""),".",""),"/","")," ",""),8),7,2)),"")))</f>
        <v/>
      </c>
      <c r="Y1570" s="32">
        <f>IF($X1570="","",INT($X1570))</f>
        <v/>
      </c>
      <c r="Z1570" s="33">
        <f>IF(OR($Y1570="",$D$6=""),"",IF(INDEX($A:$U,ROW(),$D$6)="",0,IF(ISNUMBER(INDEX($A:$U,ROW(),$D$6)),INDEX($A:$U,ROW(),$D$6),IFERROR(--SUBSTITUTE(SUBSTITUTE(TRIM(INDEX($A:$U,ROW(),$D$6)),",",""),"원",""),0))))</f>
        <v/>
      </c>
      <c r="AA1570" s="31">
        <f>IF($Y1570="","",TRIM(INDEX($A:$U,ROW(),$E$6)&amp;IF($F$6="",""," "&amp;INDEX($A:$U,ROW(),$F$6))))</f>
        <v/>
      </c>
      <c r="AB1570" s="31">
        <f>IF($AA1570="","",SUBSTITUTE(SUBSTITUTE(SUBSTITUTE(SUBSTITUTE(SUBSTITUTE(SUBSTITUTE(SUBSTITUTE(SUBSTITUTE(SUBSTITUTE($AA1570," ",""),"　",""),"(주)",""),"（주）",""),"㈜",""),"주식회사",""),"(유)",""),"（유）",""),"유한회사",""))</f>
        <v/>
      </c>
      <c r="AC1570" s="31">
        <f>IF(OR($Y1570="",N($Z1570)&lt;=0,$AB1570=""),0,IFERROR(LOOKUP(2,1/((거래처별!$AC$8:$AC$307&lt;&gt;"")*ISNUMBER(SEARCH(거래처별!$AC$8:$AC$307,$AB1570))),거래처별!$A$8:$A$307),IFERROR(LOOKUP(2,1/((거래처별!$AD$8:$AD$307&lt;&gt;"")*ISNUMBER(SEARCH(거래처별!$AD$8:$AD$307,$AB1570))),거래처별!$A$8:$A$307),IFERROR(LOOKUP(2,1/((거래처별!$AE$8:$AE$307&lt;&gt;"")*ISNUMBER(SEARCH(거래처별!$AE$8:$AE$307,$AB1570))),거래처별!$A$8:$A$307),0))))</f>
        <v/>
      </c>
      <c r="AD1570" s="31">
        <f>IF(AND($Y1570&lt;&gt;"",N($Z1570)&gt;0,$AC1570=0),MAX($AD$7:$AD1569)+1,"")</f>
        <v/>
      </c>
      <c r="AE1570" s="31">
        <f>IF($Y1570="",0,$Y1570)</f>
        <v/>
      </c>
    </row>
    <row r="1571">
      <c r="W1571" s="31">
        <f>IF(OR($B$5="",$C$6="",ROW()&lt;$B$5),"",IF(INDEX($A:$U,ROW(),$C$6)="","",INDEX($A:$U,ROW(),$C$6)))</f>
        <v/>
      </c>
      <c r="X1571" s="32">
        <f>IF($W1571="","",IF(ISNUMBER($W1571),IF($W1571&gt;=10000000,IFERROR(DATE(INT($W1571/10000),MOD(INT($W1571/100),100),MOD($W1571,100)),""),INT($W1571)),IFERROR(DATE(--LEFT(LEFT(SUBSTITUTE(SUBSTITUTE(SUBSTITUTE(SUBSTITUTE(TRIM($W1571),"-",""),".",""),"/","")," ",""),8),4),--MID(LEFT(SUBSTITUTE(SUBSTITUTE(SUBSTITUTE(SUBSTITUTE(TRIM($W1571),"-",""),".",""),"/","")," ",""),8),5,2),--MID(LEFT(SUBSTITUTE(SUBSTITUTE(SUBSTITUTE(SUBSTITUTE(TRIM($W1571),"-",""),".",""),"/","")," ",""),8),7,2)),"")))</f>
        <v/>
      </c>
      <c r="Y1571" s="32">
        <f>IF($X1571="","",INT($X1571))</f>
        <v/>
      </c>
      <c r="Z1571" s="33">
        <f>IF(OR($Y1571="",$D$6=""),"",IF(INDEX($A:$U,ROW(),$D$6)="",0,IF(ISNUMBER(INDEX($A:$U,ROW(),$D$6)),INDEX($A:$U,ROW(),$D$6),IFERROR(--SUBSTITUTE(SUBSTITUTE(TRIM(INDEX($A:$U,ROW(),$D$6)),",",""),"원",""),0))))</f>
        <v/>
      </c>
      <c r="AA1571" s="31">
        <f>IF($Y1571="","",TRIM(INDEX($A:$U,ROW(),$E$6)&amp;IF($F$6="",""," "&amp;INDEX($A:$U,ROW(),$F$6))))</f>
        <v/>
      </c>
      <c r="AB1571" s="31">
        <f>IF($AA1571="","",SUBSTITUTE(SUBSTITUTE(SUBSTITUTE(SUBSTITUTE(SUBSTITUTE(SUBSTITUTE(SUBSTITUTE(SUBSTITUTE(SUBSTITUTE($AA1571," ",""),"　",""),"(주)",""),"（주）",""),"㈜",""),"주식회사",""),"(유)",""),"（유）",""),"유한회사",""))</f>
        <v/>
      </c>
      <c r="AC1571" s="31">
        <f>IF(OR($Y1571="",N($Z1571)&lt;=0,$AB1571=""),0,IFERROR(LOOKUP(2,1/((거래처별!$AC$8:$AC$307&lt;&gt;"")*ISNUMBER(SEARCH(거래처별!$AC$8:$AC$307,$AB1571))),거래처별!$A$8:$A$307),IFERROR(LOOKUP(2,1/((거래처별!$AD$8:$AD$307&lt;&gt;"")*ISNUMBER(SEARCH(거래처별!$AD$8:$AD$307,$AB1571))),거래처별!$A$8:$A$307),IFERROR(LOOKUP(2,1/((거래처별!$AE$8:$AE$307&lt;&gt;"")*ISNUMBER(SEARCH(거래처별!$AE$8:$AE$307,$AB1571))),거래처별!$A$8:$A$307),0))))</f>
        <v/>
      </c>
      <c r="AD1571" s="31">
        <f>IF(AND($Y1571&lt;&gt;"",N($Z1571)&gt;0,$AC1571=0),MAX($AD$7:$AD1570)+1,"")</f>
        <v/>
      </c>
      <c r="AE1571" s="31">
        <f>IF($Y1571="",0,$Y1571)</f>
        <v/>
      </c>
    </row>
    <row r="1572">
      <c r="W1572" s="31">
        <f>IF(OR($B$5="",$C$6="",ROW()&lt;$B$5),"",IF(INDEX($A:$U,ROW(),$C$6)="","",INDEX($A:$U,ROW(),$C$6)))</f>
        <v/>
      </c>
      <c r="X1572" s="32">
        <f>IF($W1572="","",IF(ISNUMBER($W1572),IF($W1572&gt;=10000000,IFERROR(DATE(INT($W1572/10000),MOD(INT($W1572/100),100),MOD($W1572,100)),""),INT($W1572)),IFERROR(DATE(--LEFT(LEFT(SUBSTITUTE(SUBSTITUTE(SUBSTITUTE(SUBSTITUTE(TRIM($W1572),"-",""),".",""),"/","")," ",""),8),4),--MID(LEFT(SUBSTITUTE(SUBSTITUTE(SUBSTITUTE(SUBSTITUTE(TRIM($W1572),"-",""),".",""),"/","")," ",""),8),5,2),--MID(LEFT(SUBSTITUTE(SUBSTITUTE(SUBSTITUTE(SUBSTITUTE(TRIM($W1572),"-",""),".",""),"/","")," ",""),8),7,2)),"")))</f>
        <v/>
      </c>
      <c r="Y1572" s="32">
        <f>IF($X1572="","",INT($X1572))</f>
        <v/>
      </c>
      <c r="Z1572" s="33">
        <f>IF(OR($Y1572="",$D$6=""),"",IF(INDEX($A:$U,ROW(),$D$6)="",0,IF(ISNUMBER(INDEX($A:$U,ROW(),$D$6)),INDEX($A:$U,ROW(),$D$6),IFERROR(--SUBSTITUTE(SUBSTITUTE(TRIM(INDEX($A:$U,ROW(),$D$6)),",",""),"원",""),0))))</f>
        <v/>
      </c>
      <c r="AA1572" s="31">
        <f>IF($Y1572="","",TRIM(INDEX($A:$U,ROW(),$E$6)&amp;IF($F$6="",""," "&amp;INDEX($A:$U,ROW(),$F$6))))</f>
        <v/>
      </c>
      <c r="AB1572" s="31">
        <f>IF($AA1572="","",SUBSTITUTE(SUBSTITUTE(SUBSTITUTE(SUBSTITUTE(SUBSTITUTE(SUBSTITUTE(SUBSTITUTE(SUBSTITUTE(SUBSTITUTE($AA1572," ",""),"　",""),"(주)",""),"（주）",""),"㈜",""),"주식회사",""),"(유)",""),"（유）",""),"유한회사",""))</f>
        <v/>
      </c>
      <c r="AC1572" s="31">
        <f>IF(OR($Y1572="",N($Z1572)&lt;=0,$AB1572=""),0,IFERROR(LOOKUP(2,1/((거래처별!$AC$8:$AC$307&lt;&gt;"")*ISNUMBER(SEARCH(거래처별!$AC$8:$AC$307,$AB1572))),거래처별!$A$8:$A$307),IFERROR(LOOKUP(2,1/((거래처별!$AD$8:$AD$307&lt;&gt;"")*ISNUMBER(SEARCH(거래처별!$AD$8:$AD$307,$AB1572))),거래처별!$A$8:$A$307),IFERROR(LOOKUP(2,1/((거래처별!$AE$8:$AE$307&lt;&gt;"")*ISNUMBER(SEARCH(거래처별!$AE$8:$AE$307,$AB1572))),거래처별!$A$8:$A$307),0))))</f>
        <v/>
      </c>
      <c r="AD1572" s="31">
        <f>IF(AND($Y1572&lt;&gt;"",N($Z1572)&gt;0,$AC1572=0),MAX($AD$7:$AD1571)+1,"")</f>
        <v/>
      </c>
      <c r="AE1572" s="31">
        <f>IF($Y1572="",0,$Y1572)</f>
        <v/>
      </c>
    </row>
    <row r="1573">
      <c r="W1573" s="31">
        <f>IF(OR($B$5="",$C$6="",ROW()&lt;$B$5),"",IF(INDEX($A:$U,ROW(),$C$6)="","",INDEX($A:$U,ROW(),$C$6)))</f>
        <v/>
      </c>
      <c r="X1573" s="32">
        <f>IF($W1573="","",IF(ISNUMBER($W1573),IF($W1573&gt;=10000000,IFERROR(DATE(INT($W1573/10000),MOD(INT($W1573/100),100),MOD($W1573,100)),""),INT($W1573)),IFERROR(DATE(--LEFT(LEFT(SUBSTITUTE(SUBSTITUTE(SUBSTITUTE(SUBSTITUTE(TRIM($W1573),"-",""),".",""),"/","")," ",""),8),4),--MID(LEFT(SUBSTITUTE(SUBSTITUTE(SUBSTITUTE(SUBSTITUTE(TRIM($W1573),"-",""),".",""),"/","")," ",""),8),5,2),--MID(LEFT(SUBSTITUTE(SUBSTITUTE(SUBSTITUTE(SUBSTITUTE(TRIM($W1573),"-",""),".",""),"/","")," ",""),8),7,2)),"")))</f>
        <v/>
      </c>
      <c r="Y1573" s="32">
        <f>IF($X1573="","",INT($X1573))</f>
        <v/>
      </c>
      <c r="Z1573" s="33">
        <f>IF(OR($Y1573="",$D$6=""),"",IF(INDEX($A:$U,ROW(),$D$6)="",0,IF(ISNUMBER(INDEX($A:$U,ROW(),$D$6)),INDEX($A:$U,ROW(),$D$6),IFERROR(--SUBSTITUTE(SUBSTITUTE(TRIM(INDEX($A:$U,ROW(),$D$6)),",",""),"원",""),0))))</f>
        <v/>
      </c>
      <c r="AA1573" s="31">
        <f>IF($Y1573="","",TRIM(INDEX($A:$U,ROW(),$E$6)&amp;IF($F$6="",""," "&amp;INDEX($A:$U,ROW(),$F$6))))</f>
        <v/>
      </c>
      <c r="AB1573" s="31">
        <f>IF($AA1573="","",SUBSTITUTE(SUBSTITUTE(SUBSTITUTE(SUBSTITUTE(SUBSTITUTE(SUBSTITUTE(SUBSTITUTE(SUBSTITUTE(SUBSTITUTE($AA1573," ",""),"　",""),"(주)",""),"（주）",""),"㈜",""),"주식회사",""),"(유)",""),"（유）",""),"유한회사",""))</f>
        <v/>
      </c>
      <c r="AC1573" s="31">
        <f>IF(OR($Y1573="",N($Z1573)&lt;=0,$AB1573=""),0,IFERROR(LOOKUP(2,1/((거래처별!$AC$8:$AC$307&lt;&gt;"")*ISNUMBER(SEARCH(거래처별!$AC$8:$AC$307,$AB1573))),거래처별!$A$8:$A$307),IFERROR(LOOKUP(2,1/((거래처별!$AD$8:$AD$307&lt;&gt;"")*ISNUMBER(SEARCH(거래처별!$AD$8:$AD$307,$AB1573))),거래처별!$A$8:$A$307),IFERROR(LOOKUP(2,1/((거래처별!$AE$8:$AE$307&lt;&gt;"")*ISNUMBER(SEARCH(거래처별!$AE$8:$AE$307,$AB1573))),거래처별!$A$8:$A$307),0))))</f>
        <v/>
      </c>
      <c r="AD1573" s="31">
        <f>IF(AND($Y1573&lt;&gt;"",N($Z1573)&gt;0,$AC1573=0),MAX($AD$7:$AD1572)+1,"")</f>
        <v/>
      </c>
      <c r="AE1573" s="31">
        <f>IF($Y1573="",0,$Y1573)</f>
        <v/>
      </c>
    </row>
    <row r="1574">
      <c r="W1574" s="31">
        <f>IF(OR($B$5="",$C$6="",ROW()&lt;$B$5),"",IF(INDEX($A:$U,ROW(),$C$6)="","",INDEX($A:$U,ROW(),$C$6)))</f>
        <v/>
      </c>
      <c r="X1574" s="32">
        <f>IF($W1574="","",IF(ISNUMBER($W1574),IF($W1574&gt;=10000000,IFERROR(DATE(INT($W1574/10000),MOD(INT($W1574/100),100),MOD($W1574,100)),""),INT($W1574)),IFERROR(DATE(--LEFT(LEFT(SUBSTITUTE(SUBSTITUTE(SUBSTITUTE(SUBSTITUTE(TRIM($W1574),"-",""),".",""),"/","")," ",""),8),4),--MID(LEFT(SUBSTITUTE(SUBSTITUTE(SUBSTITUTE(SUBSTITUTE(TRIM($W1574),"-",""),".",""),"/","")," ",""),8),5,2),--MID(LEFT(SUBSTITUTE(SUBSTITUTE(SUBSTITUTE(SUBSTITUTE(TRIM($W1574),"-",""),".",""),"/","")," ",""),8),7,2)),"")))</f>
        <v/>
      </c>
      <c r="Y1574" s="32">
        <f>IF($X1574="","",INT($X1574))</f>
        <v/>
      </c>
      <c r="Z1574" s="33">
        <f>IF(OR($Y1574="",$D$6=""),"",IF(INDEX($A:$U,ROW(),$D$6)="",0,IF(ISNUMBER(INDEX($A:$U,ROW(),$D$6)),INDEX($A:$U,ROW(),$D$6),IFERROR(--SUBSTITUTE(SUBSTITUTE(TRIM(INDEX($A:$U,ROW(),$D$6)),",",""),"원",""),0))))</f>
        <v/>
      </c>
      <c r="AA1574" s="31">
        <f>IF($Y1574="","",TRIM(INDEX($A:$U,ROW(),$E$6)&amp;IF($F$6="",""," "&amp;INDEX($A:$U,ROW(),$F$6))))</f>
        <v/>
      </c>
      <c r="AB1574" s="31">
        <f>IF($AA1574="","",SUBSTITUTE(SUBSTITUTE(SUBSTITUTE(SUBSTITUTE(SUBSTITUTE(SUBSTITUTE(SUBSTITUTE(SUBSTITUTE(SUBSTITUTE($AA1574," ",""),"　",""),"(주)",""),"（주）",""),"㈜",""),"주식회사",""),"(유)",""),"（유）",""),"유한회사",""))</f>
        <v/>
      </c>
      <c r="AC1574" s="31">
        <f>IF(OR($Y1574="",N($Z1574)&lt;=0,$AB1574=""),0,IFERROR(LOOKUP(2,1/((거래처별!$AC$8:$AC$307&lt;&gt;"")*ISNUMBER(SEARCH(거래처별!$AC$8:$AC$307,$AB1574))),거래처별!$A$8:$A$307),IFERROR(LOOKUP(2,1/((거래처별!$AD$8:$AD$307&lt;&gt;"")*ISNUMBER(SEARCH(거래처별!$AD$8:$AD$307,$AB1574))),거래처별!$A$8:$A$307),IFERROR(LOOKUP(2,1/((거래처별!$AE$8:$AE$307&lt;&gt;"")*ISNUMBER(SEARCH(거래처별!$AE$8:$AE$307,$AB1574))),거래처별!$A$8:$A$307),0))))</f>
        <v/>
      </c>
      <c r="AD1574" s="31">
        <f>IF(AND($Y1574&lt;&gt;"",N($Z1574)&gt;0,$AC1574=0),MAX($AD$7:$AD1573)+1,"")</f>
        <v/>
      </c>
      <c r="AE1574" s="31">
        <f>IF($Y1574="",0,$Y1574)</f>
        <v/>
      </c>
    </row>
    <row r="1575">
      <c r="W1575" s="31">
        <f>IF(OR($B$5="",$C$6="",ROW()&lt;$B$5),"",IF(INDEX($A:$U,ROW(),$C$6)="","",INDEX($A:$U,ROW(),$C$6)))</f>
        <v/>
      </c>
      <c r="X1575" s="32">
        <f>IF($W1575="","",IF(ISNUMBER($W1575),IF($W1575&gt;=10000000,IFERROR(DATE(INT($W1575/10000),MOD(INT($W1575/100),100),MOD($W1575,100)),""),INT($W1575)),IFERROR(DATE(--LEFT(LEFT(SUBSTITUTE(SUBSTITUTE(SUBSTITUTE(SUBSTITUTE(TRIM($W1575),"-",""),".",""),"/","")," ",""),8),4),--MID(LEFT(SUBSTITUTE(SUBSTITUTE(SUBSTITUTE(SUBSTITUTE(TRIM($W1575),"-",""),".",""),"/","")," ",""),8),5,2),--MID(LEFT(SUBSTITUTE(SUBSTITUTE(SUBSTITUTE(SUBSTITUTE(TRIM($W1575),"-",""),".",""),"/","")," ",""),8),7,2)),"")))</f>
        <v/>
      </c>
      <c r="Y1575" s="32">
        <f>IF($X1575="","",INT($X1575))</f>
        <v/>
      </c>
      <c r="Z1575" s="33">
        <f>IF(OR($Y1575="",$D$6=""),"",IF(INDEX($A:$U,ROW(),$D$6)="",0,IF(ISNUMBER(INDEX($A:$U,ROW(),$D$6)),INDEX($A:$U,ROW(),$D$6),IFERROR(--SUBSTITUTE(SUBSTITUTE(TRIM(INDEX($A:$U,ROW(),$D$6)),",",""),"원",""),0))))</f>
        <v/>
      </c>
      <c r="AA1575" s="31">
        <f>IF($Y1575="","",TRIM(INDEX($A:$U,ROW(),$E$6)&amp;IF($F$6="",""," "&amp;INDEX($A:$U,ROW(),$F$6))))</f>
        <v/>
      </c>
      <c r="AB1575" s="31">
        <f>IF($AA1575="","",SUBSTITUTE(SUBSTITUTE(SUBSTITUTE(SUBSTITUTE(SUBSTITUTE(SUBSTITUTE(SUBSTITUTE(SUBSTITUTE(SUBSTITUTE($AA1575," ",""),"　",""),"(주)",""),"（주）",""),"㈜",""),"주식회사",""),"(유)",""),"（유）",""),"유한회사",""))</f>
        <v/>
      </c>
      <c r="AC1575" s="31">
        <f>IF(OR($Y1575="",N($Z1575)&lt;=0,$AB1575=""),0,IFERROR(LOOKUP(2,1/((거래처별!$AC$8:$AC$307&lt;&gt;"")*ISNUMBER(SEARCH(거래처별!$AC$8:$AC$307,$AB1575))),거래처별!$A$8:$A$307),IFERROR(LOOKUP(2,1/((거래처별!$AD$8:$AD$307&lt;&gt;"")*ISNUMBER(SEARCH(거래처별!$AD$8:$AD$307,$AB1575))),거래처별!$A$8:$A$307),IFERROR(LOOKUP(2,1/((거래처별!$AE$8:$AE$307&lt;&gt;"")*ISNUMBER(SEARCH(거래처별!$AE$8:$AE$307,$AB1575))),거래처별!$A$8:$A$307),0))))</f>
        <v/>
      </c>
      <c r="AD1575" s="31">
        <f>IF(AND($Y1575&lt;&gt;"",N($Z1575)&gt;0,$AC1575=0),MAX($AD$7:$AD1574)+1,"")</f>
        <v/>
      </c>
      <c r="AE1575" s="31">
        <f>IF($Y1575="",0,$Y1575)</f>
        <v/>
      </c>
    </row>
    <row r="1576">
      <c r="W1576" s="31">
        <f>IF(OR($B$5="",$C$6="",ROW()&lt;$B$5),"",IF(INDEX($A:$U,ROW(),$C$6)="","",INDEX($A:$U,ROW(),$C$6)))</f>
        <v/>
      </c>
      <c r="X1576" s="32">
        <f>IF($W1576="","",IF(ISNUMBER($W1576),IF($W1576&gt;=10000000,IFERROR(DATE(INT($W1576/10000),MOD(INT($W1576/100),100),MOD($W1576,100)),""),INT($W1576)),IFERROR(DATE(--LEFT(LEFT(SUBSTITUTE(SUBSTITUTE(SUBSTITUTE(SUBSTITUTE(TRIM($W1576),"-",""),".",""),"/","")," ",""),8),4),--MID(LEFT(SUBSTITUTE(SUBSTITUTE(SUBSTITUTE(SUBSTITUTE(TRIM($W1576),"-",""),".",""),"/","")," ",""),8),5,2),--MID(LEFT(SUBSTITUTE(SUBSTITUTE(SUBSTITUTE(SUBSTITUTE(TRIM($W1576),"-",""),".",""),"/","")," ",""),8),7,2)),"")))</f>
        <v/>
      </c>
      <c r="Y1576" s="32">
        <f>IF($X1576="","",INT($X1576))</f>
        <v/>
      </c>
      <c r="Z1576" s="33">
        <f>IF(OR($Y1576="",$D$6=""),"",IF(INDEX($A:$U,ROW(),$D$6)="",0,IF(ISNUMBER(INDEX($A:$U,ROW(),$D$6)),INDEX($A:$U,ROW(),$D$6),IFERROR(--SUBSTITUTE(SUBSTITUTE(TRIM(INDEX($A:$U,ROW(),$D$6)),",",""),"원",""),0))))</f>
        <v/>
      </c>
      <c r="AA1576" s="31">
        <f>IF($Y1576="","",TRIM(INDEX($A:$U,ROW(),$E$6)&amp;IF($F$6="",""," "&amp;INDEX($A:$U,ROW(),$F$6))))</f>
        <v/>
      </c>
      <c r="AB1576" s="31">
        <f>IF($AA1576="","",SUBSTITUTE(SUBSTITUTE(SUBSTITUTE(SUBSTITUTE(SUBSTITUTE(SUBSTITUTE(SUBSTITUTE(SUBSTITUTE(SUBSTITUTE($AA1576," ",""),"　",""),"(주)",""),"（주）",""),"㈜",""),"주식회사",""),"(유)",""),"（유）",""),"유한회사",""))</f>
        <v/>
      </c>
      <c r="AC1576" s="31">
        <f>IF(OR($Y1576="",N($Z1576)&lt;=0,$AB1576=""),0,IFERROR(LOOKUP(2,1/((거래처별!$AC$8:$AC$307&lt;&gt;"")*ISNUMBER(SEARCH(거래처별!$AC$8:$AC$307,$AB1576))),거래처별!$A$8:$A$307),IFERROR(LOOKUP(2,1/((거래처별!$AD$8:$AD$307&lt;&gt;"")*ISNUMBER(SEARCH(거래처별!$AD$8:$AD$307,$AB1576))),거래처별!$A$8:$A$307),IFERROR(LOOKUP(2,1/((거래처별!$AE$8:$AE$307&lt;&gt;"")*ISNUMBER(SEARCH(거래처별!$AE$8:$AE$307,$AB1576))),거래처별!$A$8:$A$307),0))))</f>
        <v/>
      </c>
      <c r="AD1576" s="31">
        <f>IF(AND($Y1576&lt;&gt;"",N($Z1576)&gt;0,$AC1576=0),MAX($AD$7:$AD1575)+1,"")</f>
        <v/>
      </c>
      <c r="AE1576" s="31">
        <f>IF($Y1576="",0,$Y1576)</f>
        <v/>
      </c>
    </row>
    <row r="1577">
      <c r="W1577" s="31">
        <f>IF(OR($B$5="",$C$6="",ROW()&lt;$B$5),"",IF(INDEX($A:$U,ROW(),$C$6)="","",INDEX($A:$U,ROW(),$C$6)))</f>
        <v/>
      </c>
      <c r="X1577" s="32">
        <f>IF($W1577="","",IF(ISNUMBER($W1577),IF($W1577&gt;=10000000,IFERROR(DATE(INT($W1577/10000),MOD(INT($W1577/100),100),MOD($W1577,100)),""),INT($W1577)),IFERROR(DATE(--LEFT(LEFT(SUBSTITUTE(SUBSTITUTE(SUBSTITUTE(SUBSTITUTE(TRIM($W1577),"-",""),".",""),"/","")," ",""),8),4),--MID(LEFT(SUBSTITUTE(SUBSTITUTE(SUBSTITUTE(SUBSTITUTE(TRIM($W1577),"-",""),".",""),"/","")," ",""),8),5,2),--MID(LEFT(SUBSTITUTE(SUBSTITUTE(SUBSTITUTE(SUBSTITUTE(TRIM($W1577),"-",""),".",""),"/","")," ",""),8),7,2)),"")))</f>
        <v/>
      </c>
      <c r="Y1577" s="32">
        <f>IF($X1577="","",INT($X1577))</f>
        <v/>
      </c>
      <c r="Z1577" s="33">
        <f>IF(OR($Y1577="",$D$6=""),"",IF(INDEX($A:$U,ROW(),$D$6)="",0,IF(ISNUMBER(INDEX($A:$U,ROW(),$D$6)),INDEX($A:$U,ROW(),$D$6),IFERROR(--SUBSTITUTE(SUBSTITUTE(TRIM(INDEX($A:$U,ROW(),$D$6)),",",""),"원",""),0))))</f>
        <v/>
      </c>
      <c r="AA1577" s="31">
        <f>IF($Y1577="","",TRIM(INDEX($A:$U,ROW(),$E$6)&amp;IF($F$6="",""," "&amp;INDEX($A:$U,ROW(),$F$6))))</f>
        <v/>
      </c>
      <c r="AB1577" s="31">
        <f>IF($AA1577="","",SUBSTITUTE(SUBSTITUTE(SUBSTITUTE(SUBSTITUTE(SUBSTITUTE(SUBSTITUTE(SUBSTITUTE(SUBSTITUTE(SUBSTITUTE($AA1577," ",""),"　",""),"(주)",""),"（주）",""),"㈜",""),"주식회사",""),"(유)",""),"（유）",""),"유한회사",""))</f>
        <v/>
      </c>
      <c r="AC1577" s="31">
        <f>IF(OR($Y1577="",N($Z1577)&lt;=0,$AB1577=""),0,IFERROR(LOOKUP(2,1/((거래처별!$AC$8:$AC$307&lt;&gt;"")*ISNUMBER(SEARCH(거래처별!$AC$8:$AC$307,$AB1577))),거래처별!$A$8:$A$307),IFERROR(LOOKUP(2,1/((거래처별!$AD$8:$AD$307&lt;&gt;"")*ISNUMBER(SEARCH(거래처별!$AD$8:$AD$307,$AB1577))),거래처별!$A$8:$A$307),IFERROR(LOOKUP(2,1/((거래처별!$AE$8:$AE$307&lt;&gt;"")*ISNUMBER(SEARCH(거래처별!$AE$8:$AE$307,$AB1577))),거래처별!$A$8:$A$307),0))))</f>
        <v/>
      </c>
      <c r="AD1577" s="31">
        <f>IF(AND($Y1577&lt;&gt;"",N($Z1577)&gt;0,$AC1577=0),MAX($AD$7:$AD1576)+1,"")</f>
        <v/>
      </c>
      <c r="AE1577" s="31">
        <f>IF($Y1577="",0,$Y1577)</f>
        <v/>
      </c>
    </row>
    <row r="1578">
      <c r="W1578" s="31">
        <f>IF(OR($B$5="",$C$6="",ROW()&lt;$B$5),"",IF(INDEX($A:$U,ROW(),$C$6)="","",INDEX($A:$U,ROW(),$C$6)))</f>
        <v/>
      </c>
      <c r="X1578" s="32">
        <f>IF($W1578="","",IF(ISNUMBER($W1578),IF($W1578&gt;=10000000,IFERROR(DATE(INT($W1578/10000),MOD(INT($W1578/100),100),MOD($W1578,100)),""),INT($W1578)),IFERROR(DATE(--LEFT(LEFT(SUBSTITUTE(SUBSTITUTE(SUBSTITUTE(SUBSTITUTE(TRIM($W1578),"-",""),".",""),"/","")," ",""),8),4),--MID(LEFT(SUBSTITUTE(SUBSTITUTE(SUBSTITUTE(SUBSTITUTE(TRIM($W1578),"-",""),".",""),"/","")," ",""),8),5,2),--MID(LEFT(SUBSTITUTE(SUBSTITUTE(SUBSTITUTE(SUBSTITUTE(TRIM($W1578),"-",""),".",""),"/","")," ",""),8),7,2)),"")))</f>
        <v/>
      </c>
      <c r="Y1578" s="32">
        <f>IF($X1578="","",INT($X1578))</f>
        <v/>
      </c>
      <c r="Z1578" s="33">
        <f>IF(OR($Y1578="",$D$6=""),"",IF(INDEX($A:$U,ROW(),$D$6)="",0,IF(ISNUMBER(INDEX($A:$U,ROW(),$D$6)),INDEX($A:$U,ROW(),$D$6),IFERROR(--SUBSTITUTE(SUBSTITUTE(TRIM(INDEX($A:$U,ROW(),$D$6)),",",""),"원",""),0))))</f>
        <v/>
      </c>
      <c r="AA1578" s="31">
        <f>IF($Y1578="","",TRIM(INDEX($A:$U,ROW(),$E$6)&amp;IF($F$6="",""," "&amp;INDEX($A:$U,ROW(),$F$6))))</f>
        <v/>
      </c>
      <c r="AB1578" s="31">
        <f>IF($AA1578="","",SUBSTITUTE(SUBSTITUTE(SUBSTITUTE(SUBSTITUTE(SUBSTITUTE(SUBSTITUTE(SUBSTITUTE(SUBSTITUTE(SUBSTITUTE($AA1578," ",""),"　",""),"(주)",""),"（주）",""),"㈜",""),"주식회사",""),"(유)",""),"（유）",""),"유한회사",""))</f>
        <v/>
      </c>
      <c r="AC1578" s="31">
        <f>IF(OR($Y1578="",N($Z1578)&lt;=0,$AB1578=""),0,IFERROR(LOOKUP(2,1/((거래처별!$AC$8:$AC$307&lt;&gt;"")*ISNUMBER(SEARCH(거래처별!$AC$8:$AC$307,$AB1578))),거래처별!$A$8:$A$307),IFERROR(LOOKUP(2,1/((거래처별!$AD$8:$AD$307&lt;&gt;"")*ISNUMBER(SEARCH(거래처별!$AD$8:$AD$307,$AB1578))),거래처별!$A$8:$A$307),IFERROR(LOOKUP(2,1/((거래처별!$AE$8:$AE$307&lt;&gt;"")*ISNUMBER(SEARCH(거래처별!$AE$8:$AE$307,$AB1578))),거래처별!$A$8:$A$307),0))))</f>
        <v/>
      </c>
      <c r="AD1578" s="31">
        <f>IF(AND($Y1578&lt;&gt;"",N($Z1578)&gt;0,$AC1578=0),MAX($AD$7:$AD1577)+1,"")</f>
        <v/>
      </c>
      <c r="AE1578" s="31">
        <f>IF($Y1578="",0,$Y1578)</f>
        <v/>
      </c>
    </row>
    <row r="1579">
      <c r="W1579" s="31">
        <f>IF(OR($B$5="",$C$6="",ROW()&lt;$B$5),"",IF(INDEX($A:$U,ROW(),$C$6)="","",INDEX($A:$U,ROW(),$C$6)))</f>
        <v/>
      </c>
      <c r="X1579" s="32">
        <f>IF($W1579="","",IF(ISNUMBER($W1579),IF($W1579&gt;=10000000,IFERROR(DATE(INT($W1579/10000),MOD(INT($W1579/100),100),MOD($W1579,100)),""),INT($W1579)),IFERROR(DATE(--LEFT(LEFT(SUBSTITUTE(SUBSTITUTE(SUBSTITUTE(SUBSTITUTE(TRIM($W1579),"-",""),".",""),"/","")," ",""),8),4),--MID(LEFT(SUBSTITUTE(SUBSTITUTE(SUBSTITUTE(SUBSTITUTE(TRIM($W1579),"-",""),".",""),"/","")," ",""),8),5,2),--MID(LEFT(SUBSTITUTE(SUBSTITUTE(SUBSTITUTE(SUBSTITUTE(TRIM($W1579),"-",""),".",""),"/","")," ",""),8),7,2)),"")))</f>
        <v/>
      </c>
      <c r="Y1579" s="32">
        <f>IF($X1579="","",INT($X1579))</f>
        <v/>
      </c>
      <c r="Z1579" s="33">
        <f>IF(OR($Y1579="",$D$6=""),"",IF(INDEX($A:$U,ROW(),$D$6)="",0,IF(ISNUMBER(INDEX($A:$U,ROW(),$D$6)),INDEX($A:$U,ROW(),$D$6),IFERROR(--SUBSTITUTE(SUBSTITUTE(TRIM(INDEX($A:$U,ROW(),$D$6)),",",""),"원",""),0))))</f>
        <v/>
      </c>
      <c r="AA1579" s="31">
        <f>IF($Y1579="","",TRIM(INDEX($A:$U,ROW(),$E$6)&amp;IF($F$6="",""," "&amp;INDEX($A:$U,ROW(),$F$6))))</f>
        <v/>
      </c>
      <c r="AB1579" s="31">
        <f>IF($AA1579="","",SUBSTITUTE(SUBSTITUTE(SUBSTITUTE(SUBSTITUTE(SUBSTITUTE(SUBSTITUTE(SUBSTITUTE(SUBSTITUTE(SUBSTITUTE($AA1579," ",""),"　",""),"(주)",""),"（주）",""),"㈜",""),"주식회사",""),"(유)",""),"（유）",""),"유한회사",""))</f>
        <v/>
      </c>
      <c r="AC1579" s="31">
        <f>IF(OR($Y1579="",N($Z1579)&lt;=0,$AB1579=""),0,IFERROR(LOOKUP(2,1/((거래처별!$AC$8:$AC$307&lt;&gt;"")*ISNUMBER(SEARCH(거래처별!$AC$8:$AC$307,$AB1579))),거래처별!$A$8:$A$307),IFERROR(LOOKUP(2,1/((거래처별!$AD$8:$AD$307&lt;&gt;"")*ISNUMBER(SEARCH(거래처별!$AD$8:$AD$307,$AB1579))),거래처별!$A$8:$A$307),IFERROR(LOOKUP(2,1/((거래처별!$AE$8:$AE$307&lt;&gt;"")*ISNUMBER(SEARCH(거래처별!$AE$8:$AE$307,$AB1579))),거래처별!$A$8:$A$307),0))))</f>
        <v/>
      </c>
      <c r="AD1579" s="31">
        <f>IF(AND($Y1579&lt;&gt;"",N($Z1579)&gt;0,$AC1579=0),MAX($AD$7:$AD1578)+1,"")</f>
        <v/>
      </c>
      <c r="AE1579" s="31">
        <f>IF($Y1579="",0,$Y1579)</f>
        <v/>
      </c>
    </row>
    <row r="1580">
      <c r="W1580" s="31">
        <f>IF(OR($B$5="",$C$6="",ROW()&lt;$B$5),"",IF(INDEX($A:$U,ROW(),$C$6)="","",INDEX($A:$U,ROW(),$C$6)))</f>
        <v/>
      </c>
      <c r="X1580" s="32">
        <f>IF($W1580="","",IF(ISNUMBER($W1580),IF($W1580&gt;=10000000,IFERROR(DATE(INT($W1580/10000),MOD(INT($W1580/100),100),MOD($W1580,100)),""),INT($W1580)),IFERROR(DATE(--LEFT(LEFT(SUBSTITUTE(SUBSTITUTE(SUBSTITUTE(SUBSTITUTE(TRIM($W1580),"-",""),".",""),"/","")," ",""),8),4),--MID(LEFT(SUBSTITUTE(SUBSTITUTE(SUBSTITUTE(SUBSTITUTE(TRIM($W1580),"-",""),".",""),"/","")," ",""),8),5,2),--MID(LEFT(SUBSTITUTE(SUBSTITUTE(SUBSTITUTE(SUBSTITUTE(TRIM($W1580),"-",""),".",""),"/","")," ",""),8),7,2)),"")))</f>
        <v/>
      </c>
      <c r="Y1580" s="32">
        <f>IF($X1580="","",INT($X1580))</f>
        <v/>
      </c>
      <c r="Z1580" s="33">
        <f>IF(OR($Y1580="",$D$6=""),"",IF(INDEX($A:$U,ROW(),$D$6)="",0,IF(ISNUMBER(INDEX($A:$U,ROW(),$D$6)),INDEX($A:$U,ROW(),$D$6),IFERROR(--SUBSTITUTE(SUBSTITUTE(TRIM(INDEX($A:$U,ROW(),$D$6)),",",""),"원",""),0))))</f>
        <v/>
      </c>
      <c r="AA1580" s="31">
        <f>IF($Y1580="","",TRIM(INDEX($A:$U,ROW(),$E$6)&amp;IF($F$6="",""," "&amp;INDEX($A:$U,ROW(),$F$6))))</f>
        <v/>
      </c>
      <c r="AB1580" s="31">
        <f>IF($AA1580="","",SUBSTITUTE(SUBSTITUTE(SUBSTITUTE(SUBSTITUTE(SUBSTITUTE(SUBSTITUTE(SUBSTITUTE(SUBSTITUTE(SUBSTITUTE($AA1580," ",""),"　",""),"(주)",""),"（주）",""),"㈜",""),"주식회사",""),"(유)",""),"（유）",""),"유한회사",""))</f>
        <v/>
      </c>
      <c r="AC1580" s="31">
        <f>IF(OR($Y1580="",N($Z1580)&lt;=0,$AB1580=""),0,IFERROR(LOOKUP(2,1/((거래처별!$AC$8:$AC$307&lt;&gt;"")*ISNUMBER(SEARCH(거래처별!$AC$8:$AC$307,$AB1580))),거래처별!$A$8:$A$307),IFERROR(LOOKUP(2,1/((거래처별!$AD$8:$AD$307&lt;&gt;"")*ISNUMBER(SEARCH(거래처별!$AD$8:$AD$307,$AB1580))),거래처별!$A$8:$A$307),IFERROR(LOOKUP(2,1/((거래처별!$AE$8:$AE$307&lt;&gt;"")*ISNUMBER(SEARCH(거래처별!$AE$8:$AE$307,$AB1580))),거래처별!$A$8:$A$307),0))))</f>
        <v/>
      </c>
      <c r="AD1580" s="31">
        <f>IF(AND($Y1580&lt;&gt;"",N($Z1580)&gt;0,$AC1580=0),MAX($AD$7:$AD1579)+1,"")</f>
        <v/>
      </c>
      <c r="AE1580" s="31">
        <f>IF($Y1580="",0,$Y1580)</f>
        <v/>
      </c>
    </row>
    <row r="1581">
      <c r="W1581" s="31">
        <f>IF(OR($B$5="",$C$6="",ROW()&lt;$B$5),"",IF(INDEX($A:$U,ROW(),$C$6)="","",INDEX($A:$U,ROW(),$C$6)))</f>
        <v/>
      </c>
      <c r="X1581" s="32">
        <f>IF($W1581="","",IF(ISNUMBER($W1581),IF($W1581&gt;=10000000,IFERROR(DATE(INT($W1581/10000),MOD(INT($W1581/100),100),MOD($W1581,100)),""),INT($W1581)),IFERROR(DATE(--LEFT(LEFT(SUBSTITUTE(SUBSTITUTE(SUBSTITUTE(SUBSTITUTE(TRIM($W1581),"-",""),".",""),"/","")," ",""),8),4),--MID(LEFT(SUBSTITUTE(SUBSTITUTE(SUBSTITUTE(SUBSTITUTE(TRIM($W1581),"-",""),".",""),"/","")," ",""),8),5,2),--MID(LEFT(SUBSTITUTE(SUBSTITUTE(SUBSTITUTE(SUBSTITUTE(TRIM($W1581),"-",""),".",""),"/","")," ",""),8),7,2)),"")))</f>
        <v/>
      </c>
      <c r="Y1581" s="32">
        <f>IF($X1581="","",INT($X1581))</f>
        <v/>
      </c>
      <c r="Z1581" s="33">
        <f>IF(OR($Y1581="",$D$6=""),"",IF(INDEX($A:$U,ROW(),$D$6)="",0,IF(ISNUMBER(INDEX($A:$U,ROW(),$D$6)),INDEX($A:$U,ROW(),$D$6),IFERROR(--SUBSTITUTE(SUBSTITUTE(TRIM(INDEX($A:$U,ROW(),$D$6)),",",""),"원",""),0))))</f>
        <v/>
      </c>
      <c r="AA1581" s="31">
        <f>IF($Y1581="","",TRIM(INDEX($A:$U,ROW(),$E$6)&amp;IF($F$6="",""," "&amp;INDEX($A:$U,ROW(),$F$6))))</f>
        <v/>
      </c>
      <c r="AB1581" s="31">
        <f>IF($AA1581="","",SUBSTITUTE(SUBSTITUTE(SUBSTITUTE(SUBSTITUTE(SUBSTITUTE(SUBSTITUTE(SUBSTITUTE(SUBSTITUTE(SUBSTITUTE($AA1581," ",""),"　",""),"(주)",""),"（주）",""),"㈜",""),"주식회사",""),"(유)",""),"（유）",""),"유한회사",""))</f>
        <v/>
      </c>
      <c r="AC1581" s="31">
        <f>IF(OR($Y1581="",N($Z1581)&lt;=0,$AB1581=""),0,IFERROR(LOOKUP(2,1/((거래처별!$AC$8:$AC$307&lt;&gt;"")*ISNUMBER(SEARCH(거래처별!$AC$8:$AC$307,$AB1581))),거래처별!$A$8:$A$307),IFERROR(LOOKUP(2,1/((거래처별!$AD$8:$AD$307&lt;&gt;"")*ISNUMBER(SEARCH(거래처별!$AD$8:$AD$307,$AB1581))),거래처별!$A$8:$A$307),IFERROR(LOOKUP(2,1/((거래처별!$AE$8:$AE$307&lt;&gt;"")*ISNUMBER(SEARCH(거래처별!$AE$8:$AE$307,$AB1581))),거래처별!$A$8:$A$307),0))))</f>
        <v/>
      </c>
      <c r="AD1581" s="31">
        <f>IF(AND($Y1581&lt;&gt;"",N($Z1581)&gt;0,$AC1581=0),MAX($AD$7:$AD1580)+1,"")</f>
        <v/>
      </c>
      <c r="AE1581" s="31">
        <f>IF($Y1581="",0,$Y1581)</f>
        <v/>
      </c>
    </row>
    <row r="1582">
      <c r="W1582" s="31">
        <f>IF(OR($B$5="",$C$6="",ROW()&lt;$B$5),"",IF(INDEX($A:$U,ROW(),$C$6)="","",INDEX($A:$U,ROW(),$C$6)))</f>
        <v/>
      </c>
      <c r="X1582" s="32">
        <f>IF($W1582="","",IF(ISNUMBER($W1582),IF($W1582&gt;=10000000,IFERROR(DATE(INT($W1582/10000),MOD(INT($W1582/100),100),MOD($W1582,100)),""),INT($W1582)),IFERROR(DATE(--LEFT(LEFT(SUBSTITUTE(SUBSTITUTE(SUBSTITUTE(SUBSTITUTE(TRIM($W1582),"-",""),".",""),"/","")," ",""),8),4),--MID(LEFT(SUBSTITUTE(SUBSTITUTE(SUBSTITUTE(SUBSTITUTE(TRIM($W1582),"-",""),".",""),"/","")," ",""),8),5,2),--MID(LEFT(SUBSTITUTE(SUBSTITUTE(SUBSTITUTE(SUBSTITUTE(TRIM($W1582),"-",""),".",""),"/","")," ",""),8),7,2)),"")))</f>
        <v/>
      </c>
      <c r="Y1582" s="32">
        <f>IF($X1582="","",INT($X1582))</f>
        <v/>
      </c>
      <c r="Z1582" s="33">
        <f>IF(OR($Y1582="",$D$6=""),"",IF(INDEX($A:$U,ROW(),$D$6)="",0,IF(ISNUMBER(INDEX($A:$U,ROW(),$D$6)),INDEX($A:$U,ROW(),$D$6),IFERROR(--SUBSTITUTE(SUBSTITUTE(TRIM(INDEX($A:$U,ROW(),$D$6)),",",""),"원",""),0))))</f>
        <v/>
      </c>
      <c r="AA1582" s="31">
        <f>IF($Y1582="","",TRIM(INDEX($A:$U,ROW(),$E$6)&amp;IF($F$6="",""," "&amp;INDEX($A:$U,ROW(),$F$6))))</f>
        <v/>
      </c>
      <c r="AB1582" s="31">
        <f>IF($AA1582="","",SUBSTITUTE(SUBSTITUTE(SUBSTITUTE(SUBSTITUTE(SUBSTITUTE(SUBSTITUTE(SUBSTITUTE(SUBSTITUTE(SUBSTITUTE($AA1582," ",""),"　",""),"(주)",""),"（주）",""),"㈜",""),"주식회사",""),"(유)",""),"（유）",""),"유한회사",""))</f>
        <v/>
      </c>
      <c r="AC1582" s="31">
        <f>IF(OR($Y1582="",N($Z1582)&lt;=0,$AB1582=""),0,IFERROR(LOOKUP(2,1/((거래처별!$AC$8:$AC$307&lt;&gt;"")*ISNUMBER(SEARCH(거래처별!$AC$8:$AC$307,$AB1582))),거래처별!$A$8:$A$307),IFERROR(LOOKUP(2,1/((거래처별!$AD$8:$AD$307&lt;&gt;"")*ISNUMBER(SEARCH(거래처별!$AD$8:$AD$307,$AB1582))),거래처별!$A$8:$A$307),IFERROR(LOOKUP(2,1/((거래처별!$AE$8:$AE$307&lt;&gt;"")*ISNUMBER(SEARCH(거래처별!$AE$8:$AE$307,$AB1582))),거래처별!$A$8:$A$307),0))))</f>
        <v/>
      </c>
      <c r="AD1582" s="31">
        <f>IF(AND($Y1582&lt;&gt;"",N($Z1582)&gt;0,$AC1582=0),MAX($AD$7:$AD1581)+1,"")</f>
        <v/>
      </c>
      <c r="AE1582" s="31">
        <f>IF($Y1582="",0,$Y1582)</f>
        <v/>
      </c>
    </row>
    <row r="1583">
      <c r="W1583" s="31">
        <f>IF(OR($B$5="",$C$6="",ROW()&lt;$B$5),"",IF(INDEX($A:$U,ROW(),$C$6)="","",INDEX($A:$U,ROW(),$C$6)))</f>
        <v/>
      </c>
      <c r="X1583" s="32">
        <f>IF($W1583="","",IF(ISNUMBER($W1583),IF($W1583&gt;=10000000,IFERROR(DATE(INT($W1583/10000),MOD(INT($W1583/100),100),MOD($W1583,100)),""),INT($W1583)),IFERROR(DATE(--LEFT(LEFT(SUBSTITUTE(SUBSTITUTE(SUBSTITUTE(SUBSTITUTE(TRIM($W1583),"-",""),".",""),"/","")," ",""),8),4),--MID(LEFT(SUBSTITUTE(SUBSTITUTE(SUBSTITUTE(SUBSTITUTE(TRIM($W1583),"-",""),".",""),"/","")," ",""),8),5,2),--MID(LEFT(SUBSTITUTE(SUBSTITUTE(SUBSTITUTE(SUBSTITUTE(TRIM($W1583),"-",""),".",""),"/","")," ",""),8),7,2)),"")))</f>
        <v/>
      </c>
      <c r="Y1583" s="32">
        <f>IF($X1583="","",INT($X1583))</f>
        <v/>
      </c>
      <c r="Z1583" s="33">
        <f>IF(OR($Y1583="",$D$6=""),"",IF(INDEX($A:$U,ROW(),$D$6)="",0,IF(ISNUMBER(INDEX($A:$U,ROW(),$D$6)),INDEX($A:$U,ROW(),$D$6),IFERROR(--SUBSTITUTE(SUBSTITUTE(TRIM(INDEX($A:$U,ROW(),$D$6)),",",""),"원",""),0))))</f>
        <v/>
      </c>
      <c r="AA1583" s="31">
        <f>IF($Y1583="","",TRIM(INDEX($A:$U,ROW(),$E$6)&amp;IF($F$6="",""," "&amp;INDEX($A:$U,ROW(),$F$6))))</f>
        <v/>
      </c>
      <c r="AB1583" s="31">
        <f>IF($AA1583="","",SUBSTITUTE(SUBSTITUTE(SUBSTITUTE(SUBSTITUTE(SUBSTITUTE(SUBSTITUTE(SUBSTITUTE(SUBSTITUTE(SUBSTITUTE($AA1583," ",""),"　",""),"(주)",""),"（주）",""),"㈜",""),"주식회사",""),"(유)",""),"（유）",""),"유한회사",""))</f>
        <v/>
      </c>
      <c r="AC1583" s="31">
        <f>IF(OR($Y1583="",N($Z1583)&lt;=0,$AB1583=""),0,IFERROR(LOOKUP(2,1/((거래처별!$AC$8:$AC$307&lt;&gt;"")*ISNUMBER(SEARCH(거래처별!$AC$8:$AC$307,$AB1583))),거래처별!$A$8:$A$307),IFERROR(LOOKUP(2,1/((거래처별!$AD$8:$AD$307&lt;&gt;"")*ISNUMBER(SEARCH(거래처별!$AD$8:$AD$307,$AB1583))),거래처별!$A$8:$A$307),IFERROR(LOOKUP(2,1/((거래처별!$AE$8:$AE$307&lt;&gt;"")*ISNUMBER(SEARCH(거래처별!$AE$8:$AE$307,$AB1583))),거래처별!$A$8:$A$307),0))))</f>
        <v/>
      </c>
      <c r="AD1583" s="31">
        <f>IF(AND($Y1583&lt;&gt;"",N($Z1583)&gt;0,$AC1583=0),MAX($AD$7:$AD1582)+1,"")</f>
        <v/>
      </c>
      <c r="AE1583" s="31">
        <f>IF($Y1583="",0,$Y1583)</f>
        <v/>
      </c>
    </row>
    <row r="1584">
      <c r="W1584" s="31">
        <f>IF(OR($B$5="",$C$6="",ROW()&lt;$B$5),"",IF(INDEX($A:$U,ROW(),$C$6)="","",INDEX($A:$U,ROW(),$C$6)))</f>
        <v/>
      </c>
      <c r="X1584" s="32">
        <f>IF($W1584="","",IF(ISNUMBER($W1584),IF($W1584&gt;=10000000,IFERROR(DATE(INT($W1584/10000),MOD(INT($W1584/100),100),MOD($W1584,100)),""),INT($W1584)),IFERROR(DATE(--LEFT(LEFT(SUBSTITUTE(SUBSTITUTE(SUBSTITUTE(SUBSTITUTE(TRIM($W1584),"-",""),".",""),"/","")," ",""),8),4),--MID(LEFT(SUBSTITUTE(SUBSTITUTE(SUBSTITUTE(SUBSTITUTE(TRIM($W1584),"-",""),".",""),"/","")," ",""),8),5,2),--MID(LEFT(SUBSTITUTE(SUBSTITUTE(SUBSTITUTE(SUBSTITUTE(TRIM($W1584),"-",""),".",""),"/","")," ",""),8),7,2)),"")))</f>
        <v/>
      </c>
      <c r="Y1584" s="32">
        <f>IF($X1584="","",INT($X1584))</f>
        <v/>
      </c>
      <c r="Z1584" s="33">
        <f>IF(OR($Y1584="",$D$6=""),"",IF(INDEX($A:$U,ROW(),$D$6)="",0,IF(ISNUMBER(INDEX($A:$U,ROW(),$D$6)),INDEX($A:$U,ROW(),$D$6),IFERROR(--SUBSTITUTE(SUBSTITUTE(TRIM(INDEX($A:$U,ROW(),$D$6)),",",""),"원",""),0))))</f>
        <v/>
      </c>
      <c r="AA1584" s="31">
        <f>IF($Y1584="","",TRIM(INDEX($A:$U,ROW(),$E$6)&amp;IF($F$6="",""," "&amp;INDEX($A:$U,ROW(),$F$6))))</f>
        <v/>
      </c>
      <c r="AB1584" s="31">
        <f>IF($AA1584="","",SUBSTITUTE(SUBSTITUTE(SUBSTITUTE(SUBSTITUTE(SUBSTITUTE(SUBSTITUTE(SUBSTITUTE(SUBSTITUTE(SUBSTITUTE($AA1584," ",""),"　",""),"(주)",""),"（주）",""),"㈜",""),"주식회사",""),"(유)",""),"（유）",""),"유한회사",""))</f>
        <v/>
      </c>
      <c r="AC1584" s="31">
        <f>IF(OR($Y1584="",N($Z1584)&lt;=0,$AB1584=""),0,IFERROR(LOOKUP(2,1/((거래처별!$AC$8:$AC$307&lt;&gt;"")*ISNUMBER(SEARCH(거래처별!$AC$8:$AC$307,$AB1584))),거래처별!$A$8:$A$307),IFERROR(LOOKUP(2,1/((거래처별!$AD$8:$AD$307&lt;&gt;"")*ISNUMBER(SEARCH(거래처별!$AD$8:$AD$307,$AB1584))),거래처별!$A$8:$A$307),IFERROR(LOOKUP(2,1/((거래처별!$AE$8:$AE$307&lt;&gt;"")*ISNUMBER(SEARCH(거래처별!$AE$8:$AE$307,$AB1584))),거래처별!$A$8:$A$307),0))))</f>
        <v/>
      </c>
      <c r="AD1584" s="31">
        <f>IF(AND($Y1584&lt;&gt;"",N($Z1584)&gt;0,$AC1584=0),MAX($AD$7:$AD1583)+1,"")</f>
        <v/>
      </c>
      <c r="AE1584" s="31">
        <f>IF($Y1584="",0,$Y1584)</f>
        <v/>
      </c>
    </row>
    <row r="1585">
      <c r="W1585" s="31">
        <f>IF(OR($B$5="",$C$6="",ROW()&lt;$B$5),"",IF(INDEX($A:$U,ROW(),$C$6)="","",INDEX($A:$U,ROW(),$C$6)))</f>
        <v/>
      </c>
      <c r="X1585" s="32">
        <f>IF($W1585="","",IF(ISNUMBER($W1585),IF($W1585&gt;=10000000,IFERROR(DATE(INT($W1585/10000),MOD(INT($W1585/100),100),MOD($W1585,100)),""),INT($W1585)),IFERROR(DATE(--LEFT(LEFT(SUBSTITUTE(SUBSTITUTE(SUBSTITUTE(SUBSTITUTE(TRIM($W1585),"-",""),".",""),"/","")," ",""),8),4),--MID(LEFT(SUBSTITUTE(SUBSTITUTE(SUBSTITUTE(SUBSTITUTE(TRIM($W1585),"-",""),".",""),"/","")," ",""),8),5,2),--MID(LEFT(SUBSTITUTE(SUBSTITUTE(SUBSTITUTE(SUBSTITUTE(TRIM($W1585),"-",""),".",""),"/","")," ",""),8),7,2)),"")))</f>
        <v/>
      </c>
      <c r="Y1585" s="32">
        <f>IF($X1585="","",INT($X1585))</f>
        <v/>
      </c>
      <c r="Z1585" s="33">
        <f>IF(OR($Y1585="",$D$6=""),"",IF(INDEX($A:$U,ROW(),$D$6)="",0,IF(ISNUMBER(INDEX($A:$U,ROW(),$D$6)),INDEX($A:$U,ROW(),$D$6),IFERROR(--SUBSTITUTE(SUBSTITUTE(TRIM(INDEX($A:$U,ROW(),$D$6)),",",""),"원",""),0))))</f>
        <v/>
      </c>
      <c r="AA1585" s="31">
        <f>IF($Y1585="","",TRIM(INDEX($A:$U,ROW(),$E$6)&amp;IF($F$6="",""," "&amp;INDEX($A:$U,ROW(),$F$6))))</f>
        <v/>
      </c>
      <c r="AB1585" s="31">
        <f>IF($AA1585="","",SUBSTITUTE(SUBSTITUTE(SUBSTITUTE(SUBSTITUTE(SUBSTITUTE(SUBSTITUTE(SUBSTITUTE(SUBSTITUTE(SUBSTITUTE($AA1585," ",""),"　",""),"(주)",""),"（주）",""),"㈜",""),"주식회사",""),"(유)",""),"（유）",""),"유한회사",""))</f>
        <v/>
      </c>
      <c r="AC1585" s="31">
        <f>IF(OR($Y1585="",N($Z1585)&lt;=0,$AB1585=""),0,IFERROR(LOOKUP(2,1/((거래처별!$AC$8:$AC$307&lt;&gt;"")*ISNUMBER(SEARCH(거래처별!$AC$8:$AC$307,$AB1585))),거래처별!$A$8:$A$307),IFERROR(LOOKUP(2,1/((거래처별!$AD$8:$AD$307&lt;&gt;"")*ISNUMBER(SEARCH(거래처별!$AD$8:$AD$307,$AB1585))),거래처별!$A$8:$A$307),IFERROR(LOOKUP(2,1/((거래처별!$AE$8:$AE$307&lt;&gt;"")*ISNUMBER(SEARCH(거래처별!$AE$8:$AE$307,$AB1585))),거래처별!$A$8:$A$307),0))))</f>
        <v/>
      </c>
      <c r="AD1585" s="31">
        <f>IF(AND($Y1585&lt;&gt;"",N($Z1585)&gt;0,$AC1585=0),MAX($AD$7:$AD1584)+1,"")</f>
        <v/>
      </c>
      <c r="AE1585" s="31">
        <f>IF($Y1585="",0,$Y1585)</f>
        <v/>
      </c>
    </row>
    <row r="1586">
      <c r="W1586" s="31">
        <f>IF(OR($B$5="",$C$6="",ROW()&lt;$B$5),"",IF(INDEX($A:$U,ROW(),$C$6)="","",INDEX($A:$U,ROW(),$C$6)))</f>
        <v/>
      </c>
      <c r="X1586" s="32">
        <f>IF($W1586="","",IF(ISNUMBER($W1586),IF($W1586&gt;=10000000,IFERROR(DATE(INT($W1586/10000),MOD(INT($W1586/100),100),MOD($W1586,100)),""),INT($W1586)),IFERROR(DATE(--LEFT(LEFT(SUBSTITUTE(SUBSTITUTE(SUBSTITUTE(SUBSTITUTE(TRIM($W1586),"-",""),".",""),"/","")," ",""),8),4),--MID(LEFT(SUBSTITUTE(SUBSTITUTE(SUBSTITUTE(SUBSTITUTE(TRIM($W1586),"-",""),".",""),"/","")," ",""),8),5,2),--MID(LEFT(SUBSTITUTE(SUBSTITUTE(SUBSTITUTE(SUBSTITUTE(TRIM($W1586),"-",""),".",""),"/","")," ",""),8),7,2)),"")))</f>
        <v/>
      </c>
      <c r="Y1586" s="32">
        <f>IF($X1586="","",INT($X1586))</f>
        <v/>
      </c>
      <c r="Z1586" s="33">
        <f>IF(OR($Y1586="",$D$6=""),"",IF(INDEX($A:$U,ROW(),$D$6)="",0,IF(ISNUMBER(INDEX($A:$U,ROW(),$D$6)),INDEX($A:$U,ROW(),$D$6),IFERROR(--SUBSTITUTE(SUBSTITUTE(TRIM(INDEX($A:$U,ROW(),$D$6)),",",""),"원",""),0))))</f>
        <v/>
      </c>
      <c r="AA1586" s="31">
        <f>IF($Y1586="","",TRIM(INDEX($A:$U,ROW(),$E$6)&amp;IF($F$6="",""," "&amp;INDEX($A:$U,ROW(),$F$6))))</f>
        <v/>
      </c>
      <c r="AB1586" s="31">
        <f>IF($AA1586="","",SUBSTITUTE(SUBSTITUTE(SUBSTITUTE(SUBSTITUTE(SUBSTITUTE(SUBSTITUTE(SUBSTITUTE(SUBSTITUTE(SUBSTITUTE($AA1586," ",""),"　",""),"(주)",""),"（주）",""),"㈜",""),"주식회사",""),"(유)",""),"（유）",""),"유한회사",""))</f>
        <v/>
      </c>
      <c r="AC1586" s="31">
        <f>IF(OR($Y1586="",N($Z1586)&lt;=0,$AB1586=""),0,IFERROR(LOOKUP(2,1/((거래처별!$AC$8:$AC$307&lt;&gt;"")*ISNUMBER(SEARCH(거래처별!$AC$8:$AC$307,$AB1586))),거래처별!$A$8:$A$307),IFERROR(LOOKUP(2,1/((거래처별!$AD$8:$AD$307&lt;&gt;"")*ISNUMBER(SEARCH(거래처별!$AD$8:$AD$307,$AB1586))),거래처별!$A$8:$A$307),IFERROR(LOOKUP(2,1/((거래처별!$AE$8:$AE$307&lt;&gt;"")*ISNUMBER(SEARCH(거래처별!$AE$8:$AE$307,$AB1586))),거래처별!$A$8:$A$307),0))))</f>
        <v/>
      </c>
      <c r="AD1586" s="31">
        <f>IF(AND($Y1586&lt;&gt;"",N($Z1586)&gt;0,$AC1586=0),MAX($AD$7:$AD1585)+1,"")</f>
        <v/>
      </c>
      <c r="AE1586" s="31">
        <f>IF($Y1586="",0,$Y1586)</f>
        <v/>
      </c>
    </row>
    <row r="1587">
      <c r="W1587" s="31">
        <f>IF(OR($B$5="",$C$6="",ROW()&lt;$B$5),"",IF(INDEX($A:$U,ROW(),$C$6)="","",INDEX($A:$U,ROW(),$C$6)))</f>
        <v/>
      </c>
      <c r="X1587" s="32">
        <f>IF($W1587="","",IF(ISNUMBER($W1587),IF($W1587&gt;=10000000,IFERROR(DATE(INT($W1587/10000),MOD(INT($W1587/100),100),MOD($W1587,100)),""),INT($W1587)),IFERROR(DATE(--LEFT(LEFT(SUBSTITUTE(SUBSTITUTE(SUBSTITUTE(SUBSTITUTE(TRIM($W1587),"-",""),".",""),"/","")," ",""),8),4),--MID(LEFT(SUBSTITUTE(SUBSTITUTE(SUBSTITUTE(SUBSTITUTE(TRIM($W1587),"-",""),".",""),"/","")," ",""),8),5,2),--MID(LEFT(SUBSTITUTE(SUBSTITUTE(SUBSTITUTE(SUBSTITUTE(TRIM($W1587),"-",""),".",""),"/","")," ",""),8),7,2)),"")))</f>
        <v/>
      </c>
      <c r="Y1587" s="32">
        <f>IF($X1587="","",INT($X1587))</f>
        <v/>
      </c>
      <c r="Z1587" s="33">
        <f>IF(OR($Y1587="",$D$6=""),"",IF(INDEX($A:$U,ROW(),$D$6)="",0,IF(ISNUMBER(INDEX($A:$U,ROW(),$D$6)),INDEX($A:$U,ROW(),$D$6),IFERROR(--SUBSTITUTE(SUBSTITUTE(TRIM(INDEX($A:$U,ROW(),$D$6)),",",""),"원",""),0))))</f>
        <v/>
      </c>
      <c r="AA1587" s="31">
        <f>IF($Y1587="","",TRIM(INDEX($A:$U,ROW(),$E$6)&amp;IF($F$6="",""," "&amp;INDEX($A:$U,ROW(),$F$6))))</f>
        <v/>
      </c>
      <c r="AB1587" s="31">
        <f>IF($AA1587="","",SUBSTITUTE(SUBSTITUTE(SUBSTITUTE(SUBSTITUTE(SUBSTITUTE(SUBSTITUTE(SUBSTITUTE(SUBSTITUTE(SUBSTITUTE($AA1587," ",""),"　",""),"(주)",""),"（주）",""),"㈜",""),"주식회사",""),"(유)",""),"（유）",""),"유한회사",""))</f>
        <v/>
      </c>
      <c r="AC1587" s="31">
        <f>IF(OR($Y1587="",N($Z1587)&lt;=0,$AB1587=""),0,IFERROR(LOOKUP(2,1/((거래처별!$AC$8:$AC$307&lt;&gt;"")*ISNUMBER(SEARCH(거래처별!$AC$8:$AC$307,$AB1587))),거래처별!$A$8:$A$307),IFERROR(LOOKUP(2,1/((거래처별!$AD$8:$AD$307&lt;&gt;"")*ISNUMBER(SEARCH(거래처별!$AD$8:$AD$307,$AB1587))),거래처별!$A$8:$A$307),IFERROR(LOOKUP(2,1/((거래처별!$AE$8:$AE$307&lt;&gt;"")*ISNUMBER(SEARCH(거래처별!$AE$8:$AE$307,$AB1587))),거래처별!$A$8:$A$307),0))))</f>
        <v/>
      </c>
      <c r="AD1587" s="31">
        <f>IF(AND($Y1587&lt;&gt;"",N($Z1587)&gt;0,$AC1587=0),MAX($AD$7:$AD1586)+1,"")</f>
        <v/>
      </c>
      <c r="AE1587" s="31">
        <f>IF($Y1587="",0,$Y1587)</f>
        <v/>
      </c>
    </row>
    <row r="1588">
      <c r="W1588" s="31">
        <f>IF(OR($B$5="",$C$6="",ROW()&lt;$B$5),"",IF(INDEX($A:$U,ROW(),$C$6)="","",INDEX($A:$U,ROW(),$C$6)))</f>
        <v/>
      </c>
      <c r="X1588" s="32">
        <f>IF($W1588="","",IF(ISNUMBER($W1588),IF($W1588&gt;=10000000,IFERROR(DATE(INT($W1588/10000),MOD(INT($W1588/100),100),MOD($W1588,100)),""),INT($W1588)),IFERROR(DATE(--LEFT(LEFT(SUBSTITUTE(SUBSTITUTE(SUBSTITUTE(SUBSTITUTE(TRIM($W1588),"-",""),".",""),"/","")," ",""),8),4),--MID(LEFT(SUBSTITUTE(SUBSTITUTE(SUBSTITUTE(SUBSTITUTE(TRIM($W1588),"-",""),".",""),"/","")," ",""),8),5,2),--MID(LEFT(SUBSTITUTE(SUBSTITUTE(SUBSTITUTE(SUBSTITUTE(TRIM($W1588),"-",""),".",""),"/","")," ",""),8),7,2)),"")))</f>
        <v/>
      </c>
      <c r="Y1588" s="32">
        <f>IF($X1588="","",INT($X1588))</f>
        <v/>
      </c>
      <c r="Z1588" s="33">
        <f>IF(OR($Y1588="",$D$6=""),"",IF(INDEX($A:$U,ROW(),$D$6)="",0,IF(ISNUMBER(INDEX($A:$U,ROW(),$D$6)),INDEX($A:$U,ROW(),$D$6),IFERROR(--SUBSTITUTE(SUBSTITUTE(TRIM(INDEX($A:$U,ROW(),$D$6)),",",""),"원",""),0))))</f>
        <v/>
      </c>
      <c r="AA1588" s="31">
        <f>IF($Y1588="","",TRIM(INDEX($A:$U,ROW(),$E$6)&amp;IF($F$6="",""," "&amp;INDEX($A:$U,ROW(),$F$6))))</f>
        <v/>
      </c>
      <c r="AB1588" s="31">
        <f>IF($AA1588="","",SUBSTITUTE(SUBSTITUTE(SUBSTITUTE(SUBSTITUTE(SUBSTITUTE(SUBSTITUTE(SUBSTITUTE(SUBSTITUTE(SUBSTITUTE($AA1588," ",""),"　",""),"(주)",""),"（주）",""),"㈜",""),"주식회사",""),"(유)",""),"（유）",""),"유한회사",""))</f>
        <v/>
      </c>
      <c r="AC1588" s="31">
        <f>IF(OR($Y1588="",N($Z1588)&lt;=0,$AB1588=""),0,IFERROR(LOOKUP(2,1/((거래처별!$AC$8:$AC$307&lt;&gt;"")*ISNUMBER(SEARCH(거래처별!$AC$8:$AC$307,$AB1588))),거래처별!$A$8:$A$307),IFERROR(LOOKUP(2,1/((거래처별!$AD$8:$AD$307&lt;&gt;"")*ISNUMBER(SEARCH(거래처별!$AD$8:$AD$307,$AB1588))),거래처별!$A$8:$A$307),IFERROR(LOOKUP(2,1/((거래처별!$AE$8:$AE$307&lt;&gt;"")*ISNUMBER(SEARCH(거래처별!$AE$8:$AE$307,$AB1588))),거래처별!$A$8:$A$307),0))))</f>
        <v/>
      </c>
      <c r="AD1588" s="31">
        <f>IF(AND($Y1588&lt;&gt;"",N($Z1588)&gt;0,$AC1588=0),MAX($AD$7:$AD1587)+1,"")</f>
        <v/>
      </c>
      <c r="AE1588" s="31">
        <f>IF($Y1588="",0,$Y1588)</f>
        <v/>
      </c>
    </row>
    <row r="1589">
      <c r="W1589" s="31">
        <f>IF(OR($B$5="",$C$6="",ROW()&lt;$B$5),"",IF(INDEX($A:$U,ROW(),$C$6)="","",INDEX($A:$U,ROW(),$C$6)))</f>
        <v/>
      </c>
      <c r="X1589" s="32">
        <f>IF($W1589="","",IF(ISNUMBER($W1589),IF($W1589&gt;=10000000,IFERROR(DATE(INT($W1589/10000),MOD(INT($W1589/100),100),MOD($W1589,100)),""),INT($W1589)),IFERROR(DATE(--LEFT(LEFT(SUBSTITUTE(SUBSTITUTE(SUBSTITUTE(SUBSTITUTE(TRIM($W1589),"-",""),".",""),"/","")," ",""),8),4),--MID(LEFT(SUBSTITUTE(SUBSTITUTE(SUBSTITUTE(SUBSTITUTE(TRIM($W1589),"-",""),".",""),"/","")," ",""),8),5,2),--MID(LEFT(SUBSTITUTE(SUBSTITUTE(SUBSTITUTE(SUBSTITUTE(TRIM($W1589),"-",""),".",""),"/","")," ",""),8),7,2)),"")))</f>
        <v/>
      </c>
      <c r="Y1589" s="32">
        <f>IF($X1589="","",INT($X1589))</f>
        <v/>
      </c>
      <c r="Z1589" s="33">
        <f>IF(OR($Y1589="",$D$6=""),"",IF(INDEX($A:$U,ROW(),$D$6)="",0,IF(ISNUMBER(INDEX($A:$U,ROW(),$D$6)),INDEX($A:$U,ROW(),$D$6),IFERROR(--SUBSTITUTE(SUBSTITUTE(TRIM(INDEX($A:$U,ROW(),$D$6)),",",""),"원",""),0))))</f>
        <v/>
      </c>
      <c r="AA1589" s="31">
        <f>IF($Y1589="","",TRIM(INDEX($A:$U,ROW(),$E$6)&amp;IF($F$6="",""," "&amp;INDEX($A:$U,ROW(),$F$6))))</f>
        <v/>
      </c>
      <c r="AB1589" s="31">
        <f>IF($AA1589="","",SUBSTITUTE(SUBSTITUTE(SUBSTITUTE(SUBSTITUTE(SUBSTITUTE(SUBSTITUTE(SUBSTITUTE(SUBSTITUTE(SUBSTITUTE($AA1589," ",""),"　",""),"(주)",""),"（주）",""),"㈜",""),"주식회사",""),"(유)",""),"（유）",""),"유한회사",""))</f>
        <v/>
      </c>
      <c r="AC1589" s="31">
        <f>IF(OR($Y1589="",N($Z1589)&lt;=0,$AB1589=""),0,IFERROR(LOOKUP(2,1/((거래처별!$AC$8:$AC$307&lt;&gt;"")*ISNUMBER(SEARCH(거래처별!$AC$8:$AC$307,$AB1589))),거래처별!$A$8:$A$307),IFERROR(LOOKUP(2,1/((거래처별!$AD$8:$AD$307&lt;&gt;"")*ISNUMBER(SEARCH(거래처별!$AD$8:$AD$307,$AB1589))),거래처별!$A$8:$A$307),IFERROR(LOOKUP(2,1/((거래처별!$AE$8:$AE$307&lt;&gt;"")*ISNUMBER(SEARCH(거래처별!$AE$8:$AE$307,$AB1589))),거래처별!$A$8:$A$307),0))))</f>
        <v/>
      </c>
      <c r="AD1589" s="31">
        <f>IF(AND($Y1589&lt;&gt;"",N($Z1589)&gt;0,$AC1589=0),MAX($AD$7:$AD1588)+1,"")</f>
        <v/>
      </c>
      <c r="AE1589" s="31">
        <f>IF($Y1589="",0,$Y1589)</f>
        <v/>
      </c>
    </row>
    <row r="1590">
      <c r="W1590" s="31">
        <f>IF(OR($B$5="",$C$6="",ROW()&lt;$B$5),"",IF(INDEX($A:$U,ROW(),$C$6)="","",INDEX($A:$U,ROW(),$C$6)))</f>
        <v/>
      </c>
      <c r="X1590" s="32">
        <f>IF($W1590="","",IF(ISNUMBER($W1590),IF($W1590&gt;=10000000,IFERROR(DATE(INT($W1590/10000),MOD(INT($W1590/100),100),MOD($W1590,100)),""),INT($W1590)),IFERROR(DATE(--LEFT(LEFT(SUBSTITUTE(SUBSTITUTE(SUBSTITUTE(SUBSTITUTE(TRIM($W1590),"-",""),".",""),"/","")," ",""),8),4),--MID(LEFT(SUBSTITUTE(SUBSTITUTE(SUBSTITUTE(SUBSTITUTE(TRIM($W1590),"-",""),".",""),"/","")," ",""),8),5,2),--MID(LEFT(SUBSTITUTE(SUBSTITUTE(SUBSTITUTE(SUBSTITUTE(TRIM($W1590),"-",""),".",""),"/","")," ",""),8),7,2)),"")))</f>
        <v/>
      </c>
      <c r="Y1590" s="32">
        <f>IF($X1590="","",INT($X1590))</f>
        <v/>
      </c>
      <c r="Z1590" s="33">
        <f>IF(OR($Y1590="",$D$6=""),"",IF(INDEX($A:$U,ROW(),$D$6)="",0,IF(ISNUMBER(INDEX($A:$U,ROW(),$D$6)),INDEX($A:$U,ROW(),$D$6),IFERROR(--SUBSTITUTE(SUBSTITUTE(TRIM(INDEX($A:$U,ROW(),$D$6)),",",""),"원",""),0))))</f>
        <v/>
      </c>
      <c r="AA1590" s="31">
        <f>IF($Y1590="","",TRIM(INDEX($A:$U,ROW(),$E$6)&amp;IF($F$6="",""," "&amp;INDEX($A:$U,ROW(),$F$6))))</f>
        <v/>
      </c>
      <c r="AB1590" s="31">
        <f>IF($AA1590="","",SUBSTITUTE(SUBSTITUTE(SUBSTITUTE(SUBSTITUTE(SUBSTITUTE(SUBSTITUTE(SUBSTITUTE(SUBSTITUTE(SUBSTITUTE($AA1590," ",""),"　",""),"(주)",""),"（주）",""),"㈜",""),"주식회사",""),"(유)",""),"（유）",""),"유한회사",""))</f>
        <v/>
      </c>
      <c r="AC1590" s="31">
        <f>IF(OR($Y1590="",N($Z1590)&lt;=0,$AB1590=""),0,IFERROR(LOOKUP(2,1/((거래처별!$AC$8:$AC$307&lt;&gt;"")*ISNUMBER(SEARCH(거래처별!$AC$8:$AC$307,$AB1590))),거래처별!$A$8:$A$307),IFERROR(LOOKUP(2,1/((거래처별!$AD$8:$AD$307&lt;&gt;"")*ISNUMBER(SEARCH(거래처별!$AD$8:$AD$307,$AB1590))),거래처별!$A$8:$A$307),IFERROR(LOOKUP(2,1/((거래처별!$AE$8:$AE$307&lt;&gt;"")*ISNUMBER(SEARCH(거래처별!$AE$8:$AE$307,$AB1590))),거래처별!$A$8:$A$307),0))))</f>
        <v/>
      </c>
      <c r="AD1590" s="31">
        <f>IF(AND($Y1590&lt;&gt;"",N($Z1590)&gt;0,$AC1590=0),MAX($AD$7:$AD1589)+1,"")</f>
        <v/>
      </c>
      <c r="AE1590" s="31">
        <f>IF($Y1590="",0,$Y1590)</f>
        <v/>
      </c>
    </row>
    <row r="1591">
      <c r="W1591" s="31">
        <f>IF(OR($B$5="",$C$6="",ROW()&lt;$B$5),"",IF(INDEX($A:$U,ROW(),$C$6)="","",INDEX($A:$U,ROW(),$C$6)))</f>
        <v/>
      </c>
      <c r="X1591" s="32">
        <f>IF($W1591="","",IF(ISNUMBER($W1591),IF($W1591&gt;=10000000,IFERROR(DATE(INT($W1591/10000),MOD(INT($W1591/100),100),MOD($W1591,100)),""),INT($W1591)),IFERROR(DATE(--LEFT(LEFT(SUBSTITUTE(SUBSTITUTE(SUBSTITUTE(SUBSTITUTE(TRIM($W1591),"-",""),".",""),"/","")," ",""),8),4),--MID(LEFT(SUBSTITUTE(SUBSTITUTE(SUBSTITUTE(SUBSTITUTE(TRIM($W1591),"-",""),".",""),"/","")," ",""),8),5,2),--MID(LEFT(SUBSTITUTE(SUBSTITUTE(SUBSTITUTE(SUBSTITUTE(TRIM($W1591),"-",""),".",""),"/","")," ",""),8),7,2)),"")))</f>
        <v/>
      </c>
      <c r="Y1591" s="32">
        <f>IF($X1591="","",INT($X1591))</f>
        <v/>
      </c>
      <c r="Z1591" s="33">
        <f>IF(OR($Y1591="",$D$6=""),"",IF(INDEX($A:$U,ROW(),$D$6)="",0,IF(ISNUMBER(INDEX($A:$U,ROW(),$D$6)),INDEX($A:$U,ROW(),$D$6),IFERROR(--SUBSTITUTE(SUBSTITUTE(TRIM(INDEX($A:$U,ROW(),$D$6)),",",""),"원",""),0))))</f>
        <v/>
      </c>
      <c r="AA1591" s="31">
        <f>IF($Y1591="","",TRIM(INDEX($A:$U,ROW(),$E$6)&amp;IF($F$6="",""," "&amp;INDEX($A:$U,ROW(),$F$6))))</f>
        <v/>
      </c>
      <c r="AB1591" s="31">
        <f>IF($AA1591="","",SUBSTITUTE(SUBSTITUTE(SUBSTITUTE(SUBSTITUTE(SUBSTITUTE(SUBSTITUTE(SUBSTITUTE(SUBSTITUTE(SUBSTITUTE($AA1591," ",""),"　",""),"(주)",""),"（주）",""),"㈜",""),"주식회사",""),"(유)",""),"（유）",""),"유한회사",""))</f>
        <v/>
      </c>
      <c r="AC1591" s="31">
        <f>IF(OR($Y1591="",N($Z1591)&lt;=0,$AB1591=""),0,IFERROR(LOOKUP(2,1/((거래처별!$AC$8:$AC$307&lt;&gt;"")*ISNUMBER(SEARCH(거래처별!$AC$8:$AC$307,$AB1591))),거래처별!$A$8:$A$307),IFERROR(LOOKUP(2,1/((거래처별!$AD$8:$AD$307&lt;&gt;"")*ISNUMBER(SEARCH(거래처별!$AD$8:$AD$307,$AB1591))),거래처별!$A$8:$A$307),IFERROR(LOOKUP(2,1/((거래처별!$AE$8:$AE$307&lt;&gt;"")*ISNUMBER(SEARCH(거래처별!$AE$8:$AE$307,$AB1591))),거래처별!$A$8:$A$307),0))))</f>
        <v/>
      </c>
      <c r="AD1591" s="31">
        <f>IF(AND($Y1591&lt;&gt;"",N($Z1591)&gt;0,$AC1591=0),MAX($AD$7:$AD1590)+1,"")</f>
        <v/>
      </c>
      <c r="AE1591" s="31">
        <f>IF($Y1591="",0,$Y1591)</f>
        <v/>
      </c>
    </row>
    <row r="1592">
      <c r="W1592" s="31">
        <f>IF(OR($B$5="",$C$6="",ROW()&lt;$B$5),"",IF(INDEX($A:$U,ROW(),$C$6)="","",INDEX($A:$U,ROW(),$C$6)))</f>
        <v/>
      </c>
      <c r="X1592" s="32">
        <f>IF($W1592="","",IF(ISNUMBER($W1592),IF($W1592&gt;=10000000,IFERROR(DATE(INT($W1592/10000),MOD(INT($W1592/100),100),MOD($W1592,100)),""),INT($W1592)),IFERROR(DATE(--LEFT(LEFT(SUBSTITUTE(SUBSTITUTE(SUBSTITUTE(SUBSTITUTE(TRIM($W1592),"-",""),".",""),"/","")," ",""),8),4),--MID(LEFT(SUBSTITUTE(SUBSTITUTE(SUBSTITUTE(SUBSTITUTE(TRIM($W1592),"-",""),".",""),"/","")," ",""),8),5,2),--MID(LEFT(SUBSTITUTE(SUBSTITUTE(SUBSTITUTE(SUBSTITUTE(TRIM($W1592),"-",""),".",""),"/","")," ",""),8),7,2)),"")))</f>
        <v/>
      </c>
      <c r="Y1592" s="32">
        <f>IF($X1592="","",INT($X1592))</f>
        <v/>
      </c>
      <c r="Z1592" s="33">
        <f>IF(OR($Y1592="",$D$6=""),"",IF(INDEX($A:$U,ROW(),$D$6)="",0,IF(ISNUMBER(INDEX($A:$U,ROW(),$D$6)),INDEX($A:$U,ROW(),$D$6),IFERROR(--SUBSTITUTE(SUBSTITUTE(TRIM(INDEX($A:$U,ROW(),$D$6)),",",""),"원",""),0))))</f>
        <v/>
      </c>
      <c r="AA1592" s="31">
        <f>IF($Y1592="","",TRIM(INDEX($A:$U,ROW(),$E$6)&amp;IF($F$6="",""," "&amp;INDEX($A:$U,ROW(),$F$6))))</f>
        <v/>
      </c>
      <c r="AB1592" s="31">
        <f>IF($AA1592="","",SUBSTITUTE(SUBSTITUTE(SUBSTITUTE(SUBSTITUTE(SUBSTITUTE(SUBSTITUTE(SUBSTITUTE(SUBSTITUTE(SUBSTITUTE($AA1592," ",""),"　",""),"(주)",""),"（주）",""),"㈜",""),"주식회사",""),"(유)",""),"（유）",""),"유한회사",""))</f>
        <v/>
      </c>
      <c r="AC1592" s="31">
        <f>IF(OR($Y1592="",N($Z1592)&lt;=0,$AB1592=""),0,IFERROR(LOOKUP(2,1/((거래처별!$AC$8:$AC$307&lt;&gt;"")*ISNUMBER(SEARCH(거래처별!$AC$8:$AC$307,$AB1592))),거래처별!$A$8:$A$307),IFERROR(LOOKUP(2,1/((거래처별!$AD$8:$AD$307&lt;&gt;"")*ISNUMBER(SEARCH(거래처별!$AD$8:$AD$307,$AB1592))),거래처별!$A$8:$A$307),IFERROR(LOOKUP(2,1/((거래처별!$AE$8:$AE$307&lt;&gt;"")*ISNUMBER(SEARCH(거래처별!$AE$8:$AE$307,$AB1592))),거래처별!$A$8:$A$307),0))))</f>
        <v/>
      </c>
      <c r="AD1592" s="31">
        <f>IF(AND($Y1592&lt;&gt;"",N($Z1592)&gt;0,$AC1592=0),MAX($AD$7:$AD1591)+1,"")</f>
        <v/>
      </c>
      <c r="AE1592" s="31">
        <f>IF($Y1592="",0,$Y1592)</f>
        <v/>
      </c>
    </row>
    <row r="1593">
      <c r="W1593" s="31">
        <f>IF(OR($B$5="",$C$6="",ROW()&lt;$B$5),"",IF(INDEX($A:$U,ROW(),$C$6)="","",INDEX($A:$U,ROW(),$C$6)))</f>
        <v/>
      </c>
      <c r="X1593" s="32">
        <f>IF($W1593="","",IF(ISNUMBER($W1593),IF($W1593&gt;=10000000,IFERROR(DATE(INT($W1593/10000),MOD(INT($W1593/100),100),MOD($W1593,100)),""),INT($W1593)),IFERROR(DATE(--LEFT(LEFT(SUBSTITUTE(SUBSTITUTE(SUBSTITUTE(SUBSTITUTE(TRIM($W1593),"-",""),".",""),"/","")," ",""),8),4),--MID(LEFT(SUBSTITUTE(SUBSTITUTE(SUBSTITUTE(SUBSTITUTE(TRIM($W1593),"-",""),".",""),"/","")," ",""),8),5,2),--MID(LEFT(SUBSTITUTE(SUBSTITUTE(SUBSTITUTE(SUBSTITUTE(TRIM($W1593),"-",""),".",""),"/","")," ",""),8),7,2)),"")))</f>
        <v/>
      </c>
      <c r="Y1593" s="32">
        <f>IF($X1593="","",INT($X1593))</f>
        <v/>
      </c>
      <c r="Z1593" s="33">
        <f>IF(OR($Y1593="",$D$6=""),"",IF(INDEX($A:$U,ROW(),$D$6)="",0,IF(ISNUMBER(INDEX($A:$U,ROW(),$D$6)),INDEX($A:$U,ROW(),$D$6),IFERROR(--SUBSTITUTE(SUBSTITUTE(TRIM(INDEX($A:$U,ROW(),$D$6)),",",""),"원",""),0))))</f>
        <v/>
      </c>
      <c r="AA1593" s="31">
        <f>IF($Y1593="","",TRIM(INDEX($A:$U,ROW(),$E$6)&amp;IF($F$6="",""," "&amp;INDEX($A:$U,ROW(),$F$6))))</f>
        <v/>
      </c>
      <c r="AB1593" s="31">
        <f>IF($AA1593="","",SUBSTITUTE(SUBSTITUTE(SUBSTITUTE(SUBSTITUTE(SUBSTITUTE(SUBSTITUTE(SUBSTITUTE(SUBSTITUTE(SUBSTITUTE($AA1593," ",""),"　",""),"(주)",""),"（주）",""),"㈜",""),"주식회사",""),"(유)",""),"（유）",""),"유한회사",""))</f>
        <v/>
      </c>
      <c r="AC1593" s="31">
        <f>IF(OR($Y1593="",N($Z1593)&lt;=0,$AB1593=""),0,IFERROR(LOOKUP(2,1/((거래처별!$AC$8:$AC$307&lt;&gt;"")*ISNUMBER(SEARCH(거래처별!$AC$8:$AC$307,$AB1593))),거래처별!$A$8:$A$307),IFERROR(LOOKUP(2,1/((거래처별!$AD$8:$AD$307&lt;&gt;"")*ISNUMBER(SEARCH(거래처별!$AD$8:$AD$307,$AB1593))),거래처별!$A$8:$A$307),IFERROR(LOOKUP(2,1/((거래처별!$AE$8:$AE$307&lt;&gt;"")*ISNUMBER(SEARCH(거래처별!$AE$8:$AE$307,$AB1593))),거래처별!$A$8:$A$307),0))))</f>
        <v/>
      </c>
      <c r="AD1593" s="31">
        <f>IF(AND($Y1593&lt;&gt;"",N($Z1593)&gt;0,$AC1593=0),MAX($AD$7:$AD1592)+1,"")</f>
        <v/>
      </c>
      <c r="AE1593" s="31">
        <f>IF($Y1593="",0,$Y1593)</f>
        <v/>
      </c>
    </row>
    <row r="1594">
      <c r="W1594" s="31">
        <f>IF(OR($B$5="",$C$6="",ROW()&lt;$B$5),"",IF(INDEX($A:$U,ROW(),$C$6)="","",INDEX($A:$U,ROW(),$C$6)))</f>
        <v/>
      </c>
      <c r="X1594" s="32">
        <f>IF($W1594="","",IF(ISNUMBER($W1594),IF($W1594&gt;=10000000,IFERROR(DATE(INT($W1594/10000),MOD(INT($W1594/100),100),MOD($W1594,100)),""),INT($W1594)),IFERROR(DATE(--LEFT(LEFT(SUBSTITUTE(SUBSTITUTE(SUBSTITUTE(SUBSTITUTE(TRIM($W1594),"-",""),".",""),"/","")," ",""),8),4),--MID(LEFT(SUBSTITUTE(SUBSTITUTE(SUBSTITUTE(SUBSTITUTE(TRIM($W1594),"-",""),".",""),"/","")," ",""),8),5,2),--MID(LEFT(SUBSTITUTE(SUBSTITUTE(SUBSTITUTE(SUBSTITUTE(TRIM($W1594),"-",""),".",""),"/","")," ",""),8),7,2)),"")))</f>
        <v/>
      </c>
      <c r="Y1594" s="32">
        <f>IF($X1594="","",INT($X1594))</f>
        <v/>
      </c>
      <c r="Z1594" s="33">
        <f>IF(OR($Y1594="",$D$6=""),"",IF(INDEX($A:$U,ROW(),$D$6)="",0,IF(ISNUMBER(INDEX($A:$U,ROW(),$D$6)),INDEX($A:$U,ROW(),$D$6),IFERROR(--SUBSTITUTE(SUBSTITUTE(TRIM(INDEX($A:$U,ROW(),$D$6)),",",""),"원",""),0))))</f>
        <v/>
      </c>
      <c r="AA1594" s="31">
        <f>IF($Y1594="","",TRIM(INDEX($A:$U,ROW(),$E$6)&amp;IF($F$6="",""," "&amp;INDEX($A:$U,ROW(),$F$6))))</f>
        <v/>
      </c>
      <c r="AB1594" s="31">
        <f>IF($AA1594="","",SUBSTITUTE(SUBSTITUTE(SUBSTITUTE(SUBSTITUTE(SUBSTITUTE(SUBSTITUTE(SUBSTITUTE(SUBSTITUTE(SUBSTITUTE($AA1594," ",""),"　",""),"(주)",""),"（주）",""),"㈜",""),"주식회사",""),"(유)",""),"（유）",""),"유한회사",""))</f>
        <v/>
      </c>
      <c r="AC1594" s="31">
        <f>IF(OR($Y1594="",N($Z1594)&lt;=0,$AB1594=""),0,IFERROR(LOOKUP(2,1/((거래처별!$AC$8:$AC$307&lt;&gt;"")*ISNUMBER(SEARCH(거래처별!$AC$8:$AC$307,$AB1594))),거래처별!$A$8:$A$307),IFERROR(LOOKUP(2,1/((거래처별!$AD$8:$AD$307&lt;&gt;"")*ISNUMBER(SEARCH(거래처별!$AD$8:$AD$307,$AB1594))),거래처별!$A$8:$A$307),IFERROR(LOOKUP(2,1/((거래처별!$AE$8:$AE$307&lt;&gt;"")*ISNUMBER(SEARCH(거래처별!$AE$8:$AE$307,$AB1594))),거래처별!$A$8:$A$307),0))))</f>
        <v/>
      </c>
      <c r="AD1594" s="31">
        <f>IF(AND($Y1594&lt;&gt;"",N($Z1594)&gt;0,$AC1594=0),MAX($AD$7:$AD1593)+1,"")</f>
        <v/>
      </c>
      <c r="AE1594" s="31">
        <f>IF($Y1594="",0,$Y1594)</f>
        <v/>
      </c>
    </row>
    <row r="1595">
      <c r="W1595" s="31">
        <f>IF(OR($B$5="",$C$6="",ROW()&lt;$B$5),"",IF(INDEX($A:$U,ROW(),$C$6)="","",INDEX($A:$U,ROW(),$C$6)))</f>
        <v/>
      </c>
      <c r="X1595" s="32">
        <f>IF($W1595="","",IF(ISNUMBER($W1595),IF($W1595&gt;=10000000,IFERROR(DATE(INT($W1595/10000),MOD(INT($W1595/100),100),MOD($W1595,100)),""),INT($W1595)),IFERROR(DATE(--LEFT(LEFT(SUBSTITUTE(SUBSTITUTE(SUBSTITUTE(SUBSTITUTE(TRIM($W1595),"-",""),".",""),"/","")," ",""),8),4),--MID(LEFT(SUBSTITUTE(SUBSTITUTE(SUBSTITUTE(SUBSTITUTE(TRIM($W1595),"-",""),".",""),"/","")," ",""),8),5,2),--MID(LEFT(SUBSTITUTE(SUBSTITUTE(SUBSTITUTE(SUBSTITUTE(TRIM($W1595),"-",""),".",""),"/","")," ",""),8),7,2)),"")))</f>
        <v/>
      </c>
      <c r="Y1595" s="32">
        <f>IF($X1595="","",INT($X1595))</f>
        <v/>
      </c>
      <c r="Z1595" s="33">
        <f>IF(OR($Y1595="",$D$6=""),"",IF(INDEX($A:$U,ROW(),$D$6)="",0,IF(ISNUMBER(INDEX($A:$U,ROW(),$D$6)),INDEX($A:$U,ROW(),$D$6),IFERROR(--SUBSTITUTE(SUBSTITUTE(TRIM(INDEX($A:$U,ROW(),$D$6)),",",""),"원",""),0))))</f>
        <v/>
      </c>
      <c r="AA1595" s="31">
        <f>IF($Y1595="","",TRIM(INDEX($A:$U,ROW(),$E$6)&amp;IF($F$6="",""," "&amp;INDEX($A:$U,ROW(),$F$6))))</f>
        <v/>
      </c>
      <c r="AB1595" s="31">
        <f>IF($AA1595="","",SUBSTITUTE(SUBSTITUTE(SUBSTITUTE(SUBSTITUTE(SUBSTITUTE(SUBSTITUTE(SUBSTITUTE(SUBSTITUTE(SUBSTITUTE($AA1595," ",""),"　",""),"(주)",""),"（주）",""),"㈜",""),"주식회사",""),"(유)",""),"（유）",""),"유한회사",""))</f>
        <v/>
      </c>
      <c r="AC1595" s="31">
        <f>IF(OR($Y1595="",N($Z1595)&lt;=0,$AB1595=""),0,IFERROR(LOOKUP(2,1/((거래처별!$AC$8:$AC$307&lt;&gt;"")*ISNUMBER(SEARCH(거래처별!$AC$8:$AC$307,$AB1595))),거래처별!$A$8:$A$307),IFERROR(LOOKUP(2,1/((거래처별!$AD$8:$AD$307&lt;&gt;"")*ISNUMBER(SEARCH(거래처별!$AD$8:$AD$307,$AB1595))),거래처별!$A$8:$A$307),IFERROR(LOOKUP(2,1/((거래처별!$AE$8:$AE$307&lt;&gt;"")*ISNUMBER(SEARCH(거래처별!$AE$8:$AE$307,$AB1595))),거래처별!$A$8:$A$307),0))))</f>
        <v/>
      </c>
      <c r="AD1595" s="31">
        <f>IF(AND($Y1595&lt;&gt;"",N($Z1595)&gt;0,$AC1595=0),MAX($AD$7:$AD1594)+1,"")</f>
        <v/>
      </c>
      <c r="AE1595" s="31">
        <f>IF($Y1595="",0,$Y1595)</f>
        <v/>
      </c>
    </row>
    <row r="1596">
      <c r="W1596" s="31">
        <f>IF(OR($B$5="",$C$6="",ROW()&lt;$B$5),"",IF(INDEX($A:$U,ROW(),$C$6)="","",INDEX($A:$U,ROW(),$C$6)))</f>
        <v/>
      </c>
      <c r="X1596" s="32">
        <f>IF($W1596="","",IF(ISNUMBER($W1596),IF($W1596&gt;=10000000,IFERROR(DATE(INT($W1596/10000),MOD(INT($W1596/100),100),MOD($W1596,100)),""),INT($W1596)),IFERROR(DATE(--LEFT(LEFT(SUBSTITUTE(SUBSTITUTE(SUBSTITUTE(SUBSTITUTE(TRIM($W1596),"-",""),".",""),"/","")," ",""),8),4),--MID(LEFT(SUBSTITUTE(SUBSTITUTE(SUBSTITUTE(SUBSTITUTE(TRIM($W1596),"-",""),".",""),"/","")," ",""),8),5,2),--MID(LEFT(SUBSTITUTE(SUBSTITUTE(SUBSTITUTE(SUBSTITUTE(TRIM($W1596),"-",""),".",""),"/","")," ",""),8),7,2)),"")))</f>
        <v/>
      </c>
      <c r="Y1596" s="32">
        <f>IF($X1596="","",INT($X1596))</f>
        <v/>
      </c>
      <c r="Z1596" s="33">
        <f>IF(OR($Y1596="",$D$6=""),"",IF(INDEX($A:$U,ROW(),$D$6)="",0,IF(ISNUMBER(INDEX($A:$U,ROW(),$D$6)),INDEX($A:$U,ROW(),$D$6),IFERROR(--SUBSTITUTE(SUBSTITUTE(TRIM(INDEX($A:$U,ROW(),$D$6)),",",""),"원",""),0))))</f>
        <v/>
      </c>
      <c r="AA1596" s="31">
        <f>IF($Y1596="","",TRIM(INDEX($A:$U,ROW(),$E$6)&amp;IF($F$6="",""," "&amp;INDEX($A:$U,ROW(),$F$6))))</f>
        <v/>
      </c>
      <c r="AB1596" s="31">
        <f>IF($AA1596="","",SUBSTITUTE(SUBSTITUTE(SUBSTITUTE(SUBSTITUTE(SUBSTITUTE(SUBSTITUTE(SUBSTITUTE(SUBSTITUTE(SUBSTITUTE($AA1596," ",""),"　",""),"(주)",""),"（주）",""),"㈜",""),"주식회사",""),"(유)",""),"（유）",""),"유한회사",""))</f>
        <v/>
      </c>
      <c r="AC1596" s="31">
        <f>IF(OR($Y1596="",N($Z1596)&lt;=0,$AB1596=""),0,IFERROR(LOOKUP(2,1/((거래처별!$AC$8:$AC$307&lt;&gt;"")*ISNUMBER(SEARCH(거래처별!$AC$8:$AC$307,$AB1596))),거래처별!$A$8:$A$307),IFERROR(LOOKUP(2,1/((거래처별!$AD$8:$AD$307&lt;&gt;"")*ISNUMBER(SEARCH(거래처별!$AD$8:$AD$307,$AB1596))),거래처별!$A$8:$A$307),IFERROR(LOOKUP(2,1/((거래처별!$AE$8:$AE$307&lt;&gt;"")*ISNUMBER(SEARCH(거래처별!$AE$8:$AE$307,$AB1596))),거래처별!$A$8:$A$307),0))))</f>
        <v/>
      </c>
      <c r="AD1596" s="31">
        <f>IF(AND($Y1596&lt;&gt;"",N($Z1596)&gt;0,$AC1596=0),MAX($AD$7:$AD1595)+1,"")</f>
        <v/>
      </c>
      <c r="AE1596" s="31">
        <f>IF($Y1596="",0,$Y1596)</f>
        <v/>
      </c>
    </row>
    <row r="1597">
      <c r="W1597" s="31">
        <f>IF(OR($B$5="",$C$6="",ROW()&lt;$B$5),"",IF(INDEX($A:$U,ROW(),$C$6)="","",INDEX($A:$U,ROW(),$C$6)))</f>
        <v/>
      </c>
      <c r="X1597" s="32">
        <f>IF($W1597="","",IF(ISNUMBER($W1597),IF($W1597&gt;=10000000,IFERROR(DATE(INT($W1597/10000),MOD(INT($W1597/100),100),MOD($W1597,100)),""),INT($W1597)),IFERROR(DATE(--LEFT(LEFT(SUBSTITUTE(SUBSTITUTE(SUBSTITUTE(SUBSTITUTE(TRIM($W1597),"-",""),".",""),"/","")," ",""),8),4),--MID(LEFT(SUBSTITUTE(SUBSTITUTE(SUBSTITUTE(SUBSTITUTE(TRIM($W1597),"-",""),".",""),"/","")," ",""),8),5,2),--MID(LEFT(SUBSTITUTE(SUBSTITUTE(SUBSTITUTE(SUBSTITUTE(TRIM($W1597),"-",""),".",""),"/","")," ",""),8),7,2)),"")))</f>
        <v/>
      </c>
      <c r="Y1597" s="32">
        <f>IF($X1597="","",INT($X1597))</f>
        <v/>
      </c>
      <c r="Z1597" s="33">
        <f>IF(OR($Y1597="",$D$6=""),"",IF(INDEX($A:$U,ROW(),$D$6)="",0,IF(ISNUMBER(INDEX($A:$U,ROW(),$D$6)),INDEX($A:$U,ROW(),$D$6),IFERROR(--SUBSTITUTE(SUBSTITUTE(TRIM(INDEX($A:$U,ROW(),$D$6)),",",""),"원",""),0))))</f>
        <v/>
      </c>
      <c r="AA1597" s="31">
        <f>IF($Y1597="","",TRIM(INDEX($A:$U,ROW(),$E$6)&amp;IF($F$6="",""," "&amp;INDEX($A:$U,ROW(),$F$6))))</f>
        <v/>
      </c>
      <c r="AB1597" s="31">
        <f>IF($AA1597="","",SUBSTITUTE(SUBSTITUTE(SUBSTITUTE(SUBSTITUTE(SUBSTITUTE(SUBSTITUTE(SUBSTITUTE(SUBSTITUTE(SUBSTITUTE($AA1597," ",""),"　",""),"(주)",""),"（주）",""),"㈜",""),"주식회사",""),"(유)",""),"（유）",""),"유한회사",""))</f>
        <v/>
      </c>
      <c r="AC1597" s="31">
        <f>IF(OR($Y1597="",N($Z1597)&lt;=0,$AB1597=""),0,IFERROR(LOOKUP(2,1/((거래처별!$AC$8:$AC$307&lt;&gt;"")*ISNUMBER(SEARCH(거래처별!$AC$8:$AC$307,$AB1597))),거래처별!$A$8:$A$307),IFERROR(LOOKUP(2,1/((거래처별!$AD$8:$AD$307&lt;&gt;"")*ISNUMBER(SEARCH(거래처별!$AD$8:$AD$307,$AB1597))),거래처별!$A$8:$A$307),IFERROR(LOOKUP(2,1/((거래처별!$AE$8:$AE$307&lt;&gt;"")*ISNUMBER(SEARCH(거래처별!$AE$8:$AE$307,$AB1597))),거래처별!$A$8:$A$307),0))))</f>
        <v/>
      </c>
      <c r="AD1597" s="31">
        <f>IF(AND($Y1597&lt;&gt;"",N($Z1597)&gt;0,$AC1597=0),MAX($AD$7:$AD1596)+1,"")</f>
        <v/>
      </c>
      <c r="AE1597" s="31">
        <f>IF($Y1597="",0,$Y1597)</f>
        <v/>
      </c>
    </row>
    <row r="1598">
      <c r="W1598" s="31">
        <f>IF(OR($B$5="",$C$6="",ROW()&lt;$B$5),"",IF(INDEX($A:$U,ROW(),$C$6)="","",INDEX($A:$U,ROW(),$C$6)))</f>
        <v/>
      </c>
      <c r="X1598" s="32">
        <f>IF($W1598="","",IF(ISNUMBER($W1598),IF($W1598&gt;=10000000,IFERROR(DATE(INT($W1598/10000),MOD(INT($W1598/100),100),MOD($W1598,100)),""),INT($W1598)),IFERROR(DATE(--LEFT(LEFT(SUBSTITUTE(SUBSTITUTE(SUBSTITUTE(SUBSTITUTE(TRIM($W1598),"-",""),".",""),"/","")," ",""),8),4),--MID(LEFT(SUBSTITUTE(SUBSTITUTE(SUBSTITUTE(SUBSTITUTE(TRIM($W1598),"-",""),".",""),"/","")," ",""),8),5,2),--MID(LEFT(SUBSTITUTE(SUBSTITUTE(SUBSTITUTE(SUBSTITUTE(TRIM($W1598),"-",""),".",""),"/","")," ",""),8),7,2)),"")))</f>
        <v/>
      </c>
      <c r="Y1598" s="32">
        <f>IF($X1598="","",INT($X1598))</f>
        <v/>
      </c>
      <c r="Z1598" s="33">
        <f>IF(OR($Y1598="",$D$6=""),"",IF(INDEX($A:$U,ROW(),$D$6)="",0,IF(ISNUMBER(INDEX($A:$U,ROW(),$D$6)),INDEX($A:$U,ROW(),$D$6),IFERROR(--SUBSTITUTE(SUBSTITUTE(TRIM(INDEX($A:$U,ROW(),$D$6)),",",""),"원",""),0))))</f>
        <v/>
      </c>
      <c r="AA1598" s="31">
        <f>IF($Y1598="","",TRIM(INDEX($A:$U,ROW(),$E$6)&amp;IF($F$6="",""," "&amp;INDEX($A:$U,ROW(),$F$6))))</f>
        <v/>
      </c>
      <c r="AB1598" s="31">
        <f>IF($AA1598="","",SUBSTITUTE(SUBSTITUTE(SUBSTITUTE(SUBSTITUTE(SUBSTITUTE(SUBSTITUTE(SUBSTITUTE(SUBSTITUTE(SUBSTITUTE($AA1598," ",""),"　",""),"(주)",""),"（주）",""),"㈜",""),"주식회사",""),"(유)",""),"（유）",""),"유한회사",""))</f>
        <v/>
      </c>
      <c r="AC1598" s="31">
        <f>IF(OR($Y1598="",N($Z1598)&lt;=0,$AB1598=""),0,IFERROR(LOOKUP(2,1/((거래처별!$AC$8:$AC$307&lt;&gt;"")*ISNUMBER(SEARCH(거래처별!$AC$8:$AC$307,$AB1598))),거래처별!$A$8:$A$307),IFERROR(LOOKUP(2,1/((거래처별!$AD$8:$AD$307&lt;&gt;"")*ISNUMBER(SEARCH(거래처별!$AD$8:$AD$307,$AB1598))),거래처별!$A$8:$A$307),IFERROR(LOOKUP(2,1/((거래처별!$AE$8:$AE$307&lt;&gt;"")*ISNUMBER(SEARCH(거래처별!$AE$8:$AE$307,$AB1598))),거래처별!$A$8:$A$307),0))))</f>
        <v/>
      </c>
      <c r="AD1598" s="31">
        <f>IF(AND($Y1598&lt;&gt;"",N($Z1598)&gt;0,$AC1598=0),MAX($AD$7:$AD1597)+1,"")</f>
        <v/>
      </c>
      <c r="AE1598" s="31">
        <f>IF($Y1598="",0,$Y1598)</f>
        <v/>
      </c>
    </row>
    <row r="1599">
      <c r="W1599" s="31">
        <f>IF(OR($B$5="",$C$6="",ROW()&lt;$B$5),"",IF(INDEX($A:$U,ROW(),$C$6)="","",INDEX($A:$U,ROW(),$C$6)))</f>
        <v/>
      </c>
      <c r="X1599" s="32">
        <f>IF($W1599="","",IF(ISNUMBER($W1599),IF($W1599&gt;=10000000,IFERROR(DATE(INT($W1599/10000),MOD(INT($W1599/100),100),MOD($W1599,100)),""),INT($W1599)),IFERROR(DATE(--LEFT(LEFT(SUBSTITUTE(SUBSTITUTE(SUBSTITUTE(SUBSTITUTE(TRIM($W1599),"-",""),".",""),"/","")," ",""),8),4),--MID(LEFT(SUBSTITUTE(SUBSTITUTE(SUBSTITUTE(SUBSTITUTE(TRIM($W1599),"-",""),".",""),"/","")," ",""),8),5,2),--MID(LEFT(SUBSTITUTE(SUBSTITUTE(SUBSTITUTE(SUBSTITUTE(TRIM($W1599),"-",""),".",""),"/","")," ",""),8),7,2)),"")))</f>
        <v/>
      </c>
      <c r="Y1599" s="32">
        <f>IF($X1599="","",INT($X1599))</f>
        <v/>
      </c>
      <c r="Z1599" s="33">
        <f>IF(OR($Y1599="",$D$6=""),"",IF(INDEX($A:$U,ROW(),$D$6)="",0,IF(ISNUMBER(INDEX($A:$U,ROW(),$D$6)),INDEX($A:$U,ROW(),$D$6),IFERROR(--SUBSTITUTE(SUBSTITUTE(TRIM(INDEX($A:$U,ROW(),$D$6)),",",""),"원",""),0))))</f>
        <v/>
      </c>
      <c r="AA1599" s="31">
        <f>IF($Y1599="","",TRIM(INDEX($A:$U,ROW(),$E$6)&amp;IF($F$6="",""," "&amp;INDEX($A:$U,ROW(),$F$6))))</f>
        <v/>
      </c>
      <c r="AB1599" s="31">
        <f>IF($AA1599="","",SUBSTITUTE(SUBSTITUTE(SUBSTITUTE(SUBSTITUTE(SUBSTITUTE(SUBSTITUTE(SUBSTITUTE(SUBSTITUTE(SUBSTITUTE($AA1599," ",""),"　",""),"(주)",""),"（주）",""),"㈜",""),"주식회사",""),"(유)",""),"（유）",""),"유한회사",""))</f>
        <v/>
      </c>
      <c r="AC1599" s="31">
        <f>IF(OR($Y1599="",N($Z1599)&lt;=0,$AB1599=""),0,IFERROR(LOOKUP(2,1/((거래처별!$AC$8:$AC$307&lt;&gt;"")*ISNUMBER(SEARCH(거래처별!$AC$8:$AC$307,$AB1599))),거래처별!$A$8:$A$307),IFERROR(LOOKUP(2,1/((거래처별!$AD$8:$AD$307&lt;&gt;"")*ISNUMBER(SEARCH(거래처별!$AD$8:$AD$307,$AB1599))),거래처별!$A$8:$A$307),IFERROR(LOOKUP(2,1/((거래처별!$AE$8:$AE$307&lt;&gt;"")*ISNUMBER(SEARCH(거래처별!$AE$8:$AE$307,$AB1599))),거래처별!$A$8:$A$307),0))))</f>
        <v/>
      </c>
      <c r="AD1599" s="31">
        <f>IF(AND($Y1599&lt;&gt;"",N($Z1599)&gt;0,$AC1599=0),MAX($AD$7:$AD1598)+1,"")</f>
        <v/>
      </c>
      <c r="AE1599" s="31">
        <f>IF($Y1599="",0,$Y1599)</f>
        <v/>
      </c>
    </row>
    <row r="1600">
      <c r="W1600" s="31">
        <f>IF(OR($B$5="",$C$6="",ROW()&lt;$B$5),"",IF(INDEX($A:$U,ROW(),$C$6)="","",INDEX($A:$U,ROW(),$C$6)))</f>
        <v/>
      </c>
      <c r="X1600" s="32">
        <f>IF($W1600="","",IF(ISNUMBER($W1600),IF($W1600&gt;=10000000,IFERROR(DATE(INT($W1600/10000),MOD(INT($W1600/100),100),MOD($W1600,100)),""),INT($W1600)),IFERROR(DATE(--LEFT(LEFT(SUBSTITUTE(SUBSTITUTE(SUBSTITUTE(SUBSTITUTE(TRIM($W1600),"-",""),".",""),"/","")," ",""),8),4),--MID(LEFT(SUBSTITUTE(SUBSTITUTE(SUBSTITUTE(SUBSTITUTE(TRIM($W1600),"-",""),".",""),"/","")," ",""),8),5,2),--MID(LEFT(SUBSTITUTE(SUBSTITUTE(SUBSTITUTE(SUBSTITUTE(TRIM($W1600),"-",""),".",""),"/","")," ",""),8),7,2)),"")))</f>
        <v/>
      </c>
      <c r="Y1600" s="32">
        <f>IF($X1600="","",INT($X1600))</f>
        <v/>
      </c>
      <c r="Z1600" s="33">
        <f>IF(OR($Y1600="",$D$6=""),"",IF(INDEX($A:$U,ROW(),$D$6)="",0,IF(ISNUMBER(INDEX($A:$U,ROW(),$D$6)),INDEX($A:$U,ROW(),$D$6),IFERROR(--SUBSTITUTE(SUBSTITUTE(TRIM(INDEX($A:$U,ROW(),$D$6)),",",""),"원",""),0))))</f>
        <v/>
      </c>
      <c r="AA1600" s="31">
        <f>IF($Y1600="","",TRIM(INDEX($A:$U,ROW(),$E$6)&amp;IF($F$6="",""," "&amp;INDEX($A:$U,ROW(),$F$6))))</f>
        <v/>
      </c>
      <c r="AB1600" s="31">
        <f>IF($AA1600="","",SUBSTITUTE(SUBSTITUTE(SUBSTITUTE(SUBSTITUTE(SUBSTITUTE(SUBSTITUTE(SUBSTITUTE(SUBSTITUTE(SUBSTITUTE($AA1600," ",""),"　",""),"(주)",""),"（주）",""),"㈜",""),"주식회사",""),"(유)",""),"（유）",""),"유한회사",""))</f>
        <v/>
      </c>
      <c r="AC1600" s="31">
        <f>IF(OR($Y1600="",N($Z1600)&lt;=0,$AB1600=""),0,IFERROR(LOOKUP(2,1/((거래처별!$AC$8:$AC$307&lt;&gt;"")*ISNUMBER(SEARCH(거래처별!$AC$8:$AC$307,$AB1600))),거래처별!$A$8:$A$307),IFERROR(LOOKUP(2,1/((거래처별!$AD$8:$AD$307&lt;&gt;"")*ISNUMBER(SEARCH(거래처별!$AD$8:$AD$307,$AB1600))),거래처별!$A$8:$A$307),IFERROR(LOOKUP(2,1/((거래처별!$AE$8:$AE$307&lt;&gt;"")*ISNUMBER(SEARCH(거래처별!$AE$8:$AE$307,$AB1600))),거래처별!$A$8:$A$307),0))))</f>
        <v/>
      </c>
      <c r="AD1600" s="31">
        <f>IF(AND($Y1600&lt;&gt;"",N($Z1600)&gt;0,$AC1600=0),MAX($AD$7:$AD1599)+1,"")</f>
        <v/>
      </c>
      <c r="AE1600" s="31">
        <f>IF($Y1600="",0,$Y1600)</f>
        <v/>
      </c>
    </row>
    <row r="1601">
      <c r="W1601" s="31">
        <f>IF(OR($B$5="",$C$6="",ROW()&lt;$B$5),"",IF(INDEX($A:$U,ROW(),$C$6)="","",INDEX($A:$U,ROW(),$C$6)))</f>
        <v/>
      </c>
      <c r="X1601" s="32">
        <f>IF($W1601="","",IF(ISNUMBER($W1601),IF($W1601&gt;=10000000,IFERROR(DATE(INT($W1601/10000),MOD(INT($W1601/100),100),MOD($W1601,100)),""),INT($W1601)),IFERROR(DATE(--LEFT(LEFT(SUBSTITUTE(SUBSTITUTE(SUBSTITUTE(SUBSTITUTE(TRIM($W1601),"-",""),".",""),"/","")," ",""),8),4),--MID(LEFT(SUBSTITUTE(SUBSTITUTE(SUBSTITUTE(SUBSTITUTE(TRIM($W1601),"-",""),".",""),"/","")," ",""),8),5,2),--MID(LEFT(SUBSTITUTE(SUBSTITUTE(SUBSTITUTE(SUBSTITUTE(TRIM($W1601),"-",""),".",""),"/","")," ",""),8),7,2)),"")))</f>
        <v/>
      </c>
      <c r="Y1601" s="32">
        <f>IF($X1601="","",INT($X1601))</f>
        <v/>
      </c>
      <c r="Z1601" s="33">
        <f>IF(OR($Y1601="",$D$6=""),"",IF(INDEX($A:$U,ROW(),$D$6)="",0,IF(ISNUMBER(INDEX($A:$U,ROW(),$D$6)),INDEX($A:$U,ROW(),$D$6),IFERROR(--SUBSTITUTE(SUBSTITUTE(TRIM(INDEX($A:$U,ROW(),$D$6)),",",""),"원",""),0))))</f>
        <v/>
      </c>
      <c r="AA1601" s="31">
        <f>IF($Y1601="","",TRIM(INDEX($A:$U,ROW(),$E$6)&amp;IF($F$6="",""," "&amp;INDEX($A:$U,ROW(),$F$6))))</f>
        <v/>
      </c>
      <c r="AB1601" s="31">
        <f>IF($AA1601="","",SUBSTITUTE(SUBSTITUTE(SUBSTITUTE(SUBSTITUTE(SUBSTITUTE(SUBSTITUTE(SUBSTITUTE(SUBSTITUTE(SUBSTITUTE($AA1601," ",""),"　",""),"(주)",""),"（주）",""),"㈜",""),"주식회사",""),"(유)",""),"（유）",""),"유한회사",""))</f>
        <v/>
      </c>
      <c r="AC1601" s="31">
        <f>IF(OR($Y1601="",N($Z1601)&lt;=0,$AB1601=""),0,IFERROR(LOOKUP(2,1/((거래처별!$AC$8:$AC$307&lt;&gt;"")*ISNUMBER(SEARCH(거래처별!$AC$8:$AC$307,$AB1601))),거래처별!$A$8:$A$307),IFERROR(LOOKUP(2,1/((거래처별!$AD$8:$AD$307&lt;&gt;"")*ISNUMBER(SEARCH(거래처별!$AD$8:$AD$307,$AB1601))),거래처별!$A$8:$A$307),IFERROR(LOOKUP(2,1/((거래처별!$AE$8:$AE$307&lt;&gt;"")*ISNUMBER(SEARCH(거래처별!$AE$8:$AE$307,$AB1601))),거래처별!$A$8:$A$307),0))))</f>
        <v/>
      </c>
      <c r="AD1601" s="31">
        <f>IF(AND($Y1601&lt;&gt;"",N($Z1601)&gt;0,$AC1601=0),MAX($AD$7:$AD1600)+1,"")</f>
        <v/>
      </c>
      <c r="AE1601" s="31">
        <f>IF($Y1601="",0,$Y1601)</f>
        <v/>
      </c>
    </row>
    <row r="1602">
      <c r="W1602" s="31">
        <f>IF(OR($B$5="",$C$6="",ROW()&lt;$B$5),"",IF(INDEX($A:$U,ROW(),$C$6)="","",INDEX($A:$U,ROW(),$C$6)))</f>
        <v/>
      </c>
      <c r="X1602" s="32">
        <f>IF($W1602="","",IF(ISNUMBER($W1602),IF($W1602&gt;=10000000,IFERROR(DATE(INT($W1602/10000),MOD(INT($W1602/100),100),MOD($W1602,100)),""),INT($W1602)),IFERROR(DATE(--LEFT(LEFT(SUBSTITUTE(SUBSTITUTE(SUBSTITUTE(SUBSTITUTE(TRIM($W1602),"-",""),".",""),"/","")," ",""),8),4),--MID(LEFT(SUBSTITUTE(SUBSTITUTE(SUBSTITUTE(SUBSTITUTE(TRIM($W1602),"-",""),".",""),"/","")," ",""),8),5,2),--MID(LEFT(SUBSTITUTE(SUBSTITUTE(SUBSTITUTE(SUBSTITUTE(TRIM($W1602),"-",""),".",""),"/","")," ",""),8),7,2)),"")))</f>
        <v/>
      </c>
      <c r="Y1602" s="32">
        <f>IF($X1602="","",INT($X1602))</f>
        <v/>
      </c>
      <c r="Z1602" s="33">
        <f>IF(OR($Y1602="",$D$6=""),"",IF(INDEX($A:$U,ROW(),$D$6)="",0,IF(ISNUMBER(INDEX($A:$U,ROW(),$D$6)),INDEX($A:$U,ROW(),$D$6),IFERROR(--SUBSTITUTE(SUBSTITUTE(TRIM(INDEX($A:$U,ROW(),$D$6)),",",""),"원",""),0))))</f>
        <v/>
      </c>
      <c r="AA1602" s="31">
        <f>IF($Y1602="","",TRIM(INDEX($A:$U,ROW(),$E$6)&amp;IF($F$6="",""," "&amp;INDEX($A:$U,ROW(),$F$6))))</f>
        <v/>
      </c>
      <c r="AB1602" s="31">
        <f>IF($AA1602="","",SUBSTITUTE(SUBSTITUTE(SUBSTITUTE(SUBSTITUTE(SUBSTITUTE(SUBSTITUTE(SUBSTITUTE(SUBSTITUTE(SUBSTITUTE($AA1602," ",""),"　",""),"(주)",""),"（주）",""),"㈜",""),"주식회사",""),"(유)",""),"（유）",""),"유한회사",""))</f>
        <v/>
      </c>
      <c r="AC1602" s="31">
        <f>IF(OR($Y1602="",N($Z1602)&lt;=0,$AB1602=""),0,IFERROR(LOOKUP(2,1/((거래처별!$AC$8:$AC$307&lt;&gt;"")*ISNUMBER(SEARCH(거래처별!$AC$8:$AC$307,$AB1602))),거래처별!$A$8:$A$307),IFERROR(LOOKUP(2,1/((거래처별!$AD$8:$AD$307&lt;&gt;"")*ISNUMBER(SEARCH(거래처별!$AD$8:$AD$307,$AB1602))),거래처별!$A$8:$A$307),IFERROR(LOOKUP(2,1/((거래처별!$AE$8:$AE$307&lt;&gt;"")*ISNUMBER(SEARCH(거래처별!$AE$8:$AE$307,$AB1602))),거래처별!$A$8:$A$307),0))))</f>
        <v/>
      </c>
      <c r="AD1602" s="31">
        <f>IF(AND($Y1602&lt;&gt;"",N($Z1602)&gt;0,$AC1602=0),MAX($AD$7:$AD1601)+1,"")</f>
        <v/>
      </c>
      <c r="AE1602" s="31">
        <f>IF($Y1602="",0,$Y1602)</f>
        <v/>
      </c>
    </row>
    <row r="1603">
      <c r="W1603" s="31">
        <f>IF(OR($B$5="",$C$6="",ROW()&lt;$B$5),"",IF(INDEX($A:$U,ROW(),$C$6)="","",INDEX($A:$U,ROW(),$C$6)))</f>
        <v/>
      </c>
      <c r="X1603" s="32">
        <f>IF($W1603="","",IF(ISNUMBER($W1603),IF($W1603&gt;=10000000,IFERROR(DATE(INT($W1603/10000),MOD(INT($W1603/100),100),MOD($W1603,100)),""),INT($W1603)),IFERROR(DATE(--LEFT(LEFT(SUBSTITUTE(SUBSTITUTE(SUBSTITUTE(SUBSTITUTE(TRIM($W1603),"-",""),".",""),"/","")," ",""),8),4),--MID(LEFT(SUBSTITUTE(SUBSTITUTE(SUBSTITUTE(SUBSTITUTE(TRIM($W1603),"-",""),".",""),"/","")," ",""),8),5,2),--MID(LEFT(SUBSTITUTE(SUBSTITUTE(SUBSTITUTE(SUBSTITUTE(TRIM($W1603),"-",""),".",""),"/","")," ",""),8),7,2)),"")))</f>
        <v/>
      </c>
      <c r="Y1603" s="32">
        <f>IF($X1603="","",INT($X1603))</f>
        <v/>
      </c>
      <c r="Z1603" s="33">
        <f>IF(OR($Y1603="",$D$6=""),"",IF(INDEX($A:$U,ROW(),$D$6)="",0,IF(ISNUMBER(INDEX($A:$U,ROW(),$D$6)),INDEX($A:$U,ROW(),$D$6),IFERROR(--SUBSTITUTE(SUBSTITUTE(TRIM(INDEX($A:$U,ROW(),$D$6)),",",""),"원",""),0))))</f>
        <v/>
      </c>
      <c r="AA1603" s="31">
        <f>IF($Y1603="","",TRIM(INDEX($A:$U,ROW(),$E$6)&amp;IF($F$6="",""," "&amp;INDEX($A:$U,ROW(),$F$6))))</f>
        <v/>
      </c>
      <c r="AB1603" s="31">
        <f>IF($AA1603="","",SUBSTITUTE(SUBSTITUTE(SUBSTITUTE(SUBSTITUTE(SUBSTITUTE(SUBSTITUTE(SUBSTITUTE(SUBSTITUTE(SUBSTITUTE($AA1603," ",""),"　",""),"(주)",""),"（주）",""),"㈜",""),"주식회사",""),"(유)",""),"（유）",""),"유한회사",""))</f>
        <v/>
      </c>
      <c r="AC1603" s="31">
        <f>IF(OR($Y1603="",N($Z1603)&lt;=0,$AB1603=""),0,IFERROR(LOOKUP(2,1/((거래처별!$AC$8:$AC$307&lt;&gt;"")*ISNUMBER(SEARCH(거래처별!$AC$8:$AC$307,$AB1603))),거래처별!$A$8:$A$307),IFERROR(LOOKUP(2,1/((거래처별!$AD$8:$AD$307&lt;&gt;"")*ISNUMBER(SEARCH(거래처별!$AD$8:$AD$307,$AB1603))),거래처별!$A$8:$A$307),IFERROR(LOOKUP(2,1/((거래처별!$AE$8:$AE$307&lt;&gt;"")*ISNUMBER(SEARCH(거래처별!$AE$8:$AE$307,$AB1603))),거래처별!$A$8:$A$307),0))))</f>
        <v/>
      </c>
      <c r="AD1603" s="31">
        <f>IF(AND($Y1603&lt;&gt;"",N($Z1603)&gt;0,$AC1603=0),MAX($AD$7:$AD1602)+1,"")</f>
        <v/>
      </c>
      <c r="AE1603" s="31">
        <f>IF($Y1603="",0,$Y1603)</f>
        <v/>
      </c>
    </row>
    <row r="1604">
      <c r="W1604" s="31">
        <f>IF(OR($B$5="",$C$6="",ROW()&lt;$B$5),"",IF(INDEX($A:$U,ROW(),$C$6)="","",INDEX($A:$U,ROW(),$C$6)))</f>
        <v/>
      </c>
      <c r="X1604" s="32">
        <f>IF($W1604="","",IF(ISNUMBER($W1604),IF($W1604&gt;=10000000,IFERROR(DATE(INT($W1604/10000),MOD(INT($W1604/100),100),MOD($W1604,100)),""),INT($W1604)),IFERROR(DATE(--LEFT(LEFT(SUBSTITUTE(SUBSTITUTE(SUBSTITUTE(SUBSTITUTE(TRIM($W1604),"-",""),".",""),"/","")," ",""),8),4),--MID(LEFT(SUBSTITUTE(SUBSTITUTE(SUBSTITUTE(SUBSTITUTE(TRIM($W1604),"-",""),".",""),"/","")," ",""),8),5,2),--MID(LEFT(SUBSTITUTE(SUBSTITUTE(SUBSTITUTE(SUBSTITUTE(TRIM($W1604),"-",""),".",""),"/","")," ",""),8),7,2)),"")))</f>
        <v/>
      </c>
      <c r="Y1604" s="32">
        <f>IF($X1604="","",INT($X1604))</f>
        <v/>
      </c>
      <c r="Z1604" s="33">
        <f>IF(OR($Y1604="",$D$6=""),"",IF(INDEX($A:$U,ROW(),$D$6)="",0,IF(ISNUMBER(INDEX($A:$U,ROW(),$D$6)),INDEX($A:$U,ROW(),$D$6),IFERROR(--SUBSTITUTE(SUBSTITUTE(TRIM(INDEX($A:$U,ROW(),$D$6)),",",""),"원",""),0))))</f>
        <v/>
      </c>
      <c r="AA1604" s="31">
        <f>IF($Y1604="","",TRIM(INDEX($A:$U,ROW(),$E$6)&amp;IF($F$6="",""," "&amp;INDEX($A:$U,ROW(),$F$6))))</f>
        <v/>
      </c>
      <c r="AB1604" s="31">
        <f>IF($AA1604="","",SUBSTITUTE(SUBSTITUTE(SUBSTITUTE(SUBSTITUTE(SUBSTITUTE(SUBSTITUTE(SUBSTITUTE(SUBSTITUTE(SUBSTITUTE($AA1604," ",""),"　",""),"(주)",""),"（주）",""),"㈜",""),"주식회사",""),"(유)",""),"（유）",""),"유한회사",""))</f>
        <v/>
      </c>
      <c r="AC1604" s="31">
        <f>IF(OR($Y1604="",N($Z1604)&lt;=0,$AB1604=""),0,IFERROR(LOOKUP(2,1/((거래처별!$AC$8:$AC$307&lt;&gt;"")*ISNUMBER(SEARCH(거래처별!$AC$8:$AC$307,$AB1604))),거래처별!$A$8:$A$307),IFERROR(LOOKUP(2,1/((거래처별!$AD$8:$AD$307&lt;&gt;"")*ISNUMBER(SEARCH(거래처별!$AD$8:$AD$307,$AB1604))),거래처별!$A$8:$A$307),IFERROR(LOOKUP(2,1/((거래처별!$AE$8:$AE$307&lt;&gt;"")*ISNUMBER(SEARCH(거래처별!$AE$8:$AE$307,$AB1604))),거래처별!$A$8:$A$307),0))))</f>
        <v/>
      </c>
      <c r="AD1604" s="31">
        <f>IF(AND($Y1604&lt;&gt;"",N($Z1604)&gt;0,$AC1604=0),MAX($AD$7:$AD1603)+1,"")</f>
        <v/>
      </c>
      <c r="AE1604" s="31">
        <f>IF($Y1604="",0,$Y1604)</f>
        <v/>
      </c>
    </row>
    <row r="1605">
      <c r="W1605" s="31">
        <f>IF(OR($B$5="",$C$6="",ROW()&lt;$B$5),"",IF(INDEX($A:$U,ROW(),$C$6)="","",INDEX($A:$U,ROW(),$C$6)))</f>
        <v/>
      </c>
      <c r="X1605" s="32">
        <f>IF($W1605="","",IF(ISNUMBER($W1605),IF($W1605&gt;=10000000,IFERROR(DATE(INT($W1605/10000),MOD(INT($W1605/100),100),MOD($W1605,100)),""),INT($W1605)),IFERROR(DATE(--LEFT(LEFT(SUBSTITUTE(SUBSTITUTE(SUBSTITUTE(SUBSTITUTE(TRIM($W1605),"-",""),".",""),"/","")," ",""),8),4),--MID(LEFT(SUBSTITUTE(SUBSTITUTE(SUBSTITUTE(SUBSTITUTE(TRIM($W1605),"-",""),".",""),"/","")," ",""),8),5,2),--MID(LEFT(SUBSTITUTE(SUBSTITUTE(SUBSTITUTE(SUBSTITUTE(TRIM($W1605),"-",""),".",""),"/","")," ",""),8),7,2)),"")))</f>
        <v/>
      </c>
      <c r="Y1605" s="32">
        <f>IF($X1605="","",INT($X1605))</f>
        <v/>
      </c>
      <c r="Z1605" s="33">
        <f>IF(OR($Y1605="",$D$6=""),"",IF(INDEX($A:$U,ROW(),$D$6)="",0,IF(ISNUMBER(INDEX($A:$U,ROW(),$D$6)),INDEX($A:$U,ROW(),$D$6),IFERROR(--SUBSTITUTE(SUBSTITUTE(TRIM(INDEX($A:$U,ROW(),$D$6)),",",""),"원",""),0))))</f>
        <v/>
      </c>
      <c r="AA1605" s="31">
        <f>IF($Y1605="","",TRIM(INDEX($A:$U,ROW(),$E$6)&amp;IF($F$6="",""," "&amp;INDEX($A:$U,ROW(),$F$6))))</f>
        <v/>
      </c>
      <c r="AB1605" s="31">
        <f>IF($AA1605="","",SUBSTITUTE(SUBSTITUTE(SUBSTITUTE(SUBSTITUTE(SUBSTITUTE(SUBSTITUTE(SUBSTITUTE(SUBSTITUTE(SUBSTITUTE($AA1605," ",""),"　",""),"(주)",""),"（주）",""),"㈜",""),"주식회사",""),"(유)",""),"（유）",""),"유한회사",""))</f>
        <v/>
      </c>
      <c r="AC1605" s="31">
        <f>IF(OR($Y1605="",N($Z1605)&lt;=0,$AB1605=""),0,IFERROR(LOOKUP(2,1/((거래처별!$AC$8:$AC$307&lt;&gt;"")*ISNUMBER(SEARCH(거래처별!$AC$8:$AC$307,$AB1605))),거래처별!$A$8:$A$307),IFERROR(LOOKUP(2,1/((거래처별!$AD$8:$AD$307&lt;&gt;"")*ISNUMBER(SEARCH(거래처별!$AD$8:$AD$307,$AB1605))),거래처별!$A$8:$A$307),IFERROR(LOOKUP(2,1/((거래처별!$AE$8:$AE$307&lt;&gt;"")*ISNUMBER(SEARCH(거래처별!$AE$8:$AE$307,$AB1605))),거래처별!$A$8:$A$307),0))))</f>
        <v/>
      </c>
      <c r="AD1605" s="31">
        <f>IF(AND($Y1605&lt;&gt;"",N($Z1605)&gt;0,$AC1605=0),MAX($AD$7:$AD1604)+1,"")</f>
        <v/>
      </c>
      <c r="AE1605" s="31">
        <f>IF($Y1605="",0,$Y1605)</f>
        <v/>
      </c>
    </row>
    <row r="1606">
      <c r="W1606" s="31">
        <f>IF(OR($B$5="",$C$6="",ROW()&lt;$B$5),"",IF(INDEX($A:$U,ROW(),$C$6)="","",INDEX($A:$U,ROW(),$C$6)))</f>
        <v/>
      </c>
      <c r="X1606" s="32">
        <f>IF($W1606="","",IF(ISNUMBER($W1606),IF($W1606&gt;=10000000,IFERROR(DATE(INT($W1606/10000),MOD(INT($W1606/100),100),MOD($W1606,100)),""),INT($W1606)),IFERROR(DATE(--LEFT(LEFT(SUBSTITUTE(SUBSTITUTE(SUBSTITUTE(SUBSTITUTE(TRIM($W1606),"-",""),".",""),"/","")," ",""),8),4),--MID(LEFT(SUBSTITUTE(SUBSTITUTE(SUBSTITUTE(SUBSTITUTE(TRIM($W1606),"-",""),".",""),"/","")," ",""),8),5,2),--MID(LEFT(SUBSTITUTE(SUBSTITUTE(SUBSTITUTE(SUBSTITUTE(TRIM($W1606),"-",""),".",""),"/","")," ",""),8),7,2)),"")))</f>
        <v/>
      </c>
      <c r="Y1606" s="32">
        <f>IF($X1606="","",INT($X1606))</f>
        <v/>
      </c>
      <c r="Z1606" s="33">
        <f>IF(OR($Y1606="",$D$6=""),"",IF(INDEX($A:$U,ROW(),$D$6)="",0,IF(ISNUMBER(INDEX($A:$U,ROW(),$D$6)),INDEX($A:$U,ROW(),$D$6),IFERROR(--SUBSTITUTE(SUBSTITUTE(TRIM(INDEX($A:$U,ROW(),$D$6)),",",""),"원",""),0))))</f>
        <v/>
      </c>
      <c r="AA1606" s="31">
        <f>IF($Y1606="","",TRIM(INDEX($A:$U,ROW(),$E$6)&amp;IF($F$6="",""," "&amp;INDEX($A:$U,ROW(),$F$6))))</f>
        <v/>
      </c>
      <c r="AB1606" s="31">
        <f>IF($AA1606="","",SUBSTITUTE(SUBSTITUTE(SUBSTITUTE(SUBSTITUTE(SUBSTITUTE(SUBSTITUTE(SUBSTITUTE(SUBSTITUTE(SUBSTITUTE($AA1606," ",""),"　",""),"(주)",""),"（주）",""),"㈜",""),"주식회사",""),"(유)",""),"（유）",""),"유한회사",""))</f>
        <v/>
      </c>
      <c r="AC1606" s="31">
        <f>IF(OR($Y1606="",N($Z1606)&lt;=0,$AB1606=""),0,IFERROR(LOOKUP(2,1/((거래처별!$AC$8:$AC$307&lt;&gt;"")*ISNUMBER(SEARCH(거래처별!$AC$8:$AC$307,$AB1606))),거래처별!$A$8:$A$307),IFERROR(LOOKUP(2,1/((거래처별!$AD$8:$AD$307&lt;&gt;"")*ISNUMBER(SEARCH(거래처별!$AD$8:$AD$307,$AB1606))),거래처별!$A$8:$A$307),IFERROR(LOOKUP(2,1/((거래처별!$AE$8:$AE$307&lt;&gt;"")*ISNUMBER(SEARCH(거래처별!$AE$8:$AE$307,$AB1606))),거래처별!$A$8:$A$307),0))))</f>
        <v/>
      </c>
      <c r="AD1606" s="31">
        <f>IF(AND($Y1606&lt;&gt;"",N($Z1606)&gt;0,$AC1606=0),MAX($AD$7:$AD1605)+1,"")</f>
        <v/>
      </c>
      <c r="AE1606" s="31">
        <f>IF($Y1606="",0,$Y1606)</f>
        <v/>
      </c>
    </row>
    <row r="1607">
      <c r="W1607" s="31">
        <f>IF(OR($B$5="",$C$6="",ROW()&lt;$B$5),"",IF(INDEX($A:$U,ROW(),$C$6)="","",INDEX($A:$U,ROW(),$C$6)))</f>
        <v/>
      </c>
      <c r="X1607" s="32">
        <f>IF($W1607="","",IF(ISNUMBER($W1607),IF($W1607&gt;=10000000,IFERROR(DATE(INT($W1607/10000),MOD(INT($W1607/100),100),MOD($W1607,100)),""),INT($W1607)),IFERROR(DATE(--LEFT(LEFT(SUBSTITUTE(SUBSTITUTE(SUBSTITUTE(SUBSTITUTE(TRIM($W1607),"-",""),".",""),"/","")," ",""),8),4),--MID(LEFT(SUBSTITUTE(SUBSTITUTE(SUBSTITUTE(SUBSTITUTE(TRIM($W1607),"-",""),".",""),"/","")," ",""),8),5,2),--MID(LEFT(SUBSTITUTE(SUBSTITUTE(SUBSTITUTE(SUBSTITUTE(TRIM($W1607),"-",""),".",""),"/","")," ",""),8),7,2)),"")))</f>
        <v/>
      </c>
      <c r="Y1607" s="32">
        <f>IF($X1607="","",INT($X1607))</f>
        <v/>
      </c>
      <c r="Z1607" s="33">
        <f>IF(OR($Y1607="",$D$6=""),"",IF(INDEX($A:$U,ROW(),$D$6)="",0,IF(ISNUMBER(INDEX($A:$U,ROW(),$D$6)),INDEX($A:$U,ROW(),$D$6),IFERROR(--SUBSTITUTE(SUBSTITUTE(TRIM(INDEX($A:$U,ROW(),$D$6)),",",""),"원",""),0))))</f>
        <v/>
      </c>
      <c r="AA1607" s="31">
        <f>IF($Y1607="","",TRIM(INDEX($A:$U,ROW(),$E$6)&amp;IF($F$6="",""," "&amp;INDEX($A:$U,ROW(),$F$6))))</f>
        <v/>
      </c>
      <c r="AB1607" s="31">
        <f>IF($AA1607="","",SUBSTITUTE(SUBSTITUTE(SUBSTITUTE(SUBSTITUTE(SUBSTITUTE(SUBSTITUTE(SUBSTITUTE(SUBSTITUTE(SUBSTITUTE($AA1607," ",""),"　",""),"(주)",""),"（주）",""),"㈜",""),"주식회사",""),"(유)",""),"（유）",""),"유한회사",""))</f>
        <v/>
      </c>
      <c r="AC1607" s="31">
        <f>IF(OR($Y1607="",N($Z1607)&lt;=0,$AB1607=""),0,IFERROR(LOOKUP(2,1/((거래처별!$AC$8:$AC$307&lt;&gt;"")*ISNUMBER(SEARCH(거래처별!$AC$8:$AC$307,$AB1607))),거래처별!$A$8:$A$307),IFERROR(LOOKUP(2,1/((거래처별!$AD$8:$AD$307&lt;&gt;"")*ISNUMBER(SEARCH(거래처별!$AD$8:$AD$307,$AB1607))),거래처별!$A$8:$A$307),IFERROR(LOOKUP(2,1/((거래처별!$AE$8:$AE$307&lt;&gt;"")*ISNUMBER(SEARCH(거래처별!$AE$8:$AE$307,$AB1607))),거래처별!$A$8:$A$307),0))))</f>
        <v/>
      </c>
      <c r="AD1607" s="31">
        <f>IF(AND($Y1607&lt;&gt;"",N($Z1607)&gt;0,$AC1607=0),MAX($AD$7:$AD1606)+1,"")</f>
        <v/>
      </c>
      <c r="AE1607" s="31">
        <f>IF($Y1607="",0,$Y1607)</f>
        <v/>
      </c>
    </row>
    <row r="1608">
      <c r="W1608" s="31">
        <f>IF(OR($B$5="",$C$6="",ROW()&lt;$B$5),"",IF(INDEX($A:$U,ROW(),$C$6)="","",INDEX($A:$U,ROW(),$C$6)))</f>
        <v/>
      </c>
      <c r="X1608" s="32">
        <f>IF($W1608="","",IF(ISNUMBER($W1608),IF($W1608&gt;=10000000,IFERROR(DATE(INT($W1608/10000),MOD(INT($W1608/100),100),MOD($W1608,100)),""),INT($W1608)),IFERROR(DATE(--LEFT(LEFT(SUBSTITUTE(SUBSTITUTE(SUBSTITUTE(SUBSTITUTE(TRIM($W1608),"-",""),".",""),"/","")," ",""),8),4),--MID(LEFT(SUBSTITUTE(SUBSTITUTE(SUBSTITUTE(SUBSTITUTE(TRIM($W1608),"-",""),".",""),"/","")," ",""),8),5,2),--MID(LEFT(SUBSTITUTE(SUBSTITUTE(SUBSTITUTE(SUBSTITUTE(TRIM($W1608),"-",""),".",""),"/","")," ",""),8),7,2)),"")))</f>
        <v/>
      </c>
      <c r="Y1608" s="32">
        <f>IF($X1608="","",INT($X1608))</f>
        <v/>
      </c>
      <c r="Z1608" s="33">
        <f>IF(OR($Y1608="",$D$6=""),"",IF(INDEX($A:$U,ROW(),$D$6)="",0,IF(ISNUMBER(INDEX($A:$U,ROW(),$D$6)),INDEX($A:$U,ROW(),$D$6),IFERROR(--SUBSTITUTE(SUBSTITUTE(TRIM(INDEX($A:$U,ROW(),$D$6)),",",""),"원",""),0))))</f>
        <v/>
      </c>
      <c r="AA1608" s="31">
        <f>IF($Y1608="","",TRIM(INDEX($A:$U,ROW(),$E$6)&amp;IF($F$6="",""," "&amp;INDEX($A:$U,ROW(),$F$6))))</f>
        <v/>
      </c>
      <c r="AB1608" s="31">
        <f>IF($AA1608="","",SUBSTITUTE(SUBSTITUTE(SUBSTITUTE(SUBSTITUTE(SUBSTITUTE(SUBSTITUTE(SUBSTITUTE(SUBSTITUTE(SUBSTITUTE($AA1608," ",""),"　",""),"(주)",""),"（주）",""),"㈜",""),"주식회사",""),"(유)",""),"（유）",""),"유한회사",""))</f>
        <v/>
      </c>
      <c r="AC1608" s="31">
        <f>IF(OR($Y1608="",N($Z1608)&lt;=0,$AB1608=""),0,IFERROR(LOOKUP(2,1/((거래처별!$AC$8:$AC$307&lt;&gt;"")*ISNUMBER(SEARCH(거래처별!$AC$8:$AC$307,$AB1608))),거래처별!$A$8:$A$307),IFERROR(LOOKUP(2,1/((거래처별!$AD$8:$AD$307&lt;&gt;"")*ISNUMBER(SEARCH(거래처별!$AD$8:$AD$307,$AB1608))),거래처별!$A$8:$A$307),IFERROR(LOOKUP(2,1/((거래처별!$AE$8:$AE$307&lt;&gt;"")*ISNUMBER(SEARCH(거래처별!$AE$8:$AE$307,$AB1608))),거래처별!$A$8:$A$307),0))))</f>
        <v/>
      </c>
      <c r="AD1608" s="31">
        <f>IF(AND($Y1608&lt;&gt;"",N($Z1608)&gt;0,$AC1608=0),MAX($AD$7:$AD1607)+1,"")</f>
        <v/>
      </c>
      <c r="AE1608" s="31">
        <f>IF($Y1608="",0,$Y1608)</f>
        <v/>
      </c>
    </row>
    <row r="1609">
      <c r="W1609" s="31">
        <f>IF(OR($B$5="",$C$6="",ROW()&lt;$B$5),"",IF(INDEX($A:$U,ROW(),$C$6)="","",INDEX($A:$U,ROW(),$C$6)))</f>
        <v/>
      </c>
      <c r="X1609" s="32">
        <f>IF($W1609="","",IF(ISNUMBER($W1609),IF($W1609&gt;=10000000,IFERROR(DATE(INT($W1609/10000),MOD(INT($W1609/100),100),MOD($W1609,100)),""),INT($W1609)),IFERROR(DATE(--LEFT(LEFT(SUBSTITUTE(SUBSTITUTE(SUBSTITUTE(SUBSTITUTE(TRIM($W1609),"-",""),".",""),"/","")," ",""),8),4),--MID(LEFT(SUBSTITUTE(SUBSTITUTE(SUBSTITUTE(SUBSTITUTE(TRIM($W1609),"-",""),".",""),"/","")," ",""),8),5,2),--MID(LEFT(SUBSTITUTE(SUBSTITUTE(SUBSTITUTE(SUBSTITUTE(TRIM($W1609),"-",""),".",""),"/","")," ",""),8),7,2)),"")))</f>
        <v/>
      </c>
      <c r="Y1609" s="32">
        <f>IF($X1609="","",INT($X1609))</f>
        <v/>
      </c>
      <c r="Z1609" s="33">
        <f>IF(OR($Y1609="",$D$6=""),"",IF(INDEX($A:$U,ROW(),$D$6)="",0,IF(ISNUMBER(INDEX($A:$U,ROW(),$D$6)),INDEX($A:$U,ROW(),$D$6),IFERROR(--SUBSTITUTE(SUBSTITUTE(TRIM(INDEX($A:$U,ROW(),$D$6)),",",""),"원",""),0))))</f>
        <v/>
      </c>
      <c r="AA1609" s="31">
        <f>IF($Y1609="","",TRIM(INDEX($A:$U,ROW(),$E$6)&amp;IF($F$6="",""," "&amp;INDEX($A:$U,ROW(),$F$6))))</f>
        <v/>
      </c>
      <c r="AB1609" s="31">
        <f>IF($AA1609="","",SUBSTITUTE(SUBSTITUTE(SUBSTITUTE(SUBSTITUTE(SUBSTITUTE(SUBSTITUTE(SUBSTITUTE(SUBSTITUTE(SUBSTITUTE($AA1609," ",""),"　",""),"(주)",""),"（주）",""),"㈜",""),"주식회사",""),"(유)",""),"（유）",""),"유한회사",""))</f>
        <v/>
      </c>
      <c r="AC1609" s="31">
        <f>IF(OR($Y1609="",N($Z1609)&lt;=0,$AB1609=""),0,IFERROR(LOOKUP(2,1/((거래처별!$AC$8:$AC$307&lt;&gt;"")*ISNUMBER(SEARCH(거래처별!$AC$8:$AC$307,$AB1609))),거래처별!$A$8:$A$307),IFERROR(LOOKUP(2,1/((거래처별!$AD$8:$AD$307&lt;&gt;"")*ISNUMBER(SEARCH(거래처별!$AD$8:$AD$307,$AB1609))),거래처별!$A$8:$A$307),IFERROR(LOOKUP(2,1/((거래처별!$AE$8:$AE$307&lt;&gt;"")*ISNUMBER(SEARCH(거래처별!$AE$8:$AE$307,$AB1609))),거래처별!$A$8:$A$307),0))))</f>
        <v/>
      </c>
      <c r="AD1609" s="31">
        <f>IF(AND($Y1609&lt;&gt;"",N($Z1609)&gt;0,$AC1609=0),MAX($AD$7:$AD1608)+1,"")</f>
        <v/>
      </c>
      <c r="AE1609" s="31">
        <f>IF($Y1609="",0,$Y1609)</f>
        <v/>
      </c>
    </row>
    <row r="1610">
      <c r="W1610" s="31">
        <f>IF(OR($B$5="",$C$6="",ROW()&lt;$B$5),"",IF(INDEX($A:$U,ROW(),$C$6)="","",INDEX($A:$U,ROW(),$C$6)))</f>
        <v/>
      </c>
      <c r="X1610" s="32">
        <f>IF($W1610="","",IF(ISNUMBER($W1610),IF($W1610&gt;=10000000,IFERROR(DATE(INT($W1610/10000),MOD(INT($W1610/100),100),MOD($W1610,100)),""),INT($W1610)),IFERROR(DATE(--LEFT(LEFT(SUBSTITUTE(SUBSTITUTE(SUBSTITUTE(SUBSTITUTE(TRIM($W1610),"-",""),".",""),"/","")," ",""),8),4),--MID(LEFT(SUBSTITUTE(SUBSTITUTE(SUBSTITUTE(SUBSTITUTE(TRIM($W1610),"-",""),".",""),"/","")," ",""),8),5,2),--MID(LEFT(SUBSTITUTE(SUBSTITUTE(SUBSTITUTE(SUBSTITUTE(TRIM($W1610),"-",""),".",""),"/","")," ",""),8),7,2)),"")))</f>
        <v/>
      </c>
      <c r="Y1610" s="32">
        <f>IF($X1610="","",INT($X1610))</f>
        <v/>
      </c>
      <c r="Z1610" s="33">
        <f>IF(OR($Y1610="",$D$6=""),"",IF(INDEX($A:$U,ROW(),$D$6)="",0,IF(ISNUMBER(INDEX($A:$U,ROW(),$D$6)),INDEX($A:$U,ROW(),$D$6),IFERROR(--SUBSTITUTE(SUBSTITUTE(TRIM(INDEX($A:$U,ROW(),$D$6)),",",""),"원",""),0))))</f>
        <v/>
      </c>
      <c r="AA1610" s="31">
        <f>IF($Y1610="","",TRIM(INDEX($A:$U,ROW(),$E$6)&amp;IF($F$6="",""," "&amp;INDEX($A:$U,ROW(),$F$6))))</f>
        <v/>
      </c>
      <c r="AB1610" s="31">
        <f>IF($AA1610="","",SUBSTITUTE(SUBSTITUTE(SUBSTITUTE(SUBSTITUTE(SUBSTITUTE(SUBSTITUTE(SUBSTITUTE(SUBSTITUTE(SUBSTITUTE($AA1610," ",""),"　",""),"(주)",""),"（주）",""),"㈜",""),"주식회사",""),"(유)",""),"（유）",""),"유한회사",""))</f>
        <v/>
      </c>
      <c r="AC1610" s="31">
        <f>IF(OR($Y1610="",N($Z1610)&lt;=0,$AB1610=""),0,IFERROR(LOOKUP(2,1/((거래처별!$AC$8:$AC$307&lt;&gt;"")*ISNUMBER(SEARCH(거래처별!$AC$8:$AC$307,$AB1610))),거래처별!$A$8:$A$307),IFERROR(LOOKUP(2,1/((거래처별!$AD$8:$AD$307&lt;&gt;"")*ISNUMBER(SEARCH(거래처별!$AD$8:$AD$307,$AB1610))),거래처별!$A$8:$A$307),IFERROR(LOOKUP(2,1/((거래처별!$AE$8:$AE$307&lt;&gt;"")*ISNUMBER(SEARCH(거래처별!$AE$8:$AE$307,$AB1610))),거래처별!$A$8:$A$307),0))))</f>
        <v/>
      </c>
      <c r="AD1610" s="31">
        <f>IF(AND($Y1610&lt;&gt;"",N($Z1610)&gt;0,$AC1610=0),MAX($AD$7:$AD1609)+1,"")</f>
        <v/>
      </c>
      <c r="AE1610" s="31">
        <f>IF($Y1610="",0,$Y1610)</f>
        <v/>
      </c>
    </row>
    <row r="1611">
      <c r="W1611" s="31">
        <f>IF(OR($B$5="",$C$6="",ROW()&lt;$B$5),"",IF(INDEX($A:$U,ROW(),$C$6)="","",INDEX($A:$U,ROW(),$C$6)))</f>
        <v/>
      </c>
      <c r="X1611" s="32">
        <f>IF($W1611="","",IF(ISNUMBER($W1611),IF($W1611&gt;=10000000,IFERROR(DATE(INT($W1611/10000),MOD(INT($W1611/100),100),MOD($W1611,100)),""),INT($W1611)),IFERROR(DATE(--LEFT(LEFT(SUBSTITUTE(SUBSTITUTE(SUBSTITUTE(SUBSTITUTE(TRIM($W1611),"-",""),".",""),"/","")," ",""),8),4),--MID(LEFT(SUBSTITUTE(SUBSTITUTE(SUBSTITUTE(SUBSTITUTE(TRIM($W1611),"-",""),".",""),"/","")," ",""),8),5,2),--MID(LEFT(SUBSTITUTE(SUBSTITUTE(SUBSTITUTE(SUBSTITUTE(TRIM($W1611),"-",""),".",""),"/","")," ",""),8),7,2)),"")))</f>
        <v/>
      </c>
      <c r="Y1611" s="32">
        <f>IF($X1611="","",INT($X1611))</f>
        <v/>
      </c>
      <c r="Z1611" s="33">
        <f>IF(OR($Y1611="",$D$6=""),"",IF(INDEX($A:$U,ROW(),$D$6)="",0,IF(ISNUMBER(INDEX($A:$U,ROW(),$D$6)),INDEX($A:$U,ROW(),$D$6),IFERROR(--SUBSTITUTE(SUBSTITUTE(TRIM(INDEX($A:$U,ROW(),$D$6)),",",""),"원",""),0))))</f>
        <v/>
      </c>
      <c r="AA1611" s="31">
        <f>IF($Y1611="","",TRIM(INDEX($A:$U,ROW(),$E$6)&amp;IF($F$6="",""," "&amp;INDEX($A:$U,ROW(),$F$6))))</f>
        <v/>
      </c>
      <c r="AB1611" s="31">
        <f>IF($AA1611="","",SUBSTITUTE(SUBSTITUTE(SUBSTITUTE(SUBSTITUTE(SUBSTITUTE(SUBSTITUTE(SUBSTITUTE(SUBSTITUTE(SUBSTITUTE($AA1611," ",""),"　",""),"(주)",""),"（주）",""),"㈜",""),"주식회사",""),"(유)",""),"（유）",""),"유한회사",""))</f>
        <v/>
      </c>
      <c r="AC1611" s="31">
        <f>IF(OR($Y1611="",N($Z1611)&lt;=0,$AB1611=""),0,IFERROR(LOOKUP(2,1/((거래처별!$AC$8:$AC$307&lt;&gt;"")*ISNUMBER(SEARCH(거래처별!$AC$8:$AC$307,$AB1611))),거래처별!$A$8:$A$307),IFERROR(LOOKUP(2,1/((거래처별!$AD$8:$AD$307&lt;&gt;"")*ISNUMBER(SEARCH(거래처별!$AD$8:$AD$307,$AB1611))),거래처별!$A$8:$A$307),IFERROR(LOOKUP(2,1/((거래처별!$AE$8:$AE$307&lt;&gt;"")*ISNUMBER(SEARCH(거래처별!$AE$8:$AE$307,$AB1611))),거래처별!$A$8:$A$307),0))))</f>
        <v/>
      </c>
      <c r="AD1611" s="31">
        <f>IF(AND($Y1611&lt;&gt;"",N($Z1611)&gt;0,$AC1611=0),MAX($AD$7:$AD1610)+1,"")</f>
        <v/>
      </c>
      <c r="AE1611" s="31">
        <f>IF($Y1611="",0,$Y1611)</f>
        <v/>
      </c>
    </row>
    <row r="1612">
      <c r="W1612" s="31">
        <f>IF(OR($B$5="",$C$6="",ROW()&lt;$B$5),"",IF(INDEX($A:$U,ROW(),$C$6)="","",INDEX($A:$U,ROW(),$C$6)))</f>
        <v/>
      </c>
      <c r="X1612" s="32">
        <f>IF($W1612="","",IF(ISNUMBER($W1612),IF($W1612&gt;=10000000,IFERROR(DATE(INT($W1612/10000),MOD(INT($W1612/100),100),MOD($W1612,100)),""),INT($W1612)),IFERROR(DATE(--LEFT(LEFT(SUBSTITUTE(SUBSTITUTE(SUBSTITUTE(SUBSTITUTE(TRIM($W1612),"-",""),".",""),"/","")," ",""),8),4),--MID(LEFT(SUBSTITUTE(SUBSTITUTE(SUBSTITUTE(SUBSTITUTE(TRIM($W1612),"-",""),".",""),"/","")," ",""),8),5,2),--MID(LEFT(SUBSTITUTE(SUBSTITUTE(SUBSTITUTE(SUBSTITUTE(TRIM($W1612),"-",""),".",""),"/","")," ",""),8),7,2)),"")))</f>
        <v/>
      </c>
      <c r="Y1612" s="32">
        <f>IF($X1612="","",INT($X1612))</f>
        <v/>
      </c>
      <c r="Z1612" s="33">
        <f>IF(OR($Y1612="",$D$6=""),"",IF(INDEX($A:$U,ROW(),$D$6)="",0,IF(ISNUMBER(INDEX($A:$U,ROW(),$D$6)),INDEX($A:$U,ROW(),$D$6),IFERROR(--SUBSTITUTE(SUBSTITUTE(TRIM(INDEX($A:$U,ROW(),$D$6)),",",""),"원",""),0))))</f>
        <v/>
      </c>
      <c r="AA1612" s="31">
        <f>IF($Y1612="","",TRIM(INDEX($A:$U,ROW(),$E$6)&amp;IF($F$6="",""," "&amp;INDEX($A:$U,ROW(),$F$6))))</f>
        <v/>
      </c>
      <c r="AB1612" s="31">
        <f>IF($AA1612="","",SUBSTITUTE(SUBSTITUTE(SUBSTITUTE(SUBSTITUTE(SUBSTITUTE(SUBSTITUTE(SUBSTITUTE(SUBSTITUTE(SUBSTITUTE($AA1612," ",""),"　",""),"(주)",""),"（주）",""),"㈜",""),"주식회사",""),"(유)",""),"（유）",""),"유한회사",""))</f>
        <v/>
      </c>
      <c r="AC1612" s="31">
        <f>IF(OR($Y1612="",N($Z1612)&lt;=0,$AB1612=""),0,IFERROR(LOOKUP(2,1/((거래처별!$AC$8:$AC$307&lt;&gt;"")*ISNUMBER(SEARCH(거래처별!$AC$8:$AC$307,$AB1612))),거래처별!$A$8:$A$307),IFERROR(LOOKUP(2,1/((거래처별!$AD$8:$AD$307&lt;&gt;"")*ISNUMBER(SEARCH(거래처별!$AD$8:$AD$307,$AB1612))),거래처별!$A$8:$A$307),IFERROR(LOOKUP(2,1/((거래처별!$AE$8:$AE$307&lt;&gt;"")*ISNUMBER(SEARCH(거래처별!$AE$8:$AE$307,$AB1612))),거래처별!$A$8:$A$307),0))))</f>
        <v/>
      </c>
      <c r="AD1612" s="31">
        <f>IF(AND($Y1612&lt;&gt;"",N($Z1612)&gt;0,$AC1612=0),MAX($AD$7:$AD1611)+1,"")</f>
        <v/>
      </c>
      <c r="AE1612" s="31">
        <f>IF($Y1612="",0,$Y1612)</f>
        <v/>
      </c>
    </row>
    <row r="1613">
      <c r="W1613" s="31">
        <f>IF(OR($B$5="",$C$6="",ROW()&lt;$B$5),"",IF(INDEX($A:$U,ROW(),$C$6)="","",INDEX($A:$U,ROW(),$C$6)))</f>
        <v/>
      </c>
      <c r="X1613" s="32">
        <f>IF($W1613="","",IF(ISNUMBER($W1613),IF($W1613&gt;=10000000,IFERROR(DATE(INT($W1613/10000),MOD(INT($W1613/100),100),MOD($W1613,100)),""),INT($W1613)),IFERROR(DATE(--LEFT(LEFT(SUBSTITUTE(SUBSTITUTE(SUBSTITUTE(SUBSTITUTE(TRIM($W1613),"-",""),".",""),"/","")," ",""),8),4),--MID(LEFT(SUBSTITUTE(SUBSTITUTE(SUBSTITUTE(SUBSTITUTE(TRIM($W1613),"-",""),".",""),"/","")," ",""),8),5,2),--MID(LEFT(SUBSTITUTE(SUBSTITUTE(SUBSTITUTE(SUBSTITUTE(TRIM($W1613),"-",""),".",""),"/","")," ",""),8),7,2)),"")))</f>
        <v/>
      </c>
      <c r="Y1613" s="32">
        <f>IF($X1613="","",INT($X1613))</f>
        <v/>
      </c>
      <c r="Z1613" s="33">
        <f>IF(OR($Y1613="",$D$6=""),"",IF(INDEX($A:$U,ROW(),$D$6)="",0,IF(ISNUMBER(INDEX($A:$U,ROW(),$D$6)),INDEX($A:$U,ROW(),$D$6),IFERROR(--SUBSTITUTE(SUBSTITUTE(TRIM(INDEX($A:$U,ROW(),$D$6)),",",""),"원",""),0))))</f>
        <v/>
      </c>
      <c r="AA1613" s="31">
        <f>IF($Y1613="","",TRIM(INDEX($A:$U,ROW(),$E$6)&amp;IF($F$6="",""," "&amp;INDEX($A:$U,ROW(),$F$6))))</f>
        <v/>
      </c>
      <c r="AB1613" s="31">
        <f>IF($AA1613="","",SUBSTITUTE(SUBSTITUTE(SUBSTITUTE(SUBSTITUTE(SUBSTITUTE(SUBSTITUTE(SUBSTITUTE(SUBSTITUTE(SUBSTITUTE($AA1613," ",""),"　",""),"(주)",""),"（주）",""),"㈜",""),"주식회사",""),"(유)",""),"（유）",""),"유한회사",""))</f>
        <v/>
      </c>
      <c r="AC1613" s="31">
        <f>IF(OR($Y1613="",N($Z1613)&lt;=0,$AB1613=""),0,IFERROR(LOOKUP(2,1/((거래처별!$AC$8:$AC$307&lt;&gt;"")*ISNUMBER(SEARCH(거래처별!$AC$8:$AC$307,$AB1613))),거래처별!$A$8:$A$307),IFERROR(LOOKUP(2,1/((거래처별!$AD$8:$AD$307&lt;&gt;"")*ISNUMBER(SEARCH(거래처별!$AD$8:$AD$307,$AB1613))),거래처별!$A$8:$A$307),IFERROR(LOOKUP(2,1/((거래처별!$AE$8:$AE$307&lt;&gt;"")*ISNUMBER(SEARCH(거래처별!$AE$8:$AE$307,$AB1613))),거래처별!$A$8:$A$307),0))))</f>
        <v/>
      </c>
      <c r="AD1613" s="31">
        <f>IF(AND($Y1613&lt;&gt;"",N($Z1613)&gt;0,$AC1613=0),MAX($AD$7:$AD1612)+1,"")</f>
        <v/>
      </c>
      <c r="AE1613" s="31">
        <f>IF($Y1613="",0,$Y1613)</f>
        <v/>
      </c>
    </row>
    <row r="1614">
      <c r="W1614" s="31">
        <f>IF(OR($B$5="",$C$6="",ROW()&lt;$B$5),"",IF(INDEX($A:$U,ROW(),$C$6)="","",INDEX($A:$U,ROW(),$C$6)))</f>
        <v/>
      </c>
      <c r="X1614" s="32">
        <f>IF($W1614="","",IF(ISNUMBER($W1614),IF($W1614&gt;=10000000,IFERROR(DATE(INT($W1614/10000),MOD(INT($W1614/100),100),MOD($W1614,100)),""),INT($W1614)),IFERROR(DATE(--LEFT(LEFT(SUBSTITUTE(SUBSTITUTE(SUBSTITUTE(SUBSTITUTE(TRIM($W1614),"-",""),".",""),"/","")," ",""),8),4),--MID(LEFT(SUBSTITUTE(SUBSTITUTE(SUBSTITUTE(SUBSTITUTE(TRIM($W1614),"-",""),".",""),"/","")," ",""),8),5,2),--MID(LEFT(SUBSTITUTE(SUBSTITUTE(SUBSTITUTE(SUBSTITUTE(TRIM($W1614),"-",""),".",""),"/","")," ",""),8),7,2)),"")))</f>
        <v/>
      </c>
      <c r="Y1614" s="32">
        <f>IF($X1614="","",INT($X1614))</f>
        <v/>
      </c>
      <c r="Z1614" s="33">
        <f>IF(OR($Y1614="",$D$6=""),"",IF(INDEX($A:$U,ROW(),$D$6)="",0,IF(ISNUMBER(INDEX($A:$U,ROW(),$D$6)),INDEX($A:$U,ROW(),$D$6),IFERROR(--SUBSTITUTE(SUBSTITUTE(TRIM(INDEX($A:$U,ROW(),$D$6)),",",""),"원",""),0))))</f>
        <v/>
      </c>
      <c r="AA1614" s="31">
        <f>IF($Y1614="","",TRIM(INDEX($A:$U,ROW(),$E$6)&amp;IF($F$6="",""," "&amp;INDEX($A:$U,ROW(),$F$6))))</f>
        <v/>
      </c>
      <c r="AB1614" s="31">
        <f>IF($AA1614="","",SUBSTITUTE(SUBSTITUTE(SUBSTITUTE(SUBSTITUTE(SUBSTITUTE(SUBSTITUTE(SUBSTITUTE(SUBSTITUTE(SUBSTITUTE($AA1614," ",""),"　",""),"(주)",""),"（주）",""),"㈜",""),"주식회사",""),"(유)",""),"（유）",""),"유한회사",""))</f>
        <v/>
      </c>
      <c r="AC1614" s="31">
        <f>IF(OR($Y1614="",N($Z1614)&lt;=0,$AB1614=""),0,IFERROR(LOOKUP(2,1/((거래처별!$AC$8:$AC$307&lt;&gt;"")*ISNUMBER(SEARCH(거래처별!$AC$8:$AC$307,$AB1614))),거래처별!$A$8:$A$307),IFERROR(LOOKUP(2,1/((거래처별!$AD$8:$AD$307&lt;&gt;"")*ISNUMBER(SEARCH(거래처별!$AD$8:$AD$307,$AB1614))),거래처별!$A$8:$A$307),IFERROR(LOOKUP(2,1/((거래처별!$AE$8:$AE$307&lt;&gt;"")*ISNUMBER(SEARCH(거래처별!$AE$8:$AE$307,$AB1614))),거래처별!$A$8:$A$307),0))))</f>
        <v/>
      </c>
      <c r="AD1614" s="31">
        <f>IF(AND($Y1614&lt;&gt;"",N($Z1614)&gt;0,$AC1614=0),MAX($AD$7:$AD1613)+1,"")</f>
        <v/>
      </c>
      <c r="AE1614" s="31">
        <f>IF($Y1614="",0,$Y1614)</f>
        <v/>
      </c>
    </row>
    <row r="1615">
      <c r="W1615" s="31">
        <f>IF(OR($B$5="",$C$6="",ROW()&lt;$B$5),"",IF(INDEX($A:$U,ROW(),$C$6)="","",INDEX($A:$U,ROW(),$C$6)))</f>
        <v/>
      </c>
      <c r="X1615" s="32">
        <f>IF($W1615="","",IF(ISNUMBER($W1615),IF($W1615&gt;=10000000,IFERROR(DATE(INT($W1615/10000),MOD(INT($W1615/100),100),MOD($W1615,100)),""),INT($W1615)),IFERROR(DATE(--LEFT(LEFT(SUBSTITUTE(SUBSTITUTE(SUBSTITUTE(SUBSTITUTE(TRIM($W1615),"-",""),".",""),"/","")," ",""),8),4),--MID(LEFT(SUBSTITUTE(SUBSTITUTE(SUBSTITUTE(SUBSTITUTE(TRIM($W1615),"-",""),".",""),"/","")," ",""),8),5,2),--MID(LEFT(SUBSTITUTE(SUBSTITUTE(SUBSTITUTE(SUBSTITUTE(TRIM($W1615),"-",""),".",""),"/","")," ",""),8),7,2)),"")))</f>
        <v/>
      </c>
      <c r="Y1615" s="32">
        <f>IF($X1615="","",INT($X1615))</f>
        <v/>
      </c>
      <c r="Z1615" s="33">
        <f>IF(OR($Y1615="",$D$6=""),"",IF(INDEX($A:$U,ROW(),$D$6)="",0,IF(ISNUMBER(INDEX($A:$U,ROW(),$D$6)),INDEX($A:$U,ROW(),$D$6),IFERROR(--SUBSTITUTE(SUBSTITUTE(TRIM(INDEX($A:$U,ROW(),$D$6)),",",""),"원",""),0))))</f>
        <v/>
      </c>
      <c r="AA1615" s="31">
        <f>IF($Y1615="","",TRIM(INDEX($A:$U,ROW(),$E$6)&amp;IF($F$6="",""," "&amp;INDEX($A:$U,ROW(),$F$6))))</f>
        <v/>
      </c>
      <c r="AB1615" s="31">
        <f>IF($AA1615="","",SUBSTITUTE(SUBSTITUTE(SUBSTITUTE(SUBSTITUTE(SUBSTITUTE(SUBSTITUTE(SUBSTITUTE(SUBSTITUTE(SUBSTITUTE($AA1615," ",""),"　",""),"(주)",""),"（주）",""),"㈜",""),"주식회사",""),"(유)",""),"（유）",""),"유한회사",""))</f>
        <v/>
      </c>
      <c r="AC1615" s="31">
        <f>IF(OR($Y1615="",N($Z1615)&lt;=0,$AB1615=""),0,IFERROR(LOOKUP(2,1/((거래처별!$AC$8:$AC$307&lt;&gt;"")*ISNUMBER(SEARCH(거래처별!$AC$8:$AC$307,$AB1615))),거래처별!$A$8:$A$307),IFERROR(LOOKUP(2,1/((거래처별!$AD$8:$AD$307&lt;&gt;"")*ISNUMBER(SEARCH(거래처별!$AD$8:$AD$307,$AB1615))),거래처별!$A$8:$A$307),IFERROR(LOOKUP(2,1/((거래처별!$AE$8:$AE$307&lt;&gt;"")*ISNUMBER(SEARCH(거래처별!$AE$8:$AE$307,$AB1615))),거래처별!$A$8:$A$307),0))))</f>
        <v/>
      </c>
      <c r="AD1615" s="31">
        <f>IF(AND($Y1615&lt;&gt;"",N($Z1615)&gt;0,$AC1615=0),MAX($AD$7:$AD1614)+1,"")</f>
        <v/>
      </c>
      <c r="AE1615" s="31">
        <f>IF($Y1615="",0,$Y1615)</f>
        <v/>
      </c>
    </row>
    <row r="1616">
      <c r="W1616" s="31">
        <f>IF(OR($B$5="",$C$6="",ROW()&lt;$B$5),"",IF(INDEX($A:$U,ROW(),$C$6)="","",INDEX($A:$U,ROW(),$C$6)))</f>
        <v/>
      </c>
      <c r="X1616" s="32">
        <f>IF($W1616="","",IF(ISNUMBER($W1616),IF($W1616&gt;=10000000,IFERROR(DATE(INT($W1616/10000),MOD(INT($W1616/100),100),MOD($W1616,100)),""),INT($W1616)),IFERROR(DATE(--LEFT(LEFT(SUBSTITUTE(SUBSTITUTE(SUBSTITUTE(SUBSTITUTE(TRIM($W1616),"-",""),".",""),"/","")," ",""),8),4),--MID(LEFT(SUBSTITUTE(SUBSTITUTE(SUBSTITUTE(SUBSTITUTE(TRIM($W1616),"-",""),".",""),"/","")," ",""),8),5,2),--MID(LEFT(SUBSTITUTE(SUBSTITUTE(SUBSTITUTE(SUBSTITUTE(TRIM($W1616),"-",""),".",""),"/","")," ",""),8),7,2)),"")))</f>
        <v/>
      </c>
      <c r="Y1616" s="32">
        <f>IF($X1616="","",INT($X1616))</f>
        <v/>
      </c>
      <c r="Z1616" s="33">
        <f>IF(OR($Y1616="",$D$6=""),"",IF(INDEX($A:$U,ROW(),$D$6)="",0,IF(ISNUMBER(INDEX($A:$U,ROW(),$D$6)),INDEX($A:$U,ROW(),$D$6),IFERROR(--SUBSTITUTE(SUBSTITUTE(TRIM(INDEX($A:$U,ROW(),$D$6)),",",""),"원",""),0))))</f>
        <v/>
      </c>
      <c r="AA1616" s="31">
        <f>IF($Y1616="","",TRIM(INDEX($A:$U,ROW(),$E$6)&amp;IF($F$6="",""," "&amp;INDEX($A:$U,ROW(),$F$6))))</f>
        <v/>
      </c>
      <c r="AB1616" s="31">
        <f>IF($AA1616="","",SUBSTITUTE(SUBSTITUTE(SUBSTITUTE(SUBSTITUTE(SUBSTITUTE(SUBSTITUTE(SUBSTITUTE(SUBSTITUTE(SUBSTITUTE($AA1616," ",""),"　",""),"(주)",""),"（주）",""),"㈜",""),"주식회사",""),"(유)",""),"（유）",""),"유한회사",""))</f>
        <v/>
      </c>
      <c r="AC1616" s="31">
        <f>IF(OR($Y1616="",N($Z1616)&lt;=0,$AB1616=""),0,IFERROR(LOOKUP(2,1/((거래처별!$AC$8:$AC$307&lt;&gt;"")*ISNUMBER(SEARCH(거래처별!$AC$8:$AC$307,$AB1616))),거래처별!$A$8:$A$307),IFERROR(LOOKUP(2,1/((거래처별!$AD$8:$AD$307&lt;&gt;"")*ISNUMBER(SEARCH(거래처별!$AD$8:$AD$307,$AB1616))),거래처별!$A$8:$A$307),IFERROR(LOOKUP(2,1/((거래처별!$AE$8:$AE$307&lt;&gt;"")*ISNUMBER(SEARCH(거래처별!$AE$8:$AE$307,$AB1616))),거래처별!$A$8:$A$307),0))))</f>
        <v/>
      </c>
      <c r="AD1616" s="31">
        <f>IF(AND($Y1616&lt;&gt;"",N($Z1616)&gt;0,$AC1616=0),MAX($AD$7:$AD1615)+1,"")</f>
        <v/>
      </c>
      <c r="AE1616" s="31">
        <f>IF($Y1616="",0,$Y1616)</f>
        <v/>
      </c>
    </row>
    <row r="1617">
      <c r="W1617" s="31">
        <f>IF(OR($B$5="",$C$6="",ROW()&lt;$B$5),"",IF(INDEX($A:$U,ROW(),$C$6)="","",INDEX($A:$U,ROW(),$C$6)))</f>
        <v/>
      </c>
      <c r="X1617" s="32">
        <f>IF($W1617="","",IF(ISNUMBER($W1617),IF($W1617&gt;=10000000,IFERROR(DATE(INT($W1617/10000),MOD(INT($W1617/100),100),MOD($W1617,100)),""),INT($W1617)),IFERROR(DATE(--LEFT(LEFT(SUBSTITUTE(SUBSTITUTE(SUBSTITUTE(SUBSTITUTE(TRIM($W1617),"-",""),".",""),"/","")," ",""),8),4),--MID(LEFT(SUBSTITUTE(SUBSTITUTE(SUBSTITUTE(SUBSTITUTE(TRIM($W1617),"-",""),".",""),"/","")," ",""),8),5,2),--MID(LEFT(SUBSTITUTE(SUBSTITUTE(SUBSTITUTE(SUBSTITUTE(TRIM($W1617),"-",""),".",""),"/","")," ",""),8),7,2)),"")))</f>
        <v/>
      </c>
      <c r="Y1617" s="32">
        <f>IF($X1617="","",INT($X1617))</f>
        <v/>
      </c>
      <c r="Z1617" s="33">
        <f>IF(OR($Y1617="",$D$6=""),"",IF(INDEX($A:$U,ROW(),$D$6)="",0,IF(ISNUMBER(INDEX($A:$U,ROW(),$D$6)),INDEX($A:$U,ROW(),$D$6),IFERROR(--SUBSTITUTE(SUBSTITUTE(TRIM(INDEX($A:$U,ROW(),$D$6)),",",""),"원",""),0))))</f>
        <v/>
      </c>
      <c r="AA1617" s="31">
        <f>IF($Y1617="","",TRIM(INDEX($A:$U,ROW(),$E$6)&amp;IF($F$6="",""," "&amp;INDEX($A:$U,ROW(),$F$6))))</f>
        <v/>
      </c>
      <c r="AB1617" s="31">
        <f>IF($AA1617="","",SUBSTITUTE(SUBSTITUTE(SUBSTITUTE(SUBSTITUTE(SUBSTITUTE(SUBSTITUTE(SUBSTITUTE(SUBSTITUTE(SUBSTITUTE($AA1617," ",""),"　",""),"(주)",""),"（주）",""),"㈜",""),"주식회사",""),"(유)",""),"（유）",""),"유한회사",""))</f>
        <v/>
      </c>
      <c r="AC1617" s="31">
        <f>IF(OR($Y1617="",N($Z1617)&lt;=0,$AB1617=""),0,IFERROR(LOOKUP(2,1/((거래처별!$AC$8:$AC$307&lt;&gt;"")*ISNUMBER(SEARCH(거래처별!$AC$8:$AC$307,$AB1617))),거래처별!$A$8:$A$307),IFERROR(LOOKUP(2,1/((거래처별!$AD$8:$AD$307&lt;&gt;"")*ISNUMBER(SEARCH(거래처별!$AD$8:$AD$307,$AB1617))),거래처별!$A$8:$A$307),IFERROR(LOOKUP(2,1/((거래처별!$AE$8:$AE$307&lt;&gt;"")*ISNUMBER(SEARCH(거래처별!$AE$8:$AE$307,$AB1617))),거래처별!$A$8:$A$307),0))))</f>
        <v/>
      </c>
      <c r="AD1617" s="31">
        <f>IF(AND($Y1617&lt;&gt;"",N($Z1617)&gt;0,$AC1617=0),MAX($AD$7:$AD1616)+1,"")</f>
        <v/>
      </c>
      <c r="AE1617" s="31">
        <f>IF($Y1617="",0,$Y1617)</f>
        <v/>
      </c>
    </row>
    <row r="1618">
      <c r="W1618" s="31">
        <f>IF(OR($B$5="",$C$6="",ROW()&lt;$B$5),"",IF(INDEX($A:$U,ROW(),$C$6)="","",INDEX($A:$U,ROW(),$C$6)))</f>
        <v/>
      </c>
      <c r="X1618" s="32">
        <f>IF($W1618="","",IF(ISNUMBER($W1618),IF($W1618&gt;=10000000,IFERROR(DATE(INT($W1618/10000),MOD(INT($W1618/100),100),MOD($W1618,100)),""),INT($W1618)),IFERROR(DATE(--LEFT(LEFT(SUBSTITUTE(SUBSTITUTE(SUBSTITUTE(SUBSTITUTE(TRIM($W1618),"-",""),".",""),"/","")," ",""),8),4),--MID(LEFT(SUBSTITUTE(SUBSTITUTE(SUBSTITUTE(SUBSTITUTE(TRIM($W1618),"-",""),".",""),"/","")," ",""),8),5,2),--MID(LEFT(SUBSTITUTE(SUBSTITUTE(SUBSTITUTE(SUBSTITUTE(TRIM($W1618),"-",""),".",""),"/","")," ",""),8),7,2)),"")))</f>
        <v/>
      </c>
      <c r="Y1618" s="32">
        <f>IF($X1618="","",INT($X1618))</f>
        <v/>
      </c>
      <c r="Z1618" s="33">
        <f>IF(OR($Y1618="",$D$6=""),"",IF(INDEX($A:$U,ROW(),$D$6)="",0,IF(ISNUMBER(INDEX($A:$U,ROW(),$D$6)),INDEX($A:$U,ROW(),$D$6),IFERROR(--SUBSTITUTE(SUBSTITUTE(TRIM(INDEX($A:$U,ROW(),$D$6)),",",""),"원",""),0))))</f>
        <v/>
      </c>
      <c r="AA1618" s="31">
        <f>IF($Y1618="","",TRIM(INDEX($A:$U,ROW(),$E$6)&amp;IF($F$6="",""," "&amp;INDEX($A:$U,ROW(),$F$6))))</f>
        <v/>
      </c>
      <c r="AB1618" s="31">
        <f>IF($AA1618="","",SUBSTITUTE(SUBSTITUTE(SUBSTITUTE(SUBSTITUTE(SUBSTITUTE(SUBSTITUTE(SUBSTITUTE(SUBSTITUTE(SUBSTITUTE($AA1618," ",""),"　",""),"(주)",""),"（주）",""),"㈜",""),"주식회사",""),"(유)",""),"（유）",""),"유한회사",""))</f>
        <v/>
      </c>
      <c r="AC1618" s="31">
        <f>IF(OR($Y1618="",N($Z1618)&lt;=0,$AB1618=""),0,IFERROR(LOOKUP(2,1/((거래처별!$AC$8:$AC$307&lt;&gt;"")*ISNUMBER(SEARCH(거래처별!$AC$8:$AC$307,$AB1618))),거래처별!$A$8:$A$307),IFERROR(LOOKUP(2,1/((거래처별!$AD$8:$AD$307&lt;&gt;"")*ISNUMBER(SEARCH(거래처별!$AD$8:$AD$307,$AB1618))),거래처별!$A$8:$A$307),IFERROR(LOOKUP(2,1/((거래처별!$AE$8:$AE$307&lt;&gt;"")*ISNUMBER(SEARCH(거래처별!$AE$8:$AE$307,$AB1618))),거래처별!$A$8:$A$307),0))))</f>
        <v/>
      </c>
      <c r="AD1618" s="31">
        <f>IF(AND($Y1618&lt;&gt;"",N($Z1618)&gt;0,$AC1618=0),MAX($AD$7:$AD1617)+1,"")</f>
        <v/>
      </c>
      <c r="AE1618" s="31">
        <f>IF($Y1618="",0,$Y1618)</f>
        <v/>
      </c>
    </row>
    <row r="1619">
      <c r="W1619" s="31">
        <f>IF(OR($B$5="",$C$6="",ROW()&lt;$B$5),"",IF(INDEX($A:$U,ROW(),$C$6)="","",INDEX($A:$U,ROW(),$C$6)))</f>
        <v/>
      </c>
      <c r="X1619" s="32">
        <f>IF($W1619="","",IF(ISNUMBER($W1619),IF($W1619&gt;=10000000,IFERROR(DATE(INT($W1619/10000),MOD(INT($W1619/100),100),MOD($W1619,100)),""),INT($W1619)),IFERROR(DATE(--LEFT(LEFT(SUBSTITUTE(SUBSTITUTE(SUBSTITUTE(SUBSTITUTE(TRIM($W1619),"-",""),".",""),"/","")," ",""),8),4),--MID(LEFT(SUBSTITUTE(SUBSTITUTE(SUBSTITUTE(SUBSTITUTE(TRIM($W1619),"-",""),".",""),"/","")," ",""),8),5,2),--MID(LEFT(SUBSTITUTE(SUBSTITUTE(SUBSTITUTE(SUBSTITUTE(TRIM($W1619),"-",""),".",""),"/","")," ",""),8),7,2)),"")))</f>
        <v/>
      </c>
      <c r="Y1619" s="32">
        <f>IF($X1619="","",INT($X1619))</f>
        <v/>
      </c>
      <c r="Z1619" s="33">
        <f>IF(OR($Y1619="",$D$6=""),"",IF(INDEX($A:$U,ROW(),$D$6)="",0,IF(ISNUMBER(INDEX($A:$U,ROW(),$D$6)),INDEX($A:$U,ROW(),$D$6),IFERROR(--SUBSTITUTE(SUBSTITUTE(TRIM(INDEX($A:$U,ROW(),$D$6)),",",""),"원",""),0))))</f>
        <v/>
      </c>
      <c r="AA1619" s="31">
        <f>IF($Y1619="","",TRIM(INDEX($A:$U,ROW(),$E$6)&amp;IF($F$6="",""," "&amp;INDEX($A:$U,ROW(),$F$6))))</f>
        <v/>
      </c>
      <c r="AB1619" s="31">
        <f>IF($AA1619="","",SUBSTITUTE(SUBSTITUTE(SUBSTITUTE(SUBSTITUTE(SUBSTITUTE(SUBSTITUTE(SUBSTITUTE(SUBSTITUTE(SUBSTITUTE($AA1619," ",""),"　",""),"(주)",""),"（주）",""),"㈜",""),"주식회사",""),"(유)",""),"（유）",""),"유한회사",""))</f>
        <v/>
      </c>
      <c r="AC1619" s="31">
        <f>IF(OR($Y1619="",N($Z1619)&lt;=0,$AB1619=""),0,IFERROR(LOOKUP(2,1/((거래처별!$AC$8:$AC$307&lt;&gt;"")*ISNUMBER(SEARCH(거래처별!$AC$8:$AC$307,$AB1619))),거래처별!$A$8:$A$307),IFERROR(LOOKUP(2,1/((거래처별!$AD$8:$AD$307&lt;&gt;"")*ISNUMBER(SEARCH(거래처별!$AD$8:$AD$307,$AB1619))),거래처별!$A$8:$A$307),IFERROR(LOOKUP(2,1/((거래처별!$AE$8:$AE$307&lt;&gt;"")*ISNUMBER(SEARCH(거래처별!$AE$8:$AE$307,$AB1619))),거래처별!$A$8:$A$307),0))))</f>
        <v/>
      </c>
      <c r="AD1619" s="31">
        <f>IF(AND($Y1619&lt;&gt;"",N($Z1619)&gt;0,$AC1619=0),MAX($AD$7:$AD1618)+1,"")</f>
        <v/>
      </c>
      <c r="AE1619" s="31">
        <f>IF($Y1619="",0,$Y1619)</f>
        <v/>
      </c>
    </row>
    <row r="1620">
      <c r="W1620" s="31">
        <f>IF(OR($B$5="",$C$6="",ROW()&lt;$B$5),"",IF(INDEX($A:$U,ROW(),$C$6)="","",INDEX($A:$U,ROW(),$C$6)))</f>
        <v/>
      </c>
      <c r="X1620" s="32">
        <f>IF($W1620="","",IF(ISNUMBER($W1620),IF($W1620&gt;=10000000,IFERROR(DATE(INT($W1620/10000),MOD(INT($W1620/100),100),MOD($W1620,100)),""),INT($W1620)),IFERROR(DATE(--LEFT(LEFT(SUBSTITUTE(SUBSTITUTE(SUBSTITUTE(SUBSTITUTE(TRIM($W1620),"-",""),".",""),"/","")," ",""),8),4),--MID(LEFT(SUBSTITUTE(SUBSTITUTE(SUBSTITUTE(SUBSTITUTE(TRIM($W1620),"-",""),".",""),"/","")," ",""),8),5,2),--MID(LEFT(SUBSTITUTE(SUBSTITUTE(SUBSTITUTE(SUBSTITUTE(TRIM($W1620),"-",""),".",""),"/","")," ",""),8),7,2)),"")))</f>
        <v/>
      </c>
      <c r="Y1620" s="32">
        <f>IF($X1620="","",INT($X1620))</f>
        <v/>
      </c>
      <c r="Z1620" s="33">
        <f>IF(OR($Y1620="",$D$6=""),"",IF(INDEX($A:$U,ROW(),$D$6)="",0,IF(ISNUMBER(INDEX($A:$U,ROW(),$D$6)),INDEX($A:$U,ROW(),$D$6),IFERROR(--SUBSTITUTE(SUBSTITUTE(TRIM(INDEX($A:$U,ROW(),$D$6)),",",""),"원",""),0))))</f>
        <v/>
      </c>
      <c r="AA1620" s="31">
        <f>IF($Y1620="","",TRIM(INDEX($A:$U,ROW(),$E$6)&amp;IF($F$6="",""," "&amp;INDEX($A:$U,ROW(),$F$6))))</f>
        <v/>
      </c>
      <c r="AB1620" s="31">
        <f>IF($AA1620="","",SUBSTITUTE(SUBSTITUTE(SUBSTITUTE(SUBSTITUTE(SUBSTITUTE(SUBSTITUTE(SUBSTITUTE(SUBSTITUTE(SUBSTITUTE($AA1620," ",""),"　",""),"(주)",""),"（주）",""),"㈜",""),"주식회사",""),"(유)",""),"（유）",""),"유한회사",""))</f>
        <v/>
      </c>
      <c r="AC1620" s="31">
        <f>IF(OR($Y1620="",N($Z1620)&lt;=0,$AB1620=""),0,IFERROR(LOOKUP(2,1/((거래처별!$AC$8:$AC$307&lt;&gt;"")*ISNUMBER(SEARCH(거래처별!$AC$8:$AC$307,$AB1620))),거래처별!$A$8:$A$307),IFERROR(LOOKUP(2,1/((거래처별!$AD$8:$AD$307&lt;&gt;"")*ISNUMBER(SEARCH(거래처별!$AD$8:$AD$307,$AB1620))),거래처별!$A$8:$A$307),IFERROR(LOOKUP(2,1/((거래처별!$AE$8:$AE$307&lt;&gt;"")*ISNUMBER(SEARCH(거래처별!$AE$8:$AE$307,$AB1620))),거래처별!$A$8:$A$307),0))))</f>
        <v/>
      </c>
      <c r="AD1620" s="31">
        <f>IF(AND($Y1620&lt;&gt;"",N($Z1620)&gt;0,$AC1620=0),MAX($AD$7:$AD1619)+1,"")</f>
        <v/>
      </c>
      <c r="AE1620" s="31">
        <f>IF($Y1620="",0,$Y1620)</f>
        <v/>
      </c>
    </row>
    <row r="1621">
      <c r="W1621" s="31">
        <f>IF(OR($B$5="",$C$6="",ROW()&lt;$B$5),"",IF(INDEX($A:$U,ROW(),$C$6)="","",INDEX($A:$U,ROW(),$C$6)))</f>
        <v/>
      </c>
      <c r="X1621" s="32">
        <f>IF($W1621="","",IF(ISNUMBER($W1621),IF($W1621&gt;=10000000,IFERROR(DATE(INT($W1621/10000),MOD(INT($W1621/100),100),MOD($W1621,100)),""),INT($W1621)),IFERROR(DATE(--LEFT(LEFT(SUBSTITUTE(SUBSTITUTE(SUBSTITUTE(SUBSTITUTE(TRIM($W1621),"-",""),".",""),"/","")," ",""),8),4),--MID(LEFT(SUBSTITUTE(SUBSTITUTE(SUBSTITUTE(SUBSTITUTE(TRIM($W1621),"-",""),".",""),"/","")," ",""),8),5,2),--MID(LEFT(SUBSTITUTE(SUBSTITUTE(SUBSTITUTE(SUBSTITUTE(TRIM($W1621),"-",""),".",""),"/","")," ",""),8),7,2)),"")))</f>
        <v/>
      </c>
      <c r="Y1621" s="32">
        <f>IF($X1621="","",INT($X1621))</f>
        <v/>
      </c>
      <c r="Z1621" s="33">
        <f>IF(OR($Y1621="",$D$6=""),"",IF(INDEX($A:$U,ROW(),$D$6)="",0,IF(ISNUMBER(INDEX($A:$U,ROW(),$D$6)),INDEX($A:$U,ROW(),$D$6),IFERROR(--SUBSTITUTE(SUBSTITUTE(TRIM(INDEX($A:$U,ROW(),$D$6)),",",""),"원",""),0))))</f>
        <v/>
      </c>
      <c r="AA1621" s="31">
        <f>IF($Y1621="","",TRIM(INDEX($A:$U,ROW(),$E$6)&amp;IF($F$6="",""," "&amp;INDEX($A:$U,ROW(),$F$6))))</f>
        <v/>
      </c>
      <c r="AB1621" s="31">
        <f>IF($AA1621="","",SUBSTITUTE(SUBSTITUTE(SUBSTITUTE(SUBSTITUTE(SUBSTITUTE(SUBSTITUTE(SUBSTITUTE(SUBSTITUTE(SUBSTITUTE($AA1621," ",""),"　",""),"(주)",""),"（주）",""),"㈜",""),"주식회사",""),"(유)",""),"（유）",""),"유한회사",""))</f>
        <v/>
      </c>
      <c r="AC1621" s="31">
        <f>IF(OR($Y1621="",N($Z1621)&lt;=0,$AB1621=""),0,IFERROR(LOOKUP(2,1/((거래처별!$AC$8:$AC$307&lt;&gt;"")*ISNUMBER(SEARCH(거래처별!$AC$8:$AC$307,$AB1621))),거래처별!$A$8:$A$307),IFERROR(LOOKUP(2,1/((거래처별!$AD$8:$AD$307&lt;&gt;"")*ISNUMBER(SEARCH(거래처별!$AD$8:$AD$307,$AB1621))),거래처별!$A$8:$A$307),IFERROR(LOOKUP(2,1/((거래처별!$AE$8:$AE$307&lt;&gt;"")*ISNUMBER(SEARCH(거래처별!$AE$8:$AE$307,$AB1621))),거래처별!$A$8:$A$307),0))))</f>
        <v/>
      </c>
      <c r="AD1621" s="31">
        <f>IF(AND($Y1621&lt;&gt;"",N($Z1621)&gt;0,$AC1621=0),MAX($AD$7:$AD1620)+1,"")</f>
        <v/>
      </c>
      <c r="AE1621" s="31">
        <f>IF($Y1621="",0,$Y1621)</f>
        <v/>
      </c>
    </row>
    <row r="1622">
      <c r="W1622" s="31">
        <f>IF(OR($B$5="",$C$6="",ROW()&lt;$B$5),"",IF(INDEX($A:$U,ROW(),$C$6)="","",INDEX($A:$U,ROW(),$C$6)))</f>
        <v/>
      </c>
      <c r="X1622" s="32">
        <f>IF($W1622="","",IF(ISNUMBER($W1622),IF($W1622&gt;=10000000,IFERROR(DATE(INT($W1622/10000),MOD(INT($W1622/100),100),MOD($W1622,100)),""),INT($W1622)),IFERROR(DATE(--LEFT(LEFT(SUBSTITUTE(SUBSTITUTE(SUBSTITUTE(SUBSTITUTE(TRIM($W1622),"-",""),".",""),"/","")," ",""),8),4),--MID(LEFT(SUBSTITUTE(SUBSTITUTE(SUBSTITUTE(SUBSTITUTE(TRIM($W1622),"-",""),".",""),"/","")," ",""),8),5,2),--MID(LEFT(SUBSTITUTE(SUBSTITUTE(SUBSTITUTE(SUBSTITUTE(TRIM($W1622),"-",""),".",""),"/","")," ",""),8),7,2)),"")))</f>
        <v/>
      </c>
      <c r="Y1622" s="32">
        <f>IF($X1622="","",INT($X1622))</f>
        <v/>
      </c>
      <c r="Z1622" s="33">
        <f>IF(OR($Y1622="",$D$6=""),"",IF(INDEX($A:$U,ROW(),$D$6)="",0,IF(ISNUMBER(INDEX($A:$U,ROW(),$D$6)),INDEX($A:$U,ROW(),$D$6),IFERROR(--SUBSTITUTE(SUBSTITUTE(TRIM(INDEX($A:$U,ROW(),$D$6)),",",""),"원",""),0))))</f>
        <v/>
      </c>
      <c r="AA1622" s="31">
        <f>IF($Y1622="","",TRIM(INDEX($A:$U,ROW(),$E$6)&amp;IF($F$6="",""," "&amp;INDEX($A:$U,ROW(),$F$6))))</f>
        <v/>
      </c>
      <c r="AB1622" s="31">
        <f>IF($AA1622="","",SUBSTITUTE(SUBSTITUTE(SUBSTITUTE(SUBSTITUTE(SUBSTITUTE(SUBSTITUTE(SUBSTITUTE(SUBSTITUTE(SUBSTITUTE($AA1622," ",""),"　",""),"(주)",""),"（주）",""),"㈜",""),"주식회사",""),"(유)",""),"（유）",""),"유한회사",""))</f>
        <v/>
      </c>
      <c r="AC1622" s="31">
        <f>IF(OR($Y1622="",N($Z1622)&lt;=0,$AB1622=""),0,IFERROR(LOOKUP(2,1/((거래처별!$AC$8:$AC$307&lt;&gt;"")*ISNUMBER(SEARCH(거래처별!$AC$8:$AC$307,$AB1622))),거래처별!$A$8:$A$307),IFERROR(LOOKUP(2,1/((거래처별!$AD$8:$AD$307&lt;&gt;"")*ISNUMBER(SEARCH(거래처별!$AD$8:$AD$307,$AB1622))),거래처별!$A$8:$A$307),IFERROR(LOOKUP(2,1/((거래처별!$AE$8:$AE$307&lt;&gt;"")*ISNUMBER(SEARCH(거래처별!$AE$8:$AE$307,$AB1622))),거래처별!$A$8:$A$307),0))))</f>
        <v/>
      </c>
      <c r="AD1622" s="31">
        <f>IF(AND($Y1622&lt;&gt;"",N($Z1622)&gt;0,$AC1622=0),MAX($AD$7:$AD1621)+1,"")</f>
        <v/>
      </c>
      <c r="AE1622" s="31">
        <f>IF($Y1622="",0,$Y1622)</f>
        <v/>
      </c>
    </row>
    <row r="1623">
      <c r="W1623" s="31">
        <f>IF(OR($B$5="",$C$6="",ROW()&lt;$B$5),"",IF(INDEX($A:$U,ROW(),$C$6)="","",INDEX($A:$U,ROW(),$C$6)))</f>
        <v/>
      </c>
      <c r="X1623" s="32">
        <f>IF($W1623="","",IF(ISNUMBER($W1623),IF($W1623&gt;=10000000,IFERROR(DATE(INT($W1623/10000),MOD(INT($W1623/100),100),MOD($W1623,100)),""),INT($W1623)),IFERROR(DATE(--LEFT(LEFT(SUBSTITUTE(SUBSTITUTE(SUBSTITUTE(SUBSTITUTE(TRIM($W1623),"-",""),".",""),"/","")," ",""),8),4),--MID(LEFT(SUBSTITUTE(SUBSTITUTE(SUBSTITUTE(SUBSTITUTE(TRIM($W1623),"-",""),".",""),"/","")," ",""),8),5,2),--MID(LEFT(SUBSTITUTE(SUBSTITUTE(SUBSTITUTE(SUBSTITUTE(TRIM($W1623),"-",""),".",""),"/","")," ",""),8),7,2)),"")))</f>
        <v/>
      </c>
      <c r="Y1623" s="32">
        <f>IF($X1623="","",INT($X1623))</f>
        <v/>
      </c>
      <c r="Z1623" s="33">
        <f>IF(OR($Y1623="",$D$6=""),"",IF(INDEX($A:$U,ROW(),$D$6)="",0,IF(ISNUMBER(INDEX($A:$U,ROW(),$D$6)),INDEX($A:$U,ROW(),$D$6),IFERROR(--SUBSTITUTE(SUBSTITUTE(TRIM(INDEX($A:$U,ROW(),$D$6)),",",""),"원",""),0))))</f>
        <v/>
      </c>
      <c r="AA1623" s="31">
        <f>IF($Y1623="","",TRIM(INDEX($A:$U,ROW(),$E$6)&amp;IF($F$6="",""," "&amp;INDEX($A:$U,ROW(),$F$6))))</f>
        <v/>
      </c>
      <c r="AB1623" s="31">
        <f>IF($AA1623="","",SUBSTITUTE(SUBSTITUTE(SUBSTITUTE(SUBSTITUTE(SUBSTITUTE(SUBSTITUTE(SUBSTITUTE(SUBSTITUTE(SUBSTITUTE($AA1623," ",""),"　",""),"(주)",""),"（주）",""),"㈜",""),"주식회사",""),"(유)",""),"（유）",""),"유한회사",""))</f>
        <v/>
      </c>
      <c r="AC1623" s="31">
        <f>IF(OR($Y1623="",N($Z1623)&lt;=0,$AB1623=""),0,IFERROR(LOOKUP(2,1/((거래처별!$AC$8:$AC$307&lt;&gt;"")*ISNUMBER(SEARCH(거래처별!$AC$8:$AC$307,$AB1623))),거래처별!$A$8:$A$307),IFERROR(LOOKUP(2,1/((거래처별!$AD$8:$AD$307&lt;&gt;"")*ISNUMBER(SEARCH(거래처별!$AD$8:$AD$307,$AB1623))),거래처별!$A$8:$A$307),IFERROR(LOOKUP(2,1/((거래처별!$AE$8:$AE$307&lt;&gt;"")*ISNUMBER(SEARCH(거래처별!$AE$8:$AE$307,$AB1623))),거래처별!$A$8:$A$307),0))))</f>
        <v/>
      </c>
      <c r="AD1623" s="31">
        <f>IF(AND($Y1623&lt;&gt;"",N($Z1623)&gt;0,$AC1623=0),MAX($AD$7:$AD1622)+1,"")</f>
        <v/>
      </c>
      <c r="AE1623" s="31">
        <f>IF($Y1623="",0,$Y1623)</f>
        <v/>
      </c>
    </row>
    <row r="1624">
      <c r="W1624" s="31">
        <f>IF(OR($B$5="",$C$6="",ROW()&lt;$B$5),"",IF(INDEX($A:$U,ROW(),$C$6)="","",INDEX($A:$U,ROW(),$C$6)))</f>
        <v/>
      </c>
      <c r="X1624" s="32">
        <f>IF($W1624="","",IF(ISNUMBER($W1624),IF($W1624&gt;=10000000,IFERROR(DATE(INT($W1624/10000),MOD(INT($W1624/100),100),MOD($W1624,100)),""),INT($W1624)),IFERROR(DATE(--LEFT(LEFT(SUBSTITUTE(SUBSTITUTE(SUBSTITUTE(SUBSTITUTE(TRIM($W1624),"-",""),".",""),"/","")," ",""),8),4),--MID(LEFT(SUBSTITUTE(SUBSTITUTE(SUBSTITUTE(SUBSTITUTE(TRIM($W1624),"-",""),".",""),"/","")," ",""),8),5,2),--MID(LEFT(SUBSTITUTE(SUBSTITUTE(SUBSTITUTE(SUBSTITUTE(TRIM($W1624),"-",""),".",""),"/","")," ",""),8),7,2)),"")))</f>
        <v/>
      </c>
      <c r="Y1624" s="32">
        <f>IF($X1624="","",INT($X1624))</f>
        <v/>
      </c>
      <c r="Z1624" s="33">
        <f>IF(OR($Y1624="",$D$6=""),"",IF(INDEX($A:$U,ROW(),$D$6)="",0,IF(ISNUMBER(INDEX($A:$U,ROW(),$D$6)),INDEX($A:$U,ROW(),$D$6),IFERROR(--SUBSTITUTE(SUBSTITUTE(TRIM(INDEX($A:$U,ROW(),$D$6)),",",""),"원",""),0))))</f>
        <v/>
      </c>
      <c r="AA1624" s="31">
        <f>IF($Y1624="","",TRIM(INDEX($A:$U,ROW(),$E$6)&amp;IF($F$6="",""," "&amp;INDEX($A:$U,ROW(),$F$6))))</f>
        <v/>
      </c>
      <c r="AB1624" s="31">
        <f>IF($AA1624="","",SUBSTITUTE(SUBSTITUTE(SUBSTITUTE(SUBSTITUTE(SUBSTITUTE(SUBSTITUTE(SUBSTITUTE(SUBSTITUTE(SUBSTITUTE($AA1624," ",""),"　",""),"(주)",""),"（주）",""),"㈜",""),"주식회사",""),"(유)",""),"（유）",""),"유한회사",""))</f>
        <v/>
      </c>
      <c r="AC1624" s="31">
        <f>IF(OR($Y1624="",N($Z1624)&lt;=0,$AB1624=""),0,IFERROR(LOOKUP(2,1/((거래처별!$AC$8:$AC$307&lt;&gt;"")*ISNUMBER(SEARCH(거래처별!$AC$8:$AC$307,$AB1624))),거래처별!$A$8:$A$307),IFERROR(LOOKUP(2,1/((거래처별!$AD$8:$AD$307&lt;&gt;"")*ISNUMBER(SEARCH(거래처별!$AD$8:$AD$307,$AB1624))),거래처별!$A$8:$A$307),IFERROR(LOOKUP(2,1/((거래처별!$AE$8:$AE$307&lt;&gt;"")*ISNUMBER(SEARCH(거래처별!$AE$8:$AE$307,$AB1624))),거래처별!$A$8:$A$307),0))))</f>
        <v/>
      </c>
      <c r="AD1624" s="31">
        <f>IF(AND($Y1624&lt;&gt;"",N($Z1624)&gt;0,$AC1624=0),MAX($AD$7:$AD1623)+1,"")</f>
        <v/>
      </c>
      <c r="AE1624" s="31">
        <f>IF($Y1624="",0,$Y1624)</f>
        <v/>
      </c>
    </row>
    <row r="1625">
      <c r="W1625" s="31">
        <f>IF(OR($B$5="",$C$6="",ROW()&lt;$B$5),"",IF(INDEX($A:$U,ROW(),$C$6)="","",INDEX($A:$U,ROW(),$C$6)))</f>
        <v/>
      </c>
      <c r="X1625" s="32">
        <f>IF($W1625="","",IF(ISNUMBER($W1625),IF($W1625&gt;=10000000,IFERROR(DATE(INT($W1625/10000),MOD(INT($W1625/100),100),MOD($W1625,100)),""),INT($W1625)),IFERROR(DATE(--LEFT(LEFT(SUBSTITUTE(SUBSTITUTE(SUBSTITUTE(SUBSTITUTE(TRIM($W1625),"-",""),".",""),"/","")," ",""),8),4),--MID(LEFT(SUBSTITUTE(SUBSTITUTE(SUBSTITUTE(SUBSTITUTE(TRIM($W1625),"-",""),".",""),"/","")," ",""),8),5,2),--MID(LEFT(SUBSTITUTE(SUBSTITUTE(SUBSTITUTE(SUBSTITUTE(TRIM($W1625),"-",""),".",""),"/","")," ",""),8),7,2)),"")))</f>
        <v/>
      </c>
      <c r="Y1625" s="32">
        <f>IF($X1625="","",INT($X1625))</f>
        <v/>
      </c>
      <c r="Z1625" s="33">
        <f>IF(OR($Y1625="",$D$6=""),"",IF(INDEX($A:$U,ROW(),$D$6)="",0,IF(ISNUMBER(INDEX($A:$U,ROW(),$D$6)),INDEX($A:$U,ROW(),$D$6),IFERROR(--SUBSTITUTE(SUBSTITUTE(TRIM(INDEX($A:$U,ROW(),$D$6)),",",""),"원",""),0))))</f>
        <v/>
      </c>
      <c r="AA1625" s="31">
        <f>IF($Y1625="","",TRIM(INDEX($A:$U,ROW(),$E$6)&amp;IF($F$6="",""," "&amp;INDEX($A:$U,ROW(),$F$6))))</f>
        <v/>
      </c>
      <c r="AB1625" s="31">
        <f>IF($AA1625="","",SUBSTITUTE(SUBSTITUTE(SUBSTITUTE(SUBSTITUTE(SUBSTITUTE(SUBSTITUTE(SUBSTITUTE(SUBSTITUTE(SUBSTITUTE($AA1625," ",""),"　",""),"(주)",""),"（주）",""),"㈜",""),"주식회사",""),"(유)",""),"（유）",""),"유한회사",""))</f>
        <v/>
      </c>
      <c r="AC1625" s="31">
        <f>IF(OR($Y1625="",N($Z1625)&lt;=0,$AB1625=""),0,IFERROR(LOOKUP(2,1/((거래처별!$AC$8:$AC$307&lt;&gt;"")*ISNUMBER(SEARCH(거래처별!$AC$8:$AC$307,$AB1625))),거래처별!$A$8:$A$307),IFERROR(LOOKUP(2,1/((거래처별!$AD$8:$AD$307&lt;&gt;"")*ISNUMBER(SEARCH(거래처별!$AD$8:$AD$307,$AB1625))),거래처별!$A$8:$A$307),IFERROR(LOOKUP(2,1/((거래처별!$AE$8:$AE$307&lt;&gt;"")*ISNUMBER(SEARCH(거래처별!$AE$8:$AE$307,$AB1625))),거래처별!$A$8:$A$307),0))))</f>
        <v/>
      </c>
      <c r="AD1625" s="31">
        <f>IF(AND($Y1625&lt;&gt;"",N($Z1625)&gt;0,$AC1625=0),MAX($AD$7:$AD1624)+1,"")</f>
        <v/>
      </c>
      <c r="AE1625" s="31">
        <f>IF($Y1625="",0,$Y1625)</f>
        <v/>
      </c>
    </row>
    <row r="1626">
      <c r="W1626" s="31">
        <f>IF(OR($B$5="",$C$6="",ROW()&lt;$B$5),"",IF(INDEX($A:$U,ROW(),$C$6)="","",INDEX($A:$U,ROW(),$C$6)))</f>
        <v/>
      </c>
      <c r="X1626" s="32">
        <f>IF($W1626="","",IF(ISNUMBER($W1626),IF($W1626&gt;=10000000,IFERROR(DATE(INT($W1626/10000),MOD(INT($W1626/100),100),MOD($W1626,100)),""),INT($W1626)),IFERROR(DATE(--LEFT(LEFT(SUBSTITUTE(SUBSTITUTE(SUBSTITUTE(SUBSTITUTE(TRIM($W1626),"-",""),".",""),"/","")," ",""),8),4),--MID(LEFT(SUBSTITUTE(SUBSTITUTE(SUBSTITUTE(SUBSTITUTE(TRIM($W1626),"-",""),".",""),"/","")," ",""),8),5,2),--MID(LEFT(SUBSTITUTE(SUBSTITUTE(SUBSTITUTE(SUBSTITUTE(TRIM($W1626),"-",""),".",""),"/","")," ",""),8),7,2)),"")))</f>
        <v/>
      </c>
      <c r="Y1626" s="32">
        <f>IF($X1626="","",INT($X1626))</f>
        <v/>
      </c>
      <c r="Z1626" s="33">
        <f>IF(OR($Y1626="",$D$6=""),"",IF(INDEX($A:$U,ROW(),$D$6)="",0,IF(ISNUMBER(INDEX($A:$U,ROW(),$D$6)),INDEX($A:$U,ROW(),$D$6),IFERROR(--SUBSTITUTE(SUBSTITUTE(TRIM(INDEX($A:$U,ROW(),$D$6)),",",""),"원",""),0))))</f>
        <v/>
      </c>
      <c r="AA1626" s="31">
        <f>IF($Y1626="","",TRIM(INDEX($A:$U,ROW(),$E$6)&amp;IF($F$6="",""," "&amp;INDEX($A:$U,ROW(),$F$6))))</f>
        <v/>
      </c>
      <c r="AB1626" s="31">
        <f>IF($AA1626="","",SUBSTITUTE(SUBSTITUTE(SUBSTITUTE(SUBSTITUTE(SUBSTITUTE(SUBSTITUTE(SUBSTITUTE(SUBSTITUTE(SUBSTITUTE($AA1626," ",""),"　",""),"(주)",""),"（주）",""),"㈜",""),"주식회사",""),"(유)",""),"（유）",""),"유한회사",""))</f>
        <v/>
      </c>
      <c r="AC1626" s="31">
        <f>IF(OR($Y1626="",N($Z1626)&lt;=0,$AB1626=""),0,IFERROR(LOOKUP(2,1/((거래처별!$AC$8:$AC$307&lt;&gt;"")*ISNUMBER(SEARCH(거래처별!$AC$8:$AC$307,$AB1626))),거래처별!$A$8:$A$307),IFERROR(LOOKUP(2,1/((거래처별!$AD$8:$AD$307&lt;&gt;"")*ISNUMBER(SEARCH(거래처별!$AD$8:$AD$307,$AB1626))),거래처별!$A$8:$A$307),IFERROR(LOOKUP(2,1/((거래처별!$AE$8:$AE$307&lt;&gt;"")*ISNUMBER(SEARCH(거래처별!$AE$8:$AE$307,$AB1626))),거래처별!$A$8:$A$307),0))))</f>
        <v/>
      </c>
      <c r="AD1626" s="31">
        <f>IF(AND($Y1626&lt;&gt;"",N($Z1626)&gt;0,$AC1626=0),MAX($AD$7:$AD1625)+1,"")</f>
        <v/>
      </c>
      <c r="AE1626" s="31">
        <f>IF($Y1626="",0,$Y1626)</f>
        <v/>
      </c>
    </row>
    <row r="1627">
      <c r="W1627" s="31">
        <f>IF(OR($B$5="",$C$6="",ROW()&lt;$B$5),"",IF(INDEX($A:$U,ROW(),$C$6)="","",INDEX($A:$U,ROW(),$C$6)))</f>
        <v/>
      </c>
      <c r="X1627" s="32">
        <f>IF($W1627="","",IF(ISNUMBER($W1627),IF($W1627&gt;=10000000,IFERROR(DATE(INT($W1627/10000),MOD(INT($W1627/100),100),MOD($W1627,100)),""),INT($W1627)),IFERROR(DATE(--LEFT(LEFT(SUBSTITUTE(SUBSTITUTE(SUBSTITUTE(SUBSTITUTE(TRIM($W1627),"-",""),".",""),"/","")," ",""),8),4),--MID(LEFT(SUBSTITUTE(SUBSTITUTE(SUBSTITUTE(SUBSTITUTE(TRIM($W1627),"-",""),".",""),"/","")," ",""),8),5,2),--MID(LEFT(SUBSTITUTE(SUBSTITUTE(SUBSTITUTE(SUBSTITUTE(TRIM($W1627),"-",""),".",""),"/","")," ",""),8),7,2)),"")))</f>
        <v/>
      </c>
      <c r="Y1627" s="32">
        <f>IF($X1627="","",INT($X1627))</f>
        <v/>
      </c>
      <c r="Z1627" s="33">
        <f>IF(OR($Y1627="",$D$6=""),"",IF(INDEX($A:$U,ROW(),$D$6)="",0,IF(ISNUMBER(INDEX($A:$U,ROW(),$D$6)),INDEX($A:$U,ROW(),$D$6),IFERROR(--SUBSTITUTE(SUBSTITUTE(TRIM(INDEX($A:$U,ROW(),$D$6)),",",""),"원",""),0))))</f>
        <v/>
      </c>
      <c r="AA1627" s="31">
        <f>IF($Y1627="","",TRIM(INDEX($A:$U,ROW(),$E$6)&amp;IF($F$6="",""," "&amp;INDEX($A:$U,ROW(),$F$6))))</f>
        <v/>
      </c>
      <c r="AB1627" s="31">
        <f>IF($AA1627="","",SUBSTITUTE(SUBSTITUTE(SUBSTITUTE(SUBSTITUTE(SUBSTITUTE(SUBSTITUTE(SUBSTITUTE(SUBSTITUTE(SUBSTITUTE($AA1627," ",""),"　",""),"(주)",""),"（주）",""),"㈜",""),"주식회사",""),"(유)",""),"（유）",""),"유한회사",""))</f>
        <v/>
      </c>
      <c r="AC1627" s="31">
        <f>IF(OR($Y1627="",N($Z1627)&lt;=0,$AB1627=""),0,IFERROR(LOOKUP(2,1/((거래처별!$AC$8:$AC$307&lt;&gt;"")*ISNUMBER(SEARCH(거래처별!$AC$8:$AC$307,$AB1627))),거래처별!$A$8:$A$307),IFERROR(LOOKUP(2,1/((거래처별!$AD$8:$AD$307&lt;&gt;"")*ISNUMBER(SEARCH(거래처별!$AD$8:$AD$307,$AB1627))),거래처별!$A$8:$A$307),IFERROR(LOOKUP(2,1/((거래처별!$AE$8:$AE$307&lt;&gt;"")*ISNUMBER(SEARCH(거래처별!$AE$8:$AE$307,$AB1627))),거래처별!$A$8:$A$307),0))))</f>
        <v/>
      </c>
      <c r="AD1627" s="31">
        <f>IF(AND($Y1627&lt;&gt;"",N($Z1627)&gt;0,$AC1627=0),MAX($AD$7:$AD1626)+1,"")</f>
        <v/>
      </c>
      <c r="AE1627" s="31">
        <f>IF($Y1627="",0,$Y1627)</f>
        <v/>
      </c>
    </row>
    <row r="1628">
      <c r="W1628" s="31">
        <f>IF(OR($B$5="",$C$6="",ROW()&lt;$B$5),"",IF(INDEX($A:$U,ROW(),$C$6)="","",INDEX($A:$U,ROW(),$C$6)))</f>
        <v/>
      </c>
      <c r="X1628" s="32">
        <f>IF($W1628="","",IF(ISNUMBER($W1628),IF($W1628&gt;=10000000,IFERROR(DATE(INT($W1628/10000),MOD(INT($W1628/100),100),MOD($W1628,100)),""),INT($W1628)),IFERROR(DATE(--LEFT(LEFT(SUBSTITUTE(SUBSTITUTE(SUBSTITUTE(SUBSTITUTE(TRIM($W1628),"-",""),".",""),"/","")," ",""),8),4),--MID(LEFT(SUBSTITUTE(SUBSTITUTE(SUBSTITUTE(SUBSTITUTE(TRIM($W1628),"-",""),".",""),"/","")," ",""),8),5,2),--MID(LEFT(SUBSTITUTE(SUBSTITUTE(SUBSTITUTE(SUBSTITUTE(TRIM($W1628),"-",""),".",""),"/","")," ",""),8),7,2)),"")))</f>
        <v/>
      </c>
      <c r="Y1628" s="32">
        <f>IF($X1628="","",INT($X1628))</f>
        <v/>
      </c>
      <c r="Z1628" s="33">
        <f>IF(OR($Y1628="",$D$6=""),"",IF(INDEX($A:$U,ROW(),$D$6)="",0,IF(ISNUMBER(INDEX($A:$U,ROW(),$D$6)),INDEX($A:$U,ROW(),$D$6),IFERROR(--SUBSTITUTE(SUBSTITUTE(TRIM(INDEX($A:$U,ROW(),$D$6)),",",""),"원",""),0))))</f>
        <v/>
      </c>
      <c r="AA1628" s="31">
        <f>IF($Y1628="","",TRIM(INDEX($A:$U,ROW(),$E$6)&amp;IF($F$6="",""," "&amp;INDEX($A:$U,ROW(),$F$6))))</f>
        <v/>
      </c>
      <c r="AB1628" s="31">
        <f>IF($AA1628="","",SUBSTITUTE(SUBSTITUTE(SUBSTITUTE(SUBSTITUTE(SUBSTITUTE(SUBSTITUTE(SUBSTITUTE(SUBSTITUTE(SUBSTITUTE($AA1628," ",""),"　",""),"(주)",""),"（주）",""),"㈜",""),"주식회사",""),"(유)",""),"（유）",""),"유한회사",""))</f>
        <v/>
      </c>
      <c r="AC1628" s="31">
        <f>IF(OR($Y1628="",N($Z1628)&lt;=0,$AB1628=""),0,IFERROR(LOOKUP(2,1/((거래처별!$AC$8:$AC$307&lt;&gt;"")*ISNUMBER(SEARCH(거래처별!$AC$8:$AC$307,$AB1628))),거래처별!$A$8:$A$307),IFERROR(LOOKUP(2,1/((거래처별!$AD$8:$AD$307&lt;&gt;"")*ISNUMBER(SEARCH(거래처별!$AD$8:$AD$307,$AB1628))),거래처별!$A$8:$A$307),IFERROR(LOOKUP(2,1/((거래처별!$AE$8:$AE$307&lt;&gt;"")*ISNUMBER(SEARCH(거래처별!$AE$8:$AE$307,$AB1628))),거래처별!$A$8:$A$307),0))))</f>
        <v/>
      </c>
      <c r="AD1628" s="31">
        <f>IF(AND($Y1628&lt;&gt;"",N($Z1628)&gt;0,$AC1628=0),MAX($AD$7:$AD1627)+1,"")</f>
        <v/>
      </c>
      <c r="AE1628" s="31">
        <f>IF($Y1628="",0,$Y1628)</f>
        <v/>
      </c>
    </row>
    <row r="1629">
      <c r="W1629" s="31">
        <f>IF(OR($B$5="",$C$6="",ROW()&lt;$B$5),"",IF(INDEX($A:$U,ROW(),$C$6)="","",INDEX($A:$U,ROW(),$C$6)))</f>
        <v/>
      </c>
      <c r="X1629" s="32">
        <f>IF($W1629="","",IF(ISNUMBER($W1629),IF($W1629&gt;=10000000,IFERROR(DATE(INT($W1629/10000),MOD(INT($W1629/100),100),MOD($W1629,100)),""),INT($W1629)),IFERROR(DATE(--LEFT(LEFT(SUBSTITUTE(SUBSTITUTE(SUBSTITUTE(SUBSTITUTE(TRIM($W1629),"-",""),".",""),"/","")," ",""),8),4),--MID(LEFT(SUBSTITUTE(SUBSTITUTE(SUBSTITUTE(SUBSTITUTE(TRIM($W1629),"-",""),".",""),"/","")," ",""),8),5,2),--MID(LEFT(SUBSTITUTE(SUBSTITUTE(SUBSTITUTE(SUBSTITUTE(TRIM($W1629),"-",""),".",""),"/","")," ",""),8),7,2)),"")))</f>
        <v/>
      </c>
      <c r="Y1629" s="32">
        <f>IF($X1629="","",INT($X1629))</f>
        <v/>
      </c>
      <c r="Z1629" s="33">
        <f>IF(OR($Y1629="",$D$6=""),"",IF(INDEX($A:$U,ROW(),$D$6)="",0,IF(ISNUMBER(INDEX($A:$U,ROW(),$D$6)),INDEX($A:$U,ROW(),$D$6),IFERROR(--SUBSTITUTE(SUBSTITUTE(TRIM(INDEX($A:$U,ROW(),$D$6)),",",""),"원",""),0))))</f>
        <v/>
      </c>
      <c r="AA1629" s="31">
        <f>IF($Y1629="","",TRIM(INDEX($A:$U,ROW(),$E$6)&amp;IF($F$6="",""," "&amp;INDEX($A:$U,ROW(),$F$6))))</f>
        <v/>
      </c>
      <c r="AB1629" s="31">
        <f>IF($AA1629="","",SUBSTITUTE(SUBSTITUTE(SUBSTITUTE(SUBSTITUTE(SUBSTITUTE(SUBSTITUTE(SUBSTITUTE(SUBSTITUTE(SUBSTITUTE($AA1629," ",""),"　",""),"(주)",""),"（주）",""),"㈜",""),"주식회사",""),"(유)",""),"（유）",""),"유한회사",""))</f>
        <v/>
      </c>
      <c r="AC1629" s="31">
        <f>IF(OR($Y1629="",N($Z1629)&lt;=0,$AB1629=""),0,IFERROR(LOOKUP(2,1/((거래처별!$AC$8:$AC$307&lt;&gt;"")*ISNUMBER(SEARCH(거래처별!$AC$8:$AC$307,$AB1629))),거래처별!$A$8:$A$307),IFERROR(LOOKUP(2,1/((거래처별!$AD$8:$AD$307&lt;&gt;"")*ISNUMBER(SEARCH(거래처별!$AD$8:$AD$307,$AB1629))),거래처별!$A$8:$A$307),IFERROR(LOOKUP(2,1/((거래처별!$AE$8:$AE$307&lt;&gt;"")*ISNUMBER(SEARCH(거래처별!$AE$8:$AE$307,$AB1629))),거래처별!$A$8:$A$307),0))))</f>
        <v/>
      </c>
      <c r="AD1629" s="31">
        <f>IF(AND($Y1629&lt;&gt;"",N($Z1629)&gt;0,$AC1629=0),MAX($AD$7:$AD1628)+1,"")</f>
        <v/>
      </c>
      <c r="AE1629" s="31">
        <f>IF($Y1629="",0,$Y1629)</f>
        <v/>
      </c>
    </row>
    <row r="1630">
      <c r="W1630" s="31">
        <f>IF(OR($B$5="",$C$6="",ROW()&lt;$B$5),"",IF(INDEX($A:$U,ROW(),$C$6)="","",INDEX($A:$U,ROW(),$C$6)))</f>
        <v/>
      </c>
      <c r="X1630" s="32">
        <f>IF($W1630="","",IF(ISNUMBER($W1630),IF($W1630&gt;=10000000,IFERROR(DATE(INT($W1630/10000),MOD(INT($W1630/100),100),MOD($W1630,100)),""),INT($W1630)),IFERROR(DATE(--LEFT(LEFT(SUBSTITUTE(SUBSTITUTE(SUBSTITUTE(SUBSTITUTE(TRIM($W1630),"-",""),".",""),"/","")," ",""),8),4),--MID(LEFT(SUBSTITUTE(SUBSTITUTE(SUBSTITUTE(SUBSTITUTE(TRIM($W1630),"-",""),".",""),"/","")," ",""),8),5,2),--MID(LEFT(SUBSTITUTE(SUBSTITUTE(SUBSTITUTE(SUBSTITUTE(TRIM($W1630),"-",""),".",""),"/","")," ",""),8),7,2)),"")))</f>
        <v/>
      </c>
      <c r="Y1630" s="32">
        <f>IF($X1630="","",INT($X1630))</f>
        <v/>
      </c>
      <c r="Z1630" s="33">
        <f>IF(OR($Y1630="",$D$6=""),"",IF(INDEX($A:$U,ROW(),$D$6)="",0,IF(ISNUMBER(INDEX($A:$U,ROW(),$D$6)),INDEX($A:$U,ROW(),$D$6),IFERROR(--SUBSTITUTE(SUBSTITUTE(TRIM(INDEX($A:$U,ROW(),$D$6)),",",""),"원",""),0))))</f>
        <v/>
      </c>
      <c r="AA1630" s="31">
        <f>IF($Y1630="","",TRIM(INDEX($A:$U,ROW(),$E$6)&amp;IF($F$6="",""," "&amp;INDEX($A:$U,ROW(),$F$6))))</f>
        <v/>
      </c>
      <c r="AB1630" s="31">
        <f>IF($AA1630="","",SUBSTITUTE(SUBSTITUTE(SUBSTITUTE(SUBSTITUTE(SUBSTITUTE(SUBSTITUTE(SUBSTITUTE(SUBSTITUTE(SUBSTITUTE($AA1630," ",""),"　",""),"(주)",""),"（주）",""),"㈜",""),"주식회사",""),"(유)",""),"（유）",""),"유한회사",""))</f>
        <v/>
      </c>
      <c r="AC1630" s="31">
        <f>IF(OR($Y1630="",N($Z1630)&lt;=0,$AB1630=""),0,IFERROR(LOOKUP(2,1/((거래처별!$AC$8:$AC$307&lt;&gt;"")*ISNUMBER(SEARCH(거래처별!$AC$8:$AC$307,$AB1630))),거래처별!$A$8:$A$307),IFERROR(LOOKUP(2,1/((거래처별!$AD$8:$AD$307&lt;&gt;"")*ISNUMBER(SEARCH(거래처별!$AD$8:$AD$307,$AB1630))),거래처별!$A$8:$A$307),IFERROR(LOOKUP(2,1/((거래처별!$AE$8:$AE$307&lt;&gt;"")*ISNUMBER(SEARCH(거래처별!$AE$8:$AE$307,$AB1630))),거래처별!$A$8:$A$307),0))))</f>
        <v/>
      </c>
      <c r="AD1630" s="31">
        <f>IF(AND($Y1630&lt;&gt;"",N($Z1630)&gt;0,$AC1630=0),MAX($AD$7:$AD1629)+1,"")</f>
        <v/>
      </c>
      <c r="AE1630" s="31">
        <f>IF($Y1630="",0,$Y1630)</f>
        <v/>
      </c>
    </row>
    <row r="1631">
      <c r="W1631" s="31">
        <f>IF(OR($B$5="",$C$6="",ROW()&lt;$B$5),"",IF(INDEX($A:$U,ROW(),$C$6)="","",INDEX($A:$U,ROW(),$C$6)))</f>
        <v/>
      </c>
      <c r="X1631" s="32">
        <f>IF($W1631="","",IF(ISNUMBER($W1631),IF($W1631&gt;=10000000,IFERROR(DATE(INT($W1631/10000),MOD(INT($W1631/100),100),MOD($W1631,100)),""),INT($W1631)),IFERROR(DATE(--LEFT(LEFT(SUBSTITUTE(SUBSTITUTE(SUBSTITUTE(SUBSTITUTE(TRIM($W1631),"-",""),".",""),"/","")," ",""),8),4),--MID(LEFT(SUBSTITUTE(SUBSTITUTE(SUBSTITUTE(SUBSTITUTE(TRIM($W1631),"-",""),".",""),"/","")," ",""),8),5,2),--MID(LEFT(SUBSTITUTE(SUBSTITUTE(SUBSTITUTE(SUBSTITUTE(TRIM($W1631),"-",""),".",""),"/","")," ",""),8),7,2)),"")))</f>
        <v/>
      </c>
      <c r="Y1631" s="32">
        <f>IF($X1631="","",INT($X1631))</f>
        <v/>
      </c>
      <c r="Z1631" s="33">
        <f>IF(OR($Y1631="",$D$6=""),"",IF(INDEX($A:$U,ROW(),$D$6)="",0,IF(ISNUMBER(INDEX($A:$U,ROW(),$D$6)),INDEX($A:$U,ROW(),$D$6),IFERROR(--SUBSTITUTE(SUBSTITUTE(TRIM(INDEX($A:$U,ROW(),$D$6)),",",""),"원",""),0))))</f>
        <v/>
      </c>
      <c r="AA1631" s="31">
        <f>IF($Y1631="","",TRIM(INDEX($A:$U,ROW(),$E$6)&amp;IF($F$6="",""," "&amp;INDEX($A:$U,ROW(),$F$6))))</f>
        <v/>
      </c>
      <c r="AB1631" s="31">
        <f>IF($AA1631="","",SUBSTITUTE(SUBSTITUTE(SUBSTITUTE(SUBSTITUTE(SUBSTITUTE(SUBSTITUTE(SUBSTITUTE(SUBSTITUTE(SUBSTITUTE($AA1631," ",""),"　",""),"(주)",""),"（주）",""),"㈜",""),"주식회사",""),"(유)",""),"（유）",""),"유한회사",""))</f>
        <v/>
      </c>
      <c r="AC1631" s="31">
        <f>IF(OR($Y1631="",N($Z1631)&lt;=0,$AB1631=""),0,IFERROR(LOOKUP(2,1/((거래처별!$AC$8:$AC$307&lt;&gt;"")*ISNUMBER(SEARCH(거래처별!$AC$8:$AC$307,$AB1631))),거래처별!$A$8:$A$307),IFERROR(LOOKUP(2,1/((거래처별!$AD$8:$AD$307&lt;&gt;"")*ISNUMBER(SEARCH(거래처별!$AD$8:$AD$307,$AB1631))),거래처별!$A$8:$A$307),IFERROR(LOOKUP(2,1/((거래처별!$AE$8:$AE$307&lt;&gt;"")*ISNUMBER(SEARCH(거래처별!$AE$8:$AE$307,$AB1631))),거래처별!$A$8:$A$307),0))))</f>
        <v/>
      </c>
      <c r="AD1631" s="31">
        <f>IF(AND($Y1631&lt;&gt;"",N($Z1631)&gt;0,$AC1631=0),MAX($AD$7:$AD1630)+1,"")</f>
        <v/>
      </c>
      <c r="AE1631" s="31">
        <f>IF($Y1631="",0,$Y1631)</f>
        <v/>
      </c>
    </row>
    <row r="1632">
      <c r="W1632" s="31">
        <f>IF(OR($B$5="",$C$6="",ROW()&lt;$B$5),"",IF(INDEX($A:$U,ROW(),$C$6)="","",INDEX($A:$U,ROW(),$C$6)))</f>
        <v/>
      </c>
      <c r="X1632" s="32">
        <f>IF($W1632="","",IF(ISNUMBER($W1632),IF($W1632&gt;=10000000,IFERROR(DATE(INT($W1632/10000),MOD(INT($W1632/100),100),MOD($W1632,100)),""),INT($W1632)),IFERROR(DATE(--LEFT(LEFT(SUBSTITUTE(SUBSTITUTE(SUBSTITUTE(SUBSTITUTE(TRIM($W1632),"-",""),".",""),"/","")," ",""),8),4),--MID(LEFT(SUBSTITUTE(SUBSTITUTE(SUBSTITUTE(SUBSTITUTE(TRIM($W1632),"-",""),".",""),"/","")," ",""),8),5,2),--MID(LEFT(SUBSTITUTE(SUBSTITUTE(SUBSTITUTE(SUBSTITUTE(TRIM($W1632),"-",""),".",""),"/","")," ",""),8),7,2)),"")))</f>
        <v/>
      </c>
      <c r="Y1632" s="32">
        <f>IF($X1632="","",INT($X1632))</f>
        <v/>
      </c>
      <c r="Z1632" s="33">
        <f>IF(OR($Y1632="",$D$6=""),"",IF(INDEX($A:$U,ROW(),$D$6)="",0,IF(ISNUMBER(INDEX($A:$U,ROW(),$D$6)),INDEX($A:$U,ROW(),$D$6),IFERROR(--SUBSTITUTE(SUBSTITUTE(TRIM(INDEX($A:$U,ROW(),$D$6)),",",""),"원",""),0))))</f>
        <v/>
      </c>
      <c r="AA1632" s="31">
        <f>IF($Y1632="","",TRIM(INDEX($A:$U,ROW(),$E$6)&amp;IF($F$6="",""," "&amp;INDEX($A:$U,ROW(),$F$6))))</f>
        <v/>
      </c>
      <c r="AB1632" s="31">
        <f>IF($AA1632="","",SUBSTITUTE(SUBSTITUTE(SUBSTITUTE(SUBSTITUTE(SUBSTITUTE(SUBSTITUTE(SUBSTITUTE(SUBSTITUTE(SUBSTITUTE($AA1632," ",""),"　",""),"(주)",""),"（주）",""),"㈜",""),"주식회사",""),"(유)",""),"（유）",""),"유한회사",""))</f>
        <v/>
      </c>
      <c r="AC1632" s="31">
        <f>IF(OR($Y1632="",N($Z1632)&lt;=0,$AB1632=""),0,IFERROR(LOOKUP(2,1/((거래처별!$AC$8:$AC$307&lt;&gt;"")*ISNUMBER(SEARCH(거래처별!$AC$8:$AC$307,$AB1632))),거래처별!$A$8:$A$307),IFERROR(LOOKUP(2,1/((거래처별!$AD$8:$AD$307&lt;&gt;"")*ISNUMBER(SEARCH(거래처별!$AD$8:$AD$307,$AB1632))),거래처별!$A$8:$A$307),IFERROR(LOOKUP(2,1/((거래처별!$AE$8:$AE$307&lt;&gt;"")*ISNUMBER(SEARCH(거래처별!$AE$8:$AE$307,$AB1632))),거래처별!$A$8:$A$307),0))))</f>
        <v/>
      </c>
      <c r="AD1632" s="31">
        <f>IF(AND($Y1632&lt;&gt;"",N($Z1632)&gt;0,$AC1632=0),MAX($AD$7:$AD1631)+1,"")</f>
        <v/>
      </c>
      <c r="AE1632" s="31">
        <f>IF($Y1632="",0,$Y1632)</f>
        <v/>
      </c>
    </row>
    <row r="1633">
      <c r="W1633" s="31">
        <f>IF(OR($B$5="",$C$6="",ROW()&lt;$B$5),"",IF(INDEX($A:$U,ROW(),$C$6)="","",INDEX($A:$U,ROW(),$C$6)))</f>
        <v/>
      </c>
      <c r="X1633" s="32">
        <f>IF($W1633="","",IF(ISNUMBER($W1633),IF($W1633&gt;=10000000,IFERROR(DATE(INT($W1633/10000),MOD(INT($W1633/100),100),MOD($W1633,100)),""),INT($W1633)),IFERROR(DATE(--LEFT(LEFT(SUBSTITUTE(SUBSTITUTE(SUBSTITUTE(SUBSTITUTE(TRIM($W1633),"-",""),".",""),"/","")," ",""),8),4),--MID(LEFT(SUBSTITUTE(SUBSTITUTE(SUBSTITUTE(SUBSTITUTE(TRIM($W1633),"-",""),".",""),"/","")," ",""),8),5,2),--MID(LEFT(SUBSTITUTE(SUBSTITUTE(SUBSTITUTE(SUBSTITUTE(TRIM($W1633),"-",""),".",""),"/","")," ",""),8),7,2)),"")))</f>
        <v/>
      </c>
      <c r="Y1633" s="32">
        <f>IF($X1633="","",INT($X1633))</f>
        <v/>
      </c>
      <c r="Z1633" s="33">
        <f>IF(OR($Y1633="",$D$6=""),"",IF(INDEX($A:$U,ROW(),$D$6)="",0,IF(ISNUMBER(INDEX($A:$U,ROW(),$D$6)),INDEX($A:$U,ROW(),$D$6),IFERROR(--SUBSTITUTE(SUBSTITUTE(TRIM(INDEX($A:$U,ROW(),$D$6)),",",""),"원",""),0))))</f>
        <v/>
      </c>
      <c r="AA1633" s="31">
        <f>IF($Y1633="","",TRIM(INDEX($A:$U,ROW(),$E$6)&amp;IF($F$6="",""," "&amp;INDEX($A:$U,ROW(),$F$6))))</f>
        <v/>
      </c>
      <c r="AB1633" s="31">
        <f>IF($AA1633="","",SUBSTITUTE(SUBSTITUTE(SUBSTITUTE(SUBSTITUTE(SUBSTITUTE(SUBSTITUTE(SUBSTITUTE(SUBSTITUTE(SUBSTITUTE($AA1633," ",""),"　",""),"(주)",""),"（주）",""),"㈜",""),"주식회사",""),"(유)",""),"（유）",""),"유한회사",""))</f>
        <v/>
      </c>
      <c r="AC1633" s="31">
        <f>IF(OR($Y1633="",N($Z1633)&lt;=0,$AB1633=""),0,IFERROR(LOOKUP(2,1/((거래처별!$AC$8:$AC$307&lt;&gt;"")*ISNUMBER(SEARCH(거래처별!$AC$8:$AC$307,$AB1633))),거래처별!$A$8:$A$307),IFERROR(LOOKUP(2,1/((거래처별!$AD$8:$AD$307&lt;&gt;"")*ISNUMBER(SEARCH(거래처별!$AD$8:$AD$307,$AB1633))),거래처별!$A$8:$A$307),IFERROR(LOOKUP(2,1/((거래처별!$AE$8:$AE$307&lt;&gt;"")*ISNUMBER(SEARCH(거래처별!$AE$8:$AE$307,$AB1633))),거래처별!$A$8:$A$307),0))))</f>
        <v/>
      </c>
      <c r="AD1633" s="31">
        <f>IF(AND($Y1633&lt;&gt;"",N($Z1633)&gt;0,$AC1633=0),MAX($AD$7:$AD1632)+1,"")</f>
        <v/>
      </c>
      <c r="AE1633" s="31">
        <f>IF($Y1633="",0,$Y1633)</f>
        <v/>
      </c>
    </row>
    <row r="1634">
      <c r="W1634" s="31">
        <f>IF(OR($B$5="",$C$6="",ROW()&lt;$B$5),"",IF(INDEX($A:$U,ROW(),$C$6)="","",INDEX($A:$U,ROW(),$C$6)))</f>
        <v/>
      </c>
      <c r="X1634" s="32">
        <f>IF($W1634="","",IF(ISNUMBER($W1634),IF($W1634&gt;=10000000,IFERROR(DATE(INT($W1634/10000),MOD(INT($W1634/100),100),MOD($W1634,100)),""),INT($W1634)),IFERROR(DATE(--LEFT(LEFT(SUBSTITUTE(SUBSTITUTE(SUBSTITUTE(SUBSTITUTE(TRIM($W1634),"-",""),".",""),"/","")," ",""),8),4),--MID(LEFT(SUBSTITUTE(SUBSTITUTE(SUBSTITUTE(SUBSTITUTE(TRIM($W1634),"-",""),".",""),"/","")," ",""),8),5,2),--MID(LEFT(SUBSTITUTE(SUBSTITUTE(SUBSTITUTE(SUBSTITUTE(TRIM($W1634),"-",""),".",""),"/","")," ",""),8),7,2)),"")))</f>
        <v/>
      </c>
      <c r="Y1634" s="32">
        <f>IF($X1634="","",INT($X1634))</f>
        <v/>
      </c>
      <c r="Z1634" s="33">
        <f>IF(OR($Y1634="",$D$6=""),"",IF(INDEX($A:$U,ROW(),$D$6)="",0,IF(ISNUMBER(INDEX($A:$U,ROW(),$D$6)),INDEX($A:$U,ROW(),$D$6),IFERROR(--SUBSTITUTE(SUBSTITUTE(TRIM(INDEX($A:$U,ROW(),$D$6)),",",""),"원",""),0))))</f>
        <v/>
      </c>
      <c r="AA1634" s="31">
        <f>IF($Y1634="","",TRIM(INDEX($A:$U,ROW(),$E$6)&amp;IF($F$6="",""," "&amp;INDEX($A:$U,ROW(),$F$6))))</f>
        <v/>
      </c>
      <c r="AB1634" s="31">
        <f>IF($AA1634="","",SUBSTITUTE(SUBSTITUTE(SUBSTITUTE(SUBSTITUTE(SUBSTITUTE(SUBSTITUTE(SUBSTITUTE(SUBSTITUTE(SUBSTITUTE($AA1634," ",""),"　",""),"(주)",""),"（주）",""),"㈜",""),"주식회사",""),"(유)",""),"（유）",""),"유한회사",""))</f>
        <v/>
      </c>
      <c r="AC1634" s="31">
        <f>IF(OR($Y1634="",N($Z1634)&lt;=0,$AB1634=""),0,IFERROR(LOOKUP(2,1/((거래처별!$AC$8:$AC$307&lt;&gt;"")*ISNUMBER(SEARCH(거래처별!$AC$8:$AC$307,$AB1634))),거래처별!$A$8:$A$307),IFERROR(LOOKUP(2,1/((거래처별!$AD$8:$AD$307&lt;&gt;"")*ISNUMBER(SEARCH(거래처별!$AD$8:$AD$307,$AB1634))),거래처별!$A$8:$A$307),IFERROR(LOOKUP(2,1/((거래처별!$AE$8:$AE$307&lt;&gt;"")*ISNUMBER(SEARCH(거래처별!$AE$8:$AE$307,$AB1634))),거래처별!$A$8:$A$307),0))))</f>
        <v/>
      </c>
      <c r="AD1634" s="31">
        <f>IF(AND($Y1634&lt;&gt;"",N($Z1634)&gt;0,$AC1634=0),MAX($AD$7:$AD1633)+1,"")</f>
        <v/>
      </c>
      <c r="AE1634" s="31">
        <f>IF($Y1634="",0,$Y1634)</f>
        <v/>
      </c>
    </row>
    <row r="1635">
      <c r="W1635" s="31">
        <f>IF(OR($B$5="",$C$6="",ROW()&lt;$B$5),"",IF(INDEX($A:$U,ROW(),$C$6)="","",INDEX($A:$U,ROW(),$C$6)))</f>
        <v/>
      </c>
      <c r="X1635" s="32">
        <f>IF($W1635="","",IF(ISNUMBER($W1635),IF($W1635&gt;=10000000,IFERROR(DATE(INT($W1635/10000),MOD(INT($W1635/100),100),MOD($W1635,100)),""),INT($W1635)),IFERROR(DATE(--LEFT(LEFT(SUBSTITUTE(SUBSTITUTE(SUBSTITUTE(SUBSTITUTE(TRIM($W1635),"-",""),".",""),"/","")," ",""),8),4),--MID(LEFT(SUBSTITUTE(SUBSTITUTE(SUBSTITUTE(SUBSTITUTE(TRIM($W1635),"-",""),".",""),"/","")," ",""),8),5,2),--MID(LEFT(SUBSTITUTE(SUBSTITUTE(SUBSTITUTE(SUBSTITUTE(TRIM($W1635),"-",""),".",""),"/","")," ",""),8),7,2)),"")))</f>
        <v/>
      </c>
      <c r="Y1635" s="32">
        <f>IF($X1635="","",INT($X1635))</f>
        <v/>
      </c>
      <c r="Z1635" s="33">
        <f>IF(OR($Y1635="",$D$6=""),"",IF(INDEX($A:$U,ROW(),$D$6)="",0,IF(ISNUMBER(INDEX($A:$U,ROW(),$D$6)),INDEX($A:$U,ROW(),$D$6),IFERROR(--SUBSTITUTE(SUBSTITUTE(TRIM(INDEX($A:$U,ROW(),$D$6)),",",""),"원",""),0))))</f>
        <v/>
      </c>
      <c r="AA1635" s="31">
        <f>IF($Y1635="","",TRIM(INDEX($A:$U,ROW(),$E$6)&amp;IF($F$6="",""," "&amp;INDEX($A:$U,ROW(),$F$6))))</f>
        <v/>
      </c>
      <c r="AB1635" s="31">
        <f>IF($AA1635="","",SUBSTITUTE(SUBSTITUTE(SUBSTITUTE(SUBSTITUTE(SUBSTITUTE(SUBSTITUTE(SUBSTITUTE(SUBSTITUTE(SUBSTITUTE($AA1635," ",""),"　",""),"(주)",""),"（주）",""),"㈜",""),"주식회사",""),"(유)",""),"（유）",""),"유한회사",""))</f>
        <v/>
      </c>
      <c r="AC1635" s="31">
        <f>IF(OR($Y1635="",N($Z1635)&lt;=0,$AB1635=""),0,IFERROR(LOOKUP(2,1/((거래처별!$AC$8:$AC$307&lt;&gt;"")*ISNUMBER(SEARCH(거래처별!$AC$8:$AC$307,$AB1635))),거래처별!$A$8:$A$307),IFERROR(LOOKUP(2,1/((거래처별!$AD$8:$AD$307&lt;&gt;"")*ISNUMBER(SEARCH(거래처별!$AD$8:$AD$307,$AB1635))),거래처별!$A$8:$A$307),IFERROR(LOOKUP(2,1/((거래처별!$AE$8:$AE$307&lt;&gt;"")*ISNUMBER(SEARCH(거래처별!$AE$8:$AE$307,$AB1635))),거래처별!$A$8:$A$307),0))))</f>
        <v/>
      </c>
      <c r="AD1635" s="31">
        <f>IF(AND($Y1635&lt;&gt;"",N($Z1635)&gt;0,$AC1635=0),MAX($AD$7:$AD1634)+1,"")</f>
        <v/>
      </c>
      <c r="AE1635" s="31">
        <f>IF($Y1635="",0,$Y1635)</f>
        <v/>
      </c>
    </row>
    <row r="1636">
      <c r="W1636" s="31">
        <f>IF(OR($B$5="",$C$6="",ROW()&lt;$B$5),"",IF(INDEX($A:$U,ROW(),$C$6)="","",INDEX($A:$U,ROW(),$C$6)))</f>
        <v/>
      </c>
      <c r="X1636" s="32">
        <f>IF($W1636="","",IF(ISNUMBER($W1636),IF($W1636&gt;=10000000,IFERROR(DATE(INT($W1636/10000),MOD(INT($W1636/100),100),MOD($W1636,100)),""),INT($W1636)),IFERROR(DATE(--LEFT(LEFT(SUBSTITUTE(SUBSTITUTE(SUBSTITUTE(SUBSTITUTE(TRIM($W1636),"-",""),".",""),"/","")," ",""),8),4),--MID(LEFT(SUBSTITUTE(SUBSTITUTE(SUBSTITUTE(SUBSTITUTE(TRIM($W1636),"-",""),".",""),"/","")," ",""),8),5,2),--MID(LEFT(SUBSTITUTE(SUBSTITUTE(SUBSTITUTE(SUBSTITUTE(TRIM($W1636),"-",""),".",""),"/","")," ",""),8),7,2)),"")))</f>
        <v/>
      </c>
      <c r="Y1636" s="32">
        <f>IF($X1636="","",INT($X1636))</f>
        <v/>
      </c>
      <c r="Z1636" s="33">
        <f>IF(OR($Y1636="",$D$6=""),"",IF(INDEX($A:$U,ROW(),$D$6)="",0,IF(ISNUMBER(INDEX($A:$U,ROW(),$D$6)),INDEX($A:$U,ROW(),$D$6),IFERROR(--SUBSTITUTE(SUBSTITUTE(TRIM(INDEX($A:$U,ROW(),$D$6)),",",""),"원",""),0))))</f>
        <v/>
      </c>
      <c r="AA1636" s="31">
        <f>IF($Y1636="","",TRIM(INDEX($A:$U,ROW(),$E$6)&amp;IF($F$6="",""," "&amp;INDEX($A:$U,ROW(),$F$6))))</f>
        <v/>
      </c>
      <c r="AB1636" s="31">
        <f>IF($AA1636="","",SUBSTITUTE(SUBSTITUTE(SUBSTITUTE(SUBSTITUTE(SUBSTITUTE(SUBSTITUTE(SUBSTITUTE(SUBSTITUTE(SUBSTITUTE($AA1636," ",""),"　",""),"(주)",""),"（주）",""),"㈜",""),"주식회사",""),"(유)",""),"（유）",""),"유한회사",""))</f>
        <v/>
      </c>
      <c r="AC1636" s="31">
        <f>IF(OR($Y1636="",N($Z1636)&lt;=0,$AB1636=""),0,IFERROR(LOOKUP(2,1/((거래처별!$AC$8:$AC$307&lt;&gt;"")*ISNUMBER(SEARCH(거래처별!$AC$8:$AC$307,$AB1636))),거래처별!$A$8:$A$307),IFERROR(LOOKUP(2,1/((거래처별!$AD$8:$AD$307&lt;&gt;"")*ISNUMBER(SEARCH(거래처별!$AD$8:$AD$307,$AB1636))),거래처별!$A$8:$A$307),IFERROR(LOOKUP(2,1/((거래처별!$AE$8:$AE$307&lt;&gt;"")*ISNUMBER(SEARCH(거래처별!$AE$8:$AE$307,$AB1636))),거래처별!$A$8:$A$307),0))))</f>
        <v/>
      </c>
      <c r="AD1636" s="31">
        <f>IF(AND($Y1636&lt;&gt;"",N($Z1636)&gt;0,$AC1636=0),MAX($AD$7:$AD1635)+1,"")</f>
        <v/>
      </c>
      <c r="AE1636" s="31">
        <f>IF($Y1636="",0,$Y1636)</f>
        <v/>
      </c>
    </row>
    <row r="1637">
      <c r="W1637" s="31">
        <f>IF(OR($B$5="",$C$6="",ROW()&lt;$B$5),"",IF(INDEX($A:$U,ROW(),$C$6)="","",INDEX($A:$U,ROW(),$C$6)))</f>
        <v/>
      </c>
      <c r="X1637" s="32">
        <f>IF($W1637="","",IF(ISNUMBER($W1637),IF($W1637&gt;=10000000,IFERROR(DATE(INT($W1637/10000),MOD(INT($W1637/100),100),MOD($W1637,100)),""),INT($W1637)),IFERROR(DATE(--LEFT(LEFT(SUBSTITUTE(SUBSTITUTE(SUBSTITUTE(SUBSTITUTE(TRIM($W1637),"-",""),".",""),"/","")," ",""),8),4),--MID(LEFT(SUBSTITUTE(SUBSTITUTE(SUBSTITUTE(SUBSTITUTE(TRIM($W1637),"-",""),".",""),"/","")," ",""),8),5,2),--MID(LEFT(SUBSTITUTE(SUBSTITUTE(SUBSTITUTE(SUBSTITUTE(TRIM($W1637),"-",""),".",""),"/","")," ",""),8),7,2)),"")))</f>
        <v/>
      </c>
      <c r="Y1637" s="32">
        <f>IF($X1637="","",INT($X1637))</f>
        <v/>
      </c>
      <c r="Z1637" s="33">
        <f>IF(OR($Y1637="",$D$6=""),"",IF(INDEX($A:$U,ROW(),$D$6)="",0,IF(ISNUMBER(INDEX($A:$U,ROW(),$D$6)),INDEX($A:$U,ROW(),$D$6),IFERROR(--SUBSTITUTE(SUBSTITUTE(TRIM(INDEX($A:$U,ROW(),$D$6)),",",""),"원",""),0))))</f>
        <v/>
      </c>
      <c r="AA1637" s="31">
        <f>IF($Y1637="","",TRIM(INDEX($A:$U,ROW(),$E$6)&amp;IF($F$6="",""," "&amp;INDEX($A:$U,ROW(),$F$6))))</f>
        <v/>
      </c>
      <c r="AB1637" s="31">
        <f>IF($AA1637="","",SUBSTITUTE(SUBSTITUTE(SUBSTITUTE(SUBSTITUTE(SUBSTITUTE(SUBSTITUTE(SUBSTITUTE(SUBSTITUTE(SUBSTITUTE($AA1637," ",""),"　",""),"(주)",""),"（주）",""),"㈜",""),"주식회사",""),"(유)",""),"（유）",""),"유한회사",""))</f>
        <v/>
      </c>
      <c r="AC1637" s="31">
        <f>IF(OR($Y1637="",N($Z1637)&lt;=0,$AB1637=""),0,IFERROR(LOOKUP(2,1/((거래처별!$AC$8:$AC$307&lt;&gt;"")*ISNUMBER(SEARCH(거래처별!$AC$8:$AC$307,$AB1637))),거래처별!$A$8:$A$307),IFERROR(LOOKUP(2,1/((거래처별!$AD$8:$AD$307&lt;&gt;"")*ISNUMBER(SEARCH(거래처별!$AD$8:$AD$307,$AB1637))),거래처별!$A$8:$A$307),IFERROR(LOOKUP(2,1/((거래처별!$AE$8:$AE$307&lt;&gt;"")*ISNUMBER(SEARCH(거래처별!$AE$8:$AE$307,$AB1637))),거래처별!$A$8:$A$307),0))))</f>
        <v/>
      </c>
      <c r="AD1637" s="31">
        <f>IF(AND($Y1637&lt;&gt;"",N($Z1637)&gt;0,$AC1637=0),MAX($AD$7:$AD1636)+1,"")</f>
        <v/>
      </c>
      <c r="AE1637" s="31">
        <f>IF($Y1637="",0,$Y1637)</f>
        <v/>
      </c>
    </row>
    <row r="1638">
      <c r="W1638" s="31">
        <f>IF(OR($B$5="",$C$6="",ROW()&lt;$B$5),"",IF(INDEX($A:$U,ROW(),$C$6)="","",INDEX($A:$U,ROW(),$C$6)))</f>
        <v/>
      </c>
      <c r="X1638" s="32">
        <f>IF($W1638="","",IF(ISNUMBER($W1638),IF($W1638&gt;=10000000,IFERROR(DATE(INT($W1638/10000),MOD(INT($W1638/100),100),MOD($W1638,100)),""),INT($W1638)),IFERROR(DATE(--LEFT(LEFT(SUBSTITUTE(SUBSTITUTE(SUBSTITUTE(SUBSTITUTE(TRIM($W1638),"-",""),".",""),"/","")," ",""),8),4),--MID(LEFT(SUBSTITUTE(SUBSTITUTE(SUBSTITUTE(SUBSTITUTE(TRIM($W1638),"-",""),".",""),"/","")," ",""),8),5,2),--MID(LEFT(SUBSTITUTE(SUBSTITUTE(SUBSTITUTE(SUBSTITUTE(TRIM($W1638),"-",""),".",""),"/","")," ",""),8),7,2)),"")))</f>
        <v/>
      </c>
      <c r="Y1638" s="32">
        <f>IF($X1638="","",INT($X1638))</f>
        <v/>
      </c>
      <c r="Z1638" s="33">
        <f>IF(OR($Y1638="",$D$6=""),"",IF(INDEX($A:$U,ROW(),$D$6)="",0,IF(ISNUMBER(INDEX($A:$U,ROW(),$D$6)),INDEX($A:$U,ROW(),$D$6),IFERROR(--SUBSTITUTE(SUBSTITUTE(TRIM(INDEX($A:$U,ROW(),$D$6)),",",""),"원",""),0))))</f>
        <v/>
      </c>
      <c r="AA1638" s="31">
        <f>IF($Y1638="","",TRIM(INDEX($A:$U,ROW(),$E$6)&amp;IF($F$6="",""," "&amp;INDEX($A:$U,ROW(),$F$6))))</f>
        <v/>
      </c>
      <c r="AB1638" s="31">
        <f>IF($AA1638="","",SUBSTITUTE(SUBSTITUTE(SUBSTITUTE(SUBSTITUTE(SUBSTITUTE(SUBSTITUTE(SUBSTITUTE(SUBSTITUTE(SUBSTITUTE($AA1638," ",""),"　",""),"(주)",""),"（주）",""),"㈜",""),"주식회사",""),"(유)",""),"（유）",""),"유한회사",""))</f>
        <v/>
      </c>
      <c r="AC1638" s="31">
        <f>IF(OR($Y1638="",N($Z1638)&lt;=0,$AB1638=""),0,IFERROR(LOOKUP(2,1/((거래처별!$AC$8:$AC$307&lt;&gt;"")*ISNUMBER(SEARCH(거래처별!$AC$8:$AC$307,$AB1638))),거래처별!$A$8:$A$307),IFERROR(LOOKUP(2,1/((거래처별!$AD$8:$AD$307&lt;&gt;"")*ISNUMBER(SEARCH(거래처별!$AD$8:$AD$307,$AB1638))),거래처별!$A$8:$A$307),IFERROR(LOOKUP(2,1/((거래처별!$AE$8:$AE$307&lt;&gt;"")*ISNUMBER(SEARCH(거래처별!$AE$8:$AE$307,$AB1638))),거래처별!$A$8:$A$307),0))))</f>
        <v/>
      </c>
      <c r="AD1638" s="31">
        <f>IF(AND($Y1638&lt;&gt;"",N($Z1638)&gt;0,$AC1638=0),MAX($AD$7:$AD1637)+1,"")</f>
        <v/>
      </c>
      <c r="AE1638" s="31">
        <f>IF($Y1638="",0,$Y1638)</f>
        <v/>
      </c>
    </row>
    <row r="1639">
      <c r="W1639" s="31">
        <f>IF(OR($B$5="",$C$6="",ROW()&lt;$B$5),"",IF(INDEX($A:$U,ROW(),$C$6)="","",INDEX($A:$U,ROW(),$C$6)))</f>
        <v/>
      </c>
      <c r="X1639" s="32">
        <f>IF($W1639="","",IF(ISNUMBER($W1639),IF($W1639&gt;=10000000,IFERROR(DATE(INT($W1639/10000),MOD(INT($W1639/100),100),MOD($W1639,100)),""),INT($W1639)),IFERROR(DATE(--LEFT(LEFT(SUBSTITUTE(SUBSTITUTE(SUBSTITUTE(SUBSTITUTE(TRIM($W1639),"-",""),".",""),"/","")," ",""),8),4),--MID(LEFT(SUBSTITUTE(SUBSTITUTE(SUBSTITUTE(SUBSTITUTE(TRIM($W1639),"-",""),".",""),"/","")," ",""),8),5,2),--MID(LEFT(SUBSTITUTE(SUBSTITUTE(SUBSTITUTE(SUBSTITUTE(TRIM($W1639),"-",""),".",""),"/","")," ",""),8),7,2)),"")))</f>
        <v/>
      </c>
      <c r="Y1639" s="32">
        <f>IF($X1639="","",INT($X1639))</f>
        <v/>
      </c>
      <c r="Z1639" s="33">
        <f>IF(OR($Y1639="",$D$6=""),"",IF(INDEX($A:$U,ROW(),$D$6)="",0,IF(ISNUMBER(INDEX($A:$U,ROW(),$D$6)),INDEX($A:$U,ROW(),$D$6),IFERROR(--SUBSTITUTE(SUBSTITUTE(TRIM(INDEX($A:$U,ROW(),$D$6)),",",""),"원",""),0))))</f>
        <v/>
      </c>
      <c r="AA1639" s="31">
        <f>IF($Y1639="","",TRIM(INDEX($A:$U,ROW(),$E$6)&amp;IF($F$6="",""," "&amp;INDEX($A:$U,ROW(),$F$6))))</f>
        <v/>
      </c>
      <c r="AB1639" s="31">
        <f>IF($AA1639="","",SUBSTITUTE(SUBSTITUTE(SUBSTITUTE(SUBSTITUTE(SUBSTITUTE(SUBSTITUTE(SUBSTITUTE(SUBSTITUTE(SUBSTITUTE($AA1639," ",""),"　",""),"(주)",""),"（주）",""),"㈜",""),"주식회사",""),"(유)",""),"（유）",""),"유한회사",""))</f>
        <v/>
      </c>
      <c r="AC1639" s="31">
        <f>IF(OR($Y1639="",N($Z1639)&lt;=0,$AB1639=""),0,IFERROR(LOOKUP(2,1/((거래처별!$AC$8:$AC$307&lt;&gt;"")*ISNUMBER(SEARCH(거래처별!$AC$8:$AC$307,$AB1639))),거래처별!$A$8:$A$307),IFERROR(LOOKUP(2,1/((거래처별!$AD$8:$AD$307&lt;&gt;"")*ISNUMBER(SEARCH(거래처별!$AD$8:$AD$307,$AB1639))),거래처별!$A$8:$A$307),IFERROR(LOOKUP(2,1/((거래처별!$AE$8:$AE$307&lt;&gt;"")*ISNUMBER(SEARCH(거래처별!$AE$8:$AE$307,$AB1639))),거래처별!$A$8:$A$307),0))))</f>
        <v/>
      </c>
      <c r="AD1639" s="31">
        <f>IF(AND($Y1639&lt;&gt;"",N($Z1639)&gt;0,$AC1639=0),MAX($AD$7:$AD1638)+1,"")</f>
        <v/>
      </c>
      <c r="AE1639" s="31">
        <f>IF($Y1639="",0,$Y1639)</f>
        <v/>
      </c>
    </row>
    <row r="1640">
      <c r="W1640" s="31">
        <f>IF(OR($B$5="",$C$6="",ROW()&lt;$B$5),"",IF(INDEX($A:$U,ROW(),$C$6)="","",INDEX($A:$U,ROW(),$C$6)))</f>
        <v/>
      </c>
      <c r="X1640" s="32">
        <f>IF($W1640="","",IF(ISNUMBER($W1640),IF($W1640&gt;=10000000,IFERROR(DATE(INT($W1640/10000),MOD(INT($W1640/100),100),MOD($W1640,100)),""),INT($W1640)),IFERROR(DATE(--LEFT(LEFT(SUBSTITUTE(SUBSTITUTE(SUBSTITUTE(SUBSTITUTE(TRIM($W1640),"-",""),".",""),"/","")," ",""),8),4),--MID(LEFT(SUBSTITUTE(SUBSTITUTE(SUBSTITUTE(SUBSTITUTE(TRIM($W1640),"-",""),".",""),"/","")," ",""),8),5,2),--MID(LEFT(SUBSTITUTE(SUBSTITUTE(SUBSTITUTE(SUBSTITUTE(TRIM($W1640),"-",""),".",""),"/","")," ",""),8),7,2)),"")))</f>
        <v/>
      </c>
      <c r="Y1640" s="32">
        <f>IF($X1640="","",INT($X1640))</f>
        <v/>
      </c>
      <c r="Z1640" s="33">
        <f>IF(OR($Y1640="",$D$6=""),"",IF(INDEX($A:$U,ROW(),$D$6)="",0,IF(ISNUMBER(INDEX($A:$U,ROW(),$D$6)),INDEX($A:$U,ROW(),$D$6),IFERROR(--SUBSTITUTE(SUBSTITUTE(TRIM(INDEX($A:$U,ROW(),$D$6)),",",""),"원",""),0))))</f>
        <v/>
      </c>
      <c r="AA1640" s="31">
        <f>IF($Y1640="","",TRIM(INDEX($A:$U,ROW(),$E$6)&amp;IF($F$6="",""," "&amp;INDEX($A:$U,ROW(),$F$6))))</f>
        <v/>
      </c>
      <c r="AB1640" s="31">
        <f>IF($AA1640="","",SUBSTITUTE(SUBSTITUTE(SUBSTITUTE(SUBSTITUTE(SUBSTITUTE(SUBSTITUTE(SUBSTITUTE(SUBSTITUTE(SUBSTITUTE($AA1640," ",""),"　",""),"(주)",""),"（주）",""),"㈜",""),"주식회사",""),"(유)",""),"（유）",""),"유한회사",""))</f>
        <v/>
      </c>
      <c r="AC1640" s="31">
        <f>IF(OR($Y1640="",N($Z1640)&lt;=0,$AB1640=""),0,IFERROR(LOOKUP(2,1/((거래처별!$AC$8:$AC$307&lt;&gt;"")*ISNUMBER(SEARCH(거래처별!$AC$8:$AC$307,$AB1640))),거래처별!$A$8:$A$307),IFERROR(LOOKUP(2,1/((거래처별!$AD$8:$AD$307&lt;&gt;"")*ISNUMBER(SEARCH(거래처별!$AD$8:$AD$307,$AB1640))),거래처별!$A$8:$A$307),IFERROR(LOOKUP(2,1/((거래처별!$AE$8:$AE$307&lt;&gt;"")*ISNUMBER(SEARCH(거래처별!$AE$8:$AE$307,$AB1640))),거래처별!$A$8:$A$307),0))))</f>
        <v/>
      </c>
      <c r="AD1640" s="31">
        <f>IF(AND($Y1640&lt;&gt;"",N($Z1640)&gt;0,$AC1640=0),MAX($AD$7:$AD1639)+1,"")</f>
        <v/>
      </c>
      <c r="AE1640" s="31">
        <f>IF($Y1640="",0,$Y1640)</f>
        <v/>
      </c>
    </row>
    <row r="1641">
      <c r="W1641" s="31">
        <f>IF(OR($B$5="",$C$6="",ROW()&lt;$B$5),"",IF(INDEX($A:$U,ROW(),$C$6)="","",INDEX($A:$U,ROW(),$C$6)))</f>
        <v/>
      </c>
      <c r="X1641" s="32">
        <f>IF($W1641="","",IF(ISNUMBER($W1641),IF($W1641&gt;=10000000,IFERROR(DATE(INT($W1641/10000),MOD(INT($W1641/100),100),MOD($W1641,100)),""),INT($W1641)),IFERROR(DATE(--LEFT(LEFT(SUBSTITUTE(SUBSTITUTE(SUBSTITUTE(SUBSTITUTE(TRIM($W1641),"-",""),".",""),"/","")," ",""),8),4),--MID(LEFT(SUBSTITUTE(SUBSTITUTE(SUBSTITUTE(SUBSTITUTE(TRIM($W1641),"-",""),".",""),"/","")," ",""),8),5,2),--MID(LEFT(SUBSTITUTE(SUBSTITUTE(SUBSTITUTE(SUBSTITUTE(TRIM($W1641),"-",""),".",""),"/","")," ",""),8),7,2)),"")))</f>
        <v/>
      </c>
      <c r="Y1641" s="32">
        <f>IF($X1641="","",INT($X1641))</f>
        <v/>
      </c>
      <c r="Z1641" s="33">
        <f>IF(OR($Y1641="",$D$6=""),"",IF(INDEX($A:$U,ROW(),$D$6)="",0,IF(ISNUMBER(INDEX($A:$U,ROW(),$D$6)),INDEX($A:$U,ROW(),$D$6),IFERROR(--SUBSTITUTE(SUBSTITUTE(TRIM(INDEX($A:$U,ROW(),$D$6)),",",""),"원",""),0))))</f>
        <v/>
      </c>
      <c r="AA1641" s="31">
        <f>IF($Y1641="","",TRIM(INDEX($A:$U,ROW(),$E$6)&amp;IF($F$6="",""," "&amp;INDEX($A:$U,ROW(),$F$6))))</f>
        <v/>
      </c>
      <c r="AB1641" s="31">
        <f>IF($AA1641="","",SUBSTITUTE(SUBSTITUTE(SUBSTITUTE(SUBSTITUTE(SUBSTITUTE(SUBSTITUTE(SUBSTITUTE(SUBSTITUTE(SUBSTITUTE($AA1641," ",""),"　",""),"(주)",""),"（주）",""),"㈜",""),"주식회사",""),"(유)",""),"（유）",""),"유한회사",""))</f>
        <v/>
      </c>
      <c r="AC1641" s="31">
        <f>IF(OR($Y1641="",N($Z1641)&lt;=0,$AB1641=""),0,IFERROR(LOOKUP(2,1/((거래처별!$AC$8:$AC$307&lt;&gt;"")*ISNUMBER(SEARCH(거래처별!$AC$8:$AC$307,$AB1641))),거래처별!$A$8:$A$307),IFERROR(LOOKUP(2,1/((거래처별!$AD$8:$AD$307&lt;&gt;"")*ISNUMBER(SEARCH(거래처별!$AD$8:$AD$307,$AB1641))),거래처별!$A$8:$A$307),IFERROR(LOOKUP(2,1/((거래처별!$AE$8:$AE$307&lt;&gt;"")*ISNUMBER(SEARCH(거래처별!$AE$8:$AE$307,$AB1641))),거래처별!$A$8:$A$307),0))))</f>
        <v/>
      </c>
      <c r="AD1641" s="31">
        <f>IF(AND($Y1641&lt;&gt;"",N($Z1641)&gt;0,$AC1641=0),MAX($AD$7:$AD1640)+1,"")</f>
        <v/>
      </c>
      <c r="AE1641" s="31">
        <f>IF($Y1641="",0,$Y1641)</f>
        <v/>
      </c>
    </row>
    <row r="1642">
      <c r="W1642" s="31">
        <f>IF(OR($B$5="",$C$6="",ROW()&lt;$B$5),"",IF(INDEX($A:$U,ROW(),$C$6)="","",INDEX($A:$U,ROW(),$C$6)))</f>
        <v/>
      </c>
      <c r="X1642" s="32">
        <f>IF($W1642="","",IF(ISNUMBER($W1642),IF($W1642&gt;=10000000,IFERROR(DATE(INT($W1642/10000),MOD(INT($W1642/100),100),MOD($W1642,100)),""),INT($W1642)),IFERROR(DATE(--LEFT(LEFT(SUBSTITUTE(SUBSTITUTE(SUBSTITUTE(SUBSTITUTE(TRIM($W1642),"-",""),".",""),"/","")," ",""),8),4),--MID(LEFT(SUBSTITUTE(SUBSTITUTE(SUBSTITUTE(SUBSTITUTE(TRIM($W1642),"-",""),".",""),"/","")," ",""),8),5,2),--MID(LEFT(SUBSTITUTE(SUBSTITUTE(SUBSTITUTE(SUBSTITUTE(TRIM($W1642),"-",""),".",""),"/","")," ",""),8),7,2)),"")))</f>
        <v/>
      </c>
      <c r="Y1642" s="32">
        <f>IF($X1642="","",INT($X1642))</f>
        <v/>
      </c>
      <c r="Z1642" s="33">
        <f>IF(OR($Y1642="",$D$6=""),"",IF(INDEX($A:$U,ROW(),$D$6)="",0,IF(ISNUMBER(INDEX($A:$U,ROW(),$D$6)),INDEX($A:$U,ROW(),$D$6),IFERROR(--SUBSTITUTE(SUBSTITUTE(TRIM(INDEX($A:$U,ROW(),$D$6)),",",""),"원",""),0))))</f>
        <v/>
      </c>
      <c r="AA1642" s="31">
        <f>IF($Y1642="","",TRIM(INDEX($A:$U,ROW(),$E$6)&amp;IF($F$6="",""," "&amp;INDEX($A:$U,ROW(),$F$6))))</f>
        <v/>
      </c>
      <c r="AB1642" s="31">
        <f>IF($AA1642="","",SUBSTITUTE(SUBSTITUTE(SUBSTITUTE(SUBSTITUTE(SUBSTITUTE(SUBSTITUTE(SUBSTITUTE(SUBSTITUTE(SUBSTITUTE($AA1642," ",""),"　",""),"(주)",""),"（주）",""),"㈜",""),"주식회사",""),"(유)",""),"（유）",""),"유한회사",""))</f>
        <v/>
      </c>
      <c r="AC1642" s="31">
        <f>IF(OR($Y1642="",N($Z1642)&lt;=0,$AB1642=""),0,IFERROR(LOOKUP(2,1/((거래처별!$AC$8:$AC$307&lt;&gt;"")*ISNUMBER(SEARCH(거래처별!$AC$8:$AC$307,$AB1642))),거래처별!$A$8:$A$307),IFERROR(LOOKUP(2,1/((거래처별!$AD$8:$AD$307&lt;&gt;"")*ISNUMBER(SEARCH(거래처별!$AD$8:$AD$307,$AB1642))),거래처별!$A$8:$A$307),IFERROR(LOOKUP(2,1/((거래처별!$AE$8:$AE$307&lt;&gt;"")*ISNUMBER(SEARCH(거래처별!$AE$8:$AE$307,$AB1642))),거래처별!$A$8:$A$307),0))))</f>
        <v/>
      </c>
      <c r="AD1642" s="31">
        <f>IF(AND($Y1642&lt;&gt;"",N($Z1642)&gt;0,$AC1642=0),MAX($AD$7:$AD1641)+1,"")</f>
        <v/>
      </c>
      <c r="AE1642" s="31">
        <f>IF($Y1642="",0,$Y1642)</f>
        <v/>
      </c>
    </row>
    <row r="1643">
      <c r="W1643" s="31">
        <f>IF(OR($B$5="",$C$6="",ROW()&lt;$B$5),"",IF(INDEX($A:$U,ROW(),$C$6)="","",INDEX($A:$U,ROW(),$C$6)))</f>
        <v/>
      </c>
      <c r="X1643" s="32">
        <f>IF($W1643="","",IF(ISNUMBER($W1643),IF($W1643&gt;=10000000,IFERROR(DATE(INT($W1643/10000),MOD(INT($W1643/100),100),MOD($W1643,100)),""),INT($W1643)),IFERROR(DATE(--LEFT(LEFT(SUBSTITUTE(SUBSTITUTE(SUBSTITUTE(SUBSTITUTE(TRIM($W1643),"-",""),".",""),"/","")," ",""),8),4),--MID(LEFT(SUBSTITUTE(SUBSTITUTE(SUBSTITUTE(SUBSTITUTE(TRIM($W1643),"-",""),".",""),"/","")," ",""),8),5,2),--MID(LEFT(SUBSTITUTE(SUBSTITUTE(SUBSTITUTE(SUBSTITUTE(TRIM($W1643),"-",""),".",""),"/","")," ",""),8),7,2)),"")))</f>
        <v/>
      </c>
      <c r="Y1643" s="32">
        <f>IF($X1643="","",INT($X1643))</f>
        <v/>
      </c>
      <c r="Z1643" s="33">
        <f>IF(OR($Y1643="",$D$6=""),"",IF(INDEX($A:$U,ROW(),$D$6)="",0,IF(ISNUMBER(INDEX($A:$U,ROW(),$D$6)),INDEX($A:$U,ROW(),$D$6),IFERROR(--SUBSTITUTE(SUBSTITUTE(TRIM(INDEX($A:$U,ROW(),$D$6)),",",""),"원",""),0))))</f>
        <v/>
      </c>
      <c r="AA1643" s="31">
        <f>IF($Y1643="","",TRIM(INDEX($A:$U,ROW(),$E$6)&amp;IF($F$6="",""," "&amp;INDEX($A:$U,ROW(),$F$6))))</f>
        <v/>
      </c>
      <c r="AB1643" s="31">
        <f>IF($AA1643="","",SUBSTITUTE(SUBSTITUTE(SUBSTITUTE(SUBSTITUTE(SUBSTITUTE(SUBSTITUTE(SUBSTITUTE(SUBSTITUTE(SUBSTITUTE($AA1643," ",""),"　",""),"(주)",""),"（주）",""),"㈜",""),"주식회사",""),"(유)",""),"（유）",""),"유한회사",""))</f>
        <v/>
      </c>
      <c r="AC1643" s="31">
        <f>IF(OR($Y1643="",N($Z1643)&lt;=0,$AB1643=""),0,IFERROR(LOOKUP(2,1/((거래처별!$AC$8:$AC$307&lt;&gt;"")*ISNUMBER(SEARCH(거래처별!$AC$8:$AC$307,$AB1643))),거래처별!$A$8:$A$307),IFERROR(LOOKUP(2,1/((거래처별!$AD$8:$AD$307&lt;&gt;"")*ISNUMBER(SEARCH(거래처별!$AD$8:$AD$307,$AB1643))),거래처별!$A$8:$A$307),IFERROR(LOOKUP(2,1/((거래처별!$AE$8:$AE$307&lt;&gt;"")*ISNUMBER(SEARCH(거래처별!$AE$8:$AE$307,$AB1643))),거래처별!$A$8:$A$307),0))))</f>
        <v/>
      </c>
      <c r="AD1643" s="31">
        <f>IF(AND($Y1643&lt;&gt;"",N($Z1643)&gt;0,$AC1643=0),MAX($AD$7:$AD1642)+1,"")</f>
        <v/>
      </c>
      <c r="AE1643" s="31">
        <f>IF($Y1643="",0,$Y1643)</f>
        <v/>
      </c>
    </row>
    <row r="1644">
      <c r="W1644" s="31">
        <f>IF(OR($B$5="",$C$6="",ROW()&lt;$B$5),"",IF(INDEX($A:$U,ROW(),$C$6)="","",INDEX($A:$U,ROW(),$C$6)))</f>
        <v/>
      </c>
      <c r="X1644" s="32">
        <f>IF($W1644="","",IF(ISNUMBER($W1644),IF($W1644&gt;=10000000,IFERROR(DATE(INT($W1644/10000),MOD(INT($W1644/100),100),MOD($W1644,100)),""),INT($W1644)),IFERROR(DATE(--LEFT(LEFT(SUBSTITUTE(SUBSTITUTE(SUBSTITUTE(SUBSTITUTE(TRIM($W1644),"-",""),".",""),"/","")," ",""),8),4),--MID(LEFT(SUBSTITUTE(SUBSTITUTE(SUBSTITUTE(SUBSTITUTE(TRIM($W1644),"-",""),".",""),"/","")," ",""),8),5,2),--MID(LEFT(SUBSTITUTE(SUBSTITUTE(SUBSTITUTE(SUBSTITUTE(TRIM($W1644),"-",""),".",""),"/","")," ",""),8),7,2)),"")))</f>
        <v/>
      </c>
      <c r="Y1644" s="32">
        <f>IF($X1644="","",INT($X1644))</f>
        <v/>
      </c>
      <c r="Z1644" s="33">
        <f>IF(OR($Y1644="",$D$6=""),"",IF(INDEX($A:$U,ROW(),$D$6)="",0,IF(ISNUMBER(INDEX($A:$U,ROW(),$D$6)),INDEX($A:$U,ROW(),$D$6),IFERROR(--SUBSTITUTE(SUBSTITUTE(TRIM(INDEX($A:$U,ROW(),$D$6)),",",""),"원",""),0))))</f>
        <v/>
      </c>
      <c r="AA1644" s="31">
        <f>IF($Y1644="","",TRIM(INDEX($A:$U,ROW(),$E$6)&amp;IF($F$6="",""," "&amp;INDEX($A:$U,ROW(),$F$6))))</f>
        <v/>
      </c>
      <c r="AB1644" s="31">
        <f>IF($AA1644="","",SUBSTITUTE(SUBSTITUTE(SUBSTITUTE(SUBSTITUTE(SUBSTITUTE(SUBSTITUTE(SUBSTITUTE(SUBSTITUTE(SUBSTITUTE($AA1644," ",""),"　",""),"(주)",""),"（주）",""),"㈜",""),"주식회사",""),"(유)",""),"（유）",""),"유한회사",""))</f>
        <v/>
      </c>
      <c r="AC1644" s="31">
        <f>IF(OR($Y1644="",N($Z1644)&lt;=0,$AB1644=""),0,IFERROR(LOOKUP(2,1/((거래처별!$AC$8:$AC$307&lt;&gt;"")*ISNUMBER(SEARCH(거래처별!$AC$8:$AC$307,$AB1644))),거래처별!$A$8:$A$307),IFERROR(LOOKUP(2,1/((거래처별!$AD$8:$AD$307&lt;&gt;"")*ISNUMBER(SEARCH(거래처별!$AD$8:$AD$307,$AB1644))),거래처별!$A$8:$A$307),IFERROR(LOOKUP(2,1/((거래처별!$AE$8:$AE$307&lt;&gt;"")*ISNUMBER(SEARCH(거래처별!$AE$8:$AE$307,$AB1644))),거래처별!$A$8:$A$307),0))))</f>
        <v/>
      </c>
      <c r="AD1644" s="31">
        <f>IF(AND($Y1644&lt;&gt;"",N($Z1644)&gt;0,$AC1644=0),MAX($AD$7:$AD1643)+1,"")</f>
        <v/>
      </c>
      <c r="AE1644" s="31">
        <f>IF($Y1644="",0,$Y1644)</f>
        <v/>
      </c>
    </row>
    <row r="1645">
      <c r="W1645" s="31">
        <f>IF(OR($B$5="",$C$6="",ROW()&lt;$B$5),"",IF(INDEX($A:$U,ROW(),$C$6)="","",INDEX($A:$U,ROW(),$C$6)))</f>
        <v/>
      </c>
      <c r="X1645" s="32">
        <f>IF($W1645="","",IF(ISNUMBER($W1645),IF($W1645&gt;=10000000,IFERROR(DATE(INT($W1645/10000),MOD(INT($W1645/100),100),MOD($W1645,100)),""),INT($W1645)),IFERROR(DATE(--LEFT(LEFT(SUBSTITUTE(SUBSTITUTE(SUBSTITUTE(SUBSTITUTE(TRIM($W1645),"-",""),".",""),"/","")," ",""),8),4),--MID(LEFT(SUBSTITUTE(SUBSTITUTE(SUBSTITUTE(SUBSTITUTE(TRIM($W1645),"-",""),".",""),"/","")," ",""),8),5,2),--MID(LEFT(SUBSTITUTE(SUBSTITUTE(SUBSTITUTE(SUBSTITUTE(TRIM($W1645),"-",""),".",""),"/","")," ",""),8),7,2)),"")))</f>
        <v/>
      </c>
      <c r="Y1645" s="32">
        <f>IF($X1645="","",INT($X1645))</f>
        <v/>
      </c>
      <c r="Z1645" s="33">
        <f>IF(OR($Y1645="",$D$6=""),"",IF(INDEX($A:$U,ROW(),$D$6)="",0,IF(ISNUMBER(INDEX($A:$U,ROW(),$D$6)),INDEX($A:$U,ROW(),$D$6),IFERROR(--SUBSTITUTE(SUBSTITUTE(TRIM(INDEX($A:$U,ROW(),$D$6)),",",""),"원",""),0))))</f>
        <v/>
      </c>
      <c r="AA1645" s="31">
        <f>IF($Y1645="","",TRIM(INDEX($A:$U,ROW(),$E$6)&amp;IF($F$6="",""," "&amp;INDEX($A:$U,ROW(),$F$6))))</f>
        <v/>
      </c>
      <c r="AB1645" s="31">
        <f>IF($AA1645="","",SUBSTITUTE(SUBSTITUTE(SUBSTITUTE(SUBSTITUTE(SUBSTITUTE(SUBSTITUTE(SUBSTITUTE(SUBSTITUTE(SUBSTITUTE($AA1645," ",""),"　",""),"(주)",""),"（주）",""),"㈜",""),"주식회사",""),"(유)",""),"（유）",""),"유한회사",""))</f>
        <v/>
      </c>
      <c r="AC1645" s="31">
        <f>IF(OR($Y1645="",N($Z1645)&lt;=0,$AB1645=""),0,IFERROR(LOOKUP(2,1/((거래처별!$AC$8:$AC$307&lt;&gt;"")*ISNUMBER(SEARCH(거래처별!$AC$8:$AC$307,$AB1645))),거래처별!$A$8:$A$307),IFERROR(LOOKUP(2,1/((거래처별!$AD$8:$AD$307&lt;&gt;"")*ISNUMBER(SEARCH(거래처별!$AD$8:$AD$307,$AB1645))),거래처별!$A$8:$A$307),IFERROR(LOOKUP(2,1/((거래처별!$AE$8:$AE$307&lt;&gt;"")*ISNUMBER(SEARCH(거래처별!$AE$8:$AE$307,$AB1645))),거래처별!$A$8:$A$307),0))))</f>
        <v/>
      </c>
      <c r="AD1645" s="31">
        <f>IF(AND($Y1645&lt;&gt;"",N($Z1645)&gt;0,$AC1645=0),MAX($AD$7:$AD1644)+1,"")</f>
        <v/>
      </c>
      <c r="AE1645" s="31">
        <f>IF($Y1645="",0,$Y1645)</f>
        <v/>
      </c>
    </row>
    <row r="1646">
      <c r="W1646" s="31">
        <f>IF(OR($B$5="",$C$6="",ROW()&lt;$B$5),"",IF(INDEX($A:$U,ROW(),$C$6)="","",INDEX($A:$U,ROW(),$C$6)))</f>
        <v/>
      </c>
      <c r="X1646" s="32">
        <f>IF($W1646="","",IF(ISNUMBER($W1646),IF($W1646&gt;=10000000,IFERROR(DATE(INT($W1646/10000),MOD(INT($W1646/100),100),MOD($W1646,100)),""),INT($W1646)),IFERROR(DATE(--LEFT(LEFT(SUBSTITUTE(SUBSTITUTE(SUBSTITUTE(SUBSTITUTE(TRIM($W1646),"-",""),".",""),"/","")," ",""),8),4),--MID(LEFT(SUBSTITUTE(SUBSTITUTE(SUBSTITUTE(SUBSTITUTE(TRIM($W1646),"-",""),".",""),"/","")," ",""),8),5,2),--MID(LEFT(SUBSTITUTE(SUBSTITUTE(SUBSTITUTE(SUBSTITUTE(TRIM($W1646),"-",""),".",""),"/","")," ",""),8),7,2)),"")))</f>
        <v/>
      </c>
      <c r="Y1646" s="32">
        <f>IF($X1646="","",INT($X1646))</f>
        <v/>
      </c>
      <c r="Z1646" s="33">
        <f>IF(OR($Y1646="",$D$6=""),"",IF(INDEX($A:$U,ROW(),$D$6)="",0,IF(ISNUMBER(INDEX($A:$U,ROW(),$D$6)),INDEX($A:$U,ROW(),$D$6),IFERROR(--SUBSTITUTE(SUBSTITUTE(TRIM(INDEX($A:$U,ROW(),$D$6)),",",""),"원",""),0))))</f>
        <v/>
      </c>
      <c r="AA1646" s="31">
        <f>IF($Y1646="","",TRIM(INDEX($A:$U,ROW(),$E$6)&amp;IF($F$6="",""," "&amp;INDEX($A:$U,ROW(),$F$6))))</f>
        <v/>
      </c>
      <c r="AB1646" s="31">
        <f>IF($AA1646="","",SUBSTITUTE(SUBSTITUTE(SUBSTITUTE(SUBSTITUTE(SUBSTITUTE(SUBSTITUTE(SUBSTITUTE(SUBSTITUTE(SUBSTITUTE($AA1646," ",""),"　",""),"(주)",""),"（주）",""),"㈜",""),"주식회사",""),"(유)",""),"（유）",""),"유한회사",""))</f>
        <v/>
      </c>
      <c r="AC1646" s="31">
        <f>IF(OR($Y1646="",N($Z1646)&lt;=0,$AB1646=""),0,IFERROR(LOOKUP(2,1/((거래처별!$AC$8:$AC$307&lt;&gt;"")*ISNUMBER(SEARCH(거래처별!$AC$8:$AC$307,$AB1646))),거래처별!$A$8:$A$307),IFERROR(LOOKUP(2,1/((거래처별!$AD$8:$AD$307&lt;&gt;"")*ISNUMBER(SEARCH(거래처별!$AD$8:$AD$307,$AB1646))),거래처별!$A$8:$A$307),IFERROR(LOOKUP(2,1/((거래처별!$AE$8:$AE$307&lt;&gt;"")*ISNUMBER(SEARCH(거래처별!$AE$8:$AE$307,$AB1646))),거래처별!$A$8:$A$307),0))))</f>
        <v/>
      </c>
      <c r="AD1646" s="31">
        <f>IF(AND($Y1646&lt;&gt;"",N($Z1646)&gt;0,$AC1646=0),MAX($AD$7:$AD1645)+1,"")</f>
        <v/>
      </c>
      <c r="AE1646" s="31">
        <f>IF($Y1646="",0,$Y1646)</f>
        <v/>
      </c>
    </row>
    <row r="1647">
      <c r="W1647" s="31">
        <f>IF(OR($B$5="",$C$6="",ROW()&lt;$B$5),"",IF(INDEX($A:$U,ROW(),$C$6)="","",INDEX($A:$U,ROW(),$C$6)))</f>
        <v/>
      </c>
      <c r="X1647" s="32">
        <f>IF($W1647="","",IF(ISNUMBER($W1647),IF($W1647&gt;=10000000,IFERROR(DATE(INT($W1647/10000),MOD(INT($W1647/100),100),MOD($W1647,100)),""),INT($W1647)),IFERROR(DATE(--LEFT(LEFT(SUBSTITUTE(SUBSTITUTE(SUBSTITUTE(SUBSTITUTE(TRIM($W1647),"-",""),".",""),"/","")," ",""),8),4),--MID(LEFT(SUBSTITUTE(SUBSTITUTE(SUBSTITUTE(SUBSTITUTE(TRIM($W1647),"-",""),".",""),"/","")," ",""),8),5,2),--MID(LEFT(SUBSTITUTE(SUBSTITUTE(SUBSTITUTE(SUBSTITUTE(TRIM($W1647),"-",""),".",""),"/","")," ",""),8),7,2)),"")))</f>
        <v/>
      </c>
      <c r="Y1647" s="32">
        <f>IF($X1647="","",INT($X1647))</f>
        <v/>
      </c>
      <c r="Z1647" s="33">
        <f>IF(OR($Y1647="",$D$6=""),"",IF(INDEX($A:$U,ROW(),$D$6)="",0,IF(ISNUMBER(INDEX($A:$U,ROW(),$D$6)),INDEX($A:$U,ROW(),$D$6),IFERROR(--SUBSTITUTE(SUBSTITUTE(TRIM(INDEX($A:$U,ROW(),$D$6)),",",""),"원",""),0))))</f>
        <v/>
      </c>
      <c r="AA1647" s="31">
        <f>IF($Y1647="","",TRIM(INDEX($A:$U,ROW(),$E$6)&amp;IF($F$6="",""," "&amp;INDEX($A:$U,ROW(),$F$6))))</f>
        <v/>
      </c>
      <c r="AB1647" s="31">
        <f>IF($AA1647="","",SUBSTITUTE(SUBSTITUTE(SUBSTITUTE(SUBSTITUTE(SUBSTITUTE(SUBSTITUTE(SUBSTITUTE(SUBSTITUTE(SUBSTITUTE($AA1647," ",""),"　",""),"(주)",""),"（주）",""),"㈜",""),"주식회사",""),"(유)",""),"（유）",""),"유한회사",""))</f>
        <v/>
      </c>
      <c r="AC1647" s="31">
        <f>IF(OR($Y1647="",N($Z1647)&lt;=0,$AB1647=""),0,IFERROR(LOOKUP(2,1/((거래처별!$AC$8:$AC$307&lt;&gt;"")*ISNUMBER(SEARCH(거래처별!$AC$8:$AC$307,$AB1647))),거래처별!$A$8:$A$307),IFERROR(LOOKUP(2,1/((거래처별!$AD$8:$AD$307&lt;&gt;"")*ISNUMBER(SEARCH(거래처별!$AD$8:$AD$307,$AB1647))),거래처별!$A$8:$A$307),IFERROR(LOOKUP(2,1/((거래처별!$AE$8:$AE$307&lt;&gt;"")*ISNUMBER(SEARCH(거래처별!$AE$8:$AE$307,$AB1647))),거래처별!$A$8:$A$307),0))))</f>
        <v/>
      </c>
      <c r="AD1647" s="31">
        <f>IF(AND($Y1647&lt;&gt;"",N($Z1647)&gt;0,$AC1647=0),MAX($AD$7:$AD1646)+1,"")</f>
        <v/>
      </c>
      <c r="AE1647" s="31">
        <f>IF($Y1647="",0,$Y1647)</f>
        <v/>
      </c>
    </row>
    <row r="1648">
      <c r="W1648" s="31">
        <f>IF(OR($B$5="",$C$6="",ROW()&lt;$B$5),"",IF(INDEX($A:$U,ROW(),$C$6)="","",INDEX($A:$U,ROW(),$C$6)))</f>
        <v/>
      </c>
      <c r="X1648" s="32">
        <f>IF($W1648="","",IF(ISNUMBER($W1648),IF($W1648&gt;=10000000,IFERROR(DATE(INT($W1648/10000),MOD(INT($W1648/100),100),MOD($W1648,100)),""),INT($W1648)),IFERROR(DATE(--LEFT(LEFT(SUBSTITUTE(SUBSTITUTE(SUBSTITUTE(SUBSTITUTE(TRIM($W1648),"-",""),".",""),"/","")," ",""),8),4),--MID(LEFT(SUBSTITUTE(SUBSTITUTE(SUBSTITUTE(SUBSTITUTE(TRIM($W1648),"-",""),".",""),"/","")," ",""),8),5,2),--MID(LEFT(SUBSTITUTE(SUBSTITUTE(SUBSTITUTE(SUBSTITUTE(TRIM($W1648),"-",""),".",""),"/","")," ",""),8),7,2)),"")))</f>
        <v/>
      </c>
      <c r="Y1648" s="32">
        <f>IF($X1648="","",INT($X1648))</f>
        <v/>
      </c>
      <c r="Z1648" s="33">
        <f>IF(OR($Y1648="",$D$6=""),"",IF(INDEX($A:$U,ROW(),$D$6)="",0,IF(ISNUMBER(INDEX($A:$U,ROW(),$D$6)),INDEX($A:$U,ROW(),$D$6),IFERROR(--SUBSTITUTE(SUBSTITUTE(TRIM(INDEX($A:$U,ROW(),$D$6)),",",""),"원",""),0))))</f>
        <v/>
      </c>
      <c r="AA1648" s="31">
        <f>IF($Y1648="","",TRIM(INDEX($A:$U,ROW(),$E$6)&amp;IF($F$6="",""," "&amp;INDEX($A:$U,ROW(),$F$6))))</f>
        <v/>
      </c>
      <c r="AB1648" s="31">
        <f>IF($AA1648="","",SUBSTITUTE(SUBSTITUTE(SUBSTITUTE(SUBSTITUTE(SUBSTITUTE(SUBSTITUTE(SUBSTITUTE(SUBSTITUTE(SUBSTITUTE($AA1648," ",""),"　",""),"(주)",""),"（주）",""),"㈜",""),"주식회사",""),"(유)",""),"（유）",""),"유한회사",""))</f>
        <v/>
      </c>
      <c r="AC1648" s="31">
        <f>IF(OR($Y1648="",N($Z1648)&lt;=0,$AB1648=""),0,IFERROR(LOOKUP(2,1/((거래처별!$AC$8:$AC$307&lt;&gt;"")*ISNUMBER(SEARCH(거래처별!$AC$8:$AC$307,$AB1648))),거래처별!$A$8:$A$307),IFERROR(LOOKUP(2,1/((거래처별!$AD$8:$AD$307&lt;&gt;"")*ISNUMBER(SEARCH(거래처별!$AD$8:$AD$307,$AB1648))),거래처별!$A$8:$A$307),IFERROR(LOOKUP(2,1/((거래처별!$AE$8:$AE$307&lt;&gt;"")*ISNUMBER(SEARCH(거래처별!$AE$8:$AE$307,$AB1648))),거래처별!$A$8:$A$307),0))))</f>
        <v/>
      </c>
      <c r="AD1648" s="31">
        <f>IF(AND($Y1648&lt;&gt;"",N($Z1648)&gt;0,$AC1648=0),MAX($AD$7:$AD1647)+1,"")</f>
        <v/>
      </c>
      <c r="AE1648" s="31">
        <f>IF($Y1648="",0,$Y1648)</f>
        <v/>
      </c>
    </row>
    <row r="1649">
      <c r="W1649" s="31">
        <f>IF(OR($B$5="",$C$6="",ROW()&lt;$B$5),"",IF(INDEX($A:$U,ROW(),$C$6)="","",INDEX($A:$U,ROW(),$C$6)))</f>
        <v/>
      </c>
      <c r="X1649" s="32">
        <f>IF($W1649="","",IF(ISNUMBER($W1649),IF($W1649&gt;=10000000,IFERROR(DATE(INT($W1649/10000),MOD(INT($W1649/100),100),MOD($W1649,100)),""),INT($W1649)),IFERROR(DATE(--LEFT(LEFT(SUBSTITUTE(SUBSTITUTE(SUBSTITUTE(SUBSTITUTE(TRIM($W1649),"-",""),".",""),"/","")," ",""),8),4),--MID(LEFT(SUBSTITUTE(SUBSTITUTE(SUBSTITUTE(SUBSTITUTE(TRIM($W1649),"-",""),".",""),"/","")," ",""),8),5,2),--MID(LEFT(SUBSTITUTE(SUBSTITUTE(SUBSTITUTE(SUBSTITUTE(TRIM($W1649),"-",""),".",""),"/","")," ",""),8),7,2)),"")))</f>
        <v/>
      </c>
      <c r="Y1649" s="32">
        <f>IF($X1649="","",INT($X1649))</f>
        <v/>
      </c>
      <c r="Z1649" s="33">
        <f>IF(OR($Y1649="",$D$6=""),"",IF(INDEX($A:$U,ROW(),$D$6)="",0,IF(ISNUMBER(INDEX($A:$U,ROW(),$D$6)),INDEX($A:$U,ROW(),$D$6),IFERROR(--SUBSTITUTE(SUBSTITUTE(TRIM(INDEX($A:$U,ROW(),$D$6)),",",""),"원",""),0))))</f>
        <v/>
      </c>
      <c r="AA1649" s="31">
        <f>IF($Y1649="","",TRIM(INDEX($A:$U,ROW(),$E$6)&amp;IF($F$6="",""," "&amp;INDEX($A:$U,ROW(),$F$6))))</f>
        <v/>
      </c>
      <c r="AB1649" s="31">
        <f>IF($AA1649="","",SUBSTITUTE(SUBSTITUTE(SUBSTITUTE(SUBSTITUTE(SUBSTITUTE(SUBSTITUTE(SUBSTITUTE(SUBSTITUTE(SUBSTITUTE($AA1649," ",""),"　",""),"(주)",""),"（주）",""),"㈜",""),"주식회사",""),"(유)",""),"（유）",""),"유한회사",""))</f>
        <v/>
      </c>
      <c r="AC1649" s="31">
        <f>IF(OR($Y1649="",N($Z1649)&lt;=0,$AB1649=""),0,IFERROR(LOOKUP(2,1/((거래처별!$AC$8:$AC$307&lt;&gt;"")*ISNUMBER(SEARCH(거래처별!$AC$8:$AC$307,$AB1649))),거래처별!$A$8:$A$307),IFERROR(LOOKUP(2,1/((거래처별!$AD$8:$AD$307&lt;&gt;"")*ISNUMBER(SEARCH(거래처별!$AD$8:$AD$307,$AB1649))),거래처별!$A$8:$A$307),IFERROR(LOOKUP(2,1/((거래처별!$AE$8:$AE$307&lt;&gt;"")*ISNUMBER(SEARCH(거래처별!$AE$8:$AE$307,$AB1649))),거래처별!$A$8:$A$307),0))))</f>
        <v/>
      </c>
      <c r="AD1649" s="31">
        <f>IF(AND($Y1649&lt;&gt;"",N($Z1649)&gt;0,$AC1649=0),MAX($AD$7:$AD1648)+1,"")</f>
        <v/>
      </c>
      <c r="AE1649" s="31">
        <f>IF($Y1649="",0,$Y1649)</f>
        <v/>
      </c>
    </row>
    <row r="1650">
      <c r="W1650" s="31">
        <f>IF(OR($B$5="",$C$6="",ROW()&lt;$B$5),"",IF(INDEX($A:$U,ROW(),$C$6)="","",INDEX($A:$U,ROW(),$C$6)))</f>
        <v/>
      </c>
      <c r="X1650" s="32">
        <f>IF($W1650="","",IF(ISNUMBER($W1650),IF($W1650&gt;=10000000,IFERROR(DATE(INT($W1650/10000),MOD(INT($W1650/100),100),MOD($W1650,100)),""),INT($W1650)),IFERROR(DATE(--LEFT(LEFT(SUBSTITUTE(SUBSTITUTE(SUBSTITUTE(SUBSTITUTE(TRIM($W1650),"-",""),".",""),"/","")," ",""),8),4),--MID(LEFT(SUBSTITUTE(SUBSTITUTE(SUBSTITUTE(SUBSTITUTE(TRIM($W1650),"-",""),".",""),"/","")," ",""),8),5,2),--MID(LEFT(SUBSTITUTE(SUBSTITUTE(SUBSTITUTE(SUBSTITUTE(TRIM($W1650),"-",""),".",""),"/","")," ",""),8),7,2)),"")))</f>
        <v/>
      </c>
      <c r="Y1650" s="32">
        <f>IF($X1650="","",INT($X1650))</f>
        <v/>
      </c>
      <c r="Z1650" s="33">
        <f>IF(OR($Y1650="",$D$6=""),"",IF(INDEX($A:$U,ROW(),$D$6)="",0,IF(ISNUMBER(INDEX($A:$U,ROW(),$D$6)),INDEX($A:$U,ROW(),$D$6),IFERROR(--SUBSTITUTE(SUBSTITUTE(TRIM(INDEX($A:$U,ROW(),$D$6)),",",""),"원",""),0))))</f>
        <v/>
      </c>
      <c r="AA1650" s="31">
        <f>IF($Y1650="","",TRIM(INDEX($A:$U,ROW(),$E$6)&amp;IF($F$6="",""," "&amp;INDEX($A:$U,ROW(),$F$6))))</f>
        <v/>
      </c>
      <c r="AB1650" s="31">
        <f>IF($AA1650="","",SUBSTITUTE(SUBSTITUTE(SUBSTITUTE(SUBSTITUTE(SUBSTITUTE(SUBSTITUTE(SUBSTITUTE(SUBSTITUTE(SUBSTITUTE($AA1650," ",""),"　",""),"(주)",""),"（주）",""),"㈜",""),"주식회사",""),"(유)",""),"（유）",""),"유한회사",""))</f>
        <v/>
      </c>
      <c r="AC1650" s="31">
        <f>IF(OR($Y1650="",N($Z1650)&lt;=0,$AB1650=""),0,IFERROR(LOOKUP(2,1/((거래처별!$AC$8:$AC$307&lt;&gt;"")*ISNUMBER(SEARCH(거래처별!$AC$8:$AC$307,$AB1650))),거래처별!$A$8:$A$307),IFERROR(LOOKUP(2,1/((거래처별!$AD$8:$AD$307&lt;&gt;"")*ISNUMBER(SEARCH(거래처별!$AD$8:$AD$307,$AB1650))),거래처별!$A$8:$A$307),IFERROR(LOOKUP(2,1/((거래처별!$AE$8:$AE$307&lt;&gt;"")*ISNUMBER(SEARCH(거래처별!$AE$8:$AE$307,$AB1650))),거래처별!$A$8:$A$307),0))))</f>
        <v/>
      </c>
      <c r="AD1650" s="31">
        <f>IF(AND($Y1650&lt;&gt;"",N($Z1650)&gt;0,$AC1650=0),MAX($AD$7:$AD1649)+1,"")</f>
        <v/>
      </c>
      <c r="AE1650" s="31">
        <f>IF($Y1650="",0,$Y1650)</f>
        <v/>
      </c>
    </row>
    <row r="1651">
      <c r="W1651" s="31">
        <f>IF(OR($B$5="",$C$6="",ROW()&lt;$B$5),"",IF(INDEX($A:$U,ROW(),$C$6)="","",INDEX($A:$U,ROW(),$C$6)))</f>
        <v/>
      </c>
      <c r="X1651" s="32">
        <f>IF($W1651="","",IF(ISNUMBER($W1651),IF($W1651&gt;=10000000,IFERROR(DATE(INT($W1651/10000),MOD(INT($W1651/100),100),MOD($W1651,100)),""),INT($W1651)),IFERROR(DATE(--LEFT(LEFT(SUBSTITUTE(SUBSTITUTE(SUBSTITUTE(SUBSTITUTE(TRIM($W1651),"-",""),".",""),"/","")," ",""),8),4),--MID(LEFT(SUBSTITUTE(SUBSTITUTE(SUBSTITUTE(SUBSTITUTE(TRIM($W1651),"-",""),".",""),"/","")," ",""),8),5,2),--MID(LEFT(SUBSTITUTE(SUBSTITUTE(SUBSTITUTE(SUBSTITUTE(TRIM($W1651),"-",""),".",""),"/","")," ",""),8),7,2)),"")))</f>
        <v/>
      </c>
      <c r="Y1651" s="32">
        <f>IF($X1651="","",INT($X1651))</f>
        <v/>
      </c>
      <c r="Z1651" s="33">
        <f>IF(OR($Y1651="",$D$6=""),"",IF(INDEX($A:$U,ROW(),$D$6)="",0,IF(ISNUMBER(INDEX($A:$U,ROW(),$D$6)),INDEX($A:$U,ROW(),$D$6),IFERROR(--SUBSTITUTE(SUBSTITUTE(TRIM(INDEX($A:$U,ROW(),$D$6)),",",""),"원",""),0))))</f>
        <v/>
      </c>
      <c r="AA1651" s="31">
        <f>IF($Y1651="","",TRIM(INDEX($A:$U,ROW(),$E$6)&amp;IF($F$6="",""," "&amp;INDEX($A:$U,ROW(),$F$6))))</f>
        <v/>
      </c>
      <c r="AB1651" s="31">
        <f>IF($AA1651="","",SUBSTITUTE(SUBSTITUTE(SUBSTITUTE(SUBSTITUTE(SUBSTITUTE(SUBSTITUTE(SUBSTITUTE(SUBSTITUTE(SUBSTITUTE($AA1651," ",""),"　",""),"(주)",""),"（주）",""),"㈜",""),"주식회사",""),"(유)",""),"（유）",""),"유한회사",""))</f>
        <v/>
      </c>
      <c r="AC1651" s="31">
        <f>IF(OR($Y1651="",N($Z1651)&lt;=0,$AB1651=""),0,IFERROR(LOOKUP(2,1/((거래처별!$AC$8:$AC$307&lt;&gt;"")*ISNUMBER(SEARCH(거래처별!$AC$8:$AC$307,$AB1651))),거래처별!$A$8:$A$307),IFERROR(LOOKUP(2,1/((거래처별!$AD$8:$AD$307&lt;&gt;"")*ISNUMBER(SEARCH(거래처별!$AD$8:$AD$307,$AB1651))),거래처별!$A$8:$A$307),IFERROR(LOOKUP(2,1/((거래처별!$AE$8:$AE$307&lt;&gt;"")*ISNUMBER(SEARCH(거래처별!$AE$8:$AE$307,$AB1651))),거래처별!$A$8:$A$307),0))))</f>
        <v/>
      </c>
      <c r="AD1651" s="31">
        <f>IF(AND($Y1651&lt;&gt;"",N($Z1651)&gt;0,$AC1651=0),MAX($AD$7:$AD1650)+1,"")</f>
        <v/>
      </c>
      <c r="AE1651" s="31">
        <f>IF($Y1651="",0,$Y1651)</f>
        <v/>
      </c>
    </row>
    <row r="1652">
      <c r="W1652" s="31">
        <f>IF(OR($B$5="",$C$6="",ROW()&lt;$B$5),"",IF(INDEX($A:$U,ROW(),$C$6)="","",INDEX($A:$U,ROW(),$C$6)))</f>
        <v/>
      </c>
      <c r="X1652" s="32">
        <f>IF($W1652="","",IF(ISNUMBER($W1652),IF($W1652&gt;=10000000,IFERROR(DATE(INT($W1652/10000),MOD(INT($W1652/100),100),MOD($W1652,100)),""),INT($W1652)),IFERROR(DATE(--LEFT(LEFT(SUBSTITUTE(SUBSTITUTE(SUBSTITUTE(SUBSTITUTE(TRIM($W1652),"-",""),".",""),"/","")," ",""),8),4),--MID(LEFT(SUBSTITUTE(SUBSTITUTE(SUBSTITUTE(SUBSTITUTE(TRIM($W1652),"-",""),".",""),"/","")," ",""),8),5,2),--MID(LEFT(SUBSTITUTE(SUBSTITUTE(SUBSTITUTE(SUBSTITUTE(TRIM($W1652),"-",""),".",""),"/","")," ",""),8),7,2)),"")))</f>
        <v/>
      </c>
      <c r="Y1652" s="32">
        <f>IF($X1652="","",INT($X1652))</f>
        <v/>
      </c>
      <c r="Z1652" s="33">
        <f>IF(OR($Y1652="",$D$6=""),"",IF(INDEX($A:$U,ROW(),$D$6)="",0,IF(ISNUMBER(INDEX($A:$U,ROW(),$D$6)),INDEX($A:$U,ROW(),$D$6),IFERROR(--SUBSTITUTE(SUBSTITUTE(TRIM(INDEX($A:$U,ROW(),$D$6)),",",""),"원",""),0))))</f>
        <v/>
      </c>
      <c r="AA1652" s="31">
        <f>IF($Y1652="","",TRIM(INDEX($A:$U,ROW(),$E$6)&amp;IF($F$6="",""," "&amp;INDEX($A:$U,ROW(),$F$6))))</f>
        <v/>
      </c>
      <c r="AB1652" s="31">
        <f>IF($AA1652="","",SUBSTITUTE(SUBSTITUTE(SUBSTITUTE(SUBSTITUTE(SUBSTITUTE(SUBSTITUTE(SUBSTITUTE(SUBSTITUTE(SUBSTITUTE($AA1652," ",""),"　",""),"(주)",""),"（주）",""),"㈜",""),"주식회사",""),"(유)",""),"（유）",""),"유한회사",""))</f>
        <v/>
      </c>
      <c r="AC1652" s="31">
        <f>IF(OR($Y1652="",N($Z1652)&lt;=0,$AB1652=""),0,IFERROR(LOOKUP(2,1/((거래처별!$AC$8:$AC$307&lt;&gt;"")*ISNUMBER(SEARCH(거래처별!$AC$8:$AC$307,$AB1652))),거래처별!$A$8:$A$307),IFERROR(LOOKUP(2,1/((거래처별!$AD$8:$AD$307&lt;&gt;"")*ISNUMBER(SEARCH(거래처별!$AD$8:$AD$307,$AB1652))),거래처별!$A$8:$A$307),IFERROR(LOOKUP(2,1/((거래처별!$AE$8:$AE$307&lt;&gt;"")*ISNUMBER(SEARCH(거래처별!$AE$8:$AE$307,$AB1652))),거래처별!$A$8:$A$307),0))))</f>
        <v/>
      </c>
      <c r="AD1652" s="31">
        <f>IF(AND($Y1652&lt;&gt;"",N($Z1652)&gt;0,$AC1652=0),MAX($AD$7:$AD1651)+1,"")</f>
        <v/>
      </c>
      <c r="AE1652" s="31">
        <f>IF($Y1652="",0,$Y1652)</f>
        <v/>
      </c>
    </row>
    <row r="1653">
      <c r="W1653" s="31">
        <f>IF(OR($B$5="",$C$6="",ROW()&lt;$B$5),"",IF(INDEX($A:$U,ROW(),$C$6)="","",INDEX($A:$U,ROW(),$C$6)))</f>
        <v/>
      </c>
      <c r="X1653" s="32">
        <f>IF($W1653="","",IF(ISNUMBER($W1653),IF($W1653&gt;=10000000,IFERROR(DATE(INT($W1653/10000),MOD(INT($W1653/100),100),MOD($W1653,100)),""),INT($W1653)),IFERROR(DATE(--LEFT(LEFT(SUBSTITUTE(SUBSTITUTE(SUBSTITUTE(SUBSTITUTE(TRIM($W1653),"-",""),".",""),"/","")," ",""),8),4),--MID(LEFT(SUBSTITUTE(SUBSTITUTE(SUBSTITUTE(SUBSTITUTE(TRIM($W1653),"-",""),".",""),"/","")," ",""),8),5,2),--MID(LEFT(SUBSTITUTE(SUBSTITUTE(SUBSTITUTE(SUBSTITUTE(TRIM($W1653),"-",""),".",""),"/","")," ",""),8),7,2)),"")))</f>
        <v/>
      </c>
      <c r="Y1653" s="32">
        <f>IF($X1653="","",INT($X1653))</f>
        <v/>
      </c>
      <c r="Z1653" s="33">
        <f>IF(OR($Y1653="",$D$6=""),"",IF(INDEX($A:$U,ROW(),$D$6)="",0,IF(ISNUMBER(INDEX($A:$U,ROW(),$D$6)),INDEX($A:$U,ROW(),$D$6),IFERROR(--SUBSTITUTE(SUBSTITUTE(TRIM(INDEX($A:$U,ROW(),$D$6)),",",""),"원",""),0))))</f>
        <v/>
      </c>
      <c r="AA1653" s="31">
        <f>IF($Y1653="","",TRIM(INDEX($A:$U,ROW(),$E$6)&amp;IF($F$6="",""," "&amp;INDEX($A:$U,ROW(),$F$6))))</f>
        <v/>
      </c>
      <c r="AB1653" s="31">
        <f>IF($AA1653="","",SUBSTITUTE(SUBSTITUTE(SUBSTITUTE(SUBSTITUTE(SUBSTITUTE(SUBSTITUTE(SUBSTITUTE(SUBSTITUTE(SUBSTITUTE($AA1653," ",""),"　",""),"(주)",""),"（주）",""),"㈜",""),"주식회사",""),"(유)",""),"（유）",""),"유한회사",""))</f>
        <v/>
      </c>
      <c r="AC1653" s="31">
        <f>IF(OR($Y1653="",N($Z1653)&lt;=0,$AB1653=""),0,IFERROR(LOOKUP(2,1/((거래처별!$AC$8:$AC$307&lt;&gt;"")*ISNUMBER(SEARCH(거래처별!$AC$8:$AC$307,$AB1653))),거래처별!$A$8:$A$307),IFERROR(LOOKUP(2,1/((거래처별!$AD$8:$AD$307&lt;&gt;"")*ISNUMBER(SEARCH(거래처별!$AD$8:$AD$307,$AB1653))),거래처별!$A$8:$A$307),IFERROR(LOOKUP(2,1/((거래처별!$AE$8:$AE$307&lt;&gt;"")*ISNUMBER(SEARCH(거래처별!$AE$8:$AE$307,$AB1653))),거래처별!$A$8:$A$307),0))))</f>
        <v/>
      </c>
      <c r="AD1653" s="31">
        <f>IF(AND($Y1653&lt;&gt;"",N($Z1653)&gt;0,$AC1653=0),MAX($AD$7:$AD1652)+1,"")</f>
        <v/>
      </c>
      <c r="AE1653" s="31">
        <f>IF($Y1653="",0,$Y1653)</f>
        <v/>
      </c>
    </row>
    <row r="1654">
      <c r="W1654" s="31">
        <f>IF(OR($B$5="",$C$6="",ROW()&lt;$B$5),"",IF(INDEX($A:$U,ROW(),$C$6)="","",INDEX($A:$U,ROW(),$C$6)))</f>
        <v/>
      </c>
      <c r="X1654" s="32">
        <f>IF($W1654="","",IF(ISNUMBER($W1654),IF($W1654&gt;=10000000,IFERROR(DATE(INT($W1654/10000),MOD(INT($W1654/100),100),MOD($W1654,100)),""),INT($W1654)),IFERROR(DATE(--LEFT(LEFT(SUBSTITUTE(SUBSTITUTE(SUBSTITUTE(SUBSTITUTE(TRIM($W1654),"-",""),".",""),"/","")," ",""),8),4),--MID(LEFT(SUBSTITUTE(SUBSTITUTE(SUBSTITUTE(SUBSTITUTE(TRIM($W1654),"-",""),".",""),"/","")," ",""),8),5,2),--MID(LEFT(SUBSTITUTE(SUBSTITUTE(SUBSTITUTE(SUBSTITUTE(TRIM($W1654),"-",""),".",""),"/","")," ",""),8),7,2)),"")))</f>
        <v/>
      </c>
      <c r="Y1654" s="32">
        <f>IF($X1654="","",INT($X1654))</f>
        <v/>
      </c>
      <c r="Z1654" s="33">
        <f>IF(OR($Y1654="",$D$6=""),"",IF(INDEX($A:$U,ROW(),$D$6)="",0,IF(ISNUMBER(INDEX($A:$U,ROW(),$D$6)),INDEX($A:$U,ROW(),$D$6),IFERROR(--SUBSTITUTE(SUBSTITUTE(TRIM(INDEX($A:$U,ROW(),$D$6)),",",""),"원",""),0))))</f>
        <v/>
      </c>
      <c r="AA1654" s="31">
        <f>IF($Y1654="","",TRIM(INDEX($A:$U,ROW(),$E$6)&amp;IF($F$6="",""," "&amp;INDEX($A:$U,ROW(),$F$6))))</f>
        <v/>
      </c>
      <c r="AB1654" s="31">
        <f>IF($AA1654="","",SUBSTITUTE(SUBSTITUTE(SUBSTITUTE(SUBSTITUTE(SUBSTITUTE(SUBSTITUTE(SUBSTITUTE(SUBSTITUTE(SUBSTITUTE($AA1654," ",""),"　",""),"(주)",""),"（주）",""),"㈜",""),"주식회사",""),"(유)",""),"（유）",""),"유한회사",""))</f>
        <v/>
      </c>
      <c r="AC1654" s="31">
        <f>IF(OR($Y1654="",N($Z1654)&lt;=0,$AB1654=""),0,IFERROR(LOOKUP(2,1/((거래처별!$AC$8:$AC$307&lt;&gt;"")*ISNUMBER(SEARCH(거래처별!$AC$8:$AC$307,$AB1654))),거래처별!$A$8:$A$307),IFERROR(LOOKUP(2,1/((거래처별!$AD$8:$AD$307&lt;&gt;"")*ISNUMBER(SEARCH(거래처별!$AD$8:$AD$307,$AB1654))),거래처별!$A$8:$A$307),IFERROR(LOOKUP(2,1/((거래처별!$AE$8:$AE$307&lt;&gt;"")*ISNUMBER(SEARCH(거래처별!$AE$8:$AE$307,$AB1654))),거래처별!$A$8:$A$307),0))))</f>
        <v/>
      </c>
      <c r="AD1654" s="31">
        <f>IF(AND($Y1654&lt;&gt;"",N($Z1654)&gt;0,$AC1654=0),MAX($AD$7:$AD1653)+1,"")</f>
        <v/>
      </c>
      <c r="AE1654" s="31">
        <f>IF($Y1654="",0,$Y1654)</f>
        <v/>
      </c>
    </row>
    <row r="1655">
      <c r="W1655" s="31">
        <f>IF(OR($B$5="",$C$6="",ROW()&lt;$B$5),"",IF(INDEX($A:$U,ROW(),$C$6)="","",INDEX($A:$U,ROW(),$C$6)))</f>
        <v/>
      </c>
      <c r="X1655" s="32">
        <f>IF($W1655="","",IF(ISNUMBER($W1655),IF($W1655&gt;=10000000,IFERROR(DATE(INT($W1655/10000),MOD(INT($W1655/100),100),MOD($W1655,100)),""),INT($W1655)),IFERROR(DATE(--LEFT(LEFT(SUBSTITUTE(SUBSTITUTE(SUBSTITUTE(SUBSTITUTE(TRIM($W1655),"-",""),".",""),"/","")," ",""),8),4),--MID(LEFT(SUBSTITUTE(SUBSTITUTE(SUBSTITUTE(SUBSTITUTE(TRIM($W1655),"-",""),".",""),"/","")," ",""),8),5,2),--MID(LEFT(SUBSTITUTE(SUBSTITUTE(SUBSTITUTE(SUBSTITUTE(TRIM($W1655),"-",""),".",""),"/","")," ",""),8),7,2)),"")))</f>
        <v/>
      </c>
      <c r="Y1655" s="32">
        <f>IF($X1655="","",INT($X1655))</f>
        <v/>
      </c>
      <c r="Z1655" s="33">
        <f>IF(OR($Y1655="",$D$6=""),"",IF(INDEX($A:$U,ROW(),$D$6)="",0,IF(ISNUMBER(INDEX($A:$U,ROW(),$D$6)),INDEX($A:$U,ROW(),$D$6),IFERROR(--SUBSTITUTE(SUBSTITUTE(TRIM(INDEX($A:$U,ROW(),$D$6)),",",""),"원",""),0))))</f>
        <v/>
      </c>
      <c r="AA1655" s="31">
        <f>IF($Y1655="","",TRIM(INDEX($A:$U,ROW(),$E$6)&amp;IF($F$6="",""," "&amp;INDEX($A:$U,ROW(),$F$6))))</f>
        <v/>
      </c>
      <c r="AB1655" s="31">
        <f>IF($AA1655="","",SUBSTITUTE(SUBSTITUTE(SUBSTITUTE(SUBSTITUTE(SUBSTITUTE(SUBSTITUTE(SUBSTITUTE(SUBSTITUTE(SUBSTITUTE($AA1655," ",""),"　",""),"(주)",""),"（주）",""),"㈜",""),"주식회사",""),"(유)",""),"（유）",""),"유한회사",""))</f>
        <v/>
      </c>
      <c r="AC1655" s="31">
        <f>IF(OR($Y1655="",N($Z1655)&lt;=0,$AB1655=""),0,IFERROR(LOOKUP(2,1/((거래처별!$AC$8:$AC$307&lt;&gt;"")*ISNUMBER(SEARCH(거래처별!$AC$8:$AC$307,$AB1655))),거래처별!$A$8:$A$307),IFERROR(LOOKUP(2,1/((거래처별!$AD$8:$AD$307&lt;&gt;"")*ISNUMBER(SEARCH(거래처별!$AD$8:$AD$307,$AB1655))),거래처별!$A$8:$A$307),IFERROR(LOOKUP(2,1/((거래처별!$AE$8:$AE$307&lt;&gt;"")*ISNUMBER(SEARCH(거래처별!$AE$8:$AE$307,$AB1655))),거래처별!$A$8:$A$307),0))))</f>
        <v/>
      </c>
      <c r="AD1655" s="31">
        <f>IF(AND($Y1655&lt;&gt;"",N($Z1655)&gt;0,$AC1655=0),MAX($AD$7:$AD1654)+1,"")</f>
        <v/>
      </c>
      <c r="AE1655" s="31">
        <f>IF($Y1655="",0,$Y1655)</f>
        <v/>
      </c>
    </row>
    <row r="1656">
      <c r="W1656" s="31">
        <f>IF(OR($B$5="",$C$6="",ROW()&lt;$B$5),"",IF(INDEX($A:$U,ROW(),$C$6)="","",INDEX($A:$U,ROW(),$C$6)))</f>
        <v/>
      </c>
      <c r="X1656" s="32">
        <f>IF($W1656="","",IF(ISNUMBER($W1656),IF($W1656&gt;=10000000,IFERROR(DATE(INT($W1656/10000),MOD(INT($W1656/100),100),MOD($W1656,100)),""),INT($W1656)),IFERROR(DATE(--LEFT(LEFT(SUBSTITUTE(SUBSTITUTE(SUBSTITUTE(SUBSTITUTE(TRIM($W1656),"-",""),".",""),"/","")," ",""),8),4),--MID(LEFT(SUBSTITUTE(SUBSTITUTE(SUBSTITUTE(SUBSTITUTE(TRIM($W1656),"-",""),".",""),"/","")," ",""),8),5,2),--MID(LEFT(SUBSTITUTE(SUBSTITUTE(SUBSTITUTE(SUBSTITUTE(TRIM($W1656),"-",""),".",""),"/","")," ",""),8),7,2)),"")))</f>
        <v/>
      </c>
      <c r="Y1656" s="32">
        <f>IF($X1656="","",INT($X1656))</f>
        <v/>
      </c>
      <c r="Z1656" s="33">
        <f>IF(OR($Y1656="",$D$6=""),"",IF(INDEX($A:$U,ROW(),$D$6)="",0,IF(ISNUMBER(INDEX($A:$U,ROW(),$D$6)),INDEX($A:$U,ROW(),$D$6),IFERROR(--SUBSTITUTE(SUBSTITUTE(TRIM(INDEX($A:$U,ROW(),$D$6)),",",""),"원",""),0))))</f>
        <v/>
      </c>
      <c r="AA1656" s="31">
        <f>IF($Y1656="","",TRIM(INDEX($A:$U,ROW(),$E$6)&amp;IF($F$6="",""," "&amp;INDEX($A:$U,ROW(),$F$6))))</f>
        <v/>
      </c>
      <c r="AB1656" s="31">
        <f>IF($AA1656="","",SUBSTITUTE(SUBSTITUTE(SUBSTITUTE(SUBSTITUTE(SUBSTITUTE(SUBSTITUTE(SUBSTITUTE(SUBSTITUTE(SUBSTITUTE($AA1656," ",""),"　",""),"(주)",""),"（주）",""),"㈜",""),"주식회사",""),"(유)",""),"（유）",""),"유한회사",""))</f>
        <v/>
      </c>
      <c r="AC1656" s="31">
        <f>IF(OR($Y1656="",N($Z1656)&lt;=0,$AB1656=""),0,IFERROR(LOOKUP(2,1/((거래처별!$AC$8:$AC$307&lt;&gt;"")*ISNUMBER(SEARCH(거래처별!$AC$8:$AC$307,$AB1656))),거래처별!$A$8:$A$307),IFERROR(LOOKUP(2,1/((거래처별!$AD$8:$AD$307&lt;&gt;"")*ISNUMBER(SEARCH(거래처별!$AD$8:$AD$307,$AB1656))),거래처별!$A$8:$A$307),IFERROR(LOOKUP(2,1/((거래처별!$AE$8:$AE$307&lt;&gt;"")*ISNUMBER(SEARCH(거래처별!$AE$8:$AE$307,$AB1656))),거래처별!$A$8:$A$307),0))))</f>
        <v/>
      </c>
      <c r="AD1656" s="31">
        <f>IF(AND($Y1656&lt;&gt;"",N($Z1656)&gt;0,$AC1656=0),MAX($AD$7:$AD1655)+1,"")</f>
        <v/>
      </c>
      <c r="AE1656" s="31">
        <f>IF($Y1656="",0,$Y1656)</f>
        <v/>
      </c>
    </row>
    <row r="1657">
      <c r="W1657" s="31">
        <f>IF(OR($B$5="",$C$6="",ROW()&lt;$B$5),"",IF(INDEX($A:$U,ROW(),$C$6)="","",INDEX($A:$U,ROW(),$C$6)))</f>
        <v/>
      </c>
      <c r="X1657" s="32">
        <f>IF($W1657="","",IF(ISNUMBER($W1657),IF($W1657&gt;=10000000,IFERROR(DATE(INT($W1657/10000),MOD(INT($W1657/100),100),MOD($W1657,100)),""),INT($W1657)),IFERROR(DATE(--LEFT(LEFT(SUBSTITUTE(SUBSTITUTE(SUBSTITUTE(SUBSTITUTE(TRIM($W1657),"-",""),".",""),"/","")," ",""),8),4),--MID(LEFT(SUBSTITUTE(SUBSTITUTE(SUBSTITUTE(SUBSTITUTE(TRIM($W1657),"-",""),".",""),"/","")," ",""),8),5,2),--MID(LEFT(SUBSTITUTE(SUBSTITUTE(SUBSTITUTE(SUBSTITUTE(TRIM($W1657),"-",""),".",""),"/","")," ",""),8),7,2)),"")))</f>
        <v/>
      </c>
      <c r="Y1657" s="32">
        <f>IF($X1657="","",INT($X1657))</f>
        <v/>
      </c>
      <c r="Z1657" s="33">
        <f>IF(OR($Y1657="",$D$6=""),"",IF(INDEX($A:$U,ROW(),$D$6)="",0,IF(ISNUMBER(INDEX($A:$U,ROW(),$D$6)),INDEX($A:$U,ROW(),$D$6),IFERROR(--SUBSTITUTE(SUBSTITUTE(TRIM(INDEX($A:$U,ROW(),$D$6)),",",""),"원",""),0))))</f>
        <v/>
      </c>
      <c r="AA1657" s="31">
        <f>IF($Y1657="","",TRIM(INDEX($A:$U,ROW(),$E$6)&amp;IF($F$6="",""," "&amp;INDEX($A:$U,ROW(),$F$6))))</f>
        <v/>
      </c>
      <c r="AB1657" s="31">
        <f>IF($AA1657="","",SUBSTITUTE(SUBSTITUTE(SUBSTITUTE(SUBSTITUTE(SUBSTITUTE(SUBSTITUTE(SUBSTITUTE(SUBSTITUTE(SUBSTITUTE($AA1657," ",""),"　",""),"(주)",""),"（주）",""),"㈜",""),"주식회사",""),"(유)",""),"（유）",""),"유한회사",""))</f>
        <v/>
      </c>
      <c r="AC1657" s="31">
        <f>IF(OR($Y1657="",N($Z1657)&lt;=0,$AB1657=""),0,IFERROR(LOOKUP(2,1/((거래처별!$AC$8:$AC$307&lt;&gt;"")*ISNUMBER(SEARCH(거래처별!$AC$8:$AC$307,$AB1657))),거래처별!$A$8:$A$307),IFERROR(LOOKUP(2,1/((거래처별!$AD$8:$AD$307&lt;&gt;"")*ISNUMBER(SEARCH(거래처별!$AD$8:$AD$307,$AB1657))),거래처별!$A$8:$A$307),IFERROR(LOOKUP(2,1/((거래처별!$AE$8:$AE$307&lt;&gt;"")*ISNUMBER(SEARCH(거래처별!$AE$8:$AE$307,$AB1657))),거래처별!$A$8:$A$307),0))))</f>
        <v/>
      </c>
      <c r="AD1657" s="31">
        <f>IF(AND($Y1657&lt;&gt;"",N($Z1657)&gt;0,$AC1657=0),MAX($AD$7:$AD1656)+1,"")</f>
        <v/>
      </c>
      <c r="AE1657" s="31">
        <f>IF($Y1657="",0,$Y1657)</f>
        <v/>
      </c>
    </row>
    <row r="1658">
      <c r="W1658" s="31">
        <f>IF(OR($B$5="",$C$6="",ROW()&lt;$B$5),"",IF(INDEX($A:$U,ROW(),$C$6)="","",INDEX($A:$U,ROW(),$C$6)))</f>
        <v/>
      </c>
      <c r="X1658" s="32">
        <f>IF($W1658="","",IF(ISNUMBER($W1658),IF($W1658&gt;=10000000,IFERROR(DATE(INT($W1658/10000),MOD(INT($W1658/100),100),MOD($W1658,100)),""),INT($W1658)),IFERROR(DATE(--LEFT(LEFT(SUBSTITUTE(SUBSTITUTE(SUBSTITUTE(SUBSTITUTE(TRIM($W1658),"-",""),".",""),"/","")," ",""),8),4),--MID(LEFT(SUBSTITUTE(SUBSTITUTE(SUBSTITUTE(SUBSTITUTE(TRIM($W1658),"-",""),".",""),"/","")," ",""),8),5,2),--MID(LEFT(SUBSTITUTE(SUBSTITUTE(SUBSTITUTE(SUBSTITUTE(TRIM($W1658),"-",""),".",""),"/","")," ",""),8),7,2)),"")))</f>
        <v/>
      </c>
      <c r="Y1658" s="32">
        <f>IF($X1658="","",INT($X1658))</f>
        <v/>
      </c>
      <c r="Z1658" s="33">
        <f>IF(OR($Y1658="",$D$6=""),"",IF(INDEX($A:$U,ROW(),$D$6)="",0,IF(ISNUMBER(INDEX($A:$U,ROW(),$D$6)),INDEX($A:$U,ROW(),$D$6),IFERROR(--SUBSTITUTE(SUBSTITUTE(TRIM(INDEX($A:$U,ROW(),$D$6)),",",""),"원",""),0))))</f>
        <v/>
      </c>
      <c r="AA1658" s="31">
        <f>IF($Y1658="","",TRIM(INDEX($A:$U,ROW(),$E$6)&amp;IF($F$6="",""," "&amp;INDEX($A:$U,ROW(),$F$6))))</f>
        <v/>
      </c>
      <c r="AB1658" s="31">
        <f>IF($AA1658="","",SUBSTITUTE(SUBSTITUTE(SUBSTITUTE(SUBSTITUTE(SUBSTITUTE(SUBSTITUTE(SUBSTITUTE(SUBSTITUTE(SUBSTITUTE($AA1658," ",""),"　",""),"(주)",""),"（주）",""),"㈜",""),"주식회사",""),"(유)",""),"（유）",""),"유한회사",""))</f>
        <v/>
      </c>
      <c r="AC1658" s="31">
        <f>IF(OR($Y1658="",N($Z1658)&lt;=0,$AB1658=""),0,IFERROR(LOOKUP(2,1/((거래처별!$AC$8:$AC$307&lt;&gt;"")*ISNUMBER(SEARCH(거래처별!$AC$8:$AC$307,$AB1658))),거래처별!$A$8:$A$307),IFERROR(LOOKUP(2,1/((거래처별!$AD$8:$AD$307&lt;&gt;"")*ISNUMBER(SEARCH(거래처별!$AD$8:$AD$307,$AB1658))),거래처별!$A$8:$A$307),IFERROR(LOOKUP(2,1/((거래처별!$AE$8:$AE$307&lt;&gt;"")*ISNUMBER(SEARCH(거래처별!$AE$8:$AE$307,$AB1658))),거래처별!$A$8:$A$307),0))))</f>
        <v/>
      </c>
      <c r="AD1658" s="31">
        <f>IF(AND($Y1658&lt;&gt;"",N($Z1658)&gt;0,$AC1658=0),MAX($AD$7:$AD1657)+1,"")</f>
        <v/>
      </c>
      <c r="AE1658" s="31">
        <f>IF($Y1658="",0,$Y1658)</f>
        <v/>
      </c>
    </row>
    <row r="1659">
      <c r="W1659" s="31">
        <f>IF(OR($B$5="",$C$6="",ROW()&lt;$B$5),"",IF(INDEX($A:$U,ROW(),$C$6)="","",INDEX($A:$U,ROW(),$C$6)))</f>
        <v/>
      </c>
      <c r="X1659" s="32">
        <f>IF($W1659="","",IF(ISNUMBER($W1659),IF($W1659&gt;=10000000,IFERROR(DATE(INT($W1659/10000),MOD(INT($W1659/100),100),MOD($W1659,100)),""),INT($W1659)),IFERROR(DATE(--LEFT(LEFT(SUBSTITUTE(SUBSTITUTE(SUBSTITUTE(SUBSTITUTE(TRIM($W1659),"-",""),".",""),"/","")," ",""),8),4),--MID(LEFT(SUBSTITUTE(SUBSTITUTE(SUBSTITUTE(SUBSTITUTE(TRIM($W1659),"-",""),".",""),"/","")," ",""),8),5,2),--MID(LEFT(SUBSTITUTE(SUBSTITUTE(SUBSTITUTE(SUBSTITUTE(TRIM($W1659),"-",""),".",""),"/","")," ",""),8),7,2)),"")))</f>
        <v/>
      </c>
      <c r="Y1659" s="32">
        <f>IF($X1659="","",INT($X1659))</f>
        <v/>
      </c>
      <c r="Z1659" s="33">
        <f>IF(OR($Y1659="",$D$6=""),"",IF(INDEX($A:$U,ROW(),$D$6)="",0,IF(ISNUMBER(INDEX($A:$U,ROW(),$D$6)),INDEX($A:$U,ROW(),$D$6),IFERROR(--SUBSTITUTE(SUBSTITUTE(TRIM(INDEX($A:$U,ROW(),$D$6)),",",""),"원",""),0))))</f>
        <v/>
      </c>
      <c r="AA1659" s="31">
        <f>IF($Y1659="","",TRIM(INDEX($A:$U,ROW(),$E$6)&amp;IF($F$6="",""," "&amp;INDEX($A:$U,ROW(),$F$6))))</f>
        <v/>
      </c>
      <c r="AB1659" s="31">
        <f>IF($AA1659="","",SUBSTITUTE(SUBSTITUTE(SUBSTITUTE(SUBSTITUTE(SUBSTITUTE(SUBSTITUTE(SUBSTITUTE(SUBSTITUTE(SUBSTITUTE($AA1659," ",""),"　",""),"(주)",""),"（주）",""),"㈜",""),"주식회사",""),"(유)",""),"（유）",""),"유한회사",""))</f>
        <v/>
      </c>
      <c r="AC1659" s="31">
        <f>IF(OR($Y1659="",N($Z1659)&lt;=0,$AB1659=""),0,IFERROR(LOOKUP(2,1/((거래처별!$AC$8:$AC$307&lt;&gt;"")*ISNUMBER(SEARCH(거래처별!$AC$8:$AC$307,$AB1659))),거래처별!$A$8:$A$307),IFERROR(LOOKUP(2,1/((거래처별!$AD$8:$AD$307&lt;&gt;"")*ISNUMBER(SEARCH(거래처별!$AD$8:$AD$307,$AB1659))),거래처별!$A$8:$A$307),IFERROR(LOOKUP(2,1/((거래처별!$AE$8:$AE$307&lt;&gt;"")*ISNUMBER(SEARCH(거래처별!$AE$8:$AE$307,$AB1659))),거래처별!$A$8:$A$307),0))))</f>
        <v/>
      </c>
      <c r="AD1659" s="31">
        <f>IF(AND($Y1659&lt;&gt;"",N($Z1659)&gt;0,$AC1659=0),MAX($AD$7:$AD1658)+1,"")</f>
        <v/>
      </c>
      <c r="AE1659" s="31">
        <f>IF($Y1659="",0,$Y1659)</f>
        <v/>
      </c>
    </row>
    <row r="1660">
      <c r="W1660" s="31">
        <f>IF(OR($B$5="",$C$6="",ROW()&lt;$B$5),"",IF(INDEX($A:$U,ROW(),$C$6)="","",INDEX($A:$U,ROW(),$C$6)))</f>
        <v/>
      </c>
      <c r="X1660" s="32">
        <f>IF($W1660="","",IF(ISNUMBER($W1660),IF($W1660&gt;=10000000,IFERROR(DATE(INT($W1660/10000),MOD(INT($W1660/100),100),MOD($W1660,100)),""),INT($W1660)),IFERROR(DATE(--LEFT(LEFT(SUBSTITUTE(SUBSTITUTE(SUBSTITUTE(SUBSTITUTE(TRIM($W1660),"-",""),".",""),"/","")," ",""),8),4),--MID(LEFT(SUBSTITUTE(SUBSTITUTE(SUBSTITUTE(SUBSTITUTE(TRIM($W1660),"-",""),".",""),"/","")," ",""),8),5,2),--MID(LEFT(SUBSTITUTE(SUBSTITUTE(SUBSTITUTE(SUBSTITUTE(TRIM($W1660),"-",""),".",""),"/","")," ",""),8),7,2)),"")))</f>
        <v/>
      </c>
      <c r="Y1660" s="32">
        <f>IF($X1660="","",INT($X1660))</f>
        <v/>
      </c>
      <c r="Z1660" s="33">
        <f>IF(OR($Y1660="",$D$6=""),"",IF(INDEX($A:$U,ROW(),$D$6)="",0,IF(ISNUMBER(INDEX($A:$U,ROW(),$D$6)),INDEX($A:$U,ROW(),$D$6),IFERROR(--SUBSTITUTE(SUBSTITUTE(TRIM(INDEX($A:$U,ROW(),$D$6)),",",""),"원",""),0))))</f>
        <v/>
      </c>
      <c r="AA1660" s="31">
        <f>IF($Y1660="","",TRIM(INDEX($A:$U,ROW(),$E$6)&amp;IF($F$6="",""," "&amp;INDEX($A:$U,ROW(),$F$6))))</f>
        <v/>
      </c>
      <c r="AB1660" s="31">
        <f>IF($AA1660="","",SUBSTITUTE(SUBSTITUTE(SUBSTITUTE(SUBSTITUTE(SUBSTITUTE(SUBSTITUTE(SUBSTITUTE(SUBSTITUTE(SUBSTITUTE($AA1660," ",""),"　",""),"(주)",""),"（주）",""),"㈜",""),"주식회사",""),"(유)",""),"（유）",""),"유한회사",""))</f>
        <v/>
      </c>
      <c r="AC1660" s="31">
        <f>IF(OR($Y1660="",N($Z1660)&lt;=0,$AB1660=""),0,IFERROR(LOOKUP(2,1/((거래처별!$AC$8:$AC$307&lt;&gt;"")*ISNUMBER(SEARCH(거래처별!$AC$8:$AC$307,$AB1660))),거래처별!$A$8:$A$307),IFERROR(LOOKUP(2,1/((거래처별!$AD$8:$AD$307&lt;&gt;"")*ISNUMBER(SEARCH(거래처별!$AD$8:$AD$307,$AB1660))),거래처별!$A$8:$A$307),IFERROR(LOOKUP(2,1/((거래처별!$AE$8:$AE$307&lt;&gt;"")*ISNUMBER(SEARCH(거래처별!$AE$8:$AE$307,$AB1660))),거래처별!$A$8:$A$307),0))))</f>
        <v/>
      </c>
      <c r="AD1660" s="31">
        <f>IF(AND($Y1660&lt;&gt;"",N($Z1660)&gt;0,$AC1660=0),MAX($AD$7:$AD1659)+1,"")</f>
        <v/>
      </c>
      <c r="AE1660" s="31">
        <f>IF($Y1660="",0,$Y1660)</f>
        <v/>
      </c>
    </row>
    <row r="1661">
      <c r="W1661" s="31">
        <f>IF(OR($B$5="",$C$6="",ROW()&lt;$B$5),"",IF(INDEX($A:$U,ROW(),$C$6)="","",INDEX($A:$U,ROW(),$C$6)))</f>
        <v/>
      </c>
      <c r="X1661" s="32">
        <f>IF($W1661="","",IF(ISNUMBER($W1661),IF($W1661&gt;=10000000,IFERROR(DATE(INT($W1661/10000),MOD(INT($W1661/100),100),MOD($W1661,100)),""),INT($W1661)),IFERROR(DATE(--LEFT(LEFT(SUBSTITUTE(SUBSTITUTE(SUBSTITUTE(SUBSTITUTE(TRIM($W1661),"-",""),".",""),"/","")," ",""),8),4),--MID(LEFT(SUBSTITUTE(SUBSTITUTE(SUBSTITUTE(SUBSTITUTE(TRIM($W1661),"-",""),".",""),"/","")," ",""),8),5,2),--MID(LEFT(SUBSTITUTE(SUBSTITUTE(SUBSTITUTE(SUBSTITUTE(TRIM($W1661),"-",""),".",""),"/","")," ",""),8),7,2)),"")))</f>
        <v/>
      </c>
      <c r="Y1661" s="32">
        <f>IF($X1661="","",INT($X1661))</f>
        <v/>
      </c>
      <c r="Z1661" s="33">
        <f>IF(OR($Y1661="",$D$6=""),"",IF(INDEX($A:$U,ROW(),$D$6)="",0,IF(ISNUMBER(INDEX($A:$U,ROW(),$D$6)),INDEX($A:$U,ROW(),$D$6),IFERROR(--SUBSTITUTE(SUBSTITUTE(TRIM(INDEX($A:$U,ROW(),$D$6)),",",""),"원",""),0))))</f>
        <v/>
      </c>
      <c r="AA1661" s="31">
        <f>IF($Y1661="","",TRIM(INDEX($A:$U,ROW(),$E$6)&amp;IF($F$6="",""," "&amp;INDEX($A:$U,ROW(),$F$6))))</f>
        <v/>
      </c>
      <c r="AB1661" s="31">
        <f>IF($AA1661="","",SUBSTITUTE(SUBSTITUTE(SUBSTITUTE(SUBSTITUTE(SUBSTITUTE(SUBSTITUTE(SUBSTITUTE(SUBSTITUTE(SUBSTITUTE($AA1661," ",""),"　",""),"(주)",""),"（주）",""),"㈜",""),"주식회사",""),"(유)",""),"（유）",""),"유한회사",""))</f>
        <v/>
      </c>
      <c r="AC1661" s="31">
        <f>IF(OR($Y1661="",N($Z1661)&lt;=0,$AB1661=""),0,IFERROR(LOOKUP(2,1/((거래처별!$AC$8:$AC$307&lt;&gt;"")*ISNUMBER(SEARCH(거래처별!$AC$8:$AC$307,$AB1661))),거래처별!$A$8:$A$307),IFERROR(LOOKUP(2,1/((거래처별!$AD$8:$AD$307&lt;&gt;"")*ISNUMBER(SEARCH(거래처별!$AD$8:$AD$307,$AB1661))),거래처별!$A$8:$A$307),IFERROR(LOOKUP(2,1/((거래처별!$AE$8:$AE$307&lt;&gt;"")*ISNUMBER(SEARCH(거래처별!$AE$8:$AE$307,$AB1661))),거래처별!$A$8:$A$307),0))))</f>
        <v/>
      </c>
      <c r="AD1661" s="31">
        <f>IF(AND($Y1661&lt;&gt;"",N($Z1661)&gt;0,$AC1661=0),MAX($AD$7:$AD1660)+1,"")</f>
        <v/>
      </c>
      <c r="AE1661" s="31">
        <f>IF($Y1661="",0,$Y1661)</f>
        <v/>
      </c>
    </row>
    <row r="1662">
      <c r="W1662" s="31">
        <f>IF(OR($B$5="",$C$6="",ROW()&lt;$B$5),"",IF(INDEX($A:$U,ROW(),$C$6)="","",INDEX($A:$U,ROW(),$C$6)))</f>
        <v/>
      </c>
      <c r="X1662" s="32">
        <f>IF($W1662="","",IF(ISNUMBER($W1662),IF($W1662&gt;=10000000,IFERROR(DATE(INT($W1662/10000),MOD(INT($W1662/100),100),MOD($W1662,100)),""),INT($W1662)),IFERROR(DATE(--LEFT(LEFT(SUBSTITUTE(SUBSTITUTE(SUBSTITUTE(SUBSTITUTE(TRIM($W1662),"-",""),".",""),"/","")," ",""),8),4),--MID(LEFT(SUBSTITUTE(SUBSTITUTE(SUBSTITUTE(SUBSTITUTE(TRIM($W1662),"-",""),".",""),"/","")," ",""),8),5,2),--MID(LEFT(SUBSTITUTE(SUBSTITUTE(SUBSTITUTE(SUBSTITUTE(TRIM($W1662),"-",""),".",""),"/","")," ",""),8),7,2)),"")))</f>
        <v/>
      </c>
      <c r="Y1662" s="32">
        <f>IF($X1662="","",INT($X1662))</f>
        <v/>
      </c>
      <c r="Z1662" s="33">
        <f>IF(OR($Y1662="",$D$6=""),"",IF(INDEX($A:$U,ROW(),$D$6)="",0,IF(ISNUMBER(INDEX($A:$U,ROW(),$D$6)),INDEX($A:$U,ROW(),$D$6),IFERROR(--SUBSTITUTE(SUBSTITUTE(TRIM(INDEX($A:$U,ROW(),$D$6)),",",""),"원",""),0))))</f>
        <v/>
      </c>
      <c r="AA1662" s="31">
        <f>IF($Y1662="","",TRIM(INDEX($A:$U,ROW(),$E$6)&amp;IF($F$6="",""," "&amp;INDEX($A:$U,ROW(),$F$6))))</f>
        <v/>
      </c>
      <c r="AB1662" s="31">
        <f>IF($AA1662="","",SUBSTITUTE(SUBSTITUTE(SUBSTITUTE(SUBSTITUTE(SUBSTITUTE(SUBSTITUTE(SUBSTITUTE(SUBSTITUTE(SUBSTITUTE($AA1662," ",""),"　",""),"(주)",""),"（주）",""),"㈜",""),"주식회사",""),"(유)",""),"（유）",""),"유한회사",""))</f>
        <v/>
      </c>
      <c r="AC1662" s="31">
        <f>IF(OR($Y1662="",N($Z1662)&lt;=0,$AB1662=""),0,IFERROR(LOOKUP(2,1/((거래처별!$AC$8:$AC$307&lt;&gt;"")*ISNUMBER(SEARCH(거래처별!$AC$8:$AC$307,$AB1662))),거래처별!$A$8:$A$307),IFERROR(LOOKUP(2,1/((거래처별!$AD$8:$AD$307&lt;&gt;"")*ISNUMBER(SEARCH(거래처별!$AD$8:$AD$307,$AB1662))),거래처별!$A$8:$A$307),IFERROR(LOOKUP(2,1/((거래처별!$AE$8:$AE$307&lt;&gt;"")*ISNUMBER(SEARCH(거래처별!$AE$8:$AE$307,$AB1662))),거래처별!$A$8:$A$307),0))))</f>
        <v/>
      </c>
      <c r="AD1662" s="31">
        <f>IF(AND($Y1662&lt;&gt;"",N($Z1662)&gt;0,$AC1662=0),MAX($AD$7:$AD1661)+1,"")</f>
        <v/>
      </c>
      <c r="AE1662" s="31">
        <f>IF($Y1662="",0,$Y1662)</f>
        <v/>
      </c>
    </row>
    <row r="1663">
      <c r="W1663" s="31">
        <f>IF(OR($B$5="",$C$6="",ROW()&lt;$B$5),"",IF(INDEX($A:$U,ROW(),$C$6)="","",INDEX($A:$U,ROW(),$C$6)))</f>
        <v/>
      </c>
      <c r="X1663" s="32">
        <f>IF($W1663="","",IF(ISNUMBER($W1663),IF($W1663&gt;=10000000,IFERROR(DATE(INT($W1663/10000),MOD(INT($W1663/100),100),MOD($W1663,100)),""),INT($W1663)),IFERROR(DATE(--LEFT(LEFT(SUBSTITUTE(SUBSTITUTE(SUBSTITUTE(SUBSTITUTE(TRIM($W1663),"-",""),".",""),"/","")," ",""),8),4),--MID(LEFT(SUBSTITUTE(SUBSTITUTE(SUBSTITUTE(SUBSTITUTE(TRIM($W1663),"-",""),".",""),"/","")," ",""),8),5,2),--MID(LEFT(SUBSTITUTE(SUBSTITUTE(SUBSTITUTE(SUBSTITUTE(TRIM($W1663),"-",""),".",""),"/","")," ",""),8),7,2)),"")))</f>
        <v/>
      </c>
      <c r="Y1663" s="32">
        <f>IF($X1663="","",INT($X1663))</f>
        <v/>
      </c>
      <c r="Z1663" s="33">
        <f>IF(OR($Y1663="",$D$6=""),"",IF(INDEX($A:$U,ROW(),$D$6)="",0,IF(ISNUMBER(INDEX($A:$U,ROW(),$D$6)),INDEX($A:$U,ROW(),$D$6),IFERROR(--SUBSTITUTE(SUBSTITUTE(TRIM(INDEX($A:$U,ROW(),$D$6)),",",""),"원",""),0))))</f>
        <v/>
      </c>
      <c r="AA1663" s="31">
        <f>IF($Y1663="","",TRIM(INDEX($A:$U,ROW(),$E$6)&amp;IF($F$6="",""," "&amp;INDEX($A:$U,ROW(),$F$6))))</f>
        <v/>
      </c>
      <c r="AB1663" s="31">
        <f>IF($AA1663="","",SUBSTITUTE(SUBSTITUTE(SUBSTITUTE(SUBSTITUTE(SUBSTITUTE(SUBSTITUTE(SUBSTITUTE(SUBSTITUTE(SUBSTITUTE($AA1663," ",""),"　",""),"(주)",""),"（주）",""),"㈜",""),"주식회사",""),"(유)",""),"（유）",""),"유한회사",""))</f>
        <v/>
      </c>
      <c r="AC1663" s="31">
        <f>IF(OR($Y1663="",N($Z1663)&lt;=0,$AB1663=""),0,IFERROR(LOOKUP(2,1/((거래처별!$AC$8:$AC$307&lt;&gt;"")*ISNUMBER(SEARCH(거래처별!$AC$8:$AC$307,$AB1663))),거래처별!$A$8:$A$307),IFERROR(LOOKUP(2,1/((거래처별!$AD$8:$AD$307&lt;&gt;"")*ISNUMBER(SEARCH(거래처별!$AD$8:$AD$307,$AB1663))),거래처별!$A$8:$A$307),IFERROR(LOOKUP(2,1/((거래처별!$AE$8:$AE$307&lt;&gt;"")*ISNUMBER(SEARCH(거래처별!$AE$8:$AE$307,$AB1663))),거래처별!$A$8:$A$307),0))))</f>
        <v/>
      </c>
      <c r="AD1663" s="31">
        <f>IF(AND($Y1663&lt;&gt;"",N($Z1663)&gt;0,$AC1663=0),MAX($AD$7:$AD1662)+1,"")</f>
        <v/>
      </c>
      <c r="AE1663" s="31">
        <f>IF($Y1663="",0,$Y1663)</f>
        <v/>
      </c>
    </row>
    <row r="1664">
      <c r="W1664" s="31">
        <f>IF(OR($B$5="",$C$6="",ROW()&lt;$B$5),"",IF(INDEX($A:$U,ROW(),$C$6)="","",INDEX($A:$U,ROW(),$C$6)))</f>
        <v/>
      </c>
      <c r="X1664" s="32">
        <f>IF($W1664="","",IF(ISNUMBER($W1664),IF($W1664&gt;=10000000,IFERROR(DATE(INT($W1664/10000),MOD(INT($W1664/100),100),MOD($W1664,100)),""),INT($W1664)),IFERROR(DATE(--LEFT(LEFT(SUBSTITUTE(SUBSTITUTE(SUBSTITUTE(SUBSTITUTE(TRIM($W1664),"-",""),".",""),"/","")," ",""),8),4),--MID(LEFT(SUBSTITUTE(SUBSTITUTE(SUBSTITUTE(SUBSTITUTE(TRIM($W1664),"-",""),".",""),"/","")," ",""),8),5,2),--MID(LEFT(SUBSTITUTE(SUBSTITUTE(SUBSTITUTE(SUBSTITUTE(TRIM($W1664),"-",""),".",""),"/","")," ",""),8),7,2)),"")))</f>
        <v/>
      </c>
      <c r="Y1664" s="32">
        <f>IF($X1664="","",INT($X1664))</f>
        <v/>
      </c>
      <c r="Z1664" s="33">
        <f>IF(OR($Y1664="",$D$6=""),"",IF(INDEX($A:$U,ROW(),$D$6)="",0,IF(ISNUMBER(INDEX($A:$U,ROW(),$D$6)),INDEX($A:$U,ROW(),$D$6),IFERROR(--SUBSTITUTE(SUBSTITUTE(TRIM(INDEX($A:$U,ROW(),$D$6)),",",""),"원",""),0))))</f>
        <v/>
      </c>
      <c r="AA1664" s="31">
        <f>IF($Y1664="","",TRIM(INDEX($A:$U,ROW(),$E$6)&amp;IF($F$6="",""," "&amp;INDEX($A:$U,ROW(),$F$6))))</f>
        <v/>
      </c>
      <c r="AB1664" s="31">
        <f>IF($AA1664="","",SUBSTITUTE(SUBSTITUTE(SUBSTITUTE(SUBSTITUTE(SUBSTITUTE(SUBSTITUTE(SUBSTITUTE(SUBSTITUTE(SUBSTITUTE($AA1664," ",""),"　",""),"(주)",""),"（주）",""),"㈜",""),"주식회사",""),"(유)",""),"（유）",""),"유한회사",""))</f>
        <v/>
      </c>
      <c r="AC1664" s="31">
        <f>IF(OR($Y1664="",N($Z1664)&lt;=0,$AB1664=""),0,IFERROR(LOOKUP(2,1/((거래처별!$AC$8:$AC$307&lt;&gt;"")*ISNUMBER(SEARCH(거래처별!$AC$8:$AC$307,$AB1664))),거래처별!$A$8:$A$307),IFERROR(LOOKUP(2,1/((거래처별!$AD$8:$AD$307&lt;&gt;"")*ISNUMBER(SEARCH(거래처별!$AD$8:$AD$307,$AB1664))),거래처별!$A$8:$A$307),IFERROR(LOOKUP(2,1/((거래처별!$AE$8:$AE$307&lt;&gt;"")*ISNUMBER(SEARCH(거래처별!$AE$8:$AE$307,$AB1664))),거래처별!$A$8:$A$307),0))))</f>
        <v/>
      </c>
      <c r="AD1664" s="31">
        <f>IF(AND($Y1664&lt;&gt;"",N($Z1664)&gt;0,$AC1664=0),MAX($AD$7:$AD1663)+1,"")</f>
        <v/>
      </c>
      <c r="AE1664" s="31">
        <f>IF($Y1664="",0,$Y1664)</f>
        <v/>
      </c>
    </row>
    <row r="1665">
      <c r="W1665" s="31">
        <f>IF(OR($B$5="",$C$6="",ROW()&lt;$B$5),"",IF(INDEX($A:$U,ROW(),$C$6)="","",INDEX($A:$U,ROW(),$C$6)))</f>
        <v/>
      </c>
      <c r="X1665" s="32">
        <f>IF($W1665="","",IF(ISNUMBER($W1665),IF($W1665&gt;=10000000,IFERROR(DATE(INT($W1665/10000),MOD(INT($W1665/100),100),MOD($W1665,100)),""),INT($W1665)),IFERROR(DATE(--LEFT(LEFT(SUBSTITUTE(SUBSTITUTE(SUBSTITUTE(SUBSTITUTE(TRIM($W1665),"-",""),".",""),"/","")," ",""),8),4),--MID(LEFT(SUBSTITUTE(SUBSTITUTE(SUBSTITUTE(SUBSTITUTE(TRIM($W1665),"-",""),".",""),"/","")," ",""),8),5,2),--MID(LEFT(SUBSTITUTE(SUBSTITUTE(SUBSTITUTE(SUBSTITUTE(TRIM($W1665),"-",""),".",""),"/","")," ",""),8),7,2)),"")))</f>
        <v/>
      </c>
      <c r="Y1665" s="32">
        <f>IF($X1665="","",INT($X1665))</f>
        <v/>
      </c>
      <c r="Z1665" s="33">
        <f>IF(OR($Y1665="",$D$6=""),"",IF(INDEX($A:$U,ROW(),$D$6)="",0,IF(ISNUMBER(INDEX($A:$U,ROW(),$D$6)),INDEX($A:$U,ROW(),$D$6),IFERROR(--SUBSTITUTE(SUBSTITUTE(TRIM(INDEX($A:$U,ROW(),$D$6)),",",""),"원",""),0))))</f>
        <v/>
      </c>
      <c r="AA1665" s="31">
        <f>IF($Y1665="","",TRIM(INDEX($A:$U,ROW(),$E$6)&amp;IF($F$6="",""," "&amp;INDEX($A:$U,ROW(),$F$6))))</f>
        <v/>
      </c>
      <c r="AB1665" s="31">
        <f>IF($AA1665="","",SUBSTITUTE(SUBSTITUTE(SUBSTITUTE(SUBSTITUTE(SUBSTITUTE(SUBSTITUTE(SUBSTITUTE(SUBSTITUTE(SUBSTITUTE($AA1665," ",""),"　",""),"(주)",""),"（주）",""),"㈜",""),"주식회사",""),"(유)",""),"（유）",""),"유한회사",""))</f>
        <v/>
      </c>
      <c r="AC1665" s="31">
        <f>IF(OR($Y1665="",N($Z1665)&lt;=0,$AB1665=""),0,IFERROR(LOOKUP(2,1/((거래처별!$AC$8:$AC$307&lt;&gt;"")*ISNUMBER(SEARCH(거래처별!$AC$8:$AC$307,$AB1665))),거래처별!$A$8:$A$307),IFERROR(LOOKUP(2,1/((거래처별!$AD$8:$AD$307&lt;&gt;"")*ISNUMBER(SEARCH(거래처별!$AD$8:$AD$307,$AB1665))),거래처별!$A$8:$A$307),IFERROR(LOOKUP(2,1/((거래처별!$AE$8:$AE$307&lt;&gt;"")*ISNUMBER(SEARCH(거래처별!$AE$8:$AE$307,$AB1665))),거래처별!$A$8:$A$307),0))))</f>
        <v/>
      </c>
      <c r="AD1665" s="31">
        <f>IF(AND($Y1665&lt;&gt;"",N($Z1665)&gt;0,$AC1665=0),MAX($AD$7:$AD1664)+1,"")</f>
        <v/>
      </c>
      <c r="AE1665" s="31">
        <f>IF($Y1665="",0,$Y1665)</f>
        <v/>
      </c>
    </row>
    <row r="1666">
      <c r="W1666" s="31">
        <f>IF(OR($B$5="",$C$6="",ROW()&lt;$B$5),"",IF(INDEX($A:$U,ROW(),$C$6)="","",INDEX($A:$U,ROW(),$C$6)))</f>
        <v/>
      </c>
      <c r="X1666" s="32">
        <f>IF($W1666="","",IF(ISNUMBER($W1666),IF($W1666&gt;=10000000,IFERROR(DATE(INT($W1666/10000),MOD(INT($W1666/100),100),MOD($W1666,100)),""),INT($W1666)),IFERROR(DATE(--LEFT(LEFT(SUBSTITUTE(SUBSTITUTE(SUBSTITUTE(SUBSTITUTE(TRIM($W1666),"-",""),".",""),"/","")," ",""),8),4),--MID(LEFT(SUBSTITUTE(SUBSTITUTE(SUBSTITUTE(SUBSTITUTE(TRIM($W1666),"-",""),".",""),"/","")," ",""),8),5,2),--MID(LEFT(SUBSTITUTE(SUBSTITUTE(SUBSTITUTE(SUBSTITUTE(TRIM($W1666),"-",""),".",""),"/","")," ",""),8),7,2)),"")))</f>
        <v/>
      </c>
      <c r="Y1666" s="32">
        <f>IF($X1666="","",INT($X1666))</f>
        <v/>
      </c>
      <c r="Z1666" s="33">
        <f>IF(OR($Y1666="",$D$6=""),"",IF(INDEX($A:$U,ROW(),$D$6)="",0,IF(ISNUMBER(INDEX($A:$U,ROW(),$D$6)),INDEX($A:$U,ROW(),$D$6),IFERROR(--SUBSTITUTE(SUBSTITUTE(TRIM(INDEX($A:$U,ROW(),$D$6)),",",""),"원",""),0))))</f>
        <v/>
      </c>
      <c r="AA1666" s="31">
        <f>IF($Y1666="","",TRIM(INDEX($A:$U,ROW(),$E$6)&amp;IF($F$6="",""," "&amp;INDEX($A:$U,ROW(),$F$6))))</f>
        <v/>
      </c>
      <c r="AB1666" s="31">
        <f>IF($AA1666="","",SUBSTITUTE(SUBSTITUTE(SUBSTITUTE(SUBSTITUTE(SUBSTITUTE(SUBSTITUTE(SUBSTITUTE(SUBSTITUTE(SUBSTITUTE($AA1666," ",""),"　",""),"(주)",""),"（주）",""),"㈜",""),"주식회사",""),"(유)",""),"（유）",""),"유한회사",""))</f>
        <v/>
      </c>
      <c r="AC1666" s="31">
        <f>IF(OR($Y1666="",N($Z1666)&lt;=0,$AB1666=""),0,IFERROR(LOOKUP(2,1/((거래처별!$AC$8:$AC$307&lt;&gt;"")*ISNUMBER(SEARCH(거래처별!$AC$8:$AC$307,$AB1666))),거래처별!$A$8:$A$307),IFERROR(LOOKUP(2,1/((거래처별!$AD$8:$AD$307&lt;&gt;"")*ISNUMBER(SEARCH(거래처별!$AD$8:$AD$307,$AB1666))),거래처별!$A$8:$A$307),IFERROR(LOOKUP(2,1/((거래처별!$AE$8:$AE$307&lt;&gt;"")*ISNUMBER(SEARCH(거래처별!$AE$8:$AE$307,$AB1666))),거래처별!$A$8:$A$307),0))))</f>
        <v/>
      </c>
      <c r="AD1666" s="31">
        <f>IF(AND($Y1666&lt;&gt;"",N($Z1666)&gt;0,$AC1666=0),MAX($AD$7:$AD1665)+1,"")</f>
        <v/>
      </c>
      <c r="AE1666" s="31">
        <f>IF($Y1666="",0,$Y1666)</f>
        <v/>
      </c>
    </row>
    <row r="1667">
      <c r="W1667" s="31">
        <f>IF(OR($B$5="",$C$6="",ROW()&lt;$B$5),"",IF(INDEX($A:$U,ROW(),$C$6)="","",INDEX($A:$U,ROW(),$C$6)))</f>
        <v/>
      </c>
      <c r="X1667" s="32">
        <f>IF($W1667="","",IF(ISNUMBER($W1667),IF($W1667&gt;=10000000,IFERROR(DATE(INT($W1667/10000),MOD(INT($W1667/100),100),MOD($W1667,100)),""),INT($W1667)),IFERROR(DATE(--LEFT(LEFT(SUBSTITUTE(SUBSTITUTE(SUBSTITUTE(SUBSTITUTE(TRIM($W1667),"-",""),".",""),"/","")," ",""),8),4),--MID(LEFT(SUBSTITUTE(SUBSTITUTE(SUBSTITUTE(SUBSTITUTE(TRIM($W1667),"-",""),".",""),"/","")," ",""),8),5,2),--MID(LEFT(SUBSTITUTE(SUBSTITUTE(SUBSTITUTE(SUBSTITUTE(TRIM($W1667),"-",""),".",""),"/","")," ",""),8),7,2)),"")))</f>
        <v/>
      </c>
      <c r="Y1667" s="32">
        <f>IF($X1667="","",INT($X1667))</f>
        <v/>
      </c>
      <c r="Z1667" s="33">
        <f>IF(OR($Y1667="",$D$6=""),"",IF(INDEX($A:$U,ROW(),$D$6)="",0,IF(ISNUMBER(INDEX($A:$U,ROW(),$D$6)),INDEX($A:$U,ROW(),$D$6),IFERROR(--SUBSTITUTE(SUBSTITUTE(TRIM(INDEX($A:$U,ROW(),$D$6)),",",""),"원",""),0))))</f>
        <v/>
      </c>
      <c r="AA1667" s="31">
        <f>IF($Y1667="","",TRIM(INDEX($A:$U,ROW(),$E$6)&amp;IF($F$6="",""," "&amp;INDEX($A:$U,ROW(),$F$6))))</f>
        <v/>
      </c>
      <c r="AB1667" s="31">
        <f>IF($AA1667="","",SUBSTITUTE(SUBSTITUTE(SUBSTITUTE(SUBSTITUTE(SUBSTITUTE(SUBSTITUTE(SUBSTITUTE(SUBSTITUTE(SUBSTITUTE($AA1667," ",""),"　",""),"(주)",""),"（주）",""),"㈜",""),"주식회사",""),"(유)",""),"（유）",""),"유한회사",""))</f>
        <v/>
      </c>
      <c r="AC1667" s="31">
        <f>IF(OR($Y1667="",N($Z1667)&lt;=0,$AB1667=""),0,IFERROR(LOOKUP(2,1/((거래처별!$AC$8:$AC$307&lt;&gt;"")*ISNUMBER(SEARCH(거래처별!$AC$8:$AC$307,$AB1667))),거래처별!$A$8:$A$307),IFERROR(LOOKUP(2,1/((거래처별!$AD$8:$AD$307&lt;&gt;"")*ISNUMBER(SEARCH(거래처별!$AD$8:$AD$307,$AB1667))),거래처별!$A$8:$A$307),IFERROR(LOOKUP(2,1/((거래처별!$AE$8:$AE$307&lt;&gt;"")*ISNUMBER(SEARCH(거래처별!$AE$8:$AE$307,$AB1667))),거래처별!$A$8:$A$307),0))))</f>
        <v/>
      </c>
      <c r="AD1667" s="31">
        <f>IF(AND($Y1667&lt;&gt;"",N($Z1667)&gt;0,$AC1667=0),MAX($AD$7:$AD1666)+1,"")</f>
        <v/>
      </c>
      <c r="AE1667" s="31">
        <f>IF($Y1667="",0,$Y1667)</f>
        <v/>
      </c>
    </row>
    <row r="1668">
      <c r="W1668" s="31">
        <f>IF(OR($B$5="",$C$6="",ROW()&lt;$B$5),"",IF(INDEX($A:$U,ROW(),$C$6)="","",INDEX($A:$U,ROW(),$C$6)))</f>
        <v/>
      </c>
      <c r="X1668" s="32">
        <f>IF($W1668="","",IF(ISNUMBER($W1668),IF($W1668&gt;=10000000,IFERROR(DATE(INT($W1668/10000),MOD(INT($W1668/100),100),MOD($W1668,100)),""),INT($W1668)),IFERROR(DATE(--LEFT(LEFT(SUBSTITUTE(SUBSTITUTE(SUBSTITUTE(SUBSTITUTE(TRIM($W1668),"-",""),".",""),"/","")," ",""),8),4),--MID(LEFT(SUBSTITUTE(SUBSTITUTE(SUBSTITUTE(SUBSTITUTE(TRIM($W1668),"-",""),".",""),"/","")," ",""),8),5,2),--MID(LEFT(SUBSTITUTE(SUBSTITUTE(SUBSTITUTE(SUBSTITUTE(TRIM($W1668),"-",""),".",""),"/","")," ",""),8),7,2)),"")))</f>
        <v/>
      </c>
      <c r="Y1668" s="32">
        <f>IF($X1668="","",INT($X1668))</f>
        <v/>
      </c>
      <c r="Z1668" s="33">
        <f>IF(OR($Y1668="",$D$6=""),"",IF(INDEX($A:$U,ROW(),$D$6)="",0,IF(ISNUMBER(INDEX($A:$U,ROW(),$D$6)),INDEX($A:$U,ROW(),$D$6),IFERROR(--SUBSTITUTE(SUBSTITUTE(TRIM(INDEX($A:$U,ROW(),$D$6)),",",""),"원",""),0))))</f>
        <v/>
      </c>
      <c r="AA1668" s="31">
        <f>IF($Y1668="","",TRIM(INDEX($A:$U,ROW(),$E$6)&amp;IF($F$6="",""," "&amp;INDEX($A:$U,ROW(),$F$6))))</f>
        <v/>
      </c>
      <c r="AB1668" s="31">
        <f>IF($AA1668="","",SUBSTITUTE(SUBSTITUTE(SUBSTITUTE(SUBSTITUTE(SUBSTITUTE(SUBSTITUTE(SUBSTITUTE(SUBSTITUTE(SUBSTITUTE($AA1668," ",""),"　",""),"(주)",""),"（주）",""),"㈜",""),"주식회사",""),"(유)",""),"（유）",""),"유한회사",""))</f>
        <v/>
      </c>
      <c r="AC1668" s="31">
        <f>IF(OR($Y1668="",N($Z1668)&lt;=0,$AB1668=""),0,IFERROR(LOOKUP(2,1/((거래처별!$AC$8:$AC$307&lt;&gt;"")*ISNUMBER(SEARCH(거래처별!$AC$8:$AC$307,$AB1668))),거래처별!$A$8:$A$307),IFERROR(LOOKUP(2,1/((거래처별!$AD$8:$AD$307&lt;&gt;"")*ISNUMBER(SEARCH(거래처별!$AD$8:$AD$307,$AB1668))),거래처별!$A$8:$A$307),IFERROR(LOOKUP(2,1/((거래처별!$AE$8:$AE$307&lt;&gt;"")*ISNUMBER(SEARCH(거래처별!$AE$8:$AE$307,$AB1668))),거래처별!$A$8:$A$307),0))))</f>
        <v/>
      </c>
      <c r="AD1668" s="31">
        <f>IF(AND($Y1668&lt;&gt;"",N($Z1668)&gt;0,$AC1668=0),MAX($AD$7:$AD1667)+1,"")</f>
        <v/>
      </c>
      <c r="AE1668" s="31">
        <f>IF($Y1668="",0,$Y1668)</f>
        <v/>
      </c>
    </row>
    <row r="1669">
      <c r="W1669" s="31">
        <f>IF(OR($B$5="",$C$6="",ROW()&lt;$B$5),"",IF(INDEX($A:$U,ROW(),$C$6)="","",INDEX($A:$U,ROW(),$C$6)))</f>
        <v/>
      </c>
      <c r="X1669" s="32">
        <f>IF($W1669="","",IF(ISNUMBER($W1669),IF($W1669&gt;=10000000,IFERROR(DATE(INT($W1669/10000),MOD(INT($W1669/100),100),MOD($W1669,100)),""),INT($W1669)),IFERROR(DATE(--LEFT(LEFT(SUBSTITUTE(SUBSTITUTE(SUBSTITUTE(SUBSTITUTE(TRIM($W1669),"-",""),".",""),"/","")," ",""),8),4),--MID(LEFT(SUBSTITUTE(SUBSTITUTE(SUBSTITUTE(SUBSTITUTE(TRIM($W1669),"-",""),".",""),"/","")," ",""),8),5,2),--MID(LEFT(SUBSTITUTE(SUBSTITUTE(SUBSTITUTE(SUBSTITUTE(TRIM($W1669),"-",""),".",""),"/","")," ",""),8),7,2)),"")))</f>
        <v/>
      </c>
      <c r="Y1669" s="32">
        <f>IF($X1669="","",INT($X1669))</f>
        <v/>
      </c>
      <c r="Z1669" s="33">
        <f>IF(OR($Y1669="",$D$6=""),"",IF(INDEX($A:$U,ROW(),$D$6)="",0,IF(ISNUMBER(INDEX($A:$U,ROW(),$D$6)),INDEX($A:$U,ROW(),$D$6),IFERROR(--SUBSTITUTE(SUBSTITUTE(TRIM(INDEX($A:$U,ROW(),$D$6)),",",""),"원",""),0))))</f>
        <v/>
      </c>
      <c r="AA1669" s="31">
        <f>IF($Y1669="","",TRIM(INDEX($A:$U,ROW(),$E$6)&amp;IF($F$6="",""," "&amp;INDEX($A:$U,ROW(),$F$6))))</f>
        <v/>
      </c>
      <c r="AB1669" s="31">
        <f>IF($AA1669="","",SUBSTITUTE(SUBSTITUTE(SUBSTITUTE(SUBSTITUTE(SUBSTITUTE(SUBSTITUTE(SUBSTITUTE(SUBSTITUTE(SUBSTITUTE($AA1669," ",""),"　",""),"(주)",""),"（주）",""),"㈜",""),"주식회사",""),"(유)",""),"（유）",""),"유한회사",""))</f>
        <v/>
      </c>
      <c r="AC1669" s="31">
        <f>IF(OR($Y1669="",N($Z1669)&lt;=0,$AB1669=""),0,IFERROR(LOOKUP(2,1/((거래처별!$AC$8:$AC$307&lt;&gt;"")*ISNUMBER(SEARCH(거래처별!$AC$8:$AC$307,$AB1669))),거래처별!$A$8:$A$307),IFERROR(LOOKUP(2,1/((거래처별!$AD$8:$AD$307&lt;&gt;"")*ISNUMBER(SEARCH(거래처별!$AD$8:$AD$307,$AB1669))),거래처별!$A$8:$A$307),IFERROR(LOOKUP(2,1/((거래처별!$AE$8:$AE$307&lt;&gt;"")*ISNUMBER(SEARCH(거래처별!$AE$8:$AE$307,$AB1669))),거래처별!$A$8:$A$307),0))))</f>
        <v/>
      </c>
      <c r="AD1669" s="31">
        <f>IF(AND($Y1669&lt;&gt;"",N($Z1669)&gt;0,$AC1669=0),MAX($AD$7:$AD1668)+1,"")</f>
        <v/>
      </c>
      <c r="AE1669" s="31">
        <f>IF($Y1669="",0,$Y1669)</f>
        <v/>
      </c>
    </row>
    <row r="1670">
      <c r="W1670" s="31">
        <f>IF(OR($B$5="",$C$6="",ROW()&lt;$B$5),"",IF(INDEX($A:$U,ROW(),$C$6)="","",INDEX($A:$U,ROW(),$C$6)))</f>
        <v/>
      </c>
      <c r="X1670" s="32">
        <f>IF($W1670="","",IF(ISNUMBER($W1670),IF($W1670&gt;=10000000,IFERROR(DATE(INT($W1670/10000),MOD(INT($W1670/100),100),MOD($W1670,100)),""),INT($W1670)),IFERROR(DATE(--LEFT(LEFT(SUBSTITUTE(SUBSTITUTE(SUBSTITUTE(SUBSTITUTE(TRIM($W1670),"-",""),".",""),"/","")," ",""),8),4),--MID(LEFT(SUBSTITUTE(SUBSTITUTE(SUBSTITUTE(SUBSTITUTE(TRIM($W1670),"-",""),".",""),"/","")," ",""),8),5,2),--MID(LEFT(SUBSTITUTE(SUBSTITUTE(SUBSTITUTE(SUBSTITUTE(TRIM($W1670),"-",""),".",""),"/","")," ",""),8),7,2)),"")))</f>
        <v/>
      </c>
      <c r="Y1670" s="32">
        <f>IF($X1670="","",INT($X1670))</f>
        <v/>
      </c>
      <c r="Z1670" s="33">
        <f>IF(OR($Y1670="",$D$6=""),"",IF(INDEX($A:$U,ROW(),$D$6)="",0,IF(ISNUMBER(INDEX($A:$U,ROW(),$D$6)),INDEX($A:$U,ROW(),$D$6),IFERROR(--SUBSTITUTE(SUBSTITUTE(TRIM(INDEX($A:$U,ROW(),$D$6)),",",""),"원",""),0))))</f>
        <v/>
      </c>
      <c r="AA1670" s="31">
        <f>IF($Y1670="","",TRIM(INDEX($A:$U,ROW(),$E$6)&amp;IF($F$6="",""," "&amp;INDEX($A:$U,ROW(),$F$6))))</f>
        <v/>
      </c>
      <c r="AB1670" s="31">
        <f>IF($AA1670="","",SUBSTITUTE(SUBSTITUTE(SUBSTITUTE(SUBSTITUTE(SUBSTITUTE(SUBSTITUTE(SUBSTITUTE(SUBSTITUTE(SUBSTITUTE($AA1670," ",""),"　",""),"(주)",""),"（주）",""),"㈜",""),"주식회사",""),"(유)",""),"（유）",""),"유한회사",""))</f>
        <v/>
      </c>
      <c r="AC1670" s="31">
        <f>IF(OR($Y1670="",N($Z1670)&lt;=0,$AB1670=""),0,IFERROR(LOOKUP(2,1/((거래처별!$AC$8:$AC$307&lt;&gt;"")*ISNUMBER(SEARCH(거래처별!$AC$8:$AC$307,$AB1670))),거래처별!$A$8:$A$307),IFERROR(LOOKUP(2,1/((거래처별!$AD$8:$AD$307&lt;&gt;"")*ISNUMBER(SEARCH(거래처별!$AD$8:$AD$307,$AB1670))),거래처별!$A$8:$A$307),IFERROR(LOOKUP(2,1/((거래처별!$AE$8:$AE$307&lt;&gt;"")*ISNUMBER(SEARCH(거래처별!$AE$8:$AE$307,$AB1670))),거래처별!$A$8:$A$307),0))))</f>
        <v/>
      </c>
      <c r="AD1670" s="31">
        <f>IF(AND($Y1670&lt;&gt;"",N($Z1670)&gt;0,$AC1670=0),MAX($AD$7:$AD1669)+1,"")</f>
        <v/>
      </c>
      <c r="AE1670" s="31">
        <f>IF($Y1670="",0,$Y1670)</f>
        <v/>
      </c>
    </row>
    <row r="1671">
      <c r="W1671" s="31">
        <f>IF(OR($B$5="",$C$6="",ROW()&lt;$B$5),"",IF(INDEX($A:$U,ROW(),$C$6)="","",INDEX($A:$U,ROW(),$C$6)))</f>
        <v/>
      </c>
      <c r="X1671" s="32">
        <f>IF($W1671="","",IF(ISNUMBER($W1671),IF($W1671&gt;=10000000,IFERROR(DATE(INT($W1671/10000),MOD(INT($W1671/100),100),MOD($W1671,100)),""),INT($W1671)),IFERROR(DATE(--LEFT(LEFT(SUBSTITUTE(SUBSTITUTE(SUBSTITUTE(SUBSTITUTE(TRIM($W1671),"-",""),".",""),"/","")," ",""),8),4),--MID(LEFT(SUBSTITUTE(SUBSTITUTE(SUBSTITUTE(SUBSTITUTE(TRIM($W1671),"-",""),".",""),"/","")," ",""),8),5,2),--MID(LEFT(SUBSTITUTE(SUBSTITUTE(SUBSTITUTE(SUBSTITUTE(TRIM($W1671),"-",""),".",""),"/","")," ",""),8),7,2)),"")))</f>
        <v/>
      </c>
      <c r="Y1671" s="32">
        <f>IF($X1671="","",INT($X1671))</f>
        <v/>
      </c>
      <c r="Z1671" s="33">
        <f>IF(OR($Y1671="",$D$6=""),"",IF(INDEX($A:$U,ROW(),$D$6)="",0,IF(ISNUMBER(INDEX($A:$U,ROW(),$D$6)),INDEX($A:$U,ROW(),$D$6),IFERROR(--SUBSTITUTE(SUBSTITUTE(TRIM(INDEX($A:$U,ROW(),$D$6)),",",""),"원",""),0))))</f>
        <v/>
      </c>
      <c r="AA1671" s="31">
        <f>IF($Y1671="","",TRIM(INDEX($A:$U,ROW(),$E$6)&amp;IF($F$6="",""," "&amp;INDEX($A:$U,ROW(),$F$6))))</f>
        <v/>
      </c>
      <c r="AB1671" s="31">
        <f>IF($AA1671="","",SUBSTITUTE(SUBSTITUTE(SUBSTITUTE(SUBSTITUTE(SUBSTITUTE(SUBSTITUTE(SUBSTITUTE(SUBSTITUTE(SUBSTITUTE($AA1671," ",""),"　",""),"(주)",""),"（주）",""),"㈜",""),"주식회사",""),"(유)",""),"（유）",""),"유한회사",""))</f>
        <v/>
      </c>
      <c r="AC1671" s="31">
        <f>IF(OR($Y1671="",N($Z1671)&lt;=0,$AB1671=""),0,IFERROR(LOOKUP(2,1/((거래처별!$AC$8:$AC$307&lt;&gt;"")*ISNUMBER(SEARCH(거래처별!$AC$8:$AC$307,$AB1671))),거래처별!$A$8:$A$307),IFERROR(LOOKUP(2,1/((거래처별!$AD$8:$AD$307&lt;&gt;"")*ISNUMBER(SEARCH(거래처별!$AD$8:$AD$307,$AB1671))),거래처별!$A$8:$A$307),IFERROR(LOOKUP(2,1/((거래처별!$AE$8:$AE$307&lt;&gt;"")*ISNUMBER(SEARCH(거래처별!$AE$8:$AE$307,$AB1671))),거래처별!$A$8:$A$307),0))))</f>
        <v/>
      </c>
      <c r="AD1671" s="31">
        <f>IF(AND($Y1671&lt;&gt;"",N($Z1671)&gt;0,$AC1671=0),MAX($AD$7:$AD1670)+1,"")</f>
        <v/>
      </c>
      <c r="AE1671" s="31">
        <f>IF($Y1671="",0,$Y1671)</f>
        <v/>
      </c>
    </row>
    <row r="1672">
      <c r="W1672" s="31">
        <f>IF(OR($B$5="",$C$6="",ROW()&lt;$B$5),"",IF(INDEX($A:$U,ROW(),$C$6)="","",INDEX($A:$U,ROW(),$C$6)))</f>
        <v/>
      </c>
      <c r="X1672" s="32">
        <f>IF($W1672="","",IF(ISNUMBER($W1672),IF($W1672&gt;=10000000,IFERROR(DATE(INT($W1672/10000),MOD(INT($W1672/100),100),MOD($W1672,100)),""),INT($W1672)),IFERROR(DATE(--LEFT(LEFT(SUBSTITUTE(SUBSTITUTE(SUBSTITUTE(SUBSTITUTE(TRIM($W1672),"-",""),".",""),"/","")," ",""),8),4),--MID(LEFT(SUBSTITUTE(SUBSTITUTE(SUBSTITUTE(SUBSTITUTE(TRIM($W1672),"-",""),".",""),"/","")," ",""),8),5,2),--MID(LEFT(SUBSTITUTE(SUBSTITUTE(SUBSTITUTE(SUBSTITUTE(TRIM($W1672),"-",""),".",""),"/","")," ",""),8),7,2)),"")))</f>
        <v/>
      </c>
      <c r="Y1672" s="32">
        <f>IF($X1672="","",INT($X1672))</f>
        <v/>
      </c>
      <c r="Z1672" s="33">
        <f>IF(OR($Y1672="",$D$6=""),"",IF(INDEX($A:$U,ROW(),$D$6)="",0,IF(ISNUMBER(INDEX($A:$U,ROW(),$D$6)),INDEX($A:$U,ROW(),$D$6),IFERROR(--SUBSTITUTE(SUBSTITUTE(TRIM(INDEX($A:$U,ROW(),$D$6)),",",""),"원",""),0))))</f>
        <v/>
      </c>
      <c r="AA1672" s="31">
        <f>IF($Y1672="","",TRIM(INDEX($A:$U,ROW(),$E$6)&amp;IF($F$6="",""," "&amp;INDEX($A:$U,ROW(),$F$6))))</f>
        <v/>
      </c>
      <c r="AB1672" s="31">
        <f>IF($AA1672="","",SUBSTITUTE(SUBSTITUTE(SUBSTITUTE(SUBSTITUTE(SUBSTITUTE(SUBSTITUTE(SUBSTITUTE(SUBSTITUTE(SUBSTITUTE($AA1672," ",""),"　",""),"(주)",""),"（주）",""),"㈜",""),"주식회사",""),"(유)",""),"（유）",""),"유한회사",""))</f>
        <v/>
      </c>
      <c r="AC1672" s="31">
        <f>IF(OR($Y1672="",N($Z1672)&lt;=0,$AB1672=""),0,IFERROR(LOOKUP(2,1/((거래처별!$AC$8:$AC$307&lt;&gt;"")*ISNUMBER(SEARCH(거래처별!$AC$8:$AC$307,$AB1672))),거래처별!$A$8:$A$307),IFERROR(LOOKUP(2,1/((거래처별!$AD$8:$AD$307&lt;&gt;"")*ISNUMBER(SEARCH(거래처별!$AD$8:$AD$307,$AB1672))),거래처별!$A$8:$A$307),IFERROR(LOOKUP(2,1/((거래처별!$AE$8:$AE$307&lt;&gt;"")*ISNUMBER(SEARCH(거래처별!$AE$8:$AE$307,$AB1672))),거래처별!$A$8:$A$307),0))))</f>
        <v/>
      </c>
      <c r="AD1672" s="31">
        <f>IF(AND($Y1672&lt;&gt;"",N($Z1672)&gt;0,$AC1672=0),MAX($AD$7:$AD1671)+1,"")</f>
        <v/>
      </c>
      <c r="AE1672" s="31">
        <f>IF($Y1672="",0,$Y1672)</f>
        <v/>
      </c>
    </row>
    <row r="1673">
      <c r="W1673" s="31">
        <f>IF(OR($B$5="",$C$6="",ROW()&lt;$B$5),"",IF(INDEX($A:$U,ROW(),$C$6)="","",INDEX($A:$U,ROW(),$C$6)))</f>
        <v/>
      </c>
      <c r="X1673" s="32">
        <f>IF($W1673="","",IF(ISNUMBER($W1673),IF($W1673&gt;=10000000,IFERROR(DATE(INT($W1673/10000),MOD(INT($W1673/100),100),MOD($W1673,100)),""),INT($W1673)),IFERROR(DATE(--LEFT(LEFT(SUBSTITUTE(SUBSTITUTE(SUBSTITUTE(SUBSTITUTE(TRIM($W1673),"-",""),".",""),"/","")," ",""),8),4),--MID(LEFT(SUBSTITUTE(SUBSTITUTE(SUBSTITUTE(SUBSTITUTE(TRIM($W1673),"-",""),".",""),"/","")," ",""),8),5,2),--MID(LEFT(SUBSTITUTE(SUBSTITUTE(SUBSTITUTE(SUBSTITUTE(TRIM($W1673),"-",""),".",""),"/","")," ",""),8),7,2)),"")))</f>
        <v/>
      </c>
      <c r="Y1673" s="32">
        <f>IF($X1673="","",INT($X1673))</f>
        <v/>
      </c>
      <c r="Z1673" s="33">
        <f>IF(OR($Y1673="",$D$6=""),"",IF(INDEX($A:$U,ROW(),$D$6)="",0,IF(ISNUMBER(INDEX($A:$U,ROW(),$D$6)),INDEX($A:$U,ROW(),$D$6),IFERROR(--SUBSTITUTE(SUBSTITUTE(TRIM(INDEX($A:$U,ROW(),$D$6)),",",""),"원",""),0))))</f>
        <v/>
      </c>
      <c r="AA1673" s="31">
        <f>IF($Y1673="","",TRIM(INDEX($A:$U,ROW(),$E$6)&amp;IF($F$6="",""," "&amp;INDEX($A:$U,ROW(),$F$6))))</f>
        <v/>
      </c>
      <c r="AB1673" s="31">
        <f>IF($AA1673="","",SUBSTITUTE(SUBSTITUTE(SUBSTITUTE(SUBSTITUTE(SUBSTITUTE(SUBSTITUTE(SUBSTITUTE(SUBSTITUTE(SUBSTITUTE($AA1673," ",""),"　",""),"(주)",""),"（주）",""),"㈜",""),"주식회사",""),"(유)",""),"（유）",""),"유한회사",""))</f>
        <v/>
      </c>
      <c r="AC1673" s="31">
        <f>IF(OR($Y1673="",N($Z1673)&lt;=0,$AB1673=""),0,IFERROR(LOOKUP(2,1/((거래처별!$AC$8:$AC$307&lt;&gt;"")*ISNUMBER(SEARCH(거래처별!$AC$8:$AC$307,$AB1673))),거래처별!$A$8:$A$307),IFERROR(LOOKUP(2,1/((거래처별!$AD$8:$AD$307&lt;&gt;"")*ISNUMBER(SEARCH(거래처별!$AD$8:$AD$307,$AB1673))),거래처별!$A$8:$A$307),IFERROR(LOOKUP(2,1/((거래처별!$AE$8:$AE$307&lt;&gt;"")*ISNUMBER(SEARCH(거래처별!$AE$8:$AE$307,$AB1673))),거래처별!$A$8:$A$307),0))))</f>
        <v/>
      </c>
      <c r="AD1673" s="31">
        <f>IF(AND($Y1673&lt;&gt;"",N($Z1673)&gt;0,$AC1673=0),MAX($AD$7:$AD1672)+1,"")</f>
        <v/>
      </c>
      <c r="AE1673" s="31">
        <f>IF($Y1673="",0,$Y1673)</f>
        <v/>
      </c>
    </row>
    <row r="1674">
      <c r="W1674" s="31">
        <f>IF(OR($B$5="",$C$6="",ROW()&lt;$B$5),"",IF(INDEX($A:$U,ROW(),$C$6)="","",INDEX($A:$U,ROW(),$C$6)))</f>
        <v/>
      </c>
      <c r="X1674" s="32">
        <f>IF($W1674="","",IF(ISNUMBER($W1674),IF($W1674&gt;=10000000,IFERROR(DATE(INT($W1674/10000),MOD(INT($W1674/100),100),MOD($W1674,100)),""),INT($W1674)),IFERROR(DATE(--LEFT(LEFT(SUBSTITUTE(SUBSTITUTE(SUBSTITUTE(SUBSTITUTE(TRIM($W1674),"-",""),".",""),"/","")," ",""),8),4),--MID(LEFT(SUBSTITUTE(SUBSTITUTE(SUBSTITUTE(SUBSTITUTE(TRIM($W1674),"-",""),".",""),"/","")," ",""),8),5,2),--MID(LEFT(SUBSTITUTE(SUBSTITUTE(SUBSTITUTE(SUBSTITUTE(TRIM($W1674),"-",""),".",""),"/","")," ",""),8),7,2)),"")))</f>
        <v/>
      </c>
      <c r="Y1674" s="32">
        <f>IF($X1674="","",INT($X1674))</f>
        <v/>
      </c>
      <c r="Z1674" s="33">
        <f>IF(OR($Y1674="",$D$6=""),"",IF(INDEX($A:$U,ROW(),$D$6)="",0,IF(ISNUMBER(INDEX($A:$U,ROW(),$D$6)),INDEX($A:$U,ROW(),$D$6),IFERROR(--SUBSTITUTE(SUBSTITUTE(TRIM(INDEX($A:$U,ROW(),$D$6)),",",""),"원",""),0))))</f>
        <v/>
      </c>
      <c r="AA1674" s="31">
        <f>IF($Y1674="","",TRIM(INDEX($A:$U,ROW(),$E$6)&amp;IF($F$6="",""," "&amp;INDEX($A:$U,ROW(),$F$6))))</f>
        <v/>
      </c>
      <c r="AB1674" s="31">
        <f>IF($AA1674="","",SUBSTITUTE(SUBSTITUTE(SUBSTITUTE(SUBSTITUTE(SUBSTITUTE(SUBSTITUTE(SUBSTITUTE(SUBSTITUTE(SUBSTITUTE($AA1674," ",""),"　",""),"(주)",""),"（주）",""),"㈜",""),"주식회사",""),"(유)",""),"（유）",""),"유한회사",""))</f>
        <v/>
      </c>
      <c r="AC1674" s="31">
        <f>IF(OR($Y1674="",N($Z1674)&lt;=0,$AB1674=""),0,IFERROR(LOOKUP(2,1/((거래처별!$AC$8:$AC$307&lt;&gt;"")*ISNUMBER(SEARCH(거래처별!$AC$8:$AC$307,$AB1674))),거래처별!$A$8:$A$307),IFERROR(LOOKUP(2,1/((거래처별!$AD$8:$AD$307&lt;&gt;"")*ISNUMBER(SEARCH(거래처별!$AD$8:$AD$307,$AB1674))),거래처별!$A$8:$A$307),IFERROR(LOOKUP(2,1/((거래처별!$AE$8:$AE$307&lt;&gt;"")*ISNUMBER(SEARCH(거래처별!$AE$8:$AE$307,$AB1674))),거래처별!$A$8:$A$307),0))))</f>
        <v/>
      </c>
      <c r="AD1674" s="31">
        <f>IF(AND($Y1674&lt;&gt;"",N($Z1674)&gt;0,$AC1674=0),MAX($AD$7:$AD1673)+1,"")</f>
        <v/>
      </c>
      <c r="AE1674" s="31">
        <f>IF($Y1674="",0,$Y1674)</f>
        <v/>
      </c>
    </row>
    <row r="1675">
      <c r="W1675" s="31">
        <f>IF(OR($B$5="",$C$6="",ROW()&lt;$B$5),"",IF(INDEX($A:$U,ROW(),$C$6)="","",INDEX($A:$U,ROW(),$C$6)))</f>
        <v/>
      </c>
      <c r="X1675" s="32">
        <f>IF($W1675="","",IF(ISNUMBER($W1675),IF($W1675&gt;=10000000,IFERROR(DATE(INT($W1675/10000),MOD(INT($W1675/100),100),MOD($W1675,100)),""),INT($W1675)),IFERROR(DATE(--LEFT(LEFT(SUBSTITUTE(SUBSTITUTE(SUBSTITUTE(SUBSTITUTE(TRIM($W1675),"-",""),".",""),"/","")," ",""),8),4),--MID(LEFT(SUBSTITUTE(SUBSTITUTE(SUBSTITUTE(SUBSTITUTE(TRIM($W1675),"-",""),".",""),"/","")," ",""),8),5,2),--MID(LEFT(SUBSTITUTE(SUBSTITUTE(SUBSTITUTE(SUBSTITUTE(TRIM($W1675),"-",""),".",""),"/","")," ",""),8),7,2)),"")))</f>
        <v/>
      </c>
      <c r="Y1675" s="32">
        <f>IF($X1675="","",INT($X1675))</f>
        <v/>
      </c>
      <c r="Z1675" s="33">
        <f>IF(OR($Y1675="",$D$6=""),"",IF(INDEX($A:$U,ROW(),$D$6)="",0,IF(ISNUMBER(INDEX($A:$U,ROW(),$D$6)),INDEX($A:$U,ROW(),$D$6),IFERROR(--SUBSTITUTE(SUBSTITUTE(TRIM(INDEX($A:$U,ROW(),$D$6)),",",""),"원",""),0))))</f>
        <v/>
      </c>
      <c r="AA1675" s="31">
        <f>IF($Y1675="","",TRIM(INDEX($A:$U,ROW(),$E$6)&amp;IF($F$6="",""," "&amp;INDEX($A:$U,ROW(),$F$6))))</f>
        <v/>
      </c>
      <c r="AB1675" s="31">
        <f>IF($AA1675="","",SUBSTITUTE(SUBSTITUTE(SUBSTITUTE(SUBSTITUTE(SUBSTITUTE(SUBSTITUTE(SUBSTITUTE(SUBSTITUTE(SUBSTITUTE($AA1675," ",""),"　",""),"(주)",""),"（주）",""),"㈜",""),"주식회사",""),"(유)",""),"（유）",""),"유한회사",""))</f>
        <v/>
      </c>
      <c r="AC1675" s="31">
        <f>IF(OR($Y1675="",N($Z1675)&lt;=0,$AB1675=""),0,IFERROR(LOOKUP(2,1/((거래처별!$AC$8:$AC$307&lt;&gt;"")*ISNUMBER(SEARCH(거래처별!$AC$8:$AC$307,$AB1675))),거래처별!$A$8:$A$307),IFERROR(LOOKUP(2,1/((거래처별!$AD$8:$AD$307&lt;&gt;"")*ISNUMBER(SEARCH(거래처별!$AD$8:$AD$307,$AB1675))),거래처별!$A$8:$A$307),IFERROR(LOOKUP(2,1/((거래처별!$AE$8:$AE$307&lt;&gt;"")*ISNUMBER(SEARCH(거래처별!$AE$8:$AE$307,$AB1675))),거래처별!$A$8:$A$307),0))))</f>
        <v/>
      </c>
      <c r="AD1675" s="31">
        <f>IF(AND($Y1675&lt;&gt;"",N($Z1675)&gt;0,$AC1675=0),MAX($AD$7:$AD1674)+1,"")</f>
        <v/>
      </c>
      <c r="AE1675" s="31">
        <f>IF($Y1675="",0,$Y1675)</f>
        <v/>
      </c>
    </row>
    <row r="1676">
      <c r="W1676" s="31">
        <f>IF(OR($B$5="",$C$6="",ROW()&lt;$B$5),"",IF(INDEX($A:$U,ROW(),$C$6)="","",INDEX($A:$U,ROW(),$C$6)))</f>
        <v/>
      </c>
      <c r="X1676" s="32">
        <f>IF($W1676="","",IF(ISNUMBER($W1676),IF($W1676&gt;=10000000,IFERROR(DATE(INT($W1676/10000),MOD(INT($W1676/100),100),MOD($W1676,100)),""),INT($W1676)),IFERROR(DATE(--LEFT(LEFT(SUBSTITUTE(SUBSTITUTE(SUBSTITUTE(SUBSTITUTE(TRIM($W1676),"-",""),".",""),"/","")," ",""),8),4),--MID(LEFT(SUBSTITUTE(SUBSTITUTE(SUBSTITUTE(SUBSTITUTE(TRIM($W1676),"-",""),".",""),"/","")," ",""),8),5,2),--MID(LEFT(SUBSTITUTE(SUBSTITUTE(SUBSTITUTE(SUBSTITUTE(TRIM($W1676),"-",""),".",""),"/","")," ",""),8),7,2)),"")))</f>
        <v/>
      </c>
      <c r="Y1676" s="32">
        <f>IF($X1676="","",INT($X1676))</f>
        <v/>
      </c>
      <c r="Z1676" s="33">
        <f>IF(OR($Y1676="",$D$6=""),"",IF(INDEX($A:$U,ROW(),$D$6)="",0,IF(ISNUMBER(INDEX($A:$U,ROW(),$D$6)),INDEX($A:$U,ROW(),$D$6),IFERROR(--SUBSTITUTE(SUBSTITUTE(TRIM(INDEX($A:$U,ROW(),$D$6)),",",""),"원",""),0))))</f>
        <v/>
      </c>
      <c r="AA1676" s="31">
        <f>IF($Y1676="","",TRIM(INDEX($A:$U,ROW(),$E$6)&amp;IF($F$6="",""," "&amp;INDEX($A:$U,ROW(),$F$6))))</f>
        <v/>
      </c>
      <c r="AB1676" s="31">
        <f>IF($AA1676="","",SUBSTITUTE(SUBSTITUTE(SUBSTITUTE(SUBSTITUTE(SUBSTITUTE(SUBSTITUTE(SUBSTITUTE(SUBSTITUTE(SUBSTITUTE($AA1676," ",""),"　",""),"(주)",""),"（주）",""),"㈜",""),"주식회사",""),"(유)",""),"（유）",""),"유한회사",""))</f>
        <v/>
      </c>
      <c r="AC1676" s="31">
        <f>IF(OR($Y1676="",N($Z1676)&lt;=0,$AB1676=""),0,IFERROR(LOOKUP(2,1/((거래처별!$AC$8:$AC$307&lt;&gt;"")*ISNUMBER(SEARCH(거래처별!$AC$8:$AC$307,$AB1676))),거래처별!$A$8:$A$307),IFERROR(LOOKUP(2,1/((거래처별!$AD$8:$AD$307&lt;&gt;"")*ISNUMBER(SEARCH(거래처별!$AD$8:$AD$307,$AB1676))),거래처별!$A$8:$A$307),IFERROR(LOOKUP(2,1/((거래처별!$AE$8:$AE$307&lt;&gt;"")*ISNUMBER(SEARCH(거래처별!$AE$8:$AE$307,$AB1676))),거래처별!$A$8:$A$307),0))))</f>
        <v/>
      </c>
      <c r="AD1676" s="31">
        <f>IF(AND($Y1676&lt;&gt;"",N($Z1676)&gt;0,$AC1676=0),MAX($AD$7:$AD1675)+1,"")</f>
        <v/>
      </c>
      <c r="AE1676" s="31">
        <f>IF($Y1676="",0,$Y1676)</f>
        <v/>
      </c>
    </row>
    <row r="1677">
      <c r="W1677" s="31">
        <f>IF(OR($B$5="",$C$6="",ROW()&lt;$B$5),"",IF(INDEX($A:$U,ROW(),$C$6)="","",INDEX($A:$U,ROW(),$C$6)))</f>
        <v/>
      </c>
      <c r="X1677" s="32">
        <f>IF($W1677="","",IF(ISNUMBER($W1677),IF($W1677&gt;=10000000,IFERROR(DATE(INT($W1677/10000),MOD(INT($W1677/100),100),MOD($W1677,100)),""),INT($W1677)),IFERROR(DATE(--LEFT(LEFT(SUBSTITUTE(SUBSTITUTE(SUBSTITUTE(SUBSTITUTE(TRIM($W1677),"-",""),".",""),"/","")," ",""),8),4),--MID(LEFT(SUBSTITUTE(SUBSTITUTE(SUBSTITUTE(SUBSTITUTE(TRIM($W1677),"-",""),".",""),"/","")," ",""),8),5,2),--MID(LEFT(SUBSTITUTE(SUBSTITUTE(SUBSTITUTE(SUBSTITUTE(TRIM($W1677),"-",""),".",""),"/","")," ",""),8),7,2)),"")))</f>
        <v/>
      </c>
      <c r="Y1677" s="32">
        <f>IF($X1677="","",INT($X1677))</f>
        <v/>
      </c>
      <c r="Z1677" s="33">
        <f>IF(OR($Y1677="",$D$6=""),"",IF(INDEX($A:$U,ROW(),$D$6)="",0,IF(ISNUMBER(INDEX($A:$U,ROW(),$D$6)),INDEX($A:$U,ROW(),$D$6),IFERROR(--SUBSTITUTE(SUBSTITUTE(TRIM(INDEX($A:$U,ROW(),$D$6)),",",""),"원",""),0))))</f>
        <v/>
      </c>
      <c r="AA1677" s="31">
        <f>IF($Y1677="","",TRIM(INDEX($A:$U,ROW(),$E$6)&amp;IF($F$6="",""," "&amp;INDEX($A:$U,ROW(),$F$6))))</f>
        <v/>
      </c>
      <c r="AB1677" s="31">
        <f>IF($AA1677="","",SUBSTITUTE(SUBSTITUTE(SUBSTITUTE(SUBSTITUTE(SUBSTITUTE(SUBSTITUTE(SUBSTITUTE(SUBSTITUTE(SUBSTITUTE($AA1677," ",""),"　",""),"(주)",""),"（주）",""),"㈜",""),"주식회사",""),"(유)",""),"（유）",""),"유한회사",""))</f>
        <v/>
      </c>
      <c r="AC1677" s="31">
        <f>IF(OR($Y1677="",N($Z1677)&lt;=0,$AB1677=""),0,IFERROR(LOOKUP(2,1/((거래처별!$AC$8:$AC$307&lt;&gt;"")*ISNUMBER(SEARCH(거래처별!$AC$8:$AC$307,$AB1677))),거래처별!$A$8:$A$307),IFERROR(LOOKUP(2,1/((거래처별!$AD$8:$AD$307&lt;&gt;"")*ISNUMBER(SEARCH(거래처별!$AD$8:$AD$307,$AB1677))),거래처별!$A$8:$A$307),IFERROR(LOOKUP(2,1/((거래처별!$AE$8:$AE$307&lt;&gt;"")*ISNUMBER(SEARCH(거래처별!$AE$8:$AE$307,$AB1677))),거래처별!$A$8:$A$307),0))))</f>
        <v/>
      </c>
      <c r="AD1677" s="31">
        <f>IF(AND($Y1677&lt;&gt;"",N($Z1677)&gt;0,$AC1677=0),MAX($AD$7:$AD1676)+1,"")</f>
        <v/>
      </c>
      <c r="AE1677" s="31">
        <f>IF($Y1677="",0,$Y1677)</f>
        <v/>
      </c>
    </row>
    <row r="1678">
      <c r="W1678" s="31">
        <f>IF(OR($B$5="",$C$6="",ROW()&lt;$B$5),"",IF(INDEX($A:$U,ROW(),$C$6)="","",INDEX($A:$U,ROW(),$C$6)))</f>
        <v/>
      </c>
      <c r="X1678" s="32">
        <f>IF($W1678="","",IF(ISNUMBER($W1678),IF($W1678&gt;=10000000,IFERROR(DATE(INT($W1678/10000),MOD(INT($W1678/100),100),MOD($W1678,100)),""),INT($W1678)),IFERROR(DATE(--LEFT(LEFT(SUBSTITUTE(SUBSTITUTE(SUBSTITUTE(SUBSTITUTE(TRIM($W1678),"-",""),".",""),"/","")," ",""),8),4),--MID(LEFT(SUBSTITUTE(SUBSTITUTE(SUBSTITUTE(SUBSTITUTE(TRIM($W1678),"-",""),".",""),"/","")," ",""),8),5,2),--MID(LEFT(SUBSTITUTE(SUBSTITUTE(SUBSTITUTE(SUBSTITUTE(TRIM($W1678),"-",""),".",""),"/","")," ",""),8),7,2)),"")))</f>
        <v/>
      </c>
      <c r="Y1678" s="32">
        <f>IF($X1678="","",INT($X1678))</f>
        <v/>
      </c>
      <c r="Z1678" s="33">
        <f>IF(OR($Y1678="",$D$6=""),"",IF(INDEX($A:$U,ROW(),$D$6)="",0,IF(ISNUMBER(INDEX($A:$U,ROW(),$D$6)),INDEX($A:$U,ROW(),$D$6),IFERROR(--SUBSTITUTE(SUBSTITUTE(TRIM(INDEX($A:$U,ROW(),$D$6)),",",""),"원",""),0))))</f>
        <v/>
      </c>
      <c r="AA1678" s="31">
        <f>IF($Y1678="","",TRIM(INDEX($A:$U,ROW(),$E$6)&amp;IF($F$6="",""," "&amp;INDEX($A:$U,ROW(),$F$6))))</f>
        <v/>
      </c>
      <c r="AB1678" s="31">
        <f>IF($AA1678="","",SUBSTITUTE(SUBSTITUTE(SUBSTITUTE(SUBSTITUTE(SUBSTITUTE(SUBSTITUTE(SUBSTITUTE(SUBSTITUTE(SUBSTITUTE($AA1678," ",""),"　",""),"(주)",""),"（주）",""),"㈜",""),"주식회사",""),"(유)",""),"（유）",""),"유한회사",""))</f>
        <v/>
      </c>
      <c r="AC1678" s="31">
        <f>IF(OR($Y1678="",N($Z1678)&lt;=0,$AB1678=""),0,IFERROR(LOOKUP(2,1/((거래처별!$AC$8:$AC$307&lt;&gt;"")*ISNUMBER(SEARCH(거래처별!$AC$8:$AC$307,$AB1678))),거래처별!$A$8:$A$307),IFERROR(LOOKUP(2,1/((거래처별!$AD$8:$AD$307&lt;&gt;"")*ISNUMBER(SEARCH(거래처별!$AD$8:$AD$307,$AB1678))),거래처별!$A$8:$A$307),IFERROR(LOOKUP(2,1/((거래처별!$AE$8:$AE$307&lt;&gt;"")*ISNUMBER(SEARCH(거래처별!$AE$8:$AE$307,$AB1678))),거래처별!$A$8:$A$307),0))))</f>
        <v/>
      </c>
      <c r="AD1678" s="31">
        <f>IF(AND($Y1678&lt;&gt;"",N($Z1678)&gt;0,$AC1678=0),MAX($AD$7:$AD1677)+1,"")</f>
        <v/>
      </c>
      <c r="AE1678" s="31">
        <f>IF($Y1678="",0,$Y1678)</f>
        <v/>
      </c>
    </row>
    <row r="1679">
      <c r="W1679" s="31">
        <f>IF(OR($B$5="",$C$6="",ROW()&lt;$B$5),"",IF(INDEX($A:$U,ROW(),$C$6)="","",INDEX($A:$U,ROW(),$C$6)))</f>
        <v/>
      </c>
      <c r="X1679" s="32">
        <f>IF($W1679="","",IF(ISNUMBER($W1679),IF($W1679&gt;=10000000,IFERROR(DATE(INT($W1679/10000),MOD(INT($W1679/100),100),MOD($W1679,100)),""),INT($W1679)),IFERROR(DATE(--LEFT(LEFT(SUBSTITUTE(SUBSTITUTE(SUBSTITUTE(SUBSTITUTE(TRIM($W1679),"-",""),".",""),"/","")," ",""),8),4),--MID(LEFT(SUBSTITUTE(SUBSTITUTE(SUBSTITUTE(SUBSTITUTE(TRIM($W1679),"-",""),".",""),"/","")," ",""),8),5,2),--MID(LEFT(SUBSTITUTE(SUBSTITUTE(SUBSTITUTE(SUBSTITUTE(TRIM($W1679),"-",""),".",""),"/","")," ",""),8),7,2)),"")))</f>
        <v/>
      </c>
      <c r="Y1679" s="32">
        <f>IF($X1679="","",INT($X1679))</f>
        <v/>
      </c>
      <c r="Z1679" s="33">
        <f>IF(OR($Y1679="",$D$6=""),"",IF(INDEX($A:$U,ROW(),$D$6)="",0,IF(ISNUMBER(INDEX($A:$U,ROW(),$D$6)),INDEX($A:$U,ROW(),$D$6),IFERROR(--SUBSTITUTE(SUBSTITUTE(TRIM(INDEX($A:$U,ROW(),$D$6)),",",""),"원",""),0))))</f>
        <v/>
      </c>
      <c r="AA1679" s="31">
        <f>IF($Y1679="","",TRIM(INDEX($A:$U,ROW(),$E$6)&amp;IF($F$6="",""," "&amp;INDEX($A:$U,ROW(),$F$6))))</f>
        <v/>
      </c>
      <c r="AB1679" s="31">
        <f>IF($AA1679="","",SUBSTITUTE(SUBSTITUTE(SUBSTITUTE(SUBSTITUTE(SUBSTITUTE(SUBSTITUTE(SUBSTITUTE(SUBSTITUTE(SUBSTITUTE($AA1679," ",""),"　",""),"(주)",""),"（주）",""),"㈜",""),"주식회사",""),"(유)",""),"（유）",""),"유한회사",""))</f>
        <v/>
      </c>
      <c r="AC1679" s="31">
        <f>IF(OR($Y1679="",N($Z1679)&lt;=0,$AB1679=""),0,IFERROR(LOOKUP(2,1/((거래처별!$AC$8:$AC$307&lt;&gt;"")*ISNUMBER(SEARCH(거래처별!$AC$8:$AC$307,$AB1679))),거래처별!$A$8:$A$307),IFERROR(LOOKUP(2,1/((거래처별!$AD$8:$AD$307&lt;&gt;"")*ISNUMBER(SEARCH(거래처별!$AD$8:$AD$307,$AB1679))),거래처별!$A$8:$A$307),IFERROR(LOOKUP(2,1/((거래처별!$AE$8:$AE$307&lt;&gt;"")*ISNUMBER(SEARCH(거래처별!$AE$8:$AE$307,$AB1679))),거래처별!$A$8:$A$307),0))))</f>
        <v/>
      </c>
      <c r="AD1679" s="31">
        <f>IF(AND($Y1679&lt;&gt;"",N($Z1679)&gt;0,$AC1679=0),MAX($AD$7:$AD1678)+1,"")</f>
        <v/>
      </c>
      <c r="AE1679" s="31">
        <f>IF($Y1679="",0,$Y1679)</f>
        <v/>
      </c>
    </row>
    <row r="1680">
      <c r="W1680" s="31">
        <f>IF(OR($B$5="",$C$6="",ROW()&lt;$B$5),"",IF(INDEX($A:$U,ROW(),$C$6)="","",INDEX($A:$U,ROW(),$C$6)))</f>
        <v/>
      </c>
      <c r="X1680" s="32">
        <f>IF($W1680="","",IF(ISNUMBER($W1680),IF($W1680&gt;=10000000,IFERROR(DATE(INT($W1680/10000),MOD(INT($W1680/100),100),MOD($W1680,100)),""),INT($W1680)),IFERROR(DATE(--LEFT(LEFT(SUBSTITUTE(SUBSTITUTE(SUBSTITUTE(SUBSTITUTE(TRIM($W1680),"-",""),".",""),"/","")," ",""),8),4),--MID(LEFT(SUBSTITUTE(SUBSTITUTE(SUBSTITUTE(SUBSTITUTE(TRIM($W1680),"-",""),".",""),"/","")," ",""),8),5,2),--MID(LEFT(SUBSTITUTE(SUBSTITUTE(SUBSTITUTE(SUBSTITUTE(TRIM($W1680),"-",""),".",""),"/","")," ",""),8),7,2)),"")))</f>
        <v/>
      </c>
      <c r="Y1680" s="32">
        <f>IF($X1680="","",INT($X1680))</f>
        <v/>
      </c>
      <c r="Z1680" s="33">
        <f>IF(OR($Y1680="",$D$6=""),"",IF(INDEX($A:$U,ROW(),$D$6)="",0,IF(ISNUMBER(INDEX($A:$U,ROW(),$D$6)),INDEX($A:$U,ROW(),$D$6),IFERROR(--SUBSTITUTE(SUBSTITUTE(TRIM(INDEX($A:$U,ROW(),$D$6)),",",""),"원",""),0))))</f>
        <v/>
      </c>
      <c r="AA1680" s="31">
        <f>IF($Y1680="","",TRIM(INDEX($A:$U,ROW(),$E$6)&amp;IF($F$6="",""," "&amp;INDEX($A:$U,ROW(),$F$6))))</f>
        <v/>
      </c>
      <c r="AB1680" s="31">
        <f>IF($AA1680="","",SUBSTITUTE(SUBSTITUTE(SUBSTITUTE(SUBSTITUTE(SUBSTITUTE(SUBSTITUTE(SUBSTITUTE(SUBSTITUTE(SUBSTITUTE($AA1680," ",""),"　",""),"(주)",""),"（주）",""),"㈜",""),"주식회사",""),"(유)",""),"（유）",""),"유한회사",""))</f>
        <v/>
      </c>
      <c r="AC1680" s="31">
        <f>IF(OR($Y1680="",N($Z1680)&lt;=0,$AB1680=""),0,IFERROR(LOOKUP(2,1/((거래처별!$AC$8:$AC$307&lt;&gt;"")*ISNUMBER(SEARCH(거래처별!$AC$8:$AC$307,$AB1680))),거래처별!$A$8:$A$307),IFERROR(LOOKUP(2,1/((거래처별!$AD$8:$AD$307&lt;&gt;"")*ISNUMBER(SEARCH(거래처별!$AD$8:$AD$307,$AB1680))),거래처별!$A$8:$A$307),IFERROR(LOOKUP(2,1/((거래처별!$AE$8:$AE$307&lt;&gt;"")*ISNUMBER(SEARCH(거래처별!$AE$8:$AE$307,$AB1680))),거래처별!$A$8:$A$307),0))))</f>
        <v/>
      </c>
      <c r="AD1680" s="31">
        <f>IF(AND($Y1680&lt;&gt;"",N($Z1680)&gt;0,$AC1680=0),MAX($AD$7:$AD1679)+1,"")</f>
        <v/>
      </c>
      <c r="AE1680" s="31">
        <f>IF($Y1680="",0,$Y1680)</f>
        <v/>
      </c>
    </row>
    <row r="1681">
      <c r="W1681" s="31">
        <f>IF(OR($B$5="",$C$6="",ROW()&lt;$B$5),"",IF(INDEX($A:$U,ROW(),$C$6)="","",INDEX($A:$U,ROW(),$C$6)))</f>
        <v/>
      </c>
      <c r="X1681" s="32">
        <f>IF($W1681="","",IF(ISNUMBER($W1681),IF($W1681&gt;=10000000,IFERROR(DATE(INT($W1681/10000),MOD(INT($W1681/100),100),MOD($W1681,100)),""),INT($W1681)),IFERROR(DATE(--LEFT(LEFT(SUBSTITUTE(SUBSTITUTE(SUBSTITUTE(SUBSTITUTE(TRIM($W1681),"-",""),".",""),"/","")," ",""),8),4),--MID(LEFT(SUBSTITUTE(SUBSTITUTE(SUBSTITUTE(SUBSTITUTE(TRIM($W1681),"-",""),".",""),"/","")," ",""),8),5,2),--MID(LEFT(SUBSTITUTE(SUBSTITUTE(SUBSTITUTE(SUBSTITUTE(TRIM($W1681),"-",""),".",""),"/","")," ",""),8),7,2)),"")))</f>
        <v/>
      </c>
      <c r="Y1681" s="32">
        <f>IF($X1681="","",INT($X1681))</f>
        <v/>
      </c>
      <c r="Z1681" s="33">
        <f>IF(OR($Y1681="",$D$6=""),"",IF(INDEX($A:$U,ROW(),$D$6)="",0,IF(ISNUMBER(INDEX($A:$U,ROW(),$D$6)),INDEX($A:$U,ROW(),$D$6),IFERROR(--SUBSTITUTE(SUBSTITUTE(TRIM(INDEX($A:$U,ROW(),$D$6)),",",""),"원",""),0))))</f>
        <v/>
      </c>
      <c r="AA1681" s="31">
        <f>IF($Y1681="","",TRIM(INDEX($A:$U,ROW(),$E$6)&amp;IF($F$6="",""," "&amp;INDEX($A:$U,ROW(),$F$6))))</f>
        <v/>
      </c>
      <c r="AB1681" s="31">
        <f>IF($AA1681="","",SUBSTITUTE(SUBSTITUTE(SUBSTITUTE(SUBSTITUTE(SUBSTITUTE(SUBSTITUTE(SUBSTITUTE(SUBSTITUTE(SUBSTITUTE($AA1681," ",""),"　",""),"(주)",""),"（주）",""),"㈜",""),"주식회사",""),"(유)",""),"（유）",""),"유한회사",""))</f>
        <v/>
      </c>
      <c r="AC1681" s="31">
        <f>IF(OR($Y1681="",N($Z1681)&lt;=0,$AB1681=""),0,IFERROR(LOOKUP(2,1/((거래처별!$AC$8:$AC$307&lt;&gt;"")*ISNUMBER(SEARCH(거래처별!$AC$8:$AC$307,$AB1681))),거래처별!$A$8:$A$307),IFERROR(LOOKUP(2,1/((거래처별!$AD$8:$AD$307&lt;&gt;"")*ISNUMBER(SEARCH(거래처별!$AD$8:$AD$307,$AB1681))),거래처별!$A$8:$A$307),IFERROR(LOOKUP(2,1/((거래처별!$AE$8:$AE$307&lt;&gt;"")*ISNUMBER(SEARCH(거래처별!$AE$8:$AE$307,$AB1681))),거래처별!$A$8:$A$307),0))))</f>
        <v/>
      </c>
      <c r="AD1681" s="31">
        <f>IF(AND($Y1681&lt;&gt;"",N($Z1681)&gt;0,$AC1681=0),MAX($AD$7:$AD1680)+1,"")</f>
        <v/>
      </c>
      <c r="AE1681" s="31">
        <f>IF($Y1681="",0,$Y1681)</f>
        <v/>
      </c>
    </row>
    <row r="1682">
      <c r="W1682" s="31">
        <f>IF(OR($B$5="",$C$6="",ROW()&lt;$B$5),"",IF(INDEX($A:$U,ROW(),$C$6)="","",INDEX($A:$U,ROW(),$C$6)))</f>
        <v/>
      </c>
      <c r="X1682" s="32">
        <f>IF($W1682="","",IF(ISNUMBER($W1682),IF($W1682&gt;=10000000,IFERROR(DATE(INT($W1682/10000),MOD(INT($W1682/100),100),MOD($W1682,100)),""),INT($W1682)),IFERROR(DATE(--LEFT(LEFT(SUBSTITUTE(SUBSTITUTE(SUBSTITUTE(SUBSTITUTE(TRIM($W1682),"-",""),".",""),"/","")," ",""),8),4),--MID(LEFT(SUBSTITUTE(SUBSTITUTE(SUBSTITUTE(SUBSTITUTE(TRIM($W1682),"-",""),".",""),"/","")," ",""),8),5,2),--MID(LEFT(SUBSTITUTE(SUBSTITUTE(SUBSTITUTE(SUBSTITUTE(TRIM($W1682),"-",""),".",""),"/","")," ",""),8),7,2)),"")))</f>
        <v/>
      </c>
      <c r="Y1682" s="32">
        <f>IF($X1682="","",INT($X1682))</f>
        <v/>
      </c>
      <c r="Z1682" s="33">
        <f>IF(OR($Y1682="",$D$6=""),"",IF(INDEX($A:$U,ROW(),$D$6)="",0,IF(ISNUMBER(INDEX($A:$U,ROW(),$D$6)),INDEX($A:$U,ROW(),$D$6),IFERROR(--SUBSTITUTE(SUBSTITUTE(TRIM(INDEX($A:$U,ROW(),$D$6)),",",""),"원",""),0))))</f>
        <v/>
      </c>
      <c r="AA1682" s="31">
        <f>IF($Y1682="","",TRIM(INDEX($A:$U,ROW(),$E$6)&amp;IF($F$6="",""," "&amp;INDEX($A:$U,ROW(),$F$6))))</f>
        <v/>
      </c>
      <c r="AB1682" s="31">
        <f>IF($AA1682="","",SUBSTITUTE(SUBSTITUTE(SUBSTITUTE(SUBSTITUTE(SUBSTITUTE(SUBSTITUTE(SUBSTITUTE(SUBSTITUTE(SUBSTITUTE($AA1682," ",""),"　",""),"(주)",""),"（주）",""),"㈜",""),"주식회사",""),"(유)",""),"（유）",""),"유한회사",""))</f>
        <v/>
      </c>
      <c r="AC1682" s="31">
        <f>IF(OR($Y1682="",N($Z1682)&lt;=0,$AB1682=""),0,IFERROR(LOOKUP(2,1/((거래처별!$AC$8:$AC$307&lt;&gt;"")*ISNUMBER(SEARCH(거래처별!$AC$8:$AC$307,$AB1682))),거래처별!$A$8:$A$307),IFERROR(LOOKUP(2,1/((거래처별!$AD$8:$AD$307&lt;&gt;"")*ISNUMBER(SEARCH(거래처별!$AD$8:$AD$307,$AB1682))),거래처별!$A$8:$A$307),IFERROR(LOOKUP(2,1/((거래처별!$AE$8:$AE$307&lt;&gt;"")*ISNUMBER(SEARCH(거래처별!$AE$8:$AE$307,$AB1682))),거래처별!$A$8:$A$307),0))))</f>
        <v/>
      </c>
      <c r="AD1682" s="31">
        <f>IF(AND($Y1682&lt;&gt;"",N($Z1682)&gt;0,$AC1682=0),MAX($AD$7:$AD1681)+1,"")</f>
        <v/>
      </c>
      <c r="AE1682" s="31">
        <f>IF($Y1682="",0,$Y1682)</f>
        <v/>
      </c>
    </row>
    <row r="1683">
      <c r="W1683" s="31">
        <f>IF(OR($B$5="",$C$6="",ROW()&lt;$B$5),"",IF(INDEX($A:$U,ROW(),$C$6)="","",INDEX($A:$U,ROW(),$C$6)))</f>
        <v/>
      </c>
      <c r="X1683" s="32">
        <f>IF($W1683="","",IF(ISNUMBER($W1683),IF($W1683&gt;=10000000,IFERROR(DATE(INT($W1683/10000),MOD(INT($W1683/100),100),MOD($W1683,100)),""),INT($W1683)),IFERROR(DATE(--LEFT(LEFT(SUBSTITUTE(SUBSTITUTE(SUBSTITUTE(SUBSTITUTE(TRIM($W1683),"-",""),".",""),"/","")," ",""),8),4),--MID(LEFT(SUBSTITUTE(SUBSTITUTE(SUBSTITUTE(SUBSTITUTE(TRIM($W1683),"-",""),".",""),"/","")," ",""),8),5,2),--MID(LEFT(SUBSTITUTE(SUBSTITUTE(SUBSTITUTE(SUBSTITUTE(TRIM($W1683),"-",""),".",""),"/","")," ",""),8),7,2)),"")))</f>
        <v/>
      </c>
      <c r="Y1683" s="32">
        <f>IF($X1683="","",INT($X1683))</f>
        <v/>
      </c>
      <c r="Z1683" s="33">
        <f>IF(OR($Y1683="",$D$6=""),"",IF(INDEX($A:$U,ROW(),$D$6)="",0,IF(ISNUMBER(INDEX($A:$U,ROW(),$D$6)),INDEX($A:$U,ROW(),$D$6),IFERROR(--SUBSTITUTE(SUBSTITUTE(TRIM(INDEX($A:$U,ROW(),$D$6)),",",""),"원",""),0))))</f>
        <v/>
      </c>
      <c r="AA1683" s="31">
        <f>IF($Y1683="","",TRIM(INDEX($A:$U,ROW(),$E$6)&amp;IF($F$6="",""," "&amp;INDEX($A:$U,ROW(),$F$6))))</f>
        <v/>
      </c>
      <c r="AB1683" s="31">
        <f>IF($AA1683="","",SUBSTITUTE(SUBSTITUTE(SUBSTITUTE(SUBSTITUTE(SUBSTITUTE(SUBSTITUTE(SUBSTITUTE(SUBSTITUTE(SUBSTITUTE($AA1683," ",""),"　",""),"(주)",""),"（주）",""),"㈜",""),"주식회사",""),"(유)",""),"（유）",""),"유한회사",""))</f>
        <v/>
      </c>
      <c r="AC1683" s="31">
        <f>IF(OR($Y1683="",N($Z1683)&lt;=0,$AB1683=""),0,IFERROR(LOOKUP(2,1/((거래처별!$AC$8:$AC$307&lt;&gt;"")*ISNUMBER(SEARCH(거래처별!$AC$8:$AC$307,$AB1683))),거래처별!$A$8:$A$307),IFERROR(LOOKUP(2,1/((거래처별!$AD$8:$AD$307&lt;&gt;"")*ISNUMBER(SEARCH(거래처별!$AD$8:$AD$307,$AB1683))),거래처별!$A$8:$A$307),IFERROR(LOOKUP(2,1/((거래처별!$AE$8:$AE$307&lt;&gt;"")*ISNUMBER(SEARCH(거래처별!$AE$8:$AE$307,$AB1683))),거래처별!$A$8:$A$307),0))))</f>
        <v/>
      </c>
      <c r="AD1683" s="31">
        <f>IF(AND($Y1683&lt;&gt;"",N($Z1683)&gt;0,$AC1683=0),MAX($AD$7:$AD1682)+1,"")</f>
        <v/>
      </c>
      <c r="AE1683" s="31">
        <f>IF($Y1683="",0,$Y1683)</f>
        <v/>
      </c>
    </row>
    <row r="1684">
      <c r="W1684" s="31">
        <f>IF(OR($B$5="",$C$6="",ROW()&lt;$B$5),"",IF(INDEX($A:$U,ROW(),$C$6)="","",INDEX($A:$U,ROW(),$C$6)))</f>
        <v/>
      </c>
      <c r="X1684" s="32">
        <f>IF($W1684="","",IF(ISNUMBER($W1684),IF($W1684&gt;=10000000,IFERROR(DATE(INT($W1684/10000),MOD(INT($W1684/100),100),MOD($W1684,100)),""),INT($W1684)),IFERROR(DATE(--LEFT(LEFT(SUBSTITUTE(SUBSTITUTE(SUBSTITUTE(SUBSTITUTE(TRIM($W1684),"-",""),".",""),"/","")," ",""),8),4),--MID(LEFT(SUBSTITUTE(SUBSTITUTE(SUBSTITUTE(SUBSTITUTE(TRIM($W1684),"-",""),".",""),"/","")," ",""),8),5,2),--MID(LEFT(SUBSTITUTE(SUBSTITUTE(SUBSTITUTE(SUBSTITUTE(TRIM($W1684),"-",""),".",""),"/","")," ",""),8),7,2)),"")))</f>
        <v/>
      </c>
      <c r="Y1684" s="32">
        <f>IF($X1684="","",INT($X1684))</f>
        <v/>
      </c>
      <c r="Z1684" s="33">
        <f>IF(OR($Y1684="",$D$6=""),"",IF(INDEX($A:$U,ROW(),$D$6)="",0,IF(ISNUMBER(INDEX($A:$U,ROW(),$D$6)),INDEX($A:$U,ROW(),$D$6),IFERROR(--SUBSTITUTE(SUBSTITUTE(TRIM(INDEX($A:$U,ROW(),$D$6)),",",""),"원",""),0))))</f>
        <v/>
      </c>
      <c r="AA1684" s="31">
        <f>IF($Y1684="","",TRIM(INDEX($A:$U,ROW(),$E$6)&amp;IF($F$6="",""," "&amp;INDEX($A:$U,ROW(),$F$6))))</f>
        <v/>
      </c>
      <c r="AB1684" s="31">
        <f>IF($AA1684="","",SUBSTITUTE(SUBSTITUTE(SUBSTITUTE(SUBSTITUTE(SUBSTITUTE(SUBSTITUTE(SUBSTITUTE(SUBSTITUTE(SUBSTITUTE($AA1684," ",""),"　",""),"(주)",""),"（주）",""),"㈜",""),"주식회사",""),"(유)",""),"（유）",""),"유한회사",""))</f>
        <v/>
      </c>
      <c r="AC1684" s="31">
        <f>IF(OR($Y1684="",N($Z1684)&lt;=0,$AB1684=""),0,IFERROR(LOOKUP(2,1/((거래처별!$AC$8:$AC$307&lt;&gt;"")*ISNUMBER(SEARCH(거래처별!$AC$8:$AC$307,$AB1684))),거래처별!$A$8:$A$307),IFERROR(LOOKUP(2,1/((거래처별!$AD$8:$AD$307&lt;&gt;"")*ISNUMBER(SEARCH(거래처별!$AD$8:$AD$307,$AB1684))),거래처별!$A$8:$A$307),IFERROR(LOOKUP(2,1/((거래처별!$AE$8:$AE$307&lt;&gt;"")*ISNUMBER(SEARCH(거래처별!$AE$8:$AE$307,$AB1684))),거래처별!$A$8:$A$307),0))))</f>
        <v/>
      </c>
      <c r="AD1684" s="31">
        <f>IF(AND($Y1684&lt;&gt;"",N($Z1684)&gt;0,$AC1684=0),MAX($AD$7:$AD1683)+1,"")</f>
        <v/>
      </c>
      <c r="AE1684" s="31">
        <f>IF($Y1684="",0,$Y1684)</f>
        <v/>
      </c>
    </row>
    <row r="1685">
      <c r="W1685" s="31">
        <f>IF(OR($B$5="",$C$6="",ROW()&lt;$B$5),"",IF(INDEX($A:$U,ROW(),$C$6)="","",INDEX($A:$U,ROW(),$C$6)))</f>
        <v/>
      </c>
      <c r="X1685" s="32">
        <f>IF($W1685="","",IF(ISNUMBER($W1685),IF($W1685&gt;=10000000,IFERROR(DATE(INT($W1685/10000),MOD(INT($W1685/100),100),MOD($W1685,100)),""),INT($W1685)),IFERROR(DATE(--LEFT(LEFT(SUBSTITUTE(SUBSTITUTE(SUBSTITUTE(SUBSTITUTE(TRIM($W1685),"-",""),".",""),"/","")," ",""),8),4),--MID(LEFT(SUBSTITUTE(SUBSTITUTE(SUBSTITUTE(SUBSTITUTE(TRIM($W1685),"-",""),".",""),"/","")," ",""),8),5,2),--MID(LEFT(SUBSTITUTE(SUBSTITUTE(SUBSTITUTE(SUBSTITUTE(TRIM($W1685),"-",""),".",""),"/","")," ",""),8),7,2)),"")))</f>
        <v/>
      </c>
      <c r="Y1685" s="32">
        <f>IF($X1685="","",INT($X1685))</f>
        <v/>
      </c>
      <c r="Z1685" s="33">
        <f>IF(OR($Y1685="",$D$6=""),"",IF(INDEX($A:$U,ROW(),$D$6)="",0,IF(ISNUMBER(INDEX($A:$U,ROW(),$D$6)),INDEX($A:$U,ROW(),$D$6),IFERROR(--SUBSTITUTE(SUBSTITUTE(TRIM(INDEX($A:$U,ROW(),$D$6)),",",""),"원",""),0))))</f>
        <v/>
      </c>
      <c r="AA1685" s="31">
        <f>IF($Y1685="","",TRIM(INDEX($A:$U,ROW(),$E$6)&amp;IF($F$6="",""," "&amp;INDEX($A:$U,ROW(),$F$6))))</f>
        <v/>
      </c>
      <c r="AB1685" s="31">
        <f>IF($AA1685="","",SUBSTITUTE(SUBSTITUTE(SUBSTITUTE(SUBSTITUTE(SUBSTITUTE(SUBSTITUTE(SUBSTITUTE(SUBSTITUTE(SUBSTITUTE($AA1685," ",""),"　",""),"(주)",""),"（주）",""),"㈜",""),"주식회사",""),"(유)",""),"（유）",""),"유한회사",""))</f>
        <v/>
      </c>
      <c r="AC1685" s="31">
        <f>IF(OR($Y1685="",N($Z1685)&lt;=0,$AB1685=""),0,IFERROR(LOOKUP(2,1/((거래처별!$AC$8:$AC$307&lt;&gt;"")*ISNUMBER(SEARCH(거래처별!$AC$8:$AC$307,$AB1685))),거래처별!$A$8:$A$307),IFERROR(LOOKUP(2,1/((거래처별!$AD$8:$AD$307&lt;&gt;"")*ISNUMBER(SEARCH(거래처별!$AD$8:$AD$307,$AB1685))),거래처별!$A$8:$A$307),IFERROR(LOOKUP(2,1/((거래처별!$AE$8:$AE$307&lt;&gt;"")*ISNUMBER(SEARCH(거래처별!$AE$8:$AE$307,$AB1685))),거래처별!$A$8:$A$307),0))))</f>
        <v/>
      </c>
      <c r="AD1685" s="31">
        <f>IF(AND($Y1685&lt;&gt;"",N($Z1685)&gt;0,$AC1685=0),MAX($AD$7:$AD1684)+1,"")</f>
        <v/>
      </c>
      <c r="AE1685" s="31">
        <f>IF($Y1685="",0,$Y1685)</f>
        <v/>
      </c>
    </row>
    <row r="1686">
      <c r="W1686" s="31">
        <f>IF(OR($B$5="",$C$6="",ROW()&lt;$B$5),"",IF(INDEX($A:$U,ROW(),$C$6)="","",INDEX($A:$U,ROW(),$C$6)))</f>
        <v/>
      </c>
      <c r="X1686" s="32">
        <f>IF($W1686="","",IF(ISNUMBER($W1686),IF($W1686&gt;=10000000,IFERROR(DATE(INT($W1686/10000),MOD(INT($W1686/100),100),MOD($W1686,100)),""),INT($W1686)),IFERROR(DATE(--LEFT(LEFT(SUBSTITUTE(SUBSTITUTE(SUBSTITUTE(SUBSTITUTE(TRIM($W1686),"-",""),".",""),"/","")," ",""),8),4),--MID(LEFT(SUBSTITUTE(SUBSTITUTE(SUBSTITUTE(SUBSTITUTE(TRIM($W1686),"-",""),".",""),"/","")," ",""),8),5,2),--MID(LEFT(SUBSTITUTE(SUBSTITUTE(SUBSTITUTE(SUBSTITUTE(TRIM($W1686),"-",""),".",""),"/","")," ",""),8),7,2)),"")))</f>
        <v/>
      </c>
      <c r="Y1686" s="32">
        <f>IF($X1686="","",INT($X1686))</f>
        <v/>
      </c>
      <c r="Z1686" s="33">
        <f>IF(OR($Y1686="",$D$6=""),"",IF(INDEX($A:$U,ROW(),$D$6)="",0,IF(ISNUMBER(INDEX($A:$U,ROW(),$D$6)),INDEX($A:$U,ROW(),$D$6),IFERROR(--SUBSTITUTE(SUBSTITUTE(TRIM(INDEX($A:$U,ROW(),$D$6)),",",""),"원",""),0))))</f>
        <v/>
      </c>
      <c r="AA1686" s="31">
        <f>IF($Y1686="","",TRIM(INDEX($A:$U,ROW(),$E$6)&amp;IF($F$6="",""," "&amp;INDEX($A:$U,ROW(),$F$6))))</f>
        <v/>
      </c>
      <c r="AB1686" s="31">
        <f>IF($AA1686="","",SUBSTITUTE(SUBSTITUTE(SUBSTITUTE(SUBSTITUTE(SUBSTITUTE(SUBSTITUTE(SUBSTITUTE(SUBSTITUTE(SUBSTITUTE($AA1686," ",""),"　",""),"(주)",""),"（주）",""),"㈜",""),"주식회사",""),"(유)",""),"（유）",""),"유한회사",""))</f>
        <v/>
      </c>
      <c r="AC1686" s="31">
        <f>IF(OR($Y1686="",N($Z1686)&lt;=0,$AB1686=""),0,IFERROR(LOOKUP(2,1/((거래처별!$AC$8:$AC$307&lt;&gt;"")*ISNUMBER(SEARCH(거래처별!$AC$8:$AC$307,$AB1686))),거래처별!$A$8:$A$307),IFERROR(LOOKUP(2,1/((거래처별!$AD$8:$AD$307&lt;&gt;"")*ISNUMBER(SEARCH(거래처별!$AD$8:$AD$307,$AB1686))),거래처별!$A$8:$A$307),IFERROR(LOOKUP(2,1/((거래처별!$AE$8:$AE$307&lt;&gt;"")*ISNUMBER(SEARCH(거래처별!$AE$8:$AE$307,$AB1686))),거래처별!$A$8:$A$307),0))))</f>
        <v/>
      </c>
      <c r="AD1686" s="31">
        <f>IF(AND($Y1686&lt;&gt;"",N($Z1686)&gt;0,$AC1686=0),MAX($AD$7:$AD1685)+1,"")</f>
        <v/>
      </c>
      <c r="AE1686" s="31">
        <f>IF($Y1686="",0,$Y1686)</f>
        <v/>
      </c>
    </row>
    <row r="1687">
      <c r="W1687" s="31">
        <f>IF(OR($B$5="",$C$6="",ROW()&lt;$B$5),"",IF(INDEX($A:$U,ROW(),$C$6)="","",INDEX($A:$U,ROW(),$C$6)))</f>
        <v/>
      </c>
      <c r="X1687" s="32">
        <f>IF($W1687="","",IF(ISNUMBER($W1687),IF($W1687&gt;=10000000,IFERROR(DATE(INT($W1687/10000),MOD(INT($W1687/100),100),MOD($W1687,100)),""),INT($W1687)),IFERROR(DATE(--LEFT(LEFT(SUBSTITUTE(SUBSTITUTE(SUBSTITUTE(SUBSTITUTE(TRIM($W1687),"-",""),".",""),"/","")," ",""),8),4),--MID(LEFT(SUBSTITUTE(SUBSTITUTE(SUBSTITUTE(SUBSTITUTE(TRIM($W1687),"-",""),".",""),"/","")," ",""),8),5,2),--MID(LEFT(SUBSTITUTE(SUBSTITUTE(SUBSTITUTE(SUBSTITUTE(TRIM($W1687),"-",""),".",""),"/","")," ",""),8),7,2)),"")))</f>
        <v/>
      </c>
      <c r="Y1687" s="32">
        <f>IF($X1687="","",INT($X1687))</f>
        <v/>
      </c>
      <c r="Z1687" s="33">
        <f>IF(OR($Y1687="",$D$6=""),"",IF(INDEX($A:$U,ROW(),$D$6)="",0,IF(ISNUMBER(INDEX($A:$U,ROW(),$D$6)),INDEX($A:$U,ROW(),$D$6),IFERROR(--SUBSTITUTE(SUBSTITUTE(TRIM(INDEX($A:$U,ROW(),$D$6)),",",""),"원",""),0))))</f>
        <v/>
      </c>
      <c r="AA1687" s="31">
        <f>IF($Y1687="","",TRIM(INDEX($A:$U,ROW(),$E$6)&amp;IF($F$6="",""," "&amp;INDEX($A:$U,ROW(),$F$6))))</f>
        <v/>
      </c>
      <c r="AB1687" s="31">
        <f>IF($AA1687="","",SUBSTITUTE(SUBSTITUTE(SUBSTITUTE(SUBSTITUTE(SUBSTITUTE(SUBSTITUTE(SUBSTITUTE(SUBSTITUTE(SUBSTITUTE($AA1687," ",""),"　",""),"(주)",""),"（주）",""),"㈜",""),"주식회사",""),"(유)",""),"（유）",""),"유한회사",""))</f>
        <v/>
      </c>
      <c r="AC1687" s="31">
        <f>IF(OR($Y1687="",N($Z1687)&lt;=0,$AB1687=""),0,IFERROR(LOOKUP(2,1/((거래처별!$AC$8:$AC$307&lt;&gt;"")*ISNUMBER(SEARCH(거래처별!$AC$8:$AC$307,$AB1687))),거래처별!$A$8:$A$307),IFERROR(LOOKUP(2,1/((거래처별!$AD$8:$AD$307&lt;&gt;"")*ISNUMBER(SEARCH(거래처별!$AD$8:$AD$307,$AB1687))),거래처별!$A$8:$A$307),IFERROR(LOOKUP(2,1/((거래처별!$AE$8:$AE$307&lt;&gt;"")*ISNUMBER(SEARCH(거래처별!$AE$8:$AE$307,$AB1687))),거래처별!$A$8:$A$307),0))))</f>
        <v/>
      </c>
      <c r="AD1687" s="31">
        <f>IF(AND($Y1687&lt;&gt;"",N($Z1687)&gt;0,$AC1687=0),MAX($AD$7:$AD1686)+1,"")</f>
        <v/>
      </c>
      <c r="AE1687" s="31">
        <f>IF($Y1687="",0,$Y1687)</f>
        <v/>
      </c>
    </row>
    <row r="1688">
      <c r="W1688" s="31">
        <f>IF(OR($B$5="",$C$6="",ROW()&lt;$B$5),"",IF(INDEX($A:$U,ROW(),$C$6)="","",INDEX($A:$U,ROW(),$C$6)))</f>
        <v/>
      </c>
      <c r="X1688" s="32">
        <f>IF($W1688="","",IF(ISNUMBER($W1688),IF($W1688&gt;=10000000,IFERROR(DATE(INT($W1688/10000),MOD(INT($W1688/100),100),MOD($W1688,100)),""),INT($W1688)),IFERROR(DATE(--LEFT(LEFT(SUBSTITUTE(SUBSTITUTE(SUBSTITUTE(SUBSTITUTE(TRIM($W1688),"-",""),".",""),"/","")," ",""),8),4),--MID(LEFT(SUBSTITUTE(SUBSTITUTE(SUBSTITUTE(SUBSTITUTE(TRIM($W1688),"-",""),".",""),"/","")," ",""),8),5,2),--MID(LEFT(SUBSTITUTE(SUBSTITUTE(SUBSTITUTE(SUBSTITUTE(TRIM($W1688),"-",""),".",""),"/","")," ",""),8),7,2)),"")))</f>
        <v/>
      </c>
      <c r="Y1688" s="32">
        <f>IF($X1688="","",INT($X1688))</f>
        <v/>
      </c>
      <c r="Z1688" s="33">
        <f>IF(OR($Y1688="",$D$6=""),"",IF(INDEX($A:$U,ROW(),$D$6)="",0,IF(ISNUMBER(INDEX($A:$U,ROW(),$D$6)),INDEX($A:$U,ROW(),$D$6),IFERROR(--SUBSTITUTE(SUBSTITUTE(TRIM(INDEX($A:$U,ROW(),$D$6)),",",""),"원",""),0))))</f>
        <v/>
      </c>
      <c r="AA1688" s="31">
        <f>IF($Y1688="","",TRIM(INDEX($A:$U,ROW(),$E$6)&amp;IF($F$6="",""," "&amp;INDEX($A:$U,ROW(),$F$6))))</f>
        <v/>
      </c>
      <c r="AB1688" s="31">
        <f>IF($AA1688="","",SUBSTITUTE(SUBSTITUTE(SUBSTITUTE(SUBSTITUTE(SUBSTITUTE(SUBSTITUTE(SUBSTITUTE(SUBSTITUTE(SUBSTITUTE($AA1688," ",""),"　",""),"(주)",""),"（주）",""),"㈜",""),"주식회사",""),"(유)",""),"（유）",""),"유한회사",""))</f>
        <v/>
      </c>
      <c r="AC1688" s="31">
        <f>IF(OR($Y1688="",N($Z1688)&lt;=0,$AB1688=""),0,IFERROR(LOOKUP(2,1/((거래처별!$AC$8:$AC$307&lt;&gt;"")*ISNUMBER(SEARCH(거래처별!$AC$8:$AC$307,$AB1688))),거래처별!$A$8:$A$307),IFERROR(LOOKUP(2,1/((거래처별!$AD$8:$AD$307&lt;&gt;"")*ISNUMBER(SEARCH(거래처별!$AD$8:$AD$307,$AB1688))),거래처별!$A$8:$A$307),IFERROR(LOOKUP(2,1/((거래처별!$AE$8:$AE$307&lt;&gt;"")*ISNUMBER(SEARCH(거래처별!$AE$8:$AE$307,$AB1688))),거래처별!$A$8:$A$307),0))))</f>
        <v/>
      </c>
      <c r="AD1688" s="31">
        <f>IF(AND($Y1688&lt;&gt;"",N($Z1688)&gt;0,$AC1688=0),MAX($AD$7:$AD1687)+1,"")</f>
        <v/>
      </c>
      <c r="AE1688" s="31">
        <f>IF($Y1688="",0,$Y1688)</f>
        <v/>
      </c>
    </row>
    <row r="1689">
      <c r="W1689" s="31">
        <f>IF(OR($B$5="",$C$6="",ROW()&lt;$B$5),"",IF(INDEX($A:$U,ROW(),$C$6)="","",INDEX($A:$U,ROW(),$C$6)))</f>
        <v/>
      </c>
      <c r="X1689" s="32">
        <f>IF($W1689="","",IF(ISNUMBER($W1689),IF($W1689&gt;=10000000,IFERROR(DATE(INT($W1689/10000),MOD(INT($W1689/100),100),MOD($W1689,100)),""),INT($W1689)),IFERROR(DATE(--LEFT(LEFT(SUBSTITUTE(SUBSTITUTE(SUBSTITUTE(SUBSTITUTE(TRIM($W1689),"-",""),".",""),"/","")," ",""),8),4),--MID(LEFT(SUBSTITUTE(SUBSTITUTE(SUBSTITUTE(SUBSTITUTE(TRIM($W1689),"-",""),".",""),"/","")," ",""),8),5,2),--MID(LEFT(SUBSTITUTE(SUBSTITUTE(SUBSTITUTE(SUBSTITUTE(TRIM($W1689),"-",""),".",""),"/","")," ",""),8),7,2)),"")))</f>
        <v/>
      </c>
      <c r="Y1689" s="32">
        <f>IF($X1689="","",INT($X1689))</f>
        <v/>
      </c>
      <c r="Z1689" s="33">
        <f>IF(OR($Y1689="",$D$6=""),"",IF(INDEX($A:$U,ROW(),$D$6)="",0,IF(ISNUMBER(INDEX($A:$U,ROW(),$D$6)),INDEX($A:$U,ROW(),$D$6),IFERROR(--SUBSTITUTE(SUBSTITUTE(TRIM(INDEX($A:$U,ROW(),$D$6)),",",""),"원",""),0))))</f>
        <v/>
      </c>
      <c r="AA1689" s="31">
        <f>IF($Y1689="","",TRIM(INDEX($A:$U,ROW(),$E$6)&amp;IF($F$6="",""," "&amp;INDEX($A:$U,ROW(),$F$6))))</f>
        <v/>
      </c>
      <c r="AB1689" s="31">
        <f>IF($AA1689="","",SUBSTITUTE(SUBSTITUTE(SUBSTITUTE(SUBSTITUTE(SUBSTITUTE(SUBSTITUTE(SUBSTITUTE(SUBSTITUTE(SUBSTITUTE($AA1689," ",""),"　",""),"(주)",""),"（주）",""),"㈜",""),"주식회사",""),"(유)",""),"（유）",""),"유한회사",""))</f>
        <v/>
      </c>
      <c r="AC1689" s="31">
        <f>IF(OR($Y1689="",N($Z1689)&lt;=0,$AB1689=""),0,IFERROR(LOOKUP(2,1/((거래처별!$AC$8:$AC$307&lt;&gt;"")*ISNUMBER(SEARCH(거래처별!$AC$8:$AC$307,$AB1689))),거래처별!$A$8:$A$307),IFERROR(LOOKUP(2,1/((거래처별!$AD$8:$AD$307&lt;&gt;"")*ISNUMBER(SEARCH(거래처별!$AD$8:$AD$307,$AB1689))),거래처별!$A$8:$A$307),IFERROR(LOOKUP(2,1/((거래처별!$AE$8:$AE$307&lt;&gt;"")*ISNUMBER(SEARCH(거래처별!$AE$8:$AE$307,$AB1689))),거래처별!$A$8:$A$307),0))))</f>
        <v/>
      </c>
      <c r="AD1689" s="31">
        <f>IF(AND($Y1689&lt;&gt;"",N($Z1689)&gt;0,$AC1689=0),MAX($AD$7:$AD1688)+1,"")</f>
        <v/>
      </c>
      <c r="AE1689" s="31">
        <f>IF($Y1689="",0,$Y1689)</f>
        <v/>
      </c>
    </row>
    <row r="1690">
      <c r="W1690" s="31">
        <f>IF(OR($B$5="",$C$6="",ROW()&lt;$B$5),"",IF(INDEX($A:$U,ROW(),$C$6)="","",INDEX($A:$U,ROW(),$C$6)))</f>
        <v/>
      </c>
      <c r="X1690" s="32">
        <f>IF($W1690="","",IF(ISNUMBER($W1690),IF($W1690&gt;=10000000,IFERROR(DATE(INT($W1690/10000),MOD(INT($W1690/100),100),MOD($W1690,100)),""),INT($W1690)),IFERROR(DATE(--LEFT(LEFT(SUBSTITUTE(SUBSTITUTE(SUBSTITUTE(SUBSTITUTE(TRIM($W1690),"-",""),".",""),"/","")," ",""),8),4),--MID(LEFT(SUBSTITUTE(SUBSTITUTE(SUBSTITUTE(SUBSTITUTE(TRIM($W1690),"-",""),".",""),"/","")," ",""),8),5,2),--MID(LEFT(SUBSTITUTE(SUBSTITUTE(SUBSTITUTE(SUBSTITUTE(TRIM($W1690),"-",""),".",""),"/","")," ",""),8),7,2)),"")))</f>
        <v/>
      </c>
      <c r="Y1690" s="32">
        <f>IF($X1690="","",INT($X1690))</f>
        <v/>
      </c>
      <c r="Z1690" s="33">
        <f>IF(OR($Y1690="",$D$6=""),"",IF(INDEX($A:$U,ROW(),$D$6)="",0,IF(ISNUMBER(INDEX($A:$U,ROW(),$D$6)),INDEX($A:$U,ROW(),$D$6),IFERROR(--SUBSTITUTE(SUBSTITUTE(TRIM(INDEX($A:$U,ROW(),$D$6)),",",""),"원",""),0))))</f>
        <v/>
      </c>
      <c r="AA1690" s="31">
        <f>IF($Y1690="","",TRIM(INDEX($A:$U,ROW(),$E$6)&amp;IF($F$6="",""," "&amp;INDEX($A:$U,ROW(),$F$6))))</f>
        <v/>
      </c>
      <c r="AB1690" s="31">
        <f>IF($AA1690="","",SUBSTITUTE(SUBSTITUTE(SUBSTITUTE(SUBSTITUTE(SUBSTITUTE(SUBSTITUTE(SUBSTITUTE(SUBSTITUTE(SUBSTITUTE($AA1690," ",""),"　",""),"(주)",""),"（주）",""),"㈜",""),"주식회사",""),"(유)",""),"（유）",""),"유한회사",""))</f>
        <v/>
      </c>
      <c r="AC1690" s="31">
        <f>IF(OR($Y1690="",N($Z1690)&lt;=0,$AB1690=""),0,IFERROR(LOOKUP(2,1/((거래처별!$AC$8:$AC$307&lt;&gt;"")*ISNUMBER(SEARCH(거래처별!$AC$8:$AC$307,$AB1690))),거래처별!$A$8:$A$307),IFERROR(LOOKUP(2,1/((거래처별!$AD$8:$AD$307&lt;&gt;"")*ISNUMBER(SEARCH(거래처별!$AD$8:$AD$307,$AB1690))),거래처별!$A$8:$A$307),IFERROR(LOOKUP(2,1/((거래처별!$AE$8:$AE$307&lt;&gt;"")*ISNUMBER(SEARCH(거래처별!$AE$8:$AE$307,$AB1690))),거래처별!$A$8:$A$307),0))))</f>
        <v/>
      </c>
      <c r="AD1690" s="31">
        <f>IF(AND($Y1690&lt;&gt;"",N($Z1690)&gt;0,$AC1690=0),MAX($AD$7:$AD1689)+1,"")</f>
        <v/>
      </c>
      <c r="AE1690" s="31">
        <f>IF($Y1690="",0,$Y1690)</f>
        <v/>
      </c>
    </row>
    <row r="1691">
      <c r="W1691" s="31">
        <f>IF(OR($B$5="",$C$6="",ROW()&lt;$B$5),"",IF(INDEX($A:$U,ROW(),$C$6)="","",INDEX($A:$U,ROW(),$C$6)))</f>
        <v/>
      </c>
      <c r="X1691" s="32">
        <f>IF($W1691="","",IF(ISNUMBER($W1691),IF($W1691&gt;=10000000,IFERROR(DATE(INT($W1691/10000),MOD(INT($W1691/100),100),MOD($W1691,100)),""),INT($W1691)),IFERROR(DATE(--LEFT(LEFT(SUBSTITUTE(SUBSTITUTE(SUBSTITUTE(SUBSTITUTE(TRIM($W1691),"-",""),".",""),"/","")," ",""),8),4),--MID(LEFT(SUBSTITUTE(SUBSTITUTE(SUBSTITUTE(SUBSTITUTE(TRIM($W1691),"-",""),".",""),"/","")," ",""),8),5,2),--MID(LEFT(SUBSTITUTE(SUBSTITUTE(SUBSTITUTE(SUBSTITUTE(TRIM($W1691),"-",""),".",""),"/","")," ",""),8),7,2)),"")))</f>
        <v/>
      </c>
      <c r="Y1691" s="32">
        <f>IF($X1691="","",INT($X1691))</f>
        <v/>
      </c>
      <c r="Z1691" s="33">
        <f>IF(OR($Y1691="",$D$6=""),"",IF(INDEX($A:$U,ROW(),$D$6)="",0,IF(ISNUMBER(INDEX($A:$U,ROW(),$D$6)),INDEX($A:$U,ROW(),$D$6),IFERROR(--SUBSTITUTE(SUBSTITUTE(TRIM(INDEX($A:$U,ROW(),$D$6)),",",""),"원",""),0))))</f>
        <v/>
      </c>
      <c r="AA1691" s="31">
        <f>IF($Y1691="","",TRIM(INDEX($A:$U,ROW(),$E$6)&amp;IF($F$6="",""," "&amp;INDEX($A:$U,ROW(),$F$6))))</f>
        <v/>
      </c>
      <c r="AB1691" s="31">
        <f>IF($AA1691="","",SUBSTITUTE(SUBSTITUTE(SUBSTITUTE(SUBSTITUTE(SUBSTITUTE(SUBSTITUTE(SUBSTITUTE(SUBSTITUTE(SUBSTITUTE($AA1691," ",""),"　",""),"(주)",""),"（주）",""),"㈜",""),"주식회사",""),"(유)",""),"（유）",""),"유한회사",""))</f>
        <v/>
      </c>
      <c r="AC1691" s="31">
        <f>IF(OR($Y1691="",N($Z1691)&lt;=0,$AB1691=""),0,IFERROR(LOOKUP(2,1/((거래처별!$AC$8:$AC$307&lt;&gt;"")*ISNUMBER(SEARCH(거래처별!$AC$8:$AC$307,$AB1691))),거래처별!$A$8:$A$307),IFERROR(LOOKUP(2,1/((거래처별!$AD$8:$AD$307&lt;&gt;"")*ISNUMBER(SEARCH(거래처별!$AD$8:$AD$307,$AB1691))),거래처별!$A$8:$A$307),IFERROR(LOOKUP(2,1/((거래처별!$AE$8:$AE$307&lt;&gt;"")*ISNUMBER(SEARCH(거래처별!$AE$8:$AE$307,$AB1691))),거래처별!$A$8:$A$307),0))))</f>
        <v/>
      </c>
      <c r="AD1691" s="31">
        <f>IF(AND($Y1691&lt;&gt;"",N($Z1691)&gt;0,$AC1691=0),MAX($AD$7:$AD1690)+1,"")</f>
        <v/>
      </c>
      <c r="AE1691" s="31">
        <f>IF($Y1691="",0,$Y1691)</f>
        <v/>
      </c>
    </row>
    <row r="1692">
      <c r="W1692" s="31">
        <f>IF(OR($B$5="",$C$6="",ROW()&lt;$B$5),"",IF(INDEX($A:$U,ROW(),$C$6)="","",INDEX($A:$U,ROW(),$C$6)))</f>
        <v/>
      </c>
      <c r="X1692" s="32">
        <f>IF($W1692="","",IF(ISNUMBER($W1692),IF($W1692&gt;=10000000,IFERROR(DATE(INT($W1692/10000),MOD(INT($W1692/100),100),MOD($W1692,100)),""),INT($W1692)),IFERROR(DATE(--LEFT(LEFT(SUBSTITUTE(SUBSTITUTE(SUBSTITUTE(SUBSTITUTE(TRIM($W1692),"-",""),".",""),"/","")," ",""),8),4),--MID(LEFT(SUBSTITUTE(SUBSTITUTE(SUBSTITUTE(SUBSTITUTE(TRIM($W1692),"-",""),".",""),"/","")," ",""),8),5,2),--MID(LEFT(SUBSTITUTE(SUBSTITUTE(SUBSTITUTE(SUBSTITUTE(TRIM($W1692),"-",""),".",""),"/","")," ",""),8),7,2)),"")))</f>
        <v/>
      </c>
      <c r="Y1692" s="32">
        <f>IF($X1692="","",INT($X1692))</f>
        <v/>
      </c>
      <c r="Z1692" s="33">
        <f>IF(OR($Y1692="",$D$6=""),"",IF(INDEX($A:$U,ROW(),$D$6)="",0,IF(ISNUMBER(INDEX($A:$U,ROW(),$D$6)),INDEX($A:$U,ROW(),$D$6),IFERROR(--SUBSTITUTE(SUBSTITUTE(TRIM(INDEX($A:$U,ROW(),$D$6)),",",""),"원",""),0))))</f>
        <v/>
      </c>
      <c r="AA1692" s="31">
        <f>IF($Y1692="","",TRIM(INDEX($A:$U,ROW(),$E$6)&amp;IF($F$6="",""," "&amp;INDEX($A:$U,ROW(),$F$6))))</f>
        <v/>
      </c>
      <c r="AB1692" s="31">
        <f>IF($AA1692="","",SUBSTITUTE(SUBSTITUTE(SUBSTITUTE(SUBSTITUTE(SUBSTITUTE(SUBSTITUTE(SUBSTITUTE(SUBSTITUTE(SUBSTITUTE($AA1692," ",""),"　",""),"(주)",""),"（주）",""),"㈜",""),"주식회사",""),"(유)",""),"（유）",""),"유한회사",""))</f>
        <v/>
      </c>
      <c r="AC1692" s="31">
        <f>IF(OR($Y1692="",N($Z1692)&lt;=0,$AB1692=""),0,IFERROR(LOOKUP(2,1/((거래처별!$AC$8:$AC$307&lt;&gt;"")*ISNUMBER(SEARCH(거래처별!$AC$8:$AC$307,$AB1692))),거래처별!$A$8:$A$307),IFERROR(LOOKUP(2,1/((거래처별!$AD$8:$AD$307&lt;&gt;"")*ISNUMBER(SEARCH(거래처별!$AD$8:$AD$307,$AB1692))),거래처별!$A$8:$A$307),IFERROR(LOOKUP(2,1/((거래처별!$AE$8:$AE$307&lt;&gt;"")*ISNUMBER(SEARCH(거래처별!$AE$8:$AE$307,$AB1692))),거래처별!$A$8:$A$307),0))))</f>
        <v/>
      </c>
      <c r="AD1692" s="31">
        <f>IF(AND($Y1692&lt;&gt;"",N($Z1692)&gt;0,$AC1692=0),MAX($AD$7:$AD1691)+1,"")</f>
        <v/>
      </c>
      <c r="AE1692" s="31">
        <f>IF($Y1692="",0,$Y1692)</f>
        <v/>
      </c>
    </row>
    <row r="1693">
      <c r="W1693" s="31">
        <f>IF(OR($B$5="",$C$6="",ROW()&lt;$B$5),"",IF(INDEX($A:$U,ROW(),$C$6)="","",INDEX($A:$U,ROW(),$C$6)))</f>
        <v/>
      </c>
      <c r="X1693" s="32">
        <f>IF($W1693="","",IF(ISNUMBER($W1693),IF($W1693&gt;=10000000,IFERROR(DATE(INT($W1693/10000),MOD(INT($W1693/100),100),MOD($W1693,100)),""),INT($W1693)),IFERROR(DATE(--LEFT(LEFT(SUBSTITUTE(SUBSTITUTE(SUBSTITUTE(SUBSTITUTE(TRIM($W1693),"-",""),".",""),"/","")," ",""),8),4),--MID(LEFT(SUBSTITUTE(SUBSTITUTE(SUBSTITUTE(SUBSTITUTE(TRIM($W1693),"-",""),".",""),"/","")," ",""),8),5,2),--MID(LEFT(SUBSTITUTE(SUBSTITUTE(SUBSTITUTE(SUBSTITUTE(TRIM($W1693),"-",""),".",""),"/","")," ",""),8),7,2)),"")))</f>
        <v/>
      </c>
      <c r="Y1693" s="32">
        <f>IF($X1693="","",INT($X1693))</f>
        <v/>
      </c>
      <c r="Z1693" s="33">
        <f>IF(OR($Y1693="",$D$6=""),"",IF(INDEX($A:$U,ROW(),$D$6)="",0,IF(ISNUMBER(INDEX($A:$U,ROW(),$D$6)),INDEX($A:$U,ROW(),$D$6),IFERROR(--SUBSTITUTE(SUBSTITUTE(TRIM(INDEX($A:$U,ROW(),$D$6)),",",""),"원",""),0))))</f>
        <v/>
      </c>
      <c r="AA1693" s="31">
        <f>IF($Y1693="","",TRIM(INDEX($A:$U,ROW(),$E$6)&amp;IF($F$6="",""," "&amp;INDEX($A:$U,ROW(),$F$6))))</f>
        <v/>
      </c>
      <c r="AB1693" s="31">
        <f>IF($AA1693="","",SUBSTITUTE(SUBSTITUTE(SUBSTITUTE(SUBSTITUTE(SUBSTITUTE(SUBSTITUTE(SUBSTITUTE(SUBSTITUTE(SUBSTITUTE($AA1693," ",""),"　",""),"(주)",""),"（주）",""),"㈜",""),"주식회사",""),"(유)",""),"（유）",""),"유한회사",""))</f>
        <v/>
      </c>
      <c r="AC1693" s="31">
        <f>IF(OR($Y1693="",N($Z1693)&lt;=0,$AB1693=""),0,IFERROR(LOOKUP(2,1/((거래처별!$AC$8:$AC$307&lt;&gt;"")*ISNUMBER(SEARCH(거래처별!$AC$8:$AC$307,$AB1693))),거래처별!$A$8:$A$307),IFERROR(LOOKUP(2,1/((거래처별!$AD$8:$AD$307&lt;&gt;"")*ISNUMBER(SEARCH(거래처별!$AD$8:$AD$307,$AB1693))),거래처별!$A$8:$A$307),IFERROR(LOOKUP(2,1/((거래처별!$AE$8:$AE$307&lt;&gt;"")*ISNUMBER(SEARCH(거래처별!$AE$8:$AE$307,$AB1693))),거래처별!$A$8:$A$307),0))))</f>
        <v/>
      </c>
      <c r="AD1693" s="31">
        <f>IF(AND($Y1693&lt;&gt;"",N($Z1693)&gt;0,$AC1693=0),MAX($AD$7:$AD1692)+1,"")</f>
        <v/>
      </c>
      <c r="AE1693" s="31">
        <f>IF($Y1693="",0,$Y1693)</f>
        <v/>
      </c>
    </row>
    <row r="1694">
      <c r="W1694" s="31">
        <f>IF(OR($B$5="",$C$6="",ROW()&lt;$B$5),"",IF(INDEX($A:$U,ROW(),$C$6)="","",INDEX($A:$U,ROW(),$C$6)))</f>
        <v/>
      </c>
      <c r="X1694" s="32">
        <f>IF($W1694="","",IF(ISNUMBER($W1694),IF($W1694&gt;=10000000,IFERROR(DATE(INT($W1694/10000),MOD(INT($W1694/100),100),MOD($W1694,100)),""),INT($W1694)),IFERROR(DATE(--LEFT(LEFT(SUBSTITUTE(SUBSTITUTE(SUBSTITUTE(SUBSTITUTE(TRIM($W1694),"-",""),".",""),"/","")," ",""),8),4),--MID(LEFT(SUBSTITUTE(SUBSTITUTE(SUBSTITUTE(SUBSTITUTE(TRIM($W1694),"-",""),".",""),"/","")," ",""),8),5,2),--MID(LEFT(SUBSTITUTE(SUBSTITUTE(SUBSTITUTE(SUBSTITUTE(TRIM($W1694),"-",""),".",""),"/","")," ",""),8),7,2)),"")))</f>
        <v/>
      </c>
      <c r="Y1694" s="32">
        <f>IF($X1694="","",INT($X1694))</f>
        <v/>
      </c>
      <c r="Z1694" s="33">
        <f>IF(OR($Y1694="",$D$6=""),"",IF(INDEX($A:$U,ROW(),$D$6)="",0,IF(ISNUMBER(INDEX($A:$U,ROW(),$D$6)),INDEX($A:$U,ROW(),$D$6),IFERROR(--SUBSTITUTE(SUBSTITUTE(TRIM(INDEX($A:$U,ROW(),$D$6)),",",""),"원",""),0))))</f>
        <v/>
      </c>
      <c r="AA1694" s="31">
        <f>IF($Y1694="","",TRIM(INDEX($A:$U,ROW(),$E$6)&amp;IF($F$6="",""," "&amp;INDEX($A:$U,ROW(),$F$6))))</f>
        <v/>
      </c>
      <c r="AB1694" s="31">
        <f>IF($AA1694="","",SUBSTITUTE(SUBSTITUTE(SUBSTITUTE(SUBSTITUTE(SUBSTITUTE(SUBSTITUTE(SUBSTITUTE(SUBSTITUTE(SUBSTITUTE($AA1694," ",""),"　",""),"(주)",""),"（주）",""),"㈜",""),"주식회사",""),"(유)",""),"（유）",""),"유한회사",""))</f>
        <v/>
      </c>
      <c r="AC1694" s="31">
        <f>IF(OR($Y1694="",N($Z1694)&lt;=0,$AB1694=""),0,IFERROR(LOOKUP(2,1/((거래처별!$AC$8:$AC$307&lt;&gt;"")*ISNUMBER(SEARCH(거래처별!$AC$8:$AC$307,$AB1694))),거래처별!$A$8:$A$307),IFERROR(LOOKUP(2,1/((거래처별!$AD$8:$AD$307&lt;&gt;"")*ISNUMBER(SEARCH(거래처별!$AD$8:$AD$307,$AB1694))),거래처별!$A$8:$A$307),IFERROR(LOOKUP(2,1/((거래처별!$AE$8:$AE$307&lt;&gt;"")*ISNUMBER(SEARCH(거래처별!$AE$8:$AE$307,$AB1694))),거래처별!$A$8:$A$307),0))))</f>
        <v/>
      </c>
      <c r="AD1694" s="31">
        <f>IF(AND($Y1694&lt;&gt;"",N($Z1694)&gt;0,$AC1694=0),MAX($AD$7:$AD1693)+1,"")</f>
        <v/>
      </c>
      <c r="AE1694" s="31">
        <f>IF($Y1694="",0,$Y1694)</f>
        <v/>
      </c>
    </row>
    <row r="1695">
      <c r="W1695" s="31">
        <f>IF(OR($B$5="",$C$6="",ROW()&lt;$B$5),"",IF(INDEX($A:$U,ROW(),$C$6)="","",INDEX($A:$U,ROW(),$C$6)))</f>
        <v/>
      </c>
      <c r="X1695" s="32">
        <f>IF($W1695="","",IF(ISNUMBER($W1695),IF($W1695&gt;=10000000,IFERROR(DATE(INT($W1695/10000),MOD(INT($W1695/100),100),MOD($W1695,100)),""),INT($W1695)),IFERROR(DATE(--LEFT(LEFT(SUBSTITUTE(SUBSTITUTE(SUBSTITUTE(SUBSTITUTE(TRIM($W1695),"-",""),".",""),"/","")," ",""),8),4),--MID(LEFT(SUBSTITUTE(SUBSTITUTE(SUBSTITUTE(SUBSTITUTE(TRIM($W1695),"-",""),".",""),"/","")," ",""),8),5,2),--MID(LEFT(SUBSTITUTE(SUBSTITUTE(SUBSTITUTE(SUBSTITUTE(TRIM($W1695),"-",""),".",""),"/","")," ",""),8),7,2)),"")))</f>
        <v/>
      </c>
      <c r="Y1695" s="32">
        <f>IF($X1695="","",INT($X1695))</f>
        <v/>
      </c>
      <c r="Z1695" s="33">
        <f>IF(OR($Y1695="",$D$6=""),"",IF(INDEX($A:$U,ROW(),$D$6)="",0,IF(ISNUMBER(INDEX($A:$U,ROW(),$D$6)),INDEX($A:$U,ROW(),$D$6),IFERROR(--SUBSTITUTE(SUBSTITUTE(TRIM(INDEX($A:$U,ROW(),$D$6)),",",""),"원",""),0))))</f>
        <v/>
      </c>
      <c r="AA1695" s="31">
        <f>IF($Y1695="","",TRIM(INDEX($A:$U,ROW(),$E$6)&amp;IF($F$6="",""," "&amp;INDEX($A:$U,ROW(),$F$6))))</f>
        <v/>
      </c>
      <c r="AB1695" s="31">
        <f>IF($AA1695="","",SUBSTITUTE(SUBSTITUTE(SUBSTITUTE(SUBSTITUTE(SUBSTITUTE(SUBSTITUTE(SUBSTITUTE(SUBSTITUTE(SUBSTITUTE($AA1695," ",""),"　",""),"(주)",""),"（주）",""),"㈜",""),"주식회사",""),"(유)",""),"（유）",""),"유한회사",""))</f>
        <v/>
      </c>
      <c r="AC1695" s="31">
        <f>IF(OR($Y1695="",N($Z1695)&lt;=0,$AB1695=""),0,IFERROR(LOOKUP(2,1/((거래처별!$AC$8:$AC$307&lt;&gt;"")*ISNUMBER(SEARCH(거래처별!$AC$8:$AC$307,$AB1695))),거래처별!$A$8:$A$307),IFERROR(LOOKUP(2,1/((거래처별!$AD$8:$AD$307&lt;&gt;"")*ISNUMBER(SEARCH(거래처별!$AD$8:$AD$307,$AB1695))),거래처별!$A$8:$A$307),IFERROR(LOOKUP(2,1/((거래처별!$AE$8:$AE$307&lt;&gt;"")*ISNUMBER(SEARCH(거래처별!$AE$8:$AE$307,$AB1695))),거래처별!$A$8:$A$307),0))))</f>
        <v/>
      </c>
      <c r="AD1695" s="31">
        <f>IF(AND($Y1695&lt;&gt;"",N($Z1695)&gt;0,$AC1695=0),MAX($AD$7:$AD1694)+1,"")</f>
        <v/>
      </c>
      <c r="AE1695" s="31">
        <f>IF($Y1695="",0,$Y1695)</f>
        <v/>
      </c>
    </row>
    <row r="1696">
      <c r="W1696" s="31">
        <f>IF(OR($B$5="",$C$6="",ROW()&lt;$B$5),"",IF(INDEX($A:$U,ROW(),$C$6)="","",INDEX($A:$U,ROW(),$C$6)))</f>
        <v/>
      </c>
      <c r="X1696" s="32">
        <f>IF($W1696="","",IF(ISNUMBER($W1696),IF($W1696&gt;=10000000,IFERROR(DATE(INT($W1696/10000),MOD(INT($W1696/100),100),MOD($W1696,100)),""),INT($W1696)),IFERROR(DATE(--LEFT(LEFT(SUBSTITUTE(SUBSTITUTE(SUBSTITUTE(SUBSTITUTE(TRIM($W1696),"-",""),".",""),"/","")," ",""),8),4),--MID(LEFT(SUBSTITUTE(SUBSTITUTE(SUBSTITUTE(SUBSTITUTE(TRIM($W1696),"-",""),".",""),"/","")," ",""),8),5,2),--MID(LEFT(SUBSTITUTE(SUBSTITUTE(SUBSTITUTE(SUBSTITUTE(TRIM($W1696),"-",""),".",""),"/","")," ",""),8),7,2)),"")))</f>
        <v/>
      </c>
      <c r="Y1696" s="32">
        <f>IF($X1696="","",INT($X1696))</f>
        <v/>
      </c>
      <c r="Z1696" s="33">
        <f>IF(OR($Y1696="",$D$6=""),"",IF(INDEX($A:$U,ROW(),$D$6)="",0,IF(ISNUMBER(INDEX($A:$U,ROW(),$D$6)),INDEX($A:$U,ROW(),$D$6),IFERROR(--SUBSTITUTE(SUBSTITUTE(TRIM(INDEX($A:$U,ROW(),$D$6)),",",""),"원",""),0))))</f>
        <v/>
      </c>
      <c r="AA1696" s="31">
        <f>IF($Y1696="","",TRIM(INDEX($A:$U,ROW(),$E$6)&amp;IF($F$6="",""," "&amp;INDEX($A:$U,ROW(),$F$6))))</f>
        <v/>
      </c>
      <c r="AB1696" s="31">
        <f>IF($AA1696="","",SUBSTITUTE(SUBSTITUTE(SUBSTITUTE(SUBSTITUTE(SUBSTITUTE(SUBSTITUTE(SUBSTITUTE(SUBSTITUTE(SUBSTITUTE($AA1696," ",""),"　",""),"(주)",""),"（주）",""),"㈜",""),"주식회사",""),"(유)",""),"（유）",""),"유한회사",""))</f>
        <v/>
      </c>
      <c r="AC1696" s="31">
        <f>IF(OR($Y1696="",N($Z1696)&lt;=0,$AB1696=""),0,IFERROR(LOOKUP(2,1/((거래처별!$AC$8:$AC$307&lt;&gt;"")*ISNUMBER(SEARCH(거래처별!$AC$8:$AC$307,$AB1696))),거래처별!$A$8:$A$307),IFERROR(LOOKUP(2,1/((거래처별!$AD$8:$AD$307&lt;&gt;"")*ISNUMBER(SEARCH(거래처별!$AD$8:$AD$307,$AB1696))),거래처별!$A$8:$A$307),IFERROR(LOOKUP(2,1/((거래처별!$AE$8:$AE$307&lt;&gt;"")*ISNUMBER(SEARCH(거래처별!$AE$8:$AE$307,$AB1696))),거래처별!$A$8:$A$307),0))))</f>
        <v/>
      </c>
      <c r="AD1696" s="31">
        <f>IF(AND($Y1696&lt;&gt;"",N($Z1696)&gt;0,$AC1696=0),MAX($AD$7:$AD1695)+1,"")</f>
        <v/>
      </c>
      <c r="AE1696" s="31">
        <f>IF($Y1696="",0,$Y1696)</f>
        <v/>
      </c>
    </row>
    <row r="1697">
      <c r="W1697" s="31">
        <f>IF(OR($B$5="",$C$6="",ROW()&lt;$B$5),"",IF(INDEX($A:$U,ROW(),$C$6)="","",INDEX($A:$U,ROW(),$C$6)))</f>
        <v/>
      </c>
      <c r="X1697" s="32">
        <f>IF($W1697="","",IF(ISNUMBER($W1697),IF($W1697&gt;=10000000,IFERROR(DATE(INT($W1697/10000),MOD(INT($W1697/100),100),MOD($W1697,100)),""),INT($W1697)),IFERROR(DATE(--LEFT(LEFT(SUBSTITUTE(SUBSTITUTE(SUBSTITUTE(SUBSTITUTE(TRIM($W1697),"-",""),".",""),"/","")," ",""),8),4),--MID(LEFT(SUBSTITUTE(SUBSTITUTE(SUBSTITUTE(SUBSTITUTE(TRIM($W1697),"-",""),".",""),"/","")," ",""),8),5,2),--MID(LEFT(SUBSTITUTE(SUBSTITUTE(SUBSTITUTE(SUBSTITUTE(TRIM($W1697),"-",""),".",""),"/","")," ",""),8),7,2)),"")))</f>
        <v/>
      </c>
      <c r="Y1697" s="32">
        <f>IF($X1697="","",INT($X1697))</f>
        <v/>
      </c>
      <c r="Z1697" s="33">
        <f>IF(OR($Y1697="",$D$6=""),"",IF(INDEX($A:$U,ROW(),$D$6)="",0,IF(ISNUMBER(INDEX($A:$U,ROW(),$D$6)),INDEX($A:$U,ROW(),$D$6),IFERROR(--SUBSTITUTE(SUBSTITUTE(TRIM(INDEX($A:$U,ROW(),$D$6)),",",""),"원",""),0))))</f>
        <v/>
      </c>
      <c r="AA1697" s="31">
        <f>IF($Y1697="","",TRIM(INDEX($A:$U,ROW(),$E$6)&amp;IF($F$6="",""," "&amp;INDEX($A:$U,ROW(),$F$6))))</f>
        <v/>
      </c>
      <c r="AB1697" s="31">
        <f>IF($AA1697="","",SUBSTITUTE(SUBSTITUTE(SUBSTITUTE(SUBSTITUTE(SUBSTITUTE(SUBSTITUTE(SUBSTITUTE(SUBSTITUTE(SUBSTITUTE($AA1697," ",""),"　",""),"(주)",""),"（주）",""),"㈜",""),"주식회사",""),"(유)",""),"（유）",""),"유한회사",""))</f>
        <v/>
      </c>
      <c r="AC1697" s="31">
        <f>IF(OR($Y1697="",N($Z1697)&lt;=0,$AB1697=""),0,IFERROR(LOOKUP(2,1/((거래처별!$AC$8:$AC$307&lt;&gt;"")*ISNUMBER(SEARCH(거래처별!$AC$8:$AC$307,$AB1697))),거래처별!$A$8:$A$307),IFERROR(LOOKUP(2,1/((거래처별!$AD$8:$AD$307&lt;&gt;"")*ISNUMBER(SEARCH(거래처별!$AD$8:$AD$307,$AB1697))),거래처별!$A$8:$A$307),IFERROR(LOOKUP(2,1/((거래처별!$AE$8:$AE$307&lt;&gt;"")*ISNUMBER(SEARCH(거래처별!$AE$8:$AE$307,$AB1697))),거래처별!$A$8:$A$307),0))))</f>
        <v/>
      </c>
      <c r="AD1697" s="31">
        <f>IF(AND($Y1697&lt;&gt;"",N($Z1697)&gt;0,$AC1697=0),MAX($AD$7:$AD1696)+1,"")</f>
        <v/>
      </c>
      <c r="AE1697" s="31">
        <f>IF($Y1697="",0,$Y1697)</f>
        <v/>
      </c>
    </row>
    <row r="1698">
      <c r="W1698" s="31">
        <f>IF(OR($B$5="",$C$6="",ROW()&lt;$B$5),"",IF(INDEX($A:$U,ROW(),$C$6)="","",INDEX($A:$U,ROW(),$C$6)))</f>
        <v/>
      </c>
      <c r="X1698" s="32">
        <f>IF($W1698="","",IF(ISNUMBER($W1698),IF($W1698&gt;=10000000,IFERROR(DATE(INT($W1698/10000),MOD(INT($W1698/100),100),MOD($W1698,100)),""),INT($W1698)),IFERROR(DATE(--LEFT(LEFT(SUBSTITUTE(SUBSTITUTE(SUBSTITUTE(SUBSTITUTE(TRIM($W1698),"-",""),".",""),"/","")," ",""),8),4),--MID(LEFT(SUBSTITUTE(SUBSTITUTE(SUBSTITUTE(SUBSTITUTE(TRIM($W1698),"-",""),".",""),"/","")," ",""),8),5,2),--MID(LEFT(SUBSTITUTE(SUBSTITUTE(SUBSTITUTE(SUBSTITUTE(TRIM($W1698),"-",""),".",""),"/","")," ",""),8),7,2)),"")))</f>
        <v/>
      </c>
      <c r="Y1698" s="32">
        <f>IF($X1698="","",INT($X1698))</f>
        <v/>
      </c>
      <c r="Z1698" s="33">
        <f>IF(OR($Y1698="",$D$6=""),"",IF(INDEX($A:$U,ROW(),$D$6)="",0,IF(ISNUMBER(INDEX($A:$U,ROW(),$D$6)),INDEX($A:$U,ROW(),$D$6),IFERROR(--SUBSTITUTE(SUBSTITUTE(TRIM(INDEX($A:$U,ROW(),$D$6)),",",""),"원",""),0))))</f>
        <v/>
      </c>
      <c r="AA1698" s="31">
        <f>IF($Y1698="","",TRIM(INDEX($A:$U,ROW(),$E$6)&amp;IF($F$6="",""," "&amp;INDEX($A:$U,ROW(),$F$6))))</f>
        <v/>
      </c>
      <c r="AB1698" s="31">
        <f>IF($AA1698="","",SUBSTITUTE(SUBSTITUTE(SUBSTITUTE(SUBSTITUTE(SUBSTITUTE(SUBSTITUTE(SUBSTITUTE(SUBSTITUTE(SUBSTITUTE($AA1698," ",""),"　",""),"(주)",""),"（주）",""),"㈜",""),"주식회사",""),"(유)",""),"（유）",""),"유한회사",""))</f>
        <v/>
      </c>
      <c r="AC1698" s="31">
        <f>IF(OR($Y1698="",N($Z1698)&lt;=0,$AB1698=""),0,IFERROR(LOOKUP(2,1/((거래처별!$AC$8:$AC$307&lt;&gt;"")*ISNUMBER(SEARCH(거래처별!$AC$8:$AC$307,$AB1698))),거래처별!$A$8:$A$307),IFERROR(LOOKUP(2,1/((거래처별!$AD$8:$AD$307&lt;&gt;"")*ISNUMBER(SEARCH(거래처별!$AD$8:$AD$307,$AB1698))),거래처별!$A$8:$A$307),IFERROR(LOOKUP(2,1/((거래처별!$AE$8:$AE$307&lt;&gt;"")*ISNUMBER(SEARCH(거래처별!$AE$8:$AE$307,$AB1698))),거래처별!$A$8:$A$307),0))))</f>
        <v/>
      </c>
      <c r="AD1698" s="31">
        <f>IF(AND($Y1698&lt;&gt;"",N($Z1698)&gt;0,$AC1698=0),MAX($AD$7:$AD1697)+1,"")</f>
        <v/>
      </c>
      <c r="AE1698" s="31">
        <f>IF($Y1698="",0,$Y1698)</f>
        <v/>
      </c>
    </row>
    <row r="1699">
      <c r="W1699" s="31">
        <f>IF(OR($B$5="",$C$6="",ROW()&lt;$B$5),"",IF(INDEX($A:$U,ROW(),$C$6)="","",INDEX($A:$U,ROW(),$C$6)))</f>
        <v/>
      </c>
      <c r="X1699" s="32">
        <f>IF($W1699="","",IF(ISNUMBER($W1699),IF($W1699&gt;=10000000,IFERROR(DATE(INT($W1699/10000),MOD(INT($W1699/100),100),MOD($W1699,100)),""),INT($W1699)),IFERROR(DATE(--LEFT(LEFT(SUBSTITUTE(SUBSTITUTE(SUBSTITUTE(SUBSTITUTE(TRIM($W1699),"-",""),".",""),"/","")," ",""),8),4),--MID(LEFT(SUBSTITUTE(SUBSTITUTE(SUBSTITUTE(SUBSTITUTE(TRIM($W1699),"-",""),".",""),"/","")," ",""),8),5,2),--MID(LEFT(SUBSTITUTE(SUBSTITUTE(SUBSTITUTE(SUBSTITUTE(TRIM($W1699),"-",""),".",""),"/","")," ",""),8),7,2)),"")))</f>
        <v/>
      </c>
      <c r="Y1699" s="32">
        <f>IF($X1699="","",INT($X1699))</f>
        <v/>
      </c>
      <c r="Z1699" s="33">
        <f>IF(OR($Y1699="",$D$6=""),"",IF(INDEX($A:$U,ROW(),$D$6)="",0,IF(ISNUMBER(INDEX($A:$U,ROW(),$D$6)),INDEX($A:$U,ROW(),$D$6),IFERROR(--SUBSTITUTE(SUBSTITUTE(TRIM(INDEX($A:$U,ROW(),$D$6)),",",""),"원",""),0))))</f>
        <v/>
      </c>
      <c r="AA1699" s="31">
        <f>IF($Y1699="","",TRIM(INDEX($A:$U,ROW(),$E$6)&amp;IF($F$6="",""," "&amp;INDEX($A:$U,ROW(),$F$6))))</f>
        <v/>
      </c>
      <c r="AB1699" s="31">
        <f>IF($AA1699="","",SUBSTITUTE(SUBSTITUTE(SUBSTITUTE(SUBSTITUTE(SUBSTITUTE(SUBSTITUTE(SUBSTITUTE(SUBSTITUTE(SUBSTITUTE($AA1699," ",""),"　",""),"(주)",""),"（주）",""),"㈜",""),"주식회사",""),"(유)",""),"（유）",""),"유한회사",""))</f>
        <v/>
      </c>
      <c r="AC1699" s="31">
        <f>IF(OR($Y1699="",N($Z1699)&lt;=0,$AB1699=""),0,IFERROR(LOOKUP(2,1/((거래처별!$AC$8:$AC$307&lt;&gt;"")*ISNUMBER(SEARCH(거래처별!$AC$8:$AC$307,$AB1699))),거래처별!$A$8:$A$307),IFERROR(LOOKUP(2,1/((거래처별!$AD$8:$AD$307&lt;&gt;"")*ISNUMBER(SEARCH(거래처별!$AD$8:$AD$307,$AB1699))),거래처별!$A$8:$A$307),IFERROR(LOOKUP(2,1/((거래처별!$AE$8:$AE$307&lt;&gt;"")*ISNUMBER(SEARCH(거래처별!$AE$8:$AE$307,$AB1699))),거래처별!$A$8:$A$307),0))))</f>
        <v/>
      </c>
      <c r="AD1699" s="31">
        <f>IF(AND($Y1699&lt;&gt;"",N($Z1699)&gt;0,$AC1699=0),MAX($AD$7:$AD1698)+1,"")</f>
        <v/>
      </c>
      <c r="AE1699" s="31">
        <f>IF($Y1699="",0,$Y1699)</f>
        <v/>
      </c>
    </row>
    <row r="1700">
      <c r="W1700" s="31">
        <f>IF(OR($B$5="",$C$6="",ROW()&lt;$B$5),"",IF(INDEX($A:$U,ROW(),$C$6)="","",INDEX($A:$U,ROW(),$C$6)))</f>
        <v/>
      </c>
      <c r="X1700" s="32">
        <f>IF($W1700="","",IF(ISNUMBER($W1700),IF($W1700&gt;=10000000,IFERROR(DATE(INT($W1700/10000),MOD(INT($W1700/100),100),MOD($W1700,100)),""),INT($W1700)),IFERROR(DATE(--LEFT(LEFT(SUBSTITUTE(SUBSTITUTE(SUBSTITUTE(SUBSTITUTE(TRIM($W1700),"-",""),".",""),"/","")," ",""),8),4),--MID(LEFT(SUBSTITUTE(SUBSTITUTE(SUBSTITUTE(SUBSTITUTE(TRIM($W1700),"-",""),".",""),"/","")," ",""),8),5,2),--MID(LEFT(SUBSTITUTE(SUBSTITUTE(SUBSTITUTE(SUBSTITUTE(TRIM($W1700),"-",""),".",""),"/","")," ",""),8),7,2)),"")))</f>
        <v/>
      </c>
      <c r="Y1700" s="32">
        <f>IF($X1700="","",INT($X1700))</f>
        <v/>
      </c>
      <c r="Z1700" s="33">
        <f>IF(OR($Y1700="",$D$6=""),"",IF(INDEX($A:$U,ROW(),$D$6)="",0,IF(ISNUMBER(INDEX($A:$U,ROW(),$D$6)),INDEX($A:$U,ROW(),$D$6),IFERROR(--SUBSTITUTE(SUBSTITUTE(TRIM(INDEX($A:$U,ROW(),$D$6)),",",""),"원",""),0))))</f>
        <v/>
      </c>
      <c r="AA1700" s="31">
        <f>IF($Y1700="","",TRIM(INDEX($A:$U,ROW(),$E$6)&amp;IF($F$6="",""," "&amp;INDEX($A:$U,ROW(),$F$6))))</f>
        <v/>
      </c>
      <c r="AB1700" s="31">
        <f>IF($AA1700="","",SUBSTITUTE(SUBSTITUTE(SUBSTITUTE(SUBSTITUTE(SUBSTITUTE(SUBSTITUTE(SUBSTITUTE(SUBSTITUTE(SUBSTITUTE($AA1700," ",""),"　",""),"(주)",""),"（주）",""),"㈜",""),"주식회사",""),"(유)",""),"（유）",""),"유한회사",""))</f>
        <v/>
      </c>
      <c r="AC1700" s="31">
        <f>IF(OR($Y1700="",N($Z1700)&lt;=0,$AB1700=""),0,IFERROR(LOOKUP(2,1/((거래처별!$AC$8:$AC$307&lt;&gt;"")*ISNUMBER(SEARCH(거래처별!$AC$8:$AC$307,$AB1700))),거래처별!$A$8:$A$307),IFERROR(LOOKUP(2,1/((거래처별!$AD$8:$AD$307&lt;&gt;"")*ISNUMBER(SEARCH(거래처별!$AD$8:$AD$307,$AB1700))),거래처별!$A$8:$A$307),IFERROR(LOOKUP(2,1/((거래처별!$AE$8:$AE$307&lt;&gt;"")*ISNUMBER(SEARCH(거래처별!$AE$8:$AE$307,$AB1700))),거래처별!$A$8:$A$307),0))))</f>
        <v/>
      </c>
      <c r="AD1700" s="31">
        <f>IF(AND($Y1700&lt;&gt;"",N($Z1700)&gt;0,$AC1700=0),MAX($AD$7:$AD1699)+1,"")</f>
        <v/>
      </c>
      <c r="AE1700" s="31">
        <f>IF($Y1700="",0,$Y1700)</f>
        <v/>
      </c>
    </row>
    <row r="1701">
      <c r="W1701" s="31">
        <f>IF(OR($B$5="",$C$6="",ROW()&lt;$B$5),"",IF(INDEX($A:$U,ROW(),$C$6)="","",INDEX($A:$U,ROW(),$C$6)))</f>
        <v/>
      </c>
      <c r="X1701" s="32">
        <f>IF($W1701="","",IF(ISNUMBER($W1701),IF($W1701&gt;=10000000,IFERROR(DATE(INT($W1701/10000),MOD(INT($W1701/100),100),MOD($W1701,100)),""),INT($W1701)),IFERROR(DATE(--LEFT(LEFT(SUBSTITUTE(SUBSTITUTE(SUBSTITUTE(SUBSTITUTE(TRIM($W1701),"-",""),".",""),"/","")," ",""),8),4),--MID(LEFT(SUBSTITUTE(SUBSTITUTE(SUBSTITUTE(SUBSTITUTE(TRIM($W1701),"-",""),".",""),"/","")," ",""),8),5,2),--MID(LEFT(SUBSTITUTE(SUBSTITUTE(SUBSTITUTE(SUBSTITUTE(TRIM($W1701),"-",""),".",""),"/","")," ",""),8),7,2)),"")))</f>
        <v/>
      </c>
      <c r="Y1701" s="32">
        <f>IF($X1701="","",INT($X1701))</f>
        <v/>
      </c>
      <c r="Z1701" s="33">
        <f>IF(OR($Y1701="",$D$6=""),"",IF(INDEX($A:$U,ROW(),$D$6)="",0,IF(ISNUMBER(INDEX($A:$U,ROW(),$D$6)),INDEX($A:$U,ROW(),$D$6),IFERROR(--SUBSTITUTE(SUBSTITUTE(TRIM(INDEX($A:$U,ROW(),$D$6)),",",""),"원",""),0))))</f>
        <v/>
      </c>
      <c r="AA1701" s="31">
        <f>IF($Y1701="","",TRIM(INDEX($A:$U,ROW(),$E$6)&amp;IF($F$6="",""," "&amp;INDEX($A:$U,ROW(),$F$6))))</f>
        <v/>
      </c>
      <c r="AB1701" s="31">
        <f>IF($AA1701="","",SUBSTITUTE(SUBSTITUTE(SUBSTITUTE(SUBSTITUTE(SUBSTITUTE(SUBSTITUTE(SUBSTITUTE(SUBSTITUTE(SUBSTITUTE($AA1701," ",""),"　",""),"(주)",""),"（주）",""),"㈜",""),"주식회사",""),"(유)",""),"（유）",""),"유한회사",""))</f>
        <v/>
      </c>
      <c r="AC1701" s="31">
        <f>IF(OR($Y1701="",N($Z1701)&lt;=0,$AB1701=""),0,IFERROR(LOOKUP(2,1/((거래처별!$AC$8:$AC$307&lt;&gt;"")*ISNUMBER(SEARCH(거래처별!$AC$8:$AC$307,$AB1701))),거래처별!$A$8:$A$307),IFERROR(LOOKUP(2,1/((거래처별!$AD$8:$AD$307&lt;&gt;"")*ISNUMBER(SEARCH(거래처별!$AD$8:$AD$307,$AB1701))),거래처별!$A$8:$A$307),IFERROR(LOOKUP(2,1/((거래처별!$AE$8:$AE$307&lt;&gt;"")*ISNUMBER(SEARCH(거래처별!$AE$8:$AE$307,$AB1701))),거래처별!$A$8:$A$307),0))))</f>
        <v/>
      </c>
      <c r="AD1701" s="31">
        <f>IF(AND($Y1701&lt;&gt;"",N($Z1701)&gt;0,$AC1701=0),MAX($AD$7:$AD1700)+1,"")</f>
        <v/>
      </c>
      <c r="AE1701" s="31">
        <f>IF($Y1701="",0,$Y1701)</f>
        <v/>
      </c>
    </row>
    <row r="1702">
      <c r="W1702" s="31">
        <f>IF(OR($B$5="",$C$6="",ROW()&lt;$B$5),"",IF(INDEX($A:$U,ROW(),$C$6)="","",INDEX($A:$U,ROW(),$C$6)))</f>
        <v/>
      </c>
      <c r="X1702" s="32">
        <f>IF($W1702="","",IF(ISNUMBER($W1702),IF($W1702&gt;=10000000,IFERROR(DATE(INT($W1702/10000),MOD(INT($W1702/100),100),MOD($W1702,100)),""),INT($W1702)),IFERROR(DATE(--LEFT(LEFT(SUBSTITUTE(SUBSTITUTE(SUBSTITUTE(SUBSTITUTE(TRIM($W1702),"-",""),".",""),"/","")," ",""),8),4),--MID(LEFT(SUBSTITUTE(SUBSTITUTE(SUBSTITUTE(SUBSTITUTE(TRIM($W1702),"-",""),".",""),"/","")," ",""),8),5,2),--MID(LEFT(SUBSTITUTE(SUBSTITUTE(SUBSTITUTE(SUBSTITUTE(TRIM($W1702),"-",""),".",""),"/","")," ",""),8),7,2)),"")))</f>
        <v/>
      </c>
      <c r="Y1702" s="32">
        <f>IF($X1702="","",INT($X1702))</f>
        <v/>
      </c>
      <c r="Z1702" s="33">
        <f>IF(OR($Y1702="",$D$6=""),"",IF(INDEX($A:$U,ROW(),$D$6)="",0,IF(ISNUMBER(INDEX($A:$U,ROW(),$D$6)),INDEX($A:$U,ROW(),$D$6),IFERROR(--SUBSTITUTE(SUBSTITUTE(TRIM(INDEX($A:$U,ROW(),$D$6)),",",""),"원",""),0))))</f>
        <v/>
      </c>
      <c r="AA1702" s="31">
        <f>IF($Y1702="","",TRIM(INDEX($A:$U,ROW(),$E$6)&amp;IF($F$6="",""," "&amp;INDEX($A:$U,ROW(),$F$6))))</f>
        <v/>
      </c>
      <c r="AB1702" s="31">
        <f>IF($AA1702="","",SUBSTITUTE(SUBSTITUTE(SUBSTITUTE(SUBSTITUTE(SUBSTITUTE(SUBSTITUTE(SUBSTITUTE(SUBSTITUTE(SUBSTITUTE($AA1702," ",""),"　",""),"(주)",""),"（주）",""),"㈜",""),"주식회사",""),"(유)",""),"（유）",""),"유한회사",""))</f>
        <v/>
      </c>
      <c r="AC1702" s="31">
        <f>IF(OR($Y1702="",N($Z1702)&lt;=0,$AB1702=""),0,IFERROR(LOOKUP(2,1/((거래처별!$AC$8:$AC$307&lt;&gt;"")*ISNUMBER(SEARCH(거래처별!$AC$8:$AC$307,$AB1702))),거래처별!$A$8:$A$307),IFERROR(LOOKUP(2,1/((거래처별!$AD$8:$AD$307&lt;&gt;"")*ISNUMBER(SEARCH(거래처별!$AD$8:$AD$307,$AB1702))),거래처별!$A$8:$A$307),IFERROR(LOOKUP(2,1/((거래처별!$AE$8:$AE$307&lt;&gt;"")*ISNUMBER(SEARCH(거래처별!$AE$8:$AE$307,$AB1702))),거래처별!$A$8:$A$307),0))))</f>
        <v/>
      </c>
      <c r="AD1702" s="31">
        <f>IF(AND($Y1702&lt;&gt;"",N($Z1702)&gt;0,$AC1702=0),MAX($AD$7:$AD1701)+1,"")</f>
        <v/>
      </c>
      <c r="AE1702" s="31">
        <f>IF($Y1702="",0,$Y1702)</f>
        <v/>
      </c>
    </row>
    <row r="1703">
      <c r="W1703" s="31">
        <f>IF(OR($B$5="",$C$6="",ROW()&lt;$B$5),"",IF(INDEX($A:$U,ROW(),$C$6)="","",INDEX($A:$U,ROW(),$C$6)))</f>
        <v/>
      </c>
      <c r="X1703" s="32">
        <f>IF($W1703="","",IF(ISNUMBER($W1703),IF($W1703&gt;=10000000,IFERROR(DATE(INT($W1703/10000),MOD(INT($W1703/100),100),MOD($W1703,100)),""),INT($W1703)),IFERROR(DATE(--LEFT(LEFT(SUBSTITUTE(SUBSTITUTE(SUBSTITUTE(SUBSTITUTE(TRIM($W1703),"-",""),".",""),"/","")," ",""),8),4),--MID(LEFT(SUBSTITUTE(SUBSTITUTE(SUBSTITUTE(SUBSTITUTE(TRIM($W1703),"-",""),".",""),"/","")," ",""),8),5,2),--MID(LEFT(SUBSTITUTE(SUBSTITUTE(SUBSTITUTE(SUBSTITUTE(TRIM($W1703),"-",""),".",""),"/","")," ",""),8),7,2)),"")))</f>
        <v/>
      </c>
      <c r="Y1703" s="32">
        <f>IF($X1703="","",INT($X1703))</f>
        <v/>
      </c>
      <c r="Z1703" s="33">
        <f>IF(OR($Y1703="",$D$6=""),"",IF(INDEX($A:$U,ROW(),$D$6)="",0,IF(ISNUMBER(INDEX($A:$U,ROW(),$D$6)),INDEX($A:$U,ROW(),$D$6),IFERROR(--SUBSTITUTE(SUBSTITUTE(TRIM(INDEX($A:$U,ROW(),$D$6)),",",""),"원",""),0))))</f>
        <v/>
      </c>
      <c r="AA1703" s="31">
        <f>IF($Y1703="","",TRIM(INDEX($A:$U,ROW(),$E$6)&amp;IF($F$6="",""," "&amp;INDEX($A:$U,ROW(),$F$6))))</f>
        <v/>
      </c>
      <c r="AB1703" s="31">
        <f>IF($AA1703="","",SUBSTITUTE(SUBSTITUTE(SUBSTITUTE(SUBSTITUTE(SUBSTITUTE(SUBSTITUTE(SUBSTITUTE(SUBSTITUTE(SUBSTITUTE($AA1703," ",""),"　",""),"(주)",""),"（주）",""),"㈜",""),"주식회사",""),"(유)",""),"（유）",""),"유한회사",""))</f>
        <v/>
      </c>
      <c r="AC1703" s="31">
        <f>IF(OR($Y1703="",N($Z1703)&lt;=0,$AB1703=""),0,IFERROR(LOOKUP(2,1/((거래처별!$AC$8:$AC$307&lt;&gt;"")*ISNUMBER(SEARCH(거래처별!$AC$8:$AC$307,$AB1703))),거래처별!$A$8:$A$307),IFERROR(LOOKUP(2,1/((거래처별!$AD$8:$AD$307&lt;&gt;"")*ISNUMBER(SEARCH(거래처별!$AD$8:$AD$307,$AB1703))),거래처별!$A$8:$A$307),IFERROR(LOOKUP(2,1/((거래처별!$AE$8:$AE$307&lt;&gt;"")*ISNUMBER(SEARCH(거래처별!$AE$8:$AE$307,$AB1703))),거래처별!$A$8:$A$307),0))))</f>
        <v/>
      </c>
      <c r="AD1703" s="31">
        <f>IF(AND($Y1703&lt;&gt;"",N($Z1703)&gt;0,$AC1703=0),MAX($AD$7:$AD1702)+1,"")</f>
        <v/>
      </c>
      <c r="AE1703" s="31">
        <f>IF($Y1703="",0,$Y1703)</f>
        <v/>
      </c>
    </row>
    <row r="1704">
      <c r="W1704" s="31">
        <f>IF(OR($B$5="",$C$6="",ROW()&lt;$B$5),"",IF(INDEX($A:$U,ROW(),$C$6)="","",INDEX($A:$U,ROW(),$C$6)))</f>
        <v/>
      </c>
      <c r="X1704" s="32">
        <f>IF($W1704="","",IF(ISNUMBER($W1704),IF($W1704&gt;=10000000,IFERROR(DATE(INT($W1704/10000),MOD(INT($W1704/100),100),MOD($W1704,100)),""),INT($W1704)),IFERROR(DATE(--LEFT(LEFT(SUBSTITUTE(SUBSTITUTE(SUBSTITUTE(SUBSTITUTE(TRIM($W1704),"-",""),".",""),"/","")," ",""),8),4),--MID(LEFT(SUBSTITUTE(SUBSTITUTE(SUBSTITUTE(SUBSTITUTE(TRIM($W1704),"-",""),".",""),"/","")," ",""),8),5,2),--MID(LEFT(SUBSTITUTE(SUBSTITUTE(SUBSTITUTE(SUBSTITUTE(TRIM($W1704),"-",""),".",""),"/","")," ",""),8),7,2)),"")))</f>
        <v/>
      </c>
      <c r="Y1704" s="32">
        <f>IF($X1704="","",INT($X1704))</f>
        <v/>
      </c>
      <c r="Z1704" s="33">
        <f>IF(OR($Y1704="",$D$6=""),"",IF(INDEX($A:$U,ROW(),$D$6)="",0,IF(ISNUMBER(INDEX($A:$U,ROW(),$D$6)),INDEX($A:$U,ROW(),$D$6),IFERROR(--SUBSTITUTE(SUBSTITUTE(TRIM(INDEX($A:$U,ROW(),$D$6)),",",""),"원",""),0))))</f>
        <v/>
      </c>
      <c r="AA1704" s="31">
        <f>IF($Y1704="","",TRIM(INDEX($A:$U,ROW(),$E$6)&amp;IF($F$6="",""," "&amp;INDEX($A:$U,ROW(),$F$6))))</f>
        <v/>
      </c>
      <c r="AB1704" s="31">
        <f>IF($AA1704="","",SUBSTITUTE(SUBSTITUTE(SUBSTITUTE(SUBSTITUTE(SUBSTITUTE(SUBSTITUTE(SUBSTITUTE(SUBSTITUTE(SUBSTITUTE($AA1704," ",""),"　",""),"(주)",""),"（주）",""),"㈜",""),"주식회사",""),"(유)",""),"（유）",""),"유한회사",""))</f>
        <v/>
      </c>
      <c r="AC1704" s="31">
        <f>IF(OR($Y1704="",N($Z1704)&lt;=0,$AB1704=""),0,IFERROR(LOOKUP(2,1/((거래처별!$AC$8:$AC$307&lt;&gt;"")*ISNUMBER(SEARCH(거래처별!$AC$8:$AC$307,$AB1704))),거래처별!$A$8:$A$307),IFERROR(LOOKUP(2,1/((거래처별!$AD$8:$AD$307&lt;&gt;"")*ISNUMBER(SEARCH(거래처별!$AD$8:$AD$307,$AB1704))),거래처별!$A$8:$A$307),IFERROR(LOOKUP(2,1/((거래처별!$AE$8:$AE$307&lt;&gt;"")*ISNUMBER(SEARCH(거래처별!$AE$8:$AE$307,$AB1704))),거래처별!$A$8:$A$307),0))))</f>
        <v/>
      </c>
      <c r="AD1704" s="31">
        <f>IF(AND($Y1704&lt;&gt;"",N($Z1704)&gt;0,$AC1704=0),MAX($AD$7:$AD1703)+1,"")</f>
        <v/>
      </c>
      <c r="AE1704" s="31">
        <f>IF($Y1704="",0,$Y1704)</f>
        <v/>
      </c>
    </row>
    <row r="1705">
      <c r="W1705" s="31">
        <f>IF(OR($B$5="",$C$6="",ROW()&lt;$B$5),"",IF(INDEX($A:$U,ROW(),$C$6)="","",INDEX($A:$U,ROW(),$C$6)))</f>
        <v/>
      </c>
      <c r="X1705" s="32">
        <f>IF($W1705="","",IF(ISNUMBER($W1705),IF($W1705&gt;=10000000,IFERROR(DATE(INT($W1705/10000),MOD(INT($W1705/100),100),MOD($W1705,100)),""),INT($W1705)),IFERROR(DATE(--LEFT(LEFT(SUBSTITUTE(SUBSTITUTE(SUBSTITUTE(SUBSTITUTE(TRIM($W1705),"-",""),".",""),"/","")," ",""),8),4),--MID(LEFT(SUBSTITUTE(SUBSTITUTE(SUBSTITUTE(SUBSTITUTE(TRIM($W1705),"-",""),".",""),"/","")," ",""),8),5,2),--MID(LEFT(SUBSTITUTE(SUBSTITUTE(SUBSTITUTE(SUBSTITUTE(TRIM($W1705),"-",""),".",""),"/","")," ",""),8),7,2)),"")))</f>
        <v/>
      </c>
      <c r="Y1705" s="32">
        <f>IF($X1705="","",INT($X1705))</f>
        <v/>
      </c>
      <c r="Z1705" s="33">
        <f>IF(OR($Y1705="",$D$6=""),"",IF(INDEX($A:$U,ROW(),$D$6)="",0,IF(ISNUMBER(INDEX($A:$U,ROW(),$D$6)),INDEX($A:$U,ROW(),$D$6),IFERROR(--SUBSTITUTE(SUBSTITUTE(TRIM(INDEX($A:$U,ROW(),$D$6)),",",""),"원",""),0))))</f>
        <v/>
      </c>
      <c r="AA1705" s="31">
        <f>IF($Y1705="","",TRIM(INDEX($A:$U,ROW(),$E$6)&amp;IF($F$6="",""," "&amp;INDEX($A:$U,ROW(),$F$6))))</f>
        <v/>
      </c>
      <c r="AB1705" s="31">
        <f>IF($AA1705="","",SUBSTITUTE(SUBSTITUTE(SUBSTITUTE(SUBSTITUTE(SUBSTITUTE(SUBSTITUTE(SUBSTITUTE(SUBSTITUTE(SUBSTITUTE($AA1705," ",""),"　",""),"(주)",""),"（주）",""),"㈜",""),"주식회사",""),"(유)",""),"（유）",""),"유한회사",""))</f>
        <v/>
      </c>
      <c r="AC1705" s="31">
        <f>IF(OR($Y1705="",N($Z1705)&lt;=0,$AB1705=""),0,IFERROR(LOOKUP(2,1/((거래처별!$AC$8:$AC$307&lt;&gt;"")*ISNUMBER(SEARCH(거래처별!$AC$8:$AC$307,$AB1705))),거래처별!$A$8:$A$307),IFERROR(LOOKUP(2,1/((거래처별!$AD$8:$AD$307&lt;&gt;"")*ISNUMBER(SEARCH(거래처별!$AD$8:$AD$307,$AB1705))),거래처별!$A$8:$A$307),IFERROR(LOOKUP(2,1/((거래처별!$AE$8:$AE$307&lt;&gt;"")*ISNUMBER(SEARCH(거래처별!$AE$8:$AE$307,$AB1705))),거래처별!$A$8:$A$307),0))))</f>
        <v/>
      </c>
      <c r="AD1705" s="31">
        <f>IF(AND($Y1705&lt;&gt;"",N($Z1705)&gt;0,$AC1705=0),MAX($AD$7:$AD1704)+1,"")</f>
        <v/>
      </c>
      <c r="AE1705" s="31">
        <f>IF($Y1705="",0,$Y1705)</f>
        <v/>
      </c>
    </row>
    <row r="1706">
      <c r="W1706" s="31">
        <f>IF(OR($B$5="",$C$6="",ROW()&lt;$B$5),"",IF(INDEX($A:$U,ROW(),$C$6)="","",INDEX($A:$U,ROW(),$C$6)))</f>
        <v/>
      </c>
      <c r="X1706" s="32">
        <f>IF($W1706="","",IF(ISNUMBER($W1706),IF($W1706&gt;=10000000,IFERROR(DATE(INT($W1706/10000),MOD(INT($W1706/100),100),MOD($W1706,100)),""),INT($W1706)),IFERROR(DATE(--LEFT(LEFT(SUBSTITUTE(SUBSTITUTE(SUBSTITUTE(SUBSTITUTE(TRIM($W1706),"-",""),".",""),"/","")," ",""),8),4),--MID(LEFT(SUBSTITUTE(SUBSTITUTE(SUBSTITUTE(SUBSTITUTE(TRIM($W1706),"-",""),".",""),"/","")," ",""),8),5,2),--MID(LEFT(SUBSTITUTE(SUBSTITUTE(SUBSTITUTE(SUBSTITUTE(TRIM($W1706),"-",""),".",""),"/","")," ",""),8),7,2)),"")))</f>
        <v/>
      </c>
      <c r="Y1706" s="32">
        <f>IF($X1706="","",INT($X1706))</f>
        <v/>
      </c>
      <c r="Z1706" s="33">
        <f>IF(OR($Y1706="",$D$6=""),"",IF(INDEX($A:$U,ROW(),$D$6)="",0,IF(ISNUMBER(INDEX($A:$U,ROW(),$D$6)),INDEX($A:$U,ROW(),$D$6),IFERROR(--SUBSTITUTE(SUBSTITUTE(TRIM(INDEX($A:$U,ROW(),$D$6)),",",""),"원",""),0))))</f>
        <v/>
      </c>
      <c r="AA1706" s="31">
        <f>IF($Y1706="","",TRIM(INDEX($A:$U,ROW(),$E$6)&amp;IF($F$6="",""," "&amp;INDEX($A:$U,ROW(),$F$6))))</f>
        <v/>
      </c>
      <c r="AB1706" s="31">
        <f>IF($AA1706="","",SUBSTITUTE(SUBSTITUTE(SUBSTITUTE(SUBSTITUTE(SUBSTITUTE(SUBSTITUTE(SUBSTITUTE(SUBSTITUTE(SUBSTITUTE($AA1706," ",""),"　",""),"(주)",""),"（주）",""),"㈜",""),"주식회사",""),"(유)",""),"（유）",""),"유한회사",""))</f>
        <v/>
      </c>
      <c r="AC1706" s="31">
        <f>IF(OR($Y1706="",N($Z1706)&lt;=0,$AB1706=""),0,IFERROR(LOOKUP(2,1/((거래처별!$AC$8:$AC$307&lt;&gt;"")*ISNUMBER(SEARCH(거래처별!$AC$8:$AC$307,$AB1706))),거래처별!$A$8:$A$307),IFERROR(LOOKUP(2,1/((거래처별!$AD$8:$AD$307&lt;&gt;"")*ISNUMBER(SEARCH(거래처별!$AD$8:$AD$307,$AB1706))),거래처별!$A$8:$A$307),IFERROR(LOOKUP(2,1/((거래처별!$AE$8:$AE$307&lt;&gt;"")*ISNUMBER(SEARCH(거래처별!$AE$8:$AE$307,$AB1706))),거래처별!$A$8:$A$307),0))))</f>
        <v/>
      </c>
      <c r="AD1706" s="31">
        <f>IF(AND($Y1706&lt;&gt;"",N($Z1706)&gt;0,$AC1706=0),MAX($AD$7:$AD1705)+1,"")</f>
        <v/>
      </c>
      <c r="AE1706" s="31">
        <f>IF($Y1706="",0,$Y1706)</f>
        <v/>
      </c>
    </row>
    <row r="1707">
      <c r="W1707" s="31">
        <f>IF(OR($B$5="",$C$6="",ROW()&lt;$B$5),"",IF(INDEX($A:$U,ROW(),$C$6)="","",INDEX($A:$U,ROW(),$C$6)))</f>
        <v/>
      </c>
      <c r="X1707" s="32">
        <f>IF($W1707="","",IF(ISNUMBER($W1707),IF($W1707&gt;=10000000,IFERROR(DATE(INT($W1707/10000),MOD(INT($W1707/100),100),MOD($W1707,100)),""),INT($W1707)),IFERROR(DATE(--LEFT(LEFT(SUBSTITUTE(SUBSTITUTE(SUBSTITUTE(SUBSTITUTE(TRIM($W1707),"-",""),".",""),"/","")," ",""),8),4),--MID(LEFT(SUBSTITUTE(SUBSTITUTE(SUBSTITUTE(SUBSTITUTE(TRIM($W1707),"-",""),".",""),"/","")," ",""),8),5,2),--MID(LEFT(SUBSTITUTE(SUBSTITUTE(SUBSTITUTE(SUBSTITUTE(TRIM($W1707),"-",""),".",""),"/","")," ",""),8),7,2)),"")))</f>
        <v/>
      </c>
      <c r="Y1707" s="32">
        <f>IF($X1707="","",INT($X1707))</f>
        <v/>
      </c>
      <c r="Z1707" s="33">
        <f>IF(OR($Y1707="",$D$6=""),"",IF(INDEX($A:$U,ROW(),$D$6)="",0,IF(ISNUMBER(INDEX($A:$U,ROW(),$D$6)),INDEX($A:$U,ROW(),$D$6),IFERROR(--SUBSTITUTE(SUBSTITUTE(TRIM(INDEX($A:$U,ROW(),$D$6)),",",""),"원",""),0))))</f>
        <v/>
      </c>
      <c r="AA1707" s="31">
        <f>IF($Y1707="","",TRIM(INDEX($A:$U,ROW(),$E$6)&amp;IF($F$6="",""," "&amp;INDEX($A:$U,ROW(),$F$6))))</f>
        <v/>
      </c>
      <c r="AB1707" s="31">
        <f>IF($AA1707="","",SUBSTITUTE(SUBSTITUTE(SUBSTITUTE(SUBSTITUTE(SUBSTITUTE(SUBSTITUTE(SUBSTITUTE(SUBSTITUTE(SUBSTITUTE($AA1707," ",""),"　",""),"(주)",""),"（주）",""),"㈜",""),"주식회사",""),"(유)",""),"（유）",""),"유한회사",""))</f>
        <v/>
      </c>
      <c r="AC1707" s="31">
        <f>IF(OR($Y1707="",N($Z1707)&lt;=0,$AB1707=""),0,IFERROR(LOOKUP(2,1/((거래처별!$AC$8:$AC$307&lt;&gt;"")*ISNUMBER(SEARCH(거래처별!$AC$8:$AC$307,$AB1707))),거래처별!$A$8:$A$307),IFERROR(LOOKUP(2,1/((거래처별!$AD$8:$AD$307&lt;&gt;"")*ISNUMBER(SEARCH(거래처별!$AD$8:$AD$307,$AB1707))),거래처별!$A$8:$A$307),IFERROR(LOOKUP(2,1/((거래처별!$AE$8:$AE$307&lt;&gt;"")*ISNUMBER(SEARCH(거래처별!$AE$8:$AE$307,$AB1707))),거래처별!$A$8:$A$307),0))))</f>
        <v/>
      </c>
      <c r="AD1707" s="31">
        <f>IF(AND($Y1707&lt;&gt;"",N($Z1707)&gt;0,$AC1707=0),MAX($AD$7:$AD1706)+1,"")</f>
        <v/>
      </c>
      <c r="AE1707" s="31">
        <f>IF($Y1707="",0,$Y1707)</f>
        <v/>
      </c>
    </row>
    <row r="1708">
      <c r="W1708" s="31">
        <f>IF(OR($B$5="",$C$6="",ROW()&lt;$B$5),"",IF(INDEX($A:$U,ROW(),$C$6)="","",INDEX($A:$U,ROW(),$C$6)))</f>
        <v/>
      </c>
      <c r="X1708" s="32">
        <f>IF($W1708="","",IF(ISNUMBER($W1708),IF($W1708&gt;=10000000,IFERROR(DATE(INT($W1708/10000),MOD(INT($W1708/100),100),MOD($W1708,100)),""),INT($W1708)),IFERROR(DATE(--LEFT(LEFT(SUBSTITUTE(SUBSTITUTE(SUBSTITUTE(SUBSTITUTE(TRIM($W1708),"-",""),".",""),"/","")," ",""),8),4),--MID(LEFT(SUBSTITUTE(SUBSTITUTE(SUBSTITUTE(SUBSTITUTE(TRIM($W1708),"-",""),".",""),"/","")," ",""),8),5,2),--MID(LEFT(SUBSTITUTE(SUBSTITUTE(SUBSTITUTE(SUBSTITUTE(TRIM($W1708),"-",""),".",""),"/","")," ",""),8),7,2)),"")))</f>
        <v/>
      </c>
      <c r="Y1708" s="32">
        <f>IF($X1708="","",INT($X1708))</f>
        <v/>
      </c>
      <c r="Z1708" s="33">
        <f>IF(OR($Y1708="",$D$6=""),"",IF(INDEX($A:$U,ROW(),$D$6)="",0,IF(ISNUMBER(INDEX($A:$U,ROW(),$D$6)),INDEX($A:$U,ROW(),$D$6),IFERROR(--SUBSTITUTE(SUBSTITUTE(TRIM(INDEX($A:$U,ROW(),$D$6)),",",""),"원",""),0))))</f>
        <v/>
      </c>
      <c r="AA1708" s="31">
        <f>IF($Y1708="","",TRIM(INDEX($A:$U,ROW(),$E$6)&amp;IF($F$6="",""," "&amp;INDEX($A:$U,ROW(),$F$6))))</f>
        <v/>
      </c>
      <c r="AB1708" s="31">
        <f>IF($AA1708="","",SUBSTITUTE(SUBSTITUTE(SUBSTITUTE(SUBSTITUTE(SUBSTITUTE(SUBSTITUTE(SUBSTITUTE(SUBSTITUTE(SUBSTITUTE($AA1708," ",""),"　",""),"(주)",""),"（주）",""),"㈜",""),"주식회사",""),"(유)",""),"（유）",""),"유한회사",""))</f>
        <v/>
      </c>
      <c r="AC1708" s="31">
        <f>IF(OR($Y1708="",N($Z1708)&lt;=0,$AB1708=""),0,IFERROR(LOOKUP(2,1/((거래처별!$AC$8:$AC$307&lt;&gt;"")*ISNUMBER(SEARCH(거래처별!$AC$8:$AC$307,$AB1708))),거래처별!$A$8:$A$307),IFERROR(LOOKUP(2,1/((거래처별!$AD$8:$AD$307&lt;&gt;"")*ISNUMBER(SEARCH(거래처별!$AD$8:$AD$307,$AB1708))),거래처별!$A$8:$A$307),IFERROR(LOOKUP(2,1/((거래처별!$AE$8:$AE$307&lt;&gt;"")*ISNUMBER(SEARCH(거래처별!$AE$8:$AE$307,$AB1708))),거래처별!$A$8:$A$307),0))))</f>
        <v/>
      </c>
      <c r="AD1708" s="31">
        <f>IF(AND($Y1708&lt;&gt;"",N($Z1708)&gt;0,$AC1708=0),MAX($AD$7:$AD1707)+1,"")</f>
        <v/>
      </c>
      <c r="AE1708" s="31">
        <f>IF($Y1708="",0,$Y1708)</f>
        <v/>
      </c>
    </row>
    <row r="1709">
      <c r="W1709" s="31">
        <f>IF(OR($B$5="",$C$6="",ROW()&lt;$B$5),"",IF(INDEX($A:$U,ROW(),$C$6)="","",INDEX($A:$U,ROW(),$C$6)))</f>
        <v/>
      </c>
      <c r="X1709" s="32">
        <f>IF($W1709="","",IF(ISNUMBER($W1709),IF($W1709&gt;=10000000,IFERROR(DATE(INT($W1709/10000),MOD(INT($W1709/100),100),MOD($W1709,100)),""),INT($W1709)),IFERROR(DATE(--LEFT(LEFT(SUBSTITUTE(SUBSTITUTE(SUBSTITUTE(SUBSTITUTE(TRIM($W1709),"-",""),".",""),"/","")," ",""),8),4),--MID(LEFT(SUBSTITUTE(SUBSTITUTE(SUBSTITUTE(SUBSTITUTE(TRIM($W1709),"-",""),".",""),"/","")," ",""),8),5,2),--MID(LEFT(SUBSTITUTE(SUBSTITUTE(SUBSTITUTE(SUBSTITUTE(TRIM($W1709),"-",""),".",""),"/","")," ",""),8),7,2)),"")))</f>
        <v/>
      </c>
      <c r="Y1709" s="32">
        <f>IF($X1709="","",INT($X1709))</f>
        <v/>
      </c>
      <c r="Z1709" s="33">
        <f>IF(OR($Y1709="",$D$6=""),"",IF(INDEX($A:$U,ROW(),$D$6)="",0,IF(ISNUMBER(INDEX($A:$U,ROW(),$D$6)),INDEX($A:$U,ROW(),$D$6),IFERROR(--SUBSTITUTE(SUBSTITUTE(TRIM(INDEX($A:$U,ROW(),$D$6)),",",""),"원",""),0))))</f>
        <v/>
      </c>
      <c r="AA1709" s="31">
        <f>IF($Y1709="","",TRIM(INDEX($A:$U,ROW(),$E$6)&amp;IF($F$6="",""," "&amp;INDEX($A:$U,ROW(),$F$6))))</f>
        <v/>
      </c>
      <c r="AB1709" s="31">
        <f>IF($AA1709="","",SUBSTITUTE(SUBSTITUTE(SUBSTITUTE(SUBSTITUTE(SUBSTITUTE(SUBSTITUTE(SUBSTITUTE(SUBSTITUTE(SUBSTITUTE($AA1709," ",""),"　",""),"(주)",""),"（주）",""),"㈜",""),"주식회사",""),"(유)",""),"（유）",""),"유한회사",""))</f>
        <v/>
      </c>
      <c r="AC1709" s="31">
        <f>IF(OR($Y1709="",N($Z1709)&lt;=0,$AB1709=""),0,IFERROR(LOOKUP(2,1/((거래처별!$AC$8:$AC$307&lt;&gt;"")*ISNUMBER(SEARCH(거래처별!$AC$8:$AC$307,$AB1709))),거래처별!$A$8:$A$307),IFERROR(LOOKUP(2,1/((거래처별!$AD$8:$AD$307&lt;&gt;"")*ISNUMBER(SEARCH(거래처별!$AD$8:$AD$307,$AB1709))),거래처별!$A$8:$A$307),IFERROR(LOOKUP(2,1/((거래처별!$AE$8:$AE$307&lt;&gt;"")*ISNUMBER(SEARCH(거래처별!$AE$8:$AE$307,$AB1709))),거래처별!$A$8:$A$307),0))))</f>
        <v/>
      </c>
      <c r="AD1709" s="31">
        <f>IF(AND($Y1709&lt;&gt;"",N($Z1709)&gt;0,$AC1709=0),MAX($AD$7:$AD1708)+1,"")</f>
        <v/>
      </c>
      <c r="AE1709" s="31">
        <f>IF($Y1709="",0,$Y1709)</f>
        <v/>
      </c>
    </row>
    <row r="1710">
      <c r="W1710" s="31">
        <f>IF(OR($B$5="",$C$6="",ROW()&lt;$B$5),"",IF(INDEX($A:$U,ROW(),$C$6)="","",INDEX($A:$U,ROW(),$C$6)))</f>
        <v/>
      </c>
      <c r="X1710" s="32">
        <f>IF($W1710="","",IF(ISNUMBER($W1710),IF($W1710&gt;=10000000,IFERROR(DATE(INT($W1710/10000),MOD(INT($W1710/100),100),MOD($W1710,100)),""),INT($W1710)),IFERROR(DATE(--LEFT(LEFT(SUBSTITUTE(SUBSTITUTE(SUBSTITUTE(SUBSTITUTE(TRIM($W1710),"-",""),".",""),"/","")," ",""),8),4),--MID(LEFT(SUBSTITUTE(SUBSTITUTE(SUBSTITUTE(SUBSTITUTE(TRIM($W1710),"-",""),".",""),"/","")," ",""),8),5,2),--MID(LEFT(SUBSTITUTE(SUBSTITUTE(SUBSTITUTE(SUBSTITUTE(TRIM($W1710),"-",""),".",""),"/","")," ",""),8),7,2)),"")))</f>
        <v/>
      </c>
      <c r="Y1710" s="32">
        <f>IF($X1710="","",INT($X1710))</f>
        <v/>
      </c>
      <c r="Z1710" s="33">
        <f>IF(OR($Y1710="",$D$6=""),"",IF(INDEX($A:$U,ROW(),$D$6)="",0,IF(ISNUMBER(INDEX($A:$U,ROW(),$D$6)),INDEX($A:$U,ROW(),$D$6),IFERROR(--SUBSTITUTE(SUBSTITUTE(TRIM(INDEX($A:$U,ROW(),$D$6)),",",""),"원",""),0))))</f>
        <v/>
      </c>
      <c r="AA1710" s="31">
        <f>IF($Y1710="","",TRIM(INDEX($A:$U,ROW(),$E$6)&amp;IF($F$6="",""," "&amp;INDEX($A:$U,ROW(),$F$6))))</f>
        <v/>
      </c>
      <c r="AB1710" s="31">
        <f>IF($AA1710="","",SUBSTITUTE(SUBSTITUTE(SUBSTITUTE(SUBSTITUTE(SUBSTITUTE(SUBSTITUTE(SUBSTITUTE(SUBSTITUTE(SUBSTITUTE($AA1710," ",""),"　",""),"(주)",""),"（주）",""),"㈜",""),"주식회사",""),"(유)",""),"（유）",""),"유한회사",""))</f>
        <v/>
      </c>
      <c r="AC1710" s="31">
        <f>IF(OR($Y1710="",N($Z1710)&lt;=0,$AB1710=""),0,IFERROR(LOOKUP(2,1/((거래처별!$AC$8:$AC$307&lt;&gt;"")*ISNUMBER(SEARCH(거래처별!$AC$8:$AC$307,$AB1710))),거래처별!$A$8:$A$307),IFERROR(LOOKUP(2,1/((거래처별!$AD$8:$AD$307&lt;&gt;"")*ISNUMBER(SEARCH(거래처별!$AD$8:$AD$307,$AB1710))),거래처별!$A$8:$A$307),IFERROR(LOOKUP(2,1/((거래처별!$AE$8:$AE$307&lt;&gt;"")*ISNUMBER(SEARCH(거래처별!$AE$8:$AE$307,$AB1710))),거래처별!$A$8:$A$307),0))))</f>
        <v/>
      </c>
      <c r="AD1710" s="31">
        <f>IF(AND($Y1710&lt;&gt;"",N($Z1710)&gt;0,$AC1710=0),MAX($AD$7:$AD1709)+1,"")</f>
        <v/>
      </c>
      <c r="AE1710" s="31">
        <f>IF($Y1710="",0,$Y1710)</f>
        <v/>
      </c>
    </row>
    <row r="1711">
      <c r="W1711" s="31">
        <f>IF(OR($B$5="",$C$6="",ROW()&lt;$B$5),"",IF(INDEX($A:$U,ROW(),$C$6)="","",INDEX($A:$U,ROW(),$C$6)))</f>
        <v/>
      </c>
      <c r="X1711" s="32">
        <f>IF($W1711="","",IF(ISNUMBER($W1711),IF($W1711&gt;=10000000,IFERROR(DATE(INT($W1711/10000),MOD(INT($W1711/100),100),MOD($W1711,100)),""),INT($W1711)),IFERROR(DATE(--LEFT(LEFT(SUBSTITUTE(SUBSTITUTE(SUBSTITUTE(SUBSTITUTE(TRIM($W1711),"-",""),".",""),"/","")," ",""),8),4),--MID(LEFT(SUBSTITUTE(SUBSTITUTE(SUBSTITUTE(SUBSTITUTE(TRIM($W1711),"-",""),".",""),"/","")," ",""),8),5,2),--MID(LEFT(SUBSTITUTE(SUBSTITUTE(SUBSTITUTE(SUBSTITUTE(TRIM($W1711),"-",""),".",""),"/","")," ",""),8),7,2)),"")))</f>
        <v/>
      </c>
      <c r="Y1711" s="32">
        <f>IF($X1711="","",INT($X1711))</f>
        <v/>
      </c>
      <c r="Z1711" s="33">
        <f>IF(OR($Y1711="",$D$6=""),"",IF(INDEX($A:$U,ROW(),$D$6)="",0,IF(ISNUMBER(INDEX($A:$U,ROW(),$D$6)),INDEX($A:$U,ROW(),$D$6),IFERROR(--SUBSTITUTE(SUBSTITUTE(TRIM(INDEX($A:$U,ROW(),$D$6)),",",""),"원",""),0))))</f>
        <v/>
      </c>
      <c r="AA1711" s="31">
        <f>IF($Y1711="","",TRIM(INDEX($A:$U,ROW(),$E$6)&amp;IF($F$6="",""," "&amp;INDEX($A:$U,ROW(),$F$6))))</f>
        <v/>
      </c>
      <c r="AB1711" s="31">
        <f>IF($AA1711="","",SUBSTITUTE(SUBSTITUTE(SUBSTITUTE(SUBSTITUTE(SUBSTITUTE(SUBSTITUTE(SUBSTITUTE(SUBSTITUTE(SUBSTITUTE($AA1711," ",""),"　",""),"(주)",""),"（주）",""),"㈜",""),"주식회사",""),"(유)",""),"（유）",""),"유한회사",""))</f>
        <v/>
      </c>
      <c r="AC1711" s="31">
        <f>IF(OR($Y1711="",N($Z1711)&lt;=0,$AB1711=""),0,IFERROR(LOOKUP(2,1/((거래처별!$AC$8:$AC$307&lt;&gt;"")*ISNUMBER(SEARCH(거래처별!$AC$8:$AC$307,$AB1711))),거래처별!$A$8:$A$307),IFERROR(LOOKUP(2,1/((거래처별!$AD$8:$AD$307&lt;&gt;"")*ISNUMBER(SEARCH(거래처별!$AD$8:$AD$307,$AB1711))),거래처별!$A$8:$A$307),IFERROR(LOOKUP(2,1/((거래처별!$AE$8:$AE$307&lt;&gt;"")*ISNUMBER(SEARCH(거래처별!$AE$8:$AE$307,$AB1711))),거래처별!$A$8:$A$307),0))))</f>
        <v/>
      </c>
      <c r="AD1711" s="31">
        <f>IF(AND($Y1711&lt;&gt;"",N($Z1711)&gt;0,$AC1711=0),MAX($AD$7:$AD1710)+1,"")</f>
        <v/>
      </c>
      <c r="AE1711" s="31">
        <f>IF($Y1711="",0,$Y1711)</f>
        <v/>
      </c>
    </row>
    <row r="1712">
      <c r="W1712" s="31">
        <f>IF(OR($B$5="",$C$6="",ROW()&lt;$B$5),"",IF(INDEX($A:$U,ROW(),$C$6)="","",INDEX($A:$U,ROW(),$C$6)))</f>
        <v/>
      </c>
      <c r="X1712" s="32">
        <f>IF($W1712="","",IF(ISNUMBER($W1712),IF($W1712&gt;=10000000,IFERROR(DATE(INT($W1712/10000),MOD(INT($W1712/100),100),MOD($W1712,100)),""),INT($W1712)),IFERROR(DATE(--LEFT(LEFT(SUBSTITUTE(SUBSTITUTE(SUBSTITUTE(SUBSTITUTE(TRIM($W1712),"-",""),".",""),"/","")," ",""),8),4),--MID(LEFT(SUBSTITUTE(SUBSTITUTE(SUBSTITUTE(SUBSTITUTE(TRIM($W1712),"-",""),".",""),"/","")," ",""),8),5,2),--MID(LEFT(SUBSTITUTE(SUBSTITUTE(SUBSTITUTE(SUBSTITUTE(TRIM($W1712),"-",""),".",""),"/","")," ",""),8),7,2)),"")))</f>
        <v/>
      </c>
      <c r="Y1712" s="32">
        <f>IF($X1712="","",INT($X1712))</f>
        <v/>
      </c>
      <c r="Z1712" s="33">
        <f>IF(OR($Y1712="",$D$6=""),"",IF(INDEX($A:$U,ROW(),$D$6)="",0,IF(ISNUMBER(INDEX($A:$U,ROW(),$D$6)),INDEX($A:$U,ROW(),$D$6),IFERROR(--SUBSTITUTE(SUBSTITUTE(TRIM(INDEX($A:$U,ROW(),$D$6)),",",""),"원",""),0))))</f>
        <v/>
      </c>
      <c r="AA1712" s="31">
        <f>IF($Y1712="","",TRIM(INDEX($A:$U,ROW(),$E$6)&amp;IF($F$6="",""," "&amp;INDEX($A:$U,ROW(),$F$6))))</f>
        <v/>
      </c>
      <c r="AB1712" s="31">
        <f>IF($AA1712="","",SUBSTITUTE(SUBSTITUTE(SUBSTITUTE(SUBSTITUTE(SUBSTITUTE(SUBSTITUTE(SUBSTITUTE(SUBSTITUTE(SUBSTITUTE($AA1712," ",""),"　",""),"(주)",""),"（주）",""),"㈜",""),"주식회사",""),"(유)",""),"（유）",""),"유한회사",""))</f>
        <v/>
      </c>
      <c r="AC1712" s="31">
        <f>IF(OR($Y1712="",N($Z1712)&lt;=0,$AB1712=""),0,IFERROR(LOOKUP(2,1/((거래처별!$AC$8:$AC$307&lt;&gt;"")*ISNUMBER(SEARCH(거래처별!$AC$8:$AC$307,$AB1712))),거래처별!$A$8:$A$307),IFERROR(LOOKUP(2,1/((거래처별!$AD$8:$AD$307&lt;&gt;"")*ISNUMBER(SEARCH(거래처별!$AD$8:$AD$307,$AB1712))),거래처별!$A$8:$A$307),IFERROR(LOOKUP(2,1/((거래처별!$AE$8:$AE$307&lt;&gt;"")*ISNUMBER(SEARCH(거래처별!$AE$8:$AE$307,$AB1712))),거래처별!$A$8:$A$307),0))))</f>
        <v/>
      </c>
      <c r="AD1712" s="31">
        <f>IF(AND($Y1712&lt;&gt;"",N($Z1712)&gt;0,$AC1712=0),MAX($AD$7:$AD1711)+1,"")</f>
        <v/>
      </c>
      <c r="AE1712" s="31">
        <f>IF($Y1712="",0,$Y1712)</f>
        <v/>
      </c>
    </row>
    <row r="1713">
      <c r="W1713" s="31">
        <f>IF(OR($B$5="",$C$6="",ROW()&lt;$B$5),"",IF(INDEX($A:$U,ROW(),$C$6)="","",INDEX($A:$U,ROW(),$C$6)))</f>
        <v/>
      </c>
      <c r="X1713" s="32">
        <f>IF($W1713="","",IF(ISNUMBER($W1713),IF($W1713&gt;=10000000,IFERROR(DATE(INT($W1713/10000),MOD(INT($W1713/100),100),MOD($W1713,100)),""),INT($W1713)),IFERROR(DATE(--LEFT(LEFT(SUBSTITUTE(SUBSTITUTE(SUBSTITUTE(SUBSTITUTE(TRIM($W1713),"-",""),".",""),"/","")," ",""),8),4),--MID(LEFT(SUBSTITUTE(SUBSTITUTE(SUBSTITUTE(SUBSTITUTE(TRIM($W1713),"-",""),".",""),"/","")," ",""),8),5,2),--MID(LEFT(SUBSTITUTE(SUBSTITUTE(SUBSTITUTE(SUBSTITUTE(TRIM($W1713),"-",""),".",""),"/","")," ",""),8),7,2)),"")))</f>
        <v/>
      </c>
      <c r="Y1713" s="32">
        <f>IF($X1713="","",INT($X1713))</f>
        <v/>
      </c>
      <c r="Z1713" s="33">
        <f>IF(OR($Y1713="",$D$6=""),"",IF(INDEX($A:$U,ROW(),$D$6)="",0,IF(ISNUMBER(INDEX($A:$U,ROW(),$D$6)),INDEX($A:$U,ROW(),$D$6),IFERROR(--SUBSTITUTE(SUBSTITUTE(TRIM(INDEX($A:$U,ROW(),$D$6)),",",""),"원",""),0))))</f>
        <v/>
      </c>
      <c r="AA1713" s="31">
        <f>IF($Y1713="","",TRIM(INDEX($A:$U,ROW(),$E$6)&amp;IF($F$6="",""," "&amp;INDEX($A:$U,ROW(),$F$6))))</f>
        <v/>
      </c>
      <c r="AB1713" s="31">
        <f>IF($AA1713="","",SUBSTITUTE(SUBSTITUTE(SUBSTITUTE(SUBSTITUTE(SUBSTITUTE(SUBSTITUTE(SUBSTITUTE(SUBSTITUTE(SUBSTITUTE($AA1713," ",""),"　",""),"(주)",""),"（주）",""),"㈜",""),"주식회사",""),"(유)",""),"（유）",""),"유한회사",""))</f>
        <v/>
      </c>
      <c r="AC1713" s="31">
        <f>IF(OR($Y1713="",N($Z1713)&lt;=0,$AB1713=""),0,IFERROR(LOOKUP(2,1/((거래처별!$AC$8:$AC$307&lt;&gt;"")*ISNUMBER(SEARCH(거래처별!$AC$8:$AC$307,$AB1713))),거래처별!$A$8:$A$307),IFERROR(LOOKUP(2,1/((거래처별!$AD$8:$AD$307&lt;&gt;"")*ISNUMBER(SEARCH(거래처별!$AD$8:$AD$307,$AB1713))),거래처별!$A$8:$A$307),IFERROR(LOOKUP(2,1/((거래처별!$AE$8:$AE$307&lt;&gt;"")*ISNUMBER(SEARCH(거래처별!$AE$8:$AE$307,$AB1713))),거래처별!$A$8:$A$307),0))))</f>
        <v/>
      </c>
      <c r="AD1713" s="31">
        <f>IF(AND($Y1713&lt;&gt;"",N($Z1713)&gt;0,$AC1713=0),MAX($AD$7:$AD1712)+1,"")</f>
        <v/>
      </c>
      <c r="AE1713" s="31">
        <f>IF($Y1713="",0,$Y1713)</f>
        <v/>
      </c>
    </row>
    <row r="1714">
      <c r="W1714" s="31">
        <f>IF(OR($B$5="",$C$6="",ROW()&lt;$B$5),"",IF(INDEX($A:$U,ROW(),$C$6)="","",INDEX($A:$U,ROW(),$C$6)))</f>
        <v/>
      </c>
      <c r="X1714" s="32">
        <f>IF($W1714="","",IF(ISNUMBER($W1714),IF($W1714&gt;=10000000,IFERROR(DATE(INT($W1714/10000),MOD(INT($W1714/100),100),MOD($W1714,100)),""),INT($W1714)),IFERROR(DATE(--LEFT(LEFT(SUBSTITUTE(SUBSTITUTE(SUBSTITUTE(SUBSTITUTE(TRIM($W1714),"-",""),".",""),"/","")," ",""),8),4),--MID(LEFT(SUBSTITUTE(SUBSTITUTE(SUBSTITUTE(SUBSTITUTE(TRIM($W1714),"-",""),".",""),"/","")," ",""),8),5,2),--MID(LEFT(SUBSTITUTE(SUBSTITUTE(SUBSTITUTE(SUBSTITUTE(TRIM($W1714),"-",""),".",""),"/","")," ",""),8),7,2)),"")))</f>
        <v/>
      </c>
      <c r="Y1714" s="32">
        <f>IF($X1714="","",INT($X1714))</f>
        <v/>
      </c>
      <c r="Z1714" s="33">
        <f>IF(OR($Y1714="",$D$6=""),"",IF(INDEX($A:$U,ROW(),$D$6)="",0,IF(ISNUMBER(INDEX($A:$U,ROW(),$D$6)),INDEX($A:$U,ROW(),$D$6),IFERROR(--SUBSTITUTE(SUBSTITUTE(TRIM(INDEX($A:$U,ROW(),$D$6)),",",""),"원",""),0))))</f>
        <v/>
      </c>
      <c r="AA1714" s="31">
        <f>IF($Y1714="","",TRIM(INDEX($A:$U,ROW(),$E$6)&amp;IF($F$6="",""," "&amp;INDEX($A:$U,ROW(),$F$6))))</f>
        <v/>
      </c>
      <c r="AB1714" s="31">
        <f>IF($AA1714="","",SUBSTITUTE(SUBSTITUTE(SUBSTITUTE(SUBSTITUTE(SUBSTITUTE(SUBSTITUTE(SUBSTITUTE(SUBSTITUTE(SUBSTITUTE($AA1714," ",""),"　",""),"(주)",""),"（주）",""),"㈜",""),"주식회사",""),"(유)",""),"（유）",""),"유한회사",""))</f>
        <v/>
      </c>
      <c r="AC1714" s="31">
        <f>IF(OR($Y1714="",N($Z1714)&lt;=0,$AB1714=""),0,IFERROR(LOOKUP(2,1/((거래처별!$AC$8:$AC$307&lt;&gt;"")*ISNUMBER(SEARCH(거래처별!$AC$8:$AC$307,$AB1714))),거래처별!$A$8:$A$307),IFERROR(LOOKUP(2,1/((거래처별!$AD$8:$AD$307&lt;&gt;"")*ISNUMBER(SEARCH(거래처별!$AD$8:$AD$307,$AB1714))),거래처별!$A$8:$A$307),IFERROR(LOOKUP(2,1/((거래처별!$AE$8:$AE$307&lt;&gt;"")*ISNUMBER(SEARCH(거래처별!$AE$8:$AE$307,$AB1714))),거래처별!$A$8:$A$307),0))))</f>
        <v/>
      </c>
      <c r="AD1714" s="31">
        <f>IF(AND($Y1714&lt;&gt;"",N($Z1714)&gt;0,$AC1714=0),MAX($AD$7:$AD1713)+1,"")</f>
        <v/>
      </c>
      <c r="AE1714" s="31">
        <f>IF($Y1714="",0,$Y1714)</f>
        <v/>
      </c>
    </row>
    <row r="1715">
      <c r="W1715" s="31">
        <f>IF(OR($B$5="",$C$6="",ROW()&lt;$B$5),"",IF(INDEX($A:$U,ROW(),$C$6)="","",INDEX($A:$U,ROW(),$C$6)))</f>
        <v/>
      </c>
      <c r="X1715" s="32">
        <f>IF($W1715="","",IF(ISNUMBER($W1715),IF($W1715&gt;=10000000,IFERROR(DATE(INT($W1715/10000),MOD(INT($W1715/100),100),MOD($W1715,100)),""),INT($W1715)),IFERROR(DATE(--LEFT(LEFT(SUBSTITUTE(SUBSTITUTE(SUBSTITUTE(SUBSTITUTE(TRIM($W1715),"-",""),".",""),"/","")," ",""),8),4),--MID(LEFT(SUBSTITUTE(SUBSTITUTE(SUBSTITUTE(SUBSTITUTE(TRIM($W1715),"-",""),".",""),"/","")," ",""),8),5,2),--MID(LEFT(SUBSTITUTE(SUBSTITUTE(SUBSTITUTE(SUBSTITUTE(TRIM($W1715),"-",""),".",""),"/","")," ",""),8),7,2)),"")))</f>
        <v/>
      </c>
      <c r="Y1715" s="32">
        <f>IF($X1715="","",INT($X1715))</f>
        <v/>
      </c>
      <c r="Z1715" s="33">
        <f>IF(OR($Y1715="",$D$6=""),"",IF(INDEX($A:$U,ROW(),$D$6)="",0,IF(ISNUMBER(INDEX($A:$U,ROW(),$D$6)),INDEX($A:$U,ROW(),$D$6),IFERROR(--SUBSTITUTE(SUBSTITUTE(TRIM(INDEX($A:$U,ROW(),$D$6)),",",""),"원",""),0))))</f>
        <v/>
      </c>
      <c r="AA1715" s="31">
        <f>IF($Y1715="","",TRIM(INDEX($A:$U,ROW(),$E$6)&amp;IF($F$6="",""," "&amp;INDEX($A:$U,ROW(),$F$6))))</f>
        <v/>
      </c>
      <c r="AB1715" s="31">
        <f>IF($AA1715="","",SUBSTITUTE(SUBSTITUTE(SUBSTITUTE(SUBSTITUTE(SUBSTITUTE(SUBSTITUTE(SUBSTITUTE(SUBSTITUTE(SUBSTITUTE($AA1715," ",""),"　",""),"(주)",""),"（주）",""),"㈜",""),"주식회사",""),"(유)",""),"（유）",""),"유한회사",""))</f>
        <v/>
      </c>
      <c r="AC1715" s="31">
        <f>IF(OR($Y1715="",N($Z1715)&lt;=0,$AB1715=""),0,IFERROR(LOOKUP(2,1/((거래처별!$AC$8:$AC$307&lt;&gt;"")*ISNUMBER(SEARCH(거래처별!$AC$8:$AC$307,$AB1715))),거래처별!$A$8:$A$307),IFERROR(LOOKUP(2,1/((거래처별!$AD$8:$AD$307&lt;&gt;"")*ISNUMBER(SEARCH(거래처별!$AD$8:$AD$307,$AB1715))),거래처별!$A$8:$A$307),IFERROR(LOOKUP(2,1/((거래처별!$AE$8:$AE$307&lt;&gt;"")*ISNUMBER(SEARCH(거래처별!$AE$8:$AE$307,$AB1715))),거래처별!$A$8:$A$307),0))))</f>
        <v/>
      </c>
      <c r="AD1715" s="31">
        <f>IF(AND($Y1715&lt;&gt;"",N($Z1715)&gt;0,$AC1715=0),MAX($AD$7:$AD1714)+1,"")</f>
        <v/>
      </c>
      <c r="AE1715" s="31">
        <f>IF($Y1715="",0,$Y1715)</f>
        <v/>
      </c>
    </row>
    <row r="1716">
      <c r="W1716" s="31">
        <f>IF(OR($B$5="",$C$6="",ROW()&lt;$B$5),"",IF(INDEX($A:$U,ROW(),$C$6)="","",INDEX($A:$U,ROW(),$C$6)))</f>
        <v/>
      </c>
      <c r="X1716" s="32">
        <f>IF($W1716="","",IF(ISNUMBER($W1716),IF($W1716&gt;=10000000,IFERROR(DATE(INT($W1716/10000),MOD(INT($W1716/100),100),MOD($W1716,100)),""),INT($W1716)),IFERROR(DATE(--LEFT(LEFT(SUBSTITUTE(SUBSTITUTE(SUBSTITUTE(SUBSTITUTE(TRIM($W1716),"-",""),".",""),"/","")," ",""),8),4),--MID(LEFT(SUBSTITUTE(SUBSTITUTE(SUBSTITUTE(SUBSTITUTE(TRIM($W1716),"-",""),".",""),"/","")," ",""),8),5,2),--MID(LEFT(SUBSTITUTE(SUBSTITUTE(SUBSTITUTE(SUBSTITUTE(TRIM($W1716),"-",""),".",""),"/","")," ",""),8),7,2)),"")))</f>
        <v/>
      </c>
      <c r="Y1716" s="32">
        <f>IF($X1716="","",INT($X1716))</f>
        <v/>
      </c>
      <c r="Z1716" s="33">
        <f>IF(OR($Y1716="",$D$6=""),"",IF(INDEX($A:$U,ROW(),$D$6)="",0,IF(ISNUMBER(INDEX($A:$U,ROW(),$D$6)),INDEX($A:$U,ROW(),$D$6),IFERROR(--SUBSTITUTE(SUBSTITUTE(TRIM(INDEX($A:$U,ROW(),$D$6)),",",""),"원",""),0))))</f>
        <v/>
      </c>
      <c r="AA1716" s="31">
        <f>IF($Y1716="","",TRIM(INDEX($A:$U,ROW(),$E$6)&amp;IF($F$6="",""," "&amp;INDEX($A:$U,ROW(),$F$6))))</f>
        <v/>
      </c>
      <c r="AB1716" s="31">
        <f>IF($AA1716="","",SUBSTITUTE(SUBSTITUTE(SUBSTITUTE(SUBSTITUTE(SUBSTITUTE(SUBSTITUTE(SUBSTITUTE(SUBSTITUTE(SUBSTITUTE($AA1716," ",""),"　",""),"(주)",""),"（주）",""),"㈜",""),"주식회사",""),"(유)",""),"（유）",""),"유한회사",""))</f>
        <v/>
      </c>
      <c r="AC1716" s="31">
        <f>IF(OR($Y1716="",N($Z1716)&lt;=0,$AB1716=""),0,IFERROR(LOOKUP(2,1/((거래처별!$AC$8:$AC$307&lt;&gt;"")*ISNUMBER(SEARCH(거래처별!$AC$8:$AC$307,$AB1716))),거래처별!$A$8:$A$307),IFERROR(LOOKUP(2,1/((거래처별!$AD$8:$AD$307&lt;&gt;"")*ISNUMBER(SEARCH(거래처별!$AD$8:$AD$307,$AB1716))),거래처별!$A$8:$A$307),IFERROR(LOOKUP(2,1/((거래처별!$AE$8:$AE$307&lt;&gt;"")*ISNUMBER(SEARCH(거래처별!$AE$8:$AE$307,$AB1716))),거래처별!$A$8:$A$307),0))))</f>
        <v/>
      </c>
      <c r="AD1716" s="31">
        <f>IF(AND($Y1716&lt;&gt;"",N($Z1716)&gt;0,$AC1716=0),MAX($AD$7:$AD1715)+1,"")</f>
        <v/>
      </c>
      <c r="AE1716" s="31">
        <f>IF($Y1716="",0,$Y1716)</f>
        <v/>
      </c>
    </row>
    <row r="1717">
      <c r="W1717" s="31">
        <f>IF(OR($B$5="",$C$6="",ROW()&lt;$B$5),"",IF(INDEX($A:$U,ROW(),$C$6)="","",INDEX($A:$U,ROW(),$C$6)))</f>
        <v/>
      </c>
      <c r="X1717" s="32">
        <f>IF($W1717="","",IF(ISNUMBER($W1717),IF($W1717&gt;=10000000,IFERROR(DATE(INT($W1717/10000),MOD(INT($W1717/100),100),MOD($W1717,100)),""),INT($W1717)),IFERROR(DATE(--LEFT(LEFT(SUBSTITUTE(SUBSTITUTE(SUBSTITUTE(SUBSTITUTE(TRIM($W1717),"-",""),".",""),"/","")," ",""),8),4),--MID(LEFT(SUBSTITUTE(SUBSTITUTE(SUBSTITUTE(SUBSTITUTE(TRIM($W1717),"-",""),".",""),"/","")," ",""),8),5,2),--MID(LEFT(SUBSTITUTE(SUBSTITUTE(SUBSTITUTE(SUBSTITUTE(TRIM($W1717),"-",""),".",""),"/","")," ",""),8),7,2)),"")))</f>
        <v/>
      </c>
      <c r="Y1717" s="32">
        <f>IF($X1717="","",INT($X1717))</f>
        <v/>
      </c>
      <c r="Z1717" s="33">
        <f>IF(OR($Y1717="",$D$6=""),"",IF(INDEX($A:$U,ROW(),$D$6)="",0,IF(ISNUMBER(INDEX($A:$U,ROW(),$D$6)),INDEX($A:$U,ROW(),$D$6),IFERROR(--SUBSTITUTE(SUBSTITUTE(TRIM(INDEX($A:$U,ROW(),$D$6)),",",""),"원",""),0))))</f>
        <v/>
      </c>
      <c r="AA1717" s="31">
        <f>IF($Y1717="","",TRIM(INDEX($A:$U,ROW(),$E$6)&amp;IF($F$6="",""," "&amp;INDEX($A:$U,ROW(),$F$6))))</f>
        <v/>
      </c>
      <c r="AB1717" s="31">
        <f>IF($AA1717="","",SUBSTITUTE(SUBSTITUTE(SUBSTITUTE(SUBSTITUTE(SUBSTITUTE(SUBSTITUTE(SUBSTITUTE(SUBSTITUTE(SUBSTITUTE($AA1717," ",""),"　",""),"(주)",""),"（주）",""),"㈜",""),"주식회사",""),"(유)",""),"（유）",""),"유한회사",""))</f>
        <v/>
      </c>
      <c r="AC1717" s="31">
        <f>IF(OR($Y1717="",N($Z1717)&lt;=0,$AB1717=""),0,IFERROR(LOOKUP(2,1/((거래처별!$AC$8:$AC$307&lt;&gt;"")*ISNUMBER(SEARCH(거래처별!$AC$8:$AC$307,$AB1717))),거래처별!$A$8:$A$307),IFERROR(LOOKUP(2,1/((거래처별!$AD$8:$AD$307&lt;&gt;"")*ISNUMBER(SEARCH(거래처별!$AD$8:$AD$307,$AB1717))),거래처별!$A$8:$A$307),IFERROR(LOOKUP(2,1/((거래처별!$AE$8:$AE$307&lt;&gt;"")*ISNUMBER(SEARCH(거래처별!$AE$8:$AE$307,$AB1717))),거래처별!$A$8:$A$307),0))))</f>
        <v/>
      </c>
      <c r="AD1717" s="31">
        <f>IF(AND($Y1717&lt;&gt;"",N($Z1717)&gt;0,$AC1717=0),MAX($AD$7:$AD1716)+1,"")</f>
        <v/>
      </c>
      <c r="AE1717" s="31">
        <f>IF($Y1717="",0,$Y1717)</f>
        <v/>
      </c>
    </row>
    <row r="1718">
      <c r="W1718" s="31">
        <f>IF(OR($B$5="",$C$6="",ROW()&lt;$B$5),"",IF(INDEX($A:$U,ROW(),$C$6)="","",INDEX($A:$U,ROW(),$C$6)))</f>
        <v/>
      </c>
      <c r="X1718" s="32">
        <f>IF($W1718="","",IF(ISNUMBER($W1718),IF($W1718&gt;=10000000,IFERROR(DATE(INT($W1718/10000),MOD(INT($W1718/100),100),MOD($W1718,100)),""),INT($W1718)),IFERROR(DATE(--LEFT(LEFT(SUBSTITUTE(SUBSTITUTE(SUBSTITUTE(SUBSTITUTE(TRIM($W1718),"-",""),".",""),"/","")," ",""),8),4),--MID(LEFT(SUBSTITUTE(SUBSTITUTE(SUBSTITUTE(SUBSTITUTE(TRIM($W1718),"-",""),".",""),"/","")," ",""),8),5,2),--MID(LEFT(SUBSTITUTE(SUBSTITUTE(SUBSTITUTE(SUBSTITUTE(TRIM($W1718),"-",""),".",""),"/","")," ",""),8),7,2)),"")))</f>
        <v/>
      </c>
      <c r="Y1718" s="32">
        <f>IF($X1718="","",INT($X1718))</f>
        <v/>
      </c>
      <c r="Z1718" s="33">
        <f>IF(OR($Y1718="",$D$6=""),"",IF(INDEX($A:$U,ROW(),$D$6)="",0,IF(ISNUMBER(INDEX($A:$U,ROW(),$D$6)),INDEX($A:$U,ROW(),$D$6),IFERROR(--SUBSTITUTE(SUBSTITUTE(TRIM(INDEX($A:$U,ROW(),$D$6)),",",""),"원",""),0))))</f>
        <v/>
      </c>
      <c r="AA1718" s="31">
        <f>IF($Y1718="","",TRIM(INDEX($A:$U,ROW(),$E$6)&amp;IF($F$6="",""," "&amp;INDEX($A:$U,ROW(),$F$6))))</f>
        <v/>
      </c>
      <c r="AB1718" s="31">
        <f>IF($AA1718="","",SUBSTITUTE(SUBSTITUTE(SUBSTITUTE(SUBSTITUTE(SUBSTITUTE(SUBSTITUTE(SUBSTITUTE(SUBSTITUTE(SUBSTITUTE($AA1718," ",""),"　",""),"(주)",""),"（주）",""),"㈜",""),"주식회사",""),"(유)",""),"（유）",""),"유한회사",""))</f>
        <v/>
      </c>
      <c r="AC1718" s="31">
        <f>IF(OR($Y1718="",N($Z1718)&lt;=0,$AB1718=""),0,IFERROR(LOOKUP(2,1/((거래처별!$AC$8:$AC$307&lt;&gt;"")*ISNUMBER(SEARCH(거래처별!$AC$8:$AC$307,$AB1718))),거래처별!$A$8:$A$307),IFERROR(LOOKUP(2,1/((거래처별!$AD$8:$AD$307&lt;&gt;"")*ISNUMBER(SEARCH(거래처별!$AD$8:$AD$307,$AB1718))),거래처별!$A$8:$A$307),IFERROR(LOOKUP(2,1/((거래처별!$AE$8:$AE$307&lt;&gt;"")*ISNUMBER(SEARCH(거래처별!$AE$8:$AE$307,$AB1718))),거래처별!$A$8:$A$307),0))))</f>
        <v/>
      </c>
      <c r="AD1718" s="31">
        <f>IF(AND($Y1718&lt;&gt;"",N($Z1718)&gt;0,$AC1718=0),MAX($AD$7:$AD1717)+1,"")</f>
        <v/>
      </c>
      <c r="AE1718" s="31">
        <f>IF($Y1718="",0,$Y1718)</f>
        <v/>
      </c>
    </row>
    <row r="1719">
      <c r="W1719" s="31">
        <f>IF(OR($B$5="",$C$6="",ROW()&lt;$B$5),"",IF(INDEX($A:$U,ROW(),$C$6)="","",INDEX($A:$U,ROW(),$C$6)))</f>
        <v/>
      </c>
      <c r="X1719" s="32">
        <f>IF($W1719="","",IF(ISNUMBER($W1719),IF($W1719&gt;=10000000,IFERROR(DATE(INT($W1719/10000),MOD(INT($W1719/100),100),MOD($W1719,100)),""),INT($W1719)),IFERROR(DATE(--LEFT(LEFT(SUBSTITUTE(SUBSTITUTE(SUBSTITUTE(SUBSTITUTE(TRIM($W1719),"-",""),".",""),"/","")," ",""),8),4),--MID(LEFT(SUBSTITUTE(SUBSTITUTE(SUBSTITUTE(SUBSTITUTE(TRIM($W1719),"-",""),".",""),"/","")," ",""),8),5,2),--MID(LEFT(SUBSTITUTE(SUBSTITUTE(SUBSTITUTE(SUBSTITUTE(TRIM($W1719),"-",""),".",""),"/","")," ",""),8),7,2)),"")))</f>
        <v/>
      </c>
      <c r="Y1719" s="32">
        <f>IF($X1719="","",INT($X1719))</f>
        <v/>
      </c>
      <c r="Z1719" s="33">
        <f>IF(OR($Y1719="",$D$6=""),"",IF(INDEX($A:$U,ROW(),$D$6)="",0,IF(ISNUMBER(INDEX($A:$U,ROW(),$D$6)),INDEX($A:$U,ROW(),$D$6),IFERROR(--SUBSTITUTE(SUBSTITUTE(TRIM(INDEX($A:$U,ROW(),$D$6)),",",""),"원",""),0))))</f>
        <v/>
      </c>
      <c r="AA1719" s="31">
        <f>IF($Y1719="","",TRIM(INDEX($A:$U,ROW(),$E$6)&amp;IF($F$6="",""," "&amp;INDEX($A:$U,ROW(),$F$6))))</f>
        <v/>
      </c>
      <c r="AB1719" s="31">
        <f>IF($AA1719="","",SUBSTITUTE(SUBSTITUTE(SUBSTITUTE(SUBSTITUTE(SUBSTITUTE(SUBSTITUTE(SUBSTITUTE(SUBSTITUTE(SUBSTITUTE($AA1719," ",""),"　",""),"(주)",""),"（주）",""),"㈜",""),"주식회사",""),"(유)",""),"（유）",""),"유한회사",""))</f>
        <v/>
      </c>
      <c r="AC1719" s="31">
        <f>IF(OR($Y1719="",N($Z1719)&lt;=0,$AB1719=""),0,IFERROR(LOOKUP(2,1/((거래처별!$AC$8:$AC$307&lt;&gt;"")*ISNUMBER(SEARCH(거래처별!$AC$8:$AC$307,$AB1719))),거래처별!$A$8:$A$307),IFERROR(LOOKUP(2,1/((거래처별!$AD$8:$AD$307&lt;&gt;"")*ISNUMBER(SEARCH(거래처별!$AD$8:$AD$307,$AB1719))),거래처별!$A$8:$A$307),IFERROR(LOOKUP(2,1/((거래처별!$AE$8:$AE$307&lt;&gt;"")*ISNUMBER(SEARCH(거래처별!$AE$8:$AE$307,$AB1719))),거래처별!$A$8:$A$307),0))))</f>
        <v/>
      </c>
      <c r="AD1719" s="31">
        <f>IF(AND($Y1719&lt;&gt;"",N($Z1719)&gt;0,$AC1719=0),MAX($AD$7:$AD1718)+1,"")</f>
        <v/>
      </c>
      <c r="AE1719" s="31">
        <f>IF($Y1719="",0,$Y1719)</f>
        <v/>
      </c>
    </row>
    <row r="1720">
      <c r="W1720" s="31">
        <f>IF(OR($B$5="",$C$6="",ROW()&lt;$B$5),"",IF(INDEX($A:$U,ROW(),$C$6)="","",INDEX($A:$U,ROW(),$C$6)))</f>
        <v/>
      </c>
      <c r="X1720" s="32">
        <f>IF($W1720="","",IF(ISNUMBER($W1720),IF($W1720&gt;=10000000,IFERROR(DATE(INT($W1720/10000),MOD(INT($W1720/100),100),MOD($W1720,100)),""),INT($W1720)),IFERROR(DATE(--LEFT(LEFT(SUBSTITUTE(SUBSTITUTE(SUBSTITUTE(SUBSTITUTE(TRIM($W1720),"-",""),".",""),"/","")," ",""),8),4),--MID(LEFT(SUBSTITUTE(SUBSTITUTE(SUBSTITUTE(SUBSTITUTE(TRIM($W1720),"-",""),".",""),"/","")," ",""),8),5,2),--MID(LEFT(SUBSTITUTE(SUBSTITUTE(SUBSTITUTE(SUBSTITUTE(TRIM($W1720),"-",""),".",""),"/","")," ",""),8),7,2)),"")))</f>
        <v/>
      </c>
      <c r="Y1720" s="32">
        <f>IF($X1720="","",INT($X1720))</f>
        <v/>
      </c>
      <c r="Z1720" s="33">
        <f>IF(OR($Y1720="",$D$6=""),"",IF(INDEX($A:$U,ROW(),$D$6)="",0,IF(ISNUMBER(INDEX($A:$U,ROW(),$D$6)),INDEX($A:$U,ROW(),$D$6),IFERROR(--SUBSTITUTE(SUBSTITUTE(TRIM(INDEX($A:$U,ROW(),$D$6)),",",""),"원",""),0))))</f>
        <v/>
      </c>
      <c r="AA1720" s="31">
        <f>IF($Y1720="","",TRIM(INDEX($A:$U,ROW(),$E$6)&amp;IF($F$6="",""," "&amp;INDEX($A:$U,ROW(),$F$6))))</f>
        <v/>
      </c>
      <c r="AB1720" s="31">
        <f>IF($AA1720="","",SUBSTITUTE(SUBSTITUTE(SUBSTITUTE(SUBSTITUTE(SUBSTITUTE(SUBSTITUTE(SUBSTITUTE(SUBSTITUTE(SUBSTITUTE($AA1720," ",""),"　",""),"(주)",""),"（주）",""),"㈜",""),"주식회사",""),"(유)",""),"（유）",""),"유한회사",""))</f>
        <v/>
      </c>
      <c r="AC1720" s="31">
        <f>IF(OR($Y1720="",N($Z1720)&lt;=0,$AB1720=""),0,IFERROR(LOOKUP(2,1/((거래처별!$AC$8:$AC$307&lt;&gt;"")*ISNUMBER(SEARCH(거래처별!$AC$8:$AC$307,$AB1720))),거래처별!$A$8:$A$307),IFERROR(LOOKUP(2,1/((거래처별!$AD$8:$AD$307&lt;&gt;"")*ISNUMBER(SEARCH(거래처별!$AD$8:$AD$307,$AB1720))),거래처별!$A$8:$A$307),IFERROR(LOOKUP(2,1/((거래처별!$AE$8:$AE$307&lt;&gt;"")*ISNUMBER(SEARCH(거래처별!$AE$8:$AE$307,$AB1720))),거래처별!$A$8:$A$307),0))))</f>
        <v/>
      </c>
      <c r="AD1720" s="31">
        <f>IF(AND($Y1720&lt;&gt;"",N($Z1720)&gt;0,$AC1720=0),MAX($AD$7:$AD1719)+1,"")</f>
        <v/>
      </c>
      <c r="AE1720" s="31">
        <f>IF($Y1720="",0,$Y1720)</f>
        <v/>
      </c>
    </row>
    <row r="1721">
      <c r="W1721" s="31">
        <f>IF(OR($B$5="",$C$6="",ROW()&lt;$B$5),"",IF(INDEX($A:$U,ROW(),$C$6)="","",INDEX($A:$U,ROW(),$C$6)))</f>
        <v/>
      </c>
      <c r="X1721" s="32">
        <f>IF($W1721="","",IF(ISNUMBER($W1721),IF($W1721&gt;=10000000,IFERROR(DATE(INT($W1721/10000),MOD(INT($W1721/100),100),MOD($W1721,100)),""),INT($W1721)),IFERROR(DATE(--LEFT(LEFT(SUBSTITUTE(SUBSTITUTE(SUBSTITUTE(SUBSTITUTE(TRIM($W1721),"-",""),".",""),"/","")," ",""),8),4),--MID(LEFT(SUBSTITUTE(SUBSTITUTE(SUBSTITUTE(SUBSTITUTE(TRIM($W1721),"-",""),".",""),"/","")," ",""),8),5,2),--MID(LEFT(SUBSTITUTE(SUBSTITUTE(SUBSTITUTE(SUBSTITUTE(TRIM($W1721),"-",""),".",""),"/","")," ",""),8),7,2)),"")))</f>
        <v/>
      </c>
      <c r="Y1721" s="32">
        <f>IF($X1721="","",INT($X1721))</f>
        <v/>
      </c>
      <c r="Z1721" s="33">
        <f>IF(OR($Y1721="",$D$6=""),"",IF(INDEX($A:$U,ROW(),$D$6)="",0,IF(ISNUMBER(INDEX($A:$U,ROW(),$D$6)),INDEX($A:$U,ROW(),$D$6),IFERROR(--SUBSTITUTE(SUBSTITUTE(TRIM(INDEX($A:$U,ROW(),$D$6)),",",""),"원",""),0))))</f>
        <v/>
      </c>
      <c r="AA1721" s="31">
        <f>IF($Y1721="","",TRIM(INDEX($A:$U,ROW(),$E$6)&amp;IF($F$6="",""," "&amp;INDEX($A:$U,ROW(),$F$6))))</f>
        <v/>
      </c>
      <c r="AB1721" s="31">
        <f>IF($AA1721="","",SUBSTITUTE(SUBSTITUTE(SUBSTITUTE(SUBSTITUTE(SUBSTITUTE(SUBSTITUTE(SUBSTITUTE(SUBSTITUTE(SUBSTITUTE($AA1721," ",""),"　",""),"(주)",""),"（주）",""),"㈜",""),"주식회사",""),"(유)",""),"（유）",""),"유한회사",""))</f>
        <v/>
      </c>
      <c r="AC1721" s="31">
        <f>IF(OR($Y1721="",N($Z1721)&lt;=0,$AB1721=""),0,IFERROR(LOOKUP(2,1/((거래처별!$AC$8:$AC$307&lt;&gt;"")*ISNUMBER(SEARCH(거래처별!$AC$8:$AC$307,$AB1721))),거래처별!$A$8:$A$307),IFERROR(LOOKUP(2,1/((거래처별!$AD$8:$AD$307&lt;&gt;"")*ISNUMBER(SEARCH(거래처별!$AD$8:$AD$307,$AB1721))),거래처별!$A$8:$A$307),IFERROR(LOOKUP(2,1/((거래처별!$AE$8:$AE$307&lt;&gt;"")*ISNUMBER(SEARCH(거래처별!$AE$8:$AE$307,$AB1721))),거래처별!$A$8:$A$307),0))))</f>
        <v/>
      </c>
      <c r="AD1721" s="31">
        <f>IF(AND($Y1721&lt;&gt;"",N($Z1721)&gt;0,$AC1721=0),MAX($AD$7:$AD1720)+1,"")</f>
        <v/>
      </c>
      <c r="AE1721" s="31">
        <f>IF($Y1721="",0,$Y1721)</f>
        <v/>
      </c>
    </row>
    <row r="1722">
      <c r="W1722" s="31">
        <f>IF(OR($B$5="",$C$6="",ROW()&lt;$B$5),"",IF(INDEX($A:$U,ROW(),$C$6)="","",INDEX($A:$U,ROW(),$C$6)))</f>
        <v/>
      </c>
      <c r="X1722" s="32">
        <f>IF($W1722="","",IF(ISNUMBER($W1722),IF($W1722&gt;=10000000,IFERROR(DATE(INT($W1722/10000),MOD(INT($W1722/100),100),MOD($W1722,100)),""),INT($W1722)),IFERROR(DATE(--LEFT(LEFT(SUBSTITUTE(SUBSTITUTE(SUBSTITUTE(SUBSTITUTE(TRIM($W1722),"-",""),".",""),"/","")," ",""),8),4),--MID(LEFT(SUBSTITUTE(SUBSTITUTE(SUBSTITUTE(SUBSTITUTE(TRIM($W1722),"-",""),".",""),"/","")," ",""),8),5,2),--MID(LEFT(SUBSTITUTE(SUBSTITUTE(SUBSTITUTE(SUBSTITUTE(TRIM($W1722),"-",""),".",""),"/","")," ",""),8),7,2)),"")))</f>
        <v/>
      </c>
      <c r="Y1722" s="32">
        <f>IF($X1722="","",INT($X1722))</f>
        <v/>
      </c>
      <c r="Z1722" s="33">
        <f>IF(OR($Y1722="",$D$6=""),"",IF(INDEX($A:$U,ROW(),$D$6)="",0,IF(ISNUMBER(INDEX($A:$U,ROW(),$D$6)),INDEX($A:$U,ROW(),$D$6),IFERROR(--SUBSTITUTE(SUBSTITUTE(TRIM(INDEX($A:$U,ROW(),$D$6)),",",""),"원",""),0))))</f>
        <v/>
      </c>
      <c r="AA1722" s="31">
        <f>IF($Y1722="","",TRIM(INDEX($A:$U,ROW(),$E$6)&amp;IF($F$6="",""," "&amp;INDEX($A:$U,ROW(),$F$6))))</f>
        <v/>
      </c>
      <c r="AB1722" s="31">
        <f>IF($AA1722="","",SUBSTITUTE(SUBSTITUTE(SUBSTITUTE(SUBSTITUTE(SUBSTITUTE(SUBSTITUTE(SUBSTITUTE(SUBSTITUTE(SUBSTITUTE($AA1722," ",""),"　",""),"(주)",""),"（주）",""),"㈜",""),"주식회사",""),"(유)",""),"（유）",""),"유한회사",""))</f>
        <v/>
      </c>
      <c r="AC1722" s="31">
        <f>IF(OR($Y1722="",N($Z1722)&lt;=0,$AB1722=""),0,IFERROR(LOOKUP(2,1/((거래처별!$AC$8:$AC$307&lt;&gt;"")*ISNUMBER(SEARCH(거래처별!$AC$8:$AC$307,$AB1722))),거래처별!$A$8:$A$307),IFERROR(LOOKUP(2,1/((거래처별!$AD$8:$AD$307&lt;&gt;"")*ISNUMBER(SEARCH(거래처별!$AD$8:$AD$307,$AB1722))),거래처별!$A$8:$A$307),IFERROR(LOOKUP(2,1/((거래처별!$AE$8:$AE$307&lt;&gt;"")*ISNUMBER(SEARCH(거래처별!$AE$8:$AE$307,$AB1722))),거래처별!$A$8:$A$307),0))))</f>
        <v/>
      </c>
      <c r="AD1722" s="31">
        <f>IF(AND($Y1722&lt;&gt;"",N($Z1722)&gt;0,$AC1722=0),MAX($AD$7:$AD1721)+1,"")</f>
        <v/>
      </c>
      <c r="AE1722" s="31">
        <f>IF($Y1722="",0,$Y1722)</f>
        <v/>
      </c>
    </row>
    <row r="1723">
      <c r="W1723" s="31">
        <f>IF(OR($B$5="",$C$6="",ROW()&lt;$B$5),"",IF(INDEX($A:$U,ROW(),$C$6)="","",INDEX($A:$U,ROW(),$C$6)))</f>
        <v/>
      </c>
      <c r="X1723" s="32">
        <f>IF($W1723="","",IF(ISNUMBER($W1723),IF($W1723&gt;=10000000,IFERROR(DATE(INT($W1723/10000),MOD(INT($W1723/100),100),MOD($W1723,100)),""),INT($W1723)),IFERROR(DATE(--LEFT(LEFT(SUBSTITUTE(SUBSTITUTE(SUBSTITUTE(SUBSTITUTE(TRIM($W1723),"-",""),".",""),"/","")," ",""),8),4),--MID(LEFT(SUBSTITUTE(SUBSTITUTE(SUBSTITUTE(SUBSTITUTE(TRIM($W1723),"-",""),".",""),"/","")," ",""),8),5,2),--MID(LEFT(SUBSTITUTE(SUBSTITUTE(SUBSTITUTE(SUBSTITUTE(TRIM($W1723),"-",""),".",""),"/","")," ",""),8),7,2)),"")))</f>
        <v/>
      </c>
      <c r="Y1723" s="32">
        <f>IF($X1723="","",INT($X1723))</f>
        <v/>
      </c>
      <c r="Z1723" s="33">
        <f>IF(OR($Y1723="",$D$6=""),"",IF(INDEX($A:$U,ROW(),$D$6)="",0,IF(ISNUMBER(INDEX($A:$U,ROW(),$D$6)),INDEX($A:$U,ROW(),$D$6),IFERROR(--SUBSTITUTE(SUBSTITUTE(TRIM(INDEX($A:$U,ROW(),$D$6)),",",""),"원",""),0))))</f>
        <v/>
      </c>
      <c r="AA1723" s="31">
        <f>IF($Y1723="","",TRIM(INDEX($A:$U,ROW(),$E$6)&amp;IF($F$6="",""," "&amp;INDEX($A:$U,ROW(),$F$6))))</f>
        <v/>
      </c>
      <c r="AB1723" s="31">
        <f>IF($AA1723="","",SUBSTITUTE(SUBSTITUTE(SUBSTITUTE(SUBSTITUTE(SUBSTITUTE(SUBSTITUTE(SUBSTITUTE(SUBSTITUTE(SUBSTITUTE($AA1723," ",""),"　",""),"(주)",""),"（주）",""),"㈜",""),"주식회사",""),"(유)",""),"（유）",""),"유한회사",""))</f>
        <v/>
      </c>
      <c r="AC1723" s="31">
        <f>IF(OR($Y1723="",N($Z1723)&lt;=0,$AB1723=""),0,IFERROR(LOOKUP(2,1/((거래처별!$AC$8:$AC$307&lt;&gt;"")*ISNUMBER(SEARCH(거래처별!$AC$8:$AC$307,$AB1723))),거래처별!$A$8:$A$307),IFERROR(LOOKUP(2,1/((거래처별!$AD$8:$AD$307&lt;&gt;"")*ISNUMBER(SEARCH(거래처별!$AD$8:$AD$307,$AB1723))),거래처별!$A$8:$A$307),IFERROR(LOOKUP(2,1/((거래처별!$AE$8:$AE$307&lt;&gt;"")*ISNUMBER(SEARCH(거래처별!$AE$8:$AE$307,$AB1723))),거래처별!$A$8:$A$307),0))))</f>
        <v/>
      </c>
      <c r="AD1723" s="31">
        <f>IF(AND($Y1723&lt;&gt;"",N($Z1723)&gt;0,$AC1723=0),MAX($AD$7:$AD1722)+1,"")</f>
        <v/>
      </c>
      <c r="AE1723" s="31">
        <f>IF($Y1723="",0,$Y1723)</f>
        <v/>
      </c>
    </row>
    <row r="1724">
      <c r="W1724" s="31">
        <f>IF(OR($B$5="",$C$6="",ROW()&lt;$B$5),"",IF(INDEX($A:$U,ROW(),$C$6)="","",INDEX($A:$U,ROW(),$C$6)))</f>
        <v/>
      </c>
      <c r="X1724" s="32">
        <f>IF($W1724="","",IF(ISNUMBER($W1724),IF($W1724&gt;=10000000,IFERROR(DATE(INT($W1724/10000),MOD(INT($W1724/100),100),MOD($W1724,100)),""),INT($W1724)),IFERROR(DATE(--LEFT(LEFT(SUBSTITUTE(SUBSTITUTE(SUBSTITUTE(SUBSTITUTE(TRIM($W1724),"-",""),".",""),"/","")," ",""),8),4),--MID(LEFT(SUBSTITUTE(SUBSTITUTE(SUBSTITUTE(SUBSTITUTE(TRIM($W1724),"-",""),".",""),"/","")," ",""),8),5,2),--MID(LEFT(SUBSTITUTE(SUBSTITUTE(SUBSTITUTE(SUBSTITUTE(TRIM($W1724),"-",""),".",""),"/","")," ",""),8),7,2)),"")))</f>
        <v/>
      </c>
      <c r="Y1724" s="32">
        <f>IF($X1724="","",INT($X1724))</f>
        <v/>
      </c>
      <c r="Z1724" s="33">
        <f>IF(OR($Y1724="",$D$6=""),"",IF(INDEX($A:$U,ROW(),$D$6)="",0,IF(ISNUMBER(INDEX($A:$U,ROW(),$D$6)),INDEX($A:$U,ROW(),$D$6),IFERROR(--SUBSTITUTE(SUBSTITUTE(TRIM(INDEX($A:$U,ROW(),$D$6)),",",""),"원",""),0))))</f>
        <v/>
      </c>
      <c r="AA1724" s="31">
        <f>IF($Y1724="","",TRIM(INDEX($A:$U,ROW(),$E$6)&amp;IF($F$6="",""," "&amp;INDEX($A:$U,ROW(),$F$6))))</f>
        <v/>
      </c>
      <c r="AB1724" s="31">
        <f>IF($AA1724="","",SUBSTITUTE(SUBSTITUTE(SUBSTITUTE(SUBSTITUTE(SUBSTITUTE(SUBSTITUTE(SUBSTITUTE(SUBSTITUTE(SUBSTITUTE($AA1724," ",""),"　",""),"(주)",""),"（주）",""),"㈜",""),"주식회사",""),"(유)",""),"（유）",""),"유한회사",""))</f>
        <v/>
      </c>
      <c r="AC1724" s="31">
        <f>IF(OR($Y1724="",N($Z1724)&lt;=0,$AB1724=""),0,IFERROR(LOOKUP(2,1/((거래처별!$AC$8:$AC$307&lt;&gt;"")*ISNUMBER(SEARCH(거래처별!$AC$8:$AC$307,$AB1724))),거래처별!$A$8:$A$307),IFERROR(LOOKUP(2,1/((거래처별!$AD$8:$AD$307&lt;&gt;"")*ISNUMBER(SEARCH(거래처별!$AD$8:$AD$307,$AB1724))),거래처별!$A$8:$A$307),IFERROR(LOOKUP(2,1/((거래처별!$AE$8:$AE$307&lt;&gt;"")*ISNUMBER(SEARCH(거래처별!$AE$8:$AE$307,$AB1724))),거래처별!$A$8:$A$307),0))))</f>
        <v/>
      </c>
      <c r="AD1724" s="31">
        <f>IF(AND($Y1724&lt;&gt;"",N($Z1724)&gt;0,$AC1724=0),MAX($AD$7:$AD1723)+1,"")</f>
        <v/>
      </c>
      <c r="AE1724" s="31">
        <f>IF($Y1724="",0,$Y1724)</f>
        <v/>
      </c>
    </row>
    <row r="1725">
      <c r="W1725" s="31">
        <f>IF(OR($B$5="",$C$6="",ROW()&lt;$B$5),"",IF(INDEX($A:$U,ROW(),$C$6)="","",INDEX($A:$U,ROW(),$C$6)))</f>
        <v/>
      </c>
      <c r="X1725" s="32">
        <f>IF($W1725="","",IF(ISNUMBER($W1725),IF($W1725&gt;=10000000,IFERROR(DATE(INT($W1725/10000),MOD(INT($W1725/100),100),MOD($W1725,100)),""),INT($W1725)),IFERROR(DATE(--LEFT(LEFT(SUBSTITUTE(SUBSTITUTE(SUBSTITUTE(SUBSTITUTE(TRIM($W1725),"-",""),".",""),"/","")," ",""),8),4),--MID(LEFT(SUBSTITUTE(SUBSTITUTE(SUBSTITUTE(SUBSTITUTE(TRIM($W1725),"-",""),".",""),"/","")," ",""),8),5,2),--MID(LEFT(SUBSTITUTE(SUBSTITUTE(SUBSTITUTE(SUBSTITUTE(TRIM($W1725),"-",""),".",""),"/","")," ",""),8),7,2)),"")))</f>
        <v/>
      </c>
      <c r="Y1725" s="32">
        <f>IF($X1725="","",INT($X1725))</f>
        <v/>
      </c>
      <c r="Z1725" s="33">
        <f>IF(OR($Y1725="",$D$6=""),"",IF(INDEX($A:$U,ROW(),$D$6)="",0,IF(ISNUMBER(INDEX($A:$U,ROW(),$D$6)),INDEX($A:$U,ROW(),$D$6),IFERROR(--SUBSTITUTE(SUBSTITUTE(TRIM(INDEX($A:$U,ROW(),$D$6)),",",""),"원",""),0))))</f>
        <v/>
      </c>
      <c r="AA1725" s="31">
        <f>IF($Y1725="","",TRIM(INDEX($A:$U,ROW(),$E$6)&amp;IF($F$6="",""," "&amp;INDEX($A:$U,ROW(),$F$6))))</f>
        <v/>
      </c>
      <c r="AB1725" s="31">
        <f>IF($AA1725="","",SUBSTITUTE(SUBSTITUTE(SUBSTITUTE(SUBSTITUTE(SUBSTITUTE(SUBSTITUTE(SUBSTITUTE(SUBSTITUTE(SUBSTITUTE($AA1725," ",""),"　",""),"(주)",""),"（주）",""),"㈜",""),"주식회사",""),"(유)",""),"（유）",""),"유한회사",""))</f>
        <v/>
      </c>
      <c r="AC1725" s="31">
        <f>IF(OR($Y1725="",N($Z1725)&lt;=0,$AB1725=""),0,IFERROR(LOOKUP(2,1/((거래처별!$AC$8:$AC$307&lt;&gt;"")*ISNUMBER(SEARCH(거래처별!$AC$8:$AC$307,$AB1725))),거래처별!$A$8:$A$307),IFERROR(LOOKUP(2,1/((거래처별!$AD$8:$AD$307&lt;&gt;"")*ISNUMBER(SEARCH(거래처별!$AD$8:$AD$307,$AB1725))),거래처별!$A$8:$A$307),IFERROR(LOOKUP(2,1/((거래처별!$AE$8:$AE$307&lt;&gt;"")*ISNUMBER(SEARCH(거래처별!$AE$8:$AE$307,$AB1725))),거래처별!$A$8:$A$307),0))))</f>
        <v/>
      </c>
      <c r="AD1725" s="31">
        <f>IF(AND($Y1725&lt;&gt;"",N($Z1725)&gt;0,$AC1725=0),MAX($AD$7:$AD1724)+1,"")</f>
        <v/>
      </c>
      <c r="AE1725" s="31">
        <f>IF($Y1725="",0,$Y1725)</f>
        <v/>
      </c>
    </row>
    <row r="1726">
      <c r="W1726" s="31">
        <f>IF(OR($B$5="",$C$6="",ROW()&lt;$B$5),"",IF(INDEX($A:$U,ROW(),$C$6)="","",INDEX($A:$U,ROW(),$C$6)))</f>
        <v/>
      </c>
      <c r="X1726" s="32">
        <f>IF($W1726="","",IF(ISNUMBER($W1726),IF($W1726&gt;=10000000,IFERROR(DATE(INT($W1726/10000),MOD(INT($W1726/100),100),MOD($W1726,100)),""),INT($W1726)),IFERROR(DATE(--LEFT(LEFT(SUBSTITUTE(SUBSTITUTE(SUBSTITUTE(SUBSTITUTE(TRIM($W1726),"-",""),".",""),"/","")," ",""),8),4),--MID(LEFT(SUBSTITUTE(SUBSTITUTE(SUBSTITUTE(SUBSTITUTE(TRIM($W1726),"-",""),".",""),"/","")," ",""),8),5,2),--MID(LEFT(SUBSTITUTE(SUBSTITUTE(SUBSTITUTE(SUBSTITUTE(TRIM($W1726),"-",""),".",""),"/","")," ",""),8),7,2)),"")))</f>
        <v/>
      </c>
      <c r="Y1726" s="32">
        <f>IF($X1726="","",INT($X1726))</f>
        <v/>
      </c>
      <c r="Z1726" s="33">
        <f>IF(OR($Y1726="",$D$6=""),"",IF(INDEX($A:$U,ROW(),$D$6)="",0,IF(ISNUMBER(INDEX($A:$U,ROW(),$D$6)),INDEX($A:$U,ROW(),$D$6),IFERROR(--SUBSTITUTE(SUBSTITUTE(TRIM(INDEX($A:$U,ROW(),$D$6)),",",""),"원",""),0))))</f>
        <v/>
      </c>
      <c r="AA1726" s="31">
        <f>IF($Y1726="","",TRIM(INDEX($A:$U,ROW(),$E$6)&amp;IF($F$6="",""," "&amp;INDEX($A:$U,ROW(),$F$6))))</f>
        <v/>
      </c>
      <c r="AB1726" s="31">
        <f>IF($AA1726="","",SUBSTITUTE(SUBSTITUTE(SUBSTITUTE(SUBSTITUTE(SUBSTITUTE(SUBSTITUTE(SUBSTITUTE(SUBSTITUTE(SUBSTITUTE($AA1726," ",""),"　",""),"(주)",""),"（주）",""),"㈜",""),"주식회사",""),"(유)",""),"（유）",""),"유한회사",""))</f>
        <v/>
      </c>
      <c r="AC1726" s="31">
        <f>IF(OR($Y1726="",N($Z1726)&lt;=0,$AB1726=""),0,IFERROR(LOOKUP(2,1/((거래처별!$AC$8:$AC$307&lt;&gt;"")*ISNUMBER(SEARCH(거래처별!$AC$8:$AC$307,$AB1726))),거래처별!$A$8:$A$307),IFERROR(LOOKUP(2,1/((거래처별!$AD$8:$AD$307&lt;&gt;"")*ISNUMBER(SEARCH(거래처별!$AD$8:$AD$307,$AB1726))),거래처별!$A$8:$A$307),IFERROR(LOOKUP(2,1/((거래처별!$AE$8:$AE$307&lt;&gt;"")*ISNUMBER(SEARCH(거래처별!$AE$8:$AE$307,$AB1726))),거래처별!$A$8:$A$307),0))))</f>
        <v/>
      </c>
      <c r="AD1726" s="31">
        <f>IF(AND($Y1726&lt;&gt;"",N($Z1726)&gt;0,$AC1726=0),MAX($AD$7:$AD1725)+1,"")</f>
        <v/>
      </c>
      <c r="AE1726" s="31">
        <f>IF($Y1726="",0,$Y1726)</f>
        <v/>
      </c>
    </row>
    <row r="1727">
      <c r="W1727" s="31">
        <f>IF(OR($B$5="",$C$6="",ROW()&lt;$B$5),"",IF(INDEX($A:$U,ROW(),$C$6)="","",INDEX($A:$U,ROW(),$C$6)))</f>
        <v/>
      </c>
      <c r="X1727" s="32">
        <f>IF($W1727="","",IF(ISNUMBER($W1727),IF($W1727&gt;=10000000,IFERROR(DATE(INT($W1727/10000),MOD(INT($W1727/100),100),MOD($W1727,100)),""),INT($W1727)),IFERROR(DATE(--LEFT(LEFT(SUBSTITUTE(SUBSTITUTE(SUBSTITUTE(SUBSTITUTE(TRIM($W1727),"-",""),".",""),"/","")," ",""),8),4),--MID(LEFT(SUBSTITUTE(SUBSTITUTE(SUBSTITUTE(SUBSTITUTE(TRIM($W1727),"-",""),".",""),"/","")," ",""),8),5,2),--MID(LEFT(SUBSTITUTE(SUBSTITUTE(SUBSTITUTE(SUBSTITUTE(TRIM($W1727),"-",""),".",""),"/","")," ",""),8),7,2)),"")))</f>
        <v/>
      </c>
      <c r="Y1727" s="32">
        <f>IF($X1727="","",INT($X1727))</f>
        <v/>
      </c>
      <c r="Z1727" s="33">
        <f>IF(OR($Y1727="",$D$6=""),"",IF(INDEX($A:$U,ROW(),$D$6)="",0,IF(ISNUMBER(INDEX($A:$U,ROW(),$D$6)),INDEX($A:$U,ROW(),$D$6),IFERROR(--SUBSTITUTE(SUBSTITUTE(TRIM(INDEX($A:$U,ROW(),$D$6)),",",""),"원",""),0))))</f>
        <v/>
      </c>
      <c r="AA1727" s="31">
        <f>IF($Y1727="","",TRIM(INDEX($A:$U,ROW(),$E$6)&amp;IF($F$6="",""," "&amp;INDEX($A:$U,ROW(),$F$6))))</f>
        <v/>
      </c>
      <c r="AB1727" s="31">
        <f>IF($AA1727="","",SUBSTITUTE(SUBSTITUTE(SUBSTITUTE(SUBSTITUTE(SUBSTITUTE(SUBSTITUTE(SUBSTITUTE(SUBSTITUTE(SUBSTITUTE($AA1727," ",""),"　",""),"(주)",""),"（주）",""),"㈜",""),"주식회사",""),"(유)",""),"（유）",""),"유한회사",""))</f>
        <v/>
      </c>
      <c r="AC1727" s="31">
        <f>IF(OR($Y1727="",N($Z1727)&lt;=0,$AB1727=""),0,IFERROR(LOOKUP(2,1/((거래처별!$AC$8:$AC$307&lt;&gt;"")*ISNUMBER(SEARCH(거래처별!$AC$8:$AC$307,$AB1727))),거래처별!$A$8:$A$307),IFERROR(LOOKUP(2,1/((거래처별!$AD$8:$AD$307&lt;&gt;"")*ISNUMBER(SEARCH(거래처별!$AD$8:$AD$307,$AB1727))),거래처별!$A$8:$A$307),IFERROR(LOOKUP(2,1/((거래처별!$AE$8:$AE$307&lt;&gt;"")*ISNUMBER(SEARCH(거래처별!$AE$8:$AE$307,$AB1727))),거래처별!$A$8:$A$307),0))))</f>
        <v/>
      </c>
      <c r="AD1727" s="31">
        <f>IF(AND($Y1727&lt;&gt;"",N($Z1727)&gt;0,$AC1727=0),MAX($AD$7:$AD1726)+1,"")</f>
        <v/>
      </c>
      <c r="AE1727" s="31">
        <f>IF($Y1727="",0,$Y1727)</f>
        <v/>
      </c>
    </row>
    <row r="1728">
      <c r="W1728" s="31">
        <f>IF(OR($B$5="",$C$6="",ROW()&lt;$B$5),"",IF(INDEX($A:$U,ROW(),$C$6)="","",INDEX($A:$U,ROW(),$C$6)))</f>
        <v/>
      </c>
      <c r="X1728" s="32">
        <f>IF($W1728="","",IF(ISNUMBER($W1728),IF($W1728&gt;=10000000,IFERROR(DATE(INT($W1728/10000),MOD(INT($W1728/100),100),MOD($W1728,100)),""),INT($W1728)),IFERROR(DATE(--LEFT(LEFT(SUBSTITUTE(SUBSTITUTE(SUBSTITUTE(SUBSTITUTE(TRIM($W1728),"-",""),".",""),"/","")," ",""),8),4),--MID(LEFT(SUBSTITUTE(SUBSTITUTE(SUBSTITUTE(SUBSTITUTE(TRIM($W1728),"-",""),".",""),"/","")," ",""),8),5,2),--MID(LEFT(SUBSTITUTE(SUBSTITUTE(SUBSTITUTE(SUBSTITUTE(TRIM($W1728),"-",""),".",""),"/","")," ",""),8),7,2)),"")))</f>
        <v/>
      </c>
      <c r="Y1728" s="32">
        <f>IF($X1728="","",INT($X1728))</f>
        <v/>
      </c>
      <c r="Z1728" s="33">
        <f>IF(OR($Y1728="",$D$6=""),"",IF(INDEX($A:$U,ROW(),$D$6)="",0,IF(ISNUMBER(INDEX($A:$U,ROW(),$D$6)),INDEX($A:$U,ROW(),$D$6),IFERROR(--SUBSTITUTE(SUBSTITUTE(TRIM(INDEX($A:$U,ROW(),$D$6)),",",""),"원",""),0))))</f>
        <v/>
      </c>
      <c r="AA1728" s="31">
        <f>IF($Y1728="","",TRIM(INDEX($A:$U,ROW(),$E$6)&amp;IF($F$6="",""," "&amp;INDEX($A:$U,ROW(),$F$6))))</f>
        <v/>
      </c>
      <c r="AB1728" s="31">
        <f>IF($AA1728="","",SUBSTITUTE(SUBSTITUTE(SUBSTITUTE(SUBSTITUTE(SUBSTITUTE(SUBSTITUTE(SUBSTITUTE(SUBSTITUTE(SUBSTITUTE($AA1728," ",""),"　",""),"(주)",""),"（주）",""),"㈜",""),"주식회사",""),"(유)",""),"（유）",""),"유한회사",""))</f>
        <v/>
      </c>
      <c r="AC1728" s="31">
        <f>IF(OR($Y1728="",N($Z1728)&lt;=0,$AB1728=""),0,IFERROR(LOOKUP(2,1/((거래처별!$AC$8:$AC$307&lt;&gt;"")*ISNUMBER(SEARCH(거래처별!$AC$8:$AC$307,$AB1728))),거래처별!$A$8:$A$307),IFERROR(LOOKUP(2,1/((거래처별!$AD$8:$AD$307&lt;&gt;"")*ISNUMBER(SEARCH(거래처별!$AD$8:$AD$307,$AB1728))),거래처별!$A$8:$A$307),IFERROR(LOOKUP(2,1/((거래처별!$AE$8:$AE$307&lt;&gt;"")*ISNUMBER(SEARCH(거래처별!$AE$8:$AE$307,$AB1728))),거래처별!$A$8:$A$307),0))))</f>
        <v/>
      </c>
      <c r="AD1728" s="31">
        <f>IF(AND($Y1728&lt;&gt;"",N($Z1728)&gt;0,$AC1728=0),MAX($AD$7:$AD1727)+1,"")</f>
        <v/>
      </c>
      <c r="AE1728" s="31">
        <f>IF($Y1728="",0,$Y1728)</f>
        <v/>
      </c>
    </row>
    <row r="1729">
      <c r="W1729" s="31">
        <f>IF(OR($B$5="",$C$6="",ROW()&lt;$B$5),"",IF(INDEX($A:$U,ROW(),$C$6)="","",INDEX($A:$U,ROW(),$C$6)))</f>
        <v/>
      </c>
      <c r="X1729" s="32">
        <f>IF($W1729="","",IF(ISNUMBER($W1729),IF($W1729&gt;=10000000,IFERROR(DATE(INT($W1729/10000),MOD(INT($W1729/100),100),MOD($W1729,100)),""),INT($W1729)),IFERROR(DATE(--LEFT(LEFT(SUBSTITUTE(SUBSTITUTE(SUBSTITUTE(SUBSTITUTE(TRIM($W1729),"-",""),".",""),"/","")," ",""),8),4),--MID(LEFT(SUBSTITUTE(SUBSTITUTE(SUBSTITUTE(SUBSTITUTE(TRIM($W1729),"-",""),".",""),"/","")," ",""),8),5,2),--MID(LEFT(SUBSTITUTE(SUBSTITUTE(SUBSTITUTE(SUBSTITUTE(TRIM($W1729),"-",""),".",""),"/","")," ",""),8),7,2)),"")))</f>
        <v/>
      </c>
      <c r="Y1729" s="32">
        <f>IF($X1729="","",INT($X1729))</f>
        <v/>
      </c>
      <c r="Z1729" s="33">
        <f>IF(OR($Y1729="",$D$6=""),"",IF(INDEX($A:$U,ROW(),$D$6)="",0,IF(ISNUMBER(INDEX($A:$U,ROW(),$D$6)),INDEX($A:$U,ROW(),$D$6),IFERROR(--SUBSTITUTE(SUBSTITUTE(TRIM(INDEX($A:$U,ROW(),$D$6)),",",""),"원",""),0))))</f>
        <v/>
      </c>
      <c r="AA1729" s="31">
        <f>IF($Y1729="","",TRIM(INDEX($A:$U,ROW(),$E$6)&amp;IF($F$6="",""," "&amp;INDEX($A:$U,ROW(),$F$6))))</f>
        <v/>
      </c>
      <c r="AB1729" s="31">
        <f>IF($AA1729="","",SUBSTITUTE(SUBSTITUTE(SUBSTITUTE(SUBSTITUTE(SUBSTITUTE(SUBSTITUTE(SUBSTITUTE(SUBSTITUTE(SUBSTITUTE($AA1729," ",""),"　",""),"(주)",""),"（주）",""),"㈜",""),"주식회사",""),"(유)",""),"（유）",""),"유한회사",""))</f>
        <v/>
      </c>
      <c r="AC1729" s="31">
        <f>IF(OR($Y1729="",N($Z1729)&lt;=0,$AB1729=""),0,IFERROR(LOOKUP(2,1/((거래처별!$AC$8:$AC$307&lt;&gt;"")*ISNUMBER(SEARCH(거래처별!$AC$8:$AC$307,$AB1729))),거래처별!$A$8:$A$307),IFERROR(LOOKUP(2,1/((거래처별!$AD$8:$AD$307&lt;&gt;"")*ISNUMBER(SEARCH(거래처별!$AD$8:$AD$307,$AB1729))),거래처별!$A$8:$A$307),IFERROR(LOOKUP(2,1/((거래처별!$AE$8:$AE$307&lt;&gt;"")*ISNUMBER(SEARCH(거래처별!$AE$8:$AE$307,$AB1729))),거래처별!$A$8:$A$307),0))))</f>
        <v/>
      </c>
      <c r="AD1729" s="31">
        <f>IF(AND($Y1729&lt;&gt;"",N($Z1729)&gt;0,$AC1729=0),MAX($AD$7:$AD1728)+1,"")</f>
        <v/>
      </c>
      <c r="AE1729" s="31">
        <f>IF($Y1729="",0,$Y1729)</f>
        <v/>
      </c>
    </row>
    <row r="1730">
      <c r="W1730" s="31">
        <f>IF(OR($B$5="",$C$6="",ROW()&lt;$B$5),"",IF(INDEX($A:$U,ROW(),$C$6)="","",INDEX($A:$U,ROW(),$C$6)))</f>
        <v/>
      </c>
      <c r="X1730" s="32">
        <f>IF($W1730="","",IF(ISNUMBER($W1730),IF($W1730&gt;=10000000,IFERROR(DATE(INT($W1730/10000),MOD(INT($W1730/100),100),MOD($W1730,100)),""),INT($W1730)),IFERROR(DATE(--LEFT(LEFT(SUBSTITUTE(SUBSTITUTE(SUBSTITUTE(SUBSTITUTE(TRIM($W1730),"-",""),".",""),"/","")," ",""),8),4),--MID(LEFT(SUBSTITUTE(SUBSTITUTE(SUBSTITUTE(SUBSTITUTE(TRIM($W1730),"-",""),".",""),"/","")," ",""),8),5,2),--MID(LEFT(SUBSTITUTE(SUBSTITUTE(SUBSTITUTE(SUBSTITUTE(TRIM($W1730),"-",""),".",""),"/","")," ",""),8),7,2)),"")))</f>
        <v/>
      </c>
      <c r="Y1730" s="32">
        <f>IF($X1730="","",INT($X1730))</f>
        <v/>
      </c>
      <c r="Z1730" s="33">
        <f>IF(OR($Y1730="",$D$6=""),"",IF(INDEX($A:$U,ROW(),$D$6)="",0,IF(ISNUMBER(INDEX($A:$U,ROW(),$D$6)),INDEX($A:$U,ROW(),$D$6),IFERROR(--SUBSTITUTE(SUBSTITUTE(TRIM(INDEX($A:$U,ROW(),$D$6)),",",""),"원",""),0))))</f>
        <v/>
      </c>
      <c r="AA1730" s="31">
        <f>IF($Y1730="","",TRIM(INDEX($A:$U,ROW(),$E$6)&amp;IF($F$6="",""," "&amp;INDEX($A:$U,ROW(),$F$6))))</f>
        <v/>
      </c>
      <c r="AB1730" s="31">
        <f>IF($AA1730="","",SUBSTITUTE(SUBSTITUTE(SUBSTITUTE(SUBSTITUTE(SUBSTITUTE(SUBSTITUTE(SUBSTITUTE(SUBSTITUTE(SUBSTITUTE($AA1730," ",""),"　",""),"(주)",""),"（주）",""),"㈜",""),"주식회사",""),"(유)",""),"（유）",""),"유한회사",""))</f>
        <v/>
      </c>
      <c r="AC1730" s="31">
        <f>IF(OR($Y1730="",N($Z1730)&lt;=0,$AB1730=""),0,IFERROR(LOOKUP(2,1/((거래처별!$AC$8:$AC$307&lt;&gt;"")*ISNUMBER(SEARCH(거래처별!$AC$8:$AC$307,$AB1730))),거래처별!$A$8:$A$307),IFERROR(LOOKUP(2,1/((거래처별!$AD$8:$AD$307&lt;&gt;"")*ISNUMBER(SEARCH(거래처별!$AD$8:$AD$307,$AB1730))),거래처별!$A$8:$A$307),IFERROR(LOOKUP(2,1/((거래처별!$AE$8:$AE$307&lt;&gt;"")*ISNUMBER(SEARCH(거래처별!$AE$8:$AE$307,$AB1730))),거래처별!$A$8:$A$307),0))))</f>
        <v/>
      </c>
      <c r="AD1730" s="31">
        <f>IF(AND($Y1730&lt;&gt;"",N($Z1730)&gt;0,$AC1730=0),MAX($AD$7:$AD1729)+1,"")</f>
        <v/>
      </c>
      <c r="AE1730" s="31">
        <f>IF($Y1730="",0,$Y1730)</f>
        <v/>
      </c>
    </row>
    <row r="1731">
      <c r="W1731" s="31">
        <f>IF(OR($B$5="",$C$6="",ROW()&lt;$B$5),"",IF(INDEX($A:$U,ROW(),$C$6)="","",INDEX($A:$U,ROW(),$C$6)))</f>
        <v/>
      </c>
      <c r="X1731" s="32">
        <f>IF($W1731="","",IF(ISNUMBER($W1731),IF($W1731&gt;=10000000,IFERROR(DATE(INT($W1731/10000),MOD(INT($W1731/100),100),MOD($W1731,100)),""),INT($W1731)),IFERROR(DATE(--LEFT(LEFT(SUBSTITUTE(SUBSTITUTE(SUBSTITUTE(SUBSTITUTE(TRIM($W1731),"-",""),".",""),"/","")," ",""),8),4),--MID(LEFT(SUBSTITUTE(SUBSTITUTE(SUBSTITUTE(SUBSTITUTE(TRIM($W1731),"-",""),".",""),"/","")," ",""),8),5,2),--MID(LEFT(SUBSTITUTE(SUBSTITUTE(SUBSTITUTE(SUBSTITUTE(TRIM($W1731),"-",""),".",""),"/","")," ",""),8),7,2)),"")))</f>
        <v/>
      </c>
      <c r="Y1731" s="32">
        <f>IF($X1731="","",INT($X1731))</f>
        <v/>
      </c>
      <c r="Z1731" s="33">
        <f>IF(OR($Y1731="",$D$6=""),"",IF(INDEX($A:$U,ROW(),$D$6)="",0,IF(ISNUMBER(INDEX($A:$U,ROW(),$D$6)),INDEX($A:$U,ROW(),$D$6),IFERROR(--SUBSTITUTE(SUBSTITUTE(TRIM(INDEX($A:$U,ROW(),$D$6)),",",""),"원",""),0))))</f>
        <v/>
      </c>
      <c r="AA1731" s="31">
        <f>IF($Y1731="","",TRIM(INDEX($A:$U,ROW(),$E$6)&amp;IF($F$6="",""," "&amp;INDEX($A:$U,ROW(),$F$6))))</f>
        <v/>
      </c>
      <c r="AB1731" s="31">
        <f>IF($AA1731="","",SUBSTITUTE(SUBSTITUTE(SUBSTITUTE(SUBSTITUTE(SUBSTITUTE(SUBSTITUTE(SUBSTITUTE(SUBSTITUTE(SUBSTITUTE($AA1731," ",""),"　",""),"(주)",""),"（주）",""),"㈜",""),"주식회사",""),"(유)",""),"（유）",""),"유한회사",""))</f>
        <v/>
      </c>
      <c r="AC1731" s="31">
        <f>IF(OR($Y1731="",N($Z1731)&lt;=0,$AB1731=""),0,IFERROR(LOOKUP(2,1/((거래처별!$AC$8:$AC$307&lt;&gt;"")*ISNUMBER(SEARCH(거래처별!$AC$8:$AC$307,$AB1731))),거래처별!$A$8:$A$307),IFERROR(LOOKUP(2,1/((거래처별!$AD$8:$AD$307&lt;&gt;"")*ISNUMBER(SEARCH(거래처별!$AD$8:$AD$307,$AB1731))),거래처별!$A$8:$A$307),IFERROR(LOOKUP(2,1/((거래처별!$AE$8:$AE$307&lt;&gt;"")*ISNUMBER(SEARCH(거래처별!$AE$8:$AE$307,$AB1731))),거래처별!$A$8:$A$307),0))))</f>
        <v/>
      </c>
      <c r="AD1731" s="31">
        <f>IF(AND($Y1731&lt;&gt;"",N($Z1731)&gt;0,$AC1731=0),MAX($AD$7:$AD1730)+1,"")</f>
        <v/>
      </c>
      <c r="AE1731" s="31">
        <f>IF($Y1731="",0,$Y1731)</f>
        <v/>
      </c>
    </row>
    <row r="1732">
      <c r="W1732" s="31">
        <f>IF(OR($B$5="",$C$6="",ROW()&lt;$B$5),"",IF(INDEX($A:$U,ROW(),$C$6)="","",INDEX($A:$U,ROW(),$C$6)))</f>
        <v/>
      </c>
      <c r="X1732" s="32">
        <f>IF($W1732="","",IF(ISNUMBER($W1732),IF($W1732&gt;=10000000,IFERROR(DATE(INT($W1732/10000),MOD(INT($W1732/100),100),MOD($W1732,100)),""),INT($W1732)),IFERROR(DATE(--LEFT(LEFT(SUBSTITUTE(SUBSTITUTE(SUBSTITUTE(SUBSTITUTE(TRIM($W1732),"-",""),".",""),"/","")," ",""),8),4),--MID(LEFT(SUBSTITUTE(SUBSTITUTE(SUBSTITUTE(SUBSTITUTE(TRIM($W1732),"-",""),".",""),"/","")," ",""),8),5,2),--MID(LEFT(SUBSTITUTE(SUBSTITUTE(SUBSTITUTE(SUBSTITUTE(TRIM($W1732),"-",""),".",""),"/","")," ",""),8),7,2)),"")))</f>
        <v/>
      </c>
      <c r="Y1732" s="32">
        <f>IF($X1732="","",INT($X1732))</f>
        <v/>
      </c>
      <c r="Z1732" s="33">
        <f>IF(OR($Y1732="",$D$6=""),"",IF(INDEX($A:$U,ROW(),$D$6)="",0,IF(ISNUMBER(INDEX($A:$U,ROW(),$D$6)),INDEX($A:$U,ROW(),$D$6),IFERROR(--SUBSTITUTE(SUBSTITUTE(TRIM(INDEX($A:$U,ROW(),$D$6)),",",""),"원",""),0))))</f>
        <v/>
      </c>
      <c r="AA1732" s="31">
        <f>IF($Y1732="","",TRIM(INDEX($A:$U,ROW(),$E$6)&amp;IF($F$6="",""," "&amp;INDEX($A:$U,ROW(),$F$6))))</f>
        <v/>
      </c>
      <c r="AB1732" s="31">
        <f>IF($AA1732="","",SUBSTITUTE(SUBSTITUTE(SUBSTITUTE(SUBSTITUTE(SUBSTITUTE(SUBSTITUTE(SUBSTITUTE(SUBSTITUTE(SUBSTITUTE($AA1732," ",""),"　",""),"(주)",""),"（주）",""),"㈜",""),"주식회사",""),"(유)",""),"（유）",""),"유한회사",""))</f>
        <v/>
      </c>
      <c r="AC1732" s="31">
        <f>IF(OR($Y1732="",N($Z1732)&lt;=0,$AB1732=""),0,IFERROR(LOOKUP(2,1/((거래처별!$AC$8:$AC$307&lt;&gt;"")*ISNUMBER(SEARCH(거래처별!$AC$8:$AC$307,$AB1732))),거래처별!$A$8:$A$307),IFERROR(LOOKUP(2,1/((거래처별!$AD$8:$AD$307&lt;&gt;"")*ISNUMBER(SEARCH(거래처별!$AD$8:$AD$307,$AB1732))),거래처별!$A$8:$A$307),IFERROR(LOOKUP(2,1/((거래처별!$AE$8:$AE$307&lt;&gt;"")*ISNUMBER(SEARCH(거래처별!$AE$8:$AE$307,$AB1732))),거래처별!$A$8:$A$307),0))))</f>
        <v/>
      </c>
      <c r="AD1732" s="31">
        <f>IF(AND($Y1732&lt;&gt;"",N($Z1732)&gt;0,$AC1732=0),MAX($AD$7:$AD1731)+1,"")</f>
        <v/>
      </c>
      <c r="AE1732" s="31">
        <f>IF($Y1732="",0,$Y1732)</f>
        <v/>
      </c>
    </row>
    <row r="1733">
      <c r="W1733" s="31">
        <f>IF(OR($B$5="",$C$6="",ROW()&lt;$B$5),"",IF(INDEX($A:$U,ROW(),$C$6)="","",INDEX($A:$U,ROW(),$C$6)))</f>
        <v/>
      </c>
      <c r="X1733" s="32">
        <f>IF($W1733="","",IF(ISNUMBER($W1733),IF($W1733&gt;=10000000,IFERROR(DATE(INT($W1733/10000),MOD(INT($W1733/100),100),MOD($W1733,100)),""),INT($W1733)),IFERROR(DATE(--LEFT(LEFT(SUBSTITUTE(SUBSTITUTE(SUBSTITUTE(SUBSTITUTE(TRIM($W1733),"-",""),".",""),"/","")," ",""),8),4),--MID(LEFT(SUBSTITUTE(SUBSTITUTE(SUBSTITUTE(SUBSTITUTE(TRIM($W1733),"-",""),".",""),"/","")," ",""),8),5,2),--MID(LEFT(SUBSTITUTE(SUBSTITUTE(SUBSTITUTE(SUBSTITUTE(TRIM($W1733),"-",""),".",""),"/","")," ",""),8),7,2)),"")))</f>
        <v/>
      </c>
      <c r="Y1733" s="32">
        <f>IF($X1733="","",INT($X1733))</f>
        <v/>
      </c>
      <c r="Z1733" s="33">
        <f>IF(OR($Y1733="",$D$6=""),"",IF(INDEX($A:$U,ROW(),$D$6)="",0,IF(ISNUMBER(INDEX($A:$U,ROW(),$D$6)),INDEX($A:$U,ROW(),$D$6),IFERROR(--SUBSTITUTE(SUBSTITUTE(TRIM(INDEX($A:$U,ROW(),$D$6)),",",""),"원",""),0))))</f>
        <v/>
      </c>
      <c r="AA1733" s="31">
        <f>IF($Y1733="","",TRIM(INDEX($A:$U,ROW(),$E$6)&amp;IF($F$6="",""," "&amp;INDEX($A:$U,ROW(),$F$6))))</f>
        <v/>
      </c>
      <c r="AB1733" s="31">
        <f>IF($AA1733="","",SUBSTITUTE(SUBSTITUTE(SUBSTITUTE(SUBSTITUTE(SUBSTITUTE(SUBSTITUTE(SUBSTITUTE(SUBSTITUTE(SUBSTITUTE($AA1733," ",""),"　",""),"(주)",""),"（주）",""),"㈜",""),"주식회사",""),"(유)",""),"（유）",""),"유한회사",""))</f>
        <v/>
      </c>
      <c r="AC1733" s="31">
        <f>IF(OR($Y1733="",N($Z1733)&lt;=0,$AB1733=""),0,IFERROR(LOOKUP(2,1/((거래처별!$AC$8:$AC$307&lt;&gt;"")*ISNUMBER(SEARCH(거래처별!$AC$8:$AC$307,$AB1733))),거래처별!$A$8:$A$307),IFERROR(LOOKUP(2,1/((거래처별!$AD$8:$AD$307&lt;&gt;"")*ISNUMBER(SEARCH(거래처별!$AD$8:$AD$307,$AB1733))),거래처별!$A$8:$A$307),IFERROR(LOOKUP(2,1/((거래처별!$AE$8:$AE$307&lt;&gt;"")*ISNUMBER(SEARCH(거래처별!$AE$8:$AE$307,$AB1733))),거래처별!$A$8:$A$307),0))))</f>
        <v/>
      </c>
      <c r="AD1733" s="31">
        <f>IF(AND($Y1733&lt;&gt;"",N($Z1733)&gt;0,$AC1733=0),MAX($AD$7:$AD1732)+1,"")</f>
        <v/>
      </c>
      <c r="AE1733" s="31">
        <f>IF($Y1733="",0,$Y1733)</f>
        <v/>
      </c>
    </row>
    <row r="1734">
      <c r="W1734" s="31">
        <f>IF(OR($B$5="",$C$6="",ROW()&lt;$B$5),"",IF(INDEX($A:$U,ROW(),$C$6)="","",INDEX($A:$U,ROW(),$C$6)))</f>
        <v/>
      </c>
      <c r="X1734" s="32">
        <f>IF($W1734="","",IF(ISNUMBER($W1734),IF($W1734&gt;=10000000,IFERROR(DATE(INT($W1734/10000),MOD(INT($W1734/100),100),MOD($W1734,100)),""),INT($W1734)),IFERROR(DATE(--LEFT(LEFT(SUBSTITUTE(SUBSTITUTE(SUBSTITUTE(SUBSTITUTE(TRIM($W1734),"-",""),".",""),"/","")," ",""),8),4),--MID(LEFT(SUBSTITUTE(SUBSTITUTE(SUBSTITUTE(SUBSTITUTE(TRIM($W1734),"-",""),".",""),"/","")," ",""),8),5,2),--MID(LEFT(SUBSTITUTE(SUBSTITUTE(SUBSTITUTE(SUBSTITUTE(TRIM($W1734),"-",""),".",""),"/","")," ",""),8),7,2)),"")))</f>
        <v/>
      </c>
      <c r="Y1734" s="32">
        <f>IF($X1734="","",INT($X1734))</f>
        <v/>
      </c>
      <c r="Z1734" s="33">
        <f>IF(OR($Y1734="",$D$6=""),"",IF(INDEX($A:$U,ROW(),$D$6)="",0,IF(ISNUMBER(INDEX($A:$U,ROW(),$D$6)),INDEX($A:$U,ROW(),$D$6),IFERROR(--SUBSTITUTE(SUBSTITUTE(TRIM(INDEX($A:$U,ROW(),$D$6)),",",""),"원",""),0))))</f>
        <v/>
      </c>
      <c r="AA1734" s="31">
        <f>IF($Y1734="","",TRIM(INDEX($A:$U,ROW(),$E$6)&amp;IF($F$6="",""," "&amp;INDEX($A:$U,ROW(),$F$6))))</f>
        <v/>
      </c>
      <c r="AB1734" s="31">
        <f>IF($AA1734="","",SUBSTITUTE(SUBSTITUTE(SUBSTITUTE(SUBSTITUTE(SUBSTITUTE(SUBSTITUTE(SUBSTITUTE(SUBSTITUTE(SUBSTITUTE($AA1734," ",""),"　",""),"(주)",""),"（주）",""),"㈜",""),"주식회사",""),"(유)",""),"（유）",""),"유한회사",""))</f>
        <v/>
      </c>
      <c r="AC1734" s="31">
        <f>IF(OR($Y1734="",N($Z1734)&lt;=0,$AB1734=""),0,IFERROR(LOOKUP(2,1/((거래처별!$AC$8:$AC$307&lt;&gt;"")*ISNUMBER(SEARCH(거래처별!$AC$8:$AC$307,$AB1734))),거래처별!$A$8:$A$307),IFERROR(LOOKUP(2,1/((거래처별!$AD$8:$AD$307&lt;&gt;"")*ISNUMBER(SEARCH(거래처별!$AD$8:$AD$307,$AB1734))),거래처별!$A$8:$A$307),IFERROR(LOOKUP(2,1/((거래처별!$AE$8:$AE$307&lt;&gt;"")*ISNUMBER(SEARCH(거래처별!$AE$8:$AE$307,$AB1734))),거래처별!$A$8:$A$307),0))))</f>
        <v/>
      </c>
      <c r="AD1734" s="31">
        <f>IF(AND($Y1734&lt;&gt;"",N($Z1734)&gt;0,$AC1734=0),MAX($AD$7:$AD1733)+1,"")</f>
        <v/>
      </c>
      <c r="AE1734" s="31">
        <f>IF($Y1734="",0,$Y1734)</f>
        <v/>
      </c>
    </row>
    <row r="1735">
      <c r="W1735" s="31">
        <f>IF(OR($B$5="",$C$6="",ROW()&lt;$B$5),"",IF(INDEX($A:$U,ROW(),$C$6)="","",INDEX($A:$U,ROW(),$C$6)))</f>
        <v/>
      </c>
      <c r="X1735" s="32">
        <f>IF($W1735="","",IF(ISNUMBER($W1735),IF($W1735&gt;=10000000,IFERROR(DATE(INT($W1735/10000),MOD(INT($W1735/100),100),MOD($W1735,100)),""),INT($W1735)),IFERROR(DATE(--LEFT(LEFT(SUBSTITUTE(SUBSTITUTE(SUBSTITUTE(SUBSTITUTE(TRIM($W1735),"-",""),".",""),"/","")," ",""),8),4),--MID(LEFT(SUBSTITUTE(SUBSTITUTE(SUBSTITUTE(SUBSTITUTE(TRIM($W1735),"-",""),".",""),"/","")," ",""),8),5,2),--MID(LEFT(SUBSTITUTE(SUBSTITUTE(SUBSTITUTE(SUBSTITUTE(TRIM($W1735),"-",""),".",""),"/","")," ",""),8),7,2)),"")))</f>
        <v/>
      </c>
      <c r="Y1735" s="32">
        <f>IF($X1735="","",INT($X1735))</f>
        <v/>
      </c>
      <c r="Z1735" s="33">
        <f>IF(OR($Y1735="",$D$6=""),"",IF(INDEX($A:$U,ROW(),$D$6)="",0,IF(ISNUMBER(INDEX($A:$U,ROW(),$D$6)),INDEX($A:$U,ROW(),$D$6),IFERROR(--SUBSTITUTE(SUBSTITUTE(TRIM(INDEX($A:$U,ROW(),$D$6)),",",""),"원",""),0))))</f>
        <v/>
      </c>
      <c r="AA1735" s="31">
        <f>IF($Y1735="","",TRIM(INDEX($A:$U,ROW(),$E$6)&amp;IF($F$6="",""," "&amp;INDEX($A:$U,ROW(),$F$6))))</f>
        <v/>
      </c>
      <c r="AB1735" s="31">
        <f>IF($AA1735="","",SUBSTITUTE(SUBSTITUTE(SUBSTITUTE(SUBSTITUTE(SUBSTITUTE(SUBSTITUTE(SUBSTITUTE(SUBSTITUTE(SUBSTITUTE($AA1735," ",""),"　",""),"(주)",""),"（주）",""),"㈜",""),"주식회사",""),"(유)",""),"（유）",""),"유한회사",""))</f>
        <v/>
      </c>
      <c r="AC1735" s="31">
        <f>IF(OR($Y1735="",N($Z1735)&lt;=0,$AB1735=""),0,IFERROR(LOOKUP(2,1/((거래처별!$AC$8:$AC$307&lt;&gt;"")*ISNUMBER(SEARCH(거래처별!$AC$8:$AC$307,$AB1735))),거래처별!$A$8:$A$307),IFERROR(LOOKUP(2,1/((거래처별!$AD$8:$AD$307&lt;&gt;"")*ISNUMBER(SEARCH(거래처별!$AD$8:$AD$307,$AB1735))),거래처별!$A$8:$A$307),IFERROR(LOOKUP(2,1/((거래처별!$AE$8:$AE$307&lt;&gt;"")*ISNUMBER(SEARCH(거래처별!$AE$8:$AE$307,$AB1735))),거래처별!$A$8:$A$307),0))))</f>
        <v/>
      </c>
      <c r="AD1735" s="31">
        <f>IF(AND($Y1735&lt;&gt;"",N($Z1735)&gt;0,$AC1735=0),MAX($AD$7:$AD1734)+1,"")</f>
        <v/>
      </c>
      <c r="AE1735" s="31">
        <f>IF($Y1735="",0,$Y1735)</f>
        <v/>
      </c>
    </row>
    <row r="1736">
      <c r="W1736" s="31">
        <f>IF(OR($B$5="",$C$6="",ROW()&lt;$B$5),"",IF(INDEX($A:$U,ROW(),$C$6)="","",INDEX($A:$U,ROW(),$C$6)))</f>
        <v/>
      </c>
      <c r="X1736" s="32">
        <f>IF($W1736="","",IF(ISNUMBER($W1736),IF($W1736&gt;=10000000,IFERROR(DATE(INT($W1736/10000),MOD(INT($W1736/100),100),MOD($W1736,100)),""),INT($W1736)),IFERROR(DATE(--LEFT(LEFT(SUBSTITUTE(SUBSTITUTE(SUBSTITUTE(SUBSTITUTE(TRIM($W1736),"-",""),".",""),"/","")," ",""),8),4),--MID(LEFT(SUBSTITUTE(SUBSTITUTE(SUBSTITUTE(SUBSTITUTE(TRIM($W1736),"-",""),".",""),"/","")," ",""),8),5,2),--MID(LEFT(SUBSTITUTE(SUBSTITUTE(SUBSTITUTE(SUBSTITUTE(TRIM($W1736),"-",""),".",""),"/","")," ",""),8),7,2)),"")))</f>
        <v/>
      </c>
      <c r="Y1736" s="32">
        <f>IF($X1736="","",INT($X1736))</f>
        <v/>
      </c>
      <c r="Z1736" s="33">
        <f>IF(OR($Y1736="",$D$6=""),"",IF(INDEX($A:$U,ROW(),$D$6)="",0,IF(ISNUMBER(INDEX($A:$U,ROW(),$D$6)),INDEX($A:$U,ROW(),$D$6),IFERROR(--SUBSTITUTE(SUBSTITUTE(TRIM(INDEX($A:$U,ROW(),$D$6)),",",""),"원",""),0))))</f>
        <v/>
      </c>
      <c r="AA1736" s="31">
        <f>IF($Y1736="","",TRIM(INDEX($A:$U,ROW(),$E$6)&amp;IF($F$6="",""," "&amp;INDEX($A:$U,ROW(),$F$6))))</f>
        <v/>
      </c>
      <c r="AB1736" s="31">
        <f>IF($AA1736="","",SUBSTITUTE(SUBSTITUTE(SUBSTITUTE(SUBSTITUTE(SUBSTITUTE(SUBSTITUTE(SUBSTITUTE(SUBSTITUTE(SUBSTITUTE($AA1736," ",""),"　",""),"(주)",""),"（주）",""),"㈜",""),"주식회사",""),"(유)",""),"（유）",""),"유한회사",""))</f>
        <v/>
      </c>
      <c r="AC1736" s="31">
        <f>IF(OR($Y1736="",N($Z1736)&lt;=0,$AB1736=""),0,IFERROR(LOOKUP(2,1/((거래처별!$AC$8:$AC$307&lt;&gt;"")*ISNUMBER(SEARCH(거래처별!$AC$8:$AC$307,$AB1736))),거래처별!$A$8:$A$307),IFERROR(LOOKUP(2,1/((거래처별!$AD$8:$AD$307&lt;&gt;"")*ISNUMBER(SEARCH(거래처별!$AD$8:$AD$307,$AB1736))),거래처별!$A$8:$A$307),IFERROR(LOOKUP(2,1/((거래처별!$AE$8:$AE$307&lt;&gt;"")*ISNUMBER(SEARCH(거래처별!$AE$8:$AE$307,$AB1736))),거래처별!$A$8:$A$307),0))))</f>
        <v/>
      </c>
      <c r="AD1736" s="31">
        <f>IF(AND($Y1736&lt;&gt;"",N($Z1736)&gt;0,$AC1736=0),MAX($AD$7:$AD1735)+1,"")</f>
        <v/>
      </c>
      <c r="AE1736" s="31">
        <f>IF($Y1736="",0,$Y1736)</f>
        <v/>
      </c>
    </row>
    <row r="1737">
      <c r="W1737" s="31">
        <f>IF(OR($B$5="",$C$6="",ROW()&lt;$B$5),"",IF(INDEX($A:$U,ROW(),$C$6)="","",INDEX($A:$U,ROW(),$C$6)))</f>
        <v/>
      </c>
      <c r="X1737" s="32">
        <f>IF($W1737="","",IF(ISNUMBER($W1737),IF($W1737&gt;=10000000,IFERROR(DATE(INT($W1737/10000),MOD(INT($W1737/100),100),MOD($W1737,100)),""),INT($W1737)),IFERROR(DATE(--LEFT(LEFT(SUBSTITUTE(SUBSTITUTE(SUBSTITUTE(SUBSTITUTE(TRIM($W1737),"-",""),".",""),"/","")," ",""),8),4),--MID(LEFT(SUBSTITUTE(SUBSTITUTE(SUBSTITUTE(SUBSTITUTE(TRIM($W1737),"-",""),".",""),"/","")," ",""),8),5,2),--MID(LEFT(SUBSTITUTE(SUBSTITUTE(SUBSTITUTE(SUBSTITUTE(TRIM($W1737),"-",""),".",""),"/","")," ",""),8),7,2)),"")))</f>
        <v/>
      </c>
      <c r="Y1737" s="32">
        <f>IF($X1737="","",INT($X1737))</f>
        <v/>
      </c>
      <c r="Z1737" s="33">
        <f>IF(OR($Y1737="",$D$6=""),"",IF(INDEX($A:$U,ROW(),$D$6)="",0,IF(ISNUMBER(INDEX($A:$U,ROW(),$D$6)),INDEX($A:$U,ROW(),$D$6),IFERROR(--SUBSTITUTE(SUBSTITUTE(TRIM(INDEX($A:$U,ROW(),$D$6)),",",""),"원",""),0))))</f>
        <v/>
      </c>
      <c r="AA1737" s="31">
        <f>IF($Y1737="","",TRIM(INDEX($A:$U,ROW(),$E$6)&amp;IF($F$6="",""," "&amp;INDEX($A:$U,ROW(),$F$6))))</f>
        <v/>
      </c>
      <c r="AB1737" s="31">
        <f>IF($AA1737="","",SUBSTITUTE(SUBSTITUTE(SUBSTITUTE(SUBSTITUTE(SUBSTITUTE(SUBSTITUTE(SUBSTITUTE(SUBSTITUTE(SUBSTITUTE($AA1737," ",""),"　",""),"(주)",""),"（주）",""),"㈜",""),"주식회사",""),"(유)",""),"（유）",""),"유한회사",""))</f>
        <v/>
      </c>
      <c r="AC1737" s="31">
        <f>IF(OR($Y1737="",N($Z1737)&lt;=0,$AB1737=""),0,IFERROR(LOOKUP(2,1/((거래처별!$AC$8:$AC$307&lt;&gt;"")*ISNUMBER(SEARCH(거래처별!$AC$8:$AC$307,$AB1737))),거래처별!$A$8:$A$307),IFERROR(LOOKUP(2,1/((거래처별!$AD$8:$AD$307&lt;&gt;"")*ISNUMBER(SEARCH(거래처별!$AD$8:$AD$307,$AB1737))),거래처별!$A$8:$A$307),IFERROR(LOOKUP(2,1/((거래처별!$AE$8:$AE$307&lt;&gt;"")*ISNUMBER(SEARCH(거래처별!$AE$8:$AE$307,$AB1737))),거래처별!$A$8:$A$307),0))))</f>
        <v/>
      </c>
      <c r="AD1737" s="31">
        <f>IF(AND($Y1737&lt;&gt;"",N($Z1737)&gt;0,$AC1737=0),MAX($AD$7:$AD1736)+1,"")</f>
        <v/>
      </c>
      <c r="AE1737" s="31">
        <f>IF($Y1737="",0,$Y1737)</f>
        <v/>
      </c>
    </row>
    <row r="1738">
      <c r="W1738" s="31">
        <f>IF(OR($B$5="",$C$6="",ROW()&lt;$B$5),"",IF(INDEX($A:$U,ROW(),$C$6)="","",INDEX($A:$U,ROW(),$C$6)))</f>
        <v/>
      </c>
      <c r="X1738" s="32">
        <f>IF($W1738="","",IF(ISNUMBER($W1738),IF($W1738&gt;=10000000,IFERROR(DATE(INT($W1738/10000),MOD(INT($W1738/100),100),MOD($W1738,100)),""),INT($W1738)),IFERROR(DATE(--LEFT(LEFT(SUBSTITUTE(SUBSTITUTE(SUBSTITUTE(SUBSTITUTE(TRIM($W1738),"-",""),".",""),"/","")," ",""),8),4),--MID(LEFT(SUBSTITUTE(SUBSTITUTE(SUBSTITUTE(SUBSTITUTE(TRIM($W1738),"-",""),".",""),"/","")," ",""),8),5,2),--MID(LEFT(SUBSTITUTE(SUBSTITUTE(SUBSTITUTE(SUBSTITUTE(TRIM($W1738),"-",""),".",""),"/","")," ",""),8),7,2)),"")))</f>
        <v/>
      </c>
      <c r="Y1738" s="32">
        <f>IF($X1738="","",INT($X1738))</f>
        <v/>
      </c>
      <c r="Z1738" s="33">
        <f>IF(OR($Y1738="",$D$6=""),"",IF(INDEX($A:$U,ROW(),$D$6)="",0,IF(ISNUMBER(INDEX($A:$U,ROW(),$D$6)),INDEX($A:$U,ROW(),$D$6),IFERROR(--SUBSTITUTE(SUBSTITUTE(TRIM(INDEX($A:$U,ROW(),$D$6)),",",""),"원",""),0))))</f>
        <v/>
      </c>
      <c r="AA1738" s="31">
        <f>IF($Y1738="","",TRIM(INDEX($A:$U,ROW(),$E$6)&amp;IF($F$6="",""," "&amp;INDEX($A:$U,ROW(),$F$6))))</f>
        <v/>
      </c>
      <c r="AB1738" s="31">
        <f>IF($AA1738="","",SUBSTITUTE(SUBSTITUTE(SUBSTITUTE(SUBSTITUTE(SUBSTITUTE(SUBSTITUTE(SUBSTITUTE(SUBSTITUTE(SUBSTITUTE($AA1738," ",""),"　",""),"(주)",""),"（주）",""),"㈜",""),"주식회사",""),"(유)",""),"（유）",""),"유한회사",""))</f>
        <v/>
      </c>
      <c r="AC1738" s="31">
        <f>IF(OR($Y1738="",N($Z1738)&lt;=0,$AB1738=""),0,IFERROR(LOOKUP(2,1/((거래처별!$AC$8:$AC$307&lt;&gt;"")*ISNUMBER(SEARCH(거래처별!$AC$8:$AC$307,$AB1738))),거래처별!$A$8:$A$307),IFERROR(LOOKUP(2,1/((거래처별!$AD$8:$AD$307&lt;&gt;"")*ISNUMBER(SEARCH(거래처별!$AD$8:$AD$307,$AB1738))),거래처별!$A$8:$A$307),IFERROR(LOOKUP(2,1/((거래처별!$AE$8:$AE$307&lt;&gt;"")*ISNUMBER(SEARCH(거래처별!$AE$8:$AE$307,$AB1738))),거래처별!$A$8:$A$307),0))))</f>
        <v/>
      </c>
      <c r="AD1738" s="31">
        <f>IF(AND($Y1738&lt;&gt;"",N($Z1738)&gt;0,$AC1738=0),MAX($AD$7:$AD1737)+1,"")</f>
        <v/>
      </c>
      <c r="AE1738" s="31">
        <f>IF($Y1738="",0,$Y1738)</f>
        <v/>
      </c>
    </row>
    <row r="1739">
      <c r="W1739" s="31">
        <f>IF(OR($B$5="",$C$6="",ROW()&lt;$B$5),"",IF(INDEX($A:$U,ROW(),$C$6)="","",INDEX($A:$U,ROW(),$C$6)))</f>
        <v/>
      </c>
      <c r="X1739" s="32">
        <f>IF($W1739="","",IF(ISNUMBER($W1739),IF($W1739&gt;=10000000,IFERROR(DATE(INT($W1739/10000),MOD(INT($W1739/100),100),MOD($W1739,100)),""),INT($W1739)),IFERROR(DATE(--LEFT(LEFT(SUBSTITUTE(SUBSTITUTE(SUBSTITUTE(SUBSTITUTE(TRIM($W1739),"-",""),".",""),"/","")," ",""),8),4),--MID(LEFT(SUBSTITUTE(SUBSTITUTE(SUBSTITUTE(SUBSTITUTE(TRIM($W1739),"-",""),".",""),"/","")," ",""),8),5,2),--MID(LEFT(SUBSTITUTE(SUBSTITUTE(SUBSTITUTE(SUBSTITUTE(TRIM($W1739),"-",""),".",""),"/","")," ",""),8),7,2)),"")))</f>
        <v/>
      </c>
      <c r="Y1739" s="32">
        <f>IF($X1739="","",INT($X1739))</f>
        <v/>
      </c>
      <c r="Z1739" s="33">
        <f>IF(OR($Y1739="",$D$6=""),"",IF(INDEX($A:$U,ROW(),$D$6)="",0,IF(ISNUMBER(INDEX($A:$U,ROW(),$D$6)),INDEX($A:$U,ROW(),$D$6),IFERROR(--SUBSTITUTE(SUBSTITUTE(TRIM(INDEX($A:$U,ROW(),$D$6)),",",""),"원",""),0))))</f>
        <v/>
      </c>
      <c r="AA1739" s="31">
        <f>IF($Y1739="","",TRIM(INDEX($A:$U,ROW(),$E$6)&amp;IF($F$6="",""," "&amp;INDEX($A:$U,ROW(),$F$6))))</f>
        <v/>
      </c>
      <c r="AB1739" s="31">
        <f>IF($AA1739="","",SUBSTITUTE(SUBSTITUTE(SUBSTITUTE(SUBSTITUTE(SUBSTITUTE(SUBSTITUTE(SUBSTITUTE(SUBSTITUTE(SUBSTITUTE($AA1739," ",""),"　",""),"(주)",""),"（주）",""),"㈜",""),"주식회사",""),"(유)",""),"（유）",""),"유한회사",""))</f>
        <v/>
      </c>
      <c r="AC1739" s="31">
        <f>IF(OR($Y1739="",N($Z1739)&lt;=0,$AB1739=""),0,IFERROR(LOOKUP(2,1/((거래처별!$AC$8:$AC$307&lt;&gt;"")*ISNUMBER(SEARCH(거래처별!$AC$8:$AC$307,$AB1739))),거래처별!$A$8:$A$307),IFERROR(LOOKUP(2,1/((거래처별!$AD$8:$AD$307&lt;&gt;"")*ISNUMBER(SEARCH(거래처별!$AD$8:$AD$307,$AB1739))),거래처별!$A$8:$A$307),IFERROR(LOOKUP(2,1/((거래처별!$AE$8:$AE$307&lt;&gt;"")*ISNUMBER(SEARCH(거래처별!$AE$8:$AE$307,$AB1739))),거래처별!$A$8:$A$307),0))))</f>
        <v/>
      </c>
      <c r="AD1739" s="31">
        <f>IF(AND($Y1739&lt;&gt;"",N($Z1739)&gt;0,$AC1739=0),MAX($AD$7:$AD1738)+1,"")</f>
        <v/>
      </c>
      <c r="AE1739" s="31">
        <f>IF($Y1739="",0,$Y1739)</f>
        <v/>
      </c>
    </row>
    <row r="1740">
      <c r="W1740" s="31">
        <f>IF(OR($B$5="",$C$6="",ROW()&lt;$B$5),"",IF(INDEX($A:$U,ROW(),$C$6)="","",INDEX($A:$U,ROW(),$C$6)))</f>
        <v/>
      </c>
      <c r="X1740" s="32">
        <f>IF($W1740="","",IF(ISNUMBER($W1740),IF($W1740&gt;=10000000,IFERROR(DATE(INT($W1740/10000),MOD(INT($W1740/100),100),MOD($W1740,100)),""),INT($W1740)),IFERROR(DATE(--LEFT(LEFT(SUBSTITUTE(SUBSTITUTE(SUBSTITUTE(SUBSTITUTE(TRIM($W1740),"-",""),".",""),"/","")," ",""),8),4),--MID(LEFT(SUBSTITUTE(SUBSTITUTE(SUBSTITUTE(SUBSTITUTE(TRIM($W1740),"-",""),".",""),"/","")," ",""),8),5,2),--MID(LEFT(SUBSTITUTE(SUBSTITUTE(SUBSTITUTE(SUBSTITUTE(TRIM($W1740),"-",""),".",""),"/","")," ",""),8),7,2)),"")))</f>
        <v/>
      </c>
      <c r="Y1740" s="32">
        <f>IF($X1740="","",INT($X1740))</f>
        <v/>
      </c>
      <c r="Z1740" s="33">
        <f>IF(OR($Y1740="",$D$6=""),"",IF(INDEX($A:$U,ROW(),$D$6)="",0,IF(ISNUMBER(INDEX($A:$U,ROW(),$D$6)),INDEX($A:$U,ROW(),$D$6),IFERROR(--SUBSTITUTE(SUBSTITUTE(TRIM(INDEX($A:$U,ROW(),$D$6)),",",""),"원",""),0))))</f>
        <v/>
      </c>
      <c r="AA1740" s="31">
        <f>IF($Y1740="","",TRIM(INDEX($A:$U,ROW(),$E$6)&amp;IF($F$6="",""," "&amp;INDEX($A:$U,ROW(),$F$6))))</f>
        <v/>
      </c>
      <c r="AB1740" s="31">
        <f>IF($AA1740="","",SUBSTITUTE(SUBSTITUTE(SUBSTITUTE(SUBSTITUTE(SUBSTITUTE(SUBSTITUTE(SUBSTITUTE(SUBSTITUTE(SUBSTITUTE($AA1740," ",""),"　",""),"(주)",""),"（주）",""),"㈜",""),"주식회사",""),"(유)",""),"（유）",""),"유한회사",""))</f>
        <v/>
      </c>
      <c r="AC1740" s="31">
        <f>IF(OR($Y1740="",N($Z1740)&lt;=0,$AB1740=""),0,IFERROR(LOOKUP(2,1/((거래처별!$AC$8:$AC$307&lt;&gt;"")*ISNUMBER(SEARCH(거래처별!$AC$8:$AC$307,$AB1740))),거래처별!$A$8:$A$307),IFERROR(LOOKUP(2,1/((거래처별!$AD$8:$AD$307&lt;&gt;"")*ISNUMBER(SEARCH(거래처별!$AD$8:$AD$307,$AB1740))),거래처별!$A$8:$A$307),IFERROR(LOOKUP(2,1/((거래처별!$AE$8:$AE$307&lt;&gt;"")*ISNUMBER(SEARCH(거래처별!$AE$8:$AE$307,$AB1740))),거래처별!$A$8:$A$307),0))))</f>
        <v/>
      </c>
      <c r="AD1740" s="31">
        <f>IF(AND($Y1740&lt;&gt;"",N($Z1740)&gt;0,$AC1740=0),MAX($AD$7:$AD1739)+1,"")</f>
        <v/>
      </c>
      <c r="AE1740" s="31">
        <f>IF($Y1740="",0,$Y1740)</f>
        <v/>
      </c>
    </row>
    <row r="1741">
      <c r="W1741" s="31">
        <f>IF(OR($B$5="",$C$6="",ROW()&lt;$B$5),"",IF(INDEX($A:$U,ROW(),$C$6)="","",INDEX($A:$U,ROW(),$C$6)))</f>
        <v/>
      </c>
      <c r="X1741" s="32">
        <f>IF($W1741="","",IF(ISNUMBER($W1741),IF($W1741&gt;=10000000,IFERROR(DATE(INT($W1741/10000),MOD(INT($W1741/100),100),MOD($W1741,100)),""),INT($W1741)),IFERROR(DATE(--LEFT(LEFT(SUBSTITUTE(SUBSTITUTE(SUBSTITUTE(SUBSTITUTE(TRIM($W1741),"-",""),".",""),"/","")," ",""),8),4),--MID(LEFT(SUBSTITUTE(SUBSTITUTE(SUBSTITUTE(SUBSTITUTE(TRIM($W1741),"-",""),".",""),"/","")," ",""),8),5,2),--MID(LEFT(SUBSTITUTE(SUBSTITUTE(SUBSTITUTE(SUBSTITUTE(TRIM($W1741),"-",""),".",""),"/","")," ",""),8),7,2)),"")))</f>
        <v/>
      </c>
      <c r="Y1741" s="32">
        <f>IF($X1741="","",INT($X1741))</f>
        <v/>
      </c>
      <c r="Z1741" s="33">
        <f>IF(OR($Y1741="",$D$6=""),"",IF(INDEX($A:$U,ROW(),$D$6)="",0,IF(ISNUMBER(INDEX($A:$U,ROW(),$D$6)),INDEX($A:$U,ROW(),$D$6),IFERROR(--SUBSTITUTE(SUBSTITUTE(TRIM(INDEX($A:$U,ROW(),$D$6)),",",""),"원",""),0))))</f>
        <v/>
      </c>
      <c r="AA1741" s="31">
        <f>IF($Y1741="","",TRIM(INDEX($A:$U,ROW(),$E$6)&amp;IF($F$6="",""," "&amp;INDEX($A:$U,ROW(),$F$6))))</f>
        <v/>
      </c>
      <c r="AB1741" s="31">
        <f>IF($AA1741="","",SUBSTITUTE(SUBSTITUTE(SUBSTITUTE(SUBSTITUTE(SUBSTITUTE(SUBSTITUTE(SUBSTITUTE(SUBSTITUTE(SUBSTITUTE($AA1741," ",""),"　",""),"(주)",""),"（주）",""),"㈜",""),"주식회사",""),"(유)",""),"（유）",""),"유한회사",""))</f>
        <v/>
      </c>
      <c r="AC1741" s="31">
        <f>IF(OR($Y1741="",N($Z1741)&lt;=0,$AB1741=""),0,IFERROR(LOOKUP(2,1/((거래처별!$AC$8:$AC$307&lt;&gt;"")*ISNUMBER(SEARCH(거래처별!$AC$8:$AC$307,$AB1741))),거래처별!$A$8:$A$307),IFERROR(LOOKUP(2,1/((거래처별!$AD$8:$AD$307&lt;&gt;"")*ISNUMBER(SEARCH(거래처별!$AD$8:$AD$307,$AB1741))),거래처별!$A$8:$A$307),IFERROR(LOOKUP(2,1/((거래처별!$AE$8:$AE$307&lt;&gt;"")*ISNUMBER(SEARCH(거래처별!$AE$8:$AE$307,$AB1741))),거래처별!$A$8:$A$307),0))))</f>
        <v/>
      </c>
      <c r="AD1741" s="31">
        <f>IF(AND($Y1741&lt;&gt;"",N($Z1741)&gt;0,$AC1741=0),MAX($AD$7:$AD1740)+1,"")</f>
        <v/>
      </c>
      <c r="AE1741" s="31">
        <f>IF($Y1741="",0,$Y1741)</f>
        <v/>
      </c>
    </row>
    <row r="1742">
      <c r="W1742" s="31">
        <f>IF(OR($B$5="",$C$6="",ROW()&lt;$B$5),"",IF(INDEX($A:$U,ROW(),$C$6)="","",INDEX($A:$U,ROW(),$C$6)))</f>
        <v/>
      </c>
      <c r="X1742" s="32">
        <f>IF($W1742="","",IF(ISNUMBER($W1742),IF($W1742&gt;=10000000,IFERROR(DATE(INT($W1742/10000),MOD(INT($W1742/100),100),MOD($W1742,100)),""),INT($W1742)),IFERROR(DATE(--LEFT(LEFT(SUBSTITUTE(SUBSTITUTE(SUBSTITUTE(SUBSTITUTE(TRIM($W1742),"-",""),".",""),"/","")," ",""),8),4),--MID(LEFT(SUBSTITUTE(SUBSTITUTE(SUBSTITUTE(SUBSTITUTE(TRIM($W1742),"-",""),".",""),"/","")," ",""),8),5,2),--MID(LEFT(SUBSTITUTE(SUBSTITUTE(SUBSTITUTE(SUBSTITUTE(TRIM($W1742),"-",""),".",""),"/","")," ",""),8),7,2)),"")))</f>
        <v/>
      </c>
      <c r="Y1742" s="32">
        <f>IF($X1742="","",INT($X1742))</f>
        <v/>
      </c>
      <c r="Z1742" s="33">
        <f>IF(OR($Y1742="",$D$6=""),"",IF(INDEX($A:$U,ROW(),$D$6)="",0,IF(ISNUMBER(INDEX($A:$U,ROW(),$D$6)),INDEX($A:$U,ROW(),$D$6),IFERROR(--SUBSTITUTE(SUBSTITUTE(TRIM(INDEX($A:$U,ROW(),$D$6)),",",""),"원",""),0))))</f>
        <v/>
      </c>
      <c r="AA1742" s="31">
        <f>IF($Y1742="","",TRIM(INDEX($A:$U,ROW(),$E$6)&amp;IF($F$6="",""," "&amp;INDEX($A:$U,ROW(),$F$6))))</f>
        <v/>
      </c>
      <c r="AB1742" s="31">
        <f>IF($AA1742="","",SUBSTITUTE(SUBSTITUTE(SUBSTITUTE(SUBSTITUTE(SUBSTITUTE(SUBSTITUTE(SUBSTITUTE(SUBSTITUTE(SUBSTITUTE($AA1742," ",""),"　",""),"(주)",""),"（주）",""),"㈜",""),"주식회사",""),"(유)",""),"（유）",""),"유한회사",""))</f>
        <v/>
      </c>
      <c r="AC1742" s="31">
        <f>IF(OR($Y1742="",N($Z1742)&lt;=0,$AB1742=""),0,IFERROR(LOOKUP(2,1/((거래처별!$AC$8:$AC$307&lt;&gt;"")*ISNUMBER(SEARCH(거래처별!$AC$8:$AC$307,$AB1742))),거래처별!$A$8:$A$307),IFERROR(LOOKUP(2,1/((거래처별!$AD$8:$AD$307&lt;&gt;"")*ISNUMBER(SEARCH(거래처별!$AD$8:$AD$307,$AB1742))),거래처별!$A$8:$A$307),IFERROR(LOOKUP(2,1/((거래처별!$AE$8:$AE$307&lt;&gt;"")*ISNUMBER(SEARCH(거래처별!$AE$8:$AE$307,$AB1742))),거래처별!$A$8:$A$307),0))))</f>
        <v/>
      </c>
      <c r="AD1742" s="31">
        <f>IF(AND($Y1742&lt;&gt;"",N($Z1742)&gt;0,$AC1742=0),MAX($AD$7:$AD1741)+1,"")</f>
        <v/>
      </c>
      <c r="AE1742" s="31">
        <f>IF($Y1742="",0,$Y1742)</f>
        <v/>
      </c>
    </row>
    <row r="1743">
      <c r="W1743" s="31">
        <f>IF(OR($B$5="",$C$6="",ROW()&lt;$B$5),"",IF(INDEX($A:$U,ROW(),$C$6)="","",INDEX($A:$U,ROW(),$C$6)))</f>
        <v/>
      </c>
      <c r="X1743" s="32">
        <f>IF($W1743="","",IF(ISNUMBER($W1743),IF($W1743&gt;=10000000,IFERROR(DATE(INT($W1743/10000),MOD(INT($W1743/100),100),MOD($W1743,100)),""),INT($W1743)),IFERROR(DATE(--LEFT(LEFT(SUBSTITUTE(SUBSTITUTE(SUBSTITUTE(SUBSTITUTE(TRIM($W1743),"-",""),".",""),"/","")," ",""),8),4),--MID(LEFT(SUBSTITUTE(SUBSTITUTE(SUBSTITUTE(SUBSTITUTE(TRIM($W1743),"-",""),".",""),"/","")," ",""),8),5,2),--MID(LEFT(SUBSTITUTE(SUBSTITUTE(SUBSTITUTE(SUBSTITUTE(TRIM($W1743),"-",""),".",""),"/","")," ",""),8),7,2)),"")))</f>
        <v/>
      </c>
      <c r="Y1743" s="32">
        <f>IF($X1743="","",INT($X1743))</f>
        <v/>
      </c>
      <c r="Z1743" s="33">
        <f>IF(OR($Y1743="",$D$6=""),"",IF(INDEX($A:$U,ROW(),$D$6)="",0,IF(ISNUMBER(INDEX($A:$U,ROW(),$D$6)),INDEX($A:$U,ROW(),$D$6),IFERROR(--SUBSTITUTE(SUBSTITUTE(TRIM(INDEX($A:$U,ROW(),$D$6)),",",""),"원",""),0))))</f>
        <v/>
      </c>
      <c r="AA1743" s="31">
        <f>IF($Y1743="","",TRIM(INDEX($A:$U,ROW(),$E$6)&amp;IF($F$6="",""," "&amp;INDEX($A:$U,ROW(),$F$6))))</f>
        <v/>
      </c>
      <c r="AB1743" s="31">
        <f>IF($AA1743="","",SUBSTITUTE(SUBSTITUTE(SUBSTITUTE(SUBSTITUTE(SUBSTITUTE(SUBSTITUTE(SUBSTITUTE(SUBSTITUTE(SUBSTITUTE($AA1743," ",""),"　",""),"(주)",""),"（주）",""),"㈜",""),"주식회사",""),"(유)",""),"（유）",""),"유한회사",""))</f>
        <v/>
      </c>
      <c r="AC1743" s="31">
        <f>IF(OR($Y1743="",N($Z1743)&lt;=0,$AB1743=""),0,IFERROR(LOOKUP(2,1/((거래처별!$AC$8:$AC$307&lt;&gt;"")*ISNUMBER(SEARCH(거래처별!$AC$8:$AC$307,$AB1743))),거래처별!$A$8:$A$307),IFERROR(LOOKUP(2,1/((거래처별!$AD$8:$AD$307&lt;&gt;"")*ISNUMBER(SEARCH(거래처별!$AD$8:$AD$307,$AB1743))),거래처별!$A$8:$A$307),IFERROR(LOOKUP(2,1/((거래처별!$AE$8:$AE$307&lt;&gt;"")*ISNUMBER(SEARCH(거래처별!$AE$8:$AE$307,$AB1743))),거래처별!$A$8:$A$307),0))))</f>
        <v/>
      </c>
      <c r="AD1743" s="31">
        <f>IF(AND($Y1743&lt;&gt;"",N($Z1743)&gt;0,$AC1743=0),MAX($AD$7:$AD1742)+1,"")</f>
        <v/>
      </c>
      <c r="AE1743" s="31">
        <f>IF($Y1743="",0,$Y1743)</f>
        <v/>
      </c>
    </row>
    <row r="1744">
      <c r="W1744" s="31">
        <f>IF(OR($B$5="",$C$6="",ROW()&lt;$B$5),"",IF(INDEX($A:$U,ROW(),$C$6)="","",INDEX($A:$U,ROW(),$C$6)))</f>
        <v/>
      </c>
      <c r="X1744" s="32">
        <f>IF($W1744="","",IF(ISNUMBER($W1744),IF($W1744&gt;=10000000,IFERROR(DATE(INT($W1744/10000),MOD(INT($W1744/100),100),MOD($W1744,100)),""),INT($W1744)),IFERROR(DATE(--LEFT(LEFT(SUBSTITUTE(SUBSTITUTE(SUBSTITUTE(SUBSTITUTE(TRIM($W1744),"-",""),".",""),"/","")," ",""),8),4),--MID(LEFT(SUBSTITUTE(SUBSTITUTE(SUBSTITUTE(SUBSTITUTE(TRIM($W1744),"-",""),".",""),"/","")," ",""),8),5,2),--MID(LEFT(SUBSTITUTE(SUBSTITUTE(SUBSTITUTE(SUBSTITUTE(TRIM($W1744),"-",""),".",""),"/","")," ",""),8),7,2)),"")))</f>
        <v/>
      </c>
      <c r="Y1744" s="32">
        <f>IF($X1744="","",INT($X1744))</f>
        <v/>
      </c>
      <c r="Z1744" s="33">
        <f>IF(OR($Y1744="",$D$6=""),"",IF(INDEX($A:$U,ROW(),$D$6)="",0,IF(ISNUMBER(INDEX($A:$U,ROW(),$D$6)),INDEX($A:$U,ROW(),$D$6),IFERROR(--SUBSTITUTE(SUBSTITUTE(TRIM(INDEX($A:$U,ROW(),$D$6)),",",""),"원",""),0))))</f>
        <v/>
      </c>
      <c r="AA1744" s="31">
        <f>IF($Y1744="","",TRIM(INDEX($A:$U,ROW(),$E$6)&amp;IF($F$6="",""," "&amp;INDEX($A:$U,ROW(),$F$6))))</f>
        <v/>
      </c>
      <c r="AB1744" s="31">
        <f>IF($AA1744="","",SUBSTITUTE(SUBSTITUTE(SUBSTITUTE(SUBSTITUTE(SUBSTITUTE(SUBSTITUTE(SUBSTITUTE(SUBSTITUTE(SUBSTITUTE($AA1744," ",""),"　",""),"(주)",""),"（주）",""),"㈜",""),"주식회사",""),"(유)",""),"（유）",""),"유한회사",""))</f>
        <v/>
      </c>
      <c r="AC1744" s="31">
        <f>IF(OR($Y1744="",N($Z1744)&lt;=0,$AB1744=""),0,IFERROR(LOOKUP(2,1/((거래처별!$AC$8:$AC$307&lt;&gt;"")*ISNUMBER(SEARCH(거래처별!$AC$8:$AC$307,$AB1744))),거래처별!$A$8:$A$307),IFERROR(LOOKUP(2,1/((거래처별!$AD$8:$AD$307&lt;&gt;"")*ISNUMBER(SEARCH(거래처별!$AD$8:$AD$307,$AB1744))),거래처별!$A$8:$A$307),IFERROR(LOOKUP(2,1/((거래처별!$AE$8:$AE$307&lt;&gt;"")*ISNUMBER(SEARCH(거래처별!$AE$8:$AE$307,$AB1744))),거래처별!$A$8:$A$307),0))))</f>
        <v/>
      </c>
      <c r="AD1744" s="31">
        <f>IF(AND($Y1744&lt;&gt;"",N($Z1744)&gt;0,$AC1744=0),MAX($AD$7:$AD1743)+1,"")</f>
        <v/>
      </c>
      <c r="AE1744" s="31">
        <f>IF($Y1744="",0,$Y1744)</f>
        <v/>
      </c>
    </row>
    <row r="1745">
      <c r="W1745" s="31">
        <f>IF(OR($B$5="",$C$6="",ROW()&lt;$B$5),"",IF(INDEX($A:$U,ROW(),$C$6)="","",INDEX($A:$U,ROW(),$C$6)))</f>
        <v/>
      </c>
      <c r="X1745" s="32">
        <f>IF($W1745="","",IF(ISNUMBER($W1745),IF($W1745&gt;=10000000,IFERROR(DATE(INT($W1745/10000),MOD(INT($W1745/100),100),MOD($W1745,100)),""),INT($W1745)),IFERROR(DATE(--LEFT(LEFT(SUBSTITUTE(SUBSTITUTE(SUBSTITUTE(SUBSTITUTE(TRIM($W1745),"-",""),".",""),"/","")," ",""),8),4),--MID(LEFT(SUBSTITUTE(SUBSTITUTE(SUBSTITUTE(SUBSTITUTE(TRIM($W1745),"-",""),".",""),"/","")," ",""),8),5,2),--MID(LEFT(SUBSTITUTE(SUBSTITUTE(SUBSTITUTE(SUBSTITUTE(TRIM($W1745),"-",""),".",""),"/","")," ",""),8),7,2)),"")))</f>
        <v/>
      </c>
      <c r="Y1745" s="32">
        <f>IF($X1745="","",INT($X1745))</f>
        <v/>
      </c>
      <c r="Z1745" s="33">
        <f>IF(OR($Y1745="",$D$6=""),"",IF(INDEX($A:$U,ROW(),$D$6)="",0,IF(ISNUMBER(INDEX($A:$U,ROW(),$D$6)),INDEX($A:$U,ROW(),$D$6),IFERROR(--SUBSTITUTE(SUBSTITUTE(TRIM(INDEX($A:$U,ROW(),$D$6)),",",""),"원",""),0))))</f>
        <v/>
      </c>
      <c r="AA1745" s="31">
        <f>IF($Y1745="","",TRIM(INDEX($A:$U,ROW(),$E$6)&amp;IF($F$6="",""," "&amp;INDEX($A:$U,ROW(),$F$6))))</f>
        <v/>
      </c>
      <c r="AB1745" s="31">
        <f>IF($AA1745="","",SUBSTITUTE(SUBSTITUTE(SUBSTITUTE(SUBSTITUTE(SUBSTITUTE(SUBSTITUTE(SUBSTITUTE(SUBSTITUTE(SUBSTITUTE($AA1745," ",""),"　",""),"(주)",""),"（주）",""),"㈜",""),"주식회사",""),"(유)",""),"（유）",""),"유한회사",""))</f>
        <v/>
      </c>
      <c r="AC1745" s="31">
        <f>IF(OR($Y1745="",N($Z1745)&lt;=0,$AB1745=""),0,IFERROR(LOOKUP(2,1/((거래처별!$AC$8:$AC$307&lt;&gt;"")*ISNUMBER(SEARCH(거래처별!$AC$8:$AC$307,$AB1745))),거래처별!$A$8:$A$307),IFERROR(LOOKUP(2,1/((거래처별!$AD$8:$AD$307&lt;&gt;"")*ISNUMBER(SEARCH(거래처별!$AD$8:$AD$307,$AB1745))),거래처별!$A$8:$A$307),IFERROR(LOOKUP(2,1/((거래처별!$AE$8:$AE$307&lt;&gt;"")*ISNUMBER(SEARCH(거래처별!$AE$8:$AE$307,$AB1745))),거래처별!$A$8:$A$307),0))))</f>
        <v/>
      </c>
      <c r="AD1745" s="31">
        <f>IF(AND($Y1745&lt;&gt;"",N($Z1745)&gt;0,$AC1745=0),MAX($AD$7:$AD1744)+1,"")</f>
        <v/>
      </c>
      <c r="AE1745" s="31">
        <f>IF($Y1745="",0,$Y1745)</f>
        <v/>
      </c>
    </row>
    <row r="1746">
      <c r="W1746" s="31">
        <f>IF(OR($B$5="",$C$6="",ROW()&lt;$B$5),"",IF(INDEX($A:$U,ROW(),$C$6)="","",INDEX($A:$U,ROW(),$C$6)))</f>
        <v/>
      </c>
      <c r="X1746" s="32">
        <f>IF($W1746="","",IF(ISNUMBER($W1746),IF($W1746&gt;=10000000,IFERROR(DATE(INT($W1746/10000),MOD(INT($W1746/100),100),MOD($W1746,100)),""),INT($W1746)),IFERROR(DATE(--LEFT(LEFT(SUBSTITUTE(SUBSTITUTE(SUBSTITUTE(SUBSTITUTE(TRIM($W1746),"-",""),".",""),"/","")," ",""),8),4),--MID(LEFT(SUBSTITUTE(SUBSTITUTE(SUBSTITUTE(SUBSTITUTE(TRIM($W1746),"-",""),".",""),"/","")," ",""),8),5,2),--MID(LEFT(SUBSTITUTE(SUBSTITUTE(SUBSTITUTE(SUBSTITUTE(TRIM($W1746),"-",""),".",""),"/","")," ",""),8),7,2)),"")))</f>
        <v/>
      </c>
      <c r="Y1746" s="32">
        <f>IF($X1746="","",INT($X1746))</f>
        <v/>
      </c>
      <c r="Z1746" s="33">
        <f>IF(OR($Y1746="",$D$6=""),"",IF(INDEX($A:$U,ROW(),$D$6)="",0,IF(ISNUMBER(INDEX($A:$U,ROW(),$D$6)),INDEX($A:$U,ROW(),$D$6),IFERROR(--SUBSTITUTE(SUBSTITUTE(TRIM(INDEX($A:$U,ROW(),$D$6)),",",""),"원",""),0))))</f>
        <v/>
      </c>
      <c r="AA1746" s="31">
        <f>IF($Y1746="","",TRIM(INDEX($A:$U,ROW(),$E$6)&amp;IF($F$6="",""," "&amp;INDEX($A:$U,ROW(),$F$6))))</f>
        <v/>
      </c>
      <c r="AB1746" s="31">
        <f>IF($AA1746="","",SUBSTITUTE(SUBSTITUTE(SUBSTITUTE(SUBSTITUTE(SUBSTITUTE(SUBSTITUTE(SUBSTITUTE(SUBSTITUTE(SUBSTITUTE($AA1746," ",""),"　",""),"(주)",""),"（주）",""),"㈜",""),"주식회사",""),"(유)",""),"（유）",""),"유한회사",""))</f>
        <v/>
      </c>
      <c r="AC1746" s="31">
        <f>IF(OR($Y1746="",N($Z1746)&lt;=0,$AB1746=""),0,IFERROR(LOOKUP(2,1/((거래처별!$AC$8:$AC$307&lt;&gt;"")*ISNUMBER(SEARCH(거래처별!$AC$8:$AC$307,$AB1746))),거래처별!$A$8:$A$307),IFERROR(LOOKUP(2,1/((거래처별!$AD$8:$AD$307&lt;&gt;"")*ISNUMBER(SEARCH(거래처별!$AD$8:$AD$307,$AB1746))),거래처별!$A$8:$A$307),IFERROR(LOOKUP(2,1/((거래처별!$AE$8:$AE$307&lt;&gt;"")*ISNUMBER(SEARCH(거래처별!$AE$8:$AE$307,$AB1746))),거래처별!$A$8:$A$307),0))))</f>
        <v/>
      </c>
      <c r="AD1746" s="31">
        <f>IF(AND($Y1746&lt;&gt;"",N($Z1746)&gt;0,$AC1746=0),MAX($AD$7:$AD1745)+1,"")</f>
        <v/>
      </c>
      <c r="AE1746" s="31">
        <f>IF($Y1746="",0,$Y1746)</f>
        <v/>
      </c>
    </row>
    <row r="1747">
      <c r="W1747" s="31">
        <f>IF(OR($B$5="",$C$6="",ROW()&lt;$B$5),"",IF(INDEX($A:$U,ROW(),$C$6)="","",INDEX($A:$U,ROW(),$C$6)))</f>
        <v/>
      </c>
      <c r="X1747" s="32">
        <f>IF($W1747="","",IF(ISNUMBER($W1747),IF($W1747&gt;=10000000,IFERROR(DATE(INT($W1747/10000),MOD(INT($W1747/100),100),MOD($W1747,100)),""),INT($W1747)),IFERROR(DATE(--LEFT(LEFT(SUBSTITUTE(SUBSTITUTE(SUBSTITUTE(SUBSTITUTE(TRIM($W1747),"-",""),".",""),"/","")," ",""),8),4),--MID(LEFT(SUBSTITUTE(SUBSTITUTE(SUBSTITUTE(SUBSTITUTE(TRIM($W1747),"-",""),".",""),"/","")," ",""),8),5,2),--MID(LEFT(SUBSTITUTE(SUBSTITUTE(SUBSTITUTE(SUBSTITUTE(TRIM($W1747),"-",""),".",""),"/","")," ",""),8),7,2)),"")))</f>
        <v/>
      </c>
      <c r="Y1747" s="32">
        <f>IF($X1747="","",INT($X1747))</f>
        <v/>
      </c>
      <c r="Z1747" s="33">
        <f>IF(OR($Y1747="",$D$6=""),"",IF(INDEX($A:$U,ROW(),$D$6)="",0,IF(ISNUMBER(INDEX($A:$U,ROW(),$D$6)),INDEX($A:$U,ROW(),$D$6),IFERROR(--SUBSTITUTE(SUBSTITUTE(TRIM(INDEX($A:$U,ROW(),$D$6)),",",""),"원",""),0))))</f>
        <v/>
      </c>
      <c r="AA1747" s="31">
        <f>IF($Y1747="","",TRIM(INDEX($A:$U,ROW(),$E$6)&amp;IF($F$6="",""," "&amp;INDEX($A:$U,ROW(),$F$6))))</f>
        <v/>
      </c>
      <c r="AB1747" s="31">
        <f>IF($AA1747="","",SUBSTITUTE(SUBSTITUTE(SUBSTITUTE(SUBSTITUTE(SUBSTITUTE(SUBSTITUTE(SUBSTITUTE(SUBSTITUTE(SUBSTITUTE($AA1747," ",""),"　",""),"(주)",""),"（주）",""),"㈜",""),"주식회사",""),"(유)",""),"（유）",""),"유한회사",""))</f>
        <v/>
      </c>
      <c r="AC1747" s="31">
        <f>IF(OR($Y1747="",N($Z1747)&lt;=0,$AB1747=""),0,IFERROR(LOOKUP(2,1/((거래처별!$AC$8:$AC$307&lt;&gt;"")*ISNUMBER(SEARCH(거래처별!$AC$8:$AC$307,$AB1747))),거래처별!$A$8:$A$307),IFERROR(LOOKUP(2,1/((거래처별!$AD$8:$AD$307&lt;&gt;"")*ISNUMBER(SEARCH(거래처별!$AD$8:$AD$307,$AB1747))),거래처별!$A$8:$A$307),IFERROR(LOOKUP(2,1/((거래처별!$AE$8:$AE$307&lt;&gt;"")*ISNUMBER(SEARCH(거래처별!$AE$8:$AE$307,$AB1747))),거래처별!$A$8:$A$307),0))))</f>
        <v/>
      </c>
      <c r="AD1747" s="31">
        <f>IF(AND($Y1747&lt;&gt;"",N($Z1747)&gt;0,$AC1747=0),MAX($AD$7:$AD1746)+1,"")</f>
        <v/>
      </c>
      <c r="AE1747" s="31">
        <f>IF($Y1747="",0,$Y1747)</f>
        <v/>
      </c>
    </row>
    <row r="1748">
      <c r="W1748" s="31">
        <f>IF(OR($B$5="",$C$6="",ROW()&lt;$B$5),"",IF(INDEX($A:$U,ROW(),$C$6)="","",INDEX($A:$U,ROW(),$C$6)))</f>
        <v/>
      </c>
      <c r="X1748" s="32">
        <f>IF($W1748="","",IF(ISNUMBER($W1748),IF($W1748&gt;=10000000,IFERROR(DATE(INT($W1748/10000),MOD(INT($W1748/100),100),MOD($W1748,100)),""),INT($W1748)),IFERROR(DATE(--LEFT(LEFT(SUBSTITUTE(SUBSTITUTE(SUBSTITUTE(SUBSTITUTE(TRIM($W1748),"-",""),".",""),"/","")," ",""),8),4),--MID(LEFT(SUBSTITUTE(SUBSTITUTE(SUBSTITUTE(SUBSTITUTE(TRIM($W1748),"-",""),".",""),"/","")," ",""),8),5,2),--MID(LEFT(SUBSTITUTE(SUBSTITUTE(SUBSTITUTE(SUBSTITUTE(TRIM($W1748),"-",""),".",""),"/","")," ",""),8),7,2)),"")))</f>
        <v/>
      </c>
      <c r="Y1748" s="32">
        <f>IF($X1748="","",INT($X1748))</f>
        <v/>
      </c>
      <c r="Z1748" s="33">
        <f>IF(OR($Y1748="",$D$6=""),"",IF(INDEX($A:$U,ROW(),$D$6)="",0,IF(ISNUMBER(INDEX($A:$U,ROW(),$D$6)),INDEX($A:$U,ROW(),$D$6),IFERROR(--SUBSTITUTE(SUBSTITUTE(TRIM(INDEX($A:$U,ROW(),$D$6)),",",""),"원",""),0))))</f>
        <v/>
      </c>
      <c r="AA1748" s="31">
        <f>IF($Y1748="","",TRIM(INDEX($A:$U,ROW(),$E$6)&amp;IF($F$6="",""," "&amp;INDEX($A:$U,ROW(),$F$6))))</f>
        <v/>
      </c>
      <c r="AB1748" s="31">
        <f>IF($AA1748="","",SUBSTITUTE(SUBSTITUTE(SUBSTITUTE(SUBSTITUTE(SUBSTITUTE(SUBSTITUTE(SUBSTITUTE(SUBSTITUTE(SUBSTITUTE($AA1748," ",""),"　",""),"(주)",""),"（주）",""),"㈜",""),"주식회사",""),"(유)",""),"（유）",""),"유한회사",""))</f>
        <v/>
      </c>
      <c r="AC1748" s="31">
        <f>IF(OR($Y1748="",N($Z1748)&lt;=0,$AB1748=""),0,IFERROR(LOOKUP(2,1/((거래처별!$AC$8:$AC$307&lt;&gt;"")*ISNUMBER(SEARCH(거래처별!$AC$8:$AC$307,$AB1748))),거래처별!$A$8:$A$307),IFERROR(LOOKUP(2,1/((거래처별!$AD$8:$AD$307&lt;&gt;"")*ISNUMBER(SEARCH(거래처별!$AD$8:$AD$307,$AB1748))),거래처별!$A$8:$A$307),IFERROR(LOOKUP(2,1/((거래처별!$AE$8:$AE$307&lt;&gt;"")*ISNUMBER(SEARCH(거래처별!$AE$8:$AE$307,$AB1748))),거래처별!$A$8:$A$307),0))))</f>
        <v/>
      </c>
      <c r="AD1748" s="31">
        <f>IF(AND($Y1748&lt;&gt;"",N($Z1748)&gt;0,$AC1748=0),MAX($AD$7:$AD1747)+1,"")</f>
        <v/>
      </c>
      <c r="AE1748" s="31">
        <f>IF($Y1748="",0,$Y1748)</f>
        <v/>
      </c>
    </row>
    <row r="1749">
      <c r="W1749" s="31">
        <f>IF(OR($B$5="",$C$6="",ROW()&lt;$B$5),"",IF(INDEX($A:$U,ROW(),$C$6)="","",INDEX($A:$U,ROW(),$C$6)))</f>
        <v/>
      </c>
      <c r="X1749" s="32">
        <f>IF($W1749="","",IF(ISNUMBER($W1749),IF($W1749&gt;=10000000,IFERROR(DATE(INT($W1749/10000),MOD(INT($W1749/100),100),MOD($W1749,100)),""),INT($W1749)),IFERROR(DATE(--LEFT(LEFT(SUBSTITUTE(SUBSTITUTE(SUBSTITUTE(SUBSTITUTE(TRIM($W1749),"-",""),".",""),"/","")," ",""),8),4),--MID(LEFT(SUBSTITUTE(SUBSTITUTE(SUBSTITUTE(SUBSTITUTE(TRIM($W1749),"-",""),".",""),"/","")," ",""),8),5,2),--MID(LEFT(SUBSTITUTE(SUBSTITUTE(SUBSTITUTE(SUBSTITUTE(TRIM($W1749),"-",""),".",""),"/","")," ",""),8),7,2)),"")))</f>
        <v/>
      </c>
      <c r="Y1749" s="32">
        <f>IF($X1749="","",INT($X1749))</f>
        <v/>
      </c>
      <c r="Z1749" s="33">
        <f>IF(OR($Y1749="",$D$6=""),"",IF(INDEX($A:$U,ROW(),$D$6)="",0,IF(ISNUMBER(INDEX($A:$U,ROW(),$D$6)),INDEX($A:$U,ROW(),$D$6),IFERROR(--SUBSTITUTE(SUBSTITUTE(TRIM(INDEX($A:$U,ROW(),$D$6)),",",""),"원",""),0))))</f>
        <v/>
      </c>
      <c r="AA1749" s="31">
        <f>IF($Y1749="","",TRIM(INDEX($A:$U,ROW(),$E$6)&amp;IF($F$6="",""," "&amp;INDEX($A:$U,ROW(),$F$6))))</f>
        <v/>
      </c>
      <c r="AB1749" s="31">
        <f>IF($AA1749="","",SUBSTITUTE(SUBSTITUTE(SUBSTITUTE(SUBSTITUTE(SUBSTITUTE(SUBSTITUTE(SUBSTITUTE(SUBSTITUTE(SUBSTITUTE($AA1749," ",""),"　",""),"(주)",""),"（주）",""),"㈜",""),"주식회사",""),"(유)",""),"（유）",""),"유한회사",""))</f>
        <v/>
      </c>
      <c r="AC1749" s="31">
        <f>IF(OR($Y1749="",N($Z1749)&lt;=0,$AB1749=""),0,IFERROR(LOOKUP(2,1/((거래처별!$AC$8:$AC$307&lt;&gt;"")*ISNUMBER(SEARCH(거래처별!$AC$8:$AC$307,$AB1749))),거래처별!$A$8:$A$307),IFERROR(LOOKUP(2,1/((거래처별!$AD$8:$AD$307&lt;&gt;"")*ISNUMBER(SEARCH(거래처별!$AD$8:$AD$307,$AB1749))),거래처별!$A$8:$A$307),IFERROR(LOOKUP(2,1/((거래처별!$AE$8:$AE$307&lt;&gt;"")*ISNUMBER(SEARCH(거래처별!$AE$8:$AE$307,$AB1749))),거래처별!$A$8:$A$307),0))))</f>
        <v/>
      </c>
      <c r="AD1749" s="31">
        <f>IF(AND($Y1749&lt;&gt;"",N($Z1749)&gt;0,$AC1749=0),MAX($AD$7:$AD1748)+1,"")</f>
        <v/>
      </c>
      <c r="AE1749" s="31">
        <f>IF($Y1749="",0,$Y1749)</f>
        <v/>
      </c>
    </row>
    <row r="1750">
      <c r="W1750" s="31">
        <f>IF(OR($B$5="",$C$6="",ROW()&lt;$B$5),"",IF(INDEX($A:$U,ROW(),$C$6)="","",INDEX($A:$U,ROW(),$C$6)))</f>
        <v/>
      </c>
      <c r="X1750" s="32">
        <f>IF($W1750="","",IF(ISNUMBER($W1750),IF($W1750&gt;=10000000,IFERROR(DATE(INT($W1750/10000),MOD(INT($W1750/100),100),MOD($W1750,100)),""),INT($W1750)),IFERROR(DATE(--LEFT(LEFT(SUBSTITUTE(SUBSTITUTE(SUBSTITUTE(SUBSTITUTE(TRIM($W1750),"-",""),".",""),"/","")," ",""),8),4),--MID(LEFT(SUBSTITUTE(SUBSTITUTE(SUBSTITUTE(SUBSTITUTE(TRIM($W1750),"-",""),".",""),"/","")," ",""),8),5,2),--MID(LEFT(SUBSTITUTE(SUBSTITUTE(SUBSTITUTE(SUBSTITUTE(TRIM($W1750),"-",""),".",""),"/","")," ",""),8),7,2)),"")))</f>
        <v/>
      </c>
      <c r="Y1750" s="32">
        <f>IF($X1750="","",INT($X1750))</f>
        <v/>
      </c>
      <c r="Z1750" s="33">
        <f>IF(OR($Y1750="",$D$6=""),"",IF(INDEX($A:$U,ROW(),$D$6)="",0,IF(ISNUMBER(INDEX($A:$U,ROW(),$D$6)),INDEX($A:$U,ROW(),$D$6),IFERROR(--SUBSTITUTE(SUBSTITUTE(TRIM(INDEX($A:$U,ROW(),$D$6)),",",""),"원",""),0))))</f>
        <v/>
      </c>
      <c r="AA1750" s="31">
        <f>IF($Y1750="","",TRIM(INDEX($A:$U,ROW(),$E$6)&amp;IF($F$6="",""," "&amp;INDEX($A:$U,ROW(),$F$6))))</f>
        <v/>
      </c>
      <c r="AB1750" s="31">
        <f>IF($AA1750="","",SUBSTITUTE(SUBSTITUTE(SUBSTITUTE(SUBSTITUTE(SUBSTITUTE(SUBSTITUTE(SUBSTITUTE(SUBSTITUTE(SUBSTITUTE($AA1750," ",""),"　",""),"(주)",""),"（주）",""),"㈜",""),"주식회사",""),"(유)",""),"（유）",""),"유한회사",""))</f>
        <v/>
      </c>
      <c r="AC1750" s="31">
        <f>IF(OR($Y1750="",N($Z1750)&lt;=0,$AB1750=""),0,IFERROR(LOOKUP(2,1/((거래처별!$AC$8:$AC$307&lt;&gt;"")*ISNUMBER(SEARCH(거래처별!$AC$8:$AC$307,$AB1750))),거래처별!$A$8:$A$307),IFERROR(LOOKUP(2,1/((거래처별!$AD$8:$AD$307&lt;&gt;"")*ISNUMBER(SEARCH(거래처별!$AD$8:$AD$307,$AB1750))),거래처별!$A$8:$A$307),IFERROR(LOOKUP(2,1/((거래처별!$AE$8:$AE$307&lt;&gt;"")*ISNUMBER(SEARCH(거래처별!$AE$8:$AE$307,$AB1750))),거래처별!$A$8:$A$307),0))))</f>
        <v/>
      </c>
      <c r="AD1750" s="31">
        <f>IF(AND($Y1750&lt;&gt;"",N($Z1750)&gt;0,$AC1750=0),MAX($AD$7:$AD1749)+1,"")</f>
        <v/>
      </c>
      <c r="AE1750" s="31">
        <f>IF($Y1750="",0,$Y1750)</f>
        <v/>
      </c>
    </row>
    <row r="1751">
      <c r="W1751" s="31">
        <f>IF(OR($B$5="",$C$6="",ROW()&lt;$B$5),"",IF(INDEX($A:$U,ROW(),$C$6)="","",INDEX($A:$U,ROW(),$C$6)))</f>
        <v/>
      </c>
      <c r="X1751" s="32">
        <f>IF($W1751="","",IF(ISNUMBER($W1751),IF($W1751&gt;=10000000,IFERROR(DATE(INT($W1751/10000),MOD(INT($W1751/100),100),MOD($W1751,100)),""),INT($W1751)),IFERROR(DATE(--LEFT(LEFT(SUBSTITUTE(SUBSTITUTE(SUBSTITUTE(SUBSTITUTE(TRIM($W1751),"-",""),".",""),"/","")," ",""),8),4),--MID(LEFT(SUBSTITUTE(SUBSTITUTE(SUBSTITUTE(SUBSTITUTE(TRIM($W1751),"-",""),".",""),"/","")," ",""),8),5,2),--MID(LEFT(SUBSTITUTE(SUBSTITUTE(SUBSTITUTE(SUBSTITUTE(TRIM($W1751),"-",""),".",""),"/","")," ",""),8),7,2)),"")))</f>
        <v/>
      </c>
      <c r="Y1751" s="32">
        <f>IF($X1751="","",INT($X1751))</f>
        <v/>
      </c>
      <c r="Z1751" s="33">
        <f>IF(OR($Y1751="",$D$6=""),"",IF(INDEX($A:$U,ROW(),$D$6)="",0,IF(ISNUMBER(INDEX($A:$U,ROW(),$D$6)),INDEX($A:$U,ROW(),$D$6),IFERROR(--SUBSTITUTE(SUBSTITUTE(TRIM(INDEX($A:$U,ROW(),$D$6)),",",""),"원",""),0))))</f>
        <v/>
      </c>
      <c r="AA1751" s="31">
        <f>IF($Y1751="","",TRIM(INDEX($A:$U,ROW(),$E$6)&amp;IF($F$6="",""," "&amp;INDEX($A:$U,ROW(),$F$6))))</f>
        <v/>
      </c>
      <c r="AB1751" s="31">
        <f>IF($AA1751="","",SUBSTITUTE(SUBSTITUTE(SUBSTITUTE(SUBSTITUTE(SUBSTITUTE(SUBSTITUTE(SUBSTITUTE(SUBSTITUTE(SUBSTITUTE($AA1751," ",""),"　",""),"(주)",""),"（주）",""),"㈜",""),"주식회사",""),"(유)",""),"（유）",""),"유한회사",""))</f>
        <v/>
      </c>
      <c r="AC1751" s="31">
        <f>IF(OR($Y1751="",N($Z1751)&lt;=0,$AB1751=""),0,IFERROR(LOOKUP(2,1/((거래처별!$AC$8:$AC$307&lt;&gt;"")*ISNUMBER(SEARCH(거래처별!$AC$8:$AC$307,$AB1751))),거래처별!$A$8:$A$307),IFERROR(LOOKUP(2,1/((거래처별!$AD$8:$AD$307&lt;&gt;"")*ISNUMBER(SEARCH(거래처별!$AD$8:$AD$307,$AB1751))),거래처별!$A$8:$A$307),IFERROR(LOOKUP(2,1/((거래처별!$AE$8:$AE$307&lt;&gt;"")*ISNUMBER(SEARCH(거래처별!$AE$8:$AE$307,$AB1751))),거래처별!$A$8:$A$307),0))))</f>
        <v/>
      </c>
      <c r="AD1751" s="31">
        <f>IF(AND($Y1751&lt;&gt;"",N($Z1751)&gt;0,$AC1751=0),MAX($AD$7:$AD1750)+1,"")</f>
        <v/>
      </c>
      <c r="AE1751" s="31">
        <f>IF($Y1751="",0,$Y1751)</f>
        <v/>
      </c>
    </row>
    <row r="1752">
      <c r="W1752" s="31">
        <f>IF(OR($B$5="",$C$6="",ROW()&lt;$B$5),"",IF(INDEX($A:$U,ROW(),$C$6)="","",INDEX($A:$U,ROW(),$C$6)))</f>
        <v/>
      </c>
      <c r="X1752" s="32">
        <f>IF($W1752="","",IF(ISNUMBER($W1752),IF($W1752&gt;=10000000,IFERROR(DATE(INT($W1752/10000),MOD(INT($W1752/100),100),MOD($W1752,100)),""),INT($W1752)),IFERROR(DATE(--LEFT(LEFT(SUBSTITUTE(SUBSTITUTE(SUBSTITUTE(SUBSTITUTE(TRIM($W1752),"-",""),".",""),"/","")," ",""),8),4),--MID(LEFT(SUBSTITUTE(SUBSTITUTE(SUBSTITUTE(SUBSTITUTE(TRIM($W1752),"-",""),".",""),"/","")," ",""),8),5,2),--MID(LEFT(SUBSTITUTE(SUBSTITUTE(SUBSTITUTE(SUBSTITUTE(TRIM($W1752),"-",""),".",""),"/","")," ",""),8),7,2)),"")))</f>
        <v/>
      </c>
      <c r="Y1752" s="32">
        <f>IF($X1752="","",INT($X1752))</f>
        <v/>
      </c>
      <c r="Z1752" s="33">
        <f>IF(OR($Y1752="",$D$6=""),"",IF(INDEX($A:$U,ROW(),$D$6)="",0,IF(ISNUMBER(INDEX($A:$U,ROW(),$D$6)),INDEX($A:$U,ROW(),$D$6),IFERROR(--SUBSTITUTE(SUBSTITUTE(TRIM(INDEX($A:$U,ROW(),$D$6)),",",""),"원",""),0))))</f>
        <v/>
      </c>
      <c r="AA1752" s="31">
        <f>IF($Y1752="","",TRIM(INDEX($A:$U,ROW(),$E$6)&amp;IF($F$6="",""," "&amp;INDEX($A:$U,ROW(),$F$6))))</f>
        <v/>
      </c>
      <c r="AB1752" s="31">
        <f>IF($AA1752="","",SUBSTITUTE(SUBSTITUTE(SUBSTITUTE(SUBSTITUTE(SUBSTITUTE(SUBSTITUTE(SUBSTITUTE(SUBSTITUTE(SUBSTITUTE($AA1752," ",""),"　",""),"(주)",""),"（주）",""),"㈜",""),"주식회사",""),"(유)",""),"（유）",""),"유한회사",""))</f>
        <v/>
      </c>
      <c r="AC1752" s="31">
        <f>IF(OR($Y1752="",N($Z1752)&lt;=0,$AB1752=""),0,IFERROR(LOOKUP(2,1/((거래처별!$AC$8:$AC$307&lt;&gt;"")*ISNUMBER(SEARCH(거래처별!$AC$8:$AC$307,$AB1752))),거래처별!$A$8:$A$307),IFERROR(LOOKUP(2,1/((거래처별!$AD$8:$AD$307&lt;&gt;"")*ISNUMBER(SEARCH(거래처별!$AD$8:$AD$307,$AB1752))),거래처별!$A$8:$A$307),IFERROR(LOOKUP(2,1/((거래처별!$AE$8:$AE$307&lt;&gt;"")*ISNUMBER(SEARCH(거래처별!$AE$8:$AE$307,$AB1752))),거래처별!$A$8:$A$307),0))))</f>
        <v/>
      </c>
      <c r="AD1752" s="31">
        <f>IF(AND($Y1752&lt;&gt;"",N($Z1752)&gt;0,$AC1752=0),MAX($AD$7:$AD1751)+1,"")</f>
        <v/>
      </c>
      <c r="AE1752" s="31">
        <f>IF($Y1752="",0,$Y1752)</f>
        <v/>
      </c>
    </row>
    <row r="1753">
      <c r="W1753" s="31">
        <f>IF(OR($B$5="",$C$6="",ROW()&lt;$B$5),"",IF(INDEX($A:$U,ROW(),$C$6)="","",INDEX($A:$U,ROW(),$C$6)))</f>
        <v/>
      </c>
      <c r="X1753" s="32">
        <f>IF($W1753="","",IF(ISNUMBER($W1753),IF($W1753&gt;=10000000,IFERROR(DATE(INT($W1753/10000),MOD(INT($W1753/100),100),MOD($W1753,100)),""),INT($W1753)),IFERROR(DATE(--LEFT(LEFT(SUBSTITUTE(SUBSTITUTE(SUBSTITUTE(SUBSTITUTE(TRIM($W1753),"-",""),".",""),"/","")," ",""),8),4),--MID(LEFT(SUBSTITUTE(SUBSTITUTE(SUBSTITUTE(SUBSTITUTE(TRIM($W1753),"-",""),".",""),"/","")," ",""),8),5,2),--MID(LEFT(SUBSTITUTE(SUBSTITUTE(SUBSTITUTE(SUBSTITUTE(TRIM($W1753),"-",""),".",""),"/","")," ",""),8),7,2)),"")))</f>
        <v/>
      </c>
      <c r="Y1753" s="32">
        <f>IF($X1753="","",INT($X1753))</f>
        <v/>
      </c>
      <c r="Z1753" s="33">
        <f>IF(OR($Y1753="",$D$6=""),"",IF(INDEX($A:$U,ROW(),$D$6)="",0,IF(ISNUMBER(INDEX($A:$U,ROW(),$D$6)),INDEX($A:$U,ROW(),$D$6),IFERROR(--SUBSTITUTE(SUBSTITUTE(TRIM(INDEX($A:$U,ROW(),$D$6)),",",""),"원",""),0))))</f>
        <v/>
      </c>
      <c r="AA1753" s="31">
        <f>IF($Y1753="","",TRIM(INDEX($A:$U,ROW(),$E$6)&amp;IF($F$6="",""," "&amp;INDEX($A:$U,ROW(),$F$6))))</f>
        <v/>
      </c>
      <c r="AB1753" s="31">
        <f>IF($AA1753="","",SUBSTITUTE(SUBSTITUTE(SUBSTITUTE(SUBSTITUTE(SUBSTITUTE(SUBSTITUTE(SUBSTITUTE(SUBSTITUTE(SUBSTITUTE($AA1753," ",""),"　",""),"(주)",""),"（주）",""),"㈜",""),"주식회사",""),"(유)",""),"（유）",""),"유한회사",""))</f>
        <v/>
      </c>
      <c r="AC1753" s="31">
        <f>IF(OR($Y1753="",N($Z1753)&lt;=0,$AB1753=""),0,IFERROR(LOOKUP(2,1/((거래처별!$AC$8:$AC$307&lt;&gt;"")*ISNUMBER(SEARCH(거래처별!$AC$8:$AC$307,$AB1753))),거래처별!$A$8:$A$307),IFERROR(LOOKUP(2,1/((거래처별!$AD$8:$AD$307&lt;&gt;"")*ISNUMBER(SEARCH(거래처별!$AD$8:$AD$307,$AB1753))),거래처별!$A$8:$A$307),IFERROR(LOOKUP(2,1/((거래처별!$AE$8:$AE$307&lt;&gt;"")*ISNUMBER(SEARCH(거래처별!$AE$8:$AE$307,$AB1753))),거래처별!$A$8:$A$307),0))))</f>
        <v/>
      </c>
      <c r="AD1753" s="31">
        <f>IF(AND($Y1753&lt;&gt;"",N($Z1753)&gt;0,$AC1753=0),MAX($AD$7:$AD1752)+1,"")</f>
        <v/>
      </c>
      <c r="AE1753" s="31">
        <f>IF($Y1753="",0,$Y1753)</f>
        <v/>
      </c>
    </row>
    <row r="1754">
      <c r="W1754" s="31">
        <f>IF(OR($B$5="",$C$6="",ROW()&lt;$B$5),"",IF(INDEX($A:$U,ROW(),$C$6)="","",INDEX($A:$U,ROW(),$C$6)))</f>
        <v/>
      </c>
      <c r="X1754" s="32">
        <f>IF($W1754="","",IF(ISNUMBER($W1754),IF($W1754&gt;=10000000,IFERROR(DATE(INT($W1754/10000),MOD(INT($W1754/100),100),MOD($W1754,100)),""),INT($W1754)),IFERROR(DATE(--LEFT(LEFT(SUBSTITUTE(SUBSTITUTE(SUBSTITUTE(SUBSTITUTE(TRIM($W1754),"-",""),".",""),"/","")," ",""),8),4),--MID(LEFT(SUBSTITUTE(SUBSTITUTE(SUBSTITUTE(SUBSTITUTE(TRIM($W1754),"-",""),".",""),"/","")," ",""),8),5,2),--MID(LEFT(SUBSTITUTE(SUBSTITUTE(SUBSTITUTE(SUBSTITUTE(TRIM($W1754),"-",""),".",""),"/","")," ",""),8),7,2)),"")))</f>
        <v/>
      </c>
      <c r="Y1754" s="32">
        <f>IF($X1754="","",INT($X1754))</f>
        <v/>
      </c>
      <c r="Z1754" s="33">
        <f>IF(OR($Y1754="",$D$6=""),"",IF(INDEX($A:$U,ROW(),$D$6)="",0,IF(ISNUMBER(INDEX($A:$U,ROW(),$D$6)),INDEX($A:$U,ROW(),$D$6),IFERROR(--SUBSTITUTE(SUBSTITUTE(TRIM(INDEX($A:$U,ROW(),$D$6)),",",""),"원",""),0))))</f>
        <v/>
      </c>
      <c r="AA1754" s="31">
        <f>IF($Y1754="","",TRIM(INDEX($A:$U,ROW(),$E$6)&amp;IF($F$6="",""," "&amp;INDEX($A:$U,ROW(),$F$6))))</f>
        <v/>
      </c>
      <c r="AB1754" s="31">
        <f>IF($AA1754="","",SUBSTITUTE(SUBSTITUTE(SUBSTITUTE(SUBSTITUTE(SUBSTITUTE(SUBSTITUTE(SUBSTITUTE(SUBSTITUTE(SUBSTITUTE($AA1754," ",""),"　",""),"(주)",""),"（주）",""),"㈜",""),"주식회사",""),"(유)",""),"（유）",""),"유한회사",""))</f>
        <v/>
      </c>
      <c r="AC1754" s="31">
        <f>IF(OR($Y1754="",N($Z1754)&lt;=0,$AB1754=""),0,IFERROR(LOOKUP(2,1/((거래처별!$AC$8:$AC$307&lt;&gt;"")*ISNUMBER(SEARCH(거래처별!$AC$8:$AC$307,$AB1754))),거래처별!$A$8:$A$307),IFERROR(LOOKUP(2,1/((거래처별!$AD$8:$AD$307&lt;&gt;"")*ISNUMBER(SEARCH(거래처별!$AD$8:$AD$307,$AB1754))),거래처별!$A$8:$A$307),IFERROR(LOOKUP(2,1/((거래처별!$AE$8:$AE$307&lt;&gt;"")*ISNUMBER(SEARCH(거래처별!$AE$8:$AE$307,$AB1754))),거래처별!$A$8:$A$307),0))))</f>
        <v/>
      </c>
      <c r="AD1754" s="31">
        <f>IF(AND($Y1754&lt;&gt;"",N($Z1754)&gt;0,$AC1754=0),MAX($AD$7:$AD1753)+1,"")</f>
        <v/>
      </c>
      <c r="AE1754" s="31">
        <f>IF($Y1754="",0,$Y1754)</f>
        <v/>
      </c>
    </row>
    <row r="1755">
      <c r="W1755" s="31">
        <f>IF(OR($B$5="",$C$6="",ROW()&lt;$B$5),"",IF(INDEX($A:$U,ROW(),$C$6)="","",INDEX($A:$U,ROW(),$C$6)))</f>
        <v/>
      </c>
      <c r="X1755" s="32">
        <f>IF($W1755="","",IF(ISNUMBER($W1755),IF($W1755&gt;=10000000,IFERROR(DATE(INT($W1755/10000),MOD(INT($W1755/100),100),MOD($W1755,100)),""),INT($W1755)),IFERROR(DATE(--LEFT(LEFT(SUBSTITUTE(SUBSTITUTE(SUBSTITUTE(SUBSTITUTE(TRIM($W1755),"-",""),".",""),"/","")," ",""),8),4),--MID(LEFT(SUBSTITUTE(SUBSTITUTE(SUBSTITUTE(SUBSTITUTE(TRIM($W1755),"-",""),".",""),"/","")," ",""),8),5,2),--MID(LEFT(SUBSTITUTE(SUBSTITUTE(SUBSTITUTE(SUBSTITUTE(TRIM($W1755),"-",""),".",""),"/","")," ",""),8),7,2)),"")))</f>
        <v/>
      </c>
      <c r="Y1755" s="32">
        <f>IF($X1755="","",INT($X1755))</f>
        <v/>
      </c>
      <c r="Z1755" s="33">
        <f>IF(OR($Y1755="",$D$6=""),"",IF(INDEX($A:$U,ROW(),$D$6)="",0,IF(ISNUMBER(INDEX($A:$U,ROW(),$D$6)),INDEX($A:$U,ROW(),$D$6),IFERROR(--SUBSTITUTE(SUBSTITUTE(TRIM(INDEX($A:$U,ROW(),$D$6)),",",""),"원",""),0))))</f>
        <v/>
      </c>
      <c r="AA1755" s="31">
        <f>IF($Y1755="","",TRIM(INDEX($A:$U,ROW(),$E$6)&amp;IF($F$6="",""," "&amp;INDEX($A:$U,ROW(),$F$6))))</f>
        <v/>
      </c>
      <c r="AB1755" s="31">
        <f>IF($AA1755="","",SUBSTITUTE(SUBSTITUTE(SUBSTITUTE(SUBSTITUTE(SUBSTITUTE(SUBSTITUTE(SUBSTITUTE(SUBSTITUTE(SUBSTITUTE($AA1755," ",""),"　",""),"(주)",""),"（주）",""),"㈜",""),"주식회사",""),"(유)",""),"（유）",""),"유한회사",""))</f>
        <v/>
      </c>
      <c r="AC1755" s="31">
        <f>IF(OR($Y1755="",N($Z1755)&lt;=0,$AB1755=""),0,IFERROR(LOOKUP(2,1/((거래처별!$AC$8:$AC$307&lt;&gt;"")*ISNUMBER(SEARCH(거래처별!$AC$8:$AC$307,$AB1755))),거래처별!$A$8:$A$307),IFERROR(LOOKUP(2,1/((거래처별!$AD$8:$AD$307&lt;&gt;"")*ISNUMBER(SEARCH(거래처별!$AD$8:$AD$307,$AB1755))),거래처별!$A$8:$A$307),IFERROR(LOOKUP(2,1/((거래처별!$AE$8:$AE$307&lt;&gt;"")*ISNUMBER(SEARCH(거래처별!$AE$8:$AE$307,$AB1755))),거래처별!$A$8:$A$307),0))))</f>
        <v/>
      </c>
      <c r="AD1755" s="31">
        <f>IF(AND($Y1755&lt;&gt;"",N($Z1755)&gt;0,$AC1755=0),MAX($AD$7:$AD1754)+1,"")</f>
        <v/>
      </c>
      <c r="AE1755" s="31">
        <f>IF($Y1755="",0,$Y1755)</f>
        <v/>
      </c>
    </row>
    <row r="1756">
      <c r="W1756" s="31">
        <f>IF(OR($B$5="",$C$6="",ROW()&lt;$B$5),"",IF(INDEX($A:$U,ROW(),$C$6)="","",INDEX($A:$U,ROW(),$C$6)))</f>
        <v/>
      </c>
      <c r="X1756" s="32">
        <f>IF($W1756="","",IF(ISNUMBER($W1756),IF($W1756&gt;=10000000,IFERROR(DATE(INT($W1756/10000),MOD(INT($W1756/100),100),MOD($W1756,100)),""),INT($W1756)),IFERROR(DATE(--LEFT(LEFT(SUBSTITUTE(SUBSTITUTE(SUBSTITUTE(SUBSTITUTE(TRIM($W1756),"-",""),".",""),"/","")," ",""),8),4),--MID(LEFT(SUBSTITUTE(SUBSTITUTE(SUBSTITUTE(SUBSTITUTE(TRIM($W1756),"-",""),".",""),"/","")," ",""),8),5,2),--MID(LEFT(SUBSTITUTE(SUBSTITUTE(SUBSTITUTE(SUBSTITUTE(TRIM($W1756),"-",""),".",""),"/","")," ",""),8),7,2)),"")))</f>
        <v/>
      </c>
      <c r="Y1756" s="32">
        <f>IF($X1756="","",INT($X1756))</f>
        <v/>
      </c>
      <c r="Z1756" s="33">
        <f>IF(OR($Y1756="",$D$6=""),"",IF(INDEX($A:$U,ROW(),$D$6)="",0,IF(ISNUMBER(INDEX($A:$U,ROW(),$D$6)),INDEX($A:$U,ROW(),$D$6),IFERROR(--SUBSTITUTE(SUBSTITUTE(TRIM(INDEX($A:$U,ROW(),$D$6)),",",""),"원",""),0))))</f>
        <v/>
      </c>
      <c r="AA1756" s="31">
        <f>IF($Y1756="","",TRIM(INDEX($A:$U,ROW(),$E$6)&amp;IF($F$6="",""," "&amp;INDEX($A:$U,ROW(),$F$6))))</f>
        <v/>
      </c>
      <c r="AB1756" s="31">
        <f>IF($AA1756="","",SUBSTITUTE(SUBSTITUTE(SUBSTITUTE(SUBSTITUTE(SUBSTITUTE(SUBSTITUTE(SUBSTITUTE(SUBSTITUTE(SUBSTITUTE($AA1756," ",""),"　",""),"(주)",""),"（주）",""),"㈜",""),"주식회사",""),"(유)",""),"（유）",""),"유한회사",""))</f>
        <v/>
      </c>
      <c r="AC1756" s="31">
        <f>IF(OR($Y1756="",N($Z1756)&lt;=0,$AB1756=""),0,IFERROR(LOOKUP(2,1/((거래처별!$AC$8:$AC$307&lt;&gt;"")*ISNUMBER(SEARCH(거래처별!$AC$8:$AC$307,$AB1756))),거래처별!$A$8:$A$307),IFERROR(LOOKUP(2,1/((거래처별!$AD$8:$AD$307&lt;&gt;"")*ISNUMBER(SEARCH(거래처별!$AD$8:$AD$307,$AB1756))),거래처별!$A$8:$A$307),IFERROR(LOOKUP(2,1/((거래처별!$AE$8:$AE$307&lt;&gt;"")*ISNUMBER(SEARCH(거래처별!$AE$8:$AE$307,$AB1756))),거래처별!$A$8:$A$307),0))))</f>
        <v/>
      </c>
      <c r="AD1756" s="31">
        <f>IF(AND($Y1756&lt;&gt;"",N($Z1756)&gt;0,$AC1756=0),MAX($AD$7:$AD1755)+1,"")</f>
        <v/>
      </c>
      <c r="AE1756" s="31">
        <f>IF($Y1756="",0,$Y1756)</f>
        <v/>
      </c>
    </row>
    <row r="1757">
      <c r="W1757" s="31">
        <f>IF(OR($B$5="",$C$6="",ROW()&lt;$B$5),"",IF(INDEX($A:$U,ROW(),$C$6)="","",INDEX($A:$U,ROW(),$C$6)))</f>
        <v/>
      </c>
      <c r="X1757" s="32">
        <f>IF($W1757="","",IF(ISNUMBER($W1757),IF($W1757&gt;=10000000,IFERROR(DATE(INT($W1757/10000),MOD(INT($W1757/100),100),MOD($W1757,100)),""),INT($W1757)),IFERROR(DATE(--LEFT(LEFT(SUBSTITUTE(SUBSTITUTE(SUBSTITUTE(SUBSTITUTE(TRIM($W1757),"-",""),".",""),"/","")," ",""),8),4),--MID(LEFT(SUBSTITUTE(SUBSTITUTE(SUBSTITUTE(SUBSTITUTE(TRIM($W1757),"-",""),".",""),"/","")," ",""),8),5,2),--MID(LEFT(SUBSTITUTE(SUBSTITUTE(SUBSTITUTE(SUBSTITUTE(TRIM($W1757),"-",""),".",""),"/","")," ",""),8),7,2)),"")))</f>
        <v/>
      </c>
      <c r="Y1757" s="32">
        <f>IF($X1757="","",INT($X1757))</f>
        <v/>
      </c>
      <c r="Z1757" s="33">
        <f>IF(OR($Y1757="",$D$6=""),"",IF(INDEX($A:$U,ROW(),$D$6)="",0,IF(ISNUMBER(INDEX($A:$U,ROW(),$D$6)),INDEX($A:$U,ROW(),$D$6),IFERROR(--SUBSTITUTE(SUBSTITUTE(TRIM(INDEX($A:$U,ROW(),$D$6)),",",""),"원",""),0))))</f>
        <v/>
      </c>
      <c r="AA1757" s="31">
        <f>IF($Y1757="","",TRIM(INDEX($A:$U,ROW(),$E$6)&amp;IF($F$6="",""," "&amp;INDEX($A:$U,ROW(),$F$6))))</f>
        <v/>
      </c>
      <c r="AB1757" s="31">
        <f>IF($AA1757="","",SUBSTITUTE(SUBSTITUTE(SUBSTITUTE(SUBSTITUTE(SUBSTITUTE(SUBSTITUTE(SUBSTITUTE(SUBSTITUTE(SUBSTITUTE($AA1757," ",""),"　",""),"(주)",""),"（주）",""),"㈜",""),"주식회사",""),"(유)",""),"（유）",""),"유한회사",""))</f>
        <v/>
      </c>
      <c r="AC1757" s="31">
        <f>IF(OR($Y1757="",N($Z1757)&lt;=0,$AB1757=""),0,IFERROR(LOOKUP(2,1/((거래처별!$AC$8:$AC$307&lt;&gt;"")*ISNUMBER(SEARCH(거래처별!$AC$8:$AC$307,$AB1757))),거래처별!$A$8:$A$307),IFERROR(LOOKUP(2,1/((거래처별!$AD$8:$AD$307&lt;&gt;"")*ISNUMBER(SEARCH(거래처별!$AD$8:$AD$307,$AB1757))),거래처별!$A$8:$A$307),IFERROR(LOOKUP(2,1/((거래처별!$AE$8:$AE$307&lt;&gt;"")*ISNUMBER(SEARCH(거래처별!$AE$8:$AE$307,$AB1757))),거래처별!$A$8:$A$307),0))))</f>
        <v/>
      </c>
      <c r="AD1757" s="31">
        <f>IF(AND($Y1757&lt;&gt;"",N($Z1757)&gt;0,$AC1757=0),MAX($AD$7:$AD1756)+1,"")</f>
        <v/>
      </c>
      <c r="AE1757" s="31">
        <f>IF($Y1757="",0,$Y1757)</f>
        <v/>
      </c>
    </row>
    <row r="1758">
      <c r="W1758" s="31">
        <f>IF(OR($B$5="",$C$6="",ROW()&lt;$B$5),"",IF(INDEX($A:$U,ROW(),$C$6)="","",INDEX($A:$U,ROW(),$C$6)))</f>
        <v/>
      </c>
      <c r="X1758" s="32">
        <f>IF($W1758="","",IF(ISNUMBER($W1758),IF($W1758&gt;=10000000,IFERROR(DATE(INT($W1758/10000),MOD(INT($W1758/100),100),MOD($W1758,100)),""),INT($W1758)),IFERROR(DATE(--LEFT(LEFT(SUBSTITUTE(SUBSTITUTE(SUBSTITUTE(SUBSTITUTE(TRIM($W1758),"-",""),".",""),"/","")," ",""),8),4),--MID(LEFT(SUBSTITUTE(SUBSTITUTE(SUBSTITUTE(SUBSTITUTE(TRIM($W1758),"-",""),".",""),"/","")," ",""),8),5,2),--MID(LEFT(SUBSTITUTE(SUBSTITUTE(SUBSTITUTE(SUBSTITUTE(TRIM($W1758),"-",""),".",""),"/","")," ",""),8),7,2)),"")))</f>
        <v/>
      </c>
      <c r="Y1758" s="32">
        <f>IF($X1758="","",INT($X1758))</f>
        <v/>
      </c>
      <c r="Z1758" s="33">
        <f>IF(OR($Y1758="",$D$6=""),"",IF(INDEX($A:$U,ROW(),$D$6)="",0,IF(ISNUMBER(INDEX($A:$U,ROW(),$D$6)),INDEX($A:$U,ROW(),$D$6),IFERROR(--SUBSTITUTE(SUBSTITUTE(TRIM(INDEX($A:$U,ROW(),$D$6)),",",""),"원",""),0))))</f>
        <v/>
      </c>
      <c r="AA1758" s="31">
        <f>IF($Y1758="","",TRIM(INDEX($A:$U,ROW(),$E$6)&amp;IF($F$6="",""," "&amp;INDEX($A:$U,ROW(),$F$6))))</f>
        <v/>
      </c>
      <c r="AB1758" s="31">
        <f>IF($AA1758="","",SUBSTITUTE(SUBSTITUTE(SUBSTITUTE(SUBSTITUTE(SUBSTITUTE(SUBSTITUTE(SUBSTITUTE(SUBSTITUTE(SUBSTITUTE($AA1758," ",""),"　",""),"(주)",""),"（주）",""),"㈜",""),"주식회사",""),"(유)",""),"（유）",""),"유한회사",""))</f>
        <v/>
      </c>
      <c r="AC1758" s="31">
        <f>IF(OR($Y1758="",N($Z1758)&lt;=0,$AB1758=""),0,IFERROR(LOOKUP(2,1/((거래처별!$AC$8:$AC$307&lt;&gt;"")*ISNUMBER(SEARCH(거래처별!$AC$8:$AC$307,$AB1758))),거래처별!$A$8:$A$307),IFERROR(LOOKUP(2,1/((거래처별!$AD$8:$AD$307&lt;&gt;"")*ISNUMBER(SEARCH(거래처별!$AD$8:$AD$307,$AB1758))),거래처별!$A$8:$A$307),IFERROR(LOOKUP(2,1/((거래처별!$AE$8:$AE$307&lt;&gt;"")*ISNUMBER(SEARCH(거래처별!$AE$8:$AE$307,$AB1758))),거래처별!$A$8:$A$307),0))))</f>
        <v/>
      </c>
      <c r="AD1758" s="31">
        <f>IF(AND($Y1758&lt;&gt;"",N($Z1758)&gt;0,$AC1758=0),MAX($AD$7:$AD1757)+1,"")</f>
        <v/>
      </c>
      <c r="AE1758" s="31">
        <f>IF($Y1758="",0,$Y1758)</f>
        <v/>
      </c>
    </row>
    <row r="1759">
      <c r="W1759" s="31">
        <f>IF(OR($B$5="",$C$6="",ROW()&lt;$B$5),"",IF(INDEX($A:$U,ROW(),$C$6)="","",INDEX($A:$U,ROW(),$C$6)))</f>
        <v/>
      </c>
      <c r="X1759" s="32">
        <f>IF($W1759="","",IF(ISNUMBER($W1759),IF($W1759&gt;=10000000,IFERROR(DATE(INT($W1759/10000),MOD(INT($W1759/100),100),MOD($W1759,100)),""),INT($W1759)),IFERROR(DATE(--LEFT(LEFT(SUBSTITUTE(SUBSTITUTE(SUBSTITUTE(SUBSTITUTE(TRIM($W1759),"-",""),".",""),"/","")," ",""),8),4),--MID(LEFT(SUBSTITUTE(SUBSTITUTE(SUBSTITUTE(SUBSTITUTE(TRIM($W1759),"-",""),".",""),"/","")," ",""),8),5,2),--MID(LEFT(SUBSTITUTE(SUBSTITUTE(SUBSTITUTE(SUBSTITUTE(TRIM($W1759),"-",""),".",""),"/","")," ",""),8),7,2)),"")))</f>
        <v/>
      </c>
      <c r="Y1759" s="32">
        <f>IF($X1759="","",INT($X1759))</f>
        <v/>
      </c>
      <c r="Z1759" s="33">
        <f>IF(OR($Y1759="",$D$6=""),"",IF(INDEX($A:$U,ROW(),$D$6)="",0,IF(ISNUMBER(INDEX($A:$U,ROW(),$D$6)),INDEX($A:$U,ROW(),$D$6),IFERROR(--SUBSTITUTE(SUBSTITUTE(TRIM(INDEX($A:$U,ROW(),$D$6)),",",""),"원",""),0))))</f>
        <v/>
      </c>
      <c r="AA1759" s="31">
        <f>IF($Y1759="","",TRIM(INDEX($A:$U,ROW(),$E$6)&amp;IF($F$6="",""," "&amp;INDEX($A:$U,ROW(),$F$6))))</f>
        <v/>
      </c>
      <c r="AB1759" s="31">
        <f>IF($AA1759="","",SUBSTITUTE(SUBSTITUTE(SUBSTITUTE(SUBSTITUTE(SUBSTITUTE(SUBSTITUTE(SUBSTITUTE(SUBSTITUTE(SUBSTITUTE($AA1759," ",""),"　",""),"(주)",""),"（주）",""),"㈜",""),"주식회사",""),"(유)",""),"（유）",""),"유한회사",""))</f>
        <v/>
      </c>
      <c r="AC1759" s="31">
        <f>IF(OR($Y1759="",N($Z1759)&lt;=0,$AB1759=""),0,IFERROR(LOOKUP(2,1/((거래처별!$AC$8:$AC$307&lt;&gt;"")*ISNUMBER(SEARCH(거래처별!$AC$8:$AC$307,$AB1759))),거래처별!$A$8:$A$307),IFERROR(LOOKUP(2,1/((거래처별!$AD$8:$AD$307&lt;&gt;"")*ISNUMBER(SEARCH(거래처별!$AD$8:$AD$307,$AB1759))),거래처별!$A$8:$A$307),IFERROR(LOOKUP(2,1/((거래처별!$AE$8:$AE$307&lt;&gt;"")*ISNUMBER(SEARCH(거래처별!$AE$8:$AE$307,$AB1759))),거래처별!$A$8:$A$307),0))))</f>
        <v/>
      </c>
      <c r="AD1759" s="31">
        <f>IF(AND($Y1759&lt;&gt;"",N($Z1759)&gt;0,$AC1759=0),MAX($AD$7:$AD1758)+1,"")</f>
        <v/>
      </c>
      <c r="AE1759" s="31">
        <f>IF($Y1759="",0,$Y1759)</f>
        <v/>
      </c>
    </row>
    <row r="1760">
      <c r="W1760" s="31">
        <f>IF(OR($B$5="",$C$6="",ROW()&lt;$B$5),"",IF(INDEX($A:$U,ROW(),$C$6)="","",INDEX($A:$U,ROW(),$C$6)))</f>
        <v/>
      </c>
      <c r="X1760" s="32">
        <f>IF($W1760="","",IF(ISNUMBER($W1760),IF($W1760&gt;=10000000,IFERROR(DATE(INT($W1760/10000),MOD(INT($W1760/100),100),MOD($W1760,100)),""),INT($W1760)),IFERROR(DATE(--LEFT(LEFT(SUBSTITUTE(SUBSTITUTE(SUBSTITUTE(SUBSTITUTE(TRIM($W1760),"-",""),".",""),"/","")," ",""),8),4),--MID(LEFT(SUBSTITUTE(SUBSTITUTE(SUBSTITUTE(SUBSTITUTE(TRIM($W1760),"-",""),".",""),"/","")," ",""),8),5,2),--MID(LEFT(SUBSTITUTE(SUBSTITUTE(SUBSTITUTE(SUBSTITUTE(TRIM($W1760),"-",""),".",""),"/","")," ",""),8),7,2)),"")))</f>
        <v/>
      </c>
      <c r="Y1760" s="32">
        <f>IF($X1760="","",INT($X1760))</f>
        <v/>
      </c>
      <c r="Z1760" s="33">
        <f>IF(OR($Y1760="",$D$6=""),"",IF(INDEX($A:$U,ROW(),$D$6)="",0,IF(ISNUMBER(INDEX($A:$U,ROW(),$D$6)),INDEX($A:$U,ROW(),$D$6),IFERROR(--SUBSTITUTE(SUBSTITUTE(TRIM(INDEX($A:$U,ROW(),$D$6)),",",""),"원",""),0))))</f>
        <v/>
      </c>
      <c r="AA1760" s="31">
        <f>IF($Y1760="","",TRIM(INDEX($A:$U,ROW(),$E$6)&amp;IF($F$6="",""," "&amp;INDEX($A:$U,ROW(),$F$6))))</f>
        <v/>
      </c>
      <c r="AB1760" s="31">
        <f>IF($AA1760="","",SUBSTITUTE(SUBSTITUTE(SUBSTITUTE(SUBSTITUTE(SUBSTITUTE(SUBSTITUTE(SUBSTITUTE(SUBSTITUTE(SUBSTITUTE($AA1760," ",""),"　",""),"(주)",""),"（주）",""),"㈜",""),"주식회사",""),"(유)",""),"（유）",""),"유한회사",""))</f>
        <v/>
      </c>
      <c r="AC1760" s="31">
        <f>IF(OR($Y1760="",N($Z1760)&lt;=0,$AB1760=""),0,IFERROR(LOOKUP(2,1/((거래처별!$AC$8:$AC$307&lt;&gt;"")*ISNUMBER(SEARCH(거래처별!$AC$8:$AC$307,$AB1760))),거래처별!$A$8:$A$307),IFERROR(LOOKUP(2,1/((거래처별!$AD$8:$AD$307&lt;&gt;"")*ISNUMBER(SEARCH(거래처별!$AD$8:$AD$307,$AB1760))),거래처별!$A$8:$A$307),IFERROR(LOOKUP(2,1/((거래처별!$AE$8:$AE$307&lt;&gt;"")*ISNUMBER(SEARCH(거래처별!$AE$8:$AE$307,$AB1760))),거래처별!$A$8:$A$307),0))))</f>
        <v/>
      </c>
      <c r="AD1760" s="31">
        <f>IF(AND($Y1760&lt;&gt;"",N($Z1760)&gt;0,$AC1760=0),MAX($AD$7:$AD1759)+1,"")</f>
        <v/>
      </c>
      <c r="AE1760" s="31">
        <f>IF($Y1760="",0,$Y1760)</f>
        <v/>
      </c>
    </row>
    <row r="1761">
      <c r="W1761" s="31">
        <f>IF(OR($B$5="",$C$6="",ROW()&lt;$B$5),"",IF(INDEX($A:$U,ROW(),$C$6)="","",INDEX($A:$U,ROW(),$C$6)))</f>
        <v/>
      </c>
      <c r="X1761" s="32">
        <f>IF($W1761="","",IF(ISNUMBER($W1761),IF($W1761&gt;=10000000,IFERROR(DATE(INT($W1761/10000),MOD(INT($W1761/100),100),MOD($W1761,100)),""),INT($W1761)),IFERROR(DATE(--LEFT(LEFT(SUBSTITUTE(SUBSTITUTE(SUBSTITUTE(SUBSTITUTE(TRIM($W1761),"-",""),".",""),"/","")," ",""),8),4),--MID(LEFT(SUBSTITUTE(SUBSTITUTE(SUBSTITUTE(SUBSTITUTE(TRIM($W1761),"-",""),".",""),"/","")," ",""),8),5,2),--MID(LEFT(SUBSTITUTE(SUBSTITUTE(SUBSTITUTE(SUBSTITUTE(TRIM($W1761),"-",""),".",""),"/","")," ",""),8),7,2)),"")))</f>
        <v/>
      </c>
      <c r="Y1761" s="32">
        <f>IF($X1761="","",INT($X1761))</f>
        <v/>
      </c>
      <c r="Z1761" s="33">
        <f>IF(OR($Y1761="",$D$6=""),"",IF(INDEX($A:$U,ROW(),$D$6)="",0,IF(ISNUMBER(INDEX($A:$U,ROW(),$D$6)),INDEX($A:$U,ROW(),$D$6),IFERROR(--SUBSTITUTE(SUBSTITUTE(TRIM(INDEX($A:$U,ROW(),$D$6)),",",""),"원",""),0))))</f>
        <v/>
      </c>
      <c r="AA1761" s="31">
        <f>IF($Y1761="","",TRIM(INDEX($A:$U,ROW(),$E$6)&amp;IF($F$6="",""," "&amp;INDEX($A:$U,ROW(),$F$6))))</f>
        <v/>
      </c>
      <c r="AB1761" s="31">
        <f>IF($AA1761="","",SUBSTITUTE(SUBSTITUTE(SUBSTITUTE(SUBSTITUTE(SUBSTITUTE(SUBSTITUTE(SUBSTITUTE(SUBSTITUTE(SUBSTITUTE($AA1761," ",""),"　",""),"(주)",""),"（주）",""),"㈜",""),"주식회사",""),"(유)",""),"（유）",""),"유한회사",""))</f>
        <v/>
      </c>
      <c r="AC1761" s="31">
        <f>IF(OR($Y1761="",N($Z1761)&lt;=0,$AB1761=""),0,IFERROR(LOOKUP(2,1/((거래처별!$AC$8:$AC$307&lt;&gt;"")*ISNUMBER(SEARCH(거래처별!$AC$8:$AC$307,$AB1761))),거래처별!$A$8:$A$307),IFERROR(LOOKUP(2,1/((거래처별!$AD$8:$AD$307&lt;&gt;"")*ISNUMBER(SEARCH(거래처별!$AD$8:$AD$307,$AB1761))),거래처별!$A$8:$A$307),IFERROR(LOOKUP(2,1/((거래처별!$AE$8:$AE$307&lt;&gt;"")*ISNUMBER(SEARCH(거래처별!$AE$8:$AE$307,$AB1761))),거래처별!$A$8:$A$307),0))))</f>
        <v/>
      </c>
      <c r="AD1761" s="31">
        <f>IF(AND($Y1761&lt;&gt;"",N($Z1761)&gt;0,$AC1761=0),MAX($AD$7:$AD1760)+1,"")</f>
        <v/>
      </c>
      <c r="AE1761" s="31">
        <f>IF($Y1761="",0,$Y1761)</f>
        <v/>
      </c>
    </row>
    <row r="1762">
      <c r="W1762" s="31">
        <f>IF(OR($B$5="",$C$6="",ROW()&lt;$B$5),"",IF(INDEX($A:$U,ROW(),$C$6)="","",INDEX($A:$U,ROW(),$C$6)))</f>
        <v/>
      </c>
      <c r="X1762" s="32">
        <f>IF($W1762="","",IF(ISNUMBER($W1762),IF($W1762&gt;=10000000,IFERROR(DATE(INT($W1762/10000),MOD(INT($W1762/100),100),MOD($W1762,100)),""),INT($W1762)),IFERROR(DATE(--LEFT(LEFT(SUBSTITUTE(SUBSTITUTE(SUBSTITUTE(SUBSTITUTE(TRIM($W1762),"-",""),".",""),"/","")," ",""),8),4),--MID(LEFT(SUBSTITUTE(SUBSTITUTE(SUBSTITUTE(SUBSTITUTE(TRIM($W1762),"-",""),".",""),"/","")," ",""),8),5,2),--MID(LEFT(SUBSTITUTE(SUBSTITUTE(SUBSTITUTE(SUBSTITUTE(TRIM($W1762),"-",""),".",""),"/","")," ",""),8),7,2)),"")))</f>
        <v/>
      </c>
      <c r="Y1762" s="32">
        <f>IF($X1762="","",INT($X1762))</f>
        <v/>
      </c>
      <c r="Z1762" s="33">
        <f>IF(OR($Y1762="",$D$6=""),"",IF(INDEX($A:$U,ROW(),$D$6)="",0,IF(ISNUMBER(INDEX($A:$U,ROW(),$D$6)),INDEX($A:$U,ROW(),$D$6),IFERROR(--SUBSTITUTE(SUBSTITUTE(TRIM(INDEX($A:$U,ROW(),$D$6)),",",""),"원",""),0))))</f>
        <v/>
      </c>
      <c r="AA1762" s="31">
        <f>IF($Y1762="","",TRIM(INDEX($A:$U,ROW(),$E$6)&amp;IF($F$6="",""," "&amp;INDEX($A:$U,ROW(),$F$6))))</f>
        <v/>
      </c>
      <c r="AB1762" s="31">
        <f>IF($AA1762="","",SUBSTITUTE(SUBSTITUTE(SUBSTITUTE(SUBSTITUTE(SUBSTITUTE(SUBSTITUTE(SUBSTITUTE(SUBSTITUTE(SUBSTITUTE($AA1762," ",""),"　",""),"(주)",""),"（주）",""),"㈜",""),"주식회사",""),"(유)",""),"（유）",""),"유한회사",""))</f>
        <v/>
      </c>
      <c r="AC1762" s="31">
        <f>IF(OR($Y1762="",N($Z1762)&lt;=0,$AB1762=""),0,IFERROR(LOOKUP(2,1/((거래처별!$AC$8:$AC$307&lt;&gt;"")*ISNUMBER(SEARCH(거래처별!$AC$8:$AC$307,$AB1762))),거래처별!$A$8:$A$307),IFERROR(LOOKUP(2,1/((거래처별!$AD$8:$AD$307&lt;&gt;"")*ISNUMBER(SEARCH(거래처별!$AD$8:$AD$307,$AB1762))),거래처별!$A$8:$A$307),IFERROR(LOOKUP(2,1/((거래처별!$AE$8:$AE$307&lt;&gt;"")*ISNUMBER(SEARCH(거래처별!$AE$8:$AE$307,$AB1762))),거래처별!$A$8:$A$307),0))))</f>
        <v/>
      </c>
      <c r="AD1762" s="31">
        <f>IF(AND($Y1762&lt;&gt;"",N($Z1762)&gt;0,$AC1762=0),MAX($AD$7:$AD1761)+1,"")</f>
        <v/>
      </c>
      <c r="AE1762" s="31">
        <f>IF($Y1762="",0,$Y1762)</f>
        <v/>
      </c>
    </row>
    <row r="1763">
      <c r="W1763" s="31">
        <f>IF(OR($B$5="",$C$6="",ROW()&lt;$B$5),"",IF(INDEX($A:$U,ROW(),$C$6)="","",INDEX($A:$U,ROW(),$C$6)))</f>
        <v/>
      </c>
      <c r="X1763" s="32">
        <f>IF($W1763="","",IF(ISNUMBER($W1763),IF($W1763&gt;=10000000,IFERROR(DATE(INT($W1763/10000),MOD(INT($W1763/100),100),MOD($W1763,100)),""),INT($W1763)),IFERROR(DATE(--LEFT(LEFT(SUBSTITUTE(SUBSTITUTE(SUBSTITUTE(SUBSTITUTE(TRIM($W1763),"-",""),".",""),"/","")," ",""),8),4),--MID(LEFT(SUBSTITUTE(SUBSTITUTE(SUBSTITUTE(SUBSTITUTE(TRIM($W1763),"-",""),".",""),"/","")," ",""),8),5,2),--MID(LEFT(SUBSTITUTE(SUBSTITUTE(SUBSTITUTE(SUBSTITUTE(TRIM($W1763),"-",""),".",""),"/","")," ",""),8),7,2)),"")))</f>
        <v/>
      </c>
      <c r="Y1763" s="32">
        <f>IF($X1763="","",INT($X1763))</f>
        <v/>
      </c>
      <c r="Z1763" s="33">
        <f>IF(OR($Y1763="",$D$6=""),"",IF(INDEX($A:$U,ROW(),$D$6)="",0,IF(ISNUMBER(INDEX($A:$U,ROW(),$D$6)),INDEX($A:$U,ROW(),$D$6),IFERROR(--SUBSTITUTE(SUBSTITUTE(TRIM(INDEX($A:$U,ROW(),$D$6)),",",""),"원",""),0))))</f>
        <v/>
      </c>
      <c r="AA1763" s="31">
        <f>IF($Y1763="","",TRIM(INDEX($A:$U,ROW(),$E$6)&amp;IF($F$6="",""," "&amp;INDEX($A:$U,ROW(),$F$6))))</f>
        <v/>
      </c>
      <c r="AB1763" s="31">
        <f>IF($AA1763="","",SUBSTITUTE(SUBSTITUTE(SUBSTITUTE(SUBSTITUTE(SUBSTITUTE(SUBSTITUTE(SUBSTITUTE(SUBSTITUTE(SUBSTITUTE($AA1763," ",""),"　",""),"(주)",""),"（주）",""),"㈜",""),"주식회사",""),"(유)",""),"（유）",""),"유한회사",""))</f>
        <v/>
      </c>
      <c r="AC1763" s="31">
        <f>IF(OR($Y1763="",N($Z1763)&lt;=0,$AB1763=""),0,IFERROR(LOOKUP(2,1/((거래처별!$AC$8:$AC$307&lt;&gt;"")*ISNUMBER(SEARCH(거래처별!$AC$8:$AC$307,$AB1763))),거래처별!$A$8:$A$307),IFERROR(LOOKUP(2,1/((거래처별!$AD$8:$AD$307&lt;&gt;"")*ISNUMBER(SEARCH(거래처별!$AD$8:$AD$307,$AB1763))),거래처별!$A$8:$A$307),IFERROR(LOOKUP(2,1/((거래처별!$AE$8:$AE$307&lt;&gt;"")*ISNUMBER(SEARCH(거래처별!$AE$8:$AE$307,$AB1763))),거래처별!$A$8:$A$307),0))))</f>
        <v/>
      </c>
      <c r="AD1763" s="31">
        <f>IF(AND($Y1763&lt;&gt;"",N($Z1763)&gt;0,$AC1763=0),MAX($AD$7:$AD1762)+1,"")</f>
        <v/>
      </c>
      <c r="AE1763" s="31">
        <f>IF($Y1763="",0,$Y1763)</f>
        <v/>
      </c>
    </row>
    <row r="1764">
      <c r="W1764" s="31">
        <f>IF(OR($B$5="",$C$6="",ROW()&lt;$B$5),"",IF(INDEX($A:$U,ROW(),$C$6)="","",INDEX($A:$U,ROW(),$C$6)))</f>
        <v/>
      </c>
      <c r="X1764" s="32">
        <f>IF($W1764="","",IF(ISNUMBER($W1764),IF($W1764&gt;=10000000,IFERROR(DATE(INT($W1764/10000),MOD(INT($W1764/100),100),MOD($W1764,100)),""),INT($W1764)),IFERROR(DATE(--LEFT(LEFT(SUBSTITUTE(SUBSTITUTE(SUBSTITUTE(SUBSTITUTE(TRIM($W1764),"-",""),".",""),"/","")," ",""),8),4),--MID(LEFT(SUBSTITUTE(SUBSTITUTE(SUBSTITUTE(SUBSTITUTE(TRIM($W1764),"-",""),".",""),"/","")," ",""),8),5,2),--MID(LEFT(SUBSTITUTE(SUBSTITUTE(SUBSTITUTE(SUBSTITUTE(TRIM($W1764),"-",""),".",""),"/","")," ",""),8),7,2)),"")))</f>
        <v/>
      </c>
      <c r="Y1764" s="32">
        <f>IF($X1764="","",INT($X1764))</f>
        <v/>
      </c>
      <c r="Z1764" s="33">
        <f>IF(OR($Y1764="",$D$6=""),"",IF(INDEX($A:$U,ROW(),$D$6)="",0,IF(ISNUMBER(INDEX($A:$U,ROW(),$D$6)),INDEX($A:$U,ROW(),$D$6),IFERROR(--SUBSTITUTE(SUBSTITUTE(TRIM(INDEX($A:$U,ROW(),$D$6)),",",""),"원",""),0))))</f>
        <v/>
      </c>
      <c r="AA1764" s="31">
        <f>IF($Y1764="","",TRIM(INDEX($A:$U,ROW(),$E$6)&amp;IF($F$6="",""," "&amp;INDEX($A:$U,ROW(),$F$6))))</f>
        <v/>
      </c>
      <c r="AB1764" s="31">
        <f>IF($AA1764="","",SUBSTITUTE(SUBSTITUTE(SUBSTITUTE(SUBSTITUTE(SUBSTITUTE(SUBSTITUTE(SUBSTITUTE(SUBSTITUTE(SUBSTITUTE($AA1764," ",""),"　",""),"(주)",""),"（주）",""),"㈜",""),"주식회사",""),"(유)",""),"（유）",""),"유한회사",""))</f>
        <v/>
      </c>
      <c r="AC1764" s="31">
        <f>IF(OR($Y1764="",N($Z1764)&lt;=0,$AB1764=""),0,IFERROR(LOOKUP(2,1/((거래처별!$AC$8:$AC$307&lt;&gt;"")*ISNUMBER(SEARCH(거래처별!$AC$8:$AC$307,$AB1764))),거래처별!$A$8:$A$307),IFERROR(LOOKUP(2,1/((거래처별!$AD$8:$AD$307&lt;&gt;"")*ISNUMBER(SEARCH(거래처별!$AD$8:$AD$307,$AB1764))),거래처별!$A$8:$A$307),IFERROR(LOOKUP(2,1/((거래처별!$AE$8:$AE$307&lt;&gt;"")*ISNUMBER(SEARCH(거래처별!$AE$8:$AE$307,$AB1764))),거래처별!$A$8:$A$307),0))))</f>
        <v/>
      </c>
      <c r="AD1764" s="31">
        <f>IF(AND($Y1764&lt;&gt;"",N($Z1764)&gt;0,$AC1764=0),MAX($AD$7:$AD1763)+1,"")</f>
        <v/>
      </c>
      <c r="AE1764" s="31">
        <f>IF($Y1764="",0,$Y1764)</f>
        <v/>
      </c>
    </row>
    <row r="1765">
      <c r="W1765" s="31">
        <f>IF(OR($B$5="",$C$6="",ROW()&lt;$B$5),"",IF(INDEX($A:$U,ROW(),$C$6)="","",INDEX($A:$U,ROW(),$C$6)))</f>
        <v/>
      </c>
      <c r="X1765" s="32">
        <f>IF($W1765="","",IF(ISNUMBER($W1765),IF($W1765&gt;=10000000,IFERROR(DATE(INT($W1765/10000),MOD(INT($W1765/100),100),MOD($W1765,100)),""),INT($W1765)),IFERROR(DATE(--LEFT(LEFT(SUBSTITUTE(SUBSTITUTE(SUBSTITUTE(SUBSTITUTE(TRIM($W1765),"-",""),".",""),"/","")," ",""),8),4),--MID(LEFT(SUBSTITUTE(SUBSTITUTE(SUBSTITUTE(SUBSTITUTE(TRIM($W1765),"-",""),".",""),"/","")," ",""),8),5,2),--MID(LEFT(SUBSTITUTE(SUBSTITUTE(SUBSTITUTE(SUBSTITUTE(TRIM($W1765),"-",""),".",""),"/","")," ",""),8),7,2)),"")))</f>
        <v/>
      </c>
      <c r="Y1765" s="32">
        <f>IF($X1765="","",INT($X1765))</f>
        <v/>
      </c>
      <c r="Z1765" s="33">
        <f>IF(OR($Y1765="",$D$6=""),"",IF(INDEX($A:$U,ROW(),$D$6)="",0,IF(ISNUMBER(INDEX($A:$U,ROW(),$D$6)),INDEX($A:$U,ROW(),$D$6),IFERROR(--SUBSTITUTE(SUBSTITUTE(TRIM(INDEX($A:$U,ROW(),$D$6)),",",""),"원",""),0))))</f>
        <v/>
      </c>
      <c r="AA1765" s="31">
        <f>IF($Y1765="","",TRIM(INDEX($A:$U,ROW(),$E$6)&amp;IF($F$6="",""," "&amp;INDEX($A:$U,ROW(),$F$6))))</f>
        <v/>
      </c>
      <c r="AB1765" s="31">
        <f>IF($AA1765="","",SUBSTITUTE(SUBSTITUTE(SUBSTITUTE(SUBSTITUTE(SUBSTITUTE(SUBSTITUTE(SUBSTITUTE(SUBSTITUTE(SUBSTITUTE($AA1765," ",""),"　",""),"(주)",""),"（주）",""),"㈜",""),"주식회사",""),"(유)",""),"（유）",""),"유한회사",""))</f>
        <v/>
      </c>
      <c r="AC1765" s="31">
        <f>IF(OR($Y1765="",N($Z1765)&lt;=0,$AB1765=""),0,IFERROR(LOOKUP(2,1/((거래처별!$AC$8:$AC$307&lt;&gt;"")*ISNUMBER(SEARCH(거래처별!$AC$8:$AC$307,$AB1765))),거래처별!$A$8:$A$307),IFERROR(LOOKUP(2,1/((거래처별!$AD$8:$AD$307&lt;&gt;"")*ISNUMBER(SEARCH(거래처별!$AD$8:$AD$307,$AB1765))),거래처별!$A$8:$A$307),IFERROR(LOOKUP(2,1/((거래처별!$AE$8:$AE$307&lt;&gt;"")*ISNUMBER(SEARCH(거래처별!$AE$8:$AE$307,$AB1765))),거래처별!$A$8:$A$307),0))))</f>
        <v/>
      </c>
      <c r="AD1765" s="31">
        <f>IF(AND($Y1765&lt;&gt;"",N($Z1765)&gt;0,$AC1765=0),MAX($AD$7:$AD1764)+1,"")</f>
        <v/>
      </c>
      <c r="AE1765" s="31">
        <f>IF($Y1765="",0,$Y1765)</f>
        <v/>
      </c>
    </row>
    <row r="1766">
      <c r="W1766" s="31">
        <f>IF(OR($B$5="",$C$6="",ROW()&lt;$B$5),"",IF(INDEX($A:$U,ROW(),$C$6)="","",INDEX($A:$U,ROW(),$C$6)))</f>
        <v/>
      </c>
      <c r="X1766" s="32">
        <f>IF($W1766="","",IF(ISNUMBER($W1766),IF($W1766&gt;=10000000,IFERROR(DATE(INT($W1766/10000),MOD(INT($W1766/100),100),MOD($W1766,100)),""),INT($W1766)),IFERROR(DATE(--LEFT(LEFT(SUBSTITUTE(SUBSTITUTE(SUBSTITUTE(SUBSTITUTE(TRIM($W1766),"-",""),".",""),"/","")," ",""),8),4),--MID(LEFT(SUBSTITUTE(SUBSTITUTE(SUBSTITUTE(SUBSTITUTE(TRIM($W1766),"-",""),".",""),"/","")," ",""),8),5,2),--MID(LEFT(SUBSTITUTE(SUBSTITUTE(SUBSTITUTE(SUBSTITUTE(TRIM($W1766),"-",""),".",""),"/","")," ",""),8),7,2)),"")))</f>
        <v/>
      </c>
      <c r="Y1766" s="32">
        <f>IF($X1766="","",INT($X1766))</f>
        <v/>
      </c>
      <c r="Z1766" s="33">
        <f>IF(OR($Y1766="",$D$6=""),"",IF(INDEX($A:$U,ROW(),$D$6)="",0,IF(ISNUMBER(INDEX($A:$U,ROW(),$D$6)),INDEX($A:$U,ROW(),$D$6),IFERROR(--SUBSTITUTE(SUBSTITUTE(TRIM(INDEX($A:$U,ROW(),$D$6)),",",""),"원",""),0))))</f>
        <v/>
      </c>
      <c r="AA1766" s="31">
        <f>IF($Y1766="","",TRIM(INDEX($A:$U,ROW(),$E$6)&amp;IF($F$6="",""," "&amp;INDEX($A:$U,ROW(),$F$6))))</f>
        <v/>
      </c>
      <c r="AB1766" s="31">
        <f>IF($AA1766="","",SUBSTITUTE(SUBSTITUTE(SUBSTITUTE(SUBSTITUTE(SUBSTITUTE(SUBSTITUTE(SUBSTITUTE(SUBSTITUTE(SUBSTITUTE($AA1766," ",""),"　",""),"(주)",""),"（주）",""),"㈜",""),"주식회사",""),"(유)",""),"（유）",""),"유한회사",""))</f>
        <v/>
      </c>
      <c r="AC1766" s="31">
        <f>IF(OR($Y1766="",N($Z1766)&lt;=0,$AB1766=""),0,IFERROR(LOOKUP(2,1/((거래처별!$AC$8:$AC$307&lt;&gt;"")*ISNUMBER(SEARCH(거래처별!$AC$8:$AC$307,$AB1766))),거래처별!$A$8:$A$307),IFERROR(LOOKUP(2,1/((거래처별!$AD$8:$AD$307&lt;&gt;"")*ISNUMBER(SEARCH(거래처별!$AD$8:$AD$307,$AB1766))),거래처별!$A$8:$A$307),IFERROR(LOOKUP(2,1/((거래처별!$AE$8:$AE$307&lt;&gt;"")*ISNUMBER(SEARCH(거래처별!$AE$8:$AE$307,$AB1766))),거래처별!$A$8:$A$307),0))))</f>
        <v/>
      </c>
      <c r="AD1766" s="31">
        <f>IF(AND($Y1766&lt;&gt;"",N($Z1766)&gt;0,$AC1766=0),MAX($AD$7:$AD1765)+1,"")</f>
        <v/>
      </c>
      <c r="AE1766" s="31">
        <f>IF($Y1766="",0,$Y1766)</f>
        <v/>
      </c>
    </row>
    <row r="1767">
      <c r="W1767" s="31">
        <f>IF(OR($B$5="",$C$6="",ROW()&lt;$B$5),"",IF(INDEX($A:$U,ROW(),$C$6)="","",INDEX($A:$U,ROW(),$C$6)))</f>
        <v/>
      </c>
      <c r="X1767" s="32">
        <f>IF($W1767="","",IF(ISNUMBER($W1767),IF($W1767&gt;=10000000,IFERROR(DATE(INT($W1767/10000),MOD(INT($W1767/100),100),MOD($W1767,100)),""),INT($W1767)),IFERROR(DATE(--LEFT(LEFT(SUBSTITUTE(SUBSTITUTE(SUBSTITUTE(SUBSTITUTE(TRIM($W1767),"-",""),".",""),"/","")," ",""),8),4),--MID(LEFT(SUBSTITUTE(SUBSTITUTE(SUBSTITUTE(SUBSTITUTE(TRIM($W1767),"-",""),".",""),"/","")," ",""),8),5,2),--MID(LEFT(SUBSTITUTE(SUBSTITUTE(SUBSTITUTE(SUBSTITUTE(TRIM($W1767),"-",""),".",""),"/","")," ",""),8),7,2)),"")))</f>
        <v/>
      </c>
      <c r="Y1767" s="32">
        <f>IF($X1767="","",INT($X1767))</f>
        <v/>
      </c>
      <c r="Z1767" s="33">
        <f>IF(OR($Y1767="",$D$6=""),"",IF(INDEX($A:$U,ROW(),$D$6)="",0,IF(ISNUMBER(INDEX($A:$U,ROW(),$D$6)),INDEX($A:$U,ROW(),$D$6),IFERROR(--SUBSTITUTE(SUBSTITUTE(TRIM(INDEX($A:$U,ROW(),$D$6)),",",""),"원",""),0))))</f>
        <v/>
      </c>
      <c r="AA1767" s="31">
        <f>IF($Y1767="","",TRIM(INDEX($A:$U,ROW(),$E$6)&amp;IF($F$6="",""," "&amp;INDEX($A:$U,ROW(),$F$6))))</f>
        <v/>
      </c>
      <c r="AB1767" s="31">
        <f>IF($AA1767="","",SUBSTITUTE(SUBSTITUTE(SUBSTITUTE(SUBSTITUTE(SUBSTITUTE(SUBSTITUTE(SUBSTITUTE(SUBSTITUTE(SUBSTITUTE($AA1767," ",""),"　",""),"(주)",""),"（주）",""),"㈜",""),"주식회사",""),"(유)",""),"（유）",""),"유한회사",""))</f>
        <v/>
      </c>
      <c r="AC1767" s="31">
        <f>IF(OR($Y1767="",N($Z1767)&lt;=0,$AB1767=""),0,IFERROR(LOOKUP(2,1/((거래처별!$AC$8:$AC$307&lt;&gt;"")*ISNUMBER(SEARCH(거래처별!$AC$8:$AC$307,$AB1767))),거래처별!$A$8:$A$307),IFERROR(LOOKUP(2,1/((거래처별!$AD$8:$AD$307&lt;&gt;"")*ISNUMBER(SEARCH(거래처별!$AD$8:$AD$307,$AB1767))),거래처별!$A$8:$A$307),IFERROR(LOOKUP(2,1/((거래처별!$AE$8:$AE$307&lt;&gt;"")*ISNUMBER(SEARCH(거래처별!$AE$8:$AE$307,$AB1767))),거래처별!$A$8:$A$307),0))))</f>
        <v/>
      </c>
      <c r="AD1767" s="31">
        <f>IF(AND($Y1767&lt;&gt;"",N($Z1767)&gt;0,$AC1767=0),MAX($AD$7:$AD1766)+1,"")</f>
        <v/>
      </c>
      <c r="AE1767" s="31">
        <f>IF($Y1767="",0,$Y1767)</f>
        <v/>
      </c>
    </row>
    <row r="1768">
      <c r="W1768" s="31">
        <f>IF(OR($B$5="",$C$6="",ROW()&lt;$B$5),"",IF(INDEX($A:$U,ROW(),$C$6)="","",INDEX($A:$U,ROW(),$C$6)))</f>
        <v/>
      </c>
      <c r="X1768" s="32">
        <f>IF($W1768="","",IF(ISNUMBER($W1768),IF($W1768&gt;=10000000,IFERROR(DATE(INT($W1768/10000),MOD(INT($W1768/100),100),MOD($W1768,100)),""),INT($W1768)),IFERROR(DATE(--LEFT(LEFT(SUBSTITUTE(SUBSTITUTE(SUBSTITUTE(SUBSTITUTE(TRIM($W1768),"-",""),".",""),"/","")," ",""),8),4),--MID(LEFT(SUBSTITUTE(SUBSTITUTE(SUBSTITUTE(SUBSTITUTE(TRIM($W1768),"-",""),".",""),"/","")," ",""),8),5,2),--MID(LEFT(SUBSTITUTE(SUBSTITUTE(SUBSTITUTE(SUBSTITUTE(TRIM($W1768),"-",""),".",""),"/","")," ",""),8),7,2)),"")))</f>
        <v/>
      </c>
      <c r="Y1768" s="32">
        <f>IF($X1768="","",INT($X1768))</f>
        <v/>
      </c>
      <c r="Z1768" s="33">
        <f>IF(OR($Y1768="",$D$6=""),"",IF(INDEX($A:$U,ROW(),$D$6)="",0,IF(ISNUMBER(INDEX($A:$U,ROW(),$D$6)),INDEX($A:$U,ROW(),$D$6),IFERROR(--SUBSTITUTE(SUBSTITUTE(TRIM(INDEX($A:$U,ROW(),$D$6)),",",""),"원",""),0))))</f>
        <v/>
      </c>
      <c r="AA1768" s="31">
        <f>IF($Y1768="","",TRIM(INDEX($A:$U,ROW(),$E$6)&amp;IF($F$6="",""," "&amp;INDEX($A:$U,ROW(),$F$6))))</f>
        <v/>
      </c>
      <c r="AB1768" s="31">
        <f>IF($AA1768="","",SUBSTITUTE(SUBSTITUTE(SUBSTITUTE(SUBSTITUTE(SUBSTITUTE(SUBSTITUTE(SUBSTITUTE(SUBSTITUTE(SUBSTITUTE($AA1768," ",""),"　",""),"(주)",""),"（주）",""),"㈜",""),"주식회사",""),"(유)",""),"（유）",""),"유한회사",""))</f>
        <v/>
      </c>
      <c r="AC1768" s="31">
        <f>IF(OR($Y1768="",N($Z1768)&lt;=0,$AB1768=""),0,IFERROR(LOOKUP(2,1/((거래처별!$AC$8:$AC$307&lt;&gt;"")*ISNUMBER(SEARCH(거래처별!$AC$8:$AC$307,$AB1768))),거래처별!$A$8:$A$307),IFERROR(LOOKUP(2,1/((거래처별!$AD$8:$AD$307&lt;&gt;"")*ISNUMBER(SEARCH(거래처별!$AD$8:$AD$307,$AB1768))),거래처별!$A$8:$A$307),IFERROR(LOOKUP(2,1/((거래처별!$AE$8:$AE$307&lt;&gt;"")*ISNUMBER(SEARCH(거래처별!$AE$8:$AE$307,$AB1768))),거래처별!$A$8:$A$307),0))))</f>
        <v/>
      </c>
      <c r="AD1768" s="31">
        <f>IF(AND($Y1768&lt;&gt;"",N($Z1768)&gt;0,$AC1768=0),MAX($AD$7:$AD1767)+1,"")</f>
        <v/>
      </c>
      <c r="AE1768" s="31">
        <f>IF($Y1768="",0,$Y1768)</f>
        <v/>
      </c>
    </row>
    <row r="1769">
      <c r="W1769" s="31">
        <f>IF(OR($B$5="",$C$6="",ROW()&lt;$B$5),"",IF(INDEX($A:$U,ROW(),$C$6)="","",INDEX($A:$U,ROW(),$C$6)))</f>
        <v/>
      </c>
      <c r="X1769" s="32">
        <f>IF($W1769="","",IF(ISNUMBER($W1769),IF($W1769&gt;=10000000,IFERROR(DATE(INT($W1769/10000),MOD(INT($W1769/100),100),MOD($W1769,100)),""),INT($W1769)),IFERROR(DATE(--LEFT(LEFT(SUBSTITUTE(SUBSTITUTE(SUBSTITUTE(SUBSTITUTE(TRIM($W1769),"-",""),".",""),"/","")," ",""),8),4),--MID(LEFT(SUBSTITUTE(SUBSTITUTE(SUBSTITUTE(SUBSTITUTE(TRIM($W1769),"-",""),".",""),"/","")," ",""),8),5,2),--MID(LEFT(SUBSTITUTE(SUBSTITUTE(SUBSTITUTE(SUBSTITUTE(TRIM($W1769),"-",""),".",""),"/","")," ",""),8),7,2)),"")))</f>
        <v/>
      </c>
      <c r="Y1769" s="32">
        <f>IF($X1769="","",INT($X1769))</f>
        <v/>
      </c>
      <c r="Z1769" s="33">
        <f>IF(OR($Y1769="",$D$6=""),"",IF(INDEX($A:$U,ROW(),$D$6)="",0,IF(ISNUMBER(INDEX($A:$U,ROW(),$D$6)),INDEX($A:$U,ROW(),$D$6),IFERROR(--SUBSTITUTE(SUBSTITUTE(TRIM(INDEX($A:$U,ROW(),$D$6)),",",""),"원",""),0))))</f>
        <v/>
      </c>
      <c r="AA1769" s="31">
        <f>IF($Y1769="","",TRIM(INDEX($A:$U,ROW(),$E$6)&amp;IF($F$6="",""," "&amp;INDEX($A:$U,ROW(),$F$6))))</f>
        <v/>
      </c>
      <c r="AB1769" s="31">
        <f>IF($AA1769="","",SUBSTITUTE(SUBSTITUTE(SUBSTITUTE(SUBSTITUTE(SUBSTITUTE(SUBSTITUTE(SUBSTITUTE(SUBSTITUTE(SUBSTITUTE($AA1769," ",""),"　",""),"(주)",""),"（주）",""),"㈜",""),"주식회사",""),"(유)",""),"（유）",""),"유한회사",""))</f>
        <v/>
      </c>
      <c r="AC1769" s="31">
        <f>IF(OR($Y1769="",N($Z1769)&lt;=0,$AB1769=""),0,IFERROR(LOOKUP(2,1/((거래처별!$AC$8:$AC$307&lt;&gt;"")*ISNUMBER(SEARCH(거래처별!$AC$8:$AC$307,$AB1769))),거래처별!$A$8:$A$307),IFERROR(LOOKUP(2,1/((거래처별!$AD$8:$AD$307&lt;&gt;"")*ISNUMBER(SEARCH(거래처별!$AD$8:$AD$307,$AB1769))),거래처별!$A$8:$A$307),IFERROR(LOOKUP(2,1/((거래처별!$AE$8:$AE$307&lt;&gt;"")*ISNUMBER(SEARCH(거래처별!$AE$8:$AE$307,$AB1769))),거래처별!$A$8:$A$307),0))))</f>
        <v/>
      </c>
      <c r="AD1769" s="31">
        <f>IF(AND($Y1769&lt;&gt;"",N($Z1769)&gt;0,$AC1769=0),MAX($AD$7:$AD1768)+1,"")</f>
        <v/>
      </c>
      <c r="AE1769" s="31">
        <f>IF($Y1769="",0,$Y1769)</f>
        <v/>
      </c>
    </row>
    <row r="1770">
      <c r="W1770" s="31">
        <f>IF(OR($B$5="",$C$6="",ROW()&lt;$B$5),"",IF(INDEX($A:$U,ROW(),$C$6)="","",INDEX($A:$U,ROW(),$C$6)))</f>
        <v/>
      </c>
      <c r="X1770" s="32">
        <f>IF($W1770="","",IF(ISNUMBER($W1770),IF($W1770&gt;=10000000,IFERROR(DATE(INT($W1770/10000),MOD(INT($W1770/100),100),MOD($W1770,100)),""),INT($W1770)),IFERROR(DATE(--LEFT(LEFT(SUBSTITUTE(SUBSTITUTE(SUBSTITUTE(SUBSTITUTE(TRIM($W1770),"-",""),".",""),"/","")," ",""),8),4),--MID(LEFT(SUBSTITUTE(SUBSTITUTE(SUBSTITUTE(SUBSTITUTE(TRIM($W1770),"-",""),".",""),"/","")," ",""),8),5,2),--MID(LEFT(SUBSTITUTE(SUBSTITUTE(SUBSTITUTE(SUBSTITUTE(TRIM($W1770),"-",""),".",""),"/","")," ",""),8),7,2)),"")))</f>
        <v/>
      </c>
      <c r="Y1770" s="32">
        <f>IF($X1770="","",INT($X1770))</f>
        <v/>
      </c>
      <c r="Z1770" s="33">
        <f>IF(OR($Y1770="",$D$6=""),"",IF(INDEX($A:$U,ROW(),$D$6)="",0,IF(ISNUMBER(INDEX($A:$U,ROW(),$D$6)),INDEX($A:$U,ROW(),$D$6),IFERROR(--SUBSTITUTE(SUBSTITUTE(TRIM(INDEX($A:$U,ROW(),$D$6)),",",""),"원",""),0))))</f>
        <v/>
      </c>
      <c r="AA1770" s="31">
        <f>IF($Y1770="","",TRIM(INDEX($A:$U,ROW(),$E$6)&amp;IF($F$6="",""," "&amp;INDEX($A:$U,ROW(),$F$6))))</f>
        <v/>
      </c>
      <c r="AB1770" s="31">
        <f>IF($AA1770="","",SUBSTITUTE(SUBSTITUTE(SUBSTITUTE(SUBSTITUTE(SUBSTITUTE(SUBSTITUTE(SUBSTITUTE(SUBSTITUTE(SUBSTITUTE($AA1770," ",""),"　",""),"(주)",""),"（주）",""),"㈜",""),"주식회사",""),"(유)",""),"（유）",""),"유한회사",""))</f>
        <v/>
      </c>
      <c r="AC1770" s="31">
        <f>IF(OR($Y1770="",N($Z1770)&lt;=0,$AB1770=""),0,IFERROR(LOOKUP(2,1/((거래처별!$AC$8:$AC$307&lt;&gt;"")*ISNUMBER(SEARCH(거래처별!$AC$8:$AC$307,$AB1770))),거래처별!$A$8:$A$307),IFERROR(LOOKUP(2,1/((거래처별!$AD$8:$AD$307&lt;&gt;"")*ISNUMBER(SEARCH(거래처별!$AD$8:$AD$307,$AB1770))),거래처별!$A$8:$A$307),IFERROR(LOOKUP(2,1/((거래처별!$AE$8:$AE$307&lt;&gt;"")*ISNUMBER(SEARCH(거래처별!$AE$8:$AE$307,$AB1770))),거래처별!$A$8:$A$307),0))))</f>
        <v/>
      </c>
      <c r="AD1770" s="31">
        <f>IF(AND($Y1770&lt;&gt;"",N($Z1770)&gt;0,$AC1770=0),MAX($AD$7:$AD1769)+1,"")</f>
        <v/>
      </c>
      <c r="AE1770" s="31">
        <f>IF($Y1770="",0,$Y1770)</f>
        <v/>
      </c>
    </row>
    <row r="1771">
      <c r="W1771" s="31">
        <f>IF(OR($B$5="",$C$6="",ROW()&lt;$B$5),"",IF(INDEX($A:$U,ROW(),$C$6)="","",INDEX($A:$U,ROW(),$C$6)))</f>
        <v/>
      </c>
      <c r="X1771" s="32">
        <f>IF($W1771="","",IF(ISNUMBER($W1771),IF($W1771&gt;=10000000,IFERROR(DATE(INT($W1771/10000),MOD(INT($W1771/100),100),MOD($W1771,100)),""),INT($W1771)),IFERROR(DATE(--LEFT(LEFT(SUBSTITUTE(SUBSTITUTE(SUBSTITUTE(SUBSTITUTE(TRIM($W1771),"-",""),".",""),"/","")," ",""),8),4),--MID(LEFT(SUBSTITUTE(SUBSTITUTE(SUBSTITUTE(SUBSTITUTE(TRIM($W1771),"-",""),".",""),"/","")," ",""),8),5,2),--MID(LEFT(SUBSTITUTE(SUBSTITUTE(SUBSTITUTE(SUBSTITUTE(TRIM($W1771),"-",""),".",""),"/","")," ",""),8),7,2)),"")))</f>
        <v/>
      </c>
      <c r="Y1771" s="32">
        <f>IF($X1771="","",INT($X1771))</f>
        <v/>
      </c>
      <c r="Z1771" s="33">
        <f>IF(OR($Y1771="",$D$6=""),"",IF(INDEX($A:$U,ROW(),$D$6)="",0,IF(ISNUMBER(INDEX($A:$U,ROW(),$D$6)),INDEX($A:$U,ROW(),$D$6),IFERROR(--SUBSTITUTE(SUBSTITUTE(TRIM(INDEX($A:$U,ROW(),$D$6)),",",""),"원",""),0))))</f>
        <v/>
      </c>
      <c r="AA1771" s="31">
        <f>IF($Y1771="","",TRIM(INDEX($A:$U,ROW(),$E$6)&amp;IF($F$6="",""," "&amp;INDEX($A:$U,ROW(),$F$6))))</f>
        <v/>
      </c>
      <c r="AB1771" s="31">
        <f>IF($AA1771="","",SUBSTITUTE(SUBSTITUTE(SUBSTITUTE(SUBSTITUTE(SUBSTITUTE(SUBSTITUTE(SUBSTITUTE(SUBSTITUTE(SUBSTITUTE($AA1771," ",""),"　",""),"(주)",""),"（주）",""),"㈜",""),"주식회사",""),"(유)",""),"（유）",""),"유한회사",""))</f>
        <v/>
      </c>
      <c r="AC1771" s="31">
        <f>IF(OR($Y1771="",N($Z1771)&lt;=0,$AB1771=""),0,IFERROR(LOOKUP(2,1/((거래처별!$AC$8:$AC$307&lt;&gt;"")*ISNUMBER(SEARCH(거래처별!$AC$8:$AC$307,$AB1771))),거래처별!$A$8:$A$307),IFERROR(LOOKUP(2,1/((거래처별!$AD$8:$AD$307&lt;&gt;"")*ISNUMBER(SEARCH(거래처별!$AD$8:$AD$307,$AB1771))),거래처별!$A$8:$A$307),IFERROR(LOOKUP(2,1/((거래처별!$AE$8:$AE$307&lt;&gt;"")*ISNUMBER(SEARCH(거래처별!$AE$8:$AE$307,$AB1771))),거래처별!$A$8:$A$307),0))))</f>
        <v/>
      </c>
      <c r="AD1771" s="31">
        <f>IF(AND($Y1771&lt;&gt;"",N($Z1771)&gt;0,$AC1771=0),MAX($AD$7:$AD1770)+1,"")</f>
        <v/>
      </c>
      <c r="AE1771" s="31">
        <f>IF($Y1771="",0,$Y1771)</f>
        <v/>
      </c>
    </row>
    <row r="1772">
      <c r="W1772" s="31">
        <f>IF(OR($B$5="",$C$6="",ROW()&lt;$B$5),"",IF(INDEX($A:$U,ROW(),$C$6)="","",INDEX($A:$U,ROW(),$C$6)))</f>
        <v/>
      </c>
      <c r="X1772" s="32">
        <f>IF($W1772="","",IF(ISNUMBER($W1772),IF($W1772&gt;=10000000,IFERROR(DATE(INT($W1772/10000),MOD(INT($W1772/100),100),MOD($W1772,100)),""),INT($W1772)),IFERROR(DATE(--LEFT(LEFT(SUBSTITUTE(SUBSTITUTE(SUBSTITUTE(SUBSTITUTE(TRIM($W1772),"-",""),".",""),"/","")," ",""),8),4),--MID(LEFT(SUBSTITUTE(SUBSTITUTE(SUBSTITUTE(SUBSTITUTE(TRIM($W1772),"-",""),".",""),"/","")," ",""),8),5,2),--MID(LEFT(SUBSTITUTE(SUBSTITUTE(SUBSTITUTE(SUBSTITUTE(TRIM($W1772),"-",""),".",""),"/","")," ",""),8),7,2)),"")))</f>
        <v/>
      </c>
      <c r="Y1772" s="32">
        <f>IF($X1772="","",INT($X1772))</f>
        <v/>
      </c>
      <c r="Z1772" s="33">
        <f>IF(OR($Y1772="",$D$6=""),"",IF(INDEX($A:$U,ROW(),$D$6)="",0,IF(ISNUMBER(INDEX($A:$U,ROW(),$D$6)),INDEX($A:$U,ROW(),$D$6),IFERROR(--SUBSTITUTE(SUBSTITUTE(TRIM(INDEX($A:$U,ROW(),$D$6)),",",""),"원",""),0))))</f>
        <v/>
      </c>
      <c r="AA1772" s="31">
        <f>IF($Y1772="","",TRIM(INDEX($A:$U,ROW(),$E$6)&amp;IF($F$6="",""," "&amp;INDEX($A:$U,ROW(),$F$6))))</f>
        <v/>
      </c>
      <c r="AB1772" s="31">
        <f>IF($AA1772="","",SUBSTITUTE(SUBSTITUTE(SUBSTITUTE(SUBSTITUTE(SUBSTITUTE(SUBSTITUTE(SUBSTITUTE(SUBSTITUTE(SUBSTITUTE($AA1772," ",""),"　",""),"(주)",""),"（주）",""),"㈜",""),"주식회사",""),"(유)",""),"（유）",""),"유한회사",""))</f>
        <v/>
      </c>
      <c r="AC1772" s="31">
        <f>IF(OR($Y1772="",N($Z1772)&lt;=0,$AB1772=""),0,IFERROR(LOOKUP(2,1/((거래처별!$AC$8:$AC$307&lt;&gt;"")*ISNUMBER(SEARCH(거래처별!$AC$8:$AC$307,$AB1772))),거래처별!$A$8:$A$307),IFERROR(LOOKUP(2,1/((거래처별!$AD$8:$AD$307&lt;&gt;"")*ISNUMBER(SEARCH(거래처별!$AD$8:$AD$307,$AB1772))),거래처별!$A$8:$A$307),IFERROR(LOOKUP(2,1/((거래처별!$AE$8:$AE$307&lt;&gt;"")*ISNUMBER(SEARCH(거래처별!$AE$8:$AE$307,$AB1772))),거래처별!$A$8:$A$307),0))))</f>
        <v/>
      </c>
      <c r="AD1772" s="31">
        <f>IF(AND($Y1772&lt;&gt;"",N($Z1772)&gt;0,$AC1772=0),MAX($AD$7:$AD1771)+1,"")</f>
        <v/>
      </c>
      <c r="AE1772" s="31">
        <f>IF($Y1772="",0,$Y1772)</f>
        <v/>
      </c>
    </row>
    <row r="1773">
      <c r="W1773" s="31">
        <f>IF(OR($B$5="",$C$6="",ROW()&lt;$B$5),"",IF(INDEX($A:$U,ROW(),$C$6)="","",INDEX($A:$U,ROW(),$C$6)))</f>
        <v/>
      </c>
      <c r="X1773" s="32">
        <f>IF($W1773="","",IF(ISNUMBER($W1773),IF($W1773&gt;=10000000,IFERROR(DATE(INT($W1773/10000),MOD(INT($W1773/100),100),MOD($W1773,100)),""),INT($W1773)),IFERROR(DATE(--LEFT(LEFT(SUBSTITUTE(SUBSTITUTE(SUBSTITUTE(SUBSTITUTE(TRIM($W1773),"-",""),".",""),"/","")," ",""),8),4),--MID(LEFT(SUBSTITUTE(SUBSTITUTE(SUBSTITUTE(SUBSTITUTE(TRIM($W1773),"-",""),".",""),"/","")," ",""),8),5,2),--MID(LEFT(SUBSTITUTE(SUBSTITUTE(SUBSTITUTE(SUBSTITUTE(TRIM($W1773),"-",""),".",""),"/","")," ",""),8),7,2)),"")))</f>
        <v/>
      </c>
      <c r="Y1773" s="32">
        <f>IF($X1773="","",INT($X1773))</f>
        <v/>
      </c>
      <c r="Z1773" s="33">
        <f>IF(OR($Y1773="",$D$6=""),"",IF(INDEX($A:$U,ROW(),$D$6)="",0,IF(ISNUMBER(INDEX($A:$U,ROW(),$D$6)),INDEX($A:$U,ROW(),$D$6),IFERROR(--SUBSTITUTE(SUBSTITUTE(TRIM(INDEX($A:$U,ROW(),$D$6)),",",""),"원",""),0))))</f>
        <v/>
      </c>
      <c r="AA1773" s="31">
        <f>IF($Y1773="","",TRIM(INDEX($A:$U,ROW(),$E$6)&amp;IF($F$6="",""," "&amp;INDEX($A:$U,ROW(),$F$6))))</f>
        <v/>
      </c>
      <c r="AB1773" s="31">
        <f>IF($AA1773="","",SUBSTITUTE(SUBSTITUTE(SUBSTITUTE(SUBSTITUTE(SUBSTITUTE(SUBSTITUTE(SUBSTITUTE(SUBSTITUTE(SUBSTITUTE($AA1773," ",""),"　",""),"(주)",""),"（주）",""),"㈜",""),"주식회사",""),"(유)",""),"（유）",""),"유한회사",""))</f>
        <v/>
      </c>
      <c r="AC1773" s="31">
        <f>IF(OR($Y1773="",N($Z1773)&lt;=0,$AB1773=""),0,IFERROR(LOOKUP(2,1/((거래처별!$AC$8:$AC$307&lt;&gt;"")*ISNUMBER(SEARCH(거래처별!$AC$8:$AC$307,$AB1773))),거래처별!$A$8:$A$307),IFERROR(LOOKUP(2,1/((거래처별!$AD$8:$AD$307&lt;&gt;"")*ISNUMBER(SEARCH(거래처별!$AD$8:$AD$307,$AB1773))),거래처별!$A$8:$A$307),IFERROR(LOOKUP(2,1/((거래처별!$AE$8:$AE$307&lt;&gt;"")*ISNUMBER(SEARCH(거래처별!$AE$8:$AE$307,$AB1773))),거래처별!$A$8:$A$307),0))))</f>
        <v/>
      </c>
      <c r="AD1773" s="31">
        <f>IF(AND($Y1773&lt;&gt;"",N($Z1773)&gt;0,$AC1773=0),MAX($AD$7:$AD1772)+1,"")</f>
        <v/>
      </c>
      <c r="AE1773" s="31">
        <f>IF($Y1773="",0,$Y1773)</f>
        <v/>
      </c>
    </row>
    <row r="1774">
      <c r="W1774" s="31">
        <f>IF(OR($B$5="",$C$6="",ROW()&lt;$B$5),"",IF(INDEX($A:$U,ROW(),$C$6)="","",INDEX($A:$U,ROW(),$C$6)))</f>
        <v/>
      </c>
      <c r="X1774" s="32">
        <f>IF($W1774="","",IF(ISNUMBER($W1774),IF($W1774&gt;=10000000,IFERROR(DATE(INT($W1774/10000),MOD(INT($W1774/100),100),MOD($W1774,100)),""),INT($W1774)),IFERROR(DATE(--LEFT(LEFT(SUBSTITUTE(SUBSTITUTE(SUBSTITUTE(SUBSTITUTE(TRIM($W1774),"-",""),".",""),"/","")," ",""),8),4),--MID(LEFT(SUBSTITUTE(SUBSTITUTE(SUBSTITUTE(SUBSTITUTE(TRIM($W1774),"-",""),".",""),"/","")," ",""),8),5,2),--MID(LEFT(SUBSTITUTE(SUBSTITUTE(SUBSTITUTE(SUBSTITUTE(TRIM($W1774),"-",""),".",""),"/","")," ",""),8),7,2)),"")))</f>
        <v/>
      </c>
      <c r="Y1774" s="32">
        <f>IF($X1774="","",INT($X1774))</f>
        <v/>
      </c>
      <c r="Z1774" s="33">
        <f>IF(OR($Y1774="",$D$6=""),"",IF(INDEX($A:$U,ROW(),$D$6)="",0,IF(ISNUMBER(INDEX($A:$U,ROW(),$D$6)),INDEX($A:$U,ROW(),$D$6),IFERROR(--SUBSTITUTE(SUBSTITUTE(TRIM(INDEX($A:$U,ROW(),$D$6)),",",""),"원",""),0))))</f>
        <v/>
      </c>
      <c r="AA1774" s="31">
        <f>IF($Y1774="","",TRIM(INDEX($A:$U,ROW(),$E$6)&amp;IF($F$6="",""," "&amp;INDEX($A:$U,ROW(),$F$6))))</f>
        <v/>
      </c>
      <c r="AB1774" s="31">
        <f>IF($AA1774="","",SUBSTITUTE(SUBSTITUTE(SUBSTITUTE(SUBSTITUTE(SUBSTITUTE(SUBSTITUTE(SUBSTITUTE(SUBSTITUTE(SUBSTITUTE($AA1774," ",""),"　",""),"(주)",""),"（주）",""),"㈜",""),"주식회사",""),"(유)",""),"（유）",""),"유한회사",""))</f>
        <v/>
      </c>
      <c r="AC1774" s="31">
        <f>IF(OR($Y1774="",N($Z1774)&lt;=0,$AB1774=""),0,IFERROR(LOOKUP(2,1/((거래처별!$AC$8:$AC$307&lt;&gt;"")*ISNUMBER(SEARCH(거래처별!$AC$8:$AC$307,$AB1774))),거래처별!$A$8:$A$307),IFERROR(LOOKUP(2,1/((거래처별!$AD$8:$AD$307&lt;&gt;"")*ISNUMBER(SEARCH(거래처별!$AD$8:$AD$307,$AB1774))),거래처별!$A$8:$A$307),IFERROR(LOOKUP(2,1/((거래처별!$AE$8:$AE$307&lt;&gt;"")*ISNUMBER(SEARCH(거래처별!$AE$8:$AE$307,$AB1774))),거래처별!$A$8:$A$307),0))))</f>
        <v/>
      </c>
      <c r="AD1774" s="31">
        <f>IF(AND($Y1774&lt;&gt;"",N($Z1774)&gt;0,$AC1774=0),MAX($AD$7:$AD1773)+1,"")</f>
        <v/>
      </c>
      <c r="AE1774" s="31">
        <f>IF($Y1774="",0,$Y1774)</f>
        <v/>
      </c>
    </row>
    <row r="1775">
      <c r="W1775" s="31">
        <f>IF(OR($B$5="",$C$6="",ROW()&lt;$B$5),"",IF(INDEX($A:$U,ROW(),$C$6)="","",INDEX($A:$U,ROW(),$C$6)))</f>
        <v/>
      </c>
      <c r="X1775" s="32">
        <f>IF($W1775="","",IF(ISNUMBER($W1775),IF($W1775&gt;=10000000,IFERROR(DATE(INT($W1775/10000),MOD(INT($W1775/100),100),MOD($W1775,100)),""),INT($W1775)),IFERROR(DATE(--LEFT(LEFT(SUBSTITUTE(SUBSTITUTE(SUBSTITUTE(SUBSTITUTE(TRIM($W1775),"-",""),".",""),"/","")," ",""),8),4),--MID(LEFT(SUBSTITUTE(SUBSTITUTE(SUBSTITUTE(SUBSTITUTE(TRIM($W1775),"-",""),".",""),"/","")," ",""),8),5,2),--MID(LEFT(SUBSTITUTE(SUBSTITUTE(SUBSTITUTE(SUBSTITUTE(TRIM($W1775),"-",""),".",""),"/","")," ",""),8),7,2)),"")))</f>
        <v/>
      </c>
      <c r="Y1775" s="32">
        <f>IF($X1775="","",INT($X1775))</f>
        <v/>
      </c>
      <c r="Z1775" s="33">
        <f>IF(OR($Y1775="",$D$6=""),"",IF(INDEX($A:$U,ROW(),$D$6)="",0,IF(ISNUMBER(INDEX($A:$U,ROW(),$D$6)),INDEX($A:$U,ROW(),$D$6),IFERROR(--SUBSTITUTE(SUBSTITUTE(TRIM(INDEX($A:$U,ROW(),$D$6)),",",""),"원",""),0))))</f>
        <v/>
      </c>
      <c r="AA1775" s="31">
        <f>IF($Y1775="","",TRIM(INDEX($A:$U,ROW(),$E$6)&amp;IF($F$6="",""," "&amp;INDEX($A:$U,ROW(),$F$6))))</f>
        <v/>
      </c>
      <c r="AB1775" s="31">
        <f>IF($AA1775="","",SUBSTITUTE(SUBSTITUTE(SUBSTITUTE(SUBSTITUTE(SUBSTITUTE(SUBSTITUTE(SUBSTITUTE(SUBSTITUTE(SUBSTITUTE($AA1775," ",""),"　",""),"(주)",""),"（주）",""),"㈜",""),"주식회사",""),"(유)",""),"（유）",""),"유한회사",""))</f>
        <v/>
      </c>
      <c r="AC1775" s="31">
        <f>IF(OR($Y1775="",N($Z1775)&lt;=0,$AB1775=""),0,IFERROR(LOOKUP(2,1/((거래처별!$AC$8:$AC$307&lt;&gt;"")*ISNUMBER(SEARCH(거래처별!$AC$8:$AC$307,$AB1775))),거래처별!$A$8:$A$307),IFERROR(LOOKUP(2,1/((거래처별!$AD$8:$AD$307&lt;&gt;"")*ISNUMBER(SEARCH(거래처별!$AD$8:$AD$307,$AB1775))),거래처별!$A$8:$A$307),IFERROR(LOOKUP(2,1/((거래처별!$AE$8:$AE$307&lt;&gt;"")*ISNUMBER(SEARCH(거래처별!$AE$8:$AE$307,$AB1775))),거래처별!$A$8:$A$307),0))))</f>
        <v/>
      </c>
      <c r="AD1775" s="31">
        <f>IF(AND($Y1775&lt;&gt;"",N($Z1775)&gt;0,$AC1775=0),MAX($AD$7:$AD1774)+1,"")</f>
        <v/>
      </c>
      <c r="AE1775" s="31">
        <f>IF($Y1775="",0,$Y1775)</f>
        <v/>
      </c>
    </row>
    <row r="1776">
      <c r="W1776" s="31">
        <f>IF(OR($B$5="",$C$6="",ROW()&lt;$B$5),"",IF(INDEX($A:$U,ROW(),$C$6)="","",INDEX($A:$U,ROW(),$C$6)))</f>
        <v/>
      </c>
      <c r="X1776" s="32">
        <f>IF($W1776="","",IF(ISNUMBER($W1776),IF($W1776&gt;=10000000,IFERROR(DATE(INT($W1776/10000),MOD(INT($W1776/100),100),MOD($W1776,100)),""),INT($W1776)),IFERROR(DATE(--LEFT(LEFT(SUBSTITUTE(SUBSTITUTE(SUBSTITUTE(SUBSTITUTE(TRIM($W1776),"-",""),".",""),"/","")," ",""),8),4),--MID(LEFT(SUBSTITUTE(SUBSTITUTE(SUBSTITUTE(SUBSTITUTE(TRIM($W1776),"-",""),".",""),"/","")," ",""),8),5,2),--MID(LEFT(SUBSTITUTE(SUBSTITUTE(SUBSTITUTE(SUBSTITUTE(TRIM($W1776),"-",""),".",""),"/","")," ",""),8),7,2)),"")))</f>
        <v/>
      </c>
      <c r="Y1776" s="32">
        <f>IF($X1776="","",INT($X1776))</f>
        <v/>
      </c>
      <c r="Z1776" s="33">
        <f>IF(OR($Y1776="",$D$6=""),"",IF(INDEX($A:$U,ROW(),$D$6)="",0,IF(ISNUMBER(INDEX($A:$U,ROW(),$D$6)),INDEX($A:$U,ROW(),$D$6),IFERROR(--SUBSTITUTE(SUBSTITUTE(TRIM(INDEX($A:$U,ROW(),$D$6)),",",""),"원",""),0))))</f>
        <v/>
      </c>
      <c r="AA1776" s="31">
        <f>IF($Y1776="","",TRIM(INDEX($A:$U,ROW(),$E$6)&amp;IF($F$6="",""," "&amp;INDEX($A:$U,ROW(),$F$6))))</f>
        <v/>
      </c>
      <c r="AB1776" s="31">
        <f>IF($AA1776="","",SUBSTITUTE(SUBSTITUTE(SUBSTITUTE(SUBSTITUTE(SUBSTITUTE(SUBSTITUTE(SUBSTITUTE(SUBSTITUTE(SUBSTITUTE($AA1776," ",""),"　",""),"(주)",""),"（주）",""),"㈜",""),"주식회사",""),"(유)",""),"（유）",""),"유한회사",""))</f>
        <v/>
      </c>
      <c r="AC1776" s="31">
        <f>IF(OR($Y1776="",N($Z1776)&lt;=0,$AB1776=""),0,IFERROR(LOOKUP(2,1/((거래처별!$AC$8:$AC$307&lt;&gt;"")*ISNUMBER(SEARCH(거래처별!$AC$8:$AC$307,$AB1776))),거래처별!$A$8:$A$307),IFERROR(LOOKUP(2,1/((거래처별!$AD$8:$AD$307&lt;&gt;"")*ISNUMBER(SEARCH(거래처별!$AD$8:$AD$307,$AB1776))),거래처별!$A$8:$A$307),IFERROR(LOOKUP(2,1/((거래처별!$AE$8:$AE$307&lt;&gt;"")*ISNUMBER(SEARCH(거래처별!$AE$8:$AE$307,$AB1776))),거래처별!$A$8:$A$307),0))))</f>
        <v/>
      </c>
      <c r="AD1776" s="31">
        <f>IF(AND($Y1776&lt;&gt;"",N($Z1776)&gt;0,$AC1776=0),MAX($AD$7:$AD1775)+1,"")</f>
        <v/>
      </c>
      <c r="AE1776" s="31">
        <f>IF($Y1776="",0,$Y1776)</f>
        <v/>
      </c>
    </row>
    <row r="1777">
      <c r="W1777" s="31">
        <f>IF(OR($B$5="",$C$6="",ROW()&lt;$B$5),"",IF(INDEX($A:$U,ROW(),$C$6)="","",INDEX($A:$U,ROW(),$C$6)))</f>
        <v/>
      </c>
      <c r="X1777" s="32">
        <f>IF($W1777="","",IF(ISNUMBER($W1777),IF($W1777&gt;=10000000,IFERROR(DATE(INT($W1777/10000),MOD(INT($W1777/100),100),MOD($W1777,100)),""),INT($W1777)),IFERROR(DATE(--LEFT(LEFT(SUBSTITUTE(SUBSTITUTE(SUBSTITUTE(SUBSTITUTE(TRIM($W1777),"-",""),".",""),"/","")," ",""),8),4),--MID(LEFT(SUBSTITUTE(SUBSTITUTE(SUBSTITUTE(SUBSTITUTE(TRIM($W1777),"-",""),".",""),"/","")," ",""),8),5,2),--MID(LEFT(SUBSTITUTE(SUBSTITUTE(SUBSTITUTE(SUBSTITUTE(TRIM($W1777),"-",""),".",""),"/","")," ",""),8),7,2)),"")))</f>
        <v/>
      </c>
      <c r="Y1777" s="32">
        <f>IF($X1777="","",INT($X1777))</f>
        <v/>
      </c>
      <c r="Z1777" s="33">
        <f>IF(OR($Y1777="",$D$6=""),"",IF(INDEX($A:$U,ROW(),$D$6)="",0,IF(ISNUMBER(INDEX($A:$U,ROW(),$D$6)),INDEX($A:$U,ROW(),$D$6),IFERROR(--SUBSTITUTE(SUBSTITUTE(TRIM(INDEX($A:$U,ROW(),$D$6)),",",""),"원",""),0))))</f>
        <v/>
      </c>
      <c r="AA1777" s="31">
        <f>IF($Y1777="","",TRIM(INDEX($A:$U,ROW(),$E$6)&amp;IF($F$6="",""," "&amp;INDEX($A:$U,ROW(),$F$6))))</f>
        <v/>
      </c>
      <c r="AB1777" s="31">
        <f>IF($AA1777="","",SUBSTITUTE(SUBSTITUTE(SUBSTITUTE(SUBSTITUTE(SUBSTITUTE(SUBSTITUTE(SUBSTITUTE(SUBSTITUTE(SUBSTITUTE($AA1777," ",""),"　",""),"(주)",""),"（주）",""),"㈜",""),"주식회사",""),"(유)",""),"（유）",""),"유한회사",""))</f>
        <v/>
      </c>
      <c r="AC1777" s="31">
        <f>IF(OR($Y1777="",N($Z1777)&lt;=0,$AB1777=""),0,IFERROR(LOOKUP(2,1/((거래처별!$AC$8:$AC$307&lt;&gt;"")*ISNUMBER(SEARCH(거래처별!$AC$8:$AC$307,$AB1777))),거래처별!$A$8:$A$307),IFERROR(LOOKUP(2,1/((거래처별!$AD$8:$AD$307&lt;&gt;"")*ISNUMBER(SEARCH(거래처별!$AD$8:$AD$307,$AB1777))),거래처별!$A$8:$A$307),IFERROR(LOOKUP(2,1/((거래처별!$AE$8:$AE$307&lt;&gt;"")*ISNUMBER(SEARCH(거래처별!$AE$8:$AE$307,$AB1777))),거래처별!$A$8:$A$307),0))))</f>
        <v/>
      </c>
      <c r="AD1777" s="31">
        <f>IF(AND($Y1777&lt;&gt;"",N($Z1777)&gt;0,$AC1777=0),MAX($AD$7:$AD1776)+1,"")</f>
        <v/>
      </c>
      <c r="AE1777" s="31">
        <f>IF($Y1777="",0,$Y1777)</f>
        <v/>
      </c>
    </row>
    <row r="1778">
      <c r="W1778" s="31">
        <f>IF(OR($B$5="",$C$6="",ROW()&lt;$B$5),"",IF(INDEX($A:$U,ROW(),$C$6)="","",INDEX($A:$U,ROW(),$C$6)))</f>
        <v/>
      </c>
      <c r="X1778" s="32">
        <f>IF($W1778="","",IF(ISNUMBER($W1778),IF($W1778&gt;=10000000,IFERROR(DATE(INT($W1778/10000),MOD(INT($W1778/100),100),MOD($W1778,100)),""),INT($W1778)),IFERROR(DATE(--LEFT(LEFT(SUBSTITUTE(SUBSTITUTE(SUBSTITUTE(SUBSTITUTE(TRIM($W1778),"-",""),".",""),"/","")," ",""),8),4),--MID(LEFT(SUBSTITUTE(SUBSTITUTE(SUBSTITUTE(SUBSTITUTE(TRIM($W1778),"-",""),".",""),"/","")," ",""),8),5,2),--MID(LEFT(SUBSTITUTE(SUBSTITUTE(SUBSTITUTE(SUBSTITUTE(TRIM($W1778),"-",""),".",""),"/","")," ",""),8),7,2)),"")))</f>
        <v/>
      </c>
      <c r="Y1778" s="32">
        <f>IF($X1778="","",INT($X1778))</f>
        <v/>
      </c>
      <c r="Z1778" s="33">
        <f>IF(OR($Y1778="",$D$6=""),"",IF(INDEX($A:$U,ROW(),$D$6)="",0,IF(ISNUMBER(INDEX($A:$U,ROW(),$D$6)),INDEX($A:$U,ROW(),$D$6),IFERROR(--SUBSTITUTE(SUBSTITUTE(TRIM(INDEX($A:$U,ROW(),$D$6)),",",""),"원",""),0))))</f>
        <v/>
      </c>
      <c r="AA1778" s="31">
        <f>IF($Y1778="","",TRIM(INDEX($A:$U,ROW(),$E$6)&amp;IF($F$6="",""," "&amp;INDEX($A:$U,ROW(),$F$6))))</f>
        <v/>
      </c>
      <c r="AB1778" s="31">
        <f>IF($AA1778="","",SUBSTITUTE(SUBSTITUTE(SUBSTITUTE(SUBSTITUTE(SUBSTITUTE(SUBSTITUTE(SUBSTITUTE(SUBSTITUTE(SUBSTITUTE($AA1778," ",""),"　",""),"(주)",""),"（주）",""),"㈜",""),"주식회사",""),"(유)",""),"（유）",""),"유한회사",""))</f>
        <v/>
      </c>
      <c r="AC1778" s="31">
        <f>IF(OR($Y1778="",N($Z1778)&lt;=0,$AB1778=""),0,IFERROR(LOOKUP(2,1/((거래처별!$AC$8:$AC$307&lt;&gt;"")*ISNUMBER(SEARCH(거래처별!$AC$8:$AC$307,$AB1778))),거래처별!$A$8:$A$307),IFERROR(LOOKUP(2,1/((거래처별!$AD$8:$AD$307&lt;&gt;"")*ISNUMBER(SEARCH(거래처별!$AD$8:$AD$307,$AB1778))),거래처별!$A$8:$A$307),IFERROR(LOOKUP(2,1/((거래처별!$AE$8:$AE$307&lt;&gt;"")*ISNUMBER(SEARCH(거래처별!$AE$8:$AE$307,$AB1778))),거래처별!$A$8:$A$307),0))))</f>
        <v/>
      </c>
      <c r="AD1778" s="31">
        <f>IF(AND($Y1778&lt;&gt;"",N($Z1778)&gt;0,$AC1778=0),MAX($AD$7:$AD1777)+1,"")</f>
        <v/>
      </c>
      <c r="AE1778" s="31">
        <f>IF($Y1778="",0,$Y1778)</f>
        <v/>
      </c>
    </row>
    <row r="1779">
      <c r="W1779" s="31">
        <f>IF(OR($B$5="",$C$6="",ROW()&lt;$B$5),"",IF(INDEX($A:$U,ROW(),$C$6)="","",INDEX($A:$U,ROW(),$C$6)))</f>
        <v/>
      </c>
      <c r="X1779" s="32">
        <f>IF($W1779="","",IF(ISNUMBER($W1779),IF($W1779&gt;=10000000,IFERROR(DATE(INT($W1779/10000),MOD(INT($W1779/100),100),MOD($W1779,100)),""),INT($W1779)),IFERROR(DATE(--LEFT(LEFT(SUBSTITUTE(SUBSTITUTE(SUBSTITUTE(SUBSTITUTE(TRIM($W1779),"-",""),".",""),"/","")," ",""),8),4),--MID(LEFT(SUBSTITUTE(SUBSTITUTE(SUBSTITUTE(SUBSTITUTE(TRIM($W1779),"-",""),".",""),"/","")," ",""),8),5,2),--MID(LEFT(SUBSTITUTE(SUBSTITUTE(SUBSTITUTE(SUBSTITUTE(TRIM($W1779),"-",""),".",""),"/","")," ",""),8),7,2)),"")))</f>
        <v/>
      </c>
      <c r="Y1779" s="32">
        <f>IF($X1779="","",INT($X1779))</f>
        <v/>
      </c>
      <c r="Z1779" s="33">
        <f>IF(OR($Y1779="",$D$6=""),"",IF(INDEX($A:$U,ROW(),$D$6)="",0,IF(ISNUMBER(INDEX($A:$U,ROW(),$D$6)),INDEX($A:$U,ROW(),$D$6),IFERROR(--SUBSTITUTE(SUBSTITUTE(TRIM(INDEX($A:$U,ROW(),$D$6)),",",""),"원",""),0))))</f>
        <v/>
      </c>
      <c r="AA1779" s="31">
        <f>IF($Y1779="","",TRIM(INDEX($A:$U,ROW(),$E$6)&amp;IF($F$6="",""," "&amp;INDEX($A:$U,ROW(),$F$6))))</f>
        <v/>
      </c>
      <c r="AB1779" s="31">
        <f>IF($AA1779="","",SUBSTITUTE(SUBSTITUTE(SUBSTITUTE(SUBSTITUTE(SUBSTITUTE(SUBSTITUTE(SUBSTITUTE(SUBSTITUTE(SUBSTITUTE($AA1779," ",""),"　",""),"(주)",""),"（주）",""),"㈜",""),"주식회사",""),"(유)",""),"（유）",""),"유한회사",""))</f>
        <v/>
      </c>
      <c r="AC1779" s="31">
        <f>IF(OR($Y1779="",N($Z1779)&lt;=0,$AB1779=""),0,IFERROR(LOOKUP(2,1/((거래처별!$AC$8:$AC$307&lt;&gt;"")*ISNUMBER(SEARCH(거래처별!$AC$8:$AC$307,$AB1779))),거래처별!$A$8:$A$307),IFERROR(LOOKUP(2,1/((거래처별!$AD$8:$AD$307&lt;&gt;"")*ISNUMBER(SEARCH(거래처별!$AD$8:$AD$307,$AB1779))),거래처별!$A$8:$A$307),IFERROR(LOOKUP(2,1/((거래처별!$AE$8:$AE$307&lt;&gt;"")*ISNUMBER(SEARCH(거래처별!$AE$8:$AE$307,$AB1779))),거래처별!$A$8:$A$307),0))))</f>
        <v/>
      </c>
      <c r="AD1779" s="31">
        <f>IF(AND($Y1779&lt;&gt;"",N($Z1779)&gt;0,$AC1779=0),MAX($AD$7:$AD1778)+1,"")</f>
        <v/>
      </c>
      <c r="AE1779" s="31">
        <f>IF($Y1779="",0,$Y1779)</f>
        <v/>
      </c>
    </row>
    <row r="1780">
      <c r="W1780" s="31">
        <f>IF(OR($B$5="",$C$6="",ROW()&lt;$B$5),"",IF(INDEX($A:$U,ROW(),$C$6)="","",INDEX($A:$U,ROW(),$C$6)))</f>
        <v/>
      </c>
      <c r="X1780" s="32">
        <f>IF($W1780="","",IF(ISNUMBER($W1780),IF($W1780&gt;=10000000,IFERROR(DATE(INT($W1780/10000),MOD(INT($W1780/100),100),MOD($W1780,100)),""),INT($W1780)),IFERROR(DATE(--LEFT(LEFT(SUBSTITUTE(SUBSTITUTE(SUBSTITUTE(SUBSTITUTE(TRIM($W1780),"-",""),".",""),"/","")," ",""),8),4),--MID(LEFT(SUBSTITUTE(SUBSTITUTE(SUBSTITUTE(SUBSTITUTE(TRIM($W1780),"-",""),".",""),"/","")," ",""),8),5,2),--MID(LEFT(SUBSTITUTE(SUBSTITUTE(SUBSTITUTE(SUBSTITUTE(TRIM($W1780),"-",""),".",""),"/","")," ",""),8),7,2)),"")))</f>
        <v/>
      </c>
      <c r="Y1780" s="32">
        <f>IF($X1780="","",INT($X1780))</f>
        <v/>
      </c>
      <c r="Z1780" s="33">
        <f>IF(OR($Y1780="",$D$6=""),"",IF(INDEX($A:$U,ROW(),$D$6)="",0,IF(ISNUMBER(INDEX($A:$U,ROW(),$D$6)),INDEX($A:$U,ROW(),$D$6),IFERROR(--SUBSTITUTE(SUBSTITUTE(TRIM(INDEX($A:$U,ROW(),$D$6)),",",""),"원",""),0))))</f>
        <v/>
      </c>
      <c r="AA1780" s="31">
        <f>IF($Y1780="","",TRIM(INDEX($A:$U,ROW(),$E$6)&amp;IF($F$6="",""," "&amp;INDEX($A:$U,ROW(),$F$6))))</f>
        <v/>
      </c>
      <c r="AB1780" s="31">
        <f>IF($AA1780="","",SUBSTITUTE(SUBSTITUTE(SUBSTITUTE(SUBSTITUTE(SUBSTITUTE(SUBSTITUTE(SUBSTITUTE(SUBSTITUTE(SUBSTITUTE($AA1780," ",""),"　",""),"(주)",""),"（주）",""),"㈜",""),"주식회사",""),"(유)",""),"（유）",""),"유한회사",""))</f>
        <v/>
      </c>
      <c r="AC1780" s="31">
        <f>IF(OR($Y1780="",N($Z1780)&lt;=0,$AB1780=""),0,IFERROR(LOOKUP(2,1/((거래처별!$AC$8:$AC$307&lt;&gt;"")*ISNUMBER(SEARCH(거래처별!$AC$8:$AC$307,$AB1780))),거래처별!$A$8:$A$307),IFERROR(LOOKUP(2,1/((거래처별!$AD$8:$AD$307&lt;&gt;"")*ISNUMBER(SEARCH(거래처별!$AD$8:$AD$307,$AB1780))),거래처별!$A$8:$A$307),IFERROR(LOOKUP(2,1/((거래처별!$AE$8:$AE$307&lt;&gt;"")*ISNUMBER(SEARCH(거래처별!$AE$8:$AE$307,$AB1780))),거래처별!$A$8:$A$307),0))))</f>
        <v/>
      </c>
      <c r="AD1780" s="31">
        <f>IF(AND($Y1780&lt;&gt;"",N($Z1780)&gt;0,$AC1780=0),MAX($AD$7:$AD1779)+1,"")</f>
        <v/>
      </c>
      <c r="AE1780" s="31">
        <f>IF($Y1780="",0,$Y1780)</f>
        <v/>
      </c>
    </row>
    <row r="1781">
      <c r="W1781" s="31">
        <f>IF(OR($B$5="",$C$6="",ROW()&lt;$B$5),"",IF(INDEX($A:$U,ROW(),$C$6)="","",INDEX($A:$U,ROW(),$C$6)))</f>
        <v/>
      </c>
      <c r="X1781" s="32">
        <f>IF($W1781="","",IF(ISNUMBER($W1781),IF($W1781&gt;=10000000,IFERROR(DATE(INT($W1781/10000),MOD(INT($W1781/100),100),MOD($W1781,100)),""),INT($W1781)),IFERROR(DATE(--LEFT(LEFT(SUBSTITUTE(SUBSTITUTE(SUBSTITUTE(SUBSTITUTE(TRIM($W1781),"-",""),".",""),"/","")," ",""),8),4),--MID(LEFT(SUBSTITUTE(SUBSTITUTE(SUBSTITUTE(SUBSTITUTE(TRIM($W1781),"-",""),".",""),"/","")," ",""),8),5,2),--MID(LEFT(SUBSTITUTE(SUBSTITUTE(SUBSTITUTE(SUBSTITUTE(TRIM($W1781),"-",""),".",""),"/","")," ",""),8),7,2)),"")))</f>
        <v/>
      </c>
      <c r="Y1781" s="32">
        <f>IF($X1781="","",INT($X1781))</f>
        <v/>
      </c>
      <c r="Z1781" s="33">
        <f>IF(OR($Y1781="",$D$6=""),"",IF(INDEX($A:$U,ROW(),$D$6)="",0,IF(ISNUMBER(INDEX($A:$U,ROW(),$D$6)),INDEX($A:$U,ROW(),$D$6),IFERROR(--SUBSTITUTE(SUBSTITUTE(TRIM(INDEX($A:$U,ROW(),$D$6)),",",""),"원",""),0))))</f>
        <v/>
      </c>
      <c r="AA1781" s="31">
        <f>IF($Y1781="","",TRIM(INDEX($A:$U,ROW(),$E$6)&amp;IF($F$6="",""," "&amp;INDEX($A:$U,ROW(),$F$6))))</f>
        <v/>
      </c>
      <c r="AB1781" s="31">
        <f>IF($AA1781="","",SUBSTITUTE(SUBSTITUTE(SUBSTITUTE(SUBSTITUTE(SUBSTITUTE(SUBSTITUTE(SUBSTITUTE(SUBSTITUTE(SUBSTITUTE($AA1781," ",""),"　",""),"(주)",""),"（주）",""),"㈜",""),"주식회사",""),"(유)",""),"（유）",""),"유한회사",""))</f>
        <v/>
      </c>
      <c r="AC1781" s="31">
        <f>IF(OR($Y1781="",N($Z1781)&lt;=0,$AB1781=""),0,IFERROR(LOOKUP(2,1/((거래처별!$AC$8:$AC$307&lt;&gt;"")*ISNUMBER(SEARCH(거래처별!$AC$8:$AC$307,$AB1781))),거래처별!$A$8:$A$307),IFERROR(LOOKUP(2,1/((거래처별!$AD$8:$AD$307&lt;&gt;"")*ISNUMBER(SEARCH(거래처별!$AD$8:$AD$307,$AB1781))),거래처별!$A$8:$A$307),IFERROR(LOOKUP(2,1/((거래처별!$AE$8:$AE$307&lt;&gt;"")*ISNUMBER(SEARCH(거래처별!$AE$8:$AE$307,$AB1781))),거래처별!$A$8:$A$307),0))))</f>
        <v/>
      </c>
      <c r="AD1781" s="31">
        <f>IF(AND($Y1781&lt;&gt;"",N($Z1781)&gt;0,$AC1781=0),MAX($AD$7:$AD1780)+1,"")</f>
        <v/>
      </c>
      <c r="AE1781" s="31">
        <f>IF($Y1781="",0,$Y1781)</f>
        <v/>
      </c>
    </row>
    <row r="1782">
      <c r="W1782" s="31">
        <f>IF(OR($B$5="",$C$6="",ROW()&lt;$B$5),"",IF(INDEX($A:$U,ROW(),$C$6)="","",INDEX($A:$U,ROW(),$C$6)))</f>
        <v/>
      </c>
      <c r="X1782" s="32">
        <f>IF($W1782="","",IF(ISNUMBER($W1782),IF($W1782&gt;=10000000,IFERROR(DATE(INT($W1782/10000),MOD(INT($W1782/100),100),MOD($W1782,100)),""),INT($W1782)),IFERROR(DATE(--LEFT(LEFT(SUBSTITUTE(SUBSTITUTE(SUBSTITUTE(SUBSTITUTE(TRIM($W1782),"-",""),".",""),"/","")," ",""),8),4),--MID(LEFT(SUBSTITUTE(SUBSTITUTE(SUBSTITUTE(SUBSTITUTE(TRIM($W1782),"-",""),".",""),"/","")," ",""),8),5,2),--MID(LEFT(SUBSTITUTE(SUBSTITUTE(SUBSTITUTE(SUBSTITUTE(TRIM($W1782),"-",""),".",""),"/","")," ",""),8),7,2)),"")))</f>
        <v/>
      </c>
      <c r="Y1782" s="32">
        <f>IF($X1782="","",INT($X1782))</f>
        <v/>
      </c>
      <c r="Z1782" s="33">
        <f>IF(OR($Y1782="",$D$6=""),"",IF(INDEX($A:$U,ROW(),$D$6)="",0,IF(ISNUMBER(INDEX($A:$U,ROW(),$D$6)),INDEX($A:$U,ROW(),$D$6),IFERROR(--SUBSTITUTE(SUBSTITUTE(TRIM(INDEX($A:$U,ROW(),$D$6)),",",""),"원",""),0))))</f>
        <v/>
      </c>
      <c r="AA1782" s="31">
        <f>IF($Y1782="","",TRIM(INDEX($A:$U,ROW(),$E$6)&amp;IF($F$6="",""," "&amp;INDEX($A:$U,ROW(),$F$6))))</f>
        <v/>
      </c>
      <c r="AB1782" s="31">
        <f>IF($AA1782="","",SUBSTITUTE(SUBSTITUTE(SUBSTITUTE(SUBSTITUTE(SUBSTITUTE(SUBSTITUTE(SUBSTITUTE(SUBSTITUTE(SUBSTITUTE($AA1782," ",""),"　",""),"(주)",""),"（주）",""),"㈜",""),"주식회사",""),"(유)",""),"（유）",""),"유한회사",""))</f>
        <v/>
      </c>
      <c r="AC1782" s="31">
        <f>IF(OR($Y1782="",N($Z1782)&lt;=0,$AB1782=""),0,IFERROR(LOOKUP(2,1/((거래처별!$AC$8:$AC$307&lt;&gt;"")*ISNUMBER(SEARCH(거래처별!$AC$8:$AC$307,$AB1782))),거래처별!$A$8:$A$307),IFERROR(LOOKUP(2,1/((거래처별!$AD$8:$AD$307&lt;&gt;"")*ISNUMBER(SEARCH(거래처별!$AD$8:$AD$307,$AB1782))),거래처별!$A$8:$A$307),IFERROR(LOOKUP(2,1/((거래처별!$AE$8:$AE$307&lt;&gt;"")*ISNUMBER(SEARCH(거래처별!$AE$8:$AE$307,$AB1782))),거래처별!$A$8:$A$307),0))))</f>
        <v/>
      </c>
      <c r="AD1782" s="31">
        <f>IF(AND($Y1782&lt;&gt;"",N($Z1782)&gt;0,$AC1782=0),MAX($AD$7:$AD1781)+1,"")</f>
        <v/>
      </c>
      <c r="AE1782" s="31">
        <f>IF($Y1782="",0,$Y1782)</f>
        <v/>
      </c>
    </row>
    <row r="1783">
      <c r="W1783" s="31">
        <f>IF(OR($B$5="",$C$6="",ROW()&lt;$B$5),"",IF(INDEX($A:$U,ROW(),$C$6)="","",INDEX($A:$U,ROW(),$C$6)))</f>
        <v/>
      </c>
      <c r="X1783" s="32">
        <f>IF($W1783="","",IF(ISNUMBER($W1783),IF($W1783&gt;=10000000,IFERROR(DATE(INT($W1783/10000),MOD(INT($W1783/100),100),MOD($W1783,100)),""),INT($W1783)),IFERROR(DATE(--LEFT(LEFT(SUBSTITUTE(SUBSTITUTE(SUBSTITUTE(SUBSTITUTE(TRIM($W1783),"-",""),".",""),"/","")," ",""),8),4),--MID(LEFT(SUBSTITUTE(SUBSTITUTE(SUBSTITUTE(SUBSTITUTE(TRIM($W1783),"-",""),".",""),"/","")," ",""),8),5,2),--MID(LEFT(SUBSTITUTE(SUBSTITUTE(SUBSTITUTE(SUBSTITUTE(TRIM($W1783),"-",""),".",""),"/","")," ",""),8),7,2)),"")))</f>
        <v/>
      </c>
      <c r="Y1783" s="32">
        <f>IF($X1783="","",INT($X1783))</f>
        <v/>
      </c>
      <c r="Z1783" s="33">
        <f>IF(OR($Y1783="",$D$6=""),"",IF(INDEX($A:$U,ROW(),$D$6)="",0,IF(ISNUMBER(INDEX($A:$U,ROW(),$D$6)),INDEX($A:$U,ROW(),$D$6),IFERROR(--SUBSTITUTE(SUBSTITUTE(TRIM(INDEX($A:$U,ROW(),$D$6)),",",""),"원",""),0))))</f>
        <v/>
      </c>
      <c r="AA1783" s="31">
        <f>IF($Y1783="","",TRIM(INDEX($A:$U,ROW(),$E$6)&amp;IF($F$6="",""," "&amp;INDEX($A:$U,ROW(),$F$6))))</f>
        <v/>
      </c>
      <c r="AB1783" s="31">
        <f>IF($AA1783="","",SUBSTITUTE(SUBSTITUTE(SUBSTITUTE(SUBSTITUTE(SUBSTITUTE(SUBSTITUTE(SUBSTITUTE(SUBSTITUTE(SUBSTITUTE($AA1783," ",""),"　",""),"(주)",""),"（주）",""),"㈜",""),"주식회사",""),"(유)",""),"（유）",""),"유한회사",""))</f>
        <v/>
      </c>
      <c r="AC1783" s="31">
        <f>IF(OR($Y1783="",N($Z1783)&lt;=0,$AB1783=""),0,IFERROR(LOOKUP(2,1/((거래처별!$AC$8:$AC$307&lt;&gt;"")*ISNUMBER(SEARCH(거래처별!$AC$8:$AC$307,$AB1783))),거래처별!$A$8:$A$307),IFERROR(LOOKUP(2,1/((거래처별!$AD$8:$AD$307&lt;&gt;"")*ISNUMBER(SEARCH(거래처별!$AD$8:$AD$307,$AB1783))),거래처별!$A$8:$A$307),IFERROR(LOOKUP(2,1/((거래처별!$AE$8:$AE$307&lt;&gt;"")*ISNUMBER(SEARCH(거래처별!$AE$8:$AE$307,$AB1783))),거래처별!$A$8:$A$307),0))))</f>
        <v/>
      </c>
      <c r="AD1783" s="31">
        <f>IF(AND($Y1783&lt;&gt;"",N($Z1783)&gt;0,$AC1783=0),MAX($AD$7:$AD1782)+1,"")</f>
        <v/>
      </c>
      <c r="AE1783" s="31">
        <f>IF($Y1783="",0,$Y1783)</f>
        <v/>
      </c>
    </row>
    <row r="1784">
      <c r="W1784" s="31">
        <f>IF(OR($B$5="",$C$6="",ROW()&lt;$B$5),"",IF(INDEX($A:$U,ROW(),$C$6)="","",INDEX($A:$U,ROW(),$C$6)))</f>
        <v/>
      </c>
      <c r="X1784" s="32">
        <f>IF($W1784="","",IF(ISNUMBER($W1784),IF($W1784&gt;=10000000,IFERROR(DATE(INT($W1784/10000),MOD(INT($W1784/100),100),MOD($W1784,100)),""),INT($W1784)),IFERROR(DATE(--LEFT(LEFT(SUBSTITUTE(SUBSTITUTE(SUBSTITUTE(SUBSTITUTE(TRIM($W1784),"-",""),".",""),"/","")," ",""),8),4),--MID(LEFT(SUBSTITUTE(SUBSTITUTE(SUBSTITUTE(SUBSTITUTE(TRIM($W1784),"-",""),".",""),"/","")," ",""),8),5,2),--MID(LEFT(SUBSTITUTE(SUBSTITUTE(SUBSTITUTE(SUBSTITUTE(TRIM($W1784),"-",""),".",""),"/","")," ",""),8),7,2)),"")))</f>
        <v/>
      </c>
      <c r="Y1784" s="32">
        <f>IF($X1784="","",INT($X1784))</f>
        <v/>
      </c>
      <c r="Z1784" s="33">
        <f>IF(OR($Y1784="",$D$6=""),"",IF(INDEX($A:$U,ROW(),$D$6)="",0,IF(ISNUMBER(INDEX($A:$U,ROW(),$D$6)),INDEX($A:$U,ROW(),$D$6),IFERROR(--SUBSTITUTE(SUBSTITUTE(TRIM(INDEX($A:$U,ROW(),$D$6)),",",""),"원",""),0))))</f>
        <v/>
      </c>
      <c r="AA1784" s="31">
        <f>IF($Y1784="","",TRIM(INDEX($A:$U,ROW(),$E$6)&amp;IF($F$6="",""," "&amp;INDEX($A:$U,ROW(),$F$6))))</f>
        <v/>
      </c>
      <c r="AB1784" s="31">
        <f>IF($AA1784="","",SUBSTITUTE(SUBSTITUTE(SUBSTITUTE(SUBSTITUTE(SUBSTITUTE(SUBSTITUTE(SUBSTITUTE(SUBSTITUTE(SUBSTITUTE($AA1784," ",""),"　",""),"(주)",""),"（주）",""),"㈜",""),"주식회사",""),"(유)",""),"（유）",""),"유한회사",""))</f>
        <v/>
      </c>
      <c r="AC1784" s="31">
        <f>IF(OR($Y1784="",N($Z1784)&lt;=0,$AB1784=""),0,IFERROR(LOOKUP(2,1/((거래처별!$AC$8:$AC$307&lt;&gt;"")*ISNUMBER(SEARCH(거래처별!$AC$8:$AC$307,$AB1784))),거래처별!$A$8:$A$307),IFERROR(LOOKUP(2,1/((거래처별!$AD$8:$AD$307&lt;&gt;"")*ISNUMBER(SEARCH(거래처별!$AD$8:$AD$307,$AB1784))),거래처별!$A$8:$A$307),IFERROR(LOOKUP(2,1/((거래처별!$AE$8:$AE$307&lt;&gt;"")*ISNUMBER(SEARCH(거래처별!$AE$8:$AE$307,$AB1784))),거래처별!$A$8:$A$307),0))))</f>
        <v/>
      </c>
      <c r="AD1784" s="31">
        <f>IF(AND($Y1784&lt;&gt;"",N($Z1784)&gt;0,$AC1784=0),MAX($AD$7:$AD1783)+1,"")</f>
        <v/>
      </c>
      <c r="AE1784" s="31">
        <f>IF($Y1784="",0,$Y1784)</f>
        <v/>
      </c>
    </row>
    <row r="1785">
      <c r="W1785" s="31">
        <f>IF(OR($B$5="",$C$6="",ROW()&lt;$B$5),"",IF(INDEX($A:$U,ROW(),$C$6)="","",INDEX($A:$U,ROW(),$C$6)))</f>
        <v/>
      </c>
      <c r="X1785" s="32">
        <f>IF($W1785="","",IF(ISNUMBER($W1785),IF($W1785&gt;=10000000,IFERROR(DATE(INT($W1785/10000),MOD(INT($W1785/100),100),MOD($W1785,100)),""),INT($W1785)),IFERROR(DATE(--LEFT(LEFT(SUBSTITUTE(SUBSTITUTE(SUBSTITUTE(SUBSTITUTE(TRIM($W1785),"-",""),".",""),"/","")," ",""),8),4),--MID(LEFT(SUBSTITUTE(SUBSTITUTE(SUBSTITUTE(SUBSTITUTE(TRIM($W1785),"-",""),".",""),"/","")," ",""),8),5,2),--MID(LEFT(SUBSTITUTE(SUBSTITUTE(SUBSTITUTE(SUBSTITUTE(TRIM($W1785),"-",""),".",""),"/","")," ",""),8),7,2)),"")))</f>
        <v/>
      </c>
      <c r="Y1785" s="32">
        <f>IF($X1785="","",INT($X1785))</f>
        <v/>
      </c>
      <c r="Z1785" s="33">
        <f>IF(OR($Y1785="",$D$6=""),"",IF(INDEX($A:$U,ROW(),$D$6)="",0,IF(ISNUMBER(INDEX($A:$U,ROW(),$D$6)),INDEX($A:$U,ROW(),$D$6),IFERROR(--SUBSTITUTE(SUBSTITUTE(TRIM(INDEX($A:$U,ROW(),$D$6)),",",""),"원",""),0))))</f>
        <v/>
      </c>
      <c r="AA1785" s="31">
        <f>IF($Y1785="","",TRIM(INDEX($A:$U,ROW(),$E$6)&amp;IF($F$6="",""," "&amp;INDEX($A:$U,ROW(),$F$6))))</f>
        <v/>
      </c>
      <c r="AB1785" s="31">
        <f>IF($AA1785="","",SUBSTITUTE(SUBSTITUTE(SUBSTITUTE(SUBSTITUTE(SUBSTITUTE(SUBSTITUTE(SUBSTITUTE(SUBSTITUTE(SUBSTITUTE($AA1785," ",""),"　",""),"(주)",""),"（주）",""),"㈜",""),"주식회사",""),"(유)",""),"（유）",""),"유한회사",""))</f>
        <v/>
      </c>
      <c r="AC1785" s="31">
        <f>IF(OR($Y1785="",N($Z1785)&lt;=0,$AB1785=""),0,IFERROR(LOOKUP(2,1/((거래처별!$AC$8:$AC$307&lt;&gt;"")*ISNUMBER(SEARCH(거래처별!$AC$8:$AC$307,$AB1785))),거래처별!$A$8:$A$307),IFERROR(LOOKUP(2,1/((거래처별!$AD$8:$AD$307&lt;&gt;"")*ISNUMBER(SEARCH(거래처별!$AD$8:$AD$307,$AB1785))),거래처별!$A$8:$A$307),IFERROR(LOOKUP(2,1/((거래처별!$AE$8:$AE$307&lt;&gt;"")*ISNUMBER(SEARCH(거래처별!$AE$8:$AE$307,$AB1785))),거래처별!$A$8:$A$307),0))))</f>
        <v/>
      </c>
      <c r="AD1785" s="31">
        <f>IF(AND($Y1785&lt;&gt;"",N($Z1785)&gt;0,$AC1785=0),MAX($AD$7:$AD1784)+1,"")</f>
        <v/>
      </c>
      <c r="AE1785" s="31">
        <f>IF($Y1785="",0,$Y1785)</f>
        <v/>
      </c>
    </row>
    <row r="1786">
      <c r="W1786" s="31">
        <f>IF(OR($B$5="",$C$6="",ROW()&lt;$B$5),"",IF(INDEX($A:$U,ROW(),$C$6)="","",INDEX($A:$U,ROW(),$C$6)))</f>
        <v/>
      </c>
      <c r="X1786" s="32">
        <f>IF($W1786="","",IF(ISNUMBER($W1786),IF($W1786&gt;=10000000,IFERROR(DATE(INT($W1786/10000),MOD(INT($W1786/100),100),MOD($W1786,100)),""),INT($W1786)),IFERROR(DATE(--LEFT(LEFT(SUBSTITUTE(SUBSTITUTE(SUBSTITUTE(SUBSTITUTE(TRIM($W1786),"-",""),".",""),"/","")," ",""),8),4),--MID(LEFT(SUBSTITUTE(SUBSTITUTE(SUBSTITUTE(SUBSTITUTE(TRIM($W1786),"-",""),".",""),"/","")," ",""),8),5,2),--MID(LEFT(SUBSTITUTE(SUBSTITUTE(SUBSTITUTE(SUBSTITUTE(TRIM($W1786),"-",""),".",""),"/","")," ",""),8),7,2)),"")))</f>
        <v/>
      </c>
      <c r="Y1786" s="32">
        <f>IF($X1786="","",INT($X1786))</f>
        <v/>
      </c>
      <c r="Z1786" s="33">
        <f>IF(OR($Y1786="",$D$6=""),"",IF(INDEX($A:$U,ROW(),$D$6)="",0,IF(ISNUMBER(INDEX($A:$U,ROW(),$D$6)),INDEX($A:$U,ROW(),$D$6),IFERROR(--SUBSTITUTE(SUBSTITUTE(TRIM(INDEX($A:$U,ROW(),$D$6)),",",""),"원",""),0))))</f>
        <v/>
      </c>
      <c r="AA1786" s="31">
        <f>IF($Y1786="","",TRIM(INDEX($A:$U,ROW(),$E$6)&amp;IF($F$6="",""," "&amp;INDEX($A:$U,ROW(),$F$6))))</f>
        <v/>
      </c>
      <c r="AB1786" s="31">
        <f>IF($AA1786="","",SUBSTITUTE(SUBSTITUTE(SUBSTITUTE(SUBSTITUTE(SUBSTITUTE(SUBSTITUTE(SUBSTITUTE(SUBSTITUTE(SUBSTITUTE($AA1786," ",""),"　",""),"(주)",""),"（주）",""),"㈜",""),"주식회사",""),"(유)",""),"（유）",""),"유한회사",""))</f>
        <v/>
      </c>
      <c r="AC1786" s="31">
        <f>IF(OR($Y1786="",N($Z1786)&lt;=0,$AB1786=""),0,IFERROR(LOOKUP(2,1/((거래처별!$AC$8:$AC$307&lt;&gt;"")*ISNUMBER(SEARCH(거래처별!$AC$8:$AC$307,$AB1786))),거래처별!$A$8:$A$307),IFERROR(LOOKUP(2,1/((거래처별!$AD$8:$AD$307&lt;&gt;"")*ISNUMBER(SEARCH(거래처별!$AD$8:$AD$307,$AB1786))),거래처별!$A$8:$A$307),IFERROR(LOOKUP(2,1/((거래처별!$AE$8:$AE$307&lt;&gt;"")*ISNUMBER(SEARCH(거래처별!$AE$8:$AE$307,$AB1786))),거래처별!$A$8:$A$307),0))))</f>
        <v/>
      </c>
      <c r="AD1786" s="31">
        <f>IF(AND($Y1786&lt;&gt;"",N($Z1786)&gt;0,$AC1786=0),MAX($AD$7:$AD1785)+1,"")</f>
        <v/>
      </c>
      <c r="AE1786" s="31">
        <f>IF($Y1786="",0,$Y1786)</f>
        <v/>
      </c>
    </row>
    <row r="1787">
      <c r="W1787" s="31">
        <f>IF(OR($B$5="",$C$6="",ROW()&lt;$B$5),"",IF(INDEX($A:$U,ROW(),$C$6)="","",INDEX($A:$U,ROW(),$C$6)))</f>
        <v/>
      </c>
      <c r="X1787" s="32">
        <f>IF($W1787="","",IF(ISNUMBER($W1787),IF($W1787&gt;=10000000,IFERROR(DATE(INT($W1787/10000),MOD(INT($W1787/100),100),MOD($W1787,100)),""),INT($W1787)),IFERROR(DATE(--LEFT(LEFT(SUBSTITUTE(SUBSTITUTE(SUBSTITUTE(SUBSTITUTE(TRIM($W1787),"-",""),".",""),"/","")," ",""),8),4),--MID(LEFT(SUBSTITUTE(SUBSTITUTE(SUBSTITUTE(SUBSTITUTE(TRIM($W1787),"-",""),".",""),"/","")," ",""),8),5,2),--MID(LEFT(SUBSTITUTE(SUBSTITUTE(SUBSTITUTE(SUBSTITUTE(TRIM($W1787),"-",""),".",""),"/","")," ",""),8),7,2)),"")))</f>
        <v/>
      </c>
      <c r="Y1787" s="32">
        <f>IF($X1787="","",INT($X1787))</f>
        <v/>
      </c>
      <c r="Z1787" s="33">
        <f>IF(OR($Y1787="",$D$6=""),"",IF(INDEX($A:$U,ROW(),$D$6)="",0,IF(ISNUMBER(INDEX($A:$U,ROW(),$D$6)),INDEX($A:$U,ROW(),$D$6),IFERROR(--SUBSTITUTE(SUBSTITUTE(TRIM(INDEX($A:$U,ROW(),$D$6)),",",""),"원",""),0))))</f>
        <v/>
      </c>
      <c r="AA1787" s="31">
        <f>IF($Y1787="","",TRIM(INDEX($A:$U,ROW(),$E$6)&amp;IF($F$6="",""," "&amp;INDEX($A:$U,ROW(),$F$6))))</f>
        <v/>
      </c>
      <c r="AB1787" s="31">
        <f>IF($AA1787="","",SUBSTITUTE(SUBSTITUTE(SUBSTITUTE(SUBSTITUTE(SUBSTITUTE(SUBSTITUTE(SUBSTITUTE(SUBSTITUTE(SUBSTITUTE($AA1787," ",""),"　",""),"(주)",""),"（주）",""),"㈜",""),"주식회사",""),"(유)",""),"（유）",""),"유한회사",""))</f>
        <v/>
      </c>
      <c r="AC1787" s="31">
        <f>IF(OR($Y1787="",N($Z1787)&lt;=0,$AB1787=""),0,IFERROR(LOOKUP(2,1/((거래처별!$AC$8:$AC$307&lt;&gt;"")*ISNUMBER(SEARCH(거래처별!$AC$8:$AC$307,$AB1787))),거래처별!$A$8:$A$307),IFERROR(LOOKUP(2,1/((거래처별!$AD$8:$AD$307&lt;&gt;"")*ISNUMBER(SEARCH(거래처별!$AD$8:$AD$307,$AB1787))),거래처별!$A$8:$A$307),IFERROR(LOOKUP(2,1/((거래처별!$AE$8:$AE$307&lt;&gt;"")*ISNUMBER(SEARCH(거래처별!$AE$8:$AE$307,$AB1787))),거래처별!$A$8:$A$307),0))))</f>
        <v/>
      </c>
      <c r="AD1787" s="31">
        <f>IF(AND($Y1787&lt;&gt;"",N($Z1787)&gt;0,$AC1787=0),MAX($AD$7:$AD1786)+1,"")</f>
        <v/>
      </c>
      <c r="AE1787" s="31">
        <f>IF($Y1787="",0,$Y1787)</f>
        <v/>
      </c>
    </row>
    <row r="1788">
      <c r="W1788" s="31">
        <f>IF(OR($B$5="",$C$6="",ROW()&lt;$B$5),"",IF(INDEX($A:$U,ROW(),$C$6)="","",INDEX($A:$U,ROW(),$C$6)))</f>
        <v/>
      </c>
      <c r="X1788" s="32">
        <f>IF($W1788="","",IF(ISNUMBER($W1788),IF($W1788&gt;=10000000,IFERROR(DATE(INT($W1788/10000),MOD(INT($W1788/100),100),MOD($W1788,100)),""),INT($W1788)),IFERROR(DATE(--LEFT(LEFT(SUBSTITUTE(SUBSTITUTE(SUBSTITUTE(SUBSTITUTE(TRIM($W1788),"-",""),".",""),"/","")," ",""),8),4),--MID(LEFT(SUBSTITUTE(SUBSTITUTE(SUBSTITUTE(SUBSTITUTE(TRIM($W1788),"-",""),".",""),"/","")," ",""),8),5,2),--MID(LEFT(SUBSTITUTE(SUBSTITUTE(SUBSTITUTE(SUBSTITUTE(TRIM($W1788),"-",""),".",""),"/","")," ",""),8),7,2)),"")))</f>
        <v/>
      </c>
      <c r="Y1788" s="32">
        <f>IF($X1788="","",INT($X1788))</f>
        <v/>
      </c>
      <c r="Z1788" s="33">
        <f>IF(OR($Y1788="",$D$6=""),"",IF(INDEX($A:$U,ROW(),$D$6)="",0,IF(ISNUMBER(INDEX($A:$U,ROW(),$D$6)),INDEX($A:$U,ROW(),$D$6),IFERROR(--SUBSTITUTE(SUBSTITUTE(TRIM(INDEX($A:$U,ROW(),$D$6)),",",""),"원",""),0))))</f>
        <v/>
      </c>
      <c r="AA1788" s="31">
        <f>IF($Y1788="","",TRIM(INDEX($A:$U,ROW(),$E$6)&amp;IF($F$6="",""," "&amp;INDEX($A:$U,ROW(),$F$6))))</f>
        <v/>
      </c>
      <c r="AB1788" s="31">
        <f>IF($AA1788="","",SUBSTITUTE(SUBSTITUTE(SUBSTITUTE(SUBSTITUTE(SUBSTITUTE(SUBSTITUTE(SUBSTITUTE(SUBSTITUTE(SUBSTITUTE($AA1788," ",""),"　",""),"(주)",""),"（주）",""),"㈜",""),"주식회사",""),"(유)",""),"（유）",""),"유한회사",""))</f>
        <v/>
      </c>
      <c r="AC1788" s="31">
        <f>IF(OR($Y1788="",N($Z1788)&lt;=0,$AB1788=""),0,IFERROR(LOOKUP(2,1/((거래처별!$AC$8:$AC$307&lt;&gt;"")*ISNUMBER(SEARCH(거래처별!$AC$8:$AC$307,$AB1788))),거래처별!$A$8:$A$307),IFERROR(LOOKUP(2,1/((거래처별!$AD$8:$AD$307&lt;&gt;"")*ISNUMBER(SEARCH(거래처별!$AD$8:$AD$307,$AB1788))),거래처별!$A$8:$A$307),IFERROR(LOOKUP(2,1/((거래처별!$AE$8:$AE$307&lt;&gt;"")*ISNUMBER(SEARCH(거래처별!$AE$8:$AE$307,$AB1788))),거래처별!$A$8:$A$307),0))))</f>
        <v/>
      </c>
      <c r="AD1788" s="31">
        <f>IF(AND($Y1788&lt;&gt;"",N($Z1788)&gt;0,$AC1788=0),MAX($AD$7:$AD1787)+1,"")</f>
        <v/>
      </c>
      <c r="AE1788" s="31">
        <f>IF($Y1788="",0,$Y1788)</f>
        <v/>
      </c>
    </row>
    <row r="1789">
      <c r="W1789" s="31">
        <f>IF(OR($B$5="",$C$6="",ROW()&lt;$B$5),"",IF(INDEX($A:$U,ROW(),$C$6)="","",INDEX($A:$U,ROW(),$C$6)))</f>
        <v/>
      </c>
      <c r="X1789" s="32">
        <f>IF($W1789="","",IF(ISNUMBER($W1789),IF($W1789&gt;=10000000,IFERROR(DATE(INT($W1789/10000),MOD(INT($W1789/100),100),MOD($W1789,100)),""),INT($W1789)),IFERROR(DATE(--LEFT(LEFT(SUBSTITUTE(SUBSTITUTE(SUBSTITUTE(SUBSTITUTE(TRIM($W1789),"-",""),".",""),"/","")," ",""),8),4),--MID(LEFT(SUBSTITUTE(SUBSTITUTE(SUBSTITUTE(SUBSTITUTE(TRIM($W1789),"-",""),".",""),"/","")," ",""),8),5,2),--MID(LEFT(SUBSTITUTE(SUBSTITUTE(SUBSTITUTE(SUBSTITUTE(TRIM($W1789),"-",""),".",""),"/","")," ",""),8),7,2)),"")))</f>
        <v/>
      </c>
      <c r="Y1789" s="32">
        <f>IF($X1789="","",INT($X1789))</f>
        <v/>
      </c>
      <c r="Z1789" s="33">
        <f>IF(OR($Y1789="",$D$6=""),"",IF(INDEX($A:$U,ROW(),$D$6)="",0,IF(ISNUMBER(INDEX($A:$U,ROW(),$D$6)),INDEX($A:$U,ROW(),$D$6),IFERROR(--SUBSTITUTE(SUBSTITUTE(TRIM(INDEX($A:$U,ROW(),$D$6)),",",""),"원",""),0))))</f>
        <v/>
      </c>
      <c r="AA1789" s="31">
        <f>IF($Y1789="","",TRIM(INDEX($A:$U,ROW(),$E$6)&amp;IF($F$6="",""," "&amp;INDEX($A:$U,ROW(),$F$6))))</f>
        <v/>
      </c>
      <c r="AB1789" s="31">
        <f>IF($AA1789="","",SUBSTITUTE(SUBSTITUTE(SUBSTITUTE(SUBSTITUTE(SUBSTITUTE(SUBSTITUTE(SUBSTITUTE(SUBSTITUTE(SUBSTITUTE($AA1789," ",""),"　",""),"(주)",""),"（주）",""),"㈜",""),"주식회사",""),"(유)",""),"（유）",""),"유한회사",""))</f>
        <v/>
      </c>
      <c r="AC1789" s="31">
        <f>IF(OR($Y1789="",N($Z1789)&lt;=0,$AB1789=""),0,IFERROR(LOOKUP(2,1/((거래처별!$AC$8:$AC$307&lt;&gt;"")*ISNUMBER(SEARCH(거래처별!$AC$8:$AC$307,$AB1789))),거래처별!$A$8:$A$307),IFERROR(LOOKUP(2,1/((거래처별!$AD$8:$AD$307&lt;&gt;"")*ISNUMBER(SEARCH(거래처별!$AD$8:$AD$307,$AB1789))),거래처별!$A$8:$A$307),IFERROR(LOOKUP(2,1/((거래처별!$AE$8:$AE$307&lt;&gt;"")*ISNUMBER(SEARCH(거래처별!$AE$8:$AE$307,$AB1789))),거래처별!$A$8:$A$307),0))))</f>
        <v/>
      </c>
      <c r="AD1789" s="31">
        <f>IF(AND($Y1789&lt;&gt;"",N($Z1789)&gt;0,$AC1789=0),MAX($AD$7:$AD1788)+1,"")</f>
        <v/>
      </c>
      <c r="AE1789" s="31">
        <f>IF($Y1789="",0,$Y1789)</f>
        <v/>
      </c>
    </row>
    <row r="1790">
      <c r="W1790" s="31">
        <f>IF(OR($B$5="",$C$6="",ROW()&lt;$B$5),"",IF(INDEX($A:$U,ROW(),$C$6)="","",INDEX($A:$U,ROW(),$C$6)))</f>
        <v/>
      </c>
      <c r="X1790" s="32">
        <f>IF($W1790="","",IF(ISNUMBER($W1790),IF($W1790&gt;=10000000,IFERROR(DATE(INT($W1790/10000),MOD(INT($W1790/100),100),MOD($W1790,100)),""),INT($W1790)),IFERROR(DATE(--LEFT(LEFT(SUBSTITUTE(SUBSTITUTE(SUBSTITUTE(SUBSTITUTE(TRIM($W1790),"-",""),".",""),"/","")," ",""),8),4),--MID(LEFT(SUBSTITUTE(SUBSTITUTE(SUBSTITUTE(SUBSTITUTE(TRIM($W1790),"-",""),".",""),"/","")," ",""),8),5,2),--MID(LEFT(SUBSTITUTE(SUBSTITUTE(SUBSTITUTE(SUBSTITUTE(TRIM($W1790),"-",""),".",""),"/","")," ",""),8),7,2)),"")))</f>
        <v/>
      </c>
      <c r="Y1790" s="32">
        <f>IF($X1790="","",INT($X1790))</f>
        <v/>
      </c>
      <c r="Z1790" s="33">
        <f>IF(OR($Y1790="",$D$6=""),"",IF(INDEX($A:$U,ROW(),$D$6)="",0,IF(ISNUMBER(INDEX($A:$U,ROW(),$D$6)),INDEX($A:$U,ROW(),$D$6),IFERROR(--SUBSTITUTE(SUBSTITUTE(TRIM(INDEX($A:$U,ROW(),$D$6)),",",""),"원",""),0))))</f>
        <v/>
      </c>
      <c r="AA1790" s="31">
        <f>IF($Y1790="","",TRIM(INDEX($A:$U,ROW(),$E$6)&amp;IF($F$6="",""," "&amp;INDEX($A:$U,ROW(),$F$6))))</f>
        <v/>
      </c>
      <c r="AB1790" s="31">
        <f>IF($AA1790="","",SUBSTITUTE(SUBSTITUTE(SUBSTITUTE(SUBSTITUTE(SUBSTITUTE(SUBSTITUTE(SUBSTITUTE(SUBSTITUTE(SUBSTITUTE($AA1790," ",""),"　",""),"(주)",""),"（주）",""),"㈜",""),"주식회사",""),"(유)",""),"（유）",""),"유한회사",""))</f>
        <v/>
      </c>
      <c r="AC1790" s="31">
        <f>IF(OR($Y1790="",N($Z1790)&lt;=0,$AB1790=""),0,IFERROR(LOOKUP(2,1/((거래처별!$AC$8:$AC$307&lt;&gt;"")*ISNUMBER(SEARCH(거래처별!$AC$8:$AC$307,$AB1790))),거래처별!$A$8:$A$307),IFERROR(LOOKUP(2,1/((거래처별!$AD$8:$AD$307&lt;&gt;"")*ISNUMBER(SEARCH(거래처별!$AD$8:$AD$307,$AB1790))),거래처별!$A$8:$A$307),IFERROR(LOOKUP(2,1/((거래처별!$AE$8:$AE$307&lt;&gt;"")*ISNUMBER(SEARCH(거래처별!$AE$8:$AE$307,$AB1790))),거래처별!$A$8:$A$307),0))))</f>
        <v/>
      </c>
      <c r="AD1790" s="31">
        <f>IF(AND($Y1790&lt;&gt;"",N($Z1790)&gt;0,$AC1790=0),MAX($AD$7:$AD1789)+1,"")</f>
        <v/>
      </c>
      <c r="AE1790" s="31">
        <f>IF($Y1790="",0,$Y1790)</f>
        <v/>
      </c>
    </row>
    <row r="1791">
      <c r="W1791" s="31">
        <f>IF(OR($B$5="",$C$6="",ROW()&lt;$B$5),"",IF(INDEX($A:$U,ROW(),$C$6)="","",INDEX($A:$U,ROW(),$C$6)))</f>
        <v/>
      </c>
      <c r="X1791" s="32">
        <f>IF($W1791="","",IF(ISNUMBER($W1791),IF($W1791&gt;=10000000,IFERROR(DATE(INT($W1791/10000),MOD(INT($W1791/100),100),MOD($W1791,100)),""),INT($W1791)),IFERROR(DATE(--LEFT(LEFT(SUBSTITUTE(SUBSTITUTE(SUBSTITUTE(SUBSTITUTE(TRIM($W1791),"-",""),".",""),"/","")," ",""),8),4),--MID(LEFT(SUBSTITUTE(SUBSTITUTE(SUBSTITUTE(SUBSTITUTE(TRIM($W1791),"-",""),".",""),"/","")," ",""),8),5,2),--MID(LEFT(SUBSTITUTE(SUBSTITUTE(SUBSTITUTE(SUBSTITUTE(TRIM($W1791),"-",""),".",""),"/","")," ",""),8),7,2)),"")))</f>
        <v/>
      </c>
      <c r="Y1791" s="32">
        <f>IF($X1791="","",INT($X1791))</f>
        <v/>
      </c>
      <c r="Z1791" s="33">
        <f>IF(OR($Y1791="",$D$6=""),"",IF(INDEX($A:$U,ROW(),$D$6)="",0,IF(ISNUMBER(INDEX($A:$U,ROW(),$D$6)),INDEX($A:$U,ROW(),$D$6),IFERROR(--SUBSTITUTE(SUBSTITUTE(TRIM(INDEX($A:$U,ROW(),$D$6)),",",""),"원",""),0))))</f>
        <v/>
      </c>
      <c r="AA1791" s="31">
        <f>IF($Y1791="","",TRIM(INDEX($A:$U,ROW(),$E$6)&amp;IF($F$6="",""," "&amp;INDEX($A:$U,ROW(),$F$6))))</f>
        <v/>
      </c>
      <c r="AB1791" s="31">
        <f>IF($AA1791="","",SUBSTITUTE(SUBSTITUTE(SUBSTITUTE(SUBSTITUTE(SUBSTITUTE(SUBSTITUTE(SUBSTITUTE(SUBSTITUTE(SUBSTITUTE($AA1791," ",""),"　",""),"(주)",""),"（주）",""),"㈜",""),"주식회사",""),"(유)",""),"（유）",""),"유한회사",""))</f>
        <v/>
      </c>
      <c r="AC1791" s="31">
        <f>IF(OR($Y1791="",N($Z1791)&lt;=0,$AB1791=""),0,IFERROR(LOOKUP(2,1/((거래처별!$AC$8:$AC$307&lt;&gt;"")*ISNUMBER(SEARCH(거래처별!$AC$8:$AC$307,$AB1791))),거래처별!$A$8:$A$307),IFERROR(LOOKUP(2,1/((거래처별!$AD$8:$AD$307&lt;&gt;"")*ISNUMBER(SEARCH(거래처별!$AD$8:$AD$307,$AB1791))),거래처별!$A$8:$A$307),IFERROR(LOOKUP(2,1/((거래처별!$AE$8:$AE$307&lt;&gt;"")*ISNUMBER(SEARCH(거래처별!$AE$8:$AE$307,$AB1791))),거래처별!$A$8:$A$307),0))))</f>
        <v/>
      </c>
      <c r="AD1791" s="31">
        <f>IF(AND($Y1791&lt;&gt;"",N($Z1791)&gt;0,$AC1791=0),MAX($AD$7:$AD1790)+1,"")</f>
        <v/>
      </c>
      <c r="AE1791" s="31">
        <f>IF($Y1791="",0,$Y1791)</f>
        <v/>
      </c>
    </row>
    <row r="1792">
      <c r="W1792" s="31">
        <f>IF(OR($B$5="",$C$6="",ROW()&lt;$B$5),"",IF(INDEX($A:$U,ROW(),$C$6)="","",INDEX($A:$U,ROW(),$C$6)))</f>
        <v/>
      </c>
      <c r="X1792" s="32">
        <f>IF($W1792="","",IF(ISNUMBER($W1792),IF($W1792&gt;=10000000,IFERROR(DATE(INT($W1792/10000),MOD(INT($W1792/100),100),MOD($W1792,100)),""),INT($W1792)),IFERROR(DATE(--LEFT(LEFT(SUBSTITUTE(SUBSTITUTE(SUBSTITUTE(SUBSTITUTE(TRIM($W1792),"-",""),".",""),"/","")," ",""),8),4),--MID(LEFT(SUBSTITUTE(SUBSTITUTE(SUBSTITUTE(SUBSTITUTE(TRIM($W1792),"-",""),".",""),"/","")," ",""),8),5,2),--MID(LEFT(SUBSTITUTE(SUBSTITUTE(SUBSTITUTE(SUBSTITUTE(TRIM($W1792),"-",""),".",""),"/","")," ",""),8),7,2)),"")))</f>
        <v/>
      </c>
      <c r="Y1792" s="32">
        <f>IF($X1792="","",INT($X1792))</f>
        <v/>
      </c>
      <c r="Z1792" s="33">
        <f>IF(OR($Y1792="",$D$6=""),"",IF(INDEX($A:$U,ROW(),$D$6)="",0,IF(ISNUMBER(INDEX($A:$U,ROW(),$D$6)),INDEX($A:$U,ROW(),$D$6),IFERROR(--SUBSTITUTE(SUBSTITUTE(TRIM(INDEX($A:$U,ROW(),$D$6)),",",""),"원",""),0))))</f>
        <v/>
      </c>
      <c r="AA1792" s="31">
        <f>IF($Y1792="","",TRIM(INDEX($A:$U,ROW(),$E$6)&amp;IF($F$6="",""," "&amp;INDEX($A:$U,ROW(),$F$6))))</f>
        <v/>
      </c>
      <c r="AB1792" s="31">
        <f>IF($AA1792="","",SUBSTITUTE(SUBSTITUTE(SUBSTITUTE(SUBSTITUTE(SUBSTITUTE(SUBSTITUTE(SUBSTITUTE(SUBSTITUTE(SUBSTITUTE($AA1792," ",""),"　",""),"(주)",""),"（주）",""),"㈜",""),"주식회사",""),"(유)",""),"（유）",""),"유한회사",""))</f>
        <v/>
      </c>
      <c r="AC1792" s="31">
        <f>IF(OR($Y1792="",N($Z1792)&lt;=0,$AB1792=""),0,IFERROR(LOOKUP(2,1/((거래처별!$AC$8:$AC$307&lt;&gt;"")*ISNUMBER(SEARCH(거래처별!$AC$8:$AC$307,$AB1792))),거래처별!$A$8:$A$307),IFERROR(LOOKUP(2,1/((거래처별!$AD$8:$AD$307&lt;&gt;"")*ISNUMBER(SEARCH(거래처별!$AD$8:$AD$307,$AB1792))),거래처별!$A$8:$A$307),IFERROR(LOOKUP(2,1/((거래처별!$AE$8:$AE$307&lt;&gt;"")*ISNUMBER(SEARCH(거래처별!$AE$8:$AE$307,$AB1792))),거래처별!$A$8:$A$307),0))))</f>
        <v/>
      </c>
      <c r="AD1792" s="31">
        <f>IF(AND($Y1792&lt;&gt;"",N($Z1792)&gt;0,$AC1792=0),MAX($AD$7:$AD1791)+1,"")</f>
        <v/>
      </c>
      <c r="AE1792" s="31">
        <f>IF($Y1792="",0,$Y1792)</f>
        <v/>
      </c>
    </row>
    <row r="1793">
      <c r="W1793" s="31">
        <f>IF(OR($B$5="",$C$6="",ROW()&lt;$B$5),"",IF(INDEX($A:$U,ROW(),$C$6)="","",INDEX($A:$U,ROW(),$C$6)))</f>
        <v/>
      </c>
      <c r="X1793" s="32">
        <f>IF($W1793="","",IF(ISNUMBER($W1793),IF($W1793&gt;=10000000,IFERROR(DATE(INT($W1793/10000),MOD(INT($W1793/100),100),MOD($W1793,100)),""),INT($W1793)),IFERROR(DATE(--LEFT(LEFT(SUBSTITUTE(SUBSTITUTE(SUBSTITUTE(SUBSTITUTE(TRIM($W1793),"-",""),".",""),"/","")," ",""),8),4),--MID(LEFT(SUBSTITUTE(SUBSTITUTE(SUBSTITUTE(SUBSTITUTE(TRIM($W1793),"-",""),".",""),"/","")," ",""),8),5,2),--MID(LEFT(SUBSTITUTE(SUBSTITUTE(SUBSTITUTE(SUBSTITUTE(TRIM($W1793),"-",""),".",""),"/","")," ",""),8),7,2)),"")))</f>
        <v/>
      </c>
      <c r="Y1793" s="32">
        <f>IF($X1793="","",INT($X1793))</f>
        <v/>
      </c>
      <c r="Z1793" s="33">
        <f>IF(OR($Y1793="",$D$6=""),"",IF(INDEX($A:$U,ROW(),$D$6)="",0,IF(ISNUMBER(INDEX($A:$U,ROW(),$D$6)),INDEX($A:$U,ROW(),$D$6),IFERROR(--SUBSTITUTE(SUBSTITUTE(TRIM(INDEX($A:$U,ROW(),$D$6)),",",""),"원",""),0))))</f>
        <v/>
      </c>
      <c r="AA1793" s="31">
        <f>IF($Y1793="","",TRIM(INDEX($A:$U,ROW(),$E$6)&amp;IF($F$6="",""," "&amp;INDEX($A:$U,ROW(),$F$6))))</f>
        <v/>
      </c>
      <c r="AB1793" s="31">
        <f>IF($AA1793="","",SUBSTITUTE(SUBSTITUTE(SUBSTITUTE(SUBSTITUTE(SUBSTITUTE(SUBSTITUTE(SUBSTITUTE(SUBSTITUTE(SUBSTITUTE($AA1793," ",""),"　",""),"(주)",""),"（주）",""),"㈜",""),"주식회사",""),"(유)",""),"（유）",""),"유한회사",""))</f>
        <v/>
      </c>
      <c r="AC1793" s="31">
        <f>IF(OR($Y1793="",N($Z1793)&lt;=0,$AB1793=""),0,IFERROR(LOOKUP(2,1/((거래처별!$AC$8:$AC$307&lt;&gt;"")*ISNUMBER(SEARCH(거래처별!$AC$8:$AC$307,$AB1793))),거래처별!$A$8:$A$307),IFERROR(LOOKUP(2,1/((거래처별!$AD$8:$AD$307&lt;&gt;"")*ISNUMBER(SEARCH(거래처별!$AD$8:$AD$307,$AB1793))),거래처별!$A$8:$A$307),IFERROR(LOOKUP(2,1/((거래처별!$AE$8:$AE$307&lt;&gt;"")*ISNUMBER(SEARCH(거래처별!$AE$8:$AE$307,$AB1793))),거래처별!$A$8:$A$307),0))))</f>
        <v/>
      </c>
      <c r="AD1793" s="31">
        <f>IF(AND($Y1793&lt;&gt;"",N($Z1793)&gt;0,$AC1793=0),MAX($AD$7:$AD1792)+1,"")</f>
        <v/>
      </c>
      <c r="AE1793" s="31">
        <f>IF($Y1793="",0,$Y1793)</f>
        <v/>
      </c>
    </row>
    <row r="1794">
      <c r="W1794" s="31">
        <f>IF(OR($B$5="",$C$6="",ROW()&lt;$B$5),"",IF(INDEX($A:$U,ROW(),$C$6)="","",INDEX($A:$U,ROW(),$C$6)))</f>
        <v/>
      </c>
      <c r="X1794" s="32">
        <f>IF($W1794="","",IF(ISNUMBER($W1794),IF($W1794&gt;=10000000,IFERROR(DATE(INT($W1794/10000),MOD(INT($W1794/100),100),MOD($W1794,100)),""),INT($W1794)),IFERROR(DATE(--LEFT(LEFT(SUBSTITUTE(SUBSTITUTE(SUBSTITUTE(SUBSTITUTE(TRIM($W1794),"-",""),".",""),"/","")," ",""),8),4),--MID(LEFT(SUBSTITUTE(SUBSTITUTE(SUBSTITUTE(SUBSTITUTE(TRIM($W1794),"-",""),".",""),"/","")," ",""),8),5,2),--MID(LEFT(SUBSTITUTE(SUBSTITUTE(SUBSTITUTE(SUBSTITUTE(TRIM($W1794),"-",""),".",""),"/","")," ",""),8),7,2)),"")))</f>
        <v/>
      </c>
      <c r="Y1794" s="32">
        <f>IF($X1794="","",INT($X1794))</f>
        <v/>
      </c>
      <c r="Z1794" s="33">
        <f>IF(OR($Y1794="",$D$6=""),"",IF(INDEX($A:$U,ROW(),$D$6)="",0,IF(ISNUMBER(INDEX($A:$U,ROW(),$D$6)),INDEX($A:$U,ROW(),$D$6),IFERROR(--SUBSTITUTE(SUBSTITUTE(TRIM(INDEX($A:$U,ROW(),$D$6)),",",""),"원",""),0))))</f>
        <v/>
      </c>
      <c r="AA1794" s="31">
        <f>IF($Y1794="","",TRIM(INDEX($A:$U,ROW(),$E$6)&amp;IF($F$6="",""," "&amp;INDEX($A:$U,ROW(),$F$6))))</f>
        <v/>
      </c>
      <c r="AB1794" s="31">
        <f>IF($AA1794="","",SUBSTITUTE(SUBSTITUTE(SUBSTITUTE(SUBSTITUTE(SUBSTITUTE(SUBSTITUTE(SUBSTITUTE(SUBSTITUTE(SUBSTITUTE($AA1794," ",""),"　",""),"(주)",""),"（주）",""),"㈜",""),"주식회사",""),"(유)",""),"（유）",""),"유한회사",""))</f>
        <v/>
      </c>
      <c r="AC1794" s="31">
        <f>IF(OR($Y1794="",N($Z1794)&lt;=0,$AB1794=""),0,IFERROR(LOOKUP(2,1/((거래처별!$AC$8:$AC$307&lt;&gt;"")*ISNUMBER(SEARCH(거래처별!$AC$8:$AC$307,$AB1794))),거래처별!$A$8:$A$307),IFERROR(LOOKUP(2,1/((거래처별!$AD$8:$AD$307&lt;&gt;"")*ISNUMBER(SEARCH(거래처별!$AD$8:$AD$307,$AB1794))),거래처별!$A$8:$A$307),IFERROR(LOOKUP(2,1/((거래처별!$AE$8:$AE$307&lt;&gt;"")*ISNUMBER(SEARCH(거래처별!$AE$8:$AE$307,$AB1794))),거래처별!$A$8:$A$307),0))))</f>
        <v/>
      </c>
      <c r="AD1794" s="31">
        <f>IF(AND($Y1794&lt;&gt;"",N($Z1794)&gt;0,$AC1794=0),MAX($AD$7:$AD1793)+1,"")</f>
        <v/>
      </c>
      <c r="AE1794" s="31">
        <f>IF($Y1794="",0,$Y1794)</f>
        <v/>
      </c>
    </row>
    <row r="1795">
      <c r="W1795" s="31">
        <f>IF(OR($B$5="",$C$6="",ROW()&lt;$B$5),"",IF(INDEX($A:$U,ROW(),$C$6)="","",INDEX($A:$U,ROW(),$C$6)))</f>
        <v/>
      </c>
      <c r="X1795" s="32">
        <f>IF($W1795="","",IF(ISNUMBER($W1795),IF($W1795&gt;=10000000,IFERROR(DATE(INT($W1795/10000),MOD(INT($W1795/100),100),MOD($W1795,100)),""),INT($W1795)),IFERROR(DATE(--LEFT(LEFT(SUBSTITUTE(SUBSTITUTE(SUBSTITUTE(SUBSTITUTE(TRIM($W1795),"-",""),".",""),"/","")," ",""),8),4),--MID(LEFT(SUBSTITUTE(SUBSTITUTE(SUBSTITUTE(SUBSTITUTE(TRIM($W1795),"-",""),".",""),"/","")," ",""),8),5,2),--MID(LEFT(SUBSTITUTE(SUBSTITUTE(SUBSTITUTE(SUBSTITUTE(TRIM($W1795),"-",""),".",""),"/","")," ",""),8),7,2)),"")))</f>
        <v/>
      </c>
      <c r="Y1795" s="32">
        <f>IF($X1795="","",INT($X1795))</f>
        <v/>
      </c>
      <c r="Z1795" s="33">
        <f>IF(OR($Y1795="",$D$6=""),"",IF(INDEX($A:$U,ROW(),$D$6)="",0,IF(ISNUMBER(INDEX($A:$U,ROW(),$D$6)),INDEX($A:$U,ROW(),$D$6),IFERROR(--SUBSTITUTE(SUBSTITUTE(TRIM(INDEX($A:$U,ROW(),$D$6)),",",""),"원",""),0))))</f>
        <v/>
      </c>
      <c r="AA1795" s="31">
        <f>IF($Y1795="","",TRIM(INDEX($A:$U,ROW(),$E$6)&amp;IF($F$6="",""," "&amp;INDEX($A:$U,ROW(),$F$6))))</f>
        <v/>
      </c>
      <c r="AB1795" s="31">
        <f>IF($AA1795="","",SUBSTITUTE(SUBSTITUTE(SUBSTITUTE(SUBSTITUTE(SUBSTITUTE(SUBSTITUTE(SUBSTITUTE(SUBSTITUTE(SUBSTITUTE($AA1795," ",""),"　",""),"(주)",""),"（주）",""),"㈜",""),"주식회사",""),"(유)",""),"（유）",""),"유한회사",""))</f>
        <v/>
      </c>
      <c r="AC1795" s="31">
        <f>IF(OR($Y1795="",N($Z1795)&lt;=0,$AB1795=""),0,IFERROR(LOOKUP(2,1/((거래처별!$AC$8:$AC$307&lt;&gt;"")*ISNUMBER(SEARCH(거래처별!$AC$8:$AC$307,$AB1795))),거래처별!$A$8:$A$307),IFERROR(LOOKUP(2,1/((거래처별!$AD$8:$AD$307&lt;&gt;"")*ISNUMBER(SEARCH(거래처별!$AD$8:$AD$307,$AB1795))),거래처별!$A$8:$A$307),IFERROR(LOOKUP(2,1/((거래처별!$AE$8:$AE$307&lt;&gt;"")*ISNUMBER(SEARCH(거래처별!$AE$8:$AE$307,$AB1795))),거래처별!$A$8:$A$307),0))))</f>
        <v/>
      </c>
      <c r="AD1795" s="31">
        <f>IF(AND($Y1795&lt;&gt;"",N($Z1795)&gt;0,$AC1795=0),MAX($AD$7:$AD1794)+1,"")</f>
        <v/>
      </c>
      <c r="AE1795" s="31">
        <f>IF($Y1795="",0,$Y1795)</f>
        <v/>
      </c>
    </row>
    <row r="1796">
      <c r="W1796" s="31">
        <f>IF(OR($B$5="",$C$6="",ROW()&lt;$B$5),"",IF(INDEX($A:$U,ROW(),$C$6)="","",INDEX($A:$U,ROW(),$C$6)))</f>
        <v/>
      </c>
      <c r="X1796" s="32">
        <f>IF($W1796="","",IF(ISNUMBER($W1796),IF($W1796&gt;=10000000,IFERROR(DATE(INT($W1796/10000),MOD(INT($W1796/100),100),MOD($W1796,100)),""),INT($W1796)),IFERROR(DATE(--LEFT(LEFT(SUBSTITUTE(SUBSTITUTE(SUBSTITUTE(SUBSTITUTE(TRIM($W1796),"-",""),".",""),"/","")," ",""),8),4),--MID(LEFT(SUBSTITUTE(SUBSTITUTE(SUBSTITUTE(SUBSTITUTE(TRIM($W1796),"-",""),".",""),"/","")," ",""),8),5,2),--MID(LEFT(SUBSTITUTE(SUBSTITUTE(SUBSTITUTE(SUBSTITUTE(TRIM($W1796),"-",""),".",""),"/","")," ",""),8),7,2)),"")))</f>
        <v/>
      </c>
      <c r="Y1796" s="32">
        <f>IF($X1796="","",INT($X1796))</f>
        <v/>
      </c>
      <c r="Z1796" s="33">
        <f>IF(OR($Y1796="",$D$6=""),"",IF(INDEX($A:$U,ROW(),$D$6)="",0,IF(ISNUMBER(INDEX($A:$U,ROW(),$D$6)),INDEX($A:$U,ROW(),$D$6),IFERROR(--SUBSTITUTE(SUBSTITUTE(TRIM(INDEX($A:$U,ROW(),$D$6)),",",""),"원",""),0))))</f>
        <v/>
      </c>
      <c r="AA1796" s="31">
        <f>IF($Y1796="","",TRIM(INDEX($A:$U,ROW(),$E$6)&amp;IF($F$6="",""," "&amp;INDEX($A:$U,ROW(),$F$6))))</f>
        <v/>
      </c>
      <c r="AB1796" s="31">
        <f>IF($AA1796="","",SUBSTITUTE(SUBSTITUTE(SUBSTITUTE(SUBSTITUTE(SUBSTITUTE(SUBSTITUTE(SUBSTITUTE(SUBSTITUTE(SUBSTITUTE($AA1796," ",""),"　",""),"(주)",""),"（주）",""),"㈜",""),"주식회사",""),"(유)",""),"（유）",""),"유한회사",""))</f>
        <v/>
      </c>
      <c r="AC1796" s="31">
        <f>IF(OR($Y1796="",N($Z1796)&lt;=0,$AB1796=""),0,IFERROR(LOOKUP(2,1/((거래처별!$AC$8:$AC$307&lt;&gt;"")*ISNUMBER(SEARCH(거래처별!$AC$8:$AC$307,$AB1796))),거래처별!$A$8:$A$307),IFERROR(LOOKUP(2,1/((거래처별!$AD$8:$AD$307&lt;&gt;"")*ISNUMBER(SEARCH(거래처별!$AD$8:$AD$307,$AB1796))),거래처별!$A$8:$A$307),IFERROR(LOOKUP(2,1/((거래처별!$AE$8:$AE$307&lt;&gt;"")*ISNUMBER(SEARCH(거래처별!$AE$8:$AE$307,$AB1796))),거래처별!$A$8:$A$307),0))))</f>
        <v/>
      </c>
      <c r="AD1796" s="31">
        <f>IF(AND($Y1796&lt;&gt;"",N($Z1796)&gt;0,$AC1796=0),MAX($AD$7:$AD1795)+1,"")</f>
        <v/>
      </c>
      <c r="AE1796" s="31">
        <f>IF($Y1796="",0,$Y1796)</f>
        <v/>
      </c>
    </row>
    <row r="1797">
      <c r="W1797" s="31">
        <f>IF(OR($B$5="",$C$6="",ROW()&lt;$B$5),"",IF(INDEX($A:$U,ROW(),$C$6)="","",INDEX($A:$U,ROW(),$C$6)))</f>
        <v/>
      </c>
      <c r="X1797" s="32">
        <f>IF($W1797="","",IF(ISNUMBER($W1797),IF($W1797&gt;=10000000,IFERROR(DATE(INT($W1797/10000),MOD(INT($W1797/100),100),MOD($W1797,100)),""),INT($W1797)),IFERROR(DATE(--LEFT(LEFT(SUBSTITUTE(SUBSTITUTE(SUBSTITUTE(SUBSTITUTE(TRIM($W1797),"-",""),".",""),"/","")," ",""),8),4),--MID(LEFT(SUBSTITUTE(SUBSTITUTE(SUBSTITUTE(SUBSTITUTE(TRIM($W1797),"-",""),".",""),"/","")," ",""),8),5,2),--MID(LEFT(SUBSTITUTE(SUBSTITUTE(SUBSTITUTE(SUBSTITUTE(TRIM($W1797),"-",""),".",""),"/","")," ",""),8),7,2)),"")))</f>
        <v/>
      </c>
      <c r="Y1797" s="32">
        <f>IF($X1797="","",INT($X1797))</f>
        <v/>
      </c>
      <c r="Z1797" s="33">
        <f>IF(OR($Y1797="",$D$6=""),"",IF(INDEX($A:$U,ROW(),$D$6)="",0,IF(ISNUMBER(INDEX($A:$U,ROW(),$D$6)),INDEX($A:$U,ROW(),$D$6),IFERROR(--SUBSTITUTE(SUBSTITUTE(TRIM(INDEX($A:$U,ROW(),$D$6)),",",""),"원",""),0))))</f>
        <v/>
      </c>
      <c r="AA1797" s="31">
        <f>IF($Y1797="","",TRIM(INDEX($A:$U,ROW(),$E$6)&amp;IF($F$6="",""," "&amp;INDEX($A:$U,ROW(),$F$6))))</f>
        <v/>
      </c>
      <c r="AB1797" s="31">
        <f>IF($AA1797="","",SUBSTITUTE(SUBSTITUTE(SUBSTITUTE(SUBSTITUTE(SUBSTITUTE(SUBSTITUTE(SUBSTITUTE(SUBSTITUTE(SUBSTITUTE($AA1797," ",""),"　",""),"(주)",""),"（주）",""),"㈜",""),"주식회사",""),"(유)",""),"（유）",""),"유한회사",""))</f>
        <v/>
      </c>
      <c r="AC1797" s="31">
        <f>IF(OR($Y1797="",N($Z1797)&lt;=0,$AB1797=""),0,IFERROR(LOOKUP(2,1/((거래처별!$AC$8:$AC$307&lt;&gt;"")*ISNUMBER(SEARCH(거래처별!$AC$8:$AC$307,$AB1797))),거래처별!$A$8:$A$307),IFERROR(LOOKUP(2,1/((거래처별!$AD$8:$AD$307&lt;&gt;"")*ISNUMBER(SEARCH(거래처별!$AD$8:$AD$307,$AB1797))),거래처별!$A$8:$A$307),IFERROR(LOOKUP(2,1/((거래처별!$AE$8:$AE$307&lt;&gt;"")*ISNUMBER(SEARCH(거래처별!$AE$8:$AE$307,$AB1797))),거래처별!$A$8:$A$307),0))))</f>
        <v/>
      </c>
      <c r="AD1797" s="31">
        <f>IF(AND($Y1797&lt;&gt;"",N($Z1797)&gt;0,$AC1797=0),MAX($AD$7:$AD1796)+1,"")</f>
        <v/>
      </c>
      <c r="AE1797" s="31">
        <f>IF($Y1797="",0,$Y1797)</f>
        <v/>
      </c>
    </row>
    <row r="1798">
      <c r="W1798" s="31">
        <f>IF(OR($B$5="",$C$6="",ROW()&lt;$B$5),"",IF(INDEX($A:$U,ROW(),$C$6)="","",INDEX($A:$U,ROW(),$C$6)))</f>
        <v/>
      </c>
      <c r="X1798" s="32">
        <f>IF($W1798="","",IF(ISNUMBER($W1798),IF($W1798&gt;=10000000,IFERROR(DATE(INT($W1798/10000),MOD(INT($W1798/100),100),MOD($W1798,100)),""),INT($W1798)),IFERROR(DATE(--LEFT(LEFT(SUBSTITUTE(SUBSTITUTE(SUBSTITUTE(SUBSTITUTE(TRIM($W1798),"-",""),".",""),"/","")," ",""),8),4),--MID(LEFT(SUBSTITUTE(SUBSTITUTE(SUBSTITUTE(SUBSTITUTE(TRIM($W1798),"-",""),".",""),"/","")," ",""),8),5,2),--MID(LEFT(SUBSTITUTE(SUBSTITUTE(SUBSTITUTE(SUBSTITUTE(TRIM($W1798),"-",""),".",""),"/","")," ",""),8),7,2)),"")))</f>
        <v/>
      </c>
      <c r="Y1798" s="32">
        <f>IF($X1798="","",INT($X1798))</f>
        <v/>
      </c>
      <c r="Z1798" s="33">
        <f>IF(OR($Y1798="",$D$6=""),"",IF(INDEX($A:$U,ROW(),$D$6)="",0,IF(ISNUMBER(INDEX($A:$U,ROW(),$D$6)),INDEX($A:$U,ROW(),$D$6),IFERROR(--SUBSTITUTE(SUBSTITUTE(TRIM(INDEX($A:$U,ROW(),$D$6)),",",""),"원",""),0))))</f>
        <v/>
      </c>
      <c r="AA1798" s="31">
        <f>IF($Y1798="","",TRIM(INDEX($A:$U,ROW(),$E$6)&amp;IF($F$6="",""," "&amp;INDEX($A:$U,ROW(),$F$6))))</f>
        <v/>
      </c>
      <c r="AB1798" s="31">
        <f>IF($AA1798="","",SUBSTITUTE(SUBSTITUTE(SUBSTITUTE(SUBSTITUTE(SUBSTITUTE(SUBSTITUTE(SUBSTITUTE(SUBSTITUTE(SUBSTITUTE($AA1798," ",""),"　",""),"(주)",""),"（주）",""),"㈜",""),"주식회사",""),"(유)",""),"（유）",""),"유한회사",""))</f>
        <v/>
      </c>
      <c r="AC1798" s="31">
        <f>IF(OR($Y1798="",N($Z1798)&lt;=0,$AB1798=""),0,IFERROR(LOOKUP(2,1/((거래처별!$AC$8:$AC$307&lt;&gt;"")*ISNUMBER(SEARCH(거래처별!$AC$8:$AC$307,$AB1798))),거래처별!$A$8:$A$307),IFERROR(LOOKUP(2,1/((거래처별!$AD$8:$AD$307&lt;&gt;"")*ISNUMBER(SEARCH(거래처별!$AD$8:$AD$307,$AB1798))),거래처별!$A$8:$A$307),IFERROR(LOOKUP(2,1/((거래처별!$AE$8:$AE$307&lt;&gt;"")*ISNUMBER(SEARCH(거래처별!$AE$8:$AE$307,$AB1798))),거래처별!$A$8:$A$307),0))))</f>
        <v/>
      </c>
      <c r="AD1798" s="31">
        <f>IF(AND($Y1798&lt;&gt;"",N($Z1798)&gt;0,$AC1798=0),MAX($AD$7:$AD1797)+1,"")</f>
        <v/>
      </c>
      <c r="AE1798" s="31">
        <f>IF($Y1798="",0,$Y1798)</f>
        <v/>
      </c>
    </row>
    <row r="1799">
      <c r="W1799" s="31">
        <f>IF(OR($B$5="",$C$6="",ROW()&lt;$B$5),"",IF(INDEX($A:$U,ROW(),$C$6)="","",INDEX($A:$U,ROW(),$C$6)))</f>
        <v/>
      </c>
      <c r="X1799" s="32">
        <f>IF($W1799="","",IF(ISNUMBER($W1799),IF($W1799&gt;=10000000,IFERROR(DATE(INT($W1799/10000),MOD(INT($W1799/100),100),MOD($W1799,100)),""),INT($W1799)),IFERROR(DATE(--LEFT(LEFT(SUBSTITUTE(SUBSTITUTE(SUBSTITUTE(SUBSTITUTE(TRIM($W1799),"-",""),".",""),"/","")," ",""),8),4),--MID(LEFT(SUBSTITUTE(SUBSTITUTE(SUBSTITUTE(SUBSTITUTE(TRIM($W1799),"-",""),".",""),"/","")," ",""),8),5,2),--MID(LEFT(SUBSTITUTE(SUBSTITUTE(SUBSTITUTE(SUBSTITUTE(TRIM($W1799),"-",""),".",""),"/","")," ",""),8),7,2)),"")))</f>
        <v/>
      </c>
      <c r="Y1799" s="32">
        <f>IF($X1799="","",INT($X1799))</f>
        <v/>
      </c>
      <c r="Z1799" s="33">
        <f>IF(OR($Y1799="",$D$6=""),"",IF(INDEX($A:$U,ROW(),$D$6)="",0,IF(ISNUMBER(INDEX($A:$U,ROW(),$D$6)),INDEX($A:$U,ROW(),$D$6),IFERROR(--SUBSTITUTE(SUBSTITUTE(TRIM(INDEX($A:$U,ROW(),$D$6)),",",""),"원",""),0))))</f>
        <v/>
      </c>
      <c r="AA1799" s="31">
        <f>IF($Y1799="","",TRIM(INDEX($A:$U,ROW(),$E$6)&amp;IF($F$6="",""," "&amp;INDEX($A:$U,ROW(),$F$6))))</f>
        <v/>
      </c>
      <c r="AB1799" s="31">
        <f>IF($AA1799="","",SUBSTITUTE(SUBSTITUTE(SUBSTITUTE(SUBSTITUTE(SUBSTITUTE(SUBSTITUTE(SUBSTITUTE(SUBSTITUTE(SUBSTITUTE($AA1799," ",""),"　",""),"(주)",""),"（주）",""),"㈜",""),"주식회사",""),"(유)",""),"（유）",""),"유한회사",""))</f>
        <v/>
      </c>
      <c r="AC1799" s="31">
        <f>IF(OR($Y1799="",N($Z1799)&lt;=0,$AB1799=""),0,IFERROR(LOOKUP(2,1/((거래처별!$AC$8:$AC$307&lt;&gt;"")*ISNUMBER(SEARCH(거래처별!$AC$8:$AC$307,$AB1799))),거래처별!$A$8:$A$307),IFERROR(LOOKUP(2,1/((거래처별!$AD$8:$AD$307&lt;&gt;"")*ISNUMBER(SEARCH(거래처별!$AD$8:$AD$307,$AB1799))),거래처별!$A$8:$A$307),IFERROR(LOOKUP(2,1/((거래처별!$AE$8:$AE$307&lt;&gt;"")*ISNUMBER(SEARCH(거래처별!$AE$8:$AE$307,$AB1799))),거래처별!$A$8:$A$307),0))))</f>
        <v/>
      </c>
      <c r="AD1799" s="31">
        <f>IF(AND($Y1799&lt;&gt;"",N($Z1799)&gt;0,$AC1799=0),MAX($AD$7:$AD1798)+1,"")</f>
        <v/>
      </c>
      <c r="AE1799" s="31">
        <f>IF($Y1799="",0,$Y1799)</f>
        <v/>
      </c>
    </row>
    <row r="1800">
      <c r="W1800" s="31">
        <f>IF(OR($B$5="",$C$6="",ROW()&lt;$B$5),"",IF(INDEX($A:$U,ROW(),$C$6)="","",INDEX($A:$U,ROW(),$C$6)))</f>
        <v/>
      </c>
      <c r="X1800" s="32">
        <f>IF($W1800="","",IF(ISNUMBER($W1800),IF($W1800&gt;=10000000,IFERROR(DATE(INT($W1800/10000),MOD(INT($W1800/100),100),MOD($W1800,100)),""),INT($W1800)),IFERROR(DATE(--LEFT(LEFT(SUBSTITUTE(SUBSTITUTE(SUBSTITUTE(SUBSTITUTE(TRIM($W1800),"-",""),".",""),"/","")," ",""),8),4),--MID(LEFT(SUBSTITUTE(SUBSTITUTE(SUBSTITUTE(SUBSTITUTE(TRIM($W1800),"-",""),".",""),"/","")," ",""),8),5,2),--MID(LEFT(SUBSTITUTE(SUBSTITUTE(SUBSTITUTE(SUBSTITUTE(TRIM($W1800),"-",""),".",""),"/","")," ",""),8),7,2)),"")))</f>
        <v/>
      </c>
      <c r="Y1800" s="32">
        <f>IF($X1800="","",INT($X1800))</f>
        <v/>
      </c>
      <c r="Z1800" s="33">
        <f>IF(OR($Y1800="",$D$6=""),"",IF(INDEX($A:$U,ROW(),$D$6)="",0,IF(ISNUMBER(INDEX($A:$U,ROW(),$D$6)),INDEX($A:$U,ROW(),$D$6),IFERROR(--SUBSTITUTE(SUBSTITUTE(TRIM(INDEX($A:$U,ROW(),$D$6)),",",""),"원",""),0))))</f>
        <v/>
      </c>
      <c r="AA1800" s="31">
        <f>IF($Y1800="","",TRIM(INDEX($A:$U,ROW(),$E$6)&amp;IF($F$6="",""," "&amp;INDEX($A:$U,ROW(),$F$6))))</f>
        <v/>
      </c>
      <c r="AB1800" s="31">
        <f>IF($AA1800="","",SUBSTITUTE(SUBSTITUTE(SUBSTITUTE(SUBSTITUTE(SUBSTITUTE(SUBSTITUTE(SUBSTITUTE(SUBSTITUTE(SUBSTITUTE($AA1800," ",""),"　",""),"(주)",""),"（주）",""),"㈜",""),"주식회사",""),"(유)",""),"（유）",""),"유한회사",""))</f>
        <v/>
      </c>
      <c r="AC1800" s="31">
        <f>IF(OR($Y1800="",N($Z1800)&lt;=0,$AB1800=""),0,IFERROR(LOOKUP(2,1/((거래처별!$AC$8:$AC$307&lt;&gt;"")*ISNUMBER(SEARCH(거래처별!$AC$8:$AC$307,$AB1800))),거래처별!$A$8:$A$307),IFERROR(LOOKUP(2,1/((거래처별!$AD$8:$AD$307&lt;&gt;"")*ISNUMBER(SEARCH(거래처별!$AD$8:$AD$307,$AB1800))),거래처별!$A$8:$A$307),IFERROR(LOOKUP(2,1/((거래처별!$AE$8:$AE$307&lt;&gt;"")*ISNUMBER(SEARCH(거래처별!$AE$8:$AE$307,$AB1800))),거래처별!$A$8:$A$307),0))))</f>
        <v/>
      </c>
      <c r="AD1800" s="31">
        <f>IF(AND($Y1800&lt;&gt;"",N($Z1800)&gt;0,$AC1800=0),MAX($AD$7:$AD1799)+1,"")</f>
        <v/>
      </c>
      <c r="AE1800" s="31">
        <f>IF($Y1800="",0,$Y1800)</f>
        <v/>
      </c>
    </row>
    <row r="1801">
      <c r="W1801" s="31">
        <f>IF(OR($B$5="",$C$6="",ROW()&lt;$B$5),"",IF(INDEX($A:$U,ROW(),$C$6)="","",INDEX($A:$U,ROW(),$C$6)))</f>
        <v/>
      </c>
      <c r="X1801" s="32">
        <f>IF($W1801="","",IF(ISNUMBER($W1801),IF($W1801&gt;=10000000,IFERROR(DATE(INT($W1801/10000),MOD(INT($W1801/100),100),MOD($W1801,100)),""),INT($W1801)),IFERROR(DATE(--LEFT(LEFT(SUBSTITUTE(SUBSTITUTE(SUBSTITUTE(SUBSTITUTE(TRIM($W1801),"-",""),".",""),"/","")," ",""),8),4),--MID(LEFT(SUBSTITUTE(SUBSTITUTE(SUBSTITUTE(SUBSTITUTE(TRIM($W1801),"-",""),".",""),"/","")," ",""),8),5,2),--MID(LEFT(SUBSTITUTE(SUBSTITUTE(SUBSTITUTE(SUBSTITUTE(TRIM($W1801),"-",""),".",""),"/","")," ",""),8),7,2)),"")))</f>
        <v/>
      </c>
      <c r="Y1801" s="32">
        <f>IF($X1801="","",INT($X1801))</f>
        <v/>
      </c>
      <c r="Z1801" s="33">
        <f>IF(OR($Y1801="",$D$6=""),"",IF(INDEX($A:$U,ROW(),$D$6)="",0,IF(ISNUMBER(INDEX($A:$U,ROW(),$D$6)),INDEX($A:$U,ROW(),$D$6),IFERROR(--SUBSTITUTE(SUBSTITUTE(TRIM(INDEX($A:$U,ROW(),$D$6)),",",""),"원",""),0))))</f>
        <v/>
      </c>
      <c r="AA1801" s="31">
        <f>IF($Y1801="","",TRIM(INDEX($A:$U,ROW(),$E$6)&amp;IF($F$6="",""," "&amp;INDEX($A:$U,ROW(),$F$6))))</f>
        <v/>
      </c>
      <c r="AB1801" s="31">
        <f>IF($AA1801="","",SUBSTITUTE(SUBSTITUTE(SUBSTITUTE(SUBSTITUTE(SUBSTITUTE(SUBSTITUTE(SUBSTITUTE(SUBSTITUTE(SUBSTITUTE($AA1801," ",""),"　",""),"(주)",""),"（주）",""),"㈜",""),"주식회사",""),"(유)",""),"（유）",""),"유한회사",""))</f>
        <v/>
      </c>
      <c r="AC1801" s="31">
        <f>IF(OR($Y1801="",N($Z1801)&lt;=0,$AB1801=""),0,IFERROR(LOOKUP(2,1/((거래처별!$AC$8:$AC$307&lt;&gt;"")*ISNUMBER(SEARCH(거래처별!$AC$8:$AC$307,$AB1801))),거래처별!$A$8:$A$307),IFERROR(LOOKUP(2,1/((거래처별!$AD$8:$AD$307&lt;&gt;"")*ISNUMBER(SEARCH(거래처별!$AD$8:$AD$307,$AB1801))),거래처별!$A$8:$A$307),IFERROR(LOOKUP(2,1/((거래처별!$AE$8:$AE$307&lt;&gt;"")*ISNUMBER(SEARCH(거래처별!$AE$8:$AE$307,$AB1801))),거래처별!$A$8:$A$307),0))))</f>
        <v/>
      </c>
      <c r="AD1801" s="31">
        <f>IF(AND($Y1801&lt;&gt;"",N($Z1801)&gt;0,$AC1801=0),MAX($AD$7:$AD1800)+1,"")</f>
        <v/>
      </c>
      <c r="AE1801" s="31">
        <f>IF($Y1801="",0,$Y1801)</f>
        <v/>
      </c>
    </row>
    <row r="1802">
      <c r="W1802" s="31">
        <f>IF(OR($B$5="",$C$6="",ROW()&lt;$B$5),"",IF(INDEX($A:$U,ROW(),$C$6)="","",INDEX($A:$U,ROW(),$C$6)))</f>
        <v/>
      </c>
      <c r="X1802" s="32">
        <f>IF($W1802="","",IF(ISNUMBER($W1802),IF($W1802&gt;=10000000,IFERROR(DATE(INT($W1802/10000),MOD(INT($W1802/100),100),MOD($W1802,100)),""),INT($W1802)),IFERROR(DATE(--LEFT(LEFT(SUBSTITUTE(SUBSTITUTE(SUBSTITUTE(SUBSTITUTE(TRIM($W1802),"-",""),".",""),"/","")," ",""),8),4),--MID(LEFT(SUBSTITUTE(SUBSTITUTE(SUBSTITUTE(SUBSTITUTE(TRIM($W1802),"-",""),".",""),"/","")," ",""),8),5,2),--MID(LEFT(SUBSTITUTE(SUBSTITUTE(SUBSTITUTE(SUBSTITUTE(TRIM($W1802),"-",""),".",""),"/","")," ",""),8),7,2)),"")))</f>
        <v/>
      </c>
      <c r="Y1802" s="32">
        <f>IF($X1802="","",INT($X1802))</f>
        <v/>
      </c>
      <c r="Z1802" s="33">
        <f>IF(OR($Y1802="",$D$6=""),"",IF(INDEX($A:$U,ROW(),$D$6)="",0,IF(ISNUMBER(INDEX($A:$U,ROW(),$D$6)),INDEX($A:$U,ROW(),$D$6),IFERROR(--SUBSTITUTE(SUBSTITUTE(TRIM(INDEX($A:$U,ROW(),$D$6)),",",""),"원",""),0))))</f>
        <v/>
      </c>
      <c r="AA1802" s="31">
        <f>IF($Y1802="","",TRIM(INDEX($A:$U,ROW(),$E$6)&amp;IF($F$6="",""," "&amp;INDEX($A:$U,ROW(),$F$6))))</f>
        <v/>
      </c>
      <c r="AB1802" s="31">
        <f>IF($AA1802="","",SUBSTITUTE(SUBSTITUTE(SUBSTITUTE(SUBSTITUTE(SUBSTITUTE(SUBSTITUTE(SUBSTITUTE(SUBSTITUTE(SUBSTITUTE($AA1802," ",""),"　",""),"(주)",""),"（주）",""),"㈜",""),"주식회사",""),"(유)",""),"（유）",""),"유한회사",""))</f>
        <v/>
      </c>
      <c r="AC1802" s="31">
        <f>IF(OR($Y1802="",N($Z1802)&lt;=0,$AB1802=""),0,IFERROR(LOOKUP(2,1/((거래처별!$AC$8:$AC$307&lt;&gt;"")*ISNUMBER(SEARCH(거래처별!$AC$8:$AC$307,$AB1802))),거래처별!$A$8:$A$307),IFERROR(LOOKUP(2,1/((거래처별!$AD$8:$AD$307&lt;&gt;"")*ISNUMBER(SEARCH(거래처별!$AD$8:$AD$307,$AB1802))),거래처별!$A$8:$A$307),IFERROR(LOOKUP(2,1/((거래처별!$AE$8:$AE$307&lt;&gt;"")*ISNUMBER(SEARCH(거래처별!$AE$8:$AE$307,$AB1802))),거래처별!$A$8:$A$307),0))))</f>
        <v/>
      </c>
      <c r="AD1802" s="31">
        <f>IF(AND($Y1802&lt;&gt;"",N($Z1802)&gt;0,$AC1802=0),MAX($AD$7:$AD1801)+1,"")</f>
        <v/>
      </c>
      <c r="AE1802" s="31">
        <f>IF($Y1802="",0,$Y1802)</f>
        <v/>
      </c>
    </row>
    <row r="1803">
      <c r="W1803" s="31">
        <f>IF(OR($B$5="",$C$6="",ROW()&lt;$B$5),"",IF(INDEX($A:$U,ROW(),$C$6)="","",INDEX($A:$U,ROW(),$C$6)))</f>
        <v/>
      </c>
      <c r="X1803" s="32">
        <f>IF($W1803="","",IF(ISNUMBER($W1803),IF($W1803&gt;=10000000,IFERROR(DATE(INT($W1803/10000),MOD(INT($W1803/100),100),MOD($W1803,100)),""),INT($W1803)),IFERROR(DATE(--LEFT(LEFT(SUBSTITUTE(SUBSTITUTE(SUBSTITUTE(SUBSTITUTE(TRIM($W1803),"-",""),".",""),"/","")," ",""),8),4),--MID(LEFT(SUBSTITUTE(SUBSTITUTE(SUBSTITUTE(SUBSTITUTE(TRIM($W1803),"-",""),".",""),"/","")," ",""),8),5,2),--MID(LEFT(SUBSTITUTE(SUBSTITUTE(SUBSTITUTE(SUBSTITUTE(TRIM($W1803),"-",""),".",""),"/","")," ",""),8),7,2)),"")))</f>
        <v/>
      </c>
      <c r="Y1803" s="32">
        <f>IF($X1803="","",INT($X1803))</f>
        <v/>
      </c>
      <c r="Z1803" s="33">
        <f>IF(OR($Y1803="",$D$6=""),"",IF(INDEX($A:$U,ROW(),$D$6)="",0,IF(ISNUMBER(INDEX($A:$U,ROW(),$D$6)),INDEX($A:$U,ROW(),$D$6),IFERROR(--SUBSTITUTE(SUBSTITUTE(TRIM(INDEX($A:$U,ROW(),$D$6)),",",""),"원",""),0))))</f>
        <v/>
      </c>
      <c r="AA1803" s="31">
        <f>IF($Y1803="","",TRIM(INDEX($A:$U,ROW(),$E$6)&amp;IF($F$6="",""," "&amp;INDEX($A:$U,ROW(),$F$6))))</f>
        <v/>
      </c>
      <c r="AB1803" s="31">
        <f>IF($AA1803="","",SUBSTITUTE(SUBSTITUTE(SUBSTITUTE(SUBSTITUTE(SUBSTITUTE(SUBSTITUTE(SUBSTITUTE(SUBSTITUTE(SUBSTITUTE($AA1803," ",""),"　",""),"(주)",""),"（주）",""),"㈜",""),"주식회사",""),"(유)",""),"（유）",""),"유한회사",""))</f>
        <v/>
      </c>
      <c r="AC1803" s="31">
        <f>IF(OR($Y1803="",N($Z1803)&lt;=0,$AB1803=""),0,IFERROR(LOOKUP(2,1/((거래처별!$AC$8:$AC$307&lt;&gt;"")*ISNUMBER(SEARCH(거래처별!$AC$8:$AC$307,$AB1803))),거래처별!$A$8:$A$307),IFERROR(LOOKUP(2,1/((거래처별!$AD$8:$AD$307&lt;&gt;"")*ISNUMBER(SEARCH(거래처별!$AD$8:$AD$307,$AB1803))),거래처별!$A$8:$A$307),IFERROR(LOOKUP(2,1/((거래처별!$AE$8:$AE$307&lt;&gt;"")*ISNUMBER(SEARCH(거래처별!$AE$8:$AE$307,$AB1803))),거래처별!$A$8:$A$307),0))))</f>
        <v/>
      </c>
      <c r="AD1803" s="31">
        <f>IF(AND($Y1803&lt;&gt;"",N($Z1803)&gt;0,$AC1803=0),MAX($AD$7:$AD1802)+1,"")</f>
        <v/>
      </c>
      <c r="AE1803" s="31">
        <f>IF($Y1803="",0,$Y1803)</f>
        <v/>
      </c>
    </row>
    <row r="1804">
      <c r="W1804" s="31">
        <f>IF(OR($B$5="",$C$6="",ROW()&lt;$B$5),"",IF(INDEX($A:$U,ROW(),$C$6)="","",INDEX($A:$U,ROW(),$C$6)))</f>
        <v/>
      </c>
      <c r="X1804" s="32">
        <f>IF($W1804="","",IF(ISNUMBER($W1804),IF($W1804&gt;=10000000,IFERROR(DATE(INT($W1804/10000),MOD(INT($W1804/100),100),MOD($W1804,100)),""),INT($W1804)),IFERROR(DATE(--LEFT(LEFT(SUBSTITUTE(SUBSTITUTE(SUBSTITUTE(SUBSTITUTE(TRIM($W1804),"-",""),".",""),"/","")," ",""),8),4),--MID(LEFT(SUBSTITUTE(SUBSTITUTE(SUBSTITUTE(SUBSTITUTE(TRIM($W1804),"-",""),".",""),"/","")," ",""),8),5,2),--MID(LEFT(SUBSTITUTE(SUBSTITUTE(SUBSTITUTE(SUBSTITUTE(TRIM($W1804),"-",""),".",""),"/","")," ",""),8),7,2)),"")))</f>
        <v/>
      </c>
      <c r="Y1804" s="32">
        <f>IF($X1804="","",INT($X1804))</f>
        <v/>
      </c>
      <c r="Z1804" s="33">
        <f>IF(OR($Y1804="",$D$6=""),"",IF(INDEX($A:$U,ROW(),$D$6)="",0,IF(ISNUMBER(INDEX($A:$U,ROW(),$D$6)),INDEX($A:$U,ROW(),$D$6),IFERROR(--SUBSTITUTE(SUBSTITUTE(TRIM(INDEX($A:$U,ROW(),$D$6)),",",""),"원",""),0))))</f>
        <v/>
      </c>
      <c r="AA1804" s="31">
        <f>IF($Y1804="","",TRIM(INDEX($A:$U,ROW(),$E$6)&amp;IF($F$6="",""," "&amp;INDEX($A:$U,ROW(),$F$6))))</f>
        <v/>
      </c>
      <c r="AB1804" s="31">
        <f>IF($AA1804="","",SUBSTITUTE(SUBSTITUTE(SUBSTITUTE(SUBSTITUTE(SUBSTITUTE(SUBSTITUTE(SUBSTITUTE(SUBSTITUTE(SUBSTITUTE($AA1804," ",""),"　",""),"(주)",""),"（주）",""),"㈜",""),"주식회사",""),"(유)",""),"（유）",""),"유한회사",""))</f>
        <v/>
      </c>
      <c r="AC1804" s="31">
        <f>IF(OR($Y1804="",N($Z1804)&lt;=0,$AB1804=""),0,IFERROR(LOOKUP(2,1/((거래처별!$AC$8:$AC$307&lt;&gt;"")*ISNUMBER(SEARCH(거래처별!$AC$8:$AC$307,$AB1804))),거래처별!$A$8:$A$307),IFERROR(LOOKUP(2,1/((거래처별!$AD$8:$AD$307&lt;&gt;"")*ISNUMBER(SEARCH(거래처별!$AD$8:$AD$307,$AB1804))),거래처별!$A$8:$A$307),IFERROR(LOOKUP(2,1/((거래처별!$AE$8:$AE$307&lt;&gt;"")*ISNUMBER(SEARCH(거래처별!$AE$8:$AE$307,$AB1804))),거래처별!$A$8:$A$307),0))))</f>
        <v/>
      </c>
      <c r="AD1804" s="31">
        <f>IF(AND($Y1804&lt;&gt;"",N($Z1804)&gt;0,$AC1804=0),MAX($AD$7:$AD1803)+1,"")</f>
        <v/>
      </c>
      <c r="AE1804" s="31">
        <f>IF($Y1804="",0,$Y1804)</f>
        <v/>
      </c>
    </row>
    <row r="1805">
      <c r="W1805" s="31">
        <f>IF(OR($B$5="",$C$6="",ROW()&lt;$B$5),"",IF(INDEX($A:$U,ROW(),$C$6)="","",INDEX($A:$U,ROW(),$C$6)))</f>
        <v/>
      </c>
      <c r="X1805" s="32">
        <f>IF($W1805="","",IF(ISNUMBER($W1805),IF($W1805&gt;=10000000,IFERROR(DATE(INT($W1805/10000),MOD(INT($W1805/100),100),MOD($W1805,100)),""),INT($W1805)),IFERROR(DATE(--LEFT(LEFT(SUBSTITUTE(SUBSTITUTE(SUBSTITUTE(SUBSTITUTE(TRIM($W1805),"-",""),".",""),"/","")," ",""),8),4),--MID(LEFT(SUBSTITUTE(SUBSTITUTE(SUBSTITUTE(SUBSTITUTE(TRIM($W1805),"-",""),".",""),"/","")," ",""),8),5,2),--MID(LEFT(SUBSTITUTE(SUBSTITUTE(SUBSTITUTE(SUBSTITUTE(TRIM($W1805),"-",""),".",""),"/","")," ",""),8),7,2)),"")))</f>
        <v/>
      </c>
      <c r="Y1805" s="32">
        <f>IF($X1805="","",INT($X1805))</f>
        <v/>
      </c>
      <c r="Z1805" s="33">
        <f>IF(OR($Y1805="",$D$6=""),"",IF(INDEX($A:$U,ROW(),$D$6)="",0,IF(ISNUMBER(INDEX($A:$U,ROW(),$D$6)),INDEX($A:$U,ROW(),$D$6),IFERROR(--SUBSTITUTE(SUBSTITUTE(TRIM(INDEX($A:$U,ROW(),$D$6)),",",""),"원",""),0))))</f>
        <v/>
      </c>
      <c r="AA1805" s="31">
        <f>IF($Y1805="","",TRIM(INDEX($A:$U,ROW(),$E$6)&amp;IF($F$6="",""," "&amp;INDEX($A:$U,ROW(),$F$6))))</f>
        <v/>
      </c>
      <c r="AB1805" s="31">
        <f>IF($AA1805="","",SUBSTITUTE(SUBSTITUTE(SUBSTITUTE(SUBSTITUTE(SUBSTITUTE(SUBSTITUTE(SUBSTITUTE(SUBSTITUTE(SUBSTITUTE($AA1805," ",""),"　",""),"(주)",""),"（주）",""),"㈜",""),"주식회사",""),"(유)",""),"（유）",""),"유한회사",""))</f>
        <v/>
      </c>
      <c r="AC1805" s="31">
        <f>IF(OR($Y1805="",N($Z1805)&lt;=0,$AB1805=""),0,IFERROR(LOOKUP(2,1/((거래처별!$AC$8:$AC$307&lt;&gt;"")*ISNUMBER(SEARCH(거래처별!$AC$8:$AC$307,$AB1805))),거래처별!$A$8:$A$307),IFERROR(LOOKUP(2,1/((거래처별!$AD$8:$AD$307&lt;&gt;"")*ISNUMBER(SEARCH(거래처별!$AD$8:$AD$307,$AB1805))),거래처별!$A$8:$A$307),IFERROR(LOOKUP(2,1/((거래처별!$AE$8:$AE$307&lt;&gt;"")*ISNUMBER(SEARCH(거래처별!$AE$8:$AE$307,$AB1805))),거래처별!$A$8:$A$307),0))))</f>
        <v/>
      </c>
      <c r="AD1805" s="31">
        <f>IF(AND($Y1805&lt;&gt;"",N($Z1805)&gt;0,$AC1805=0),MAX($AD$7:$AD1804)+1,"")</f>
        <v/>
      </c>
      <c r="AE1805" s="31">
        <f>IF($Y1805="",0,$Y1805)</f>
        <v/>
      </c>
    </row>
    <row r="1806">
      <c r="W1806" s="31">
        <f>IF(OR($B$5="",$C$6="",ROW()&lt;$B$5),"",IF(INDEX($A:$U,ROW(),$C$6)="","",INDEX($A:$U,ROW(),$C$6)))</f>
        <v/>
      </c>
      <c r="X1806" s="32">
        <f>IF($W1806="","",IF(ISNUMBER($W1806),IF($W1806&gt;=10000000,IFERROR(DATE(INT($W1806/10000),MOD(INT($W1806/100),100),MOD($W1806,100)),""),INT($W1806)),IFERROR(DATE(--LEFT(LEFT(SUBSTITUTE(SUBSTITUTE(SUBSTITUTE(SUBSTITUTE(TRIM($W1806),"-",""),".",""),"/","")," ",""),8),4),--MID(LEFT(SUBSTITUTE(SUBSTITUTE(SUBSTITUTE(SUBSTITUTE(TRIM($W1806),"-",""),".",""),"/","")," ",""),8),5,2),--MID(LEFT(SUBSTITUTE(SUBSTITUTE(SUBSTITUTE(SUBSTITUTE(TRIM($W1806),"-",""),".",""),"/","")," ",""),8),7,2)),"")))</f>
        <v/>
      </c>
      <c r="Y1806" s="32">
        <f>IF($X1806="","",INT($X1806))</f>
        <v/>
      </c>
      <c r="Z1806" s="33">
        <f>IF(OR($Y1806="",$D$6=""),"",IF(INDEX($A:$U,ROW(),$D$6)="",0,IF(ISNUMBER(INDEX($A:$U,ROW(),$D$6)),INDEX($A:$U,ROW(),$D$6),IFERROR(--SUBSTITUTE(SUBSTITUTE(TRIM(INDEX($A:$U,ROW(),$D$6)),",",""),"원",""),0))))</f>
        <v/>
      </c>
      <c r="AA1806" s="31">
        <f>IF($Y1806="","",TRIM(INDEX($A:$U,ROW(),$E$6)&amp;IF($F$6="",""," "&amp;INDEX($A:$U,ROW(),$F$6))))</f>
        <v/>
      </c>
      <c r="AB1806" s="31">
        <f>IF($AA1806="","",SUBSTITUTE(SUBSTITUTE(SUBSTITUTE(SUBSTITUTE(SUBSTITUTE(SUBSTITUTE(SUBSTITUTE(SUBSTITUTE(SUBSTITUTE($AA1806," ",""),"　",""),"(주)",""),"（주）",""),"㈜",""),"주식회사",""),"(유)",""),"（유）",""),"유한회사",""))</f>
        <v/>
      </c>
      <c r="AC1806" s="31">
        <f>IF(OR($Y1806="",N($Z1806)&lt;=0,$AB1806=""),0,IFERROR(LOOKUP(2,1/((거래처별!$AC$8:$AC$307&lt;&gt;"")*ISNUMBER(SEARCH(거래처별!$AC$8:$AC$307,$AB1806))),거래처별!$A$8:$A$307),IFERROR(LOOKUP(2,1/((거래처별!$AD$8:$AD$307&lt;&gt;"")*ISNUMBER(SEARCH(거래처별!$AD$8:$AD$307,$AB1806))),거래처별!$A$8:$A$307),IFERROR(LOOKUP(2,1/((거래처별!$AE$8:$AE$307&lt;&gt;"")*ISNUMBER(SEARCH(거래처별!$AE$8:$AE$307,$AB1806))),거래처별!$A$8:$A$307),0))))</f>
        <v/>
      </c>
      <c r="AD1806" s="31">
        <f>IF(AND($Y1806&lt;&gt;"",N($Z1806)&gt;0,$AC1806=0),MAX($AD$7:$AD1805)+1,"")</f>
        <v/>
      </c>
      <c r="AE1806" s="31">
        <f>IF($Y1806="",0,$Y1806)</f>
        <v/>
      </c>
    </row>
    <row r="1807">
      <c r="W1807" s="31">
        <f>IF(OR($B$5="",$C$6="",ROW()&lt;$B$5),"",IF(INDEX($A:$U,ROW(),$C$6)="","",INDEX($A:$U,ROW(),$C$6)))</f>
        <v/>
      </c>
      <c r="X1807" s="32">
        <f>IF($W1807="","",IF(ISNUMBER($W1807),IF($W1807&gt;=10000000,IFERROR(DATE(INT($W1807/10000),MOD(INT($W1807/100),100),MOD($W1807,100)),""),INT($W1807)),IFERROR(DATE(--LEFT(LEFT(SUBSTITUTE(SUBSTITUTE(SUBSTITUTE(SUBSTITUTE(TRIM($W1807),"-",""),".",""),"/","")," ",""),8),4),--MID(LEFT(SUBSTITUTE(SUBSTITUTE(SUBSTITUTE(SUBSTITUTE(TRIM($W1807),"-",""),".",""),"/","")," ",""),8),5,2),--MID(LEFT(SUBSTITUTE(SUBSTITUTE(SUBSTITUTE(SUBSTITUTE(TRIM($W1807),"-",""),".",""),"/","")," ",""),8),7,2)),"")))</f>
        <v/>
      </c>
      <c r="Y1807" s="32">
        <f>IF($X1807="","",INT($X1807))</f>
        <v/>
      </c>
      <c r="Z1807" s="33">
        <f>IF(OR($Y1807="",$D$6=""),"",IF(INDEX($A:$U,ROW(),$D$6)="",0,IF(ISNUMBER(INDEX($A:$U,ROW(),$D$6)),INDEX($A:$U,ROW(),$D$6),IFERROR(--SUBSTITUTE(SUBSTITUTE(TRIM(INDEX($A:$U,ROW(),$D$6)),",",""),"원",""),0))))</f>
        <v/>
      </c>
      <c r="AA1807" s="31">
        <f>IF($Y1807="","",TRIM(INDEX($A:$U,ROW(),$E$6)&amp;IF($F$6="",""," "&amp;INDEX($A:$U,ROW(),$F$6))))</f>
        <v/>
      </c>
      <c r="AB1807" s="31">
        <f>IF($AA1807="","",SUBSTITUTE(SUBSTITUTE(SUBSTITUTE(SUBSTITUTE(SUBSTITUTE(SUBSTITUTE(SUBSTITUTE(SUBSTITUTE(SUBSTITUTE($AA1807," ",""),"　",""),"(주)",""),"（주）",""),"㈜",""),"주식회사",""),"(유)",""),"（유）",""),"유한회사",""))</f>
        <v/>
      </c>
      <c r="AC1807" s="31">
        <f>IF(OR($Y1807="",N($Z1807)&lt;=0,$AB1807=""),0,IFERROR(LOOKUP(2,1/((거래처별!$AC$8:$AC$307&lt;&gt;"")*ISNUMBER(SEARCH(거래처별!$AC$8:$AC$307,$AB1807))),거래처별!$A$8:$A$307),IFERROR(LOOKUP(2,1/((거래처별!$AD$8:$AD$307&lt;&gt;"")*ISNUMBER(SEARCH(거래처별!$AD$8:$AD$307,$AB1807))),거래처별!$A$8:$A$307),IFERROR(LOOKUP(2,1/((거래처별!$AE$8:$AE$307&lt;&gt;"")*ISNUMBER(SEARCH(거래처별!$AE$8:$AE$307,$AB1807))),거래처별!$A$8:$A$307),0))))</f>
        <v/>
      </c>
      <c r="AD1807" s="31">
        <f>IF(AND($Y1807&lt;&gt;"",N($Z1807)&gt;0,$AC1807=0),MAX($AD$7:$AD1806)+1,"")</f>
        <v/>
      </c>
      <c r="AE1807" s="31">
        <f>IF($Y1807="",0,$Y1807)</f>
        <v/>
      </c>
    </row>
    <row r="1808">
      <c r="W1808" s="31">
        <f>IF(OR($B$5="",$C$6="",ROW()&lt;$B$5),"",IF(INDEX($A:$U,ROW(),$C$6)="","",INDEX($A:$U,ROW(),$C$6)))</f>
        <v/>
      </c>
      <c r="X1808" s="32">
        <f>IF($W1808="","",IF(ISNUMBER($W1808),IF($W1808&gt;=10000000,IFERROR(DATE(INT($W1808/10000),MOD(INT($W1808/100),100),MOD($W1808,100)),""),INT($W1808)),IFERROR(DATE(--LEFT(LEFT(SUBSTITUTE(SUBSTITUTE(SUBSTITUTE(SUBSTITUTE(TRIM($W1808),"-",""),".",""),"/","")," ",""),8),4),--MID(LEFT(SUBSTITUTE(SUBSTITUTE(SUBSTITUTE(SUBSTITUTE(TRIM($W1808),"-",""),".",""),"/","")," ",""),8),5,2),--MID(LEFT(SUBSTITUTE(SUBSTITUTE(SUBSTITUTE(SUBSTITUTE(TRIM($W1808),"-",""),".",""),"/","")," ",""),8),7,2)),"")))</f>
        <v/>
      </c>
      <c r="Y1808" s="32">
        <f>IF($X1808="","",INT($X1808))</f>
        <v/>
      </c>
      <c r="Z1808" s="33">
        <f>IF(OR($Y1808="",$D$6=""),"",IF(INDEX($A:$U,ROW(),$D$6)="",0,IF(ISNUMBER(INDEX($A:$U,ROW(),$D$6)),INDEX($A:$U,ROW(),$D$6),IFERROR(--SUBSTITUTE(SUBSTITUTE(TRIM(INDEX($A:$U,ROW(),$D$6)),",",""),"원",""),0))))</f>
        <v/>
      </c>
      <c r="AA1808" s="31">
        <f>IF($Y1808="","",TRIM(INDEX($A:$U,ROW(),$E$6)&amp;IF($F$6="",""," "&amp;INDEX($A:$U,ROW(),$F$6))))</f>
        <v/>
      </c>
      <c r="AB1808" s="31">
        <f>IF($AA1808="","",SUBSTITUTE(SUBSTITUTE(SUBSTITUTE(SUBSTITUTE(SUBSTITUTE(SUBSTITUTE(SUBSTITUTE(SUBSTITUTE(SUBSTITUTE($AA1808," ",""),"　",""),"(주)",""),"（주）",""),"㈜",""),"주식회사",""),"(유)",""),"（유）",""),"유한회사",""))</f>
        <v/>
      </c>
      <c r="AC1808" s="31">
        <f>IF(OR($Y1808="",N($Z1808)&lt;=0,$AB1808=""),0,IFERROR(LOOKUP(2,1/((거래처별!$AC$8:$AC$307&lt;&gt;"")*ISNUMBER(SEARCH(거래처별!$AC$8:$AC$307,$AB1808))),거래처별!$A$8:$A$307),IFERROR(LOOKUP(2,1/((거래처별!$AD$8:$AD$307&lt;&gt;"")*ISNUMBER(SEARCH(거래처별!$AD$8:$AD$307,$AB1808))),거래처별!$A$8:$A$307),IFERROR(LOOKUP(2,1/((거래처별!$AE$8:$AE$307&lt;&gt;"")*ISNUMBER(SEARCH(거래처별!$AE$8:$AE$307,$AB1808))),거래처별!$A$8:$A$307),0))))</f>
        <v/>
      </c>
      <c r="AD1808" s="31">
        <f>IF(AND($Y1808&lt;&gt;"",N($Z1808)&gt;0,$AC1808=0),MAX($AD$7:$AD1807)+1,"")</f>
        <v/>
      </c>
      <c r="AE1808" s="31">
        <f>IF($Y1808="",0,$Y1808)</f>
        <v/>
      </c>
    </row>
    <row r="1809">
      <c r="W1809" s="31">
        <f>IF(OR($B$5="",$C$6="",ROW()&lt;$B$5),"",IF(INDEX($A:$U,ROW(),$C$6)="","",INDEX($A:$U,ROW(),$C$6)))</f>
        <v/>
      </c>
      <c r="X1809" s="32">
        <f>IF($W1809="","",IF(ISNUMBER($W1809),IF($W1809&gt;=10000000,IFERROR(DATE(INT($W1809/10000),MOD(INT($W1809/100),100),MOD($W1809,100)),""),INT($W1809)),IFERROR(DATE(--LEFT(LEFT(SUBSTITUTE(SUBSTITUTE(SUBSTITUTE(SUBSTITUTE(TRIM($W1809),"-",""),".",""),"/","")," ",""),8),4),--MID(LEFT(SUBSTITUTE(SUBSTITUTE(SUBSTITUTE(SUBSTITUTE(TRIM($W1809),"-",""),".",""),"/","")," ",""),8),5,2),--MID(LEFT(SUBSTITUTE(SUBSTITUTE(SUBSTITUTE(SUBSTITUTE(TRIM($W1809),"-",""),".",""),"/","")," ",""),8),7,2)),"")))</f>
        <v/>
      </c>
      <c r="Y1809" s="32">
        <f>IF($X1809="","",INT($X1809))</f>
        <v/>
      </c>
      <c r="Z1809" s="33">
        <f>IF(OR($Y1809="",$D$6=""),"",IF(INDEX($A:$U,ROW(),$D$6)="",0,IF(ISNUMBER(INDEX($A:$U,ROW(),$D$6)),INDEX($A:$U,ROW(),$D$6),IFERROR(--SUBSTITUTE(SUBSTITUTE(TRIM(INDEX($A:$U,ROW(),$D$6)),",",""),"원",""),0))))</f>
        <v/>
      </c>
      <c r="AA1809" s="31">
        <f>IF($Y1809="","",TRIM(INDEX($A:$U,ROW(),$E$6)&amp;IF($F$6="",""," "&amp;INDEX($A:$U,ROW(),$F$6))))</f>
        <v/>
      </c>
      <c r="AB1809" s="31">
        <f>IF($AA1809="","",SUBSTITUTE(SUBSTITUTE(SUBSTITUTE(SUBSTITUTE(SUBSTITUTE(SUBSTITUTE(SUBSTITUTE(SUBSTITUTE(SUBSTITUTE($AA1809," ",""),"　",""),"(주)",""),"（주）",""),"㈜",""),"주식회사",""),"(유)",""),"（유）",""),"유한회사",""))</f>
        <v/>
      </c>
      <c r="AC1809" s="31">
        <f>IF(OR($Y1809="",N($Z1809)&lt;=0,$AB1809=""),0,IFERROR(LOOKUP(2,1/((거래처별!$AC$8:$AC$307&lt;&gt;"")*ISNUMBER(SEARCH(거래처별!$AC$8:$AC$307,$AB1809))),거래처별!$A$8:$A$307),IFERROR(LOOKUP(2,1/((거래처별!$AD$8:$AD$307&lt;&gt;"")*ISNUMBER(SEARCH(거래처별!$AD$8:$AD$307,$AB1809))),거래처별!$A$8:$A$307),IFERROR(LOOKUP(2,1/((거래처별!$AE$8:$AE$307&lt;&gt;"")*ISNUMBER(SEARCH(거래처별!$AE$8:$AE$307,$AB1809))),거래처별!$A$8:$A$307),0))))</f>
        <v/>
      </c>
      <c r="AD1809" s="31">
        <f>IF(AND($Y1809&lt;&gt;"",N($Z1809)&gt;0,$AC1809=0),MAX($AD$7:$AD1808)+1,"")</f>
        <v/>
      </c>
      <c r="AE1809" s="31">
        <f>IF($Y1809="",0,$Y1809)</f>
        <v/>
      </c>
    </row>
    <row r="1810">
      <c r="W1810" s="31">
        <f>IF(OR($B$5="",$C$6="",ROW()&lt;$B$5),"",IF(INDEX($A:$U,ROW(),$C$6)="","",INDEX($A:$U,ROW(),$C$6)))</f>
        <v/>
      </c>
      <c r="X1810" s="32">
        <f>IF($W1810="","",IF(ISNUMBER($W1810),IF($W1810&gt;=10000000,IFERROR(DATE(INT($W1810/10000),MOD(INT($W1810/100),100),MOD($W1810,100)),""),INT($W1810)),IFERROR(DATE(--LEFT(LEFT(SUBSTITUTE(SUBSTITUTE(SUBSTITUTE(SUBSTITUTE(TRIM($W1810),"-",""),".",""),"/","")," ",""),8),4),--MID(LEFT(SUBSTITUTE(SUBSTITUTE(SUBSTITUTE(SUBSTITUTE(TRIM($W1810),"-",""),".",""),"/","")," ",""),8),5,2),--MID(LEFT(SUBSTITUTE(SUBSTITUTE(SUBSTITUTE(SUBSTITUTE(TRIM($W1810),"-",""),".",""),"/","")," ",""),8),7,2)),"")))</f>
        <v/>
      </c>
      <c r="Y1810" s="32">
        <f>IF($X1810="","",INT($X1810))</f>
        <v/>
      </c>
      <c r="Z1810" s="33">
        <f>IF(OR($Y1810="",$D$6=""),"",IF(INDEX($A:$U,ROW(),$D$6)="",0,IF(ISNUMBER(INDEX($A:$U,ROW(),$D$6)),INDEX($A:$U,ROW(),$D$6),IFERROR(--SUBSTITUTE(SUBSTITUTE(TRIM(INDEX($A:$U,ROW(),$D$6)),",",""),"원",""),0))))</f>
        <v/>
      </c>
      <c r="AA1810" s="31">
        <f>IF($Y1810="","",TRIM(INDEX($A:$U,ROW(),$E$6)&amp;IF($F$6="",""," "&amp;INDEX($A:$U,ROW(),$F$6))))</f>
        <v/>
      </c>
      <c r="AB1810" s="31">
        <f>IF($AA1810="","",SUBSTITUTE(SUBSTITUTE(SUBSTITUTE(SUBSTITUTE(SUBSTITUTE(SUBSTITUTE(SUBSTITUTE(SUBSTITUTE(SUBSTITUTE($AA1810," ",""),"　",""),"(주)",""),"（주）",""),"㈜",""),"주식회사",""),"(유)",""),"（유）",""),"유한회사",""))</f>
        <v/>
      </c>
      <c r="AC1810" s="31">
        <f>IF(OR($Y1810="",N($Z1810)&lt;=0,$AB1810=""),0,IFERROR(LOOKUP(2,1/((거래처별!$AC$8:$AC$307&lt;&gt;"")*ISNUMBER(SEARCH(거래처별!$AC$8:$AC$307,$AB1810))),거래처별!$A$8:$A$307),IFERROR(LOOKUP(2,1/((거래처별!$AD$8:$AD$307&lt;&gt;"")*ISNUMBER(SEARCH(거래처별!$AD$8:$AD$307,$AB1810))),거래처별!$A$8:$A$307),IFERROR(LOOKUP(2,1/((거래처별!$AE$8:$AE$307&lt;&gt;"")*ISNUMBER(SEARCH(거래처별!$AE$8:$AE$307,$AB1810))),거래처별!$A$8:$A$307),0))))</f>
        <v/>
      </c>
      <c r="AD1810" s="31">
        <f>IF(AND($Y1810&lt;&gt;"",N($Z1810)&gt;0,$AC1810=0),MAX($AD$7:$AD1809)+1,"")</f>
        <v/>
      </c>
      <c r="AE1810" s="31">
        <f>IF($Y1810="",0,$Y1810)</f>
        <v/>
      </c>
    </row>
    <row r="1811">
      <c r="W1811" s="31">
        <f>IF(OR($B$5="",$C$6="",ROW()&lt;$B$5),"",IF(INDEX($A:$U,ROW(),$C$6)="","",INDEX($A:$U,ROW(),$C$6)))</f>
        <v/>
      </c>
      <c r="X1811" s="32">
        <f>IF($W1811="","",IF(ISNUMBER($W1811),IF($W1811&gt;=10000000,IFERROR(DATE(INT($W1811/10000),MOD(INT($W1811/100),100),MOD($W1811,100)),""),INT($W1811)),IFERROR(DATE(--LEFT(LEFT(SUBSTITUTE(SUBSTITUTE(SUBSTITUTE(SUBSTITUTE(TRIM($W1811),"-",""),".",""),"/","")," ",""),8),4),--MID(LEFT(SUBSTITUTE(SUBSTITUTE(SUBSTITUTE(SUBSTITUTE(TRIM($W1811),"-",""),".",""),"/","")," ",""),8),5,2),--MID(LEFT(SUBSTITUTE(SUBSTITUTE(SUBSTITUTE(SUBSTITUTE(TRIM($W1811),"-",""),".",""),"/","")," ",""),8),7,2)),"")))</f>
        <v/>
      </c>
      <c r="Y1811" s="32">
        <f>IF($X1811="","",INT($X1811))</f>
        <v/>
      </c>
      <c r="Z1811" s="33">
        <f>IF(OR($Y1811="",$D$6=""),"",IF(INDEX($A:$U,ROW(),$D$6)="",0,IF(ISNUMBER(INDEX($A:$U,ROW(),$D$6)),INDEX($A:$U,ROW(),$D$6),IFERROR(--SUBSTITUTE(SUBSTITUTE(TRIM(INDEX($A:$U,ROW(),$D$6)),",",""),"원",""),0))))</f>
        <v/>
      </c>
      <c r="AA1811" s="31">
        <f>IF($Y1811="","",TRIM(INDEX($A:$U,ROW(),$E$6)&amp;IF($F$6="",""," "&amp;INDEX($A:$U,ROW(),$F$6))))</f>
        <v/>
      </c>
      <c r="AB1811" s="31">
        <f>IF($AA1811="","",SUBSTITUTE(SUBSTITUTE(SUBSTITUTE(SUBSTITUTE(SUBSTITUTE(SUBSTITUTE(SUBSTITUTE(SUBSTITUTE(SUBSTITUTE($AA1811," ",""),"　",""),"(주)",""),"（주）",""),"㈜",""),"주식회사",""),"(유)",""),"（유）",""),"유한회사",""))</f>
        <v/>
      </c>
      <c r="AC1811" s="31">
        <f>IF(OR($Y1811="",N($Z1811)&lt;=0,$AB1811=""),0,IFERROR(LOOKUP(2,1/((거래처별!$AC$8:$AC$307&lt;&gt;"")*ISNUMBER(SEARCH(거래처별!$AC$8:$AC$307,$AB1811))),거래처별!$A$8:$A$307),IFERROR(LOOKUP(2,1/((거래처별!$AD$8:$AD$307&lt;&gt;"")*ISNUMBER(SEARCH(거래처별!$AD$8:$AD$307,$AB1811))),거래처별!$A$8:$A$307),IFERROR(LOOKUP(2,1/((거래처별!$AE$8:$AE$307&lt;&gt;"")*ISNUMBER(SEARCH(거래처별!$AE$8:$AE$307,$AB1811))),거래처별!$A$8:$A$307),0))))</f>
        <v/>
      </c>
      <c r="AD1811" s="31">
        <f>IF(AND($Y1811&lt;&gt;"",N($Z1811)&gt;0,$AC1811=0),MAX($AD$7:$AD1810)+1,"")</f>
        <v/>
      </c>
      <c r="AE1811" s="31">
        <f>IF($Y1811="",0,$Y1811)</f>
        <v/>
      </c>
    </row>
    <row r="1812">
      <c r="W1812" s="31">
        <f>IF(OR($B$5="",$C$6="",ROW()&lt;$B$5),"",IF(INDEX($A:$U,ROW(),$C$6)="","",INDEX($A:$U,ROW(),$C$6)))</f>
        <v/>
      </c>
      <c r="X1812" s="32">
        <f>IF($W1812="","",IF(ISNUMBER($W1812),IF($W1812&gt;=10000000,IFERROR(DATE(INT($W1812/10000),MOD(INT($W1812/100),100),MOD($W1812,100)),""),INT($W1812)),IFERROR(DATE(--LEFT(LEFT(SUBSTITUTE(SUBSTITUTE(SUBSTITUTE(SUBSTITUTE(TRIM($W1812),"-",""),".",""),"/","")," ",""),8),4),--MID(LEFT(SUBSTITUTE(SUBSTITUTE(SUBSTITUTE(SUBSTITUTE(TRIM($W1812),"-",""),".",""),"/","")," ",""),8),5,2),--MID(LEFT(SUBSTITUTE(SUBSTITUTE(SUBSTITUTE(SUBSTITUTE(TRIM($W1812),"-",""),".",""),"/","")," ",""),8),7,2)),"")))</f>
        <v/>
      </c>
      <c r="Y1812" s="32">
        <f>IF($X1812="","",INT($X1812))</f>
        <v/>
      </c>
      <c r="Z1812" s="33">
        <f>IF(OR($Y1812="",$D$6=""),"",IF(INDEX($A:$U,ROW(),$D$6)="",0,IF(ISNUMBER(INDEX($A:$U,ROW(),$D$6)),INDEX($A:$U,ROW(),$D$6),IFERROR(--SUBSTITUTE(SUBSTITUTE(TRIM(INDEX($A:$U,ROW(),$D$6)),",",""),"원",""),0))))</f>
        <v/>
      </c>
      <c r="AA1812" s="31">
        <f>IF($Y1812="","",TRIM(INDEX($A:$U,ROW(),$E$6)&amp;IF($F$6="",""," "&amp;INDEX($A:$U,ROW(),$F$6))))</f>
        <v/>
      </c>
      <c r="AB1812" s="31">
        <f>IF($AA1812="","",SUBSTITUTE(SUBSTITUTE(SUBSTITUTE(SUBSTITUTE(SUBSTITUTE(SUBSTITUTE(SUBSTITUTE(SUBSTITUTE(SUBSTITUTE($AA1812," ",""),"　",""),"(주)",""),"（주）",""),"㈜",""),"주식회사",""),"(유)",""),"（유）",""),"유한회사",""))</f>
        <v/>
      </c>
      <c r="AC1812" s="31">
        <f>IF(OR($Y1812="",N($Z1812)&lt;=0,$AB1812=""),0,IFERROR(LOOKUP(2,1/((거래처별!$AC$8:$AC$307&lt;&gt;"")*ISNUMBER(SEARCH(거래처별!$AC$8:$AC$307,$AB1812))),거래처별!$A$8:$A$307),IFERROR(LOOKUP(2,1/((거래처별!$AD$8:$AD$307&lt;&gt;"")*ISNUMBER(SEARCH(거래처별!$AD$8:$AD$307,$AB1812))),거래처별!$A$8:$A$307),IFERROR(LOOKUP(2,1/((거래처별!$AE$8:$AE$307&lt;&gt;"")*ISNUMBER(SEARCH(거래처별!$AE$8:$AE$307,$AB1812))),거래처별!$A$8:$A$307),0))))</f>
        <v/>
      </c>
      <c r="AD1812" s="31">
        <f>IF(AND($Y1812&lt;&gt;"",N($Z1812)&gt;0,$AC1812=0),MAX($AD$7:$AD1811)+1,"")</f>
        <v/>
      </c>
      <c r="AE1812" s="31">
        <f>IF($Y1812="",0,$Y1812)</f>
        <v/>
      </c>
    </row>
    <row r="1813">
      <c r="W1813" s="31">
        <f>IF(OR($B$5="",$C$6="",ROW()&lt;$B$5),"",IF(INDEX($A:$U,ROW(),$C$6)="","",INDEX($A:$U,ROW(),$C$6)))</f>
        <v/>
      </c>
      <c r="X1813" s="32">
        <f>IF($W1813="","",IF(ISNUMBER($W1813),IF($W1813&gt;=10000000,IFERROR(DATE(INT($W1813/10000),MOD(INT($W1813/100),100),MOD($W1813,100)),""),INT($W1813)),IFERROR(DATE(--LEFT(LEFT(SUBSTITUTE(SUBSTITUTE(SUBSTITUTE(SUBSTITUTE(TRIM($W1813),"-",""),".",""),"/","")," ",""),8),4),--MID(LEFT(SUBSTITUTE(SUBSTITUTE(SUBSTITUTE(SUBSTITUTE(TRIM($W1813),"-",""),".",""),"/","")," ",""),8),5,2),--MID(LEFT(SUBSTITUTE(SUBSTITUTE(SUBSTITUTE(SUBSTITUTE(TRIM($W1813),"-",""),".",""),"/","")," ",""),8),7,2)),"")))</f>
        <v/>
      </c>
      <c r="Y1813" s="32">
        <f>IF($X1813="","",INT($X1813))</f>
        <v/>
      </c>
      <c r="Z1813" s="33">
        <f>IF(OR($Y1813="",$D$6=""),"",IF(INDEX($A:$U,ROW(),$D$6)="",0,IF(ISNUMBER(INDEX($A:$U,ROW(),$D$6)),INDEX($A:$U,ROW(),$D$6),IFERROR(--SUBSTITUTE(SUBSTITUTE(TRIM(INDEX($A:$U,ROW(),$D$6)),",",""),"원",""),0))))</f>
        <v/>
      </c>
      <c r="AA1813" s="31">
        <f>IF($Y1813="","",TRIM(INDEX($A:$U,ROW(),$E$6)&amp;IF($F$6="",""," "&amp;INDEX($A:$U,ROW(),$F$6))))</f>
        <v/>
      </c>
      <c r="AB1813" s="31">
        <f>IF($AA1813="","",SUBSTITUTE(SUBSTITUTE(SUBSTITUTE(SUBSTITUTE(SUBSTITUTE(SUBSTITUTE(SUBSTITUTE(SUBSTITUTE(SUBSTITUTE($AA1813," ",""),"　",""),"(주)",""),"（주）",""),"㈜",""),"주식회사",""),"(유)",""),"（유）",""),"유한회사",""))</f>
        <v/>
      </c>
      <c r="AC1813" s="31">
        <f>IF(OR($Y1813="",N($Z1813)&lt;=0,$AB1813=""),0,IFERROR(LOOKUP(2,1/((거래처별!$AC$8:$AC$307&lt;&gt;"")*ISNUMBER(SEARCH(거래처별!$AC$8:$AC$307,$AB1813))),거래처별!$A$8:$A$307),IFERROR(LOOKUP(2,1/((거래처별!$AD$8:$AD$307&lt;&gt;"")*ISNUMBER(SEARCH(거래처별!$AD$8:$AD$307,$AB1813))),거래처별!$A$8:$A$307),IFERROR(LOOKUP(2,1/((거래처별!$AE$8:$AE$307&lt;&gt;"")*ISNUMBER(SEARCH(거래처별!$AE$8:$AE$307,$AB1813))),거래처별!$A$8:$A$307),0))))</f>
        <v/>
      </c>
      <c r="AD1813" s="31">
        <f>IF(AND($Y1813&lt;&gt;"",N($Z1813)&gt;0,$AC1813=0),MAX($AD$7:$AD1812)+1,"")</f>
        <v/>
      </c>
      <c r="AE1813" s="31">
        <f>IF($Y1813="",0,$Y1813)</f>
        <v/>
      </c>
    </row>
    <row r="1814">
      <c r="W1814" s="31">
        <f>IF(OR($B$5="",$C$6="",ROW()&lt;$B$5),"",IF(INDEX($A:$U,ROW(),$C$6)="","",INDEX($A:$U,ROW(),$C$6)))</f>
        <v/>
      </c>
      <c r="X1814" s="32">
        <f>IF($W1814="","",IF(ISNUMBER($W1814),IF($W1814&gt;=10000000,IFERROR(DATE(INT($W1814/10000),MOD(INT($W1814/100),100),MOD($W1814,100)),""),INT($W1814)),IFERROR(DATE(--LEFT(LEFT(SUBSTITUTE(SUBSTITUTE(SUBSTITUTE(SUBSTITUTE(TRIM($W1814),"-",""),".",""),"/","")," ",""),8),4),--MID(LEFT(SUBSTITUTE(SUBSTITUTE(SUBSTITUTE(SUBSTITUTE(TRIM($W1814),"-",""),".",""),"/","")," ",""),8),5,2),--MID(LEFT(SUBSTITUTE(SUBSTITUTE(SUBSTITUTE(SUBSTITUTE(TRIM($W1814),"-",""),".",""),"/","")," ",""),8),7,2)),"")))</f>
        <v/>
      </c>
      <c r="Y1814" s="32">
        <f>IF($X1814="","",INT($X1814))</f>
        <v/>
      </c>
      <c r="Z1814" s="33">
        <f>IF(OR($Y1814="",$D$6=""),"",IF(INDEX($A:$U,ROW(),$D$6)="",0,IF(ISNUMBER(INDEX($A:$U,ROW(),$D$6)),INDEX($A:$U,ROW(),$D$6),IFERROR(--SUBSTITUTE(SUBSTITUTE(TRIM(INDEX($A:$U,ROW(),$D$6)),",",""),"원",""),0))))</f>
        <v/>
      </c>
      <c r="AA1814" s="31">
        <f>IF($Y1814="","",TRIM(INDEX($A:$U,ROW(),$E$6)&amp;IF($F$6="",""," "&amp;INDEX($A:$U,ROW(),$F$6))))</f>
        <v/>
      </c>
      <c r="AB1814" s="31">
        <f>IF($AA1814="","",SUBSTITUTE(SUBSTITUTE(SUBSTITUTE(SUBSTITUTE(SUBSTITUTE(SUBSTITUTE(SUBSTITUTE(SUBSTITUTE(SUBSTITUTE($AA1814," ",""),"　",""),"(주)",""),"（주）",""),"㈜",""),"주식회사",""),"(유)",""),"（유）",""),"유한회사",""))</f>
        <v/>
      </c>
      <c r="AC1814" s="31">
        <f>IF(OR($Y1814="",N($Z1814)&lt;=0,$AB1814=""),0,IFERROR(LOOKUP(2,1/((거래처별!$AC$8:$AC$307&lt;&gt;"")*ISNUMBER(SEARCH(거래처별!$AC$8:$AC$307,$AB1814))),거래처별!$A$8:$A$307),IFERROR(LOOKUP(2,1/((거래처별!$AD$8:$AD$307&lt;&gt;"")*ISNUMBER(SEARCH(거래처별!$AD$8:$AD$307,$AB1814))),거래처별!$A$8:$A$307),IFERROR(LOOKUP(2,1/((거래처별!$AE$8:$AE$307&lt;&gt;"")*ISNUMBER(SEARCH(거래처별!$AE$8:$AE$307,$AB1814))),거래처별!$A$8:$A$307),0))))</f>
        <v/>
      </c>
      <c r="AD1814" s="31">
        <f>IF(AND($Y1814&lt;&gt;"",N($Z1814)&gt;0,$AC1814=0),MAX($AD$7:$AD1813)+1,"")</f>
        <v/>
      </c>
      <c r="AE1814" s="31">
        <f>IF($Y1814="",0,$Y1814)</f>
        <v/>
      </c>
    </row>
    <row r="1815">
      <c r="W1815" s="31">
        <f>IF(OR($B$5="",$C$6="",ROW()&lt;$B$5),"",IF(INDEX($A:$U,ROW(),$C$6)="","",INDEX($A:$U,ROW(),$C$6)))</f>
        <v/>
      </c>
      <c r="X1815" s="32">
        <f>IF($W1815="","",IF(ISNUMBER($W1815),IF($W1815&gt;=10000000,IFERROR(DATE(INT($W1815/10000),MOD(INT($W1815/100),100),MOD($W1815,100)),""),INT($W1815)),IFERROR(DATE(--LEFT(LEFT(SUBSTITUTE(SUBSTITUTE(SUBSTITUTE(SUBSTITUTE(TRIM($W1815),"-",""),".",""),"/","")," ",""),8),4),--MID(LEFT(SUBSTITUTE(SUBSTITUTE(SUBSTITUTE(SUBSTITUTE(TRIM($W1815),"-",""),".",""),"/","")," ",""),8),5,2),--MID(LEFT(SUBSTITUTE(SUBSTITUTE(SUBSTITUTE(SUBSTITUTE(TRIM($W1815),"-",""),".",""),"/","")," ",""),8),7,2)),"")))</f>
        <v/>
      </c>
      <c r="Y1815" s="32">
        <f>IF($X1815="","",INT($X1815))</f>
        <v/>
      </c>
      <c r="Z1815" s="33">
        <f>IF(OR($Y1815="",$D$6=""),"",IF(INDEX($A:$U,ROW(),$D$6)="",0,IF(ISNUMBER(INDEX($A:$U,ROW(),$D$6)),INDEX($A:$U,ROW(),$D$6),IFERROR(--SUBSTITUTE(SUBSTITUTE(TRIM(INDEX($A:$U,ROW(),$D$6)),",",""),"원",""),0))))</f>
        <v/>
      </c>
      <c r="AA1815" s="31">
        <f>IF($Y1815="","",TRIM(INDEX($A:$U,ROW(),$E$6)&amp;IF($F$6="",""," "&amp;INDEX($A:$U,ROW(),$F$6))))</f>
        <v/>
      </c>
      <c r="AB1815" s="31">
        <f>IF($AA1815="","",SUBSTITUTE(SUBSTITUTE(SUBSTITUTE(SUBSTITUTE(SUBSTITUTE(SUBSTITUTE(SUBSTITUTE(SUBSTITUTE(SUBSTITUTE($AA1815," ",""),"　",""),"(주)",""),"（주）",""),"㈜",""),"주식회사",""),"(유)",""),"（유）",""),"유한회사",""))</f>
        <v/>
      </c>
      <c r="AC1815" s="31">
        <f>IF(OR($Y1815="",N($Z1815)&lt;=0,$AB1815=""),0,IFERROR(LOOKUP(2,1/((거래처별!$AC$8:$AC$307&lt;&gt;"")*ISNUMBER(SEARCH(거래처별!$AC$8:$AC$307,$AB1815))),거래처별!$A$8:$A$307),IFERROR(LOOKUP(2,1/((거래처별!$AD$8:$AD$307&lt;&gt;"")*ISNUMBER(SEARCH(거래처별!$AD$8:$AD$307,$AB1815))),거래처별!$A$8:$A$307),IFERROR(LOOKUP(2,1/((거래처별!$AE$8:$AE$307&lt;&gt;"")*ISNUMBER(SEARCH(거래처별!$AE$8:$AE$307,$AB1815))),거래처별!$A$8:$A$307),0))))</f>
        <v/>
      </c>
      <c r="AD1815" s="31">
        <f>IF(AND($Y1815&lt;&gt;"",N($Z1815)&gt;0,$AC1815=0),MAX($AD$7:$AD1814)+1,"")</f>
        <v/>
      </c>
      <c r="AE1815" s="31">
        <f>IF($Y1815="",0,$Y1815)</f>
        <v/>
      </c>
    </row>
    <row r="1816">
      <c r="W1816" s="31">
        <f>IF(OR($B$5="",$C$6="",ROW()&lt;$B$5),"",IF(INDEX($A:$U,ROW(),$C$6)="","",INDEX($A:$U,ROW(),$C$6)))</f>
        <v/>
      </c>
      <c r="X1816" s="32">
        <f>IF($W1816="","",IF(ISNUMBER($W1816),IF($W1816&gt;=10000000,IFERROR(DATE(INT($W1816/10000),MOD(INT($W1816/100),100),MOD($W1816,100)),""),INT($W1816)),IFERROR(DATE(--LEFT(LEFT(SUBSTITUTE(SUBSTITUTE(SUBSTITUTE(SUBSTITUTE(TRIM($W1816),"-",""),".",""),"/","")," ",""),8),4),--MID(LEFT(SUBSTITUTE(SUBSTITUTE(SUBSTITUTE(SUBSTITUTE(TRIM($W1816),"-",""),".",""),"/","")," ",""),8),5,2),--MID(LEFT(SUBSTITUTE(SUBSTITUTE(SUBSTITUTE(SUBSTITUTE(TRIM($W1816),"-",""),".",""),"/","")," ",""),8),7,2)),"")))</f>
        <v/>
      </c>
      <c r="Y1816" s="32">
        <f>IF($X1816="","",INT($X1816))</f>
        <v/>
      </c>
      <c r="Z1816" s="33">
        <f>IF(OR($Y1816="",$D$6=""),"",IF(INDEX($A:$U,ROW(),$D$6)="",0,IF(ISNUMBER(INDEX($A:$U,ROW(),$D$6)),INDEX($A:$U,ROW(),$D$6),IFERROR(--SUBSTITUTE(SUBSTITUTE(TRIM(INDEX($A:$U,ROW(),$D$6)),",",""),"원",""),0))))</f>
        <v/>
      </c>
      <c r="AA1816" s="31">
        <f>IF($Y1816="","",TRIM(INDEX($A:$U,ROW(),$E$6)&amp;IF($F$6="",""," "&amp;INDEX($A:$U,ROW(),$F$6))))</f>
        <v/>
      </c>
      <c r="AB1816" s="31">
        <f>IF($AA1816="","",SUBSTITUTE(SUBSTITUTE(SUBSTITUTE(SUBSTITUTE(SUBSTITUTE(SUBSTITUTE(SUBSTITUTE(SUBSTITUTE(SUBSTITUTE($AA1816," ",""),"　",""),"(주)",""),"（주）",""),"㈜",""),"주식회사",""),"(유)",""),"（유）",""),"유한회사",""))</f>
        <v/>
      </c>
      <c r="AC1816" s="31">
        <f>IF(OR($Y1816="",N($Z1816)&lt;=0,$AB1816=""),0,IFERROR(LOOKUP(2,1/((거래처별!$AC$8:$AC$307&lt;&gt;"")*ISNUMBER(SEARCH(거래처별!$AC$8:$AC$307,$AB1816))),거래처별!$A$8:$A$307),IFERROR(LOOKUP(2,1/((거래처별!$AD$8:$AD$307&lt;&gt;"")*ISNUMBER(SEARCH(거래처별!$AD$8:$AD$307,$AB1816))),거래처별!$A$8:$A$307),IFERROR(LOOKUP(2,1/((거래처별!$AE$8:$AE$307&lt;&gt;"")*ISNUMBER(SEARCH(거래처별!$AE$8:$AE$307,$AB1816))),거래처별!$A$8:$A$307),0))))</f>
        <v/>
      </c>
      <c r="AD1816" s="31">
        <f>IF(AND($Y1816&lt;&gt;"",N($Z1816)&gt;0,$AC1816=0),MAX($AD$7:$AD1815)+1,"")</f>
        <v/>
      </c>
      <c r="AE1816" s="31">
        <f>IF($Y1816="",0,$Y1816)</f>
        <v/>
      </c>
    </row>
    <row r="1817">
      <c r="W1817" s="31">
        <f>IF(OR($B$5="",$C$6="",ROW()&lt;$B$5),"",IF(INDEX($A:$U,ROW(),$C$6)="","",INDEX($A:$U,ROW(),$C$6)))</f>
        <v/>
      </c>
      <c r="X1817" s="32">
        <f>IF($W1817="","",IF(ISNUMBER($W1817),IF($W1817&gt;=10000000,IFERROR(DATE(INT($W1817/10000),MOD(INT($W1817/100),100),MOD($W1817,100)),""),INT($W1817)),IFERROR(DATE(--LEFT(LEFT(SUBSTITUTE(SUBSTITUTE(SUBSTITUTE(SUBSTITUTE(TRIM($W1817),"-",""),".",""),"/","")," ",""),8),4),--MID(LEFT(SUBSTITUTE(SUBSTITUTE(SUBSTITUTE(SUBSTITUTE(TRIM($W1817),"-",""),".",""),"/","")," ",""),8),5,2),--MID(LEFT(SUBSTITUTE(SUBSTITUTE(SUBSTITUTE(SUBSTITUTE(TRIM($W1817),"-",""),".",""),"/","")," ",""),8),7,2)),"")))</f>
        <v/>
      </c>
      <c r="Y1817" s="32">
        <f>IF($X1817="","",INT($X1817))</f>
        <v/>
      </c>
      <c r="Z1817" s="33">
        <f>IF(OR($Y1817="",$D$6=""),"",IF(INDEX($A:$U,ROW(),$D$6)="",0,IF(ISNUMBER(INDEX($A:$U,ROW(),$D$6)),INDEX($A:$U,ROW(),$D$6),IFERROR(--SUBSTITUTE(SUBSTITUTE(TRIM(INDEX($A:$U,ROW(),$D$6)),",",""),"원",""),0))))</f>
        <v/>
      </c>
      <c r="AA1817" s="31">
        <f>IF($Y1817="","",TRIM(INDEX($A:$U,ROW(),$E$6)&amp;IF($F$6="",""," "&amp;INDEX($A:$U,ROW(),$F$6))))</f>
        <v/>
      </c>
      <c r="AB1817" s="31">
        <f>IF($AA1817="","",SUBSTITUTE(SUBSTITUTE(SUBSTITUTE(SUBSTITUTE(SUBSTITUTE(SUBSTITUTE(SUBSTITUTE(SUBSTITUTE(SUBSTITUTE($AA1817," ",""),"　",""),"(주)",""),"（주）",""),"㈜",""),"주식회사",""),"(유)",""),"（유）",""),"유한회사",""))</f>
        <v/>
      </c>
      <c r="AC1817" s="31">
        <f>IF(OR($Y1817="",N($Z1817)&lt;=0,$AB1817=""),0,IFERROR(LOOKUP(2,1/((거래처별!$AC$8:$AC$307&lt;&gt;"")*ISNUMBER(SEARCH(거래처별!$AC$8:$AC$307,$AB1817))),거래처별!$A$8:$A$307),IFERROR(LOOKUP(2,1/((거래처별!$AD$8:$AD$307&lt;&gt;"")*ISNUMBER(SEARCH(거래처별!$AD$8:$AD$307,$AB1817))),거래처별!$A$8:$A$307),IFERROR(LOOKUP(2,1/((거래처별!$AE$8:$AE$307&lt;&gt;"")*ISNUMBER(SEARCH(거래처별!$AE$8:$AE$307,$AB1817))),거래처별!$A$8:$A$307),0))))</f>
        <v/>
      </c>
      <c r="AD1817" s="31">
        <f>IF(AND($Y1817&lt;&gt;"",N($Z1817)&gt;0,$AC1817=0),MAX($AD$7:$AD1816)+1,"")</f>
        <v/>
      </c>
      <c r="AE1817" s="31">
        <f>IF($Y1817="",0,$Y1817)</f>
        <v/>
      </c>
    </row>
    <row r="1818">
      <c r="W1818" s="31">
        <f>IF(OR($B$5="",$C$6="",ROW()&lt;$B$5),"",IF(INDEX($A:$U,ROW(),$C$6)="","",INDEX($A:$U,ROW(),$C$6)))</f>
        <v/>
      </c>
      <c r="X1818" s="32">
        <f>IF($W1818="","",IF(ISNUMBER($W1818),IF($W1818&gt;=10000000,IFERROR(DATE(INT($W1818/10000),MOD(INT($W1818/100),100),MOD($W1818,100)),""),INT($W1818)),IFERROR(DATE(--LEFT(LEFT(SUBSTITUTE(SUBSTITUTE(SUBSTITUTE(SUBSTITUTE(TRIM($W1818),"-",""),".",""),"/","")," ",""),8),4),--MID(LEFT(SUBSTITUTE(SUBSTITUTE(SUBSTITUTE(SUBSTITUTE(TRIM($W1818),"-",""),".",""),"/","")," ",""),8),5,2),--MID(LEFT(SUBSTITUTE(SUBSTITUTE(SUBSTITUTE(SUBSTITUTE(TRIM($W1818),"-",""),".",""),"/","")," ",""),8),7,2)),"")))</f>
        <v/>
      </c>
      <c r="Y1818" s="32">
        <f>IF($X1818="","",INT($X1818))</f>
        <v/>
      </c>
      <c r="Z1818" s="33">
        <f>IF(OR($Y1818="",$D$6=""),"",IF(INDEX($A:$U,ROW(),$D$6)="",0,IF(ISNUMBER(INDEX($A:$U,ROW(),$D$6)),INDEX($A:$U,ROW(),$D$6),IFERROR(--SUBSTITUTE(SUBSTITUTE(TRIM(INDEX($A:$U,ROW(),$D$6)),",",""),"원",""),0))))</f>
        <v/>
      </c>
      <c r="AA1818" s="31">
        <f>IF($Y1818="","",TRIM(INDEX($A:$U,ROW(),$E$6)&amp;IF($F$6="",""," "&amp;INDEX($A:$U,ROW(),$F$6))))</f>
        <v/>
      </c>
      <c r="AB1818" s="31">
        <f>IF($AA1818="","",SUBSTITUTE(SUBSTITUTE(SUBSTITUTE(SUBSTITUTE(SUBSTITUTE(SUBSTITUTE(SUBSTITUTE(SUBSTITUTE(SUBSTITUTE($AA1818," ",""),"　",""),"(주)",""),"（주）",""),"㈜",""),"주식회사",""),"(유)",""),"（유）",""),"유한회사",""))</f>
        <v/>
      </c>
      <c r="AC1818" s="31">
        <f>IF(OR($Y1818="",N($Z1818)&lt;=0,$AB1818=""),0,IFERROR(LOOKUP(2,1/((거래처별!$AC$8:$AC$307&lt;&gt;"")*ISNUMBER(SEARCH(거래처별!$AC$8:$AC$307,$AB1818))),거래처별!$A$8:$A$307),IFERROR(LOOKUP(2,1/((거래처별!$AD$8:$AD$307&lt;&gt;"")*ISNUMBER(SEARCH(거래처별!$AD$8:$AD$307,$AB1818))),거래처별!$A$8:$A$307),IFERROR(LOOKUP(2,1/((거래처별!$AE$8:$AE$307&lt;&gt;"")*ISNUMBER(SEARCH(거래처별!$AE$8:$AE$307,$AB1818))),거래처별!$A$8:$A$307),0))))</f>
        <v/>
      </c>
      <c r="AD1818" s="31">
        <f>IF(AND($Y1818&lt;&gt;"",N($Z1818)&gt;0,$AC1818=0),MAX($AD$7:$AD1817)+1,"")</f>
        <v/>
      </c>
      <c r="AE1818" s="31">
        <f>IF($Y1818="",0,$Y1818)</f>
        <v/>
      </c>
    </row>
    <row r="1819">
      <c r="W1819" s="31">
        <f>IF(OR($B$5="",$C$6="",ROW()&lt;$B$5),"",IF(INDEX($A:$U,ROW(),$C$6)="","",INDEX($A:$U,ROW(),$C$6)))</f>
        <v/>
      </c>
      <c r="X1819" s="32">
        <f>IF($W1819="","",IF(ISNUMBER($W1819),IF($W1819&gt;=10000000,IFERROR(DATE(INT($W1819/10000),MOD(INT($W1819/100),100),MOD($W1819,100)),""),INT($W1819)),IFERROR(DATE(--LEFT(LEFT(SUBSTITUTE(SUBSTITUTE(SUBSTITUTE(SUBSTITUTE(TRIM($W1819),"-",""),".",""),"/","")," ",""),8),4),--MID(LEFT(SUBSTITUTE(SUBSTITUTE(SUBSTITUTE(SUBSTITUTE(TRIM($W1819),"-",""),".",""),"/","")," ",""),8),5,2),--MID(LEFT(SUBSTITUTE(SUBSTITUTE(SUBSTITUTE(SUBSTITUTE(TRIM($W1819),"-",""),".",""),"/","")," ",""),8),7,2)),"")))</f>
        <v/>
      </c>
      <c r="Y1819" s="32">
        <f>IF($X1819="","",INT($X1819))</f>
        <v/>
      </c>
      <c r="Z1819" s="33">
        <f>IF(OR($Y1819="",$D$6=""),"",IF(INDEX($A:$U,ROW(),$D$6)="",0,IF(ISNUMBER(INDEX($A:$U,ROW(),$D$6)),INDEX($A:$U,ROW(),$D$6),IFERROR(--SUBSTITUTE(SUBSTITUTE(TRIM(INDEX($A:$U,ROW(),$D$6)),",",""),"원",""),0))))</f>
        <v/>
      </c>
      <c r="AA1819" s="31">
        <f>IF($Y1819="","",TRIM(INDEX($A:$U,ROW(),$E$6)&amp;IF($F$6="",""," "&amp;INDEX($A:$U,ROW(),$F$6))))</f>
        <v/>
      </c>
      <c r="AB1819" s="31">
        <f>IF($AA1819="","",SUBSTITUTE(SUBSTITUTE(SUBSTITUTE(SUBSTITUTE(SUBSTITUTE(SUBSTITUTE(SUBSTITUTE(SUBSTITUTE(SUBSTITUTE($AA1819," ",""),"　",""),"(주)",""),"（주）",""),"㈜",""),"주식회사",""),"(유)",""),"（유）",""),"유한회사",""))</f>
        <v/>
      </c>
      <c r="AC1819" s="31">
        <f>IF(OR($Y1819="",N($Z1819)&lt;=0,$AB1819=""),0,IFERROR(LOOKUP(2,1/((거래처별!$AC$8:$AC$307&lt;&gt;"")*ISNUMBER(SEARCH(거래처별!$AC$8:$AC$307,$AB1819))),거래처별!$A$8:$A$307),IFERROR(LOOKUP(2,1/((거래처별!$AD$8:$AD$307&lt;&gt;"")*ISNUMBER(SEARCH(거래처별!$AD$8:$AD$307,$AB1819))),거래처별!$A$8:$A$307),IFERROR(LOOKUP(2,1/((거래처별!$AE$8:$AE$307&lt;&gt;"")*ISNUMBER(SEARCH(거래처별!$AE$8:$AE$307,$AB1819))),거래처별!$A$8:$A$307),0))))</f>
        <v/>
      </c>
      <c r="AD1819" s="31">
        <f>IF(AND($Y1819&lt;&gt;"",N($Z1819)&gt;0,$AC1819=0),MAX($AD$7:$AD1818)+1,"")</f>
        <v/>
      </c>
      <c r="AE1819" s="31">
        <f>IF($Y1819="",0,$Y1819)</f>
        <v/>
      </c>
    </row>
    <row r="1820">
      <c r="W1820" s="31">
        <f>IF(OR($B$5="",$C$6="",ROW()&lt;$B$5),"",IF(INDEX($A:$U,ROW(),$C$6)="","",INDEX($A:$U,ROW(),$C$6)))</f>
        <v/>
      </c>
      <c r="X1820" s="32">
        <f>IF($W1820="","",IF(ISNUMBER($W1820),IF($W1820&gt;=10000000,IFERROR(DATE(INT($W1820/10000),MOD(INT($W1820/100),100),MOD($W1820,100)),""),INT($W1820)),IFERROR(DATE(--LEFT(LEFT(SUBSTITUTE(SUBSTITUTE(SUBSTITUTE(SUBSTITUTE(TRIM($W1820),"-",""),".",""),"/","")," ",""),8),4),--MID(LEFT(SUBSTITUTE(SUBSTITUTE(SUBSTITUTE(SUBSTITUTE(TRIM($W1820),"-",""),".",""),"/","")," ",""),8),5,2),--MID(LEFT(SUBSTITUTE(SUBSTITUTE(SUBSTITUTE(SUBSTITUTE(TRIM($W1820),"-",""),".",""),"/","")," ",""),8),7,2)),"")))</f>
        <v/>
      </c>
      <c r="Y1820" s="32">
        <f>IF($X1820="","",INT($X1820))</f>
        <v/>
      </c>
      <c r="Z1820" s="33">
        <f>IF(OR($Y1820="",$D$6=""),"",IF(INDEX($A:$U,ROW(),$D$6)="",0,IF(ISNUMBER(INDEX($A:$U,ROW(),$D$6)),INDEX($A:$U,ROW(),$D$6),IFERROR(--SUBSTITUTE(SUBSTITUTE(TRIM(INDEX($A:$U,ROW(),$D$6)),",",""),"원",""),0))))</f>
        <v/>
      </c>
      <c r="AA1820" s="31">
        <f>IF($Y1820="","",TRIM(INDEX($A:$U,ROW(),$E$6)&amp;IF($F$6="",""," "&amp;INDEX($A:$U,ROW(),$F$6))))</f>
        <v/>
      </c>
      <c r="AB1820" s="31">
        <f>IF($AA1820="","",SUBSTITUTE(SUBSTITUTE(SUBSTITUTE(SUBSTITUTE(SUBSTITUTE(SUBSTITUTE(SUBSTITUTE(SUBSTITUTE(SUBSTITUTE($AA1820," ",""),"　",""),"(주)",""),"（주）",""),"㈜",""),"주식회사",""),"(유)",""),"（유）",""),"유한회사",""))</f>
        <v/>
      </c>
      <c r="AC1820" s="31">
        <f>IF(OR($Y1820="",N($Z1820)&lt;=0,$AB1820=""),0,IFERROR(LOOKUP(2,1/((거래처별!$AC$8:$AC$307&lt;&gt;"")*ISNUMBER(SEARCH(거래처별!$AC$8:$AC$307,$AB1820))),거래처별!$A$8:$A$307),IFERROR(LOOKUP(2,1/((거래처별!$AD$8:$AD$307&lt;&gt;"")*ISNUMBER(SEARCH(거래처별!$AD$8:$AD$307,$AB1820))),거래처별!$A$8:$A$307),IFERROR(LOOKUP(2,1/((거래처별!$AE$8:$AE$307&lt;&gt;"")*ISNUMBER(SEARCH(거래처별!$AE$8:$AE$307,$AB1820))),거래처별!$A$8:$A$307),0))))</f>
        <v/>
      </c>
      <c r="AD1820" s="31">
        <f>IF(AND($Y1820&lt;&gt;"",N($Z1820)&gt;0,$AC1820=0),MAX($AD$7:$AD1819)+1,"")</f>
        <v/>
      </c>
      <c r="AE1820" s="31">
        <f>IF($Y1820="",0,$Y1820)</f>
        <v/>
      </c>
    </row>
    <row r="1821">
      <c r="W1821" s="31">
        <f>IF(OR($B$5="",$C$6="",ROW()&lt;$B$5),"",IF(INDEX($A:$U,ROW(),$C$6)="","",INDEX($A:$U,ROW(),$C$6)))</f>
        <v/>
      </c>
      <c r="X1821" s="32">
        <f>IF($W1821="","",IF(ISNUMBER($W1821),IF($W1821&gt;=10000000,IFERROR(DATE(INT($W1821/10000),MOD(INT($W1821/100),100),MOD($W1821,100)),""),INT($W1821)),IFERROR(DATE(--LEFT(LEFT(SUBSTITUTE(SUBSTITUTE(SUBSTITUTE(SUBSTITUTE(TRIM($W1821),"-",""),".",""),"/","")," ",""),8),4),--MID(LEFT(SUBSTITUTE(SUBSTITUTE(SUBSTITUTE(SUBSTITUTE(TRIM($W1821),"-",""),".",""),"/","")," ",""),8),5,2),--MID(LEFT(SUBSTITUTE(SUBSTITUTE(SUBSTITUTE(SUBSTITUTE(TRIM($W1821),"-",""),".",""),"/","")," ",""),8),7,2)),"")))</f>
        <v/>
      </c>
      <c r="Y1821" s="32">
        <f>IF($X1821="","",INT($X1821))</f>
        <v/>
      </c>
      <c r="Z1821" s="33">
        <f>IF(OR($Y1821="",$D$6=""),"",IF(INDEX($A:$U,ROW(),$D$6)="",0,IF(ISNUMBER(INDEX($A:$U,ROW(),$D$6)),INDEX($A:$U,ROW(),$D$6),IFERROR(--SUBSTITUTE(SUBSTITUTE(TRIM(INDEX($A:$U,ROW(),$D$6)),",",""),"원",""),0))))</f>
        <v/>
      </c>
      <c r="AA1821" s="31">
        <f>IF($Y1821="","",TRIM(INDEX($A:$U,ROW(),$E$6)&amp;IF($F$6="",""," "&amp;INDEX($A:$U,ROW(),$F$6))))</f>
        <v/>
      </c>
      <c r="AB1821" s="31">
        <f>IF($AA1821="","",SUBSTITUTE(SUBSTITUTE(SUBSTITUTE(SUBSTITUTE(SUBSTITUTE(SUBSTITUTE(SUBSTITUTE(SUBSTITUTE(SUBSTITUTE($AA1821," ",""),"　",""),"(주)",""),"（주）",""),"㈜",""),"주식회사",""),"(유)",""),"（유）",""),"유한회사",""))</f>
        <v/>
      </c>
      <c r="AC1821" s="31">
        <f>IF(OR($Y1821="",N($Z1821)&lt;=0,$AB1821=""),0,IFERROR(LOOKUP(2,1/((거래처별!$AC$8:$AC$307&lt;&gt;"")*ISNUMBER(SEARCH(거래처별!$AC$8:$AC$307,$AB1821))),거래처별!$A$8:$A$307),IFERROR(LOOKUP(2,1/((거래처별!$AD$8:$AD$307&lt;&gt;"")*ISNUMBER(SEARCH(거래처별!$AD$8:$AD$307,$AB1821))),거래처별!$A$8:$A$307),IFERROR(LOOKUP(2,1/((거래처별!$AE$8:$AE$307&lt;&gt;"")*ISNUMBER(SEARCH(거래처별!$AE$8:$AE$307,$AB1821))),거래처별!$A$8:$A$307),0))))</f>
        <v/>
      </c>
      <c r="AD1821" s="31">
        <f>IF(AND($Y1821&lt;&gt;"",N($Z1821)&gt;0,$AC1821=0),MAX($AD$7:$AD1820)+1,"")</f>
        <v/>
      </c>
      <c r="AE1821" s="31">
        <f>IF($Y1821="",0,$Y1821)</f>
        <v/>
      </c>
    </row>
    <row r="1822">
      <c r="W1822" s="31">
        <f>IF(OR($B$5="",$C$6="",ROW()&lt;$B$5),"",IF(INDEX($A:$U,ROW(),$C$6)="","",INDEX($A:$U,ROW(),$C$6)))</f>
        <v/>
      </c>
      <c r="X1822" s="32">
        <f>IF($W1822="","",IF(ISNUMBER($W1822),IF($W1822&gt;=10000000,IFERROR(DATE(INT($W1822/10000),MOD(INT($W1822/100),100),MOD($W1822,100)),""),INT($W1822)),IFERROR(DATE(--LEFT(LEFT(SUBSTITUTE(SUBSTITUTE(SUBSTITUTE(SUBSTITUTE(TRIM($W1822),"-",""),".",""),"/","")," ",""),8),4),--MID(LEFT(SUBSTITUTE(SUBSTITUTE(SUBSTITUTE(SUBSTITUTE(TRIM($W1822),"-",""),".",""),"/","")," ",""),8),5,2),--MID(LEFT(SUBSTITUTE(SUBSTITUTE(SUBSTITUTE(SUBSTITUTE(TRIM($W1822),"-",""),".",""),"/","")," ",""),8),7,2)),"")))</f>
        <v/>
      </c>
      <c r="Y1822" s="32">
        <f>IF($X1822="","",INT($X1822))</f>
        <v/>
      </c>
      <c r="Z1822" s="33">
        <f>IF(OR($Y1822="",$D$6=""),"",IF(INDEX($A:$U,ROW(),$D$6)="",0,IF(ISNUMBER(INDEX($A:$U,ROW(),$D$6)),INDEX($A:$U,ROW(),$D$6),IFERROR(--SUBSTITUTE(SUBSTITUTE(TRIM(INDEX($A:$U,ROW(),$D$6)),",",""),"원",""),0))))</f>
        <v/>
      </c>
      <c r="AA1822" s="31">
        <f>IF($Y1822="","",TRIM(INDEX($A:$U,ROW(),$E$6)&amp;IF($F$6="",""," "&amp;INDEX($A:$U,ROW(),$F$6))))</f>
        <v/>
      </c>
      <c r="AB1822" s="31">
        <f>IF($AA1822="","",SUBSTITUTE(SUBSTITUTE(SUBSTITUTE(SUBSTITUTE(SUBSTITUTE(SUBSTITUTE(SUBSTITUTE(SUBSTITUTE(SUBSTITUTE($AA1822," ",""),"　",""),"(주)",""),"（주）",""),"㈜",""),"주식회사",""),"(유)",""),"（유）",""),"유한회사",""))</f>
        <v/>
      </c>
      <c r="AC1822" s="31">
        <f>IF(OR($Y1822="",N($Z1822)&lt;=0,$AB1822=""),0,IFERROR(LOOKUP(2,1/((거래처별!$AC$8:$AC$307&lt;&gt;"")*ISNUMBER(SEARCH(거래처별!$AC$8:$AC$307,$AB1822))),거래처별!$A$8:$A$307),IFERROR(LOOKUP(2,1/((거래처별!$AD$8:$AD$307&lt;&gt;"")*ISNUMBER(SEARCH(거래처별!$AD$8:$AD$307,$AB1822))),거래처별!$A$8:$A$307),IFERROR(LOOKUP(2,1/((거래처별!$AE$8:$AE$307&lt;&gt;"")*ISNUMBER(SEARCH(거래처별!$AE$8:$AE$307,$AB1822))),거래처별!$A$8:$A$307),0))))</f>
        <v/>
      </c>
      <c r="AD1822" s="31">
        <f>IF(AND($Y1822&lt;&gt;"",N($Z1822)&gt;0,$AC1822=0),MAX($AD$7:$AD1821)+1,"")</f>
        <v/>
      </c>
      <c r="AE1822" s="31">
        <f>IF($Y1822="",0,$Y1822)</f>
        <v/>
      </c>
    </row>
    <row r="1823">
      <c r="W1823" s="31">
        <f>IF(OR($B$5="",$C$6="",ROW()&lt;$B$5),"",IF(INDEX($A:$U,ROW(),$C$6)="","",INDEX($A:$U,ROW(),$C$6)))</f>
        <v/>
      </c>
      <c r="X1823" s="32">
        <f>IF($W1823="","",IF(ISNUMBER($W1823),IF($W1823&gt;=10000000,IFERROR(DATE(INT($W1823/10000),MOD(INT($W1823/100),100),MOD($W1823,100)),""),INT($W1823)),IFERROR(DATE(--LEFT(LEFT(SUBSTITUTE(SUBSTITUTE(SUBSTITUTE(SUBSTITUTE(TRIM($W1823),"-",""),".",""),"/","")," ",""),8),4),--MID(LEFT(SUBSTITUTE(SUBSTITUTE(SUBSTITUTE(SUBSTITUTE(TRIM($W1823),"-",""),".",""),"/","")," ",""),8),5,2),--MID(LEFT(SUBSTITUTE(SUBSTITUTE(SUBSTITUTE(SUBSTITUTE(TRIM($W1823),"-",""),".",""),"/","")," ",""),8),7,2)),"")))</f>
        <v/>
      </c>
      <c r="Y1823" s="32">
        <f>IF($X1823="","",INT($X1823))</f>
        <v/>
      </c>
      <c r="Z1823" s="33">
        <f>IF(OR($Y1823="",$D$6=""),"",IF(INDEX($A:$U,ROW(),$D$6)="",0,IF(ISNUMBER(INDEX($A:$U,ROW(),$D$6)),INDEX($A:$U,ROW(),$D$6),IFERROR(--SUBSTITUTE(SUBSTITUTE(TRIM(INDEX($A:$U,ROW(),$D$6)),",",""),"원",""),0))))</f>
        <v/>
      </c>
      <c r="AA1823" s="31">
        <f>IF($Y1823="","",TRIM(INDEX($A:$U,ROW(),$E$6)&amp;IF($F$6="",""," "&amp;INDEX($A:$U,ROW(),$F$6))))</f>
        <v/>
      </c>
      <c r="AB1823" s="31">
        <f>IF($AA1823="","",SUBSTITUTE(SUBSTITUTE(SUBSTITUTE(SUBSTITUTE(SUBSTITUTE(SUBSTITUTE(SUBSTITUTE(SUBSTITUTE(SUBSTITUTE($AA1823," ",""),"　",""),"(주)",""),"（주）",""),"㈜",""),"주식회사",""),"(유)",""),"（유）",""),"유한회사",""))</f>
        <v/>
      </c>
      <c r="AC1823" s="31">
        <f>IF(OR($Y1823="",N($Z1823)&lt;=0,$AB1823=""),0,IFERROR(LOOKUP(2,1/((거래처별!$AC$8:$AC$307&lt;&gt;"")*ISNUMBER(SEARCH(거래처별!$AC$8:$AC$307,$AB1823))),거래처별!$A$8:$A$307),IFERROR(LOOKUP(2,1/((거래처별!$AD$8:$AD$307&lt;&gt;"")*ISNUMBER(SEARCH(거래처별!$AD$8:$AD$307,$AB1823))),거래처별!$A$8:$A$307),IFERROR(LOOKUP(2,1/((거래처별!$AE$8:$AE$307&lt;&gt;"")*ISNUMBER(SEARCH(거래처별!$AE$8:$AE$307,$AB1823))),거래처별!$A$8:$A$307),0))))</f>
        <v/>
      </c>
      <c r="AD1823" s="31">
        <f>IF(AND($Y1823&lt;&gt;"",N($Z1823)&gt;0,$AC1823=0),MAX($AD$7:$AD1822)+1,"")</f>
        <v/>
      </c>
      <c r="AE1823" s="31">
        <f>IF($Y1823="",0,$Y1823)</f>
        <v/>
      </c>
    </row>
    <row r="1824">
      <c r="W1824" s="31">
        <f>IF(OR($B$5="",$C$6="",ROW()&lt;$B$5),"",IF(INDEX($A:$U,ROW(),$C$6)="","",INDEX($A:$U,ROW(),$C$6)))</f>
        <v/>
      </c>
      <c r="X1824" s="32">
        <f>IF($W1824="","",IF(ISNUMBER($W1824),IF($W1824&gt;=10000000,IFERROR(DATE(INT($W1824/10000),MOD(INT($W1824/100),100),MOD($W1824,100)),""),INT($W1824)),IFERROR(DATE(--LEFT(LEFT(SUBSTITUTE(SUBSTITUTE(SUBSTITUTE(SUBSTITUTE(TRIM($W1824),"-",""),".",""),"/","")," ",""),8),4),--MID(LEFT(SUBSTITUTE(SUBSTITUTE(SUBSTITUTE(SUBSTITUTE(TRIM($W1824),"-",""),".",""),"/","")," ",""),8),5,2),--MID(LEFT(SUBSTITUTE(SUBSTITUTE(SUBSTITUTE(SUBSTITUTE(TRIM($W1824),"-",""),".",""),"/","")," ",""),8),7,2)),"")))</f>
        <v/>
      </c>
      <c r="Y1824" s="32">
        <f>IF($X1824="","",INT($X1824))</f>
        <v/>
      </c>
      <c r="Z1824" s="33">
        <f>IF(OR($Y1824="",$D$6=""),"",IF(INDEX($A:$U,ROW(),$D$6)="",0,IF(ISNUMBER(INDEX($A:$U,ROW(),$D$6)),INDEX($A:$U,ROW(),$D$6),IFERROR(--SUBSTITUTE(SUBSTITUTE(TRIM(INDEX($A:$U,ROW(),$D$6)),",",""),"원",""),0))))</f>
        <v/>
      </c>
      <c r="AA1824" s="31">
        <f>IF($Y1824="","",TRIM(INDEX($A:$U,ROW(),$E$6)&amp;IF($F$6="",""," "&amp;INDEX($A:$U,ROW(),$F$6))))</f>
        <v/>
      </c>
      <c r="AB1824" s="31">
        <f>IF($AA1824="","",SUBSTITUTE(SUBSTITUTE(SUBSTITUTE(SUBSTITUTE(SUBSTITUTE(SUBSTITUTE(SUBSTITUTE(SUBSTITUTE(SUBSTITUTE($AA1824," ",""),"　",""),"(주)",""),"（주）",""),"㈜",""),"주식회사",""),"(유)",""),"（유）",""),"유한회사",""))</f>
        <v/>
      </c>
      <c r="AC1824" s="31">
        <f>IF(OR($Y1824="",N($Z1824)&lt;=0,$AB1824=""),0,IFERROR(LOOKUP(2,1/((거래처별!$AC$8:$AC$307&lt;&gt;"")*ISNUMBER(SEARCH(거래처별!$AC$8:$AC$307,$AB1824))),거래처별!$A$8:$A$307),IFERROR(LOOKUP(2,1/((거래처별!$AD$8:$AD$307&lt;&gt;"")*ISNUMBER(SEARCH(거래처별!$AD$8:$AD$307,$AB1824))),거래처별!$A$8:$A$307),IFERROR(LOOKUP(2,1/((거래처별!$AE$8:$AE$307&lt;&gt;"")*ISNUMBER(SEARCH(거래처별!$AE$8:$AE$307,$AB1824))),거래처별!$A$8:$A$307),0))))</f>
        <v/>
      </c>
      <c r="AD1824" s="31">
        <f>IF(AND($Y1824&lt;&gt;"",N($Z1824)&gt;0,$AC1824=0),MAX($AD$7:$AD1823)+1,"")</f>
        <v/>
      </c>
      <c r="AE1824" s="31">
        <f>IF($Y1824="",0,$Y1824)</f>
        <v/>
      </c>
    </row>
    <row r="1825">
      <c r="W1825" s="31">
        <f>IF(OR($B$5="",$C$6="",ROW()&lt;$B$5),"",IF(INDEX($A:$U,ROW(),$C$6)="","",INDEX($A:$U,ROW(),$C$6)))</f>
        <v/>
      </c>
      <c r="X1825" s="32">
        <f>IF($W1825="","",IF(ISNUMBER($W1825),IF($W1825&gt;=10000000,IFERROR(DATE(INT($W1825/10000),MOD(INT($W1825/100),100),MOD($W1825,100)),""),INT($W1825)),IFERROR(DATE(--LEFT(LEFT(SUBSTITUTE(SUBSTITUTE(SUBSTITUTE(SUBSTITUTE(TRIM($W1825),"-",""),".",""),"/","")," ",""),8),4),--MID(LEFT(SUBSTITUTE(SUBSTITUTE(SUBSTITUTE(SUBSTITUTE(TRIM($W1825),"-",""),".",""),"/","")," ",""),8),5,2),--MID(LEFT(SUBSTITUTE(SUBSTITUTE(SUBSTITUTE(SUBSTITUTE(TRIM($W1825),"-",""),".",""),"/","")," ",""),8),7,2)),"")))</f>
        <v/>
      </c>
      <c r="Y1825" s="32">
        <f>IF($X1825="","",INT($X1825))</f>
        <v/>
      </c>
      <c r="Z1825" s="33">
        <f>IF(OR($Y1825="",$D$6=""),"",IF(INDEX($A:$U,ROW(),$D$6)="",0,IF(ISNUMBER(INDEX($A:$U,ROW(),$D$6)),INDEX($A:$U,ROW(),$D$6),IFERROR(--SUBSTITUTE(SUBSTITUTE(TRIM(INDEX($A:$U,ROW(),$D$6)),",",""),"원",""),0))))</f>
        <v/>
      </c>
      <c r="AA1825" s="31">
        <f>IF($Y1825="","",TRIM(INDEX($A:$U,ROW(),$E$6)&amp;IF($F$6="",""," "&amp;INDEX($A:$U,ROW(),$F$6))))</f>
        <v/>
      </c>
      <c r="AB1825" s="31">
        <f>IF($AA1825="","",SUBSTITUTE(SUBSTITUTE(SUBSTITUTE(SUBSTITUTE(SUBSTITUTE(SUBSTITUTE(SUBSTITUTE(SUBSTITUTE(SUBSTITUTE($AA1825," ",""),"　",""),"(주)",""),"（주）",""),"㈜",""),"주식회사",""),"(유)",""),"（유）",""),"유한회사",""))</f>
        <v/>
      </c>
      <c r="AC1825" s="31">
        <f>IF(OR($Y1825="",N($Z1825)&lt;=0,$AB1825=""),0,IFERROR(LOOKUP(2,1/((거래처별!$AC$8:$AC$307&lt;&gt;"")*ISNUMBER(SEARCH(거래처별!$AC$8:$AC$307,$AB1825))),거래처별!$A$8:$A$307),IFERROR(LOOKUP(2,1/((거래처별!$AD$8:$AD$307&lt;&gt;"")*ISNUMBER(SEARCH(거래처별!$AD$8:$AD$307,$AB1825))),거래처별!$A$8:$A$307),IFERROR(LOOKUP(2,1/((거래처별!$AE$8:$AE$307&lt;&gt;"")*ISNUMBER(SEARCH(거래처별!$AE$8:$AE$307,$AB1825))),거래처별!$A$8:$A$307),0))))</f>
        <v/>
      </c>
      <c r="AD1825" s="31">
        <f>IF(AND($Y1825&lt;&gt;"",N($Z1825)&gt;0,$AC1825=0),MAX($AD$7:$AD1824)+1,"")</f>
        <v/>
      </c>
      <c r="AE1825" s="31">
        <f>IF($Y1825="",0,$Y1825)</f>
        <v/>
      </c>
    </row>
    <row r="1826">
      <c r="W1826" s="31">
        <f>IF(OR($B$5="",$C$6="",ROW()&lt;$B$5),"",IF(INDEX($A:$U,ROW(),$C$6)="","",INDEX($A:$U,ROW(),$C$6)))</f>
        <v/>
      </c>
      <c r="X1826" s="32">
        <f>IF($W1826="","",IF(ISNUMBER($W1826),IF($W1826&gt;=10000000,IFERROR(DATE(INT($W1826/10000),MOD(INT($W1826/100),100),MOD($W1826,100)),""),INT($W1826)),IFERROR(DATE(--LEFT(LEFT(SUBSTITUTE(SUBSTITUTE(SUBSTITUTE(SUBSTITUTE(TRIM($W1826),"-",""),".",""),"/","")," ",""),8),4),--MID(LEFT(SUBSTITUTE(SUBSTITUTE(SUBSTITUTE(SUBSTITUTE(TRIM($W1826),"-",""),".",""),"/","")," ",""),8),5,2),--MID(LEFT(SUBSTITUTE(SUBSTITUTE(SUBSTITUTE(SUBSTITUTE(TRIM($W1826),"-",""),".",""),"/","")," ",""),8),7,2)),"")))</f>
        <v/>
      </c>
      <c r="Y1826" s="32">
        <f>IF($X1826="","",INT($X1826))</f>
        <v/>
      </c>
      <c r="Z1826" s="33">
        <f>IF(OR($Y1826="",$D$6=""),"",IF(INDEX($A:$U,ROW(),$D$6)="",0,IF(ISNUMBER(INDEX($A:$U,ROW(),$D$6)),INDEX($A:$U,ROW(),$D$6),IFERROR(--SUBSTITUTE(SUBSTITUTE(TRIM(INDEX($A:$U,ROW(),$D$6)),",",""),"원",""),0))))</f>
        <v/>
      </c>
      <c r="AA1826" s="31">
        <f>IF($Y1826="","",TRIM(INDEX($A:$U,ROW(),$E$6)&amp;IF($F$6="",""," "&amp;INDEX($A:$U,ROW(),$F$6))))</f>
        <v/>
      </c>
      <c r="AB1826" s="31">
        <f>IF($AA1826="","",SUBSTITUTE(SUBSTITUTE(SUBSTITUTE(SUBSTITUTE(SUBSTITUTE(SUBSTITUTE(SUBSTITUTE(SUBSTITUTE(SUBSTITUTE($AA1826," ",""),"　",""),"(주)",""),"（주）",""),"㈜",""),"주식회사",""),"(유)",""),"（유）",""),"유한회사",""))</f>
        <v/>
      </c>
      <c r="AC1826" s="31">
        <f>IF(OR($Y1826="",N($Z1826)&lt;=0,$AB1826=""),0,IFERROR(LOOKUP(2,1/((거래처별!$AC$8:$AC$307&lt;&gt;"")*ISNUMBER(SEARCH(거래처별!$AC$8:$AC$307,$AB1826))),거래처별!$A$8:$A$307),IFERROR(LOOKUP(2,1/((거래처별!$AD$8:$AD$307&lt;&gt;"")*ISNUMBER(SEARCH(거래처별!$AD$8:$AD$307,$AB1826))),거래처별!$A$8:$A$307),IFERROR(LOOKUP(2,1/((거래처별!$AE$8:$AE$307&lt;&gt;"")*ISNUMBER(SEARCH(거래처별!$AE$8:$AE$307,$AB1826))),거래처별!$A$8:$A$307),0))))</f>
        <v/>
      </c>
      <c r="AD1826" s="31">
        <f>IF(AND($Y1826&lt;&gt;"",N($Z1826)&gt;0,$AC1826=0),MAX($AD$7:$AD1825)+1,"")</f>
        <v/>
      </c>
      <c r="AE1826" s="31">
        <f>IF($Y1826="",0,$Y1826)</f>
        <v/>
      </c>
    </row>
    <row r="1827">
      <c r="W1827" s="31">
        <f>IF(OR($B$5="",$C$6="",ROW()&lt;$B$5),"",IF(INDEX($A:$U,ROW(),$C$6)="","",INDEX($A:$U,ROW(),$C$6)))</f>
        <v/>
      </c>
      <c r="X1827" s="32">
        <f>IF($W1827="","",IF(ISNUMBER($W1827),IF($W1827&gt;=10000000,IFERROR(DATE(INT($W1827/10000),MOD(INT($W1827/100),100),MOD($W1827,100)),""),INT($W1827)),IFERROR(DATE(--LEFT(LEFT(SUBSTITUTE(SUBSTITUTE(SUBSTITUTE(SUBSTITUTE(TRIM($W1827),"-",""),".",""),"/","")," ",""),8),4),--MID(LEFT(SUBSTITUTE(SUBSTITUTE(SUBSTITUTE(SUBSTITUTE(TRIM($W1827),"-",""),".",""),"/","")," ",""),8),5,2),--MID(LEFT(SUBSTITUTE(SUBSTITUTE(SUBSTITUTE(SUBSTITUTE(TRIM($W1827),"-",""),".",""),"/","")," ",""),8),7,2)),"")))</f>
        <v/>
      </c>
      <c r="Y1827" s="32">
        <f>IF($X1827="","",INT($X1827))</f>
        <v/>
      </c>
      <c r="Z1827" s="33">
        <f>IF(OR($Y1827="",$D$6=""),"",IF(INDEX($A:$U,ROW(),$D$6)="",0,IF(ISNUMBER(INDEX($A:$U,ROW(),$D$6)),INDEX($A:$U,ROW(),$D$6),IFERROR(--SUBSTITUTE(SUBSTITUTE(TRIM(INDEX($A:$U,ROW(),$D$6)),",",""),"원",""),0))))</f>
        <v/>
      </c>
      <c r="AA1827" s="31">
        <f>IF($Y1827="","",TRIM(INDEX($A:$U,ROW(),$E$6)&amp;IF($F$6="",""," "&amp;INDEX($A:$U,ROW(),$F$6))))</f>
        <v/>
      </c>
      <c r="AB1827" s="31">
        <f>IF($AA1827="","",SUBSTITUTE(SUBSTITUTE(SUBSTITUTE(SUBSTITUTE(SUBSTITUTE(SUBSTITUTE(SUBSTITUTE(SUBSTITUTE(SUBSTITUTE($AA1827," ",""),"　",""),"(주)",""),"（주）",""),"㈜",""),"주식회사",""),"(유)",""),"（유）",""),"유한회사",""))</f>
        <v/>
      </c>
      <c r="AC1827" s="31">
        <f>IF(OR($Y1827="",N($Z1827)&lt;=0,$AB1827=""),0,IFERROR(LOOKUP(2,1/((거래처별!$AC$8:$AC$307&lt;&gt;"")*ISNUMBER(SEARCH(거래처별!$AC$8:$AC$307,$AB1827))),거래처별!$A$8:$A$307),IFERROR(LOOKUP(2,1/((거래처별!$AD$8:$AD$307&lt;&gt;"")*ISNUMBER(SEARCH(거래처별!$AD$8:$AD$307,$AB1827))),거래처별!$A$8:$A$307),IFERROR(LOOKUP(2,1/((거래처별!$AE$8:$AE$307&lt;&gt;"")*ISNUMBER(SEARCH(거래처별!$AE$8:$AE$307,$AB1827))),거래처별!$A$8:$A$307),0))))</f>
        <v/>
      </c>
      <c r="AD1827" s="31">
        <f>IF(AND($Y1827&lt;&gt;"",N($Z1827)&gt;0,$AC1827=0),MAX($AD$7:$AD1826)+1,"")</f>
        <v/>
      </c>
      <c r="AE1827" s="31">
        <f>IF($Y1827="",0,$Y1827)</f>
        <v/>
      </c>
    </row>
    <row r="1828">
      <c r="W1828" s="31">
        <f>IF(OR($B$5="",$C$6="",ROW()&lt;$B$5),"",IF(INDEX($A:$U,ROW(),$C$6)="","",INDEX($A:$U,ROW(),$C$6)))</f>
        <v/>
      </c>
      <c r="X1828" s="32">
        <f>IF($W1828="","",IF(ISNUMBER($W1828),IF($W1828&gt;=10000000,IFERROR(DATE(INT($W1828/10000),MOD(INT($W1828/100),100),MOD($W1828,100)),""),INT($W1828)),IFERROR(DATE(--LEFT(LEFT(SUBSTITUTE(SUBSTITUTE(SUBSTITUTE(SUBSTITUTE(TRIM($W1828),"-",""),".",""),"/","")," ",""),8),4),--MID(LEFT(SUBSTITUTE(SUBSTITUTE(SUBSTITUTE(SUBSTITUTE(TRIM($W1828),"-",""),".",""),"/","")," ",""),8),5,2),--MID(LEFT(SUBSTITUTE(SUBSTITUTE(SUBSTITUTE(SUBSTITUTE(TRIM($W1828),"-",""),".",""),"/","")," ",""),8),7,2)),"")))</f>
        <v/>
      </c>
      <c r="Y1828" s="32">
        <f>IF($X1828="","",INT($X1828))</f>
        <v/>
      </c>
      <c r="Z1828" s="33">
        <f>IF(OR($Y1828="",$D$6=""),"",IF(INDEX($A:$U,ROW(),$D$6)="",0,IF(ISNUMBER(INDEX($A:$U,ROW(),$D$6)),INDEX($A:$U,ROW(),$D$6),IFERROR(--SUBSTITUTE(SUBSTITUTE(TRIM(INDEX($A:$U,ROW(),$D$6)),",",""),"원",""),0))))</f>
        <v/>
      </c>
      <c r="AA1828" s="31">
        <f>IF($Y1828="","",TRIM(INDEX($A:$U,ROW(),$E$6)&amp;IF($F$6="",""," "&amp;INDEX($A:$U,ROW(),$F$6))))</f>
        <v/>
      </c>
      <c r="AB1828" s="31">
        <f>IF($AA1828="","",SUBSTITUTE(SUBSTITUTE(SUBSTITUTE(SUBSTITUTE(SUBSTITUTE(SUBSTITUTE(SUBSTITUTE(SUBSTITUTE(SUBSTITUTE($AA1828," ",""),"　",""),"(주)",""),"（주）",""),"㈜",""),"주식회사",""),"(유)",""),"（유）",""),"유한회사",""))</f>
        <v/>
      </c>
      <c r="AC1828" s="31">
        <f>IF(OR($Y1828="",N($Z1828)&lt;=0,$AB1828=""),0,IFERROR(LOOKUP(2,1/((거래처별!$AC$8:$AC$307&lt;&gt;"")*ISNUMBER(SEARCH(거래처별!$AC$8:$AC$307,$AB1828))),거래처별!$A$8:$A$307),IFERROR(LOOKUP(2,1/((거래처별!$AD$8:$AD$307&lt;&gt;"")*ISNUMBER(SEARCH(거래처별!$AD$8:$AD$307,$AB1828))),거래처별!$A$8:$A$307),IFERROR(LOOKUP(2,1/((거래처별!$AE$8:$AE$307&lt;&gt;"")*ISNUMBER(SEARCH(거래처별!$AE$8:$AE$307,$AB1828))),거래처별!$A$8:$A$307),0))))</f>
        <v/>
      </c>
      <c r="AD1828" s="31">
        <f>IF(AND($Y1828&lt;&gt;"",N($Z1828)&gt;0,$AC1828=0),MAX($AD$7:$AD1827)+1,"")</f>
        <v/>
      </c>
      <c r="AE1828" s="31">
        <f>IF($Y1828="",0,$Y1828)</f>
        <v/>
      </c>
    </row>
    <row r="1829">
      <c r="W1829" s="31">
        <f>IF(OR($B$5="",$C$6="",ROW()&lt;$B$5),"",IF(INDEX($A:$U,ROW(),$C$6)="","",INDEX($A:$U,ROW(),$C$6)))</f>
        <v/>
      </c>
      <c r="X1829" s="32">
        <f>IF($W1829="","",IF(ISNUMBER($W1829),IF($W1829&gt;=10000000,IFERROR(DATE(INT($W1829/10000),MOD(INT($W1829/100),100),MOD($W1829,100)),""),INT($W1829)),IFERROR(DATE(--LEFT(LEFT(SUBSTITUTE(SUBSTITUTE(SUBSTITUTE(SUBSTITUTE(TRIM($W1829),"-",""),".",""),"/","")," ",""),8),4),--MID(LEFT(SUBSTITUTE(SUBSTITUTE(SUBSTITUTE(SUBSTITUTE(TRIM($W1829),"-",""),".",""),"/","")," ",""),8),5,2),--MID(LEFT(SUBSTITUTE(SUBSTITUTE(SUBSTITUTE(SUBSTITUTE(TRIM($W1829),"-",""),".",""),"/","")," ",""),8),7,2)),"")))</f>
        <v/>
      </c>
      <c r="Y1829" s="32">
        <f>IF($X1829="","",INT($X1829))</f>
        <v/>
      </c>
      <c r="Z1829" s="33">
        <f>IF(OR($Y1829="",$D$6=""),"",IF(INDEX($A:$U,ROW(),$D$6)="",0,IF(ISNUMBER(INDEX($A:$U,ROW(),$D$6)),INDEX($A:$U,ROW(),$D$6),IFERROR(--SUBSTITUTE(SUBSTITUTE(TRIM(INDEX($A:$U,ROW(),$D$6)),",",""),"원",""),0))))</f>
        <v/>
      </c>
      <c r="AA1829" s="31">
        <f>IF($Y1829="","",TRIM(INDEX($A:$U,ROW(),$E$6)&amp;IF($F$6="",""," "&amp;INDEX($A:$U,ROW(),$F$6))))</f>
        <v/>
      </c>
      <c r="AB1829" s="31">
        <f>IF($AA1829="","",SUBSTITUTE(SUBSTITUTE(SUBSTITUTE(SUBSTITUTE(SUBSTITUTE(SUBSTITUTE(SUBSTITUTE(SUBSTITUTE(SUBSTITUTE($AA1829," ",""),"　",""),"(주)",""),"（주）",""),"㈜",""),"주식회사",""),"(유)",""),"（유）",""),"유한회사",""))</f>
        <v/>
      </c>
      <c r="AC1829" s="31">
        <f>IF(OR($Y1829="",N($Z1829)&lt;=0,$AB1829=""),0,IFERROR(LOOKUP(2,1/((거래처별!$AC$8:$AC$307&lt;&gt;"")*ISNUMBER(SEARCH(거래처별!$AC$8:$AC$307,$AB1829))),거래처별!$A$8:$A$307),IFERROR(LOOKUP(2,1/((거래처별!$AD$8:$AD$307&lt;&gt;"")*ISNUMBER(SEARCH(거래처별!$AD$8:$AD$307,$AB1829))),거래처별!$A$8:$A$307),IFERROR(LOOKUP(2,1/((거래처별!$AE$8:$AE$307&lt;&gt;"")*ISNUMBER(SEARCH(거래처별!$AE$8:$AE$307,$AB1829))),거래처별!$A$8:$A$307),0))))</f>
        <v/>
      </c>
      <c r="AD1829" s="31">
        <f>IF(AND($Y1829&lt;&gt;"",N($Z1829)&gt;0,$AC1829=0),MAX($AD$7:$AD1828)+1,"")</f>
        <v/>
      </c>
      <c r="AE1829" s="31">
        <f>IF($Y1829="",0,$Y1829)</f>
        <v/>
      </c>
    </row>
    <row r="1830">
      <c r="W1830" s="31">
        <f>IF(OR($B$5="",$C$6="",ROW()&lt;$B$5),"",IF(INDEX($A:$U,ROW(),$C$6)="","",INDEX($A:$U,ROW(),$C$6)))</f>
        <v/>
      </c>
      <c r="X1830" s="32">
        <f>IF($W1830="","",IF(ISNUMBER($W1830),IF($W1830&gt;=10000000,IFERROR(DATE(INT($W1830/10000),MOD(INT($W1830/100),100),MOD($W1830,100)),""),INT($W1830)),IFERROR(DATE(--LEFT(LEFT(SUBSTITUTE(SUBSTITUTE(SUBSTITUTE(SUBSTITUTE(TRIM($W1830),"-",""),".",""),"/","")," ",""),8),4),--MID(LEFT(SUBSTITUTE(SUBSTITUTE(SUBSTITUTE(SUBSTITUTE(TRIM($W1830),"-",""),".",""),"/","")," ",""),8),5,2),--MID(LEFT(SUBSTITUTE(SUBSTITUTE(SUBSTITUTE(SUBSTITUTE(TRIM($W1830),"-",""),".",""),"/","")," ",""),8),7,2)),"")))</f>
        <v/>
      </c>
      <c r="Y1830" s="32">
        <f>IF($X1830="","",INT($X1830))</f>
        <v/>
      </c>
      <c r="Z1830" s="33">
        <f>IF(OR($Y1830="",$D$6=""),"",IF(INDEX($A:$U,ROW(),$D$6)="",0,IF(ISNUMBER(INDEX($A:$U,ROW(),$D$6)),INDEX($A:$U,ROW(),$D$6),IFERROR(--SUBSTITUTE(SUBSTITUTE(TRIM(INDEX($A:$U,ROW(),$D$6)),",",""),"원",""),0))))</f>
        <v/>
      </c>
      <c r="AA1830" s="31">
        <f>IF($Y1830="","",TRIM(INDEX($A:$U,ROW(),$E$6)&amp;IF($F$6="",""," "&amp;INDEX($A:$U,ROW(),$F$6))))</f>
        <v/>
      </c>
      <c r="AB1830" s="31">
        <f>IF($AA1830="","",SUBSTITUTE(SUBSTITUTE(SUBSTITUTE(SUBSTITUTE(SUBSTITUTE(SUBSTITUTE(SUBSTITUTE(SUBSTITUTE(SUBSTITUTE($AA1830," ",""),"　",""),"(주)",""),"（주）",""),"㈜",""),"주식회사",""),"(유)",""),"（유）",""),"유한회사",""))</f>
        <v/>
      </c>
      <c r="AC1830" s="31">
        <f>IF(OR($Y1830="",N($Z1830)&lt;=0,$AB1830=""),0,IFERROR(LOOKUP(2,1/((거래처별!$AC$8:$AC$307&lt;&gt;"")*ISNUMBER(SEARCH(거래처별!$AC$8:$AC$307,$AB1830))),거래처별!$A$8:$A$307),IFERROR(LOOKUP(2,1/((거래처별!$AD$8:$AD$307&lt;&gt;"")*ISNUMBER(SEARCH(거래처별!$AD$8:$AD$307,$AB1830))),거래처별!$A$8:$A$307),IFERROR(LOOKUP(2,1/((거래처별!$AE$8:$AE$307&lt;&gt;"")*ISNUMBER(SEARCH(거래처별!$AE$8:$AE$307,$AB1830))),거래처별!$A$8:$A$307),0))))</f>
        <v/>
      </c>
      <c r="AD1830" s="31">
        <f>IF(AND($Y1830&lt;&gt;"",N($Z1830)&gt;0,$AC1830=0),MAX($AD$7:$AD1829)+1,"")</f>
        <v/>
      </c>
      <c r="AE1830" s="31">
        <f>IF($Y1830="",0,$Y1830)</f>
        <v/>
      </c>
    </row>
    <row r="1831">
      <c r="W1831" s="31">
        <f>IF(OR($B$5="",$C$6="",ROW()&lt;$B$5),"",IF(INDEX($A:$U,ROW(),$C$6)="","",INDEX($A:$U,ROW(),$C$6)))</f>
        <v/>
      </c>
      <c r="X1831" s="32">
        <f>IF($W1831="","",IF(ISNUMBER($W1831),IF($W1831&gt;=10000000,IFERROR(DATE(INT($W1831/10000),MOD(INT($W1831/100),100),MOD($W1831,100)),""),INT($W1831)),IFERROR(DATE(--LEFT(LEFT(SUBSTITUTE(SUBSTITUTE(SUBSTITUTE(SUBSTITUTE(TRIM($W1831),"-",""),".",""),"/","")," ",""),8),4),--MID(LEFT(SUBSTITUTE(SUBSTITUTE(SUBSTITUTE(SUBSTITUTE(TRIM($W1831),"-",""),".",""),"/","")," ",""),8),5,2),--MID(LEFT(SUBSTITUTE(SUBSTITUTE(SUBSTITUTE(SUBSTITUTE(TRIM($W1831),"-",""),".",""),"/","")," ",""),8),7,2)),"")))</f>
        <v/>
      </c>
      <c r="Y1831" s="32">
        <f>IF($X1831="","",INT($X1831))</f>
        <v/>
      </c>
      <c r="Z1831" s="33">
        <f>IF(OR($Y1831="",$D$6=""),"",IF(INDEX($A:$U,ROW(),$D$6)="",0,IF(ISNUMBER(INDEX($A:$U,ROW(),$D$6)),INDEX($A:$U,ROW(),$D$6),IFERROR(--SUBSTITUTE(SUBSTITUTE(TRIM(INDEX($A:$U,ROW(),$D$6)),",",""),"원",""),0))))</f>
        <v/>
      </c>
      <c r="AA1831" s="31">
        <f>IF($Y1831="","",TRIM(INDEX($A:$U,ROW(),$E$6)&amp;IF($F$6="",""," "&amp;INDEX($A:$U,ROW(),$F$6))))</f>
        <v/>
      </c>
      <c r="AB1831" s="31">
        <f>IF($AA1831="","",SUBSTITUTE(SUBSTITUTE(SUBSTITUTE(SUBSTITUTE(SUBSTITUTE(SUBSTITUTE(SUBSTITUTE(SUBSTITUTE(SUBSTITUTE($AA1831," ",""),"　",""),"(주)",""),"（주）",""),"㈜",""),"주식회사",""),"(유)",""),"（유）",""),"유한회사",""))</f>
        <v/>
      </c>
      <c r="AC1831" s="31">
        <f>IF(OR($Y1831="",N($Z1831)&lt;=0,$AB1831=""),0,IFERROR(LOOKUP(2,1/((거래처별!$AC$8:$AC$307&lt;&gt;"")*ISNUMBER(SEARCH(거래처별!$AC$8:$AC$307,$AB1831))),거래처별!$A$8:$A$307),IFERROR(LOOKUP(2,1/((거래처별!$AD$8:$AD$307&lt;&gt;"")*ISNUMBER(SEARCH(거래처별!$AD$8:$AD$307,$AB1831))),거래처별!$A$8:$A$307),IFERROR(LOOKUP(2,1/((거래처별!$AE$8:$AE$307&lt;&gt;"")*ISNUMBER(SEARCH(거래처별!$AE$8:$AE$307,$AB1831))),거래처별!$A$8:$A$307),0))))</f>
        <v/>
      </c>
      <c r="AD1831" s="31">
        <f>IF(AND($Y1831&lt;&gt;"",N($Z1831)&gt;0,$AC1831=0),MAX($AD$7:$AD1830)+1,"")</f>
        <v/>
      </c>
      <c r="AE1831" s="31">
        <f>IF($Y1831="",0,$Y1831)</f>
        <v/>
      </c>
    </row>
    <row r="1832">
      <c r="W1832" s="31">
        <f>IF(OR($B$5="",$C$6="",ROW()&lt;$B$5),"",IF(INDEX($A:$U,ROW(),$C$6)="","",INDEX($A:$U,ROW(),$C$6)))</f>
        <v/>
      </c>
      <c r="X1832" s="32">
        <f>IF($W1832="","",IF(ISNUMBER($W1832),IF($W1832&gt;=10000000,IFERROR(DATE(INT($W1832/10000),MOD(INT($W1832/100),100),MOD($W1832,100)),""),INT($W1832)),IFERROR(DATE(--LEFT(LEFT(SUBSTITUTE(SUBSTITUTE(SUBSTITUTE(SUBSTITUTE(TRIM($W1832),"-",""),".",""),"/","")," ",""),8),4),--MID(LEFT(SUBSTITUTE(SUBSTITUTE(SUBSTITUTE(SUBSTITUTE(TRIM($W1832),"-",""),".",""),"/","")," ",""),8),5,2),--MID(LEFT(SUBSTITUTE(SUBSTITUTE(SUBSTITUTE(SUBSTITUTE(TRIM($W1832),"-",""),".",""),"/","")," ",""),8),7,2)),"")))</f>
        <v/>
      </c>
      <c r="Y1832" s="32">
        <f>IF($X1832="","",INT($X1832))</f>
        <v/>
      </c>
      <c r="Z1832" s="33">
        <f>IF(OR($Y1832="",$D$6=""),"",IF(INDEX($A:$U,ROW(),$D$6)="",0,IF(ISNUMBER(INDEX($A:$U,ROW(),$D$6)),INDEX($A:$U,ROW(),$D$6),IFERROR(--SUBSTITUTE(SUBSTITUTE(TRIM(INDEX($A:$U,ROW(),$D$6)),",",""),"원",""),0))))</f>
        <v/>
      </c>
      <c r="AA1832" s="31">
        <f>IF($Y1832="","",TRIM(INDEX($A:$U,ROW(),$E$6)&amp;IF($F$6="",""," "&amp;INDEX($A:$U,ROW(),$F$6))))</f>
        <v/>
      </c>
      <c r="AB1832" s="31">
        <f>IF($AA1832="","",SUBSTITUTE(SUBSTITUTE(SUBSTITUTE(SUBSTITUTE(SUBSTITUTE(SUBSTITUTE(SUBSTITUTE(SUBSTITUTE(SUBSTITUTE($AA1832," ",""),"　",""),"(주)",""),"（주）",""),"㈜",""),"주식회사",""),"(유)",""),"（유）",""),"유한회사",""))</f>
        <v/>
      </c>
      <c r="AC1832" s="31">
        <f>IF(OR($Y1832="",N($Z1832)&lt;=0,$AB1832=""),0,IFERROR(LOOKUP(2,1/((거래처별!$AC$8:$AC$307&lt;&gt;"")*ISNUMBER(SEARCH(거래처별!$AC$8:$AC$307,$AB1832))),거래처별!$A$8:$A$307),IFERROR(LOOKUP(2,1/((거래처별!$AD$8:$AD$307&lt;&gt;"")*ISNUMBER(SEARCH(거래처별!$AD$8:$AD$307,$AB1832))),거래처별!$A$8:$A$307),IFERROR(LOOKUP(2,1/((거래처별!$AE$8:$AE$307&lt;&gt;"")*ISNUMBER(SEARCH(거래처별!$AE$8:$AE$307,$AB1832))),거래처별!$A$8:$A$307),0))))</f>
        <v/>
      </c>
      <c r="AD1832" s="31">
        <f>IF(AND($Y1832&lt;&gt;"",N($Z1832)&gt;0,$AC1832=0),MAX($AD$7:$AD1831)+1,"")</f>
        <v/>
      </c>
      <c r="AE1832" s="31">
        <f>IF($Y1832="",0,$Y1832)</f>
        <v/>
      </c>
    </row>
    <row r="1833">
      <c r="W1833" s="31">
        <f>IF(OR($B$5="",$C$6="",ROW()&lt;$B$5),"",IF(INDEX($A:$U,ROW(),$C$6)="","",INDEX($A:$U,ROW(),$C$6)))</f>
        <v/>
      </c>
      <c r="X1833" s="32">
        <f>IF($W1833="","",IF(ISNUMBER($W1833),IF($W1833&gt;=10000000,IFERROR(DATE(INT($W1833/10000),MOD(INT($W1833/100),100),MOD($W1833,100)),""),INT($W1833)),IFERROR(DATE(--LEFT(LEFT(SUBSTITUTE(SUBSTITUTE(SUBSTITUTE(SUBSTITUTE(TRIM($W1833),"-",""),".",""),"/","")," ",""),8),4),--MID(LEFT(SUBSTITUTE(SUBSTITUTE(SUBSTITUTE(SUBSTITUTE(TRIM($W1833),"-",""),".",""),"/","")," ",""),8),5,2),--MID(LEFT(SUBSTITUTE(SUBSTITUTE(SUBSTITUTE(SUBSTITUTE(TRIM($W1833),"-",""),".",""),"/","")," ",""),8),7,2)),"")))</f>
        <v/>
      </c>
      <c r="Y1833" s="32">
        <f>IF($X1833="","",INT($X1833))</f>
        <v/>
      </c>
      <c r="Z1833" s="33">
        <f>IF(OR($Y1833="",$D$6=""),"",IF(INDEX($A:$U,ROW(),$D$6)="",0,IF(ISNUMBER(INDEX($A:$U,ROW(),$D$6)),INDEX($A:$U,ROW(),$D$6),IFERROR(--SUBSTITUTE(SUBSTITUTE(TRIM(INDEX($A:$U,ROW(),$D$6)),",",""),"원",""),0))))</f>
        <v/>
      </c>
      <c r="AA1833" s="31">
        <f>IF($Y1833="","",TRIM(INDEX($A:$U,ROW(),$E$6)&amp;IF($F$6="",""," "&amp;INDEX($A:$U,ROW(),$F$6))))</f>
        <v/>
      </c>
      <c r="AB1833" s="31">
        <f>IF($AA1833="","",SUBSTITUTE(SUBSTITUTE(SUBSTITUTE(SUBSTITUTE(SUBSTITUTE(SUBSTITUTE(SUBSTITUTE(SUBSTITUTE(SUBSTITUTE($AA1833," ",""),"　",""),"(주)",""),"（주）",""),"㈜",""),"주식회사",""),"(유)",""),"（유）",""),"유한회사",""))</f>
        <v/>
      </c>
      <c r="AC1833" s="31">
        <f>IF(OR($Y1833="",N($Z1833)&lt;=0,$AB1833=""),0,IFERROR(LOOKUP(2,1/((거래처별!$AC$8:$AC$307&lt;&gt;"")*ISNUMBER(SEARCH(거래처별!$AC$8:$AC$307,$AB1833))),거래처별!$A$8:$A$307),IFERROR(LOOKUP(2,1/((거래처별!$AD$8:$AD$307&lt;&gt;"")*ISNUMBER(SEARCH(거래처별!$AD$8:$AD$307,$AB1833))),거래처별!$A$8:$A$307),IFERROR(LOOKUP(2,1/((거래처별!$AE$8:$AE$307&lt;&gt;"")*ISNUMBER(SEARCH(거래처별!$AE$8:$AE$307,$AB1833))),거래처별!$A$8:$A$307),0))))</f>
        <v/>
      </c>
      <c r="AD1833" s="31">
        <f>IF(AND($Y1833&lt;&gt;"",N($Z1833)&gt;0,$AC1833=0),MAX($AD$7:$AD1832)+1,"")</f>
        <v/>
      </c>
      <c r="AE1833" s="31">
        <f>IF($Y1833="",0,$Y1833)</f>
        <v/>
      </c>
    </row>
    <row r="1834">
      <c r="W1834" s="31">
        <f>IF(OR($B$5="",$C$6="",ROW()&lt;$B$5),"",IF(INDEX($A:$U,ROW(),$C$6)="","",INDEX($A:$U,ROW(),$C$6)))</f>
        <v/>
      </c>
      <c r="X1834" s="32">
        <f>IF($W1834="","",IF(ISNUMBER($W1834),IF($W1834&gt;=10000000,IFERROR(DATE(INT($W1834/10000),MOD(INT($W1834/100),100),MOD($W1834,100)),""),INT($W1834)),IFERROR(DATE(--LEFT(LEFT(SUBSTITUTE(SUBSTITUTE(SUBSTITUTE(SUBSTITUTE(TRIM($W1834),"-",""),".",""),"/","")," ",""),8),4),--MID(LEFT(SUBSTITUTE(SUBSTITUTE(SUBSTITUTE(SUBSTITUTE(TRIM($W1834),"-",""),".",""),"/","")," ",""),8),5,2),--MID(LEFT(SUBSTITUTE(SUBSTITUTE(SUBSTITUTE(SUBSTITUTE(TRIM($W1834),"-",""),".",""),"/","")," ",""),8),7,2)),"")))</f>
        <v/>
      </c>
      <c r="Y1834" s="32">
        <f>IF($X1834="","",INT($X1834))</f>
        <v/>
      </c>
      <c r="Z1834" s="33">
        <f>IF(OR($Y1834="",$D$6=""),"",IF(INDEX($A:$U,ROW(),$D$6)="",0,IF(ISNUMBER(INDEX($A:$U,ROW(),$D$6)),INDEX($A:$U,ROW(),$D$6),IFERROR(--SUBSTITUTE(SUBSTITUTE(TRIM(INDEX($A:$U,ROW(),$D$6)),",",""),"원",""),0))))</f>
        <v/>
      </c>
      <c r="AA1834" s="31">
        <f>IF($Y1834="","",TRIM(INDEX($A:$U,ROW(),$E$6)&amp;IF($F$6="",""," "&amp;INDEX($A:$U,ROW(),$F$6))))</f>
        <v/>
      </c>
      <c r="AB1834" s="31">
        <f>IF($AA1834="","",SUBSTITUTE(SUBSTITUTE(SUBSTITUTE(SUBSTITUTE(SUBSTITUTE(SUBSTITUTE(SUBSTITUTE(SUBSTITUTE(SUBSTITUTE($AA1834," ",""),"　",""),"(주)",""),"（주）",""),"㈜",""),"주식회사",""),"(유)",""),"（유）",""),"유한회사",""))</f>
        <v/>
      </c>
      <c r="AC1834" s="31">
        <f>IF(OR($Y1834="",N($Z1834)&lt;=0,$AB1834=""),0,IFERROR(LOOKUP(2,1/((거래처별!$AC$8:$AC$307&lt;&gt;"")*ISNUMBER(SEARCH(거래처별!$AC$8:$AC$307,$AB1834))),거래처별!$A$8:$A$307),IFERROR(LOOKUP(2,1/((거래처별!$AD$8:$AD$307&lt;&gt;"")*ISNUMBER(SEARCH(거래처별!$AD$8:$AD$307,$AB1834))),거래처별!$A$8:$A$307),IFERROR(LOOKUP(2,1/((거래처별!$AE$8:$AE$307&lt;&gt;"")*ISNUMBER(SEARCH(거래처별!$AE$8:$AE$307,$AB1834))),거래처별!$A$8:$A$307),0))))</f>
        <v/>
      </c>
      <c r="AD1834" s="31">
        <f>IF(AND($Y1834&lt;&gt;"",N($Z1834)&gt;0,$AC1834=0),MAX($AD$7:$AD1833)+1,"")</f>
        <v/>
      </c>
      <c r="AE1834" s="31">
        <f>IF($Y1834="",0,$Y1834)</f>
        <v/>
      </c>
    </row>
    <row r="1835">
      <c r="W1835" s="31">
        <f>IF(OR($B$5="",$C$6="",ROW()&lt;$B$5),"",IF(INDEX($A:$U,ROW(),$C$6)="","",INDEX($A:$U,ROW(),$C$6)))</f>
        <v/>
      </c>
      <c r="X1835" s="32">
        <f>IF($W1835="","",IF(ISNUMBER($W1835),IF($W1835&gt;=10000000,IFERROR(DATE(INT($W1835/10000),MOD(INT($W1835/100),100),MOD($W1835,100)),""),INT($W1835)),IFERROR(DATE(--LEFT(LEFT(SUBSTITUTE(SUBSTITUTE(SUBSTITUTE(SUBSTITUTE(TRIM($W1835),"-",""),".",""),"/","")," ",""),8),4),--MID(LEFT(SUBSTITUTE(SUBSTITUTE(SUBSTITUTE(SUBSTITUTE(TRIM($W1835),"-",""),".",""),"/","")," ",""),8),5,2),--MID(LEFT(SUBSTITUTE(SUBSTITUTE(SUBSTITUTE(SUBSTITUTE(TRIM($W1835),"-",""),".",""),"/","")," ",""),8),7,2)),"")))</f>
        <v/>
      </c>
      <c r="Y1835" s="32">
        <f>IF($X1835="","",INT($X1835))</f>
        <v/>
      </c>
      <c r="Z1835" s="33">
        <f>IF(OR($Y1835="",$D$6=""),"",IF(INDEX($A:$U,ROW(),$D$6)="",0,IF(ISNUMBER(INDEX($A:$U,ROW(),$D$6)),INDEX($A:$U,ROW(),$D$6),IFERROR(--SUBSTITUTE(SUBSTITUTE(TRIM(INDEX($A:$U,ROW(),$D$6)),",",""),"원",""),0))))</f>
        <v/>
      </c>
      <c r="AA1835" s="31">
        <f>IF($Y1835="","",TRIM(INDEX($A:$U,ROW(),$E$6)&amp;IF($F$6="",""," "&amp;INDEX($A:$U,ROW(),$F$6))))</f>
        <v/>
      </c>
      <c r="AB1835" s="31">
        <f>IF($AA1835="","",SUBSTITUTE(SUBSTITUTE(SUBSTITUTE(SUBSTITUTE(SUBSTITUTE(SUBSTITUTE(SUBSTITUTE(SUBSTITUTE(SUBSTITUTE($AA1835," ",""),"　",""),"(주)",""),"（주）",""),"㈜",""),"주식회사",""),"(유)",""),"（유）",""),"유한회사",""))</f>
        <v/>
      </c>
      <c r="AC1835" s="31">
        <f>IF(OR($Y1835="",N($Z1835)&lt;=0,$AB1835=""),0,IFERROR(LOOKUP(2,1/((거래처별!$AC$8:$AC$307&lt;&gt;"")*ISNUMBER(SEARCH(거래처별!$AC$8:$AC$307,$AB1835))),거래처별!$A$8:$A$307),IFERROR(LOOKUP(2,1/((거래처별!$AD$8:$AD$307&lt;&gt;"")*ISNUMBER(SEARCH(거래처별!$AD$8:$AD$307,$AB1835))),거래처별!$A$8:$A$307),IFERROR(LOOKUP(2,1/((거래처별!$AE$8:$AE$307&lt;&gt;"")*ISNUMBER(SEARCH(거래처별!$AE$8:$AE$307,$AB1835))),거래처별!$A$8:$A$307),0))))</f>
        <v/>
      </c>
      <c r="AD1835" s="31">
        <f>IF(AND($Y1835&lt;&gt;"",N($Z1835)&gt;0,$AC1835=0),MAX($AD$7:$AD1834)+1,"")</f>
        <v/>
      </c>
      <c r="AE1835" s="31">
        <f>IF($Y1835="",0,$Y1835)</f>
        <v/>
      </c>
    </row>
    <row r="1836">
      <c r="W1836" s="31">
        <f>IF(OR($B$5="",$C$6="",ROW()&lt;$B$5),"",IF(INDEX($A:$U,ROW(),$C$6)="","",INDEX($A:$U,ROW(),$C$6)))</f>
        <v/>
      </c>
      <c r="X1836" s="32">
        <f>IF($W1836="","",IF(ISNUMBER($W1836),IF($W1836&gt;=10000000,IFERROR(DATE(INT($W1836/10000),MOD(INT($W1836/100),100),MOD($W1836,100)),""),INT($W1836)),IFERROR(DATE(--LEFT(LEFT(SUBSTITUTE(SUBSTITUTE(SUBSTITUTE(SUBSTITUTE(TRIM($W1836),"-",""),".",""),"/","")," ",""),8),4),--MID(LEFT(SUBSTITUTE(SUBSTITUTE(SUBSTITUTE(SUBSTITUTE(TRIM($W1836),"-",""),".",""),"/","")," ",""),8),5,2),--MID(LEFT(SUBSTITUTE(SUBSTITUTE(SUBSTITUTE(SUBSTITUTE(TRIM($W1836),"-",""),".",""),"/","")," ",""),8),7,2)),"")))</f>
        <v/>
      </c>
      <c r="Y1836" s="32">
        <f>IF($X1836="","",INT($X1836))</f>
        <v/>
      </c>
      <c r="Z1836" s="33">
        <f>IF(OR($Y1836="",$D$6=""),"",IF(INDEX($A:$U,ROW(),$D$6)="",0,IF(ISNUMBER(INDEX($A:$U,ROW(),$D$6)),INDEX($A:$U,ROW(),$D$6),IFERROR(--SUBSTITUTE(SUBSTITUTE(TRIM(INDEX($A:$U,ROW(),$D$6)),",",""),"원",""),0))))</f>
        <v/>
      </c>
      <c r="AA1836" s="31">
        <f>IF($Y1836="","",TRIM(INDEX($A:$U,ROW(),$E$6)&amp;IF($F$6="",""," "&amp;INDEX($A:$U,ROW(),$F$6))))</f>
        <v/>
      </c>
      <c r="AB1836" s="31">
        <f>IF($AA1836="","",SUBSTITUTE(SUBSTITUTE(SUBSTITUTE(SUBSTITUTE(SUBSTITUTE(SUBSTITUTE(SUBSTITUTE(SUBSTITUTE(SUBSTITUTE($AA1836," ",""),"　",""),"(주)",""),"（주）",""),"㈜",""),"주식회사",""),"(유)",""),"（유）",""),"유한회사",""))</f>
        <v/>
      </c>
      <c r="AC1836" s="31">
        <f>IF(OR($Y1836="",N($Z1836)&lt;=0,$AB1836=""),0,IFERROR(LOOKUP(2,1/((거래처별!$AC$8:$AC$307&lt;&gt;"")*ISNUMBER(SEARCH(거래처별!$AC$8:$AC$307,$AB1836))),거래처별!$A$8:$A$307),IFERROR(LOOKUP(2,1/((거래처별!$AD$8:$AD$307&lt;&gt;"")*ISNUMBER(SEARCH(거래처별!$AD$8:$AD$307,$AB1836))),거래처별!$A$8:$A$307),IFERROR(LOOKUP(2,1/((거래처별!$AE$8:$AE$307&lt;&gt;"")*ISNUMBER(SEARCH(거래처별!$AE$8:$AE$307,$AB1836))),거래처별!$A$8:$A$307),0))))</f>
        <v/>
      </c>
      <c r="AD1836" s="31">
        <f>IF(AND($Y1836&lt;&gt;"",N($Z1836)&gt;0,$AC1836=0),MAX($AD$7:$AD1835)+1,"")</f>
        <v/>
      </c>
      <c r="AE1836" s="31">
        <f>IF($Y1836="",0,$Y1836)</f>
        <v/>
      </c>
    </row>
    <row r="1837">
      <c r="W1837" s="31">
        <f>IF(OR($B$5="",$C$6="",ROW()&lt;$B$5),"",IF(INDEX($A:$U,ROW(),$C$6)="","",INDEX($A:$U,ROW(),$C$6)))</f>
        <v/>
      </c>
      <c r="X1837" s="32">
        <f>IF($W1837="","",IF(ISNUMBER($W1837),IF($W1837&gt;=10000000,IFERROR(DATE(INT($W1837/10000),MOD(INT($W1837/100),100),MOD($W1837,100)),""),INT($W1837)),IFERROR(DATE(--LEFT(LEFT(SUBSTITUTE(SUBSTITUTE(SUBSTITUTE(SUBSTITUTE(TRIM($W1837),"-",""),".",""),"/","")," ",""),8),4),--MID(LEFT(SUBSTITUTE(SUBSTITUTE(SUBSTITUTE(SUBSTITUTE(TRIM($W1837),"-",""),".",""),"/","")," ",""),8),5,2),--MID(LEFT(SUBSTITUTE(SUBSTITUTE(SUBSTITUTE(SUBSTITUTE(TRIM($W1837),"-",""),".",""),"/","")," ",""),8),7,2)),"")))</f>
        <v/>
      </c>
      <c r="Y1837" s="32">
        <f>IF($X1837="","",INT($X1837))</f>
        <v/>
      </c>
      <c r="Z1837" s="33">
        <f>IF(OR($Y1837="",$D$6=""),"",IF(INDEX($A:$U,ROW(),$D$6)="",0,IF(ISNUMBER(INDEX($A:$U,ROW(),$D$6)),INDEX($A:$U,ROW(),$D$6),IFERROR(--SUBSTITUTE(SUBSTITUTE(TRIM(INDEX($A:$U,ROW(),$D$6)),",",""),"원",""),0))))</f>
        <v/>
      </c>
      <c r="AA1837" s="31">
        <f>IF($Y1837="","",TRIM(INDEX($A:$U,ROW(),$E$6)&amp;IF($F$6="",""," "&amp;INDEX($A:$U,ROW(),$F$6))))</f>
        <v/>
      </c>
      <c r="AB1837" s="31">
        <f>IF($AA1837="","",SUBSTITUTE(SUBSTITUTE(SUBSTITUTE(SUBSTITUTE(SUBSTITUTE(SUBSTITUTE(SUBSTITUTE(SUBSTITUTE(SUBSTITUTE($AA1837," ",""),"　",""),"(주)",""),"（주）",""),"㈜",""),"주식회사",""),"(유)",""),"（유）",""),"유한회사",""))</f>
        <v/>
      </c>
      <c r="AC1837" s="31">
        <f>IF(OR($Y1837="",N($Z1837)&lt;=0,$AB1837=""),0,IFERROR(LOOKUP(2,1/((거래처별!$AC$8:$AC$307&lt;&gt;"")*ISNUMBER(SEARCH(거래처별!$AC$8:$AC$307,$AB1837))),거래처별!$A$8:$A$307),IFERROR(LOOKUP(2,1/((거래처별!$AD$8:$AD$307&lt;&gt;"")*ISNUMBER(SEARCH(거래처별!$AD$8:$AD$307,$AB1837))),거래처별!$A$8:$A$307),IFERROR(LOOKUP(2,1/((거래처별!$AE$8:$AE$307&lt;&gt;"")*ISNUMBER(SEARCH(거래처별!$AE$8:$AE$307,$AB1837))),거래처별!$A$8:$A$307),0))))</f>
        <v/>
      </c>
      <c r="AD1837" s="31">
        <f>IF(AND($Y1837&lt;&gt;"",N($Z1837)&gt;0,$AC1837=0),MAX($AD$7:$AD1836)+1,"")</f>
        <v/>
      </c>
      <c r="AE1837" s="31">
        <f>IF($Y1837="",0,$Y1837)</f>
        <v/>
      </c>
    </row>
    <row r="1838">
      <c r="W1838" s="31">
        <f>IF(OR($B$5="",$C$6="",ROW()&lt;$B$5),"",IF(INDEX($A:$U,ROW(),$C$6)="","",INDEX($A:$U,ROW(),$C$6)))</f>
        <v/>
      </c>
      <c r="X1838" s="32">
        <f>IF($W1838="","",IF(ISNUMBER($W1838),IF($W1838&gt;=10000000,IFERROR(DATE(INT($W1838/10000),MOD(INT($W1838/100),100),MOD($W1838,100)),""),INT($W1838)),IFERROR(DATE(--LEFT(LEFT(SUBSTITUTE(SUBSTITUTE(SUBSTITUTE(SUBSTITUTE(TRIM($W1838),"-",""),".",""),"/","")," ",""),8),4),--MID(LEFT(SUBSTITUTE(SUBSTITUTE(SUBSTITUTE(SUBSTITUTE(TRIM($W1838),"-",""),".",""),"/","")," ",""),8),5,2),--MID(LEFT(SUBSTITUTE(SUBSTITUTE(SUBSTITUTE(SUBSTITUTE(TRIM($W1838),"-",""),".",""),"/","")," ",""),8),7,2)),"")))</f>
        <v/>
      </c>
      <c r="Y1838" s="32">
        <f>IF($X1838="","",INT($X1838))</f>
        <v/>
      </c>
      <c r="Z1838" s="33">
        <f>IF(OR($Y1838="",$D$6=""),"",IF(INDEX($A:$U,ROW(),$D$6)="",0,IF(ISNUMBER(INDEX($A:$U,ROW(),$D$6)),INDEX($A:$U,ROW(),$D$6),IFERROR(--SUBSTITUTE(SUBSTITUTE(TRIM(INDEX($A:$U,ROW(),$D$6)),",",""),"원",""),0))))</f>
        <v/>
      </c>
      <c r="AA1838" s="31">
        <f>IF($Y1838="","",TRIM(INDEX($A:$U,ROW(),$E$6)&amp;IF($F$6="",""," "&amp;INDEX($A:$U,ROW(),$F$6))))</f>
        <v/>
      </c>
      <c r="AB1838" s="31">
        <f>IF($AA1838="","",SUBSTITUTE(SUBSTITUTE(SUBSTITUTE(SUBSTITUTE(SUBSTITUTE(SUBSTITUTE(SUBSTITUTE(SUBSTITUTE(SUBSTITUTE($AA1838," ",""),"　",""),"(주)",""),"（주）",""),"㈜",""),"주식회사",""),"(유)",""),"（유）",""),"유한회사",""))</f>
        <v/>
      </c>
      <c r="AC1838" s="31">
        <f>IF(OR($Y1838="",N($Z1838)&lt;=0,$AB1838=""),0,IFERROR(LOOKUP(2,1/((거래처별!$AC$8:$AC$307&lt;&gt;"")*ISNUMBER(SEARCH(거래처별!$AC$8:$AC$307,$AB1838))),거래처별!$A$8:$A$307),IFERROR(LOOKUP(2,1/((거래처별!$AD$8:$AD$307&lt;&gt;"")*ISNUMBER(SEARCH(거래처별!$AD$8:$AD$307,$AB1838))),거래처별!$A$8:$A$307),IFERROR(LOOKUP(2,1/((거래처별!$AE$8:$AE$307&lt;&gt;"")*ISNUMBER(SEARCH(거래처별!$AE$8:$AE$307,$AB1838))),거래처별!$A$8:$A$307),0))))</f>
        <v/>
      </c>
      <c r="AD1838" s="31">
        <f>IF(AND($Y1838&lt;&gt;"",N($Z1838)&gt;0,$AC1838=0),MAX($AD$7:$AD1837)+1,"")</f>
        <v/>
      </c>
      <c r="AE1838" s="31">
        <f>IF($Y1838="",0,$Y1838)</f>
        <v/>
      </c>
    </row>
    <row r="1839">
      <c r="W1839" s="31">
        <f>IF(OR($B$5="",$C$6="",ROW()&lt;$B$5),"",IF(INDEX($A:$U,ROW(),$C$6)="","",INDEX($A:$U,ROW(),$C$6)))</f>
        <v/>
      </c>
      <c r="X1839" s="32">
        <f>IF($W1839="","",IF(ISNUMBER($W1839),IF($W1839&gt;=10000000,IFERROR(DATE(INT($W1839/10000),MOD(INT($W1839/100),100),MOD($W1839,100)),""),INT($W1839)),IFERROR(DATE(--LEFT(LEFT(SUBSTITUTE(SUBSTITUTE(SUBSTITUTE(SUBSTITUTE(TRIM($W1839),"-",""),".",""),"/","")," ",""),8),4),--MID(LEFT(SUBSTITUTE(SUBSTITUTE(SUBSTITUTE(SUBSTITUTE(TRIM($W1839),"-",""),".",""),"/","")," ",""),8),5,2),--MID(LEFT(SUBSTITUTE(SUBSTITUTE(SUBSTITUTE(SUBSTITUTE(TRIM($W1839),"-",""),".",""),"/","")," ",""),8),7,2)),"")))</f>
        <v/>
      </c>
      <c r="Y1839" s="32">
        <f>IF($X1839="","",INT($X1839))</f>
        <v/>
      </c>
      <c r="Z1839" s="33">
        <f>IF(OR($Y1839="",$D$6=""),"",IF(INDEX($A:$U,ROW(),$D$6)="",0,IF(ISNUMBER(INDEX($A:$U,ROW(),$D$6)),INDEX($A:$U,ROW(),$D$6),IFERROR(--SUBSTITUTE(SUBSTITUTE(TRIM(INDEX($A:$U,ROW(),$D$6)),",",""),"원",""),0))))</f>
        <v/>
      </c>
      <c r="AA1839" s="31">
        <f>IF($Y1839="","",TRIM(INDEX($A:$U,ROW(),$E$6)&amp;IF($F$6="",""," "&amp;INDEX($A:$U,ROW(),$F$6))))</f>
        <v/>
      </c>
      <c r="AB1839" s="31">
        <f>IF($AA1839="","",SUBSTITUTE(SUBSTITUTE(SUBSTITUTE(SUBSTITUTE(SUBSTITUTE(SUBSTITUTE(SUBSTITUTE(SUBSTITUTE(SUBSTITUTE($AA1839," ",""),"　",""),"(주)",""),"（주）",""),"㈜",""),"주식회사",""),"(유)",""),"（유）",""),"유한회사",""))</f>
        <v/>
      </c>
      <c r="AC1839" s="31">
        <f>IF(OR($Y1839="",N($Z1839)&lt;=0,$AB1839=""),0,IFERROR(LOOKUP(2,1/((거래처별!$AC$8:$AC$307&lt;&gt;"")*ISNUMBER(SEARCH(거래처별!$AC$8:$AC$307,$AB1839))),거래처별!$A$8:$A$307),IFERROR(LOOKUP(2,1/((거래처별!$AD$8:$AD$307&lt;&gt;"")*ISNUMBER(SEARCH(거래처별!$AD$8:$AD$307,$AB1839))),거래처별!$A$8:$A$307),IFERROR(LOOKUP(2,1/((거래처별!$AE$8:$AE$307&lt;&gt;"")*ISNUMBER(SEARCH(거래처별!$AE$8:$AE$307,$AB1839))),거래처별!$A$8:$A$307),0))))</f>
        <v/>
      </c>
      <c r="AD1839" s="31">
        <f>IF(AND($Y1839&lt;&gt;"",N($Z1839)&gt;0,$AC1839=0),MAX($AD$7:$AD1838)+1,"")</f>
        <v/>
      </c>
      <c r="AE1839" s="31">
        <f>IF($Y1839="",0,$Y1839)</f>
        <v/>
      </c>
    </row>
    <row r="1840">
      <c r="W1840" s="31">
        <f>IF(OR($B$5="",$C$6="",ROW()&lt;$B$5),"",IF(INDEX($A:$U,ROW(),$C$6)="","",INDEX($A:$U,ROW(),$C$6)))</f>
        <v/>
      </c>
      <c r="X1840" s="32">
        <f>IF($W1840="","",IF(ISNUMBER($W1840),IF($W1840&gt;=10000000,IFERROR(DATE(INT($W1840/10000),MOD(INT($W1840/100),100),MOD($W1840,100)),""),INT($W1840)),IFERROR(DATE(--LEFT(LEFT(SUBSTITUTE(SUBSTITUTE(SUBSTITUTE(SUBSTITUTE(TRIM($W1840),"-",""),".",""),"/","")," ",""),8),4),--MID(LEFT(SUBSTITUTE(SUBSTITUTE(SUBSTITUTE(SUBSTITUTE(TRIM($W1840),"-",""),".",""),"/","")," ",""),8),5,2),--MID(LEFT(SUBSTITUTE(SUBSTITUTE(SUBSTITUTE(SUBSTITUTE(TRIM($W1840),"-",""),".",""),"/","")," ",""),8),7,2)),"")))</f>
        <v/>
      </c>
      <c r="Y1840" s="32">
        <f>IF($X1840="","",INT($X1840))</f>
        <v/>
      </c>
      <c r="Z1840" s="33">
        <f>IF(OR($Y1840="",$D$6=""),"",IF(INDEX($A:$U,ROW(),$D$6)="",0,IF(ISNUMBER(INDEX($A:$U,ROW(),$D$6)),INDEX($A:$U,ROW(),$D$6),IFERROR(--SUBSTITUTE(SUBSTITUTE(TRIM(INDEX($A:$U,ROW(),$D$6)),",",""),"원",""),0))))</f>
        <v/>
      </c>
      <c r="AA1840" s="31">
        <f>IF($Y1840="","",TRIM(INDEX($A:$U,ROW(),$E$6)&amp;IF($F$6="",""," "&amp;INDEX($A:$U,ROW(),$F$6))))</f>
        <v/>
      </c>
      <c r="AB1840" s="31">
        <f>IF($AA1840="","",SUBSTITUTE(SUBSTITUTE(SUBSTITUTE(SUBSTITUTE(SUBSTITUTE(SUBSTITUTE(SUBSTITUTE(SUBSTITUTE(SUBSTITUTE($AA1840," ",""),"　",""),"(주)",""),"（주）",""),"㈜",""),"주식회사",""),"(유)",""),"（유）",""),"유한회사",""))</f>
        <v/>
      </c>
      <c r="AC1840" s="31">
        <f>IF(OR($Y1840="",N($Z1840)&lt;=0,$AB1840=""),0,IFERROR(LOOKUP(2,1/((거래처별!$AC$8:$AC$307&lt;&gt;"")*ISNUMBER(SEARCH(거래처별!$AC$8:$AC$307,$AB1840))),거래처별!$A$8:$A$307),IFERROR(LOOKUP(2,1/((거래처별!$AD$8:$AD$307&lt;&gt;"")*ISNUMBER(SEARCH(거래처별!$AD$8:$AD$307,$AB1840))),거래처별!$A$8:$A$307),IFERROR(LOOKUP(2,1/((거래처별!$AE$8:$AE$307&lt;&gt;"")*ISNUMBER(SEARCH(거래처별!$AE$8:$AE$307,$AB1840))),거래처별!$A$8:$A$307),0))))</f>
        <v/>
      </c>
      <c r="AD1840" s="31">
        <f>IF(AND($Y1840&lt;&gt;"",N($Z1840)&gt;0,$AC1840=0),MAX($AD$7:$AD1839)+1,"")</f>
        <v/>
      </c>
      <c r="AE1840" s="31">
        <f>IF($Y1840="",0,$Y1840)</f>
        <v/>
      </c>
    </row>
    <row r="1841">
      <c r="W1841" s="31">
        <f>IF(OR($B$5="",$C$6="",ROW()&lt;$B$5),"",IF(INDEX($A:$U,ROW(),$C$6)="","",INDEX($A:$U,ROW(),$C$6)))</f>
        <v/>
      </c>
      <c r="X1841" s="32">
        <f>IF($W1841="","",IF(ISNUMBER($W1841),IF($W1841&gt;=10000000,IFERROR(DATE(INT($W1841/10000),MOD(INT($W1841/100),100),MOD($W1841,100)),""),INT($W1841)),IFERROR(DATE(--LEFT(LEFT(SUBSTITUTE(SUBSTITUTE(SUBSTITUTE(SUBSTITUTE(TRIM($W1841),"-",""),".",""),"/","")," ",""),8),4),--MID(LEFT(SUBSTITUTE(SUBSTITUTE(SUBSTITUTE(SUBSTITUTE(TRIM($W1841),"-",""),".",""),"/","")," ",""),8),5,2),--MID(LEFT(SUBSTITUTE(SUBSTITUTE(SUBSTITUTE(SUBSTITUTE(TRIM($W1841),"-",""),".",""),"/","")," ",""),8),7,2)),"")))</f>
        <v/>
      </c>
      <c r="Y1841" s="32">
        <f>IF($X1841="","",INT($X1841))</f>
        <v/>
      </c>
      <c r="Z1841" s="33">
        <f>IF(OR($Y1841="",$D$6=""),"",IF(INDEX($A:$U,ROW(),$D$6)="",0,IF(ISNUMBER(INDEX($A:$U,ROW(),$D$6)),INDEX($A:$U,ROW(),$D$6),IFERROR(--SUBSTITUTE(SUBSTITUTE(TRIM(INDEX($A:$U,ROW(),$D$6)),",",""),"원",""),0))))</f>
        <v/>
      </c>
      <c r="AA1841" s="31">
        <f>IF($Y1841="","",TRIM(INDEX($A:$U,ROW(),$E$6)&amp;IF($F$6="",""," "&amp;INDEX($A:$U,ROW(),$F$6))))</f>
        <v/>
      </c>
      <c r="AB1841" s="31">
        <f>IF($AA1841="","",SUBSTITUTE(SUBSTITUTE(SUBSTITUTE(SUBSTITUTE(SUBSTITUTE(SUBSTITUTE(SUBSTITUTE(SUBSTITUTE(SUBSTITUTE($AA1841," ",""),"　",""),"(주)",""),"（주）",""),"㈜",""),"주식회사",""),"(유)",""),"（유）",""),"유한회사",""))</f>
        <v/>
      </c>
      <c r="AC1841" s="31">
        <f>IF(OR($Y1841="",N($Z1841)&lt;=0,$AB1841=""),0,IFERROR(LOOKUP(2,1/((거래처별!$AC$8:$AC$307&lt;&gt;"")*ISNUMBER(SEARCH(거래처별!$AC$8:$AC$307,$AB1841))),거래처별!$A$8:$A$307),IFERROR(LOOKUP(2,1/((거래처별!$AD$8:$AD$307&lt;&gt;"")*ISNUMBER(SEARCH(거래처별!$AD$8:$AD$307,$AB1841))),거래처별!$A$8:$A$307),IFERROR(LOOKUP(2,1/((거래처별!$AE$8:$AE$307&lt;&gt;"")*ISNUMBER(SEARCH(거래처별!$AE$8:$AE$307,$AB1841))),거래처별!$A$8:$A$307),0))))</f>
        <v/>
      </c>
      <c r="AD1841" s="31">
        <f>IF(AND($Y1841&lt;&gt;"",N($Z1841)&gt;0,$AC1841=0),MAX($AD$7:$AD1840)+1,"")</f>
        <v/>
      </c>
      <c r="AE1841" s="31">
        <f>IF($Y1841="",0,$Y1841)</f>
        <v/>
      </c>
    </row>
    <row r="1842">
      <c r="W1842" s="31">
        <f>IF(OR($B$5="",$C$6="",ROW()&lt;$B$5),"",IF(INDEX($A:$U,ROW(),$C$6)="","",INDEX($A:$U,ROW(),$C$6)))</f>
        <v/>
      </c>
      <c r="X1842" s="32">
        <f>IF($W1842="","",IF(ISNUMBER($W1842),IF($W1842&gt;=10000000,IFERROR(DATE(INT($W1842/10000),MOD(INT($W1842/100),100),MOD($W1842,100)),""),INT($W1842)),IFERROR(DATE(--LEFT(LEFT(SUBSTITUTE(SUBSTITUTE(SUBSTITUTE(SUBSTITUTE(TRIM($W1842),"-",""),".",""),"/","")," ",""),8),4),--MID(LEFT(SUBSTITUTE(SUBSTITUTE(SUBSTITUTE(SUBSTITUTE(TRIM($W1842),"-",""),".",""),"/","")," ",""),8),5,2),--MID(LEFT(SUBSTITUTE(SUBSTITUTE(SUBSTITUTE(SUBSTITUTE(TRIM($W1842),"-",""),".",""),"/","")," ",""),8),7,2)),"")))</f>
        <v/>
      </c>
      <c r="Y1842" s="32">
        <f>IF($X1842="","",INT($X1842))</f>
        <v/>
      </c>
      <c r="Z1842" s="33">
        <f>IF(OR($Y1842="",$D$6=""),"",IF(INDEX($A:$U,ROW(),$D$6)="",0,IF(ISNUMBER(INDEX($A:$U,ROW(),$D$6)),INDEX($A:$U,ROW(),$D$6),IFERROR(--SUBSTITUTE(SUBSTITUTE(TRIM(INDEX($A:$U,ROW(),$D$6)),",",""),"원",""),0))))</f>
        <v/>
      </c>
      <c r="AA1842" s="31">
        <f>IF($Y1842="","",TRIM(INDEX($A:$U,ROW(),$E$6)&amp;IF($F$6="",""," "&amp;INDEX($A:$U,ROW(),$F$6))))</f>
        <v/>
      </c>
      <c r="AB1842" s="31">
        <f>IF($AA1842="","",SUBSTITUTE(SUBSTITUTE(SUBSTITUTE(SUBSTITUTE(SUBSTITUTE(SUBSTITUTE(SUBSTITUTE(SUBSTITUTE(SUBSTITUTE($AA1842," ",""),"　",""),"(주)",""),"（주）",""),"㈜",""),"주식회사",""),"(유)",""),"（유）",""),"유한회사",""))</f>
        <v/>
      </c>
      <c r="AC1842" s="31">
        <f>IF(OR($Y1842="",N($Z1842)&lt;=0,$AB1842=""),0,IFERROR(LOOKUP(2,1/((거래처별!$AC$8:$AC$307&lt;&gt;"")*ISNUMBER(SEARCH(거래처별!$AC$8:$AC$307,$AB1842))),거래처별!$A$8:$A$307),IFERROR(LOOKUP(2,1/((거래처별!$AD$8:$AD$307&lt;&gt;"")*ISNUMBER(SEARCH(거래처별!$AD$8:$AD$307,$AB1842))),거래처별!$A$8:$A$307),IFERROR(LOOKUP(2,1/((거래처별!$AE$8:$AE$307&lt;&gt;"")*ISNUMBER(SEARCH(거래처별!$AE$8:$AE$307,$AB1842))),거래처별!$A$8:$A$307),0))))</f>
        <v/>
      </c>
      <c r="AD1842" s="31">
        <f>IF(AND($Y1842&lt;&gt;"",N($Z1842)&gt;0,$AC1842=0),MAX($AD$7:$AD1841)+1,"")</f>
        <v/>
      </c>
      <c r="AE1842" s="31">
        <f>IF($Y1842="",0,$Y1842)</f>
        <v/>
      </c>
    </row>
    <row r="1843">
      <c r="W1843" s="31">
        <f>IF(OR($B$5="",$C$6="",ROW()&lt;$B$5),"",IF(INDEX($A:$U,ROW(),$C$6)="","",INDEX($A:$U,ROW(),$C$6)))</f>
        <v/>
      </c>
      <c r="X1843" s="32">
        <f>IF($W1843="","",IF(ISNUMBER($W1843),IF($W1843&gt;=10000000,IFERROR(DATE(INT($W1843/10000),MOD(INT($W1843/100),100),MOD($W1843,100)),""),INT($W1843)),IFERROR(DATE(--LEFT(LEFT(SUBSTITUTE(SUBSTITUTE(SUBSTITUTE(SUBSTITUTE(TRIM($W1843),"-",""),".",""),"/","")," ",""),8),4),--MID(LEFT(SUBSTITUTE(SUBSTITUTE(SUBSTITUTE(SUBSTITUTE(TRIM($W1843),"-",""),".",""),"/","")," ",""),8),5,2),--MID(LEFT(SUBSTITUTE(SUBSTITUTE(SUBSTITUTE(SUBSTITUTE(TRIM($W1843),"-",""),".",""),"/","")," ",""),8),7,2)),"")))</f>
        <v/>
      </c>
      <c r="Y1843" s="32">
        <f>IF($X1843="","",INT($X1843))</f>
        <v/>
      </c>
      <c r="Z1843" s="33">
        <f>IF(OR($Y1843="",$D$6=""),"",IF(INDEX($A:$U,ROW(),$D$6)="",0,IF(ISNUMBER(INDEX($A:$U,ROW(),$D$6)),INDEX($A:$U,ROW(),$D$6),IFERROR(--SUBSTITUTE(SUBSTITUTE(TRIM(INDEX($A:$U,ROW(),$D$6)),",",""),"원",""),0))))</f>
        <v/>
      </c>
      <c r="AA1843" s="31">
        <f>IF($Y1843="","",TRIM(INDEX($A:$U,ROW(),$E$6)&amp;IF($F$6="",""," "&amp;INDEX($A:$U,ROW(),$F$6))))</f>
        <v/>
      </c>
      <c r="AB1843" s="31">
        <f>IF($AA1843="","",SUBSTITUTE(SUBSTITUTE(SUBSTITUTE(SUBSTITUTE(SUBSTITUTE(SUBSTITUTE(SUBSTITUTE(SUBSTITUTE(SUBSTITUTE($AA1843," ",""),"　",""),"(주)",""),"（주）",""),"㈜",""),"주식회사",""),"(유)",""),"（유）",""),"유한회사",""))</f>
        <v/>
      </c>
      <c r="AC1843" s="31">
        <f>IF(OR($Y1843="",N($Z1843)&lt;=0,$AB1843=""),0,IFERROR(LOOKUP(2,1/((거래처별!$AC$8:$AC$307&lt;&gt;"")*ISNUMBER(SEARCH(거래처별!$AC$8:$AC$307,$AB1843))),거래처별!$A$8:$A$307),IFERROR(LOOKUP(2,1/((거래처별!$AD$8:$AD$307&lt;&gt;"")*ISNUMBER(SEARCH(거래처별!$AD$8:$AD$307,$AB1843))),거래처별!$A$8:$A$307),IFERROR(LOOKUP(2,1/((거래처별!$AE$8:$AE$307&lt;&gt;"")*ISNUMBER(SEARCH(거래처별!$AE$8:$AE$307,$AB1843))),거래처별!$A$8:$A$307),0))))</f>
        <v/>
      </c>
      <c r="AD1843" s="31">
        <f>IF(AND($Y1843&lt;&gt;"",N($Z1843)&gt;0,$AC1843=0),MAX($AD$7:$AD1842)+1,"")</f>
        <v/>
      </c>
      <c r="AE1843" s="31">
        <f>IF($Y1843="",0,$Y1843)</f>
        <v/>
      </c>
    </row>
    <row r="1844">
      <c r="W1844" s="31">
        <f>IF(OR($B$5="",$C$6="",ROW()&lt;$B$5),"",IF(INDEX($A:$U,ROW(),$C$6)="","",INDEX($A:$U,ROW(),$C$6)))</f>
        <v/>
      </c>
      <c r="X1844" s="32">
        <f>IF($W1844="","",IF(ISNUMBER($W1844),IF($W1844&gt;=10000000,IFERROR(DATE(INT($W1844/10000),MOD(INT($W1844/100),100),MOD($W1844,100)),""),INT($W1844)),IFERROR(DATE(--LEFT(LEFT(SUBSTITUTE(SUBSTITUTE(SUBSTITUTE(SUBSTITUTE(TRIM($W1844),"-",""),".",""),"/","")," ",""),8),4),--MID(LEFT(SUBSTITUTE(SUBSTITUTE(SUBSTITUTE(SUBSTITUTE(TRIM($W1844),"-",""),".",""),"/","")," ",""),8),5,2),--MID(LEFT(SUBSTITUTE(SUBSTITUTE(SUBSTITUTE(SUBSTITUTE(TRIM($W1844),"-",""),".",""),"/","")," ",""),8),7,2)),"")))</f>
        <v/>
      </c>
      <c r="Y1844" s="32">
        <f>IF($X1844="","",INT($X1844))</f>
        <v/>
      </c>
      <c r="Z1844" s="33">
        <f>IF(OR($Y1844="",$D$6=""),"",IF(INDEX($A:$U,ROW(),$D$6)="",0,IF(ISNUMBER(INDEX($A:$U,ROW(),$D$6)),INDEX($A:$U,ROW(),$D$6),IFERROR(--SUBSTITUTE(SUBSTITUTE(TRIM(INDEX($A:$U,ROW(),$D$6)),",",""),"원",""),0))))</f>
        <v/>
      </c>
      <c r="AA1844" s="31">
        <f>IF($Y1844="","",TRIM(INDEX($A:$U,ROW(),$E$6)&amp;IF($F$6="",""," "&amp;INDEX($A:$U,ROW(),$F$6))))</f>
        <v/>
      </c>
      <c r="AB1844" s="31">
        <f>IF($AA1844="","",SUBSTITUTE(SUBSTITUTE(SUBSTITUTE(SUBSTITUTE(SUBSTITUTE(SUBSTITUTE(SUBSTITUTE(SUBSTITUTE(SUBSTITUTE($AA1844," ",""),"　",""),"(주)",""),"（주）",""),"㈜",""),"주식회사",""),"(유)",""),"（유）",""),"유한회사",""))</f>
        <v/>
      </c>
      <c r="AC1844" s="31">
        <f>IF(OR($Y1844="",N($Z1844)&lt;=0,$AB1844=""),0,IFERROR(LOOKUP(2,1/((거래처별!$AC$8:$AC$307&lt;&gt;"")*ISNUMBER(SEARCH(거래처별!$AC$8:$AC$307,$AB1844))),거래처별!$A$8:$A$307),IFERROR(LOOKUP(2,1/((거래처별!$AD$8:$AD$307&lt;&gt;"")*ISNUMBER(SEARCH(거래처별!$AD$8:$AD$307,$AB1844))),거래처별!$A$8:$A$307),IFERROR(LOOKUP(2,1/((거래처별!$AE$8:$AE$307&lt;&gt;"")*ISNUMBER(SEARCH(거래처별!$AE$8:$AE$307,$AB1844))),거래처별!$A$8:$A$307),0))))</f>
        <v/>
      </c>
      <c r="AD1844" s="31">
        <f>IF(AND($Y1844&lt;&gt;"",N($Z1844)&gt;0,$AC1844=0),MAX($AD$7:$AD1843)+1,"")</f>
        <v/>
      </c>
      <c r="AE1844" s="31">
        <f>IF($Y1844="",0,$Y1844)</f>
        <v/>
      </c>
    </row>
    <row r="1845">
      <c r="W1845" s="31">
        <f>IF(OR($B$5="",$C$6="",ROW()&lt;$B$5),"",IF(INDEX($A:$U,ROW(),$C$6)="","",INDEX($A:$U,ROW(),$C$6)))</f>
        <v/>
      </c>
      <c r="X1845" s="32">
        <f>IF($W1845="","",IF(ISNUMBER($W1845),IF($W1845&gt;=10000000,IFERROR(DATE(INT($W1845/10000),MOD(INT($W1845/100),100),MOD($W1845,100)),""),INT($W1845)),IFERROR(DATE(--LEFT(LEFT(SUBSTITUTE(SUBSTITUTE(SUBSTITUTE(SUBSTITUTE(TRIM($W1845),"-",""),".",""),"/","")," ",""),8),4),--MID(LEFT(SUBSTITUTE(SUBSTITUTE(SUBSTITUTE(SUBSTITUTE(TRIM($W1845),"-",""),".",""),"/","")," ",""),8),5,2),--MID(LEFT(SUBSTITUTE(SUBSTITUTE(SUBSTITUTE(SUBSTITUTE(TRIM($W1845),"-",""),".",""),"/","")," ",""),8),7,2)),"")))</f>
        <v/>
      </c>
      <c r="Y1845" s="32">
        <f>IF($X1845="","",INT($X1845))</f>
        <v/>
      </c>
      <c r="Z1845" s="33">
        <f>IF(OR($Y1845="",$D$6=""),"",IF(INDEX($A:$U,ROW(),$D$6)="",0,IF(ISNUMBER(INDEX($A:$U,ROW(),$D$6)),INDEX($A:$U,ROW(),$D$6),IFERROR(--SUBSTITUTE(SUBSTITUTE(TRIM(INDEX($A:$U,ROW(),$D$6)),",",""),"원",""),0))))</f>
        <v/>
      </c>
      <c r="AA1845" s="31">
        <f>IF($Y1845="","",TRIM(INDEX($A:$U,ROW(),$E$6)&amp;IF($F$6="",""," "&amp;INDEX($A:$U,ROW(),$F$6))))</f>
        <v/>
      </c>
      <c r="AB1845" s="31">
        <f>IF($AA1845="","",SUBSTITUTE(SUBSTITUTE(SUBSTITUTE(SUBSTITUTE(SUBSTITUTE(SUBSTITUTE(SUBSTITUTE(SUBSTITUTE(SUBSTITUTE($AA1845," ",""),"　",""),"(주)",""),"（주）",""),"㈜",""),"주식회사",""),"(유)",""),"（유）",""),"유한회사",""))</f>
        <v/>
      </c>
      <c r="AC1845" s="31">
        <f>IF(OR($Y1845="",N($Z1845)&lt;=0,$AB1845=""),0,IFERROR(LOOKUP(2,1/((거래처별!$AC$8:$AC$307&lt;&gt;"")*ISNUMBER(SEARCH(거래처별!$AC$8:$AC$307,$AB1845))),거래처별!$A$8:$A$307),IFERROR(LOOKUP(2,1/((거래처별!$AD$8:$AD$307&lt;&gt;"")*ISNUMBER(SEARCH(거래처별!$AD$8:$AD$307,$AB1845))),거래처별!$A$8:$A$307),IFERROR(LOOKUP(2,1/((거래처별!$AE$8:$AE$307&lt;&gt;"")*ISNUMBER(SEARCH(거래처별!$AE$8:$AE$307,$AB1845))),거래처별!$A$8:$A$307),0))))</f>
        <v/>
      </c>
      <c r="AD1845" s="31">
        <f>IF(AND($Y1845&lt;&gt;"",N($Z1845)&gt;0,$AC1845=0),MAX($AD$7:$AD1844)+1,"")</f>
        <v/>
      </c>
      <c r="AE1845" s="31">
        <f>IF($Y1845="",0,$Y1845)</f>
        <v/>
      </c>
    </row>
    <row r="1846">
      <c r="W1846" s="31">
        <f>IF(OR($B$5="",$C$6="",ROW()&lt;$B$5),"",IF(INDEX($A:$U,ROW(),$C$6)="","",INDEX($A:$U,ROW(),$C$6)))</f>
        <v/>
      </c>
      <c r="X1846" s="32">
        <f>IF($W1846="","",IF(ISNUMBER($W1846),IF($W1846&gt;=10000000,IFERROR(DATE(INT($W1846/10000),MOD(INT($W1846/100),100),MOD($W1846,100)),""),INT($W1846)),IFERROR(DATE(--LEFT(LEFT(SUBSTITUTE(SUBSTITUTE(SUBSTITUTE(SUBSTITUTE(TRIM($W1846),"-",""),".",""),"/","")," ",""),8),4),--MID(LEFT(SUBSTITUTE(SUBSTITUTE(SUBSTITUTE(SUBSTITUTE(TRIM($W1846),"-",""),".",""),"/","")," ",""),8),5,2),--MID(LEFT(SUBSTITUTE(SUBSTITUTE(SUBSTITUTE(SUBSTITUTE(TRIM($W1846),"-",""),".",""),"/","")," ",""),8),7,2)),"")))</f>
        <v/>
      </c>
      <c r="Y1846" s="32">
        <f>IF($X1846="","",INT($X1846))</f>
        <v/>
      </c>
      <c r="Z1846" s="33">
        <f>IF(OR($Y1846="",$D$6=""),"",IF(INDEX($A:$U,ROW(),$D$6)="",0,IF(ISNUMBER(INDEX($A:$U,ROW(),$D$6)),INDEX($A:$U,ROW(),$D$6),IFERROR(--SUBSTITUTE(SUBSTITUTE(TRIM(INDEX($A:$U,ROW(),$D$6)),",",""),"원",""),0))))</f>
        <v/>
      </c>
      <c r="AA1846" s="31">
        <f>IF($Y1846="","",TRIM(INDEX($A:$U,ROW(),$E$6)&amp;IF($F$6="",""," "&amp;INDEX($A:$U,ROW(),$F$6))))</f>
        <v/>
      </c>
      <c r="AB1846" s="31">
        <f>IF($AA1846="","",SUBSTITUTE(SUBSTITUTE(SUBSTITUTE(SUBSTITUTE(SUBSTITUTE(SUBSTITUTE(SUBSTITUTE(SUBSTITUTE(SUBSTITUTE($AA1846," ",""),"　",""),"(주)",""),"（주）",""),"㈜",""),"주식회사",""),"(유)",""),"（유）",""),"유한회사",""))</f>
        <v/>
      </c>
      <c r="AC1846" s="31">
        <f>IF(OR($Y1846="",N($Z1846)&lt;=0,$AB1846=""),0,IFERROR(LOOKUP(2,1/((거래처별!$AC$8:$AC$307&lt;&gt;"")*ISNUMBER(SEARCH(거래처별!$AC$8:$AC$307,$AB1846))),거래처별!$A$8:$A$307),IFERROR(LOOKUP(2,1/((거래처별!$AD$8:$AD$307&lt;&gt;"")*ISNUMBER(SEARCH(거래처별!$AD$8:$AD$307,$AB1846))),거래처별!$A$8:$A$307),IFERROR(LOOKUP(2,1/((거래처별!$AE$8:$AE$307&lt;&gt;"")*ISNUMBER(SEARCH(거래처별!$AE$8:$AE$307,$AB1846))),거래처별!$A$8:$A$307),0))))</f>
        <v/>
      </c>
      <c r="AD1846" s="31">
        <f>IF(AND($Y1846&lt;&gt;"",N($Z1846)&gt;0,$AC1846=0),MAX($AD$7:$AD1845)+1,"")</f>
        <v/>
      </c>
      <c r="AE1846" s="31">
        <f>IF($Y1846="",0,$Y1846)</f>
        <v/>
      </c>
    </row>
    <row r="1847">
      <c r="W1847" s="31">
        <f>IF(OR($B$5="",$C$6="",ROW()&lt;$B$5),"",IF(INDEX($A:$U,ROW(),$C$6)="","",INDEX($A:$U,ROW(),$C$6)))</f>
        <v/>
      </c>
      <c r="X1847" s="32">
        <f>IF($W1847="","",IF(ISNUMBER($W1847),IF($W1847&gt;=10000000,IFERROR(DATE(INT($W1847/10000),MOD(INT($W1847/100),100),MOD($W1847,100)),""),INT($W1847)),IFERROR(DATE(--LEFT(LEFT(SUBSTITUTE(SUBSTITUTE(SUBSTITUTE(SUBSTITUTE(TRIM($W1847),"-",""),".",""),"/","")," ",""),8),4),--MID(LEFT(SUBSTITUTE(SUBSTITUTE(SUBSTITUTE(SUBSTITUTE(TRIM($W1847),"-",""),".",""),"/","")," ",""),8),5,2),--MID(LEFT(SUBSTITUTE(SUBSTITUTE(SUBSTITUTE(SUBSTITUTE(TRIM($W1847),"-",""),".",""),"/","")," ",""),8),7,2)),"")))</f>
        <v/>
      </c>
      <c r="Y1847" s="32">
        <f>IF($X1847="","",INT($X1847))</f>
        <v/>
      </c>
      <c r="Z1847" s="33">
        <f>IF(OR($Y1847="",$D$6=""),"",IF(INDEX($A:$U,ROW(),$D$6)="",0,IF(ISNUMBER(INDEX($A:$U,ROW(),$D$6)),INDEX($A:$U,ROW(),$D$6),IFERROR(--SUBSTITUTE(SUBSTITUTE(TRIM(INDEX($A:$U,ROW(),$D$6)),",",""),"원",""),0))))</f>
        <v/>
      </c>
      <c r="AA1847" s="31">
        <f>IF($Y1847="","",TRIM(INDEX($A:$U,ROW(),$E$6)&amp;IF($F$6="",""," "&amp;INDEX($A:$U,ROW(),$F$6))))</f>
        <v/>
      </c>
      <c r="AB1847" s="31">
        <f>IF($AA1847="","",SUBSTITUTE(SUBSTITUTE(SUBSTITUTE(SUBSTITUTE(SUBSTITUTE(SUBSTITUTE(SUBSTITUTE(SUBSTITUTE(SUBSTITUTE($AA1847," ",""),"　",""),"(주)",""),"（주）",""),"㈜",""),"주식회사",""),"(유)",""),"（유）",""),"유한회사",""))</f>
        <v/>
      </c>
      <c r="AC1847" s="31">
        <f>IF(OR($Y1847="",N($Z1847)&lt;=0,$AB1847=""),0,IFERROR(LOOKUP(2,1/((거래처별!$AC$8:$AC$307&lt;&gt;"")*ISNUMBER(SEARCH(거래처별!$AC$8:$AC$307,$AB1847))),거래처별!$A$8:$A$307),IFERROR(LOOKUP(2,1/((거래처별!$AD$8:$AD$307&lt;&gt;"")*ISNUMBER(SEARCH(거래처별!$AD$8:$AD$307,$AB1847))),거래처별!$A$8:$A$307),IFERROR(LOOKUP(2,1/((거래처별!$AE$8:$AE$307&lt;&gt;"")*ISNUMBER(SEARCH(거래처별!$AE$8:$AE$307,$AB1847))),거래처별!$A$8:$A$307),0))))</f>
        <v/>
      </c>
      <c r="AD1847" s="31">
        <f>IF(AND($Y1847&lt;&gt;"",N($Z1847)&gt;0,$AC1847=0),MAX($AD$7:$AD1846)+1,"")</f>
        <v/>
      </c>
      <c r="AE1847" s="31">
        <f>IF($Y1847="",0,$Y1847)</f>
        <v/>
      </c>
    </row>
    <row r="1848">
      <c r="W1848" s="31">
        <f>IF(OR($B$5="",$C$6="",ROW()&lt;$B$5),"",IF(INDEX($A:$U,ROW(),$C$6)="","",INDEX($A:$U,ROW(),$C$6)))</f>
        <v/>
      </c>
      <c r="X1848" s="32">
        <f>IF($W1848="","",IF(ISNUMBER($W1848),IF($W1848&gt;=10000000,IFERROR(DATE(INT($W1848/10000),MOD(INT($W1848/100),100),MOD($W1848,100)),""),INT($W1848)),IFERROR(DATE(--LEFT(LEFT(SUBSTITUTE(SUBSTITUTE(SUBSTITUTE(SUBSTITUTE(TRIM($W1848),"-",""),".",""),"/","")," ",""),8),4),--MID(LEFT(SUBSTITUTE(SUBSTITUTE(SUBSTITUTE(SUBSTITUTE(TRIM($W1848),"-",""),".",""),"/","")," ",""),8),5,2),--MID(LEFT(SUBSTITUTE(SUBSTITUTE(SUBSTITUTE(SUBSTITUTE(TRIM($W1848),"-",""),".",""),"/","")," ",""),8),7,2)),"")))</f>
        <v/>
      </c>
      <c r="Y1848" s="32">
        <f>IF($X1848="","",INT($X1848))</f>
        <v/>
      </c>
      <c r="Z1848" s="33">
        <f>IF(OR($Y1848="",$D$6=""),"",IF(INDEX($A:$U,ROW(),$D$6)="",0,IF(ISNUMBER(INDEX($A:$U,ROW(),$D$6)),INDEX($A:$U,ROW(),$D$6),IFERROR(--SUBSTITUTE(SUBSTITUTE(TRIM(INDEX($A:$U,ROW(),$D$6)),",",""),"원",""),0))))</f>
        <v/>
      </c>
      <c r="AA1848" s="31">
        <f>IF($Y1848="","",TRIM(INDEX($A:$U,ROW(),$E$6)&amp;IF($F$6="",""," "&amp;INDEX($A:$U,ROW(),$F$6))))</f>
        <v/>
      </c>
      <c r="AB1848" s="31">
        <f>IF($AA1848="","",SUBSTITUTE(SUBSTITUTE(SUBSTITUTE(SUBSTITUTE(SUBSTITUTE(SUBSTITUTE(SUBSTITUTE(SUBSTITUTE(SUBSTITUTE($AA1848," ",""),"　",""),"(주)",""),"（주）",""),"㈜",""),"주식회사",""),"(유)",""),"（유）",""),"유한회사",""))</f>
        <v/>
      </c>
      <c r="AC1848" s="31">
        <f>IF(OR($Y1848="",N($Z1848)&lt;=0,$AB1848=""),0,IFERROR(LOOKUP(2,1/((거래처별!$AC$8:$AC$307&lt;&gt;"")*ISNUMBER(SEARCH(거래처별!$AC$8:$AC$307,$AB1848))),거래처별!$A$8:$A$307),IFERROR(LOOKUP(2,1/((거래처별!$AD$8:$AD$307&lt;&gt;"")*ISNUMBER(SEARCH(거래처별!$AD$8:$AD$307,$AB1848))),거래처별!$A$8:$A$307),IFERROR(LOOKUP(2,1/((거래처별!$AE$8:$AE$307&lt;&gt;"")*ISNUMBER(SEARCH(거래처별!$AE$8:$AE$307,$AB1848))),거래처별!$A$8:$A$307),0))))</f>
        <v/>
      </c>
      <c r="AD1848" s="31">
        <f>IF(AND($Y1848&lt;&gt;"",N($Z1848)&gt;0,$AC1848=0),MAX($AD$7:$AD1847)+1,"")</f>
        <v/>
      </c>
      <c r="AE1848" s="31">
        <f>IF($Y1848="",0,$Y1848)</f>
        <v/>
      </c>
    </row>
    <row r="1849">
      <c r="W1849" s="31">
        <f>IF(OR($B$5="",$C$6="",ROW()&lt;$B$5),"",IF(INDEX($A:$U,ROW(),$C$6)="","",INDEX($A:$U,ROW(),$C$6)))</f>
        <v/>
      </c>
      <c r="X1849" s="32">
        <f>IF($W1849="","",IF(ISNUMBER($W1849),IF($W1849&gt;=10000000,IFERROR(DATE(INT($W1849/10000),MOD(INT($W1849/100),100),MOD($W1849,100)),""),INT($W1849)),IFERROR(DATE(--LEFT(LEFT(SUBSTITUTE(SUBSTITUTE(SUBSTITUTE(SUBSTITUTE(TRIM($W1849),"-",""),".",""),"/","")," ",""),8),4),--MID(LEFT(SUBSTITUTE(SUBSTITUTE(SUBSTITUTE(SUBSTITUTE(TRIM($W1849),"-",""),".",""),"/","")," ",""),8),5,2),--MID(LEFT(SUBSTITUTE(SUBSTITUTE(SUBSTITUTE(SUBSTITUTE(TRIM($W1849),"-",""),".",""),"/","")," ",""),8),7,2)),"")))</f>
        <v/>
      </c>
      <c r="Y1849" s="32">
        <f>IF($X1849="","",INT($X1849))</f>
        <v/>
      </c>
      <c r="Z1849" s="33">
        <f>IF(OR($Y1849="",$D$6=""),"",IF(INDEX($A:$U,ROW(),$D$6)="",0,IF(ISNUMBER(INDEX($A:$U,ROW(),$D$6)),INDEX($A:$U,ROW(),$D$6),IFERROR(--SUBSTITUTE(SUBSTITUTE(TRIM(INDEX($A:$U,ROW(),$D$6)),",",""),"원",""),0))))</f>
        <v/>
      </c>
      <c r="AA1849" s="31">
        <f>IF($Y1849="","",TRIM(INDEX($A:$U,ROW(),$E$6)&amp;IF($F$6="",""," "&amp;INDEX($A:$U,ROW(),$F$6))))</f>
        <v/>
      </c>
      <c r="AB1849" s="31">
        <f>IF($AA1849="","",SUBSTITUTE(SUBSTITUTE(SUBSTITUTE(SUBSTITUTE(SUBSTITUTE(SUBSTITUTE(SUBSTITUTE(SUBSTITUTE(SUBSTITUTE($AA1849," ",""),"　",""),"(주)",""),"（주）",""),"㈜",""),"주식회사",""),"(유)",""),"（유）",""),"유한회사",""))</f>
        <v/>
      </c>
      <c r="AC1849" s="31">
        <f>IF(OR($Y1849="",N($Z1849)&lt;=0,$AB1849=""),0,IFERROR(LOOKUP(2,1/((거래처별!$AC$8:$AC$307&lt;&gt;"")*ISNUMBER(SEARCH(거래처별!$AC$8:$AC$307,$AB1849))),거래처별!$A$8:$A$307),IFERROR(LOOKUP(2,1/((거래처별!$AD$8:$AD$307&lt;&gt;"")*ISNUMBER(SEARCH(거래처별!$AD$8:$AD$307,$AB1849))),거래처별!$A$8:$A$307),IFERROR(LOOKUP(2,1/((거래처별!$AE$8:$AE$307&lt;&gt;"")*ISNUMBER(SEARCH(거래처별!$AE$8:$AE$307,$AB1849))),거래처별!$A$8:$A$307),0))))</f>
        <v/>
      </c>
      <c r="AD1849" s="31">
        <f>IF(AND($Y1849&lt;&gt;"",N($Z1849)&gt;0,$AC1849=0),MAX($AD$7:$AD1848)+1,"")</f>
        <v/>
      </c>
      <c r="AE1849" s="31">
        <f>IF($Y1849="",0,$Y1849)</f>
        <v/>
      </c>
    </row>
    <row r="1850">
      <c r="W1850" s="31">
        <f>IF(OR($B$5="",$C$6="",ROW()&lt;$B$5),"",IF(INDEX($A:$U,ROW(),$C$6)="","",INDEX($A:$U,ROW(),$C$6)))</f>
        <v/>
      </c>
      <c r="X1850" s="32">
        <f>IF($W1850="","",IF(ISNUMBER($W1850),IF($W1850&gt;=10000000,IFERROR(DATE(INT($W1850/10000),MOD(INT($W1850/100),100),MOD($W1850,100)),""),INT($W1850)),IFERROR(DATE(--LEFT(LEFT(SUBSTITUTE(SUBSTITUTE(SUBSTITUTE(SUBSTITUTE(TRIM($W1850),"-",""),".",""),"/","")," ",""),8),4),--MID(LEFT(SUBSTITUTE(SUBSTITUTE(SUBSTITUTE(SUBSTITUTE(TRIM($W1850),"-",""),".",""),"/","")," ",""),8),5,2),--MID(LEFT(SUBSTITUTE(SUBSTITUTE(SUBSTITUTE(SUBSTITUTE(TRIM($W1850),"-",""),".",""),"/","")," ",""),8),7,2)),"")))</f>
        <v/>
      </c>
      <c r="Y1850" s="32">
        <f>IF($X1850="","",INT($X1850))</f>
        <v/>
      </c>
      <c r="Z1850" s="33">
        <f>IF(OR($Y1850="",$D$6=""),"",IF(INDEX($A:$U,ROW(),$D$6)="",0,IF(ISNUMBER(INDEX($A:$U,ROW(),$D$6)),INDEX($A:$U,ROW(),$D$6),IFERROR(--SUBSTITUTE(SUBSTITUTE(TRIM(INDEX($A:$U,ROW(),$D$6)),",",""),"원",""),0))))</f>
        <v/>
      </c>
      <c r="AA1850" s="31">
        <f>IF($Y1850="","",TRIM(INDEX($A:$U,ROW(),$E$6)&amp;IF($F$6="",""," "&amp;INDEX($A:$U,ROW(),$F$6))))</f>
        <v/>
      </c>
      <c r="AB1850" s="31">
        <f>IF($AA1850="","",SUBSTITUTE(SUBSTITUTE(SUBSTITUTE(SUBSTITUTE(SUBSTITUTE(SUBSTITUTE(SUBSTITUTE(SUBSTITUTE(SUBSTITUTE($AA1850," ",""),"　",""),"(주)",""),"（주）",""),"㈜",""),"주식회사",""),"(유)",""),"（유）",""),"유한회사",""))</f>
        <v/>
      </c>
      <c r="AC1850" s="31">
        <f>IF(OR($Y1850="",N($Z1850)&lt;=0,$AB1850=""),0,IFERROR(LOOKUP(2,1/((거래처별!$AC$8:$AC$307&lt;&gt;"")*ISNUMBER(SEARCH(거래처별!$AC$8:$AC$307,$AB1850))),거래처별!$A$8:$A$307),IFERROR(LOOKUP(2,1/((거래처별!$AD$8:$AD$307&lt;&gt;"")*ISNUMBER(SEARCH(거래처별!$AD$8:$AD$307,$AB1850))),거래처별!$A$8:$A$307),IFERROR(LOOKUP(2,1/((거래처별!$AE$8:$AE$307&lt;&gt;"")*ISNUMBER(SEARCH(거래처별!$AE$8:$AE$307,$AB1850))),거래처별!$A$8:$A$307),0))))</f>
        <v/>
      </c>
      <c r="AD1850" s="31">
        <f>IF(AND($Y1850&lt;&gt;"",N($Z1850)&gt;0,$AC1850=0),MAX($AD$7:$AD1849)+1,"")</f>
        <v/>
      </c>
      <c r="AE1850" s="31">
        <f>IF($Y1850="",0,$Y1850)</f>
        <v/>
      </c>
    </row>
    <row r="1851">
      <c r="W1851" s="31">
        <f>IF(OR($B$5="",$C$6="",ROW()&lt;$B$5),"",IF(INDEX($A:$U,ROW(),$C$6)="","",INDEX($A:$U,ROW(),$C$6)))</f>
        <v/>
      </c>
      <c r="X1851" s="32">
        <f>IF($W1851="","",IF(ISNUMBER($W1851),IF($W1851&gt;=10000000,IFERROR(DATE(INT($W1851/10000),MOD(INT($W1851/100),100),MOD($W1851,100)),""),INT($W1851)),IFERROR(DATE(--LEFT(LEFT(SUBSTITUTE(SUBSTITUTE(SUBSTITUTE(SUBSTITUTE(TRIM($W1851),"-",""),".",""),"/","")," ",""),8),4),--MID(LEFT(SUBSTITUTE(SUBSTITUTE(SUBSTITUTE(SUBSTITUTE(TRIM($W1851),"-",""),".",""),"/","")," ",""),8),5,2),--MID(LEFT(SUBSTITUTE(SUBSTITUTE(SUBSTITUTE(SUBSTITUTE(TRIM($W1851),"-",""),".",""),"/","")," ",""),8),7,2)),"")))</f>
        <v/>
      </c>
      <c r="Y1851" s="32">
        <f>IF($X1851="","",INT($X1851))</f>
        <v/>
      </c>
      <c r="Z1851" s="33">
        <f>IF(OR($Y1851="",$D$6=""),"",IF(INDEX($A:$U,ROW(),$D$6)="",0,IF(ISNUMBER(INDEX($A:$U,ROW(),$D$6)),INDEX($A:$U,ROW(),$D$6),IFERROR(--SUBSTITUTE(SUBSTITUTE(TRIM(INDEX($A:$U,ROW(),$D$6)),",",""),"원",""),0))))</f>
        <v/>
      </c>
      <c r="AA1851" s="31">
        <f>IF($Y1851="","",TRIM(INDEX($A:$U,ROW(),$E$6)&amp;IF($F$6="",""," "&amp;INDEX($A:$U,ROW(),$F$6))))</f>
        <v/>
      </c>
      <c r="AB1851" s="31">
        <f>IF($AA1851="","",SUBSTITUTE(SUBSTITUTE(SUBSTITUTE(SUBSTITUTE(SUBSTITUTE(SUBSTITUTE(SUBSTITUTE(SUBSTITUTE(SUBSTITUTE($AA1851," ",""),"　",""),"(주)",""),"（주）",""),"㈜",""),"주식회사",""),"(유)",""),"（유）",""),"유한회사",""))</f>
        <v/>
      </c>
      <c r="AC1851" s="31">
        <f>IF(OR($Y1851="",N($Z1851)&lt;=0,$AB1851=""),0,IFERROR(LOOKUP(2,1/((거래처별!$AC$8:$AC$307&lt;&gt;"")*ISNUMBER(SEARCH(거래처별!$AC$8:$AC$307,$AB1851))),거래처별!$A$8:$A$307),IFERROR(LOOKUP(2,1/((거래처별!$AD$8:$AD$307&lt;&gt;"")*ISNUMBER(SEARCH(거래처별!$AD$8:$AD$307,$AB1851))),거래처별!$A$8:$A$307),IFERROR(LOOKUP(2,1/((거래처별!$AE$8:$AE$307&lt;&gt;"")*ISNUMBER(SEARCH(거래처별!$AE$8:$AE$307,$AB1851))),거래처별!$A$8:$A$307),0))))</f>
        <v/>
      </c>
      <c r="AD1851" s="31">
        <f>IF(AND($Y1851&lt;&gt;"",N($Z1851)&gt;0,$AC1851=0),MAX($AD$7:$AD1850)+1,"")</f>
        <v/>
      </c>
      <c r="AE1851" s="31">
        <f>IF($Y1851="",0,$Y1851)</f>
        <v/>
      </c>
    </row>
    <row r="1852">
      <c r="W1852" s="31">
        <f>IF(OR($B$5="",$C$6="",ROW()&lt;$B$5),"",IF(INDEX($A:$U,ROW(),$C$6)="","",INDEX($A:$U,ROW(),$C$6)))</f>
        <v/>
      </c>
      <c r="X1852" s="32">
        <f>IF($W1852="","",IF(ISNUMBER($W1852),IF($W1852&gt;=10000000,IFERROR(DATE(INT($W1852/10000),MOD(INT($W1852/100),100),MOD($W1852,100)),""),INT($W1852)),IFERROR(DATE(--LEFT(LEFT(SUBSTITUTE(SUBSTITUTE(SUBSTITUTE(SUBSTITUTE(TRIM($W1852),"-",""),".",""),"/","")," ",""),8),4),--MID(LEFT(SUBSTITUTE(SUBSTITUTE(SUBSTITUTE(SUBSTITUTE(TRIM($W1852),"-",""),".",""),"/","")," ",""),8),5,2),--MID(LEFT(SUBSTITUTE(SUBSTITUTE(SUBSTITUTE(SUBSTITUTE(TRIM($W1852),"-",""),".",""),"/","")," ",""),8),7,2)),"")))</f>
        <v/>
      </c>
      <c r="Y1852" s="32">
        <f>IF($X1852="","",INT($X1852))</f>
        <v/>
      </c>
      <c r="Z1852" s="33">
        <f>IF(OR($Y1852="",$D$6=""),"",IF(INDEX($A:$U,ROW(),$D$6)="",0,IF(ISNUMBER(INDEX($A:$U,ROW(),$D$6)),INDEX($A:$U,ROW(),$D$6),IFERROR(--SUBSTITUTE(SUBSTITUTE(TRIM(INDEX($A:$U,ROW(),$D$6)),",",""),"원",""),0))))</f>
        <v/>
      </c>
      <c r="AA1852" s="31">
        <f>IF($Y1852="","",TRIM(INDEX($A:$U,ROW(),$E$6)&amp;IF($F$6="",""," "&amp;INDEX($A:$U,ROW(),$F$6))))</f>
        <v/>
      </c>
      <c r="AB1852" s="31">
        <f>IF($AA1852="","",SUBSTITUTE(SUBSTITUTE(SUBSTITUTE(SUBSTITUTE(SUBSTITUTE(SUBSTITUTE(SUBSTITUTE(SUBSTITUTE(SUBSTITUTE($AA1852," ",""),"　",""),"(주)",""),"（주）",""),"㈜",""),"주식회사",""),"(유)",""),"（유）",""),"유한회사",""))</f>
        <v/>
      </c>
      <c r="AC1852" s="31">
        <f>IF(OR($Y1852="",N($Z1852)&lt;=0,$AB1852=""),0,IFERROR(LOOKUP(2,1/((거래처별!$AC$8:$AC$307&lt;&gt;"")*ISNUMBER(SEARCH(거래처별!$AC$8:$AC$307,$AB1852))),거래처별!$A$8:$A$307),IFERROR(LOOKUP(2,1/((거래처별!$AD$8:$AD$307&lt;&gt;"")*ISNUMBER(SEARCH(거래처별!$AD$8:$AD$307,$AB1852))),거래처별!$A$8:$A$307),IFERROR(LOOKUP(2,1/((거래처별!$AE$8:$AE$307&lt;&gt;"")*ISNUMBER(SEARCH(거래처별!$AE$8:$AE$307,$AB1852))),거래처별!$A$8:$A$307),0))))</f>
        <v/>
      </c>
      <c r="AD1852" s="31">
        <f>IF(AND($Y1852&lt;&gt;"",N($Z1852)&gt;0,$AC1852=0),MAX($AD$7:$AD1851)+1,"")</f>
        <v/>
      </c>
      <c r="AE1852" s="31">
        <f>IF($Y1852="",0,$Y1852)</f>
        <v/>
      </c>
    </row>
    <row r="1853">
      <c r="W1853" s="31">
        <f>IF(OR($B$5="",$C$6="",ROW()&lt;$B$5),"",IF(INDEX($A:$U,ROW(),$C$6)="","",INDEX($A:$U,ROW(),$C$6)))</f>
        <v/>
      </c>
      <c r="X1853" s="32">
        <f>IF($W1853="","",IF(ISNUMBER($W1853),IF($W1853&gt;=10000000,IFERROR(DATE(INT($W1853/10000),MOD(INT($W1853/100),100),MOD($W1853,100)),""),INT($W1853)),IFERROR(DATE(--LEFT(LEFT(SUBSTITUTE(SUBSTITUTE(SUBSTITUTE(SUBSTITUTE(TRIM($W1853),"-",""),".",""),"/","")," ",""),8),4),--MID(LEFT(SUBSTITUTE(SUBSTITUTE(SUBSTITUTE(SUBSTITUTE(TRIM($W1853),"-",""),".",""),"/","")," ",""),8),5,2),--MID(LEFT(SUBSTITUTE(SUBSTITUTE(SUBSTITUTE(SUBSTITUTE(TRIM($W1853),"-",""),".",""),"/","")," ",""),8),7,2)),"")))</f>
        <v/>
      </c>
      <c r="Y1853" s="32">
        <f>IF($X1853="","",INT($X1853))</f>
        <v/>
      </c>
      <c r="Z1853" s="33">
        <f>IF(OR($Y1853="",$D$6=""),"",IF(INDEX($A:$U,ROW(),$D$6)="",0,IF(ISNUMBER(INDEX($A:$U,ROW(),$D$6)),INDEX($A:$U,ROW(),$D$6),IFERROR(--SUBSTITUTE(SUBSTITUTE(TRIM(INDEX($A:$U,ROW(),$D$6)),",",""),"원",""),0))))</f>
        <v/>
      </c>
      <c r="AA1853" s="31">
        <f>IF($Y1853="","",TRIM(INDEX($A:$U,ROW(),$E$6)&amp;IF($F$6="",""," "&amp;INDEX($A:$U,ROW(),$F$6))))</f>
        <v/>
      </c>
      <c r="AB1853" s="31">
        <f>IF($AA1853="","",SUBSTITUTE(SUBSTITUTE(SUBSTITUTE(SUBSTITUTE(SUBSTITUTE(SUBSTITUTE(SUBSTITUTE(SUBSTITUTE(SUBSTITUTE($AA1853," ",""),"　",""),"(주)",""),"（주）",""),"㈜",""),"주식회사",""),"(유)",""),"（유）",""),"유한회사",""))</f>
        <v/>
      </c>
      <c r="AC1853" s="31">
        <f>IF(OR($Y1853="",N($Z1853)&lt;=0,$AB1853=""),0,IFERROR(LOOKUP(2,1/((거래처별!$AC$8:$AC$307&lt;&gt;"")*ISNUMBER(SEARCH(거래처별!$AC$8:$AC$307,$AB1853))),거래처별!$A$8:$A$307),IFERROR(LOOKUP(2,1/((거래처별!$AD$8:$AD$307&lt;&gt;"")*ISNUMBER(SEARCH(거래처별!$AD$8:$AD$307,$AB1853))),거래처별!$A$8:$A$307),IFERROR(LOOKUP(2,1/((거래처별!$AE$8:$AE$307&lt;&gt;"")*ISNUMBER(SEARCH(거래처별!$AE$8:$AE$307,$AB1853))),거래처별!$A$8:$A$307),0))))</f>
        <v/>
      </c>
      <c r="AD1853" s="31">
        <f>IF(AND($Y1853&lt;&gt;"",N($Z1853)&gt;0,$AC1853=0),MAX($AD$7:$AD1852)+1,"")</f>
        <v/>
      </c>
      <c r="AE1853" s="31">
        <f>IF($Y1853="",0,$Y1853)</f>
        <v/>
      </c>
    </row>
    <row r="1854">
      <c r="W1854" s="31">
        <f>IF(OR($B$5="",$C$6="",ROW()&lt;$B$5),"",IF(INDEX($A:$U,ROW(),$C$6)="","",INDEX($A:$U,ROW(),$C$6)))</f>
        <v/>
      </c>
      <c r="X1854" s="32">
        <f>IF($W1854="","",IF(ISNUMBER($W1854),IF($W1854&gt;=10000000,IFERROR(DATE(INT($W1854/10000),MOD(INT($W1854/100),100),MOD($W1854,100)),""),INT($W1854)),IFERROR(DATE(--LEFT(LEFT(SUBSTITUTE(SUBSTITUTE(SUBSTITUTE(SUBSTITUTE(TRIM($W1854),"-",""),".",""),"/","")," ",""),8),4),--MID(LEFT(SUBSTITUTE(SUBSTITUTE(SUBSTITUTE(SUBSTITUTE(TRIM($W1854),"-",""),".",""),"/","")," ",""),8),5,2),--MID(LEFT(SUBSTITUTE(SUBSTITUTE(SUBSTITUTE(SUBSTITUTE(TRIM($W1854),"-",""),".",""),"/","")," ",""),8),7,2)),"")))</f>
        <v/>
      </c>
      <c r="Y1854" s="32">
        <f>IF($X1854="","",INT($X1854))</f>
        <v/>
      </c>
      <c r="Z1854" s="33">
        <f>IF(OR($Y1854="",$D$6=""),"",IF(INDEX($A:$U,ROW(),$D$6)="",0,IF(ISNUMBER(INDEX($A:$U,ROW(),$D$6)),INDEX($A:$U,ROW(),$D$6),IFERROR(--SUBSTITUTE(SUBSTITUTE(TRIM(INDEX($A:$U,ROW(),$D$6)),",",""),"원",""),0))))</f>
        <v/>
      </c>
      <c r="AA1854" s="31">
        <f>IF($Y1854="","",TRIM(INDEX($A:$U,ROW(),$E$6)&amp;IF($F$6="",""," "&amp;INDEX($A:$U,ROW(),$F$6))))</f>
        <v/>
      </c>
      <c r="AB1854" s="31">
        <f>IF($AA1854="","",SUBSTITUTE(SUBSTITUTE(SUBSTITUTE(SUBSTITUTE(SUBSTITUTE(SUBSTITUTE(SUBSTITUTE(SUBSTITUTE(SUBSTITUTE($AA1854," ",""),"　",""),"(주)",""),"（주）",""),"㈜",""),"주식회사",""),"(유)",""),"（유）",""),"유한회사",""))</f>
        <v/>
      </c>
      <c r="AC1854" s="31">
        <f>IF(OR($Y1854="",N($Z1854)&lt;=0,$AB1854=""),0,IFERROR(LOOKUP(2,1/((거래처별!$AC$8:$AC$307&lt;&gt;"")*ISNUMBER(SEARCH(거래처별!$AC$8:$AC$307,$AB1854))),거래처별!$A$8:$A$307),IFERROR(LOOKUP(2,1/((거래처별!$AD$8:$AD$307&lt;&gt;"")*ISNUMBER(SEARCH(거래처별!$AD$8:$AD$307,$AB1854))),거래처별!$A$8:$A$307),IFERROR(LOOKUP(2,1/((거래처별!$AE$8:$AE$307&lt;&gt;"")*ISNUMBER(SEARCH(거래처별!$AE$8:$AE$307,$AB1854))),거래처별!$A$8:$A$307),0))))</f>
        <v/>
      </c>
      <c r="AD1854" s="31">
        <f>IF(AND($Y1854&lt;&gt;"",N($Z1854)&gt;0,$AC1854=0),MAX($AD$7:$AD1853)+1,"")</f>
        <v/>
      </c>
      <c r="AE1854" s="31">
        <f>IF($Y1854="",0,$Y1854)</f>
        <v/>
      </c>
    </row>
    <row r="1855">
      <c r="W1855" s="31">
        <f>IF(OR($B$5="",$C$6="",ROW()&lt;$B$5),"",IF(INDEX($A:$U,ROW(),$C$6)="","",INDEX($A:$U,ROW(),$C$6)))</f>
        <v/>
      </c>
      <c r="X1855" s="32">
        <f>IF($W1855="","",IF(ISNUMBER($W1855),IF($W1855&gt;=10000000,IFERROR(DATE(INT($W1855/10000),MOD(INT($W1855/100),100),MOD($W1855,100)),""),INT($W1855)),IFERROR(DATE(--LEFT(LEFT(SUBSTITUTE(SUBSTITUTE(SUBSTITUTE(SUBSTITUTE(TRIM($W1855),"-",""),".",""),"/","")," ",""),8),4),--MID(LEFT(SUBSTITUTE(SUBSTITUTE(SUBSTITUTE(SUBSTITUTE(TRIM($W1855),"-",""),".",""),"/","")," ",""),8),5,2),--MID(LEFT(SUBSTITUTE(SUBSTITUTE(SUBSTITUTE(SUBSTITUTE(TRIM($W1855),"-",""),".",""),"/","")," ",""),8),7,2)),"")))</f>
        <v/>
      </c>
      <c r="Y1855" s="32">
        <f>IF($X1855="","",INT($X1855))</f>
        <v/>
      </c>
      <c r="Z1855" s="33">
        <f>IF(OR($Y1855="",$D$6=""),"",IF(INDEX($A:$U,ROW(),$D$6)="",0,IF(ISNUMBER(INDEX($A:$U,ROW(),$D$6)),INDEX($A:$U,ROW(),$D$6),IFERROR(--SUBSTITUTE(SUBSTITUTE(TRIM(INDEX($A:$U,ROW(),$D$6)),",",""),"원",""),0))))</f>
        <v/>
      </c>
      <c r="AA1855" s="31">
        <f>IF($Y1855="","",TRIM(INDEX($A:$U,ROW(),$E$6)&amp;IF($F$6="",""," "&amp;INDEX($A:$U,ROW(),$F$6))))</f>
        <v/>
      </c>
      <c r="AB1855" s="31">
        <f>IF($AA1855="","",SUBSTITUTE(SUBSTITUTE(SUBSTITUTE(SUBSTITUTE(SUBSTITUTE(SUBSTITUTE(SUBSTITUTE(SUBSTITUTE(SUBSTITUTE($AA1855," ",""),"　",""),"(주)",""),"（주）",""),"㈜",""),"주식회사",""),"(유)",""),"（유）",""),"유한회사",""))</f>
        <v/>
      </c>
      <c r="AC1855" s="31">
        <f>IF(OR($Y1855="",N($Z1855)&lt;=0,$AB1855=""),0,IFERROR(LOOKUP(2,1/((거래처별!$AC$8:$AC$307&lt;&gt;"")*ISNUMBER(SEARCH(거래처별!$AC$8:$AC$307,$AB1855))),거래처별!$A$8:$A$307),IFERROR(LOOKUP(2,1/((거래처별!$AD$8:$AD$307&lt;&gt;"")*ISNUMBER(SEARCH(거래처별!$AD$8:$AD$307,$AB1855))),거래처별!$A$8:$A$307),IFERROR(LOOKUP(2,1/((거래처별!$AE$8:$AE$307&lt;&gt;"")*ISNUMBER(SEARCH(거래처별!$AE$8:$AE$307,$AB1855))),거래처별!$A$8:$A$307),0))))</f>
        <v/>
      </c>
      <c r="AD1855" s="31">
        <f>IF(AND($Y1855&lt;&gt;"",N($Z1855)&gt;0,$AC1855=0),MAX($AD$7:$AD1854)+1,"")</f>
        <v/>
      </c>
      <c r="AE1855" s="31">
        <f>IF($Y1855="",0,$Y1855)</f>
        <v/>
      </c>
    </row>
    <row r="1856">
      <c r="W1856" s="31">
        <f>IF(OR($B$5="",$C$6="",ROW()&lt;$B$5),"",IF(INDEX($A:$U,ROW(),$C$6)="","",INDEX($A:$U,ROW(),$C$6)))</f>
        <v/>
      </c>
      <c r="X1856" s="32">
        <f>IF($W1856="","",IF(ISNUMBER($W1856),IF($W1856&gt;=10000000,IFERROR(DATE(INT($W1856/10000),MOD(INT($W1856/100),100),MOD($W1856,100)),""),INT($W1856)),IFERROR(DATE(--LEFT(LEFT(SUBSTITUTE(SUBSTITUTE(SUBSTITUTE(SUBSTITUTE(TRIM($W1856),"-",""),".",""),"/","")," ",""),8),4),--MID(LEFT(SUBSTITUTE(SUBSTITUTE(SUBSTITUTE(SUBSTITUTE(TRIM($W1856),"-",""),".",""),"/","")," ",""),8),5,2),--MID(LEFT(SUBSTITUTE(SUBSTITUTE(SUBSTITUTE(SUBSTITUTE(TRIM($W1856),"-",""),".",""),"/","")," ",""),8),7,2)),"")))</f>
        <v/>
      </c>
      <c r="Y1856" s="32">
        <f>IF($X1856="","",INT($X1856))</f>
        <v/>
      </c>
      <c r="Z1856" s="33">
        <f>IF(OR($Y1856="",$D$6=""),"",IF(INDEX($A:$U,ROW(),$D$6)="",0,IF(ISNUMBER(INDEX($A:$U,ROW(),$D$6)),INDEX($A:$U,ROW(),$D$6),IFERROR(--SUBSTITUTE(SUBSTITUTE(TRIM(INDEX($A:$U,ROW(),$D$6)),",",""),"원",""),0))))</f>
        <v/>
      </c>
      <c r="AA1856" s="31">
        <f>IF($Y1856="","",TRIM(INDEX($A:$U,ROW(),$E$6)&amp;IF($F$6="",""," "&amp;INDEX($A:$U,ROW(),$F$6))))</f>
        <v/>
      </c>
      <c r="AB1856" s="31">
        <f>IF($AA1856="","",SUBSTITUTE(SUBSTITUTE(SUBSTITUTE(SUBSTITUTE(SUBSTITUTE(SUBSTITUTE(SUBSTITUTE(SUBSTITUTE(SUBSTITUTE($AA1856," ",""),"　",""),"(주)",""),"（주）",""),"㈜",""),"주식회사",""),"(유)",""),"（유）",""),"유한회사",""))</f>
        <v/>
      </c>
      <c r="AC1856" s="31">
        <f>IF(OR($Y1856="",N($Z1856)&lt;=0,$AB1856=""),0,IFERROR(LOOKUP(2,1/((거래처별!$AC$8:$AC$307&lt;&gt;"")*ISNUMBER(SEARCH(거래처별!$AC$8:$AC$307,$AB1856))),거래처별!$A$8:$A$307),IFERROR(LOOKUP(2,1/((거래처별!$AD$8:$AD$307&lt;&gt;"")*ISNUMBER(SEARCH(거래처별!$AD$8:$AD$307,$AB1856))),거래처별!$A$8:$A$307),IFERROR(LOOKUP(2,1/((거래처별!$AE$8:$AE$307&lt;&gt;"")*ISNUMBER(SEARCH(거래처별!$AE$8:$AE$307,$AB1856))),거래처별!$A$8:$A$307),0))))</f>
        <v/>
      </c>
      <c r="AD1856" s="31">
        <f>IF(AND($Y1856&lt;&gt;"",N($Z1856)&gt;0,$AC1856=0),MAX($AD$7:$AD1855)+1,"")</f>
        <v/>
      </c>
      <c r="AE1856" s="31">
        <f>IF($Y1856="",0,$Y1856)</f>
        <v/>
      </c>
    </row>
    <row r="1857">
      <c r="W1857" s="31">
        <f>IF(OR($B$5="",$C$6="",ROW()&lt;$B$5),"",IF(INDEX($A:$U,ROW(),$C$6)="","",INDEX($A:$U,ROW(),$C$6)))</f>
        <v/>
      </c>
      <c r="X1857" s="32">
        <f>IF($W1857="","",IF(ISNUMBER($W1857),IF($W1857&gt;=10000000,IFERROR(DATE(INT($W1857/10000),MOD(INT($W1857/100),100),MOD($W1857,100)),""),INT($W1857)),IFERROR(DATE(--LEFT(LEFT(SUBSTITUTE(SUBSTITUTE(SUBSTITUTE(SUBSTITUTE(TRIM($W1857),"-",""),".",""),"/","")," ",""),8),4),--MID(LEFT(SUBSTITUTE(SUBSTITUTE(SUBSTITUTE(SUBSTITUTE(TRIM($W1857),"-",""),".",""),"/","")," ",""),8),5,2),--MID(LEFT(SUBSTITUTE(SUBSTITUTE(SUBSTITUTE(SUBSTITUTE(TRIM($W1857),"-",""),".",""),"/","")," ",""),8),7,2)),"")))</f>
        <v/>
      </c>
      <c r="Y1857" s="32">
        <f>IF($X1857="","",INT($X1857))</f>
        <v/>
      </c>
      <c r="Z1857" s="33">
        <f>IF(OR($Y1857="",$D$6=""),"",IF(INDEX($A:$U,ROW(),$D$6)="",0,IF(ISNUMBER(INDEX($A:$U,ROW(),$D$6)),INDEX($A:$U,ROW(),$D$6),IFERROR(--SUBSTITUTE(SUBSTITUTE(TRIM(INDEX($A:$U,ROW(),$D$6)),",",""),"원",""),0))))</f>
        <v/>
      </c>
      <c r="AA1857" s="31">
        <f>IF($Y1857="","",TRIM(INDEX($A:$U,ROW(),$E$6)&amp;IF($F$6="",""," "&amp;INDEX($A:$U,ROW(),$F$6))))</f>
        <v/>
      </c>
      <c r="AB1857" s="31">
        <f>IF($AA1857="","",SUBSTITUTE(SUBSTITUTE(SUBSTITUTE(SUBSTITUTE(SUBSTITUTE(SUBSTITUTE(SUBSTITUTE(SUBSTITUTE(SUBSTITUTE($AA1857," ",""),"　",""),"(주)",""),"（주）",""),"㈜",""),"주식회사",""),"(유)",""),"（유）",""),"유한회사",""))</f>
        <v/>
      </c>
      <c r="AC1857" s="31">
        <f>IF(OR($Y1857="",N($Z1857)&lt;=0,$AB1857=""),0,IFERROR(LOOKUP(2,1/((거래처별!$AC$8:$AC$307&lt;&gt;"")*ISNUMBER(SEARCH(거래처별!$AC$8:$AC$307,$AB1857))),거래처별!$A$8:$A$307),IFERROR(LOOKUP(2,1/((거래처별!$AD$8:$AD$307&lt;&gt;"")*ISNUMBER(SEARCH(거래처별!$AD$8:$AD$307,$AB1857))),거래처별!$A$8:$A$307),IFERROR(LOOKUP(2,1/((거래처별!$AE$8:$AE$307&lt;&gt;"")*ISNUMBER(SEARCH(거래처별!$AE$8:$AE$307,$AB1857))),거래처별!$A$8:$A$307),0))))</f>
        <v/>
      </c>
      <c r="AD1857" s="31">
        <f>IF(AND($Y1857&lt;&gt;"",N($Z1857)&gt;0,$AC1857=0),MAX($AD$7:$AD1856)+1,"")</f>
        <v/>
      </c>
      <c r="AE1857" s="31">
        <f>IF($Y1857="",0,$Y1857)</f>
        <v/>
      </c>
    </row>
    <row r="1858">
      <c r="W1858" s="31">
        <f>IF(OR($B$5="",$C$6="",ROW()&lt;$B$5),"",IF(INDEX($A:$U,ROW(),$C$6)="","",INDEX($A:$U,ROW(),$C$6)))</f>
        <v/>
      </c>
      <c r="X1858" s="32">
        <f>IF($W1858="","",IF(ISNUMBER($W1858),IF($W1858&gt;=10000000,IFERROR(DATE(INT($W1858/10000),MOD(INT($W1858/100),100),MOD($W1858,100)),""),INT($W1858)),IFERROR(DATE(--LEFT(LEFT(SUBSTITUTE(SUBSTITUTE(SUBSTITUTE(SUBSTITUTE(TRIM($W1858),"-",""),".",""),"/","")," ",""),8),4),--MID(LEFT(SUBSTITUTE(SUBSTITUTE(SUBSTITUTE(SUBSTITUTE(TRIM($W1858),"-",""),".",""),"/","")," ",""),8),5,2),--MID(LEFT(SUBSTITUTE(SUBSTITUTE(SUBSTITUTE(SUBSTITUTE(TRIM($W1858),"-",""),".",""),"/","")," ",""),8),7,2)),"")))</f>
        <v/>
      </c>
      <c r="Y1858" s="32">
        <f>IF($X1858="","",INT($X1858))</f>
        <v/>
      </c>
      <c r="Z1858" s="33">
        <f>IF(OR($Y1858="",$D$6=""),"",IF(INDEX($A:$U,ROW(),$D$6)="",0,IF(ISNUMBER(INDEX($A:$U,ROW(),$D$6)),INDEX($A:$U,ROW(),$D$6),IFERROR(--SUBSTITUTE(SUBSTITUTE(TRIM(INDEX($A:$U,ROW(),$D$6)),",",""),"원",""),0))))</f>
        <v/>
      </c>
      <c r="AA1858" s="31">
        <f>IF($Y1858="","",TRIM(INDEX($A:$U,ROW(),$E$6)&amp;IF($F$6="",""," "&amp;INDEX($A:$U,ROW(),$F$6))))</f>
        <v/>
      </c>
      <c r="AB1858" s="31">
        <f>IF($AA1858="","",SUBSTITUTE(SUBSTITUTE(SUBSTITUTE(SUBSTITUTE(SUBSTITUTE(SUBSTITUTE(SUBSTITUTE(SUBSTITUTE(SUBSTITUTE($AA1858," ",""),"　",""),"(주)",""),"（주）",""),"㈜",""),"주식회사",""),"(유)",""),"（유）",""),"유한회사",""))</f>
        <v/>
      </c>
      <c r="AC1858" s="31">
        <f>IF(OR($Y1858="",N($Z1858)&lt;=0,$AB1858=""),0,IFERROR(LOOKUP(2,1/((거래처별!$AC$8:$AC$307&lt;&gt;"")*ISNUMBER(SEARCH(거래처별!$AC$8:$AC$307,$AB1858))),거래처별!$A$8:$A$307),IFERROR(LOOKUP(2,1/((거래처별!$AD$8:$AD$307&lt;&gt;"")*ISNUMBER(SEARCH(거래처별!$AD$8:$AD$307,$AB1858))),거래처별!$A$8:$A$307),IFERROR(LOOKUP(2,1/((거래처별!$AE$8:$AE$307&lt;&gt;"")*ISNUMBER(SEARCH(거래처별!$AE$8:$AE$307,$AB1858))),거래처별!$A$8:$A$307),0))))</f>
        <v/>
      </c>
      <c r="AD1858" s="31">
        <f>IF(AND($Y1858&lt;&gt;"",N($Z1858)&gt;0,$AC1858=0),MAX($AD$7:$AD1857)+1,"")</f>
        <v/>
      </c>
      <c r="AE1858" s="31">
        <f>IF($Y1858="",0,$Y1858)</f>
        <v/>
      </c>
    </row>
    <row r="1859">
      <c r="W1859" s="31">
        <f>IF(OR($B$5="",$C$6="",ROW()&lt;$B$5),"",IF(INDEX($A:$U,ROW(),$C$6)="","",INDEX($A:$U,ROW(),$C$6)))</f>
        <v/>
      </c>
      <c r="X1859" s="32">
        <f>IF($W1859="","",IF(ISNUMBER($W1859),IF($W1859&gt;=10000000,IFERROR(DATE(INT($W1859/10000),MOD(INT($W1859/100),100),MOD($W1859,100)),""),INT($W1859)),IFERROR(DATE(--LEFT(LEFT(SUBSTITUTE(SUBSTITUTE(SUBSTITUTE(SUBSTITUTE(TRIM($W1859),"-",""),".",""),"/","")," ",""),8),4),--MID(LEFT(SUBSTITUTE(SUBSTITUTE(SUBSTITUTE(SUBSTITUTE(TRIM($W1859),"-",""),".",""),"/","")," ",""),8),5,2),--MID(LEFT(SUBSTITUTE(SUBSTITUTE(SUBSTITUTE(SUBSTITUTE(TRIM($W1859),"-",""),".",""),"/","")," ",""),8),7,2)),"")))</f>
        <v/>
      </c>
      <c r="Y1859" s="32">
        <f>IF($X1859="","",INT($X1859))</f>
        <v/>
      </c>
      <c r="Z1859" s="33">
        <f>IF(OR($Y1859="",$D$6=""),"",IF(INDEX($A:$U,ROW(),$D$6)="",0,IF(ISNUMBER(INDEX($A:$U,ROW(),$D$6)),INDEX($A:$U,ROW(),$D$6),IFERROR(--SUBSTITUTE(SUBSTITUTE(TRIM(INDEX($A:$U,ROW(),$D$6)),",",""),"원",""),0))))</f>
        <v/>
      </c>
      <c r="AA1859" s="31">
        <f>IF($Y1859="","",TRIM(INDEX($A:$U,ROW(),$E$6)&amp;IF($F$6="",""," "&amp;INDEX($A:$U,ROW(),$F$6))))</f>
        <v/>
      </c>
      <c r="AB1859" s="31">
        <f>IF($AA1859="","",SUBSTITUTE(SUBSTITUTE(SUBSTITUTE(SUBSTITUTE(SUBSTITUTE(SUBSTITUTE(SUBSTITUTE(SUBSTITUTE(SUBSTITUTE($AA1859," ",""),"　",""),"(주)",""),"（주）",""),"㈜",""),"주식회사",""),"(유)",""),"（유）",""),"유한회사",""))</f>
        <v/>
      </c>
      <c r="AC1859" s="31">
        <f>IF(OR($Y1859="",N($Z1859)&lt;=0,$AB1859=""),0,IFERROR(LOOKUP(2,1/((거래처별!$AC$8:$AC$307&lt;&gt;"")*ISNUMBER(SEARCH(거래처별!$AC$8:$AC$307,$AB1859))),거래처별!$A$8:$A$307),IFERROR(LOOKUP(2,1/((거래처별!$AD$8:$AD$307&lt;&gt;"")*ISNUMBER(SEARCH(거래처별!$AD$8:$AD$307,$AB1859))),거래처별!$A$8:$A$307),IFERROR(LOOKUP(2,1/((거래처별!$AE$8:$AE$307&lt;&gt;"")*ISNUMBER(SEARCH(거래처별!$AE$8:$AE$307,$AB1859))),거래처별!$A$8:$A$307),0))))</f>
        <v/>
      </c>
      <c r="AD1859" s="31">
        <f>IF(AND($Y1859&lt;&gt;"",N($Z1859)&gt;0,$AC1859=0),MAX($AD$7:$AD1858)+1,"")</f>
        <v/>
      </c>
      <c r="AE1859" s="31">
        <f>IF($Y1859="",0,$Y1859)</f>
        <v/>
      </c>
    </row>
    <row r="1860">
      <c r="W1860" s="31">
        <f>IF(OR($B$5="",$C$6="",ROW()&lt;$B$5),"",IF(INDEX($A:$U,ROW(),$C$6)="","",INDEX($A:$U,ROW(),$C$6)))</f>
        <v/>
      </c>
      <c r="X1860" s="32">
        <f>IF($W1860="","",IF(ISNUMBER($W1860),IF($W1860&gt;=10000000,IFERROR(DATE(INT($W1860/10000),MOD(INT($W1860/100),100),MOD($W1860,100)),""),INT($W1860)),IFERROR(DATE(--LEFT(LEFT(SUBSTITUTE(SUBSTITUTE(SUBSTITUTE(SUBSTITUTE(TRIM($W1860),"-",""),".",""),"/","")," ",""),8),4),--MID(LEFT(SUBSTITUTE(SUBSTITUTE(SUBSTITUTE(SUBSTITUTE(TRIM($W1860),"-",""),".",""),"/","")," ",""),8),5,2),--MID(LEFT(SUBSTITUTE(SUBSTITUTE(SUBSTITUTE(SUBSTITUTE(TRIM($W1860),"-",""),".",""),"/","")," ",""),8),7,2)),"")))</f>
        <v/>
      </c>
      <c r="Y1860" s="32">
        <f>IF($X1860="","",INT($X1860))</f>
        <v/>
      </c>
      <c r="Z1860" s="33">
        <f>IF(OR($Y1860="",$D$6=""),"",IF(INDEX($A:$U,ROW(),$D$6)="",0,IF(ISNUMBER(INDEX($A:$U,ROW(),$D$6)),INDEX($A:$U,ROW(),$D$6),IFERROR(--SUBSTITUTE(SUBSTITUTE(TRIM(INDEX($A:$U,ROW(),$D$6)),",",""),"원",""),0))))</f>
        <v/>
      </c>
      <c r="AA1860" s="31">
        <f>IF($Y1860="","",TRIM(INDEX($A:$U,ROW(),$E$6)&amp;IF($F$6="",""," "&amp;INDEX($A:$U,ROW(),$F$6))))</f>
        <v/>
      </c>
      <c r="AB1860" s="31">
        <f>IF($AA1860="","",SUBSTITUTE(SUBSTITUTE(SUBSTITUTE(SUBSTITUTE(SUBSTITUTE(SUBSTITUTE(SUBSTITUTE(SUBSTITUTE(SUBSTITUTE($AA1860," ",""),"　",""),"(주)",""),"（주）",""),"㈜",""),"주식회사",""),"(유)",""),"（유）",""),"유한회사",""))</f>
        <v/>
      </c>
      <c r="AC1860" s="31">
        <f>IF(OR($Y1860="",N($Z1860)&lt;=0,$AB1860=""),0,IFERROR(LOOKUP(2,1/((거래처별!$AC$8:$AC$307&lt;&gt;"")*ISNUMBER(SEARCH(거래처별!$AC$8:$AC$307,$AB1860))),거래처별!$A$8:$A$307),IFERROR(LOOKUP(2,1/((거래처별!$AD$8:$AD$307&lt;&gt;"")*ISNUMBER(SEARCH(거래처별!$AD$8:$AD$307,$AB1860))),거래처별!$A$8:$A$307),IFERROR(LOOKUP(2,1/((거래처별!$AE$8:$AE$307&lt;&gt;"")*ISNUMBER(SEARCH(거래처별!$AE$8:$AE$307,$AB1860))),거래처별!$A$8:$A$307),0))))</f>
        <v/>
      </c>
      <c r="AD1860" s="31">
        <f>IF(AND($Y1860&lt;&gt;"",N($Z1860)&gt;0,$AC1860=0),MAX($AD$7:$AD1859)+1,"")</f>
        <v/>
      </c>
      <c r="AE1860" s="31">
        <f>IF($Y1860="",0,$Y1860)</f>
        <v/>
      </c>
    </row>
    <row r="1861">
      <c r="W1861" s="31">
        <f>IF(OR($B$5="",$C$6="",ROW()&lt;$B$5),"",IF(INDEX($A:$U,ROW(),$C$6)="","",INDEX($A:$U,ROW(),$C$6)))</f>
        <v/>
      </c>
      <c r="X1861" s="32">
        <f>IF($W1861="","",IF(ISNUMBER($W1861),IF($W1861&gt;=10000000,IFERROR(DATE(INT($W1861/10000),MOD(INT($W1861/100),100),MOD($W1861,100)),""),INT($W1861)),IFERROR(DATE(--LEFT(LEFT(SUBSTITUTE(SUBSTITUTE(SUBSTITUTE(SUBSTITUTE(TRIM($W1861),"-",""),".",""),"/","")," ",""),8),4),--MID(LEFT(SUBSTITUTE(SUBSTITUTE(SUBSTITUTE(SUBSTITUTE(TRIM($W1861),"-",""),".",""),"/","")," ",""),8),5,2),--MID(LEFT(SUBSTITUTE(SUBSTITUTE(SUBSTITUTE(SUBSTITUTE(TRIM($W1861),"-",""),".",""),"/","")," ",""),8),7,2)),"")))</f>
        <v/>
      </c>
      <c r="Y1861" s="32">
        <f>IF($X1861="","",INT($X1861))</f>
        <v/>
      </c>
      <c r="Z1861" s="33">
        <f>IF(OR($Y1861="",$D$6=""),"",IF(INDEX($A:$U,ROW(),$D$6)="",0,IF(ISNUMBER(INDEX($A:$U,ROW(),$D$6)),INDEX($A:$U,ROW(),$D$6),IFERROR(--SUBSTITUTE(SUBSTITUTE(TRIM(INDEX($A:$U,ROW(),$D$6)),",",""),"원",""),0))))</f>
        <v/>
      </c>
      <c r="AA1861" s="31">
        <f>IF($Y1861="","",TRIM(INDEX($A:$U,ROW(),$E$6)&amp;IF($F$6="",""," "&amp;INDEX($A:$U,ROW(),$F$6))))</f>
        <v/>
      </c>
      <c r="AB1861" s="31">
        <f>IF($AA1861="","",SUBSTITUTE(SUBSTITUTE(SUBSTITUTE(SUBSTITUTE(SUBSTITUTE(SUBSTITUTE(SUBSTITUTE(SUBSTITUTE(SUBSTITUTE($AA1861," ",""),"　",""),"(주)",""),"（주）",""),"㈜",""),"주식회사",""),"(유)",""),"（유）",""),"유한회사",""))</f>
        <v/>
      </c>
      <c r="AC1861" s="31">
        <f>IF(OR($Y1861="",N($Z1861)&lt;=0,$AB1861=""),0,IFERROR(LOOKUP(2,1/((거래처별!$AC$8:$AC$307&lt;&gt;"")*ISNUMBER(SEARCH(거래처별!$AC$8:$AC$307,$AB1861))),거래처별!$A$8:$A$307),IFERROR(LOOKUP(2,1/((거래처별!$AD$8:$AD$307&lt;&gt;"")*ISNUMBER(SEARCH(거래처별!$AD$8:$AD$307,$AB1861))),거래처별!$A$8:$A$307),IFERROR(LOOKUP(2,1/((거래처별!$AE$8:$AE$307&lt;&gt;"")*ISNUMBER(SEARCH(거래처별!$AE$8:$AE$307,$AB1861))),거래처별!$A$8:$A$307),0))))</f>
        <v/>
      </c>
      <c r="AD1861" s="31">
        <f>IF(AND($Y1861&lt;&gt;"",N($Z1861)&gt;0,$AC1861=0),MAX($AD$7:$AD1860)+1,"")</f>
        <v/>
      </c>
      <c r="AE1861" s="31">
        <f>IF($Y1861="",0,$Y1861)</f>
        <v/>
      </c>
    </row>
    <row r="1862">
      <c r="W1862" s="31">
        <f>IF(OR($B$5="",$C$6="",ROW()&lt;$B$5),"",IF(INDEX($A:$U,ROW(),$C$6)="","",INDEX($A:$U,ROW(),$C$6)))</f>
        <v/>
      </c>
      <c r="X1862" s="32">
        <f>IF($W1862="","",IF(ISNUMBER($W1862),IF($W1862&gt;=10000000,IFERROR(DATE(INT($W1862/10000),MOD(INT($W1862/100),100),MOD($W1862,100)),""),INT($W1862)),IFERROR(DATE(--LEFT(LEFT(SUBSTITUTE(SUBSTITUTE(SUBSTITUTE(SUBSTITUTE(TRIM($W1862),"-",""),".",""),"/","")," ",""),8),4),--MID(LEFT(SUBSTITUTE(SUBSTITUTE(SUBSTITUTE(SUBSTITUTE(TRIM($W1862),"-",""),".",""),"/","")," ",""),8),5,2),--MID(LEFT(SUBSTITUTE(SUBSTITUTE(SUBSTITUTE(SUBSTITUTE(TRIM($W1862),"-",""),".",""),"/","")," ",""),8),7,2)),"")))</f>
        <v/>
      </c>
      <c r="Y1862" s="32">
        <f>IF($X1862="","",INT($X1862))</f>
        <v/>
      </c>
      <c r="Z1862" s="33">
        <f>IF(OR($Y1862="",$D$6=""),"",IF(INDEX($A:$U,ROW(),$D$6)="",0,IF(ISNUMBER(INDEX($A:$U,ROW(),$D$6)),INDEX($A:$U,ROW(),$D$6),IFERROR(--SUBSTITUTE(SUBSTITUTE(TRIM(INDEX($A:$U,ROW(),$D$6)),",",""),"원",""),0))))</f>
        <v/>
      </c>
      <c r="AA1862" s="31">
        <f>IF($Y1862="","",TRIM(INDEX($A:$U,ROW(),$E$6)&amp;IF($F$6="",""," "&amp;INDEX($A:$U,ROW(),$F$6))))</f>
        <v/>
      </c>
      <c r="AB1862" s="31">
        <f>IF($AA1862="","",SUBSTITUTE(SUBSTITUTE(SUBSTITUTE(SUBSTITUTE(SUBSTITUTE(SUBSTITUTE(SUBSTITUTE(SUBSTITUTE(SUBSTITUTE($AA1862," ",""),"　",""),"(주)",""),"（주）",""),"㈜",""),"주식회사",""),"(유)",""),"（유）",""),"유한회사",""))</f>
        <v/>
      </c>
      <c r="AC1862" s="31">
        <f>IF(OR($Y1862="",N($Z1862)&lt;=0,$AB1862=""),0,IFERROR(LOOKUP(2,1/((거래처별!$AC$8:$AC$307&lt;&gt;"")*ISNUMBER(SEARCH(거래처별!$AC$8:$AC$307,$AB1862))),거래처별!$A$8:$A$307),IFERROR(LOOKUP(2,1/((거래처별!$AD$8:$AD$307&lt;&gt;"")*ISNUMBER(SEARCH(거래처별!$AD$8:$AD$307,$AB1862))),거래처별!$A$8:$A$307),IFERROR(LOOKUP(2,1/((거래처별!$AE$8:$AE$307&lt;&gt;"")*ISNUMBER(SEARCH(거래처별!$AE$8:$AE$307,$AB1862))),거래처별!$A$8:$A$307),0))))</f>
        <v/>
      </c>
      <c r="AD1862" s="31">
        <f>IF(AND($Y1862&lt;&gt;"",N($Z1862)&gt;0,$AC1862=0),MAX($AD$7:$AD1861)+1,"")</f>
        <v/>
      </c>
      <c r="AE1862" s="31">
        <f>IF($Y1862="",0,$Y1862)</f>
        <v/>
      </c>
    </row>
    <row r="1863">
      <c r="W1863" s="31">
        <f>IF(OR($B$5="",$C$6="",ROW()&lt;$B$5),"",IF(INDEX($A:$U,ROW(),$C$6)="","",INDEX($A:$U,ROW(),$C$6)))</f>
        <v/>
      </c>
      <c r="X1863" s="32">
        <f>IF($W1863="","",IF(ISNUMBER($W1863),IF($W1863&gt;=10000000,IFERROR(DATE(INT($W1863/10000),MOD(INT($W1863/100),100),MOD($W1863,100)),""),INT($W1863)),IFERROR(DATE(--LEFT(LEFT(SUBSTITUTE(SUBSTITUTE(SUBSTITUTE(SUBSTITUTE(TRIM($W1863),"-",""),".",""),"/","")," ",""),8),4),--MID(LEFT(SUBSTITUTE(SUBSTITUTE(SUBSTITUTE(SUBSTITUTE(TRIM($W1863),"-",""),".",""),"/","")," ",""),8),5,2),--MID(LEFT(SUBSTITUTE(SUBSTITUTE(SUBSTITUTE(SUBSTITUTE(TRIM($W1863),"-",""),".",""),"/","")," ",""),8),7,2)),"")))</f>
        <v/>
      </c>
      <c r="Y1863" s="32">
        <f>IF($X1863="","",INT($X1863))</f>
        <v/>
      </c>
      <c r="Z1863" s="33">
        <f>IF(OR($Y1863="",$D$6=""),"",IF(INDEX($A:$U,ROW(),$D$6)="",0,IF(ISNUMBER(INDEX($A:$U,ROW(),$D$6)),INDEX($A:$U,ROW(),$D$6),IFERROR(--SUBSTITUTE(SUBSTITUTE(TRIM(INDEX($A:$U,ROW(),$D$6)),",",""),"원",""),0))))</f>
        <v/>
      </c>
      <c r="AA1863" s="31">
        <f>IF($Y1863="","",TRIM(INDEX($A:$U,ROW(),$E$6)&amp;IF($F$6="",""," "&amp;INDEX($A:$U,ROW(),$F$6))))</f>
        <v/>
      </c>
      <c r="AB1863" s="31">
        <f>IF($AA1863="","",SUBSTITUTE(SUBSTITUTE(SUBSTITUTE(SUBSTITUTE(SUBSTITUTE(SUBSTITUTE(SUBSTITUTE(SUBSTITUTE(SUBSTITUTE($AA1863," ",""),"　",""),"(주)",""),"（주）",""),"㈜",""),"주식회사",""),"(유)",""),"（유）",""),"유한회사",""))</f>
        <v/>
      </c>
      <c r="AC1863" s="31">
        <f>IF(OR($Y1863="",N($Z1863)&lt;=0,$AB1863=""),0,IFERROR(LOOKUP(2,1/((거래처별!$AC$8:$AC$307&lt;&gt;"")*ISNUMBER(SEARCH(거래처별!$AC$8:$AC$307,$AB1863))),거래처별!$A$8:$A$307),IFERROR(LOOKUP(2,1/((거래처별!$AD$8:$AD$307&lt;&gt;"")*ISNUMBER(SEARCH(거래처별!$AD$8:$AD$307,$AB1863))),거래처별!$A$8:$A$307),IFERROR(LOOKUP(2,1/((거래처별!$AE$8:$AE$307&lt;&gt;"")*ISNUMBER(SEARCH(거래처별!$AE$8:$AE$307,$AB1863))),거래처별!$A$8:$A$307),0))))</f>
        <v/>
      </c>
      <c r="AD1863" s="31">
        <f>IF(AND($Y1863&lt;&gt;"",N($Z1863)&gt;0,$AC1863=0),MAX($AD$7:$AD1862)+1,"")</f>
        <v/>
      </c>
      <c r="AE1863" s="31">
        <f>IF($Y1863="",0,$Y1863)</f>
        <v/>
      </c>
    </row>
    <row r="1864">
      <c r="W1864" s="31">
        <f>IF(OR($B$5="",$C$6="",ROW()&lt;$B$5),"",IF(INDEX($A:$U,ROW(),$C$6)="","",INDEX($A:$U,ROW(),$C$6)))</f>
        <v/>
      </c>
      <c r="X1864" s="32">
        <f>IF($W1864="","",IF(ISNUMBER($W1864),IF($W1864&gt;=10000000,IFERROR(DATE(INT($W1864/10000),MOD(INT($W1864/100),100),MOD($W1864,100)),""),INT($W1864)),IFERROR(DATE(--LEFT(LEFT(SUBSTITUTE(SUBSTITUTE(SUBSTITUTE(SUBSTITUTE(TRIM($W1864),"-",""),".",""),"/","")," ",""),8),4),--MID(LEFT(SUBSTITUTE(SUBSTITUTE(SUBSTITUTE(SUBSTITUTE(TRIM($W1864),"-",""),".",""),"/","")," ",""),8),5,2),--MID(LEFT(SUBSTITUTE(SUBSTITUTE(SUBSTITUTE(SUBSTITUTE(TRIM($W1864),"-",""),".",""),"/","")," ",""),8),7,2)),"")))</f>
        <v/>
      </c>
      <c r="Y1864" s="32">
        <f>IF($X1864="","",INT($X1864))</f>
        <v/>
      </c>
      <c r="Z1864" s="33">
        <f>IF(OR($Y1864="",$D$6=""),"",IF(INDEX($A:$U,ROW(),$D$6)="",0,IF(ISNUMBER(INDEX($A:$U,ROW(),$D$6)),INDEX($A:$U,ROW(),$D$6),IFERROR(--SUBSTITUTE(SUBSTITUTE(TRIM(INDEX($A:$U,ROW(),$D$6)),",",""),"원",""),0))))</f>
        <v/>
      </c>
      <c r="AA1864" s="31">
        <f>IF($Y1864="","",TRIM(INDEX($A:$U,ROW(),$E$6)&amp;IF($F$6="",""," "&amp;INDEX($A:$U,ROW(),$F$6))))</f>
        <v/>
      </c>
      <c r="AB1864" s="31">
        <f>IF($AA1864="","",SUBSTITUTE(SUBSTITUTE(SUBSTITUTE(SUBSTITUTE(SUBSTITUTE(SUBSTITUTE(SUBSTITUTE(SUBSTITUTE(SUBSTITUTE($AA1864," ",""),"　",""),"(주)",""),"（주）",""),"㈜",""),"주식회사",""),"(유)",""),"（유）",""),"유한회사",""))</f>
        <v/>
      </c>
      <c r="AC1864" s="31">
        <f>IF(OR($Y1864="",N($Z1864)&lt;=0,$AB1864=""),0,IFERROR(LOOKUP(2,1/((거래처별!$AC$8:$AC$307&lt;&gt;"")*ISNUMBER(SEARCH(거래처별!$AC$8:$AC$307,$AB1864))),거래처별!$A$8:$A$307),IFERROR(LOOKUP(2,1/((거래처별!$AD$8:$AD$307&lt;&gt;"")*ISNUMBER(SEARCH(거래처별!$AD$8:$AD$307,$AB1864))),거래처별!$A$8:$A$307),IFERROR(LOOKUP(2,1/((거래처별!$AE$8:$AE$307&lt;&gt;"")*ISNUMBER(SEARCH(거래처별!$AE$8:$AE$307,$AB1864))),거래처별!$A$8:$A$307),0))))</f>
        <v/>
      </c>
      <c r="AD1864" s="31">
        <f>IF(AND($Y1864&lt;&gt;"",N($Z1864)&gt;0,$AC1864=0),MAX($AD$7:$AD1863)+1,"")</f>
        <v/>
      </c>
      <c r="AE1864" s="31">
        <f>IF($Y1864="",0,$Y1864)</f>
        <v/>
      </c>
    </row>
    <row r="1865">
      <c r="W1865" s="31">
        <f>IF(OR($B$5="",$C$6="",ROW()&lt;$B$5),"",IF(INDEX($A:$U,ROW(),$C$6)="","",INDEX($A:$U,ROW(),$C$6)))</f>
        <v/>
      </c>
      <c r="X1865" s="32">
        <f>IF($W1865="","",IF(ISNUMBER($W1865),IF($W1865&gt;=10000000,IFERROR(DATE(INT($W1865/10000),MOD(INT($W1865/100),100),MOD($W1865,100)),""),INT($W1865)),IFERROR(DATE(--LEFT(LEFT(SUBSTITUTE(SUBSTITUTE(SUBSTITUTE(SUBSTITUTE(TRIM($W1865),"-",""),".",""),"/","")," ",""),8),4),--MID(LEFT(SUBSTITUTE(SUBSTITUTE(SUBSTITUTE(SUBSTITUTE(TRIM($W1865),"-",""),".",""),"/","")," ",""),8),5,2),--MID(LEFT(SUBSTITUTE(SUBSTITUTE(SUBSTITUTE(SUBSTITUTE(TRIM($W1865),"-",""),".",""),"/","")," ",""),8),7,2)),"")))</f>
        <v/>
      </c>
      <c r="Y1865" s="32">
        <f>IF($X1865="","",INT($X1865))</f>
        <v/>
      </c>
      <c r="Z1865" s="33">
        <f>IF(OR($Y1865="",$D$6=""),"",IF(INDEX($A:$U,ROW(),$D$6)="",0,IF(ISNUMBER(INDEX($A:$U,ROW(),$D$6)),INDEX($A:$U,ROW(),$D$6),IFERROR(--SUBSTITUTE(SUBSTITUTE(TRIM(INDEX($A:$U,ROW(),$D$6)),",",""),"원",""),0))))</f>
        <v/>
      </c>
      <c r="AA1865" s="31">
        <f>IF($Y1865="","",TRIM(INDEX($A:$U,ROW(),$E$6)&amp;IF($F$6="",""," "&amp;INDEX($A:$U,ROW(),$F$6))))</f>
        <v/>
      </c>
      <c r="AB1865" s="31">
        <f>IF($AA1865="","",SUBSTITUTE(SUBSTITUTE(SUBSTITUTE(SUBSTITUTE(SUBSTITUTE(SUBSTITUTE(SUBSTITUTE(SUBSTITUTE(SUBSTITUTE($AA1865," ",""),"　",""),"(주)",""),"（주）",""),"㈜",""),"주식회사",""),"(유)",""),"（유）",""),"유한회사",""))</f>
        <v/>
      </c>
      <c r="AC1865" s="31">
        <f>IF(OR($Y1865="",N($Z1865)&lt;=0,$AB1865=""),0,IFERROR(LOOKUP(2,1/((거래처별!$AC$8:$AC$307&lt;&gt;"")*ISNUMBER(SEARCH(거래처별!$AC$8:$AC$307,$AB1865))),거래처별!$A$8:$A$307),IFERROR(LOOKUP(2,1/((거래처별!$AD$8:$AD$307&lt;&gt;"")*ISNUMBER(SEARCH(거래처별!$AD$8:$AD$307,$AB1865))),거래처별!$A$8:$A$307),IFERROR(LOOKUP(2,1/((거래처별!$AE$8:$AE$307&lt;&gt;"")*ISNUMBER(SEARCH(거래처별!$AE$8:$AE$307,$AB1865))),거래처별!$A$8:$A$307),0))))</f>
        <v/>
      </c>
      <c r="AD1865" s="31">
        <f>IF(AND($Y1865&lt;&gt;"",N($Z1865)&gt;0,$AC1865=0),MAX($AD$7:$AD1864)+1,"")</f>
        <v/>
      </c>
      <c r="AE1865" s="31">
        <f>IF($Y1865="",0,$Y1865)</f>
        <v/>
      </c>
    </row>
    <row r="1866">
      <c r="W1866" s="31">
        <f>IF(OR($B$5="",$C$6="",ROW()&lt;$B$5),"",IF(INDEX($A:$U,ROW(),$C$6)="","",INDEX($A:$U,ROW(),$C$6)))</f>
        <v/>
      </c>
      <c r="X1866" s="32">
        <f>IF($W1866="","",IF(ISNUMBER($W1866),IF($W1866&gt;=10000000,IFERROR(DATE(INT($W1866/10000),MOD(INT($W1866/100),100),MOD($W1866,100)),""),INT($W1866)),IFERROR(DATE(--LEFT(LEFT(SUBSTITUTE(SUBSTITUTE(SUBSTITUTE(SUBSTITUTE(TRIM($W1866),"-",""),".",""),"/","")," ",""),8),4),--MID(LEFT(SUBSTITUTE(SUBSTITUTE(SUBSTITUTE(SUBSTITUTE(TRIM($W1866),"-",""),".",""),"/","")," ",""),8),5,2),--MID(LEFT(SUBSTITUTE(SUBSTITUTE(SUBSTITUTE(SUBSTITUTE(TRIM($W1866),"-",""),".",""),"/","")," ",""),8),7,2)),"")))</f>
        <v/>
      </c>
      <c r="Y1866" s="32">
        <f>IF($X1866="","",INT($X1866))</f>
        <v/>
      </c>
      <c r="Z1866" s="33">
        <f>IF(OR($Y1866="",$D$6=""),"",IF(INDEX($A:$U,ROW(),$D$6)="",0,IF(ISNUMBER(INDEX($A:$U,ROW(),$D$6)),INDEX($A:$U,ROW(),$D$6),IFERROR(--SUBSTITUTE(SUBSTITUTE(TRIM(INDEX($A:$U,ROW(),$D$6)),",",""),"원",""),0))))</f>
        <v/>
      </c>
      <c r="AA1866" s="31">
        <f>IF($Y1866="","",TRIM(INDEX($A:$U,ROW(),$E$6)&amp;IF($F$6="",""," "&amp;INDEX($A:$U,ROW(),$F$6))))</f>
        <v/>
      </c>
      <c r="AB1866" s="31">
        <f>IF($AA1866="","",SUBSTITUTE(SUBSTITUTE(SUBSTITUTE(SUBSTITUTE(SUBSTITUTE(SUBSTITUTE(SUBSTITUTE(SUBSTITUTE(SUBSTITUTE($AA1866," ",""),"　",""),"(주)",""),"（주）",""),"㈜",""),"주식회사",""),"(유)",""),"（유）",""),"유한회사",""))</f>
        <v/>
      </c>
      <c r="AC1866" s="31">
        <f>IF(OR($Y1866="",N($Z1866)&lt;=0,$AB1866=""),0,IFERROR(LOOKUP(2,1/((거래처별!$AC$8:$AC$307&lt;&gt;"")*ISNUMBER(SEARCH(거래처별!$AC$8:$AC$307,$AB1866))),거래처별!$A$8:$A$307),IFERROR(LOOKUP(2,1/((거래처별!$AD$8:$AD$307&lt;&gt;"")*ISNUMBER(SEARCH(거래처별!$AD$8:$AD$307,$AB1866))),거래처별!$A$8:$A$307),IFERROR(LOOKUP(2,1/((거래처별!$AE$8:$AE$307&lt;&gt;"")*ISNUMBER(SEARCH(거래처별!$AE$8:$AE$307,$AB1866))),거래처별!$A$8:$A$307),0))))</f>
        <v/>
      </c>
      <c r="AD1866" s="31">
        <f>IF(AND($Y1866&lt;&gt;"",N($Z1866)&gt;0,$AC1866=0),MAX($AD$7:$AD1865)+1,"")</f>
        <v/>
      </c>
      <c r="AE1866" s="31">
        <f>IF($Y1866="",0,$Y1866)</f>
        <v/>
      </c>
    </row>
    <row r="1867">
      <c r="W1867" s="31">
        <f>IF(OR($B$5="",$C$6="",ROW()&lt;$B$5),"",IF(INDEX($A:$U,ROW(),$C$6)="","",INDEX($A:$U,ROW(),$C$6)))</f>
        <v/>
      </c>
      <c r="X1867" s="32">
        <f>IF($W1867="","",IF(ISNUMBER($W1867),IF($W1867&gt;=10000000,IFERROR(DATE(INT($W1867/10000),MOD(INT($W1867/100),100),MOD($W1867,100)),""),INT($W1867)),IFERROR(DATE(--LEFT(LEFT(SUBSTITUTE(SUBSTITUTE(SUBSTITUTE(SUBSTITUTE(TRIM($W1867),"-",""),".",""),"/","")," ",""),8),4),--MID(LEFT(SUBSTITUTE(SUBSTITUTE(SUBSTITUTE(SUBSTITUTE(TRIM($W1867),"-",""),".",""),"/","")," ",""),8),5,2),--MID(LEFT(SUBSTITUTE(SUBSTITUTE(SUBSTITUTE(SUBSTITUTE(TRIM($W1867),"-",""),".",""),"/","")," ",""),8),7,2)),"")))</f>
        <v/>
      </c>
      <c r="Y1867" s="32">
        <f>IF($X1867="","",INT($X1867))</f>
        <v/>
      </c>
      <c r="Z1867" s="33">
        <f>IF(OR($Y1867="",$D$6=""),"",IF(INDEX($A:$U,ROW(),$D$6)="",0,IF(ISNUMBER(INDEX($A:$U,ROW(),$D$6)),INDEX($A:$U,ROW(),$D$6),IFERROR(--SUBSTITUTE(SUBSTITUTE(TRIM(INDEX($A:$U,ROW(),$D$6)),",",""),"원",""),0))))</f>
        <v/>
      </c>
      <c r="AA1867" s="31">
        <f>IF($Y1867="","",TRIM(INDEX($A:$U,ROW(),$E$6)&amp;IF($F$6="",""," "&amp;INDEX($A:$U,ROW(),$F$6))))</f>
        <v/>
      </c>
      <c r="AB1867" s="31">
        <f>IF($AA1867="","",SUBSTITUTE(SUBSTITUTE(SUBSTITUTE(SUBSTITUTE(SUBSTITUTE(SUBSTITUTE(SUBSTITUTE(SUBSTITUTE(SUBSTITUTE($AA1867," ",""),"　",""),"(주)",""),"（주）",""),"㈜",""),"주식회사",""),"(유)",""),"（유）",""),"유한회사",""))</f>
        <v/>
      </c>
      <c r="AC1867" s="31">
        <f>IF(OR($Y1867="",N($Z1867)&lt;=0,$AB1867=""),0,IFERROR(LOOKUP(2,1/((거래처별!$AC$8:$AC$307&lt;&gt;"")*ISNUMBER(SEARCH(거래처별!$AC$8:$AC$307,$AB1867))),거래처별!$A$8:$A$307),IFERROR(LOOKUP(2,1/((거래처별!$AD$8:$AD$307&lt;&gt;"")*ISNUMBER(SEARCH(거래처별!$AD$8:$AD$307,$AB1867))),거래처별!$A$8:$A$307),IFERROR(LOOKUP(2,1/((거래처별!$AE$8:$AE$307&lt;&gt;"")*ISNUMBER(SEARCH(거래처별!$AE$8:$AE$307,$AB1867))),거래처별!$A$8:$A$307),0))))</f>
        <v/>
      </c>
      <c r="AD1867" s="31">
        <f>IF(AND($Y1867&lt;&gt;"",N($Z1867)&gt;0,$AC1867=0),MAX($AD$7:$AD1866)+1,"")</f>
        <v/>
      </c>
      <c r="AE1867" s="31">
        <f>IF($Y1867="",0,$Y1867)</f>
        <v/>
      </c>
    </row>
    <row r="1868">
      <c r="W1868" s="31">
        <f>IF(OR($B$5="",$C$6="",ROW()&lt;$B$5),"",IF(INDEX($A:$U,ROW(),$C$6)="","",INDEX($A:$U,ROW(),$C$6)))</f>
        <v/>
      </c>
      <c r="X1868" s="32">
        <f>IF($W1868="","",IF(ISNUMBER($W1868),IF($W1868&gt;=10000000,IFERROR(DATE(INT($W1868/10000),MOD(INT($W1868/100),100),MOD($W1868,100)),""),INT($W1868)),IFERROR(DATE(--LEFT(LEFT(SUBSTITUTE(SUBSTITUTE(SUBSTITUTE(SUBSTITUTE(TRIM($W1868),"-",""),".",""),"/","")," ",""),8),4),--MID(LEFT(SUBSTITUTE(SUBSTITUTE(SUBSTITUTE(SUBSTITUTE(TRIM($W1868),"-",""),".",""),"/","")," ",""),8),5,2),--MID(LEFT(SUBSTITUTE(SUBSTITUTE(SUBSTITUTE(SUBSTITUTE(TRIM($W1868),"-",""),".",""),"/","")," ",""),8),7,2)),"")))</f>
        <v/>
      </c>
      <c r="Y1868" s="32">
        <f>IF($X1868="","",INT($X1868))</f>
        <v/>
      </c>
      <c r="Z1868" s="33">
        <f>IF(OR($Y1868="",$D$6=""),"",IF(INDEX($A:$U,ROW(),$D$6)="",0,IF(ISNUMBER(INDEX($A:$U,ROW(),$D$6)),INDEX($A:$U,ROW(),$D$6),IFERROR(--SUBSTITUTE(SUBSTITUTE(TRIM(INDEX($A:$U,ROW(),$D$6)),",",""),"원",""),0))))</f>
        <v/>
      </c>
      <c r="AA1868" s="31">
        <f>IF($Y1868="","",TRIM(INDEX($A:$U,ROW(),$E$6)&amp;IF($F$6="",""," "&amp;INDEX($A:$U,ROW(),$F$6))))</f>
        <v/>
      </c>
      <c r="AB1868" s="31">
        <f>IF($AA1868="","",SUBSTITUTE(SUBSTITUTE(SUBSTITUTE(SUBSTITUTE(SUBSTITUTE(SUBSTITUTE(SUBSTITUTE(SUBSTITUTE(SUBSTITUTE($AA1868," ",""),"　",""),"(주)",""),"（주）",""),"㈜",""),"주식회사",""),"(유)",""),"（유）",""),"유한회사",""))</f>
        <v/>
      </c>
      <c r="AC1868" s="31">
        <f>IF(OR($Y1868="",N($Z1868)&lt;=0,$AB1868=""),0,IFERROR(LOOKUP(2,1/((거래처별!$AC$8:$AC$307&lt;&gt;"")*ISNUMBER(SEARCH(거래처별!$AC$8:$AC$307,$AB1868))),거래처별!$A$8:$A$307),IFERROR(LOOKUP(2,1/((거래처별!$AD$8:$AD$307&lt;&gt;"")*ISNUMBER(SEARCH(거래처별!$AD$8:$AD$307,$AB1868))),거래처별!$A$8:$A$307),IFERROR(LOOKUP(2,1/((거래처별!$AE$8:$AE$307&lt;&gt;"")*ISNUMBER(SEARCH(거래처별!$AE$8:$AE$307,$AB1868))),거래처별!$A$8:$A$307),0))))</f>
        <v/>
      </c>
      <c r="AD1868" s="31">
        <f>IF(AND($Y1868&lt;&gt;"",N($Z1868)&gt;0,$AC1868=0),MAX($AD$7:$AD1867)+1,"")</f>
        <v/>
      </c>
      <c r="AE1868" s="31">
        <f>IF($Y1868="",0,$Y1868)</f>
        <v/>
      </c>
    </row>
    <row r="1869">
      <c r="W1869" s="31">
        <f>IF(OR($B$5="",$C$6="",ROW()&lt;$B$5),"",IF(INDEX($A:$U,ROW(),$C$6)="","",INDEX($A:$U,ROW(),$C$6)))</f>
        <v/>
      </c>
      <c r="X1869" s="32">
        <f>IF($W1869="","",IF(ISNUMBER($W1869),IF($W1869&gt;=10000000,IFERROR(DATE(INT($W1869/10000),MOD(INT($W1869/100),100),MOD($W1869,100)),""),INT($W1869)),IFERROR(DATE(--LEFT(LEFT(SUBSTITUTE(SUBSTITUTE(SUBSTITUTE(SUBSTITUTE(TRIM($W1869),"-",""),".",""),"/","")," ",""),8),4),--MID(LEFT(SUBSTITUTE(SUBSTITUTE(SUBSTITUTE(SUBSTITUTE(TRIM($W1869),"-",""),".",""),"/","")," ",""),8),5,2),--MID(LEFT(SUBSTITUTE(SUBSTITUTE(SUBSTITUTE(SUBSTITUTE(TRIM($W1869),"-",""),".",""),"/","")," ",""),8),7,2)),"")))</f>
        <v/>
      </c>
      <c r="Y1869" s="32">
        <f>IF($X1869="","",INT($X1869))</f>
        <v/>
      </c>
      <c r="Z1869" s="33">
        <f>IF(OR($Y1869="",$D$6=""),"",IF(INDEX($A:$U,ROW(),$D$6)="",0,IF(ISNUMBER(INDEX($A:$U,ROW(),$D$6)),INDEX($A:$U,ROW(),$D$6),IFERROR(--SUBSTITUTE(SUBSTITUTE(TRIM(INDEX($A:$U,ROW(),$D$6)),",",""),"원",""),0))))</f>
        <v/>
      </c>
      <c r="AA1869" s="31">
        <f>IF($Y1869="","",TRIM(INDEX($A:$U,ROW(),$E$6)&amp;IF($F$6="",""," "&amp;INDEX($A:$U,ROW(),$F$6))))</f>
        <v/>
      </c>
      <c r="AB1869" s="31">
        <f>IF($AA1869="","",SUBSTITUTE(SUBSTITUTE(SUBSTITUTE(SUBSTITUTE(SUBSTITUTE(SUBSTITUTE(SUBSTITUTE(SUBSTITUTE(SUBSTITUTE($AA1869," ",""),"　",""),"(주)",""),"（주）",""),"㈜",""),"주식회사",""),"(유)",""),"（유）",""),"유한회사",""))</f>
        <v/>
      </c>
      <c r="AC1869" s="31">
        <f>IF(OR($Y1869="",N($Z1869)&lt;=0,$AB1869=""),0,IFERROR(LOOKUP(2,1/((거래처별!$AC$8:$AC$307&lt;&gt;"")*ISNUMBER(SEARCH(거래처별!$AC$8:$AC$307,$AB1869))),거래처별!$A$8:$A$307),IFERROR(LOOKUP(2,1/((거래처별!$AD$8:$AD$307&lt;&gt;"")*ISNUMBER(SEARCH(거래처별!$AD$8:$AD$307,$AB1869))),거래처별!$A$8:$A$307),IFERROR(LOOKUP(2,1/((거래처별!$AE$8:$AE$307&lt;&gt;"")*ISNUMBER(SEARCH(거래처별!$AE$8:$AE$307,$AB1869))),거래처별!$A$8:$A$307),0))))</f>
        <v/>
      </c>
      <c r="AD1869" s="31">
        <f>IF(AND($Y1869&lt;&gt;"",N($Z1869)&gt;0,$AC1869=0),MAX($AD$7:$AD1868)+1,"")</f>
        <v/>
      </c>
      <c r="AE1869" s="31">
        <f>IF($Y1869="",0,$Y1869)</f>
        <v/>
      </c>
    </row>
    <row r="1870">
      <c r="W1870" s="31">
        <f>IF(OR($B$5="",$C$6="",ROW()&lt;$B$5),"",IF(INDEX($A:$U,ROW(),$C$6)="","",INDEX($A:$U,ROW(),$C$6)))</f>
        <v/>
      </c>
      <c r="X1870" s="32">
        <f>IF($W1870="","",IF(ISNUMBER($W1870),IF($W1870&gt;=10000000,IFERROR(DATE(INT($W1870/10000),MOD(INT($W1870/100),100),MOD($W1870,100)),""),INT($W1870)),IFERROR(DATE(--LEFT(LEFT(SUBSTITUTE(SUBSTITUTE(SUBSTITUTE(SUBSTITUTE(TRIM($W1870),"-",""),".",""),"/","")," ",""),8),4),--MID(LEFT(SUBSTITUTE(SUBSTITUTE(SUBSTITUTE(SUBSTITUTE(TRIM($W1870),"-",""),".",""),"/","")," ",""),8),5,2),--MID(LEFT(SUBSTITUTE(SUBSTITUTE(SUBSTITUTE(SUBSTITUTE(TRIM($W1870),"-",""),".",""),"/","")," ",""),8),7,2)),"")))</f>
        <v/>
      </c>
      <c r="Y1870" s="32">
        <f>IF($X1870="","",INT($X1870))</f>
        <v/>
      </c>
      <c r="Z1870" s="33">
        <f>IF(OR($Y1870="",$D$6=""),"",IF(INDEX($A:$U,ROW(),$D$6)="",0,IF(ISNUMBER(INDEX($A:$U,ROW(),$D$6)),INDEX($A:$U,ROW(),$D$6),IFERROR(--SUBSTITUTE(SUBSTITUTE(TRIM(INDEX($A:$U,ROW(),$D$6)),",",""),"원",""),0))))</f>
        <v/>
      </c>
      <c r="AA1870" s="31">
        <f>IF($Y1870="","",TRIM(INDEX($A:$U,ROW(),$E$6)&amp;IF($F$6="",""," "&amp;INDEX($A:$U,ROW(),$F$6))))</f>
        <v/>
      </c>
      <c r="AB1870" s="31">
        <f>IF($AA1870="","",SUBSTITUTE(SUBSTITUTE(SUBSTITUTE(SUBSTITUTE(SUBSTITUTE(SUBSTITUTE(SUBSTITUTE(SUBSTITUTE(SUBSTITUTE($AA1870," ",""),"　",""),"(주)",""),"（주）",""),"㈜",""),"주식회사",""),"(유)",""),"（유）",""),"유한회사",""))</f>
        <v/>
      </c>
      <c r="AC1870" s="31">
        <f>IF(OR($Y1870="",N($Z1870)&lt;=0,$AB1870=""),0,IFERROR(LOOKUP(2,1/((거래처별!$AC$8:$AC$307&lt;&gt;"")*ISNUMBER(SEARCH(거래처별!$AC$8:$AC$307,$AB1870))),거래처별!$A$8:$A$307),IFERROR(LOOKUP(2,1/((거래처별!$AD$8:$AD$307&lt;&gt;"")*ISNUMBER(SEARCH(거래처별!$AD$8:$AD$307,$AB1870))),거래처별!$A$8:$A$307),IFERROR(LOOKUP(2,1/((거래처별!$AE$8:$AE$307&lt;&gt;"")*ISNUMBER(SEARCH(거래처별!$AE$8:$AE$307,$AB1870))),거래처별!$A$8:$A$307),0))))</f>
        <v/>
      </c>
      <c r="AD1870" s="31">
        <f>IF(AND($Y1870&lt;&gt;"",N($Z1870)&gt;0,$AC1870=0),MAX($AD$7:$AD1869)+1,"")</f>
        <v/>
      </c>
      <c r="AE1870" s="31">
        <f>IF($Y1870="",0,$Y1870)</f>
        <v/>
      </c>
    </row>
    <row r="1871">
      <c r="W1871" s="31">
        <f>IF(OR($B$5="",$C$6="",ROW()&lt;$B$5),"",IF(INDEX($A:$U,ROW(),$C$6)="","",INDEX($A:$U,ROW(),$C$6)))</f>
        <v/>
      </c>
      <c r="X1871" s="32">
        <f>IF($W1871="","",IF(ISNUMBER($W1871),IF($W1871&gt;=10000000,IFERROR(DATE(INT($W1871/10000),MOD(INT($W1871/100),100),MOD($W1871,100)),""),INT($W1871)),IFERROR(DATE(--LEFT(LEFT(SUBSTITUTE(SUBSTITUTE(SUBSTITUTE(SUBSTITUTE(TRIM($W1871),"-",""),".",""),"/","")," ",""),8),4),--MID(LEFT(SUBSTITUTE(SUBSTITUTE(SUBSTITUTE(SUBSTITUTE(TRIM($W1871),"-",""),".",""),"/","")," ",""),8),5,2),--MID(LEFT(SUBSTITUTE(SUBSTITUTE(SUBSTITUTE(SUBSTITUTE(TRIM($W1871),"-",""),".",""),"/","")," ",""),8),7,2)),"")))</f>
        <v/>
      </c>
      <c r="Y1871" s="32">
        <f>IF($X1871="","",INT($X1871))</f>
        <v/>
      </c>
      <c r="Z1871" s="33">
        <f>IF(OR($Y1871="",$D$6=""),"",IF(INDEX($A:$U,ROW(),$D$6)="",0,IF(ISNUMBER(INDEX($A:$U,ROW(),$D$6)),INDEX($A:$U,ROW(),$D$6),IFERROR(--SUBSTITUTE(SUBSTITUTE(TRIM(INDEX($A:$U,ROW(),$D$6)),",",""),"원",""),0))))</f>
        <v/>
      </c>
      <c r="AA1871" s="31">
        <f>IF($Y1871="","",TRIM(INDEX($A:$U,ROW(),$E$6)&amp;IF($F$6="",""," "&amp;INDEX($A:$U,ROW(),$F$6))))</f>
        <v/>
      </c>
      <c r="AB1871" s="31">
        <f>IF($AA1871="","",SUBSTITUTE(SUBSTITUTE(SUBSTITUTE(SUBSTITUTE(SUBSTITUTE(SUBSTITUTE(SUBSTITUTE(SUBSTITUTE(SUBSTITUTE($AA1871," ",""),"　",""),"(주)",""),"（주）",""),"㈜",""),"주식회사",""),"(유)",""),"（유）",""),"유한회사",""))</f>
        <v/>
      </c>
      <c r="AC1871" s="31">
        <f>IF(OR($Y1871="",N($Z1871)&lt;=0,$AB1871=""),0,IFERROR(LOOKUP(2,1/((거래처별!$AC$8:$AC$307&lt;&gt;"")*ISNUMBER(SEARCH(거래처별!$AC$8:$AC$307,$AB1871))),거래처별!$A$8:$A$307),IFERROR(LOOKUP(2,1/((거래처별!$AD$8:$AD$307&lt;&gt;"")*ISNUMBER(SEARCH(거래처별!$AD$8:$AD$307,$AB1871))),거래처별!$A$8:$A$307),IFERROR(LOOKUP(2,1/((거래처별!$AE$8:$AE$307&lt;&gt;"")*ISNUMBER(SEARCH(거래처별!$AE$8:$AE$307,$AB1871))),거래처별!$A$8:$A$307),0))))</f>
        <v/>
      </c>
      <c r="AD1871" s="31">
        <f>IF(AND($Y1871&lt;&gt;"",N($Z1871)&gt;0,$AC1871=0),MAX($AD$7:$AD1870)+1,"")</f>
        <v/>
      </c>
      <c r="AE1871" s="31">
        <f>IF($Y1871="",0,$Y1871)</f>
        <v/>
      </c>
    </row>
    <row r="1872">
      <c r="W1872" s="31">
        <f>IF(OR($B$5="",$C$6="",ROW()&lt;$B$5),"",IF(INDEX($A:$U,ROW(),$C$6)="","",INDEX($A:$U,ROW(),$C$6)))</f>
        <v/>
      </c>
      <c r="X1872" s="32">
        <f>IF($W1872="","",IF(ISNUMBER($W1872),IF($W1872&gt;=10000000,IFERROR(DATE(INT($W1872/10000),MOD(INT($W1872/100),100),MOD($W1872,100)),""),INT($W1872)),IFERROR(DATE(--LEFT(LEFT(SUBSTITUTE(SUBSTITUTE(SUBSTITUTE(SUBSTITUTE(TRIM($W1872),"-",""),".",""),"/","")," ",""),8),4),--MID(LEFT(SUBSTITUTE(SUBSTITUTE(SUBSTITUTE(SUBSTITUTE(TRIM($W1872),"-",""),".",""),"/","")," ",""),8),5,2),--MID(LEFT(SUBSTITUTE(SUBSTITUTE(SUBSTITUTE(SUBSTITUTE(TRIM($W1872),"-",""),".",""),"/","")," ",""),8),7,2)),"")))</f>
        <v/>
      </c>
      <c r="Y1872" s="32">
        <f>IF($X1872="","",INT($X1872))</f>
        <v/>
      </c>
      <c r="Z1872" s="33">
        <f>IF(OR($Y1872="",$D$6=""),"",IF(INDEX($A:$U,ROW(),$D$6)="",0,IF(ISNUMBER(INDEX($A:$U,ROW(),$D$6)),INDEX($A:$U,ROW(),$D$6),IFERROR(--SUBSTITUTE(SUBSTITUTE(TRIM(INDEX($A:$U,ROW(),$D$6)),",",""),"원",""),0))))</f>
        <v/>
      </c>
      <c r="AA1872" s="31">
        <f>IF($Y1872="","",TRIM(INDEX($A:$U,ROW(),$E$6)&amp;IF($F$6="",""," "&amp;INDEX($A:$U,ROW(),$F$6))))</f>
        <v/>
      </c>
      <c r="AB1872" s="31">
        <f>IF($AA1872="","",SUBSTITUTE(SUBSTITUTE(SUBSTITUTE(SUBSTITUTE(SUBSTITUTE(SUBSTITUTE(SUBSTITUTE(SUBSTITUTE(SUBSTITUTE($AA1872," ",""),"　",""),"(주)",""),"（주）",""),"㈜",""),"주식회사",""),"(유)",""),"（유）",""),"유한회사",""))</f>
        <v/>
      </c>
      <c r="AC1872" s="31">
        <f>IF(OR($Y1872="",N($Z1872)&lt;=0,$AB1872=""),0,IFERROR(LOOKUP(2,1/((거래처별!$AC$8:$AC$307&lt;&gt;"")*ISNUMBER(SEARCH(거래처별!$AC$8:$AC$307,$AB1872))),거래처별!$A$8:$A$307),IFERROR(LOOKUP(2,1/((거래처별!$AD$8:$AD$307&lt;&gt;"")*ISNUMBER(SEARCH(거래처별!$AD$8:$AD$307,$AB1872))),거래처별!$A$8:$A$307),IFERROR(LOOKUP(2,1/((거래처별!$AE$8:$AE$307&lt;&gt;"")*ISNUMBER(SEARCH(거래처별!$AE$8:$AE$307,$AB1872))),거래처별!$A$8:$A$307),0))))</f>
        <v/>
      </c>
      <c r="AD1872" s="31">
        <f>IF(AND($Y1872&lt;&gt;"",N($Z1872)&gt;0,$AC1872=0),MAX($AD$7:$AD1871)+1,"")</f>
        <v/>
      </c>
      <c r="AE1872" s="31">
        <f>IF($Y1872="",0,$Y1872)</f>
        <v/>
      </c>
    </row>
    <row r="1873">
      <c r="W1873" s="31">
        <f>IF(OR($B$5="",$C$6="",ROW()&lt;$B$5),"",IF(INDEX($A:$U,ROW(),$C$6)="","",INDEX($A:$U,ROW(),$C$6)))</f>
        <v/>
      </c>
      <c r="X1873" s="32">
        <f>IF($W1873="","",IF(ISNUMBER($W1873),IF($W1873&gt;=10000000,IFERROR(DATE(INT($W1873/10000),MOD(INT($W1873/100),100),MOD($W1873,100)),""),INT($W1873)),IFERROR(DATE(--LEFT(LEFT(SUBSTITUTE(SUBSTITUTE(SUBSTITUTE(SUBSTITUTE(TRIM($W1873),"-",""),".",""),"/","")," ",""),8),4),--MID(LEFT(SUBSTITUTE(SUBSTITUTE(SUBSTITUTE(SUBSTITUTE(TRIM($W1873),"-",""),".",""),"/","")," ",""),8),5,2),--MID(LEFT(SUBSTITUTE(SUBSTITUTE(SUBSTITUTE(SUBSTITUTE(TRIM($W1873),"-",""),".",""),"/","")," ",""),8),7,2)),"")))</f>
        <v/>
      </c>
      <c r="Y1873" s="32">
        <f>IF($X1873="","",INT($X1873))</f>
        <v/>
      </c>
      <c r="Z1873" s="33">
        <f>IF(OR($Y1873="",$D$6=""),"",IF(INDEX($A:$U,ROW(),$D$6)="",0,IF(ISNUMBER(INDEX($A:$U,ROW(),$D$6)),INDEX($A:$U,ROW(),$D$6),IFERROR(--SUBSTITUTE(SUBSTITUTE(TRIM(INDEX($A:$U,ROW(),$D$6)),",",""),"원",""),0))))</f>
        <v/>
      </c>
      <c r="AA1873" s="31">
        <f>IF($Y1873="","",TRIM(INDEX($A:$U,ROW(),$E$6)&amp;IF($F$6="",""," "&amp;INDEX($A:$U,ROW(),$F$6))))</f>
        <v/>
      </c>
      <c r="AB1873" s="31">
        <f>IF($AA1873="","",SUBSTITUTE(SUBSTITUTE(SUBSTITUTE(SUBSTITUTE(SUBSTITUTE(SUBSTITUTE(SUBSTITUTE(SUBSTITUTE(SUBSTITUTE($AA1873," ",""),"　",""),"(주)",""),"（주）",""),"㈜",""),"주식회사",""),"(유)",""),"（유）",""),"유한회사",""))</f>
        <v/>
      </c>
      <c r="AC1873" s="31">
        <f>IF(OR($Y1873="",N($Z1873)&lt;=0,$AB1873=""),0,IFERROR(LOOKUP(2,1/((거래처별!$AC$8:$AC$307&lt;&gt;"")*ISNUMBER(SEARCH(거래처별!$AC$8:$AC$307,$AB1873))),거래처별!$A$8:$A$307),IFERROR(LOOKUP(2,1/((거래처별!$AD$8:$AD$307&lt;&gt;"")*ISNUMBER(SEARCH(거래처별!$AD$8:$AD$307,$AB1873))),거래처별!$A$8:$A$307),IFERROR(LOOKUP(2,1/((거래처별!$AE$8:$AE$307&lt;&gt;"")*ISNUMBER(SEARCH(거래처별!$AE$8:$AE$307,$AB1873))),거래처별!$A$8:$A$307),0))))</f>
        <v/>
      </c>
      <c r="AD1873" s="31">
        <f>IF(AND($Y1873&lt;&gt;"",N($Z1873)&gt;0,$AC1873=0),MAX($AD$7:$AD1872)+1,"")</f>
        <v/>
      </c>
      <c r="AE1873" s="31">
        <f>IF($Y1873="",0,$Y1873)</f>
        <v/>
      </c>
    </row>
    <row r="1874">
      <c r="W1874" s="31">
        <f>IF(OR($B$5="",$C$6="",ROW()&lt;$B$5),"",IF(INDEX($A:$U,ROW(),$C$6)="","",INDEX($A:$U,ROW(),$C$6)))</f>
        <v/>
      </c>
      <c r="X1874" s="32">
        <f>IF($W1874="","",IF(ISNUMBER($W1874),IF($W1874&gt;=10000000,IFERROR(DATE(INT($W1874/10000),MOD(INT($W1874/100),100),MOD($W1874,100)),""),INT($W1874)),IFERROR(DATE(--LEFT(LEFT(SUBSTITUTE(SUBSTITUTE(SUBSTITUTE(SUBSTITUTE(TRIM($W1874),"-",""),".",""),"/","")," ",""),8),4),--MID(LEFT(SUBSTITUTE(SUBSTITUTE(SUBSTITUTE(SUBSTITUTE(TRIM($W1874),"-",""),".",""),"/","")," ",""),8),5,2),--MID(LEFT(SUBSTITUTE(SUBSTITUTE(SUBSTITUTE(SUBSTITUTE(TRIM($W1874),"-",""),".",""),"/","")," ",""),8),7,2)),"")))</f>
        <v/>
      </c>
      <c r="Y1874" s="32">
        <f>IF($X1874="","",INT($X1874))</f>
        <v/>
      </c>
      <c r="Z1874" s="33">
        <f>IF(OR($Y1874="",$D$6=""),"",IF(INDEX($A:$U,ROW(),$D$6)="",0,IF(ISNUMBER(INDEX($A:$U,ROW(),$D$6)),INDEX($A:$U,ROW(),$D$6),IFERROR(--SUBSTITUTE(SUBSTITUTE(TRIM(INDEX($A:$U,ROW(),$D$6)),",",""),"원",""),0))))</f>
        <v/>
      </c>
      <c r="AA1874" s="31">
        <f>IF($Y1874="","",TRIM(INDEX($A:$U,ROW(),$E$6)&amp;IF($F$6="",""," "&amp;INDEX($A:$U,ROW(),$F$6))))</f>
        <v/>
      </c>
      <c r="AB1874" s="31">
        <f>IF($AA1874="","",SUBSTITUTE(SUBSTITUTE(SUBSTITUTE(SUBSTITUTE(SUBSTITUTE(SUBSTITUTE(SUBSTITUTE(SUBSTITUTE(SUBSTITUTE($AA1874," ",""),"　",""),"(주)",""),"（주）",""),"㈜",""),"주식회사",""),"(유)",""),"（유）",""),"유한회사",""))</f>
        <v/>
      </c>
      <c r="AC1874" s="31">
        <f>IF(OR($Y1874="",N($Z1874)&lt;=0,$AB1874=""),0,IFERROR(LOOKUP(2,1/((거래처별!$AC$8:$AC$307&lt;&gt;"")*ISNUMBER(SEARCH(거래처별!$AC$8:$AC$307,$AB1874))),거래처별!$A$8:$A$307),IFERROR(LOOKUP(2,1/((거래처별!$AD$8:$AD$307&lt;&gt;"")*ISNUMBER(SEARCH(거래처별!$AD$8:$AD$307,$AB1874))),거래처별!$A$8:$A$307),IFERROR(LOOKUP(2,1/((거래처별!$AE$8:$AE$307&lt;&gt;"")*ISNUMBER(SEARCH(거래처별!$AE$8:$AE$307,$AB1874))),거래처별!$A$8:$A$307),0))))</f>
        <v/>
      </c>
      <c r="AD1874" s="31">
        <f>IF(AND($Y1874&lt;&gt;"",N($Z1874)&gt;0,$AC1874=0),MAX($AD$7:$AD1873)+1,"")</f>
        <v/>
      </c>
      <c r="AE1874" s="31">
        <f>IF($Y1874="",0,$Y1874)</f>
        <v/>
      </c>
    </row>
    <row r="1875">
      <c r="W1875" s="31">
        <f>IF(OR($B$5="",$C$6="",ROW()&lt;$B$5),"",IF(INDEX($A:$U,ROW(),$C$6)="","",INDEX($A:$U,ROW(),$C$6)))</f>
        <v/>
      </c>
      <c r="X1875" s="32">
        <f>IF($W1875="","",IF(ISNUMBER($W1875),IF($W1875&gt;=10000000,IFERROR(DATE(INT($W1875/10000),MOD(INT($W1875/100),100),MOD($W1875,100)),""),INT($W1875)),IFERROR(DATE(--LEFT(LEFT(SUBSTITUTE(SUBSTITUTE(SUBSTITUTE(SUBSTITUTE(TRIM($W1875),"-",""),".",""),"/","")," ",""),8),4),--MID(LEFT(SUBSTITUTE(SUBSTITUTE(SUBSTITUTE(SUBSTITUTE(TRIM($W1875),"-",""),".",""),"/","")," ",""),8),5,2),--MID(LEFT(SUBSTITUTE(SUBSTITUTE(SUBSTITUTE(SUBSTITUTE(TRIM($W1875),"-",""),".",""),"/","")," ",""),8),7,2)),"")))</f>
        <v/>
      </c>
      <c r="Y1875" s="32">
        <f>IF($X1875="","",INT($X1875))</f>
        <v/>
      </c>
      <c r="Z1875" s="33">
        <f>IF(OR($Y1875="",$D$6=""),"",IF(INDEX($A:$U,ROW(),$D$6)="",0,IF(ISNUMBER(INDEX($A:$U,ROW(),$D$6)),INDEX($A:$U,ROW(),$D$6),IFERROR(--SUBSTITUTE(SUBSTITUTE(TRIM(INDEX($A:$U,ROW(),$D$6)),",",""),"원",""),0))))</f>
        <v/>
      </c>
      <c r="AA1875" s="31">
        <f>IF($Y1875="","",TRIM(INDEX($A:$U,ROW(),$E$6)&amp;IF($F$6="",""," "&amp;INDEX($A:$U,ROW(),$F$6))))</f>
        <v/>
      </c>
      <c r="AB1875" s="31">
        <f>IF($AA1875="","",SUBSTITUTE(SUBSTITUTE(SUBSTITUTE(SUBSTITUTE(SUBSTITUTE(SUBSTITUTE(SUBSTITUTE(SUBSTITUTE(SUBSTITUTE($AA1875," ",""),"　",""),"(주)",""),"（주）",""),"㈜",""),"주식회사",""),"(유)",""),"（유）",""),"유한회사",""))</f>
        <v/>
      </c>
      <c r="AC1875" s="31">
        <f>IF(OR($Y1875="",N($Z1875)&lt;=0,$AB1875=""),0,IFERROR(LOOKUP(2,1/((거래처별!$AC$8:$AC$307&lt;&gt;"")*ISNUMBER(SEARCH(거래처별!$AC$8:$AC$307,$AB1875))),거래처별!$A$8:$A$307),IFERROR(LOOKUP(2,1/((거래처별!$AD$8:$AD$307&lt;&gt;"")*ISNUMBER(SEARCH(거래처별!$AD$8:$AD$307,$AB1875))),거래처별!$A$8:$A$307),IFERROR(LOOKUP(2,1/((거래처별!$AE$8:$AE$307&lt;&gt;"")*ISNUMBER(SEARCH(거래처별!$AE$8:$AE$307,$AB1875))),거래처별!$A$8:$A$307),0))))</f>
        <v/>
      </c>
      <c r="AD1875" s="31">
        <f>IF(AND($Y1875&lt;&gt;"",N($Z1875)&gt;0,$AC1875=0),MAX($AD$7:$AD1874)+1,"")</f>
        <v/>
      </c>
      <c r="AE1875" s="31">
        <f>IF($Y1875="",0,$Y1875)</f>
        <v/>
      </c>
    </row>
    <row r="1876">
      <c r="W1876" s="31">
        <f>IF(OR($B$5="",$C$6="",ROW()&lt;$B$5),"",IF(INDEX($A:$U,ROW(),$C$6)="","",INDEX($A:$U,ROW(),$C$6)))</f>
        <v/>
      </c>
      <c r="X1876" s="32">
        <f>IF($W1876="","",IF(ISNUMBER($W1876),IF($W1876&gt;=10000000,IFERROR(DATE(INT($W1876/10000),MOD(INT($W1876/100),100),MOD($W1876,100)),""),INT($W1876)),IFERROR(DATE(--LEFT(LEFT(SUBSTITUTE(SUBSTITUTE(SUBSTITUTE(SUBSTITUTE(TRIM($W1876),"-",""),".",""),"/","")," ",""),8),4),--MID(LEFT(SUBSTITUTE(SUBSTITUTE(SUBSTITUTE(SUBSTITUTE(TRIM($W1876),"-",""),".",""),"/","")," ",""),8),5,2),--MID(LEFT(SUBSTITUTE(SUBSTITUTE(SUBSTITUTE(SUBSTITUTE(TRIM($W1876),"-",""),".",""),"/","")," ",""),8),7,2)),"")))</f>
        <v/>
      </c>
      <c r="Y1876" s="32">
        <f>IF($X1876="","",INT($X1876))</f>
        <v/>
      </c>
      <c r="Z1876" s="33">
        <f>IF(OR($Y1876="",$D$6=""),"",IF(INDEX($A:$U,ROW(),$D$6)="",0,IF(ISNUMBER(INDEX($A:$U,ROW(),$D$6)),INDEX($A:$U,ROW(),$D$6),IFERROR(--SUBSTITUTE(SUBSTITUTE(TRIM(INDEX($A:$U,ROW(),$D$6)),",",""),"원",""),0))))</f>
        <v/>
      </c>
      <c r="AA1876" s="31">
        <f>IF($Y1876="","",TRIM(INDEX($A:$U,ROW(),$E$6)&amp;IF($F$6="",""," "&amp;INDEX($A:$U,ROW(),$F$6))))</f>
        <v/>
      </c>
      <c r="AB1876" s="31">
        <f>IF($AA1876="","",SUBSTITUTE(SUBSTITUTE(SUBSTITUTE(SUBSTITUTE(SUBSTITUTE(SUBSTITUTE(SUBSTITUTE(SUBSTITUTE(SUBSTITUTE($AA1876," ",""),"　",""),"(주)",""),"（주）",""),"㈜",""),"주식회사",""),"(유)",""),"（유）",""),"유한회사",""))</f>
        <v/>
      </c>
      <c r="AC1876" s="31">
        <f>IF(OR($Y1876="",N($Z1876)&lt;=0,$AB1876=""),0,IFERROR(LOOKUP(2,1/((거래처별!$AC$8:$AC$307&lt;&gt;"")*ISNUMBER(SEARCH(거래처별!$AC$8:$AC$307,$AB1876))),거래처별!$A$8:$A$307),IFERROR(LOOKUP(2,1/((거래처별!$AD$8:$AD$307&lt;&gt;"")*ISNUMBER(SEARCH(거래처별!$AD$8:$AD$307,$AB1876))),거래처별!$A$8:$A$307),IFERROR(LOOKUP(2,1/((거래처별!$AE$8:$AE$307&lt;&gt;"")*ISNUMBER(SEARCH(거래처별!$AE$8:$AE$307,$AB1876))),거래처별!$A$8:$A$307),0))))</f>
        <v/>
      </c>
      <c r="AD1876" s="31">
        <f>IF(AND($Y1876&lt;&gt;"",N($Z1876)&gt;0,$AC1876=0),MAX($AD$7:$AD1875)+1,"")</f>
        <v/>
      </c>
      <c r="AE1876" s="31">
        <f>IF($Y1876="",0,$Y1876)</f>
        <v/>
      </c>
    </row>
    <row r="1877">
      <c r="W1877" s="31">
        <f>IF(OR($B$5="",$C$6="",ROW()&lt;$B$5),"",IF(INDEX($A:$U,ROW(),$C$6)="","",INDEX($A:$U,ROW(),$C$6)))</f>
        <v/>
      </c>
      <c r="X1877" s="32">
        <f>IF($W1877="","",IF(ISNUMBER($W1877),IF($W1877&gt;=10000000,IFERROR(DATE(INT($W1877/10000),MOD(INT($W1877/100),100),MOD($W1877,100)),""),INT($W1877)),IFERROR(DATE(--LEFT(LEFT(SUBSTITUTE(SUBSTITUTE(SUBSTITUTE(SUBSTITUTE(TRIM($W1877),"-",""),".",""),"/","")," ",""),8),4),--MID(LEFT(SUBSTITUTE(SUBSTITUTE(SUBSTITUTE(SUBSTITUTE(TRIM($W1877),"-",""),".",""),"/","")," ",""),8),5,2),--MID(LEFT(SUBSTITUTE(SUBSTITUTE(SUBSTITUTE(SUBSTITUTE(TRIM($W1877),"-",""),".",""),"/","")," ",""),8),7,2)),"")))</f>
        <v/>
      </c>
      <c r="Y1877" s="32">
        <f>IF($X1877="","",INT($X1877))</f>
        <v/>
      </c>
      <c r="Z1877" s="33">
        <f>IF(OR($Y1877="",$D$6=""),"",IF(INDEX($A:$U,ROW(),$D$6)="",0,IF(ISNUMBER(INDEX($A:$U,ROW(),$D$6)),INDEX($A:$U,ROW(),$D$6),IFERROR(--SUBSTITUTE(SUBSTITUTE(TRIM(INDEX($A:$U,ROW(),$D$6)),",",""),"원",""),0))))</f>
        <v/>
      </c>
      <c r="AA1877" s="31">
        <f>IF($Y1877="","",TRIM(INDEX($A:$U,ROW(),$E$6)&amp;IF($F$6="",""," "&amp;INDEX($A:$U,ROW(),$F$6))))</f>
        <v/>
      </c>
      <c r="AB1877" s="31">
        <f>IF($AA1877="","",SUBSTITUTE(SUBSTITUTE(SUBSTITUTE(SUBSTITUTE(SUBSTITUTE(SUBSTITUTE(SUBSTITUTE(SUBSTITUTE(SUBSTITUTE($AA1877," ",""),"　",""),"(주)",""),"（주）",""),"㈜",""),"주식회사",""),"(유)",""),"（유）",""),"유한회사",""))</f>
        <v/>
      </c>
      <c r="AC1877" s="31">
        <f>IF(OR($Y1877="",N($Z1877)&lt;=0,$AB1877=""),0,IFERROR(LOOKUP(2,1/((거래처별!$AC$8:$AC$307&lt;&gt;"")*ISNUMBER(SEARCH(거래처별!$AC$8:$AC$307,$AB1877))),거래처별!$A$8:$A$307),IFERROR(LOOKUP(2,1/((거래처별!$AD$8:$AD$307&lt;&gt;"")*ISNUMBER(SEARCH(거래처별!$AD$8:$AD$307,$AB1877))),거래처별!$A$8:$A$307),IFERROR(LOOKUP(2,1/((거래처별!$AE$8:$AE$307&lt;&gt;"")*ISNUMBER(SEARCH(거래처별!$AE$8:$AE$307,$AB1877))),거래처별!$A$8:$A$307),0))))</f>
        <v/>
      </c>
      <c r="AD1877" s="31">
        <f>IF(AND($Y1877&lt;&gt;"",N($Z1877)&gt;0,$AC1877=0),MAX($AD$7:$AD1876)+1,"")</f>
        <v/>
      </c>
      <c r="AE1877" s="31">
        <f>IF($Y1877="",0,$Y1877)</f>
        <v/>
      </c>
    </row>
    <row r="1878">
      <c r="W1878" s="31">
        <f>IF(OR($B$5="",$C$6="",ROW()&lt;$B$5),"",IF(INDEX($A:$U,ROW(),$C$6)="","",INDEX($A:$U,ROW(),$C$6)))</f>
        <v/>
      </c>
      <c r="X1878" s="32">
        <f>IF($W1878="","",IF(ISNUMBER($W1878),IF($W1878&gt;=10000000,IFERROR(DATE(INT($W1878/10000),MOD(INT($W1878/100),100),MOD($W1878,100)),""),INT($W1878)),IFERROR(DATE(--LEFT(LEFT(SUBSTITUTE(SUBSTITUTE(SUBSTITUTE(SUBSTITUTE(TRIM($W1878),"-",""),".",""),"/","")," ",""),8),4),--MID(LEFT(SUBSTITUTE(SUBSTITUTE(SUBSTITUTE(SUBSTITUTE(TRIM($W1878),"-",""),".",""),"/","")," ",""),8),5,2),--MID(LEFT(SUBSTITUTE(SUBSTITUTE(SUBSTITUTE(SUBSTITUTE(TRIM($W1878),"-",""),".",""),"/","")," ",""),8),7,2)),"")))</f>
        <v/>
      </c>
      <c r="Y1878" s="32">
        <f>IF($X1878="","",INT($X1878))</f>
        <v/>
      </c>
      <c r="Z1878" s="33">
        <f>IF(OR($Y1878="",$D$6=""),"",IF(INDEX($A:$U,ROW(),$D$6)="",0,IF(ISNUMBER(INDEX($A:$U,ROW(),$D$6)),INDEX($A:$U,ROW(),$D$6),IFERROR(--SUBSTITUTE(SUBSTITUTE(TRIM(INDEX($A:$U,ROW(),$D$6)),",",""),"원",""),0))))</f>
        <v/>
      </c>
      <c r="AA1878" s="31">
        <f>IF($Y1878="","",TRIM(INDEX($A:$U,ROW(),$E$6)&amp;IF($F$6="",""," "&amp;INDEX($A:$U,ROW(),$F$6))))</f>
        <v/>
      </c>
      <c r="AB1878" s="31">
        <f>IF($AA1878="","",SUBSTITUTE(SUBSTITUTE(SUBSTITUTE(SUBSTITUTE(SUBSTITUTE(SUBSTITUTE(SUBSTITUTE(SUBSTITUTE(SUBSTITUTE($AA1878," ",""),"　",""),"(주)",""),"（주）",""),"㈜",""),"주식회사",""),"(유)",""),"（유）",""),"유한회사",""))</f>
        <v/>
      </c>
      <c r="AC1878" s="31">
        <f>IF(OR($Y1878="",N($Z1878)&lt;=0,$AB1878=""),0,IFERROR(LOOKUP(2,1/((거래처별!$AC$8:$AC$307&lt;&gt;"")*ISNUMBER(SEARCH(거래처별!$AC$8:$AC$307,$AB1878))),거래처별!$A$8:$A$307),IFERROR(LOOKUP(2,1/((거래처별!$AD$8:$AD$307&lt;&gt;"")*ISNUMBER(SEARCH(거래처별!$AD$8:$AD$307,$AB1878))),거래처별!$A$8:$A$307),IFERROR(LOOKUP(2,1/((거래처별!$AE$8:$AE$307&lt;&gt;"")*ISNUMBER(SEARCH(거래처별!$AE$8:$AE$307,$AB1878))),거래처별!$A$8:$A$307),0))))</f>
        <v/>
      </c>
      <c r="AD1878" s="31">
        <f>IF(AND($Y1878&lt;&gt;"",N($Z1878)&gt;0,$AC1878=0),MAX($AD$7:$AD1877)+1,"")</f>
        <v/>
      </c>
      <c r="AE1878" s="31">
        <f>IF($Y1878="",0,$Y1878)</f>
        <v/>
      </c>
    </row>
    <row r="1879">
      <c r="W1879" s="31">
        <f>IF(OR($B$5="",$C$6="",ROW()&lt;$B$5),"",IF(INDEX($A:$U,ROW(),$C$6)="","",INDEX($A:$U,ROW(),$C$6)))</f>
        <v/>
      </c>
      <c r="X1879" s="32">
        <f>IF($W1879="","",IF(ISNUMBER($W1879),IF($W1879&gt;=10000000,IFERROR(DATE(INT($W1879/10000),MOD(INT($W1879/100),100),MOD($W1879,100)),""),INT($W1879)),IFERROR(DATE(--LEFT(LEFT(SUBSTITUTE(SUBSTITUTE(SUBSTITUTE(SUBSTITUTE(TRIM($W1879),"-",""),".",""),"/","")," ",""),8),4),--MID(LEFT(SUBSTITUTE(SUBSTITUTE(SUBSTITUTE(SUBSTITUTE(TRIM($W1879),"-",""),".",""),"/","")," ",""),8),5,2),--MID(LEFT(SUBSTITUTE(SUBSTITUTE(SUBSTITUTE(SUBSTITUTE(TRIM($W1879),"-",""),".",""),"/","")," ",""),8),7,2)),"")))</f>
        <v/>
      </c>
      <c r="Y1879" s="32">
        <f>IF($X1879="","",INT($X1879))</f>
        <v/>
      </c>
      <c r="Z1879" s="33">
        <f>IF(OR($Y1879="",$D$6=""),"",IF(INDEX($A:$U,ROW(),$D$6)="",0,IF(ISNUMBER(INDEX($A:$U,ROW(),$D$6)),INDEX($A:$U,ROW(),$D$6),IFERROR(--SUBSTITUTE(SUBSTITUTE(TRIM(INDEX($A:$U,ROW(),$D$6)),",",""),"원",""),0))))</f>
        <v/>
      </c>
      <c r="AA1879" s="31">
        <f>IF($Y1879="","",TRIM(INDEX($A:$U,ROW(),$E$6)&amp;IF($F$6="",""," "&amp;INDEX($A:$U,ROW(),$F$6))))</f>
        <v/>
      </c>
      <c r="AB1879" s="31">
        <f>IF($AA1879="","",SUBSTITUTE(SUBSTITUTE(SUBSTITUTE(SUBSTITUTE(SUBSTITUTE(SUBSTITUTE(SUBSTITUTE(SUBSTITUTE(SUBSTITUTE($AA1879," ",""),"　",""),"(주)",""),"（주）",""),"㈜",""),"주식회사",""),"(유)",""),"（유）",""),"유한회사",""))</f>
        <v/>
      </c>
      <c r="AC1879" s="31">
        <f>IF(OR($Y1879="",N($Z1879)&lt;=0,$AB1879=""),0,IFERROR(LOOKUP(2,1/((거래처별!$AC$8:$AC$307&lt;&gt;"")*ISNUMBER(SEARCH(거래처별!$AC$8:$AC$307,$AB1879))),거래처별!$A$8:$A$307),IFERROR(LOOKUP(2,1/((거래처별!$AD$8:$AD$307&lt;&gt;"")*ISNUMBER(SEARCH(거래처별!$AD$8:$AD$307,$AB1879))),거래처별!$A$8:$A$307),IFERROR(LOOKUP(2,1/((거래처별!$AE$8:$AE$307&lt;&gt;"")*ISNUMBER(SEARCH(거래처별!$AE$8:$AE$307,$AB1879))),거래처별!$A$8:$A$307),0))))</f>
        <v/>
      </c>
      <c r="AD1879" s="31">
        <f>IF(AND($Y1879&lt;&gt;"",N($Z1879)&gt;0,$AC1879=0),MAX($AD$7:$AD1878)+1,"")</f>
        <v/>
      </c>
      <c r="AE1879" s="31">
        <f>IF($Y1879="",0,$Y1879)</f>
        <v/>
      </c>
    </row>
    <row r="1880">
      <c r="W1880" s="31">
        <f>IF(OR($B$5="",$C$6="",ROW()&lt;$B$5),"",IF(INDEX($A:$U,ROW(),$C$6)="","",INDEX($A:$U,ROW(),$C$6)))</f>
        <v/>
      </c>
      <c r="X1880" s="32">
        <f>IF($W1880="","",IF(ISNUMBER($W1880),IF($W1880&gt;=10000000,IFERROR(DATE(INT($W1880/10000),MOD(INT($W1880/100),100),MOD($W1880,100)),""),INT($W1880)),IFERROR(DATE(--LEFT(LEFT(SUBSTITUTE(SUBSTITUTE(SUBSTITUTE(SUBSTITUTE(TRIM($W1880),"-",""),".",""),"/","")," ",""),8),4),--MID(LEFT(SUBSTITUTE(SUBSTITUTE(SUBSTITUTE(SUBSTITUTE(TRIM($W1880),"-",""),".",""),"/","")," ",""),8),5,2),--MID(LEFT(SUBSTITUTE(SUBSTITUTE(SUBSTITUTE(SUBSTITUTE(TRIM($W1880),"-",""),".",""),"/","")," ",""),8),7,2)),"")))</f>
        <v/>
      </c>
      <c r="Y1880" s="32">
        <f>IF($X1880="","",INT($X1880))</f>
        <v/>
      </c>
      <c r="Z1880" s="33">
        <f>IF(OR($Y1880="",$D$6=""),"",IF(INDEX($A:$U,ROW(),$D$6)="",0,IF(ISNUMBER(INDEX($A:$U,ROW(),$D$6)),INDEX($A:$U,ROW(),$D$6),IFERROR(--SUBSTITUTE(SUBSTITUTE(TRIM(INDEX($A:$U,ROW(),$D$6)),",",""),"원",""),0))))</f>
        <v/>
      </c>
      <c r="AA1880" s="31">
        <f>IF($Y1880="","",TRIM(INDEX($A:$U,ROW(),$E$6)&amp;IF($F$6="",""," "&amp;INDEX($A:$U,ROW(),$F$6))))</f>
        <v/>
      </c>
      <c r="AB1880" s="31">
        <f>IF($AA1880="","",SUBSTITUTE(SUBSTITUTE(SUBSTITUTE(SUBSTITUTE(SUBSTITUTE(SUBSTITUTE(SUBSTITUTE(SUBSTITUTE(SUBSTITUTE($AA1880," ",""),"　",""),"(주)",""),"（주）",""),"㈜",""),"주식회사",""),"(유)",""),"（유）",""),"유한회사",""))</f>
        <v/>
      </c>
      <c r="AC1880" s="31">
        <f>IF(OR($Y1880="",N($Z1880)&lt;=0,$AB1880=""),0,IFERROR(LOOKUP(2,1/((거래처별!$AC$8:$AC$307&lt;&gt;"")*ISNUMBER(SEARCH(거래처별!$AC$8:$AC$307,$AB1880))),거래처별!$A$8:$A$307),IFERROR(LOOKUP(2,1/((거래처별!$AD$8:$AD$307&lt;&gt;"")*ISNUMBER(SEARCH(거래처별!$AD$8:$AD$307,$AB1880))),거래처별!$A$8:$A$307),IFERROR(LOOKUP(2,1/((거래처별!$AE$8:$AE$307&lt;&gt;"")*ISNUMBER(SEARCH(거래처별!$AE$8:$AE$307,$AB1880))),거래처별!$A$8:$A$307),0))))</f>
        <v/>
      </c>
      <c r="AD1880" s="31">
        <f>IF(AND($Y1880&lt;&gt;"",N($Z1880)&gt;0,$AC1880=0),MAX($AD$7:$AD1879)+1,"")</f>
        <v/>
      </c>
      <c r="AE1880" s="31">
        <f>IF($Y1880="",0,$Y1880)</f>
        <v/>
      </c>
    </row>
    <row r="1881">
      <c r="W1881" s="31">
        <f>IF(OR($B$5="",$C$6="",ROW()&lt;$B$5),"",IF(INDEX($A:$U,ROW(),$C$6)="","",INDEX($A:$U,ROW(),$C$6)))</f>
        <v/>
      </c>
      <c r="X1881" s="32">
        <f>IF($W1881="","",IF(ISNUMBER($W1881),IF($W1881&gt;=10000000,IFERROR(DATE(INT($W1881/10000),MOD(INT($W1881/100),100),MOD($W1881,100)),""),INT($W1881)),IFERROR(DATE(--LEFT(LEFT(SUBSTITUTE(SUBSTITUTE(SUBSTITUTE(SUBSTITUTE(TRIM($W1881),"-",""),".",""),"/","")," ",""),8),4),--MID(LEFT(SUBSTITUTE(SUBSTITUTE(SUBSTITUTE(SUBSTITUTE(TRIM($W1881),"-",""),".",""),"/","")," ",""),8),5,2),--MID(LEFT(SUBSTITUTE(SUBSTITUTE(SUBSTITUTE(SUBSTITUTE(TRIM($W1881),"-",""),".",""),"/","")," ",""),8),7,2)),"")))</f>
        <v/>
      </c>
      <c r="Y1881" s="32">
        <f>IF($X1881="","",INT($X1881))</f>
        <v/>
      </c>
      <c r="Z1881" s="33">
        <f>IF(OR($Y1881="",$D$6=""),"",IF(INDEX($A:$U,ROW(),$D$6)="",0,IF(ISNUMBER(INDEX($A:$U,ROW(),$D$6)),INDEX($A:$U,ROW(),$D$6),IFERROR(--SUBSTITUTE(SUBSTITUTE(TRIM(INDEX($A:$U,ROW(),$D$6)),",",""),"원",""),0))))</f>
        <v/>
      </c>
      <c r="AA1881" s="31">
        <f>IF($Y1881="","",TRIM(INDEX($A:$U,ROW(),$E$6)&amp;IF($F$6="",""," "&amp;INDEX($A:$U,ROW(),$F$6))))</f>
        <v/>
      </c>
      <c r="AB1881" s="31">
        <f>IF($AA1881="","",SUBSTITUTE(SUBSTITUTE(SUBSTITUTE(SUBSTITUTE(SUBSTITUTE(SUBSTITUTE(SUBSTITUTE(SUBSTITUTE(SUBSTITUTE($AA1881," ",""),"　",""),"(주)",""),"（주）",""),"㈜",""),"주식회사",""),"(유)",""),"（유）",""),"유한회사",""))</f>
        <v/>
      </c>
      <c r="AC1881" s="31">
        <f>IF(OR($Y1881="",N($Z1881)&lt;=0,$AB1881=""),0,IFERROR(LOOKUP(2,1/((거래처별!$AC$8:$AC$307&lt;&gt;"")*ISNUMBER(SEARCH(거래처별!$AC$8:$AC$307,$AB1881))),거래처별!$A$8:$A$307),IFERROR(LOOKUP(2,1/((거래처별!$AD$8:$AD$307&lt;&gt;"")*ISNUMBER(SEARCH(거래처별!$AD$8:$AD$307,$AB1881))),거래처별!$A$8:$A$307),IFERROR(LOOKUP(2,1/((거래처별!$AE$8:$AE$307&lt;&gt;"")*ISNUMBER(SEARCH(거래처별!$AE$8:$AE$307,$AB1881))),거래처별!$A$8:$A$307),0))))</f>
        <v/>
      </c>
      <c r="AD1881" s="31">
        <f>IF(AND($Y1881&lt;&gt;"",N($Z1881)&gt;0,$AC1881=0),MAX($AD$7:$AD1880)+1,"")</f>
        <v/>
      </c>
      <c r="AE1881" s="31">
        <f>IF($Y1881="",0,$Y1881)</f>
        <v/>
      </c>
    </row>
    <row r="1882">
      <c r="W1882" s="31">
        <f>IF(OR($B$5="",$C$6="",ROW()&lt;$B$5),"",IF(INDEX($A:$U,ROW(),$C$6)="","",INDEX($A:$U,ROW(),$C$6)))</f>
        <v/>
      </c>
      <c r="X1882" s="32">
        <f>IF($W1882="","",IF(ISNUMBER($W1882),IF($W1882&gt;=10000000,IFERROR(DATE(INT($W1882/10000),MOD(INT($W1882/100),100),MOD($W1882,100)),""),INT($W1882)),IFERROR(DATE(--LEFT(LEFT(SUBSTITUTE(SUBSTITUTE(SUBSTITUTE(SUBSTITUTE(TRIM($W1882),"-",""),".",""),"/","")," ",""),8),4),--MID(LEFT(SUBSTITUTE(SUBSTITUTE(SUBSTITUTE(SUBSTITUTE(TRIM($W1882),"-",""),".",""),"/","")," ",""),8),5,2),--MID(LEFT(SUBSTITUTE(SUBSTITUTE(SUBSTITUTE(SUBSTITUTE(TRIM($W1882),"-",""),".",""),"/","")," ",""),8),7,2)),"")))</f>
        <v/>
      </c>
      <c r="Y1882" s="32">
        <f>IF($X1882="","",INT($X1882))</f>
        <v/>
      </c>
      <c r="Z1882" s="33">
        <f>IF(OR($Y1882="",$D$6=""),"",IF(INDEX($A:$U,ROW(),$D$6)="",0,IF(ISNUMBER(INDEX($A:$U,ROW(),$D$6)),INDEX($A:$U,ROW(),$D$6),IFERROR(--SUBSTITUTE(SUBSTITUTE(TRIM(INDEX($A:$U,ROW(),$D$6)),",",""),"원",""),0))))</f>
        <v/>
      </c>
      <c r="AA1882" s="31">
        <f>IF($Y1882="","",TRIM(INDEX($A:$U,ROW(),$E$6)&amp;IF($F$6="",""," "&amp;INDEX($A:$U,ROW(),$F$6))))</f>
        <v/>
      </c>
      <c r="AB1882" s="31">
        <f>IF($AA1882="","",SUBSTITUTE(SUBSTITUTE(SUBSTITUTE(SUBSTITUTE(SUBSTITUTE(SUBSTITUTE(SUBSTITUTE(SUBSTITUTE(SUBSTITUTE($AA1882," ",""),"　",""),"(주)",""),"（주）",""),"㈜",""),"주식회사",""),"(유)",""),"（유）",""),"유한회사",""))</f>
        <v/>
      </c>
      <c r="AC1882" s="31">
        <f>IF(OR($Y1882="",N($Z1882)&lt;=0,$AB1882=""),0,IFERROR(LOOKUP(2,1/((거래처별!$AC$8:$AC$307&lt;&gt;"")*ISNUMBER(SEARCH(거래처별!$AC$8:$AC$307,$AB1882))),거래처별!$A$8:$A$307),IFERROR(LOOKUP(2,1/((거래처별!$AD$8:$AD$307&lt;&gt;"")*ISNUMBER(SEARCH(거래처별!$AD$8:$AD$307,$AB1882))),거래처별!$A$8:$A$307),IFERROR(LOOKUP(2,1/((거래처별!$AE$8:$AE$307&lt;&gt;"")*ISNUMBER(SEARCH(거래처별!$AE$8:$AE$307,$AB1882))),거래처별!$A$8:$A$307),0))))</f>
        <v/>
      </c>
      <c r="AD1882" s="31">
        <f>IF(AND($Y1882&lt;&gt;"",N($Z1882)&gt;0,$AC1882=0),MAX($AD$7:$AD1881)+1,"")</f>
        <v/>
      </c>
      <c r="AE1882" s="31">
        <f>IF($Y1882="",0,$Y1882)</f>
        <v/>
      </c>
    </row>
    <row r="1883">
      <c r="W1883" s="31">
        <f>IF(OR($B$5="",$C$6="",ROW()&lt;$B$5),"",IF(INDEX($A:$U,ROW(),$C$6)="","",INDEX($A:$U,ROW(),$C$6)))</f>
        <v/>
      </c>
      <c r="X1883" s="32">
        <f>IF($W1883="","",IF(ISNUMBER($W1883),IF($W1883&gt;=10000000,IFERROR(DATE(INT($W1883/10000),MOD(INT($W1883/100),100),MOD($W1883,100)),""),INT($W1883)),IFERROR(DATE(--LEFT(LEFT(SUBSTITUTE(SUBSTITUTE(SUBSTITUTE(SUBSTITUTE(TRIM($W1883),"-",""),".",""),"/","")," ",""),8),4),--MID(LEFT(SUBSTITUTE(SUBSTITUTE(SUBSTITUTE(SUBSTITUTE(TRIM($W1883),"-",""),".",""),"/","")," ",""),8),5,2),--MID(LEFT(SUBSTITUTE(SUBSTITUTE(SUBSTITUTE(SUBSTITUTE(TRIM($W1883),"-",""),".",""),"/","")," ",""),8),7,2)),"")))</f>
        <v/>
      </c>
      <c r="Y1883" s="32">
        <f>IF($X1883="","",INT($X1883))</f>
        <v/>
      </c>
      <c r="Z1883" s="33">
        <f>IF(OR($Y1883="",$D$6=""),"",IF(INDEX($A:$U,ROW(),$D$6)="",0,IF(ISNUMBER(INDEX($A:$U,ROW(),$D$6)),INDEX($A:$U,ROW(),$D$6),IFERROR(--SUBSTITUTE(SUBSTITUTE(TRIM(INDEX($A:$U,ROW(),$D$6)),",",""),"원",""),0))))</f>
        <v/>
      </c>
      <c r="AA1883" s="31">
        <f>IF($Y1883="","",TRIM(INDEX($A:$U,ROW(),$E$6)&amp;IF($F$6="",""," "&amp;INDEX($A:$U,ROW(),$F$6))))</f>
        <v/>
      </c>
      <c r="AB1883" s="31">
        <f>IF($AA1883="","",SUBSTITUTE(SUBSTITUTE(SUBSTITUTE(SUBSTITUTE(SUBSTITUTE(SUBSTITUTE(SUBSTITUTE(SUBSTITUTE(SUBSTITUTE($AA1883," ",""),"　",""),"(주)",""),"（주）",""),"㈜",""),"주식회사",""),"(유)",""),"（유）",""),"유한회사",""))</f>
        <v/>
      </c>
      <c r="AC1883" s="31">
        <f>IF(OR($Y1883="",N($Z1883)&lt;=0,$AB1883=""),0,IFERROR(LOOKUP(2,1/((거래처별!$AC$8:$AC$307&lt;&gt;"")*ISNUMBER(SEARCH(거래처별!$AC$8:$AC$307,$AB1883))),거래처별!$A$8:$A$307),IFERROR(LOOKUP(2,1/((거래처별!$AD$8:$AD$307&lt;&gt;"")*ISNUMBER(SEARCH(거래처별!$AD$8:$AD$307,$AB1883))),거래처별!$A$8:$A$307),IFERROR(LOOKUP(2,1/((거래처별!$AE$8:$AE$307&lt;&gt;"")*ISNUMBER(SEARCH(거래처별!$AE$8:$AE$307,$AB1883))),거래처별!$A$8:$A$307),0))))</f>
        <v/>
      </c>
      <c r="AD1883" s="31">
        <f>IF(AND($Y1883&lt;&gt;"",N($Z1883)&gt;0,$AC1883=0),MAX($AD$7:$AD1882)+1,"")</f>
        <v/>
      </c>
      <c r="AE1883" s="31">
        <f>IF($Y1883="",0,$Y1883)</f>
        <v/>
      </c>
    </row>
    <row r="1884">
      <c r="W1884" s="31">
        <f>IF(OR($B$5="",$C$6="",ROW()&lt;$B$5),"",IF(INDEX($A:$U,ROW(),$C$6)="","",INDEX($A:$U,ROW(),$C$6)))</f>
        <v/>
      </c>
      <c r="X1884" s="32">
        <f>IF($W1884="","",IF(ISNUMBER($W1884),IF($W1884&gt;=10000000,IFERROR(DATE(INT($W1884/10000),MOD(INT($W1884/100),100),MOD($W1884,100)),""),INT($W1884)),IFERROR(DATE(--LEFT(LEFT(SUBSTITUTE(SUBSTITUTE(SUBSTITUTE(SUBSTITUTE(TRIM($W1884),"-",""),".",""),"/","")," ",""),8),4),--MID(LEFT(SUBSTITUTE(SUBSTITUTE(SUBSTITUTE(SUBSTITUTE(TRIM($W1884),"-",""),".",""),"/","")," ",""),8),5,2),--MID(LEFT(SUBSTITUTE(SUBSTITUTE(SUBSTITUTE(SUBSTITUTE(TRIM($W1884),"-",""),".",""),"/","")," ",""),8),7,2)),"")))</f>
        <v/>
      </c>
      <c r="Y1884" s="32">
        <f>IF($X1884="","",INT($X1884))</f>
        <v/>
      </c>
      <c r="Z1884" s="33">
        <f>IF(OR($Y1884="",$D$6=""),"",IF(INDEX($A:$U,ROW(),$D$6)="",0,IF(ISNUMBER(INDEX($A:$U,ROW(),$D$6)),INDEX($A:$U,ROW(),$D$6),IFERROR(--SUBSTITUTE(SUBSTITUTE(TRIM(INDEX($A:$U,ROW(),$D$6)),",",""),"원",""),0))))</f>
        <v/>
      </c>
      <c r="AA1884" s="31">
        <f>IF($Y1884="","",TRIM(INDEX($A:$U,ROW(),$E$6)&amp;IF($F$6="",""," "&amp;INDEX($A:$U,ROW(),$F$6))))</f>
        <v/>
      </c>
      <c r="AB1884" s="31">
        <f>IF($AA1884="","",SUBSTITUTE(SUBSTITUTE(SUBSTITUTE(SUBSTITUTE(SUBSTITUTE(SUBSTITUTE(SUBSTITUTE(SUBSTITUTE(SUBSTITUTE($AA1884," ",""),"　",""),"(주)",""),"（주）",""),"㈜",""),"주식회사",""),"(유)",""),"（유）",""),"유한회사",""))</f>
        <v/>
      </c>
      <c r="AC1884" s="31">
        <f>IF(OR($Y1884="",N($Z1884)&lt;=0,$AB1884=""),0,IFERROR(LOOKUP(2,1/((거래처별!$AC$8:$AC$307&lt;&gt;"")*ISNUMBER(SEARCH(거래처별!$AC$8:$AC$307,$AB1884))),거래처별!$A$8:$A$307),IFERROR(LOOKUP(2,1/((거래처별!$AD$8:$AD$307&lt;&gt;"")*ISNUMBER(SEARCH(거래처별!$AD$8:$AD$307,$AB1884))),거래처별!$A$8:$A$307),IFERROR(LOOKUP(2,1/((거래처별!$AE$8:$AE$307&lt;&gt;"")*ISNUMBER(SEARCH(거래처별!$AE$8:$AE$307,$AB1884))),거래처별!$A$8:$A$307),0))))</f>
        <v/>
      </c>
      <c r="AD1884" s="31">
        <f>IF(AND($Y1884&lt;&gt;"",N($Z1884)&gt;0,$AC1884=0),MAX($AD$7:$AD1883)+1,"")</f>
        <v/>
      </c>
      <c r="AE1884" s="31">
        <f>IF($Y1884="",0,$Y1884)</f>
        <v/>
      </c>
    </row>
    <row r="1885">
      <c r="W1885" s="31">
        <f>IF(OR($B$5="",$C$6="",ROW()&lt;$B$5),"",IF(INDEX($A:$U,ROW(),$C$6)="","",INDEX($A:$U,ROW(),$C$6)))</f>
        <v/>
      </c>
      <c r="X1885" s="32">
        <f>IF($W1885="","",IF(ISNUMBER($W1885),IF($W1885&gt;=10000000,IFERROR(DATE(INT($W1885/10000),MOD(INT($W1885/100),100),MOD($W1885,100)),""),INT($W1885)),IFERROR(DATE(--LEFT(LEFT(SUBSTITUTE(SUBSTITUTE(SUBSTITUTE(SUBSTITUTE(TRIM($W1885),"-",""),".",""),"/","")," ",""),8),4),--MID(LEFT(SUBSTITUTE(SUBSTITUTE(SUBSTITUTE(SUBSTITUTE(TRIM($W1885),"-",""),".",""),"/","")," ",""),8),5,2),--MID(LEFT(SUBSTITUTE(SUBSTITUTE(SUBSTITUTE(SUBSTITUTE(TRIM($W1885),"-",""),".",""),"/","")," ",""),8),7,2)),"")))</f>
        <v/>
      </c>
      <c r="Y1885" s="32">
        <f>IF($X1885="","",INT($X1885))</f>
        <v/>
      </c>
      <c r="Z1885" s="33">
        <f>IF(OR($Y1885="",$D$6=""),"",IF(INDEX($A:$U,ROW(),$D$6)="",0,IF(ISNUMBER(INDEX($A:$U,ROW(),$D$6)),INDEX($A:$U,ROW(),$D$6),IFERROR(--SUBSTITUTE(SUBSTITUTE(TRIM(INDEX($A:$U,ROW(),$D$6)),",",""),"원",""),0))))</f>
        <v/>
      </c>
      <c r="AA1885" s="31">
        <f>IF($Y1885="","",TRIM(INDEX($A:$U,ROW(),$E$6)&amp;IF($F$6="",""," "&amp;INDEX($A:$U,ROW(),$F$6))))</f>
        <v/>
      </c>
      <c r="AB1885" s="31">
        <f>IF($AA1885="","",SUBSTITUTE(SUBSTITUTE(SUBSTITUTE(SUBSTITUTE(SUBSTITUTE(SUBSTITUTE(SUBSTITUTE(SUBSTITUTE(SUBSTITUTE($AA1885," ",""),"　",""),"(주)",""),"（주）",""),"㈜",""),"주식회사",""),"(유)",""),"（유）",""),"유한회사",""))</f>
        <v/>
      </c>
      <c r="AC1885" s="31">
        <f>IF(OR($Y1885="",N($Z1885)&lt;=0,$AB1885=""),0,IFERROR(LOOKUP(2,1/((거래처별!$AC$8:$AC$307&lt;&gt;"")*ISNUMBER(SEARCH(거래처별!$AC$8:$AC$307,$AB1885))),거래처별!$A$8:$A$307),IFERROR(LOOKUP(2,1/((거래처별!$AD$8:$AD$307&lt;&gt;"")*ISNUMBER(SEARCH(거래처별!$AD$8:$AD$307,$AB1885))),거래처별!$A$8:$A$307),IFERROR(LOOKUP(2,1/((거래처별!$AE$8:$AE$307&lt;&gt;"")*ISNUMBER(SEARCH(거래처별!$AE$8:$AE$307,$AB1885))),거래처별!$A$8:$A$307),0))))</f>
        <v/>
      </c>
      <c r="AD1885" s="31">
        <f>IF(AND($Y1885&lt;&gt;"",N($Z1885)&gt;0,$AC1885=0),MAX($AD$7:$AD1884)+1,"")</f>
        <v/>
      </c>
      <c r="AE1885" s="31">
        <f>IF($Y1885="",0,$Y1885)</f>
        <v/>
      </c>
    </row>
    <row r="1886">
      <c r="W1886" s="31">
        <f>IF(OR($B$5="",$C$6="",ROW()&lt;$B$5),"",IF(INDEX($A:$U,ROW(),$C$6)="","",INDEX($A:$U,ROW(),$C$6)))</f>
        <v/>
      </c>
      <c r="X1886" s="32">
        <f>IF($W1886="","",IF(ISNUMBER($W1886),IF($W1886&gt;=10000000,IFERROR(DATE(INT($W1886/10000),MOD(INT($W1886/100),100),MOD($W1886,100)),""),INT($W1886)),IFERROR(DATE(--LEFT(LEFT(SUBSTITUTE(SUBSTITUTE(SUBSTITUTE(SUBSTITUTE(TRIM($W1886),"-",""),".",""),"/","")," ",""),8),4),--MID(LEFT(SUBSTITUTE(SUBSTITUTE(SUBSTITUTE(SUBSTITUTE(TRIM($W1886),"-",""),".",""),"/","")," ",""),8),5,2),--MID(LEFT(SUBSTITUTE(SUBSTITUTE(SUBSTITUTE(SUBSTITUTE(TRIM($W1886),"-",""),".",""),"/","")," ",""),8),7,2)),"")))</f>
        <v/>
      </c>
      <c r="Y1886" s="32">
        <f>IF($X1886="","",INT($X1886))</f>
        <v/>
      </c>
      <c r="Z1886" s="33">
        <f>IF(OR($Y1886="",$D$6=""),"",IF(INDEX($A:$U,ROW(),$D$6)="",0,IF(ISNUMBER(INDEX($A:$U,ROW(),$D$6)),INDEX($A:$U,ROW(),$D$6),IFERROR(--SUBSTITUTE(SUBSTITUTE(TRIM(INDEX($A:$U,ROW(),$D$6)),",",""),"원",""),0))))</f>
        <v/>
      </c>
      <c r="AA1886" s="31">
        <f>IF($Y1886="","",TRIM(INDEX($A:$U,ROW(),$E$6)&amp;IF($F$6="",""," "&amp;INDEX($A:$U,ROW(),$F$6))))</f>
        <v/>
      </c>
      <c r="AB1886" s="31">
        <f>IF($AA1886="","",SUBSTITUTE(SUBSTITUTE(SUBSTITUTE(SUBSTITUTE(SUBSTITUTE(SUBSTITUTE(SUBSTITUTE(SUBSTITUTE(SUBSTITUTE($AA1886," ",""),"　",""),"(주)",""),"（주）",""),"㈜",""),"주식회사",""),"(유)",""),"（유）",""),"유한회사",""))</f>
        <v/>
      </c>
      <c r="AC1886" s="31">
        <f>IF(OR($Y1886="",N($Z1886)&lt;=0,$AB1886=""),0,IFERROR(LOOKUP(2,1/((거래처별!$AC$8:$AC$307&lt;&gt;"")*ISNUMBER(SEARCH(거래처별!$AC$8:$AC$307,$AB1886))),거래처별!$A$8:$A$307),IFERROR(LOOKUP(2,1/((거래처별!$AD$8:$AD$307&lt;&gt;"")*ISNUMBER(SEARCH(거래처별!$AD$8:$AD$307,$AB1886))),거래처별!$A$8:$A$307),IFERROR(LOOKUP(2,1/((거래처별!$AE$8:$AE$307&lt;&gt;"")*ISNUMBER(SEARCH(거래처별!$AE$8:$AE$307,$AB1886))),거래처별!$A$8:$A$307),0))))</f>
        <v/>
      </c>
      <c r="AD1886" s="31">
        <f>IF(AND($Y1886&lt;&gt;"",N($Z1886)&gt;0,$AC1886=0),MAX($AD$7:$AD1885)+1,"")</f>
        <v/>
      </c>
      <c r="AE1886" s="31">
        <f>IF($Y1886="",0,$Y1886)</f>
        <v/>
      </c>
    </row>
    <row r="1887">
      <c r="W1887" s="31">
        <f>IF(OR($B$5="",$C$6="",ROW()&lt;$B$5),"",IF(INDEX($A:$U,ROW(),$C$6)="","",INDEX($A:$U,ROW(),$C$6)))</f>
        <v/>
      </c>
      <c r="X1887" s="32">
        <f>IF($W1887="","",IF(ISNUMBER($W1887),IF($W1887&gt;=10000000,IFERROR(DATE(INT($W1887/10000),MOD(INT($W1887/100),100),MOD($W1887,100)),""),INT($W1887)),IFERROR(DATE(--LEFT(LEFT(SUBSTITUTE(SUBSTITUTE(SUBSTITUTE(SUBSTITUTE(TRIM($W1887),"-",""),".",""),"/","")," ",""),8),4),--MID(LEFT(SUBSTITUTE(SUBSTITUTE(SUBSTITUTE(SUBSTITUTE(TRIM($W1887),"-",""),".",""),"/","")," ",""),8),5,2),--MID(LEFT(SUBSTITUTE(SUBSTITUTE(SUBSTITUTE(SUBSTITUTE(TRIM($W1887),"-",""),".",""),"/","")," ",""),8),7,2)),"")))</f>
        <v/>
      </c>
      <c r="Y1887" s="32">
        <f>IF($X1887="","",INT($X1887))</f>
        <v/>
      </c>
      <c r="Z1887" s="33">
        <f>IF(OR($Y1887="",$D$6=""),"",IF(INDEX($A:$U,ROW(),$D$6)="",0,IF(ISNUMBER(INDEX($A:$U,ROW(),$D$6)),INDEX($A:$U,ROW(),$D$6),IFERROR(--SUBSTITUTE(SUBSTITUTE(TRIM(INDEX($A:$U,ROW(),$D$6)),",",""),"원",""),0))))</f>
        <v/>
      </c>
      <c r="AA1887" s="31">
        <f>IF($Y1887="","",TRIM(INDEX($A:$U,ROW(),$E$6)&amp;IF($F$6="",""," "&amp;INDEX($A:$U,ROW(),$F$6))))</f>
        <v/>
      </c>
      <c r="AB1887" s="31">
        <f>IF($AA1887="","",SUBSTITUTE(SUBSTITUTE(SUBSTITUTE(SUBSTITUTE(SUBSTITUTE(SUBSTITUTE(SUBSTITUTE(SUBSTITUTE(SUBSTITUTE($AA1887," ",""),"　",""),"(주)",""),"（주）",""),"㈜",""),"주식회사",""),"(유)",""),"（유）",""),"유한회사",""))</f>
        <v/>
      </c>
      <c r="AC1887" s="31">
        <f>IF(OR($Y1887="",N($Z1887)&lt;=0,$AB1887=""),0,IFERROR(LOOKUP(2,1/((거래처별!$AC$8:$AC$307&lt;&gt;"")*ISNUMBER(SEARCH(거래처별!$AC$8:$AC$307,$AB1887))),거래처별!$A$8:$A$307),IFERROR(LOOKUP(2,1/((거래처별!$AD$8:$AD$307&lt;&gt;"")*ISNUMBER(SEARCH(거래처별!$AD$8:$AD$307,$AB1887))),거래처별!$A$8:$A$307),IFERROR(LOOKUP(2,1/((거래처별!$AE$8:$AE$307&lt;&gt;"")*ISNUMBER(SEARCH(거래처별!$AE$8:$AE$307,$AB1887))),거래처별!$A$8:$A$307),0))))</f>
        <v/>
      </c>
      <c r="AD1887" s="31">
        <f>IF(AND($Y1887&lt;&gt;"",N($Z1887)&gt;0,$AC1887=0),MAX($AD$7:$AD1886)+1,"")</f>
        <v/>
      </c>
      <c r="AE1887" s="31">
        <f>IF($Y1887="",0,$Y1887)</f>
        <v/>
      </c>
    </row>
    <row r="1888">
      <c r="W1888" s="31">
        <f>IF(OR($B$5="",$C$6="",ROW()&lt;$B$5),"",IF(INDEX($A:$U,ROW(),$C$6)="","",INDEX($A:$U,ROW(),$C$6)))</f>
        <v/>
      </c>
      <c r="X1888" s="32">
        <f>IF($W1888="","",IF(ISNUMBER($W1888),IF($W1888&gt;=10000000,IFERROR(DATE(INT($W1888/10000),MOD(INT($W1888/100),100),MOD($W1888,100)),""),INT($W1888)),IFERROR(DATE(--LEFT(LEFT(SUBSTITUTE(SUBSTITUTE(SUBSTITUTE(SUBSTITUTE(TRIM($W1888),"-",""),".",""),"/","")," ",""),8),4),--MID(LEFT(SUBSTITUTE(SUBSTITUTE(SUBSTITUTE(SUBSTITUTE(TRIM($W1888),"-",""),".",""),"/","")," ",""),8),5,2),--MID(LEFT(SUBSTITUTE(SUBSTITUTE(SUBSTITUTE(SUBSTITUTE(TRIM($W1888),"-",""),".",""),"/","")," ",""),8),7,2)),"")))</f>
        <v/>
      </c>
      <c r="Y1888" s="32">
        <f>IF($X1888="","",INT($X1888))</f>
        <v/>
      </c>
      <c r="Z1888" s="33">
        <f>IF(OR($Y1888="",$D$6=""),"",IF(INDEX($A:$U,ROW(),$D$6)="",0,IF(ISNUMBER(INDEX($A:$U,ROW(),$D$6)),INDEX($A:$U,ROW(),$D$6),IFERROR(--SUBSTITUTE(SUBSTITUTE(TRIM(INDEX($A:$U,ROW(),$D$6)),",",""),"원",""),0))))</f>
        <v/>
      </c>
      <c r="AA1888" s="31">
        <f>IF($Y1888="","",TRIM(INDEX($A:$U,ROW(),$E$6)&amp;IF($F$6="",""," "&amp;INDEX($A:$U,ROW(),$F$6))))</f>
        <v/>
      </c>
      <c r="AB1888" s="31">
        <f>IF($AA1888="","",SUBSTITUTE(SUBSTITUTE(SUBSTITUTE(SUBSTITUTE(SUBSTITUTE(SUBSTITUTE(SUBSTITUTE(SUBSTITUTE(SUBSTITUTE($AA1888," ",""),"　",""),"(주)",""),"（주）",""),"㈜",""),"주식회사",""),"(유)",""),"（유）",""),"유한회사",""))</f>
        <v/>
      </c>
      <c r="AC1888" s="31">
        <f>IF(OR($Y1888="",N($Z1888)&lt;=0,$AB1888=""),0,IFERROR(LOOKUP(2,1/((거래처별!$AC$8:$AC$307&lt;&gt;"")*ISNUMBER(SEARCH(거래처별!$AC$8:$AC$307,$AB1888))),거래처별!$A$8:$A$307),IFERROR(LOOKUP(2,1/((거래처별!$AD$8:$AD$307&lt;&gt;"")*ISNUMBER(SEARCH(거래처별!$AD$8:$AD$307,$AB1888))),거래처별!$A$8:$A$307),IFERROR(LOOKUP(2,1/((거래처별!$AE$8:$AE$307&lt;&gt;"")*ISNUMBER(SEARCH(거래처별!$AE$8:$AE$307,$AB1888))),거래처별!$A$8:$A$307),0))))</f>
        <v/>
      </c>
      <c r="AD1888" s="31">
        <f>IF(AND($Y1888&lt;&gt;"",N($Z1888)&gt;0,$AC1888=0),MAX($AD$7:$AD1887)+1,"")</f>
        <v/>
      </c>
      <c r="AE1888" s="31">
        <f>IF($Y1888="",0,$Y1888)</f>
        <v/>
      </c>
    </row>
    <row r="1889">
      <c r="W1889" s="31">
        <f>IF(OR($B$5="",$C$6="",ROW()&lt;$B$5),"",IF(INDEX($A:$U,ROW(),$C$6)="","",INDEX($A:$U,ROW(),$C$6)))</f>
        <v/>
      </c>
      <c r="X1889" s="32">
        <f>IF($W1889="","",IF(ISNUMBER($W1889),IF($W1889&gt;=10000000,IFERROR(DATE(INT($W1889/10000),MOD(INT($W1889/100),100),MOD($W1889,100)),""),INT($W1889)),IFERROR(DATE(--LEFT(LEFT(SUBSTITUTE(SUBSTITUTE(SUBSTITUTE(SUBSTITUTE(TRIM($W1889),"-",""),".",""),"/","")," ",""),8),4),--MID(LEFT(SUBSTITUTE(SUBSTITUTE(SUBSTITUTE(SUBSTITUTE(TRIM($W1889),"-",""),".",""),"/","")," ",""),8),5,2),--MID(LEFT(SUBSTITUTE(SUBSTITUTE(SUBSTITUTE(SUBSTITUTE(TRIM($W1889),"-",""),".",""),"/","")," ",""),8),7,2)),"")))</f>
        <v/>
      </c>
      <c r="Y1889" s="32">
        <f>IF($X1889="","",INT($X1889))</f>
        <v/>
      </c>
      <c r="Z1889" s="33">
        <f>IF(OR($Y1889="",$D$6=""),"",IF(INDEX($A:$U,ROW(),$D$6)="",0,IF(ISNUMBER(INDEX($A:$U,ROW(),$D$6)),INDEX($A:$U,ROW(),$D$6),IFERROR(--SUBSTITUTE(SUBSTITUTE(TRIM(INDEX($A:$U,ROW(),$D$6)),",",""),"원",""),0))))</f>
        <v/>
      </c>
      <c r="AA1889" s="31">
        <f>IF($Y1889="","",TRIM(INDEX($A:$U,ROW(),$E$6)&amp;IF($F$6="",""," "&amp;INDEX($A:$U,ROW(),$F$6))))</f>
        <v/>
      </c>
      <c r="AB1889" s="31">
        <f>IF($AA1889="","",SUBSTITUTE(SUBSTITUTE(SUBSTITUTE(SUBSTITUTE(SUBSTITUTE(SUBSTITUTE(SUBSTITUTE(SUBSTITUTE(SUBSTITUTE($AA1889," ",""),"　",""),"(주)",""),"（주）",""),"㈜",""),"주식회사",""),"(유)",""),"（유）",""),"유한회사",""))</f>
        <v/>
      </c>
      <c r="AC1889" s="31">
        <f>IF(OR($Y1889="",N($Z1889)&lt;=0,$AB1889=""),0,IFERROR(LOOKUP(2,1/((거래처별!$AC$8:$AC$307&lt;&gt;"")*ISNUMBER(SEARCH(거래처별!$AC$8:$AC$307,$AB1889))),거래처별!$A$8:$A$307),IFERROR(LOOKUP(2,1/((거래처별!$AD$8:$AD$307&lt;&gt;"")*ISNUMBER(SEARCH(거래처별!$AD$8:$AD$307,$AB1889))),거래처별!$A$8:$A$307),IFERROR(LOOKUP(2,1/((거래처별!$AE$8:$AE$307&lt;&gt;"")*ISNUMBER(SEARCH(거래처별!$AE$8:$AE$307,$AB1889))),거래처별!$A$8:$A$307),0))))</f>
        <v/>
      </c>
      <c r="AD1889" s="31">
        <f>IF(AND($Y1889&lt;&gt;"",N($Z1889)&gt;0,$AC1889=0),MAX($AD$7:$AD1888)+1,"")</f>
        <v/>
      </c>
      <c r="AE1889" s="31">
        <f>IF($Y1889="",0,$Y1889)</f>
        <v/>
      </c>
    </row>
    <row r="1890">
      <c r="W1890" s="31">
        <f>IF(OR($B$5="",$C$6="",ROW()&lt;$B$5),"",IF(INDEX($A:$U,ROW(),$C$6)="","",INDEX($A:$U,ROW(),$C$6)))</f>
        <v/>
      </c>
      <c r="X1890" s="32">
        <f>IF($W1890="","",IF(ISNUMBER($W1890),IF($W1890&gt;=10000000,IFERROR(DATE(INT($W1890/10000),MOD(INT($W1890/100),100),MOD($W1890,100)),""),INT($W1890)),IFERROR(DATE(--LEFT(LEFT(SUBSTITUTE(SUBSTITUTE(SUBSTITUTE(SUBSTITUTE(TRIM($W1890),"-",""),".",""),"/","")," ",""),8),4),--MID(LEFT(SUBSTITUTE(SUBSTITUTE(SUBSTITUTE(SUBSTITUTE(TRIM($W1890),"-",""),".",""),"/","")," ",""),8),5,2),--MID(LEFT(SUBSTITUTE(SUBSTITUTE(SUBSTITUTE(SUBSTITUTE(TRIM($W1890),"-",""),".",""),"/","")," ",""),8),7,2)),"")))</f>
        <v/>
      </c>
      <c r="Y1890" s="32">
        <f>IF($X1890="","",INT($X1890))</f>
        <v/>
      </c>
      <c r="Z1890" s="33">
        <f>IF(OR($Y1890="",$D$6=""),"",IF(INDEX($A:$U,ROW(),$D$6)="",0,IF(ISNUMBER(INDEX($A:$U,ROW(),$D$6)),INDEX($A:$U,ROW(),$D$6),IFERROR(--SUBSTITUTE(SUBSTITUTE(TRIM(INDEX($A:$U,ROW(),$D$6)),",",""),"원",""),0))))</f>
        <v/>
      </c>
      <c r="AA1890" s="31">
        <f>IF($Y1890="","",TRIM(INDEX($A:$U,ROW(),$E$6)&amp;IF($F$6="",""," "&amp;INDEX($A:$U,ROW(),$F$6))))</f>
        <v/>
      </c>
      <c r="AB1890" s="31">
        <f>IF($AA1890="","",SUBSTITUTE(SUBSTITUTE(SUBSTITUTE(SUBSTITUTE(SUBSTITUTE(SUBSTITUTE(SUBSTITUTE(SUBSTITUTE(SUBSTITUTE($AA1890," ",""),"　",""),"(주)",""),"（주）",""),"㈜",""),"주식회사",""),"(유)",""),"（유）",""),"유한회사",""))</f>
        <v/>
      </c>
      <c r="AC1890" s="31">
        <f>IF(OR($Y1890="",N($Z1890)&lt;=0,$AB1890=""),0,IFERROR(LOOKUP(2,1/((거래처별!$AC$8:$AC$307&lt;&gt;"")*ISNUMBER(SEARCH(거래처별!$AC$8:$AC$307,$AB1890))),거래처별!$A$8:$A$307),IFERROR(LOOKUP(2,1/((거래처별!$AD$8:$AD$307&lt;&gt;"")*ISNUMBER(SEARCH(거래처별!$AD$8:$AD$307,$AB1890))),거래처별!$A$8:$A$307),IFERROR(LOOKUP(2,1/((거래처별!$AE$8:$AE$307&lt;&gt;"")*ISNUMBER(SEARCH(거래처별!$AE$8:$AE$307,$AB1890))),거래처별!$A$8:$A$307),0))))</f>
        <v/>
      </c>
      <c r="AD1890" s="31">
        <f>IF(AND($Y1890&lt;&gt;"",N($Z1890)&gt;0,$AC1890=0),MAX($AD$7:$AD1889)+1,"")</f>
        <v/>
      </c>
      <c r="AE1890" s="31">
        <f>IF($Y1890="",0,$Y1890)</f>
        <v/>
      </c>
    </row>
    <row r="1891">
      <c r="W1891" s="31">
        <f>IF(OR($B$5="",$C$6="",ROW()&lt;$B$5),"",IF(INDEX($A:$U,ROW(),$C$6)="","",INDEX($A:$U,ROW(),$C$6)))</f>
        <v/>
      </c>
      <c r="X1891" s="32">
        <f>IF($W1891="","",IF(ISNUMBER($W1891),IF($W1891&gt;=10000000,IFERROR(DATE(INT($W1891/10000),MOD(INT($W1891/100),100),MOD($W1891,100)),""),INT($W1891)),IFERROR(DATE(--LEFT(LEFT(SUBSTITUTE(SUBSTITUTE(SUBSTITUTE(SUBSTITUTE(TRIM($W1891),"-",""),".",""),"/","")," ",""),8),4),--MID(LEFT(SUBSTITUTE(SUBSTITUTE(SUBSTITUTE(SUBSTITUTE(TRIM($W1891),"-",""),".",""),"/","")," ",""),8),5,2),--MID(LEFT(SUBSTITUTE(SUBSTITUTE(SUBSTITUTE(SUBSTITUTE(TRIM($W1891),"-",""),".",""),"/","")," ",""),8),7,2)),"")))</f>
        <v/>
      </c>
      <c r="Y1891" s="32">
        <f>IF($X1891="","",INT($X1891))</f>
        <v/>
      </c>
      <c r="Z1891" s="33">
        <f>IF(OR($Y1891="",$D$6=""),"",IF(INDEX($A:$U,ROW(),$D$6)="",0,IF(ISNUMBER(INDEX($A:$U,ROW(),$D$6)),INDEX($A:$U,ROW(),$D$6),IFERROR(--SUBSTITUTE(SUBSTITUTE(TRIM(INDEX($A:$U,ROW(),$D$6)),",",""),"원",""),0))))</f>
        <v/>
      </c>
      <c r="AA1891" s="31">
        <f>IF($Y1891="","",TRIM(INDEX($A:$U,ROW(),$E$6)&amp;IF($F$6="",""," "&amp;INDEX($A:$U,ROW(),$F$6))))</f>
        <v/>
      </c>
      <c r="AB1891" s="31">
        <f>IF($AA1891="","",SUBSTITUTE(SUBSTITUTE(SUBSTITUTE(SUBSTITUTE(SUBSTITUTE(SUBSTITUTE(SUBSTITUTE(SUBSTITUTE(SUBSTITUTE($AA1891," ",""),"　",""),"(주)",""),"（주）",""),"㈜",""),"주식회사",""),"(유)",""),"（유）",""),"유한회사",""))</f>
        <v/>
      </c>
      <c r="AC1891" s="31">
        <f>IF(OR($Y1891="",N($Z1891)&lt;=0,$AB1891=""),0,IFERROR(LOOKUP(2,1/((거래처별!$AC$8:$AC$307&lt;&gt;"")*ISNUMBER(SEARCH(거래처별!$AC$8:$AC$307,$AB1891))),거래처별!$A$8:$A$307),IFERROR(LOOKUP(2,1/((거래처별!$AD$8:$AD$307&lt;&gt;"")*ISNUMBER(SEARCH(거래처별!$AD$8:$AD$307,$AB1891))),거래처별!$A$8:$A$307),IFERROR(LOOKUP(2,1/((거래처별!$AE$8:$AE$307&lt;&gt;"")*ISNUMBER(SEARCH(거래처별!$AE$8:$AE$307,$AB1891))),거래처별!$A$8:$A$307),0))))</f>
        <v/>
      </c>
      <c r="AD1891" s="31">
        <f>IF(AND($Y1891&lt;&gt;"",N($Z1891)&gt;0,$AC1891=0),MAX($AD$7:$AD1890)+1,"")</f>
        <v/>
      </c>
      <c r="AE1891" s="31">
        <f>IF($Y1891="",0,$Y1891)</f>
        <v/>
      </c>
    </row>
    <row r="1892">
      <c r="W1892" s="31">
        <f>IF(OR($B$5="",$C$6="",ROW()&lt;$B$5),"",IF(INDEX($A:$U,ROW(),$C$6)="","",INDEX($A:$U,ROW(),$C$6)))</f>
        <v/>
      </c>
      <c r="X1892" s="32">
        <f>IF($W1892="","",IF(ISNUMBER($W1892),IF($W1892&gt;=10000000,IFERROR(DATE(INT($W1892/10000),MOD(INT($W1892/100),100),MOD($W1892,100)),""),INT($W1892)),IFERROR(DATE(--LEFT(LEFT(SUBSTITUTE(SUBSTITUTE(SUBSTITUTE(SUBSTITUTE(TRIM($W1892),"-",""),".",""),"/","")," ",""),8),4),--MID(LEFT(SUBSTITUTE(SUBSTITUTE(SUBSTITUTE(SUBSTITUTE(TRIM($W1892),"-",""),".",""),"/","")," ",""),8),5,2),--MID(LEFT(SUBSTITUTE(SUBSTITUTE(SUBSTITUTE(SUBSTITUTE(TRIM($W1892),"-",""),".",""),"/","")," ",""),8),7,2)),"")))</f>
        <v/>
      </c>
      <c r="Y1892" s="32">
        <f>IF($X1892="","",INT($X1892))</f>
        <v/>
      </c>
      <c r="Z1892" s="33">
        <f>IF(OR($Y1892="",$D$6=""),"",IF(INDEX($A:$U,ROW(),$D$6)="",0,IF(ISNUMBER(INDEX($A:$U,ROW(),$D$6)),INDEX($A:$U,ROW(),$D$6),IFERROR(--SUBSTITUTE(SUBSTITUTE(TRIM(INDEX($A:$U,ROW(),$D$6)),",",""),"원",""),0))))</f>
        <v/>
      </c>
      <c r="AA1892" s="31">
        <f>IF($Y1892="","",TRIM(INDEX($A:$U,ROW(),$E$6)&amp;IF($F$6="",""," "&amp;INDEX($A:$U,ROW(),$F$6))))</f>
        <v/>
      </c>
      <c r="AB1892" s="31">
        <f>IF($AA1892="","",SUBSTITUTE(SUBSTITUTE(SUBSTITUTE(SUBSTITUTE(SUBSTITUTE(SUBSTITUTE(SUBSTITUTE(SUBSTITUTE(SUBSTITUTE($AA1892," ",""),"　",""),"(주)",""),"（주）",""),"㈜",""),"주식회사",""),"(유)",""),"（유）",""),"유한회사",""))</f>
        <v/>
      </c>
      <c r="AC1892" s="31">
        <f>IF(OR($Y1892="",N($Z1892)&lt;=0,$AB1892=""),0,IFERROR(LOOKUP(2,1/((거래처별!$AC$8:$AC$307&lt;&gt;"")*ISNUMBER(SEARCH(거래처별!$AC$8:$AC$307,$AB1892))),거래처별!$A$8:$A$307),IFERROR(LOOKUP(2,1/((거래처별!$AD$8:$AD$307&lt;&gt;"")*ISNUMBER(SEARCH(거래처별!$AD$8:$AD$307,$AB1892))),거래처별!$A$8:$A$307),IFERROR(LOOKUP(2,1/((거래처별!$AE$8:$AE$307&lt;&gt;"")*ISNUMBER(SEARCH(거래처별!$AE$8:$AE$307,$AB1892))),거래처별!$A$8:$A$307),0))))</f>
        <v/>
      </c>
      <c r="AD1892" s="31">
        <f>IF(AND($Y1892&lt;&gt;"",N($Z1892)&gt;0,$AC1892=0),MAX($AD$7:$AD1891)+1,"")</f>
        <v/>
      </c>
      <c r="AE1892" s="31">
        <f>IF($Y1892="",0,$Y1892)</f>
        <v/>
      </c>
    </row>
    <row r="1893">
      <c r="W1893" s="31">
        <f>IF(OR($B$5="",$C$6="",ROW()&lt;$B$5),"",IF(INDEX($A:$U,ROW(),$C$6)="","",INDEX($A:$U,ROW(),$C$6)))</f>
        <v/>
      </c>
      <c r="X1893" s="32">
        <f>IF($W1893="","",IF(ISNUMBER($W1893),IF($W1893&gt;=10000000,IFERROR(DATE(INT($W1893/10000),MOD(INT($W1893/100),100),MOD($W1893,100)),""),INT($W1893)),IFERROR(DATE(--LEFT(LEFT(SUBSTITUTE(SUBSTITUTE(SUBSTITUTE(SUBSTITUTE(TRIM($W1893),"-",""),".",""),"/","")," ",""),8),4),--MID(LEFT(SUBSTITUTE(SUBSTITUTE(SUBSTITUTE(SUBSTITUTE(TRIM($W1893),"-",""),".",""),"/","")," ",""),8),5,2),--MID(LEFT(SUBSTITUTE(SUBSTITUTE(SUBSTITUTE(SUBSTITUTE(TRIM($W1893),"-",""),".",""),"/","")," ",""),8),7,2)),"")))</f>
        <v/>
      </c>
      <c r="Y1893" s="32">
        <f>IF($X1893="","",INT($X1893))</f>
        <v/>
      </c>
      <c r="Z1893" s="33">
        <f>IF(OR($Y1893="",$D$6=""),"",IF(INDEX($A:$U,ROW(),$D$6)="",0,IF(ISNUMBER(INDEX($A:$U,ROW(),$D$6)),INDEX($A:$U,ROW(),$D$6),IFERROR(--SUBSTITUTE(SUBSTITUTE(TRIM(INDEX($A:$U,ROW(),$D$6)),",",""),"원",""),0))))</f>
        <v/>
      </c>
      <c r="AA1893" s="31">
        <f>IF($Y1893="","",TRIM(INDEX($A:$U,ROW(),$E$6)&amp;IF($F$6="",""," "&amp;INDEX($A:$U,ROW(),$F$6))))</f>
        <v/>
      </c>
      <c r="AB1893" s="31">
        <f>IF($AA1893="","",SUBSTITUTE(SUBSTITUTE(SUBSTITUTE(SUBSTITUTE(SUBSTITUTE(SUBSTITUTE(SUBSTITUTE(SUBSTITUTE(SUBSTITUTE($AA1893," ",""),"　",""),"(주)",""),"（주）",""),"㈜",""),"주식회사",""),"(유)",""),"（유）",""),"유한회사",""))</f>
        <v/>
      </c>
      <c r="AC1893" s="31">
        <f>IF(OR($Y1893="",N($Z1893)&lt;=0,$AB1893=""),0,IFERROR(LOOKUP(2,1/((거래처별!$AC$8:$AC$307&lt;&gt;"")*ISNUMBER(SEARCH(거래처별!$AC$8:$AC$307,$AB1893))),거래처별!$A$8:$A$307),IFERROR(LOOKUP(2,1/((거래처별!$AD$8:$AD$307&lt;&gt;"")*ISNUMBER(SEARCH(거래처별!$AD$8:$AD$307,$AB1893))),거래처별!$A$8:$A$307),IFERROR(LOOKUP(2,1/((거래처별!$AE$8:$AE$307&lt;&gt;"")*ISNUMBER(SEARCH(거래처별!$AE$8:$AE$307,$AB1893))),거래처별!$A$8:$A$307),0))))</f>
        <v/>
      </c>
      <c r="AD1893" s="31">
        <f>IF(AND($Y1893&lt;&gt;"",N($Z1893)&gt;0,$AC1893=0),MAX($AD$7:$AD1892)+1,"")</f>
        <v/>
      </c>
      <c r="AE1893" s="31">
        <f>IF($Y1893="",0,$Y1893)</f>
        <v/>
      </c>
    </row>
    <row r="1894">
      <c r="W1894" s="31">
        <f>IF(OR($B$5="",$C$6="",ROW()&lt;$B$5),"",IF(INDEX($A:$U,ROW(),$C$6)="","",INDEX($A:$U,ROW(),$C$6)))</f>
        <v/>
      </c>
      <c r="X1894" s="32">
        <f>IF($W1894="","",IF(ISNUMBER($W1894),IF($W1894&gt;=10000000,IFERROR(DATE(INT($W1894/10000),MOD(INT($W1894/100),100),MOD($W1894,100)),""),INT($W1894)),IFERROR(DATE(--LEFT(LEFT(SUBSTITUTE(SUBSTITUTE(SUBSTITUTE(SUBSTITUTE(TRIM($W1894),"-",""),".",""),"/","")," ",""),8),4),--MID(LEFT(SUBSTITUTE(SUBSTITUTE(SUBSTITUTE(SUBSTITUTE(TRIM($W1894),"-",""),".",""),"/","")," ",""),8),5,2),--MID(LEFT(SUBSTITUTE(SUBSTITUTE(SUBSTITUTE(SUBSTITUTE(TRIM($W1894),"-",""),".",""),"/","")," ",""),8),7,2)),"")))</f>
        <v/>
      </c>
      <c r="Y1894" s="32">
        <f>IF($X1894="","",INT($X1894))</f>
        <v/>
      </c>
      <c r="Z1894" s="33">
        <f>IF(OR($Y1894="",$D$6=""),"",IF(INDEX($A:$U,ROW(),$D$6)="",0,IF(ISNUMBER(INDEX($A:$U,ROW(),$D$6)),INDEX($A:$U,ROW(),$D$6),IFERROR(--SUBSTITUTE(SUBSTITUTE(TRIM(INDEX($A:$U,ROW(),$D$6)),",",""),"원",""),0))))</f>
        <v/>
      </c>
      <c r="AA1894" s="31">
        <f>IF($Y1894="","",TRIM(INDEX($A:$U,ROW(),$E$6)&amp;IF($F$6="",""," "&amp;INDEX($A:$U,ROW(),$F$6))))</f>
        <v/>
      </c>
      <c r="AB1894" s="31">
        <f>IF($AA1894="","",SUBSTITUTE(SUBSTITUTE(SUBSTITUTE(SUBSTITUTE(SUBSTITUTE(SUBSTITUTE(SUBSTITUTE(SUBSTITUTE(SUBSTITUTE($AA1894," ",""),"　",""),"(주)",""),"（주）",""),"㈜",""),"주식회사",""),"(유)",""),"（유）",""),"유한회사",""))</f>
        <v/>
      </c>
      <c r="AC1894" s="31">
        <f>IF(OR($Y1894="",N($Z1894)&lt;=0,$AB1894=""),0,IFERROR(LOOKUP(2,1/((거래처별!$AC$8:$AC$307&lt;&gt;"")*ISNUMBER(SEARCH(거래처별!$AC$8:$AC$307,$AB1894))),거래처별!$A$8:$A$307),IFERROR(LOOKUP(2,1/((거래처별!$AD$8:$AD$307&lt;&gt;"")*ISNUMBER(SEARCH(거래처별!$AD$8:$AD$307,$AB1894))),거래처별!$A$8:$A$307),IFERROR(LOOKUP(2,1/((거래처별!$AE$8:$AE$307&lt;&gt;"")*ISNUMBER(SEARCH(거래처별!$AE$8:$AE$307,$AB1894))),거래처별!$A$8:$A$307),0))))</f>
        <v/>
      </c>
      <c r="AD1894" s="31">
        <f>IF(AND($Y1894&lt;&gt;"",N($Z1894)&gt;0,$AC1894=0),MAX($AD$7:$AD1893)+1,"")</f>
        <v/>
      </c>
      <c r="AE1894" s="31">
        <f>IF($Y1894="",0,$Y1894)</f>
        <v/>
      </c>
    </row>
    <row r="1895">
      <c r="W1895" s="31">
        <f>IF(OR($B$5="",$C$6="",ROW()&lt;$B$5),"",IF(INDEX($A:$U,ROW(),$C$6)="","",INDEX($A:$U,ROW(),$C$6)))</f>
        <v/>
      </c>
      <c r="X1895" s="32">
        <f>IF($W1895="","",IF(ISNUMBER($W1895),IF($W1895&gt;=10000000,IFERROR(DATE(INT($W1895/10000),MOD(INT($W1895/100),100),MOD($W1895,100)),""),INT($W1895)),IFERROR(DATE(--LEFT(LEFT(SUBSTITUTE(SUBSTITUTE(SUBSTITUTE(SUBSTITUTE(TRIM($W1895),"-",""),".",""),"/","")," ",""),8),4),--MID(LEFT(SUBSTITUTE(SUBSTITUTE(SUBSTITUTE(SUBSTITUTE(TRIM($W1895),"-",""),".",""),"/","")," ",""),8),5,2),--MID(LEFT(SUBSTITUTE(SUBSTITUTE(SUBSTITUTE(SUBSTITUTE(TRIM($W1895),"-",""),".",""),"/","")," ",""),8),7,2)),"")))</f>
        <v/>
      </c>
      <c r="Y1895" s="32">
        <f>IF($X1895="","",INT($X1895))</f>
        <v/>
      </c>
      <c r="Z1895" s="33">
        <f>IF(OR($Y1895="",$D$6=""),"",IF(INDEX($A:$U,ROW(),$D$6)="",0,IF(ISNUMBER(INDEX($A:$U,ROW(),$D$6)),INDEX($A:$U,ROW(),$D$6),IFERROR(--SUBSTITUTE(SUBSTITUTE(TRIM(INDEX($A:$U,ROW(),$D$6)),",",""),"원",""),0))))</f>
        <v/>
      </c>
      <c r="AA1895" s="31">
        <f>IF($Y1895="","",TRIM(INDEX($A:$U,ROW(),$E$6)&amp;IF($F$6="",""," "&amp;INDEX($A:$U,ROW(),$F$6))))</f>
        <v/>
      </c>
      <c r="AB1895" s="31">
        <f>IF($AA1895="","",SUBSTITUTE(SUBSTITUTE(SUBSTITUTE(SUBSTITUTE(SUBSTITUTE(SUBSTITUTE(SUBSTITUTE(SUBSTITUTE(SUBSTITUTE($AA1895," ",""),"　",""),"(주)",""),"（주）",""),"㈜",""),"주식회사",""),"(유)",""),"（유）",""),"유한회사",""))</f>
        <v/>
      </c>
      <c r="AC1895" s="31">
        <f>IF(OR($Y1895="",N($Z1895)&lt;=0,$AB1895=""),0,IFERROR(LOOKUP(2,1/((거래처별!$AC$8:$AC$307&lt;&gt;"")*ISNUMBER(SEARCH(거래처별!$AC$8:$AC$307,$AB1895))),거래처별!$A$8:$A$307),IFERROR(LOOKUP(2,1/((거래처별!$AD$8:$AD$307&lt;&gt;"")*ISNUMBER(SEARCH(거래처별!$AD$8:$AD$307,$AB1895))),거래처별!$A$8:$A$307),IFERROR(LOOKUP(2,1/((거래처별!$AE$8:$AE$307&lt;&gt;"")*ISNUMBER(SEARCH(거래처별!$AE$8:$AE$307,$AB1895))),거래처별!$A$8:$A$307),0))))</f>
        <v/>
      </c>
      <c r="AD1895" s="31">
        <f>IF(AND($Y1895&lt;&gt;"",N($Z1895)&gt;0,$AC1895=0),MAX($AD$7:$AD1894)+1,"")</f>
        <v/>
      </c>
      <c r="AE1895" s="31">
        <f>IF($Y1895="",0,$Y1895)</f>
        <v/>
      </c>
    </row>
    <row r="1896">
      <c r="W1896" s="31">
        <f>IF(OR($B$5="",$C$6="",ROW()&lt;$B$5),"",IF(INDEX($A:$U,ROW(),$C$6)="","",INDEX($A:$U,ROW(),$C$6)))</f>
        <v/>
      </c>
      <c r="X1896" s="32">
        <f>IF($W1896="","",IF(ISNUMBER($W1896),IF($W1896&gt;=10000000,IFERROR(DATE(INT($W1896/10000),MOD(INT($W1896/100),100),MOD($W1896,100)),""),INT($W1896)),IFERROR(DATE(--LEFT(LEFT(SUBSTITUTE(SUBSTITUTE(SUBSTITUTE(SUBSTITUTE(TRIM($W1896),"-",""),".",""),"/","")," ",""),8),4),--MID(LEFT(SUBSTITUTE(SUBSTITUTE(SUBSTITUTE(SUBSTITUTE(TRIM($W1896),"-",""),".",""),"/","")," ",""),8),5,2),--MID(LEFT(SUBSTITUTE(SUBSTITUTE(SUBSTITUTE(SUBSTITUTE(TRIM($W1896),"-",""),".",""),"/","")," ",""),8),7,2)),"")))</f>
        <v/>
      </c>
      <c r="Y1896" s="32">
        <f>IF($X1896="","",INT($X1896))</f>
        <v/>
      </c>
      <c r="Z1896" s="33">
        <f>IF(OR($Y1896="",$D$6=""),"",IF(INDEX($A:$U,ROW(),$D$6)="",0,IF(ISNUMBER(INDEX($A:$U,ROW(),$D$6)),INDEX($A:$U,ROW(),$D$6),IFERROR(--SUBSTITUTE(SUBSTITUTE(TRIM(INDEX($A:$U,ROW(),$D$6)),",",""),"원",""),0))))</f>
        <v/>
      </c>
      <c r="AA1896" s="31">
        <f>IF($Y1896="","",TRIM(INDEX($A:$U,ROW(),$E$6)&amp;IF($F$6="",""," "&amp;INDEX($A:$U,ROW(),$F$6))))</f>
        <v/>
      </c>
      <c r="AB1896" s="31">
        <f>IF($AA1896="","",SUBSTITUTE(SUBSTITUTE(SUBSTITUTE(SUBSTITUTE(SUBSTITUTE(SUBSTITUTE(SUBSTITUTE(SUBSTITUTE(SUBSTITUTE($AA1896," ",""),"　",""),"(주)",""),"（주）",""),"㈜",""),"주식회사",""),"(유)",""),"（유）",""),"유한회사",""))</f>
        <v/>
      </c>
      <c r="AC1896" s="31">
        <f>IF(OR($Y1896="",N($Z1896)&lt;=0,$AB1896=""),0,IFERROR(LOOKUP(2,1/((거래처별!$AC$8:$AC$307&lt;&gt;"")*ISNUMBER(SEARCH(거래처별!$AC$8:$AC$307,$AB1896))),거래처별!$A$8:$A$307),IFERROR(LOOKUP(2,1/((거래처별!$AD$8:$AD$307&lt;&gt;"")*ISNUMBER(SEARCH(거래처별!$AD$8:$AD$307,$AB1896))),거래처별!$A$8:$A$307),IFERROR(LOOKUP(2,1/((거래처별!$AE$8:$AE$307&lt;&gt;"")*ISNUMBER(SEARCH(거래처별!$AE$8:$AE$307,$AB1896))),거래처별!$A$8:$A$307),0))))</f>
        <v/>
      </c>
      <c r="AD1896" s="31">
        <f>IF(AND($Y1896&lt;&gt;"",N($Z1896)&gt;0,$AC1896=0),MAX($AD$7:$AD1895)+1,"")</f>
        <v/>
      </c>
      <c r="AE1896" s="31">
        <f>IF($Y1896="",0,$Y1896)</f>
        <v/>
      </c>
    </row>
    <row r="1897">
      <c r="W1897" s="31">
        <f>IF(OR($B$5="",$C$6="",ROW()&lt;$B$5),"",IF(INDEX($A:$U,ROW(),$C$6)="","",INDEX($A:$U,ROW(),$C$6)))</f>
        <v/>
      </c>
      <c r="X1897" s="32">
        <f>IF($W1897="","",IF(ISNUMBER($W1897),IF($W1897&gt;=10000000,IFERROR(DATE(INT($W1897/10000),MOD(INT($W1897/100),100),MOD($W1897,100)),""),INT($W1897)),IFERROR(DATE(--LEFT(LEFT(SUBSTITUTE(SUBSTITUTE(SUBSTITUTE(SUBSTITUTE(TRIM($W1897),"-",""),".",""),"/","")," ",""),8),4),--MID(LEFT(SUBSTITUTE(SUBSTITUTE(SUBSTITUTE(SUBSTITUTE(TRIM($W1897),"-",""),".",""),"/","")," ",""),8),5,2),--MID(LEFT(SUBSTITUTE(SUBSTITUTE(SUBSTITUTE(SUBSTITUTE(TRIM($W1897),"-",""),".",""),"/","")," ",""),8),7,2)),"")))</f>
        <v/>
      </c>
      <c r="Y1897" s="32">
        <f>IF($X1897="","",INT($X1897))</f>
        <v/>
      </c>
      <c r="Z1897" s="33">
        <f>IF(OR($Y1897="",$D$6=""),"",IF(INDEX($A:$U,ROW(),$D$6)="",0,IF(ISNUMBER(INDEX($A:$U,ROW(),$D$6)),INDEX($A:$U,ROW(),$D$6),IFERROR(--SUBSTITUTE(SUBSTITUTE(TRIM(INDEX($A:$U,ROW(),$D$6)),",",""),"원",""),0))))</f>
        <v/>
      </c>
      <c r="AA1897" s="31">
        <f>IF($Y1897="","",TRIM(INDEX($A:$U,ROW(),$E$6)&amp;IF($F$6="",""," "&amp;INDEX($A:$U,ROW(),$F$6))))</f>
        <v/>
      </c>
      <c r="AB1897" s="31">
        <f>IF($AA1897="","",SUBSTITUTE(SUBSTITUTE(SUBSTITUTE(SUBSTITUTE(SUBSTITUTE(SUBSTITUTE(SUBSTITUTE(SUBSTITUTE(SUBSTITUTE($AA1897," ",""),"　",""),"(주)",""),"（주）",""),"㈜",""),"주식회사",""),"(유)",""),"（유）",""),"유한회사",""))</f>
        <v/>
      </c>
      <c r="AC1897" s="31">
        <f>IF(OR($Y1897="",N($Z1897)&lt;=0,$AB1897=""),0,IFERROR(LOOKUP(2,1/((거래처별!$AC$8:$AC$307&lt;&gt;"")*ISNUMBER(SEARCH(거래처별!$AC$8:$AC$307,$AB1897))),거래처별!$A$8:$A$307),IFERROR(LOOKUP(2,1/((거래처별!$AD$8:$AD$307&lt;&gt;"")*ISNUMBER(SEARCH(거래처별!$AD$8:$AD$307,$AB1897))),거래처별!$A$8:$A$307),IFERROR(LOOKUP(2,1/((거래처별!$AE$8:$AE$307&lt;&gt;"")*ISNUMBER(SEARCH(거래처별!$AE$8:$AE$307,$AB1897))),거래처별!$A$8:$A$307),0))))</f>
        <v/>
      </c>
      <c r="AD1897" s="31">
        <f>IF(AND($Y1897&lt;&gt;"",N($Z1897)&gt;0,$AC1897=0),MAX($AD$7:$AD1896)+1,"")</f>
        <v/>
      </c>
      <c r="AE1897" s="31">
        <f>IF($Y1897="",0,$Y1897)</f>
        <v/>
      </c>
    </row>
    <row r="1898">
      <c r="W1898" s="31">
        <f>IF(OR($B$5="",$C$6="",ROW()&lt;$B$5),"",IF(INDEX($A:$U,ROW(),$C$6)="","",INDEX($A:$U,ROW(),$C$6)))</f>
        <v/>
      </c>
      <c r="X1898" s="32">
        <f>IF($W1898="","",IF(ISNUMBER($W1898),IF($W1898&gt;=10000000,IFERROR(DATE(INT($W1898/10000),MOD(INT($W1898/100),100),MOD($W1898,100)),""),INT($W1898)),IFERROR(DATE(--LEFT(LEFT(SUBSTITUTE(SUBSTITUTE(SUBSTITUTE(SUBSTITUTE(TRIM($W1898),"-",""),".",""),"/","")," ",""),8),4),--MID(LEFT(SUBSTITUTE(SUBSTITUTE(SUBSTITUTE(SUBSTITUTE(TRIM($W1898),"-",""),".",""),"/","")," ",""),8),5,2),--MID(LEFT(SUBSTITUTE(SUBSTITUTE(SUBSTITUTE(SUBSTITUTE(TRIM($W1898),"-",""),".",""),"/","")," ",""),8),7,2)),"")))</f>
        <v/>
      </c>
      <c r="Y1898" s="32">
        <f>IF($X1898="","",INT($X1898))</f>
        <v/>
      </c>
      <c r="Z1898" s="33">
        <f>IF(OR($Y1898="",$D$6=""),"",IF(INDEX($A:$U,ROW(),$D$6)="",0,IF(ISNUMBER(INDEX($A:$U,ROW(),$D$6)),INDEX($A:$U,ROW(),$D$6),IFERROR(--SUBSTITUTE(SUBSTITUTE(TRIM(INDEX($A:$U,ROW(),$D$6)),",",""),"원",""),0))))</f>
        <v/>
      </c>
      <c r="AA1898" s="31">
        <f>IF($Y1898="","",TRIM(INDEX($A:$U,ROW(),$E$6)&amp;IF($F$6="",""," "&amp;INDEX($A:$U,ROW(),$F$6))))</f>
        <v/>
      </c>
      <c r="AB1898" s="31">
        <f>IF($AA1898="","",SUBSTITUTE(SUBSTITUTE(SUBSTITUTE(SUBSTITUTE(SUBSTITUTE(SUBSTITUTE(SUBSTITUTE(SUBSTITUTE(SUBSTITUTE($AA1898," ",""),"　",""),"(주)",""),"（주）",""),"㈜",""),"주식회사",""),"(유)",""),"（유）",""),"유한회사",""))</f>
        <v/>
      </c>
      <c r="AC1898" s="31">
        <f>IF(OR($Y1898="",N($Z1898)&lt;=0,$AB1898=""),0,IFERROR(LOOKUP(2,1/((거래처별!$AC$8:$AC$307&lt;&gt;"")*ISNUMBER(SEARCH(거래처별!$AC$8:$AC$307,$AB1898))),거래처별!$A$8:$A$307),IFERROR(LOOKUP(2,1/((거래처별!$AD$8:$AD$307&lt;&gt;"")*ISNUMBER(SEARCH(거래처별!$AD$8:$AD$307,$AB1898))),거래처별!$A$8:$A$307),IFERROR(LOOKUP(2,1/((거래처별!$AE$8:$AE$307&lt;&gt;"")*ISNUMBER(SEARCH(거래처별!$AE$8:$AE$307,$AB1898))),거래처별!$A$8:$A$307),0))))</f>
        <v/>
      </c>
      <c r="AD1898" s="31">
        <f>IF(AND($Y1898&lt;&gt;"",N($Z1898)&gt;0,$AC1898=0),MAX($AD$7:$AD1897)+1,"")</f>
        <v/>
      </c>
      <c r="AE1898" s="31">
        <f>IF($Y1898="",0,$Y1898)</f>
        <v/>
      </c>
    </row>
    <row r="1899">
      <c r="W1899" s="31">
        <f>IF(OR($B$5="",$C$6="",ROW()&lt;$B$5),"",IF(INDEX($A:$U,ROW(),$C$6)="","",INDEX($A:$U,ROW(),$C$6)))</f>
        <v/>
      </c>
      <c r="X1899" s="32">
        <f>IF($W1899="","",IF(ISNUMBER($W1899),IF($W1899&gt;=10000000,IFERROR(DATE(INT($W1899/10000),MOD(INT($W1899/100),100),MOD($W1899,100)),""),INT($W1899)),IFERROR(DATE(--LEFT(LEFT(SUBSTITUTE(SUBSTITUTE(SUBSTITUTE(SUBSTITUTE(TRIM($W1899),"-",""),".",""),"/","")," ",""),8),4),--MID(LEFT(SUBSTITUTE(SUBSTITUTE(SUBSTITUTE(SUBSTITUTE(TRIM($W1899),"-",""),".",""),"/","")," ",""),8),5,2),--MID(LEFT(SUBSTITUTE(SUBSTITUTE(SUBSTITUTE(SUBSTITUTE(TRIM($W1899),"-",""),".",""),"/","")," ",""),8),7,2)),"")))</f>
        <v/>
      </c>
      <c r="Y1899" s="32">
        <f>IF($X1899="","",INT($X1899))</f>
        <v/>
      </c>
      <c r="Z1899" s="33">
        <f>IF(OR($Y1899="",$D$6=""),"",IF(INDEX($A:$U,ROW(),$D$6)="",0,IF(ISNUMBER(INDEX($A:$U,ROW(),$D$6)),INDEX($A:$U,ROW(),$D$6),IFERROR(--SUBSTITUTE(SUBSTITUTE(TRIM(INDEX($A:$U,ROW(),$D$6)),",",""),"원",""),0))))</f>
        <v/>
      </c>
      <c r="AA1899" s="31">
        <f>IF($Y1899="","",TRIM(INDEX($A:$U,ROW(),$E$6)&amp;IF($F$6="",""," "&amp;INDEX($A:$U,ROW(),$F$6))))</f>
        <v/>
      </c>
      <c r="AB1899" s="31">
        <f>IF($AA1899="","",SUBSTITUTE(SUBSTITUTE(SUBSTITUTE(SUBSTITUTE(SUBSTITUTE(SUBSTITUTE(SUBSTITUTE(SUBSTITUTE(SUBSTITUTE($AA1899," ",""),"　",""),"(주)",""),"（주）",""),"㈜",""),"주식회사",""),"(유)",""),"（유）",""),"유한회사",""))</f>
        <v/>
      </c>
      <c r="AC1899" s="31">
        <f>IF(OR($Y1899="",N($Z1899)&lt;=0,$AB1899=""),0,IFERROR(LOOKUP(2,1/((거래처별!$AC$8:$AC$307&lt;&gt;"")*ISNUMBER(SEARCH(거래처별!$AC$8:$AC$307,$AB1899))),거래처별!$A$8:$A$307),IFERROR(LOOKUP(2,1/((거래처별!$AD$8:$AD$307&lt;&gt;"")*ISNUMBER(SEARCH(거래처별!$AD$8:$AD$307,$AB1899))),거래처별!$A$8:$A$307),IFERROR(LOOKUP(2,1/((거래처별!$AE$8:$AE$307&lt;&gt;"")*ISNUMBER(SEARCH(거래처별!$AE$8:$AE$307,$AB1899))),거래처별!$A$8:$A$307),0))))</f>
        <v/>
      </c>
      <c r="AD1899" s="31">
        <f>IF(AND($Y1899&lt;&gt;"",N($Z1899)&gt;0,$AC1899=0),MAX($AD$7:$AD1898)+1,"")</f>
        <v/>
      </c>
      <c r="AE1899" s="31">
        <f>IF($Y1899="",0,$Y1899)</f>
        <v/>
      </c>
    </row>
    <row r="1900">
      <c r="W1900" s="31">
        <f>IF(OR($B$5="",$C$6="",ROW()&lt;$B$5),"",IF(INDEX($A:$U,ROW(),$C$6)="","",INDEX($A:$U,ROW(),$C$6)))</f>
        <v/>
      </c>
      <c r="X1900" s="32">
        <f>IF($W1900="","",IF(ISNUMBER($W1900),IF($W1900&gt;=10000000,IFERROR(DATE(INT($W1900/10000),MOD(INT($W1900/100),100),MOD($W1900,100)),""),INT($W1900)),IFERROR(DATE(--LEFT(LEFT(SUBSTITUTE(SUBSTITUTE(SUBSTITUTE(SUBSTITUTE(TRIM($W1900),"-",""),".",""),"/","")," ",""),8),4),--MID(LEFT(SUBSTITUTE(SUBSTITUTE(SUBSTITUTE(SUBSTITUTE(TRIM($W1900),"-",""),".",""),"/","")," ",""),8),5,2),--MID(LEFT(SUBSTITUTE(SUBSTITUTE(SUBSTITUTE(SUBSTITUTE(TRIM($W1900),"-",""),".",""),"/","")," ",""),8),7,2)),"")))</f>
        <v/>
      </c>
      <c r="Y1900" s="32">
        <f>IF($X1900="","",INT($X1900))</f>
        <v/>
      </c>
      <c r="Z1900" s="33">
        <f>IF(OR($Y1900="",$D$6=""),"",IF(INDEX($A:$U,ROW(),$D$6)="",0,IF(ISNUMBER(INDEX($A:$U,ROW(),$D$6)),INDEX($A:$U,ROW(),$D$6),IFERROR(--SUBSTITUTE(SUBSTITUTE(TRIM(INDEX($A:$U,ROW(),$D$6)),",",""),"원",""),0))))</f>
        <v/>
      </c>
      <c r="AA1900" s="31">
        <f>IF($Y1900="","",TRIM(INDEX($A:$U,ROW(),$E$6)&amp;IF($F$6="",""," "&amp;INDEX($A:$U,ROW(),$F$6))))</f>
        <v/>
      </c>
      <c r="AB1900" s="31">
        <f>IF($AA1900="","",SUBSTITUTE(SUBSTITUTE(SUBSTITUTE(SUBSTITUTE(SUBSTITUTE(SUBSTITUTE(SUBSTITUTE(SUBSTITUTE(SUBSTITUTE($AA1900," ",""),"　",""),"(주)",""),"（주）",""),"㈜",""),"주식회사",""),"(유)",""),"（유）",""),"유한회사",""))</f>
        <v/>
      </c>
      <c r="AC1900" s="31">
        <f>IF(OR($Y1900="",N($Z1900)&lt;=0,$AB1900=""),0,IFERROR(LOOKUP(2,1/((거래처별!$AC$8:$AC$307&lt;&gt;"")*ISNUMBER(SEARCH(거래처별!$AC$8:$AC$307,$AB1900))),거래처별!$A$8:$A$307),IFERROR(LOOKUP(2,1/((거래처별!$AD$8:$AD$307&lt;&gt;"")*ISNUMBER(SEARCH(거래처별!$AD$8:$AD$307,$AB1900))),거래처별!$A$8:$A$307),IFERROR(LOOKUP(2,1/((거래처별!$AE$8:$AE$307&lt;&gt;"")*ISNUMBER(SEARCH(거래처별!$AE$8:$AE$307,$AB1900))),거래처별!$A$8:$A$307),0))))</f>
        <v/>
      </c>
      <c r="AD1900" s="31">
        <f>IF(AND($Y1900&lt;&gt;"",N($Z1900)&gt;0,$AC1900=0),MAX($AD$7:$AD1899)+1,"")</f>
        <v/>
      </c>
      <c r="AE1900" s="31">
        <f>IF($Y1900="",0,$Y1900)</f>
        <v/>
      </c>
    </row>
    <row r="1901">
      <c r="W1901" s="31">
        <f>IF(OR($B$5="",$C$6="",ROW()&lt;$B$5),"",IF(INDEX($A:$U,ROW(),$C$6)="","",INDEX($A:$U,ROW(),$C$6)))</f>
        <v/>
      </c>
      <c r="X1901" s="32">
        <f>IF($W1901="","",IF(ISNUMBER($W1901),IF($W1901&gt;=10000000,IFERROR(DATE(INT($W1901/10000),MOD(INT($W1901/100),100),MOD($W1901,100)),""),INT($W1901)),IFERROR(DATE(--LEFT(LEFT(SUBSTITUTE(SUBSTITUTE(SUBSTITUTE(SUBSTITUTE(TRIM($W1901),"-",""),".",""),"/","")," ",""),8),4),--MID(LEFT(SUBSTITUTE(SUBSTITUTE(SUBSTITUTE(SUBSTITUTE(TRIM($W1901),"-",""),".",""),"/","")," ",""),8),5,2),--MID(LEFT(SUBSTITUTE(SUBSTITUTE(SUBSTITUTE(SUBSTITUTE(TRIM($W1901),"-",""),".",""),"/","")," ",""),8),7,2)),"")))</f>
        <v/>
      </c>
      <c r="Y1901" s="32">
        <f>IF($X1901="","",INT($X1901))</f>
        <v/>
      </c>
      <c r="Z1901" s="33">
        <f>IF(OR($Y1901="",$D$6=""),"",IF(INDEX($A:$U,ROW(),$D$6)="",0,IF(ISNUMBER(INDEX($A:$U,ROW(),$D$6)),INDEX($A:$U,ROW(),$D$6),IFERROR(--SUBSTITUTE(SUBSTITUTE(TRIM(INDEX($A:$U,ROW(),$D$6)),",",""),"원",""),0))))</f>
        <v/>
      </c>
      <c r="AA1901" s="31">
        <f>IF($Y1901="","",TRIM(INDEX($A:$U,ROW(),$E$6)&amp;IF($F$6="",""," "&amp;INDEX($A:$U,ROW(),$F$6))))</f>
        <v/>
      </c>
      <c r="AB1901" s="31">
        <f>IF($AA1901="","",SUBSTITUTE(SUBSTITUTE(SUBSTITUTE(SUBSTITUTE(SUBSTITUTE(SUBSTITUTE(SUBSTITUTE(SUBSTITUTE(SUBSTITUTE($AA1901," ",""),"　",""),"(주)",""),"（주）",""),"㈜",""),"주식회사",""),"(유)",""),"（유）",""),"유한회사",""))</f>
        <v/>
      </c>
      <c r="AC1901" s="31">
        <f>IF(OR($Y1901="",N($Z1901)&lt;=0,$AB1901=""),0,IFERROR(LOOKUP(2,1/((거래처별!$AC$8:$AC$307&lt;&gt;"")*ISNUMBER(SEARCH(거래처별!$AC$8:$AC$307,$AB1901))),거래처별!$A$8:$A$307),IFERROR(LOOKUP(2,1/((거래처별!$AD$8:$AD$307&lt;&gt;"")*ISNUMBER(SEARCH(거래처별!$AD$8:$AD$307,$AB1901))),거래처별!$A$8:$A$307),IFERROR(LOOKUP(2,1/((거래처별!$AE$8:$AE$307&lt;&gt;"")*ISNUMBER(SEARCH(거래처별!$AE$8:$AE$307,$AB1901))),거래처별!$A$8:$A$307),0))))</f>
        <v/>
      </c>
      <c r="AD1901" s="31">
        <f>IF(AND($Y1901&lt;&gt;"",N($Z1901)&gt;0,$AC1901=0),MAX($AD$7:$AD1900)+1,"")</f>
        <v/>
      </c>
      <c r="AE1901" s="31">
        <f>IF($Y1901="",0,$Y1901)</f>
        <v/>
      </c>
    </row>
    <row r="1902">
      <c r="W1902" s="31">
        <f>IF(OR($B$5="",$C$6="",ROW()&lt;$B$5),"",IF(INDEX($A:$U,ROW(),$C$6)="","",INDEX($A:$U,ROW(),$C$6)))</f>
        <v/>
      </c>
      <c r="X1902" s="32">
        <f>IF($W1902="","",IF(ISNUMBER($W1902),IF($W1902&gt;=10000000,IFERROR(DATE(INT($W1902/10000),MOD(INT($W1902/100),100),MOD($W1902,100)),""),INT($W1902)),IFERROR(DATE(--LEFT(LEFT(SUBSTITUTE(SUBSTITUTE(SUBSTITUTE(SUBSTITUTE(TRIM($W1902),"-",""),".",""),"/","")," ",""),8),4),--MID(LEFT(SUBSTITUTE(SUBSTITUTE(SUBSTITUTE(SUBSTITUTE(TRIM($W1902),"-",""),".",""),"/","")," ",""),8),5,2),--MID(LEFT(SUBSTITUTE(SUBSTITUTE(SUBSTITUTE(SUBSTITUTE(TRIM($W1902),"-",""),".",""),"/","")," ",""),8),7,2)),"")))</f>
        <v/>
      </c>
      <c r="Y1902" s="32">
        <f>IF($X1902="","",INT($X1902))</f>
        <v/>
      </c>
      <c r="Z1902" s="33">
        <f>IF(OR($Y1902="",$D$6=""),"",IF(INDEX($A:$U,ROW(),$D$6)="",0,IF(ISNUMBER(INDEX($A:$U,ROW(),$D$6)),INDEX($A:$U,ROW(),$D$6),IFERROR(--SUBSTITUTE(SUBSTITUTE(TRIM(INDEX($A:$U,ROW(),$D$6)),",",""),"원",""),0))))</f>
        <v/>
      </c>
      <c r="AA1902" s="31">
        <f>IF($Y1902="","",TRIM(INDEX($A:$U,ROW(),$E$6)&amp;IF($F$6="",""," "&amp;INDEX($A:$U,ROW(),$F$6))))</f>
        <v/>
      </c>
      <c r="AB1902" s="31">
        <f>IF($AA1902="","",SUBSTITUTE(SUBSTITUTE(SUBSTITUTE(SUBSTITUTE(SUBSTITUTE(SUBSTITUTE(SUBSTITUTE(SUBSTITUTE(SUBSTITUTE($AA1902," ",""),"　",""),"(주)",""),"（주）",""),"㈜",""),"주식회사",""),"(유)",""),"（유）",""),"유한회사",""))</f>
        <v/>
      </c>
      <c r="AC1902" s="31">
        <f>IF(OR($Y1902="",N($Z1902)&lt;=0,$AB1902=""),0,IFERROR(LOOKUP(2,1/((거래처별!$AC$8:$AC$307&lt;&gt;"")*ISNUMBER(SEARCH(거래처별!$AC$8:$AC$307,$AB1902))),거래처별!$A$8:$A$307),IFERROR(LOOKUP(2,1/((거래처별!$AD$8:$AD$307&lt;&gt;"")*ISNUMBER(SEARCH(거래처별!$AD$8:$AD$307,$AB1902))),거래처별!$A$8:$A$307),IFERROR(LOOKUP(2,1/((거래처별!$AE$8:$AE$307&lt;&gt;"")*ISNUMBER(SEARCH(거래처별!$AE$8:$AE$307,$AB1902))),거래처별!$A$8:$A$307),0))))</f>
        <v/>
      </c>
      <c r="AD1902" s="31">
        <f>IF(AND($Y1902&lt;&gt;"",N($Z1902)&gt;0,$AC1902=0),MAX($AD$7:$AD1901)+1,"")</f>
        <v/>
      </c>
      <c r="AE1902" s="31">
        <f>IF($Y1902="",0,$Y1902)</f>
        <v/>
      </c>
    </row>
    <row r="1903">
      <c r="W1903" s="31">
        <f>IF(OR($B$5="",$C$6="",ROW()&lt;$B$5),"",IF(INDEX($A:$U,ROW(),$C$6)="","",INDEX($A:$U,ROW(),$C$6)))</f>
        <v/>
      </c>
      <c r="X1903" s="32">
        <f>IF($W1903="","",IF(ISNUMBER($W1903),IF($W1903&gt;=10000000,IFERROR(DATE(INT($W1903/10000),MOD(INT($W1903/100),100),MOD($W1903,100)),""),INT($W1903)),IFERROR(DATE(--LEFT(LEFT(SUBSTITUTE(SUBSTITUTE(SUBSTITUTE(SUBSTITUTE(TRIM($W1903),"-",""),".",""),"/","")," ",""),8),4),--MID(LEFT(SUBSTITUTE(SUBSTITUTE(SUBSTITUTE(SUBSTITUTE(TRIM($W1903),"-",""),".",""),"/","")," ",""),8),5,2),--MID(LEFT(SUBSTITUTE(SUBSTITUTE(SUBSTITUTE(SUBSTITUTE(TRIM($W1903),"-",""),".",""),"/","")," ",""),8),7,2)),"")))</f>
        <v/>
      </c>
      <c r="Y1903" s="32">
        <f>IF($X1903="","",INT($X1903))</f>
        <v/>
      </c>
      <c r="Z1903" s="33">
        <f>IF(OR($Y1903="",$D$6=""),"",IF(INDEX($A:$U,ROW(),$D$6)="",0,IF(ISNUMBER(INDEX($A:$U,ROW(),$D$6)),INDEX($A:$U,ROW(),$D$6),IFERROR(--SUBSTITUTE(SUBSTITUTE(TRIM(INDEX($A:$U,ROW(),$D$6)),",",""),"원",""),0))))</f>
        <v/>
      </c>
      <c r="AA1903" s="31">
        <f>IF($Y1903="","",TRIM(INDEX($A:$U,ROW(),$E$6)&amp;IF($F$6="",""," "&amp;INDEX($A:$U,ROW(),$F$6))))</f>
        <v/>
      </c>
      <c r="AB1903" s="31">
        <f>IF($AA1903="","",SUBSTITUTE(SUBSTITUTE(SUBSTITUTE(SUBSTITUTE(SUBSTITUTE(SUBSTITUTE(SUBSTITUTE(SUBSTITUTE(SUBSTITUTE($AA1903," ",""),"　",""),"(주)",""),"（주）",""),"㈜",""),"주식회사",""),"(유)",""),"（유）",""),"유한회사",""))</f>
        <v/>
      </c>
      <c r="AC1903" s="31">
        <f>IF(OR($Y1903="",N($Z1903)&lt;=0,$AB1903=""),0,IFERROR(LOOKUP(2,1/((거래처별!$AC$8:$AC$307&lt;&gt;"")*ISNUMBER(SEARCH(거래처별!$AC$8:$AC$307,$AB1903))),거래처별!$A$8:$A$307),IFERROR(LOOKUP(2,1/((거래처별!$AD$8:$AD$307&lt;&gt;"")*ISNUMBER(SEARCH(거래처별!$AD$8:$AD$307,$AB1903))),거래처별!$A$8:$A$307),IFERROR(LOOKUP(2,1/((거래처별!$AE$8:$AE$307&lt;&gt;"")*ISNUMBER(SEARCH(거래처별!$AE$8:$AE$307,$AB1903))),거래처별!$A$8:$A$307),0))))</f>
        <v/>
      </c>
      <c r="AD1903" s="31">
        <f>IF(AND($Y1903&lt;&gt;"",N($Z1903)&gt;0,$AC1903=0),MAX($AD$7:$AD1902)+1,"")</f>
        <v/>
      </c>
      <c r="AE1903" s="31">
        <f>IF($Y1903="",0,$Y1903)</f>
        <v/>
      </c>
    </row>
    <row r="1904">
      <c r="W1904" s="31">
        <f>IF(OR($B$5="",$C$6="",ROW()&lt;$B$5),"",IF(INDEX($A:$U,ROW(),$C$6)="","",INDEX($A:$U,ROW(),$C$6)))</f>
        <v/>
      </c>
      <c r="X1904" s="32">
        <f>IF($W1904="","",IF(ISNUMBER($W1904),IF($W1904&gt;=10000000,IFERROR(DATE(INT($W1904/10000),MOD(INT($W1904/100),100),MOD($W1904,100)),""),INT($W1904)),IFERROR(DATE(--LEFT(LEFT(SUBSTITUTE(SUBSTITUTE(SUBSTITUTE(SUBSTITUTE(TRIM($W1904),"-",""),".",""),"/","")," ",""),8),4),--MID(LEFT(SUBSTITUTE(SUBSTITUTE(SUBSTITUTE(SUBSTITUTE(TRIM($W1904),"-",""),".",""),"/","")," ",""),8),5,2),--MID(LEFT(SUBSTITUTE(SUBSTITUTE(SUBSTITUTE(SUBSTITUTE(TRIM($W1904),"-",""),".",""),"/","")," ",""),8),7,2)),"")))</f>
        <v/>
      </c>
      <c r="Y1904" s="32">
        <f>IF($X1904="","",INT($X1904))</f>
        <v/>
      </c>
      <c r="Z1904" s="33">
        <f>IF(OR($Y1904="",$D$6=""),"",IF(INDEX($A:$U,ROW(),$D$6)="",0,IF(ISNUMBER(INDEX($A:$U,ROW(),$D$6)),INDEX($A:$U,ROW(),$D$6),IFERROR(--SUBSTITUTE(SUBSTITUTE(TRIM(INDEX($A:$U,ROW(),$D$6)),",",""),"원",""),0))))</f>
        <v/>
      </c>
      <c r="AA1904" s="31">
        <f>IF($Y1904="","",TRIM(INDEX($A:$U,ROW(),$E$6)&amp;IF($F$6="",""," "&amp;INDEX($A:$U,ROW(),$F$6))))</f>
        <v/>
      </c>
      <c r="AB1904" s="31">
        <f>IF($AA1904="","",SUBSTITUTE(SUBSTITUTE(SUBSTITUTE(SUBSTITUTE(SUBSTITUTE(SUBSTITUTE(SUBSTITUTE(SUBSTITUTE(SUBSTITUTE($AA1904," ",""),"　",""),"(주)",""),"（주）",""),"㈜",""),"주식회사",""),"(유)",""),"（유）",""),"유한회사",""))</f>
        <v/>
      </c>
      <c r="AC1904" s="31">
        <f>IF(OR($Y1904="",N($Z1904)&lt;=0,$AB1904=""),0,IFERROR(LOOKUP(2,1/((거래처별!$AC$8:$AC$307&lt;&gt;"")*ISNUMBER(SEARCH(거래처별!$AC$8:$AC$307,$AB1904))),거래처별!$A$8:$A$307),IFERROR(LOOKUP(2,1/((거래처별!$AD$8:$AD$307&lt;&gt;"")*ISNUMBER(SEARCH(거래처별!$AD$8:$AD$307,$AB1904))),거래처별!$A$8:$A$307),IFERROR(LOOKUP(2,1/((거래처별!$AE$8:$AE$307&lt;&gt;"")*ISNUMBER(SEARCH(거래처별!$AE$8:$AE$307,$AB1904))),거래처별!$A$8:$A$307),0))))</f>
        <v/>
      </c>
      <c r="AD1904" s="31">
        <f>IF(AND($Y1904&lt;&gt;"",N($Z1904)&gt;0,$AC1904=0),MAX($AD$7:$AD1903)+1,"")</f>
        <v/>
      </c>
      <c r="AE1904" s="31">
        <f>IF($Y1904="",0,$Y1904)</f>
        <v/>
      </c>
    </row>
    <row r="1905">
      <c r="W1905" s="31">
        <f>IF(OR($B$5="",$C$6="",ROW()&lt;$B$5),"",IF(INDEX($A:$U,ROW(),$C$6)="","",INDEX($A:$U,ROW(),$C$6)))</f>
        <v/>
      </c>
      <c r="X1905" s="32">
        <f>IF($W1905="","",IF(ISNUMBER($W1905),IF($W1905&gt;=10000000,IFERROR(DATE(INT($W1905/10000),MOD(INT($W1905/100),100),MOD($W1905,100)),""),INT($W1905)),IFERROR(DATE(--LEFT(LEFT(SUBSTITUTE(SUBSTITUTE(SUBSTITUTE(SUBSTITUTE(TRIM($W1905),"-",""),".",""),"/","")," ",""),8),4),--MID(LEFT(SUBSTITUTE(SUBSTITUTE(SUBSTITUTE(SUBSTITUTE(TRIM($W1905),"-",""),".",""),"/","")," ",""),8),5,2),--MID(LEFT(SUBSTITUTE(SUBSTITUTE(SUBSTITUTE(SUBSTITUTE(TRIM($W1905),"-",""),".",""),"/","")," ",""),8),7,2)),"")))</f>
        <v/>
      </c>
      <c r="Y1905" s="32">
        <f>IF($X1905="","",INT($X1905))</f>
        <v/>
      </c>
      <c r="Z1905" s="33">
        <f>IF(OR($Y1905="",$D$6=""),"",IF(INDEX($A:$U,ROW(),$D$6)="",0,IF(ISNUMBER(INDEX($A:$U,ROW(),$D$6)),INDEX($A:$U,ROW(),$D$6),IFERROR(--SUBSTITUTE(SUBSTITUTE(TRIM(INDEX($A:$U,ROW(),$D$6)),",",""),"원",""),0))))</f>
        <v/>
      </c>
      <c r="AA1905" s="31">
        <f>IF($Y1905="","",TRIM(INDEX($A:$U,ROW(),$E$6)&amp;IF($F$6="",""," "&amp;INDEX($A:$U,ROW(),$F$6))))</f>
        <v/>
      </c>
      <c r="AB1905" s="31">
        <f>IF($AA1905="","",SUBSTITUTE(SUBSTITUTE(SUBSTITUTE(SUBSTITUTE(SUBSTITUTE(SUBSTITUTE(SUBSTITUTE(SUBSTITUTE(SUBSTITUTE($AA1905," ",""),"　",""),"(주)",""),"（주）",""),"㈜",""),"주식회사",""),"(유)",""),"（유）",""),"유한회사",""))</f>
        <v/>
      </c>
      <c r="AC1905" s="31">
        <f>IF(OR($Y1905="",N($Z1905)&lt;=0,$AB1905=""),0,IFERROR(LOOKUP(2,1/((거래처별!$AC$8:$AC$307&lt;&gt;"")*ISNUMBER(SEARCH(거래처별!$AC$8:$AC$307,$AB1905))),거래처별!$A$8:$A$307),IFERROR(LOOKUP(2,1/((거래처별!$AD$8:$AD$307&lt;&gt;"")*ISNUMBER(SEARCH(거래처별!$AD$8:$AD$307,$AB1905))),거래처별!$A$8:$A$307),IFERROR(LOOKUP(2,1/((거래처별!$AE$8:$AE$307&lt;&gt;"")*ISNUMBER(SEARCH(거래처별!$AE$8:$AE$307,$AB1905))),거래처별!$A$8:$A$307),0))))</f>
        <v/>
      </c>
      <c r="AD1905" s="31">
        <f>IF(AND($Y1905&lt;&gt;"",N($Z1905)&gt;0,$AC1905=0),MAX($AD$7:$AD1904)+1,"")</f>
        <v/>
      </c>
      <c r="AE1905" s="31">
        <f>IF($Y1905="",0,$Y1905)</f>
        <v/>
      </c>
    </row>
    <row r="1906">
      <c r="W1906" s="31">
        <f>IF(OR($B$5="",$C$6="",ROW()&lt;$B$5),"",IF(INDEX($A:$U,ROW(),$C$6)="","",INDEX($A:$U,ROW(),$C$6)))</f>
        <v/>
      </c>
      <c r="X1906" s="32">
        <f>IF($W1906="","",IF(ISNUMBER($W1906),IF($W1906&gt;=10000000,IFERROR(DATE(INT($W1906/10000),MOD(INT($W1906/100),100),MOD($W1906,100)),""),INT($W1906)),IFERROR(DATE(--LEFT(LEFT(SUBSTITUTE(SUBSTITUTE(SUBSTITUTE(SUBSTITUTE(TRIM($W1906),"-",""),".",""),"/","")," ",""),8),4),--MID(LEFT(SUBSTITUTE(SUBSTITUTE(SUBSTITUTE(SUBSTITUTE(TRIM($W1906),"-",""),".",""),"/","")," ",""),8),5,2),--MID(LEFT(SUBSTITUTE(SUBSTITUTE(SUBSTITUTE(SUBSTITUTE(TRIM($W1906),"-",""),".",""),"/","")," ",""),8),7,2)),"")))</f>
        <v/>
      </c>
      <c r="Y1906" s="32">
        <f>IF($X1906="","",INT($X1906))</f>
        <v/>
      </c>
      <c r="Z1906" s="33">
        <f>IF(OR($Y1906="",$D$6=""),"",IF(INDEX($A:$U,ROW(),$D$6)="",0,IF(ISNUMBER(INDEX($A:$U,ROW(),$D$6)),INDEX($A:$U,ROW(),$D$6),IFERROR(--SUBSTITUTE(SUBSTITUTE(TRIM(INDEX($A:$U,ROW(),$D$6)),",",""),"원",""),0))))</f>
        <v/>
      </c>
      <c r="AA1906" s="31">
        <f>IF($Y1906="","",TRIM(INDEX($A:$U,ROW(),$E$6)&amp;IF($F$6="",""," "&amp;INDEX($A:$U,ROW(),$F$6))))</f>
        <v/>
      </c>
      <c r="AB1906" s="31">
        <f>IF($AA1906="","",SUBSTITUTE(SUBSTITUTE(SUBSTITUTE(SUBSTITUTE(SUBSTITUTE(SUBSTITUTE(SUBSTITUTE(SUBSTITUTE(SUBSTITUTE($AA1906," ",""),"　",""),"(주)",""),"（주）",""),"㈜",""),"주식회사",""),"(유)",""),"（유）",""),"유한회사",""))</f>
        <v/>
      </c>
      <c r="AC1906" s="31">
        <f>IF(OR($Y1906="",N($Z1906)&lt;=0,$AB1906=""),0,IFERROR(LOOKUP(2,1/((거래처별!$AC$8:$AC$307&lt;&gt;"")*ISNUMBER(SEARCH(거래처별!$AC$8:$AC$307,$AB1906))),거래처별!$A$8:$A$307),IFERROR(LOOKUP(2,1/((거래처별!$AD$8:$AD$307&lt;&gt;"")*ISNUMBER(SEARCH(거래처별!$AD$8:$AD$307,$AB1906))),거래처별!$A$8:$A$307),IFERROR(LOOKUP(2,1/((거래처별!$AE$8:$AE$307&lt;&gt;"")*ISNUMBER(SEARCH(거래처별!$AE$8:$AE$307,$AB1906))),거래처별!$A$8:$A$307),0))))</f>
        <v/>
      </c>
      <c r="AD1906" s="31">
        <f>IF(AND($Y1906&lt;&gt;"",N($Z1906)&gt;0,$AC1906=0),MAX($AD$7:$AD1905)+1,"")</f>
        <v/>
      </c>
      <c r="AE1906" s="31">
        <f>IF($Y1906="",0,$Y1906)</f>
        <v/>
      </c>
    </row>
    <row r="1907">
      <c r="W1907" s="31">
        <f>IF(OR($B$5="",$C$6="",ROW()&lt;$B$5),"",IF(INDEX($A:$U,ROW(),$C$6)="","",INDEX($A:$U,ROW(),$C$6)))</f>
        <v/>
      </c>
      <c r="X1907" s="32">
        <f>IF($W1907="","",IF(ISNUMBER($W1907),IF($W1907&gt;=10000000,IFERROR(DATE(INT($W1907/10000),MOD(INT($W1907/100),100),MOD($W1907,100)),""),INT($W1907)),IFERROR(DATE(--LEFT(LEFT(SUBSTITUTE(SUBSTITUTE(SUBSTITUTE(SUBSTITUTE(TRIM($W1907),"-",""),".",""),"/","")," ",""),8),4),--MID(LEFT(SUBSTITUTE(SUBSTITUTE(SUBSTITUTE(SUBSTITUTE(TRIM($W1907),"-",""),".",""),"/","")," ",""),8),5,2),--MID(LEFT(SUBSTITUTE(SUBSTITUTE(SUBSTITUTE(SUBSTITUTE(TRIM($W1907),"-",""),".",""),"/","")," ",""),8),7,2)),"")))</f>
        <v/>
      </c>
      <c r="Y1907" s="32">
        <f>IF($X1907="","",INT($X1907))</f>
        <v/>
      </c>
      <c r="Z1907" s="33">
        <f>IF(OR($Y1907="",$D$6=""),"",IF(INDEX($A:$U,ROW(),$D$6)="",0,IF(ISNUMBER(INDEX($A:$U,ROW(),$D$6)),INDEX($A:$U,ROW(),$D$6),IFERROR(--SUBSTITUTE(SUBSTITUTE(TRIM(INDEX($A:$U,ROW(),$D$6)),",",""),"원",""),0))))</f>
        <v/>
      </c>
      <c r="AA1907" s="31">
        <f>IF($Y1907="","",TRIM(INDEX($A:$U,ROW(),$E$6)&amp;IF($F$6="",""," "&amp;INDEX($A:$U,ROW(),$F$6))))</f>
        <v/>
      </c>
      <c r="AB1907" s="31">
        <f>IF($AA1907="","",SUBSTITUTE(SUBSTITUTE(SUBSTITUTE(SUBSTITUTE(SUBSTITUTE(SUBSTITUTE(SUBSTITUTE(SUBSTITUTE(SUBSTITUTE($AA1907," ",""),"　",""),"(주)",""),"（주）",""),"㈜",""),"주식회사",""),"(유)",""),"（유）",""),"유한회사",""))</f>
        <v/>
      </c>
      <c r="AC1907" s="31">
        <f>IF(OR($Y1907="",N($Z1907)&lt;=0,$AB1907=""),0,IFERROR(LOOKUP(2,1/((거래처별!$AC$8:$AC$307&lt;&gt;"")*ISNUMBER(SEARCH(거래처별!$AC$8:$AC$307,$AB1907))),거래처별!$A$8:$A$307),IFERROR(LOOKUP(2,1/((거래처별!$AD$8:$AD$307&lt;&gt;"")*ISNUMBER(SEARCH(거래처별!$AD$8:$AD$307,$AB1907))),거래처별!$A$8:$A$307),IFERROR(LOOKUP(2,1/((거래처별!$AE$8:$AE$307&lt;&gt;"")*ISNUMBER(SEARCH(거래처별!$AE$8:$AE$307,$AB1907))),거래처별!$A$8:$A$307),0))))</f>
        <v/>
      </c>
      <c r="AD1907" s="31">
        <f>IF(AND($Y1907&lt;&gt;"",N($Z1907)&gt;0,$AC1907=0),MAX($AD$7:$AD1906)+1,"")</f>
        <v/>
      </c>
      <c r="AE1907" s="31">
        <f>IF($Y1907="",0,$Y1907)</f>
        <v/>
      </c>
    </row>
    <row r="1908">
      <c r="W1908" s="31">
        <f>IF(OR($B$5="",$C$6="",ROW()&lt;$B$5),"",IF(INDEX($A:$U,ROW(),$C$6)="","",INDEX($A:$U,ROW(),$C$6)))</f>
        <v/>
      </c>
      <c r="X1908" s="32">
        <f>IF($W1908="","",IF(ISNUMBER($W1908),IF($W1908&gt;=10000000,IFERROR(DATE(INT($W1908/10000),MOD(INT($W1908/100),100),MOD($W1908,100)),""),INT($W1908)),IFERROR(DATE(--LEFT(LEFT(SUBSTITUTE(SUBSTITUTE(SUBSTITUTE(SUBSTITUTE(TRIM($W1908),"-",""),".",""),"/","")," ",""),8),4),--MID(LEFT(SUBSTITUTE(SUBSTITUTE(SUBSTITUTE(SUBSTITUTE(TRIM($W1908),"-",""),".",""),"/","")," ",""),8),5,2),--MID(LEFT(SUBSTITUTE(SUBSTITUTE(SUBSTITUTE(SUBSTITUTE(TRIM($W1908),"-",""),".",""),"/","")," ",""),8),7,2)),"")))</f>
        <v/>
      </c>
      <c r="Y1908" s="32">
        <f>IF($X1908="","",INT($X1908))</f>
        <v/>
      </c>
      <c r="Z1908" s="33">
        <f>IF(OR($Y1908="",$D$6=""),"",IF(INDEX($A:$U,ROW(),$D$6)="",0,IF(ISNUMBER(INDEX($A:$U,ROW(),$D$6)),INDEX($A:$U,ROW(),$D$6),IFERROR(--SUBSTITUTE(SUBSTITUTE(TRIM(INDEX($A:$U,ROW(),$D$6)),",",""),"원",""),0))))</f>
        <v/>
      </c>
      <c r="AA1908" s="31">
        <f>IF($Y1908="","",TRIM(INDEX($A:$U,ROW(),$E$6)&amp;IF($F$6="",""," "&amp;INDEX($A:$U,ROW(),$F$6))))</f>
        <v/>
      </c>
      <c r="AB1908" s="31">
        <f>IF($AA1908="","",SUBSTITUTE(SUBSTITUTE(SUBSTITUTE(SUBSTITUTE(SUBSTITUTE(SUBSTITUTE(SUBSTITUTE(SUBSTITUTE(SUBSTITUTE($AA1908," ",""),"　",""),"(주)",""),"（주）",""),"㈜",""),"주식회사",""),"(유)",""),"（유）",""),"유한회사",""))</f>
        <v/>
      </c>
      <c r="AC1908" s="31">
        <f>IF(OR($Y1908="",N($Z1908)&lt;=0,$AB1908=""),0,IFERROR(LOOKUP(2,1/((거래처별!$AC$8:$AC$307&lt;&gt;"")*ISNUMBER(SEARCH(거래처별!$AC$8:$AC$307,$AB1908))),거래처별!$A$8:$A$307),IFERROR(LOOKUP(2,1/((거래처별!$AD$8:$AD$307&lt;&gt;"")*ISNUMBER(SEARCH(거래처별!$AD$8:$AD$307,$AB1908))),거래처별!$A$8:$A$307),IFERROR(LOOKUP(2,1/((거래처별!$AE$8:$AE$307&lt;&gt;"")*ISNUMBER(SEARCH(거래처별!$AE$8:$AE$307,$AB1908))),거래처별!$A$8:$A$307),0))))</f>
        <v/>
      </c>
      <c r="AD1908" s="31">
        <f>IF(AND($Y1908&lt;&gt;"",N($Z1908)&gt;0,$AC1908=0),MAX($AD$7:$AD1907)+1,"")</f>
        <v/>
      </c>
      <c r="AE1908" s="31">
        <f>IF($Y1908="",0,$Y1908)</f>
        <v/>
      </c>
    </row>
    <row r="1909">
      <c r="W1909" s="31">
        <f>IF(OR($B$5="",$C$6="",ROW()&lt;$B$5),"",IF(INDEX($A:$U,ROW(),$C$6)="","",INDEX($A:$U,ROW(),$C$6)))</f>
        <v/>
      </c>
      <c r="X1909" s="32">
        <f>IF($W1909="","",IF(ISNUMBER($W1909),IF($W1909&gt;=10000000,IFERROR(DATE(INT($W1909/10000),MOD(INT($W1909/100),100),MOD($W1909,100)),""),INT($W1909)),IFERROR(DATE(--LEFT(LEFT(SUBSTITUTE(SUBSTITUTE(SUBSTITUTE(SUBSTITUTE(TRIM($W1909),"-",""),".",""),"/","")," ",""),8),4),--MID(LEFT(SUBSTITUTE(SUBSTITUTE(SUBSTITUTE(SUBSTITUTE(TRIM($W1909),"-",""),".",""),"/","")," ",""),8),5,2),--MID(LEFT(SUBSTITUTE(SUBSTITUTE(SUBSTITUTE(SUBSTITUTE(TRIM($W1909),"-",""),".",""),"/","")," ",""),8),7,2)),"")))</f>
        <v/>
      </c>
      <c r="Y1909" s="32">
        <f>IF($X1909="","",INT($X1909))</f>
        <v/>
      </c>
      <c r="Z1909" s="33">
        <f>IF(OR($Y1909="",$D$6=""),"",IF(INDEX($A:$U,ROW(),$D$6)="",0,IF(ISNUMBER(INDEX($A:$U,ROW(),$D$6)),INDEX($A:$U,ROW(),$D$6),IFERROR(--SUBSTITUTE(SUBSTITUTE(TRIM(INDEX($A:$U,ROW(),$D$6)),",",""),"원",""),0))))</f>
        <v/>
      </c>
      <c r="AA1909" s="31">
        <f>IF($Y1909="","",TRIM(INDEX($A:$U,ROW(),$E$6)&amp;IF($F$6="",""," "&amp;INDEX($A:$U,ROW(),$F$6))))</f>
        <v/>
      </c>
      <c r="AB1909" s="31">
        <f>IF($AA1909="","",SUBSTITUTE(SUBSTITUTE(SUBSTITUTE(SUBSTITUTE(SUBSTITUTE(SUBSTITUTE(SUBSTITUTE(SUBSTITUTE(SUBSTITUTE($AA1909," ",""),"　",""),"(주)",""),"（주）",""),"㈜",""),"주식회사",""),"(유)",""),"（유）",""),"유한회사",""))</f>
        <v/>
      </c>
      <c r="AC1909" s="31">
        <f>IF(OR($Y1909="",N($Z1909)&lt;=0,$AB1909=""),0,IFERROR(LOOKUP(2,1/((거래처별!$AC$8:$AC$307&lt;&gt;"")*ISNUMBER(SEARCH(거래처별!$AC$8:$AC$307,$AB1909))),거래처별!$A$8:$A$307),IFERROR(LOOKUP(2,1/((거래처별!$AD$8:$AD$307&lt;&gt;"")*ISNUMBER(SEARCH(거래처별!$AD$8:$AD$307,$AB1909))),거래처별!$A$8:$A$307),IFERROR(LOOKUP(2,1/((거래처별!$AE$8:$AE$307&lt;&gt;"")*ISNUMBER(SEARCH(거래처별!$AE$8:$AE$307,$AB1909))),거래처별!$A$8:$A$307),0))))</f>
        <v/>
      </c>
      <c r="AD1909" s="31">
        <f>IF(AND($Y1909&lt;&gt;"",N($Z1909)&gt;0,$AC1909=0),MAX($AD$7:$AD1908)+1,"")</f>
        <v/>
      </c>
      <c r="AE1909" s="31">
        <f>IF($Y1909="",0,$Y1909)</f>
        <v/>
      </c>
    </row>
    <row r="1910">
      <c r="W1910" s="31">
        <f>IF(OR($B$5="",$C$6="",ROW()&lt;$B$5),"",IF(INDEX($A:$U,ROW(),$C$6)="","",INDEX($A:$U,ROW(),$C$6)))</f>
        <v/>
      </c>
      <c r="X1910" s="32">
        <f>IF($W1910="","",IF(ISNUMBER($W1910),IF($W1910&gt;=10000000,IFERROR(DATE(INT($W1910/10000),MOD(INT($W1910/100),100),MOD($W1910,100)),""),INT($W1910)),IFERROR(DATE(--LEFT(LEFT(SUBSTITUTE(SUBSTITUTE(SUBSTITUTE(SUBSTITUTE(TRIM($W1910),"-",""),".",""),"/","")," ",""),8),4),--MID(LEFT(SUBSTITUTE(SUBSTITUTE(SUBSTITUTE(SUBSTITUTE(TRIM($W1910),"-",""),".",""),"/","")," ",""),8),5,2),--MID(LEFT(SUBSTITUTE(SUBSTITUTE(SUBSTITUTE(SUBSTITUTE(TRIM($W1910),"-",""),".",""),"/","")," ",""),8),7,2)),"")))</f>
        <v/>
      </c>
      <c r="Y1910" s="32">
        <f>IF($X1910="","",INT($X1910))</f>
        <v/>
      </c>
      <c r="Z1910" s="33">
        <f>IF(OR($Y1910="",$D$6=""),"",IF(INDEX($A:$U,ROW(),$D$6)="",0,IF(ISNUMBER(INDEX($A:$U,ROW(),$D$6)),INDEX($A:$U,ROW(),$D$6),IFERROR(--SUBSTITUTE(SUBSTITUTE(TRIM(INDEX($A:$U,ROW(),$D$6)),",",""),"원",""),0))))</f>
        <v/>
      </c>
      <c r="AA1910" s="31">
        <f>IF($Y1910="","",TRIM(INDEX($A:$U,ROW(),$E$6)&amp;IF($F$6="",""," "&amp;INDEX($A:$U,ROW(),$F$6))))</f>
        <v/>
      </c>
      <c r="AB1910" s="31">
        <f>IF($AA1910="","",SUBSTITUTE(SUBSTITUTE(SUBSTITUTE(SUBSTITUTE(SUBSTITUTE(SUBSTITUTE(SUBSTITUTE(SUBSTITUTE(SUBSTITUTE($AA1910," ",""),"　",""),"(주)",""),"（주）",""),"㈜",""),"주식회사",""),"(유)",""),"（유）",""),"유한회사",""))</f>
        <v/>
      </c>
      <c r="AC1910" s="31">
        <f>IF(OR($Y1910="",N($Z1910)&lt;=0,$AB1910=""),0,IFERROR(LOOKUP(2,1/((거래처별!$AC$8:$AC$307&lt;&gt;"")*ISNUMBER(SEARCH(거래처별!$AC$8:$AC$307,$AB1910))),거래처별!$A$8:$A$307),IFERROR(LOOKUP(2,1/((거래처별!$AD$8:$AD$307&lt;&gt;"")*ISNUMBER(SEARCH(거래처별!$AD$8:$AD$307,$AB1910))),거래처별!$A$8:$A$307),IFERROR(LOOKUP(2,1/((거래처별!$AE$8:$AE$307&lt;&gt;"")*ISNUMBER(SEARCH(거래처별!$AE$8:$AE$307,$AB1910))),거래처별!$A$8:$A$307),0))))</f>
        <v/>
      </c>
      <c r="AD1910" s="31">
        <f>IF(AND($Y1910&lt;&gt;"",N($Z1910)&gt;0,$AC1910=0),MAX($AD$7:$AD1909)+1,"")</f>
        <v/>
      </c>
      <c r="AE1910" s="31">
        <f>IF($Y1910="",0,$Y1910)</f>
        <v/>
      </c>
    </row>
    <row r="1911">
      <c r="W1911" s="31">
        <f>IF(OR($B$5="",$C$6="",ROW()&lt;$B$5),"",IF(INDEX($A:$U,ROW(),$C$6)="","",INDEX($A:$U,ROW(),$C$6)))</f>
        <v/>
      </c>
      <c r="X1911" s="32">
        <f>IF($W1911="","",IF(ISNUMBER($W1911),IF($W1911&gt;=10000000,IFERROR(DATE(INT($W1911/10000),MOD(INT($W1911/100),100),MOD($W1911,100)),""),INT($W1911)),IFERROR(DATE(--LEFT(LEFT(SUBSTITUTE(SUBSTITUTE(SUBSTITUTE(SUBSTITUTE(TRIM($W1911),"-",""),".",""),"/","")," ",""),8),4),--MID(LEFT(SUBSTITUTE(SUBSTITUTE(SUBSTITUTE(SUBSTITUTE(TRIM($W1911),"-",""),".",""),"/","")," ",""),8),5,2),--MID(LEFT(SUBSTITUTE(SUBSTITUTE(SUBSTITUTE(SUBSTITUTE(TRIM($W1911),"-",""),".",""),"/","")," ",""),8),7,2)),"")))</f>
        <v/>
      </c>
      <c r="Y1911" s="32">
        <f>IF($X1911="","",INT($X1911))</f>
        <v/>
      </c>
      <c r="Z1911" s="33">
        <f>IF(OR($Y1911="",$D$6=""),"",IF(INDEX($A:$U,ROW(),$D$6)="",0,IF(ISNUMBER(INDEX($A:$U,ROW(),$D$6)),INDEX($A:$U,ROW(),$D$6),IFERROR(--SUBSTITUTE(SUBSTITUTE(TRIM(INDEX($A:$U,ROW(),$D$6)),",",""),"원",""),0))))</f>
        <v/>
      </c>
      <c r="AA1911" s="31">
        <f>IF($Y1911="","",TRIM(INDEX($A:$U,ROW(),$E$6)&amp;IF($F$6="",""," "&amp;INDEX($A:$U,ROW(),$F$6))))</f>
        <v/>
      </c>
      <c r="AB1911" s="31">
        <f>IF($AA1911="","",SUBSTITUTE(SUBSTITUTE(SUBSTITUTE(SUBSTITUTE(SUBSTITUTE(SUBSTITUTE(SUBSTITUTE(SUBSTITUTE(SUBSTITUTE($AA1911," ",""),"　",""),"(주)",""),"（주）",""),"㈜",""),"주식회사",""),"(유)",""),"（유）",""),"유한회사",""))</f>
        <v/>
      </c>
      <c r="AC1911" s="31">
        <f>IF(OR($Y1911="",N($Z1911)&lt;=0,$AB1911=""),0,IFERROR(LOOKUP(2,1/((거래처별!$AC$8:$AC$307&lt;&gt;"")*ISNUMBER(SEARCH(거래처별!$AC$8:$AC$307,$AB1911))),거래처별!$A$8:$A$307),IFERROR(LOOKUP(2,1/((거래처별!$AD$8:$AD$307&lt;&gt;"")*ISNUMBER(SEARCH(거래처별!$AD$8:$AD$307,$AB1911))),거래처별!$A$8:$A$307),IFERROR(LOOKUP(2,1/((거래처별!$AE$8:$AE$307&lt;&gt;"")*ISNUMBER(SEARCH(거래처별!$AE$8:$AE$307,$AB1911))),거래처별!$A$8:$A$307),0))))</f>
        <v/>
      </c>
      <c r="AD1911" s="31">
        <f>IF(AND($Y1911&lt;&gt;"",N($Z1911)&gt;0,$AC1911=0),MAX($AD$7:$AD1910)+1,"")</f>
        <v/>
      </c>
      <c r="AE1911" s="31">
        <f>IF($Y1911="",0,$Y1911)</f>
        <v/>
      </c>
    </row>
    <row r="1912">
      <c r="W1912" s="31">
        <f>IF(OR($B$5="",$C$6="",ROW()&lt;$B$5),"",IF(INDEX($A:$U,ROW(),$C$6)="","",INDEX($A:$U,ROW(),$C$6)))</f>
        <v/>
      </c>
      <c r="X1912" s="32">
        <f>IF($W1912="","",IF(ISNUMBER($W1912),IF($W1912&gt;=10000000,IFERROR(DATE(INT($W1912/10000),MOD(INT($W1912/100),100),MOD($W1912,100)),""),INT($W1912)),IFERROR(DATE(--LEFT(LEFT(SUBSTITUTE(SUBSTITUTE(SUBSTITUTE(SUBSTITUTE(TRIM($W1912),"-",""),".",""),"/","")," ",""),8),4),--MID(LEFT(SUBSTITUTE(SUBSTITUTE(SUBSTITUTE(SUBSTITUTE(TRIM($W1912),"-",""),".",""),"/","")," ",""),8),5,2),--MID(LEFT(SUBSTITUTE(SUBSTITUTE(SUBSTITUTE(SUBSTITUTE(TRIM($W1912),"-",""),".",""),"/","")," ",""),8),7,2)),"")))</f>
        <v/>
      </c>
      <c r="Y1912" s="32">
        <f>IF($X1912="","",INT($X1912))</f>
        <v/>
      </c>
      <c r="Z1912" s="33">
        <f>IF(OR($Y1912="",$D$6=""),"",IF(INDEX($A:$U,ROW(),$D$6)="",0,IF(ISNUMBER(INDEX($A:$U,ROW(),$D$6)),INDEX($A:$U,ROW(),$D$6),IFERROR(--SUBSTITUTE(SUBSTITUTE(TRIM(INDEX($A:$U,ROW(),$D$6)),",",""),"원",""),0))))</f>
        <v/>
      </c>
      <c r="AA1912" s="31">
        <f>IF($Y1912="","",TRIM(INDEX($A:$U,ROW(),$E$6)&amp;IF($F$6="",""," "&amp;INDEX($A:$U,ROW(),$F$6))))</f>
        <v/>
      </c>
      <c r="AB1912" s="31">
        <f>IF($AA1912="","",SUBSTITUTE(SUBSTITUTE(SUBSTITUTE(SUBSTITUTE(SUBSTITUTE(SUBSTITUTE(SUBSTITUTE(SUBSTITUTE(SUBSTITUTE($AA1912," ",""),"　",""),"(주)",""),"（주）",""),"㈜",""),"주식회사",""),"(유)",""),"（유）",""),"유한회사",""))</f>
        <v/>
      </c>
      <c r="AC1912" s="31">
        <f>IF(OR($Y1912="",N($Z1912)&lt;=0,$AB1912=""),0,IFERROR(LOOKUP(2,1/((거래처별!$AC$8:$AC$307&lt;&gt;"")*ISNUMBER(SEARCH(거래처별!$AC$8:$AC$307,$AB1912))),거래처별!$A$8:$A$307),IFERROR(LOOKUP(2,1/((거래처별!$AD$8:$AD$307&lt;&gt;"")*ISNUMBER(SEARCH(거래처별!$AD$8:$AD$307,$AB1912))),거래처별!$A$8:$A$307),IFERROR(LOOKUP(2,1/((거래처별!$AE$8:$AE$307&lt;&gt;"")*ISNUMBER(SEARCH(거래처별!$AE$8:$AE$307,$AB1912))),거래처별!$A$8:$A$307),0))))</f>
        <v/>
      </c>
      <c r="AD1912" s="31">
        <f>IF(AND($Y1912&lt;&gt;"",N($Z1912)&gt;0,$AC1912=0),MAX($AD$7:$AD1911)+1,"")</f>
        <v/>
      </c>
      <c r="AE1912" s="31">
        <f>IF($Y1912="",0,$Y1912)</f>
        <v/>
      </c>
    </row>
    <row r="1913">
      <c r="W1913" s="31">
        <f>IF(OR($B$5="",$C$6="",ROW()&lt;$B$5),"",IF(INDEX($A:$U,ROW(),$C$6)="","",INDEX($A:$U,ROW(),$C$6)))</f>
        <v/>
      </c>
      <c r="X1913" s="32">
        <f>IF($W1913="","",IF(ISNUMBER($W1913),IF($W1913&gt;=10000000,IFERROR(DATE(INT($W1913/10000),MOD(INT($W1913/100),100),MOD($W1913,100)),""),INT($W1913)),IFERROR(DATE(--LEFT(LEFT(SUBSTITUTE(SUBSTITUTE(SUBSTITUTE(SUBSTITUTE(TRIM($W1913),"-",""),".",""),"/","")," ",""),8),4),--MID(LEFT(SUBSTITUTE(SUBSTITUTE(SUBSTITUTE(SUBSTITUTE(TRIM($W1913),"-",""),".",""),"/","")," ",""),8),5,2),--MID(LEFT(SUBSTITUTE(SUBSTITUTE(SUBSTITUTE(SUBSTITUTE(TRIM($W1913),"-",""),".",""),"/","")," ",""),8),7,2)),"")))</f>
        <v/>
      </c>
      <c r="Y1913" s="32">
        <f>IF($X1913="","",INT($X1913))</f>
        <v/>
      </c>
      <c r="Z1913" s="33">
        <f>IF(OR($Y1913="",$D$6=""),"",IF(INDEX($A:$U,ROW(),$D$6)="",0,IF(ISNUMBER(INDEX($A:$U,ROW(),$D$6)),INDEX($A:$U,ROW(),$D$6),IFERROR(--SUBSTITUTE(SUBSTITUTE(TRIM(INDEX($A:$U,ROW(),$D$6)),",",""),"원",""),0))))</f>
        <v/>
      </c>
      <c r="AA1913" s="31">
        <f>IF($Y1913="","",TRIM(INDEX($A:$U,ROW(),$E$6)&amp;IF($F$6="",""," "&amp;INDEX($A:$U,ROW(),$F$6))))</f>
        <v/>
      </c>
      <c r="AB1913" s="31">
        <f>IF($AA1913="","",SUBSTITUTE(SUBSTITUTE(SUBSTITUTE(SUBSTITUTE(SUBSTITUTE(SUBSTITUTE(SUBSTITUTE(SUBSTITUTE(SUBSTITUTE($AA1913," ",""),"　",""),"(주)",""),"（주）",""),"㈜",""),"주식회사",""),"(유)",""),"（유）",""),"유한회사",""))</f>
        <v/>
      </c>
      <c r="AC1913" s="31">
        <f>IF(OR($Y1913="",N($Z1913)&lt;=0,$AB1913=""),0,IFERROR(LOOKUP(2,1/((거래처별!$AC$8:$AC$307&lt;&gt;"")*ISNUMBER(SEARCH(거래처별!$AC$8:$AC$307,$AB1913))),거래처별!$A$8:$A$307),IFERROR(LOOKUP(2,1/((거래처별!$AD$8:$AD$307&lt;&gt;"")*ISNUMBER(SEARCH(거래처별!$AD$8:$AD$307,$AB1913))),거래처별!$A$8:$A$307),IFERROR(LOOKUP(2,1/((거래처별!$AE$8:$AE$307&lt;&gt;"")*ISNUMBER(SEARCH(거래처별!$AE$8:$AE$307,$AB1913))),거래처별!$A$8:$A$307),0))))</f>
        <v/>
      </c>
      <c r="AD1913" s="31">
        <f>IF(AND($Y1913&lt;&gt;"",N($Z1913)&gt;0,$AC1913=0),MAX($AD$7:$AD1912)+1,"")</f>
        <v/>
      </c>
      <c r="AE1913" s="31">
        <f>IF($Y1913="",0,$Y1913)</f>
        <v/>
      </c>
    </row>
    <row r="1914">
      <c r="W1914" s="31">
        <f>IF(OR($B$5="",$C$6="",ROW()&lt;$B$5),"",IF(INDEX($A:$U,ROW(),$C$6)="","",INDEX($A:$U,ROW(),$C$6)))</f>
        <v/>
      </c>
      <c r="X1914" s="32">
        <f>IF($W1914="","",IF(ISNUMBER($W1914),IF($W1914&gt;=10000000,IFERROR(DATE(INT($W1914/10000),MOD(INT($W1914/100),100),MOD($W1914,100)),""),INT($W1914)),IFERROR(DATE(--LEFT(LEFT(SUBSTITUTE(SUBSTITUTE(SUBSTITUTE(SUBSTITUTE(TRIM($W1914),"-",""),".",""),"/","")," ",""),8),4),--MID(LEFT(SUBSTITUTE(SUBSTITUTE(SUBSTITUTE(SUBSTITUTE(TRIM($W1914),"-",""),".",""),"/","")," ",""),8),5,2),--MID(LEFT(SUBSTITUTE(SUBSTITUTE(SUBSTITUTE(SUBSTITUTE(TRIM($W1914),"-",""),".",""),"/","")," ",""),8),7,2)),"")))</f>
        <v/>
      </c>
      <c r="Y1914" s="32">
        <f>IF($X1914="","",INT($X1914))</f>
        <v/>
      </c>
      <c r="Z1914" s="33">
        <f>IF(OR($Y1914="",$D$6=""),"",IF(INDEX($A:$U,ROW(),$D$6)="",0,IF(ISNUMBER(INDEX($A:$U,ROW(),$D$6)),INDEX($A:$U,ROW(),$D$6),IFERROR(--SUBSTITUTE(SUBSTITUTE(TRIM(INDEX($A:$U,ROW(),$D$6)),",",""),"원",""),0))))</f>
        <v/>
      </c>
      <c r="AA1914" s="31">
        <f>IF($Y1914="","",TRIM(INDEX($A:$U,ROW(),$E$6)&amp;IF($F$6="",""," "&amp;INDEX($A:$U,ROW(),$F$6))))</f>
        <v/>
      </c>
      <c r="AB1914" s="31">
        <f>IF($AA1914="","",SUBSTITUTE(SUBSTITUTE(SUBSTITUTE(SUBSTITUTE(SUBSTITUTE(SUBSTITUTE(SUBSTITUTE(SUBSTITUTE(SUBSTITUTE($AA1914," ",""),"　",""),"(주)",""),"（주）",""),"㈜",""),"주식회사",""),"(유)",""),"（유）",""),"유한회사",""))</f>
        <v/>
      </c>
      <c r="AC1914" s="31">
        <f>IF(OR($Y1914="",N($Z1914)&lt;=0,$AB1914=""),0,IFERROR(LOOKUP(2,1/((거래처별!$AC$8:$AC$307&lt;&gt;"")*ISNUMBER(SEARCH(거래처별!$AC$8:$AC$307,$AB1914))),거래처별!$A$8:$A$307),IFERROR(LOOKUP(2,1/((거래처별!$AD$8:$AD$307&lt;&gt;"")*ISNUMBER(SEARCH(거래처별!$AD$8:$AD$307,$AB1914))),거래처별!$A$8:$A$307),IFERROR(LOOKUP(2,1/((거래처별!$AE$8:$AE$307&lt;&gt;"")*ISNUMBER(SEARCH(거래처별!$AE$8:$AE$307,$AB1914))),거래처별!$A$8:$A$307),0))))</f>
        <v/>
      </c>
      <c r="AD1914" s="31">
        <f>IF(AND($Y1914&lt;&gt;"",N($Z1914)&gt;0,$AC1914=0),MAX($AD$7:$AD1913)+1,"")</f>
        <v/>
      </c>
      <c r="AE1914" s="31">
        <f>IF($Y1914="",0,$Y1914)</f>
        <v/>
      </c>
    </row>
    <row r="1915">
      <c r="W1915" s="31">
        <f>IF(OR($B$5="",$C$6="",ROW()&lt;$B$5),"",IF(INDEX($A:$U,ROW(),$C$6)="","",INDEX($A:$U,ROW(),$C$6)))</f>
        <v/>
      </c>
      <c r="X1915" s="32">
        <f>IF($W1915="","",IF(ISNUMBER($W1915),IF($W1915&gt;=10000000,IFERROR(DATE(INT($W1915/10000),MOD(INT($W1915/100),100),MOD($W1915,100)),""),INT($W1915)),IFERROR(DATE(--LEFT(LEFT(SUBSTITUTE(SUBSTITUTE(SUBSTITUTE(SUBSTITUTE(TRIM($W1915),"-",""),".",""),"/","")," ",""),8),4),--MID(LEFT(SUBSTITUTE(SUBSTITUTE(SUBSTITUTE(SUBSTITUTE(TRIM($W1915),"-",""),".",""),"/","")," ",""),8),5,2),--MID(LEFT(SUBSTITUTE(SUBSTITUTE(SUBSTITUTE(SUBSTITUTE(TRIM($W1915),"-",""),".",""),"/","")," ",""),8),7,2)),"")))</f>
        <v/>
      </c>
      <c r="Y1915" s="32">
        <f>IF($X1915="","",INT($X1915))</f>
        <v/>
      </c>
      <c r="Z1915" s="33">
        <f>IF(OR($Y1915="",$D$6=""),"",IF(INDEX($A:$U,ROW(),$D$6)="",0,IF(ISNUMBER(INDEX($A:$U,ROW(),$D$6)),INDEX($A:$U,ROW(),$D$6),IFERROR(--SUBSTITUTE(SUBSTITUTE(TRIM(INDEX($A:$U,ROW(),$D$6)),",",""),"원",""),0))))</f>
        <v/>
      </c>
      <c r="AA1915" s="31">
        <f>IF($Y1915="","",TRIM(INDEX($A:$U,ROW(),$E$6)&amp;IF($F$6="",""," "&amp;INDEX($A:$U,ROW(),$F$6))))</f>
        <v/>
      </c>
      <c r="AB1915" s="31">
        <f>IF($AA1915="","",SUBSTITUTE(SUBSTITUTE(SUBSTITUTE(SUBSTITUTE(SUBSTITUTE(SUBSTITUTE(SUBSTITUTE(SUBSTITUTE(SUBSTITUTE($AA1915," ",""),"　",""),"(주)",""),"（주）",""),"㈜",""),"주식회사",""),"(유)",""),"（유）",""),"유한회사",""))</f>
        <v/>
      </c>
      <c r="AC1915" s="31">
        <f>IF(OR($Y1915="",N($Z1915)&lt;=0,$AB1915=""),0,IFERROR(LOOKUP(2,1/((거래처별!$AC$8:$AC$307&lt;&gt;"")*ISNUMBER(SEARCH(거래처별!$AC$8:$AC$307,$AB1915))),거래처별!$A$8:$A$307),IFERROR(LOOKUP(2,1/((거래처별!$AD$8:$AD$307&lt;&gt;"")*ISNUMBER(SEARCH(거래처별!$AD$8:$AD$307,$AB1915))),거래처별!$A$8:$A$307),IFERROR(LOOKUP(2,1/((거래처별!$AE$8:$AE$307&lt;&gt;"")*ISNUMBER(SEARCH(거래처별!$AE$8:$AE$307,$AB1915))),거래처별!$A$8:$A$307),0))))</f>
        <v/>
      </c>
      <c r="AD1915" s="31">
        <f>IF(AND($Y1915&lt;&gt;"",N($Z1915)&gt;0,$AC1915=0),MAX($AD$7:$AD1914)+1,"")</f>
        <v/>
      </c>
      <c r="AE1915" s="31">
        <f>IF($Y1915="",0,$Y1915)</f>
        <v/>
      </c>
    </row>
    <row r="1916">
      <c r="W1916" s="31">
        <f>IF(OR($B$5="",$C$6="",ROW()&lt;$B$5),"",IF(INDEX($A:$U,ROW(),$C$6)="","",INDEX($A:$U,ROW(),$C$6)))</f>
        <v/>
      </c>
      <c r="X1916" s="32">
        <f>IF($W1916="","",IF(ISNUMBER($W1916),IF($W1916&gt;=10000000,IFERROR(DATE(INT($W1916/10000),MOD(INT($W1916/100),100),MOD($W1916,100)),""),INT($W1916)),IFERROR(DATE(--LEFT(LEFT(SUBSTITUTE(SUBSTITUTE(SUBSTITUTE(SUBSTITUTE(TRIM($W1916),"-",""),".",""),"/","")," ",""),8),4),--MID(LEFT(SUBSTITUTE(SUBSTITUTE(SUBSTITUTE(SUBSTITUTE(TRIM($W1916),"-",""),".",""),"/","")," ",""),8),5,2),--MID(LEFT(SUBSTITUTE(SUBSTITUTE(SUBSTITUTE(SUBSTITUTE(TRIM($W1916),"-",""),".",""),"/","")," ",""),8),7,2)),"")))</f>
        <v/>
      </c>
      <c r="Y1916" s="32">
        <f>IF($X1916="","",INT($X1916))</f>
        <v/>
      </c>
      <c r="Z1916" s="33">
        <f>IF(OR($Y1916="",$D$6=""),"",IF(INDEX($A:$U,ROW(),$D$6)="",0,IF(ISNUMBER(INDEX($A:$U,ROW(),$D$6)),INDEX($A:$U,ROW(),$D$6),IFERROR(--SUBSTITUTE(SUBSTITUTE(TRIM(INDEX($A:$U,ROW(),$D$6)),",",""),"원",""),0))))</f>
        <v/>
      </c>
      <c r="AA1916" s="31">
        <f>IF($Y1916="","",TRIM(INDEX($A:$U,ROW(),$E$6)&amp;IF($F$6="",""," "&amp;INDEX($A:$U,ROW(),$F$6))))</f>
        <v/>
      </c>
      <c r="AB1916" s="31">
        <f>IF($AA1916="","",SUBSTITUTE(SUBSTITUTE(SUBSTITUTE(SUBSTITUTE(SUBSTITUTE(SUBSTITUTE(SUBSTITUTE(SUBSTITUTE(SUBSTITUTE($AA1916," ",""),"　",""),"(주)",""),"（주）",""),"㈜",""),"주식회사",""),"(유)",""),"（유）",""),"유한회사",""))</f>
        <v/>
      </c>
      <c r="AC1916" s="31">
        <f>IF(OR($Y1916="",N($Z1916)&lt;=0,$AB1916=""),0,IFERROR(LOOKUP(2,1/((거래처별!$AC$8:$AC$307&lt;&gt;"")*ISNUMBER(SEARCH(거래처별!$AC$8:$AC$307,$AB1916))),거래처별!$A$8:$A$307),IFERROR(LOOKUP(2,1/((거래처별!$AD$8:$AD$307&lt;&gt;"")*ISNUMBER(SEARCH(거래처별!$AD$8:$AD$307,$AB1916))),거래처별!$A$8:$A$307),IFERROR(LOOKUP(2,1/((거래처별!$AE$8:$AE$307&lt;&gt;"")*ISNUMBER(SEARCH(거래처별!$AE$8:$AE$307,$AB1916))),거래처별!$A$8:$A$307),0))))</f>
        <v/>
      </c>
      <c r="AD1916" s="31">
        <f>IF(AND($Y1916&lt;&gt;"",N($Z1916)&gt;0,$AC1916=0),MAX($AD$7:$AD1915)+1,"")</f>
        <v/>
      </c>
      <c r="AE1916" s="31">
        <f>IF($Y1916="",0,$Y1916)</f>
        <v/>
      </c>
    </row>
    <row r="1917">
      <c r="W1917" s="31">
        <f>IF(OR($B$5="",$C$6="",ROW()&lt;$B$5),"",IF(INDEX($A:$U,ROW(),$C$6)="","",INDEX($A:$U,ROW(),$C$6)))</f>
        <v/>
      </c>
      <c r="X1917" s="32">
        <f>IF($W1917="","",IF(ISNUMBER($W1917),IF($W1917&gt;=10000000,IFERROR(DATE(INT($W1917/10000),MOD(INT($W1917/100),100),MOD($W1917,100)),""),INT($W1917)),IFERROR(DATE(--LEFT(LEFT(SUBSTITUTE(SUBSTITUTE(SUBSTITUTE(SUBSTITUTE(TRIM($W1917),"-",""),".",""),"/","")," ",""),8),4),--MID(LEFT(SUBSTITUTE(SUBSTITUTE(SUBSTITUTE(SUBSTITUTE(TRIM($W1917),"-",""),".",""),"/","")," ",""),8),5,2),--MID(LEFT(SUBSTITUTE(SUBSTITUTE(SUBSTITUTE(SUBSTITUTE(TRIM($W1917),"-",""),".",""),"/","")," ",""),8),7,2)),"")))</f>
        <v/>
      </c>
      <c r="Y1917" s="32">
        <f>IF($X1917="","",INT($X1917))</f>
        <v/>
      </c>
      <c r="Z1917" s="33">
        <f>IF(OR($Y1917="",$D$6=""),"",IF(INDEX($A:$U,ROW(),$D$6)="",0,IF(ISNUMBER(INDEX($A:$U,ROW(),$D$6)),INDEX($A:$U,ROW(),$D$6),IFERROR(--SUBSTITUTE(SUBSTITUTE(TRIM(INDEX($A:$U,ROW(),$D$6)),",",""),"원",""),0))))</f>
        <v/>
      </c>
      <c r="AA1917" s="31">
        <f>IF($Y1917="","",TRIM(INDEX($A:$U,ROW(),$E$6)&amp;IF($F$6="",""," "&amp;INDEX($A:$U,ROW(),$F$6))))</f>
        <v/>
      </c>
      <c r="AB1917" s="31">
        <f>IF($AA1917="","",SUBSTITUTE(SUBSTITUTE(SUBSTITUTE(SUBSTITUTE(SUBSTITUTE(SUBSTITUTE(SUBSTITUTE(SUBSTITUTE(SUBSTITUTE($AA1917," ",""),"　",""),"(주)",""),"（주）",""),"㈜",""),"주식회사",""),"(유)",""),"（유）",""),"유한회사",""))</f>
        <v/>
      </c>
      <c r="AC1917" s="31">
        <f>IF(OR($Y1917="",N($Z1917)&lt;=0,$AB1917=""),0,IFERROR(LOOKUP(2,1/((거래처별!$AC$8:$AC$307&lt;&gt;"")*ISNUMBER(SEARCH(거래처별!$AC$8:$AC$307,$AB1917))),거래처별!$A$8:$A$307),IFERROR(LOOKUP(2,1/((거래처별!$AD$8:$AD$307&lt;&gt;"")*ISNUMBER(SEARCH(거래처별!$AD$8:$AD$307,$AB1917))),거래처별!$A$8:$A$307),IFERROR(LOOKUP(2,1/((거래처별!$AE$8:$AE$307&lt;&gt;"")*ISNUMBER(SEARCH(거래처별!$AE$8:$AE$307,$AB1917))),거래처별!$A$8:$A$307),0))))</f>
        <v/>
      </c>
      <c r="AD1917" s="31">
        <f>IF(AND($Y1917&lt;&gt;"",N($Z1917)&gt;0,$AC1917=0),MAX($AD$7:$AD1916)+1,"")</f>
        <v/>
      </c>
      <c r="AE1917" s="31">
        <f>IF($Y1917="",0,$Y1917)</f>
        <v/>
      </c>
    </row>
    <row r="1918">
      <c r="W1918" s="31">
        <f>IF(OR($B$5="",$C$6="",ROW()&lt;$B$5),"",IF(INDEX($A:$U,ROW(),$C$6)="","",INDEX($A:$U,ROW(),$C$6)))</f>
        <v/>
      </c>
      <c r="X1918" s="32">
        <f>IF($W1918="","",IF(ISNUMBER($W1918),IF($W1918&gt;=10000000,IFERROR(DATE(INT($W1918/10000),MOD(INT($W1918/100),100),MOD($W1918,100)),""),INT($W1918)),IFERROR(DATE(--LEFT(LEFT(SUBSTITUTE(SUBSTITUTE(SUBSTITUTE(SUBSTITUTE(TRIM($W1918),"-",""),".",""),"/","")," ",""),8),4),--MID(LEFT(SUBSTITUTE(SUBSTITUTE(SUBSTITUTE(SUBSTITUTE(TRIM($W1918),"-",""),".",""),"/","")," ",""),8),5,2),--MID(LEFT(SUBSTITUTE(SUBSTITUTE(SUBSTITUTE(SUBSTITUTE(TRIM($W1918),"-",""),".",""),"/","")," ",""),8),7,2)),"")))</f>
        <v/>
      </c>
      <c r="Y1918" s="32">
        <f>IF($X1918="","",INT($X1918))</f>
        <v/>
      </c>
      <c r="Z1918" s="33">
        <f>IF(OR($Y1918="",$D$6=""),"",IF(INDEX($A:$U,ROW(),$D$6)="",0,IF(ISNUMBER(INDEX($A:$U,ROW(),$D$6)),INDEX($A:$U,ROW(),$D$6),IFERROR(--SUBSTITUTE(SUBSTITUTE(TRIM(INDEX($A:$U,ROW(),$D$6)),",",""),"원",""),0))))</f>
        <v/>
      </c>
      <c r="AA1918" s="31">
        <f>IF($Y1918="","",TRIM(INDEX($A:$U,ROW(),$E$6)&amp;IF($F$6="",""," "&amp;INDEX($A:$U,ROW(),$F$6))))</f>
        <v/>
      </c>
      <c r="AB1918" s="31">
        <f>IF($AA1918="","",SUBSTITUTE(SUBSTITUTE(SUBSTITUTE(SUBSTITUTE(SUBSTITUTE(SUBSTITUTE(SUBSTITUTE(SUBSTITUTE(SUBSTITUTE($AA1918," ",""),"　",""),"(주)",""),"（주）",""),"㈜",""),"주식회사",""),"(유)",""),"（유）",""),"유한회사",""))</f>
        <v/>
      </c>
      <c r="AC1918" s="31">
        <f>IF(OR($Y1918="",N($Z1918)&lt;=0,$AB1918=""),0,IFERROR(LOOKUP(2,1/((거래처별!$AC$8:$AC$307&lt;&gt;"")*ISNUMBER(SEARCH(거래처별!$AC$8:$AC$307,$AB1918))),거래처별!$A$8:$A$307),IFERROR(LOOKUP(2,1/((거래처별!$AD$8:$AD$307&lt;&gt;"")*ISNUMBER(SEARCH(거래처별!$AD$8:$AD$307,$AB1918))),거래처별!$A$8:$A$307),IFERROR(LOOKUP(2,1/((거래처별!$AE$8:$AE$307&lt;&gt;"")*ISNUMBER(SEARCH(거래처별!$AE$8:$AE$307,$AB1918))),거래처별!$A$8:$A$307),0))))</f>
        <v/>
      </c>
      <c r="AD1918" s="31">
        <f>IF(AND($Y1918&lt;&gt;"",N($Z1918)&gt;0,$AC1918=0),MAX($AD$7:$AD1917)+1,"")</f>
        <v/>
      </c>
      <c r="AE1918" s="31">
        <f>IF($Y1918="",0,$Y1918)</f>
        <v/>
      </c>
    </row>
    <row r="1919">
      <c r="W1919" s="31">
        <f>IF(OR($B$5="",$C$6="",ROW()&lt;$B$5),"",IF(INDEX($A:$U,ROW(),$C$6)="","",INDEX($A:$U,ROW(),$C$6)))</f>
        <v/>
      </c>
      <c r="X1919" s="32">
        <f>IF($W1919="","",IF(ISNUMBER($W1919),IF($W1919&gt;=10000000,IFERROR(DATE(INT($W1919/10000),MOD(INT($W1919/100),100),MOD($W1919,100)),""),INT($W1919)),IFERROR(DATE(--LEFT(LEFT(SUBSTITUTE(SUBSTITUTE(SUBSTITUTE(SUBSTITUTE(TRIM($W1919),"-",""),".",""),"/","")," ",""),8),4),--MID(LEFT(SUBSTITUTE(SUBSTITUTE(SUBSTITUTE(SUBSTITUTE(TRIM($W1919),"-",""),".",""),"/","")," ",""),8),5,2),--MID(LEFT(SUBSTITUTE(SUBSTITUTE(SUBSTITUTE(SUBSTITUTE(TRIM($W1919),"-",""),".",""),"/","")," ",""),8),7,2)),"")))</f>
        <v/>
      </c>
      <c r="Y1919" s="32">
        <f>IF($X1919="","",INT($X1919))</f>
        <v/>
      </c>
      <c r="Z1919" s="33">
        <f>IF(OR($Y1919="",$D$6=""),"",IF(INDEX($A:$U,ROW(),$D$6)="",0,IF(ISNUMBER(INDEX($A:$U,ROW(),$D$6)),INDEX($A:$U,ROW(),$D$6),IFERROR(--SUBSTITUTE(SUBSTITUTE(TRIM(INDEX($A:$U,ROW(),$D$6)),",",""),"원",""),0))))</f>
        <v/>
      </c>
      <c r="AA1919" s="31">
        <f>IF($Y1919="","",TRIM(INDEX($A:$U,ROW(),$E$6)&amp;IF($F$6="",""," "&amp;INDEX($A:$U,ROW(),$F$6))))</f>
        <v/>
      </c>
      <c r="AB1919" s="31">
        <f>IF($AA1919="","",SUBSTITUTE(SUBSTITUTE(SUBSTITUTE(SUBSTITUTE(SUBSTITUTE(SUBSTITUTE(SUBSTITUTE(SUBSTITUTE(SUBSTITUTE($AA1919," ",""),"　",""),"(주)",""),"（주）",""),"㈜",""),"주식회사",""),"(유)",""),"（유）",""),"유한회사",""))</f>
        <v/>
      </c>
      <c r="AC1919" s="31">
        <f>IF(OR($Y1919="",N($Z1919)&lt;=0,$AB1919=""),0,IFERROR(LOOKUP(2,1/((거래처별!$AC$8:$AC$307&lt;&gt;"")*ISNUMBER(SEARCH(거래처별!$AC$8:$AC$307,$AB1919))),거래처별!$A$8:$A$307),IFERROR(LOOKUP(2,1/((거래처별!$AD$8:$AD$307&lt;&gt;"")*ISNUMBER(SEARCH(거래처별!$AD$8:$AD$307,$AB1919))),거래처별!$A$8:$A$307),IFERROR(LOOKUP(2,1/((거래처별!$AE$8:$AE$307&lt;&gt;"")*ISNUMBER(SEARCH(거래처별!$AE$8:$AE$307,$AB1919))),거래처별!$A$8:$A$307),0))))</f>
        <v/>
      </c>
      <c r="AD1919" s="31">
        <f>IF(AND($Y1919&lt;&gt;"",N($Z1919)&gt;0,$AC1919=0),MAX($AD$7:$AD1918)+1,"")</f>
        <v/>
      </c>
      <c r="AE1919" s="31">
        <f>IF($Y1919="",0,$Y1919)</f>
        <v/>
      </c>
    </row>
    <row r="1920">
      <c r="W1920" s="31">
        <f>IF(OR($B$5="",$C$6="",ROW()&lt;$B$5),"",IF(INDEX($A:$U,ROW(),$C$6)="","",INDEX($A:$U,ROW(),$C$6)))</f>
        <v/>
      </c>
      <c r="X1920" s="32">
        <f>IF($W1920="","",IF(ISNUMBER($W1920),IF($W1920&gt;=10000000,IFERROR(DATE(INT($W1920/10000),MOD(INT($W1920/100),100),MOD($W1920,100)),""),INT($W1920)),IFERROR(DATE(--LEFT(LEFT(SUBSTITUTE(SUBSTITUTE(SUBSTITUTE(SUBSTITUTE(TRIM($W1920),"-",""),".",""),"/","")," ",""),8),4),--MID(LEFT(SUBSTITUTE(SUBSTITUTE(SUBSTITUTE(SUBSTITUTE(TRIM($W1920),"-",""),".",""),"/","")," ",""),8),5,2),--MID(LEFT(SUBSTITUTE(SUBSTITUTE(SUBSTITUTE(SUBSTITUTE(TRIM($W1920),"-",""),".",""),"/","")," ",""),8),7,2)),"")))</f>
        <v/>
      </c>
      <c r="Y1920" s="32">
        <f>IF($X1920="","",INT($X1920))</f>
        <v/>
      </c>
      <c r="Z1920" s="33">
        <f>IF(OR($Y1920="",$D$6=""),"",IF(INDEX($A:$U,ROW(),$D$6)="",0,IF(ISNUMBER(INDEX($A:$U,ROW(),$D$6)),INDEX($A:$U,ROW(),$D$6),IFERROR(--SUBSTITUTE(SUBSTITUTE(TRIM(INDEX($A:$U,ROW(),$D$6)),",",""),"원",""),0))))</f>
        <v/>
      </c>
      <c r="AA1920" s="31">
        <f>IF($Y1920="","",TRIM(INDEX($A:$U,ROW(),$E$6)&amp;IF($F$6="",""," "&amp;INDEX($A:$U,ROW(),$F$6))))</f>
        <v/>
      </c>
      <c r="AB1920" s="31">
        <f>IF($AA1920="","",SUBSTITUTE(SUBSTITUTE(SUBSTITUTE(SUBSTITUTE(SUBSTITUTE(SUBSTITUTE(SUBSTITUTE(SUBSTITUTE(SUBSTITUTE($AA1920," ",""),"　",""),"(주)",""),"（주）",""),"㈜",""),"주식회사",""),"(유)",""),"（유）",""),"유한회사",""))</f>
        <v/>
      </c>
      <c r="AC1920" s="31">
        <f>IF(OR($Y1920="",N($Z1920)&lt;=0,$AB1920=""),0,IFERROR(LOOKUP(2,1/((거래처별!$AC$8:$AC$307&lt;&gt;"")*ISNUMBER(SEARCH(거래처별!$AC$8:$AC$307,$AB1920))),거래처별!$A$8:$A$307),IFERROR(LOOKUP(2,1/((거래처별!$AD$8:$AD$307&lt;&gt;"")*ISNUMBER(SEARCH(거래처별!$AD$8:$AD$307,$AB1920))),거래처별!$A$8:$A$307),IFERROR(LOOKUP(2,1/((거래처별!$AE$8:$AE$307&lt;&gt;"")*ISNUMBER(SEARCH(거래처별!$AE$8:$AE$307,$AB1920))),거래처별!$A$8:$A$307),0))))</f>
        <v/>
      </c>
      <c r="AD1920" s="31">
        <f>IF(AND($Y1920&lt;&gt;"",N($Z1920)&gt;0,$AC1920=0),MAX($AD$7:$AD1919)+1,"")</f>
        <v/>
      </c>
      <c r="AE1920" s="31">
        <f>IF($Y1920="",0,$Y1920)</f>
        <v/>
      </c>
    </row>
    <row r="1921">
      <c r="W1921" s="31">
        <f>IF(OR($B$5="",$C$6="",ROW()&lt;$B$5),"",IF(INDEX($A:$U,ROW(),$C$6)="","",INDEX($A:$U,ROW(),$C$6)))</f>
        <v/>
      </c>
      <c r="X1921" s="32">
        <f>IF($W1921="","",IF(ISNUMBER($W1921),IF($W1921&gt;=10000000,IFERROR(DATE(INT($W1921/10000),MOD(INT($W1921/100),100),MOD($W1921,100)),""),INT($W1921)),IFERROR(DATE(--LEFT(LEFT(SUBSTITUTE(SUBSTITUTE(SUBSTITUTE(SUBSTITUTE(TRIM($W1921),"-",""),".",""),"/","")," ",""),8),4),--MID(LEFT(SUBSTITUTE(SUBSTITUTE(SUBSTITUTE(SUBSTITUTE(TRIM($W1921),"-",""),".",""),"/","")," ",""),8),5,2),--MID(LEFT(SUBSTITUTE(SUBSTITUTE(SUBSTITUTE(SUBSTITUTE(TRIM($W1921),"-",""),".",""),"/","")," ",""),8),7,2)),"")))</f>
        <v/>
      </c>
      <c r="Y1921" s="32">
        <f>IF($X1921="","",INT($X1921))</f>
        <v/>
      </c>
      <c r="Z1921" s="33">
        <f>IF(OR($Y1921="",$D$6=""),"",IF(INDEX($A:$U,ROW(),$D$6)="",0,IF(ISNUMBER(INDEX($A:$U,ROW(),$D$6)),INDEX($A:$U,ROW(),$D$6),IFERROR(--SUBSTITUTE(SUBSTITUTE(TRIM(INDEX($A:$U,ROW(),$D$6)),",",""),"원",""),0))))</f>
        <v/>
      </c>
      <c r="AA1921" s="31">
        <f>IF($Y1921="","",TRIM(INDEX($A:$U,ROW(),$E$6)&amp;IF($F$6="",""," "&amp;INDEX($A:$U,ROW(),$F$6))))</f>
        <v/>
      </c>
      <c r="AB1921" s="31">
        <f>IF($AA1921="","",SUBSTITUTE(SUBSTITUTE(SUBSTITUTE(SUBSTITUTE(SUBSTITUTE(SUBSTITUTE(SUBSTITUTE(SUBSTITUTE(SUBSTITUTE($AA1921," ",""),"　",""),"(주)",""),"（주）",""),"㈜",""),"주식회사",""),"(유)",""),"（유）",""),"유한회사",""))</f>
        <v/>
      </c>
      <c r="AC1921" s="31">
        <f>IF(OR($Y1921="",N($Z1921)&lt;=0,$AB1921=""),0,IFERROR(LOOKUP(2,1/((거래처별!$AC$8:$AC$307&lt;&gt;"")*ISNUMBER(SEARCH(거래처별!$AC$8:$AC$307,$AB1921))),거래처별!$A$8:$A$307),IFERROR(LOOKUP(2,1/((거래처별!$AD$8:$AD$307&lt;&gt;"")*ISNUMBER(SEARCH(거래처별!$AD$8:$AD$307,$AB1921))),거래처별!$A$8:$A$307),IFERROR(LOOKUP(2,1/((거래처별!$AE$8:$AE$307&lt;&gt;"")*ISNUMBER(SEARCH(거래처별!$AE$8:$AE$307,$AB1921))),거래처별!$A$8:$A$307),0))))</f>
        <v/>
      </c>
      <c r="AD1921" s="31">
        <f>IF(AND($Y1921&lt;&gt;"",N($Z1921)&gt;0,$AC1921=0),MAX($AD$7:$AD1920)+1,"")</f>
        <v/>
      </c>
      <c r="AE1921" s="31">
        <f>IF($Y1921="",0,$Y1921)</f>
        <v/>
      </c>
    </row>
    <row r="1922">
      <c r="W1922" s="31">
        <f>IF(OR($B$5="",$C$6="",ROW()&lt;$B$5),"",IF(INDEX($A:$U,ROW(),$C$6)="","",INDEX($A:$U,ROW(),$C$6)))</f>
        <v/>
      </c>
      <c r="X1922" s="32">
        <f>IF($W1922="","",IF(ISNUMBER($W1922),IF($W1922&gt;=10000000,IFERROR(DATE(INT($W1922/10000),MOD(INT($W1922/100),100),MOD($W1922,100)),""),INT($W1922)),IFERROR(DATE(--LEFT(LEFT(SUBSTITUTE(SUBSTITUTE(SUBSTITUTE(SUBSTITUTE(TRIM($W1922),"-",""),".",""),"/","")," ",""),8),4),--MID(LEFT(SUBSTITUTE(SUBSTITUTE(SUBSTITUTE(SUBSTITUTE(TRIM($W1922),"-",""),".",""),"/","")," ",""),8),5,2),--MID(LEFT(SUBSTITUTE(SUBSTITUTE(SUBSTITUTE(SUBSTITUTE(TRIM($W1922),"-",""),".",""),"/","")," ",""),8),7,2)),"")))</f>
        <v/>
      </c>
      <c r="Y1922" s="32">
        <f>IF($X1922="","",INT($X1922))</f>
        <v/>
      </c>
      <c r="Z1922" s="33">
        <f>IF(OR($Y1922="",$D$6=""),"",IF(INDEX($A:$U,ROW(),$D$6)="",0,IF(ISNUMBER(INDEX($A:$U,ROW(),$D$6)),INDEX($A:$U,ROW(),$D$6),IFERROR(--SUBSTITUTE(SUBSTITUTE(TRIM(INDEX($A:$U,ROW(),$D$6)),",",""),"원",""),0))))</f>
        <v/>
      </c>
      <c r="AA1922" s="31">
        <f>IF($Y1922="","",TRIM(INDEX($A:$U,ROW(),$E$6)&amp;IF($F$6="",""," "&amp;INDEX($A:$U,ROW(),$F$6))))</f>
        <v/>
      </c>
      <c r="AB1922" s="31">
        <f>IF($AA1922="","",SUBSTITUTE(SUBSTITUTE(SUBSTITUTE(SUBSTITUTE(SUBSTITUTE(SUBSTITUTE(SUBSTITUTE(SUBSTITUTE(SUBSTITUTE($AA1922," ",""),"　",""),"(주)",""),"（주）",""),"㈜",""),"주식회사",""),"(유)",""),"（유）",""),"유한회사",""))</f>
        <v/>
      </c>
      <c r="AC1922" s="31">
        <f>IF(OR($Y1922="",N($Z1922)&lt;=0,$AB1922=""),0,IFERROR(LOOKUP(2,1/((거래처별!$AC$8:$AC$307&lt;&gt;"")*ISNUMBER(SEARCH(거래처별!$AC$8:$AC$307,$AB1922))),거래처별!$A$8:$A$307),IFERROR(LOOKUP(2,1/((거래처별!$AD$8:$AD$307&lt;&gt;"")*ISNUMBER(SEARCH(거래처별!$AD$8:$AD$307,$AB1922))),거래처별!$A$8:$A$307),IFERROR(LOOKUP(2,1/((거래처별!$AE$8:$AE$307&lt;&gt;"")*ISNUMBER(SEARCH(거래처별!$AE$8:$AE$307,$AB1922))),거래처별!$A$8:$A$307),0))))</f>
        <v/>
      </c>
      <c r="AD1922" s="31">
        <f>IF(AND($Y1922&lt;&gt;"",N($Z1922)&gt;0,$AC1922=0),MAX($AD$7:$AD1921)+1,"")</f>
        <v/>
      </c>
      <c r="AE1922" s="31">
        <f>IF($Y1922="",0,$Y1922)</f>
        <v/>
      </c>
    </row>
    <row r="1923">
      <c r="W1923" s="31">
        <f>IF(OR($B$5="",$C$6="",ROW()&lt;$B$5),"",IF(INDEX($A:$U,ROW(),$C$6)="","",INDEX($A:$U,ROW(),$C$6)))</f>
        <v/>
      </c>
      <c r="X1923" s="32">
        <f>IF($W1923="","",IF(ISNUMBER($W1923),IF($W1923&gt;=10000000,IFERROR(DATE(INT($W1923/10000),MOD(INT($W1923/100),100),MOD($W1923,100)),""),INT($W1923)),IFERROR(DATE(--LEFT(LEFT(SUBSTITUTE(SUBSTITUTE(SUBSTITUTE(SUBSTITUTE(TRIM($W1923),"-",""),".",""),"/","")," ",""),8),4),--MID(LEFT(SUBSTITUTE(SUBSTITUTE(SUBSTITUTE(SUBSTITUTE(TRIM($W1923),"-",""),".",""),"/","")," ",""),8),5,2),--MID(LEFT(SUBSTITUTE(SUBSTITUTE(SUBSTITUTE(SUBSTITUTE(TRIM($W1923),"-",""),".",""),"/","")," ",""),8),7,2)),"")))</f>
        <v/>
      </c>
      <c r="Y1923" s="32">
        <f>IF($X1923="","",INT($X1923))</f>
        <v/>
      </c>
      <c r="Z1923" s="33">
        <f>IF(OR($Y1923="",$D$6=""),"",IF(INDEX($A:$U,ROW(),$D$6)="",0,IF(ISNUMBER(INDEX($A:$U,ROW(),$D$6)),INDEX($A:$U,ROW(),$D$6),IFERROR(--SUBSTITUTE(SUBSTITUTE(TRIM(INDEX($A:$U,ROW(),$D$6)),",",""),"원",""),0))))</f>
        <v/>
      </c>
      <c r="AA1923" s="31">
        <f>IF($Y1923="","",TRIM(INDEX($A:$U,ROW(),$E$6)&amp;IF($F$6="",""," "&amp;INDEX($A:$U,ROW(),$F$6))))</f>
        <v/>
      </c>
      <c r="AB1923" s="31">
        <f>IF($AA1923="","",SUBSTITUTE(SUBSTITUTE(SUBSTITUTE(SUBSTITUTE(SUBSTITUTE(SUBSTITUTE(SUBSTITUTE(SUBSTITUTE(SUBSTITUTE($AA1923," ",""),"　",""),"(주)",""),"（주）",""),"㈜",""),"주식회사",""),"(유)",""),"（유）",""),"유한회사",""))</f>
        <v/>
      </c>
      <c r="AC1923" s="31">
        <f>IF(OR($Y1923="",N($Z1923)&lt;=0,$AB1923=""),0,IFERROR(LOOKUP(2,1/((거래처별!$AC$8:$AC$307&lt;&gt;"")*ISNUMBER(SEARCH(거래처별!$AC$8:$AC$307,$AB1923))),거래처별!$A$8:$A$307),IFERROR(LOOKUP(2,1/((거래처별!$AD$8:$AD$307&lt;&gt;"")*ISNUMBER(SEARCH(거래처별!$AD$8:$AD$307,$AB1923))),거래처별!$A$8:$A$307),IFERROR(LOOKUP(2,1/((거래처별!$AE$8:$AE$307&lt;&gt;"")*ISNUMBER(SEARCH(거래처별!$AE$8:$AE$307,$AB1923))),거래처별!$A$8:$A$307),0))))</f>
        <v/>
      </c>
      <c r="AD1923" s="31">
        <f>IF(AND($Y1923&lt;&gt;"",N($Z1923)&gt;0,$AC1923=0),MAX($AD$7:$AD1922)+1,"")</f>
        <v/>
      </c>
      <c r="AE1923" s="31">
        <f>IF($Y1923="",0,$Y1923)</f>
        <v/>
      </c>
    </row>
    <row r="1924">
      <c r="W1924" s="31">
        <f>IF(OR($B$5="",$C$6="",ROW()&lt;$B$5),"",IF(INDEX($A:$U,ROW(),$C$6)="","",INDEX($A:$U,ROW(),$C$6)))</f>
        <v/>
      </c>
      <c r="X1924" s="32">
        <f>IF($W1924="","",IF(ISNUMBER($W1924),IF($W1924&gt;=10000000,IFERROR(DATE(INT($W1924/10000),MOD(INT($W1924/100),100),MOD($W1924,100)),""),INT($W1924)),IFERROR(DATE(--LEFT(LEFT(SUBSTITUTE(SUBSTITUTE(SUBSTITUTE(SUBSTITUTE(TRIM($W1924),"-",""),".",""),"/","")," ",""),8),4),--MID(LEFT(SUBSTITUTE(SUBSTITUTE(SUBSTITUTE(SUBSTITUTE(TRIM($W1924),"-",""),".",""),"/","")," ",""),8),5,2),--MID(LEFT(SUBSTITUTE(SUBSTITUTE(SUBSTITUTE(SUBSTITUTE(TRIM($W1924),"-",""),".",""),"/","")," ",""),8),7,2)),"")))</f>
        <v/>
      </c>
      <c r="Y1924" s="32">
        <f>IF($X1924="","",INT($X1924))</f>
        <v/>
      </c>
      <c r="Z1924" s="33">
        <f>IF(OR($Y1924="",$D$6=""),"",IF(INDEX($A:$U,ROW(),$D$6)="",0,IF(ISNUMBER(INDEX($A:$U,ROW(),$D$6)),INDEX($A:$U,ROW(),$D$6),IFERROR(--SUBSTITUTE(SUBSTITUTE(TRIM(INDEX($A:$U,ROW(),$D$6)),",",""),"원",""),0))))</f>
        <v/>
      </c>
      <c r="AA1924" s="31">
        <f>IF($Y1924="","",TRIM(INDEX($A:$U,ROW(),$E$6)&amp;IF($F$6="",""," "&amp;INDEX($A:$U,ROW(),$F$6))))</f>
        <v/>
      </c>
      <c r="AB1924" s="31">
        <f>IF($AA1924="","",SUBSTITUTE(SUBSTITUTE(SUBSTITUTE(SUBSTITUTE(SUBSTITUTE(SUBSTITUTE(SUBSTITUTE(SUBSTITUTE(SUBSTITUTE($AA1924," ",""),"　",""),"(주)",""),"（주）",""),"㈜",""),"주식회사",""),"(유)",""),"（유）",""),"유한회사",""))</f>
        <v/>
      </c>
      <c r="AC1924" s="31">
        <f>IF(OR($Y1924="",N($Z1924)&lt;=0,$AB1924=""),0,IFERROR(LOOKUP(2,1/((거래처별!$AC$8:$AC$307&lt;&gt;"")*ISNUMBER(SEARCH(거래처별!$AC$8:$AC$307,$AB1924))),거래처별!$A$8:$A$307),IFERROR(LOOKUP(2,1/((거래처별!$AD$8:$AD$307&lt;&gt;"")*ISNUMBER(SEARCH(거래처별!$AD$8:$AD$307,$AB1924))),거래처별!$A$8:$A$307),IFERROR(LOOKUP(2,1/((거래처별!$AE$8:$AE$307&lt;&gt;"")*ISNUMBER(SEARCH(거래처별!$AE$8:$AE$307,$AB1924))),거래처별!$A$8:$A$307),0))))</f>
        <v/>
      </c>
      <c r="AD1924" s="31">
        <f>IF(AND($Y1924&lt;&gt;"",N($Z1924)&gt;0,$AC1924=0),MAX($AD$7:$AD1923)+1,"")</f>
        <v/>
      </c>
      <c r="AE1924" s="31">
        <f>IF($Y1924="",0,$Y1924)</f>
        <v/>
      </c>
    </row>
    <row r="1925">
      <c r="W1925" s="31">
        <f>IF(OR($B$5="",$C$6="",ROW()&lt;$B$5),"",IF(INDEX($A:$U,ROW(),$C$6)="","",INDEX($A:$U,ROW(),$C$6)))</f>
        <v/>
      </c>
      <c r="X1925" s="32">
        <f>IF($W1925="","",IF(ISNUMBER($W1925),IF($W1925&gt;=10000000,IFERROR(DATE(INT($W1925/10000),MOD(INT($W1925/100),100),MOD($W1925,100)),""),INT($W1925)),IFERROR(DATE(--LEFT(LEFT(SUBSTITUTE(SUBSTITUTE(SUBSTITUTE(SUBSTITUTE(TRIM($W1925),"-",""),".",""),"/","")," ",""),8),4),--MID(LEFT(SUBSTITUTE(SUBSTITUTE(SUBSTITUTE(SUBSTITUTE(TRIM($W1925),"-",""),".",""),"/","")," ",""),8),5,2),--MID(LEFT(SUBSTITUTE(SUBSTITUTE(SUBSTITUTE(SUBSTITUTE(TRIM($W1925),"-",""),".",""),"/","")," ",""),8),7,2)),"")))</f>
        <v/>
      </c>
      <c r="Y1925" s="32">
        <f>IF($X1925="","",INT($X1925))</f>
        <v/>
      </c>
      <c r="Z1925" s="33">
        <f>IF(OR($Y1925="",$D$6=""),"",IF(INDEX($A:$U,ROW(),$D$6)="",0,IF(ISNUMBER(INDEX($A:$U,ROW(),$D$6)),INDEX($A:$U,ROW(),$D$6),IFERROR(--SUBSTITUTE(SUBSTITUTE(TRIM(INDEX($A:$U,ROW(),$D$6)),",",""),"원",""),0))))</f>
        <v/>
      </c>
      <c r="AA1925" s="31">
        <f>IF($Y1925="","",TRIM(INDEX($A:$U,ROW(),$E$6)&amp;IF($F$6="",""," "&amp;INDEX($A:$U,ROW(),$F$6))))</f>
        <v/>
      </c>
      <c r="AB1925" s="31">
        <f>IF($AA1925="","",SUBSTITUTE(SUBSTITUTE(SUBSTITUTE(SUBSTITUTE(SUBSTITUTE(SUBSTITUTE(SUBSTITUTE(SUBSTITUTE(SUBSTITUTE($AA1925," ",""),"　",""),"(주)",""),"（주）",""),"㈜",""),"주식회사",""),"(유)",""),"（유）",""),"유한회사",""))</f>
        <v/>
      </c>
      <c r="AC1925" s="31">
        <f>IF(OR($Y1925="",N($Z1925)&lt;=0,$AB1925=""),0,IFERROR(LOOKUP(2,1/((거래처별!$AC$8:$AC$307&lt;&gt;"")*ISNUMBER(SEARCH(거래처별!$AC$8:$AC$307,$AB1925))),거래처별!$A$8:$A$307),IFERROR(LOOKUP(2,1/((거래처별!$AD$8:$AD$307&lt;&gt;"")*ISNUMBER(SEARCH(거래처별!$AD$8:$AD$307,$AB1925))),거래처별!$A$8:$A$307),IFERROR(LOOKUP(2,1/((거래처별!$AE$8:$AE$307&lt;&gt;"")*ISNUMBER(SEARCH(거래처별!$AE$8:$AE$307,$AB1925))),거래처별!$A$8:$A$307),0))))</f>
        <v/>
      </c>
      <c r="AD1925" s="31">
        <f>IF(AND($Y1925&lt;&gt;"",N($Z1925)&gt;0,$AC1925=0),MAX($AD$7:$AD1924)+1,"")</f>
        <v/>
      </c>
      <c r="AE1925" s="31">
        <f>IF($Y1925="",0,$Y1925)</f>
        <v/>
      </c>
    </row>
    <row r="1926">
      <c r="W1926" s="31">
        <f>IF(OR($B$5="",$C$6="",ROW()&lt;$B$5),"",IF(INDEX($A:$U,ROW(),$C$6)="","",INDEX($A:$U,ROW(),$C$6)))</f>
        <v/>
      </c>
      <c r="X1926" s="32">
        <f>IF($W1926="","",IF(ISNUMBER($W1926),IF($W1926&gt;=10000000,IFERROR(DATE(INT($W1926/10000),MOD(INT($W1926/100),100),MOD($W1926,100)),""),INT($W1926)),IFERROR(DATE(--LEFT(LEFT(SUBSTITUTE(SUBSTITUTE(SUBSTITUTE(SUBSTITUTE(TRIM($W1926),"-",""),".",""),"/","")," ",""),8),4),--MID(LEFT(SUBSTITUTE(SUBSTITUTE(SUBSTITUTE(SUBSTITUTE(TRIM($W1926),"-",""),".",""),"/","")," ",""),8),5,2),--MID(LEFT(SUBSTITUTE(SUBSTITUTE(SUBSTITUTE(SUBSTITUTE(TRIM($W1926),"-",""),".",""),"/","")," ",""),8),7,2)),"")))</f>
        <v/>
      </c>
      <c r="Y1926" s="32">
        <f>IF($X1926="","",INT($X1926))</f>
        <v/>
      </c>
      <c r="Z1926" s="33">
        <f>IF(OR($Y1926="",$D$6=""),"",IF(INDEX($A:$U,ROW(),$D$6)="",0,IF(ISNUMBER(INDEX($A:$U,ROW(),$D$6)),INDEX($A:$U,ROW(),$D$6),IFERROR(--SUBSTITUTE(SUBSTITUTE(TRIM(INDEX($A:$U,ROW(),$D$6)),",",""),"원",""),0))))</f>
        <v/>
      </c>
      <c r="AA1926" s="31">
        <f>IF($Y1926="","",TRIM(INDEX($A:$U,ROW(),$E$6)&amp;IF($F$6="",""," "&amp;INDEX($A:$U,ROW(),$F$6))))</f>
        <v/>
      </c>
      <c r="AB1926" s="31">
        <f>IF($AA1926="","",SUBSTITUTE(SUBSTITUTE(SUBSTITUTE(SUBSTITUTE(SUBSTITUTE(SUBSTITUTE(SUBSTITUTE(SUBSTITUTE(SUBSTITUTE($AA1926," ",""),"　",""),"(주)",""),"（주）",""),"㈜",""),"주식회사",""),"(유)",""),"（유）",""),"유한회사",""))</f>
        <v/>
      </c>
      <c r="AC1926" s="31">
        <f>IF(OR($Y1926="",N($Z1926)&lt;=0,$AB1926=""),0,IFERROR(LOOKUP(2,1/((거래처별!$AC$8:$AC$307&lt;&gt;"")*ISNUMBER(SEARCH(거래처별!$AC$8:$AC$307,$AB1926))),거래처별!$A$8:$A$307),IFERROR(LOOKUP(2,1/((거래처별!$AD$8:$AD$307&lt;&gt;"")*ISNUMBER(SEARCH(거래처별!$AD$8:$AD$307,$AB1926))),거래처별!$A$8:$A$307),IFERROR(LOOKUP(2,1/((거래처별!$AE$8:$AE$307&lt;&gt;"")*ISNUMBER(SEARCH(거래처별!$AE$8:$AE$307,$AB1926))),거래처별!$A$8:$A$307),0))))</f>
        <v/>
      </c>
      <c r="AD1926" s="31">
        <f>IF(AND($Y1926&lt;&gt;"",N($Z1926)&gt;0,$AC1926=0),MAX($AD$7:$AD1925)+1,"")</f>
        <v/>
      </c>
      <c r="AE1926" s="31">
        <f>IF($Y1926="",0,$Y1926)</f>
        <v/>
      </c>
    </row>
    <row r="1927">
      <c r="W1927" s="31">
        <f>IF(OR($B$5="",$C$6="",ROW()&lt;$B$5),"",IF(INDEX($A:$U,ROW(),$C$6)="","",INDEX($A:$U,ROW(),$C$6)))</f>
        <v/>
      </c>
      <c r="X1927" s="32">
        <f>IF($W1927="","",IF(ISNUMBER($W1927),IF($W1927&gt;=10000000,IFERROR(DATE(INT($W1927/10000),MOD(INT($W1927/100),100),MOD($W1927,100)),""),INT($W1927)),IFERROR(DATE(--LEFT(LEFT(SUBSTITUTE(SUBSTITUTE(SUBSTITUTE(SUBSTITUTE(TRIM($W1927),"-",""),".",""),"/","")," ",""),8),4),--MID(LEFT(SUBSTITUTE(SUBSTITUTE(SUBSTITUTE(SUBSTITUTE(TRIM($W1927),"-",""),".",""),"/","")," ",""),8),5,2),--MID(LEFT(SUBSTITUTE(SUBSTITUTE(SUBSTITUTE(SUBSTITUTE(TRIM($W1927),"-",""),".",""),"/","")," ",""),8),7,2)),"")))</f>
        <v/>
      </c>
      <c r="Y1927" s="32">
        <f>IF($X1927="","",INT($X1927))</f>
        <v/>
      </c>
      <c r="Z1927" s="33">
        <f>IF(OR($Y1927="",$D$6=""),"",IF(INDEX($A:$U,ROW(),$D$6)="",0,IF(ISNUMBER(INDEX($A:$U,ROW(),$D$6)),INDEX($A:$U,ROW(),$D$6),IFERROR(--SUBSTITUTE(SUBSTITUTE(TRIM(INDEX($A:$U,ROW(),$D$6)),",",""),"원",""),0))))</f>
        <v/>
      </c>
      <c r="AA1927" s="31">
        <f>IF($Y1927="","",TRIM(INDEX($A:$U,ROW(),$E$6)&amp;IF($F$6="",""," "&amp;INDEX($A:$U,ROW(),$F$6))))</f>
        <v/>
      </c>
      <c r="AB1927" s="31">
        <f>IF($AA1927="","",SUBSTITUTE(SUBSTITUTE(SUBSTITUTE(SUBSTITUTE(SUBSTITUTE(SUBSTITUTE(SUBSTITUTE(SUBSTITUTE(SUBSTITUTE($AA1927," ",""),"　",""),"(주)",""),"（주）",""),"㈜",""),"주식회사",""),"(유)",""),"（유）",""),"유한회사",""))</f>
        <v/>
      </c>
      <c r="AC1927" s="31">
        <f>IF(OR($Y1927="",N($Z1927)&lt;=0,$AB1927=""),0,IFERROR(LOOKUP(2,1/((거래처별!$AC$8:$AC$307&lt;&gt;"")*ISNUMBER(SEARCH(거래처별!$AC$8:$AC$307,$AB1927))),거래처별!$A$8:$A$307),IFERROR(LOOKUP(2,1/((거래처별!$AD$8:$AD$307&lt;&gt;"")*ISNUMBER(SEARCH(거래처별!$AD$8:$AD$307,$AB1927))),거래처별!$A$8:$A$307),IFERROR(LOOKUP(2,1/((거래처별!$AE$8:$AE$307&lt;&gt;"")*ISNUMBER(SEARCH(거래처별!$AE$8:$AE$307,$AB1927))),거래처별!$A$8:$A$307),0))))</f>
        <v/>
      </c>
      <c r="AD1927" s="31">
        <f>IF(AND($Y1927&lt;&gt;"",N($Z1927)&gt;0,$AC1927=0),MAX($AD$7:$AD1926)+1,"")</f>
        <v/>
      </c>
      <c r="AE1927" s="31">
        <f>IF($Y1927="",0,$Y1927)</f>
        <v/>
      </c>
    </row>
    <row r="1928">
      <c r="W1928" s="31">
        <f>IF(OR($B$5="",$C$6="",ROW()&lt;$B$5),"",IF(INDEX($A:$U,ROW(),$C$6)="","",INDEX($A:$U,ROW(),$C$6)))</f>
        <v/>
      </c>
      <c r="X1928" s="32">
        <f>IF($W1928="","",IF(ISNUMBER($W1928),IF($W1928&gt;=10000000,IFERROR(DATE(INT($W1928/10000),MOD(INT($W1928/100),100),MOD($W1928,100)),""),INT($W1928)),IFERROR(DATE(--LEFT(LEFT(SUBSTITUTE(SUBSTITUTE(SUBSTITUTE(SUBSTITUTE(TRIM($W1928),"-",""),".",""),"/","")," ",""),8),4),--MID(LEFT(SUBSTITUTE(SUBSTITUTE(SUBSTITUTE(SUBSTITUTE(TRIM($W1928),"-",""),".",""),"/","")," ",""),8),5,2),--MID(LEFT(SUBSTITUTE(SUBSTITUTE(SUBSTITUTE(SUBSTITUTE(TRIM($W1928),"-",""),".",""),"/","")," ",""),8),7,2)),"")))</f>
        <v/>
      </c>
      <c r="Y1928" s="32">
        <f>IF($X1928="","",INT($X1928))</f>
        <v/>
      </c>
      <c r="Z1928" s="33">
        <f>IF(OR($Y1928="",$D$6=""),"",IF(INDEX($A:$U,ROW(),$D$6)="",0,IF(ISNUMBER(INDEX($A:$U,ROW(),$D$6)),INDEX($A:$U,ROW(),$D$6),IFERROR(--SUBSTITUTE(SUBSTITUTE(TRIM(INDEX($A:$U,ROW(),$D$6)),",",""),"원",""),0))))</f>
        <v/>
      </c>
      <c r="AA1928" s="31">
        <f>IF($Y1928="","",TRIM(INDEX($A:$U,ROW(),$E$6)&amp;IF($F$6="",""," "&amp;INDEX($A:$U,ROW(),$F$6))))</f>
        <v/>
      </c>
      <c r="AB1928" s="31">
        <f>IF($AA1928="","",SUBSTITUTE(SUBSTITUTE(SUBSTITUTE(SUBSTITUTE(SUBSTITUTE(SUBSTITUTE(SUBSTITUTE(SUBSTITUTE(SUBSTITUTE($AA1928," ",""),"　",""),"(주)",""),"（주）",""),"㈜",""),"주식회사",""),"(유)",""),"（유）",""),"유한회사",""))</f>
        <v/>
      </c>
      <c r="AC1928" s="31">
        <f>IF(OR($Y1928="",N($Z1928)&lt;=0,$AB1928=""),0,IFERROR(LOOKUP(2,1/((거래처별!$AC$8:$AC$307&lt;&gt;"")*ISNUMBER(SEARCH(거래처별!$AC$8:$AC$307,$AB1928))),거래처별!$A$8:$A$307),IFERROR(LOOKUP(2,1/((거래처별!$AD$8:$AD$307&lt;&gt;"")*ISNUMBER(SEARCH(거래처별!$AD$8:$AD$307,$AB1928))),거래처별!$A$8:$A$307),IFERROR(LOOKUP(2,1/((거래처별!$AE$8:$AE$307&lt;&gt;"")*ISNUMBER(SEARCH(거래처별!$AE$8:$AE$307,$AB1928))),거래처별!$A$8:$A$307),0))))</f>
        <v/>
      </c>
      <c r="AD1928" s="31">
        <f>IF(AND($Y1928&lt;&gt;"",N($Z1928)&gt;0,$AC1928=0),MAX($AD$7:$AD1927)+1,"")</f>
        <v/>
      </c>
      <c r="AE1928" s="31">
        <f>IF($Y1928="",0,$Y1928)</f>
        <v/>
      </c>
    </row>
    <row r="1929">
      <c r="W1929" s="31">
        <f>IF(OR($B$5="",$C$6="",ROW()&lt;$B$5),"",IF(INDEX($A:$U,ROW(),$C$6)="","",INDEX($A:$U,ROW(),$C$6)))</f>
        <v/>
      </c>
      <c r="X1929" s="32">
        <f>IF($W1929="","",IF(ISNUMBER($W1929),IF($W1929&gt;=10000000,IFERROR(DATE(INT($W1929/10000),MOD(INT($W1929/100),100),MOD($W1929,100)),""),INT($W1929)),IFERROR(DATE(--LEFT(LEFT(SUBSTITUTE(SUBSTITUTE(SUBSTITUTE(SUBSTITUTE(TRIM($W1929),"-",""),".",""),"/","")," ",""),8),4),--MID(LEFT(SUBSTITUTE(SUBSTITUTE(SUBSTITUTE(SUBSTITUTE(TRIM($W1929),"-",""),".",""),"/","")," ",""),8),5,2),--MID(LEFT(SUBSTITUTE(SUBSTITUTE(SUBSTITUTE(SUBSTITUTE(TRIM($W1929),"-",""),".",""),"/","")," ",""),8),7,2)),"")))</f>
        <v/>
      </c>
      <c r="Y1929" s="32">
        <f>IF($X1929="","",INT($X1929))</f>
        <v/>
      </c>
      <c r="Z1929" s="33">
        <f>IF(OR($Y1929="",$D$6=""),"",IF(INDEX($A:$U,ROW(),$D$6)="",0,IF(ISNUMBER(INDEX($A:$U,ROW(),$D$6)),INDEX($A:$U,ROW(),$D$6),IFERROR(--SUBSTITUTE(SUBSTITUTE(TRIM(INDEX($A:$U,ROW(),$D$6)),",",""),"원",""),0))))</f>
        <v/>
      </c>
      <c r="AA1929" s="31">
        <f>IF($Y1929="","",TRIM(INDEX($A:$U,ROW(),$E$6)&amp;IF($F$6="",""," "&amp;INDEX($A:$U,ROW(),$F$6))))</f>
        <v/>
      </c>
      <c r="AB1929" s="31">
        <f>IF($AA1929="","",SUBSTITUTE(SUBSTITUTE(SUBSTITUTE(SUBSTITUTE(SUBSTITUTE(SUBSTITUTE(SUBSTITUTE(SUBSTITUTE(SUBSTITUTE($AA1929," ",""),"　",""),"(주)",""),"（주）",""),"㈜",""),"주식회사",""),"(유)",""),"（유）",""),"유한회사",""))</f>
        <v/>
      </c>
      <c r="AC1929" s="31">
        <f>IF(OR($Y1929="",N($Z1929)&lt;=0,$AB1929=""),0,IFERROR(LOOKUP(2,1/((거래처별!$AC$8:$AC$307&lt;&gt;"")*ISNUMBER(SEARCH(거래처별!$AC$8:$AC$307,$AB1929))),거래처별!$A$8:$A$307),IFERROR(LOOKUP(2,1/((거래처별!$AD$8:$AD$307&lt;&gt;"")*ISNUMBER(SEARCH(거래처별!$AD$8:$AD$307,$AB1929))),거래처별!$A$8:$A$307),IFERROR(LOOKUP(2,1/((거래처별!$AE$8:$AE$307&lt;&gt;"")*ISNUMBER(SEARCH(거래처별!$AE$8:$AE$307,$AB1929))),거래처별!$A$8:$A$307),0))))</f>
        <v/>
      </c>
      <c r="AD1929" s="31">
        <f>IF(AND($Y1929&lt;&gt;"",N($Z1929)&gt;0,$AC1929=0),MAX($AD$7:$AD1928)+1,"")</f>
        <v/>
      </c>
      <c r="AE1929" s="31">
        <f>IF($Y1929="",0,$Y1929)</f>
        <v/>
      </c>
    </row>
    <row r="1930">
      <c r="W1930" s="31">
        <f>IF(OR($B$5="",$C$6="",ROW()&lt;$B$5),"",IF(INDEX($A:$U,ROW(),$C$6)="","",INDEX($A:$U,ROW(),$C$6)))</f>
        <v/>
      </c>
      <c r="X1930" s="32">
        <f>IF($W1930="","",IF(ISNUMBER($W1930),IF($W1930&gt;=10000000,IFERROR(DATE(INT($W1930/10000),MOD(INT($W1930/100),100),MOD($W1930,100)),""),INT($W1930)),IFERROR(DATE(--LEFT(LEFT(SUBSTITUTE(SUBSTITUTE(SUBSTITUTE(SUBSTITUTE(TRIM($W1930),"-",""),".",""),"/","")," ",""),8),4),--MID(LEFT(SUBSTITUTE(SUBSTITUTE(SUBSTITUTE(SUBSTITUTE(TRIM($W1930),"-",""),".",""),"/","")," ",""),8),5,2),--MID(LEFT(SUBSTITUTE(SUBSTITUTE(SUBSTITUTE(SUBSTITUTE(TRIM($W1930),"-",""),".",""),"/","")," ",""),8),7,2)),"")))</f>
        <v/>
      </c>
      <c r="Y1930" s="32">
        <f>IF($X1930="","",INT($X1930))</f>
        <v/>
      </c>
      <c r="Z1930" s="33">
        <f>IF(OR($Y1930="",$D$6=""),"",IF(INDEX($A:$U,ROW(),$D$6)="",0,IF(ISNUMBER(INDEX($A:$U,ROW(),$D$6)),INDEX($A:$U,ROW(),$D$6),IFERROR(--SUBSTITUTE(SUBSTITUTE(TRIM(INDEX($A:$U,ROW(),$D$6)),",",""),"원",""),0))))</f>
        <v/>
      </c>
      <c r="AA1930" s="31">
        <f>IF($Y1930="","",TRIM(INDEX($A:$U,ROW(),$E$6)&amp;IF($F$6="",""," "&amp;INDEX($A:$U,ROW(),$F$6))))</f>
        <v/>
      </c>
      <c r="AB1930" s="31">
        <f>IF($AA1930="","",SUBSTITUTE(SUBSTITUTE(SUBSTITUTE(SUBSTITUTE(SUBSTITUTE(SUBSTITUTE(SUBSTITUTE(SUBSTITUTE(SUBSTITUTE($AA1930," ",""),"　",""),"(주)",""),"（주）",""),"㈜",""),"주식회사",""),"(유)",""),"（유）",""),"유한회사",""))</f>
        <v/>
      </c>
      <c r="AC1930" s="31">
        <f>IF(OR($Y1930="",N($Z1930)&lt;=0,$AB1930=""),0,IFERROR(LOOKUP(2,1/((거래처별!$AC$8:$AC$307&lt;&gt;"")*ISNUMBER(SEARCH(거래처별!$AC$8:$AC$307,$AB1930))),거래처별!$A$8:$A$307),IFERROR(LOOKUP(2,1/((거래처별!$AD$8:$AD$307&lt;&gt;"")*ISNUMBER(SEARCH(거래처별!$AD$8:$AD$307,$AB1930))),거래처별!$A$8:$A$307),IFERROR(LOOKUP(2,1/((거래처별!$AE$8:$AE$307&lt;&gt;"")*ISNUMBER(SEARCH(거래처별!$AE$8:$AE$307,$AB1930))),거래처별!$A$8:$A$307),0))))</f>
        <v/>
      </c>
      <c r="AD1930" s="31">
        <f>IF(AND($Y1930&lt;&gt;"",N($Z1930)&gt;0,$AC1930=0),MAX($AD$7:$AD1929)+1,"")</f>
        <v/>
      </c>
      <c r="AE1930" s="31">
        <f>IF($Y1930="",0,$Y1930)</f>
        <v/>
      </c>
    </row>
    <row r="1931">
      <c r="W1931" s="31">
        <f>IF(OR($B$5="",$C$6="",ROW()&lt;$B$5),"",IF(INDEX($A:$U,ROW(),$C$6)="","",INDEX($A:$U,ROW(),$C$6)))</f>
        <v/>
      </c>
      <c r="X1931" s="32">
        <f>IF($W1931="","",IF(ISNUMBER($W1931),IF($W1931&gt;=10000000,IFERROR(DATE(INT($W1931/10000),MOD(INT($W1931/100),100),MOD($W1931,100)),""),INT($W1931)),IFERROR(DATE(--LEFT(LEFT(SUBSTITUTE(SUBSTITUTE(SUBSTITUTE(SUBSTITUTE(TRIM($W1931),"-",""),".",""),"/","")," ",""),8),4),--MID(LEFT(SUBSTITUTE(SUBSTITUTE(SUBSTITUTE(SUBSTITUTE(TRIM($W1931),"-",""),".",""),"/","")," ",""),8),5,2),--MID(LEFT(SUBSTITUTE(SUBSTITUTE(SUBSTITUTE(SUBSTITUTE(TRIM($W1931),"-",""),".",""),"/","")," ",""),8),7,2)),"")))</f>
        <v/>
      </c>
      <c r="Y1931" s="32">
        <f>IF($X1931="","",INT($X1931))</f>
        <v/>
      </c>
      <c r="Z1931" s="33">
        <f>IF(OR($Y1931="",$D$6=""),"",IF(INDEX($A:$U,ROW(),$D$6)="",0,IF(ISNUMBER(INDEX($A:$U,ROW(),$D$6)),INDEX($A:$U,ROW(),$D$6),IFERROR(--SUBSTITUTE(SUBSTITUTE(TRIM(INDEX($A:$U,ROW(),$D$6)),",",""),"원",""),0))))</f>
        <v/>
      </c>
      <c r="AA1931" s="31">
        <f>IF($Y1931="","",TRIM(INDEX($A:$U,ROW(),$E$6)&amp;IF($F$6="",""," "&amp;INDEX($A:$U,ROW(),$F$6))))</f>
        <v/>
      </c>
      <c r="AB1931" s="31">
        <f>IF($AA1931="","",SUBSTITUTE(SUBSTITUTE(SUBSTITUTE(SUBSTITUTE(SUBSTITUTE(SUBSTITUTE(SUBSTITUTE(SUBSTITUTE(SUBSTITUTE($AA1931," ",""),"　",""),"(주)",""),"（주）",""),"㈜",""),"주식회사",""),"(유)",""),"（유）",""),"유한회사",""))</f>
        <v/>
      </c>
      <c r="AC1931" s="31">
        <f>IF(OR($Y1931="",N($Z1931)&lt;=0,$AB1931=""),0,IFERROR(LOOKUP(2,1/((거래처별!$AC$8:$AC$307&lt;&gt;"")*ISNUMBER(SEARCH(거래처별!$AC$8:$AC$307,$AB1931))),거래처별!$A$8:$A$307),IFERROR(LOOKUP(2,1/((거래처별!$AD$8:$AD$307&lt;&gt;"")*ISNUMBER(SEARCH(거래처별!$AD$8:$AD$307,$AB1931))),거래처별!$A$8:$A$307),IFERROR(LOOKUP(2,1/((거래처별!$AE$8:$AE$307&lt;&gt;"")*ISNUMBER(SEARCH(거래처별!$AE$8:$AE$307,$AB1931))),거래처별!$A$8:$A$307),0))))</f>
        <v/>
      </c>
      <c r="AD1931" s="31">
        <f>IF(AND($Y1931&lt;&gt;"",N($Z1931)&gt;0,$AC1931=0),MAX($AD$7:$AD1930)+1,"")</f>
        <v/>
      </c>
      <c r="AE1931" s="31">
        <f>IF($Y1931="",0,$Y1931)</f>
        <v/>
      </c>
    </row>
    <row r="1932">
      <c r="W1932" s="31">
        <f>IF(OR($B$5="",$C$6="",ROW()&lt;$B$5),"",IF(INDEX($A:$U,ROW(),$C$6)="","",INDEX($A:$U,ROW(),$C$6)))</f>
        <v/>
      </c>
      <c r="X1932" s="32">
        <f>IF($W1932="","",IF(ISNUMBER($W1932),IF($W1932&gt;=10000000,IFERROR(DATE(INT($W1932/10000),MOD(INT($W1932/100),100),MOD($W1932,100)),""),INT($W1932)),IFERROR(DATE(--LEFT(LEFT(SUBSTITUTE(SUBSTITUTE(SUBSTITUTE(SUBSTITUTE(TRIM($W1932),"-",""),".",""),"/","")," ",""),8),4),--MID(LEFT(SUBSTITUTE(SUBSTITUTE(SUBSTITUTE(SUBSTITUTE(TRIM($W1932),"-",""),".",""),"/","")," ",""),8),5,2),--MID(LEFT(SUBSTITUTE(SUBSTITUTE(SUBSTITUTE(SUBSTITUTE(TRIM($W1932),"-",""),".",""),"/","")," ",""),8),7,2)),"")))</f>
        <v/>
      </c>
      <c r="Y1932" s="32">
        <f>IF($X1932="","",INT($X1932))</f>
        <v/>
      </c>
      <c r="Z1932" s="33">
        <f>IF(OR($Y1932="",$D$6=""),"",IF(INDEX($A:$U,ROW(),$D$6)="",0,IF(ISNUMBER(INDEX($A:$U,ROW(),$D$6)),INDEX($A:$U,ROW(),$D$6),IFERROR(--SUBSTITUTE(SUBSTITUTE(TRIM(INDEX($A:$U,ROW(),$D$6)),",",""),"원",""),0))))</f>
        <v/>
      </c>
      <c r="AA1932" s="31">
        <f>IF($Y1932="","",TRIM(INDEX($A:$U,ROW(),$E$6)&amp;IF($F$6="",""," "&amp;INDEX($A:$U,ROW(),$F$6))))</f>
        <v/>
      </c>
      <c r="AB1932" s="31">
        <f>IF($AA1932="","",SUBSTITUTE(SUBSTITUTE(SUBSTITUTE(SUBSTITUTE(SUBSTITUTE(SUBSTITUTE(SUBSTITUTE(SUBSTITUTE(SUBSTITUTE($AA1932," ",""),"　",""),"(주)",""),"（주）",""),"㈜",""),"주식회사",""),"(유)",""),"（유）",""),"유한회사",""))</f>
        <v/>
      </c>
      <c r="AC1932" s="31">
        <f>IF(OR($Y1932="",N($Z1932)&lt;=0,$AB1932=""),0,IFERROR(LOOKUP(2,1/((거래처별!$AC$8:$AC$307&lt;&gt;"")*ISNUMBER(SEARCH(거래처별!$AC$8:$AC$307,$AB1932))),거래처별!$A$8:$A$307),IFERROR(LOOKUP(2,1/((거래처별!$AD$8:$AD$307&lt;&gt;"")*ISNUMBER(SEARCH(거래처별!$AD$8:$AD$307,$AB1932))),거래처별!$A$8:$A$307),IFERROR(LOOKUP(2,1/((거래처별!$AE$8:$AE$307&lt;&gt;"")*ISNUMBER(SEARCH(거래처별!$AE$8:$AE$307,$AB1932))),거래처별!$A$8:$A$307),0))))</f>
        <v/>
      </c>
      <c r="AD1932" s="31">
        <f>IF(AND($Y1932&lt;&gt;"",N($Z1932)&gt;0,$AC1932=0),MAX($AD$7:$AD1931)+1,"")</f>
        <v/>
      </c>
      <c r="AE1932" s="31">
        <f>IF($Y1932="",0,$Y1932)</f>
        <v/>
      </c>
    </row>
    <row r="1933">
      <c r="W1933" s="31">
        <f>IF(OR($B$5="",$C$6="",ROW()&lt;$B$5),"",IF(INDEX($A:$U,ROW(),$C$6)="","",INDEX($A:$U,ROW(),$C$6)))</f>
        <v/>
      </c>
      <c r="X1933" s="32">
        <f>IF($W1933="","",IF(ISNUMBER($W1933),IF($W1933&gt;=10000000,IFERROR(DATE(INT($W1933/10000),MOD(INT($W1933/100),100),MOD($W1933,100)),""),INT($W1933)),IFERROR(DATE(--LEFT(LEFT(SUBSTITUTE(SUBSTITUTE(SUBSTITUTE(SUBSTITUTE(TRIM($W1933),"-",""),".",""),"/","")," ",""),8),4),--MID(LEFT(SUBSTITUTE(SUBSTITUTE(SUBSTITUTE(SUBSTITUTE(TRIM($W1933),"-",""),".",""),"/","")," ",""),8),5,2),--MID(LEFT(SUBSTITUTE(SUBSTITUTE(SUBSTITUTE(SUBSTITUTE(TRIM($W1933),"-",""),".",""),"/","")," ",""),8),7,2)),"")))</f>
        <v/>
      </c>
      <c r="Y1933" s="32">
        <f>IF($X1933="","",INT($X1933))</f>
        <v/>
      </c>
      <c r="Z1933" s="33">
        <f>IF(OR($Y1933="",$D$6=""),"",IF(INDEX($A:$U,ROW(),$D$6)="",0,IF(ISNUMBER(INDEX($A:$U,ROW(),$D$6)),INDEX($A:$U,ROW(),$D$6),IFERROR(--SUBSTITUTE(SUBSTITUTE(TRIM(INDEX($A:$U,ROW(),$D$6)),",",""),"원",""),0))))</f>
        <v/>
      </c>
      <c r="AA1933" s="31">
        <f>IF($Y1933="","",TRIM(INDEX($A:$U,ROW(),$E$6)&amp;IF($F$6="",""," "&amp;INDEX($A:$U,ROW(),$F$6))))</f>
        <v/>
      </c>
      <c r="AB1933" s="31">
        <f>IF($AA1933="","",SUBSTITUTE(SUBSTITUTE(SUBSTITUTE(SUBSTITUTE(SUBSTITUTE(SUBSTITUTE(SUBSTITUTE(SUBSTITUTE(SUBSTITUTE($AA1933," ",""),"　",""),"(주)",""),"（주）",""),"㈜",""),"주식회사",""),"(유)",""),"（유）",""),"유한회사",""))</f>
        <v/>
      </c>
      <c r="AC1933" s="31">
        <f>IF(OR($Y1933="",N($Z1933)&lt;=0,$AB1933=""),0,IFERROR(LOOKUP(2,1/((거래처별!$AC$8:$AC$307&lt;&gt;"")*ISNUMBER(SEARCH(거래처별!$AC$8:$AC$307,$AB1933))),거래처별!$A$8:$A$307),IFERROR(LOOKUP(2,1/((거래처별!$AD$8:$AD$307&lt;&gt;"")*ISNUMBER(SEARCH(거래처별!$AD$8:$AD$307,$AB1933))),거래처별!$A$8:$A$307),IFERROR(LOOKUP(2,1/((거래처별!$AE$8:$AE$307&lt;&gt;"")*ISNUMBER(SEARCH(거래처별!$AE$8:$AE$307,$AB1933))),거래처별!$A$8:$A$307),0))))</f>
        <v/>
      </c>
      <c r="AD1933" s="31">
        <f>IF(AND($Y1933&lt;&gt;"",N($Z1933)&gt;0,$AC1933=0),MAX($AD$7:$AD1932)+1,"")</f>
        <v/>
      </c>
      <c r="AE1933" s="31">
        <f>IF($Y1933="",0,$Y1933)</f>
        <v/>
      </c>
    </row>
    <row r="1934">
      <c r="W1934" s="31">
        <f>IF(OR($B$5="",$C$6="",ROW()&lt;$B$5),"",IF(INDEX($A:$U,ROW(),$C$6)="","",INDEX($A:$U,ROW(),$C$6)))</f>
        <v/>
      </c>
      <c r="X1934" s="32">
        <f>IF($W1934="","",IF(ISNUMBER($W1934),IF($W1934&gt;=10000000,IFERROR(DATE(INT($W1934/10000),MOD(INT($W1934/100),100),MOD($W1934,100)),""),INT($W1934)),IFERROR(DATE(--LEFT(LEFT(SUBSTITUTE(SUBSTITUTE(SUBSTITUTE(SUBSTITUTE(TRIM($W1934),"-",""),".",""),"/","")," ",""),8),4),--MID(LEFT(SUBSTITUTE(SUBSTITUTE(SUBSTITUTE(SUBSTITUTE(TRIM($W1934),"-",""),".",""),"/","")," ",""),8),5,2),--MID(LEFT(SUBSTITUTE(SUBSTITUTE(SUBSTITUTE(SUBSTITUTE(TRIM($W1934),"-",""),".",""),"/","")," ",""),8),7,2)),"")))</f>
        <v/>
      </c>
      <c r="Y1934" s="32">
        <f>IF($X1934="","",INT($X1934))</f>
        <v/>
      </c>
      <c r="Z1934" s="33">
        <f>IF(OR($Y1934="",$D$6=""),"",IF(INDEX($A:$U,ROW(),$D$6)="",0,IF(ISNUMBER(INDEX($A:$U,ROW(),$D$6)),INDEX($A:$U,ROW(),$D$6),IFERROR(--SUBSTITUTE(SUBSTITUTE(TRIM(INDEX($A:$U,ROW(),$D$6)),",",""),"원",""),0))))</f>
        <v/>
      </c>
      <c r="AA1934" s="31">
        <f>IF($Y1934="","",TRIM(INDEX($A:$U,ROW(),$E$6)&amp;IF($F$6="",""," "&amp;INDEX($A:$U,ROW(),$F$6))))</f>
        <v/>
      </c>
      <c r="AB1934" s="31">
        <f>IF($AA1934="","",SUBSTITUTE(SUBSTITUTE(SUBSTITUTE(SUBSTITUTE(SUBSTITUTE(SUBSTITUTE(SUBSTITUTE(SUBSTITUTE(SUBSTITUTE($AA1934," ",""),"　",""),"(주)",""),"（주）",""),"㈜",""),"주식회사",""),"(유)",""),"（유）",""),"유한회사",""))</f>
        <v/>
      </c>
      <c r="AC1934" s="31">
        <f>IF(OR($Y1934="",N($Z1934)&lt;=0,$AB1934=""),0,IFERROR(LOOKUP(2,1/((거래처별!$AC$8:$AC$307&lt;&gt;"")*ISNUMBER(SEARCH(거래처별!$AC$8:$AC$307,$AB1934))),거래처별!$A$8:$A$307),IFERROR(LOOKUP(2,1/((거래처별!$AD$8:$AD$307&lt;&gt;"")*ISNUMBER(SEARCH(거래처별!$AD$8:$AD$307,$AB1934))),거래처별!$A$8:$A$307),IFERROR(LOOKUP(2,1/((거래처별!$AE$8:$AE$307&lt;&gt;"")*ISNUMBER(SEARCH(거래처별!$AE$8:$AE$307,$AB1934))),거래처별!$A$8:$A$307),0))))</f>
        <v/>
      </c>
      <c r="AD1934" s="31">
        <f>IF(AND($Y1934&lt;&gt;"",N($Z1934)&gt;0,$AC1934=0),MAX($AD$7:$AD1933)+1,"")</f>
        <v/>
      </c>
      <c r="AE1934" s="31">
        <f>IF($Y1934="",0,$Y1934)</f>
        <v/>
      </c>
    </row>
    <row r="1935">
      <c r="W1935" s="31">
        <f>IF(OR($B$5="",$C$6="",ROW()&lt;$B$5),"",IF(INDEX($A:$U,ROW(),$C$6)="","",INDEX($A:$U,ROW(),$C$6)))</f>
        <v/>
      </c>
      <c r="X1935" s="32">
        <f>IF($W1935="","",IF(ISNUMBER($W1935),IF($W1935&gt;=10000000,IFERROR(DATE(INT($W1935/10000),MOD(INT($W1935/100),100),MOD($W1935,100)),""),INT($W1935)),IFERROR(DATE(--LEFT(LEFT(SUBSTITUTE(SUBSTITUTE(SUBSTITUTE(SUBSTITUTE(TRIM($W1935),"-",""),".",""),"/","")," ",""),8),4),--MID(LEFT(SUBSTITUTE(SUBSTITUTE(SUBSTITUTE(SUBSTITUTE(TRIM($W1935),"-",""),".",""),"/","")," ",""),8),5,2),--MID(LEFT(SUBSTITUTE(SUBSTITUTE(SUBSTITUTE(SUBSTITUTE(TRIM($W1935),"-",""),".",""),"/","")," ",""),8),7,2)),"")))</f>
        <v/>
      </c>
      <c r="Y1935" s="32">
        <f>IF($X1935="","",INT($X1935))</f>
        <v/>
      </c>
      <c r="Z1935" s="33">
        <f>IF(OR($Y1935="",$D$6=""),"",IF(INDEX($A:$U,ROW(),$D$6)="",0,IF(ISNUMBER(INDEX($A:$U,ROW(),$D$6)),INDEX($A:$U,ROW(),$D$6),IFERROR(--SUBSTITUTE(SUBSTITUTE(TRIM(INDEX($A:$U,ROW(),$D$6)),",",""),"원",""),0))))</f>
        <v/>
      </c>
      <c r="AA1935" s="31">
        <f>IF($Y1935="","",TRIM(INDEX($A:$U,ROW(),$E$6)&amp;IF($F$6="",""," "&amp;INDEX($A:$U,ROW(),$F$6))))</f>
        <v/>
      </c>
      <c r="AB1935" s="31">
        <f>IF($AA1935="","",SUBSTITUTE(SUBSTITUTE(SUBSTITUTE(SUBSTITUTE(SUBSTITUTE(SUBSTITUTE(SUBSTITUTE(SUBSTITUTE(SUBSTITUTE($AA1935," ",""),"　",""),"(주)",""),"（주）",""),"㈜",""),"주식회사",""),"(유)",""),"（유）",""),"유한회사",""))</f>
        <v/>
      </c>
      <c r="AC1935" s="31">
        <f>IF(OR($Y1935="",N($Z1935)&lt;=0,$AB1935=""),0,IFERROR(LOOKUP(2,1/((거래처별!$AC$8:$AC$307&lt;&gt;"")*ISNUMBER(SEARCH(거래처별!$AC$8:$AC$307,$AB1935))),거래처별!$A$8:$A$307),IFERROR(LOOKUP(2,1/((거래처별!$AD$8:$AD$307&lt;&gt;"")*ISNUMBER(SEARCH(거래처별!$AD$8:$AD$307,$AB1935))),거래처별!$A$8:$A$307),IFERROR(LOOKUP(2,1/((거래처별!$AE$8:$AE$307&lt;&gt;"")*ISNUMBER(SEARCH(거래처별!$AE$8:$AE$307,$AB1935))),거래처별!$A$8:$A$307),0))))</f>
        <v/>
      </c>
      <c r="AD1935" s="31">
        <f>IF(AND($Y1935&lt;&gt;"",N($Z1935)&gt;0,$AC1935=0),MAX($AD$7:$AD1934)+1,"")</f>
        <v/>
      </c>
      <c r="AE1935" s="31">
        <f>IF($Y1935="",0,$Y1935)</f>
        <v/>
      </c>
    </row>
    <row r="1936">
      <c r="W1936" s="31">
        <f>IF(OR($B$5="",$C$6="",ROW()&lt;$B$5),"",IF(INDEX($A:$U,ROW(),$C$6)="","",INDEX($A:$U,ROW(),$C$6)))</f>
        <v/>
      </c>
      <c r="X1936" s="32">
        <f>IF($W1936="","",IF(ISNUMBER($W1936),IF($W1936&gt;=10000000,IFERROR(DATE(INT($W1936/10000),MOD(INT($W1936/100),100),MOD($W1936,100)),""),INT($W1936)),IFERROR(DATE(--LEFT(LEFT(SUBSTITUTE(SUBSTITUTE(SUBSTITUTE(SUBSTITUTE(TRIM($W1936),"-",""),".",""),"/","")," ",""),8),4),--MID(LEFT(SUBSTITUTE(SUBSTITUTE(SUBSTITUTE(SUBSTITUTE(TRIM($W1936),"-",""),".",""),"/","")," ",""),8),5,2),--MID(LEFT(SUBSTITUTE(SUBSTITUTE(SUBSTITUTE(SUBSTITUTE(TRIM($W1936),"-",""),".",""),"/","")," ",""),8),7,2)),"")))</f>
        <v/>
      </c>
      <c r="Y1936" s="32">
        <f>IF($X1936="","",INT($X1936))</f>
        <v/>
      </c>
      <c r="Z1936" s="33">
        <f>IF(OR($Y1936="",$D$6=""),"",IF(INDEX($A:$U,ROW(),$D$6)="",0,IF(ISNUMBER(INDEX($A:$U,ROW(),$D$6)),INDEX($A:$U,ROW(),$D$6),IFERROR(--SUBSTITUTE(SUBSTITUTE(TRIM(INDEX($A:$U,ROW(),$D$6)),",",""),"원",""),0))))</f>
        <v/>
      </c>
      <c r="AA1936" s="31">
        <f>IF($Y1936="","",TRIM(INDEX($A:$U,ROW(),$E$6)&amp;IF($F$6="",""," "&amp;INDEX($A:$U,ROW(),$F$6))))</f>
        <v/>
      </c>
      <c r="AB1936" s="31">
        <f>IF($AA1936="","",SUBSTITUTE(SUBSTITUTE(SUBSTITUTE(SUBSTITUTE(SUBSTITUTE(SUBSTITUTE(SUBSTITUTE(SUBSTITUTE(SUBSTITUTE($AA1936," ",""),"　",""),"(주)",""),"（주）",""),"㈜",""),"주식회사",""),"(유)",""),"（유）",""),"유한회사",""))</f>
        <v/>
      </c>
      <c r="AC1936" s="31">
        <f>IF(OR($Y1936="",N($Z1936)&lt;=0,$AB1936=""),0,IFERROR(LOOKUP(2,1/((거래처별!$AC$8:$AC$307&lt;&gt;"")*ISNUMBER(SEARCH(거래처별!$AC$8:$AC$307,$AB1936))),거래처별!$A$8:$A$307),IFERROR(LOOKUP(2,1/((거래처별!$AD$8:$AD$307&lt;&gt;"")*ISNUMBER(SEARCH(거래처별!$AD$8:$AD$307,$AB1936))),거래처별!$A$8:$A$307),IFERROR(LOOKUP(2,1/((거래처별!$AE$8:$AE$307&lt;&gt;"")*ISNUMBER(SEARCH(거래처별!$AE$8:$AE$307,$AB1936))),거래처별!$A$8:$A$307),0))))</f>
        <v/>
      </c>
      <c r="AD1936" s="31">
        <f>IF(AND($Y1936&lt;&gt;"",N($Z1936)&gt;0,$AC1936=0),MAX($AD$7:$AD1935)+1,"")</f>
        <v/>
      </c>
      <c r="AE1936" s="31">
        <f>IF($Y1936="",0,$Y1936)</f>
        <v/>
      </c>
    </row>
    <row r="1937">
      <c r="W1937" s="31">
        <f>IF(OR($B$5="",$C$6="",ROW()&lt;$B$5),"",IF(INDEX($A:$U,ROW(),$C$6)="","",INDEX($A:$U,ROW(),$C$6)))</f>
        <v/>
      </c>
      <c r="X1937" s="32">
        <f>IF($W1937="","",IF(ISNUMBER($W1937),IF($W1937&gt;=10000000,IFERROR(DATE(INT($W1937/10000),MOD(INT($W1937/100),100),MOD($W1937,100)),""),INT($W1937)),IFERROR(DATE(--LEFT(LEFT(SUBSTITUTE(SUBSTITUTE(SUBSTITUTE(SUBSTITUTE(TRIM($W1937),"-",""),".",""),"/","")," ",""),8),4),--MID(LEFT(SUBSTITUTE(SUBSTITUTE(SUBSTITUTE(SUBSTITUTE(TRIM($W1937),"-",""),".",""),"/","")," ",""),8),5,2),--MID(LEFT(SUBSTITUTE(SUBSTITUTE(SUBSTITUTE(SUBSTITUTE(TRIM($W1937),"-",""),".",""),"/","")," ",""),8),7,2)),"")))</f>
        <v/>
      </c>
      <c r="Y1937" s="32">
        <f>IF($X1937="","",INT($X1937))</f>
        <v/>
      </c>
      <c r="Z1937" s="33">
        <f>IF(OR($Y1937="",$D$6=""),"",IF(INDEX($A:$U,ROW(),$D$6)="",0,IF(ISNUMBER(INDEX($A:$U,ROW(),$D$6)),INDEX($A:$U,ROW(),$D$6),IFERROR(--SUBSTITUTE(SUBSTITUTE(TRIM(INDEX($A:$U,ROW(),$D$6)),",",""),"원",""),0))))</f>
        <v/>
      </c>
      <c r="AA1937" s="31">
        <f>IF($Y1937="","",TRIM(INDEX($A:$U,ROW(),$E$6)&amp;IF($F$6="",""," "&amp;INDEX($A:$U,ROW(),$F$6))))</f>
        <v/>
      </c>
      <c r="AB1937" s="31">
        <f>IF($AA1937="","",SUBSTITUTE(SUBSTITUTE(SUBSTITUTE(SUBSTITUTE(SUBSTITUTE(SUBSTITUTE(SUBSTITUTE(SUBSTITUTE(SUBSTITUTE($AA1937," ",""),"　",""),"(주)",""),"（주）",""),"㈜",""),"주식회사",""),"(유)",""),"（유）",""),"유한회사",""))</f>
        <v/>
      </c>
      <c r="AC1937" s="31">
        <f>IF(OR($Y1937="",N($Z1937)&lt;=0,$AB1937=""),0,IFERROR(LOOKUP(2,1/((거래처별!$AC$8:$AC$307&lt;&gt;"")*ISNUMBER(SEARCH(거래처별!$AC$8:$AC$307,$AB1937))),거래처별!$A$8:$A$307),IFERROR(LOOKUP(2,1/((거래처별!$AD$8:$AD$307&lt;&gt;"")*ISNUMBER(SEARCH(거래처별!$AD$8:$AD$307,$AB1937))),거래처별!$A$8:$A$307),IFERROR(LOOKUP(2,1/((거래처별!$AE$8:$AE$307&lt;&gt;"")*ISNUMBER(SEARCH(거래처별!$AE$8:$AE$307,$AB1937))),거래처별!$A$8:$A$307),0))))</f>
        <v/>
      </c>
      <c r="AD1937" s="31">
        <f>IF(AND($Y1937&lt;&gt;"",N($Z1937)&gt;0,$AC1937=0),MAX($AD$7:$AD1936)+1,"")</f>
        <v/>
      </c>
      <c r="AE1937" s="31">
        <f>IF($Y1937="",0,$Y1937)</f>
        <v/>
      </c>
    </row>
    <row r="1938">
      <c r="W1938" s="31">
        <f>IF(OR($B$5="",$C$6="",ROW()&lt;$B$5),"",IF(INDEX($A:$U,ROW(),$C$6)="","",INDEX($A:$U,ROW(),$C$6)))</f>
        <v/>
      </c>
      <c r="X1938" s="32">
        <f>IF($W1938="","",IF(ISNUMBER($W1938),IF($W1938&gt;=10000000,IFERROR(DATE(INT($W1938/10000),MOD(INT($W1938/100),100),MOD($W1938,100)),""),INT($W1938)),IFERROR(DATE(--LEFT(LEFT(SUBSTITUTE(SUBSTITUTE(SUBSTITUTE(SUBSTITUTE(TRIM($W1938),"-",""),".",""),"/","")," ",""),8),4),--MID(LEFT(SUBSTITUTE(SUBSTITUTE(SUBSTITUTE(SUBSTITUTE(TRIM($W1938),"-",""),".",""),"/","")," ",""),8),5,2),--MID(LEFT(SUBSTITUTE(SUBSTITUTE(SUBSTITUTE(SUBSTITUTE(TRIM($W1938),"-",""),".",""),"/","")," ",""),8),7,2)),"")))</f>
        <v/>
      </c>
      <c r="Y1938" s="32">
        <f>IF($X1938="","",INT($X1938))</f>
        <v/>
      </c>
      <c r="Z1938" s="33">
        <f>IF(OR($Y1938="",$D$6=""),"",IF(INDEX($A:$U,ROW(),$D$6)="",0,IF(ISNUMBER(INDEX($A:$U,ROW(),$D$6)),INDEX($A:$U,ROW(),$D$6),IFERROR(--SUBSTITUTE(SUBSTITUTE(TRIM(INDEX($A:$U,ROW(),$D$6)),",",""),"원",""),0))))</f>
        <v/>
      </c>
      <c r="AA1938" s="31">
        <f>IF($Y1938="","",TRIM(INDEX($A:$U,ROW(),$E$6)&amp;IF($F$6="",""," "&amp;INDEX($A:$U,ROW(),$F$6))))</f>
        <v/>
      </c>
      <c r="AB1938" s="31">
        <f>IF($AA1938="","",SUBSTITUTE(SUBSTITUTE(SUBSTITUTE(SUBSTITUTE(SUBSTITUTE(SUBSTITUTE(SUBSTITUTE(SUBSTITUTE(SUBSTITUTE($AA1938," ",""),"　",""),"(주)",""),"（주）",""),"㈜",""),"주식회사",""),"(유)",""),"（유）",""),"유한회사",""))</f>
        <v/>
      </c>
      <c r="AC1938" s="31">
        <f>IF(OR($Y1938="",N($Z1938)&lt;=0,$AB1938=""),0,IFERROR(LOOKUP(2,1/((거래처별!$AC$8:$AC$307&lt;&gt;"")*ISNUMBER(SEARCH(거래처별!$AC$8:$AC$307,$AB1938))),거래처별!$A$8:$A$307),IFERROR(LOOKUP(2,1/((거래처별!$AD$8:$AD$307&lt;&gt;"")*ISNUMBER(SEARCH(거래처별!$AD$8:$AD$307,$AB1938))),거래처별!$A$8:$A$307),IFERROR(LOOKUP(2,1/((거래처별!$AE$8:$AE$307&lt;&gt;"")*ISNUMBER(SEARCH(거래처별!$AE$8:$AE$307,$AB1938))),거래처별!$A$8:$A$307),0))))</f>
        <v/>
      </c>
      <c r="AD1938" s="31">
        <f>IF(AND($Y1938&lt;&gt;"",N($Z1938)&gt;0,$AC1938=0),MAX($AD$7:$AD1937)+1,"")</f>
        <v/>
      </c>
      <c r="AE1938" s="31">
        <f>IF($Y1938="",0,$Y1938)</f>
        <v/>
      </c>
    </row>
    <row r="1939">
      <c r="W1939" s="31">
        <f>IF(OR($B$5="",$C$6="",ROW()&lt;$B$5),"",IF(INDEX($A:$U,ROW(),$C$6)="","",INDEX($A:$U,ROW(),$C$6)))</f>
        <v/>
      </c>
      <c r="X1939" s="32">
        <f>IF($W1939="","",IF(ISNUMBER($W1939),IF($W1939&gt;=10000000,IFERROR(DATE(INT($W1939/10000),MOD(INT($W1939/100),100),MOD($W1939,100)),""),INT($W1939)),IFERROR(DATE(--LEFT(LEFT(SUBSTITUTE(SUBSTITUTE(SUBSTITUTE(SUBSTITUTE(TRIM($W1939),"-",""),".",""),"/","")," ",""),8),4),--MID(LEFT(SUBSTITUTE(SUBSTITUTE(SUBSTITUTE(SUBSTITUTE(TRIM($W1939),"-",""),".",""),"/","")," ",""),8),5,2),--MID(LEFT(SUBSTITUTE(SUBSTITUTE(SUBSTITUTE(SUBSTITUTE(TRIM($W1939),"-",""),".",""),"/","")," ",""),8),7,2)),"")))</f>
        <v/>
      </c>
      <c r="Y1939" s="32">
        <f>IF($X1939="","",INT($X1939))</f>
        <v/>
      </c>
      <c r="Z1939" s="33">
        <f>IF(OR($Y1939="",$D$6=""),"",IF(INDEX($A:$U,ROW(),$D$6)="",0,IF(ISNUMBER(INDEX($A:$U,ROW(),$D$6)),INDEX($A:$U,ROW(),$D$6),IFERROR(--SUBSTITUTE(SUBSTITUTE(TRIM(INDEX($A:$U,ROW(),$D$6)),",",""),"원",""),0))))</f>
        <v/>
      </c>
      <c r="AA1939" s="31">
        <f>IF($Y1939="","",TRIM(INDEX($A:$U,ROW(),$E$6)&amp;IF($F$6="",""," "&amp;INDEX($A:$U,ROW(),$F$6))))</f>
        <v/>
      </c>
      <c r="AB1939" s="31">
        <f>IF($AA1939="","",SUBSTITUTE(SUBSTITUTE(SUBSTITUTE(SUBSTITUTE(SUBSTITUTE(SUBSTITUTE(SUBSTITUTE(SUBSTITUTE(SUBSTITUTE($AA1939," ",""),"　",""),"(주)",""),"（주）",""),"㈜",""),"주식회사",""),"(유)",""),"（유）",""),"유한회사",""))</f>
        <v/>
      </c>
      <c r="AC1939" s="31">
        <f>IF(OR($Y1939="",N($Z1939)&lt;=0,$AB1939=""),0,IFERROR(LOOKUP(2,1/((거래처별!$AC$8:$AC$307&lt;&gt;"")*ISNUMBER(SEARCH(거래처별!$AC$8:$AC$307,$AB1939))),거래처별!$A$8:$A$307),IFERROR(LOOKUP(2,1/((거래처별!$AD$8:$AD$307&lt;&gt;"")*ISNUMBER(SEARCH(거래처별!$AD$8:$AD$307,$AB1939))),거래처별!$A$8:$A$307),IFERROR(LOOKUP(2,1/((거래처별!$AE$8:$AE$307&lt;&gt;"")*ISNUMBER(SEARCH(거래처별!$AE$8:$AE$307,$AB1939))),거래처별!$A$8:$A$307),0))))</f>
        <v/>
      </c>
      <c r="AD1939" s="31">
        <f>IF(AND($Y1939&lt;&gt;"",N($Z1939)&gt;0,$AC1939=0),MAX($AD$7:$AD1938)+1,"")</f>
        <v/>
      </c>
      <c r="AE1939" s="31">
        <f>IF($Y1939="",0,$Y1939)</f>
        <v/>
      </c>
    </row>
    <row r="1940">
      <c r="W1940" s="31">
        <f>IF(OR($B$5="",$C$6="",ROW()&lt;$B$5),"",IF(INDEX($A:$U,ROW(),$C$6)="","",INDEX($A:$U,ROW(),$C$6)))</f>
        <v/>
      </c>
      <c r="X1940" s="32">
        <f>IF($W1940="","",IF(ISNUMBER($W1940),IF($W1940&gt;=10000000,IFERROR(DATE(INT($W1940/10000),MOD(INT($W1940/100),100),MOD($W1940,100)),""),INT($W1940)),IFERROR(DATE(--LEFT(LEFT(SUBSTITUTE(SUBSTITUTE(SUBSTITUTE(SUBSTITUTE(TRIM($W1940),"-",""),".",""),"/","")," ",""),8),4),--MID(LEFT(SUBSTITUTE(SUBSTITUTE(SUBSTITUTE(SUBSTITUTE(TRIM($W1940),"-",""),".",""),"/","")," ",""),8),5,2),--MID(LEFT(SUBSTITUTE(SUBSTITUTE(SUBSTITUTE(SUBSTITUTE(TRIM($W1940),"-",""),".",""),"/","")," ",""),8),7,2)),"")))</f>
        <v/>
      </c>
      <c r="Y1940" s="32">
        <f>IF($X1940="","",INT($X1940))</f>
        <v/>
      </c>
      <c r="Z1940" s="33">
        <f>IF(OR($Y1940="",$D$6=""),"",IF(INDEX($A:$U,ROW(),$D$6)="",0,IF(ISNUMBER(INDEX($A:$U,ROW(),$D$6)),INDEX($A:$U,ROW(),$D$6),IFERROR(--SUBSTITUTE(SUBSTITUTE(TRIM(INDEX($A:$U,ROW(),$D$6)),",",""),"원",""),0))))</f>
        <v/>
      </c>
      <c r="AA1940" s="31">
        <f>IF($Y1940="","",TRIM(INDEX($A:$U,ROW(),$E$6)&amp;IF($F$6="",""," "&amp;INDEX($A:$U,ROW(),$F$6))))</f>
        <v/>
      </c>
      <c r="AB1940" s="31">
        <f>IF($AA1940="","",SUBSTITUTE(SUBSTITUTE(SUBSTITUTE(SUBSTITUTE(SUBSTITUTE(SUBSTITUTE(SUBSTITUTE(SUBSTITUTE(SUBSTITUTE($AA1940," ",""),"　",""),"(주)",""),"（주）",""),"㈜",""),"주식회사",""),"(유)",""),"（유）",""),"유한회사",""))</f>
        <v/>
      </c>
      <c r="AC1940" s="31">
        <f>IF(OR($Y1940="",N($Z1940)&lt;=0,$AB1940=""),0,IFERROR(LOOKUP(2,1/((거래처별!$AC$8:$AC$307&lt;&gt;"")*ISNUMBER(SEARCH(거래처별!$AC$8:$AC$307,$AB1940))),거래처별!$A$8:$A$307),IFERROR(LOOKUP(2,1/((거래처별!$AD$8:$AD$307&lt;&gt;"")*ISNUMBER(SEARCH(거래처별!$AD$8:$AD$307,$AB1940))),거래처별!$A$8:$A$307),IFERROR(LOOKUP(2,1/((거래처별!$AE$8:$AE$307&lt;&gt;"")*ISNUMBER(SEARCH(거래처별!$AE$8:$AE$307,$AB1940))),거래처별!$A$8:$A$307),0))))</f>
        <v/>
      </c>
      <c r="AD1940" s="31">
        <f>IF(AND($Y1940&lt;&gt;"",N($Z1940)&gt;0,$AC1940=0),MAX($AD$7:$AD1939)+1,"")</f>
        <v/>
      </c>
      <c r="AE1940" s="31">
        <f>IF($Y1940="",0,$Y1940)</f>
        <v/>
      </c>
    </row>
    <row r="1941">
      <c r="W1941" s="31">
        <f>IF(OR($B$5="",$C$6="",ROW()&lt;$B$5),"",IF(INDEX($A:$U,ROW(),$C$6)="","",INDEX($A:$U,ROW(),$C$6)))</f>
        <v/>
      </c>
      <c r="X1941" s="32">
        <f>IF($W1941="","",IF(ISNUMBER($W1941),IF($W1941&gt;=10000000,IFERROR(DATE(INT($W1941/10000),MOD(INT($W1941/100),100),MOD($W1941,100)),""),INT($W1941)),IFERROR(DATE(--LEFT(LEFT(SUBSTITUTE(SUBSTITUTE(SUBSTITUTE(SUBSTITUTE(TRIM($W1941),"-",""),".",""),"/","")," ",""),8),4),--MID(LEFT(SUBSTITUTE(SUBSTITUTE(SUBSTITUTE(SUBSTITUTE(TRIM($W1941),"-",""),".",""),"/","")," ",""),8),5,2),--MID(LEFT(SUBSTITUTE(SUBSTITUTE(SUBSTITUTE(SUBSTITUTE(TRIM($W1941),"-",""),".",""),"/","")," ",""),8),7,2)),"")))</f>
        <v/>
      </c>
      <c r="Y1941" s="32">
        <f>IF($X1941="","",INT($X1941))</f>
        <v/>
      </c>
      <c r="Z1941" s="33">
        <f>IF(OR($Y1941="",$D$6=""),"",IF(INDEX($A:$U,ROW(),$D$6)="",0,IF(ISNUMBER(INDEX($A:$U,ROW(),$D$6)),INDEX($A:$U,ROW(),$D$6),IFERROR(--SUBSTITUTE(SUBSTITUTE(TRIM(INDEX($A:$U,ROW(),$D$6)),",",""),"원",""),0))))</f>
        <v/>
      </c>
      <c r="AA1941" s="31">
        <f>IF($Y1941="","",TRIM(INDEX($A:$U,ROW(),$E$6)&amp;IF($F$6="",""," "&amp;INDEX($A:$U,ROW(),$F$6))))</f>
        <v/>
      </c>
      <c r="AB1941" s="31">
        <f>IF($AA1941="","",SUBSTITUTE(SUBSTITUTE(SUBSTITUTE(SUBSTITUTE(SUBSTITUTE(SUBSTITUTE(SUBSTITUTE(SUBSTITUTE(SUBSTITUTE($AA1941," ",""),"　",""),"(주)",""),"（주）",""),"㈜",""),"주식회사",""),"(유)",""),"（유）",""),"유한회사",""))</f>
        <v/>
      </c>
      <c r="AC1941" s="31">
        <f>IF(OR($Y1941="",N($Z1941)&lt;=0,$AB1941=""),0,IFERROR(LOOKUP(2,1/((거래처별!$AC$8:$AC$307&lt;&gt;"")*ISNUMBER(SEARCH(거래처별!$AC$8:$AC$307,$AB1941))),거래처별!$A$8:$A$307),IFERROR(LOOKUP(2,1/((거래처별!$AD$8:$AD$307&lt;&gt;"")*ISNUMBER(SEARCH(거래처별!$AD$8:$AD$307,$AB1941))),거래처별!$A$8:$A$307),IFERROR(LOOKUP(2,1/((거래처별!$AE$8:$AE$307&lt;&gt;"")*ISNUMBER(SEARCH(거래처별!$AE$8:$AE$307,$AB1941))),거래처별!$A$8:$A$307),0))))</f>
        <v/>
      </c>
      <c r="AD1941" s="31">
        <f>IF(AND($Y1941&lt;&gt;"",N($Z1941)&gt;0,$AC1941=0),MAX($AD$7:$AD1940)+1,"")</f>
        <v/>
      </c>
      <c r="AE1941" s="31">
        <f>IF($Y1941="",0,$Y1941)</f>
        <v/>
      </c>
    </row>
    <row r="1942">
      <c r="W1942" s="31">
        <f>IF(OR($B$5="",$C$6="",ROW()&lt;$B$5),"",IF(INDEX($A:$U,ROW(),$C$6)="","",INDEX($A:$U,ROW(),$C$6)))</f>
        <v/>
      </c>
      <c r="X1942" s="32">
        <f>IF($W1942="","",IF(ISNUMBER($W1942),IF($W1942&gt;=10000000,IFERROR(DATE(INT($W1942/10000),MOD(INT($W1942/100),100),MOD($W1942,100)),""),INT($W1942)),IFERROR(DATE(--LEFT(LEFT(SUBSTITUTE(SUBSTITUTE(SUBSTITUTE(SUBSTITUTE(TRIM($W1942),"-",""),".",""),"/","")," ",""),8),4),--MID(LEFT(SUBSTITUTE(SUBSTITUTE(SUBSTITUTE(SUBSTITUTE(TRIM($W1942),"-",""),".",""),"/","")," ",""),8),5,2),--MID(LEFT(SUBSTITUTE(SUBSTITUTE(SUBSTITUTE(SUBSTITUTE(TRIM($W1942),"-",""),".",""),"/","")," ",""),8),7,2)),"")))</f>
        <v/>
      </c>
      <c r="Y1942" s="32">
        <f>IF($X1942="","",INT($X1942))</f>
        <v/>
      </c>
      <c r="Z1942" s="33">
        <f>IF(OR($Y1942="",$D$6=""),"",IF(INDEX($A:$U,ROW(),$D$6)="",0,IF(ISNUMBER(INDEX($A:$U,ROW(),$D$6)),INDEX($A:$U,ROW(),$D$6),IFERROR(--SUBSTITUTE(SUBSTITUTE(TRIM(INDEX($A:$U,ROW(),$D$6)),",",""),"원",""),0))))</f>
        <v/>
      </c>
      <c r="AA1942" s="31">
        <f>IF($Y1942="","",TRIM(INDEX($A:$U,ROW(),$E$6)&amp;IF($F$6="",""," "&amp;INDEX($A:$U,ROW(),$F$6))))</f>
        <v/>
      </c>
      <c r="AB1942" s="31">
        <f>IF($AA1942="","",SUBSTITUTE(SUBSTITUTE(SUBSTITUTE(SUBSTITUTE(SUBSTITUTE(SUBSTITUTE(SUBSTITUTE(SUBSTITUTE(SUBSTITUTE($AA1942," ",""),"　",""),"(주)",""),"（주）",""),"㈜",""),"주식회사",""),"(유)",""),"（유）",""),"유한회사",""))</f>
        <v/>
      </c>
      <c r="AC1942" s="31">
        <f>IF(OR($Y1942="",N($Z1942)&lt;=0,$AB1942=""),0,IFERROR(LOOKUP(2,1/((거래처별!$AC$8:$AC$307&lt;&gt;"")*ISNUMBER(SEARCH(거래처별!$AC$8:$AC$307,$AB1942))),거래처별!$A$8:$A$307),IFERROR(LOOKUP(2,1/((거래처별!$AD$8:$AD$307&lt;&gt;"")*ISNUMBER(SEARCH(거래처별!$AD$8:$AD$307,$AB1942))),거래처별!$A$8:$A$307),IFERROR(LOOKUP(2,1/((거래처별!$AE$8:$AE$307&lt;&gt;"")*ISNUMBER(SEARCH(거래처별!$AE$8:$AE$307,$AB1942))),거래처별!$A$8:$A$307),0))))</f>
        <v/>
      </c>
      <c r="AD1942" s="31">
        <f>IF(AND($Y1942&lt;&gt;"",N($Z1942)&gt;0,$AC1942=0),MAX($AD$7:$AD1941)+1,"")</f>
        <v/>
      </c>
      <c r="AE1942" s="31">
        <f>IF($Y1942="",0,$Y1942)</f>
        <v/>
      </c>
    </row>
    <row r="1943">
      <c r="W1943" s="31">
        <f>IF(OR($B$5="",$C$6="",ROW()&lt;$B$5),"",IF(INDEX($A:$U,ROW(),$C$6)="","",INDEX($A:$U,ROW(),$C$6)))</f>
        <v/>
      </c>
      <c r="X1943" s="32">
        <f>IF($W1943="","",IF(ISNUMBER($W1943),IF($W1943&gt;=10000000,IFERROR(DATE(INT($W1943/10000),MOD(INT($W1943/100),100),MOD($W1943,100)),""),INT($W1943)),IFERROR(DATE(--LEFT(LEFT(SUBSTITUTE(SUBSTITUTE(SUBSTITUTE(SUBSTITUTE(TRIM($W1943),"-",""),".",""),"/","")," ",""),8),4),--MID(LEFT(SUBSTITUTE(SUBSTITUTE(SUBSTITUTE(SUBSTITUTE(TRIM($W1943),"-",""),".",""),"/","")," ",""),8),5,2),--MID(LEFT(SUBSTITUTE(SUBSTITUTE(SUBSTITUTE(SUBSTITUTE(TRIM($W1943),"-",""),".",""),"/","")," ",""),8),7,2)),"")))</f>
        <v/>
      </c>
      <c r="Y1943" s="32">
        <f>IF($X1943="","",INT($X1943))</f>
        <v/>
      </c>
      <c r="Z1943" s="33">
        <f>IF(OR($Y1943="",$D$6=""),"",IF(INDEX($A:$U,ROW(),$D$6)="",0,IF(ISNUMBER(INDEX($A:$U,ROW(),$D$6)),INDEX($A:$U,ROW(),$D$6),IFERROR(--SUBSTITUTE(SUBSTITUTE(TRIM(INDEX($A:$U,ROW(),$D$6)),",",""),"원",""),0))))</f>
        <v/>
      </c>
      <c r="AA1943" s="31">
        <f>IF($Y1943="","",TRIM(INDEX($A:$U,ROW(),$E$6)&amp;IF($F$6="",""," "&amp;INDEX($A:$U,ROW(),$F$6))))</f>
        <v/>
      </c>
      <c r="AB1943" s="31">
        <f>IF($AA1943="","",SUBSTITUTE(SUBSTITUTE(SUBSTITUTE(SUBSTITUTE(SUBSTITUTE(SUBSTITUTE(SUBSTITUTE(SUBSTITUTE(SUBSTITUTE($AA1943," ",""),"　",""),"(주)",""),"（주）",""),"㈜",""),"주식회사",""),"(유)",""),"（유）",""),"유한회사",""))</f>
        <v/>
      </c>
      <c r="AC1943" s="31">
        <f>IF(OR($Y1943="",N($Z1943)&lt;=0,$AB1943=""),0,IFERROR(LOOKUP(2,1/((거래처별!$AC$8:$AC$307&lt;&gt;"")*ISNUMBER(SEARCH(거래처별!$AC$8:$AC$307,$AB1943))),거래처별!$A$8:$A$307),IFERROR(LOOKUP(2,1/((거래처별!$AD$8:$AD$307&lt;&gt;"")*ISNUMBER(SEARCH(거래처별!$AD$8:$AD$307,$AB1943))),거래처별!$A$8:$A$307),IFERROR(LOOKUP(2,1/((거래처별!$AE$8:$AE$307&lt;&gt;"")*ISNUMBER(SEARCH(거래처별!$AE$8:$AE$307,$AB1943))),거래처별!$A$8:$A$307),0))))</f>
        <v/>
      </c>
      <c r="AD1943" s="31">
        <f>IF(AND($Y1943&lt;&gt;"",N($Z1943)&gt;0,$AC1943=0),MAX($AD$7:$AD1942)+1,"")</f>
        <v/>
      </c>
      <c r="AE1943" s="31">
        <f>IF($Y1943="",0,$Y1943)</f>
        <v/>
      </c>
    </row>
    <row r="1944">
      <c r="W1944" s="31">
        <f>IF(OR($B$5="",$C$6="",ROW()&lt;$B$5),"",IF(INDEX($A:$U,ROW(),$C$6)="","",INDEX($A:$U,ROW(),$C$6)))</f>
        <v/>
      </c>
      <c r="X1944" s="32">
        <f>IF($W1944="","",IF(ISNUMBER($W1944),IF($W1944&gt;=10000000,IFERROR(DATE(INT($W1944/10000),MOD(INT($W1944/100),100),MOD($W1944,100)),""),INT($W1944)),IFERROR(DATE(--LEFT(LEFT(SUBSTITUTE(SUBSTITUTE(SUBSTITUTE(SUBSTITUTE(TRIM($W1944),"-",""),".",""),"/","")," ",""),8),4),--MID(LEFT(SUBSTITUTE(SUBSTITUTE(SUBSTITUTE(SUBSTITUTE(TRIM($W1944),"-",""),".",""),"/","")," ",""),8),5,2),--MID(LEFT(SUBSTITUTE(SUBSTITUTE(SUBSTITUTE(SUBSTITUTE(TRIM($W1944),"-",""),".",""),"/","")," ",""),8),7,2)),"")))</f>
        <v/>
      </c>
      <c r="Y1944" s="32">
        <f>IF($X1944="","",INT($X1944))</f>
        <v/>
      </c>
      <c r="Z1944" s="33">
        <f>IF(OR($Y1944="",$D$6=""),"",IF(INDEX($A:$U,ROW(),$D$6)="",0,IF(ISNUMBER(INDEX($A:$U,ROW(),$D$6)),INDEX($A:$U,ROW(),$D$6),IFERROR(--SUBSTITUTE(SUBSTITUTE(TRIM(INDEX($A:$U,ROW(),$D$6)),",",""),"원",""),0))))</f>
        <v/>
      </c>
      <c r="AA1944" s="31">
        <f>IF($Y1944="","",TRIM(INDEX($A:$U,ROW(),$E$6)&amp;IF($F$6="",""," "&amp;INDEX($A:$U,ROW(),$F$6))))</f>
        <v/>
      </c>
      <c r="AB1944" s="31">
        <f>IF($AA1944="","",SUBSTITUTE(SUBSTITUTE(SUBSTITUTE(SUBSTITUTE(SUBSTITUTE(SUBSTITUTE(SUBSTITUTE(SUBSTITUTE(SUBSTITUTE($AA1944," ",""),"　",""),"(주)",""),"（주）",""),"㈜",""),"주식회사",""),"(유)",""),"（유）",""),"유한회사",""))</f>
        <v/>
      </c>
      <c r="AC1944" s="31">
        <f>IF(OR($Y1944="",N($Z1944)&lt;=0,$AB1944=""),0,IFERROR(LOOKUP(2,1/((거래처별!$AC$8:$AC$307&lt;&gt;"")*ISNUMBER(SEARCH(거래처별!$AC$8:$AC$307,$AB1944))),거래처별!$A$8:$A$307),IFERROR(LOOKUP(2,1/((거래처별!$AD$8:$AD$307&lt;&gt;"")*ISNUMBER(SEARCH(거래처별!$AD$8:$AD$307,$AB1944))),거래처별!$A$8:$A$307),IFERROR(LOOKUP(2,1/((거래처별!$AE$8:$AE$307&lt;&gt;"")*ISNUMBER(SEARCH(거래처별!$AE$8:$AE$307,$AB1944))),거래처별!$A$8:$A$307),0))))</f>
        <v/>
      </c>
      <c r="AD1944" s="31">
        <f>IF(AND($Y1944&lt;&gt;"",N($Z1944)&gt;0,$AC1944=0),MAX($AD$7:$AD1943)+1,"")</f>
        <v/>
      </c>
      <c r="AE1944" s="31">
        <f>IF($Y1944="",0,$Y1944)</f>
        <v/>
      </c>
    </row>
    <row r="1945">
      <c r="W1945" s="31">
        <f>IF(OR($B$5="",$C$6="",ROW()&lt;$B$5),"",IF(INDEX($A:$U,ROW(),$C$6)="","",INDEX($A:$U,ROW(),$C$6)))</f>
        <v/>
      </c>
      <c r="X1945" s="32">
        <f>IF($W1945="","",IF(ISNUMBER($W1945),IF($W1945&gt;=10000000,IFERROR(DATE(INT($W1945/10000),MOD(INT($W1945/100),100),MOD($W1945,100)),""),INT($W1945)),IFERROR(DATE(--LEFT(LEFT(SUBSTITUTE(SUBSTITUTE(SUBSTITUTE(SUBSTITUTE(TRIM($W1945),"-",""),".",""),"/","")," ",""),8),4),--MID(LEFT(SUBSTITUTE(SUBSTITUTE(SUBSTITUTE(SUBSTITUTE(TRIM($W1945),"-",""),".",""),"/","")," ",""),8),5,2),--MID(LEFT(SUBSTITUTE(SUBSTITUTE(SUBSTITUTE(SUBSTITUTE(TRIM($W1945),"-",""),".",""),"/","")," ",""),8),7,2)),"")))</f>
        <v/>
      </c>
      <c r="Y1945" s="32">
        <f>IF($X1945="","",INT($X1945))</f>
        <v/>
      </c>
      <c r="Z1945" s="33">
        <f>IF(OR($Y1945="",$D$6=""),"",IF(INDEX($A:$U,ROW(),$D$6)="",0,IF(ISNUMBER(INDEX($A:$U,ROW(),$D$6)),INDEX($A:$U,ROW(),$D$6),IFERROR(--SUBSTITUTE(SUBSTITUTE(TRIM(INDEX($A:$U,ROW(),$D$6)),",",""),"원",""),0))))</f>
        <v/>
      </c>
      <c r="AA1945" s="31">
        <f>IF($Y1945="","",TRIM(INDEX($A:$U,ROW(),$E$6)&amp;IF($F$6="",""," "&amp;INDEX($A:$U,ROW(),$F$6))))</f>
        <v/>
      </c>
      <c r="AB1945" s="31">
        <f>IF($AA1945="","",SUBSTITUTE(SUBSTITUTE(SUBSTITUTE(SUBSTITUTE(SUBSTITUTE(SUBSTITUTE(SUBSTITUTE(SUBSTITUTE(SUBSTITUTE($AA1945," ",""),"　",""),"(주)",""),"（주）",""),"㈜",""),"주식회사",""),"(유)",""),"（유）",""),"유한회사",""))</f>
        <v/>
      </c>
      <c r="AC1945" s="31">
        <f>IF(OR($Y1945="",N($Z1945)&lt;=0,$AB1945=""),0,IFERROR(LOOKUP(2,1/((거래처별!$AC$8:$AC$307&lt;&gt;"")*ISNUMBER(SEARCH(거래처별!$AC$8:$AC$307,$AB1945))),거래처별!$A$8:$A$307),IFERROR(LOOKUP(2,1/((거래처별!$AD$8:$AD$307&lt;&gt;"")*ISNUMBER(SEARCH(거래처별!$AD$8:$AD$307,$AB1945))),거래처별!$A$8:$A$307),IFERROR(LOOKUP(2,1/((거래처별!$AE$8:$AE$307&lt;&gt;"")*ISNUMBER(SEARCH(거래처별!$AE$8:$AE$307,$AB1945))),거래처별!$A$8:$A$307),0))))</f>
        <v/>
      </c>
      <c r="AD1945" s="31">
        <f>IF(AND($Y1945&lt;&gt;"",N($Z1945)&gt;0,$AC1945=0),MAX($AD$7:$AD1944)+1,"")</f>
        <v/>
      </c>
      <c r="AE1945" s="31">
        <f>IF($Y1945="",0,$Y1945)</f>
        <v/>
      </c>
    </row>
    <row r="1946">
      <c r="W1946" s="31">
        <f>IF(OR($B$5="",$C$6="",ROW()&lt;$B$5),"",IF(INDEX($A:$U,ROW(),$C$6)="","",INDEX($A:$U,ROW(),$C$6)))</f>
        <v/>
      </c>
      <c r="X1946" s="32">
        <f>IF($W1946="","",IF(ISNUMBER($W1946),IF($W1946&gt;=10000000,IFERROR(DATE(INT($W1946/10000),MOD(INT($W1946/100),100),MOD($W1946,100)),""),INT($W1946)),IFERROR(DATE(--LEFT(LEFT(SUBSTITUTE(SUBSTITUTE(SUBSTITUTE(SUBSTITUTE(TRIM($W1946),"-",""),".",""),"/","")," ",""),8),4),--MID(LEFT(SUBSTITUTE(SUBSTITUTE(SUBSTITUTE(SUBSTITUTE(TRIM($W1946),"-",""),".",""),"/","")," ",""),8),5,2),--MID(LEFT(SUBSTITUTE(SUBSTITUTE(SUBSTITUTE(SUBSTITUTE(TRIM($W1946),"-",""),".",""),"/","")," ",""),8),7,2)),"")))</f>
        <v/>
      </c>
      <c r="Y1946" s="32">
        <f>IF($X1946="","",INT($X1946))</f>
        <v/>
      </c>
      <c r="Z1946" s="33">
        <f>IF(OR($Y1946="",$D$6=""),"",IF(INDEX($A:$U,ROW(),$D$6)="",0,IF(ISNUMBER(INDEX($A:$U,ROW(),$D$6)),INDEX($A:$U,ROW(),$D$6),IFERROR(--SUBSTITUTE(SUBSTITUTE(TRIM(INDEX($A:$U,ROW(),$D$6)),",",""),"원",""),0))))</f>
        <v/>
      </c>
      <c r="AA1946" s="31">
        <f>IF($Y1946="","",TRIM(INDEX($A:$U,ROW(),$E$6)&amp;IF($F$6="",""," "&amp;INDEX($A:$U,ROW(),$F$6))))</f>
        <v/>
      </c>
      <c r="AB1946" s="31">
        <f>IF($AA1946="","",SUBSTITUTE(SUBSTITUTE(SUBSTITUTE(SUBSTITUTE(SUBSTITUTE(SUBSTITUTE(SUBSTITUTE(SUBSTITUTE(SUBSTITUTE($AA1946," ",""),"　",""),"(주)",""),"（주）",""),"㈜",""),"주식회사",""),"(유)",""),"（유）",""),"유한회사",""))</f>
        <v/>
      </c>
      <c r="AC1946" s="31">
        <f>IF(OR($Y1946="",N($Z1946)&lt;=0,$AB1946=""),0,IFERROR(LOOKUP(2,1/((거래처별!$AC$8:$AC$307&lt;&gt;"")*ISNUMBER(SEARCH(거래처별!$AC$8:$AC$307,$AB1946))),거래처별!$A$8:$A$307),IFERROR(LOOKUP(2,1/((거래처별!$AD$8:$AD$307&lt;&gt;"")*ISNUMBER(SEARCH(거래처별!$AD$8:$AD$307,$AB1946))),거래처별!$A$8:$A$307),IFERROR(LOOKUP(2,1/((거래처별!$AE$8:$AE$307&lt;&gt;"")*ISNUMBER(SEARCH(거래처별!$AE$8:$AE$307,$AB1946))),거래처별!$A$8:$A$307),0))))</f>
        <v/>
      </c>
      <c r="AD1946" s="31">
        <f>IF(AND($Y1946&lt;&gt;"",N($Z1946)&gt;0,$AC1946=0),MAX($AD$7:$AD1945)+1,"")</f>
        <v/>
      </c>
      <c r="AE1946" s="31">
        <f>IF($Y1946="",0,$Y1946)</f>
        <v/>
      </c>
    </row>
    <row r="1947">
      <c r="W1947" s="31">
        <f>IF(OR($B$5="",$C$6="",ROW()&lt;$B$5),"",IF(INDEX($A:$U,ROW(),$C$6)="","",INDEX($A:$U,ROW(),$C$6)))</f>
        <v/>
      </c>
      <c r="X1947" s="32">
        <f>IF($W1947="","",IF(ISNUMBER($W1947),IF($W1947&gt;=10000000,IFERROR(DATE(INT($W1947/10000),MOD(INT($W1947/100),100),MOD($W1947,100)),""),INT($W1947)),IFERROR(DATE(--LEFT(LEFT(SUBSTITUTE(SUBSTITUTE(SUBSTITUTE(SUBSTITUTE(TRIM($W1947),"-",""),".",""),"/","")," ",""),8),4),--MID(LEFT(SUBSTITUTE(SUBSTITUTE(SUBSTITUTE(SUBSTITUTE(TRIM($W1947),"-",""),".",""),"/","")," ",""),8),5,2),--MID(LEFT(SUBSTITUTE(SUBSTITUTE(SUBSTITUTE(SUBSTITUTE(TRIM($W1947),"-",""),".",""),"/","")," ",""),8),7,2)),"")))</f>
        <v/>
      </c>
      <c r="Y1947" s="32">
        <f>IF($X1947="","",INT($X1947))</f>
        <v/>
      </c>
      <c r="Z1947" s="33">
        <f>IF(OR($Y1947="",$D$6=""),"",IF(INDEX($A:$U,ROW(),$D$6)="",0,IF(ISNUMBER(INDEX($A:$U,ROW(),$D$6)),INDEX($A:$U,ROW(),$D$6),IFERROR(--SUBSTITUTE(SUBSTITUTE(TRIM(INDEX($A:$U,ROW(),$D$6)),",",""),"원",""),0))))</f>
        <v/>
      </c>
      <c r="AA1947" s="31">
        <f>IF($Y1947="","",TRIM(INDEX($A:$U,ROW(),$E$6)&amp;IF($F$6="",""," "&amp;INDEX($A:$U,ROW(),$F$6))))</f>
        <v/>
      </c>
      <c r="AB1947" s="31">
        <f>IF($AA1947="","",SUBSTITUTE(SUBSTITUTE(SUBSTITUTE(SUBSTITUTE(SUBSTITUTE(SUBSTITUTE(SUBSTITUTE(SUBSTITUTE(SUBSTITUTE($AA1947," ",""),"　",""),"(주)",""),"（주）",""),"㈜",""),"주식회사",""),"(유)",""),"（유）",""),"유한회사",""))</f>
        <v/>
      </c>
      <c r="AC1947" s="31">
        <f>IF(OR($Y1947="",N($Z1947)&lt;=0,$AB1947=""),0,IFERROR(LOOKUP(2,1/((거래처별!$AC$8:$AC$307&lt;&gt;"")*ISNUMBER(SEARCH(거래처별!$AC$8:$AC$307,$AB1947))),거래처별!$A$8:$A$307),IFERROR(LOOKUP(2,1/((거래처별!$AD$8:$AD$307&lt;&gt;"")*ISNUMBER(SEARCH(거래처별!$AD$8:$AD$307,$AB1947))),거래처별!$A$8:$A$307),IFERROR(LOOKUP(2,1/((거래처별!$AE$8:$AE$307&lt;&gt;"")*ISNUMBER(SEARCH(거래처별!$AE$8:$AE$307,$AB1947))),거래처별!$A$8:$A$307),0))))</f>
        <v/>
      </c>
      <c r="AD1947" s="31">
        <f>IF(AND($Y1947&lt;&gt;"",N($Z1947)&gt;0,$AC1947=0),MAX($AD$7:$AD1946)+1,"")</f>
        <v/>
      </c>
      <c r="AE1947" s="31">
        <f>IF($Y1947="",0,$Y1947)</f>
        <v/>
      </c>
    </row>
    <row r="1948">
      <c r="W1948" s="31">
        <f>IF(OR($B$5="",$C$6="",ROW()&lt;$B$5),"",IF(INDEX($A:$U,ROW(),$C$6)="","",INDEX($A:$U,ROW(),$C$6)))</f>
        <v/>
      </c>
      <c r="X1948" s="32">
        <f>IF($W1948="","",IF(ISNUMBER($W1948),IF($W1948&gt;=10000000,IFERROR(DATE(INT($W1948/10000),MOD(INT($W1948/100),100),MOD($W1948,100)),""),INT($W1948)),IFERROR(DATE(--LEFT(LEFT(SUBSTITUTE(SUBSTITUTE(SUBSTITUTE(SUBSTITUTE(TRIM($W1948),"-",""),".",""),"/","")," ",""),8),4),--MID(LEFT(SUBSTITUTE(SUBSTITUTE(SUBSTITUTE(SUBSTITUTE(TRIM($W1948),"-",""),".",""),"/","")," ",""),8),5,2),--MID(LEFT(SUBSTITUTE(SUBSTITUTE(SUBSTITUTE(SUBSTITUTE(TRIM($W1948),"-",""),".",""),"/","")," ",""),8),7,2)),"")))</f>
        <v/>
      </c>
      <c r="Y1948" s="32">
        <f>IF($X1948="","",INT($X1948))</f>
        <v/>
      </c>
      <c r="Z1948" s="33">
        <f>IF(OR($Y1948="",$D$6=""),"",IF(INDEX($A:$U,ROW(),$D$6)="",0,IF(ISNUMBER(INDEX($A:$U,ROW(),$D$6)),INDEX($A:$U,ROW(),$D$6),IFERROR(--SUBSTITUTE(SUBSTITUTE(TRIM(INDEX($A:$U,ROW(),$D$6)),",",""),"원",""),0))))</f>
        <v/>
      </c>
      <c r="AA1948" s="31">
        <f>IF($Y1948="","",TRIM(INDEX($A:$U,ROW(),$E$6)&amp;IF($F$6="",""," "&amp;INDEX($A:$U,ROW(),$F$6))))</f>
        <v/>
      </c>
      <c r="AB1948" s="31">
        <f>IF($AA1948="","",SUBSTITUTE(SUBSTITUTE(SUBSTITUTE(SUBSTITUTE(SUBSTITUTE(SUBSTITUTE(SUBSTITUTE(SUBSTITUTE(SUBSTITUTE($AA1948," ",""),"　",""),"(주)",""),"（주）",""),"㈜",""),"주식회사",""),"(유)",""),"（유）",""),"유한회사",""))</f>
        <v/>
      </c>
      <c r="AC1948" s="31">
        <f>IF(OR($Y1948="",N($Z1948)&lt;=0,$AB1948=""),0,IFERROR(LOOKUP(2,1/((거래처별!$AC$8:$AC$307&lt;&gt;"")*ISNUMBER(SEARCH(거래처별!$AC$8:$AC$307,$AB1948))),거래처별!$A$8:$A$307),IFERROR(LOOKUP(2,1/((거래처별!$AD$8:$AD$307&lt;&gt;"")*ISNUMBER(SEARCH(거래처별!$AD$8:$AD$307,$AB1948))),거래처별!$A$8:$A$307),IFERROR(LOOKUP(2,1/((거래처별!$AE$8:$AE$307&lt;&gt;"")*ISNUMBER(SEARCH(거래처별!$AE$8:$AE$307,$AB1948))),거래처별!$A$8:$A$307),0))))</f>
        <v/>
      </c>
      <c r="AD1948" s="31">
        <f>IF(AND($Y1948&lt;&gt;"",N($Z1948)&gt;0,$AC1948=0),MAX($AD$7:$AD1947)+1,"")</f>
        <v/>
      </c>
      <c r="AE1948" s="31">
        <f>IF($Y1948="",0,$Y1948)</f>
        <v/>
      </c>
    </row>
    <row r="1949">
      <c r="W1949" s="31">
        <f>IF(OR($B$5="",$C$6="",ROW()&lt;$B$5),"",IF(INDEX($A:$U,ROW(),$C$6)="","",INDEX($A:$U,ROW(),$C$6)))</f>
        <v/>
      </c>
      <c r="X1949" s="32">
        <f>IF($W1949="","",IF(ISNUMBER($W1949),IF($W1949&gt;=10000000,IFERROR(DATE(INT($W1949/10000),MOD(INT($W1949/100),100),MOD($W1949,100)),""),INT($W1949)),IFERROR(DATE(--LEFT(LEFT(SUBSTITUTE(SUBSTITUTE(SUBSTITUTE(SUBSTITUTE(TRIM($W1949),"-",""),".",""),"/","")," ",""),8),4),--MID(LEFT(SUBSTITUTE(SUBSTITUTE(SUBSTITUTE(SUBSTITUTE(TRIM($W1949),"-",""),".",""),"/","")," ",""),8),5,2),--MID(LEFT(SUBSTITUTE(SUBSTITUTE(SUBSTITUTE(SUBSTITUTE(TRIM($W1949),"-",""),".",""),"/","")," ",""),8),7,2)),"")))</f>
        <v/>
      </c>
      <c r="Y1949" s="32">
        <f>IF($X1949="","",INT($X1949))</f>
        <v/>
      </c>
      <c r="Z1949" s="33">
        <f>IF(OR($Y1949="",$D$6=""),"",IF(INDEX($A:$U,ROW(),$D$6)="",0,IF(ISNUMBER(INDEX($A:$U,ROW(),$D$6)),INDEX($A:$U,ROW(),$D$6),IFERROR(--SUBSTITUTE(SUBSTITUTE(TRIM(INDEX($A:$U,ROW(),$D$6)),",",""),"원",""),0))))</f>
        <v/>
      </c>
      <c r="AA1949" s="31">
        <f>IF($Y1949="","",TRIM(INDEX($A:$U,ROW(),$E$6)&amp;IF($F$6="",""," "&amp;INDEX($A:$U,ROW(),$F$6))))</f>
        <v/>
      </c>
      <c r="AB1949" s="31">
        <f>IF($AA1949="","",SUBSTITUTE(SUBSTITUTE(SUBSTITUTE(SUBSTITUTE(SUBSTITUTE(SUBSTITUTE(SUBSTITUTE(SUBSTITUTE(SUBSTITUTE($AA1949," ",""),"　",""),"(주)",""),"（주）",""),"㈜",""),"주식회사",""),"(유)",""),"（유）",""),"유한회사",""))</f>
        <v/>
      </c>
      <c r="AC1949" s="31">
        <f>IF(OR($Y1949="",N($Z1949)&lt;=0,$AB1949=""),0,IFERROR(LOOKUP(2,1/((거래처별!$AC$8:$AC$307&lt;&gt;"")*ISNUMBER(SEARCH(거래처별!$AC$8:$AC$307,$AB1949))),거래처별!$A$8:$A$307),IFERROR(LOOKUP(2,1/((거래처별!$AD$8:$AD$307&lt;&gt;"")*ISNUMBER(SEARCH(거래처별!$AD$8:$AD$307,$AB1949))),거래처별!$A$8:$A$307),IFERROR(LOOKUP(2,1/((거래처별!$AE$8:$AE$307&lt;&gt;"")*ISNUMBER(SEARCH(거래처별!$AE$8:$AE$307,$AB1949))),거래처별!$A$8:$A$307),0))))</f>
        <v/>
      </c>
      <c r="AD1949" s="31">
        <f>IF(AND($Y1949&lt;&gt;"",N($Z1949)&gt;0,$AC1949=0),MAX($AD$7:$AD1948)+1,"")</f>
        <v/>
      </c>
      <c r="AE1949" s="31">
        <f>IF($Y1949="",0,$Y1949)</f>
        <v/>
      </c>
    </row>
    <row r="1950">
      <c r="W1950" s="31">
        <f>IF(OR($B$5="",$C$6="",ROW()&lt;$B$5),"",IF(INDEX($A:$U,ROW(),$C$6)="","",INDEX($A:$U,ROW(),$C$6)))</f>
        <v/>
      </c>
      <c r="X1950" s="32">
        <f>IF($W1950="","",IF(ISNUMBER($W1950),IF($W1950&gt;=10000000,IFERROR(DATE(INT($W1950/10000),MOD(INT($W1950/100),100),MOD($W1950,100)),""),INT($W1950)),IFERROR(DATE(--LEFT(LEFT(SUBSTITUTE(SUBSTITUTE(SUBSTITUTE(SUBSTITUTE(TRIM($W1950),"-",""),".",""),"/","")," ",""),8),4),--MID(LEFT(SUBSTITUTE(SUBSTITUTE(SUBSTITUTE(SUBSTITUTE(TRIM($W1950),"-",""),".",""),"/","")," ",""),8),5,2),--MID(LEFT(SUBSTITUTE(SUBSTITUTE(SUBSTITUTE(SUBSTITUTE(TRIM($W1950),"-",""),".",""),"/","")," ",""),8),7,2)),"")))</f>
        <v/>
      </c>
      <c r="Y1950" s="32">
        <f>IF($X1950="","",INT($X1950))</f>
        <v/>
      </c>
      <c r="Z1950" s="33">
        <f>IF(OR($Y1950="",$D$6=""),"",IF(INDEX($A:$U,ROW(),$D$6)="",0,IF(ISNUMBER(INDEX($A:$U,ROW(),$D$6)),INDEX($A:$U,ROW(),$D$6),IFERROR(--SUBSTITUTE(SUBSTITUTE(TRIM(INDEX($A:$U,ROW(),$D$6)),",",""),"원",""),0))))</f>
        <v/>
      </c>
      <c r="AA1950" s="31">
        <f>IF($Y1950="","",TRIM(INDEX($A:$U,ROW(),$E$6)&amp;IF($F$6="",""," "&amp;INDEX($A:$U,ROW(),$F$6))))</f>
        <v/>
      </c>
      <c r="AB1950" s="31">
        <f>IF($AA1950="","",SUBSTITUTE(SUBSTITUTE(SUBSTITUTE(SUBSTITUTE(SUBSTITUTE(SUBSTITUTE(SUBSTITUTE(SUBSTITUTE(SUBSTITUTE($AA1950," ",""),"　",""),"(주)",""),"（주）",""),"㈜",""),"주식회사",""),"(유)",""),"（유）",""),"유한회사",""))</f>
        <v/>
      </c>
      <c r="AC1950" s="31">
        <f>IF(OR($Y1950="",N($Z1950)&lt;=0,$AB1950=""),0,IFERROR(LOOKUP(2,1/((거래처별!$AC$8:$AC$307&lt;&gt;"")*ISNUMBER(SEARCH(거래처별!$AC$8:$AC$307,$AB1950))),거래처별!$A$8:$A$307),IFERROR(LOOKUP(2,1/((거래처별!$AD$8:$AD$307&lt;&gt;"")*ISNUMBER(SEARCH(거래처별!$AD$8:$AD$307,$AB1950))),거래처별!$A$8:$A$307),IFERROR(LOOKUP(2,1/((거래처별!$AE$8:$AE$307&lt;&gt;"")*ISNUMBER(SEARCH(거래처별!$AE$8:$AE$307,$AB1950))),거래처별!$A$8:$A$307),0))))</f>
        <v/>
      </c>
      <c r="AD1950" s="31">
        <f>IF(AND($Y1950&lt;&gt;"",N($Z1950)&gt;0,$AC1950=0),MAX($AD$7:$AD1949)+1,"")</f>
        <v/>
      </c>
      <c r="AE1950" s="31">
        <f>IF($Y1950="",0,$Y1950)</f>
        <v/>
      </c>
    </row>
    <row r="1951">
      <c r="W1951" s="31">
        <f>IF(OR($B$5="",$C$6="",ROW()&lt;$B$5),"",IF(INDEX($A:$U,ROW(),$C$6)="","",INDEX($A:$U,ROW(),$C$6)))</f>
        <v/>
      </c>
      <c r="X1951" s="32">
        <f>IF($W1951="","",IF(ISNUMBER($W1951),IF($W1951&gt;=10000000,IFERROR(DATE(INT($W1951/10000),MOD(INT($W1951/100),100),MOD($W1951,100)),""),INT($W1951)),IFERROR(DATE(--LEFT(LEFT(SUBSTITUTE(SUBSTITUTE(SUBSTITUTE(SUBSTITUTE(TRIM($W1951),"-",""),".",""),"/","")," ",""),8),4),--MID(LEFT(SUBSTITUTE(SUBSTITUTE(SUBSTITUTE(SUBSTITUTE(TRIM($W1951),"-",""),".",""),"/","")," ",""),8),5,2),--MID(LEFT(SUBSTITUTE(SUBSTITUTE(SUBSTITUTE(SUBSTITUTE(TRIM($W1951),"-",""),".",""),"/","")," ",""),8),7,2)),"")))</f>
        <v/>
      </c>
      <c r="Y1951" s="32">
        <f>IF($X1951="","",INT($X1951))</f>
        <v/>
      </c>
      <c r="Z1951" s="33">
        <f>IF(OR($Y1951="",$D$6=""),"",IF(INDEX($A:$U,ROW(),$D$6)="",0,IF(ISNUMBER(INDEX($A:$U,ROW(),$D$6)),INDEX($A:$U,ROW(),$D$6),IFERROR(--SUBSTITUTE(SUBSTITUTE(TRIM(INDEX($A:$U,ROW(),$D$6)),",",""),"원",""),0))))</f>
        <v/>
      </c>
      <c r="AA1951" s="31">
        <f>IF($Y1951="","",TRIM(INDEX($A:$U,ROW(),$E$6)&amp;IF($F$6="",""," "&amp;INDEX($A:$U,ROW(),$F$6))))</f>
        <v/>
      </c>
      <c r="AB1951" s="31">
        <f>IF($AA1951="","",SUBSTITUTE(SUBSTITUTE(SUBSTITUTE(SUBSTITUTE(SUBSTITUTE(SUBSTITUTE(SUBSTITUTE(SUBSTITUTE(SUBSTITUTE($AA1951," ",""),"　",""),"(주)",""),"（주）",""),"㈜",""),"주식회사",""),"(유)",""),"（유）",""),"유한회사",""))</f>
        <v/>
      </c>
      <c r="AC1951" s="31">
        <f>IF(OR($Y1951="",N($Z1951)&lt;=0,$AB1951=""),0,IFERROR(LOOKUP(2,1/((거래처별!$AC$8:$AC$307&lt;&gt;"")*ISNUMBER(SEARCH(거래처별!$AC$8:$AC$307,$AB1951))),거래처별!$A$8:$A$307),IFERROR(LOOKUP(2,1/((거래처별!$AD$8:$AD$307&lt;&gt;"")*ISNUMBER(SEARCH(거래처별!$AD$8:$AD$307,$AB1951))),거래처별!$A$8:$A$307),IFERROR(LOOKUP(2,1/((거래처별!$AE$8:$AE$307&lt;&gt;"")*ISNUMBER(SEARCH(거래처별!$AE$8:$AE$307,$AB1951))),거래처별!$A$8:$A$307),0))))</f>
        <v/>
      </c>
      <c r="AD1951" s="31">
        <f>IF(AND($Y1951&lt;&gt;"",N($Z1951)&gt;0,$AC1951=0),MAX($AD$7:$AD1950)+1,"")</f>
        <v/>
      </c>
      <c r="AE1951" s="31">
        <f>IF($Y1951="",0,$Y1951)</f>
        <v/>
      </c>
    </row>
    <row r="1952">
      <c r="W1952" s="31">
        <f>IF(OR($B$5="",$C$6="",ROW()&lt;$B$5),"",IF(INDEX($A:$U,ROW(),$C$6)="","",INDEX($A:$U,ROW(),$C$6)))</f>
        <v/>
      </c>
      <c r="X1952" s="32">
        <f>IF($W1952="","",IF(ISNUMBER($W1952),IF($W1952&gt;=10000000,IFERROR(DATE(INT($W1952/10000),MOD(INT($W1952/100),100),MOD($W1952,100)),""),INT($W1952)),IFERROR(DATE(--LEFT(LEFT(SUBSTITUTE(SUBSTITUTE(SUBSTITUTE(SUBSTITUTE(TRIM($W1952),"-",""),".",""),"/","")," ",""),8),4),--MID(LEFT(SUBSTITUTE(SUBSTITUTE(SUBSTITUTE(SUBSTITUTE(TRIM($W1952),"-",""),".",""),"/","")," ",""),8),5,2),--MID(LEFT(SUBSTITUTE(SUBSTITUTE(SUBSTITUTE(SUBSTITUTE(TRIM($W1952),"-",""),".",""),"/","")," ",""),8),7,2)),"")))</f>
        <v/>
      </c>
      <c r="Y1952" s="32">
        <f>IF($X1952="","",INT($X1952))</f>
        <v/>
      </c>
      <c r="Z1952" s="33">
        <f>IF(OR($Y1952="",$D$6=""),"",IF(INDEX($A:$U,ROW(),$D$6)="",0,IF(ISNUMBER(INDEX($A:$U,ROW(),$D$6)),INDEX($A:$U,ROW(),$D$6),IFERROR(--SUBSTITUTE(SUBSTITUTE(TRIM(INDEX($A:$U,ROW(),$D$6)),",",""),"원",""),0))))</f>
        <v/>
      </c>
      <c r="AA1952" s="31">
        <f>IF($Y1952="","",TRIM(INDEX($A:$U,ROW(),$E$6)&amp;IF($F$6="",""," "&amp;INDEX($A:$U,ROW(),$F$6))))</f>
        <v/>
      </c>
      <c r="AB1952" s="31">
        <f>IF($AA1952="","",SUBSTITUTE(SUBSTITUTE(SUBSTITUTE(SUBSTITUTE(SUBSTITUTE(SUBSTITUTE(SUBSTITUTE(SUBSTITUTE(SUBSTITUTE($AA1952," ",""),"　",""),"(주)",""),"（주）",""),"㈜",""),"주식회사",""),"(유)",""),"（유）",""),"유한회사",""))</f>
        <v/>
      </c>
      <c r="AC1952" s="31">
        <f>IF(OR($Y1952="",N($Z1952)&lt;=0,$AB1952=""),0,IFERROR(LOOKUP(2,1/((거래처별!$AC$8:$AC$307&lt;&gt;"")*ISNUMBER(SEARCH(거래처별!$AC$8:$AC$307,$AB1952))),거래처별!$A$8:$A$307),IFERROR(LOOKUP(2,1/((거래처별!$AD$8:$AD$307&lt;&gt;"")*ISNUMBER(SEARCH(거래처별!$AD$8:$AD$307,$AB1952))),거래처별!$A$8:$A$307),IFERROR(LOOKUP(2,1/((거래처별!$AE$8:$AE$307&lt;&gt;"")*ISNUMBER(SEARCH(거래처별!$AE$8:$AE$307,$AB1952))),거래처별!$A$8:$A$307),0))))</f>
        <v/>
      </c>
      <c r="AD1952" s="31">
        <f>IF(AND($Y1952&lt;&gt;"",N($Z1952)&gt;0,$AC1952=0),MAX($AD$7:$AD1951)+1,"")</f>
        <v/>
      </c>
      <c r="AE1952" s="31">
        <f>IF($Y1952="",0,$Y1952)</f>
        <v/>
      </c>
    </row>
    <row r="1953">
      <c r="W1953" s="31">
        <f>IF(OR($B$5="",$C$6="",ROW()&lt;$B$5),"",IF(INDEX($A:$U,ROW(),$C$6)="","",INDEX($A:$U,ROW(),$C$6)))</f>
        <v/>
      </c>
      <c r="X1953" s="32">
        <f>IF($W1953="","",IF(ISNUMBER($W1953),IF($W1953&gt;=10000000,IFERROR(DATE(INT($W1953/10000),MOD(INT($W1953/100),100),MOD($W1953,100)),""),INT($W1953)),IFERROR(DATE(--LEFT(LEFT(SUBSTITUTE(SUBSTITUTE(SUBSTITUTE(SUBSTITUTE(TRIM($W1953),"-",""),".",""),"/","")," ",""),8),4),--MID(LEFT(SUBSTITUTE(SUBSTITUTE(SUBSTITUTE(SUBSTITUTE(TRIM($W1953),"-",""),".",""),"/","")," ",""),8),5,2),--MID(LEFT(SUBSTITUTE(SUBSTITUTE(SUBSTITUTE(SUBSTITUTE(TRIM($W1953),"-",""),".",""),"/","")," ",""),8),7,2)),"")))</f>
        <v/>
      </c>
      <c r="Y1953" s="32">
        <f>IF($X1953="","",INT($X1953))</f>
        <v/>
      </c>
      <c r="Z1953" s="33">
        <f>IF(OR($Y1953="",$D$6=""),"",IF(INDEX($A:$U,ROW(),$D$6)="",0,IF(ISNUMBER(INDEX($A:$U,ROW(),$D$6)),INDEX($A:$U,ROW(),$D$6),IFERROR(--SUBSTITUTE(SUBSTITUTE(TRIM(INDEX($A:$U,ROW(),$D$6)),",",""),"원",""),0))))</f>
        <v/>
      </c>
      <c r="AA1953" s="31">
        <f>IF($Y1953="","",TRIM(INDEX($A:$U,ROW(),$E$6)&amp;IF($F$6="",""," "&amp;INDEX($A:$U,ROW(),$F$6))))</f>
        <v/>
      </c>
      <c r="AB1953" s="31">
        <f>IF($AA1953="","",SUBSTITUTE(SUBSTITUTE(SUBSTITUTE(SUBSTITUTE(SUBSTITUTE(SUBSTITUTE(SUBSTITUTE(SUBSTITUTE(SUBSTITUTE($AA1953," ",""),"　",""),"(주)",""),"（주）",""),"㈜",""),"주식회사",""),"(유)",""),"（유）",""),"유한회사",""))</f>
        <v/>
      </c>
      <c r="AC1953" s="31">
        <f>IF(OR($Y1953="",N($Z1953)&lt;=0,$AB1953=""),0,IFERROR(LOOKUP(2,1/((거래처별!$AC$8:$AC$307&lt;&gt;"")*ISNUMBER(SEARCH(거래처별!$AC$8:$AC$307,$AB1953))),거래처별!$A$8:$A$307),IFERROR(LOOKUP(2,1/((거래처별!$AD$8:$AD$307&lt;&gt;"")*ISNUMBER(SEARCH(거래처별!$AD$8:$AD$307,$AB1953))),거래처별!$A$8:$A$307),IFERROR(LOOKUP(2,1/((거래처별!$AE$8:$AE$307&lt;&gt;"")*ISNUMBER(SEARCH(거래처별!$AE$8:$AE$307,$AB1953))),거래처별!$A$8:$A$307),0))))</f>
        <v/>
      </c>
      <c r="AD1953" s="31">
        <f>IF(AND($Y1953&lt;&gt;"",N($Z1953)&gt;0,$AC1953=0),MAX($AD$7:$AD1952)+1,"")</f>
        <v/>
      </c>
      <c r="AE1953" s="31">
        <f>IF($Y1953="",0,$Y1953)</f>
        <v/>
      </c>
    </row>
    <row r="1954">
      <c r="W1954" s="31">
        <f>IF(OR($B$5="",$C$6="",ROW()&lt;$B$5),"",IF(INDEX($A:$U,ROW(),$C$6)="","",INDEX($A:$U,ROW(),$C$6)))</f>
        <v/>
      </c>
      <c r="X1954" s="32">
        <f>IF($W1954="","",IF(ISNUMBER($W1954),IF($W1954&gt;=10000000,IFERROR(DATE(INT($W1954/10000),MOD(INT($W1954/100),100),MOD($W1954,100)),""),INT($W1954)),IFERROR(DATE(--LEFT(LEFT(SUBSTITUTE(SUBSTITUTE(SUBSTITUTE(SUBSTITUTE(TRIM($W1954),"-",""),".",""),"/","")," ",""),8),4),--MID(LEFT(SUBSTITUTE(SUBSTITUTE(SUBSTITUTE(SUBSTITUTE(TRIM($W1954),"-",""),".",""),"/","")," ",""),8),5,2),--MID(LEFT(SUBSTITUTE(SUBSTITUTE(SUBSTITUTE(SUBSTITUTE(TRIM($W1954),"-",""),".",""),"/","")," ",""),8),7,2)),"")))</f>
        <v/>
      </c>
      <c r="Y1954" s="32">
        <f>IF($X1954="","",INT($X1954))</f>
        <v/>
      </c>
      <c r="Z1954" s="33">
        <f>IF(OR($Y1954="",$D$6=""),"",IF(INDEX($A:$U,ROW(),$D$6)="",0,IF(ISNUMBER(INDEX($A:$U,ROW(),$D$6)),INDEX($A:$U,ROW(),$D$6),IFERROR(--SUBSTITUTE(SUBSTITUTE(TRIM(INDEX($A:$U,ROW(),$D$6)),",",""),"원",""),0))))</f>
        <v/>
      </c>
      <c r="AA1954" s="31">
        <f>IF($Y1954="","",TRIM(INDEX($A:$U,ROW(),$E$6)&amp;IF($F$6="",""," "&amp;INDEX($A:$U,ROW(),$F$6))))</f>
        <v/>
      </c>
      <c r="AB1954" s="31">
        <f>IF($AA1954="","",SUBSTITUTE(SUBSTITUTE(SUBSTITUTE(SUBSTITUTE(SUBSTITUTE(SUBSTITUTE(SUBSTITUTE(SUBSTITUTE(SUBSTITUTE($AA1954," ",""),"　",""),"(주)",""),"（주）",""),"㈜",""),"주식회사",""),"(유)",""),"（유）",""),"유한회사",""))</f>
        <v/>
      </c>
      <c r="AC1954" s="31">
        <f>IF(OR($Y1954="",N($Z1954)&lt;=0,$AB1954=""),0,IFERROR(LOOKUP(2,1/((거래처별!$AC$8:$AC$307&lt;&gt;"")*ISNUMBER(SEARCH(거래처별!$AC$8:$AC$307,$AB1954))),거래처별!$A$8:$A$307),IFERROR(LOOKUP(2,1/((거래처별!$AD$8:$AD$307&lt;&gt;"")*ISNUMBER(SEARCH(거래처별!$AD$8:$AD$307,$AB1954))),거래처별!$A$8:$A$307),IFERROR(LOOKUP(2,1/((거래처별!$AE$8:$AE$307&lt;&gt;"")*ISNUMBER(SEARCH(거래처별!$AE$8:$AE$307,$AB1954))),거래처별!$A$8:$A$307),0))))</f>
        <v/>
      </c>
      <c r="AD1954" s="31">
        <f>IF(AND($Y1954&lt;&gt;"",N($Z1954)&gt;0,$AC1954=0),MAX($AD$7:$AD1953)+1,"")</f>
        <v/>
      </c>
      <c r="AE1954" s="31">
        <f>IF($Y1954="",0,$Y1954)</f>
        <v/>
      </c>
    </row>
    <row r="1955">
      <c r="W1955" s="31">
        <f>IF(OR($B$5="",$C$6="",ROW()&lt;$B$5),"",IF(INDEX($A:$U,ROW(),$C$6)="","",INDEX($A:$U,ROW(),$C$6)))</f>
        <v/>
      </c>
      <c r="X1955" s="32">
        <f>IF($W1955="","",IF(ISNUMBER($W1955),IF($W1955&gt;=10000000,IFERROR(DATE(INT($W1955/10000),MOD(INT($W1955/100),100),MOD($W1955,100)),""),INT($W1955)),IFERROR(DATE(--LEFT(LEFT(SUBSTITUTE(SUBSTITUTE(SUBSTITUTE(SUBSTITUTE(TRIM($W1955),"-",""),".",""),"/","")," ",""),8),4),--MID(LEFT(SUBSTITUTE(SUBSTITUTE(SUBSTITUTE(SUBSTITUTE(TRIM($W1955),"-",""),".",""),"/","")," ",""),8),5,2),--MID(LEFT(SUBSTITUTE(SUBSTITUTE(SUBSTITUTE(SUBSTITUTE(TRIM($W1955),"-",""),".",""),"/","")," ",""),8),7,2)),"")))</f>
        <v/>
      </c>
      <c r="Y1955" s="32">
        <f>IF($X1955="","",INT($X1955))</f>
        <v/>
      </c>
      <c r="Z1955" s="33">
        <f>IF(OR($Y1955="",$D$6=""),"",IF(INDEX($A:$U,ROW(),$D$6)="",0,IF(ISNUMBER(INDEX($A:$U,ROW(),$D$6)),INDEX($A:$U,ROW(),$D$6),IFERROR(--SUBSTITUTE(SUBSTITUTE(TRIM(INDEX($A:$U,ROW(),$D$6)),",",""),"원",""),0))))</f>
        <v/>
      </c>
      <c r="AA1955" s="31">
        <f>IF($Y1955="","",TRIM(INDEX($A:$U,ROW(),$E$6)&amp;IF($F$6="",""," "&amp;INDEX($A:$U,ROW(),$F$6))))</f>
        <v/>
      </c>
      <c r="AB1955" s="31">
        <f>IF($AA1955="","",SUBSTITUTE(SUBSTITUTE(SUBSTITUTE(SUBSTITUTE(SUBSTITUTE(SUBSTITUTE(SUBSTITUTE(SUBSTITUTE(SUBSTITUTE($AA1955," ",""),"　",""),"(주)",""),"（주）",""),"㈜",""),"주식회사",""),"(유)",""),"（유）",""),"유한회사",""))</f>
        <v/>
      </c>
      <c r="AC1955" s="31">
        <f>IF(OR($Y1955="",N($Z1955)&lt;=0,$AB1955=""),0,IFERROR(LOOKUP(2,1/((거래처별!$AC$8:$AC$307&lt;&gt;"")*ISNUMBER(SEARCH(거래처별!$AC$8:$AC$307,$AB1955))),거래처별!$A$8:$A$307),IFERROR(LOOKUP(2,1/((거래처별!$AD$8:$AD$307&lt;&gt;"")*ISNUMBER(SEARCH(거래처별!$AD$8:$AD$307,$AB1955))),거래처별!$A$8:$A$307),IFERROR(LOOKUP(2,1/((거래처별!$AE$8:$AE$307&lt;&gt;"")*ISNUMBER(SEARCH(거래처별!$AE$8:$AE$307,$AB1955))),거래처별!$A$8:$A$307),0))))</f>
        <v/>
      </c>
      <c r="AD1955" s="31">
        <f>IF(AND($Y1955&lt;&gt;"",N($Z1955)&gt;0,$AC1955=0),MAX($AD$7:$AD1954)+1,"")</f>
        <v/>
      </c>
      <c r="AE1955" s="31">
        <f>IF($Y1955="",0,$Y1955)</f>
        <v/>
      </c>
    </row>
    <row r="1956">
      <c r="W1956" s="31">
        <f>IF(OR($B$5="",$C$6="",ROW()&lt;$B$5),"",IF(INDEX($A:$U,ROW(),$C$6)="","",INDEX($A:$U,ROW(),$C$6)))</f>
        <v/>
      </c>
      <c r="X1956" s="32">
        <f>IF($W1956="","",IF(ISNUMBER($W1956),IF($W1956&gt;=10000000,IFERROR(DATE(INT($W1956/10000),MOD(INT($W1956/100),100),MOD($W1956,100)),""),INT($W1956)),IFERROR(DATE(--LEFT(LEFT(SUBSTITUTE(SUBSTITUTE(SUBSTITUTE(SUBSTITUTE(TRIM($W1956),"-",""),".",""),"/","")," ",""),8),4),--MID(LEFT(SUBSTITUTE(SUBSTITUTE(SUBSTITUTE(SUBSTITUTE(TRIM($W1956),"-",""),".",""),"/","")," ",""),8),5,2),--MID(LEFT(SUBSTITUTE(SUBSTITUTE(SUBSTITUTE(SUBSTITUTE(TRIM($W1956),"-",""),".",""),"/","")," ",""),8),7,2)),"")))</f>
        <v/>
      </c>
      <c r="Y1956" s="32">
        <f>IF($X1956="","",INT($X1956))</f>
        <v/>
      </c>
      <c r="Z1956" s="33">
        <f>IF(OR($Y1956="",$D$6=""),"",IF(INDEX($A:$U,ROW(),$D$6)="",0,IF(ISNUMBER(INDEX($A:$U,ROW(),$D$6)),INDEX($A:$U,ROW(),$D$6),IFERROR(--SUBSTITUTE(SUBSTITUTE(TRIM(INDEX($A:$U,ROW(),$D$6)),",",""),"원",""),0))))</f>
        <v/>
      </c>
      <c r="AA1956" s="31">
        <f>IF($Y1956="","",TRIM(INDEX($A:$U,ROW(),$E$6)&amp;IF($F$6="",""," "&amp;INDEX($A:$U,ROW(),$F$6))))</f>
        <v/>
      </c>
      <c r="AB1956" s="31">
        <f>IF($AA1956="","",SUBSTITUTE(SUBSTITUTE(SUBSTITUTE(SUBSTITUTE(SUBSTITUTE(SUBSTITUTE(SUBSTITUTE(SUBSTITUTE(SUBSTITUTE($AA1956," ",""),"　",""),"(주)",""),"（주）",""),"㈜",""),"주식회사",""),"(유)",""),"（유）",""),"유한회사",""))</f>
        <v/>
      </c>
      <c r="AC1956" s="31">
        <f>IF(OR($Y1956="",N($Z1956)&lt;=0,$AB1956=""),0,IFERROR(LOOKUP(2,1/((거래처별!$AC$8:$AC$307&lt;&gt;"")*ISNUMBER(SEARCH(거래처별!$AC$8:$AC$307,$AB1956))),거래처별!$A$8:$A$307),IFERROR(LOOKUP(2,1/((거래처별!$AD$8:$AD$307&lt;&gt;"")*ISNUMBER(SEARCH(거래처별!$AD$8:$AD$307,$AB1956))),거래처별!$A$8:$A$307),IFERROR(LOOKUP(2,1/((거래처별!$AE$8:$AE$307&lt;&gt;"")*ISNUMBER(SEARCH(거래처별!$AE$8:$AE$307,$AB1956))),거래처별!$A$8:$A$307),0))))</f>
        <v/>
      </c>
      <c r="AD1956" s="31">
        <f>IF(AND($Y1956&lt;&gt;"",N($Z1956)&gt;0,$AC1956=0),MAX($AD$7:$AD1955)+1,"")</f>
        <v/>
      </c>
      <c r="AE1956" s="31">
        <f>IF($Y1956="",0,$Y1956)</f>
        <v/>
      </c>
    </row>
    <row r="1957">
      <c r="W1957" s="31">
        <f>IF(OR($B$5="",$C$6="",ROW()&lt;$B$5),"",IF(INDEX($A:$U,ROW(),$C$6)="","",INDEX($A:$U,ROW(),$C$6)))</f>
        <v/>
      </c>
      <c r="X1957" s="32">
        <f>IF($W1957="","",IF(ISNUMBER($W1957),IF($W1957&gt;=10000000,IFERROR(DATE(INT($W1957/10000),MOD(INT($W1957/100),100),MOD($W1957,100)),""),INT($W1957)),IFERROR(DATE(--LEFT(LEFT(SUBSTITUTE(SUBSTITUTE(SUBSTITUTE(SUBSTITUTE(TRIM($W1957),"-",""),".",""),"/","")," ",""),8),4),--MID(LEFT(SUBSTITUTE(SUBSTITUTE(SUBSTITUTE(SUBSTITUTE(TRIM($W1957),"-",""),".",""),"/","")," ",""),8),5,2),--MID(LEFT(SUBSTITUTE(SUBSTITUTE(SUBSTITUTE(SUBSTITUTE(TRIM($W1957),"-",""),".",""),"/","")," ",""),8),7,2)),"")))</f>
        <v/>
      </c>
      <c r="Y1957" s="32">
        <f>IF($X1957="","",INT($X1957))</f>
        <v/>
      </c>
      <c r="Z1957" s="33">
        <f>IF(OR($Y1957="",$D$6=""),"",IF(INDEX($A:$U,ROW(),$D$6)="",0,IF(ISNUMBER(INDEX($A:$U,ROW(),$D$6)),INDEX($A:$U,ROW(),$D$6),IFERROR(--SUBSTITUTE(SUBSTITUTE(TRIM(INDEX($A:$U,ROW(),$D$6)),",",""),"원",""),0))))</f>
        <v/>
      </c>
      <c r="AA1957" s="31">
        <f>IF($Y1957="","",TRIM(INDEX($A:$U,ROW(),$E$6)&amp;IF($F$6="",""," "&amp;INDEX($A:$U,ROW(),$F$6))))</f>
        <v/>
      </c>
      <c r="AB1957" s="31">
        <f>IF($AA1957="","",SUBSTITUTE(SUBSTITUTE(SUBSTITUTE(SUBSTITUTE(SUBSTITUTE(SUBSTITUTE(SUBSTITUTE(SUBSTITUTE(SUBSTITUTE($AA1957," ",""),"　",""),"(주)",""),"（주）",""),"㈜",""),"주식회사",""),"(유)",""),"（유）",""),"유한회사",""))</f>
        <v/>
      </c>
      <c r="AC1957" s="31">
        <f>IF(OR($Y1957="",N($Z1957)&lt;=0,$AB1957=""),0,IFERROR(LOOKUP(2,1/((거래처별!$AC$8:$AC$307&lt;&gt;"")*ISNUMBER(SEARCH(거래처별!$AC$8:$AC$307,$AB1957))),거래처별!$A$8:$A$307),IFERROR(LOOKUP(2,1/((거래처별!$AD$8:$AD$307&lt;&gt;"")*ISNUMBER(SEARCH(거래처별!$AD$8:$AD$307,$AB1957))),거래처별!$A$8:$A$307),IFERROR(LOOKUP(2,1/((거래처별!$AE$8:$AE$307&lt;&gt;"")*ISNUMBER(SEARCH(거래처별!$AE$8:$AE$307,$AB1957))),거래처별!$A$8:$A$307),0))))</f>
        <v/>
      </c>
      <c r="AD1957" s="31">
        <f>IF(AND($Y1957&lt;&gt;"",N($Z1957)&gt;0,$AC1957=0),MAX($AD$7:$AD1956)+1,"")</f>
        <v/>
      </c>
      <c r="AE1957" s="31">
        <f>IF($Y1957="",0,$Y1957)</f>
        <v/>
      </c>
    </row>
    <row r="1958">
      <c r="W1958" s="31">
        <f>IF(OR($B$5="",$C$6="",ROW()&lt;$B$5),"",IF(INDEX($A:$U,ROW(),$C$6)="","",INDEX($A:$U,ROW(),$C$6)))</f>
        <v/>
      </c>
      <c r="X1958" s="32">
        <f>IF($W1958="","",IF(ISNUMBER($W1958),IF($W1958&gt;=10000000,IFERROR(DATE(INT($W1958/10000),MOD(INT($W1958/100),100),MOD($W1958,100)),""),INT($W1958)),IFERROR(DATE(--LEFT(LEFT(SUBSTITUTE(SUBSTITUTE(SUBSTITUTE(SUBSTITUTE(TRIM($W1958),"-",""),".",""),"/","")," ",""),8),4),--MID(LEFT(SUBSTITUTE(SUBSTITUTE(SUBSTITUTE(SUBSTITUTE(TRIM($W1958),"-",""),".",""),"/","")," ",""),8),5,2),--MID(LEFT(SUBSTITUTE(SUBSTITUTE(SUBSTITUTE(SUBSTITUTE(TRIM($W1958),"-",""),".",""),"/","")," ",""),8),7,2)),"")))</f>
        <v/>
      </c>
      <c r="Y1958" s="32">
        <f>IF($X1958="","",INT($X1958))</f>
        <v/>
      </c>
      <c r="Z1958" s="33">
        <f>IF(OR($Y1958="",$D$6=""),"",IF(INDEX($A:$U,ROW(),$D$6)="",0,IF(ISNUMBER(INDEX($A:$U,ROW(),$D$6)),INDEX($A:$U,ROW(),$D$6),IFERROR(--SUBSTITUTE(SUBSTITUTE(TRIM(INDEX($A:$U,ROW(),$D$6)),",",""),"원",""),0))))</f>
        <v/>
      </c>
      <c r="AA1958" s="31">
        <f>IF($Y1958="","",TRIM(INDEX($A:$U,ROW(),$E$6)&amp;IF($F$6="",""," "&amp;INDEX($A:$U,ROW(),$F$6))))</f>
        <v/>
      </c>
      <c r="AB1958" s="31">
        <f>IF($AA1958="","",SUBSTITUTE(SUBSTITUTE(SUBSTITUTE(SUBSTITUTE(SUBSTITUTE(SUBSTITUTE(SUBSTITUTE(SUBSTITUTE(SUBSTITUTE($AA1958," ",""),"　",""),"(주)",""),"（주）",""),"㈜",""),"주식회사",""),"(유)",""),"（유）",""),"유한회사",""))</f>
        <v/>
      </c>
      <c r="AC1958" s="31">
        <f>IF(OR($Y1958="",N($Z1958)&lt;=0,$AB1958=""),0,IFERROR(LOOKUP(2,1/((거래처별!$AC$8:$AC$307&lt;&gt;"")*ISNUMBER(SEARCH(거래처별!$AC$8:$AC$307,$AB1958))),거래처별!$A$8:$A$307),IFERROR(LOOKUP(2,1/((거래처별!$AD$8:$AD$307&lt;&gt;"")*ISNUMBER(SEARCH(거래처별!$AD$8:$AD$307,$AB1958))),거래처별!$A$8:$A$307),IFERROR(LOOKUP(2,1/((거래처별!$AE$8:$AE$307&lt;&gt;"")*ISNUMBER(SEARCH(거래처별!$AE$8:$AE$307,$AB1958))),거래처별!$A$8:$A$307),0))))</f>
        <v/>
      </c>
      <c r="AD1958" s="31">
        <f>IF(AND($Y1958&lt;&gt;"",N($Z1958)&gt;0,$AC1958=0),MAX($AD$7:$AD1957)+1,"")</f>
        <v/>
      </c>
      <c r="AE1958" s="31">
        <f>IF($Y1958="",0,$Y1958)</f>
        <v/>
      </c>
    </row>
    <row r="1959">
      <c r="W1959" s="31">
        <f>IF(OR($B$5="",$C$6="",ROW()&lt;$B$5),"",IF(INDEX($A:$U,ROW(),$C$6)="","",INDEX($A:$U,ROW(),$C$6)))</f>
        <v/>
      </c>
      <c r="X1959" s="32">
        <f>IF($W1959="","",IF(ISNUMBER($W1959),IF($W1959&gt;=10000000,IFERROR(DATE(INT($W1959/10000),MOD(INT($W1959/100),100),MOD($W1959,100)),""),INT($W1959)),IFERROR(DATE(--LEFT(LEFT(SUBSTITUTE(SUBSTITUTE(SUBSTITUTE(SUBSTITUTE(TRIM($W1959),"-",""),".",""),"/","")," ",""),8),4),--MID(LEFT(SUBSTITUTE(SUBSTITUTE(SUBSTITUTE(SUBSTITUTE(TRIM($W1959),"-",""),".",""),"/","")," ",""),8),5,2),--MID(LEFT(SUBSTITUTE(SUBSTITUTE(SUBSTITUTE(SUBSTITUTE(TRIM($W1959),"-",""),".",""),"/","")," ",""),8),7,2)),"")))</f>
        <v/>
      </c>
      <c r="Y1959" s="32">
        <f>IF($X1959="","",INT($X1959))</f>
        <v/>
      </c>
      <c r="Z1959" s="33">
        <f>IF(OR($Y1959="",$D$6=""),"",IF(INDEX($A:$U,ROW(),$D$6)="",0,IF(ISNUMBER(INDEX($A:$U,ROW(),$D$6)),INDEX($A:$U,ROW(),$D$6),IFERROR(--SUBSTITUTE(SUBSTITUTE(TRIM(INDEX($A:$U,ROW(),$D$6)),",",""),"원",""),0))))</f>
        <v/>
      </c>
      <c r="AA1959" s="31">
        <f>IF($Y1959="","",TRIM(INDEX($A:$U,ROW(),$E$6)&amp;IF($F$6="",""," "&amp;INDEX($A:$U,ROW(),$F$6))))</f>
        <v/>
      </c>
      <c r="AB1959" s="31">
        <f>IF($AA1959="","",SUBSTITUTE(SUBSTITUTE(SUBSTITUTE(SUBSTITUTE(SUBSTITUTE(SUBSTITUTE(SUBSTITUTE(SUBSTITUTE(SUBSTITUTE($AA1959," ",""),"　",""),"(주)",""),"（주）",""),"㈜",""),"주식회사",""),"(유)",""),"（유）",""),"유한회사",""))</f>
        <v/>
      </c>
      <c r="AC1959" s="31">
        <f>IF(OR($Y1959="",N($Z1959)&lt;=0,$AB1959=""),0,IFERROR(LOOKUP(2,1/((거래처별!$AC$8:$AC$307&lt;&gt;"")*ISNUMBER(SEARCH(거래처별!$AC$8:$AC$307,$AB1959))),거래처별!$A$8:$A$307),IFERROR(LOOKUP(2,1/((거래처별!$AD$8:$AD$307&lt;&gt;"")*ISNUMBER(SEARCH(거래처별!$AD$8:$AD$307,$AB1959))),거래처별!$A$8:$A$307),IFERROR(LOOKUP(2,1/((거래처별!$AE$8:$AE$307&lt;&gt;"")*ISNUMBER(SEARCH(거래처별!$AE$8:$AE$307,$AB1959))),거래처별!$A$8:$A$307),0))))</f>
        <v/>
      </c>
      <c r="AD1959" s="31">
        <f>IF(AND($Y1959&lt;&gt;"",N($Z1959)&gt;0,$AC1959=0),MAX($AD$7:$AD1958)+1,"")</f>
        <v/>
      </c>
      <c r="AE1959" s="31">
        <f>IF($Y1959="",0,$Y1959)</f>
        <v/>
      </c>
    </row>
    <row r="1960">
      <c r="W1960" s="31">
        <f>IF(OR($B$5="",$C$6="",ROW()&lt;$B$5),"",IF(INDEX($A:$U,ROW(),$C$6)="","",INDEX($A:$U,ROW(),$C$6)))</f>
        <v/>
      </c>
      <c r="X1960" s="32">
        <f>IF($W1960="","",IF(ISNUMBER($W1960),IF($W1960&gt;=10000000,IFERROR(DATE(INT($W1960/10000),MOD(INT($W1960/100),100),MOD($W1960,100)),""),INT($W1960)),IFERROR(DATE(--LEFT(LEFT(SUBSTITUTE(SUBSTITUTE(SUBSTITUTE(SUBSTITUTE(TRIM($W1960),"-",""),".",""),"/","")," ",""),8),4),--MID(LEFT(SUBSTITUTE(SUBSTITUTE(SUBSTITUTE(SUBSTITUTE(TRIM($W1960),"-",""),".",""),"/","")," ",""),8),5,2),--MID(LEFT(SUBSTITUTE(SUBSTITUTE(SUBSTITUTE(SUBSTITUTE(TRIM($W1960),"-",""),".",""),"/","")," ",""),8),7,2)),"")))</f>
        <v/>
      </c>
      <c r="Y1960" s="32">
        <f>IF($X1960="","",INT($X1960))</f>
        <v/>
      </c>
      <c r="Z1960" s="33">
        <f>IF(OR($Y1960="",$D$6=""),"",IF(INDEX($A:$U,ROW(),$D$6)="",0,IF(ISNUMBER(INDEX($A:$U,ROW(),$D$6)),INDEX($A:$U,ROW(),$D$6),IFERROR(--SUBSTITUTE(SUBSTITUTE(TRIM(INDEX($A:$U,ROW(),$D$6)),",",""),"원",""),0))))</f>
        <v/>
      </c>
      <c r="AA1960" s="31">
        <f>IF($Y1960="","",TRIM(INDEX($A:$U,ROW(),$E$6)&amp;IF($F$6="",""," "&amp;INDEX($A:$U,ROW(),$F$6))))</f>
        <v/>
      </c>
      <c r="AB1960" s="31">
        <f>IF($AA1960="","",SUBSTITUTE(SUBSTITUTE(SUBSTITUTE(SUBSTITUTE(SUBSTITUTE(SUBSTITUTE(SUBSTITUTE(SUBSTITUTE(SUBSTITUTE($AA1960," ",""),"　",""),"(주)",""),"（주）",""),"㈜",""),"주식회사",""),"(유)",""),"（유）",""),"유한회사",""))</f>
        <v/>
      </c>
      <c r="AC1960" s="31">
        <f>IF(OR($Y1960="",N($Z1960)&lt;=0,$AB1960=""),0,IFERROR(LOOKUP(2,1/((거래처별!$AC$8:$AC$307&lt;&gt;"")*ISNUMBER(SEARCH(거래처별!$AC$8:$AC$307,$AB1960))),거래처별!$A$8:$A$307),IFERROR(LOOKUP(2,1/((거래처별!$AD$8:$AD$307&lt;&gt;"")*ISNUMBER(SEARCH(거래처별!$AD$8:$AD$307,$AB1960))),거래처별!$A$8:$A$307),IFERROR(LOOKUP(2,1/((거래처별!$AE$8:$AE$307&lt;&gt;"")*ISNUMBER(SEARCH(거래처별!$AE$8:$AE$307,$AB1960))),거래처별!$A$8:$A$307),0))))</f>
        <v/>
      </c>
      <c r="AD1960" s="31">
        <f>IF(AND($Y1960&lt;&gt;"",N($Z1960)&gt;0,$AC1960=0),MAX($AD$7:$AD1959)+1,"")</f>
        <v/>
      </c>
      <c r="AE1960" s="31">
        <f>IF($Y1960="",0,$Y1960)</f>
        <v/>
      </c>
    </row>
    <row r="1961">
      <c r="W1961" s="31">
        <f>IF(OR($B$5="",$C$6="",ROW()&lt;$B$5),"",IF(INDEX($A:$U,ROW(),$C$6)="","",INDEX($A:$U,ROW(),$C$6)))</f>
        <v/>
      </c>
      <c r="X1961" s="32">
        <f>IF($W1961="","",IF(ISNUMBER($W1961),IF($W1961&gt;=10000000,IFERROR(DATE(INT($W1961/10000),MOD(INT($W1961/100),100),MOD($W1961,100)),""),INT($W1961)),IFERROR(DATE(--LEFT(LEFT(SUBSTITUTE(SUBSTITUTE(SUBSTITUTE(SUBSTITUTE(TRIM($W1961),"-",""),".",""),"/","")," ",""),8),4),--MID(LEFT(SUBSTITUTE(SUBSTITUTE(SUBSTITUTE(SUBSTITUTE(TRIM($W1961),"-",""),".",""),"/","")," ",""),8),5,2),--MID(LEFT(SUBSTITUTE(SUBSTITUTE(SUBSTITUTE(SUBSTITUTE(TRIM($W1961),"-",""),".",""),"/","")," ",""),8),7,2)),"")))</f>
        <v/>
      </c>
      <c r="Y1961" s="32">
        <f>IF($X1961="","",INT($X1961))</f>
        <v/>
      </c>
      <c r="Z1961" s="33">
        <f>IF(OR($Y1961="",$D$6=""),"",IF(INDEX($A:$U,ROW(),$D$6)="",0,IF(ISNUMBER(INDEX($A:$U,ROW(),$D$6)),INDEX($A:$U,ROW(),$D$6),IFERROR(--SUBSTITUTE(SUBSTITUTE(TRIM(INDEX($A:$U,ROW(),$D$6)),",",""),"원",""),0))))</f>
        <v/>
      </c>
      <c r="AA1961" s="31">
        <f>IF($Y1961="","",TRIM(INDEX($A:$U,ROW(),$E$6)&amp;IF($F$6="",""," "&amp;INDEX($A:$U,ROW(),$F$6))))</f>
        <v/>
      </c>
      <c r="AB1961" s="31">
        <f>IF($AA1961="","",SUBSTITUTE(SUBSTITUTE(SUBSTITUTE(SUBSTITUTE(SUBSTITUTE(SUBSTITUTE(SUBSTITUTE(SUBSTITUTE(SUBSTITUTE($AA1961," ",""),"　",""),"(주)",""),"（주）",""),"㈜",""),"주식회사",""),"(유)",""),"（유）",""),"유한회사",""))</f>
        <v/>
      </c>
      <c r="AC1961" s="31">
        <f>IF(OR($Y1961="",N($Z1961)&lt;=0,$AB1961=""),0,IFERROR(LOOKUP(2,1/((거래처별!$AC$8:$AC$307&lt;&gt;"")*ISNUMBER(SEARCH(거래처별!$AC$8:$AC$307,$AB1961))),거래처별!$A$8:$A$307),IFERROR(LOOKUP(2,1/((거래처별!$AD$8:$AD$307&lt;&gt;"")*ISNUMBER(SEARCH(거래처별!$AD$8:$AD$307,$AB1961))),거래처별!$A$8:$A$307),IFERROR(LOOKUP(2,1/((거래처별!$AE$8:$AE$307&lt;&gt;"")*ISNUMBER(SEARCH(거래처별!$AE$8:$AE$307,$AB1961))),거래처별!$A$8:$A$307),0))))</f>
        <v/>
      </c>
      <c r="AD1961" s="31">
        <f>IF(AND($Y1961&lt;&gt;"",N($Z1961)&gt;0,$AC1961=0),MAX($AD$7:$AD1960)+1,"")</f>
        <v/>
      </c>
      <c r="AE1961" s="31">
        <f>IF($Y1961="",0,$Y1961)</f>
        <v/>
      </c>
    </row>
    <row r="1962">
      <c r="W1962" s="31">
        <f>IF(OR($B$5="",$C$6="",ROW()&lt;$B$5),"",IF(INDEX($A:$U,ROW(),$C$6)="","",INDEX($A:$U,ROW(),$C$6)))</f>
        <v/>
      </c>
      <c r="X1962" s="32">
        <f>IF($W1962="","",IF(ISNUMBER($W1962),IF($W1962&gt;=10000000,IFERROR(DATE(INT($W1962/10000),MOD(INT($W1962/100),100),MOD($W1962,100)),""),INT($W1962)),IFERROR(DATE(--LEFT(LEFT(SUBSTITUTE(SUBSTITUTE(SUBSTITUTE(SUBSTITUTE(TRIM($W1962),"-",""),".",""),"/","")," ",""),8),4),--MID(LEFT(SUBSTITUTE(SUBSTITUTE(SUBSTITUTE(SUBSTITUTE(TRIM($W1962),"-",""),".",""),"/","")," ",""),8),5,2),--MID(LEFT(SUBSTITUTE(SUBSTITUTE(SUBSTITUTE(SUBSTITUTE(TRIM($W1962),"-",""),".",""),"/","")," ",""),8),7,2)),"")))</f>
        <v/>
      </c>
      <c r="Y1962" s="32">
        <f>IF($X1962="","",INT($X1962))</f>
        <v/>
      </c>
      <c r="Z1962" s="33">
        <f>IF(OR($Y1962="",$D$6=""),"",IF(INDEX($A:$U,ROW(),$D$6)="",0,IF(ISNUMBER(INDEX($A:$U,ROW(),$D$6)),INDEX($A:$U,ROW(),$D$6),IFERROR(--SUBSTITUTE(SUBSTITUTE(TRIM(INDEX($A:$U,ROW(),$D$6)),",",""),"원",""),0))))</f>
        <v/>
      </c>
      <c r="AA1962" s="31">
        <f>IF($Y1962="","",TRIM(INDEX($A:$U,ROW(),$E$6)&amp;IF($F$6="",""," "&amp;INDEX($A:$U,ROW(),$F$6))))</f>
        <v/>
      </c>
      <c r="AB1962" s="31">
        <f>IF($AA1962="","",SUBSTITUTE(SUBSTITUTE(SUBSTITUTE(SUBSTITUTE(SUBSTITUTE(SUBSTITUTE(SUBSTITUTE(SUBSTITUTE(SUBSTITUTE($AA1962," ",""),"　",""),"(주)",""),"（주）",""),"㈜",""),"주식회사",""),"(유)",""),"（유）",""),"유한회사",""))</f>
        <v/>
      </c>
      <c r="AC1962" s="31">
        <f>IF(OR($Y1962="",N($Z1962)&lt;=0,$AB1962=""),0,IFERROR(LOOKUP(2,1/((거래처별!$AC$8:$AC$307&lt;&gt;"")*ISNUMBER(SEARCH(거래처별!$AC$8:$AC$307,$AB1962))),거래처별!$A$8:$A$307),IFERROR(LOOKUP(2,1/((거래처별!$AD$8:$AD$307&lt;&gt;"")*ISNUMBER(SEARCH(거래처별!$AD$8:$AD$307,$AB1962))),거래처별!$A$8:$A$307),IFERROR(LOOKUP(2,1/((거래처별!$AE$8:$AE$307&lt;&gt;"")*ISNUMBER(SEARCH(거래처별!$AE$8:$AE$307,$AB1962))),거래처별!$A$8:$A$307),0))))</f>
        <v/>
      </c>
      <c r="AD1962" s="31">
        <f>IF(AND($Y1962&lt;&gt;"",N($Z1962)&gt;0,$AC1962=0),MAX($AD$7:$AD1961)+1,"")</f>
        <v/>
      </c>
      <c r="AE1962" s="31">
        <f>IF($Y1962="",0,$Y1962)</f>
        <v/>
      </c>
    </row>
    <row r="1963">
      <c r="W1963" s="31">
        <f>IF(OR($B$5="",$C$6="",ROW()&lt;$B$5),"",IF(INDEX($A:$U,ROW(),$C$6)="","",INDEX($A:$U,ROW(),$C$6)))</f>
        <v/>
      </c>
      <c r="X1963" s="32">
        <f>IF($W1963="","",IF(ISNUMBER($W1963),IF($W1963&gt;=10000000,IFERROR(DATE(INT($W1963/10000),MOD(INT($W1963/100),100),MOD($W1963,100)),""),INT($W1963)),IFERROR(DATE(--LEFT(LEFT(SUBSTITUTE(SUBSTITUTE(SUBSTITUTE(SUBSTITUTE(TRIM($W1963),"-",""),".",""),"/","")," ",""),8),4),--MID(LEFT(SUBSTITUTE(SUBSTITUTE(SUBSTITUTE(SUBSTITUTE(TRIM($W1963),"-",""),".",""),"/","")," ",""),8),5,2),--MID(LEFT(SUBSTITUTE(SUBSTITUTE(SUBSTITUTE(SUBSTITUTE(TRIM($W1963),"-",""),".",""),"/","")," ",""),8),7,2)),"")))</f>
        <v/>
      </c>
      <c r="Y1963" s="32">
        <f>IF($X1963="","",INT($X1963))</f>
        <v/>
      </c>
      <c r="Z1963" s="33">
        <f>IF(OR($Y1963="",$D$6=""),"",IF(INDEX($A:$U,ROW(),$D$6)="",0,IF(ISNUMBER(INDEX($A:$U,ROW(),$D$6)),INDEX($A:$U,ROW(),$D$6),IFERROR(--SUBSTITUTE(SUBSTITUTE(TRIM(INDEX($A:$U,ROW(),$D$6)),",",""),"원",""),0))))</f>
        <v/>
      </c>
      <c r="AA1963" s="31">
        <f>IF($Y1963="","",TRIM(INDEX($A:$U,ROW(),$E$6)&amp;IF($F$6="",""," "&amp;INDEX($A:$U,ROW(),$F$6))))</f>
        <v/>
      </c>
      <c r="AB1963" s="31">
        <f>IF($AA1963="","",SUBSTITUTE(SUBSTITUTE(SUBSTITUTE(SUBSTITUTE(SUBSTITUTE(SUBSTITUTE(SUBSTITUTE(SUBSTITUTE(SUBSTITUTE($AA1963," ",""),"　",""),"(주)",""),"（주）",""),"㈜",""),"주식회사",""),"(유)",""),"（유）",""),"유한회사",""))</f>
        <v/>
      </c>
      <c r="AC1963" s="31">
        <f>IF(OR($Y1963="",N($Z1963)&lt;=0,$AB1963=""),0,IFERROR(LOOKUP(2,1/((거래처별!$AC$8:$AC$307&lt;&gt;"")*ISNUMBER(SEARCH(거래처별!$AC$8:$AC$307,$AB1963))),거래처별!$A$8:$A$307),IFERROR(LOOKUP(2,1/((거래처별!$AD$8:$AD$307&lt;&gt;"")*ISNUMBER(SEARCH(거래처별!$AD$8:$AD$307,$AB1963))),거래처별!$A$8:$A$307),IFERROR(LOOKUP(2,1/((거래처별!$AE$8:$AE$307&lt;&gt;"")*ISNUMBER(SEARCH(거래처별!$AE$8:$AE$307,$AB1963))),거래처별!$A$8:$A$307),0))))</f>
        <v/>
      </c>
      <c r="AD1963" s="31">
        <f>IF(AND($Y1963&lt;&gt;"",N($Z1963)&gt;0,$AC1963=0),MAX($AD$7:$AD1962)+1,"")</f>
        <v/>
      </c>
      <c r="AE1963" s="31">
        <f>IF($Y1963="",0,$Y1963)</f>
        <v/>
      </c>
    </row>
    <row r="1964">
      <c r="W1964" s="31">
        <f>IF(OR($B$5="",$C$6="",ROW()&lt;$B$5),"",IF(INDEX($A:$U,ROW(),$C$6)="","",INDEX($A:$U,ROW(),$C$6)))</f>
        <v/>
      </c>
      <c r="X1964" s="32">
        <f>IF($W1964="","",IF(ISNUMBER($W1964),IF($W1964&gt;=10000000,IFERROR(DATE(INT($W1964/10000),MOD(INT($W1964/100),100),MOD($W1964,100)),""),INT($W1964)),IFERROR(DATE(--LEFT(LEFT(SUBSTITUTE(SUBSTITUTE(SUBSTITUTE(SUBSTITUTE(TRIM($W1964),"-",""),".",""),"/","")," ",""),8),4),--MID(LEFT(SUBSTITUTE(SUBSTITUTE(SUBSTITUTE(SUBSTITUTE(TRIM($W1964),"-",""),".",""),"/","")," ",""),8),5,2),--MID(LEFT(SUBSTITUTE(SUBSTITUTE(SUBSTITUTE(SUBSTITUTE(TRIM($W1964),"-",""),".",""),"/","")," ",""),8),7,2)),"")))</f>
        <v/>
      </c>
      <c r="Y1964" s="32">
        <f>IF($X1964="","",INT($X1964))</f>
        <v/>
      </c>
      <c r="Z1964" s="33">
        <f>IF(OR($Y1964="",$D$6=""),"",IF(INDEX($A:$U,ROW(),$D$6)="",0,IF(ISNUMBER(INDEX($A:$U,ROW(),$D$6)),INDEX($A:$U,ROW(),$D$6),IFERROR(--SUBSTITUTE(SUBSTITUTE(TRIM(INDEX($A:$U,ROW(),$D$6)),",",""),"원",""),0))))</f>
        <v/>
      </c>
      <c r="AA1964" s="31">
        <f>IF($Y1964="","",TRIM(INDEX($A:$U,ROW(),$E$6)&amp;IF($F$6="",""," "&amp;INDEX($A:$U,ROW(),$F$6))))</f>
        <v/>
      </c>
      <c r="AB1964" s="31">
        <f>IF($AA1964="","",SUBSTITUTE(SUBSTITUTE(SUBSTITUTE(SUBSTITUTE(SUBSTITUTE(SUBSTITUTE(SUBSTITUTE(SUBSTITUTE(SUBSTITUTE($AA1964," ",""),"　",""),"(주)",""),"（주）",""),"㈜",""),"주식회사",""),"(유)",""),"（유）",""),"유한회사",""))</f>
        <v/>
      </c>
      <c r="AC1964" s="31">
        <f>IF(OR($Y1964="",N($Z1964)&lt;=0,$AB1964=""),0,IFERROR(LOOKUP(2,1/((거래처별!$AC$8:$AC$307&lt;&gt;"")*ISNUMBER(SEARCH(거래처별!$AC$8:$AC$307,$AB1964))),거래처별!$A$8:$A$307),IFERROR(LOOKUP(2,1/((거래처별!$AD$8:$AD$307&lt;&gt;"")*ISNUMBER(SEARCH(거래처별!$AD$8:$AD$307,$AB1964))),거래처별!$A$8:$A$307),IFERROR(LOOKUP(2,1/((거래처별!$AE$8:$AE$307&lt;&gt;"")*ISNUMBER(SEARCH(거래처별!$AE$8:$AE$307,$AB1964))),거래처별!$A$8:$A$307),0))))</f>
        <v/>
      </c>
      <c r="AD1964" s="31">
        <f>IF(AND($Y1964&lt;&gt;"",N($Z1964)&gt;0,$AC1964=0),MAX($AD$7:$AD1963)+1,"")</f>
        <v/>
      </c>
      <c r="AE1964" s="31">
        <f>IF($Y1964="",0,$Y1964)</f>
        <v/>
      </c>
    </row>
    <row r="1965">
      <c r="W1965" s="31">
        <f>IF(OR($B$5="",$C$6="",ROW()&lt;$B$5),"",IF(INDEX($A:$U,ROW(),$C$6)="","",INDEX($A:$U,ROW(),$C$6)))</f>
        <v/>
      </c>
      <c r="X1965" s="32">
        <f>IF($W1965="","",IF(ISNUMBER($W1965),IF($W1965&gt;=10000000,IFERROR(DATE(INT($W1965/10000),MOD(INT($W1965/100),100),MOD($W1965,100)),""),INT($W1965)),IFERROR(DATE(--LEFT(LEFT(SUBSTITUTE(SUBSTITUTE(SUBSTITUTE(SUBSTITUTE(TRIM($W1965),"-",""),".",""),"/","")," ",""),8),4),--MID(LEFT(SUBSTITUTE(SUBSTITUTE(SUBSTITUTE(SUBSTITUTE(TRIM($W1965),"-",""),".",""),"/","")," ",""),8),5,2),--MID(LEFT(SUBSTITUTE(SUBSTITUTE(SUBSTITUTE(SUBSTITUTE(TRIM($W1965),"-",""),".",""),"/","")," ",""),8),7,2)),"")))</f>
        <v/>
      </c>
      <c r="Y1965" s="32">
        <f>IF($X1965="","",INT($X1965))</f>
        <v/>
      </c>
      <c r="Z1965" s="33">
        <f>IF(OR($Y1965="",$D$6=""),"",IF(INDEX($A:$U,ROW(),$D$6)="",0,IF(ISNUMBER(INDEX($A:$U,ROW(),$D$6)),INDEX($A:$U,ROW(),$D$6),IFERROR(--SUBSTITUTE(SUBSTITUTE(TRIM(INDEX($A:$U,ROW(),$D$6)),",",""),"원",""),0))))</f>
        <v/>
      </c>
      <c r="AA1965" s="31">
        <f>IF($Y1965="","",TRIM(INDEX($A:$U,ROW(),$E$6)&amp;IF($F$6="",""," "&amp;INDEX($A:$U,ROW(),$F$6))))</f>
        <v/>
      </c>
      <c r="AB1965" s="31">
        <f>IF($AA1965="","",SUBSTITUTE(SUBSTITUTE(SUBSTITUTE(SUBSTITUTE(SUBSTITUTE(SUBSTITUTE(SUBSTITUTE(SUBSTITUTE(SUBSTITUTE($AA1965," ",""),"　",""),"(주)",""),"（주）",""),"㈜",""),"주식회사",""),"(유)",""),"（유）",""),"유한회사",""))</f>
        <v/>
      </c>
      <c r="AC1965" s="31">
        <f>IF(OR($Y1965="",N($Z1965)&lt;=0,$AB1965=""),0,IFERROR(LOOKUP(2,1/((거래처별!$AC$8:$AC$307&lt;&gt;"")*ISNUMBER(SEARCH(거래처별!$AC$8:$AC$307,$AB1965))),거래처별!$A$8:$A$307),IFERROR(LOOKUP(2,1/((거래처별!$AD$8:$AD$307&lt;&gt;"")*ISNUMBER(SEARCH(거래처별!$AD$8:$AD$307,$AB1965))),거래처별!$A$8:$A$307),IFERROR(LOOKUP(2,1/((거래처별!$AE$8:$AE$307&lt;&gt;"")*ISNUMBER(SEARCH(거래처별!$AE$8:$AE$307,$AB1965))),거래처별!$A$8:$A$307),0))))</f>
        <v/>
      </c>
      <c r="AD1965" s="31">
        <f>IF(AND($Y1965&lt;&gt;"",N($Z1965)&gt;0,$AC1965=0),MAX($AD$7:$AD1964)+1,"")</f>
        <v/>
      </c>
      <c r="AE1965" s="31">
        <f>IF($Y1965="",0,$Y1965)</f>
        <v/>
      </c>
    </row>
    <row r="1966">
      <c r="W1966" s="31">
        <f>IF(OR($B$5="",$C$6="",ROW()&lt;$B$5),"",IF(INDEX($A:$U,ROW(),$C$6)="","",INDEX($A:$U,ROW(),$C$6)))</f>
        <v/>
      </c>
      <c r="X1966" s="32">
        <f>IF($W1966="","",IF(ISNUMBER($W1966),IF($W1966&gt;=10000000,IFERROR(DATE(INT($W1966/10000),MOD(INT($W1966/100),100),MOD($W1966,100)),""),INT($W1966)),IFERROR(DATE(--LEFT(LEFT(SUBSTITUTE(SUBSTITUTE(SUBSTITUTE(SUBSTITUTE(TRIM($W1966),"-",""),".",""),"/","")," ",""),8),4),--MID(LEFT(SUBSTITUTE(SUBSTITUTE(SUBSTITUTE(SUBSTITUTE(TRIM($W1966),"-",""),".",""),"/","")," ",""),8),5,2),--MID(LEFT(SUBSTITUTE(SUBSTITUTE(SUBSTITUTE(SUBSTITUTE(TRIM($W1966),"-",""),".",""),"/","")," ",""),8),7,2)),"")))</f>
        <v/>
      </c>
      <c r="Y1966" s="32">
        <f>IF($X1966="","",INT($X1966))</f>
        <v/>
      </c>
      <c r="Z1966" s="33">
        <f>IF(OR($Y1966="",$D$6=""),"",IF(INDEX($A:$U,ROW(),$D$6)="",0,IF(ISNUMBER(INDEX($A:$U,ROW(),$D$6)),INDEX($A:$U,ROW(),$D$6),IFERROR(--SUBSTITUTE(SUBSTITUTE(TRIM(INDEX($A:$U,ROW(),$D$6)),",",""),"원",""),0))))</f>
        <v/>
      </c>
      <c r="AA1966" s="31">
        <f>IF($Y1966="","",TRIM(INDEX($A:$U,ROW(),$E$6)&amp;IF($F$6="",""," "&amp;INDEX($A:$U,ROW(),$F$6))))</f>
        <v/>
      </c>
      <c r="AB1966" s="31">
        <f>IF($AA1966="","",SUBSTITUTE(SUBSTITUTE(SUBSTITUTE(SUBSTITUTE(SUBSTITUTE(SUBSTITUTE(SUBSTITUTE(SUBSTITUTE(SUBSTITUTE($AA1966," ",""),"　",""),"(주)",""),"（주）",""),"㈜",""),"주식회사",""),"(유)",""),"（유）",""),"유한회사",""))</f>
        <v/>
      </c>
      <c r="AC1966" s="31">
        <f>IF(OR($Y1966="",N($Z1966)&lt;=0,$AB1966=""),0,IFERROR(LOOKUP(2,1/((거래처별!$AC$8:$AC$307&lt;&gt;"")*ISNUMBER(SEARCH(거래처별!$AC$8:$AC$307,$AB1966))),거래처별!$A$8:$A$307),IFERROR(LOOKUP(2,1/((거래처별!$AD$8:$AD$307&lt;&gt;"")*ISNUMBER(SEARCH(거래처별!$AD$8:$AD$307,$AB1966))),거래처별!$A$8:$A$307),IFERROR(LOOKUP(2,1/((거래처별!$AE$8:$AE$307&lt;&gt;"")*ISNUMBER(SEARCH(거래처별!$AE$8:$AE$307,$AB1966))),거래처별!$A$8:$A$307),0))))</f>
        <v/>
      </c>
      <c r="AD1966" s="31">
        <f>IF(AND($Y1966&lt;&gt;"",N($Z1966)&gt;0,$AC1966=0),MAX($AD$7:$AD1965)+1,"")</f>
        <v/>
      </c>
      <c r="AE1966" s="31">
        <f>IF($Y1966="",0,$Y1966)</f>
        <v/>
      </c>
    </row>
    <row r="1967">
      <c r="W1967" s="31">
        <f>IF(OR($B$5="",$C$6="",ROW()&lt;$B$5),"",IF(INDEX($A:$U,ROW(),$C$6)="","",INDEX($A:$U,ROW(),$C$6)))</f>
        <v/>
      </c>
      <c r="X1967" s="32">
        <f>IF($W1967="","",IF(ISNUMBER($W1967),IF($W1967&gt;=10000000,IFERROR(DATE(INT($W1967/10000),MOD(INT($W1967/100),100),MOD($W1967,100)),""),INT($W1967)),IFERROR(DATE(--LEFT(LEFT(SUBSTITUTE(SUBSTITUTE(SUBSTITUTE(SUBSTITUTE(TRIM($W1967),"-",""),".",""),"/","")," ",""),8),4),--MID(LEFT(SUBSTITUTE(SUBSTITUTE(SUBSTITUTE(SUBSTITUTE(TRIM($W1967),"-",""),".",""),"/","")," ",""),8),5,2),--MID(LEFT(SUBSTITUTE(SUBSTITUTE(SUBSTITUTE(SUBSTITUTE(TRIM($W1967),"-",""),".",""),"/","")," ",""),8),7,2)),"")))</f>
        <v/>
      </c>
      <c r="Y1967" s="32">
        <f>IF($X1967="","",INT($X1967))</f>
        <v/>
      </c>
      <c r="Z1967" s="33">
        <f>IF(OR($Y1967="",$D$6=""),"",IF(INDEX($A:$U,ROW(),$D$6)="",0,IF(ISNUMBER(INDEX($A:$U,ROW(),$D$6)),INDEX($A:$U,ROW(),$D$6),IFERROR(--SUBSTITUTE(SUBSTITUTE(TRIM(INDEX($A:$U,ROW(),$D$6)),",",""),"원",""),0))))</f>
        <v/>
      </c>
      <c r="AA1967" s="31">
        <f>IF($Y1967="","",TRIM(INDEX($A:$U,ROW(),$E$6)&amp;IF($F$6="",""," "&amp;INDEX($A:$U,ROW(),$F$6))))</f>
        <v/>
      </c>
      <c r="AB1967" s="31">
        <f>IF($AA1967="","",SUBSTITUTE(SUBSTITUTE(SUBSTITUTE(SUBSTITUTE(SUBSTITUTE(SUBSTITUTE(SUBSTITUTE(SUBSTITUTE(SUBSTITUTE($AA1967," ",""),"　",""),"(주)",""),"（주）",""),"㈜",""),"주식회사",""),"(유)",""),"（유）",""),"유한회사",""))</f>
        <v/>
      </c>
      <c r="AC1967" s="31">
        <f>IF(OR($Y1967="",N($Z1967)&lt;=0,$AB1967=""),0,IFERROR(LOOKUP(2,1/((거래처별!$AC$8:$AC$307&lt;&gt;"")*ISNUMBER(SEARCH(거래처별!$AC$8:$AC$307,$AB1967))),거래처별!$A$8:$A$307),IFERROR(LOOKUP(2,1/((거래처별!$AD$8:$AD$307&lt;&gt;"")*ISNUMBER(SEARCH(거래처별!$AD$8:$AD$307,$AB1967))),거래처별!$A$8:$A$307),IFERROR(LOOKUP(2,1/((거래처별!$AE$8:$AE$307&lt;&gt;"")*ISNUMBER(SEARCH(거래처별!$AE$8:$AE$307,$AB1967))),거래처별!$A$8:$A$307),0))))</f>
        <v/>
      </c>
      <c r="AD1967" s="31">
        <f>IF(AND($Y1967&lt;&gt;"",N($Z1967)&gt;0,$AC1967=0),MAX($AD$7:$AD1966)+1,"")</f>
        <v/>
      </c>
      <c r="AE1967" s="31">
        <f>IF($Y1967="",0,$Y1967)</f>
        <v/>
      </c>
    </row>
    <row r="1968">
      <c r="W1968" s="31">
        <f>IF(OR($B$5="",$C$6="",ROW()&lt;$B$5),"",IF(INDEX($A:$U,ROW(),$C$6)="","",INDEX($A:$U,ROW(),$C$6)))</f>
        <v/>
      </c>
      <c r="X1968" s="32">
        <f>IF($W1968="","",IF(ISNUMBER($W1968),IF($W1968&gt;=10000000,IFERROR(DATE(INT($W1968/10000),MOD(INT($W1968/100),100),MOD($W1968,100)),""),INT($W1968)),IFERROR(DATE(--LEFT(LEFT(SUBSTITUTE(SUBSTITUTE(SUBSTITUTE(SUBSTITUTE(TRIM($W1968),"-",""),".",""),"/","")," ",""),8),4),--MID(LEFT(SUBSTITUTE(SUBSTITUTE(SUBSTITUTE(SUBSTITUTE(TRIM($W1968),"-",""),".",""),"/","")," ",""),8),5,2),--MID(LEFT(SUBSTITUTE(SUBSTITUTE(SUBSTITUTE(SUBSTITUTE(TRIM($W1968),"-",""),".",""),"/","")," ",""),8),7,2)),"")))</f>
        <v/>
      </c>
      <c r="Y1968" s="32">
        <f>IF($X1968="","",INT($X1968))</f>
        <v/>
      </c>
      <c r="Z1968" s="33">
        <f>IF(OR($Y1968="",$D$6=""),"",IF(INDEX($A:$U,ROW(),$D$6)="",0,IF(ISNUMBER(INDEX($A:$U,ROW(),$D$6)),INDEX($A:$U,ROW(),$D$6),IFERROR(--SUBSTITUTE(SUBSTITUTE(TRIM(INDEX($A:$U,ROW(),$D$6)),",",""),"원",""),0))))</f>
        <v/>
      </c>
      <c r="AA1968" s="31">
        <f>IF($Y1968="","",TRIM(INDEX($A:$U,ROW(),$E$6)&amp;IF($F$6="",""," "&amp;INDEX($A:$U,ROW(),$F$6))))</f>
        <v/>
      </c>
      <c r="AB1968" s="31">
        <f>IF($AA1968="","",SUBSTITUTE(SUBSTITUTE(SUBSTITUTE(SUBSTITUTE(SUBSTITUTE(SUBSTITUTE(SUBSTITUTE(SUBSTITUTE(SUBSTITUTE($AA1968," ",""),"　",""),"(주)",""),"（주）",""),"㈜",""),"주식회사",""),"(유)",""),"（유）",""),"유한회사",""))</f>
        <v/>
      </c>
      <c r="AC1968" s="31">
        <f>IF(OR($Y1968="",N($Z1968)&lt;=0,$AB1968=""),0,IFERROR(LOOKUP(2,1/((거래처별!$AC$8:$AC$307&lt;&gt;"")*ISNUMBER(SEARCH(거래처별!$AC$8:$AC$307,$AB1968))),거래처별!$A$8:$A$307),IFERROR(LOOKUP(2,1/((거래처별!$AD$8:$AD$307&lt;&gt;"")*ISNUMBER(SEARCH(거래처별!$AD$8:$AD$307,$AB1968))),거래처별!$A$8:$A$307),IFERROR(LOOKUP(2,1/((거래처별!$AE$8:$AE$307&lt;&gt;"")*ISNUMBER(SEARCH(거래처별!$AE$8:$AE$307,$AB1968))),거래처별!$A$8:$A$307),0))))</f>
        <v/>
      </c>
      <c r="AD1968" s="31">
        <f>IF(AND($Y1968&lt;&gt;"",N($Z1968)&gt;0,$AC1968=0),MAX($AD$7:$AD1967)+1,"")</f>
        <v/>
      </c>
      <c r="AE1968" s="31">
        <f>IF($Y1968="",0,$Y1968)</f>
        <v/>
      </c>
    </row>
    <row r="1969">
      <c r="W1969" s="31">
        <f>IF(OR($B$5="",$C$6="",ROW()&lt;$B$5),"",IF(INDEX($A:$U,ROW(),$C$6)="","",INDEX($A:$U,ROW(),$C$6)))</f>
        <v/>
      </c>
      <c r="X1969" s="32">
        <f>IF($W1969="","",IF(ISNUMBER($W1969),IF($W1969&gt;=10000000,IFERROR(DATE(INT($W1969/10000),MOD(INT($W1969/100),100),MOD($W1969,100)),""),INT($W1969)),IFERROR(DATE(--LEFT(LEFT(SUBSTITUTE(SUBSTITUTE(SUBSTITUTE(SUBSTITUTE(TRIM($W1969),"-",""),".",""),"/","")," ",""),8),4),--MID(LEFT(SUBSTITUTE(SUBSTITUTE(SUBSTITUTE(SUBSTITUTE(TRIM($W1969),"-",""),".",""),"/","")," ",""),8),5,2),--MID(LEFT(SUBSTITUTE(SUBSTITUTE(SUBSTITUTE(SUBSTITUTE(TRIM($W1969),"-",""),".",""),"/","")," ",""),8),7,2)),"")))</f>
        <v/>
      </c>
      <c r="Y1969" s="32">
        <f>IF($X1969="","",INT($X1969))</f>
        <v/>
      </c>
      <c r="Z1969" s="33">
        <f>IF(OR($Y1969="",$D$6=""),"",IF(INDEX($A:$U,ROW(),$D$6)="",0,IF(ISNUMBER(INDEX($A:$U,ROW(),$D$6)),INDEX($A:$U,ROW(),$D$6),IFERROR(--SUBSTITUTE(SUBSTITUTE(TRIM(INDEX($A:$U,ROW(),$D$6)),",",""),"원",""),0))))</f>
        <v/>
      </c>
      <c r="AA1969" s="31">
        <f>IF($Y1969="","",TRIM(INDEX($A:$U,ROW(),$E$6)&amp;IF($F$6="",""," "&amp;INDEX($A:$U,ROW(),$F$6))))</f>
        <v/>
      </c>
      <c r="AB1969" s="31">
        <f>IF($AA1969="","",SUBSTITUTE(SUBSTITUTE(SUBSTITUTE(SUBSTITUTE(SUBSTITUTE(SUBSTITUTE(SUBSTITUTE(SUBSTITUTE(SUBSTITUTE($AA1969," ",""),"　",""),"(주)",""),"（주）",""),"㈜",""),"주식회사",""),"(유)",""),"（유）",""),"유한회사",""))</f>
        <v/>
      </c>
      <c r="AC1969" s="31">
        <f>IF(OR($Y1969="",N($Z1969)&lt;=0,$AB1969=""),0,IFERROR(LOOKUP(2,1/((거래처별!$AC$8:$AC$307&lt;&gt;"")*ISNUMBER(SEARCH(거래처별!$AC$8:$AC$307,$AB1969))),거래처별!$A$8:$A$307),IFERROR(LOOKUP(2,1/((거래처별!$AD$8:$AD$307&lt;&gt;"")*ISNUMBER(SEARCH(거래처별!$AD$8:$AD$307,$AB1969))),거래처별!$A$8:$A$307),IFERROR(LOOKUP(2,1/((거래처별!$AE$8:$AE$307&lt;&gt;"")*ISNUMBER(SEARCH(거래처별!$AE$8:$AE$307,$AB1969))),거래처별!$A$8:$A$307),0))))</f>
        <v/>
      </c>
      <c r="AD1969" s="31">
        <f>IF(AND($Y1969&lt;&gt;"",N($Z1969)&gt;0,$AC1969=0),MAX($AD$7:$AD1968)+1,"")</f>
        <v/>
      </c>
      <c r="AE1969" s="31">
        <f>IF($Y1969="",0,$Y1969)</f>
        <v/>
      </c>
    </row>
    <row r="1970">
      <c r="W1970" s="31">
        <f>IF(OR($B$5="",$C$6="",ROW()&lt;$B$5),"",IF(INDEX($A:$U,ROW(),$C$6)="","",INDEX($A:$U,ROW(),$C$6)))</f>
        <v/>
      </c>
      <c r="X1970" s="32">
        <f>IF($W1970="","",IF(ISNUMBER($W1970),IF($W1970&gt;=10000000,IFERROR(DATE(INT($W1970/10000),MOD(INT($W1970/100),100),MOD($W1970,100)),""),INT($W1970)),IFERROR(DATE(--LEFT(LEFT(SUBSTITUTE(SUBSTITUTE(SUBSTITUTE(SUBSTITUTE(TRIM($W1970),"-",""),".",""),"/","")," ",""),8),4),--MID(LEFT(SUBSTITUTE(SUBSTITUTE(SUBSTITUTE(SUBSTITUTE(TRIM($W1970),"-",""),".",""),"/","")," ",""),8),5,2),--MID(LEFT(SUBSTITUTE(SUBSTITUTE(SUBSTITUTE(SUBSTITUTE(TRIM($W1970),"-",""),".",""),"/","")," ",""),8),7,2)),"")))</f>
        <v/>
      </c>
      <c r="Y1970" s="32">
        <f>IF($X1970="","",INT($X1970))</f>
        <v/>
      </c>
      <c r="Z1970" s="33">
        <f>IF(OR($Y1970="",$D$6=""),"",IF(INDEX($A:$U,ROW(),$D$6)="",0,IF(ISNUMBER(INDEX($A:$U,ROW(),$D$6)),INDEX($A:$U,ROW(),$D$6),IFERROR(--SUBSTITUTE(SUBSTITUTE(TRIM(INDEX($A:$U,ROW(),$D$6)),",",""),"원",""),0))))</f>
        <v/>
      </c>
      <c r="AA1970" s="31">
        <f>IF($Y1970="","",TRIM(INDEX($A:$U,ROW(),$E$6)&amp;IF($F$6="",""," "&amp;INDEX($A:$U,ROW(),$F$6))))</f>
        <v/>
      </c>
      <c r="AB1970" s="31">
        <f>IF($AA1970="","",SUBSTITUTE(SUBSTITUTE(SUBSTITUTE(SUBSTITUTE(SUBSTITUTE(SUBSTITUTE(SUBSTITUTE(SUBSTITUTE(SUBSTITUTE($AA1970," ",""),"　",""),"(주)",""),"（주）",""),"㈜",""),"주식회사",""),"(유)",""),"（유）",""),"유한회사",""))</f>
        <v/>
      </c>
      <c r="AC1970" s="31">
        <f>IF(OR($Y1970="",N($Z1970)&lt;=0,$AB1970=""),0,IFERROR(LOOKUP(2,1/((거래처별!$AC$8:$AC$307&lt;&gt;"")*ISNUMBER(SEARCH(거래처별!$AC$8:$AC$307,$AB1970))),거래처별!$A$8:$A$307),IFERROR(LOOKUP(2,1/((거래처별!$AD$8:$AD$307&lt;&gt;"")*ISNUMBER(SEARCH(거래처별!$AD$8:$AD$307,$AB1970))),거래처별!$A$8:$A$307),IFERROR(LOOKUP(2,1/((거래처별!$AE$8:$AE$307&lt;&gt;"")*ISNUMBER(SEARCH(거래처별!$AE$8:$AE$307,$AB1970))),거래처별!$A$8:$A$307),0))))</f>
        <v/>
      </c>
      <c r="AD1970" s="31">
        <f>IF(AND($Y1970&lt;&gt;"",N($Z1970)&gt;0,$AC1970=0),MAX($AD$7:$AD1969)+1,"")</f>
        <v/>
      </c>
      <c r="AE1970" s="31">
        <f>IF($Y1970="",0,$Y1970)</f>
        <v/>
      </c>
    </row>
    <row r="1971">
      <c r="W1971" s="31">
        <f>IF(OR($B$5="",$C$6="",ROW()&lt;$B$5),"",IF(INDEX($A:$U,ROW(),$C$6)="","",INDEX($A:$U,ROW(),$C$6)))</f>
        <v/>
      </c>
      <c r="X1971" s="32">
        <f>IF($W1971="","",IF(ISNUMBER($W1971),IF($W1971&gt;=10000000,IFERROR(DATE(INT($W1971/10000),MOD(INT($W1971/100),100),MOD($W1971,100)),""),INT($W1971)),IFERROR(DATE(--LEFT(LEFT(SUBSTITUTE(SUBSTITUTE(SUBSTITUTE(SUBSTITUTE(TRIM($W1971),"-",""),".",""),"/","")," ",""),8),4),--MID(LEFT(SUBSTITUTE(SUBSTITUTE(SUBSTITUTE(SUBSTITUTE(TRIM($W1971),"-",""),".",""),"/","")," ",""),8),5,2),--MID(LEFT(SUBSTITUTE(SUBSTITUTE(SUBSTITUTE(SUBSTITUTE(TRIM($W1971),"-",""),".",""),"/","")," ",""),8),7,2)),"")))</f>
        <v/>
      </c>
      <c r="Y1971" s="32">
        <f>IF($X1971="","",INT($X1971))</f>
        <v/>
      </c>
      <c r="Z1971" s="33">
        <f>IF(OR($Y1971="",$D$6=""),"",IF(INDEX($A:$U,ROW(),$D$6)="",0,IF(ISNUMBER(INDEX($A:$U,ROW(),$D$6)),INDEX($A:$U,ROW(),$D$6),IFERROR(--SUBSTITUTE(SUBSTITUTE(TRIM(INDEX($A:$U,ROW(),$D$6)),",",""),"원",""),0))))</f>
        <v/>
      </c>
      <c r="AA1971" s="31">
        <f>IF($Y1971="","",TRIM(INDEX($A:$U,ROW(),$E$6)&amp;IF($F$6="",""," "&amp;INDEX($A:$U,ROW(),$F$6))))</f>
        <v/>
      </c>
      <c r="AB1971" s="31">
        <f>IF($AA1971="","",SUBSTITUTE(SUBSTITUTE(SUBSTITUTE(SUBSTITUTE(SUBSTITUTE(SUBSTITUTE(SUBSTITUTE(SUBSTITUTE(SUBSTITUTE($AA1971," ",""),"　",""),"(주)",""),"（주）",""),"㈜",""),"주식회사",""),"(유)",""),"（유）",""),"유한회사",""))</f>
        <v/>
      </c>
      <c r="AC1971" s="31">
        <f>IF(OR($Y1971="",N($Z1971)&lt;=0,$AB1971=""),0,IFERROR(LOOKUP(2,1/((거래처별!$AC$8:$AC$307&lt;&gt;"")*ISNUMBER(SEARCH(거래처별!$AC$8:$AC$307,$AB1971))),거래처별!$A$8:$A$307),IFERROR(LOOKUP(2,1/((거래처별!$AD$8:$AD$307&lt;&gt;"")*ISNUMBER(SEARCH(거래처별!$AD$8:$AD$307,$AB1971))),거래처별!$A$8:$A$307),IFERROR(LOOKUP(2,1/((거래처별!$AE$8:$AE$307&lt;&gt;"")*ISNUMBER(SEARCH(거래처별!$AE$8:$AE$307,$AB1971))),거래처별!$A$8:$A$307),0))))</f>
        <v/>
      </c>
      <c r="AD1971" s="31">
        <f>IF(AND($Y1971&lt;&gt;"",N($Z1971)&gt;0,$AC1971=0),MAX($AD$7:$AD1970)+1,"")</f>
        <v/>
      </c>
      <c r="AE1971" s="31">
        <f>IF($Y1971="",0,$Y1971)</f>
        <v/>
      </c>
    </row>
    <row r="1972">
      <c r="W1972" s="31">
        <f>IF(OR($B$5="",$C$6="",ROW()&lt;$B$5),"",IF(INDEX($A:$U,ROW(),$C$6)="","",INDEX($A:$U,ROW(),$C$6)))</f>
        <v/>
      </c>
      <c r="X1972" s="32">
        <f>IF($W1972="","",IF(ISNUMBER($W1972),IF($W1972&gt;=10000000,IFERROR(DATE(INT($W1972/10000),MOD(INT($W1972/100),100),MOD($W1972,100)),""),INT($W1972)),IFERROR(DATE(--LEFT(LEFT(SUBSTITUTE(SUBSTITUTE(SUBSTITUTE(SUBSTITUTE(TRIM($W1972),"-",""),".",""),"/","")," ",""),8),4),--MID(LEFT(SUBSTITUTE(SUBSTITUTE(SUBSTITUTE(SUBSTITUTE(TRIM($W1972),"-",""),".",""),"/","")," ",""),8),5,2),--MID(LEFT(SUBSTITUTE(SUBSTITUTE(SUBSTITUTE(SUBSTITUTE(TRIM($W1972),"-",""),".",""),"/","")," ",""),8),7,2)),"")))</f>
        <v/>
      </c>
      <c r="Y1972" s="32">
        <f>IF($X1972="","",INT($X1972))</f>
        <v/>
      </c>
      <c r="Z1972" s="33">
        <f>IF(OR($Y1972="",$D$6=""),"",IF(INDEX($A:$U,ROW(),$D$6)="",0,IF(ISNUMBER(INDEX($A:$U,ROW(),$D$6)),INDEX($A:$U,ROW(),$D$6),IFERROR(--SUBSTITUTE(SUBSTITUTE(TRIM(INDEX($A:$U,ROW(),$D$6)),",",""),"원",""),0))))</f>
        <v/>
      </c>
      <c r="AA1972" s="31">
        <f>IF($Y1972="","",TRIM(INDEX($A:$U,ROW(),$E$6)&amp;IF($F$6="",""," "&amp;INDEX($A:$U,ROW(),$F$6))))</f>
        <v/>
      </c>
      <c r="AB1972" s="31">
        <f>IF($AA1972="","",SUBSTITUTE(SUBSTITUTE(SUBSTITUTE(SUBSTITUTE(SUBSTITUTE(SUBSTITUTE(SUBSTITUTE(SUBSTITUTE(SUBSTITUTE($AA1972," ",""),"　",""),"(주)",""),"（주）",""),"㈜",""),"주식회사",""),"(유)",""),"（유）",""),"유한회사",""))</f>
        <v/>
      </c>
      <c r="AC1972" s="31">
        <f>IF(OR($Y1972="",N($Z1972)&lt;=0,$AB1972=""),0,IFERROR(LOOKUP(2,1/((거래처별!$AC$8:$AC$307&lt;&gt;"")*ISNUMBER(SEARCH(거래처별!$AC$8:$AC$307,$AB1972))),거래처별!$A$8:$A$307),IFERROR(LOOKUP(2,1/((거래처별!$AD$8:$AD$307&lt;&gt;"")*ISNUMBER(SEARCH(거래처별!$AD$8:$AD$307,$AB1972))),거래처별!$A$8:$A$307),IFERROR(LOOKUP(2,1/((거래처별!$AE$8:$AE$307&lt;&gt;"")*ISNUMBER(SEARCH(거래처별!$AE$8:$AE$307,$AB1972))),거래처별!$A$8:$A$307),0))))</f>
        <v/>
      </c>
      <c r="AD1972" s="31">
        <f>IF(AND($Y1972&lt;&gt;"",N($Z1972)&gt;0,$AC1972=0),MAX($AD$7:$AD1971)+1,"")</f>
        <v/>
      </c>
      <c r="AE1972" s="31">
        <f>IF($Y1972="",0,$Y1972)</f>
        <v/>
      </c>
    </row>
    <row r="1973">
      <c r="W1973" s="31">
        <f>IF(OR($B$5="",$C$6="",ROW()&lt;$B$5),"",IF(INDEX($A:$U,ROW(),$C$6)="","",INDEX($A:$U,ROW(),$C$6)))</f>
        <v/>
      </c>
      <c r="X1973" s="32">
        <f>IF($W1973="","",IF(ISNUMBER($W1973),IF($W1973&gt;=10000000,IFERROR(DATE(INT($W1973/10000),MOD(INT($W1973/100),100),MOD($W1973,100)),""),INT($W1973)),IFERROR(DATE(--LEFT(LEFT(SUBSTITUTE(SUBSTITUTE(SUBSTITUTE(SUBSTITUTE(TRIM($W1973),"-",""),".",""),"/","")," ",""),8),4),--MID(LEFT(SUBSTITUTE(SUBSTITUTE(SUBSTITUTE(SUBSTITUTE(TRIM($W1973),"-",""),".",""),"/","")," ",""),8),5,2),--MID(LEFT(SUBSTITUTE(SUBSTITUTE(SUBSTITUTE(SUBSTITUTE(TRIM($W1973),"-",""),".",""),"/","")," ",""),8),7,2)),"")))</f>
        <v/>
      </c>
      <c r="Y1973" s="32">
        <f>IF($X1973="","",INT($X1973))</f>
        <v/>
      </c>
      <c r="Z1973" s="33">
        <f>IF(OR($Y1973="",$D$6=""),"",IF(INDEX($A:$U,ROW(),$D$6)="",0,IF(ISNUMBER(INDEX($A:$U,ROW(),$D$6)),INDEX($A:$U,ROW(),$D$6),IFERROR(--SUBSTITUTE(SUBSTITUTE(TRIM(INDEX($A:$U,ROW(),$D$6)),",",""),"원",""),0))))</f>
        <v/>
      </c>
      <c r="AA1973" s="31">
        <f>IF($Y1973="","",TRIM(INDEX($A:$U,ROW(),$E$6)&amp;IF($F$6="",""," "&amp;INDEX($A:$U,ROW(),$F$6))))</f>
        <v/>
      </c>
      <c r="AB1973" s="31">
        <f>IF($AA1973="","",SUBSTITUTE(SUBSTITUTE(SUBSTITUTE(SUBSTITUTE(SUBSTITUTE(SUBSTITUTE(SUBSTITUTE(SUBSTITUTE(SUBSTITUTE($AA1973," ",""),"　",""),"(주)",""),"（주）",""),"㈜",""),"주식회사",""),"(유)",""),"（유）",""),"유한회사",""))</f>
        <v/>
      </c>
      <c r="AC1973" s="31">
        <f>IF(OR($Y1973="",N($Z1973)&lt;=0,$AB1973=""),0,IFERROR(LOOKUP(2,1/((거래처별!$AC$8:$AC$307&lt;&gt;"")*ISNUMBER(SEARCH(거래처별!$AC$8:$AC$307,$AB1973))),거래처별!$A$8:$A$307),IFERROR(LOOKUP(2,1/((거래처별!$AD$8:$AD$307&lt;&gt;"")*ISNUMBER(SEARCH(거래처별!$AD$8:$AD$307,$AB1973))),거래처별!$A$8:$A$307),IFERROR(LOOKUP(2,1/((거래처별!$AE$8:$AE$307&lt;&gt;"")*ISNUMBER(SEARCH(거래처별!$AE$8:$AE$307,$AB1973))),거래처별!$A$8:$A$307),0))))</f>
        <v/>
      </c>
      <c r="AD1973" s="31">
        <f>IF(AND($Y1973&lt;&gt;"",N($Z1973)&gt;0,$AC1973=0),MAX($AD$7:$AD1972)+1,"")</f>
        <v/>
      </c>
      <c r="AE1973" s="31">
        <f>IF($Y1973="",0,$Y1973)</f>
        <v/>
      </c>
    </row>
    <row r="1974">
      <c r="W1974" s="31">
        <f>IF(OR($B$5="",$C$6="",ROW()&lt;$B$5),"",IF(INDEX($A:$U,ROW(),$C$6)="","",INDEX($A:$U,ROW(),$C$6)))</f>
        <v/>
      </c>
      <c r="X1974" s="32">
        <f>IF($W1974="","",IF(ISNUMBER($W1974),IF($W1974&gt;=10000000,IFERROR(DATE(INT($W1974/10000),MOD(INT($W1974/100),100),MOD($W1974,100)),""),INT($W1974)),IFERROR(DATE(--LEFT(LEFT(SUBSTITUTE(SUBSTITUTE(SUBSTITUTE(SUBSTITUTE(TRIM($W1974),"-",""),".",""),"/","")," ",""),8),4),--MID(LEFT(SUBSTITUTE(SUBSTITUTE(SUBSTITUTE(SUBSTITUTE(TRIM($W1974),"-",""),".",""),"/","")," ",""),8),5,2),--MID(LEFT(SUBSTITUTE(SUBSTITUTE(SUBSTITUTE(SUBSTITUTE(TRIM($W1974),"-",""),".",""),"/","")," ",""),8),7,2)),"")))</f>
        <v/>
      </c>
      <c r="Y1974" s="32">
        <f>IF($X1974="","",INT($X1974))</f>
        <v/>
      </c>
      <c r="Z1974" s="33">
        <f>IF(OR($Y1974="",$D$6=""),"",IF(INDEX($A:$U,ROW(),$D$6)="",0,IF(ISNUMBER(INDEX($A:$U,ROW(),$D$6)),INDEX($A:$U,ROW(),$D$6),IFERROR(--SUBSTITUTE(SUBSTITUTE(TRIM(INDEX($A:$U,ROW(),$D$6)),",",""),"원",""),0))))</f>
        <v/>
      </c>
      <c r="AA1974" s="31">
        <f>IF($Y1974="","",TRIM(INDEX($A:$U,ROW(),$E$6)&amp;IF($F$6="",""," "&amp;INDEX($A:$U,ROW(),$F$6))))</f>
        <v/>
      </c>
      <c r="AB1974" s="31">
        <f>IF($AA1974="","",SUBSTITUTE(SUBSTITUTE(SUBSTITUTE(SUBSTITUTE(SUBSTITUTE(SUBSTITUTE(SUBSTITUTE(SUBSTITUTE(SUBSTITUTE($AA1974," ",""),"　",""),"(주)",""),"（주）",""),"㈜",""),"주식회사",""),"(유)",""),"（유）",""),"유한회사",""))</f>
        <v/>
      </c>
      <c r="AC1974" s="31">
        <f>IF(OR($Y1974="",N($Z1974)&lt;=0,$AB1974=""),0,IFERROR(LOOKUP(2,1/((거래처별!$AC$8:$AC$307&lt;&gt;"")*ISNUMBER(SEARCH(거래처별!$AC$8:$AC$307,$AB1974))),거래처별!$A$8:$A$307),IFERROR(LOOKUP(2,1/((거래처별!$AD$8:$AD$307&lt;&gt;"")*ISNUMBER(SEARCH(거래처별!$AD$8:$AD$307,$AB1974))),거래처별!$A$8:$A$307),IFERROR(LOOKUP(2,1/((거래처별!$AE$8:$AE$307&lt;&gt;"")*ISNUMBER(SEARCH(거래처별!$AE$8:$AE$307,$AB1974))),거래처별!$A$8:$A$307),0))))</f>
        <v/>
      </c>
      <c r="AD1974" s="31">
        <f>IF(AND($Y1974&lt;&gt;"",N($Z1974)&gt;0,$AC1974=0),MAX($AD$7:$AD1973)+1,"")</f>
        <v/>
      </c>
      <c r="AE1974" s="31">
        <f>IF($Y1974="",0,$Y1974)</f>
        <v/>
      </c>
    </row>
    <row r="1975">
      <c r="W1975" s="31">
        <f>IF(OR($B$5="",$C$6="",ROW()&lt;$B$5),"",IF(INDEX($A:$U,ROW(),$C$6)="","",INDEX($A:$U,ROW(),$C$6)))</f>
        <v/>
      </c>
      <c r="X1975" s="32">
        <f>IF($W1975="","",IF(ISNUMBER($W1975),IF($W1975&gt;=10000000,IFERROR(DATE(INT($W1975/10000),MOD(INT($W1975/100),100),MOD($W1975,100)),""),INT($W1975)),IFERROR(DATE(--LEFT(LEFT(SUBSTITUTE(SUBSTITUTE(SUBSTITUTE(SUBSTITUTE(TRIM($W1975),"-",""),".",""),"/","")," ",""),8),4),--MID(LEFT(SUBSTITUTE(SUBSTITUTE(SUBSTITUTE(SUBSTITUTE(TRIM($W1975),"-",""),".",""),"/","")," ",""),8),5,2),--MID(LEFT(SUBSTITUTE(SUBSTITUTE(SUBSTITUTE(SUBSTITUTE(TRIM($W1975),"-",""),".",""),"/","")," ",""),8),7,2)),"")))</f>
        <v/>
      </c>
      <c r="Y1975" s="32">
        <f>IF($X1975="","",INT($X1975))</f>
        <v/>
      </c>
      <c r="Z1975" s="33">
        <f>IF(OR($Y1975="",$D$6=""),"",IF(INDEX($A:$U,ROW(),$D$6)="",0,IF(ISNUMBER(INDEX($A:$U,ROW(),$D$6)),INDEX($A:$U,ROW(),$D$6),IFERROR(--SUBSTITUTE(SUBSTITUTE(TRIM(INDEX($A:$U,ROW(),$D$6)),",",""),"원",""),0))))</f>
        <v/>
      </c>
      <c r="AA1975" s="31">
        <f>IF($Y1975="","",TRIM(INDEX($A:$U,ROW(),$E$6)&amp;IF($F$6="",""," "&amp;INDEX($A:$U,ROW(),$F$6))))</f>
        <v/>
      </c>
      <c r="AB1975" s="31">
        <f>IF($AA1975="","",SUBSTITUTE(SUBSTITUTE(SUBSTITUTE(SUBSTITUTE(SUBSTITUTE(SUBSTITUTE(SUBSTITUTE(SUBSTITUTE(SUBSTITUTE($AA1975," ",""),"　",""),"(주)",""),"（주）",""),"㈜",""),"주식회사",""),"(유)",""),"（유）",""),"유한회사",""))</f>
        <v/>
      </c>
      <c r="AC1975" s="31">
        <f>IF(OR($Y1975="",N($Z1975)&lt;=0,$AB1975=""),0,IFERROR(LOOKUP(2,1/((거래처별!$AC$8:$AC$307&lt;&gt;"")*ISNUMBER(SEARCH(거래처별!$AC$8:$AC$307,$AB1975))),거래처별!$A$8:$A$307),IFERROR(LOOKUP(2,1/((거래처별!$AD$8:$AD$307&lt;&gt;"")*ISNUMBER(SEARCH(거래처별!$AD$8:$AD$307,$AB1975))),거래처별!$A$8:$A$307),IFERROR(LOOKUP(2,1/((거래처별!$AE$8:$AE$307&lt;&gt;"")*ISNUMBER(SEARCH(거래처별!$AE$8:$AE$307,$AB1975))),거래처별!$A$8:$A$307),0))))</f>
        <v/>
      </c>
      <c r="AD1975" s="31">
        <f>IF(AND($Y1975&lt;&gt;"",N($Z1975)&gt;0,$AC1975=0),MAX($AD$7:$AD1974)+1,"")</f>
        <v/>
      </c>
      <c r="AE1975" s="31">
        <f>IF($Y1975="",0,$Y1975)</f>
        <v/>
      </c>
    </row>
    <row r="1976">
      <c r="W1976" s="31">
        <f>IF(OR($B$5="",$C$6="",ROW()&lt;$B$5),"",IF(INDEX($A:$U,ROW(),$C$6)="","",INDEX($A:$U,ROW(),$C$6)))</f>
        <v/>
      </c>
      <c r="X1976" s="32">
        <f>IF($W1976="","",IF(ISNUMBER($W1976),IF($W1976&gt;=10000000,IFERROR(DATE(INT($W1976/10000),MOD(INT($W1976/100),100),MOD($W1976,100)),""),INT($W1976)),IFERROR(DATE(--LEFT(LEFT(SUBSTITUTE(SUBSTITUTE(SUBSTITUTE(SUBSTITUTE(TRIM($W1976),"-",""),".",""),"/","")," ",""),8),4),--MID(LEFT(SUBSTITUTE(SUBSTITUTE(SUBSTITUTE(SUBSTITUTE(TRIM($W1976),"-",""),".",""),"/","")," ",""),8),5,2),--MID(LEFT(SUBSTITUTE(SUBSTITUTE(SUBSTITUTE(SUBSTITUTE(TRIM($W1976),"-",""),".",""),"/","")," ",""),8),7,2)),"")))</f>
        <v/>
      </c>
      <c r="Y1976" s="32">
        <f>IF($X1976="","",INT($X1976))</f>
        <v/>
      </c>
      <c r="Z1976" s="33">
        <f>IF(OR($Y1976="",$D$6=""),"",IF(INDEX($A:$U,ROW(),$D$6)="",0,IF(ISNUMBER(INDEX($A:$U,ROW(),$D$6)),INDEX($A:$U,ROW(),$D$6),IFERROR(--SUBSTITUTE(SUBSTITUTE(TRIM(INDEX($A:$U,ROW(),$D$6)),",",""),"원",""),0))))</f>
        <v/>
      </c>
      <c r="AA1976" s="31">
        <f>IF($Y1976="","",TRIM(INDEX($A:$U,ROW(),$E$6)&amp;IF($F$6="",""," "&amp;INDEX($A:$U,ROW(),$F$6))))</f>
        <v/>
      </c>
      <c r="AB1976" s="31">
        <f>IF($AA1976="","",SUBSTITUTE(SUBSTITUTE(SUBSTITUTE(SUBSTITUTE(SUBSTITUTE(SUBSTITUTE(SUBSTITUTE(SUBSTITUTE(SUBSTITUTE($AA1976," ",""),"　",""),"(주)",""),"（주）",""),"㈜",""),"주식회사",""),"(유)",""),"（유）",""),"유한회사",""))</f>
        <v/>
      </c>
      <c r="AC1976" s="31">
        <f>IF(OR($Y1976="",N($Z1976)&lt;=0,$AB1976=""),0,IFERROR(LOOKUP(2,1/((거래처별!$AC$8:$AC$307&lt;&gt;"")*ISNUMBER(SEARCH(거래처별!$AC$8:$AC$307,$AB1976))),거래처별!$A$8:$A$307),IFERROR(LOOKUP(2,1/((거래처별!$AD$8:$AD$307&lt;&gt;"")*ISNUMBER(SEARCH(거래처별!$AD$8:$AD$307,$AB1976))),거래처별!$A$8:$A$307),IFERROR(LOOKUP(2,1/((거래처별!$AE$8:$AE$307&lt;&gt;"")*ISNUMBER(SEARCH(거래처별!$AE$8:$AE$307,$AB1976))),거래처별!$A$8:$A$307),0))))</f>
        <v/>
      </c>
      <c r="AD1976" s="31">
        <f>IF(AND($Y1976&lt;&gt;"",N($Z1976)&gt;0,$AC1976=0),MAX($AD$7:$AD1975)+1,"")</f>
        <v/>
      </c>
      <c r="AE1976" s="31">
        <f>IF($Y1976="",0,$Y1976)</f>
        <v/>
      </c>
    </row>
    <row r="1977">
      <c r="W1977" s="31">
        <f>IF(OR($B$5="",$C$6="",ROW()&lt;$B$5),"",IF(INDEX($A:$U,ROW(),$C$6)="","",INDEX($A:$U,ROW(),$C$6)))</f>
        <v/>
      </c>
      <c r="X1977" s="32">
        <f>IF($W1977="","",IF(ISNUMBER($W1977),IF($W1977&gt;=10000000,IFERROR(DATE(INT($W1977/10000),MOD(INT($W1977/100),100),MOD($W1977,100)),""),INT($W1977)),IFERROR(DATE(--LEFT(LEFT(SUBSTITUTE(SUBSTITUTE(SUBSTITUTE(SUBSTITUTE(TRIM($W1977),"-",""),".",""),"/","")," ",""),8),4),--MID(LEFT(SUBSTITUTE(SUBSTITUTE(SUBSTITUTE(SUBSTITUTE(TRIM($W1977),"-",""),".",""),"/","")," ",""),8),5,2),--MID(LEFT(SUBSTITUTE(SUBSTITUTE(SUBSTITUTE(SUBSTITUTE(TRIM($W1977),"-",""),".",""),"/","")," ",""),8),7,2)),"")))</f>
        <v/>
      </c>
      <c r="Y1977" s="32">
        <f>IF($X1977="","",INT($X1977))</f>
        <v/>
      </c>
      <c r="Z1977" s="33">
        <f>IF(OR($Y1977="",$D$6=""),"",IF(INDEX($A:$U,ROW(),$D$6)="",0,IF(ISNUMBER(INDEX($A:$U,ROW(),$D$6)),INDEX($A:$U,ROW(),$D$6),IFERROR(--SUBSTITUTE(SUBSTITUTE(TRIM(INDEX($A:$U,ROW(),$D$6)),",",""),"원",""),0))))</f>
        <v/>
      </c>
      <c r="AA1977" s="31">
        <f>IF($Y1977="","",TRIM(INDEX($A:$U,ROW(),$E$6)&amp;IF($F$6="",""," "&amp;INDEX($A:$U,ROW(),$F$6))))</f>
        <v/>
      </c>
      <c r="AB1977" s="31">
        <f>IF($AA1977="","",SUBSTITUTE(SUBSTITUTE(SUBSTITUTE(SUBSTITUTE(SUBSTITUTE(SUBSTITUTE(SUBSTITUTE(SUBSTITUTE(SUBSTITUTE($AA1977," ",""),"　",""),"(주)",""),"（주）",""),"㈜",""),"주식회사",""),"(유)",""),"（유）",""),"유한회사",""))</f>
        <v/>
      </c>
      <c r="AC1977" s="31">
        <f>IF(OR($Y1977="",N($Z1977)&lt;=0,$AB1977=""),0,IFERROR(LOOKUP(2,1/((거래처별!$AC$8:$AC$307&lt;&gt;"")*ISNUMBER(SEARCH(거래처별!$AC$8:$AC$307,$AB1977))),거래처별!$A$8:$A$307),IFERROR(LOOKUP(2,1/((거래처별!$AD$8:$AD$307&lt;&gt;"")*ISNUMBER(SEARCH(거래처별!$AD$8:$AD$307,$AB1977))),거래처별!$A$8:$A$307),IFERROR(LOOKUP(2,1/((거래처별!$AE$8:$AE$307&lt;&gt;"")*ISNUMBER(SEARCH(거래처별!$AE$8:$AE$307,$AB1977))),거래처별!$A$8:$A$307),0))))</f>
        <v/>
      </c>
      <c r="AD1977" s="31">
        <f>IF(AND($Y1977&lt;&gt;"",N($Z1977)&gt;0,$AC1977=0),MAX($AD$7:$AD1976)+1,"")</f>
        <v/>
      </c>
      <c r="AE1977" s="31">
        <f>IF($Y1977="",0,$Y1977)</f>
        <v/>
      </c>
    </row>
    <row r="1978">
      <c r="W1978" s="31">
        <f>IF(OR($B$5="",$C$6="",ROW()&lt;$B$5),"",IF(INDEX($A:$U,ROW(),$C$6)="","",INDEX($A:$U,ROW(),$C$6)))</f>
        <v/>
      </c>
      <c r="X1978" s="32">
        <f>IF($W1978="","",IF(ISNUMBER($W1978),IF($W1978&gt;=10000000,IFERROR(DATE(INT($W1978/10000),MOD(INT($W1978/100),100),MOD($W1978,100)),""),INT($W1978)),IFERROR(DATE(--LEFT(LEFT(SUBSTITUTE(SUBSTITUTE(SUBSTITUTE(SUBSTITUTE(TRIM($W1978),"-",""),".",""),"/","")," ",""),8),4),--MID(LEFT(SUBSTITUTE(SUBSTITUTE(SUBSTITUTE(SUBSTITUTE(TRIM($W1978),"-",""),".",""),"/","")," ",""),8),5,2),--MID(LEFT(SUBSTITUTE(SUBSTITUTE(SUBSTITUTE(SUBSTITUTE(TRIM($W1978),"-",""),".",""),"/","")," ",""),8),7,2)),"")))</f>
        <v/>
      </c>
      <c r="Y1978" s="32">
        <f>IF($X1978="","",INT($X1978))</f>
        <v/>
      </c>
      <c r="Z1978" s="33">
        <f>IF(OR($Y1978="",$D$6=""),"",IF(INDEX($A:$U,ROW(),$D$6)="",0,IF(ISNUMBER(INDEX($A:$U,ROW(),$D$6)),INDEX($A:$U,ROW(),$D$6),IFERROR(--SUBSTITUTE(SUBSTITUTE(TRIM(INDEX($A:$U,ROW(),$D$6)),",",""),"원",""),0))))</f>
        <v/>
      </c>
      <c r="AA1978" s="31">
        <f>IF($Y1978="","",TRIM(INDEX($A:$U,ROW(),$E$6)&amp;IF($F$6="",""," "&amp;INDEX($A:$U,ROW(),$F$6))))</f>
        <v/>
      </c>
      <c r="AB1978" s="31">
        <f>IF($AA1978="","",SUBSTITUTE(SUBSTITUTE(SUBSTITUTE(SUBSTITUTE(SUBSTITUTE(SUBSTITUTE(SUBSTITUTE(SUBSTITUTE(SUBSTITUTE($AA1978," ",""),"　",""),"(주)",""),"（주）",""),"㈜",""),"주식회사",""),"(유)",""),"（유）",""),"유한회사",""))</f>
        <v/>
      </c>
      <c r="AC1978" s="31">
        <f>IF(OR($Y1978="",N($Z1978)&lt;=0,$AB1978=""),0,IFERROR(LOOKUP(2,1/((거래처별!$AC$8:$AC$307&lt;&gt;"")*ISNUMBER(SEARCH(거래처별!$AC$8:$AC$307,$AB1978))),거래처별!$A$8:$A$307),IFERROR(LOOKUP(2,1/((거래처별!$AD$8:$AD$307&lt;&gt;"")*ISNUMBER(SEARCH(거래처별!$AD$8:$AD$307,$AB1978))),거래처별!$A$8:$A$307),IFERROR(LOOKUP(2,1/((거래처별!$AE$8:$AE$307&lt;&gt;"")*ISNUMBER(SEARCH(거래처별!$AE$8:$AE$307,$AB1978))),거래처별!$A$8:$A$307),0))))</f>
        <v/>
      </c>
      <c r="AD1978" s="31">
        <f>IF(AND($Y1978&lt;&gt;"",N($Z1978)&gt;0,$AC1978=0),MAX($AD$7:$AD1977)+1,"")</f>
        <v/>
      </c>
      <c r="AE1978" s="31">
        <f>IF($Y1978="",0,$Y1978)</f>
        <v/>
      </c>
    </row>
    <row r="1979">
      <c r="W1979" s="31">
        <f>IF(OR($B$5="",$C$6="",ROW()&lt;$B$5),"",IF(INDEX($A:$U,ROW(),$C$6)="","",INDEX($A:$U,ROW(),$C$6)))</f>
        <v/>
      </c>
      <c r="X1979" s="32">
        <f>IF($W1979="","",IF(ISNUMBER($W1979),IF($W1979&gt;=10000000,IFERROR(DATE(INT($W1979/10000),MOD(INT($W1979/100),100),MOD($W1979,100)),""),INT($W1979)),IFERROR(DATE(--LEFT(LEFT(SUBSTITUTE(SUBSTITUTE(SUBSTITUTE(SUBSTITUTE(TRIM($W1979),"-",""),".",""),"/","")," ",""),8),4),--MID(LEFT(SUBSTITUTE(SUBSTITUTE(SUBSTITUTE(SUBSTITUTE(TRIM($W1979),"-",""),".",""),"/","")," ",""),8),5,2),--MID(LEFT(SUBSTITUTE(SUBSTITUTE(SUBSTITUTE(SUBSTITUTE(TRIM($W1979),"-",""),".",""),"/","")," ",""),8),7,2)),"")))</f>
        <v/>
      </c>
      <c r="Y1979" s="32">
        <f>IF($X1979="","",INT($X1979))</f>
        <v/>
      </c>
      <c r="Z1979" s="33">
        <f>IF(OR($Y1979="",$D$6=""),"",IF(INDEX($A:$U,ROW(),$D$6)="",0,IF(ISNUMBER(INDEX($A:$U,ROW(),$D$6)),INDEX($A:$U,ROW(),$D$6),IFERROR(--SUBSTITUTE(SUBSTITUTE(TRIM(INDEX($A:$U,ROW(),$D$6)),",",""),"원",""),0))))</f>
        <v/>
      </c>
      <c r="AA1979" s="31">
        <f>IF($Y1979="","",TRIM(INDEX($A:$U,ROW(),$E$6)&amp;IF($F$6="",""," "&amp;INDEX($A:$U,ROW(),$F$6))))</f>
        <v/>
      </c>
      <c r="AB1979" s="31">
        <f>IF($AA1979="","",SUBSTITUTE(SUBSTITUTE(SUBSTITUTE(SUBSTITUTE(SUBSTITUTE(SUBSTITUTE(SUBSTITUTE(SUBSTITUTE(SUBSTITUTE($AA1979," ",""),"　",""),"(주)",""),"（주）",""),"㈜",""),"주식회사",""),"(유)",""),"（유）",""),"유한회사",""))</f>
        <v/>
      </c>
      <c r="AC1979" s="31">
        <f>IF(OR($Y1979="",N($Z1979)&lt;=0,$AB1979=""),0,IFERROR(LOOKUP(2,1/((거래처별!$AC$8:$AC$307&lt;&gt;"")*ISNUMBER(SEARCH(거래처별!$AC$8:$AC$307,$AB1979))),거래처별!$A$8:$A$307),IFERROR(LOOKUP(2,1/((거래처별!$AD$8:$AD$307&lt;&gt;"")*ISNUMBER(SEARCH(거래처별!$AD$8:$AD$307,$AB1979))),거래처별!$A$8:$A$307),IFERROR(LOOKUP(2,1/((거래처별!$AE$8:$AE$307&lt;&gt;"")*ISNUMBER(SEARCH(거래처별!$AE$8:$AE$307,$AB1979))),거래처별!$A$8:$A$307),0))))</f>
        <v/>
      </c>
      <c r="AD1979" s="31">
        <f>IF(AND($Y1979&lt;&gt;"",N($Z1979)&gt;0,$AC1979=0),MAX($AD$7:$AD1978)+1,"")</f>
        <v/>
      </c>
      <c r="AE1979" s="31">
        <f>IF($Y1979="",0,$Y1979)</f>
        <v/>
      </c>
    </row>
    <row r="1980">
      <c r="W1980" s="31">
        <f>IF(OR($B$5="",$C$6="",ROW()&lt;$B$5),"",IF(INDEX($A:$U,ROW(),$C$6)="","",INDEX($A:$U,ROW(),$C$6)))</f>
        <v/>
      </c>
      <c r="X1980" s="32">
        <f>IF($W1980="","",IF(ISNUMBER($W1980),IF($W1980&gt;=10000000,IFERROR(DATE(INT($W1980/10000),MOD(INT($W1980/100),100),MOD($W1980,100)),""),INT($W1980)),IFERROR(DATE(--LEFT(LEFT(SUBSTITUTE(SUBSTITUTE(SUBSTITUTE(SUBSTITUTE(TRIM($W1980),"-",""),".",""),"/","")," ",""),8),4),--MID(LEFT(SUBSTITUTE(SUBSTITUTE(SUBSTITUTE(SUBSTITUTE(TRIM($W1980),"-",""),".",""),"/","")," ",""),8),5,2),--MID(LEFT(SUBSTITUTE(SUBSTITUTE(SUBSTITUTE(SUBSTITUTE(TRIM($W1980),"-",""),".",""),"/","")," ",""),8),7,2)),"")))</f>
        <v/>
      </c>
      <c r="Y1980" s="32">
        <f>IF($X1980="","",INT($X1980))</f>
        <v/>
      </c>
      <c r="Z1980" s="33">
        <f>IF(OR($Y1980="",$D$6=""),"",IF(INDEX($A:$U,ROW(),$D$6)="",0,IF(ISNUMBER(INDEX($A:$U,ROW(),$D$6)),INDEX($A:$U,ROW(),$D$6),IFERROR(--SUBSTITUTE(SUBSTITUTE(TRIM(INDEX($A:$U,ROW(),$D$6)),",",""),"원",""),0))))</f>
        <v/>
      </c>
      <c r="AA1980" s="31">
        <f>IF($Y1980="","",TRIM(INDEX($A:$U,ROW(),$E$6)&amp;IF($F$6="",""," "&amp;INDEX($A:$U,ROW(),$F$6))))</f>
        <v/>
      </c>
      <c r="AB1980" s="31">
        <f>IF($AA1980="","",SUBSTITUTE(SUBSTITUTE(SUBSTITUTE(SUBSTITUTE(SUBSTITUTE(SUBSTITUTE(SUBSTITUTE(SUBSTITUTE(SUBSTITUTE($AA1980," ",""),"　",""),"(주)",""),"（주）",""),"㈜",""),"주식회사",""),"(유)",""),"（유）",""),"유한회사",""))</f>
        <v/>
      </c>
      <c r="AC1980" s="31">
        <f>IF(OR($Y1980="",N($Z1980)&lt;=0,$AB1980=""),0,IFERROR(LOOKUP(2,1/((거래처별!$AC$8:$AC$307&lt;&gt;"")*ISNUMBER(SEARCH(거래처별!$AC$8:$AC$307,$AB1980))),거래처별!$A$8:$A$307),IFERROR(LOOKUP(2,1/((거래처별!$AD$8:$AD$307&lt;&gt;"")*ISNUMBER(SEARCH(거래처별!$AD$8:$AD$307,$AB1980))),거래처별!$A$8:$A$307),IFERROR(LOOKUP(2,1/((거래처별!$AE$8:$AE$307&lt;&gt;"")*ISNUMBER(SEARCH(거래처별!$AE$8:$AE$307,$AB1980))),거래처별!$A$8:$A$307),0))))</f>
        <v/>
      </c>
      <c r="AD1980" s="31">
        <f>IF(AND($Y1980&lt;&gt;"",N($Z1980)&gt;0,$AC1980=0),MAX($AD$7:$AD1979)+1,"")</f>
        <v/>
      </c>
      <c r="AE1980" s="31">
        <f>IF($Y1980="",0,$Y1980)</f>
        <v/>
      </c>
    </row>
    <row r="1981">
      <c r="W1981" s="31">
        <f>IF(OR($B$5="",$C$6="",ROW()&lt;$B$5),"",IF(INDEX($A:$U,ROW(),$C$6)="","",INDEX($A:$U,ROW(),$C$6)))</f>
        <v/>
      </c>
      <c r="X1981" s="32">
        <f>IF($W1981="","",IF(ISNUMBER($W1981),IF($W1981&gt;=10000000,IFERROR(DATE(INT($W1981/10000),MOD(INT($W1981/100),100),MOD($W1981,100)),""),INT($W1981)),IFERROR(DATE(--LEFT(LEFT(SUBSTITUTE(SUBSTITUTE(SUBSTITUTE(SUBSTITUTE(TRIM($W1981),"-",""),".",""),"/","")," ",""),8),4),--MID(LEFT(SUBSTITUTE(SUBSTITUTE(SUBSTITUTE(SUBSTITUTE(TRIM($W1981),"-",""),".",""),"/","")," ",""),8),5,2),--MID(LEFT(SUBSTITUTE(SUBSTITUTE(SUBSTITUTE(SUBSTITUTE(TRIM($W1981),"-",""),".",""),"/","")," ",""),8),7,2)),"")))</f>
        <v/>
      </c>
      <c r="Y1981" s="32">
        <f>IF($X1981="","",INT($X1981))</f>
        <v/>
      </c>
      <c r="Z1981" s="33">
        <f>IF(OR($Y1981="",$D$6=""),"",IF(INDEX($A:$U,ROW(),$D$6)="",0,IF(ISNUMBER(INDEX($A:$U,ROW(),$D$6)),INDEX($A:$U,ROW(),$D$6),IFERROR(--SUBSTITUTE(SUBSTITUTE(TRIM(INDEX($A:$U,ROW(),$D$6)),",",""),"원",""),0))))</f>
        <v/>
      </c>
      <c r="AA1981" s="31">
        <f>IF($Y1981="","",TRIM(INDEX($A:$U,ROW(),$E$6)&amp;IF($F$6="",""," "&amp;INDEX($A:$U,ROW(),$F$6))))</f>
        <v/>
      </c>
      <c r="AB1981" s="31">
        <f>IF($AA1981="","",SUBSTITUTE(SUBSTITUTE(SUBSTITUTE(SUBSTITUTE(SUBSTITUTE(SUBSTITUTE(SUBSTITUTE(SUBSTITUTE(SUBSTITUTE($AA1981," ",""),"　",""),"(주)",""),"（주）",""),"㈜",""),"주식회사",""),"(유)",""),"（유）",""),"유한회사",""))</f>
        <v/>
      </c>
      <c r="AC1981" s="31">
        <f>IF(OR($Y1981="",N($Z1981)&lt;=0,$AB1981=""),0,IFERROR(LOOKUP(2,1/((거래처별!$AC$8:$AC$307&lt;&gt;"")*ISNUMBER(SEARCH(거래처별!$AC$8:$AC$307,$AB1981))),거래처별!$A$8:$A$307),IFERROR(LOOKUP(2,1/((거래처별!$AD$8:$AD$307&lt;&gt;"")*ISNUMBER(SEARCH(거래처별!$AD$8:$AD$307,$AB1981))),거래처별!$A$8:$A$307),IFERROR(LOOKUP(2,1/((거래처별!$AE$8:$AE$307&lt;&gt;"")*ISNUMBER(SEARCH(거래처별!$AE$8:$AE$307,$AB1981))),거래처별!$A$8:$A$307),0))))</f>
        <v/>
      </c>
      <c r="AD1981" s="31">
        <f>IF(AND($Y1981&lt;&gt;"",N($Z1981)&gt;0,$AC1981=0),MAX($AD$7:$AD1980)+1,"")</f>
        <v/>
      </c>
      <c r="AE1981" s="31">
        <f>IF($Y1981="",0,$Y1981)</f>
        <v/>
      </c>
    </row>
    <row r="1982">
      <c r="W1982" s="31">
        <f>IF(OR($B$5="",$C$6="",ROW()&lt;$B$5),"",IF(INDEX($A:$U,ROW(),$C$6)="","",INDEX($A:$U,ROW(),$C$6)))</f>
        <v/>
      </c>
      <c r="X1982" s="32">
        <f>IF($W1982="","",IF(ISNUMBER($W1982),IF($W1982&gt;=10000000,IFERROR(DATE(INT($W1982/10000),MOD(INT($W1982/100),100),MOD($W1982,100)),""),INT($W1982)),IFERROR(DATE(--LEFT(LEFT(SUBSTITUTE(SUBSTITUTE(SUBSTITUTE(SUBSTITUTE(TRIM($W1982),"-",""),".",""),"/","")," ",""),8),4),--MID(LEFT(SUBSTITUTE(SUBSTITUTE(SUBSTITUTE(SUBSTITUTE(TRIM($W1982),"-",""),".",""),"/","")," ",""),8),5,2),--MID(LEFT(SUBSTITUTE(SUBSTITUTE(SUBSTITUTE(SUBSTITUTE(TRIM($W1982),"-",""),".",""),"/","")," ",""),8),7,2)),"")))</f>
        <v/>
      </c>
      <c r="Y1982" s="32">
        <f>IF($X1982="","",INT($X1982))</f>
        <v/>
      </c>
      <c r="Z1982" s="33">
        <f>IF(OR($Y1982="",$D$6=""),"",IF(INDEX($A:$U,ROW(),$D$6)="",0,IF(ISNUMBER(INDEX($A:$U,ROW(),$D$6)),INDEX($A:$U,ROW(),$D$6),IFERROR(--SUBSTITUTE(SUBSTITUTE(TRIM(INDEX($A:$U,ROW(),$D$6)),",",""),"원",""),0))))</f>
        <v/>
      </c>
      <c r="AA1982" s="31">
        <f>IF($Y1982="","",TRIM(INDEX($A:$U,ROW(),$E$6)&amp;IF($F$6="",""," "&amp;INDEX($A:$U,ROW(),$F$6))))</f>
        <v/>
      </c>
      <c r="AB1982" s="31">
        <f>IF($AA1982="","",SUBSTITUTE(SUBSTITUTE(SUBSTITUTE(SUBSTITUTE(SUBSTITUTE(SUBSTITUTE(SUBSTITUTE(SUBSTITUTE(SUBSTITUTE($AA1982," ",""),"　",""),"(주)",""),"（주）",""),"㈜",""),"주식회사",""),"(유)",""),"（유）",""),"유한회사",""))</f>
        <v/>
      </c>
      <c r="AC1982" s="31">
        <f>IF(OR($Y1982="",N($Z1982)&lt;=0,$AB1982=""),0,IFERROR(LOOKUP(2,1/((거래처별!$AC$8:$AC$307&lt;&gt;"")*ISNUMBER(SEARCH(거래처별!$AC$8:$AC$307,$AB1982))),거래처별!$A$8:$A$307),IFERROR(LOOKUP(2,1/((거래처별!$AD$8:$AD$307&lt;&gt;"")*ISNUMBER(SEARCH(거래처별!$AD$8:$AD$307,$AB1982))),거래처별!$A$8:$A$307),IFERROR(LOOKUP(2,1/((거래처별!$AE$8:$AE$307&lt;&gt;"")*ISNUMBER(SEARCH(거래처별!$AE$8:$AE$307,$AB1982))),거래처별!$A$8:$A$307),0))))</f>
        <v/>
      </c>
      <c r="AD1982" s="31">
        <f>IF(AND($Y1982&lt;&gt;"",N($Z1982)&gt;0,$AC1982=0),MAX($AD$7:$AD1981)+1,"")</f>
        <v/>
      </c>
      <c r="AE1982" s="31">
        <f>IF($Y1982="",0,$Y1982)</f>
        <v/>
      </c>
    </row>
    <row r="1983">
      <c r="W1983" s="31">
        <f>IF(OR($B$5="",$C$6="",ROW()&lt;$B$5),"",IF(INDEX($A:$U,ROW(),$C$6)="","",INDEX($A:$U,ROW(),$C$6)))</f>
        <v/>
      </c>
      <c r="X1983" s="32">
        <f>IF($W1983="","",IF(ISNUMBER($W1983),IF($W1983&gt;=10000000,IFERROR(DATE(INT($W1983/10000),MOD(INT($W1983/100),100),MOD($W1983,100)),""),INT($W1983)),IFERROR(DATE(--LEFT(LEFT(SUBSTITUTE(SUBSTITUTE(SUBSTITUTE(SUBSTITUTE(TRIM($W1983),"-",""),".",""),"/","")," ",""),8),4),--MID(LEFT(SUBSTITUTE(SUBSTITUTE(SUBSTITUTE(SUBSTITUTE(TRIM($W1983),"-",""),".",""),"/","")," ",""),8),5,2),--MID(LEFT(SUBSTITUTE(SUBSTITUTE(SUBSTITUTE(SUBSTITUTE(TRIM($W1983),"-",""),".",""),"/","")," ",""),8),7,2)),"")))</f>
        <v/>
      </c>
      <c r="Y1983" s="32">
        <f>IF($X1983="","",INT($X1983))</f>
        <v/>
      </c>
      <c r="Z1983" s="33">
        <f>IF(OR($Y1983="",$D$6=""),"",IF(INDEX($A:$U,ROW(),$D$6)="",0,IF(ISNUMBER(INDEX($A:$U,ROW(),$D$6)),INDEX($A:$U,ROW(),$D$6),IFERROR(--SUBSTITUTE(SUBSTITUTE(TRIM(INDEX($A:$U,ROW(),$D$6)),",",""),"원",""),0))))</f>
        <v/>
      </c>
      <c r="AA1983" s="31">
        <f>IF($Y1983="","",TRIM(INDEX($A:$U,ROW(),$E$6)&amp;IF($F$6="",""," "&amp;INDEX($A:$U,ROW(),$F$6))))</f>
        <v/>
      </c>
      <c r="AB1983" s="31">
        <f>IF($AA1983="","",SUBSTITUTE(SUBSTITUTE(SUBSTITUTE(SUBSTITUTE(SUBSTITUTE(SUBSTITUTE(SUBSTITUTE(SUBSTITUTE(SUBSTITUTE($AA1983," ",""),"　",""),"(주)",""),"（주）",""),"㈜",""),"주식회사",""),"(유)",""),"（유）",""),"유한회사",""))</f>
        <v/>
      </c>
      <c r="AC1983" s="31">
        <f>IF(OR($Y1983="",N($Z1983)&lt;=0,$AB1983=""),0,IFERROR(LOOKUP(2,1/((거래처별!$AC$8:$AC$307&lt;&gt;"")*ISNUMBER(SEARCH(거래처별!$AC$8:$AC$307,$AB1983))),거래처별!$A$8:$A$307),IFERROR(LOOKUP(2,1/((거래처별!$AD$8:$AD$307&lt;&gt;"")*ISNUMBER(SEARCH(거래처별!$AD$8:$AD$307,$AB1983))),거래처별!$A$8:$A$307),IFERROR(LOOKUP(2,1/((거래처별!$AE$8:$AE$307&lt;&gt;"")*ISNUMBER(SEARCH(거래처별!$AE$8:$AE$307,$AB1983))),거래처별!$A$8:$A$307),0))))</f>
        <v/>
      </c>
      <c r="AD1983" s="31">
        <f>IF(AND($Y1983&lt;&gt;"",N($Z1983)&gt;0,$AC1983=0),MAX($AD$7:$AD1982)+1,"")</f>
        <v/>
      </c>
      <c r="AE1983" s="31">
        <f>IF($Y1983="",0,$Y1983)</f>
        <v/>
      </c>
    </row>
    <row r="1984">
      <c r="W1984" s="31">
        <f>IF(OR($B$5="",$C$6="",ROW()&lt;$B$5),"",IF(INDEX($A:$U,ROW(),$C$6)="","",INDEX($A:$U,ROW(),$C$6)))</f>
        <v/>
      </c>
      <c r="X1984" s="32">
        <f>IF($W1984="","",IF(ISNUMBER($W1984),IF($W1984&gt;=10000000,IFERROR(DATE(INT($W1984/10000),MOD(INT($W1984/100),100),MOD($W1984,100)),""),INT($W1984)),IFERROR(DATE(--LEFT(LEFT(SUBSTITUTE(SUBSTITUTE(SUBSTITUTE(SUBSTITUTE(TRIM($W1984),"-",""),".",""),"/","")," ",""),8),4),--MID(LEFT(SUBSTITUTE(SUBSTITUTE(SUBSTITUTE(SUBSTITUTE(TRIM($W1984),"-",""),".",""),"/","")," ",""),8),5,2),--MID(LEFT(SUBSTITUTE(SUBSTITUTE(SUBSTITUTE(SUBSTITUTE(TRIM($W1984),"-",""),".",""),"/","")," ",""),8),7,2)),"")))</f>
        <v/>
      </c>
      <c r="Y1984" s="32">
        <f>IF($X1984="","",INT($X1984))</f>
        <v/>
      </c>
      <c r="Z1984" s="33">
        <f>IF(OR($Y1984="",$D$6=""),"",IF(INDEX($A:$U,ROW(),$D$6)="",0,IF(ISNUMBER(INDEX($A:$U,ROW(),$D$6)),INDEX($A:$U,ROW(),$D$6),IFERROR(--SUBSTITUTE(SUBSTITUTE(TRIM(INDEX($A:$U,ROW(),$D$6)),",",""),"원",""),0))))</f>
        <v/>
      </c>
      <c r="AA1984" s="31">
        <f>IF($Y1984="","",TRIM(INDEX($A:$U,ROW(),$E$6)&amp;IF($F$6="",""," "&amp;INDEX($A:$U,ROW(),$F$6))))</f>
        <v/>
      </c>
      <c r="AB1984" s="31">
        <f>IF($AA1984="","",SUBSTITUTE(SUBSTITUTE(SUBSTITUTE(SUBSTITUTE(SUBSTITUTE(SUBSTITUTE(SUBSTITUTE(SUBSTITUTE(SUBSTITUTE($AA1984," ",""),"　",""),"(주)",""),"（주）",""),"㈜",""),"주식회사",""),"(유)",""),"（유）",""),"유한회사",""))</f>
        <v/>
      </c>
      <c r="AC1984" s="31">
        <f>IF(OR($Y1984="",N($Z1984)&lt;=0,$AB1984=""),0,IFERROR(LOOKUP(2,1/((거래처별!$AC$8:$AC$307&lt;&gt;"")*ISNUMBER(SEARCH(거래처별!$AC$8:$AC$307,$AB1984))),거래처별!$A$8:$A$307),IFERROR(LOOKUP(2,1/((거래처별!$AD$8:$AD$307&lt;&gt;"")*ISNUMBER(SEARCH(거래처별!$AD$8:$AD$307,$AB1984))),거래처별!$A$8:$A$307),IFERROR(LOOKUP(2,1/((거래처별!$AE$8:$AE$307&lt;&gt;"")*ISNUMBER(SEARCH(거래처별!$AE$8:$AE$307,$AB1984))),거래처별!$A$8:$A$307),0))))</f>
        <v/>
      </c>
      <c r="AD1984" s="31">
        <f>IF(AND($Y1984&lt;&gt;"",N($Z1984)&gt;0,$AC1984=0),MAX($AD$7:$AD1983)+1,"")</f>
        <v/>
      </c>
      <c r="AE1984" s="31">
        <f>IF($Y1984="",0,$Y1984)</f>
        <v/>
      </c>
    </row>
    <row r="1985">
      <c r="W1985" s="31">
        <f>IF(OR($B$5="",$C$6="",ROW()&lt;$B$5),"",IF(INDEX($A:$U,ROW(),$C$6)="","",INDEX($A:$U,ROW(),$C$6)))</f>
        <v/>
      </c>
      <c r="X1985" s="32">
        <f>IF($W1985="","",IF(ISNUMBER($W1985),IF($W1985&gt;=10000000,IFERROR(DATE(INT($W1985/10000),MOD(INT($W1985/100),100),MOD($W1985,100)),""),INT($W1985)),IFERROR(DATE(--LEFT(LEFT(SUBSTITUTE(SUBSTITUTE(SUBSTITUTE(SUBSTITUTE(TRIM($W1985),"-",""),".",""),"/","")," ",""),8),4),--MID(LEFT(SUBSTITUTE(SUBSTITUTE(SUBSTITUTE(SUBSTITUTE(TRIM($W1985),"-",""),".",""),"/","")," ",""),8),5,2),--MID(LEFT(SUBSTITUTE(SUBSTITUTE(SUBSTITUTE(SUBSTITUTE(TRIM($W1985),"-",""),".",""),"/","")," ",""),8),7,2)),"")))</f>
        <v/>
      </c>
      <c r="Y1985" s="32">
        <f>IF($X1985="","",INT($X1985))</f>
        <v/>
      </c>
      <c r="Z1985" s="33">
        <f>IF(OR($Y1985="",$D$6=""),"",IF(INDEX($A:$U,ROW(),$D$6)="",0,IF(ISNUMBER(INDEX($A:$U,ROW(),$D$6)),INDEX($A:$U,ROW(),$D$6),IFERROR(--SUBSTITUTE(SUBSTITUTE(TRIM(INDEX($A:$U,ROW(),$D$6)),",",""),"원",""),0))))</f>
        <v/>
      </c>
      <c r="AA1985" s="31">
        <f>IF($Y1985="","",TRIM(INDEX($A:$U,ROW(),$E$6)&amp;IF($F$6="",""," "&amp;INDEX($A:$U,ROW(),$F$6))))</f>
        <v/>
      </c>
      <c r="AB1985" s="31">
        <f>IF($AA1985="","",SUBSTITUTE(SUBSTITUTE(SUBSTITUTE(SUBSTITUTE(SUBSTITUTE(SUBSTITUTE(SUBSTITUTE(SUBSTITUTE(SUBSTITUTE($AA1985," ",""),"　",""),"(주)",""),"（주）",""),"㈜",""),"주식회사",""),"(유)",""),"（유）",""),"유한회사",""))</f>
        <v/>
      </c>
      <c r="AC1985" s="31">
        <f>IF(OR($Y1985="",N($Z1985)&lt;=0,$AB1985=""),0,IFERROR(LOOKUP(2,1/((거래처별!$AC$8:$AC$307&lt;&gt;"")*ISNUMBER(SEARCH(거래처별!$AC$8:$AC$307,$AB1985))),거래처별!$A$8:$A$307),IFERROR(LOOKUP(2,1/((거래처별!$AD$8:$AD$307&lt;&gt;"")*ISNUMBER(SEARCH(거래처별!$AD$8:$AD$307,$AB1985))),거래처별!$A$8:$A$307),IFERROR(LOOKUP(2,1/((거래처별!$AE$8:$AE$307&lt;&gt;"")*ISNUMBER(SEARCH(거래처별!$AE$8:$AE$307,$AB1985))),거래처별!$A$8:$A$307),0))))</f>
        <v/>
      </c>
      <c r="AD1985" s="31">
        <f>IF(AND($Y1985&lt;&gt;"",N($Z1985)&gt;0,$AC1985=0),MAX($AD$7:$AD1984)+1,"")</f>
        <v/>
      </c>
      <c r="AE1985" s="31">
        <f>IF($Y1985="",0,$Y1985)</f>
        <v/>
      </c>
    </row>
    <row r="1986">
      <c r="W1986" s="31">
        <f>IF(OR($B$5="",$C$6="",ROW()&lt;$B$5),"",IF(INDEX($A:$U,ROW(),$C$6)="","",INDEX($A:$U,ROW(),$C$6)))</f>
        <v/>
      </c>
      <c r="X1986" s="32">
        <f>IF($W1986="","",IF(ISNUMBER($W1986),IF($W1986&gt;=10000000,IFERROR(DATE(INT($W1986/10000),MOD(INT($W1986/100),100),MOD($W1986,100)),""),INT($W1986)),IFERROR(DATE(--LEFT(LEFT(SUBSTITUTE(SUBSTITUTE(SUBSTITUTE(SUBSTITUTE(TRIM($W1986),"-",""),".",""),"/","")," ",""),8),4),--MID(LEFT(SUBSTITUTE(SUBSTITUTE(SUBSTITUTE(SUBSTITUTE(TRIM($W1986),"-",""),".",""),"/","")," ",""),8),5,2),--MID(LEFT(SUBSTITUTE(SUBSTITUTE(SUBSTITUTE(SUBSTITUTE(TRIM($W1986),"-",""),".",""),"/","")," ",""),8),7,2)),"")))</f>
        <v/>
      </c>
      <c r="Y1986" s="32">
        <f>IF($X1986="","",INT($X1986))</f>
        <v/>
      </c>
      <c r="Z1986" s="33">
        <f>IF(OR($Y1986="",$D$6=""),"",IF(INDEX($A:$U,ROW(),$D$6)="",0,IF(ISNUMBER(INDEX($A:$U,ROW(),$D$6)),INDEX($A:$U,ROW(),$D$6),IFERROR(--SUBSTITUTE(SUBSTITUTE(TRIM(INDEX($A:$U,ROW(),$D$6)),",",""),"원",""),0))))</f>
        <v/>
      </c>
      <c r="AA1986" s="31">
        <f>IF($Y1986="","",TRIM(INDEX($A:$U,ROW(),$E$6)&amp;IF($F$6="",""," "&amp;INDEX($A:$U,ROW(),$F$6))))</f>
        <v/>
      </c>
      <c r="AB1986" s="31">
        <f>IF($AA1986="","",SUBSTITUTE(SUBSTITUTE(SUBSTITUTE(SUBSTITUTE(SUBSTITUTE(SUBSTITUTE(SUBSTITUTE(SUBSTITUTE(SUBSTITUTE($AA1986," ",""),"　",""),"(주)",""),"（주）",""),"㈜",""),"주식회사",""),"(유)",""),"（유）",""),"유한회사",""))</f>
        <v/>
      </c>
      <c r="AC1986" s="31">
        <f>IF(OR($Y1986="",N($Z1986)&lt;=0,$AB1986=""),0,IFERROR(LOOKUP(2,1/((거래처별!$AC$8:$AC$307&lt;&gt;"")*ISNUMBER(SEARCH(거래처별!$AC$8:$AC$307,$AB1986))),거래처별!$A$8:$A$307),IFERROR(LOOKUP(2,1/((거래처별!$AD$8:$AD$307&lt;&gt;"")*ISNUMBER(SEARCH(거래처별!$AD$8:$AD$307,$AB1986))),거래처별!$A$8:$A$307),IFERROR(LOOKUP(2,1/((거래처별!$AE$8:$AE$307&lt;&gt;"")*ISNUMBER(SEARCH(거래처별!$AE$8:$AE$307,$AB1986))),거래처별!$A$8:$A$307),0))))</f>
        <v/>
      </c>
      <c r="AD1986" s="31">
        <f>IF(AND($Y1986&lt;&gt;"",N($Z1986)&gt;0,$AC1986=0),MAX($AD$7:$AD1985)+1,"")</f>
        <v/>
      </c>
      <c r="AE1986" s="31">
        <f>IF($Y1986="",0,$Y1986)</f>
        <v/>
      </c>
    </row>
    <row r="1987">
      <c r="W1987" s="31">
        <f>IF(OR($B$5="",$C$6="",ROW()&lt;$B$5),"",IF(INDEX($A:$U,ROW(),$C$6)="","",INDEX($A:$U,ROW(),$C$6)))</f>
        <v/>
      </c>
      <c r="X1987" s="32">
        <f>IF($W1987="","",IF(ISNUMBER($W1987),IF($W1987&gt;=10000000,IFERROR(DATE(INT($W1987/10000),MOD(INT($W1987/100),100),MOD($W1987,100)),""),INT($W1987)),IFERROR(DATE(--LEFT(LEFT(SUBSTITUTE(SUBSTITUTE(SUBSTITUTE(SUBSTITUTE(TRIM($W1987),"-",""),".",""),"/","")," ",""),8),4),--MID(LEFT(SUBSTITUTE(SUBSTITUTE(SUBSTITUTE(SUBSTITUTE(TRIM($W1987),"-",""),".",""),"/","")," ",""),8),5,2),--MID(LEFT(SUBSTITUTE(SUBSTITUTE(SUBSTITUTE(SUBSTITUTE(TRIM($W1987),"-",""),".",""),"/","")," ",""),8),7,2)),"")))</f>
        <v/>
      </c>
      <c r="Y1987" s="32">
        <f>IF($X1987="","",INT($X1987))</f>
        <v/>
      </c>
      <c r="Z1987" s="33">
        <f>IF(OR($Y1987="",$D$6=""),"",IF(INDEX($A:$U,ROW(),$D$6)="",0,IF(ISNUMBER(INDEX($A:$U,ROW(),$D$6)),INDEX($A:$U,ROW(),$D$6),IFERROR(--SUBSTITUTE(SUBSTITUTE(TRIM(INDEX($A:$U,ROW(),$D$6)),",",""),"원",""),0))))</f>
        <v/>
      </c>
      <c r="AA1987" s="31">
        <f>IF($Y1987="","",TRIM(INDEX($A:$U,ROW(),$E$6)&amp;IF($F$6="",""," "&amp;INDEX($A:$U,ROW(),$F$6))))</f>
        <v/>
      </c>
      <c r="AB1987" s="31">
        <f>IF($AA1987="","",SUBSTITUTE(SUBSTITUTE(SUBSTITUTE(SUBSTITUTE(SUBSTITUTE(SUBSTITUTE(SUBSTITUTE(SUBSTITUTE(SUBSTITUTE($AA1987," ",""),"　",""),"(주)",""),"（주）",""),"㈜",""),"주식회사",""),"(유)",""),"（유）",""),"유한회사",""))</f>
        <v/>
      </c>
      <c r="AC1987" s="31">
        <f>IF(OR($Y1987="",N($Z1987)&lt;=0,$AB1987=""),0,IFERROR(LOOKUP(2,1/((거래처별!$AC$8:$AC$307&lt;&gt;"")*ISNUMBER(SEARCH(거래처별!$AC$8:$AC$307,$AB1987))),거래처별!$A$8:$A$307),IFERROR(LOOKUP(2,1/((거래처별!$AD$8:$AD$307&lt;&gt;"")*ISNUMBER(SEARCH(거래처별!$AD$8:$AD$307,$AB1987))),거래처별!$A$8:$A$307),IFERROR(LOOKUP(2,1/((거래처별!$AE$8:$AE$307&lt;&gt;"")*ISNUMBER(SEARCH(거래처별!$AE$8:$AE$307,$AB1987))),거래처별!$A$8:$A$307),0))))</f>
        <v/>
      </c>
      <c r="AD1987" s="31">
        <f>IF(AND($Y1987&lt;&gt;"",N($Z1987)&gt;0,$AC1987=0),MAX($AD$7:$AD1986)+1,"")</f>
        <v/>
      </c>
      <c r="AE1987" s="31">
        <f>IF($Y1987="",0,$Y1987)</f>
        <v/>
      </c>
    </row>
    <row r="1988">
      <c r="W1988" s="31">
        <f>IF(OR($B$5="",$C$6="",ROW()&lt;$B$5),"",IF(INDEX($A:$U,ROW(),$C$6)="","",INDEX($A:$U,ROW(),$C$6)))</f>
        <v/>
      </c>
      <c r="X1988" s="32">
        <f>IF($W1988="","",IF(ISNUMBER($W1988),IF($W1988&gt;=10000000,IFERROR(DATE(INT($W1988/10000),MOD(INT($W1988/100),100),MOD($W1988,100)),""),INT($W1988)),IFERROR(DATE(--LEFT(LEFT(SUBSTITUTE(SUBSTITUTE(SUBSTITUTE(SUBSTITUTE(TRIM($W1988),"-",""),".",""),"/","")," ",""),8),4),--MID(LEFT(SUBSTITUTE(SUBSTITUTE(SUBSTITUTE(SUBSTITUTE(TRIM($W1988),"-",""),".",""),"/","")," ",""),8),5,2),--MID(LEFT(SUBSTITUTE(SUBSTITUTE(SUBSTITUTE(SUBSTITUTE(TRIM($W1988),"-",""),".",""),"/","")," ",""),8),7,2)),"")))</f>
        <v/>
      </c>
      <c r="Y1988" s="32">
        <f>IF($X1988="","",INT($X1988))</f>
        <v/>
      </c>
      <c r="Z1988" s="33">
        <f>IF(OR($Y1988="",$D$6=""),"",IF(INDEX($A:$U,ROW(),$D$6)="",0,IF(ISNUMBER(INDEX($A:$U,ROW(),$D$6)),INDEX($A:$U,ROW(),$D$6),IFERROR(--SUBSTITUTE(SUBSTITUTE(TRIM(INDEX($A:$U,ROW(),$D$6)),",",""),"원",""),0))))</f>
        <v/>
      </c>
      <c r="AA1988" s="31">
        <f>IF($Y1988="","",TRIM(INDEX($A:$U,ROW(),$E$6)&amp;IF($F$6="",""," "&amp;INDEX($A:$U,ROW(),$F$6))))</f>
        <v/>
      </c>
      <c r="AB1988" s="31">
        <f>IF($AA1988="","",SUBSTITUTE(SUBSTITUTE(SUBSTITUTE(SUBSTITUTE(SUBSTITUTE(SUBSTITUTE(SUBSTITUTE(SUBSTITUTE(SUBSTITUTE($AA1988," ",""),"　",""),"(주)",""),"（주）",""),"㈜",""),"주식회사",""),"(유)",""),"（유）",""),"유한회사",""))</f>
        <v/>
      </c>
      <c r="AC1988" s="31">
        <f>IF(OR($Y1988="",N($Z1988)&lt;=0,$AB1988=""),0,IFERROR(LOOKUP(2,1/((거래처별!$AC$8:$AC$307&lt;&gt;"")*ISNUMBER(SEARCH(거래처별!$AC$8:$AC$307,$AB1988))),거래처별!$A$8:$A$307),IFERROR(LOOKUP(2,1/((거래처별!$AD$8:$AD$307&lt;&gt;"")*ISNUMBER(SEARCH(거래처별!$AD$8:$AD$307,$AB1988))),거래처별!$A$8:$A$307),IFERROR(LOOKUP(2,1/((거래처별!$AE$8:$AE$307&lt;&gt;"")*ISNUMBER(SEARCH(거래처별!$AE$8:$AE$307,$AB1988))),거래처별!$A$8:$A$307),0))))</f>
        <v/>
      </c>
      <c r="AD1988" s="31">
        <f>IF(AND($Y1988&lt;&gt;"",N($Z1988)&gt;0,$AC1988=0),MAX($AD$7:$AD1987)+1,"")</f>
        <v/>
      </c>
      <c r="AE1988" s="31">
        <f>IF($Y1988="",0,$Y1988)</f>
        <v/>
      </c>
    </row>
    <row r="1989">
      <c r="W1989" s="31">
        <f>IF(OR($B$5="",$C$6="",ROW()&lt;$B$5),"",IF(INDEX($A:$U,ROW(),$C$6)="","",INDEX($A:$U,ROW(),$C$6)))</f>
        <v/>
      </c>
      <c r="X1989" s="32">
        <f>IF($W1989="","",IF(ISNUMBER($W1989),IF($W1989&gt;=10000000,IFERROR(DATE(INT($W1989/10000),MOD(INT($W1989/100),100),MOD($W1989,100)),""),INT($W1989)),IFERROR(DATE(--LEFT(LEFT(SUBSTITUTE(SUBSTITUTE(SUBSTITUTE(SUBSTITUTE(TRIM($W1989),"-",""),".",""),"/","")," ",""),8),4),--MID(LEFT(SUBSTITUTE(SUBSTITUTE(SUBSTITUTE(SUBSTITUTE(TRIM($W1989),"-",""),".",""),"/","")," ",""),8),5,2),--MID(LEFT(SUBSTITUTE(SUBSTITUTE(SUBSTITUTE(SUBSTITUTE(TRIM($W1989),"-",""),".",""),"/","")," ",""),8),7,2)),"")))</f>
        <v/>
      </c>
      <c r="Y1989" s="32">
        <f>IF($X1989="","",INT($X1989))</f>
        <v/>
      </c>
      <c r="Z1989" s="33">
        <f>IF(OR($Y1989="",$D$6=""),"",IF(INDEX($A:$U,ROW(),$D$6)="",0,IF(ISNUMBER(INDEX($A:$U,ROW(),$D$6)),INDEX($A:$U,ROW(),$D$6),IFERROR(--SUBSTITUTE(SUBSTITUTE(TRIM(INDEX($A:$U,ROW(),$D$6)),",",""),"원",""),0))))</f>
        <v/>
      </c>
      <c r="AA1989" s="31">
        <f>IF($Y1989="","",TRIM(INDEX($A:$U,ROW(),$E$6)&amp;IF($F$6="",""," "&amp;INDEX($A:$U,ROW(),$F$6))))</f>
        <v/>
      </c>
      <c r="AB1989" s="31">
        <f>IF($AA1989="","",SUBSTITUTE(SUBSTITUTE(SUBSTITUTE(SUBSTITUTE(SUBSTITUTE(SUBSTITUTE(SUBSTITUTE(SUBSTITUTE(SUBSTITUTE($AA1989," ",""),"　",""),"(주)",""),"（주）",""),"㈜",""),"주식회사",""),"(유)",""),"（유）",""),"유한회사",""))</f>
        <v/>
      </c>
      <c r="AC1989" s="31">
        <f>IF(OR($Y1989="",N($Z1989)&lt;=0,$AB1989=""),0,IFERROR(LOOKUP(2,1/((거래처별!$AC$8:$AC$307&lt;&gt;"")*ISNUMBER(SEARCH(거래처별!$AC$8:$AC$307,$AB1989))),거래처별!$A$8:$A$307),IFERROR(LOOKUP(2,1/((거래처별!$AD$8:$AD$307&lt;&gt;"")*ISNUMBER(SEARCH(거래처별!$AD$8:$AD$307,$AB1989))),거래처별!$A$8:$A$307),IFERROR(LOOKUP(2,1/((거래처별!$AE$8:$AE$307&lt;&gt;"")*ISNUMBER(SEARCH(거래처별!$AE$8:$AE$307,$AB1989))),거래처별!$A$8:$A$307),0))))</f>
        <v/>
      </c>
      <c r="AD1989" s="31">
        <f>IF(AND($Y1989&lt;&gt;"",N($Z1989)&gt;0,$AC1989=0),MAX($AD$7:$AD1988)+1,"")</f>
        <v/>
      </c>
      <c r="AE1989" s="31">
        <f>IF($Y1989="",0,$Y1989)</f>
        <v/>
      </c>
    </row>
    <row r="1990">
      <c r="W1990" s="31">
        <f>IF(OR($B$5="",$C$6="",ROW()&lt;$B$5),"",IF(INDEX($A:$U,ROW(),$C$6)="","",INDEX($A:$U,ROW(),$C$6)))</f>
        <v/>
      </c>
      <c r="X1990" s="32">
        <f>IF($W1990="","",IF(ISNUMBER($W1990),IF($W1990&gt;=10000000,IFERROR(DATE(INT($W1990/10000),MOD(INT($W1990/100),100),MOD($W1990,100)),""),INT($W1990)),IFERROR(DATE(--LEFT(LEFT(SUBSTITUTE(SUBSTITUTE(SUBSTITUTE(SUBSTITUTE(TRIM($W1990),"-",""),".",""),"/","")," ",""),8),4),--MID(LEFT(SUBSTITUTE(SUBSTITUTE(SUBSTITUTE(SUBSTITUTE(TRIM($W1990),"-",""),".",""),"/","")," ",""),8),5,2),--MID(LEFT(SUBSTITUTE(SUBSTITUTE(SUBSTITUTE(SUBSTITUTE(TRIM($W1990),"-",""),".",""),"/","")," ",""),8),7,2)),"")))</f>
        <v/>
      </c>
      <c r="Y1990" s="32">
        <f>IF($X1990="","",INT($X1990))</f>
        <v/>
      </c>
      <c r="Z1990" s="33">
        <f>IF(OR($Y1990="",$D$6=""),"",IF(INDEX($A:$U,ROW(),$D$6)="",0,IF(ISNUMBER(INDEX($A:$U,ROW(),$D$6)),INDEX($A:$U,ROW(),$D$6),IFERROR(--SUBSTITUTE(SUBSTITUTE(TRIM(INDEX($A:$U,ROW(),$D$6)),",",""),"원",""),0))))</f>
        <v/>
      </c>
      <c r="AA1990" s="31">
        <f>IF($Y1990="","",TRIM(INDEX($A:$U,ROW(),$E$6)&amp;IF($F$6="",""," "&amp;INDEX($A:$U,ROW(),$F$6))))</f>
        <v/>
      </c>
      <c r="AB1990" s="31">
        <f>IF($AA1990="","",SUBSTITUTE(SUBSTITUTE(SUBSTITUTE(SUBSTITUTE(SUBSTITUTE(SUBSTITUTE(SUBSTITUTE(SUBSTITUTE(SUBSTITUTE($AA1990," ",""),"　",""),"(주)",""),"（주）",""),"㈜",""),"주식회사",""),"(유)",""),"（유）",""),"유한회사",""))</f>
        <v/>
      </c>
      <c r="AC1990" s="31">
        <f>IF(OR($Y1990="",N($Z1990)&lt;=0,$AB1990=""),0,IFERROR(LOOKUP(2,1/((거래처별!$AC$8:$AC$307&lt;&gt;"")*ISNUMBER(SEARCH(거래처별!$AC$8:$AC$307,$AB1990))),거래처별!$A$8:$A$307),IFERROR(LOOKUP(2,1/((거래처별!$AD$8:$AD$307&lt;&gt;"")*ISNUMBER(SEARCH(거래처별!$AD$8:$AD$307,$AB1990))),거래처별!$A$8:$A$307),IFERROR(LOOKUP(2,1/((거래처별!$AE$8:$AE$307&lt;&gt;"")*ISNUMBER(SEARCH(거래처별!$AE$8:$AE$307,$AB1990))),거래처별!$A$8:$A$307),0))))</f>
        <v/>
      </c>
      <c r="AD1990" s="31">
        <f>IF(AND($Y1990&lt;&gt;"",N($Z1990)&gt;0,$AC1990=0),MAX($AD$7:$AD1989)+1,"")</f>
        <v/>
      </c>
      <c r="AE1990" s="31">
        <f>IF($Y1990="",0,$Y1990)</f>
        <v/>
      </c>
    </row>
    <row r="1991">
      <c r="W1991" s="31">
        <f>IF(OR($B$5="",$C$6="",ROW()&lt;$B$5),"",IF(INDEX($A:$U,ROW(),$C$6)="","",INDEX($A:$U,ROW(),$C$6)))</f>
        <v/>
      </c>
      <c r="X1991" s="32">
        <f>IF($W1991="","",IF(ISNUMBER($W1991),IF($W1991&gt;=10000000,IFERROR(DATE(INT($W1991/10000),MOD(INT($W1991/100),100),MOD($W1991,100)),""),INT($W1991)),IFERROR(DATE(--LEFT(LEFT(SUBSTITUTE(SUBSTITUTE(SUBSTITUTE(SUBSTITUTE(TRIM($W1991),"-",""),".",""),"/","")," ",""),8),4),--MID(LEFT(SUBSTITUTE(SUBSTITUTE(SUBSTITUTE(SUBSTITUTE(TRIM($W1991),"-",""),".",""),"/","")," ",""),8),5,2),--MID(LEFT(SUBSTITUTE(SUBSTITUTE(SUBSTITUTE(SUBSTITUTE(TRIM($W1991),"-",""),".",""),"/","")," ",""),8),7,2)),"")))</f>
        <v/>
      </c>
      <c r="Y1991" s="32">
        <f>IF($X1991="","",INT($X1991))</f>
        <v/>
      </c>
      <c r="Z1991" s="33">
        <f>IF(OR($Y1991="",$D$6=""),"",IF(INDEX($A:$U,ROW(),$D$6)="",0,IF(ISNUMBER(INDEX($A:$U,ROW(),$D$6)),INDEX($A:$U,ROW(),$D$6),IFERROR(--SUBSTITUTE(SUBSTITUTE(TRIM(INDEX($A:$U,ROW(),$D$6)),",",""),"원",""),0))))</f>
        <v/>
      </c>
      <c r="AA1991" s="31">
        <f>IF($Y1991="","",TRIM(INDEX($A:$U,ROW(),$E$6)&amp;IF($F$6="",""," "&amp;INDEX($A:$U,ROW(),$F$6))))</f>
        <v/>
      </c>
      <c r="AB1991" s="31">
        <f>IF($AA1991="","",SUBSTITUTE(SUBSTITUTE(SUBSTITUTE(SUBSTITUTE(SUBSTITUTE(SUBSTITUTE(SUBSTITUTE(SUBSTITUTE(SUBSTITUTE($AA1991," ",""),"　",""),"(주)",""),"（주）",""),"㈜",""),"주식회사",""),"(유)",""),"（유）",""),"유한회사",""))</f>
        <v/>
      </c>
      <c r="AC1991" s="31">
        <f>IF(OR($Y1991="",N($Z1991)&lt;=0,$AB1991=""),0,IFERROR(LOOKUP(2,1/((거래처별!$AC$8:$AC$307&lt;&gt;"")*ISNUMBER(SEARCH(거래처별!$AC$8:$AC$307,$AB1991))),거래처별!$A$8:$A$307),IFERROR(LOOKUP(2,1/((거래처별!$AD$8:$AD$307&lt;&gt;"")*ISNUMBER(SEARCH(거래처별!$AD$8:$AD$307,$AB1991))),거래처별!$A$8:$A$307),IFERROR(LOOKUP(2,1/((거래처별!$AE$8:$AE$307&lt;&gt;"")*ISNUMBER(SEARCH(거래처별!$AE$8:$AE$307,$AB1991))),거래처별!$A$8:$A$307),0))))</f>
        <v/>
      </c>
      <c r="AD1991" s="31">
        <f>IF(AND($Y1991&lt;&gt;"",N($Z1991)&gt;0,$AC1991=0),MAX($AD$7:$AD1990)+1,"")</f>
        <v/>
      </c>
      <c r="AE1991" s="31">
        <f>IF($Y1991="",0,$Y1991)</f>
        <v/>
      </c>
    </row>
    <row r="1992">
      <c r="W1992" s="31">
        <f>IF(OR($B$5="",$C$6="",ROW()&lt;$B$5),"",IF(INDEX($A:$U,ROW(),$C$6)="","",INDEX($A:$U,ROW(),$C$6)))</f>
        <v/>
      </c>
      <c r="X1992" s="32">
        <f>IF($W1992="","",IF(ISNUMBER($W1992),IF($W1992&gt;=10000000,IFERROR(DATE(INT($W1992/10000),MOD(INT($W1992/100),100),MOD($W1992,100)),""),INT($W1992)),IFERROR(DATE(--LEFT(LEFT(SUBSTITUTE(SUBSTITUTE(SUBSTITUTE(SUBSTITUTE(TRIM($W1992),"-",""),".",""),"/","")," ",""),8),4),--MID(LEFT(SUBSTITUTE(SUBSTITUTE(SUBSTITUTE(SUBSTITUTE(TRIM($W1992),"-",""),".",""),"/","")," ",""),8),5,2),--MID(LEFT(SUBSTITUTE(SUBSTITUTE(SUBSTITUTE(SUBSTITUTE(TRIM($W1992),"-",""),".",""),"/","")," ",""),8),7,2)),"")))</f>
        <v/>
      </c>
      <c r="Y1992" s="32">
        <f>IF($X1992="","",INT($X1992))</f>
        <v/>
      </c>
      <c r="Z1992" s="33">
        <f>IF(OR($Y1992="",$D$6=""),"",IF(INDEX($A:$U,ROW(),$D$6)="",0,IF(ISNUMBER(INDEX($A:$U,ROW(),$D$6)),INDEX($A:$U,ROW(),$D$6),IFERROR(--SUBSTITUTE(SUBSTITUTE(TRIM(INDEX($A:$U,ROW(),$D$6)),",",""),"원",""),0))))</f>
        <v/>
      </c>
      <c r="AA1992" s="31">
        <f>IF($Y1992="","",TRIM(INDEX($A:$U,ROW(),$E$6)&amp;IF($F$6="",""," "&amp;INDEX($A:$U,ROW(),$F$6))))</f>
        <v/>
      </c>
      <c r="AB1992" s="31">
        <f>IF($AA1992="","",SUBSTITUTE(SUBSTITUTE(SUBSTITUTE(SUBSTITUTE(SUBSTITUTE(SUBSTITUTE(SUBSTITUTE(SUBSTITUTE(SUBSTITUTE($AA1992," ",""),"　",""),"(주)",""),"（주）",""),"㈜",""),"주식회사",""),"(유)",""),"（유）",""),"유한회사",""))</f>
        <v/>
      </c>
      <c r="AC1992" s="31">
        <f>IF(OR($Y1992="",N($Z1992)&lt;=0,$AB1992=""),0,IFERROR(LOOKUP(2,1/((거래처별!$AC$8:$AC$307&lt;&gt;"")*ISNUMBER(SEARCH(거래처별!$AC$8:$AC$307,$AB1992))),거래처별!$A$8:$A$307),IFERROR(LOOKUP(2,1/((거래처별!$AD$8:$AD$307&lt;&gt;"")*ISNUMBER(SEARCH(거래처별!$AD$8:$AD$307,$AB1992))),거래처별!$A$8:$A$307),IFERROR(LOOKUP(2,1/((거래처별!$AE$8:$AE$307&lt;&gt;"")*ISNUMBER(SEARCH(거래처별!$AE$8:$AE$307,$AB1992))),거래처별!$A$8:$A$307),0))))</f>
        <v/>
      </c>
      <c r="AD1992" s="31">
        <f>IF(AND($Y1992&lt;&gt;"",N($Z1992)&gt;0,$AC1992=0),MAX($AD$7:$AD1991)+1,"")</f>
        <v/>
      </c>
      <c r="AE1992" s="31">
        <f>IF($Y1992="",0,$Y1992)</f>
        <v/>
      </c>
    </row>
    <row r="1993">
      <c r="W1993" s="31">
        <f>IF(OR($B$5="",$C$6="",ROW()&lt;$B$5),"",IF(INDEX($A:$U,ROW(),$C$6)="","",INDEX($A:$U,ROW(),$C$6)))</f>
        <v/>
      </c>
      <c r="X1993" s="32">
        <f>IF($W1993="","",IF(ISNUMBER($W1993),IF($W1993&gt;=10000000,IFERROR(DATE(INT($W1993/10000),MOD(INT($W1993/100),100),MOD($W1993,100)),""),INT($W1993)),IFERROR(DATE(--LEFT(LEFT(SUBSTITUTE(SUBSTITUTE(SUBSTITUTE(SUBSTITUTE(TRIM($W1993),"-",""),".",""),"/","")," ",""),8),4),--MID(LEFT(SUBSTITUTE(SUBSTITUTE(SUBSTITUTE(SUBSTITUTE(TRIM($W1993),"-",""),".",""),"/","")," ",""),8),5,2),--MID(LEFT(SUBSTITUTE(SUBSTITUTE(SUBSTITUTE(SUBSTITUTE(TRIM($W1993),"-",""),".",""),"/","")," ",""),8),7,2)),"")))</f>
        <v/>
      </c>
      <c r="Y1993" s="32">
        <f>IF($X1993="","",INT($X1993))</f>
        <v/>
      </c>
      <c r="Z1993" s="33">
        <f>IF(OR($Y1993="",$D$6=""),"",IF(INDEX($A:$U,ROW(),$D$6)="",0,IF(ISNUMBER(INDEX($A:$U,ROW(),$D$6)),INDEX($A:$U,ROW(),$D$6),IFERROR(--SUBSTITUTE(SUBSTITUTE(TRIM(INDEX($A:$U,ROW(),$D$6)),",",""),"원",""),0))))</f>
        <v/>
      </c>
      <c r="AA1993" s="31">
        <f>IF($Y1993="","",TRIM(INDEX($A:$U,ROW(),$E$6)&amp;IF($F$6="",""," "&amp;INDEX($A:$U,ROW(),$F$6))))</f>
        <v/>
      </c>
      <c r="AB1993" s="31">
        <f>IF($AA1993="","",SUBSTITUTE(SUBSTITUTE(SUBSTITUTE(SUBSTITUTE(SUBSTITUTE(SUBSTITUTE(SUBSTITUTE(SUBSTITUTE(SUBSTITUTE($AA1993," ",""),"　",""),"(주)",""),"（주）",""),"㈜",""),"주식회사",""),"(유)",""),"（유）",""),"유한회사",""))</f>
        <v/>
      </c>
      <c r="AC1993" s="31">
        <f>IF(OR($Y1993="",N($Z1993)&lt;=0,$AB1993=""),0,IFERROR(LOOKUP(2,1/((거래처별!$AC$8:$AC$307&lt;&gt;"")*ISNUMBER(SEARCH(거래처별!$AC$8:$AC$307,$AB1993))),거래처별!$A$8:$A$307),IFERROR(LOOKUP(2,1/((거래처별!$AD$8:$AD$307&lt;&gt;"")*ISNUMBER(SEARCH(거래처별!$AD$8:$AD$307,$AB1993))),거래처별!$A$8:$A$307),IFERROR(LOOKUP(2,1/((거래처별!$AE$8:$AE$307&lt;&gt;"")*ISNUMBER(SEARCH(거래처별!$AE$8:$AE$307,$AB1993))),거래처별!$A$8:$A$307),0))))</f>
        <v/>
      </c>
      <c r="AD1993" s="31">
        <f>IF(AND($Y1993&lt;&gt;"",N($Z1993)&gt;0,$AC1993=0),MAX($AD$7:$AD1992)+1,"")</f>
        <v/>
      </c>
      <c r="AE1993" s="31">
        <f>IF($Y1993="",0,$Y1993)</f>
        <v/>
      </c>
    </row>
    <row r="1994">
      <c r="W1994" s="31">
        <f>IF(OR($B$5="",$C$6="",ROW()&lt;$B$5),"",IF(INDEX($A:$U,ROW(),$C$6)="","",INDEX($A:$U,ROW(),$C$6)))</f>
        <v/>
      </c>
      <c r="X1994" s="32">
        <f>IF($W1994="","",IF(ISNUMBER($W1994),IF($W1994&gt;=10000000,IFERROR(DATE(INT($W1994/10000),MOD(INT($W1994/100),100),MOD($W1994,100)),""),INT($W1994)),IFERROR(DATE(--LEFT(LEFT(SUBSTITUTE(SUBSTITUTE(SUBSTITUTE(SUBSTITUTE(TRIM($W1994),"-",""),".",""),"/","")," ",""),8),4),--MID(LEFT(SUBSTITUTE(SUBSTITUTE(SUBSTITUTE(SUBSTITUTE(TRIM($W1994),"-",""),".",""),"/","")," ",""),8),5,2),--MID(LEFT(SUBSTITUTE(SUBSTITUTE(SUBSTITUTE(SUBSTITUTE(TRIM($W1994),"-",""),".",""),"/","")," ",""),8),7,2)),"")))</f>
        <v/>
      </c>
      <c r="Y1994" s="32">
        <f>IF($X1994="","",INT($X1994))</f>
        <v/>
      </c>
      <c r="Z1994" s="33">
        <f>IF(OR($Y1994="",$D$6=""),"",IF(INDEX($A:$U,ROW(),$D$6)="",0,IF(ISNUMBER(INDEX($A:$U,ROW(),$D$6)),INDEX($A:$U,ROW(),$D$6),IFERROR(--SUBSTITUTE(SUBSTITUTE(TRIM(INDEX($A:$U,ROW(),$D$6)),",",""),"원",""),0))))</f>
        <v/>
      </c>
      <c r="AA1994" s="31">
        <f>IF($Y1994="","",TRIM(INDEX($A:$U,ROW(),$E$6)&amp;IF($F$6="",""," "&amp;INDEX($A:$U,ROW(),$F$6))))</f>
        <v/>
      </c>
      <c r="AB1994" s="31">
        <f>IF($AA1994="","",SUBSTITUTE(SUBSTITUTE(SUBSTITUTE(SUBSTITUTE(SUBSTITUTE(SUBSTITUTE(SUBSTITUTE(SUBSTITUTE(SUBSTITUTE($AA1994," ",""),"　",""),"(주)",""),"（주）",""),"㈜",""),"주식회사",""),"(유)",""),"（유）",""),"유한회사",""))</f>
        <v/>
      </c>
      <c r="AC1994" s="31">
        <f>IF(OR($Y1994="",N($Z1994)&lt;=0,$AB1994=""),0,IFERROR(LOOKUP(2,1/((거래처별!$AC$8:$AC$307&lt;&gt;"")*ISNUMBER(SEARCH(거래처별!$AC$8:$AC$307,$AB1994))),거래처별!$A$8:$A$307),IFERROR(LOOKUP(2,1/((거래처별!$AD$8:$AD$307&lt;&gt;"")*ISNUMBER(SEARCH(거래처별!$AD$8:$AD$307,$AB1994))),거래처별!$A$8:$A$307),IFERROR(LOOKUP(2,1/((거래처별!$AE$8:$AE$307&lt;&gt;"")*ISNUMBER(SEARCH(거래처별!$AE$8:$AE$307,$AB1994))),거래처별!$A$8:$A$307),0))))</f>
        <v/>
      </c>
      <c r="AD1994" s="31">
        <f>IF(AND($Y1994&lt;&gt;"",N($Z1994)&gt;0,$AC1994=0),MAX($AD$7:$AD1993)+1,"")</f>
        <v/>
      </c>
      <c r="AE1994" s="31">
        <f>IF($Y1994="",0,$Y1994)</f>
        <v/>
      </c>
    </row>
    <row r="1995">
      <c r="W1995" s="31">
        <f>IF(OR($B$5="",$C$6="",ROW()&lt;$B$5),"",IF(INDEX($A:$U,ROW(),$C$6)="","",INDEX($A:$U,ROW(),$C$6)))</f>
        <v/>
      </c>
      <c r="X1995" s="32">
        <f>IF($W1995="","",IF(ISNUMBER($W1995),IF($W1995&gt;=10000000,IFERROR(DATE(INT($W1995/10000),MOD(INT($W1995/100),100),MOD($W1995,100)),""),INT($W1995)),IFERROR(DATE(--LEFT(LEFT(SUBSTITUTE(SUBSTITUTE(SUBSTITUTE(SUBSTITUTE(TRIM($W1995),"-",""),".",""),"/","")," ",""),8),4),--MID(LEFT(SUBSTITUTE(SUBSTITUTE(SUBSTITUTE(SUBSTITUTE(TRIM($W1995),"-",""),".",""),"/","")," ",""),8),5,2),--MID(LEFT(SUBSTITUTE(SUBSTITUTE(SUBSTITUTE(SUBSTITUTE(TRIM($W1995),"-",""),".",""),"/","")," ",""),8),7,2)),"")))</f>
        <v/>
      </c>
      <c r="Y1995" s="32">
        <f>IF($X1995="","",INT($X1995))</f>
        <v/>
      </c>
      <c r="Z1995" s="33">
        <f>IF(OR($Y1995="",$D$6=""),"",IF(INDEX($A:$U,ROW(),$D$6)="",0,IF(ISNUMBER(INDEX($A:$U,ROW(),$D$6)),INDEX($A:$U,ROW(),$D$6),IFERROR(--SUBSTITUTE(SUBSTITUTE(TRIM(INDEX($A:$U,ROW(),$D$6)),",",""),"원",""),0))))</f>
        <v/>
      </c>
      <c r="AA1995" s="31">
        <f>IF($Y1995="","",TRIM(INDEX($A:$U,ROW(),$E$6)&amp;IF($F$6="",""," "&amp;INDEX($A:$U,ROW(),$F$6))))</f>
        <v/>
      </c>
      <c r="AB1995" s="31">
        <f>IF($AA1995="","",SUBSTITUTE(SUBSTITUTE(SUBSTITUTE(SUBSTITUTE(SUBSTITUTE(SUBSTITUTE(SUBSTITUTE(SUBSTITUTE(SUBSTITUTE($AA1995," ",""),"　",""),"(주)",""),"（주）",""),"㈜",""),"주식회사",""),"(유)",""),"（유）",""),"유한회사",""))</f>
        <v/>
      </c>
      <c r="AC1995" s="31">
        <f>IF(OR($Y1995="",N($Z1995)&lt;=0,$AB1995=""),0,IFERROR(LOOKUP(2,1/((거래처별!$AC$8:$AC$307&lt;&gt;"")*ISNUMBER(SEARCH(거래처별!$AC$8:$AC$307,$AB1995))),거래처별!$A$8:$A$307),IFERROR(LOOKUP(2,1/((거래처별!$AD$8:$AD$307&lt;&gt;"")*ISNUMBER(SEARCH(거래처별!$AD$8:$AD$307,$AB1995))),거래처별!$A$8:$A$307),IFERROR(LOOKUP(2,1/((거래처별!$AE$8:$AE$307&lt;&gt;"")*ISNUMBER(SEARCH(거래처별!$AE$8:$AE$307,$AB1995))),거래처별!$A$8:$A$307),0))))</f>
        <v/>
      </c>
      <c r="AD1995" s="31">
        <f>IF(AND($Y1995&lt;&gt;"",N($Z1995)&gt;0,$AC1995=0),MAX($AD$7:$AD1994)+1,"")</f>
        <v/>
      </c>
      <c r="AE1995" s="31">
        <f>IF($Y1995="",0,$Y1995)</f>
        <v/>
      </c>
    </row>
    <row r="1996">
      <c r="W1996" s="31">
        <f>IF(OR($B$5="",$C$6="",ROW()&lt;$B$5),"",IF(INDEX($A:$U,ROW(),$C$6)="","",INDEX($A:$U,ROW(),$C$6)))</f>
        <v/>
      </c>
      <c r="X1996" s="32">
        <f>IF($W1996="","",IF(ISNUMBER($W1996),IF($W1996&gt;=10000000,IFERROR(DATE(INT($W1996/10000),MOD(INT($W1996/100),100),MOD($W1996,100)),""),INT($W1996)),IFERROR(DATE(--LEFT(LEFT(SUBSTITUTE(SUBSTITUTE(SUBSTITUTE(SUBSTITUTE(TRIM($W1996),"-",""),".",""),"/","")," ",""),8),4),--MID(LEFT(SUBSTITUTE(SUBSTITUTE(SUBSTITUTE(SUBSTITUTE(TRIM($W1996),"-",""),".",""),"/","")," ",""),8),5,2),--MID(LEFT(SUBSTITUTE(SUBSTITUTE(SUBSTITUTE(SUBSTITUTE(TRIM($W1996),"-",""),".",""),"/","")," ",""),8),7,2)),"")))</f>
        <v/>
      </c>
      <c r="Y1996" s="32">
        <f>IF($X1996="","",INT($X1996))</f>
        <v/>
      </c>
      <c r="Z1996" s="33">
        <f>IF(OR($Y1996="",$D$6=""),"",IF(INDEX($A:$U,ROW(),$D$6)="",0,IF(ISNUMBER(INDEX($A:$U,ROW(),$D$6)),INDEX($A:$U,ROW(),$D$6),IFERROR(--SUBSTITUTE(SUBSTITUTE(TRIM(INDEX($A:$U,ROW(),$D$6)),",",""),"원",""),0))))</f>
        <v/>
      </c>
      <c r="AA1996" s="31">
        <f>IF($Y1996="","",TRIM(INDEX($A:$U,ROW(),$E$6)&amp;IF($F$6="",""," "&amp;INDEX($A:$U,ROW(),$F$6))))</f>
        <v/>
      </c>
      <c r="AB1996" s="31">
        <f>IF($AA1996="","",SUBSTITUTE(SUBSTITUTE(SUBSTITUTE(SUBSTITUTE(SUBSTITUTE(SUBSTITUTE(SUBSTITUTE(SUBSTITUTE(SUBSTITUTE($AA1996," ",""),"　",""),"(주)",""),"（주）",""),"㈜",""),"주식회사",""),"(유)",""),"（유）",""),"유한회사",""))</f>
        <v/>
      </c>
      <c r="AC1996" s="31">
        <f>IF(OR($Y1996="",N($Z1996)&lt;=0,$AB1996=""),0,IFERROR(LOOKUP(2,1/((거래처별!$AC$8:$AC$307&lt;&gt;"")*ISNUMBER(SEARCH(거래처별!$AC$8:$AC$307,$AB1996))),거래처별!$A$8:$A$307),IFERROR(LOOKUP(2,1/((거래처별!$AD$8:$AD$307&lt;&gt;"")*ISNUMBER(SEARCH(거래처별!$AD$8:$AD$307,$AB1996))),거래처별!$A$8:$A$307),IFERROR(LOOKUP(2,1/((거래처별!$AE$8:$AE$307&lt;&gt;"")*ISNUMBER(SEARCH(거래처별!$AE$8:$AE$307,$AB1996))),거래처별!$A$8:$A$307),0))))</f>
        <v/>
      </c>
      <c r="AD1996" s="31">
        <f>IF(AND($Y1996&lt;&gt;"",N($Z1996)&gt;0,$AC1996=0),MAX($AD$7:$AD1995)+1,"")</f>
        <v/>
      </c>
      <c r="AE1996" s="31">
        <f>IF($Y1996="",0,$Y1996)</f>
        <v/>
      </c>
    </row>
    <row r="1997">
      <c r="W1997" s="31">
        <f>IF(OR($B$5="",$C$6="",ROW()&lt;$B$5),"",IF(INDEX($A:$U,ROW(),$C$6)="","",INDEX($A:$U,ROW(),$C$6)))</f>
        <v/>
      </c>
      <c r="X1997" s="32">
        <f>IF($W1997="","",IF(ISNUMBER($W1997),IF($W1997&gt;=10000000,IFERROR(DATE(INT($W1997/10000),MOD(INT($W1997/100),100),MOD($W1997,100)),""),INT($W1997)),IFERROR(DATE(--LEFT(LEFT(SUBSTITUTE(SUBSTITUTE(SUBSTITUTE(SUBSTITUTE(TRIM($W1997),"-",""),".",""),"/","")," ",""),8),4),--MID(LEFT(SUBSTITUTE(SUBSTITUTE(SUBSTITUTE(SUBSTITUTE(TRIM($W1997),"-",""),".",""),"/","")," ",""),8),5,2),--MID(LEFT(SUBSTITUTE(SUBSTITUTE(SUBSTITUTE(SUBSTITUTE(TRIM($W1997),"-",""),".",""),"/","")," ",""),8),7,2)),"")))</f>
        <v/>
      </c>
      <c r="Y1997" s="32">
        <f>IF($X1997="","",INT($X1997))</f>
        <v/>
      </c>
      <c r="Z1997" s="33">
        <f>IF(OR($Y1997="",$D$6=""),"",IF(INDEX($A:$U,ROW(),$D$6)="",0,IF(ISNUMBER(INDEX($A:$U,ROW(),$D$6)),INDEX($A:$U,ROW(),$D$6),IFERROR(--SUBSTITUTE(SUBSTITUTE(TRIM(INDEX($A:$U,ROW(),$D$6)),",",""),"원",""),0))))</f>
        <v/>
      </c>
      <c r="AA1997" s="31">
        <f>IF($Y1997="","",TRIM(INDEX($A:$U,ROW(),$E$6)&amp;IF($F$6="",""," "&amp;INDEX($A:$U,ROW(),$F$6))))</f>
        <v/>
      </c>
      <c r="AB1997" s="31">
        <f>IF($AA1997="","",SUBSTITUTE(SUBSTITUTE(SUBSTITUTE(SUBSTITUTE(SUBSTITUTE(SUBSTITUTE(SUBSTITUTE(SUBSTITUTE(SUBSTITUTE($AA1997," ",""),"　",""),"(주)",""),"（주）",""),"㈜",""),"주식회사",""),"(유)",""),"（유）",""),"유한회사",""))</f>
        <v/>
      </c>
      <c r="AC1997" s="31">
        <f>IF(OR($Y1997="",N($Z1997)&lt;=0,$AB1997=""),0,IFERROR(LOOKUP(2,1/((거래처별!$AC$8:$AC$307&lt;&gt;"")*ISNUMBER(SEARCH(거래처별!$AC$8:$AC$307,$AB1997))),거래처별!$A$8:$A$307),IFERROR(LOOKUP(2,1/((거래처별!$AD$8:$AD$307&lt;&gt;"")*ISNUMBER(SEARCH(거래처별!$AD$8:$AD$307,$AB1997))),거래처별!$A$8:$A$307),IFERROR(LOOKUP(2,1/((거래처별!$AE$8:$AE$307&lt;&gt;"")*ISNUMBER(SEARCH(거래처별!$AE$8:$AE$307,$AB1997))),거래처별!$A$8:$A$307),0))))</f>
        <v/>
      </c>
      <c r="AD1997" s="31">
        <f>IF(AND($Y1997&lt;&gt;"",N($Z1997)&gt;0,$AC1997=0),MAX($AD$7:$AD1996)+1,"")</f>
        <v/>
      </c>
      <c r="AE1997" s="31">
        <f>IF($Y1997="",0,$Y1997)</f>
        <v/>
      </c>
    </row>
    <row r="1998">
      <c r="W1998" s="31">
        <f>IF(OR($B$5="",$C$6="",ROW()&lt;$B$5),"",IF(INDEX($A:$U,ROW(),$C$6)="","",INDEX($A:$U,ROW(),$C$6)))</f>
        <v/>
      </c>
      <c r="X1998" s="32">
        <f>IF($W1998="","",IF(ISNUMBER($W1998),IF($W1998&gt;=10000000,IFERROR(DATE(INT($W1998/10000),MOD(INT($W1998/100),100),MOD($W1998,100)),""),INT($W1998)),IFERROR(DATE(--LEFT(LEFT(SUBSTITUTE(SUBSTITUTE(SUBSTITUTE(SUBSTITUTE(TRIM($W1998),"-",""),".",""),"/","")," ",""),8),4),--MID(LEFT(SUBSTITUTE(SUBSTITUTE(SUBSTITUTE(SUBSTITUTE(TRIM($W1998),"-",""),".",""),"/","")," ",""),8),5,2),--MID(LEFT(SUBSTITUTE(SUBSTITUTE(SUBSTITUTE(SUBSTITUTE(TRIM($W1998),"-",""),".",""),"/","")," ",""),8),7,2)),"")))</f>
        <v/>
      </c>
      <c r="Y1998" s="32">
        <f>IF($X1998="","",INT($X1998))</f>
        <v/>
      </c>
      <c r="Z1998" s="33">
        <f>IF(OR($Y1998="",$D$6=""),"",IF(INDEX($A:$U,ROW(),$D$6)="",0,IF(ISNUMBER(INDEX($A:$U,ROW(),$D$6)),INDEX($A:$U,ROW(),$D$6),IFERROR(--SUBSTITUTE(SUBSTITUTE(TRIM(INDEX($A:$U,ROW(),$D$6)),",",""),"원",""),0))))</f>
        <v/>
      </c>
      <c r="AA1998" s="31">
        <f>IF($Y1998="","",TRIM(INDEX($A:$U,ROW(),$E$6)&amp;IF($F$6="",""," "&amp;INDEX($A:$U,ROW(),$F$6))))</f>
        <v/>
      </c>
      <c r="AB1998" s="31">
        <f>IF($AA1998="","",SUBSTITUTE(SUBSTITUTE(SUBSTITUTE(SUBSTITUTE(SUBSTITUTE(SUBSTITUTE(SUBSTITUTE(SUBSTITUTE(SUBSTITUTE($AA1998," ",""),"　",""),"(주)",""),"（주）",""),"㈜",""),"주식회사",""),"(유)",""),"（유）",""),"유한회사",""))</f>
        <v/>
      </c>
      <c r="AC1998" s="31">
        <f>IF(OR($Y1998="",N($Z1998)&lt;=0,$AB1998=""),0,IFERROR(LOOKUP(2,1/((거래처별!$AC$8:$AC$307&lt;&gt;"")*ISNUMBER(SEARCH(거래처별!$AC$8:$AC$307,$AB1998))),거래처별!$A$8:$A$307),IFERROR(LOOKUP(2,1/((거래처별!$AD$8:$AD$307&lt;&gt;"")*ISNUMBER(SEARCH(거래처별!$AD$8:$AD$307,$AB1998))),거래처별!$A$8:$A$307),IFERROR(LOOKUP(2,1/((거래처별!$AE$8:$AE$307&lt;&gt;"")*ISNUMBER(SEARCH(거래처별!$AE$8:$AE$307,$AB1998))),거래처별!$A$8:$A$307),0))))</f>
        <v/>
      </c>
      <c r="AD1998" s="31">
        <f>IF(AND($Y1998&lt;&gt;"",N($Z1998)&gt;0,$AC1998=0),MAX($AD$7:$AD1997)+1,"")</f>
        <v/>
      </c>
      <c r="AE1998" s="31">
        <f>IF($Y1998="",0,$Y1998)</f>
        <v/>
      </c>
    </row>
    <row r="1999">
      <c r="W1999" s="31">
        <f>IF(OR($B$5="",$C$6="",ROW()&lt;$B$5),"",IF(INDEX($A:$U,ROW(),$C$6)="","",INDEX($A:$U,ROW(),$C$6)))</f>
        <v/>
      </c>
      <c r="X1999" s="32">
        <f>IF($W1999="","",IF(ISNUMBER($W1999),IF($W1999&gt;=10000000,IFERROR(DATE(INT($W1999/10000),MOD(INT($W1999/100),100),MOD($W1999,100)),""),INT($W1999)),IFERROR(DATE(--LEFT(LEFT(SUBSTITUTE(SUBSTITUTE(SUBSTITUTE(SUBSTITUTE(TRIM($W1999),"-",""),".",""),"/","")," ",""),8),4),--MID(LEFT(SUBSTITUTE(SUBSTITUTE(SUBSTITUTE(SUBSTITUTE(TRIM($W1999),"-",""),".",""),"/","")," ",""),8),5,2),--MID(LEFT(SUBSTITUTE(SUBSTITUTE(SUBSTITUTE(SUBSTITUTE(TRIM($W1999),"-",""),".",""),"/","")," ",""),8),7,2)),"")))</f>
        <v/>
      </c>
      <c r="Y1999" s="32">
        <f>IF($X1999="","",INT($X1999))</f>
        <v/>
      </c>
      <c r="Z1999" s="33">
        <f>IF(OR($Y1999="",$D$6=""),"",IF(INDEX($A:$U,ROW(),$D$6)="",0,IF(ISNUMBER(INDEX($A:$U,ROW(),$D$6)),INDEX($A:$U,ROW(),$D$6),IFERROR(--SUBSTITUTE(SUBSTITUTE(TRIM(INDEX($A:$U,ROW(),$D$6)),",",""),"원",""),0))))</f>
        <v/>
      </c>
      <c r="AA1999" s="31">
        <f>IF($Y1999="","",TRIM(INDEX($A:$U,ROW(),$E$6)&amp;IF($F$6="",""," "&amp;INDEX($A:$U,ROW(),$F$6))))</f>
        <v/>
      </c>
      <c r="AB1999" s="31">
        <f>IF($AA1999="","",SUBSTITUTE(SUBSTITUTE(SUBSTITUTE(SUBSTITUTE(SUBSTITUTE(SUBSTITUTE(SUBSTITUTE(SUBSTITUTE(SUBSTITUTE($AA1999," ",""),"　",""),"(주)",""),"（주）",""),"㈜",""),"주식회사",""),"(유)",""),"（유）",""),"유한회사",""))</f>
        <v/>
      </c>
      <c r="AC1999" s="31">
        <f>IF(OR($Y1999="",N($Z1999)&lt;=0,$AB1999=""),0,IFERROR(LOOKUP(2,1/((거래처별!$AC$8:$AC$307&lt;&gt;"")*ISNUMBER(SEARCH(거래처별!$AC$8:$AC$307,$AB1999))),거래처별!$A$8:$A$307),IFERROR(LOOKUP(2,1/((거래처별!$AD$8:$AD$307&lt;&gt;"")*ISNUMBER(SEARCH(거래처별!$AD$8:$AD$307,$AB1999))),거래처별!$A$8:$A$307),IFERROR(LOOKUP(2,1/((거래처별!$AE$8:$AE$307&lt;&gt;"")*ISNUMBER(SEARCH(거래처별!$AE$8:$AE$307,$AB1999))),거래처별!$A$8:$A$307),0))))</f>
        <v/>
      </c>
      <c r="AD1999" s="31">
        <f>IF(AND($Y1999&lt;&gt;"",N($Z1999)&gt;0,$AC1999=0),MAX($AD$7:$AD1998)+1,"")</f>
        <v/>
      </c>
      <c r="AE1999" s="31">
        <f>IF($Y1999="",0,$Y1999)</f>
        <v/>
      </c>
    </row>
    <row r="2000">
      <c r="W2000" s="31">
        <f>IF(OR($B$5="",$C$6="",ROW()&lt;$B$5),"",IF(INDEX($A:$U,ROW(),$C$6)="","",INDEX($A:$U,ROW(),$C$6)))</f>
        <v/>
      </c>
      <c r="X2000" s="32">
        <f>IF($W2000="","",IF(ISNUMBER($W2000),IF($W2000&gt;=10000000,IFERROR(DATE(INT($W2000/10000),MOD(INT($W2000/100),100),MOD($W2000,100)),""),INT($W2000)),IFERROR(DATE(--LEFT(LEFT(SUBSTITUTE(SUBSTITUTE(SUBSTITUTE(SUBSTITUTE(TRIM($W2000),"-",""),".",""),"/","")," ",""),8),4),--MID(LEFT(SUBSTITUTE(SUBSTITUTE(SUBSTITUTE(SUBSTITUTE(TRIM($W2000),"-",""),".",""),"/","")," ",""),8),5,2),--MID(LEFT(SUBSTITUTE(SUBSTITUTE(SUBSTITUTE(SUBSTITUTE(TRIM($W2000),"-",""),".",""),"/","")," ",""),8),7,2)),"")))</f>
        <v/>
      </c>
      <c r="Y2000" s="32">
        <f>IF($X2000="","",INT($X2000))</f>
        <v/>
      </c>
      <c r="Z2000" s="33">
        <f>IF(OR($Y2000="",$D$6=""),"",IF(INDEX($A:$U,ROW(),$D$6)="",0,IF(ISNUMBER(INDEX($A:$U,ROW(),$D$6)),INDEX($A:$U,ROW(),$D$6),IFERROR(--SUBSTITUTE(SUBSTITUTE(TRIM(INDEX($A:$U,ROW(),$D$6)),",",""),"원",""),0))))</f>
        <v/>
      </c>
      <c r="AA2000" s="31">
        <f>IF($Y2000="","",TRIM(INDEX($A:$U,ROW(),$E$6)&amp;IF($F$6="",""," "&amp;INDEX($A:$U,ROW(),$F$6))))</f>
        <v/>
      </c>
      <c r="AB2000" s="31">
        <f>IF($AA2000="","",SUBSTITUTE(SUBSTITUTE(SUBSTITUTE(SUBSTITUTE(SUBSTITUTE(SUBSTITUTE(SUBSTITUTE(SUBSTITUTE(SUBSTITUTE($AA2000," ",""),"　",""),"(주)",""),"（주）",""),"㈜",""),"주식회사",""),"(유)",""),"（유）",""),"유한회사",""))</f>
        <v/>
      </c>
      <c r="AC2000" s="31">
        <f>IF(OR($Y2000="",N($Z2000)&lt;=0,$AB2000=""),0,IFERROR(LOOKUP(2,1/((거래처별!$AC$8:$AC$307&lt;&gt;"")*ISNUMBER(SEARCH(거래처별!$AC$8:$AC$307,$AB2000))),거래처별!$A$8:$A$307),IFERROR(LOOKUP(2,1/((거래처별!$AD$8:$AD$307&lt;&gt;"")*ISNUMBER(SEARCH(거래처별!$AD$8:$AD$307,$AB2000))),거래처별!$A$8:$A$307),IFERROR(LOOKUP(2,1/((거래처별!$AE$8:$AE$307&lt;&gt;"")*ISNUMBER(SEARCH(거래처별!$AE$8:$AE$307,$AB2000))),거래처별!$A$8:$A$307),0))))</f>
        <v/>
      </c>
      <c r="AD2000" s="31">
        <f>IF(AND($Y2000&lt;&gt;"",N($Z2000)&gt;0,$AC2000=0),MAX($AD$7:$AD1999)+1,"")</f>
        <v/>
      </c>
      <c r="AE2000" s="31">
        <f>IF($Y2000="",0,$Y2000)</f>
        <v/>
      </c>
    </row>
    <row r="2001">
      <c r="W2001" s="31">
        <f>IF(OR($B$5="",$C$6="",ROW()&lt;$B$5),"",IF(INDEX($A:$U,ROW(),$C$6)="","",INDEX($A:$U,ROW(),$C$6)))</f>
        <v/>
      </c>
      <c r="X2001" s="32">
        <f>IF($W2001="","",IF(ISNUMBER($W2001),IF($W2001&gt;=10000000,IFERROR(DATE(INT($W2001/10000),MOD(INT($W2001/100),100),MOD($W2001,100)),""),INT($W2001)),IFERROR(DATE(--LEFT(LEFT(SUBSTITUTE(SUBSTITUTE(SUBSTITUTE(SUBSTITUTE(TRIM($W2001),"-",""),".",""),"/","")," ",""),8),4),--MID(LEFT(SUBSTITUTE(SUBSTITUTE(SUBSTITUTE(SUBSTITUTE(TRIM($W2001),"-",""),".",""),"/","")," ",""),8),5,2),--MID(LEFT(SUBSTITUTE(SUBSTITUTE(SUBSTITUTE(SUBSTITUTE(TRIM($W2001),"-",""),".",""),"/","")," ",""),8),7,2)),"")))</f>
        <v/>
      </c>
      <c r="Y2001" s="32">
        <f>IF($X2001="","",INT($X2001))</f>
        <v/>
      </c>
      <c r="Z2001" s="33">
        <f>IF(OR($Y2001="",$D$6=""),"",IF(INDEX($A:$U,ROW(),$D$6)="",0,IF(ISNUMBER(INDEX($A:$U,ROW(),$D$6)),INDEX($A:$U,ROW(),$D$6),IFERROR(--SUBSTITUTE(SUBSTITUTE(TRIM(INDEX($A:$U,ROW(),$D$6)),",",""),"원",""),0))))</f>
        <v/>
      </c>
      <c r="AA2001" s="31">
        <f>IF($Y2001="","",TRIM(INDEX($A:$U,ROW(),$E$6)&amp;IF($F$6="",""," "&amp;INDEX($A:$U,ROW(),$F$6))))</f>
        <v/>
      </c>
      <c r="AB2001" s="31">
        <f>IF($AA2001="","",SUBSTITUTE(SUBSTITUTE(SUBSTITUTE(SUBSTITUTE(SUBSTITUTE(SUBSTITUTE(SUBSTITUTE(SUBSTITUTE(SUBSTITUTE($AA2001," ",""),"　",""),"(주)",""),"（주）",""),"㈜",""),"주식회사",""),"(유)",""),"（유）",""),"유한회사",""))</f>
        <v/>
      </c>
      <c r="AC2001" s="31">
        <f>IF(OR($Y2001="",N($Z2001)&lt;=0,$AB2001=""),0,IFERROR(LOOKUP(2,1/((거래처별!$AC$8:$AC$307&lt;&gt;"")*ISNUMBER(SEARCH(거래처별!$AC$8:$AC$307,$AB2001))),거래처별!$A$8:$A$307),IFERROR(LOOKUP(2,1/((거래처별!$AD$8:$AD$307&lt;&gt;"")*ISNUMBER(SEARCH(거래처별!$AD$8:$AD$307,$AB2001))),거래처별!$A$8:$A$307),IFERROR(LOOKUP(2,1/((거래처별!$AE$8:$AE$307&lt;&gt;"")*ISNUMBER(SEARCH(거래처별!$AE$8:$AE$307,$AB2001))),거래처별!$A$8:$A$307),0))))</f>
        <v/>
      </c>
      <c r="AD2001" s="31">
        <f>IF(AND($Y2001&lt;&gt;"",N($Z2001)&gt;0,$AC2001=0),MAX($AD$7:$AD2000)+1,"")</f>
        <v/>
      </c>
      <c r="AE2001" s="31">
        <f>IF($Y2001="",0,$Y2001)</f>
        <v/>
      </c>
    </row>
    <row r="2002">
      <c r="W2002" s="31">
        <f>IF(OR($B$5="",$C$6="",ROW()&lt;$B$5),"",IF(INDEX($A:$U,ROW(),$C$6)="","",INDEX($A:$U,ROW(),$C$6)))</f>
        <v/>
      </c>
      <c r="X2002" s="32">
        <f>IF($W2002="","",IF(ISNUMBER($W2002),IF($W2002&gt;=10000000,IFERROR(DATE(INT($W2002/10000),MOD(INT($W2002/100),100),MOD($W2002,100)),""),INT($W2002)),IFERROR(DATE(--LEFT(LEFT(SUBSTITUTE(SUBSTITUTE(SUBSTITUTE(SUBSTITUTE(TRIM($W2002),"-",""),".",""),"/","")," ",""),8),4),--MID(LEFT(SUBSTITUTE(SUBSTITUTE(SUBSTITUTE(SUBSTITUTE(TRIM($W2002),"-",""),".",""),"/","")," ",""),8),5,2),--MID(LEFT(SUBSTITUTE(SUBSTITUTE(SUBSTITUTE(SUBSTITUTE(TRIM($W2002),"-",""),".",""),"/","")," ",""),8),7,2)),"")))</f>
        <v/>
      </c>
      <c r="Y2002" s="32">
        <f>IF($X2002="","",INT($X2002))</f>
        <v/>
      </c>
      <c r="Z2002" s="33">
        <f>IF(OR($Y2002="",$D$6=""),"",IF(INDEX($A:$U,ROW(),$D$6)="",0,IF(ISNUMBER(INDEX($A:$U,ROW(),$D$6)),INDEX($A:$U,ROW(),$D$6),IFERROR(--SUBSTITUTE(SUBSTITUTE(TRIM(INDEX($A:$U,ROW(),$D$6)),",",""),"원",""),0))))</f>
        <v/>
      </c>
      <c r="AA2002" s="31">
        <f>IF($Y2002="","",TRIM(INDEX($A:$U,ROW(),$E$6)&amp;IF($F$6="",""," "&amp;INDEX($A:$U,ROW(),$F$6))))</f>
        <v/>
      </c>
      <c r="AB2002" s="31">
        <f>IF($AA2002="","",SUBSTITUTE(SUBSTITUTE(SUBSTITUTE(SUBSTITUTE(SUBSTITUTE(SUBSTITUTE(SUBSTITUTE(SUBSTITUTE(SUBSTITUTE($AA2002," ",""),"　",""),"(주)",""),"（주）",""),"㈜",""),"주식회사",""),"(유)",""),"（유）",""),"유한회사",""))</f>
        <v/>
      </c>
      <c r="AC2002" s="31">
        <f>IF(OR($Y2002="",N($Z2002)&lt;=0,$AB2002=""),0,IFERROR(LOOKUP(2,1/((거래처별!$AC$8:$AC$307&lt;&gt;"")*ISNUMBER(SEARCH(거래처별!$AC$8:$AC$307,$AB2002))),거래처별!$A$8:$A$307),IFERROR(LOOKUP(2,1/((거래처별!$AD$8:$AD$307&lt;&gt;"")*ISNUMBER(SEARCH(거래처별!$AD$8:$AD$307,$AB2002))),거래처별!$A$8:$A$307),IFERROR(LOOKUP(2,1/((거래처별!$AE$8:$AE$307&lt;&gt;"")*ISNUMBER(SEARCH(거래처별!$AE$8:$AE$307,$AB2002))),거래처별!$A$8:$A$307),0))))</f>
        <v/>
      </c>
      <c r="AD2002" s="31">
        <f>IF(AND($Y2002&lt;&gt;"",N($Z2002)&gt;0,$AC2002=0),MAX($AD$7:$AD2001)+1,"")</f>
        <v/>
      </c>
      <c r="AE2002" s="31">
        <f>IF($Y2002="",0,$Y2002)</f>
        <v/>
      </c>
    </row>
    <row r="2003">
      <c r="W2003" s="31">
        <f>IF(OR($B$5="",$C$6="",ROW()&lt;$B$5),"",IF(INDEX($A:$U,ROW(),$C$6)="","",INDEX($A:$U,ROW(),$C$6)))</f>
        <v/>
      </c>
      <c r="X2003" s="32">
        <f>IF($W2003="","",IF(ISNUMBER($W2003),IF($W2003&gt;=10000000,IFERROR(DATE(INT($W2003/10000),MOD(INT($W2003/100),100),MOD($W2003,100)),""),INT($W2003)),IFERROR(DATE(--LEFT(LEFT(SUBSTITUTE(SUBSTITUTE(SUBSTITUTE(SUBSTITUTE(TRIM($W2003),"-",""),".",""),"/","")," ",""),8),4),--MID(LEFT(SUBSTITUTE(SUBSTITUTE(SUBSTITUTE(SUBSTITUTE(TRIM($W2003),"-",""),".",""),"/","")," ",""),8),5,2),--MID(LEFT(SUBSTITUTE(SUBSTITUTE(SUBSTITUTE(SUBSTITUTE(TRIM($W2003),"-",""),".",""),"/","")," ",""),8),7,2)),"")))</f>
        <v/>
      </c>
      <c r="Y2003" s="32">
        <f>IF($X2003="","",INT($X2003))</f>
        <v/>
      </c>
      <c r="Z2003" s="33">
        <f>IF(OR($Y2003="",$D$6=""),"",IF(INDEX($A:$U,ROW(),$D$6)="",0,IF(ISNUMBER(INDEX($A:$U,ROW(),$D$6)),INDEX($A:$U,ROW(),$D$6),IFERROR(--SUBSTITUTE(SUBSTITUTE(TRIM(INDEX($A:$U,ROW(),$D$6)),",",""),"원",""),0))))</f>
        <v/>
      </c>
      <c r="AA2003" s="31">
        <f>IF($Y2003="","",TRIM(INDEX($A:$U,ROW(),$E$6)&amp;IF($F$6="",""," "&amp;INDEX($A:$U,ROW(),$F$6))))</f>
        <v/>
      </c>
      <c r="AB2003" s="31">
        <f>IF($AA2003="","",SUBSTITUTE(SUBSTITUTE(SUBSTITUTE(SUBSTITUTE(SUBSTITUTE(SUBSTITUTE(SUBSTITUTE(SUBSTITUTE(SUBSTITUTE($AA2003," ",""),"　",""),"(주)",""),"（주）",""),"㈜",""),"주식회사",""),"(유)",""),"（유）",""),"유한회사",""))</f>
        <v/>
      </c>
      <c r="AC2003" s="31">
        <f>IF(OR($Y2003="",N($Z2003)&lt;=0,$AB2003=""),0,IFERROR(LOOKUP(2,1/((거래처별!$AC$8:$AC$307&lt;&gt;"")*ISNUMBER(SEARCH(거래처별!$AC$8:$AC$307,$AB2003))),거래처별!$A$8:$A$307),IFERROR(LOOKUP(2,1/((거래처별!$AD$8:$AD$307&lt;&gt;"")*ISNUMBER(SEARCH(거래처별!$AD$8:$AD$307,$AB2003))),거래처별!$A$8:$A$307),IFERROR(LOOKUP(2,1/((거래처별!$AE$8:$AE$307&lt;&gt;"")*ISNUMBER(SEARCH(거래처별!$AE$8:$AE$307,$AB2003))),거래처별!$A$8:$A$307),0))))</f>
        <v/>
      </c>
      <c r="AD2003" s="31">
        <f>IF(AND($Y2003&lt;&gt;"",N($Z2003)&gt;0,$AC2003=0),MAX($AD$7:$AD2002)+1,"")</f>
        <v/>
      </c>
      <c r="AE2003" s="31">
        <f>IF($Y2003="",0,$Y2003)</f>
        <v/>
      </c>
    </row>
    <row r="2004">
      <c r="W2004" s="31">
        <f>IF(OR($B$5="",$C$6="",ROW()&lt;$B$5),"",IF(INDEX($A:$U,ROW(),$C$6)="","",INDEX($A:$U,ROW(),$C$6)))</f>
        <v/>
      </c>
      <c r="X2004" s="32">
        <f>IF($W2004="","",IF(ISNUMBER($W2004),IF($W2004&gt;=10000000,IFERROR(DATE(INT($W2004/10000),MOD(INT($W2004/100),100),MOD($W2004,100)),""),INT($W2004)),IFERROR(DATE(--LEFT(LEFT(SUBSTITUTE(SUBSTITUTE(SUBSTITUTE(SUBSTITUTE(TRIM($W2004),"-",""),".",""),"/","")," ",""),8),4),--MID(LEFT(SUBSTITUTE(SUBSTITUTE(SUBSTITUTE(SUBSTITUTE(TRIM($W2004),"-",""),".",""),"/","")," ",""),8),5,2),--MID(LEFT(SUBSTITUTE(SUBSTITUTE(SUBSTITUTE(SUBSTITUTE(TRIM($W2004),"-",""),".",""),"/","")," ",""),8),7,2)),"")))</f>
        <v/>
      </c>
      <c r="Y2004" s="32">
        <f>IF($X2004="","",INT($X2004))</f>
        <v/>
      </c>
      <c r="Z2004" s="33">
        <f>IF(OR($Y2004="",$D$6=""),"",IF(INDEX($A:$U,ROW(),$D$6)="",0,IF(ISNUMBER(INDEX($A:$U,ROW(),$D$6)),INDEX($A:$U,ROW(),$D$6),IFERROR(--SUBSTITUTE(SUBSTITUTE(TRIM(INDEX($A:$U,ROW(),$D$6)),",",""),"원",""),0))))</f>
        <v/>
      </c>
      <c r="AA2004" s="31">
        <f>IF($Y2004="","",TRIM(INDEX($A:$U,ROW(),$E$6)&amp;IF($F$6="",""," "&amp;INDEX($A:$U,ROW(),$F$6))))</f>
        <v/>
      </c>
      <c r="AB2004" s="31">
        <f>IF($AA2004="","",SUBSTITUTE(SUBSTITUTE(SUBSTITUTE(SUBSTITUTE(SUBSTITUTE(SUBSTITUTE(SUBSTITUTE(SUBSTITUTE(SUBSTITUTE($AA2004," ",""),"　",""),"(주)",""),"（주）",""),"㈜",""),"주식회사",""),"(유)",""),"（유）",""),"유한회사",""))</f>
        <v/>
      </c>
      <c r="AC2004" s="31">
        <f>IF(OR($Y2004="",N($Z2004)&lt;=0,$AB2004=""),0,IFERROR(LOOKUP(2,1/((거래처별!$AC$8:$AC$307&lt;&gt;"")*ISNUMBER(SEARCH(거래처별!$AC$8:$AC$307,$AB2004))),거래처별!$A$8:$A$307),IFERROR(LOOKUP(2,1/((거래처별!$AD$8:$AD$307&lt;&gt;"")*ISNUMBER(SEARCH(거래처별!$AD$8:$AD$307,$AB2004))),거래처별!$A$8:$A$307),IFERROR(LOOKUP(2,1/((거래처별!$AE$8:$AE$307&lt;&gt;"")*ISNUMBER(SEARCH(거래처별!$AE$8:$AE$307,$AB2004))),거래처별!$A$8:$A$307),0))))</f>
        <v/>
      </c>
      <c r="AD2004" s="31">
        <f>IF(AND($Y2004&lt;&gt;"",N($Z2004)&gt;0,$AC2004=0),MAX($AD$7:$AD2003)+1,"")</f>
        <v/>
      </c>
      <c r="AE2004" s="31">
        <f>IF($Y2004="",0,$Y2004)</f>
        <v/>
      </c>
    </row>
    <row r="2005">
      <c r="W2005" s="31">
        <f>IF(OR($B$5="",$C$6="",ROW()&lt;$B$5),"",IF(INDEX($A:$U,ROW(),$C$6)="","",INDEX($A:$U,ROW(),$C$6)))</f>
        <v/>
      </c>
      <c r="X2005" s="32">
        <f>IF($W2005="","",IF(ISNUMBER($W2005),IF($W2005&gt;=10000000,IFERROR(DATE(INT($W2005/10000),MOD(INT($W2005/100),100),MOD($W2005,100)),""),INT($W2005)),IFERROR(DATE(--LEFT(LEFT(SUBSTITUTE(SUBSTITUTE(SUBSTITUTE(SUBSTITUTE(TRIM($W2005),"-",""),".",""),"/","")," ",""),8),4),--MID(LEFT(SUBSTITUTE(SUBSTITUTE(SUBSTITUTE(SUBSTITUTE(TRIM($W2005),"-",""),".",""),"/","")," ",""),8),5,2),--MID(LEFT(SUBSTITUTE(SUBSTITUTE(SUBSTITUTE(SUBSTITUTE(TRIM($W2005),"-",""),".",""),"/","")," ",""),8),7,2)),"")))</f>
        <v/>
      </c>
      <c r="Y2005" s="32">
        <f>IF($X2005="","",INT($X2005))</f>
        <v/>
      </c>
      <c r="Z2005" s="33">
        <f>IF(OR($Y2005="",$D$6=""),"",IF(INDEX($A:$U,ROW(),$D$6)="",0,IF(ISNUMBER(INDEX($A:$U,ROW(),$D$6)),INDEX($A:$U,ROW(),$D$6),IFERROR(--SUBSTITUTE(SUBSTITUTE(TRIM(INDEX($A:$U,ROW(),$D$6)),",",""),"원",""),0))))</f>
        <v/>
      </c>
      <c r="AA2005" s="31">
        <f>IF($Y2005="","",TRIM(INDEX($A:$U,ROW(),$E$6)&amp;IF($F$6="",""," "&amp;INDEX($A:$U,ROW(),$F$6))))</f>
        <v/>
      </c>
      <c r="AB2005" s="31">
        <f>IF($AA2005="","",SUBSTITUTE(SUBSTITUTE(SUBSTITUTE(SUBSTITUTE(SUBSTITUTE(SUBSTITUTE(SUBSTITUTE(SUBSTITUTE(SUBSTITUTE($AA2005," ",""),"　",""),"(주)",""),"（주）",""),"㈜",""),"주식회사",""),"(유)",""),"（유）",""),"유한회사",""))</f>
        <v/>
      </c>
      <c r="AC2005" s="31">
        <f>IF(OR($Y2005="",N($Z2005)&lt;=0,$AB2005=""),0,IFERROR(LOOKUP(2,1/((거래처별!$AC$8:$AC$307&lt;&gt;"")*ISNUMBER(SEARCH(거래처별!$AC$8:$AC$307,$AB2005))),거래처별!$A$8:$A$307),IFERROR(LOOKUP(2,1/((거래처별!$AD$8:$AD$307&lt;&gt;"")*ISNUMBER(SEARCH(거래처별!$AD$8:$AD$307,$AB2005))),거래처별!$A$8:$A$307),IFERROR(LOOKUP(2,1/((거래처별!$AE$8:$AE$307&lt;&gt;"")*ISNUMBER(SEARCH(거래처별!$AE$8:$AE$307,$AB2005))),거래처별!$A$8:$A$307),0))))</f>
        <v/>
      </c>
      <c r="AD2005" s="31">
        <f>IF(AND($Y2005&lt;&gt;"",N($Z2005)&gt;0,$AC2005=0),MAX($AD$7:$AD2004)+1,"")</f>
        <v/>
      </c>
      <c r="AE2005" s="31">
        <f>IF($Y2005="",0,$Y2005)</f>
        <v/>
      </c>
    </row>
    <row r="2006">
      <c r="W2006" s="31">
        <f>IF(OR($B$5="",$C$6="",ROW()&lt;$B$5),"",IF(INDEX($A:$U,ROW(),$C$6)="","",INDEX($A:$U,ROW(),$C$6)))</f>
        <v/>
      </c>
      <c r="X2006" s="32">
        <f>IF($W2006="","",IF(ISNUMBER($W2006),IF($W2006&gt;=10000000,IFERROR(DATE(INT($W2006/10000),MOD(INT($W2006/100),100),MOD($W2006,100)),""),INT($W2006)),IFERROR(DATE(--LEFT(LEFT(SUBSTITUTE(SUBSTITUTE(SUBSTITUTE(SUBSTITUTE(TRIM($W2006),"-",""),".",""),"/","")," ",""),8),4),--MID(LEFT(SUBSTITUTE(SUBSTITUTE(SUBSTITUTE(SUBSTITUTE(TRIM($W2006),"-",""),".",""),"/","")," ",""),8),5,2),--MID(LEFT(SUBSTITUTE(SUBSTITUTE(SUBSTITUTE(SUBSTITUTE(TRIM($W2006),"-",""),".",""),"/","")," ",""),8),7,2)),"")))</f>
        <v/>
      </c>
      <c r="Y2006" s="32">
        <f>IF($X2006="","",INT($X2006))</f>
        <v/>
      </c>
      <c r="Z2006" s="33">
        <f>IF(OR($Y2006="",$D$6=""),"",IF(INDEX($A:$U,ROW(),$D$6)="",0,IF(ISNUMBER(INDEX($A:$U,ROW(),$D$6)),INDEX($A:$U,ROW(),$D$6),IFERROR(--SUBSTITUTE(SUBSTITUTE(TRIM(INDEX($A:$U,ROW(),$D$6)),",",""),"원",""),0))))</f>
        <v/>
      </c>
      <c r="AA2006" s="31">
        <f>IF($Y2006="","",TRIM(INDEX($A:$U,ROW(),$E$6)&amp;IF($F$6="",""," "&amp;INDEX($A:$U,ROW(),$F$6))))</f>
        <v/>
      </c>
      <c r="AB2006" s="31">
        <f>IF($AA2006="","",SUBSTITUTE(SUBSTITUTE(SUBSTITUTE(SUBSTITUTE(SUBSTITUTE(SUBSTITUTE(SUBSTITUTE(SUBSTITUTE(SUBSTITUTE($AA2006," ",""),"　",""),"(주)",""),"（주）",""),"㈜",""),"주식회사",""),"(유)",""),"（유）",""),"유한회사",""))</f>
        <v/>
      </c>
      <c r="AC2006" s="31">
        <f>IF(OR($Y2006="",N($Z2006)&lt;=0,$AB2006=""),0,IFERROR(LOOKUP(2,1/((거래처별!$AC$8:$AC$307&lt;&gt;"")*ISNUMBER(SEARCH(거래처별!$AC$8:$AC$307,$AB2006))),거래처별!$A$8:$A$307),IFERROR(LOOKUP(2,1/((거래처별!$AD$8:$AD$307&lt;&gt;"")*ISNUMBER(SEARCH(거래처별!$AD$8:$AD$307,$AB2006))),거래처별!$A$8:$A$307),IFERROR(LOOKUP(2,1/((거래처별!$AE$8:$AE$307&lt;&gt;"")*ISNUMBER(SEARCH(거래처별!$AE$8:$AE$307,$AB2006))),거래처별!$A$8:$A$307),0))))</f>
        <v/>
      </c>
      <c r="AD2006" s="31">
        <f>IF(AND($Y2006&lt;&gt;"",N($Z2006)&gt;0,$AC2006=0),MAX($AD$7:$AD2005)+1,"")</f>
        <v/>
      </c>
      <c r="AE2006" s="31">
        <f>IF($Y2006="",0,$Y2006)</f>
        <v/>
      </c>
    </row>
    <row r="2007">
      <c r="W2007" s="31">
        <f>IF(OR($B$5="",$C$6="",ROW()&lt;$B$5),"",IF(INDEX($A:$U,ROW(),$C$6)="","",INDEX($A:$U,ROW(),$C$6)))</f>
        <v/>
      </c>
      <c r="X2007" s="32">
        <f>IF($W2007="","",IF(ISNUMBER($W2007),IF($W2007&gt;=10000000,IFERROR(DATE(INT($W2007/10000),MOD(INT($W2007/100),100),MOD($W2007,100)),""),INT($W2007)),IFERROR(DATE(--LEFT(LEFT(SUBSTITUTE(SUBSTITUTE(SUBSTITUTE(SUBSTITUTE(TRIM($W2007),"-",""),".",""),"/","")," ",""),8),4),--MID(LEFT(SUBSTITUTE(SUBSTITUTE(SUBSTITUTE(SUBSTITUTE(TRIM($W2007),"-",""),".",""),"/","")," ",""),8),5,2),--MID(LEFT(SUBSTITUTE(SUBSTITUTE(SUBSTITUTE(SUBSTITUTE(TRIM($W2007),"-",""),".",""),"/","")," ",""),8),7,2)),"")))</f>
        <v/>
      </c>
      <c r="Y2007" s="32">
        <f>IF($X2007="","",INT($X2007))</f>
        <v/>
      </c>
      <c r="Z2007" s="33">
        <f>IF(OR($Y2007="",$D$6=""),"",IF(INDEX($A:$U,ROW(),$D$6)="",0,IF(ISNUMBER(INDEX($A:$U,ROW(),$D$6)),INDEX($A:$U,ROW(),$D$6),IFERROR(--SUBSTITUTE(SUBSTITUTE(TRIM(INDEX($A:$U,ROW(),$D$6)),",",""),"원",""),0))))</f>
        <v/>
      </c>
      <c r="AA2007" s="31">
        <f>IF($Y2007="","",TRIM(INDEX($A:$U,ROW(),$E$6)&amp;IF($F$6="",""," "&amp;INDEX($A:$U,ROW(),$F$6))))</f>
        <v/>
      </c>
      <c r="AB2007" s="31">
        <f>IF($AA2007="","",SUBSTITUTE(SUBSTITUTE(SUBSTITUTE(SUBSTITUTE(SUBSTITUTE(SUBSTITUTE(SUBSTITUTE(SUBSTITUTE(SUBSTITUTE($AA2007," ",""),"　",""),"(주)",""),"（주）",""),"㈜",""),"주식회사",""),"(유)",""),"（유）",""),"유한회사",""))</f>
        <v/>
      </c>
      <c r="AC2007" s="31">
        <f>IF(OR($Y2007="",N($Z2007)&lt;=0,$AB2007=""),0,IFERROR(LOOKUP(2,1/((거래처별!$AC$8:$AC$307&lt;&gt;"")*ISNUMBER(SEARCH(거래처별!$AC$8:$AC$307,$AB2007))),거래처별!$A$8:$A$307),IFERROR(LOOKUP(2,1/((거래처별!$AD$8:$AD$307&lt;&gt;"")*ISNUMBER(SEARCH(거래처별!$AD$8:$AD$307,$AB2007))),거래처별!$A$8:$A$307),IFERROR(LOOKUP(2,1/((거래처별!$AE$8:$AE$307&lt;&gt;"")*ISNUMBER(SEARCH(거래처별!$AE$8:$AE$307,$AB2007))),거래처별!$A$8:$A$307),0))))</f>
        <v/>
      </c>
      <c r="AD2007" s="31">
        <f>IF(AND($Y2007&lt;&gt;"",N($Z2007)&gt;0,$AC2007=0),MAX($AD$7:$AD2006)+1,"")</f>
        <v/>
      </c>
      <c r="AE2007" s="31">
        <f>IF($Y2007="",0,$Y2007)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1" t="inlineStr">
        <is>
          <t>입금_은행2 — 은행 입금내역 붙여넣기 (2번째 계좌, 선택)</t>
        </is>
      </c>
    </row>
    <row r="2">
      <c r="A2" s="12" t="inlineStr">
        <is>
          <t>✍ 직접 입력: 은행(인터넷뱅킹)에서 내려받은 거래내역 엑셀을 A8 셀부터 통째로 붙여넣고, 5행 노란 칸에 데이터 시작 행과 날짜·입금·보낸 분(내용) 열을 확인하세요. 입금·출금이 섞여 있어도 됩니다.</t>
        </is>
      </c>
    </row>
    <row r="3">
      <c r="A3" s="2" t="inlineStr">
        <is>
          <t>⚙ 자동 계산: W~AE열 회색 수식 — 수정 금지. 오른쪽 '인식 결과'가 ✔로 뜨면 성공. 처음 쓸 때: 8행 아래 예시를 전체 선택 → Delete 로 먼저 지우세요. 은행이 한 곳뿐이면 쓰지 않는 쪽은 비워 두세요.</t>
        </is>
      </c>
    </row>
    <row r="4">
      <c r="A4" s="25" t="inlineStr">
        <is>
          <t>은행·계좌 이름</t>
        </is>
      </c>
      <c r="B4" s="25" t="inlineStr">
        <is>
          <t>데이터 시작 행</t>
        </is>
      </c>
      <c r="C4" s="25" t="inlineStr">
        <is>
          <t>날짜 열</t>
        </is>
      </c>
      <c r="D4" s="25" t="inlineStr">
        <is>
          <t>입금 열</t>
        </is>
      </c>
      <c r="E4" s="25" t="inlineStr">
        <is>
          <t>보낸 분·내용 열 1</t>
        </is>
      </c>
      <c r="F4" s="25" t="inlineStr">
        <is>
          <t>내용 열 2 (선택)</t>
        </is>
      </c>
      <c r="H4" s="26" t="inlineStr">
        <is>
          <t>인식 결과 (자동)</t>
        </is>
      </c>
    </row>
    <row r="5">
      <c r="A5" s="27" t="inlineStr">
        <is>
          <t>새나라은행 보통예금 (예시)</t>
        </is>
      </c>
      <c r="B5" s="27" t="n">
        <v>9</v>
      </c>
      <c r="C5" s="27" t="inlineStr">
        <is>
          <t>A</t>
        </is>
      </c>
      <c r="D5" s="27" t="inlineStr">
        <is>
          <t>E</t>
        </is>
      </c>
      <c r="E5" s="27" t="inlineStr">
        <is>
          <t>C</t>
        </is>
      </c>
      <c r="F5" s="27" t="inlineStr">
        <is>
          <t>B</t>
        </is>
      </c>
      <c r="H5" s="16">
        <f>IF(COUNT($Y$8:$Y$2007)=0,"비어 있음 (또는 아직 인식된 거래가 없습니다 — 붙여넣기와 열 설정을 확인하세요)","✔ 거래 "&amp;COUNT($Y$8:$Y$2007)&amp;"건 · 입금 "&amp;COUNTIF($Z$8:$Z$2007,"&gt;0")&amp;"건 "&amp;TEXT(SUMIF($Z$8:$Z$2007,"&gt;0"),"#,##0")&amp;"원 · 거래처로 매칭 "&amp;COUNTIF($AC$8:$AC$2007,"&gt;0")&amp;"건 / 미매칭 "&amp;COUNT($AD$8:$AD$2007)&amp;"건")</f>
        <v/>
      </c>
    </row>
    <row r="6">
      <c r="A6" s="28" t="inlineStr">
        <is>
          <t>▼ 8행(A8 셀)부터 붙여넣기</t>
        </is>
      </c>
      <c r="C6" s="29">
        <f>IF($C$5="","",IF(LEN(TRIM($C$5))=1,CODE(UPPER(TRIM($C$5)))-64,(CODE(UPPER(LEFT(TRIM($C$5),1)))-64)*26+CODE(UPPER(RIGHT(TRIM($C$5),1)))-64))</f>
        <v/>
      </c>
      <c r="D6" s="29">
        <f>IF($D$5="","",IF(LEN(TRIM($D$5))=1,CODE(UPPER(TRIM($D$5)))-64,(CODE(UPPER(LEFT(TRIM($D$5),1)))-64)*26+CODE(UPPER(RIGHT(TRIM($D$5),1)))-64))</f>
        <v/>
      </c>
      <c r="E6" s="29">
        <f>IF($E$5="","",IF(LEN(TRIM($E$5))=1,CODE(UPPER(TRIM($E$5)))-64,(CODE(UPPER(LEFT(TRIM($E$5),1)))-64)*26+CODE(UPPER(RIGHT(TRIM($E$5),1)))-64))</f>
        <v/>
      </c>
      <c r="F6" s="29">
        <f>IF($F$5="","",IF(LEN(TRIM($F$5))=1,CODE(UPPER(TRIM($F$5)))-64,(CODE(UPPER(LEFT(TRIM($F$5),1)))-64)*26+CODE(UPPER(RIGHT(TRIM($F$5),1)))-64))</f>
        <v/>
      </c>
      <c r="H6" s="14">
        <f>IF(COUNTIF($A$8:$U$2007,"*가상예시*")&gt;0,"⚠ 예시 데이터 "&amp;COUNTIF($A$8:$U$2007,"*가상예시*")&amp;"줄이 남아 있습니다 — 지우고 쓰세요 (8행 아래 전체 선택 → Delete)","")</f>
        <v/>
      </c>
    </row>
    <row r="7">
      <c r="W7" s="26" t="inlineStr">
        <is>
          <t>원본날짜(자동)</t>
        </is>
      </c>
      <c r="X7" s="26" t="inlineStr">
        <is>
          <t>거래일(자동)</t>
        </is>
      </c>
      <c r="Y7" s="26" t="inlineStr">
        <is>
          <t>날짜(자동)</t>
        </is>
      </c>
      <c r="Z7" s="26" t="inlineStr">
        <is>
          <t>입금액(자동)</t>
        </is>
      </c>
      <c r="AA7" s="26" t="inlineStr">
        <is>
          <t>내용 원문(자동)</t>
        </is>
      </c>
      <c r="AB7" s="26" t="inlineStr">
        <is>
          <t>내용 정리(자동)</t>
        </is>
      </c>
      <c r="AC7" s="26" t="inlineStr">
        <is>
          <t>거래처번호(자동)</t>
        </is>
      </c>
      <c r="AD7" s="26" t="inlineStr">
        <is>
          <t>미매칭순번(자동)</t>
        </is>
      </c>
      <c r="AE7" s="26" t="inlineStr">
        <is>
          <t>날짜수치(자동)</t>
        </is>
      </c>
    </row>
    <row r="8">
      <c r="A8" s="30" t="inlineStr">
        <is>
          <t>거래일시</t>
        </is>
      </c>
      <c r="B8" s="30" t="inlineStr">
        <is>
          <t>적요</t>
        </is>
      </c>
      <c r="C8" s="30" t="inlineStr">
        <is>
          <t>보낸분/받는분</t>
        </is>
      </c>
      <c r="D8" s="30" t="inlineStr">
        <is>
          <t>출금액</t>
        </is>
      </c>
      <c r="E8" s="30" t="inlineStr">
        <is>
          <t>입금액</t>
        </is>
      </c>
      <c r="F8" s="30" t="inlineStr">
        <is>
          <t>잔액</t>
        </is>
      </c>
      <c r="G8" s="30" t="inlineStr">
        <is>
          <t>메모</t>
        </is>
      </c>
      <c r="W8" s="31">
        <f>IF(OR($B$5="",$C$6="",ROW()&lt;$B$5),"",IF(INDEX($A:$U,ROW(),$C$6)="","",INDEX($A:$U,ROW(),$C$6)))</f>
        <v/>
      </c>
      <c r="X8" s="32">
        <f>IF($W8="","",IF(ISNUMBER($W8),IF($W8&gt;=10000000,IFERROR(DATE(INT($W8/10000),MOD(INT($W8/100),100),MOD($W8,100)),""),INT($W8)),IFERROR(DATE(--LEFT(LEFT(SUBSTITUTE(SUBSTITUTE(SUBSTITUTE(SUBSTITUTE(TRIM($W8),"-",""),".",""),"/","")," ",""),8),4),--MID(LEFT(SUBSTITUTE(SUBSTITUTE(SUBSTITUTE(SUBSTITUTE(TRIM($W8),"-",""),".",""),"/","")," ",""),8),5,2),--MID(LEFT(SUBSTITUTE(SUBSTITUTE(SUBSTITUTE(SUBSTITUTE(TRIM($W8),"-",""),".",""),"/","")," ",""),8),7,2)),"")))</f>
        <v/>
      </c>
      <c r="Y8" s="32">
        <f>IF($X8="","",INT($X8))</f>
        <v/>
      </c>
      <c r="Z8" s="33">
        <f>IF(OR($Y8="",$D$6=""),"",IF(INDEX($A:$U,ROW(),$D$6)="",0,IF(ISNUMBER(INDEX($A:$U,ROW(),$D$6)),INDEX($A:$U,ROW(),$D$6),IFERROR(--SUBSTITUTE(SUBSTITUTE(TRIM(INDEX($A:$U,ROW(),$D$6)),",",""),"원",""),0))))</f>
        <v/>
      </c>
      <c r="AA8" s="31">
        <f>IF($Y8="","",TRIM(INDEX($A:$U,ROW(),$E$6)&amp;IF($F$6="",""," "&amp;INDEX($A:$U,ROW(),$F$6))))</f>
        <v/>
      </c>
      <c r="AB8" s="31">
        <f>IF($AA8="","",SUBSTITUTE(SUBSTITUTE(SUBSTITUTE(SUBSTITUTE(SUBSTITUTE(SUBSTITUTE(SUBSTITUTE(SUBSTITUTE(SUBSTITUTE($AA8," ",""),"　",""),"(주)",""),"（주）",""),"㈜",""),"주식회사",""),"(유)",""),"（유）",""),"유한회사",""))</f>
        <v/>
      </c>
      <c r="AC8" s="31">
        <f>IF(OR($Y8="",N($Z8)&lt;=0,$AB8=""),0,IFERROR(LOOKUP(2,1/((거래처별!$AC$8:$AC$307&lt;&gt;"")*ISNUMBER(SEARCH(거래처별!$AC$8:$AC$307,$AB8))),거래처별!$A$8:$A$307),IFERROR(LOOKUP(2,1/((거래처별!$AD$8:$AD$307&lt;&gt;"")*ISNUMBER(SEARCH(거래처별!$AD$8:$AD$307,$AB8))),거래처별!$A$8:$A$307),IFERROR(LOOKUP(2,1/((거래처별!$AE$8:$AE$307&lt;&gt;"")*ISNUMBER(SEARCH(거래처별!$AE$8:$AE$307,$AB8))),거래처별!$A$8:$A$307),0))))</f>
        <v/>
      </c>
      <c r="AD8" s="31">
        <f>IF(AND($Y8&lt;&gt;"",N($Z8)&gt;0,$AC8=0),MAX($AD$7:$AD7)+1,"")</f>
        <v/>
      </c>
      <c r="AE8" s="31">
        <f>IF($Y8="",0,$Y8)</f>
        <v/>
      </c>
    </row>
    <row r="9">
      <c r="A9" s="30" t="inlineStr">
        <is>
          <t>2026-06-10 09:12:00</t>
        </is>
      </c>
      <c r="B9" s="30" t="inlineStr">
        <is>
          <t>타행이체</t>
        </is>
      </c>
      <c r="C9" s="30" t="inlineStr">
        <is>
          <t>한결건설</t>
        </is>
      </c>
      <c r="D9" s="30" t="n"/>
      <c r="E9" s="30" t="n">
        <v>3300000</v>
      </c>
      <c r="F9" s="30" t="n">
        <v>1</v>
      </c>
      <c r="G9" s="30" t="inlineStr">
        <is>
          <t>가상예시</t>
        </is>
      </c>
      <c r="W9" s="31">
        <f>IF(OR($B$5="",$C$6="",ROW()&lt;$B$5),"",IF(INDEX($A:$U,ROW(),$C$6)="","",INDEX($A:$U,ROW(),$C$6)))</f>
        <v/>
      </c>
      <c r="X9" s="32">
        <f>IF($W9="","",IF(ISNUMBER($W9),IF($W9&gt;=10000000,IFERROR(DATE(INT($W9/10000),MOD(INT($W9/100),100),MOD($W9,100)),""),INT($W9)),IFERROR(DATE(--LEFT(LEFT(SUBSTITUTE(SUBSTITUTE(SUBSTITUTE(SUBSTITUTE(TRIM($W9),"-",""),".",""),"/","")," ",""),8),4),--MID(LEFT(SUBSTITUTE(SUBSTITUTE(SUBSTITUTE(SUBSTITUTE(TRIM($W9),"-",""),".",""),"/","")," ",""),8),5,2),--MID(LEFT(SUBSTITUTE(SUBSTITUTE(SUBSTITUTE(SUBSTITUTE(TRIM($W9),"-",""),".",""),"/","")," ",""),8),7,2)),"")))</f>
        <v/>
      </c>
      <c r="Y9" s="32">
        <f>IF($X9="","",INT($X9))</f>
        <v/>
      </c>
      <c r="Z9" s="33">
        <f>IF(OR($Y9="",$D$6=""),"",IF(INDEX($A:$U,ROW(),$D$6)="",0,IF(ISNUMBER(INDEX($A:$U,ROW(),$D$6)),INDEX($A:$U,ROW(),$D$6),IFERROR(--SUBSTITUTE(SUBSTITUTE(TRIM(INDEX($A:$U,ROW(),$D$6)),",",""),"원",""),0))))</f>
        <v/>
      </c>
      <c r="AA9" s="31">
        <f>IF($Y9="","",TRIM(INDEX($A:$U,ROW(),$E$6)&amp;IF($F$6="",""," "&amp;INDEX($A:$U,ROW(),$F$6))))</f>
        <v/>
      </c>
      <c r="AB9" s="31">
        <f>IF($AA9="","",SUBSTITUTE(SUBSTITUTE(SUBSTITUTE(SUBSTITUTE(SUBSTITUTE(SUBSTITUTE(SUBSTITUTE(SUBSTITUTE(SUBSTITUTE($AA9," ",""),"　",""),"(주)",""),"（주）",""),"㈜",""),"주식회사",""),"(유)",""),"（유）",""),"유한회사",""))</f>
        <v/>
      </c>
      <c r="AC9" s="31">
        <f>IF(OR($Y9="",N($Z9)&lt;=0,$AB9=""),0,IFERROR(LOOKUP(2,1/((거래처별!$AC$8:$AC$307&lt;&gt;"")*ISNUMBER(SEARCH(거래처별!$AC$8:$AC$307,$AB9))),거래처별!$A$8:$A$307),IFERROR(LOOKUP(2,1/((거래처별!$AD$8:$AD$307&lt;&gt;"")*ISNUMBER(SEARCH(거래처별!$AD$8:$AD$307,$AB9))),거래처별!$A$8:$A$307),IFERROR(LOOKUP(2,1/((거래처별!$AE$8:$AE$307&lt;&gt;"")*ISNUMBER(SEARCH(거래처별!$AE$8:$AE$307,$AB9))),거래처별!$A$8:$A$307),0))))</f>
        <v/>
      </c>
      <c r="AD9" s="31">
        <f>IF(AND($Y9&lt;&gt;"",N($Z9)&gt;0,$AC9=0),MAX($AD$7:$AD8)+1,"")</f>
        <v/>
      </c>
      <c r="AE9" s="31">
        <f>IF($Y9="",0,$Y9)</f>
        <v/>
      </c>
    </row>
    <row r="10">
      <c r="A10" s="30" t="inlineStr">
        <is>
          <t>2026-08-01 10:30:00</t>
        </is>
      </c>
      <c r="B10" s="30" t="inlineStr">
        <is>
          <t>타행이체</t>
        </is>
      </c>
      <c r="C10" s="30" t="inlineStr">
        <is>
          <t>한결건설</t>
        </is>
      </c>
      <c r="D10" s="30" t="n"/>
      <c r="E10" s="30" t="n">
        <v>2000000</v>
      </c>
      <c r="F10" s="30" t="n">
        <v>1</v>
      </c>
      <c r="G10" s="30" t="inlineStr">
        <is>
          <t>가상예시</t>
        </is>
      </c>
      <c r="W10" s="31">
        <f>IF(OR($B$5="",$C$6="",ROW()&lt;$B$5),"",IF(INDEX($A:$U,ROW(),$C$6)="","",INDEX($A:$U,ROW(),$C$6)))</f>
        <v/>
      </c>
      <c r="X10" s="32">
        <f>IF($W10="","",IF(ISNUMBER($W10),IF($W10&gt;=10000000,IFERROR(DATE(INT($W10/10000),MOD(INT($W10/100),100),MOD($W10,100)),""),INT($W10)),IFERROR(DATE(--LEFT(LEFT(SUBSTITUTE(SUBSTITUTE(SUBSTITUTE(SUBSTITUTE(TRIM($W10),"-",""),".",""),"/","")," ",""),8),4),--MID(LEFT(SUBSTITUTE(SUBSTITUTE(SUBSTITUTE(SUBSTITUTE(TRIM($W10),"-",""),".",""),"/","")," ",""),8),5,2),--MID(LEFT(SUBSTITUTE(SUBSTITUTE(SUBSTITUTE(SUBSTITUTE(TRIM($W10),"-",""),".",""),"/","")," ",""),8),7,2)),"")))</f>
        <v/>
      </c>
      <c r="Y10" s="32">
        <f>IF($X10="","",INT($X10))</f>
        <v/>
      </c>
      <c r="Z10" s="33">
        <f>IF(OR($Y10="",$D$6=""),"",IF(INDEX($A:$U,ROW(),$D$6)="",0,IF(ISNUMBER(INDEX($A:$U,ROW(),$D$6)),INDEX($A:$U,ROW(),$D$6),IFERROR(--SUBSTITUTE(SUBSTITUTE(TRIM(INDEX($A:$U,ROW(),$D$6)),",",""),"원",""),0))))</f>
        <v/>
      </c>
      <c r="AA10" s="31">
        <f>IF($Y10="","",TRIM(INDEX($A:$U,ROW(),$E$6)&amp;IF($F$6="",""," "&amp;INDEX($A:$U,ROW(),$F$6))))</f>
        <v/>
      </c>
      <c r="AB10" s="31">
        <f>IF($AA10="","",SUBSTITUTE(SUBSTITUTE(SUBSTITUTE(SUBSTITUTE(SUBSTITUTE(SUBSTITUTE(SUBSTITUTE(SUBSTITUTE(SUBSTITUTE($AA10," ",""),"　",""),"(주)",""),"（주）",""),"㈜",""),"주식회사",""),"(유)",""),"（유）",""),"유한회사",""))</f>
        <v/>
      </c>
      <c r="AC10" s="31">
        <f>IF(OR($Y10="",N($Z10)&lt;=0,$AB10=""),0,IFERROR(LOOKUP(2,1/((거래처별!$AC$8:$AC$307&lt;&gt;"")*ISNUMBER(SEARCH(거래처별!$AC$8:$AC$307,$AB10))),거래처별!$A$8:$A$307),IFERROR(LOOKUP(2,1/((거래처별!$AD$8:$AD$307&lt;&gt;"")*ISNUMBER(SEARCH(거래처별!$AD$8:$AD$307,$AB10))),거래처별!$A$8:$A$307),IFERROR(LOOKUP(2,1/((거래처별!$AE$8:$AE$307&lt;&gt;"")*ISNUMBER(SEARCH(거래처별!$AE$8:$AE$307,$AB10))),거래처별!$A$8:$A$307),0))))</f>
        <v/>
      </c>
      <c r="AD10" s="31">
        <f>IF(AND($Y10&lt;&gt;"",N($Z10)&gt;0,$AC10=0),MAX($AD$7:$AD9)+1,"")</f>
        <v/>
      </c>
      <c r="AE10" s="31">
        <f>IF($Y10="",0,$Y10)</f>
        <v/>
      </c>
    </row>
    <row r="11">
      <c r="A11" s="30" t="inlineStr">
        <is>
          <t>2026-08-20 14:02:00</t>
        </is>
      </c>
      <c r="B11" s="30" t="inlineStr">
        <is>
          <t>타행이체</t>
        </is>
      </c>
      <c r="C11" s="30" t="inlineStr">
        <is>
          <t>김다온</t>
        </is>
      </c>
      <c r="D11" s="30" t="n"/>
      <c r="E11" s="30" t="n">
        <v>5000000</v>
      </c>
      <c r="F11" s="30" t="n">
        <v>1</v>
      </c>
      <c r="G11" s="30" t="inlineStr">
        <is>
          <t>가상예시</t>
        </is>
      </c>
      <c r="W11" s="31">
        <f>IF(OR($B$5="",$C$6="",ROW()&lt;$B$5),"",IF(INDEX($A:$U,ROW(),$C$6)="","",INDEX($A:$U,ROW(),$C$6)))</f>
        <v/>
      </c>
      <c r="X11" s="32">
        <f>IF($W11="","",IF(ISNUMBER($W11),IF($W11&gt;=10000000,IFERROR(DATE(INT($W11/10000),MOD(INT($W11/100),100),MOD($W11,100)),""),INT($W11)),IFERROR(DATE(--LEFT(LEFT(SUBSTITUTE(SUBSTITUTE(SUBSTITUTE(SUBSTITUTE(TRIM($W11),"-",""),".",""),"/","")," ",""),8),4),--MID(LEFT(SUBSTITUTE(SUBSTITUTE(SUBSTITUTE(SUBSTITUTE(TRIM($W11),"-",""),".",""),"/","")," ",""),8),5,2),--MID(LEFT(SUBSTITUTE(SUBSTITUTE(SUBSTITUTE(SUBSTITUTE(TRIM($W11),"-",""),".",""),"/","")," ",""),8),7,2)),"")))</f>
        <v/>
      </c>
      <c r="Y11" s="32">
        <f>IF($X11="","",INT($X11))</f>
        <v/>
      </c>
      <c r="Z11" s="33">
        <f>IF(OR($Y11="",$D$6=""),"",IF(INDEX($A:$U,ROW(),$D$6)="",0,IF(ISNUMBER(INDEX($A:$U,ROW(),$D$6)),INDEX($A:$U,ROW(),$D$6),IFERROR(--SUBSTITUTE(SUBSTITUTE(TRIM(INDEX($A:$U,ROW(),$D$6)),",",""),"원",""),0))))</f>
        <v/>
      </c>
      <c r="AA11" s="31">
        <f>IF($Y11="","",TRIM(INDEX($A:$U,ROW(),$E$6)&amp;IF($F$6="",""," "&amp;INDEX($A:$U,ROW(),$F$6))))</f>
        <v/>
      </c>
      <c r="AB11" s="31">
        <f>IF($AA11="","",SUBSTITUTE(SUBSTITUTE(SUBSTITUTE(SUBSTITUTE(SUBSTITUTE(SUBSTITUTE(SUBSTITUTE(SUBSTITUTE(SUBSTITUTE($AA11," ",""),"　",""),"(주)",""),"（주）",""),"㈜",""),"주식회사",""),"(유)",""),"（유）",""),"유한회사",""))</f>
        <v/>
      </c>
      <c r="AC11" s="31">
        <f>IF(OR($Y11="",N($Z11)&lt;=0,$AB11=""),0,IFERROR(LOOKUP(2,1/((거래처별!$AC$8:$AC$307&lt;&gt;"")*ISNUMBER(SEARCH(거래처별!$AC$8:$AC$307,$AB11))),거래처별!$A$8:$A$307),IFERROR(LOOKUP(2,1/((거래처별!$AD$8:$AD$307&lt;&gt;"")*ISNUMBER(SEARCH(거래처별!$AD$8:$AD$307,$AB11))),거래처별!$A$8:$A$307),IFERROR(LOOKUP(2,1/((거래처별!$AE$8:$AE$307&lt;&gt;"")*ISNUMBER(SEARCH(거래처별!$AE$8:$AE$307,$AB11))),거래처별!$A$8:$A$307),0))))</f>
        <v/>
      </c>
      <c r="AD11" s="31">
        <f>IF(AND($Y11&lt;&gt;"",N($Z11)&gt;0,$AC11=0),MAX($AD$7:$AD10)+1,"")</f>
        <v/>
      </c>
      <c r="AE11" s="31">
        <f>IF($Y11="",0,$Y11)</f>
        <v/>
      </c>
    </row>
    <row r="12">
      <c r="A12" s="30" t="inlineStr">
        <is>
          <t>2026-09-30 11:00:00</t>
        </is>
      </c>
      <c r="B12" s="30" t="inlineStr">
        <is>
          <t>이자</t>
        </is>
      </c>
      <c r="C12" s="30" t="inlineStr">
        <is>
          <t>예금이자</t>
        </is>
      </c>
      <c r="D12" s="30" t="n"/>
      <c r="E12" s="30" t="n">
        <v>12000</v>
      </c>
      <c r="F12" s="30" t="n">
        <v>1</v>
      </c>
      <c r="G12" s="30" t="inlineStr">
        <is>
          <t>가상예시</t>
        </is>
      </c>
      <c r="W12" s="31">
        <f>IF(OR($B$5="",$C$6="",ROW()&lt;$B$5),"",IF(INDEX($A:$U,ROW(),$C$6)="","",INDEX($A:$U,ROW(),$C$6)))</f>
        <v/>
      </c>
      <c r="X12" s="32">
        <f>IF($W12="","",IF(ISNUMBER($W12),IF($W12&gt;=10000000,IFERROR(DATE(INT($W12/10000),MOD(INT($W12/100),100),MOD($W12,100)),""),INT($W12)),IFERROR(DATE(--LEFT(LEFT(SUBSTITUTE(SUBSTITUTE(SUBSTITUTE(SUBSTITUTE(TRIM($W12),"-",""),".",""),"/","")," ",""),8),4),--MID(LEFT(SUBSTITUTE(SUBSTITUTE(SUBSTITUTE(SUBSTITUTE(TRIM($W12),"-",""),".",""),"/","")," ",""),8),5,2),--MID(LEFT(SUBSTITUTE(SUBSTITUTE(SUBSTITUTE(SUBSTITUTE(TRIM($W12),"-",""),".",""),"/","")," ",""),8),7,2)),"")))</f>
        <v/>
      </c>
      <c r="Y12" s="32">
        <f>IF($X12="","",INT($X12))</f>
        <v/>
      </c>
      <c r="Z12" s="33">
        <f>IF(OR($Y12="",$D$6=""),"",IF(INDEX($A:$U,ROW(),$D$6)="",0,IF(ISNUMBER(INDEX($A:$U,ROW(),$D$6)),INDEX($A:$U,ROW(),$D$6),IFERROR(--SUBSTITUTE(SUBSTITUTE(TRIM(INDEX($A:$U,ROW(),$D$6)),",",""),"원",""),0))))</f>
        <v/>
      </c>
      <c r="AA12" s="31">
        <f>IF($Y12="","",TRIM(INDEX($A:$U,ROW(),$E$6)&amp;IF($F$6="",""," "&amp;INDEX($A:$U,ROW(),$F$6))))</f>
        <v/>
      </c>
      <c r="AB12" s="31">
        <f>IF($AA12="","",SUBSTITUTE(SUBSTITUTE(SUBSTITUTE(SUBSTITUTE(SUBSTITUTE(SUBSTITUTE(SUBSTITUTE(SUBSTITUTE(SUBSTITUTE($AA12," ",""),"　",""),"(주)",""),"（주）",""),"㈜",""),"주식회사",""),"(유)",""),"（유）",""),"유한회사",""))</f>
        <v/>
      </c>
      <c r="AC12" s="31">
        <f>IF(OR($Y12="",N($Z12)&lt;=0,$AB12=""),0,IFERROR(LOOKUP(2,1/((거래처별!$AC$8:$AC$307&lt;&gt;"")*ISNUMBER(SEARCH(거래처별!$AC$8:$AC$307,$AB12))),거래처별!$A$8:$A$307),IFERROR(LOOKUP(2,1/((거래처별!$AD$8:$AD$307&lt;&gt;"")*ISNUMBER(SEARCH(거래처별!$AD$8:$AD$307,$AB12))),거래처별!$A$8:$A$307),IFERROR(LOOKUP(2,1/((거래처별!$AE$8:$AE$307&lt;&gt;"")*ISNUMBER(SEARCH(거래처별!$AE$8:$AE$307,$AB12))),거래처별!$A$8:$A$307),0))))</f>
        <v/>
      </c>
      <c r="AD12" s="31">
        <f>IF(AND($Y12&lt;&gt;"",N($Z12)&gt;0,$AC12=0),MAX($AD$7:$AD11)+1,"")</f>
        <v/>
      </c>
      <c r="AE12" s="31">
        <f>IF($Y12="",0,$Y12)</f>
        <v/>
      </c>
    </row>
    <row r="13">
      <c r="A13" s="30" t="inlineStr">
        <is>
          <t>2026-10-01 15:45:00</t>
        </is>
      </c>
      <c r="B13" s="30" t="inlineStr">
        <is>
          <t>타행이체</t>
        </is>
      </c>
      <c r="C13" s="30" t="inlineStr">
        <is>
          <t>누리소프트</t>
        </is>
      </c>
      <c r="D13" s="30" t="n"/>
      <c r="E13" s="30" t="n">
        <v>3000000</v>
      </c>
      <c r="F13" s="30" t="n">
        <v>1</v>
      </c>
      <c r="G13" s="30" t="inlineStr">
        <is>
          <t>가상예시</t>
        </is>
      </c>
      <c r="W13" s="31">
        <f>IF(OR($B$5="",$C$6="",ROW()&lt;$B$5),"",IF(INDEX($A:$U,ROW(),$C$6)="","",INDEX($A:$U,ROW(),$C$6)))</f>
        <v/>
      </c>
      <c r="X13" s="32">
        <f>IF($W13="","",IF(ISNUMBER($W13),IF($W13&gt;=10000000,IFERROR(DATE(INT($W13/10000),MOD(INT($W13/100),100),MOD($W13,100)),""),INT($W13)),IFERROR(DATE(--LEFT(LEFT(SUBSTITUTE(SUBSTITUTE(SUBSTITUTE(SUBSTITUTE(TRIM($W13),"-",""),".",""),"/","")," ",""),8),4),--MID(LEFT(SUBSTITUTE(SUBSTITUTE(SUBSTITUTE(SUBSTITUTE(TRIM($W13),"-",""),".",""),"/","")," ",""),8),5,2),--MID(LEFT(SUBSTITUTE(SUBSTITUTE(SUBSTITUTE(SUBSTITUTE(TRIM($W13),"-",""),".",""),"/","")," ",""),8),7,2)),"")))</f>
        <v/>
      </c>
      <c r="Y13" s="32">
        <f>IF($X13="","",INT($X13))</f>
        <v/>
      </c>
      <c r="Z13" s="33">
        <f>IF(OR($Y13="",$D$6=""),"",IF(INDEX($A:$U,ROW(),$D$6)="",0,IF(ISNUMBER(INDEX($A:$U,ROW(),$D$6)),INDEX($A:$U,ROW(),$D$6),IFERROR(--SUBSTITUTE(SUBSTITUTE(TRIM(INDEX($A:$U,ROW(),$D$6)),",",""),"원",""),0))))</f>
        <v/>
      </c>
      <c r="AA13" s="31">
        <f>IF($Y13="","",TRIM(INDEX($A:$U,ROW(),$E$6)&amp;IF($F$6="",""," "&amp;INDEX($A:$U,ROW(),$F$6))))</f>
        <v/>
      </c>
      <c r="AB13" s="31">
        <f>IF($AA13="","",SUBSTITUTE(SUBSTITUTE(SUBSTITUTE(SUBSTITUTE(SUBSTITUTE(SUBSTITUTE(SUBSTITUTE(SUBSTITUTE(SUBSTITUTE($AA13," ",""),"　",""),"(주)",""),"（주）",""),"㈜",""),"주식회사",""),"(유)",""),"（유）",""),"유한회사",""))</f>
        <v/>
      </c>
      <c r="AC13" s="31">
        <f>IF(OR($Y13="",N($Z13)&lt;=0,$AB13=""),0,IFERROR(LOOKUP(2,1/((거래처별!$AC$8:$AC$307&lt;&gt;"")*ISNUMBER(SEARCH(거래처별!$AC$8:$AC$307,$AB13))),거래처별!$A$8:$A$307),IFERROR(LOOKUP(2,1/((거래처별!$AD$8:$AD$307&lt;&gt;"")*ISNUMBER(SEARCH(거래처별!$AD$8:$AD$307,$AB13))),거래처별!$A$8:$A$307),IFERROR(LOOKUP(2,1/((거래처별!$AE$8:$AE$307&lt;&gt;"")*ISNUMBER(SEARCH(거래처별!$AE$8:$AE$307,$AB13))),거래처별!$A$8:$A$307),0))))</f>
        <v/>
      </c>
      <c r="AD13" s="31">
        <f>IF(AND($Y13&lt;&gt;"",N($Z13)&gt;0,$AC13=0),MAX($AD$7:$AD12)+1,"")</f>
        <v/>
      </c>
      <c r="AE13" s="31">
        <f>IF($Y13="",0,$Y13)</f>
        <v/>
      </c>
    </row>
    <row r="14">
      <c r="A14" s="30" t="inlineStr">
        <is>
          <t>2026-10-08 13:20:00</t>
        </is>
      </c>
      <c r="B14" s="30" t="inlineStr">
        <is>
          <t>타행이체</t>
        </is>
      </c>
      <c r="C14" s="30" t="inlineStr">
        <is>
          <t>바람테크</t>
        </is>
      </c>
      <c r="D14" s="30" t="n"/>
      <c r="E14" s="30" t="n">
        <v>1100000</v>
      </c>
      <c r="F14" s="30" t="n">
        <v>1</v>
      </c>
      <c r="G14" s="30" t="inlineStr">
        <is>
          <t>가상예시</t>
        </is>
      </c>
      <c r="W14" s="31">
        <f>IF(OR($B$5="",$C$6="",ROW()&lt;$B$5),"",IF(INDEX($A:$U,ROW(),$C$6)="","",INDEX($A:$U,ROW(),$C$6)))</f>
        <v/>
      </c>
      <c r="X14" s="32">
        <f>IF($W14="","",IF(ISNUMBER($W14),IF($W14&gt;=10000000,IFERROR(DATE(INT($W14/10000),MOD(INT($W14/100),100),MOD($W14,100)),""),INT($W14)),IFERROR(DATE(--LEFT(LEFT(SUBSTITUTE(SUBSTITUTE(SUBSTITUTE(SUBSTITUTE(TRIM($W14),"-",""),".",""),"/","")," ",""),8),4),--MID(LEFT(SUBSTITUTE(SUBSTITUTE(SUBSTITUTE(SUBSTITUTE(TRIM($W14),"-",""),".",""),"/","")," ",""),8),5,2),--MID(LEFT(SUBSTITUTE(SUBSTITUTE(SUBSTITUTE(SUBSTITUTE(TRIM($W14),"-",""),".",""),"/","")," ",""),8),7,2)),"")))</f>
        <v/>
      </c>
      <c r="Y14" s="32">
        <f>IF($X14="","",INT($X14))</f>
        <v/>
      </c>
      <c r="Z14" s="33">
        <f>IF(OR($Y14="",$D$6=""),"",IF(INDEX($A:$U,ROW(),$D$6)="",0,IF(ISNUMBER(INDEX($A:$U,ROW(),$D$6)),INDEX($A:$U,ROW(),$D$6),IFERROR(--SUBSTITUTE(SUBSTITUTE(TRIM(INDEX($A:$U,ROW(),$D$6)),",",""),"원",""),0))))</f>
        <v/>
      </c>
      <c r="AA14" s="31">
        <f>IF($Y14="","",TRIM(INDEX($A:$U,ROW(),$E$6)&amp;IF($F$6="",""," "&amp;INDEX($A:$U,ROW(),$F$6))))</f>
        <v/>
      </c>
      <c r="AB14" s="31">
        <f>IF($AA14="","",SUBSTITUTE(SUBSTITUTE(SUBSTITUTE(SUBSTITUTE(SUBSTITUTE(SUBSTITUTE(SUBSTITUTE(SUBSTITUTE(SUBSTITUTE($AA14," ",""),"　",""),"(주)",""),"（주）",""),"㈜",""),"주식회사",""),"(유)",""),"（유）",""),"유한회사",""))</f>
        <v/>
      </c>
      <c r="AC14" s="31">
        <f>IF(OR($Y14="",N($Z14)&lt;=0,$AB14=""),0,IFERROR(LOOKUP(2,1/((거래처별!$AC$8:$AC$307&lt;&gt;"")*ISNUMBER(SEARCH(거래처별!$AC$8:$AC$307,$AB14))),거래처별!$A$8:$A$307),IFERROR(LOOKUP(2,1/((거래처별!$AD$8:$AD$307&lt;&gt;"")*ISNUMBER(SEARCH(거래처별!$AD$8:$AD$307,$AB14))),거래처별!$A$8:$A$307),IFERROR(LOOKUP(2,1/((거래처별!$AE$8:$AE$307&lt;&gt;"")*ISNUMBER(SEARCH(거래처별!$AE$8:$AE$307,$AB14))),거래처별!$A$8:$A$307),0))))</f>
        <v/>
      </c>
      <c r="AD14" s="31">
        <f>IF(AND($Y14&lt;&gt;"",N($Z14)&gt;0,$AC14=0),MAX($AD$7:$AD13)+1,"")</f>
        <v/>
      </c>
      <c r="AE14" s="31">
        <f>IF($Y14="",0,$Y14)</f>
        <v/>
      </c>
    </row>
    <row r="15">
      <c r="A15" s="30" t="inlineStr">
        <is>
          <t>2026-10-10 16:10:00</t>
        </is>
      </c>
      <c r="B15" s="30" t="inlineStr">
        <is>
          <t>타행이체</t>
        </is>
      </c>
      <c r="C15" s="30" t="inlineStr">
        <is>
          <t>새봄 유통</t>
        </is>
      </c>
      <c r="D15" s="30" t="n"/>
      <c r="E15" s="30" t="n">
        <v>1000000</v>
      </c>
      <c r="F15" s="30" t="n">
        <v>1</v>
      </c>
      <c r="G15" s="30" t="inlineStr">
        <is>
          <t>가상예시</t>
        </is>
      </c>
      <c r="W15" s="31">
        <f>IF(OR($B$5="",$C$6="",ROW()&lt;$B$5),"",IF(INDEX($A:$U,ROW(),$C$6)="","",INDEX($A:$U,ROW(),$C$6)))</f>
        <v/>
      </c>
      <c r="X15" s="32">
        <f>IF($W15="","",IF(ISNUMBER($W15),IF($W15&gt;=10000000,IFERROR(DATE(INT($W15/10000),MOD(INT($W15/100),100),MOD($W15,100)),""),INT($W15)),IFERROR(DATE(--LEFT(LEFT(SUBSTITUTE(SUBSTITUTE(SUBSTITUTE(SUBSTITUTE(TRIM($W15),"-",""),".",""),"/","")," ",""),8),4),--MID(LEFT(SUBSTITUTE(SUBSTITUTE(SUBSTITUTE(SUBSTITUTE(TRIM($W15),"-",""),".",""),"/","")," ",""),8),5,2),--MID(LEFT(SUBSTITUTE(SUBSTITUTE(SUBSTITUTE(SUBSTITUTE(TRIM($W15),"-",""),".",""),"/","")," ",""),8),7,2)),"")))</f>
        <v/>
      </c>
      <c r="Y15" s="32">
        <f>IF($X15="","",INT($X15))</f>
        <v/>
      </c>
      <c r="Z15" s="33">
        <f>IF(OR($Y15="",$D$6=""),"",IF(INDEX($A:$U,ROW(),$D$6)="",0,IF(ISNUMBER(INDEX($A:$U,ROW(),$D$6)),INDEX($A:$U,ROW(),$D$6),IFERROR(--SUBSTITUTE(SUBSTITUTE(TRIM(INDEX($A:$U,ROW(),$D$6)),",",""),"원",""),0))))</f>
        <v/>
      </c>
      <c r="AA15" s="31">
        <f>IF($Y15="","",TRIM(INDEX($A:$U,ROW(),$E$6)&amp;IF($F$6="",""," "&amp;INDEX($A:$U,ROW(),$F$6))))</f>
        <v/>
      </c>
      <c r="AB15" s="31">
        <f>IF($AA15="","",SUBSTITUTE(SUBSTITUTE(SUBSTITUTE(SUBSTITUTE(SUBSTITUTE(SUBSTITUTE(SUBSTITUTE(SUBSTITUTE(SUBSTITUTE($AA15," ",""),"　",""),"(주)",""),"（주）",""),"㈜",""),"주식회사",""),"(유)",""),"（유）",""),"유한회사",""))</f>
        <v/>
      </c>
      <c r="AC15" s="31">
        <f>IF(OR($Y15="",N($Z15)&lt;=0,$AB15=""),0,IFERROR(LOOKUP(2,1/((거래처별!$AC$8:$AC$307&lt;&gt;"")*ISNUMBER(SEARCH(거래처별!$AC$8:$AC$307,$AB15))),거래처별!$A$8:$A$307),IFERROR(LOOKUP(2,1/((거래처별!$AD$8:$AD$307&lt;&gt;"")*ISNUMBER(SEARCH(거래처별!$AD$8:$AD$307,$AB15))),거래처별!$A$8:$A$307),IFERROR(LOOKUP(2,1/((거래처별!$AE$8:$AE$307&lt;&gt;"")*ISNUMBER(SEARCH(거래처별!$AE$8:$AE$307,$AB15))),거래처별!$A$8:$A$307),0))))</f>
        <v/>
      </c>
      <c r="AD15" s="31">
        <f>IF(AND($Y15&lt;&gt;"",N($Z15)&gt;0,$AC15=0),MAX($AD$7:$AD14)+1,"")</f>
        <v/>
      </c>
      <c r="AE15" s="31">
        <f>IF($Y15="",0,$Y15)</f>
        <v/>
      </c>
    </row>
    <row r="16">
      <c r="W16" s="31">
        <f>IF(OR($B$5="",$C$6="",ROW()&lt;$B$5),"",IF(INDEX($A:$U,ROW(),$C$6)="","",INDEX($A:$U,ROW(),$C$6)))</f>
        <v/>
      </c>
      <c r="X16" s="32">
        <f>IF($W16="","",IF(ISNUMBER($W16),IF($W16&gt;=10000000,IFERROR(DATE(INT($W16/10000),MOD(INT($W16/100),100),MOD($W16,100)),""),INT($W16)),IFERROR(DATE(--LEFT(LEFT(SUBSTITUTE(SUBSTITUTE(SUBSTITUTE(SUBSTITUTE(TRIM($W16),"-",""),".",""),"/","")," ",""),8),4),--MID(LEFT(SUBSTITUTE(SUBSTITUTE(SUBSTITUTE(SUBSTITUTE(TRIM($W16),"-",""),".",""),"/","")," ",""),8),5,2),--MID(LEFT(SUBSTITUTE(SUBSTITUTE(SUBSTITUTE(SUBSTITUTE(TRIM($W16),"-",""),".",""),"/","")," ",""),8),7,2)),"")))</f>
        <v/>
      </c>
      <c r="Y16" s="32">
        <f>IF($X16="","",INT($X16))</f>
        <v/>
      </c>
      <c r="Z16" s="33">
        <f>IF(OR($Y16="",$D$6=""),"",IF(INDEX($A:$U,ROW(),$D$6)="",0,IF(ISNUMBER(INDEX($A:$U,ROW(),$D$6)),INDEX($A:$U,ROW(),$D$6),IFERROR(--SUBSTITUTE(SUBSTITUTE(TRIM(INDEX($A:$U,ROW(),$D$6)),",",""),"원",""),0))))</f>
        <v/>
      </c>
      <c r="AA16" s="31">
        <f>IF($Y16="","",TRIM(INDEX($A:$U,ROW(),$E$6)&amp;IF($F$6="",""," "&amp;INDEX($A:$U,ROW(),$F$6))))</f>
        <v/>
      </c>
      <c r="AB16" s="31">
        <f>IF($AA16="","",SUBSTITUTE(SUBSTITUTE(SUBSTITUTE(SUBSTITUTE(SUBSTITUTE(SUBSTITUTE(SUBSTITUTE(SUBSTITUTE(SUBSTITUTE($AA16," ",""),"　",""),"(주)",""),"（주）",""),"㈜",""),"주식회사",""),"(유)",""),"（유）",""),"유한회사",""))</f>
        <v/>
      </c>
      <c r="AC16" s="31">
        <f>IF(OR($Y16="",N($Z16)&lt;=0,$AB16=""),0,IFERROR(LOOKUP(2,1/((거래처별!$AC$8:$AC$307&lt;&gt;"")*ISNUMBER(SEARCH(거래처별!$AC$8:$AC$307,$AB16))),거래처별!$A$8:$A$307),IFERROR(LOOKUP(2,1/((거래처별!$AD$8:$AD$307&lt;&gt;"")*ISNUMBER(SEARCH(거래처별!$AD$8:$AD$307,$AB16))),거래처별!$A$8:$A$307),IFERROR(LOOKUP(2,1/((거래처별!$AE$8:$AE$307&lt;&gt;"")*ISNUMBER(SEARCH(거래처별!$AE$8:$AE$307,$AB16))),거래처별!$A$8:$A$307),0))))</f>
        <v/>
      </c>
      <c r="AD16" s="31">
        <f>IF(AND($Y16&lt;&gt;"",N($Z16)&gt;0,$AC16=0),MAX($AD$7:$AD15)+1,"")</f>
        <v/>
      </c>
      <c r="AE16" s="31">
        <f>IF($Y16="",0,$Y16)</f>
        <v/>
      </c>
    </row>
    <row r="17">
      <c r="W17" s="31">
        <f>IF(OR($B$5="",$C$6="",ROW()&lt;$B$5),"",IF(INDEX($A:$U,ROW(),$C$6)="","",INDEX($A:$U,ROW(),$C$6)))</f>
        <v/>
      </c>
      <c r="X17" s="32">
        <f>IF($W17="","",IF(ISNUMBER($W17),IF($W17&gt;=10000000,IFERROR(DATE(INT($W17/10000),MOD(INT($W17/100),100),MOD($W17,100)),""),INT($W17)),IFERROR(DATE(--LEFT(LEFT(SUBSTITUTE(SUBSTITUTE(SUBSTITUTE(SUBSTITUTE(TRIM($W17),"-",""),".",""),"/","")," ",""),8),4),--MID(LEFT(SUBSTITUTE(SUBSTITUTE(SUBSTITUTE(SUBSTITUTE(TRIM($W17),"-",""),".",""),"/","")," ",""),8),5,2),--MID(LEFT(SUBSTITUTE(SUBSTITUTE(SUBSTITUTE(SUBSTITUTE(TRIM($W17),"-",""),".",""),"/","")," ",""),8),7,2)),"")))</f>
        <v/>
      </c>
      <c r="Y17" s="32">
        <f>IF($X17="","",INT($X17))</f>
        <v/>
      </c>
      <c r="Z17" s="33">
        <f>IF(OR($Y17="",$D$6=""),"",IF(INDEX($A:$U,ROW(),$D$6)="",0,IF(ISNUMBER(INDEX($A:$U,ROW(),$D$6)),INDEX($A:$U,ROW(),$D$6),IFERROR(--SUBSTITUTE(SUBSTITUTE(TRIM(INDEX($A:$U,ROW(),$D$6)),",",""),"원",""),0))))</f>
        <v/>
      </c>
      <c r="AA17" s="31">
        <f>IF($Y17="","",TRIM(INDEX($A:$U,ROW(),$E$6)&amp;IF($F$6="",""," "&amp;INDEX($A:$U,ROW(),$F$6))))</f>
        <v/>
      </c>
      <c r="AB17" s="31">
        <f>IF($AA17="","",SUBSTITUTE(SUBSTITUTE(SUBSTITUTE(SUBSTITUTE(SUBSTITUTE(SUBSTITUTE(SUBSTITUTE(SUBSTITUTE(SUBSTITUTE($AA17," ",""),"　",""),"(주)",""),"（주）",""),"㈜",""),"주식회사",""),"(유)",""),"（유）",""),"유한회사",""))</f>
        <v/>
      </c>
      <c r="AC17" s="31">
        <f>IF(OR($Y17="",N($Z17)&lt;=0,$AB17=""),0,IFERROR(LOOKUP(2,1/((거래처별!$AC$8:$AC$307&lt;&gt;"")*ISNUMBER(SEARCH(거래처별!$AC$8:$AC$307,$AB17))),거래처별!$A$8:$A$307),IFERROR(LOOKUP(2,1/((거래처별!$AD$8:$AD$307&lt;&gt;"")*ISNUMBER(SEARCH(거래처별!$AD$8:$AD$307,$AB17))),거래처별!$A$8:$A$307),IFERROR(LOOKUP(2,1/((거래처별!$AE$8:$AE$307&lt;&gt;"")*ISNUMBER(SEARCH(거래처별!$AE$8:$AE$307,$AB17))),거래처별!$A$8:$A$307),0))))</f>
        <v/>
      </c>
      <c r="AD17" s="31">
        <f>IF(AND($Y17&lt;&gt;"",N($Z17)&gt;0,$AC17=0),MAX($AD$7:$AD16)+1,"")</f>
        <v/>
      </c>
      <c r="AE17" s="31">
        <f>IF($Y17="",0,$Y17)</f>
        <v/>
      </c>
    </row>
    <row r="18">
      <c r="W18" s="31">
        <f>IF(OR($B$5="",$C$6="",ROW()&lt;$B$5),"",IF(INDEX($A:$U,ROW(),$C$6)="","",INDEX($A:$U,ROW(),$C$6)))</f>
        <v/>
      </c>
      <c r="X18" s="32">
        <f>IF($W18="","",IF(ISNUMBER($W18),IF($W18&gt;=10000000,IFERROR(DATE(INT($W18/10000),MOD(INT($W18/100),100),MOD($W18,100)),""),INT($W18)),IFERROR(DATE(--LEFT(LEFT(SUBSTITUTE(SUBSTITUTE(SUBSTITUTE(SUBSTITUTE(TRIM($W18),"-",""),".",""),"/","")," ",""),8),4),--MID(LEFT(SUBSTITUTE(SUBSTITUTE(SUBSTITUTE(SUBSTITUTE(TRIM($W18),"-",""),".",""),"/","")," ",""),8),5,2),--MID(LEFT(SUBSTITUTE(SUBSTITUTE(SUBSTITUTE(SUBSTITUTE(TRIM($W18),"-",""),".",""),"/","")," ",""),8),7,2)),"")))</f>
        <v/>
      </c>
      <c r="Y18" s="32">
        <f>IF($X18="","",INT($X18))</f>
        <v/>
      </c>
      <c r="Z18" s="33">
        <f>IF(OR($Y18="",$D$6=""),"",IF(INDEX($A:$U,ROW(),$D$6)="",0,IF(ISNUMBER(INDEX($A:$U,ROW(),$D$6)),INDEX($A:$U,ROW(),$D$6),IFERROR(--SUBSTITUTE(SUBSTITUTE(TRIM(INDEX($A:$U,ROW(),$D$6)),",",""),"원",""),0))))</f>
        <v/>
      </c>
      <c r="AA18" s="31">
        <f>IF($Y18="","",TRIM(INDEX($A:$U,ROW(),$E$6)&amp;IF($F$6="",""," "&amp;INDEX($A:$U,ROW(),$F$6))))</f>
        <v/>
      </c>
      <c r="AB18" s="31">
        <f>IF($AA18="","",SUBSTITUTE(SUBSTITUTE(SUBSTITUTE(SUBSTITUTE(SUBSTITUTE(SUBSTITUTE(SUBSTITUTE(SUBSTITUTE(SUBSTITUTE($AA18," ",""),"　",""),"(주)",""),"（주）",""),"㈜",""),"주식회사",""),"(유)",""),"（유）",""),"유한회사",""))</f>
        <v/>
      </c>
      <c r="AC18" s="31">
        <f>IF(OR($Y18="",N($Z18)&lt;=0,$AB18=""),0,IFERROR(LOOKUP(2,1/((거래처별!$AC$8:$AC$307&lt;&gt;"")*ISNUMBER(SEARCH(거래처별!$AC$8:$AC$307,$AB18))),거래처별!$A$8:$A$307),IFERROR(LOOKUP(2,1/((거래처별!$AD$8:$AD$307&lt;&gt;"")*ISNUMBER(SEARCH(거래처별!$AD$8:$AD$307,$AB18))),거래처별!$A$8:$A$307),IFERROR(LOOKUP(2,1/((거래처별!$AE$8:$AE$307&lt;&gt;"")*ISNUMBER(SEARCH(거래처별!$AE$8:$AE$307,$AB18))),거래처별!$A$8:$A$307),0))))</f>
        <v/>
      </c>
      <c r="AD18" s="31">
        <f>IF(AND($Y18&lt;&gt;"",N($Z18)&gt;0,$AC18=0),MAX($AD$7:$AD17)+1,"")</f>
        <v/>
      </c>
      <c r="AE18" s="31">
        <f>IF($Y18="",0,$Y18)</f>
        <v/>
      </c>
    </row>
    <row r="19">
      <c r="W19" s="31">
        <f>IF(OR($B$5="",$C$6="",ROW()&lt;$B$5),"",IF(INDEX($A:$U,ROW(),$C$6)="","",INDEX($A:$U,ROW(),$C$6)))</f>
        <v/>
      </c>
      <c r="X19" s="32">
        <f>IF($W19="","",IF(ISNUMBER($W19),IF($W19&gt;=10000000,IFERROR(DATE(INT($W19/10000),MOD(INT($W19/100),100),MOD($W19,100)),""),INT($W19)),IFERROR(DATE(--LEFT(LEFT(SUBSTITUTE(SUBSTITUTE(SUBSTITUTE(SUBSTITUTE(TRIM($W19),"-",""),".",""),"/","")," ",""),8),4),--MID(LEFT(SUBSTITUTE(SUBSTITUTE(SUBSTITUTE(SUBSTITUTE(TRIM($W19),"-",""),".",""),"/","")," ",""),8),5,2),--MID(LEFT(SUBSTITUTE(SUBSTITUTE(SUBSTITUTE(SUBSTITUTE(TRIM($W19),"-",""),".",""),"/","")," ",""),8),7,2)),"")))</f>
        <v/>
      </c>
      <c r="Y19" s="32">
        <f>IF($X19="","",INT($X19))</f>
        <v/>
      </c>
      <c r="Z19" s="33">
        <f>IF(OR($Y19="",$D$6=""),"",IF(INDEX($A:$U,ROW(),$D$6)="",0,IF(ISNUMBER(INDEX($A:$U,ROW(),$D$6)),INDEX($A:$U,ROW(),$D$6),IFERROR(--SUBSTITUTE(SUBSTITUTE(TRIM(INDEX($A:$U,ROW(),$D$6)),",",""),"원",""),0))))</f>
        <v/>
      </c>
      <c r="AA19" s="31">
        <f>IF($Y19="","",TRIM(INDEX($A:$U,ROW(),$E$6)&amp;IF($F$6="",""," "&amp;INDEX($A:$U,ROW(),$F$6))))</f>
        <v/>
      </c>
      <c r="AB19" s="31">
        <f>IF($AA19="","",SUBSTITUTE(SUBSTITUTE(SUBSTITUTE(SUBSTITUTE(SUBSTITUTE(SUBSTITUTE(SUBSTITUTE(SUBSTITUTE(SUBSTITUTE($AA19," ",""),"　",""),"(주)",""),"（주）",""),"㈜",""),"주식회사",""),"(유)",""),"（유）",""),"유한회사",""))</f>
        <v/>
      </c>
      <c r="AC19" s="31">
        <f>IF(OR($Y19="",N($Z19)&lt;=0,$AB19=""),0,IFERROR(LOOKUP(2,1/((거래처별!$AC$8:$AC$307&lt;&gt;"")*ISNUMBER(SEARCH(거래처별!$AC$8:$AC$307,$AB19))),거래처별!$A$8:$A$307),IFERROR(LOOKUP(2,1/((거래처별!$AD$8:$AD$307&lt;&gt;"")*ISNUMBER(SEARCH(거래처별!$AD$8:$AD$307,$AB19))),거래처별!$A$8:$A$307),IFERROR(LOOKUP(2,1/((거래처별!$AE$8:$AE$307&lt;&gt;"")*ISNUMBER(SEARCH(거래처별!$AE$8:$AE$307,$AB19))),거래처별!$A$8:$A$307),0))))</f>
        <v/>
      </c>
      <c r="AD19" s="31">
        <f>IF(AND($Y19&lt;&gt;"",N($Z19)&gt;0,$AC19=0),MAX($AD$7:$AD18)+1,"")</f>
        <v/>
      </c>
      <c r="AE19" s="31">
        <f>IF($Y19="",0,$Y19)</f>
        <v/>
      </c>
    </row>
    <row r="20">
      <c r="W20" s="31">
        <f>IF(OR($B$5="",$C$6="",ROW()&lt;$B$5),"",IF(INDEX($A:$U,ROW(),$C$6)="","",INDEX($A:$U,ROW(),$C$6)))</f>
        <v/>
      </c>
      <c r="X20" s="32">
        <f>IF($W20="","",IF(ISNUMBER($W20),IF($W20&gt;=10000000,IFERROR(DATE(INT($W20/10000),MOD(INT($W20/100),100),MOD($W20,100)),""),INT($W20)),IFERROR(DATE(--LEFT(LEFT(SUBSTITUTE(SUBSTITUTE(SUBSTITUTE(SUBSTITUTE(TRIM($W20),"-",""),".",""),"/","")," ",""),8),4),--MID(LEFT(SUBSTITUTE(SUBSTITUTE(SUBSTITUTE(SUBSTITUTE(TRIM($W20),"-",""),".",""),"/","")," ",""),8),5,2),--MID(LEFT(SUBSTITUTE(SUBSTITUTE(SUBSTITUTE(SUBSTITUTE(TRIM($W20),"-",""),".",""),"/","")," ",""),8),7,2)),"")))</f>
        <v/>
      </c>
      <c r="Y20" s="32">
        <f>IF($X20="","",INT($X20))</f>
        <v/>
      </c>
      <c r="Z20" s="33">
        <f>IF(OR($Y20="",$D$6=""),"",IF(INDEX($A:$U,ROW(),$D$6)="",0,IF(ISNUMBER(INDEX($A:$U,ROW(),$D$6)),INDEX($A:$U,ROW(),$D$6),IFERROR(--SUBSTITUTE(SUBSTITUTE(TRIM(INDEX($A:$U,ROW(),$D$6)),",",""),"원",""),0))))</f>
        <v/>
      </c>
      <c r="AA20" s="31">
        <f>IF($Y20="","",TRIM(INDEX($A:$U,ROW(),$E$6)&amp;IF($F$6="",""," "&amp;INDEX($A:$U,ROW(),$F$6))))</f>
        <v/>
      </c>
      <c r="AB20" s="31">
        <f>IF($AA20="","",SUBSTITUTE(SUBSTITUTE(SUBSTITUTE(SUBSTITUTE(SUBSTITUTE(SUBSTITUTE(SUBSTITUTE(SUBSTITUTE(SUBSTITUTE($AA20," ",""),"　",""),"(주)",""),"（주）",""),"㈜",""),"주식회사",""),"(유)",""),"（유）",""),"유한회사",""))</f>
        <v/>
      </c>
      <c r="AC20" s="31">
        <f>IF(OR($Y20="",N($Z20)&lt;=0,$AB20=""),0,IFERROR(LOOKUP(2,1/((거래처별!$AC$8:$AC$307&lt;&gt;"")*ISNUMBER(SEARCH(거래처별!$AC$8:$AC$307,$AB20))),거래처별!$A$8:$A$307),IFERROR(LOOKUP(2,1/((거래처별!$AD$8:$AD$307&lt;&gt;"")*ISNUMBER(SEARCH(거래처별!$AD$8:$AD$307,$AB20))),거래처별!$A$8:$A$307),IFERROR(LOOKUP(2,1/((거래처별!$AE$8:$AE$307&lt;&gt;"")*ISNUMBER(SEARCH(거래처별!$AE$8:$AE$307,$AB20))),거래처별!$A$8:$A$307),0))))</f>
        <v/>
      </c>
      <c r="AD20" s="31">
        <f>IF(AND($Y20&lt;&gt;"",N($Z20)&gt;0,$AC20=0),MAX($AD$7:$AD19)+1,"")</f>
        <v/>
      </c>
      <c r="AE20" s="31">
        <f>IF($Y20="",0,$Y20)</f>
        <v/>
      </c>
    </row>
    <row r="21">
      <c r="W21" s="31">
        <f>IF(OR($B$5="",$C$6="",ROW()&lt;$B$5),"",IF(INDEX($A:$U,ROW(),$C$6)="","",INDEX($A:$U,ROW(),$C$6)))</f>
        <v/>
      </c>
      <c r="X21" s="32">
        <f>IF($W21="","",IF(ISNUMBER($W21),IF($W21&gt;=10000000,IFERROR(DATE(INT($W21/10000),MOD(INT($W21/100),100),MOD($W21,100)),""),INT($W21)),IFERROR(DATE(--LEFT(LEFT(SUBSTITUTE(SUBSTITUTE(SUBSTITUTE(SUBSTITUTE(TRIM($W21),"-",""),".",""),"/","")," ",""),8),4),--MID(LEFT(SUBSTITUTE(SUBSTITUTE(SUBSTITUTE(SUBSTITUTE(TRIM($W21),"-",""),".",""),"/","")," ",""),8),5,2),--MID(LEFT(SUBSTITUTE(SUBSTITUTE(SUBSTITUTE(SUBSTITUTE(TRIM($W21),"-",""),".",""),"/","")," ",""),8),7,2)),"")))</f>
        <v/>
      </c>
      <c r="Y21" s="32">
        <f>IF($X21="","",INT($X21))</f>
        <v/>
      </c>
      <c r="Z21" s="33">
        <f>IF(OR($Y21="",$D$6=""),"",IF(INDEX($A:$U,ROW(),$D$6)="",0,IF(ISNUMBER(INDEX($A:$U,ROW(),$D$6)),INDEX($A:$U,ROW(),$D$6),IFERROR(--SUBSTITUTE(SUBSTITUTE(TRIM(INDEX($A:$U,ROW(),$D$6)),",",""),"원",""),0))))</f>
        <v/>
      </c>
      <c r="AA21" s="31">
        <f>IF($Y21="","",TRIM(INDEX($A:$U,ROW(),$E$6)&amp;IF($F$6="",""," "&amp;INDEX($A:$U,ROW(),$F$6))))</f>
        <v/>
      </c>
      <c r="AB21" s="31">
        <f>IF($AA21="","",SUBSTITUTE(SUBSTITUTE(SUBSTITUTE(SUBSTITUTE(SUBSTITUTE(SUBSTITUTE(SUBSTITUTE(SUBSTITUTE(SUBSTITUTE($AA21," ",""),"　",""),"(주)",""),"（주）",""),"㈜",""),"주식회사",""),"(유)",""),"（유）",""),"유한회사",""))</f>
        <v/>
      </c>
      <c r="AC21" s="31">
        <f>IF(OR($Y21="",N($Z21)&lt;=0,$AB21=""),0,IFERROR(LOOKUP(2,1/((거래처별!$AC$8:$AC$307&lt;&gt;"")*ISNUMBER(SEARCH(거래처별!$AC$8:$AC$307,$AB21))),거래처별!$A$8:$A$307),IFERROR(LOOKUP(2,1/((거래처별!$AD$8:$AD$307&lt;&gt;"")*ISNUMBER(SEARCH(거래처별!$AD$8:$AD$307,$AB21))),거래처별!$A$8:$A$307),IFERROR(LOOKUP(2,1/((거래처별!$AE$8:$AE$307&lt;&gt;"")*ISNUMBER(SEARCH(거래처별!$AE$8:$AE$307,$AB21))),거래처별!$A$8:$A$307),0))))</f>
        <v/>
      </c>
      <c r="AD21" s="31">
        <f>IF(AND($Y21&lt;&gt;"",N($Z21)&gt;0,$AC21=0),MAX($AD$7:$AD20)+1,"")</f>
        <v/>
      </c>
      <c r="AE21" s="31">
        <f>IF($Y21="",0,$Y21)</f>
        <v/>
      </c>
    </row>
    <row r="22">
      <c r="W22" s="31">
        <f>IF(OR($B$5="",$C$6="",ROW()&lt;$B$5),"",IF(INDEX($A:$U,ROW(),$C$6)="","",INDEX($A:$U,ROW(),$C$6)))</f>
        <v/>
      </c>
      <c r="X22" s="32">
        <f>IF($W22="","",IF(ISNUMBER($W22),IF($W22&gt;=10000000,IFERROR(DATE(INT($W22/10000),MOD(INT($W22/100),100),MOD($W22,100)),""),INT($W22)),IFERROR(DATE(--LEFT(LEFT(SUBSTITUTE(SUBSTITUTE(SUBSTITUTE(SUBSTITUTE(TRIM($W22),"-",""),".",""),"/","")," ",""),8),4),--MID(LEFT(SUBSTITUTE(SUBSTITUTE(SUBSTITUTE(SUBSTITUTE(TRIM($W22),"-",""),".",""),"/","")," ",""),8),5,2),--MID(LEFT(SUBSTITUTE(SUBSTITUTE(SUBSTITUTE(SUBSTITUTE(TRIM($W22),"-",""),".",""),"/","")," ",""),8),7,2)),"")))</f>
        <v/>
      </c>
      <c r="Y22" s="32">
        <f>IF($X22="","",INT($X22))</f>
        <v/>
      </c>
      <c r="Z22" s="33">
        <f>IF(OR($Y22="",$D$6=""),"",IF(INDEX($A:$U,ROW(),$D$6)="",0,IF(ISNUMBER(INDEX($A:$U,ROW(),$D$6)),INDEX($A:$U,ROW(),$D$6),IFERROR(--SUBSTITUTE(SUBSTITUTE(TRIM(INDEX($A:$U,ROW(),$D$6)),",",""),"원",""),0))))</f>
        <v/>
      </c>
      <c r="AA22" s="31">
        <f>IF($Y22="","",TRIM(INDEX($A:$U,ROW(),$E$6)&amp;IF($F$6="",""," "&amp;INDEX($A:$U,ROW(),$F$6))))</f>
        <v/>
      </c>
      <c r="AB22" s="31">
        <f>IF($AA22="","",SUBSTITUTE(SUBSTITUTE(SUBSTITUTE(SUBSTITUTE(SUBSTITUTE(SUBSTITUTE(SUBSTITUTE(SUBSTITUTE(SUBSTITUTE($AA22," ",""),"　",""),"(주)",""),"（주）",""),"㈜",""),"주식회사",""),"(유)",""),"（유）",""),"유한회사",""))</f>
        <v/>
      </c>
      <c r="AC22" s="31">
        <f>IF(OR($Y22="",N($Z22)&lt;=0,$AB22=""),0,IFERROR(LOOKUP(2,1/((거래처별!$AC$8:$AC$307&lt;&gt;"")*ISNUMBER(SEARCH(거래처별!$AC$8:$AC$307,$AB22))),거래처별!$A$8:$A$307),IFERROR(LOOKUP(2,1/((거래처별!$AD$8:$AD$307&lt;&gt;"")*ISNUMBER(SEARCH(거래처별!$AD$8:$AD$307,$AB22))),거래처별!$A$8:$A$307),IFERROR(LOOKUP(2,1/((거래처별!$AE$8:$AE$307&lt;&gt;"")*ISNUMBER(SEARCH(거래처별!$AE$8:$AE$307,$AB22))),거래처별!$A$8:$A$307),0))))</f>
        <v/>
      </c>
      <c r="AD22" s="31">
        <f>IF(AND($Y22&lt;&gt;"",N($Z22)&gt;0,$AC22=0),MAX($AD$7:$AD21)+1,"")</f>
        <v/>
      </c>
      <c r="AE22" s="31">
        <f>IF($Y22="",0,$Y22)</f>
        <v/>
      </c>
    </row>
    <row r="23">
      <c r="W23" s="31">
        <f>IF(OR($B$5="",$C$6="",ROW()&lt;$B$5),"",IF(INDEX($A:$U,ROW(),$C$6)="","",INDEX($A:$U,ROW(),$C$6)))</f>
        <v/>
      </c>
      <c r="X23" s="32">
        <f>IF($W23="","",IF(ISNUMBER($W23),IF($W23&gt;=10000000,IFERROR(DATE(INT($W23/10000),MOD(INT($W23/100),100),MOD($W23,100)),""),INT($W23)),IFERROR(DATE(--LEFT(LEFT(SUBSTITUTE(SUBSTITUTE(SUBSTITUTE(SUBSTITUTE(TRIM($W23),"-",""),".",""),"/","")," ",""),8),4),--MID(LEFT(SUBSTITUTE(SUBSTITUTE(SUBSTITUTE(SUBSTITUTE(TRIM($W23),"-",""),".",""),"/","")," ",""),8),5,2),--MID(LEFT(SUBSTITUTE(SUBSTITUTE(SUBSTITUTE(SUBSTITUTE(TRIM($W23),"-",""),".",""),"/","")," ",""),8),7,2)),"")))</f>
        <v/>
      </c>
      <c r="Y23" s="32">
        <f>IF($X23="","",INT($X23))</f>
        <v/>
      </c>
      <c r="Z23" s="33">
        <f>IF(OR($Y23="",$D$6=""),"",IF(INDEX($A:$U,ROW(),$D$6)="",0,IF(ISNUMBER(INDEX($A:$U,ROW(),$D$6)),INDEX($A:$U,ROW(),$D$6),IFERROR(--SUBSTITUTE(SUBSTITUTE(TRIM(INDEX($A:$U,ROW(),$D$6)),",",""),"원",""),0))))</f>
        <v/>
      </c>
      <c r="AA23" s="31">
        <f>IF($Y23="","",TRIM(INDEX($A:$U,ROW(),$E$6)&amp;IF($F$6="",""," "&amp;INDEX($A:$U,ROW(),$F$6))))</f>
        <v/>
      </c>
      <c r="AB23" s="31">
        <f>IF($AA23="","",SUBSTITUTE(SUBSTITUTE(SUBSTITUTE(SUBSTITUTE(SUBSTITUTE(SUBSTITUTE(SUBSTITUTE(SUBSTITUTE(SUBSTITUTE($AA23," ",""),"　",""),"(주)",""),"（주）",""),"㈜",""),"주식회사",""),"(유)",""),"（유）",""),"유한회사",""))</f>
        <v/>
      </c>
      <c r="AC23" s="31">
        <f>IF(OR($Y23="",N($Z23)&lt;=0,$AB23=""),0,IFERROR(LOOKUP(2,1/((거래처별!$AC$8:$AC$307&lt;&gt;"")*ISNUMBER(SEARCH(거래처별!$AC$8:$AC$307,$AB23))),거래처별!$A$8:$A$307),IFERROR(LOOKUP(2,1/((거래처별!$AD$8:$AD$307&lt;&gt;"")*ISNUMBER(SEARCH(거래처별!$AD$8:$AD$307,$AB23))),거래처별!$A$8:$A$307),IFERROR(LOOKUP(2,1/((거래처별!$AE$8:$AE$307&lt;&gt;"")*ISNUMBER(SEARCH(거래처별!$AE$8:$AE$307,$AB23))),거래처별!$A$8:$A$307),0))))</f>
        <v/>
      </c>
      <c r="AD23" s="31">
        <f>IF(AND($Y23&lt;&gt;"",N($Z23)&gt;0,$AC23=0),MAX($AD$7:$AD22)+1,"")</f>
        <v/>
      </c>
      <c r="AE23" s="31">
        <f>IF($Y23="",0,$Y23)</f>
        <v/>
      </c>
    </row>
    <row r="24">
      <c r="W24" s="31">
        <f>IF(OR($B$5="",$C$6="",ROW()&lt;$B$5),"",IF(INDEX($A:$U,ROW(),$C$6)="","",INDEX($A:$U,ROW(),$C$6)))</f>
        <v/>
      </c>
      <c r="X24" s="32">
        <f>IF($W24="","",IF(ISNUMBER($W24),IF($W24&gt;=10000000,IFERROR(DATE(INT($W24/10000),MOD(INT($W24/100),100),MOD($W24,100)),""),INT($W24)),IFERROR(DATE(--LEFT(LEFT(SUBSTITUTE(SUBSTITUTE(SUBSTITUTE(SUBSTITUTE(TRIM($W24),"-",""),".",""),"/","")," ",""),8),4),--MID(LEFT(SUBSTITUTE(SUBSTITUTE(SUBSTITUTE(SUBSTITUTE(TRIM($W24),"-",""),".",""),"/","")," ",""),8),5,2),--MID(LEFT(SUBSTITUTE(SUBSTITUTE(SUBSTITUTE(SUBSTITUTE(TRIM($W24),"-",""),".",""),"/","")," ",""),8),7,2)),"")))</f>
        <v/>
      </c>
      <c r="Y24" s="32">
        <f>IF($X24="","",INT($X24))</f>
        <v/>
      </c>
      <c r="Z24" s="33">
        <f>IF(OR($Y24="",$D$6=""),"",IF(INDEX($A:$U,ROW(),$D$6)="",0,IF(ISNUMBER(INDEX($A:$U,ROW(),$D$6)),INDEX($A:$U,ROW(),$D$6),IFERROR(--SUBSTITUTE(SUBSTITUTE(TRIM(INDEX($A:$U,ROW(),$D$6)),",",""),"원",""),0))))</f>
        <v/>
      </c>
      <c r="AA24" s="31">
        <f>IF($Y24="","",TRIM(INDEX($A:$U,ROW(),$E$6)&amp;IF($F$6="",""," "&amp;INDEX($A:$U,ROW(),$F$6))))</f>
        <v/>
      </c>
      <c r="AB24" s="31">
        <f>IF($AA24="","",SUBSTITUTE(SUBSTITUTE(SUBSTITUTE(SUBSTITUTE(SUBSTITUTE(SUBSTITUTE(SUBSTITUTE(SUBSTITUTE(SUBSTITUTE($AA24," ",""),"　",""),"(주)",""),"（주）",""),"㈜",""),"주식회사",""),"(유)",""),"（유）",""),"유한회사",""))</f>
        <v/>
      </c>
      <c r="AC24" s="31">
        <f>IF(OR($Y24="",N($Z24)&lt;=0,$AB24=""),0,IFERROR(LOOKUP(2,1/((거래처별!$AC$8:$AC$307&lt;&gt;"")*ISNUMBER(SEARCH(거래처별!$AC$8:$AC$307,$AB24))),거래처별!$A$8:$A$307),IFERROR(LOOKUP(2,1/((거래처별!$AD$8:$AD$307&lt;&gt;"")*ISNUMBER(SEARCH(거래처별!$AD$8:$AD$307,$AB24))),거래처별!$A$8:$A$307),IFERROR(LOOKUP(2,1/((거래처별!$AE$8:$AE$307&lt;&gt;"")*ISNUMBER(SEARCH(거래처별!$AE$8:$AE$307,$AB24))),거래처별!$A$8:$A$307),0))))</f>
        <v/>
      </c>
      <c r="AD24" s="31">
        <f>IF(AND($Y24&lt;&gt;"",N($Z24)&gt;0,$AC24=0),MAX($AD$7:$AD23)+1,"")</f>
        <v/>
      </c>
      <c r="AE24" s="31">
        <f>IF($Y24="",0,$Y24)</f>
        <v/>
      </c>
    </row>
    <row r="25">
      <c r="W25" s="31">
        <f>IF(OR($B$5="",$C$6="",ROW()&lt;$B$5),"",IF(INDEX($A:$U,ROW(),$C$6)="","",INDEX($A:$U,ROW(),$C$6)))</f>
        <v/>
      </c>
      <c r="X25" s="32">
        <f>IF($W25="","",IF(ISNUMBER($W25),IF($W25&gt;=10000000,IFERROR(DATE(INT($W25/10000),MOD(INT($W25/100),100),MOD($W25,100)),""),INT($W25)),IFERROR(DATE(--LEFT(LEFT(SUBSTITUTE(SUBSTITUTE(SUBSTITUTE(SUBSTITUTE(TRIM($W25),"-",""),".",""),"/","")," ",""),8),4),--MID(LEFT(SUBSTITUTE(SUBSTITUTE(SUBSTITUTE(SUBSTITUTE(TRIM($W25),"-",""),".",""),"/","")," ",""),8),5,2),--MID(LEFT(SUBSTITUTE(SUBSTITUTE(SUBSTITUTE(SUBSTITUTE(TRIM($W25),"-",""),".",""),"/","")," ",""),8),7,2)),"")))</f>
        <v/>
      </c>
      <c r="Y25" s="32">
        <f>IF($X25="","",INT($X25))</f>
        <v/>
      </c>
      <c r="Z25" s="33">
        <f>IF(OR($Y25="",$D$6=""),"",IF(INDEX($A:$U,ROW(),$D$6)="",0,IF(ISNUMBER(INDEX($A:$U,ROW(),$D$6)),INDEX($A:$U,ROW(),$D$6),IFERROR(--SUBSTITUTE(SUBSTITUTE(TRIM(INDEX($A:$U,ROW(),$D$6)),",",""),"원",""),0))))</f>
        <v/>
      </c>
      <c r="AA25" s="31">
        <f>IF($Y25="","",TRIM(INDEX($A:$U,ROW(),$E$6)&amp;IF($F$6="",""," "&amp;INDEX($A:$U,ROW(),$F$6))))</f>
        <v/>
      </c>
      <c r="AB25" s="31">
        <f>IF($AA25="","",SUBSTITUTE(SUBSTITUTE(SUBSTITUTE(SUBSTITUTE(SUBSTITUTE(SUBSTITUTE(SUBSTITUTE(SUBSTITUTE(SUBSTITUTE($AA25," ",""),"　",""),"(주)",""),"（주）",""),"㈜",""),"주식회사",""),"(유)",""),"（유）",""),"유한회사",""))</f>
        <v/>
      </c>
      <c r="AC25" s="31">
        <f>IF(OR($Y25="",N($Z25)&lt;=0,$AB25=""),0,IFERROR(LOOKUP(2,1/((거래처별!$AC$8:$AC$307&lt;&gt;"")*ISNUMBER(SEARCH(거래처별!$AC$8:$AC$307,$AB25))),거래처별!$A$8:$A$307),IFERROR(LOOKUP(2,1/((거래처별!$AD$8:$AD$307&lt;&gt;"")*ISNUMBER(SEARCH(거래처별!$AD$8:$AD$307,$AB25))),거래처별!$A$8:$A$307),IFERROR(LOOKUP(2,1/((거래처별!$AE$8:$AE$307&lt;&gt;"")*ISNUMBER(SEARCH(거래처별!$AE$8:$AE$307,$AB25))),거래처별!$A$8:$A$307),0))))</f>
        <v/>
      </c>
      <c r="AD25" s="31">
        <f>IF(AND($Y25&lt;&gt;"",N($Z25)&gt;0,$AC25=0),MAX($AD$7:$AD24)+1,"")</f>
        <v/>
      </c>
      <c r="AE25" s="31">
        <f>IF($Y25="",0,$Y25)</f>
        <v/>
      </c>
    </row>
    <row r="26">
      <c r="W26" s="31">
        <f>IF(OR($B$5="",$C$6="",ROW()&lt;$B$5),"",IF(INDEX($A:$U,ROW(),$C$6)="","",INDEX($A:$U,ROW(),$C$6)))</f>
        <v/>
      </c>
      <c r="X26" s="32">
        <f>IF($W26="","",IF(ISNUMBER($W26),IF($W26&gt;=10000000,IFERROR(DATE(INT($W26/10000),MOD(INT($W26/100),100),MOD($W26,100)),""),INT($W26)),IFERROR(DATE(--LEFT(LEFT(SUBSTITUTE(SUBSTITUTE(SUBSTITUTE(SUBSTITUTE(TRIM($W26),"-",""),".",""),"/","")," ",""),8),4),--MID(LEFT(SUBSTITUTE(SUBSTITUTE(SUBSTITUTE(SUBSTITUTE(TRIM($W26),"-",""),".",""),"/","")," ",""),8),5,2),--MID(LEFT(SUBSTITUTE(SUBSTITUTE(SUBSTITUTE(SUBSTITUTE(TRIM($W26),"-",""),".",""),"/","")," ",""),8),7,2)),"")))</f>
        <v/>
      </c>
      <c r="Y26" s="32">
        <f>IF($X26="","",INT($X26))</f>
        <v/>
      </c>
      <c r="Z26" s="33">
        <f>IF(OR($Y26="",$D$6=""),"",IF(INDEX($A:$U,ROW(),$D$6)="",0,IF(ISNUMBER(INDEX($A:$U,ROW(),$D$6)),INDEX($A:$U,ROW(),$D$6),IFERROR(--SUBSTITUTE(SUBSTITUTE(TRIM(INDEX($A:$U,ROW(),$D$6)),",",""),"원",""),0))))</f>
        <v/>
      </c>
      <c r="AA26" s="31">
        <f>IF($Y26="","",TRIM(INDEX($A:$U,ROW(),$E$6)&amp;IF($F$6="",""," "&amp;INDEX($A:$U,ROW(),$F$6))))</f>
        <v/>
      </c>
      <c r="AB26" s="31">
        <f>IF($AA26="","",SUBSTITUTE(SUBSTITUTE(SUBSTITUTE(SUBSTITUTE(SUBSTITUTE(SUBSTITUTE(SUBSTITUTE(SUBSTITUTE(SUBSTITUTE($AA26," ",""),"　",""),"(주)",""),"（주）",""),"㈜",""),"주식회사",""),"(유)",""),"（유）",""),"유한회사",""))</f>
        <v/>
      </c>
      <c r="AC26" s="31">
        <f>IF(OR($Y26="",N($Z26)&lt;=0,$AB26=""),0,IFERROR(LOOKUP(2,1/((거래처별!$AC$8:$AC$307&lt;&gt;"")*ISNUMBER(SEARCH(거래처별!$AC$8:$AC$307,$AB26))),거래처별!$A$8:$A$307),IFERROR(LOOKUP(2,1/((거래처별!$AD$8:$AD$307&lt;&gt;"")*ISNUMBER(SEARCH(거래처별!$AD$8:$AD$307,$AB26))),거래처별!$A$8:$A$307),IFERROR(LOOKUP(2,1/((거래처별!$AE$8:$AE$307&lt;&gt;"")*ISNUMBER(SEARCH(거래처별!$AE$8:$AE$307,$AB26))),거래처별!$A$8:$A$307),0))))</f>
        <v/>
      </c>
      <c r="AD26" s="31">
        <f>IF(AND($Y26&lt;&gt;"",N($Z26)&gt;0,$AC26=0),MAX($AD$7:$AD25)+1,"")</f>
        <v/>
      </c>
      <c r="AE26" s="31">
        <f>IF($Y26="",0,$Y26)</f>
        <v/>
      </c>
    </row>
    <row r="27">
      <c r="W27" s="31">
        <f>IF(OR($B$5="",$C$6="",ROW()&lt;$B$5),"",IF(INDEX($A:$U,ROW(),$C$6)="","",INDEX($A:$U,ROW(),$C$6)))</f>
        <v/>
      </c>
      <c r="X27" s="32">
        <f>IF($W27="","",IF(ISNUMBER($W27),IF($W27&gt;=10000000,IFERROR(DATE(INT($W27/10000),MOD(INT($W27/100),100),MOD($W27,100)),""),INT($W27)),IFERROR(DATE(--LEFT(LEFT(SUBSTITUTE(SUBSTITUTE(SUBSTITUTE(SUBSTITUTE(TRIM($W27),"-",""),".",""),"/","")," ",""),8),4),--MID(LEFT(SUBSTITUTE(SUBSTITUTE(SUBSTITUTE(SUBSTITUTE(TRIM($W27),"-",""),".",""),"/","")," ",""),8),5,2),--MID(LEFT(SUBSTITUTE(SUBSTITUTE(SUBSTITUTE(SUBSTITUTE(TRIM($W27),"-",""),".",""),"/","")," ",""),8),7,2)),"")))</f>
        <v/>
      </c>
      <c r="Y27" s="32">
        <f>IF($X27="","",INT($X27))</f>
        <v/>
      </c>
      <c r="Z27" s="33">
        <f>IF(OR($Y27="",$D$6=""),"",IF(INDEX($A:$U,ROW(),$D$6)="",0,IF(ISNUMBER(INDEX($A:$U,ROW(),$D$6)),INDEX($A:$U,ROW(),$D$6),IFERROR(--SUBSTITUTE(SUBSTITUTE(TRIM(INDEX($A:$U,ROW(),$D$6)),",",""),"원",""),0))))</f>
        <v/>
      </c>
      <c r="AA27" s="31">
        <f>IF($Y27="","",TRIM(INDEX($A:$U,ROW(),$E$6)&amp;IF($F$6="",""," "&amp;INDEX($A:$U,ROW(),$F$6))))</f>
        <v/>
      </c>
      <c r="AB27" s="31">
        <f>IF($AA27="","",SUBSTITUTE(SUBSTITUTE(SUBSTITUTE(SUBSTITUTE(SUBSTITUTE(SUBSTITUTE(SUBSTITUTE(SUBSTITUTE(SUBSTITUTE($AA27," ",""),"　",""),"(주)",""),"（주）",""),"㈜",""),"주식회사",""),"(유)",""),"（유）",""),"유한회사",""))</f>
        <v/>
      </c>
      <c r="AC27" s="31">
        <f>IF(OR($Y27="",N($Z27)&lt;=0,$AB27=""),0,IFERROR(LOOKUP(2,1/((거래처별!$AC$8:$AC$307&lt;&gt;"")*ISNUMBER(SEARCH(거래처별!$AC$8:$AC$307,$AB27))),거래처별!$A$8:$A$307),IFERROR(LOOKUP(2,1/((거래처별!$AD$8:$AD$307&lt;&gt;"")*ISNUMBER(SEARCH(거래처별!$AD$8:$AD$307,$AB27))),거래처별!$A$8:$A$307),IFERROR(LOOKUP(2,1/((거래처별!$AE$8:$AE$307&lt;&gt;"")*ISNUMBER(SEARCH(거래처별!$AE$8:$AE$307,$AB27))),거래처별!$A$8:$A$307),0))))</f>
        <v/>
      </c>
      <c r="AD27" s="31">
        <f>IF(AND($Y27&lt;&gt;"",N($Z27)&gt;0,$AC27=0),MAX($AD$7:$AD26)+1,"")</f>
        <v/>
      </c>
      <c r="AE27" s="31">
        <f>IF($Y27="",0,$Y27)</f>
        <v/>
      </c>
    </row>
    <row r="28">
      <c r="W28" s="31">
        <f>IF(OR($B$5="",$C$6="",ROW()&lt;$B$5),"",IF(INDEX($A:$U,ROW(),$C$6)="","",INDEX($A:$U,ROW(),$C$6)))</f>
        <v/>
      </c>
      <c r="X28" s="32">
        <f>IF($W28="","",IF(ISNUMBER($W28),IF($W28&gt;=10000000,IFERROR(DATE(INT($W28/10000),MOD(INT($W28/100),100),MOD($W28,100)),""),INT($W28)),IFERROR(DATE(--LEFT(LEFT(SUBSTITUTE(SUBSTITUTE(SUBSTITUTE(SUBSTITUTE(TRIM($W28),"-",""),".",""),"/","")," ",""),8),4),--MID(LEFT(SUBSTITUTE(SUBSTITUTE(SUBSTITUTE(SUBSTITUTE(TRIM($W28),"-",""),".",""),"/","")," ",""),8),5,2),--MID(LEFT(SUBSTITUTE(SUBSTITUTE(SUBSTITUTE(SUBSTITUTE(TRIM($W28),"-",""),".",""),"/","")," ",""),8),7,2)),"")))</f>
        <v/>
      </c>
      <c r="Y28" s="32">
        <f>IF($X28="","",INT($X28))</f>
        <v/>
      </c>
      <c r="Z28" s="33">
        <f>IF(OR($Y28="",$D$6=""),"",IF(INDEX($A:$U,ROW(),$D$6)="",0,IF(ISNUMBER(INDEX($A:$U,ROW(),$D$6)),INDEX($A:$U,ROW(),$D$6),IFERROR(--SUBSTITUTE(SUBSTITUTE(TRIM(INDEX($A:$U,ROW(),$D$6)),",",""),"원",""),0))))</f>
        <v/>
      </c>
      <c r="AA28" s="31">
        <f>IF($Y28="","",TRIM(INDEX($A:$U,ROW(),$E$6)&amp;IF($F$6="",""," "&amp;INDEX($A:$U,ROW(),$F$6))))</f>
        <v/>
      </c>
      <c r="AB28" s="31">
        <f>IF($AA28="","",SUBSTITUTE(SUBSTITUTE(SUBSTITUTE(SUBSTITUTE(SUBSTITUTE(SUBSTITUTE(SUBSTITUTE(SUBSTITUTE(SUBSTITUTE($AA28," ",""),"　",""),"(주)",""),"（주）",""),"㈜",""),"주식회사",""),"(유)",""),"（유）",""),"유한회사",""))</f>
        <v/>
      </c>
      <c r="AC28" s="31">
        <f>IF(OR($Y28="",N($Z28)&lt;=0,$AB28=""),0,IFERROR(LOOKUP(2,1/((거래처별!$AC$8:$AC$307&lt;&gt;"")*ISNUMBER(SEARCH(거래처별!$AC$8:$AC$307,$AB28))),거래처별!$A$8:$A$307),IFERROR(LOOKUP(2,1/((거래처별!$AD$8:$AD$307&lt;&gt;"")*ISNUMBER(SEARCH(거래처별!$AD$8:$AD$307,$AB28))),거래처별!$A$8:$A$307),IFERROR(LOOKUP(2,1/((거래처별!$AE$8:$AE$307&lt;&gt;"")*ISNUMBER(SEARCH(거래처별!$AE$8:$AE$307,$AB28))),거래처별!$A$8:$A$307),0))))</f>
        <v/>
      </c>
      <c r="AD28" s="31">
        <f>IF(AND($Y28&lt;&gt;"",N($Z28)&gt;0,$AC28=0),MAX($AD$7:$AD27)+1,"")</f>
        <v/>
      </c>
      <c r="AE28" s="31">
        <f>IF($Y28="",0,$Y28)</f>
        <v/>
      </c>
    </row>
    <row r="29">
      <c r="W29" s="31">
        <f>IF(OR($B$5="",$C$6="",ROW()&lt;$B$5),"",IF(INDEX($A:$U,ROW(),$C$6)="","",INDEX($A:$U,ROW(),$C$6)))</f>
        <v/>
      </c>
      <c r="X29" s="32">
        <f>IF($W29="","",IF(ISNUMBER($W29),IF($W29&gt;=10000000,IFERROR(DATE(INT($W29/10000),MOD(INT($W29/100),100),MOD($W29,100)),""),INT($W29)),IFERROR(DATE(--LEFT(LEFT(SUBSTITUTE(SUBSTITUTE(SUBSTITUTE(SUBSTITUTE(TRIM($W29),"-",""),".",""),"/","")," ",""),8),4),--MID(LEFT(SUBSTITUTE(SUBSTITUTE(SUBSTITUTE(SUBSTITUTE(TRIM($W29),"-",""),".",""),"/","")," ",""),8),5,2),--MID(LEFT(SUBSTITUTE(SUBSTITUTE(SUBSTITUTE(SUBSTITUTE(TRIM($W29),"-",""),".",""),"/","")," ",""),8),7,2)),"")))</f>
        <v/>
      </c>
      <c r="Y29" s="32">
        <f>IF($X29="","",INT($X29))</f>
        <v/>
      </c>
      <c r="Z29" s="33">
        <f>IF(OR($Y29="",$D$6=""),"",IF(INDEX($A:$U,ROW(),$D$6)="",0,IF(ISNUMBER(INDEX($A:$U,ROW(),$D$6)),INDEX($A:$U,ROW(),$D$6),IFERROR(--SUBSTITUTE(SUBSTITUTE(TRIM(INDEX($A:$U,ROW(),$D$6)),",",""),"원",""),0))))</f>
        <v/>
      </c>
      <c r="AA29" s="31">
        <f>IF($Y29="","",TRIM(INDEX($A:$U,ROW(),$E$6)&amp;IF($F$6="",""," "&amp;INDEX($A:$U,ROW(),$F$6))))</f>
        <v/>
      </c>
      <c r="AB29" s="31">
        <f>IF($AA29="","",SUBSTITUTE(SUBSTITUTE(SUBSTITUTE(SUBSTITUTE(SUBSTITUTE(SUBSTITUTE(SUBSTITUTE(SUBSTITUTE(SUBSTITUTE($AA29," ",""),"　",""),"(주)",""),"（주）",""),"㈜",""),"주식회사",""),"(유)",""),"（유）",""),"유한회사",""))</f>
        <v/>
      </c>
      <c r="AC29" s="31">
        <f>IF(OR($Y29="",N($Z29)&lt;=0,$AB29=""),0,IFERROR(LOOKUP(2,1/((거래처별!$AC$8:$AC$307&lt;&gt;"")*ISNUMBER(SEARCH(거래처별!$AC$8:$AC$307,$AB29))),거래처별!$A$8:$A$307),IFERROR(LOOKUP(2,1/((거래처별!$AD$8:$AD$307&lt;&gt;"")*ISNUMBER(SEARCH(거래처별!$AD$8:$AD$307,$AB29))),거래처별!$A$8:$A$307),IFERROR(LOOKUP(2,1/((거래처별!$AE$8:$AE$307&lt;&gt;"")*ISNUMBER(SEARCH(거래처별!$AE$8:$AE$307,$AB29))),거래처별!$A$8:$A$307),0))))</f>
        <v/>
      </c>
      <c r="AD29" s="31">
        <f>IF(AND($Y29&lt;&gt;"",N($Z29)&gt;0,$AC29=0),MAX($AD$7:$AD28)+1,"")</f>
        <v/>
      </c>
      <c r="AE29" s="31">
        <f>IF($Y29="",0,$Y29)</f>
        <v/>
      </c>
    </row>
    <row r="30">
      <c r="W30" s="31">
        <f>IF(OR($B$5="",$C$6="",ROW()&lt;$B$5),"",IF(INDEX($A:$U,ROW(),$C$6)="","",INDEX($A:$U,ROW(),$C$6)))</f>
        <v/>
      </c>
      <c r="X30" s="32">
        <f>IF($W30="","",IF(ISNUMBER($W30),IF($W30&gt;=10000000,IFERROR(DATE(INT($W30/10000),MOD(INT($W30/100),100),MOD($W30,100)),""),INT($W30)),IFERROR(DATE(--LEFT(LEFT(SUBSTITUTE(SUBSTITUTE(SUBSTITUTE(SUBSTITUTE(TRIM($W30),"-",""),".",""),"/","")," ",""),8),4),--MID(LEFT(SUBSTITUTE(SUBSTITUTE(SUBSTITUTE(SUBSTITUTE(TRIM($W30),"-",""),".",""),"/","")," ",""),8),5,2),--MID(LEFT(SUBSTITUTE(SUBSTITUTE(SUBSTITUTE(SUBSTITUTE(TRIM($W30),"-",""),".",""),"/","")," ",""),8),7,2)),"")))</f>
        <v/>
      </c>
      <c r="Y30" s="32">
        <f>IF($X30="","",INT($X30))</f>
        <v/>
      </c>
      <c r="Z30" s="33">
        <f>IF(OR($Y30="",$D$6=""),"",IF(INDEX($A:$U,ROW(),$D$6)="",0,IF(ISNUMBER(INDEX($A:$U,ROW(),$D$6)),INDEX($A:$U,ROW(),$D$6),IFERROR(--SUBSTITUTE(SUBSTITUTE(TRIM(INDEX($A:$U,ROW(),$D$6)),",",""),"원",""),0))))</f>
        <v/>
      </c>
      <c r="AA30" s="31">
        <f>IF($Y30="","",TRIM(INDEX($A:$U,ROW(),$E$6)&amp;IF($F$6="",""," "&amp;INDEX($A:$U,ROW(),$F$6))))</f>
        <v/>
      </c>
      <c r="AB30" s="31">
        <f>IF($AA30="","",SUBSTITUTE(SUBSTITUTE(SUBSTITUTE(SUBSTITUTE(SUBSTITUTE(SUBSTITUTE(SUBSTITUTE(SUBSTITUTE(SUBSTITUTE($AA30," ",""),"　",""),"(주)",""),"（주）",""),"㈜",""),"주식회사",""),"(유)",""),"（유）",""),"유한회사",""))</f>
        <v/>
      </c>
      <c r="AC30" s="31">
        <f>IF(OR($Y30="",N($Z30)&lt;=0,$AB30=""),0,IFERROR(LOOKUP(2,1/((거래처별!$AC$8:$AC$307&lt;&gt;"")*ISNUMBER(SEARCH(거래처별!$AC$8:$AC$307,$AB30))),거래처별!$A$8:$A$307),IFERROR(LOOKUP(2,1/((거래처별!$AD$8:$AD$307&lt;&gt;"")*ISNUMBER(SEARCH(거래처별!$AD$8:$AD$307,$AB30))),거래처별!$A$8:$A$307),IFERROR(LOOKUP(2,1/((거래처별!$AE$8:$AE$307&lt;&gt;"")*ISNUMBER(SEARCH(거래처별!$AE$8:$AE$307,$AB30))),거래처별!$A$8:$A$307),0))))</f>
        <v/>
      </c>
      <c r="AD30" s="31">
        <f>IF(AND($Y30&lt;&gt;"",N($Z30)&gt;0,$AC30=0),MAX($AD$7:$AD29)+1,"")</f>
        <v/>
      </c>
      <c r="AE30" s="31">
        <f>IF($Y30="",0,$Y30)</f>
        <v/>
      </c>
    </row>
    <row r="31">
      <c r="W31" s="31">
        <f>IF(OR($B$5="",$C$6="",ROW()&lt;$B$5),"",IF(INDEX($A:$U,ROW(),$C$6)="","",INDEX($A:$U,ROW(),$C$6)))</f>
        <v/>
      </c>
      <c r="X31" s="32">
        <f>IF($W31="","",IF(ISNUMBER($W31),IF($W31&gt;=10000000,IFERROR(DATE(INT($W31/10000),MOD(INT($W31/100),100),MOD($W31,100)),""),INT($W31)),IFERROR(DATE(--LEFT(LEFT(SUBSTITUTE(SUBSTITUTE(SUBSTITUTE(SUBSTITUTE(TRIM($W31),"-",""),".",""),"/","")," ",""),8),4),--MID(LEFT(SUBSTITUTE(SUBSTITUTE(SUBSTITUTE(SUBSTITUTE(TRIM($W31),"-",""),".",""),"/","")," ",""),8),5,2),--MID(LEFT(SUBSTITUTE(SUBSTITUTE(SUBSTITUTE(SUBSTITUTE(TRIM($W31),"-",""),".",""),"/","")," ",""),8),7,2)),"")))</f>
        <v/>
      </c>
      <c r="Y31" s="32">
        <f>IF($X31="","",INT($X31))</f>
        <v/>
      </c>
      <c r="Z31" s="33">
        <f>IF(OR($Y31="",$D$6=""),"",IF(INDEX($A:$U,ROW(),$D$6)="",0,IF(ISNUMBER(INDEX($A:$U,ROW(),$D$6)),INDEX($A:$U,ROW(),$D$6),IFERROR(--SUBSTITUTE(SUBSTITUTE(TRIM(INDEX($A:$U,ROW(),$D$6)),",",""),"원",""),0))))</f>
        <v/>
      </c>
      <c r="AA31" s="31">
        <f>IF($Y31="","",TRIM(INDEX($A:$U,ROW(),$E$6)&amp;IF($F$6="",""," "&amp;INDEX($A:$U,ROW(),$F$6))))</f>
        <v/>
      </c>
      <c r="AB31" s="31">
        <f>IF($AA31="","",SUBSTITUTE(SUBSTITUTE(SUBSTITUTE(SUBSTITUTE(SUBSTITUTE(SUBSTITUTE(SUBSTITUTE(SUBSTITUTE(SUBSTITUTE($AA31," ",""),"　",""),"(주)",""),"（주）",""),"㈜",""),"주식회사",""),"(유)",""),"（유）",""),"유한회사",""))</f>
        <v/>
      </c>
      <c r="AC31" s="31">
        <f>IF(OR($Y31="",N($Z31)&lt;=0,$AB31=""),0,IFERROR(LOOKUP(2,1/((거래처별!$AC$8:$AC$307&lt;&gt;"")*ISNUMBER(SEARCH(거래처별!$AC$8:$AC$307,$AB31))),거래처별!$A$8:$A$307),IFERROR(LOOKUP(2,1/((거래처별!$AD$8:$AD$307&lt;&gt;"")*ISNUMBER(SEARCH(거래처별!$AD$8:$AD$307,$AB31))),거래처별!$A$8:$A$307),IFERROR(LOOKUP(2,1/((거래처별!$AE$8:$AE$307&lt;&gt;"")*ISNUMBER(SEARCH(거래처별!$AE$8:$AE$307,$AB31))),거래처별!$A$8:$A$307),0))))</f>
        <v/>
      </c>
      <c r="AD31" s="31">
        <f>IF(AND($Y31&lt;&gt;"",N($Z31)&gt;0,$AC31=0),MAX($AD$7:$AD30)+1,"")</f>
        <v/>
      </c>
      <c r="AE31" s="31">
        <f>IF($Y31="",0,$Y31)</f>
        <v/>
      </c>
    </row>
    <row r="32">
      <c r="W32" s="31">
        <f>IF(OR($B$5="",$C$6="",ROW()&lt;$B$5),"",IF(INDEX($A:$U,ROW(),$C$6)="","",INDEX($A:$U,ROW(),$C$6)))</f>
        <v/>
      </c>
      <c r="X32" s="32">
        <f>IF($W32="","",IF(ISNUMBER($W32),IF($W32&gt;=10000000,IFERROR(DATE(INT($W32/10000),MOD(INT($W32/100),100),MOD($W32,100)),""),INT($W32)),IFERROR(DATE(--LEFT(LEFT(SUBSTITUTE(SUBSTITUTE(SUBSTITUTE(SUBSTITUTE(TRIM($W32),"-",""),".",""),"/","")," ",""),8),4),--MID(LEFT(SUBSTITUTE(SUBSTITUTE(SUBSTITUTE(SUBSTITUTE(TRIM($W32),"-",""),".",""),"/","")," ",""),8),5,2),--MID(LEFT(SUBSTITUTE(SUBSTITUTE(SUBSTITUTE(SUBSTITUTE(TRIM($W32),"-",""),".",""),"/","")," ",""),8),7,2)),"")))</f>
        <v/>
      </c>
      <c r="Y32" s="32">
        <f>IF($X32="","",INT($X32))</f>
        <v/>
      </c>
      <c r="Z32" s="33">
        <f>IF(OR($Y32="",$D$6=""),"",IF(INDEX($A:$U,ROW(),$D$6)="",0,IF(ISNUMBER(INDEX($A:$U,ROW(),$D$6)),INDEX($A:$U,ROW(),$D$6),IFERROR(--SUBSTITUTE(SUBSTITUTE(TRIM(INDEX($A:$U,ROW(),$D$6)),",",""),"원",""),0))))</f>
        <v/>
      </c>
      <c r="AA32" s="31">
        <f>IF($Y32="","",TRIM(INDEX($A:$U,ROW(),$E$6)&amp;IF($F$6="",""," "&amp;INDEX($A:$U,ROW(),$F$6))))</f>
        <v/>
      </c>
      <c r="AB32" s="31">
        <f>IF($AA32="","",SUBSTITUTE(SUBSTITUTE(SUBSTITUTE(SUBSTITUTE(SUBSTITUTE(SUBSTITUTE(SUBSTITUTE(SUBSTITUTE(SUBSTITUTE($AA32," ",""),"　",""),"(주)",""),"（주）",""),"㈜",""),"주식회사",""),"(유)",""),"（유）",""),"유한회사",""))</f>
        <v/>
      </c>
      <c r="AC32" s="31">
        <f>IF(OR($Y32="",N($Z32)&lt;=0,$AB32=""),0,IFERROR(LOOKUP(2,1/((거래처별!$AC$8:$AC$307&lt;&gt;"")*ISNUMBER(SEARCH(거래처별!$AC$8:$AC$307,$AB32))),거래처별!$A$8:$A$307),IFERROR(LOOKUP(2,1/((거래처별!$AD$8:$AD$307&lt;&gt;"")*ISNUMBER(SEARCH(거래처별!$AD$8:$AD$307,$AB32))),거래처별!$A$8:$A$307),IFERROR(LOOKUP(2,1/((거래처별!$AE$8:$AE$307&lt;&gt;"")*ISNUMBER(SEARCH(거래처별!$AE$8:$AE$307,$AB32))),거래처별!$A$8:$A$307),0))))</f>
        <v/>
      </c>
      <c r="AD32" s="31">
        <f>IF(AND($Y32&lt;&gt;"",N($Z32)&gt;0,$AC32=0),MAX($AD$7:$AD31)+1,"")</f>
        <v/>
      </c>
      <c r="AE32" s="31">
        <f>IF($Y32="",0,$Y32)</f>
        <v/>
      </c>
    </row>
    <row r="33">
      <c r="W33" s="31">
        <f>IF(OR($B$5="",$C$6="",ROW()&lt;$B$5),"",IF(INDEX($A:$U,ROW(),$C$6)="","",INDEX($A:$U,ROW(),$C$6)))</f>
        <v/>
      </c>
      <c r="X33" s="32">
        <f>IF($W33="","",IF(ISNUMBER($W33),IF($W33&gt;=10000000,IFERROR(DATE(INT($W33/10000),MOD(INT($W33/100),100),MOD($W33,100)),""),INT($W33)),IFERROR(DATE(--LEFT(LEFT(SUBSTITUTE(SUBSTITUTE(SUBSTITUTE(SUBSTITUTE(TRIM($W33),"-",""),".",""),"/","")," ",""),8),4),--MID(LEFT(SUBSTITUTE(SUBSTITUTE(SUBSTITUTE(SUBSTITUTE(TRIM($W33),"-",""),".",""),"/","")," ",""),8),5,2),--MID(LEFT(SUBSTITUTE(SUBSTITUTE(SUBSTITUTE(SUBSTITUTE(TRIM($W33),"-",""),".",""),"/","")," ",""),8),7,2)),"")))</f>
        <v/>
      </c>
      <c r="Y33" s="32">
        <f>IF($X33="","",INT($X33))</f>
        <v/>
      </c>
      <c r="Z33" s="33">
        <f>IF(OR($Y33="",$D$6=""),"",IF(INDEX($A:$U,ROW(),$D$6)="",0,IF(ISNUMBER(INDEX($A:$U,ROW(),$D$6)),INDEX($A:$U,ROW(),$D$6),IFERROR(--SUBSTITUTE(SUBSTITUTE(TRIM(INDEX($A:$U,ROW(),$D$6)),",",""),"원",""),0))))</f>
        <v/>
      </c>
      <c r="AA33" s="31">
        <f>IF($Y33="","",TRIM(INDEX($A:$U,ROW(),$E$6)&amp;IF($F$6="",""," "&amp;INDEX($A:$U,ROW(),$F$6))))</f>
        <v/>
      </c>
      <c r="AB33" s="31">
        <f>IF($AA33="","",SUBSTITUTE(SUBSTITUTE(SUBSTITUTE(SUBSTITUTE(SUBSTITUTE(SUBSTITUTE(SUBSTITUTE(SUBSTITUTE(SUBSTITUTE($AA33," ",""),"　",""),"(주)",""),"（주）",""),"㈜",""),"주식회사",""),"(유)",""),"（유）",""),"유한회사",""))</f>
        <v/>
      </c>
      <c r="AC33" s="31">
        <f>IF(OR($Y33="",N($Z33)&lt;=0,$AB33=""),0,IFERROR(LOOKUP(2,1/((거래처별!$AC$8:$AC$307&lt;&gt;"")*ISNUMBER(SEARCH(거래처별!$AC$8:$AC$307,$AB33))),거래처별!$A$8:$A$307),IFERROR(LOOKUP(2,1/((거래처별!$AD$8:$AD$307&lt;&gt;"")*ISNUMBER(SEARCH(거래처별!$AD$8:$AD$307,$AB33))),거래처별!$A$8:$A$307),IFERROR(LOOKUP(2,1/((거래처별!$AE$8:$AE$307&lt;&gt;"")*ISNUMBER(SEARCH(거래처별!$AE$8:$AE$307,$AB33))),거래처별!$A$8:$A$307),0))))</f>
        <v/>
      </c>
      <c r="AD33" s="31">
        <f>IF(AND($Y33&lt;&gt;"",N($Z33)&gt;0,$AC33=0),MAX($AD$7:$AD32)+1,"")</f>
        <v/>
      </c>
      <c r="AE33" s="31">
        <f>IF($Y33="",0,$Y33)</f>
        <v/>
      </c>
    </row>
    <row r="34">
      <c r="W34" s="31">
        <f>IF(OR($B$5="",$C$6="",ROW()&lt;$B$5),"",IF(INDEX($A:$U,ROW(),$C$6)="","",INDEX($A:$U,ROW(),$C$6)))</f>
        <v/>
      </c>
      <c r="X34" s="32">
        <f>IF($W34="","",IF(ISNUMBER($W34),IF($W34&gt;=10000000,IFERROR(DATE(INT($W34/10000),MOD(INT($W34/100),100),MOD($W34,100)),""),INT($W34)),IFERROR(DATE(--LEFT(LEFT(SUBSTITUTE(SUBSTITUTE(SUBSTITUTE(SUBSTITUTE(TRIM($W34),"-",""),".",""),"/","")," ",""),8),4),--MID(LEFT(SUBSTITUTE(SUBSTITUTE(SUBSTITUTE(SUBSTITUTE(TRIM($W34),"-",""),".",""),"/","")," ",""),8),5,2),--MID(LEFT(SUBSTITUTE(SUBSTITUTE(SUBSTITUTE(SUBSTITUTE(TRIM($W34),"-",""),".",""),"/","")," ",""),8),7,2)),"")))</f>
        <v/>
      </c>
      <c r="Y34" s="32">
        <f>IF($X34="","",INT($X34))</f>
        <v/>
      </c>
      <c r="Z34" s="33">
        <f>IF(OR($Y34="",$D$6=""),"",IF(INDEX($A:$U,ROW(),$D$6)="",0,IF(ISNUMBER(INDEX($A:$U,ROW(),$D$6)),INDEX($A:$U,ROW(),$D$6),IFERROR(--SUBSTITUTE(SUBSTITUTE(TRIM(INDEX($A:$U,ROW(),$D$6)),",",""),"원",""),0))))</f>
        <v/>
      </c>
      <c r="AA34" s="31">
        <f>IF($Y34="","",TRIM(INDEX($A:$U,ROW(),$E$6)&amp;IF($F$6="",""," "&amp;INDEX($A:$U,ROW(),$F$6))))</f>
        <v/>
      </c>
      <c r="AB34" s="31">
        <f>IF($AA34="","",SUBSTITUTE(SUBSTITUTE(SUBSTITUTE(SUBSTITUTE(SUBSTITUTE(SUBSTITUTE(SUBSTITUTE(SUBSTITUTE(SUBSTITUTE($AA34," ",""),"　",""),"(주)",""),"（주）",""),"㈜",""),"주식회사",""),"(유)",""),"（유）",""),"유한회사",""))</f>
        <v/>
      </c>
      <c r="AC34" s="31">
        <f>IF(OR($Y34="",N($Z34)&lt;=0,$AB34=""),0,IFERROR(LOOKUP(2,1/((거래처별!$AC$8:$AC$307&lt;&gt;"")*ISNUMBER(SEARCH(거래처별!$AC$8:$AC$307,$AB34))),거래처별!$A$8:$A$307),IFERROR(LOOKUP(2,1/((거래처별!$AD$8:$AD$307&lt;&gt;"")*ISNUMBER(SEARCH(거래처별!$AD$8:$AD$307,$AB34))),거래처별!$A$8:$A$307),IFERROR(LOOKUP(2,1/((거래처별!$AE$8:$AE$307&lt;&gt;"")*ISNUMBER(SEARCH(거래처별!$AE$8:$AE$307,$AB34))),거래처별!$A$8:$A$307),0))))</f>
        <v/>
      </c>
      <c r="AD34" s="31">
        <f>IF(AND($Y34&lt;&gt;"",N($Z34)&gt;0,$AC34=0),MAX($AD$7:$AD33)+1,"")</f>
        <v/>
      </c>
      <c r="AE34" s="31">
        <f>IF($Y34="",0,$Y34)</f>
        <v/>
      </c>
    </row>
    <row r="35">
      <c r="W35" s="31">
        <f>IF(OR($B$5="",$C$6="",ROW()&lt;$B$5),"",IF(INDEX($A:$U,ROW(),$C$6)="","",INDEX($A:$U,ROW(),$C$6)))</f>
        <v/>
      </c>
      <c r="X35" s="32">
        <f>IF($W35="","",IF(ISNUMBER($W35),IF($W35&gt;=10000000,IFERROR(DATE(INT($W35/10000),MOD(INT($W35/100),100),MOD($W35,100)),""),INT($W35)),IFERROR(DATE(--LEFT(LEFT(SUBSTITUTE(SUBSTITUTE(SUBSTITUTE(SUBSTITUTE(TRIM($W35),"-",""),".",""),"/","")," ",""),8),4),--MID(LEFT(SUBSTITUTE(SUBSTITUTE(SUBSTITUTE(SUBSTITUTE(TRIM($W35),"-",""),".",""),"/","")," ",""),8),5,2),--MID(LEFT(SUBSTITUTE(SUBSTITUTE(SUBSTITUTE(SUBSTITUTE(TRIM($W35),"-",""),".",""),"/","")," ",""),8),7,2)),"")))</f>
        <v/>
      </c>
      <c r="Y35" s="32">
        <f>IF($X35="","",INT($X35))</f>
        <v/>
      </c>
      <c r="Z35" s="33">
        <f>IF(OR($Y35="",$D$6=""),"",IF(INDEX($A:$U,ROW(),$D$6)="",0,IF(ISNUMBER(INDEX($A:$U,ROW(),$D$6)),INDEX($A:$U,ROW(),$D$6),IFERROR(--SUBSTITUTE(SUBSTITUTE(TRIM(INDEX($A:$U,ROW(),$D$6)),",",""),"원",""),0))))</f>
        <v/>
      </c>
      <c r="AA35" s="31">
        <f>IF($Y35="","",TRIM(INDEX($A:$U,ROW(),$E$6)&amp;IF($F$6="",""," "&amp;INDEX($A:$U,ROW(),$F$6))))</f>
        <v/>
      </c>
      <c r="AB35" s="31">
        <f>IF($AA35="","",SUBSTITUTE(SUBSTITUTE(SUBSTITUTE(SUBSTITUTE(SUBSTITUTE(SUBSTITUTE(SUBSTITUTE(SUBSTITUTE(SUBSTITUTE($AA35," ",""),"　",""),"(주)",""),"（주）",""),"㈜",""),"주식회사",""),"(유)",""),"（유）",""),"유한회사",""))</f>
        <v/>
      </c>
      <c r="AC35" s="31">
        <f>IF(OR($Y35="",N($Z35)&lt;=0,$AB35=""),0,IFERROR(LOOKUP(2,1/((거래처별!$AC$8:$AC$307&lt;&gt;"")*ISNUMBER(SEARCH(거래처별!$AC$8:$AC$307,$AB35))),거래처별!$A$8:$A$307),IFERROR(LOOKUP(2,1/((거래처별!$AD$8:$AD$307&lt;&gt;"")*ISNUMBER(SEARCH(거래처별!$AD$8:$AD$307,$AB35))),거래처별!$A$8:$A$307),IFERROR(LOOKUP(2,1/((거래처별!$AE$8:$AE$307&lt;&gt;"")*ISNUMBER(SEARCH(거래처별!$AE$8:$AE$307,$AB35))),거래처별!$A$8:$A$307),0))))</f>
        <v/>
      </c>
      <c r="AD35" s="31">
        <f>IF(AND($Y35&lt;&gt;"",N($Z35)&gt;0,$AC35=0),MAX($AD$7:$AD34)+1,"")</f>
        <v/>
      </c>
      <c r="AE35" s="31">
        <f>IF($Y35="",0,$Y35)</f>
        <v/>
      </c>
    </row>
    <row r="36">
      <c r="W36" s="31">
        <f>IF(OR($B$5="",$C$6="",ROW()&lt;$B$5),"",IF(INDEX($A:$U,ROW(),$C$6)="","",INDEX($A:$U,ROW(),$C$6)))</f>
        <v/>
      </c>
      <c r="X36" s="32">
        <f>IF($W36="","",IF(ISNUMBER($W36),IF($W36&gt;=10000000,IFERROR(DATE(INT($W36/10000),MOD(INT($W36/100),100),MOD($W36,100)),""),INT($W36)),IFERROR(DATE(--LEFT(LEFT(SUBSTITUTE(SUBSTITUTE(SUBSTITUTE(SUBSTITUTE(TRIM($W36),"-",""),".",""),"/","")," ",""),8),4),--MID(LEFT(SUBSTITUTE(SUBSTITUTE(SUBSTITUTE(SUBSTITUTE(TRIM($W36),"-",""),".",""),"/","")," ",""),8),5,2),--MID(LEFT(SUBSTITUTE(SUBSTITUTE(SUBSTITUTE(SUBSTITUTE(TRIM($W36),"-",""),".",""),"/","")," ",""),8),7,2)),"")))</f>
        <v/>
      </c>
      <c r="Y36" s="32">
        <f>IF($X36="","",INT($X36))</f>
        <v/>
      </c>
      <c r="Z36" s="33">
        <f>IF(OR($Y36="",$D$6=""),"",IF(INDEX($A:$U,ROW(),$D$6)="",0,IF(ISNUMBER(INDEX($A:$U,ROW(),$D$6)),INDEX($A:$U,ROW(),$D$6),IFERROR(--SUBSTITUTE(SUBSTITUTE(TRIM(INDEX($A:$U,ROW(),$D$6)),",",""),"원",""),0))))</f>
        <v/>
      </c>
      <c r="AA36" s="31">
        <f>IF($Y36="","",TRIM(INDEX($A:$U,ROW(),$E$6)&amp;IF($F$6="",""," "&amp;INDEX($A:$U,ROW(),$F$6))))</f>
        <v/>
      </c>
      <c r="AB36" s="31">
        <f>IF($AA36="","",SUBSTITUTE(SUBSTITUTE(SUBSTITUTE(SUBSTITUTE(SUBSTITUTE(SUBSTITUTE(SUBSTITUTE(SUBSTITUTE(SUBSTITUTE($AA36," ",""),"　",""),"(주)",""),"（주）",""),"㈜",""),"주식회사",""),"(유)",""),"（유）",""),"유한회사",""))</f>
        <v/>
      </c>
      <c r="AC36" s="31">
        <f>IF(OR($Y36="",N($Z36)&lt;=0,$AB36=""),0,IFERROR(LOOKUP(2,1/((거래처별!$AC$8:$AC$307&lt;&gt;"")*ISNUMBER(SEARCH(거래처별!$AC$8:$AC$307,$AB36))),거래처별!$A$8:$A$307),IFERROR(LOOKUP(2,1/((거래처별!$AD$8:$AD$307&lt;&gt;"")*ISNUMBER(SEARCH(거래처별!$AD$8:$AD$307,$AB36))),거래처별!$A$8:$A$307),IFERROR(LOOKUP(2,1/((거래처별!$AE$8:$AE$307&lt;&gt;"")*ISNUMBER(SEARCH(거래처별!$AE$8:$AE$307,$AB36))),거래처별!$A$8:$A$307),0))))</f>
        <v/>
      </c>
      <c r="AD36" s="31">
        <f>IF(AND($Y36&lt;&gt;"",N($Z36)&gt;0,$AC36=0),MAX($AD$7:$AD35)+1,"")</f>
        <v/>
      </c>
      <c r="AE36" s="31">
        <f>IF($Y36="",0,$Y36)</f>
        <v/>
      </c>
    </row>
    <row r="37">
      <c r="W37" s="31">
        <f>IF(OR($B$5="",$C$6="",ROW()&lt;$B$5),"",IF(INDEX($A:$U,ROW(),$C$6)="","",INDEX($A:$U,ROW(),$C$6)))</f>
        <v/>
      </c>
      <c r="X37" s="32">
        <f>IF($W37="","",IF(ISNUMBER($W37),IF($W37&gt;=10000000,IFERROR(DATE(INT($W37/10000),MOD(INT($W37/100),100),MOD($W37,100)),""),INT($W37)),IFERROR(DATE(--LEFT(LEFT(SUBSTITUTE(SUBSTITUTE(SUBSTITUTE(SUBSTITUTE(TRIM($W37),"-",""),".",""),"/","")," ",""),8),4),--MID(LEFT(SUBSTITUTE(SUBSTITUTE(SUBSTITUTE(SUBSTITUTE(TRIM($W37),"-",""),".",""),"/","")," ",""),8),5,2),--MID(LEFT(SUBSTITUTE(SUBSTITUTE(SUBSTITUTE(SUBSTITUTE(TRIM($W37),"-",""),".",""),"/","")," ",""),8),7,2)),"")))</f>
        <v/>
      </c>
      <c r="Y37" s="32">
        <f>IF($X37="","",INT($X37))</f>
        <v/>
      </c>
      <c r="Z37" s="33">
        <f>IF(OR($Y37="",$D$6=""),"",IF(INDEX($A:$U,ROW(),$D$6)="",0,IF(ISNUMBER(INDEX($A:$U,ROW(),$D$6)),INDEX($A:$U,ROW(),$D$6),IFERROR(--SUBSTITUTE(SUBSTITUTE(TRIM(INDEX($A:$U,ROW(),$D$6)),",",""),"원",""),0))))</f>
        <v/>
      </c>
      <c r="AA37" s="31">
        <f>IF($Y37="","",TRIM(INDEX($A:$U,ROW(),$E$6)&amp;IF($F$6="",""," "&amp;INDEX($A:$U,ROW(),$F$6))))</f>
        <v/>
      </c>
      <c r="AB37" s="31">
        <f>IF($AA37="","",SUBSTITUTE(SUBSTITUTE(SUBSTITUTE(SUBSTITUTE(SUBSTITUTE(SUBSTITUTE(SUBSTITUTE(SUBSTITUTE(SUBSTITUTE($AA37," ",""),"　",""),"(주)",""),"（주）",""),"㈜",""),"주식회사",""),"(유)",""),"（유）",""),"유한회사",""))</f>
        <v/>
      </c>
      <c r="AC37" s="31">
        <f>IF(OR($Y37="",N($Z37)&lt;=0,$AB37=""),0,IFERROR(LOOKUP(2,1/((거래처별!$AC$8:$AC$307&lt;&gt;"")*ISNUMBER(SEARCH(거래처별!$AC$8:$AC$307,$AB37))),거래처별!$A$8:$A$307),IFERROR(LOOKUP(2,1/((거래처별!$AD$8:$AD$307&lt;&gt;"")*ISNUMBER(SEARCH(거래처별!$AD$8:$AD$307,$AB37))),거래처별!$A$8:$A$307),IFERROR(LOOKUP(2,1/((거래처별!$AE$8:$AE$307&lt;&gt;"")*ISNUMBER(SEARCH(거래처별!$AE$8:$AE$307,$AB37))),거래처별!$A$8:$A$307),0))))</f>
        <v/>
      </c>
      <c r="AD37" s="31">
        <f>IF(AND($Y37&lt;&gt;"",N($Z37)&gt;0,$AC37=0),MAX($AD$7:$AD36)+1,"")</f>
        <v/>
      </c>
      <c r="AE37" s="31">
        <f>IF($Y37="",0,$Y37)</f>
        <v/>
      </c>
    </row>
    <row r="38">
      <c r="W38" s="31">
        <f>IF(OR($B$5="",$C$6="",ROW()&lt;$B$5),"",IF(INDEX($A:$U,ROW(),$C$6)="","",INDEX($A:$U,ROW(),$C$6)))</f>
        <v/>
      </c>
      <c r="X38" s="32">
        <f>IF($W38="","",IF(ISNUMBER($W38),IF($W38&gt;=10000000,IFERROR(DATE(INT($W38/10000),MOD(INT($W38/100),100),MOD($W38,100)),""),INT($W38)),IFERROR(DATE(--LEFT(LEFT(SUBSTITUTE(SUBSTITUTE(SUBSTITUTE(SUBSTITUTE(TRIM($W38),"-",""),".",""),"/","")," ",""),8),4),--MID(LEFT(SUBSTITUTE(SUBSTITUTE(SUBSTITUTE(SUBSTITUTE(TRIM($W38),"-",""),".",""),"/","")," ",""),8),5,2),--MID(LEFT(SUBSTITUTE(SUBSTITUTE(SUBSTITUTE(SUBSTITUTE(TRIM($W38),"-",""),".",""),"/","")," ",""),8),7,2)),"")))</f>
        <v/>
      </c>
      <c r="Y38" s="32">
        <f>IF($X38="","",INT($X38))</f>
        <v/>
      </c>
      <c r="Z38" s="33">
        <f>IF(OR($Y38="",$D$6=""),"",IF(INDEX($A:$U,ROW(),$D$6)="",0,IF(ISNUMBER(INDEX($A:$U,ROW(),$D$6)),INDEX($A:$U,ROW(),$D$6),IFERROR(--SUBSTITUTE(SUBSTITUTE(TRIM(INDEX($A:$U,ROW(),$D$6)),",",""),"원",""),0))))</f>
        <v/>
      </c>
      <c r="AA38" s="31">
        <f>IF($Y38="","",TRIM(INDEX($A:$U,ROW(),$E$6)&amp;IF($F$6="",""," "&amp;INDEX($A:$U,ROW(),$F$6))))</f>
        <v/>
      </c>
      <c r="AB38" s="31">
        <f>IF($AA38="","",SUBSTITUTE(SUBSTITUTE(SUBSTITUTE(SUBSTITUTE(SUBSTITUTE(SUBSTITUTE(SUBSTITUTE(SUBSTITUTE(SUBSTITUTE($AA38," ",""),"　",""),"(주)",""),"（주）",""),"㈜",""),"주식회사",""),"(유)",""),"（유）",""),"유한회사",""))</f>
        <v/>
      </c>
      <c r="AC38" s="31">
        <f>IF(OR($Y38="",N($Z38)&lt;=0,$AB38=""),0,IFERROR(LOOKUP(2,1/((거래처별!$AC$8:$AC$307&lt;&gt;"")*ISNUMBER(SEARCH(거래처별!$AC$8:$AC$307,$AB38))),거래처별!$A$8:$A$307),IFERROR(LOOKUP(2,1/((거래처별!$AD$8:$AD$307&lt;&gt;"")*ISNUMBER(SEARCH(거래처별!$AD$8:$AD$307,$AB38))),거래처별!$A$8:$A$307),IFERROR(LOOKUP(2,1/((거래처별!$AE$8:$AE$307&lt;&gt;"")*ISNUMBER(SEARCH(거래처별!$AE$8:$AE$307,$AB38))),거래처별!$A$8:$A$307),0))))</f>
        <v/>
      </c>
      <c r="AD38" s="31">
        <f>IF(AND($Y38&lt;&gt;"",N($Z38)&gt;0,$AC38=0),MAX($AD$7:$AD37)+1,"")</f>
        <v/>
      </c>
      <c r="AE38" s="31">
        <f>IF($Y38="",0,$Y38)</f>
        <v/>
      </c>
    </row>
    <row r="39">
      <c r="W39" s="31">
        <f>IF(OR($B$5="",$C$6="",ROW()&lt;$B$5),"",IF(INDEX($A:$U,ROW(),$C$6)="","",INDEX($A:$U,ROW(),$C$6)))</f>
        <v/>
      </c>
      <c r="X39" s="32">
        <f>IF($W39="","",IF(ISNUMBER($W39),IF($W39&gt;=10000000,IFERROR(DATE(INT($W39/10000),MOD(INT($W39/100),100),MOD($W39,100)),""),INT($W39)),IFERROR(DATE(--LEFT(LEFT(SUBSTITUTE(SUBSTITUTE(SUBSTITUTE(SUBSTITUTE(TRIM($W39),"-",""),".",""),"/","")," ",""),8),4),--MID(LEFT(SUBSTITUTE(SUBSTITUTE(SUBSTITUTE(SUBSTITUTE(TRIM($W39),"-",""),".",""),"/","")," ",""),8),5,2),--MID(LEFT(SUBSTITUTE(SUBSTITUTE(SUBSTITUTE(SUBSTITUTE(TRIM($W39),"-",""),".",""),"/","")," ",""),8),7,2)),"")))</f>
        <v/>
      </c>
      <c r="Y39" s="32">
        <f>IF($X39="","",INT($X39))</f>
        <v/>
      </c>
      <c r="Z39" s="33">
        <f>IF(OR($Y39="",$D$6=""),"",IF(INDEX($A:$U,ROW(),$D$6)="",0,IF(ISNUMBER(INDEX($A:$U,ROW(),$D$6)),INDEX($A:$U,ROW(),$D$6),IFERROR(--SUBSTITUTE(SUBSTITUTE(TRIM(INDEX($A:$U,ROW(),$D$6)),",",""),"원",""),0))))</f>
        <v/>
      </c>
      <c r="AA39" s="31">
        <f>IF($Y39="","",TRIM(INDEX($A:$U,ROW(),$E$6)&amp;IF($F$6="",""," "&amp;INDEX($A:$U,ROW(),$F$6))))</f>
        <v/>
      </c>
      <c r="AB39" s="31">
        <f>IF($AA39="","",SUBSTITUTE(SUBSTITUTE(SUBSTITUTE(SUBSTITUTE(SUBSTITUTE(SUBSTITUTE(SUBSTITUTE(SUBSTITUTE(SUBSTITUTE($AA39," ",""),"　",""),"(주)",""),"（주）",""),"㈜",""),"주식회사",""),"(유)",""),"（유）",""),"유한회사",""))</f>
        <v/>
      </c>
      <c r="AC39" s="31">
        <f>IF(OR($Y39="",N($Z39)&lt;=0,$AB39=""),0,IFERROR(LOOKUP(2,1/((거래처별!$AC$8:$AC$307&lt;&gt;"")*ISNUMBER(SEARCH(거래처별!$AC$8:$AC$307,$AB39))),거래처별!$A$8:$A$307),IFERROR(LOOKUP(2,1/((거래처별!$AD$8:$AD$307&lt;&gt;"")*ISNUMBER(SEARCH(거래처별!$AD$8:$AD$307,$AB39))),거래처별!$A$8:$A$307),IFERROR(LOOKUP(2,1/((거래처별!$AE$8:$AE$307&lt;&gt;"")*ISNUMBER(SEARCH(거래처별!$AE$8:$AE$307,$AB39))),거래처별!$A$8:$A$307),0))))</f>
        <v/>
      </c>
      <c r="AD39" s="31">
        <f>IF(AND($Y39&lt;&gt;"",N($Z39)&gt;0,$AC39=0),MAX($AD$7:$AD38)+1,"")</f>
        <v/>
      </c>
      <c r="AE39" s="31">
        <f>IF($Y39="",0,$Y39)</f>
        <v/>
      </c>
    </row>
    <row r="40">
      <c r="W40" s="31">
        <f>IF(OR($B$5="",$C$6="",ROW()&lt;$B$5),"",IF(INDEX($A:$U,ROW(),$C$6)="","",INDEX($A:$U,ROW(),$C$6)))</f>
        <v/>
      </c>
      <c r="X40" s="32">
        <f>IF($W40="","",IF(ISNUMBER($W40),IF($W40&gt;=10000000,IFERROR(DATE(INT($W40/10000),MOD(INT($W40/100),100),MOD($W40,100)),""),INT($W40)),IFERROR(DATE(--LEFT(LEFT(SUBSTITUTE(SUBSTITUTE(SUBSTITUTE(SUBSTITUTE(TRIM($W40),"-",""),".",""),"/","")," ",""),8),4),--MID(LEFT(SUBSTITUTE(SUBSTITUTE(SUBSTITUTE(SUBSTITUTE(TRIM($W40),"-",""),".",""),"/","")," ",""),8),5,2),--MID(LEFT(SUBSTITUTE(SUBSTITUTE(SUBSTITUTE(SUBSTITUTE(TRIM($W40),"-",""),".",""),"/","")," ",""),8),7,2)),"")))</f>
        <v/>
      </c>
      <c r="Y40" s="32">
        <f>IF($X40="","",INT($X40))</f>
        <v/>
      </c>
      <c r="Z40" s="33">
        <f>IF(OR($Y40="",$D$6=""),"",IF(INDEX($A:$U,ROW(),$D$6)="",0,IF(ISNUMBER(INDEX($A:$U,ROW(),$D$6)),INDEX($A:$U,ROW(),$D$6),IFERROR(--SUBSTITUTE(SUBSTITUTE(TRIM(INDEX($A:$U,ROW(),$D$6)),",",""),"원",""),0))))</f>
        <v/>
      </c>
      <c r="AA40" s="31">
        <f>IF($Y40="","",TRIM(INDEX($A:$U,ROW(),$E$6)&amp;IF($F$6="",""," "&amp;INDEX($A:$U,ROW(),$F$6))))</f>
        <v/>
      </c>
      <c r="AB40" s="31">
        <f>IF($AA40="","",SUBSTITUTE(SUBSTITUTE(SUBSTITUTE(SUBSTITUTE(SUBSTITUTE(SUBSTITUTE(SUBSTITUTE(SUBSTITUTE(SUBSTITUTE($AA40," ",""),"　",""),"(주)",""),"（주）",""),"㈜",""),"주식회사",""),"(유)",""),"（유）",""),"유한회사",""))</f>
        <v/>
      </c>
      <c r="AC40" s="31">
        <f>IF(OR($Y40="",N($Z40)&lt;=0,$AB40=""),0,IFERROR(LOOKUP(2,1/((거래처별!$AC$8:$AC$307&lt;&gt;"")*ISNUMBER(SEARCH(거래처별!$AC$8:$AC$307,$AB40))),거래처별!$A$8:$A$307),IFERROR(LOOKUP(2,1/((거래처별!$AD$8:$AD$307&lt;&gt;"")*ISNUMBER(SEARCH(거래처별!$AD$8:$AD$307,$AB40))),거래처별!$A$8:$A$307),IFERROR(LOOKUP(2,1/((거래처별!$AE$8:$AE$307&lt;&gt;"")*ISNUMBER(SEARCH(거래처별!$AE$8:$AE$307,$AB40))),거래처별!$A$8:$A$307),0))))</f>
        <v/>
      </c>
      <c r="AD40" s="31">
        <f>IF(AND($Y40&lt;&gt;"",N($Z40)&gt;0,$AC40=0),MAX($AD$7:$AD39)+1,"")</f>
        <v/>
      </c>
      <c r="AE40" s="31">
        <f>IF($Y40="",0,$Y40)</f>
        <v/>
      </c>
    </row>
    <row r="41">
      <c r="W41" s="31">
        <f>IF(OR($B$5="",$C$6="",ROW()&lt;$B$5),"",IF(INDEX($A:$U,ROW(),$C$6)="","",INDEX($A:$U,ROW(),$C$6)))</f>
        <v/>
      </c>
      <c r="X41" s="32">
        <f>IF($W41="","",IF(ISNUMBER($W41),IF($W41&gt;=10000000,IFERROR(DATE(INT($W41/10000),MOD(INT($W41/100),100),MOD($W41,100)),""),INT($W41)),IFERROR(DATE(--LEFT(LEFT(SUBSTITUTE(SUBSTITUTE(SUBSTITUTE(SUBSTITUTE(TRIM($W41),"-",""),".",""),"/","")," ",""),8),4),--MID(LEFT(SUBSTITUTE(SUBSTITUTE(SUBSTITUTE(SUBSTITUTE(TRIM($W41),"-",""),".",""),"/","")," ",""),8),5,2),--MID(LEFT(SUBSTITUTE(SUBSTITUTE(SUBSTITUTE(SUBSTITUTE(TRIM($W41),"-",""),".",""),"/","")," ",""),8),7,2)),"")))</f>
        <v/>
      </c>
      <c r="Y41" s="32">
        <f>IF($X41="","",INT($X41))</f>
        <v/>
      </c>
      <c r="Z41" s="33">
        <f>IF(OR($Y41="",$D$6=""),"",IF(INDEX($A:$U,ROW(),$D$6)="",0,IF(ISNUMBER(INDEX($A:$U,ROW(),$D$6)),INDEX($A:$U,ROW(),$D$6),IFERROR(--SUBSTITUTE(SUBSTITUTE(TRIM(INDEX($A:$U,ROW(),$D$6)),",",""),"원",""),0))))</f>
        <v/>
      </c>
      <c r="AA41" s="31">
        <f>IF($Y41="","",TRIM(INDEX($A:$U,ROW(),$E$6)&amp;IF($F$6="",""," "&amp;INDEX($A:$U,ROW(),$F$6))))</f>
        <v/>
      </c>
      <c r="AB41" s="31">
        <f>IF($AA41="","",SUBSTITUTE(SUBSTITUTE(SUBSTITUTE(SUBSTITUTE(SUBSTITUTE(SUBSTITUTE(SUBSTITUTE(SUBSTITUTE(SUBSTITUTE($AA41," ",""),"　",""),"(주)",""),"（주）",""),"㈜",""),"주식회사",""),"(유)",""),"（유）",""),"유한회사",""))</f>
        <v/>
      </c>
      <c r="AC41" s="31">
        <f>IF(OR($Y41="",N($Z41)&lt;=0,$AB41=""),0,IFERROR(LOOKUP(2,1/((거래처별!$AC$8:$AC$307&lt;&gt;"")*ISNUMBER(SEARCH(거래처별!$AC$8:$AC$307,$AB41))),거래처별!$A$8:$A$307),IFERROR(LOOKUP(2,1/((거래처별!$AD$8:$AD$307&lt;&gt;"")*ISNUMBER(SEARCH(거래처별!$AD$8:$AD$307,$AB41))),거래처별!$A$8:$A$307),IFERROR(LOOKUP(2,1/((거래처별!$AE$8:$AE$307&lt;&gt;"")*ISNUMBER(SEARCH(거래처별!$AE$8:$AE$307,$AB41))),거래처별!$A$8:$A$307),0))))</f>
        <v/>
      </c>
      <c r="AD41" s="31">
        <f>IF(AND($Y41&lt;&gt;"",N($Z41)&gt;0,$AC41=0),MAX($AD$7:$AD40)+1,"")</f>
        <v/>
      </c>
      <c r="AE41" s="31">
        <f>IF($Y41="",0,$Y41)</f>
        <v/>
      </c>
    </row>
    <row r="42">
      <c r="W42" s="31">
        <f>IF(OR($B$5="",$C$6="",ROW()&lt;$B$5),"",IF(INDEX($A:$U,ROW(),$C$6)="","",INDEX($A:$U,ROW(),$C$6)))</f>
        <v/>
      </c>
      <c r="X42" s="32">
        <f>IF($W42="","",IF(ISNUMBER($W42),IF($W42&gt;=10000000,IFERROR(DATE(INT($W42/10000),MOD(INT($W42/100),100),MOD($W42,100)),""),INT($W42)),IFERROR(DATE(--LEFT(LEFT(SUBSTITUTE(SUBSTITUTE(SUBSTITUTE(SUBSTITUTE(TRIM($W42),"-",""),".",""),"/","")," ",""),8),4),--MID(LEFT(SUBSTITUTE(SUBSTITUTE(SUBSTITUTE(SUBSTITUTE(TRIM($W42),"-",""),".",""),"/","")," ",""),8),5,2),--MID(LEFT(SUBSTITUTE(SUBSTITUTE(SUBSTITUTE(SUBSTITUTE(TRIM($W42),"-",""),".",""),"/","")," ",""),8),7,2)),"")))</f>
        <v/>
      </c>
      <c r="Y42" s="32">
        <f>IF($X42="","",INT($X42))</f>
        <v/>
      </c>
      <c r="Z42" s="33">
        <f>IF(OR($Y42="",$D$6=""),"",IF(INDEX($A:$U,ROW(),$D$6)="",0,IF(ISNUMBER(INDEX($A:$U,ROW(),$D$6)),INDEX($A:$U,ROW(),$D$6),IFERROR(--SUBSTITUTE(SUBSTITUTE(TRIM(INDEX($A:$U,ROW(),$D$6)),",",""),"원",""),0))))</f>
        <v/>
      </c>
      <c r="AA42" s="31">
        <f>IF($Y42="","",TRIM(INDEX($A:$U,ROW(),$E$6)&amp;IF($F$6="",""," "&amp;INDEX($A:$U,ROW(),$F$6))))</f>
        <v/>
      </c>
      <c r="AB42" s="31">
        <f>IF($AA42="","",SUBSTITUTE(SUBSTITUTE(SUBSTITUTE(SUBSTITUTE(SUBSTITUTE(SUBSTITUTE(SUBSTITUTE(SUBSTITUTE(SUBSTITUTE($AA42," ",""),"　",""),"(주)",""),"（주）",""),"㈜",""),"주식회사",""),"(유)",""),"（유）",""),"유한회사",""))</f>
        <v/>
      </c>
      <c r="AC42" s="31">
        <f>IF(OR($Y42="",N($Z42)&lt;=0,$AB42=""),0,IFERROR(LOOKUP(2,1/((거래처별!$AC$8:$AC$307&lt;&gt;"")*ISNUMBER(SEARCH(거래처별!$AC$8:$AC$307,$AB42))),거래처별!$A$8:$A$307),IFERROR(LOOKUP(2,1/((거래처별!$AD$8:$AD$307&lt;&gt;"")*ISNUMBER(SEARCH(거래처별!$AD$8:$AD$307,$AB42))),거래처별!$A$8:$A$307),IFERROR(LOOKUP(2,1/((거래처별!$AE$8:$AE$307&lt;&gt;"")*ISNUMBER(SEARCH(거래처별!$AE$8:$AE$307,$AB42))),거래처별!$A$8:$A$307),0))))</f>
        <v/>
      </c>
      <c r="AD42" s="31">
        <f>IF(AND($Y42&lt;&gt;"",N($Z42)&gt;0,$AC42=0),MAX($AD$7:$AD41)+1,"")</f>
        <v/>
      </c>
      <c r="AE42" s="31">
        <f>IF($Y42="",0,$Y42)</f>
        <v/>
      </c>
    </row>
    <row r="43">
      <c r="W43" s="31">
        <f>IF(OR($B$5="",$C$6="",ROW()&lt;$B$5),"",IF(INDEX($A:$U,ROW(),$C$6)="","",INDEX($A:$U,ROW(),$C$6)))</f>
        <v/>
      </c>
      <c r="X43" s="32">
        <f>IF($W43="","",IF(ISNUMBER($W43),IF($W43&gt;=10000000,IFERROR(DATE(INT($W43/10000),MOD(INT($W43/100),100),MOD($W43,100)),""),INT($W43)),IFERROR(DATE(--LEFT(LEFT(SUBSTITUTE(SUBSTITUTE(SUBSTITUTE(SUBSTITUTE(TRIM($W43),"-",""),".",""),"/","")," ",""),8),4),--MID(LEFT(SUBSTITUTE(SUBSTITUTE(SUBSTITUTE(SUBSTITUTE(TRIM($W43),"-",""),".",""),"/","")," ",""),8),5,2),--MID(LEFT(SUBSTITUTE(SUBSTITUTE(SUBSTITUTE(SUBSTITUTE(TRIM($W43),"-",""),".",""),"/","")," ",""),8),7,2)),"")))</f>
        <v/>
      </c>
      <c r="Y43" s="32">
        <f>IF($X43="","",INT($X43))</f>
        <v/>
      </c>
      <c r="Z43" s="33">
        <f>IF(OR($Y43="",$D$6=""),"",IF(INDEX($A:$U,ROW(),$D$6)="",0,IF(ISNUMBER(INDEX($A:$U,ROW(),$D$6)),INDEX($A:$U,ROW(),$D$6),IFERROR(--SUBSTITUTE(SUBSTITUTE(TRIM(INDEX($A:$U,ROW(),$D$6)),",",""),"원",""),0))))</f>
        <v/>
      </c>
      <c r="AA43" s="31">
        <f>IF($Y43="","",TRIM(INDEX($A:$U,ROW(),$E$6)&amp;IF($F$6="",""," "&amp;INDEX($A:$U,ROW(),$F$6))))</f>
        <v/>
      </c>
      <c r="AB43" s="31">
        <f>IF($AA43="","",SUBSTITUTE(SUBSTITUTE(SUBSTITUTE(SUBSTITUTE(SUBSTITUTE(SUBSTITUTE(SUBSTITUTE(SUBSTITUTE(SUBSTITUTE($AA43," ",""),"　",""),"(주)",""),"（주）",""),"㈜",""),"주식회사",""),"(유)",""),"（유）",""),"유한회사",""))</f>
        <v/>
      </c>
      <c r="AC43" s="31">
        <f>IF(OR($Y43="",N($Z43)&lt;=0,$AB43=""),0,IFERROR(LOOKUP(2,1/((거래처별!$AC$8:$AC$307&lt;&gt;"")*ISNUMBER(SEARCH(거래처별!$AC$8:$AC$307,$AB43))),거래처별!$A$8:$A$307),IFERROR(LOOKUP(2,1/((거래처별!$AD$8:$AD$307&lt;&gt;"")*ISNUMBER(SEARCH(거래처별!$AD$8:$AD$307,$AB43))),거래처별!$A$8:$A$307),IFERROR(LOOKUP(2,1/((거래처별!$AE$8:$AE$307&lt;&gt;"")*ISNUMBER(SEARCH(거래처별!$AE$8:$AE$307,$AB43))),거래처별!$A$8:$A$307),0))))</f>
        <v/>
      </c>
      <c r="AD43" s="31">
        <f>IF(AND($Y43&lt;&gt;"",N($Z43)&gt;0,$AC43=0),MAX($AD$7:$AD42)+1,"")</f>
        <v/>
      </c>
      <c r="AE43" s="31">
        <f>IF($Y43="",0,$Y43)</f>
        <v/>
      </c>
    </row>
    <row r="44">
      <c r="W44" s="31">
        <f>IF(OR($B$5="",$C$6="",ROW()&lt;$B$5),"",IF(INDEX($A:$U,ROW(),$C$6)="","",INDEX($A:$U,ROW(),$C$6)))</f>
        <v/>
      </c>
      <c r="X44" s="32">
        <f>IF($W44="","",IF(ISNUMBER($W44),IF($W44&gt;=10000000,IFERROR(DATE(INT($W44/10000),MOD(INT($W44/100),100),MOD($W44,100)),""),INT($W44)),IFERROR(DATE(--LEFT(LEFT(SUBSTITUTE(SUBSTITUTE(SUBSTITUTE(SUBSTITUTE(TRIM($W44),"-",""),".",""),"/","")," ",""),8),4),--MID(LEFT(SUBSTITUTE(SUBSTITUTE(SUBSTITUTE(SUBSTITUTE(TRIM($W44),"-",""),".",""),"/","")," ",""),8),5,2),--MID(LEFT(SUBSTITUTE(SUBSTITUTE(SUBSTITUTE(SUBSTITUTE(TRIM($W44),"-",""),".",""),"/","")," ",""),8),7,2)),"")))</f>
        <v/>
      </c>
      <c r="Y44" s="32">
        <f>IF($X44="","",INT($X44))</f>
        <v/>
      </c>
      <c r="Z44" s="33">
        <f>IF(OR($Y44="",$D$6=""),"",IF(INDEX($A:$U,ROW(),$D$6)="",0,IF(ISNUMBER(INDEX($A:$U,ROW(),$D$6)),INDEX($A:$U,ROW(),$D$6),IFERROR(--SUBSTITUTE(SUBSTITUTE(TRIM(INDEX($A:$U,ROW(),$D$6)),",",""),"원",""),0))))</f>
        <v/>
      </c>
      <c r="AA44" s="31">
        <f>IF($Y44="","",TRIM(INDEX($A:$U,ROW(),$E$6)&amp;IF($F$6="",""," "&amp;INDEX($A:$U,ROW(),$F$6))))</f>
        <v/>
      </c>
      <c r="AB44" s="31">
        <f>IF($AA44="","",SUBSTITUTE(SUBSTITUTE(SUBSTITUTE(SUBSTITUTE(SUBSTITUTE(SUBSTITUTE(SUBSTITUTE(SUBSTITUTE(SUBSTITUTE($AA44," ",""),"　",""),"(주)",""),"（주）",""),"㈜",""),"주식회사",""),"(유)",""),"（유）",""),"유한회사",""))</f>
        <v/>
      </c>
      <c r="AC44" s="31">
        <f>IF(OR($Y44="",N($Z44)&lt;=0,$AB44=""),0,IFERROR(LOOKUP(2,1/((거래처별!$AC$8:$AC$307&lt;&gt;"")*ISNUMBER(SEARCH(거래처별!$AC$8:$AC$307,$AB44))),거래처별!$A$8:$A$307),IFERROR(LOOKUP(2,1/((거래처별!$AD$8:$AD$307&lt;&gt;"")*ISNUMBER(SEARCH(거래처별!$AD$8:$AD$307,$AB44))),거래처별!$A$8:$A$307),IFERROR(LOOKUP(2,1/((거래처별!$AE$8:$AE$307&lt;&gt;"")*ISNUMBER(SEARCH(거래처별!$AE$8:$AE$307,$AB44))),거래처별!$A$8:$A$307),0))))</f>
        <v/>
      </c>
      <c r="AD44" s="31">
        <f>IF(AND($Y44&lt;&gt;"",N($Z44)&gt;0,$AC44=0),MAX($AD$7:$AD43)+1,"")</f>
        <v/>
      </c>
      <c r="AE44" s="31">
        <f>IF($Y44="",0,$Y44)</f>
        <v/>
      </c>
    </row>
    <row r="45">
      <c r="W45" s="31">
        <f>IF(OR($B$5="",$C$6="",ROW()&lt;$B$5),"",IF(INDEX($A:$U,ROW(),$C$6)="","",INDEX($A:$U,ROW(),$C$6)))</f>
        <v/>
      </c>
      <c r="X45" s="32">
        <f>IF($W45="","",IF(ISNUMBER($W45),IF($W45&gt;=10000000,IFERROR(DATE(INT($W45/10000),MOD(INT($W45/100),100),MOD($W45,100)),""),INT($W45)),IFERROR(DATE(--LEFT(LEFT(SUBSTITUTE(SUBSTITUTE(SUBSTITUTE(SUBSTITUTE(TRIM($W45),"-",""),".",""),"/","")," ",""),8),4),--MID(LEFT(SUBSTITUTE(SUBSTITUTE(SUBSTITUTE(SUBSTITUTE(TRIM($W45),"-",""),".",""),"/","")," ",""),8),5,2),--MID(LEFT(SUBSTITUTE(SUBSTITUTE(SUBSTITUTE(SUBSTITUTE(TRIM($W45),"-",""),".",""),"/","")," ",""),8),7,2)),"")))</f>
        <v/>
      </c>
      <c r="Y45" s="32">
        <f>IF($X45="","",INT($X45))</f>
        <v/>
      </c>
      <c r="Z45" s="33">
        <f>IF(OR($Y45="",$D$6=""),"",IF(INDEX($A:$U,ROW(),$D$6)="",0,IF(ISNUMBER(INDEX($A:$U,ROW(),$D$6)),INDEX($A:$U,ROW(),$D$6),IFERROR(--SUBSTITUTE(SUBSTITUTE(TRIM(INDEX($A:$U,ROW(),$D$6)),",",""),"원",""),0))))</f>
        <v/>
      </c>
      <c r="AA45" s="31">
        <f>IF($Y45="","",TRIM(INDEX($A:$U,ROW(),$E$6)&amp;IF($F$6="",""," "&amp;INDEX($A:$U,ROW(),$F$6))))</f>
        <v/>
      </c>
      <c r="AB45" s="31">
        <f>IF($AA45="","",SUBSTITUTE(SUBSTITUTE(SUBSTITUTE(SUBSTITUTE(SUBSTITUTE(SUBSTITUTE(SUBSTITUTE(SUBSTITUTE(SUBSTITUTE($AA45," ",""),"　",""),"(주)",""),"（주）",""),"㈜",""),"주식회사",""),"(유)",""),"（유）",""),"유한회사",""))</f>
        <v/>
      </c>
      <c r="AC45" s="31">
        <f>IF(OR($Y45="",N($Z45)&lt;=0,$AB45=""),0,IFERROR(LOOKUP(2,1/((거래처별!$AC$8:$AC$307&lt;&gt;"")*ISNUMBER(SEARCH(거래처별!$AC$8:$AC$307,$AB45))),거래처별!$A$8:$A$307),IFERROR(LOOKUP(2,1/((거래처별!$AD$8:$AD$307&lt;&gt;"")*ISNUMBER(SEARCH(거래처별!$AD$8:$AD$307,$AB45))),거래처별!$A$8:$A$307),IFERROR(LOOKUP(2,1/((거래처별!$AE$8:$AE$307&lt;&gt;"")*ISNUMBER(SEARCH(거래처별!$AE$8:$AE$307,$AB45))),거래처별!$A$8:$A$307),0))))</f>
        <v/>
      </c>
      <c r="AD45" s="31">
        <f>IF(AND($Y45&lt;&gt;"",N($Z45)&gt;0,$AC45=0),MAX($AD$7:$AD44)+1,"")</f>
        <v/>
      </c>
      <c r="AE45" s="31">
        <f>IF($Y45="",0,$Y45)</f>
        <v/>
      </c>
    </row>
    <row r="46">
      <c r="W46" s="31">
        <f>IF(OR($B$5="",$C$6="",ROW()&lt;$B$5),"",IF(INDEX($A:$U,ROW(),$C$6)="","",INDEX($A:$U,ROW(),$C$6)))</f>
        <v/>
      </c>
      <c r="X46" s="32">
        <f>IF($W46="","",IF(ISNUMBER($W46),IF($W46&gt;=10000000,IFERROR(DATE(INT($W46/10000),MOD(INT($W46/100),100),MOD($W46,100)),""),INT($W46)),IFERROR(DATE(--LEFT(LEFT(SUBSTITUTE(SUBSTITUTE(SUBSTITUTE(SUBSTITUTE(TRIM($W46),"-",""),".",""),"/","")," ",""),8),4),--MID(LEFT(SUBSTITUTE(SUBSTITUTE(SUBSTITUTE(SUBSTITUTE(TRIM($W46),"-",""),".",""),"/","")," ",""),8),5,2),--MID(LEFT(SUBSTITUTE(SUBSTITUTE(SUBSTITUTE(SUBSTITUTE(TRIM($W46),"-",""),".",""),"/","")," ",""),8),7,2)),"")))</f>
        <v/>
      </c>
      <c r="Y46" s="32">
        <f>IF($X46="","",INT($X46))</f>
        <v/>
      </c>
      <c r="Z46" s="33">
        <f>IF(OR($Y46="",$D$6=""),"",IF(INDEX($A:$U,ROW(),$D$6)="",0,IF(ISNUMBER(INDEX($A:$U,ROW(),$D$6)),INDEX($A:$U,ROW(),$D$6),IFERROR(--SUBSTITUTE(SUBSTITUTE(TRIM(INDEX($A:$U,ROW(),$D$6)),",",""),"원",""),0))))</f>
        <v/>
      </c>
      <c r="AA46" s="31">
        <f>IF($Y46="","",TRIM(INDEX($A:$U,ROW(),$E$6)&amp;IF($F$6="",""," "&amp;INDEX($A:$U,ROW(),$F$6))))</f>
        <v/>
      </c>
      <c r="AB46" s="31">
        <f>IF($AA46="","",SUBSTITUTE(SUBSTITUTE(SUBSTITUTE(SUBSTITUTE(SUBSTITUTE(SUBSTITUTE(SUBSTITUTE(SUBSTITUTE(SUBSTITUTE($AA46," ",""),"　",""),"(주)",""),"（주）",""),"㈜",""),"주식회사",""),"(유)",""),"（유）",""),"유한회사",""))</f>
        <v/>
      </c>
      <c r="AC46" s="31">
        <f>IF(OR($Y46="",N($Z46)&lt;=0,$AB46=""),0,IFERROR(LOOKUP(2,1/((거래처별!$AC$8:$AC$307&lt;&gt;"")*ISNUMBER(SEARCH(거래처별!$AC$8:$AC$307,$AB46))),거래처별!$A$8:$A$307),IFERROR(LOOKUP(2,1/((거래처별!$AD$8:$AD$307&lt;&gt;"")*ISNUMBER(SEARCH(거래처별!$AD$8:$AD$307,$AB46))),거래처별!$A$8:$A$307),IFERROR(LOOKUP(2,1/((거래처별!$AE$8:$AE$307&lt;&gt;"")*ISNUMBER(SEARCH(거래처별!$AE$8:$AE$307,$AB46))),거래처별!$A$8:$A$307),0))))</f>
        <v/>
      </c>
      <c r="AD46" s="31">
        <f>IF(AND($Y46&lt;&gt;"",N($Z46)&gt;0,$AC46=0),MAX($AD$7:$AD45)+1,"")</f>
        <v/>
      </c>
      <c r="AE46" s="31">
        <f>IF($Y46="",0,$Y46)</f>
        <v/>
      </c>
    </row>
    <row r="47">
      <c r="W47" s="31">
        <f>IF(OR($B$5="",$C$6="",ROW()&lt;$B$5),"",IF(INDEX($A:$U,ROW(),$C$6)="","",INDEX($A:$U,ROW(),$C$6)))</f>
        <v/>
      </c>
      <c r="X47" s="32">
        <f>IF($W47="","",IF(ISNUMBER($W47),IF($W47&gt;=10000000,IFERROR(DATE(INT($W47/10000),MOD(INT($W47/100),100),MOD($W47,100)),""),INT($W47)),IFERROR(DATE(--LEFT(LEFT(SUBSTITUTE(SUBSTITUTE(SUBSTITUTE(SUBSTITUTE(TRIM($W47),"-",""),".",""),"/","")," ",""),8),4),--MID(LEFT(SUBSTITUTE(SUBSTITUTE(SUBSTITUTE(SUBSTITUTE(TRIM($W47),"-",""),".",""),"/","")," ",""),8),5,2),--MID(LEFT(SUBSTITUTE(SUBSTITUTE(SUBSTITUTE(SUBSTITUTE(TRIM($W47),"-",""),".",""),"/","")," ",""),8),7,2)),"")))</f>
        <v/>
      </c>
      <c r="Y47" s="32">
        <f>IF($X47="","",INT($X47))</f>
        <v/>
      </c>
      <c r="Z47" s="33">
        <f>IF(OR($Y47="",$D$6=""),"",IF(INDEX($A:$U,ROW(),$D$6)="",0,IF(ISNUMBER(INDEX($A:$U,ROW(),$D$6)),INDEX($A:$U,ROW(),$D$6),IFERROR(--SUBSTITUTE(SUBSTITUTE(TRIM(INDEX($A:$U,ROW(),$D$6)),",",""),"원",""),0))))</f>
        <v/>
      </c>
      <c r="AA47" s="31">
        <f>IF($Y47="","",TRIM(INDEX($A:$U,ROW(),$E$6)&amp;IF($F$6="",""," "&amp;INDEX($A:$U,ROW(),$F$6))))</f>
        <v/>
      </c>
      <c r="AB47" s="31">
        <f>IF($AA47="","",SUBSTITUTE(SUBSTITUTE(SUBSTITUTE(SUBSTITUTE(SUBSTITUTE(SUBSTITUTE(SUBSTITUTE(SUBSTITUTE(SUBSTITUTE($AA47," ",""),"　",""),"(주)",""),"（주）",""),"㈜",""),"주식회사",""),"(유)",""),"（유）",""),"유한회사",""))</f>
        <v/>
      </c>
      <c r="AC47" s="31">
        <f>IF(OR($Y47="",N($Z47)&lt;=0,$AB47=""),0,IFERROR(LOOKUP(2,1/((거래처별!$AC$8:$AC$307&lt;&gt;"")*ISNUMBER(SEARCH(거래처별!$AC$8:$AC$307,$AB47))),거래처별!$A$8:$A$307),IFERROR(LOOKUP(2,1/((거래처별!$AD$8:$AD$307&lt;&gt;"")*ISNUMBER(SEARCH(거래처별!$AD$8:$AD$307,$AB47))),거래처별!$A$8:$A$307),IFERROR(LOOKUP(2,1/((거래처별!$AE$8:$AE$307&lt;&gt;"")*ISNUMBER(SEARCH(거래처별!$AE$8:$AE$307,$AB47))),거래처별!$A$8:$A$307),0))))</f>
        <v/>
      </c>
      <c r="AD47" s="31">
        <f>IF(AND($Y47&lt;&gt;"",N($Z47)&gt;0,$AC47=0),MAX($AD$7:$AD46)+1,"")</f>
        <v/>
      </c>
      <c r="AE47" s="31">
        <f>IF($Y47="",0,$Y47)</f>
        <v/>
      </c>
    </row>
    <row r="48">
      <c r="W48" s="31">
        <f>IF(OR($B$5="",$C$6="",ROW()&lt;$B$5),"",IF(INDEX($A:$U,ROW(),$C$6)="","",INDEX($A:$U,ROW(),$C$6)))</f>
        <v/>
      </c>
      <c r="X48" s="32">
        <f>IF($W48="","",IF(ISNUMBER($W48),IF($W48&gt;=10000000,IFERROR(DATE(INT($W48/10000),MOD(INT($W48/100),100),MOD($W48,100)),""),INT($W48)),IFERROR(DATE(--LEFT(LEFT(SUBSTITUTE(SUBSTITUTE(SUBSTITUTE(SUBSTITUTE(TRIM($W48),"-",""),".",""),"/","")," ",""),8),4),--MID(LEFT(SUBSTITUTE(SUBSTITUTE(SUBSTITUTE(SUBSTITUTE(TRIM($W48),"-",""),".",""),"/","")," ",""),8),5,2),--MID(LEFT(SUBSTITUTE(SUBSTITUTE(SUBSTITUTE(SUBSTITUTE(TRIM($W48),"-",""),".",""),"/","")," ",""),8),7,2)),"")))</f>
        <v/>
      </c>
      <c r="Y48" s="32">
        <f>IF($X48="","",INT($X48))</f>
        <v/>
      </c>
      <c r="Z48" s="33">
        <f>IF(OR($Y48="",$D$6=""),"",IF(INDEX($A:$U,ROW(),$D$6)="",0,IF(ISNUMBER(INDEX($A:$U,ROW(),$D$6)),INDEX($A:$U,ROW(),$D$6),IFERROR(--SUBSTITUTE(SUBSTITUTE(TRIM(INDEX($A:$U,ROW(),$D$6)),",",""),"원",""),0))))</f>
        <v/>
      </c>
      <c r="AA48" s="31">
        <f>IF($Y48="","",TRIM(INDEX($A:$U,ROW(),$E$6)&amp;IF($F$6="",""," "&amp;INDEX($A:$U,ROW(),$F$6))))</f>
        <v/>
      </c>
      <c r="AB48" s="31">
        <f>IF($AA48="","",SUBSTITUTE(SUBSTITUTE(SUBSTITUTE(SUBSTITUTE(SUBSTITUTE(SUBSTITUTE(SUBSTITUTE(SUBSTITUTE(SUBSTITUTE($AA48," ",""),"　",""),"(주)",""),"（주）",""),"㈜",""),"주식회사",""),"(유)",""),"（유）",""),"유한회사",""))</f>
        <v/>
      </c>
      <c r="AC48" s="31">
        <f>IF(OR($Y48="",N($Z48)&lt;=0,$AB48=""),0,IFERROR(LOOKUP(2,1/((거래처별!$AC$8:$AC$307&lt;&gt;"")*ISNUMBER(SEARCH(거래처별!$AC$8:$AC$307,$AB48))),거래처별!$A$8:$A$307),IFERROR(LOOKUP(2,1/((거래처별!$AD$8:$AD$307&lt;&gt;"")*ISNUMBER(SEARCH(거래처별!$AD$8:$AD$307,$AB48))),거래처별!$A$8:$A$307),IFERROR(LOOKUP(2,1/((거래처별!$AE$8:$AE$307&lt;&gt;"")*ISNUMBER(SEARCH(거래처별!$AE$8:$AE$307,$AB48))),거래처별!$A$8:$A$307),0))))</f>
        <v/>
      </c>
      <c r="AD48" s="31">
        <f>IF(AND($Y48&lt;&gt;"",N($Z48)&gt;0,$AC48=0),MAX($AD$7:$AD47)+1,"")</f>
        <v/>
      </c>
      <c r="AE48" s="31">
        <f>IF($Y48="",0,$Y48)</f>
        <v/>
      </c>
    </row>
    <row r="49">
      <c r="W49" s="31">
        <f>IF(OR($B$5="",$C$6="",ROW()&lt;$B$5),"",IF(INDEX($A:$U,ROW(),$C$6)="","",INDEX($A:$U,ROW(),$C$6)))</f>
        <v/>
      </c>
      <c r="X49" s="32">
        <f>IF($W49="","",IF(ISNUMBER($W49),IF($W49&gt;=10000000,IFERROR(DATE(INT($W49/10000),MOD(INT($W49/100),100),MOD($W49,100)),""),INT($W49)),IFERROR(DATE(--LEFT(LEFT(SUBSTITUTE(SUBSTITUTE(SUBSTITUTE(SUBSTITUTE(TRIM($W49),"-",""),".",""),"/","")," ",""),8),4),--MID(LEFT(SUBSTITUTE(SUBSTITUTE(SUBSTITUTE(SUBSTITUTE(TRIM($W49),"-",""),".",""),"/","")," ",""),8),5,2),--MID(LEFT(SUBSTITUTE(SUBSTITUTE(SUBSTITUTE(SUBSTITUTE(TRIM($W49),"-",""),".",""),"/","")," ",""),8),7,2)),"")))</f>
        <v/>
      </c>
      <c r="Y49" s="32">
        <f>IF($X49="","",INT($X49))</f>
        <v/>
      </c>
      <c r="Z49" s="33">
        <f>IF(OR($Y49="",$D$6=""),"",IF(INDEX($A:$U,ROW(),$D$6)="",0,IF(ISNUMBER(INDEX($A:$U,ROW(),$D$6)),INDEX($A:$U,ROW(),$D$6),IFERROR(--SUBSTITUTE(SUBSTITUTE(TRIM(INDEX($A:$U,ROW(),$D$6)),",",""),"원",""),0))))</f>
        <v/>
      </c>
      <c r="AA49" s="31">
        <f>IF($Y49="","",TRIM(INDEX($A:$U,ROW(),$E$6)&amp;IF($F$6="",""," "&amp;INDEX($A:$U,ROW(),$F$6))))</f>
        <v/>
      </c>
      <c r="AB49" s="31">
        <f>IF($AA49="","",SUBSTITUTE(SUBSTITUTE(SUBSTITUTE(SUBSTITUTE(SUBSTITUTE(SUBSTITUTE(SUBSTITUTE(SUBSTITUTE(SUBSTITUTE($AA49," ",""),"　",""),"(주)",""),"（주）",""),"㈜",""),"주식회사",""),"(유)",""),"（유）",""),"유한회사",""))</f>
        <v/>
      </c>
      <c r="AC49" s="31">
        <f>IF(OR($Y49="",N($Z49)&lt;=0,$AB49=""),0,IFERROR(LOOKUP(2,1/((거래처별!$AC$8:$AC$307&lt;&gt;"")*ISNUMBER(SEARCH(거래처별!$AC$8:$AC$307,$AB49))),거래처별!$A$8:$A$307),IFERROR(LOOKUP(2,1/((거래처별!$AD$8:$AD$307&lt;&gt;"")*ISNUMBER(SEARCH(거래처별!$AD$8:$AD$307,$AB49))),거래처별!$A$8:$A$307),IFERROR(LOOKUP(2,1/((거래처별!$AE$8:$AE$307&lt;&gt;"")*ISNUMBER(SEARCH(거래처별!$AE$8:$AE$307,$AB49))),거래처별!$A$8:$A$307),0))))</f>
        <v/>
      </c>
      <c r="AD49" s="31">
        <f>IF(AND($Y49&lt;&gt;"",N($Z49)&gt;0,$AC49=0),MAX($AD$7:$AD48)+1,"")</f>
        <v/>
      </c>
      <c r="AE49" s="31">
        <f>IF($Y49="",0,$Y49)</f>
        <v/>
      </c>
    </row>
    <row r="50">
      <c r="W50" s="31">
        <f>IF(OR($B$5="",$C$6="",ROW()&lt;$B$5),"",IF(INDEX($A:$U,ROW(),$C$6)="","",INDEX($A:$U,ROW(),$C$6)))</f>
        <v/>
      </c>
      <c r="X50" s="32">
        <f>IF($W50="","",IF(ISNUMBER($W50),IF($W50&gt;=10000000,IFERROR(DATE(INT($W50/10000),MOD(INT($W50/100),100),MOD($W50,100)),""),INT($W50)),IFERROR(DATE(--LEFT(LEFT(SUBSTITUTE(SUBSTITUTE(SUBSTITUTE(SUBSTITUTE(TRIM($W50),"-",""),".",""),"/","")," ",""),8),4),--MID(LEFT(SUBSTITUTE(SUBSTITUTE(SUBSTITUTE(SUBSTITUTE(TRIM($W50),"-",""),".",""),"/","")," ",""),8),5,2),--MID(LEFT(SUBSTITUTE(SUBSTITUTE(SUBSTITUTE(SUBSTITUTE(TRIM($W50),"-",""),".",""),"/","")," ",""),8),7,2)),"")))</f>
        <v/>
      </c>
      <c r="Y50" s="32">
        <f>IF($X50="","",INT($X50))</f>
        <v/>
      </c>
      <c r="Z50" s="33">
        <f>IF(OR($Y50="",$D$6=""),"",IF(INDEX($A:$U,ROW(),$D$6)="",0,IF(ISNUMBER(INDEX($A:$U,ROW(),$D$6)),INDEX($A:$U,ROW(),$D$6),IFERROR(--SUBSTITUTE(SUBSTITUTE(TRIM(INDEX($A:$U,ROW(),$D$6)),",",""),"원",""),0))))</f>
        <v/>
      </c>
      <c r="AA50" s="31">
        <f>IF($Y50="","",TRIM(INDEX($A:$U,ROW(),$E$6)&amp;IF($F$6="",""," "&amp;INDEX($A:$U,ROW(),$F$6))))</f>
        <v/>
      </c>
      <c r="AB50" s="31">
        <f>IF($AA50="","",SUBSTITUTE(SUBSTITUTE(SUBSTITUTE(SUBSTITUTE(SUBSTITUTE(SUBSTITUTE(SUBSTITUTE(SUBSTITUTE(SUBSTITUTE($AA50," ",""),"　",""),"(주)",""),"（주）",""),"㈜",""),"주식회사",""),"(유)",""),"（유）",""),"유한회사",""))</f>
        <v/>
      </c>
      <c r="AC50" s="31">
        <f>IF(OR($Y50="",N($Z50)&lt;=0,$AB50=""),0,IFERROR(LOOKUP(2,1/((거래처별!$AC$8:$AC$307&lt;&gt;"")*ISNUMBER(SEARCH(거래처별!$AC$8:$AC$307,$AB50))),거래처별!$A$8:$A$307),IFERROR(LOOKUP(2,1/((거래처별!$AD$8:$AD$307&lt;&gt;"")*ISNUMBER(SEARCH(거래처별!$AD$8:$AD$307,$AB50))),거래처별!$A$8:$A$307),IFERROR(LOOKUP(2,1/((거래처별!$AE$8:$AE$307&lt;&gt;"")*ISNUMBER(SEARCH(거래처별!$AE$8:$AE$307,$AB50))),거래처별!$A$8:$A$307),0))))</f>
        <v/>
      </c>
      <c r="AD50" s="31">
        <f>IF(AND($Y50&lt;&gt;"",N($Z50)&gt;0,$AC50=0),MAX($AD$7:$AD49)+1,"")</f>
        <v/>
      </c>
      <c r="AE50" s="31">
        <f>IF($Y50="",0,$Y50)</f>
        <v/>
      </c>
    </row>
    <row r="51">
      <c r="W51" s="31">
        <f>IF(OR($B$5="",$C$6="",ROW()&lt;$B$5),"",IF(INDEX($A:$U,ROW(),$C$6)="","",INDEX($A:$U,ROW(),$C$6)))</f>
        <v/>
      </c>
      <c r="X51" s="32">
        <f>IF($W51="","",IF(ISNUMBER($W51),IF($W51&gt;=10000000,IFERROR(DATE(INT($W51/10000),MOD(INT($W51/100),100),MOD($W51,100)),""),INT($W51)),IFERROR(DATE(--LEFT(LEFT(SUBSTITUTE(SUBSTITUTE(SUBSTITUTE(SUBSTITUTE(TRIM($W51),"-",""),".",""),"/","")," ",""),8),4),--MID(LEFT(SUBSTITUTE(SUBSTITUTE(SUBSTITUTE(SUBSTITUTE(TRIM($W51),"-",""),".",""),"/","")," ",""),8),5,2),--MID(LEFT(SUBSTITUTE(SUBSTITUTE(SUBSTITUTE(SUBSTITUTE(TRIM($W51),"-",""),".",""),"/","")," ",""),8),7,2)),"")))</f>
        <v/>
      </c>
      <c r="Y51" s="32">
        <f>IF($X51="","",INT($X51))</f>
        <v/>
      </c>
      <c r="Z51" s="33">
        <f>IF(OR($Y51="",$D$6=""),"",IF(INDEX($A:$U,ROW(),$D$6)="",0,IF(ISNUMBER(INDEX($A:$U,ROW(),$D$6)),INDEX($A:$U,ROW(),$D$6),IFERROR(--SUBSTITUTE(SUBSTITUTE(TRIM(INDEX($A:$U,ROW(),$D$6)),",",""),"원",""),0))))</f>
        <v/>
      </c>
      <c r="AA51" s="31">
        <f>IF($Y51="","",TRIM(INDEX($A:$U,ROW(),$E$6)&amp;IF($F$6="",""," "&amp;INDEX($A:$U,ROW(),$F$6))))</f>
        <v/>
      </c>
      <c r="AB51" s="31">
        <f>IF($AA51="","",SUBSTITUTE(SUBSTITUTE(SUBSTITUTE(SUBSTITUTE(SUBSTITUTE(SUBSTITUTE(SUBSTITUTE(SUBSTITUTE(SUBSTITUTE($AA51," ",""),"　",""),"(주)",""),"（주）",""),"㈜",""),"주식회사",""),"(유)",""),"（유）",""),"유한회사",""))</f>
        <v/>
      </c>
      <c r="AC51" s="31">
        <f>IF(OR($Y51="",N($Z51)&lt;=0,$AB51=""),0,IFERROR(LOOKUP(2,1/((거래처별!$AC$8:$AC$307&lt;&gt;"")*ISNUMBER(SEARCH(거래처별!$AC$8:$AC$307,$AB51))),거래처별!$A$8:$A$307),IFERROR(LOOKUP(2,1/((거래처별!$AD$8:$AD$307&lt;&gt;"")*ISNUMBER(SEARCH(거래처별!$AD$8:$AD$307,$AB51))),거래처별!$A$8:$A$307),IFERROR(LOOKUP(2,1/((거래처별!$AE$8:$AE$307&lt;&gt;"")*ISNUMBER(SEARCH(거래처별!$AE$8:$AE$307,$AB51))),거래처별!$A$8:$A$307),0))))</f>
        <v/>
      </c>
      <c r="AD51" s="31">
        <f>IF(AND($Y51&lt;&gt;"",N($Z51)&gt;0,$AC51=0),MAX($AD$7:$AD50)+1,"")</f>
        <v/>
      </c>
      <c r="AE51" s="31">
        <f>IF($Y51="",0,$Y51)</f>
        <v/>
      </c>
    </row>
    <row r="52">
      <c r="W52" s="31">
        <f>IF(OR($B$5="",$C$6="",ROW()&lt;$B$5),"",IF(INDEX($A:$U,ROW(),$C$6)="","",INDEX($A:$U,ROW(),$C$6)))</f>
        <v/>
      </c>
      <c r="X52" s="32">
        <f>IF($W52="","",IF(ISNUMBER($W52),IF($W52&gt;=10000000,IFERROR(DATE(INT($W52/10000),MOD(INT($W52/100),100),MOD($W52,100)),""),INT($W52)),IFERROR(DATE(--LEFT(LEFT(SUBSTITUTE(SUBSTITUTE(SUBSTITUTE(SUBSTITUTE(TRIM($W52),"-",""),".",""),"/","")," ",""),8),4),--MID(LEFT(SUBSTITUTE(SUBSTITUTE(SUBSTITUTE(SUBSTITUTE(TRIM($W52),"-",""),".",""),"/","")," ",""),8),5,2),--MID(LEFT(SUBSTITUTE(SUBSTITUTE(SUBSTITUTE(SUBSTITUTE(TRIM($W52),"-",""),".",""),"/","")," ",""),8),7,2)),"")))</f>
        <v/>
      </c>
      <c r="Y52" s="32">
        <f>IF($X52="","",INT($X52))</f>
        <v/>
      </c>
      <c r="Z52" s="33">
        <f>IF(OR($Y52="",$D$6=""),"",IF(INDEX($A:$U,ROW(),$D$6)="",0,IF(ISNUMBER(INDEX($A:$U,ROW(),$D$6)),INDEX($A:$U,ROW(),$D$6),IFERROR(--SUBSTITUTE(SUBSTITUTE(TRIM(INDEX($A:$U,ROW(),$D$6)),",",""),"원",""),0))))</f>
        <v/>
      </c>
      <c r="AA52" s="31">
        <f>IF($Y52="","",TRIM(INDEX($A:$U,ROW(),$E$6)&amp;IF($F$6="",""," "&amp;INDEX($A:$U,ROW(),$F$6))))</f>
        <v/>
      </c>
      <c r="AB52" s="31">
        <f>IF($AA52="","",SUBSTITUTE(SUBSTITUTE(SUBSTITUTE(SUBSTITUTE(SUBSTITUTE(SUBSTITUTE(SUBSTITUTE(SUBSTITUTE(SUBSTITUTE($AA52," ",""),"　",""),"(주)",""),"（주）",""),"㈜",""),"주식회사",""),"(유)",""),"（유）",""),"유한회사",""))</f>
        <v/>
      </c>
      <c r="AC52" s="31">
        <f>IF(OR($Y52="",N($Z52)&lt;=0,$AB52=""),0,IFERROR(LOOKUP(2,1/((거래처별!$AC$8:$AC$307&lt;&gt;"")*ISNUMBER(SEARCH(거래처별!$AC$8:$AC$307,$AB52))),거래처별!$A$8:$A$307),IFERROR(LOOKUP(2,1/((거래처별!$AD$8:$AD$307&lt;&gt;"")*ISNUMBER(SEARCH(거래처별!$AD$8:$AD$307,$AB52))),거래처별!$A$8:$A$307),IFERROR(LOOKUP(2,1/((거래처별!$AE$8:$AE$307&lt;&gt;"")*ISNUMBER(SEARCH(거래처별!$AE$8:$AE$307,$AB52))),거래처별!$A$8:$A$307),0))))</f>
        <v/>
      </c>
      <c r="AD52" s="31">
        <f>IF(AND($Y52&lt;&gt;"",N($Z52)&gt;0,$AC52=0),MAX($AD$7:$AD51)+1,"")</f>
        <v/>
      </c>
      <c r="AE52" s="31">
        <f>IF($Y52="",0,$Y52)</f>
        <v/>
      </c>
    </row>
    <row r="53">
      <c r="W53" s="31">
        <f>IF(OR($B$5="",$C$6="",ROW()&lt;$B$5),"",IF(INDEX($A:$U,ROW(),$C$6)="","",INDEX($A:$U,ROW(),$C$6)))</f>
        <v/>
      </c>
      <c r="X53" s="32">
        <f>IF($W53="","",IF(ISNUMBER($W53),IF($W53&gt;=10000000,IFERROR(DATE(INT($W53/10000),MOD(INT($W53/100),100),MOD($W53,100)),""),INT($W53)),IFERROR(DATE(--LEFT(LEFT(SUBSTITUTE(SUBSTITUTE(SUBSTITUTE(SUBSTITUTE(TRIM($W53),"-",""),".",""),"/","")," ",""),8),4),--MID(LEFT(SUBSTITUTE(SUBSTITUTE(SUBSTITUTE(SUBSTITUTE(TRIM($W53),"-",""),".",""),"/","")," ",""),8),5,2),--MID(LEFT(SUBSTITUTE(SUBSTITUTE(SUBSTITUTE(SUBSTITUTE(TRIM($W53),"-",""),".",""),"/","")," ",""),8),7,2)),"")))</f>
        <v/>
      </c>
      <c r="Y53" s="32">
        <f>IF($X53="","",INT($X53))</f>
        <v/>
      </c>
      <c r="Z53" s="33">
        <f>IF(OR($Y53="",$D$6=""),"",IF(INDEX($A:$U,ROW(),$D$6)="",0,IF(ISNUMBER(INDEX($A:$U,ROW(),$D$6)),INDEX($A:$U,ROW(),$D$6),IFERROR(--SUBSTITUTE(SUBSTITUTE(TRIM(INDEX($A:$U,ROW(),$D$6)),",",""),"원",""),0))))</f>
        <v/>
      </c>
      <c r="AA53" s="31">
        <f>IF($Y53="","",TRIM(INDEX($A:$U,ROW(),$E$6)&amp;IF($F$6="",""," "&amp;INDEX($A:$U,ROW(),$F$6))))</f>
        <v/>
      </c>
      <c r="AB53" s="31">
        <f>IF($AA53="","",SUBSTITUTE(SUBSTITUTE(SUBSTITUTE(SUBSTITUTE(SUBSTITUTE(SUBSTITUTE(SUBSTITUTE(SUBSTITUTE(SUBSTITUTE($AA53," ",""),"　",""),"(주)",""),"（주）",""),"㈜",""),"주식회사",""),"(유)",""),"（유）",""),"유한회사",""))</f>
        <v/>
      </c>
      <c r="AC53" s="31">
        <f>IF(OR($Y53="",N($Z53)&lt;=0,$AB53=""),0,IFERROR(LOOKUP(2,1/((거래처별!$AC$8:$AC$307&lt;&gt;"")*ISNUMBER(SEARCH(거래처별!$AC$8:$AC$307,$AB53))),거래처별!$A$8:$A$307),IFERROR(LOOKUP(2,1/((거래처별!$AD$8:$AD$307&lt;&gt;"")*ISNUMBER(SEARCH(거래처별!$AD$8:$AD$307,$AB53))),거래처별!$A$8:$A$307),IFERROR(LOOKUP(2,1/((거래처별!$AE$8:$AE$307&lt;&gt;"")*ISNUMBER(SEARCH(거래처별!$AE$8:$AE$307,$AB53))),거래처별!$A$8:$A$307),0))))</f>
        <v/>
      </c>
      <c r="AD53" s="31">
        <f>IF(AND($Y53&lt;&gt;"",N($Z53)&gt;0,$AC53=0),MAX($AD$7:$AD52)+1,"")</f>
        <v/>
      </c>
      <c r="AE53" s="31">
        <f>IF($Y53="",0,$Y53)</f>
        <v/>
      </c>
    </row>
    <row r="54">
      <c r="W54" s="31">
        <f>IF(OR($B$5="",$C$6="",ROW()&lt;$B$5),"",IF(INDEX($A:$U,ROW(),$C$6)="","",INDEX($A:$U,ROW(),$C$6)))</f>
        <v/>
      </c>
      <c r="X54" s="32">
        <f>IF($W54="","",IF(ISNUMBER($W54),IF($W54&gt;=10000000,IFERROR(DATE(INT($W54/10000),MOD(INT($W54/100),100),MOD($W54,100)),""),INT($W54)),IFERROR(DATE(--LEFT(LEFT(SUBSTITUTE(SUBSTITUTE(SUBSTITUTE(SUBSTITUTE(TRIM($W54),"-",""),".",""),"/","")," ",""),8),4),--MID(LEFT(SUBSTITUTE(SUBSTITUTE(SUBSTITUTE(SUBSTITUTE(TRIM($W54),"-",""),".",""),"/","")," ",""),8),5,2),--MID(LEFT(SUBSTITUTE(SUBSTITUTE(SUBSTITUTE(SUBSTITUTE(TRIM($W54),"-",""),".",""),"/","")," ",""),8),7,2)),"")))</f>
        <v/>
      </c>
      <c r="Y54" s="32">
        <f>IF($X54="","",INT($X54))</f>
        <v/>
      </c>
      <c r="Z54" s="33">
        <f>IF(OR($Y54="",$D$6=""),"",IF(INDEX($A:$U,ROW(),$D$6)="",0,IF(ISNUMBER(INDEX($A:$U,ROW(),$D$6)),INDEX($A:$U,ROW(),$D$6),IFERROR(--SUBSTITUTE(SUBSTITUTE(TRIM(INDEX($A:$U,ROW(),$D$6)),",",""),"원",""),0))))</f>
        <v/>
      </c>
      <c r="AA54" s="31">
        <f>IF($Y54="","",TRIM(INDEX($A:$U,ROW(),$E$6)&amp;IF($F$6="",""," "&amp;INDEX($A:$U,ROW(),$F$6))))</f>
        <v/>
      </c>
      <c r="AB54" s="31">
        <f>IF($AA54="","",SUBSTITUTE(SUBSTITUTE(SUBSTITUTE(SUBSTITUTE(SUBSTITUTE(SUBSTITUTE(SUBSTITUTE(SUBSTITUTE(SUBSTITUTE($AA54," ",""),"　",""),"(주)",""),"（주）",""),"㈜",""),"주식회사",""),"(유)",""),"（유）",""),"유한회사",""))</f>
        <v/>
      </c>
      <c r="AC54" s="31">
        <f>IF(OR($Y54="",N($Z54)&lt;=0,$AB54=""),0,IFERROR(LOOKUP(2,1/((거래처별!$AC$8:$AC$307&lt;&gt;"")*ISNUMBER(SEARCH(거래처별!$AC$8:$AC$307,$AB54))),거래처별!$A$8:$A$307),IFERROR(LOOKUP(2,1/((거래처별!$AD$8:$AD$307&lt;&gt;"")*ISNUMBER(SEARCH(거래처별!$AD$8:$AD$307,$AB54))),거래처별!$A$8:$A$307),IFERROR(LOOKUP(2,1/((거래처별!$AE$8:$AE$307&lt;&gt;"")*ISNUMBER(SEARCH(거래처별!$AE$8:$AE$307,$AB54))),거래처별!$A$8:$A$307),0))))</f>
        <v/>
      </c>
      <c r="AD54" s="31">
        <f>IF(AND($Y54&lt;&gt;"",N($Z54)&gt;0,$AC54=0),MAX($AD$7:$AD53)+1,"")</f>
        <v/>
      </c>
      <c r="AE54" s="31">
        <f>IF($Y54="",0,$Y54)</f>
        <v/>
      </c>
    </row>
    <row r="55">
      <c r="W55" s="31">
        <f>IF(OR($B$5="",$C$6="",ROW()&lt;$B$5),"",IF(INDEX($A:$U,ROW(),$C$6)="","",INDEX($A:$U,ROW(),$C$6)))</f>
        <v/>
      </c>
      <c r="X55" s="32">
        <f>IF($W55="","",IF(ISNUMBER($W55),IF($W55&gt;=10000000,IFERROR(DATE(INT($W55/10000),MOD(INT($W55/100),100),MOD($W55,100)),""),INT($W55)),IFERROR(DATE(--LEFT(LEFT(SUBSTITUTE(SUBSTITUTE(SUBSTITUTE(SUBSTITUTE(TRIM($W55),"-",""),".",""),"/","")," ",""),8),4),--MID(LEFT(SUBSTITUTE(SUBSTITUTE(SUBSTITUTE(SUBSTITUTE(TRIM($W55),"-",""),".",""),"/","")," ",""),8),5,2),--MID(LEFT(SUBSTITUTE(SUBSTITUTE(SUBSTITUTE(SUBSTITUTE(TRIM($W55),"-",""),".",""),"/","")," ",""),8),7,2)),"")))</f>
        <v/>
      </c>
      <c r="Y55" s="32">
        <f>IF($X55="","",INT($X55))</f>
        <v/>
      </c>
      <c r="Z55" s="33">
        <f>IF(OR($Y55="",$D$6=""),"",IF(INDEX($A:$U,ROW(),$D$6)="",0,IF(ISNUMBER(INDEX($A:$U,ROW(),$D$6)),INDEX($A:$U,ROW(),$D$6),IFERROR(--SUBSTITUTE(SUBSTITUTE(TRIM(INDEX($A:$U,ROW(),$D$6)),",",""),"원",""),0))))</f>
        <v/>
      </c>
      <c r="AA55" s="31">
        <f>IF($Y55="","",TRIM(INDEX($A:$U,ROW(),$E$6)&amp;IF($F$6="",""," "&amp;INDEX($A:$U,ROW(),$F$6))))</f>
        <v/>
      </c>
      <c r="AB55" s="31">
        <f>IF($AA55="","",SUBSTITUTE(SUBSTITUTE(SUBSTITUTE(SUBSTITUTE(SUBSTITUTE(SUBSTITUTE(SUBSTITUTE(SUBSTITUTE(SUBSTITUTE($AA55," ",""),"　",""),"(주)",""),"（주）",""),"㈜",""),"주식회사",""),"(유)",""),"（유）",""),"유한회사",""))</f>
        <v/>
      </c>
      <c r="AC55" s="31">
        <f>IF(OR($Y55="",N($Z55)&lt;=0,$AB55=""),0,IFERROR(LOOKUP(2,1/((거래처별!$AC$8:$AC$307&lt;&gt;"")*ISNUMBER(SEARCH(거래처별!$AC$8:$AC$307,$AB55))),거래처별!$A$8:$A$307),IFERROR(LOOKUP(2,1/((거래처별!$AD$8:$AD$307&lt;&gt;"")*ISNUMBER(SEARCH(거래처별!$AD$8:$AD$307,$AB55))),거래처별!$A$8:$A$307),IFERROR(LOOKUP(2,1/((거래처별!$AE$8:$AE$307&lt;&gt;"")*ISNUMBER(SEARCH(거래처별!$AE$8:$AE$307,$AB55))),거래처별!$A$8:$A$307),0))))</f>
        <v/>
      </c>
      <c r="AD55" s="31">
        <f>IF(AND($Y55&lt;&gt;"",N($Z55)&gt;0,$AC55=0),MAX($AD$7:$AD54)+1,"")</f>
        <v/>
      </c>
      <c r="AE55" s="31">
        <f>IF($Y55="",0,$Y55)</f>
        <v/>
      </c>
    </row>
    <row r="56">
      <c r="W56" s="31">
        <f>IF(OR($B$5="",$C$6="",ROW()&lt;$B$5),"",IF(INDEX($A:$U,ROW(),$C$6)="","",INDEX($A:$U,ROW(),$C$6)))</f>
        <v/>
      </c>
      <c r="X56" s="32">
        <f>IF($W56="","",IF(ISNUMBER($W56),IF($W56&gt;=10000000,IFERROR(DATE(INT($W56/10000),MOD(INT($W56/100),100),MOD($W56,100)),""),INT($W56)),IFERROR(DATE(--LEFT(LEFT(SUBSTITUTE(SUBSTITUTE(SUBSTITUTE(SUBSTITUTE(TRIM($W56),"-",""),".",""),"/","")," ",""),8),4),--MID(LEFT(SUBSTITUTE(SUBSTITUTE(SUBSTITUTE(SUBSTITUTE(TRIM($W56),"-",""),".",""),"/","")," ",""),8),5,2),--MID(LEFT(SUBSTITUTE(SUBSTITUTE(SUBSTITUTE(SUBSTITUTE(TRIM($W56),"-",""),".",""),"/","")," ",""),8),7,2)),"")))</f>
        <v/>
      </c>
      <c r="Y56" s="32">
        <f>IF($X56="","",INT($X56))</f>
        <v/>
      </c>
      <c r="Z56" s="33">
        <f>IF(OR($Y56="",$D$6=""),"",IF(INDEX($A:$U,ROW(),$D$6)="",0,IF(ISNUMBER(INDEX($A:$U,ROW(),$D$6)),INDEX($A:$U,ROW(),$D$6),IFERROR(--SUBSTITUTE(SUBSTITUTE(TRIM(INDEX($A:$U,ROW(),$D$6)),",",""),"원",""),0))))</f>
        <v/>
      </c>
      <c r="AA56" s="31">
        <f>IF($Y56="","",TRIM(INDEX($A:$U,ROW(),$E$6)&amp;IF($F$6="",""," "&amp;INDEX($A:$U,ROW(),$F$6))))</f>
        <v/>
      </c>
      <c r="AB56" s="31">
        <f>IF($AA56="","",SUBSTITUTE(SUBSTITUTE(SUBSTITUTE(SUBSTITUTE(SUBSTITUTE(SUBSTITUTE(SUBSTITUTE(SUBSTITUTE(SUBSTITUTE($AA56," ",""),"　",""),"(주)",""),"（주）",""),"㈜",""),"주식회사",""),"(유)",""),"（유）",""),"유한회사",""))</f>
        <v/>
      </c>
      <c r="AC56" s="31">
        <f>IF(OR($Y56="",N($Z56)&lt;=0,$AB56=""),0,IFERROR(LOOKUP(2,1/((거래처별!$AC$8:$AC$307&lt;&gt;"")*ISNUMBER(SEARCH(거래처별!$AC$8:$AC$307,$AB56))),거래처별!$A$8:$A$307),IFERROR(LOOKUP(2,1/((거래처별!$AD$8:$AD$307&lt;&gt;"")*ISNUMBER(SEARCH(거래처별!$AD$8:$AD$307,$AB56))),거래처별!$A$8:$A$307),IFERROR(LOOKUP(2,1/((거래처별!$AE$8:$AE$307&lt;&gt;"")*ISNUMBER(SEARCH(거래처별!$AE$8:$AE$307,$AB56))),거래처별!$A$8:$A$307),0))))</f>
        <v/>
      </c>
      <c r="AD56" s="31">
        <f>IF(AND($Y56&lt;&gt;"",N($Z56)&gt;0,$AC56=0),MAX($AD$7:$AD55)+1,"")</f>
        <v/>
      </c>
      <c r="AE56" s="31">
        <f>IF($Y56="",0,$Y56)</f>
        <v/>
      </c>
    </row>
    <row r="57">
      <c r="W57" s="31">
        <f>IF(OR($B$5="",$C$6="",ROW()&lt;$B$5),"",IF(INDEX($A:$U,ROW(),$C$6)="","",INDEX($A:$U,ROW(),$C$6)))</f>
        <v/>
      </c>
      <c r="X57" s="32">
        <f>IF($W57="","",IF(ISNUMBER($W57),IF($W57&gt;=10000000,IFERROR(DATE(INT($W57/10000),MOD(INT($W57/100),100),MOD($W57,100)),""),INT($W57)),IFERROR(DATE(--LEFT(LEFT(SUBSTITUTE(SUBSTITUTE(SUBSTITUTE(SUBSTITUTE(TRIM($W57),"-",""),".",""),"/","")," ",""),8),4),--MID(LEFT(SUBSTITUTE(SUBSTITUTE(SUBSTITUTE(SUBSTITUTE(TRIM($W57),"-",""),".",""),"/","")," ",""),8),5,2),--MID(LEFT(SUBSTITUTE(SUBSTITUTE(SUBSTITUTE(SUBSTITUTE(TRIM($W57),"-",""),".",""),"/","")," ",""),8),7,2)),"")))</f>
        <v/>
      </c>
      <c r="Y57" s="32">
        <f>IF($X57="","",INT($X57))</f>
        <v/>
      </c>
      <c r="Z57" s="33">
        <f>IF(OR($Y57="",$D$6=""),"",IF(INDEX($A:$U,ROW(),$D$6)="",0,IF(ISNUMBER(INDEX($A:$U,ROW(),$D$6)),INDEX($A:$U,ROW(),$D$6),IFERROR(--SUBSTITUTE(SUBSTITUTE(TRIM(INDEX($A:$U,ROW(),$D$6)),",",""),"원",""),0))))</f>
        <v/>
      </c>
      <c r="AA57" s="31">
        <f>IF($Y57="","",TRIM(INDEX($A:$U,ROW(),$E$6)&amp;IF($F$6="",""," "&amp;INDEX($A:$U,ROW(),$F$6))))</f>
        <v/>
      </c>
      <c r="AB57" s="31">
        <f>IF($AA57="","",SUBSTITUTE(SUBSTITUTE(SUBSTITUTE(SUBSTITUTE(SUBSTITUTE(SUBSTITUTE(SUBSTITUTE(SUBSTITUTE(SUBSTITUTE($AA57," ",""),"　",""),"(주)",""),"（주）",""),"㈜",""),"주식회사",""),"(유)",""),"（유）",""),"유한회사",""))</f>
        <v/>
      </c>
      <c r="AC57" s="31">
        <f>IF(OR($Y57="",N($Z57)&lt;=0,$AB57=""),0,IFERROR(LOOKUP(2,1/((거래처별!$AC$8:$AC$307&lt;&gt;"")*ISNUMBER(SEARCH(거래처별!$AC$8:$AC$307,$AB57))),거래처별!$A$8:$A$307),IFERROR(LOOKUP(2,1/((거래처별!$AD$8:$AD$307&lt;&gt;"")*ISNUMBER(SEARCH(거래처별!$AD$8:$AD$307,$AB57))),거래처별!$A$8:$A$307),IFERROR(LOOKUP(2,1/((거래처별!$AE$8:$AE$307&lt;&gt;"")*ISNUMBER(SEARCH(거래처별!$AE$8:$AE$307,$AB57))),거래처별!$A$8:$A$307),0))))</f>
        <v/>
      </c>
      <c r="AD57" s="31">
        <f>IF(AND($Y57&lt;&gt;"",N($Z57)&gt;0,$AC57=0),MAX($AD$7:$AD56)+1,"")</f>
        <v/>
      </c>
      <c r="AE57" s="31">
        <f>IF($Y57="",0,$Y57)</f>
        <v/>
      </c>
    </row>
    <row r="58">
      <c r="W58" s="31">
        <f>IF(OR($B$5="",$C$6="",ROW()&lt;$B$5),"",IF(INDEX($A:$U,ROW(),$C$6)="","",INDEX($A:$U,ROW(),$C$6)))</f>
        <v/>
      </c>
      <c r="X58" s="32">
        <f>IF($W58="","",IF(ISNUMBER($W58),IF($W58&gt;=10000000,IFERROR(DATE(INT($W58/10000),MOD(INT($W58/100),100),MOD($W58,100)),""),INT($W58)),IFERROR(DATE(--LEFT(LEFT(SUBSTITUTE(SUBSTITUTE(SUBSTITUTE(SUBSTITUTE(TRIM($W58),"-",""),".",""),"/","")," ",""),8),4),--MID(LEFT(SUBSTITUTE(SUBSTITUTE(SUBSTITUTE(SUBSTITUTE(TRIM($W58),"-",""),".",""),"/","")," ",""),8),5,2),--MID(LEFT(SUBSTITUTE(SUBSTITUTE(SUBSTITUTE(SUBSTITUTE(TRIM($W58),"-",""),".",""),"/","")," ",""),8),7,2)),"")))</f>
        <v/>
      </c>
      <c r="Y58" s="32">
        <f>IF($X58="","",INT($X58))</f>
        <v/>
      </c>
      <c r="Z58" s="33">
        <f>IF(OR($Y58="",$D$6=""),"",IF(INDEX($A:$U,ROW(),$D$6)="",0,IF(ISNUMBER(INDEX($A:$U,ROW(),$D$6)),INDEX($A:$U,ROW(),$D$6),IFERROR(--SUBSTITUTE(SUBSTITUTE(TRIM(INDEX($A:$U,ROW(),$D$6)),",",""),"원",""),0))))</f>
        <v/>
      </c>
      <c r="AA58" s="31">
        <f>IF($Y58="","",TRIM(INDEX($A:$U,ROW(),$E$6)&amp;IF($F$6="",""," "&amp;INDEX($A:$U,ROW(),$F$6))))</f>
        <v/>
      </c>
      <c r="AB58" s="31">
        <f>IF($AA58="","",SUBSTITUTE(SUBSTITUTE(SUBSTITUTE(SUBSTITUTE(SUBSTITUTE(SUBSTITUTE(SUBSTITUTE(SUBSTITUTE(SUBSTITUTE($AA58," ",""),"　",""),"(주)",""),"（주）",""),"㈜",""),"주식회사",""),"(유)",""),"（유）",""),"유한회사",""))</f>
        <v/>
      </c>
      <c r="AC58" s="31">
        <f>IF(OR($Y58="",N($Z58)&lt;=0,$AB58=""),0,IFERROR(LOOKUP(2,1/((거래처별!$AC$8:$AC$307&lt;&gt;"")*ISNUMBER(SEARCH(거래처별!$AC$8:$AC$307,$AB58))),거래처별!$A$8:$A$307),IFERROR(LOOKUP(2,1/((거래처별!$AD$8:$AD$307&lt;&gt;"")*ISNUMBER(SEARCH(거래처별!$AD$8:$AD$307,$AB58))),거래처별!$A$8:$A$307),IFERROR(LOOKUP(2,1/((거래처별!$AE$8:$AE$307&lt;&gt;"")*ISNUMBER(SEARCH(거래처별!$AE$8:$AE$307,$AB58))),거래처별!$A$8:$A$307),0))))</f>
        <v/>
      </c>
      <c r="AD58" s="31">
        <f>IF(AND($Y58&lt;&gt;"",N($Z58)&gt;0,$AC58=0),MAX($AD$7:$AD57)+1,"")</f>
        <v/>
      </c>
      <c r="AE58" s="31">
        <f>IF($Y58="",0,$Y58)</f>
        <v/>
      </c>
    </row>
    <row r="59">
      <c r="W59" s="31">
        <f>IF(OR($B$5="",$C$6="",ROW()&lt;$B$5),"",IF(INDEX($A:$U,ROW(),$C$6)="","",INDEX($A:$U,ROW(),$C$6)))</f>
        <v/>
      </c>
      <c r="X59" s="32">
        <f>IF($W59="","",IF(ISNUMBER($W59),IF($W59&gt;=10000000,IFERROR(DATE(INT($W59/10000),MOD(INT($W59/100),100),MOD($W59,100)),""),INT($W59)),IFERROR(DATE(--LEFT(LEFT(SUBSTITUTE(SUBSTITUTE(SUBSTITUTE(SUBSTITUTE(TRIM($W59),"-",""),".",""),"/","")," ",""),8),4),--MID(LEFT(SUBSTITUTE(SUBSTITUTE(SUBSTITUTE(SUBSTITUTE(TRIM($W59),"-",""),".",""),"/","")," ",""),8),5,2),--MID(LEFT(SUBSTITUTE(SUBSTITUTE(SUBSTITUTE(SUBSTITUTE(TRIM($W59),"-",""),".",""),"/","")," ",""),8),7,2)),"")))</f>
        <v/>
      </c>
      <c r="Y59" s="32">
        <f>IF($X59="","",INT($X59))</f>
        <v/>
      </c>
      <c r="Z59" s="33">
        <f>IF(OR($Y59="",$D$6=""),"",IF(INDEX($A:$U,ROW(),$D$6)="",0,IF(ISNUMBER(INDEX($A:$U,ROW(),$D$6)),INDEX($A:$U,ROW(),$D$6),IFERROR(--SUBSTITUTE(SUBSTITUTE(TRIM(INDEX($A:$U,ROW(),$D$6)),",",""),"원",""),0))))</f>
        <v/>
      </c>
      <c r="AA59" s="31">
        <f>IF($Y59="","",TRIM(INDEX($A:$U,ROW(),$E$6)&amp;IF($F$6="",""," "&amp;INDEX($A:$U,ROW(),$F$6))))</f>
        <v/>
      </c>
      <c r="AB59" s="31">
        <f>IF($AA59="","",SUBSTITUTE(SUBSTITUTE(SUBSTITUTE(SUBSTITUTE(SUBSTITUTE(SUBSTITUTE(SUBSTITUTE(SUBSTITUTE(SUBSTITUTE($AA59," ",""),"　",""),"(주)",""),"（주）",""),"㈜",""),"주식회사",""),"(유)",""),"（유）",""),"유한회사",""))</f>
        <v/>
      </c>
      <c r="AC59" s="31">
        <f>IF(OR($Y59="",N($Z59)&lt;=0,$AB59=""),0,IFERROR(LOOKUP(2,1/((거래처별!$AC$8:$AC$307&lt;&gt;"")*ISNUMBER(SEARCH(거래처별!$AC$8:$AC$307,$AB59))),거래처별!$A$8:$A$307),IFERROR(LOOKUP(2,1/((거래처별!$AD$8:$AD$307&lt;&gt;"")*ISNUMBER(SEARCH(거래처별!$AD$8:$AD$307,$AB59))),거래처별!$A$8:$A$307),IFERROR(LOOKUP(2,1/((거래처별!$AE$8:$AE$307&lt;&gt;"")*ISNUMBER(SEARCH(거래처별!$AE$8:$AE$307,$AB59))),거래처별!$A$8:$A$307),0))))</f>
        <v/>
      </c>
      <c r="AD59" s="31">
        <f>IF(AND($Y59&lt;&gt;"",N($Z59)&gt;0,$AC59=0),MAX($AD$7:$AD58)+1,"")</f>
        <v/>
      </c>
      <c r="AE59" s="31">
        <f>IF($Y59="",0,$Y59)</f>
        <v/>
      </c>
    </row>
    <row r="60">
      <c r="W60" s="31">
        <f>IF(OR($B$5="",$C$6="",ROW()&lt;$B$5),"",IF(INDEX($A:$U,ROW(),$C$6)="","",INDEX($A:$U,ROW(),$C$6)))</f>
        <v/>
      </c>
      <c r="X60" s="32">
        <f>IF($W60="","",IF(ISNUMBER($W60),IF($W60&gt;=10000000,IFERROR(DATE(INT($W60/10000),MOD(INT($W60/100),100),MOD($W60,100)),""),INT($W60)),IFERROR(DATE(--LEFT(LEFT(SUBSTITUTE(SUBSTITUTE(SUBSTITUTE(SUBSTITUTE(TRIM($W60),"-",""),".",""),"/","")," ",""),8),4),--MID(LEFT(SUBSTITUTE(SUBSTITUTE(SUBSTITUTE(SUBSTITUTE(TRIM($W60),"-",""),".",""),"/","")," ",""),8),5,2),--MID(LEFT(SUBSTITUTE(SUBSTITUTE(SUBSTITUTE(SUBSTITUTE(TRIM($W60),"-",""),".",""),"/","")," ",""),8),7,2)),"")))</f>
        <v/>
      </c>
      <c r="Y60" s="32">
        <f>IF($X60="","",INT($X60))</f>
        <v/>
      </c>
      <c r="Z60" s="33">
        <f>IF(OR($Y60="",$D$6=""),"",IF(INDEX($A:$U,ROW(),$D$6)="",0,IF(ISNUMBER(INDEX($A:$U,ROW(),$D$6)),INDEX($A:$U,ROW(),$D$6),IFERROR(--SUBSTITUTE(SUBSTITUTE(TRIM(INDEX($A:$U,ROW(),$D$6)),",",""),"원",""),0))))</f>
        <v/>
      </c>
      <c r="AA60" s="31">
        <f>IF($Y60="","",TRIM(INDEX($A:$U,ROW(),$E$6)&amp;IF($F$6="",""," "&amp;INDEX($A:$U,ROW(),$F$6))))</f>
        <v/>
      </c>
      <c r="AB60" s="31">
        <f>IF($AA60="","",SUBSTITUTE(SUBSTITUTE(SUBSTITUTE(SUBSTITUTE(SUBSTITUTE(SUBSTITUTE(SUBSTITUTE(SUBSTITUTE(SUBSTITUTE($AA60," ",""),"　",""),"(주)",""),"（주）",""),"㈜",""),"주식회사",""),"(유)",""),"（유）",""),"유한회사",""))</f>
        <v/>
      </c>
      <c r="AC60" s="31">
        <f>IF(OR($Y60="",N($Z60)&lt;=0,$AB60=""),0,IFERROR(LOOKUP(2,1/((거래처별!$AC$8:$AC$307&lt;&gt;"")*ISNUMBER(SEARCH(거래처별!$AC$8:$AC$307,$AB60))),거래처별!$A$8:$A$307),IFERROR(LOOKUP(2,1/((거래처별!$AD$8:$AD$307&lt;&gt;"")*ISNUMBER(SEARCH(거래처별!$AD$8:$AD$307,$AB60))),거래처별!$A$8:$A$307),IFERROR(LOOKUP(2,1/((거래처별!$AE$8:$AE$307&lt;&gt;"")*ISNUMBER(SEARCH(거래처별!$AE$8:$AE$307,$AB60))),거래처별!$A$8:$A$307),0))))</f>
        <v/>
      </c>
      <c r="AD60" s="31">
        <f>IF(AND($Y60&lt;&gt;"",N($Z60)&gt;0,$AC60=0),MAX($AD$7:$AD59)+1,"")</f>
        <v/>
      </c>
      <c r="AE60" s="31">
        <f>IF($Y60="",0,$Y60)</f>
        <v/>
      </c>
    </row>
    <row r="61">
      <c r="W61" s="31">
        <f>IF(OR($B$5="",$C$6="",ROW()&lt;$B$5),"",IF(INDEX($A:$U,ROW(),$C$6)="","",INDEX($A:$U,ROW(),$C$6)))</f>
        <v/>
      </c>
      <c r="X61" s="32">
        <f>IF($W61="","",IF(ISNUMBER($W61),IF($W61&gt;=10000000,IFERROR(DATE(INT($W61/10000),MOD(INT($W61/100),100),MOD($W61,100)),""),INT($W61)),IFERROR(DATE(--LEFT(LEFT(SUBSTITUTE(SUBSTITUTE(SUBSTITUTE(SUBSTITUTE(TRIM($W61),"-",""),".",""),"/","")," ",""),8),4),--MID(LEFT(SUBSTITUTE(SUBSTITUTE(SUBSTITUTE(SUBSTITUTE(TRIM($W61),"-",""),".",""),"/","")," ",""),8),5,2),--MID(LEFT(SUBSTITUTE(SUBSTITUTE(SUBSTITUTE(SUBSTITUTE(TRIM($W61),"-",""),".",""),"/","")," ",""),8),7,2)),"")))</f>
        <v/>
      </c>
      <c r="Y61" s="32">
        <f>IF($X61="","",INT($X61))</f>
        <v/>
      </c>
      <c r="Z61" s="33">
        <f>IF(OR($Y61="",$D$6=""),"",IF(INDEX($A:$U,ROW(),$D$6)="",0,IF(ISNUMBER(INDEX($A:$U,ROW(),$D$6)),INDEX($A:$U,ROW(),$D$6),IFERROR(--SUBSTITUTE(SUBSTITUTE(TRIM(INDEX($A:$U,ROW(),$D$6)),",",""),"원",""),0))))</f>
        <v/>
      </c>
      <c r="AA61" s="31">
        <f>IF($Y61="","",TRIM(INDEX($A:$U,ROW(),$E$6)&amp;IF($F$6="",""," "&amp;INDEX($A:$U,ROW(),$F$6))))</f>
        <v/>
      </c>
      <c r="AB61" s="31">
        <f>IF($AA61="","",SUBSTITUTE(SUBSTITUTE(SUBSTITUTE(SUBSTITUTE(SUBSTITUTE(SUBSTITUTE(SUBSTITUTE(SUBSTITUTE(SUBSTITUTE($AA61," ",""),"　",""),"(주)",""),"（주）",""),"㈜",""),"주식회사",""),"(유)",""),"（유）",""),"유한회사",""))</f>
        <v/>
      </c>
      <c r="AC61" s="31">
        <f>IF(OR($Y61="",N($Z61)&lt;=0,$AB61=""),0,IFERROR(LOOKUP(2,1/((거래처별!$AC$8:$AC$307&lt;&gt;"")*ISNUMBER(SEARCH(거래처별!$AC$8:$AC$307,$AB61))),거래처별!$A$8:$A$307),IFERROR(LOOKUP(2,1/((거래처별!$AD$8:$AD$307&lt;&gt;"")*ISNUMBER(SEARCH(거래처별!$AD$8:$AD$307,$AB61))),거래처별!$A$8:$A$307),IFERROR(LOOKUP(2,1/((거래처별!$AE$8:$AE$307&lt;&gt;"")*ISNUMBER(SEARCH(거래처별!$AE$8:$AE$307,$AB61))),거래처별!$A$8:$A$307),0))))</f>
        <v/>
      </c>
      <c r="AD61" s="31">
        <f>IF(AND($Y61&lt;&gt;"",N($Z61)&gt;0,$AC61=0),MAX($AD$7:$AD60)+1,"")</f>
        <v/>
      </c>
      <c r="AE61" s="31">
        <f>IF($Y61="",0,$Y61)</f>
        <v/>
      </c>
    </row>
    <row r="62">
      <c r="W62" s="31">
        <f>IF(OR($B$5="",$C$6="",ROW()&lt;$B$5),"",IF(INDEX($A:$U,ROW(),$C$6)="","",INDEX($A:$U,ROW(),$C$6)))</f>
        <v/>
      </c>
      <c r="X62" s="32">
        <f>IF($W62="","",IF(ISNUMBER($W62),IF($W62&gt;=10000000,IFERROR(DATE(INT($W62/10000),MOD(INT($W62/100),100),MOD($W62,100)),""),INT($W62)),IFERROR(DATE(--LEFT(LEFT(SUBSTITUTE(SUBSTITUTE(SUBSTITUTE(SUBSTITUTE(TRIM($W62),"-",""),".",""),"/","")," ",""),8),4),--MID(LEFT(SUBSTITUTE(SUBSTITUTE(SUBSTITUTE(SUBSTITUTE(TRIM($W62),"-",""),".",""),"/","")," ",""),8),5,2),--MID(LEFT(SUBSTITUTE(SUBSTITUTE(SUBSTITUTE(SUBSTITUTE(TRIM($W62),"-",""),".",""),"/","")," ",""),8),7,2)),"")))</f>
        <v/>
      </c>
      <c r="Y62" s="32">
        <f>IF($X62="","",INT($X62))</f>
        <v/>
      </c>
      <c r="Z62" s="33">
        <f>IF(OR($Y62="",$D$6=""),"",IF(INDEX($A:$U,ROW(),$D$6)="",0,IF(ISNUMBER(INDEX($A:$U,ROW(),$D$6)),INDEX($A:$U,ROW(),$D$6),IFERROR(--SUBSTITUTE(SUBSTITUTE(TRIM(INDEX($A:$U,ROW(),$D$6)),",",""),"원",""),0))))</f>
        <v/>
      </c>
      <c r="AA62" s="31">
        <f>IF($Y62="","",TRIM(INDEX($A:$U,ROW(),$E$6)&amp;IF($F$6="",""," "&amp;INDEX($A:$U,ROW(),$F$6))))</f>
        <v/>
      </c>
      <c r="AB62" s="31">
        <f>IF($AA62="","",SUBSTITUTE(SUBSTITUTE(SUBSTITUTE(SUBSTITUTE(SUBSTITUTE(SUBSTITUTE(SUBSTITUTE(SUBSTITUTE(SUBSTITUTE($AA62," ",""),"　",""),"(주)",""),"（주）",""),"㈜",""),"주식회사",""),"(유)",""),"（유）",""),"유한회사",""))</f>
        <v/>
      </c>
      <c r="AC62" s="31">
        <f>IF(OR($Y62="",N($Z62)&lt;=0,$AB62=""),0,IFERROR(LOOKUP(2,1/((거래처별!$AC$8:$AC$307&lt;&gt;"")*ISNUMBER(SEARCH(거래처별!$AC$8:$AC$307,$AB62))),거래처별!$A$8:$A$307),IFERROR(LOOKUP(2,1/((거래처별!$AD$8:$AD$307&lt;&gt;"")*ISNUMBER(SEARCH(거래처별!$AD$8:$AD$307,$AB62))),거래처별!$A$8:$A$307),IFERROR(LOOKUP(2,1/((거래처별!$AE$8:$AE$307&lt;&gt;"")*ISNUMBER(SEARCH(거래처별!$AE$8:$AE$307,$AB62))),거래처별!$A$8:$A$307),0))))</f>
        <v/>
      </c>
      <c r="AD62" s="31">
        <f>IF(AND($Y62&lt;&gt;"",N($Z62)&gt;0,$AC62=0),MAX($AD$7:$AD61)+1,"")</f>
        <v/>
      </c>
      <c r="AE62" s="31">
        <f>IF($Y62="",0,$Y62)</f>
        <v/>
      </c>
    </row>
    <row r="63">
      <c r="W63" s="31">
        <f>IF(OR($B$5="",$C$6="",ROW()&lt;$B$5),"",IF(INDEX($A:$U,ROW(),$C$6)="","",INDEX($A:$U,ROW(),$C$6)))</f>
        <v/>
      </c>
      <c r="X63" s="32">
        <f>IF($W63="","",IF(ISNUMBER($W63),IF($W63&gt;=10000000,IFERROR(DATE(INT($W63/10000),MOD(INT($W63/100),100),MOD($W63,100)),""),INT($W63)),IFERROR(DATE(--LEFT(LEFT(SUBSTITUTE(SUBSTITUTE(SUBSTITUTE(SUBSTITUTE(TRIM($W63),"-",""),".",""),"/","")," ",""),8),4),--MID(LEFT(SUBSTITUTE(SUBSTITUTE(SUBSTITUTE(SUBSTITUTE(TRIM($W63),"-",""),".",""),"/","")," ",""),8),5,2),--MID(LEFT(SUBSTITUTE(SUBSTITUTE(SUBSTITUTE(SUBSTITUTE(TRIM($W63),"-",""),".",""),"/","")," ",""),8),7,2)),"")))</f>
        <v/>
      </c>
      <c r="Y63" s="32">
        <f>IF($X63="","",INT($X63))</f>
        <v/>
      </c>
      <c r="Z63" s="33">
        <f>IF(OR($Y63="",$D$6=""),"",IF(INDEX($A:$U,ROW(),$D$6)="",0,IF(ISNUMBER(INDEX($A:$U,ROW(),$D$6)),INDEX($A:$U,ROW(),$D$6),IFERROR(--SUBSTITUTE(SUBSTITUTE(TRIM(INDEX($A:$U,ROW(),$D$6)),",",""),"원",""),0))))</f>
        <v/>
      </c>
      <c r="AA63" s="31">
        <f>IF($Y63="","",TRIM(INDEX($A:$U,ROW(),$E$6)&amp;IF($F$6="",""," "&amp;INDEX($A:$U,ROW(),$F$6))))</f>
        <v/>
      </c>
      <c r="AB63" s="31">
        <f>IF($AA63="","",SUBSTITUTE(SUBSTITUTE(SUBSTITUTE(SUBSTITUTE(SUBSTITUTE(SUBSTITUTE(SUBSTITUTE(SUBSTITUTE(SUBSTITUTE($AA63," ",""),"　",""),"(주)",""),"（주）",""),"㈜",""),"주식회사",""),"(유)",""),"（유）",""),"유한회사",""))</f>
        <v/>
      </c>
      <c r="AC63" s="31">
        <f>IF(OR($Y63="",N($Z63)&lt;=0,$AB63=""),0,IFERROR(LOOKUP(2,1/((거래처별!$AC$8:$AC$307&lt;&gt;"")*ISNUMBER(SEARCH(거래처별!$AC$8:$AC$307,$AB63))),거래처별!$A$8:$A$307),IFERROR(LOOKUP(2,1/((거래처별!$AD$8:$AD$307&lt;&gt;"")*ISNUMBER(SEARCH(거래처별!$AD$8:$AD$307,$AB63))),거래처별!$A$8:$A$307),IFERROR(LOOKUP(2,1/((거래처별!$AE$8:$AE$307&lt;&gt;"")*ISNUMBER(SEARCH(거래처별!$AE$8:$AE$307,$AB63))),거래처별!$A$8:$A$307),0))))</f>
        <v/>
      </c>
      <c r="AD63" s="31">
        <f>IF(AND($Y63&lt;&gt;"",N($Z63)&gt;0,$AC63=0),MAX($AD$7:$AD62)+1,"")</f>
        <v/>
      </c>
      <c r="AE63" s="31">
        <f>IF($Y63="",0,$Y63)</f>
        <v/>
      </c>
    </row>
    <row r="64">
      <c r="W64" s="31">
        <f>IF(OR($B$5="",$C$6="",ROW()&lt;$B$5),"",IF(INDEX($A:$U,ROW(),$C$6)="","",INDEX($A:$U,ROW(),$C$6)))</f>
        <v/>
      </c>
      <c r="X64" s="32">
        <f>IF($W64="","",IF(ISNUMBER($W64),IF($W64&gt;=10000000,IFERROR(DATE(INT($W64/10000),MOD(INT($W64/100),100),MOD($W64,100)),""),INT($W64)),IFERROR(DATE(--LEFT(LEFT(SUBSTITUTE(SUBSTITUTE(SUBSTITUTE(SUBSTITUTE(TRIM($W64),"-",""),".",""),"/","")," ",""),8),4),--MID(LEFT(SUBSTITUTE(SUBSTITUTE(SUBSTITUTE(SUBSTITUTE(TRIM($W64),"-",""),".",""),"/","")," ",""),8),5,2),--MID(LEFT(SUBSTITUTE(SUBSTITUTE(SUBSTITUTE(SUBSTITUTE(TRIM($W64),"-",""),".",""),"/","")," ",""),8),7,2)),"")))</f>
        <v/>
      </c>
      <c r="Y64" s="32">
        <f>IF($X64="","",INT($X64))</f>
        <v/>
      </c>
      <c r="Z64" s="33">
        <f>IF(OR($Y64="",$D$6=""),"",IF(INDEX($A:$U,ROW(),$D$6)="",0,IF(ISNUMBER(INDEX($A:$U,ROW(),$D$6)),INDEX($A:$U,ROW(),$D$6),IFERROR(--SUBSTITUTE(SUBSTITUTE(TRIM(INDEX($A:$U,ROW(),$D$6)),",",""),"원",""),0))))</f>
        <v/>
      </c>
      <c r="AA64" s="31">
        <f>IF($Y64="","",TRIM(INDEX($A:$U,ROW(),$E$6)&amp;IF($F$6="",""," "&amp;INDEX($A:$U,ROW(),$F$6))))</f>
        <v/>
      </c>
      <c r="AB64" s="31">
        <f>IF($AA64="","",SUBSTITUTE(SUBSTITUTE(SUBSTITUTE(SUBSTITUTE(SUBSTITUTE(SUBSTITUTE(SUBSTITUTE(SUBSTITUTE(SUBSTITUTE($AA64," ",""),"　",""),"(주)",""),"（주）",""),"㈜",""),"주식회사",""),"(유)",""),"（유）",""),"유한회사",""))</f>
        <v/>
      </c>
      <c r="AC64" s="31">
        <f>IF(OR($Y64="",N($Z64)&lt;=0,$AB64=""),0,IFERROR(LOOKUP(2,1/((거래처별!$AC$8:$AC$307&lt;&gt;"")*ISNUMBER(SEARCH(거래처별!$AC$8:$AC$307,$AB64))),거래처별!$A$8:$A$307),IFERROR(LOOKUP(2,1/((거래처별!$AD$8:$AD$307&lt;&gt;"")*ISNUMBER(SEARCH(거래처별!$AD$8:$AD$307,$AB64))),거래처별!$A$8:$A$307),IFERROR(LOOKUP(2,1/((거래처별!$AE$8:$AE$307&lt;&gt;"")*ISNUMBER(SEARCH(거래처별!$AE$8:$AE$307,$AB64))),거래처별!$A$8:$A$307),0))))</f>
        <v/>
      </c>
      <c r="AD64" s="31">
        <f>IF(AND($Y64&lt;&gt;"",N($Z64)&gt;0,$AC64=0),MAX($AD$7:$AD63)+1,"")</f>
        <v/>
      </c>
      <c r="AE64" s="31">
        <f>IF($Y64="",0,$Y64)</f>
        <v/>
      </c>
    </row>
    <row r="65">
      <c r="W65" s="31">
        <f>IF(OR($B$5="",$C$6="",ROW()&lt;$B$5),"",IF(INDEX($A:$U,ROW(),$C$6)="","",INDEX($A:$U,ROW(),$C$6)))</f>
        <v/>
      </c>
      <c r="X65" s="32">
        <f>IF($W65="","",IF(ISNUMBER($W65),IF($W65&gt;=10000000,IFERROR(DATE(INT($W65/10000),MOD(INT($W65/100),100),MOD($W65,100)),""),INT($W65)),IFERROR(DATE(--LEFT(LEFT(SUBSTITUTE(SUBSTITUTE(SUBSTITUTE(SUBSTITUTE(TRIM($W65),"-",""),".",""),"/","")," ",""),8),4),--MID(LEFT(SUBSTITUTE(SUBSTITUTE(SUBSTITUTE(SUBSTITUTE(TRIM($W65),"-",""),".",""),"/","")," ",""),8),5,2),--MID(LEFT(SUBSTITUTE(SUBSTITUTE(SUBSTITUTE(SUBSTITUTE(TRIM($W65),"-",""),".",""),"/","")," ",""),8),7,2)),"")))</f>
        <v/>
      </c>
      <c r="Y65" s="32">
        <f>IF($X65="","",INT($X65))</f>
        <v/>
      </c>
      <c r="Z65" s="33">
        <f>IF(OR($Y65="",$D$6=""),"",IF(INDEX($A:$U,ROW(),$D$6)="",0,IF(ISNUMBER(INDEX($A:$U,ROW(),$D$6)),INDEX($A:$U,ROW(),$D$6),IFERROR(--SUBSTITUTE(SUBSTITUTE(TRIM(INDEX($A:$U,ROW(),$D$6)),",",""),"원",""),0))))</f>
        <v/>
      </c>
      <c r="AA65" s="31">
        <f>IF($Y65="","",TRIM(INDEX($A:$U,ROW(),$E$6)&amp;IF($F$6="",""," "&amp;INDEX($A:$U,ROW(),$F$6))))</f>
        <v/>
      </c>
      <c r="AB65" s="31">
        <f>IF($AA65="","",SUBSTITUTE(SUBSTITUTE(SUBSTITUTE(SUBSTITUTE(SUBSTITUTE(SUBSTITUTE(SUBSTITUTE(SUBSTITUTE(SUBSTITUTE($AA65," ",""),"　",""),"(주)",""),"（주）",""),"㈜",""),"주식회사",""),"(유)",""),"（유）",""),"유한회사",""))</f>
        <v/>
      </c>
      <c r="AC65" s="31">
        <f>IF(OR($Y65="",N($Z65)&lt;=0,$AB65=""),0,IFERROR(LOOKUP(2,1/((거래처별!$AC$8:$AC$307&lt;&gt;"")*ISNUMBER(SEARCH(거래처별!$AC$8:$AC$307,$AB65))),거래처별!$A$8:$A$307),IFERROR(LOOKUP(2,1/((거래처별!$AD$8:$AD$307&lt;&gt;"")*ISNUMBER(SEARCH(거래처별!$AD$8:$AD$307,$AB65))),거래처별!$A$8:$A$307),IFERROR(LOOKUP(2,1/((거래처별!$AE$8:$AE$307&lt;&gt;"")*ISNUMBER(SEARCH(거래처별!$AE$8:$AE$307,$AB65))),거래처별!$A$8:$A$307),0))))</f>
        <v/>
      </c>
      <c r="AD65" s="31">
        <f>IF(AND($Y65&lt;&gt;"",N($Z65)&gt;0,$AC65=0),MAX($AD$7:$AD64)+1,"")</f>
        <v/>
      </c>
      <c r="AE65" s="31">
        <f>IF($Y65="",0,$Y65)</f>
        <v/>
      </c>
    </row>
    <row r="66">
      <c r="W66" s="31">
        <f>IF(OR($B$5="",$C$6="",ROW()&lt;$B$5),"",IF(INDEX($A:$U,ROW(),$C$6)="","",INDEX($A:$U,ROW(),$C$6)))</f>
        <v/>
      </c>
      <c r="X66" s="32">
        <f>IF($W66="","",IF(ISNUMBER($W66),IF($W66&gt;=10000000,IFERROR(DATE(INT($W66/10000),MOD(INT($W66/100),100),MOD($W66,100)),""),INT($W66)),IFERROR(DATE(--LEFT(LEFT(SUBSTITUTE(SUBSTITUTE(SUBSTITUTE(SUBSTITUTE(TRIM($W66),"-",""),".",""),"/","")," ",""),8),4),--MID(LEFT(SUBSTITUTE(SUBSTITUTE(SUBSTITUTE(SUBSTITUTE(TRIM($W66),"-",""),".",""),"/","")," ",""),8),5,2),--MID(LEFT(SUBSTITUTE(SUBSTITUTE(SUBSTITUTE(SUBSTITUTE(TRIM($W66),"-",""),".",""),"/","")," ",""),8),7,2)),"")))</f>
        <v/>
      </c>
      <c r="Y66" s="32">
        <f>IF($X66="","",INT($X66))</f>
        <v/>
      </c>
      <c r="Z66" s="33">
        <f>IF(OR($Y66="",$D$6=""),"",IF(INDEX($A:$U,ROW(),$D$6)="",0,IF(ISNUMBER(INDEX($A:$U,ROW(),$D$6)),INDEX($A:$U,ROW(),$D$6),IFERROR(--SUBSTITUTE(SUBSTITUTE(TRIM(INDEX($A:$U,ROW(),$D$6)),",",""),"원",""),0))))</f>
        <v/>
      </c>
      <c r="AA66" s="31">
        <f>IF($Y66="","",TRIM(INDEX($A:$U,ROW(),$E$6)&amp;IF($F$6="",""," "&amp;INDEX($A:$U,ROW(),$F$6))))</f>
        <v/>
      </c>
      <c r="AB66" s="31">
        <f>IF($AA66="","",SUBSTITUTE(SUBSTITUTE(SUBSTITUTE(SUBSTITUTE(SUBSTITUTE(SUBSTITUTE(SUBSTITUTE(SUBSTITUTE(SUBSTITUTE($AA66," ",""),"　",""),"(주)",""),"（주）",""),"㈜",""),"주식회사",""),"(유)",""),"（유）",""),"유한회사",""))</f>
        <v/>
      </c>
      <c r="AC66" s="31">
        <f>IF(OR($Y66="",N($Z66)&lt;=0,$AB66=""),0,IFERROR(LOOKUP(2,1/((거래처별!$AC$8:$AC$307&lt;&gt;"")*ISNUMBER(SEARCH(거래처별!$AC$8:$AC$307,$AB66))),거래처별!$A$8:$A$307),IFERROR(LOOKUP(2,1/((거래처별!$AD$8:$AD$307&lt;&gt;"")*ISNUMBER(SEARCH(거래처별!$AD$8:$AD$307,$AB66))),거래처별!$A$8:$A$307),IFERROR(LOOKUP(2,1/((거래처별!$AE$8:$AE$307&lt;&gt;"")*ISNUMBER(SEARCH(거래처별!$AE$8:$AE$307,$AB66))),거래처별!$A$8:$A$307),0))))</f>
        <v/>
      </c>
      <c r="AD66" s="31">
        <f>IF(AND($Y66&lt;&gt;"",N($Z66)&gt;0,$AC66=0),MAX($AD$7:$AD65)+1,"")</f>
        <v/>
      </c>
      <c r="AE66" s="31">
        <f>IF($Y66="",0,$Y66)</f>
        <v/>
      </c>
    </row>
    <row r="67">
      <c r="W67" s="31">
        <f>IF(OR($B$5="",$C$6="",ROW()&lt;$B$5),"",IF(INDEX($A:$U,ROW(),$C$6)="","",INDEX($A:$U,ROW(),$C$6)))</f>
        <v/>
      </c>
      <c r="X67" s="32">
        <f>IF($W67="","",IF(ISNUMBER($W67),IF($W67&gt;=10000000,IFERROR(DATE(INT($W67/10000),MOD(INT($W67/100),100),MOD($W67,100)),""),INT($W67)),IFERROR(DATE(--LEFT(LEFT(SUBSTITUTE(SUBSTITUTE(SUBSTITUTE(SUBSTITUTE(TRIM($W67),"-",""),".",""),"/","")," ",""),8),4),--MID(LEFT(SUBSTITUTE(SUBSTITUTE(SUBSTITUTE(SUBSTITUTE(TRIM($W67),"-",""),".",""),"/","")," ",""),8),5,2),--MID(LEFT(SUBSTITUTE(SUBSTITUTE(SUBSTITUTE(SUBSTITUTE(TRIM($W67),"-",""),".",""),"/","")," ",""),8),7,2)),"")))</f>
        <v/>
      </c>
      <c r="Y67" s="32">
        <f>IF($X67="","",INT($X67))</f>
        <v/>
      </c>
      <c r="Z67" s="33">
        <f>IF(OR($Y67="",$D$6=""),"",IF(INDEX($A:$U,ROW(),$D$6)="",0,IF(ISNUMBER(INDEX($A:$U,ROW(),$D$6)),INDEX($A:$U,ROW(),$D$6),IFERROR(--SUBSTITUTE(SUBSTITUTE(TRIM(INDEX($A:$U,ROW(),$D$6)),",",""),"원",""),0))))</f>
        <v/>
      </c>
      <c r="AA67" s="31">
        <f>IF($Y67="","",TRIM(INDEX($A:$U,ROW(),$E$6)&amp;IF($F$6="",""," "&amp;INDEX($A:$U,ROW(),$F$6))))</f>
        <v/>
      </c>
      <c r="AB67" s="31">
        <f>IF($AA67="","",SUBSTITUTE(SUBSTITUTE(SUBSTITUTE(SUBSTITUTE(SUBSTITUTE(SUBSTITUTE(SUBSTITUTE(SUBSTITUTE(SUBSTITUTE($AA67," ",""),"　",""),"(주)",""),"（주）",""),"㈜",""),"주식회사",""),"(유)",""),"（유）",""),"유한회사",""))</f>
        <v/>
      </c>
      <c r="AC67" s="31">
        <f>IF(OR($Y67="",N($Z67)&lt;=0,$AB67=""),0,IFERROR(LOOKUP(2,1/((거래처별!$AC$8:$AC$307&lt;&gt;"")*ISNUMBER(SEARCH(거래처별!$AC$8:$AC$307,$AB67))),거래처별!$A$8:$A$307),IFERROR(LOOKUP(2,1/((거래처별!$AD$8:$AD$307&lt;&gt;"")*ISNUMBER(SEARCH(거래처별!$AD$8:$AD$307,$AB67))),거래처별!$A$8:$A$307),IFERROR(LOOKUP(2,1/((거래처별!$AE$8:$AE$307&lt;&gt;"")*ISNUMBER(SEARCH(거래처별!$AE$8:$AE$307,$AB67))),거래처별!$A$8:$A$307),0))))</f>
        <v/>
      </c>
      <c r="AD67" s="31">
        <f>IF(AND($Y67&lt;&gt;"",N($Z67)&gt;0,$AC67=0),MAX($AD$7:$AD66)+1,"")</f>
        <v/>
      </c>
      <c r="AE67" s="31">
        <f>IF($Y67="",0,$Y67)</f>
        <v/>
      </c>
    </row>
    <row r="68">
      <c r="W68" s="31">
        <f>IF(OR($B$5="",$C$6="",ROW()&lt;$B$5),"",IF(INDEX($A:$U,ROW(),$C$6)="","",INDEX($A:$U,ROW(),$C$6)))</f>
        <v/>
      </c>
      <c r="X68" s="32">
        <f>IF($W68="","",IF(ISNUMBER($W68),IF($W68&gt;=10000000,IFERROR(DATE(INT($W68/10000),MOD(INT($W68/100),100),MOD($W68,100)),""),INT($W68)),IFERROR(DATE(--LEFT(LEFT(SUBSTITUTE(SUBSTITUTE(SUBSTITUTE(SUBSTITUTE(TRIM($W68),"-",""),".",""),"/","")," ",""),8),4),--MID(LEFT(SUBSTITUTE(SUBSTITUTE(SUBSTITUTE(SUBSTITUTE(TRIM($W68),"-",""),".",""),"/","")," ",""),8),5,2),--MID(LEFT(SUBSTITUTE(SUBSTITUTE(SUBSTITUTE(SUBSTITUTE(TRIM($W68),"-",""),".",""),"/","")," ",""),8),7,2)),"")))</f>
        <v/>
      </c>
      <c r="Y68" s="32">
        <f>IF($X68="","",INT($X68))</f>
        <v/>
      </c>
      <c r="Z68" s="33">
        <f>IF(OR($Y68="",$D$6=""),"",IF(INDEX($A:$U,ROW(),$D$6)="",0,IF(ISNUMBER(INDEX($A:$U,ROW(),$D$6)),INDEX($A:$U,ROW(),$D$6),IFERROR(--SUBSTITUTE(SUBSTITUTE(TRIM(INDEX($A:$U,ROW(),$D$6)),",",""),"원",""),0))))</f>
        <v/>
      </c>
      <c r="AA68" s="31">
        <f>IF($Y68="","",TRIM(INDEX($A:$U,ROW(),$E$6)&amp;IF($F$6="",""," "&amp;INDEX($A:$U,ROW(),$F$6))))</f>
        <v/>
      </c>
      <c r="AB68" s="31">
        <f>IF($AA68="","",SUBSTITUTE(SUBSTITUTE(SUBSTITUTE(SUBSTITUTE(SUBSTITUTE(SUBSTITUTE(SUBSTITUTE(SUBSTITUTE(SUBSTITUTE($AA68," ",""),"　",""),"(주)",""),"（주）",""),"㈜",""),"주식회사",""),"(유)",""),"（유）",""),"유한회사",""))</f>
        <v/>
      </c>
      <c r="AC68" s="31">
        <f>IF(OR($Y68="",N($Z68)&lt;=0,$AB68=""),0,IFERROR(LOOKUP(2,1/((거래처별!$AC$8:$AC$307&lt;&gt;"")*ISNUMBER(SEARCH(거래처별!$AC$8:$AC$307,$AB68))),거래처별!$A$8:$A$307),IFERROR(LOOKUP(2,1/((거래처별!$AD$8:$AD$307&lt;&gt;"")*ISNUMBER(SEARCH(거래처별!$AD$8:$AD$307,$AB68))),거래처별!$A$8:$A$307),IFERROR(LOOKUP(2,1/((거래처별!$AE$8:$AE$307&lt;&gt;"")*ISNUMBER(SEARCH(거래처별!$AE$8:$AE$307,$AB68))),거래처별!$A$8:$A$307),0))))</f>
        <v/>
      </c>
      <c r="AD68" s="31">
        <f>IF(AND($Y68&lt;&gt;"",N($Z68)&gt;0,$AC68=0),MAX($AD$7:$AD67)+1,"")</f>
        <v/>
      </c>
      <c r="AE68" s="31">
        <f>IF($Y68="",0,$Y68)</f>
        <v/>
      </c>
    </row>
    <row r="69">
      <c r="W69" s="31">
        <f>IF(OR($B$5="",$C$6="",ROW()&lt;$B$5),"",IF(INDEX($A:$U,ROW(),$C$6)="","",INDEX($A:$U,ROW(),$C$6)))</f>
        <v/>
      </c>
      <c r="X69" s="32">
        <f>IF($W69="","",IF(ISNUMBER($W69),IF($W69&gt;=10000000,IFERROR(DATE(INT($W69/10000),MOD(INT($W69/100),100),MOD($W69,100)),""),INT($W69)),IFERROR(DATE(--LEFT(LEFT(SUBSTITUTE(SUBSTITUTE(SUBSTITUTE(SUBSTITUTE(TRIM($W69),"-",""),".",""),"/","")," ",""),8),4),--MID(LEFT(SUBSTITUTE(SUBSTITUTE(SUBSTITUTE(SUBSTITUTE(TRIM($W69),"-",""),".",""),"/","")," ",""),8),5,2),--MID(LEFT(SUBSTITUTE(SUBSTITUTE(SUBSTITUTE(SUBSTITUTE(TRIM($W69),"-",""),".",""),"/","")," ",""),8),7,2)),"")))</f>
        <v/>
      </c>
      <c r="Y69" s="32">
        <f>IF($X69="","",INT($X69))</f>
        <v/>
      </c>
      <c r="Z69" s="33">
        <f>IF(OR($Y69="",$D$6=""),"",IF(INDEX($A:$U,ROW(),$D$6)="",0,IF(ISNUMBER(INDEX($A:$U,ROW(),$D$6)),INDEX($A:$U,ROW(),$D$6),IFERROR(--SUBSTITUTE(SUBSTITUTE(TRIM(INDEX($A:$U,ROW(),$D$6)),",",""),"원",""),0))))</f>
        <v/>
      </c>
      <c r="AA69" s="31">
        <f>IF($Y69="","",TRIM(INDEX($A:$U,ROW(),$E$6)&amp;IF($F$6="",""," "&amp;INDEX($A:$U,ROW(),$F$6))))</f>
        <v/>
      </c>
      <c r="AB69" s="31">
        <f>IF($AA69="","",SUBSTITUTE(SUBSTITUTE(SUBSTITUTE(SUBSTITUTE(SUBSTITUTE(SUBSTITUTE(SUBSTITUTE(SUBSTITUTE(SUBSTITUTE($AA69," ",""),"　",""),"(주)",""),"（주）",""),"㈜",""),"주식회사",""),"(유)",""),"（유）",""),"유한회사",""))</f>
        <v/>
      </c>
      <c r="AC69" s="31">
        <f>IF(OR($Y69="",N($Z69)&lt;=0,$AB69=""),0,IFERROR(LOOKUP(2,1/((거래처별!$AC$8:$AC$307&lt;&gt;"")*ISNUMBER(SEARCH(거래처별!$AC$8:$AC$307,$AB69))),거래처별!$A$8:$A$307),IFERROR(LOOKUP(2,1/((거래처별!$AD$8:$AD$307&lt;&gt;"")*ISNUMBER(SEARCH(거래처별!$AD$8:$AD$307,$AB69))),거래처별!$A$8:$A$307),IFERROR(LOOKUP(2,1/((거래처별!$AE$8:$AE$307&lt;&gt;"")*ISNUMBER(SEARCH(거래처별!$AE$8:$AE$307,$AB69))),거래처별!$A$8:$A$307),0))))</f>
        <v/>
      </c>
      <c r="AD69" s="31">
        <f>IF(AND($Y69&lt;&gt;"",N($Z69)&gt;0,$AC69=0),MAX($AD$7:$AD68)+1,"")</f>
        <v/>
      </c>
      <c r="AE69" s="31">
        <f>IF($Y69="",0,$Y69)</f>
        <v/>
      </c>
    </row>
    <row r="70">
      <c r="W70" s="31">
        <f>IF(OR($B$5="",$C$6="",ROW()&lt;$B$5),"",IF(INDEX($A:$U,ROW(),$C$6)="","",INDEX($A:$U,ROW(),$C$6)))</f>
        <v/>
      </c>
      <c r="X70" s="32">
        <f>IF($W70="","",IF(ISNUMBER($W70),IF($W70&gt;=10000000,IFERROR(DATE(INT($W70/10000),MOD(INT($W70/100),100),MOD($W70,100)),""),INT($W70)),IFERROR(DATE(--LEFT(LEFT(SUBSTITUTE(SUBSTITUTE(SUBSTITUTE(SUBSTITUTE(TRIM($W70),"-",""),".",""),"/","")," ",""),8),4),--MID(LEFT(SUBSTITUTE(SUBSTITUTE(SUBSTITUTE(SUBSTITUTE(TRIM($W70),"-",""),".",""),"/","")," ",""),8),5,2),--MID(LEFT(SUBSTITUTE(SUBSTITUTE(SUBSTITUTE(SUBSTITUTE(TRIM($W70),"-",""),".",""),"/","")," ",""),8),7,2)),"")))</f>
        <v/>
      </c>
      <c r="Y70" s="32">
        <f>IF($X70="","",INT($X70))</f>
        <v/>
      </c>
      <c r="Z70" s="33">
        <f>IF(OR($Y70="",$D$6=""),"",IF(INDEX($A:$U,ROW(),$D$6)="",0,IF(ISNUMBER(INDEX($A:$U,ROW(),$D$6)),INDEX($A:$U,ROW(),$D$6),IFERROR(--SUBSTITUTE(SUBSTITUTE(TRIM(INDEX($A:$U,ROW(),$D$6)),",",""),"원",""),0))))</f>
        <v/>
      </c>
      <c r="AA70" s="31">
        <f>IF($Y70="","",TRIM(INDEX($A:$U,ROW(),$E$6)&amp;IF($F$6="",""," "&amp;INDEX($A:$U,ROW(),$F$6))))</f>
        <v/>
      </c>
      <c r="AB70" s="31">
        <f>IF($AA70="","",SUBSTITUTE(SUBSTITUTE(SUBSTITUTE(SUBSTITUTE(SUBSTITUTE(SUBSTITUTE(SUBSTITUTE(SUBSTITUTE(SUBSTITUTE($AA70," ",""),"　",""),"(주)",""),"（주）",""),"㈜",""),"주식회사",""),"(유)",""),"（유）",""),"유한회사",""))</f>
        <v/>
      </c>
      <c r="AC70" s="31">
        <f>IF(OR($Y70="",N($Z70)&lt;=0,$AB70=""),0,IFERROR(LOOKUP(2,1/((거래처별!$AC$8:$AC$307&lt;&gt;"")*ISNUMBER(SEARCH(거래처별!$AC$8:$AC$307,$AB70))),거래처별!$A$8:$A$307),IFERROR(LOOKUP(2,1/((거래처별!$AD$8:$AD$307&lt;&gt;"")*ISNUMBER(SEARCH(거래처별!$AD$8:$AD$307,$AB70))),거래처별!$A$8:$A$307),IFERROR(LOOKUP(2,1/((거래처별!$AE$8:$AE$307&lt;&gt;"")*ISNUMBER(SEARCH(거래처별!$AE$8:$AE$307,$AB70))),거래처별!$A$8:$A$307),0))))</f>
        <v/>
      </c>
      <c r="AD70" s="31">
        <f>IF(AND($Y70&lt;&gt;"",N($Z70)&gt;0,$AC70=0),MAX($AD$7:$AD69)+1,"")</f>
        <v/>
      </c>
      <c r="AE70" s="31">
        <f>IF($Y70="",0,$Y70)</f>
        <v/>
      </c>
    </row>
    <row r="71">
      <c r="W71" s="31">
        <f>IF(OR($B$5="",$C$6="",ROW()&lt;$B$5),"",IF(INDEX($A:$U,ROW(),$C$6)="","",INDEX($A:$U,ROW(),$C$6)))</f>
        <v/>
      </c>
      <c r="X71" s="32">
        <f>IF($W71="","",IF(ISNUMBER($W71),IF($W71&gt;=10000000,IFERROR(DATE(INT($W71/10000),MOD(INT($W71/100),100),MOD($W71,100)),""),INT($W71)),IFERROR(DATE(--LEFT(LEFT(SUBSTITUTE(SUBSTITUTE(SUBSTITUTE(SUBSTITUTE(TRIM($W71),"-",""),".",""),"/","")," ",""),8),4),--MID(LEFT(SUBSTITUTE(SUBSTITUTE(SUBSTITUTE(SUBSTITUTE(TRIM($W71),"-",""),".",""),"/","")," ",""),8),5,2),--MID(LEFT(SUBSTITUTE(SUBSTITUTE(SUBSTITUTE(SUBSTITUTE(TRIM($W71),"-",""),".",""),"/","")," ",""),8),7,2)),"")))</f>
        <v/>
      </c>
      <c r="Y71" s="32">
        <f>IF($X71="","",INT($X71))</f>
        <v/>
      </c>
      <c r="Z71" s="33">
        <f>IF(OR($Y71="",$D$6=""),"",IF(INDEX($A:$U,ROW(),$D$6)="",0,IF(ISNUMBER(INDEX($A:$U,ROW(),$D$6)),INDEX($A:$U,ROW(),$D$6),IFERROR(--SUBSTITUTE(SUBSTITUTE(TRIM(INDEX($A:$U,ROW(),$D$6)),",",""),"원",""),0))))</f>
        <v/>
      </c>
      <c r="AA71" s="31">
        <f>IF($Y71="","",TRIM(INDEX($A:$U,ROW(),$E$6)&amp;IF($F$6="",""," "&amp;INDEX($A:$U,ROW(),$F$6))))</f>
        <v/>
      </c>
      <c r="AB71" s="31">
        <f>IF($AA71="","",SUBSTITUTE(SUBSTITUTE(SUBSTITUTE(SUBSTITUTE(SUBSTITUTE(SUBSTITUTE(SUBSTITUTE(SUBSTITUTE(SUBSTITUTE($AA71," ",""),"　",""),"(주)",""),"（주）",""),"㈜",""),"주식회사",""),"(유)",""),"（유）",""),"유한회사",""))</f>
        <v/>
      </c>
      <c r="AC71" s="31">
        <f>IF(OR($Y71="",N($Z71)&lt;=0,$AB71=""),0,IFERROR(LOOKUP(2,1/((거래처별!$AC$8:$AC$307&lt;&gt;"")*ISNUMBER(SEARCH(거래처별!$AC$8:$AC$307,$AB71))),거래처별!$A$8:$A$307),IFERROR(LOOKUP(2,1/((거래처별!$AD$8:$AD$307&lt;&gt;"")*ISNUMBER(SEARCH(거래처별!$AD$8:$AD$307,$AB71))),거래처별!$A$8:$A$307),IFERROR(LOOKUP(2,1/((거래처별!$AE$8:$AE$307&lt;&gt;"")*ISNUMBER(SEARCH(거래처별!$AE$8:$AE$307,$AB71))),거래처별!$A$8:$A$307),0))))</f>
        <v/>
      </c>
      <c r="AD71" s="31">
        <f>IF(AND($Y71&lt;&gt;"",N($Z71)&gt;0,$AC71=0),MAX($AD$7:$AD70)+1,"")</f>
        <v/>
      </c>
      <c r="AE71" s="31">
        <f>IF($Y71="",0,$Y71)</f>
        <v/>
      </c>
    </row>
    <row r="72">
      <c r="W72" s="31">
        <f>IF(OR($B$5="",$C$6="",ROW()&lt;$B$5),"",IF(INDEX($A:$U,ROW(),$C$6)="","",INDEX($A:$U,ROW(),$C$6)))</f>
        <v/>
      </c>
      <c r="X72" s="32">
        <f>IF($W72="","",IF(ISNUMBER($W72),IF($W72&gt;=10000000,IFERROR(DATE(INT($W72/10000),MOD(INT($W72/100),100),MOD($W72,100)),""),INT($W72)),IFERROR(DATE(--LEFT(LEFT(SUBSTITUTE(SUBSTITUTE(SUBSTITUTE(SUBSTITUTE(TRIM($W72),"-",""),".",""),"/","")," ",""),8),4),--MID(LEFT(SUBSTITUTE(SUBSTITUTE(SUBSTITUTE(SUBSTITUTE(TRIM($W72),"-",""),".",""),"/","")," ",""),8),5,2),--MID(LEFT(SUBSTITUTE(SUBSTITUTE(SUBSTITUTE(SUBSTITUTE(TRIM($W72),"-",""),".",""),"/","")," ",""),8),7,2)),"")))</f>
        <v/>
      </c>
      <c r="Y72" s="32">
        <f>IF($X72="","",INT($X72))</f>
        <v/>
      </c>
      <c r="Z72" s="33">
        <f>IF(OR($Y72="",$D$6=""),"",IF(INDEX($A:$U,ROW(),$D$6)="",0,IF(ISNUMBER(INDEX($A:$U,ROW(),$D$6)),INDEX($A:$U,ROW(),$D$6),IFERROR(--SUBSTITUTE(SUBSTITUTE(TRIM(INDEX($A:$U,ROW(),$D$6)),",",""),"원",""),0))))</f>
        <v/>
      </c>
      <c r="AA72" s="31">
        <f>IF($Y72="","",TRIM(INDEX($A:$U,ROW(),$E$6)&amp;IF($F$6="",""," "&amp;INDEX($A:$U,ROW(),$F$6))))</f>
        <v/>
      </c>
      <c r="AB72" s="31">
        <f>IF($AA72="","",SUBSTITUTE(SUBSTITUTE(SUBSTITUTE(SUBSTITUTE(SUBSTITUTE(SUBSTITUTE(SUBSTITUTE(SUBSTITUTE(SUBSTITUTE($AA72," ",""),"　",""),"(주)",""),"（주）",""),"㈜",""),"주식회사",""),"(유)",""),"（유）",""),"유한회사",""))</f>
        <v/>
      </c>
      <c r="AC72" s="31">
        <f>IF(OR($Y72="",N($Z72)&lt;=0,$AB72=""),0,IFERROR(LOOKUP(2,1/((거래처별!$AC$8:$AC$307&lt;&gt;"")*ISNUMBER(SEARCH(거래처별!$AC$8:$AC$307,$AB72))),거래처별!$A$8:$A$307),IFERROR(LOOKUP(2,1/((거래처별!$AD$8:$AD$307&lt;&gt;"")*ISNUMBER(SEARCH(거래처별!$AD$8:$AD$307,$AB72))),거래처별!$A$8:$A$307),IFERROR(LOOKUP(2,1/((거래처별!$AE$8:$AE$307&lt;&gt;"")*ISNUMBER(SEARCH(거래처별!$AE$8:$AE$307,$AB72))),거래처별!$A$8:$A$307),0))))</f>
        <v/>
      </c>
      <c r="AD72" s="31">
        <f>IF(AND($Y72&lt;&gt;"",N($Z72)&gt;0,$AC72=0),MAX($AD$7:$AD71)+1,"")</f>
        <v/>
      </c>
      <c r="AE72" s="31">
        <f>IF($Y72="",0,$Y72)</f>
        <v/>
      </c>
    </row>
    <row r="73">
      <c r="W73" s="31">
        <f>IF(OR($B$5="",$C$6="",ROW()&lt;$B$5),"",IF(INDEX($A:$U,ROW(),$C$6)="","",INDEX($A:$U,ROW(),$C$6)))</f>
        <v/>
      </c>
      <c r="X73" s="32">
        <f>IF($W73="","",IF(ISNUMBER($W73),IF($W73&gt;=10000000,IFERROR(DATE(INT($W73/10000),MOD(INT($W73/100),100),MOD($W73,100)),""),INT($W73)),IFERROR(DATE(--LEFT(LEFT(SUBSTITUTE(SUBSTITUTE(SUBSTITUTE(SUBSTITUTE(TRIM($W73),"-",""),".",""),"/","")," ",""),8),4),--MID(LEFT(SUBSTITUTE(SUBSTITUTE(SUBSTITUTE(SUBSTITUTE(TRIM($W73),"-",""),".",""),"/","")," ",""),8),5,2),--MID(LEFT(SUBSTITUTE(SUBSTITUTE(SUBSTITUTE(SUBSTITUTE(TRIM($W73),"-",""),".",""),"/","")," ",""),8),7,2)),"")))</f>
        <v/>
      </c>
      <c r="Y73" s="32">
        <f>IF($X73="","",INT($X73))</f>
        <v/>
      </c>
      <c r="Z73" s="33">
        <f>IF(OR($Y73="",$D$6=""),"",IF(INDEX($A:$U,ROW(),$D$6)="",0,IF(ISNUMBER(INDEX($A:$U,ROW(),$D$6)),INDEX($A:$U,ROW(),$D$6),IFERROR(--SUBSTITUTE(SUBSTITUTE(TRIM(INDEX($A:$U,ROW(),$D$6)),",",""),"원",""),0))))</f>
        <v/>
      </c>
      <c r="AA73" s="31">
        <f>IF($Y73="","",TRIM(INDEX($A:$U,ROW(),$E$6)&amp;IF($F$6="",""," "&amp;INDEX($A:$U,ROW(),$F$6))))</f>
        <v/>
      </c>
      <c r="AB73" s="31">
        <f>IF($AA73="","",SUBSTITUTE(SUBSTITUTE(SUBSTITUTE(SUBSTITUTE(SUBSTITUTE(SUBSTITUTE(SUBSTITUTE(SUBSTITUTE(SUBSTITUTE($AA73," ",""),"　",""),"(주)",""),"（주）",""),"㈜",""),"주식회사",""),"(유)",""),"（유）",""),"유한회사",""))</f>
        <v/>
      </c>
      <c r="AC73" s="31">
        <f>IF(OR($Y73="",N($Z73)&lt;=0,$AB73=""),0,IFERROR(LOOKUP(2,1/((거래처별!$AC$8:$AC$307&lt;&gt;"")*ISNUMBER(SEARCH(거래처별!$AC$8:$AC$307,$AB73))),거래처별!$A$8:$A$307),IFERROR(LOOKUP(2,1/((거래처별!$AD$8:$AD$307&lt;&gt;"")*ISNUMBER(SEARCH(거래처별!$AD$8:$AD$307,$AB73))),거래처별!$A$8:$A$307),IFERROR(LOOKUP(2,1/((거래처별!$AE$8:$AE$307&lt;&gt;"")*ISNUMBER(SEARCH(거래처별!$AE$8:$AE$307,$AB73))),거래처별!$A$8:$A$307),0))))</f>
        <v/>
      </c>
      <c r="AD73" s="31">
        <f>IF(AND($Y73&lt;&gt;"",N($Z73)&gt;0,$AC73=0),MAX($AD$7:$AD72)+1,"")</f>
        <v/>
      </c>
      <c r="AE73" s="31">
        <f>IF($Y73="",0,$Y73)</f>
        <v/>
      </c>
    </row>
    <row r="74">
      <c r="W74" s="31">
        <f>IF(OR($B$5="",$C$6="",ROW()&lt;$B$5),"",IF(INDEX($A:$U,ROW(),$C$6)="","",INDEX($A:$U,ROW(),$C$6)))</f>
        <v/>
      </c>
      <c r="X74" s="32">
        <f>IF($W74="","",IF(ISNUMBER($W74),IF($W74&gt;=10000000,IFERROR(DATE(INT($W74/10000),MOD(INT($W74/100),100),MOD($W74,100)),""),INT($W74)),IFERROR(DATE(--LEFT(LEFT(SUBSTITUTE(SUBSTITUTE(SUBSTITUTE(SUBSTITUTE(TRIM($W74),"-",""),".",""),"/","")," ",""),8),4),--MID(LEFT(SUBSTITUTE(SUBSTITUTE(SUBSTITUTE(SUBSTITUTE(TRIM($W74),"-",""),".",""),"/","")," ",""),8),5,2),--MID(LEFT(SUBSTITUTE(SUBSTITUTE(SUBSTITUTE(SUBSTITUTE(TRIM($W74),"-",""),".",""),"/","")," ",""),8),7,2)),"")))</f>
        <v/>
      </c>
      <c r="Y74" s="32">
        <f>IF($X74="","",INT($X74))</f>
        <v/>
      </c>
      <c r="Z74" s="33">
        <f>IF(OR($Y74="",$D$6=""),"",IF(INDEX($A:$U,ROW(),$D$6)="",0,IF(ISNUMBER(INDEX($A:$U,ROW(),$D$6)),INDEX($A:$U,ROW(),$D$6),IFERROR(--SUBSTITUTE(SUBSTITUTE(TRIM(INDEX($A:$U,ROW(),$D$6)),",",""),"원",""),0))))</f>
        <v/>
      </c>
      <c r="AA74" s="31">
        <f>IF($Y74="","",TRIM(INDEX($A:$U,ROW(),$E$6)&amp;IF($F$6="",""," "&amp;INDEX($A:$U,ROW(),$F$6))))</f>
        <v/>
      </c>
      <c r="AB74" s="31">
        <f>IF($AA74="","",SUBSTITUTE(SUBSTITUTE(SUBSTITUTE(SUBSTITUTE(SUBSTITUTE(SUBSTITUTE(SUBSTITUTE(SUBSTITUTE(SUBSTITUTE($AA74," ",""),"　",""),"(주)",""),"（주）",""),"㈜",""),"주식회사",""),"(유)",""),"（유）",""),"유한회사",""))</f>
        <v/>
      </c>
      <c r="AC74" s="31">
        <f>IF(OR($Y74="",N($Z74)&lt;=0,$AB74=""),0,IFERROR(LOOKUP(2,1/((거래처별!$AC$8:$AC$307&lt;&gt;"")*ISNUMBER(SEARCH(거래처별!$AC$8:$AC$307,$AB74))),거래처별!$A$8:$A$307),IFERROR(LOOKUP(2,1/((거래처별!$AD$8:$AD$307&lt;&gt;"")*ISNUMBER(SEARCH(거래처별!$AD$8:$AD$307,$AB74))),거래처별!$A$8:$A$307),IFERROR(LOOKUP(2,1/((거래처별!$AE$8:$AE$307&lt;&gt;"")*ISNUMBER(SEARCH(거래처별!$AE$8:$AE$307,$AB74))),거래처별!$A$8:$A$307),0))))</f>
        <v/>
      </c>
      <c r="AD74" s="31">
        <f>IF(AND($Y74&lt;&gt;"",N($Z74)&gt;0,$AC74=0),MAX($AD$7:$AD73)+1,"")</f>
        <v/>
      </c>
      <c r="AE74" s="31">
        <f>IF($Y74="",0,$Y74)</f>
        <v/>
      </c>
    </row>
    <row r="75">
      <c r="W75" s="31">
        <f>IF(OR($B$5="",$C$6="",ROW()&lt;$B$5),"",IF(INDEX($A:$U,ROW(),$C$6)="","",INDEX($A:$U,ROW(),$C$6)))</f>
        <v/>
      </c>
      <c r="X75" s="32">
        <f>IF($W75="","",IF(ISNUMBER($W75),IF($W75&gt;=10000000,IFERROR(DATE(INT($W75/10000),MOD(INT($W75/100),100),MOD($W75,100)),""),INT($W75)),IFERROR(DATE(--LEFT(LEFT(SUBSTITUTE(SUBSTITUTE(SUBSTITUTE(SUBSTITUTE(TRIM($W75),"-",""),".",""),"/","")," ",""),8),4),--MID(LEFT(SUBSTITUTE(SUBSTITUTE(SUBSTITUTE(SUBSTITUTE(TRIM($W75),"-",""),".",""),"/","")," ",""),8),5,2),--MID(LEFT(SUBSTITUTE(SUBSTITUTE(SUBSTITUTE(SUBSTITUTE(TRIM($W75),"-",""),".",""),"/","")," ",""),8),7,2)),"")))</f>
        <v/>
      </c>
      <c r="Y75" s="32">
        <f>IF($X75="","",INT($X75))</f>
        <v/>
      </c>
      <c r="Z75" s="33">
        <f>IF(OR($Y75="",$D$6=""),"",IF(INDEX($A:$U,ROW(),$D$6)="",0,IF(ISNUMBER(INDEX($A:$U,ROW(),$D$6)),INDEX($A:$U,ROW(),$D$6),IFERROR(--SUBSTITUTE(SUBSTITUTE(TRIM(INDEX($A:$U,ROW(),$D$6)),",",""),"원",""),0))))</f>
        <v/>
      </c>
      <c r="AA75" s="31">
        <f>IF($Y75="","",TRIM(INDEX($A:$U,ROW(),$E$6)&amp;IF($F$6="",""," "&amp;INDEX($A:$U,ROW(),$F$6))))</f>
        <v/>
      </c>
      <c r="AB75" s="31">
        <f>IF($AA75="","",SUBSTITUTE(SUBSTITUTE(SUBSTITUTE(SUBSTITUTE(SUBSTITUTE(SUBSTITUTE(SUBSTITUTE(SUBSTITUTE(SUBSTITUTE($AA75," ",""),"　",""),"(주)",""),"（주）",""),"㈜",""),"주식회사",""),"(유)",""),"（유）",""),"유한회사",""))</f>
        <v/>
      </c>
      <c r="AC75" s="31">
        <f>IF(OR($Y75="",N($Z75)&lt;=0,$AB75=""),0,IFERROR(LOOKUP(2,1/((거래처별!$AC$8:$AC$307&lt;&gt;"")*ISNUMBER(SEARCH(거래처별!$AC$8:$AC$307,$AB75))),거래처별!$A$8:$A$307),IFERROR(LOOKUP(2,1/((거래처별!$AD$8:$AD$307&lt;&gt;"")*ISNUMBER(SEARCH(거래처별!$AD$8:$AD$307,$AB75))),거래처별!$A$8:$A$307),IFERROR(LOOKUP(2,1/((거래처별!$AE$8:$AE$307&lt;&gt;"")*ISNUMBER(SEARCH(거래처별!$AE$8:$AE$307,$AB75))),거래처별!$A$8:$A$307),0))))</f>
        <v/>
      </c>
      <c r="AD75" s="31">
        <f>IF(AND($Y75&lt;&gt;"",N($Z75)&gt;0,$AC75=0),MAX($AD$7:$AD74)+1,"")</f>
        <v/>
      </c>
      <c r="AE75" s="31">
        <f>IF($Y75="",0,$Y75)</f>
        <v/>
      </c>
    </row>
    <row r="76">
      <c r="W76" s="31">
        <f>IF(OR($B$5="",$C$6="",ROW()&lt;$B$5),"",IF(INDEX($A:$U,ROW(),$C$6)="","",INDEX($A:$U,ROW(),$C$6)))</f>
        <v/>
      </c>
      <c r="X76" s="32">
        <f>IF($W76="","",IF(ISNUMBER($W76),IF($W76&gt;=10000000,IFERROR(DATE(INT($W76/10000),MOD(INT($W76/100),100),MOD($W76,100)),""),INT($W76)),IFERROR(DATE(--LEFT(LEFT(SUBSTITUTE(SUBSTITUTE(SUBSTITUTE(SUBSTITUTE(TRIM($W76),"-",""),".",""),"/","")," ",""),8),4),--MID(LEFT(SUBSTITUTE(SUBSTITUTE(SUBSTITUTE(SUBSTITUTE(TRIM($W76),"-",""),".",""),"/","")," ",""),8),5,2),--MID(LEFT(SUBSTITUTE(SUBSTITUTE(SUBSTITUTE(SUBSTITUTE(TRIM($W76),"-",""),".",""),"/","")," ",""),8),7,2)),"")))</f>
        <v/>
      </c>
      <c r="Y76" s="32">
        <f>IF($X76="","",INT($X76))</f>
        <v/>
      </c>
      <c r="Z76" s="33">
        <f>IF(OR($Y76="",$D$6=""),"",IF(INDEX($A:$U,ROW(),$D$6)="",0,IF(ISNUMBER(INDEX($A:$U,ROW(),$D$6)),INDEX($A:$U,ROW(),$D$6),IFERROR(--SUBSTITUTE(SUBSTITUTE(TRIM(INDEX($A:$U,ROW(),$D$6)),",",""),"원",""),0))))</f>
        <v/>
      </c>
      <c r="AA76" s="31">
        <f>IF($Y76="","",TRIM(INDEX($A:$U,ROW(),$E$6)&amp;IF($F$6="",""," "&amp;INDEX($A:$U,ROW(),$F$6))))</f>
        <v/>
      </c>
      <c r="AB76" s="31">
        <f>IF($AA76="","",SUBSTITUTE(SUBSTITUTE(SUBSTITUTE(SUBSTITUTE(SUBSTITUTE(SUBSTITUTE(SUBSTITUTE(SUBSTITUTE(SUBSTITUTE($AA76," ",""),"　",""),"(주)",""),"（주）",""),"㈜",""),"주식회사",""),"(유)",""),"（유）",""),"유한회사",""))</f>
        <v/>
      </c>
      <c r="AC76" s="31">
        <f>IF(OR($Y76="",N($Z76)&lt;=0,$AB76=""),0,IFERROR(LOOKUP(2,1/((거래처별!$AC$8:$AC$307&lt;&gt;"")*ISNUMBER(SEARCH(거래처별!$AC$8:$AC$307,$AB76))),거래처별!$A$8:$A$307),IFERROR(LOOKUP(2,1/((거래처별!$AD$8:$AD$307&lt;&gt;"")*ISNUMBER(SEARCH(거래처별!$AD$8:$AD$307,$AB76))),거래처별!$A$8:$A$307),IFERROR(LOOKUP(2,1/((거래처별!$AE$8:$AE$307&lt;&gt;"")*ISNUMBER(SEARCH(거래처별!$AE$8:$AE$307,$AB76))),거래처별!$A$8:$A$307),0))))</f>
        <v/>
      </c>
      <c r="AD76" s="31">
        <f>IF(AND($Y76&lt;&gt;"",N($Z76)&gt;0,$AC76=0),MAX($AD$7:$AD75)+1,"")</f>
        <v/>
      </c>
      <c r="AE76" s="31">
        <f>IF($Y76="",0,$Y76)</f>
        <v/>
      </c>
    </row>
    <row r="77">
      <c r="W77" s="31">
        <f>IF(OR($B$5="",$C$6="",ROW()&lt;$B$5),"",IF(INDEX($A:$U,ROW(),$C$6)="","",INDEX($A:$U,ROW(),$C$6)))</f>
        <v/>
      </c>
      <c r="X77" s="32">
        <f>IF($W77="","",IF(ISNUMBER($W77),IF($W77&gt;=10000000,IFERROR(DATE(INT($W77/10000),MOD(INT($W77/100),100),MOD($W77,100)),""),INT($W77)),IFERROR(DATE(--LEFT(LEFT(SUBSTITUTE(SUBSTITUTE(SUBSTITUTE(SUBSTITUTE(TRIM($W77),"-",""),".",""),"/","")," ",""),8),4),--MID(LEFT(SUBSTITUTE(SUBSTITUTE(SUBSTITUTE(SUBSTITUTE(TRIM($W77),"-",""),".",""),"/","")," ",""),8),5,2),--MID(LEFT(SUBSTITUTE(SUBSTITUTE(SUBSTITUTE(SUBSTITUTE(TRIM($W77),"-",""),".",""),"/","")," ",""),8),7,2)),"")))</f>
        <v/>
      </c>
      <c r="Y77" s="32">
        <f>IF($X77="","",INT($X77))</f>
        <v/>
      </c>
      <c r="Z77" s="33">
        <f>IF(OR($Y77="",$D$6=""),"",IF(INDEX($A:$U,ROW(),$D$6)="",0,IF(ISNUMBER(INDEX($A:$U,ROW(),$D$6)),INDEX($A:$U,ROW(),$D$6),IFERROR(--SUBSTITUTE(SUBSTITUTE(TRIM(INDEX($A:$U,ROW(),$D$6)),",",""),"원",""),0))))</f>
        <v/>
      </c>
      <c r="AA77" s="31">
        <f>IF($Y77="","",TRIM(INDEX($A:$U,ROW(),$E$6)&amp;IF($F$6="",""," "&amp;INDEX($A:$U,ROW(),$F$6))))</f>
        <v/>
      </c>
      <c r="AB77" s="31">
        <f>IF($AA77="","",SUBSTITUTE(SUBSTITUTE(SUBSTITUTE(SUBSTITUTE(SUBSTITUTE(SUBSTITUTE(SUBSTITUTE(SUBSTITUTE(SUBSTITUTE($AA77," ",""),"　",""),"(주)",""),"（주）",""),"㈜",""),"주식회사",""),"(유)",""),"（유）",""),"유한회사",""))</f>
        <v/>
      </c>
      <c r="AC77" s="31">
        <f>IF(OR($Y77="",N($Z77)&lt;=0,$AB77=""),0,IFERROR(LOOKUP(2,1/((거래처별!$AC$8:$AC$307&lt;&gt;"")*ISNUMBER(SEARCH(거래처별!$AC$8:$AC$307,$AB77))),거래처별!$A$8:$A$307),IFERROR(LOOKUP(2,1/((거래처별!$AD$8:$AD$307&lt;&gt;"")*ISNUMBER(SEARCH(거래처별!$AD$8:$AD$307,$AB77))),거래처별!$A$8:$A$307),IFERROR(LOOKUP(2,1/((거래처별!$AE$8:$AE$307&lt;&gt;"")*ISNUMBER(SEARCH(거래처별!$AE$8:$AE$307,$AB77))),거래처별!$A$8:$A$307),0))))</f>
        <v/>
      </c>
      <c r="AD77" s="31">
        <f>IF(AND($Y77&lt;&gt;"",N($Z77)&gt;0,$AC77=0),MAX($AD$7:$AD76)+1,"")</f>
        <v/>
      </c>
      <c r="AE77" s="31">
        <f>IF($Y77="",0,$Y77)</f>
        <v/>
      </c>
    </row>
    <row r="78">
      <c r="W78" s="31">
        <f>IF(OR($B$5="",$C$6="",ROW()&lt;$B$5),"",IF(INDEX($A:$U,ROW(),$C$6)="","",INDEX($A:$U,ROW(),$C$6)))</f>
        <v/>
      </c>
      <c r="X78" s="32">
        <f>IF($W78="","",IF(ISNUMBER($W78),IF($W78&gt;=10000000,IFERROR(DATE(INT($W78/10000),MOD(INT($W78/100),100),MOD($W78,100)),""),INT($W78)),IFERROR(DATE(--LEFT(LEFT(SUBSTITUTE(SUBSTITUTE(SUBSTITUTE(SUBSTITUTE(TRIM($W78),"-",""),".",""),"/","")," ",""),8),4),--MID(LEFT(SUBSTITUTE(SUBSTITUTE(SUBSTITUTE(SUBSTITUTE(TRIM($W78),"-",""),".",""),"/","")," ",""),8),5,2),--MID(LEFT(SUBSTITUTE(SUBSTITUTE(SUBSTITUTE(SUBSTITUTE(TRIM($W78),"-",""),".",""),"/","")," ",""),8),7,2)),"")))</f>
        <v/>
      </c>
      <c r="Y78" s="32">
        <f>IF($X78="","",INT($X78))</f>
        <v/>
      </c>
      <c r="Z78" s="33">
        <f>IF(OR($Y78="",$D$6=""),"",IF(INDEX($A:$U,ROW(),$D$6)="",0,IF(ISNUMBER(INDEX($A:$U,ROW(),$D$6)),INDEX($A:$U,ROW(),$D$6),IFERROR(--SUBSTITUTE(SUBSTITUTE(TRIM(INDEX($A:$U,ROW(),$D$6)),",",""),"원",""),0))))</f>
        <v/>
      </c>
      <c r="AA78" s="31">
        <f>IF($Y78="","",TRIM(INDEX($A:$U,ROW(),$E$6)&amp;IF($F$6="",""," "&amp;INDEX($A:$U,ROW(),$F$6))))</f>
        <v/>
      </c>
      <c r="AB78" s="31">
        <f>IF($AA78="","",SUBSTITUTE(SUBSTITUTE(SUBSTITUTE(SUBSTITUTE(SUBSTITUTE(SUBSTITUTE(SUBSTITUTE(SUBSTITUTE(SUBSTITUTE($AA78," ",""),"　",""),"(주)",""),"（주）",""),"㈜",""),"주식회사",""),"(유)",""),"（유）",""),"유한회사",""))</f>
        <v/>
      </c>
      <c r="AC78" s="31">
        <f>IF(OR($Y78="",N($Z78)&lt;=0,$AB78=""),0,IFERROR(LOOKUP(2,1/((거래처별!$AC$8:$AC$307&lt;&gt;"")*ISNUMBER(SEARCH(거래처별!$AC$8:$AC$307,$AB78))),거래처별!$A$8:$A$307),IFERROR(LOOKUP(2,1/((거래처별!$AD$8:$AD$307&lt;&gt;"")*ISNUMBER(SEARCH(거래처별!$AD$8:$AD$307,$AB78))),거래처별!$A$8:$A$307),IFERROR(LOOKUP(2,1/((거래처별!$AE$8:$AE$307&lt;&gt;"")*ISNUMBER(SEARCH(거래처별!$AE$8:$AE$307,$AB78))),거래처별!$A$8:$A$307),0))))</f>
        <v/>
      </c>
      <c r="AD78" s="31">
        <f>IF(AND($Y78&lt;&gt;"",N($Z78)&gt;0,$AC78=0),MAX($AD$7:$AD77)+1,"")</f>
        <v/>
      </c>
      <c r="AE78" s="31">
        <f>IF($Y78="",0,$Y78)</f>
        <v/>
      </c>
    </row>
    <row r="79">
      <c r="W79" s="31">
        <f>IF(OR($B$5="",$C$6="",ROW()&lt;$B$5),"",IF(INDEX($A:$U,ROW(),$C$6)="","",INDEX($A:$U,ROW(),$C$6)))</f>
        <v/>
      </c>
      <c r="X79" s="32">
        <f>IF($W79="","",IF(ISNUMBER($W79),IF($W79&gt;=10000000,IFERROR(DATE(INT($W79/10000),MOD(INT($W79/100),100),MOD($W79,100)),""),INT($W79)),IFERROR(DATE(--LEFT(LEFT(SUBSTITUTE(SUBSTITUTE(SUBSTITUTE(SUBSTITUTE(TRIM($W79),"-",""),".",""),"/","")," ",""),8),4),--MID(LEFT(SUBSTITUTE(SUBSTITUTE(SUBSTITUTE(SUBSTITUTE(TRIM($W79),"-",""),".",""),"/","")," ",""),8),5,2),--MID(LEFT(SUBSTITUTE(SUBSTITUTE(SUBSTITUTE(SUBSTITUTE(TRIM($W79),"-",""),".",""),"/","")," ",""),8),7,2)),"")))</f>
        <v/>
      </c>
      <c r="Y79" s="32">
        <f>IF($X79="","",INT($X79))</f>
        <v/>
      </c>
      <c r="Z79" s="33">
        <f>IF(OR($Y79="",$D$6=""),"",IF(INDEX($A:$U,ROW(),$D$6)="",0,IF(ISNUMBER(INDEX($A:$U,ROW(),$D$6)),INDEX($A:$U,ROW(),$D$6),IFERROR(--SUBSTITUTE(SUBSTITUTE(TRIM(INDEX($A:$U,ROW(),$D$6)),",",""),"원",""),0))))</f>
        <v/>
      </c>
      <c r="AA79" s="31">
        <f>IF($Y79="","",TRIM(INDEX($A:$U,ROW(),$E$6)&amp;IF($F$6="",""," "&amp;INDEX($A:$U,ROW(),$F$6))))</f>
        <v/>
      </c>
      <c r="AB79" s="31">
        <f>IF($AA79="","",SUBSTITUTE(SUBSTITUTE(SUBSTITUTE(SUBSTITUTE(SUBSTITUTE(SUBSTITUTE(SUBSTITUTE(SUBSTITUTE(SUBSTITUTE($AA79," ",""),"　",""),"(주)",""),"（주）",""),"㈜",""),"주식회사",""),"(유)",""),"（유）",""),"유한회사",""))</f>
        <v/>
      </c>
      <c r="AC79" s="31">
        <f>IF(OR($Y79="",N($Z79)&lt;=0,$AB79=""),0,IFERROR(LOOKUP(2,1/((거래처별!$AC$8:$AC$307&lt;&gt;"")*ISNUMBER(SEARCH(거래처별!$AC$8:$AC$307,$AB79))),거래처별!$A$8:$A$307),IFERROR(LOOKUP(2,1/((거래처별!$AD$8:$AD$307&lt;&gt;"")*ISNUMBER(SEARCH(거래처별!$AD$8:$AD$307,$AB79))),거래처별!$A$8:$A$307),IFERROR(LOOKUP(2,1/((거래처별!$AE$8:$AE$307&lt;&gt;"")*ISNUMBER(SEARCH(거래처별!$AE$8:$AE$307,$AB79))),거래처별!$A$8:$A$307),0))))</f>
        <v/>
      </c>
      <c r="AD79" s="31">
        <f>IF(AND($Y79&lt;&gt;"",N($Z79)&gt;0,$AC79=0),MAX($AD$7:$AD78)+1,"")</f>
        <v/>
      </c>
      <c r="AE79" s="31">
        <f>IF($Y79="",0,$Y79)</f>
        <v/>
      </c>
    </row>
    <row r="80">
      <c r="W80" s="31">
        <f>IF(OR($B$5="",$C$6="",ROW()&lt;$B$5),"",IF(INDEX($A:$U,ROW(),$C$6)="","",INDEX($A:$U,ROW(),$C$6)))</f>
        <v/>
      </c>
      <c r="X80" s="32">
        <f>IF($W80="","",IF(ISNUMBER($W80),IF($W80&gt;=10000000,IFERROR(DATE(INT($W80/10000),MOD(INT($W80/100),100),MOD($W80,100)),""),INT($W80)),IFERROR(DATE(--LEFT(LEFT(SUBSTITUTE(SUBSTITUTE(SUBSTITUTE(SUBSTITUTE(TRIM($W80),"-",""),".",""),"/","")," ",""),8),4),--MID(LEFT(SUBSTITUTE(SUBSTITUTE(SUBSTITUTE(SUBSTITUTE(TRIM($W80),"-",""),".",""),"/","")," ",""),8),5,2),--MID(LEFT(SUBSTITUTE(SUBSTITUTE(SUBSTITUTE(SUBSTITUTE(TRIM($W80),"-",""),".",""),"/","")," ",""),8),7,2)),"")))</f>
        <v/>
      </c>
      <c r="Y80" s="32">
        <f>IF($X80="","",INT($X80))</f>
        <v/>
      </c>
      <c r="Z80" s="33">
        <f>IF(OR($Y80="",$D$6=""),"",IF(INDEX($A:$U,ROW(),$D$6)="",0,IF(ISNUMBER(INDEX($A:$U,ROW(),$D$6)),INDEX($A:$U,ROW(),$D$6),IFERROR(--SUBSTITUTE(SUBSTITUTE(TRIM(INDEX($A:$U,ROW(),$D$6)),",",""),"원",""),0))))</f>
        <v/>
      </c>
      <c r="AA80" s="31">
        <f>IF($Y80="","",TRIM(INDEX($A:$U,ROW(),$E$6)&amp;IF($F$6="",""," "&amp;INDEX($A:$U,ROW(),$F$6))))</f>
        <v/>
      </c>
      <c r="AB80" s="31">
        <f>IF($AA80="","",SUBSTITUTE(SUBSTITUTE(SUBSTITUTE(SUBSTITUTE(SUBSTITUTE(SUBSTITUTE(SUBSTITUTE(SUBSTITUTE(SUBSTITUTE($AA80," ",""),"　",""),"(주)",""),"（주）",""),"㈜",""),"주식회사",""),"(유)",""),"（유）",""),"유한회사",""))</f>
        <v/>
      </c>
      <c r="AC80" s="31">
        <f>IF(OR($Y80="",N($Z80)&lt;=0,$AB80=""),0,IFERROR(LOOKUP(2,1/((거래처별!$AC$8:$AC$307&lt;&gt;"")*ISNUMBER(SEARCH(거래처별!$AC$8:$AC$307,$AB80))),거래처별!$A$8:$A$307),IFERROR(LOOKUP(2,1/((거래처별!$AD$8:$AD$307&lt;&gt;"")*ISNUMBER(SEARCH(거래처별!$AD$8:$AD$307,$AB80))),거래처별!$A$8:$A$307),IFERROR(LOOKUP(2,1/((거래처별!$AE$8:$AE$307&lt;&gt;"")*ISNUMBER(SEARCH(거래처별!$AE$8:$AE$307,$AB80))),거래처별!$A$8:$A$307),0))))</f>
        <v/>
      </c>
      <c r="AD80" s="31">
        <f>IF(AND($Y80&lt;&gt;"",N($Z80)&gt;0,$AC80=0),MAX($AD$7:$AD79)+1,"")</f>
        <v/>
      </c>
      <c r="AE80" s="31">
        <f>IF($Y80="",0,$Y80)</f>
        <v/>
      </c>
    </row>
    <row r="81">
      <c r="W81" s="31">
        <f>IF(OR($B$5="",$C$6="",ROW()&lt;$B$5),"",IF(INDEX($A:$U,ROW(),$C$6)="","",INDEX($A:$U,ROW(),$C$6)))</f>
        <v/>
      </c>
      <c r="X81" s="32">
        <f>IF($W81="","",IF(ISNUMBER($W81),IF($W81&gt;=10000000,IFERROR(DATE(INT($W81/10000),MOD(INT($W81/100),100),MOD($W81,100)),""),INT($W81)),IFERROR(DATE(--LEFT(LEFT(SUBSTITUTE(SUBSTITUTE(SUBSTITUTE(SUBSTITUTE(TRIM($W81),"-",""),".",""),"/","")," ",""),8),4),--MID(LEFT(SUBSTITUTE(SUBSTITUTE(SUBSTITUTE(SUBSTITUTE(TRIM($W81),"-",""),".",""),"/","")," ",""),8),5,2),--MID(LEFT(SUBSTITUTE(SUBSTITUTE(SUBSTITUTE(SUBSTITUTE(TRIM($W81),"-",""),".",""),"/","")," ",""),8),7,2)),"")))</f>
        <v/>
      </c>
      <c r="Y81" s="32">
        <f>IF($X81="","",INT($X81))</f>
        <v/>
      </c>
      <c r="Z81" s="33">
        <f>IF(OR($Y81="",$D$6=""),"",IF(INDEX($A:$U,ROW(),$D$6)="",0,IF(ISNUMBER(INDEX($A:$U,ROW(),$D$6)),INDEX($A:$U,ROW(),$D$6),IFERROR(--SUBSTITUTE(SUBSTITUTE(TRIM(INDEX($A:$U,ROW(),$D$6)),",",""),"원",""),0))))</f>
        <v/>
      </c>
      <c r="AA81" s="31">
        <f>IF($Y81="","",TRIM(INDEX($A:$U,ROW(),$E$6)&amp;IF($F$6="",""," "&amp;INDEX($A:$U,ROW(),$F$6))))</f>
        <v/>
      </c>
      <c r="AB81" s="31">
        <f>IF($AA81="","",SUBSTITUTE(SUBSTITUTE(SUBSTITUTE(SUBSTITUTE(SUBSTITUTE(SUBSTITUTE(SUBSTITUTE(SUBSTITUTE(SUBSTITUTE($AA81," ",""),"　",""),"(주)",""),"（주）",""),"㈜",""),"주식회사",""),"(유)",""),"（유）",""),"유한회사",""))</f>
        <v/>
      </c>
      <c r="AC81" s="31">
        <f>IF(OR($Y81="",N($Z81)&lt;=0,$AB81=""),0,IFERROR(LOOKUP(2,1/((거래처별!$AC$8:$AC$307&lt;&gt;"")*ISNUMBER(SEARCH(거래처별!$AC$8:$AC$307,$AB81))),거래처별!$A$8:$A$307),IFERROR(LOOKUP(2,1/((거래처별!$AD$8:$AD$307&lt;&gt;"")*ISNUMBER(SEARCH(거래처별!$AD$8:$AD$307,$AB81))),거래처별!$A$8:$A$307),IFERROR(LOOKUP(2,1/((거래처별!$AE$8:$AE$307&lt;&gt;"")*ISNUMBER(SEARCH(거래처별!$AE$8:$AE$307,$AB81))),거래처별!$A$8:$A$307),0))))</f>
        <v/>
      </c>
      <c r="AD81" s="31">
        <f>IF(AND($Y81&lt;&gt;"",N($Z81)&gt;0,$AC81=0),MAX($AD$7:$AD80)+1,"")</f>
        <v/>
      </c>
      <c r="AE81" s="31">
        <f>IF($Y81="",0,$Y81)</f>
        <v/>
      </c>
    </row>
    <row r="82">
      <c r="W82" s="31">
        <f>IF(OR($B$5="",$C$6="",ROW()&lt;$B$5),"",IF(INDEX($A:$U,ROW(),$C$6)="","",INDEX($A:$U,ROW(),$C$6)))</f>
        <v/>
      </c>
      <c r="X82" s="32">
        <f>IF($W82="","",IF(ISNUMBER($W82),IF($W82&gt;=10000000,IFERROR(DATE(INT($W82/10000),MOD(INT($W82/100),100),MOD($W82,100)),""),INT($W82)),IFERROR(DATE(--LEFT(LEFT(SUBSTITUTE(SUBSTITUTE(SUBSTITUTE(SUBSTITUTE(TRIM($W82),"-",""),".",""),"/","")," ",""),8),4),--MID(LEFT(SUBSTITUTE(SUBSTITUTE(SUBSTITUTE(SUBSTITUTE(TRIM($W82),"-",""),".",""),"/","")," ",""),8),5,2),--MID(LEFT(SUBSTITUTE(SUBSTITUTE(SUBSTITUTE(SUBSTITUTE(TRIM($W82),"-",""),".",""),"/","")," ",""),8),7,2)),"")))</f>
        <v/>
      </c>
      <c r="Y82" s="32">
        <f>IF($X82="","",INT($X82))</f>
        <v/>
      </c>
      <c r="Z82" s="33">
        <f>IF(OR($Y82="",$D$6=""),"",IF(INDEX($A:$U,ROW(),$D$6)="",0,IF(ISNUMBER(INDEX($A:$U,ROW(),$D$6)),INDEX($A:$U,ROW(),$D$6),IFERROR(--SUBSTITUTE(SUBSTITUTE(TRIM(INDEX($A:$U,ROW(),$D$6)),",",""),"원",""),0))))</f>
        <v/>
      </c>
      <c r="AA82" s="31">
        <f>IF($Y82="","",TRIM(INDEX($A:$U,ROW(),$E$6)&amp;IF($F$6="",""," "&amp;INDEX($A:$U,ROW(),$F$6))))</f>
        <v/>
      </c>
      <c r="AB82" s="31">
        <f>IF($AA82="","",SUBSTITUTE(SUBSTITUTE(SUBSTITUTE(SUBSTITUTE(SUBSTITUTE(SUBSTITUTE(SUBSTITUTE(SUBSTITUTE(SUBSTITUTE($AA82," ",""),"　",""),"(주)",""),"（주）",""),"㈜",""),"주식회사",""),"(유)",""),"（유）",""),"유한회사",""))</f>
        <v/>
      </c>
      <c r="AC82" s="31">
        <f>IF(OR($Y82="",N($Z82)&lt;=0,$AB82=""),0,IFERROR(LOOKUP(2,1/((거래처별!$AC$8:$AC$307&lt;&gt;"")*ISNUMBER(SEARCH(거래처별!$AC$8:$AC$307,$AB82))),거래처별!$A$8:$A$307),IFERROR(LOOKUP(2,1/((거래처별!$AD$8:$AD$307&lt;&gt;"")*ISNUMBER(SEARCH(거래처별!$AD$8:$AD$307,$AB82))),거래처별!$A$8:$A$307),IFERROR(LOOKUP(2,1/((거래처별!$AE$8:$AE$307&lt;&gt;"")*ISNUMBER(SEARCH(거래처별!$AE$8:$AE$307,$AB82))),거래처별!$A$8:$A$307),0))))</f>
        <v/>
      </c>
      <c r="AD82" s="31">
        <f>IF(AND($Y82&lt;&gt;"",N($Z82)&gt;0,$AC82=0),MAX($AD$7:$AD81)+1,"")</f>
        <v/>
      </c>
      <c r="AE82" s="31">
        <f>IF($Y82="",0,$Y82)</f>
        <v/>
      </c>
    </row>
    <row r="83">
      <c r="W83" s="31">
        <f>IF(OR($B$5="",$C$6="",ROW()&lt;$B$5),"",IF(INDEX($A:$U,ROW(),$C$6)="","",INDEX($A:$U,ROW(),$C$6)))</f>
        <v/>
      </c>
      <c r="X83" s="32">
        <f>IF($W83="","",IF(ISNUMBER($W83),IF($W83&gt;=10000000,IFERROR(DATE(INT($W83/10000),MOD(INT($W83/100),100),MOD($W83,100)),""),INT($W83)),IFERROR(DATE(--LEFT(LEFT(SUBSTITUTE(SUBSTITUTE(SUBSTITUTE(SUBSTITUTE(TRIM($W83),"-",""),".",""),"/","")," ",""),8),4),--MID(LEFT(SUBSTITUTE(SUBSTITUTE(SUBSTITUTE(SUBSTITUTE(TRIM($W83),"-",""),".",""),"/","")," ",""),8),5,2),--MID(LEFT(SUBSTITUTE(SUBSTITUTE(SUBSTITUTE(SUBSTITUTE(TRIM($W83),"-",""),".",""),"/","")," ",""),8),7,2)),"")))</f>
        <v/>
      </c>
      <c r="Y83" s="32">
        <f>IF($X83="","",INT($X83))</f>
        <v/>
      </c>
      <c r="Z83" s="33">
        <f>IF(OR($Y83="",$D$6=""),"",IF(INDEX($A:$U,ROW(),$D$6)="",0,IF(ISNUMBER(INDEX($A:$U,ROW(),$D$6)),INDEX($A:$U,ROW(),$D$6),IFERROR(--SUBSTITUTE(SUBSTITUTE(TRIM(INDEX($A:$U,ROW(),$D$6)),",",""),"원",""),0))))</f>
        <v/>
      </c>
      <c r="AA83" s="31">
        <f>IF($Y83="","",TRIM(INDEX($A:$U,ROW(),$E$6)&amp;IF($F$6="",""," "&amp;INDEX($A:$U,ROW(),$F$6))))</f>
        <v/>
      </c>
      <c r="AB83" s="31">
        <f>IF($AA83="","",SUBSTITUTE(SUBSTITUTE(SUBSTITUTE(SUBSTITUTE(SUBSTITUTE(SUBSTITUTE(SUBSTITUTE(SUBSTITUTE(SUBSTITUTE($AA83," ",""),"　",""),"(주)",""),"（주）",""),"㈜",""),"주식회사",""),"(유)",""),"（유）",""),"유한회사",""))</f>
        <v/>
      </c>
      <c r="AC83" s="31">
        <f>IF(OR($Y83="",N($Z83)&lt;=0,$AB83=""),0,IFERROR(LOOKUP(2,1/((거래처별!$AC$8:$AC$307&lt;&gt;"")*ISNUMBER(SEARCH(거래처별!$AC$8:$AC$307,$AB83))),거래처별!$A$8:$A$307),IFERROR(LOOKUP(2,1/((거래처별!$AD$8:$AD$307&lt;&gt;"")*ISNUMBER(SEARCH(거래처별!$AD$8:$AD$307,$AB83))),거래처별!$A$8:$A$307),IFERROR(LOOKUP(2,1/((거래처별!$AE$8:$AE$307&lt;&gt;"")*ISNUMBER(SEARCH(거래처별!$AE$8:$AE$307,$AB83))),거래처별!$A$8:$A$307),0))))</f>
        <v/>
      </c>
      <c r="AD83" s="31">
        <f>IF(AND($Y83&lt;&gt;"",N($Z83)&gt;0,$AC83=0),MAX($AD$7:$AD82)+1,"")</f>
        <v/>
      </c>
      <c r="AE83" s="31">
        <f>IF($Y83="",0,$Y83)</f>
        <v/>
      </c>
    </row>
    <row r="84">
      <c r="W84" s="31">
        <f>IF(OR($B$5="",$C$6="",ROW()&lt;$B$5),"",IF(INDEX($A:$U,ROW(),$C$6)="","",INDEX($A:$U,ROW(),$C$6)))</f>
        <v/>
      </c>
      <c r="X84" s="32">
        <f>IF($W84="","",IF(ISNUMBER($W84),IF($W84&gt;=10000000,IFERROR(DATE(INT($W84/10000),MOD(INT($W84/100),100),MOD($W84,100)),""),INT($W84)),IFERROR(DATE(--LEFT(LEFT(SUBSTITUTE(SUBSTITUTE(SUBSTITUTE(SUBSTITUTE(TRIM($W84),"-",""),".",""),"/","")," ",""),8),4),--MID(LEFT(SUBSTITUTE(SUBSTITUTE(SUBSTITUTE(SUBSTITUTE(TRIM($W84),"-",""),".",""),"/","")," ",""),8),5,2),--MID(LEFT(SUBSTITUTE(SUBSTITUTE(SUBSTITUTE(SUBSTITUTE(TRIM($W84),"-",""),".",""),"/","")," ",""),8),7,2)),"")))</f>
        <v/>
      </c>
      <c r="Y84" s="32">
        <f>IF($X84="","",INT($X84))</f>
        <v/>
      </c>
      <c r="Z84" s="33">
        <f>IF(OR($Y84="",$D$6=""),"",IF(INDEX($A:$U,ROW(),$D$6)="",0,IF(ISNUMBER(INDEX($A:$U,ROW(),$D$6)),INDEX($A:$U,ROW(),$D$6),IFERROR(--SUBSTITUTE(SUBSTITUTE(TRIM(INDEX($A:$U,ROW(),$D$6)),",",""),"원",""),0))))</f>
        <v/>
      </c>
      <c r="AA84" s="31">
        <f>IF($Y84="","",TRIM(INDEX($A:$U,ROW(),$E$6)&amp;IF($F$6="",""," "&amp;INDEX($A:$U,ROW(),$F$6))))</f>
        <v/>
      </c>
      <c r="AB84" s="31">
        <f>IF($AA84="","",SUBSTITUTE(SUBSTITUTE(SUBSTITUTE(SUBSTITUTE(SUBSTITUTE(SUBSTITUTE(SUBSTITUTE(SUBSTITUTE(SUBSTITUTE($AA84," ",""),"　",""),"(주)",""),"（주）",""),"㈜",""),"주식회사",""),"(유)",""),"（유）",""),"유한회사",""))</f>
        <v/>
      </c>
      <c r="AC84" s="31">
        <f>IF(OR($Y84="",N($Z84)&lt;=0,$AB84=""),0,IFERROR(LOOKUP(2,1/((거래처별!$AC$8:$AC$307&lt;&gt;"")*ISNUMBER(SEARCH(거래처별!$AC$8:$AC$307,$AB84))),거래처별!$A$8:$A$307),IFERROR(LOOKUP(2,1/((거래처별!$AD$8:$AD$307&lt;&gt;"")*ISNUMBER(SEARCH(거래처별!$AD$8:$AD$307,$AB84))),거래처별!$A$8:$A$307),IFERROR(LOOKUP(2,1/((거래처별!$AE$8:$AE$307&lt;&gt;"")*ISNUMBER(SEARCH(거래처별!$AE$8:$AE$307,$AB84))),거래처별!$A$8:$A$307),0))))</f>
        <v/>
      </c>
      <c r="AD84" s="31">
        <f>IF(AND($Y84&lt;&gt;"",N($Z84)&gt;0,$AC84=0),MAX($AD$7:$AD83)+1,"")</f>
        <v/>
      </c>
      <c r="AE84" s="31">
        <f>IF($Y84="",0,$Y84)</f>
        <v/>
      </c>
    </row>
    <row r="85">
      <c r="W85" s="31">
        <f>IF(OR($B$5="",$C$6="",ROW()&lt;$B$5),"",IF(INDEX($A:$U,ROW(),$C$6)="","",INDEX($A:$U,ROW(),$C$6)))</f>
        <v/>
      </c>
      <c r="X85" s="32">
        <f>IF($W85="","",IF(ISNUMBER($W85),IF($W85&gt;=10000000,IFERROR(DATE(INT($W85/10000),MOD(INT($W85/100),100),MOD($W85,100)),""),INT($W85)),IFERROR(DATE(--LEFT(LEFT(SUBSTITUTE(SUBSTITUTE(SUBSTITUTE(SUBSTITUTE(TRIM($W85),"-",""),".",""),"/","")," ",""),8),4),--MID(LEFT(SUBSTITUTE(SUBSTITUTE(SUBSTITUTE(SUBSTITUTE(TRIM($W85),"-",""),".",""),"/","")," ",""),8),5,2),--MID(LEFT(SUBSTITUTE(SUBSTITUTE(SUBSTITUTE(SUBSTITUTE(TRIM($W85),"-",""),".",""),"/","")," ",""),8),7,2)),"")))</f>
        <v/>
      </c>
      <c r="Y85" s="32">
        <f>IF($X85="","",INT($X85))</f>
        <v/>
      </c>
      <c r="Z85" s="33">
        <f>IF(OR($Y85="",$D$6=""),"",IF(INDEX($A:$U,ROW(),$D$6)="",0,IF(ISNUMBER(INDEX($A:$U,ROW(),$D$6)),INDEX($A:$U,ROW(),$D$6),IFERROR(--SUBSTITUTE(SUBSTITUTE(TRIM(INDEX($A:$U,ROW(),$D$6)),",",""),"원",""),0))))</f>
        <v/>
      </c>
      <c r="AA85" s="31">
        <f>IF($Y85="","",TRIM(INDEX($A:$U,ROW(),$E$6)&amp;IF($F$6="",""," "&amp;INDEX($A:$U,ROW(),$F$6))))</f>
        <v/>
      </c>
      <c r="AB85" s="31">
        <f>IF($AA85="","",SUBSTITUTE(SUBSTITUTE(SUBSTITUTE(SUBSTITUTE(SUBSTITUTE(SUBSTITUTE(SUBSTITUTE(SUBSTITUTE(SUBSTITUTE($AA85," ",""),"　",""),"(주)",""),"（주）",""),"㈜",""),"주식회사",""),"(유)",""),"（유）",""),"유한회사",""))</f>
        <v/>
      </c>
      <c r="AC85" s="31">
        <f>IF(OR($Y85="",N($Z85)&lt;=0,$AB85=""),0,IFERROR(LOOKUP(2,1/((거래처별!$AC$8:$AC$307&lt;&gt;"")*ISNUMBER(SEARCH(거래처별!$AC$8:$AC$307,$AB85))),거래처별!$A$8:$A$307),IFERROR(LOOKUP(2,1/((거래처별!$AD$8:$AD$307&lt;&gt;"")*ISNUMBER(SEARCH(거래처별!$AD$8:$AD$307,$AB85))),거래처별!$A$8:$A$307),IFERROR(LOOKUP(2,1/((거래처별!$AE$8:$AE$307&lt;&gt;"")*ISNUMBER(SEARCH(거래처별!$AE$8:$AE$307,$AB85))),거래처별!$A$8:$A$307),0))))</f>
        <v/>
      </c>
      <c r="AD85" s="31">
        <f>IF(AND($Y85&lt;&gt;"",N($Z85)&gt;0,$AC85=0),MAX($AD$7:$AD84)+1,"")</f>
        <v/>
      </c>
      <c r="AE85" s="31">
        <f>IF($Y85="",0,$Y85)</f>
        <v/>
      </c>
    </row>
    <row r="86">
      <c r="W86" s="31">
        <f>IF(OR($B$5="",$C$6="",ROW()&lt;$B$5),"",IF(INDEX($A:$U,ROW(),$C$6)="","",INDEX($A:$U,ROW(),$C$6)))</f>
        <v/>
      </c>
      <c r="X86" s="32">
        <f>IF($W86="","",IF(ISNUMBER($W86),IF($W86&gt;=10000000,IFERROR(DATE(INT($W86/10000),MOD(INT($W86/100),100),MOD($W86,100)),""),INT($W86)),IFERROR(DATE(--LEFT(LEFT(SUBSTITUTE(SUBSTITUTE(SUBSTITUTE(SUBSTITUTE(TRIM($W86),"-",""),".",""),"/","")," ",""),8),4),--MID(LEFT(SUBSTITUTE(SUBSTITUTE(SUBSTITUTE(SUBSTITUTE(TRIM($W86),"-",""),".",""),"/","")," ",""),8),5,2),--MID(LEFT(SUBSTITUTE(SUBSTITUTE(SUBSTITUTE(SUBSTITUTE(TRIM($W86),"-",""),".",""),"/","")," ",""),8),7,2)),"")))</f>
        <v/>
      </c>
      <c r="Y86" s="32">
        <f>IF($X86="","",INT($X86))</f>
        <v/>
      </c>
      <c r="Z86" s="33">
        <f>IF(OR($Y86="",$D$6=""),"",IF(INDEX($A:$U,ROW(),$D$6)="",0,IF(ISNUMBER(INDEX($A:$U,ROW(),$D$6)),INDEX($A:$U,ROW(),$D$6),IFERROR(--SUBSTITUTE(SUBSTITUTE(TRIM(INDEX($A:$U,ROW(),$D$6)),",",""),"원",""),0))))</f>
        <v/>
      </c>
      <c r="AA86" s="31">
        <f>IF($Y86="","",TRIM(INDEX($A:$U,ROW(),$E$6)&amp;IF($F$6="",""," "&amp;INDEX($A:$U,ROW(),$F$6))))</f>
        <v/>
      </c>
      <c r="AB86" s="31">
        <f>IF($AA86="","",SUBSTITUTE(SUBSTITUTE(SUBSTITUTE(SUBSTITUTE(SUBSTITUTE(SUBSTITUTE(SUBSTITUTE(SUBSTITUTE(SUBSTITUTE($AA86," ",""),"　",""),"(주)",""),"（주）",""),"㈜",""),"주식회사",""),"(유)",""),"（유）",""),"유한회사",""))</f>
        <v/>
      </c>
      <c r="AC86" s="31">
        <f>IF(OR($Y86="",N($Z86)&lt;=0,$AB86=""),0,IFERROR(LOOKUP(2,1/((거래처별!$AC$8:$AC$307&lt;&gt;"")*ISNUMBER(SEARCH(거래처별!$AC$8:$AC$307,$AB86))),거래처별!$A$8:$A$307),IFERROR(LOOKUP(2,1/((거래처별!$AD$8:$AD$307&lt;&gt;"")*ISNUMBER(SEARCH(거래처별!$AD$8:$AD$307,$AB86))),거래처별!$A$8:$A$307),IFERROR(LOOKUP(2,1/((거래처별!$AE$8:$AE$307&lt;&gt;"")*ISNUMBER(SEARCH(거래처별!$AE$8:$AE$307,$AB86))),거래처별!$A$8:$A$307),0))))</f>
        <v/>
      </c>
      <c r="AD86" s="31">
        <f>IF(AND($Y86&lt;&gt;"",N($Z86)&gt;0,$AC86=0),MAX($AD$7:$AD85)+1,"")</f>
        <v/>
      </c>
      <c r="AE86" s="31">
        <f>IF($Y86="",0,$Y86)</f>
        <v/>
      </c>
    </row>
    <row r="87">
      <c r="W87" s="31">
        <f>IF(OR($B$5="",$C$6="",ROW()&lt;$B$5),"",IF(INDEX($A:$U,ROW(),$C$6)="","",INDEX($A:$U,ROW(),$C$6)))</f>
        <v/>
      </c>
      <c r="X87" s="32">
        <f>IF($W87="","",IF(ISNUMBER($W87),IF($W87&gt;=10000000,IFERROR(DATE(INT($W87/10000),MOD(INT($W87/100),100),MOD($W87,100)),""),INT($W87)),IFERROR(DATE(--LEFT(LEFT(SUBSTITUTE(SUBSTITUTE(SUBSTITUTE(SUBSTITUTE(TRIM($W87),"-",""),".",""),"/","")," ",""),8),4),--MID(LEFT(SUBSTITUTE(SUBSTITUTE(SUBSTITUTE(SUBSTITUTE(TRIM($W87),"-",""),".",""),"/","")," ",""),8),5,2),--MID(LEFT(SUBSTITUTE(SUBSTITUTE(SUBSTITUTE(SUBSTITUTE(TRIM($W87),"-",""),".",""),"/","")," ",""),8),7,2)),"")))</f>
        <v/>
      </c>
      <c r="Y87" s="32">
        <f>IF($X87="","",INT($X87))</f>
        <v/>
      </c>
      <c r="Z87" s="33">
        <f>IF(OR($Y87="",$D$6=""),"",IF(INDEX($A:$U,ROW(),$D$6)="",0,IF(ISNUMBER(INDEX($A:$U,ROW(),$D$6)),INDEX($A:$U,ROW(),$D$6),IFERROR(--SUBSTITUTE(SUBSTITUTE(TRIM(INDEX($A:$U,ROW(),$D$6)),",",""),"원",""),0))))</f>
        <v/>
      </c>
      <c r="AA87" s="31">
        <f>IF($Y87="","",TRIM(INDEX($A:$U,ROW(),$E$6)&amp;IF($F$6="",""," "&amp;INDEX($A:$U,ROW(),$F$6))))</f>
        <v/>
      </c>
      <c r="AB87" s="31">
        <f>IF($AA87="","",SUBSTITUTE(SUBSTITUTE(SUBSTITUTE(SUBSTITUTE(SUBSTITUTE(SUBSTITUTE(SUBSTITUTE(SUBSTITUTE(SUBSTITUTE($AA87," ",""),"　",""),"(주)",""),"（주）",""),"㈜",""),"주식회사",""),"(유)",""),"（유）",""),"유한회사",""))</f>
        <v/>
      </c>
      <c r="AC87" s="31">
        <f>IF(OR($Y87="",N($Z87)&lt;=0,$AB87=""),0,IFERROR(LOOKUP(2,1/((거래처별!$AC$8:$AC$307&lt;&gt;"")*ISNUMBER(SEARCH(거래처별!$AC$8:$AC$307,$AB87))),거래처별!$A$8:$A$307),IFERROR(LOOKUP(2,1/((거래처별!$AD$8:$AD$307&lt;&gt;"")*ISNUMBER(SEARCH(거래처별!$AD$8:$AD$307,$AB87))),거래처별!$A$8:$A$307),IFERROR(LOOKUP(2,1/((거래처별!$AE$8:$AE$307&lt;&gt;"")*ISNUMBER(SEARCH(거래처별!$AE$8:$AE$307,$AB87))),거래처별!$A$8:$A$307),0))))</f>
        <v/>
      </c>
      <c r="AD87" s="31">
        <f>IF(AND($Y87&lt;&gt;"",N($Z87)&gt;0,$AC87=0),MAX($AD$7:$AD86)+1,"")</f>
        <v/>
      </c>
      <c r="AE87" s="31">
        <f>IF($Y87="",0,$Y87)</f>
        <v/>
      </c>
    </row>
    <row r="88">
      <c r="W88" s="31">
        <f>IF(OR($B$5="",$C$6="",ROW()&lt;$B$5),"",IF(INDEX($A:$U,ROW(),$C$6)="","",INDEX($A:$U,ROW(),$C$6)))</f>
        <v/>
      </c>
      <c r="X88" s="32">
        <f>IF($W88="","",IF(ISNUMBER($W88),IF($W88&gt;=10000000,IFERROR(DATE(INT($W88/10000),MOD(INT($W88/100),100),MOD($W88,100)),""),INT($W88)),IFERROR(DATE(--LEFT(LEFT(SUBSTITUTE(SUBSTITUTE(SUBSTITUTE(SUBSTITUTE(TRIM($W88),"-",""),".",""),"/","")," ",""),8),4),--MID(LEFT(SUBSTITUTE(SUBSTITUTE(SUBSTITUTE(SUBSTITUTE(TRIM($W88),"-",""),".",""),"/","")," ",""),8),5,2),--MID(LEFT(SUBSTITUTE(SUBSTITUTE(SUBSTITUTE(SUBSTITUTE(TRIM($W88),"-",""),".",""),"/","")," ",""),8),7,2)),"")))</f>
        <v/>
      </c>
      <c r="Y88" s="32">
        <f>IF($X88="","",INT($X88))</f>
        <v/>
      </c>
      <c r="Z88" s="33">
        <f>IF(OR($Y88="",$D$6=""),"",IF(INDEX($A:$U,ROW(),$D$6)="",0,IF(ISNUMBER(INDEX($A:$U,ROW(),$D$6)),INDEX($A:$U,ROW(),$D$6),IFERROR(--SUBSTITUTE(SUBSTITUTE(TRIM(INDEX($A:$U,ROW(),$D$6)),",",""),"원",""),0))))</f>
        <v/>
      </c>
      <c r="AA88" s="31">
        <f>IF($Y88="","",TRIM(INDEX($A:$U,ROW(),$E$6)&amp;IF($F$6="",""," "&amp;INDEX($A:$U,ROW(),$F$6))))</f>
        <v/>
      </c>
      <c r="AB88" s="31">
        <f>IF($AA88="","",SUBSTITUTE(SUBSTITUTE(SUBSTITUTE(SUBSTITUTE(SUBSTITUTE(SUBSTITUTE(SUBSTITUTE(SUBSTITUTE(SUBSTITUTE($AA88," ",""),"　",""),"(주)",""),"（주）",""),"㈜",""),"주식회사",""),"(유)",""),"（유）",""),"유한회사",""))</f>
        <v/>
      </c>
      <c r="AC88" s="31">
        <f>IF(OR($Y88="",N($Z88)&lt;=0,$AB88=""),0,IFERROR(LOOKUP(2,1/((거래처별!$AC$8:$AC$307&lt;&gt;"")*ISNUMBER(SEARCH(거래처별!$AC$8:$AC$307,$AB88))),거래처별!$A$8:$A$307),IFERROR(LOOKUP(2,1/((거래처별!$AD$8:$AD$307&lt;&gt;"")*ISNUMBER(SEARCH(거래처별!$AD$8:$AD$307,$AB88))),거래처별!$A$8:$A$307),IFERROR(LOOKUP(2,1/((거래처별!$AE$8:$AE$307&lt;&gt;"")*ISNUMBER(SEARCH(거래처별!$AE$8:$AE$307,$AB88))),거래처별!$A$8:$A$307),0))))</f>
        <v/>
      </c>
      <c r="AD88" s="31">
        <f>IF(AND($Y88&lt;&gt;"",N($Z88)&gt;0,$AC88=0),MAX($AD$7:$AD87)+1,"")</f>
        <v/>
      </c>
      <c r="AE88" s="31">
        <f>IF($Y88="",0,$Y88)</f>
        <v/>
      </c>
    </row>
    <row r="89">
      <c r="W89" s="31">
        <f>IF(OR($B$5="",$C$6="",ROW()&lt;$B$5),"",IF(INDEX($A:$U,ROW(),$C$6)="","",INDEX($A:$U,ROW(),$C$6)))</f>
        <v/>
      </c>
      <c r="X89" s="32">
        <f>IF($W89="","",IF(ISNUMBER($W89),IF($W89&gt;=10000000,IFERROR(DATE(INT($W89/10000),MOD(INT($W89/100),100),MOD($W89,100)),""),INT($W89)),IFERROR(DATE(--LEFT(LEFT(SUBSTITUTE(SUBSTITUTE(SUBSTITUTE(SUBSTITUTE(TRIM($W89),"-",""),".",""),"/","")," ",""),8),4),--MID(LEFT(SUBSTITUTE(SUBSTITUTE(SUBSTITUTE(SUBSTITUTE(TRIM($W89),"-",""),".",""),"/","")," ",""),8),5,2),--MID(LEFT(SUBSTITUTE(SUBSTITUTE(SUBSTITUTE(SUBSTITUTE(TRIM($W89),"-",""),".",""),"/","")," ",""),8),7,2)),"")))</f>
        <v/>
      </c>
      <c r="Y89" s="32">
        <f>IF($X89="","",INT($X89))</f>
        <v/>
      </c>
      <c r="Z89" s="33">
        <f>IF(OR($Y89="",$D$6=""),"",IF(INDEX($A:$U,ROW(),$D$6)="",0,IF(ISNUMBER(INDEX($A:$U,ROW(),$D$6)),INDEX($A:$U,ROW(),$D$6),IFERROR(--SUBSTITUTE(SUBSTITUTE(TRIM(INDEX($A:$U,ROW(),$D$6)),",",""),"원",""),0))))</f>
        <v/>
      </c>
      <c r="AA89" s="31">
        <f>IF($Y89="","",TRIM(INDEX($A:$U,ROW(),$E$6)&amp;IF($F$6="",""," "&amp;INDEX($A:$U,ROW(),$F$6))))</f>
        <v/>
      </c>
      <c r="AB89" s="31">
        <f>IF($AA89="","",SUBSTITUTE(SUBSTITUTE(SUBSTITUTE(SUBSTITUTE(SUBSTITUTE(SUBSTITUTE(SUBSTITUTE(SUBSTITUTE(SUBSTITUTE($AA89," ",""),"　",""),"(주)",""),"（주）",""),"㈜",""),"주식회사",""),"(유)",""),"（유）",""),"유한회사",""))</f>
        <v/>
      </c>
      <c r="AC89" s="31">
        <f>IF(OR($Y89="",N($Z89)&lt;=0,$AB89=""),0,IFERROR(LOOKUP(2,1/((거래처별!$AC$8:$AC$307&lt;&gt;"")*ISNUMBER(SEARCH(거래처별!$AC$8:$AC$307,$AB89))),거래처별!$A$8:$A$307),IFERROR(LOOKUP(2,1/((거래처별!$AD$8:$AD$307&lt;&gt;"")*ISNUMBER(SEARCH(거래처별!$AD$8:$AD$307,$AB89))),거래처별!$A$8:$A$307),IFERROR(LOOKUP(2,1/((거래처별!$AE$8:$AE$307&lt;&gt;"")*ISNUMBER(SEARCH(거래처별!$AE$8:$AE$307,$AB89))),거래처별!$A$8:$A$307),0))))</f>
        <v/>
      </c>
      <c r="AD89" s="31">
        <f>IF(AND($Y89&lt;&gt;"",N($Z89)&gt;0,$AC89=0),MAX($AD$7:$AD88)+1,"")</f>
        <v/>
      </c>
      <c r="AE89" s="31">
        <f>IF($Y89="",0,$Y89)</f>
        <v/>
      </c>
    </row>
    <row r="90">
      <c r="W90" s="31">
        <f>IF(OR($B$5="",$C$6="",ROW()&lt;$B$5),"",IF(INDEX($A:$U,ROW(),$C$6)="","",INDEX($A:$U,ROW(),$C$6)))</f>
        <v/>
      </c>
      <c r="X90" s="32">
        <f>IF($W90="","",IF(ISNUMBER($W90),IF($W90&gt;=10000000,IFERROR(DATE(INT($W90/10000),MOD(INT($W90/100),100),MOD($W90,100)),""),INT($W90)),IFERROR(DATE(--LEFT(LEFT(SUBSTITUTE(SUBSTITUTE(SUBSTITUTE(SUBSTITUTE(TRIM($W90),"-",""),".",""),"/","")," ",""),8),4),--MID(LEFT(SUBSTITUTE(SUBSTITUTE(SUBSTITUTE(SUBSTITUTE(TRIM($W90),"-",""),".",""),"/","")," ",""),8),5,2),--MID(LEFT(SUBSTITUTE(SUBSTITUTE(SUBSTITUTE(SUBSTITUTE(TRIM($W90),"-",""),".",""),"/","")," ",""),8),7,2)),"")))</f>
        <v/>
      </c>
      <c r="Y90" s="32">
        <f>IF($X90="","",INT($X90))</f>
        <v/>
      </c>
      <c r="Z90" s="33">
        <f>IF(OR($Y90="",$D$6=""),"",IF(INDEX($A:$U,ROW(),$D$6)="",0,IF(ISNUMBER(INDEX($A:$U,ROW(),$D$6)),INDEX($A:$U,ROW(),$D$6),IFERROR(--SUBSTITUTE(SUBSTITUTE(TRIM(INDEX($A:$U,ROW(),$D$6)),",",""),"원",""),0))))</f>
        <v/>
      </c>
      <c r="AA90" s="31">
        <f>IF($Y90="","",TRIM(INDEX($A:$U,ROW(),$E$6)&amp;IF($F$6="",""," "&amp;INDEX($A:$U,ROW(),$F$6))))</f>
        <v/>
      </c>
      <c r="AB90" s="31">
        <f>IF($AA90="","",SUBSTITUTE(SUBSTITUTE(SUBSTITUTE(SUBSTITUTE(SUBSTITUTE(SUBSTITUTE(SUBSTITUTE(SUBSTITUTE(SUBSTITUTE($AA90," ",""),"　",""),"(주)",""),"（주）",""),"㈜",""),"주식회사",""),"(유)",""),"（유）",""),"유한회사",""))</f>
        <v/>
      </c>
      <c r="AC90" s="31">
        <f>IF(OR($Y90="",N($Z90)&lt;=0,$AB90=""),0,IFERROR(LOOKUP(2,1/((거래처별!$AC$8:$AC$307&lt;&gt;"")*ISNUMBER(SEARCH(거래처별!$AC$8:$AC$307,$AB90))),거래처별!$A$8:$A$307),IFERROR(LOOKUP(2,1/((거래처별!$AD$8:$AD$307&lt;&gt;"")*ISNUMBER(SEARCH(거래처별!$AD$8:$AD$307,$AB90))),거래처별!$A$8:$A$307),IFERROR(LOOKUP(2,1/((거래처별!$AE$8:$AE$307&lt;&gt;"")*ISNUMBER(SEARCH(거래처별!$AE$8:$AE$307,$AB90))),거래처별!$A$8:$A$307),0))))</f>
        <v/>
      </c>
      <c r="AD90" s="31">
        <f>IF(AND($Y90&lt;&gt;"",N($Z90)&gt;0,$AC90=0),MAX($AD$7:$AD89)+1,"")</f>
        <v/>
      </c>
      <c r="AE90" s="31">
        <f>IF($Y90="",0,$Y90)</f>
        <v/>
      </c>
    </row>
    <row r="91">
      <c r="W91" s="31">
        <f>IF(OR($B$5="",$C$6="",ROW()&lt;$B$5),"",IF(INDEX($A:$U,ROW(),$C$6)="","",INDEX($A:$U,ROW(),$C$6)))</f>
        <v/>
      </c>
      <c r="X91" s="32">
        <f>IF($W91="","",IF(ISNUMBER($W91),IF($W91&gt;=10000000,IFERROR(DATE(INT($W91/10000),MOD(INT($W91/100),100),MOD($W91,100)),""),INT($W91)),IFERROR(DATE(--LEFT(LEFT(SUBSTITUTE(SUBSTITUTE(SUBSTITUTE(SUBSTITUTE(TRIM($W91),"-",""),".",""),"/","")," ",""),8),4),--MID(LEFT(SUBSTITUTE(SUBSTITUTE(SUBSTITUTE(SUBSTITUTE(TRIM($W91),"-",""),".",""),"/","")," ",""),8),5,2),--MID(LEFT(SUBSTITUTE(SUBSTITUTE(SUBSTITUTE(SUBSTITUTE(TRIM($W91),"-",""),".",""),"/","")," ",""),8),7,2)),"")))</f>
        <v/>
      </c>
      <c r="Y91" s="32">
        <f>IF($X91="","",INT($X91))</f>
        <v/>
      </c>
      <c r="Z91" s="33">
        <f>IF(OR($Y91="",$D$6=""),"",IF(INDEX($A:$U,ROW(),$D$6)="",0,IF(ISNUMBER(INDEX($A:$U,ROW(),$D$6)),INDEX($A:$U,ROW(),$D$6),IFERROR(--SUBSTITUTE(SUBSTITUTE(TRIM(INDEX($A:$U,ROW(),$D$6)),",",""),"원",""),0))))</f>
        <v/>
      </c>
      <c r="AA91" s="31">
        <f>IF($Y91="","",TRIM(INDEX($A:$U,ROW(),$E$6)&amp;IF($F$6="",""," "&amp;INDEX($A:$U,ROW(),$F$6))))</f>
        <v/>
      </c>
      <c r="AB91" s="31">
        <f>IF($AA91="","",SUBSTITUTE(SUBSTITUTE(SUBSTITUTE(SUBSTITUTE(SUBSTITUTE(SUBSTITUTE(SUBSTITUTE(SUBSTITUTE(SUBSTITUTE($AA91," ",""),"　",""),"(주)",""),"（주）",""),"㈜",""),"주식회사",""),"(유)",""),"（유）",""),"유한회사",""))</f>
        <v/>
      </c>
      <c r="AC91" s="31">
        <f>IF(OR($Y91="",N($Z91)&lt;=0,$AB91=""),0,IFERROR(LOOKUP(2,1/((거래처별!$AC$8:$AC$307&lt;&gt;"")*ISNUMBER(SEARCH(거래처별!$AC$8:$AC$307,$AB91))),거래처별!$A$8:$A$307),IFERROR(LOOKUP(2,1/((거래처별!$AD$8:$AD$307&lt;&gt;"")*ISNUMBER(SEARCH(거래처별!$AD$8:$AD$307,$AB91))),거래처별!$A$8:$A$307),IFERROR(LOOKUP(2,1/((거래처별!$AE$8:$AE$307&lt;&gt;"")*ISNUMBER(SEARCH(거래처별!$AE$8:$AE$307,$AB91))),거래처별!$A$8:$A$307),0))))</f>
        <v/>
      </c>
      <c r="AD91" s="31">
        <f>IF(AND($Y91&lt;&gt;"",N($Z91)&gt;0,$AC91=0),MAX($AD$7:$AD90)+1,"")</f>
        <v/>
      </c>
      <c r="AE91" s="31">
        <f>IF($Y91="",0,$Y91)</f>
        <v/>
      </c>
    </row>
    <row r="92">
      <c r="W92" s="31">
        <f>IF(OR($B$5="",$C$6="",ROW()&lt;$B$5),"",IF(INDEX($A:$U,ROW(),$C$6)="","",INDEX($A:$U,ROW(),$C$6)))</f>
        <v/>
      </c>
      <c r="X92" s="32">
        <f>IF($W92="","",IF(ISNUMBER($W92),IF($W92&gt;=10000000,IFERROR(DATE(INT($W92/10000),MOD(INT($W92/100),100),MOD($W92,100)),""),INT($W92)),IFERROR(DATE(--LEFT(LEFT(SUBSTITUTE(SUBSTITUTE(SUBSTITUTE(SUBSTITUTE(TRIM($W92),"-",""),".",""),"/","")," ",""),8),4),--MID(LEFT(SUBSTITUTE(SUBSTITUTE(SUBSTITUTE(SUBSTITUTE(TRIM($W92),"-",""),".",""),"/","")," ",""),8),5,2),--MID(LEFT(SUBSTITUTE(SUBSTITUTE(SUBSTITUTE(SUBSTITUTE(TRIM($W92),"-",""),".",""),"/","")," ",""),8),7,2)),"")))</f>
        <v/>
      </c>
      <c r="Y92" s="32">
        <f>IF($X92="","",INT($X92))</f>
        <v/>
      </c>
      <c r="Z92" s="33">
        <f>IF(OR($Y92="",$D$6=""),"",IF(INDEX($A:$U,ROW(),$D$6)="",0,IF(ISNUMBER(INDEX($A:$U,ROW(),$D$6)),INDEX($A:$U,ROW(),$D$6),IFERROR(--SUBSTITUTE(SUBSTITUTE(TRIM(INDEX($A:$U,ROW(),$D$6)),",",""),"원",""),0))))</f>
        <v/>
      </c>
      <c r="AA92" s="31">
        <f>IF($Y92="","",TRIM(INDEX($A:$U,ROW(),$E$6)&amp;IF($F$6="",""," "&amp;INDEX($A:$U,ROW(),$F$6))))</f>
        <v/>
      </c>
      <c r="AB92" s="31">
        <f>IF($AA92="","",SUBSTITUTE(SUBSTITUTE(SUBSTITUTE(SUBSTITUTE(SUBSTITUTE(SUBSTITUTE(SUBSTITUTE(SUBSTITUTE(SUBSTITUTE($AA92," ",""),"　",""),"(주)",""),"（주）",""),"㈜",""),"주식회사",""),"(유)",""),"（유）",""),"유한회사",""))</f>
        <v/>
      </c>
      <c r="AC92" s="31">
        <f>IF(OR($Y92="",N($Z92)&lt;=0,$AB92=""),0,IFERROR(LOOKUP(2,1/((거래처별!$AC$8:$AC$307&lt;&gt;"")*ISNUMBER(SEARCH(거래처별!$AC$8:$AC$307,$AB92))),거래처별!$A$8:$A$307),IFERROR(LOOKUP(2,1/((거래처별!$AD$8:$AD$307&lt;&gt;"")*ISNUMBER(SEARCH(거래처별!$AD$8:$AD$307,$AB92))),거래처별!$A$8:$A$307),IFERROR(LOOKUP(2,1/((거래처별!$AE$8:$AE$307&lt;&gt;"")*ISNUMBER(SEARCH(거래처별!$AE$8:$AE$307,$AB92))),거래처별!$A$8:$A$307),0))))</f>
        <v/>
      </c>
      <c r="AD92" s="31">
        <f>IF(AND($Y92&lt;&gt;"",N($Z92)&gt;0,$AC92=0),MAX($AD$7:$AD91)+1,"")</f>
        <v/>
      </c>
      <c r="AE92" s="31">
        <f>IF($Y92="",0,$Y92)</f>
        <v/>
      </c>
    </row>
    <row r="93">
      <c r="W93" s="31">
        <f>IF(OR($B$5="",$C$6="",ROW()&lt;$B$5),"",IF(INDEX($A:$U,ROW(),$C$6)="","",INDEX($A:$U,ROW(),$C$6)))</f>
        <v/>
      </c>
      <c r="X93" s="32">
        <f>IF($W93="","",IF(ISNUMBER($W93),IF($W93&gt;=10000000,IFERROR(DATE(INT($W93/10000),MOD(INT($W93/100),100),MOD($W93,100)),""),INT($W93)),IFERROR(DATE(--LEFT(LEFT(SUBSTITUTE(SUBSTITUTE(SUBSTITUTE(SUBSTITUTE(TRIM($W93),"-",""),".",""),"/","")," ",""),8),4),--MID(LEFT(SUBSTITUTE(SUBSTITUTE(SUBSTITUTE(SUBSTITUTE(TRIM($W93),"-",""),".",""),"/","")," ",""),8),5,2),--MID(LEFT(SUBSTITUTE(SUBSTITUTE(SUBSTITUTE(SUBSTITUTE(TRIM($W93),"-",""),".",""),"/","")," ",""),8),7,2)),"")))</f>
        <v/>
      </c>
      <c r="Y93" s="32">
        <f>IF($X93="","",INT($X93))</f>
        <v/>
      </c>
      <c r="Z93" s="33">
        <f>IF(OR($Y93="",$D$6=""),"",IF(INDEX($A:$U,ROW(),$D$6)="",0,IF(ISNUMBER(INDEX($A:$U,ROW(),$D$6)),INDEX($A:$U,ROW(),$D$6),IFERROR(--SUBSTITUTE(SUBSTITUTE(TRIM(INDEX($A:$U,ROW(),$D$6)),",",""),"원",""),0))))</f>
        <v/>
      </c>
      <c r="AA93" s="31">
        <f>IF($Y93="","",TRIM(INDEX($A:$U,ROW(),$E$6)&amp;IF($F$6="",""," "&amp;INDEX($A:$U,ROW(),$F$6))))</f>
        <v/>
      </c>
      <c r="AB93" s="31">
        <f>IF($AA93="","",SUBSTITUTE(SUBSTITUTE(SUBSTITUTE(SUBSTITUTE(SUBSTITUTE(SUBSTITUTE(SUBSTITUTE(SUBSTITUTE(SUBSTITUTE($AA93," ",""),"　",""),"(주)",""),"（주）",""),"㈜",""),"주식회사",""),"(유)",""),"（유）",""),"유한회사",""))</f>
        <v/>
      </c>
      <c r="AC93" s="31">
        <f>IF(OR($Y93="",N($Z93)&lt;=0,$AB93=""),0,IFERROR(LOOKUP(2,1/((거래처별!$AC$8:$AC$307&lt;&gt;"")*ISNUMBER(SEARCH(거래처별!$AC$8:$AC$307,$AB93))),거래처별!$A$8:$A$307),IFERROR(LOOKUP(2,1/((거래처별!$AD$8:$AD$307&lt;&gt;"")*ISNUMBER(SEARCH(거래처별!$AD$8:$AD$307,$AB93))),거래처별!$A$8:$A$307),IFERROR(LOOKUP(2,1/((거래처별!$AE$8:$AE$307&lt;&gt;"")*ISNUMBER(SEARCH(거래처별!$AE$8:$AE$307,$AB93))),거래처별!$A$8:$A$307),0))))</f>
        <v/>
      </c>
      <c r="AD93" s="31">
        <f>IF(AND($Y93&lt;&gt;"",N($Z93)&gt;0,$AC93=0),MAX($AD$7:$AD92)+1,"")</f>
        <v/>
      </c>
      <c r="AE93" s="31">
        <f>IF($Y93="",0,$Y93)</f>
        <v/>
      </c>
    </row>
    <row r="94">
      <c r="W94" s="31">
        <f>IF(OR($B$5="",$C$6="",ROW()&lt;$B$5),"",IF(INDEX($A:$U,ROW(),$C$6)="","",INDEX($A:$U,ROW(),$C$6)))</f>
        <v/>
      </c>
      <c r="X94" s="32">
        <f>IF($W94="","",IF(ISNUMBER($W94),IF($W94&gt;=10000000,IFERROR(DATE(INT($W94/10000),MOD(INT($W94/100),100),MOD($W94,100)),""),INT($W94)),IFERROR(DATE(--LEFT(LEFT(SUBSTITUTE(SUBSTITUTE(SUBSTITUTE(SUBSTITUTE(TRIM($W94),"-",""),".",""),"/","")," ",""),8),4),--MID(LEFT(SUBSTITUTE(SUBSTITUTE(SUBSTITUTE(SUBSTITUTE(TRIM($W94),"-",""),".",""),"/","")," ",""),8),5,2),--MID(LEFT(SUBSTITUTE(SUBSTITUTE(SUBSTITUTE(SUBSTITUTE(TRIM($W94),"-",""),".",""),"/","")," ",""),8),7,2)),"")))</f>
        <v/>
      </c>
      <c r="Y94" s="32">
        <f>IF($X94="","",INT($X94))</f>
        <v/>
      </c>
      <c r="Z94" s="33">
        <f>IF(OR($Y94="",$D$6=""),"",IF(INDEX($A:$U,ROW(),$D$6)="",0,IF(ISNUMBER(INDEX($A:$U,ROW(),$D$6)),INDEX($A:$U,ROW(),$D$6),IFERROR(--SUBSTITUTE(SUBSTITUTE(TRIM(INDEX($A:$U,ROW(),$D$6)),",",""),"원",""),0))))</f>
        <v/>
      </c>
      <c r="AA94" s="31">
        <f>IF($Y94="","",TRIM(INDEX($A:$U,ROW(),$E$6)&amp;IF($F$6="",""," "&amp;INDEX($A:$U,ROW(),$F$6))))</f>
        <v/>
      </c>
      <c r="AB94" s="31">
        <f>IF($AA94="","",SUBSTITUTE(SUBSTITUTE(SUBSTITUTE(SUBSTITUTE(SUBSTITUTE(SUBSTITUTE(SUBSTITUTE(SUBSTITUTE(SUBSTITUTE($AA94," ",""),"　",""),"(주)",""),"（주）",""),"㈜",""),"주식회사",""),"(유)",""),"（유）",""),"유한회사",""))</f>
        <v/>
      </c>
      <c r="AC94" s="31">
        <f>IF(OR($Y94="",N($Z94)&lt;=0,$AB94=""),0,IFERROR(LOOKUP(2,1/((거래처별!$AC$8:$AC$307&lt;&gt;"")*ISNUMBER(SEARCH(거래처별!$AC$8:$AC$307,$AB94))),거래처별!$A$8:$A$307),IFERROR(LOOKUP(2,1/((거래처별!$AD$8:$AD$307&lt;&gt;"")*ISNUMBER(SEARCH(거래처별!$AD$8:$AD$307,$AB94))),거래처별!$A$8:$A$307),IFERROR(LOOKUP(2,1/((거래처별!$AE$8:$AE$307&lt;&gt;"")*ISNUMBER(SEARCH(거래처별!$AE$8:$AE$307,$AB94))),거래처별!$A$8:$A$307),0))))</f>
        <v/>
      </c>
      <c r="AD94" s="31">
        <f>IF(AND($Y94&lt;&gt;"",N($Z94)&gt;0,$AC94=0),MAX($AD$7:$AD93)+1,"")</f>
        <v/>
      </c>
      <c r="AE94" s="31">
        <f>IF($Y94="",0,$Y94)</f>
        <v/>
      </c>
    </row>
    <row r="95">
      <c r="W95" s="31">
        <f>IF(OR($B$5="",$C$6="",ROW()&lt;$B$5),"",IF(INDEX($A:$U,ROW(),$C$6)="","",INDEX($A:$U,ROW(),$C$6)))</f>
        <v/>
      </c>
      <c r="X95" s="32">
        <f>IF($W95="","",IF(ISNUMBER($W95),IF($W95&gt;=10000000,IFERROR(DATE(INT($W95/10000),MOD(INT($W95/100),100),MOD($W95,100)),""),INT($W95)),IFERROR(DATE(--LEFT(LEFT(SUBSTITUTE(SUBSTITUTE(SUBSTITUTE(SUBSTITUTE(TRIM($W95),"-",""),".",""),"/","")," ",""),8),4),--MID(LEFT(SUBSTITUTE(SUBSTITUTE(SUBSTITUTE(SUBSTITUTE(TRIM($W95),"-",""),".",""),"/","")," ",""),8),5,2),--MID(LEFT(SUBSTITUTE(SUBSTITUTE(SUBSTITUTE(SUBSTITUTE(TRIM($W95),"-",""),".",""),"/","")," ",""),8),7,2)),"")))</f>
        <v/>
      </c>
      <c r="Y95" s="32">
        <f>IF($X95="","",INT($X95))</f>
        <v/>
      </c>
      <c r="Z95" s="33">
        <f>IF(OR($Y95="",$D$6=""),"",IF(INDEX($A:$U,ROW(),$D$6)="",0,IF(ISNUMBER(INDEX($A:$U,ROW(),$D$6)),INDEX($A:$U,ROW(),$D$6),IFERROR(--SUBSTITUTE(SUBSTITUTE(TRIM(INDEX($A:$U,ROW(),$D$6)),",",""),"원",""),0))))</f>
        <v/>
      </c>
      <c r="AA95" s="31">
        <f>IF($Y95="","",TRIM(INDEX($A:$U,ROW(),$E$6)&amp;IF($F$6="",""," "&amp;INDEX($A:$U,ROW(),$F$6))))</f>
        <v/>
      </c>
      <c r="AB95" s="31">
        <f>IF($AA95="","",SUBSTITUTE(SUBSTITUTE(SUBSTITUTE(SUBSTITUTE(SUBSTITUTE(SUBSTITUTE(SUBSTITUTE(SUBSTITUTE(SUBSTITUTE($AA95," ",""),"　",""),"(주)",""),"（주）",""),"㈜",""),"주식회사",""),"(유)",""),"（유）",""),"유한회사",""))</f>
        <v/>
      </c>
      <c r="AC95" s="31">
        <f>IF(OR($Y95="",N($Z95)&lt;=0,$AB95=""),0,IFERROR(LOOKUP(2,1/((거래처별!$AC$8:$AC$307&lt;&gt;"")*ISNUMBER(SEARCH(거래처별!$AC$8:$AC$307,$AB95))),거래처별!$A$8:$A$307),IFERROR(LOOKUP(2,1/((거래처별!$AD$8:$AD$307&lt;&gt;"")*ISNUMBER(SEARCH(거래처별!$AD$8:$AD$307,$AB95))),거래처별!$A$8:$A$307),IFERROR(LOOKUP(2,1/((거래처별!$AE$8:$AE$307&lt;&gt;"")*ISNUMBER(SEARCH(거래처별!$AE$8:$AE$307,$AB95))),거래처별!$A$8:$A$307),0))))</f>
        <v/>
      </c>
      <c r="AD95" s="31">
        <f>IF(AND($Y95&lt;&gt;"",N($Z95)&gt;0,$AC95=0),MAX($AD$7:$AD94)+1,"")</f>
        <v/>
      </c>
      <c r="AE95" s="31">
        <f>IF($Y95="",0,$Y95)</f>
        <v/>
      </c>
    </row>
    <row r="96">
      <c r="W96" s="31">
        <f>IF(OR($B$5="",$C$6="",ROW()&lt;$B$5),"",IF(INDEX($A:$U,ROW(),$C$6)="","",INDEX($A:$U,ROW(),$C$6)))</f>
        <v/>
      </c>
      <c r="X96" s="32">
        <f>IF($W96="","",IF(ISNUMBER($W96),IF($W96&gt;=10000000,IFERROR(DATE(INT($W96/10000),MOD(INT($W96/100),100),MOD($W96,100)),""),INT($W96)),IFERROR(DATE(--LEFT(LEFT(SUBSTITUTE(SUBSTITUTE(SUBSTITUTE(SUBSTITUTE(TRIM($W96),"-",""),".",""),"/","")," ",""),8),4),--MID(LEFT(SUBSTITUTE(SUBSTITUTE(SUBSTITUTE(SUBSTITUTE(TRIM($W96),"-",""),".",""),"/","")," ",""),8),5,2),--MID(LEFT(SUBSTITUTE(SUBSTITUTE(SUBSTITUTE(SUBSTITUTE(TRIM($W96),"-",""),".",""),"/","")," ",""),8),7,2)),"")))</f>
        <v/>
      </c>
      <c r="Y96" s="32">
        <f>IF($X96="","",INT($X96))</f>
        <v/>
      </c>
      <c r="Z96" s="33">
        <f>IF(OR($Y96="",$D$6=""),"",IF(INDEX($A:$U,ROW(),$D$6)="",0,IF(ISNUMBER(INDEX($A:$U,ROW(),$D$6)),INDEX($A:$U,ROW(),$D$6),IFERROR(--SUBSTITUTE(SUBSTITUTE(TRIM(INDEX($A:$U,ROW(),$D$6)),",",""),"원",""),0))))</f>
        <v/>
      </c>
      <c r="AA96" s="31">
        <f>IF($Y96="","",TRIM(INDEX($A:$U,ROW(),$E$6)&amp;IF($F$6="",""," "&amp;INDEX($A:$U,ROW(),$F$6))))</f>
        <v/>
      </c>
      <c r="AB96" s="31">
        <f>IF($AA96="","",SUBSTITUTE(SUBSTITUTE(SUBSTITUTE(SUBSTITUTE(SUBSTITUTE(SUBSTITUTE(SUBSTITUTE(SUBSTITUTE(SUBSTITUTE($AA96," ",""),"　",""),"(주)",""),"（주）",""),"㈜",""),"주식회사",""),"(유)",""),"（유）",""),"유한회사",""))</f>
        <v/>
      </c>
      <c r="AC96" s="31">
        <f>IF(OR($Y96="",N($Z96)&lt;=0,$AB96=""),0,IFERROR(LOOKUP(2,1/((거래처별!$AC$8:$AC$307&lt;&gt;"")*ISNUMBER(SEARCH(거래처별!$AC$8:$AC$307,$AB96))),거래처별!$A$8:$A$307),IFERROR(LOOKUP(2,1/((거래처별!$AD$8:$AD$307&lt;&gt;"")*ISNUMBER(SEARCH(거래처별!$AD$8:$AD$307,$AB96))),거래처별!$A$8:$A$307),IFERROR(LOOKUP(2,1/((거래처별!$AE$8:$AE$307&lt;&gt;"")*ISNUMBER(SEARCH(거래처별!$AE$8:$AE$307,$AB96))),거래처별!$A$8:$A$307),0))))</f>
        <v/>
      </c>
      <c r="AD96" s="31">
        <f>IF(AND($Y96&lt;&gt;"",N($Z96)&gt;0,$AC96=0),MAX($AD$7:$AD95)+1,"")</f>
        <v/>
      </c>
      <c r="AE96" s="31">
        <f>IF($Y96="",0,$Y96)</f>
        <v/>
      </c>
    </row>
    <row r="97">
      <c r="W97" s="31">
        <f>IF(OR($B$5="",$C$6="",ROW()&lt;$B$5),"",IF(INDEX($A:$U,ROW(),$C$6)="","",INDEX($A:$U,ROW(),$C$6)))</f>
        <v/>
      </c>
      <c r="X97" s="32">
        <f>IF($W97="","",IF(ISNUMBER($W97),IF($W97&gt;=10000000,IFERROR(DATE(INT($W97/10000),MOD(INT($W97/100),100),MOD($W97,100)),""),INT($W97)),IFERROR(DATE(--LEFT(LEFT(SUBSTITUTE(SUBSTITUTE(SUBSTITUTE(SUBSTITUTE(TRIM($W97),"-",""),".",""),"/","")," ",""),8),4),--MID(LEFT(SUBSTITUTE(SUBSTITUTE(SUBSTITUTE(SUBSTITUTE(TRIM($W97),"-",""),".",""),"/","")," ",""),8),5,2),--MID(LEFT(SUBSTITUTE(SUBSTITUTE(SUBSTITUTE(SUBSTITUTE(TRIM($W97),"-",""),".",""),"/","")," ",""),8),7,2)),"")))</f>
        <v/>
      </c>
      <c r="Y97" s="32">
        <f>IF($X97="","",INT($X97))</f>
        <v/>
      </c>
      <c r="Z97" s="33">
        <f>IF(OR($Y97="",$D$6=""),"",IF(INDEX($A:$U,ROW(),$D$6)="",0,IF(ISNUMBER(INDEX($A:$U,ROW(),$D$6)),INDEX($A:$U,ROW(),$D$6),IFERROR(--SUBSTITUTE(SUBSTITUTE(TRIM(INDEX($A:$U,ROW(),$D$6)),",",""),"원",""),0))))</f>
        <v/>
      </c>
      <c r="AA97" s="31">
        <f>IF($Y97="","",TRIM(INDEX($A:$U,ROW(),$E$6)&amp;IF($F$6="",""," "&amp;INDEX($A:$U,ROW(),$F$6))))</f>
        <v/>
      </c>
      <c r="AB97" s="31">
        <f>IF($AA97="","",SUBSTITUTE(SUBSTITUTE(SUBSTITUTE(SUBSTITUTE(SUBSTITUTE(SUBSTITUTE(SUBSTITUTE(SUBSTITUTE(SUBSTITUTE($AA97," ",""),"　",""),"(주)",""),"（주）",""),"㈜",""),"주식회사",""),"(유)",""),"（유）",""),"유한회사",""))</f>
        <v/>
      </c>
      <c r="AC97" s="31">
        <f>IF(OR($Y97="",N($Z97)&lt;=0,$AB97=""),0,IFERROR(LOOKUP(2,1/((거래처별!$AC$8:$AC$307&lt;&gt;"")*ISNUMBER(SEARCH(거래처별!$AC$8:$AC$307,$AB97))),거래처별!$A$8:$A$307),IFERROR(LOOKUP(2,1/((거래처별!$AD$8:$AD$307&lt;&gt;"")*ISNUMBER(SEARCH(거래처별!$AD$8:$AD$307,$AB97))),거래처별!$A$8:$A$307),IFERROR(LOOKUP(2,1/((거래처별!$AE$8:$AE$307&lt;&gt;"")*ISNUMBER(SEARCH(거래처별!$AE$8:$AE$307,$AB97))),거래처별!$A$8:$A$307),0))))</f>
        <v/>
      </c>
      <c r="AD97" s="31">
        <f>IF(AND($Y97&lt;&gt;"",N($Z97)&gt;0,$AC97=0),MAX($AD$7:$AD96)+1,"")</f>
        <v/>
      </c>
      <c r="AE97" s="31">
        <f>IF($Y97="",0,$Y97)</f>
        <v/>
      </c>
    </row>
    <row r="98">
      <c r="W98" s="31">
        <f>IF(OR($B$5="",$C$6="",ROW()&lt;$B$5),"",IF(INDEX($A:$U,ROW(),$C$6)="","",INDEX($A:$U,ROW(),$C$6)))</f>
        <v/>
      </c>
      <c r="X98" s="32">
        <f>IF($W98="","",IF(ISNUMBER($W98),IF($W98&gt;=10000000,IFERROR(DATE(INT($W98/10000),MOD(INT($W98/100),100),MOD($W98,100)),""),INT($W98)),IFERROR(DATE(--LEFT(LEFT(SUBSTITUTE(SUBSTITUTE(SUBSTITUTE(SUBSTITUTE(TRIM($W98),"-",""),".",""),"/","")," ",""),8),4),--MID(LEFT(SUBSTITUTE(SUBSTITUTE(SUBSTITUTE(SUBSTITUTE(TRIM($W98),"-",""),".",""),"/","")," ",""),8),5,2),--MID(LEFT(SUBSTITUTE(SUBSTITUTE(SUBSTITUTE(SUBSTITUTE(TRIM($W98),"-",""),".",""),"/","")," ",""),8),7,2)),"")))</f>
        <v/>
      </c>
      <c r="Y98" s="32">
        <f>IF($X98="","",INT($X98))</f>
        <v/>
      </c>
      <c r="Z98" s="33">
        <f>IF(OR($Y98="",$D$6=""),"",IF(INDEX($A:$U,ROW(),$D$6)="",0,IF(ISNUMBER(INDEX($A:$U,ROW(),$D$6)),INDEX($A:$U,ROW(),$D$6),IFERROR(--SUBSTITUTE(SUBSTITUTE(TRIM(INDEX($A:$U,ROW(),$D$6)),",",""),"원",""),0))))</f>
        <v/>
      </c>
      <c r="AA98" s="31">
        <f>IF($Y98="","",TRIM(INDEX($A:$U,ROW(),$E$6)&amp;IF($F$6="",""," "&amp;INDEX($A:$U,ROW(),$F$6))))</f>
        <v/>
      </c>
      <c r="AB98" s="31">
        <f>IF($AA98="","",SUBSTITUTE(SUBSTITUTE(SUBSTITUTE(SUBSTITUTE(SUBSTITUTE(SUBSTITUTE(SUBSTITUTE(SUBSTITUTE(SUBSTITUTE($AA98," ",""),"　",""),"(주)",""),"（주）",""),"㈜",""),"주식회사",""),"(유)",""),"（유）",""),"유한회사",""))</f>
        <v/>
      </c>
      <c r="AC98" s="31">
        <f>IF(OR($Y98="",N($Z98)&lt;=0,$AB98=""),0,IFERROR(LOOKUP(2,1/((거래처별!$AC$8:$AC$307&lt;&gt;"")*ISNUMBER(SEARCH(거래처별!$AC$8:$AC$307,$AB98))),거래처별!$A$8:$A$307),IFERROR(LOOKUP(2,1/((거래처별!$AD$8:$AD$307&lt;&gt;"")*ISNUMBER(SEARCH(거래처별!$AD$8:$AD$307,$AB98))),거래처별!$A$8:$A$307),IFERROR(LOOKUP(2,1/((거래처별!$AE$8:$AE$307&lt;&gt;"")*ISNUMBER(SEARCH(거래처별!$AE$8:$AE$307,$AB98))),거래처별!$A$8:$A$307),0))))</f>
        <v/>
      </c>
      <c r="AD98" s="31">
        <f>IF(AND($Y98&lt;&gt;"",N($Z98)&gt;0,$AC98=0),MAX($AD$7:$AD97)+1,"")</f>
        <v/>
      </c>
      <c r="AE98" s="31">
        <f>IF($Y98="",0,$Y98)</f>
        <v/>
      </c>
    </row>
    <row r="99">
      <c r="W99" s="31">
        <f>IF(OR($B$5="",$C$6="",ROW()&lt;$B$5),"",IF(INDEX($A:$U,ROW(),$C$6)="","",INDEX($A:$U,ROW(),$C$6)))</f>
        <v/>
      </c>
      <c r="X99" s="32">
        <f>IF($W99="","",IF(ISNUMBER($W99),IF($W99&gt;=10000000,IFERROR(DATE(INT($W99/10000),MOD(INT($W99/100),100),MOD($W99,100)),""),INT($W99)),IFERROR(DATE(--LEFT(LEFT(SUBSTITUTE(SUBSTITUTE(SUBSTITUTE(SUBSTITUTE(TRIM($W99),"-",""),".",""),"/","")," ",""),8),4),--MID(LEFT(SUBSTITUTE(SUBSTITUTE(SUBSTITUTE(SUBSTITUTE(TRIM($W99),"-",""),".",""),"/","")," ",""),8),5,2),--MID(LEFT(SUBSTITUTE(SUBSTITUTE(SUBSTITUTE(SUBSTITUTE(TRIM($W99),"-",""),".",""),"/","")," ",""),8),7,2)),"")))</f>
        <v/>
      </c>
      <c r="Y99" s="32">
        <f>IF($X99="","",INT($X99))</f>
        <v/>
      </c>
      <c r="Z99" s="33">
        <f>IF(OR($Y99="",$D$6=""),"",IF(INDEX($A:$U,ROW(),$D$6)="",0,IF(ISNUMBER(INDEX($A:$U,ROW(),$D$6)),INDEX($A:$U,ROW(),$D$6),IFERROR(--SUBSTITUTE(SUBSTITUTE(TRIM(INDEX($A:$U,ROW(),$D$6)),",",""),"원",""),0))))</f>
        <v/>
      </c>
      <c r="AA99" s="31">
        <f>IF($Y99="","",TRIM(INDEX($A:$U,ROW(),$E$6)&amp;IF($F$6="",""," "&amp;INDEX($A:$U,ROW(),$F$6))))</f>
        <v/>
      </c>
      <c r="AB99" s="31">
        <f>IF($AA99="","",SUBSTITUTE(SUBSTITUTE(SUBSTITUTE(SUBSTITUTE(SUBSTITUTE(SUBSTITUTE(SUBSTITUTE(SUBSTITUTE(SUBSTITUTE($AA99," ",""),"　",""),"(주)",""),"（주）",""),"㈜",""),"주식회사",""),"(유)",""),"（유）",""),"유한회사",""))</f>
        <v/>
      </c>
      <c r="AC99" s="31">
        <f>IF(OR($Y99="",N($Z99)&lt;=0,$AB99=""),0,IFERROR(LOOKUP(2,1/((거래처별!$AC$8:$AC$307&lt;&gt;"")*ISNUMBER(SEARCH(거래처별!$AC$8:$AC$307,$AB99))),거래처별!$A$8:$A$307),IFERROR(LOOKUP(2,1/((거래처별!$AD$8:$AD$307&lt;&gt;"")*ISNUMBER(SEARCH(거래처별!$AD$8:$AD$307,$AB99))),거래처별!$A$8:$A$307),IFERROR(LOOKUP(2,1/((거래처별!$AE$8:$AE$307&lt;&gt;"")*ISNUMBER(SEARCH(거래처별!$AE$8:$AE$307,$AB99))),거래처별!$A$8:$A$307),0))))</f>
        <v/>
      </c>
      <c r="AD99" s="31">
        <f>IF(AND($Y99&lt;&gt;"",N($Z99)&gt;0,$AC99=0),MAX($AD$7:$AD98)+1,"")</f>
        <v/>
      </c>
      <c r="AE99" s="31">
        <f>IF($Y99="",0,$Y99)</f>
        <v/>
      </c>
    </row>
    <row r="100">
      <c r="W100" s="31">
        <f>IF(OR($B$5="",$C$6="",ROW()&lt;$B$5),"",IF(INDEX($A:$U,ROW(),$C$6)="","",INDEX($A:$U,ROW(),$C$6)))</f>
        <v/>
      </c>
      <c r="X100" s="32">
        <f>IF($W100="","",IF(ISNUMBER($W100),IF($W100&gt;=10000000,IFERROR(DATE(INT($W100/10000),MOD(INT($W100/100),100),MOD($W100,100)),""),INT($W100)),IFERROR(DATE(--LEFT(LEFT(SUBSTITUTE(SUBSTITUTE(SUBSTITUTE(SUBSTITUTE(TRIM($W100),"-",""),".",""),"/","")," ",""),8),4),--MID(LEFT(SUBSTITUTE(SUBSTITUTE(SUBSTITUTE(SUBSTITUTE(TRIM($W100),"-",""),".",""),"/","")," ",""),8),5,2),--MID(LEFT(SUBSTITUTE(SUBSTITUTE(SUBSTITUTE(SUBSTITUTE(TRIM($W100),"-",""),".",""),"/","")," ",""),8),7,2)),"")))</f>
        <v/>
      </c>
      <c r="Y100" s="32">
        <f>IF($X100="","",INT($X100))</f>
        <v/>
      </c>
      <c r="Z100" s="33">
        <f>IF(OR($Y100="",$D$6=""),"",IF(INDEX($A:$U,ROW(),$D$6)="",0,IF(ISNUMBER(INDEX($A:$U,ROW(),$D$6)),INDEX($A:$U,ROW(),$D$6),IFERROR(--SUBSTITUTE(SUBSTITUTE(TRIM(INDEX($A:$U,ROW(),$D$6)),",",""),"원",""),0))))</f>
        <v/>
      </c>
      <c r="AA100" s="31">
        <f>IF($Y100="","",TRIM(INDEX($A:$U,ROW(),$E$6)&amp;IF($F$6="",""," "&amp;INDEX($A:$U,ROW(),$F$6))))</f>
        <v/>
      </c>
      <c r="AB100" s="31">
        <f>IF($AA100="","",SUBSTITUTE(SUBSTITUTE(SUBSTITUTE(SUBSTITUTE(SUBSTITUTE(SUBSTITUTE(SUBSTITUTE(SUBSTITUTE(SUBSTITUTE($AA100," ",""),"　",""),"(주)",""),"（주）",""),"㈜",""),"주식회사",""),"(유)",""),"（유）",""),"유한회사",""))</f>
        <v/>
      </c>
      <c r="AC100" s="31">
        <f>IF(OR($Y100="",N($Z100)&lt;=0,$AB100=""),0,IFERROR(LOOKUP(2,1/((거래처별!$AC$8:$AC$307&lt;&gt;"")*ISNUMBER(SEARCH(거래처별!$AC$8:$AC$307,$AB100))),거래처별!$A$8:$A$307),IFERROR(LOOKUP(2,1/((거래처별!$AD$8:$AD$307&lt;&gt;"")*ISNUMBER(SEARCH(거래처별!$AD$8:$AD$307,$AB100))),거래처별!$A$8:$A$307),IFERROR(LOOKUP(2,1/((거래처별!$AE$8:$AE$307&lt;&gt;"")*ISNUMBER(SEARCH(거래처별!$AE$8:$AE$307,$AB100))),거래처별!$A$8:$A$307),0))))</f>
        <v/>
      </c>
      <c r="AD100" s="31">
        <f>IF(AND($Y100&lt;&gt;"",N($Z100)&gt;0,$AC100=0),MAX($AD$7:$AD99)+1,"")</f>
        <v/>
      </c>
      <c r="AE100" s="31">
        <f>IF($Y100="",0,$Y100)</f>
        <v/>
      </c>
    </row>
    <row r="101">
      <c r="W101" s="31">
        <f>IF(OR($B$5="",$C$6="",ROW()&lt;$B$5),"",IF(INDEX($A:$U,ROW(),$C$6)="","",INDEX($A:$U,ROW(),$C$6)))</f>
        <v/>
      </c>
      <c r="X101" s="32">
        <f>IF($W101="","",IF(ISNUMBER($W101),IF($W101&gt;=10000000,IFERROR(DATE(INT($W101/10000),MOD(INT($W101/100),100),MOD($W101,100)),""),INT($W101)),IFERROR(DATE(--LEFT(LEFT(SUBSTITUTE(SUBSTITUTE(SUBSTITUTE(SUBSTITUTE(TRIM($W101),"-",""),".",""),"/","")," ",""),8),4),--MID(LEFT(SUBSTITUTE(SUBSTITUTE(SUBSTITUTE(SUBSTITUTE(TRIM($W101),"-",""),".",""),"/","")," ",""),8),5,2),--MID(LEFT(SUBSTITUTE(SUBSTITUTE(SUBSTITUTE(SUBSTITUTE(TRIM($W101),"-",""),".",""),"/","")," ",""),8),7,2)),"")))</f>
        <v/>
      </c>
      <c r="Y101" s="32">
        <f>IF($X101="","",INT($X101))</f>
        <v/>
      </c>
      <c r="Z101" s="33">
        <f>IF(OR($Y101="",$D$6=""),"",IF(INDEX($A:$U,ROW(),$D$6)="",0,IF(ISNUMBER(INDEX($A:$U,ROW(),$D$6)),INDEX($A:$U,ROW(),$D$6),IFERROR(--SUBSTITUTE(SUBSTITUTE(TRIM(INDEX($A:$U,ROW(),$D$6)),",",""),"원",""),0))))</f>
        <v/>
      </c>
      <c r="AA101" s="31">
        <f>IF($Y101="","",TRIM(INDEX($A:$U,ROW(),$E$6)&amp;IF($F$6="",""," "&amp;INDEX($A:$U,ROW(),$F$6))))</f>
        <v/>
      </c>
      <c r="AB101" s="31">
        <f>IF($AA101="","",SUBSTITUTE(SUBSTITUTE(SUBSTITUTE(SUBSTITUTE(SUBSTITUTE(SUBSTITUTE(SUBSTITUTE(SUBSTITUTE(SUBSTITUTE($AA101," ",""),"　",""),"(주)",""),"（주）",""),"㈜",""),"주식회사",""),"(유)",""),"（유）",""),"유한회사",""))</f>
        <v/>
      </c>
      <c r="AC101" s="31">
        <f>IF(OR($Y101="",N($Z101)&lt;=0,$AB101=""),0,IFERROR(LOOKUP(2,1/((거래처별!$AC$8:$AC$307&lt;&gt;"")*ISNUMBER(SEARCH(거래처별!$AC$8:$AC$307,$AB101))),거래처별!$A$8:$A$307),IFERROR(LOOKUP(2,1/((거래처별!$AD$8:$AD$307&lt;&gt;"")*ISNUMBER(SEARCH(거래처별!$AD$8:$AD$307,$AB101))),거래처별!$A$8:$A$307),IFERROR(LOOKUP(2,1/((거래처별!$AE$8:$AE$307&lt;&gt;"")*ISNUMBER(SEARCH(거래처별!$AE$8:$AE$307,$AB101))),거래처별!$A$8:$A$307),0))))</f>
        <v/>
      </c>
      <c r="AD101" s="31">
        <f>IF(AND($Y101&lt;&gt;"",N($Z101)&gt;0,$AC101=0),MAX($AD$7:$AD100)+1,"")</f>
        <v/>
      </c>
      <c r="AE101" s="31">
        <f>IF($Y101="",0,$Y101)</f>
        <v/>
      </c>
    </row>
    <row r="102">
      <c r="W102" s="31">
        <f>IF(OR($B$5="",$C$6="",ROW()&lt;$B$5),"",IF(INDEX($A:$U,ROW(),$C$6)="","",INDEX($A:$U,ROW(),$C$6)))</f>
        <v/>
      </c>
      <c r="X102" s="32">
        <f>IF($W102="","",IF(ISNUMBER($W102),IF($W102&gt;=10000000,IFERROR(DATE(INT($W102/10000),MOD(INT($W102/100),100),MOD($W102,100)),""),INT($W102)),IFERROR(DATE(--LEFT(LEFT(SUBSTITUTE(SUBSTITUTE(SUBSTITUTE(SUBSTITUTE(TRIM($W102),"-",""),".",""),"/","")," ",""),8),4),--MID(LEFT(SUBSTITUTE(SUBSTITUTE(SUBSTITUTE(SUBSTITUTE(TRIM($W102),"-",""),".",""),"/","")," ",""),8),5,2),--MID(LEFT(SUBSTITUTE(SUBSTITUTE(SUBSTITUTE(SUBSTITUTE(TRIM($W102),"-",""),".",""),"/","")," ",""),8),7,2)),"")))</f>
        <v/>
      </c>
      <c r="Y102" s="32">
        <f>IF($X102="","",INT($X102))</f>
        <v/>
      </c>
      <c r="Z102" s="33">
        <f>IF(OR($Y102="",$D$6=""),"",IF(INDEX($A:$U,ROW(),$D$6)="",0,IF(ISNUMBER(INDEX($A:$U,ROW(),$D$6)),INDEX($A:$U,ROW(),$D$6),IFERROR(--SUBSTITUTE(SUBSTITUTE(TRIM(INDEX($A:$U,ROW(),$D$6)),",",""),"원",""),0))))</f>
        <v/>
      </c>
      <c r="AA102" s="31">
        <f>IF($Y102="","",TRIM(INDEX($A:$U,ROW(),$E$6)&amp;IF($F$6="",""," "&amp;INDEX($A:$U,ROW(),$F$6))))</f>
        <v/>
      </c>
      <c r="AB102" s="31">
        <f>IF($AA102="","",SUBSTITUTE(SUBSTITUTE(SUBSTITUTE(SUBSTITUTE(SUBSTITUTE(SUBSTITUTE(SUBSTITUTE(SUBSTITUTE(SUBSTITUTE($AA102," ",""),"　",""),"(주)",""),"（주）",""),"㈜",""),"주식회사",""),"(유)",""),"（유）",""),"유한회사",""))</f>
        <v/>
      </c>
      <c r="AC102" s="31">
        <f>IF(OR($Y102="",N($Z102)&lt;=0,$AB102=""),0,IFERROR(LOOKUP(2,1/((거래처별!$AC$8:$AC$307&lt;&gt;"")*ISNUMBER(SEARCH(거래처별!$AC$8:$AC$307,$AB102))),거래처별!$A$8:$A$307),IFERROR(LOOKUP(2,1/((거래처별!$AD$8:$AD$307&lt;&gt;"")*ISNUMBER(SEARCH(거래처별!$AD$8:$AD$307,$AB102))),거래처별!$A$8:$A$307),IFERROR(LOOKUP(2,1/((거래처별!$AE$8:$AE$307&lt;&gt;"")*ISNUMBER(SEARCH(거래처별!$AE$8:$AE$307,$AB102))),거래처별!$A$8:$A$307),0))))</f>
        <v/>
      </c>
      <c r="AD102" s="31">
        <f>IF(AND($Y102&lt;&gt;"",N($Z102)&gt;0,$AC102=0),MAX($AD$7:$AD101)+1,"")</f>
        <v/>
      </c>
      <c r="AE102" s="31">
        <f>IF($Y102="",0,$Y102)</f>
        <v/>
      </c>
    </row>
    <row r="103">
      <c r="W103" s="31">
        <f>IF(OR($B$5="",$C$6="",ROW()&lt;$B$5),"",IF(INDEX($A:$U,ROW(),$C$6)="","",INDEX($A:$U,ROW(),$C$6)))</f>
        <v/>
      </c>
      <c r="X103" s="32">
        <f>IF($W103="","",IF(ISNUMBER($W103),IF($W103&gt;=10000000,IFERROR(DATE(INT($W103/10000),MOD(INT($W103/100),100),MOD($W103,100)),""),INT($W103)),IFERROR(DATE(--LEFT(LEFT(SUBSTITUTE(SUBSTITUTE(SUBSTITUTE(SUBSTITUTE(TRIM($W103),"-",""),".",""),"/","")," ",""),8),4),--MID(LEFT(SUBSTITUTE(SUBSTITUTE(SUBSTITUTE(SUBSTITUTE(TRIM($W103),"-",""),".",""),"/","")," ",""),8),5,2),--MID(LEFT(SUBSTITUTE(SUBSTITUTE(SUBSTITUTE(SUBSTITUTE(TRIM($W103),"-",""),".",""),"/","")," ",""),8),7,2)),"")))</f>
        <v/>
      </c>
      <c r="Y103" s="32">
        <f>IF($X103="","",INT($X103))</f>
        <v/>
      </c>
      <c r="Z103" s="33">
        <f>IF(OR($Y103="",$D$6=""),"",IF(INDEX($A:$U,ROW(),$D$6)="",0,IF(ISNUMBER(INDEX($A:$U,ROW(),$D$6)),INDEX($A:$U,ROW(),$D$6),IFERROR(--SUBSTITUTE(SUBSTITUTE(TRIM(INDEX($A:$U,ROW(),$D$6)),",",""),"원",""),0))))</f>
        <v/>
      </c>
      <c r="AA103" s="31">
        <f>IF($Y103="","",TRIM(INDEX($A:$U,ROW(),$E$6)&amp;IF($F$6="",""," "&amp;INDEX($A:$U,ROW(),$F$6))))</f>
        <v/>
      </c>
      <c r="AB103" s="31">
        <f>IF($AA103="","",SUBSTITUTE(SUBSTITUTE(SUBSTITUTE(SUBSTITUTE(SUBSTITUTE(SUBSTITUTE(SUBSTITUTE(SUBSTITUTE(SUBSTITUTE($AA103," ",""),"　",""),"(주)",""),"（주）",""),"㈜",""),"주식회사",""),"(유)",""),"（유）",""),"유한회사",""))</f>
        <v/>
      </c>
      <c r="AC103" s="31">
        <f>IF(OR($Y103="",N($Z103)&lt;=0,$AB103=""),0,IFERROR(LOOKUP(2,1/((거래처별!$AC$8:$AC$307&lt;&gt;"")*ISNUMBER(SEARCH(거래처별!$AC$8:$AC$307,$AB103))),거래처별!$A$8:$A$307),IFERROR(LOOKUP(2,1/((거래처별!$AD$8:$AD$307&lt;&gt;"")*ISNUMBER(SEARCH(거래처별!$AD$8:$AD$307,$AB103))),거래처별!$A$8:$A$307),IFERROR(LOOKUP(2,1/((거래처별!$AE$8:$AE$307&lt;&gt;"")*ISNUMBER(SEARCH(거래처별!$AE$8:$AE$307,$AB103))),거래처별!$A$8:$A$307),0))))</f>
        <v/>
      </c>
      <c r="AD103" s="31">
        <f>IF(AND($Y103&lt;&gt;"",N($Z103)&gt;0,$AC103=0),MAX($AD$7:$AD102)+1,"")</f>
        <v/>
      </c>
      <c r="AE103" s="31">
        <f>IF($Y103="",0,$Y103)</f>
        <v/>
      </c>
    </row>
    <row r="104">
      <c r="W104" s="31">
        <f>IF(OR($B$5="",$C$6="",ROW()&lt;$B$5),"",IF(INDEX($A:$U,ROW(),$C$6)="","",INDEX($A:$U,ROW(),$C$6)))</f>
        <v/>
      </c>
      <c r="X104" s="32">
        <f>IF($W104="","",IF(ISNUMBER($W104),IF($W104&gt;=10000000,IFERROR(DATE(INT($W104/10000),MOD(INT($W104/100),100),MOD($W104,100)),""),INT($W104)),IFERROR(DATE(--LEFT(LEFT(SUBSTITUTE(SUBSTITUTE(SUBSTITUTE(SUBSTITUTE(TRIM($W104),"-",""),".",""),"/","")," ",""),8),4),--MID(LEFT(SUBSTITUTE(SUBSTITUTE(SUBSTITUTE(SUBSTITUTE(TRIM($W104),"-",""),".",""),"/","")," ",""),8),5,2),--MID(LEFT(SUBSTITUTE(SUBSTITUTE(SUBSTITUTE(SUBSTITUTE(TRIM($W104),"-",""),".",""),"/","")," ",""),8),7,2)),"")))</f>
        <v/>
      </c>
      <c r="Y104" s="32">
        <f>IF($X104="","",INT($X104))</f>
        <v/>
      </c>
      <c r="Z104" s="33">
        <f>IF(OR($Y104="",$D$6=""),"",IF(INDEX($A:$U,ROW(),$D$6)="",0,IF(ISNUMBER(INDEX($A:$U,ROW(),$D$6)),INDEX($A:$U,ROW(),$D$6),IFERROR(--SUBSTITUTE(SUBSTITUTE(TRIM(INDEX($A:$U,ROW(),$D$6)),",",""),"원",""),0))))</f>
        <v/>
      </c>
      <c r="AA104" s="31">
        <f>IF($Y104="","",TRIM(INDEX($A:$U,ROW(),$E$6)&amp;IF($F$6="",""," "&amp;INDEX($A:$U,ROW(),$F$6))))</f>
        <v/>
      </c>
      <c r="AB104" s="31">
        <f>IF($AA104="","",SUBSTITUTE(SUBSTITUTE(SUBSTITUTE(SUBSTITUTE(SUBSTITUTE(SUBSTITUTE(SUBSTITUTE(SUBSTITUTE(SUBSTITUTE($AA104," ",""),"　",""),"(주)",""),"（주）",""),"㈜",""),"주식회사",""),"(유)",""),"（유）",""),"유한회사",""))</f>
        <v/>
      </c>
      <c r="AC104" s="31">
        <f>IF(OR($Y104="",N($Z104)&lt;=0,$AB104=""),0,IFERROR(LOOKUP(2,1/((거래처별!$AC$8:$AC$307&lt;&gt;"")*ISNUMBER(SEARCH(거래처별!$AC$8:$AC$307,$AB104))),거래처별!$A$8:$A$307),IFERROR(LOOKUP(2,1/((거래처별!$AD$8:$AD$307&lt;&gt;"")*ISNUMBER(SEARCH(거래처별!$AD$8:$AD$307,$AB104))),거래처별!$A$8:$A$307),IFERROR(LOOKUP(2,1/((거래처별!$AE$8:$AE$307&lt;&gt;"")*ISNUMBER(SEARCH(거래처별!$AE$8:$AE$307,$AB104))),거래처별!$A$8:$A$307),0))))</f>
        <v/>
      </c>
      <c r="AD104" s="31">
        <f>IF(AND($Y104&lt;&gt;"",N($Z104)&gt;0,$AC104=0),MAX($AD$7:$AD103)+1,"")</f>
        <v/>
      </c>
      <c r="AE104" s="31">
        <f>IF($Y104="",0,$Y104)</f>
        <v/>
      </c>
    </row>
    <row r="105">
      <c r="W105" s="31">
        <f>IF(OR($B$5="",$C$6="",ROW()&lt;$B$5),"",IF(INDEX($A:$U,ROW(),$C$6)="","",INDEX($A:$U,ROW(),$C$6)))</f>
        <v/>
      </c>
      <c r="X105" s="32">
        <f>IF($W105="","",IF(ISNUMBER($W105),IF($W105&gt;=10000000,IFERROR(DATE(INT($W105/10000),MOD(INT($W105/100),100),MOD($W105,100)),""),INT($W105)),IFERROR(DATE(--LEFT(LEFT(SUBSTITUTE(SUBSTITUTE(SUBSTITUTE(SUBSTITUTE(TRIM($W105),"-",""),".",""),"/","")," ",""),8),4),--MID(LEFT(SUBSTITUTE(SUBSTITUTE(SUBSTITUTE(SUBSTITUTE(TRIM($W105),"-",""),".",""),"/","")," ",""),8),5,2),--MID(LEFT(SUBSTITUTE(SUBSTITUTE(SUBSTITUTE(SUBSTITUTE(TRIM($W105),"-",""),".",""),"/","")," ",""),8),7,2)),"")))</f>
        <v/>
      </c>
      <c r="Y105" s="32">
        <f>IF($X105="","",INT($X105))</f>
        <v/>
      </c>
      <c r="Z105" s="33">
        <f>IF(OR($Y105="",$D$6=""),"",IF(INDEX($A:$U,ROW(),$D$6)="",0,IF(ISNUMBER(INDEX($A:$U,ROW(),$D$6)),INDEX($A:$U,ROW(),$D$6),IFERROR(--SUBSTITUTE(SUBSTITUTE(TRIM(INDEX($A:$U,ROW(),$D$6)),",",""),"원",""),0))))</f>
        <v/>
      </c>
      <c r="AA105" s="31">
        <f>IF($Y105="","",TRIM(INDEX($A:$U,ROW(),$E$6)&amp;IF($F$6="",""," "&amp;INDEX($A:$U,ROW(),$F$6))))</f>
        <v/>
      </c>
      <c r="AB105" s="31">
        <f>IF($AA105="","",SUBSTITUTE(SUBSTITUTE(SUBSTITUTE(SUBSTITUTE(SUBSTITUTE(SUBSTITUTE(SUBSTITUTE(SUBSTITUTE(SUBSTITUTE($AA105," ",""),"　",""),"(주)",""),"（주）",""),"㈜",""),"주식회사",""),"(유)",""),"（유）",""),"유한회사",""))</f>
        <v/>
      </c>
      <c r="AC105" s="31">
        <f>IF(OR($Y105="",N($Z105)&lt;=0,$AB105=""),0,IFERROR(LOOKUP(2,1/((거래처별!$AC$8:$AC$307&lt;&gt;"")*ISNUMBER(SEARCH(거래처별!$AC$8:$AC$307,$AB105))),거래처별!$A$8:$A$307),IFERROR(LOOKUP(2,1/((거래처별!$AD$8:$AD$307&lt;&gt;"")*ISNUMBER(SEARCH(거래처별!$AD$8:$AD$307,$AB105))),거래처별!$A$8:$A$307),IFERROR(LOOKUP(2,1/((거래처별!$AE$8:$AE$307&lt;&gt;"")*ISNUMBER(SEARCH(거래처별!$AE$8:$AE$307,$AB105))),거래처별!$A$8:$A$307),0))))</f>
        <v/>
      </c>
      <c r="AD105" s="31">
        <f>IF(AND($Y105&lt;&gt;"",N($Z105)&gt;0,$AC105=0),MAX($AD$7:$AD104)+1,"")</f>
        <v/>
      </c>
      <c r="AE105" s="31">
        <f>IF($Y105="",0,$Y105)</f>
        <v/>
      </c>
    </row>
    <row r="106">
      <c r="W106" s="31">
        <f>IF(OR($B$5="",$C$6="",ROW()&lt;$B$5),"",IF(INDEX($A:$U,ROW(),$C$6)="","",INDEX($A:$U,ROW(),$C$6)))</f>
        <v/>
      </c>
      <c r="X106" s="32">
        <f>IF($W106="","",IF(ISNUMBER($W106),IF($W106&gt;=10000000,IFERROR(DATE(INT($W106/10000),MOD(INT($W106/100),100),MOD($W106,100)),""),INT($W106)),IFERROR(DATE(--LEFT(LEFT(SUBSTITUTE(SUBSTITUTE(SUBSTITUTE(SUBSTITUTE(TRIM($W106),"-",""),".",""),"/","")," ",""),8),4),--MID(LEFT(SUBSTITUTE(SUBSTITUTE(SUBSTITUTE(SUBSTITUTE(TRIM($W106),"-",""),".",""),"/","")," ",""),8),5,2),--MID(LEFT(SUBSTITUTE(SUBSTITUTE(SUBSTITUTE(SUBSTITUTE(TRIM($W106),"-",""),".",""),"/","")," ",""),8),7,2)),"")))</f>
        <v/>
      </c>
      <c r="Y106" s="32">
        <f>IF($X106="","",INT($X106))</f>
        <v/>
      </c>
      <c r="Z106" s="33">
        <f>IF(OR($Y106="",$D$6=""),"",IF(INDEX($A:$U,ROW(),$D$6)="",0,IF(ISNUMBER(INDEX($A:$U,ROW(),$D$6)),INDEX($A:$U,ROW(),$D$6),IFERROR(--SUBSTITUTE(SUBSTITUTE(TRIM(INDEX($A:$U,ROW(),$D$6)),",",""),"원",""),0))))</f>
        <v/>
      </c>
      <c r="AA106" s="31">
        <f>IF($Y106="","",TRIM(INDEX($A:$U,ROW(),$E$6)&amp;IF($F$6="",""," "&amp;INDEX($A:$U,ROW(),$F$6))))</f>
        <v/>
      </c>
      <c r="AB106" s="31">
        <f>IF($AA106="","",SUBSTITUTE(SUBSTITUTE(SUBSTITUTE(SUBSTITUTE(SUBSTITUTE(SUBSTITUTE(SUBSTITUTE(SUBSTITUTE(SUBSTITUTE($AA106," ",""),"　",""),"(주)",""),"（주）",""),"㈜",""),"주식회사",""),"(유)",""),"（유）",""),"유한회사",""))</f>
        <v/>
      </c>
      <c r="AC106" s="31">
        <f>IF(OR($Y106="",N($Z106)&lt;=0,$AB106=""),0,IFERROR(LOOKUP(2,1/((거래처별!$AC$8:$AC$307&lt;&gt;"")*ISNUMBER(SEARCH(거래처별!$AC$8:$AC$307,$AB106))),거래처별!$A$8:$A$307),IFERROR(LOOKUP(2,1/((거래처별!$AD$8:$AD$307&lt;&gt;"")*ISNUMBER(SEARCH(거래처별!$AD$8:$AD$307,$AB106))),거래처별!$A$8:$A$307),IFERROR(LOOKUP(2,1/((거래처별!$AE$8:$AE$307&lt;&gt;"")*ISNUMBER(SEARCH(거래처별!$AE$8:$AE$307,$AB106))),거래처별!$A$8:$A$307),0))))</f>
        <v/>
      </c>
      <c r="AD106" s="31">
        <f>IF(AND($Y106&lt;&gt;"",N($Z106)&gt;0,$AC106=0),MAX($AD$7:$AD105)+1,"")</f>
        <v/>
      </c>
      <c r="AE106" s="31">
        <f>IF($Y106="",0,$Y106)</f>
        <v/>
      </c>
    </row>
    <row r="107">
      <c r="W107" s="31">
        <f>IF(OR($B$5="",$C$6="",ROW()&lt;$B$5),"",IF(INDEX($A:$U,ROW(),$C$6)="","",INDEX($A:$U,ROW(),$C$6)))</f>
        <v/>
      </c>
      <c r="X107" s="32">
        <f>IF($W107="","",IF(ISNUMBER($W107),IF($W107&gt;=10000000,IFERROR(DATE(INT($W107/10000),MOD(INT($W107/100),100),MOD($W107,100)),""),INT($W107)),IFERROR(DATE(--LEFT(LEFT(SUBSTITUTE(SUBSTITUTE(SUBSTITUTE(SUBSTITUTE(TRIM($W107),"-",""),".",""),"/","")," ",""),8),4),--MID(LEFT(SUBSTITUTE(SUBSTITUTE(SUBSTITUTE(SUBSTITUTE(TRIM($W107),"-",""),".",""),"/","")," ",""),8),5,2),--MID(LEFT(SUBSTITUTE(SUBSTITUTE(SUBSTITUTE(SUBSTITUTE(TRIM($W107),"-",""),".",""),"/","")," ",""),8),7,2)),"")))</f>
        <v/>
      </c>
      <c r="Y107" s="32">
        <f>IF($X107="","",INT($X107))</f>
        <v/>
      </c>
      <c r="Z107" s="33">
        <f>IF(OR($Y107="",$D$6=""),"",IF(INDEX($A:$U,ROW(),$D$6)="",0,IF(ISNUMBER(INDEX($A:$U,ROW(),$D$6)),INDEX($A:$U,ROW(),$D$6),IFERROR(--SUBSTITUTE(SUBSTITUTE(TRIM(INDEX($A:$U,ROW(),$D$6)),",",""),"원",""),0))))</f>
        <v/>
      </c>
      <c r="AA107" s="31">
        <f>IF($Y107="","",TRIM(INDEX($A:$U,ROW(),$E$6)&amp;IF($F$6="",""," "&amp;INDEX($A:$U,ROW(),$F$6))))</f>
        <v/>
      </c>
      <c r="AB107" s="31">
        <f>IF($AA107="","",SUBSTITUTE(SUBSTITUTE(SUBSTITUTE(SUBSTITUTE(SUBSTITUTE(SUBSTITUTE(SUBSTITUTE(SUBSTITUTE(SUBSTITUTE($AA107," ",""),"　",""),"(주)",""),"（주）",""),"㈜",""),"주식회사",""),"(유)",""),"（유）",""),"유한회사",""))</f>
        <v/>
      </c>
      <c r="AC107" s="31">
        <f>IF(OR($Y107="",N($Z107)&lt;=0,$AB107=""),0,IFERROR(LOOKUP(2,1/((거래처별!$AC$8:$AC$307&lt;&gt;"")*ISNUMBER(SEARCH(거래처별!$AC$8:$AC$307,$AB107))),거래처별!$A$8:$A$307),IFERROR(LOOKUP(2,1/((거래처별!$AD$8:$AD$307&lt;&gt;"")*ISNUMBER(SEARCH(거래처별!$AD$8:$AD$307,$AB107))),거래처별!$A$8:$A$307),IFERROR(LOOKUP(2,1/((거래처별!$AE$8:$AE$307&lt;&gt;"")*ISNUMBER(SEARCH(거래처별!$AE$8:$AE$307,$AB107))),거래처별!$A$8:$A$307),0))))</f>
        <v/>
      </c>
      <c r="AD107" s="31">
        <f>IF(AND($Y107&lt;&gt;"",N($Z107)&gt;0,$AC107=0),MAX($AD$7:$AD106)+1,"")</f>
        <v/>
      </c>
      <c r="AE107" s="31">
        <f>IF($Y107="",0,$Y107)</f>
        <v/>
      </c>
    </row>
    <row r="108">
      <c r="W108" s="31">
        <f>IF(OR($B$5="",$C$6="",ROW()&lt;$B$5),"",IF(INDEX($A:$U,ROW(),$C$6)="","",INDEX($A:$U,ROW(),$C$6)))</f>
        <v/>
      </c>
      <c r="X108" s="32">
        <f>IF($W108="","",IF(ISNUMBER($W108),IF($W108&gt;=10000000,IFERROR(DATE(INT($W108/10000),MOD(INT($W108/100),100),MOD($W108,100)),""),INT($W108)),IFERROR(DATE(--LEFT(LEFT(SUBSTITUTE(SUBSTITUTE(SUBSTITUTE(SUBSTITUTE(TRIM($W108),"-",""),".",""),"/","")," ",""),8),4),--MID(LEFT(SUBSTITUTE(SUBSTITUTE(SUBSTITUTE(SUBSTITUTE(TRIM($W108),"-",""),".",""),"/","")," ",""),8),5,2),--MID(LEFT(SUBSTITUTE(SUBSTITUTE(SUBSTITUTE(SUBSTITUTE(TRIM($W108),"-",""),".",""),"/","")," ",""),8),7,2)),"")))</f>
        <v/>
      </c>
      <c r="Y108" s="32">
        <f>IF($X108="","",INT($X108))</f>
        <v/>
      </c>
      <c r="Z108" s="33">
        <f>IF(OR($Y108="",$D$6=""),"",IF(INDEX($A:$U,ROW(),$D$6)="",0,IF(ISNUMBER(INDEX($A:$U,ROW(),$D$6)),INDEX($A:$U,ROW(),$D$6),IFERROR(--SUBSTITUTE(SUBSTITUTE(TRIM(INDEX($A:$U,ROW(),$D$6)),",",""),"원",""),0))))</f>
        <v/>
      </c>
      <c r="AA108" s="31">
        <f>IF($Y108="","",TRIM(INDEX($A:$U,ROW(),$E$6)&amp;IF($F$6="",""," "&amp;INDEX($A:$U,ROW(),$F$6))))</f>
        <v/>
      </c>
      <c r="AB108" s="31">
        <f>IF($AA108="","",SUBSTITUTE(SUBSTITUTE(SUBSTITUTE(SUBSTITUTE(SUBSTITUTE(SUBSTITUTE(SUBSTITUTE(SUBSTITUTE(SUBSTITUTE($AA108," ",""),"　",""),"(주)",""),"（주）",""),"㈜",""),"주식회사",""),"(유)",""),"（유）",""),"유한회사",""))</f>
        <v/>
      </c>
      <c r="AC108" s="31">
        <f>IF(OR($Y108="",N($Z108)&lt;=0,$AB108=""),0,IFERROR(LOOKUP(2,1/((거래처별!$AC$8:$AC$307&lt;&gt;"")*ISNUMBER(SEARCH(거래처별!$AC$8:$AC$307,$AB108))),거래처별!$A$8:$A$307),IFERROR(LOOKUP(2,1/((거래처별!$AD$8:$AD$307&lt;&gt;"")*ISNUMBER(SEARCH(거래처별!$AD$8:$AD$307,$AB108))),거래처별!$A$8:$A$307),IFERROR(LOOKUP(2,1/((거래처별!$AE$8:$AE$307&lt;&gt;"")*ISNUMBER(SEARCH(거래처별!$AE$8:$AE$307,$AB108))),거래처별!$A$8:$A$307),0))))</f>
        <v/>
      </c>
      <c r="AD108" s="31">
        <f>IF(AND($Y108&lt;&gt;"",N($Z108)&gt;0,$AC108=0),MAX($AD$7:$AD107)+1,"")</f>
        <v/>
      </c>
      <c r="AE108" s="31">
        <f>IF($Y108="",0,$Y108)</f>
        <v/>
      </c>
    </row>
    <row r="109">
      <c r="W109" s="31">
        <f>IF(OR($B$5="",$C$6="",ROW()&lt;$B$5),"",IF(INDEX($A:$U,ROW(),$C$6)="","",INDEX($A:$U,ROW(),$C$6)))</f>
        <v/>
      </c>
      <c r="X109" s="32">
        <f>IF($W109="","",IF(ISNUMBER($W109),IF($W109&gt;=10000000,IFERROR(DATE(INT($W109/10000),MOD(INT($W109/100),100),MOD($W109,100)),""),INT($W109)),IFERROR(DATE(--LEFT(LEFT(SUBSTITUTE(SUBSTITUTE(SUBSTITUTE(SUBSTITUTE(TRIM($W109),"-",""),".",""),"/","")," ",""),8),4),--MID(LEFT(SUBSTITUTE(SUBSTITUTE(SUBSTITUTE(SUBSTITUTE(TRIM($W109),"-",""),".",""),"/","")," ",""),8),5,2),--MID(LEFT(SUBSTITUTE(SUBSTITUTE(SUBSTITUTE(SUBSTITUTE(TRIM($W109),"-",""),".",""),"/","")," ",""),8),7,2)),"")))</f>
        <v/>
      </c>
      <c r="Y109" s="32">
        <f>IF($X109="","",INT($X109))</f>
        <v/>
      </c>
      <c r="Z109" s="33">
        <f>IF(OR($Y109="",$D$6=""),"",IF(INDEX($A:$U,ROW(),$D$6)="",0,IF(ISNUMBER(INDEX($A:$U,ROW(),$D$6)),INDEX($A:$U,ROW(),$D$6),IFERROR(--SUBSTITUTE(SUBSTITUTE(TRIM(INDEX($A:$U,ROW(),$D$6)),",",""),"원",""),0))))</f>
        <v/>
      </c>
      <c r="AA109" s="31">
        <f>IF($Y109="","",TRIM(INDEX($A:$U,ROW(),$E$6)&amp;IF($F$6="",""," "&amp;INDEX($A:$U,ROW(),$F$6))))</f>
        <v/>
      </c>
      <c r="AB109" s="31">
        <f>IF($AA109="","",SUBSTITUTE(SUBSTITUTE(SUBSTITUTE(SUBSTITUTE(SUBSTITUTE(SUBSTITUTE(SUBSTITUTE(SUBSTITUTE(SUBSTITUTE($AA109," ",""),"　",""),"(주)",""),"（주）",""),"㈜",""),"주식회사",""),"(유)",""),"（유）",""),"유한회사",""))</f>
        <v/>
      </c>
      <c r="AC109" s="31">
        <f>IF(OR($Y109="",N($Z109)&lt;=0,$AB109=""),0,IFERROR(LOOKUP(2,1/((거래처별!$AC$8:$AC$307&lt;&gt;"")*ISNUMBER(SEARCH(거래처별!$AC$8:$AC$307,$AB109))),거래처별!$A$8:$A$307),IFERROR(LOOKUP(2,1/((거래처별!$AD$8:$AD$307&lt;&gt;"")*ISNUMBER(SEARCH(거래처별!$AD$8:$AD$307,$AB109))),거래처별!$A$8:$A$307),IFERROR(LOOKUP(2,1/((거래처별!$AE$8:$AE$307&lt;&gt;"")*ISNUMBER(SEARCH(거래처별!$AE$8:$AE$307,$AB109))),거래처별!$A$8:$A$307),0))))</f>
        <v/>
      </c>
      <c r="AD109" s="31">
        <f>IF(AND($Y109&lt;&gt;"",N($Z109)&gt;0,$AC109=0),MAX($AD$7:$AD108)+1,"")</f>
        <v/>
      </c>
      <c r="AE109" s="31">
        <f>IF($Y109="",0,$Y109)</f>
        <v/>
      </c>
    </row>
    <row r="110">
      <c r="W110" s="31">
        <f>IF(OR($B$5="",$C$6="",ROW()&lt;$B$5),"",IF(INDEX($A:$U,ROW(),$C$6)="","",INDEX($A:$U,ROW(),$C$6)))</f>
        <v/>
      </c>
      <c r="X110" s="32">
        <f>IF($W110="","",IF(ISNUMBER($W110),IF($W110&gt;=10000000,IFERROR(DATE(INT($W110/10000),MOD(INT($W110/100),100),MOD($W110,100)),""),INT($W110)),IFERROR(DATE(--LEFT(LEFT(SUBSTITUTE(SUBSTITUTE(SUBSTITUTE(SUBSTITUTE(TRIM($W110),"-",""),".",""),"/","")," ",""),8),4),--MID(LEFT(SUBSTITUTE(SUBSTITUTE(SUBSTITUTE(SUBSTITUTE(TRIM($W110),"-",""),".",""),"/","")," ",""),8),5,2),--MID(LEFT(SUBSTITUTE(SUBSTITUTE(SUBSTITUTE(SUBSTITUTE(TRIM($W110),"-",""),".",""),"/","")," ",""),8),7,2)),"")))</f>
        <v/>
      </c>
      <c r="Y110" s="32">
        <f>IF($X110="","",INT($X110))</f>
        <v/>
      </c>
      <c r="Z110" s="33">
        <f>IF(OR($Y110="",$D$6=""),"",IF(INDEX($A:$U,ROW(),$D$6)="",0,IF(ISNUMBER(INDEX($A:$U,ROW(),$D$6)),INDEX($A:$U,ROW(),$D$6),IFERROR(--SUBSTITUTE(SUBSTITUTE(TRIM(INDEX($A:$U,ROW(),$D$6)),",",""),"원",""),0))))</f>
        <v/>
      </c>
      <c r="AA110" s="31">
        <f>IF($Y110="","",TRIM(INDEX($A:$U,ROW(),$E$6)&amp;IF($F$6="",""," "&amp;INDEX($A:$U,ROW(),$F$6))))</f>
        <v/>
      </c>
      <c r="AB110" s="31">
        <f>IF($AA110="","",SUBSTITUTE(SUBSTITUTE(SUBSTITUTE(SUBSTITUTE(SUBSTITUTE(SUBSTITUTE(SUBSTITUTE(SUBSTITUTE(SUBSTITUTE($AA110," ",""),"　",""),"(주)",""),"（주）",""),"㈜",""),"주식회사",""),"(유)",""),"（유）",""),"유한회사",""))</f>
        <v/>
      </c>
      <c r="AC110" s="31">
        <f>IF(OR($Y110="",N($Z110)&lt;=0,$AB110=""),0,IFERROR(LOOKUP(2,1/((거래처별!$AC$8:$AC$307&lt;&gt;"")*ISNUMBER(SEARCH(거래처별!$AC$8:$AC$307,$AB110))),거래처별!$A$8:$A$307),IFERROR(LOOKUP(2,1/((거래처별!$AD$8:$AD$307&lt;&gt;"")*ISNUMBER(SEARCH(거래처별!$AD$8:$AD$307,$AB110))),거래처별!$A$8:$A$307),IFERROR(LOOKUP(2,1/((거래처별!$AE$8:$AE$307&lt;&gt;"")*ISNUMBER(SEARCH(거래처별!$AE$8:$AE$307,$AB110))),거래처별!$A$8:$A$307),0))))</f>
        <v/>
      </c>
      <c r="AD110" s="31">
        <f>IF(AND($Y110&lt;&gt;"",N($Z110)&gt;0,$AC110=0),MAX($AD$7:$AD109)+1,"")</f>
        <v/>
      </c>
      <c r="AE110" s="31">
        <f>IF($Y110="",0,$Y110)</f>
        <v/>
      </c>
    </row>
    <row r="111">
      <c r="W111" s="31">
        <f>IF(OR($B$5="",$C$6="",ROW()&lt;$B$5),"",IF(INDEX($A:$U,ROW(),$C$6)="","",INDEX($A:$U,ROW(),$C$6)))</f>
        <v/>
      </c>
      <c r="X111" s="32">
        <f>IF($W111="","",IF(ISNUMBER($W111),IF($W111&gt;=10000000,IFERROR(DATE(INT($W111/10000),MOD(INT($W111/100),100),MOD($W111,100)),""),INT($W111)),IFERROR(DATE(--LEFT(LEFT(SUBSTITUTE(SUBSTITUTE(SUBSTITUTE(SUBSTITUTE(TRIM($W111),"-",""),".",""),"/","")," ",""),8),4),--MID(LEFT(SUBSTITUTE(SUBSTITUTE(SUBSTITUTE(SUBSTITUTE(TRIM($W111),"-",""),".",""),"/","")," ",""),8),5,2),--MID(LEFT(SUBSTITUTE(SUBSTITUTE(SUBSTITUTE(SUBSTITUTE(TRIM($W111),"-",""),".",""),"/","")," ",""),8),7,2)),"")))</f>
        <v/>
      </c>
      <c r="Y111" s="32">
        <f>IF($X111="","",INT($X111))</f>
        <v/>
      </c>
      <c r="Z111" s="33">
        <f>IF(OR($Y111="",$D$6=""),"",IF(INDEX($A:$U,ROW(),$D$6)="",0,IF(ISNUMBER(INDEX($A:$U,ROW(),$D$6)),INDEX($A:$U,ROW(),$D$6),IFERROR(--SUBSTITUTE(SUBSTITUTE(TRIM(INDEX($A:$U,ROW(),$D$6)),",",""),"원",""),0))))</f>
        <v/>
      </c>
      <c r="AA111" s="31">
        <f>IF($Y111="","",TRIM(INDEX($A:$U,ROW(),$E$6)&amp;IF($F$6="",""," "&amp;INDEX($A:$U,ROW(),$F$6))))</f>
        <v/>
      </c>
      <c r="AB111" s="31">
        <f>IF($AA111="","",SUBSTITUTE(SUBSTITUTE(SUBSTITUTE(SUBSTITUTE(SUBSTITUTE(SUBSTITUTE(SUBSTITUTE(SUBSTITUTE(SUBSTITUTE($AA111," ",""),"　",""),"(주)",""),"（주）",""),"㈜",""),"주식회사",""),"(유)",""),"（유）",""),"유한회사",""))</f>
        <v/>
      </c>
      <c r="AC111" s="31">
        <f>IF(OR($Y111="",N($Z111)&lt;=0,$AB111=""),0,IFERROR(LOOKUP(2,1/((거래처별!$AC$8:$AC$307&lt;&gt;"")*ISNUMBER(SEARCH(거래처별!$AC$8:$AC$307,$AB111))),거래처별!$A$8:$A$307),IFERROR(LOOKUP(2,1/((거래처별!$AD$8:$AD$307&lt;&gt;"")*ISNUMBER(SEARCH(거래처별!$AD$8:$AD$307,$AB111))),거래처별!$A$8:$A$307),IFERROR(LOOKUP(2,1/((거래처별!$AE$8:$AE$307&lt;&gt;"")*ISNUMBER(SEARCH(거래처별!$AE$8:$AE$307,$AB111))),거래처별!$A$8:$A$307),0))))</f>
        <v/>
      </c>
      <c r="AD111" s="31">
        <f>IF(AND($Y111&lt;&gt;"",N($Z111)&gt;0,$AC111=0),MAX($AD$7:$AD110)+1,"")</f>
        <v/>
      </c>
      <c r="AE111" s="31">
        <f>IF($Y111="",0,$Y111)</f>
        <v/>
      </c>
    </row>
    <row r="112">
      <c r="W112" s="31">
        <f>IF(OR($B$5="",$C$6="",ROW()&lt;$B$5),"",IF(INDEX($A:$U,ROW(),$C$6)="","",INDEX($A:$U,ROW(),$C$6)))</f>
        <v/>
      </c>
      <c r="X112" s="32">
        <f>IF($W112="","",IF(ISNUMBER($W112),IF($W112&gt;=10000000,IFERROR(DATE(INT($W112/10000),MOD(INT($W112/100),100),MOD($W112,100)),""),INT($W112)),IFERROR(DATE(--LEFT(LEFT(SUBSTITUTE(SUBSTITUTE(SUBSTITUTE(SUBSTITUTE(TRIM($W112),"-",""),".",""),"/","")," ",""),8),4),--MID(LEFT(SUBSTITUTE(SUBSTITUTE(SUBSTITUTE(SUBSTITUTE(TRIM($W112),"-",""),".",""),"/","")," ",""),8),5,2),--MID(LEFT(SUBSTITUTE(SUBSTITUTE(SUBSTITUTE(SUBSTITUTE(TRIM($W112),"-",""),".",""),"/","")," ",""),8),7,2)),"")))</f>
        <v/>
      </c>
      <c r="Y112" s="32">
        <f>IF($X112="","",INT($X112))</f>
        <v/>
      </c>
      <c r="Z112" s="33">
        <f>IF(OR($Y112="",$D$6=""),"",IF(INDEX($A:$U,ROW(),$D$6)="",0,IF(ISNUMBER(INDEX($A:$U,ROW(),$D$6)),INDEX($A:$U,ROW(),$D$6),IFERROR(--SUBSTITUTE(SUBSTITUTE(TRIM(INDEX($A:$U,ROW(),$D$6)),",",""),"원",""),0))))</f>
        <v/>
      </c>
      <c r="AA112" s="31">
        <f>IF($Y112="","",TRIM(INDEX($A:$U,ROW(),$E$6)&amp;IF($F$6="",""," "&amp;INDEX($A:$U,ROW(),$F$6))))</f>
        <v/>
      </c>
      <c r="AB112" s="31">
        <f>IF($AA112="","",SUBSTITUTE(SUBSTITUTE(SUBSTITUTE(SUBSTITUTE(SUBSTITUTE(SUBSTITUTE(SUBSTITUTE(SUBSTITUTE(SUBSTITUTE($AA112," ",""),"　",""),"(주)",""),"（주）",""),"㈜",""),"주식회사",""),"(유)",""),"（유）",""),"유한회사",""))</f>
        <v/>
      </c>
      <c r="AC112" s="31">
        <f>IF(OR($Y112="",N($Z112)&lt;=0,$AB112=""),0,IFERROR(LOOKUP(2,1/((거래처별!$AC$8:$AC$307&lt;&gt;"")*ISNUMBER(SEARCH(거래처별!$AC$8:$AC$307,$AB112))),거래처별!$A$8:$A$307),IFERROR(LOOKUP(2,1/((거래처별!$AD$8:$AD$307&lt;&gt;"")*ISNUMBER(SEARCH(거래처별!$AD$8:$AD$307,$AB112))),거래처별!$A$8:$A$307),IFERROR(LOOKUP(2,1/((거래처별!$AE$8:$AE$307&lt;&gt;"")*ISNUMBER(SEARCH(거래처별!$AE$8:$AE$307,$AB112))),거래처별!$A$8:$A$307),0))))</f>
        <v/>
      </c>
      <c r="AD112" s="31">
        <f>IF(AND($Y112&lt;&gt;"",N($Z112)&gt;0,$AC112=0),MAX($AD$7:$AD111)+1,"")</f>
        <v/>
      </c>
      <c r="AE112" s="31">
        <f>IF($Y112="",0,$Y112)</f>
        <v/>
      </c>
    </row>
    <row r="113">
      <c r="W113" s="31">
        <f>IF(OR($B$5="",$C$6="",ROW()&lt;$B$5),"",IF(INDEX($A:$U,ROW(),$C$6)="","",INDEX($A:$U,ROW(),$C$6)))</f>
        <v/>
      </c>
      <c r="X113" s="32">
        <f>IF($W113="","",IF(ISNUMBER($W113),IF($W113&gt;=10000000,IFERROR(DATE(INT($W113/10000),MOD(INT($W113/100),100),MOD($W113,100)),""),INT($W113)),IFERROR(DATE(--LEFT(LEFT(SUBSTITUTE(SUBSTITUTE(SUBSTITUTE(SUBSTITUTE(TRIM($W113),"-",""),".",""),"/","")," ",""),8),4),--MID(LEFT(SUBSTITUTE(SUBSTITUTE(SUBSTITUTE(SUBSTITUTE(TRIM($W113),"-",""),".",""),"/","")," ",""),8),5,2),--MID(LEFT(SUBSTITUTE(SUBSTITUTE(SUBSTITUTE(SUBSTITUTE(TRIM($W113),"-",""),".",""),"/","")," ",""),8),7,2)),"")))</f>
        <v/>
      </c>
      <c r="Y113" s="32">
        <f>IF($X113="","",INT($X113))</f>
        <v/>
      </c>
      <c r="Z113" s="33">
        <f>IF(OR($Y113="",$D$6=""),"",IF(INDEX($A:$U,ROW(),$D$6)="",0,IF(ISNUMBER(INDEX($A:$U,ROW(),$D$6)),INDEX($A:$U,ROW(),$D$6),IFERROR(--SUBSTITUTE(SUBSTITUTE(TRIM(INDEX($A:$U,ROW(),$D$6)),",",""),"원",""),0))))</f>
        <v/>
      </c>
      <c r="AA113" s="31">
        <f>IF($Y113="","",TRIM(INDEX($A:$U,ROW(),$E$6)&amp;IF($F$6="",""," "&amp;INDEX($A:$U,ROW(),$F$6))))</f>
        <v/>
      </c>
      <c r="AB113" s="31">
        <f>IF($AA113="","",SUBSTITUTE(SUBSTITUTE(SUBSTITUTE(SUBSTITUTE(SUBSTITUTE(SUBSTITUTE(SUBSTITUTE(SUBSTITUTE(SUBSTITUTE($AA113," ",""),"　",""),"(주)",""),"（주）",""),"㈜",""),"주식회사",""),"(유)",""),"（유）",""),"유한회사",""))</f>
        <v/>
      </c>
      <c r="AC113" s="31">
        <f>IF(OR($Y113="",N($Z113)&lt;=0,$AB113=""),0,IFERROR(LOOKUP(2,1/((거래처별!$AC$8:$AC$307&lt;&gt;"")*ISNUMBER(SEARCH(거래처별!$AC$8:$AC$307,$AB113))),거래처별!$A$8:$A$307),IFERROR(LOOKUP(2,1/((거래처별!$AD$8:$AD$307&lt;&gt;"")*ISNUMBER(SEARCH(거래처별!$AD$8:$AD$307,$AB113))),거래처별!$A$8:$A$307),IFERROR(LOOKUP(2,1/((거래처별!$AE$8:$AE$307&lt;&gt;"")*ISNUMBER(SEARCH(거래처별!$AE$8:$AE$307,$AB113))),거래처별!$A$8:$A$307),0))))</f>
        <v/>
      </c>
      <c r="AD113" s="31">
        <f>IF(AND($Y113&lt;&gt;"",N($Z113)&gt;0,$AC113=0),MAX($AD$7:$AD112)+1,"")</f>
        <v/>
      </c>
      <c r="AE113" s="31">
        <f>IF($Y113="",0,$Y113)</f>
        <v/>
      </c>
    </row>
    <row r="114">
      <c r="W114" s="31">
        <f>IF(OR($B$5="",$C$6="",ROW()&lt;$B$5),"",IF(INDEX($A:$U,ROW(),$C$6)="","",INDEX($A:$U,ROW(),$C$6)))</f>
        <v/>
      </c>
      <c r="X114" s="32">
        <f>IF($W114="","",IF(ISNUMBER($W114),IF($W114&gt;=10000000,IFERROR(DATE(INT($W114/10000),MOD(INT($W114/100),100),MOD($W114,100)),""),INT($W114)),IFERROR(DATE(--LEFT(LEFT(SUBSTITUTE(SUBSTITUTE(SUBSTITUTE(SUBSTITUTE(TRIM($W114),"-",""),".",""),"/","")," ",""),8),4),--MID(LEFT(SUBSTITUTE(SUBSTITUTE(SUBSTITUTE(SUBSTITUTE(TRIM($W114),"-",""),".",""),"/","")," ",""),8),5,2),--MID(LEFT(SUBSTITUTE(SUBSTITUTE(SUBSTITUTE(SUBSTITUTE(TRIM($W114),"-",""),".",""),"/","")," ",""),8),7,2)),"")))</f>
        <v/>
      </c>
      <c r="Y114" s="32">
        <f>IF($X114="","",INT($X114))</f>
        <v/>
      </c>
      <c r="Z114" s="33">
        <f>IF(OR($Y114="",$D$6=""),"",IF(INDEX($A:$U,ROW(),$D$6)="",0,IF(ISNUMBER(INDEX($A:$U,ROW(),$D$6)),INDEX($A:$U,ROW(),$D$6),IFERROR(--SUBSTITUTE(SUBSTITUTE(TRIM(INDEX($A:$U,ROW(),$D$6)),",",""),"원",""),0))))</f>
        <v/>
      </c>
      <c r="AA114" s="31">
        <f>IF($Y114="","",TRIM(INDEX($A:$U,ROW(),$E$6)&amp;IF($F$6="",""," "&amp;INDEX($A:$U,ROW(),$F$6))))</f>
        <v/>
      </c>
      <c r="AB114" s="31">
        <f>IF($AA114="","",SUBSTITUTE(SUBSTITUTE(SUBSTITUTE(SUBSTITUTE(SUBSTITUTE(SUBSTITUTE(SUBSTITUTE(SUBSTITUTE(SUBSTITUTE($AA114," ",""),"　",""),"(주)",""),"（주）",""),"㈜",""),"주식회사",""),"(유)",""),"（유）",""),"유한회사",""))</f>
        <v/>
      </c>
      <c r="AC114" s="31">
        <f>IF(OR($Y114="",N($Z114)&lt;=0,$AB114=""),0,IFERROR(LOOKUP(2,1/((거래처별!$AC$8:$AC$307&lt;&gt;"")*ISNUMBER(SEARCH(거래처별!$AC$8:$AC$307,$AB114))),거래처별!$A$8:$A$307),IFERROR(LOOKUP(2,1/((거래처별!$AD$8:$AD$307&lt;&gt;"")*ISNUMBER(SEARCH(거래처별!$AD$8:$AD$307,$AB114))),거래처별!$A$8:$A$307),IFERROR(LOOKUP(2,1/((거래처별!$AE$8:$AE$307&lt;&gt;"")*ISNUMBER(SEARCH(거래처별!$AE$8:$AE$307,$AB114))),거래처별!$A$8:$A$307),0))))</f>
        <v/>
      </c>
      <c r="AD114" s="31">
        <f>IF(AND($Y114&lt;&gt;"",N($Z114)&gt;0,$AC114=0),MAX($AD$7:$AD113)+1,"")</f>
        <v/>
      </c>
      <c r="AE114" s="31">
        <f>IF($Y114="",0,$Y114)</f>
        <v/>
      </c>
    </row>
    <row r="115">
      <c r="W115" s="31">
        <f>IF(OR($B$5="",$C$6="",ROW()&lt;$B$5),"",IF(INDEX($A:$U,ROW(),$C$6)="","",INDEX($A:$U,ROW(),$C$6)))</f>
        <v/>
      </c>
      <c r="X115" s="32">
        <f>IF($W115="","",IF(ISNUMBER($W115),IF($W115&gt;=10000000,IFERROR(DATE(INT($W115/10000),MOD(INT($W115/100),100),MOD($W115,100)),""),INT($W115)),IFERROR(DATE(--LEFT(LEFT(SUBSTITUTE(SUBSTITUTE(SUBSTITUTE(SUBSTITUTE(TRIM($W115),"-",""),".",""),"/","")," ",""),8),4),--MID(LEFT(SUBSTITUTE(SUBSTITUTE(SUBSTITUTE(SUBSTITUTE(TRIM($W115),"-",""),".",""),"/","")," ",""),8),5,2),--MID(LEFT(SUBSTITUTE(SUBSTITUTE(SUBSTITUTE(SUBSTITUTE(TRIM($W115),"-",""),".",""),"/","")," ",""),8),7,2)),"")))</f>
        <v/>
      </c>
      <c r="Y115" s="32">
        <f>IF($X115="","",INT($X115))</f>
        <v/>
      </c>
      <c r="Z115" s="33">
        <f>IF(OR($Y115="",$D$6=""),"",IF(INDEX($A:$U,ROW(),$D$6)="",0,IF(ISNUMBER(INDEX($A:$U,ROW(),$D$6)),INDEX($A:$U,ROW(),$D$6),IFERROR(--SUBSTITUTE(SUBSTITUTE(TRIM(INDEX($A:$U,ROW(),$D$6)),",",""),"원",""),0))))</f>
        <v/>
      </c>
      <c r="AA115" s="31">
        <f>IF($Y115="","",TRIM(INDEX($A:$U,ROW(),$E$6)&amp;IF($F$6="",""," "&amp;INDEX($A:$U,ROW(),$F$6))))</f>
        <v/>
      </c>
      <c r="AB115" s="31">
        <f>IF($AA115="","",SUBSTITUTE(SUBSTITUTE(SUBSTITUTE(SUBSTITUTE(SUBSTITUTE(SUBSTITUTE(SUBSTITUTE(SUBSTITUTE(SUBSTITUTE($AA115," ",""),"　",""),"(주)",""),"（주）",""),"㈜",""),"주식회사",""),"(유)",""),"（유）",""),"유한회사",""))</f>
        <v/>
      </c>
      <c r="AC115" s="31">
        <f>IF(OR($Y115="",N($Z115)&lt;=0,$AB115=""),0,IFERROR(LOOKUP(2,1/((거래처별!$AC$8:$AC$307&lt;&gt;"")*ISNUMBER(SEARCH(거래처별!$AC$8:$AC$307,$AB115))),거래처별!$A$8:$A$307),IFERROR(LOOKUP(2,1/((거래처별!$AD$8:$AD$307&lt;&gt;"")*ISNUMBER(SEARCH(거래처별!$AD$8:$AD$307,$AB115))),거래처별!$A$8:$A$307),IFERROR(LOOKUP(2,1/((거래처별!$AE$8:$AE$307&lt;&gt;"")*ISNUMBER(SEARCH(거래처별!$AE$8:$AE$307,$AB115))),거래처별!$A$8:$A$307),0))))</f>
        <v/>
      </c>
      <c r="AD115" s="31">
        <f>IF(AND($Y115&lt;&gt;"",N($Z115)&gt;0,$AC115=0),MAX($AD$7:$AD114)+1,"")</f>
        <v/>
      </c>
      <c r="AE115" s="31">
        <f>IF($Y115="",0,$Y115)</f>
        <v/>
      </c>
    </row>
    <row r="116">
      <c r="W116" s="31">
        <f>IF(OR($B$5="",$C$6="",ROW()&lt;$B$5),"",IF(INDEX($A:$U,ROW(),$C$6)="","",INDEX($A:$U,ROW(),$C$6)))</f>
        <v/>
      </c>
      <c r="X116" s="32">
        <f>IF($W116="","",IF(ISNUMBER($W116),IF($W116&gt;=10000000,IFERROR(DATE(INT($W116/10000),MOD(INT($W116/100),100),MOD($W116,100)),""),INT($W116)),IFERROR(DATE(--LEFT(LEFT(SUBSTITUTE(SUBSTITUTE(SUBSTITUTE(SUBSTITUTE(TRIM($W116),"-",""),".",""),"/","")," ",""),8),4),--MID(LEFT(SUBSTITUTE(SUBSTITUTE(SUBSTITUTE(SUBSTITUTE(TRIM($W116),"-",""),".",""),"/","")," ",""),8),5,2),--MID(LEFT(SUBSTITUTE(SUBSTITUTE(SUBSTITUTE(SUBSTITUTE(TRIM($W116),"-",""),".",""),"/","")," ",""),8),7,2)),"")))</f>
        <v/>
      </c>
      <c r="Y116" s="32">
        <f>IF($X116="","",INT($X116))</f>
        <v/>
      </c>
      <c r="Z116" s="33">
        <f>IF(OR($Y116="",$D$6=""),"",IF(INDEX($A:$U,ROW(),$D$6)="",0,IF(ISNUMBER(INDEX($A:$U,ROW(),$D$6)),INDEX($A:$U,ROW(),$D$6),IFERROR(--SUBSTITUTE(SUBSTITUTE(TRIM(INDEX($A:$U,ROW(),$D$6)),",",""),"원",""),0))))</f>
        <v/>
      </c>
      <c r="AA116" s="31">
        <f>IF($Y116="","",TRIM(INDEX($A:$U,ROW(),$E$6)&amp;IF($F$6="",""," "&amp;INDEX($A:$U,ROW(),$F$6))))</f>
        <v/>
      </c>
      <c r="AB116" s="31">
        <f>IF($AA116="","",SUBSTITUTE(SUBSTITUTE(SUBSTITUTE(SUBSTITUTE(SUBSTITUTE(SUBSTITUTE(SUBSTITUTE(SUBSTITUTE(SUBSTITUTE($AA116," ",""),"　",""),"(주)",""),"（주）",""),"㈜",""),"주식회사",""),"(유)",""),"（유）",""),"유한회사",""))</f>
        <v/>
      </c>
      <c r="AC116" s="31">
        <f>IF(OR($Y116="",N($Z116)&lt;=0,$AB116=""),0,IFERROR(LOOKUP(2,1/((거래처별!$AC$8:$AC$307&lt;&gt;"")*ISNUMBER(SEARCH(거래처별!$AC$8:$AC$307,$AB116))),거래처별!$A$8:$A$307),IFERROR(LOOKUP(2,1/((거래처별!$AD$8:$AD$307&lt;&gt;"")*ISNUMBER(SEARCH(거래처별!$AD$8:$AD$307,$AB116))),거래처별!$A$8:$A$307),IFERROR(LOOKUP(2,1/((거래처별!$AE$8:$AE$307&lt;&gt;"")*ISNUMBER(SEARCH(거래처별!$AE$8:$AE$307,$AB116))),거래처별!$A$8:$A$307),0))))</f>
        <v/>
      </c>
      <c r="AD116" s="31">
        <f>IF(AND($Y116&lt;&gt;"",N($Z116)&gt;0,$AC116=0),MAX($AD$7:$AD115)+1,"")</f>
        <v/>
      </c>
      <c r="AE116" s="31">
        <f>IF($Y116="",0,$Y116)</f>
        <v/>
      </c>
    </row>
    <row r="117">
      <c r="W117" s="31">
        <f>IF(OR($B$5="",$C$6="",ROW()&lt;$B$5),"",IF(INDEX($A:$U,ROW(),$C$6)="","",INDEX($A:$U,ROW(),$C$6)))</f>
        <v/>
      </c>
      <c r="X117" s="32">
        <f>IF($W117="","",IF(ISNUMBER($W117),IF($W117&gt;=10000000,IFERROR(DATE(INT($W117/10000),MOD(INT($W117/100),100),MOD($W117,100)),""),INT($W117)),IFERROR(DATE(--LEFT(LEFT(SUBSTITUTE(SUBSTITUTE(SUBSTITUTE(SUBSTITUTE(TRIM($W117),"-",""),".",""),"/","")," ",""),8),4),--MID(LEFT(SUBSTITUTE(SUBSTITUTE(SUBSTITUTE(SUBSTITUTE(TRIM($W117),"-",""),".",""),"/","")," ",""),8),5,2),--MID(LEFT(SUBSTITUTE(SUBSTITUTE(SUBSTITUTE(SUBSTITUTE(TRIM($W117),"-",""),".",""),"/","")," ",""),8),7,2)),"")))</f>
        <v/>
      </c>
      <c r="Y117" s="32">
        <f>IF($X117="","",INT($X117))</f>
        <v/>
      </c>
      <c r="Z117" s="33">
        <f>IF(OR($Y117="",$D$6=""),"",IF(INDEX($A:$U,ROW(),$D$6)="",0,IF(ISNUMBER(INDEX($A:$U,ROW(),$D$6)),INDEX($A:$U,ROW(),$D$6),IFERROR(--SUBSTITUTE(SUBSTITUTE(TRIM(INDEX($A:$U,ROW(),$D$6)),",",""),"원",""),0))))</f>
        <v/>
      </c>
      <c r="AA117" s="31">
        <f>IF($Y117="","",TRIM(INDEX($A:$U,ROW(),$E$6)&amp;IF($F$6="",""," "&amp;INDEX($A:$U,ROW(),$F$6))))</f>
        <v/>
      </c>
      <c r="AB117" s="31">
        <f>IF($AA117="","",SUBSTITUTE(SUBSTITUTE(SUBSTITUTE(SUBSTITUTE(SUBSTITUTE(SUBSTITUTE(SUBSTITUTE(SUBSTITUTE(SUBSTITUTE($AA117," ",""),"　",""),"(주)",""),"（주）",""),"㈜",""),"주식회사",""),"(유)",""),"（유）",""),"유한회사",""))</f>
        <v/>
      </c>
      <c r="AC117" s="31">
        <f>IF(OR($Y117="",N($Z117)&lt;=0,$AB117=""),0,IFERROR(LOOKUP(2,1/((거래처별!$AC$8:$AC$307&lt;&gt;"")*ISNUMBER(SEARCH(거래처별!$AC$8:$AC$307,$AB117))),거래처별!$A$8:$A$307),IFERROR(LOOKUP(2,1/((거래처별!$AD$8:$AD$307&lt;&gt;"")*ISNUMBER(SEARCH(거래처별!$AD$8:$AD$307,$AB117))),거래처별!$A$8:$A$307),IFERROR(LOOKUP(2,1/((거래처별!$AE$8:$AE$307&lt;&gt;"")*ISNUMBER(SEARCH(거래처별!$AE$8:$AE$307,$AB117))),거래처별!$A$8:$A$307),0))))</f>
        <v/>
      </c>
      <c r="AD117" s="31">
        <f>IF(AND($Y117&lt;&gt;"",N($Z117)&gt;0,$AC117=0),MAX($AD$7:$AD116)+1,"")</f>
        <v/>
      </c>
      <c r="AE117" s="31">
        <f>IF($Y117="",0,$Y117)</f>
        <v/>
      </c>
    </row>
    <row r="118">
      <c r="W118" s="31">
        <f>IF(OR($B$5="",$C$6="",ROW()&lt;$B$5),"",IF(INDEX($A:$U,ROW(),$C$6)="","",INDEX($A:$U,ROW(),$C$6)))</f>
        <v/>
      </c>
      <c r="X118" s="32">
        <f>IF($W118="","",IF(ISNUMBER($W118),IF($W118&gt;=10000000,IFERROR(DATE(INT($W118/10000),MOD(INT($W118/100),100),MOD($W118,100)),""),INT($W118)),IFERROR(DATE(--LEFT(LEFT(SUBSTITUTE(SUBSTITUTE(SUBSTITUTE(SUBSTITUTE(TRIM($W118),"-",""),".",""),"/","")," ",""),8),4),--MID(LEFT(SUBSTITUTE(SUBSTITUTE(SUBSTITUTE(SUBSTITUTE(TRIM($W118),"-",""),".",""),"/","")," ",""),8),5,2),--MID(LEFT(SUBSTITUTE(SUBSTITUTE(SUBSTITUTE(SUBSTITUTE(TRIM($W118),"-",""),".",""),"/","")," ",""),8),7,2)),"")))</f>
        <v/>
      </c>
      <c r="Y118" s="32">
        <f>IF($X118="","",INT($X118))</f>
        <v/>
      </c>
      <c r="Z118" s="33">
        <f>IF(OR($Y118="",$D$6=""),"",IF(INDEX($A:$U,ROW(),$D$6)="",0,IF(ISNUMBER(INDEX($A:$U,ROW(),$D$6)),INDEX($A:$U,ROW(),$D$6),IFERROR(--SUBSTITUTE(SUBSTITUTE(TRIM(INDEX($A:$U,ROW(),$D$6)),",",""),"원",""),0))))</f>
        <v/>
      </c>
      <c r="AA118" s="31">
        <f>IF($Y118="","",TRIM(INDEX($A:$U,ROW(),$E$6)&amp;IF($F$6="",""," "&amp;INDEX($A:$U,ROW(),$F$6))))</f>
        <v/>
      </c>
      <c r="AB118" s="31">
        <f>IF($AA118="","",SUBSTITUTE(SUBSTITUTE(SUBSTITUTE(SUBSTITUTE(SUBSTITUTE(SUBSTITUTE(SUBSTITUTE(SUBSTITUTE(SUBSTITUTE($AA118," ",""),"　",""),"(주)",""),"（주）",""),"㈜",""),"주식회사",""),"(유)",""),"（유）",""),"유한회사",""))</f>
        <v/>
      </c>
      <c r="AC118" s="31">
        <f>IF(OR($Y118="",N($Z118)&lt;=0,$AB118=""),0,IFERROR(LOOKUP(2,1/((거래처별!$AC$8:$AC$307&lt;&gt;"")*ISNUMBER(SEARCH(거래처별!$AC$8:$AC$307,$AB118))),거래처별!$A$8:$A$307),IFERROR(LOOKUP(2,1/((거래처별!$AD$8:$AD$307&lt;&gt;"")*ISNUMBER(SEARCH(거래처별!$AD$8:$AD$307,$AB118))),거래처별!$A$8:$A$307),IFERROR(LOOKUP(2,1/((거래처별!$AE$8:$AE$307&lt;&gt;"")*ISNUMBER(SEARCH(거래처별!$AE$8:$AE$307,$AB118))),거래처별!$A$8:$A$307),0))))</f>
        <v/>
      </c>
      <c r="AD118" s="31">
        <f>IF(AND($Y118&lt;&gt;"",N($Z118)&gt;0,$AC118=0),MAX($AD$7:$AD117)+1,"")</f>
        <v/>
      </c>
      <c r="AE118" s="31">
        <f>IF($Y118="",0,$Y118)</f>
        <v/>
      </c>
    </row>
    <row r="119">
      <c r="W119" s="31">
        <f>IF(OR($B$5="",$C$6="",ROW()&lt;$B$5),"",IF(INDEX($A:$U,ROW(),$C$6)="","",INDEX($A:$U,ROW(),$C$6)))</f>
        <v/>
      </c>
      <c r="X119" s="32">
        <f>IF($W119="","",IF(ISNUMBER($W119),IF($W119&gt;=10000000,IFERROR(DATE(INT($W119/10000),MOD(INT($W119/100),100),MOD($W119,100)),""),INT($W119)),IFERROR(DATE(--LEFT(LEFT(SUBSTITUTE(SUBSTITUTE(SUBSTITUTE(SUBSTITUTE(TRIM($W119),"-",""),".",""),"/","")," ",""),8),4),--MID(LEFT(SUBSTITUTE(SUBSTITUTE(SUBSTITUTE(SUBSTITUTE(TRIM($W119),"-",""),".",""),"/","")," ",""),8),5,2),--MID(LEFT(SUBSTITUTE(SUBSTITUTE(SUBSTITUTE(SUBSTITUTE(TRIM($W119),"-",""),".",""),"/","")," ",""),8),7,2)),"")))</f>
        <v/>
      </c>
      <c r="Y119" s="32">
        <f>IF($X119="","",INT($X119))</f>
        <v/>
      </c>
      <c r="Z119" s="33">
        <f>IF(OR($Y119="",$D$6=""),"",IF(INDEX($A:$U,ROW(),$D$6)="",0,IF(ISNUMBER(INDEX($A:$U,ROW(),$D$6)),INDEX($A:$U,ROW(),$D$6),IFERROR(--SUBSTITUTE(SUBSTITUTE(TRIM(INDEX($A:$U,ROW(),$D$6)),",",""),"원",""),0))))</f>
        <v/>
      </c>
      <c r="AA119" s="31">
        <f>IF($Y119="","",TRIM(INDEX($A:$U,ROW(),$E$6)&amp;IF($F$6="",""," "&amp;INDEX($A:$U,ROW(),$F$6))))</f>
        <v/>
      </c>
      <c r="AB119" s="31">
        <f>IF($AA119="","",SUBSTITUTE(SUBSTITUTE(SUBSTITUTE(SUBSTITUTE(SUBSTITUTE(SUBSTITUTE(SUBSTITUTE(SUBSTITUTE(SUBSTITUTE($AA119," ",""),"　",""),"(주)",""),"（주）",""),"㈜",""),"주식회사",""),"(유)",""),"（유）",""),"유한회사",""))</f>
        <v/>
      </c>
      <c r="AC119" s="31">
        <f>IF(OR($Y119="",N($Z119)&lt;=0,$AB119=""),0,IFERROR(LOOKUP(2,1/((거래처별!$AC$8:$AC$307&lt;&gt;"")*ISNUMBER(SEARCH(거래처별!$AC$8:$AC$307,$AB119))),거래처별!$A$8:$A$307),IFERROR(LOOKUP(2,1/((거래처별!$AD$8:$AD$307&lt;&gt;"")*ISNUMBER(SEARCH(거래처별!$AD$8:$AD$307,$AB119))),거래처별!$A$8:$A$307),IFERROR(LOOKUP(2,1/((거래처별!$AE$8:$AE$307&lt;&gt;"")*ISNUMBER(SEARCH(거래처별!$AE$8:$AE$307,$AB119))),거래처별!$A$8:$A$307),0))))</f>
        <v/>
      </c>
      <c r="AD119" s="31">
        <f>IF(AND($Y119&lt;&gt;"",N($Z119)&gt;0,$AC119=0),MAX($AD$7:$AD118)+1,"")</f>
        <v/>
      </c>
      <c r="AE119" s="31">
        <f>IF($Y119="",0,$Y119)</f>
        <v/>
      </c>
    </row>
    <row r="120">
      <c r="W120" s="31">
        <f>IF(OR($B$5="",$C$6="",ROW()&lt;$B$5),"",IF(INDEX($A:$U,ROW(),$C$6)="","",INDEX($A:$U,ROW(),$C$6)))</f>
        <v/>
      </c>
      <c r="X120" s="32">
        <f>IF($W120="","",IF(ISNUMBER($W120),IF($W120&gt;=10000000,IFERROR(DATE(INT($W120/10000),MOD(INT($W120/100),100),MOD($W120,100)),""),INT($W120)),IFERROR(DATE(--LEFT(LEFT(SUBSTITUTE(SUBSTITUTE(SUBSTITUTE(SUBSTITUTE(TRIM($W120),"-",""),".",""),"/","")," ",""),8),4),--MID(LEFT(SUBSTITUTE(SUBSTITUTE(SUBSTITUTE(SUBSTITUTE(TRIM($W120),"-",""),".",""),"/","")," ",""),8),5,2),--MID(LEFT(SUBSTITUTE(SUBSTITUTE(SUBSTITUTE(SUBSTITUTE(TRIM($W120),"-",""),".",""),"/","")," ",""),8),7,2)),"")))</f>
        <v/>
      </c>
      <c r="Y120" s="32">
        <f>IF($X120="","",INT($X120))</f>
        <v/>
      </c>
      <c r="Z120" s="33">
        <f>IF(OR($Y120="",$D$6=""),"",IF(INDEX($A:$U,ROW(),$D$6)="",0,IF(ISNUMBER(INDEX($A:$U,ROW(),$D$6)),INDEX($A:$U,ROW(),$D$6),IFERROR(--SUBSTITUTE(SUBSTITUTE(TRIM(INDEX($A:$U,ROW(),$D$6)),",",""),"원",""),0))))</f>
        <v/>
      </c>
      <c r="AA120" s="31">
        <f>IF($Y120="","",TRIM(INDEX($A:$U,ROW(),$E$6)&amp;IF($F$6="",""," "&amp;INDEX($A:$U,ROW(),$F$6))))</f>
        <v/>
      </c>
      <c r="AB120" s="31">
        <f>IF($AA120="","",SUBSTITUTE(SUBSTITUTE(SUBSTITUTE(SUBSTITUTE(SUBSTITUTE(SUBSTITUTE(SUBSTITUTE(SUBSTITUTE(SUBSTITUTE($AA120," ",""),"　",""),"(주)",""),"（주）",""),"㈜",""),"주식회사",""),"(유)",""),"（유）",""),"유한회사",""))</f>
        <v/>
      </c>
      <c r="AC120" s="31">
        <f>IF(OR($Y120="",N($Z120)&lt;=0,$AB120=""),0,IFERROR(LOOKUP(2,1/((거래처별!$AC$8:$AC$307&lt;&gt;"")*ISNUMBER(SEARCH(거래처별!$AC$8:$AC$307,$AB120))),거래처별!$A$8:$A$307),IFERROR(LOOKUP(2,1/((거래처별!$AD$8:$AD$307&lt;&gt;"")*ISNUMBER(SEARCH(거래처별!$AD$8:$AD$307,$AB120))),거래처별!$A$8:$A$307),IFERROR(LOOKUP(2,1/((거래처별!$AE$8:$AE$307&lt;&gt;"")*ISNUMBER(SEARCH(거래처별!$AE$8:$AE$307,$AB120))),거래처별!$A$8:$A$307),0))))</f>
        <v/>
      </c>
      <c r="AD120" s="31">
        <f>IF(AND($Y120&lt;&gt;"",N($Z120)&gt;0,$AC120=0),MAX($AD$7:$AD119)+1,"")</f>
        <v/>
      </c>
      <c r="AE120" s="31">
        <f>IF($Y120="",0,$Y120)</f>
        <v/>
      </c>
    </row>
    <row r="121">
      <c r="W121" s="31">
        <f>IF(OR($B$5="",$C$6="",ROW()&lt;$B$5),"",IF(INDEX($A:$U,ROW(),$C$6)="","",INDEX($A:$U,ROW(),$C$6)))</f>
        <v/>
      </c>
      <c r="X121" s="32">
        <f>IF($W121="","",IF(ISNUMBER($W121),IF($W121&gt;=10000000,IFERROR(DATE(INT($W121/10000),MOD(INT($W121/100),100),MOD($W121,100)),""),INT($W121)),IFERROR(DATE(--LEFT(LEFT(SUBSTITUTE(SUBSTITUTE(SUBSTITUTE(SUBSTITUTE(TRIM($W121),"-",""),".",""),"/","")," ",""),8),4),--MID(LEFT(SUBSTITUTE(SUBSTITUTE(SUBSTITUTE(SUBSTITUTE(TRIM($W121),"-",""),".",""),"/","")," ",""),8),5,2),--MID(LEFT(SUBSTITUTE(SUBSTITUTE(SUBSTITUTE(SUBSTITUTE(TRIM($W121),"-",""),".",""),"/","")," ",""),8),7,2)),"")))</f>
        <v/>
      </c>
      <c r="Y121" s="32">
        <f>IF($X121="","",INT($X121))</f>
        <v/>
      </c>
      <c r="Z121" s="33">
        <f>IF(OR($Y121="",$D$6=""),"",IF(INDEX($A:$U,ROW(),$D$6)="",0,IF(ISNUMBER(INDEX($A:$U,ROW(),$D$6)),INDEX($A:$U,ROW(),$D$6),IFERROR(--SUBSTITUTE(SUBSTITUTE(TRIM(INDEX($A:$U,ROW(),$D$6)),",",""),"원",""),0))))</f>
        <v/>
      </c>
      <c r="AA121" s="31">
        <f>IF($Y121="","",TRIM(INDEX($A:$U,ROW(),$E$6)&amp;IF($F$6="",""," "&amp;INDEX($A:$U,ROW(),$F$6))))</f>
        <v/>
      </c>
      <c r="AB121" s="31">
        <f>IF($AA121="","",SUBSTITUTE(SUBSTITUTE(SUBSTITUTE(SUBSTITUTE(SUBSTITUTE(SUBSTITUTE(SUBSTITUTE(SUBSTITUTE(SUBSTITUTE($AA121," ",""),"　",""),"(주)",""),"（주）",""),"㈜",""),"주식회사",""),"(유)",""),"（유）",""),"유한회사",""))</f>
        <v/>
      </c>
      <c r="AC121" s="31">
        <f>IF(OR($Y121="",N($Z121)&lt;=0,$AB121=""),0,IFERROR(LOOKUP(2,1/((거래처별!$AC$8:$AC$307&lt;&gt;"")*ISNUMBER(SEARCH(거래처별!$AC$8:$AC$307,$AB121))),거래처별!$A$8:$A$307),IFERROR(LOOKUP(2,1/((거래처별!$AD$8:$AD$307&lt;&gt;"")*ISNUMBER(SEARCH(거래처별!$AD$8:$AD$307,$AB121))),거래처별!$A$8:$A$307),IFERROR(LOOKUP(2,1/((거래처별!$AE$8:$AE$307&lt;&gt;"")*ISNUMBER(SEARCH(거래처별!$AE$8:$AE$307,$AB121))),거래처별!$A$8:$A$307),0))))</f>
        <v/>
      </c>
      <c r="AD121" s="31">
        <f>IF(AND($Y121&lt;&gt;"",N($Z121)&gt;0,$AC121=0),MAX($AD$7:$AD120)+1,"")</f>
        <v/>
      </c>
      <c r="AE121" s="31">
        <f>IF($Y121="",0,$Y121)</f>
        <v/>
      </c>
    </row>
    <row r="122">
      <c r="W122" s="31">
        <f>IF(OR($B$5="",$C$6="",ROW()&lt;$B$5),"",IF(INDEX($A:$U,ROW(),$C$6)="","",INDEX($A:$U,ROW(),$C$6)))</f>
        <v/>
      </c>
      <c r="X122" s="32">
        <f>IF($W122="","",IF(ISNUMBER($W122),IF($W122&gt;=10000000,IFERROR(DATE(INT($W122/10000),MOD(INT($W122/100),100),MOD($W122,100)),""),INT($W122)),IFERROR(DATE(--LEFT(LEFT(SUBSTITUTE(SUBSTITUTE(SUBSTITUTE(SUBSTITUTE(TRIM($W122),"-",""),".",""),"/","")," ",""),8),4),--MID(LEFT(SUBSTITUTE(SUBSTITUTE(SUBSTITUTE(SUBSTITUTE(TRIM($W122),"-",""),".",""),"/","")," ",""),8),5,2),--MID(LEFT(SUBSTITUTE(SUBSTITUTE(SUBSTITUTE(SUBSTITUTE(TRIM($W122),"-",""),".",""),"/","")," ",""),8),7,2)),"")))</f>
        <v/>
      </c>
      <c r="Y122" s="32">
        <f>IF($X122="","",INT($X122))</f>
        <v/>
      </c>
      <c r="Z122" s="33">
        <f>IF(OR($Y122="",$D$6=""),"",IF(INDEX($A:$U,ROW(),$D$6)="",0,IF(ISNUMBER(INDEX($A:$U,ROW(),$D$6)),INDEX($A:$U,ROW(),$D$6),IFERROR(--SUBSTITUTE(SUBSTITUTE(TRIM(INDEX($A:$U,ROW(),$D$6)),",",""),"원",""),0))))</f>
        <v/>
      </c>
      <c r="AA122" s="31">
        <f>IF($Y122="","",TRIM(INDEX($A:$U,ROW(),$E$6)&amp;IF($F$6="",""," "&amp;INDEX($A:$U,ROW(),$F$6))))</f>
        <v/>
      </c>
      <c r="AB122" s="31">
        <f>IF($AA122="","",SUBSTITUTE(SUBSTITUTE(SUBSTITUTE(SUBSTITUTE(SUBSTITUTE(SUBSTITUTE(SUBSTITUTE(SUBSTITUTE(SUBSTITUTE($AA122," ",""),"　",""),"(주)",""),"（주）",""),"㈜",""),"주식회사",""),"(유)",""),"（유）",""),"유한회사",""))</f>
        <v/>
      </c>
      <c r="AC122" s="31">
        <f>IF(OR($Y122="",N($Z122)&lt;=0,$AB122=""),0,IFERROR(LOOKUP(2,1/((거래처별!$AC$8:$AC$307&lt;&gt;"")*ISNUMBER(SEARCH(거래처별!$AC$8:$AC$307,$AB122))),거래처별!$A$8:$A$307),IFERROR(LOOKUP(2,1/((거래처별!$AD$8:$AD$307&lt;&gt;"")*ISNUMBER(SEARCH(거래처별!$AD$8:$AD$307,$AB122))),거래처별!$A$8:$A$307),IFERROR(LOOKUP(2,1/((거래처별!$AE$8:$AE$307&lt;&gt;"")*ISNUMBER(SEARCH(거래처별!$AE$8:$AE$307,$AB122))),거래처별!$A$8:$A$307),0))))</f>
        <v/>
      </c>
      <c r="AD122" s="31">
        <f>IF(AND($Y122&lt;&gt;"",N($Z122)&gt;0,$AC122=0),MAX($AD$7:$AD121)+1,"")</f>
        <v/>
      </c>
      <c r="AE122" s="31">
        <f>IF($Y122="",0,$Y122)</f>
        <v/>
      </c>
    </row>
    <row r="123">
      <c r="W123" s="31">
        <f>IF(OR($B$5="",$C$6="",ROW()&lt;$B$5),"",IF(INDEX($A:$U,ROW(),$C$6)="","",INDEX($A:$U,ROW(),$C$6)))</f>
        <v/>
      </c>
      <c r="X123" s="32">
        <f>IF($W123="","",IF(ISNUMBER($W123),IF($W123&gt;=10000000,IFERROR(DATE(INT($W123/10000),MOD(INT($W123/100),100),MOD($W123,100)),""),INT($W123)),IFERROR(DATE(--LEFT(LEFT(SUBSTITUTE(SUBSTITUTE(SUBSTITUTE(SUBSTITUTE(TRIM($W123),"-",""),".",""),"/","")," ",""),8),4),--MID(LEFT(SUBSTITUTE(SUBSTITUTE(SUBSTITUTE(SUBSTITUTE(TRIM($W123),"-",""),".",""),"/","")," ",""),8),5,2),--MID(LEFT(SUBSTITUTE(SUBSTITUTE(SUBSTITUTE(SUBSTITUTE(TRIM($W123),"-",""),".",""),"/","")," ",""),8),7,2)),"")))</f>
        <v/>
      </c>
      <c r="Y123" s="32">
        <f>IF($X123="","",INT($X123))</f>
        <v/>
      </c>
      <c r="Z123" s="33">
        <f>IF(OR($Y123="",$D$6=""),"",IF(INDEX($A:$U,ROW(),$D$6)="",0,IF(ISNUMBER(INDEX($A:$U,ROW(),$D$6)),INDEX($A:$U,ROW(),$D$6),IFERROR(--SUBSTITUTE(SUBSTITUTE(TRIM(INDEX($A:$U,ROW(),$D$6)),",",""),"원",""),0))))</f>
        <v/>
      </c>
      <c r="AA123" s="31">
        <f>IF($Y123="","",TRIM(INDEX($A:$U,ROW(),$E$6)&amp;IF($F$6="",""," "&amp;INDEX($A:$U,ROW(),$F$6))))</f>
        <v/>
      </c>
      <c r="AB123" s="31">
        <f>IF($AA123="","",SUBSTITUTE(SUBSTITUTE(SUBSTITUTE(SUBSTITUTE(SUBSTITUTE(SUBSTITUTE(SUBSTITUTE(SUBSTITUTE(SUBSTITUTE($AA123," ",""),"　",""),"(주)",""),"（주）",""),"㈜",""),"주식회사",""),"(유)",""),"（유）",""),"유한회사",""))</f>
        <v/>
      </c>
      <c r="AC123" s="31">
        <f>IF(OR($Y123="",N($Z123)&lt;=0,$AB123=""),0,IFERROR(LOOKUP(2,1/((거래처별!$AC$8:$AC$307&lt;&gt;"")*ISNUMBER(SEARCH(거래처별!$AC$8:$AC$307,$AB123))),거래처별!$A$8:$A$307),IFERROR(LOOKUP(2,1/((거래처별!$AD$8:$AD$307&lt;&gt;"")*ISNUMBER(SEARCH(거래처별!$AD$8:$AD$307,$AB123))),거래처별!$A$8:$A$307),IFERROR(LOOKUP(2,1/((거래처별!$AE$8:$AE$307&lt;&gt;"")*ISNUMBER(SEARCH(거래처별!$AE$8:$AE$307,$AB123))),거래처별!$A$8:$A$307),0))))</f>
        <v/>
      </c>
      <c r="AD123" s="31">
        <f>IF(AND($Y123&lt;&gt;"",N($Z123)&gt;0,$AC123=0),MAX($AD$7:$AD122)+1,"")</f>
        <v/>
      </c>
      <c r="AE123" s="31">
        <f>IF($Y123="",0,$Y123)</f>
        <v/>
      </c>
    </row>
    <row r="124">
      <c r="W124" s="31">
        <f>IF(OR($B$5="",$C$6="",ROW()&lt;$B$5),"",IF(INDEX($A:$U,ROW(),$C$6)="","",INDEX($A:$U,ROW(),$C$6)))</f>
        <v/>
      </c>
      <c r="X124" s="32">
        <f>IF($W124="","",IF(ISNUMBER($W124),IF($W124&gt;=10000000,IFERROR(DATE(INT($W124/10000),MOD(INT($W124/100),100),MOD($W124,100)),""),INT($W124)),IFERROR(DATE(--LEFT(LEFT(SUBSTITUTE(SUBSTITUTE(SUBSTITUTE(SUBSTITUTE(TRIM($W124),"-",""),".",""),"/","")," ",""),8),4),--MID(LEFT(SUBSTITUTE(SUBSTITUTE(SUBSTITUTE(SUBSTITUTE(TRIM($W124),"-",""),".",""),"/","")," ",""),8),5,2),--MID(LEFT(SUBSTITUTE(SUBSTITUTE(SUBSTITUTE(SUBSTITUTE(TRIM($W124),"-",""),".",""),"/","")," ",""),8),7,2)),"")))</f>
        <v/>
      </c>
      <c r="Y124" s="32">
        <f>IF($X124="","",INT($X124))</f>
        <v/>
      </c>
      <c r="Z124" s="33">
        <f>IF(OR($Y124="",$D$6=""),"",IF(INDEX($A:$U,ROW(),$D$6)="",0,IF(ISNUMBER(INDEX($A:$U,ROW(),$D$6)),INDEX($A:$U,ROW(),$D$6),IFERROR(--SUBSTITUTE(SUBSTITUTE(TRIM(INDEX($A:$U,ROW(),$D$6)),",",""),"원",""),0))))</f>
        <v/>
      </c>
      <c r="AA124" s="31">
        <f>IF($Y124="","",TRIM(INDEX($A:$U,ROW(),$E$6)&amp;IF($F$6="",""," "&amp;INDEX($A:$U,ROW(),$F$6))))</f>
        <v/>
      </c>
      <c r="AB124" s="31">
        <f>IF($AA124="","",SUBSTITUTE(SUBSTITUTE(SUBSTITUTE(SUBSTITUTE(SUBSTITUTE(SUBSTITUTE(SUBSTITUTE(SUBSTITUTE(SUBSTITUTE($AA124," ",""),"　",""),"(주)",""),"（주）",""),"㈜",""),"주식회사",""),"(유)",""),"（유）",""),"유한회사",""))</f>
        <v/>
      </c>
      <c r="AC124" s="31">
        <f>IF(OR($Y124="",N($Z124)&lt;=0,$AB124=""),0,IFERROR(LOOKUP(2,1/((거래처별!$AC$8:$AC$307&lt;&gt;"")*ISNUMBER(SEARCH(거래처별!$AC$8:$AC$307,$AB124))),거래처별!$A$8:$A$307),IFERROR(LOOKUP(2,1/((거래처별!$AD$8:$AD$307&lt;&gt;"")*ISNUMBER(SEARCH(거래처별!$AD$8:$AD$307,$AB124))),거래처별!$A$8:$A$307),IFERROR(LOOKUP(2,1/((거래처별!$AE$8:$AE$307&lt;&gt;"")*ISNUMBER(SEARCH(거래처별!$AE$8:$AE$307,$AB124))),거래처별!$A$8:$A$307),0))))</f>
        <v/>
      </c>
      <c r="AD124" s="31">
        <f>IF(AND($Y124&lt;&gt;"",N($Z124)&gt;0,$AC124=0),MAX($AD$7:$AD123)+1,"")</f>
        <v/>
      </c>
      <c r="AE124" s="31">
        <f>IF($Y124="",0,$Y124)</f>
        <v/>
      </c>
    </row>
    <row r="125">
      <c r="W125" s="31">
        <f>IF(OR($B$5="",$C$6="",ROW()&lt;$B$5),"",IF(INDEX($A:$U,ROW(),$C$6)="","",INDEX($A:$U,ROW(),$C$6)))</f>
        <v/>
      </c>
      <c r="X125" s="32">
        <f>IF($W125="","",IF(ISNUMBER($W125),IF($W125&gt;=10000000,IFERROR(DATE(INT($W125/10000),MOD(INT($W125/100),100),MOD($W125,100)),""),INT($W125)),IFERROR(DATE(--LEFT(LEFT(SUBSTITUTE(SUBSTITUTE(SUBSTITUTE(SUBSTITUTE(TRIM($W125),"-",""),".",""),"/","")," ",""),8),4),--MID(LEFT(SUBSTITUTE(SUBSTITUTE(SUBSTITUTE(SUBSTITUTE(TRIM($W125),"-",""),".",""),"/","")," ",""),8),5,2),--MID(LEFT(SUBSTITUTE(SUBSTITUTE(SUBSTITUTE(SUBSTITUTE(TRIM($W125),"-",""),".",""),"/","")," ",""),8),7,2)),"")))</f>
        <v/>
      </c>
      <c r="Y125" s="32">
        <f>IF($X125="","",INT($X125))</f>
        <v/>
      </c>
      <c r="Z125" s="33">
        <f>IF(OR($Y125="",$D$6=""),"",IF(INDEX($A:$U,ROW(),$D$6)="",0,IF(ISNUMBER(INDEX($A:$U,ROW(),$D$6)),INDEX($A:$U,ROW(),$D$6),IFERROR(--SUBSTITUTE(SUBSTITUTE(TRIM(INDEX($A:$U,ROW(),$D$6)),",",""),"원",""),0))))</f>
        <v/>
      </c>
      <c r="AA125" s="31">
        <f>IF($Y125="","",TRIM(INDEX($A:$U,ROW(),$E$6)&amp;IF($F$6="",""," "&amp;INDEX($A:$U,ROW(),$F$6))))</f>
        <v/>
      </c>
      <c r="AB125" s="31">
        <f>IF($AA125="","",SUBSTITUTE(SUBSTITUTE(SUBSTITUTE(SUBSTITUTE(SUBSTITUTE(SUBSTITUTE(SUBSTITUTE(SUBSTITUTE(SUBSTITUTE($AA125," ",""),"　",""),"(주)",""),"（주）",""),"㈜",""),"주식회사",""),"(유)",""),"（유）",""),"유한회사",""))</f>
        <v/>
      </c>
      <c r="AC125" s="31">
        <f>IF(OR($Y125="",N($Z125)&lt;=0,$AB125=""),0,IFERROR(LOOKUP(2,1/((거래처별!$AC$8:$AC$307&lt;&gt;"")*ISNUMBER(SEARCH(거래처별!$AC$8:$AC$307,$AB125))),거래처별!$A$8:$A$307),IFERROR(LOOKUP(2,1/((거래처별!$AD$8:$AD$307&lt;&gt;"")*ISNUMBER(SEARCH(거래처별!$AD$8:$AD$307,$AB125))),거래처별!$A$8:$A$307),IFERROR(LOOKUP(2,1/((거래처별!$AE$8:$AE$307&lt;&gt;"")*ISNUMBER(SEARCH(거래처별!$AE$8:$AE$307,$AB125))),거래처별!$A$8:$A$307),0))))</f>
        <v/>
      </c>
      <c r="AD125" s="31">
        <f>IF(AND($Y125&lt;&gt;"",N($Z125)&gt;0,$AC125=0),MAX($AD$7:$AD124)+1,"")</f>
        <v/>
      </c>
      <c r="AE125" s="31">
        <f>IF($Y125="",0,$Y125)</f>
        <v/>
      </c>
    </row>
    <row r="126">
      <c r="W126" s="31">
        <f>IF(OR($B$5="",$C$6="",ROW()&lt;$B$5),"",IF(INDEX($A:$U,ROW(),$C$6)="","",INDEX($A:$U,ROW(),$C$6)))</f>
        <v/>
      </c>
      <c r="X126" s="32">
        <f>IF($W126="","",IF(ISNUMBER($W126),IF($W126&gt;=10000000,IFERROR(DATE(INT($W126/10000),MOD(INT($W126/100),100),MOD($W126,100)),""),INT($W126)),IFERROR(DATE(--LEFT(LEFT(SUBSTITUTE(SUBSTITUTE(SUBSTITUTE(SUBSTITUTE(TRIM($W126),"-",""),".",""),"/","")," ",""),8),4),--MID(LEFT(SUBSTITUTE(SUBSTITUTE(SUBSTITUTE(SUBSTITUTE(TRIM($W126),"-",""),".",""),"/","")," ",""),8),5,2),--MID(LEFT(SUBSTITUTE(SUBSTITUTE(SUBSTITUTE(SUBSTITUTE(TRIM($W126),"-",""),".",""),"/","")," ",""),8),7,2)),"")))</f>
        <v/>
      </c>
      <c r="Y126" s="32">
        <f>IF($X126="","",INT($X126))</f>
        <v/>
      </c>
      <c r="Z126" s="33">
        <f>IF(OR($Y126="",$D$6=""),"",IF(INDEX($A:$U,ROW(),$D$6)="",0,IF(ISNUMBER(INDEX($A:$U,ROW(),$D$6)),INDEX($A:$U,ROW(),$D$6),IFERROR(--SUBSTITUTE(SUBSTITUTE(TRIM(INDEX($A:$U,ROW(),$D$6)),",",""),"원",""),0))))</f>
        <v/>
      </c>
      <c r="AA126" s="31">
        <f>IF($Y126="","",TRIM(INDEX($A:$U,ROW(),$E$6)&amp;IF($F$6="",""," "&amp;INDEX($A:$U,ROW(),$F$6))))</f>
        <v/>
      </c>
      <c r="AB126" s="31">
        <f>IF($AA126="","",SUBSTITUTE(SUBSTITUTE(SUBSTITUTE(SUBSTITUTE(SUBSTITUTE(SUBSTITUTE(SUBSTITUTE(SUBSTITUTE(SUBSTITUTE($AA126," ",""),"　",""),"(주)",""),"（주）",""),"㈜",""),"주식회사",""),"(유)",""),"（유）",""),"유한회사",""))</f>
        <v/>
      </c>
      <c r="AC126" s="31">
        <f>IF(OR($Y126="",N($Z126)&lt;=0,$AB126=""),0,IFERROR(LOOKUP(2,1/((거래처별!$AC$8:$AC$307&lt;&gt;"")*ISNUMBER(SEARCH(거래처별!$AC$8:$AC$307,$AB126))),거래처별!$A$8:$A$307),IFERROR(LOOKUP(2,1/((거래처별!$AD$8:$AD$307&lt;&gt;"")*ISNUMBER(SEARCH(거래처별!$AD$8:$AD$307,$AB126))),거래처별!$A$8:$A$307),IFERROR(LOOKUP(2,1/((거래처별!$AE$8:$AE$307&lt;&gt;"")*ISNUMBER(SEARCH(거래처별!$AE$8:$AE$307,$AB126))),거래처별!$A$8:$A$307),0))))</f>
        <v/>
      </c>
      <c r="AD126" s="31">
        <f>IF(AND($Y126&lt;&gt;"",N($Z126)&gt;0,$AC126=0),MAX($AD$7:$AD125)+1,"")</f>
        <v/>
      </c>
      <c r="AE126" s="31">
        <f>IF($Y126="",0,$Y126)</f>
        <v/>
      </c>
    </row>
    <row r="127">
      <c r="W127" s="31">
        <f>IF(OR($B$5="",$C$6="",ROW()&lt;$B$5),"",IF(INDEX($A:$U,ROW(),$C$6)="","",INDEX($A:$U,ROW(),$C$6)))</f>
        <v/>
      </c>
      <c r="X127" s="32">
        <f>IF($W127="","",IF(ISNUMBER($W127),IF($W127&gt;=10000000,IFERROR(DATE(INT($W127/10000),MOD(INT($W127/100),100),MOD($W127,100)),""),INT($W127)),IFERROR(DATE(--LEFT(LEFT(SUBSTITUTE(SUBSTITUTE(SUBSTITUTE(SUBSTITUTE(TRIM($W127),"-",""),".",""),"/","")," ",""),8),4),--MID(LEFT(SUBSTITUTE(SUBSTITUTE(SUBSTITUTE(SUBSTITUTE(TRIM($W127),"-",""),".",""),"/","")," ",""),8),5,2),--MID(LEFT(SUBSTITUTE(SUBSTITUTE(SUBSTITUTE(SUBSTITUTE(TRIM($W127),"-",""),".",""),"/","")," ",""),8),7,2)),"")))</f>
        <v/>
      </c>
      <c r="Y127" s="32">
        <f>IF($X127="","",INT($X127))</f>
        <v/>
      </c>
      <c r="Z127" s="33">
        <f>IF(OR($Y127="",$D$6=""),"",IF(INDEX($A:$U,ROW(),$D$6)="",0,IF(ISNUMBER(INDEX($A:$U,ROW(),$D$6)),INDEX($A:$U,ROW(),$D$6),IFERROR(--SUBSTITUTE(SUBSTITUTE(TRIM(INDEX($A:$U,ROW(),$D$6)),",",""),"원",""),0))))</f>
        <v/>
      </c>
      <c r="AA127" s="31">
        <f>IF($Y127="","",TRIM(INDEX($A:$U,ROW(),$E$6)&amp;IF($F$6="",""," "&amp;INDEX($A:$U,ROW(),$F$6))))</f>
        <v/>
      </c>
      <c r="AB127" s="31">
        <f>IF($AA127="","",SUBSTITUTE(SUBSTITUTE(SUBSTITUTE(SUBSTITUTE(SUBSTITUTE(SUBSTITUTE(SUBSTITUTE(SUBSTITUTE(SUBSTITUTE($AA127," ",""),"　",""),"(주)",""),"（주）",""),"㈜",""),"주식회사",""),"(유)",""),"（유）",""),"유한회사",""))</f>
        <v/>
      </c>
      <c r="AC127" s="31">
        <f>IF(OR($Y127="",N($Z127)&lt;=0,$AB127=""),0,IFERROR(LOOKUP(2,1/((거래처별!$AC$8:$AC$307&lt;&gt;"")*ISNUMBER(SEARCH(거래처별!$AC$8:$AC$307,$AB127))),거래처별!$A$8:$A$307),IFERROR(LOOKUP(2,1/((거래처별!$AD$8:$AD$307&lt;&gt;"")*ISNUMBER(SEARCH(거래처별!$AD$8:$AD$307,$AB127))),거래처별!$A$8:$A$307),IFERROR(LOOKUP(2,1/((거래처별!$AE$8:$AE$307&lt;&gt;"")*ISNUMBER(SEARCH(거래처별!$AE$8:$AE$307,$AB127))),거래처별!$A$8:$A$307),0))))</f>
        <v/>
      </c>
      <c r="AD127" s="31">
        <f>IF(AND($Y127&lt;&gt;"",N($Z127)&gt;0,$AC127=0),MAX($AD$7:$AD126)+1,"")</f>
        <v/>
      </c>
      <c r="AE127" s="31">
        <f>IF($Y127="",0,$Y127)</f>
        <v/>
      </c>
    </row>
    <row r="128">
      <c r="W128" s="31">
        <f>IF(OR($B$5="",$C$6="",ROW()&lt;$B$5),"",IF(INDEX($A:$U,ROW(),$C$6)="","",INDEX($A:$U,ROW(),$C$6)))</f>
        <v/>
      </c>
      <c r="X128" s="32">
        <f>IF($W128="","",IF(ISNUMBER($W128),IF($W128&gt;=10000000,IFERROR(DATE(INT($W128/10000),MOD(INT($W128/100),100),MOD($W128,100)),""),INT($W128)),IFERROR(DATE(--LEFT(LEFT(SUBSTITUTE(SUBSTITUTE(SUBSTITUTE(SUBSTITUTE(TRIM($W128),"-",""),".",""),"/","")," ",""),8),4),--MID(LEFT(SUBSTITUTE(SUBSTITUTE(SUBSTITUTE(SUBSTITUTE(TRIM($W128),"-",""),".",""),"/","")," ",""),8),5,2),--MID(LEFT(SUBSTITUTE(SUBSTITUTE(SUBSTITUTE(SUBSTITUTE(TRIM($W128),"-",""),".",""),"/","")," ",""),8),7,2)),"")))</f>
        <v/>
      </c>
      <c r="Y128" s="32">
        <f>IF($X128="","",INT($X128))</f>
        <v/>
      </c>
      <c r="Z128" s="33">
        <f>IF(OR($Y128="",$D$6=""),"",IF(INDEX($A:$U,ROW(),$D$6)="",0,IF(ISNUMBER(INDEX($A:$U,ROW(),$D$6)),INDEX($A:$U,ROW(),$D$6),IFERROR(--SUBSTITUTE(SUBSTITUTE(TRIM(INDEX($A:$U,ROW(),$D$6)),",",""),"원",""),0))))</f>
        <v/>
      </c>
      <c r="AA128" s="31">
        <f>IF($Y128="","",TRIM(INDEX($A:$U,ROW(),$E$6)&amp;IF($F$6="",""," "&amp;INDEX($A:$U,ROW(),$F$6))))</f>
        <v/>
      </c>
      <c r="AB128" s="31">
        <f>IF($AA128="","",SUBSTITUTE(SUBSTITUTE(SUBSTITUTE(SUBSTITUTE(SUBSTITUTE(SUBSTITUTE(SUBSTITUTE(SUBSTITUTE(SUBSTITUTE($AA128," ",""),"　",""),"(주)",""),"（주）",""),"㈜",""),"주식회사",""),"(유)",""),"（유）",""),"유한회사",""))</f>
        <v/>
      </c>
      <c r="AC128" s="31">
        <f>IF(OR($Y128="",N($Z128)&lt;=0,$AB128=""),0,IFERROR(LOOKUP(2,1/((거래처별!$AC$8:$AC$307&lt;&gt;"")*ISNUMBER(SEARCH(거래처별!$AC$8:$AC$307,$AB128))),거래처별!$A$8:$A$307),IFERROR(LOOKUP(2,1/((거래처별!$AD$8:$AD$307&lt;&gt;"")*ISNUMBER(SEARCH(거래처별!$AD$8:$AD$307,$AB128))),거래처별!$A$8:$A$307),IFERROR(LOOKUP(2,1/((거래처별!$AE$8:$AE$307&lt;&gt;"")*ISNUMBER(SEARCH(거래처별!$AE$8:$AE$307,$AB128))),거래처별!$A$8:$A$307),0))))</f>
        <v/>
      </c>
      <c r="AD128" s="31">
        <f>IF(AND($Y128&lt;&gt;"",N($Z128)&gt;0,$AC128=0),MAX($AD$7:$AD127)+1,"")</f>
        <v/>
      </c>
      <c r="AE128" s="31">
        <f>IF($Y128="",0,$Y128)</f>
        <v/>
      </c>
    </row>
    <row r="129">
      <c r="W129" s="31">
        <f>IF(OR($B$5="",$C$6="",ROW()&lt;$B$5),"",IF(INDEX($A:$U,ROW(),$C$6)="","",INDEX($A:$U,ROW(),$C$6)))</f>
        <v/>
      </c>
      <c r="X129" s="32">
        <f>IF($W129="","",IF(ISNUMBER($W129),IF($W129&gt;=10000000,IFERROR(DATE(INT($W129/10000),MOD(INT($W129/100),100),MOD($W129,100)),""),INT($W129)),IFERROR(DATE(--LEFT(LEFT(SUBSTITUTE(SUBSTITUTE(SUBSTITUTE(SUBSTITUTE(TRIM($W129),"-",""),".",""),"/","")," ",""),8),4),--MID(LEFT(SUBSTITUTE(SUBSTITUTE(SUBSTITUTE(SUBSTITUTE(TRIM($W129),"-",""),".",""),"/","")," ",""),8),5,2),--MID(LEFT(SUBSTITUTE(SUBSTITUTE(SUBSTITUTE(SUBSTITUTE(TRIM($W129),"-",""),".",""),"/","")," ",""),8),7,2)),"")))</f>
        <v/>
      </c>
      <c r="Y129" s="32">
        <f>IF($X129="","",INT($X129))</f>
        <v/>
      </c>
      <c r="Z129" s="33">
        <f>IF(OR($Y129="",$D$6=""),"",IF(INDEX($A:$U,ROW(),$D$6)="",0,IF(ISNUMBER(INDEX($A:$U,ROW(),$D$6)),INDEX($A:$U,ROW(),$D$6),IFERROR(--SUBSTITUTE(SUBSTITUTE(TRIM(INDEX($A:$U,ROW(),$D$6)),",",""),"원",""),0))))</f>
        <v/>
      </c>
      <c r="AA129" s="31">
        <f>IF($Y129="","",TRIM(INDEX($A:$U,ROW(),$E$6)&amp;IF($F$6="",""," "&amp;INDEX($A:$U,ROW(),$F$6))))</f>
        <v/>
      </c>
      <c r="AB129" s="31">
        <f>IF($AA129="","",SUBSTITUTE(SUBSTITUTE(SUBSTITUTE(SUBSTITUTE(SUBSTITUTE(SUBSTITUTE(SUBSTITUTE(SUBSTITUTE(SUBSTITUTE($AA129," ",""),"　",""),"(주)",""),"（주）",""),"㈜",""),"주식회사",""),"(유)",""),"（유）",""),"유한회사",""))</f>
        <v/>
      </c>
      <c r="AC129" s="31">
        <f>IF(OR($Y129="",N($Z129)&lt;=0,$AB129=""),0,IFERROR(LOOKUP(2,1/((거래처별!$AC$8:$AC$307&lt;&gt;"")*ISNUMBER(SEARCH(거래처별!$AC$8:$AC$307,$AB129))),거래처별!$A$8:$A$307),IFERROR(LOOKUP(2,1/((거래처별!$AD$8:$AD$307&lt;&gt;"")*ISNUMBER(SEARCH(거래처별!$AD$8:$AD$307,$AB129))),거래처별!$A$8:$A$307),IFERROR(LOOKUP(2,1/((거래처별!$AE$8:$AE$307&lt;&gt;"")*ISNUMBER(SEARCH(거래처별!$AE$8:$AE$307,$AB129))),거래처별!$A$8:$A$307),0))))</f>
        <v/>
      </c>
      <c r="AD129" s="31">
        <f>IF(AND($Y129&lt;&gt;"",N($Z129)&gt;0,$AC129=0),MAX($AD$7:$AD128)+1,"")</f>
        <v/>
      </c>
      <c r="AE129" s="31">
        <f>IF($Y129="",0,$Y129)</f>
        <v/>
      </c>
    </row>
    <row r="130">
      <c r="W130" s="31">
        <f>IF(OR($B$5="",$C$6="",ROW()&lt;$B$5),"",IF(INDEX($A:$U,ROW(),$C$6)="","",INDEX($A:$U,ROW(),$C$6)))</f>
        <v/>
      </c>
      <c r="X130" s="32">
        <f>IF($W130="","",IF(ISNUMBER($W130),IF($W130&gt;=10000000,IFERROR(DATE(INT($W130/10000),MOD(INT($W130/100),100),MOD($W130,100)),""),INT($W130)),IFERROR(DATE(--LEFT(LEFT(SUBSTITUTE(SUBSTITUTE(SUBSTITUTE(SUBSTITUTE(TRIM($W130),"-",""),".",""),"/","")," ",""),8),4),--MID(LEFT(SUBSTITUTE(SUBSTITUTE(SUBSTITUTE(SUBSTITUTE(TRIM($W130),"-",""),".",""),"/","")," ",""),8),5,2),--MID(LEFT(SUBSTITUTE(SUBSTITUTE(SUBSTITUTE(SUBSTITUTE(TRIM($W130),"-",""),".",""),"/","")," ",""),8),7,2)),"")))</f>
        <v/>
      </c>
      <c r="Y130" s="32">
        <f>IF($X130="","",INT($X130))</f>
        <v/>
      </c>
      <c r="Z130" s="33">
        <f>IF(OR($Y130="",$D$6=""),"",IF(INDEX($A:$U,ROW(),$D$6)="",0,IF(ISNUMBER(INDEX($A:$U,ROW(),$D$6)),INDEX($A:$U,ROW(),$D$6),IFERROR(--SUBSTITUTE(SUBSTITUTE(TRIM(INDEX($A:$U,ROW(),$D$6)),",",""),"원",""),0))))</f>
        <v/>
      </c>
      <c r="AA130" s="31">
        <f>IF($Y130="","",TRIM(INDEX($A:$U,ROW(),$E$6)&amp;IF($F$6="",""," "&amp;INDEX($A:$U,ROW(),$F$6))))</f>
        <v/>
      </c>
      <c r="AB130" s="31">
        <f>IF($AA130="","",SUBSTITUTE(SUBSTITUTE(SUBSTITUTE(SUBSTITUTE(SUBSTITUTE(SUBSTITUTE(SUBSTITUTE(SUBSTITUTE(SUBSTITUTE($AA130," ",""),"　",""),"(주)",""),"（주）",""),"㈜",""),"주식회사",""),"(유)",""),"（유）",""),"유한회사",""))</f>
        <v/>
      </c>
      <c r="AC130" s="31">
        <f>IF(OR($Y130="",N($Z130)&lt;=0,$AB130=""),0,IFERROR(LOOKUP(2,1/((거래처별!$AC$8:$AC$307&lt;&gt;"")*ISNUMBER(SEARCH(거래처별!$AC$8:$AC$307,$AB130))),거래처별!$A$8:$A$307),IFERROR(LOOKUP(2,1/((거래처별!$AD$8:$AD$307&lt;&gt;"")*ISNUMBER(SEARCH(거래처별!$AD$8:$AD$307,$AB130))),거래처별!$A$8:$A$307),IFERROR(LOOKUP(2,1/((거래처별!$AE$8:$AE$307&lt;&gt;"")*ISNUMBER(SEARCH(거래처별!$AE$8:$AE$307,$AB130))),거래처별!$A$8:$A$307),0))))</f>
        <v/>
      </c>
      <c r="AD130" s="31">
        <f>IF(AND($Y130&lt;&gt;"",N($Z130)&gt;0,$AC130=0),MAX($AD$7:$AD129)+1,"")</f>
        <v/>
      </c>
      <c r="AE130" s="31">
        <f>IF($Y130="",0,$Y130)</f>
        <v/>
      </c>
    </row>
    <row r="131">
      <c r="W131" s="31">
        <f>IF(OR($B$5="",$C$6="",ROW()&lt;$B$5),"",IF(INDEX($A:$U,ROW(),$C$6)="","",INDEX($A:$U,ROW(),$C$6)))</f>
        <v/>
      </c>
      <c r="X131" s="32">
        <f>IF($W131="","",IF(ISNUMBER($W131),IF($W131&gt;=10000000,IFERROR(DATE(INT($W131/10000),MOD(INT($W131/100),100),MOD($W131,100)),""),INT($W131)),IFERROR(DATE(--LEFT(LEFT(SUBSTITUTE(SUBSTITUTE(SUBSTITUTE(SUBSTITUTE(TRIM($W131),"-",""),".",""),"/","")," ",""),8),4),--MID(LEFT(SUBSTITUTE(SUBSTITUTE(SUBSTITUTE(SUBSTITUTE(TRIM($W131),"-",""),".",""),"/","")," ",""),8),5,2),--MID(LEFT(SUBSTITUTE(SUBSTITUTE(SUBSTITUTE(SUBSTITUTE(TRIM($W131),"-",""),".",""),"/","")," ",""),8),7,2)),"")))</f>
        <v/>
      </c>
      <c r="Y131" s="32">
        <f>IF($X131="","",INT($X131))</f>
        <v/>
      </c>
      <c r="Z131" s="33">
        <f>IF(OR($Y131="",$D$6=""),"",IF(INDEX($A:$U,ROW(),$D$6)="",0,IF(ISNUMBER(INDEX($A:$U,ROW(),$D$6)),INDEX($A:$U,ROW(),$D$6),IFERROR(--SUBSTITUTE(SUBSTITUTE(TRIM(INDEX($A:$U,ROW(),$D$6)),",",""),"원",""),0))))</f>
        <v/>
      </c>
      <c r="AA131" s="31">
        <f>IF($Y131="","",TRIM(INDEX($A:$U,ROW(),$E$6)&amp;IF($F$6="",""," "&amp;INDEX($A:$U,ROW(),$F$6))))</f>
        <v/>
      </c>
      <c r="AB131" s="31">
        <f>IF($AA131="","",SUBSTITUTE(SUBSTITUTE(SUBSTITUTE(SUBSTITUTE(SUBSTITUTE(SUBSTITUTE(SUBSTITUTE(SUBSTITUTE(SUBSTITUTE($AA131," ",""),"　",""),"(주)",""),"（주）",""),"㈜",""),"주식회사",""),"(유)",""),"（유）",""),"유한회사",""))</f>
        <v/>
      </c>
      <c r="AC131" s="31">
        <f>IF(OR($Y131="",N($Z131)&lt;=0,$AB131=""),0,IFERROR(LOOKUP(2,1/((거래처별!$AC$8:$AC$307&lt;&gt;"")*ISNUMBER(SEARCH(거래처별!$AC$8:$AC$307,$AB131))),거래처별!$A$8:$A$307),IFERROR(LOOKUP(2,1/((거래처별!$AD$8:$AD$307&lt;&gt;"")*ISNUMBER(SEARCH(거래처별!$AD$8:$AD$307,$AB131))),거래처별!$A$8:$A$307),IFERROR(LOOKUP(2,1/((거래처별!$AE$8:$AE$307&lt;&gt;"")*ISNUMBER(SEARCH(거래처별!$AE$8:$AE$307,$AB131))),거래처별!$A$8:$A$307),0))))</f>
        <v/>
      </c>
      <c r="AD131" s="31">
        <f>IF(AND($Y131&lt;&gt;"",N($Z131)&gt;0,$AC131=0),MAX($AD$7:$AD130)+1,"")</f>
        <v/>
      </c>
      <c r="AE131" s="31">
        <f>IF($Y131="",0,$Y131)</f>
        <v/>
      </c>
    </row>
    <row r="132">
      <c r="W132" s="31">
        <f>IF(OR($B$5="",$C$6="",ROW()&lt;$B$5),"",IF(INDEX($A:$U,ROW(),$C$6)="","",INDEX($A:$U,ROW(),$C$6)))</f>
        <v/>
      </c>
      <c r="X132" s="32">
        <f>IF($W132="","",IF(ISNUMBER($W132),IF($W132&gt;=10000000,IFERROR(DATE(INT($W132/10000),MOD(INT($W132/100),100),MOD($W132,100)),""),INT($W132)),IFERROR(DATE(--LEFT(LEFT(SUBSTITUTE(SUBSTITUTE(SUBSTITUTE(SUBSTITUTE(TRIM($W132),"-",""),".",""),"/","")," ",""),8),4),--MID(LEFT(SUBSTITUTE(SUBSTITUTE(SUBSTITUTE(SUBSTITUTE(TRIM($W132),"-",""),".",""),"/","")," ",""),8),5,2),--MID(LEFT(SUBSTITUTE(SUBSTITUTE(SUBSTITUTE(SUBSTITUTE(TRIM($W132),"-",""),".",""),"/","")," ",""),8),7,2)),"")))</f>
        <v/>
      </c>
      <c r="Y132" s="32">
        <f>IF($X132="","",INT($X132))</f>
        <v/>
      </c>
      <c r="Z132" s="33">
        <f>IF(OR($Y132="",$D$6=""),"",IF(INDEX($A:$U,ROW(),$D$6)="",0,IF(ISNUMBER(INDEX($A:$U,ROW(),$D$6)),INDEX($A:$U,ROW(),$D$6),IFERROR(--SUBSTITUTE(SUBSTITUTE(TRIM(INDEX($A:$U,ROW(),$D$6)),",",""),"원",""),0))))</f>
        <v/>
      </c>
      <c r="AA132" s="31">
        <f>IF($Y132="","",TRIM(INDEX($A:$U,ROW(),$E$6)&amp;IF($F$6="",""," "&amp;INDEX($A:$U,ROW(),$F$6))))</f>
        <v/>
      </c>
      <c r="AB132" s="31">
        <f>IF($AA132="","",SUBSTITUTE(SUBSTITUTE(SUBSTITUTE(SUBSTITUTE(SUBSTITUTE(SUBSTITUTE(SUBSTITUTE(SUBSTITUTE(SUBSTITUTE($AA132," ",""),"　",""),"(주)",""),"（주）",""),"㈜",""),"주식회사",""),"(유)",""),"（유）",""),"유한회사",""))</f>
        <v/>
      </c>
      <c r="AC132" s="31">
        <f>IF(OR($Y132="",N($Z132)&lt;=0,$AB132=""),0,IFERROR(LOOKUP(2,1/((거래처별!$AC$8:$AC$307&lt;&gt;"")*ISNUMBER(SEARCH(거래처별!$AC$8:$AC$307,$AB132))),거래처별!$A$8:$A$307),IFERROR(LOOKUP(2,1/((거래처별!$AD$8:$AD$307&lt;&gt;"")*ISNUMBER(SEARCH(거래처별!$AD$8:$AD$307,$AB132))),거래처별!$A$8:$A$307),IFERROR(LOOKUP(2,1/((거래처별!$AE$8:$AE$307&lt;&gt;"")*ISNUMBER(SEARCH(거래처별!$AE$8:$AE$307,$AB132))),거래처별!$A$8:$A$307),0))))</f>
        <v/>
      </c>
      <c r="AD132" s="31">
        <f>IF(AND($Y132&lt;&gt;"",N($Z132)&gt;0,$AC132=0),MAX($AD$7:$AD131)+1,"")</f>
        <v/>
      </c>
      <c r="AE132" s="31">
        <f>IF($Y132="",0,$Y132)</f>
        <v/>
      </c>
    </row>
    <row r="133">
      <c r="W133" s="31">
        <f>IF(OR($B$5="",$C$6="",ROW()&lt;$B$5),"",IF(INDEX($A:$U,ROW(),$C$6)="","",INDEX($A:$U,ROW(),$C$6)))</f>
        <v/>
      </c>
      <c r="X133" s="32">
        <f>IF($W133="","",IF(ISNUMBER($W133),IF($W133&gt;=10000000,IFERROR(DATE(INT($W133/10000),MOD(INT($W133/100),100),MOD($W133,100)),""),INT($W133)),IFERROR(DATE(--LEFT(LEFT(SUBSTITUTE(SUBSTITUTE(SUBSTITUTE(SUBSTITUTE(TRIM($W133),"-",""),".",""),"/","")," ",""),8),4),--MID(LEFT(SUBSTITUTE(SUBSTITUTE(SUBSTITUTE(SUBSTITUTE(TRIM($W133),"-",""),".",""),"/","")," ",""),8),5,2),--MID(LEFT(SUBSTITUTE(SUBSTITUTE(SUBSTITUTE(SUBSTITUTE(TRIM($W133),"-",""),".",""),"/","")," ",""),8),7,2)),"")))</f>
        <v/>
      </c>
      <c r="Y133" s="32">
        <f>IF($X133="","",INT($X133))</f>
        <v/>
      </c>
      <c r="Z133" s="33">
        <f>IF(OR($Y133="",$D$6=""),"",IF(INDEX($A:$U,ROW(),$D$6)="",0,IF(ISNUMBER(INDEX($A:$U,ROW(),$D$6)),INDEX($A:$U,ROW(),$D$6),IFERROR(--SUBSTITUTE(SUBSTITUTE(TRIM(INDEX($A:$U,ROW(),$D$6)),",",""),"원",""),0))))</f>
        <v/>
      </c>
      <c r="AA133" s="31">
        <f>IF($Y133="","",TRIM(INDEX($A:$U,ROW(),$E$6)&amp;IF($F$6="",""," "&amp;INDEX($A:$U,ROW(),$F$6))))</f>
        <v/>
      </c>
      <c r="AB133" s="31">
        <f>IF($AA133="","",SUBSTITUTE(SUBSTITUTE(SUBSTITUTE(SUBSTITUTE(SUBSTITUTE(SUBSTITUTE(SUBSTITUTE(SUBSTITUTE(SUBSTITUTE($AA133," ",""),"　",""),"(주)",""),"（주）",""),"㈜",""),"주식회사",""),"(유)",""),"（유）",""),"유한회사",""))</f>
        <v/>
      </c>
      <c r="AC133" s="31">
        <f>IF(OR($Y133="",N($Z133)&lt;=0,$AB133=""),0,IFERROR(LOOKUP(2,1/((거래처별!$AC$8:$AC$307&lt;&gt;"")*ISNUMBER(SEARCH(거래처별!$AC$8:$AC$307,$AB133))),거래처별!$A$8:$A$307),IFERROR(LOOKUP(2,1/((거래처별!$AD$8:$AD$307&lt;&gt;"")*ISNUMBER(SEARCH(거래처별!$AD$8:$AD$307,$AB133))),거래처별!$A$8:$A$307),IFERROR(LOOKUP(2,1/((거래처별!$AE$8:$AE$307&lt;&gt;"")*ISNUMBER(SEARCH(거래처별!$AE$8:$AE$307,$AB133))),거래처별!$A$8:$A$307),0))))</f>
        <v/>
      </c>
      <c r="AD133" s="31">
        <f>IF(AND($Y133&lt;&gt;"",N($Z133)&gt;0,$AC133=0),MAX($AD$7:$AD132)+1,"")</f>
        <v/>
      </c>
      <c r="AE133" s="31">
        <f>IF($Y133="",0,$Y133)</f>
        <v/>
      </c>
    </row>
    <row r="134">
      <c r="W134" s="31">
        <f>IF(OR($B$5="",$C$6="",ROW()&lt;$B$5),"",IF(INDEX($A:$U,ROW(),$C$6)="","",INDEX($A:$U,ROW(),$C$6)))</f>
        <v/>
      </c>
      <c r="X134" s="32">
        <f>IF($W134="","",IF(ISNUMBER($W134),IF($W134&gt;=10000000,IFERROR(DATE(INT($W134/10000),MOD(INT($W134/100),100),MOD($W134,100)),""),INT($W134)),IFERROR(DATE(--LEFT(LEFT(SUBSTITUTE(SUBSTITUTE(SUBSTITUTE(SUBSTITUTE(TRIM($W134),"-",""),".",""),"/","")," ",""),8),4),--MID(LEFT(SUBSTITUTE(SUBSTITUTE(SUBSTITUTE(SUBSTITUTE(TRIM($W134),"-",""),".",""),"/","")," ",""),8),5,2),--MID(LEFT(SUBSTITUTE(SUBSTITUTE(SUBSTITUTE(SUBSTITUTE(TRIM($W134),"-",""),".",""),"/","")," ",""),8),7,2)),"")))</f>
        <v/>
      </c>
      <c r="Y134" s="32">
        <f>IF($X134="","",INT($X134))</f>
        <v/>
      </c>
      <c r="Z134" s="33">
        <f>IF(OR($Y134="",$D$6=""),"",IF(INDEX($A:$U,ROW(),$D$6)="",0,IF(ISNUMBER(INDEX($A:$U,ROW(),$D$6)),INDEX($A:$U,ROW(),$D$6),IFERROR(--SUBSTITUTE(SUBSTITUTE(TRIM(INDEX($A:$U,ROW(),$D$6)),",",""),"원",""),0))))</f>
        <v/>
      </c>
      <c r="AA134" s="31">
        <f>IF($Y134="","",TRIM(INDEX($A:$U,ROW(),$E$6)&amp;IF($F$6="",""," "&amp;INDEX($A:$U,ROW(),$F$6))))</f>
        <v/>
      </c>
      <c r="AB134" s="31">
        <f>IF($AA134="","",SUBSTITUTE(SUBSTITUTE(SUBSTITUTE(SUBSTITUTE(SUBSTITUTE(SUBSTITUTE(SUBSTITUTE(SUBSTITUTE(SUBSTITUTE($AA134," ",""),"　",""),"(주)",""),"（주）",""),"㈜",""),"주식회사",""),"(유)",""),"（유）",""),"유한회사",""))</f>
        <v/>
      </c>
      <c r="AC134" s="31">
        <f>IF(OR($Y134="",N($Z134)&lt;=0,$AB134=""),0,IFERROR(LOOKUP(2,1/((거래처별!$AC$8:$AC$307&lt;&gt;"")*ISNUMBER(SEARCH(거래처별!$AC$8:$AC$307,$AB134))),거래처별!$A$8:$A$307),IFERROR(LOOKUP(2,1/((거래처별!$AD$8:$AD$307&lt;&gt;"")*ISNUMBER(SEARCH(거래처별!$AD$8:$AD$307,$AB134))),거래처별!$A$8:$A$307),IFERROR(LOOKUP(2,1/((거래처별!$AE$8:$AE$307&lt;&gt;"")*ISNUMBER(SEARCH(거래처별!$AE$8:$AE$307,$AB134))),거래처별!$A$8:$A$307),0))))</f>
        <v/>
      </c>
      <c r="AD134" s="31">
        <f>IF(AND($Y134&lt;&gt;"",N($Z134)&gt;0,$AC134=0),MAX($AD$7:$AD133)+1,"")</f>
        <v/>
      </c>
      <c r="AE134" s="31">
        <f>IF($Y134="",0,$Y134)</f>
        <v/>
      </c>
    </row>
    <row r="135">
      <c r="W135" s="31">
        <f>IF(OR($B$5="",$C$6="",ROW()&lt;$B$5),"",IF(INDEX($A:$U,ROW(),$C$6)="","",INDEX($A:$U,ROW(),$C$6)))</f>
        <v/>
      </c>
      <c r="X135" s="32">
        <f>IF($W135="","",IF(ISNUMBER($W135),IF($W135&gt;=10000000,IFERROR(DATE(INT($W135/10000),MOD(INT($W135/100),100),MOD($W135,100)),""),INT($W135)),IFERROR(DATE(--LEFT(LEFT(SUBSTITUTE(SUBSTITUTE(SUBSTITUTE(SUBSTITUTE(TRIM($W135),"-",""),".",""),"/","")," ",""),8),4),--MID(LEFT(SUBSTITUTE(SUBSTITUTE(SUBSTITUTE(SUBSTITUTE(TRIM($W135),"-",""),".",""),"/","")," ",""),8),5,2),--MID(LEFT(SUBSTITUTE(SUBSTITUTE(SUBSTITUTE(SUBSTITUTE(TRIM($W135),"-",""),".",""),"/","")," ",""),8),7,2)),"")))</f>
        <v/>
      </c>
      <c r="Y135" s="32">
        <f>IF($X135="","",INT($X135))</f>
        <v/>
      </c>
      <c r="Z135" s="33">
        <f>IF(OR($Y135="",$D$6=""),"",IF(INDEX($A:$U,ROW(),$D$6)="",0,IF(ISNUMBER(INDEX($A:$U,ROW(),$D$6)),INDEX($A:$U,ROW(),$D$6),IFERROR(--SUBSTITUTE(SUBSTITUTE(TRIM(INDEX($A:$U,ROW(),$D$6)),",",""),"원",""),0))))</f>
        <v/>
      </c>
      <c r="AA135" s="31">
        <f>IF($Y135="","",TRIM(INDEX($A:$U,ROW(),$E$6)&amp;IF($F$6="",""," "&amp;INDEX($A:$U,ROW(),$F$6))))</f>
        <v/>
      </c>
      <c r="AB135" s="31">
        <f>IF($AA135="","",SUBSTITUTE(SUBSTITUTE(SUBSTITUTE(SUBSTITUTE(SUBSTITUTE(SUBSTITUTE(SUBSTITUTE(SUBSTITUTE(SUBSTITUTE($AA135," ",""),"　",""),"(주)",""),"（주）",""),"㈜",""),"주식회사",""),"(유)",""),"（유）",""),"유한회사",""))</f>
        <v/>
      </c>
      <c r="AC135" s="31">
        <f>IF(OR($Y135="",N($Z135)&lt;=0,$AB135=""),0,IFERROR(LOOKUP(2,1/((거래처별!$AC$8:$AC$307&lt;&gt;"")*ISNUMBER(SEARCH(거래처별!$AC$8:$AC$307,$AB135))),거래처별!$A$8:$A$307),IFERROR(LOOKUP(2,1/((거래처별!$AD$8:$AD$307&lt;&gt;"")*ISNUMBER(SEARCH(거래처별!$AD$8:$AD$307,$AB135))),거래처별!$A$8:$A$307),IFERROR(LOOKUP(2,1/((거래처별!$AE$8:$AE$307&lt;&gt;"")*ISNUMBER(SEARCH(거래처별!$AE$8:$AE$307,$AB135))),거래처별!$A$8:$A$307),0))))</f>
        <v/>
      </c>
      <c r="AD135" s="31">
        <f>IF(AND($Y135&lt;&gt;"",N($Z135)&gt;0,$AC135=0),MAX($AD$7:$AD134)+1,"")</f>
        <v/>
      </c>
      <c r="AE135" s="31">
        <f>IF($Y135="",0,$Y135)</f>
        <v/>
      </c>
    </row>
    <row r="136">
      <c r="W136" s="31">
        <f>IF(OR($B$5="",$C$6="",ROW()&lt;$B$5),"",IF(INDEX($A:$U,ROW(),$C$6)="","",INDEX($A:$U,ROW(),$C$6)))</f>
        <v/>
      </c>
      <c r="X136" s="32">
        <f>IF($W136="","",IF(ISNUMBER($W136),IF($W136&gt;=10000000,IFERROR(DATE(INT($W136/10000),MOD(INT($W136/100),100),MOD($W136,100)),""),INT($W136)),IFERROR(DATE(--LEFT(LEFT(SUBSTITUTE(SUBSTITUTE(SUBSTITUTE(SUBSTITUTE(TRIM($W136),"-",""),".",""),"/","")," ",""),8),4),--MID(LEFT(SUBSTITUTE(SUBSTITUTE(SUBSTITUTE(SUBSTITUTE(TRIM($W136),"-",""),".",""),"/","")," ",""),8),5,2),--MID(LEFT(SUBSTITUTE(SUBSTITUTE(SUBSTITUTE(SUBSTITUTE(TRIM($W136),"-",""),".",""),"/","")," ",""),8),7,2)),"")))</f>
        <v/>
      </c>
      <c r="Y136" s="32">
        <f>IF($X136="","",INT($X136))</f>
        <v/>
      </c>
      <c r="Z136" s="33">
        <f>IF(OR($Y136="",$D$6=""),"",IF(INDEX($A:$U,ROW(),$D$6)="",0,IF(ISNUMBER(INDEX($A:$U,ROW(),$D$6)),INDEX($A:$U,ROW(),$D$6),IFERROR(--SUBSTITUTE(SUBSTITUTE(TRIM(INDEX($A:$U,ROW(),$D$6)),",",""),"원",""),0))))</f>
        <v/>
      </c>
      <c r="AA136" s="31">
        <f>IF($Y136="","",TRIM(INDEX($A:$U,ROW(),$E$6)&amp;IF($F$6="",""," "&amp;INDEX($A:$U,ROW(),$F$6))))</f>
        <v/>
      </c>
      <c r="AB136" s="31">
        <f>IF($AA136="","",SUBSTITUTE(SUBSTITUTE(SUBSTITUTE(SUBSTITUTE(SUBSTITUTE(SUBSTITUTE(SUBSTITUTE(SUBSTITUTE(SUBSTITUTE($AA136," ",""),"　",""),"(주)",""),"（주）",""),"㈜",""),"주식회사",""),"(유)",""),"（유）",""),"유한회사",""))</f>
        <v/>
      </c>
      <c r="AC136" s="31">
        <f>IF(OR($Y136="",N($Z136)&lt;=0,$AB136=""),0,IFERROR(LOOKUP(2,1/((거래처별!$AC$8:$AC$307&lt;&gt;"")*ISNUMBER(SEARCH(거래처별!$AC$8:$AC$307,$AB136))),거래처별!$A$8:$A$307),IFERROR(LOOKUP(2,1/((거래처별!$AD$8:$AD$307&lt;&gt;"")*ISNUMBER(SEARCH(거래처별!$AD$8:$AD$307,$AB136))),거래처별!$A$8:$A$307),IFERROR(LOOKUP(2,1/((거래처별!$AE$8:$AE$307&lt;&gt;"")*ISNUMBER(SEARCH(거래처별!$AE$8:$AE$307,$AB136))),거래처별!$A$8:$A$307),0))))</f>
        <v/>
      </c>
      <c r="AD136" s="31">
        <f>IF(AND($Y136&lt;&gt;"",N($Z136)&gt;0,$AC136=0),MAX($AD$7:$AD135)+1,"")</f>
        <v/>
      </c>
      <c r="AE136" s="31">
        <f>IF($Y136="",0,$Y136)</f>
        <v/>
      </c>
    </row>
    <row r="137">
      <c r="W137" s="31">
        <f>IF(OR($B$5="",$C$6="",ROW()&lt;$B$5),"",IF(INDEX($A:$U,ROW(),$C$6)="","",INDEX($A:$U,ROW(),$C$6)))</f>
        <v/>
      </c>
      <c r="X137" s="32">
        <f>IF($W137="","",IF(ISNUMBER($W137),IF($W137&gt;=10000000,IFERROR(DATE(INT($W137/10000),MOD(INT($W137/100),100),MOD($W137,100)),""),INT($W137)),IFERROR(DATE(--LEFT(LEFT(SUBSTITUTE(SUBSTITUTE(SUBSTITUTE(SUBSTITUTE(TRIM($W137),"-",""),".",""),"/","")," ",""),8),4),--MID(LEFT(SUBSTITUTE(SUBSTITUTE(SUBSTITUTE(SUBSTITUTE(TRIM($W137),"-",""),".",""),"/","")," ",""),8),5,2),--MID(LEFT(SUBSTITUTE(SUBSTITUTE(SUBSTITUTE(SUBSTITUTE(TRIM($W137),"-",""),".",""),"/","")," ",""),8),7,2)),"")))</f>
        <v/>
      </c>
      <c r="Y137" s="32">
        <f>IF($X137="","",INT($X137))</f>
        <v/>
      </c>
      <c r="Z137" s="33">
        <f>IF(OR($Y137="",$D$6=""),"",IF(INDEX($A:$U,ROW(),$D$6)="",0,IF(ISNUMBER(INDEX($A:$U,ROW(),$D$6)),INDEX($A:$U,ROW(),$D$6),IFERROR(--SUBSTITUTE(SUBSTITUTE(TRIM(INDEX($A:$U,ROW(),$D$6)),",",""),"원",""),0))))</f>
        <v/>
      </c>
      <c r="AA137" s="31">
        <f>IF($Y137="","",TRIM(INDEX($A:$U,ROW(),$E$6)&amp;IF($F$6="",""," "&amp;INDEX($A:$U,ROW(),$F$6))))</f>
        <v/>
      </c>
      <c r="AB137" s="31">
        <f>IF($AA137="","",SUBSTITUTE(SUBSTITUTE(SUBSTITUTE(SUBSTITUTE(SUBSTITUTE(SUBSTITUTE(SUBSTITUTE(SUBSTITUTE(SUBSTITUTE($AA137," ",""),"　",""),"(주)",""),"（주）",""),"㈜",""),"주식회사",""),"(유)",""),"（유）",""),"유한회사",""))</f>
        <v/>
      </c>
      <c r="AC137" s="31">
        <f>IF(OR($Y137="",N($Z137)&lt;=0,$AB137=""),0,IFERROR(LOOKUP(2,1/((거래처별!$AC$8:$AC$307&lt;&gt;"")*ISNUMBER(SEARCH(거래처별!$AC$8:$AC$307,$AB137))),거래처별!$A$8:$A$307),IFERROR(LOOKUP(2,1/((거래처별!$AD$8:$AD$307&lt;&gt;"")*ISNUMBER(SEARCH(거래처별!$AD$8:$AD$307,$AB137))),거래처별!$A$8:$A$307),IFERROR(LOOKUP(2,1/((거래처별!$AE$8:$AE$307&lt;&gt;"")*ISNUMBER(SEARCH(거래처별!$AE$8:$AE$307,$AB137))),거래처별!$A$8:$A$307),0))))</f>
        <v/>
      </c>
      <c r="AD137" s="31">
        <f>IF(AND($Y137&lt;&gt;"",N($Z137)&gt;0,$AC137=0),MAX($AD$7:$AD136)+1,"")</f>
        <v/>
      </c>
      <c r="AE137" s="31">
        <f>IF($Y137="",0,$Y137)</f>
        <v/>
      </c>
    </row>
    <row r="138">
      <c r="W138" s="31">
        <f>IF(OR($B$5="",$C$6="",ROW()&lt;$B$5),"",IF(INDEX($A:$U,ROW(),$C$6)="","",INDEX($A:$U,ROW(),$C$6)))</f>
        <v/>
      </c>
      <c r="X138" s="32">
        <f>IF($W138="","",IF(ISNUMBER($W138),IF($W138&gt;=10000000,IFERROR(DATE(INT($W138/10000),MOD(INT($W138/100),100),MOD($W138,100)),""),INT($W138)),IFERROR(DATE(--LEFT(LEFT(SUBSTITUTE(SUBSTITUTE(SUBSTITUTE(SUBSTITUTE(TRIM($W138),"-",""),".",""),"/","")," ",""),8),4),--MID(LEFT(SUBSTITUTE(SUBSTITUTE(SUBSTITUTE(SUBSTITUTE(TRIM($W138),"-",""),".",""),"/","")," ",""),8),5,2),--MID(LEFT(SUBSTITUTE(SUBSTITUTE(SUBSTITUTE(SUBSTITUTE(TRIM($W138),"-",""),".",""),"/","")," ",""),8),7,2)),"")))</f>
        <v/>
      </c>
      <c r="Y138" s="32">
        <f>IF($X138="","",INT($X138))</f>
        <v/>
      </c>
      <c r="Z138" s="33">
        <f>IF(OR($Y138="",$D$6=""),"",IF(INDEX($A:$U,ROW(),$D$6)="",0,IF(ISNUMBER(INDEX($A:$U,ROW(),$D$6)),INDEX($A:$U,ROW(),$D$6),IFERROR(--SUBSTITUTE(SUBSTITUTE(TRIM(INDEX($A:$U,ROW(),$D$6)),",",""),"원",""),0))))</f>
        <v/>
      </c>
      <c r="AA138" s="31">
        <f>IF($Y138="","",TRIM(INDEX($A:$U,ROW(),$E$6)&amp;IF($F$6="",""," "&amp;INDEX($A:$U,ROW(),$F$6))))</f>
        <v/>
      </c>
      <c r="AB138" s="31">
        <f>IF($AA138="","",SUBSTITUTE(SUBSTITUTE(SUBSTITUTE(SUBSTITUTE(SUBSTITUTE(SUBSTITUTE(SUBSTITUTE(SUBSTITUTE(SUBSTITUTE($AA138," ",""),"　",""),"(주)",""),"（주）",""),"㈜",""),"주식회사",""),"(유)",""),"（유）",""),"유한회사",""))</f>
        <v/>
      </c>
      <c r="AC138" s="31">
        <f>IF(OR($Y138="",N($Z138)&lt;=0,$AB138=""),0,IFERROR(LOOKUP(2,1/((거래처별!$AC$8:$AC$307&lt;&gt;"")*ISNUMBER(SEARCH(거래처별!$AC$8:$AC$307,$AB138))),거래처별!$A$8:$A$307),IFERROR(LOOKUP(2,1/((거래처별!$AD$8:$AD$307&lt;&gt;"")*ISNUMBER(SEARCH(거래처별!$AD$8:$AD$307,$AB138))),거래처별!$A$8:$A$307),IFERROR(LOOKUP(2,1/((거래처별!$AE$8:$AE$307&lt;&gt;"")*ISNUMBER(SEARCH(거래처별!$AE$8:$AE$307,$AB138))),거래처별!$A$8:$A$307),0))))</f>
        <v/>
      </c>
      <c r="AD138" s="31">
        <f>IF(AND($Y138&lt;&gt;"",N($Z138)&gt;0,$AC138=0),MAX($AD$7:$AD137)+1,"")</f>
        <v/>
      </c>
      <c r="AE138" s="31">
        <f>IF($Y138="",0,$Y138)</f>
        <v/>
      </c>
    </row>
    <row r="139">
      <c r="W139" s="31">
        <f>IF(OR($B$5="",$C$6="",ROW()&lt;$B$5),"",IF(INDEX($A:$U,ROW(),$C$6)="","",INDEX($A:$U,ROW(),$C$6)))</f>
        <v/>
      </c>
      <c r="X139" s="32">
        <f>IF($W139="","",IF(ISNUMBER($W139),IF($W139&gt;=10000000,IFERROR(DATE(INT($W139/10000),MOD(INT($W139/100),100),MOD($W139,100)),""),INT($W139)),IFERROR(DATE(--LEFT(LEFT(SUBSTITUTE(SUBSTITUTE(SUBSTITUTE(SUBSTITUTE(TRIM($W139),"-",""),".",""),"/","")," ",""),8),4),--MID(LEFT(SUBSTITUTE(SUBSTITUTE(SUBSTITUTE(SUBSTITUTE(TRIM($W139),"-",""),".",""),"/","")," ",""),8),5,2),--MID(LEFT(SUBSTITUTE(SUBSTITUTE(SUBSTITUTE(SUBSTITUTE(TRIM($W139),"-",""),".",""),"/","")," ",""),8),7,2)),"")))</f>
        <v/>
      </c>
      <c r="Y139" s="32">
        <f>IF($X139="","",INT($X139))</f>
        <v/>
      </c>
      <c r="Z139" s="33">
        <f>IF(OR($Y139="",$D$6=""),"",IF(INDEX($A:$U,ROW(),$D$6)="",0,IF(ISNUMBER(INDEX($A:$U,ROW(),$D$6)),INDEX($A:$U,ROW(),$D$6),IFERROR(--SUBSTITUTE(SUBSTITUTE(TRIM(INDEX($A:$U,ROW(),$D$6)),",",""),"원",""),0))))</f>
        <v/>
      </c>
      <c r="AA139" s="31">
        <f>IF($Y139="","",TRIM(INDEX($A:$U,ROW(),$E$6)&amp;IF($F$6="",""," "&amp;INDEX($A:$U,ROW(),$F$6))))</f>
        <v/>
      </c>
      <c r="AB139" s="31">
        <f>IF($AA139="","",SUBSTITUTE(SUBSTITUTE(SUBSTITUTE(SUBSTITUTE(SUBSTITUTE(SUBSTITUTE(SUBSTITUTE(SUBSTITUTE(SUBSTITUTE($AA139," ",""),"　",""),"(주)",""),"（주）",""),"㈜",""),"주식회사",""),"(유)",""),"（유）",""),"유한회사",""))</f>
        <v/>
      </c>
      <c r="AC139" s="31">
        <f>IF(OR($Y139="",N($Z139)&lt;=0,$AB139=""),0,IFERROR(LOOKUP(2,1/((거래처별!$AC$8:$AC$307&lt;&gt;"")*ISNUMBER(SEARCH(거래처별!$AC$8:$AC$307,$AB139))),거래처별!$A$8:$A$307),IFERROR(LOOKUP(2,1/((거래처별!$AD$8:$AD$307&lt;&gt;"")*ISNUMBER(SEARCH(거래처별!$AD$8:$AD$307,$AB139))),거래처별!$A$8:$A$307),IFERROR(LOOKUP(2,1/((거래처별!$AE$8:$AE$307&lt;&gt;"")*ISNUMBER(SEARCH(거래처별!$AE$8:$AE$307,$AB139))),거래처별!$A$8:$A$307),0))))</f>
        <v/>
      </c>
      <c r="AD139" s="31">
        <f>IF(AND($Y139&lt;&gt;"",N($Z139)&gt;0,$AC139=0),MAX($AD$7:$AD138)+1,"")</f>
        <v/>
      </c>
      <c r="AE139" s="31">
        <f>IF($Y139="",0,$Y139)</f>
        <v/>
      </c>
    </row>
    <row r="140">
      <c r="W140" s="31">
        <f>IF(OR($B$5="",$C$6="",ROW()&lt;$B$5),"",IF(INDEX($A:$U,ROW(),$C$6)="","",INDEX($A:$U,ROW(),$C$6)))</f>
        <v/>
      </c>
      <c r="X140" s="32">
        <f>IF($W140="","",IF(ISNUMBER($W140),IF($W140&gt;=10000000,IFERROR(DATE(INT($W140/10000),MOD(INT($W140/100),100),MOD($W140,100)),""),INT($W140)),IFERROR(DATE(--LEFT(LEFT(SUBSTITUTE(SUBSTITUTE(SUBSTITUTE(SUBSTITUTE(TRIM($W140),"-",""),".",""),"/","")," ",""),8),4),--MID(LEFT(SUBSTITUTE(SUBSTITUTE(SUBSTITUTE(SUBSTITUTE(TRIM($W140),"-",""),".",""),"/","")," ",""),8),5,2),--MID(LEFT(SUBSTITUTE(SUBSTITUTE(SUBSTITUTE(SUBSTITUTE(TRIM($W140),"-",""),".",""),"/","")," ",""),8),7,2)),"")))</f>
        <v/>
      </c>
      <c r="Y140" s="32">
        <f>IF($X140="","",INT($X140))</f>
        <v/>
      </c>
      <c r="Z140" s="33">
        <f>IF(OR($Y140="",$D$6=""),"",IF(INDEX($A:$U,ROW(),$D$6)="",0,IF(ISNUMBER(INDEX($A:$U,ROW(),$D$6)),INDEX($A:$U,ROW(),$D$6),IFERROR(--SUBSTITUTE(SUBSTITUTE(TRIM(INDEX($A:$U,ROW(),$D$6)),",",""),"원",""),0))))</f>
        <v/>
      </c>
      <c r="AA140" s="31">
        <f>IF($Y140="","",TRIM(INDEX($A:$U,ROW(),$E$6)&amp;IF($F$6="",""," "&amp;INDEX($A:$U,ROW(),$F$6))))</f>
        <v/>
      </c>
      <c r="AB140" s="31">
        <f>IF($AA140="","",SUBSTITUTE(SUBSTITUTE(SUBSTITUTE(SUBSTITUTE(SUBSTITUTE(SUBSTITUTE(SUBSTITUTE(SUBSTITUTE(SUBSTITUTE($AA140," ",""),"　",""),"(주)",""),"（주）",""),"㈜",""),"주식회사",""),"(유)",""),"（유）",""),"유한회사",""))</f>
        <v/>
      </c>
      <c r="AC140" s="31">
        <f>IF(OR($Y140="",N($Z140)&lt;=0,$AB140=""),0,IFERROR(LOOKUP(2,1/((거래처별!$AC$8:$AC$307&lt;&gt;"")*ISNUMBER(SEARCH(거래처별!$AC$8:$AC$307,$AB140))),거래처별!$A$8:$A$307),IFERROR(LOOKUP(2,1/((거래처별!$AD$8:$AD$307&lt;&gt;"")*ISNUMBER(SEARCH(거래처별!$AD$8:$AD$307,$AB140))),거래처별!$A$8:$A$307),IFERROR(LOOKUP(2,1/((거래처별!$AE$8:$AE$307&lt;&gt;"")*ISNUMBER(SEARCH(거래처별!$AE$8:$AE$307,$AB140))),거래처별!$A$8:$A$307),0))))</f>
        <v/>
      </c>
      <c r="AD140" s="31">
        <f>IF(AND($Y140&lt;&gt;"",N($Z140)&gt;0,$AC140=0),MAX($AD$7:$AD139)+1,"")</f>
        <v/>
      </c>
      <c r="AE140" s="31">
        <f>IF($Y140="",0,$Y140)</f>
        <v/>
      </c>
    </row>
    <row r="141">
      <c r="W141" s="31">
        <f>IF(OR($B$5="",$C$6="",ROW()&lt;$B$5),"",IF(INDEX($A:$U,ROW(),$C$6)="","",INDEX($A:$U,ROW(),$C$6)))</f>
        <v/>
      </c>
      <c r="X141" s="32">
        <f>IF($W141="","",IF(ISNUMBER($W141),IF($W141&gt;=10000000,IFERROR(DATE(INT($W141/10000),MOD(INT($W141/100),100),MOD($W141,100)),""),INT($W141)),IFERROR(DATE(--LEFT(LEFT(SUBSTITUTE(SUBSTITUTE(SUBSTITUTE(SUBSTITUTE(TRIM($W141),"-",""),".",""),"/","")," ",""),8),4),--MID(LEFT(SUBSTITUTE(SUBSTITUTE(SUBSTITUTE(SUBSTITUTE(TRIM($W141),"-",""),".",""),"/","")," ",""),8),5,2),--MID(LEFT(SUBSTITUTE(SUBSTITUTE(SUBSTITUTE(SUBSTITUTE(TRIM($W141),"-",""),".",""),"/","")," ",""),8),7,2)),"")))</f>
        <v/>
      </c>
      <c r="Y141" s="32">
        <f>IF($X141="","",INT($X141))</f>
        <v/>
      </c>
      <c r="Z141" s="33">
        <f>IF(OR($Y141="",$D$6=""),"",IF(INDEX($A:$U,ROW(),$D$6)="",0,IF(ISNUMBER(INDEX($A:$U,ROW(),$D$6)),INDEX($A:$U,ROW(),$D$6),IFERROR(--SUBSTITUTE(SUBSTITUTE(TRIM(INDEX($A:$U,ROW(),$D$6)),",",""),"원",""),0))))</f>
        <v/>
      </c>
      <c r="AA141" s="31">
        <f>IF($Y141="","",TRIM(INDEX($A:$U,ROW(),$E$6)&amp;IF($F$6="",""," "&amp;INDEX($A:$U,ROW(),$F$6))))</f>
        <v/>
      </c>
      <c r="AB141" s="31">
        <f>IF($AA141="","",SUBSTITUTE(SUBSTITUTE(SUBSTITUTE(SUBSTITUTE(SUBSTITUTE(SUBSTITUTE(SUBSTITUTE(SUBSTITUTE(SUBSTITUTE($AA141," ",""),"　",""),"(주)",""),"（주）",""),"㈜",""),"주식회사",""),"(유)",""),"（유）",""),"유한회사",""))</f>
        <v/>
      </c>
      <c r="AC141" s="31">
        <f>IF(OR($Y141="",N($Z141)&lt;=0,$AB141=""),0,IFERROR(LOOKUP(2,1/((거래처별!$AC$8:$AC$307&lt;&gt;"")*ISNUMBER(SEARCH(거래처별!$AC$8:$AC$307,$AB141))),거래처별!$A$8:$A$307),IFERROR(LOOKUP(2,1/((거래처별!$AD$8:$AD$307&lt;&gt;"")*ISNUMBER(SEARCH(거래처별!$AD$8:$AD$307,$AB141))),거래처별!$A$8:$A$307),IFERROR(LOOKUP(2,1/((거래처별!$AE$8:$AE$307&lt;&gt;"")*ISNUMBER(SEARCH(거래처별!$AE$8:$AE$307,$AB141))),거래처별!$A$8:$A$307),0))))</f>
        <v/>
      </c>
      <c r="AD141" s="31">
        <f>IF(AND($Y141&lt;&gt;"",N($Z141)&gt;0,$AC141=0),MAX($AD$7:$AD140)+1,"")</f>
        <v/>
      </c>
      <c r="AE141" s="31">
        <f>IF($Y141="",0,$Y141)</f>
        <v/>
      </c>
    </row>
    <row r="142">
      <c r="W142" s="31">
        <f>IF(OR($B$5="",$C$6="",ROW()&lt;$B$5),"",IF(INDEX($A:$U,ROW(),$C$6)="","",INDEX($A:$U,ROW(),$C$6)))</f>
        <v/>
      </c>
      <c r="X142" s="32">
        <f>IF($W142="","",IF(ISNUMBER($W142),IF($W142&gt;=10000000,IFERROR(DATE(INT($W142/10000),MOD(INT($W142/100),100),MOD($W142,100)),""),INT($W142)),IFERROR(DATE(--LEFT(LEFT(SUBSTITUTE(SUBSTITUTE(SUBSTITUTE(SUBSTITUTE(TRIM($W142),"-",""),".",""),"/","")," ",""),8),4),--MID(LEFT(SUBSTITUTE(SUBSTITUTE(SUBSTITUTE(SUBSTITUTE(TRIM($W142),"-",""),".",""),"/","")," ",""),8),5,2),--MID(LEFT(SUBSTITUTE(SUBSTITUTE(SUBSTITUTE(SUBSTITUTE(TRIM($W142),"-",""),".",""),"/","")," ",""),8),7,2)),"")))</f>
        <v/>
      </c>
      <c r="Y142" s="32">
        <f>IF($X142="","",INT($X142))</f>
        <v/>
      </c>
      <c r="Z142" s="33">
        <f>IF(OR($Y142="",$D$6=""),"",IF(INDEX($A:$U,ROW(),$D$6)="",0,IF(ISNUMBER(INDEX($A:$U,ROW(),$D$6)),INDEX($A:$U,ROW(),$D$6),IFERROR(--SUBSTITUTE(SUBSTITUTE(TRIM(INDEX($A:$U,ROW(),$D$6)),",",""),"원",""),0))))</f>
        <v/>
      </c>
      <c r="AA142" s="31">
        <f>IF($Y142="","",TRIM(INDEX($A:$U,ROW(),$E$6)&amp;IF($F$6="",""," "&amp;INDEX($A:$U,ROW(),$F$6))))</f>
        <v/>
      </c>
      <c r="AB142" s="31">
        <f>IF($AA142="","",SUBSTITUTE(SUBSTITUTE(SUBSTITUTE(SUBSTITUTE(SUBSTITUTE(SUBSTITUTE(SUBSTITUTE(SUBSTITUTE(SUBSTITUTE($AA142," ",""),"　",""),"(주)",""),"（주）",""),"㈜",""),"주식회사",""),"(유)",""),"（유）",""),"유한회사",""))</f>
        <v/>
      </c>
      <c r="AC142" s="31">
        <f>IF(OR($Y142="",N($Z142)&lt;=0,$AB142=""),0,IFERROR(LOOKUP(2,1/((거래처별!$AC$8:$AC$307&lt;&gt;"")*ISNUMBER(SEARCH(거래처별!$AC$8:$AC$307,$AB142))),거래처별!$A$8:$A$307),IFERROR(LOOKUP(2,1/((거래처별!$AD$8:$AD$307&lt;&gt;"")*ISNUMBER(SEARCH(거래처별!$AD$8:$AD$307,$AB142))),거래처별!$A$8:$A$307),IFERROR(LOOKUP(2,1/((거래처별!$AE$8:$AE$307&lt;&gt;"")*ISNUMBER(SEARCH(거래처별!$AE$8:$AE$307,$AB142))),거래처별!$A$8:$A$307),0))))</f>
        <v/>
      </c>
      <c r="AD142" s="31">
        <f>IF(AND($Y142&lt;&gt;"",N($Z142)&gt;0,$AC142=0),MAX($AD$7:$AD141)+1,"")</f>
        <v/>
      </c>
      <c r="AE142" s="31">
        <f>IF($Y142="",0,$Y142)</f>
        <v/>
      </c>
    </row>
    <row r="143">
      <c r="W143" s="31">
        <f>IF(OR($B$5="",$C$6="",ROW()&lt;$B$5),"",IF(INDEX($A:$U,ROW(),$C$6)="","",INDEX($A:$U,ROW(),$C$6)))</f>
        <v/>
      </c>
      <c r="X143" s="32">
        <f>IF($W143="","",IF(ISNUMBER($W143),IF($W143&gt;=10000000,IFERROR(DATE(INT($W143/10000),MOD(INT($W143/100),100),MOD($W143,100)),""),INT($W143)),IFERROR(DATE(--LEFT(LEFT(SUBSTITUTE(SUBSTITUTE(SUBSTITUTE(SUBSTITUTE(TRIM($W143),"-",""),".",""),"/","")," ",""),8),4),--MID(LEFT(SUBSTITUTE(SUBSTITUTE(SUBSTITUTE(SUBSTITUTE(TRIM($W143),"-",""),".",""),"/","")," ",""),8),5,2),--MID(LEFT(SUBSTITUTE(SUBSTITUTE(SUBSTITUTE(SUBSTITUTE(TRIM($W143),"-",""),".",""),"/","")," ",""),8),7,2)),"")))</f>
        <v/>
      </c>
      <c r="Y143" s="32">
        <f>IF($X143="","",INT($X143))</f>
        <v/>
      </c>
      <c r="Z143" s="33">
        <f>IF(OR($Y143="",$D$6=""),"",IF(INDEX($A:$U,ROW(),$D$6)="",0,IF(ISNUMBER(INDEX($A:$U,ROW(),$D$6)),INDEX($A:$U,ROW(),$D$6),IFERROR(--SUBSTITUTE(SUBSTITUTE(TRIM(INDEX($A:$U,ROW(),$D$6)),",",""),"원",""),0))))</f>
        <v/>
      </c>
      <c r="AA143" s="31">
        <f>IF($Y143="","",TRIM(INDEX($A:$U,ROW(),$E$6)&amp;IF($F$6="",""," "&amp;INDEX($A:$U,ROW(),$F$6))))</f>
        <v/>
      </c>
      <c r="AB143" s="31">
        <f>IF($AA143="","",SUBSTITUTE(SUBSTITUTE(SUBSTITUTE(SUBSTITUTE(SUBSTITUTE(SUBSTITUTE(SUBSTITUTE(SUBSTITUTE(SUBSTITUTE($AA143," ",""),"　",""),"(주)",""),"（주）",""),"㈜",""),"주식회사",""),"(유)",""),"（유）",""),"유한회사",""))</f>
        <v/>
      </c>
      <c r="AC143" s="31">
        <f>IF(OR($Y143="",N($Z143)&lt;=0,$AB143=""),0,IFERROR(LOOKUP(2,1/((거래처별!$AC$8:$AC$307&lt;&gt;"")*ISNUMBER(SEARCH(거래처별!$AC$8:$AC$307,$AB143))),거래처별!$A$8:$A$307),IFERROR(LOOKUP(2,1/((거래처별!$AD$8:$AD$307&lt;&gt;"")*ISNUMBER(SEARCH(거래처별!$AD$8:$AD$307,$AB143))),거래처별!$A$8:$A$307),IFERROR(LOOKUP(2,1/((거래처별!$AE$8:$AE$307&lt;&gt;"")*ISNUMBER(SEARCH(거래처별!$AE$8:$AE$307,$AB143))),거래처별!$A$8:$A$307),0))))</f>
        <v/>
      </c>
      <c r="AD143" s="31">
        <f>IF(AND($Y143&lt;&gt;"",N($Z143)&gt;0,$AC143=0),MAX($AD$7:$AD142)+1,"")</f>
        <v/>
      </c>
      <c r="AE143" s="31">
        <f>IF($Y143="",0,$Y143)</f>
        <v/>
      </c>
    </row>
    <row r="144">
      <c r="W144" s="31">
        <f>IF(OR($B$5="",$C$6="",ROW()&lt;$B$5),"",IF(INDEX($A:$U,ROW(),$C$6)="","",INDEX($A:$U,ROW(),$C$6)))</f>
        <v/>
      </c>
      <c r="X144" s="32">
        <f>IF($W144="","",IF(ISNUMBER($W144),IF($W144&gt;=10000000,IFERROR(DATE(INT($W144/10000),MOD(INT($W144/100),100),MOD($W144,100)),""),INT($W144)),IFERROR(DATE(--LEFT(LEFT(SUBSTITUTE(SUBSTITUTE(SUBSTITUTE(SUBSTITUTE(TRIM($W144),"-",""),".",""),"/","")," ",""),8),4),--MID(LEFT(SUBSTITUTE(SUBSTITUTE(SUBSTITUTE(SUBSTITUTE(TRIM($W144),"-",""),".",""),"/","")," ",""),8),5,2),--MID(LEFT(SUBSTITUTE(SUBSTITUTE(SUBSTITUTE(SUBSTITUTE(TRIM($W144),"-",""),".",""),"/","")," ",""),8),7,2)),"")))</f>
        <v/>
      </c>
      <c r="Y144" s="32">
        <f>IF($X144="","",INT($X144))</f>
        <v/>
      </c>
      <c r="Z144" s="33">
        <f>IF(OR($Y144="",$D$6=""),"",IF(INDEX($A:$U,ROW(),$D$6)="",0,IF(ISNUMBER(INDEX($A:$U,ROW(),$D$6)),INDEX($A:$U,ROW(),$D$6),IFERROR(--SUBSTITUTE(SUBSTITUTE(TRIM(INDEX($A:$U,ROW(),$D$6)),",",""),"원",""),0))))</f>
        <v/>
      </c>
      <c r="AA144" s="31">
        <f>IF($Y144="","",TRIM(INDEX($A:$U,ROW(),$E$6)&amp;IF($F$6="",""," "&amp;INDEX($A:$U,ROW(),$F$6))))</f>
        <v/>
      </c>
      <c r="AB144" s="31">
        <f>IF($AA144="","",SUBSTITUTE(SUBSTITUTE(SUBSTITUTE(SUBSTITUTE(SUBSTITUTE(SUBSTITUTE(SUBSTITUTE(SUBSTITUTE(SUBSTITUTE($AA144," ",""),"　",""),"(주)",""),"（주）",""),"㈜",""),"주식회사",""),"(유)",""),"（유）",""),"유한회사",""))</f>
        <v/>
      </c>
      <c r="AC144" s="31">
        <f>IF(OR($Y144="",N($Z144)&lt;=0,$AB144=""),0,IFERROR(LOOKUP(2,1/((거래처별!$AC$8:$AC$307&lt;&gt;"")*ISNUMBER(SEARCH(거래처별!$AC$8:$AC$307,$AB144))),거래처별!$A$8:$A$307),IFERROR(LOOKUP(2,1/((거래처별!$AD$8:$AD$307&lt;&gt;"")*ISNUMBER(SEARCH(거래처별!$AD$8:$AD$307,$AB144))),거래처별!$A$8:$A$307),IFERROR(LOOKUP(2,1/((거래처별!$AE$8:$AE$307&lt;&gt;"")*ISNUMBER(SEARCH(거래처별!$AE$8:$AE$307,$AB144))),거래처별!$A$8:$A$307),0))))</f>
        <v/>
      </c>
      <c r="AD144" s="31">
        <f>IF(AND($Y144&lt;&gt;"",N($Z144)&gt;0,$AC144=0),MAX($AD$7:$AD143)+1,"")</f>
        <v/>
      </c>
      <c r="AE144" s="31">
        <f>IF($Y144="",0,$Y144)</f>
        <v/>
      </c>
    </row>
    <row r="145">
      <c r="W145" s="31">
        <f>IF(OR($B$5="",$C$6="",ROW()&lt;$B$5),"",IF(INDEX($A:$U,ROW(),$C$6)="","",INDEX($A:$U,ROW(),$C$6)))</f>
        <v/>
      </c>
      <c r="X145" s="32">
        <f>IF($W145="","",IF(ISNUMBER($W145),IF($W145&gt;=10000000,IFERROR(DATE(INT($W145/10000),MOD(INT($W145/100),100),MOD($W145,100)),""),INT($W145)),IFERROR(DATE(--LEFT(LEFT(SUBSTITUTE(SUBSTITUTE(SUBSTITUTE(SUBSTITUTE(TRIM($W145),"-",""),".",""),"/","")," ",""),8),4),--MID(LEFT(SUBSTITUTE(SUBSTITUTE(SUBSTITUTE(SUBSTITUTE(TRIM($W145),"-",""),".",""),"/","")," ",""),8),5,2),--MID(LEFT(SUBSTITUTE(SUBSTITUTE(SUBSTITUTE(SUBSTITUTE(TRIM($W145),"-",""),".",""),"/","")," ",""),8),7,2)),"")))</f>
        <v/>
      </c>
      <c r="Y145" s="32">
        <f>IF($X145="","",INT($X145))</f>
        <v/>
      </c>
      <c r="Z145" s="33">
        <f>IF(OR($Y145="",$D$6=""),"",IF(INDEX($A:$U,ROW(),$D$6)="",0,IF(ISNUMBER(INDEX($A:$U,ROW(),$D$6)),INDEX($A:$U,ROW(),$D$6),IFERROR(--SUBSTITUTE(SUBSTITUTE(TRIM(INDEX($A:$U,ROW(),$D$6)),",",""),"원",""),0))))</f>
        <v/>
      </c>
      <c r="AA145" s="31">
        <f>IF($Y145="","",TRIM(INDEX($A:$U,ROW(),$E$6)&amp;IF($F$6="",""," "&amp;INDEX($A:$U,ROW(),$F$6))))</f>
        <v/>
      </c>
      <c r="AB145" s="31">
        <f>IF($AA145="","",SUBSTITUTE(SUBSTITUTE(SUBSTITUTE(SUBSTITUTE(SUBSTITUTE(SUBSTITUTE(SUBSTITUTE(SUBSTITUTE(SUBSTITUTE($AA145," ",""),"　",""),"(주)",""),"（주）",""),"㈜",""),"주식회사",""),"(유)",""),"（유）",""),"유한회사",""))</f>
        <v/>
      </c>
      <c r="AC145" s="31">
        <f>IF(OR($Y145="",N($Z145)&lt;=0,$AB145=""),0,IFERROR(LOOKUP(2,1/((거래처별!$AC$8:$AC$307&lt;&gt;"")*ISNUMBER(SEARCH(거래처별!$AC$8:$AC$307,$AB145))),거래처별!$A$8:$A$307),IFERROR(LOOKUP(2,1/((거래처별!$AD$8:$AD$307&lt;&gt;"")*ISNUMBER(SEARCH(거래처별!$AD$8:$AD$307,$AB145))),거래처별!$A$8:$A$307),IFERROR(LOOKUP(2,1/((거래처별!$AE$8:$AE$307&lt;&gt;"")*ISNUMBER(SEARCH(거래처별!$AE$8:$AE$307,$AB145))),거래처별!$A$8:$A$307),0))))</f>
        <v/>
      </c>
      <c r="AD145" s="31">
        <f>IF(AND($Y145&lt;&gt;"",N($Z145)&gt;0,$AC145=0),MAX($AD$7:$AD144)+1,"")</f>
        <v/>
      </c>
      <c r="AE145" s="31">
        <f>IF($Y145="",0,$Y145)</f>
        <v/>
      </c>
    </row>
    <row r="146">
      <c r="W146" s="31">
        <f>IF(OR($B$5="",$C$6="",ROW()&lt;$B$5),"",IF(INDEX($A:$U,ROW(),$C$6)="","",INDEX($A:$U,ROW(),$C$6)))</f>
        <v/>
      </c>
      <c r="X146" s="32">
        <f>IF($W146="","",IF(ISNUMBER($W146),IF($W146&gt;=10000000,IFERROR(DATE(INT($W146/10000),MOD(INT($W146/100),100),MOD($W146,100)),""),INT($W146)),IFERROR(DATE(--LEFT(LEFT(SUBSTITUTE(SUBSTITUTE(SUBSTITUTE(SUBSTITUTE(TRIM($W146),"-",""),".",""),"/","")," ",""),8),4),--MID(LEFT(SUBSTITUTE(SUBSTITUTE(SUBSTITUTE(SUBSTITUTE(TRIM($W146),"-",""),".",""),"/","")," ",""),8),5,2),--MID(LEFT(SUBSTITUTE(SUBSTITUTE(SUBSTITUTE(SUBSTITUTE(TRIM($W146),"-",""),".",""),"/","")," ",""),8),7,2)),"")))</f>
        <v/>
      </c>
      <c r="Y146" s="32">
        <f>IF($X146="","",INT($X146))</f>
        <v/>
      </c>
      <c r="Z146" s="33">
        <f>IF(OR($Y146="",$D$6=""),"",IF(INDEX($A:$U,ROW(),$D$6)="",0,IF(ISNUMBER(INDEX($A:$U,ROW(),$D$6)),INDEX($A:$U,ROW(),$D$6),IFERROR(--SUBSTITUTE(SUBSTITUTE(TRIM(INDEX($A:$U,ROW(),$D$6)),",",""),"원",""),0))))</f>
        <v/>
      </c>
      <c r="AA146" s="31">
        <f>IF($Y146="","",TRIM(INDEX($A:$U,ROW(),$E$6)&amp;IF($F$6="",""," "&amp;INDEX($A:$U,ROW(),$F$6))))</f>
        <v/>
      </c>
      <c r="AB146" s="31">
        <f>IF($AA146="","",SUBSTITUTE(SUBSTITUTE(SUBSTITUTE(SUBSTITUTE(SUBSTITUTE(SUBSTITUTE(SUBSTITUTE(SUBSTITUTE(SUBSTITUTE($AA146," ",""),"　",""),"(주)",""),"（주）",""),"㈜",""),"주식회사",""),"(유)",""),"（유）",""),"유한회사",""))</f>
        <v/>
      </c>
      <c r="AC146" s="31">
        <f>IF(OR($Y146="",N($Z146)&lt;=0,$AB146=""),0,IFERROR(LOOKUP(2,1/((거래처별!$AC$8:$AC$307&lt;&gt;"")*ISNUMBER(SEARCH(거래처별!$AC$8:$AC$307,$AB146))),거래처별!$A$8:$A$307),IFERROR(LOOKUP(2,1/((거래처별!$AD$8:$AD$307&lt;&gt;"")*ISNUMBER(SEARCH(거래처별!$AD$8:$AD$307,$AB146))),거래처별!$A$8:$A$307),IFERROR(LOOKUP(2,1/((거래처별!$AE$8:$AE$307&lt;&gt;"")*ISNUMBER(SEARCH(거래처별!$AE$8:$AE$307,$AB146))),거래처별!$A$8:$A$307),0))))</f>
        <v/>
      </c>
      <c r="AD146" s="31">
        <f>IF(AND($Y146&lt;&gt;"",N($Z146)&gt;0,$AC146=0),MAX($AD$7:$AD145)+1,"")</f>
        <v/>
      </c>
      <c r="AE146" s="31">
        <f>IF($Y146="",0,$Y146)</f>
        <v/>
      </c>
    </row>
    <row r="147">
      <c r="W147" s="31">
        <f>IF(OR($B$5="",$C$6="",ROW()&lt;$B$5),"",IF(INDEX($A:$U,ROW(),$C$6)="","",INDEX($A:$U,ROW(),$C$6)))</f>
        <v/>
      </c>
      <c r="X147" s="32">
        <f>IF($W147="","",IF(ISNUMBER($W147),IF($W147&gt;=10000000,IFERROR(DATE(INT($W147/10000),MOD(INT($W147/100),100),MOD($W147,100)),""),INT($W147)),IFERROR(DATE(--LEFT(LEFT(SUBSTITUTE(SUBSTITUTE(SUBSTITUTE(SUBSTITUTE(TRIM($W147),"-",""),".",""),"/","")," ",""),8),4),--MID(LEFT(SUBSTITUTE(SUBSTITUTE(SUBSTITUTE(SUBSTITUTE(TRIM($W147),"-",""),".",""),"/","")," ",""),8),5,2),--MID(LEFT(SUBSTITUTE(SUBSTITUTE(SUBSTITUTE(SUBSTITUTE(TRIM($W147),"-",""),".",""),"/","")," ",""),8),7,2)),"")))</f>
        <v/>
      </c>
      <c r="Y147" s="32">
        <f>IF($X147="","",INT($X147))</f>
        <v/>
      </c>
      <c r="Z147" s="33">
        <f>IF(OR($Y147="",$D$6=""),"",IF(INDEX($A:$U,ROW(),$D$6)="",0,IF(ISNUMBER(INDEX($A:$U,ROW(),$D$6)),INDEX($A:$U,ROW(),$D$6),IFERROR(--SUBSTITUTE(SUBSTITUTE(TRIM(INDEX($A:$U,ROW(),$D$6)),",",""),"원",""),0))))</f>
        <v/>
      </c>
      <c r="AA147" s="31">
        <f>IF($Y147="","",TRIM(INDEX($A:$U,ROW(),$E$6)&amp;IF($F$6="",""," "&amp;INDEX($A:$U,ROW(),$F$6))))</f>
        <v/>
      </c>
      <c r="AB147" s="31">
        <f>IF($AA147="","",SUBSTITUTE(SUBSTITUTE(SUBSTITUTE(SUBSTITUTE(SUBSTITUTE(SUBSTITUTE(SUBSTITUTE(SUBSTITUTE(SUBSTITUTE($AA147," ",""),"　",""),"(주)",""),"（주）",""),"㈜",""),"주식회사",""),"(유)",""),"（유）",""),"유한회사",""))</f>
        <v/>
      </c>
      <c r="AC147" s="31">
        <f>IF(OR($Y147="",N($Z147)&lt;=0,$AB147=""),0,IFERROR(LOOKUP(2,1/((거래처별!$AC$8:$AC$307&lt;&gt;"")*ISNUMBER(SEARCH(거래처별!$AC$8:$AC$307,$AB147))),거래처별!$A$8:$A$307),IFERROR(LOOKUP(2,1/((거래처별!$AD$8:$AD$307&lt;&gt;"")*ISNUMBER(SEARCH(거래처별!$AD$8:$AD$307,$AB147))),거래처별!$A$8:$A$307),IFERROR(LOOKUP(2,1/((거래처별!$AE$8:$AE$307&lt;&gt;"")*ISNUMBER(SEARCH(거래처별!$AE$8:$AE$307,$AB147))),거래처별!$A$8:$A$307),0))))</f>
        <v/>
      </c>
      <c r="AD147" s="31">
        <f>IF(AND($Y147&lt;&gt;"",N($Z147)&gt;0,$AC147=0),MAX($AD$7:$AD146)+1,"")</f>
        <v/>
      </c>
      <c r="AE147" s="31">
        <f>IF($Y147="",0,$Y147)</f>
        <v/>
      </c>
    </row>
    <row r="148">
      <c r="W148" s="31">
        <f>IF(OR($B$5="",$C$6="",ROW()&lt;$B$5),"",IF(INDEX($A:$U,ROW(),$C$6)="","",INDEX($A:$U,ROW(),$C$6)))</f>
        <v/>
      </c>
      <c r="X148" s="32">
        <f>IF($W148="","",IF(ISNUMBER($W148),IF($W148&gt;=10000000,IFERROR(DATE(INT($W148/10000),MOD(INT($W148/100),100),MOD($W148,100)),""),INT($W148)),IFERROR(DATE(--LEFT(LEFT(SUBSTITUTE(SUBSTITUTE(SUBSTITUTE(SUBSTITUTE(TRIM($W148),"-",""),".",""),"/","")," ",""),8),4),--MID(LEFT(SUBSTITUTE(SUBSTITUTE(SUBSTITUTE(SUBSTITUTE(TRIM($W148),"-",""),".",""),"/","")," ",""),8),5,2),--MID(LEFT(SUBSTITUTE(SUBSTITUTE(SUBSTITUTE(SUBSTITUTE(TRIM($W148),"-",""),".",""),"/","")," ",""),8),7,2)),"")))</f>
        <v/>
      </c>
      <c r="Y148" s="32">
        <f>IF($X148="","",INT($X148))</f>
        <v/>
      </c>
      <c r="Z148" s="33">
        <f>IF(OR($Y148="",$D$6=""),"",IF(INDEX($A:$U,ROW(),$D$6)="",0,IF(ISNUMBER(INDEX($A:$U,ROW(),$D$6)),INDEX($A:$U,ROW(),$D$6),IFERROR(--SUBSTITUTE(SUBSTITUTE(TRIM(INDEX($A:$U,ROW(),$D$6)),",",""),"원",""),0))))</f>
        <v/>
      </c>
      <c r="AA148" s="31">
        <f>IF($Y148="","",TRIM(INDEX($A:$U,ROW(),$E$6)&amp;IF($F$6="",""," "&amp;INDEX($A:$U,ROW(),$F$6))))</f>
        <v/>
      </c>
      <c r="AB148" s="31">
        <f>IF($AA148="","",SUBSTITUTE(SUBSTITUTE(SUBSTITUTE(SUBSTITUTE(SUBSTITUTE(SUBSTITUTE(SUBSTITUTE(SUBSTITUTE(SUBSTITUTE($AA148," ",""),"　",""),"(주)",""),"（주）",""),"㈜",""),"주식회사",""),"(유)",""),"（유）",""),"유한회사",""))</f>
        <v/>
      </c>
      <c r="AC148" s="31">
        <f>IF(OR($Y148="",N($Z148)&lt;=0,$AB148=""),0,IFERROR(LOOKUP(2,1/((거래처별!$AC$8:$AC$307&lt;&gt;"")*ISNUMBER(SEARCH(거래처별!$AC$8:$AC$307,$AB148))),거래처별!$A$8:$A$307),IFERROR(LOOKUP(2,1/((거래처별!$AD$8:$AD$307&lt;&gt;"")*ISNUMBER(SEARCH(거래처별!$AD$8:$AD$307,$AB148))),거래처별!$A$8:$A$307),IFERROR(LOOKUP(2,1/((거래처별!$AE$8:$AE$307&lt;&gt;"")*ISNUMBER(SEARCH(거래처별!$AE$8:$AE$307,$AB148))),거래처별!$A$8:$A$307),0))))</f>
        <v/>
      </c>
      <c r="AD148" s="31">
        <f>IF(AND($Y148&lt;&gt;"",N($Z148)&gt;0,$AC148=0),MAX($AD$7:$AD147)+1,"")</f>
        <v/>
      </c>
      <c r="AE148" s="31">
        <f>IF($Y148="",0,$Y148)</f>
        <v/>
      </c>
    </row>
    <row r="149">
      <c r="W149" s="31">
        <f>IF(OR($B$5="",$C$6="",ROW()&lt;$B$5),"",IF(INDEX($A:$U,ROW(),$C$6)="","",INDEX($A:$U,ROW(),$C$6)))</f>
        <v/>
      </c>
      <c r="X149" s="32">
        <f>IF($W149="","",IF(ISNUMBER($W149),IF($W149&gt;=10000000,IFERROR(DATE(INT($W149/10000),MOD(INT($W149/100),100),MOD($W149,100)),""),INT($W149)),IFERROR(DATE(--LEFT(LEFT(SUBSTITUTE(SUBSTITUTE(SUBSTITUTE(SUBSTITUTE(TRIM($W149),"-",""),".",""),"/","")," ",""),8),4),--MID(LEFT(SUBSTITUTE(SUBSTITUTE(SUBSTITUTE(SUBSTITUTE(TRIM($W149),"-",""),".",""),"/","")," ",""),8),5,2),--MID(LEFT(SUBSTITUTE(SUBSTITUTE(SUBSTITUTE(SUBSTITUTE(TRIM($W149),"-",""),".",""),"/","")," ",""),8),7,2)),"")))</f>
        <v/>
      </c>
      <c r="Y149" s="32">
        <f>IF($X149="","",INT($X149))</f>
        <v/>
      </c>
      <c r="Z149" s="33">
        <f>IF(OR($Y149="",$D$6=""),"",IF(INDEX($A:$U,ROW(),$D$6)="",0,IF(ISNUMBER(INDEX($A:$U,ROW(),$D$6)),INDEX($A:$U,ROW(),$D$6),IFERROR(--SUBSTITUTE(SUBSTITUTE(TRIM(INDEX($A:$U,ROW(),$D$6)),",",""),"원",""),0))))</f>
        <v/>
      </c>
      <c r="AA149" s="31">
        <f>IF($Y149="","",TRIM(INDEX($A:$U,ROW(),$E$6)&amp;IF($F$6="",""," "&amp;INDEX($A:$U,ROW(),$F$6))))</f>
        <v/>
      </c>
      <c r="AB149" s="31">
        <f>IF($AA149="","",SUBSTITUTE(SUBSTITUTE(SUBSTITUTE(SUBSTITUTE(SUBSTITUTE(SUBSTITUTE(SUBSTITUTE(SUBSTITUTE(SUBSTITUTE($AA149," ",""),"　",""),"(주)",""),"（주）",""),"㈜",""),"주식회사",""),"(유)",""),"（유）",""),"유한회사",""))</f>
        <v/>
      </c>
      <c r="AC149" s="31">
        <f>IF(OR($Y149="",N($Z149)&lt;=0,$AB149=""),0,IFERROR(LOOKUP(2,1/((거래처별!$AC$8:$AC$307&lt;&gt;"")*ISNUMBER(SEARCH(거래처별!$AC$8:$AC$307,$AB149))),거래처별!$A$8:$A$307),IFERROR(LOOKUP(2,1/((거래처별!$AD$8:$AD$307&lt;&gt;"")*ISNUMBER(SEARCH(거래처별!$AD$8:$AD$307,$AB149))),거래처별!$A$8:$A$307),IFERROR(LOOKUP(2,1/((거래처별!$AE$8:$AE$307&lt;&gt;"")*ISNUMBER(SEARCH(거래처별!$AE$8:$AE$307,$AB149))),거래처별!$A$8:$A$307),0))))</f>
        <v/>
      </c>
      <c r="AD149" s="31">
        <f>IF(AND($Y149&lt;&gt;"",N($Z149)&gt;0,$AC149=0),MAX($AD$7:$AD148)+1,"")</f>
        <v/>
      </c>
      <c r="AE149" s="31">
        <f>IF($Y149="",0,$Y149)</f>
        <v/>
      </c>
    </row>
    <row r="150">
      <c r="W150" s="31">
        <f>IF(OR($B$5="",$C$6="",ROW()&lt;$B$5),"",IF(INDEX($A:$U,ROW(),$C$6)="","",INDEX($A:$U,ROW(),$C$6)))</f>
        <v/>
      </c>
      <c r="X150" s="32">
        <f>IF($W150="","",IF(ISNUMBER($W150),IF($W150&gt;=10000000,IFERROR(DATE(INT($W150/10000),MOD(INT($W150/100),100),MOD($W150,100)),""),INT($W150)),IFERROR(DATE(--LEFT(LEFT(SUBSTITUTE(SUBSTITUTE(SUBSTITUTE(SUBSTITUTE(TRIM($W150),"-",""),".",""),"/","")," ",""),8),4),--MID(LEFT(SUBSTITUTE(SUBSTITUTE(SUBSTITUTE(SUBSTITUTE(TRIM($W150),"-",""),".",""),"/","")," ",""),8),5,2),--MID(LEFT(SUBSTITUTE(SUBSTITUTE(SUBSTITUTE(SUBSTITUTE(TRIM($W150),"-",""),".",""),"/","")," ",""),8),7,2)),"")))</f>
        <v/>
      </c>
      <c r="Y150" s="32">
        <f>IF($X150="","",INT($X150))</f>
        <v/>
      </c>
      <c r="Z150" s="33">
        <f>IF(OR($Y150="",$D$6=""),"",IF(INDEX($A:$U,ROW(),$D$6)="",0,IF(ISNUMBER(INDEX($A:$U,ROW(),$D$6)),INDEX($A:$U,ROW(),$D$6),IFERROR(--SUBSTITUTE(SUBSTITUTE(TRIM(INDEX($A:$U,ROW(),$D$6)),",",""),"원",""),0))))</f>
        <v/>
      </c>
      <c r="AA150" s="31">
        <f>IF($Y150="","",TRIM(INDEX($A:$U,ROW(),$E$6)&amp;IF($F$6="",""," "&amp;INDEX($A:$U,ROW(),$F$6))))</f>
        <v/>
      </c>
      <c r="AB150" s="31">
        <f>IF($AA150="","",SUBSTITUTE(SUBSTITUTE(SUBSTITUTE(SUBSTITUTE(SUBSTITUTE(SUBSTITUTE(SUBSTITUTE(SUBSTITUTE(SUBSTITUTE($AA150," ",""),"　",""),"(주)",""),"（주）",""),"㈜",""),"주식회사",""),"(유)",""),"（유）",""),"유한회사",""))</f>
        <v/>
      </c>
      <c r="AC150" s="31">
        <f>IF(OR($Y150="",N($Z150)&lt;=0,$AB150=""),0,IFERROR(LOOKUP(2,1/((거래처별!$AC$8:$AC$307&lt;&gt;"")*ISNUMBER(SEARCH(거래처별!$AC$8:$AC$307,$AB150))),거래처별!$A$8:$A$307),IFERROR(LOOKUP(2,1/((거래처별!$AD$8:$AD$307&lt;&gt;"")*ISNUMBER(SEARCH(거래처별!$AD$8:$AD$307,$AB150))),거래처별!$A$8:$A$307),IFERROR(LOOKUP(2,1/((거래처별!$AE$8:$AE$307&lt;&gt;"")*ISNUMBER(SEARCH(거래처별!$AE$8:$AE$307,$AB150))),거래처별!$A$8:$A$307),0))))</f>
        <v/>
      </c>
      <c r="AD150" s="31">
        <f>IF(AND($Y150&lt;&gt;"",N($Z150)&gt;0,$AC150=0),MAX($AD$7:$AD149)+1,"")</f>
        <v/>
      </c>
      <c r="AE150" s="31">
        <f>IF($Y150="",0,$Y150)</f>
        <v/>
      </c>
    </row>
    <row r="151">
      <c r="W151" s="31">
        <f>IF(OR($B$5="",$C$6="",ROW()&lt;$B$5),"",IF(INDEX($A:$U,ROW(),$C$6)="","",INDEX($A:$U,ROW(),$C$6)))</f>
        <v/>
      </c>
      <c r="X151" s="32">
        <f>IF($W151="","",IF(ISNUMBER($W151),IF($W151&gt;=10000000,IFERROR(DATE(INT($W151/10000),MOD(INT($W151/100),100),MOD($W151,100)),""),INT($W151)),IFERROR(DATE(--LEFT(LEFT(SUBSTITUTE(SUBSTITUTE(SUBSTITUTE(SUBSTITUTE(TRIM($W151),"-",""),".",""),"/","")," ",""),8),4),--MID(LEFT(SUBSTITUTE(SUBSTITUTE(SUBSTITUTE(SUBSTITUTE(TRIM($W151),"-",""),".",""),"/","")," ",""),8),5,2),--MID(LEFT(SUBSTITUTE(SUBSTITUTE(SUBSTITUTE(SUBSTITUTE(TRIM($W151),"-",""),".",""),"/","")," ",""),8),7,2)),"")))</f>
        <v/>
      </c>
      <c r="Y151" s="32">
        <f>IF($X151="","",INT($X151))</f>
        <v/>
      </c>
      <c r="Z151" s="33">
        <f>IF(OR($Y151="",$D$6=""),"",IF(INDEX($A:$U,ROW(),$D$6)="",0,IF(ISNUMBER(INDEX($A:$U,ROW(),$D$6)),INDEX($A:$U,ROW(),$D$6),IFERROR(--SUBSTITUTE(SUBSTITUTE(TRIM(INDEX($A:$U,ROW(),$D$6)),",",""),"원",""),0))))</f>
        <v/>
      </c>
      <c r="AA151" s="31">
        <f>IF($Y151="","",TRIM(INDEX($A:$U,ROW(),$E$6)&amp;IF($F$6="",""," "&amp;INDEX($A:$U,ROW(),$F$6))))</f>
        <v/>
      </c>
      <c r="AB151" s="31">
        <f>IF($AA151="","",SUBSTITUTE(SUBSTITUTE(SUBSTITUTE(SUBSTITUTE(SUBSTITUTE(SUBSTITUTE(SUBSTITUTE(SUBSTITUTE(SUBSTITUTE($AA151," ",""),"　",""),"(주)",""),"（주）",""),"㈜",""),"주식회사",""),"(유)",""),"（유）",""),"유한회사",""))</f>
        <v/>
      </c>
      <c r="AC151" s="31">
        <f>IF(OR($Y151="",N($Z151)&lt;=0,$AB151=""),0,IFERROR(LOOKUP(2,1/((거래처별!$AC$8:$AC$307&lt;&gt;"")*ISNUMBER(SEARCH(거래처별!$AC$8:$AC$307,$AB151))),거래처별!$A$8:$A$307),IFERROR(LOOKUP(2,1/((거래처별!$AD$8:$AD$307&lt;&gt;"")*ISNUMBER(SEARCH(거래처별!$AD$8:$AD$307,$AB151))),거래처별!$A$8:$A$307),IFERROR(LOOKUP(2,1/((거래처별!$AE$8:$AE$307&lt;&gt;"")*ISNUMBER(SEARCH(거래처별!$AE$8:$AE$307,$AB151))),거래처별!$A$8:$A$307),0))))</f>
        <v/>
      </c>
      <c r="AD151" s="31">
        <f>IF(AND($Y151&lt;&gt;"",N($Z151)&gt;0,$AC151=0),MAX($AD$7:$AD150)+1,"")</f>
        <v/>
      </c>
      <c r="AE151" s="31">
        <f>IF($Y151="",0,$Y151)</f>
        <v/>
      </c>
    </row>
    <row r="152">
      <c r="W152" s="31">
        <f>IF(OR($B$5="",$C$6="",ROW()&lt;$B$5),"",IF(INDEX($A:$U,ROW(),$C$6)="","",INDEX($A:$U,ROW(),$C$6)))</f>
        <v/>
      </c>
      <c r="X152" s="32">
        <f>IF($W152="","",IF(ISNUMBER($W152),IF($W152&gt;=10000000,IFERROR(DATE(INT($W152/10000),MOD(INT($W152/100),100),MOD($W152,100)),""),INT($W152)),IFERROR(DATE(--LEFT(LEFT(SUBSTITUTE(SUBSTITUTE(SUBSTITUTE(SUBSTITUTE(TRIM($W152),"-",""),".",""),"/","")," ",""),8),4),--MID(LEFT(SUBSTITUTE(SUBSTITUTE(SUBSTITUTE(SUBSTITUTE(TRIM($W152),"-",""),".",""),"/","")," ",""),8),5,2),--MID(LEFT(SUBSTITUTE(SUBSTITUTE(SUBSTITUTE(SUBSTITUTE(TRIM($W152),"-",""),".",""),"/","")," ",""),8),7,2)),"")))</f>
        <v/>
      </c>
      <c r="Y152" s="32">
        <f>IF($X152="","",INT($X152))</f>
        <v/>
      </c>
      <c r="Z152" s="33">
        <f>IF(OR($Y152="",$D$6=""),"",IF(INDEX($A:$U,ROW(),$D$6)="",0,IF(ISNUMBER(INDEX($A:$U,ROW(),$D$6)),INDEX($A:$U,ROW(),$D$6),IFERROR(--SUBSTITUTE(SUBSTITUTE(TRIM(INDEX($A:$U,ROW(),$D$6)),",",""),"원",""),0))))</f>
        <v/>
      </c>
      <c r="AA152" s="31">
        <f>IF($Y152="","",TRIM(INDEX($A:$U,ROW(),$E$6)&amp;IF($F$6="",""," "&amp;INDEX($A:$U,ROW(),$F$6))))</f>
        <v/>
      </c>
      <c r="AB152" s="31">
        <f>IF($AA152="","",SUBSTITUTE(SUBSTITUTE(SUBSTITUTE(SUBSTITUTE(SUBSTITUTE(SUBSTITUTE(SUBSTITUTE(SUBSTITUTE(SUBSTITUTE($AA152," ",""),"　",""),"(주)",""),"（주）",""),"㈜",""),"주식회사",""),"(유)",""),"（유）",""),"유한회사",""))</f>
        <v/>
      </c>
      <c r="AC152" s="31">
        <f>IF(OR($Y152="",N($Z152)&lt;=0,$AB152=""),0,IFERROR(LOOKUP(2,1/((거래처별!$AC$8:$AC$307&lt;&gt;"")*ISNUMBER(SEARCH(거래처별!$AC$8:$AC$307,$AB152))),거래처별!$A$8:$A$307),IFERROR(LOOKUP(2,1/((거래처별!$AD$8:$AD$307&lt;&gt;"")*ISNUMBER(SEARCH(거래처별!$AD$8:$AD$307,$AB152))),거래처별!$A$8:$A$307),IFERROR(LOOKUP(2,1/((거래처별!$AE$8:$AE$307&lt;&gt;"")*ISNUMBER(SEARCH(거래처별!$AE$8:$AE$307,$AB152))),거래처별!$A$8:$A$307),0))))</f>
        <v/>
      </c>
      <c r="AD152" s="31">
        <f>IF(AND($Y152&lt;&gt;"",N($Z152)&gt;0,$AC152=0),MAX($AD$7:$AD151)+1,"")</f>
        <v/>
      </c>
      <c r="AE152" s="31">
        <f>IF($Y152="",0,$Y152)</f>
        <v/>
      </c>
    </row>
    <row r="153">
      <c r="W153" s="31">
        <f>IF(OR($B$5="",$C$6="",ROW()&lt;$B$5),"",IF(INDEX($A:$U,ROW(),$C$6)="","",INDEX($A:$U,ROW(),$C$6)))</f>
        <v/>
      </c>
      <c r="X153" s="32">
        <f>IF($W153="","",IF(ISNUMBER($W153),IF($W153&gt;=10000000,IFERROR(DATE(INT($W153/10000),MOD(INT($W153/100),100),MOD($W153,100)),""),INT($W153)),IFERROR(DATE(--LEFT(LEFT(SUBSTITUTE(SUBSTITUTE(SUBSTITUTE(SUBSTITUTE(TRIM($W153),"-",""),".",""),"/","")," ",""),8),4),--MID(LEFT(SUBSTITUTE(SUBSTITUTE(SUBSTITUTE(SUBSTITUTE(TRIM($W153),"-",""),".",""),"/","")," ",""),8),5,2),--MID(LEFT(SUBSTITUTE(SUBSTITUTE(SUBSTITUTE(SUBSTITUTE(TRIM($W153),"-",""),".",""),"/","")," ",""),8),7,2)),"")))</f>
        <v/>
      </c>
      <c r="Y153" s="32">
        <f>IF($X153="","",INT($X153))</f>
        <v/>
      </c>
      <c r="Z153" s="33">
        <f>IF(OR($Y153="",$D$6=""),"",IF(INDEX($A:$U,ROW(),$D$6)="",0,IF(ISNUMBER(INDEX($A:$U,ROW(),$D$6)),INDEX($A:$U,ROW(),$D$6),IFERROR(--SUBSTITUTE(SUBSTITUTE(TRIM(INDEX($A:$U,ROW(),$D$6)),",",""),"원",""),0))))</f>
        <v/>
      </c>
      <c r="AA153" s="31">
        <f>IF($Y153="","",TRIM(INDEX($A:$U,ROW(),$E$6)&amp;IF($F$6="",""," "&amp;INDEX($A:$U,ROW(),$F$6))))</f>
        <v/>
      </c>
      <c r="AB153" s="31">
        <f>IF($AA153="","",SUBSTITUTE(SUBSTITUTE(SUBSTITUTE(SUBSTITUTE(SUBSTITUTE(SUBSTITUTE(SUBSTITUTE(SUBSTITUTE(SUBSTITUTE($AA153," ",""),"　",""),"(주)",""),"（주）",""),"㈜",""),"주식회사",""),"(유)",""),"（유）",""),"유한회사",""))</f>
        <v/>
      </c>
      <c r="AC153" s="31">
        <f>IF(OR($Y153="",N($Z153)&lt;=0,$AB153=""),0,IFERROR(LOOKUP(2,1/((거래처별!$AC$8:$AC$307&lt;&gt;"")*ISNUMBER(SEARCH(거래처별!$AC$8:$AC$307,$AB153))),거래처별!$A$8:$A$307),IFERROR(LOOKUP(2,1/((거래처별!$AD$8:$AD$307&lt;&gt;"")*ISNUMBER(SEARCH(거래처별!$AD$8:$AD$307,$AB153))),거래처별!$A$8:$A$307),IFERROR(LOOKUP(2,1/((거래처별!$AE$8:$AE$307&lt;&gt;"")*ISNUMBER(SEARCH(거래처별!$AE$8:$AE$307,$AB153))),거래처별!$A$8:$A$307),0))))</f>
        <v/>
      </c>
      <c r="AD153" s="31">
        <f>IF(AND($Y153&lt;&gt;"",N($Z153)&gt;0,$AC153=0),MAX($AD$7:$AD152)+1,"")</f>
        <v/>
      </c>
      <c r="AE153" s="31">
        <f>IF($Y153="",0,$Y153)</f>
        <v/>
      </c>
    </row>
    <row r="154">
      <c r="W154" s="31">
        <f>IF(OR($B$5="",$C$6="",ROW()&lt;$B$5),"",IF(INDEX($A:$U,ROW(),$C$6)="","",INDEX($A:$U,ROW(),$C$6)))</f>
        <v/>
      </c>
      <c r="X154" s="32">
        <f>IF($W154="","",IF(ISNUMBER($W154),IF($W154&gt;=10000000,IFERROR(DATE(INT($W154/10000),MOD(INT($W154/100),100),MOD($W154,100)),""),INT($W154)),IFERROR(DATE(--LEFT(LEFT(SUBSTITUTE(SUBSTITUTE(SUBSTITUTE(SUBSTITUTE(TRIM($W154),"-",""),".",""),"/","")," ",""),8),4),--MID(LEFT(SUBSTITUTE(SUBSTITUTE(SUBSTITUTE(SUBSTITUTE(TRIM($W154),"-",""),".",""),"/","")," ",""),8),5,2),--MID(LEFT(SUBSTITUTE(SUBSTITUTE(SUBSTITUTE(SUBSTITUTE(TRIM($W154),"-",""),".",""),"/","")," ",""),8),7,2)),"")))</f>
        <v/>
      </c>
      <c r="Y154" s="32">
        <f>IF($X154="","",INT($X154))</f>
        <v/>
      </c>
      <c r="Z154" s="33">
        <f>IF(OR($Y154="",$D$6=""),"",IF(INDEX($A:$U,ROW(),$D$6)="",0,IF(ISNUMBER(INDEX($A:$U,ROW(),$D$6)),INDEX($A:$U,ROW(),$D$6),IFERROR(--SUBSTITUTE(SUBSTITUTE(TRIM(INDEX($A:$U,ROW(),$D$6)),",",""),"원",""),0))))</f>
        <v/>
      </c>
      <c r="AA154" s="31">
        <f>IF($Y154="","",TRIM(INDEX($A:$U,ROW(),$E$6)&amp;IF($F$6="",""," "&amp;INDEX($A:$U,ROW(),$F$6))))</f>
        <v/>
      </c>
      <c r="AB154" s="31">
        <f>IF($AA154="","",SUBSTITUTE(SUBSTITUTE(SUBSTITUTE(SUBSTITUTE(SUBSTITUTE(SUBSTITUTE(SUBSTITUTE(SUBSTITUTE(SUBSTITUTE($AA154," ",""),"　",""),"(주)",""),"（주）",""),"㈜",""),"주식회사",""),"(유)",""),"（유）",""),"유한회사",""))</f>
        <v/>
      </c>
      <c r="AC154" s="31">
        <f>IF(OR($Y154="",N($Z154)&lt;=0,$AB154=""),0,IFERROR(LOOKUP(2,1/((거래처별!$AC$8:$AC$307&lt;&gt;"")*ISNUMBER(SEARCH(거래처별!$AC$8:$AC$307,$AB154))),거래처별!$A$8:$A$307),IFERROR(LOOKUP(2,1/((거래처별!$AD$8:$AD$307&lt;&gt;"")*ISNUMBER(SEARCH(거래처별!$AD$8:$AD$307,$AB154))),거래처별!$A$8:$A$307),IFERROR(LOOKUP(2,1/((거래처별!$AE$8:$AE$307&lt;&gt;"")*ISNUMBER(SEARCH(거래처별!$AE$8:$AE$307,$AB154))),거래처별!$A$8:$A$307),0))))</f>
        <v/>
      </c>
      <c r="AD154" s="31">
        <f>IF(AND($Y154&lt;&gt;"",N($Z154)&gt;0,$AC154=0),MAX($AD$7:$AD153)+1,"")</f>
        <v/>
      </c>
      <c r="AE154" s="31">
        <f>IF($Y154="",0,$Y154)</f>
        <v/>
      </c>
    </row>
    <row r="155">
      <c r="W155" s="31">
        <f>IF(OR($B$5="",$C$6="",ROW()&lt;$B$5),"",IF(INDEX($A:$U,ROW(),$C$6)="","",INDEX($A:$U,ROW(),$C$6)))</f>
        <v/>
      </c>
      <c r="X155" s="32">
        <f>IF($W155="","",IF(ISNUMBER($W155),IF($W155&gt;=10000000,IFERROR(DATE(INT($W155/10000),MOD(INT($W155/100),100),MOD($W155,100)),""),INT($W155)),IFERROR(DATE(--LEFT(LEFT(SUBSTITUTE(SUBSTITUTE(SUBSTITUTE(SUBSTITUTE(TRIM($W155),"-",""),".",""),"/","")," ",""),8),4),--MID(LEFT(SUBSTITUTE(SUBSTITUTE(SUBSTITUTE(SUBSTITUTE(TRIM($W155),"-",""),".",""),"/","")," ",""),8),5,2),--MID(LEFT(SUBSTITUTE(SUBSTITUTE(SUBSTITUTE(SUBSTITUTE(TRIM($W155),"-",""),".",""),"/","")," ",""),8),7,2)),"")))</f>
        <v/>
      </c>
      <c r="Y155" s="32">
        <f>IF($X155="","",INT($X155))</f>
        <v/>
      </c>
      <c r="Z155" s="33">
        <f>IF(OR($Y155="",$D$6=""),"",IF(INDEX($A:$U,ROW(),$D$6)="",0,IF(ISNUMBER(INDEX($A:$U,ROW(),$D$6)),INDEX($A:$U,ROW(),$D$6),IFERROR(--SUBSTITUTE(SUBSTITUTE(TRIM(INDEX($A:$U,ROW(),$D$6)),",",""),"원",""),0))))</f>
        <v/>
      </c>
      <c r="AA155" s="31">
        <f>IF($Y155="","",TRIM(INDEX($A:$U,ROW(),$E$6)&amp;IF($F$6="",""," "&amp;INDEX($A:$U,ROW(),$F$6))))</f>
        <v/>
      </c>
      <c r="AB155" s="31">
        <f>IF($AA155="","",SUBSTITUTE(SUBSTITUTE(SUBSTITUTE(SUBSTITUTE(SUBSTITUTE(SUBSTITUTE(SUBSTITUTE(SUBSTITUTE(SUBSTITUTE($AA155," ",""),"　",""),"(주)",""),"（주）",""),"㈜",""),"주식회사",""),"(유)",""),"（유）",""),"유한회사",""))</f>
        <v/>
      </c>
      <c r="AC155" s="31">
        <f>IF(OR($Y155="",N($Z155)&lt;=0,$AB155=""),0,IFERROR(LOOKUP(2,1/((거래처별!$AC$8:$AC$307&lt;&gt;"")*ISNUMBER(SEARCH(거래처별!$AC$8:$AC$307,$AB155))),거래처별!$A$8:$A$307),IFERROR(LOOKUP(2,1/((거래처별!$AD$8:$AD$307&lt;&gt;"")*ISNUMBER(SEARCH(거래처별!$AD$8:$AD$307,$AB155))),거래처별!$A$8:$A$307),IFERROR(LOOKUP(2,1/((거래처별!$AE$8:$AE$307&lt;&gt;"")*ISNUMBER(SEARCH(거래처별!$AE$8:$AE$307,$AB155))),거래처별!$A$8:$A$307),0))))</f>
        <v/>
      </c>
      <c r="AD155" s="31">
        <f>IF(AND($Y155&lt;&gt;"",N($Z155)&gt;0,$AC155=0),MAX($AD$7:$AD154)+1,"")</f>
        <v/>
      </c>
      <c r="AE155" s="31">
        <f>IF($Y155="",0,$Y155)</f>
        <v/>
      </c>
    </row>
    <row r="156">
      <c r="W156" s="31">
        <f>IF(OR($B$5="",$C$6="",ROW()&lt;$B$5),"",IF(INDEX($A:$U,ROW(),$C$6)="","",INDEX($A:$U,ROW(),$C$6)))</f>
        <v/>
      </c>
      <c r="X156" s="32">
        <f>IF($W156="","",IF(ISNUMBER($W156),IF($W156&gt;=10000000,IFERROR(DATE(INT($W156/10000),MOD(INT($W156/100),100),MOD($W156,100)),""),INT($W156)),IFERROR(DATE(--LEFT(LEFT(SUBSTITUTE(SUBSTITUTE(SUBSTITUTE(SUBSTITUTE(TRIM($W156),"-",""),".",""),"/","")," ",""),8),4),--MID(LEFT(SUBSTITUTE(SUBSTITUTE(SUBSTITUTE(SUBSTITUTE(TRIM($W156),"-",""),".",""),"/","")," ",""),8),5,2),--MID(LEFT(SUBSTITUTE(SUBSTITUTE(SUBSTITUTE(SUBSTITUTE(TRIM($W156),"-",""),".",""),"/","")," ",""),8),7,2)),"")))</f>
        <v/>
      </c>
      <c r="Y156" s="32">
        <f>IF($X156="","",INT($X156))</f>
        <v/>
      </c>
      <c r="Z156" s="33">
        <f>IF(OR($Y156="",$D$6=""),"",IF(INDEX($A:$U,ROW(),$D$6)="",0,IF(ISNUMBER(INDEX($A:$U,ROW(),$D$6)),INDEX($A:$U,ROW(),$D$6),IFERROR(--SUBSTITUTE(SUBSTITUTE(TRIM(INDEX($A:$U,ROW(),$D$6)),",",""),"원",""),0))))</f>
        <v/>
      </c>
      <c r="AA156" s="31">
        <f>IF($Y156="","",TRIM(INDEX($A:$U,ROW(),$E$6)&amp;IF($F$6="",""," "&amp;INDEX($A:$U,ROW(),$F$6))))</f>
        <v/>
      </c>
      <c r="AB156" s="31">
        <f>IF($AA156="","",SUBSTITUTE(SUBSTITUTE(SUBSTITUTE(SUBSTITUTE(SUBSTITUTE(SUBSTITUTE(SUBSTITUTE(SUBSTITUTE(SUBSTITUTE($AA156," ",""),"　",""),"(주)",""),"（주）",""),"㈜",""),"주식회사",""),"(유)",""),"（유）",""),"유한회사",""))</f>
        <v/>
      </c>
      <c r="AC156" s="31">
        <f>IF(OR($Y156="",N($Z156)&lt;=0,$AB156=""),0,IFERROR(LOOKUP(2,1/((거래처별!$AC$8:$AC$307&lt;&gt;"")*ISNUMBER(SEARCH(거래처별!$AC$8:$AC$307,$AB156))),거래처별!$A$8:$A$307),IFERROR(LOOKUP(2,1/((거래처별!$AD$8:$AD$307&lt;&gt;"")*ISNUMBER(SEARCH(거래처별!$AD$8:$AD$307,$AB156))),거래처별!$A$8:$A$307),IFERROR(LOOKUP(2,1/((거래처별!$AE$8:$AE$307&lt;&gt;"")*ISNUMBER(SEARCH(거래처별!$AE$8:$AE$307,$AB156))),거래처별!$A$8:$A$307),0))))</f>
        <v/>
      </c>
      <c r="AD156" s="31">
        <f>IF(AND($Y156&lt;&gt;"",N($Z156)&gt;0,$AC156=0),MAX($AD$7:$AD155)+1,"")</f>
        <v/>
      </c>
      <c r="AE156" s="31">
        <f>IF($Y156="",0,$Y156)</f>
        <v/>
      </c>
    </row>
    <row r="157">
      <c r="W157" s="31">
        <f>IF(OR($B$5="",$C$6="",ROW()&lt;$B$5),"",IF(INDEX($A:$U,ROW(),$C$6)="","",INDEX($A:$U,ROW(),$C$6)))</f>
        <v/>
      </c>
      <c r="X157" s="32">
        <f>IF($W157="","",IF(ISNUMBER($W157),IF($W157&gt;=10000000,IFERROR(DATE(INT($W157/10000),MOD(INT($W157/100),100),MOD($W157,100)),""),INT($W157)),IFERROR(DATE(--LEFT(LEFT(SUBSTITUTE(SUBSTITUTE(SUBSTITUTE(SUBSTITUTE(TRIM($W157),"-",""),".",""),"/","")," ",""),8),4),--MID(LEFT(SUBSTITUTE(SUBSTITUTE(SUBSTITUTE(SUBSTITUTE(TRIM($W157),"-",""),".",""),"/","")," ",""),8),5,2),--MID(LEFT(SUBSTITUTE(SUBSTITUTE(SUBSTITUTE(SUBSTITUTE(TRIM($W157),"-",""),".",""),"/","")," ",""),8),7,2)),"")))</f>
        <v/>
      </c>
      <c r="Y157" s="32">
        <f>IF($X157="","",INT($X157))</f>
        <v/>
      </c>
      <c r="Z157" s="33">
        <f>IF(OR($Y157="",$D$6=""),"",IF(INDEX($A:$U,ROW(),$D$6)="",0,IF(ISNUMBER(INDEX($A:$U,ROW(),$D$6)),INDEX($A:$U,ROW(),$D$6),IFERROR(--SUBSTITUTE(SUBSTITUTE(TRIM(INDEX($A:$U,ROW(),$D$6)),",",""),"원",""),0))))</f>
        <v/>
      </c>
      <c r="AA157" s="31">
        <f>IF($Y157="","",TRIM(INDEX($A:$U,ROW(),$E$6)&amp;IF($F$6="",""," "&amp;INDEX($A:$U,ROW(),$F$6))))</f>
        <v/>
      </c>
      <c r="AB157" s="31">
        <f>IF($AA157="","",SUBSTITUTE(SUBSTITUTE(SUBSTITUTE(SUBSTITUTE(SUBSTITUTE(SUBSTITUTE(SUBSTITUTE(SUBSTITUTE(SUBSTITUTE($AA157," ",""),"　",""),"(주)",""),"（주）",""),"㈜",""),"주식회사",""),"(유)",""),"（유）",""),"유한회사",""))</f>
        <v/>
      </c>
      <c r="AC157" s="31">
        <f>IF(OR($Y157="",N($Z157)&lt;=0,$AB157=""),0,IFERROR(LOOKUP(2,1/((거래처별!$AC$8:$AC$307&lt;&gt;"")*ISNUMBER(SEARCH(거래처별!$AC$8:$AC$307,$AB157))),거래처별!$A$8:$A$307),IFERROR(LOOKUP(2,1/((거래처별!$AD$8:$AD$307&lt;&gt;"")*ISNUMBER(SEARCH(거래처별!$AD$8:$AD$307,$AB157))),거래처별!$A$8:$A$307),IFERROR(LOOKUP(2,1/((거래처별!$AE$8:$AE$307&lt;&gt;"")*ISNUMBER(SEARCH(거래처별!$AE$8:$AE$307,$AB157))),거래처별!$A$8:$A$307),0))))</f>
        <v/>
      </c>
      <c r="AD157" s="31">
        <f>IF(AND($Y157&lt;&gt;"",N($Z157)&gt;0,$AC157=0),MAX($AD$7:$AD156)+1,"")</f>
        <v/>
      </c>
      <c r="AE157" s="31">
        <f>IF($Y157="",0,$Y157)</f>
        <v/>
      </c>
    </row>
    <row r="158">
      <c r="W158" s="31">
        <f>IF(OR($B$5="",$C$6="",ROW()&lt;$B$5),"",IF(INDEX($A:$U,ROW(),$C$6)="","",INDEX($A:$U,ROW(),$C$6)))</f>
        <v/>
      </c>
      <c r="X158" s="32">
        <f>IF($W158="","",IF(ISNUMBER($W158),IF($W158&gt;=10000000,IFERROR(DATE(INT($W158/10000),MOD(INT($W158/100),100),MOD($W158,100)),""),INT($W158)),IFERROR(DATE(--LEFT(LEFT(SUBSTITUTE(SUBSTITUTE(SUBSTITUTE(SUBSTITUTE(TRIM($W158),"-",""),".",""),"/","")," ",""),8),4),--MID(LEFT(SUBSTITUTE(SUBSTITUTE(SUBSTITUTE(SUBSTITUTE(TRIM($W158),"-",""),".",""),"/","")," ",""),8),5,2),--MID(LEFT(SUBSTITUTE(SUBSTITUTE(SUBSTITUTE(SUBSTITUTE(TRIM($W158),"-",""),".",""),"/","")," ",""),8),7,2)),"")))</f>
        <v/>
      </c>
      <c r="Y158" s="32">
        <f>IF($X158="","",INT($X158))</f>
        <v/>
      </c>
      <c r="Z158" s="33">
        <f>IF(OR($Y158="",$D$6=""),"",IF(INDEX($A:$U,ROW(),$D$6)="",0,IF(ISNUMBER(INDEX($A:$U,ROW(),$D$6)),INDEX($A:$U,ROW(),$D$6),IFERROR(--SUBSTITUTE(SUBSTITUTE(TRIM(INDEX($A:$U,ROW(),$D$6)),",",""),"원",""),0))))</f>
        <v/>
      </c>
      <c r="AA158" s="31">
        <f>IF($Y158="","",TRIM(INDEX($A:$U,ROW(),$E$6)&amp;IF($F$6="",""," "&amp;INDEX($A:$U,ROW(),$F$6))))</f>
        <v/>
      </c>
      <c r="AB158" s="31">
        <f>IF($AA158="","",SUBSTITUTE(SUBSTITUTE(SUBSTITUTE(SUBSTITUTE(SUBSTITUTE(SUBSTITUTE(SUBSTITUTE(SUBSTITUTE(SUBSTITUTE($AA158," ",""),"　",""),"(주)",""),"（주）",""),"㈜",""),"주식회사",""),"(유)",""),"（유）",""),"유한회사",""))</f>
        <v/>
      </c>
      <c r="AC158" s="31">
        <f>IF(OR($Y158="",N($Z158)&lt;=0,$AB158=""),0,IFERROR(LOOKUP(2,1/((거래처별!$AC$8:$AC$307&lt;&gt;"")*ISNUMBER(SEARCH(거래처별!$AC$8:$AC$307,$AB158))),거래처별!$A$8:$A$307),IFERROR(LOOKUP(2,1/((거래처별!$AD$8:$AD$307&lt;&gt;"")*ISNUMBER(SEARCH(거래처별!$AD$8:$AD$307,$AB158))),거래처별!$A$8:$A$307),IFERROR(LOOKUP(2,1/((거래처별!$AE$8:$AE$307&lt;&gt;"")*ISNUMBER(SEARCH(거래처별!$AE$8:$AE$307,$AB158))),거래처별!$A$8:$A$307),0))))</f>
        <v/>
      </c>
      <c r="AD158" s="31">
        <f>IF(AND($Y158&lt;&gt;"",N($Z158)&gt;0,$AC158=0),MAX($AD$7:$AD157)+1,"")</f>
        <v/>
      </c>
      <c r="AE158" s="31">
        <f>IF($Y158="",0,$Y158)</f>
        <v/>
      </c>
    </row>
    <row r="159">
      <c r="W159" s="31">
        <f>IF(OR($B$5="",$C$6="",ROW()&lt;$B$5),"",IF(INDEX($A:$U,ROW(),$C$6)="","",INDEX($A:$U,ROW(),$C$6)))</f>
        <v/>
      </c>
      <c r="X159" s="32">
        <f>IF($W159="","",IF(ISNUMBER($W159),IF($W159&gt;=10000000,IFERROR(DATE(INT($W159/10000),MOD(INT($W159/100),100),MOD($W159,100)),""),INT($W159)),IFERROR(DATE(--LEFT(LEFT(SUBSTITUTE(SUBSTITUTE(SUBSTITUTE(SUBSTITUTE(TRIM($W159),"-",""),".",""),"/","")," ",""),8),4),--MID(LEFT(SUBSTITUTE(SUBSTITUTE(SUBSTITUTE(SUBSTITUTE(TRIM($W159),"-",""),".",""),"/","")," ",""),8),5,2),--MID(LEFT(SUBSTITUTE(SUBSTITUTE(SUBSTITUTE(SUBSTITUTE(TRIM($W159),"-",""),".",""),"/","")," ",""),8),7,2)),"")))</f>
        <v/>
      </c>
      <c r="Y159" s="32">
        <f>IF($X159="","",INT($X159))</f>
        <v/>
      </c>
      <c r="Z159" s="33">
        <f>IF(OR($Y159="",$D$6=""),"",IF(INDEX($A:$U,ROW(),$D$6)="",0,IF(ISNUMBER(INDEX($A:$U,ROW(),$D$6)),INDEX($A:$U,ROW(),$D$6),IFERROR(--SUBSTITUTE(SUBSTITUTE(TRIM(INDEX($A:$U,ROW(),$D$6)),",",""),"원",""),0))))</f>
        <v/>
      </c>
      <c r="AA159" s="31">
        <f>IF($Y159="","",TRIM(INDEX($A:$U,ROW(),$E$6)&amp;IF($F$6="",""," "&amp;INDEX($A:$U,ROW(),$F$6))))</f>
        <v/>
      </c>
      <c r="AB159" s="31">
        <f>IF($AA159="","",SUBSTITUTE(SUBSTITUTE(SUBSTITUTE(SUBSTITUTE(SUBSTITUTE(SUBSTITUTE(SUBSTITUTE(SUBSTITUTE(SUBSTITUTE($AA159," ",""),"　",""),"(주)",""),"（주）",""),"㈜",""),"주식회사",""),"(유)",""),"（유）",""),"유한회사",""))</f>
        <v/>
      </c>
      <c r="AC159" s="31">
        <f>IF(OR($Y159="",N($Z159)&lt;=0,$AB159=""),0,IFERROR(LOOKUP(2,1/((거래처별!$AC$8:$AC$307&lt;&gt;"")*ISNUMBER(SEARCH(거래처별!$AC$8:$AC$307,$AB159))),거래처별!$A$8:$A$307),IFERROR(LOOKUP(2,1/((거래처별!$AD$8:$AD$307&lt;&gt;"")*ISNUMBER(SEARCH(거래처별!$AD$8:$AD$307,$AB159))),거래처별!$A$8:$A$307),IFERROR(LOOKUP(2,1/((거래처별!$AE$8:$AE$307&lt;&gt;"")*ISNUMBER(SEARCH(거래처별!$AE$8:$AE$307,$AB159))),거래처별!$A$8:$A$307),0))))</f>
        <v/>
      </c>
      <c r="AD159" s="31">
        <f>IF(AND($Y159&lt;&gt;"",N($Z159)&gt;0,$AC159=0),MAX($AD$7:$AD158)+1,"")</f>
        <v/>
      </c>
      <c r="AE159" s="31">
        <f>IF($Y159="",0,$Y159)</f>
        <v/>
      </c>
    </row>
    <row r="160">
      <c r="W160" s="31">
        <f>IF(OR($B$5="",$C$6="",ROW()&lt;$B$5),"",IF(INDEX($A:$U,ROW(),$C$6)="","",INDEX($A:$U,ROW(),$C$6)))</f>
        <v/>
      </c>
      <c r="X160" s="32">
        <f>IF($W160="","",IF(ISNUMBER($W160),IF($W160&gt;=10000000,IFERROR(DATE(INT($W160/10000),MOD(INT($W160/100),100),MOD($W160,100)),""),INT($W160)),IFERROR(DATE(--LEFT(LEFT(SUBSTITUTE(SUBSTITUTE(SUBSTITUTE(SUBSTITUTE(TRIM($W160),"-",""),".",""),"/","")," ",""),8),4),--MID(LEFT(SUBSTITUTE(SUBSTITUTE(SUBSTITUTE(SUBSTITUTE(TRIM($W160),"-",""),".",""),"/","")," ",""),8),5,2),--MID(LEFT(SUBSTITUTE(SUBSTITUTE(SUBSTITUTE(SUBSTITUTE(TRIM($W160),"-",""),".",""),"/","")," ",""),8),7,2)),"")))</f>
        <v/>
      </c>
      <c r="Y160" s="32">
        <f>IF($X160="","",INT($X160))</f>
        <v/>
      </c>
      <c r="Z160" s="33">
        <f>IF(OR($Y160="",$D$6=""),"",IF(INDEX($A:$U,ROW(),$D$6)="",0,IF(ISNUMBER(INDEX($A:$U,ROW(),$D$6)),INDEX($A:$U,ROW(),$D$6),IFERROR(--SUBSTITUTE(SUBSTITUTE(TRIM(INDEX($A:$U,ROW(),$D$6)),",",""),"원",""),0))))</f>
        <v/>
      </c>
      <c r="AA160" s="31">
        <f>IF($Y160="","",TRIM(INDEX($A:$U,ROW(),$E$6)&amp;IF($F$6="",""," "&amp;INDEX($A:$U,ROW(),$F$6))))</f>
        <v/>
      </c>
      <c r="AB160" s="31">
        <f>IF($AA160="","",SUBSTITUTE(SUBSTITUTE(SUBSTITUTE(SUBSTITUTE(SUBSTITUTE(SUBSTITUTE(SUBSTITUTE(SUBSTITUTE(SUBSTITUTE($AA160," ",""),"　",""),"(주)",""),"（주）",""),"㈜",""),"주식회사",""),"(유)",""),"（유）",""),"유한회사",""))</f>
        <v/>
      </c>
      <c r="AC160" s="31">
        <f>IF(OR($Y160="",N($Z160)&lt;=0,$AB160=""),0,IFERROR(LOOKUP(2,1/((거래처별!$AC$8:$AC$307&lt;&gt;"")*ISNUMBER(SEARCH(거래처별!$AC$8:$AC$307,$AB160))),거래처별!$A$8:$A$307),IFERROR(LOOKUP(2,1/((거래처별!$AD$8:$AD$307&lt;&gt;"")*ISNUMBER(SEARCH(거래처별!$AD$8:$AD$307,$AB160))),거래처별!$A$8:$A$307),IFERROR(LOOKUP(2,1/((거래처별!$AE$8:$AE$307&lt;&gt;"")*ISNUMBER(SEARCH(거래처별!$AE$8:$AE$307,$AB160))),거래처별!$A$8:$A$307),0))))</f>
        <v/>
      </c>
      <c r="AD160" s="31">
        <f>IF(AND($Y160&lt;&gt;"",N($Z160)&gt;0,$AC160=0),MAX($AD$7:$AD159)+1,"")</f>
        <v/>
      </c>
      <c r="AE160" s="31">
        <f>IF($Y160="",0,$Y160)</f>
        <v/>
      </c>
    </row>
    <row r="161">
      <c r="W161" s="31">
        <f>IF(OR($B$5="",$C$6="",ROW()&lt;$B$5),"",IF(INDEX($A:$U,ROW(),$C$6)="","",INDEX($A:$U,ROW(),$C$6)))</f>
        <v/>
      </c>
      <c r="X161" s="32">
        <f>IF($W161="","",IF(ISNUMBER($W161),IF($W161&gt;=10000000,IFERROR(DATE(INT($W161/10000),MOD(INT($W161/100),100),MOD($W161,100)),""),INT($W161)),IFERROR(DATE(--LEFT(LEFT(SUBSTITUTE(SUBSTITUTE(SUBSTITUTE(SUBSTITUTE(TRIM($W161),"-",""),".",""),"/","")," ",""),8),4),--MID(LEFT(SUBSTITUTE(SUBSTITUTE(SUBSTITUTE(SUBSTITUTE(TRIM($W161),"-",""),".",""),"/","")," ",""),8),5,2),--MID(LEFT(SUBSTITUTE(SUBSTITUTE(SUBSTITUTE(SUBSTITUTE(TRIM($W161),"-",""),".",""),"/","")," ",""),8),7,2)),"")))</f>
        <v/>
      </c>
      <c r="Y161" s="32">
        <f>IF($X161="","",INT($X161))</f>
        <v/>
      </c>
      <c r="Z161" s="33">
        <f>IF(OR($Y161="",$D$6=""),"",IF(INDEX($A:$U,ROW(),$D$6)="",0,IF(ISNUMBER(INDEX($A:$U,ROW(),$D$6)),INDEX($A:$U,ROW(),$D$6),IFERROR(--SUBSTITUTE(SUBSTITUTE(TRIM(INDEX($A:$U,ROW(),$D$6)),",",""),"원",""),0))))</f>
        <v/>
      </c>
      <c r="AA161" s="31">
        <f>IF($Y161="","",TRIM(INDEX($A:$U,ROW(),$E$6)&amp;IF($F$6="",""," "&amp;INDEX($A:$U,ROW(),$F$6))))</f>
        <v/>
      </c>
      <c r="AB161" s="31">
        <f>IF($AA161="","",SUBSTITUTE(SUBSTITUTE(SUBSTITUTE(SUBSTITUTE(SUBSTITUTE(SUBSTITUTE(SUBSTITUTE(SUBSTITUTE(SUBSTITUTE($AA161," ",""),"　",""),"(주)",""),"（주）",""),"㈜",""),"주식회사",""),"(유)",""),"（유）",""),"유한회사",""))</f>
        <v/>
      </c>
      <c r="AC161" s="31">
        <f>IF(OR($Y161="",N($Z161)&lt;=0,$AB161=""),0,IFERROR(LOOKUP(2,1/((거래처별!$AC$8:$AC$307&lt;&gt;"")*ISNUMBER(SEARCH(거래처별!$AC$8:$AC$307,$AB161))),거래처별!$A$8:$A$307),IFERROR(LOOKUP(2,1/((거래처별!$AD$8:$AD$307&lt;&gt;"")*ISNUMBER(SEARCH(거래처별!$AD$8:$AD$307,$AB161))),거래처별!$A$8:$A$307),IFERROR(LOOKUP(2,1/((거래처별!$AE$8:$AE$307&lt;&gt;"")*ISNUMBER(SEARCH(거래처별!$AE$8:$AE$307,$AB161))),거래처별!$A$8:$A$307),0))))</f>
        <v/>
      </c>
      <c r="AD161" s="31">
        <f>IF(AND($Y161&lt;&gt;"",N($Z161)&gt;0,$AC161=0),MAX($AD$7:$AD160)+1,"")</f>
        <v/>
      </c>
      <c r="AE161" s="31">
        <f>IF($Y161="",0,$Y161)</f>
        <v/>
      </c>
    </row>
    <row r="162">
      <c r="W162" s="31">
        <f>IF(OR($B$5="",$C$6="",ROW()&lt;$B$5),"",IF(INDEX($A:$U,ROW(),$C$6)="","",INDEX($A:$U,ROW(),$C$6)))</f>
        <v/>
      </c>
      <c r="X162" s="32">
        <f>IF($W162="","",IF(ISNUMBER($W162),IF($W162&gt;=10000000,IFERROR(DATE(INT($W162/10000),MOD(INT($W162/100),100),MOD($W162,100)),""),INT($W162)),IFERROR(DATE(--LEFT(LEFT(SUBSTITUTE(SUBSTITUTE(SUBSTITUTE(SUBSTITUTE(TRIM($W162),"-",""),".",""),"/","")," ",""),8),4),--MID(LEFT(SUBSTITUTE(SUBSTITUTE(SUBSTITUTE(SUBSTITUTE(TRIM($W162),"-",""),".",""),"/","")," ",""),8),5,2),--MID(LEFT(SUBSTITUTE(SUBSTITUTE(SUBSTITUTE(SUBSTITUTE(TRIM($W162),"-",""),".",""),"/","")," ",""),8),7,2)),"")))</f>
        <v/>
      </c>
      <c r="Y162" s="32">
        <f>IF($X162="","",INT($X162))</f>
        <v/>
      </c>
      <c r="Z162" s="33">
        <f>IF(OR($Y162="",$D$6=""),"",IF(INDEX($A:$U,ROW(),$D$6)="",0,IF(ISNUMBER(INDEX($A:$U,ROW(),$D$6)),INDEX($A:$U,ROW(),$D$6),IFERROR(--SUBSTITUTE(SUBSTITUTE(TRIM(INDEX($A:$U,ROW(),$D$6)),",",""),"원",""),0))))</f>
        <v/>
      </c>
      <c r="AA162" s="31">
        <f>IF($Y162="","",TRIM(INDEX($A:$U,ROW(),$E$6)&amp;IF($F$6="",""," "&amp;INDEX($A:$U,ROW(),$F$6))))</f>
        <v/>
      </c>
      <c r="AB162" s="31">
        <f>IF($AA162="","",SUBSTITUTE(SUBSTITUTE(SUBSTITUTE(SUBSTITUTE(SUBSTITUTE(SUBSTITUTE(SUBSTITUTE(SUBSTITUTE(SUBSTITUTE($AA162," ",""),"　",""),"(주)",""),"（주）",""),"㈜",""),"주식회사",""),"(유)",""),"（유）",""),"유한회사",""))</f>
        <v/>
      </c>
      <c r="AC162" s="31">
        <f>IF(OR($Y162="",N($Z162)&lt;=0,$AB162=""),0,IFERROR(LOOKUP(2,1/((거래처별!$AC$8:$AC$307&lt;&gt;"")*ISNUMBER(SEARCH(거래처별!$AC$8:$AC$307,$AB162))),거래처별!$A$8:$A$307),IFERROR(LOOKUP(2,1/((거래처별!$AD$8:$AD$307&lt;&gt;"")*ISNUMBER(SEARCH(거래처별!$AD$8:$AD$307,$AB162))),거래처별!$A$8:$A$307),IFERROR(LOOKUP(2,1/((거래처별!$AE$8:$AE$307&lt;&gt;"")*ISNUMBER(SEARCH(거래처별!$AE$8:$AE$307,$AB162))),거래처별!$A$8:$A$307),0))))</f>
        <v/>
      </c>
      <c r="AD162" s="31">
        <f>IF(AND($Y162&lt;&gt;"",N($Z162)&gt;0,$AC162=0),MAX($AD$7:$AD161)+1,"")</f>
        <v/>
      </c>
      <c r="AE162" s="31">
        <f>IF($Y162="",0,$Y162)</f>
        <v/>
      </c>
    </row>
    <row r="163">
      <c r="W163" s="31">
        <f>IF(OR($B$5="",$C$6="",ROW()&lt;$B$5),"",IF(INDEX($A:$U,ROW(),$C$6)="","",INDEX($A:$U,ROW(),$C$6)))</f>
        <v/>
      </c>
      <c r="X163" s="32">
        <f>IF($W163="","",IF(ISNUMBER($W163),IF($W163&gt;=10000000,IFERROR(DATE(INT($W163/10000),MOD(INT($W163/100),100),MOD($W163,100)),""),INT($W163)),IFERROR(DATE(--LEFT(LEFT(SUBSTITUTE(SUBSTITUTE(SUBSTITUTE(SUBSTITUTE(TRIM($W163),"-",""),".",""),"/","")," ",""),8),4),--MID(LEFT(SUBSTITUTE(SUBSTITUTE(SUBSTITUTE(SUBSTITUTE(TRIM($W163),"-",""),".",""),"/","")," ",""),8),5,2),--MID(LEFT(SUBSTITUTE(SUBSTITUTE(SUBSTITUTE(SUBSTITUTE(TRIM($W163),"-",""),".",""),"/","")," ",""),8),7,2)),"")))</f>
        <v/>
      </c>
      <c r="Y163" s="32">
        <f>IF($X163="","",INT($X163))</f>
        <v/>
      </c>
      <c r="Z163" s="33">
        <f>IF(OR($Y163="",$D$6=""),"",IF(INDEX($A:$U,ROW(),$D$6)="",0,IF(ISNUMBER(INDEX($A:$U,ROW(),$D$6)),INDEX($A:$U,ROW(),$D$6),IFERROR(--SUBSTITUTE(SUBSTITUTE(TRIM(INDEX($A:$U,ROW(),$D$6)),",",""),"원",""),0))))</f>
        <v/>
      </c>
      <c r="AA163" s="31">
        <f>IF($Y163="","",TRIM(INDEX($A:$U,ROW(),$E$6)&amp;IF($F$6="",""," "&amp;INDEX($A:$U,ROW(),$F$6))))</f>
        <v/>
      </c>
      <c r="AB163" s="31">
        <f>IF($AA163="","",SUBSTITUTE(SUBSTITUTE(SUBSTITUTE(SUBSTITUTE(SUBSTITUTE(SUBSTITUTE(SUBSTITUTE(SUBSTITUTE(SUBSTITUTE($AA163," ",""),"　",""),"(주)",""),"（주）",""),"㈜",""),"주식회사",""),"(유)",""),"（유）",""),"유한회사",""))</f>
        <v/>
      </c>
      <c r="AC163" s="31">
        <f>IF(OR($Y163="",N($Z163)&lt;=0,$AB163=""),0,IFERROR(LOOKUP(2,1/((거래처별!$AC$8:$AC$307&lt;&gt;"")*ISNUMBER(SEARCH(거래처별!$AC$8:$AC$307,$AB163))),거래처별!$A$8:$A$307),IFERROR(LOOKUP(2,1/((거래처별!$AD$8:$AD$307&lt;&gt;"")*ISNUMBER(SEARCH(거래처별!$AD$8:$AD$307,$AB163))),거래처별!$A$8:$A$307),IFERROR(LOOKUP(2,1/((거래처별!$AE$8:$AE$307&lt;&gt;"")*ISNUMBER(SEARCH(거래처별!$AE$8:$AE$307,$AB163))),거래처별!$A$8:$A$307),0))))</f>
        <v/>
      </c>
      <c r="AD163" s="31">
        <f>IF(AND($Y163&lt;&gt;"",N($Z163)&gt;0,$AC163=0),MAX($AD$7:$AD162)+1,"")</f>
        <v/>
      </c>
      <c r="AE163" s="31">
        <f>IF($Y163="",0,$Y163)</f>
        <v/>
      </c>
    </row>
    <row r="164">
      <c r="W164" s="31">
        <f>IF(OR($B$5="",$C$6="",ROW()&lt;$B$5),"",IF(INDEX($A:$U,ROW(),$C$6)="","",INDEX($A:$U,ROW(),$C$6)))</f>
        <v/>
      </c>
      <c r="X164" s="32">
        <f>IF($W164="","",IF(ISNUMBER($W164),IF($W164&gt;=10000000,IFERROR(DATE(INT($W164/10000),MOD(INT($W164/100),100),MOD($W164,100)),""),INT($W164)),IFERROR(DATE(--LEFT(LEFT(SUBSTITUTE(SUBSTITUTE(SUBSTITUTE(SUBSTITUTE(TRIM($W164),"-",""),".",""),"/","")," ",""),8),4),--MID(LEFT(SUBSTITUTE(SUBSTITUTE(SUBSTITUTE(SUBSTITUTE(TRIM($W164),"-",""),".",""),"/","")," ",""),8),5,2),--MID(LEFT(SUBSTITUTE(SUBSTITUTE(SUBSTITUTE(SUBSTITUTE(TRIM($W164),"-",""),".",""),"/","")," ",""),8),7,2)),"")))</f>
        <v/>
      </c>
      <c r="Y164" s="32">
        <f>IF($X164="","",INT($X164))</f>
        <v/>
      </c>
      <c r="Z164" s="33">
        <f>IF(OR($Y164="",$D$6=""),"",IF(INDEX($A:$U,ROW(),$D$6)="",0,IF(ISNUMBER(INDEX($A:$U,ROW(),$D$6)),INDEX($A:$U,ROW(),$D$6),IFERROR(--SUBSTITUTE(SUBSTITUTE(TRIM(INDEX($A:$U,ROW(),$D$6)),",",""),"원",""),0))))</f>
        <v/>
      </c>
      <c r="AA164" s="31">
        <f>IF($Y164="","",TRIM(INDEX($A:$U,ROW(),$E$6)&amp;IF($F$6="",""," "&amp;INDEX($A:$U,ROW(),$F$6))))</f>
        <v/>
      </c>
      <c r="AB164" s="31">
        <f>IF($AA164="","",SUBSTITUTE(SUBSTITUTE(SUBSTITUTE(SUBSTITUTE(SUBSTITUTE(SUBSTITUTE(SUBSTITUTE(SUBSTITUTE(SUBSTITUTE($AA164," ",""),"　",""),"(주)",""),"（주）",""),"㈜",""),"주식회사",""),"(유)",""),"（유）",""),"유한회사",""))</f>
        <v/>
      </c>
      <c r="AC164" s="31">
        <f>IF(OR($Y164="",N($Z164)&lt;=0,$AB164=""),0,IFERROR(LOOKUP(2,1/((거래처별!$AC$8:$AC$307&lt;&gt;"")*ISNUMBER(SEARCH(거래처별!$AC$8:$AC$307,$AB164))),거래처별!$A$8:$A$307),IFERROR(LOOKUP(2,1/((거래처별!$AD$8:$AD$307&lt;&gt;"")*ISNUMBER(SEARCH(거래처별!$AD$8:$AD$307,$AB164))),거래처별!$A$8:$A$307),IFERROR(LOOKUP(2,1/((거래처별!$AE$8:$AE$307&lt;&gt;"")*ISNUMBER(SEARCH(거래처별!$AE$8:$AE$307,$AB164))),거래처별!$A$8:$A$307),0))))</f>
        <v/>
      </c>
      <c r="AD164" s="31">
        <f>IF(AND($Y164&lt;&gt;"",N($Z164)&gt;0,$AC164=0),MAX($AD$7:$AD163)+1,"")</f>
        <v/>
      </c>
      <c r="AE164" s="31">
        <f>IF($Y164="",0,$Y164)</f>
        <v/>
      </c>
    </row>
    <row r="165">
      <c r="W165" s="31">
        <f>IF(OR($B$5="",$C$6="",ROW()&lt;$B$5),"",IF(INDEX($A:$U,ROW(),$C$6)="","",INDEX($A:$U,ROW(),$C$6)))</f>
        <v/>
      </c>
      <c r="X165" s="32">
        <f>IF($W165="","",IF(ISNUMBER($W165),IF($W165&gt;=10000000,IFERROR(DATE(INT($W165/10000),MOD(INT($W165/100),100),MOD($W165,100)),""),INT($W165)),IFERROR(DATE(--LEFT(LEFT(SUBSTITUTE(SUBSTITUTE(SUBSTITUTE(SUBSTITUTE(TRIM($W165),"-",""),".",""),"/","")," ",""),8),4),--MID(LEFT(SUBSTITUTE(SUBSTITUTE(SUBSTITUTE(SUBSTITUTE(TRIM($W165),"-",""),".",""),"/","")," ",""),8),5,2),--MID(LEFT(SUBSTITUTE(SUBSTITUTE(SUBSTITUTE(SUBSTITUTE(TRIM($W165),"-",""),".",""),"/","")," ",""),8),7,2)),"")))</f>
        <v/>
      </c>
      <c r="Y165" s="32">
        <f>IF($X165="","",INT($X165))</f>
        <v/>
      </c>
      <c r="Z165" s="33">
        <f>IF(OR($Y165="",$D$6=""),"",IF(INDEX($A:$U,ROW(),$D$6)="",0,IF(ISNUMBER(INDEX($A:$U,ROW(),$D$6)),INDEX($A:$U,ROW(),$D$6),IFERROR(--SUBSTITUTE(SUBSTITUTE(TRIM(INDEX($A:$U,ROW(),$D$6)),",",""),"원",""),0))))</f>
        <v/>
      </c>
      <c r="AA165" s="31">
        <f>IF($Y165="","",TRIM(INDEX($A:$U,ROW(),$E$6)&amp;IF($F$6="",""," "&amp;INDEX($A:$U,ROW(),$F$6))))</f>
        <v/>
      </c>
      <c r="AB165" s="31">
        <f>IF($AA165="","",SUBSTITUTE(SUBSTITUTE(SUBSTITUTE(SUBSTITUTE(SUBSTITUTE(SUBSTITUTE(SUBSTITUTE(SUBSTITUTE(SUBSTITUTE($AA165," ",""),"　",""),"(주)",""),"（주）",""),"㈜",""),"주식회사",""),"(유)",""),"（유）",""),"유한회사",""))</f>
        <v/>
      </c>
      <c r="AC165" s="31">
        <f>IF(OR($Y165="",N($Z165)&lt;=0,$AB165=""),0,IFERROR(LOOKUP(2,1/((거래처별!$AC$8:$AC$307&lt;&gt;"")*ISNUMBER(SEARCH(거래처별!$AC$8:$AC$307,$AB165))),거래처별!$A$8:$A$307),IFERROR(LOOKUP(2,1/((거래처별!$AD$8:$AD$307&lt;&gt;"")*ISNUMBER(SEARCH(거래처별!$AD$8:$AD$307,$AB165))),거래처별!$A$8:$A$307),IFERROR(LOOKUP(2,1/((거래처별!$AE$8:$AE$307&lt;&gt;"")*ISNUMBER(SEARCH(거래처별!$AE$8:$AE$307,$AB165))),거래처별!$A$8:$A$307),0))))</f>
        <v/>
      </c>
      <c r="AD165" s="31">
        <f>IF(AND($Y165&lt;&gt;"",N($Z165)&gt;0,$AC165=0),MAX($AD$7:$AD164)+1,"")</f>
        <v/>
      </c>
      <c r="AE165" s="31">
        <f>IF($Y165="",0,$Y165)</f>
        <v/>
      </c>
    </row>
    <row r="166">
      <c r="W166" s="31">
        <f>IF(OR($B$5="",$C$6="",ROW()&lt;$B$5),"",IF(INDEX($A:$U,ROW(),$C$6)="","",INDEX($A:$U,ROW(),$C$6)))</f>
        <v/>
      </c>
      <c r="X166" s="32">
        <f>IF($W166="","",IF(ISNUMBER($W166),IF($W166&gt;=10000000,IFERROR(DATE(INT($W166/10000),MOD(INT($W166/100),100),MOD($W166,100)),""),INT($W166)),IFERROR(DATE(--LEFT(LEFT(SUBSTITUTE(SUBSTITUTE(SUBSTITUTE(SUBSTITUTE(TRIM($W166),"-",""),".",""),"/","")," ",""),8),4),--MID(LEFT(SUBSTITUTE(SUBSTITUTE(SUBSTITUTE(SUBSTITUTE(TRIM($W166),"-",""),".",""),"/","")," ",""),8),5,2),--MID(LEFT(SUBSTITUTE(SUBSTITUTE(SUBSTITUTE(SUBSTITUTE(TRIM($W166),"-",""),".",""),"/","")," ",""),8),7,2)),"")))</f>
        <v/>
      </c>
      <c r="Y166" s="32">
        <f>IF($X166="","",INT($X166))</f>
        <v/>
      </c>
      <c r="Z166" s="33">
        <f>IF(OR($Y166="",$D$6=""),"",IF(INDEX($A:$U,ROW(),$D$6)="",0,IF(ISNUMBER(INDEX($A:$U,ROW(),$D$6)),INDEX($A:$U,ROW(),$D$6),IFERROR(--SUBSTITUTE(SUBSTITUTE(TRIM(INDEX($A:$U,ROW(),$D$6)),",",""),"원",""),0))))</f>
        <v/>
      </c>
      <c r="AA166" s="31">
        <f>IF($Y166="","",TRIM(INDEX($A:$U,ROW(),$E$6)&amp;IF($F$6="",""," "&amp;INDEX($A:$U,ROW(),$F$6))))</f>
        <v/>
      </c>
      <c r="AB166" s="31">
        <f>IF($AA166="","",SUBSTITUTE(SUBSTITUTE(SUBSTITUTE(SUBSTITUTE(SUBSTITUTE(SUBSTITUTE(SUBSTITUTE(SUBSTITUTE(SUBSTITUTE($AA166," ",""),"　",""),"(주)",""),"（주）",""),"㈜",""),"주식회사",""),"(유)",""),"（유）",""),"유한회사",""))</f>
        <v/>
      </c>
      <c r="AC166" s="31">
        <f>IF(OR($Y166="",N($Z166)&lt;=0,$AB166=""),0,IFERROR(LOOKUP(2,1/((거래처별!$AC$8:$AC$307&lt;&gt;"")*ISNUMBER(SEARCH(거래처별!$AC$8:$AC$307,$AB166))),거래처별!$A$8:$A$307),IFERROR(LOOKUP(2,1/((거래처별!$AD$8:$AD$307&lt;&gt;"")*ISNUMBER(SEARCH(거래처별!$AD$8:$AD$307,$AB166))),거래처별!$A$8:$A$307),IFERROR(LOOKUP(2,1/((거래처별!$AE$8:$AE$307&lt;&gt;"")*ISNUMBER(SEARCH(거래처별!$AE$8:$AE$307,$AB166))),거래처별!$A$8:$A$307),0))))</f>
        <v/>
      </c>
      <c r="AD166" s="31">
        <f>IF(AND($Y166&lt;&gt;"",N($Z166)&gt;0,$AC166=0),MAX($AD$7:$AD165)+1,"")</f>
        <v/>
      </c>
      <c r="AE166" s="31">
        <f>IF($Y166="",0,$Y166)</f>
        <v/>
      </c>
    </row>
    <row r="167">
      <c r="W167" s="31">
        <f>IF(OR($B$5="",$C$6="",ROW()&lt;$B$5),"",IF(INDEX($A:$U,ROW(),$C$6)="","",INDEX($A:$U,ROW(),$C$6)))</f>
        <v/>
      </c>
      <c r="X167" s="32">
        <f>IF($W167="","",IF(ISNUMBER($W167),IF($W167&gt;=10000000,IFERROR(DATE(INT($W167/10000),MOD(INT($W167/100),100),MOD($W167,100)),""),INT($W167)),IFERROR(DATE(--LEFT(LEFT(SUBSTITUTE(SUBSTITUTE(SUBSTITUTE(SUBSTITUTE(TRIM($W167),"-",""),".",""),"/","")," ",""),8),4),--MID(LEFT(SUBSTITUTE(SUBSTITUTE(SUBSTITUTE(SUBSTITUTE(TRIM($W167),"-",""),".",""),"/","")," ",""),8),5,2),--MID(LEFT(SUBSTITUTE(SUBSTITUTE(SUBSTITUTE(SUBSTITUTE(TRIM($W167),"-",""),".",""),"/","")," ",""),8),7,2)),"")))</f>
        <v/>
      </c>
      <c r="Y167" s="32">
        <f>IF($X167="","",INT($X167))</f>
        <v/>
      </c>
      <c r="Z167" s="33">
        <f>IF(OR($Y167="",$D$6=""),"",IF(INDEX($A:$U,ROW(),$D$6)="",0,IF(ISNUMBER(INDEX($A:$U,ROW(),$D$6)),INDEX($A:$U,ROW(),$D$6),IFERROR(--SUBSTITUTE(SUBSTITUTE(TRIM(INDEX($A:$U,ROW(),$D$6)),",",""),"원",""),0))))</f>
        <v/>
      </c>
      <c r="AA167" s="31">
        <f>IF($Y167="","",TRIM(INDEX($A:$U,ROW(),$E$6)&amp;IF($F$6="",""," "&amp;INDEX($A:$U,ROW(),$F$6))))</f>
        <v/>
      </c>
      <c r="AB167" s="31">
        <f>IF($AA167="","",SUBSTITUTE(SUBSTITUTE(SUBSTITUTE(SUBSTITUTE(SUBSTITUTE(SUBSTITUTE(SUBSTITUTE(SUBSTITUTE(SUBSTITUTE($AA167," ",""),"　",""),"(주)",""),"（주）",""),"㈜",""),"주식회사",""),"(유)",""),"（유）",""),"유한회사",""))</f>
        <v/>
      </c>
      <c r="AC167" s="31">
        <f>IF(OR($Y167="",N($Z167)&lt;=0,$AB167=""),0,IFERROR(LOOKUP(2,1/((거래처별!$AC$8:$AC$307&lt;&gt;"")*ISNUMBER(SEARCH(거래처별!$AC$8:$AC$307,$AB167))),거래처별!$A$8:$A$307),IFERROR(LOOKUP(2,1/((거래처별!$AD$8:$AD$307&lt;&gt;"")*ISNUMBER(SEARCH(거래처별!$AD$8:$AD$307,$AB167))),거래처별!$A$8:$A$307),IFERROR(LOOKUP(2,1/((거래처별!$AE$8:$AE$307&lt;&gt;"")*ISNUMBER(SEARCH(거래처별!$AE$8:$AE$307,$AB167))),거래처별!$A$8:$A$307),0))))</f>
        <v/>
      </c>
      <c r="AD167" s="31">
        <f>IF(AND($Y167&lt;&gt;"",N($Z167)&gt;0,$AC167=0),MAX($AD$7:$AD166)+1,"")</f>
        <v/>
      </c>
      <c r="AE167" s="31">
        <f>IF($Y167="",0,$Y167)</f>
        <v/>
      </c>
    </row>
    <row r="168">
      <c r="W168" s="31">
        <f>IF(OR($B$5="",$C$6="",ROW()&lt;$B$5),"",IF(INDEX($A:$U,ROW(),$C$6)="","",INDEX($A:$U,ROW(),$C$6)))</f>
        <v/>
      </c>
      <c r="X168" s="32">
        <f>IF($W168="","",IF(ISNUMBER($W168),IF($W168&gt;=10000000,IFERROR(DATE(INT($W168/10000),MOD(INT($W168/100),100),MOD($W168,100)),""),INT($W168)),IFERROR(DATE(--LEFT(LEFT(SUBSTITUTE(SUBSTITUTE(SUBSTITUTE(SUBSTITUTE(TRIM($W168),"-",""),".",""),"/","")," ",""),8),4),--MID(LEFT(SUBSTITUTE(SUBSTITUTE(SUBSTITUTE(SUBSTITUTE(TRIM($W168),"-",""),".",""),"/","")," ",""),8),5,2),--MID(LEFT(SUBSTITUTE(SUBSTITUTE(SUBSTITUTE(SUBSTITUTE(TRIM($W168),"-",""),".",""),"/","")," ",""),8),7,2)),"")))</f>
        <v/>
      </c>
      <c r="Y168" s="32">
        <f>IF($X168="","",INT($X168))</f>
        <v/>
      </c>
      <c r="Z168" s="33">
        <f>IF(OR($Y168="",$D$6=""),"",IF(INDEX($A:$U,ROW(),$D$6)="",0,IF(ISNUMBER(INDEX($A:$U,ROW(),$D$6)),INDEX($A:$U,ROW(),$D$6),IFERROR(--SUBSTITUTE(SUBSTITUTE(TRIM(INDEX($A:$U,ROW(),$D$6)),",",""),"원",""),0))))</f>
        <v/>
      </c>
      <c r="AA168" s="31">
        <f>IF($Y168="","",TRIM(INDEX($A:$U,ROW(),$E$6)&amp;IF($F$6="",""," "&amp;INDEX($A:$U,ROW(),$F$6))))</f>
        <v/>
      </c>
      <c r="AB168" s="31">
        <f>IF($AA168="","",SUBSTITUTE(SUBSTITUTE(SUBSTITUTE(SUBSTITUTE(SUBSTITUTE(SUBSTITUTE(SUBSTITUTE(SUBSTITUTE(SUBSTITUTE($AA168," ",""),"　",""),"(주)",""),"（주）",""),"㈜",""),"주식회사",""),"(유)",""),"（유）",""),"유한회사",""))</f>
        <v/>
      </c>
      <c r="AC168" s="31">
        <f>IF(OR($Y168="",N($Z168)&lt;=0,$AB168=""),0,IFERROR(LOOKUP(2,1/((거래처별!$AC$8:$AC$307&lt;&gt;"")*ISNUMBER(SEARCH(거래처별!$AC$8:$AC$307,$AB168))),거래처별!$A$8:$A$307),IFERROR(LOOKUP(2,1/((거래처별!$AD$8:$AD$307&lt;&gt;"")*ISNUMBER(SEARCH(거래처별!$AD$8:$AD$307,$AB168))),거래처별!$A$8:$A$307),IFERROR(LOOKUP(2,1/((거래처별!$AE$8:$AE$307&lt;&gt;"")*ISNUMBER(SEARCH(거래처별!$AE$8:$AE$307,$AB168))),거래처별!$A$8:$A$307),0))))</f>
        <v/>
      </c>
      <c r="AD168" s="31">
        <f>IF(AND($Y168&lt;&gt;"",N($Z168)&gt;0,$AC168=0),MAX($AD$7:$AD167)+1,"")</f>
        <v/>
      </c>
      <c r="AE168" s="31">
        <f>IF($Y168="",0,$Y168)</f>
        <v/>
      </c>
    </row>
    <row r="169">
      <c r="W169" s="31">
        <f>IF(OR($B$5="",$C$6="",ROW()&lt;$B$5),"",IF(INDEX($A:$U,ROW(),$C$6)="","",INDEX($A:$U,ROW(),$C$6)))</f>
        <v/>
      </c>
      <c r="X169" s="32">
        <f>IF($W169="","",IF(ISNUMBER($W169),IF($W169&gt;=10000000,IFERROR(DATE(INT($W169/10000),MOD(INT($W169/100),100),MOD($W169,100)),""),INT($W169)),IFERROR(DATE(--LEFT(LEFT(SUBSTITUTE(SUBSTITUTE(SUBSTITUTE(SUBSTITUTE(TRIM($W169),"-",""),".",""),"/","")," ",""),8),4),--MID(LEFT(SUBSTITUTE(SUBSTITUTE(SUBSTITUTE(SUBSTITUTE(TRIM($W169),"-",""),".",""),"/","")," ",""),8),5,2),--MID(LEFT(SUBSTITUTE(SUBSTITUTE(SUBSTITUTE(SUBSTITUTE(TRIM($W169),"-",""),".",""),"/","")," ",""),8),7,2)),"")))</f>
        <v/>
      </c>
      <c r="Y169" s="32">
        <f>IF($X169="","",INT($X169))</f>
        <v/>
      </c>
      <c r="Z169" s="33">
        <f>IF(OR($Y169="",$D$6=""),"",IF(INDEX($A:$U,ROW(),$D$6)="",0,IF(ISNUMBER(INDEX($A:$U,ROW(),$D$6)),INDEX($A:$U,ROW(),$D$6),IFERROR(--SUBSTITUTE(SUBSTITUTE(TRIM(INDEX($A:$U,ROW(),$D$6)),",",""),"원",""),0))))</f>
        <v/>
      </c>
      <c r="AA169" s="31">
        <f>IF($Y169="","",TRIM(INDEX($A:$U,ROW(),$E$6)&amp;IF($F$6="",""," "&amp;INDEX($A:$U,ROW(),$F$6))))</f>
        <v/>
      </c>
      <c r="AB169" s="31">
        <f>IF($AA169="","",SUBSTITUTE(SUBSTITUTE(SUBSTITUTE(SUBSTITUTE(SUBSTITUTE(SUBSTITUTE(SUBSTITUTE(SUBSTITUTE(SUBSTITUTE($AA169," ",""),"　",""),"(주)",""),"（주）",""),"㈜",""),"주식회사",""),"(유)",""),"（유）",""),"유한회사",""))</f>
        <v/>
      </c>
      <c r="AC169" s="31">
        <f>IF(OR($Y169="",N($Z169)&lt;=0,$AB169=""),0,IFERROR(LOOKUP(2,1/((거래처별!$AC$8:$AC$307&lt;&gt;"")*ISNUMBER(SEARCH(거래처별!$AC$8:$AC$307,$AB169))),거래처별!$A$8:$A$307),IFERROR(LOOKUP(2,1/((거래처별!$AD$8:$AD$307&lt;&gt;"")*ISNUMBER(SEARCH(거래처별!$AD$8:$AD$307,$AB169))),거래처별!$A$8:$A$307),IFERROR(LOOKUP(2,1/((거래처별!$AE$8:$AE$307&lt;&gt;"")*ISNUMBER(SEARCH(거래처별!$AE$8:$AE$307,$AB169))),거래처별!$A$8:$A$307),0))))</f>
        <v/>
      </c>
      <c r="AD169" s="31">
        <f>IF(AND($Y169&lt;&gt;"",N($Z169)&gt;0,$AC169=0),MAX($AD$7:$AD168)+1,"")</f>
        <v/>
      </c>
      <c r="AE169" s="31">
        <f>IF($Y169="",0,$Y169)</f>
        <v/>
      </c>
    </row>
    <row r="170">
      <c r="W170" s="31">
        <f>IF(OR($B$5="",$C$6="",ROW()&lt;$B$5),"",IF(INDEX($A:$U,ROW(),$C$6)="","",INDEX($A:$U,ROW(),$C$6)))</f>
        <v/>
      </c>
      <c r="X170" s="32">
        <f>IF($W170="","",IF(ISNUMBER($W170),IF($W170&gt;=10000000,IFERROR(DATE(INT($W170/10000),MOD(INT($W170/100),100),MOD($W170,100)),""),INT($W170)),IFERROR(DATE(--LEFT(LEFT(SUBSTITUTE(SUBSTITUTE(SUBSTITUTE(SUBSTITUTE(TRIM($W170),"-",""),".",""),"/","")," ",""),8),4),--MID(LEFT(SUBSTITUTE(SUBSTITUTE(SUBSTITUTE(SUBSTITUTE(TRIM($W170),"-",""),".",""),"/","")," ",""),8),5,2),--MID(LEFT(SUBSTITUTE(SUBSTITUTE(SUBSTITUTE(SUBSTITUTE(TRIM($W170),"-",""),".",""),"/","")," ",""),8),7,2)),"")))</f>
        <v/>
      </c>
      <c r="Y170" s="32">
        <f>IF($X170="","",INT($X170))</f>
        <v/>
      </c>
      <c r="Z170" s="33">
        <f>IF(OR($Y170="",$D$6=""),"",IF(INDEX($A:$U,ROW(),$D$6)="",0,IF(ISNUMBER(INDEX($A:$U,ROW(),$D$6)),INDEX($A:$U,ROW(),$D$6),IFERROR(--SUBSTITUTE(SUBSTITUTE(TRIM(INDEX($A:$U,ROW(),$D$6)),",",""),"원",""),0))))</f>
        <v/>
      </c>
      <c r="AA170" s="31">
        <f>IF($Y170="","",TRIM(INDEX($A:$U,ROW(),$E$6)&amp;IF($F$6="",""," "&amp;INDEX($A:$U,ROW(),$F$6))))</f>
        <v/>
      </c>
      <c r="AB170" s="31">
        <f>IF($AA170="","",SUBSTITUTE(SUBSTITUTE(SUBSTITUTE(SUBSTITUTE(SUBSTITUTE(SUBSTITUTE(SUBSTITUTE(SUBSTITUTE(SUBSTITUTE($AA170," ",""),"　",""),"(주)",""),"（주）",""),"㈜",""),"주식회사",""),"(유)",""),"（유）",""),"유한회사",""))</f>
        <v/>
      </c>
      <c r="AC170" s="31">
        <f>IF(OR($Y170="",N($Z170)&lt;=0,$AB170=""),0,IFERROR(LOOKUP(2,1/((거래처별!$AC$8:$AC$307&lt;&gt;"")*ISNUMBER(SEARCH(거래처별!$AC$8:$AC$307,$AB170))),거래처별!$A$8:$A$307),IFERROR(LOOKUP(2,1/((거래처별!$AD$8:$AD$307&lt;&gt;"")*ISNUMBER(SEARCH(거래처별!$AD$8:$AD$307,$AB170))),거래처별!$A$8:$A$307),IFERROR(LOOKUP(2,1/((거래처별!$AE$8:$AE$307&lt;&gt;"")*ISNUMBER(SEARCH(거래처별!$AE$8:$AE$307,$AB170))),거래처별!$A$8:$A$307),0))))</f>
        <v/>
      </c>
      <c r="AD170" s="31">
        <f>IF(AND($Y170&lt;&gt;"",N($Z170)&gt;0,$AC170=0),MAX($AD$7:$AD169)+1,"")</f>
        <v/>
      </c>
      <c r="AE170" s="31">
        <f>IF($Y170="",0,$Y170)</f>
        <v/>
      </c>
    </row>
    <row r="171">
      <c r="W171" s="31">
        <f>IF(OR($B$5="",$C$6="",ROW()&lt;$B$5),"",IF(INDEX($A:$U,ROW(),$C$6)="","",INDEX($A:$U,ROW(),$C$6)))</f>
        <v/>
      </c>
      <c r="X171" s="32">
        <f>IF($W171="","",IF(ISNUMBER($W171),IF($W171&gt;=10000000,IFERROR(DATE(INT($W171/10000),MOD(INT($W171/100),100),MOD($W171,100)),""),INT($W171)),IFERROR(DATE(--LEFT(LEFT(SUBSTITUTE(SUBSTITUTE(SUBSTITUTE(SUBSTITUTE(TRIM($W171),"-",""),".",""),"/","")," ",""),8),4),--MID(LEFT(SUBSTITUTE(SUBSTITUTE(SUBSTITUTE(SUBSTITUTE(TRIM($W171),"-",""),".",""),"/","")," ",""),8),5,2),--MID(LEFT(SUBSTITUTE(SUBSTITUTE(SUBSTITUTE(SUBSTITUTE(TRIM($W171),"-",""),".",""),"/","")," ",""),8),7,2)),"")))</f>
        <v/>
      </c>
      <c r="Y171" s="32">
        <f>IF($X171="","",INT($X171))</f>
        <v/>
      </c>
      <c r="Z171" s="33">
        <f>IF(OR($Y171="",$D$6=""),"",IF(INDEX($A:$U,ROW(),$D$6)="",0,IF(ISNUMBER(INDEX($A:$U,ROW(),$D$6)),INDEX($A:$U,ROW(),$D$6),IFERROR(--SUBSTITUTE(SUBSTITUTE(TRIM(INDEX($A:$U,ROW(),$D$6)),",",""),"원",""),0))))</f>
        <v/>
      </c>
      <c r="AA171" s="31">
        <f>IF($Y171="","",TRIM(INDEX($A:$U,ROW(),$E$6)&amp;IF($F$6="",""," "&amp;INDEX($A:$U,ROW(),$F$6))))</f>
        <v/>
      </c>
      <c r="AB171" s="31">
        <f>IF($AA171="","",SUBSTITUTE(SUBSTITUTE(SUBSTITUTE(SUBSTITUTE(SUBSTITUTE(SUBSTITUTE(SUBSTITUTE(SUBSTITUTE(SUBSTITUTE($AA171," ",""),"　",""),"(주)",""),"（주）",""),"㈜",""),"주식회사",""),"(유)",""),"（유）",""),"유한회사",""))</f>
        <v/>
      </c>
      <c r="AC171" s="31">
        <f>IF(OR($Y171="",N($Z171)&lt;=0,$AB171=""),0,IFERROR(LOOKUP(2,1/((거래처별!$AC$8:$AC$307&lt;&gt;"")*ISNUMBER(SEARCH(거래처별!$AC$8:$AC$307,$AB171))),거래처별!$A$8:$A$307),IFERROR(LOOKUP(2,1/((거래처별!$AD$8:$AD$307&lt;&gt;"")*ISNUMBER(SEARCH(거래처별!$AD$8:$AD$307,$AB171))),거래처별!$A$8:$A$307),IFERROR(LOOKUP(2,1/((거래처별!$AE$8:$AE$307&lt;&gt;"")*ISNUMBER(SEARCH(거래처별!$AE$8:$AE$307,$AB171))),거래처별!$A$8:$A$307),0))))</f>
        <v/>
      </c>
      <c r="AD171" s="31">
        <f>IF(AND($Y171&lt;&gt;"",N($Z171)&gt;0,$AC171=0),MAX($AD$7:$AD170)+1,"")</f>
        <v/>
      </c>
      <c r="AE171" s="31">
        <f>IF($Y171="",0,$Y171)</f>
        <v/>
      </c>
    </row>
    <row r="172">
      <c r="W172" s="31">
        <f>IF(OR($B$5="",$C$6="",ROW()&lt;$B$5),"",IF(INDEX($A:$U,ROW(),$C$6)="","",INDEX($A:$U,ROW(),$C$6)))</f>
        <v/>
      </c>
      <c r="X172" s="32">
        <f>IF($W172="","",IF(ISNUMBER($W172),IF($W172&gt;=10000000,IFERROR(DATE(INT($W172/10000),MOD(INT($W172/100),100),MOD($W172,100)),""),INT($W172)),IFERROR(DATE(--LEFT(LEFT(SUBSTITUTE(SUBSTITUTE(SUBSTITUTE(SUBSTITUTE(TRIM($W172),"-",""),".",""),"/","")," ",""),8),4),--MID(LEFT(SUBSTITUTE(SUBSTITUTE(SUBSTITUTE(SUBSTITUTE(TRIM($W172),"-",""),".",""),"/","")," ",""),8),5,2),--MID(LEFT(SUBSTITUTE(SUBSTITUTE(SUBSTITUTE(SUBSTITUTE(TRIM($W172),"-",""),".",""),"/","")," ",""),8),7,2)),"")))</f>
        <v/>
      </c>
      <c r="Y172" s="32">
        <f>IF($X172="","",INT($X172))</f>
        <v/>
      </c>
      <c r="Z172" s="33">
        <f>IF(OR($Y172="",$D$6=""),"",IF(INDEX($A:$U,ROW(),$D$6)="",0,IF(ISNUMBER(INDEX($A:$U,ROW(),$D$6)),INDEX($A:$U,ROW(),$D$6),IFERROR(--SUBSTITUTE(SUBSTITUTE(TRIM(INDEX($A:$U,ROW(),$D$6)),",",""),"원",""),0))))</f>
        <v/>
      </c>
      <c r="AA172" s="31">
        <f>IF($Y172="","",TRIM(INDEX($A:$U,ROW(),$E$6)&amp;IF($F$6="",""," "&amp;INDEX($A:$U,ROW(),$F$6))))</f>
        <v/>
      </c>
      <c r="AB172" s="31">
        <f>IF($AA172="","",SUBSTITUTE(SUBSTITUTE(SUBSTITUTE(SUBSTITUTE(SUBSTITUTE(SUBSTITUTE(SUBSTITUTE(SUBSTITUTE(SUBSTITUTE($AA172," ",""),"　",""),"(주)",""),"（주）",""),"㈜",""),"주식회사",""),"(유)",""),"（유）",""),"유한회사",""))</f>
        <v/>
      </c>
      <c r="AC172" s="31">
        <f>IF(OR($Y172="",N($Z172)&lt;=0,$AB172=""),0,IFERROR(LOOKUP(2,1/((거래처별!$AC$8:$AC$307&lt;&gt;"")*ISNUMBER(SEARCH(거래처별!$AC$8:$AC$307,$AB172))),거래처별!$A$8:$A$307),IFERROR(LOOKUP(2,1/((거래처별!$AD$8:$AD$307&lt;&gt;"")*ISNUMBER(SEARCH(거래처별!$AD$8:$AD$307,$AB172))),거래처별!$A$8:$A$307),IFERROR(LOOKUP(2,1/((거래처별!$AE$8:$AE$307&lt;&gt;"")*ISNUMBER(SEARCH(거래처별!$AE$8:$AE$307,$AB172))),거래처별!$A$8:$A$307),0))))</f>
        <v/>
      </c>
      <c r="AD172" s="31">
        <f>IF(AND($Y172&lt;&gt;"",N($Z172)&gt;0,$AC172=0),MAX($AD$7:$AD171)+1,"")</f>
        <v/>
      </c>
      <c r="AE172" s="31">
        <f>IF($Y172="",0,$Y172)</f>
        <v/>
      </c>
    </row>
    <row r="173">
      <c r="W173" s="31">
        <f>IF(OR($B$5="",$C$6="",ROW()&lt;$B$5),"",IF(INDEX($A:$U,ROW(),$C$6)="","",INDEX($A:$U,ROW(),$C$6)))</f>
        <v/>
      </c>
      <c r="X173" s="32">
        <f>IF($W173="","",IF(ISNUMBER($W173),IF($W173&gt;=10000000,IFERROR(DATE(INT($W173/10000),MOD(INT($W173/100),100),MOD($W173,100)),""),INT($W173)),IFERROR(DATE(--LEFT(LEFT(SUBSTITUTE(SUBSTITUTE(SUBSTITUTE(SUBSTITUTE(TRIM($W173),"-",""),".",""),"/","")," ",""),8),4),--MID(LEFT(SUBSTITUTE(SUBSTITUTE(SUBSTITUTE(SUBSTITUTE(TRIM($W173),"-",""),".",""),"/","")," ",""),8),5,2),--MID(LEFT(SUBSTITUTE(SUBSTITUTE(SUBSTITUTE(SUBSTITUTE(TRIM($W173),"-",""),".",""),"/","")," ",""),8),7,2)),"")))</f>
        <v/>
      </c>
      <c r="Y173" s="32">
        <f>IF($X173="","",INT($X173))</f>
        <v/>
      </c>
      <c r="Z173" s="33">
        <f>IF(OR($Y173="",$D$6=""),"",IF(INDEX($A:$U,ROW(),$D$6)="",0,IF(ISNUMBER(INDEX($A:$U,ROW(),$D$6)),INDEX($A:$U,ROW(),$D$6),IFERROR(--SUBSTITUTE(SUBSTITUTE(TRIM(INDEX($A:$U,ROW(),$D$6)),",",""),"원",""),0))))</f>
        <v/>
      </c>
      <c r="AA173" s="31">
        <f>IF($Y173="","",TRIM(INDEX($A:$U,ROW(),$E$6)&amp;IF($F$6="",""," "&amp;INDEX($A:$U,ROW(),$F$6))))</f>
        <v/>
      </c>
      <c r="AB173" s="31">
        <f>IF($AA173="","",SUBSTITUTE(SUBSTITUTE(SUBSTITUTE(SUBSTITUTE(SUBSTITUTE(SUBSTITUTE(SUBSTITUTE(SUBSTITUTE(SUBSTITUTE($AA173," ",""),"　",""),"(주)",""),"（주）",""),"㈜",""),"주식회사",""),"(유)",""),"（유）",""),"유한회사",""))</f>
        <v/>
      </c>
      <c r="AC173" s="31">
        <f>IF(OR($Y173="",N($Z173)&lt;=0,$AB173=""),0,IFERROR(LOOKUP(2,1/((거래처별!$AC$8:$AC$307&lt;&gt;"")*ISNUMBER(SEARCH(거래처별!$AC$8:$AC$307,$AB173))),거래처별!$A$8:$A$307),IFERROR(LOOKUP(2,1/((거래처별!$AD$8:$AD$307&lt;&gt;"")*ISNUMBER(SEARCH(거래처별!$AD$8:$AD$307,$AB173))),거래처별!$A$8:$A$307),IFERROR(LOOKUP(2,1/((거래처별!$AE$8:$AE$307&lt;&gt;"")*ISNUMBER(SEARCH(거래처별!$AE$8:$AE$307,$AB173))),거래처별!$A$8:$A$307),0))))</f>
        <v/>
      </c>
      <c r="AD173" s="31">
        <f>IF(AND($Y173&lt;&gt;"",N($Z173)&gt;0,$AC173=0),MAX($AD$7:$AD172)+1,"")</f>
        <v/>
      </c>
      <c r="AE173" s="31">
        <f>IF($Y173="",0,$Y173)</f>
        <v/>
      </c>
    </row>
    <row r="174">
      <c r="W174" s="31">
        <f>IF(OR($B$5="",$C$6="",ROW()&lt;$B$5),"",IF(INDEX($A:$U,ROW(),$C$6)="","",INDEX($A:$U,ROW(),$C$6)))</f>
        <v/>
      </c>
      <c r="X174" s="32">
        <f>IF($W174="","",IF(ISNUMBER($W174),IF($W174&gt;=10000000,IFERROR(DATE(INT($W174/10000),MOD(INT($W174/100),100),MOD($W174,100)),""),INT($W174)),IFERROR(DATE(--LEFT(LEFT(SUBSTITUTE(SUBSTITUTE(SUBSTITUTE(SUBSTITUTE(TRIM($W174),"-",""),".",""),"/","")," ",""),8),4),--MID(LEFT(SUBSTITUTE(SUBSTITUTE(SUBSTITUTE(SUBSTITUTE(TRIM($W174),"-",""),".",""),"/","")," ",""),8),5,2),--MID(LEFT(SUBSTITUTE(SUBSTITUTE(SUBSTITUTE(SUBSTITUTE(TRIM($W174),"-",""),".",""),"/","")," ",""),8),7,2)),"")))</f>
        <v/>
      </c>
      <c r="Y174" s="32">
        <f>IF($X174="","",INT($X174))</f>
        <v/>
      </c>
      <c r="Z174" s="33">
        <f>IF(OR($Y174="",$D$6=""),"",IF(INDEX($A:$U,ROW(),$D$6)="",0,IF(ISNUMBER(INDEX($A:$U,ROW(),$D$6)),INDEX($A:$U,ROW(),$D$6),IFERROR(--SUBSTITUTE(SUBSTITUTE(TRIM(INDEX($A:$U,ROW(),$D$6)),",",""),"원",""),0))))</f>
        <v/>
      </c>
      <c r="AA174" s="31">
        <f>IF($Y174="","",TRIM(INDEX($A:$U,ROW(),$E$6)&amp;IF($F$6="",""," "&amp;INDEX($A:$U,ROW(),$F$6))))</f>
        <v/>
      </c>
      <c r="AB174" s="31">
        <f>IF($AA174="","",SUBSTITUTE(SUBSTITUTE(SUBSTITUTE(SUBSTITUTE(SUBSTITUTE(SUBSTITUTE(SUBSTITUTE(SUBSTITUTE(SUBSTITUTE($AA174," ",""),"　",""),"(주)",""),"（주）",""),"㈜",""),"주식회사",""),"(유)",""),"（유）",""),"유한회사",""))</f>
        <v/>
      </c>
      <c r="AC174" s="31">
        <f>IF(OR($Y174="",N($Z174)&lt;=0,$AB174=""),0,IFERROR(LOOKUP(2,1/((거래처별!$AC$8:$AC$307&lt;&gt;"")*ISNUMBER(SEARCH(거래처별!$AC$8:$AC$307,$AB174))),거래처별!$A$8:$A$307),IFERROR(LOOKUP(2,1/((거래처별!$AD$8:$AD$307&lt;&gt;"")*ISNUMBER(SEARCH(거래처별!$AD$8:$AD$307,$AB174))),거래처별!$A$8:$A$307),IFERROR(LOOKUP(2,1/((거래처별!$AE$8:$AE$307&lt;&gt;"")*ISNUMBER(SEARCH(거래처별!$AE$8:$AE$307,$AB174))),거래처별!$A$8:$A$307),0))))</f>
        <v/>
      </c>
      <c r="AD174" s="31">
        <f>IF(AND($Y174&lt;&gt;"",N($Z174)&gt;0,$AC174=0),MAX($AD$7:$AD173)+1,"")</f>
        <v/>
      </c>
      <c r="AE174" s="31">
        <f>IF($Y174="",0,$Y174)</f>
        <v/>
      </c>
    </row>
    <row r="175">
      <c r="W175" s="31">
        <f>IF(OR($B$5="",$C$6="",ROW()&lt;$B$5),"",IF(INDEX($A:$U,ROW(),$C$6)="","",INDEX($A:$U,ROW(),$C$6)))</f>
        <v/>
      </c>
      <c r="X175" s="32">
        <f>IF($W175="","",IF(ISNUMBER($W175),IF($W175&gt;=10000000,IFERROR(DATE(INT($W175/10000),MOD(INT($W175/100),100),MOD($W175,100)),""),INT($W175)),IFERROR(DATE(--LEFT(LEFT(SUBSTITUTE(SUBSTITUTE(SUBSTITUTE(SUBSTITUTE(TRIM($W175),"-",""),".",""),"/","")," ",""),8),4),--MID(LEFT(SUBSTITUTE(SUBSTITUTE(SUBSTITUTE(SUBSTITUTE(TRIM($W175),"-",""),".",""),"/","")," ",""),8),5,2),--MID(LEFT(SUBSTITUTE(SUBSTITUTE(SUBSTITUTE(SUBSTITUTE(TRIM($W175),"-",""),".",""),"/","")," ",""),8),7,2)),"")))</f>
        <v/>
      </c>
      <c r="Y175" s="32">
        <f>IF($X175="","",INT($X175))</f>
        <v/>
      </c>
      <c r="Z175" s="33">
        <f>IF(OR($Y175="",$D$6=""),"",IF(INDEX($A:$U,ROW(),$D$6)="",0,IF(ISNUMBER(INDEX($A:$U,ROW(),$D$6)),INDEX($A:$U,ROW(),$D$6),IFERROR(--SUBSTITUTE(SUBSTITUTE(TRIM(INDEX($A:$U,ROW(),$D$6)),",",""),"원",""),0))))</f>
        <v/>
      </c>
      <c r="AA175" s="31">
        <f>IF($Y175="","",TRIM(INDEX($A:$U,ROW(),$E$6)&amp;IF($F$6="",""," "&amp;INDEX($A:$U,ROW(),$F$6))))</f>
        <v/>
      </c>
      <c r="AB175" s="31">
        <f>IF($AA175="","",SUBSTITUTE(SUBSTITUTE(SUBSTITUTE(SUBSTITUTE(SUBSTITUTE(SUBSTITUTE(SUBSTITUTE(SUBSTITUTE(SUBSTITUTE($AA175," ",""),"　",""),"(주)",""),"（주）",""),"㈜",""),"주식회사",""),"(유)",""),"（유）",""),"유한회사",""))</f>
        <v/>
      </c>
      <c r="AC175" s="31">
        <f>IF(OR($Y175="",N($Z175)&lt;=0,$AB175=""),0,IFERROR(LOOKUP(2,1/((거래처별!$AC$8:$AC$307&lt;&gt;"")*ISNUMBER(SEARCH(거래처별!$AC$8:$AC$307,$AB175))),거래처별!$A$8:$A$307),IFERROR(LOOKUP(2,1/((거래처별!$AD$8:$AD$307&lt;&gt;"")*ISNUMBER(SEARCH(거래처별!$AD$8:$AD$307,$AB175))),거래처별!$A$8:$A$307),IFERROR(LOOKUP(2,1/((거래처별!$AE$8:$AE$307&lt;&gt;"")*ISNUMBER(SEARCH(거래처별!$AE$8:$AE$307,$AB175))),거래처별!$A$8:$A$307),0))))</f>
        <v/>
      </c>
      <c r="AD175" s="31">
        <f>IF(AND($Y175&lt;&gt;"",N($Z175)&gt;0,$AC175=0),MAX($AD$7:$AD174)+1,"")</f>
        <v/>
      </c>
      <c r="AE175" s="31">
        <f>IF($Y175="",0,$Y175)</f>
        <v/>
      </c>
    </row>
    <row r="176">
      <c r="W176" s="31">
        <f>IF(OR($B$5="",$C$6="",ROW()&lt;$B$5),"",IF(INDEX($A:$U,ROW(),$C$6)="","",INDEX($A:$U,ROW(),$C$6)))</f>
        <v/>
      </c>
      <c r="X176" s="32">
        <f>IF($W176="","",IF(ISNUMBER($W176),IF($W176&gt;=10000000,IFERROR(DATE(INT($W176/10000),MOD(INT($W176/100),100),MOD($W176,100)),""),INT($W176)),IFERROR(DATE(--LEFT(LEFT(SUBSTITUTE(SUBSTITUTE(SUBSTITUTE(SUBSTITUTE(TRIM($W176),"-",""),".",""),"/","")," ",""),8),4),--MID(LEFT(SUBSTITUTE(SUBSTITUTE(SUBSTITUTE(SUBSTITUTE(TRIM($W176),"-",""),".",""),"/","")," ",""),8),5,2),--MID(LEFT(SUBSTITUTE(SUBSTITUTE(SUBSTITUTE(SUBSTITUTE(TRIM($W176),"-",""),".",""),"/","")," ",""),8),7,2)),"")))</f>
        <v/>
      </c>
      <c r="Y176" s="32">
        <f>IF($X176="","",INT($X176))</f>
        <v/>
      </c>
      <c r="Z176" s="33">
        <f>IF(OR($Y176="",$D$6=""),"",IF(INDEX($A:$U,ROW(),$D$6)="",0,IF(ISNUMBER(INDEX($A:$U,ROW(),$D$6)),INDEX($A:$U,ROW(),$D$6),IFERROR(--SUBSTITUTE(SUBSTITUTE(TRIM(INDEX($A:$U,ROW(),$D$6)),",",""),"원",""),0))))</f>
        <v/>
      </c>
      <c r="AA176" s="31">
        <f>IF($Y176="","",TRIM(INDEX($A:$U,ROW(),$E$6)&amp;IF($F$6="",""," "&amp;INDEX($A:$U,ROW(),$F$6))))</f>
        <v/>
      </c>
      <c r="AB176" s="31">
        <f>IF($AA176="","",SUBSTITUTE(SUBSTITUTE(SUBSTITUTE(SUBSTITUTE(SUBSTITUTE(SUBSTITUTE(SUBSTITUTE(SUBSTITUTE(SUBSTITUTE($AA176," ",""),"　",""),"(주)",""),"（주）",""),"㈜",""),"주식회사",""),"(유)",""),"（유）",""),"유한회사",""))</f>
        <v/>
      </c>
      <c r="AC176" s="31">
        <f>IF(OR($Y176="",N($Z176)&lt;=0,$AB176=""),0,IFERROR(LOOKUP(2,1/((거래처별!$AC$8:$AC$307&lt;&gt;"")*ISNUMBER(SEARCH(거래처별!$AC$8:$AC$307,$AB176))),거래처별!$A$8:$A$307),IFERROR(LOOKUP(2,1/((거래처별!$AD$8:$AD$307&lt;&gt;"")*ISNUMBER(SEARCH(거래처별!$AD$8:$AD$307,$AB176))),거래처별!$A$8:$A$307),IFERROR(LOOKUP(2,1/((거래처별!$AE$8:$AE$307&lt;&gt;"")*ISNUMBER(SEARCH(거래처별!$AE$8:$AE$307,$AB176))),거래처별!$A$8:$A$307),0))))</f>
        <v/>
      </c>
      <c r="AD176" s="31">
        <f>IF(AND($Y176&lt;&gt;"",N($Z176)&gt;0,$AC176=0),MAX($AD$7:$AD175)+1,"")</f>
        <v/>
      </c>
      <c r="AE176" s="31">
        <f>IF($Y176="",0,$Y176)</f>
        <v/>
      </c>
    </row>
    <row r="177">
      <c r="W177" s="31">
        <f>IF(OR($B$5="",$C$6="",ROW()&lt;$B$5),"",IF(INDEX($A:$U,ROW(),$C$6)="","",INDEX($A:$U,ROW(),$C$6)))</f>
        <v/>
      </c>
      <c r="X177" s="32">
        <f>IF($W177="","",IF(ISNUMBER($W177),IF($W177&gt;=10000000,IFERROR(DATE(INT($W177/10000),MOD(INT($W177/100),100),MOD($W177,100)),""),INT($W177)),IFERROR(DATE(--LEFT(LEFT(SUBSTITUTE(SUBSTITUTE(SUBSTITUTE(SUBSTITUTE(TRIM($W177),"-",""),".",""),"/","")," ",""),8),4),--MID(LEFT(SUBSTITUTE(SUBSTITUTE(SUBSTITUTE(SUBSTITUTE(TRIM($W177),"-",""),".",""),"/","")," ",""),8),5,2),--MID(LEFT(SUBSTITUTE(SUBSTITUTE(SUBSTITUTE(SUBSTITUTE(TRIM($W177),"-",""),".",""),"/","")," ",""),8),7,2)),"")))</f>
        <v/>
      </c>
      <c r="Y177" s="32">
        <f>IF($X177="","",INT($X177))</f>
        <v/>
      </c>
      <c r="Z177" s="33">
        <f>IF(OR($Y177="",$D$6=""),"",IF(INDEX($A:$U,ROW(),$D$6)="",0,IF(ISNUMBER(INDEX($A:$U,ROW(),$D$6)),INDEX($A:$U,ROW(),$D$6),IFERROR(--SUBSTITUTE(SUBSTITUTE(TRIM(INDEX($A:$U,ROW(),$D$6)),",",""),"원",""),0))))</f>
        <v/>
      </c>
      <c r="AA177" s="31">
        <f>IF($Y177="","",TRIM(INDEX($A:$U,ROW(),$E$6)&amp;IF($F$6="",""," "&amp;INDEX($A:$U,ROW(),$F$6))))</f>
        <v/>
      </c>
      <c r="AB177" s="31">
        <f>IF($AA177="","",SUBSTITUTE(SUBSTITUTE(SUBSTITUTE(SUBSTITUTE(SUBSTITUTE(SUBSTITUTE(SUBSTITUTE(SUBSTITUTE(SUBSTITUTE($AA177," ",""),"　",""),"(주)",""),"（주）",""),"㈜",""),"주식회사",""),"(유)",""),"（유）",""),"유한회사",""))</f>
        <v/>
      </c>
      <c r="AC177" s="31">
        <f>IF(OR($Y177="",N($Z177)&lt;=0,$AB177=""),0,IFERROR(LOOKUP(2,1/((거래처별!$AC$8:$AC$307&lt;&gt;"")*ISNUMBER(SEARCH(거래처별!$AC$8:$AC$307,$AB177))),거래처별!$A$8:$A$307),IFERROR(LOOKUP(2,1/((거래처별!$AD$8:$AD$307&lt;&gt;"")*ISNUMBER(SEARCH(거래처별!$AD$8:$AD$307,$AB177))),거래처별!$A$8:$A$307),IFERROR(LOOKUP(2,1/((거래처별!$AE$8:$AE$307&lt;&gt;"")*ISNUMBER(SEARCH(거래처별!$AE$8:$AE$307,$AB177))),거래처별!$A$8:$A$307),0))))</f>
        <v/>
      </c>
      <c r="AD177" s="31">
        <f>IF(AND($Y177&lt;&gt;"",N($Z177)&gt;0,$AC177=0),MAX($AD$7:$AD176)+1,"")</f>
        <v/>
      </c>
      <c r="AE177" s="31">
        <f>IF($Y177="",0,$Y177)</f>
        <v/>
      </c>
    </row>
    <row r="178">
      <c r="W178" s="31">
        <f>IF(OR($B$5="",$C$6="",ROW()&lt;$B$5),"",IF(INDEX($A:$U,ROW(),$C$6)="","",INDEX($A:$U,ROW(),$C$6)))</f>
        <v/>
      </c>
      <c r="X178" s="32">
        <f>IF($W178="","",IF(ISNUMBER($W178),IF($W178&gt;=10000000,IFERROR(DATE(INT($W178/10000),MOD(INT($W178/100),100),MOD($W178,100)),""),INT($W178)),IFERROR(DATE(--LEFT(LEFT(SUBSTITUTE(SUBSTITUTE(SUBSTITUTE(SUBSTITUTE(TRIM($W178),"-",""),".",""),"/","")," ",""),8),4),--MID(LEFT(SUBSTITUTE(SUBSTITUTE(SUBSTITUTE(SUBSTITUTE(TRIM($W178),"-",""),".",""),"/","")," ",""),8),5,2),--MID(LEFT(SUBSTITUTE(SUBSTITUTE(SUBSTITUTE(SUBSTITUTE(TRIM($W178),"-",""),".",""),"/","")," ",""),8),7,2)),"")))</f>
        <v/>
      </c>
      <c r="Y178" s="32">
        <f>IF($X178="","",INT($X178))</f>
        <v/>
      </c>
      <c r="Z178" s="33">
        <f>IF(OR($Y178="",$D$6=""),"",IF(INDEX($A:$U,ROW(),$D$6)="",0,IF(ISNUMBER(INDEX($A:$U,ROW(),$D$6)),INDEX($A:$U,ROW(),$D$6),IFERROR(--SUBSTITUTE(SUBSTITUTE(TRIM(INDEX($A:$U,ROW(),$D$6)),",",""),"원",""),0))))</f>
        <v/>
      </c>
      <c r="AA178" s="31">
        <f>IF($Y178="","",TRIM(INDEX($A:$U,ROW(),$E$6)&amp;IF($F$6="",""," "&amp;INDEX($A:$U,ROW(),$F$6))))</f>
        <v/>
      </c>
      <c r="AB178" s="31">
        <f>IF($AA178="","",SUBSTITUTE(SUBSTITUTE(SUBSTITUTE(SUBSTITUTE(SUBSTITUTE(SUBSTITUTE(SUBSTITUTE(SUBSTITUTE(SUBSTITUTE($AA178," ",""),"　",""),"(주)",""),"（주）",""),"㈜",""),"주식회사",""),"(유)",""),"（유）",""),"유한회사",""))</f>
        <v/>
      </c>
      <c r="AC178" s="31">
        <f>IF(OR($Y178="",N($Z178)&lt;=0,$AB178=""),0,IFERROR(LOOKUP(2,1/((거래처별!$AC$8:$AC$307&lt;&gt;"")*ISNUMBER(SEARCH(거래처별!$AC$8:$AC$307,$AB178))),거래처별!$A$8:$A$307),IFERROR(LOOKUP(2,1/((거래처별!$AD$8:$AD$307&lt;&gt;"")*ISNUMBER(SEARCH(거래처별!$AD$8:$AD$307,$AB178))),거래처별!$A$8:$A$307),IFERROR(LOOKUP(2,1/((거래처별!$AE$8:$AE$307&lt;&gt;"")*ISNUMBER(SEARCH(거래처별!$AE$8:$AE$307,$AB178))),거래처별!$A$8:$A$307),0))))</f>
        <v/>
      </c>
      <c r="AD178" s="31">
        <f>IF(AND($Y178&lt;&gt;"",N($Z178)&gt;0,$AC178=0),MAX($AD$7:$AD177)+1,"")</f>
        <v/>
      </c>
      <c r="AE178" s="31">
        <f>IF($Y178="",0,$Y178)</f>
        <v/>
      </c>
    </row>
    <row r="179">
      <c r="W179" s="31">
        <f>IF(OR($B$5="",$C$6="",ROW()&lt;$B$5),"",IF(INDEX($A:$U,ROW(),$C$6)="","",INDEX($A:$U,ROW(),$C$6)))</f>
        <v/>
      </c>
      <c r="X179" s="32">
        <f>IF($W179="","",IF(ISNUMBER($W179),IF($W179&gt;=10000000,IFERROR(DATE(INT($W179/10000),MOD(INT($W179/100),100),MOD($W179,100)),""),INT($W179)),IFERROR(DATE(--LEFT(LEFT(SUBSTITUTE(SUBSTITUTE(SUBSTITUTE(SUBSTITUTE(TRIM($W179),"-",""),".",""),"/","")," ",""),8),4),--MID(LEFT(SUBSTITUTE(SUBSTITUTE(SUBSTITUTE(SUBSTITUTE(TRIM($W179),"-",""),".",""),"/","")," ",""),8),5,2),--MID(LEFT(SUBSTITUTE(SUBSTITUTE(SUBSTITUTE(SUBSTITUTE(TRIM($W179),"-",""),".",""),"/","")," ",""),8),7,2)),"")))</f>
        <v/>
      </c>
      <c r="Y179" s="32">
        <f>IF($X179="","",INT($X179))</f>
        <v/>
      </c>
      <c r="Z179" s="33">
        <f>IF(OR($Y179="",$D$6=""),"",IF(INDEX($A:$U,ROW(),$D$6)="",0,IF(ISNUMBER(INDEX($A:$U,ROW(),$D$6)),INDEX($A:$U,ROW(),$D$6),IFERROR(--SUBSTITUTE(SUBSTITUTE(TRIM(INDEX($A:$U,ROW(),$D$6)),",",""),"원",""),0))))</f>
        <v/>
      </c>
      <c r="AA179" s="31">
        <f>IF($Y179="","",TRIM(INDEX($A:$U,ROW(),$E$6)&amp;IF($F$6="",""," "&amp;INDEX($A:$U,ROW(),$F$6))))</f>
        <v/>
      </c>
      <c r="AB179" s="31">
        <f>IF($AA179="","",SUBSTITUTE(SUBSTITUTE(SUBSTITUTE(SUBSTITUTE(SUBSTITUTE(SUBSTITUTE(SUBSTITUTE(SUBSTITUTE(SUBSTITUTE($AA179," ",""),"　",""),"(주)",""),"（주）",""),"㈜",""),"주식회사",""),"(유)",""),"（유）",""),"유한회사",""))</f>
        <v/>
      </c>
      <c r="AC179" s="31">
        <f>IF(OR($Y179="",N($Z179)&lt;=0,$AB179=""),0,IFERROR(LOOKUP(2,1/((거래처별!$AC$8:$AC$307&lt;&gt;"")*ISNUMBER(SEARCH(거래처별!$AC$8:$AC$307,$AB179))),거래처별!$A$8:$A$307),IFERROR(LOOKUP(2,1/((거래처별!$AD$8:$AD$307&lt;&gt;"")*ISNUMBER(SEARCH(거래처별!$AD$8:$AD$307,$AB179))),거래처별!$A$8:$A$307),IFERROR(LOOKUP(2,1/((거래처별!$AE$8:$AE$307&lt;&gt;"")*ISNUMBER(SEARCH(거래처별!$AE$8:$AE$307,$AB179))),거래처별!$A$8:$A$307),0))))</f>
        <v/>
      </c>
      <c r="AD179" s="31">
        <f>IF(AND($Y179&lt;&gt;"",N($Z179)&gt;0,$AC179=0),MAX($AD$7:$AD178)+1,"")</f>
        <v/>
      </c>
      <c r="AE179" s="31">
        <f>IF($Y179="",0,$Y179)</f>
        <v/>
      </c>
    </row>
    <row r="180">
      <c r="W180" s="31">
        <f>IF(OR($B$5="",$C$6="",ROW()&lt;$B$5),"",IF(INDEX($A:$U,ROW(),$C$6)="","",INDEX($A:$U,ROW(),$C$6)))</f>
        <v/>
      </c>
      <c r="X180" s="32">
        <f>IF($W180="","",IF(ISNUMBER($W180),IF($W180&gt;=10000000,IFERROR(DATE(INT($W180/10000),MOD(INT($W180/100),100),MOD($W180,100)),""),INT($W180)),IFERROR(DATE(--LEFT(LEFT(SUBSTITUTE(SUBSTITUTE(SUBSTITUTE(SUBSTITUTE(TRIM($W180),"-",""),".",""),"/","")," ",""),8),4),--MID(LEFT(SUBSTITUTE(SUBSTITUTE(SUBSTITUTE(SUBSTITUTE(TRIM($W180),"-",""),".",""),"/","")," ",""),8),5,2),--MID(LEFT(SUBSTITUTE(SUBSTITUTE(SUBSTITUTE(SUBSTITUTE(TRIM($W180),"-",""),".",""),"/","")," ",""),8),7,2)),"")))</f>
        <v/>
      </c>
      <c r="Y180" s="32">
        <f>IF($X180="","",INT($X180))</f>
        <v/>
      </c>
      <c r="Z180" s="33">
        <f>IF(OR($Y180="",$D$6=""),"",IF(INDEX($A:$U,ROW(),$D$6)="",0,IF(ISNUMBER(INDEX($A:$U,ROW(),$D$6)),INDEX($A:$U,ROW(),$D$6),IFERROR(--SUBSTITUTE(SUBSTITUTE(TRIM(INDEX($A:$U,ROW(),$D$6)),",",""),"원",""),0))))</f>
        <v/>
      </c>
      <c r="AA180" s="31">
        <f>IF($Y180="","",TRIM(INDEX($A:$U,ROW(),$E$6)&amp;IF($F$6="",""," "&amp;INDEX($A:$U,ROW(),$F$6))))</f>
        <v/>
      </c>
      <c r="AB180" s="31">
        <f>IF($AA180="","",SUBSTITUTE(SUBSTITUTE(SUBSTITUTE(SUBSTITUTE(SUBSTITUTE(SUBSTITUTE(SUBSTITUTE(SUBSTITUTE(SUBSTITUTE($AA180," ",""),"　",""),"(주)",""),"（주）",""),"㈜",""),"주식회사",""),"(유)",""),"（유）",""),"유한회사",""))</f>
        <v/>
      </c>
      <c r="AC180" s="31">
        <f>IF(OR($Y180="",N($Z180)&lt;=0,$AB180=""),0,IFERROR(LOOKUP(2,1/((거래처별!$AC$8:$AC$307&lt;&gt;"")*ISNUMBER(SEARCH(거래처별!$AC$8:$AC$307,$AB180))),거래처별!$A$8:$A$307),IFERROR(LOOKUP(2,1/((거래처별!$AD$8:$AD$307&lt;&gt;"")*ISNUMBER(SEARCH(거래처별!$AD$8:$AD$307,$AB180))),거래처별!$A$8:$A$307),IFERROR(LOOKUP(2,1/((거래처별!$AE$8:$AE$307&lt;&gt;"")*ISNUMBER(SEARCH(거래처별!$AE$8:$AE$307,$AB180))),거래처별!$A$8:$A$307),0))))</f>
        <v/>
      </c>
      <c r="AD180" s="31">
        <f>IF(AND($Y180&lt;&gt;"",N($Z180)&gt;0,$AC180=0),MAX($AD$7:$AD179)+1,"")</f>
        <v/>
      </c>
      <c r="AE180" s="31">
        <f>IF($Y180="",0,$Y180)</f>
        <v/>
      </c>
    </row>
    <row r="181">
      <c r="W181" s="31">
        <f>IF(OR($B$5="",$C$6="",ROW()&lt;$B$5),"",IF(INDEX($A:$U,ROW(),$C$6)="","",INDEX($A:$U,ROW(),$C$6)))</f>
        <v/>
      </c>
      <c r="X181" s="32">
        <f>IF($W181="","",IF(ISNUMBER($W181),IF($W181&gt;=10000000,IFERROR(DATE(INT($W181/10000),MOD(INT($W181/100),100),MOD($W181,100)),""),INT($W181)),IFERROR(DATE(--LEFT(LEFT(SUBSTITUTE(SUBSTITUTE(SUBSTITUTE(SUBSTITUTE(TRIM($W181),"-",""),".",""),"/","")," ",""),8),4),--MID(LEFT(SUBSTITUTE(SUBSTITUTE(SUBSTITUTE(SUBSTITUTE(TRIM($W181),"-",""),".",""),"/","")," ",""),8),5,2),--MID(LEFT(SUBSTITUTE(SUBSTITUTE(SUBSTITUTE(SUBSTITUTE(TRIM($W181),"-",""),".",""),"/","")," ",""),8),7,2)),"")))</f>
        <v/>
      </c>
      <c r="Y181" s="32">
        <f>IF($X181="","",INT($X181))</f>
        <v/>
      </c>
      <c r="Z181" s="33">
        <f>IF(OR($Y181="",$D$6=""),"",IF(INDEX($A:$U,ROW(),$D$6)="",0,IF(ISNUMBER(INDEX($A:$U,ROW(),$D$6)),INDEX($A:$U,ROW(),$D$6),IFERROR(--SUBSTITUTE(SUBSTITUTE(TRIM(INDEX($A:$U,ROW(),$D$6)),",",""),"원",""),0))))</f>
        <v/>
      </c>
      <c r="AA181" s="31">
        <f>IF($Y181="","",TRIM(INDEX($A:$U,ROW(),$E$6)&amp;IF($F$6="",""," "&amp;INDEX($A:$U,ROW(),$F$6))))</f>
        <v/>
      </c>
      <c r="AB181" s="31">
        <f>IF($AA181="","",SUBSTITUTE(SUBSTITUTE(SUBSTITUTE(SUBSTITUTE(SUBSTITUTE(SUBSTITUTE(SUBSTITUTE(SUBSTITUTE(SUBSTITUTE($AA181," ",""),"　",""),"(주)",""),"（주）",""),"㈜",""),"주식회사",""),"(유)",""),"（유）",""),"유한회사",""))</f>
        <v/>
      </c>
      <c r="AC181" s="31">
        <f>IF(OR($Y181="",N($Z181)&lt;=0,$AB181=""),0,IFERROR(LOOKUP(2,1/((거래처별!$AC$8:$AC$307&lt;&gt;"")*ISNUMBER(SEARCH(거래처별!$AC$8:$AC$307,$AB181))),거래처별!$A$8:$A$307),IFERROR(LOOKUP(2,1/((거래처별!$AD$8:$AD$307&lt;&gt;"")*ISNUMBER(SEARCH(거래처별!$AD$8:$AD$307,$AB181))),거래처별!$A$8:$A$307),IFERROR(LOOKUP(2,1/((거래처별!$AE$8:$AE$307&lt;&gt;"")*ISNUMBER(SEARCH(거래처별!$AE$8:$AE$307,$AB181))),거래처별!$A$8:$A$307),0))))</f>
        <v/>
      </c>
      <c r="AD181" s="31">
        <f>IF(AND($Y181&lt;&gt;"",N($Z181)&gt;0,$AC181=0),MAX($AD$7:$AD180)+1,"")</f>
        <v/>
      </c>
      <c r="AE181" s="31">
        <f>IF($Y181="",0,$Y181)</f>
        <v/>
      </c>
    </row>
    <row r="182">
      <c r="W182" s="31">
        <f>IF(OR($B$5="",$C$6="",ROW()&lt;$B$5),"",IF(INDEX($A:$U,ROW(),$C$6)="","",INDEX($A:$U,ROW(),$C$6)))</f>
        <v/>
      </c>
      <c r="X182" s="32">
        <f>IF($W182="","",IF(ISNUMBER($W182),IF($W182&gt;=10000000,IFERROR(DATE(INT($W182/10000),MOD(INT($W182/100),100),MOD($W182,100)),""),INT($W182)),IFERROR(DATE(--LEFT(LEFT(SUBSTITUTE(SUBSTITUTE(SUBSTITUTE(SUBSTITUTE(TRIM($W182),"-",""),".",""),"/","")," ",""),8),4),--MID(LEFT(SUBSTITUTE(SUBSTITUTE(SUBSTITUTE(SUBSTITUTE(TRIM($W182),"-",""),".",""),"/","")," ",""),8),5,2),--MID(LEFT(SUBSTITUTE(SUBSTITUTE(SUBSTITUTE(SUBSTITUTE(TRIM($W182),"-",""),".",""),"/","")," ",""),8),7,2)),"")))</f>
        <v/>
      </c>
      <c r="Y182" s="32">
        <f>IF($X182="","",INT($X182))</f>
        <v/>
      </c>
      <c r="Z182" s="33">
        <f>IF(OR($Y182="",$D$6=""),"",IF(INDEX($A:$U,ROW(),$D$6)="",0,IF(ISNUMBER(INDEX($A:$U,ROW(),$D$6)),INDEX($A:$U,ROW(),$D$6),IFERROR(--SUBSTITUTE(SUBSTITUTE(TRIM(INDEX($A:$U,ROW(),$D$6)),",",""),"원",""),0))))</f>
        <v/>
      </c>
      <c r="AA182" s="31">
        <f>IF($Y182="","",TRIM(INDEX($A:$U,ROW(),$E$6)&amp;IF($F$6="",""," "&amp;INDEX($A:$U,ROW(),$F$6))))</f>
        <v/>
      </c>
      <c r="AB182" s="31">
        <f>IF($AA182="","",SUBSTITUTE(SUBSTITUTE(SUBSTITUTE(SUBSTITUTE(SUBSTITUTE(SUBSTITUTE(SUBSTITUTE(SUBSTITUTE(SUBSTITUTE($AA182," ",""),"　",""),"(주)",""),"（주）",""),"㈜",""),"주식회사",""),"(유)",""),"（유）",""),"유한회사",""))</f>
        <v/>
      </c>
      <c r="AC182" s="31">
        <f>IF(OR($Y182="",N($Z182)&lt;=0,$AB182=""),0,IFERROR(LOOKUP(2,1/((거래처별!$AC$8:$AC$307&lt;&gt;"")*ISNUMBER(SEARCH(거래처별!$AC$8:$AC$307,$AB182))),거래처별!$A$8:$A$307),IFERROR(LOOKUP(2,1/((거래처별!$AD$8:$AD$307&lt;&gt;"")*ISNUMBER(SEARCH(거래처별!$AD$8:$AD$307,$AB182))),거래처별!$A$8:$A$307),IFERROR(LOOKUP(2,1/((거래처별!$AE$8:$AE$307&lt;&gt;"")*ISNUMBER(SEARCH(거래처별!$AE$8:$AE$307,$AB182))),거래처별!$A$8:$A$307),0))))</f>
        <v/>
      </c>
      <c r="AD182" s="31">
        <f>IF(AND($Y182&lt;&gt;"",N($Z182)&gt;0,$AC182=0),MAX($AD$7:$AD181)+1,"")</f>
        <v/>
      </c>
      <c r="AE182" s="31">
        <f>IF($Y182="",0,$Y182)</f>
        <v/>
      </c>
    </row>
    <row r="183">
      <c r="W183" s="31">
        <f>IF(OR($B$5="",$C$6="",ROW()&lt;$B$5),"",IF(INDEX($A:$U,ROW(),$C$6)="","",INDEX($A:$U,ROW(),$C$6)))</f>
        <v/>
      </c>
      <c r="X183" s="32">
        <f>IF($W183="","",IF(ISNUMBER($W183),IF($W183&gt;=10000000,IFERROR(DATE(INT($W183/10000),MOD(INT($W183/100),100),MOD($W183,100)),""),INT($W183)),IFERROR(DATE(--LEFT(LEFT(SUBSTITUTE(SUBSTITUTE(SUBSTITUTE(SUBSTITUTE(TRIM($W183),"-",""),".",""),"/","")," ",""),8),4),--MID(LEFT(SUBSTITUTE(SUBSTITUTE(SUBSTITUTE(SUBSTITUTE(TRIM($W183),"-",""),".",""),"/","")," ",""),8),5,2),--MID(LEFT(SUBSTITUTE(SUBSTITUTE(SUBSTITUTE(SUBSTITUTE(TRIM($W183),"-",""),".",""),"/","")," ",""),8),7,2)),"")))</f>
        <v/>
      </c>
      <c r="Y183" s="32">
        <f>IF($X183="","",INT($X183))</f>
        <v/>
      </c>
      <c r="Z183" s="33">
        <f>IF(OR($Y183="",$D$6=""),"",IF(INDEX($A:$U,ROW(),$D$6)="",0,IF(ISNUMBER(INDEX($A:$U,ROW(),$D$6)),INDEX($A:$U,ROW(),$D$6),IFERROR(--SUBSTITUTE(SUBSTITUTE(TRIM(INDEX($A:$U,ROW(),$D$6)),",",""),"원",""),0))))</f>
        <v/>
      </c>
      <c r="AA183" s="31">
        <f>IF($Y183="","",TRIM(INDEX($A:$U,ROW(),$E$6)&amp;IF($F$6="",""," "&amp;INDEX($A:$U,ROW(),$F$6))))</f>
        <v/>
      </c>
      <c r="AB183" s="31">
        <f>IF($AA183="","",SUBSTITUTE(SUBSTITUTE(SUBSTITUTE(SUBSTITUTE(SUBSTITUTE(SUBSTITUTE(SUBSTITUTE(SUBSTITUTE(SUBSTITUTE($AA183," ",""),"　",""),"(주)",""),"（주）",""),"㈜",""),"주식회사",""),"(유)",""),"（유）",""),"유한회사",""))</f>
        <v/>
      </c>
      <c r="AC183" s="31">
        <f>IF(OR($Y183="",N($Z183)&lt;=0,$AB183=""),0,IFERROR(LOOKUP(2,1/((거래처별!$AC$8:$AC$307&lt;&gt;"")*ISNUMBER(SEARCH(거래처별!$AC$8:$AC$307,$AB183))),거래처별!$A$8:$A$307),IFERROR(LOOKUP(2,1/((거래처별!$AD$8:$AD$307&lt;&gt;"")*ISNUMBER(SEARCH(거래처별!$AD$8:$AD$307,$AB183))),거래처별!$A$8:$A$307),IFERROR(LOOKUP(2,1/((거래처별!$AE$8:$AE$307&lt;&gt;"")*ISNUMBER(SEARCH(거래처별!$AE$8:$AE$307,$AB183))),거래처별!$A$8:$A$307),0))))</f>
        <v/>
      </c>
      <c r="AD183" s="31">
        <f>IF(AND($Y183&lt;&gt;"",N($Z183)&gt;0,$AC183=0),MAX($AD$7:$AD182)+1,"")</f>
        <v/>
      </c>
      <c r="AE183" s="31">
        <f>IF($Y183="",0,$Y183)</f>
        <v/>
      </c>
    </row>
    <row r="184">
      <c r="W184" s="31">
        <f>IF(OR($B$5="",$C$6="",ROW()&lt;$B$5),"",IF(INDEX($A:$U,ROW(),$C$6)="","",INDEX($A:$U,ROW(),$C$6)))</f>
        <v/>
      </c>
      <c r="X184" s="32">
        <f>IF($W184="","",IF(ISNUMBER($W184),IF($W184&gt;=10000000,IFERROR(DATE(INT($W184/10000),MOD(INT($W184/100),100),MOD($W184,100)),""),INT($W184)),IFERROR(DATE(--LEFT(LEFT(SUBSTITUTE(SUBSTITUTE(SUBSTITUTE(SUBSTITUTE(TRIM($W184),"-",""),".",""),"/","")," ",""),8),4),--MID(LEFT(SUBSTITUTE(SUBSTITUTE(SUBSTITUTE(SUBSTITUTE(TRIM($W184),"-",""),".",""),"/","")," ",""),8),5,2),--MID(LEFT(SUBSTITUTE(SUBSTITUTE(SUBSTITUTE(SUBSTITUTE(TRIM($W184),"-",""),".",""),"/","")," ",""),8),7,2)),"")))</f>
        <v/>
      </c>
      <c r="Y184" s="32">
        <f>IF($X184="","",INT($X184))</f>
        <v/>
      </c>
      <c r="Z184" s="33">
        <f>IF(OR($Y184="",$D$6=""),"",IF(INDEX($A:$U,ROW(),$D$6)="",0,IF(ISNUMBER(INDEX($A:$U,ROW(),$D$6)),INDEX($A:$U,ROW(),$D$6),IFERROR(--SUBSTITUTE(SUBSTITUTE(TRIM(INDEX($A:$U,ROW(),$D$6)),",",""),"원",""),0))))</f>
        <v/>
      </c>
      <c r="AA184" s="31">
        <f>IF($Y184="","",TRIM(INDEX($A:$U,ROW(),$E$6)&amp;IF($F$6="",""," "&amp;INDEX($A:$U,ROW(),$F$6))))</f>
        <v/>
      </c>
      <c r="AB184" s="31">
        <f>IF($AA184="","",SUBSTITUTE(SUBSTITUTE(SUBSTITUTE(SUBSTITUTE(SUBSTITUTE(SUBSTITUTE(SUBSTITUTE(SUBSTITUTE(SUBSTITUTE($AA184," ",""),"　",""),"(주)",""),"（주）",""),"㈜",""),"주식회사",""),"(유)",""),"（유）",""),"유한회사",""))</f>
        <v/>
      </c>
      <c r="AC184" s="31">
        <f>IF(OR($Y184="",N($Z184)&lt;=0,$AB184=""),0,IFERROR(LOOKUP(2,1/((거래처별!$AC$8:$AC$307&lt;&gt;"")*ISNUMBER(SEARCH(거래처별!$AC$8:$AC$307,$AB184))),거래처별!$A$8:$A$307),IFERROR(LOOKUP(2,1/((거래처별!$AD$8:$AD$307&lt;&gt;"")*ISNUMBER(SEARCH(거래처별!$AD$8:$AD$307,$AB184))),거래처별!$A$8:$A$307),IFERROR(LOOKUP(2,1/((거래처별!$AE$8:$AE$307&lt;&gt;"")*ISNUMBER(SEARCH(거래처별!$AE$8:$AE$307,$AB184))),거래처별!$A$8:$A$307),0))))</f>
        <v/>
      </c>
      <c r="AD184" s="31">
        <f>IF(AND($Y184&lt;&gt;"",N($Z184)&gt;0,$AC184=0),MAX($AD$7:$AD183)+1,"")</f>
        <v/>
      </c>
      <c r="AE184" s="31">
        <f>IF($Y184="",0,$Y184)</f>
        <v/>
      </c>
    </row>
    <row r="185">
      <c r="W185" s="31">
        <f>IF(OR($B$5="",$C$6="",ROW()&lt;$B$5),"",IF(INDEX($A:$U,ROW(),$C$6)="","",INDEX($A:$U,ROW(),$C$6)))</f>
        <v/>
      </c>
      <c r="X185" s="32">
        <f>IF($W185="","",IF(ISNUMBER($W185),IF($W185&gt;=10000000,IFERROR(DATE(INT($W185/10000),MOD(INT($W185/100),100),MOD($W185,100)),""),INT($W185)),IFERROR(DATE(--LEFT(LEFT(SUBSTITUTE(SUBSTITUTE(SUBSTITUTE(SUBSTITUTE(TRIM($W185),"-",""),".",""),"/","")," ",""),8),4),--MID(LEFT(SUBSTITUTE(SUBSTITUTE(SUBSTITUTE(SUBSTITUTE(TRIM($W185),"-",""),".",""),"/","")," ",""),8),5,2),--MID(LEFT(SUBSTITUTE(SUBSTITUTE(SUBSTITUTE(SUBSTITUTE(TRIM($W185),"-",""),".",""),"/","")," ",""),8),7,2)),"")))</f>
        <v/>
      </c>
      <c r="Y185" s="32">
        <f>IF($X185="","",INT($X185))</f>
        <v/>
      </c>
      <c r="Z185" s="33">
        <f>IF(OR($Y185="",$D$6=""),"",IF(INDEX($A:$U,ROW(),$D$6)="",0,IF(ISNUMBER(INDEX($A:$U,ROW(),$D$6)),INDEX($A:$U,ROW(),$D$6),IFERROR(--SUBSTITUTE(SUBSTITUTE(TRIM(INDEX($A:$U,ROW(),$D$6)),",",""),"원",""),0))))</f>
        <v/>
      </c>
      <c r="AA185" s="31">
        <f>IF($Y185="","",TRIM(INDEX($A:$U,ROW(),$E$6)&amp;IF($F$6="",""," "&amp;INDEX($A:$U,ROW(),$F$6))))</f>
        <v/>
      </c>
      <c r="AB185" s="31">
        <f>IF($AA185="","",SUBSTITUTE(SUBSTITUTE(SUBSTITUTE(SUBSTITUTE(SUBSTITUTE(SUBSTITUTE(SUBSTITUTE(SUBSTITUTE(SUBSTITUTE($AA185," ",""),"　",""),"(주)",""),"（주）",""),"㈜",""),"주식회사",""),"(유)",""),"（유）",""),"유한회사",""))</f>
        <v/>
      </c>
      <c r="AC185" s="31">
        <f>IF(OR($Y185="",N($Z185)&lt;=0,$AB185=""),0,IFERROR(LOOKUP(2,1/((거래처별!$AC$8:$AC$307&lt;&gt;"")*ISNUMBER(SEARCH(거래처별!$AC$8:$AC$307,$AB185))),거래처별!$A$8:$A$307),IFERROR(LOOKUP(2,1/((거래처별!$AD$8:$AD$307&lt;&gt;"")*ISNUMBER(SEARCH(거래처별!$AD$8:$AD$307,$AB185))),거래처별!$A$8:$A$307),IFERROR(LOOKUP(2,1/((거래처별!$AE$8:$AE$307&lt;&gt;"")*ISNUMBER(SEARCH(거래처별!$AE$8:$AE$307,$AB185))),거래처별!$A$8:$A$307),0))))</f>
        <v/>
      </c>
      <c r="AD185" s="31">
        <f>IF(AND($Y185&lt;&gt;"",N($Z185)&gt;0,$AC185=0),MAX($AD$7:$AD184)+1,"")</f>
        <v/>
      </c>
      <c r="AE185" s="31">
        <f>IF($Y185="",0,$Y185)</f>
        <v/>
      </c>
    </row>
    <row r="186">
      <c r="W186" s="31">
        <f>IF(OR($B$5="",$C$6="",ROW()&lt;$B$5),"",IF(INDEX($A:$U,ROW(),$C$6)="","",INDEX($A:$U,ROW(),$C$6)))</f>
        <v/>
      </c>
      <c r="X186" s="32">
        <f>IF($W186="","",IF(ISNUMBER($W186),IF($W186&gt;=10000000,IFERROR(DATE(INT($W186/10000),MOD(INT($W186/100),100),MOD($W186,100)),""),INT($W186)),IFERROR(DATE(--LEFT(LEFT(SUBSTITUTE(SUBSTITUTE(SUBSTITUTE(SUBSTITUTE(TRIM($W186),"-",""),".",""),"/","")," ",""),8),4),--MID(LEFT(SUBSTITUTE(SUBSTITUTE(SUBSTITUTE(SUBSTITUTE(TRIM($W186),"-",""),".",""),"/","")," ",""),8),5,2),--MID(LEFT(SUBSTITUTE(SUBSTITUTE(SUBSTITUTE(SUBSTITUTE(TRIM($W186),"-",""),".",""),"/","")," ",""),8),7,2)),"")))</f>
        <v/>
      </c>
      <c r="Y186" s="32">
        <f>IF($X186="","",INT($X186))</f>
        <v/>
      </c>
      <c r="Z186" s="33">
        <f>IF(OR($Y186="",$D$6=""),"",IF(INDEX($A:$U,ROW(),$D$6)="",0,IF(ISNUMBER(INDEX($A:$U,ROW(),$D$6)),INDEX($A:$U,ROW(),$D$6),IFERROR(--SUBSTITUTE(SUBSTITUTE(TRIM(INDEX($A:$U,ROW(),$D$6)),",",""),"원",""),0))))</f>
        <v/>
      </c>
      <c r="AA186" s="31">
        <f>IF($Y186="","",TRIM(INDEX($A:$U,ROW(),$E$6)&amp;IF($F$6="",""," "&amp;INDEX($A:$U,ROW(),$F$6))))</f>
        <v/>
      </c>
      <c r="AB186" s="31">
        <f>IF($AA186="","",SUBSTITUTE(SUBSTITUTE(SUBSTITUTE(SUBSTITUTE(SUBSTITUTE(SUBSTITUTE(SUBSTITUTE(SUBSTITUTE(SUBSTITUTE($AA186," ",""),"　",""),"(주)",""),"（주）",""),"㈜",""),"주식회사",""),"(유)",""),"（유）",""),"유한회사",""))</f>
        <v/>
      </c>
      <c r="AC186" s="31">
        <f>IF(OR($Y186="",N($Z186)&lt;=0,$AB186=""),0,IFERROR(LOOKUP(2,1/((거래처별!$AC$8:$AC$307&lt;&gt;"")*ISNUMBER(SEARCH(거래처별!$AC$8:$AC$307,$AB186))),거래처별!$A$8:$A$307),IFERROR(LOOKUP(2,1/((거래처별!$AD$8:$AD$307&lt;&gt;"")*ISNUMBER(SEARCH(거래처별!$AD$8:$AD$307,$AB186))),거래처별!$A$8:$A$307),IFERROR(LOOKUP(2,1/((거래처별!$AE$8:$AE$307&lt;&gt;"")*ISNUMBER(SEARCH(거래처별!$AE$8:$AE$307,$AB186))),거래처별!$A$8:$A$307),0))))</f>
        <v/>
      </c>
      <c r="AD186" s="31">
        <f>IF(AND($Y186&lt;&gt;"",N($Z186)&gt;0,$AC186=0),MAX($AD$7:$AD185)+1,"")</f>
        <v/>
      </c>
      <c r="AE186" s="31">
        <f>IF($Y186="",0,$Y186)</f>
        <v/>
      </c>
    </row>
    <row r="187">
      <c r="W187" s="31">
        <f>IF(OR($B$5="",$C$6="",ROW()&lt;$B$5),"",IF(INDEX($A:$U,ROW(),$C$6)="","",INDEX($A:$U,ROW(),$C$6)))</f>
        <v/>
      </c>
      <c r="X187" s="32">
        <f>IF($W187="","",IF(ISNUMBER($W187),IF($W187&gt;=10000000,IFERROR(DATE(INT($W187/10000),MOD(INT($W187/100),100),MOD($W187,100)),""),INT($W187)),IFERROR(DATE(--LEFT(LEFT(SUBSTITUTE(SUBSTITUTE(SUBSTITUTE(SUBSTITUTE(TRIM($W187),"-",""),".",""),"/","")," ",""),8),4),--MID(LEFT(SUBSTITUTE(SUBSTITUTE(SUBSTITUTE(SUBSTITUTE(TRIM($W187),"-",""),".",""),"/","")," ",""),8),5,2),--MID(LEFT(SUBSTITUTE(SUBSTITUTE(SUBSTITUTE(SUBSTITUTE(TRIM($W187),"-",""),".",""),"/","")," ",""),8),7,2)),"")))</f>
        <v/>
      </c>
      <c r="Y187" s="32">
        <f>IF($X187="","",INT($X187))</f>
        <v/>
      </c>
      <c r="Z187" s="33">
        <f>IF(OR($Y187="",$D$6=""),"",IF(INDEX($A:$U,ROW(),$D$6)="",0,IF(ISNUMBER(INDEX($A:$U,ROW(),$D$6)),INDEX($A:$U,ROW(),$D$6),IFERROR(--SUBSTITUTE(SUBSTITUTE(TRIM(INDEX($A:$U,ROW(),$D$6)),",",""),"원",""),0))))</f>
        <v/>
      </c>
      <c r="AA187" s="31">
        <f>IF($Y187="","",TRIM(INDEX($A:$U,ROW(),$E$6)&amp;IF($F$6="",""," "&amp;INDEX($A:$U,ROW(),$F$6))))</f>
        <v/>
      </c>
      <c r="AB187" s="31">
        <f>IF($AA187="","",SUBSTITUTE(SUBSTITUTE(SUBSTITUTE(SUBSTITUTE(SUBSTITUTE(SUBSTITUTE(SUBSTITUTE(SUBSTITUTE(SUBSTITUTE($AA187," ",""),"　",""),"(주)",""),"（주）",""),"㈜",""),"주식회사",""),"(유)",""),"（유）",""),"유한회사",""))</f>
        <v/>
      </c>
      <c r="AC187" s="31">
        <f>IF(OR($Y187="",N($Z187)&lt;=0,$AB187=""),0,IFERROR(LOOKUP(2,1/((거래처별!$AC$8:$AC$307&lt;&gt;"")*ISNUMBER(SEARCH(거래처별!$AC$8:$AC$307,$AB187))),거래처별!$A$8:$A$307),IFERROR(LOOKUP(2,1/((거래처별!$AD$8:$AD$307&lt;&gt;"")*ISNUMBER(SEARCH(거래처별!$AD$8:$AD$307,$AB187))),거래처별!$A$8:$A$307),IFERROR(LOOKUP(2,1/((거래처별!$AE$8:$AE$307&lt;&gt;"")*ISNUMBER(SEARCH(거래처별!$AE$8:$AE$307,$AB187))),거래처별!$A$8:$A$307),0))))</f>
        <v/>
      </c>
      <c r="AD187" s="31">
        <f>IF(AND($Y187&lt;&gt;"",N($Z187)&gt;0,$AC187=0),MAX($AD$7:$AD186)+1,"")</f>
        <v/>
      </c>
      <c r="AE187" s="31">
        <f>IF($Y187="",0,$Y187)</f>
        <v/>
      </c>
    </row>
    <row r="188">
      <c r="W188" s="31">
        <f>IF(OR($B$5="",$C$6="",ROW()&lt;$B$5),"",IF(INDEX($A:$U,ROW(),$C$6)="","",INDEX($A:$U,ROW(),$C$6)))</f>
        <v/>
      </c>
      <c r="X188" s="32">
        <f>IF($W188="","",IF(ISNUMBER($W188),IF($W188&gt;=10000000,IFERROR(DATE(INT($W188/10000),MOD(INT($W188/100),100),MOD($W188,100)),""),INT($W188)),IFERROR(DATE(--LEFT(LEFT(SUBSTITUTE(SUBSTITUTE(SUBSTITUTE(SUBSTITUTE(TRIM($W188),"-",""),".",""),"/","")," ",""),8),4),--MID(LEFT(SUBSTITUTE(SUBSTITUTE(SUBSTITUTE(SUBSTITUTE(TRIM($W188),"-",""),".",""),"/","")," ",""),8),5,2),--MID(LEFT(SUBSTITUTE(SUBSTITUTE(SUBSTITUTE(SUBSTITUTE(TRIM($W188),"-",""),".",""),"/","")," ",""),8),7,2)),"")))</f>
        <v/>
      </c>
      <c r="Y188" s="32">
        <f>IF($X188="","",INT($X188))</f>
        <v/>
      </c>
      <c r="Z188" s="33">
        <f>IF(OR($Y188="",$D$6=""),"",IF(INDEX($A:$U,ROW(),$D$6)="",0,IF(ISNUMBER(INDEX($A:$U,ROW(),$D$6)),INDEX($A:$U,ROW(),$D$6),IFERROR(--SUBSTITUTE(SUBSTITUTE(TRIM(INDEX($A:$U,ROW(),$D$6)),",",""),"원",""),0))))</f>
        <v/>
      </c>
      <c r="AA188" s="31">
        <f>IF($Y188="","",TRIM(INDEX($A:$U,ROW(),$E$6)&amp;IF($F$6="",""," "&amp;INDEX($A:$U,ROW(),$F$6))))</f>
        <v/>
      </c>
      <c r="AB188" s="31">
        <f>IF($AA188="","",SUBSTITUTE(SUBSTITUTE(SUBSTITUTE(SUBSTITUTE(SUBSTITUTE(SUBSTITUTE(SUBSTITUTE(SUBSTITUTE(SUBSTITUTE($AA188," ",""),"　",""),"(주)",""),"（주）",""),"㈜",""),"주식회사",""),"(유)",""),"（유）",""),"유한회사",""))</f>
        <v/>
      </c>
      <c r="AC188" s="31">
        <f>IF(OR($Y188="",N($Z188)&lt;=0,$AB188=""),0,IFERROR(LOOKUP(2,1/((거래처별!$AC$8:$AC$307&lt;&gt;"")*ISNUMBER(SEARCH(거래처별!$AC$8:$AC$307,$AB188))),거래처별!$A$8:$A$307),IFERROR(LOOKUP(2,1/((거래처별!$AD$8:$AD$307&lt;&gt;"")*ISNUMBER(SEARCH(거래처별!$AD$8:$AD$307,$AB188))),거래처별!$A$8:$A$307),IFERROR(LOOKUP(2,1/((거래처별!$AE$8:$AE$307&lt;&gt;"")*ISNUMBER(SEARCH(거래처별!$AE$8:$AE$307,$AB188))),거래처별!$A$8:$A$307),0))))</f>
        <v/>
      </c>
      <c r="AD188" s="31">
        <f>IF(AND($Y188&lt;&gt;"",N($Z188)&gt;0,$AC188=0),MAX($AD$7:$AD187)+1,"")</f>
        <v/>
      </c>
      <c r="AE188" s="31">
        <f>IF($Y188="",0,$Y188)</f>
        <v/>
      </c>
    </row>
    <row r="189">
      <c r="W189" s="31">
        <f>IF(OR($B$5="",$C$6="",ROW()&lt;$B$5),"",IF(INDEX($A:$U,ROW(),$C$6)="","",INDEX($A:$U,ROW(),$C$6)))</f>
        <v/>
      </c>
      <c r="X189" s="32">
        <f>IF($W189="","",IF(ISNUMBER($W189),IF($W189&gt;=10000000,IFERROR(DATE(INT($W189/10000),MOD(INT($W189/100),100),MOD($W189,100)),""),INT($W189)),IFERROR(DATE(--LEFT(LEFT(SUBSTITUTE(SUBSTITUTE(SUBSTITUTE(SUBSTITUTE(TRIM($W189),"-",""),".",""),"/","")," ",""),8),4),--MID(LEFT(SUBSTITUTE(SUBSTITUTE(SUBSTITUTE(SUBSTITUTE(TRIM($W189),"-",""),".",""),"/","")," ",""),8),5,2),--MID(LEFT(SUBSTITUTE(SUBSTITUTE(SUBSTITUTE(SUBSTITUTE(TRIM($W189),"-",""),".",""),"/","")," ",""),8),7,2)),"")))</f>
        <v/>
      </c>
      <c r="Y189" s="32">
        <f>IF($X189="","",INT($X189))</f>
        <v/>
      </c>
      <c r="Z189" s="33">
        <f>IF(OR($Y189="",$D$6=""),"",IF(INDEX($A:$U,ROW(),$D$6)="",0,IF(ISNUMBER(INDEX($A:$U,ROW(),$D$6)),INDEX($A:$U,ROW(),$D$6),IFERROR(--SUBSTITUTE(SUBSTITUTE(TRIM(INDEX($A:$U,ROW(),$D$6)),",",""),"원",""),0))))</f>
        <v/>
      </c>
      <c r="AA189" s="31">
        <f>IF($Y189="","",TRIM(INDEX($A:$U,ROW(),$E$6)&amp;IF($F$6="",""," "&amp;INDEX($A:$U,ROW(),$F$6))))</f>
        <v/>
      </c>
      <c r="AB189" s="31">
        <f>IF($AA189="","",SUBSTITUTE(SUBSTITUTE(SUBSTITUTE(SUBSTITUTE(SUBSTITUTE(SUBSTITUTE(SUBSTITUTE(SUBSTITUTE(SUBSTITUTE($AA189," ",""),"　",""),"(주)",""),"（주）",""),"㈜",""),"주식회사",""),"(유)",""),"（유）",""),"유한회사",""))</f>
        <v/>
      </c>
      <c r="AC189" s="31">
        <f>IF(OR($Y189="",N($Z189)&lt;=0,$AB189=""),0,IFERROR(LOOKUP(2,1/((거래처별!$AC$8:$AC$307&lt;&gt;"")*ISNUMBER(SEARCH(거래처별!$AC$8:$AC$307,$AB189))),거래처별!$A$8:$A$307),IFERROR(LOOKUP(2,1/((거래처별!$AD$8:$AD$307&lt;&gt;"")*ISNUMBER(SEARCH(거래처별!$AD$8:$AD$307,$AB189))),거래처별!$A$8:$A$307),IFERROR(LOOKUP(2,1/((거래처별!$AE$8:$AE$307&lt;&gt;"")*ISNUMBER(SEARCH(거래처별!$AE$8:$AE$307,$AB189))),거래처별!$A$8:$A$307),0))))</f>
        <v/>
      </c>
      <c r="AD189" s="31">
        <f>IF(AND($Y189&lt;&gt;"",N($Z189)&gt;0,$AC189=0),MAX($AD$7:$AD188)+1,"")</f>
        <v/>
      </c>
      <c r="AE189" s="31">
        <f>IF($Y189="",0,$Y189)</f>
        <v/>
      </c>
    </row>
    <row r="190">
      <c r="W190" s="31">
        <f>IF(OR($B$5="",$C$6="",ROW()&lt;$B$5),"",IF(INDEX($A:$U,ROW(),$C$6)="","",INDEX($A:$U,ROW(),$C$6)))</f>
        <v/>
      </c>
      <c r="X190" s="32">
        <f>IF($W190="","",IF(ISNUMBER($W190),IF($W190&gt;=10000000,IFERROR(DATE(INT($W190/10000),MOD(INT($W190/100),100),MOD($W190,100)),""),INT($W190)),IFERROR(DATE(--LEFT(LEFT(SUBSTITUTE(SUBSTITUTE(SUBSTITUTE(SUBSTITUTE(TRIM($W190),"-",""),".",""),"/","")," ",""),8),4),--MID(LEFT(SUBSTITUTE(SUBSTITUTE(SUBSTITUTE(SUBSTITUTE(TRIM($W190),"-",""),".",""),"/","")," ",""),8),5,2),--MID(LEFT(SUBSTITUTE(SUBSTITUTE(SUBSTITUTE(SUBSTITUTE(TRIM($W190),"-",""),".",""),"/","")," ",""),8),7,2)),"")))</f>
        <v/>
      </c>
      <c r="Y190" s="32">
        <f>IF($X190="","",INT($X190))</f>
        <v/>
      </c>
      <c r="Z190" s="33">
        <f>IF(OR($Y190="",$D$6=""),"",IF(INDEX($A:$U,ROW(),$D$6)="",0,IF(ISNUMBER(INDEX($A:$U,ROW(),$D$6)),INDEX($A:$U,ROW(),$D$6),IFERROR(--SUBSTITUTE(SUBSTITUTE(TRIM(INDEX($A:$U,ROW(),$D$6)),",",""),"원",""),0))))</f>
        <v/>
      </c>
      <c r="AA190" s="31">
        <f>IF($Y190="","",TRIM(INDEX($A:$U,ROW(),$E$6)&amp;IF($F$6="",""," "&amp;INDEX($A:$U,ROW(),$F$6))))</f>
        <v/>
      </c>
      <c r="AB190" s="31">
        <f>IF($AA190="","",SUBSTITUTE(SUBSTITUTE(SUBSTITUTE(SUBSTITUTE(SUBSTITUTE(SUBSTITUTE(SUBSTITUTE(SUBSTITUTE(SUBSTITUTE($AA190," ",""),"　",""),"(주)",""),"（주）",""),"㈜",""),"주식회사",""),"(유)",""),"（유）",""),"유한회사",""))</f>
        <v/>
      </c>
      <c r="AC190" s="31">
        <f>IF(OR($Y190="",N($Z190)&lt;=0,$AB190=""),0,IFERROR(LOOKUP(2,1/((거래처별!$AC$8:$AC$307&lt;&gt;"")*ISNUMBER(SEARCH(거래처별!$AC$8:$AC$307,$AB190))),거래처별!$A$8:$A$307),IFERROR(LOOKUP(2,1/((거래처별!$AD$8:$AD$307&lt;&gt;"")*ISNUMBER(SEARCH(거래처별!$AD$8:$AD$307,$AB190))),거래처별!$A$8:$A$307),IFERROR(LOOKUP(2,1/((거래처별!$AE$8:$AE$307&lt;&gt;"")*ISNUMBER(SEARCH(거래처별!$AE$8:$AE$307,$AB190))),거래처별!$A$8:$A$307),0))))</f>
        <v/>
      </c>
      <c r="AD190" s="31">
        <f>IF(AND($Y190&lt;&gt;"",N($Z190)&gt;0,$AC190=0),MAX($AD$7:$AD189)+1,"")</f>
        <v/>
      </c>
      <c r="AE190" s="31">
        <f>IF($Y190="",0,$Y190)</f>
        <v/>
      </c>
    </row>
    <row r="191">
      <c r="W191" s="31">
        <f>IF(OR($B$5="",$C$6="",ROW()&lt;$B$5),"",IF(INDEX($A:$U,ROW(),$C$6)="","",INDEX($A:$U,ROW(),$C$6)))</f>
        <v/>
      </c>
      <c r="X191" s="32">
        <f>IF($W191="","",IF(ISNUMBER($W191),IF($W191&gt;=10000000,IFERROR(DATE(INT($W191/10000),MOD(INT($W191/100),100),MOD($W191,100)),""),INT($W191)),IFERROR(DATE(--LEFT(LEFT(SUBSTITUTE(SUBSTITUTE(SUBSTITUTE(SUBSTITUTE(TRIM($W191),"-",""),".",""),"/","")," ",""),8),4),--MID(LEFT(SUBSTITUTE(SUBSTITUTE(SUBSTITUTE(SUBSTITUTE(TRIM($W191),"-",""),".",""),"/","")," ",""),8),5,2),--MID(LEFT(SUBSTITUTE(SUBSTITUTE(SUBSTITUTE(SUBSTITUTE(TRIM($W191),"-",""),".",""),"/","")," ",""),8),7,2)),"")))</f>
        <v/>
      </c>
      <c r="Y191" s="32">
        <f>IF($X191="","",INT($X191))</f>
        <v/>
      </c>
      <c r="Z191" s="33">
        <f>IF(OR($Y191="",$D$6=""),"",IF(INDEX($A:$U,ROW(),$D$6)="",0,IF(ISNUMBER(INDEX($A:$U,ROW(),$D$6)),INDEX($A:$U,ROW(),$D$6),IFERROR(--SUBSTITUTE(SUBSTITUTE(TRIM(INDEX($A:$U,ROW(),$D$6)),",",""),"원",""),0))))</f>
        <v/>
      </c>
      <c r="AA191" s="31">
        <f>IF($Y191="","",TRIM(INDEX($A:$U,ROW(),$E$6)&amp;IF($F$6="",""," "&amp;INDEX($A:$U,ROW(),$F$6))))</f>
        <v/>
      </c>
      <c r="AB191" s="31">
        <f>IF($AA191="","",SUBSTITUTE(SUBSTITUTE(SUBSTITUTE(SUBSTITUTE(SUBSTITUTE(SUBSTITUTE(SUBSTITUTE(SUBSTITUTE(SUBSTITUTE($AA191," ",""),"　",""),"(주)",""),"（주）",""),"㈜",""),"주식회사",""),"(유)",""),"（유）",""),"유한회사",""))</f>
        <v/>
      </c>
      <c r="AC191" s="31">
        <f>IF(OR($Y191="",N($Z191)&lt;=0,$AB191=""),0,IFERROR(LOOKUP(2,1/((거래처별!$AC$8:$AC$307&lt;&gt;"")*ISNUMBER(SEARCH(거래처별!$AC$8:$AC$307,$AB191))),거래처별!$A$8:$A$307),IFERROR(LOOKUP(2,1/((거래처별!$AD$8:$AD$307&lt;&gt;"")*ISNUMBER(SEARCH(거래처별!$AD$8:$AD$307,$AB191))),거래처별!$A$8:$A$307),IFERROR(LOOKUP(2,1/((거래처별!$AE$8:$AE$307&lt;&gt;"")*ISNUMBER(SEARCH(거래처별!$AE$8:$AE$307,$AB191))),거래처별!$A$8:$A$307),0))))</f>
        <v/>
      </c>
      <c r="AD191" s="31">
        <f>IF(AND($Y191&lt;&gt;"",N($Z191)&gt;0,$AC191=0),MAX($AD$7:$AD190)+1,"")</f>
        <v/>
      </c>
      <c r="AE191" s="31">
        <f>IF($Y191="",0,$Y191)</f>
        <v/>
      </c>
    </row>
    <row r="192">
      <c r="W192" s="31">
        <f>IF(OR($B$5="",$C$6="",ROW()&lt;$B$5),"",IF(INDEX($A:$U,ROW(),$C$6)="","",INDEX($A:$U,ROW(),$C$6)))</f>
        <v/>
      </c>
      <c r="X192" s="32">
        <f>IF($W192="","",IF(ISNUMBER($W192),IF($W192&gt;=10000000,IFERROR(DATE(INT($W192/10000),MOD(INT($W192/100),100),MOD($W192,100)),""),INT($W192)),IFERROR(DATE(--LEFT(LEFT(SUBSTITUTE(SUBSTITUTE(SUBSTITUTE(SUBSTITUTE(TRIM($W192),"-",""),".",""),"/","")," ",""),8),4),--MID(LEFT(SUBSTITUTE(SUBSTITUTE(SUBSTITUTE(SUBSTITUTE(TRIM($W192),"-",""),".",""),"/","")," ",""),8),5,2),--MID(LEFT(SUBSTITUTE(SUBSTITUTE(SUBSTITUTE(SUBSTITUTE(TRIM($W192),"-",""),".",""),"/","")," ",""),8),7,2)),"")))</f>
        <v/>
      </c>
      <c r="Y192" s="32">
        <f>IF($X192="","",INT($X192))</f>
        <v/>
      </c>
      <c r="Z192" s="33">
        <f>IF(OR($Y192="",$D$6=""),"",IF(INDEX($A:$U,ROW(),$D$6)="",0,IF(ISNUMBER(INDEX($A:$U,ROW(),$D$6)),INDEX($A:$U,ROW(),$D$6),IFERROR(--SUBSTITUTE(SUBSTITUTE(TRIM(INDEX($A:$U,ROW(),$D$6)),",",""),"원",""),0))))</f>
        <v/>
      </c>
      <c r="AA192" s="31">
        <f>IF($Y192="","",TRIM(INDEX($A:$U,ROW(),$E$6)&amp;IF($F$6="",""," "&amp;INDEX($A:$U,ROW(),$F$6))))</f>
        <v/>
      </c>
      <c r="AB192" s="31">
        <f>IF($AA192="","",SUBSTITUTE(SUBSTITUTE(SUBSTITUTE(SUBSTITUTE(SUBSTITUTE(SUBSTITUTE(SUBSTITUTE(SUBSTITUTE(SUBSTITUTE($AA192," ",""),"　",""),"(주)",""),"（주）",""),"㈜",""),"주식회사",""),"(유)",""),"（유）",""),"유한회사",""))</f>
        <v/>
      </c>
      <c r="AC192" s="31">
        <f>IF(OR($Y192="",N($Z192)&lt;=0,$AB192=""),0,IFERROR(LOOKUP(2,1/((거래처별!$AC$8:$AC$307&lt;&gt;"")*ISNUMBER(SEARCH(거래처별!$AC$8:$AC$307,$AB192))),거래처별!$A$8:$A$307),IFERROR(LOOKUP(2,1/((거래처별!$AD$8:$AD$307&lt;&gt;"")*ISNUMBER(SEARCH(거래처별!$AD$8:$AD$307,$AB192))),거래처별!$A$8:$A$307),IFERROR(LOOKUP(2,1/((거래처별!$AE$8:$AE$307&lt;&gt;"")*ISNUMBER(SEARCH(거래처별!$AE$8:$AE$307,$AB192))),거래처별!$A$8:$A$307),0))))</f>
        <v/>
      </c>
      <c r="AD192" s="31">
        <f>IF(AND($Y192&lt;&gt;"",N($Z192)&gt;0,$AC192=0),MAX($AD$7:$AD191)+1,"")</f>
        <v/>
      </c>
      <c r="AE192" s="31">
        <f>IF($Y192="",0,$Y192)</f>
        <v/>
      </c>
    </row>
    <row r="193">
      <c r="W193" s="31">
        <f>IF(OR($B$5="",$C$6="",ROW()&lt;$B$5),"",IF(INDEX($A:$U,ROW(),$C$6)="","",INDEX($A:$U,ROW(),$C$6)))</f>
        <v/>
      </c>
      <c r="X193" s="32">
        <f>IF($W193="","",IF(ISNUMBER($W193),IF($W193&gt;=10000000,IFERROR(DATE(INT($W193/10000),MOD(INT($W193/100),100),MOD($W193,100)),""),INT($W193)),IFERROR(DATE(--LEFT(LEFT(SUBSTITUTE(SUBSTITUTE(SUBSTITUTE(SUBSTITUTE(TRIM($W193),"-",""),".",""),"/","")," ",""),8),4),--MID(LEFT(SUBSTITUTE(SUBSTITUTE(SUBSTITUTE(SUBSTITUTE(TRIM($W193),"-",""),".",""),"/","")," ",""),8),5,2),--MID(LEFT(SUBSTITUTE(SUBSTITUTE(SUBSTITUTE(SUBSTITUTE(TRIM($W193),"-",""),".",""),"/","")," ",""),8),7,2)),"")))</f>
        <v/>
      </c>
      <c r="Y193" s="32">
        <f>IF($X193="","",INT($X193))</f>
        <v/>
      </c>
      <c r="Z193" s="33">
        <f>IF(OR($Y193="",$D$6=""),"",IF(INDEX($A:$U,ROW(),$D$6)="",0,IF(ISNUMBER(INDEX($A:$U,ROW(),$D$6)),INDEX($A:$U,ROW(),$D$6),IFERROR(--SUBSTITUTE(SUBSTITUTE(TRIM(INDEX($A:$U,ROW(),$D$6)),",",""),"원",""),0))))</f>
        <v/>
      </c>
      <c r="AA193" s="31">
        <f>IF($Y193="","",TRIM(INDEX($A:$U,ROW(),$E$6)&amp;IF($F$6="",""," "&amp;INDEX($A:$U,ROW(),$F$6))))</f>
        <v/>
      </c>
      <c r="AB193" s="31">
        <f>IF($AA193="","",SUBSTITUTE(SUBSTITUTE(SUBSTITUTE(SUBSTITUTE(SUBSTITUTE(SUBSTITUTE(SUBSTITUTE(SUBSTITUTE(SUBSTITUTE($AA193," ",""),"　",""),"(주)",""),"（주）",""),"㈜",""),"주식회사",""),"(유)",""),"（유）",""),"유한회사",""))</f>
        <v/>
      </c>
      <c r="AC193" s="31">
        <f>IF(OR($Y193="",N($Z193)&lt;=0,$AB193=""),0,IFERROR(LOOKUP(2,1/((거래처별!$AC$8:$AC$307&lt;&gt;"")*ISNUMBER(SEARCH(거래처별!$AC$8:$AC$307,$AB193))),거래처별!$A$8:$A$307),IFERROR(LOOKUP(2,1/((거래처별!$AD$8:$AD$307&lt;&gt;"")*ISNUMBER(SEARCH(거래처별!$AD$8:$AD$307,$AB193))),거래처별!$A$8:$A$307),IFERROR(LOOKUP(2,1/((거래처별!$AE$8:$AE$307&lt;&gt;"")*ISNUMBER(SEARCH(거래처별!$AE$8:$AE$307,$AB193))),거래처별!$A$8:$A$307),0))))</f>
        <v/>
      </c>
      <c r="AD193" s="31">
        <f>IF(AND($Y193&lt;&gt;"",N($Z193)&gt;0,$AC193=0),MAX($AD$7:$AD192)+1,"")</f>
        <v/>
      </c>
      <c r="AE193" s="31">
        <f>IF($Y193="",0,$Y193)</f>
        <v/>
      </c>
    </row>
    <row r="194">
      <c r="W194" s="31">
        <f>IF(OR($B$5="",$C$6="",ROW()&lt;$B$5),"",IF(INDEX($A:$U,ROW(),$C$6)="","",INDEX($A:$U,ROW(),$C$6)))</f>
        <v/>
      </c>
      <c r="X194" s="32">
        <f>IF($W194="","",IF(ISNUMBER($W194),IF($W194&gt;=10000000,IFERROR(DATE(INT($W194/10000),MOD(INT($W194/100),100),MOD($W194,100)),""),INT($W194)),IFERROR(DATE(--LEFT(LEFT(SUBSTITUTE(SUBSTITUTE(SUBSTITUTE(SUBSTITUTE(TRIM($W194),"-",""),".",""),"/","")," ",""),8),4),--MID(LEFT(SUBSTITUTE(SUBSTITUTE(SUBSTITUTE(SUBSTITUTE(TRIM($W194),"-",""),".",""),"/","")," ",""),8),5,2),--MID(LEFT(SUBSTITUTE(SUBSTITUTE(SUBSTITUTE(SUBSTITUTE(TRIM($W194),"-",""),".",""),"/","")," ",""),8),7,2)),"")))</f>
        <v/>
      </c>
      <c r="Y194" s="32">
        <f>IF($X194="","",INT($X194))</f>
        <v/>
      </c>
      <c r="Z194" s="33">
        <f>IF(OR($Y194="",$D$6=""),"",IF(INDEX($A:$U,ROW(),$D$6)="",0,IF(ISNUMBER(INDEX($A:$U,ROW(),$D$6)),INDEX($A:$U,ROW(),$D$6),IFERROR(--SUBSTITUTE(SUBSTITUTE(TRIM(INDEX($A:$U,ROW(),$D$6)),",",""),"원",""),0))))</f>
        <v/>
      </c>
      <c r="AA194" s="31">
        <f>IF($Y194="","",TRIM(INDEX($A:$U,ROW(),$E$6)&amp;IF($F$6="",""," "&amp;INDEX($A:$U,ROW(),$F$6))))</f>
        <v/>
      </c>
      <c r="AB194" s="31">
        <f>IF($AA194="","",SUBSTITUTE(SUBSTITUTE(SUBSTITUTE(SUBSTITUTE(SUBSTITUTE(SUBSTITUTE(SUBSTITUTE(SUBSTITUTE(SUBSTITUTE($AA194," ",""),"　",""),"(주)",""),"（주）",""),"㈜",""),"주식회사",""),"(유)",""),"（유）",""),"유한회사",""))</f>
        <v/>
      </c>
      <c r="AC194" s="31">
        <f>IF(OR($Y194="",N($Z194)&lt;=0,$AB194=""),0,IFERROR(LOOKUP(2,1/((거래처별!$AC$8:$AC$307&lt;&gt;"")*ISNUMBER(SEARCH(거래처별!$AC$8:$AC$307,$AB194))),거래처별!$A$8:$A$307),IFERROR(LOOKUP(2,1/((거래처별!$AD$8:$AD$307&lt;&gt;"")*ISNUMBER(SEARCH(거래처별!$AD$8:$AD$307,$AB194))),거래처별!$A$8:$A$307),IFERROR(LOOKUP(2,1/((거래처별!$AE$8:$AE$307&lt;&gt;"")*ISNUMBER(SEARCH(거래처별!$AE$8:$AE$307,$AB194))),거래처별!$A$8:$A$307),0))))</f>
        <v/>
      </c>
      <c r="AD194" s="31">
        <f>IF(AND($Y194&lt;&gt;"",N($Z194)&gt;0,$AC194=0),MAX($AD$7:$AD193)+1,"")</f>
        <v/>
      </c>
      <c r="AE194" s="31">
        <f>IF($Y194="",0,$Y194)</f>
        <v/>
      </c>
    </row>
    <row r="195">
      <c r="W195" s="31">
        <f>IF(OR($B$5="",$C$6="",ROW()&lt;$B$5),"",IF(INDEX($A:$U,ROW(),$C$6)="","",INDEX($A:$U,ROW(),$C$6)))</f>
        <v/>
      </c>
      <c r="X195" s="32">
        <f>IF($W195="","",IF(ISNUMBER($W195),IF($W195&gt;=10000000,IFERROR(DATE(INT($W195/10000),MOD(INT($W195/100),100),MOD($W195,100)),""),INT($W195)),IFERROR(DATE(--LEFT(LEFT(SUBSTITUTE(SUBSTITUTE(SUBSTITUTE(SUBSTITUTE(TRIM($W195),"-",""),".",""),"/","")," ",""),8),4),--MID(LEFT(SUBSTITUTE(SUBSTITUTE(SUBSTITUTE(SUBSTITUTE(TRIM($W195),"-",""),".",""),"/","")," ",""),8),5,2),--MID(LEFT(SUBSTITUTE(SUBSTITUTE(SUBSTITUTE(SUBSTITUTE(TRIM($W195),"-",""),".",""),"/","")," ",""),8),7,2)),"")))</f>
        <v/>
      </c>
      <c r="Y195" s="32">
        <f>IF($X195="","",INT($X195))</f>
        <v/>
      </c>
      <c r="Z195" s="33">
        <f>IF(OR($Y195="",$D$6=""),"",IF(INDEX($A:$U,ROW(),$D$6)="",0,IF(ISNUMBER(INDEX($A:$U,ROW(),$D$6)),INDEX($A:$U,ROW(),$D$6),IFERROR(--SUBSTITUTE(SUBSTITUTE(TRIM(INDEX($A:$U,ROW(),$D$6)),",",""),"원",""),0))))</f>
        <v/>
      </c>
      <c r="AA195" s="31">
        <f>IF($Y195="","",TRIM(INDEX($A:$U,ROW(),$E$6)&amp;IF($F$6="",""," "&amp;INDEX($A:$U,ROW(),$F$6))))</f>
        <v/>
      </c>
      <c r="AB195" s="31">
        <f>IF($AA195="","",SUBSTITUTE(SUBSTITUTE(SUBSTITUTE(SUBSTITUTE(SUBSTITUTE(SUBSTITUTE(SUBSTITUTE(SUBSTITUTE(SUBSTITUTE($AA195," ",""),"　",""),"(주)",""),"（주）",""),"㈜",""),"주식회사",""),"(유)",""),"（유）",""),"유한회사",""))</f>
        <v/>
      </c>
      <c r="AC195" s="31">
        <f>IF(OR($Y195="",N($Z195)&lt;=0,$AB195=""),0,IFERROR(LOOKUP(2,1/((거래처별!$AC$8:$AC$307&lt;&gt;"")*ISNUMBER(SEARCH(거래처별!$AC$8:$AC$307,$AB195))),거래처별!$A$8:$A$307),IFERROR(LOOKUP(2,1/((거래처별!$AD$8:$AD$307&lt;&gt;"")*ISNUMBER(SEARCH(거래처별!$AD$8:$AD$307,$AB195))),거래처별!$A$8:$A$307),IFERROR(LOOKUP(2,1/((거래처별!$AE$8:$AE$307&lt;&gt;"")*ISNUMBER(SEARCH(거래처별!$AE$8:$AE$307,$AB195))),거래처별!$A$8:$A$307),0))))</f>
        <v/>
      </c>
      <c r="AD195" s="31">
        <f>IF(AND($Y195&lt;&gt;"",N($Z195)&gt;0,$AC195=0),MAX($AD$7:$AD194)+1,"")</f>
        <v/>
      </c>
      <c r="AE195" s="31">
        <f>IF($Y195="",0,$Y195)</f>
        <v/>
      </c>
    </row>
    <row r="196">
      <c r="W196" s="31">
        <f>IF(OR($B$5="",$C$6="",ROW()&lt;$B$5),"",IF(INDEX($A:$U,ROW(),$C$6)="","",INDEX($A:$U,ROW(),$C$6)))</f>
        <v/>
      </c>
      <c r="X196" s="32">
        <f>IF($W196="","",IF(ISNUMBER($W196),IF($W196&gt;=10000000,IFERROR(DATE(INT($W196/10000),MOD(INT($W196/100),100),MOD($W196,100)),""),INT($W196)),IFERROR(DATE(--LEFT(LEFT(SUBSTITUTE(SUBSTITUTE(SUBSTITUTE(SUBSTITUTE(TRIM($W196),"-",""),".",""),"/","")," ",""),8),4),--MID(LEFT(SUBSTITUTE(SUBSTITUTE(SUBSTITUTE(SUBSTITUTE(TRIM($W196),"-",""),".",""),"/","")," ",""),8),5,2),--MID(LEFT(SUBSTITUTE(SUBSTITUTE(SUBSTITUTE(SUBSTITUTE(TRIM($W196),"-",""),".",""),"/","")," ",""),8),7,2)),"")))</f>
        <v/>
      </c>
      <c r="Y196" s="32">
        <f>IF($X196="","",INT($X196))</f>
        <v/>
      </c>
      <c r="Z196" s="33">
        <f>IF(OR($Y196="",$D$6=""),"",IF(INDEX($A:$U,ROW(),$D$6)="",0,IF(ISNUMBER(INDEX($A:$U,ROW(),$D$6)),INDEX($A:$U,ROW(),$D$6),IFERROR(--SUBSTITUTE(SUBSTITUTE(TRIM(INDEX($A:$U,ROW(),$D$6)),",",""),"원",""),0))))</f>
        <v/>
      </c>
      <c r="AA196" s="31">
        <f>IF($Y196="","",TRIM(INDEX($A:$U,ROW(),$E$6)&amp;IF($F$6="",""," "&amp;INDEX($A:$U,ROW(),$F$6))))</f>
        <v/>
      </c>
      <c r="AB196" s="31">
        <f>IF($AA196="","",SUBSTITUTE(SUBSTITUTE(SUBSTITUTE(SUBSTITUTE(SUBSTITUTE(SUBSTITUTE(SUBSTITUTE(SUBSTITUTE(SUBSTITUTE($AA196," ",""),"　",""),"(주)",""),"（주）",""),"㈜",""),"주식회사",""),"(유)",""),"（유）",""),"유한회사",""))</f>
        <v/>
      </c>
      <c r="AC196" s="31">
        <f>IF(OR($Y196="",N($Z196)&lt;=0,$AB196=""),0,IFERROR(LOOKUP(2,1/((거래처별!$AC$8:$AC$307&lt;&gt;"")*ISNUMBER(SEARCH(거래처별!$AC$8:$AC$307,$AB196))),거래처별!$A$8:$A$307),IFERROR(LOOKUP(2,1/((거래처별!$AD$8:$AD$307&lt;&gt;"")*ISNUMBER(SEARCH(거래처별!$AD$8:$AD$307,$AB196))),거래처별!$A$8:$A$307),IFERROR(LOOKUP(2,1/((거래처별!$AE$8:$AE$307&lt;&gt;"")*ISNUMBER(SEARCH(거래처별!$AE$8:$AE$307,$AB196))),거래처별!$A$8:$A$307),0))))</f>
        <v/>
      </c>
      <c r="AD196" s="31">
        <f>IF(AND($Y196&lt;&gt;"",N($Z196)&gt;0,$AC196=0),MAX($AD$7:$AD195)+1,"")</f>
        <v/>
      </c>
      <c r="AE196" s="31">
        <f>IF($Y196="",0,$Y196)</f>
        <v/>
      </c>
    </row>
    <row r="197">
      <c r="W197" s="31">
        <f>IF(OR($B$5="",$C$6="",ROW()&lt;$B$5),"",IF(INDEX($A:$U,ROW(),$C$6)="","",INDEX($A:$U,ROW(),$C$6)))</f>
        <v/>
      </c>
      <c r="X197" s="32">
        <f>IF($W197="","",IF(ISNUMBER($W197),IF($W197&gt;=10000000,IFERROR(DATE(INT($W197/10000),MOD(INT($W197/100),100),MOD($W197,100)),""),INT($W197)),IFERROR(DATE(--LEFT(LEFT(SUBSTITUTE(SUBSTITUTE(SUBSTITUTE(SUBSTITUTE(TRIM($W197),"-",""),".",""),"/","")," ",""),8),4),--MID(LEFT(SUBSTITUTE(SUBSTITUTE(SUBSTITUTE(SUBSTITUTE(TRIM($W197),"-",""),".",""),"/","")," ",""),8),5,2),--MID(LEFT(SUBSTITUTE(SUBSTITUTE(SUBSTITUTE(SUBSTITUTE(TRIM($W197),"-",""),".",""),"/","")," ",""),8),7,2)),"")))</f>
        <v/>
      </c>
      <c r="Y197" s="32">
        <f>IF($X197="","",INT($X197))</f>
        <v/>
      </c>
      <c r="Z197" s="33">
        <f>IF(OR($Y197="",$D$6=""),"",IF(INDEX($A:$U,ROW(),$D$6)="",0,IF(ISNUMBER(INDEX($A:$U,ROW(),$D$6)),INDEX($A:$U,ROW(),$D$6),IFERROR(--SUBSTITUTE(SUBSTITUTE(TRIM(INDEX($A:$U,ROW(),$D$6)),",",""),"원",""),0))))</f>
        <v/>
      </c>
      <c r="AA197" s="31">
        <f>IF($Y197="","",TRIM(INDEX($A:$U,ROW(),$E$6)&amp;IF($F$6="",""," "&amp;INDEX($A:$U,ROW(),$F$6))))</f>
        <v/>
      </c>
      <c r="AB197" s="31">
        <f>IF($AA197="","",SUBSTITUTE(SUBSTITUTE(SUBSTITUTE(SUBSTITUTE(SUBSTITUTE(SUBSTITUTE(SUBSTITUTE(SUBSTITUTE(SUBSTITUTE($AA197," ",""),"　",""),"(주)",""),"（주）",""),"㈜",""),"주식회사",""),"(유)",""),"（유）",""),"유한회사",""))</f>
        <v/>
      </c>
      <c r="AC197" s="31">
        <f>IF(OR($Y197="",N($Z197)&lt;=0,$AB197=""),0,IFERROR(LOOKUP(2,1/((거래처별!$AC$8:$AC$307&lt;&gt;"")*ISNUMBER(SEARCH(거래처별!$AC$8:$AC$307,$AB197))),거래처별!$A$8:$A$307),IFERROR(LOOKUP(2,1/((거래처별!$AD$8:$AD$307&lt;&gt;"")*ISNUMBER(SEARCH(거래처별!$AD$8:$AD$307,$AB197))),거래처별!$A$8:$A$307),IFERROR(LOOKUP(2,1/((거래처별!$AE$8:$AE$307&lt;&gt;"")*ISNUMBER(SEARCH(거래처별!$AE$8:$AE$307,$AB197))),거래처별!$A$8:$A$307),0))))</f>
        <v/>
      </c>
      <c r="AD197" s="31">
        <f>IF(AND($Y197&lt;&gt;"",N($Z197)&gt;0,$AC197=0),MAX($AD$7:$AD196)+1,"")</f>
        <v/>
      </c>
      <c r="AE197" s="31">
        <f>IF($Y197="",0,$Y197)</f>
        <v/>
      </c>
    </row>
    <row r="198">
      <c r="W198" s="31">
        <f>IF(OR($B$5="",$C$6="",ROW()&lt;$B$5),"",IF(INDEX($A:$U,ROW(),$C$6)="","",INDEX($A:$U,ROW(),$C$6)))</f>
        <v/>
      </c>
      <c r="X198" s="32">
        <f>IF($W198="","",IF(ISNUMBER($W198),IF($W198&gt;=10000000,IFERROR(DATE(INT($W198/10000),MOD(INT($W198/100),100),MOD($W198,100)),""),INT($W198)),IFERROR(DATE(--LEFT(LEFT(SUBSTITUTE(SUBSTITUTE(SUBSTITUTE(SUBSTITUTE(TRIM($W198),"-",""),".",""),"/","")," ",""),8),4),--MID(LEFT(SUBSTITUTE(SUBSTITUTE(SUBSTITUTE(SUBSTITUTE(TRIM($W198),"-",""),".",""),"/","")," ",""),8),5,2),--MID(LEFT(SUBSTITUTE(SUBSTITUTE(SUBSTITUTE(SUBSTITUTE(TRIM($W198),"-",""),".",""),"/","")," ",""),8),7,2)),"")))</f>
        <v/>
      </c>
      <c r="Y198" s="32">
        <f>IF($X198="","",INT($X198))</f>
        <v/>
      </c>
      <c r="Z198" s="33">
        <f>IF(OR($Y198="",$D$6=""),"",IF(INDEX($A:$U,ROW(),$D$6)="",0,IF(ISNUMBER(INDEX($A:$U,ROW(),$D$6)),INDEX($A:$U,ROW(),$D$6),IFERROR(--SUBSTITUTE(SUBSTITUTE(TRIM(INDEX($A:$U,ROW(),$D$6)),",",""),"원",""),0))))</f>
        <v/>
      </c>
      <c r="AA198" s="31">
        <f>IF($Y198="","",TRIM(INDEX($A:$U,ROW(),$E$6)&amp;IF($F$6="",""," "&amp;INDEX($A:$U,ROW(),$F$6))))</f>
        <v/>
      </c>
      <c r="AB198" s="31">
        <f>IF($AA198="","",SUBSTITUTE(SUBSTITUTE(SUBSTITUTE(SUBSTITUTE(SUBSTITUTE(SUBSTITUTE(SUBSTITUTE(SUBSTITUTE(SUBSTITUTE($AA198," ",""),"　",""),"(주)",""),"（주）",""),"㈜",""),"주식회사",""),"(유)",""),"（유）",""),"유한회사",""))</f>
        <v/>
      </c>
      <c r="AC198" s="31">
        <f>IF(OR($Y198="",N($Z198)&lt;=0,$AB198=""),0,IFERROR(LOOKUP(2,1/((거래처별!$AC$8:$AC$307&lt;&gt;"")*ISNUMBER(SEARCH(거래처별!$AC$8:$AC$307,$AB198))),거래처별!$A$8:$A$307),IFERROR(LOOKUP(2,1/((거래처별!$AD$8:$AD$307&lt;&gt;"")*ISNUMBER(SEARCH(거래처별!$AD$8:$AD$307,$AB198))),거래처별!$A$8:$A$307),IFERROR(LOOKUP(2,1/((거래처별!$AE$8:$AE$307&lt;&gt;"")*ISNUMBER(SEARCH(거래처별!$AE$8:$AE$307,$AB198))),거래처별!$A$8:$A$307),0))))</f>
        <v/>
      </c>
      <c r="AD198" s="31">
        <f>IF(AND($Y198&lt;&gt;"",N($Z198)&gt;0,$AC198=0),MAX($AD$7:$AD197)+1,"")</f>
        <v/>
      </c>
      <c r="AE198" s="31">
        <f>IF($Y198="",0,$Y198)</f>
        <v/>
      </c>
    </row>
    <row r="199">
      <c r="W199" s="31">
        <f>IF(OR($B$5="",$C$6="",ROW()&lt;$B$5),"",IF(INDEX($A:$U,ROW(),$C$6)="","",INDEX($A:$U,ROW(),$C$6)))</f>
        <v/>
      </c>
      <c r="X199" s="32">
        <f>IF($W199="","",IF(ISNUMBER($W199),IF($W199&gt;=10000000,IFERROR(DATE(INT($W199/10000),MOD(INT($W199/100),100),MOD($W199,100)),""),INT($W199)),IFERROR(DATE(--LEFT(LEFT(SUBSTITUTE(SUBSTITUTE(SUBSTITUTE(SUBSTITUTE(TRIM($W199),"-",""),".",""),"/","")," ",""),8),4),--MID(LEFT(SUBSTITUTE(SUBSTITUTE(SUBSTITUTE(SUBSTITUTE(TRIM($W199),"-",""),".",""),"/","")," ",""),8),5,2),--MID(LEFT(SUBSTITUTE(SUBSTITUTE(SUBSTITUTE(SUBSTITUTE(TRIM($W199),"-",""),".",""),"/","")," ",""),8),7,2)),"")))</f>
        <v/>
      </c>
      <c r="Y199" s="32">
        <f>IF($X199="","",INT($X199))</f>
        <v/>
      </c>
      <c r="Z199" s="33">
        <f>IF(OR($Y199="",$D$6=""),"",IF(INDEX($A:$U,ROW(),$D$6)="",0,IF(ISNUMBER(INDEX($A:$U,ROW(),$D$6)),INDEX($A:$U,ROW(),$D$6),IFERROR(--SUBSTITUTE(SUBSTITUTE(TRIM(INDEX($A:$U,ROW(),$D$6)),",",""),"원",""),0))))</f>
        <v/>
      </c>
      <c r="AA199" s="31">
        <f>IF($Y199="","",TRIM(INDEX($A:$U,ROW(),$E$6)&amp;IF($F$6="",""," "&amp;INDEX($A:$U,ROW(),$F$6))))</f>
        <v/>
      </c>
      <c r="AB199" s="31">
        <f>IF($AA199="","",SUBSTITUTE(SUBSTITUTE(SUBSTITUTE(SUBSTITUTE(SUBSTITUTE(SUBSTITUTE(SUBSTITUTE(SUBSTITUTE(SUBSTITUTE($AA199," ",""),"　",""),"(주)",""),"（주）",""),"㈜",""),"주식회사",""),"(유)",""),"（유）",""),"유한회사",""))</f>
        <v/>
      </c>
      <c r="AC199" s="31">
        <f>IF(OR($Y199="",N($Z199)&lt;=0,$AB199=""),0,IFERROR(LOOKUP(2,1/((거래처별!$AC$8:$AC$307&lt;&gt;"")*ISNUMBER(SEARCH(거래처별!$AC$8:$AC$307,$AB199))),거래처별!$A$8:$A$307),IFERROR(LOOKUP(2,1/((거래처별!$AD$8:$AD$307&lt;&gt;"")*ISNUMBER(SEARCH(거래처별!$AD$8:$AD$307,$AB199))),거래처별!$A$8:$A$307),IFERROR(LOOKUP(2,1/((거래처별!$AE$8:$AE$307&lt;&gt;"")*ISNUMBER(SEARCH(거래처별!$AE$8:$AE$307,$AB199))),거래처별!$A$8:$A$307),0))))</f>
        <v/>
      </c>
      <c r="AD199" s="31">
        <f>IF(AND($Y199&lt;&gt;"",N($Z199)&gt;0,$AC199=0),MAX($AD$7:$AD198)+1,"")</f>
        <v/>
      </c>
      <c r="AE199" s="31">
        <f>IF($Y199="",0,$Y199)</f>
        <v/>
      </c>
    </row>
    <row r="200">
      <c r="W200" s="31">
        <f>IF(OR($B$5="",$C$6="",ROW()&lt;$B$5),"",IF(INDEX($A:$U,ROW(),$C$6)="","",INDEX($A:$U,ROW(),$C$6)))</f>
        <v/>
      </c>
      <c r="X200" s="32">
        <f>IF($W200="","",IF(ISNUMBER($W200),IF($W200&gt;=10000000,IFERROR(DATE(INT($W200/10000),MOD(INT($W200/100),100),MOD($W200,100)),""),INT($W200)),IFERROR(DATE(--LEFT(LEFT(SUBSTITUTE(SUBSTITUTE(SUBSTITUTE(SUBSTITUTE(TRIM($W200),"-",""),".",""),"/","")," ",""),8),4),--MID(LEFT(SUBSTITUTE(SUBSTITUTE(SUBSTITUTE(SUBSTITUTE(TRIM($W200),"-",""),".",""),"/","")," ",""),8),5,2),--MID(LEFT(SUBSTITUTE(SUBSTITUTE(SUBSTITUTE(SUBSTITUTE(TRIM($W200),"-",""),".",""),"/","")," ",""),8),7,2)),"")))</f>
        <v/>
      </c>
      <c r="Y200" s="32">
        <f>IF($X200="","",INT($X200))</f>
        <v/>
      </c>
      <c r="Z200" s="33">
        <f>IF(OR($Y200="",$D$6=""),"",IF(INDEX($A:$U,ROW(),$D$6)="",0,IF(ISNUMBER(INDEX($A:$U,ROW(),$D$6)),INDEX($A:$U,ROW(),$D$6),IFERROR(--SUBSTITUTE(SUBSTITUTE(TRIM(INDEX($A:$U,ROW(),$D$6)),",",""),"원",""),0))))</f>
        <v/>
      </c>
      <c r="AA200" s="31">
        <f>IF($Y200="","",TRIM(INDEX($A:$U,ROW(),$E$6)&amp;IF($F$6="",""," "&amp;INDEX($A:$U,ROW(),$F$6))))</f>
        <v/>
      </c>
      <c r="AB200" s="31">
        <f>IF($AA200="","",SUBSTITUTE(SUBSTITUTE(SUBSTITUTE(SUBSTITUTE(SUBSTITUTE(SUBSTITUTE(SUBSTITUTE(SUBSTITUTE(SUBSTITUTE($AA200," ",""),"　",""),"(주)",""),"（주）",""),"㈜",""),"주식회사",""),"(유)",""),"（유）",""),"유한회사",""))</f>
        <v/>
      </c>
      <c r="AC200" s="31">
        <f>IF(OR($Y200="",N($Z200)&lt;=0,$AB200=""),0,IFERROR(LOOKUP(2,1/((거래처별!$AC$8:$AC$307&lt;&gt;"")*ISNUMBER(SEARCH(거래처별!$AC$8:$AC$307,$AB200))),거래처별!$A$8:$A$307),IFERROR(LOOKUP(2,1/((거래처별!$AD$8:$AD$307&lt;&gt;"")*ISNUMBER(SEARCH(거래처별!$AD$8:$AD$307,$AB200))),거래처별!$A$8:$A$307),IFERROR(LOOKUP(2,1/((거래처별!$AE$8:$AE$307&lt;&gt;"")*ISNUMBER(SEARCH(거래처별!$AE$8:$AE$307,$AB200))),거래처별!$A$8:$A$307),0))))</f>
        <v/>
      </c>
      <c r="AD200" s="31">
        <f>IF(AND($Y200&lt;&gt;"",N($Z200)&gt;0,$AC200=0),MAX($AD$7:$AD199)+1,"")</f>
        <v/>
      </c>
      <c r="AE200" s="31">
        <f>IF($Y200="",0,$Y200)</f>
        <v/>
      </c>
    </row>
    <row r="201">
      <c r="W201" s="31">
        <f>IF(OR($B$5="",$C$6="",ROW()&lt;$B$5),"",IF(INDEX($A:$U,ROW(),$C$6)="","",INDEX($A:$U,ROW(),$C$6)))</f>
        <v/>
      </c>
      <c r="X201" s="32">
        <f>IF($W201="","",IF(ISNUMBER($W201),IF($W201&gt;=10000000,IFERROR(DATE(INT($W201/10000),MOD(INT($W201/100),100),MOD($W201,100)),""),INT($W201)),IFERROR(DATE(--LEFT(LEFT(SUBSTITUTE(SUBSTITUTE(SUBSTITUTE(SUBSTITUTE(TRIM($W201),"-",""),".",""),"/","")," ",""),8),4),--MID(LEFT(SUBSTITUTE(SUBSTITUTE(SUBSTITUTE(SUBSTITUTE(TRIM($W201),"-",""),".",""),"/","")," ",""),8),5,2),--MID(LEFT(SUBSTITUTE(SUBSTITUTE(SUBSTITUTE(SUBSTITUTE(TRIM($W201),"-",""),".",""),"/","")," ",""),8),7,2)),"")))</f>
        <v/>
      </c>
      <c r="Y201" s="32">
        <f>IF($X201="","",INT($X201))</f>
        <v/>
      </c>
      <c r="Z201" s="33">
        <f>IF(OR($Y201="",$D$6=""),"",IF(INDEX($A:$U,ROW(),$D$6)="",0,IF(ISNUMBER(INDEX($A:$U,ROW(),$D$6)),INDEX($A:$U,ROW(),$D$6),IFERROR(--SUBSTITUTE(SUBSTITUTE(TRIM(INDEX($A:$U,ROW(),$D$6)),",",""),"원",""),0))))</f>
        <v/>
      </c>
      <c r="AA201" s="31">
        <f>IF($Y201="","",TRIM(INDEX($A:$U,ROW(),$E$6)&amp;IF($F$6="",""," "&amp;INDEX($A:$U,ROW(),$F$6))))</f>
        <v/>
      </c>
      <c r="AB201" s="31">
        <f>IF($AA201="","",SUBSTITUTE(SUBSTITUTE(SUBSTITUTE(SUBSTITUTE(SUBSTITUTE(SUBSTITUTE(SUBSTITUTE(SUBSTITUTE(SUBSTITUTE($AA201," ",""),"　",""),"(주)",""),"（주）",""),"㈜",""),"주식회사",""),"(유)",""),"（유）",""),"유한회사",""))</f>
        <v/>
      </c>
      <c r="AC201" s="31">
        <f>IF(OR($Y201="",N($Z201)&lt;=0,$AB201=""),0,IFERROR(LOOKUP(2,1/((거래처별!$AC$8:$AC$307&lt;&gt;"")*ISNUMBER(SEARCH(거래처별!$AC$8:$AC$307,$AB201))),거래처별!$A$8:$A$307),IFERROR(LOOKUP(2,1/((거래처별!$AD$8:$AD$307&lt;&gt;"")*ISNUMBER(SEARCH(거래처별!$AD$8:$AD$307,$AB201))),거래처별!$A$8:$A$307),IFERROR(LOOKUP(2,1/((거래처별!$AE$8:$AE$307&lt;&gt;"")*ISNUMBER(SEARCH(거래처별!$AE$8:$AE$307,$AB201))),거래처별!$A$8:$A$307),0))))</f>
        <v/>
      </c>
      <c r="AD201" s="31">
        <f>IF(AND($Y201&lt;&gt;"",N($Z201)&gt;0,$AC201=0),MAX($AD$7:$AD200)+1,"")</f>
        <v/>
      </c>
      <c r="AE201" s="31">
        <f>IF($Y201="",0,$Y201)</f>
        <v/>
      </c>
    </row>
    <row r="202">
      <c r="W202" s="31">
        <f>IF(OR($B$5="",$C$6="",ROW()&lt;$B$5),"",IF(INDEX($A:$U,ROW(),$C$6)="","",INDEX($A:$U,ROW(),$C$6)))</f>
        <v/>
      </c>
      <c r="X202" s="32">
        <f>IF($W202="","",IF(ISNUMBER($W202),IF($W202&gt;=10000000,IFERROR(DATE(INT($W202/10000),MOD(INT($W202/100),100),MOD($W202,100)),""),INT($W202)),IFERROR(DATE(--LEFT(LEFT(SUBSTITUTE(SUBSTITUTE(SUBSTITUTE(SUBSTITUTE(TRIM($W202),"-",""),".",""),"/","")," ",""),8),4),--MID(LEFT(SUBSTITUTE(SUBSTITUTE(SUBSTITUTE(SUBSTITUTE(TRIM($W202),"-",""),".",""),"/","")," ",""),8),5,2),--MID(LEFT(SUBSTITUTE(SUBSTITUTE(SUBSTITUTE(SUBSTITUTE(TRIM($W202),"-",""),".",""),"/","")," ",""),8),7,2)),"")))</f>
        <v/>
      </c>
      <c r="Y202" s="32">
        <f>IF($X202="","",INT($X202))</f>
        <v/>
      </c>
      <c r="Z202" s="33">
        <f>IF(OR($Y202="",$D$6=""),"",IF(INDEX($A:$U,ROW(),$D$6)="",0,IF(ISNUMBER(INDEX($A:$U,ROW(),$D$6)),INDEX($A:$U,ROW(),$D$6),IFERROR(--SUBSTITUTE(SUBSTITUTE(TRIM(INDEX($A:$U,ROW(),$D$6)),",",""),"원",""),0))))</f>
        <v/>
      </c>
      <c r="AA202" s="31">
        <f>IF($Y202="","",TRIM(INDEX($A:$U,ROW(),$E$6)&amp;IF($F$6="",""," "&amp;INDEX($A:$U,ROW(),$F$6))))</f>
        <v/>
      </c>
      <c r="AB202" s="31">
        <f>IF($AA202="","",SUBSTITUTE(SUBSTITUTE(SUBSTITUTE(SUBSTITUTE(SUBSTITUTE(SUBSTITUTE(SUBSTITUTE(SUBSTITUTE(SUBSTITUTE($AA202," ",""),"　",""),"(주)",""),"（주）",""),"㈜",""),"주식회사",""),"(유)",""),"（유）",""),"유한회사",""))</f>
        <v/>
      </c>
      <c r="AC202" s="31">
        <f>IF(OR($Y202="",N($Z202)&lt;=0,$AB202=""),0,IFERROR(LOOKUP(2,1/((거래처별!$AC$8:$AC$307&lt;&gt;"")*ISNUMBER(SEARCH(거래처별!$AC$8:$AC$307,$AB202))),거래처별!$A$8:$A$307),IFERROR(LOOKUP(2,1/((거래처별!$AD$8:$AD$307&lt;&gt;"")*ISNUMBER(SEARCH(거래처별!$AD$8:$AD$307,$AB202))),거래처별!$A$8:$A$307),IFERROR(LOOKUP(2,1/((거래처별!$AE$8:$AE$307&lt;&gt;"")*ISNUMBER(SEARCH(거래처별!$AE$8:$AE$307,$AB202))),거래처별!$A$8:$A$307),0))))</f>
        <v/>
      </c>
      <c r="AD202" s="31">
        <f>IF(AND($Y202&lt;&gt;"",N($Z202)&gt;0,$AC202=0),MAX($AD$7:$AD201)+1,"")</f>
        <v/>
      </c>
      <c r="AE202" s="31">
        <f>IF($Y202="",0,$Y202)</f>
        <v/>
      </c>
    </row>
    <row r="203">
      <c r="W203" s="31">
        <f>IF(OR($B$5="",$C$6="",ROW()&lt;$B$5),"",IF(INDEX($A:$U,ROW(),$C$6)="","",INDEX($A:$U,ROW(),$C$6)))</f>
        <v/>
      </c>
      <c r="X203" s="32">
        <f>IF($W203="","",IF(ISNUMBER($W203),IF($W203&gt;=10000000,IFERROR(DATE(INT($W203/10000),MOD(INT($W203/100),100),MOD($W203,100)),""),INT($W203)),IFERROR(DATE(--LEFT(LEFT(SUBSTITUTE(SUBSTITUTE(SUBSTITUTE(SUBSTITUTE(TRIM($W203),"-",""),".",""),"/","")," ",""),8),4),--MID(LEFT(SUBSTITUTE(SUBSTITUTE(SUBSTITUTE(SUBSTITUTE(TRIM($W203),"-",""),".",""),"/","")," ",""),8),5,2),--MID(LEFT(SUBSTITUTE(SUBSTITUTE(SUBSTITUTE(SUBSTITUTE(TRIM($W203),"-",""),".",""),"/","")," ",""),8),7,2)),"")))</f>
        <v/>
      </c>
      <c r="Y203" s="32">
        <f>IF($X203="","",INT($X203))</f>
        <v/>
      </c>
      <c r="Z203" s="33">
        <f>IF(OR($Y203="",$D$6=""),"",IF(INDEX($A:$U,ROW(),$D$6)="",0,IF(ISNUMBER(INDEX($A:$U,ROW(),$D$6)),INDEX($A:$U,ROW(),$D$6),IFERROR(--SUBSTITUTE(SUBSTITUTE(TRIM(INDEX($A:$U,ROW(),$D$6)),",",""),"원",""),0))))</f>
        <v/>
      </c>
      <c r="AA203" s="31">
        <f>IF($Y203="","",TRIM(INDEX($A:$U,ROW(),$E$6)&amp;IF($F$6="",""," "&amp;INDEX($A:$U,ROW(),$F$6))))</f>
        <v/>
      </c>
      <c r="AB203" s="31">
        <f>IF($AA203="","",SUBSTITUTE(SUBSTITUTE(SUBSTITUTE(SUBSTITUTE(SUBSTITUTE(SUBSTITUTE(SUBSTITUTE(SUBSTITUTE(SUBSTITUTE($AA203," ",""),"　",""),"(주)",""),"（주）",""),"㈜",""),"주식회사",""),"(유)",""),"（유）",""),"유한회사",""))</f>
        <v/>
      </c>
      <c r="AC203" s="31">
        <f>IF(OR($Y203="",N($Z203)&lt;=0,$AB203=""),0,IFERROR(LOOKUP(2,1/((거래처별!$AC$8:$AC$307&lt;&gt;"")*ISNUMBER(SEARCH(거래처별!$AC$8:$AC$307,$AB203))),거래처별!$A$8:$A$307),IFERROR(LOOKUP(2,1/((거래처별!$AD$8:$AD$307&lt;&gt;"")*ISNUMBER(SEARCH(거래처별!$AD$8:$AD$307,$AB203))),거래처별!$A$8:$A$307),IFERROR(LOOKUP(2,1/((거래처별!$AE$8:$AE$307&lt;&gt;"")*ISNUMBER(SEARCH(거래처별!$AE$8:$AE$307,$AB203))),거래처별!$A$8:$A$307),0))))</f>
        <v/>
      </c>
      <c r="AD203" s="31">
        <f>IF(AND($Y203&lt;&gt;"",N($Z203)&gt;0,$AC203=0),MAX($AD$7:$AD202)+1,"")</f>
        <v/>
      </c>
      <c r="AE203" s="31">
        <f>IF($Y203="",0,$Y203)</f>
        <v/>
      </c>
    </row>
    <row r="204">
      <c r="W204" s="31">
        <f>IF(OR($B$5="",$C$6="",ROW()&lt;$B$5),"",IF(INDEX($A:$U,ROW(),$C$6)="","",INDEX($A:$U,ROW(),$C$6)))</f>
        <v/>
      </c>
      <c r="X204" s="32">
        <f>IF($W204="","",IF(ISNUMBER($W204),IF($W204&gt;=10000000,IFERROR(DATE(INT($W204/10000),MOD(INT($W204/100),100),MOD($W204,100)),""),INT($W204)),IFERROR(DATE(--LEFT(LEFT(SUBSTITUTE(SUBSTITUTE(SUBSTITUTE(SUBSTITUTE(TRIM($W204),"-",""),".",""),"/","")," ",""),8),4),--MID(LEFT(SUBSTITUTE(SUBSTITUTE(SUBSTITUTE(SUBSTITUTE(TRIM($W204),"-",""),".",""),"/","")," ",""),8),5,2),--MID(LEFT(SUBSTITUTE(SUBSTITUTE(SUBSTITUTE(SUBSTITUTE(TRIM($W204),"-",""),".",""),"/","")," ",""),8),7,2)),"")))</f>
        <v/>
      </c>
      <c r="Y204" s="32">
        <f>IF($X204="","",INT($X204))</f>
        <v/>
      </c>
      <c r="Z204" s="33">
        <f>IF(OR($Y204="",$D$6=""),"",IF(INDEX($A:$U,ROW(),$D$6)="",0,IF(ISNUMBER(INDEX($A:$U,ROW(),$D$6)),INDEX($A:$U,ROW(),$D$6),IFERROR(--SUBSTITUTE(SUBSTITUTE(TRIM(INDEX($A:$U,ROW(),$D$6)),",",""),"원",""),0))))</f>
        <v/>
      </c>
      <c r="AA204" s="31">
        <f>IF($Y204="","",TRIM(INDEX($A:$U,ROW(),$E$6)&amp;IF($F$6="",""," "&amp;INDEX($A:$U,ROW(),$F$6))))</f>
        <v/>
      </c>
      <c r="AB204" s="31">
        <f>IF($AA204="","",SUBSTITUTE(SUBSTITUTE(SUBSTITUTE(SUBSTITUTE(SUBSTITUTE(SUBSTITUTE(SUBSTITUTE(SUBSTITUTE(SUBSTITUTE($AA204," ",""),"　",""),"(주)",""),"（주）",""),"㈜",""),"주식회사",""),"(유)",""),"（유）",""),"유한회사",""))</f>
        <v/>
      </c>
      <c r="AC204" s="31">
        <f>IF(OR($Y204="",N($Z204)&lt;=0,$AB204=""),0,IFERROR(LOOKUP(2,1/((거래처별!$AC$8:$AC$307&lt;&gt;"")*ISNUMBER(SEARCH(거래처별!$AC$8:$AC$307,$AB204))),거래처별!$A$8:$A$307),IFERROR(LOOKUP(2,1/((거래처별!$AD$8:$AD$307&lt;&gt;"")*ISNUMBER(SEARCH(거래처별!$AD$8:$AD$307,$AB204))),거래처별!$A$8:$A$307),IFERROR(LOOKUP(2,1/((거래처별!$AE$8:$AE$307&lt;&gt;"")*ISNUMBER(SEARCH(거래처별!$AE$8:$AE$307,$AB204))),거래처별!$A$8:$A$307),0))))</f>
        <v/>
      </c>
      <c r="AD204" s="31">
        <f>IF(AND($Y204&lt;&gt;"",N($Z204)&gt;0,$AC204=0),MAX($AD$7:$AD203)+1,"")</f>
        <v/>
      </c>
      <c r="AE204" s="31">
        <f>IF($Y204="",0,$Y204)</f>
        <v/>
      </c>
    </row>
    <row r="205">
      <c r="W205" s="31">
        <f>IF(OR($B$5="",$C$6="",ROW()&lt;$B$5),"",IF(INDEX($A:$U,ROW(),$C$6)="","",INDEX($A:$U,ROW(),$C$6)))</f>
        <v/>
      </c>
      <c r="X205" s="32">
        <f>IF($W205="","",IF(ISNUMBER($W205),IF($W205&gt;=10000000,IFERROR(DATE(INT($W205/10000),MOD(INT($W205/100),100),MOD($W205,100)),""),INT($W205)),IFERROR(DATE(--LEFT(LEFT(SUBSTITUTE(SUBSTITUTE(SUBSTITUTE(SUBSTITUTE(TRIM($W205),"-",""),".",""),"/","")," ",""),8),4),--MID(LEFT(SUBSTITUTE(SUBSTITUTE(SUBSTITUTE(SUBSTITUTE(TRIM($W205),"-",""),".",""),"/","")," ",""),8),5,2),--MID(LEFT(SUBSTITUTE(SUBSTITUTE(SUBSTITUTE(SUBSTITUTE(TRIM($W205),"-",""),".",""),"/","")," ",""),8),7,2)),"")))</f>
        <v/>
      </c>
      <c r="Y205" s="32">
        <f>IF($X205="","",INT($X205))</f>
        <v/>
      </c>
      <c r="Z205" s="33">
        <f>IF(OR($Y205="",$D$6=""),"",IF(INDEX($A:$U,ROW(),$D$6)="",0,IF(ISNUMBER(INDEX($A:$U,ROW(),$D$6)),INDEX($A:$U,ROW(),$D$6),IFERROR(--SUBSTITUTE(SUBSTITUTE(TRIM(INDEX($A:$U,ROW(),$D$6)),",",""),"원",""),0))))</f>
        <v/>
      </c>
      <c r="AA205" s="31">
        <f>IF($Y205="","",TRIM(INDEX($A:$U,ROW(),$E$6)&amp;IF($F$6="",""," "&amp;INDEX($A:$U,ROW(),$F$6))))</f>
        <v/>
      </c>
      <c r="AB205" s="31">
        <f>IF($AA205="","",SUBSTITUTE(SUBSTITUTE(SUBSTITUTE(SUBSTITUTE(SUBSTITUTE(SUBSTITUTE(SUBSTITUTE(SUBSTITUTE(SUBSTITUTE($AA205," ",""),"　",""),"(주)",""),"（주）",""),"㈜",""),"주식회사",""),"(유)",""),"（유）",""),"유한회사",""))</f>
        <v/>
      </c>
      <c r="AC205" s="31">
        <f>IF(OR($Y205="",N($Z205)&lt;=0,$AB205=""),0,IFERROR(LOOKUP(2,1/((거래처별!$AC$8:$AC$307&lt;&gt;"")*ISNUMBER(SEARCH(거래처별!$AC$8:$AC$307,$AB205))),거래처별!$A$8:$A$307),IFERROR(LOOKUP(2,1/((거래처별!$AD$8:$AD$307&lt;&gt;"")*ISNUMBER(SEARCH(거래처별!$AD$8:$AD$307,$AB205))),거래처별!$A$8:$A$307),IFERROR(LOOKUP(2,1/((거래처별!$AE$8:$AE$307&lt;&gt;"")*ISNUMBER(SEARCH(거래처별!$AE$8:$AE$307,$AB205))),거래처별!$A$8:$A$307),0))))</f>
        <v/>
      </c>
      <c r="AD205" s="31">
        <f>IF(AND($Y205&lt;&gt;"",N($Z205)&gt;0,$AC205=0),MAX($AD$7:$AD204)+1,"")</f>
        <v/>
      </c>
      <c r="AE205" s="31">
        <f>IF($Y205="",0,$Y205)</f>
        <v/>
      </c>
    </row>
    <row r="206">
      <c r="W206" s="31">
        <f>IF(OR($B$5="",$C$6="",ROW()&lt;$B$5),"",IF(INDEX($A:$U,ROW(),$C$6)="","",INDEX($A:$U,ROW(),$C$6)))</f>
        <v/>
      </c>
      <c r="X206" s="32">
        <f>IF($W206="","",IF(ISNUMBER($W206),IF($W206&gt;=10000000,IFERROR(DATE(INT($W206/10000),MOD(INT($W206/100),100),MOD($W206,100)),""),INT($W206)),IFERROR(DATE(--LEFT(LEFT(SUBSTITUTE(SUBSTITUTE(SUBSTITUTE(SUBSTITUTE(TRIM($W206),"-",""),".",""),"/","")," ",""),8),4),--MID(LEFT(SUBSTITUTE(SUBSTITUTE(SUBSTITUTE(SUBSTITUTE(TRIM($W206),"-",""),".",""),"/","")," ",""),8),5,2),--MID(LEFT(SUBSTITUTE(SUBSTITUTE(SUBSTITUTE(SUBSTITUTE(TRIM($W206),"-",""),".",""),"/","")," ",""),8),7,2)),"")))</f>
        <v/>
      </c>
      <c r="Y206" s="32">
        <f>IF($X206="","",INT($X206))</f>
        <v/>
      </c>
      <c r="Z206" s="33">
        <f>IF(OR($Y206="",$D$6=""),"",IF(INDEX($A:$U,ROW(),$D$6)="",0,IF(ISNUMBER(INDEX($A:$U,ROW(),$D$6)),INDEX($A:$U,ROW(),$D$6),IFERROR(--SUBSTITUTE(SUBSTITUTE(TRIM(INDEX($A:$U,ROW(),$D$6)),",",""),"원",""),0))))</f>
        <v/>
      </c>
      <c r="AA206" s="31">
        <f>IF($Y206="","",TRIM(INDEX($A:$U,ROW(),$E$6)&amp;IF($F$6="",""," "&amp;INDEX($A:$U,ROW(),$F$6))))</f>
        <v/>
      </c>
      <c r="AB206" s="31">
        <f>IF($AA206="","",SUBSTITUTE(SUBSTITUTE(SUBSTITUTE(SUBSTITUTE(SUBSTITUTE(SUBSTITUTE(SUBSTITUTE(SUBSTITUTE(SUBSTITUTE($AA206," ",""),"　",""),"(주)",""),"（주）",""),"㈜",""),"주식회사",""),"(유)",""),"（유）",""),"유한회사",""))</f>
        <v/>
      </c>
      <c r="AC206" s="31">
        <f>IF(OR($Y206="",N($Z206)&lt;=0,$AB206=""),0,IFERROR(LOOKUP(2,1/((거래처별!$AC$8:$AC$307&lt;&gt;"")*ISNUMBER(SEARCH(거래처별!$AC$8:$AC$307,$AB206))),거래처별!$A$8:$A$307),IFERROR(LOOKUP(2,1/((거래처별!$AD$8:$AD$307&lt;&gt;"")*ISNUMBER(SEARCH(거래처별!$AD$8:$AD$307,$AB206))),거래처별!$A$8:$A$307),IFERROR(LOOKUP(2,1/((거래처별!$AE$8:$AE$307&lt;&gt;"")*ISNUMBER(SEARCH(거래처별!$AE$8:$AE$307,$AB206))),거래처별!$A$8:$A$307),0))))</f>
        <v/>
      </c>
      <c r="AD206" s="31">
        <f>IF(AND($Y206&lt;&gt;"",N($Z206)&gt;0,$AC206=0),MAX($AD$7:$AD205)+1,"")</f>
        <v/>
      </c>
      <c r="AE206" s="31">
        <f>IF($Y206="",0,$Y206)</f>
        <v/>
      </c>
    </row>
    <row r="207">
      <c r="W207" s="31">
        <f>IF(OR($B$5="",$C$6="",ROW()&lt;$B$5),"",IF(INDEX($A:$U,ROW(),$C$6)="","",INDEX($A:$U,ROW(),$C$6)))</f>
        <v/>
      </c>
      <c r="X207" s="32">
        <f>IF($W207="","",IF(ISNUMBER($W207),IF($W207&gt;=10000000,IFERROR(DATE(INT($W207/10000),MOD(INT($W207/100),100),MOD($W207,100)),""),INT($W207)),IFERROR(DATE(--LEFT(LEFT(SUBSTITUTE(SUBSTITUTE(SUBSTITUTE(SUBSTITUTE(TRIM($W207),"-",""),".",""),"/","")," ",""),8),4),--MID(LEFT(SUBSTITUTE(SUBSTITUTE(SUBSTITUTE(SUBSTITUTE(TRIM($W207),"-",""),".",""),"/","")," ",""),8),5,2),--MID(LEFT(SUBSTITUTE(SUBSTITUTE(SUBSTITUTE(SUBSTITUTE(TRIM($W207),"-",""),".",""),"/","")," ",""),8),7,2)),"")))</f>
        <v/>
      </c>
      <c r="Y207" s="32">
        <f>IF($X207="","",INT($X207))</f>
        <v/>
      </c>
      <c r="Z207" s="33">
        <f>IF(OR($Y207="",$D$6=""),"",IF(INDEX($A:$U,ROW(),$D$6)="",0,IF(ISNUMBER(INDEX($A:$U,ROW(),$D$6)),INDEX($A:$U,ROW(),$D$6),IFERROR(--SUBSTITUTE(SUBSTITUTE(TRIM(INDEX($A:$U,ROW(),$D$6)),",",""),"원",""),0))))</f>
        <v/>
      </c>
      <c r="AA207" s="31">
        <f>IF($Y207="","",TRIM(INDEX($A:$U,ROW(),$E$6)&amp;IF($F$6="",""," "&amp;INDEX($A:$U,ROW(),$F$6))))</f>
        <v/>
      </c>
      <c r="AB207" s="31">
        <f>IF($AA207="","",SUBSTITUTE(SUBSTITUTE(SUBSTITUTE(SUBSTITUTE(SUBSTITUTE(SUBSTITUTE(SUBSTITUTE(SUBSTITUTE(SUBSTITUTE($AA207," ",""),"　",""),"(주)",""),"（주）",""),"㈜",""),"주식회사",""),"(유)",""),"（유）",""),"유한회사",""))</f>
        <v/>
      </c>
      <c r="AC207" s="31">
        <f>IF(OR($Y207="",N($Z207)&lt;=0,$AB207=""),0,IFERROR(LOOKUP(2,1/((거래처별!$AC$8:$AC$307&lt;&gt;"")*ISNUMBER(SEARCH(거래처별!$AC$8:$AC$307,$AB207))),거래처별!$A$8:$A$307),IFERROR(LOOKUP(2,1/((거래처별!$AD$8:$AD$307&lt;&gt;"")*ISNUMBER(SEARCH(거래처별!$AD$8:$AD$307,$AB207))),거래처별!$A$8:$A$307),IFERROR(LOOKUP(2,1/((거래처별!$AE$8:$AE$307&lt;&gt;"")*ISNUMBER(SEARCH(거래처별!$AE$8:$AE$307,$AB207))),거래처별!$A$8:$A$307),0))))</f>
        <v/>
      </c>
      <c r="AD207" s="31">
        <f>IF(AND($Y207&lt;&gt;"",N($Z207)&gt;0,$AC207=0),MAX($AD$7:$AD206)+1,"")</f>
        <v/>
      </c>
      <c r="AE207" s="31">
        <f>IF($Y207="",0,$Y207)</f>
        <v/>
      </c>
    </row>
    <row r="208">
      <c r="W208" s="31">
        <f>IF(OR($B$5="",$C$6="",ROW()&lt;$B$5),"",IF(INDEX($A:$U,ROW(),$C$6)="","",INDEX($A:$U,ROW(),$C$6)))</f>
        <v/>
      </c>
      <c r="X208" s="32">
        <f>IF($W208="","",IF(ISNUMBER($W208),IF($W208&gt;=10000000,IFERROR(DATE(INT($W208/10000),MOD(INT($W208/100),100),MOD($W208,100)),""),INT($W208)),IFERROR(DATE(--LEFT(LEFT(SUBSTITUTE(SUBSTITUTE(SUBSTITUTE(SUBSTITUTE(TRIM($W208),"-",""),".",""),"/","")," ",""),8),4),--MID(LEFT(SUBSTITUTE(SUBSTITUTE(SUBSTITUTE(SUBSTITUTE(TRIM($W208),"-",""),".",""),"/","")," ",""),8),5,2),--MID(LEFT(SUBSTITUTE(SUBSTITUTE(SUBSTITUTE(SUBSTITUTE(TRIM($W208),"-",""),".",""),"/","")," ",""),8),7,2)),"")))</f>
        <v/>
      </c>
      <c r="Y208" s="32">
        <f>IF($X208="","",INT($X208))</f>
        <v/>
      </c>
      <c r="Z208" s="33">
        <f>IF(OR($Y208="",$D$6=""),"",IF(INDEX($A:$U,ROW(),$D$6)="",0,IF(ISNUMBER(INDEX($A:$U,ROW(),$D$6)),INDEX($A:$U,ROW(),$D$6),IFERROR(--SUBSTITUTE(SUBSTITUTE(TRIM(INDEX($A:$U,ROW(),$D$6)),",",""),"원",""),0))))</f>
        <v/>
      </c>
      <c r="AA208" s="31">
        <f>IF($Y208="","",TRIM(INDEX($A:$U,ROW(),$E$6)&amp;IF($F$6="",""," "&amp;INDEX($A:$U,ROW(),$F$6))))</f>
        <v/>
      </c>
      <c r="AB208" s="31">
        <f>IF($AA208="","",SUBSTITUTE(SUBSTITUTE(SUBSTITUTE(SUBSTITUTE(SUBSTITUTE(SUBSTITUTE(SUBSTITUTE(SUBSTITUTE(SUBSTITUTE($AA208," ",""),"　",""),"(주)",""),"（주）",""),"㈜",""),"주식회사",""),"(유)",""),"（유）",""),"유한회사",""))</f>
        <v/>
      </c>
      <c r="AC208" s="31">
        <f>IF(OR($Y208="",N($Z208)&lt;=0,$AB208=""),0,IFERROR(LOOKUP(2,1/((거래처별!$AC$8:$AC$307&lt;&gt;"")*ISNUMBER(SEARCH(거래처별!$AC$8:$AC$307,$AB208))),거래처별!$A$8:$A$307),IFERROR(LOOKUP(2,1/((거래처별!$AD$8:$AD$307&lt;&gt;"")*ISNUMBER(SEARCH(거래처별!$AD$8:$AD$307,$AB208))),거래처별!$A$8:$A$307),IFERROR(LOOKUP(2,1/((거래처별!$AE$8:$AE$307&lt;&gt;"")*ISNUMBER(SEARCH(거래처별!$AE$8:$AE$307,$AB208))),거래처별!$A$8:$A$307),0))))</f>
        <v/>
      </c>
      <c r="AD208" s="31">
        <f>IF(AND($Y208&lt;&gt;"",N($Z208)&gt;0,$AC208=0),MAX($AD$7:$AD207)+1,"")</f>
        <v/>
      </c>
      <c r="AE208" s="31">
        <f>IF($Y208="",0,$Y208)</f>
        <v/>
      </c>
    </row>
    <row r="209">
      <c r="W209" s="31">
        <f>IF(OR($B$5="",$C$6="",ROW()&lt;$B$5),"",IF(INDEX($A:$U,ROW(),$C$6)="","",INDEX($A:$U,ROW(),$C$6)))</f>
        <v/>
      </c>
      <c r="X209" s="32">
        <f>IF($W209="","",IF(ISNUMBER($W209),IF($W209&gt;=10000000,IFERROR(DATE(INT($W209/10000),MOD(INT($W209/100),100),MOD($W209,100)),""),INT($W209)),IFERROR(DATE(--LEFT(LEFT(SUBSTITUTE(SUBSTITUTE(SUBSTITUTE(SUBSTITUTE(TRIM($W209),"-",""),".",""),"/","")," ",""),8),4),--MID(LEFT(SUBSTITUTE(SUBSTITUTE(SUBSTITUTE(SUBSTITUTE(TRIM($W209),"-",""),".",""),"/","")," ",""),8),5,2),--MID(LEFT(SUBSTITUTE(SUBSTITUTE(SUBSTITUTE(SUBSTITUTE(TRIM($W209),"-",""),".",""),"/","")," ",""),8),7,2)),"")))</f>
        <v/>
      </c>
      <c r="Y209" s="32">
        <f>IF($X209="","",INT($X209))</f>
        <v/>
      </c>
      <c r="Z209" s="33">
        <f>IF(OR($Y209="",$D$6=""),"",IF(INDEX($A:$U,ROW(),$D$6)="",0,IF(ISNUMBER(INDEX($A:$U,ROW(),$D$6)),INDEX($A:$U,ROW(),$D$6),IFERROR(--SUBSTITUTE(SUBSTITUTE(TRIM(INDEX($A:$U,ROW(),$D$6)),",",""),"원",""),0))))</f>
        <v/>
      </c>
      <c r="AA209" s="31">
        <f>IF($Y209="","",TRIM(INDEX($A:$U,ROW(),$E$6)&amp;IF($F$6="",""," "&amp;INDEX($A:$U,ROW(),$F$6))))</f>
        <v/>
      </c>
      <c r="AB209" s="31">
        <f>IF($AA209="","",SUBSTITUTE(SUBSTITUTE(SUBSTITUTE(SUBSTITUTE(SUBSTITUTE(SUBSTITUTE(SUBSTITUTE(SUBSTITUTE(SUBSTITUTE($AA209," ",""),"　",""),"(주)",""),"（주）",""),"㈜",""),"주식회사",""),"(유)",""),"（유）",""),"유한회사",""))</f>
        <v/>
      </c>
      <c r="AC209" s="31">
        <f>IF(OR($Y209="",N($Z209)&lt;=0,$AB209=""),0,IFERROR(LOOKUP(2,1/((거래처별!$AC$8:$AC$307&lt;&gt;"")*ISNUMBER(SEARCH(거래처별!$AC$8:$AC$307,$AB209))),거래처별!$A$8:$A$307),IFERROR(LOOKUP(2,1/((거래처별!$AD$8:$AD$307&lt;&gt;"")*ISNUMBER(SEARCH(거래처별!$AD$8:$AD$307,$AB209))),거래처별!$A$8:$A$307),IFERROR(LOOKUP(2,1/((거래처별!$AE$8:$AE$307&lt;&gt;"")*ISNUMBER(SEARCH(거래처별!$AE$8:$AE$307,$AB209))),거래처별!$A$8:$A$307),0))))</f>
        <v/>
      </c>
      <c r="AD209" s="31">
        <f>IF(AND($Y209&lt;&gt;"",N($Z209)&gt;0,$AC209=0),MAX($AD$7:$AD208)+1,"")</f>
        <v/>
      </c>
      <c r="AE209" s="31">
        <f>IF($Y209="",0,$Y209)</f>
        <v/>
      </c>
    </row>
    <row r="210">
      <c r="W210" s="31">
        <f>IF(OR($B$5="",$C$6="",ROW()&lt;$B$5),"",IF(INDEX($A:$U,ROW(),$C$6)="","",INDEX($A:$U,ROW(),$C$6)))</f>
        <v/>
      </c>
      <c r="X210" s="32">
        <f>IF($W210="","",IF(ISNUMBER($W210),IF($W210&gt;=10000000,IFERROR(DATE(INT($W210/10000),MOD(INT($W210/100),100),MOD($W210,100)),""),INT($W210)),IFERROR(DATE(--LEFT(LEFT(SUBSTITUTE(SUBSTITUTE(SUBSTITUTE(SUBSTITUTE(TRIM($W210),"-",""),".",""),"/","")," ",""),8),4),--MID(LEFT(SUBSTITUTE(SUBSTITUTE(SUBSTITUTE(SUBSTITUTE(TRIM($W210),"-",""),".",""),"/","")," ",""),8),5,2),--MID(LEFT(SUBSTITUTE(SUBSTITUTE(SUBSTITUTE(SUBSTITUTE(TRIM($W210),"-",""),".",""),"/","")," ",""),8),7,2)),"")))</f>
        <v/>
      </c>
      <c r="Y210" s="32">
        <f>IF($X210="","",INT($X210))</f>
        <v/>
      </c>
      <c r="Z210" s="33">
        <f>IF(OR($Y210="",$D$6=""),"",IF(INDEX($A:$U,ROW(),$D$6)="",0,IF(ISNUMBER(INDEX($A:$U,ROW(),$D$6)),INDEX($A:$U,ROW(),$D$6),IFERROR(--SUBSTITUTE(SUBSTITUTE(TRIM(INDEX($A:$U,ROW(),$D$6)),",",""),"원",""),0))))</f>
        <v/>
      </c>
      <c r="AA210" s="31">
        <f>IF($Y210="","",TRIM(INDEX($A:$U,ROW(),$E$6)&amp;IF($F$6="",""," "&amp;INDEX($A:$U,ROW(),$F$6))))</f>
        <v/>
      </c>
      <c r="AB210" s="31">
        <f>IF($AA210="","",SUBSTITUTE(SUBSTITUTE(SUBSTITUTE(SUBSTITUTE(SUBSTITUTE(SUBSTITUTE(SUBSTITUTE(SUBSTITUTE(SUBSTITUTE($AA210," ",""),"　",""),"(주)",""),"（주）",""),"㈜",""),"주식회사",""),"(유)",""),"（유）",""),"유한회사",""))</f>
        <v/>
      </c>
      <c r="AC210" s="31">
        <f>IF(OR($Y210="",N($Z210)&lt;=0,$AB210=""),0,IFERROR(LOOKUP(2,1/((거래처별!$AC$8:$AC$307&lt;&gt;"")*ISNUMBER(SEARCH(거래처별!$AC$8:$AC$307,$AB210))),거래처별!$A$8:$A$307),IFERROR(LOOKUP(2,1/((거래처별!$AD$8:$AD$307&lt;&gt;"")*ISNUMBER(SEARCH(거래처별!$AD$8:$AD$307,$AB210))),거래처별!$A$8:$A$307),IFERROR(LOOKUP(2,1/((거래처별!$AE$8:$AE$307&lt;&gt;"")*ISNUMBER(SEARCH(거래처별!$AE$8:$AE$307,$AB210))),거래처별!$A$8:$A$307),0))))</f>
        <v/>
      </c>
      <c r="AD210" s="31">
        <f>IF(AND($Y210&lt;&gt;"",N($Z210)&gt;0,$AC210=0),MAX($AD$7:$AD209)+1,"")</f>
        <v/>
      </c>
      <c r="AE210" s="31">
        <f>IF($Y210="",0,$Y210)</f>
        <v/>
      </c>
    </row>
    <row r="211">
      <c r="W211" s="31">
        <f>IF(OR($B$5="",$C$6="",ROW()&lt;$B$5),"",IF(INDEX($A:$U,ROW(),$C$6)="","",INDEX($A:$U,ROW(),$C$6)))</f>
        <v/>
      </c>
      <c r="X211" s="32">
        <f>IF($W211="","",IF(ISNUMBER($W211),IF($W211&gt;=10000000,IFERROR(DATE(INT($W211/10000),MOD(INT($W211/100),100),MOD($W211,100)),""),INT($W211)),IFERROR(DATE(--LEFT(LEFT(SUBSTITUTE(SUBSTITUTE(SUBSTITUTE(SUBSTITUTE(TRIM($W211),"-",""),".",""),"/","")," ",""),8),4),--MID(LEFT(SUBSTITUTE(SUBSTITUTE(SUBSTITUTE(SUBSTITUTE(TRIM($W211),"-",""),".",""),"/","")," ",""),8),5,2),--MID(LEFT(SUBSTITUTE(SUBSTITUTE(SUBSTITUTE(SUBSTITUTE(TRIM($W211),"-",""),".",""),"/","")," ",""),8),7,2)),"")))</f>
        <v/>
      </c>
      <c r="Y211" s="32">
        <f>IF($X211="","",INT($X211))</f>
        <v/>
      </c>
      <c r="Z211" s="33">
        <f>IF(OR($Y211="",$D$6=""),"",IF(INDEX($A:$U,ROW(),$D$6)="",0,IF(ISNUMBER(INDEX($A:$U,ROW(),$D$6)),INDEX($A:$U,ROW(),$D$6),IFERROR(--SUBSTITUTE(SUBSTITUTE(TRIM(INDEX($A:$U,ROW(),$D$6)),",",""),"원",""),0))))</f>
        <v/>
      </c>
      <c r="AA211" s="31">
        <f>IF($Y211="","",TRIM(INDEX($A:$U,ROW(),$E$6)&amp;IF($F$6="",""," "&amp;INDEX($A:$U,ROW(),$F$6))))</f>
        <v/>
      </c>
      <c r="AB211" s="31">
        <f>IF($AA211="","",SUBSTITUTE(SUBSTITUTE(SUBSTITUTE(SUBSTITUTE(SUBSTITUTE(SUBSTITUTE(SUBSTITUTE(SUBSTITUTE(SUBSTITUTE($AA211," ",""),"　",""),"(주)",""),"（주）",""),"㈜",""),"주식회사",""),"(유)",""),"（유）",""),"유한회사",""))</f>
        <v/>
      </c>
      <c r="AC211" s="31">
        <f>IF(OR($Y211="",N($Z211)&lt;=0,$AB211=""),0,IFERROR(LOOKUP(2,1/((거래처별!$AC$8:$AC$307&lt;&gt;"")*ISNUMBER(SEARCH(거래처별!$AC$8:$AC$307,$AB211))),거래처별!$A$8:$A$307),IFERROR(LOOKUP(2,1/((거래처별!$AD$8:$AD$307&lt;&gt;"")*ISNUMBER(SEARCH(거래처별!$AD$8:$AD$307,$AB211))),거래처별!$A$8:$A$307),IFERROR(LOOKUP(2,1/((거래처별!$AE$8:$AE$307&lt;&gt;"")*ISNUMBER(SEARCH(거래처별!$AE$8:$AE$307,$AB211))),거래처별!$A$8:$A$307),0))))</f>
        <v/>
      </c>
      <c r="AD211" s="31">
        <f>IF(AND($Y211&lt;&gt;"",N($Z211)&gt;0,$AC211=0),MAX($AD$7:$AD210)+1,"")</f>
        <v/>
      </c>
      <c r="AE211" s="31">
        <f>IF($Y211="",0,$Y211)</f>
        <v/>
      </c>
    </row>
    <row r="212">
      <c r="W212" s="31">
        <f>IF(OR($B$5="",$C$6="",ROW()&lt;$B$5),"",IF(INDEX($A:$U,ROW(),$C$6)="","",INDEX($A:$U,ROW(),$C$6)))</f>
        <v/>
      </c>
      <c r="X212" s="32">
        <f>IF($W212="","",IF(ISNUMBER($W212),IF($W212&gt;=10000000,IFERROR(DATE(INT($W212/10000),MOD(INT($W212/100),100),MOD($W212,100)),""),INT($W212)),IFERROR(DATE(--LEFT(LEFT(SUBSTITUTE(SUBSTITUTE(SUBSTITUTE(SUBSTITUTE(TRIM($W212),"-",""),".",""),"/","")," ",""),8),4),--MID(LEFT(SUBSTITUTE(SUBSTITUTE(SUBSTITUTE(SUBSTITUTE(TRIM($W212),"-",""),".",""),"/","")," ",""),8),5,2),--MID(LEFT(SUBSTITUTE(SUBSTITUTE(SUBSTITUTE(SUBSTITUTE(TRIM($W212),"-",""),".",""),"/","")," ",""),8),7,2)),"")))</f>
        <v/>
      </c>
      <c r="Y212" s="32">
        <f>IF($X212="","",INT($X212))</f>
        <v/>
      </c>
      <c r="Z212" s="33">
        <f>IF(OR($Y212="",$D$6=""),"",IF(INDEX($A:$U,ROW(),$D$6)="",0,IF(ISNUMBER(INDEX($A:$U,ROW(),$D$6)),INDEX($A:$U,ROW(),$D$6),IFERROR(--SUBSTITUTE(SUBSTITUTE(TRIM(INDEX($A:$U,ROW(),$D$6)),",",""),"원",""),0))))</f>
        <v/>
      </c>
      <c r="AA212" s="31">
        <f>IF($Y212="","",TRIM(INDEX($A:$U,ROW(),$E$6)&amp;IF($F$6="",""," "&amp;INDEX($A:$U,ROW(),$F$6))))</f>
        <v/>
      </c>
      <c r="AB212" s="31">
        <f>IF($AA212="","",SUBSTITUTE(SUBSTITUTE(SUBSTITUTE(SUBSTITUTE(SUBSTITUTE(SUBSTITUTE(SUBSTITUTE(SUBSTITUTE(SUBSTITUTE($AA212," ",""),"　",""),"(주)",""),"（주）",""),"㈜",""),"주식회사",""),"(유)",""),"（유）",""),"유한회사",""))</f>
        <v/>
      </c>
      <c r="AC212" s="31">
        <f>IF(OR($Y212="",N($Z212)&lt;=0,$AB212=""),0,IFERROR(LOOKUP(2,1/((거래처별!$AC$8:$AC$307&lt;&gt;"")*ISNUMBER(SEARCH(거래처별!$AC$8:$AC$307,$AB212))),거래처별!$A$8:$A$307),IFERROR(LOOKUP(2,1/((거래처별!$AD$8:$AD$307&lt;&gt;"")*ISNUMBER(SEARCH(거래처별!$AD$8:$AD$307,$AB212))),거래처별!$A$8:$A$307),IFERROR(LOOKUP(2,1/((거래처별!$AE$8:$AE$307&lt;&gt;"")*ISNUMBER(SEARCH(거래처별!$AE$8:$AE$307,$AB212))),거래처별!$A$8:$A$307),0))))</f>
        <v/>
      </c>
      <c r="AD212" s="31">
        <f>IF(AND($Y212&lt;&gt;"",N($Z212)&gt;0,$AC212=0),MAX($AD$7:$AD211)+1,"")</f>
        <v/>
      </c>
      <c r="AE212" s="31">
        <f>IF($Y212="",0,$Y212)</f>
        <v/>
      </c>
    </row>
    <row r="213">
      <c r="W213" s="31">
        <f>IF(OR($B$5="",$C$6="",ROW()&lt;$B$5),"",IF(INDEX($A:$U,ROW(),$C$6)="","",INDEX($A:$U,ROW(),$C$6)))</f>
        <v/>
      </c>
      <c r="X213" s="32">
        <f>IF($W213="","",IF(ISNUMBER($W213),IF($W213&gt;=10000000,IFERROR(DATE(INT($W213/10000),MOD(INT($W213/100),100),MOD($W213,100)),""),INT($W213)),IFERROR(DATE(--LEFT(LEFT(SUBSTITUTE(SUBSTITUTE(SUBSTITUTE(SUBSTITUTE(TRIM($W213),"-",""),".",""),"/","")," ",""),8),4),--MID(LEFT(SUBSTITUTE(SUBSTITUTE(SUBSTITUTE(SUBSTITUTE(TRIM($W213),"-",""),".",""),"/","")," ",""),8),5,2),--MID(LEFT(SUBSTITUTE(SUBSTITUTE(SUBSTITUTE(SUBSTITUTE(TRIM($W213),"-",""),".",""),"/","")," ",""),8),7,2)),"")))</f>
        <v/>
      </c>
      <c r="Y213" s="32">
        <f>IF($X213="","",INT($X213))</f>
        <v/>
      </c>
      <c r="Z213" s="33">
        <f>IF(OR($Y213="",$D$6=""),"",IF(INDEX($A:$U,ROW(),$D$6)="",0,IF(ISNUMBER(INDEX($A:$U,ROW(),$D$6)),INDEX($A:$U,ROW(),$D$6),IFERROR(--SUBSTITUTE(SUBSTITUTE(TRIM(INDEX($A:$U,ROW(),$D$6)),",",""),"원",""),0))))</f>
        <v/>
      </c>
      <c r="AA213" s="31">
        <f>IF($Y213="","",TRIM(INDEX($A:$U,ROW(),$E$6)&amp;IF($F$6="",""," "&amp;INDEX($A:$U,ROW(),$F$6))))</f>
        <v/>
      </c>
      <c r="AB213" s="31">
        <f>IF($AA213="","",SUBSTITUTE(SUBSTITUTE(SUBSTITUTE(SUBSTITUTE(SUBSTITUTE(SUBSTITUTE(SUBSTITUTE(SUBSTITUTE(SUBSTITUTE($AA213," ",""),"　",""),"(주)",""),"（주）",""),"㈜",""),"주식회사",""),"(유)",""),"（유）",""),"유한회사",""))</f>
        <v/>
      </c>
      <c r="AC213" s="31">
        <f>IF(OR($Y213="",N($Z213)&lt;=0,$AB213=""),0,IFERROR(LOOKUP(2,1/((거래처별!$AC$8:$AC$307&lt;&gt;"")*ISNUMBER(SEARCH(거래처별!$AC$8:$AC$307,$AB213))),거래처별!$A$8:$A$307),IFERROR(LOOKUP(2,1/((거래처별!$AD$8:$AD$307&lt;&gt;"")*ISNUMBER(SEARCH(거래처별!$AD$8:$AD$307,$AB213))),거래처별!$A$8:$A$307),IFERROR(LOOKUP(2,1/((거래처별!$AE$8:$AE$307&lt;&gt;"")*ISNUMBER(SEARCH(거래처별!$AE$8:$AE$307,$AB213))),거래처별!$A$8:$A$307),0))))</f>
        <v/>
      </c>
      <c r="AD213" s="31">
        <f>IF(AND($Y213&lt;&gt;"",N($Z213)&gt;0,$AC213=0),MAX($AD$7:$AD212)+1,"")</f>
        <v/>
      </c>
      <c r="AE213" s="31">
        <f>IF($Y213="",0,$Y213)</f>
        <v/>
      </c>
    </row>
    <row r="214">
      <c r="W214" s="31">
        <f>IF(OR($B$5="",$C$6="",ROW()&lt;$B$5),"",IF(INDEX($A:$U,ROW(),$C$6)="","",INDEX($A:$U,ROW(),$C$6)))</f>
        <v/>
      </c>
      <c r="X214" s="32">
        <f>IF($W214="","",IF(ISNUMBER($W214),IF($W214&gt;=10000000,IFERROR(DATE(INT($W214/10000),MOD(INT($W214/100),100),MOD($W214,100)),""),INT($W214)),IFERROR(DATE(--LEFT(LEFT(SUBSTITUTE(SUBSTITUTE(SUBSTITUTE(SUBSTITUTE(TRIM($W214),"-",""),".",""),"/","")," ",""),8),4),--MID(LEFT(SUBSTITUTE(SUBSTITUTE(SUBSTITUTE(SUBSTITUTE(TRIM($W214),"-",""),".",""),"/","")," ",""),8),5,2),--MID(LEFT(SUBSTITUTE(SUBSTITUTE(SUBSTITUTE(SUBSTITUTE(TRIM($W214),"-",""),".",""),"/","")," ",""),8),7,2)),"")))</f>
        <v/>
      </c>
      <c r="Y214" s="32">
        <f>IF($X214="","",INT($X214))</f>
        <v/>
      </c>
      <c r="Z214" s="33">
        <f>IF(OR($Y214="",$D$6=""),"",IF(INDEX($A:$U,ROW(),$D$6)="",0,IF(ISNUMBER(INDEX($A:$U,ROW(),$D$6)),INDEX($A:$U,ROW(),$D$6),IFERROR(--SUBSTITUTE(SUBSTITUTE(TRIM(INDEX($A:$U,ROW(),$D$6)),",",""),"원",""),0))))</f>
        <v/>
      </c>
      <c r="AA214" s="31">
        <f>IF($Y214="","",TRIM(INDEX($A:$U,ROW(),$E$6)&amp;IF($F$6="",""," "&amp;INDEX($A:$U,ROW(),$F$6))))</f>
        <v/>
      </c>
      <c r="AB214" s="31">
        <f>IF($AA214="","",SUBSTITUTE(SUBSTITUTE(SUBSTITUTE(SUBSTITUTE(SUBSTITUTE(SUBSTITUTE(SUBSTITUTE(SUBSTITUTE(SUBSTITUTE($AA214," ",""),"　",""),"(주)",""),"（주）",""),"㈜",""),"주식회사",""),"(유)",""),"（유）",""),"유한회사",""))</f>
        <v/>
      </c>
      <c r="AC214" s="31">
        <f>IF(OR($Y214="",N($Z214)&lt;=0,$AB214=""),0,IFERROR(LOOKUP(2,1/((거래처별!$AC$8:$AC$307&lt;&gt;"")*ISNUMBER(SEARCH(거래처별!$AC$8:$AC$307,$AB214))),거래처별!$A$8:$A$307),IFERROR(LOOKUP(2,1/((거래처별!$AD$8:$AD$307&lt;&gt;"")*ISNUMBER(SEARCH(거래처별!$AD$8:$AD$307,$AB214))),거래처별!$A$8:$A$307),IFERROR(LOOKUP(2,1/((거래처별!$AE$8:$AE$307&lt;&gt;"")*ISNUMBER(SEARCH(거래처별!$AE$8:$AE$307,$AB214))),거래처별!$A$8:$A$307),0))))</f>
        <v/>
      </c>
      <c r="AD214" s="31">
        <f>IF(AND($Y214&lt;&gt;"",N($Z214)&gt;0,$AC214=0),MAX($AD$7:$AD213)+1,"")</f>
        <v/>
      </c>
      <c r="AE214" s="31">
        <f>IF($Y214="",0,$Y214)</f>
        <v/>
      </c>
    </row>
    <row r="215">
      <c r="W215" s="31">
        <f>IF(OR($B$5="",$C$6="",ROW()&lt;$B$5),"",IF(INDEX($A:$U,ROW(),$C$6)="","",INDEX($A:$U,ROW(),$C$6)))</f>
        <v/>
      </c>
      <c r="X215" s="32">
        <f>IF($W215="","",IF(ISNUMBER($W215),IF($W215&gt;=10000000,IFERROR(DATE(INT($W215/10000),MOD(INT($W215/100),100),MOD($W215,100)),""),INT($W215)),IFERROR(DATE(--LEFT(LEFT(SUBSTITUTE(SUBSTITUTE(SUBSTITUTE(SUBSTITUTE(TRIM($W215),"-",""),".",""),"/","")," ",""),8),4),--MID(LEFT(SUBSTITUTE(SUBSTITUTE(SUBSTITUTE(SUBSTITUTE(TRIM($W215),"-",""),".",""),"/","")," ",""),8),5,2),--MID(LEFT(SUBSTITUTE(SUBSTITUTE(SUBSTITUTE(SUBSTITUTE(TRIM($W215),"-",""),".",""),"/","")," ",""),8),7,2)),"")))</f>
        <v/>
      </c>
      <c r="Y215" s="32">
        <f>IF($X215="","",INT($X215))</f>
        <v/>
      </c>
      <c r="Z215" s="33">
        <f>IF(OR($Y215="",$D$6=""),"",IF(INDEX($A:$U,ROW(),$D$6)="",0,IF(ISNUMBER(INDEX($A:$U,ROW(),$D$6)),INDEX($A:$U,ROW(),$D$6),IFERROR(--SUBSTITUTE(SUBSTITUTE(TRIM(INDEX($A:$U,ROW(),$D$6)),",",""),"원",""),0))))</f>
        <v/>
      </c>
      <c r="AA215" s="31">
        <f>IF($Y215="","",TRIM(INDEX($A:$U,ROW(),$E$6)&amp;IF($F$6="",""," "&amp;INDEX($A:$U,ROW(),$F$6))))</f>
        <v/>
      </c>
      <c r="AB215" s="31">
        <f>IF($AA215="","",SUBSTITUTE(SUBSTITUTE(SUBSTITUTE(SUBSTITUTE(SUBSTITUTE(SUBSTITUTE(SUBSTITUTE(SUBSTITUTE(SUBSTITUTE($AA215," ",""),"　",""),"(주)",""),"（주）",""),"㈜",""),"주식회사",""),"(유)",""),"（유）",""),"유한회사",""))</f>
        <v/>
      </c>
      <c r="AC215" s="31">
        <f>IF(OR($Y215="",N($Z215)&lt;=0,$AB215=""),0,IFERROR(LOOKUP(2,1/((거래처별!$AC$8:$AC$307&lt;&gt;"")*ISNUMBER(SEARCH(거래처별!$AC$8:$AC$307,$AB215))),거래처별!$A$8:$A$307),IFERROR(LOOKUP(2,1/((거래처별!$AD$8:$AD$307&lt;&gt;"")*ISNUMBER(SEARCH(거래처별!$AD$8:$AD$307,$AB215))),거래처별!$A$8:$A$307),IFERROR(LOOKUP(2,1/((거래처별!$AE$8:$AE$307&lt;&gt;"")*ISNUMBER(SEARCH(거래처별!$AE$8:$AE$307,$AB215))),거래처별!$A$8:$A$307),0))))</f>
        <v/>
      </c>
      <c r="AD215" s="31">
        <f>IF(AND($Y215&lt;&gt;"",N($Z215)&gt;0,$AC215=0),MAX($AD$7:$AD214)+1,"")</f>
        <v/>
      </c>
      <c r="AE215" s="31">
        <f>IF($Y215="",0,$Y215)</f>
        <v/>
      </c>
    </row>
    <row r="216">
      <c r="W216" s="31">
        <f>IF(OR($B$5="",$C$6="",ROW()&lt;$B$5),"",IF(INDEX($A:$U,ROW(),$C$6)="","",INDEX($A:$U,ROW(),$C$6)))</f>
        <v/>
      </c>
      <c r="X216" s="32">
        <f>IF($W216="","",IF(ISNUMBER($W216),IF($W216&gt;=10000000,IFERROR(DATE(INT($W216/10000),MOD(INT($W216/100),100),MOD($W216,100)),""),INT($W216)),IFERROR(DATE(--LEFT(LEFT(SUBSTITUTE(SUBSTITUTE(SUBSTITUTE(SUBSTITUTE(TRIM($W216),"-",""),".",""),"/","")," ",""),8),4),--MID(LEFT(SUBSTITUTE(SUBSTITUTE(SUBSTITUTE(SUBSTITUTE(TRIM($W216),"-",""),".",""),"/","")," ",""),8),5,2),--MID(LEFT(SUBSTITUTE(SUBSTITUTE(SUBSTITUTE(SUBSTITUTE(TRIM($W216),"-",""),".",""),"/","")," ",""),8),7,2)),"")))</f>
        <v/>
      </c>
      <c r="Y216" s="32">
        <f>IF($X216="","",INT($X216))</f>
        <v/>
      </c>
      <c r="Z216" s="33">
        <f>IF(OR($Y216="",$D$6=""),"",IF(INDEX($A:$U,ROW(),$D$6)="",0,IF(ISNUMBER(INDEX($A:$U,ROW(),$D$6)),INDEX($A:$U,ROW(),$D$6),IFERROR(--SUBSTITUTE(SUBSTITUTE(TRIM(INDEX($A:$U,ROW(),$D$6)),",",""),"원",""),0))))</f>
        <v/>
      </c>
      <c r="AA216" s="31">
        <f>IF($Y216="","",TRIM(INDEX($A:$U,ROW(),$E$6)&amp;IF($F$6="",""," "&amp;INDEX($A:$U,ROW(),$F$6))))</f>
        <v/>
      </c>
      <c r="AB216" s="31">
        <f>IF($AA216="","",SUBSTITUTE(SUBSTITUTE(SUBSTITUTE(SUBSTITUTE(SUBSTITUTE(SUBSTITUTE(SUBSTITUTE(SUBSTITUTE(SUBSTITUTE($AA216," ",""),"　",""),"(주)",""),"（주）",""),"㈜",""),"주식회사",""),"(유)",""),"（유）",""),"유한회사",""))</f>
        <v/>
      </c>
      <c r="AC216" s="31">
        <f>IF(OR($Y216="",N($Z216)&lt;=0,$AB216=""),0,IFERROR(LOOKUP(2,1/((거래처별!$AC$8:$AC$307&lt;&gt;"")*ISNUMBER(SEARCH(거래처별!$AC$8:$AC$307,$AB216))),거래처별!$A$8:$A$307),IFERROR(LOOKUP(2,1/((거래처별!$AD$8:$AD$307&lt;&gt;"")*ISNUMBER(SEARCH(거래처별!$AD$8:$AD$307,$AB216))),거래처별!$A$8:$A$307),IFERROR(LOOKUP(2,1/((거래처별!$AE$8:$AE$307&lt;&gt;"")*ISNUMBER(SEARCH(거래처별!$AE$8:$AE$307,$AB216))),거래처별!$A$8:$A$307),0))))</f>
        <v/>
      </c>
      <c r="AD216" s="31">
        <f>IF(AND($Y216&lt;&gt;"",N($Z216)&gt;0,$AC216=0),MAX($AD$7:$AD215)+1,"")</f>
        <v/>
      </c>
      <c r="AE216" s="31">
        <f>IF($Y216="",0,$Y216)</f>
        <v/>
      </c>
    </row>
    <row r="217">
      <c r="W217" s="31">
        <f>IF(OR($B$5="",$C$6="",ROW()&lt;$B$5),"",IF(INDEX($A:$U,ROW(),$C$6)="","",INDEX($A:$U,ROW(),$C$6)))</f>
        <v/>
      </c>
      <c r="X217" s="32">
        <f>IF($W217="","",IF(ISNUMBER($W217),IF($W217&gt;=10000000,IFERROR(DATE(INT($W217/10000),MOD(INT($W217/100),100),MOD($W217,100)),""),INT($W217)),IFERROR(DATE(--LEFT(LEFT(SUBSTITUTE(SUBSTITUTE(SUBSTITUTE(SUBSTITUTE(TRIM($W217),"-",""),".",""),"/","")," ",""),8),4),--MID(LEFT(SUBSTITUTE(SUBSTITUTE(SUBSTITUTE(SUBSTITUTE(TRIM($W217),"-",""),".",""),"/","")," ",""),8),5,2),--MID(LEFT(SUBSTITUTE(SUBSTITUTE(SUBSTITUTE(SUBSTITUTE(TRIM($W217),"-",""),".",""),"/","")," ",""),8),7,2)),"")))</f>
        <v/>
      </c>
      <c r="Y217" s="32">
        <f>IF($X217="","",INT($X217))</f>
        <v/>
      </c>
      <c r="Z217" s="33">
        <f>IF(OR($Y217="",$D$6=""),"",IF(INDEX($A:$U,ROW(),$D$6)="",0,IF(ISNUMBER(INDEX($A:$U,ROW(),$D$6)),INDEX($A:$U,ROW(),$D$6),IFERROR(--SUBSTITUTE(SUBSTITUTE(TRIM(INDEX($A:$U,ROW(),$D$6)),",",""),"원",""),0))))</f>
        <v/>
      </c>
      <c r="AA217" s="31">
        <f>IF($Y217="","",TRIM(INDEX($A:$U,ROW(),$E$6)&amp;IF($F$6="",""," "&amp;INDEX($A:$U,ROW(),$F$6))))</f>
        <v/>
      </c>
      <c r="AB217" s="31">
        <f>IF($AA217="","",SUBSTITUTE(SUBSTITUTE(SUBSTITUTE(SUBSTITUTE(SUBSTITUTE(SUBSTITUTE(SUBSTITUTE(SUBSTITUTE(SUBSTITUTE($AA217," ",""),"　",""),"(주)",""),"（주）",""),"㈜",""),"주식회사",""),"(유)",""),"（유）",""),"유한회사",""))</f>
        <v/>
      </c>
      <c r="AC217" s="31">
        <f>IF(OR($Y217="",N($Z217)&lt;=0,$AB217=""),0,IFERROR(LOOKUP(2,1/((거래처별!$AC$8:$AC$307&lt;&gt;"")*ISNUMBER(SEARCH(거래처별!$AC$8:$AC$307,$AB217))),거래처별!$A$8:$A$307),IFERROR(LOOKUP(2,1/((거래처별!$AD$8:$AD$307&lt;&gt;"")*ISNUMBER(SEARCH(거래처별!$AD$8:$AD$307,$AB217))),거래처별!$A$8:$A$307),IFERROR(LOOKUP(2,1/((거래처별!$AE$8:$AE$307&lt;&gt;"")*ISNUMBER(SEARCH(거래처별!$AE$8:$AE$307,$AB217))),거래처별!$A$8:$A$307),0))))</f>
        <v/>
      </c>
      <c r="AD217" s="31">
        <f>IF(AND($Y217&lt;&gt;"",N($Z217)&gt;0,$AC217=0),MAX($AD$7:$AD216)+1,"")</f>
        <v/>
      </c>
      <c r="AE217" s="31">
        <f>IF($Y217="",0,$Y217)</f>
        <v/>
      </c>
    </row>
    <row r="218">
      <c r="W218" s="31">
        <f>IF(OR($B$5="",$C$6="",ROW()&lt;$B$5),"",IF(INDEX($A:$U,ROW(),$C$6)="","",INDEX($A:$U,ROW(),$C$6)))</f>
        <v/>
      </c>
      <c r="X218" s="32">
        <f>IF($W218="","",IF(ISNUMBER($W218),IF($W218&gt;=10000000,IFERROR(DATE(INT($W218/10000),MOD(INT($W218/100),100),MOD($W218,100)),""),INT($W218)),IFERROR(DATE(--LEFT(LEFT(SUBSTITUTE(SUBSTITUTE(SUBSTITUTE(SUBSTITUTE(TRIM($W218),"-",""),".",""),"/","")," ",""),8),4),--MID(LEFT(SUBSTITUTE(SUBSTITUTE(SUBSTITUTE(SUBSTITUTE(TRIM($W218),"-",""),".",""),"/","")," ",""),8),5,2),--MID(LEFT(SUBSTITUTE(SUBSTITUTE(SUBSTITUTE(SUBSTITUTE(TRIM($W218),"-",""),".",""),"/","")," ",""),8),7,2)),"")))</f>
        <v/>
      </c>
      <c r="Y218" s="32">
        <f>IF($X218="","",INT($X218))</f>
        <v/>
      </c>
      <c r="Z218" s="33">
        <f>IF(OR($Y218="",$D$6=""),"",IF(INDEX($A:$U,ROW(),$D$6)="",0,IF(ISNUMBER(INDEX($A:$U,ROW(),$D$6)),INDEX($A:$U,ROW(),$D$6),IFERROR(--SUBSTITUTE(SUBSTITUTE(TRIM(INDEX($A:$U,ROW(),$D$6)),",",""),"원",""),0))))</f>
        <v/>
      </c>
      <c r="AA218" s="31">
        <f>IF($Y218="","",TRIM(INDEX($A:$U,ROW(),$E$6)&amp;IF($F$6="",""," "&amp;INDEX($A:$U,ROW(),$F$6))))</f>
        <v/>
      </c>
      <c r="AB218" s="31">
        <f>IF($AA218="","",SUBSTITUTE(SUBSTITUTE(SUBSTITUTE(SUBSTITUTE(SUBSTITUTE(SUBSTITUTE(SUBSTITUTE(SUBSTITUTE(SUBSTITUTE($AA218," ",""),"　",""),"(주)",""),"（주）",""),"㈜",""),"주식회사",""),"(유)",""),"（유）",""),"유한회사",""))</f>
        <v/>
      </c>
      <c r="AC218" s="31">
        <f>IF(OR($Y218="",N($Z218)&lt;=0,$AB218=""),0,IFERROR(LOOKUP(2,1/((거래처별!$AC$8:$AC$307&lt;&gt;"")*ISNUMBER(SEARCH(거래처별!$AC$8:$AC$307,$AB218))),거래처별!$A$8:$A$307),IFERROR(LOOKUP(2,1/((거래처별!$AD$8:$AD$307&lt;&gt;"")*ISNUMBER(SEARCH(거래처별!$AD$8:$AD$307,$AB218))),거래처별!$A$8:$A$307),IFERROR(LOOKUP(2,1/((거래처별!$AE$8:$AE$307&lt;&gt;"")*ISNUMBER(SEARCH(거래처별!$AE$8:$AE$307,$AB218))),거래처별!$A$8:$A$307),0))))</f>
        <v/>
      </c>
      <c r="AD218" s="31">
        <f>IF(AND($Y218&lt;&gt;"",N($Z218)&gt;0,$AC218=0),MAX($AD$7:$AD217)+1,"")</f>
        <v/>
      </c>
      <c r="AE218" s="31">
        <f>IF($Y218="",0,$Y218)</f>
        <v/>
      </c>
    </row>
    <row r="219">
      <c r="W219" s="31">
        <f>IF(OR($B$5="",$C$6="",ROW()&lt;$B$5),"",IF(INDEX($A:$U,ROW(),$C$6)="","",INDEX($A:$U,ROW(),$C$6)))</f>
        <v/>
      </c>
      <c r="X219" s="32">
        <f>IF($W219="","",IF(ISNUMBER($W219),IF($W219&gt;=10000000,IFERROR(DATE(INT($W219/10000),MOD(INT($W219/100),100),MOD($W219,100)),""),INT($W219)),IFERROR(DATE(--LEFT(LEFT(SUBSTITUTE(SUBSTITUTE(SUBSTITUTE(SUBSTITUTE(TRIM($W219),"-",""),".",""),"/","")," ",""),8),4),--MID(LEFT(SUBSTITUTE(SUBSTITUTE(SUBSTITUTE(SUBSTITUTE(TRIM($W219),"-",""),".",""),"/","")," ",""),8),5,2),--MID(LEFT(SUBSTITUTE(SUBSTITUTE(SUBSTITUTE(SUBSTITUTE(TRIM($W219),"-",""),".",""),"/","")," ",""),8),7,2)),"")))</f>
        <v/>
      </c>
      <c r="Y219" s="32">
        <f>IF($X219="","",INT($X219))</f>
        <v/>
      </c>
      <c r="Z219" s="33">
        <f>IF(OR($Y219="",$D$6=""),"",IF(INDEX($A:$U,ROW(),$D$6)="",0,IF(ISNUMBER(INDEX($A:$U,ROW(),$D$6)),INDEX($A:$U,ROW(),$D$6),IFERROR(--SUBSTITUTE(SUBSTITUTE(TRIM(INDEX($A:$U,ROW(),$D$6)),",",""),"원",""),0))))</f>
        <v/>
      </c>
      <c r="AA219" s="31">
        <f>IF($Y219="","",TRIM(INDEX($A:$U,ROW(),$E$6)&amp;IF($F$6="",""," "&amp;INDEX($A:$U,ROW(),$F$6))))</f>
        <v/>
      </c>
      <c r="AB219" s="31">
        <f>IF($AA219="","",SUBSTITUTE(SUBSTITUTE(SUBSTITUTE(SUBSTITUTE(SUBSTITUTE(SUBSTITUTE(SUBSTITUTE(SUBSTITUTE(SUBSTITUTE($AA219," ",""),"　",""),"(주)",""),"（주）",""),"㈜",""),"주식회사",""),"(유)",""),"（유）",""),"유한회사",""))</f>
        <v/>
      </c>
      <c r="AC219" s="31">
        <f>IF(OR($Y219="",N($Z219)&lt;=0,$AB219=""),0,IFERROR(LOOKUP(2,1/((거래처별!$AC$8:$AC$307&lt;&gt;"")*ISNUMBER(SEARCH(거래처별!$AC$8:$AC$307,$AB219))),거래처별!$A$8:$A$307),IFERROR(LOOKUP(2,1/((거래처별!$AD$8:$AD$307&lt;&gt;"")*ISNUMBER(SEARCH(거래처별!$AD$8:$AD$307,$AB219))),거래처별!$A$8:$A$307),IFERROR(LOOKUP(2,1/((거래처별!$AE$8:$AE$307&lt;&gt;"")*ISNUMBER(SEARCH(거래처별!$AE$8:$AE$307,$AB219))),거래처별!$A$8:$A$307),0))))</f>
        <v/>
      </c>
      <c r="AD219" s="31">
        <f>IF(AND($Y219&lt;&gt;"",N($Z219)&gt;0,$AC219=0),MAX($AD$7:$AD218)+1,"")</f>
        <v/>
      </c>
      <c r="AE219" s="31">
        <f>IF($Y219="",0,$Y219)</f>
        <v/>
      </c>
    </row>
    <row r="220">
      <c r="W220" s="31">
        <f>IF(OR($B$5="",$C$6="",ROW()&lt;$B$5),"",IF(INDEX($A:$U,ROW(),$C$6)="","",INDEX($A:$U,ROW(),$C$6)))</f>
        <v/>
      </c>
      <c r="X220" s="32">
        <f>IF($W220="","",IF(ISNUMBER($W220),IF($W220&gt;=10000000,IFERROR(DATE(INT($W220/10000),MOD(INT($W220/100),100),MOD($W220,100)),""),INT($W220)),IFERROR(DATE(--LEFT(LEFT(SUBSTITUTE(SUBSTITUTE(SUBSTITUTE(SUBSTITUTE(TRIM($W220),"-",""),".",""),"/","")," ",""),8),4),--MID(LEFT(SUBSTITUTE(SUBSTITUTE(SUBSTITUTE(SUBSTITUTE(TRIM($W220),"-",""),".",""),"/","")," ",""),8),5,2),--MID(LEFT(SUBSTITUTE(SUBSTITUTE(SUBSTITUTE(SUBSTITUTE(TRIM($W220),"-",""),".",""),"/","")," ",""),8),7,2)),"")))</f>
        <v/>
      </c>
      <c r="Y220" s="32">
        <f>IF($X220="","",INT($X220))</f>
        <v/>
      </c>
      <c r="Z220" s="33">
        <f>IF(OR($Y220="",$D$6=""),"",IF(INDEX($A:$U,ROW(),$D$6)="",0,IF(ISNUMBER(INDEX($A:$U,ROW(),$D$6)),INDEX($A:$U,ROW(),$D$6),IFERROR(--SUBSTITUTE(SUBSTITUTE(TRIM(INDEX($A:$U,ROW(),$D$6)),",",""),"원",""),0))))</f>
        <v/>
      </c>
      <c r="AA220" s="31">
        <f>IF($Y220="","",TRIM(INDEX($A:$U,ROW(),$E$6)&amp;IF($F$6="",""," "&amp;INDEX($A:$U,ROW(),$F$6))))</f>
        <v/>
      </c>
      <c r="AB220" s="31">
        <f>IF($AA220="","",SUBSTITUTE(SUBSTITUTE(SUBSTITUTE(SUBSTITUTE(SUBSTITUTE(SUBSTITUTE(SUBSTITUTE(SUBSTITUTE(SUBSTITUTE($AA220," ",""),"　",""),"(주)",""),"（주）",""),"㈜",""),"주식회사",""),"(유)",""),"（유）",""),"유한회사",""))</f>
        <v/>
      </c>
      <c r="AC220" s="31">
        <f>IF(OR($Y220="",N($Z220)&lt;=0,$AB220=""),0,IFERROR(LOOKUP(2,1/((거래처별!$AC$8:$AC$307&lt;&gt;"")*ISNUMBER(SEARCH(거래처별!$AC$8:$AC$307,$AB220))),거래처별!$A$8:$A$307),IFERROR(LOOKUP(2,1/((거래처별!$AD$8:$AD$307&lt;&gt;"")*ISNUMBER(SEARCH(거래처별!$AD$8:$AD$307,$AB220))),거래처별!$A$8:$A$307),IFERROR(LOOKUP(2,1/((거래처별!$AE$8:$AE$307&lt;&gt;"")*ISNUMBER(SEARCH(거래처별!$AE$8:$AE$307,$AB220))),거래처별!$A$8:$A$307),0))))</f>
        <v/>
      </c>
      <c r="AD220" s="31">
        <f>IF(AND($Y220&lt;&gt;"",N($Z220)&gt;0,$AC220=0),MAX($AD$7:$AD219)+1,"")</f>
        <v/>
      </c>
      <c r="AE220" s="31">
        <f>IF($Y220="",0,$Y220)</f>
        <v/>
      </c>
    </row>
    <row r="221">
      <c r="W221" s="31">
        <f>IF(OR($B$5="",$C$6="",ROW()&lt;$B$5),"",IF(INDEX($A:$U,ROW(),$C$6)="","",INDEX($A:$U,ROW(),$C$6)))</f>
        <v/>
      </c>
      <c r="X221" s="32">
        <f>IF($W221="","",IF(ISNUMBER($W221),IF($W221&gt;=10000000,IFERROR(DATE(INT($W221/10000),MOD(INT($W221/100),100),MOD($W221,100)),""),INT($W221)),IFERROR(DATE(--LEFT(LEFT(SUBSTITUTE(SUBSTITUTE(SUBSTITUTE(SUBSTITUTE(TRIM($W221),"-",""),".",""),"/","")," ",""),8),4),--MID(LEFT(SUBSTITUTE(SUBSTITUTE(SUBSTITUTE(SUBSTITUTE(TRIM($W221),"-",""),".",""),"/","")," ",""),8),5,2),--MID(LEFT(SUBSTITUTE(SUBSTITUTE(SUBSTITUTE(SUBSTITUTE(TRIM($W221),"-",""),".",""),"/","")," ",""),8),7,2)),"")))</f>
        <v/>
      </c>
      <c r="Y221" s="32">
        <f>IF($X221="","",INT($X221))</f>
        <v/>
      </c>
      <c r="Z221" s="33">
        <f>IF(OR($Y221="",$D$6=""),"",IF(INDEX($A:$U,ROW(),$D$6)="",0,IF(ISNUMBER(INDEX($A:$U,ROW(),$D$6)),INDEX($A:$U,ROW(),$D$6),IFERROR(--SUBSTITUTE(SUBSTITUTE(TRIM(INDEX($A:$U,ROW(),$D$6)),",",""),"원",""),0))))</f>
        <v/>
      </c>
      <c r="AA221" s="31">
        <f>IF($Y221="","",TRIM(INDEX($A:$U,ROW(),$E$6)&amp;IF($F$6="",""," "&amp;INDEX($A:$U,ROW(),$F$6))))</f>
        <v/>
      </c>
      <c r="AB221" s="31">
        <f>IF($AA221="","",SUBSTITUTE(SUBSTITUTE(SUBSTITUTE(SUBSTITUTE(SUBSTITUTE(SUBSTITUTE(SUBSTITUTE(SUBSTITUTE(SUBSTITUTE($AA221," ",""),"　",""),"(주)",""),"（주）",""),"㈜",""),"주식회사",""),"(유)",""),"（유）",""),"유한회사",""))</f>
        <v/>
      </c>
      <c r="AC221" s="31">
        <f>IF(OR($Y221="",N($Z221)&lt;=0,$AB221=""),0,IFERROR(LOOKUP(2,1/((거래처별!$AC$8:$AC$307&lt;&gt;"")*ISNUMBER(SEARCH(거래처별!$AC$8:$AC$307,$AB221))),거래처별!$A$8:$A$307),IFERROR(LOOKUP(2,1/((거래처별!$AD$8:$AD$307&lt;&gt;"")*ISNUMBER(SEARCH(거래처별!$AD$8:$AD$307,$AB221))),거래처별!$A$8:$A$307),IFERROR(LOOKUP(2,1/((거래처별!$AE$8:$AE$307&lt;&gt;"")*ISNUMBER(SEARCH(거래처별!$AE$8:$AE$307,$AB221))),거래처별!$A$8:$A$307),0))))</f>
        <v/>
      </c>
      <c r="AD221" s="31">
        <f>IF(AND($Y221&lt;&gt;"",N($Z221)&gt;0,$AC221=0),MAX($AD$7:$AD220)+1,"")</f>
        <v/>
      </c>
      <c r="AE221" s="31">
        <f>IF($Y221="",0,$Y221)</f>
        <v/>
      </c>
    </row>
    <row r="222">
      <c r="W222" s="31">
        <f>IF(OR($B$5="",$C$6="",ROW()&lt;$B$5),"",IF(INDEX($A:$U,ROW(),$C$6)="","",INDEX($A:$U,ROW(),$C$6)))</f>
        <v/>
      </c>
      <c r="X222" s="32">
        <f>IF($W222="","",IF(ISNUMBER($W222),IF($W222&gt;=10000000,IFERROR(DATE(INT($W222/10000),MOD(INT($W222/100),100),MOD($W222,100)),""),INT($W222)),IFERROR(DATE(--LEFT(LEFT(SUBSTITUTE(SUBSTITUTE(SUBSTITUTE(SUBSTITUTE(TRIM($W222),"-",""),".",""),"/","")," ",""),8),4),--MID(LEFT(SUBSTITUTE(SUBSTITUTE(SUBSTITUTE(SUBSTITUTE(TRIM($W222),"-",""),".",""),"/","")," ",""),8),5,2),--MID(LEFT(SUBSTITUTE(SUBSTITUTE(SUBSTITUTE(SUBSTITUTE(TRIM($W222),"-",""),".",""),"/","")," ",""),8),7,2)),"")))</f>
        <v/>
      </c>
      <c r="Y222" s="32">
        <f>IF($X222="","",INT($X222))</f>
        <v/>
      </c>
      <c r="Z222" s="33">
        <f>IF(OR($Y222="",$D$6=""),"",IF(INDEX($A:$U,ROW(),$D$6)="",0,IF(ISNUMBER(INDEX($A:$U,ROW(),$D$6)),INDEX($A:$U,ROW(),$D$6),IFERROR(--SUBSTITUTE(SUBSTITUTE(TRIM(INDEX($A:$U,ROW(),$D$6)),",",""),"원",""),0))))</f>
        <v/>
      </c>
      <c r="AA222" s="31">
        <f>IF($Y222="","",TRIM(INDEX($A:$U,ROW(),$E$6)&amp;IF($F$6="",""," "&amp;INDEX($A:$U,ROW(),$F$6))))</f>
        <v/>
      </c>
      <c r="AB222" s="31">
        <f>IF($AA222="","",SUBSTITUTE(SUBSTITUTE(SUBSTITUTE(SUBSTITUTE(SUBSTITUTE(SUBSTITUTE(SUBSTITUTE(SUBSTITUTE(SUBSTITUTE($AA222," ",""),"　",""),"(주)",""),"（주）",""),"㈜",""),"주식회사",""),"(유)",""),"（유）",""),"유한회사",""))</f>
        <v/>
      </c>
      <c r="AC222" s="31">
        <f>IF(OR($Y222="",N($Z222)&lt;=0,$AB222=""),0,IFERROR(LOOKUP(2,1/((거래처별!$AC$8:$AC$307&lt;&gt;"")*ISNUMBER(SEARCH(거래처별!$AC$8:$AC$307,$AB222))),거래처별!$A$8:$A$307),IFERROR(LOOKUP(2,1/((거래처별!$AD$8:$AD$307&lt;&gt;"")*ISNUMBER(SEARCH(거래처별!$AD$8:$AD$307,$AB222))),거래처별!$A$8:$A$307),IFERROR(LOOKUP(2,1/((거래처별!$AE$8:$AE$307&lt;&gt;"")*ISNUMBER(SEARCH(거래처별!$AE$8:$AE$307,$AB222))),거래처별!$A$8:$A$307),0))))</f>
        <v/>
      </c>
      <c r="AD222" s="31">
        <f>IF(AND($Y222&lt;&gt;"",N($Z222)&gt;0,$AC222=0),MAX($AD$7:$AD221)+1,"")</f>
        <v/>
      </c>
      <c r="AE222" s="31">
        <f>IF($Y222="",0,$Y222)</f>
        <v/>
      </c>
    </row>
    <row r="223">
      <c r="W223" s="31">
        <f>IF(OR($B$5="",$C$6="",ROW()&lt;$B$5),"",IF(INDEX($A:$U,ROW(),$C$6)="","",INDEX($A:$U,ROW(),$C$6)))</f>
        <v/>
      </c>
      <c r="X223" s="32">
        <f>IF($W223="","",IF(ISNUMBER($W223),IF($W223&gt;=10000000,IFERROR(DATE(INT($W223/10000),MOD(INT($W223/100),100),MOD($W223,100)),""),INT($W223)),IFERROR(DATE(--LEFT(LEFT(SUBSTITUTE(SUBSTITUTE(SUBSTITUTE(SUBSTITUTE(TRIM($W223),"-",""),".",""),"/","")," ",""),8),4),--MID(LEFT(SUBSTITUTE(SUBSTITUTE(SUBSTITUTE(SUBSTITUTE(TRIM($W223),"-",""),".",""),"/","")," ",""),8),5,2),--MID(LEFT(SUBSTITUTE(SUBSTITUTE(SUBSTITUTE(SUBSTITUTE(TRIM($W223),"-",""),".",""),"/","")," ",""),8),7,2)),"")))</f>
        <v/>
      </c>
      <c r="Y223" s="32">
        <f>IF($X223="","",INT($X223))</f>
        <v/>
      </c>
      <c r="Z223" s="33">
        <f>IF(OR($Y223="",$D$6=""),"",IF(INDEX($A:$U,ROW(),$D$6)="",0,IF(ISNUMBER(INDEX($A:$U,ROW(),$D$6)),INDEX($A:$U,ROW(),$D$6),IFERROR(--SUBSTITUTE(SUBSTITUTE(TRIM(INDEX($A:$U,ROW(),$D$6)),",",""),"원",""),0))))</f>
        <v/>
      </c>
      <c r="AA223" s="31">
        <f>IF($Y223="","",TRIM(INDEX($A:$U,ROW(),$E$6)&amp;IF($F$6="",""," "&amp;INDEX($A:$U,ROW(),$F$6))))</f>
        <v/>
      </c>
      <c r="AB223" s="31">
        <f>IF($AA223="","",SUBSTITUTE(SUBSTITUTE(SUBSTITUTE(SUBSTITUTE(SUBSTITUTE(SUBSTITUTE(SUBSTITUTE(SUBSTITUTE(SUBSTITUTE($AA223," ",""),"　",""),"(주)",""),"（주）",""),"㈜",""),"주식회사",""),"(유)",""),"（유）",""),"유한회사",""))</f>
        <v/>
      </c>
      <c r="AC223" s="31">
        <f>IF(OR($Y223="",N($Z223)&lt;=0,$AB223=""),0,IFERROR(LOOKUP(2,1/((거래처별!$AC$8:$AC$307&lt;&gt;"")*ISNUMBER(SEARCH(거래처별!$AC$8:$AC$307,$AB223))),거래처별!$A$8:$A$307),IFERROR(LOOKUP(2,1/((거래처별!$AD$8:$AD$307&lt;&gt;"")*ISNUMBER(SEARCH(거래처별!$AD$8:$AD$307,$AB223))),거래처별!$A$8:$A$307),IFERROR(LOOKUP(2,1/((거래처별!$AE$8:$AE$307&lt;&gt;"")*ISNUMBER(SEARCH(거래처별!$AE$8:$AE$307,$AB223))),거래처별!$A$8:$A$307),0))))</f>
        <v/>
      </c>
      <c r="AD223" s="31">
        <f>IF(AND($Y223&lt;&gt;"",N($Z223)&gt;0,$AC223=0),MAX($AD$7:$AD222)+1,"")</f>
        <v/>
      </c>
      <c r="AE223" s="31">
        <f>IF($Y223="",0,$Y223)</f>
        <v/>
      </c>
    </row>
    <row r="224">
      <c r="W224" s="31">
        <f>IF(OR($B$5="",$C$6="",ROW()&lt;$B$5),"",IF(INDEX($A:$U,ROW(),$C$6)="","",INDEX($A:$U,ROW(),$C$6)))</f>
        <v/>
      </c>
      <c r="X224" s="32">
        <f>IF($W224="","",IF(ISNUMBER($W224),IF($W224&gt;=10000000,IFERROR(DATE(INT($W224/10000),MOD(INT($W224/100),100),MOD($W224,100)),""),INT($W224)),IFERROR(DATE(--LEFT(LEFT(SUBSTITUTE(SUBSTITUTE(SUBSTITUTE(SUBSTITUTE(TRIM($W224),"-",""),".",""),"/","")," ",""),8),4),--MID(LEFT(SUBSTITUTE(SUBSTITUTE(SUBSTITUTE(SUBSTITUTE(TRIM($W224),"-",""),".",""),"/","")," ",""),8),5,2),--MID(LEFT(SUBSTITUTE(SUBSTITUTE(SUBSTITUTE(SUBSTITUTE(TRIM($W224),"-",""),".",""),"/","")," ",""),8),7,2)),"")))</f>
        <v/>
      </c>
      <c r="Y224" s="32">
        <f>IF($X224="","",INT($X224))</f>
        <v/>
      </c>
      <c r="Z224" s="33">
        <f>IF(OR($Y224="",$D$6=""),"",IF(INDEX($A:$U,ROW(),$D$6)="",0,IF(ISNUMBER(INDEX($A:$U,ROW(),$D$6)),INDEX($A:$U,ROW(),$D$6),IFERROR(--SUBSTITUTE(SUBSTITUTE(TRIM(INDEX($A:$U,ROW(),$D$6)),",",""),"원",""),0))))</f>
        <v/>
      </c>
      <c r="AA224" s="31">
        <f>IF($Y224="","",TRIM(INDEX($A:$U,ROW(),$E$6)&amp;IF($F$6="",""," "&amp;INDEX($A:$U,ROW(),$F$6))))</f>
        <v/>
      </c>
      <c r="AB224" s="31">
        <f>IF($AA224="","",SUBSTITUTE(SUBSTITUTE(SUBSTITUTE(SUBSTITUTE(SUBSTITUTE(SUBSTITUTE(SUBSTITUTE(SUBSTITUTE(SUBSTITUTE($AA224," ",""),"　",""),"(주)",""),"（주）",""),"㈜",""),"주식회사",""),"(유)",""),"（유）",""),"유한회사",""))</f>
        <v/>
      </c>
      <c r="AC224" s="31">
        <f>IF(OR($Y224="",N($Z224)&lt;=0,$AB224=""),0,IFERROR(LOOKUP(2,1/((거래처별!$AC$8:$AC$307&lt;&gt;"")*ISNUMBER(SEARCH(거래처별!$AC$8:$AC$307,$AB224))),거래처별!$A$8:$A$307),IFERROR(LOOKUP(2,1/((거래처별!$AD$8:$AD$307&lt;&gt;"")*ISNUMBER(SEARCH(거래처별!$AD$8:$AD$307,$AB224))),거래처별!$A$8:$A$307),IFERROR(LOOKUP(2,1/((거래처별!$AE$8:$AE$307&lt;&gt;"")*ISNUMBER(SEARCH(거래처별!$AE$8:$AE$307,$AB224))),거래처별!$A$8:$A$307),0))))</f>
        <v/>
      </c>
      <c r="AD224" s="31">
        <f>IF(AND($Y224&lt;&gt;"",N($Z224)&gt;0,$AC224=0),MAX($AD$7:$AD223)+1,"")</f>
        <v/>
      </c>
      <c r="AE224" s="31">
        <f>IF($Y224="",0,$Y224)</f>
        <v/>
      </c>
    </row>
    <row r="225">
      <c r="W225" s="31">
        <f>IF(OR($B$5="",$C$6="",ROW()&lt;$B$5),"",IF(INDEX($A:$U,ROW(),$C$6)="","",INDEX($A:$U,ROW(),$C$6)))</f>
        <v/>
      </c>
      <c r="X225" s="32">
        <f>IF($W225="","",IF(ISNUMBER($W225),IF($W225&gt;=10000000,IFERROR(DATE(INT($W225/10000),MOD(INT($W225/100),100),MOD($W225,100)),""),INT($W225)),IFERROR(DATE(--LEFT(LEFT(SUBSTITUTE(SUBSTITUTE(SUBSTITUTE(SUBSTITUTE(TRIM($W225),"-",""),".",""),"/","")," ",""),8),4),--MID(LEFT(SUBSTITUTE(SUBSTITUTE(SUBSTITUTE(SUBSTITUTE(TRIM($W225),"-",""),".",""),"/","")," ",""),8),5,2),--MID(LEFT(SUBSTITUTE(SUBSTITUTE(SUBSTITUTE(SUBSTITUTE(TRIM($W225),"-",""),".",""),"/","")," ",""),8),7,2)),"")))</f>
        <v/>
      </c>
      <c r="Y225" s="32">
        <f>IF($X225="","",INT($X225))</f>
        <v/>
      </c>
      <c r="Z225" s="33">
        <f>IF(OR($Y225="",$D$6=""),"",IF(INDEX($A:$U,ROW(),$D$6)="",0,IF(ISNUMBER(INDEX($A:$U,ROW(),$D$6)),INDEX($A:$U,ROW(),$D$6),IFERROR(--SUBSTITUTE(SUBSTITUTE(TRIM(INDEX($A:$U,ROW(),$D$6)),",",""),"원",""),0))))</f>
        <v/>
      </c>
      <c r="AA225" s="31">
        <f>IF($Y225="","",TRIM(INDEX($A:$U,ROW(),$E$6)&amp;IF($F$6="",""," "&amp;INDEX($A:$U,ROW(),$F$6))))</f>
        <v/>
      </c>
      <c r="AB225" s="31">
        <f>IF($AA225="","",SUBSTITUTE(SUBSTITUTE(SUBSTITUTE(SUBSTITUTE(SUBSTITUTE(SUBSTITUTE(SUBSTITUTE(SUBSTITUTE(SUBSTITUTE($AA225," ",""),"　",""),"(주)",""),"（주）",""),"㈜",""),"주식회사",""),"(유)",""),"（유）",""),"유한회사",""))</f>
        <v/>
      </c>
      <c r="AC225" s="31">
        <f>IF(OR($Y225="",N($Z225)&lt;=0,$AB225=""),0,IFERROR(LOOKUP(2,1/((거래처별!$AC$8:$AC$307&lt;&gt;"")*ISNUMBER(SEARCH(거래처별!$AC$8:$AC$307,$AB225))),거래처별!$A$8:$A$307),IFERROR(LOOKUP(2,1/((거래처별!$AD$8:$AD$307&lt;&gt;"")*ISNUMBER(SEARCH(거래처별!$AD$8:$AD$307,$AB225))),거래처별!$A$8:$A$307),IFERROR(LOOKUP(2,1/((거래처별!$AE$8:$AE$307&lt;&gt;"")*ISNUMBER(SEARCH(거래처별!$AE$8:$AE$307,$AB225))),거래처별!$A$8:$A$307),0))))</f>
        <v/>
      </c>
      <c r="AD225" s="31">
        <f>IF(AND($Y225&lt;&gt;"",N($Z225)&gt;0,$AC225=0),MAX($AD$7:$AD224)+1,"")</f>
        <v/>
      </c>
      <c r="AE225" s="31">
        <f>IF($Y225="",0,$Y225)</f>
        <v/>
      </c>
    </row>
    <row r="226">
      <c r="W226" s="31">
        <f>IF(OR($B$5="",$C$6="",ROW()&lt;$B$5),"",IF(INDEX($A:$U,ROW(),$C$6)="","",INDEX($A:$U,ROW(),$C$6)))</f>
        <v/>
      </c>
      <c r="X226" s="32">
        <f>IF($W226="","",IF(ISNUMBER($W226),IF($W226&gt;=10000000,IFERROR(DATE(INT($W226/10000),MOD(INT($W226/100),100),MOD($W226,100)),""),INT($W226)),IFERROR(DATE(--LEFT(LEFT(SUBSTITUTE(SUBSTITUTE(SUBSTITUTE(SUBSTITUTE(TRIM($W226),"-",""),".",""),"/","")," ",""),8),4),--MID(LEFT(SUBSTITUTE(SUBSTITUTE(SUBSTITUTE(SUBSTITUTE(TRIM($W226),"-",""),".",""),"/","")," ",""),8),5,2),--MID(LEFT(SUBSTITUTE(SUBSTITUTE(SUBSTITUTE(SUBSTITUTE(TRIM($W226),"-",""),".",""),"/","")," ",""),8),7,2)),"")))</f>
        <v/>
      </c>
      <c r="Y226" s="32">
        <f>IF($X226="","",INT($X226))</f>
        <v/>
      </c>
      <c r="Z226" s="33">
        <f>IF(OR($Y226="",$D$6=""),"",IF(INDEX($A:$U,ROW(),$D$6)="",0,IF(ISNUMBER(INDEX($A:$U,ROW(),$D$6)),INDEX($A:$U,ROW(),$D$6),IFERROR(--SUBSTITUTE(SUBSTITUTE(TRIM(INDEX($A:$U,ROW(),$D$6)),",",""),"원",""),0))))</f>
        <v/>
      </c>
      <c r="AA226" s="31">
        <f>IF($Y226="","",TRIM(INDEX($A:$U,ROW(),$E$6)&amp;IF($F$6="",""," "&amp;INDEX($A:$U,ROW(),$F$6))))</f>
        <v/>
      </c>
      <c r="AB226" s="31">
        <f>IF($AA226="","",SUBSTITUTE(SUBSTITUTE(SUBSTITUTE(SUBSTITUTE(SUBSTITUTE(SUBSTITUTE(SUBSTITUTE(SUBSTITUTE(SUBSTITUTE($AA226," ",""),"　",""),"(주)",""),"（주）",""),"㈜",""),"주식회사",""),"(유)",""),"（유）",""),"유한회사",""))</f>
        <v/>
      </c>
      <c r="AC226" s="31">
        <f>IF(OR($Y226="",N($Z226)&lt;=0,$AB226=""),0,IFERROR(LOOKUP(2,1/((거래처별!$AC$8:$AC$307&lt;&gt;"")*ISNUMBER(SEARCH(거래처별!$AC$8:$AC$307,$AB226))),거래처별!$A$8:$A$307),IFERROR(LOOKUP(2,1/((거래처별!$AD$8:$AD$307&lt;&gt;"")*ISNUMBER(SEARCH(거래처별!$AD$8:$AD$307,$AB226))),거래처별!$A$8:$A$307),IFERROR(LOOKUP(2,1/((거래처별!$AE$8:$AE$307&lt;&gt;"")*ISNUMBER(SEARCH(거래처별!$AE$8:$AE$307,$AB226))),거래처별!$A$8:$A$307),0))))</f>
        <v/>
      </c>
      <c r="AD226" s="31">
        <f>IF(AND($Y226&lt;&gt;"",N($Z226)&gt;0,$AC226=0),MAX($AD$7:$AD225)+1,"")</f>
        <v/>
      </c>
      <c r="AE226" s="31">
        <f>IF($Y226="",0,$Y226)</f>
        <v/>
      </c>
    </row>
    <row r="227">
      <c r="W227" s="31">
        <f>IF(OR($B$5="",$C$6="",ROW()&lt;$B$5),"",IF(INDEX($A:$U,ROW(),$C$6)="","",INDEX($A:$U,ROW(),$C$6)))</f>
        <v/>
      </c>
      <c r="X227" s="32">
        <f>IF($W227="","",IF(ISNUMBER($W227),IF($W227&gt;=10000000,IFERROR(DATE(INT($W227/10000),MOD(INT($W227/100),100),MOD($W227,100)),""),INT($W227)),IFERROR(DATE(--LEFT(LEFT(SUBSTITUTE(SUBSTITUTE(SUBSTITUTE(SUBSTITUTE(TRIM($W227),"-",""),".",""),"/","")," ",""),8),4),--MID(LEFT(SUBSTITUTE(SUBSTITUTE(SUBSTITUTE(SUBSTITUTE(TRIM($W227),"-",""),".",""),"/","")," ",""),8),5,2),--MID(LEFT(SUBSTITUTE(SUBSTITUTE(SUBSTITUTE(SUBSTITUTE(TRIM($W227),"-",""),".",""),"/","")," ",""),8),7,2)),"")))</f>
        <v/>
      </c>
      <c r="Y227" s="32">
        <f>IF($X227="","",INT($X227))</f>
        <v/>
      </c>
      <c r="Z227" s="33">
        <f>IF(OR($Y227="",$D$6=""),"",IF(INDEX($A:$U,ROW(),$D$6)="",0,IF(ISNUMBER(INDEX($A:$U,ROW(),$D$6)),INDEX($A:$U,ROW(),$D$6),IFERROR(--SUBSTITUTE(SUBSTITUTE(TRIM(INDEX($A:$U,ROW(),$D$6)),",",""),"원",""),0))))</f>
        <v/>
      </c>
      <c r="AA227" s="31">
        <f>IF($Y227="","",TRIM(INDEX($A:$U,ROW(),$E$6)&amp;IF($F$6="",""," "&amp;INDEX($A:$U,ROW(),$F$6))))</f>
        <v/>
      </c>
      <c r="AB227" s="31">
        <f>IF($AA227="","",SUBSTITUTE(SUBSTITUTE(SUBSTITUTE(SUBSTITUTE(SUBSTITUTE(SUBSTITUTE(SUBSTITUTE(SUBSTITUTE(SUBSTITUTE($AA227," ",""),"　",""),"(주)",""),"（주）",""),"㈜",""),"주식회사",""),"(유)",""),"（유）",""),"유한회사",""))</f>
        <v/>
      </c>
      <c r="AC227" s="31">
        <f>IF(OR($Y227="",N($Z227)&lt;=0,$AB227=""),0,IFERROR(LOOKUP(2,1/((거래처별!$AC$8:$AC$307&lt;&gt;"")*ISNUMBER(SEARCH(거래처별!$AC$8:$AC$307,$AB227))),거래처별!$A$8:$A$307),IFERROR(LOOKUP(2,1/((거래처별!$AD$8:$AD$307&lt;&gt;"")*ISNUMBER(SEARCH(거래처별!$AD$8:$AD$307,$AB227))),거래처별!$A$8:$A$307),IFERROR(LOOKUP(2,1/((거래처별!$AE$8:$AE$307&lt;&gt;"")*ISNUMBER(SEARCH(거래처별!$AE$8:$AE$307,$AB227))),거래처별!$A$8:$A$307),0))))</f>
        <v/>
      </c>
      <c r="AD227" s="31">
        <f>IF(AND($Y227&lt;&gt;"",N($Z227)&gt;0,$AC227=0),MAX($AD$7:$AD226)+1,"")</f>
        <v/>
      </c>
      <c r="AE227" s="31">
        <f>IF($Y227="",0,$Y227)</f>
        <v/>
      </c>
    </row>
    <row r="228">
      <c r="W228" s="31">
        <f>IF(OR($B$5="",$C$6="",ROW()&lt;$B$5),"",IF(INDEX($A:$U,ROW(),$C$6)="","",INDEX($A:$U,ROW(),$C$6)))</f>
        <v/>
      </c>
      <c r="X228" s="32">
        <f>IF($W228="","",IF(ISNUMBER($W228),IF($W228&gt;=10000000,IFERROR(DATE(INT($W228/10000),MOD(INT($W228/100),100),MOD($W228,100)),""),INT($W228)),IFERROR(DATE(--LEFT(LEFT(SUBSTITUTE(SUBSTITUTE(SUBSTITUTE(SUBSTITUTE(TRIM($W228),"-",""),".",""),"/","")," ",""),8),4),--MID(LEFT(SUBSTITUTE(SUBSTITUTE(SUBSTITUTE(SUBSTITUTE(TRIM($W228),"-",""),".",""),"/","")," ",""),8),5,2),--MID(LEFT(SUBSTITUTE(SUBSTITUTE(SUBSTITUTE(SUBSTITUTE(TRIM($W228),"-",""),".",""),"/","")," ",""),8),7,2)),"")))</f>
        <v/>
      </c>
      <c r="Y228" s="32">
        <f>IF($X228="","",INT($X228))</f>
        <v/>
      </c>
      <c r="Z228" s="33">
        <f>IF(OR($Y228="",$D$6=""),"",IF(INDEX($A:$U,ROW(),$D$6)="",0,IF(ISNUMBER(INDEX($A:$U,ROW(),$D$6)),INDEX($A:$U,ROW(),$D$6),IFERROR(--SUBSTITUTE(SUBSTITUTE(TRIM(INDEX($A:$U,ROW(),$D$6)),",",""),"원",""),0))))</f>
        <v/>
      </c>
      <c r="AA228" s="31">
        <f>IF($Y228="","",TRIM(INDEX($A:$U,ROW(),$E$6)&amp;IF($F$6="",""," "&amp;INDEX($A:$U,ROW(),$F$6))))</f>
        <v/>
      </c>
      <c r="AB228" s="31">
        <f>IF($AA228="","",SUBSTITUTE(SUBSTITUTE(SUBSTITUTE(SUBSTITUTE(SUBSTITUTE(SUBSTITUTE(SUBSTITUTE(SUBSTITUTE(SUBSTITUTE($AA228," ",""),"　",""),"(주)",""),"（주）",""),"㈜",""),"주식회사",""),"(유)",""),"（유）",""),"유한회사",""))</f>
        <v/>
      </c>
      <c r="AC228" s="31">
        <f>IF(OR($Y228="",N($Z228)&lt;=0,$AB228=""),0,IFERROR(LOOKUP(2,1/((거래처별!$AC$8:$AC$307&lt;&gt;"")*ISNUMBER(SEARCH(거래처별!$AC$8:$AC$307,$AB228))),거래처별!$A$8:$A$307),IFERROR(LOOKUP(2,1/((거래처별!$AD$8:$AD$307&lt;&gt;"")*ISNUMBER(SEARCH(거래처별!$AD$8:$AD$307,$AB228))),거래처별!$A$8:$A$307),IFERROR(LOOKUP(2,1/((거래처별!$AE$8:$AE$307&lt;&gt;"")*ISNUMBER(SEARCH(거래처별!$AE$8:$AE$307,$AB228))),거래처별!$A$8:$A$307),0))))</f>
        <v/>
      </c>
      <c r="AD228" s="31">
        <f>IF(AND($Y228&lt;&gt;"",N($Z228)&gt;0,$AC228=0),MAX($AD$7:$AD227)+1,"")</f>
        <v/>
      </c>
      <c r="AE228" s="31">
        <f>IF($Y228="",0,$Y228)</f>
        <v/>
      </c>
    </row>
    <row r="229">
      <c r="W229" s="31">
        <f>IF(OR($B$5="",$C$6="",ROW()&lt;$B$5),"",IF(INDEX($A:$U,ROW(),$C$6)="","",INDEX($A:$U,ROW(),$C$6)))</f>
        <v/>
      </c>
      <c r="X229" s="32">
        <f>IF($W229="","",IF(ISNUMBER($W229),IF($W229&gt;=10000000,IFERROR(DATE(INT($W229/10000),MOD(INT($W229/100),100),MOD($W229,100)),""),INT($W229)),IFERROR(DATE(--LEFT(LEFT(SUBSTITUTE(SUBSTITUTE(SUBSTITUTE(SUBSTITUTE(TRIM($W229),"-",""),".",""),"/","")," ",""),8),4),--MID(LEFT(SUBSTITUTE(SUBSTITUTE(SUBSTITUTE(SUBSTITUTE(TRIM($W229),"-",""),".",""),"/","")," ",""),8),5,2),--MID(LEFT(SUBSTITUTE(SUBSTITUTE(SUBSTITUTE(SUBSTITUTE(TRIM($W229),"-",""),".",""),"/","")," ",""),8),7,2)),"")))</f>
        <v/>
      </c>
      <c r="Y229" s="32">
        <f>IF($X229="","",INT($X229))</f>
        <v/>
      </c>
      <c r="Z229" s="33">
        <f>IF(OR($Y229="",$D$6=""),"",IF(INDEX($A:$U,ROW(),$D$6)="",0,IF(ISNUMBER(INDEX($A:$U,ROW(),$D$6)),INDEX($A:$U,ROW(),$D$6),IFERROR(--SUBSTITUTE(SUBSTITUTE(TRIM(INDEX($A:$U,ROW(),$D$6)),",",""),"원",""),0))))</f>
        <v/>
      </c>
      <c r="AA229" s="31">
        <f>IF($Y229="","",TRIM(INDEX($A:$U,ROW(),$E$6)&amp;IF($F$6="",""," "&amp;INDEX($A:$U,ROW(),$F$6))))</f>
        <v/>
      </c>
      <c r="AB229" s="31">
        <f>IF($AA229="","",SUBSTITUTE(SUBSTITUTE(SUBSTITUTE(SUBSTITUTE(SUBSTITUTE(SUBSTITUTE(SUBSTITUTE(SUBSTITUTE(SUBSTITUTE($AA229," ",""),"　",""),"(주)",""),"（주）",""),"㈜",""),"주식회사",""),"(유)",""),"（유）",""),"유한회사",""))</f>
        <v/>
      </c>
      <c r="AC229" s="31">
        <f>IF(OR($Y229="",N($Z229)&lt;=0,$AB229=""),0,IFERROR(LOOKUP(2,1/((거래처별!$AC$8:$AC$307&lt;&gt;"")*ISNUMBER(SEARCH(거래처별!$AC$8:$AC$307,$AB229))),거래처별!$A$8:$A$307),IFERROR(LOOKUP(2,1/((거래처별!$AD$8:$AD$307&lt;&gt;"")*ISNUMBER(SEARCH(거래처별!$AD$8:$AD$307,$AB229))),거래처별!$A$8:$A$307),IFERROR(LOOKUP(2,1/((거래처별!$AE$8:$AE$307&lt;&gt;"")*ISNUMBER(SEARCH(거래처별!$AE$8:$AE$307,$AB229))),거래처별!$A$8:$A$307),0))))</f>
        <v/>
      </c>
      <c r="AD229" s="31">
        <f>IF(AND($Y229&lt;&gt;"",N($Z229)&gt;0,$AC229=0),MAX($AD$7:$AD228)+1,"")</f>
        <v/>
      </c>
      <c r="AE229" s="31">
        <f>IF($Y229="",0,$Y229)</f>
        <v/>
      </c>
    </row>
    <row r="230">
      <c r="W230" s="31">
        <f>IF(OR($B$5="",$C$6="",ROW()&lt;$B$5),"",IF(INDEX($A:$U,ROW(),$C$6)="","",INDEX($A:$U,ROW(),$C$6)))</f>
        <v/>
      </c>
      <c r="X230" s="32">
        <f>IF($W230="","",IF(ISNUMBER($W230),IF($W230&gt;=10000000,IFERROR(DATE(INT($W230/10000),MOD(INT($W230/100),100),MOD($W230,100)),""),INT($W230)),IFERROR(DATE(--LEFT(LEFT(SUBSTITUTE(SUBSTITUTE(SUBSTITUTE(SUBSTITUTE(TRIM($W230),"-",""),".",""),"/","")," ",""),8),4),--MID(LEFT(SUBSTITUTE(SUBSTITUTE(SUBSTITUTE(SUBSTITUTE(TRIM($W230),"-",""),".",""),"/","")," ",""),8),5,2),--MID(LEFT(SUBSTITUTE(SUBSTITUTE(SUBSTITUTE(SUBSTITUTE(TRIM($W230),"-",""),".",""),"/","")," ",""),8),7,2)),"")))</f>
        <v/>
      </c>
      <c r="Y230" s="32">
        <f>IF($X230="","",INT($X230))</f>
        <v/>
      </c>
      <c r="Z230" s="33">
        <f>IF(OR($Y230="",$D$6=""),"",IF(INDEX($A:$U,ROW(),$D$6)="",0,IF(ISNUMBER(INDEX($A:$U,ROW(),$D$6)),INDEX($A:$U,ROW(),$D$6),IFERROR(--SUBSTITUTE(SUBSTITUTE(TRIM(INDEX($A:$U,ROW(),$D$6)),",",""),"원",""),0))))</f>
        <v/>
      </c>
      <c r="AA230" s="31">
        <f>IF($Y230="","",TRIM(INDEX($A:$U,ROW(),$E$6)&amp;IF($F$6="",""," "&amp;INDEX($A:$U,ROW(),$F$6))))</f>
        <v/>
      </c>
      <c r="AB230" s="31">
        <f>IF($AA230="","",SUBSTITUTE(SUBSTITUTE(SUBSTITUTE(SUBSTITUTE(SUBSTITUTE(SUBSTITUTE(SUBSTITUTE(SUBSTITUTE(SUBSTITUTE($AA230," ",""),"　",""),"(주)",""),"（주）",""),"㈜",""),"주식회사",""),"(유)",""),"（유）",""),"유한회사",""))</f>
        <v/>
      </c>
      <c r="AC230" s="31">
        <f>IF(OR($Y230="",N($Z230)&lt;=0,$AB230=""),0,IFERROR(LOOKUP(2,1/((거래처별!$AC$8:$AC$307&lt;&gt;"")*ISNUMBER(SEARCH(거래처별!$AC$8:$AC$307,$AB230))),거래처별!$A$8:$A$307),IFERROR(LOOKUP(2,1/((거래처별!$AD$8:$AD$307&lt;&gt;"")*ISNUMBER(SEARCH(거래처별!$AD$8:$AD$307,$AB230))),거래처별!$A$8:$A$307),IFERROR(LOOKUP(2,1/((거래처별!$AE$8:$AE$307&lt;&gt;"")*ISNUMBER(SEARCH(거래처별!$AE$8:$AE$307,$AB230))),거래처별!$A$8:$A$307),0))))</f>
        <v/>
      </c>
      <c r="AD230" s="31">
        <f>IF(AND($Y230&lt;&gt;"",N($Z230)&gt;0,$AC230=0),MAX($AD$7:$AD229)+1,"")</f>
        <v/>
      </c>
      <c r="AE230" s="31">
        <f>IF($Y230="",0,$Y230)</f>
        <v/>
      </c>
    </row>
    <row r="231">
      <c r="W231" s="31">
        <f>IF(OR($B$5="",$C$6="",ROW()&lt;$B$5),"",IF(INDEX($A:$U,ROW(),$C$6)="","",INDEX($A:$U,ROW(),$C$6)))</f>
        <v/>
      </c>
      <c r="X231" s="32">
        <f>IF($W231="","",IF(ISNUMBER($W231),IF($W231&gt;=10000000,IFERROR(DATE(INT($W231/10000),MOD(INT($W231/100),100),MOD($W231,100)),""),INT($W231)),IFERROR(DATE(--LEFT(LEFT(SUBSTITUTE(SUBSTITUTE(SUBSTITUTE(SUBSTITUTE(TRIM($W231),"-",""),".",""),"/","")," ",""),8),4),--MID(LEFT(SUBSTITUTE(SUBSTITUTE(SUBSTITUTE(SUBSTITUTE(TRIM($W231),"-",""),".",""),"/","")," ",""),8),5,2),--MID(LEFT(SUBSTITUTE(SUBSTITUTE(SUBSTITUTE(SUBSTITUTE(TRIM($W231),"-",""),".",""),"/","")," ",""),8),7,2)),"")))</f>
        <v/>
      </c>
      <c r="Y231" s="32">
        <f>IF($X231="","",INT($X231))</f>
        <v/>
      </c>
      <c r="Z231" s="33">
        <f>IF(OR($Y231="",$D$6=""),"",IF(INDEX($A:$U,ROW(),$D$6)="",0,IF(ISNUMBER(INDEX($A:$U,ROW(),$D$6)),INDEX($A:$U,ROW(),$D$6),IFERROR(--SUBSTITUTE(SUBSTITUTE(TRIM(INDEX($A:$U,ROW(),$D$6)),",",""),"원",""),0))))</f>
        <v/>
      </c>
      <c r="AA231" s="31">
        <f>IF($Y231="","",TRIM(INDEX($A:$U,ROW(),$E$6)&amp;IF($F$6="",""," "&amp;INDEX($A:$U,ROW(),$F$6))))</f>
        <v/>
      </c>
      <c r="AB231" s="31">
        <f>IF($AA231="","",SUBSTITUTE(SUBSTITUTE(SUBSTITUTE(SUBSTITUTE(SUBSTITUTE(SUBSTITUTE(SUBSTITUTE(SUBSTITUTE(SUBSTITUTE($AA231," ",""),"　",""),"(주)",""),"（주）",""),"㈜",""),"주식회사",""),"(유)",""),"（유）",""),"유한회사",""))</f>
        <v/>
      </c>
      <c r="AC231" s="31">
        <f>IF(OR($Y231="",N($Z231)&lt;=0,$AB231=""),0,IFERROR(LOOKUP(2,1/((거래처별!$AC$8:$AC$307&lt;&gt;"")*ISNUMBER(SEARCH(거래처별!$AC$8:$AC$307,$AB231))),거래처별!$A$8:$A$307),IFERROR(LOOKUP(2,1/((거래처별!$AD$8:$AD$307&lt;&gt;"")*ISNUMBER(SEARCH(거래처별!$AD$8:$AD$307,$AB231))),거래처별!$A$8:$A$307),IFERROR(LOOKUP(2,1/((거래처별!$AE$8:$AE$307&lt;&gt;"")*ISNUMBER(SEARCH(거래처별!$AE$8:$AE$307,$AB231))),거래처별!$A$8:$A$307),0))))</f>
        <v/>
      </c>
      <c r="AD231" s="31">
        <f>IF(AND($Y231&lt;&gt;"",N($Z231)&gt;0,$AC231=0),MAX($AD$7:$AD230)+1,"")</f>
        <v/>
      </c>
      <c r="AE231" s="31">
        <f>IF($Y231="",0,$Y231)</f>
        <v/>
      </c>
    </row>
    <row r="232">
      <c r="W232" s="31">
        <f>IF(OR($B$5="",$C$6="",ROW()&lt;$B$5),"",IF(INDEX($A:$U,ROW(),$C$6)="","",INDEX($A:$U,ROW(),$C$6)))</f>
        <v/>
      </c>
      <c r="X232" s="32">
        <f>IF($W232="","",IF(ISNUMBER($W232),IF($W232&gt;=10000000,IFERROR(DATE(INT($W232/10000),MOD(INT($W232/100),100),MOD($W232,100)),""),INT($W232)),IFERROR(DATE(--LEFT(LEFT(SUBSTITUTE(SUBSTITUTE(SUBSTITUTE(SUBSTITUTE(TRIM($W232),"-",""),".",""),"/","")," ",""),8),4),--MID(LEFT(SUBSTITUTE(SUBSTITUTE(SUBSTITUTE(SUBSTITUTE(TRIM($W232),"-",""),".",""),"/","")," ",""),8),5,2),--MID(LEFT(SUBSTITUTE(SUBSTITUTE(SUBSTITUTE(SUBSTITUTE(TRIM($W232),"-",""),".",""),"/","")," ",""),8),7,2)),"")))</f>
        <v/>
      </c>
      <c r="Y232" s="32">
        <f>IF($X232="","",INT($X232))</f>
        <v/>
      </c>
      <c r="Z232" s="33">
        <f>IF(OR($Y232="",$D$6=""),"",IF(INDEX($A:$U,ROW(),$D$6)="",0,IF(ISNUMBER(INDEX($A:$U,ROW(),$D$6)),INDEX($A:$U,ROW(),$D$6),IFERROR(--SUBSTITUTE(SUBSTITUTE(TRIM(INDEX($A:$U,ROW(),$D$6)),",",""),"원",""),0))))</f>
        <v/>
      </c>
      <c r="AA232" s="31">
        <f>IF($Y232="","",TRIM(INDEX($A:$U,ROW(),$E$6)&amp;IF($F$6="",""," "&amp;INDEX($A:$U,ROW(),$F$6))))</f>
        <v/>
      </c>
      <c r="AB232" s="31">
        <f>IF($AA232="","",SUBSTITUTE(SUBSTITUTE(SUBSTITUTE(SUBSTITUTE(SUBSTITUTE(SUBSTITUTE(SUBSTITUTE(SUBSTITUTE(SUBSTITUTE($AA232," ",""),"　",""),"(주)",""),"（주）",""),"㈜",""),"주식회사",""),"(유)",""),"（유）",""),"유한회사",""))</f>
        <v/>
      </c>
      <c r="AC232" s="31">
        <f>IF(OR($Y232="",N($Z232)&lt;=0,$AB232=""),0,IFERROR(LOOKUP(2,1/((거래처별!$AC$8:$AC$307&lt;&gt;"")*ISNUMBER(SEARCH(거래처별!$AC$8:$AC$307,$AB232))),거래처별!$A$8:$A$307),IFERROR(LOOKUP(2,1/((거래처별!$AD$8:$AD$307&lt;&gt;"")*ISNUMBER(SEARCH(거래처별!$AD$8:$AD$307,$AB232))),거래처별!$A$8:$A$307),IFERROR(LOOKUP(2,1/((거래처별!$AE$8:$AE$307&lt;&gt;"")*ISNUMBER(SEARCH(거래처별!$AE$8:$AE$307,$AB232))),거래처별!$A$8:$A$307),0))))</f>
        <v/>
      </c>
      <c r="AD232" s="31">
        <f>IF(AND($Y232&lt;&gt;"",N($Z232)&gt;0,$AC232=0),MAX($AD$7:$AD231)+1,"")</f>
        <v/>
      </c>
      <c r="AE232" s="31">
        <f>IF($Y232="",0,$Y232)</f>
        <v/>
      </c>
    </row>
    <row r="233">
      <c r="W233" s="31">
        <f>IF(OR($B$5="",$C$6="",ROW()&lt;$B$5),"",IF(INDEX($A:$U,ROW(),$C$6)="","",INDEX($A:$U,ROW(),$C$6)))</f>
        <v/>
      </c>
      <c r="X233" s="32">
        <f>IF($W233="","",IF(ISNUMBER($W233),IF($W233&gt;=10000000,IFERROR(DATE(INT($W233/10000),MOD(INT($W233/100),100),MOD($W233,100)),""),INT($W233)),IFERROR(DATE(--LEFT(LEFT(SUBSTITUTE(SUBSTITUTE(SUBSTITUTE(SUBSTITUTE(TRIM($W233),"-",""),".",""),"/","")," ",""),8),4),--MID(LEFT(SUBSTITUTE(SUBSTITUTE(SUBSTITUTE(SUBSTITUTE(TRIM($W233),"-",""),".",""),"/","")," ",""),8),5,2),--MID(LEFT(SUBSTITUTE(SUBSTITUTE(SUBSTITUTE(SUBSTITUTE(TRIM($W233),"-",""),".",""),"/","")," ",""),8),7,2)),"")))</f>
        <v/>
      </c>
      <c r="Y233" s="32">
        <f>IF($X233="","",INT($X233))</f>
        <v/>
      </c>
      <c r="Z233" s="33">
        <f>IF(OR($Y233="",$D$6=""),"",IF(INDEX($A:$U,ROW(),$D$6)="",0,IF(ISNUMBER(INDEX($A:$U,ROW(),$D$6)),INDEX($A:$U,ROW(),$D$6),IFERROR(--SUBSTITUTE(SUBSTITUTE(TRIM(INDEX($A:$U,ROW(),$D$6)),",",""),"원",""),0))))</f>
        <v/>
      </c>
      <c r="AA233" s="31">
        <f>IF($Y233="","",TRIM(INDEX($A:$U,ROW(),$E$6)&amp;IF($F$6="",""," "&amp;INDEX($A:$U,ROW(),$F$6))))</f>
        <v/>
      </c>
      <c r="AB233" s="31">
        <f>IF($AA233="","",SUBSTITUTE(SUBSTITUTE(SUBSTITUTE(SUBSTITUTE(SUBSTITUTE(SUBSTITUTE(SUBSTITUTE(SUBSTITUTE(SUBSTITUTE($AA233," ",""),"　",""),"(주)",""),"（주）",""),"㈜",""),"주식회사",""),"(유)",""),"（유）",""),"유한회사",""))</f>
        <v/>
      </c>
      <c r="AC233" s="31">
        <f>IF(OR($Y233="",N($Z233)&lt;=0,$AB233=""),0,IFERROR(LOOKUP(2,1/((거래처별!$AC$8:$AC$307&lt;&gt;"")*ISNUMBER(SEARCH(거래처별!$AC$8:$AC$307,$AB233))),거래처별!$A$8:$A$307),IFERROR(LOOKUP(2,1/((거래처별!$AD$8:$AD$307&lt;&gt;"")*ISNUMBER(SEARCH(거래처별!$AD$8:$AD$307,$AB233))),거래처별!$A$8:$A$307),IFERROR(LOOKUP(2,1/((거래처별!$AE$8:$AE$307&lt;&gt;"")*ISNUMBER(SEARCH(거래처별!$AE$8:$AE$307,$AB233))),거래처별!$A$8:$A$307),0))))</f>
        <v/>
      </c>
      <c r="AD233" s="31">
        <f>IF(AND($Y233&lt;&gt;"",N($Z233)&gt;0,$AC233=0),MAX($AD$7:$AD232)+1,"")</f>
        <v/>
      </c>
      <c r="AE233" s="31">
        <f>IF($Y233="",0,$Y233)</f>
        <v/>
      </c>
    </row>
    <row r="234">
      <c r="W234" s="31">
        <f>IF(OR($B$5="",$C$6="",ROW()&lt;$B$5),"",IF(INDEX($A:$U,ROW(),$C$6)="","",INDEX($A:$U,ROW(),$C$6)))</f>
        <v/>
      </c>
      <c r="X234" s="32">
        <f>IF($W234="","",IF(ISNUMBER($W234),IF($W234&gt;=10000000,IFERROR(DATE(INT($W234/10000),MOD(INT($W234/100),100),MOD($W234,100)),""),INT($W234)),IFERROR(DATE(--LEFT(LEFT(SUBSTITUTE(SUBSTITUTE(SUBSTITUTE(SUBSTITUTE(TRIM($W234),"-",""),".",""),"/","")," ",""),8),4),--MID(LEFT(SUBSTITUTE(SUBSTITUTE(SUBSTITUTE(SUBSTITUTE(TRIM($W234),"-",""),".",""),"/","")," ",""),8),5,2),--MID(LEFT(SUBSTITUTE(SUBSTITUTE(SUBSTITUTE(SUBSTITUTE(TRIM($W234),"-",""),".",""),"/","")," ",""),8),7,2)),"")))</f>
        <v/>
      </c>
      <c r="Y234" s="32">
        <f>IF($X234="","",INT($X234))</f>
        <v/>
      </c>
      <c r="Z234" s="33">
        <f>IF(OR($Y234="",$D$6=""),"",IF(INDEX($A:$U,ROW(),$D$6)="",0,IF(ISNUMBER(INDEX($A:$U,ROW(),$D$6)),INDEX($A:$U,ROW(),$D$6),IFERROR(--SUBSTITUTE(SUBSTITUTE(TRIM(INDEX($A:$U,ROW(),$D$6)),",",""),"원",""),0))))</f>
        <v/>
      </c>
      <c r="AA234" s="31">
        <f>IF($Y234="","",TRIM(INDEX($A:$U,ROW(),$E$6)&amp;IF($F$6="",""," "&amp;INDEX($A:$U,ROW(),$F$6))))</f>
        <v/>
      </c>
      <c r="AB234" s="31">
        <f>IF($AA234="","",SUBSTITUTE(SUBSTITUTE(SUBSTITUTE(SUBSTITUTE(SUBSTITUTE(SUBSTITUTE(SUBSTITUTE(SUBSTITUTE(SUBSTITUTE($AA234," ",""),"　",""),"(주)",""),"（주）",""),"㈜",""),"주식회사",""),"(유)",""),"（유）",""),"유한회사",""))</f>
        <v/>
      </c>
      <c r="AC234" s="31">
        <f>IF(OR($Y234="",N($Z234)&lt;=0,$AB234=""),0,IFERROR(LOOKUP(2,1/((거래처별!$AC$8:$AC$307&lt;&gt;"")*ISNUMBER(SEARCH(거래처별!$AC$8:$AC$307,$AB234))),거래처별!$A$8:$A$307),IFERROR(LOOKUP(2,1/((거래처별!$AD$8:$AD$307&lt;&gt;"")*ISNUMBER(SEARCH(거래처별!$AD$8:$AD$307,$AB234))),거래처별!$A$8:$A$307),IFERROR(LOOKUP(2,1/((거래처별!$AE$8:$AE$307&lt;&gt;"")*ISNUMBER(SEARCH(거래처별!$AE$8:$AE$307,$AB234))),거래처별!$A$8:$A$307),0))))</f>
        <v/>
      </c>
      <c r="AD234" s="31">
        <f>IF(AND($Y234&lt;&gt;"",N($Z234)&gt;0,$AC234=0),MAX($AD$7:$AD233)+1,"")</f>
        <v/>
      </c>
      <c r="AE234" s="31">
        <f>IF($Y234="",0,$Y234)</f>
        <v/>
      </c>
    </row>
    <row r="235">
      <c r="W235" s="31">
        <f>IF(OR($B$5="",$C$6="",ROW()&lt;$B$5),"",IF(INDEX($A:$U,ROW(),$C$6)="","",INDEX($A:$U,ROW(),$C$6)))</f>
        <v/>
      </c>
      <c r="X235" s="32">
        <f>IF($W235="","",IF(ISNUMBER($W235),IF($W235&gt;=10000000,IFERROR(DATE(INT($W235/10000),MOD(INT($W235/100),100),MOD($W235,100)),""),INT($W235)),IFERROR(DATE(--LEFT(LEFT(SUBSTITUTE(SUBSTITUTE(SUBSTITUTE(SUBSTITUTE(TRIM($W235),"-",""),".",""),"/","")," ",""),8),4),--MID(LEFT(SUBSTITUTE(SUBSTITUTE(SUBSTITUTE(SUBSTITUTE(TRIM($W235),"-",""),".",""),"/","")," ",""),8),5,2),--MID(LEFT(SUBSTITUTE(SUBSTITUTE(SUBSTITUTE(SUBSTITUTE(TRIM($W235),"-",""),".",""),"/","")," ",""),8),7,2)),"")))</f>
        <v/>
      </c>
      <c r="Y235" s="32">
        <f>IF($X235="","",INT($X235))</f>
        <v/>
      </c>
      <c r="Z235" s="33">
        <f>IF(OR($Y235="",$D$6=""),"",IF(INDEX($A:$U,ROW(),$D$6)="",0,IF(ISNUMBER(INDEX($A:$U,ROW(),$D$6)),INDEX($A:$U,ROW(),$D$6),IFERROR(--SUBSTITUTE(SUBSTITUTE(TRIM(INDEX($A:$U,ROW(),$D$6)),",",""),"원",""),0))))</f>
        <v/>
      </c>
      <c r="AA235" s="31">
        <f>IF($Y235="","",TRIM(INDEX($A:$U,ROW(),$E$6)&amp;IF($F$6="",""," "&amp;INDEX($A:$U,ROW(),$F$6))))</f>
        <v/>
      </c>
      <c r="AB235" s="31">
        <f>IF($AA235="","",SUBSTITUTE(SUBSTITUTE(SUBSTITUTE(SUBSTITUTE(SUBSTITUTE(SUBSTITUTE(SUBSTITUTE(SUBSTITUTE(SUBSTITUTE($AA235," ",""),"　",""),"(주)",""),"（주）",""),"㈜",""),"주식회사",""),"(유)",""),"（유）",""),"유한회사",""))</f>
        <v/>
      </c>
      <c r="AC235" s="31">
        <f>IF(OR($Y235="",N($Z235)&lt;=0,$AB235=""),0,IFERROR(LOOKUP(2,1/((거래처별!$AC$8:$AC$307&lt;&gt;"")*ISNUMBER(SEARCH(거래처별!$AC$8:$AC$307,$AB235))),거래처별!$A$8:$A$307),IFERROR(LOOKUP(2,1/((거래처별!$AD$8:$AD$307&lt;&gt;"")*ISNUMBER(SEARCH(거래처별!$AD$8:$AD$307,$AB235))),거래처별!$A$8:$A$307),IFERROR(LOOKUP(2,1/((거래처별!$AE$8:$AE$307&lt;&gt;"")*ISNUMBER(SEARCH(거래처별!$AE$8:$AE$307,$AB235))),거래처별!$A$8:$A$307),0))))</f>
        <v/>
      </c>
      <c r="AD235" s="31">
        <f>IF(AND($Y235&lt;&gt;"",N($Z235)&gt;0,$AC235=0),MAX($AD$7:$AD234)+1,"")</f>
        <v/>
      </c>
      <c r="AE235" s="31">
        <f>IF($Y235="",0,$Y235)</f>
        <v/>
      </c>
    </row>
    <row r="236">
      <c r="W236" s="31">
        <f>IF(OR($B$5="",$C$6="",ROW()&lt;$B$5),"",IF(INDEX($A:$U,ROW(),$C$6)="","",INDEX($A:$U,ROW(),$C$6)))</f>
        <v/>
      </c>
      <c r="X236" s="32">
        <f>IF($W236="","",IF(ISNUMBER($W236),IF($W236&gt;=10000000,IFERROR(DATE(INT($W236/10000),MOD(INT($W236/100),100),MOD($W236,100)),""),INT($W236)),IFERROR(DATE(--LEFT(LEFT(SUBSTITUTE(SUBSTITUTE(SUBSTITUTE(SUBSTITUTE(TRIM($W236),"-",""),".",""),"/","")," ",""),8),4),--MID(LEFT(SUBSTITUTE(SUBSTITUTE(SUBSTITUTE(SUBSTITUTE(TRIM($W236),"-",""),".",""),"/","")," ",""),8),5,2),--MID(LEFT(SUBSTITUTE(SUBSTITUTE(SUBSTITUTE(SUBSTITUTE(TRIM($W236),"-",""),".",""),"/","")," ",""),8),7,2)),"")))</f>
        <v/>
      </c>
      <c r="Y236" s="32">
        <f>IF($X236="","",INT($X236))</f>
        <v/>
      </c>
      <c r="Z236" s="33">
        <f>IF(OR($Y236="",$D$6=""),"",IF(INDEX($A:$U,ROW(),$D$6)="",0,IF(ISNUMBER(INDEX($A:$U,ROW(),$D$6)),INDEX($A:$U,ROW(),$D$6),IFERROR(--SUBSTITUTE(SUBSTITUTE(TRIM(INDEX($A:$U,ROW(),$D$6)),",",""),"원",""),0))))</f>
        <v/>
      </c>
      <c r="AA236" s="31">
        <f>IF($Y236="","",TRIM(INDEX($A:$U,ROW(),$E$6)&amp;IF($F$6="",""," "&amp;INDEX($A:$U,ROW(),$F$6))))</f>
        <v/>
      </c>
      <c r="AB236" s="31">
        <f>IF($AA236="","",SUBSTITUTE(SUBSTITUTE(SUBSTITUTE(SUBSTITUTE(SUBSTITUTE(SUBSTITUTE(SUBSTITUTE(SUBSTITUTE(SUBSTITUTE($AA236," ",""),"　",""),"(주)",""),"（주）",""),"㈜",""),"주식회사",""),"(유)",""),"（유）",""),"유한회사",""))</f>
        <v/>
      </c>
      <c r="AC236" s="31">
        <f>IF(OR($Y236="",N($Z236)&lt;=0,$AB236=""),0,IFERROR(LOOKUP(2,1/((거래처별!$AC$8:$AC$307&lt;&gt;"")*ISNUMBER(SEARCH(거래처별!$AC$8:$AC$307,$AB236))),거래처별!$A$8:$A$307),IFERROR(LOOKUP(2,1/((거래처별!$AD$8:$AD$307&lt;&gt;"")*ISNUMBER(SEARCH(거래처별!$AD$8:$AD$307,$AB236))),거래처별!$A$8:$A$307),IFERROR(LOOKUP(2,1/((거래처별!$AE$8:$AE$307&lt;&gt;"")*ISNUMBER(SEARCH(거래처별!$AE$8:$AE$307,$AB236))),거래처별!$A$8:$A$307),0))))</f>
        <v/>
      </c>
      <c r="AD236" s="31">
        <f>IF(AND($Y236&lt;&gt;"",N($Z236)&gt;0,$AC236=0),MAX($AD$7:$AD235)+1,"")</f>
        <v/>
      </c>
      <c r="AE236" s="31">
        <f>IF($Y236="",0,$Y236)</f>
        <v/>
      </c>
    </row>
    <row r="237">
      <c r="W237" s="31">
        <f>IF(OR($B$5="",$C$6="",ROW()&lt;$B$5),"",IF(INDEX($A:$U,ROW(),$C$6)="","",INDEX($A:$U,ROW(),$C$6)))</f>
        <v/>
      </c>
      <c r="X237" s="32">
        <f>IF($W237="","",IF(ISNUMBER($W237),IF($W237&gt;=10000000,IFERROR(DATE(INT($W237/10000),MOD(INT($W237/100),100),MOD($W237,100)),""),INT($W237)),IFERROR(DATE(--LEFT(LEFT(SUBSTITUTE(SUBSTITUTE(SUBSTITUTE(SUBSTITUTE(TRIM($W237),"-",""),".",""),"/","")," ",""),8),4),--MID(LEFT(SUBSTITUTE(SUBSTITUTE(SUBSTITUTE(SUBSTITUTE(TRIM($W237),"-",""),".",""),"/","")," ",""),8),5,2),--MID(LEFT(SUBSTITUTE(SUBSTITUTE(SUBSTITUTE(SUBSTITUTE(TRIM($W237),"-",""),".",""),"/","")," ",""),8),7,2)),"")))</f>
        <v/>
      </c>
      <c r="Y237" s="32">
        <f>IF($X237="","",INT($X237))</f>
        <v/>
      </c>
      <c r="Z237" s="33">
        <f>IF(OR($Y237="",$D$6=""),"",IF(INDEX($A:$U,ROW(),$D$6)="",0,IF(ISNUMBER(INDEX($A:$U,ROW(),$D$6)),INDEX($A:$U,ROW(),$D$6),IFERROR(--SUBSTITUTE(SUBSTITUTE(TRIM(INDEX($A:$U,ROW(),$D$6)),",",""),"원",""),0))))</f>
        <v/>
      </c>
      <c r="AA237" s="31">
        <f>IF($Y237="","",TRIM(INDEX($A:$U,ROW(),$E$6)&amp;IF($F$6="",""," "&amp;INDEX($A:$U,ROW(),$F$6))))</f>
        <v/>
      </c>
      <c r="AB237" s="31">
        <f>IF($AA237="","",SUBSTITUTE(SUBSTITUTE(SUBSTITUTE(SUBSTITUTE(SUBSTITUTE(SUBSTITUTE(SUBSTITUTE(SUBSTITUTE(SUBSTITUTE($AA237," ",""),"　",""),"(주)",""),"（주）",""),"㈜",""),"주식회사",""),"(유)",""),"（유）",""),"유한회사",""))</f>
        <v/>
      </c>
      <c r="AC237" s="31">
        <f>IF(OR($Y237="",N($Z237)&lt;=0,$AB237=""),0,IFERROR(LOOKUP(2,1/((거래처별!$AC$8:$AC$307&lt;&gt;"")*ISNUMBER(SEARCH(거래처별!$AC$8:$AC$307,$AB237))),거래처별!$A$8:$A$307),IFERROR(LOOKUP(2,1/((거래처별!$AD$8:$AD$307&lt;&gt;"")*ISNUMBER(SEARCH(거래처별!$AD$8:$AD$307,$AB237))),거래처별!$A$8:$A$307),IFERROR(LOOKUP(2,1/((거래처별!$AE$8:$AE$307&lt;&gt;"")*ISNUMBER(SEARCH(거래처별!$AE$8:$AE$307,$AB237))),거래처별!$A$8:$A$307),0))))</f>
        <v/>
      </c>
      <c r="AD237" s="31">
        <f>IF(AND($Y237&lt;&gt;"",N($Z237)&gt;0,$AC237=0),MAX($AD$7:$AD236)+1,"")</f>
        <v/>
      </c>
      <c r="AE237" s="31">
        <f>IF($Y237="",0,$Y237)</f>
        <v/>
      </c>
    </row>
    <row r="238">
      <c r="W238" s="31">
        <f>IF(OR($B$5="",$C$6="",ROW()&lt;$B$5),"",IF(INDEX($A:$U,ROW(),$C$6)="","",INDEX($A:$U,ROW(),$C$6)))</f>
        <v/>
      </c>
      <c r="X238" s="32">
        <f>IF($W238="","",IF(ISNUMBER($W238),IF($W238&gt;=10000000,IFERROR(DATE(INT($W238/10000),MOD(INT($W238/100),100),MOD($W238,100)),""),INT($W238)),IFERROR(DATE(--LEFT(LEFT(SUBSTITUTE(SUBSTITUTE(SUBSTITUTE(SUBSTITUTE(TRIM($W238),"-",""),".",""),"/","")," ",""),8),4),--MID(LEFT(SUBSTITUTE(SUBSTITUTE(SUBSTITUTE(SUBSTITUTE(TRIM($W238),"-",""),".",""),"/","")," ",""),8),5,2),--MID(LEFT(SUBSTITUTE(SUBSTITUTE(SUBSTITUTE(SUBSTITUTE(TRIM($W238),"-",""),".",""),"/","")," ",""),8),7,2)),"")))</f>
        <v/>
      </c>
      <c r="Y238" s="32">
        <f>IF($X238="","",INT($X238))</f>
        <v/>
      </c>
      <c r="Z238" s="33">
        <f>IF(OR($Y238="",$D$6=""),"",IF(INDEX($A:$U,ROW(),$D$6)="",0,IF(ISNUMBER(INDEX($A:$U,ROW(),$D$6)),INDEX($A:$U,ROW(),$D$6),IFERROR(--SUBSTITUTE(SUBSTITUTE(TRIM(INDEX($A:$U,ROW(),$D$6)),",",""),"원",""),0))))</f>
        <v/>
      </c>
      <c r="AA238" s="31">
        <f>IF($Y238="","",TRIM(INDEX($A:$U,ROW(),$E$6)&amp;IF($F$6="",""," "&amp;INDEX($A:$U,ROW(),$F$6))))</f>
        <v/>
      </c>
      <c r="AB238" s="31">
        <f>IF($AA238="","",SUBSTITUTE(SUBSTITUTE(SUBSTITUTE(SUBSTITUTE(SUBSTITUTE(SUBSTITUTE(SUBSTITUTE(SUBSTITUTE(SUBSTITUTE($AA238," ",""),"　",""),"(주)",""),"（주）",""),"㈜",""),"주식회사",""),"(유)",""),"（유）",""),"유한회사",""))</f>
        <v/>
      </c>
      <c r="AC238" s="31">
        <f>IF(OR($Y238="",N($Z238)&lt;=0,$AB238=""),0,IFERROR(LOOKUP(2,1/((거래처별!$AC$8:$AC$307&lt;&gt;"")*ISNUMBER(SEARCH(거래처별!$AC$8:$AC$307,$AB238))),거래처별!$A$8:$A$307),IFERROR(LOOKUP(2,1/((거래처별!$AD$8:$AD$307&lt;&gt;"")*ISNUMBER(SEARCH(거래처별!$AD$8:$AD$307,$AB238))),거래처별!$A$8:$A$307),IFERROR(LOOKUP(2,1/((거래처별!$AE$8:$AE$307&lt;&gt;"")*ISNUMBER(SEARCH(거래처별!$AE$8:$AE$307,$AB238))),거래처별!$A$8:$A$307),0))))</f>
        <v/>
      </c>
      <c r="AD238" s="31">
        <f>IF(AND($Y238&lt;&gt;"",N($Z238)&gt;0,$AC238=0),MAX($AD$7:$AD237)+1,"")</f>
        <v/>
      </c>
      <c r="AE238" s="31">
        <f>IF($Y238="",0,$Y238)</f>
        <v/>
      </c>
    </row>
    <row r="239">
      <c r="W239" s="31">
        <f>IF(OR($B$5="",$C$6="",ROW()&lt;$B$5),"",IF(INDEX($A:$U,ROW(),$C$6)="","",INDEX($A:$U,ROW(),$C$6)))</f>
        <v/>
      </c>
      <c r="X239" s="32">
        <f>IF($W239="","",IF(ISNUMBER($W239),IF($W239&gt;=10000000,IFERROR(DATE(INT($W239/10000),MOD(INT($W239/100),100),MOD($W239,100)),""),INT($W239)),IFERROR(DATE(--LEFT(LEFT(SUBSTITUTE(SUBSTITUTE(SUBSTITUTE(SUBSTITUTE(TRIM($W239),"-",""),".",""),"/","")," ",""),8),4),--MID(LEFT(SUBSTITUTE(SUBSTITUTE(SUBSTITUTE(SUBSTITUTE(TRIM($W239),"-",""),".",""),"/","")," ",""),8),5,2),--MID(LEFT(SUBSTITUTE(SUBSTITUTE(SUBSTITUTE(SUBSTITUTE(TRIM($W239),"-",""),".",""),"/","")," ",""),8),7,2)),"")))</f>
        <v/>
      </c>
      <c r="Y239" s="32">
        <f>IF($X239="","",INT($X239))</f>
        <v/>
      </c>
      <c r="Z239" s="33">
        <f>IF(OR($Y239="",$D$6=""),"",IF(INDEX($A:$U,ROW(),$D$6)="",0,IF(ISNUMBER(INDEX($A:$U,ROW(),$D$6)),INDEX($A:$U,ROW(),$D$6),IFERROR(--SUBSTITUTE(SUBSTITUTE(TRIM(INDEX($A:$U,ROW(),$D$6)),",",""),"원",""),0))))</f>
        <v/>
      </c>
      <c r="AA239" s="31">
        <f>IF($Y239="","",TRIM(INDEX($A:$U,ROW(),$E$6)&amp;IF($F$6="",""," "&amp;INDEX($A:$U,ROW(),$F$6))))</f>
        <v/>
      </c>
      <c r="AB239" s="31">
        <f>IF($AA239="","",SUBSTITUTE(SUBSTITUTE(SUBSTITUTE(SUBSTITUTE(SUBSTITUTE(SUBSTITUTE(SUBSTITUTE(SUBSTITUTE(SUBSTITUTE($AA239," ",""),"　",""),"(주)",""),"（주）",""),"㈜",""),"주식회사",""),"(유)",""),"（유）",""),"유한회사",""))</f>
        <v/>
      </c>
      <c r="AC239" s="31">
        <f>IF(OR($Y239="",N($Z239)&lt;=0,$AB239=""),0,IFERROR(LOOKUP(2,1/((거래처별!$AC$8:$AC$307&lt;&gt;"")*ISNUMBER(SEARCH(거래처별!$AC$8:$AC$307,$AB239))),거래처별!$A$8:$A$307),IFERROR(LOOKUP(2,1/((거래처별!$AD$8:$AD$307&lt;&gt;"")*ISNUMBER(SEARCH(거래처별!$AD$8:$AD$307,$AB239))),거래처별!$A$8:$A$307),IFERROR(LOOKUP(2,1/((거래처별!$AE$8:$AE$307&lt;&gt;"")*ISNUMBER(SEARCH(거래처별!$AE$8:$AE$307,$AB239))),거래처별!$A$8:$A$307),0))))</f>
        <v/>
      </c>
      <c r="AD239" s="31">
        <f>IF(AND($Y239&lt;&gt;"",N($Z239)&gt;0,$AC239=0),MAX($AD$7:$AD238)+1,"")</f>
        <v/>
      </c>
      <c r="AE239" s="31">
        <f>IF($Y239="",0,$Y239)</f>
        <v/>
      </c>
    </row>
    <row r="240">
      <c r="W240" s="31">
        <f>IF(OR($B$5="",$C$6="",ROW()&lt;$B$5),"",IF(INDEX($A:$U,ROW(),$C$6)="","",INDEX($A:$U,ROW(),$C$6)))</f>
        <v/>
      </c>
      <c r="X240" s="32">
        <f>IF($W240="","",IF(ISNUMBER($W240),IF($W240&gt;=10000000,IFERROR(DATE(INT($W240/10000),MOD(INT($W240/100),100),MOD($W240,100)),""),INT($W240)),IFERROR(DATE(--LEFT(LEFT(SUBSTITUTE(SUBSTITUTE(SUBSTITUTE(SUBSTITUTE(TRIM($W240),"-",""),".",""),"/","")," ",""),8),4),--MID(LEFT(SUBSTITUTE(SUBSTITUTE(SUBSTITUTE(SUBSTITUTE(TRIM($W240),"-",""),".",""),"/","")," ",""),8),5,2),--MID(LEFT(SUBSTITUTE(SUBSTITUTE(SUBSTITUTE(SUBSTITUTE(TRIM($W240),"-",""),".",""),"/","")," ",""),8),7,2)),"")))</f>
        <v/>
      </c>
      <c r="Y240" s="32">
        <f>IF($X240="","",INT($X240))</f>
        <v/>
      </c>
      <c r="Z240" s="33">
        <f>IF(OR($Y240="",$D$6=""),"",IF(INDEX($A:$U,ROW(),$D$6)="",0,IF(ISNUMBER(INDEX($A:$U,ROW(),$D$6)),INDEX($A:$U,ROW(),$D$6),IFERROR(--SUBSTITUTE(SUBSTITUTE(TRIM(INDEX($A:$U,ROW(),$D$6)),",",""),"원",""),0))))</f>
        <v/>
      </c>
      <c r="AA240" s="31">
        <f>IF($Y240="","",TRIM(INDEX($A:$U,ROW(),$E$6)&amp;IF($F$6="",""," "&amp;INDEX($A:$U,ROW(),$F$6))))</f>
        <v/>
      </c>
      <c r="AB240" s="31">
        <f>IF($AA240="","",SUBSTITUTE(SUBSTITUTE(SUBSTITUTE(SUBSTITUTE(SUBSTITUTE(SUBSTITUTE(SUBSTITUTE(SUBSTITUTE(SUBSTITUTE($AA240," ",""),"　",""),"(주)",""),"（주）",""),"㈜",""),"주식회사",""),"(유)",""),"（유）",""),"유한회사",""))</f>
        <v/>
      </c>
      <c r="AC240" s="31">
        <f>IF(OR($Y240="",N($Z240)&lt;=0,$AB240=""),0,IFERROR(LOOKUP(2,1/((거래처별!$AC$8:$AC$307&lt;&gt;"")*ISNUMBER(SEARCH(거래처별!$AC$8:$AC$307,$AB240))),거래처별!$A$8:$A$307),IFERROR(LOOKUP(2,1/((거래처별!$AD$8:$AD$307&lt;&gt;"")*ISNUMBER(SEARCH(거래처별!$AD$8:$AD$307,$AB240))),거래처별!$A$8:$A$307),IFERROR(LOOKUP(2,1/((거래처별!$AE$8:$AE$307&lt;&gt;"")*ISNUMBER(SEARCH(거래처별!$AE$8:$AE$307,$AB240))),거래처별!$A$8:$A$307),0))))</f>
        <v/>
      </c>
      <c r="AD240" s="31">
        <f>IF(AND($Y240&lt;&gt;"",N($Z240)&gt;0,$AC240=0),MAX($AD$7:$AD239)+1,"")</f>
        <v/>
      </c>
      <c r="AE240" s="31">
        <f>IF($Y240="",0,$Y240)</f>
        <v/>
      </c>
    </row>
    <row r="241">
      <c r="W241" s="31">
        <f>IF(OR($B$5="",$C$6="",ROW()&lt;$B$5),"",IF(INDEX($A:$U,ROW(),$C$6)="","",INDEX($A:$U,ROW(),$C$6)))</f>
        <v/>
      </c>
      <c r="X241" s="32">
        <f>IF($W241="","",IF(ISNUMBER($W241),IF($W241&gt;=10000000,IFERROR(DATE(INT($W241/10000),MOD(INT($W241/100),100),MOD($W241,100)),""),INT($W241)),IFERROR(DATE(--LEFT(LEFT(SUBSTITUTE(SUBSTITUTE(SUBSTITUTE(SUBSTITUTE(TRIM($W241),"-",""),".",""),"/","")," ",""),8),4),--MID(LEFT(SUBSTITUTE(SUBSTITUTE(SUBSTITUTE(SUBSTITUTE(TRIM($W241),"-",""),".",""),"/","")," ",""),8),5,2),--MID(LEFT(SUBSTITUTE(SUBSTITUTE(SUBSTITUTE(SUBSTITUTE(TRIM($W241),"-",""),".",""),"/","")," ",""),8),7,2)),"")))</f>
        <v/>
      </c>
      <c r="Y241" s="32">
        <f>IF($X241="","",INT($X241))</f>
        <v/>
      </c>
      <c r="Z241" s="33">
        <f>IF(OR($Y241="",$D$6=""),"",IF(INDEX($A:$U,ROW(),$D$6)="",0,IF(ISNUMBER(INDEX($A:$U,ROW(),$D$6)),INDEX($A:$U,ROW(),$D$6),IFERROR(--SUBSTITUTE(SUBSTITUTE(TRIM(INDEX($A:$U,ROW(),$D$6)),",",""),"원",""),0))))</f>
        <v/>
      </c>
      <c r="AA241" s="31">
        <f>IF($Y241="","",TRIM(INDEX($A:$U,ROW(),$E$6)&amp;IF($F$6="",""," "&amp;INDEX($A:$U,ROW(),$F$6))))</f>
        <v/>
      </c>
      <c r="AB241" s="31">
        <f>IF($AA241="","",SUBSTITUTE(SUBSTITUTE(SUBSTITUTE(SUBSTITUTE(SUBSTITUTE(SUBSTITUTE(SUBSTITUTE(SUBSTITUTE(SUBSTITUTE($AA241," ",""),"　",""),"(주)",""),"（주）",""),"㈜",""),"주식회사",""),"(유)",""),"（유）",""),"유한회사",""))</f>
        <v/>
      </c>
      <c r="AC241" s="31">
        <f>IF(OR($Y241="",N($Z241)&lt;=0,$AB241=""),0,IFERROR(LOOKUP(2,1/((거래처별!$AC$8:$AC$307&lt;&gt;"")*ISNUMBER(SEARCH(거래처별!$AC$8:$AC$307,$AB241))),거래처별!$A$8:$A$307),IFERROR(LOOKUP(2,1/((거래처별!$AD$8:$AD$307&lt;&gt;"")*ISNUMBER(SEARCH(거래처별!$AD$8:$AD$307,$AB241))),거래처별!$A$8:$A$307),IFERROR(LOOKUP(2,1/((거래처별!$AE$8:$AE$307&lt;&gt;"")*ISNUMBER(SEARCH(거래처별!$AE$8:$AE$307,$AB241))),거래처별!$A$8:$A$307),0))))</f>
        <v/>
      </c>
      <c r="AD241" s="31">
        <f>IF(AND($Y241&lt;&gt;"",N($Z241)&gt;0,$AC241=0),MAX($AD$7:$AD240)+1,"")</f>
        <v/>
      </c>
      <c r="AE241" s="31">
        <f>IF($Y241="",0,$Y241)</f>
        <v/>
      </c>
    </row>
    <row r="242">
      <c r="W242" s="31">
        <f>IF(OR($B$5="",$C$6="",ROW()&lt;$B$5),"",IF(INDEX($A:$U,ROW(),$C$6)="","",INDEX($A:$U,ROW(),$C$6)))</f>
        <v/>
      </c>
      <c r="X242" s="32">
        <f>IF($W242="","",IF(ISNUMBER($W242),IF($W242&gt;=10000000,IFERROR(DATE(INT($W242/10000),MOD(INT($W242/100),100),MOD($W242,100)),""),INT($W242)),IFERROR(DATE(--LEFT(LEFT(SUBSTITUTE(SUBSTITUTE(SUBSTITUTE(SUBSTITUTE(TRIM($W242),"-",""),".",""),"/","")," ",""),8),4),--MID(LEFT(SUBSTITUTE(SUBSTITUTE(SUBSTITUTE(SUBSTITUTE(TRIM($W242),"-",""),".",""),"/","")," ",""),8),5,2),--MID(LEFT(SUBSTITUTE(SUBSTITUTE(SUBSTITUTE(SUBSTITUTE(TRIM($W242),"-",""),".",""),"/","")," ",""),8),7,2)),"")))</f>
        <v/>
      </c>
      <c r="Y242" s="32">
        <f>IF($X242="","",INT($X242))</f>
        <v/>
      </c>
      <c r="Z242" s="33">
        <f>IF(OR($Y242="",$D$6=""),"",IF(INDEX($A:$U,ROW(),$D$6)="",0,IF(ISNUMBER(INDEX($A:$U,ROW(),$D$6)),INDEX($A:$U,ROW(),$D$6),IFERROR(--SUBSTITUTE(SUBSTITUTE(TRIM(INDEX($A:$U,ROW(),$D$6)),",",""),"원",""),0))))</f>
        <v/>
      </c>
      <c r="AA242" s="31">
        <f>IF($Y242="","",TRIM(INDEX($A:$U,ROW(),$E$6)&amp;IF($F$6="",""," "&amp;INDEX($A:$U,ROW(),$F$6))))</f>
        <v/>
      </c>
      <c r="AB242" s="31">
        <f>IF($AA242="","",SUBSTITUTE(SUBSTITUTE(SUBSTITUTE(SUBSTITUTE(SUBSTITUTE(SUBSTITUTE(SUBSTITUTE(SUBSTITUTE(SUBSTITUTE($AA242," ",""),"　",""),"(주)",""),"（주）",""),"㈜",""),"주식회사",""),"(유)",""),"（유）",""),"유한회사",""))</f>
        <v/>
      </c>
      <c r="AC242" s="31">
        <f>IF(OR($Y242="",N($Z242)&lt;=0,$AB242=""),0,IFERROR(LOOKUP(2,1/((거래처별!$AC$8:$AC$307&lt;&gt;"")*ISNUMBER(SEARCH(거래처별!$AC$8:$AC$307,$AB242))),거래처별!$A$8:$A$307),IFERROR(LOOKUP(2,1/((거래처별!$AD$8:$AD$307&lt;&gt;"")*ISNUMBER(SEARCH(거래처별!$AD$8:$AD$307,$AB242))),거래처별!$A$8:$A$307),IFERROR(LOOKUP(2,1/((거래처별!$AE$8:$AE$307&lt;&gt;"")*ISNUMBER(SEARCH(거래처별!$AE$8:$AE$307,$AB242))),거래처별!$A$8:$A$307),0))))</f>
        <v/>
      </c>
      <c r="AD242" s="31">
        <f>IF(AND($Y242&lt;&gt;"",N($Z242)&gt;0,$AC242=0),MAX($AD$7:$AD241)+1,"")</f>
        <v/>
      </c>
      <c r="AE242" s="31">
        <f>IF($Y242="",0,$Y242)</f>
        <v/>
      </c>
    </row>
    <row r="243">
      <c r="W243" s="31">
        <f>IF(OR($B$5="",$C$6="",ROW()&lt;$B$5),"",IF(INDEX($A:$U,ROW(),$C$6)="","",INDEX($A:$U,ROW(),$C$6)))</f>
        <v/>
      </c>
      <c r="X243" s="32">
        <f>IF($W243="","",IF(ISNUMBER($W243),IF($W243&gt;=10000000,IFERROR(DATE(INT($W243/10000),MOD(INT($W243/100),100),MOD($W243,100)),""),INT($W243)),IFERROR(DATE(--LEFT(LEFT(SUBSTITUTE(SUBSTITUTE(SUBSTITUTE(SUBSTITUTE(TRIM($W243),"-",""),".",""),"/","")," ",""),8),4),--MID(LEFT(SUBSTITUTE(SUBSTITUTE(SUBSTITUTE(SUBSTITUTE(TRIM($W243),"-",""),".",""),"/","")," ",""),8),5,2),--MID(LEFT(SUBSTITUTE(SUBSTITUTE(SUBSTITUTE(SUBSTITUTE(TRIM($W243),"-",""),".",""),"/","")," ",""),8),7,2)),"")))</f>
        <v/>
      </c>
      <c r="Y243" s="32">
        <f>IF($X243="","",INT($X243))</f>
        <v/>
      </c>
      <c r="Z243" s="33">
        <f>IF(OR($Y243="",$D$6=""),"",IF(INDEX($A:$U,ROW(),$D$6)="",0,IF(ISNUMBER(INDEX($A:$U,ROW(),$D$6)),INDEX($A:$U,ROW(),$D$6),IFERROR(--SUBSTITUTE(SUBSTITUTE(TRIM(INDEX($A:$U,ROW(),$D$6)),",",""),"원",""),0))))</f>
        <v/>
      </c>
      <c r="AA243" s="31">
        <f>IF($Y243="","",TRIM(INDEX($A:$U,ROW(),$E$6)&amp;IF($F$6="",""," "&amp;INDEX($A:$U,ROW(),$F$6))))</f>
        <v/>
      </c>
      <c r="AB243" s="31">
        <f>IF($AA243="","",SUBSTITUTE(SUBSTITUTE(SUBSTITUTE(SUBSTITUTE(SUBSTITUTE(SUBSTITUTE(SUBSTITUTE(SUBSTITUTE(SUBSTITUTE($AA243," ",""),"　",""),"(주)",""),"（주）",""),"㈜",""),"주식회사",""),"(유)",""),"（유）",""),"유한회사",""))</f>
        <v/>
      </c>
      <c r="AC243" s="31">
        <f>IF(OR($Y243="",N($Z243)&lt;=0,$AB243=""),0,IFERROR(LOOKUP(2,1/((거래처별!$AC$8:$AC$307&lt;&gt;"")*ISNUMBER(SEARCH(거래처별!$AC$8:$AC$307,$AB243))),거래처별!$A$8:$A$307),IFERROR(LOOKUP(2,1/((거래처별!$AD$8:$AD$307&lt;&gt;"")*ISNUMBER(SEARCH(거래처별!$AD$8:$AD$307,$AB243))),거래처별!$A$8:$A$307),IFERROR(LOOKUP(2,1/((거래처별!$AE$8:$AE$307&lt;&gt;"")*ISNUMBER(SEARCH(거래처별!$AE$8:$AE$307,$AB243))),거래처별!$A$8:$A$307),0))))</f>
        <v/>
      </c>
      <c r="AD243" s="31">
        <f>IF(AND($Y243&lt;&gt;"",N($Z243)&gt;0,$AC243=0),MAX($AD$7:$AD242)+1,"")</f>
        <v/>
      </c>
      <c r="AE243" s="31">
        <f>IF($Y243="",0,$Y243)</f>
        <v/>
      </c>
    </row>
    <row r="244">
      <c r="W244" s="31">
        <f>IF(OR($B$5="",$C$6="",ROW()&lt;$B$5),"",IF(INDEX($A:$U,ROW(),$C$6)="","",INDEX($A:$U,ROW(),$C$6)))</f>
        <v/>
      </c>
      <c r="X244" s="32">
        <f>IF($W244="","",IF(ISNUMBER($W244),IF($W244&gt;=10000000,IFERROR(DATE(INT($W244/10000),MOD(INT($W244/100),100),MOD($W244,100)),""),INT($W244)),IFERROR(DATE(--LEFT(LEFT(SUBSTITUTE(SUBSTITUTE(SUBSTITUTE(SUBSTITUTE(TRIM($W244),"-",""),".",""),"/","")," ",""),8),4),--MID(LEFT(SUBSTITUTE(SUBSTITUTE(SUBSTITUTE(SUBSTITUTE(TRIM($W244),"-",""),".",""),"/","")," ",""),8),5,2),--MID(LEFT(SUBSTITUTE(SUBSTITUTE(SUBSTITUTE(SUBSTITUTE(TRIM($W244),"-",""),".",""),"/","")," ",""),8),7,2)),"")))</f>
        <v/>
      </c>
      <c r="Y244" s="32">
        <f>IF($X244="","",INT($X244))</f>
        <v/>
      </c>
      <c r="Z244" s="33">
        <f>IF(OR($Y244="",$D$6=""),"",IF(INDEX($A:$U,ROW(),$D$6)="",0,IF(ISNUMBER(INDEX($A:$U,ROW(),$D$6)),INDEX($A:$U,ROW(),$D$6),IFERROR(--SUBSTITUTE(SUBSTITUTE(TRIM(INDEX($A:$U,ROW(),$D$6)),",",""),"원",""),0))))</f>
        <v/>
      </c>
      <c r="AA244" s="31">
        <f>IF($Y244="","",TRIM(INDEX($A:$U,ROW(),$E$6)&amp;IF($F$6="",""," "&amp;INDEX($A:$U,ROW(),$F$6))))</f>
        <v/>
      </c>
      <c r="AB244" s="31">
        <f>IF($AA244="","",SUBSTITUTE(SUBSTITUTE(SUBSTITUTE(SUBSTITUTE(SUBSTITUTE(SUBSTITUTE(SUBSTITUTE(SUBSTITUTE(SUBSTITUTE($AA244," ",""),"　",""),"(주)",""),"（주）",""),"㈜",""),"주식회사",""),"(유)",""),"（유）",""),"유한회사",""))</f>
        <v/>
      </c>
      <c r="AC244" s="31">
        <f>IF(OR($Y244="",N($Z244)&lt;=0,$AB244=""),0,IFERROR(LOOKUP(2,1/((거래처별!$AC$8:$AC$307&lt;&gt;"")*ISNUMBER(SEARCH(거래처별!$AC$8:$AC$307,$AB244))),거래처별!$A$8:$A$307),IFERROR(LOOKUP(2,1/((거래처별!$AD$8:$AD$307&lt;&gt;"")*ISNUMBER(SEARCH(거래처별!$AD$8:$AD$307,$AB244))),거래처별!$A$8:$A$307),IFERROR(LOOKUP(2,1/((거래처별!$AE$8:$AE$307&lt;&gt;"")*ISNUMBER(SEARCH(거래처별!$AE$8:$AE$307,$AB244))),거래처별!$A$8:$A$307),0))))</f>
        <v/>
      </c>
      <c r="AD244" s="31">
        <f>IF(AND($Y244&lt;&gt;"",N($Z244)&gt;0,$AC244=0),MAX($AD$7:$AD243)+1,"")</f>
        <v/>
      </c>
      <c r="AE244" s="31">
        <f>IF($Y244="",0,$Y244)</f>
        <v/>
      </c>
    </row>
    <row r="245">
      <c r="W245" s="31">
        <f>IF(OR($B$5="",$C$6="",ROW()&lt;$B$5),"",IF(INDEX($A:$U,ROW(),$C$6)="","",INDEX($A:$U,ROW(),$C$6)))</f>
        <v/>
      </c>
      <c r="X245" s="32">
        <f>IF($W245="","",IF(ISNUMBER($W245),IF($W245&gt;=10000000,IFERROR(DATE(INT($W245/10000),MOD(INT($W245/100),100),MOD($W245,100)),""),INT($W245)),IFERROR(DATE(--LEFT(LEFT(SUBSTITUTE(SUBSTITUTE(SUBSTITUTE(SUBSTITUTE(TRIM($W245),"-",""),".",""),"/","")," ",""),8),4),--MID(LEFT(SUBSTITUTE(SUBSTITUTE(SUBSTITUTE(SUBSTITUTE(TRIM($W245),"-",""),".",""),"/","")," ",""),8),5,2),--MID(LEFT(SUBSTITUTE(SUBSTITUTE(SUBSTITUTE(SUBSTITUTE(TRIM($W245),"-",""),".",""),"/","")," ",""),8),7,2)),"")))</f>
        <v/>
      </c>
      <c r="Y245" s="32">
        <f>IF($X245="","",INT($X245))</f>
        <v/>
      </c>
      <c r="Z245" s="33">
        <f>IF(OR($Y245="",$D$6=""),"",IF(INDEX($A:$U,ROW(),$D$6)="",0,IF(ISNUMBER(INDEX($A:$U,ROW(),$D$6)),INDEX($A:$U,ROW(),$D$6),IFERROR(--SUBSTITUTE(SUBSTITUTE(TRIM(INDEX($A:$U,ROW(),$D$6)),",",""),"원",""),0))))</f>
        <v/>
      </c>
      <c r="AA245" s="31">
        <f>IF($Y245="","",TRIM(INDEX($A:$U,ROW(),$E$6)&amp;IF($F$6="",""," "&amp;INDEX($A:$U,ROW(),$F$6))))</f>
        <v/>
      </c>
      <c r="AB245" s="31">
        <f>IF($AA245="","",SUBSTITUTE(SUBSTITUTE(SUBSTITUTE(SUBSTITUTE(SUBSTITUTE(SUBSTITUTE(SUBSTITUTE(SUBSTITUTE(SUBSTITUTE($AA245," ",""),"　",""),"(주)",""),"（주）",""),"㈜",""),"주식회사",""),"(유)",""),"（유）",""),"유한회사",""))</f>
        <v/>
      </c>
      <c r="AC245" s="31">
        <f>IF(OR($Y245="",N($Z245)&lt;=0,$AB245=""),0,IFERROR(LOOKUP(2,1/((거래처별!$AC$8:$AC$307&lt;&gt;"")*ISNUMBER(SEARCH(거래처별!$AC$8:$AC$307,$AB245))),거래처별!$A$8:$A$307),IFERROR(LOOKUP(2,1/((거래처별!$AD$8:$AD$307&lt;&gt;"")*ISNUMBER(SEARCH(거래처별!$AD$8:$AD$307,$AB245))),거래처별!$A$8:$A$307),IFERROR(LOOKUP(2,1/((거래처별!$AE$8:$AE$307&lt;&gt;"")*ISNUMBER(SEARCH(거래처별!$AE$8:$AE$307,$AB245))),거래처별!$A$8:$A$307),0))))</f>
        <v/>
      </c>
      <c r="AD245" s="31">
        <f>IF(AND($Y245&lt;&gt;"",N($Z245)&gt;0,$AC245=0),MAX($AD$7:$AD244)+1,"")</f>
        <v/>
      </c>
      <c r="AE245" s="31">
        <f>IF($Y245="",0,$Y245)</f>
        <v/>
      </c>
    </row>
    <row r="246">
      <c r="W246" s="31">
        <f>IF(OR($B$5="",$C$6="",ROW()&lt;$B$5),"",IF(INDEX($A:$U,ROW(),$C$6)="","",INDEX($A:$U,ROW(),$C$6)))</f>
        <v/>
      </c>
      <c r="X246" s="32">
        <f>IF($W246="","",IF(ISNUMBER($W246),IF($W246&gt;=10000000,IFERROR(DATE(INT($W246/10000),MOD(INT($W246/100),100),MOD($W246,100)),""),INT($W246)),IFERROR(DATE(--LEFT(LEFT(SUBSTITUTE(SUBSTITUTE(SUBSTITUTE(SUBSTITUTE(TRIM($W246),"-",""),".",""),"/","")," ",""),8),4),--MID(LEFT(SUBSTITUTE(SUBSTITUTE(SUBSTITUTE(SUBSTITUTE(TRIM($W246),"-",""),".",""),"/","")," ",""),8),5,2),--MID(LEFT(SUBSTITUTE(SUBSTITUTE(SUBSTITUTE(SUBSTITUTE(TRIM($W246),"-",""),".",""),"/","")," ",""),8),7,2)),"")))</f>
        <v/>
      </c>
      <c r="Y246" s="32">
        <f>IF($X246="","",INT($X246))</f>
        <v/>
      </c>
      <c r="Z246" s="33">
        <f>IF(OR($Y246="",$D$6=""),"",IF(INDEX($A:$U,ROW(),$D$6)="",0,IF(ISNUMBER(INDEX($A:$U,ROW(),$D$6)),INDEX($A:$U,ROW(),$D$6),IFERROR(--SUBSTITUTE(SUBSTITUTE(TRIM(INDEX($A:$U,ROW(),$D$6)),",",""),"원",""),0))))</f>
        <v/>
      </c>
      <c r="AA246" s="31">
        <f>IF($Y246="","",TRIM(INDEX($A:$U,ROW(),$E$6)&amp;IF($F$6="",""," "&amp;INDEX($A:$U,ROW(),$F$6))))</f>
        <v/>
      </c>
      <c r="AB246" s="31">
        <f>IF($AA246="","",SUBSTITUTE(SUBSTITUTE(SUBSTITUTE(SUBSTITUTE(SUBSTITUTE(SUBSTITUTE(SUBSTITUTE(SUBSTITUTE(SUBSTITUTE($AA246," ",""),"　",""),"(주)",""),"（주）",""),"㈜",""),"주식회사",""),"(유)",""),"（유）",""),"유한회사",""))</f>
        <v/>
      </c>
      <c r="AC246" s="31">
        <f>IF(OR($Y246="",N($Z246)&lt;=0,$AB246=""),0,IFERROR(LOOKUP(2,1/((거래처별!$AC$8:$AC$307&lt;&gt;"")*ISNUMBER(SEARCH(거래처별!$AC$8:$AC$307,$AB246))),거래처별!$A$8:$A$307),IFERROR(LOOKUP(2,1/((거래처별!$AD$8:$AD$307&lt;&gt;"")*ISNUMBER(SEARCH(거래처별!$AD$8:$AD$307,$AB246))),거래처별!$A$8:$A$307),IFERROR(LOOKUP(2,1/((거래처별!$AE$8:$AE$307&lt;&gt;"")*ISNUMBER(SEARCH(거래처별!$AE$8:$AE$307,$AB246))),거래처별!$A$8:$A$307),0))))</f>
        <v/>
      </c>
      <c r="AD246" s="31">
        <f>IF(AND($Y246&lt;&gt;"",N($Z246)&gt;0,$AC246=0),MAX($AD$7:$AD245)+1,"")</f>
        <v/>
      </c>
      <c r="AE246" s="31">
        <f>IF($Y246="",0,$Y246)</f>
        <v/>
      </c>
    </row>
    <row r="247">
      <c r="W247" s="31">
        <f>IF(OR($B$5="",$C$6="",ROW()&lt;$B$5),"",IF(INDEX($A:$U,ROW(),$C$6)="","",INDEX($A:$U,ROW(),$C$6)))</f>
        <v/>
      </c>
      <c r="X247" s="32">
        <f>IF($W247="","",IF(ISNUMBER($W247),IF($W247&gt;=10000000,IFERROR(DATE(INT($W247/10000),MOD(INT($W247/100),100),MOD($W247,100)),""),INT($W247)),IFERROR(DATE(--LEFT(LEFT(SUBSTITUTE(SUBSTITUTE(SUBSTITUTE(SUBSTITUTE(TRIM($W247),"-",""),".",""),"/","")," ",""),8),4),--MID(LEFT(SUBSTITUTE(SUBSTITUTE(SUBSTITUTE(SUBSTITUTE(TRIM($W247),"-",""),".",""),"/","")," ",""),8),5,2),--MID(LEFT(SUBSTITUTE(SUBSTITUTE(SUBSTITUTE(SUBSTITUTE(TRIM($W247),"-",""),".",""),"/","")," ",""),8),7,2)),"")))</f>
        <v/>
      </c>
      <c r="Y247" s="32">
        <f>IF($X247="","",INT($X247))</f>
        <v/>
      </c>
      <c r="Z247" s="33">
        <f>IF(OR($Y247="",$D$6=""),"",IF(INDEX($A:$U,ROW(),$D$6)="",0,IF(ISNUMBER(INDEX($A:$U,ROW(),$D$6)),INDEX($A:$U,ROW(),$D$6),IFERROR(--SUBSTITUTE(SUBSTITUTE(TRIM(INDEX($A:$U,ROW(),$D$6)),",",""),"원",""),0))))</f>
        <v/>
      </c>
      <c r="AA247" s="31">
        <f>IF($Y247="","",TRIM(INDEX($A:$U,ROW(),$E$6)&amp;IF($F$6="",""," "&amp;INDEX($A:$U,ROW(),$F$6))))</f>
        <v/>
      </c>
      <c r="AB247" s="31">
        <f>IF($AA247="","",SUBSTITUTE(SUBSTITUTE(SUBSTITUTE(SUBSTITUTE(SUBSTITUTE(SUBSTITUTE(SUBSTITUTE(SUBSTITUTE(SUBSTITUTE($AA247," ",""),"　",""),"(주)",""),"（주）",""),"㈜",""),"주식회사",""),"(유)",""),"（유）",""),"유한회사",""))</f>
        <v/>
      </c>
      <c r="AC247" s="31">
        <f>IF(OR($Y247="",N($Z247)&lt;=0,$AB247=""),0,IFERROR(LOOKUP(2,1/((거래처별!$AC$8:$AC$307&lt;&gt;"")*ISNUMBER(SEARCH(거래처별!$AC$8:$AC$307,$AB247))),거래처별!$A$8:$A$307),IFERROR(LOOKUP(2,1/((거래처별!$AD$8:$AD$307&lt;&gt;"")*ISNUMBER(SEARCH(거래처별!$AD$8:$AD$307,$AB247))),거래처별!$A$8:$A$307),IFERROR(LOOKUP(2,1/((거래처별!$AE$8:$AE$307&lt;&gt;"")*ISNUMBER(SEARCH(거래처별!$AE$8:$AE$307,$AB247))),거래처별!$A$8:$A$307),0))))</f>
        <v/>
      </c>
      <c r="AD247" s="31">
        <f>IF(AND($Y247&lt;&gt;"",N($Z247)&gt;0,$AC247=0),MAX($AD$7:$AD246)+1,"")</f>
        <v/>
      </c>
      <c r="AE247" s="31">
        <f>IF($Y247="",0,$Y247)</f>
        <v/>
      </c>
    </row>
    <row r="248">
      <c r="W248" s="31">
        <f>IF(OR($B$5="",$C$6="",ROW()&lt;$B$5),"",IF(INDEX($A:$U,ROW(),$C$6)="","",INDEX($A:$U,ROW(),$C$6)))</f>
        <v/>
      </c>
      <c r="X248" s="32">
        <f>IF($W248="","",IF(ISNUMBER($W248),IF($W248&gt;=10000000,IFERROR(DATE(INT($W248/10000),MOD(INT($W248/100),100),MOD($W248,100)),""),INT($W248)),IFERROR(DATE(--LEFT(LEFT(SUBSTITUTE(SUBSTITUTE(SUBSTITUTE(SUBSTITUTE(TRIM($W248),"-",""),".",""),"/","")," ",""),8),4),--MID(LEFT(SUBSTITUTE(SUBSTITUTE(SUBSTITUTE(SUBSTITUTE(TRIM($W248),"-",""),".",""),"/","")," ",""),8),5,2),--MID(LEFT(SUBSTITUTE(SUBSTITUTE(SUBSTITUTE(SUBSTITUTE(TRIM($W248),"-",""),".",""),"/","")," ",""),8),7,2)),"")))</f>
        <v/>
      </c>
      <c r="Y248" s="32">
        <f>IF($X248="","",INT($X248))</f>
        <v/>
      </c>
      <c r="Z248" s="33">
        <f>IF(OR($Y248="",$D$6=""),"",IF(INDEX($A:$U,ROW(),$D$6)="",0,IF(ISNUMBER(INDEX($A:$U,ROW(),$D$6)),INDEX($A:$U,ROW(),$D$6),IFERROR(--SUBSTITUTE(SUBSTITUTE(TRIM(INDEX($A:$U,ROW(),$D$6)),",",""),"원",""),0))))</f>
        <v/>
      </c>
      <c r="AA248" s="31">
        <f>IF($Y248="","",TRIM(INDEX($A:$U,ROW(),$E$6)&amp;IF($F$6="",""," "&amp;INDEX($A:$U,ROW(),$F$6))))</f>
        <v/>
      </c>
      <c r="AB248" s="31">
        <f>IF($AA248="","",SUBSTITUTE(SUBSTITUTE(SUBSTITUTE(SUBSTITUTE(SUBSTITUTE(SUBSTITUTE(SUBSTITUTE(SUBSTITUTE(SUBSTITUTE($AA248," ",""),"　",""),"(주)",""),"（주）",""),"㈜",""),"주식회사",""),"(유)",""),"（유）",""),"유한회사",""))</f>
        <v/>
      </c>
      <c r="AC248" s="31">
        <f>IF(OR($Y248="",N($Z248)&lt;=0,$AB248=""),0,IFERROR(LOOKUP(2,1/((거래처별!$AC$8:$AC$307&lt;&gt;"")*ISNUMBER(SEARCH(거래처별!$AC$8:$AC$307,$AB248))),거래처별!$A$8:$A$307),IFERROR(LOOKUP(2,1/((거래처별!$AD$8:$AD$307&lt;&gt;"")*ISNUMBER(SEARCH(거래처별!$AD$8:$AD$307,$AB248))),거래처별!$A$8:$A$307),IFERROR(LOOKUP(2,1/((거래처별!$AE$8:$AE$307&lt;&gt;"")*ISNUMBER(SEARCH(거래처별!$AE$8:$AE$307,$AB248))),거래처별!$A$8:$A$307),0))))</f>
        <v/>
      </c>
      <c r="AD248" s="31">
        <f>IF(AND($Y248&lt;&gt;"",N($Z248)&gt;0,$AC248=0),MAX($AD$7:$AD247)+1,"")</f>
        <v/>
      </c>
      <c r="AE248" s="31">
        <f>IF($Y248="",0,$Y248)</f>
        <v/>
      </c>
    </row>
    <row r="249">
      <c r="W249" s="31">
        <f>IF(OR($B$5="",$C$6="",ROW()&lt;$B$5),"",IF(INDEX($A:$U,ROW(),$C$6)="","",INDEX($A:$U,ROW(),$C$6)))</f>
        <v/>
      </c>
      <c r="X249" s="32">
        <f>IF($W249="","",IF(ISNUMBER($W249),IF($W249&gt;=10000000,IFERROR(DATE(INT($W249/10000),MOD(INT($W249/100),100),MOD($W249,100)),""),INT($W249)),IFERROR(DATE(--LEFT(LEFT(SUBSTITUTE(SUBSTITUTE(SUBSTITUTE(SUBSTITUTE(TRIM($W249),"-",""),".",""),"/","")," ",""),8),4),--MID(LEFT(SUBSTITUTE(SUBSTITUTE(SUBSTITUTE(SUBSTITUTE(TRIM($W249),"-",""),".",""),"/","")," ",""),8),5,2),--MID(LEFT(SUBSTITUTE(SUBSTITUTE(SUBSTITUTE(SUBSTITUTE(TRIM($W249),"-",""),".",""),"/","")," ",""),8),7,2)),"")))</f>
        <v/>
      </c>
      <c r="Y249" s="32">
        <f>IF($X249="","",INT($X249))</f>
        <v/>
      </c>
      <c r="Z249" s="33">
        <f>IF(OR($Y249="",$D$6=""),"",IF(INDEX($A:$U,ROW(),$D$6)="",0,IF(ISNUMBER(INDEX($A:$U,ROW(),$D$6)),INDEX($A:$U,ROW(),$D$6),IFERROR(--SUBSTITUTE(SUBSTITUTE(TRIM(INDEX($A:$U,ROW(),$D$6)),",",""),"원",""),0))))</f>
        <v/>
      </c>
      <c r="AA249" s="31">
        <f>IF($Y249="","",TRIM(INDEX($A:$U,ROW(),$E$6)&amp;IF($F$6="",""," "&amp;INDEX($A:$U,ROW(),$F$6))))</f>
        <v/>
      </c>
      <c r="AB249" s="31">
        <f>IF($AA249="","",SUBSTITUTE(SUBSTITUTE(SUBSTITUTE(SUBSTITUTE(SUBSTITUTE(SUBSTITUTE(SUBSTITUTE(SUBSTITUTE(SUBSTITUTE($AA249," ",""),"　",""),"(주)",""),"（주）",""),"㈜",""),"주식회사",""),"(유)",""),"（유）",""),"유한회사",""))</f>
        <v/>
      </c>
      <c r="AC249" s="31">
        <f>IF(OR($Y249="",N($Z249)&lt;=0,$AB249=""),0,IFERROR(LOOKUP(2,1/((거래처별!$AC$8:$AC$307&lt;&gt;"")*ISNUMBER(SEARCH(거래처별!$AC$8:$AC$307,$AB249))),거래처별!$A$8:$A$307),IFERROR(LOOKUP(2,1/((거래처별!$AD$8:$AD$307&lt;&gt;"")*ISNUMBER(SEARCH(거래처별!$AD$8:$AD$307,$AB249))),거래처별!$A$8:$A$307),IFERROR(LOOKUP(2,1/((거래처별!$AE$8:$AE$307&lt;&gt;"")*ISNUMBER(SEARCH(거래처별!$AE$8:$AE$307,$AB249))),거래처별!$A$8:$A$307),0))))</f>
        <v/>
      </c>
      <c r="AD249" s="31">
        <f>IF(AND($Y249&lt;&gt;"",N($Z249)&gt;0,$AC249=0),MAX($AD$7:$AD248)+1,"")</f>
        <v/>
      </c>
      <c r="AE249" s="31">
        <f>IF($Y249="",0,$Y249)</f>
        <v/>
      </c>
    </row>
    <row r="250">
      <c r="W250" s="31">
        <f>IF(OR($B$5="",$C$6="",ROW()&lt;$B$5),"",IF(INDEX($A:$U,ROW(),$C$6)="","",INDEX($A:$U,ROW(),$C$6)))</f>
        <v/>
      </c>
      <c r="X250" s="32">
        <f>IF($W250="","",IF(ISNUMBER($W250),IF($W250&gt;=10000000,IFERROR(DATE(INT($W250/10000),MOD(INT($W250/100),100),MOD($W250,100)),""),INT($W250)),IFERROR(DATE(--LEFT(LEFT(SUBSTITUTE(SUBSTITUTE(SUBSTITUTE(SUBSTITUTE(TRIM($W250),"-",""),".",""),"/","")," ",""),8),4),--MID(LEFT(SUBSTITUTE(SUBSTITUTE(SUBSTITUTE(SUBSTITUTE(TRIM($W250),"-",""),".",""),"/","")," ",""),8),5,2),--MID(LEFT(SUBSTITUTE(SUBSTITUTE(SUBSTITUTE(SUBSTITUTE(TRIM($W250),"-",""),".",""),"/","")," ",""),8),7,2)),"")))</f>
        <v/>
      </c>
      <c r="Y250" s="32">
        <f>IF($X250="","",INT($X250))</f>
        <v/>
      </c>
      <c r="Z250" s="33">
        <f>IF(OR($Y250="",$D$6=""),"",IF(INDEX($A:$U,ROW(),$D$6)="",0,IF(ISNUMBER(INDEX($A:$U,ROW(),$D$6)),INDEX($A:$U,ROW(),$D$6),IFERROR(--SUBSTITUTE(SUBSTITUTE(TRIM(INDEX($A:$U,ROW(),$D$6)),",",""),"원",""),0))))</f>
        <v/>
      </c>
      <c r="AA250" s="31">
        <f>IF($Y250="","",TRIM(INDEX($A:$U,ROW(),$E$6)&amp;IF($F$6="",""," "&amp;INDEX($A:$U,ROW(),$F$6))))</f>
        <v/>
      </c>
      <c r="AB250" s="31">
        <f>IF($AA250="","",SUBSTITUTE(SUBSTITUTE(SUBSTITUTE(SUBSTITUTE(SUBSTITUTE(SUBSTITUTE(SUBSTITUTE(SUBSTITUTE(SUBSTITUTE($AA250," ",""),"　",""),"(주)",""),"（주）",""),"㈜",""),"주식회사",""),"(유)",""),"（유）",""),"유한회사",""))</f>
        <v/>
      </c>
      <c r="AC250" s="31">
        <f>IF(OR($Y250="",N($Z250)&lt;=0,$AB250=""),0,IFERROR(LOOKUP(2,1/((거래처별!$AC$8:$AC$307&lt;&gt;"")*ISNUMBER(SEARCH(거래처별!$AC$8:$AC$307,$AB250))),거래처별!$A$8:$A$307),IFERROR(LOOKUP(2,1/((거래처별!$AD$8:$AD$307&lt;&gt;"")*ISNUMBER(SEARCH(거래처별!$AD$8:$AD$307,$AB250))),거래처별!$A$8:$A$307),IFERROR(LOOKUP(2,1/((거래처별!$AE$8:$AE$307&lt;&gt;"")*ISNUMBER(SEARCH(거래처별!$AE$8:$AE$307,$AB250))),거래처별!$A$8:$A$307),0))))</f>
        <v/>
      </c>
      <c r="AD250" s="31">
        <f>IF(AND($Y250&lt;&gt;"",N($Z250)&gt;0,$AC250=0),MAX($AD$7:$AD249)+1,"")</f>
        <v/>
      </c>
      <c r="AE250" s="31">
        <f>IF($Y250="",0,$Y250)</f>
        <v/>
      </c>
    </row>
    <row r="251">
      <c r="W251" s="31">
        <f>IF(OR($B$5="",$C$6="",ROW()&lt;$B$5),"",IF(INDEX($A:$U,ROW(),$C$6)="","",INDEX($A:$U,ROW(),$C$6)))</f>
        <v/>
      </c>
      <c r="X251" s="32">
        <f>IF($W251="","",IF(ISNUMBER($W251),IF($W251&gt;=10000000,IFERROR(DATE(INT($W251/10000),MOD(INT($W251/100),100),MOD($W251,100)),""),INT($W251)),IFERROR(DATE(--LEFT(LEFT(SUBSTITUTE(SUBSTITUTE(SUBSTITUTE(SUBSTITUTE(TRIM($W251),"-",""),".",""),"/","")," ",""),8),4),--MID(LEFT(SUBSTITUTE(SUBSTITUTE(SUBSTITUTE(SUBSTITUTE(TRIM($W251),"-",""),".",""),"/","")," ",""),8),5,2),--MID(LEFT(SUBSTITUTE(SUBSTITUTE(SUBSTITUTE(SUBSTITUTE(TRIM($W251),"-",""),".",""),"/","")," ",""),8),7,2)),"")))</f>
        <v/>
      </c>
      <c r="Y251" s="32">
        <f>IF($X251="","",INT($X251))</f>
        <v/>
      </c>
      <c r="Z251" s="33">
        <f>IF(OR($Y251="",$D$6=""),"",IF(INDEX($A:$U,ROW(),$D$6)="",0,IF(ISNUMBER(INDEX($A:$U,ROW(),$D$6)),INDEX($A:$U,ROW(),$D$6),IFERROR(--SUBSTITUTE(SUBSTITUTE(TRIM(INDEX($A:$U,ROW(),$D$6)),",",""),"원",""),0))))</f>
        <v/>
      </c>
      <c r="AA251" s="31">
        <f>IF($Y251="","",TRIM(INDEX($A:$U,ROW(),$E$6)&amp;IF($F$6="",""," "&amp;INDEX($A:$U,ROW(),$F$6))))</f>
        <v/>
      </c>
      <c r="AB251" s="31">
        <f>IF($AA251="","",SUBSTITUTE(SUBSTITUTE(SUBSTITUTE(SUBSTITUTE(SUBSTITUTE(SUBSTITUTE(SUBSTITUTE(SUBSTITUTE(SUBSTITUTE($AA251," ",""),"　",""),"(주)",""),"（주）",""),"㈜",""),"주식회사",""),"(유)",""),"（유）",""),"유한회사",""))</f>
        <v/>
      </c>
      <c r="AC251" s="31">
        <f>IF(OR($Y251="",N($Z251)&lt;=0,$AB251=""),0,IFERROR(LOOKUP(2,1/((거래처별!$AC$8:$AC$307&lt;&gt;"")*ISNUMBER(SEARCH(거래처별!$AC$8:$AC$307,$AB251))),거래처별!$A$8:$A$307),IFERROR(LOOKUP(2,1/((거래처별!$AD$8:$AD$307&lt;&gt;"")*ISNUMBER(SEARCH(거래처별!$AD$8:$AD$307,$AB251))),거래처별!$A$8:$A$307),IFERROR(LOOKUP(2,1/((거래처별!$AE$8:$AE$307&lt;&gt;"")*ISNUMBER(SEARCH(거래처별!$AE$8:$AE$307,$AB251))),거래처별!$A$8:$A$307),0))))</f>
        <v/>
      </c>
      <c r="AD251" s="31">
        <f>IF(AND($Y251&lt;&gt;"",N($Z251)&gt;0,$AC251=0),MAX($AD$7:$AD250)+1,"")</f>
        <v/>
      </c>
      <c r="AE251" s="31">
        <f>IF($Y251="",0,$Y251)</f>
        <v/>
      </c>
    </row>
    <row r="252">
      <c r="W252" s="31">
        <f>IF(OR($B$5="",$C$6="",ROW()&lt;$B$5),"",IF(INDEX($A:$U,ROW(),$C$6)="","",INDEX($A:$U,ROW(),$C$6)))</f>
        <v/>
      </c>
      <c r="X252" s="32">
        <f>IF($W252="","",IF(ISNUMBER($W252),IF($W252&gt;=10000000,IFERROR(DATE(INT($W252/10000),MOD(INT($W252/100),100),MOD($W252,100)),""),INT($W252)),IFERROR(DATE(--LEFT(LEFT(SUBSTITUTE(SUBSTITUTE(SUBSTITUTE(SUBSTITUTE(TRIM($W252),"-",""),".",""),"/","")," ",""),8),4),--MID(LEFT(SUBSTITUTE(SUBSTITUTE(SUBSTITUTE(SUBSTITUTE(TRIM($W252),"-",""),".",""),"/","")," ",""),8),5,2),--MID(LEFT(SUBSTITUTE(SUBSTITUTE(SUBSTITUTE(SUBSTITUTE(TRIM($W252),"-",""),".",""),"/","")," ",""),8),7,2)),"")))</f>
        <v/>
      </c>
      <c r="Y252" s="32">
        <f>IF($X252="","",INT($X252))</f>
        <v/>
      </c>
      <c r="Z252" s="33">
        <f>IF(OR($Y252="",$D$6=""),"",IF(INDEX($A:$U,ROW(),$D$6)="",0,IF(ISNUMBER(INDEX($A:$U,ROW(),$D$6)),INDEX($A:$U,ROW(),$D$6),IFERROR(--SUBSTITUTE(SUBSTITUTE(TRIM(INDEX($A:$U,ROW(),$D$6)),",",""),"원",""),0))))</f>
        <v/>
      </c>
      <c r="AA252" s="31">
        <f>IF($Y252="","",TRIM(INDEX($A:$U,ROW(),$E$6)&amp;IF($F$6="",""," "&amp;INDEX($A:$U,ROW(),$F$6))))</f>
        <v/>
      </c>
      <c r="AB252" s="31">
        <f>IF($AA252="","",SUBSTITUTE(SUBSTITUTE(SUBSTITUTE(SUBSTITUTE(SUBSTITUTE(SUBSTITUTE(SUBSTITUTE(SUBSTITUTE(SUBSTITUTE($AA252," ",""),"　",""),"(주)",""),"（주）",""),"㈜",""),"주식회사",""),"(유)",""),"（유）",""),"유한회사",""))</f>
        <v/>
      </c>
      <c r="AC252" s="31">
        <f>IF(OR($Y252="",N($Z252)&lt;=0,$AB252=""),0,IFERROR(LOOKUP(2,1/((거래처별!$AC$8:$AC$307&lt;&gt;"")*ISNUMBER(SEARCH(거래처별!$AC$8:$AC$307,$AB252))),거래처별!$A$8:$A$307),IFERROR(LOOKUP(2,1/((거래처별!$AD$8:$AD$307&lt;&gt;"")*ISNUMBER(SEARCH(거래처별!$AD$8:$AD$307,$AB252))),거래처별!$A$8:$A$307),IFERROR(LOOKUP(2,1/((거래처별!$AE$8:$AE$307&lt;&gt;"")*ISNUMBER(SEARCH(거래처별!$AE$8:$AE$307,$AB252))),거래처별!$A$8:$A$307),0))))</f>
        <v/>
      </c>
      <c r="AD252" s="31">
        <f>IF(AND($Y252&lt;&gt;"",N($Z252)&gt;0,$AC252=0),MAX($AD$7:$AD251)+1,"")</f>
        <v/>
      </c>
      <c r="AE252" s="31">
        <f>IF($Y252="",0,$Y252)</f>
        <v/>
      </c>
    </row>
    <row r="253">
      <c r="W253" s="31">
        <f>IF(OR($B$5="",$C$6="",ROW()&lt;$B$5),"",IF(INDEX($A:$U,ROW(),$C$6)="","",INDEX($A:$U,ROW(),$C$6)))</f>
        <v/>
      </c>
      <c r="X253" s="32">
        <f>IF($W253="","",IF(ISNUMBER($W253),IF($W253&gt;=10000000,IFERROR(DATE(INT($W253/10000),MOD(INT($W253/100),100),MOD($W253,100)),""),INT($W253)),IFERROR(DATE(--LEFT(LEFT(SUBSTITUTE(SUBSTITUTE(SUBSTITUTE(SUBSTITUTE(TRIM($W253),"-",""),".",""),"/","")," ",""),8),4),--MID(LEFT(SUBSTITUTE(SUBSTITUTE(SUBSTITUTE(SUBSTITUTE(TRIM($W253),"-",""),".",""),"/","")," ",""),8),5,2),--MID(LEFT(SUBSTITUTE(SUBSTITUTE(SUBSTITUTE(SUBSTITUTE(TRIM($W253),"-",""),".",""),"/","")," ",""),8),7,2)),"")))</f>
        <v/>
      </c>
      <c r="Y253" s="32">
        <f>IF($X253="","",INT($X253))</f>
        <v/>
      </c>
      <c r="Z253" s="33">
        <f>IF(OR($Y253="",$D$6=""),"",IF(INDEX($A:$U,ROW(),$D$6)="",0,IF(ISNUMBER(INDEX($A:$U,ROW(),$D$6)),INDEX($A:$U,ROW(),$D$6),IFERROR(--SUBSTITUTE(SUBSTITUTE(TRIM(INDEX($A:$U,ROW(),$D$6)),",",""),"원",""),0))))</f>
        <v/>
      </c>
      <c r="AA253" s="31">
        <f>IF($Y253="","",TRIM(INDEX($A:$U,ROW(),$E$6)&amp;IF($F$6="",""," "&amp;INDEX($A:$U,ROW(),$F$6))))</f>
        <v/>
      </c>
      <c r="AB253" s="31">
        <f>IF($AA253="","",SUBSTITUTE(SUBSTITUTE(SUBSTITUTE(SUBSTITUTE(SUBSTITUTE(SUBSTITUTE(SUBSTITUTE(SUBSTITUTE(SUBSTITUTE($AA253," ",""),"　",""),"(주)",""),"（주）",""),"㈜",""),"주식회사",""),"(유)",""),"（유）",""),"유한회사",""))</f>
        <v/>
      </c>
      <c r="AC253" s="31">
        <f>IF(OR($Y253="",N($Z253)&lt;=0,$AB253=""),0,IFERROR(LOOKUP(2,1/((거래처별!$AC$8:$AC$307&lt;&gt;"")*ISNUMBER(SEARCH(거래처별!$AC$8:$AC$307,$AB253))),거래처별!$A$8:$A$307),IFERROR(LOOKUP(2,1/((거래처별!$AD$8:$AD$307&lt;&gt;"")*ISNUMBER(SEARCH(거래처별!$AD$8:$AD$307,$AB253))),거래처별!$A$8:$A$307),IFERROR(LOOKUP(2,1/((거래처별!$AE$8:$AE$307&lt;&gt;"")*ISNUMBER(SEARCH(거래처별!$AE$8:$AE$307,$AB253))),거래처별!$A$8:$A$307),0))))</f>
        <v/>
      </c>
      <c r="AD253" s="31">
        <f>IF(AND($Y253&lt;&gt;"",N($Z253)&gt;0,$AC253=0),MAX($AD$7:$AD252)+1,"")</f>
        <v/>
      </c>
      <c r="AE253" s="31">
        <f>IF($Y253="",0,$Y253)</f>
        <v/>
      </c>
    </row>
    <row r="254">
      <c r="W254" s="31">
        <f>IF(OR($B$5="",$C$6="",ROW()&lt;$B$5),"",IF(INDEX($A:$U,ROW(),$C$6)="","",INDEX($A:$U,ROW(),$C$6)))</f>
        <v/>
      </c>
      <c r="X254" s="32">
        <f>IF($W254="","",IF(ISNUMBER($W254),IF($W254&gt;=10000000,IFERROR(DATE(INT($W254/10000),MOD(INT($W254/100),100),MOD($W254,100)),""),INT($W254)),IFERROR(DATE(--LEFT(LEFT(SUBSTITUTE(SUBSTITUTE(SUBSTITUTE(SUBSTITUTE(TRIM($W254),"-",""),".",""),"/","")," ",""),8),4),--MID(LEFT(SUBSTITUTE(SUBSTITUTE(SUBSTITUTE(SUBSTITUTE(TRIM($W254),"-",""),".",""),"/","")," ",""),8),5,2),--MID(LEFT(SUBSTITUTE(SUBSTITUTE(SUBSTITUTE(SUBSTITUTE(TRIM($W254),"-",""),".",""),"/","")," ",""),8),7,2)),"")))</f>
        <v/>
      </c>
      <c r="Y254" s="32">
        <f>IF($X254="","",INT($X254))</f>
        <v/>
      </c>
      <c r="Z254" s="33">
        <f>IF(OR($Y254="",$D$6=""),"",IF(INDEX($A:$U,ROW(),$D$6)="",0,IF(ISNUMBER(INDEX($A:$U,ROW(),$D$6)),INDEX($A:$U,ROW(),$D$6),IFERROR(--SUBSTITUTE(SUBSTITUTE(TRIM(INDEX($A:$U,ROW(),$D$6)),",",""),"원",""),0))))</f>
        <v/>
      </c>
      <c r="AA254" s="31">
        <f>IF($Y254="","",TRIM(INDEX($A:$U,ROW(),$E$6)&amp;IF($F$6="",""," "&amp;INDEX($A:$U,ROW(),$F$6))))</f>
        <v/>
      </c>
      <c r="AB254" s="31">
        <f>IF($AA254="","",SUBSTITUTE(SUBSTITUTE(SUBSTITUTE(SUBSTITUTE(SUBSTITUTE(SUBSTITUTE(SUBSTITUTE(SUBSTITUTE(SUBSTITUTE($AA254," ",""),"　",""),"(주)",""),"（주）",""),"㈜",""),"주식회사",""),"(유)",""),"（유）",""),"유한회사",""))</f>
        <v/>
      </c>
      <c r="AC254" s="31">
        <f>IF(OR($Y254="",N($Z254)&lt;=0,$AB254=""),0,IFERROR(LOOKUP(2,1/((거래처별!$AC$8:$AC$307&lt;&gt;"")*ISNUMBER(SEARCH(거래처별!$AC$8:$AC$307,$AB254))),거래처별!$A$8:$A$307),IFERROR(LOOKUP(2,1/((거래처별!$AD$8:$AD$307&lt;&gt;"")*ISNUMBER(SEARCH(거래처별!$AD$8:$AD$307,$AB254))),거래처별!$A$8:$A$307),IFERROR(LOOKUP(2,1/((거래처별!$AE$8:$AE$307&lt;&gt;"")*ISNUMBER(SEARCH(거래처별!$AE$8:$AE$307,$AB254))),거래처별!$A$8:$A$307),0))))</f>
        <v/>
      </c>
      <c r="AD254" s="31">
        <f>IF(AND($Y254&lt;&gt;"",N($Z254)&gt;0,$AC254=0),MAX($AD$7:$AD253)+1,"")</f>
        <v/>
      </c>
      <c r="AE254" s="31">
        <f>IF($Y254="",0,$Y254)</f>
        <v/>
      </c>
    </row>
    <row r="255">
      <c r="W255" s="31">
        <f>IF(OR($B$5="",$C$6="",ROW()&lt;$B$5),"",IF(INDEX($A:$U,ROW(),$C$6)="","",INDEX($A:$U,ROW(),$C$6)))</f>
        <v/>
      </c>
      <c r="X255" s="32">
        <f>IF($W255="","",IF(ISNUMBER($W255),IF($W255&gt;=10000000,IFERROR(DATE(INT($W255/10000),MOD(INT($W255/100),100),MOD($W255,100)),""),INT($W255)),IFERROR(DATE(--LEFT(LEFT(SUBSTITUTE(SUBSTITUTE(SUBSTITUTE(SUBSTITUTE(TRIM($W255),"-",""),".",""),"/","")," ",""),8),4),--MID(LEFT(SUBSTITUTE(SUBSTITUTE(SUBSTITUTE(SUBSTITUTE(TRIM($W255),"-",""),".",""),"/","")," ",""),8),5,2),--MID(LEFT(SUBSTITUTE(SUBSTITUTE(SUBSTITUTE(SUBSTITUTE(TRIM($W255),"-",""),".",""),"/","")," ",""),8),7,2)),"")))</f>
        <v/>
      </c>
      <c r="Y255" s="32">
        <f>IF($X255="","",INT($X255))</f>
        <v/>
      </c>
      <c r="Z255" s="33">
        <f>IF(OR($Y255="",$D$6=""),"",IF(INDEX($A:$U,ROW(),$D$6)="",0,IF(ISNUMBER(INDEX($A:$U,ROW(),$D$6)),INDEX($A:$U,ROW(),$D$6),IFERROR(--SUBSTITUTE(SUBSTITUTE(TRIM(INDEX($A:$U,ROW(),$D$6)),",",""),"원",""),0))))</f>
        <v/>
      </c>
      <c r="AA255" s="31">
        <f>IF($Y255="","",TRIM(INDEX($A:$U,ROW(),$E$6)&amp;IF($F$6="",""," "&amp;INDEX($A:$U,ROW(),$F$6))))</f>
        <v/>
      </c>
      <c r="AB255" s="31">
        <f>IF($AA255="","",SUBSTITUTE(SUBSTITUTE(SUBSTITUTE(SUBSTITUTE(SUBSTITUTE(SUBSTITUTE(SUBSTITUTE(SUBSTITUTE(SUBSTITUTE($AA255," ",""),"　",""),"(주)",""),"（주）",""),"㈜",""),"주식회사",""),"(유)",""),"（유）",""),"유한회사",""))</f>
        <v/>
      </c>
      <c r="AC255" s="31">
        <f>IF(OR($Y255="",N($Z255)&lt;=0,$AB255=""),0,IFERROR(LOOKUP(2,1/((거래처별!$AC$8:$AC$307&lt;&gt;"")*ISNUMBER(SEARCH(거래처별!$AC$8:$AC$307,$AB255))),거래처별!$A$8:$A$307),IFERROR(LOOKUP(2,1/((거래처별!$AD$8:$AD$307&lt;&gt;"")*ISNUMBER(SEARCH(거래처별!$AD$8:$AD$307,$AB255))),거래처별!$A$8:$A$307),IFERROR(LOOKUP(2,1/((거래처별!$AE$8:$AE$307&lt;&gt;"")*ISNUMBER(SEARCH(거래처별!$AE$8:$AE$307,$AB255))),거래처별!$A$8:$A$307),0))))</f>
        <v/>
      </c>
      <c r="AD255" s="31">
        <f>IF(AND($Y255&lt;&gt;"",N($Z255)&gt;0,$AC255=0),MAX($AD$7:$AD254)+1,"")</f>
        <v/>
      </c>
      <c r="AE255" s="31">
        <f>IF($Y255="",0,$Y255)</f>
        <v/>
      </c>
    </row>
    <row r="256">
      <c r="W256" s="31">
        <f>IF(OR($B$5="",$C$6="",ROW()&lt;$B$5),"",IF(INDEX($A:$U,ROW(),$C$6)="","",INDEX($A:$U,ROW(),$C$6)))</f>
        <v/>
      </c>
      <c r="X256" s="32">
        <f>IF($W256="","",IF(ISNUMBER($W256),IF($W256&gt;=10000000,IFERROR(DATE(INT($W256/10000),MOD(INT($W256/100),100),MOD($W256,100)),""),INT($W256)),IFERROR(DATE(--LEFT(LEFT(SUBSTITUTE(SUBSTITUTE(SUBSTITUTE(SUBSTITUTE(TRIM($W256),"-",""),".",""),"/","")," ",""),8),4),--MID(LEFT(SUBSTITUTE(SUBSTITUTE(SUBSTITUTE(SUBSTITUTE(TRIM($W256),"-",""),".",""),"/","")," ",""),8),5,2),--MID(LEFT(SUBSTITUTE(SUBSTITUTE(SUBSTITUTE(SUBSTITUTE(TRIM($W256),"-",""),".",""),"/","")," ",""),8),7,2)),"")))</f>
        <v/>
      </c>
      <c r="Y256" s="32">
        <f>IF($X256="","",INT($X256))</f>
        <v/>
      </c>
      <c r="Z256" s="33">
        <f>IF(OR($Y256="",$D$6=""),"",IF(INDEX($A:$U,ROW(),$D$6)="",0,IF(ISNUMBER(INDEX($A:$U,ROW(),$D$6)),INDEX($A:$U,ROW(),$D$6),IFERROR(--SUBSTITUTE(SUBSTITUTE(TRIM(INDEX($A:$U,ROW(),$D$6)),",",""),"원",""),0))))</f>
        <v/>
      </c>
      <c r="AA256" s="31">
        <f>IF($Y256="","",TRIM(INDEX($A:$U,ROW(),$E$6)&amp;IF($F$6="",""," "&amp;INDEX($A:$U,ROW(),$F$6))))</f>
        <v/>
      </c>
      <c r="AB256" s="31">
        <f>IF($AA256="","",SUBSTITUTE(SUBSTITUTE(SUBSTITUTE(SUBSTITUTE(SUBSTITUTE(SUBSTITUTE(SUBSTITUTE(SUBSTITUTE(SUBSTITUTE($AA256," ",""),"　",""),"(주)",""),"（주）",""),"㈜",""),"주식회사",""),"(유)",""),"（유）",""),"유한회사",""))</f>
        <v/>
      </c>
      <c r="AC256" s="31">
        <f>IF(OR($Y256="",N($Z256)&lt;=0,$AB256=""),0,IFERROR(LOOKUP(2,1/((거래처별!$AC$8:$AC$307&lt;&gt;"")*ISNUMBER(SEARCH(거래처별!$AC$8:$AC$307,$AB256))),거래처별!$A$8:$A$307),IFERROR(LOOKUP(2,1/((거래처별!$AD$8:$AD$307&lt;&gt;"")*ISNUMBER(SEARCH(거래처별!$AD$8:$AD$307,$AB256))),거래처별!$A$8:$A$307),IFERROR(LOOKUP(2,1/((거래처별!$AE$8:$AE$307&lt;&gt;"")*ISNUMBER(SEARCH(거래처별!$AE$8:$AE$307,$AB256))),거래처별!$A$8:$A$307),0))))</f>
        <v/>
      </c>
      <c r="AD256" s="31">
        <f>IF(AND($Y256&lt;&gt;"",N($Z256)&gt;0,$AC256=0),MAX($AD$7:$AD255)+1,"")</f>
        <v/>
      </c>
      <c r="AE256" s="31">
        <f>IF($Y256="",0,$Y256)</f>
        <v/>
      </c>
    </row>
    <row r="257">
      <c r="W257" s="31">
        <f>IF(OR($B$5="",$C$6="",ROW()&lt;$B$5),"",IF(INDEX($A:$U,ROW(),$C$6)="","",INDEX($A:$U,ROW(),$C$6)))</f>
        <v/>
      </c>
      <c r="X257" s="32">
        <f>IF($W257="","",IF(ISNUMBER($W257),IF($W257&gt;=10000000,IFERROR(DATE(INT($W257/10000),MOD(INT($W257/100),100),MOD($W257,100)),""),INT($W257)),IFERROR(DATE(--LEFT(LEFT(SUBSTITUTE(SUBSTITUTE(SUBSTITUTE(SUBSTITUTE(TRIM($W257),"-",""),".",""),"/","")," ",""),8),4),--MID(LEFT(SUBSTITUTE(SUBSTITUTE(SUBSTITUTE(SUBSTITUTE(TRIM($W257),"-",""),".",""),"/","")," ",""),8),5,2),--MID(LEFT(SUBSTITUTE(SUBSTITUTE(SUBSTITUTE(SUBSTITUTE(TRIM($W257),"-",""),".",""),"/","")," ",""),8),7,2)),"")))</f>
        <v/>
      </c>
      <c r="Y257" s="32">
        <f>IF($X257="","",INT($X257))</f>
        <v/>
      </c>
      <c r="Z257" s="33">
        <f>IF(OR($Y257="",$D$6=""),"",IF(INDEX($A:$U,ROW(),$D$6)="",0,IF(ISNUMBER(INDEX($A:$U,ROW(),$D$6)),INDEX($A:$U,ROW(),$D$6),IFERROR(--SUBSTITUTE(SUBSTITUTE(TRIM(INDEX($A:$U,ROW(),$D$6)),",",""),"원",""),0))))</f>
        <v/>
      </c>
      <c r="AA257" s="31">
        <f>IF($Y257="","",TRIM(INDEX($A:$U,ROW(),$E$6)&amp;IF($F$6="",""," "&amp;INDEX($A:$U,ROW(),$F$6))))</f>
        <v/>
      </c>
      <c r="AB257" s="31">
        <f>IF($AA257="","",SUBSTITUTE(SUBSTITUTE(SUBSTITUTE(SUBSTITUTE(SUBSTITUTE(SUBSTITUTE(SUBSTITUTE(SUBSTITUTE(SUBSTITUTE($AA257," ",""),"　",""),"(주)",""),"（주）",""),"㈜",""),"주식회사",""),"(유)",""),"（유）",""),"유한회사",""))</f>
        <v/>
      </c>
      <c r="AC257" s="31">
        <f>IF(OR($Y257="",N($Z257)&lt;=0,$AB257=""),0,IFERROR(LOOKUP(2,1/((거래처별!$AC$8:$AC$307&lt;&gt;"")*ISNUMBER(SEARCH(거래처별!$AC$8:$AC$307,$AB257))),거래처별!$A$8:$A$307),IFERROR(LOOKUP(2,1/((거래처별!$AD$8:$AD$307&lt;&gt;"")*ISNUMBER(SEARCH(거래처별!$AD$8:$AD$307,$AB257))),거래처별!$A$8:$A$307),IFERROR(LOOKUP(2,1/((거래처별!$AE$8:$AE$307&lt;&gt;"")*ISNUMBER(SEARCH(거래처별!$AE$8:$AE$307,$AB257))),거래처별!$A$8:$A$307),0))))</f>
        <v/>
      </c>
      <c r="AD257" s="31">
        <f>IF(AND($Y257&lt;&gt;"",N($Z257)&gt;0,$AC257=0),MAX($AD$7:$AD256)+1,"")</f>
        <v/>
      </c>
      <c r="AE257" s="31">
        <f>IF($Y257="",0,$Y257)</f>
        <v/>
      </c>
    </row>
    <row r="258">
      <c r="W258" s="31">
        <f>IF(OR($B$5="",$C$6="",ROW()&lt;$B$5),"",IF(INDEX($A:$U,ROW(),$C$6)="","",INDEX($A:$U,ROW(),$C$6)))</f>
        <v/>
      </c>
      <c r="X258" s="32">
        <f>IF($W258="","",IF(ISNUMBER($W258),IF($W258&gt;=10000000,IFERROR(DATE(INT($W258/10000),MOD(INT($W258/100),100),MOD($W258,100)),""),INT($W258)),IFERROR(DATE(--LEFT(LEFT(SUBSTITUTE(SUBSTITUTE(SUBSTITUTE(SUBSTITUTE(TRIM($W258),"-",""),".",""),"/","")," ",""),8),4),--MID(LEFT(SUBSTITUTE(SUBSTITUTE(SUBSTITUTE(SUBSTITUTE(TRIM($W258),"-",""),".",""),"/","")," ",""),8),5,2),--MID(LEFT(SUBSTITUTE(SUBSTITUTE(SUBSTITUTE(SUBSTITUTE(TRIM($W258),"-",""),".",""),"/","")," ",""),8),7,2)),"")))</f>
        <v/>
      </c>
      <c r="Y258" s="32">
        <f>IF($X258="","",INT($X258))</f>
        <v/>
      </c>
      <c r="Z258" s="33">
        <f>IF(OR($Y258="",$D$6=""),"",IF(INDEX($A:$U,ROW(),$D$6)="",0,IF(ISNUMBER(INDEX($A:$U,ROW(),$D$6)),INDEX($A:$U,ROW(),$D$6),IFERROR(--SUBSTITUTE(SUBSTITUTE(TRIM(INDEX($A:$U,ROW(),$D$6)),",",""),"원",""),0))))</f>
        <v/>
      </c>
      <c r="AA258" s="31">
        <f>IF($Y258="","",TRIM(INDEX($A:$U,ROW(),$E$6)&amp;IF($F$6="",""," "&amp;INDEX($A:$U,ROW(),$F$6))))</f>
        <v/>
      </c>
      <c r="AB258" s="31">
        <f>IF($AA258="","",SUBSTITUTE(SUBSTITUTE(SUBSTITUTE(SUBSTITUTE(SUBSTITUTE(SUBSTITUTE(SUBSTITUTE(SUBSTITUTE(SUBSTITUTE($AA258," ",""),"　",""),"(주)",""),"（주）",""),"㈜",""),"주식회사",""),"(유)",""),"（유）",""),"유한회사",""))</f>
        <v/>
      </c>
      <c r="AC258" s="31">
        <f>IF(OR($Y258="",N($Z258)&lt;=0,$AB258=""),0,IFERROR(LOOKUP(2,1/((거래처별!$AC$8:$AC$307&lt;&gt;"")*ISNUMBER(SEARCH(거래처별!$AC$8:$AC$307,$AB258))),거래처별!$A$8:$A$307),IFERROR(LOOKUP(2,1/((거래처별!$AD$8:$AD$307&lt;&gt;"")*ISNUMBER(SEARCH(거래처별!$AD$8:$AD$307,$AB258))),거래처별!$A$8:$A$307),IFERROR(LOOKUP(2,1/((거래처별!$AE$8:$AE$307&lt;&gt;"")*ISNUMBER(SEARCH(거래처별!$AE$8:$AE$307,$AB258))),거래처별!$A$8:$A$307),0))))</f>
        <v/>
      </c>
      <c r="AD258" s="31">
        <f>IF(AND($Y258&lt;&gt;"",N($Z258)&gt;0,$AC258=0),MAX($AD$7:$AD257)+1,"")</f>
        <v/>
      </c>
      <c r="AE258" s="31">
        <f>IF($Y258="",0,$Y258)</f>
        <v/>
      </c>
    </row>
    <row r="259">
      <c r="W259" s="31">
        <f>IF(OR($B$5="",$C$6="",ROW()&lt;$B$5),"",IF(INDEX($A:$U,ROW(),$C$6)="","",INDEX($A:$U,ROW(),$C$6)))</f>
        <v/>
      </c>
      <c r="X259" s="32">
        <f>IF($W259="","",IF(ISNUMBER($W259),IF($W259&gt;=10000000,IFERROR(DATE(INT($W259/10000),MOD(INT($W259/100),100),MOD($W259,100)),""),INT($W259)),IFERROR(DATE(--LEFT(LEFT(SUBSTITUTE(SUBSTITUTE(SUBSTITUTE(SUBSTITUTE(TRIM($W259),"-",""),".",""),"/","")," ",""),8),4),--MID(LEFT(SUBSTITUTE(SUBSTITUTE(SUBSTITUTE(SUBSTITUTE(TRIM($W259),"-",""),".",""),"/","")," ",""),8),5,2),--MID(LEFT(SUBSTITUTE(SUBSTITUTE(SUBSTITUTE(SUBSTITUTE(TRIM($W259),"-",""),".",""),"/","")," ",""),8),7,2)),"")))</f>
        <v/>
      </c>
      <c r="Y259" s="32">
        <f>IF($X259="","",INT($X259))</f>
        <v/>
      </c>
      <c r="Z259" s="33">
        <f>IF(OR($Y259="",$D$6=""),"",IF(INDEX($A:$U,ROW(),$D$6)="",0,IF(ISNUMBER(INDEX($A:$U,ROW(),$D$6)),INDEX($A:$U,ROW(),$D$6),IFERROR(--SUBSTITUTE(SUBSTITUTE(TRIM(INDEX($A:$U,ROW(),$D$6)),",",""),"원",""),0))))</f>
        <v/>
      </c>
      <c r="AA259" s="31">
        <f>IF($Y259="","",TRIM(INDEX($A:$U,ROW(),$E$6)&amp;IF($F$6="",""," "&amp;INDEX($A:$U,ROW(),$F$6))))</f>
        <v/>
      </c>
      <c r="AB259" s="31">
        <f>IF($AA259="","",SUBSTITUTE(SUBSTITUTE(SUBSTITUTE(SUBSTITUTE(SUBSTITUTE(SUBSTITUTE(SUBSTITUTE(SUBSTITUTE(SUBSTITUTE($AA259," ",""),"　",""),"(주)",""),"（주）",""),"㈜",""),"주식회사",""),"(유)",""),"（유）",""),"유한회사",""))</f>
        <v/>
      </c>
      <c r="AC259" s="31">
        <f>IF(OR($Y259="",N($Z259)&lt;=0,$AB259=""),0,IFERROR(LOOKUP(2,1/((거래처별!$AC$8:$AC$307&lt;&gt;"")*ISNUMBER(SEARCH(거래처별!$AC$8:$AC$307,$AB259))),거래처별!$A$8:$A$307),IFERROR(LOOKUP(2,1/((거래처별!$AD$8:$AD$307&lt;&gt;"")*ISNUMBER(SEARCH(거래처별!$AD$8:$AD$307,$AB259))),거래처별!$A$8:$A$307),IFERROR(LOOKUP(2,1/((거래처별!$AE$8:$AE$307&lt;&gt;"")*ISNUMBER(SEARCH(거래처별!$AE$8:$AE$307,$AB259))),거래처별!$A$8:$A$307),0))))</f>
        <v/>
      </c>
      <c r="AD259" s="31">
        <f>IF(AND($Y259&lt;&gt;"",N($Z259)&gt;0,$AC259=0),MAX($AD$7:$AD258)+1,"")</f>
        <v/>
      </c>
      <c r="AE259" s="31">
        <f>IF($Y259="",0,$Y259)</f>
        <v/>
      </c>
    </row>
    <row r="260">
      <c r="W260" s="31">
        <f>IF(OR($B$5="",$C$6="",ROW()&lt;$B$5),"",IF(INDEX($A:$U,ROW(),$C$6)="","",INDEX($A:$U,ROW(),$C$6)))</f>
        <v/>
      </c>
      <c r="X260" s="32">
        <f>IF($W260="","",IF(ISNUMBER($W260),IF($W260&gt;=10000000,IFERROR(DATE(INT($W260/10000),MOD(INT($W260/100),100),MOD($W260,100)),""),INT($W260)),IFERROR(DATE(--LEFT(LEFT(SUBSTITUTE(SUBSTITUTE(SUBSTITUTE(SUBSTITUTE(TRIM($W260),"-",""),".",""),"/","")," ",""),8),4),--MID(LEFT(SUBSTITUTE(SUBSTITUTE(SUBSTITUTE(SUBSTITUTE(TRIM($W260),"-",""),".",""),"/","")," ",""),8),5,2),--MID(LEFT(SUBSTITUTE(SUBSTITUTE(SUBSTITUTE(SUBSTITUTE(TRIM($W260),"-",""),".",""),"/","")," ",""),8),7,2)),"")))</f>
        <v/>
      </c>
      <c r="Y260" s="32">
        <f>IF($X260="","",INT($X260))</f>
        <v/>
      </c>
      <c r="Z260" s="33">
        <f>IF(OR($Y260="",$D$6=""),"",IF(INDEX($A:$U,ROW(),$D$6)="",0,IF(ISNUMBER(INDEX($A:$U,ROW(),$D$6)),INDEX($A:$U,ROW(),$D$6),IFERROR(--SUBSTITUTE(SUBSTITUTE(TRIM(INDEX($A:$U,ROW(),$D$6)),",",""),"원",""),0))))</f>
        <v/>
      </c>
      <c r="AA260" s="31">
        <f>IF($Y260="","",TRIM(INDEX($A:$U,ROW(),$E$6)&amp;IF($F$6="",""," "&amp;INDEX($A:$U,ROW(),$F$6))))</f>
        <v/>
      </c>
      <c r="AB260" s="31">
        <f>IF($AA260="","",SUBSTITUTE(SUBSTITUTE(SUBSTITUTE(SUBSTITUTE(SUBSTITUTE(SUBSTITUTE(SUBSTITUTE(SUBSTITUTE(SUBSTITUTE($AA260," ",""),"　",""),"(주)",""),"（주）",""),"㈜",""),"주식회사",""),"(유)",""),"（유）",""),"유한회사",""))</f>
        <v/>
      </c>
      <c r="AC260" s="31">
        <f>IF(OR($Y260="",N($Z260)&lt;=0,$AB260=""),0,IFERROR(LOOKUP(2,1/((거래처별!$AC$8:$AC$307&lt;&gt;"")*ISNUMBER(SEARCH(거래처별!$AC$8:$AC$307,$AB260))),거래처별!$A$8:$A$307),IFERROR(LOOKUP(2,1/((거래처별!$AD$8:$AD$307&lt;&gt;"")*ISNUMBER(SEARCH(거래처별!$AD$8:$AD$307,$AB260))),거래처별!$A$8:$A$307),IFERROR(LOOKUP(2,1/((거래처별!$AE$8:$AE$307&lt;&gt;"")*ISNUMBER(SEARCH(거래처별!$AE$8:$AE$307,$AB260))),거래처별!$A$8:$A$307),0))))</f>
        <v/>
      </c>
      <c r="AD260" s="31">
        <f>IF(AND($Y260&lt;&gt;"",N($Z260)&gt;0,$AC260=0),MAX($AD$7:$AD259)+1,"")</f>
        <v/>
      </c>
      <c r="AE260" s="31">
        <f>IF($Y260="",0,$Y260)</f>
        <v/>
      </c>
    </row>
    <row r="261">
      <c r="W261" s="31">
        <f>IF(OR($B$5="",$C$6="",ROW()&lt;$B$5),"",IF(INDEX($A:$U,ROW(),$C$6)="","",INDEX($A:$U,ROW(),$C$6)))</f>
        <v/>
      </c>
      <c r="X261" s="32">
        <f>IF($W261="","",IF(ISNUMBER($W261),IF($W261&gt;=10000000,IFERROR(DATE(INT($W261/10000),MOD(INT($W261/100),100),MOD($W261,100)),""),INT($W261)),IFERROR(DATE(--LEFT(LEFT(SUBSTITUTE(SUBSTITUTE(SUBSTITUTE(SUBSTITUTE(TRIM($W261),"-",""),".",""),"/","")," ",""),8),4),--MID(LEFT(SUBSTITUTE(SUBSTITUTE(SUBSTITUTE(SUBSTITUTE(TRIM($W261),"-",""),".",""),"/","")," ",""),8),5,2),--MID(LEFT(SUBSTITUTE(SUBSTITUTE(SUBSTITUTE(SUBSTITUTE(TRIM($W261),"-",""),".",""),"/","")," ",""),8),7,2)),"")))</f>
        <v/>
      </c>
      <c r="Y261" s="32">
        <f>IF($X261="","",INT($X261))</f>
        <v/>
      </c>
      <c r="Z261" s="33">
        <f>IF(OR($Y261="",$D$6=""),"",IF(INDEX($A:$U,ROW(),$D$6)="",0,IF(ISNUMBER(INDEX($A:$U,ROW(),$D$6)),INDEX($A:$U,ROW(),$D$6),IFERROR(--SUBSTITUTE(SUBSTITUTE(TRIM(INDEX($A:$U,ROW(),$D$6)),",",""),"원",""),0))))</f>
        <v/>
      </c>
      <c r="AA261" s="31">
        <f>IF($Y261="","",TRIM(INDEX($A:$U,ROW(),$E$6)&amp;IF($F$6="",""," "&amp;INDEX($A:$U,ROW(),$F$6))))</f>
        <v/>
      </c>
      <c r="AB261" s="31">
        <f>IF($AA261="","",SUBSTITUTE(SUBSTITUTE(SUBSTITUTE(SUBSTITUTE(SUBSTITUTE(SUBSTITUTE(SUBSTITUTE(SUBSTITUTE(SUBSTITUTE($AA261," ",""),"　",""),"(주)",""),"（주）",""),"㈜",""),"주식회사",""),"(유)",""),"（유）",""),"유한회사",""))</f>
        <v/>
      </c>
      <c r="AC261" s="31">
        <f>IF(OR($Y261="",N($Z261)&lt;=0,$AB261=""),0,IFERROR(LOOKUP(2,1/((거래처별!$AC$8:$AC$307&lt;&gt;"")*ISNUMBER(SEARCH(거래처별!$AC$8:$AC$307,$AB261))),거래처별!$A$8:$A$307),IFERROR(LOOKUP(2,1/((거래처별!$AD$8:$AD$307&lt;&gt;"")*ISNUMBER(SEARCH(거래처별!$AD$8:$AD$307,$AB261))),거래처별!$A$8:$A$307),IFERROR(LOOKUP(2,1/((거래처별!$AE$8:$AE$307&lt;&gt;"")*ISNUMBER(SEARCH(거래처별!$AE$8:$AE$307,$AB261))),거래처별!$A$8:$A$307),0))))</f>
        <v/>
      </c>
      <c r="AD261" s="31">
        <f>IF(AND($Y261&lt;&gt;"",N($Z261)&gt;0,$AC261=0),MAX($AD$7:$AD260)+1,"")</f>
        <v/>
      </c>
      <c r="AE261" s="31">
        <f>IF($Y261="",0,$Y261)</f>
        <v/>
      </c>
    </row>
    <row r="262">
      <c r="W262" s="31">
        <f>IF(OR($B$5="",$C$6="",ROW()&lt;$B$5),"",IF(INDEX($A:$U,ROW(),$C$6)="","",INDEX($A:$U,ROW(),$C$6)))</f>
        <v/>
      </c>
      <c r="X262" s="32">
        <f>IF($W262="","",IF(ISNUMBER($W262),IF($W262&gt;=10000000,IFERROR(DATE(INT($W262/10000),MOD(INT($W262/100),100),MOD($W262,100)),""),INT($W262)),IFERROR(DATE(--LEFT(LEFT(SUBSTITUTE(SUBSTITUTE(SUBSTITUTE(SUBSTITUTE(TRIM($W262),"-",""),".",""),"/","")," ",""),8),4),--MID(LEFT(SUBSTITUTE(SUBSTITUTE(SUBSTITUTE(SUBSTITUTE(TRIM($W262),"-",""),".",""),"/","")," ",""),8),5,2),--MID(LEFT(SUBSTITUTE(SUBSTITUTE(SUBSTITUTE(SUBSTITUTE(TRIM($W262),"-",""),".",""),"/","")," ",""),8),7,2)),"")))</f>
        <v/>
      </c>
      <c r="Y262" s="32">
        <f>IF($X262="","",INT($X262))</f>
        <v/>
      </c>
      <c r="Z262" s="33">
        <f>IF(OR($Y262="",$D$6=""),"",IF(INDEX($A:$U,ROW(),$D$6)="",0,IF(ISNUMBER(INDEX($A:$U,ROW(),$D$6)),INDEX($A:$U,ROW(),$D$6),IFERROR(--SUBSTITUTE(SUBSTITUTE(TRIM(INDEX($A:$U,ROW(),$D$6)),",",""),"원",""),0))))</f>
        <v/>
      </c>
      <c r="AA262" s="31">
        <f>IF($Y262="","",TRIM(INDEX($A:$U,ROW(),$E$6)&amp;IF($F$6="",""," "&amp;INDEX($A:$U,ROW(),$F$6))))</f>
        <v/>
      </c>
      <c r="AB262" s="31">
        <f>IF($AA262="","",SUBSTITUTE(SUBSTITUTE(SUBSTITUTE(SUBSTITUTE(SUBSTITUTE(SUBSTITUTE(SUBSTITUTE(SUBSTITUTE(SUBSTITUTE($AA262," ",""),"　",""),"(주)",""),"（주）",""),"㈜",""),"주식회사",""),"(유)",""),"（유）",""),"유한회사",""))</f>
        <v/>
      </c>
      <c r="AC262" s="31">
        <f>IF(OR($Y262="",N($Z262)&lt;=0,$AB262=""),0,IFERROR(LOOKUP(2,1/((거래처별!$AC$8:$AC$307&lt;&gt;"")*ISNUMBER(SEARCH(거래처별!$AC$8:$AC$307,$AB262))),거래처별!$A$8:$A$307),IFERROR(LOOKUP(2,1/((거래처별!$AD$8:$AD$307&lt;&gt;"")*ISNUMBER(SEARCH(거래처별!$AD$8:$AD$307,$AB262))),거래처별!$A$8:$A$307),IFERROR(LOOKUP(2,1/((거래처별!$AE$8:$AE$307&lt;&gt;"")*ISNUMBER(SEARCH(거래처별!$AE$8:$AE$307,$AB262))),거래처별!$A$8:$A$307),0))))</f>
        <v/>
      </c>
      <c r="AD262" s="31">
        <f>IF(AND($Y262&lt;&gt;"",N($Z262)&gt;0,$AC262=0),MAX($AD$7:$AD261)+1,"")</f>
        <v/>
      </c>
      <c r="AE262" s="31">
        <f>IF($Y262="",0,$Y262)</f>
        <v/>
      </c>
    </row>
    <row r="263">
      <c r="W263" s="31">
        <f>IF(OR($B$5="",$C$6="",ROW()&lt;$B$5),"",IF(INDEX($A:$U,ROW(),$C$6)="","",INDEX($A:$U,ROW(),$C$6)))</f>
        <v/>
      </c>
      <c r="X263" s="32">
        <f>IF($W263="","",IF(ISNUMBER($W263),IF($W263&gt;=10000000,IFERROR(DATE(INT($W263/10000),MOD(INT($W263/100),100),MOD($W263,100)),""),INT($W263)),IFERROR(DATE(--LEFT(LEFT(SUBSTITUTE(SUBSTITUTE(SUBSTITUTE(SUBSTITUTE(TRIM($W263),"-",""),".",""),"/","")," ",""),8),4),--MID(LEFT(SUBSTITUTE(SUBSTITUTE(SUBSTITUTE(SUBSTITUTE(TRIM($W263),"-",""),".",""),"/","")," ",""),8),5,2),--MID(LEFT(SUBSTITUTE(SUBSTITUTE(SUBSTITUTE(SUBSTITUTE(TRIM($W263),"-",""),".",""),"/","")," ",""),8),7,2)),"")))</f>
        <v/>
      </c>
      <c r="Y263" s="32">
        <f>IF($X263="","",INT($X263))</f>
        <v/>
      </c>
      <c r="Z263" s="33">
        <f>IF(OR($Y263="",$D$6=""),"",IF(INDEX($A:$U,ROW(),$D$6)="",0,IF(ISNUMBER(INDEX($A:$U,ROW(),$D$6)),INDEX($A:$U,ROW(),$D$6),IFERROR(--SUBSTITUTE(SUBSTITUTE(TRIM(INDEX($A:$U,ROW(),$D$6)),",",""),"원",""),0))))</f>
        <v/>
      </c>
      <c r="AA263" s="31">
        <f>IF($Y263="","",TRIM(INDEX($A:$U,ROW(),$E$6)&amp;IF($F$6="",""," "&amp;INDEX($A:$U,ROW(),$F$6))))</f>
        <v/>
      </c>
      <c r="AB263" s="31">
        <f>IF($AA263="","",SUBSTITUTE(SUBSTITUTE(SUBSTITUTE(SUBSTITUTE(SUBSTITUTE(SUBSTITUTE(SUBSTITUTE(SUBSTITUTE(SUBSTITUTE($AA263," ",""),"　",""),"(주)",""),"（주）",""),"㈜",""),"주식회사",""),"(유)",""),"（유）",""),"유한회사",""))</f>
        <v/>
      </c>
      <c r="AC263" s="31">
        <f>IF(OR($Y263="",N($Z263)&lt;=0,$AB263=""),0,IFERROR(LOOKUP(2,1/((거래처별!$AC$8:$AC$307&lt;&gt;"")*ISNUMBER(SEARCH(거래처별!$AC$8:$AC$307,$AB263))),거래처별!$A$8:$A$307),IFERROR(LOOKUP(2,1/((거래처별!$AD$8:$AD$307&lt;&gt;"")*ISNUMBER(SEARCH(거래처별!$AD$8:$AD$307,$AB263))),거래처별!$A$8:$A$307),IFERROR(LOOKUP(2,1/((거래처별!$AE$8:$AE$307&lt;&gt;"")*ISNUMBER(SEARCH(거래처별!$AE$8:$AE$307,$AB263))),거래처별!$A$8:$A$307),0))))</f>
        <v/>
      </c>
      <c r="AD263" s="31">
        <f>IF(AND($Y263&lt;&gt;"",N($Z263)&gt;0,$AC263=0),MAX($AD$7:$AD262)+1,"")</f>
        <v/>
      </c>
      <c r="AE263" s="31">
        <f>IF($Y263="",0,$Y263)</f>
        <v/>
      </c>
    </row>
    <row r="264">
      <c r="W264" s="31">
        <f>IF(OR($B$5="",$C$6="",ROW()&lt;$B$5),"",IF(INDEX($A:$U,ROW(),$C$6)="","",INDEX($A:$U,ROW(),$C$6)))</f>
        <v/>
      </c>
      <c r="X264" s="32">
        <f>IF($W264="","",IF(ISNUMBER($W264),IF($W264&gt;=10000000,IFERROR(DATE(INT($W264/10000),MOD(INT($W264/100),100),MOD($W264,100)),""),INT($W264)),IFERROR(DATE(--LEFT(LEFT(SUBSTITUTE(SUBSTITUTE(SUBSTITUTE(SUBSTITUTE(TRIM($W264),"-",""),".",""),"/","")," ",""),8),4),--MID(LEFT(SUBSTITUTE(SUBSTITUTE(SUBSTITUTE(SUBSTITUTE(TRIM($W264),"-",""),".",""),"/","")," ",""),8),5,2),--MID(LEFT(SUBSTITUTE(SUBSTITUTE(SUBSTITUTE(SUBSTITUTE(TRIM($W264),"-",""),".",""),"/","")," ",""),8),7,2)),"")))</f>
        <v/>
      </c>
      <c r="Y264" s="32">
        <f>IF($X264="","",INT($X264))</f>
        <v/>
      </c>
      <c r="Z264" s="33">
        <f>IF(OR($Y264="",$D$6=""),"",IF(INDEX($A:$U,ROW(),$D$6)="",0,IF(ISNUMBER(INDEX($A:$U,ROW(),$D$6)),INDEX($A:$U,ROW(),$D$6),IFERROR(--SUBSTITUTE(SUBSTITUTE(TRIM(INDEX($A:$U,ROW(),$D$6)),",",""),"원",""),0))))</f>
        <v/>
      </c>
      <c r="AA264" s="31">
        <f>IF($Y264="","",TRIM(INDEX($A:$U,ROW(),$E$6)&amp;IF($F$6="",""," "&amp;INDEX($A:$U,ROW(),$F$6))))</f>
        <v/>
      </c>
      <c r="AB264" s="31">
        <f>IF($AA264="","",SUBSTITUTE(SUBSTITUTE(SUBSTITUTE(SUBSTITUTE(SUBSTITUTE(SUBSTITUTE(SUBSTITUTE(SUBSTITUTE(SUBSTITUTE($AA264," ",""),"　",""),"(주)",""),"（주）",""),"㈜",""),"주식회사",""),"(유)",""),"（유）",""),"유한회사",""))</f>
        <v/>
      </c>
      <c r="AC264" s="31">
        <f>IF(OR($Y264="",N($Z264)&lt;=0,$AB264=""),0,IFERROR(LOOKUP(2,1/((거래처별!$AC$8:$AC$307&lt;&gt;"")*ISNUMBER(SEARCH(거래처별!$AC$8:$AC$307,$AB264))),거래처별!$A$8:$A$307),IFERROR(LOOKUP(2,1/((거래처별!$AD$8:$AD$307&lt;&gt;"")*ISNUMBER(SEARCH(거래처별!$AD$8:$AD$307,$AB264))),거래처별!$A$8:$A$307),IFERROR(LOOKUP(2,1/((거래처별!$AE$8:$AE$307&lt;&gt;"")*ISNUMBER(SEARCH(거래처별!$AE$8:$AE$307,$AB264))),거래처별!$A$8:$A$307),0))))</f>
        <v/>
      </c>
      <c r="AD264" s="31">
        <f>IF(AND($Y264&lt;&gt;"",N($Z264)&gt;0,$AC264=0),MAX($AD$7:$AD263)+1,"")</f>
        <v/>
      </c>
      <c r="AE264" s="31">
        <f>IF($Y264="",0,$Y264)</f>
        <v/>
      </c>
    </row>
    <row r="265">
      <c r="W265" s="31">
        <f>IF(OR($B$5="",$C$6="",ROW()&lt;$B$5),"",IF(INDEX($A:$U,ROW(),$C$6)="","",INDEX($A:$U,ROW(),$C$6)))</f>
        <v/>
      </c>
      <c r="X265" s="32">
        <f>IF($W265="","",IF(ISNUMBER($W265),IF($W265&gt;=10000000,IFERROR(DATE(INT($W265/10000),MOD(INT($W265/100),100),MOD($W265,100)),""),INT($W265)),IFERROR(DATE(--LEFT(LEFT(SUBSTITUTE(SUBSTITUTE(SUBSTITUTE(SUBSTITUTE(TRIM($W265),"-",""),".",""),"/","")," ",""),8),4),--MID(LEFT(SUBSTITUTE(SUBSTITUTE(SUBSTITUTE(SUBSTITUTE(TRIM($W265),"-",""),".",""),"/","")," ",""),8),5,2),--MID(LEFT(SUBSTITUTE(SUBSTITUTE(SUBSTITUTE(SUBSTITUTE(TRIM($W265),"-",""),".",""),"/","")," ",""),8),7,2)),"")))</f>
        <v/>
      </c>
      <c r="Y265" s="32">
        <f>IF($X265="","",INT($X265))</f>
        <v/>
      </c>
      <c r="Z265" s="33">
        <f>IF(OR($Y265="",$D$6=""),"",IF(INDEX($A:$U,ROW(),$D$6)="",0,IF(ISNUMBER(INDEX($A:$U,ROW(),$D$6)),INDEX($A:$U,ROW(),$D$6),IFERROR(--SUBSTITUTE(SUBSTITUTE(TRIM(INDEX($A:$U,ROW(),$D$6)),",",""),"원",""),0))))</f>
        <v/>
      </c>
      <c r="AA265" s="31">
        <f>IF($Y265="","",TRIM(INDEX($A:$U,ROW(),$E$6)&amp;IF($F$6="",""," "&amp;INDEX($A:$U,ROW(),$F$6))))</f>
        <v/>
      </c>
      <c r="AB265" s="31">
        <f>IF($AA265="","",SUBSTITUTE(SUBSTITUTE(SUBSTITUTE(SUBSTITUTE(SUBSTITUTE(SUBSTITUTE(SUBSTITUTE(SUBSTITUTE(SUBSTITUTE($AA265," ",""),"　",""),"(주)",""),"（주）",""),"㈜",""),"주식회사",""),"(유)",""),"（유）",""),"유한회사",""))</f>
        <v/>
      </c>
      <c r="AC265" s="31">
        <f>IF(OR($Y265="",N($Z265)&lt;=0,$AB265=""),0,IFERROR(LOOKUP(2,1/((거래처별!$AC$8:$AC$307&lt;&gt;"")*ISNUMBER(SEARCH(거래처별!$AC$8:$AC$307,$AB265))),거래처별!$A$8:$A$307),IFERROR(LOOKUP(2,1/((거래처별!$AD$8:$AD$307&lt;&gt;"")*ISNUMBER(SEARCH(거래처별!$AD$8:$AD$307,$AB265))),거래처별!$A$8:$A$307),IFERROR(LOOKUP(2,1/((거래처별!$AE$8:$AE$307&lt;&gt;"")*ISNUMBER(SEARCH(거래처별!$AE$8:$AE$307,$AB265))),거래처별!$A$8:$A$307),0))))</f>
        <v/>
      </c>
      <c r="AD265" s="31">
        <f>IF(AND($Y265&lt;&gt;"",N($Z265)&gt;0,$AC265=0),MAX($AD$7:$AD264)+1,"")</f>
        <v/>
      </c>
      <c r="AE265" s="31">
        <f>IF($Y265="",0,$Y265)</f>
        <v/>
      </c>
    </row>
    <row r="266">
      <c r="W266" s="31">
        <f>IF(OR($B$5="",$C$6="",ROW()&lt;$B$5),"",IF(INDEX($A:$U,ROW(),$C$6)="","",INDEX($A:$U,ROW(),$C$6)))</f>
        <v/>
      </c>
      <c r="X266" s="32">
        <f>IF($W266="","",IF(ISNUMBER($W266),IF($W266&gt;=10000000,IFERROR(DATE(INT($W266/10000),MOD(INT($W266/100),100),MOD($W266,100)),""),INT($W266)),IFERROR(DATE(--LEFT(LEFT(SUBSTITUTE(SUBSTITUTE(SUBSTITUTE(SUBSTITUTE(TRIM($W266),"-",""),".",""),"/","")," ",""),8),4),--MID(LEFT(SUBSTITUTE(SUBSTITUTE(SUBSTITUTE(SUBSTITUTE(TRIM($W266),"-",""),".",""),"/","")," ",""),8),5,2),--MID(LEFT(SUBSTITUTE(SUBSTITUTE(SUBSTITUTE(SUBSTITUTE(TRIM($W266),"-",""),".",""),"/","")," ",""),8),7,2)),"")))</f>
        <v/>
      </c>
      <c r="Y266" s="32">
        <f>IF($X266="","",INT($X266))</f>
        <v/>
      </c>
      <c r="Z266" s="33">
        <f>IF(OR($Y266="",$D$6=""),"",IF(INDEX($A:$U,ROW(),$D$6)="",0,IF(ISNUMBER(INDEX($A:$U,ROW(),$D$6)),INDEX($A:$U,ROW(),$D$6),IFERROR(--SUBSTITUTE(SUBSTITUTE(TRIM(INDEX($A:$U,ROW(),$D$6)),",",""),"원",""),0))))</f>
        <v/>
      </c>
      <c r="AA266" s="31">
        <f>IF($Y266="","",TRIM(INDEX($A:$U,ROW(),$E$6)&amp;IF($F$6="",""," "&amp;INDEX($A:$U,ROW(),$F$6))))</f>
        <v/>
      </c>
      <c r="AB266" s="31">
        <f>IF($AA266="","",SUBSTITUTE(SUBSTITUTE(SUBSTITUTE(SUBSTITUTE(SUBSTITUTE(SUBSTITUTE(SUBSTITUTE(SUBSTITUTE(SUBSTITUTE($AA266," ",""),"　",""),"(주)",""),"（주）",""),"㈜",""),"주식회사",""),"(유)",""),"（유）",""),"유한회사",""))</f>
        <v/>
      </c>
      <c r="AC266" s="31">
        <f>IF(OR($Y266="",N($Z266)&lt;=0,$AB266=""),0,IFERROR(LOOKUP(2,1/((거래처별!$AC$8:$AC$307&lt;&gt;"")*ISNUMBER(SEARCH(거래처별!$AC$8:$AC$307,$AB266))),거래처별!$A$8:$A$307),IFERROR(LOOKUP(2,1/((거래처별!$AD$8:$AD$307&lt;&gt;"")*ISNUMBER(SEARCH(거래처별!$AD$8:$AD$307,$AB266))),거래처별!$A$8:$A$307),IFERROR(LOOKUP(2,1/((거래처별!$AE$8:$AE$307&lt;&gt;"")*ISNUMBER(SEARCH(거래처별!$AE$8:$AE$307,$AB266))),거래처별!$A$8:$A$307),0))))</f>
        <v/>
      </c>
      <c r="AD266" s="31">
        <f>IF(AND($Y266&lt;&gt;"",N($Z266)&gt;0,$AC266=0),MAX($AD$7:$AD265)+1,"")</f>
        <v/>
      </c>
      <c r="AE266" s="31">
        <f>IF($Y266="",0,$Y266)</f>
        <v/>
      </c>
    </row>
    <row r="267">
      <c r="W267" s="31">
        <f>IF(OR($B$5="",$C$6="",ROW()&lt;$B$5),"",IF(INDEX($A:$U,ROW(),$C$6)="","",INDEX($A:$U,ROW(),$C$6)))</f>
        <v/>
      </c>
      <c r="X267" s="32">
        <f>IF($W267="","",IF(ISNUMBER($W267),IF($W267&gt;=10000000,IFERROR(DATE(INT($W267/10000),MOD(INT($W267/100),100),MOD($W267,100)),""),INT($W267)),IFERROR(DATE(--LEFT(LEFT(SUBSTITUTE(SUBSTITUTE(SUBSTITUTE(SUBSTITUTE(TRIM($W267),"-",""),".",""),"/","")," ",""),8),4),--MID(LEFT(SUBSTITUTE(SUBSTITUTE(SUBSTITUTE(SUBSTITUTE(TRIM($W267),"-",""),".",""),"/","")," ",""),8),5,2),--MID(LEFT(SUBSTITUTE(SUBSTITUTE(SUBSTITUTE(SUBSTITUTE(TRIM($W267),"-",""),".",""),"/","")," ",""),8),7,2)),"")))</f>
        <v/>
      </c>
      <c r="Y267" s="32">
        <f>IF($X267="","",INT($X267))</f>
        <v/>
      </c>
      <c r="Z267" s="33">
        <f>IF(OR($Y267="",$D$6=""),"",IF(INDEX($A:$U,ROW(),$D$6)="",0,IF(ISNUMBER(INDEX($A:$U,ROW(),$D$6)),INDEX($A:$U,ROW(),$D$6),IFERROR(--SUBSTITUTE(SUBSTITUTE(TRIM(INDEX($A:$U,ROW(),$D$6)),",",""),"원",""),0))))</f>
        <v/>
      </c>
      <c r="AA267" s="31">
        <f>IF($Y267="","",TRIM(INDEX($A:$U,ROW(),$E$6)&amp;IF($F$6="",""," "&amp;INDEX($A:$U,ROW(),$F$6))))</f>
        <v/>
      </c>
      <c r="AB267" s="31">
        <f>IF($AA267="","",SUBSTITUTE(SUBSTITUTE(SUBSTITUTE(SUBSTITUTE(SUBSTITUTE(SUBSTITUTE(SUBSTITUTE(SUBSTITUTE(SUBSTITUTE($AA267," ",""),"　",""),"(주)",""),"（주）",""),"㈜",""),"주식회사",""),"(유)",""),"（유）",""),"유한회사",""))</f>
        <v/>
      </c>
      <c r="AC267" s="31">
        <f>IF(OR($Y267="",N($Z267)&lt;=0,$AB267=""),0,IFERROR(LOOKUP(2,1/((거래처별!$AC$8:$AC$307&lt;&gt;"")*ISNUMBER(SEARCH(거래처별!$AC$8:$AC$307,$AB267))),거래처별!$A$8:$A$307),IFERROR(LOOKUP(2,1/((거래처별!$AD$8:$AD$307&lt;&gt;"")*ISNUMBER(SEARCH(거래처별!$AD$8:$AD$307,$AB267))),거래처별!$A$8:$A$307),IFERROR(LOOKUP(2,1/((거래처별!$AE$8:$AE$307&lt;&gt;"")*ISNUMBER(SEARCH(거래처별!$AE$8:$AE$307,$AB267))),거래처별!$A$8:$A$307),0))))</f>
        <v/>
      </c>
      <c r="AD267" s="31">
        <f>IF(AND($Y267&lt;&gt;"",N($Z267)&gt;0,$AC267=0),MAX($AD$7:$AD266)+1,"")</f>
        <v/>
      </c>
      <c r="AE267" s="31">
        <f>IF($Y267="",0,$Y267)</f>
        <v/>
      </c>
    </row>
    <row r="268">
      <c r="W268" s="31">
        <f>IF(OR($B$5="",$C$6="",ROW()&lt;$B$5),"",IF(INDEX($A:$U,ROW(),$C$6)="","",INDEX($A:$U,ROW(),$C$6)))</f>
        <v/>
      </c>
      <c r="X268" s="32">
        <f>IF($W268="","",IF(ISNUMBER($W268),IF($W268&gt;=10000000,IFERROR(DATE(INT($W268/10000),MOD(INT($W268/100),100),MOD($W268,100)),""),INT($W268)),IFERROR(DATE(--LEFT(LEFT(SUBSTITUTE(SUBSTITUTE(SUBSTITUTE(SUBSTITUTE(TRIM($W268),"-",""),".",""),"/","")," ",""),8),4),--MID(LEFT(SUBSTITUTE(SUBSTITUTE(SUBSTITUTE(SUBSTITUTE(TRIM($W268),"-",""),".",""),"/","")," ",""),8),5,2),--MID(LEFT(SUBSTITUTE(SUBSTITUTE(SUBSTITUTE(SUBSTITUTE(TRIM($W268),"-",""),".",""),"/","")," ",""),8),7,2)),"")))</f>
        <v/>
      </c>
      <c r="Y268" s="32">
        <f>IF($X268="","",INT($X268))</f>
        <v/>
      </c>
      <c r="Z268" s="33">
        <f>IF(OR($Y268="",$D$6=""),"",IF(INDEX($A:$U,ROW(),$D$6)="",0,IF(ISNUMBER(INDEX($A:$U,ROW(),$D$6)),INDEX($A:$U,ROW(),$D$6),IFERROR(--SUBSTITUTE(SUBSTITUTE(TRIM(INDEX($A:$U,ROW(),$D$6)),",",""),"원",""),0))))</f>
        <v/>
      </c>
      <c r="AA268" s="31">
        <f>IF($Y268="","",TRIM(INDEX($A:$U,ROW(),$E$6)&amp;IF($F$6="",""," "&amp;INDEX($A:$U,ROW(),$F$6))))</f>
        <v/>
      </c>
      <c r="AB268" s="31">
        <f>IF($AA268="","",SUBSTITUTE(SUBSTITUTE(SUBSTITUTE(SUBSTITUTE(SUBSTITUTE(SUBSTITUTE(SUBSTITUTE(SUBSTITUTE(SUBSTITUTE($AA268," ",""),"　",""),"(주)",""),"（주）",""),"㈜",""),"주식회사",""),"(유)",""),"（유）",""),"유한회사",""))</f>
        <v/>
      </c>
      <c r="AC268" s="31">
        <f>IF(OR($Y268="",N($Z268)&lt;=0,$AB268=""),0,IFERROR(LOOKUP(2,1/((거래처별!$AC$8:$AC$307&lt;&gt;"")*ISNUMBER(SEARCH(거래처별!$AC$8:$AC$307,$AB268))),거래처별!$A$8:$A$307),IFERROR(LOOKUP(2,1/((거래처별!$AD$8:$AD$307&lt;&gt;"")*ISNUMBER(SEARCH(거래처별!$AD$8:$AD$307,$AB268))),거래처별!$A$8:$A$307),IFERROR(LOOKUP(2,1/((거래처별!$AE$8:$AE$307&lt;&gt;"")*ISNUMBER(SEARCH(거래처별!$AE$8:$AE$307,$AB268))),거래처별!$A$8:$A$307),0))))</f>
        <v/>
      </c>
      <c r="AD268" s="31">
        <f>IF(AND($Y268&lt;&gt;"",N($Z268)&gt;0,$AC268=0),MAX($AD$7:$AD267)+1,"")</f>
        <v/>
      </c>
      <c r="AE268" s="31">
        <f>IF($Y268="",0,$Y268)</f>
        <v/>
      </c>
    </row>
    <row r="269">
      <c r="W269" s="31">
        <f>IF(OR($B$5="",$C$6="",ROW()&lt;$B$5),"",IF(INDEX($A:$U,ROW(),$C$6)="","",INDEX($A:$U,ROW(),$C$6)))</f>
        <v/>
      </c>
      <c r="X269" s="32">
        <f>IF($W269="","",IF(ISNUMBER($W269),IF($W269&gt;=10000000,IFERROR(DATE(INT($W269/10000),MOD(INT($W269/100),100),MOD($W269,100)),""),INT($W269)),IFERROR(DATE(--LEFT(LEFT(SUBSTITUTE(SUBSTITUTE(SUBSTITUTE(SUBSTITUTE(TRIM($W269),"-",""),".",""),"/","")," ",""),8),4),--MID(LEFT(SUBSTITUTE(SUBSTITUTE(SUBSTITUTE(SUBSTITUTE(TRIM($W269),"-",""),".",""),"/","")," ",""),8),5,2),--MID(LEFT(SUBSTITUTE(SUBSTITUTE(SUBSTITUTE(SUBSTITUTE(TRIM($W269),"-",""),".",""),"/","")," ",""),8),7,2)),"")))</f>
        <v/>
      </c>
      <c r="Y269" s="32">
        <f>IF($X269="","",INT($X269))</f>
        <v/>
      </c>
      <c r="Z269" s="33">
        <f>IF(OR($Y269="",$D$6=""),"",IF(INDEX($A:$U,ROW(),$D$6)="",0,IF(ISNUMBER(INDEX($A:$U,ROW(),$D$6)),INDEX($A:$U,ROW(),$D$6),IFERROR(--SUBSTITUTE(SUBSTITUTE(TRIM(INDEX($A:$U,ROW(),$D$6)),",",""),"원",""),0))))</f>
        <v/>
      </c>
      <c r="AA269" s="31">
        <f>IF($Y269="","",TRIM(INDEX($A:$U,ROW(),$E$6)&amp;IF($F$6="",""," "&amp;INDEX($A:$U,ROW(),$F$6))))</f>
        <v/>
      </c>
      <c r="AB269" s="31">
        <f>IF($AA269="","",SUBSTITUTE(SUBSTITUTE(SUBSTITUTE(SUBSTITUTE(SUBSTITUTE(SUBSTITUTE(SUBSTITUTE(SUBSTITUTE(SUBSTITUTE($AA269," ",""),"　",""),"(주)",""),"（주）",""),"㈜",""),"주식회사",""),"(유)",""),"（유）",""),"유한회사",""))</f>
        <v/>
      </c>
      <c r="AC269" s="31">
        <f>IF(OR($Y269="",N($Z269)&lt;=0,$AB269=""),0,IFERROR(LOOKUP(2,1/((거래처별!$AC$8:$AC$307&lt;&gt;"")*ISNUMBER(SEARCH(거래처별!$AC$8:$AC$307,$AB269))),거래처별!$A$8:$A$307),IFERROR(LOOKUP(2,1/((거래처별!$AD$8:$AD$307&lt;&gt;"")*ISNUMBER(SEARCH(거래처별!$AD$8:$AD$307,$AB269))),거래처별!$A$8:$A$307),IFERROR(LOOKUP(2,1/((거래처별!$AE$8:$AE$307&lt;&gt;"")*ISNUMBER(SEARCH(거래처별!$AE$8:$AE$307,$AB269))),거래처별!$A$8:$A$307),0))))</f>
        <v/>
      </c>
      <c r="AD269" s="31">
        <f>IF(AND($Y269&lt;&gt;"",N($Z269)&gt;0,$AC269=0),MAX($AD$7:$AD268)+1,"")</f>
        <v/>
      </c>
      <c r="AE269" s="31">
        <f>IF($Y269="",0,$Y269)</f>
        <v/>
      </c>
    </row>
    <row r="270">
      <c r="W270" s="31">
        <f>IF(OR($B$5="",$C$6="",ROW()&lt;$B$5),"",IF(INDEX($A:$U,ROW(),$C$6)="","",INDEX($A:$U,ROW(),$C$6)))</f>
        <v/>
      </c>
      <c r="X270" s="32">
        <f>IF($W270="","",IF(ISNUMBER($W270),IF($W270&gt;=10000000,IFERROR(DATE(INT($W270/10000),MOD(INT($W270/100),100),MOD($W270,100)),""),INT($W270)),IFERROR(DATE(--LEFT(LEFT(SUBSTITUTE(SUBSTITUTE(SUBSTITUTE(SUBSTITUTE(TRIM($W270),"-",""),".",""),"/","")," ",""),8),4),--MID(LEFT(SUBSTITUTE(SUBSTITUTE(SUBSTITUTE(SUBSTITUTE(TRIM($W270),"-",""),".",""),"/","")," ",""),8),5,2),--MID(LEFT(SUBSTITUTE(SUBSTITUTE(SUBSTITUTE(SUBSTITUTE(TRIM($W270),"-",""),".",""),"/","")," ",""),8),7,2)),"")))</f>
        <v/>
      </c>
      <c r="Y270" s="32">
        <f>IF($X270="","",INT($X270))</f>
        <v/>
      </c>
      <c r="Z270" s="33">
        <f>IF(OR($Y270="",$D$6=""),"",IF(INDEX($A:$U,ROW(),$D$6)="",0,IF(ISNUMBER(INDEX($A:$U,ROW(),$D$6)),INDEX($A:$U,ROW(),$D$6),IFERROR(--SUBSTITUTE(SUBSTITUTE(TRIM(INDEX($A:$U,ROW(),$D$6)),",",""),"원",""),0))))</f>
        <v/>
      </c>
      <c r="AA270" s="31">
        <f>IF($Y270="","",TRIM(INDEX($A:$U,ROW(),$E$6)&amp;IF($F$6="",""," "&amp;INDEX($A:$U,ROW(),$F$6))))</f>
        <v/>
      </c>
      <c r="AB270" s="31">
        <f>IF($AA270="","",SUBSTITUTE(SUBSTITUTE(SUBSTITUTE(SUBSTITUTE(SUBSTITUTE(SUBSTITUTE(SUBSTITUTE(SUBSTITUTE(SUBSTITUTE($AA270," ",""),"　",""),"(주)",""),"（주）",""),"㈜",""),"주식회사",""),"(유)",""),"（유）",""),"유한회사",""))</f>
        <v/>
      </c>
      <c r="AC270" s="31">
        <f>IF(OR($Y270="",N($Z270)&lt;=0,$AB270=""),0,IFERROR(LOOKUP(2,1/((거래처별!$AC$8:$AC$307&lt;&gt;"")*ISNUMBER(SEARCH(거래처별!$AC$8:$AC$307,$AB270))),거래처별!$A$8:$A$307),IFERROR(LOOKUP(2,1/((거래처별!$AD$8:$AD$307&lt;&gt;"")*ISNUMBER(SEARCH(거래처별!$AD$8:$AD$307,$AB270))),거래처별!$A$8:$A$307),IFERROR(LOOKUP(2,1/((거래처별!$AE$8:$AE$307&lt;&gt;"")*ISNUMBER(SEARCH(거래처별!$AE$8:$AE$307,$AB270))),거래처별!$A$8:$A$307),0))))</f>
        <v/>
      </c>
      <c r="AD270" s="31">
        <f>IF(AND($Y270&lt;&gt;"",N($Z270)&gt;0,$AC270=0),MAX($AD$7:$AD269)+1,"")</f>
        <v/>
      </c>
      <c r="AE270" s="31">
        <f>IF($Y270="",0,$Y270)</f>
        <v/>
      </c>
    </row>
    <row r="271">
      <c r="W271" s="31">
        <f>IF(OR($B$5="",$C$6="",ROW()&lt;$B$5),"",IF(INDEX($A:$U,ROW(),$C$6)="","",INDEX($A:$U,ROW(),$C$6)))</f>
        <v/>
      </c>
      <c r="X271" s="32">
        <f>IF($W271="","",IF(ISNUMBER($W271),IF($W271&gt;=10000000,IFERROR(DATE(INT($W271/10000),MOD(INT($W271/100),100),MOD($W271,100)),""),INT($W271)),IFERROR(DATE(--LEFT(LEFT(SUBSTITUTE(SUBSTITUTE(SUBSTITUTE(SUBSTITUTE(TRIM($W271),"-",""),".",""),"/","")," ",""),8),4),--MID(LEFT(SUBSTITUTE(SUBSTITUTE(SUBSTITUTE(SUBSTITUTE(TRIM($W271),"-",""),".",""),"/","")," ",""),8),5,2),--MID(LEFT(SUBSTITUTE(SUBSTITUTE(SUBSTITUTE(SUBSTITUTE(TRIM($W271),"-",""),".",""),"/","")," ",""),8),7,2)),"")))</f>
        <v/>
      </c>
      <c r="Y271" s="32">
        <f>IF($X271="","",INT($X271))</f>
        <v/>
      </c>
      <c r="Z271" s="33">
        <f>IF(OR($Y271="",$D$6=""),"",IF(INDEX($A:$U,ROW(),$D$6)="",0,IF(ISNUMBER(INDEX($A:$U,ROW(),$D$6)),INDEX($A:$U,ROW(),$D$6),IFERROR(--SUBSTITUTE(SUBSTITUTE(TRIM(INDEX($A:$U,ROW(),$D$6)),",",""),"원",""),0))))</f>
        <v/>
      </c>
      <c r="AA271" s="31">
        <f>IF($Y271="","",TRIM(INDEX($A:$U,ROW(),$E$6)&amp;IF($F$6="",""," "&amp;INDEX($A:$U,ROW(),$F$6))))</f>
        <v/>
      </c>
      <c r="AB271" s="31">
        <f>IF($AA271="","",SUBSTITUTE(SUBSTITUTE(SUBSTITUTE(SUBSTITUTE(SUBSTITUTE(SUBSTITUTE(SUBSTITUTE(SUBSTITUTE(SUBSTITUTE($AA271," ",""),"　",""),"(주)",""),"（주）",""),"㈜",""),"주식회사",""),"(유)",""),"（유）",""),"유한회사",""))</f>
        <v/>
      </c>
      <c r="AC271" s="31">
        <f>IF(OR($Y271="",N($Z271)&lt;=0,$AB271=""),0,IFERROR(LOOKUP(2,1/((거래처별!$AC$8:$AC$307&lt;&gt;"")*ISNUMBER(SEARCH(거래처별!$AC$8:$AC$307,$AB271))),거래처별!$A$8:$A$307),IFERROR(LOOKUP(2,1/((거래처별!$AD$8:$AD$307&lt;&gt;"")*ISNUMBER(SEARCH(거래처별!$AD$8:$AD$307,$AB271))),거래처별!$A$8:$A$307),IFERROR(LOOKUP(2,1/((거래처별!$AE$8:$AE$307&lt;&gt;"")*ISNUMBER(SEARCH(거래처별!$AE$8:$AE$307,$AB271))),거래처별!$A$8:$A$307),0))))</f>
        <v/>
      </c>
      <c r="AD271" s="31">
        <f>IF(AND($Y271&lt;&gt;"",N($Z271)&gt;0,$AC271=0),MAX($AD$7:$AD270)+1,"")</f>
        <v/>
      </c>
      <c r="AE271" s="31">
        <f>IF($Y271="",0,$Y271)</f>
        <v/>
      </c>
    </row>
    <row r="272">
      <c r="W272" s="31">
        <f>IF(OR($B$5="",$C$6="",ROW()&lt;$B$5),"",IF(INDEX($A:$U,ROW(),$C$6)="","",INDEX($A:$U,ROW(),$C$6)))</f>
        <v/>
      </c>
      <c r="X272" s="32">
        <f>IF($W272="","",IF(ISNUMBER($W272),IF($W272&gt;=10000000,IFERROR(DATE(INT($W272/10000),MOD(INT($W272/100),100),MOD($W272,100)),""),INT($W272)),IFERROR(DATE(--LEFT(LEFT(SUBSTITUTE(SUBSTITUTE(SUBSTITUTE(SUBSTITUTE(TRIM($W272),"-",""),".",""),"/","")," ",""),8),4),--MID(LEFT(SUBSTITUTE(SUBSTITUTE(SUBSTITUTE(SUBSTITUTE(TRIM($W272),"-",""),".",""),"/","")," ",""),8),5,2),--MID(LEFT(SUBSTITUTE(SUBSTITUTE(SUBSTITUTE(SUBSTITUTE(TRIM($W272),"-",""),".",""),"/","")," ",""),8),7,2)),"")))</f>
        <v/>
      </c>
      <c r="Y272" s="32">
        <f>IF($X272="","",INT($X272))</f>
        <v/>
      </c>
      <c r="Z272" s="33">
        <f>IF(OR($Y272="",$D$6=""),"",IF(INDEX($A:$U,ROW(),$D$6)="",0,IF(ISNUMBER(INDEX($A:$U,ROW(),$D$6)),INDEX($A:$U,ROW(),$D$6),IFERROR(--SUBSTITUTE(SUBSTITUTE(TRIM(INDEX($A:$U,ROW(),$D$6)),",",""),"원",""),0))))</f>
        <v/>
      </c>
      <c r="AA272" s="31">
        <f>IF($Y272="","",TRIM(INDEX($A:$U,ROW(),$E$6)&amp;IF($F$6="",""," "&amp;INDEX($A:$U,ROW(),$F$6))))</f>
        <v/>
      </c>
      <c r="AB272" s="31">
        <f>IF($AA272="","",SUBSTITUTE(SUBSTITUTE(SUBSTITUTE(SUBSTITUTE(SUBSTITUTE(SUBSTITUTE(SUBSTITUTE(SUBSTITUTE(SUBSTITUTE($AA272," ",""),"　",""),"(주)",""),"（주）",""),"㈜",""),"주식회사",""),"(유)",""),"（유）",""),"유한회사",""))</f>
        <v/>
      </c>
      <c r="AC272" s="31">
        <f>IF(OR($Y272="",N($Z272)&lt;=0,$AB272=""),0,IFERROR(LOOKUP(2,1/((거래처별!$AC$8:$AC$307&lt;&gt;"")*ISNUMBER(SEARCH(거래처별!$AC$8:$AC$307,$AB272))),거래처별!$A$8:$A$307),IFERROR(LOOKUP(2,1/((거래처별!$AD$8:$AD$307&lt;&gt;"")*ISNUMBER(SEARCH(거래처별!$AD$8:$AD$307,$AB272))),거래처별!$A$8:$A$307),IFERROR(LOOKUP(2,1/((거래처별!$AE$8:$AE$307&lt;&gt;"")*ISNUMBER(SEARCH(거래처별!$AE$8:$AE$307,$AB272))),거래처별!$A$8:$A$307),0))))</f>
        <v/>
      </c>
      <c r="AD272" s="31">
        <f>IF(AND($Y272&lt;&gt;"",N($Z272)&gt;0,$AC272=0),MAX($AD$7:$AD271)+1,"")</f>
        <v/>
      </c>
      <c r="AE272" s="31">
        <f>IF($Y272="",0,$Y272)</f>
        <v/>
      </c>
    </row>
    <row r="273">
      <c r="W273" s="31">
        <f>IF(OR($B$5="",$C$6="",ROW()&lt;$B$5),"",IF(INDEX($A:$U,ROW(),$C$6)="","",INDEX($A:$U,ROW(),$C$6)))</f>
        <v/>
      </c>
      <c r="X273" s="32">
        <f>IF($W273="","",IF(ISNUMBER($W273),IF($W273&gt;=10000000,IFERROR(DATE(INT($W273/10000),MOD(INT($W273/100),100),MOD($W273,100)),""),INT($W273)),IFERROR(DATE(--LEFT(LEFT(SUBSTITUTE(SUBSTITUTE(SUBSTITUTE(SUBSTITUTE(TRIM($W273),"-",""),".",""),"/","")," ",""),8),4),--MID(LEFT(SUBSTITUTE(SUBSTITUTE(SUBSTITUTE(SUBSTITUTE(TRIM($W273),"-",""),".",""),"/","")," ",""),8),5,2),--MID(LEFT(SUBSTITUTE(SUBSTITUTE(SUBSTITUTE(SUBSTITUTE(TRIM($W273),"-",""),".",""),"/","")," ",""),8),7,2)),"")))</f>
        <v/>
      </c>
      <c r="Y273" s="32">
        <f>IF($X273="","",INT($X273))</f>
        <v/>
      </c>
      <c r="Z273" s="33">
        <f>IF(OR($Y273="",$D$6=""),"",IF(INDEX($A:$U,ROW(),$D$6)="",0,IF(ISNUMBER(INDEX($A:$U,ROW(),$D$6)),INDEX($A:$U,ROW(),$D$6),IFERROR(--SUBSTITUTE(SUBSTITUTE(TRIM(INDEX($A:$U,ROW(),$D$6)),",",""),"원",""),0))))</f>
        <v/>
      </c>
      <c r="AA273" s="31">
        <f>IF($Y273="","",TRIM(INDEX($A:$U,ROW(),$E$6)&amp;IF($F$6="",""," "&amp;INDEX($A:$U,ROW(),$F$6))))</f>
        <v/>
      </c>
      <c r="AB273" s="31">
        <f>IF($AA273="","",SUBSTITUTE(SUBSTITUTE(SUBSTITUTE(SUBSTITUTE(SUBSTITUTE(SUBSTITUTE(SUBSTITUTE(SUBSTITUTE(SUBSTITUTE($AA273," ",""),"　",""),"(주)",""),"（주）",""),"㈜",""),"주식회사",""),"(유)",""),"（유）",""),"유한회사",""))</f>
        <v/>
      </c>
      <c r="AC273" s="31">
        <f>IF(OR($Y273="",N($Z273)&lt;=0,$AB273=""),0,IFERROR(LOOKUP(2,1/((거래처별!$AC$8:$AC$307&lt;&gt;"")*ISNUMBER(SEARCH(거래처별!$AC$8:$AC$307,$AB273))),거래처별!$A$8:$A$307),IFERROR(LOOKUP(2,1/((거래처별!$AD$8:$AD$307&lt;&gt;"")*ISNUMBER(SEARCH(거래처별!$AD$8:$AD$307,$AB273))),거래처별!$A$8:$A$307),IFERROR(LOOKUP(2,1/((거래처별!$AE$8:$AE$307&lt;&gt;"")*ISNUMBER(SEARCH(거래처별!$AE$8:$AE$307,$AB273))),거래처별!$A$8:$A$307),0))))</f>
        <v/>
      </c>
      <c r="AD273" s="31">
        <f>IF(AND($Y273&lt;&gt;"",N($Z273)&gt;0,$AC273=0),MAX($AD$7:$AD272)+1,"")</f>
        <v/>
      </c>
      <c r="AE273" s="31">
        <f>IF($Y273="",0,$Y273)</f>
        <v/>
      </c>
    </row>
    <row r="274">
      <c r="W274" s="31">
        <f>IF(OR($B$5="",$C$6="",ROW()&lt;$B$5),"",IF(INDEX($A:$U,ROW(),$C$6)="","",INDEX($A:$U,ROW(),$C$6)))</f>
        <v/>
      </c>
      <c r="X274" s="32">
        <f>IF($W274="","",IF(ISNUMBER($W274),IF($W274&gt;=10000000,IFERROR(DATE(INT($W274/10000),MOD(INT($W274/100),100),MOD($W274,100)),""),INT($W274)),IFERROR(DATE(--LEFT(LEFT(SUBSTITUTE(SUBSTITUTE(SUBSTITUTE(SUBSTITUTE(TRIM($W274),"-",""),".",""),"/","")," ",""),8),4),--MID(LEFT(SUBSTITUTE(SUBSTITUTE(SUBSTITUTE(SUBSTITUTE(TRIM($W274),"-",""),".",""),"/","")," ",""),8),5,2),--MID(LEFT(SUBSTITUTE(SUBSTITUTE(SUBSTITUTE(SUBSTITUTE(TRIM($W274),"-",""),".",""),"/","")," ",""),8),7,2)),"")))</f>
        <v/>
      </c>
      <c r="Y274" s="32">
        <f>IF($X274="","",INT($X274))</f>
        <v/>
      </c>
      <c r="Z274" s="33">
        <f>IF(OR($Y274="",$D$6=""),"",IF(INDEX($A:$U,ROW(),$D$6)="",0,IF(ISNUMBER(INDEX($A:$U,ROW(),$D$6)),INDEX($A:$U,ROW(),$D$6),IFERROR(--SUBSTITUTE(SUBSTITUTE(TRIM(INDEX($A:$U,ROW(),$D$6)),",",""),"원",""),0))))</f>
        <v/>
      </c>
      <c r="AA274" s="31">
        <f>IF($Y274="","",TRIM(INDEX($A:$U,ROW(),$E$6)&amp;IF($F$6="",""," "&amp;INDEX($A:$U,ROW(),$F$6))))</f>
        <v/>
      </c>
      <c r="AB274" s="31">
        <f>IF($AA274="","",SUBSTITUTE(SUBSTITUTE(SUBSTITUTE(SUBSTITUTE(SUBSTITUTE(SUBSTITUTE(SUBSTITUTE(SUBSTITUTE(SUBSTITUTE($AA274," ",""),"　",""),"(주)",""),"（주）",""),"㈜",""),"주식회사",""),"(유)",""),"（유）",""),"유한회사",""))</f>
        <v/>
      </c>
      <c r="AC274" s="31">
        <f>IF(OR($Y274="",N($Z274)&lt;=0,$AB274=""),0,IFERROR(LOOKUP(2,1/((거래처별!$AC$8:$AC$307&lt;&gt;"")*ISNUMBER(SEARCH(거래처별!$AC$8:$AC$307,$AB274))),거래처별!$A$8:$A$307),IFERROR(LOOKUP(2,1/((거래처별!$AD$8:$AD$307&lt;&gt;"")*ISNUMBER(SEARCH(거래처별!$AD$8:$AD$307,$AB274))),거래처별!$A$8:$A$307),IFERROR(LOOKUP(2,1/((거래처별!$AE$8:$AE$307&lt;&gt;"")*ISNUMBER(SEARCH(거래처별!$AE$8:$AE$307,$AB274))),거래처별!$A$8:$A$307),0))))</f>
        <v/>
      </c>
      <c r="AD274" s="31">
        <f>IF(AND($Y274&lt;&gt;"",N($Z274)&gt;0,$AC274=0),MAX($AD$7:$AD273)+1,"")</f>
        <v/>
      </c>
      <c r="AE274" s="31">
        <f>IF($Y274="",0,$Y274)</f>
        <v/>
      </c>
    </row>
    <row r="275">
      <c r="W275" s="31">
        <f>IF(OR($B$5="",$C$6="",ROW()&lt;$B$5),"",IF(INDEX($A:$U,ROW(),$C$6)="","",INDEX($A:$U,ROW(),$C$6)))</f>
        <v/>
      </c>
      <c r="X275" s="32">
        <f>IF($W275="","",IF(ISNUMBER($W275),IF($W275&gt;=10000000,IFERROR(DATE(INT($W275/10000),MOD(INT($W275/100),100),MOD($W275,100)),""),INT($W275)),IFERROR(DATE(--LEFT(LEFT(SUBSTITUTE(SUBSTITUTE(SUBSTITUTE(SUBSTITUTE(TRIM($W275),"-",""),".",""),"/","")," ",""),8),4),--MID(LEFT(SUBSTITUTE(SUBSTITUTE(SUBSTITUTE(SUBSTITUTE(TRIM($W275),"-",""),".",""),"/","")," ",""),8),5,2),--MID(LEFT(SUBSTITUTE(SUBSTITUTE(SUBSTITUTE(SUBSTITUTE(TRIM($W275),"-",""),".",""),"/","")," ",""),8),7,2)),"")))</f>
        <v/>
      </c>
      <c r="Y275" s="32">
        <f>IF($X275="","",INT($X275))</f>
        <v/>
      </c>
      <c r="Z275" s="33">
        <f>IF(OR($Y275="",$D$6=""),"",IF(INDEX($A:$U,ROW(),$D$6)="",0,IF(ISNUMBER(INDEX($A:$U,ROW(),$D$6)),INDEX($A:$U,ROW(),$D$6),IFERROR(--SUBSTITUTE(SUBSTITUTE(TRIM(INDEX($A:$U,ROW(),$D$6)),",",""),"원",""),0))))</f>
        <v/>
      </c>
      <c r="AA275" s="31">
        <f>IF($Y275="","",TRIM(INDEX($A:$U,ROW(),$E$6)&amp;IF($F$6="",""," "&amp;INDEX($A:$U,ROW(),$F$6))))</f>
        <v/>
      </c>
      <c r="AB275" s="31">
        <f>IF($AA275="","",SUBSTITUTE(SUBSTITUTE(SUBSTITUTE(SUBSTITUTE(SUBSTITUTE(SUBSTITUTE(SUBSTITUTE(SUBSTITUTE(SUBSTITUTE($AA275," ",""),"　",""),"(주)",""),"（주）",""),"㈜",""),"주식회사",""),"(유)",""),"（유）",""),"유한회사",""))</f>
        <v/>
      </c>
      <c r="AC275" s="31">
        <f>IF(OR($Y275="",N($Z275)&lt;=0,$AB275=""),0,IFERROR(LOOKUP(2,1/((거래처별!$AC$8:$AC$307&lt;&gt;"")*ISNUMBER(SEARCH(거래처별!$AC$8:$AC$307,$AB275))),거래처별!$A$8:$A$307),IFERROR(LOOKUP(2,1/((거래처별!$AD$8:$AD$307&lt;&gt;"")*ISNUMBER(SEARCH(거래처별!$AD$8:$AD$307,$AB275))),거래처별!$A$8:$A$307),IFERROR(LOOKUP(2,1/((거래처별!$AE$8:$AE$307&lt;&gt;"")*ISNUMBER(SEARCH(거래처별!$AE$8:$AE$307,$AB275))),거래처별!$A$8:$A$307),0))))</f>
        <v/>
      </c>
      <c r="AD275" s="31">
        <f>IF(AND($Y275&lt;&gt;"",N($Z275)&gt;0,$AC275=0),MAX($AD$7:$AD274)+1,"")</f>
        <v/>
      </c>
      <c r="AE275" s="31">
        <f>IF($Y275="",0,$Y275)</f>
        <v/>
      </c>
    </row>
    <row r="276">
      <c r="W276" s="31">
        <f>IF(OR($B$5="",$C$6="",ROW()&lt;$B$5),"",IF(INDEX($A:$U,ROW(),$C$6)="","",INDEX($A:$U,ROW(),$C$6)))</f>
        <v/>
      </c>
      <c r="X276" s="32">
        <f>IF($W276="","",IF(ISNUMBER($W276),IF($W276&gt;=10000000,IFERROR(DATE(INT($W276/10000),MOD(INT($W276/100),100),MOD($W276,100)),""),INT($W276)),IFERROR(DATE(--LEFT(LEFT(SUBSTITUTE(SUBSTITUTE(SUBSTITUTE(SUBSTITUTE(TRIM($W276),"-",""),".",""),"/","")," ",""),8),4),--MID(LEFT(SUBSTITUTE(SUBSTITUTE(SUBSTITUTE(SUBSTITUTE(TRIM($W276),"-",""),".",""),"/","")," ",""),8),5,2),--MID(LEFT(SUBSTITUTE(SUBSTITUTE(SUBSTITUTE(SUBSTITUTE(TRIM($W276),"-",""),".",""),"/","")," ",""),8),7,2)),"")))</f>
        <v/>
      </c>
      <c r="Y276" s="32">
        <f>IF($X276="","",INT($X276))</f>
        <v/>
      </c>
      <c r="Z276" s="33">
        <f>IF(OR($Y276="",$D$6=""),"",IF(INDEX($A:$U,ROW(),$D$6)="",0,IF(ISNUMBER(INDEX($A:$U,ROW(),$D$6)),INDEX($A:$U,ROW(),$D$6),IFERROR(--SUBSTITUTE(SUBSTITUTE(TRIM(INDEX($A:$U,ROW(),$D$6)),",",""),"원",""),0))))</f>
        <v/>
      </c>
      <c r="AA276" s="31">
        <f>IF($Y276="","",TRIM(INDEX($A:$U,ROW(),$E$6)&amp;IF($F$6="",""," "&amp;INDEX($A:$U,ROW(),$F$6))))</f>
        <v/>
      </c>
      <c r="AB276" s="31">
        <f>IF($AA276="","",SUBSTITUTE(SUBSTITUTE(SUBSTITUTE(SUBSTITUTE(SUBSTITUTE(SUBSTITUTE(SUBSTITUTE(SUBSTITUTE(SUBSTITUTE($AA276," ",""),"　",""),"(주)",""),"（주）",""),"㈜",""),"주식회사",""),"(유)",""),"（유）",""),"유한회사",""))</f>
        <v/>
      </c>
      <c r="AC276" s="31">
        <f>IF(OR($Y276="",N($Z276)&lt;=0,$AB276=""),0,IFERROR(LOOKUP(2,1/((거래처별!$AC$8:$AC$307&lt;&gt;"")*ISNUMBER(SEARCH(거래처별!$AC$8:$AC$307,$AB276))),거래처별!$A$8:$A$307),IFERROR(LOOKUP(2,1/((거래처별!$AD$8:$AD$307&lt;&gt;"")*ISNUMBER(SEARCH(거래처별!$AD$8:$AD$307,$AB276))),거래처별!$A$8:$A$307),IFERROR(LOOKUP(2,1/((거래처별!$AE$8:$AE$307&lt;&gt;"")*ISNUMBER(SEARCH(거래처별!$AE$8:$AE$307,$AB276))),거래처별!$A$8:$A$307),0))))</f>
        <v/>
      </c>
      <c r="AD276" s="31">
        <f>IF(AND($Y276&lt;&gt;"",N($Z276)&gt;0,$AC276=0),MAX($AD$7:$AD275)+1,"")</f>
        <v/>
      </c>
      <c r="AE276" s="31">
        <f>IF($Y276="",0,$Y276)</f>
        <v/>
      </c>
    </row>
    <row r="277">
      <c r="W277" s="31">
        <f>IF(OR($B$5="",$C$6="",ROW()&lt;$B$5),"",IF(INDEX($A:$U,ROW(),$C$6)="","",INDEX($A:$U,ROW(),$C$6)))</f>
        <v/>
      </c>
      <c r="X277" s="32">
        <f>IF($W277="","",IF(ISNUMBER($W277),IF($W277&gt;=10000000,IFERROR(DATE(INT($W277/10000),MOD(INT($W277/100),100),MOD($W277,100)),""),INT($W277)),IFERROR(DATE(--LEFT(LEFT(SUBSTITUTE(SUBSTITUTE(SUBSTITUTE(SUBSTITUTE(TRIM($W277),"-",""),".",""),"/","")," ",""),8),4),--MID(LEFT(SUBSTITUTE(SUBSTITUTE(SUBSTITUTE(SUBSTITUTE(TRIM($W277),"-",""),".",""),"/","")," ",""),8),5,2),--MID(LEFT(SUBSTITUTE(SUBSTITUTE(SUBSTITUTE(SUBSTITUTE(TRIM($W277),"-",""),".",""),"/","")," ",""),8),7,2)),"")))</f>
        <v/>
      </c>
      <c r="Y277" s="32">
        <f>IF($X277="","",INT($X277))</f>
        <v/>
      </c>
      <c r="Z277" s="33">
        <f>IF(OR($Y277="",$D$6=""),"",IF(INDEX($A:$U,ROW(),$D$6)="",0,IF(ISNUMBER(INDEX($A:$U,ROW(),$D$6)),INDEX($A:$U,ROW(),$D$6),IFERROR(--SUBSTITUTE(SUBSTITUTE(TRIM(INDEX($A:$U,ROW(),$D$6)),",",""),"원",""),0))))</f>
        <v/>
      </c>
      <c r="AA277" s="31">
        <f>IF($Y277="","",TRIM(INDEX($A:$U,ROW(),$E$6)&amp;IF($F$6="",""," "&amp;INDEX($A:$U,ROW(),$F$6))))</f>
        <v/>
      </c>
      <c r="AB277" s="31">
        <f>IF($AA277="","",SUBSTITUTE(SUBSTITUTE(SUBSTITUTE(SUBSTITUTE(SUBSTITUTE(SUBSTITUTE(SUBSTITUTE(SUBSTITUTE(SUBSTITUTE($AA277," ",""),"　",""),"(주)",""),"（주）",""),"㈜",""),"주식회사",""),"(유)",""),"（유）",""),"유한회사",""))</f>
        <v/>
      </c>
      <c r="AC277" s="31">
        <f>IF(OR($Y277="",N($Z277)&lt;=0,$AB277=""),0,IFERROR(LOOKUP(2,1/((거래처별!$AC$8:$AC$307&lt;&gt;"")*ISNUMBER(SEARCH(거래처별!$AC$8:$AC$307,$AB277))),거래처별!$A$8:$A$307),IFERROR(LOOKUP(2,1/((거래처별!$AD$8:$AD$307&lt;&gt;"")*ISNUMBER(SEARCH(거래처별!$AD$8:$AD$307,$AB277))),거래처별!$A$8:$A$307),IFERROR(LOOKUP(2,1/((거래처별!$AE$8:$AE$307&lt;&gt;"")*ISNUMBER(SEARCH(거래처별!$AE$8:$AE$307,$AB277))),거래처별!$A$8:$A$307),0))))</f>
        <v/>
      </c>
      <c r="AD277" s="31">
        <f>IF(AND($Y277&lt;&gt;"",N($Z277)&gt;0,$AC277=0),MAX($AD$7:$AD276)+1,"")</f>
        <v/>
      </c>
      <c r="AE277" s="31">
        <f>IF($Y277="",0,$Y277)</f>
        <v/>
      </c>
    </row>
    <row r="278">
      <c r="W278" s="31">
        <f>IF(OR($B$5="",$C$6="",ROW()&lt;$B$5),"",IF(INDEX($A:$U,ROW(),$C$6)="","",INDEX($A:$U,ROW(),$C$6)))</f>
        <v/>
      </c>
      <c r="X278" s="32">
        <f>IF($W278="","",IF(ISNUMBER($W278),IF($W278&gt;=10000000,IFERROR(DATE(INT($W278/10000),MOD(INT($W278/100),100),MOD($W278,100)),""),INT($W278)),IFERROR(DATE(--LEFT(LEFT(SUBSTITUTE(SUBSTITUTE(SUBSTITUTE(SUBSTITUTE(TRIM($W278),"-",""),".",""),"/","")," ",""),8),4),--MID(LEFT(SUBSTITUTE(SUBSTITUTE(SUBSTITUTE(SUBSTITUTE(TRIM($W278),"-",""),".",""),"/","")," ",""),8),5,2),--MID(LEFT(SUBSTITUTE(SUBSTITUTE(SUBSTITUTE(SUBSTITUTE(TRIM($W278),"-",""),".",""),"/","")," ",""),8),7,2)),"")))</f>
        <v/>
      </c>
      <c r="Y278" s="32">
        <f>IF($X278="","",INT($X278))</f>
        <v/>
      </c>
      <c r="Z278" s="33">
        <f>IF(OR($Y278="",$D$6=""),"",IF(INDEX($A:$U,ROW(),$D$6)="",0,IF(ISNUMBER(INDEX($A:$U,ROW(),$D$6)),INDEX($A:$U,ROW(),$D$6),IFERROR(--SUBSTITUTE(SUBSTITUTE(TRIM(INDEX($A:$U,ROW(),$D$6)),",",""),"원",""),0))))</f>
        <v/>
      </c>
      <c r="AA278" s="31">
        <f>IF($Y278="","",TRIM(INDEX($A:$U,ROW(),$E$6)&amp;IF($F$6="",""," "&amp;INDEX($A:$U,ROW(),$F$6))))</f>
        <v/>
      </c>
      <c r="AB278" s="31">
        <f>IF($AA278="","",SUBSTITUTE(SUBSTITUTE(SUBSTITUTE(SUBSTITUTE(SUBSTITUTE(SUBSTITUTE(SUBSTITUTE(SUBSTITUTE(SUBSTITUTE($AA278," ",""),"　",""),"(주)",""),"（주）",""),"㈜",""),"주식회사",""),"(유)",""),"（유）",""),"유한회사",""))</f>
        <v/>
      </c>
      <c r="AC278" s="31">
        <f>IF(OR($Y278="",N($Z278)&lt;=0,$AB278=""),0,IFERROR(LOOKUP(2,1/((거래처별!$AC$8:$AC$307&lt;&gt;"")*ISNUMBER(SEARCH(거래처별!$AC$8:$AC$307,$AB278))),거래처별!$A$8:$A$307),IFERROR(LOOKUP(2,1/((거래처별!$AD$8:$AD$307&lt;&gt;"")*ISNUMBER(SEARCH(거래처별!$AD$8:$AD$307,$AB278))),거래처별!$A$8:$A$307),IFERROR(LOOKUP(2,1/((거래처별!$AE$8:$AE$307&lt;&gt;"")*ISNUMBER(SEARCH(거래처별!$AE$8:$AE$307,$AB278))),거래처별!$A$8:$A$307),0))))</f>
        <v/>
      </c>
      <c r="AD278" s="31">
        <f>IF(AND($Y278&lt;&gt;"",N($Z278)&gt;0,$AC278=0),MAX($AD$7:$AD277)+1,"")</f>
        <v/>
      </c>
      <c r="AE278" s="31">
        <f>IF($Y278="",0,$Y278)</f>
        <v/>
      </c>
    </row>
    <row r="279">
      <c r="W279" s="31">
        <f>IF(OR($B$5="",$C$6="",ROW()&lt;$B$5),"",IF(INDEX($A:$U,ROW(),$C$6)="","",INDEX($A:$U,ROW(),$C$6)))</f>
        <v/>
      </c>
      <c r="X279" s="32">
        <f>IF($W279="","",IF(ISNUMBER($W279),IF($W279&gt;=10000000,IFERROR(DATE(INT($W279/10000),MOD(INT($W279/100),100),MOD($W279,100)),""),INT($W279)),IFERROR(DATE(--LEFT(LEFT(SUBSTITUTE(SUBSTITUTE(SUBSTITUTE(SUBSTITUTE(TRIM($W279),"-",""),".",""),"/","")," ",""),8),4),--MID(LEFT(SUBSTITUTE(SUBSTITUTE(SUBSTITUTE(SUBSTITUTE(TRIM($W279),"-",""),".",""),"/","")," ",""),8),5,2),--MID(LEFT(SUBSTITUTE(SUBSTITUTE(SUBSTITUTE(SUBSTITUTE(TRIM($W279),"-",""),".",""),"/","")," ",""),8),7,2)),"")))</f>
        <v/>
      </c>
      <c r="Y279" s="32">
        <f>IF($X279="","",INT($X279))</f>
        <v/>
      </c>
      <c r="Z279" s="33">
        <f>IF(OR($Y279="",$D$6=""),"",IF(INDEX($A:$U,ROW(),$D$6)="",0,IF(ISNUMBER(INDEX($A:$U,ROW(),$D$6)),INDEX($A:$U,ROW(),$D$6),IFERROR(--SUBSTITUTE(SUBSTITUTE(TRIM(INDEX($A:$U,ROW(),$D$6)),",",""),"원",""),0))))</f>
        <v/>
      </c>
      <c r="AA279" s="31">
        <f>IF($Y279="","",TRIM(INDEX($A:$U,ROW(),$E$6)&amp;IF($F$6="",""," "&amp;INDEX($A:$U,ROW(),$F$6))))</f>
        <v/>
      </c>
      <c r="AB279" s="31">
        <f>IF($AA279="","",SUBSTITUTE(SUBSTITUTE(SUBSTITUTE(SUBSTITUTE(SUBSTITUTE(SUBSTITUTE(SUBSTITUTE(SUBSTITUTE(SUBSTITUTE($AA279," ",""),"　",""),"(주)",""),"（주）",""),"㈜",""),"주식회사",""),"(유)",""),"（유）",""),"유한회사",""))</f>
        <v/>
      </c>
      <c r="AC279" s="31">
        <f>IF(OR($Y279="",N($Z279)&lt;=0,$AB279=""),0,IFERROR(LOOKUP(2,1/((거래처별!$AC$8:$AC$307&lt;&gt;"")*ISNUMBER(SEARCH(거래처별!$AC$8:$AC$307,$AB279))),거래처별!$A$8:$A$307),IFERROR(LOOKUP(2,1/((거래처별!$AD$8:$AD$307&lt;&gt;"")*ISNUMBER(SEARCH(거래처별!$AD$8:$AD$307,$AB279))),거래처별!$A$8:$A$307),IFERROR(LOOKUP(2,1/((거래처별!$AE$8:$AE$307&lt;&gt;"")*ISNUMBER(SEARCH(거래처별!$AE$8:$AE$307,$AB279))),거래처별!$A$8:$A$307),0))))</f>
        <v/>
      </c>
      <c r="AD279" s="31">
        <f>IF(AND($Y279&lt;&gt;"",N($Z279)&gt;0,$AC279=0),MAX($AD$7:$AD278)+1,"")</f>
        <v/>
      </c>
      <c r="AE279" s="31">
        <f>IF($Y279="",0,$Y279)</f>
        <v/>
      </c>
    </row>
    <row r="280">
      <c r="W280" s="31">
        <f>IF(OR($B$5="",$C$6="",ROW()&lt;$B$5),"",IF(INDEX($A:$U,ROW(),$C$6)="","",INDEX($A:$U,ROW(),$C$6)))</f>
        <v/>
      </c>
      <c r="X280" s="32">
        <f>IF($W280="","",IF(ISNUMBER($W280),IF($W280&gt;=10000000,IFERROR(DATE(INT($W280/10000),MOD(INT($W280/100),100),MOD($W280,100)),""),INT($W280)),IFERROR(DATE(--LEFT(LEFT(SUBSTITUTE(SUBSTITUTE(SUBSTITUTE(SUBSTITUTE(TRIM($W280),"-",""),".",""),"/","")," ",""),8),4),--MID(LEFT(SUBSTITUTE(SUBSTITUTE(SUBSTITUTE(SUBSTITUTE(TRIM($W280),"-",""),".",""),"/","")," ",""),8),5,2),--MID(LEFT(SUBSTITUTE(SUBSTITUTE(SUBSTITUTE(SUBSTITUTE(TRIM($W280),"-",""),".",""),"/","")," ",""),8),7,2)),"")))</f>
        <v/>
      </c>
      <c r="Y280" s="32">
        <f>IF($X280="","",INT($X280))</f>
        <v/>
      </c>
      <c r="Z280" s="33">
        <f>IF(OR($Y280="",$D$6=""),"",IF(INDEX($A:$U,ROW(),$D$6)="",0,IF(ISNUMBER(INDEX($A:$U,ROW(),$D$6)),INDEX($A:$U,ROW(),$D$6),IFERROR(--SUBSTITUTE(SUBSTITUTE(TRIM(INDEX($A:$U,ROW(),$D$6)),",",""),"원",""),0))))</f>
        <v/>
      </c>
      <c r="AA280" s="31">
        <f>IF($Y280="","",TRIM(INDEX($A:$U,ROW(),$E$6)&amp;IF($F$6="",""," "&amp;INDEX($A:$U,ROW(),$F$6))))</f>
        <v/>
      </c>
      <c r="AB280" s="31">
        <f>IF($AA280="","",SUBSTITUTE(SUBSTITUTE(SUBSTITUTE(SUBSTITUTE(SUBSTITUTE(SUBSTITUTE(SUBSTITUTE(SUBSTITUTE(SUBSTITUTE($AA280," ",""),"　",""),"(주)",""),"（주）",""),"㈜",""),"주식회사",""),"(유)",""),"（유）",""),"유한회사",""))</f>
        <v/>
      </c>
      <c r="AC280" s="31">
        <f>IF(OR($Y280="",N($Z280)&lt;=0,$AB280=""),0,IFERROR(LOOKUP(2,1/((거래처별!$AC$8:$AC$307&lt;&gt;"")*ISNUMBER(SEARCH(거래처별!$AC$8:$AC$307,$AB280))),거래처별!$A$8:$A$307),IFERROR(LOOKUP(2,1/((거래처별!$AD$8:$AD$307&lt;&gt;"")*ISNUMBER(SEARCH(거래처별!$AD$8:$AD$307,$AB280))),거래처별!$A$8:$A$307),IFERROR(LOOKUP(2,1/((거래처별!$AE$8:$AE$307&lt;&gt;"")*ISNUMBER(SEARCH(거래처별!$AE$8:$AE$307,$AB280))),거래처별!$A$8:$A$307),0))))</f>
        <v/>
      </c>
      <c r="AD280" s="31">
        <f>IF(AND($Y280&lt;&gt;"",N($Z280)&gt;0,$AC280=0),MAX($AD$7:$AD279)+1,"")</f>
        <v/>
      </c>
      <c r="AE280" s="31">
        <f>IF($Y280="",0,$Y280)</f>
        <v/>
      </c>
    </row>
    <row r="281">
      <c r="W281" s="31">
        <f>IF(OR($B$5="",$C$6="",ROW()&lt;$B$5),"",IF(INDEX($A:$U,ROW(),$C$6)="","",INDEX($A:$U,ROW(),$C$6)))</f>
        <v/>
      </c>
      <c r="X281" s="32">
        <f>IF($W281="","",IF(ISNUMBER($W281),IF($W281&gt;=10000000,IFERROR(DATE(INT($W281/10000),MOD(INT($W281/100),100),MOD($W281,100)),""),INT($W281)),IFERROR(DATE(--LEFT(LEFT(SUBSTITUTE(SUBSTITUTE(SUBSTITUTE(SUBSTITUTE(TRIM($W281),"-",""),".",""),"/","")," ",""),8),4),--MID(LEFT(SUBSTITUTE(SUBSTITUTE(SUBSTITUTE(SUBSTITUTE(TRIM($W281),"-",""),".",""),"/","")," ",""),8),5,2),--MID(LEFT(SUBSTITUTE(SUBSTITUTE(SUBSTITUTE(SUBSTITUTE(TRIM($W281),"-",""),".",""),"/","")," ",""),8),7,2)),"")))</f>
        <v/>
      </c>
      <c r="Y281" s="32">
        <f>IF($X281="","",INT($X281))</f>
        <v/>
      </c>
      <c r="Z281" s="33">
        <f>IF(OR($Y281="",$D$6=""),"",IF(INDEX($A:$U,ROW(),$D$6)="",0,IF(ISNUMBER(INDEX($A:$U,ROW(),$D$6)),INDEX($A:$U,ROW(),$D$6),IFERROR(--SUBSTITUTE(SUBSTITUTE(TRIM(INDEX($A:$U,ROW(),$D$6)),",",""),"원",""),0))))</f>
        <v/>
      </c>
      <c r="AA281" s="31">
        <f>IF($Y281="","",TRIM(INDEX($A:$U,ROW(),$E$6)&amp;IF($F$6="",""," "&amp;INDEX($A:$U,ROW(),$F$6))))</f>
        <v/>
      </c>
      <c r="AB281" s="31">
        <f>IF($AA281="","",SUBSTITUTE(SUBSTITUTE(SUBSTITUTE(SUBSTITUTE(SUBSTITUTE(SUBSTITUTE(SUBSTITUTE(SUBSTITUTE(SUBSTITUTE($AA281," ",""),"　",""),"(주)",""),"（주）",""),"㈜",""),"주식회사",""),"(유)",""),"（유）",""),"유한회사",""))</f>
        <v/>
      </c>
      <c r="AC281" s="31">
        <f>IF(OR($Y281="",N($Z281)&lt;=0,$AB281=""),0,IFERROR(LOOKUP(2,1/((거래처별!$AC$8:$AC$307&lt;&gt;"")*ISNUMBER(SEARCH(거래처별!$AC$8:$AC$307,$AB281))),거래처별!$A$8:$A$307),IFERROR(LOOKUP(2,1/((거래처별!$AD$8:$AD$307&lt;&gt;"")*ISNUMBER(SEARCH(거래처별!$AD$8:$AD$307,$AB281))),거래처별!$A$8:$A$307),IFERROR(LOOKUP(2,1/((거래처별!$AE$8:$AE$307&lt;&gt;"")*ISNUMBER(SEARCH(거래처별!$AE$8:$AE$307,$AB281))),거래처별!$A$8:$A$307),0))))</f>
        <v/>
      </c>
      <c r="AD281" s="31">
        <f>IF(AND($Y281&lt;&gt;"",N($Z281)&gt;0,$AC281=0),MAX($AD$7:$AD280)+1,"")</f>
        <v/>
      </c>
      <c r="AE281" s="31">
        <f>IF($Y281="",0,$Y281)</f>
        <v/>
      </c>
    </row>
    <row r="282">
      <c r="W282" s="31">
        <f>IF(OR($B$5="",$C$6="",ROW()&lt;$B$5),"",IF(INDEX($A:$U,ROW(),$C$6)="","",INDEX($A:$U,ROW(),$C$6)))</f>
        <v/>
      </c>
      <c r="X282" s="32">
        <f>IF($W282="","",IF(ISNUMBER($W282),IF($W282&gt;=10000000,IFERROR(DATE(INT($W282/10000),MOD(INT($W282/100),100),MOD($W282,100)),""),INT($W282)),IFERROR(DATE(--LEFT(LEFT(SUBSTITUTE(SUBSTITUTE(SUBSTITUTE(SUBSTITUTE(TRIM($W282),"-",""),".",""),"/","")," ",""),8),4),--MID(LEFT(SUBSTITUTE(SUBSTITUTE(SUBSTITUTE(SUBSTITUTE(TRIM($W282),"-",""),".",""),"/","")," ",""),8),5,2),--MID(LEFT(SUBSTITUTE(SUBSTITUTE(SUBSTITUTE(SUBSTITUTE(TRIM($W282),"-",""),".",""),"/","")," ",""),8),7,2)),"")))</f>
        <v/>
      </c>
      <c r="Y282" s="32">
        <f>IF($X282="","",INT($X282))</f>
        <v/>
      </c>
      <c r="Z282" s="33">
        <f>IF(OR($Y282="",$D$6=""),"",IF(INDEX($A:$U,ROW(),$D$6)="",0,IF(ISNUMBER(INDEX($A:$U,ROW(),$D$6)),INDEX($A:$U,ROW(),$D$6),IFERROR(--SUBSTITUTE(SUBSTITUTE(TRIM(INDEX($A:$U,ROW(),$D$6)),",",""),"원",""),0))))</f>
        <v/>
      </c>
      <c r="AA282" s="31">
        <f>IF($Y282="","",TRIM(INDEX($A:$U,ROW(),$E$6)&amp;IF($F$6="",""," "&amp;INDEX($A:$U,ROW(),$F$6))))</f>
        <v/>
      </c>
      <c r="AB282" s="31">
        <f>IF($AA282="","",SUBSTITUTE(SUBSTITUTE(SUBSTITUTE(SUBSTITUTE(SUBSTITUTE(SUBSTITUTE(SUBSTITUTE(SUBSTITUTE(SUBSTITUTE($AA282," ",""),"　",""),"(주)",""),"（주）",""),"㈜",""),"주식회사",""),"(유)",""),"（유）",""),"유한회사",""))</f>
        <v/>
      </c>
      <c r="AC282" s="31">
        <f>IF(OR($Y282="",N($Z282)&lt;=0,$AB282=""),0,IFERROR(LOOKUP(2,1/((거래처별!$AC$8:$AC$307&lt;&gt;"")*ISNUMBER(SEARCH(거래처별!$AC$8:$AC$307,$AB282))),거래처별!$A$8:$A$307),IFERROR(LOOKUP(2,1/((거래처별!$AD$8:$AD$307&lt;&gt;"")*ISNUMBER(SEARCH(거래처별!$AD$8:$AD$307,$AB282))),거래처별!$A$8:$A$307),IFERROR(LOOKUP(2,1/((거래처별!$AE$8:$AE$307&lt;&gt;"")*ISNUMBER(SEARCH(거래처별!$AE$8:$AE$307,$AB282))),거래처별!$A$8:$A$307),0))))</f>
        <v/>
      </c>
      <c r="AD282" s="31">
        <f>IF(AND($Y282&lt;&gt;"",N($Z282)&gt;0,$AC282=0),MAX($AD$7:$AD281)+1,"")</f>
        <v/>
      </c>
      <c r="AE282" s="31">
        <f>IF($Y282="",0,$Y282)</f>
        <v/>
      </c>
    </row>
    <row r="283">
      <c r="W283" s="31">
        <f>IF(OR($B$5="",$C$6="",ROW()&lt;$B$5),"",IF(INDEX($A:$U,ROW(),$C$6)="","",INDEX($A:$U,ROW(),$C$6)))</f>
        <v/>
      </c>
      <c r="X283" s="32">
        <f>IF($W283="","",IF(ISNUMBER($W283),IF($W283&gt;=10000000,IFERROR(DATE(INT($W283/10000),MOD(INT($W283/100),100),MOD($W283,100)),""),INT($W283)),IFERROR(DATE(--LEFT(LEFT(SUBSTITUTE(SUBSTITUTE(SUBSTITUTE(SUBSTITUTE(TRIM($W283),"-",""),".",""),"/","")," ",""),8),4),--MID(LEFT(SUBSTITUTE(SUBSTITUTE(SUBSTITUTE(SUBSTITUTE(TRIM($W283),"-",""),".",""),"/","")," ",""),8),5,2),--MID(LEFT(SUBSTITUTE(SUBSTITUTE(SUBSTITUTE(SUBSTITUTE(TRIM($W283),"-",""),".",""),"/","")," ",""),8),7,2)),"")))</f>
        <v/>
      </c>
      <c r="Y283" s="32">
        <f>IF($X283="","",INT($X283))</f>
        <v/>
      </c>
      <c r="Z283" s="33">
        <f>IF(OR($Y283="",$D$6=""),"",IF(INDEX($A:$U,ROW(),$D$6)="",0,IF(ISNUMBER(INDEX($A:$U,ROW(),$D$6)),INDEX($A:$U,ROW(),$D$6),IFERROR(--SUBSTITUTE(SUBSTITUTE(TRIM(INDEX($A:$U,ROW(),$D$6)),",",""),"원",""),0))))</f>
        <v/>
      </c>
      <c r="AA283" s="31">
        <f>IF($Y283="","",TRIM(INDEX($A:$U,ROW(),$E$6)&amp;IF($F$6="",""," "&amp;INDEX($A:$U,ROW(),$F$6))))</f>
        <v/>
      </c>
      <c r="AB283" s="31">
        <f>IF($AA283="","",SUBSTITUTE(SUBSTITUTE(SUBSTITUTE(SUBSTITUTE(SUBSTITUTE(SUBSTITUTE(SUBSTITUTE(SUBSTITUTE(SUBSTITUTE($AA283," ",""),"　",""),"(주)",""),"（주）",""),"㈜",""),"주식회사",""),"(유)",""),"（유）",""),"유한회사",""))</f>
        <v/>
      </c>
      <c r="AC283" s="31">
        <f>IF(OR($Y283="",N($Z283)&lt;=0,$AB283=""),0,IFERROR(LOOKUP(2,1/((거래처별!$AC$8:$AC$307&lt;&gt;"")*ISNUMBER(SEARCH(거래처별!$AC$8:$AC$307,$AB283))),거래처별!$A$8:$A$307),IFERROR(LOOKUP(2,1/((거래처별!$AD$8:$AD$307&lt;&gt;"")*ISNUMBER(SEARCH(거래처별!$AD$8:$AD$307,$AB283))),거래처별!$A$8:$A$307),IFERROR(LOOKUP(2,1/((거래처별!$AE$8:$AE$307&lt;&gt;"")*ISNUMBER(SEARCH(거래처별!$AE$8:$AE$307,$AB283))),거래처별!$A$8:$A$307),0))))</f>
        <v/>
      </c>
      <c r="AD283" s="31">
        <f>IF(AND($Y283&lt;&gt;"",N($Z283)&gt;0,$AC283=0),MAX($AD$7:$AD282)+1,"")</f>
        <v/>
      </c>
      <c r="AE283" s="31">
        <f>IF($Y283="",0,$Y283)</f>
        <v/>
      </c>
    </row>
    <row r="284">
      <c r="W284" s="31">
        <f>IF(OR($B$5="",$C$6="",ROW()&lt;$B$5),"",IF(INDEX($A:$U,ROW(),$C$6)="","",INDEX($A:$U,ROW(),$C$6)))</f>
        <v/>
      </c>
      <c r="X284" s="32">
        <f>IF($W284="","",IF(ISNUMBER($W284),IF($W284&gt;=10000000,IFERROR(DATE(INT($W284/10000),MOD(INT($W284/100),100),MOD($W284,100)),""),INT($W284)),IFERROR(DATE(--LEFT(LEFT(SUBSTITUTE(SUBSTITUTE(SUBSTITUTE(SUBSTITUTE(TRIM($W284),"-",""),".",""),"/","")," ",""),8),4),--MID(LEFT(SUBSTITUTE(SUBSTITUTE(SUBSTITUTE(SUBSTITUTE(TRIM($W284),"-",""),".",""),"/","")," ",""),8),5,2),--MID(LEFT(SUBSTITUTE(SUBSTITUTE(SUBSTITUTE(SUBSTITUTE(TRIM($W284),"-",""),".",""),"/","")," ",""),8),7,2)),"")))</f>
        <v/>
      </c>
      <c r="Y284" s="32">
        <f>IF($X284="","",INT($X284))</f>
        <v/>
      </c>
      <c r="Z284" s="33">
        <f>IF(OR($Y284="",$D$6=""),"",IF(INDEX($A:$U,ROW(),$D$6)="",0,IF(ISNUMBER(INDEX($A:$U,ROW(),$D$6)),INDEX($A:$U,ROW(),$D$6),IFERROR(--SUBSTITUTE(SUBSTITUTE(TRIM(INDEX($A:$U,ROW(),$D$6)),",",""),"원",""),0))))</f>
        <v/>
      </c>
      <c r="AA284" s="31">
        <f>IF($Y284="","",TRIM(INDEX($A:$U,ROW(),$E$6)&amp;IF($F$6="",""," "&amp;INDEX($A:$U,ROW(),$F$6))))</f>
        <v/>
      </c>
      <c r="AB284" s="31">
        <f>IF($AA284="","",SUBSTITUTE(SUBSTITUTE(SUBSTITUTE(SUBSTITUTE(SUBSTITUTE(SUBSTITUTE(SUBSTITUTE(SUBSTITUTE(SUBSTITUTE($AA284," ",""),"　",""),"(주)",""),"（주）",""),"㈜",""),"주식회사",""),"(유)",""),"（유）",""),"유한회사",""))</f>
        <v/>
      </c>
      <c r="AC284" s="31">
        <f>IF(OR($Y284="",N($Z284)&lt;=0,$AB284=""),0,IFERROR(LOOKUP(2,1/((거래처별!$AC$8:$AC$307&lt;&gt;"")*ISNUMBER(SEARCH(거래처별!$AC$8:$AC$307,$AB284))),거래처별!$A$8:$A$307),IFERROR(LOOKUP(2,1/((거래처별!$AD$8:$AD$307&lt;&gt;"")*ISNUMBER(SEARCH(거래처별!$AD$8:$AD$307,$AB284))),거래처별!$A$8:$A$307),IFERROR(LOOKUP(2,1/((거래처별!$AE$8:$AE$307&lt;&gt;"")*ISNUMBER(SEARCH(거래처별!$AE$8:$AE$307,$AB284))),거래처별!$A$8:$A$307),0))))</f>
        <v/>
      </c>
      <c r="AD284" s="31">
        <f>IF(AND($Y284&lt;&gt;"",N($Z284)&gt;0,$AC284=0),MAX($AD$7:$AD283)+1,"")</f>
        <v/>
      </c>
      <c r="AE284" s="31">
        <f>IF($Y284="",0,$Y284)</f>
        <v/>
      </c>
    </row>
    <row r="285">
      <c r="W285" s="31">
        <f>IF(OR($B$5="",$C$6="",ROW()&lt;$B$5),"",IF(INDEX($A:$U,ROW(),$C$6)="","",INDEX($A:$U,ROW(),$C$6)))</f>
        <v/>
      </c>
      <c r="X285" s="32">
        <f>IF($W285="","",IF(ISNUMBER($W285),IF($W285&gt;=10000000,IFERROR(DATE(INT($W285/10000),MOD(INT($W285/100),100),MOD($W285,100)),""),INT($W285)),IFERROR(DATE(--LEFT(LEFT(SUBSTITUTE(SUBSTITUTE(SUBSTITUTE(SUBSTITUTE(TRIM($W285),"-",""),".",""),"/","")," ",""),8),4),--MID(LEFT(SUBSTITUTE(SUBSTITUTE(SUBSTITUTE(SUBSTITUTE(TRIM($W285),"-",""),".",""),"/","")," ",""),8),5,2),--MID(LEFT(SUBSTITUTE(SUBSTITUTE(SUBSTITUTE(SUBSTITUTE(TRIM($W285),"-",""),".",""),"/","")," ",""),8),7,2)),"")))</f>
        <v/>
      </c>
      <c r="Y285" s="32">
        <f>IF($X285="","",INT($X285))</f>
        <v/>
      </c>
      <c r="Z285" s="33">
        <f>IF(OR($Y285="",$D$6=""),"",IF(INDEX($A:$U,ROW(),$D$6)="",0,IF(ISNUMBER(INDEX($A:$U,ROW(),$D$6)),INDEX($A:$U,ROW(),$D$6),IFERROR(--SUBSTITUTE(SUBSTITUTE(TRIM(INDEX($A:$U,ROW(),$D$6)),",",""),"원",""),0))))</f>
        <v/>
      </c>
      <c r="AA285" s="31">
        <f>IF($Y285="","",TRIM(INDEX($A:$U,ROW(),$E$6)&amp;IF($F$6="",""," "&amp;INDEX($A:$U,ROW(),$F$6))))</f>
        <v/>
      </c>
      <c r="AB285" s="31">
        <f>IF($AA285="","",SUBSTITUTE(SUBSTITUTE(SUBSTITUTE(SUBSTITUTE(SUBSTITUTE(SUBSTITUTE(SUBSTITUTE(SUBSTITUTE(SUBSTITUTE($AA285," ",""),"　",""),"(주)",""),"（주）",""),"㈜",""),"주식회사",""),"(유)",""),"（유）",""),"유한회사",""))</f>
        <v/>
      </c>
      <c r="AC285" s="31">
        <f>IF(OR($Y285="",N($Z285)&lt;=0,$AB285=""),0,IFERROR(LOOKUP(2,1/((거래처별!$AC$8:$AC$307&lt;&gt;"")*ISNUMBER(SEARCH(거래처별!$AC$8:$AC$307,$AB285))),거래처별!$A$8:$A$307),IFERROR(LOOKUP(2,1/((거래처별!$AD$8:$AD$307&lt;&gt;"")*ISNUMBER(SEARCH(거래처별!$AD$8:$AD$307,$AB285))),거래처별!$A$8:$A$307),IFERROR(LOOKUP(2,1/((거래처별!$AE$8:$AE$307&lt;&gt;"")*ISNUMBER(SEARCH(거래처별!$AE$8:$AE$307,$AB285))),거래처별!$A$8:$A$307),0))))</f>
        <v/>
      </c>
      <c r="AD285" s="31">
        <f>IF(AND($Y285&lt;&gt;"",N($Z285)&gt;0,$AC285=0),MAX($AD$7:$AD284)+1,"")</f>
        <v/>
      </c>
      <c r="AE285" s="31">
        <f>IF($Y285="",0,$Y285)</f>
        <v/>
      </c>
    </row>
    <row r="286">
      <c r="W286" s="31">
        <f>IF(OR($B$5="",$C$6="",ROW()&lt;$B$5),"",IF(INDEX($A:$U,ROW(),$C$6)="","",INDEX($A:$U,ROW(),$C$6)))</f>
        <v/>
      </c>
      <c r="X286" s="32">
        <f>IF($W286="","",IF(ISNUMBER($W286),IF($W286&gt;=10000000,IFERROR(DATE(INT($W286/10000),MOD(INT($W286/100),100),MOD($W286,100)),""),INT($W286)),IFERROR(DATE(--LEFT(LEFT(SUBSTITUTE(SUBSTITUTE(SUBSTITUTE(SUBSTITUTE(TRIM($W286),"-",""),".",""),"/","")," ",""),8),4),--MID(LEFT(SUBSTITUTE(SUBSTITUTE(SUBSTITUTE(SUBSTITUTE(TRIM($W286),"-",""),".",""),"/","")," ",""),8),5,2),--MID(LEFT(SUBSTITUTE(SUBSTITUTE(SUBSTITUTE(SUBSTITUTE(TRIM($W286),"-",""),".",""),"/","")," ",""),8),7,2)),"")))</f>
        <v/>
      </c>
      <c r="Y286" s="32">
        <f>IF($X286="","",INT($X286))</f>
        <v/>
      </c>
      <c r="Z286" s="33">
        <f>IF(OR($Y286="",$D$6=""),"",IF(INDEX($A:$U,ROW(),$D$6)="",0,IF(ISNUMBER(INDEX($A:$U,ROW(),$D$6)),INDEX($A:$U,ROW(),$D$6),IFERROR(--SUBSTITUTE(SUBSTITUTE(TRIM(INDEX($A:$U,ROW(),$D$6)),",",""),"원",""),0))))</f>
        <v/>
      </c>
      <c r="AA286" s="31">
        <f>IF($Y286="","",TRIM(INDEX($A:$U,ROW(),$E$6)&amp;IF($F$6="",""," "&amp;INDEX($A:$U,ROW(),$F$6))))</f>
        <v/>
      </c>
      <c r="AB286" s="31">
        <f>IF($AA286="","",SUBSTITUTE(SUBSTITUTE(SUBSTITUTE(SUBSTITUTE(SUBSTITUTE(SUBSTITUTE(SUBSTITUTE(SUBSTITUTE(SUBSTITUTE($AA286," ",""),"　",""),"(주)",""),"（주）",""),"㈜",""),"주식회사",""),"(유)",""),"（유）",""),"유한회사",""))</f>
        <v/>
      </c>
      <c r="AC286" s="31">
        <f>IF(OR($Y286="",N($Z286)&lt;=0,$AB286=""),0,IFERROR(LOOKUP(2,1/((거래처별!$AC$8:$AC$307&lt;&gt;"")*ISNUMBER(SEARCH(거래처별!$AC$8:$AC$307,$AB286))),거래처별!$A$8:$A$307),IFERROR(LOOKUP(2,1/((거래처별!$AD$8:$AD$307&lt;&gt;"")*ISNUMBER(SEARCH(거래처별!$AD$8:$AD$307,$AB286))),거래처별!$A$8:$A$307),IFERROR(LOOKUP(2,1/((거래처별!$AE$8:$AE$307&lt;&gt;"")*ISNUMBER(SEARCH(거래처별!$AE$8:$AE$307,$AB286))),거래처별!$A$8:$A$307),0))))</f>
        <v/>
      </c>
      <c r="AD286" s="31">
        <f>IF(AND($Y286&lt;&gt;"",N($Z286)&gt;0,$AC286=0),MAX($AD$7:$AD285)+1,"")</f>
        <v/>
      </c>
      <c r="AE286" s="31">
        <f>IF($Y286="",0,$Y286)</f>
        <v/>
      </c>
    </row>
    <row r="287">
      <c r="W287" s="31">
        <f>IF(OR($B$5="",$C$6="",ROW()&lt;$B$5),"",IF(INDEX($A:$U,ROW(),$C$6)="","",INDEX($A:$U,ROW(),$C$6)))</f>
        <v/>
      </c>
      <c r="X287" s="32">
        <f>IF($W287="","",IF(ISNUMBER($W287),IF($W287&gt;=10000000,IFERROR(DATE(INT($W287/10000),MOD(INT($W287/100),100),MOD($W287,100)),""),INT($W287)),IFERROR(DATE(--LEFT(LEFT(SUBSTITUTE(SUBSTITUTE(SUBSTITUTE(SUBSTITUTE(TRIM($W287),"-",""),".",""),"/","")," ",""),8),4),--MID(LEFT(SUBSTITUTE(SUBSTITUTE(SUBSTITUTE(SUBSTITUTE(TRIM($W287),"-",""),".",""),"/","")," ",""),8),5,2),--MID(LEFT(SUBSTITUTE(SUBSTITUTE(SUBSTITUTE(SUBSTITUTE(TRIM($W287),"-",""),".",""),"/","")," ",""),8),7,2)),"")))</f>
        <v/>
      </c>
      <c r="Y287" s="32">
        <f>IF($X287="","",INT($X287))</f>
        <v/>
      </c>
      <c r="Z287" s="33">
        <f>IF(OR($Y287="",$D$6=""),"",IF(INDEX($A:$U,ROW(),$D$6)="",0,IF(ISNUMBER(INDEX($A:$U,ROW(),$D$6)),INDEX($A:$U,ROW(),$D$6),IFERROR(--SUBSTITUTE(SUBSTITUTE(TRIM(INDEX($A:$U,ROW(),$D$6)),",",""),"원",""),0))))</f>
        <v/>
      </c>
      <c r="AA287" s="31">
        <f>IF($Y287="","",TRIM(INDEX($A:$U,ROW(),$E$6)&amp;IF($F$6="",""," "&amp;INDEX($A:$U,ROW(),$F$6))))</f>
        <v/>
      </c>
      <c r="AB287" s="31">
        <f>IF($AA287="","",SUBSTITUTE(SUBSTITUTE(SUBSTITUTE(SUBSTITUTE(SUBSTITUTE(SUBSTITUTE(SUBSTITUTE(SUBSTITUTE(SUBSTITUTE($AA287," ",""),"　",""),"(주)",""),"（주）",""),"㈜",""),"주식회사",""),"(유)",""),"（유）",""),"유한회사",""))</f>
        <v/>
      </c>
      <c r="AC287" s="31">
        <f>IF(OR($Y287="",N($Z287)&lt;=0,$AB287=""),0,IFERROR(LOOKUP(2,1/((거래처별!$AC$8:$AC$307&lt;&gt;"")*ISNUMBER(SEARCH(거래처별!$AC$8:$AC$307,$AB287))),거래처별!$A$8:$A$307),IFERROR(LOOKUP(2,1/((거래처별!$AD$8:$AD$307&lt;&gt;"")*ISNUMBER(SEARCH(거래처별!$AD$8:$AD$307,$AB287))),거래처별!$A$8:$A$307),IFERROR(LOOKUP(2,1/((거래처별!$AE$8:$AE$307&lt;&gt;"")*ISNUMBER(SEARCH(거래처별!$AE$8:$AE$307,$AB287))),거래처별!$A$8:$A$307),0))))</f>
        <v/>
      </c>
      <c r="AD287" s="31">
        <f>IF(AND($Y287&lt;&gt;"",N($Z287)&gt;0,$AC287=0),MAX($AD$7:$AD286)+1,"")</f>
        <v/>
      </c>
      <c r="AE287" s="31">
        <f>IF($Y287="",0,$Y287)</f>
        <v/>
      </c>
    </row>
    <row r="288">
      <c r="W288" s="31">
        <f>IF(OR($B$5="",$C$6="",ROW()&lt;$B$5),"",IF(INDEX($A:$U,ROW(),$C$6)="","",INDEX($A:$U,ROW(),$C$6)))</f>
        <v/>
      </c>
      <c r="X288" s="32">
        <f>IF($W288="","",IF(ISNUMBER($W288),IF($W288&gt;=10000000,IFERROR(DATE(INT($W288/10000),MOD(INT($W288/100),100),MOD($W288,100)),""),INT($W288)),IFERROR(DATE(--LEFT(LEFT(SUBSTITUTE(SUBSTITUTE(SUBSTITUTE(SUBSTITUTE(TRIM($W288),"-",""),".",""),"/","")," ",""),8),4),--MID(LEFT(SUBSTITUTE(SUBSTITUTE(SUBSTITUTE(SUBSTITUTE(TRIM($W288),"-",""),".",""),"/","")," ",""),8),5,2),--MID(LEFT(SUBSTITUTE(SUBSTITUTE(SUBSTITUTE(SUBSTITUTE(TRIM($W288),"-",""),".",""),"/","")," ",""),8),7,2)),"")))</f>
        <v/>
      </c>
      <c r="Y288" s="32">
        <f>IF($X288="","",INT($X288))</f>
        <v/>
      </c>
      <c r="Z288" s="33">
        <f>IF(OR($Y288="",$D$6=""),"",IF(INDEX($A:$U,ROW(),$D$6)="",0,IF(ISNUMBER(INDEX($A:$U,ROW(),$D$6)),INDEX($A:$U,ROW(),$D$6),IFERROR(--SUBSTITUTE(SUBSTITUTE(TRIM(INDEX($A:$U,ROW(),$D$6)),",",""),"원",""),0))))</f>
        <v/>
      </c>
      <c r="AA288" s="31">
        <f>IF($Y288="","",TRIM(INDEX($A:$U,ROW(),$E$6)&amp;IF($F$6="",""," "&amp;INDEX($A:$U,ROW(),$F$6))))</f>
        <v/>
      </c>
      <c r="AB288" s="31">
        <f>IF($AA288="","",SUBSTITUTE(SUBSTITUTE(SUBSTITUTE(SUBSTITUTE(SUBSTITUTE(SUBSTITUTE(SUBSTITUTE(SUBSTITUTE(SUBSTITUTE($AA288," ",""),"　",""),"(주)",""),"（주）",""),"㈜",""),"주식회사",""),"(유)",""),"（유）",""),"유한회사",""))</f>
        <v/>
      </c>
      <c r="AC288" s="31">
        <f>IF(OR($Y288="",N($Z288)&lt;=0,$AB288=""),0,IFERROR(LOOKUP(2,1/((거래처별!$AC$8:$AC$307&lt;&gt;"")*ISNUMBER(SEARCH(거래처별!$AC$8:$AC$307,$AB288))),거래처별!$A$8:$A$307),IFERROR(LOOKUP(2,1/((거래처별!$AD$8:$AD$307&lt;&gt;"")*ISNUMBER(SEARCH(거래처별!$AD$8:$AD$307,$AB288))),거래처별!$A$8:$A$307),IFERROR(LOOKUP(2,1/((거래처별!$AE$8:$AE$307&lt;&gt;"")*ISNUMBER(SEARCH(거래처별!$AE$8:$AE$307,$AB288))),거래처별!$A$8:$A$307),0))))</f>
        <v/>
      </c>
      <c r="AD288" s="31">
        <f>IF(AND($Y288&lt;&gt;"",N($Z288)&gt;0,$AC288=0),MAX($AD$7:$AD287)+1,"")</f>
        <v/>
      </c>
      <c r="AE288" s="31">
        <f>IF($Y288="",0,$Y288)</f>
        <v/>
      </c>
    </row>
    <row r="289">
      <c r="W289" s="31">
        <f>IF(OR($B$5="",$C$6="",ROW()&lt;$B$5),"",IF(INDEX($A:$U,ROW(),$C$6)="","",INDEX($A:$U,ROW(),$C$6)))</f>
        <v/>
      </c>
      <c r="X289" s="32">
        <f>IF($W289="","",IF(ISNUMBER($W289),IF($W289&gt;=10000000,IFERROR(DATE(INT($W289/10000),MOD(INT($W289/100),100),MOD($W289,100)),""),INT($W289)),IFERROR(DATE(--LEFT(LEFT(SUBSTITUTE(SUBSTITUTE(SUBSTITUTE(SUBSTITUTE(TRIM($W289),"-",""),".",""),"/","")," ",""),8),4),--MID(LEFT(SUBSTITUTE(SUBSTITUTE(SUBSTITUTE(SUBSTITUTE(TRIM($W289),"-",""),".",""),"/","")," ",""),8),5,2),--MID(LEFT(SUBSTITUTE(SUBSTITUTE(SUBSTITUTE(SUBSTITUTE(TRIM($W289),"-",""),".",""),"/","")," ",""),8),7,2)),"")))</f>
        <v/>
      </c>
      <c r="Y289" s="32">
        <f>IF($X289="","",INT($X289))</f>
        <v/>
      </c>
      <c r="Z289" s="33">
        <f>IF(OR($Y289="",$D$6=""),"",IF(INDEX($A:$U,ROW(),$D$6)="",0,IF(ISNUMBER(INDEX($A:$U,ROW(),$D$6)),INDEX($A:$U,ROW(),$D$6),IFERROR(--SUBSTITUTE(SUBSTITUTE(TRIM(INDEX($A:$U,ROW(),$D$6)),",",""),"원",""),0))))</f>
        <v/>
      </c>
      <c r="AA289" s="31">
        <f>IF($Y289="","",TRIM(INDEX($A:$U,ROW(),$E$6)&amp;IF($F$6="",""," "&amp;INDEX($A:$U,ROW(),$F$6))))</f>
        <v/>
      </c>
      <c r="AB289" s="31">
        <f>IF($AA289="","",SUBSTITUTE(SUBSTITUTE(SUBSTITUTE(SUBSTITUTE(SUBSTITUTE(SUBSTITUTE(SUBSTITUTE(SUBSTITUTE(SUBSTITUTE($AA289," ",""),"　",""),"(주)",""),"（주）",""),"㈜",""),"주식회사",""),"(유)",""),"（유）",""),"유한회사",""))</f>
        <v/>
      </c>
      <c r="AC289" s="31">
        <f>IF(OR($Y289="",N($Z289)&lt;=0,$AB289=""),0,IFERROR(LOOKUP(2,1/((거래처별!$AC$8:$AC$307&lt;&gt;"")*ISNUMBER(SEARCH(거래처별!$AC$8:$AC$307,$AB289))),거래처별!$A$8:$A$307),IFERROR(LOOKUP(2,1/((거래처별!$AD$8:$AD$307&lt;&gt;"")*ISNUMBER(SEARCH(거래처별!$AD$8:$AD$307,$AB289))),거래처별!$A$8:$A$307),IFERROR(LOOKUP(2,1/((거래처별!$AE$8:$AE$307&lt;&gt;"")*ISNUMBER(SEARCH(거래처별!$AE$8:$AE$307,$AB289))),거래처별!$A$8:$A$307),0))))</f>
        <v/>
      </c>
      <c r="AD289" s="31">
        <f>IF(AND($Y289&lt;&gt;"",N($Z289)&gt;0,$AC289=0),MAX($AD$7:$AD288)+1,"")</f>
        <v/>
      </c>
      <c r="AE289" s="31">
        <f>IF($Y289="",0,$Y289)</f>
        <v/>
      </c>
    </row>
    <row r="290">
      <c r="W290" s="31">
        <f>IF(OR($B$5="",$C$6="",ROW()&lt;$B$5),"",IF(INDEX($A:$U,ROW(),$C$6)="","",INDEX($A:$U,ROW(),$C$6)))</f>
        <v/>
      </c>
      <c r="X290" s="32">
        <f>IF($W290="","",IF(ISNUMBER($W290),IF($W290&gt;=10000000,IFERROR(DATE(INT($W290/10000),MOD(INT($W290/100),100),MOD($W290,100)),""),INT($W290)),IFERROR(DATE(--LEFT(LEFT(SUBSTITUTE(SUBSTITUTE(SUBSTITUTE(SUBSTITUTE(TRIM($W290),"-",""),".",""),"/","")," ",""),8),4),--MID(LEFT(SUBSTITUTE(SUBSTITUTE(SUBSTITUTE(SUBSTITUTE(TRIM($W290),"-",""),".",""),"/","")," ",""),8),5,2),--MID(LEFT(SUBSTITUTE(SUBSTITUTE(SUBSTITUTE(SUBSTITUTE(TRIM($W290),"-",""),".",""),"/","")," ",""),8),7,2)),"")))</f>
        <v/>
      </c>
      <c r="Y290" s="32">
        <f>IF($X290="","",INT($X290))</f>
        <v/>
      </c>
      <c r="Z290" s="33">
        <f>IF(OR($Y290="",$D$6=""),"",IF(INDEX($A:$U,ROW(),$D$6)="",0,IF(ISNUMBER(INDEX($A:$U,ROW(),$D$6)),INDEX($A:$U,ROW(),$D$6),IFERROR(--SUBSTITUTE(SUBSTITUTE(TRIM(INDEX($A:$U,ROW(),$D$6)),",",""),"원",""),0))))</f>
        <v/>
      </c>
      <c r="AA290" s="31">
        <f>IF($Y290="","",TRIM(INDEX($A:$U,ROW(),$E$6)&amp;IF($F$6="",""," "&amp;INDEX($A:$U,ROW(),$F$6))))</f>
        <v/>
      </c>
      <c r="AB290" s="31">
        <f>IF($AA290="","",SUBSTITUTE(SUBSTITUTE(SUBSTITUTE(SUBSTITUTE(SUBSTITUTE(SUBSTITUTE(SUBSTITUTE(SUBSTITUTE(SUBSTITUTE($AA290," ",""),"　",""),"(주)",""),"（주）",""),"㈜",""),"주식회사",""),"(유)",""),"（유）",""),"유한회사",""))</f>
        <v/>
      </c>
      <c r="AC290" s="31">
        <f>IF(OR($Y290="",N($Z290)&lt;=0,$AB290=""),0,IFERROR(LOOKUP(2,1/((거래처별!$AC$8:$AC$307&lt;&gt;"")*ISNUMBER(SEARCH(거래처별!$AC$8:$AC$307,$AB290))),거래처별!$A$8:$A$307),IFERROR(LOOKUP(2,1/((거래처별!$AD$8:$AD$307&lt;&gt;"")*ISNUMBER(SEARCH(거래처별!$AD$8:$AD$307,$AB290))),거래처별!$A$8:$A$307),IFERROR(LOOKUP(2,1/((거래처별!$AE$8:$AE$307&lt;&gt;"")*ISNUMBER(SEARCH(거래처별!$AE$8:$AE$307,$AB290))),거래처별!$A$8:$A$307),0))))</f>
        <v/>
      </c>
      <c r="AD290" s="31">
        <f>IF(AND($Y290&lt;&gt;"",N($Z290)&gt;0,$AC290=0),MAX($AD$7:$AD289)+1,"")</f>
        <v/>
      </c>
      <c r="AE290" s="31">
        <f>IF($Y290="",0,$Y290)</f>
        <v/>
      </c>
    </row>
    <row r="291">
      <c r="W291" s="31">
        <f>IF(OR($B$5="",$C$6="",ROW()&lt;$B$5),"",IF(INDEX($A:$U,ROW(),$C$6)="","",INDEX($A:$U,ROW(),$C$6)))</f>
        <v/>
      </c>
      <c r="X291" s="32">
        <f>IF($W291="","",IF(ISNUMBER($W291),IF($W291&gt;=10000000,IFERROR(DATE(INT($W291/10000),MOD(INT($W291/100),100),MOD($W291,100)),""),INT($W291)),IFERROR(DATE(--LEFT(LEFT(SUBSTITUTE(SUBSTITUTE(SUBSTITUTE(SUBSTITUTE(TRIM($W291),"-",""),".",""),"/","")," ",""),8),4),--MID(LEFT(SUBSTITUTE(SUBSTITUTE(SUBSTITUTE(SUBSTITUTE(TRIM($W291),"-",""),".",""),"/","")," ",""),8),5,2),--MID(LEFT(SUBSTITUTE(SUBSTITUTE(SUBSTITUTE(SUBSTITUTE(TRIM($W291),"-",""),".",""),"/","")," ",""),8),7,2)),"")))</f>
        <v/>
      </c>
      <c r="Y291" s="32">
        <f>IF($X291="","",INT($X291))</f>
        <v/>
      </c>
      <c r="Z291" s="33">
        <f>IF(OR($Y291="",$D$6=""),"",IF(INDEX($A:$U,ROW(),$D$6)="",0,IF(ISNUMBER(INDEX($A:$U,ROW(),$D$6)),INDEX($A:$U,ROW(),$D$6),IFERROR(--SUBSTITUTE(SUBSTITUTE(TRIM(INDEX($A:$U,ROW(),$D$6)),",",""),"원",""),0))))</f>
        <v/>
      </c>
      <c r="AA291" s="31">
        <f>IF($Y291="","",TRIM(INDEX($A:$U,ROW(),$E$6)&amp;IF($F$6="",""," "&amp;INDEX($A:$U,ROW(),$F$6))))</f>
        <v/>
      </c>
      <c r="AB291" s="31">
        <f>IF($AA291="","",SUBSTITUTE(SUBSTITUTE(SUBSTITUTE(SUBSTITUTE(SUBSTITUTE(SUBSTITUTE(SUBSTITUTE(SUBSTITUTE(SUBSTITUTE($AA291," ",""),"　",""),"(주)",""),"（주）",""),"㈜",""),"주식회사",""),"(유)",""),"（유）",""),"유한회사",""))</f>
        <v/>
      </c>
      <c r="AC291" s="31">
        <f>IF(OR($Y291="",N($Z291)&lt;=0,$AB291=""),0,IFERROR(LOOKUP(2,1/((거래처별!$AC$8:$AC$307&lt;&gt;"")*ISNUMBER(SEARCH(거래처별!$AC$8:$AC$307,$AB291))),거래처별!$A$8:$A$307),IFERROR(LOOKUP(2,1/((거래처별!$AD$8:$AD$307&lt;&gt;"")*ISNUMBER(SEARCH(거래처별!$AD$8:$AD$307,$AB291))),거래처별!$A$8:$A$307),IFERROR(LOOKUP(2,1/((거래처별!$AE$8:$AE$307&lt;&gt;"")*ISNUMBER(SEARCH(거래처별!$AE$8:$AE$307,$AB291))),거래처별!$A$8:$A$307),0))))</f>
        <v/>
      </c>
      <c r="AD291" s="31">
        <f>IF(AND($Y291&lt;&gt;"",N($Z291)&gt;0,$AC291=0),MAX($AD$7:$AD290)+1,"")</f>
        <v/>
      </c>
      <c r="AE291" s="31">
        <f>IF($Y291="",0,$Y291)</f>
        <v/>
      </c>
    </row>
    <row r="292">
      <c r="W292" s="31">
        <f>IF(OR($B$5="",$C$6="",ROW()&lt;$B$5),"",IF(INDEX($A:$U,ROW(),$C$6)="","",INDEX($A:$U,ROW(),$C$6)))</f>
        <v/>
      </c>
      <c r="X292" s="32">
        <f>IF($W292="","",IF(ISNUMBER($W292),IF($W292&gt;=10000000,IFERROR(DATE(INT($W292/10000),MOD(INT($W292/100),100),MOD($W292,100)),""),INT($W292)),IFERROR(DATE(--LEFT(LEFT(SUBSTITUTE(SUBSTITUTE(SUBSTITUTE(SUBSTITUTE(TRIM($W292),"-",""),".",""),"/","")," ",""),8),4),--MID(LEFT(SUBSTITUTE(SUBSTITUTE(SUBSTITUTE(SUBSTITUTE(TRIM($W292),"-",""),".",""),"/","")," ",""),8),5,2),--MID(LEFT(SUBSTITUTE(SUBSTITUTE(SUBSTITUTE(SUBSTITUTE(TRIM($W292),"-",""),".",""),"/","")," ",""),8),7,2)),"")))</f>
        <v/>
      </c>
      <c r="Y292" s="32">
        <f>IF($X292="","",INT($X292))</f>
        <v/>
      </c>
      <c r="Z292" s="33">
        <f>IF(OR($Y292="",$D$6=""),"",IF(INDEX($A:$U,ROW(),$D$6)="",0,IF(ISNUMBER(INDEX($A:$U,ROW(),$D$6)),INDEX($A:$U,ROW(),$D$6),IFERROR(--SUBSTITUTE(SUBSTITUTE(TRIM(INDEX($A:$U,ROW(),$D$6)),",",""),"원",""),0))))</f>
        <v/>
      </c>
      <c r="AA292" s="31">
        <f>IF($Y292="","",TRIM(INDEX($A:$U,ROW(),$E$6)&amp;IF($F$6="",""," "&amp;INDEX($A:$U,ROW(),$F$6))))</f>
        <v/>
      </c>
      <c r="AB292" s="31">
        <f>IF($AA292="","",SUBSTITUTE(SUBSTITUTE(SUBSTITUTE(SUBSTITUTE(SUBSTITUTE(SUBSTITUTE(SUBSTITUTE(SUBSTITUTE(SUBSTITUTE($AA292," ",""),"　",""),"(주)",""),"（주）",""),"㈜",""),"주식회사",""),"(유)",""),"（유）",""),"유한회사",""))</f>
        <v/>
      </c>
      <c r="AC292" s="31">
        <f>IF(OR($Y292="",N($Z292)&lt;=0,$AB292=""),0,IFERROR(LOOKUP(2,1/((거래처별!$AC$8:$AC$307&lt;&gt;"")*ISNUMBER(SEARCH(거래처별!$AC$8:$AC$307,$AB292))),거래처별!$A$8:$A$307),IFERROR(LOOKUP(2,1/((거래처별!$AD$8:$AD$307&lt;&gt;"")*ISNUMBER(SEARCH(거래처별!$AD$8:$AD$307,$AB292))),거래처별!$A$8:$A$307),IFERROR(LOOKUP(2,1/((거래처별!$AE$8:$AE$307&lt;&gt;"")*ISNUMBER(SEARCH(거래처별!$AE$8:$AE$307,$AB292))),거래처별!$A$8:$A$307),0))))</f>
        <v/>
      </c>
      <c r="AD292" s="31">
        <f>IF(AND($Y292&lt;&gt;"",N($Z292)&gt;0,$AC292=0),MAX($AD$7:$AD291)+1,"")</f>
        <v/>
      </c>
      <c r="AE292" s="31">
        <f>IF($Y292="",0,$Y292)</f>
        <v/>
      </c>
    </row>
    <row r="293">
      <c r="W293" s="31">
        <f>IF(OR($B$5="",$C$6="",ROW()&lt;$B$5),"",IF(INDEX($A:$U,ROW(),$C$6)="","",INDEX($A:$U,ROW(),$C$6)))</f>
        <v/>
      </c>
      <c r="X293" s="32">
        <f>IF($W293="","",IF(ISNUMBER($W293),IF($W293&gt;=10000000,IFERROR(DATE(INT($W293/10000),MOD(INT($W293/100),100),MOD($W293,100)),""),INT($W293)),IFERROR(DATE(--LEFT(LEFT(SUBSTITUTE(SUBSTITUTE(SUBSTITUTE(SUBSTITUTE(TRIM($W293),"-",""),".",""),"/","")," ",""),8),4),--MID(LEFT(SUBSTITUTE(SUBSTITUTE(SUBSTITUTE(SUBSTITUTE(TRIM($W293),"-",""),".",""),"/","")," ",""),8),5,2),--MID(LEFT(SUBSTITUTE(SUBSTITUTE(SUBSTITUTE(SUBSTITUTE(TRIM($W293),"-",""),".",""),"/","")," ",""),8),7,2)),"")))</f>
        <v/>
      </c>
      <c r="Y293" s="32">
        <f>IF($X293="","",INT($X293))</f>
        <v/>
      </c>
      <c r="Z293" s="33">
        <f>IF(OR($Y293="",$D$6=""),"",IF(INDEX($A:$U,ROW(),$D$6)="",0,IF(ISNUMBER(INDEX($A:$U,ROW(),$D$6)),INDEX($A:$U,ROW(),$D$6),IFERROR(--SUBSTITUTE(SUBSTITUTE(TRIM(INDEX($A:$U,ROW(),$D$6)),",",""),"원",""),0))))</f>
        <v/>
      </c>
      <c r="AA293" s="31">
        <f>IF($Y293="","",TRIM(INDEX($A:$U,ROW(),$E$6)&amp;IF($F$6="",""," "&amp;INDEX($A:$U,ROW(),$F$6))))</f>
        <v/>
      </c>
      <c r="AB293" s="31">
        <f>IF($AA293="","",SUBSTITUTE(SUBSTITUTE(SUBSTITUTE(SUBSTITUTE(SUBSTITUTE(SUBSTITUTE(SUBSTITUTE(SUBSTITUTE(SUBSTITUTE($AA293," ",""),"　",""),"(주)",""),"（주）",""),"㈜",""),"주식회사",""),"(유)",""),"（유）",""),"유한회사",""))</f>
        <v/>
      </c>
      <c r="AC293" s="31">
        <f>IF(OR($Y293="",N($Z293)&lt;=0,$AB293=""),0,IFERROR(LOOKUP(2,1/((거래처별!$AC$8:$AC$307&lt;&gt;"")*ISNUMBER(SEARCH(거래처별!$AC$8:$AC$307,$AB293))),거래처별!$A$8:$A$307),IFERROR(LOOKUP(2,1/((거래처별!$AD$8:$AD$307&lt;&gt;"")*ISNUMBER(SEARCH(거래처별!$AD$8:$AD$307,$AB293))),거래처별!$A$8:$A$307),IFERROR(LOOKUP(2,1/((거래처별!$AE$8:$AE$307&lt;&gt;"")*ISNUMBER(SEARCH(거래처별!$AE$8:$AE$307,$AB293))),거래처별!$A$8:$A$307),0))))</f>
        <v/>
      </c>
      <c r="AD293" s="31">
        <f>IF(AND($Y293&lt;&gt;"",N($Z293)&gt;0,$AC293=0),MAX($AD$7:$AD292)+1,"")</f>
        <v/>
      </c>
      <c r="AE293" s="31">
        <f>IF($Y293="",0,$Y293)</f>
        <v/>
      </c>
    </row>
    <row r="294">
      <c r="W294" s="31">
        <f>IF(OR($B$5="",$C$6="",ROW()&lt;$B$5),"",IF(INDEX($A:$U,ROW(),$C$6)="","",INDEX($A:$U,ROW(),$C$6)))</f>
        <v/>
      </c>
      <c r="X294" s="32">
        <f>IF($W294="","",IF(ISNUMBER($W294),IF($W294&gt;=10000000,IFERROR(DATE(INT($W294/10000),MOD(INT($W294/100),100),MOD($W294,100)),""),INT($W294)),IFERROR(DATE(--LEFT(LEFT(SUBSTITUTE(SUBSTITUTE(SUBSTITUTE(SUBSTITUTE(TRIM($W294),"-",""),".",""),"/","")," ",""),8),4),--MID(LEFT(SUBSTITUTE(SUBSTITUTE(SUBSTITUTE(SUBSTITUTE(TRIM($W294),"-",""),".",""),"/","")," ",""),8),5,2),--MID(LEFT(SUBSTITUTE(SUBSTITUTE(SUBSTITUTE(SUBSTITUTE(TRIM($W294),"-",""),".",""),"/","")," ",""),8),7,2)),"")))</f>
        <v/>
      </c>
      <c r="Y294" s="32">
        <f>IF($X294="","",INT($X294))</f>
        <v/>
      </c>
      <c r="Z294" s="33">
        <f>IF(OR($Y294="",$D$6=""),"",IF(INDEX($A:$U,ROW(),$D$6)="",0,IF(ISNUMBER(INDEX($A:$U,ROW(),$D$6)),INDEX($A:$U,ROW(),$D$6),IFERROR(--SUBSTITUTE(SUBSTITUTE(TRIM(INDEX($A:$U,ROW(),$D$6)),",",""),"원",""),0))))</f>
        <v/>
      </c>
      <c r="AA294" s="31">
        <f>IF($Y294="","",TRIM(INDEX($A:$U,ROW(),$E$6)&amp;IF($F$6="",""," "&amp;INDEX($A:$U,ROW(),$F$6))))</f>
        <v/>
      </c>
      <c r="AB294" s="31">
        <f>IF($AA294="","",SUBSTITUTE(SUBSTITUTE(SUBSTITUTE(SUBSTITUTE(SUBSTITUTE(SUBSTITUTE(SUBSTITUTE(SUBSTITUTE(SUBSTITUTE($AA294," ",""),"　",""),"(주)",""),"（주）",""),"㈜",""),"주식회사",""),"(유)",""),"（유）",""),"유한회사",""))</f>
        <v/>
      </c>
      <c r="AC294" s="31">
        <f>IF(OR($Y294="",N($Z294)&lt;=0,$AB294=""),0,IFERROR(LOOKUP(2,1/((거래처별!$AC$8:$AC$307&lt;&gt;"")*ISNUMBER(SEARCH(거래처별!$AC$8:$AC$307,$AB294))),거래처별!$A$8:$A$307),IFERROR(LOOKUP(2,1/((거래처별!$AD$8:$AD$307&lt;&gt;"")*ISNUMBER(SEARCH(거래처별!$AD$8:$AD$307,$AB294))),거래처별!$A$8:$A$307),IFERROR(LOOKUP(2,1/((거래처별!$AE$8:$AE$307&lt;&gt;"")*ISNUMBER(SEARCH(거래처별!$AE$8:$AE$307,$AB294))),거래처별!$A$8:$A$307),0))))</f>
        <v/>
      </c>
      <c r="AD294" s="31">
        <f>IF(AND($Y294&lt;&gt;"",N($Z294)&gt;0,$AC294=0),MAX($AD$7:$AD293)+1,"")</f>
        <v/>
      </c>
      <c r="AE294" s="31">
        <f>IF($Y294="",0,$Y294)</f>
        <v/>
      </c>
    </row>
    <row r="295">
      <c r="W295" s="31">
        <f>IF(OR($B$5="",$C$6="",ROW()&lt;$B$5),"",IF(INDEX($A:$U,ROW(),$C$6)="","",INDEX($A:$U,ROW(),$C$6)))</f>
        <v/>
      </c>
      <c r="X295" s="32">
        <f>IF($W295="","",IF(ISNUMBER($W295),IF($W295&gt;=10000000,IFERROR(DATE(INT($W295/10000),MOD(INT($W295/100),100),MOD($W295,100)),""),INT($W295)),IFERROR(DATE(--LEFT(LEFT(SUBSTITUTE(SUBSTITUTE(SUBSTITUTE(SUBSTITUTE(TRIM($W295),"-",""),".",""),"/","")," ",""),8),4),--MID(LEFT(SUBSTITUTE(SUBSTITUTE(SUBSTITUTE(SUBSTITUTE(TRIM($W295),"-",""),".",""),"/","")," ",""),8),5,2),--MID(LEFT(SUBSTITUTE(SUBSTITUTE(SUBSTITUTE(SUBSTITUTE(TRIM($W295),"-",""),".",""),"/","")," ",""),8),7,2)),"")))</f>
        <v/>
      </c>
      <c r="Y295" s="32">
        <f>IF($X295="","",INT($X295))</f>
        <v/>
      </c>
      <c r="Z295" s="33">
        <f>IF(OR($Y295="",$D$6=""),"",IF(INDEX($A:$U,ROW(),$D$6)="",0,IF(ISNUMBER(INDEX($A:$U,ROW(),$D$6)),INDEX($A:$U,ROW(),$D$6),IFERROR(--SUBSTITUTE(SUBSTITUTE(TRIM(INDEX($A:$U,ROW(),$D$6)),",",""),"원",""),0))))</f>
        <v/>
      </c>
      <c r="AA295" s="31">
        <f>IF($Y295="","",TRIM(INDEX($A:$U,ROW(),$E$6)&amp;IF($F$6="",""," "&amp;INDEX($A:$U,ROW(),$F$6))))</f>
        <v/>
      </c>
      <c r="AB295" s="31">
        <f>IF($AA295="","",SUBSTITUTE(SUBSTITUTE(SUBSTITUTE(SUBSTITUTE(SUBSTITUTE(SUBSTITUTE(SUBSTITUTE(SUBSTITUTE(SUBSTITUTE($AA295," ",""),"　",""),"(주)",""),"（주）",""),"㈜",""),"주식회사",""),"(유)",""),"（유）",""),"유한회사",""))</f>
        <v/>
      </c>
      <c r="AC295" s="31">
        <f>IF(OR($Y295="",N($Z295)&lt;=0,$AB295=""),0,IFERROR(LOOKUP(2,1/((거래처별!$AC$8:$AC$307&lt;&gt;"")*ISNUMBER(SEARCH(거래처별!$AC$8:$AC$307,$AB295))),거래처별!$A$8:$A$307),IFERROR(LOOKUP(2,1/((거래처별!$AD$8:$AD$307&lt;&gt;"")*ISNUMBER(SEARCH(거래처별!$AD$8:$AD$307,$AB295))),거래처별!$A$8:$A$307),IFERROR(LOOKUP(2,1/((거래처별!$AE$8:$AE$307&lt;&gt;"")*ISNUMBER(SEARCH(거래처별!$AE$8:$AE$307,$AB295))),거래처별!$A$8:$A$307),0))))</f>
        <v/>
      </c>
      <c r="AD295" s="31">
        <f>IF(AND($Y295&lt;&gt;"",N($Z295)&gt;0,$AC295=0),MAX($AD$7:$AD294)+1,"")</f>
        <v/>
      </c>
      <c r="AE295" s="31">
        <f>IF($Y295="",0,$Y295)</f>
        <v/>
      </c>
    </row>
    <row r="296">
      <c r="W296" s="31">
        <f>IF(OR($B$5="",$C$6="",ROW()&lt;$B$5),"",IF(INDEX($A:$U,ROW(),$C$6)="","",INDEX($A:$U,ROW(),$C$6)))</f>
        <v/>
      </c>
      <c r="X296" s="32">
        <f>IF($W296="","",IF(ISNUMBER($W296),IF($W296&gt;=10000000,IFERROR(DATE(INT($W296/10000),MOD(INT($W296/100),100),MOD($W296,100)),""),INT($W296)),IFERROR(DATE(--LEFT(LEFT(SUBSTITUTE(SUBSTITUTE(SUBSTITUTE(SUBSTITUTE(TRIM($W296),"-",""),".",""),"/","")," ",""),8),4),--MID(LEFT(SUBSTITUTE(SUBSTITUTE(SUBSTITUTE(SUBSTITUTE(TRIM($W296),"-",""),".",""),"/","")," ",""),8),5,2),--MID(LEFT(SUBSTITUTE(SUBSTITUTE(SUBSTITUTE(SUBSTITUTE(TRIM($W296),"-",""),".",""),"/","")," ",""),8),7,2)),"")))</f>
        <v/>
      </c>
      <c r="Y296" s="32">
        <f>IF($X296="","",INT($X296))</f>
        <v/>
      </c>
      <c r="Z296" s="33">
        <f>IF(OR($Y296="",$D$6=""),"",IF(INDEX($A:$U,ROW(),$D$6)="",0,IF(ISNUMBER(INDEX($A:$U,ROW(),$D$6)),INDEX($A:$U,ROW(),$D$6),IFERROR(--SUBSTITUTE(SUBSTITUTE(TRIM(INDEX($A:$U,ROW(),$D$6)),",",""),"원",""),0))))</f>
        <v/>
      </c>
      <c r="AA296" s="31">
        <f>IF($Y296="","",TRIM(INDEX($A:$U,ROW(),$E$6)&amp;IF($F$6="",""," "&amp;INDEX($A:$U,ROW(),$F$6))))</f>
        <v/>
      </c>
      <c r="AB296" s="31">
        <f>IF($AA296="","",SUBSTITUTE(SUBSTITUTE(SUBSTITUTE(SUBSTITUTE(SUBSTITUTE(SUBSTITUTE(SUBSTITUTE(SUBSTITUTE(SUBSTITUTE($AA296," ",""),"　",""),"(주)",""),"（주）",""),"㈜",""),"주식회사",""),"(유)",""),"（유）",""),"유한회사",""))</f>
        <v/>
      </c>
      <c r="AC296" s="31">
        <f>IF(OR($Y296="",N($Z296)&lt;=0,$AB296=""),0,IFERROR(LOOKUP(2,1/((거래처별!$AC$8:$AC$307&lt;&gt;"")*ISNUMBER(SEARCH(거래처별!$AC$8:$AC$307,$AB296))),거래처별!$A$8:$A$307),IFERROR(LOOKUP(2,1/((거래처별!$AD$8:$AD$307&lt;&gt;"")*ISNUMBER(SEARCH(거래처별!$AD$8:$AD$307,$AB296))),거래처별!$A$8:$A$307),IFERROR(LOOKUP(2,1/((거래처별!$AE$8:$AE$307&lt;&gt;"")*ISNUMBER(SEARCH(거래처별!$AE$8:$AE$307,$AB296))),거래처별!$A$8:$A$307),0))))</f>
        <v/>
      </c>
      <c r="AD296" s="31">
        <f>IF(AND($Y296&lt;&gt;"",N($Z296)&gt;0,$AC296=0),MAX($AD$7:$AD295)+1,"")</f>
        <v/>
      </c>
      <c r="AE296" s="31">
        <f>IF($Y296="",0,$Y296)</f>
        <v/>
      </c>
    </row>
    <row r="297">
      <c r="W297" s="31">
        <f>IF(OR($B$5="",$C$6="",ROW()&lt;$B$5),"",IF(INDEX($A:$U,ROW(),$C$6)="","",INDEX($A:$U,ROW(),$C$6)))</f>
        <v/>
      </c>
      <c r="X297" s="32">
        <f>IF($W297="","",IF(ISNUMBER($W297),IF($W297&gt;=10000000,IFERROR(DATE(INT($W297/10000),MOD(INT($W297/100),100),MOD($W297,100)),""),INT($W297)),IFERROR(DATE(--LEFT(LEFT(SUBSTITUTE(SUBSTITUTE(SUBSTITUTE(SUBSTITUTE(TRIM($W297),"-",""),".",""),"/","")," ",""),8),4),--MID(LEFT(SUBSTITUTE(SUBSTITUTE(SUBSTITUTE(SUBSTITUTE(TRIM($W297),"-",""),".",""),"/","")," ",""),8),5,2),--MID(LEFT(SUBSTITUTE(SUBSTITUTE(SUBSTITUTE(SUBSTITUTE(TRIM($W297),"-",""),".",""),"/","")," ",""),8),7,2)),"")))</f>
        <v/>
      </c>
      <c r="Y297" s="32">
        <f>IF($X297="","",INT($X297))</f>
        <v/>
      </c>
      <c r="Z297" s="33">
        <f>IF(OR($Y297="",$D$6=""),"",IF(INDEX($A:$U,ROW(),$D$6)="",0,IF(ISNUMBER(INDEX($A:$U,ROW(),$D$6)),INDEX($A:$U,ROW(),$D$6),IFERROR(--SUBSTITUTE(SUBSTITUTE(TRIM(INDEX($A:$U,ROW(),$D$6)),",",""),"원",""),0))))</f>
        <v/>
      </c>
      <c r="AA297" s="31">
        <f>IF($Y297="","",TRIM(INDEX($A:$U,ROW(),$E$6)&amp;IF($F$6="",""," "&amp;INDEX($A:$U,ROW(),$F$6))))</f>
        <v/>
      </c>
      <c r="AB297" s="31">
        <f>IF($AA297="","",SUBSTITUTE(SUBSTITUTE(SUBSTITUTE(SUBSTITUTE(SUBSTITUTE(SUBSTITUTE(SUBSTITUTE(SUBSTITUTE(SUBSTITUTE($AA297," ",""),"　",""),"(주)",""),"（주）",""),"㈜",""),"주식회사",""),"(유)",""),"（유）",""),"유한회사",""))</f>
        <v/>
      </c>
      <c r="AC297" s="31">
        <f>IF(OR($Y297="",N($Z297)&lt;=0,$AB297=""),0,IFERROR(LOOKUP(2,1/((거래처별!$AC$8:$AC$307&lt;&gt;"")*ISNUMBER(SEARCH(거래처별!$AC$8:$AC$307,$AB297))),거래처별!$A$8:$A$307),IFERROR(LOOKUP(2,1/((거래처별!$AD$8:$AD$307&lt;&gt;"")*ISNUMBER(SEARCH(거래처별!$AD$8:$AD$307,$AB297))),거래처별!$A$8:$A$307),IFERROR(LOOKUP(2,1/((거래처별!$AE$8:$AE$307&lt;&gt;"")*ISNUMBER(SEARCH(거래처별!$AE$8:$AE$307,$AB297))),거래처별!$A$8:$A$307),0))))</f>
        <v/>
      </c>
      <c r="AD297" s="31">
        <f>IF(AND($Y297&lt;&gt;"",N($Z297)&gt;0,$AC297=0),MAX($AD$7:$AD296)+1,"")</f>
        <v/>
      </c>
      <c r="AE297" s="31">
        <f>IF($Y297="",0,$Y297)</f>
        <v/>
      </c>
    </row>
    <row r="298">
      <c r="W298" s="31">
        <f>IF(OR($B$5="",$C$6="",ROW()&lt;$B$5),"",IF(INDEX($A:$U,ROW(),$C$6)="","",INDEX($A:$U,ROW(),$C$6)))</f>
        <v/>
      </c>
      <c r="X298" s="32">
        <f>IF($W298="","",IF(ISNUMBER($W298),IF($W298&gt;=10000000,IFERROR(DATE(INT($W298/10000),MOD(INT($W298/100),100),MOD($W298,100)),""),INT($W298)),IFERROR(DATE(--LEFT(LEFT(SUBSTITUTE(SUBSTITUTE(SUBSTITUTE(SUBSTITUTE(TRIM($W298),"-",""),".",""),"/","")," ",""),8),4),--MID(LEFT(SUBSTITUTE(SUBSTITUTE(SUBSTITUTE(SUBSTITUTE(TRIM($W298),"-",""),".",""),"/","")," ",""),8),5,2),--MID(LEFT(SUBSTITUTE(SUBSTITUTE(SUBSTITUTE(SUBSTITUTE(TRIM($W298),"-",""),".",""),"/","")," ",""),8),7,2)),"")))</f>
        <v/>
      </c>
      <c r="Y298" s="32">
        <f>IF($X298="","",INT($X298))</f>
        <v/>
      </c>
      <c r="Z298" s="33">
        <f>IF(OR($Y298="",$D$6=""),"",IF(INDEX($A:$U,ROW(),$D$6)="",0,IF(ISNUMBER(INDEX($A:$U,ROW(),$D$6)),INDEX($A:$U,ROW(),$D$6),IFERROR(--SUBSTITUTE(SUBSTITUTE(TRIM(INDEX($A:$U,ROW(),$D$6)),",",""),"원",""),0))))</f>
        <v/>
      </c>
      <c r="AA298" s="31">
        <f>IF($Y298="","",TRIM(INDEX($A:$U,ROW(),$E$6)&amp;IF($F$6="",""," "&amp;INDEX($A:$U,ROW(),$F$6))))</f>
        <v/>
      </c>
      <c r="AB298" s="31">
        <f>IF($AA298="","",SUBSTITUTE(SUBSTITUTE(SUBSTITUTE(SUBSTITUTE(SUBSTITUTE(SUBSTITUTE(SUBSTITUTE(SUBSTITUTE(SUBSTITUTE($AA298," ",""),"　",""),"(주)",""),"（주）",""),"㈜",""),"주식회사",""),"(유)",""),"（유）",""),"유한회사",""))</f>
        <v/>
      </c>
      <c r="AC298" s="31">
        <f>IF(OR($Y298="",N($Z298)&lt;=0,$AB298=""),0,IFERROR(LOOKUP(2,1/((거래처별!$AC$8:$AC$307&lt;&gt;"")*ISNUMBER(SEARCH(거래처별!$AC$8:$AC$307,$AB298))),거래처별!$A$8:$A$307),IFERROR(LOOKUP(2,1/((거래처별!$AD$8:$AD$307&lt;&gt;"")*ISNUMBER(SEARCH(거래처별!$AD$8:$AD$307,$AB298))),거래처별!$A$8:$A$307),IFERROR(LOOKUP(2,1/((거래처별!$AE$8:$AE$307&lt;&gt;"")*ISNUMBER(SEARCH(거래처별!$AE$8:$AE$307,$AB298))),거래처별!$A$8:$A$307),0))))</f>
        <v/>
      </c>
      <c r="AD298" s="31">
        <f>IF(AND($Y298&lt;&gt;"",N($Z298)&gt;0,$AC298=0),MAX($AD$7:$AD297)+1,"")</f>
        <v/>
      </c>
      <c r="AE298" s="31">
        <f>IF($Y298="",0,$Y298)</f>
        <v/>
      </c>
    </row>
    <row r="299">
      <c r="W299" s="31">
        <f>IF(OR($B$5="",$C$6="",ROW()&lt;$B$5),"",IF(INDEX($A:$U,ROW(),$C$6)="","",INDEX($A:$U,ROW(),$C$6)))</f>
        <v/>
      </c>
      <c r="X299" s="32">
        <f>IF($W299="","",IF(ISNUMBER($W299),IF($W299&gt;=10000000,IFERROR(DATE(INT($W299/10000),MOD(INT($W299/100),100),MOD($W299,100)),""),INT($W299)),IFERROR(DATE(--LEFT(LEFT(SUBSTITUTE(SUBSTITUTE(SUBSTITUTE(SUBSTITUTE(TRIM($W299),"-",""),".",""),"/","")," ",""),8),4),--MID(LEFT(SUBSTITUTE(SUBSTITUTE(SUBSTITUTE(SUBSTITUTE(TRIM($W299),"-",""),".",""),"/","")," ",""),8),5,2),--MID(LEFT(SUBSTITUTE(SUBSTITUTE(SUBSTITUTE(SUBSTITUTE(TRIM($W299),"-",""),".",""),"/","")," ",""),8),7,2)),"")))</f>
        <v/>
      </c>
      <c r="Y299" s="32">
        <f>IF($X299="","",INT($X299))</f>
        <v/>
      </c>
      <c r="Z299" s="33">
        <f>IF(OR($Y299="",$D$6=""),"",IF(INDEX($A:$U,ROW(),$D$6)="",0,IF(ISNUMBER(INDEX($A:$U,ROW(),$D$6)),INDEX($A:$U,ROW(),$D$6),IFERROR(--SUBSTITUTE(SUBSTITUTE(TRIM(INDEX($A:$U,ROW(),$D$6)),",",""),"원",""),0))))</f>
        <v/>
      </c>
      <c r="AA299" s="31">
        <f>IF($Y299="","",TRIM(INDEX($A:$U,ROW(),$E$6)&amp;IF($F$6="",""," "&amp;INDEX($A:$U,ROW(),$F$6))))</f>
        <v/>
      </c>
      <c r="AB299" s="31">
        <f>IF($AA299="","",SUBSTITUTE(SUBSTITUTE(SUBSTITUTE(SUBSTITUTE(SUBSTITUTE(SUBSTITUTE(SUBSTITUTE(SUBSTITUTE(SUBSTITUTE($AA299," ",""),"　",""),"(주)",""),"（주）",""),"㈜",""),"주식회사",""),"(유)",""),"（유）",""),"유한회사",""))</f>
        <v/>
      </c>
      <c r="AC299" s="31">
        <f>IF(OR($Y299="",N($Z299)&lt;=0,$AB299=""),0,IFERROR(LOOKUP(2,1/((거래처별!$AC$8:$AC$307&lt;&gt;"")*ISNUMBER(SEARCH(거래처별!$AC$8:$AC$307,$AB299))),거래처별!$A$8:$A$307),IFERROR(LOOKUP(2,1/((거래처별!$AD$8:$AD$307&lt;&gt;"")*ISNUMBER(SEARCH(거래처별!$AD$8:$AD$307,$AB299))),거래처별!$A$8:$A$307),IFERROR(LOOKUP(2,1/((거래처별!$AE$8:$AE$307&lt;&gt;"")*ISNUMBER(SEARCH(거래처별!$AE$8:$AE$307,$AB299))),거래처별!$A$8:$A$307),0))))</f>
        <v/>
      </c>
      <c r="AD299" s="31">
        <f>IF(AND($Y299&lt;&gt;"",N($Z299)&gt;0,$AC299=0),MAX($AD$7:$AD298)+1,"")</f>
        <v/>
      </c>
      <c r="AE299" s="31">
        <f>IF($Y299="",0,$Y299)</f>
        <v/>
      </c>
    </row>
    <row r="300">
      <c r="W300" s="31">
        <f>IF(OR($B$5="",$C$6="",ROW()&lt;$B$5),"",IF(INDEX($A:$U,ROW(),$C$6)="","",INDEX($A:$U,ROW(),$C$6)))</f>
        <v/>
      </c>
      <c r="X300" s="32">
        <f>IF($W300="","",IF(ISNUMBER($W300),IF($W300&gt;=10000000,IFERROR(DATE(INT($W300/10000),MOD(INT($W300/100),100),MOD($W300,100)),""),INT($W300)),IFERROR(DATE(--LEFT(LEFT(SUBSTITUTE(SUBSTITUTE(SUBSTITUTE(SUBSTITUTE(TRIM($W300),"-",""),".",""),"/","")," ",""),8),4),--MID(LEFT(SUBSTITUTE(SUBSTITUTE(SUBSTITUTE(SUBSTITUTE(TRIM($W300),"-",""),".",""),"/","")," ",""),8),5,2),--MID(LEFT(SUBSTITUTE(SUBSTITUTE(SUBSTITUTE(SUBSTITUTE(TRIM($W300),"-",""),".",""),"/","")," ",""),8),7,2)),"")))</f>
        <v/>
      </c>
      <c r="Y300" s="32">
        <f>IF($X300="","",INT($X300))</f>
        <v/>
      </c>
      <c r="Z300" s="33">
        <f>IF(OR($Y300="",$D$6=""),"",IF(INDEX($A:$U,ROW(),$D$6)="",0,IF(ISNUMBER(INDEX($A:$U,ROW(),$D$6)),INDEX($A:$U,ROW(),$D$6),IFERROR(--SUBSTITUTE(SUBSTITUTE(TRIM(INDEX($A:$U,ROW(),$D$6)),",",""),"원",""),0))))</f>
        <v/>
      </c>
      <c r="AA300" s="31">
        <f>IF($Y300="","",TRIM(INDEX($A:$U,ROW(),$E$6)&amp;IF($F$6="",""," "&amp;INDEX($A:$U,ROW(),$F$6))))</f>
        <v/>
      </c>
      <c r="AB300" s="31">
        <f>IF($AA300="","",SUBSTITUTE(SUBSTITUTE(SUBSTITUTE(SUBSTITUTE(SUBSTITUTE(SUBSTITUTE(SUBSTITUTE(SUBSTITUTE(SUBSTITUTE($AA300," ",""),"　",""),"(주)",""),"（주）",""),"㈜",""),"주식회사",""),"(유)",""),"（유）",""),"유한회사",""))</f>
        <v/>
      </c>
      <c r="AC300" s="31">
        <f>IF(OR($Y300="",N($Z300)&lt;=0,$AB300=""),0,IFERROR(LOOKUP(2,1/((거래처별!$AC$8:$AC$307&lt;&gt;"")*ISNUMBER(SEARCH(거래처별!$AC$8:$AC$307,$AB300))),거래처별!$A$8:$A$307),IFERROR(LOOKUP(2,1/((거래처별!$AD$8:$AD$307&lt;&gt;"")*ISNUMBER(SEARCH(거래처별!$AD$8:$AD$307,$AB300))),거래처별!$A$8:$A$307),IFERROR(LOOKUP(2,1/((거래처별!$AE$8:$AE$307&lt;&gt;"")*ISNUMBER(SEARCH(거래처별!$AE$8:$AE$307,$AB300))),거래처별!$A$8:$A$307),0))))</f>
        <v/>
      </c>
      <c r="AD300" s="31">
        <f>IF(AND($Y300&lt;&gt;"",N($Z300)&gt;0,$AC300=0),MAX($AD$7:$AD299)+1,"")</f>
        <v/>
      </c>
      <c r="AE300" s="31">
        <f>IF($Y300="",0,$Y300)</f>
        <v/>
      </c>
    </row>
    <row r="301">
      <c r="W301" s="31">
        <f>IF(OR($B$5="",$C$6="",ROW()&lt;$B$5),"",IF(INDEX($A:$U,ROW(),$C$6)="","",INDEX($A:$U,ROW(),$C$6)))</f>
        <v/>
      </c>
      <c r="X301" s="32">
        <f>IF($W301="","",IF(ISNUMBER($W301),IF($W301&gt;=10000000,IFERROR(DATE(INT($W301/10000),MOD(INT($W301/100),100),MOD($W301,100)),""),INT($W301)),IFERROR(DATE(--LEFT(LEFT(SUBSTITUTE(SUBSTITUTE(SUBSTITUTE(SUBSTITUTE(TRIM($W301),"-",""),".",""),"/","")," ",""),8),4),--MID(LEFT(SUBSTITUTE(SUBSTITUTE(SUBSTITUTE(SUBSTITUTE(TRIM($W301),"-",""),".",""),"/","")," ",""),8),5,2),--MID(LEFT(SUBSTITUTE(SUBSTITUTE(SUBSTITUTE(SUBSTITUTE(TRIM($W301),"-",""),".",""),"/","")," ",""),8),7,2)),"")))</f>
        <v/>
      </c>
      <c r="Y301" s="32">
        <f>IF($X301="","",INT($X301))</f>
        <v/>
      </c>
      <c r="Z301" s="33">
        <f>IF(OR($Y301="",$D$6=""),"",IF(INDEX($A:$U,ROW(),$D$6)="",0,IF(ISNUMBER(INDEX($A:$U,ROW(),$D$6)),INDEX($A:$U,ROW(),$D$6),IFERROR(--SUBSTITUTE(SUBSTITUTE(TRIM(INDEX($A:$U,ROW(),$D$6)),",",""),"원",""),0))))</f>
        <v/>
      </c>
      <c r="AA301" s="31">
        <f>IF($Y301="","",TRIM(INDEX($A:$U,ROW(),$E$6)&amp;IF($F$6="",""," "&amp;INDEX($A:$U,ROW(),$F$6))))</f>
        <v/>
      </c>
      <c r="AB301" s="31">
        <f>IF($AA301="","",SUBSTITUTE(SUBSTITUTE(SUBSTITUTE(SUBSTITUTE(SUBSTITUTE(SUBSTITUTE(SUBSTITUTE(SUBSTITUTE(SUBSTITUTE($AA301," ",""),"　",""),"(주)",""),"（주）",""),"㈜",""),"주식회사",""),"(유)",""),"（유）",""),"유한회사",""))</f>
        <v/>
      </c>
      <c r="AC301" s="31">
        <f>IF(OR($Y301="",N($Z301)&lt;=0,$AB301=""),0,IFERROR(LOOKUP(2,1/((거래처별!$AC$8:$AC$307&lt;&gt;"")*ISNUMBER(SEARCH(거래처별!$AC$8:$AC$307,$AB301))),거래처별!$A$8:$A$307),IFERROR(LOOKUP(2,1/((거래처별!$AD$8:$AD$307&lt;&gt;"")*ISNUMBER(SEARCH(거래처별!$AD$8:$AD$307,$AB301))),거래처별!$A$8:$A$307),IFERROR(LOOKUP(2,1/((거래처별!$AE$8:$AE$307&lt;&gt;"")*ISNUMBER(SEARCH(거래처별!$AE$8:$AE$307,$AB301))),거래처별!$A$8:$A$307),0))))</f>
        <v/>
      </c>
      <c r="AD301" s="31">
        <f>IF(AND($Y301&lt;&gt;"",N($Z301)&gt;0,$AC301=0),MAX($AD$7:$AD300)+1,"")</f>
        <v/>
      </c>
      <c r="AE301" s="31">
        <f>IF($Y301="",0,$Y301)</f>
        <v/>
      </c>
    </row>
    <row r="302">
      <c r="W302" s="31">
        <f>IF(OR($B$5="",$C$6="",ROW()&lt;$B$5),"",IF(INDEX($A:$U,ROW(),$C$6)="","",INDEX($A:$U,ROW(),$C$6)))</f>
        <v/>
      </c>
      <c r="X302" s="32">
        <f>IF($W302="","",IF(ISNUMBER($W302),IF($W302&gt;=10000000,IFERROR(DATE(INT($W302/10000),MOD(INT($W302/100),100),MOD($W302,100)),""),INT($W302)),IFERROR(DATE(--LEFT(LEFT(SUBSTITUTE(SUBSTITUTE(SUBSTITUTE(SUBSTITUTE(TRIM($W302),"-",""),".",""),"/","")," ",""),8),4),--MID(LEFT(SUBSTITUTE(SUBSTITUTE(SUBSTITUTE(SUBSTITUTE(TRIM($W302),"-",""),".",""),"/","")," ",""),8),5,2),--MID(LEFT(SUBSTITUTE(SUBSTITUTE(SUBSTITUTE(SUBSTITUTE(TRIM($W302),"-",""),".",""),"/","")," ",""),8),7,2)),"")))</f>
        <v/>
      </c>
      <c r="Y302" s="32">
        <f>IF($X302="","",INT($X302))</f>
        <v/>
      </c>
      <c r="Z302" s="33">
        <f>IF(OR($Y302="",$D$6=""),"",IF(INDEX($A:$U,ROW(),$D$6)="",0,IF(ISNUMBER(INDEX($A:$U,ROW(),$D$6)),INDEX($A:$U,ROW(),$D$6),IFERROR(--SUBSTITUTE(SUBSTITUTE(TRIM(INDEX($A:$U,ROW(),$D$6)),",",""),"원",""),0))))</f>
        <v/>
      </c>
      <c r="AA302" s="31">
        <f>IF($Y302="","",TRIM(INDEX($A:$U,ROW(),$E$6)&amp;IF($F$6="",""," "&amp;INDEX($A:$U,ROW(),$F$6))))</f>
        <v/>
      </c>
      <c r="AB302" s="31">
        <f>IF($AA302="","",SUBSTITUTE(SUBSTITUTE(SUBSTITUTE(SUBSTITUTE(SUBSTITUTE(SUBSTITUTE(SUBSTITUTE(SUBSTITUTE(SUBSTITUTE($AA302," ",""),"　",""),"(주)",""),"（주）",""),"㈜",""),"주식회사",""),"(유)",""),"（유）",""),"유한회사",""))</f>
        <v/>
      </c>
      <c r="AC302" s="31">
        <f>IF(OR($Y302="",N($Z302)&lt;=0,$AB302=""),0,IFERROR(LOOKUP(2,1/((거래처별!$AC$8:$AC$307&lt;&gt;"")*ISNUMBER(SEARCH(거래처별!$AC$8:$AC$307,$AB302))),거래처별!$A$8:$A$307),IFERROR(LOOKUP(2,1/((거래처별!$AD$8:$AD$307&lt;&gt;"")*ISNUMBER(SEARCH(거래처별!$AD$8:$AD$307,$AB302))),거래처별!$A$8:$A$307),IFERROR(LOOKUP(2,1/((거래처별!$AE$8:$AE$307&lt;&gt;"")*ISNUMBER(SEARCH(거래처별!$AE$8:$AE$307,$AB302))),거래처별!$A$8:$A$307),0))))</f>
        <v/>
      </c>
      <c r="AD302" s="31">
        <f>IF(AND($Y302&lt;&gt;"",N($Z302)&gt;0,$AC302=0),MAX($AD$7:$AD301)+1,"")</f>
        <v/>
      </c>
      <c r="AE302" s="31">
        <f>IF($Y302="",0,$Y302)</f>
        <v/>
      </c>
    </row>
    <row r="303">
      <c r="W303" s="31">
        <f>IF(OR($B$5="",$C$6="",ROW()&lt;$B$5),"",IF(INDEX($A:$U,ROW(),$C$6)="","",INDEX($A:$U,ROW(),$C$6)))</f>
        <v/>
      </c>
      <c r="X303" s="32">
        <f>IF($W303="","",IF(ISNUMBER($W303),IF($W303&gt;=10000000,IFERROR(DATE(INT($W303/10000),MOD(INT($W303/100),100),MOD($W303,100)),""),INT($W303)),IFERROR(DATE(--LEFT(LEFT(SUBSTITUTE(SUBSTITUTE(SUBSTITUTE(SUBSTITUTE(TRIM($W303),"-",""),".",""),"/","")," ",""),8),4),--MID(LEFT(SUBSTITUTE(SUBSTITUTE(SUBSTITUTE(SUBSTITUTE(TRIM($W303),"-",""),".",""),"/","")," ",""),8),5,2),--MID(LEFT(SUBSTITUTE(SUBSTITUTE(SUBSTITUTE(SUBSTITUTE(TRIM($W303),"-",""),".",""),"/","")," ",""),8),7,2)),"")))</f>
        <v/>
      </c>
      <c r="Y303" s="32">
        <f>IF($X303="","",INT($X303))</f>
        <v/>
      </c>
      <c r="Z303" s="33">
        <f>IF(OR($Y303="",$D$6=""),"",IF(INDEX($A:$U,ROW(),$D$6)="",0,IF(ISNUMBER(INDEX($A:$U,ROW(),$D$6)),INDEX($A:$U,ROW(),$D$6),IFERROR(--SUBSTITUTE(SUBSTITUTE(TRIM(INDEX($A:$U,ROW(),$D$6)),",",""),"원",""),0))))</f>
        <v/>
      </c>
      <c r="AA303" s="31">
        <f>IF($Y303="","",TRIM(INDEX($A:$U,ROW(),$E$6)&amp;IF($F$6="",""," "&amp;INDEX($A:$U,ROW(),$F$6))))</f>
        <v/>
      </c>
      <c r="AB303" s="31">
        <f>IF($AA303="","",SUBSTITUTE(SUBSTITUTE(SUBSTITUTE(SUBSTITUTE(SUBSTITUTE(SUBSTITUTE(SUBSTITUTE(SUBSTITUTE(SUBSTITUTE($AA303," ",""),"　",""),"(주)",""),"（주）",""),"㈜",""),"주식회사",""),"(유)",""),"（유）",""),"유한회사",""))</f>
        <v/>
      </c>
      <c r="AC303" s="31">
        <f>IF(OR($Y303="",N($Z303)&lt;=0,$AB303=""),0,IFERROR(LOOKUP(2,1/((거래처별!$AC$8:$AC$307&lt;&gt;"")*ISNUMBER(SEARCH(거래처별!$AC$8:$AC$307,$AB303))),거래처별!$A$8:$A$307),IFERROR(LOOKUP(2,1/((거래처별!$AD$8:$AD$307&lt;&gt;"")*ISNUMBER(SEARCH(거래처별!$AD$8:$AD$307,$AB303))),거래처별!$A$8:$A$307),IFERROR(LOOKUP(2,1/((거래처별!$AE$8:$AE$307&lt;&gt;"")*ISNUMBER(SEARCH(거래처별!$AE$8:$AE$307,$AB303))),거래처별!$A$8:$A$307),0))))</f>
        <v/>
      </c>
      <c r="AD303" s="31">
        <f>IF(AND($Y303&lt;&gt;"",N($Z303)&gt;0,$AC303=0),MAX($AD$7:$AD302)+1,"")</f>
        <v/>
      </c>
      <c r="AE303" s="31">
        <f>IF($Y303="",0,$Y303)</f>
        <v/>
      </c>
    </row>
    <row r="304">
      <c r="W304" s="31">
        <f>IF(OR($B$5="",$C$6="",ROW()&lt;$B$5),"",IF(INDEX($A:$U,ROW(),$C$6)="","",INDEX($A:$U,ROW(),$C$6)))</f>
        <v/>
      </c>
      <c r="X304" s="32">
        <f>IF($W304="","",IF(ISNUMBER($W304),IF($W304&gt;=10000000,IFERROR(DATE(INT($W304/10000),MOD(INT($W304/100),100),MOD($W304,100)),""),INT($W304)),IFERROR(DATE(--LEFT(LEFT(SUBSTITUTE(SUBSTITUTE(SUBSTITUTE(SUBSTITUTE(TRIM($W304),"-",""),".",""),"/","")," ",""),8),4),--MID(LEFT(SUBSTITUTE(SUBSTITUTE(SUBSTITUTE(SUBSTITUTE(TRIM($W304),"-",""),".",""),"/","")," ",""),8),5,2),--MID(LEFT(SUBSTITUTE(SUBSTITUTE(SUBSTITUTE(SUBSTITUTE(TRIM($W304),"-",""),".",""),"/","")," ",""),8),7,2)),"")))</f>
        <v/>
      </c>
      <c r="Y304" s="32">
        <f>IF($X304="","",INT($X304))</f>
        <v/>
      </c>
      <c r="Z304" s="33">
        <f>IF(OR($Y304="",$D$6=""),"",IF(INDEX($A:$U,ROW(),$D$6)="",0,IF(ISNUMBER(INDEX($A:$U,ROW(),$D$6)),INDEX($A:$U,ROW(),$D$6),IFERROR(--SUBSTITUTE(SUBSTITUTE(TRIM(INDEX($A:$U,ROW(),$D$6)),",",""),"원",""),0))))</f>
        <v/>
      </c>
      <c r="AA304" s="31">
        <f>IF($Y304="","",TRIM(INDEX($A:$U,ROW(),$E$6)&amp;IF($F$6="",""," "&amp;INDEX($A:$U,ROW(),$F$6))))</f>
        <v/>
      </c>
      <c r="AB304" s="31">
        <f>IF($AA304="","",SUBSTITUTE(SUBSTITUTE(SUBSTITUTE(SUBSTITUTE(SUBSTITUTE(SUBSTITUTE(SUBSTITUTE(SUBSTITUTE(SUBSTITUTE($AA304," ",""),"　",""),"(주)",""),"（주）",""),"㈜",""),"주식회사",""),"(유)",""),"（유）",""),"유한회사",""))</f>
        <v/>
      </c>
      <c r="AC304" s="31">
        <f>IF(OR($Y304="",N($Z304)&lt;=0,$AB304=""),0,IFERROR(LOOKUP(2,1/((거래처별!$AC$8:$AC$307&lt;&gt;"")*ISNUMBER(SEARCH(거래처별!$AC$8:$AC$307,$AB304))),거래처별!$A$8:$A$307),IFERROR(LOOKUP(2,1/((거래처별!$AD$8:$AD$307&lt;&gt;"")*ISNUMBER(SEARCH(거래처별!$AD$8:$AD$307,$AB304))),거래처별!$A$8:$A$307),IFERROR(LOOKUP(2,1/((거래처별!$AE$8:$AE$307&lt;&gt;"")*ISNUMBER(SEARCH(거래처별!$AE$8:$AE$307,$AB304))),거래처별!$A$8:$A$307),0))))</f>
        <v/>
      </c>
      <c r="AD304" s="31">
        <f>IF(AND($Y304&lt;&gt;"",N($Z304)&gt;0,$AC304=0),MAX($AD$7:$AD303)+1,"")</f>
        <v/>
      </c>
      <c r="AE304" s="31">
        <f>IF($Y304="",0,$Y304)</f>
        <v/>
      </c>
    </row>
    <row r="305">
      <c r="W305" s="31">
        <f>IF(OR($B$5="",$C$6="",ROW()&lt;$B$5),"",IF(INDEX($A:$U,ROW(),$C$6)="","",INDEX($A:$U,ROW(),$C$6)))</f>
        <v/>
      </c>
      <c r="X305" s="32">
        <f>IF($W305="","",IF(ISNUMBER($W305),IF($W305&gt;=10000000,IFERROR(DATE(INT($W305/10000),MOD(INT($W305/100),100),MOD($W305,100)),""),INT($W305)),IFERROR(DATE(--LEFT(LEFT(SUBSTITUTE(SUBSTITUTE(SUBSTITUTE(SUBSTITUTE(TRIM($W305),"-",""),".",""),"/","")," ",""),8),4),--MID(LEFT(SUBSTITUTE(SUBSTITUTE(SUBSTITUTE(SUBSTITUTE(TRIM($W305),"-",""),".",""),"/","")," ",""),8),5,2),--MID(LEFT(SUBSTITUTE(SUBSTITUTE(SUBSTITUTE(SUBSTITUTE(TRIM($W305),"-",""),".",""),"/","")," ",""),8),7,2)),"")))</f>
        <v/>
      </c>
      <c r="Y305" s="32">
        <f>IF($X305="","",INT($X305))</f>
        <v/>
      </c>
      <c r="Z305" s="33">
        <f>IF(OR($Y305="",$D$6=""),"",IF(INDEX($A:$U,ROW(),$D$6)="",0,IF(ISNUMBER(INDEX($A:$U,ROW(),$D$6)),INDEX($A:$U,ROW(),$D$6),IFERROR(--SUBSTITUTE(SUBSTITUTE(TRIM(INDEX($A:$U,ROW(),$D$6)),",",""),"원",""),0))))</f>
        <v/>
      </c>
      <c r="AA305" s="31">
        <f>IF($Y305="","",TRIM(INDEX($A:$U,ROW(),$E$6)&amp;IF($F$6="",""," "&amp;INDEX($A:$U,ROW(),$F$6))))</f>
        <v/>
      </c>
      <c r="AB305" s="31">
        <f>IF($AA305="","",SUBSTITUTE(SUBSTITUTE(SUBSTITUTE(SUBSTITUTE(SUBSTITUTE(SUBSTITUTE(SUBSTITUTE(SUBSTITUTE(SUBSTITUTE($AA305," ",""),"　",""),"(주)",""),"（주）",""),"㈜",""),"주식회사",""),"(유)",""),"（유）",""),"유한회사",""))</f>
        <v/>
      </c>
      <c r="AC305" s="31">
        <f>IF(OR($Y305="",N($Z305)&lt;=0,$AB305=""),0,IFERROR(LOOKUP(2,1/((거래처별!$AC$8:$AC$307&lt;&gt;"")*ISNUMBER(SEARCH(거래처별!$AC$8:$AC$307,$AB305))),거래처별!$A$8:$A$307),IFERROR(LOOKUP(2,1/((거래처별!$AD$8:$AD$307&lt;&gt;"")*ISNUMBER(SEARCH(거래처별!$AD$8:$AD$307,$AB305))),거래처별!$A$8:$A$307),IFERROR(LOOKUP(2,1/((거래처별!$AE$8:$AE$307&lt;&gt;"")*ISNUMBER(SEARCH(거래처별!$AE$8:$AE$307,$AB305))),거래처별!$A$8:$A$307),0))))</f>
        <v/>
      </c>
      <c r="AD305" s="31">
        <f>IF(AND($Y305&lt;&gt;"",N($Z305)&gt;0,$AC305=0),MAX($AD$7:$AD304)+1,"")</f>
        <v/>
      </c>
      <c r="AE305" s="31">
        <f>IF($Y305="",0,$Y305)</f>
        <v/>
      </c>
    </row>
    <row r="306">
      <c r="W306" s="31">
        <f>IF(OR($B$5="",$C$6="",ROW()&lt;$B$5),"",IF(INDEX($A:$U,ROW(),$C$6)="","",INDEX($A:$U,ROW(),$C$6)))</f>
        <v/>
      </c>
      <c r="X306" s="32">
        <f>IF($W306="","",IF(ISNUMBER($W306),IF($W306&gt;=10000000,IFERROR(DATE(INT($W306/10000),MOD(INT($W306/100),100),MOD($W306,100)),""),INT($W306)),IFERROR(DATE(--LEFT(LEFT(SUBSTITUTE(SUBSTITUTE(SUBSTITUTE(SUBSTITUTE(TRIM($W306),"-",""),".",""),"/","")," ",""),8),4),--MID(LEFT(SUBSTITUTE(SUBSTITUTE(SUBSTITUTE(SUBSTITUTE(TRIM($W306),"-",""),".",""),"/","")," ",""),8),5,2),--MID(LEFT(SUBSTITUTE(SUBSTITUTE(SUBSTITUTE(SUBSTITUTE(TRIM($W306),"-",""),".",""),"/","")," ",""),8),7,2)),"")))</f>
        <v/>
      </c>
      <c r="Y306" s="32">
        <f>IF($X306="","",INT($X306))</f>
        <v/>
      </c>
      <c r="Z306" s="33">
        <f>IF(OR($Y306="",$D$6=""),"",IF(INDEX($A:$U,ROW(),$D$6)="",0,IF(ISNUMBER(INDEX($A:$U,ROW(),$D$6)),INDEX($A:$U,ROW(),$D$6),IFERROR(--SUBSTITUTE(SUBSTITUTE(TRIM(INDEX($A:$U,ROW(),$D$6)),",",""),"원",""),0))))</f>
        <v/>
      </c>
      <c r="AA306" s="31">
        <f>IF($Y306="","",TRIM(INDEX($A:$U,ROW(),$E$6)&amp;IF($F$6="",""," "&amp;INDEX($A:$U,ROW(),$F$6))))</f>
        <v/>
      </c>
      <c r="AB306" s="31">
        <f>IF($AA306="","",SUBSTITUTE(SUBSTITUTE(SUBSTITUTE(SUBSTITUTE(SUBSTITUTE(SUBSTITUTE(SUBSTITUTE(SUBSTITUTE(SUBSTITUTE($AA306," ",""),"　",""),"(주)",""),"（주）",""),"㈜",""),"주식회사",""),"(유)",""),"（유）",""),"유한회사",""))</f>
        <v/>
      </c>
      <c r="AC306" s="31">
        <f>IF(OR($Y306="",N($Z306)&lt;=0,$AB306=""),0,IFERROR(LOOKUP(2,1/((거래처별!$AC$8:$AC$307&lt;&gt;"")*ISNUMBER(SEARCH(거래처별!$AC$8:$AC$307,$AB306))),거래처별!$A$8:$A$307),IFERROR(LOOKUP(2,1/((거래처별!$AD$8:$AD$307&lt;&gt;"")*ISNUMBER(SEARCH(거래처별!$AD$8:$AD$307,$AB306))),거래처별!$A$8:$A$307),IFERROR(LOOKUP(2,1/((거래처별!$AE$8:$AE$307&lt;&gt;"")*ISNUMBER(SEARCH(거래처별!$AE$8:$AE$307,$AB306))),거래처별!$A$8:$A$307),0))))</f>
        <v/>
      </c>
      <c r="AD306" s="31">
        <f>IF(AND($Y306&lt;&gt;"",N($Z306)&gt;0,$AC306=0),MAX($AD$7:$AD305)+1,"")</f>
        <v/>
      </c>
      <c r="AE306" s="31">
        <f>IF($Y306="",0,$Y306)</f>
        <v/>
      </c>
    </row>
    <row r="307">
      <c r="W307" s="31">
        <f>IF(OR($B$5="",$C$6="",ROW()&lt;$B$5),"",IF(INDEX($A:$U,ROW(),$C$6)="","",INDEX($A:$U,ROW(),$C$6)))</f>
        <v/>
      </c>
      <c r="X307" s="32">
        <f>IF($W307="","",IF(ISNUMBER($W307),IF($W307&gt;=10000000,IFERROR(DATE(INT($W307/10000),MOD(INT($W307/100),100),MOD($W307,100)),""),INT($W307)),IFERROR(DATE(--LEFT(LEFT(SUBSTITUTE(SUBSTITUTE(SUBSTITUTE(SUBSTITUTE(TRIM($W307),"-",""),".",""),"/","")," ",""),8),4),--MID(LEFT(SUBSTITUTE(SUBSTITUTE(SUBSTITUTE(SUBSTITUTE(TRIM($W307),"-",""),".",""),"/","")," ",""),8),5,2),--MID(LEFT(SUBSTITUTE(SUBSTITUTE(SUBSTITUTE(SUBSTITUTE(TRIM($W307),"-",""),".",""),"/","")," ",""),8),7,2)),"")))</f>
        <v/>
      </c>
      <c r="Y307" s="32">
        <f>IF($X307="","",INT($X307))</f>
        <v/>
      </c>
      <c r="Z307" s="33">
        <f>IF(OR($Y307="",$D$6=""),"",IF(INDEX($A:$U,ROW(),$D$6)="",0,IF(ISNUMBER(INDEX($A:$U,ROW(),$D$6)),INDEX($A:$U,ROW(),$D$6),IFERROR(--SUBSTITUTE(SUBSTITUTE(TRIM(INDEX($A:$U,ROW(),$D$6)),",",""),"원",""),0))))</f>
        <v/>
      </c>
      <c r="AA307" s="31">
        <f>IF($Y307="","",TRIM(INDEX($A:$U,ROW(),$E$6)&amp;IF($F$6="",""," "&amp;INDEX($A:$U,ROW(),$F$6))))</f>
        <v/>
      </c>
      <c r="AB307" s="31">
        <f>IF($AA307="","",SUBSTITUTE(SUBSTITUTE(SUBSTITUTE(SUBSTITUTE(SUBSTITUTE(SUBSTITUTE(SUBSTITUTE(SUBSTITUTE(SUBSTITUTE($AA307," ",""),"　",""),"(주)",""),"（주）",""),"㈜",""),"주식회사",""),"(유)",""),"（유）",""),"유한회사",""))</f>
        <v/>
      </c>
      <c r="AC307" s="31">
        <f>IF(OR($Y307="",N($Z307)&lt;=0,$AB307=""),0,IFERROR(LOOKUP(2,1/((거래처별!$AC$8:$AC$307&lt;&gt;"")*ISNUMBER(SEARCH(거래처별!$AC$8:$AC$307,$AB307))),거래처별!$A$8:$A$307),IFERROR(LOOKUP(2,1/((거래처별!$AD$8:$AD$307&lt;&gt;"")*ISNUMBER(SEARCH(거래처별!$AD$8:$AD$307,$AB307))),거래처별!$A$8:$A$307),IFERROR(LOOKUP(2,1/((거래처별!$AE$8:$AE$307&lt;&gt;"")*ISNUMBER(SEARCH(거래처별!$AE$8:$AE$307,$AB307))),거래처별!$A$8:$A$307),0))))</f>
        <v/>
      </c>
      <c r="AD307" s="31">
        <f>IF(AND($Y307&lt;&gt;"",N($Z307)&gt;0,$AC307=0),MAX($AD$7:$AD306)+1,"")</f>
        <v/>
      </c>
      <c r="AE307" s="31">
        <f>IF($Y307="",0,$Y307)</f>
        <v/>
      </c>
    </row>
    <row r="308">
      <c r="W308" s="31">
        <f>IF(OR($B$5="",$C$6="",ROW()&lt;$B$5),"",IF(INDEX($A:$U,ROW(),$C$6)="","",INDEX($A:$U,ROW(),$C$6)))</f>
        <v/>
      </c>
      <c r="X308" s="32">
        <f>IF($W308="","",IF(ISNUMBER($W308),IF($W308&gt;=10000000,IFERROR(DATE(INT($W308/10000),MOD(INT($W308/100),100),MOD($W308,100)),""),INT($W308)),IFERROR(DATE(--LEFT(LEFT(SUBSTITUTE(SUBSTITUTE(SUBSTITUTE(SUBSTITUTE(TRIM($W308),"-",""),".",""),"/","")," ",""),8),4),--MID(LEFT(SUBSTITUTE(SUBSTITUTE(SUBSTITUTE(SUBSTITUTE(TRIM($W308),"-",""),".",""),"/","")," ",""),8),5,2),--MID(LEFT(SUBSTITUTE(SUBSTITUTE(SUBSTITUTE(SUBSTITUTE(TRIM($W308),"-",""),".",""),"/","")," ",""),8),7,2)),"")))</f>
        <v/>
      </c>
      <c r="Y308" s="32">
        <f>IF($X308="","",INT($X308))</f>
        <v/>
      </c>
      <c r="Z308" s="33">
        <f>IF(OR($Y308="",$D$6=""),"",IF(INDEX($A:$U,ROW(),$D$6)="",0,IF(ISNUMBER(INDEX($A:$U,ROW(),$D$6)),INDEX($A:$U,ROW(),$D$6),IFERROR(--SUBSTITUTE(SUBSTITUTE(TRIM(INDEX($A:$U,ROW(),$D$6)),",",""),"원",""),0))))</f>
        <v/>
      </c>
      <c r="AA308" s="31">
        <f>IF($Y308="","",TRIM(INDEX($A:$U,ROW(),$E$6)&amp;IF($F$6="",""," "&amp;INDEX($A:$U,ROW(),$F$6))))</f>
        <v/>
      </c>
      <c r="AB308" s="31">
        <f>IF($AA308="","",SUBSTITUTE(SUBSTITUTE(SUBSTITUTE(SUBSTITUTE(SUBSTITUTE(SUBSTITUTE(SUBSTITUTE(SUBSTITUTE(SUBSTITUTE($AA308," ",""),"　",""),"(주)",""),"（주）",""),"㈜",""),"주식회사",""),"(유)",""),"（유）",""),"유한회사",""))</f>
        <v/>
      </c>
      <c r="AC308" s="31">
        <f>IF(OR($Y308="",N($Z308)&lt;=0,$AB308=""),0,IFERROR(LOOKUP(2,1/((거래처별!$AC$8:$AC$307&lt;&gt;"")*ISNUMBER(SEARCH(거래처별!$AC$8:$AC$307,$AB308))),거래처별!$A$8:$A$307),IFERROR(LOOKUP(2,1/((거래처별!$AD$8:$AD$307&lt;&gt;"")*ISNUMBER(SEARCH(거래처별!$AD$8:$AD$307,$AB308))),거래처별!$A$8:$A$307),IFERROR(LOOKUP(2,1/((거래처별!$AE$8:$AE$307&lt;&gt;"")*ISNUMBER(SEARCH(거래처별!$AE$8:$AE$307,$AB308))),거래처별!$A$8:$A$307),0))))</f>
        <v/>
      </c>
      <c r="AD308" s="31">
        <f>IF(AND($Y308&lt;&gt;"",N($Z308)&gt;0,$AC308=0),MAX($AD$7:$AD307)+1,"")</f>
        <v/>
      </c>
      <c r="AE308" s="31">
        <f>IF($Y308="",0,$Y308)</f>
        <v/>
      </c>
    </row>
    <row r="309">
      <c r="W309" s="31">
        <f>IF(OR($B$5="",$C$6="",ROW()&lt;$B$5),"",IF(INDEX($A:$U,ROW(),$C$6)="","",INDEX($A:$U,ROW(),$C$6)))</f>
        <v/>
      </c>
      <c r="X309" s="32">
        <f>IF($W309="","",IF(ISNUMBER($W309),IF($W309&gt;=10000000,IFERROR(DATE(INT($W309/10000),MOD(INT($W309/100),100),MOD($W309,100)),""),INT($W309)),IFERROR(DATE(--LEFT(LEFT(SUBSTITUTE(SUBSTITUTE(SUBSTITUTE(SUBSTITUTE(TRIM($W309),"-",""),".",""),"/","")," ",""),8),4),--MID(LEFT(SUBSTITUTE(SUBSTITUTE(SUBSTITUTE(SUBSTITUTE(TRIM($W309),"-",""),".",""),"/","")," ",""),8),5,2),--MID(LEFT(SUBSTITUTE(SUBSTITUTE(SUBSTITUTE(SUBSTITUTE(TRIM($W309),"-",""),".",""),"/","")," ",""),8),7,2)),"")))</f>
        <v/>
      </c>
      <c r="Y309" s="32">
        <f>IF($X309="","",INT($X309))</f>
        <v/>
      </c>
      <c r="Z309" s="33">
        <f>IF(OR($Y309="",$D$6=""),"",IF(INDEX($A:$U,ROW(),$D$6)="",0,IF(ISNUMBER(INDEX($A:$U,ROW(),$D$6)),INDEX($A:$U,ROW(),$D$6),IFERROR(--SUBSTITUTE(SUBSTITUTE(TRIM(INDEX($A:$U,ROW(),$D$6)),",",""),"원",""),0))))</f>
        <v/>
      </c>
      <c r="AA309" s="31">
        <f>IF($Y309="","",TRIM(INDEX($A:$U,ROW(),$E$6)&amp;IF($F$6="",""," "&amp;INDEX($A:$U,ROW(),$F$6))))</f>
        <v/>
      </c>
      <c r="AB309" s="31">
        <f>IF($AA309="","",SUBSTITUTE(SUBSTITUTE(SUBSTITUTE(SUBSTITUTE(SUBSTITUTE(SUBSTITUTE(SUBSTITUTE(SUBSTITUTE(SUBSTITUTE($AA309," ",""),"　",""),"(주)",""),"（주）",""),"㈜",""),"주식회사",""),"(유)",""),"（유）",""),"유한회사",""))</f>
        <v/>
      </c>
      <c r="AC309" s="31">
        <f>IF(OR($Y309="",N($Z309)&lt;=0,$AB309=""),0,IFERROR(LOOKUP(2,1/((거래처별!$AC$8:$AC$307&lt;&gt;"")*ISNUMBER(SEARCH(거래처별!$AC$8:$AC$307,$AB309))),거래처별!$A$8:$A$307),IFERROR(LOOKUP(2,1/((거래처별!$AD$8:$AD$307&lt;&gt;"")*ISNUMBER(SEARCH(거래처별!$AD$8:$AD$307,$AB309))),거래처별!$A$8:$A$307),IFERROR(LOOKUP(2,1/((거래처별!$AE$8:$AE$307&lt;&gt;"")*ISNUMBER(SEARCH(거래처별!$AE$8:$AE$307,$AB309))),거래처별!$A$8:$A$307),0))))</f>
        <v/>
      </c>
      <c r="AD309" s="31">
        <f>IF(AND($Y309&lt;&gt;"",N($Z309)&gt;0,$AC309=0),MAX($AD$7:$AD308)+1,"")</f>
        <v/>
      </c>
      <c r="AE309" s="31">
        <f>IF($Y309="",0,$Y309)</f>
        <v/>
      </c>
    </row>
    <row r="310">
      <c r="W310" s="31">
        <f>IF(OR($B$5="",$C$6="",ROW()&lt;$B$5),"",IF(INDEX($A:$U,ROW(),$C$6)="","",INDEX($A:$U,ROW(),$C$6)))</f>
        <v/>
      </c>
      <c r="X310" s="32">
        <f>IF($W310="","",IF(ISNUMBER($W310),IF($W310&gt;=10000000,IFERROR(DATE(INT($W310/10000),MOD(INT($W310/100),100),MOD($W310,100)),""),INT($W310)),IFERROR(DATE(--LEFT(LEFT(SUBSTITUTE(SUBSTITUTE(SUBSTITUTE(SUBSTITUTE(TRIM($W310),"-",""),".",""),"/","")," ",""),8),4),--MID(LEFT(SUBSTITUTE(SUBSTITUTE(SUBSTITUTE(SUBSTITUTE(TRIM($W310),"-",""),".",""),"/","")," ",""),8),5,2),--MID(LEFT(SUBSTITUTE(SUBSTITUTE(SUBSTITUTE(SUBSTITUTE(TRIM($W310),"-",""),".",""),"/","")," ",""),8),7,2)),"")))</f>
        <v/>
      </c>
      <c r="Y310" s="32">
        <f>IF($X310="","",INT($X310))</f>
        <v/>
      </c>
      <c r="Z310" s="33">
        <f>IF(OR($Y310="",$D$6=""),"",IF(INDEX($A:$U,ROW(),$D$6)="",0,IF(ISNUMBER(INDEX($A:$U,ROW(),$D$6)),INDEX($A:$U,ROW(),$D$6),IFERROR(--SUBSTITUTE(SUBSTITUTE(TRIM(INDEX($A:$U,ROW(),$D$6)),",",""),"원",""),0))))</f>
        <v/>
      </c>
      <c r="AA310" s="31">
        <f>IF($Y310="","",TRIM(INDEX($A:$U,ROW(),$E$6)&amp;IF($F$6="",""," "&amp;INDEX($A:$U,ROW(),$F$6))))</f>
        <v/>
      </c>
      <c r="AB310" s="31">
        <f>IF($AA310="","",SUBSTITUTE(SUBSTITUTE(SUBSTITUTE(SUBSTITUTE(SUBSTITUTE(SUBSTITUTE(SUBSTITUTE(SUBSTITUTE(SUBSTITUTE($AA310," ",""),"　",""),"(주)",""),"（주）",""),"㈜",""),"주식회사",""),"(유)",""),"（유）",""),"유한회사",""))</f>
        <v/>
      </c>
      <c r="AC310" s="31">
        <f>IF(OR($Y310="",N($Z310)&lt;=0,$AB310=""),0,IFERROR(LOOKUP(2,1/((거래처별!$AC$8:$AC$307&lt;&gt;"")*ISNUMBER(SEARCH(거래처별!$AC$8:$AC$307,$AB310))),거래처별!$A$8:$A$307),IFERROR(LOOKUP(2,1/((거래처별!$AD$8:$AD$307&lt;&gt;"")*ISNUMBER(SEARCH(거래처별!$AD$8:$AD$307,$AB310))),거래처별!$A$8:$A$307),IFERROR(LOOKUP(2,1/((거래처별!$AE$8:$AE$307&lt;&gt;"")*ISNUMBER(SEARCH(거래처별!$AE$8:$AE$307,$AB310))),거래처별!$A$8:$A$307),0))))</f>
        <v/>
      </c>
      <c r="AD310" s="31">
        <f>IF(AND($Y310&lt;&gt;"",N($Z310)&gt;0,$AC310=0),MAX($AD$7:$AD309)+1,"")</f>
        <v/>
      </c>
      <c r="AE310" s="31">
        <f>IF($Y310="",0,$Y310)</f>
        <v/>
      </c>
    </row>
    <row r="311">
      <c r="W311" s="31">
        <f>IF(OR($B$5="",$C$6="",ROW()&lt;$B$5),"",IF(INDEX($A:$U,ROW(),$C$6)="","",INDEX($A:$U,ROW(),$C$6)))</f>
        <v/>
      </c>
      <c r="X311" s="32">
        <f>IF($W311="","",IF(ISNUMBER($W311),IF($W311&gt;=10000000,IFERROR(DATE(INT($W311/10000),MOD(INT($W311/100),100),MOD($W311,100)),""),INT($W311)),IFERROR(DATE(--LEFT(LEFT(SUBSTITUTE(SUBSTITUTE(SUBSTITUTE(SUBSTITUTE(TRIM($W311),"-",""),".",""),"/","")," ",""),8),4),--MID(LEFT(SUBSTITUTE(SUBSTITUTE(SUBSTITUTE(SUBSTITUTE(TRIM($W311),"-",""),".",""),"/","")," ",""),8),5,2),--MID(LEFT(SUBSTITUTE(SUBSTITUTE(SUBSTITUTE(SUBSTITUTE(TRIM($W311),"-",""),".",""),"/","")," ",""),8),7,2)),"")))</f>
        <v/>
      </c>
      <c r="Y311" s="32">
        <f>IF($X311="","",INT($X311))</f>
        <v/>
      </c>
      <c r="Z311" s="33">
        <f>IF(OR($Y311="",$D$6=""),"",IF(INDEX($A:$U,ROW(),$D$6)="",0,IF(ISNUMBER(INDEX($A:$U,ROW(),$D$6)),INDEX($A:$U,ROW(),$D$6),IFERROR(--SUBSTITUTE(SUBSTITUTE(TRIM(INDEX($A:$U,ROW(),$D$6)),",",""),"원",""),0))))</f>
        <v/>
      </c>
      <c r="AA311" s="31">
        <f>IF($Y311="","",TRIM(INDEX($A:$U,ROW(),$E$6)&amp;IF($F$6="",""," "&amp;INDEX($A:$U,ROW(),$F$6))))</f>
        <v/>
      </c>
      <c r="AB311" s="31">
        <f>IF($AA311="","",SUBSTITUTE(SUBSTITUTE(SUBSTITUTE(SUBSTITUTE(SUBSTITUTE(SUBSTITUTE(SUBSTITUTE(SUBSTITUTE(SUBSTITUTE($AA311," ",""),"　",""),"(주)",""),"（주）",""),"㈜",""),"주식회사",""),"(유)",""),"（유）",""),"유한회사",""))</f>
        <v/>
      </c>
      <c r="AC311" s="31">
        <f>IF(OR($Y311="",N($Z311)&lt;=0,$AB311=""),0,IFERROR(LOOKUP(2,1/((거래처별!$AC$8:$AC$307&lt;&gt;"")*ISNUMBER(SEARCH(거래처별!$AC$8:$AC$307,$AB311))),거래처별!$A$8:$A$307),IFERROR(LOOKUP(2,1/((거래처별!$AD$8:$AD$307&lt;&gt;"")*ISNUMBER(SEARCH(거래처별!$AD$8:$AD$307,$AB311))),거래처별!$A$8:$A$307),IFERROR(LOOKUP(2,1/((거래처별!$AE$8:$AE$307&lt;&gt;"")*ISNUMBER(SEARCH(거래처별!$AE$8:$AE$307,$AB311))),거래처별!$A$8:$A$307),0))))</f>
        <v/>
      </c>
      <c r="AD311" s="31">
        <f>IF(AND($Y311&lt;&gt;"",N($Z311)&gt;0,$AC311=0),MAX($AD$7:$AD310)+1,"")</f>
        <v/>
      </c>
      <c r="AE311" s="31">
        <f>IF($Y311="",0,$Y311)</f>
        <v/>
      </c>
    </row>
    <row r="312">
      <c r="W312" s="31">
        <f>IF(OR($B$5="",$C$6="",ROW()&lt;$B$5),"",IF(INDEX($A:$U,ROW(),$C$6)="","",INDEX($A:$U,ROW(),$C$6)))</f>
        <v/>
      </c>
      <c r="X312" s="32">
        <f>IF($W312="","",IF(ISNUMBER($W312),IF($W312&gt;=10000000,IFERROR(DATE(INT($W312/10000),MOD(INT($W312/100),100),MOD($W312,100)),""),INT($W312)),IFERROR(DATE(--LEFT(LEFT(SUBSTITUTE(SUBSTITUTE(SUBSTITUTE(SUBSTITUTE(TRIM($W312),"-",""),".",""),"/","")," ",""),8),4),--MID(LEFT(SUBSTITUTE(SUBSTITUTE(SUBSTITUTE(SUBSTITUTE(TRIM($W312),"-",""),".",""),"/","")," ",""),8),5,2),--MID(LEFT(SUBSTITUTE(SUBSTITUTE(SUBSTITUTE(SUBSTITUTE(TRIM($W312),"-",""),".",""),"/","")," ",""),8),7,2)),"")))</f>
        <v/>
      </c>
      <c r="Y312" s="32">
        <f>IF($X312="","",INT($X312))</f>
        <v/>
      </c>
      <c r="Z312" s="33">
        <f>IF(OR($Y312="",$D$6=""),"",IF(INDEX($A:$U,ROW(),$D$6)="",0,IF(ISNUMBER(INDEX($A:$U,ROW(),$D$6)),INDEX($A:$U,ROW(),$D$6),IFERROR(--SUBSTITUTE(SUBSTITUTE(TRIM(INDEX($A:$U,ROW(),$D$6)),",",""),"원",""),0))))</f>
        <v/>
      </c>
      <c r="AA312" s="31">
        <f>IF($Y312="","",TRIM(INDEX($A:$U,ROW(),$E$6)&amp;IF($F$6="",""," "&amp;INDEX($A:$U,ROW(),$F$6))))</f>
        <v/>
      </c>
      <c r="AB312" s="31">
        <f>IF($AA312="","",SUBSTITUTE(SUBSTITUTE(SUBSTITUTE(SUBSTITUTE(SUBSTITUTE(SUBSTITUTE(SUBSTITUTE(SUBSTITUTE(SUBSTITUTE($AA312," ",""),"　",""),"(주)",""),"（주）",""),"㈜",""),"주식회사",""),"(유)",""),"（유）",""),"유한회사",""))</f>
        <v/>
      </c>
      <c r="AC312" s="31">
        <f>IF(OR($Y312="",N($Z312)&lt;=0,$AB312=""),0,IFERROR(LOOKUP(2,1/((거래처별!$AC$8:$AC$307&lt;&gt;"")*ISNUMBER(SEARCH(거래처별!$AC$8:$AC$307,$AB312))),거래처별!$A$8:$A$307),IFERROR(LOOKUP(2,1/((거래처별!$AD$8:$AD$307&lt;&gt;"")*ISNUMBER(SEARCH(거래처별!$AD$8:$AD$307,$AB312))),거래처별!$A$8:$A$307),IFERROR(LOOKUP(2,1/((거래처별!$AE$8:$AE$307&lt;&gt;"")*ISNUMBER(SEARCH(거래처별!$AE$8:$AE$307,$AB312))),거래처별!$A$8:$A$307),0))))</f>
        <v/>
      </c>
      <c r="AD312" s="31">
        <f>IF(AND($Y312&lt;&gt;"",N($Z312)&gt;0,$AC312=0),MAX($AD$7:$AD311)+1,"")</f>
        <v/>
      </c>
      <c r="AE312" s="31">
        <f>IF($Y312="",0,$Y312)</f>
        <v/>
      </c>
    </row>
    <row r="313">
      <c r="W313" s="31">
        <f>IF(OR($B$5="",$C$6="",ROW()&lt;$B$5),"",IF(INDEX($A:$U,ROW(),$C$6)="","",INDEX($A:$U,ROW(),$C$6)))</f>
        <v/>
      </c>
      <c r="X313" s="32">
        <f>IF($W313="","",IF(ISNUMBER($W313),IF($W313&gt;=10000000,IFERROR(DATE(INT($W313/10000),MOD(INT($W313/100),100),MOD($W313,100)),""),INT($W313)),IFERROR(DATE(--LEFT(LEFT(SUBSTITUTE(SUBSTITUTE(SUBSTITUTE(SUBSTITUTE(TRIM($W313),"-",""),".",""),"/","")," ",""),8),4),--MID(LEFT(SUBSTITUTE(SUBSTITUTE(SUBSTITUTE(SUBSTITUTE(TRIM($W313),"-",""),".",""),"/","")," ",""),8),5,2),--MID(LEFT(SUBSTITUTE(SUBSTITUTE(SUBSTITUTE(SUBSTITUTE(TRIM($W313),"-",""),".",""),"/","")," ",""),8),7,2)),"")))</f>
        <v/>
      </c>
      <c r="Y313" s="32">
        <f>IF($X313="","",INT($X313))</f>
        <v/>
      </c>
      <c r="Z313" s="33">
        <f>IF(OR($Y313="",$D$6=""),"",IF(INDEX($A:$U,ROW(),$D$6)="",0,IF(ISNUMBER(INDEX($A:$U,ROW(),$D$6)),INDEX($A:$U,ROW(),$D$6),IFERROR(--SUBSTITUTE(SUBSTITUTE(TRIM(INDEX($A:$U,ROW(),$D$6)),",",""),"원",""),0))))</f>
        <v/>
      </c>
      <c r="AA313" s="31">
        <f>IF($Y313="","",TRIM(INDEX($A:$U,ROW(),$E$6)&amp;IF($F$6="",""," "&amp;INDEX($A:$U,ROW(),$F$6))))</f>
        <v/>
      </c>
      <c r="AB313" s="31">
        <f>IF($AA313="","",SUBSTITUTE(SUBSTITUTE(SUBSTITUTE(SUBSTITUTE(SUBSTITUTE(SUBSTITUTE(SUBSTITUTE(SUBSTITUTE(SUBSTITUTE($AA313," ",""),"　",""),"(주)",""),"（주）",""),"㈜",""),"주식회사",""),"(유)",""),"（유）",""),"유한회사",""))</f>
        <v/>
      </c>
      <c r="AC313" s="31">
        <f>IF(OR($Y313="",N($Z313)&lt;=0,$AB313=""),0,IFERROR(LOOKUP(2,1/((거래처별!$AC$8:$AC$307&lt;&gt;"")*ISNUMBER(SEARCH(거래처별!$AC$8:$AC$307,$AB313))),거래처별!$A$8:$A$307),IFERROR(LOOKUP(2,1/((거래처별!$AD$8:$AD$307&lt;&gt;"")*ISNUMBER(SEARCH(거래처별!$AD$8:$AD$307,$AB313))),거래처별!$A$8:$A$307),IFERROR(LOOKUP(2,1/((거래처별!$AE$8:$AE$307&lt;&gt;"")*ISNUMBER(SEARCH(거래처별!$AE$8:$AE$307,$AB313))),거래처별!$A$8:$A$307),0))))</f>
        <v/>
      </c>
      <c r="AD313" s="31">
        <f>IF(AND($Y313&lt;&gt;"",N($Z313)&gt;0,$AC313=0),MAX($AD$7:$AD312)+1,"")</f>
        <v/>
      </c>
      <c r="AE313" s="31">
        <f>IF($Y313="",0,$Y313)</f>
        <v/>
      </c>
    </row>
    <row r="314">
      <c r="W314" s="31">
        <f>IF(OR($B$5="",$C$6="",ROW()&lt;$B$5),"",IF(INDEX($A:$U,ROW(),$C$6)="","",INDEX($A:$U,ROW(),$C$6)))</f>
        <v/>
      </c>
      <c r="X314" s="32">
        <f>IF($W314="","",IF(ISNUMBER($W314),IF($W314&gt;=10000000,IFERROR(DATE(INT($W314/10000),MOD(INT($W314/100),100),MOD($W314,100)),""),INT($W314)),IFERROR(DATE(--LEFT(LEFT(SUBSTITUTE(SUBSTITUTE(SUBSTITUTE(SUBSTITUTE(TRIM($W314),"-",""),".",""),"/","")," ",""),8),4),--MID(LEFT(SUBSTITUTE(SUBSTITUTE(SUBSTITUTE(SUBSTITUTE(TRIM($W314),"-",""),".",""),"/","")," ",""),8),5,2),--MID(LEFT(SUBSTITUTE(SUBSTITUTE(SUBSTITUTE(SUBSTITUTE(TRIM($W314),"-",""),".",""),"/","")," ",""),8),7,2)),"")))</f>
        <v/>
      </c>
      <c r="Y314" s="32">
        <f>IF($X314="","",INT($X314))</f>
        <v/>
      </c>
      <c r="Z314" s="33">
        <f>IF(OR($Y314="",$D$6=""),"",IF(INDEX($A:$U,ROW(),$D$6)="",0,IF(ISNUMBER(INDEX($A:$U,ROW(),$D$6)),INDEX($A:$U,ROW(),$D$6),IFERROR(--SUBSTITUTE(SUBSTITUTE(TRIM(INDEX($A:$U,ROW(),$D$6)),",",""),"원",""),0))))</f>
        <v/>
      </c>
      <c r="AA314" s="31">
        <f>IF($Y314="","",TRIM(INDEX($A:$U,ROW(),$E$6)&amp;IF($F$6="",""," "&amp;INDEX($A:$U,ROW(),$F$6))))</f>
        <v/>
      </c>
      <c r="AB314" s="31">
        <f>IF($AA314="","",SUBSTITUTE(SUBSTITUTE(SUBSTITUTE(SUBSTITUTE(SUBSTITUTE(SUBSTITUTE(SUBSTITUTE(SUBSTITUTE(SUBSTITUTE($AA314," ",""),"　",""),"(주)",""),"（주）",""),"㈜",""),"주식회사",""),"(유)",""),"（유）",""),"유한회사",""))</f>
        <v/>
      </c>
      <c r="AC314" s="31">
        <f>IF(OR($Y314="",N($Z314)&lt;=0,$AB314=""),0,IFERROR(LOOKUP(2,1/((거래처별!$AC$8:$AC$307&lt;&gt;"")*ISNUMBER(SEARCH(거래처별!$AC$8:$AC$307,$AB314))),거래처별!$A$8:$A$307),IFERROR(LOOKUP(2,1/((거래처별!$AD$8:$AD$307&lt;&gt;"")*ISNUMBER(SEARCH(거래처별!$AD$8:$AD$307,$AB314))),거래처별!$A$8:$A$307),IFERROR(LOOKUP(2,1/((거래처별!$AE$8:$AE$307&lt;&gt;"")*ISNUMBER(SEARCH(거래처별!$AE$8:$AE$307,$AB314))),거래처별!$A$8:$A$307),0))))</f>
        <v/>
      </c>
      <c r="AD314" s="31">
        <f>IF(AND($Y314&lt;&gt;"",N($Z314)&gt;0,$AC314=0),MAX($AD$7:$AD313)+1,"")</f>
        <v/>
      </c>
      <c r="AE314" s="31">
        <f>IF($Y314="",0,$Y314)</f>
        <v/>
      </c>
    </row>
    <row r="315">
      <c r="W315" s="31">
        <f>IF(OR($B$5="",$C$6="",ROW()&lt;$B$5),"",IF(INDEX($A:$U,ROW(),$C$6)="","",INDEX($A:$U,ROW(),$C$6)))</f>
        <v/>
      </c>
      <c r="X315" s="32">
        <f>IF($W315="","",IF(ISNUMBER($W315),IF($W315&gt;=10000000,IFERROR(DATE(INT($W315/10000),MOD(INT($W315/100),100),MOD($W315,100)),""),INT($W315)),IFERROR(DATE(--LEFT(LEFT(SUBSTITUTE(SUBSTITUTE(SUBSTITUTE(SUBSTITUTE(TRIM($W315),"-",""),".",""),"/","")," ",""),8),4),--MID(LEFT(SUBSTITUTE(SUBSTITUTE(SUBSTITUTE(SUBSTITUTE(TRIM($W315),"-",""),".",""),"/","")," ",""),8),5,2),--MID(LEFT(SUBSTITUTE(SUBSTITUTE(SUBSTITUTE(SUBSTITUTE(TRIM($W315),"-",""),".",""),"/","")," ",""),8),7,2)),"")))</f>
        <v/>
      </c>
      <c r="Y315" s="32">
        <f>IF($X315="","",INT($X315))</f>
        <v/>
      </c>
      <c r="Z315" s="33">
        <f>IF(OR($Y315="",$D$6=""),"",IF(INDEX($A:$U,ROW(),$D$6)="",0,IF(ISNUMBER(INDEX($A:$U,ROW(),$D$6)),INDEX($A:$U,ROW(),$D$6),IFERROR(--SUBSTITUTE(SUBSTITUTE(TRIM(INDEX($A:$U,ROW(),$D$6)),",",""),"원",""),0))))</f>
        <v/>
      </c>
      <c r="AA315" s="31">
        <f>IF($Y315="","",TRIM(INDEX($A:$U,ROW(),$E$6)&amp;IF($F$6="",""," "&amp;INDEX($A:$U,ROW(),$F$6))))</f>
        <v/>
      </c>
      <c r="AB315" s="31">
        <f>IF($AA315="","",SUBSTITUTE(SUBSTITUTE(SUBSTITUTE(SUBSTITUTE(SUBSTITUTE(SUBSTITUTE(SUBSTITUTE(SUBSTITUTE(SUBSTITUTE($AA315," ",""),"　",""),"(주)",""),"（주）",""),"㈜",""),"주식회사",""),"(유)",""),"（유）",""),"유한회사",""))</f>
        <v/>
      </c>
      <c r="AC315" s="31">
        <f>IF(OR($Y315="",N($Z315)&lt;=0,$AB315=""),0,IFERROR(LOOKUP(2,1/((거래처별!$AC$8:$AC$307&lt;&gt;"")*ISNUMBER(SEARCH(거래처별!$AC$8:$AC$307,$AB315))),거래처별!$A$8:$A$307),IFERROR(LOOKUP(2,1/((거래처별!$AD$8:$AD$307&lt;&gt;"")*ISNUMBER(SEARCH(거래처별!$AD$8:$AD$307,$AB315))),거래처별!$A$8:$A$307),IFERROR(LOOKUP(2,1/((거래처별!$AE$8:$AE$307&lt;&gt;"")*ISNUMBER(SEARCH(거래처별!$AE$8:$AE$307,$AB315))),거래처별!$A$8:$A$307),0))))</f>
        <v/>
      </c>
      <c r="AD315" s="31">
        <f>IF(AND($Y315&lt;&gt;"",N($Z315)&gt;0,$AC315=0),MAX($AD$7:$AD314)+1,"")</f>
        <v/>
      </c>
      <c r="AE315" s="31">
        <f>IF($Y315="",0,$Y315)</f>
        <v/>
      </c>
    </row>
    <row r="316">
      <c r="W316" s="31">
        <f>IF(OR($B$5="",$C$6="",ROW()&lt;$B$5),"",IF(INDEX($A:$U,ROW(),$C$6)="","",INDEX($A:$U,ROW(),$C$6)))</f>
        <v/>
      </c>
      <c r="X316" s="32">
        <f>IF($W316="","",IF(ISNUMBER($W316),IF($W316&gt;=10000000,IFERROR(DATE(INT($W316/10000),MOD(INT($W316/100),100),MOD($W316,100)),""),INT($W316)),IFERROR(DATE(--LEFT(LEFT(SUBSTITUTE(SUBSTITUTE(SUBSTITUTE(SUBSTITUTE(TRIM($W316),"-",""),".",""),"/","")," ",""),8),4),--MID(LEFT(SUBSTITUTE(SUBSTITUTE(SUBSTITUTE(SUBSTITUTE(TRIM($W316),"-",""),".",""),"/","")," ",""),8),5,2),--MID(LEFT(SUBSTITUTE(SUBSTITUTE(SUBSTITUTE(SUBSTITUTE(TRIM($W316),"-",""),".",""),"/","")," ",""),8),7,2)),"")))</f>
        <v/>
      </c>
      <c r="Y316" s="32">
        <f>IF($X316="","",INT($X316))</f>
        <v/>
      </c>
      <c r="Z316" s="33">
        <f>IF(OR($Y316="",$D$6=""),"",IF(INDEX($A:$U,ROW(),$D$6)="",0,IF(ISNUMBER(INDEX($A:$U,ROW(),$D$6)),INDEX($A:$U,ROW(),$D$6),IFERROR(--SUBSTITUTE(SUBSTITUTE(TRIM(INDEX($A:$U,ROW(),$D$6)),",",""),"원",""),0))))</f>
        <v/>
      </c>
      <c r="AA316" s="31">
        <f>IF($Y316="","",TRIM(INDEX($A:$U,ROW(),$E$6)&amp;IF($F$6="",""," "&amp;INDEX($A:$U,ROW(),$F$6))))</f>
        <v/>
      </c>
      <c r="AB316" s="31">
        <f>IF($AA316="","",SUBSTITUTE(SUBSTITUTE(SUBSTITUTE(SUBSTITUTE(SUBSTITUTE(SUBSTITUTE(SUBSTITUTE(SUBSTITUTE(SUBSTITUTE($AA316," ",""),"　",""),"(주)",""),"（주）",""),"㈜",""),"주식회사",""),"(유)",""),"（유）",""),"유한회사",""))</f>
        <v/>
      </c>
      <c r="AC316" s="31">
        <f>IF(OR($Y316="",N($Z316)&lt;=0,$AB316=""),0,IFERROR(LOOKUP(2,1/((거래처별!$AC$8:$AC$307&lt;&gt;"")*ISNUMBER(SEARCH(거래처별!$AC$8:$AC$307,$AB316))),거래처별!$A$8:$A$307),IFERROR(LOOKUP(2,1/((거래처별!$AD$8:$AD$307&lt;&gt;"")*ISNUMBER(SEARCH(거래처별!$AD$8:$AD$307,$AB316))),거래처별!$A$8:$A$307),IFERROR(LOOKUP(2,1/((거래처별!$AE$8:$AE$307&lt;&gt;"")*ISNUMBER(SEARCH(거래처별!$AE$8:$AE$307,$AB316))),거래처별!$A$8:$A$307),0))))</f>
        <v/>
      </c>
      <c r="AD316" s="31">
        <f>IF(AND($Y316&lt;&gt;"",N($Z316)&gt;0,$AC316=0),MAX($AD$7:$AD315)+1,"")</f>
        <v/>
      </c>
      <c r="AE316" s="31">
        <f>IF($Y316="",0,$Y316)</f>
        <v/>
      </c>
    </row>
    <row r="317">
      <c r="W317" s="31">
        <f>IF(OR($B$5="",$C$6="",ROW()&lt;$B$5),"",IF(INDEX($A:$U,ROW(),$C$6)="","",INDEX($A:$U,ROW(),$C$6)))</f>
        <v/>
      </c>
      <c r="X317" s="32">
        <f>IF($W317="","",IF(ISNUMBER($W317),IF($W317&gt;=10000000,IFERROR(DATE(INT($W317/10000),MOD(INT($W317/100),100),MOD($W317,100)),""),INT($W317)),IFERROR(DATE(--LEFT(LEFT(SUBSTITUTE(SUBSTITUTE(SUBSTITUTE(SUBSTITUTE(TRIM($W317),"-",""),".",""),"/","")," ",""),8),4),--MID(LEFT(SUBSTITUTE(SUBSTITUTE(SUBSTITUTE(SUBSTITUTE(TRIM($W317),"-",""),".",""),"/","")," ",""),8),5,2),--MID(LEFT(SUBSTITUTE(SUBSTITUTE(SUBSTITUTE(SUBSTITUTE(TRIM($W317),"-",""),".",""),"/","")," ",""),8),7,2)),"")))</f>
        <v/>
      </c>
      <c r="Y317" s="32">
        <f>IF($X317="","",INT($X317))</f>
        <v/>
      </c>
      <c r="Z317" s="33">
        <f>IF(OR($Y317="",$D$6=""),"",IF(INDEX($A:$U,ROW(),$D$6)="",0,IF(ISNUMBER(INDEX($A:$U,ROW(),$D$6)),INDEX($A:$U,ROW(),$D$6),IFERROR(--SUBSTITUTE(SUBSTITUTE(TRIM(INDEX($A:$U,ROW(),$D$6)),",",""),"원",""),0))))</f>
        <v/>
      </c>
      <c r="AA317" s="31">
        <f>IF($Y317="","",TRIM(INDEX($A:$U,ROW(),$E$6)&amp;IF($F$6="",""," "&amp;INDEX($A:$U,ROW(),$F$6))))</f>
        <v/>
      </c>
      <c r="AB317" s="31">
        <f>IF($AA317="","",SUBSTITUTE(SUBSTITUTE(SUBSTITUTE(SUBSTITUTE(SUBSTITUTE(SUBSTITUTE(SUBSTITUTE(SUBSTITUTE(SUBSTITUTE($AA317," ",""),"　",""),"(주)",""),"（주）",""),"㈜",""),"주식회사",""),"(유)",""),"（유）",""),"유한회사",""))</f>
        <v/>
      </c>
      <c r="AC317" s="31">
        <f>IF(OR($Y317="",N($Z317)&lt;=0,$AB317=""),0,IFERROR(LOOKUP(2,1/((거래처별!$AC$8:$AC$307&lt;&gt;"")*ISNUMBER(SEARCH(거래처별!$AC$8:$AC$307,$AB317))),거래처별!$A$8:$A$307),IFERROR(LOOKUP(2,1/((거래처별!$AD$8:$AD$307&lt;&gt;"")*ISNUMBER(SEARCH(거래처별!$AD$8:$AD$307,$AB317))),거래처별!$A$8:$A$307),IFERROR(LOOKUP(2,1/((거래처별!$AE$8:$AE$307&lt;&gt;"")*ISNUMBER(SEARCH(거래처별!$AE$8:$AE$307,$AB317))),거래처별!$A$8:$A$307),0))))</f>
        <v/>
      </c>
      <c r="AD317" s="31">
        <f>IF(AND($Y317&lt;&gt;"",N($Z317)&gt;0,$AC317=0),MAX($AD$7:$AD316)+1,"")</f>
        <v/>
      </c>
      <c r="AE317" s="31">
        <f>IF($Y317="",0,$Y317)</f>
        <v/>
      </c>
    </row>
    <row r="318">
      <c r="W318" s="31">
        <f>IF(OR($B$5="",$C$6="",ROW()&lt;$B$5),"",IF(INDEX($A:$U,ROW(),$C$6)="","",INDEX($A:$U,ROW(),$C$6)))</f>
        <v/>
      </c>
      <c r="X318" s="32">
        <f>IF($W318="","",IF(ISNUMBER($W318),IF($W318&gt;=10000000,IFERROR(DATE(INT($W318/10000),MOD(INT($W318/100),100),MOD($W318,100)),""),INT($W318)),IFERROR(DATE(--LEFT(LEFT(SUBSTITUTE(SUBSTITUTE(SUBSTITUTE(SUBSTITUTE(TRIM($W318),"-",""),".",""),"/","")," ",""),8),4),--MID(LEFT(SUBSTITUTE(SUBSTITUTE(SUBSTITUTE(SUBSTITUTE(TRIM($W318),"-",""),".",""),"/","")," ",""),8),5,2),--MID(LEFT(SUBSTITUTE(SUBSTITUTE(SUBSTITUTE(SUBSTITUTE(TRIM($W318),"-",""),".",""),"/","")," ",""),8),7,2)),"")))</f>
        <v/>
      </c>
      <c r="Y318" s="32">
        <f>IF($X318="","",INT($X318))</f>
        <v/>
      </c>
      <c r="Z318" s="33">
        <f>IF(OR($Y318="",$D$6=""),"",IF(INDEX($A:$U,ROW(),$D$6)="",0,IF(ISNUMBER(INDEX($A:$U,ROW(),$D$6)),INDEX($A:$U,ROW(),$D$6),IFERROR(--SUBSTITUTE(SUBSTITUTE(TRIM(INDEX($A:$U,ROW(),$D$6)),",",""),"원",""),0))))</f>
        <v/>
      </c>
      <c r="AA318" s="31">
        <f>IF($Y318="","",TRIM(INDEX($A:$U,ROW(),$E$6)&amp;IF($F$6="",""," "&amp;INDEX($A:$U,ROW(),$F$6))))</f>
        <v/>
      </c>
      <c r="AB318" s="31">
        <f>IF($AA318="","",SUBSTITUTE(SUBSTITUTE(SUBSTITUTE(SUBSTITUTE(SUBSTITUTE(SUBSTITUTE(SUBSTITUTE(SUBSTITUTE(SUBSTITUTE($AA318," ",""),"　",""),"(주)",""),"（주）",""),"㈜",""),"주식회사",""),"(유)",""),"（유）",""),"유한회사",""))</f>
        <v/>
      </c>
      <c r="AC318" s="31">
        <f>IF(OR($Y318="",N($Z318)&lt;=0,$AB318=""),0,IFERROR(LOOKUP(2,1/((거래처별!$AC$8:$AC$307&lt;&gt;"")*ISNUMBER(SEARCH(거래처별!$AC$8:$AC$307,$AB318))),거래처별!$A$8:$A$307),IFERROR(LOOKUP(2,1/((거래처별!$AD$8:$AD$307&lt;&gt;"")*ISNUMBER(SEARCH(거래처별!$AD$8:$AD$307,$AB318))),거래처별!$A$8:$A$307),IFERROR(LOOKUP(2,1/((거래처별!$AE$8:$AE$307&lt;&gt;"")*ISNUMBER(SEARCH(거래처별!$AE$8:$AE$307,$AB318))),거래처별!$A$8:$A$307),0))))</f>
        <v/>
      </c>
      <c r="AD318" s="31">
        <f>IF(AND($Y318&lt;&gt;"",N($Z318)&gt;0,$AC318=0),MAX($AD$7:$AD317)+1,"")</f>
        <v/>
      </c>
      <c r="AE318" s="31">
        <f>IF($Y318="",0,$Y318)</f>
        <v/>
      </c>
    </row>
    <row r="319">
      <c r="W319" s="31">
        <f>IF(OR($B$5="",$C$6="",ROW()&lt;$B$5),"",IF(INDEX($A:$U,ROW(),$C$6)="","",INDEX($A:$U,ROW(),$C$6)))</f>
        <v/>
      </c>
      <c r="X319" s="32">
        <f>IF($W319="","",IF(ISNUMBER($W319),IF($W319&gt;=10000000,IFERROR(DATE(INT($W319/10000),MOD(INT($W319/100),100),MOD($W319,100)),""),INT($W319)),IFERROR(DATE(--LEFT(LEFT(SUBSTITUTE(SUBSTITUTE(SUBSTITUTE(SUBSTITUTE(TRIM($W319),"-",""),".",""),"/","")," ",""),8),4),--MID(LEFT(SUBSTITUTE(SUBSTITUTE(SUBSTITUTE(SUBSTITUTE(TRIM($W319),"-",""),".",""),"/","")," ",""),8),5,2),--MID(LEFT(SUBSTITUTE(SUBSTITUTE(SUBSTITUTE(SUBSTITUTE(TRIM($W319),"-",""),".",""),"/","")," ",""),8),7,2)),"")))</f>
        <v/>
      </c>
      <c r="Y319" s="32">
        <f>IF($X319="","",INT($X319))</f>
        <v/>
      </c>
      <c r="Z319" s="33">
        <f>IF(OR($Y319="",$D$6=""),"",IF(INDEX($A:$U,ROW(),$D$6)="",0,IF(ISNUMBER(INDEX($A:$U,ROW(),$D$6)),INDEX($A:$U,ROW(),$D$6),IFERROR(--SUBSTITUTE(SUBSTITUTE(TRIM(INDEX($A:$U,ROW(),$D$6)),",",""),"원",""),0))))</f>
        <v/>
      </c>
      <c r="AA319" s="31">
        <f>IF($Y319="","",TRIM(INDEX($A:$U,ROW(),$E$6)&amp;IF($F$6="",""," "&amp;INDEX($A:$U,ROW(),$F$6))))</f>
        <v/>
      </c>
      <c r="AB319" s="31">
        <f>IF($AA319="","",SUBSTITUTE(SUBSTITUTE(SUBSTITUTE(SUBSTITUTE(SUBSTITUTE(SUBSTITUTE(SUBSTITUTE(SUBSTITUTE(SUBSTITUTE($AA319," ",""),"　",""),"(주)",""),"（주）",""),"㈜",""),"주식회사",""),"(유)",""),"（유）",""),"유한회사",""))</f>
        <v/>
      </c>
      <c r="AC319" s="31">
        <f>IF(OR($Y319="",N($Z319)&lt;=0,$AB319=""),0,IFERROR(LOOKUP(2,1/((거래처별!$AC$8:$AC$307&lt;&gt;"")*ISNUMBER(SEARCH(거래처별!$AC$8:$AC$307,$AB319))),거래처별!$A$8:$A$307),IFERROR(LOOKUP(2,1/((거래처별!$AD$8:$AD$307&lt;&gt;"")*ISNUMBER(SEARCH(거래처별!$AD$8:$AD$307,$AB319))),거래처별!$A$8:$A$307),IFERROR(LOOKUP(2,1/((거래처별!$AE$8:$AE$307&lt;&gt;"")*ISNUMBER(SEARCH(거래처별!$AE$8:$AE$307,$AB319))),거래처별!$A$8:$A$307),0))))</f>
        <v/>
      </c>
      <c r="AD319" s="31">
        <f>IF(AND($Y319&lt;&gt;"",N($Z319)&gt;0,$AC319=0),MAX($AD$7:$AD318)+1,"")</f>
        <v/>
      </c>
      <c r="AE319" s="31">
        <f>IF($Y319="",0,$Y319)</f>
        <v/>
      </c>
    </row>
    <row r="320">
      <c r="W320" s="31">
        <f>IF(OR($B$5="",$C$6="",ROW()&lt;$B$5),"",IF(INDEX($A:$U,ROW(),$C$6)="","",INDEX($A:$U,ROW(),$C$6)))</f>
        <v/>
      </c>
      <c r="X320" s="32">
        <f>IF($W320="","",IF(ISNUMBER($W320),IF($W320&gt;=10000000,IFERROR(DATE(INT($W320/10000),MOD(INT($W320/100),100),MOD($W320,100)),""),INT($W320)),IFERROR(DATE(--LEFT(LEFT(SUBSTITUTE(SUBSTITUTE(SUBSTITUTE(SUBSTITUTE(TRIM($W320),"-",""),".",""),"/","")," ",""),8),4),--MID(LEFT(SUBSTITUTE(SUBSTITUTE(SUBSTITUTE(SUBSTITUTE(TRIM($W320),"-",""),".",""),"/","")," ",""),8),5,2),--MID(LEFT(SUBSTITUTE(SUBSTITUTE(SUBSTITUTE(SUBSTITUTE(TRIM($W320),"-",""),".",""),"/","")," ",""),8),7,2)),"")))</f>
        <v/>
      </c>
      <c r="Y320" s="32">
        <f>IF($X320="","",INT($X320))</f>
        <v/>
      </c>
      <c r="Z320" s="33">
        <f>IF(OR($Y320="",$D$6=""),"",IF(INDEX($A:$U,ROW(),$D$6)="",0,IF(ISNUMBER(INDEX($A:$U,ROW(),$D$6)),INDEX($A:$U,ROW(),$D$6),IFERROR(--SUBSTITUTE(SUBSTITUTE(TRIM(INDEX($A:$U,ROW(),$D$6)),",",""),"원",""),0))))</f>
        <v/>
      </c>
      <c r="AA320" s="31">
        <f>IF($Y320="","",TRIM(INDEX($A:$U,ROW(),$E$6)&amp;IF($F$6="",""," "&amp;INDEX($A:$U,ROW(),$F$6))))</f>
        <v/>
      </c>
      <c r="AB320" s="31">
        <f>IF($AA320="","",SUBSTITUTE(SUBSTITUTE(SUBSTITUTE(SUBSTITUTE(SUBSTITUTE(SUBSTITUTE(SUBSTITUTE(SUBSTITUTE(SUBSTITUTE($AA320," ",""),"　",""),"(주)",""),"（주）",""),"㈜",""),"주식회사",""),"(유)",""),"（유）",""),"유한회사",""))</f>
        <v/>
      </c>
      <c r="AC320" s="31">
        <f>IF(OR($Y320="",N($Z320)&lt;=0,$AB320=""),0,IFERROR(LOOKUP(2,1/((거래처별!$AC$8:$AC$307&lt;&gt;"")*ISNUMBER(SEARCH(거래처별!$AC$8:$AC$307,$AB320))),거래처별!$A$8:$A$307),IFERROR(LOOKUP(2,1/((거래처별!$AD$8:$AD$307&lt;&gt;"")*ISNUMBER(SEARCH(거래처별!$AD$8:$AD$307,$AB320))),거래처별!$A$8:$A$307),IFERROR(LOOKUP(2,1/((거래처별!$AE$8:$AE$307&lt;&gt;"")*ISNUMBER(SEARCH(거래처별!$AE$8:$AE$307,$AB320))),거래처별!$A$8:$A$307),0))))</f>
        <v/>
      </c>
      <c r="AD320" s="31">
        <f>IF(AND($Y320&lt;&gt;"",N($Z320)&gt;0,$AC320=0),MAX($AD$7:$AD319)+1,"")</f>
        <v/>
      </c>
      <c r="AE320" s="31">
        <f>IF($Y320="",0,$Y320)</f>
        <v/>
      </c>
    </row>
    <row r="321">
      <c r="W321" s="31">
        <f>IF(OR($B$5="",$C$6="",ROW()&lt;$B$5),"",IF(INDEX($A:$U,ROW(),$C$6)="","",INDEX($A:$U,ROW(),$C$6)))</f>
        <v/>
      </c>
      <c r="X321" s="32">
        <f>IF($W321="","",IF(ISNUMBER($W321),IF($W321&gt;=10000000,IFERROR(DATE(INT($W321/10000),MOD(INT($W321/100),100),MOD($W321,100)),""),INT($W321)),IFERROR(DATE(--LEFT(LEFT(SUBSTITUTE(SUBSTITUTE(SUBSTITUTE(SUBSTITUTE(TRIM($W321),"-",""),".",""),"/","")," ",""),8),4),--MID(LEFT(SUBSTITUTE(SUBSTITUTE(SUBSTITUTE(SUBSTITUTE(TRIM($W321),"-",""),".",""),"/","")," ",""),8),5,2),--MID(LEFT(SUBSTITUTE(SUBSTITUTE(SUBSTITUTE(SUBSTITUTE(TRIM($W321),"-",""),".",""),"/","")," ",""),8),7,2)),"")))</f>
        <v/>
      </c>
      <c r="Y321" s="32">
        <f>IF($X321="","",INT($X321))</f>
        <v/>
      </c>
      <c r="Z321" s="33">
        <f>IF(OR($Y321="",$D$6=""),"",IF(INDEX($A:$U,ROW(),$D$6)="",0,IF(ISNUMBER(INDEX($A:$U,ROW(),$D$6)),INDEX($A:$U,ROW(),$D$6),IFERROR(--SUBSTITUTE(SUBSTITUTE(TRIM(INDEX($A:$U,ROW(),$D$6)),",",""),"원",""),0))))</f>
        <v/>
      </c>
      <c r="AA321" s="31">
        <f>IF($Y321="","",TRIM(INDEX($A:$U,ROW(),$E$6)&amp;IF($F$6="",""," "&amp;INDEX($A:$U,ROW(),$F$6))))</f>
        <v/>
      </c>
      <c r="AB321" s="31">
        <f>IF($AA321="","",SUBSTITUTE(SUBSTITUTE(SUBSTITUTE(SUBSTITUTE(SUBSTITUTE(SUBSTITUTE(SUBSTITUTE(SUBSTITUTE(SUBSTITUTE($AA321," ",""),"　",""),"(주)",""),"（주）",""),"㈜",""),"주식회사",""),"(유)",""),"（유）",""),"유한회사",""))</f>
        <v/>
      </c>
      <c r="AC321" s="31">
        <f>IF(OR($Y321="",N($Z321)&lt;=0,$AB321=""),0,IFERROR(LOOKUP(2,1/((거래처별!$AC$8:$AC$307&lt;&gt;"")*ISNUMBER(SEARCH(거래처별!$AC$8:$AC$307,$AB321))),거래처별!$A$8:$A$307),IFERROR(LOOKUP(2,1/((거래처별!$AD$8:$AD$307&lt;&gt;"")*ISNUMBER(SEARCH(거래처별!$AD$8:$AD$307,$AB321))),거래처별!$A$8:$A$307),IFERROR(LOOKUP(2,1/((거래처별!$AE$8:$AE$307&lt;&gt;"")*ISNUMBER(SEARCH(거래처별!$AE$8:$AE$307,$AB321))),거래처별!$A$8:$A$307),0))))</f>
        <v/>
      </c>
      <c r="AD321" s="31">
        <f>IF(AND($Y321&lt;&gt;"",N($Z321)&gt;0,$AC321=0),MAX($AD$7:$AD320)+1,"")</f>
        <v/>
      </c>
      <c r="AE321" s="31">
        <f>IF($Y321="",0,$Y321)</f>
        <v/>
      </c>
    </row>
    <row r="322">
      <c r="W322" s="31">
        <f>IF(OR($B$5="",$C$6="",ROW()&lt;$B$5),"",IF(INDEX($A:$U,ROW(),$C$6)="","",INDEX($A:$U,ROW(),$C$6)))</f>
        <v/>
      </c>
      <c r="X322" s="32">
        <f>IF($W322="","",IF(ISNUMBER($W322),IF($W322&gt;=10000000,IFERROR(DATE(INT($W322/10000),MOD(INT($W322/100),100),MOD($W322,100)),""),INT($W322)),IFERROR(DATE(--LEFT(LEFT(SUBSTITUTE(SUBSTITUTE(SUBSTITUTE(SUBSTITUTE(TRIM($W322),"-",""),".",""),"/","")," ",""),8),4),--MID(LEFT(SUBSTITUTE(SUBSTITUTE(SUBSTITUTE(SUBSTITUTE(TRIM($W322),"-",""),".",""),"/","")," ",""),8),5,2),--MID(LEFT(SUBSTITUTE(SUBSTITUTE(SUBSTITUTE(SUBSTITUTE(TRIM($W322),"-",""),".",""),"/","")," ",""),8),7,2)),"")))</f>
        <v/>
      </c>
      <c r="Y322" s="32">
        <f>IF($X322="","",INT($X322))</f>
        <v/>
      </c>
      <c r="Z322" s="33">
        <f>IF(OR($Y322="",$D$6=""),"",IF(INDEX($A:$U,ROW(),$D$6)="",0,IF(ISNUMBER(INDEX($A:$U,ROW(),$D$6)),INDEX($A:$U,ROW(),$D$6),IFERROR(--SUBSTITUTE(SUBSTITUTE(TRIM(INDEX($A:$U,ROW(),$D$6)),",",""),"원",""),0))))</f>
        <v/>
      </c>
      <c r="AA322" s="31">
        <f>IF($Y322="","",TRIM(INDEX($A:$U,ROW(),$E$6)&amp;IF($F$6="",""," "&amp;INDEX($A:$U,ROW(),$F$6))))</f>
        <v/>
      </c>
      <c r="AB322" s="31">
        <f>IF($AA322="","",SUBSTITUTE(SUBSTITUTE(SUBSTITUTE(SUBSTITUTE(SUBSTITUTE(SUBSTITUTE(SUBSTITUTE(SUBSTITUTE(SUBSTITUTE($AA322," ",""),"　",""),"(주)",""),"（주）",""),"㈜",""),"주식회사",""),"(유)",""),"（유）",""),"유한회사",""))</f>
        <v/>
      </c>
      <c r="AC322" s="31">
        <f>IF(OR($Y322="",N($Z322)&lt;=0,$AB322=""),0,IFERROR(LOOKUP(2,1/((거래처별!$AC$8:$AC$307&lt;&gt;"")*ISNUMBER(SEARCH(거래처별!$AC$8:$AC$307,$AB322))),거래처별!$A$8:$A$307),IFERROR(LOOKUP(2,1/((거래처별!$AD$8:$AD$307&lt;&gt;"")*ISNUMBER(SEARCH(거래처별!$AD$8:$AD$307,$AB322))),거래처별!$A$8:$A$307),IFERROR(LOOKUP(2,1/((거래처별!$AE$8:$AE$307&lt;&gt;"")*ISNUMBER(SEARCH(거래처별!$AE$8:$AE$307,$AB322))),거래처별!$A$8:$A$307),0))))</f>
        <v/>
      </c>
      <c r="AD322" s="31">
        <f>IF(AND($Y322&lt;&gt;"",N($Z322)&gt;0,$AC322=0),MAX($AD$7:$AD321)+1,"")</f>
        <v/>
      </c>
      <c r="AE322" s="31">
        <f>IF($Y322="",0,$Y322)</f>
        <v/>
      </c>
    </row>
    <row r="323">
      <c r="W323" s="31">
        <f>IF(OR($B$5="",$C$6="",ROW()&lt;$B$5),"",IF(INDEX($A:$U,ROW(),$C$6)="","",INDEX($A:$U,ROW(),$C$6)))</f>
        <v/>
      </c>
      <c r="X323" s="32">
        <f>IF($W323="","",IF(ISNUMBER($W323),IF($W323&gt;=10000000,IFERROR(DATE(INT($W323/10000),MOD(INT($W323/100),100),MOD($W323,100)),""),INT($W323)),IFERROR(DATE(--LEFT(LEFT(SUBSTITUTE(SUBSTITUTE(SUBSTITUTE(SUBSTITUTE(TRIM($W323),"-",""),".",""),"/","")," ",""),8),4),--MID(LEFT(SUBSTITUTE(SUBSTITUTE(SUBSTITUTE(SUBSTITUTE(TRIM($W323),"-",""),".",""),"/","")," ",""),8),5,2),--MID(LEFT(SUBSTITUTE(SUBSTITUTE(SUBSTITUTE(SUBSTITUTE(TRIM($W323),"-",""),".",""),"/","")," ",""),8),7,2)),"")))</f>
        <v/>
      </c>
      <c r="Y323" s="32">
        <f>IF($X323="","",INT($X323))</f>
        <v/>
      </c>
      <c r="Z323" s="33">
        <f>IF(OR($Y323="",$D$6=""),"",IF(INDEX($A:$U,ROW(),$D$6)="",0,IF(ISNUMBER(INDEX($A:$U,ROW(),$D$6)),INDEX($A:$U,ROW(),$D$6),IFERROR(--SUBSTITUTE(SUBSTITUTE(TRIM(INDEX($A:$U,ROW(),$D$6)),",",""),"원",""),0))))</f>
        <v/>
      </c>
      <c r="AA323" s="31">
        <f>IF($Y323="","",TRIM(INDEX($A:$U,ROW(),$E$6)&amp;IF($F$6="",""," "&amp;INDEX($A:$U,ROW(),$F$6))))</f>
        <v/>
      </c>
      <c r="AB323" s="31">
        <f>IF($AA323="","",SUBSTITUTE(SUBSTITUTE(SUBSTITUTE(SUBSTITUTE(SUBSTITUTE(SUBSTITUTE(SUBSTITUTE(SUBSTITUTE(SUBSTITUTE($AA323," ",""),"　",""),"(주)",""),"（주）",""),"㈜",""),"주식회사",""),"(유)",""),"（유）",""),"유한회사",""))</f>
        <v/>
      </c>
      <c r="AC323" s="31">
        <f>IF(OR($Y323="",N($Z323)&lt;=0,$AB323=""),0,IFERROR(LOOKUP(2,1/((거래처별!$AC$8:$AC$307&lt;&gt;"")*ISNUMBER(SEARCH(거래처별!$AC$8:$AC$307,$AB323))),거래처별!$A$8:$A$307),IFERROR(LOOKUP(2,1/((거래처별!$AD$8:$AD$307&lt;&gt;"")*ISNUMBER(SEARCH(거래처별!$AD$8:$AD$307,$AB323))),거래처별!$A$8:$A$307),IFERROR(LOOKUP(2,1/((거래처별!$AE$8:$AE$307&lt;&gt;"")*ISNUMBER(SEARCH(거래처별!$AE$8:$AE$307,$AB323))),거래처별!$A$8:$A$307),0))))</f>
        <v/>
      </c>
      <c r="AD323" s="31">
        <f>IF(AND($Y323&lt;&gt;"",N($Z323)&gt;0,$AC323=0),MAX($AD$7:$AD322)+1,"")</f>
        <v/>
      </c>
      <c r="AE323" s="31">
        <f>IF($Y323="",0,$Y323)</f>
        <v/>
      </c>
    </row>
    <row r="324">
      <c r="W324" s="31">
        <f>IF(OR($B$5="",$C$6="",ROW()&lt;$B$5),"",IF(INDEX($A:$U,ROW(),$C$6)="","",INDEX($A:$U,ROW(),$C$6)))</f>
        <v/>
      </c>
      <c r="X324" s="32">
        <f>IF($W324="","",IF(ISNUMBER($W324),IF($W324&gt;=10000000,IFERROR(DATE(INT($W324/10000),MOD(INT($W324/100),100),MOD($W324,100)),""),INT($W324)),IFERROR(DATE(--LEFT(LEFT(SUBSTITUTE(SUBSTITUTE(SUBSTITUTE(SUBSTITUTE(TRIM($W324),"-",""),".",""),"/","")," ",""),8),4),--MID(LEFT(SUBSTITUTE(SUBSTITUTE(SUBSTITUTE(SUBSTITUTE(TRIM($W324),"-",""),".",""),"/","")," ",""),8),5,2),--MID(LEFT(SUBSTITUTE(SUBSTITUTE(SUBSTITUTE(SUBSTITUTE(TRIM($W324),"-",""),".",""),"/","")," ",""),8),7,2)),"")))</f>
        <v/>
      </c>
      <c r="Y324" s="32">
        <f>IF($X324="","",INT($X324))</f>
        <v/>
      </c>
      <c r="Z324" s="33">
        <f>IF(OR($Y324="",$D$6=""),"",IF(INDEX($A:$U,ROW(),$D$6)="",0,IF(ISNUMBER(INDEX($A:$U,ROW(),$D$6)),INDEX($A:$U,ROW(),$D$6),IFERROR(--SUBSTITUTE(SUBSTITUTE(TRIM(INDEX($A:$U,ROW(),$D$6)),",",""),"원",""),0))))</f>
        <v/>
      </c>
      <c r="AA324" s="31">
        <f>IF($Y324="","",TRIM(INDEX($A:$U,ROW(),$E$6)&amp;IF($F$6="",""," "&amp;INDEX($A:$U,ROW(),$F$6))))</f>
        <v/>
      </c>
      <c r="AB324" s="31">
        <f>IF($AA324="","",SUBSTITUTE(SUBSTITUTE(SUBSTITUTE(SUBSTITUTE(SUBSTITUTE(SUBSTITUTE(SUBSTITUTE(SUBSTITUTE(SUBSTITUTE($AA324," ",""),"　",""),"(주)",""),"（주）",""),"㈜",""),"주식회사",""),"(유)",""),"（유）",""),"유한회사",""))</f>
        <v/>
      </c>
      <c r="AC324" s="31">
        <f>IF(OR($Y324="",N($Z324)&lt;=0,$AB324=""),0,IFERROR(LOOKUP(2,1/((거래처별!$AC$8:$AC$307&lt;&gt;"")*ISNUMBER(SEARCH(거래처별!$AC$8:$AC$307,$AB324))),거래처별!$A$8:$A$307),IFERROR(LOOKUP(2,1/((거래처별!$AD$8:$AD$307&lt;&gt;"")*ISNUMBER(SEARCH(거래처별!$AD$8:$AD$307,$AB324))),거래처별!$A$8:$A$307),IFERROR(LOOKUP(2,1/((거래처별!$AE$8:$AE$307&lt;&gt;"")*ISNUMBER(SEARCH(거래처별!$AE$8:$AE$307,$AB324))),거래처별!$A$8:$A$307),0))))</f>
        <v/>
      </c>
      <c r="AD324" s="31">
        <f>IF(AND($Y324&lt;&gt;"",N($Z324)&gt;0,$AC324=0),MAX($AD$7:$AD323)+1,"")</f>
        <v/>
      </c>
      <c r="AE324" s="31">
        <f>IF($Y324="",0,$Y324)</f>
        <v/>
      </c>
    </row>
    <row r="325">
      <c r="W325" s="31">
        <f>IF(OR($B$5="",$C$6="",ROW()&lt;$B$5),"",IF(INDEX($A:$U,ROW(),$C$6)="","",INDEX($A:$U,ROW(),$C$6)))</f>
        <v/>
      </c>
      <c r="X325" s="32">
        <f>IF($W325="","",IF(ISNUMBER($W325),IF($W325&gt;=10000000,IFERROR(DATE(INT($W325/10000),MOD(INT($W325/100),100),MOD($W325,100)),""),INT($W325)),IFERROR(DATE(--LEFT(LEFT(SUBSTITUTE(SUBSTITUTE(SUBSTITUTE(SUBSTITUTE(TRIM($W325),"-",""),".",""),"/","")," ",""),8),4),--MID(LEFT(SUBSTITUTE(SUBSTITUTE(SUBSTITUTE(SUBSTITUTE(TRIM($W325),"-",""),".",""),"/","")," ",""),8),5,2),--MID(LEFT(SUBSTITUTE(SUBSTITUTE(SUBSTITUTE(SUBSTITUTE(TRIM($W325),"-",""),".",""),"/","")," ",""),8),7,2)),"")))</f>
        <v/>
      </c>
      <c r="Y325" s="32">
        <f>IF($X325="","",INT($X325))</f>
        <v/>
      </c>
      <c r="Z325" s="33">
        <f>IF(OR($Y325="",$D$6=""),"",IF(INDEX($A:$U,ROW(),$D$6)="",0,IF(ISNUMBER(INDEX($A:$U,ROW(),$D$6)),INDEX($A:$U,ROW(),$D$6),IFERROR(--SUBSTITUTE(SUBSTITUTE(TRIM(INDEX($A:$U,ROW(),$D$6)),",",""),"원",""),0))))</f>
        <v/>
      </c>
      <c r="AA325" s="31">
        <f>IF($Y325="","",TRIM(INDEX($A:$U,ROW(),$E$6)&amp;IF($F$6="",""," "&amp;INDEX($A:$U,ROW(),$F$6))))</f>
        <v/>
      </c>
      <c r="AB325" s="31">
        <f>IF($AA325="","",SUBSTITUTE(SUBSTITUTE(SUBSTITUTE(SUBSTITUTE(SUBSTITUTE(SUBSTITUTE(SUBSTITUTE(SUBSTITUTE(SUBSTITUTE($AA325," ",""),"　",""),"(주)",""),"（주）",""),"㈜",""),"주식회사",""),"(유)",""),"（유）",""),"유한회사",""))</f>
        <v/>
      </c>
      <c r="AC325" s="31">
        <f>IF(OR($Y325="",N($Z325)&lt;=0,$AB325=""),0,IFERROR(LOOKUP(2,1/((거래처별!$AC$8:$AC$307&lt;&gt;"")*ISNUMBER(SEARCH(거래처별!$AC$8:$AC$307,$AB325))),거래처별!$A$8:$A$307),IFERROR(LOOKUP(2,1/((거래처별!$AD$8:$AD$307&lt;&gt;"")*ISNUMBER(SEARCH(거래처별!$AD$8:$AD$307,$AB325))),거래처별!$A$8:$A$307),IFERROR(LOOKUP(2,1/((거래처별!$AE$8:$AE$307&lt;&gt;"")*ISNUMBER(SEARCH(거래처별!$AE$8:$AE$307,$AB325))),거래처별!$A$8:$A$307),0))))</f>
        <v/>
      </c>
      <c r="AD325" s="31">
        <f>IF(AND($Y325&lt;&gt;"",N($Z325)&gt;0,$AC325=0),MAX($AD$7:$AD324)+1,"")</f>
        <v/>
      </c>
      <c r="AE325" s="31">
        <f>IF($Y325="",0,$Y325)</f>
        <v/>
      </c>
    </row>
    <row r="326">
      <c r="W326" s="31">
        <f>IF(OR($B$5="",$C$6="",ROW()&lt;$B$5),"",IF(INDEX($A:$U,ROW(),$C$6)="","",INDEX($A:$U,ROW(),$C$6)))</f>
        <v/>
      </c>
      <c r="X326" s="32">
        <f>IF($W326="","",IF(ISNUMBER($W326),IF($W326&gt;=10000000,IFERROR(DATE(INT($W326/10000),MOD(INT($W326/100),100),MOD($W326,100)),""),INT($W326)),IFERROR(DATE(--LEFT(LEFT(SUBSTITUTE(SUBSTITUTE(SUBSTITUTE(SUBSTITUTE(TRIM($W326),"-",""),".",""),"/","")," ",""),8),4),--MID(LEFT(SUBSTITUTE(SUBSTITUTE(SUBSTITUTE(SUBSTITUTE(TRIM($W326),"-",""),".",""),"/","")," ",""),8),5,2),--MID(LEFT(SUBSTITUTE(SUBSTITUTE(SUBSTITUTE(SUBSTITUTE(TRIM($W326),"-",""),".",""),"/","")," ",""),8),7,2)),"")))</f>
        <v/>
      </c>
      <c r="Y326" s="32">
        <f>IF($X326="","",INT($X326))</f>
        <v/>
      </c>
      <c r="Z326" s="33">
        <f>IF(OR($Y326="",$D$6=""),"",IF(INDEX($A:$U,ROW(),$D$6)="",0,IF(ISNUMBER(INDEX($A:$U,ROW(),$D$6)),INDEX($A:$U,ROW(),$D$6),IFERROR(--SUBSTITUTE(SUBSTITUTE(TRIM(INDEX($A:$U,ROW(),$D$6)),",",""),"원",""),0))))</f>
        <v/>
      </c>
      <c r="AA326" s="31">
        <f>IF($Y326="","",TRIM(INDEX($A:$U,ROW(),$E$6)&amp;IF($F$6="",""," "&amp;INDEX($A:$U,ROW(),$F$6))))</f>
        <v/>
      </c>
      <c r="AB326" s="31">
        <f>IF($AA326="","",SUBSTITUTE(SUBSTITUTE(SUBSTITUTE(SUBSTITUTE(SUBSTITUTE(SUBSTITUTE(SUBSTITUTE(SUBSTITUTE(SUBSTITUTE($AA326," ",""),"　",""),"(주)",""),"（주）",""),"㈜",""),"주식회사",""),"(유)",""),"（유）",""),"유한회사",""))</f>
        <v/>
      </c>
      <c r="AC326" s="31">
        <f>IF(OR($Y326="",N($Z326)&lt;=0,$AB326=""),0,IFERROR(LOOKUP(2,1/((거래처별!$AC$8:$AC$307&lt;&gt;"")*ISNUMBER(SEARCH(거래처별!$AC$8:$AC$307,$AB326))),거래처별!$A$8:$A$307),IFERROR(LOOKUP(2,1/((거래처별!$AD$8:$AD$307&lt;&gt;"")*ISNUMBER(SEARCH(거래처별!$AD$8:$AD$307,$AB326))),거래처별!$A$8:$A$307),IFERROR(LOOKUP(2,1/((거래처별!$AE$8:$AE$307&lt;&gt;"")*ISNUMBER(SEARCH(거래처별!$AE$8:$AE$307,$AB326))),거래처별!$A$8:$A$307),0))))</f>
        <v/>
      </c>
      <c r="AD326" s="31">
        <f>IF(AND($Y326&lt;&gt;"",N($Z326)&gt;0,$AC326=0),MAX($AD$7:$AD325)+1,"")</f>
        <v/>
      </c>
      <c r="AE326" s="31">
        <f>IF($Y326="",0,$Y326)</f>
        <v/>
      </c>
    </row>
    <row r="327">
      <c r="W327" s="31">
        <f>IF(OR($B$5="",$C$6="",ROW()&lt;$B$5),"",IF(INDEX($A:$U,ROW(),$C$6)="","",INDEX($A:$U,ROW(),$C$6)))</f>
        <v/>
      </c>
      <c r="X327" s="32">
        <f>IF($W327="","",IF(ISNUMBER($W327),IF($W327&gt;=10000000,IFERROR(DATE(INT($W327/10000),MOD(INT($W327/100),100),MOD($W327,100)),""),INT($W327)),IFERROR(DATE(--LEFT(LEFT(SUBSTITUTE(SUBSTITUTE(SUBSTITUTE(SUBSTITUTE(TRIM($W327),"-",""),".",""),"/","")," ",""),8),4),--MID(LEFT(SUBSTITUTE(SUBSTITUTE(SUBSTITUTE(SUBSTITUTE(TRIM($W327),"-",""),".",""),"/","")," ",""),8),5,2),--MID(LEFT(SUBSTITUTE(SUBSTITUTE(SUBSTITUTE(SUBSTITUTE(TRIM($W327),"-",""),".",""),"/","")," ",""),8),7,2)),"")))</f>
        <v/>
      </c>
      <c r="Y327" s="32">
        <f>IF($X327="","",INT($X327))</f>
        <v/>
      </c>
      <c r="Z327" s="33">
        <f>IF(OR($Y327="",$D$6=""),"",IF(INDEX($A:$U,ROW(),$D$6)="",0,IF(ISNUMBER(INDEX($A:$U,ROW(),$D$6)),INDEX($A:$U,ROW(),$D$6),IFERROR(--SUBSTITUTE(SUBSTITUTE(TRIM(INDEX($A:$U,ROW(),$D$6)),",",""),"원",""),0))))</f>
        <v/>
      </c>
      <c r="AA327" s="31">
        <f>IF($Y327="","",TRIM(INDEX($A:$U,ROW(),$E$6)&amp;IF($F$6="",""," "&amp;INDEX($A:$U,ROW(),$F$6))))</f>
        <v/>
      </c>
      <c r="AB327" s="31">
        <f>IF($AA327="","",SUBSTITUTE(SUBSTITUTE(SUBSTITUTE(SUBSTITUTE(SUBSTITUTE(SUBSTITUTE(SUBSTITUTE(SUBSTITUTE(SUBSTITUTE($AA327," ",""),"　",""),"(주)",""),"（주）",""),"㈜",""),"주식회사",""),"(유)",""),"（유）",""),"유한회사",""))</f>
        <v/>
      </c>
      <c r="AC327" s="31">
        <f>IF(OR($Y327="",N($Z327)&lt;=0,$AB327=""),0,IFERROR(LOOKUP(2,1/((거래처별!$AC$8:$AC$307&lt;&gt;"")*ISNUMBER(SEARCH(거래처별!$AC$8:$AC$307,$AB327))),거래처별!$A$8:$A$307),IFERROR(LOOKUP(2,1/((거래처별!$AD$8:$AD$307&lt;&gt;"")*ISNUMBER(SEARCH(거래처별!$AD$8:$AD$307,$AB327))),거래처별!$A$8:$A$307),IFERROR(LOOKUP(2,1/((거래처별!$AE$8:$AE$307&lt;&gt;"")*ISNUMBER(SEARCH(거래처별!$AE$8:$AE$307,$AB327))),거래처별!$A$8:$A$307),0))))</f>
        <v/>
      </c>
      <c r="AD327" s="31">
        <f>IF(AND($Y327&lt;&gt;"",N($Z327)&gt;0,$AC327=0),MAX($AD$7:$AD326)+1,"")</f>
        <v/>
      </c>
      <c r="AE327" s="31">
        <f>IF($Y327="",0,$Y327)</f>
        <v/>
      </c>
    </row>
    <row r="328">
      <c r="W328" s="31">
        <f>IF(OR($B$5="",$C$6="",ROW()&lt;$B$5),"",IF(INDEX($A:$U,ROW(),$C$6)="","",INDEX($A:$U,ROW(),$C$6)))</f>
        <v/>
      </c>
      <c r="X328" s="32">
        <f>IF($W328="","",IF(ISNUMBER($W328),IF($W328&gt;=10000000,IFERROR(DATE(INT($W328/10000),MOD(INT($W328/100),100),MOD($W328,100)),""),INT($W328)),IFERROR(DATE(--LEFT(LEFT(SUBSTITUTE(SUBSTITUTE(SUBSTITUTE(SUBSTITUTE(TRIM($W328),"-",""),".",""),"/","")," ",""),8),4),--MID(LEFT(SUBSTITUTE(SUBSTITUTE(SUBSTITUTE(SUBSTITUTE(TRIM($W328),"-",""),".",""),"/","")," ",""),8),5,2),--MID(LEFT(SUBSTITUTE(SUBSTITUTE(SUBSTITUTE(SUBSTITUTE(TRIM($W328),"-",""),".",""),"/","")," ",""),8),7,2)),"")))</f>
        <v/>
      </c>
      <c r="Y328" s="32">
        <f>IF($X328="","",INT($X328))</f>
        <v/>
      </c>
      <c r="Z328" s="33">
        <f>IF(OR($Y328="",$D$6=""),"",IF(INDEX($A:$U,ROW(),$D$6)="",0,IF(ISNUMBER(INDEX($A:$U,ROW(),$D$6)),INDEX($A:$U,ROW(),$D$6),IFERROR(--SUBSTITUTE(SUBSTITUTE(TRIM(INDEX($A:$U,ROW(),$D$6)),",",""),"원",""),0))))</f>
        <v/>
      </c>
      <c r="AA328" s="31">
        <f>IF($Y328="","",TRIM(INDEX($A:$U,ROW(),$E$6)&amp;IF($F$6="",""," "&amp;INDEX($A:$U,ROW(),$F$6))))</f>
        <v/>
      </c>
      <c r="AB328" s="31">
        <f>IF($AA328="","",SUBSTITUTE(SUBSTITUTE(SUBSTITUTE(SUBSTITUTE(SUBSTITUTE(SUBSTITUTE(SUBSTITUTE(SUBSTITUTE(SUBSTITUTE($AA328," ",""),"　",""),"(주)",""),"（주）",""),"㈜",""),"주식회사",""),"(유)",""),"（유）",""),"유한회사",""))</f>
        <v/>
      </c>
      <c r="AC328" s="31">
        <f>IF(OR($Y328="",N($Z328)&lt;=0,$AB328=""),0,IFERROR(LOOKUP(2,1/((거래처별!$AC$8:$AC$307&lt;&gt;"")*ISNUMBER(SEARCH(거래처별!$AC$8:$AC$307,$AB328))),거래처별!$A$8:$A$307),IFERROR(LOOKUP(2,1/((거래처별!$AD$8:$AD$307&lt;&gt;"")*ISNUMBER(SEARCH(거래처별!$AD$8:$AD$307,$AB328))),거래처별!$A$8:$A$307),IFERROR(LOOKUP(2,1/((거래처별!$AE$8:$AE$307&lt;&gt;"")*ISNUMBER(SEARCH(거래처별!$AE$8:$AE$307,$AB328))),거래처별!$A$8:$A$307),0))))</f>
        <v/>
      </c>
      <c r="AD328" s="31">
        <f>IF(AND($Y328&lt;&gt;"",N($Z328)&gt;0,$AC328=0),MAX($AD$7:$AD327)+1,"")</f>
        <v/>
      </c>
      <c r="AE328" s="31">
        <f>IF($Y328="",0,$Y328)</f>
        <v/>
      </c>
    </row>
    <row r="329">
      <c r="W329" s="31">
        <f>IF(OR($B$5="",$C$6="",ROW()&lt;$B$5),"",IF(INDEX($A:$U,ROW(),$C$6)="","",INDEX($A:$U,ROW(),$C$6)))</f>
        <v/>
      </c>
      <c r="X329" s="32">
        <f>IF($W329="","",IF(ISNUMBER($W329),IF($W329&gt;=10000000,IFERROR(DATE(INT($W329/10000),MOD(INT($W329/100),100),MOD($W329,100)),""),INT($W329)),IFERROR(DATE(--LEFT(LEFT(SUBSTITUTE(SUBSTITUTE(SUBSTITUTE(SUBSTITUTE(TRIM($W329),"-",""),".",""),"/","")," ",""),8),4),--MID(LEFT(SUBSTITUTE(SUBSTITUTE(SUBSTITUTE(SUBSTITUTE(TRIM($W329),"-",""),".",""),"/","")," ",""),8),5,2),--MID(LEFT(SUBSTITUTE(SUBSTITUTE(SUBSTITUTE(SUBSTITUTE(TRIM($W329),"-",""),".",""),"/","")," ",""),8),7,2)),"")))</f>
        <v/>
      </c>
      <c r="Y329" s="32">
        <f>IF($X329="","",INT($X329))</f>
        <v/>
      </c>
      <c r="Z329" s="33">
        <f>IF(OR($Y329="",$D$6=""),"",IF(INDEX($A:$U,ROW(),$D$6)="",0,IF(ISNUMBER(INDEX($A:$U,ROW(),$D$6)),INDEX($A:$U,ROW(),$D$6),IFERROR(--SUBSTITUTE(SUBSTITUTE(TRIM(INDEX($A:$U,ROW(),$D$6)),",",""),"원",""),0))))</f>
        <v/>
      </c>
      <c r="AA329" s="31">
        <f>IF($Y329="","",TRIM(INDEX($A:$U,ROW(),$E$6)&amp;IF($F$6="",""," "&amp;INDEX($A:$U,ROW(),$F$6))))</f>
        <v/>
      </c>
      <c r="AB329" s="31">
        <f>IF($AA329="","",SUBSTITUTE(SUBSTITUTE(SUBSTITUTE(SUBSTITUTE(SUBSTITUTE(SUBSTITUTE(SUBSTITUTE(SUBSTITUTE(SUBSTITUTE($AA329," ",""),"　",""),"(주)",""),"（주）",""),"㈜",""),"주식회사",""),"(유)",""),"（유）",""),"유한회사",""))</f>
        <v/>
      </c>
      <c r="AC329" s="31">
        <f>IF(OR($Y329="",N($Z329)&lt;=0,$AB329=""),0,IFERROR(LOOKUP(2,1/((거래처별!$AC$8:$AC$307&lt;&gt;"")*ISNUMBER(SEARCH(거래처별!$AC$8:$AC$307,$AB329))),거래처별!$A$8:$A$307),IFERROR(LOOKUP(2,1/((거래처별!$AD$8:$AD$307&lt;&gt;"")*ISNUMBER(SEARCH(거래처별!$AD$8:$AD$307,$AB329))),거래처별!$A$8:$A$307),IFERROR(LOOKUP(2,1/((거래처별!$AE$8:$AE$307&lt;&gt;"")*ISNUMBER(SEARCH(거래처별!$AE$8:$AE$307,$AB329))),거래처별!$A$8:$A$307),0))))</f>
        <v/>
      </c>
      <c r="AD329" s="31">
        <f>IF(AND($Y329&lt;&gt;"",N($Z329)&gt;0,$AC329=0),MAX($AD$7:$AD328)+1,"")</f>
        <v/>
      </c>
      <c r="AE329" s="31">
        <f>IF($Y329="",0,$Y329)</f>
        <v/>
      </c>
    </row>
    <row r="330">
      <c r="W330" s="31">
        <f>IF(OR($B$5="",$C$6="",ROW()&lt;$B$5),"",IF(INDEX($A:$U,ROW(),$C$6)="","",INDEX($A:$U,ROW(),$C$6)))</f>
        <v/>
      </c>
      <c r="X330" s="32">
        <f>IF($W330="","",IF(ISNUMBER($W330),IF($W330&gt;=10000000,IFERROR(DATE(INT($W330/10000),MOD(INT($W330/100),100),MOD($W330,100)),""),INT($W330)),IFERROR(DATE(--LEFT(LEFT(SUBSTITUTE(SUBSTITUTE(SUBSTITUTE(SUBSTITUTE(TRIM($W330),"-",""),".",""),"/","")," ",""),8),4),--MID(LEFT(SUBSTITUTE(SUBSTITUTE(SUBSTITUTE(SUBSTITUTE(TRIM($W330),"-",""),".",""),"/","")," ",""),8),5,2),--MID(LEFT(SUBSTITUTE(SUBSTITUTE(SUBSTITUTE(SUBSTITUTE(TRIM($W330),"-",""),".",""),"/","")," ",""),8),7,2)),"")))</f>
        <v/>
      </c>
      <c r="Y330" s="32">
        <f>IF($X330="","",INT($X330))</f>
        <v/>
      </c>
      <c r="Z330" s="33">
        <f>IF(OR($Y330="",$D$6=""),"",IF(INDEX($A:$U,ROW(),$D$6)="",0,IF(ISNUMBER(INDEX($A:$U,ROW(),$D$6)),INDEX($A:$U,ROW(),$D$6),IFERROR(--SUBSTITUTE(SUBSTITUTE(TRIM(INDEX($A:$U,ROW(),$D$6)),",",""),"원",""),0))))</f>
        <v/>
      </c>
      <c r="AA330" s="31">
        <f>IF($Y330="","",TRIM(INDEX($A:$U,ROW(),$E$6)&amp;IF($F$6="",""," "&amp;INDEX($A:$U,ROW(),$F$6))))</f>
        <v/>
      </c>
      <c r="AB330" s="31">
        <f>IF($AA330="","",SUBSTITUTE(SUBSTITUTE(SUBSTITUTE(SUBSTITUTE(SUBSTITUTE(SUBSTITUTE(SUBSTITUTE(SUBSTITUTE(SUBSTITUTE($AA330," ",""),"　",""),"(주)",""),"（주）",""),"㈜",""),"주식회사",""),"(유)",""),"（유）",""),"유한회사",""))</f>
        <v/>
      </c>
      <c r="AC330" s="31">
        <f>IF(OR($Y330="",N($Z330)&lt;=0,$AB330=""),0,IFERROR(LOOKUP(2,1/((거래처별!$AC$8:$AC$307&lt;&gt;"")*ISNUMBER(SEARCH(거래처별!$AC$8:$AC$307,$AB330))),거래처별!$A$8:$A$307),IFERROR(LOOKUP(2,1/((거래처별!$AD$8:$AD$307&lt;&gt;"")*ISNUMBER(SEARCH(거래처별!$AD$8:$AD$307,$AB330))),거래처별!$A$8:$A$307),IFERROR(LOOKUP(2,1/((거래처별!$AE$8:$AE$307&lt;&gt;"")*ISNUMBER(SEARCH(거래처별!$AE$8:$AE$307,$AB330))),거래처별!$A$8:$A$307),0))))</f>
        <v/>
      </c>
      <c r="AD330" s="31">
        <f>IF(AND($Y330&lt;&gt;"",N($Z330)&gt;0,$AC330=0),MAX($AD$7:$AD329)+1,"")</f>
        <v/>
      </c>
      <c r="AE330" s="31">
        <f>IF($Y330="",0,$Y330)</f>
        <v/>
      </c>
    </row>
    <row r="331">
      <c r="W331" s="31">
        <f>IF(OR($B$5="",$C$6="",ROW()&lt;$B$5),"",IF(INDEX($A:$U,ROW(),$C$6)="","",INDEX($A:$U,ROW(),$C$6)))</f>
        <v/>
      </c>
      <c r="X331" s="32">
        <f>IF($W331="","",IF(ISNUMBER($W331),IF($W331&gt;=10000000,IFERROR(DATE(INT($W331/10000),MOD(INT($W331/100),100),MOD($W331,100)),""),INT($W331)),IFERROR(DATE(--LEFT(LEFT(SUBSTITUTE(SUBSTITUTE(SUBSTITUTE(SUBSTITUTE(TRIM($W331),"-",""),".",""),"/","")," ",""),8),4),--MID(LEFT(SUBSTITUTE(SUBSTITUTE(SUBSTITUTE(SUBSTITUTE(TRIM($W331),"-",""),".",""),"/","")," ",""),8),5,2),--MID(LEFT(SUBSTITUTE(SUBSTITUTE(SUBSTITUTE(SUBSTITUTE(TRIM($W331),"-",""),".",""),"/","")," ",""),8),7,2)),"")))</f>
        <v/>
      </c>
      <c r="Y331" s="32">
        <f>IF($X331="","",INT($X331))</f>
        <v/>
      </c>
      <c r="Z331" s="33">
        <f>IF(OR($Y331="",$D$6=""),"",IF(INDEX($A:$U,ROW(),$D$6)="",0,IF(ISNUMBER(INDEX($A:$U,ROW(),$D$6)),INDEX($A:$U,ROW(),$D$6),IFERROR(--SUBSTITUTE(SUBSTITUTE(TRIM(INDEX($A:$U,ROW(),$D$6)),",",""),"원",""),0))))</f>
        <v/>
      </c>
      <c r="AA331" s="31">
        <f>IF($Y331="","",TRIM(INDEX($A:$U,ROW(),$E$6)&amp;IF($F$6="",""," "&amp;INDEX($A:$U,ROW(),$F$6))))</f>
        <v/>
      </c>
      <c r="AB331" s="31">
        <f>IF($AA331="","",SUBSTITUTE(SUBSTITUTE(SUBSTITUTE(SUBSTITUTE(SUBSTITUTE(SUBSTITUTE(SUBSTITUTE(SUBSTITUTE(SUBSTITUTE($AA331," ",""),"　",""),"(주)",""),"（주）",""),"㈜",""),"주식회사",""),"(유)",""),"（유）",""),"유한회사",""))</f>
        <v/>
      </c>
      <c r="AC331" s="31">
        <f>IF(OR($Y331="",N($Z331)&lt;=0,$AB331=""),0,IFERROR(LOOKUP(2,1/((거래처별!$AC$8:$AC$307&lt;&gt;"")*ISNUMBER(SEARCH(거래처별!$AC$8:$AC$307,$AB331))),거래처별!$A$8:$A$307),IFERROR(LOOKUP(2,1/((거래처별!$AD$8:$AD$307&lt;&gt;"")*ISNUMBER(SEARCH(거래처별!$AD$8:$AD$307,$AB331))),거래처별!$A$8:$A$307),IFERROR(LOOKUP(2,1/((거래처별!$AE$8:$AE$307&lt;&gt;"")*ISNUMBER(SEARCH(거래처별!$AE$8:$AE$307,$AB331))),거래처별!$A$8:$A$307),0))))</f>
        <v/>
      </c>
      <c r="AD331" s="31">
        <f>IF(AND($Y331&lt;&gt;"",N($Z331)&gt;0,$AC331=0),MAX($AD$7:$AD330)+1,"")</f>
        <v/>
      </c>
      <c r="AE331" s="31">
        <f>IF($Y331="",0,$Y331)</f>
        <v/>
      </c>
    </row>
    <row r="332">
      <c r="W332" s="31">
        <f>IF(OR($B$5="",$C$6="",ROW()&lt;$B$5),"",IF(INDEX($A:$U,ROW(),$C$6)="","",INDEX($A:$U,ROW(),$C$6)))</f>
        <v/>
      </c>
      <c r="X332" s="32">
        <f>IF($W332="","",IF(ISNUMBER($W332),IF($W332&gt;=10000000,IFERROR(DATE(INT($W332/10000),MOD(INT($W332/100),100),MOD($W332,100)),""),INT($W332)),IFERROR(DATE(--LEFT(LEFT(SUBSTITUTE(SUBSTITUTE(SUBSTITUTE(SUBSTITUTE(TRIM($W332),"-",""),".",""),"/","")," ",""),8),4),--MID(LEFT(SUBSTITUTE(SUBSTITUTE(SUBSTITUTE(SUBSTITUTE(TRIM($W332),"-",""),".",""),"/","")," ",""),8),5,2),--MID(LEFT(SUBSTITUTE(SUBSTITUTE(SUBSTITUTE(SUBSTITUTE(TRIM($W332),"-",""),".",""),"/","")," ",""),8),7,2)),"")))</f>
        <v/>
      </c>
      <c r="Y332" s="32">
        <f>IF($X332="","",INT($X332))</f>
        <v/>
      </c>
      <c r="Z332" s="33">
        <f>IF(OR($Y332="",$D$6=""),"",IF(INDEX($A:$U,ROW(),$D$6)="",0,IF(ISNUMBER(INDEX($A:$U,ROW(),$D$6)),INDEX($A:$U,ROW(),$D$6),IFERROR(--SUBSTITUTE(SUBSTITUTE(TRIM(INDEX($A:$U,ROW(),$D$6)),",",""),"원",""),0))))</f>
        <v/>
      </c>
      <c r="AA332" s="31">
        <f>IF($Y332="","",TRIM(INDEX($A:$U,ROW(),$E$6)&amp;IF($F$6="",""," "&amp;INDEX($A:$U,ROW(),$F$6))))</f>
        <v/>
      </c>
      <c r="AB332" s="31">
        <f>IF($AA332="","",SUBSTITUTE(SUBSTITUTE(SUBSTITUTE(SUBSTITUTE(SUBSTITUTE(SUBSTITUTE(SUBSTITUTE(SUBSTITUTE(SUBSTITUTE($AA332," ",""),"　",""),"(주)",""),"（주）",""),"㈜",""),"주식회사",""),"(유)",""),"（유）",""),"유한회사",""))</f>
        <v/>
      </c>
      <c r="AC332" s="31">
        <f>IF(OR($Y332="",N($Z332)&lt;=0,$AB332=""),0,IFERROR(LOOKUP(2,1/((거래처별!$AC$8:$AC$307&lt;&gt;"")*ISNUMBER(SEARCH(거래처별!$AC$8:$AC$307,$AB332))),거래처별!$A$8:$A$307),IFERROR(LOOKUP(2,1/((거래처별!$AD$8:$AD$307&lt;&gt;"")*ISNUMBER(SEARCH(거래처별!$AD$8:$AD$307,$AB332))),거래처별!$A$8:$A$307),IFERROR(LOOKUP(2,1/((거래처별!$AE$8:$AE$307&lt;&gt;"")*ISNUMBER(SEARCH(거래처별!$AE$8:$AE$307,$AB332))),거래처별!$A$8:$A$307),0))))</f>
        <v/>
      </c>
      <c r="AD332" s="31">
        <f>IF(AND($Y332&lt;&gt;"",N($Z332)&gt;0,$AC332=0),MAX($AD$7:$AD331)+1,"")</f>
        <v/>
      </c>
      <c r="AE332" s="31">
        <f>IF($Y332="",0,$Y332)</f>
        <v/>
      </c>
    </row>
    <row r="333">
      <c r="W333" s="31">
        <f>IF(OR($B$5="",$C$6="",ROW()&lt;$B$5),"",IF(INDEX($A:$U,ROW(),$C$6)="","",INDEX($A:$U,ROW(),$C$6)))</f>
        <v/>
      </c>
      <c r="X333" s="32">
        <f>IF($W333="","",IF(ISNUMBER($W333),IF($W333&gt;=10000000,IFERROR(DATE(INT($W333/10000),MOD(INT($W333/100),100),MOD($W333,100)),""),INT($W333)),IFERROR(DATE(--LEFT(LEFT(SUBSTITUTE(SUBSTITUTE(SUBSTITUTE(SUBSTITUTE(TRIM($W333),"-",""),".",""),"/","")," ",""),8),4),--MID(LEFT(SUBSTITUTE(SUBSTITUTE(SUBSTITUTE(SUBSTITUTE(TRIM($W333),"-",""),".",""),"/","")," ",""),8),5,2),--MID(LEFT(SUBSTITUTE(SUBSTITUTE(SUBSTITUTE(SUBSTITUTE(TRIM($W333),"-",""),".",""),"/","")," ",""),8),7,2)),"")))</f>
        <v/>
      </c>
      <c r="Y333" s="32">
        <f>IF($X333="","",INT($X333))</f>
        <v/>
      </c>
      <c r="Z333" s="33">
        <f>IF(OR($Y333="",$D$6=""),"",IF(INDEX($A:$U,ROW(),$D$6)="",0,IF(ISNUMBER(INDEX($A:$U,ROW(),$D$6)),INDEX($A:$U,ROW(),$D$6),IFERROR(--SUBSTITUTE(SUBSTITUTE(TRIM(INDEX($A:$U,ROW(),$D$6)),",",""),"원",""),0))))</f>
        <v/>
      </c>
      <c r="AA333" s="31">
        <f>IF($Y333="","",TRIM(INDEX($A:$U,ROW(),$E$6)&amp;IF($F$6="",""," "&amp;INDEX($A:$U,ROW(),$F$6))))</f>
        <v/>
      </c>
      <c r="AB333" s="31">
        <f>IF($AA333="","",SUBSTITUTE(SUBSTITUTE(SUBSTITUTE(SUBSTITUTE(SUBSTITUTE(SUBSTITUTE(SUBSTITUTE(SUBSTITUTE(SUBSTITUTE($AA333," ",""),"　",""),"(주)",""),"（주）",""),"㈜",""),"주식회사",""),"(유)",""),"（유）",""),"유한회사",""))</f>
        <v/>
      </c>
      <c r="AC333" s="31">
        <f>IF(OR($Y333="",N($Z333)&lt;=0,$AB333=""),0,IFERROR(LOOKUP(2,1/((거래처별!$AC$8:$AC$307&lt;&gt;"")*ISNUMBER(SEARCH(거래처별!$AC$8:$AC$307,$AB333))),거래처별!$A$8:$A$307),IFERROR(LOOKUP(2,1/((거래처별!$AD$8:$AD$307&lt;&gt;"")*ISNUMBER(SEARCH(거래처별!$AD$8:$AD$307,$AB333))),거래처별!$A$8:$A$307),IFERROR(LOOKUP(2,1/((거래처별!$AE$8:$AE$307&lt;&gt;"")*ISNUMBER(SEARCH(거래처별!$AE$8:$AE$307,$AB333))),거래처별!$A$8:$A$307),0))))</f>
        <v/>
      </c>
      <c r="AD333" s="31">
        <f>IF(AND($Y333&lt;&gt;"",N($Z333)&gt;0,$AC333=0),MAX($AD$7:$AD332)+1,"")</f>
        <v/>
      </c>
      <c r="AE333" s="31">
        <f>IF($Y333="",0,$Y333)</f>
        <v/>
      </c>
    </row>
    <row r="334">
      <c r="W334" s="31">
        <f>IF(OR($B$5="",$C$6="",ROW()&lt;$B$5),"",IF(INDEX($A:$U,ROW(),$C$6)="","",INDEX($A:$U,ROW(),$C$6)))</f>
        <v/>
      </c>
      <c r="X334" s="32">
        <f>IF($W334="","",IF(ISNUMBER($W334),IF($W334&gt;=10000000,IFERROR(DATE(INT($W334/10000),MOD(INT($W334/100),100),MOD($W334,100)),""),INT($W334)),IFERROR(DATE(--LEFT(LEFT(SUBSTITUTE(SUBSTITUTE(SUBSTITUTE(SUBSTITUTE(TRIM($W334),"-",""),".",""),"/","")," ",""),8),4),--MID(LEFT(SUBSTITUTE(SUBSTITUTE(SUBSTITUTE(SUBSTITUTE(TRIM($W334),"-",""),".",""),"/","")," ",""),8),5,2),--MID(LEFT(SUBSTITUTE(SUBSTITUTE(SUBSTITUTE(SUBSTITUTE(TRIM($W334),"-",""),".",""),"/","")," ",""),8),7,2)),"")))</f>
        <v/>
      </c>
      <c r="Y334" s="32">
        <f>IF($X334="","",INT($X334))</f>
        <v/>
      </c>
      <c r="Z334" s="33">
        <f>IF(OR($Y334="",$D$6=""),"",IF(INDEX($A:$U,ROW(),$D$6)="",0,IF(ISNUMBER(INDEX($A:$U,ROW(),$D$6)),INDEX($A:$U,ROW(),$D$6),IFERROR(--SUBSTITUTE(SUBSTITUTE(TRIM(INDEX($A:$U,ROW(),$D$6)),",",""),"원",""),0))))</f>
        <v/>
      </c>
      <c r="AA334" s="31">
        <f>IF($Y334="","",TRIM(INDEX($A:$U,ROW(),$E$6)&amp;IF($F$6="",""," "&amp;INDEX($A:$U,ROW(),$F$6))))</f>
        <v/>
      </c>
      <c r="AB334" s="31">
        <f>IF($AA334="","",SUBSTITUTE(SUBSTITUTE(SUBSTITUTE(SUBSTITUTE(SUBSTITUTE(SUBSTITUTE(SUBSTITUTE(SUBSTITUTE(SUBSTITUTE($AA334," ",""),"　",""),"(주)",""),"（주）",""),"㈜",""),"주식회사",""),"(유)",""),"（유）",""),"유한회사",""))</f>
        <v/>
      </c>
      <c r="AC334" s="31">
        <f>IF(OR($Y334="",N($Z334)&lt;=0,$AB334=""),0,IFERROR(LOOKUP(2,1/((거래처별!$AC$8:$AC$307&lt;&gt;"")*ISNUMBER(SEARCH(거래처별!$AC$8:$AC$307,$AB334))),거래처별!$A$8:$A$307),IFERROR(LOOKUP(2,1/((거래처별!$AD$8:$AD$307&lt;&gt;"")*ISNUMBER(SEARCH(거래처별!$AD$8:$AD$307,$AB334))),거래처별!$A$8:$A$307),IFERROR(LOOKUP(2,1/((거래처별!$AE$8:$AE$307&lt;&gt;"")*ISNUMBER(SEARCH(거래처별!$AE$8:$AE$307,$AB334))),거래처별!$A$8:$A$307),0))))</f>
        <v/>
      </c>
      <c r="AD334" s="31">
        <f>IF(AND($Y334&lt;&gt;"",N($Z334)&gt;0,$AC334=0),MAX($AD$7:$AD333)+1,"")</f>
        <v/>
      </c>
      <c r="AE334" s="31">
        <f>IF($Y334="",0,$Y334)</f>
        <v/>
      </c>
    </row>
    <row r="335">
      <c r="W335" s="31">
        <f>IF(OR($B$5="",$C$6="",ROW()&lt;$B$5),"",IF(INDEX($A:$U,ROW(),$C$6)="","",INDEX($A:$U,ROW(),$C$6)))</f>
        <v/>
      </c>
      <c r="X335" s="32">
        <f>IF($W335="","",IF(ISNUMBER($W335),IF($W335&gt;=10000000,IFERROR(DATE(INT($W335/10000),MOD(INT($W335/100),100),MOD($W335,100)),""),INT($W335)),IFERROR(DATE(--LEFT(LEFT(SUBSTITUTE(SUBSTITUTE(SUBSTITUTE(SUBSTITUTE(TRIM($W335),"-",""),".",""),"/","")," ",""),8),4),--MID(LEFT(SUBSTITUTE(SUBSTITUTE(SUBSTITUTE(SUBSTITUTE(TRIM($W335),"-",""),".",""),"/","")," ",""),8),5,2),--MID(LEFT(SUBSTITUTE(SUBSTITUTE(SUBSTITUTE(SUBSTITUTE(TRIM($W335),"-",""),".",""),"/","")," ",""),8),7,2)),"")))</f>
        <v/>
      </c>
      <c r="Y335" s="32">
        <f>IF($X335="","",INT($X335))</f>
        <v/>
      </c>
      <c r="Z335" s="33">
        <f>IF(OR($Y335="",$D$6=""),"",IF(INDEX($A:$U,ROW(),$D$6)="",0,IF(ISNUMBER(INDEX($A:$U,ROW(),$D$6)),INDEX($A:$U,ROW(),$D$6),IFERROR(--SUBSTITUTE(SUBSTITUTE(TRIM(INDEX($A:$U,ROW(),$D$6)),",",""),"원",""),0))))</f>
        <v/>
      </c>
      <c r="AA335" s="31">
        <f>IF($Y335="","",TRIM(INDEX($A:$U,ROW(),$E$6)&amp;IF($F$6="",""," "&amp;INDEX($A:$U,ROW(),$F$6))))</f>
        <v/>
      </c>
      <c r="AB335" s="31">
        <f>IF($AA335="","",SUBSTITUTE(SUBSTITUTE(SUBSTITUTE(SUBSTITUTE(SUBSTITUTE(SUBSTITUTE(SUBSTITUTE(SUBSTITUTE(SUBSTITUTE($AA335," ",""),"　",""),"(주)",""),"（주）",""),"㈜",""),"주식회사",""),"(유)",""),"（유）",""),"유한회사",""))</f>
        <v/>
      </c>
      <c r="AC335" s="31">
        <f>IF(OR($Y335="",N($Z335)&lt;=0,$AB335=""),0,IFERROR(LOOKUP(2,1/((거래처별!$AC$8:$AC$307&lt;&gt;"")*ISNUMBER(SEARCH(거래처별!$AC$8:$AC$307,$AB335))),거래처별!$A$8:$A$307),IFERROR(LOOKUP(2,1/((거래처별!$AD$8:$AD$307&lt;&gt;"")*ISNUMBER(SEARCH(거래처별!$AD$8:$AD$307,$AB335))),거래처별!$A$8:$A$307),IFERROR(LOOKUP(2,1/((거래처별!$AE$8:$AE$307&lt;&gt;"")*ISNUMBER(SEARCH(거래처별!$AE$8:$AE$307,$AB335))),거래처별!$A$8:$A$307),0))))</f>
        <v/>
      </c>
      <c r="AD335" s="31">
        <f>IF(AND($Y335&lt;&gt;"",N($Z335)&gt;0,$AC335=0),MAX($AD$7:$AD334)+1,"")</f>
        <v/>
      </c>
      <c r="AE335" s="31">
        <f>IF($Y335="",0,$Y335)</f>
        <v/>
      </c>
    </row>
    <row r="336">
      <c r="W336" s="31">
        <f>IF(OR($B$5="",$C$6="",ROW()&lt;$B$5),"",IF(INDEX($A:$U,ROW(),$C$6)="","",INDEX($A:$U,ROW(),$C$6)))</f>
        <v/>
      </c>
      <c r="X336" s="32">
        <f>IF($W336="","",IF(ISNUMBER($W336),IF($W336&gt;=10000000,IFERROR(DATE(INT($W336/10000),MOD(INT($W336/100),100),MOD($W336,100)),""),INT($W336)),IFERROR(DATE(--LEFT(LEFT(SUBSTITUTE(SUBSTITUTE(SUBSTITUTE(SUBSTITUTE(TRIM($W336),"-",""),".",""),"/","")," ",""),8),4),--MID(LEFT(SUBSTITUTE(SUBSTITUTE(SUBSTITUTE(SUBSTITUTE(TRIM($W336),"-",""),".",""),"/","")," ",""),8),5,2),--MID(LEFT(SUBSTITUTE(SUBSTITUTE(SUBSTITUTE(SUBSTITUTE(TRIM($W336),"-",""),".",""),"/","")," ",""),8),7,2)),"")))</f>
        <v/>
      </c>
      <c r="Y336" s="32">
        <f>IF($X336="","",INT($X336))</f>
        <v/>
      </c>
      <c r="Z336" s="33">
        <f>IF(OR($Y336="",$D$6=""),"",IF(INDEX($A:$U,ROW(),$D$6)="",0,IF(ISNUMBER(INDEX($A:$U,ROW(),$D$6)),INDEX($A:$U,ROW(),$D$6),IFERROR(--SUBSTITUTE(SUBSTITUTE(TRIM(INDEX($A:$U,ROW(),$D$6)),",",""),"원",""),0))))</f>
        <v/>
      </c>
      <c r="AA336" s="31">
        <f>IF($Y336="","",TRIM(INDEX($A:$U,ROW(),$E$6)&amp;IF($F$6="",""," "&amp;INDEX($A:$U,ROW(),$F$6))))</f>
        <v/>
      </c>
      <c r="AB336" s="31">
        <f>IF($AA336="","",SUBSTITUTE(SUBSTITUTE(SUBSTITUTE(SUBSTITUTE(SUBSTITUTE(SUBSTITUTE(SUBSTITUTE(SUBSTITUTE(SUBSTITUTE($AA336," ",""),"　",""),"(주)",""),"（주）",""),"㈜",""),"주식회사",""),"(유)",""),"（유）",""),"유한회사",""))</f>
        <v/>
      </c>
      <c r="AC336" s="31">
        <f>IF(OR($Y336="",N($Z336)&lt;=0,$AB336=""),0,IFERROR(LOOKUP(2,1/((거래처별!$AC$8:$AC$307&lt;&gt;"")*ISNUMBER(SEARCH(거래처별!$AC$8:$AC$307,$AB336))),거래처별!$A$8:$A$307),IFERROR(LOOKUP(2,1/((거래처별!$AD$8:$AD$307&lt;&gt;"")*ISNUMBER(SEARCH(거래처별!$AD$8:$AD$307,$AB336))),거래처별!$A$8:$A$307),IFERROR(LOOKUP(2,1/((거래처별!$AE$8:$AE$307&lt;&gt;"")*ISNUMBER(SEARCH(거래처별!$AE$8:$AE$307,$AB336))),거래처별!$A$8:$A$307),0))))</f>
        <v/>
      </c>
      <c r="AD336" s="31">
        <f>IF(AND($Y336&lt;&gt;"",N($Z336)&gt;0,$AC336=0),MAX($AD$7:$AD335)+1,"")</f>
        <v/>
      </c>
      <c r="AE336" s="31">
        <f>IF($Y336="",0,$Y336)</f>
        <v/>
      </c>
    </row>
    <row r="337">
      <c r="W337" s="31">
        <f>IF(OR($B$5="",$C$6="",ROW()&lt;$B$5),"",IF(INDEX($A:$U,ROW(),$C$6)="","",INDEX($A:$U,ROW(),$C$6)))</f>
        <v/>
      </c>
      <c r="X337" s="32">
        <f>IF($W337="","",IF(ISNUMBER($W337),IF($W337&gt;=10000000,IFERROR(DATE(INT($W337/10000),MOD(INT($W337/100),100),MOD($W337,100)),""),INT($W337)),IFERROR(DATE(--LEFT(LEFT(SUBSTITUTE(SUBSTITUTE(SUBSTITUTE(SUBSTITUTE(TRIM($W337),"-",""),".",""),"/","")," ",""),8),4),--MID(LEFT(SUBSTITUTE(SUBSTITUTE(SUBSTITUTE(SUBSTITUTE(TRIM($W337),"-",""),".",""),"/","")," ",""),8),5,2),--MID(LEFT(SUBSTITUTE(SUBSTITUTE(SUBSTITUTE(SUBSTITUTE(TRIM($W337),"-",""),".",""),"/","")," ",""),8),7,2)),"")))</f>
        <v/>
      </c>
      <c r="Y337" s="32">
        <f>IF($X337="","",INT($X337))</f>
        <v/>
      </c>
      <c r="Z337" s="33">
        <f>IF(OR($Y337="",$D$6=""),"",IF(INDEX($A:$U,ROW(),$D$6)="",0,IF(ISNUMBER(INDEX($A:$U,ROW(),$D$6)),INDEX($A:$U,ROW(),$D$6),IFERROR(--SUBSTITUTE(SUBSTITUTE(TRIM(INDEX($A:$U,ROW(),$D$6)),",",""),"원",""),0))))</f>
        <v/>
      </c>
      <c r="AA337" s="31">
        <f>IF($Y337="","",TRIM(INDEX($A:$U,ROW(),$E$6)&amp;IF($F$6="",""," "&amp;INDEX($A:$U,ROW(),$F$6))))</f>
        <v/>
      </c>
      <c r="AB337" s="31">
        <f>IF($AA337="","",SUBSTITUTE(SUBSTITUTE(SUBSTITUTE(SUBSTITUTE(SUBSTITUTE(SUBSTITUTE(SUBSTITUTE(SUBSTITUTE(SUBSTITUTE($AA337," ",""),"　",""),"(주)",""),"（주）",""),"㈜",""),"주식회사",""),"(유)",""),"（유）",""),"유한회사",""))</f>
        <v/>
      </c>
      <c r="AC337" s="31">
        <f>IF(OR($Y337="",N($Z337)&lt;=0,$AB337=""),0,IFERROR(LOOKUP(2,1/((거래처별!$AC$8:$AC$307&lt;&gt;"")*ISNUMBER(SEARCH(거래처별!$AC$8:$AC$307,$AB337))),거래처별!$A$8:$A$307),IFERROR(LOOKUP(2,1/((거래처별!$AD$8:$AD$307&lt;&gt;"")*ISNUMBER(SEARCH(거래처별!$AD$8:$AD$307,$AB337))),거래처별!$A$8:$A$307),IFERROR(LOOKUP(2,1/((거래처별!$AE$8:$AE$307&lt;&gt;"")*ISNUMBER(SEARCH(거래처별!$AE$8:$AE$307,$AB337))),거래처별!$A$8:$A$307),0))))</f>
        <v/>
      </c>
      <c r="AD337" s="31">
        <f>IF(AND($Y337&lt;&gt;"",N($Z337)&gt;0,$AC337=0),MAX($AD$7:$AD336)+1,"")</f>
        <v/>
      </c>
      <c r="AE337" s="31">
        <f>IF($Y337="",0,$Y337)</f>
        <v/>
      </c>
    </row>
    <row r="338">
      <c r="W338" s="31">
        <f>IF(OR($B$5="",$C$6="",ROW()&lt;$B$5),"",IF(INDEX($A:$U,ROW(),$C$6)="","",INDEX($A:$U,ROW(),$C$6)))</f>
        <v/>
      </c>
      <c r="X338" s="32">
        <f>IF($W338="","",IF(ISNUMBER($W338),IF($W338&gt;=10000000,IFERROR(DATE(INT($W338/10000),MOD(INT($W338/100),100),MOD($W338,100)),""),INT($W338)),IFERROR(DATE(--LEFT(LEFT(SUBSTITUTE(SUBSTITUTE(SUBSTITUTE(SUBSTITUTE(TRIM($W338),"-",""),".",""),"/","")," ",""),8),4),--MID(LEFT(SUBSTITUTE(SUBSTITUTE(SUBSTITUTE(SUBSTITUTE(TRIM($W338),"-",""),".",""),"/","")," ",""),8),5,2),--MID(LEFT(SUBSTITUTE(SUBSTITUTE(SUBSTITUTE(SUBSTITUTE(TRIM($W338),"-",""),".",""),"/","")," ",""),8),7,2)),"")))</f>
        <v/>
      </c>
      <c r="Y338" s="32">
        <f>IF($X338="","",INT($X338))</f>
        <v/>
      </c>
      <c r="Z338" s="33">
        <f>IF(OR($Y338="",$D$6=""),"",IF(INDEX($A:$U,ROW(),$D$6)="",0,IF(ISNUMBER(INDEX($A:$U,ROW(),$D$6)),INDEX($A:$U,ROW(),$D$6),IFERROR(--SUBSTITUTE(SUBSTITUTE(TRIM(INDEX($A:$U,ROW(),$D$6)),",",""),"원",""),0))))</f>
        <v/>
      </c>
      <c r="AA338" s="31">
        <f>IF($Y338="","",TRIM(INDEX($A:$U,ROW(),$E$6)&amp;IF($F$6="",""," "&amp;INDEX($A:$U,ROW(),$F$6))))</f>
        <v/>
      </c>
      <c r="AB338" s="31">
        <f>IF($AA338="","",SUBSTITUTE(SUBSTITUTE(SUBSTITUTE(SUBSTITUTE(SUBSTITUTE(SUBSTITUTE(SUBSTITUTE(SUBSTITUTE(SUBSTITUTE($AA338," ",""),"　",""),"(주)",""),"（주）",""),"㈜",""),"주식회사",""),"(유)",""),"（유）",""),"유한회사",""))</f>
        <v/>
      </c>
      <c r="AC338" s="31">
        <f>IF(OR($Y338="",N($Z338)&lt;=0,$AB338=""),0,IFERROR(LOOKUP(2,1/((거래처별!$AC$8:$AC$307&lt;&gt;"")*ISNUMBER(SEARCH(거래처별!$AC$8:$AC$307,$AB338))),거래처별!$A$8:$A$307),IFERROR(LOOKUP(2,1/((거래처별!$AD$8:$AD$307&lt;&gt;"")*ISNUMBER(SEARCH(거래처별!$AD$8:$AD$307,$AB338))),거래처별!$A$8:$A$307),IFERROR(LOOKUP(2,1/((거래처별!$AE$8:$AE$307&lt;&gt;"")*ISNUMBER(SEARCH(거래처별!$AE$8:$AE$307,$AB338))),거래처별!$A$8:$A$307),0))))</f>
        <v/>
      </c>
      <c r="AD338" s="31">
        <f>IF(AND($Y338&lt;&gt;"",N($Z338)&gt;0,$AC338=0),MAX($AD$7:$AD337)+1,"")</f>
        <v/>
      </c>
      <c r="AE338" s="31">
        <f>IF($Y338="",0,$Y338)</f>
        <v/>
      </c>
    </row>
    <row r="339">
      <c r="W339" s="31">
        <f>IF(OR($B$5="",$C$6="",ROW()&lt;$B$5),"",IF(INDEX($A:$U,ROW(),$C$6)="","",INDEX($A:$U,ROW(),$C$6)))</f>
        <v/>
      </c>
      <c r="X339" s="32">
        <f>IF($W339="","",IF(ISNUMBER($W339),IF($W339&gt;=10000000,IFERROR(DATE(INT($W339/10000),MOD(INT($W339/100),100),MOD($W339,100)),""),INT($W339)),IFERROR(DATE(--LEFT(LEFT(SUBSTITUTE(SUBSTITUTE(SUBSTITUTE(SUBSTITUTE(TRIM($W339),"-",""),".",""),"/","")," ",""),8),4),--MID(LEFT(SUBSTITUTE(SUBSTITUTE(SUBSTITUTE(SUBSTITUTE(TRIM($W339),"-",""),".",""),"/","")," ",""),8),5,2),--MID(LEFT(SUBSTITUTE(SUBSTITUTE(SUBSTITUTE(SUBSTITUTE(TRIM($W339),"-",""),".",""),"/","")," ",""),8),7,2)),"")))</f>
        <v/>
      </c>
      <c r="Y339" s="32">
        <f>IF($X339="","",INT($X339))</f>
        <v/>
      </c>
      <c r="Z339" s="33">
        <f>IF(OR($Y339="",$D$6=""),"",IF(INDEX($A:$U,ROW(),$D$6)="",0,IF(ISNUMBER(INDEX($A:$U,ROW(),$D$6)),INDEX($A:$U,ROW(),$D$6),IFERROR(--SUBSTITUTE(SUBSTITUTE(TRIM(INDEX($A:$U,ROW(),$D$6)),",",""),"원",""),0))))</f>
        <v/>
      </c>
      <c r="AA339" s="31">
        <f>IF($Y339="","",TRIM(INDEX($A:$U,ROW(),$E$6)&amp;IF($F$6="",""," "&amp;INDEX($A:$U,ROW(),$F$6))))</f>
        <v/>
      </c>
      <c r="AB339" s="31">
        <f>IF($AA339="","",SUBSTITUTE(SUBSTITUTE(SUBSTITUTE(SUBSTITUTE(SUBSTITUTE(SUBSTITUTE(SUBSTITUTE(SUBSTITUTE(SUBSTITUTE($AA339," ",""),"　",""),"(주)",""),"（주）",""),"㈜",""),"주식회사",""),"(유)",""),"（유）",""),"유한회사",""))</f>
        <v/>
      </c>
      <c r="AC339" s="31">
        <f>IF(OR($Y339="",N($Z339)&lt;=0,$AB339=""),0,IFERROR(LOOKUP(2,1/((거래처별!$AC$8:$AC$307&lt;&gt;"")*ISNUMBER(SEARCH(거래처별!$AC$8:$AC$307,$AB339))),거래처별!$A$8:$A$307),IFERROR(LOOKUP(2,1/((거래처별!$AD$8:$AD$307&lt;&gt;"")*ISNUMBER(SEARCH(거래처별!$AD$8:$AD$307,$AB339))),거래처별!$A$8:$A$307),IFERROR(LOOKUP(2,1/((거래처별!$AE$8:$AE$307&lt;&gt;"")*ISNUMBER(SEARCH(거래처별!$AE$8:$AE$307,$AB339))),거래처별!$A$8:$A$307),0))))</f>
        <v/>
      </c>
      <c r="AD339" s="31">
        <f>IF(AND($Y339&lt;&gt;"",N($Z339)&gt;0,$AC339=0),MAX($AD$7:$AD338)+1,"")</f>
        <v/>
      </c>
      <c r="AE339" s="31">
        <f>IF($Y339="",0,$Y339)</f>
        <v/>
      </c>
    </row>
    <row r="340">
      <c r="W340" s="31">
        <f>IF(OR($B$5="",$C$6="",ROW()&lt;$B$5),"",IF(INDEX($A:$U,ROW(),$C$6)="","",INDEX($A:$U,ROW(),$C$6)))</f>
        <v/>
      </c>
      <c r="X340" s="32">
        <f>IF($W340="","",IF(ISNUMBER($W340),IF($W340&gt;=10000000,IFERROR(DATE(INT($W340/10000),MOD(INT($W340/100),100),MOD($W340,100)),""),INT($W340)),IFERROR(DATE(--LEFT(LEFT(SUBSTITUTE(SUBSTITUTE(SUBSTITUTE(SUBSTITUTE(TRIM($W340),"-",""),".",""),"/","")," ",""),8),4),--MID(LEFT(SUBSTITUTE(SUBSTITUTE(SUBSTITUTE(SUBSTITUTE(TRIM($W340),"-",""),".",""),"/","")," ",""),8),5,2),--MID(LEFT(SUBSTITUTE(SUBSTITUTE(SUBSTITUTE(SUBSTITUTE(TRIM($W340),"-",""),".",""),"/","")," ",""),8),7,2)),"")))</f>
        <v/>
      </c>
      <c r="Y340" s="32">
        <f>IF($X340="","",INT($X340))</f>
        <v/>
      </c>
      <c r="Z340" s="33">
        <f>IF(OR($Y340="",$D$6=""),"",IF(INDEX($A:$U,ROW(),$D$6)="",0,IF(ISNUMBER(INDEX($A:$U,ROW(),$D$6)),INDEX($A:$U,ROW(),$D$6),IFERROR(--SUBSTITUTE(SUBSTITUTE(TRIM(INDEX($A:$U,ROW(),$D$6)),",",""),"원",""),0))))</f>
        <v/>
      </c>
      <c r="AA340" s="31">
        <f>IF($Y340="","",TRIM(INDEX($A:$U,ROW(),$E$6)&amp;IF($F$6="",""," "&amp;INDEX($A:$U,ROW(),$F$6))))</f>
        <v/>
      </c>
      <c r="AB340" s="31">
        <f>IF($AA340="","",SUBSTITUTE(SUBSTITUTE(SUBSTITUTE(SUBSTITUTE(SUBSTITUTE(SUBSTITUTE(SUBSTITUTE(SUBSTITUTE(SUBSTITUTE($AA340," ",""),"　",""),"(주)",""),"（주）",""),"㈜",""),"주식회사",""),"(유)",""),"（유）",""),"유한회사",""))</f>
        <v/>
      </c>
      <c r="AC340" s="31">
        <f>IF(OR($Y340="",N($Z340)&lt;=0,$AB340=""),0,IFERROR(LOOKUP(2,1/((거래처별!$AC$8:$AC$307&lt;&gt;"")*ISNUMBER(SEARCH(거래처별!$AC$8:$AC$307,$AB340))),거래처별!$A$8:$A$307),IFERROR(LOOKUP(2,1/((거래처별!$AD$8:$AD$307&lt;&gt;"")*ISNUMBER(SEARCH(거래처별!$AD$8:$AD$307,$AB340))),거래처별!$A$8:$A$307),IFERROR(LOOKUP(2,1/((거래처별!$AE$8:$AE$307&lt;&gt;"")*ISNUMBER(SEARCH(거래처별!$AE$8:$AE$307,$AB340))),거래처별!$A$8:$A$307),0))))</f>
        <v/>
      </c>
      <c r="AD340" s="31">
        <f>IF(AND($Y340&lt;&gt;"",N($Z340)&gt;0,$AC340=0),MAX($AD$7:$AD339)+1,"")</f>
        <v/>
      </c>
      <c r="AE340" s="31">
        <f>IF($Y340="",0,$Y340)</f>
        <v/>
      </c>
    </row>
    <row r="341">
      <c r="W341" s="31">
        <f>IF(OR($B$5="",$C$6="",ROW()&lt;$B$5),"",IF(INDEX($A:$U,ROW(),$C$6)="","",INDEX($A:$U,ROW(),$C$6)))</f>
        <v/>
      </c>
      <c r="X341" s="32">
        <f>IF($W341="","",IF(ISNUMBER($W341),IF($W341&gt;=10000000,IFERROR(DATE(INT($W341/10000),MOD(INT($W341/100),100),MOD($W341,100)),""),INT($W341)),IFERROR(DATE(--LEFT(LEFT(SUBSTITUTE(SUBSTITUTE(SUBSTITUTE(SUBSTITUTE(TRIM($W341),"-",""),".",""),"/","")," ",""),8),4),--MID(LEFT(SUBSTITUTE(SUBSTITUTE(SUBSTITUTE(SUBSTITUTE(TRIM($W341),"-",""),".",""),"/","")," ",""),8),5,2),--MID(LEFT(SUBSTITUTE(SUBSTITUTE(SUBSTITUTE(SUBSTITUTE(TRIM($W341),"-",""),".",""),"/","")," ",""),8),7,2)),"")))</f>
        <v/>
      </c>
      <c r="Y341" s="32">
        <f>IF($X341="","",INT($X341))</f>
        <v/>
      </c>
      <c r="Z341" s="33">
        <f>IF(OR($Y341="",$D$6=""),"",IF(INDEX($A:$U,ROW(),$D$6)="",0,IF(ISNUMBER(INDEX($A:$U,ROW(),$D$6)),INDEX($A:$U,ROW(),$D$6),IFERROR(--SUBSTITUTE(SUBSTITUTE(TRIM(INDEX($A:$U,ROW(),$D$6)),",",""),"원",""),0))))</f>
        <v/>
      </c>
      <c r="AA341" s="31">
        <f>IF($Y341="","",TRIM(INDEX($A:$U,ROW(),$E$6)&amp;IF($F$6="",""," "&amp;INDEX($A:$U,ROW(),$F$6))))</f>
        <v/>
      </c>
      <c r="AB341" s="31">
        <f>IF($AA341="","",SUBSTITUTE(SUBSTITUTE(SUBSTITUTE(SUBSTITUTE(SUBSTITUTE(SUBSTITUTE(SUBSTITUTE(SUBSTITUTE(SUBSTITUTE($AA341," ",""),"　",""),"(주)",""),"（주）",""),"㈜",""),"주식회사",""),"(유)",""),"（유）",""),"유한회사",""))</f>
        <v/>
      </c>
      <c r="AC341" s="31">
        <f>IF(OR($Y341="",N($Z341)&lt;=0,$AB341=""),0,IFERROR(LOOKUP(2,1/((거래처별!$AC$8:$AC$307&lt;&gt;"")*ISNUMBER(SEARCH(거래처별!$AC$8:$AC$307,$AB341))),거래처별!$A$8:$A$307),IFERROR(LOOKUP(2,1/((거래처별!$AD$8:$AD$307&lt;&gt;"")*ISNUMBER(SEARCH(거래처별!$AD$8:$AD$307,$AB341))),거래처별!$A$8:$A$307),IFERROR(LOOKUP(2,1/((거래처별!$AE$8:$AE$307&lt;&gt;"")*ISNUMBER(SEARCH(거래처별!$AE$8:$AE$307,$AB341))),거래처별!$A$8:$A$307),0))))</f>
        <v/>
      </c>
      <c r="AD341" s="31">
        <f>IF(AND($Y341&lt;&gt;"",N($Z341)&gt;0,$AC341=0),MAX($AD$7:$AD340)+1,"")</f>
        <v/>
      </c>
      <c r="AE341" s="31">
        <f>IF($Y341="",0,$Y341)</f>
        <v/>
      </c>
    </row>
    <row r="342">
      <c r="W342" s="31">
        <f>IF(OR($B$5="",$C$6="",ROW()&lt;$B$5),"",IF(INDEX($A:$U,ROW(),$C$6)="","",INDEX($A:$U,ROW(),$C$6)))</f>
        <v/>
      </c>
      <c r="X342" s="32">
        <f>IF($W342="","",IF(ISNUMBER($W342),IF($W342&gt;=10000000,IFERROR(DATE(INT($W342/10000),MOD(INT($W342/100),100),MOD($W342,100)),""),INT($W342)),IFERROR(DATE(--LEFT(LEFT(SUBSTITUTE(SUBSTITUTE(SUBSTITUTE(SUBSTITUTE(TRIM($W342),"-",""),".",""),"/","")," ",""),8),4),--MID(LEFT(SUBSTITUTE(SUBSTITUTE(SUBSTITUTE(SUBSTITUTE(TRIM($W342),"-",""),".",""),"/","")," ",""),8),5,2),--MID(LEFT(SUBSTITUTE(SUBSTITUTE(SUBSTITUTE(SUBSTITUTE(TRIM($W342),"-",""),".",""),"/","")," ",""),8),7,2)),"")))</f>
        <v/>
      </c>
      <c r="Y342" s="32">
        <f>IF($X342="","",INT($X342))</f>
        <v/>
      </c>
      <c r="Z342" s="33">
        <f>IF(OR($Y342="",$D$6=""),"",IF(INDEX($A:$U,ROW(),$D$6)="",0,IF(ISNUMBER(INDEX($A:$U,ROW(),$D$6)),INDEX($A:$U,ROW(),$D$6),IFERROR(--SUBSTITUTE(SUBSTITUTE(TRIM(INDEX($A:$U,ROW(),$D$6)),",",""),"원",""),0))))</f>
        <v/>
      </c>
      <c r="AA342" s="31">
        <f>IF($Y342="","",TRIM(INDEX($A:$U,ROW(),$E$6)&amp;IF($F$6="",""," "&amp;INDEX($A:$U,ROW(),$F$6))))</f>
        <v/>
      </c>
      <c r="AB342" s="31">
        <f>IF($AA342="","",SUBSTITUTE(SUBSTITUTE(SUBSTITUTE(SUBSTITUTE(SUBSTITUTE(SUBSTITUTE(SUBSTITUTE(SUBSTITUTE(SUBSTITUTE($AA342," ",""),"　",""),"(주)",""),"（주）",""),"㈜",""),"주식회사",""),"(유)",""),"（유）",""),"유한회사",""))</f>
        <v/>
      </c>
      <c r="AC342" s="31">
        <f>IF(OR($Y342="",N($Z342)&lt;=0,$AB342=""),0,IFERROR(LOOKUP(2,1/((거래처별!$AC$8:$AC$307&lt;&gt;"")*ISNUMBER(SEARCH(거래처별!$AC$8:$AC$307,$AB342))),거래처별!$A$8:$A$307),IFERROR(LOOKUP(2,1/((거래처별!$AD$8:$AD$307&lt;&gt;"")*ISNUMBER(SEARCH(거래처별!$AD$8:$AD$307,$AB342))),거래처별!$A$8:$A$307),IFERROR(LOOKUP(2,1/((거래처별!$AE$8:$AE$307&lt;&gt;"")*ISNUMBER(SEARCH(거래처별!$AE$8:$AE$307,$AB342))),거래처별!$A$8:$A$307),0))))</f>
        <v/>
      </c>
      <c r="AD342" s="31">
        <f>IF(AND($Y342&lt;&gt;"",N($Z342)&gt;0,$AC342=0),MAX($AD$7:$AD341)+1,"")</f>
        <v/>
      </c>
      <c r="AE342" s="31">
        <f>IF($Y342="",0,$Y342)</f>
        <v/>
      </c>
    </row>
    <row r="343">
      <c r="W343" s="31">
        <f>IF(OR($B$5="",$C$6="",ROW()&lt;$B$5),"",IF(INDEX($A:$U,ROW(),$C$6)="","",INDEX($A:$U,ROW(),$C$6)))</f>
        <v/>
      </c>
      <c r="X343" s="32">
        <f>IF($W343="","",IF(ISNUMBER($W343),IF($W343&gt;=10000000,IFERROR(DATE(INT($W343/10000),MOD(INT($W343/100),100),MOD($W343,100)),""),INT($W343)),IFERROR(DATE(--LEFT(LEFT(SUBSTITUTE(SUBSTITUTE(SUBSTITUTE(SUBSTITUTE(TRIM($W343),"-",""),".",""),"/","")," ",""),8),4),--MID(LEFT(SUBSTITUTE(SUBSTITUTE(SUBSTITUTE(SUBSTITUTE(TRIM($W343),"-",""),".",""),"/","")," ",""),8),5,2),--MID(LEFT(SUBSTITUTE(SUBSTITUTE(SUBSTITUTE(SUBSTITUTE(TRIM($W343),"-",""),".",""),"/","")," ",""),8),7,2)),"")))</f>
        <v/>
      </c>
      <c r="Y343" s="32">
        <f>IF($X343="","",INT($X343))</f>
        <v/>
      </c>
      <c r="Z343" s="33">
        <f>IF(OR($Y343="",$D$6=""),"",IF(INDEX($A:$U,ROW(),$D$6)="",0,IF(ISNUMBER(INDEX($A:$U,ROW(),$D$6)),INDEX($A:$U,ROW(),$D$6),IFERROR(--SUBSTITUTE(SUBSTITUTE(TRIM(INDEX($A:$U,ROW(),$D$6)),",",""),"원",""),0))))</f>
        <v/>
      </c>
      <c r="AA343" s="31">
        <f>IF($Y343="","",TRIM(INDEX($A:$U,ROW(),$E$6)&amp;IF($F$6="",""," "&amp;INDEX($A:$U,ROW(),$F$6))))</f>
        <v/>
      </c>
      <c r="AB343" s="31">
        <f>IF($AA343="","",SUBSTITUTE(SUBSTITUTE(SUBSTITUTE(SUBSTITUTE(SUBSTITUTE(SUBSTITUTE(SUBSTITUTE(SUBSTITUTE(SUBSTITUTE($AA343," ",""),"　",""),"(주)",""),"（주）",""),"㈜",""),"주식회사",""),"(유)",""),"（유）",""),"유한회사",""))</f>
        <v/>
      </c>
      <c r="AC343" s="31">
        <f>IF(OR($Y343="",N($Z343)&lt;=0,$AB343=""),0,IFERROR(LOOKUP(2,1/((거래처별!$AC$8:$AC$307&lt;&gt;"")*ISNUMBER(SEARCH(거래처별!$AC$8:$AC$307,$AB343))),거래처별!$A$8:$A$307),IFERROR(LOOKUP(2,1/((거래처별!$AD$8:$AD$307&lt;&gt;"")*ISNUMBER(SEARCH(거래처별!$AD$8:$AD$307,$AB343))),거래처별!$A$8:$A$307),IFERROR(LOOKUP(2,1/((거래처별!$AE$8:$AE$307&lt;&gt;"")*ISNUMBER(SEARCH(거래처별!$AE$8:$AE$307,$AB343))),거래처별!$A$8:$A$307),0))))</f>
        <v/>
      </c>
      <c r="AD343" s="31">
        <f>IF(AND($Y343&lt;&gt;"",N($Z343)&gt;0,$AC343=0),MAX($AD$7:$AD342)+1,"")</f>
        <v/>
      </c>
      <c r="AE343" s="31">
        <f>IF($Y343="",0,$Y343)</f>
        <v/>
      </c>
    </row>
    <row r="344">
      <c r="W344" s="31">
        <f>IF(OR($B$5="",$C$6="",ROW()&lt;$B$5),"",IF(INDEX($A:$U,ROW(),$C$6)="","",INDEX($A:$U,ROW(),$C$6)))</f>
        <v/>
      </c>
      <c r="X344" s="32">
        <f>IF($W344="","",IF(ISNUMBER($W344),IF($W344&gt;=10000000,IFERROR(DATE(INT($W344/10000),MOD(INT($W344/100),100),MOD($W344,100)),""),INT($W344)),IFERROR(DATE(--LEFT(LEFT(SUBSTITUTE(SUBSTITUTE(SUBSTITUTE(SUBSTITUTE(TRIM($W344),"-",""),".",""),"/","")," ",""),8),4),--MID(LEFT(SUBSTITUTE(SUBSTITUTE(SUBSTITUTE(SUBSTITUTE(TRIM($W344),"-",""),".",""),"/","")," ",""),8),5,2),--MID(LEFT(SUBSTITUTE(SUBSTITUTE(SUBSTITUTE(SUBSTITUTE(TRIM($W344),"-",""),".",""),"/","")," ",""),8),7,2)),"")))</f>
        <v/>
      </c>
      <c r="Y344" s="32">
        <f>IF($X344="","",INT($X344))</f>
        <v/>
      </c>
      <c r="Z344" s="33">
        <f>IF(OR($Y344="",$D$6=""),"",IF(INDEX($A:$U,ROW(),$D$6)="",0,IF(ISNUMBER(INDEX($A:$U,ROW(),$D$6)),INDEX($A:$U,ROW(),$D$6),IFERROR(--SUBSTITUTE(SUBSTITUTE(TRIM(INDEX($A:$U,ROW(),$D$6)),",",""),"원",""),0))))</f>
        <v/>
      </c>
      <c r="AA344" s="31">
        <f>IF($Y344="","",TRIM(INDEX($A:$U,ROW(),$E$6)&amp;IF($F$6="",""," "&amp;INDEX($A:$U,ROW(),$F$6))))</f>
        <v/>
      </c>
      <c r="AB344" s="31">
        <f>IF($AA344="","",SUBSTITUTE(SUBSTITUTE(SUBSTITUTE(SUBSTITUTE(SUBSTITUTE(SUBSTITUTE(SUBSTITUTE(SUBSTITUTE(SUBSTITUTE($AA344," ",""),"　",""),"(주)",""),"（주）",""),"㈜",""),"주식회사",""),"(유)",""),"（유）",""),"유한회사",""))</f>
        <v/>
      </c>
      <c r="AC344" s="31">
        <f>IF(OR($Y344="",N($Z344)&lt;=0,$AB344=""),0,IFERROR(LOOKUP(2,1/((거래처별!$AC$8:$AC$307&lt;&gt;"")*ISNUMBER(SEARCH(거래처별!$AC$8:$AC$307,$AB344))),거래처별!$A$8:$A$307),IFERROR(LOOKUP(2,1/((거래처별!$AD$8:$AD$307&lt;&gt;"")*ISNUMBER(SEARCH(거래처별!$AD$8:$AD$307,$AB344))),거래처별!$A$8:$A$307),IFERROR(LOOKUP(2,1/((거래처별!$AE$8:$AE$307&lt;&gt;"")*ISNUMBER(SEARCH(거래처별!$AE$8:$AE$307,$AB344))),거래처별!$A$8:$A$307),0))))</f>
        <v/>
      </c>
      <c r="AD344" s="31">
        <f>IF(AND($Y344&lt;&gt;"",N($Z344)&gt;0,$AC344=0),MAX($AD$7:$AD343)+1,"")</f>
        <v/>
      </c>
      <c r="AE344" s="31">
        <f>IF($Y344="",0,$Y344)</f>
        <v/>
      </c>
    </row>
    <row r="345">
      <c r="W345" s="31">
        <f>IF(OR($B$5="",$C$6="",ROW()&lt;$B$5),"",IF(INDEX($A:$U,ROW(),$C$6)="","",INDEX($A:$U,ROW(),$C$6)))</f>
        <v/>
      </c>
      <c r="X345" s="32">
        <f>IF($W345="","",IF(ISNUMBER($W345),IF($W345&gt;=10000000,IFERROR(DATE(INT($W345/10000),MOD(INT($W345/100),100),MOD($W345,100)),""),INT($W345)),IFERROR(DATE(--LEFT(LEFT(SUBSTITUTE(SUBSTITUTE(SUBSTITUTE(SUBSTITUTE(TRIM($W345),"-",""),".",""),"/","")," ",""),8),4),--MID(LEFT(SUBSTITUTE(SUBSTITUTE(SUBSTITUTE(SUBSTITUTE(TRIM($W345),"-",""),".",""),"/","")," ",""),8),5,2),--MID(LEFT(SUBSTITUTE(SUBSTITUTE(SUBSTITUTE(SUBSTITUTE(TRIM($W345),"-",""),".",""),"/","")," ",""),8),7,2)),"")))</f>
        <v/>
      </c>
      <c r="Y345" s="32">
        <f>IF($X345="","",INT($X345))</f>
        <v/>
      </c>
      <c r="Z345" s="33">
        <f>IF(OR($Y345="",$D$6=""),"",IF(INDEX($A:$U,ROW(),$D$6)="",0,IF(ISNUMBER(INDEX($A:$U,ROW(),$D$6)),INDEX($A:$U,ROW(),$D$6),IFERROR(--SUBSTITUTE(SUBSTITUTE(TRIM(INDEX($A:$U,ROW(),$D$6)),",",""),"원",""),0))))</f>
        <v/>
      </c>
      <c r="AA345" s="31">
        <f>IF($Y345="","",TRIM(INDEX($A:$U,ROW(),$E$6)&amp;IF($F$6="",""," "&amp;INDEX($A:$U,ROW(),$F$6))))</f>
        <v/>
      </c>
      <c r="AB345" s="31">
        <f>IF($AA345="","",SUBSTITUTE(SUBSTITUTE(SUBSTITUTE(SUBSTITUTE(SUBSTITUTE(SUBSTITUTE(SUBSTITUTE(SUBSTITUTE(SUBSTITUTE($AA345," ",""),"　",""),"(주)",""),"（주）",""),"㈜",""),"주식회사",""),"(유)",""),"（유）",""),"유한회사",""))</f>
        <v/>
      </c>
      <c r="AC345" s="31">
        <f>IF(OR($Y345="",N($Z345)&lt;=0,$AB345=""),0,IFERROR(LOOKUP(2,1/((거래처별!$AC$8:$AC$307&lt;&gt;"")*ISNUMBER(SEARCH(거래처별!$AC$8:$AC$307,$AB345))),거래처별!$A$8:$A$307),IFERROR(LOOKUP(2,1/((거래처별!$AD$8:$AD$307&lt;&gt;"")*ISNUMBER(SEARCH(거래처별!$AD$8:$AD$307,$AB345))),거래처별!$A$8:$A$307),IFERROR(LOOKUP(2,1/((거래처별!$AE$8:$AE$307&lt;&gt;"")*ISNUMBER(SEARCH(거래처별!$AE$8:$AE$307,$AB345))),거래처별!$A$8:$A$307),0))))</f>
        <v/>
      </c>
      <c r="AD345" s="31">
        <f>IF(AND($Y345&lt;&gt;"",N($Z345)&gt;0,$AC345=0),MAX($AD$7:$AD344)+1,"")</f>
        <v/>
      </c>
      <c r="AE345" s="31">
        <f>IF($Y345="",0,$Y345)</f>
        <v/>
      </c>
    </row>
    <row r="346">
      <c r="W346" s="31">
        <f>IF(OR($B$5="",$C$6="",ROW()&lt;$B$5),"",IF(INDEX($A:$U,ROW(),$C$6)="","",INDEX($A:$U,ROW(),$C$6)))</f>
        <v/>
      </c>
      <c r="X346" s="32">
        <f>IF($W346="","",IF(ISNUMBER($W346),IF($W346&gt;=10000000,IFERROR(DATE(INT($W346/10000),MOD(INT($W346/100),100),MOD($W346,100)),""),INT($W346)),IFERROR(DATE(--LEFT(LEFT(SUBSTITUTE(SUBSTITUTE(SUBSTITUTE(SUBSTITUTE(TRIM($W346),"-",""),".",""),"/","")," ",""),8),4),--MID(LEFT(SUBSTITUTE(SUBSTITUTE(SUBSTITUTE(SUBSTITUTE(TRIM($W346),"-",""),".",""),"/","")," ",""),8),5,2),--MID(LEFT(SUBSTITUTE(SUBSTITUTE(SUBSTITUTE(SUBSTITUTE(TRIM($W346),"-",""),".",""),"/","")," ",""),8),7,2)),"")))</f>
        <v/>
      </c>
      <c r="Y346" s="32">
        <f>IF($X346="","",INT($X346))</f>
        <v/>
      </c>
      <c r="Z346" s="33">
        <f>IF(OR($Y346="",$D$6=""),"",IF(INDEX($A:$U,ROW(),$D$6)="",0,IF(ISNUMBER(INDEX($A:$U,ROW(),$D$6)),INDEX($A:$U,ROW(),$D$6),IFERROR(--SUBSTITUTE(SUBSTITUTE(TRIM(INDEX($A:$U,ROW(),$D$6)),",",""),"원",""),0))))</f>
        <v/>
      </c>
      <c r="AA346" s="31">
        <f>IF($Y346="","",TRIM(INDEX($A:$U,ROW(),$E$6)&amp;IF($F$6="",""," "&amp;INDEX($A:$U,ROW(),$F$6))))</f>
        <v/>
      </c>
      <c r="AB346" s="31">
        <f>IF($AA346="","",SUBSTITUTE(SUBSTITUTE(SUBSTITUTE(SUBSTITUTE(SUBSTITUTE(SUBSTITUTE(SUBSTITUTE(SUBSTITUTE(SUBSTITUTE($AA346," ",""),"　",""),"(주)",""),"（주）",""),"㈜",""),"주식회사",""),"(유)",""),"（유）",""),"유한회사",""))</f>
        <v/>
      </c>
      <c r="AC346" s="31">
        <f>IF(OR($Y346="",N($Z346)&lt;=0,$AB346=""),0,IFERROR(LOOKUP(2,1/((거래처별!$AC$8:$AC$307&lt;&gt;"")*ISNUMBER(SEARCH(거래처별!$AC$8:$AC$307,$AB346))),거래처별!$A$8:$A$307),IFERROR(LOOKUP(2,1/((거래처별!$AD$8:$AD$307&lt;&gt;"")*ISNUMBER(SEARCH(거래처별!$AD$8:$AD$307,$AB346))),거래처별!$A$8:$A$307),IFERROR(LOOKUP(2,1/((거래처별!$AE$8:$AE$307&lt;&gt;"")*ISNUMBER(SEARCH(거래처별!$AE$8:$AE$307,$AB346))),거래처별!$A$8:$A$307),0))))</f>
        <v/>
      </c>
      <c r="AD346" s="31">
        <f>IF(AND($Y346&lt;&gt;"",N($Z346)&gt;0,$AC346=0),MAX($AD$7:$AD345)+1,"")</f>
        <v/>
      </c>
      <c r="AE346" s="31">
        <f>IF($Y346="",0,$Y346)</f>
        <v/>
      </c>
    </row>
    <row r="347">
      <c r="W347" s="31">
        <f>IF(OR($B$5="",$C$6="",ROW()&lt;$B$5),"",IF(INDEX($A:$U,ROW(),$C$6)="","",INDEX($A:$U,ROW(),$C$6)))</f>
        <v/>
      </c>
      <c r="X347" s="32">
        <f>IF($W347="","",IF(ISNUMBER($W347),IF($W347&gt;=10000000,IFERROR(DATE(INT($W347/10000),MOD(INT($W347/100),100),MOD($W347,100)),""),INT($W347)),IFERROR(DATE(--LEFT(LEFT(SUBSTITUTE(SUBSTITUTE(SUBSTITUTE(SUBSTITUTE(TRIM($W347),"-",""),".",""),"/","")," ",""),8),4),--MID(LEFT(SUBSTITUTE(SUBSTITUTE(SUBSTITUTE(SUBSTITUTE(TRIM($W347),"-",""),".",""),"/","")," ",""),8),5,2),--MID(LEFT(SUBSTITUTE(SUBSTITUTE(SUBSTITUTE(SUBSTITUTE(TRIM($W347),"-",""),".",""),"/","")," ",""),8),7,2)),"")))</f>
        <v/>
      </c>
      <c r="Y347" s="32">
        <f>IF($X347="","",INT($X347))</f>
        <v/>
      </c>
      <c r="Z347" s="33">
        <f>IF(OR($Y347="",$D$6=""),"",IF(INDEX($A:$U,ROW(),$D$6)="",0,IF(ISNUMBER(INDEX($A:$U,ROW(),$D$6)),INDEX($A:$U,ROW(),$D$6),IFERROR(--SUBSTITUTE(SUBSTITUTE(TRIM(INDEX($A:$U,ROW(),$D$6)),",",""),"원",""),0))))</f>
        <v/>
      </c>
      <c r="AA347" s="31">
        <f>IF($Y347="","",TRIM(INDEX($A:$U,ROW(),$E$6)&amp;IF($F$6="",""," "&amp;INDEX($A:$U,ROW(),$F$6))))</f>
        <v/>
      </c>
      <c r="AB347" s="31">
        <f>IF($AA347="","",SUBSTITUTE(SUBSTITUTE(SUBSTITUTE(SUBSTITUTE(SUBSTITUTE(SUBSTITUTE(SUBSTITUTE(SUBSTITUTE(SUBSTITUTE($AA347," ",""),"　",""),"(주)",""),"（주）",""),"㈜",""),"주식회사",""),"(유)",""),"（유）",""),"유한회사",""))</f>
        <v/>
      </c>
      <c r="AC347" s="31">
        <f>IF(OR($Y347="",N($Z347)&lt;=0,$AB347=""),0,IFERROR(LOOKUP(2,1/((거래처별!$AC$8:$AC$307&lt;&gt;"")*ISNUMBER(SEARCH(거래처별!$AC$8:$AC$307,$AB347))),거래처별!$A$8:$A$307),IFERROR(LOOKUP(2,1/((거래처별!$AD$8:$AD$307&lt;&gt;"")*ISNUMBER(SEARCH(거래처별!$AD$8:$AD$307,$AB347))),거래처별!$A$8:$A$307),IFERROR(LOOKUP(2,1/((거래처별!$AE$8:$AE$307&lt;&gt;"")*ISNUMBER(SEARCH(거래처별!$AE$8:$AE$307,$AB347))),거래처별!$A$8:$A$307),0))))</f>
        <v/>
      </c>
      <c r="AD347" s="31">
        <f>IF(AND($Y347&lt;&gt;"",N($Z347)&gt;0,$AC347=0),MAX($AD$7:$AD346)+1,"")</f>
        <v/>
      </c>
      <c r="AE347" s="31">
        <f>IF($Y347="",0,$Y347)</f>
        <v/>
      </c>
    </row>
    <row r="348">
      <c r="W348" s="31">
        <f>IF(OR($B$5="",$C$6="",ROW()&lt;$B$5),"",IF(INDEX($A:$U,ROW(),$C$6)="","",INDEX($A:$U,ROW(),$C$6)))</f>
        <v/>
      </c>
      <c r="X348" s="32">
        <f>IF($W348="","",IF(ISNUMBER($W348),IF($W348&gt;=10000000,IFERROR(DATE(INT($W348/10000),MOD(INT($W348/100),100),MOD($W348,100)),""),INT($W348)),IFERROR(DATE(--LEFT(LEFT(SUBSTITUTE(SUBSTITUTE(SUBSTITUTE(SUBSTITUTE(TRIM($W348),"-",""),".",""),"/","")," ",""),8),4),--MID(LEFT(SUBSTITUTE(SUBSTITUTE(SUBSTITUTE(SUBSTITUTE(TRIM($W348),"-",""),".",""),"/","")," ",""),8),5,2),--MID(LEFT(SUBSTITUTE(SUBSTITUTE(SUBSTITUTE(SUBSTITUTE(TRIM($W348),"-",""),".",""),"/","")," ",""),8),7,2)),"")))</f>
        <v/>
      </c>
      <c r="Y348" s="32">
        <f>IF($X348="","",INT($X348))</f>
        <v/>
      </c>
      <c r="Z348" s="33">
        <f>IF(OR($Y348="",$D$6=""),"",IF(INDEX($A:$U,ROW(),$D$6)="",0,IF(ISNUMBER(INDEX($A:$U,ROW(),$D$6)),INDEX($A:$U,ROW(),$D$6),IFERROR(--SUBSTITUTE(SUBSTITUTE(TRIM(INDEX($A:$U,ROW(),$D$6)),",",""),"원",""),0))))</f>
        <v/>
      </c>
      <c r="AA348" s="31">
        <f>IF($Y348="","",TRIM(INDEX($A:$U,ROW(),$E$6)&amp;IF($F$6="",""," "&amp;INDEX($A:$U,ROW(),$F$6))))</f>
        <v/>
      </c>
      <c r="AB348" s="31">
        <f>IF($AA348="","",SUBSTITUTE(SUBSTITUTE(SUBSTITUTE(SUBSTITUTE(SUBSTITUTE(SUBSTITUTE(SUBSTITUTE(SUBSTITUTE(SUBSTITUTE($AA348," ",""),"　",""),"(주)",""),"（주）",""),"㈜",""),"주식회사",""),"(유)",""),"（유）",""),"유한회사",""))</f>
        <v/>
      </c>
      <c r="AC348" s="31">
        <f>IF(OR($Y348="",N($Z348)&lt;=0,$AB348=""),0,IFERROR(LOOKUP(2,1/((거래처별!$AC$8:$AC$307&lt;&gt;"")*ISNUMBER(SEARCH(거래처별!$AC$8:$AC$307,$AB348))),거래처별!$A$8:$A$307),IFERROR(LOOKUP(2,1/((거래처별!$AD$8:$AD$307&lt;&gt;"")*ISNUMBER(SEARCH(거래처별!$AD$8:$AD$307,$AB348))),거래처별!$A$8:$A$307),IFERROR(LOOKUP(2,1/((거래처별!$AE$8:$AE$307&lt;&gt;"")*ISNUMBER(SEARCH(거래처별!$AE$8:$AE$307,$AB348))),거래처별!$A$8:$A$307),0))))</f>
        <v/>
      </c>
      <c r="AD348" s="31">
        <f>IF(AND($Y348&lt;&gt;"",N($Z348)&gt;0,$AC348=0),MAX($AD$7:$AD347)+1,"")</f>
        <v/>
      </c>
      <c r="AE348" s="31">
        <f>IF($Y348="",0,$Y348)</f>
        <v/>
      </c>
    </row>
    <row r="349">
      <c r="W349" s="31">
        <f>IF(OR($B$5="",$C$6="",ROW()&lt;$B$5),"",IF(INDEX($A:$U,ROW(),$C$6)="","",INDEX($A:$U,ROW(),$C$6)))</f>
        <v/>
      </c>
      <c r="X349" s="32">
        <f>IF($W349="","",IF(ISNUMBER($W349),IF($W349&gt;=10000000,IFERROR(DATE(INT($W349/10000),MOD(INT($W349/100),100),MOD($W349,100)),""),INT($W349)),IFERROR(DATE(--LEFT(LEFT(SUBSTITUTE(SUBSTITUTE(SUBSTITUTE(SUBSTITUTE(TRIM($W349),"-",""),".",""),"/","")," ",""),8),4),--MID(LEFT(SUBSTITUTE(SUBSTITUTE(SUBSTITUTE(SUBSTITUTE(TRIM($W349),"-",""),".",""),"/","")," ",""),8),5,2),--MID(LEFT(SUBSTITUTE(SUBSTITUTE(SUBSTITUTE(SUBSTITUTE(TRIM($W349),"-",""),".",""),"/","")," ",""),8),7,2)),"")))</f>
        <v/>
      </c>
      <c r="Y349" s="32">
        <f>IF($X349="","",INT($X349))</f>
        <v/>
      </c>
      <c r="Z349" s="33">
        <f>IF(OR($Y349="",$D$6=""),"",IF(INDEX($A:$U,ROW(),$D$6)="",0,IF(ISNUMBER(INDEX($A:$U,ROW(),$D$6)),INDEX($A:$U,ROW(),$D$6),IFERROR(--SUBSTITUTE(SUBSTITUTE(TRIM(INDEX($A:$U,ROW(),$D$6)),",",""),"원",""),0))))</f>
        <v/>
      </c>
      <c r="AA349" s="31">
        <f>IF($Y349="","",TRIM(INDEX($A:$U,ROW(),$E$6)&amp;IF($F$6="",""," "&amp;INDEX($A:$U,ROW(),$F$6))))</f>
        <v/>
      </c>
      <c r="AB349" s="31">
        <f>IF($AA349="","",SUBSTITUTE(SUBSTITUTE(SUBSTITUTE(SUBSTITUTE(SUBSTITUTE(SUBSTITUTE(SUBSTITUTE(SUBSTITUTE(SUBSTITUTE($AA349," ",""),"　",""),"(주)",""),"（주）",""),"㈜",""),"주식회사",""),"(유)",""),"（유）",""),"유한회사",""))</f>
        <v/>
      </c>
      <c r="AC349" s="31">
        <f>IF(OR($Y349="",N($Z349)&lt;=0,$AB349=""),0,IFERROR(LOOKUP(2,1/((거래처별!$AC$8:$AC$307&lt;&gt;"")*ISNUMBER(SEARCH(거래처별!$AC$8:$AC$307,$AB349))),거래처별!$A$8:$A$307),IFERROR(LOOKUP(2,1/((거래처별!$AD$8:$AD$307&lt;&gt;"")*ISNUMBER(SEARCH(거래처별!$AD$8:$AD$307,$AB349))),거래처별!$A$8:$A$307),IFERROR(LOOKUP(2,1/((거래처별!$AE$8:$AE$307&lt;&gt;"")*ISNUMBER(SEARCH(거래처별!$AE$8:$AE$307,$AB349))),거래처별!$A$8:$A$307),0))))</f>
        <v/>
      </c>
      <c r="AD349" s="31">
        <f>IF(AND($Y349&lt;&gt;"",N($Z349)&gt;0,$AC349=0),MAX($AD$7:$AD348)+1,"")</f>
        <v/>
      </c>
      <c r="AE349" s="31">
        <f>IF($Y349="",0,$Y349)</f>
        <v/>
      </c>
    </row>
    <row r="350">
      <c r="W350" s="31">
        <f>IF(OR($B$5="",$C$6="",ROW()&lt;$B$5),"",IF(INDEX($A:$U,ROW(),$C$6)="","",INDEX($A:$U,ROW(),$C$6)))</f>
        <v/>
      </c>
      <c r="X350" s="32">
        <f>IF($W350="","",IF(ISNUMBER($W350),IF($W350&gt;=10000000,IFERROR(DATE(INT($W350/10000),MOD(INT($W350/100),100),MOD($W350,100)),""),INT($W350)),IFERROR(DATE(--LEFT(LEFT(SUBSTITUTE(SUBSTITUTE(SUBSTITUTE(SUBSTITUTE(TRIM($W350),"-",""),".",""),"/","")," ",""),8),4),--MID(LEFT(SUBSTITUTE(SUBSTITUTE(SUBSTITUTE(SUBSTITUTE(TRIM($W350),"-",""),".",""),"/","")," ",""),8),5,2),--MID(LEFT(SUBSTITUTE(SUBSTITUTE(SUBSTITUTE(SUBSTITUTE(TRIM($W350),"-",""),".",""),"/","")," ",""),8),7,2)),"")))</f>
        <v/>
      </c>
      <c r="Y350" s="32">
        <f>IF($X350="","",INT($X350))</f>
        <v/>
      </c>
      <c r="Z350" s="33">
        <f>IF(OR($Y350="",$D$6=""),"",IF(INDEX($A:$U,ROW(),$D$6)="",0,IF(ISNUMBER(INDEX($A:$U,ROW(),$D$6)),INDEX($A:$U,ROW(),$D$6),IFERROR(--SUBSTITUTE(SUBSTITUTE(TRIM(INDEX($A:$U,ROW(),$D$6)),",",""),"원",""),0))))</f>
        <v/>
      </c>
      <c r="AA350" s="31">
        <f>IF($Y350="","",TRIM(INDEX($A:$U,ROW(),$E$6)&amp;IF($F$6="",""," "&amp;INDEX($A:$U,ROW(),$F$6))))</f>
        <v/>
      </c>
      <c r="AB350" s="31">
        <f>IF($AA350="","",SUBSTITUTE(SUBSTITUTE(SUBSTITUTE(SUBSTITUTE(SUBSTITUTE(SUBSTITUTE(SUBSTITUTE(SUBSTITUTE(SUBSTITUTE($AA350," ",""),"　",""),"(주)",""),"（주）",""),"㈜",""),"주식회사",""),"(유)",""),"（유）",""),"유한회사",""))</f>
        <v/>
      </c>
      <c r="AC350" s="31">
        <f>IF(OR($Y350="",N($Z350)&lt;=0,$AB350=""),0,IFERROR(LOOKUP(2,1/((거래처별!$AC$8:$AC$307&lt;&gt;"")*ISNUMBER(SEARCH(거래처별!$AC$8:$AC$307,$AB350))),거래처별!$A$8:$A$307),IFERROR(LOOKUP(2,1/((거래처별!$AD$8:$AD$307&lt;&gt;"")*ISNUMBER(SEARCH(거래처별!$AD$8:$AD$307,$AB350))),거래처별!$A$8:$A$307),IFERROR(LOOKUP(2,1/((거래처별!$AE$8:$AE$307&lt;&gt;"")*ISNUMBER(SEARCH(거래처별!$AE$8:$AE$307,$AB350))),거래처별!$A$8:$A$307),0))))</f>
        <v/>
      </c>
      <c r="AD350" s="31">
        <f>IF(AND($Y350&lt;&gt;"",N($Z350)&gt;0,$AC350=0),MAX($AD$7:$AD349)+1,"")</f>
        <v/>
      </c>
      <c r="AE350" s="31">
        <f>IF($Y350="",0,$Y350)</f>
        <v/>
      </c>
    </row>
    <row r="351">
      <c r="W351" s="31">
        <f>IF(OR($B$5="",$C$6="",ROW()&lt;$B$5),"",IF(INDEX($A:$U,ROW(),$C$6)="","",INDEX($A:$U,ROW(),$C$6)))</f>
        <v/>
      </c>
      <c r="X351" s="32">
        <f>IF($W351="","",IF(ISNUMBER($W351),IF($W351&gt;=10000000,IFERROR(DATE(INT($W351/10000),MOD(INT($W351/100),100),MOD($W351,100)),""),INT($W351)),IFERROR(DATE(--LEFT(LEFT(SUBSTITUTE(SUBSTITUTE(SUBSTITUTE(SUBSTITUTE(TRIM($W351),"-",""),".",""),"/","")," ",""),8),4),--MID(LEFT(SUBSTITUTE(SUBSTITUTE(SUBSTITUTE(SUBSTITUTE(TRIM($W351),"-",""),".",""),"/","")," ",""),8),5,2),--MID(LEFT(SUBSTITUTE(SUBSTITUTE(SUBSTITUTE(SUBSTITUTE(TRIM($W351),"-",""),".",""),"/","")," ",""),8),7,2)),"")))</f>
        <v/>
      </c>
      <c r="Y351" s="32">
        <f>IF($X351="","",INT($X351))</f>
        <v/>
      </c>
      <c r="Z351" s="33">
        <f>IF(OR($Y351="",$D$6=""),"",IF(INDEX($A:$U,ROW(),$D$6)="",0,IF(ISNUMBER(INDEX($A:$U,ROW(),$D$6)),INDEX($A:$U,ROW(),$D$6),IFERROR(--SUBSTITUTE(SUBSTITUTE(TRIM(INDEX($A:$U,ROW(),$D$6)),",",""),"원",""),0))))</f>
        <v/>
      </c>
      <c r="AA351" s="31">
        <f>IF($Y351="","",TRIM(INDEX($A:$U,ROW(),$E$6)&amp;IF($F$6="",""," "&amp;INDEX($A:$U,ROW(),$F$6))))</f>
        <v/>
      </c>
      <c r="AB351" s="31">
        <f>IF($AA351="","",SUBSTITUTE(SUBSTITUTE(SUBSTITUTE(SUBSTITUTE(SUBSTITUTE(SUBSTITUTE(SUBSTITUTE(SUBSTITUTE(SUBSTITUTE($AA351," ",""),"　",""),"(주)",""),"（주）",""),"㈜",""),"주식회사",""),"(유)",""),"（유）",""),"유한회사",""))</f>
        <v/>
      </c>
      <c r="AC351" s="31">
        <f>IF(OR($Y351="",N($Z351)&lt;=0,$AB351=""),0,IFERROR(LOOKUP(2,1/((거래처별!$AC$8:$AC$307&lt;&gt;"")*ISNUMBER(SEARCH(거래처별!$AC$8:$AC$307,$AB351))),거래처별!$A$8:$A$307),IFERROR(LOOKUP(2,1/((거래처별!$AD$8:$AD$307&lt;&gt;"")*ISNUMBER(SEARCH(거래처별!$AD$8:$AD$307,$AB351))),거래처별!$A$8:$A$307),IFERROR(LOOKUP(2,1/((거래처별!$AE$8:$AE$307&lt;&gt;"")*ISNUMBER(SEARCH(거래처별!$AE$8:$AE$307,$AB351))),거래처별!$A$8:$A$307),0))))</f>
        <v/>
      </c>
      <c r="AD351" s="31">
        <f>IF(AND($Y351&lt;&gt;"",N($Z351)&gt;0,$AC351=0),MAX($AD$7:$AD350)+1,"")</f>
        <v/>
      </c>
      <c r="AE351" s="31">
        <f>IF($Y351="",0,$Y351)</f>
        <v/>
      </c>
    </row>
    <row r="352">
      <c r="W352" s="31">
        <f>IF(OR($B$5="",$C$6="",ROW()&lt;$B$5),"",IF(INDEX($A:$U,ROW(),$C$6)="","",INDEX($A:$U,ROW(),$C$6)))</f>
        <v/>
      </c>
      <c r="X352" s="32">
        <f>IF($W352="","",IF(ISNUMBER($W352),IF($W352&gt;=10000000,IFERROR(DATE(INT($W352/10000),MOD(INT($W352/100),100),MOD($W352,100)),""),INT($W352)),IFERROR(DATE(--LEFT(LEFT(SUBSTITUTE(SUBSTITUTE(SUBSTITUTE(SUBSTITUTE(TRIM($W352),"-",""),".",""),"/","")," ",""),8),4),--MID(LEFT(SUBSTITUTE(SUBSTITUTE(SUBSTITUTE(SUBSTITUTE(TRIM($W352),"-",""),".",""),"/","")," ",""),8),5,2),--MID(LEFT(SUBSTITUTE(SUBSTITUTE(SUBSTITUTE(SUBSTITUTE(TRIM($W352),"-",""),".",""),"/","")," ",""),8),7,2)),"")))</f>
        <v/>
      </c>
      <c r="Y352" s="32">
        <f>IF($X352="","",INT($X352))</f>
        <v/>
      </c>
      <c r="Z352" s="33">
        <f>IF(OR($Y352="",$D$6=""),"",IF(INDEX($A:$U,ROW(),$D$6)="",0,IF(ISNUMBER(INDEX($A:$U,ROW(),$D$6)),INDEX($A:$U,ROW(),$D$6),IFERROR(--SUBSTITUTE(SUBSTITUTE(TRIM(INDEX($A:$U,ROW(),$D$6)),",",""),"원",""),0))))</f>
        <v/>
      </c>
      <c r="AA352" s="31">
        <f>IF($Y352="","",TRIM(INDEX($A:$U,ROW(),$E$6)&amp;IF($F$6="",""," "&amp;INDEX($A:$U,ROW(),$F$6))))</f>
        <v/>
      </c>
      <c r="AB352" s="31">
        <f>IF($AA352="","",SUBSTITUTE(SUBSTITUTE(SUBSTITUTE(SUBSTITUTE(SUBSTITUTE(SUBSTITUTE(SUBSTITUTE(SUBSTITUTE(SUBSTITUTE($AA352," ",""),"　",""),"(주)",""),"（주）",""),"㈜",""),"주식회사",""),"(유)",""),"（유）",""),"유한회사",""))</f>
        <v/>
      </c>
      <c r="AC352" s="31">
        <f>IF(OR($Y352="",N($Z352)&lt;=0,$AB352=""),0,IFERROR(LOOKUP(2,1/((거래처별!$AC$8:$AC$307&lt;&gt;"")*ISNUMBER(SEARCH(거래처별!$AC$8:$AC$307,$AB352))),거래처별!$A$8:$A$307),IFERROR(LOOKUP(2,1/((거래처별!$AD$8:$AD$307&lt;&gt;"")*ISNUMBER(SEARCH(거래처별!$AD$8:$AD$307,$AB352))),거래처별!$A$8:$A$307),IFERROR(LOOKUP(2,1/((거래처별!$AE$8:$AE$307&lt;&gt;"")*ISNUMBER(SEARCH(거래처별!$AE$8:$AE$307,$AB352))),거래처별!$A$8:$A$307),0))))</f>
        <v/>
      </c>
      <c r="AD352" s="31">
        <f>IF(AND($Y352&lt;&gt;"",N($Z352)&gt;0,$AC352=0),MAX($AD$7:$AD351)+1,"")</f>
        <v/>
      </c>
      <c r="AE352" s="31">
        <f>IF($Y352="",0,$Y352)</f>
        <v/>
      </c>
    </row>
    <row r="353">
      <c r="W353" s="31">
        <f>IF(OR($B$5="",$C$6="",ROW()&lt;$B$5),"",IF(INDEX($A:$U,ROW(),$C$6)="","",INDEX($A:$U,ROW(),$C$6)))</f>
        <v/>
      </c>
      <c r="X353" s="32">
        <f>IF($W353="","",IF(ISNUMBER($W353),IF($W353&gt;=10000000,IFERROR(DATE(INT($W353/10000),MOD(INT($W353/100),100),MOD($W353,100)),""),INT($W353)),IFERROR(DATE(--LEFT(LEFT(SUBSTITUTE(SUBSTITUTE(SUBSTITUTE(SUBSTITUTE(TRIM($W353),"-",""),".",""),"/","")," ",""),8),4),--MID(LEFT(SUBSTITUTE(SUBSTITUTE(SUBSTITUTE(SUBSTITUTE(TRIM($W353),"-",""),".",""),"/","")," ",""),8),5,2),--MID(LEFT(SUBSTITUTE(SUBSTITUTE(SUBSTITUTE(SUBSTITUTE(TRIM($W353),"-",""),".",""),"/","")," ",""),8),7,2)),"")))</f>
        <v/>
      </c>
      <c r="Y353" s="32">
        <f>IF($X353="","",INT($X353))</f>
        <v/>
      </c>
      <c r="Z353" s="33">
        <f>IF(OR($Y353="",$D$6=""),"",IF(INDEX($A:$U,ROW(),$D$6)="",0,IF(ISNUMBER(INDEX($A:$U,ROW(),$D$6)),INDEX($A:$U,ROW(),$D$6),IFERROR(--SUBSTITUTE(SUBSTITUTE(TRIM(INDEX($A:$U,ROW(),$D$6)),",",""),"원",""),0))))</f>
        <v/>
      </c>
      <c r="AA353" s="31">
        <f>IF($Y353="","",TRIM(INDEX($A:$U,ROW(),$E$6)&amp;IF($F$6="",""," "&amp;INDEX($A:$U,ROW(),$F$6))))</f>
        <v/>
      </c>
      <c r="AB353" s="31">
        <f>IF($AA353="","",SUBSTITUTE(SUBSTITUTE(SUBSTITUTE(SUBSTITUTE(SUBSTITUTE(SUBSTITUTE(SUBSTITUTE(SUBSTITUTE(SUBSTITUTE($AA353," ",""),"　",""),"(주)",""),"（주）",""),"㈜",""),"주식회사",""),"(유)",""),"（유）",""),"유한회사",""))</f>
        <v/>
      </c>
      <c r="AC353" s="31">
        <f>IF(OR($Y353="",N($Z353)&lt;=0,$AB353=""),0,IFERROR(LOOKUP(2,1/((거래처별!$AC$8:$AC$307&lt;&gt;"")*ISNUMBER(SEARCH(거래처별!$AC$8:$AC$307,$AB353))),거래처별!$A$8:$A$307),IFERROR(LOOKUP(2,1/((거래처별!$AD$8:$AD$307&lt;&gt;"")*ISNUMBER(SEARCH(거래처별!$AD$8:$AD$307,$AB353))),거래처별!$A$8:$A$307),IFERROR(LOOKUP(2,1/((거래처별!$AE$8:$AE$307&lt;&gt;"")*ISNUMBER(SEARCH(거래처별!$AE$8:$AE$307,$AB353))),거래처별!$A$8:$A$307),0))))</f>
        <v/>
      </c>
      <c r="AD353" s="31">
        <f>IF(AND($Y353&lt;&gt;"",N($Z353)&gt;0,$AC353=0),MAX($AD$7:$AD352)+1,"")</f>
        <v/>
      </c>
      <c r="AE353" s="31">
        <f>IF($Y353="",0,$Y353)</f>
        <v/>
      </c>
    </row>
    <row r="354">
      <c r="W354" s="31">
        <f>IF(OR($B$5="",$C$6="",ROW()&lt;$B$5),"",IF(INDEX($A:$U,ROW(),$C$6)="","",INDEX($A:$U,ROW(),$C$6)))</f>
        <v/>
      </c>
      <c r="X354" s="32">
        <f>IF($W354="","",IF(ISNUMBER($W354),IF($W354&gt;=10000000,IFERROR(DATE(INT($W354/10000),MOD(INT($W354/100),100),MOD($W354,100)),""),INT($W354)),IFERROR(DATE(--LEFT(LEFT(SUBSTITUTE(SUBSTITUTE(SUBSTITUTE(SUBSTITUTE(TRIM($W354),"-",""),".",""),"/","")," ",""),8),4),--MID(LEFT(SUBSTITUTE(SUBSTITUTE(SUBSTITUTE(SUBSTITUTE(TRIM($W354),"-",""),".",""),"/","")," ",""),8),5,2),--MID(LEFT(SUBSTITUTE(SUBSTITUTE(SUBSTITUTE(SUBSTITUTE(TRIM($W354),"-",""),".",""),"/","")," ",""),8),7,2)),"")))</f>
        <v/>
      </c>
      <c r="Y354" s="32">
        <f>IF($X354="","",INT($X354))</f>
        <v/>
      </c>
      <c r="Z354" s="33">
        <f>IF(OR($Y354="",$D$6=""),"",IF(INDEX($A:$U,ROW(),$D$6)="",0,IF(ISNUMBER(INDEX($A:$U,ROW(),$D$6)),INDEX($A:$U,ROW(),$D$6),IFERROR(--SUBSTITUTE(SUBSTITUTE(TRIM(INDEX($A:$U,ROW(),$D$6)),",",""),"원",""),0))))</f>
        <v/>
      </c>
      <c r="AA354" s="31">
        <f>IF($Y354="","",TRIM(INDEX($A:$U,ROW(),$E$6)&amp;IF($F$6="",""," "&amp;INDEX($A:$U,ROW(),$F$6))))</f>
        <v/>
      </c>
      <c r="AB354" s="31">
        <f>IF($AA354="","",SUBSTITUTE(SUBSTITUTE(SUBSTITUTE(SUBSTITUTE(SUBSTITUTE(SUBSTITUTE(SUBSTITUTE(SUBSTITUTE(SUBSTITUTE($AA354," ",""),"　",""),"(주)",""),"（주）",""),"㈜",""),"주식회사",""),"(유)",""),"（유）",""),"유한회사",""))</f>
        <v/>
      </c>
      <c r="AC354" s="31">
        <f>IF(OR($Y354="",N($Z354)&lt;=0,$AB354=""),0,IFERROR(LOOKUP(2,1/((거래처별!$AC$8:$AC$307&lt;&gt;"")*ISNUMBER(SEARCH(거래처별!$AC$8:$AC$307,$AB354))),거래처별!$A$8:$A$307),IFERROR(LOOKUP(2,1/((거래처별!$AD$8:$AD$307&lt;&gt;"")*ISNUMBER(SEARCH(거래처별!$AD$8:$AD$307,$AB354))),거래처별!$A$8:$A$307),IFERROR(LOOKUP(2,1/((거래처별!$AE$8:$AE$307&lt;&gt;"")*ISNUMBER(SEARCH(거래처별!$AE$8:$AE$307,$AB354))),거래처별!$A$8:$A$307),0))))</f>
        <v/>
      </c>
      <c r="AD354" s="31">
        <f>IF(AND($Y354&lt;&gt;"",N($Z354)&gt;0,$AC354=0),MAX($AD$7:$AD353)+1,"")</f>
        <v/>
      </c>
      <c r="AE354" s="31">
        <f>IF($Y354="",0,$Y354)</f>
        <v/>
      </c>
    </row>
    <row r="355">
      <c r="W355" s="31">
        <f>IF(OR($B$5="",$C$6="",ROW()&lt;$B$5),"",IF(INDEX($A:$U,ROW(),$C$6)="","",INDEX($A:$U,ROW(),$C$6)))</f>
        <v/>
      </c>
      <c r="X355" s="32">
        <f>IF($W355="","",IF(ISNUMBER($W355),IF($W355&gt;=10000000,IFERROR(DATE(INT($W355/10000),MOD(INT($W355/100),100),MOD($W355,100)),""),INT($W355)),IFERROR(DATE(--LEFT(LEFT(SUBSTITUTE(SUBSTITUTE(SUBSTITUTE(SUBSTITUTE(TRIM($W355),"-",""),".",""),"/","")," ",""),8),4),--MID(LEFT(SUBSTITUTE(SUBSTITUTE(SUBSTITUTE(SUBSTITUTE(TRIM($W355),"-",""),".",""),"/","")," ",""),8),5,2),--MID(LEFT(SUBSTITUTE(SUBSTITUTE(SUBSTITUTE(SUBSTITUTE(TRIM($W355),"-",""),".",""),"/","")," ",""),8),7,2)),"")))</f>
        <v/>
      </c>
      <c r="Y355" s="32">
        <f>IF($X355="","",INT($X355))</f>
        <v/>
      </c>
      <c r="Z355" s="33">
        <f>IF(OR($Y355="",$D$6=""),"",IF(INDEX($A:$U,ROW(),$D$6)="",0,IF(ISNUMBER(INDEX($A:$U,ROW(),$D$6)),INDEX($A:$U,ROW(),$D$6),IFERROR(--SUBSTITUTE(SUBSTITUTE(TRIM(INDEX($A:$U,ROW(),$D$6)),",",""),"원",""),0))))</f>
        <v/>
      </c>
      <c r="AA355" s="31">
        <f>IF($Y355="","",TRIM(INDEX($A:$U,ROW(),$E$6)&amp;IF($F$6="",""," "&amp;INDEX($A:$U,ROW(),$F$6))))</f>
        <v/>
      </c>
      <c r="AB355" s="31">
        <f>IF($AA355="","",SUBSTITUTE(SUBSTITUTE(SUBSTITUTE(SUBSTITUTE(SUBSTITUTE(SUBSTITUTE(SUBSTITUTE(SUBSTITUTE(SUBSTITUTE($AA355," ",""),"　",""),"(주)",""),"（주）",""),"㈜",""),"주식회사",""),"(유)",""),"（유）",""),"유한회사",""))</f>
        <v/>
      </c>
      <c r="AC355" s="31">
        <f>IF(OR($Y355="",N($Z355)&lt;=0,$AB355=""),0,IFERROR(LOOKUP(2,1/((거래처별!$AC$8:$AC$307&lt;&gt;"")*ISNUMBER(SEARCH(거래처별!$AC$8:$AC$307,$AB355))),거래처별!$A$8:$A$307),IFERROR(LOOKUP(2,1/((거래처별!$AD$8:$AD$307&lt;&gt;"")*ISNUMBER(SEARCH(거래처별!$AD$8:$AD$307,$AB355))),거래처별!$A$8:$A$307),IFERROR(LOOKUP(2,1/((거래처별!$AE$8:$AE$307&lt;&gt;"")*ISNUMBER(SEARCH(거래처별!$AE$8:$AE$307,$AB355))),거래처별!$A$8:$A$307),0))))</f>
        <v/>
      </c>
      <c r="AD355" s="31">
        <f>IF(AND($Y355&lt;&gt;"",N($Z355)&gt;0,$AC355=0),MAX($AD$7:$AD354)+1,"")</f>
        <v/>
      </c>
      <c r="AE355" s="31">
        <f>IF($Y355="",0,$Y355)</f>
        <v/>
      </c>
    </row>
    <row r="356">
      <c r="W356" s="31">
        <f>IF(OR($B$5="",$C$6="",ROW()&lt;$B$5),"",IF(INDEX($A:$U,ROW(),$C$6)="","",INDEX($A:$U,ROW(),$C$6)))</f>
        <v/>
      </c>
      <c r="X356" s="32">
        <f>IF($W356="","",IF(ISNUMBER($W356),IF($W356&gt;=10000000,IFERROR(DATE(INT($W356/10000),MOD(INT($W356/100),100),MOD($W356,100)),""),INT($W356)),IFERROR(DATE(--LEFT(LEFT(SUBSTITUTE(SUBSTITUTE(SUBSTITUTE(SUBSTITUTE(TRIM($W356),"-",""),".",""),"/","")," ",""),8),4),--MID(LEFT(SUBSTITUTE(SUBSTITUTE(SUBSTITUTE(SUBSTITUTE(TRIM($W356),"-",""),".",""),"/","")," ",""),8),5,2),--MID(LEFT(SUBSTITUTE(SUBSTITUTE(SUBSTITUTE(SUBSTITUTE(TRIM($W356),"-",""),".",""),"/","")," ",""),8),7,2)),"")))</f>
        <v/>
      </c>
      <c r="Y356" s="32">
        <f>IF($X356="","",INT($X356))</f>
        <v/>
      </c>
      <c r="Z356" s="33">
        <f>IF(OR($Y356="",$D$6=""),"",IF(INDEX($A:$U,ROW(),$D$6)="",0,IF(ISNUMBER(INDEX($A:$U,ROW(),$D$6)),INDEX($A:$U,ROW(),$D$6),IFERROR(--SUBSTITUTE(SUBSTITUTE(TRIM(INDEX($A:$U,ROW(),$D$6)),",",""),"원",""),0))))</f>
        <v/>
      </c>
      <c r="AA356" s="31">
        <f>IF($Y356="","",TRIM(INDEX($A:$U,ROW(),$E$6)&amp;IF($F$6="",""," "&amp;INDEX($A:$U,ROW(),$F$6))))</f>
        <v/>
      </c>
      <c r="AB356" s="31">
        <f>IF($AA356="","",SUBSTITUTE(SUBSTITUTE(SUBSTITUTE(SUBSTITUTE(SUBSTITUTE(SUBSTITUTE(SUBSTITUTE(SUBSTITUTE(SUBSTITUTE($AA356," ",""),"　",""),"(주)",""),"（주）",""),"㈜",""),"주식회사",""),"(유)",""),"（유）",""),"유한회사",""))</f>
        <v/>
      </c>
      <c r="AC356" s="31">
        <f>IF(OR($Y356="",N($Z356)&lt;=0,$AB356=""),0,IFERROR(LOOKUP(2,1/((거래처별!$AC$8:$AC$307&lt;&gt;"")*ISNUMBER(SEARCH(거래처별!$AC$8:$AC$307,$AB356))),거래처별!$A$8:$A$307),IFERROR(LOOKUP(2,1/((거래처별!$AD$8:$AD$307&lt;&gt;"")*ISNUMBER(SEARCH(거래처별!$AD$8:$AD$307,$AB356))),거래처별!$A$8:$A$307),IFERROR(LOOKUP(2,1/((거래처별!$AE$8:$AE$307&lt;&gt;"")*ISNUMBER(SEARCH(거래처별!$AE$8:$AE$307,$AB356))),거래처별!$A$8:$A$307),0))))</f>
        <v/>
      </c>
      <c r="AD356" s="31">
        <f>IF(AND($Y356&lt;&gt;"",N($Z356)&gt;0,$AC356=0),MAX($AD$7:$AD355)+1,"")</f>
        <v/>
      </c>
      <c r="AE356" s="31">
        <f>IF($Y356="",0,$Y356)</f>
        <v/>
      </c>
    </row>
    <row r="357">
      <c r="W357" s="31">
        <f>IF(OR($B$5="",$C$6="",ROW()&lt;$B$5),"",IF(INDEX($A:$U,ROW(),$C$6)="","",INDEX($A:$U,ROW(),$C$6)))</f>
        <v/>
      </c>
      <c r="X357" s="32">
        <f>IF($W357="","",IF(ISNUMBER($W357),IF($W357&gt;=10000000,IFERROR(DATE(INT($W357/10000),MOD(INT($W357/100),100),MOD($W357,100)),""),INT($W357)),IFERROR(DATE(--LEFT(LEFT(SUBSTITUTE(SUBSTITUTE(SUBSTITUTE(SUBSTITUTE(TRIM($W357),"-",""),".",""),"/","")," ",""),8),4),--MID(LEFT(SUBSTITUTE(SUBSTITUTE(SUBSTITUTE(SUBSTITUTE(TRIM($W357),"-",""),".",""),"/","")," ",""),8),5,2),--MID(LEFT(SUBSTITUTE(SUBSTITUTE(SUBSTITUTE(SUBSTITUTE(TRIM($W357),"-",""),".",""),"/","")," ",""),8),7,2)),"")))</f>
        <v/>
      </c>
      <c r="Y357" s="32">
        <f>IF($X357="","",INT($X357))</f>
        <v/>
      </c>
      <c r="Z357" s="33">
        <f>IF(OR($Y357="",$D$6=""),"",IF(INDEX($A:$U,ROW(),$D$6)="",0,IF(ISNUMBER(INDEX($A:$U,ROW(),$D$6)),INDEX($A:$U,ROW(),$D$6),IFERROR(--SUBSTITUTE(SUBSTITUTE(TRIM(INDEX($A:$U,ROW(),$D$6)),",",""),"원",""),0))))</f>
        <v/>
      </c>
      <c r="AA357" s="31">
        <f>IF($Y357="","",TRIM(INDEX($A:$U,ROW(),$E$6)&amp;IF($F$6="",""," "&amp;INDEX($A:$U,ROW(),$F$6))))</f>
        <v/>
      </c>
      <c r="AB357" s="31">
        <f>IF($AA357="","",SUBSTITUTE(SUBSTITUTE(SUBSTITUTE(SUBSTITUTE(SUBSTITUTE(SUBSTITUTE(SUBSTITUTE(SUBSTITUTE(SUBSTITUTE($AA357," ",""),"　",""),"(주)",""),"（주）",""),"㈜",""),"주식회사",""),"(유)",""),"（유）",""),"유한회사",""))</f>
        <v/>
      </c>
      <c r="AC357" s="31">
        <f>IF(OR($Y357="",N($Z357)&lt;=0,$AB357=""),0,IFERROR(LOOKUP(2,1/((거래처별!$AC$8:$AC$307&lt;&gt;"")*ISNUMBER(SEARCH(거래처별!$AC$8:$AC$307,$AB357))),거래처별!$A$8:$A$307),IFERROR(LOOKUP(2,1/((거래처별!$AD$8:$AD$307&lt;&gt;"")*ISNUMBER(SEARCH(거래처별!$AD$8:$AD$307,$AB357))),거래처별!$A$8:$A$307),IFERROR(LOOKUP(2,1/((거래처별!$AE$8:$AE$307&lt;&gt;"")*ISNUMBER(SEARCH(거래처별!$AE$8:$AE$307,$AB357))),거래처별!$A$8:$A$307),0))))</f>
        <v/>
      </c>
      <c r="AD357" s="31">
        <f>IF(AND($Y357&lt;&gt;"",N($Z357)&gt;0,$AC357=0),MAX($AD$7:$AD356)+1,"")</f>
        <v/>
      </c>
      <c r="AE357" s="31">
        <f>IF($Y357="",0,$Y357)</f>
        <v/>
      </c>
    </row>
    <row r="358">
      <c r="W358" s="31">
        <f>IF(OR($B$5="",$C$6="",ROW()&lt;$B$5),"",IF(INDEX($A:$U,ROW(),$C$6)="","",INDEX($A:$U,ROW(),$C$6)))</f>
        <v/>
      </c>
      <c r="X358" s="32">
        <f>IF($W358="","",IF(ISNUMBER($W358),IF($W358&gt;=10000000,IFERROR(DATE(INT($W358/10000),MOD(INT($W358/100),100),MOD($W358,100)),""),INT($W358)),IFERROR(DATE(--LEFT(LEFT(SUBSTITUTE(SUBSTITUTE(SUBSTITUTE(SUBSTITUTE(TRIM($W358),"-",""),".",""),"/","")," ",""),8),4),--MID(LEFT(SUBSTITUTE(SUBSTITUTE(SUBSTITUTE(SUBSTITUTE(TRIM($W358),"-",""),".",""),"/","")," ",""),8),5,2),--MID(LEFT(SUBSTITUTE(SUBSTITUTE(SUBSTITUTE(SUBSTITUTE(TRIM($W358),"-",""),".",""),"/","")," ",""),8),7,2)),"")))</f>
        <v/>
      </c>
      <c r="Y358" s="32">
        <f>IF($X358="","",INT($X358))</f>
        <v/>
      </c>
      <c r="Z358" s="33">
        <f>IF(OR($Y358="",$D$6=""),"",IF(INDEX($A:$U,ROW(),$D$6)="",0,IF(ISNUMBER(INDEX($A:$U,ROW(),$D$6)),INDEX($A:$U,ROW(),$D$6),IFERROR(--SUBSTITUTE(SUBSTITUTE(TRIM(INDEX($A:$U,ROW(),$D$6)),",",""),"원",""),0))))</f>
        <v/>
      </c>
      <c r="AA358" s="31">
        <f>IF($Y358="","",TRIM(INDEX($A:$U,ROW(),$E$6)&amp;IF($F$6="",""," "&amp;INDEX($A:$U,ROW(),$F$6))))</f>
        <v/>
      </c>
      <c r="AB358" s="31">
        <f>IF($AA358="","",SUBSTITUTE(SUBSTITUTE(SUBSTITUTE(SUBSTITUTE(SUBSTITUTE(SUBSTITUTE(SUBSTITUTE(SUBSTITUTE(SUBSTITUTE($AA358," ",""),"　",""),"(주)",""),"（주）",""),"㈜",""),"주식회사",""),"(유)",""),"（유）",""),"유한회사",""))</f>
        <v/>
      </c>
      <c r="AC358" s="31">
        <f>IF(OR($Y358="",N($Z358)&lt;=0,$AB358=""),0,IFERROR(LOOKUP(2,1/((거래처별!$AC$8:$AC$307&lt;&gt;"")*ISNUMBER(SEARCH(거래처별!$AC$8:$AC$307,$AB358))),거래처별!$A$8:$A$307),IFERROR(LOOKUP(2,1/((거래처별!$AD$8:$AD$307&lt;&gt;"")*ISNUMBER(SEARCH(거래처별!$AD$8:$AD$307,$AB358))),거래처별!$A$8:$A$307),IFERROR(LOOKUP(2,1/((거래처별!$AE$8:$AE$307&lt;&gt;"")*ISNUMBER(SEARCH(거래처별!$AE$8:$AE$307,$AB358))),거래처별!$A$8:$A$307),0))))</f>
        <v/>
      </c>
      <c r="AD358" s="31">
        <f>IF(AND($Y358&lt;&gt;"",N($Z358)&gt;0,$AC358=0),MAX($AD$7:$AD357)+1,"")</f>
        <v/>
      </c>
      <c r="AE358" s="31">
        <f>IF($Y358="",0,$Y358)</f>
        <v/>
      </c>
    </row>
    <row r="359">
      <c r="W359" s="31">
        <f>IF(OR($B$5="",$C$6="",ROW()&lt;$B$5),"",IF(INDEX($A:$U,ROW(),$C$6)="","",INDEX($A:$U,ROW(),$C$6)))</f>
        <v/>
      </c>
      <c r="X359" s="32">
        <f>IF($W359="","",IF(ISNUMBER($W359),IF($W359&gt;=10000000,IFERROR(DATE(INT($W359/10000),MOD(INT($W359/100),100),MOD($W359,100)),""),INT($W359)),IFERROR(DATE(--LEFT(LEFT(SUBSTITUTE(SUBSTITUTE(SUBSTITUTE(SUBSTITUTE(TRIM($W359),"-",""),".",""),"/","")," ",""),8),4),--MID(LEFT(SUBSTITUTE(SUBSTITUTE(SUBSTITUTE(SUBSTITUTE(TRIM($W359),"-",""),".",""),"/","")," ",""),8),5,2),--MID(LEFT(SUBSTITUTE(SUBSTITUTE(SUBSTITUTE(SUBSTITUTE(TRIM($W359),"-",""),".",""),"/","")," ",""),8),7,2)),"")))</f>
        <v/>
      </c>
      <c r="Y359" s="32">
        <f>IF($X359="","",INT($X359))</f>
        <v/>
      </c>
      <c r="Z359" s="33">
        <f>IF(OR($Y359="",$D$6=""),"",IF(INDEX($A:$U,ROW(),$D$6)="",0,IF(ISNUMBER(INDEX($A:$U,ROW(),$D$6)),INDEX($A:$U,ROW(),$D$6),IFERROR(--SUBSTITUTE(SUBSTITUTE(TRIM(INDEX($A:$U,ROW(),$D$6)),",",""),"원",""),0))))</f>
        <v/>
      </c>
      <c r="AA359" s="31">
        <f>IF($Y359="","",TRIM(INDEX($A:$U,ROW(),$E$6)&amp;IF($F$6="",""," "&amp;INDEX($A:$U,ROW(),$F$6))))</f>
        <v/>
      </c>
      <c r="AB359" s="31">
        <f>IF($AA359="","",SUBSTITUTE(SUBSTITUTE(SUBSTITUTE(SUBSTITUTE(SUBSTITUTE(SUBSTITUTE(SUBSTITUTE(SUBSTITUTE(SUBSTITUTE($AA359," ",""),"　",""),"(주)",""),"（주）",""),"㈜",""),"주식회사",""),"(유)",""),"（유）",""),"유한회사",""))</f>
        <v/>
      </c>
      <c r="AC359" s="31">
        <f>IF(OR($Y359="",N($Z359)&lt;=0,$AB359=""),0,IFERROR(LOOKUP(2,1/((거래처별!$AC$8:$AC$307&lt;&gt;"")*ISNUMBER(SEARCH(거래처별!$AC$8:$AC$307,$AB359))),거래처별!$A$8:$A$307),IFERROR(LOOKUP(2,1/((거래처별!$AD$8:$AD$307&lt;&gt;"")*ISNUMBER(SEARCH(거래처별!$AD$8:$AD$307,$AB359))),거래처별!$A$8:$A$307),IFERROR(LOOKUP(2,1/((거래처별!$AE$8:$AE$307&lt;&gt;"")*ISNUMBER(SEARCH(거래처별!$AE$8:$AE$307,$AB359))),거래처별!$A$8:$A$307),0))))</f>
        <v/>
      </c>
      <c r="AD359" s="31">
        <f>IF(AND($Y359&lt;&gt;"",N($Z359)&gt;0,$AC359=0),MAX($AD$7:$AD358)+1,"")</f>
        <v/>
      </c>
      <c r="AE359" s="31">
        <f>IF($Y359="",0,$Y359)</f>
        <v/>
      </c>
    </row>
    <row r="360">
      <c r="W360" s="31">
        <f>IF(OR($B$5="",$C$6="",ROW()&lt;$B$5),"",IF(INDEX($A:$U,ROW(),$C$6)="","",INDEX($A:$U,ROW(),$C$6)))</f>
        <v/>
      </c>
      <c r="X360" s="32">
        <f>IF($W360="","",IF(ISNUMBER($W360),IF($W360&gt;=10000000,IFERROR(DATE(INT($W360/10000),MOD(INT($W360/100),100),MOD($W360,100)),""),INT($W360)),IFERROR(DATE(--LEFT(LEFT(SUBSTITUTE(SUBSTITUTE(SUBSTITUTE(SUBSTITUTE(TRIM($W360),"-",""),".",""),"/","")," ",""),8),4),--MID(LEFT(SUBSTITUTE(SUBSTITUTE(SUBSTITUTE(SUBSTITUTE(TRIM($W360),"-",""),".",""),"/","")," ",""),8),5,2),--MID(LEFT(SUBSTITUTE(SUBSTITUTE(SUBSTITUTE(SUBSTITUTE(TRIM($W360),"-",""),".",""),"/","")," ",""),8),7,2)),"")))</f>
        <v/>
      </c>
      <c r="Y360" s="32">
        <f>IF($X360="","",INT($X360))</f>
        <v/>
      </c>
      <c r="Z360" s="33">
        <f>IF(OR($Y360="",$D$6=""),"",IF(INDEX($A:$U,ROW(),$D$6)="",0,IF(ISNUMBER(INDEX($A:$U,ROW(),$D$6)),INDEX($A:$U,ROW(),$D$6),IFERROR(--SUBSTITUTE(SUBSTITUTE(TRIM(INDEX($A:$U,ROW(),$D$6)),",",""),"원",""),0))))</f>
        <v/>
      </c>
      <c r="AA360" s="31">
        <f>IF($Y360="","",TRIM(INDEX($A:$U,ROW(),$E$6)&amp;IF($F$6="",""," "&amp;INDEX($A:$U,ROW(),$F$6))))</f>
        <v/>
      </c>
      <c r="AB360" s="31">
        <f>IF($AA360="","",SUBSTITUTE(SUBSTITUTE(SUBSTITUTE(SUBSTITUTE(SUBSTITUTE(SUBSTITUTE(SUBSTITUTE(SUBSTITUTE(SUBSTITUTE($AA360," ",""),"　",""),"(주)",""),"（주）",""),"㈜",""),"주식회사",""),"(유)",""),"（유）",""),"유한회사",""))</f>
        <v/>
      </c>
      <c r="AC360" s="31">
        <f>IF(OR($Y360="",N($Z360)&lt;=0,$AB360=""),0,IFERROR(LOOKUP(2,1/((거래처별!$AC$8:$AC$307&lt;&gt;"")*ISNUMBER(SEARCH(거래처별!$AC$8:$AC$307,$AB360))),거래처별!$A$8:$A$307),IFERROR(LOOKUP(2,1/((거래처별!$AD$8:$AD$307&lt;&gt;"")*ISNUMBER(SEARCH(거래처별!$AD$8:$AD$307,$AB360))),거래처별!$A$8:$A$307),IFERROR(LOOKUP(2,1/((거래처별!$AE$8:$AE$307&lt;&gt;"")*ISNUMBER(SEARCH(거래처별!$AE$8:$AE$307,$AB360))),거래처별!$A$8:$A$307),0))))</f>
        <v/>
      </c>
      <c r="AD360" s="31">
        <f>IF(AND($Y360&lt;&gt;"",N($Z360)&gt;0,$AC360=0),MAX($AD$7:$AD359)+1,"")</f>
        <v/>
      </c>
      <c r="AE360" s="31">
        <f>IF($Y360="",0,$Y360)</f>
        <v/>
      </c>
    </row>
    <row r="361">
      <c r="W361" s="31">
        <f>IF(OR($B$5="",$C$6="",ROW()&lt;$B$5),"",IF(INDEX($A:$U,ROW(),$C$6)="","",INDEX($A:$U,ROW(),$C$6)))</f>
        <v/>
      </c>
      <c r="X361" s="32">
        <f>IF($W361="","",IF(ISNUMBER($W361),IF($W361&gt;=10000000,IFERROR(DATE(INT($W361/10000),MOD(INT($W361/100),100),MOD($W361,100)),""),INT($W361)),IFERROR(DATE(--LEFT(LEFT(SUBSTITUTE(SUBSTITUTE(SUBSTITUTE(SUBSTITUTE(TRIM($W361),"-",""),".",""),"/","")," ",""),8),4),--MID(LEFT(SUBSTITUTE(SUBSTITUTE(SUBSTITUTE(SUBSTITUTE(TRIM($W361),"-",""),".",""),"/","")," ",""),8),5,2),--MID(LEFT(SUBSTITUTE(SUBSTITUTE(SUBSTITUTE(SUBSTITUTE(TRIM($W361),"-",""),".",""),"/","")," ",""),8),7,2)),"")))</f>
        <v/>
      </c>
      <c r="Y361" s="32">
        <f>IF($X361="","",INT($X361))</f>
        <v/>
      </c>
      <c r="Z361" s="33">
        <f>IF(OR($Y361="",$D$6=""),"",IF(INDEX($A:$U,ROW(),$D$6)="",0,IF(ISNUMBER(INDEX($A:$U,ROW(),$D$6)),INDEX($A:$U,ROW(),$D$6),IFERROR(--SUBSTITUTE(SUBSTITUTE(TRIM(INDEX($A:$U,ROW(),$D$6)),",",""),"원",""),0))))</f>
        <v/>
      </c>
      <c r="AA361" s="31">
        <f>IF($Y361="","",TRIM(INDEX($A:$U,ROW(),$E$6)&amp;IF($F$6="",""," "&amp;INDEX($A:$U,ROW(),$F$6))))</f>
        <v/>
      </c>
      <c r="AB361" s="31">
        <f>IF($AA361="","",SUBSTITUTE(SUBSTITUTE(SUBSTITUTE(SUBSTITUTE(SUBSTITUTE(SUBSTITUTE(SUBSTITUTE(SUBSTITUTE(SUBSTITUTE($AA361," ",""),"　",""),"(주)",""),"（주）",""),"㈜",""),"주식회사",""),"(유)",""),"（유）",""),"유한회사",""))</f>
        <v/>
      </c>
      <c r="AC361" s="31">
        <f>IF(OR($Y361="",N($Z361)&lt;=0,$AB361=""),0,IFERROR(LOOKUP(2,1/((거래처별!$AC$8:$AC$307&lt;&gt;"")*ISNUMBER(SEARCH(거래처별!$AC$8:$AC$307,$AB361))),거래처별!$A$8:$A$307),IFERROR(LOOKUP(2,1/((거래처별!$AD$8:$AD$307&lt;&gt;"")*ISNUMBER(SEARCH(거래처별!$AD$8:$AD$307,$AB361))),거래처별!$A$8:$A$307),IFERROR(LOOKUP(2,1/((거래처별!$AE$8:$AE$307&lt;&gt;"")*ISNUMBER(SEARCH(거래처별!$AE$8:$AE$307,$AB361))),거래처별!$A$8:$A$307),0))))</f>
        <v/>
      </c>
      <c r="AD361" s="31">
        <f>IF(AND($Y361&lt;&gt;"",N($Z361)&gt;0,$AC361=0),MAX($AD$7:$AD360)+1,"")</f>
        <v/>
      </c>
      <c r="AE361" s="31">
        <f>IF($Y361="",0,$Y361)</f>
        <v/>
      </c>
    </row>
    <row r="362">
      <c r="W362" s="31">
        <f>IF(OR($B$5="",$C$6="",ROW()&lt;$B$5),"",IF(INDEX($A:$U,ROW(),$C$6)="","",INDEX($A:$U,ROW(),$C$6)))</f>
        <v/>
      </c>
      <c r="X362" s="32">
        <f>IF($W362="","",IF(ISNUMBER($W362),IF($W362&gt;=10000000,IFERROR(DATE(INT($W362/10000),MOD(INT($W362/100),100),MOD($W362,100)),""),INT($W362)),IFERROR(DATE(--LEFT(LEFT(SUBSTITUTE(SUBSTITUTE(SUBSTITUTE(SUBSTITUTE(TRIM($W362),"-",""),".",""),"/","")," ",""),8),4),--MID(LEFT(SUBSTITUTE(SUBSTITUTE(SUBSTITUTE(SUBSTITUTE(TRIM($W362),"-",""),".",""),"/","")," ",""),8),5,2),--MID(LEFT(SUBSTITUTE(SUBSTITUTE(SUBSTITUTE(SUBSTITUTE(TRIM($W362),"-",""),".",""),"/","")," ",""),8),7,2)),"")))</f>
        <v/>
      </c>
      <c r="Y362" s="32">
        <f>IF($X362="","",INT($X362))</f>
        <v/>
      </c>
      <c r="Z362" s="33">
        <f>IF(OR($Y362="",$D$6=""),"",IF(INDEX($A:$U,ROW(),$D$6)="",0,IF(ISNUMBER(INDEX($A:$U,ROW(),$D$6)),INDEX($A:$U,ROW(),$D$6),IFERROR(--SUBSTITUTE(SUBSTITUTE(TRIM(INDEX($A:$U,ROW(),$D$6)),",",""),"원",""),0))))</f>
        <v/>
      </c>
      <c r="AA362" s="31">
        <f>IF($Y362="","",TRIM(INDEX($A:$U,ROW(),$E$6)&amp;IF($F$6="",""," "&amp;INDEX($A:$U,ROW(),$F$6))))</f>
        <v/>
      </c>
      <c r="AB362" s="31">
        <f>IF($AA362="","",SUBSTITUTE(SUBSTITUTE(SUBSTITUTE(SUBSTITUTE(SUBSTITUTE(SUBSTITUTE(SUBSTITUTE(SUBSTITUTE(SUBSTITUTE($AA362," ",""),"　",""),"(주)",""),"（주）",""),"㈜",""),"주식회사",""),"(유)",""),"（유）",""),"유한회사",""))</f>
        <v/>
      </c>
      <c r="AC362" s="31">
        <f>IF(OR($Y362="",N($Z362)&lt;=0,$AB362=""),0,IFERROR(LOOKUP(2,1/((거래처별!$AC$8:$AC$307&lt;&gt;"")*ISNUMBER(SEARCH(거래처별!$AC$8:$AC$307,$AB362))),거래처별!$A$8:$A$307),IFERROR(LOOKUP(2,1/((거래처별!$AD$8:$AD$307&lt;&gt;"")*ISNUMBER(SEARCH(거래처별!$AD$8:$AD$307,$AB362))),거래처별!$A$8:$A$307),IFERROR(LOOKUP(2,1/((거래처별!$AE$8:$AE$307&lt;&gt;"")*ISNUMBER(SEARCH(거래처별!$AE$8:$AE$307,$AB362))),거래처별!$A$8:$A$307),0))))</f>
        <v/>
      </c>
      <c r="AD362" s="31">
        <f>IF(AND($Y362&lt;&gt;"",N($Z362)&gt;0,$AC362=0),MAX($AD$7:$AD361)+1,"")</f>
        <v/>
      </c>
      <c r="AE362" s="31">
        <f>IF($Y362="",0,$Y362)</f>
        <v/>
      </c>
    </row>
    <row r="363">
      <c r="W363" s="31">
        <f>IF(OR($B$5="",$C$6="",ROW()&lt;$B$5),"",IF(INDEX($A:$U,ROW(),$C$6)="","",INDEX($A:$U,ROW(),$C$6)))</f>
        <v/>
      </c>
      <c r="X363" s="32">
        <f>IF($W363="","",IF(ISNUMBER($W363),IF($W363&gt;=10000000,IFERROR(DATE(INT($W363/10000),MOD(INT($W363/100),100),MOD($W363,100)),""),INT($W363)),IFERROR(DATE(--LEFT(LEFT(SUBSTITUTE(SUBSTITUTE(SUBSTITUTE(SUBSTITUTE(TRIM($W363),"-",""),".",""),"/","")," ",""),8),4),--MID(LEFT(SUBSTITUTE(SUBSTITUTE(SUBSTITUTE(SUBSTITUTE(TRIM($W363),"-",""),".",""),"/","")," ",""),8),5,2),--MID(LEFT(SUBSTITUTE(SUBSTITUTE(SUBSTITUTE(SUBSTITUTE(TRIM($W363),"-",""),".",""),"/","")," ",""),8),7,2)),"")))</f>
        <v/>
      </c>
      <c r="Y363" s="32">
        <f>IF($X363="","",INT($X363))</f>
        <v/>
      </c>
      <c r="Z363" s="33">
        <f>IF(OR($Y363="",$D$6=""),"",IF(INDEX($A:$U,ROW(),$D$6)="",0,IF(ISNUMBER(INDEX($A:$U,ROW(),$D$6)),INDEX($A:$U,ROW(),$D$6),IFERROR(--SUBSTITUTE(SUBSTITUTE(TRIM(INDEX($A:$U,ROW(),$D$6)),",",""),"원",""),0))))</f>
        <v/>
      </c>
      <c r="AA363" s="31">
        <f>IF($Y363="","",TRIM(INDEX($A:$U,ROW(),$E$6)&amp;IF($F$6="",""," "&amp;INDEX($A:$U,ROW(),$F$6))))</f>
        <v/>
      </c>
      <c r="AB363" s="31">
        <f>IF($AA363="","",SUBSTITUTE(SUBSTITUTE(SUBSTITUTE(SUBSTITUTE(SUBSTITUTE(SUBSTITUTE(SUBSTITUTE(SUBSTITUTE(SUBSTITUTE($AA363," ",""),"　",""),"(주)",""),"（주）",""),"㈜",""),"주식회사",""),"(유)",""),"（유）",""),"유한회사",""))</f>
        <v/>
      </c>
      <c r="AC363" s="31">
        <f>IF(OR($Y363="",N($Z363)&lt;=0,$AB363=""),0,IFERROR(LOOKUP(2,1/((거래처별!$AC$8:$AC$307&lt;&gt;"")*ISNUMBER(SEARCH(거래처별!$AC$8:$AC$307,$AB363))),거래처별!$A$8:$A$307),IFERROR(LOOKUP(2,1/((거래처별!$AD$8:$AD$307&lt;&gt;"")*ISNUMBER(SEARCH(거래처별!$AD$8:$AD$307,$AB363))),거래처별!$A$8:$A$307),IFERROR(LOOKUP(2,1/((거래처별!$AE$8:$AE$307&lt;&gt;"")*ISNUMBER(SEARCH(거래처별!$AE$8:$AE$307,$AB363))),거래처별!$A$8:$A$307),0))))</f>
        <v/>
      </c>
      <c r="AD363" s="31">
        <f>IF(AND($Y363&lt;&gt;"",N($Z363)&gt;0,$AC363=0),MAX($AD$7:$AD362)+1,"")</f>
        <v/>
      </c>
      <c r="AE363" s="31">
        <f>IF($Y363="",0,$Y363)</f>
        <v/>
      </c>
    </row>
    <row r="364">
      <c r="W364" s="31">
        <f>IF(OR($B$5="",$C$6="",ROW()&lt;$B$5),"",IF(INDEX($A:$U,ROW(),$C$6)="","",INDEX($A:$U,ROW(),$C$6)))</f>
        <v/>
      </c>
      <c r="X364" s="32">
        <f>IF($W364="","",IF(ISNUMBER($W364),IF($W364&gt;=10000000,IFERROR(DATE(INT($W364/10000),MOD(INT($W364/100),100),MOD($W364,100)),""),INT($W364)),IFERROR(DATE(--LEFT(LEFT(SUBSTITUTE(SUBSTITUTE(SUBSTITUTE(SUBSTITUTE(TRIM($W364),"-",""),".",""),"/","")," ",""),8),4),--MID(LEFT(SUBSTITUTE(SUBSTITUTE(SUBSTITUTE(SUBSTITUTE(TRIM($W364),"-",""),".",""),"/","")," ",""),8),5,2),--MID(LEFT(SUBSTITUTE(SUBSTITUTE(SUBSTITUTE(SUBSTITUTE(TRIM($W364),"-",""),".",""),"/","")," ",""),8),7,2)),"")))</f>
        <v/>
      </c>
      <c r="Y364" s="32">
        <f>IF($X364="","",INT($X364))</f>
        <v/>
      </c>
      <c r="Z364" s="33">
        <f>IF(OR($Y364="",$D$6=""),"",IF(INDEX($A:$U,ROW(),$D$6)="",0,IF(ISNUMBER(INDEX($A:$U,ROW(),$D$6)),INDEX($A:$U,ROW(),$D$6),IFERROR(--SUBSTITUTE(SUBSTITUTE(TRIM(INDEX($A:$U,ROW(),$D$6)),",",""),"원",""),0))))</f>
        <v/>
      </c>
      <c r="AA364" s="31">
        <f>IF($Y364="","",TRIM(INDEX($A:$U,ROW(),$E$6)&amp;IF($F$6="",""," "&amp;INDEX($A:$U,ROW(),$F$6))))</f>
        <v/>
      </c>
      <c r="AB364" s="31">
        <f>IF($AA364="","",SUBSTITUTE(SUBSTITUTE(SUBSTITUTE(SUBSTITUTE(SUBSTITUTE(SUBSTITUTE(SUBSTITUTE(SUBSTITUTE(SUBSTITUTE($AA364," ",""),"　",""),"(주)",""),"（주）",""),"㈜",""),"주식회사",""),"(유)",""),"（유）",""),"유한회사",""))</f>
        <v/>
      </c>
      <c r="AC364" s="31">
        <f>IF(OR($Y364="",N($Z364)&lt;=0,$AB364=""),0,IFERROR(LOOKUP(2,1/((거래처별!$AC$8:$AC$307&lt;&gt;"")*ISNUMBER(SEARCH(거래처별!$AC$8:$AC$307,$AB364))),거래처별!$A$8:$A$307),IFERROR(LOOKUP(2,1/((거래처별!$AD$8:$AD$307&lt;&gt;"")*ISNUMBER(SEARCH(거래처별!$AD$8:$AD$307,$AB364))),거래처별!$A$8:$A$307),IFERROR(LOOKUP(2,1/((거래처별!$AE$8:$AE$307&lt;&gt;"")*ISNUMBER(SEARCH(거래처별!$AE$8:$AE$307,$AB364))),거래처별!$A$8:$A$307),0))))</f>
        <v/>
      </c>
      <c r="AD364" s="31">
        <f>IF(AND($Y364&lt;&gt;"",N($Z364)&gt;0,$AC364=0),MAX($AD$7:$AD363)+1,"")</f>
        <v/>
      </c>
      <c r="AE364" s="31">
        <f>IF($Y364="",0,$Y364)</f>
        <v/>
      </c>
    </row>
    <row r="365">
      <c r="W365" s="31">
        <f>IF(OR($B$5="",$C$6="",ROW()&lt;$B$5),"",IF(INDEX($A:$U,ROW(),$C$6)="","",INDEX($A:$U,ROW(),$C$6)))</f>
        <v/>
      </c>
      <c r="X365" s="32">
        <f>IF($W365="","",IF(ISNUMBER($W365),IF($W365&gt;=10000000,IFERROR(DATE(INT($W365/10000),MOD(INT($W365/100),100),MOD($W365,100)),""),INT($W365)),IFERROR(DATE(--LEFT(LEFT(SUBSTITUTE(SUBSTITUTE(SUBSTITUTE(SUBSTITUTE(TRIM($W365),"-",""),".",""),"/","")," ",""),8),4),--MID(LEFT(SUBSTITUTE(SUBSTITUTE(SUBSTITUTE(SUBSTITUTE(TRIM($W365),"-",""),".",""),"/","")," ",""),8),5,2),--MID(LEFT(SUBSTITUTE(SUBSTITUTE(SUBSTITUTE(SUBSTITUTE(TRIM($W365),"-",""),".",""),"/","")," ",""),8),7,2)),"")))</f>
        <v/>
      </c>
      <c r="Y365" s="32">
        <f>IF($X365="","",INT($X365))</f>
        <v/>
      </c>
      <c r="Z365" s="33">
        <f>IF(OR($Y365="",$D$6=""),"",IF(INDEX($A:$U,ROW(),$D$6)="",0,IF(ISNUMBER(INDEX($A:$U,ROW(),$D$6)),INDEX($A:$U,ROW(),$D$6),IFERROR(--SUBSTITUTE(SUBSTITUTE(TRIM(INDEX($A:$U,ROW(),$D$6)),",",""),"원",""),0))))</f>
        <v/>
      </c>
      <c r="AA365" s="31">
        <f>IF($Y365="","",TRIM(INDEX($A:$U,ROW(),$E$6)&amp;IF($F$6="",""," "&amp;INDEX($A:$U,ROW(),$F$6))))</f>
        <v/>
      </c>
      <c r="AB365" s="31">
        <f>IF($AA365="","",SUBSTITUTE(SUBSTITUTE(SUBSTITUTE(SUBSTITUTE(SUBSTITUTE(SUBSTITUTE(SUBSTITUTE(SUBSTITUTE(SUBSTITUTE($AA365," ",""),"　",""),"(주)",""),"（주）",""),"㈜",""),"주식회사",""),"(유)",""),"（유）",""),"유한회사",""))</f>
        <v/>
      </c>
      <c r="AC365" s="31">
        <f>IF(OR($Y365="",N($Z365)&lt;=0,$AB365=""),0,IFERROR(LOOKUP(2,1/((거래처별!$AC$8:$AC$307&lt;&gt;"")*ISNUMBER(SEARCH(거래처별!$AC$8:$AC$307,$AB365))),거래처별!$A$8:$A$307),IFERROR(LOOKUP(2,1/((거래처별!$AD$8:$AD$307&lt;&gt;"")*ISNUMBER(SEARCH(거래처별!$AD$8:$AD$307,$AB365))),거래처별!$A$8:$A$307),IFERROR(LOOKUP(2,1/((거래처별!$AE$8:$AE$307&lt;&gt;"")*ISNUMBER(SEARCH(거래처별!$AE$8:$AE$307,$AB365))),거래처별!$A$8:$A$307),0))))</f>
        <v/>
      </c>
      <c r="AD365" s="31">
        <f>IF(AND($Y365&lt;&gt;"",N($Z365)&gt;0,$AC365=0),MAX($AD$7:$AD364)+1,"")</f>
        <v/>
      </c>
      <c r="AE365" s="31">
        <f>IF($Y365="",0,$Y365)</f>
        <v/>
      </c>
    </row>
    <row r="366">
      <c r="W366" s="31">
        <f>IF(OR($B$5="",$C$6="",ROW()&lt;$B$5),"",IF(INDEX($A:$U,ROW(),$C$6)="","",INDEX($A:$U,ROW(),$C$6)))</f>
        <v/>
      </c>
      <c r="X366" s="32">
        <f>IF($W366="","",IF(ISNUMBER($W366),IF($W366&gt;=10000000,IFERROR(DATE(INT($W366/10000),MOD(INT($W366/100),100),MOD($W366,100)),""),INT($W366)),IFERROR(DATE(--LEFT(LEFT(SUBSTITUTE(SUBSTITUTE(SUBSTITUTE(SUBSTITUTE(TRIM($W366),"-",""),".",""),"/","")," ",""),8),4),--MID(LEFT(SUBSTITUTE(SUBSTITUTE(SUBSTITUTE(SUBSTITUTE(TRIM($W366),"-",""),".",""),"/","")," ",""),8),5,2),--MID(LEFT(SUBSTITUTE(SUBSTITUTE(SUBSTITUTE(SUBSTITUTE(TRIM($W366),"-",""),".",""),"/","")," ",""),8),7,2)),"")))</f>
        <v/>
      </c>
      <c r="Y366" s="32">
        <f>IF($X366="","",INT($X366))</f>
        <v/>
      </c>
      <c r="Z366" s="33">
        <f>IF(OR($Y366="",$D$6=""),"",IF(INDEX($A:$U,ROW(),$D$6)="",0,IF(ISNUMBER(INDEX($A:$U,ROW(),$D$6)),INDEX($A:$U,ROW(),$D$6),IFERROR(--SUBSTITUTE(SUBSTITUTE(TRIM(INDEX($A:$U,ROW(),$D$6)),",",""),"원",""),0))))</f>
        <v/>
      </c>
      <c r="AA366" s="31">
        <f>IF($Y366="","",TRIM(INDEX($A:$U,ROW(),$E$6)&amp;IF($F$6="",""," "&amp;INDEX($A:$U,ROW(),$F$6))))</f>
        <v/>
      </c>
      <c r="AB366" s="31">
        <f>IF($AA366="","",SUBSTITUTE(SUBSTITUTE(SUBSTITUTE(SUBSTITUTE(SUBSTITUTE(SUBSTITUTE(SUBSTITUTE(SUBSTITUTE(SUBSTITUTE($AA366," ",""),"　",""),"(주)",""),"（주）",""),"㈜",""),"주식회사",""),"(유)",""),"（유）",""),"유한회사",""))</f>
        <v/>
      </c>
      <c r="AC366" s="31">
        <f>IF(OR($Y366="",N($Z366)&lt;=0,$AB366=""),0,IFERROR(LOOKUP(2,1/((거래처별!$AC$8:$AC$307&lt;&gt;"")*ISNUMBER(SEARCH(거래처별!$AC$8:$AC$307,$AB366))),거래처별!$A$8:$A$307),IFERROR(LOOKUP(2,1/((거래처별!$AD$8:$AD$307&lt;&gt;"")*ISNUMBER(SEARCH(거래처별!$AD$8:$AD$307,$AB366))),거래처별!$A$8:$A$307),IFERROR(LOOKUP(2,1/((거래처별!$AE$8:$AE$307&lt;&gt;"")*ISNUMBER(SEARCH(거래처별!$AE$8:$AE$307,$AB366))),거래처별!$A$8:$A$307),0))))</f>
        <v/>
      </c>
      <c r="AD366" s="31">
        <f>IF(AND($Y366&lt;&gt;"",N($Z366)&gt;0,$AC366=0),MAX($AD$7:$AD365)+1,"")</f>
        <v/>
      </c>
      <c r="AE366" s="31">
        <f>IF($Y366="",0,$Y366)</f>
        <v/>
      </c>
    </row>
    <row r="367">
      <c r="W367" s="31">
        <f>IF(OR($B$5="",$C$6="",ROW()&lt;$B$5),"",IF(INDEX($A:$U,ROW(),$C$6)="","",INDEX($A:$U,ROW(),$C$6)))</f>
        <v/>
      </c>
      <c r="X367" s="32">
        <f>IF($W367="","",IF(ISNUMBER($W367),IF($W367&gt;=10000000,IFERROR(DATE(INT($W367/10000),MOD(INT($W367/100),100),MOD($W367,100)),""),INT($W367)),IFERROR(DATE(--LEFT(LEFT(SUBSTITUTE(SUBSTITUTE(SUBSTITUTE(SUBSTITUTE(TRIM($W367),"-",""),".",""),"/","")," ",""),8),4),--MID(LEFT(SUBSTITUTE(SUBSTITUTE(SUBSTITUTE(SUBSTITUTE(TRIM($W367),"-",""),".",""),"/","")," ",""),8),5,2),--MID(LEFT(SUBSTITUTE(SUBSTITUTE(SUBSTITUTE(SUBSTITUTE(TRIM($W367),"-",""),".",""),"/","")," ",""),8),7,2)),"")))</f>
        <v/>
      </c>
      <c r="Y367" s="32">
        <f>IF($X367="","",INT($X367))</f>
        <v/>
      </c>
      <c r="Z367" s="33">
        <f>IF(OR($Y367="",$D$6=""),"",IF(INDEX($A:$U,ROW(),$D$6)="",0,IF(ISNUMBER(INDEX($A:$U,ROW(),$D$6)),INDEX($A:$U,ROW(),$D$6),IFERROR(--SUBSTITUTE(SUBSTITUTE(TRIM(INDEX($A:$U,ROW(),$D$6)),",",""),"원",""),0))))</f>
        <v/>
      </c>
      <c r="AA367" s="31">
        <f>IF($Y367="","",TRIM(INDEX($A:$U,ROW(),$E$6)&amp;IF($F$6="",""," "&amp;INDEX($A:$U,ROW(),$F$6))))</f>
        <v/>
      </c>
      <c r="AB367" s="31">
        <f>IF($AA367="","",SUBSTITUTE(SUBSTITUTE(SUBSTITUTE(SUBSTITUTE(SUBSTITUTE(SUBSTITUTE(SUBSTITUTE(SUBSTITUTE(SUBSTITUTE($AA367," ",""),"　",""),"(주)",""),"（주）",""),"㈜",""),"주식회사",""),"(유)",""),"（유）",""),"유한회사",""))</f>
        <v/>
      </c>
      <c r="AC367" s="31">
        <f>IF(OR($Y367="",N($Z367)&lt;=0,$AB367=""),0,IFERROR(LOOKUP(2,1/((거래처별!$AC$8:$AC$307&lt;&gt;"")*ISNUMBER(SEARCH(거래처별!$AC$8:$AC$307,$AB367))),거래처별!$A$8:$A$307),IFERROR(LOOKUP(2,1/((거래처별!$AD$8:$AD$307&lt;&gt;"")*ISNUMBER(SEARCH(거래처별!$AD$8:$AD$307,$AB367))),거래처별!$A$8:$A$307),IFERROR(LOOKUP(2,1/((거래처별!$AE$8:$AE$307&lt;&gt;"")*ISNUMBER(SEARCH(거래처별!$AE$8:$AE$307,$AB367))),거래처별!$A$8:$A$307),0))))</f>
        <v/>
      </c>
      <c r="AD367" s="31">
        <f>IF(AND($Y367&lt;&gt;"",N($Z367)&gt;0,$AC367=0),MAX($AD$7:$AD366)+1,"")</f>
        <v/>
      </c>
      <c r="AE367" s="31">
        <f>IF($Y367="",0,$Y367)</f>
        <v/>
      </c>
    </row>
    <row r="368">
      <c r="W368" s="31">
        <f>IF(OR($B$5="",$C$6="",ROW()&lt;$B$5),"",IF(INDEX($A:$U,ROW(),$C$6)="","",INDEX($A:$U,ROW(),$C$6)))</f>
        <v/>
      </c>
      <c r="X368" s="32">
        <f>IF($W368="","",IF(ISNUMBER($W368),IF($W368&gt;=10000000,IFERROR(DATE(INT($W368/10000),MOD(INT($W368/100),100),MOD($W368,100)),""),INT($W368)),IFERROR(DATE(--LEFT(LEFT(SUBSTITUTE(SUBSTITUTE(SUBSTITUTE(SUBSTITUTE(TRIM($W368),"-",""),".",""),"/","")," ",""),8),4),--MID(LEFT(SUBSTITUTE(SUBSTITUTE(SUBSTITUTE(SUBSTITUTE(TRIM($W368),"-",""),".",""),"/","")," ",""),8),5,2),--MID(LEFT(SUBSTITUTE(SUBSTITUTE(SUBSTITUTE(SUBSTITUTE(TRIM($W368),"-",""),".",""),"/","")," ",""),8),7,2)),"")))</f>
        <v/>
      </c>
      <c r="Y368" s="32">
        <f>IF($X368="","",INT($X368))</f>
        <v/>
      </c>
      <c r="Z368" s="33">
        <f>IF(OR($Y368="",$D$6=""),"",IF(INDEX($A:$U,ROW(),$D$6)="",0,IF(ISNUMBER(INDEX($A:$U,ROW(),$D$6)),INDEX($A:$U,ROW(),$D$6),IFERROR(--SUBSTITUTE(SUBSTITUTE(TRIM(INDEX($A:$U,ROW(),$D$6)),",",""),"원",""),0))))</f>
        <v/>
      </c>
      <c r="AA368" s="31">
        <f>IF($Y368="","",TRIM(INDEX($A:$U,ROW(),$E$6)&amp;IF($F$6="",""," "&amp;INDEX($A:$U,ROW(),$F$6))))</f>
        <v/>
      </c>
      <c r="AB368" s="31">
        <f>IF($AA368="","",SUBSTITUTE(SUBSTITUTE(SUBSTITUTE(SUBSTITUTE(SUBSTITUTE(SUBSTITUTE(SUBSTITUTE(SUBSTITUTE(SUBSTITUTE($AA368," ",""),"　",""),"(주)",""),"（주）",""),"㈜",""),"주식회사",""),"(유)",""),"（유）",""),"유한회사",""))</f>
        <v/>
      </c>
      <c r="AC368" s="31">
        <f>IF(OR($Y368="",N($Z368)&lt;=0,$AB368=""),0,IFERROR(LOOKUP(2,1/((거래처별!$AC$8:$AC$307&lt;&gt;"")*ISNUMBER(SEARCH(거래처별!$AC$8:$AC$307,$AB368))),거래처별!$A$8:$A$307),IFERROR(LOOKUP(2,1/((거래처별!$AD$8:$AD$307&lt;&gt;"")*ISNUMBER(SEARCH(거래처별!$AD$8:$AD$307,$AB368))),거래처별!$A$8:$A$307),IFERROR(LOOKUP(2,1/((거래처별!$AE$8:$AE$307&lt;&gt;"")*ISNUMBER(SEARCH(거래처별!$AE$8:$AE$307,$AB368))),거래처별!$A$8:$A$307),0))))</f>
        <v/>
      </c>
      <c r="AD368" s="31">
        <f>IF(AND($Y368&lt;&gt;"",N($Z368)&gt;0,$AC368=0),MAX($AD$7:$AD367)+1,"")</f>
        <v/>
      </c>
      <c r="AE368" s="31">
        <f>IF($Y368="",0,$Y368)</f>
        <v/>
      </c>
    </row>
    <row r="369">
      <c r="W369" s="31">
        <f>IF(OR($B$5="",$C$6="",ROW()&lt;$B$5),"",IF(INDEX($A:$U,ROW(),$C$6)="","",INDEX($A:$U,ROW(),$C$6)))</f>
        <v/>
      </c>
      <c r="X369" s="32">
        <f>IF($W369="","",IF(ISNUMBER($W369),IF($W369&gt;=10000000,IFERROR(DATE(INT($W369/10000),MOD(INT($W369/100),100),MOD($W369,100)),""),INT($W369)),IFERROR(DATE(--LEFT(LEFT(SUBSTITUTE(SUBSTITUTE(SUBSTITUTE(SUBSTITUTE(TRIM($W369),"-",""),".",""),"/","")," ",""),8),4),--MID(LEFT(SUBSTITUTE(SUBSTITUTE(SUBSTITUTE(SUBSTITUTE(TRIM($W369),"-",""),".",""),"/","")," ",""),8),5,2),--MID(LEFT(SUBSTITUTE(SUBSTITUTE(SUBSTITUTE(SUBSTITUTE(TRIM($W369),"-",""),".",""),"/","")," ",""),8),7,2)),"")))</f>
        <v/>
      </c>
      <c r="Y369" s="32">
        <f>IF($X369="","",INT($X369))</f>
        <v/>
      </c>
      <c r="Z369" s="33">
        <f>IF(OR($Y369="",$D$6=""),"",IF(INDEX($A:$U,ROW(),$D$6)="",0,IF(ISNUMBER(INDEX($A:$U,ROW(),$D$6)),INDEX($A:$U,ROW(),$D$6),IFERROR(--SUBSTITUTE(SUBSTITUTE(TRIM(INDEX($A:$U,ROW(),$D$6)),",",""),"원",""),0))))</f>
        <v/>
      </c>
      <c r="AA369" s="31">
        <f>IF($Y369="","",TRIM(INDEX($A:$U,ROW(),$E$6)&amp;IF($F$6="",""," "&amp;INDEX($A:$U,ROW(),$F$6))))</f>
        <v/>
      </c>
      <c r="AB369" s="31">
        <f>IF($AA369="","",SUBSTITUTE(SUBSTITUTE(SUBSTITUTE(SUBSTITUTE(SUBSTITUTE(SUBSTITUTE(SUBSTITUTE(SUBSTITUTE(SUBSTITUTE($AA369," ",""),"　",""),"(주)",""),"（주）",""),"㈜",""),"주식회사",""),"(유)",""),"（유）",""),"유한회사",""))</f>
        <v/>
      </c>
      <c r="AC369" s="31">
        <f>IF(OR($Y369="",N($Z369)&lt;=0,$AB369=""),0,IFERROR(LOOKUP(2,1/((거래처별!$AC$8:$AC$307&lt;&gt;"")*ISNUMBER(SEARCH(거래처별!$AC$8:$AC$307,$AB369))),거래처별!$A$8:$A$307),IFERROR(LOOKUP(2,1/((거래처별!$AD$8:$AD$307&lt;&gt;"")*ISNUMBER(SEARCH(거래처별!$AD$8:$AD$307,$AB369))),거래처별!$A$8:$A$307),IFERROR(LOOKUP(2,1/((거래처별!$AE$8:$AE$307&lt;&gt;"")*ISNUMBER(SEARCH(거래처별!$AE$8:$AE$307,$AB369))),거래처별!$A$8:$A$307),0))))</f>
        <v/>
      </c>
      <c r="AD369" s="31">
        <f>IF(AND($Y369&lt;&gt;"",N($Z369)&gt;0,$AC369=0),MAX($AD$7:$AD368)+1,"")</f>
        <v/>
      </c>
      <c r="AE369" s="31">
        <f>IF($Y369="",0,$Y369)</f>
        <v/>
      </c>
    </row>
    <row r="370">
      <c r="W370" s="31">
        <f>IF(OR($B$5="",$C$6="",ROW()&lt;$B$5),"",IF(INDEX($A:$U,ROW(),$C$6)="","",INDEX($A:$U,ROW(),$C$6)))</f>
        <v/>
      </c>
      <c r="X370" s="32">
        <f>IF($W370="","",IF(ISNUMBER($W370),IF($W370&gt;=10000000,IFERROR(DATE(INT($W370/10000),MOD(INT($W370/100),100),MOD($W370,100)),""),INT($W370)),IFERROR(DATE(--LEFT(LEFT(SUBSTITUTE(SUBSTITUTE(SUBSTITUTE(SUBSTITUTE(TRIM($W370),"-",""),".",""),"/","")," ",""),8),4),--MID(LEFT(SUBSTITUTE(SUBSTITUTE(SUBSTITUTE(SUBSTITUTE(TRIM($W370),"-",""),".",""),"/","")," ",""),8),5,2),--MID(LEFT(SUBSTITUTE(SUBSTITUTE(SUBSTITUTE(SUBSTITUTE(TRIM($W370),"-",""),".",""),"/","")," ",""),8),7,2)),"")))</f>
        <v/>
      </c>
      <c r="Y370" s="32">
        <f>IF($X370="","",INT($X370))</f>
        <v/>
      </c>
      <c r="Z370" s="33">
        <f>IF(OR($Y370="",$D$6=""),"",IF(INDEX($A:$U,ROW(),$D$6)="",0,IF(ISNUMBER(INDEX($A:$U,ROW(),$D$6)),INDEX($A:$U,ROW(),$D$6),IFERROR(--SUBSTITUTE(SUBSTITUTE(TRIM(INDEX($A:$U,ROW(),$D$6)),",",""),"원",""),0))))</f>
        <v/>
      </c>
      <c r="AA370" s="31">
        <f>IF($Y370="","",TRIM(INDEX($A:$U,ROW(),$E$6)&amp;IF($F$6="",""," "&amp;INDEX($A:$U,ROW(),$F$6))))</f>
        <v/>
      </c>
      <c r="AB370" s="31">
        <f>IF($AA370="","",SUBSTITUTE(SUBSTITUTE(SUBSTITUTE(SUBSTITUTE(SUBSTITUTE(SUBSTITUTE(SUBSTITUTE(SUBSTITUTE(SUBSTITUTE($AA370," ",""),"　",""),"(주)",""),"（주）",""),"㈜",""),"주식회사",""),"(유)",""),"（유）",""),"유한회사",""))</f>
        <v/>
      </c>
      <c r="AC370" s="31">
        <f>IF(OR($Y370="",N($Z370)&lt;=0,$AB370=""),0,IFERROR(LOOKUP(2,1/((거래처별!$AC$8:$AC$307&lt;&gt;"")*ISNUMBER(SEARCH(거래처별!$AC$8:$AC$307,$AB370))),거래처별!$A$8:$A$307),IFERROR(LOOKUP(2,1/((거래처별!$AD$8:$AD$307&lt;&gt;"")*ISNUMBER(SEARCH(거래처별!$AD$8:$AD$307,$AB370))),거래처별!$A$8:$A$307),IFERROR(LOOKUP(2,1/((거래처별!$AE$8:$AE$307&lt;&gt;"")*ISNUMBER(SEARCH(거래처별!$AE$8:$AE$307,$AB370))),거래처별!$A$8:$A$307),0))))</f>
        <v/>
      </c>
      <c r="AD370" s="31">
        <f>IF(AND($Y370&lt;&gt;"",N($Z370)&gt;0,$AC370=0),MAX($AD$7:$AD369)+1,"")</f>
        <v/>
      </c>
      <c r="AE370" s="31">
        <f>IF($Y370="",0,$Y370)</f>
        <v/>
      </c>
    </row>
    <row r="371">
      <c r="W371" s="31">
        <f>IF(OR($B$5="",$C$6="",ROW()&lt;$B$5),"",IF(INDEX($A:$U,ROW(),$C$6)="","",INDEX($A:$U,ROW(),$C$6)))</f>
        <v/>
      </c>
      <c r="X371" s="32">
        <f>IF($W371="","",IF(ISNUMBER($W371),IF($W371&gt;=10000000,IFERROR(DATE(INT($W371/10000),MOD(INT($W371/100),100),MOD($W371,100)),""),INT($W371)),IFERROR(DATE(--LEFT(LEFT(SUBSTITUTE(SUBSTITUTE(SUBSTITUTE(SUBSTITUTE(TRIM($W371),"-",""),".",""),"/","")," ",""),8),4),--MID(LEFT(SUBSTITUTE(SUBSTITUTE(SUBSTITUTE(SUBSTITUTE(TRIM($W371),"-",""),".",""),"/","")," ",""),8),5,2),--MID(LEFT(SUBSTITUTE(SUBSTITUTE(SUBSTITUTE(SUBSTITUTE(TRIM($W371),"-",""),".",""),"/","")," ",""),8),7,2)),"")))</f>
        <v/>
      </c>
      <c r="Y371" s="32">
        <f>IF($X371="","",INT($X371))</f>
        <v/>
      </c>
      <c r="Z371" s="33">
        <f>IF(OR($Y371="",$D$6=""),"",IF(INDEX($A:$U,ROW(),$D$6)="",0,IF(ISNUMBER(INDEX($A:$U,ROW(),$D$6)),INDEX($A:$U,ROW(),$D$6),IFERROR(--SUBSTITUTE(SUBSTITUTE(TRIM(INDEX($A:$U,ROW(),$D$6)),",",""),"원",""),0))))</f>
        <v/>
      </c>
      <c r="AA371" s="31">
        <f>IF($Y371="","",TRIM(INDEX($A:$U,ROW(),$E$6)&amp;IF($F$6="",""," "&amp;INDEX($A:$U,ROW(),$F$6))))</f>
        <v/>
      </c>
      <c r="AB371" s="31">
        <f>IF($AA371="","",SUBSTITUTE(SUBSTITUTE(SUBSTITUTE(SUBSTITUTE(SUBSTITUTE(SUBSTITUTE(SUBSTITUTE(SUBSTITUTE(SUBSTITUTE($AA371," ",""),"　",""),"(주)",""),"（주）",""),"㈜",""),"주식회사",""),"(유)",""),"（유）",""),"유한회사",""))</f>
        <v/>
      </c>
      <c r="AC371" s="31">
        <f>IF(OR($Y371="",N($Z371)&lt;=0,$AB371=""),0,IFERROR(LOOKUP(2,1/((거래처별!$AC$8:$AC$307&lt;&gt;"")*ISNUMBER(SEARCH(거래처별!$AC$8:$AC$307,$AB371))),거래처별!$A$8:$A$307),IFERROR(LOOKUP(2,1/((거래처별!$AD$8:$AD$307&lt;&gt;"")*ISNUMBER(SEARCH(거래처별!$AD$8:$AD$307,$AB371))),거래처별!$A$8:$A$307),IFERROR(LOOKUP(2,1/((거래처별!$AE$8:$AE$307&lt;&gt;"")*ISNUMBER(SEARCH(거래처별!$AE$8:$AE$307,$AB371))),거래처별!$A$8:$A$307),0))))</f>
        <v/>
      </c>
      <c r="AD371" s="31">
        <f>IF(AND($Y371&lt;&gt;"",N($Z371)&gt;0,$AC371=0),MAX($AD$7:$AD370)+1,"")</f>
        <v/>
      </c>
      <c r="AE371" s="31">
        <f>IF($Y371="",0,$Y371)</f>
        <v/>
      </c>
    </row>
    <row r="372">
      <c r="W372" s="31">
        <f>IF(OR($B$5="",$C$6="",ROW()&lt;$B$5),"",IF(INDEX($A:$U,ROW(),$C$6)="","",INDEX($A:$U,ROW(),$C$6)))</f>
        <v/>
      </c>
      <c r="X372" s="32">
        <f>IF($W372="","",IF(ISNUMBER($W372),IF($W372&gt;=10000000,IFERROR(DATE(INT($W372/10000),MOD(INT($W372/100),100),MOD($W372,100)),""),INT($W372)),IFERROR(DATE(--LEFT(LEFT(SUBSTITUTE(SUBSTITUTE(SUBSTITUTE(SUBSTITUTE(TRIM($W372),"-",""),".",""),"/","")," ",""),8),4),--MID(LEFT(SUBSTITUTE(SUBSTITUTE(SUBSTITUTE(SUBSTITUTE(TRIM($W372),"-",""),".",""),"/","")," ",""),8),5,2),--MID(LEFT(SUBSTITUTE(SUBSTITUTE(SUBSTITUTE(SUBSTITUTE(TRIM($W372),"-",""),".",""),"/","")," ",""),8),7,2)),"")))</f>
        <v/>
      </c>
      <c r="Y372" s="32">
        <f>IF($X372="","",INT($X372))</f>
        <v/>
      </c>
      <c r="Z372" s="33">
        <f>IF(OR($Y372="",$D$6=""),"",IF(INDEX($A:$U,ROW(),$D$6)="",0,IF(ISNUMBER(INDEX($A:$U,ROW(),$D$6)),INDEX($A:$U,ROW(),$D$6),IFERROR(--SUBSTITUTE(SUBSTITUTE(TRIM(INDEX($A:$U,ROW(),$D$6)),",",""),"원",""),0))))</f>
        <v/>
      </c>
      <c r="AA372" s="31">
        <f>IF($Y372="","",TRIM(INDEX($A:$U,ROW(),$E$6)&amp;IF($F$6="",""," "&amp;INDEX($A:$U,ROW(),$F$6))))</f>
        <v/>
      </c>
      <c r="AB372" s="31">
        <f>IF($AA372="","",SUBSTITUTE(SUBSTITUTE(SUBSTITUTE(SUBSTITUTE(SUBSTITUTE(SUBSTITUTE(SUBSTITUTE(SUBSTITUTE(SUBSTITUTE($AA372," ",""),"　",""),"(주)",""),"（주）",""),"㈜",""),"주식회사",""),"(유)",""),"（유）",""),"유한회사",""))</f>
        <v/>
      </c>
      <c r="AC372" s="31">
        <f>IF(OR($Y372="",N($Z372)&lt;=0,$AB372=""),0,IFERROR(LOOKUP(2,1/((거래처별!$AC$8:$AC$307&lt;&gt;"")*ISNUMBER(SEARCH(거래처별!$AC$8:$AC$307,$AB372))),거래처별!$A$8:$A$307),IFERROR(LOOKUP(2,1/((거래처별!$AD$8:$AD$307&lt;&gt;"")*ISNUMBER(SEARCH(거래처별!$AD$8:$AD$307,$AB372))),거래처별!$A$8:$A$307),IFERROR(LOOKUP(2,1/((거래처별!$AE$8:$AE$307&lt;&gt;"")*ISNUMBER(SEARCH(거래처별!$AE$8:$AE$307,$AB372))),거래처별!$A$8:$A$307),0))))</f>
        <v/>
      </c>
      <c r="AD372" s="31">
        <f>IF(AND($Y372&lt;&gt;"",N($Z372)&gt;0,$AC372=0),MAX($AD$7:$AD371)+1,"")</f>
        <v/>
      </c>
      <c r="AE372" s="31">
        <f>IF($Y372="",0,$Y372)</f>
        <v/>
      </c>
    </row>
    <row r="373">
      <c r="W373" s="31">
        <f>IF(OR($B$5="",$C$6="",ROW()&lt;$B$5),"",IF(INDEX($A:$U,ROW(),$C$6)="","",INDEX($A:$U,ROW(),$C$6)))</f>
        <v/>
      </c>
      <c r="X373" s="32">
        <f>IF($W373="","",IF(ISNUMBER($W373),IF($W373&gt;=10000000,IFERROR(DATE(INT($W373/10000),MOD(INT($W373/100),100),MOD($W373,100)),""),INT($W373)),IFERROR(DATE(--LEFT(LEFT(SUBSTITUTE(SUBSTITUTE(SUBSTITUTE(SUBSTITUTE(TRIM($W373),"-",""),".",""),"/","")," ",""),8),4),--MID(LEFT(SUBSTITUTE(SUBSTITUTE(SUBSTITUTE(SUBSTITUTE(TRIM($W373),"-",""),".",""),"/","")," ",""),8),5,2),--MID(LEFT(SUBSTITUTE(SUBSTITUTE(SUBSTITUTE(SUBSTITUTE(TRIM($W373),"-",""),".",""),"/","")," ",""),8),7,2)),"")))</f>
        <v/>
      </c>
      <c r="Y373" s="32">
        <f>IF($X373="","",INT($X373))</f>
        <v/>
      </c>
      <c r="Z373" s="33">
        <f>IF(OR($Y373="",$D$6=""),"",IF(INDEX($A:$U,ROW(),$D$6)="",0,IF(ISNUMBER(INDEX($A:$U,ROW(),$D$6)),INDEX($A:$U,ROW(),$D$6),IFERROR(--SUBSTITUTE(SUBSTITUTE(TRIM(INDEX($A:$U,ROW(),$D$6)),",",""),"원",""),0))))</f>
        <v/>
      </c>
      <c r="AA373" s="31">
        <f>IF($Y373="","",TRIM(INDEX($A:$U,ROW(),$E$6)&amp;IF($F$6="",""," "&amp;INDEX($A:$U,ROW(),$F$6))))</f>
        <v/>
      </c>
      <c r="AB373" s="31">
        <f>IF($AA373="","",SUBSTITUTE(SUBSTITUTE(SUBSTITUTE(SUBSTITUTE(SUBSTITUTE(SUBSTITUTE(SUBSTITUTE(SUBSTITUTE(SUBSTITUTE($AA373," ",""),"　",""),"(주)",""),"（주）",""),"㈜",""),"주식회사",""),"(유)",""),"（유）",""),"유한회사",""))</f>
        <v/>
      </c>
      <c r="AC373" s="31">
        <f>IF(OR($Y373="",N($Z373)&lt;=0,$AB373=""),0,IFERROR(LOOKUP(2,1/((거래처별!$AC$8:$AC$307&lt;&gt;"")*ISNUMBER(SEARCH(거래처별!$AC$8:$AC$307,$AB373))),거래처별!$A$8:$A$307),IFERROR(LOOKUP(2,1/((거래처별!$AD$8:$AD$307&lt;&gt;"")*ISNUMBER(SEARCH(거래처별!$AD$8:$AD$307,$AB373))),거래처별!$A$8:$A$307),IFERROR(LOOKUP(2,1/((거래처별!$AE$8:$AE$307&lt;&gt;"")*ISNUMBER(SEARCH(거래처별!$AE$8:$AE$307,$AB373))),거래처별!$A$8:$A$307),0))))</f>
        <v/>
      </c>
      <c r="AD373" s="31">
        <f>IF(AND($Y373&lt;&gt;"",N($Z373)&gt;0,$AC373=0),MAX($AD$7:$AD372)+1,"")</f>
        <v/>
      </c>
      <c r="AE373" s="31">
        <f>IF($Y373="",0,$Y373)</f>
        <v/>
      </c>
    </row>
    <row r="374">
      <c r="W374" s="31">
        <f>IF(OR($B$5="",$C$6="",ROW()&lt;$B$5),"",IF(INDEX($A:$U,ROW(),$C$6)="","",INDEX($A:$U,ROW(),$C$6)))</f>
        <v/>
      </c>
      <c r="X374" s="32">
        <f>IF($W374="","",IF(ISNUMBER($W374),IF($W374&gt;=10000000,IFERROR(DATE(INT($W374/10000),MOD(INT($W374/100),100),MOD($W374,100)),""),INT($W374)),IFERROR(DATE(--LEFT(LEFT(SUBSTITUTE(SUBSTITUTE(SUBSTITUTE(SUBSTITUTE(TRIM($W374),"-",""),".",""),"/","")," ",""),8),4),--MID(LEFT(SUBSTITUTE(SUBSTITUTE(SUBSTITUTE(SUBSTITUTE(TRIM($W374),"-",""),".",""),"/","")," ",""),8),5,2),--MID(LEFT(SUBSTITUTE(SUBSTITUTE(SUBSTITUTE(SUBSTITUTE(TRIM($W374),"-",""),".",""),"/","")," ",""),8),7,2)),"")))</f>
        <v/>
      </c>
      <c r="Y374" s="32">
        <f>IF($X374="","",INT($X374))</f>
        <v/>
      </c>
      <c r="Z374" s="33">
        <f>IF(OR($Y374="",$D$6=""),"",IF(INDEX($A:$U,ROW(),$D$6)="",0,IF(ISNUMBER(INDEX($A:$U,ROW(),$D$6)),INDEX($A:$U,ROW(),$D$6),IFERROR(--SUBSTITUTE(SUBSTITUTE(TRIM(INDEX($A:$U,ROW(),$D$6)),",",""),"원",""),0))))</f>
        <v/>
      </c>
      <c r="AA374" s="31">
        <f>IF($Y374="","",TRIM(INDEX($A:$U,ROW(),$E$6)&amp;IF($F$6="",""," "&amp;INDEX($A:$U,ROW(),$F$6))))</f>
        <v/>
      </c>
      <c r="AB374" s="31">
        <f>IF($AA374="","",SUBSTITUTE(SUBSTITUTE(SUBSTITUTE(SUBSTITUTE(SUBSTITUTE(SUBSTITUTE(SUBSTITUTE(SUBSTITUTE(SUBSTITUTE($AA374," ",""),"　",""),"(주)",""),"（주）",""),"㈜",""),"주식회사",""),"(유)",""),"（유）",""),"유한회사",""))</f>
        <v/>
      </c>
      <c r="AC374" s="31">
        <f>IF(OR($Y374="",N($Z374)&lt;=0,$AB374=""),0,IFERROR(LOOKUP(2,1/((거래처별!$AC$8:$AC$307&lt;&gt;"")*ISNUMBER(SEARCH(거래처별!$AC$8:$AC$307,$AB374))),거래처별!$A$8:$A$307),IFERROR(LOOKUP(2,1/((거래처별!$AD$8:$AD$307&lt;&gt;"")*ISNUMBER(SEARCH(거래처별!$AD$8:$AD$307,$AB374))),거래처별!$A$8:$A$307),IFERROR(LOOKUP(2,1/((거래처별!$AE$8:$AE$307&lt;&gt;"")*ISNUMBER(SEARCH(거래처별!$AE$8:$AE$307,$AB374))),거래처별!$A$8:$A$307),0))))</f>
        <v/>
      </c>
      <c r="AD374" s="31">
        <f>IF(AND($Y374&lt;&gt;"",N($Z374)&gt;0,$AC374=0),MAX($AD$7:$AD373)+1,"")</f>
        <v/>
      </c>
      <c r="AE374" s="31">
        <f>IF($Y374="",0,$Y374)</f>
        <v/>
      </c>
    </row>
    <row r="375">
      <c r="W375" s="31">
        <f>IF(OR($B$5="",$C$6="",ROW()&lt;$B$5),"",IF(INDEX($A:$U,ROW(),$C$6)="","",INDEX($A:$U,ROW(),$C$6)))</f>
        <v/>
      </c>
      <c r="X375" s="32">
        <f>IF($W375="","",IF(ISNUMBER($W375),IF($W375&gt;=10000000,IFERROR(DATE(INT($W375/10000),MOD(INT($W375/100),100),MOD($W375,100)),""),INT($W375)),IFERROR(DATE(--LEFT(LEFT(SUBSTITUTE(SUBSTITUTE(SUBSTITUTE(SUBSTITUTE(TRIM($W375),"-",""),".",""),"/","")," ",""),8),4),--MID(LEFT(SUBSTITUTE(SUBSTITUTE(SUBSTITUTE(SUBSTITUTE(TRIM($W375),"-",""),".",""),"/","")," ",""),8),5,2),--MID(LEFT(SUBSTITUTE(SUBSTITUTE(SUBSTITUTE(SUBSTITUTE(TRIM($W375),"-",""),".",""),"/","")," ",""),8),7,2)),"")))</f>
        <v/>
      </c>
      <c r="Y375" s="32">
        <f>IF($X375="","",INT($X375))</f>
        <v/>
      </c>
      <c r="Z375" s="33">
        <f>IF(OR($Y375="",$D$6=""),"",IF(INDEX($A:$U,ROW(),$D$6)="",0,IF(ISNUMBER(INDEX($A:$U,ROW(),$D$6)),INDEX($A:$U,ROW(),$D$6),IFERROR(--SUBSTITUTE(SUBSTITUTE(TRIM(INDEX($A:$U,ROW(),$D$6)),",",""),"원",""),0))))</f>
        <v/>
      </c>
      <c r="AA375" s="31">
        <f>IF($Y375="","",TRIM(INDEX($A:$U,ROW(),$E$6)&amp;IF($F$6="",""," "&amp;INDEX($A:$U,ROW(),$F$6))))</f>
        <v/>
      </c>
      <c r="AB375" s="31">
        <f>IF($AA375="","",SUBSTITUTE(SUBSTITUTE(SUBSTITUTE(SUBSTITUTE(SUBSTITUTE(SUBSTITUTE(SUBSTITUTE(SUBSTITUTE(SUBSTITUTE($AA375," ",""),"　",""),"(주)",""),"（주）",""),"㈜",""),"주식회사",""),"(유)",""),"（유）",""),"유한회사",""))</f>
        <v/>
      </c>
      <c r="AC375" s="31">
        <f>IF(OR($Y375="",N($Z375)&lt;=0,$AB375=""),0,IFERROR(LOOKUP(2,1/((거래처별!$AC$8:$AC$307&lt;&gt;"")*ISNUMBER(SEARCH(거래처별!$AC$8:$AC$307,$AB375))),거래처별!$A$8:$A$307),IFERROR(LOOKUP(2,1/((거래처별!$AD$8:$AD$307&lt;&gt;"")*ISNUMBER(SEARCH(거래처별!$AD$8:$AD$307,$AB375))),거래처별!$A$8:$A$307),IFERROR(LOOKUP(2,1/((거래처별!$AE$8:$AE$307&lt;&gt;"")*ISNUMBER(SEARCH(거래처별!$AE$8:$AE$307,$AB375))),거래처별!$A$8:$A$307),0))))</f>
        <v/>
      </c>
      <c r="AD375" s="31">
        <f>IF(AND($Y375&lt;&gt;"",N($Z375)&gt;0,$AC375=0),MAX($AD$7:$AD374)+1,"")</f>
        <v/>
      </c>
      <c r="AE375" s="31">
        <f>IF($Y375="",0,$Y375)</f>
        <v/>
      </c>
    </row>
    <row r="376">
      <c r="W376" s="31">
        <f>IF(OR($B$5="",$C$6="",ROW()&lt;$B$5),"",IF(INDEX($A:$U,ROW(),$C$6)="","",INDEX($A:$U,ROW(),$C$6)))</f>
        <v/>
      </c>
      <c r="X376" s="32">
        <f>IF($W376="","",IF(ISNUMBER($W376),IF($W376&gt;=10000000,IFERROR(DATE(INT($W376/10000),MOD(INT($W376/100),100),MOD($W376,100)),""),INT($W376)),IFERROR(DATE(--LEFT(LEFT(SUBSTITUTE(SUBSTITUTE(SUBSTITUTE(SUBSTITUTE(TRIM($W376),"-",""),".",""),"/","")," ",""),8),4),--MID(LEFT(SUBSTITUTE(SUBSTITUTE(SUBSTITUTE(SUBSTITUTE(TRIM($W376),"-",""),".",""),"/","")," ",""),8),5,2),--MID(LEFT(SUBSTITUTE(SUBSTITUTE(SUBSTITUTE(SUBSTITUTE(TRIM($W376),"-",""),".",""),"/","")," ",""),8),7,2)),"")))</f>
        <v/>
      </c>
      <c r="Y376" s="32">
        <f>IF($X376="","",INT($X376))</f>
        <v/>
      </c>
      <c r="Z376" s="33">
        <f>IF(OR($Y376="",$D$6=""),"",IF(INDEX($A:$U,ROW(),$D$6)="",0,IF(ISNUMBER(INDEX($A:$U,ROW(),$D$6)),INDEX($A:$U,ROW(),$D$6),IFERROR(--SUBSTITUTE(SUBSTITUTE(TRIM(INDEX($A:$U,ROW(),$D$6)),",",""),"원",""),0))))</f>
        <v/>
      </c>
      <c r="AA376" s="31">
        <f>IF($Y376="","",TRIM(INDEX($A:$U,ROW(),$E$6)&amp;IF($F$6="",""," "&amp;INDEX($A:$U,ROW(),$F$6))))</f>
        <v/>
      </c>
      <c r="AB376" s="31">
        <f>IF($AA376="","",SUBSTITUTE(SUBSTITUTE(SUBSTITUTE(SUBSTITUTE(SUBSTITUTE(SUBSTITUTE(SUBSTITUTE(SUBSTITUTE(SUBSTITUTE($AA376," ",""),"　",""),"(주)",""),"（주）",""),"㈜",""),"주식회사",""),"(유)",""),"（유）",""),"유한회사",""))</f>
        <v/>
      </c>
      <c r="AC376" s="31">
        <f>IF(OR($Y376="",N($Z376)&lt;=0,$AB376=""),0,IFERROR(LOOKUP(2,1/((거래처별!$AC$8:$AC$307&lt;&gt;"")*ISNUMBER(SEARCH(거래처별!$AC$8:$AC$307,$AB376))),거래처별!$A$8:$A$307),IFERROR(LOOKUP(2,1/((거래처별!$AD$8:$AD$307&lt;&gt;"")*ISNUMBER(SEARCH(거래처별!$AD$8:$AD$307,$AB376))),거래처별!$A$8:$A$307),IFERROR(LOOKUP(2,1/((거래처별!$AE$8:$AE$307&lt;&gt;"")*ISNUMBER(SEARCH(거래처별!$AE$8:$AE$307,$AB376))),거래처별!$A$8:$A$307),0))))</f>
        <v/>
      </c>
      <c r="AD376" s="31">
        <f>IF(AND($Y376&lt;&gt;"",N($Z376)&gt;0,$AC376=0),MAX($AD$7:$AD375)+1,"")</f>
        <v/>
      </c>
      <c r="AE376" s="31">
        <f>IF($Y376="",0,$Y376)</f>
        <v/>
      </c>
    </row>
    <row r="377">
      <c r="W377" s="31">
        <f>IF(OR($B$5="",$C$6="",ROW()&lt;$B$5),"",IF(INDEX($A:$U,ROW(),$C$6)="","",INDEX($A:$U,ROW(),$C$6)))</f>
        <v/>
      </c>
      <c r="X377" s="32">
        <f>IF($W377="","",IF(ISNUMBER($W377),IF($W377&gt;=10000000,IFERROR(DATE(INT($W377/10000),MOD(INT($W377/100),100),MOD($W377,100)),""),INT($W377)),IFERROR(DATE(--LEFT(LEFT(SUBSTITUTE(SUBSTITUTE(SUBSTITUTE(SUBSTITUTE(TRIM($W377),"-",""),".",""),"/","")," ",""),8),4),--MID(LEFT(SUBSTITUTE(SUBSTITUTE(SUBSTITUTE(SUBSTITUTE(TRIM($W377),"-",""),".",""),"/","")," ",""),8),5,2),--MID(LEFT(SUBSTITUTE(SUBSTITUTE(SUBSTITUTE(SUBSTITUTE(TRIM($W377),"-",""),".",""),"/","")," ",""),8),7,2)),"")))</f>
        <v/>
      </c>
      <c r="Y377" s="32">
        <f>IF($X377="","",INT($X377))</f>
        <v/>
      </c>
      <c r="Z377" s="33">
        <f>IF(OR($Y377="",$D$6=""),"",IF(INDEX($A:$U,ROW(),$D$6)="",0,IF(ISNUMBER(INDEX($A:$U,ROW(),$D$6)),INDEX($A:$U,ROW(),$D$6),IFERROR(--SUBSTITUTE(SUBSTITUTE(TRIM(INDEX($A:$U,ROW(),$D$6)),",",""),"원",""),0))))</f>
        <v/>
      </c>
      <c r="AA377" s="31">
        <f>IF($Y377="","",TRIM(INDEX($A:$U,ROW(),$E$6)&amp;IF($F$6="",""," "&amp;INDEX($A:$U,ROW(),$F$6))))</f>
        <v/>
      </c>
      <c r="AB377" s="31">
        <f>IF($AA377="","",SUBSTITUTE(SUBSTITUTE(SUBSTITUTE(SUBSTITUTE(SUBSTITUTE(SUBSTITUTE(SUBSTITUTE(SUBSTITUTE(SUBSTITUTE($AA377," ",""),"　",""),"(주)",""),"（주）",""),"㈜",""),"주식회사",""),"(유)",""),"（유）",""),"유한회사",""))</f>
        <v/>
      </c>
      <c r="AC377" s="31">
        <f>IF(OR($Y377="",N($Z377)&lt;=0,$AB377=""),0,IFERROR(LOOKUP(2,1/((거래처별!$AC$8:$AC$307&lt;&gt;"")*ISNUMBER(SEARCH(거래처별!$AC$8:$AC$307,$AB377))),거래처별!$A$8:$A$307),IFERROR(LOOKUP(2,1/((거래처별!$AD$8:$AD$307&lt;&gt;"")*ISNUMBER(SEARCH(거래처별!$AD$8:$AD$307,$AB377))),거래처별!$A$8:$A$307),IFERROR(LOOKUP(2,1/((거래처별!$AE$8:$AE$307&lt;&gt;"")*ISNUMBER(SEARCH(거래처별!$AE$8:$AE$307,$AB377))),거래처별!$A$8:$A$307),0))))</f>
        <v/>
      </c>
      <c r="AD377" s="31">
        <f>IF(AND($Y377&lt;&gt;"",N($Z377)&gt;0,$AC377=0),MAX($AD$7:$AD376)+1,"")</f>
        <v/>
      </c>
      <c r="AE377" s="31">
        <f>IF($Y377="",0,$Y377)</f>
        <v/>
      </c>
    </row>
    <row r="378">
      <c r="W378" s="31">
        <f>IF(OR($B$5="",$C$6="",ROW()&lt;$B$5),"",IF(INDEX($A:$U,ROW(),$C$6)="","",INDEX($A:$U,ROW(),$C$6)))</f>
        <v/>
      </c>
      <c r="X378" s="32">
        <f>IF($W378="","",IF(ISNUMBER($W378),IF($W378&gt;=10000000,IFERROR(DATE(INT($W378/10000),MOD(INT($W378/100),100),MOD($W378,100)),""),INT($W378)),IFERROR(DATE(--LEFT(LEFT(SUBSTITUTE(SUBSTITUTE(SUBSTITUTE(SUBSTITUTE(TRIM($W378),"-",""),".",""),"/","")," ",""),8),4),--MID(LEFT(SUBSTITUTE(SUBSTITUTE(SUBSTITUTE(SUBSTITUTE(TRIM($W378),"-",""),".",""),"/","")," ",""),8),5,2),--MID(LEFT(SUBSTITUTE(SUBSTITUTE(SUBSTITUTE(SUBSTITUTE(TRIM($W378),"-",""),".",""),"/","")," ",""),8),7,2)),"")))</f>
        <v/>
      </c>
      <c r="Y378" s="32">
        <f>IF($X378="","",INT($X378))</f>
        <v/>
      </c>
      <c r="Z378" s="33">
        <f>IF(OR($Y378="",$D$6=""),"",IF(INDEX($A:$U,ROW(),$D$6)="",0,IF(ISNUMBER(INDEX($A:$U,ROW(),$D$6)),INDEX($A:$U,ROW(),$D$6),IFERROR(--SUBSTITUTE(SUBSTITUTE(TRIM(INDEX($A:$U,ROW(),$D$6)),",",""),"원",""),0))))</f>
        <v/>
      </c>
      <c r="AA378" s="31">
        <f>IF($Y378="","",TRIM(INDEX($A:$U,ROW(),$E$6)&amp;IF($F$6="",""," "&amp;INDEX($A:$U,ROW(),$F$6))))</f>
        <v/>
      </c>
      <c r="AB378" s="31">
        <f>IF($AA378="","",SUBSTITUTE(SUBSTITUTE(SUBSTITUTE(SUBSTITUTE(SUBSTITUTE(SUBSTITUTE(SUBSTITUTE(SUBSTITUTE(SUBSTITUTE($AA378," ",""),"　",""),"(주)",""),"（주）",""),"㈜",""),"주식회사",""),"(유)",""),"（유）",""),"유한회사",""))</f>
        <v/>
      </c>
      <c r="AC378" s="31">
        <f>IF(OR($Y378="",N($Z378)&lt;=0,$AB378=""),0,IFERROR(LOOKUP(2,1/((거래처별!$AC$8:$AC$307&lt;&gt;"")*ISNUMBER(SEARCH(거래처별!$AC$8:$AC$307,$AB378))),거래처별!$A$8:$A$307),IFERROR(LOOKUP(2,1/((거래처별!$AD$8:$AD$307&lt;&gt;"")*ISNUMBER(SEARCH(거래처별!$AD$8:$AD$307,$AB378))),거래처별!$A$8:$A$307),IFERROR(LOOKUP(2,1/((거래처별!$AE$8:$AE$307&lt;&gt;"")*ISNUMBER(SEARCH(거래처별!$AE$8:$AE$307,$AB378))),거래처별!$A$8:$A$307),0))))</f>
        <v/>
      </c>
      <c r="AD378" s="31">
        <f>IF(AND($Y378&lt;&gt;"",N($Z378)&gt;0,$AC378=0),MAX($AD$7:$AD377)+1,"")</f>
        <v/>
      </c>
      <c r="AE378" s="31">
        <f>IF($Y378="",0,$Y378)</f>
        <v/>
      </c>
    </row>
    <row r="379">
      <c r="W379" s="31">
        <f>IF(OR($B$5="",$C$6="",ROW()&lt;$B$5),"",IF(INDEX($A:$U,ROW(),$C$6)="","",INDEX($A:$U,ROW(),$C$6)))</f>
        <v/>
      </c>
      <c r="X379" s="32">
        <f>IF($W379="","",IF(ISNUMBER($W379),IF($W379&gt;=10000000,IFERROR(DATE(INT($W379/10000),MOD(INT($W379/100),100),MOD($W379,100)),""),INT($W379)),IFERROR(DATE(--LEFT(LEFT(SUBSTITUTE(SUBSTITUTE(SUBSTITUTE(SUBSTITUTE(TRIM($W379),"-",""),".",""),"/","")," ",""),8),4),--MID(LEFT(SUBSTITUTE(SUBSTITUTE(SUBSTITUTE(SUBSTITUTE(TRIM($W379),"-",""),".",""),"/","")," ",""),8),5,2),--MID(LEFT(SUBSTITUTE(SUBSTITUTE(SUBSTITUTE(SUBSTITUTE(TRIM($W379),"-",""),".",""),"/","")," ",""),8),7,2)),"")))</f>
        <v/>
      </c>
      <c r="Y379" s="32">
        <f>IF($X379="","",INT($X379))</f>
        <v/>
      </c>
      <c r="Z379" s="33">
        <f>IF(OR($Y379="",$D$6=""),"",IF(INDEX($A:$U,ROW(),$D$6)="",0,IF(ISNUMBER(INDEX($A:$U,ROW(),$D$6)),INDEX($A:$U,ROW(),$D$6),IFERROR(--SUBSTITUTE(SUBSTITUTE(TRIM(INDEX($A:$U,ROW(),$D$6)),",",""),"원",""),0))))</f>
        <v/>
      </c>
      <c r="AA379" s="31">
        <f>IF($Y379="","",TRIM(INDEX($A:$U,ROW(),$E$6)&amp;IF($F$6="",""," "&amp;INDEX($A:$U,ROW(),$F$6))))</f>
        <v/>
      </c>
      <c r="AB379" s="31">
        <f>IF($AA379="","",SUBSTITUTE(SUBSTITUTE(SUBSTITUTE(SUBSTITUTE(SUBSTITUTE(SUBSTITUTE(SUBSTITUTE(SUBSTITUTE(SUBSTITUTE($AA379," ",""),"　",""),"(주)",""),"（주）",""),"㈜",""),"주식회사",""),"(유)",""),"（유）",""),"유한회사",""))</f>
        <v/>
      </c>
      <c r="AC379" s="31">
        <f>IF(OR($Y379="",N($Z379)&lt;=0,$AB379=""),0,IFERROR(LOOKUP(2,1/((거래처별!$AC$8:$AC$307&lt;&gt;"")*ISNUMBER(SEARCH(거래처별!$AC$8:$AC$307,$AB379))),거래처별!$A$8:$A$307),IFERROR(LOOKUP(2,1/((거래처별!$AD$8:$AD$307&lt;&gt;"")*ISNUMBER(SEARCH(거래처별!$AD$8:$AD$307,$AB379))),거래처별!$A$8:$A$307),IFERROR(LOOKUP(2,1/((거래처별!$AE$8:$AE$307&lt;&gt;"")*ISNUMBER(SEARCH(거래처별!$AE$8:$AE$307,$AB379))),거래처별!$A$8:$A$307),0))))</f>
        <v/>
      </c>
      <c r="AD379" s="31">
        <f>IF(AND($Y379&lt;&gt;"",N($Z379)&gt;0,$AC379=0),MAX($AD$7:$AD378)+1,"")</f>
        <v/>
      </c>
      <c r="AE379" s="31">
        <f>IF($Y379="",0,$Y379)</f>
        <v/>
      </c>
    </row>
    <row r="380">
      <c r="W380" s="31">
        <f>IF(OR($B$5="",$C$6="",ROW()&lt;$B$5),"",IF(INDEX($A:$U,ROW(),$C$6)="","",INDEX($A:$U,ROW(),$C$6)))</f>
        <v/>
      </c>
      <c r="X380" s="32">
        <f>IF($W380="","",IF(ISNUMBER($W380),IF($W380&gt;=10000000,IFERROR(DATE(INT($W380/10000),MOD(INT($W380/100),100),MOD($W380,100)),""),INT($W380)),IFERROR(DATE(--LEFT(LEFT(SUBSTITUTE(SUBSTITUTE(SUBSTITUTE(SUBSTITUTE(TRIM($W380),"-",""),".",""),"/","")," ",""),8),4),--MID(LEFT(SUBSTITUTE(SUBSTITUTE(SUBSTITUTE(SUBSTITUTE(TRIM($W380),"-",""),".",""),"/","")," ",""),8),5,2),--MID(LEFT(SUBSTITUTE(SUBSTITUTE(SUBSTITUTE(SUBSTITUTE(TRIM($W380),"-",""),".",""),"/","")," ",""),8),7,2)),"")))</f>
        <v/>
      </c>
      <c r="Y380" s="32">
        <f>IF($X380="","",INT($X380))</f>
        <v/>
      </c>
      <c r="Z380" s="33">
        <f>IF(OR($Y380="",$D$6=""),"",IF(INDEX($A:$U,ROW(),$D$6)="",0,IF(ISNUMBER(INDEX($A:$U,ROW(),$D$6)),INDEX($A:$U,ROW(),$D$6),IFERROR(--SUBSTITUTE(SUBSTITUTE(TRIM(INDEX($A:$U,ROW(),$D$6)),",",""),"원",""),0))))</f>
        <v/>
      </c>
      <c r="AA380" s="31">
        <f>IF($Y380="","",TRIM(INDEX($A:$U,ROW(),$E$6)&amp;IF($F$6="",""," "&amp;INDEX($A:$U,ROW(),$F$6))))</f>
        <v/>
      </c>
      <c r="AB380" s="31">
        <f>IF($AA380="","",SUBSTITUTE(SUBSTITUTE(SUBSTITUTE(SUBSTITUTE(SUBSTITUTE(SUBSTITUTE(SUBSTITUTE(SUBSTITUTE(SUBSTITUTE($AA380," ",""),"　",""),"(주)",""),"（주）",""),"㈜",""),"주식회사",""),"(유)",""),"（유）",""),"유한회사",""))</f>
        <v/>
      </c>
      <c r="AC380" s="31">
        <f>IF(OR($Y380="",N($Z380)&lt;=0,$AB380=""),0,IFERROR(LOOKUP(2,1/((거래처별!$AC$8:$AC$307&lt;&gt;"")*ISNUMBER(SEARCH(거래처별!$AC$8:$AC$307,$AB380))),거래처별!$A$8:$A$307),IFERROR(LOOKUP(2,1/((거래처별!$AD$8:$AD$307&lt;&gt;"")*ISNUMBER(SEARCH(거래처별!$AD$8:$AD$307,$AB380))),거래처별!$A$8:$A$307),IFERROR(LOOKUP(2,1/((거래처별!$AE$8:$AE$307&lt;&gt;"")*ISNUMBER(SEARCH(거래처별!$AE$8:$AE$307,$AB380))),거래처별!$A$8:$A$307),0))))</f>
        <v/>
      </c>
      <c r="AD380" s="31">
        <f>IF(AND($Y380&lt;&gt;"",N($Z380)&gt;0,$AC380=0),MAX($AD$7:$AD379)+1,"")</f>
        <v/>
      </c>
      <c r="AE380" s="31">
        <f>IF($Y380="",0,$Y380)</f>
        <v/>
      </c>
    </row>
    <row r="381">
      <c r="W381" s="31">
        <f>IF(OR($B$5="",$C$6="",ROW()&lt;$B$5),"",IF(INDEX($A:$U,ROW(),$C$6)="","",INDEX($A:$U,ROW(),$C$6)))</f>
        <v/>
      </c>
      <c r="X381" s="32">
        <f>IF($W381="","",IF(ISNUMBER($W381),IF($W381&gt;=10000000,IFERROR(DATE(INT($W381/10000),MOD(INT($W381/100),100),MOD($W381,100)),""),INT($W381)),IFERROR(DATE(--LEFT(LEFT(SUBSTITUTE(SUBSTITUTE(SUBSTITUTE(SUBSTITUTE(TRIM($W381),"-",""),".",""),"/","")," ",""),8),4),--MID(LEFT(SUBSTITUTE(SUBSTITUTE(SUBSTITUTE(SUBSTITUTE(TRIM($W381),"-",""),".",""),"/","")," ",""),8),5,2),--MID(LEFT(SUBSTITUTE(SUBSTITUTE(SUBSTITUTE(SUBSTITUTE(TRIM($W381),"-",""),".",""),"/","")," ",""),8),7,2)),"")))</f>
        <v/>
      </c>
      <c r="Y381" s="32">
        <f>IF($X381="","",INT($X381))</f>
        <v/>
      </c>
      <c r="Z381" s="33">
        <f>IF(OR($Y381="",$D$6=""),"",IF(INDEX($A:$U,ROW(),$D$6)="",0,IF(ISNUMBER(INDEX($A:$U,ROW(),$D$6)),INDEX($A:$U,ROW(),$D$6),IFERROR(--SUBSTITUTE(SUBSTITUTE(TRIM(INDEX($A:$U,ROW(),$D$6)),",",""),"원",""),0))))</f>
        <v/>
      </c>
      <c r="AA381" s="31">
        <f>IF($Y381="","",TRIM(INDEX($A:$U,ROW(),$E$6)&amp;IF($F$6="",""," "&amp;INDEX($A:$U,ROW(),$F$6))))</f>
        <v/>
      </c>
      <c r="AB381" s="31">
        <f>IF($AA381="","",SUBSTITUTE(SUBSTITUTE(SUBSTITUTE(SUBSTITUTE(SUBSTITUTE(SUBSTITUTE(SUBSTITUTE(SUBSTITUTE(SUBSTITUTE($AA381," ",""),"　",""),"(주)",""),"（주）",""),"㈜",""),"주식회사",""),"(유)",""),"（유）",""),"유한회사",""))</f>
        <v/>
      </c>
      <c r="AC381" s="31">
        <f>IF(OR($Y381="",N($Z381)&lt;=0,$AB381=""),0,IFERROR(LOOKUP(2,1/((거래처별!$AC$8:$AC$307&lt;&gt;"")*ISNUMBER(SEARCH(거래처별!$AC$8:$AC$307,$AB381))),거래처별!$A$8:$A$307),IFERROR(LOOKUP(2,1/((거래처별!$AD$8:$AD$307&lt;&gt;"")*ISNUMBER(SEARCH(거래처별!$AD$8:$AD$307,$AB381))),거래처별!$A$8:$A$307),IFERROR(LOOKUP(2,1/((거래처별!$AE$8:$AE$307&lt;&gt;"")*ISNUMBER(SEARCH(거래처별!$AE$8:$AE$307,$AB381))),거래처별!$A$8:$A$307),0))))</f>
        <v/>
      </c>
      <c r="AD381" s="31">
        <f>IF(AND($Y381&lt;&gt;"",N($Z381)&gt;0,$AC381=0),MAX($AD$7:$AD380)+1,"")</f>
        <v/>
      </c>
      <c r="AE381" s="31">
        <f>IF($Y381="",0,$Y381)</f>
        <v/>
      </c>
    </row>
    <row r="382">
      <c r="W382" s="31">
        <f>IF(OR($B$5="",$C$6="",ROW()&lt;$B$5),"",IF(INDEX($A:$U,ROW(),$C$6)="","",INDEX($A:$U,ROW(),$C$6)))</f>
        <v/>
      </c>
      <c r="X382" s="32">
        <f>IF($W382="","",IF(ISNUMBER($W382),IF($W382&gt;=10000000,IFERROR(DATE(INT($W382/10000),MOD(INT($W382/100),100),MOD($W382,100)),""),INT($W382)),IFERROR(DATE(--LEFT(LEFT(SUBSTITUTE(SUBSTITUTE(SUBSTITUTE(SUBSTITUTE(TRIM($W382),"-",""),".",""),"/","")," ",""),8),4),--MID(LEFT(SUBSTITUTE(SUBSTITUTE(SUBSTITUTE(SUBSTITUTE(TRIM($W382),"-",""),".",""),"/","")," ",""),8),5,2),--MID(LEFT(SUBSTITUTE(SUBSTITUTE(SUBSTITUTE(SUBSTITUTE(TRIM($W382),"-",""),".",""),"/","")," ",""),8),7,2)),"")))</f>
        <v/>
      </c>
      <c r="Y382" s="32">
        <f>IF($X382="","",INT($X382))</f>
        <v/>
      </c>
      <c r="Z382" s="33">
        <f>IF(OR($Y382="",$D$6=""),"",IF(INDEX($A:$U,ROW(),$D$6)="",0,IF(ISNUMBER(INDEX($A:$U,ROW(),$D$6)),INDEX($A:$U,ROW(),$D$6),IFERROR(--SUBSTITUTE(SUBSTITUTE(TRIM(INDEX($A:$U,ROW(),$D$6)),",",""),"원",""),0))))</f>
        <v/>
      </c>
      <c r="AA382" s="31">
        <f>IF($Y382="","",TRIM(INDEX($A:$U,ROW(),$E$6)&amp;IF($F$6="",""," "&amp;INDEX($A:$U,ROW(),$F$6))))</f>
        <v/>
      </c>
      <c r="AB382" s="31">
        <f>IF($AA382="","",SUBSTITUTE(SUBSTITUTE(SUBSTITUTE(SUBSTITUTE(SUBSTITUTE(SUBSTITUTE(SUBSTITUTE(SUBSTITUTE(SUBSTITUTE($AA382," ",""),"　",""),"(주)",""),"（주）",""),"㈜",""),"주식회사",""),"(유)",""),"（유）",""),"유한회사",""))</f>
        <v/>
      </c>
      <c r="AC382" s="31">
        <f>IF(OR($Y382="",N($Z382)&lt;=0,$AB382=""),0,IFERROR(LOOKUP(2,1/((거래처별!$AC$8:$AC$307&lt;&gt;"")*ISNUMBER(SEARCH(거래처별!$AC$8:$AC$307,$AB382))),거래처별!$A$8:$A$307),IFERROR(LOOKUP(2,1/((거래처별!$AD$8:$AD$307&lt;&gt;"")*ISNUMBER(SEARCH(거래처별!$AD$8:$AD$307,$AB382))),거래처별!$A$8:$A$307),IFERROR(LOOKUP(2,1/((거래처별!$AE$8:$AE$307&lt;&gt;"")*ISNUMBER(SEARCH(거래처별!$AE$8:$AE$307,$AB382))),거래처별!$A$8:$A$307),0))))</f>
        <v/>
      </c>
      <c r="AD382" s="31">
        <f>IF(AND($Y382&lt;&gt;"",N($Z382)&gt;0,$AC382=0),MAX($AD$7:$AD381)+1,"")</f>
        <v/>
      </c>
      <c r="AE382" s="31">
        <f>IF($Y382="",0,$Y382)</f>
        <v/>
      </c>
    </row>
    <row r="383">
      <c r="W383" s="31">
        <f>IF(OR($B$5="",$C$6="",ROW()&lt;$B$5),"",IF(INDEX($A:$U,ROW(),$C$6)="","",INDEX($A:$U,ROW(),$C$6)))</f>
        <v/>
      </c>
      <c r="X383" s="32">
        <f>IF($W383="","",IF(ISNUMBER($W383),IF($W383&gt;=10000000,IFERROR(DATE(INT($W383/10000),MOD(INT($W383/100),100),MOD($W383,100)),""),INT($W383)),IFERROR(DATE(--LEFT(LEFT(SUBSTITUTE(SUBSTITUTE(SUBSTITUTE(SUBSTITUTE(TRIM($W383),"-",""),".",""),"/","")," ",""),8),4),--MID(LEFT(SUBSTITUTE(SUBSTITUTE(SUBSTITUTE(SUBSTITUTE(TRIM($W383),"-",""),".",""),"/","")," ",""),8),5,2),--MID(LEFT(SUBSTITUTE(SUBSTITUTE(SUBSTITUTE(SUBSTITUTE(TRIM($W383),"-",""),".",""),"/","")," ",""),8),7,2)),"")))</f>
        <v/>
      </c>
      <c r="Y383" s="32">
        <f>IF($X383="","",INT($X383))</f>
        <v/>
      </c>
      <c r="Z383" s="33">
        <f>IF(OR($Y383="",$D$6=""),"",IF(INDEX($A:$U,ROW(),$D$6)="",0,IF(ISNUMBER(INDEX($A:$U,ROW(),$D$6)),INDEX($A:$U,ROW(),$D$6),IFERROR(--SUBSTITUTE(SUBSTITUTE(TRIM(INDEX($A:$U,ROW(),$D$6)),",",""),"원",""),0))))</f>
        <v/>
      </c>
      <c r="AA383" s="31">
        <f>IF($Y383="","",TRIM(INDEX($A:$U,ROW(),$E$6)&amp;IF($F$6="",""," "&amp;INDEX($A:$U,ROW(),$F$6))))</f>
        <v/>
      </c>
      <c r="AB383" s="31">
        <f>IF($AA383="","",SUBSTITUTE(SUBSTITUTE(SUBSTITUTE(SUBSTITUTE(SUBSTITUTE(SUBSTITUTE(SUBSTITUTE(SUBSTITUTE(SUBSTITUTE($AA383," ",""),"　",""),"(주)",""),"（주）",""),"㈜",""),"주식회사",""),"(유)",""),"（유）",""),"유한회사",""))</f>
        <v/>
      </c>
      <c r="AC383" s="31">
        <f>IF(OR($Y383="",N($Z383)&lt;=0,$AB383=""),0,IFERROR(LOOKUP(2,1/((거래처별!$AC$8:$AC$307&lt;&gt;"")*ISNUMBER(SEARCH(거래처별!$AC$8:$AC$307,$AB383))),거래처별!$A$8:$A$307),IFERROR(LOOKUP(2,1/((거래처별!$AD$8:$AD$307&lt;&gt;"")*ISNUMBER(SEARCH(거래처별!$AD$8:$AD$307,$AB383))),거래처별!$A$8:$A$307),IFERROR(LOOKUP(2,1/((거래처별!$AE$8:$AE$307&lt;&gt;"")*ISNUMBER(SEARCH(거래처별!$AE$8:$AE$307,$AB383))),거래처별!$A$8:$A$307),0))))</f>
        <v/>
      </c>
      <c r="AD383" s="31">
        <f>IF(AND($Y383&lt;&gt;"",N($Z383)&gt;0,$AC383=0),MAX($AD$7:$AD382)+1,"")</f>
        <v/>
      </c>
      <c r="AE383" s="31">
        <f>IF($Y383="",0,$Y383)</f>
        <v/>
      </c>
    </row>
    <row r="384">
      <c r="W384" s="31">
        <f>IF(OR($B$5="",$C$6="",ROW()&lt;$B$5),"",IF(INDEX($A:$U,ROW(),$C$6)="","",INDEX($A:$U,ROW(),$C$6)))</f>
        <v/>
      </c>
      <c r="X384" s="32">
        <f>IF($W384="","",IF(ISNUMBER($W384),IF($W384&gt;=10000000,IFERROR(DATE(INT($W384/10000),MOD(INT($W384/100),100),MOD($W384,100)),""),INT($W384)),IFERROR(DATE(--LEFT(LEFT(SUBSTITUTE(SUBSTITUTE(SUBSTITUTE(SUBSTITUTE(TRIM($W384),"-",""),".",""),"/","")," ",""),8),4),--MID(LEFT(SUBSTITUTE(SUBSTITUTE(SUBSTITUTE(SUBSTITUTE(TRIM($W384),"-",""),".",""),"/","")," ",""),8),5,2),--MID(LEFT(SUBSTITUTE(SUBSTITUTE(SUBSTITUTE(SUBSTITUTE(TRIM($W384),"-",""),".",""),"/","")," ",""),8),7,2)),"")))</f>
        <v/>
      </c>
      <c r="Y384" s="32">
        <f>IF($X384="","",INT($X384))</f>
        <v/>
      </c>
      <c r="Z384" s="33">
        <f>IF(OR($Y384="",$D$6=""),"",IF(INDEX($A:$U,ROW(),$D$6)="",0,IF(ISNUMBER(INDEX($A:$U,ROW(),$D$6)),INDEX($A:$U,ROW(),$D$6),IFERROR(--SUBSTITUTE(SUBSTITUTE(TRIM(INDEX($A:$U,ROW(),$D$6)),",",""),"원",""),0))))</f>
        <v/>
      </c>
      <c r="AA384" s="31">
        <f>IF($Y384="","",TRIM(INDEX($A:$U,ROW(),$E$6)&amp;IF($F$6="",""," "&amp;INDEX($A:$U,ROW(),$F$6))))</f>
        <v/>
      </c>
      <c r="AB384" s="31">
        <f>IF($AA384="","",SUBSTITUTE(SUBSTITUTE(SUBSTITUTE(SUBSTITUTE(SUBSTITUTE(SUBSTITUTE(SUBSTITUTE(SUBSTITUTE(SUBSTITUTE($AA384," ",""),"　",""),"(주)",""),"（주）",""),"㈜",""),"주식회사",""),"(유)",""),"（유）",""),"유한회사",""))</f>
        <v/>
      </c>
      <c r="AC384" s="31">
        <f>IF(OR($Y384="",N($Z384)&lt;=0,$AB384=""),0,IFERROR(LOOKUP(2,1/((거래처별!$AC$8:$AC$307&lt;&gt;"")*ISNUMBER(SEARCH(거래처별!$AC$8:$AC$307,$AB384))),거래처별!$A$8:$A$307),IFERROR(LOOKUP(2,1/((거래처별!$AD$8:$AD$307&lt;&gt;"")*ISNUMBER(SEARCH(거래처별!$AD$8:$AD$307,$AB384))),거래처별!$A$8:$A$307),IFERROR(LOOKUP(2,1/((거래처별!$AE$8:$AE$307&lt;&gt;"")*ISNUMBER(SEARCH(거래처별!$AE$8:$AE$307,$AB384))),거래처별!$A$8:$A$307),0))))</f>
        <v/>
      </c>
      <c r="AD384" s="31">
        <f>IF(AND($Y384&lt;&gt;"",N($Z384)&gt;0,$AC384=0),MAX($AD$7:$AD383)+1,"")</f>
        <v/>
      </c>
      <c r="AE384" s="31">
        <f>IF($Y384="",0,$Y384)</f>
        <v/>
      </c>
    </row>
    <row r="385">
      <c r="W385" s="31">
        <f>IF(OR($B$5="",$C$6="",ROW()&lt;$B$5),"",IF(INDEX($A:$U,ROW(),$C$6)="","",INDEX($A:$U,ROW(),$C$6)))</f>
        <v/>
      </c>
      <c r="X385" s="32">
        <f>IF($W385="","",IF(ISNUMBER($W385),IF($W385&gt;=10000000,IFERROR(DATE(INT($W385/10000),MOD(INT($W385/100),100),MOD($W385,100)),""),INT($W385)),IFERROR(DATE(--LEFT(LEFT(SUBSTITUTE(SUBSTITUTE(SUBSTITUTE(SUBSTITUTE(TRIM($W385),"-",""),".",""),"/","")," ",""),8),4),--MID(LEFT(SUBSTITUTE(SUBSTITUTE(SUBSTITUTE(SUBSTITUTE(TRIM($W385),"-",""),".",""),"/","")," ",""),8),5,2),--MID(LEFT(SUBSTITUTE(SUBSTITUTE(SUBSTITUTE(SUBSTITUTE(TRIM($W385),"-",""),".",""),"/","")," ",""),8),7,2)),"")))</f>
        <v/>
      </c>
      <c r="Y385" s="32">
        <f>IF($X385="","",INT($X385))</f>
        <v/>
      </c>
      <c r="Z385" s="33">
        <f>IF(OR($Y385="",$D$6=""),"",IF(INDEX($A:$U,ROW(),$D$6)="",0,IF(ISNUMBER(INDEX($A:$U,ROW(),$D$6)),INDEX($A:$U,ROW(),$D$6),IFERROR(--SUBSTITUTE(SUBSTITUTE(TRIM(INDEX($A:$U,ROW(),$D$6)),",",""),"원",""),0))))</f>
        <v/>
      </c>
      <c r="AA385" s="31">
        <f>IF($Y385="","",TRIM(INDEX($A:$U,ROW(),$E$6)&amp;IF($F$6="",""," "&amp;INDEX($A:$U,ROW(),$F$6))))</f>
        <v/>
      </c>
      <c r="AB385" s="31">
        <f>IF($AA385="","",SUBSTITUTE(SUBSTITUTE(SUBSTITUTE(SUBSTITUTE(SUBSTITUTE(SUBSTITUTE(SUBSTITUTE(SUBSTITUTE(SUBSTITUTE($AA385," ",""),"　",""),"(주)",""),"（주）",""),"㈜",""),"주식회사",""),"(유)",""),"（유）",""),"유한회사",""))</f>
        <v/>
      </c>
      <c r="AC385" s="31">
        <f>IF(OR($Y385="",N($Z385)&lt;=0,$AB385=""),0,IFERROR(LOOKUP(2,1/((거래처별!$AC$8:$AC$307&lt;&gt;"")*ISNUMBER(SEARCH(거래처별!$AC$8:$AC$307,$AB385))),거래처별!$A$8:$A$307),IFERROR(LOOKUP(2,1/((거래처별!$AD$8:$AD$307&lt;&gt;"")*ISNUMBER(SEARCH(거래처별!$AD$8:$AD$307,$AB385))),거래처별!$A$8:$A$307),IFERROR(LOOKUP(2,1/((거래처별!$AE$8:$AE$307&lt;&gt;"")*ISNUMBER(SEARCH(거래처별!$AE$8:$AE$307,$AB385))),거래처별!$A$8:$A$307),0))))</f>
        <v/>
      </c>
      <c r="AD385" s="31">
        <f>IF(AND($Y385&lt;&gt;"",N($Z385)&gt;0,$AC385=0),MAX($AD$7:$AD384)+1,"")</f>
        <v/>
      </c>
      <c r="AE385" s="31">
        <f>IF($Y385="",0,$Y385)</f>
        <v/>
      </c>
    </row>
    <row r="386">
      <c r="W386" s="31">
        <f>IF(OR($B$5="",$C$6="",ROW()&lt;$B$5),"",IF(INDEX($A:$U,ROW(),$C$6)="","",INDEX($A:$U,ROW(),$C$6)))</f>
        <v/>
      </c>
      <c r="X386" s="32">
        <f>IF($W386="","",IF(ISNUMBER($W386),IF($W386&gt;=10000000,IFERROR(DATE(INT($W386/10000),MOD(INT($W386/100),100),MOD($W386,100)),""),INT($W386)),IFERROR(DATE(--LEFT(LEFT(SUBSTITUTE(SUBSTITUTE(SUBSTITUTE(SUBSTITUTE(TRIM($W386),"-",""),".",""),"/","")," ",""),8),4),--MID(LEFT(SUBSTITUTE(SUBSTITUTE(SUBSTITUTE(SUBSTITUTE(TRIM($W386),"-",""),".",""),"/","")," ",""),8),5,2),--MID(LEFT(SUBSTITUTE(SUBSTITUTE(SUBSTITUTE(SUBSTITUTE(TRIM($W386),"-",""),".",""),"/","")," ",""),8),7,2)),"")))</f>
        <v/>
      </c>
      <c r="Y386" s="32">
        <f>IF($X386="","",INT($X386))</f>
        <v/>
      </c>
      <c r="Z386" s="33">
        <f>IF(OR($Y386="",$D$6=""),"",IF(INDEX($A:$U,ROW(),$D$6)="",0,IF(ISNUMBER(INDEX($A:$U,ROW(),$D$6)),INDEX($A:$U,ROW(),$D$6),IFERROR(--SUBSTITUTE(SUBSTITUTE(TRIM(INDEX($A:$U,ROW(),$D$6)),",",""),"원",""),0))))</f>
        <v/>
      </c>
      <c r="AA386" s="31">
        <f>IF($Y386="","",TRIM(INDEX($A:$U,ROW(),$E$6)&amp;IF($F$6="",""," "&amp;INDEX($A:$U,ROW(),$F$6))))</f>
        <v/>
      </c>
      <c r="AB386" s="31">
        <f>IF($AA386="","",SUBSTITUTE(SUBSTITUTE(SUBSTITUTE(SUBSTITUTE(SUBSTITUTE(SUBSTITUTE(SUBSTITUTE(SUBSTITUTE(SUBSTITUTE($AA386," ",""),"　",""),"(주)",""),"（주）",""),"㈜",""),"주식회사",""),"(유)",""),"（유）",""),"유한회사",""))</f>
        <v/>
      </c>
      <c r="AC386" s="31">
        <f>IF(OR($Y386="",N($Z386)&lt;=0,$AB386=""),0,IFERROR(LOOKUP(2,1/((거래처별!$AC$8:$AC$307&lt;&gt;"")*ISNUMBER(SEARCH(거래처별!$AC$8:$AC$307,$AB386))),거래처별!$A$8:$A$307),IFERROR(LOOKUP(2,1/((거래처별!$AD$8:$AD$307&lt;&gt;"")*ISNUMBER(SEARCH(거래처별!$AD$8:$AD$307,$AB386))),거래처별!$A$8:$A$307),IFERROR(LOOKUP(2,1/((거래처별!$AE$8:$AE$307&lt;&gt;"")*ISNUMBER(SEARCH(거래처별!$AE$8:$AE$307,$AB386))),거래처별!$A$8:$A$307),0))))</f>
        <v/>
      </c>
      <c r="AD386" s="31">
        <f>IF(AND($Y386&lt;&gt;"",N($Z386)&gt;0,$AC386=0),MAX($AD$7:$AD385)+1,"")</f>
        <v/>
      </c>
      <c r="AE386" s="31">
        <f>IF($Y386="",0,$Y386)</f>
        <v/>
      </c>
    </row>
    <row r="387">
      <c r="W387" s="31">
        <f>IF(OR($B$5="",$C$6="",ROW()&lt;$B$5),"",IF(INDEX($A:$U,ROW(),$C$6)="","",INDEX($A:$U,ROW(),$C$6)))</f>
        <v/>
      </c>
      <c r="X387" s="32">
        <f>IF($W387="","",IF(ISNUMBER($W387),IF($W387&gt;=10000000,IFERROR(DATE(INT($W387/10000),MOD(INT($W387/100),100),MOD($W387,100)),""),INT($W387)),IFERROR(DATE(--LEFT(LEFT(SUBSTITUTE(SUBSTITUTE(SUBSTITUTE(SUBSTITUTE(TRIM($W387),"-",""),".",""),"/","")," ",""),8),4),--MID(LEFT(SUBSTITUTE(SUBSTITUTE(SUBSTITUTE(SUBSTITUTE(TRIM($W387),"-",""),".",""),"/","")," ",""),8),5,2),--MID(LEFT(SUBSTITUTE(SUBSTITUTE(SUBSTITUTE(SUBSTITUTE(TRIM($W387),"-",""),".",""),"/","")," ",""),8),7,2)),"")))</f>
        <v/>
      </c>
      <c r="Y387" s="32">
        <f>IF($X387="","",INT($X387))</f>
        <v/>
      </c>
      <c r="Z387" s="33">
        <f>IF(OR($Y387="",$D$6=""),"",IF(INDEX($A:$U,ROW(),$D$6)="",0,IF(ISNUMBER(INDEX($A:$U,ROW(),$D$6)),INDEX($A:$U,ROW(),$D$6),IFERROR(--SUBSTITUTE(SUBSTITUTE(TRIM(INDEX($A:$U,ROW(),$D$6)),",",""),"원",""),0))))</f>
        <v/>
      </c>
      <c r="AA387" s="31">
        <f>IF($Y387="","",TRIM(INDEX($A:$U,ROW(),$E$6)&amp;IF($F$6="",""," "&amp;INDEX($A:$U,ROW(),$F$6))))</f>
        <v/>
      </c>
      <c r="AB387" s="31">
        <f>IF($AA387="","",SUBSTITUTE(SUBSTITUTE(SUBSTITUTE(SUBSTITUTE(SUBSTITUTE(SUBSTITUTE(SUBSTITUTE(SUBSTITUTE(SUBSTITUTE($AA387," ",""),"　",""),"(주)",""),"（주）",""),"㈜",""),"주식회사",""),"(유)",""),"（유）",""),"유한회사",""))</f>
        <v/>
      </c>
      <c r="AC387" s="31">
        <f>IF(OR($Y387="",N($Z387)&lt;=0,$AB387=""),0,IFERROR(LOOKUP(2,1/((거래처별!$AC$8:$AC$307&lt;&gt;"")*ISNUMBER(SEARCH(거래처별!$AC$8:$AC$307,$AB387))),거래처별!$A$8:$A$307),IFERROR(LOOKUP(2,1/((거래처별!$AD$8:$AD$307&lt;&gt;"")*ISNUMBER(SEARCH(거래처별!$AD$8:$AD$307,$AB387))),거래처별!$A$8:$A$307),IFERROR(LOOKUP(2,1/((거래처별!$AE$8:$AE$307&lt;&gt;"")*ISNUMBER(SEARCH(거래처별!$AE$8:$AE$307,$AB387))),거래처별!$A$8:$A$307),0))))</f>
        <v/>
      </c>
      <c r="AD387" s="31">
        <f>IF(AND($Y387&lt;&gt;"",N($Z387)&gt;0,$AC387=0),MAX($AD$7:$AD386)+1,"")</f>
        <v/>
      </c>
      <c r="AE387" s="31">
        <f>IF($Y387="",0,$Y387)</f>
        <v/>
      </c>
    </row>
    <row r="388">
      <c r="W388" s="31">
        <f>IF(OR($B$5="",$C$6="",ROW()&lt;$B$5),"",IF(INDEX($A:$U,ROW(),$C$6)="","",INDEX($A:$U,ROW(),$C$6)))</f>
        <v/>
      </c>
      <c r="X388" s="32">
        <f>IF($W388="","",IF(ISNUMBER($W388),IF($W388&gt;=10000000,IFERROR(DATE(INT($W388/10000),MOD(INT($W388/100),100),MOD($W388,100)),""),INT($W388)),IFERROR(DATE(--LEFT(LEFT(SUBSTITUTE(SUBSTITUTE(SUBSTITUTE(SUBSTITUTE(TRIM($W388),"-",""),".",""),"/","")," ",""),8),4),--MID(LEFT(SUBSTITUTE(SUBSTITUTE(SUBSTITUTE(SUBSTITUTE(TRIM($W388),"-",""),".",""),"/","")," ",""),8),5,2),--MID(LEFT(SUBSTITUTE(SUBSTITUTE(SUBSTITUTE(SUBSTITUTE(TRIM($W388),"-",""),".",""),"/","")," ",""),8),7,2)),"")))</f>
        <v/>
      </c>
      <c r="Y388" s="32">
        <f>IF($X388="","",INT($X388))</f>
        <v/>
      </c>
      <c r="Z388" s="33">
        <f>IF(OR($Y388="",$D$6=""),"",IF(INDEX($A:$U,ROW(),$D$6)="",0,IF(ISNUMBER(INDEX($A:$U,ROW(),$D$6)),INDEX($A:$U,ROW(),$D$6),IFERROR(--SUBSTITUTE(SUBSTITUTE(TRIM(INDEX($A:$U,ROW(),$D$6)),",",""),"원",""),0))))</f>
        <v/>
      </c>
      <c r="AA388" s="31">
        <f>IF($Y388="","",TRIM(INDEX($A:$U,ROW(),$E$6)&amp;IF($F$6="",""," "&amp;INDEX($A:$U,ROW(),$F$6))))</f>
        <v/>
      </c>
      <c r="AB388" s="31">
        <f>IF($AA388="","",SUBSTITUTE(SUBSTITUTE(SUBSTITUTE(SUBSTITUTE(SUBSTITUTE(SUBSTITUTE(SUBSTITUTE(SUBSTITUTE(SUBSTITUTE($AA388," ",""),"　",""),"(주)",""),"（주）",""),"㈜",""),"주식회사",""),"(유)",""),"（유）",""),"유한회사",""))</f>
        <v/>
      </c>
      <c r="AC388" s="31">
        <f>IF(OR($Y388="",N($Z388)&lt;=0,$AB388=""),0,IFERROR(LOOKUP(2,1/((거래처별!$AC$8:$AC$307&lt;&gt;"")*ISNUMBER(SEARCH(거래처별!$AC$8:$AC$307,$AB388))),거래처별!$A$8:$A$307),IFERROR(LOOKUP(2,1/((거래처별!$AD$8:$AD$307&lt;&gt;"")*ISNUMBER(SEARCH(거래처별!$AD$8:$AD$307,$AB388))),거래처별!$A$8:$A$307),IFERROR(LOOKUP(2,1/((거래처별!$AE$8:$AE$307&lt;&gt;"")*ISNUMBER(SEARCH(거래처별!$AE$8:$AE$307,$AB388))),거래처별!$A$8:$A$307),0))))</f>
        <v/>
      </c>
      <c r="AD388" s="31">
        <f>IF(AND($Y388&lt;&gt;"",N($Z388)&gt;0,$AC388=0),MAX($AD$7:$AD387)+1,"")</f>
        <v/>
      </c>
      <c r="AE388" s="31">
        <f>IF($Y388="",0,$Y388)</f>
        <v/>
      </c>
    </row>
    <row r="389">
      <c r="W389" s="31">
        <f>IF(OR($B$5="",$C$6="",ROW()&lt;$B$5),"",IF(INDEX($A:$U,ROW(),$C$6)="","",INDEX($A:$U,ROW(),$C$6)))</f>
        <v/>
      </c>
      <c r="X389" s="32">
        <f>IF($W389="","",IF(ISNUMBER($W389),IF($W389&gt;=10000000,IFERROR(DATE(INT($W389/10000),MOD(INT($W389/100),100),MOD($W389,100)),""),INT($W389)),IFERROR(DATE(--LEFT(LEFT(SUBSTITUTE(SUBSTITUTE(SUBSTITUTE(SUBSTITUTE(TRIM($W389),"-",""),".",""),"/","")," ",""),8),4),--MID(LEFT(SUBSTITUTE(SUBSTITUTE(SUBSTITUTE(SUBSTITUTE(TRIM($W389),"-",""),".",""),"/","")," ",""),8),5,2),--MID(LEFT(SUBSTITUTE(SUBSTITUTE(SUBSTITUTE(SUBSTITUTE(TRIM($W389),"-",""),".",""),"/","")," ",""),8),7,2)),"")))</f>
        <v/>
      </c>
      <c r="Y389" s="32">
        <f>IF($X389="","",INT($X389))</f>
        <v/>
      </c>
      <c r="Z389" s="33">
        <f>IF(OR($Y389="",$D$6=""),"",IF(INDEX($A:$U,ROW(),$D$6)="",0,IF(ISNUMBER(INDEX($A:$U,ROW(),$D$6)),INDEX($A:$U,ROW(),$D$6),IFERROR(--SUBSTITUTE(SUBSTITUTE(TRIM(INDEX($A:$U,ROW(),$D$6)),",",""),"원",""),0))))</f>
        <v/>
      </c>
      <c r="AA389" s="31">
        <f>IF($Y389="","",TRIM(INDEX($A:$U,ROW(),$E$6)&amp;IF($F$6="",""," "&amp;INDEX($A:$U,ROW(),$F$6))))</f>
        <v/>
      </c>
      <c r="AB389" s="31">
        <f>IF($AA389="","",SUBSTITUTE(SUBSTITUTE(SUBSTITUTE(SUBSTITUTE(SUBSTITUTE(SUBSTITUTE(SUBSTITUTE(SUBSTITUTE(SUBSTITUTE($AA389," ",""),"　",""),"(주)",""),"（주）",""),"㈜",""),"주식회사",""),"(유)",""),"（유）",""),"유한회사",""))</f>
        <v/>
      </c>
      <c r="AC389" s="31">
        <f>IF(OR($Y389="",N($Z389)&lt;=0,$AB389=""),0,IFERROR(LOOKUP(2,1/((거래처별!$AC$8:$AC$307&lt;&gt;"")*ISNUMBER(SEARCH(거래처별!$AC$8:$AC$307,$AB389))),거래처별!$A$8:$A$307),IFERROR(LOOKUP(2,1/((거래처별!$AD$8:$AD$307&lt;&gt;"")*ISNUMBER(SEARCH(거래처별!$AD$8:$AD$307,$AB389))),거래처별!$A$8:$A$307),IFERROR(LOOKUP(2,1/((거래처별!$AE$8:$AE$307&lt;&gt;"")*ISNUMBER(SEARCH(거래처별!$AE$8:$AE$307,$AB389))),거래처별!$A$8:$A$307),0))))</f>
        <v/>
      </c>
      <c r="AD389" s="31">
        <f>IF(AND($Y389&lt;&gt;"",N($Z389)&gt;0,$AC389=0),MAX($AD$7:$AD388)+1,"")</f>
        <v/>
      </c>
      <c r="AE389" s="31">
        <f>IF($Y389="",0,$Y389)</f>
        <v/>
      </c>
    </row>
    <row r="390">
      <c r="W390" s="31">
        <f>IF(OR($B$5="",$C$6="",ROW()&lt;$B$5),"",IF(INDEX($A:$U,ROW(),$C$6)="","",INDEX($A:$U,ROW(),$C$6)))</f>
        <v/>
      </c>
      <c r="X390" s="32">
        <f>IF($W390="","",IF(ISNUMBER($W390),IF($W390&gt;=10000000,IFERROR(DATE(INT($W390/10000),MOD(INT($W390/100),100),MOD($W390,100)),""),INT($W390)),IFERROR(DATE(--LEFT(LEFT(SUBSTITUTE(SUBSTITUTE(SUBSTITUTE(SUBSTITUTE(TRIM($W390),"-",""),".",""),"/","")," ",""),8),4),--MID(LEFT(SUBSTITUTE(SUBSTITUTE(SUBSTITUTE(SUBSTITUTE(TRIM($W390),"-",""),".",""),"/","")," ",""),8),5,2),--MID(LEFT(SUBSTITUTE(SUBSTITUTE(SUBSTITUTE(SUBSTITUTE(TRIM($W390),"-",""),".",""),"/","")," ",""),8),7,2)),"")))</f>
        <v/>
      </c>
      <c r="Y390" s="32">
        <f>IF($X390="","",INT($X390))</f>
        <v/>
      </c>
      <c r="Z390" s="33">
        <f>IF(OR($Y390="",$D$6=""),"",IF(INDEX($A:$U,ROW(),$D$6)="",0,IF(ISNUMBER(INDEX($A:$U,ROW(),$D$6)),INDEX($A:$U,ROW(),$D$6),IFERROR(--SUBSTITUTE(SUBSTITUTE(TRIM(INDEX($A:$U,ROW(),$D$6)),",",""),"원",""),0))))</f>
        <v/>
      </c>
      <c r="AA390" s="31">
        <f>IF($Y390="","",TRIM(INDEX($A:$U,ROW(),$E$6)&amp;IF($F$6="",""," "&amp;INDEX($A:$U,ROW(),$F$6))))</f>
        <v/>
      </c>
      <c r="AB390" s="31">
        <f>IF($AA390="","",SUBSTITUTE(SUBSTITUTE(SUBSTITUTE(SUBSTITUTE(SUBSTITUTE(SUBSTITUTE(SUBSTITUTE(SUBSTITUTE(SUBSTITUTE($AA390," ",""),"　",""),"(주)",""),"（주）",""),"㈜",""),"주식회사",""),"(유)",""),"（유）",""),"유한회사",""))</f>
        <v/>
      </c>
      <c r="AC390" s="31">
        <f>IF(OR($Y390="",N($Z390)&lt;=0,$AB390=""),0,IFERROR(LOOKUP(2,1/((거래처별!$AC$8:$AC$307&lt;&gt;"")*ISNUMBER(SEARCH(거래처별!$AC$8:$AC$307,$AB390))),거래처별!$A$8:$A$307),IFERROR(LOOKUP(2,1/((거래처별!$AD$8:$AD$307&lt;&gt;"")*ISNUMBER(SEARCH(거래처별!$AD$8:$AD$307,$AB390))),거래처별!$A$8:$A$307),IFERROR(LOOKUP(2,1/((거래처별!$AE$8:$AE$307&lt;&gt;"")*ISNUMBER(SEARCH(거래처별!$AE$8:$AE$307,$AB390))),거래처별!$A$8:$A$307),0))))</f>
        <v/>
      </c>
      <c r="AD390" s="31">
        <f>IF(AND($Y390&lt;&gt;"",N($Z390)&gt;0,$AC390=0),MAX($AD$7:$AD389)+1,"")</f>
        <v/>
      </c>
      <c r="AE390" s="31">
        <f>IF($Y390="",0,$Y390)</f>
        <v/>
      </c>
    </row>
    <row r="391">
      <c r="W391" s="31">
        <f>IF(OR($B$5="",$C$6="",ROW()&lt;$B$5),"",IF(INDEX($A:$U,ROW(),$C$6)="","",INDEX($A:$U,ROW(),$C$6)))</f>
        <v/>
      </c>
      <c r="X391" s="32">
        <f>IF($W391="","",IF(ISNUMBER($W391),IF($W391&gt;=10000000,IFERROR(DATE(INT($W391/10000),MOD(INT($W391/100),100),MOD($W391,100)),""),INT($W391)),IFERROR(DATE(--LEFT(LEFT(SUBSTITUTE(SUBSTITUTE(SUBSTITUTE(SUBSTITUTE(TRIM($W391),"-",""),".",""),"/","")," ",""),8),4),--MID(LEFT(SUBSTITUTE(SUBSTITUTE(SUBSTITUTE(SUBSTITUTE(TRIM($W391),"-",""),".",""),"/","")," ",""),8),5,2),--MID(LEFT(SUBSTITUTE(SUBSTITUTE(SUBSTITUTE(SUBSTITUTE(TRIM($W391),"-",""),".",""),"/","")," ",""),8),7,2)),"")))</f>
        <v/>
      </c>
      <c r="Y391" s="32">
        <f>IF($X391="","",INT($X391))</f>
        <v/>
      </c>
      <c r="Z391" s="33">
        <f>IF(OR($Y391="",$D$6=""),"",IF(INDEX($A:$U,ROW(),$D$6)="",0,IF(ISNUMBER(INDEX($A:$U,ROW(),$D$6)),INDEX($A:$U,ROW(),$D$6),IFERROR(--SUBSTITUTE(SUBSTITUTE(TRIM(INDEX($A:$U,ROW(),$D$6)),",",""),"원",""),0))))</f>
        <v/>
      </c>
      <c r="AA391" s="31">
        <f>IF($Y391="","",TRIM(INDEX($A:$U,ROW(),$E$6)&amp;IF($F$6="",""," "&amp;INDEX($A:$U,ROW(),$F$6))))</f>
        <v/>
      </c>
      <c r="AB391" s="31">
        <f>IF($AA391="","",SUBSTITUTE(SUBSTITUTE(SUBSTITUTE(SUBSTITUTE(SUBSTITUTE(SUBSTITUTE(SUBSTITUTE(SUBSTITUTE(SUBSTITUTE($AA391," ",""),"　",""),"(주)",""),"（주）",""),"㈜",""),"주식회사",""),"(유)",""),"（유）",""),"유한회사",""))</f>
        <v/>
      </c>
      <c r="AC391" s="31">
        <f>IF(OR($Y391="",N($Z391)&lt;=0,$AB391=""),0,IFERROR(LOOKUP(2,1/((거래처별!$AC$8:$AC$307&lt;&gt;"")*ISNUMBER(SEARCH(거래처별!$AC$8:$AC$307,$AB391))),거래처별!$A$8:$A$307),IFERROR(LOOKUP(2,1/((거래처별!$AD$8:$AD$307&lt;&gt;"")*ISNUMBER(SEARCH(거래처별!$AD$8:$AD$307,$AB391))),거래처별!$A$8:$A$307),IFERROR(LOOKUP(2,1/((거래처별!$AE$8:$AE$307&lt;&gt;"")*ISNUMBER(SEARCH(거래처별!$AE$8:$AE$307,$AB391))),거래처별!$A$8:$A$307),0))))</f>
        <v/>
      </c>
      <c r="AD391" s="31">
        <f>IF(AND($Y391&lt;&gt;"",N($Z391)&gt;0,$AC391=0),MAX($AD$7:$AD390)+1,"")</f>
        <v/>
      </c>
      <c r="AE391" s="31">
        <f>IF($Y391="",0,$Y391)</f>
        <v/>
      </c>
    </row>
    <row r="392">
      <c r="W392" s="31">
        <f>IF(OR($B$5="",$C$6="",ROW()&lt;$B$5),"",IF(INDEX($A:$U,ROW(),$C$6)="","",INDEX($A:$U,ROW(),$C$6)))</f>
        <v/>
      </c>
      <c r="X392" s="32">
        <f>IF($W392="","",IF(ISNUMBER($W392),IF($W392&gt;=10000000,IFERROR(DATE(INT($W392/10000),MOD(INT($W392/100),100),MOD($W392,100)),""),INT($W392)),IFERROR(DATE(--LEFT(LEFT(SUBSTITUTE(SUBSTITUTE(SUBSTITUTE(SUBSTITUTE(TRIM($W392),"-",""),".",""),"/","")," ",""),8),4),--MID(LEFT(SUBSTITUTE(SUBSTITUTE(SUBSTITUTE(SUBSTITUTE(TRIM($W392),"-",""),".",""),"/","")," ",""),8),5,2),--MID(LEFT(SUBSTITUTE(SUBSTITUTE(SUBSTITUTE(SUBSTITUTE(TRIM($W392),"-",""),".",""),"/","")," ",""),8),7,2)),"")))</f>
        <v/>
      </c>
      <c r="Y392" s="32">
        <f>IF($X392="","",INT($X392))</f>
        <v/>
      </c>
      <c r="Z392" s="33">
        <f>IF(OR($Y392="",$D$6=""),"",IF(INDEX($A:$U,ROW(),$D$6)="",0,IF(ISNUMBER(INDEX($A:$U,ROW(),$D$6)),INDEX($A:$U,ROW(),$D$6),IFERROR(--SUBSTITUTE(SUBSTITUTE(TRIM(INDEX($A:$U,ROW(),$D$6)),",",""),"원",""),0))))</f>
        <v/>
      </c>
      <c r="AA392" s="31">
        <f>IF($Y392="","",TRIM(INDEX($A:$U,ROW(),$E$6)&amp;IF($F$6="",""," "&amp;INDEX($A:$U,ROW(),$F$6))))</f>
        <v/>
      </c>
      <c r="AB392" s="31">
        <f>IF($AA392="","",SUBSTITUTE(SUBSTITUTE(SUBSTITUTE(SUBSTITUTE(SUBSTITUTE(SUBSTITUTE(SUBSTITUTE(SUBSTITUTE(SUBSTITUTE($AA392," ",""),"　",""),"(주)",""),"（주）",""),"㈜",""),"주식회사",""),"(유)",""),"（유）",""),"유한회사",""))</f>
        <v/>
      </c>
      <c r="AC392" s="31">
        <f>IF(OR($Y392="",N($Z392)&lt;=0,$AB392=""),0,IFERROR(LOOKUP(2,1/((거래처별!$AC$8:$AC$307&lt;&gt;"")*ISNUMBER(SEARCH(거래처별!$AC$8:$AC$307,$AB392))),거래처별!$A$8:$A$307),IFERROR(LOOKUP(2,1/((거래처별!$AD$8:$AD$307&lt;&gt;"")*ISNUMBER(SEARCH(거래처별!$AD$8:$AD$307,$AB392))),거래처별!$A$8:$A$307),IFERROR(LOOKUP(2,1/((거래처별!$AE$8:$AE$307&lt;&gt;"")*ISNUMBER(SEARCH(거래처별!$AE$8:$AE$307,$AB392))),거래처별!$A$8:$A$307),0))))</f>
        <v/>
      </c>
      <c r="AD392" s="31">
        <f>IF(AND($Y392&lt;&gt;"",N($Z392)&gt;0,$AC392=0),MAX($AD$7:$AD391)+1,"")</f>
        <v/>
      </c>
      <c r="AE392" s="31">
        <f>IF($Y392="",0,$Y392)</f>
        <v/>
      </c>
    </row>
    <row r="393">
      <c r="W393" s="31">
        <f>IF(OR($B$5="",$C$6="",ROW()&lt;$B$5),"",IF(INDEX($A:$U,ROW(),$C$6)="","",INDEX($A:$U,ROW(),$C$6)))</f>
        <v/>
      </c>
      <c r="X393" s="32">
        <f>IF($W393="","",IF(ISNUMBER($W393),IF($W393&gt;=10000000,IFERROR(DATE(INT($W393/10000),MOD(INT($W393/100),100),MOD($W393,100)),""),INT($W393)),IFERROR(DATE(--LEFT(LEFT(SUBSTITUTE(SUBSTITUTE(SUBSTITUTE(SUBSTITUTE(TRIM($W393),"-",""),".",""),"/","")," ",""),8),4),--MID(LEFT(SUBSTITUTE(SUBSTITUTE(SUBSTITUTE(SUBSTITUTE(TRIM($W393),"-",""),".",""),"/","")," ",""),8),5,2),--MID(LEFT(SUBSTITUTE(SUBSTITUTE(SUBSTITUTE(SUBSTITUTE(TRIM($W393),"-",""),".",""),"/","")," ",""),8),7,2)),"")))</f>
        <v/>
      </c>
      <c r="Y393" s="32">
        <f>IF($X393="","",INT($X393))</f>
        <v/>
      </c>
      <c r="Z393" s="33">
        <f>IF(OR($Y393="",$D$6=""),"",IF(INDEX($A:$U,ROW(),$D$6)="",0,IF(ISNUMBER(INDEX($A:$U,ROW(),$D$6)),INDEX($A:$U,ROW(),$D$6),IFERROR(--SUBSTITUTE(SUBSTITUTE(TRIM(INDEX($A:$U,ROW(),$D$6)),",",""),"원",""),0))))</f>
        <v/>
      </c>
      <c r="AA393" s="31">
        <f>IF($Y393="","",TRIM(INDEX($A:$U,ROW(),$E$6)&amp;IF($F$6="",""," "&amp;INDEX($A:$U,ROW(),$F$6))))</f>
        <v/>
      </c>
      <c r="AB393" s="31">
        <f>IF($AA393="","",SUBSTITUTE(SUBSTITUTE(SUBSTITUTE(SUBSTITUTE(SUBSTITUTE(SUBSTITUTE(SUBSTITUTE(SUBSTITUTE(SUBSTITUTE($AA393," ",""),"　",""),"(주)",""),"（주）",""),"㈜",""),"주식회사",""),"(유)",""),"（유）",""),"유한회사",""))</f>
        <v/>
      </c>
      <c r="AC393" s="31">
        <f>IF(OR($Y393="",N($Z393)&lt;=0,$AB393=""),0,IFERROR(LOOKUP(2,1/((거래처별!$AC$8:$AC$307&lt;&gt;"")*ISNUMBER(SEARCH(거래처별!$AC$8:$AC$307,$AB393))),거래처별!$A$8:$A$307),IFERROR(LOOKUP(2,1/((거래처별!$AD$8:$AD$307&lt;&gt;"")*ISNUMBER(SEARCH(거래처별!$AD$8:$AD$307,$AB393))),거래처별!$A$8:$A$307),IFERROR(LOOKUP(2,1/((거래처별!$AE$8:$AE$307&lt;&gt;"")*ISNUMBER(SEARCH(거래처별!$AE$8:$AE$307,$AB393))),거래처별!$A$8:$A$307),0))))</f>
        <v/>
      </c>
      <c r="AD393" s="31">
        <f>IF(AND($Y393&lt;&gt;"",N($Z393)&gt;0,$AC393=0),MAX($AD$7:$AD392)+1,"")</f>
        <v/>
      </c>
      <c r="AE393" s="31">
        <f>IF($Y393="",0,$Y393)</f>
        <v/>
      </c>
    </row>
    <row r="394">
      <c r="W394" s="31">
        <f>IF(OR($B$5="",$C$6="",ROW()&lt;$B$5),"",IF(INDEX($A:$U,ROW(),$C$6)="","",INDEX($A:$U,ROW(),$C$6)))</f>
        <v/>
      </c>
      <c r="X394" s="32">
        <f>IF($W394="","",IF(ISNUMBER($W394),IF($W394&gt;=10000000,IFERROR(DATE(INT($W394/10000),MOD(INT($W394/100),100),MOD($W394,100)),""),INT($W394)),IFERROR(DATE(--LEFT(LEFT(SUBSTITUTE(SUBSTITUTE(SUBSTITUTE(SUBSTITUTE(TRIM($W394),"-",""),".",""),"/","")," ",""),8),4),--MID(LEFT(SUBSTITUTE(SUBSTITUTE(SUBSTITUTE(SUBSTITUTE(TRIM($W394),"-",""),".",""),"/","")," ",""),8),5,2),--MID(LEFT(SUBSTITUTE(SUBSTITUTE(SUBSTITUTE(SUBSTITUTE(TRIM($W394),"-",""),".",""),"/","")," ",""),8),7,2)),"")))</f>
        <v/>
      </c>
      <c r="Y394" s="32">
        <f>IF($X394="","",INT($X394))</f>
        <v/>
      </c>
      <c r="Z394" s="33">
        <f>IF(OR($Y394="",$D$6=""),"",IF(INDEX($A:$U,ROW(),$D$6)="",0,IF(ISNUMBER(INDEX($A:$U,ROW(),$D$6)),INDEX($A:$U,ROW(),$D$6),IFERROR(--SUBSTITUTE(SUBSTITUTE(TRIM(INDEX($A:$U,ROW(),$D$6)),",",""),"원",""),0))))</f>
        <v/>
      </c>
      <c r="AA394" s="31">
        <f>IF($Y394="","",TRIM(INDEX($A:$U,ROW(),$E$6)&amp;IF($F$6="",""," "&amp;INDEX($A:$U,ROW(),$F$6))))</f>
        <v/>
      </c>
      <c r="AB394" s="31">
        <f>IF($AA394="","",SUBSTITUTE(SUBSTITUTE(SUBSTITUTE(SUBSTITUTE(SUBSTITUTE(SUBSTITUTE(SUBSTITUTE(SUBSTITUTE(SUBSTITUTE($AA394," ",""),"　",""),"(주)",""),"（주）",""),"㈜",""),"주식회사",""),"(유)",""),"（유）",""),"유한회사",""))</f>
        <v/>
      </c>
      <c r="AC394" s="31">
        <f>IF(OR($Y394="",N($Z394)&lt;=0,$AB394=""),0,IFERROR(LOOKUP(2,1/((거래처별!$AC$8:$AC$307&lt;&gt;"")*ISNUMBER(SEARCH(거래처별!$AC$8:$AC$307,$AB394))),거래처별!$A$8:$A$307),IFERROR(LOOKUP(2,1/((거래처별!$AD$8:$AD$307&lt;&gt;"")*ISNUMBER(SEARCH(거래처별!$AD$8:$AD$307,$AB394))),거래처별!$A$8:$A$307),IFERROR(LOOKUP(2,1/((거래처별!$AE$8:$AE$307&lt;&gt;"")*ISNUMBER(SEARCH(거래처별!$AE$8:$AE$307,$AB394))),거래처별!$A$8:$A$307),0))))</f>
        <v/>
      </c>
      <c r="AD394" s="31">
        <f>IF(AND($Y394&lt;&gt;"",N($Z394)&gt;0,$AC394=0),MAX($AD$7:$AD393)+1,"")</f>
        <v/>
      </c>
      <c r="AE394" s="31">
        <f>IF($Y394="",0,$Y394)</f>
        <v/>
      </c>
    </row>
    <row r="395">
      <c r="W395" s="31">
        <f>IF(OR($B$5="",$C$6="",ROW()&lt;$B$5),"",IF(INDEX($A:$U,ROW(),$C$6)="","",INDEX($A:$U,ROW(),$C$6)))</f>
        <v/>
      </c>
      <c r="X395" s="32">
        <f>IF($W395="","",IF(ISNUMBER($W395),IF($W395&gt;=10000000,IFERROR(DATE(INT($W395/10000),MOD(INT($W395/100),100),MOD($W395,100)),""),INT($W395)),IFERROR(DATE(--LEFT(LEFT(SUBSTITUTE(SUBSTITUTE(SUBSTITUTE(SUBSTITUTE(TRIM($W395),"-",""),".",""),"/","")," ",""),8),4),--MID(LEFT(SUBSTITUTE(SUBSTITUTE(SUBSTITUTE(SUBSTITUTE(TRIM($W395),"-",""),".",""),"/","")," ",""),8),5,2),--MID(LEFT(SUBSTITUTE(SUBSTITUTE(SUBSTITUTE(SUBSTITUTE(TRIM($W395),"-",""),".",""),"/","")," ",""),8),7,2)),"")))</f>
        <v/>
      </c>
      <c r="Y395" s="32">
        <f>IF($X395="","",INT($X395))</f>
        <v/>
      </c>
      <c r="Z395" s="33">
        <f>IF(OR($Y395="",$D$6=""),"",IF(INDEX($A:$U,ROW(),$D$6)="",0,IF(ISNUMBER(INDEX($A:$U,ROW(),$D$6)),INDEX($A:$U,ROW(),$D$6),IFERROR(--SUBSTITUTE(SUBSTITUTE(TRIM(INDEX($A:$U,ROW(),$D$6)),",",""),"원",""),0))))</f>
        <v/>
      </c>
      <c r="AA395" s="31">
        <f>IF($Y395="","",TRIM(INDEX($A:$U,ROW(),$E$6)&amp;IF($F$6="",""," "&amp;INDEX($A:$U,ROW(),$F$6))))</f>
        <v/>
      </c>
      <c r="AB395" s="31">
        <f>IF($AA395="","",SUBSTITUTE(SUBSTITUTE(SUBSTITUTE(SUBSTITUTE(SUBSTITUTE(SUBSTITUTE(SUBSTITUTE(SUBSTITUTE(SUBSTITUTE($AA395," ",""),"　",""),"(주)",""),"（주）",""),"㈜",""),"주식회사",""),"(유)",""),"（유）",""),"유한회사",""))</f>
        <v/>
      </c>
      <c r="AC395" s="31">
        <f>IF(OR($Y395="",N($Z395)&lt;=0,$AB395=""),0,IFERROR(LOOKUP(2,1/((거래처별!$AC$8:$AC$307&lt;&gt;"")*ISNUMBER(SEARCH(거래처별!$AC$8:$AC$307,$AB395))),거래처별!$A$8:$A$307),IFERROR(LOOKUP(2,1/((거래처별!$AD$8:$AD$307&lt;&gt;"")*ISNUMBER(SEARCH(거래처별!$AD$8:$AD$307,$AB395))),거래처별!$A$8:$A$307),IFERROR(LOOKUP(2,1/((거래처별!$AE$8:$AE$307&lt;&gt;"")*ISNUMBER(SEARCH(거래처별!$AE$8:$AE$307,$AB395))),거래처별!$A$8:$A$307),0))))</f>
        <v/>
      </c>
      <c r="AD395" s="31">
        <f>IF(AND($Y395&lt;&gt;"",N($Z395)&gt;0,$AC395=0),MAX($AD$7:$AD394)+1,"")</f>
        <v/>
      </c>
      <c r="AE395" s="31">
        <f>IF($Y395="",0,$Y395)</f>
        <v/>
      </c>
    </row>
    <row r="396">
      <c r="W396" s="31">
        <f>IF(OR($B$5="",$C$6="",ROW()&lt;$B$5),"",IF(INDEX($A:$U,ROW(),$C$6)="","",INDEX($A:$U,ROW(),$C$6)))</f>
        <v/>
      </c>
      <c r="X396" s="32">
        <f>IF($W396="","",IF(ISNUMBER($W396),IF($W396&gt;=10000000,IFERROR(DATE(INT($W396/10000),MOD(INT($W396/100),100),MOD($W396,100)),""),INT($W396)),IFERROR(DATE(--LEFT(LEFT(SUBSTITUTE(SUBSTITUTE(SUBSTITUTE(SUBSTITUTE(TRIM($W396),"-",""),".",""),"/","")," ",""),8),4),--MID(LEFT(SUBSTITUTE(SUBSTITUTE(SUBSTITUTE(SUBSTITUTE(TRIM($W396),"-",""),".",""),"/","")," ",""),8),5,2),--MID(LEFT(SUBSTITUTE(SUBSTITUTE(SUBSTITUTE(SUBSTITUTE(TRIM($W396),"-",""),".",""),"/","")," ",""),8),7,2)),"")))</f>
        <v/>
      </c>
      <c r="Y396" s="32">
        <f>IF($X396="","",INT($X396))</f>
        <v/>
      </c>
      <c r="Z396" s="33">
        <f>IF(OR($Y396="",$D$6=""),"",IF(INDEX($A:$U,ROW(),$D$6)="",0,IF(ISNUMBER(INDEX($A:$U,ROW(),$D$6)),INDEX($A:$U,ROW(),$D$6),IFERROR(--SUBSTITUTE(SUBSTITUTE(TRIM(INDEX($A:$U,ROW(),$D$6)),",",""),"원",""),0))))</f>
        <v/>
      </c>
      <c r="AA396" s="31">
        <f>IF($Y396="","",TRIM(INDEX($A:$U,ROW(),$E$6)&amp;IF($F$6="",""," "&amp;INDEX($A:$U,ROW(),$F$6))))</f>
        <v/>
      </c>
      <c r="AB396" s="31">
        <f>IF($AA396="","",SUBSTITUTE(SUBSTITUTE(SUBSTITUTE(SUBSTITUTE(SUBSTITUTE(SUBSTITUTE(SUBSTITUTE(SUBSTITUTE(SUBSTITUTE($AA396," ",""),"　",""),"(주)",""),"（주）",""),"㈜",""),"주식회사",""),"(유)",""),"（유）",""),"유한회사",""))</f>
        <v/>
      </c>
      <c r="AC396" s="31">
        <f>IF(OR($Y396="",N($Z396)&lt;=0,$AB396=""),0,IFERROR(LOOKUP(2,1/((거래처별!$AC$8:$AC$307&lt;&gt;"")*ISNUMBER(SEARCH(거래처별!$AC$8:$AC$307,$AB396))),거래처별!$A$8:$A$307),IFERROR(LOOKUP(2,1/((거래처별!$AD$8:$AD$307&lt;&gt;"")*ISNUMBER(SEARCH(거래처별!$AD$8:$AD$307,$AB396))),거래처별!$A$8:$A$307),IFERROR(LOOKUP(2,1/((거래처별!$AE$8:$AE$307&lt;&gt;"")*ISNUMBER(SEARCH(거래처별!$AE$8:$AE$307,$AB396))),거래처별!$A$8:$A$307),0))))</f>
        <v/>
      </c>
      <c r="AD396" s="31">
        <f>IF(AND($Y396&lt;&gt;"",N($Z396)&gt;0,$AC396=0),MAX($AD$7:$AD395)+1,"")</f>
        <v/>
      </c>
      <c r="AE396" s="31">
        <f>IF($Y396="",0,$Y396)</f>
        <v/>
      </c>
    </row>
    <row r="397">
      <c r="W397" s="31">
        <f>IF(OR($B$5="",$C$6="",ROW()&lt;$B$5),"",IF(INDEX($A:$U,ROW(),$C$6)="","",INDEX($A:$U,ROW(),$C$6)))</f>
        <v/>
      </c>
      <c r="X397" s="32">
        <f>IF($W397="","",IF(ISNUMBER($W397),IF($W397&gt;=10000000,IFERROR(DATE(INT($W397/10000),MOD(INT($W397/100),100),MOD($W397,100)),""),INT($W397)),IFERROR(DATE(--LEFT(LEFT(SUBSTITUTE(SUBSTITUTE(SUBSTITUTE(SUBSTITUTE(TRIM($W397),"-",""),".",""),"/","")," ",""),8),4),--MID(LEFT(SUBSTITUTE(SUBSTITUTE(SUBSTITUTE(SUBSTITUTE(TRIM($W397),"-",""),".",""),"/","")," ",""),8),5,2),--MID(LEFT(SUBSTITUTE(SUBSTITUTE(SUBSTITUTE(SUBSTITUTE(TRIM($W397),"-",""),".",""),"/","")," ",""),8),7,2)),"")))</f>
        <v/>
      </c>
      <c r="Y397" s="32">
        <f>IF($X397="","",INT($X397))</f>
        <v/>
      </c>
      <c r="Z397" s="33">
        <f>IF(OR($Y397="",$D$6=""),"",IF(INDEX($A:$U,ROW(),$D$6)="",0,IF(ISNUMBER(INDEX($A:$U,ROW(),$D$6)),INDEX($A:$U,ROW(),$D$6),IFERROR(--SUBSTITUTE(SUBSTITUTE(TRIM(INDEX($A:$U,ROW(),$D$6)),",",""),"원",""),0))))</f>
        <v/>
      </c>
      <c r="AA397" s="31">
        <f>IF($Y397="","",TRIM(INDEX($A:$U,ROW(),$E$6)&amp;IF($F$6="",""," "&amp;INDEX($A:$U,ROW(),$F$6))))</f>
        <v/>
      </c>
      <c r="AB397" s="31">
        <f>IF($AA397="","",SUBSTITUTE(SUBSTITUTE(SUBSTITUTE(SUBSTITUTE(SUBSTITUTE(SUBSTITUTE(SUBSTITUTE(SUBSTITUTE(SUBSTITUTE($AA397," ",""),"　",""),"(주)",""),"（주）",""),"㈜",""),"주식회사",""),"(유)",""),"（유）",""),"유한회사",""))</f>
        <v/>
      </c>
      <c r="AC397" s="31">
        <f>IF(OR($Y397="",N($Z397)&lt;=0,$AB397=""),0,IFERROR(LOOKUP(2,1/((거래처별!$AC$8:$AC$307&lt;&gt;"")*ISNUMBER(SEARCH(거래처별!$AC$8:$AC$307,$AB397))),거래처별!$A$8:$A$307),IFERROR(LOOKUP(2,1/((거래처별!$AD$8:$AD$307&lt;&gt;"")*ISNUMBER(SEARCH(거래처별!$AD$8:$AD$307,$AB397))),거래처별!$A$8:$A$307),IFERROR(LOOKUP(2,1/((거래처별!$AE$8:$AE$307&lt;&gt;"")*ISNUMBER(SEARCH(거래처별!$AE$8:$AE$307,$AB397))),거래처별!$A$8:$A$307),0))))</f>
        <v/>
      </c>
      <c r="AD397" s="31">
        <f>IF(AND($Y397&lt;&gt;"",N($Z397)&gt;0,$AC397=0),MAX($AD$7:$AD396)+1,"")</f>
        <v/>
      </c>
      <c r="AE397" s="31">
        <f>IF($Y397="",0,$Y397)</f>
        <v/>
      </c>
    </row>
    <row r="398">
      <c r="W398" s="31">
        <f>IF(OR($B$5="",$C$6="",ROW()&lt;$B$5),"",IF(INDEX($A:$U,ROW(),$C$6)="","",INDEX($A:$U,ROW(),$C$6)))</f>
        <v/>
      </c>
      <c r="X398" s="32">
        <f>IF($W398="","",IF(ISNUMBER($W398),IF($W398&gt;=10000000,IFERROR(DATE(INT($W398/10000),MOD(INT($W398/100),100),MOD($W398,100)),""),INT($W398)),IFERROR(DATE(--LEFT(LEFT(SUBSTITUTE(SUBSTITUTE(SUBSTITUTE(SUBSTITUTE(TRIM($W398),"-",""),".",""),"/","")," ",""),8),4),--MID(LEFT(SUBSTITUTE(SUBSTITUTE(SUBSTITUTE(SUBSTITUTE(TRIM($W398),"-",""),".",""),"/","")," ",""),8),5,2),--MID(LEFT(SUBSTITUTE(SUBSTITUTE(SUBSTITUTE(SUBSTITUTE(TRIM($W398),"-",""),".",""),"/","")," ",""),8),7,2)),"")))</f>
        <v/>
      </c>
      <c r="Y398" s="32">
        <f>IF($X398="","",INT($X398))</f>
        <v/>
      </c>
      <c r="Z398" s="33">
        <f>IF(OR($Y398="",$D$6=""),"",IF(INDEX($A:$U,ROW(),$D$6)="",0,IF(ISNUMBER(INDEX($A:$U,ROW(),$D$6)),INDEX($A:$U,ROW(),$D$6),IFERROR(--SUBSTITUTE(SUBSTITUTE(TRIM(INDEX($A:$U,ROW(),$D$6)),",",""),"원",""),0))))</f>
        <v/>
      </c>
      <c r="AA398" s="31">
        <f>IF($Y398="","",TRIM(INDEX($A:$U,ROW(),$E$6)&amp;IF($F$6="",""," "&amp;INDEX($A:$U,ROW(),$F$6))))</f>
        <v/>
      </c>
      <c r="AB398" s="31">
        <f>IF($AA398="","",SUBSTITUTE(SUBSTITUTE(SUBSTITUTE(SUBSTITUTE(SUBSTITUTE(SUBSTITUTE(SUBSTITUTE(SUBSTITUTE(SUBSTITUTE($AA398," ",""),"　",""),"(주)",""),"（주）",""),"㈜",""),"주식회사",""),"(유)",""),"（유）",""),"유한회사",""))</f>
        <v/>
      </c>
      <c r="AC398" s="31">
        <f>IF(OR($Y398="",N($Z398)&lt;=0,$AB398=""),0,IFERROR(LOOKUP(2,1/((거래처별!$AC$8:$AC$307&lt;&gt;"")*ISNUMBER(SEARCH(거래처별!$AC$8:$AC$307,$AB398))),거래처별!$A$8:$A$307),IFERROR(LOOKUP(2,1/((거래처별!$AD$8:$AD$307&lt;&gt;"")*ISNUMBER(SEARCH(거래처별!$AD$8:$AD$307,$AB398))),거래처별!$A$8:$A$307),IFERROR(LOOKUP(2,1/((거래처별!$AE$8:$AE$307&lt;&gt;"")*ISNUMBER(SEARCH(거래처별!$AE$8:$AE$307,$AB398))),거래처별!$A$8:$A$307),0))))</f>
        <v/>
      </c>
      <c r="AD398" s="31">
        <f>IF(AND($Y398&lt;&gt;"",N($Z398)&gt;0,$AC398=0),MAX($AD$7:$AD397)+1,"")</f>
        <v/>
      </c>
      <c r="AE398" s="31">
        <f>IF($Y398="",0,$Y398)</f>
        <v/>
      </c>
    </row>
    <row r="399">
      <c r="W399" s="31">
        <f>IF(OR($B$5="",$C$6="",ROW()&lt;$B$5),"",IF(INDEX($A:$U,ROW(),$C$6)="","",INDEX($A:$U,ROW(),$C$6)))</f>
        <v/>
      </c>
      <c r="X399" s="32">
        <f>IF($W399="","",IF(ISNUMBER($W399),IF($W399&gt;=10000000,IFERROR(DATE(INT($W399/10000),MOD(INT($W399/100),100),MOD($W399,100)),""),INT($W399)),IFERROR(DATE(--LEFT(LEFT(SUBSTITUTE(SUBSTITUTE(SUBSTITUTE(SUBSTITUTE(TRIM($W399),"-",""),".",""),"/","")," ",""),8),4),--MID(LEFT(SUBSTITUTE(SUBSTITUTE(SUBSTITUTE(SUBSTITUTE(TRIM($W399),"-",""),".",""),"/","")," ",""),8),5,2),--MID(LEFT(SUBSTITUTE(SUBSTITUTE(SUBSTITUTE(SUBSTITUTE(TRIM($W399),"-",""),".",""),"/","")," ",""),8),7,2)),"")))</f>
        <v/>
      </c>
      <c r="Y399" s="32">
        <f>IF($X399="","",INT($X399))</f>
        <v/>
      </c>
      <c r="Z399" s="33">
        <f>IF(OR($Y399="",$D$6=""),"",IF(INDEX($A:$U,ROW(),$D$6)="",0,IF(ISNUMBER(INDEX($A:$U,ROW(),$D$6)),INDEX($A:$U,ROW(),$D$6),IFERROR(--SUBSTITUTE(SUBSTITUTE(TRIM(INDEX($A:$U,ROW(),$D$6)),",",""),"원",""),0))))</f>
        <v/>
      </c>
      <c r="AA399" s="31">
        <f>IF($Y399="","",TRIM(INDEX($A:$U,ROW(),$E$6)&amp;IF($F$6="",""," "&amp;INDEX($A:$U,ROW(),$F$6))))</f>
        <v/>
      </c>
      <c r="AB399" s="31">
        <f>IF($AA399="","",SUBSTITUTE(SUBSTITUTE(SUBSTITUTE(SUBSTITUTE(SUBSTITUTE(SUBSTITUTE(SUBSTITUTE(SUBSTITUTE(SUBSTITUTE($AA399," ",""),"　",""),"(주)",""),"（주）",""),"㈜",""),"주식회사",""),"(유)",""),"（유）",""),"유한회사",""))</f>
        <v/>
      </c>
      <c r="AC399" s="31">
        <f>IF(OR($Y399="",N($Z399)&lt;=0,$AB399=""),0,IFERROR(LOOKUP(2,1/((거래처별!$AC$8:$AC$307&lt;&gt;"")*ISNUMBER(SEARCH(거래처별!$AC$8:$AC$307,$AB399))),거래처별!$A$8:$A$307),IFERROR(LOOKUP(2,1/((거래처별!$AD$8:$AD$307&lt;&gt;"")*ISNUMBER(SEARCH(거래처별!$AD$8:$AD$307,$AB399))),거래처별!$A$8:$A$307),IFERROR(LOOKUP(2,1/((거래처별!$AE$8:$AE$307&lt;&gt;"")*ISNUMBER(SEARCH(거래처별!$AE$8:$AE$307,$AB399))),거래처별!$A$8:$A$307),0))))</f>
        <v/>
      </c>
      <c r="AD399" s="31">
        <f>IF(AND($Y399&lt;&gt;"",N($Z399)&gt;0,$AC399=0),MAX($AD$7:$AD398)+1,"")</f>
        <v/>
      </c>
      <c r="AE399" s="31">
        <f>IF($Y399="",0,$Y399)</f>
        <v/>
      </c>
    </row>
    <row r="400">
      <c r="W400" s="31">
        <f>IF(OR($B$5="",$C$6="",ROW()&lt;$B$5),"",IF(INDEX($A:$U,ROW(),$C$6)="","",INDEX($A:$U,ROW(),$C$6)))</f>
        <v/>
      </c>
      <c r="X400" s="32">
        <f>IF($W400="","",IF(ISNUMBER($W400),IF($W400&gt;=10000000,IFERROR(DATE(INT($W400/10000),MOD(INT($W400/100),100),MOD($W400,100)),""),INT($W400)),IFERROR(DATE(--LEFT(LEFT(SUBSTITUTE(SUBSTITUTE(SUBSTITUTE(SUBSTITUTE(TRIM($W400),"-",""),".",""),"/","")," ",""),8),4),--MID(LEFT(SUBSTITUTE(SUBSTITUTE(SUBSTITUTE(SUBSTITUTE(TRIM($W400),"-",""),".",""),"/","")," ",""),8),5,2),--MID(LEFT(SUBSTITUTE(SUBSTITUTE(SUBSTITUTE(SUBSTITUTE(TRIM($W400),"-",""),".",""),"/","")," ",""),8),7,2)),"")))</f>
        <v/>
      </c>
      <c r="Y400" s="32">
        <f>IF($X400="","",INT($X400))</f>
        <v/>
      </c>
      <c r="Z400" s="33">
        <f>IF(OR($Y400="",$D$6=""),"",IF(INDEX($A:$U,ROW(),$D$6)="",0,IF(ISNUMBER(INDEX($A:$U,ROW(),$D$6)),INDEX($A:$U,ROW(),$D$6),IFERROR(--SUBSTITUTE(SUBSTITUTE(TRIM(INDEX($A:$U,ROW(),$D$6)),",",""),"원",""),0))))</f>
        <v/>
      </c>
      <c r="AA400" s="31">
        <f>IF($Y400="","",TRIM(INDEX($A:$U,ROW(),$E$6)&amp;IF($F$6="",""," "&amp;INDEX($A:$U,ROW(),$F$6))))</f>
        <v/>
      </c>
      <c r="AB400" s="31">
        <f>IF($AA400="","",SUBSTITUTE(SUBSTITUTE(SUBSTITUTE(SUBSTITUTE(SUBSTITUTE(SUBSTITUTE(SUBSTITUTE(SUBSTITUTE(SUBSTITUTE($AA400," ",""),"　",""),"(주)",""),"（주）",""),"㈜",""),"주식회사",""),"(유)",""),"（유）",""),"유한회사",""))</f>
        <v/>
      </c>
      <c r="AC400" s="31">
        <f>IF(OR($Y400="",N($Z400)&lt;=0,$AB400=""),0,IFERROR(LOOKUP(2,1/((거래처별!$AC$8:$AC$307&lt;&gt;"")*ISNUMBER(SEARCH(거래처별!$AC$8:$AC$307,$AB400))),거래처별!$A$8:$A$307),IFERROR(LOOKUP(2,1/((거래처별!$AD$8:$AD$307&lt;&gt;"")*ISNUMBER(SEARCH(거래처별!$AD$8:$AD$307,$AB400))),거래처별!$A$8:$A$307),IFERROR(LOOKUP(2,1/((거래처별!$AE$8:$AE$307&lt;&gt;"")*ISNUMBER(SEARCH(거래처별!$AE$8:$AE$307,$AB400))),거래처별!$A$8:$A$307),0))))</f>
        <v/>
      </c>
      <c r="AD400" s="31">
        <f>IF(AND($Y400&lt;&gt;"",N($Z400)&gt;0,$AC400=0),MAX($AD$7:$AD399)+1,"")</f>
        <v/>
      </c>
      <c r="AE400" s="31">
        <f>IF($Y400="",0,$Y400)</f>
        <v/>
      </c>
    </row>
    <row r="401">
      <c r="W401" s="31">
        <f>IF(OR($B$5="",$C$6="",ROW()&lt;$B$5),"",IF(INDEX($A:$U,ROW(),$C$6)="","",INDEX($A:$U,ROW(),$C$6)))</f>
        <v/>
      </c>
      <c r="X401" s="32">
        <f>IF($W401="","",IF(ISNUMBER($W401),IF($W401&gt;=10000000,IFERROR(DATE(INT($W401/10000),MOD(INT($W401/100),100),MOD($W401,100)),""),INT($W401)),IFERROR(DATE(--LEFT(LEFT(SUBSTITUTE(SUBSTITUTE(SUBSTITUTE(SUBSTITUTE(TRIM($W401),"-",""),".",""),"/","")," ",""),8),4),--MID(LEFT(SUBSTITUTE(SUBSTITUTE(SUBSTITUTE(SUBSTITUTE(TRIM($W401),"-",""),".",""),"/","")," ",""),8),5,2),--MID(LEFT(SUBSTITUTE(SUBSTITUTE(SUBSTITUTE(SUBSTITUTE(TRIM($W401),"-",""),".",""),"/","")," ",""),8),7,2)),"")))</f>
        <v/>
      </c>
      <c r="Y401" s="32">
        <f>IF($X401="","",INT($X401))</f>
        <v/>
      </c>
      <c r="Z401" s="33">
        <f>IF(OR($Y401="",$D$6=""),"",IF(INDEX($A:$U,ROW(),$D$6)="",0,IF(ISNUMBER(INDEX($A:$U,ROW(),$D$6)),INDEX($A:$U,ROW(),$D$6),IFERROR(--SUBSTITUTE(SUBSTITUTE(TRIM(INDEX($A:$U,ROW(),$D$6)),",",""),"원",""),0))))</f>
        <v/>
      </c>
      <c r="AA401" s="31">
        <f>IF($Y401="","",TRIM(INDEX($A:$U,ROW(),$E$6)&amp;IF($F$6="",""," "&amp;INDEX($A:$U,ROW(),$F$6))))</f>
        <v/>
      </c>
      <c r="AB401" s="31">
        <f>IF($AA401="","",SUBSTITUTE(SUBSTITUTE(SUBSTITUTE(SUBSTITUTE(SUBSTITUTE(SUBSTITUTE(SUBSTITUTE(SUBSTITUTE(SUBSTITUTE($AA401," ",""),"　",""),"(주)",""),"（주）",""),"㈜",""),"주식회사",""),"(유)",""),"（유）",""),"유한회사",""))</f>
        <v/>
      </c>
      <c r="AC401" s="31">
        <f>IF(OR($Y401="",N($Z401)&lt;=0,$AB401=""),0,IFERROR(LOOKUP(2,1/((거래처별!$AC$8:$AC$307&lt;&gt;"")*ISNUMBER(SEARCH(거래처별!$AC$8:$AC$307,$AB401))),거래처별!$A$8:$A$307),IFERROR(LOOKUP(2,1/((거래처별!$AD$8:$AD$307&lt;&gt;"")*ISNUMBER(SEARCH(거래처별!$AD$8:$AD$307,$AB401))),거래처별!$A$8:$A$307),IFERROR(LOOKUP(2,1/((거래처별!$AE$8:$AE$307&lt;&gt;"")*ISNUMBER(SEARCH(거래처별!$AE$8:$AE$307,$AB401))),거래처별!$A$8:$A$307),0))))</f>
        <v/>
      </c>
      <c r="AD401" s="31">
        <f>IF(AND($Y401&lt;&gt;"",N($Z401)&gt;0,$AC401=0),MAX($AD$7:$AD400)+1,"")</f>
        <v/>
      </c>
      <c r="AE401" s="31">
        <f>IF($Y401="",0,$Y401)</f>
        <v/>
      </c>
    </row>
    <row r="402">
      <c r="W402" s="31">
        <f>IF(OR($B$5="",$C$6="",ROW()&lt;$B$5),"",IF(INDEX($A:$U,ROW(),$C$6)="","",INDEX($A:$U,ROW(),$C$6)))</f>
        <v/>
      </c>
      <c r="X402" s="32">
        <f>IF($W402="","",IF(ISNUMBER($W402),IF($W402&gt;=10000000,IFERROR(DATE(INT($W402/10000),MOD(INT($W402/100),100),MOD($W402,100)),""),INT($W402)),IFERROR(DATE(--LEFT(LEFT(SUBSTITUTE(SUBSTITUTE(SUBSTITUTE(SUBSTITUTE(TRIM($W402),"-",""),".",""),"/","")," ",""),8),4),--MID(LEFT(SUBSTITUTE(SUBSTITUTE(SUBSTITUTE(SUBSTITUTE(TRIM($W402),"-",""),".",""),"/","")," ",""),8),5,2),--MID(LEFT(SUBSTITUTE(SUBSTITUTE(SUBSTITUTE(SUBSTITUTE(TRIM($W402),"-",""),".",""),"/","")," ",""),8),7,2)),"")))</f>
        <v/>
      </c>
      <c r="Y402" s="32">
        <f>IF($X402="","",INT($X402))</f>
        <v/>
      </c>
      <c r="Z402" s="33">
        <f>IF(OR($Y402="",$D$6=""),"",IF(INDEX($A:$U,ROW(),$D$6)="",0,IF(ISNUMBER(INDEX($A:$U,ROW(),$D$6)),INDEX($A:$U,ROW(),$D$6),IFERROR(--SUBSTITUTE(SUBSTITUTE(TRIM(INDEX($A:$U,ROW(),$D$6)),",",""),"원",""),0))))</f>
        <v/>
      </c>
      <c r="AA402" s="31">
        <f>IF($Y402="","",TRIM(INDEX($A:$U,ROW(),$E$6)&amp;IF($F$6="",""," "&amp;INDEX($A:$U,ROW(),$F$6))))</f>
        <v/>
      </c>
      <c r="AB402" s="31">
        <f>IF($AA402="","",SUBSTITUTE(SUBSTITUTE(SUBSTITUTE(SUBSTITUTE(SUBSTITUTE(SUBSTITUTE(SUBSTITUTE(SUBSTITUTE(SUBSTITUTE($AA402," ",""),"　",""),"(주)",""),"（주）",""),"㈜",""),"주식회사",""),"(유)",""),"（유）",""),"유한회사",""))</f>
        <v/>
      </c>
      <c r="AC402" s="31">
        <f>IF(OR($Y402="",N($Z402)&lt;=0,$AB402=""),0,IFERROR(LOOKUP(2,1/((거래처별!$AC$8:$AC$307&lt;&gt;"")*ISNUMBER(SEARCH(거래처별!$AC$8:$AC$307,$AB402))),거래처별!$A$8:$A$307),IFERROR(LOOKUP(2,1/((거래처별!$AD$8:$AD$307&lt;&gt;"")*ISNUMBER(SEARCH(거래처별!$AD$8:$AD$307,$AB402))),거래처별!$A$8:$A$307),IFERROR(LOOKUP(2,1/((거래처별!$AE$8:$AE$307&lt;&gt;"")*ISNUMBER(SEARCH(거래처별!$AE$8:$AE$307,$AB402))),거래처별!$A$8:$A$307),0))))</f>
        <v/>
      </c>
      <c r="AD402" s="31">
        <f>IF(AND($Y402&lt;&gt;"",N($Z402)&gt;0,$AC402=0),MAX($AD$7:$AD401)+1,"")</f>
        <v/>
      </c>
      <c r="AE402" s="31">
        <f>IF($Y402="",0,$Y402)</f>
        <v/>
      </c>
    </row>
    <row r="403">
      <c r="W403" s="31">
        <f>IF(OR($B$5="",$C$6="",ROW()&lt;$B$5),"",IF(INDEX($A:$U,ROW(),$C$6)="","",INDEX($A:$U,ROW(),$C$6)))</f>
        <v/>
      </c>
      <c r="X403" s="32">
        <f>IF($W403="","",IF(ISNUMBER($W403),IF($W403&gt;=10000000,IFERROR(DATE(INT($W403/10000),MOD(INT($W403/100),100),MOD($W403,100)),""),INT($W403)),IFERROR(DATE(--LEFT(LEFT(SUBSTITUTE(SUBSTITUTE(SUBSTITUTE(SUBSTITUTE(TRIM($W403),"-",""),".",""),"/","")," ",""),8),4),--MID(LEFT(SUBSTITUTE(SUBSTITUTE(SUBSTITUTE(SUBSTITUTE(TRIM($W403),"-",""),".",""),"/","")," ",""),8),5,2),--MID(LEFT(SUBSTITUTE(SUBSTITUTE(SUBSTITUTE(SUBSTITUTE(TRIM($W403),"-",""),".",""),"/","")," ",""),8),7,2)),"")))</f>
        <v/>
      </c>
      <c r="Y403" s="32">
        <f>IF($X403="","",INT($X403))</f>
        <v/>
      </c>
      <c r="Z403" s="33">
        <f>IF(OR($Y403="",$D$6=""),"",IF(INDEX($A:$U,ROW(),$D$6)="",0,IF(ISNUMBER(INDEX($A:$U,ROW(),$D$6)),INDEX($A:$U,ROW(),$D$6),IFERROR(--SUBSTITUTE(SUBSTITUTE(TRIM(INDEX($A:$U,ROW(),$D$6)),",",""),"원",""),0))))</f>
        <v/>
      </c>
      <c r="AA403" s="31">
        <f>IF($Y403="","",TRIM(INDEX($A:$U,ROW(),$E$6)&amp;IF($F$6="",""," "&amp;INDEX($A:$U,ROW(),$F$6))))</f>
        <v/>
      </c>
      <c r="AB403" s="31">
        <f>IF($AA403="","",SUBSTITUTE(SUBSTITUTE(SUBSTITUTE(SUBSTITUTE(SUBSTITUTE(SUBSTITUTE(SUBSTITUTE(SUBSTITUTE(SUBSTITUTE($AA403," ",""),"　",""),"(주)",""),"（주）",""),"㈜",""),"주식회사",""),"(유)",""),"（유）",""),"유한회사",""))</f>
        <v/>
      </c>
      <c r="AC403" s="31">
        <f>IF(OR($Y403="",N($Z403)&lt;=0,$AB403=""),0,IFERROR(LOOKUP(2,1/((거래처별!$AC$8:$AC$307&lt;&gt;"")*ISNUMBER(SEARCH(거래처별!$AC$8:$AC$307,$AB403))),거래처별!$A$8:$A$307),IFERROR(LOOKUP(2,1/((거래처별!$AD$8:$AD$307&lt;&gt;"")*ISNUMBER(SEARCH(거래처별!$AD$8:$AD$307,$AB403))),거래처별!$A$8:$A$307),IFERROR(LOOKUP(2,1/((거래처별!$AE$8:$AE$307&lt;&gt;"")*ISNUMBER(SEARCH(거래처별!$AE$8:$AE$307,$AB403))),거래처별!$A$8:$A$307),0))))</f>
        <v/>
      </c>
      <c r="AD403" s="31">
        <f>IF(AND($Y403&lt;&gt;"",N($Z403)&gt;0,$AC403=0),MAX($AD$7:$AD402)+1,"")</f>
        <v/>
      </c>
      <c r="AE403" s="31">
        <f>IF($Y403="",0,$Y403)</f>
        <v/>
      </c>
    </row>
    <row r="404">
      <c r="W404" s="31">
        <f>IF(OR($B$5="",$C$6="",ROW()&lt;$B$5),"",IF(INDEX($A:$U,ROW(),$C$6)="","",INDEX($A:$U,ROW(),$C$6)))</f>
        <v/>
      </c>
      <c r="X404" s="32">
        <f>IF($W404="","",IF(ISNUMBER($W404),IF($W404&gt;=10000000,IFERROR(DATE(INT($W404/10000),MOD(INT($W404/100),100),MOD($W404,100)),""),INT($W404)),IFERROR(DATE(--LEFT(LEFT(SUBSTITUTE(SUBSTITUTE(SUBSTITUTE(SUBSTITUTE(TRIM($W404),"-",""),".",""),"/","")," ",""),8),4),--MID(LEFT(SUBSTITUTE(SUBSTITUTE(SUBSTITUTE(SUBSTITUTE(TRIM($W404),"-",""),".",""),"/","")," ",""),8),5,2),--MID(LEFT(SUBSTITUTE(SUBSTITUTE(SUBSTITUTE(SUBSTITUTE(TRIM($W404),"-",""),".",""),"/","")," ",""),8),7,2)),"")))</f>
        <v/>
      </c>
      <c r="Y404" s="32">
        <f>IF($X404="","",INT($X404))</f>
        <v/>
      </c>
      <c r="Z404" s="33">
        <f>IF(OR($Y404="",$D$6=""),"",IF(INDEX($A:$U,ROW(),$D$6)="",0,IF(ISNUMBER(INDEX($A:$U,ROW(),$D$6)),INDEX($A:$U,ROW(),$D$6),IFERROR(--SUBSTITUTE(SUBSTITUTE(TRIM(INDEX($A:$U,ROW(),$D$6)),",",""),"원",""),0))))</f>
        <v/>
      </c>
      <c r="AA404" s="31">
        <f>IF($Y404="","",TRIM(INDEX($A:$U,ROW(),$E$6)&amp;IF($F$6="",""," "&amp;INDEX($A:$U,ROW(),$F$6))))</f>
        <v/>
      </c>
      <c r="AB404" s="31">
        <f>IF($AA404="","",SUBSTITUTE(SUBSTITUTE(SUBSTITUTE(SUBSTITUTE(SUBSTITUTE(SUBSTITUTE(SUBSTITUTE(SUBSTITUTE(SUBSTITUTE($AA404," ",""),"　",""),"(주)",""),"（주）",""),"㈜",""),"주식회사",""),"(유)",""),"（유）",""),"유한회사",""))</f>
        <v/>
      </c>
      <c r="AC404" s="31">
        <f>IF(OR($Y404="",N($Z404)&lt;=0,$AB404=""),0,IFERROR(LOOKUP(2,1/((거래처별!$AC$8:$AC$307&lt;&gt;"")*ISNUMBER(SEARCH(거래처별!$AC$8:$AC$307,$AB404))),거래처별!$A$8:$A$307),IFERROR(LOOKUP(2,1/((거래처별!$AD$8:$AD$307&lt;&gt;"")*ISNUMBER(SEARCH(거래처별!$AD$8:$AD$307,$AB404))),거래처별!$A$8:$A$307),IFERROR(LOOKUP(2,1/((거래처별!$AE$8:$AE$307&lt;&gt;"")*ISNUMBER(SEARCH(거래처별!$AE$8:$AE$307,$AB404))),거래처별!$A$8:$A$307),0))))</f>
        <v/>
      </c>
      <c r="AD404" s="31">
        <f>IF(AND($Y404&lt;&gt;"",N($Z404)&gt;0,$AC404=0),MAX($AD$7:$AD403)+1,"")</f>
        <v/>
      </c>
      <c r="AE404" s="31">
        <f>IF($Y404="",0,$Y404)</f>
        <v/>
      </c>
    </row>
    <row r="405">
      <c r="W405" s="31">
        <f>IF(OR($B$5="",$C$6="",ROW()&lt;$B$5),"",IF(INDEX($A:$U,ROW(),$C$6)="","",INDEX($A:$U,ROW(),$C$6)))</f>
        <v/>
      </c>
      <c r="X405" s="32">
        <f>IF($W405="","",IF(ISNUMBER($W405),IF($W405&gt;=10000000,IFERROR(DATE(INT($W405/10000),MOD(INT($W405/100),100),MOD($W405,100)),""),INT($W405)),IFERROR(DATE(--LEFT(LEFT(SUBSTITUTE(SUBSTITUTE(SUBSTITUTE(SUBSTITUTE(TRIM($W405),"-",""),".",""),"/","")," ",""),8),4),--MID(LEFT(SUBSTITUTE(SUBSTITUTE(SUBSTITUTE(SUBSTITUTE(TRIM($W405),"-",""),".",""),"/","")," ",""),8),5,2),--MID(LEFT(SUBSTITUTE(SUBSTITUTE(SUBSTITUTE(SUBSTITUTE(TRIM($W405),"-",""),".",""),"/","")," ",""),8),7,2)),"")))</f>
        <v/>
      </c>
      <c r="Y405" s="32">
        <f>IF($X405="","",INT($X405))</f>
        <v/>
      </c>
      <c r="Z405" s="33">
        <f>IF(OR($Y405="",$D$6=""),"",IF(INDEX($A:$U,ROW(),$D$6)="",0,IF(ISNUMBER(INDEX($A:$U,ROW(),$D$6)),INDEX($A:$U,ROW(),$D$6),IFERROR(--SUBSTITUTE(SUBSTITUTE(TRIM(INDEX($A:$U,ROW(),$D$6)),",",""),"원",""),0))))</f>
        <v/>
      </c>
      <c r="AA405" s="31">
        <f>IF($Y405="","",TRIM(INDEX($A:$U,ROW(),$E$6)&amp;IF($F$6="",""," "&amp;INDEX($A:$U,ROW(),$F$6))))</f>
        <v/>
      </c>
      <c r="AB405" s="31">
        <f>IF($AA405="","",SUBSTITUTE(SUBSTITUTE(SUBSTITUTE(SUBSTITUTE(SUBSTITUTE(SUBSTITUTE(SUBSTITUTE(SUBSTITUTE(SUBSTITUTE($AA405," ",""),"　",""),"(주)",""),"（주）",""),"㈜",""),"주식회사",""),"(유)",""),"（유）",""),"유한회사",""))</f>
        <v/>
      </c>
      <c r="AC405" s="31">
        <f>IF(OR($Y405="",N($Z405)&lt;=0,$AB405=""),0,IFERROR(LOOKUP(2,1/((거래처별!$AC$8:$AC$307&lt;&gt;"")*ISNUMBER(SEARCH(거래처별!$AC$8:$AC$307,$AB405))),거래처별!$A$8:$A$307),IFERROR(LOOKUP(2,1/((거래처별!$AD$8:$AD$307&lt;&gt;"")*ISNUMBER(SEARCH(거래처별!$AD$8:$AD$307,$AB405))),거래처별!$A$8:$A$307),IFERROR(LOOKUP(2,1/((거래처별!$AE$8:$AE$307&lt;&gt;"")*ISNUMBER(SEARCH(거래처별!$AE$8:$AE$307,$AB405))),거래처별!$A$8:$A$307),0))))</f>
        <v/>
      </c>
      <c r="AD405" s="31">
        <f>IF(AND($Y405&lt;&gt;"",N($Z405)&gt;0,$AC405=0),MAX($AD$7:$AD404)+1,"")</f>
        <v/>
      </c>
      <c r="AE405" s="31">
        <f>IF($Y405="",0,$Y405)</f>
        <v/>
      </c>
    </row>
    <row r="406">
      <c r="W406" s="31">
        <f>IF(OR($B$5="",$C$6="",ROW()&lt;$B$5),"",IF(INDEX($A:$U,ROW(),$C$6)="","",INDEX($A:$U,ROW(),$C$6)))</f>
        <v/>
      </c>
      <c r="X406" s="32">
        <f>IF($W406="","",IF(ISNUMBER($W406),IF($W406&gt;=10000000,IFERROR(DATE(INT($W406/10000),MOD(INT($W406/100),100),MOD($W406,100)),""),INT($W406)),IFERROR(DATE(--LEFT(LEFT(SUBSTITUTE(SUBSTITUTE(SUBSTITUTE(SUBSTITUTE(TRIM($W406),"-",""),".",""),"/","")," ",""),8),4),--MID(LEFT(SUBSTITUTE(SUBSTITUTE(SUBSTITUTE(SUBSTITUTE(TRIM($W406),"-",""),".",""),"/","")," ",""),8),5,2),--MID(LEFT(SUBSTITUTE(SUBSTITUTE(SUBSTITUTE(SUBSTITUTE(TRIM($W406),"-",""),".",""),"/","")," ",""),8),7,2)),"")))</f>
        <v/>
      </c>
      <c r="Y406" s="32">
        <f>IF($X406="","",INT($X406))</f>
        <v/>
      </c>
      <c r="Z406" s="33">
        <f>IF(OR($Y406="",$D$6=""),"",IF(INDEX($A:$U,ROW(),$D$6)="",0,IF(ISNUMBER(INDEX($A:$U,ROW(),$D$6)),INDEX($A:$U,ROW(),$D$6),IFERROR(--SUBSTITUTE(SUBSTITUTE(TRIM(INDEX($A:$U,ROW(),$D$6)),",",""),"원",""),0))))</f>
        <v/>
      </c>
      <c r="AA406" s="31">
        <f>IF($Y406="","",TRIM(INDEX($A:$U,ROW(),$E$6)&amp;IF($F$6="",""," "&amp;INDEX($A:$U,ROW(),$F$6))))</f>
        <v/>
      </c>
      <c r="AB406" s="31">
        <f>IF($AA406="","",SUBSTITUTE(SUBSTITUTE(SUBSTITUTE(SUBSTITUTE(SUBSTITUTE(SUBSTITUTE(SUBSTITUTE(SUBSTITUTE(SUBSTITUTE($AA406," ",""),"　",""),"(주)",""),"（주）",""),"㈜",""),"주식회사",""),"(유)",""),"（유）",""),"유한회사",""))</f>
        <v/>
      </c>
      <c r="AC406" s="31">
        <f>IF(OR($Y406="",N($Z406)&lt;=0,$AB406=""),0,IFERROR(LOOKUP(2,1/((거래처별!$AC$8:$AC$307&lt;&gt;"")*ISNUMBER(SEARCH(거래처별!$AC$8:$AC$307,$AB406))),거래처별!$A$8:$A$307),IFERROR(LOOKUP(2,1/((거래처별!$AD$8:$AD$307&lt;&gt;"")*ISNUMBER(SEARCH(거래처별!$AD$8:$AD$307,$AB406))),거래처별!$A$8:$A$307),IFERROR(LOOKUP(2,1/((거래처별!$AE$8:$AE$307&lt;&gt;"")*ISNUMBER(SEARCH(거래처별!$AE$8:$AE$307,$AB406))),거래처별!$A$8:$A$307),0))))</f>
        <v/>
      </c>
      <c r="AD406" s="31">
        <f>IF(AND($Y406&lt;&gt;"",N($Z406)&gt;0,$AC406=0),MAX($AD$7:$AD405)+1,"")</f>
        <v/>
      </c>
      <c r="AE406" s="31">
        <f>IF($Y406="",0,$Y406)</f>
        <v/>
      </c>
    </row>
    <row r="407">
      <c r="W407" s="31">
        <f>IF(OR($B$5="",$C$6="",ROW()&lt;$B$5),"",IF(INDEX($A:$U,ROW(),$C$6)="","",INDEX($A:$U,ROW(),$C$6)))</f>
        <v/>
      </c>
      <c r="X407" s="32">
        <f>IF($W407="","",IF(ISNUMBER($W407),IF($W407&gt;=10000000,IFERROR(DATE(INT($W407/10000),MOD(INT($W407/100),100),MOD($W407,100)),""),INT($W407)),IFERROR(DATE(--LEFT(LEFT(SUBSTITUTE(SUBSTITUTE(SUBSTITUTE(SUBSTITUTE(TRIM($W407),"-",""),".",""),"/","")," ",""),8),4),--MID(LEFT(SUBSTITUTE(SUBSTITUTE(SUBSTITUTE(SUBSTITUTE(TRIM($W407),"-",""),".",""),"/","")," ",""),8),5,2),--MID(LEFT(SUBSTITUTE(SUBSTITUTE(SUBSTITUTE(SUBSTITUTE(TRIM($W407),"-",""),".",""),"/","")," ",""),8),7,2)),"")))</f>
        <v/>
      </c>
      <c r="Y407" s="32">
        <f>IF($X407="","",INT($X407))</f>
        <v/>
      </c>
      <c r="Z407" s="33">
        <f>IF(OR($Y407="",$D$6=""),"",IF(INDEX($A:$U,ROW(),$D$6)="",0,IF(ISNUMBER(INDEX($A:$U,ROW(),$D$6)),INDEX($A:$U,ROW(),$D$6),IFERROR(--SUBSTITUTE(SUBSTITUTE(TRIM(INDEX($A:$U,ROW(),$D$6)),",",""),"원",""),0))))</f>
        <v/>
      </c>
      <c r="AA407" s="31">
        <f>IF($Y407="","",TRIM(INDEX($A:$U,ROW(),$E$6)&amp;IF($F$6="",""," "&amp;INDEX($A:$U,ROW(),$F$6))))</f>
        <v/>
      </c>
      <c r="AB407" s="31">
        <f>IF($AA407="","",SUBSTITUTE(SUBSTITUTE(SUBSTITUTE(SUBSTITUTE(SUBSTITUTE(SUBSTITUTE(SUBSTITUTE(SUBSTITUTE(SUBSTITUTE($AA407," ",""),"　",""),"(주)",""),"（주）",""),"㈜",""),"주식회사",""),"(유)",""),"（유）",""),"유한회사",""))</f>
        <v/>
      </c>
      <c r="AC407" s="31">
        <f>IF(OR($Y407="",N($Z407)&lt;=0,$AB407=""),0,IFERROR(LOOKUP(2,1/((거래처별!$AC$8:$AC$307&lt;&gt;"")*ISNUMBER(SEARCH(거래처별!$AC$8:$AC$307,$AB407))),거래처별!$A$8:$A$307),IFERROR(LOOKUP(2,1/((거래처별!$AD$8:$AD$307&lt;&gt;"")*ISNUMBER(SEARCH(거래처별!$AD$8:$AD$307,$AB407))),거래처별!$A$8:$A$307),IFERROR(LOOKUP(2,1/((거래처별!$AE$8:$AE$307&lt;&gt;"")*ISNUMBER(SEARCH(거래처별!$AE$8:$AE$307,$AB407))),거래처별!$A$8:$A$307),0))))</f>
        <v/>
      </c>
      <c r="AD407" s="31">
        <f>IF(AND($Y407&lt;&gt;"",N($Z407)&gt;0,$AC407=0),MAX($AD$7:$AD406)+1,"")</f>
        <v/>
      </c>
      <c r="AE407" s="31">
        <f>IF($Y407="",0,$Y407)</f>
        <v/>
      </c>
    </row>
    <row r="408">
      <c r="W408" s="31">
        <f>IF(OR($B$5="",$C$6="",ROW()&lt;$B$5),"",IF(INDEX($A:$U,ROW(),$C$6)="","",INDEX($A:$U,ROW(),$C$6)))</f>
        <v/>
      </c>
      <c r="X408" s="32">
        <f>IF($W408="","",IF(ISNUMBER($W408),IF($W408&gt;=10000000,IFERROR(DATE(INT($W408/10000),MOD(INT($W408/100),100),MOD($W408,100)),""),INT($W408)),IFERROR(DATE(--LEFT(LEFT(SUBSTITUTE(SUBSTITUTE(SUBSTITUTE(SUBSTITUTE(TRIM($W408),"-",""),".",""),"/","")," ",""),8),4),--MID(LEFT(SUBSTITUTE(SUBSTITUTE(SUBSTITUTE(SUBSTITUTE(TRIM($W408),"-",""),".",""),"/","")," ",""),8),5,2),--MID(LEFT(SUBSTITUTE(SUBSTITUTE(SUBSTITUTE(SUBSTITUTE(TRIM($W408),"-",""),".",""),"/","")," ",""),8),7,2)),"")))</f>
        <v/>
      </c>
      <c r="Y408" s="32">
        <f>IF($X408="","",INT($X408))</f>
        <v/>
      </c>
      <c r="Z408" s="33">
        <f>IF(OR($Y408="",$D$6=""),"",IF(INDEX($A:$U,ROW(),$D$6)="",0,IF(ISNUMBER(INDEX($A:$U,ROW(),$D$6)),INDEX($A:$U,ROW(),$D$6),IFERROR(--SUBSTITUTE(SUBSTITUTE(TRIM(INDEX($A:$U,ROW(),$D$6)),",",""),"원",""),0))))</f>
        <v/>
      </c>
      <c r="AA408" s="31">
        <f>IF($Y408="","",TRIM(INDEX($A:$U,ROW(),$E$6)&amp;IF($F$6="",""," "&amp;INDEX($A:$U,ROW(),$F$6))))</f>
        <v/>
      </c>
      <c r="AB408" s="31">
        <f>IF($AA408="","",SUBSTITUTE(SUBSTITUTE(SUBSTITUTE(SUBSTITUTE(SUBSTITUTE(SUBSTITUTE(SUBSTITUTE(SUBSTITUTE(SUBSTITUTE($AA408," ",""),"　",""),"(주)",""),"（주）",""),"㈜",""),"주식회사",""),"(유)",""),"（유）",""),"유한회사",""))</f>
        <v/>
      </c>
      <c r="AC408" s="31">
        <f>IF(OR($Y408="",N($Z408)&lt;=0,$AB408=""),0,IFERROR(LOOKUP(2,1/((거래처별!$AC$8:$AC$307&lt;&gt;"")*ISNUMBER(SEARCH(거래처별!$AC$8:$AC$307,$AB408))),거래처별!$A$8:$A$307),IFERROR(LOOKUP(2,1/((거래처별!$AD$8:$AD$307&lt;&gt;"")*ISNUMBER(SEARCH(거래처별!$AD$8:$AD$307,$AB408))),거래처별!$A$8:$A$307),IFERROR(LOOKUP(2,1/((거래처별!$AE$8:$AE$307&lt;&gt;"")*ISNUMBER(SEARCH(거래처별!$AE$8:$AE$307,$AB408))),거래처별!$A$8:$A$307),0))))</f>
        <v/>
      </c>
      <c r="AD408" s="31">
        <f>IF(AND($Y408&lt;&gt;"",N($Z408)&gt;0,$AC408=0),MAX($AD$7:$AD407)+1,"")</f>
        <v/>
      </c>
      <c r="AE408" s="31">
        <f>IF($Y408="",0,$Y408)</f>
        <v/>
      </c>
    </row>
    <row r="409">
      <c r="W409" s="31">
        <f>IF(OR($B$5="",$C$6="",ROW()&lt;$B$5),"",IF(INDEX($A:$U,ROW(),$C$6)="","",INDEX($A:$U,ROW(),$C$6)))</f>
        <v/>
      </c>
      <c r="X409" s="32">
        <f>IF($W409="","",IF(ISNUMBER($W409),IF($W409&gt;=10000000,IFERROR(DATE(INT($W409/10000),MOD(INT($W409/100),100),MOD($W409,100)),""),INT($W409)),IFERROR(DATE(--LEFT(LEFT(SUBSTITUTE(SUBSTITUTE(SUBSTITUTE(SUBSTITUTE(TRIM($W409),"-",""),".",""),"/","")," ",""),8),4),--MID(LEFT(SUBSTITUTE(SUBSTITUTE(SUBSTITUTE(SUBSTITUTE(TRIM($W409),"-",""),".",""),"/","")," ",""),8),5,2),--MID(LEFT(SUBSTITUTE(SUBSTITUTE(SUBSTITUTE(SUBSTITUTE(TRIM($W409),"-",""),".",""),"/","")," ",""),8),7,2)),"")))</f>
        <v/>
      </c>
      <c r="Y409" s="32">
        <f>IF($X409="","",INT($X409))</f>
        <v/>
      </c>
      <c r="Z409" s="33">
        <f>IF(OR($Y409="",$D$6=""),"",IF(INDEX($A:$U,ROW(),$D$6)="",0,IF(ISNUMBER(INDEX($A:$U,ROW(),$D$6)),INDEX($A:$U,ROW(),$D$6),IFERROR(--SUBSTITUTE(SUBSTITUTE(TRIM(INDEX($A:$U,ROW(),$D$6)),",",""),"원",""),0))))</f>
        <v/>
      </c>
      <c r="AA409" s="31">
        <f>IF($Y409="","",TRIM(INDEX($A:$U,ROW(),$E$6)&amp;IF($F$6="",""," "&amp;INDEX($A:$U,ROW(),$F$6))))</f>
        <v/>
      </c>
      <c r="AB409" s="31">
        <f>IF($AA409="","",SUBSTITUTE(SUBSTITUTE(SUBSTITUTE(SUBSTITUTE(SUBSTITUTE(SUBSTITUTE(SUBSTITUTE(SUBSTITUTE(SUBSTITUTE($AA409," ",""),"　",""),"(주)",""),"（주）",""),"㈜",""),"주식회사",""),"(유)",""),"（유）",""),"유한회사",""))</f>
        <v/>
      </c>
      <c r="AC409" s="31">
        <f>IF(OR($Y409="",N($Z409)&lt;=0,$AB409=""),0,IFERROR(LOOKUP(2,1/((거래처별!$AC$8:$AC$307&lt;&gt;"")*ISNUMBER(SEARCH(거래처별!$AC$8:$AC$307,$AB409))),거래처별!$A$8:$A$307),IFERROR(LOOKUP(2,1/((거래처별!$AD$8:$AD$307&lt;&gt;"")*ISNUMBER(SEARCH(거래처별!$AD$8:$AD$307,$AB409))),거래처별!$A$8:$A$307),IFERROR(LOOKUP(2,1/((거래처별!$AE$8:$AE$307&lt;&gt;"")*ISNUMBER(SEARCH(거래처별!$AE$8:$AE$307,$AB409))),거래처별!$A$8:$A$307),0))))</f>
        <v/>
      </c>
      <c r="AD409" s="31">
        <f>IF(AND($Y409&lt;&gt;"",N($Z409)&gt;0,$AC409=0),MAX($AD$7:$AD408)+1,"")</f>
        <v/>
      </c>
      <c r="AE409" s="31">
        <f>IF($Y409="",0,$Y409)</f>
        <v/>
      </c>
    </row>
    <row r="410">
      <c r="W410" s="31">
        <f>IF(OR($B$5="",$C$6="",ROW()&lt;$B$5),"",IF(INDEX($A:$U,ROW(),$C$6)="","",INDEX($A:$U,ROW(),$C$6)))</f>
        <v/>
      </c>
      <c r="X410" s="32">
        <f>IF($W410="","",IF(ISNUMBER($W410),IF($W410&gt;=10000000,IFERROR(DATE(INT($W410/10000),MOD(INT($W410/100),100),MOD($W410,100)),""),INT($W410)),IFERROR(DATE(--LEFT(LEFT(SUBSTITUTE(SUBSTITUTE(SUBSTITUTE(SUBSTITUTE(TRIM($W410),"-",""),".",""),"/","")," ",""),8),4),--MID(LEFT(SUBSTITUTE(SUBSTITUTE(SUBSTITUTE(SUBSTITUTE(TRIM($W410),"-",""),".",""),"/","")," ",""),8),5,2),--MID(LEFT(SUBSTITUTE(SUBSTITUTE(SUBSTITUTE(SUBSTITUTE(TRIM($W410),"-",""),".",""),"/","")," ",""),8),7,2)),"")))</f>
        <v/>
      </c>
      <c r="Y410" s="32">
        <f>IF($X410="","",INT($X410))</f>
        <v/>
      </c>
      <c r="Z410" s="33">
        <f>IF(OR($Y410="",$D$6=""),"",IF(INDEX($A:$U,ROW(),$D$6)="",0,IF(ISNUMBER(INDEX($A:$U,ROW(),$D$6)),INDEX($A:$U,ROW(),$D$6),IFERROR(--SUBSTITUTE(SUBSTITUTE(TRIM(INDEX($A:$U,ROW(),$D$6)),",",""),"원",""),0))))</f>
        <v/>
      </c>
      <c r="AA410" s="31">
        <f>IF($Y410="","",TRIM(INDEX($A:$U,ROW(),$E$6)&amp;IF($F$6="",""," "&amp;INDEX($A:$U,ROW(),$F$6))))</f>
        <v/>
      </c>
      <c r="AB410" s="31">
        <f>IF($AA410="","",SUBSTITUTE(SUBSTITUTE(SUBSTITUTE(SUBSTITUTE(SUBSTITUTE(SUBSTITUTE(SUBSTITUTE(SUBSTITUTE(SUBSTITUTE($AA410," ",""),"　",""),"(주)",""),"（주）",""),"㈜",""),"주식회사",""),"(유)",""),"（유）",""),"유한회사",""))</f>
        <v/>
      </c>
      <c r="AC410" s="31">
        <f>IF(OR($Y410="",N($Z410)&lt;=0,$AB410=""),0,IFERROR(LOOKUP(2,1/((거래처별!$AC$8:$AC$307&lt;&gt;"")*ISNUMBER(SEARCH(거래처별!$AC$8:$AC$307,$AB410))),거래처별!$A$8:$A$307),IFERROR(LOOKUP(2,1/((거래처별!$AD$8:$AD$307&lt;&gt;"")*ISNUMBER(SEARCH(거래처별!$AD$8:$AD$307,$AB410))),거래처별!$A$8:$A$307),IFERROR(LOOKUP(2,1/((거래처별!$AE$8:$AE$307&lt;&gt;"")*ISNUMBER(SEARCH(거래처별!$AE$8:$AE$307,$AB410))),거래처별!$A$8:$A$307),0))))</f>
        <v/>
      </c>
      <c r="AD410" s="31">
        <f>IF(AND($Y410&lt;&gt;"",N($Z410)&gt;0,$AC410=0),MAX($AD$7:$AD409)+1,"")</f>
        <v/>
      </c>
      <c r="AE410" s="31">
        <f>IF($Y410="",0,$Y410)</f>
        <v/>
      </c>
    </row>
    <row r="411">
      <c r="W411" s="31">
        <f>IF(OR($B$5="",$C$6="",ROW()&lt;$B$5),"",IF(INDEX($A:$U,ROW(),$C$6)="","",INDEX($A:$U,ROW(),$C$6)))</f>
        <v/>
      </c>
      <c r="X411" s="32">
        <f>IF($W411="","",IF(ISNUMBER($W411),IF($W411&gt;=10000000,IFERROR(DATE(INT($W411/10000),MOD(INT($W411/100),100),MOD($W411,100)),""),INT($W411)),IFERROR(DATE(--LEFT(LEFT(SUBSTITUTE(SUBSTITUTE(SUBSTITUTE(SUBSTITUTE(TRIM($W411),"-",""),".",""),"/","")," ",""),8),4),--MID(LEFT(SUBSTITUTE(SUBSTITUTE(SUBSTITUTE(SUBSTITUTE(TRIM($W411),"-",""),".",""),"/","")," ",""),8),5,2),--MID(LEFT(SUBSTITUTE(SUBSTITUTE(SUBSTITUTE(SUBSTITUTE(TRIM($W411),"-",""),".",""),"/","")," ",""),8),7,2)),"")))</f>
        <v/>
      </c>
      <c r="Y411" s="32">
        <f>IF($X411="","",INT($X411))</f>
        <v/>
      </c>
      <c r="Z411" s="33">
        <f>IF(OR($Y411="",$D$6=""),"",IF(INDEX($A:$U,ROW(),$D$6)="",0,IF(ISNUMBER(INDEX($A:$U,ROW(),$D$6)),INDEX($A:$U,ROW(),$D$6),IFERROR(--SUBSTITUTE(SUBSTITUTE(TRIM(INDEX($A:$U,ROW(),$D$6)),",",""),"원",""),0))))</f>
        <v/>
      </c>
      <c r="AA411" s="31">
        <f>IF($Y411="","",TRIM(INDEX($A:$U,ROW(),$E$6)&amp;IF($F$6="",""," "&amp;INDEX($A:$U,ROW(),$F$6))))</f>
        <v/>
      </c>
      <c r="AB411" s="31">
        <f>IF($AA411="","",SUBSTITUTE(SUBSTITUTE(SUBSTITUTE(SUBSTITUTE(SUBSTITUTE(SUBSTITUTE(SUBSTITUTE(SUBSTITUTE(SUBSTITUTE($AA411," ",""),"　",""),"(주)",""),"（주）",""),"㈜",""),"주식회사",""),"(유)",""),"（유）",""),"유한회사",""))</f>
        <v/>
      </c>
      <c r="AC411" s="31">
        <f>IF(OR($Y411="",N($Z411)&lt;=0,$AB411=""),0,IFERROR(LOOKUP(2,1/((거래처별!$AC$8:$AC$307&lt;&gt;"")*ISNUMBER(SEARCH(거래처별!$AC$8:$AC$307,$AB411))),거래처별!$A$8:$A$307),IFERROR(LOOKUP(2,1/((거래처별!$AD$8:$AD$307&lt;&gt;"")*ISNUMBER(SEARCH(거래처별!$AD$8:$AD$307,$AB411))),거래처별!$A$8:$A$307),IFERROR(LOOKUP(2,1/((거래처별!$AE$8:$AE$307&lt;&gt;"")*ISNUMBER(SEARCH(거래처별!$AE$8:$AE$307,$AB411))),거래처별!$A$8:$A$307),0))))</f>
        <v/>
      </c>
      <c r="AD411" s="31">
        <f>IF(AND($Y411&lt;&gt;"",N($Z411)&gt;0,$AC411=0),MAX($AD$7:$AD410)+1,"")</f>
        <v/>
      </c>
      <c r="AE411" s="31">
        <f>IF($Y411="",0,$Y411)</f>
        <v/>
      </c>
    </row>
    <row r="412">
      <c r="W412" s="31">
        <f>IF(OR($B$5="",$C$6="",ROW()&lt;$B$5),"",IF(INDEX($A:$U,ROW(),$C$6)="","",INDEX($A:$U,ROW(),$C$6)))</f>
        <v/>
      </c>
      <c r="X412" s="32">
        <f>IF($W412="","",IF(ISNUMBER($W412),IF($W412&gt;=10000000,IFERROR(DATE(INT($W412/10000),MOD(INT($W412/100),100),MOD($W412,100)),""),INT($W412)),IFERROR(DATE(--LEFT(LEFT(SUBSTITUTE(SUBSTITUTE(SUBSTITUTE(SUBSTITUTE(TRIM($W412),"-",""),".",""),"/","")," ",""),8),4),--MID(LEFT(SUBSTITUTE(SUBSTITUTE(SUBSTITUTE(SUBSTITUTE(TRIM($W412),"-",""),".",""),"/","")," ",""),8),5,2),--MID(LEFT(SUBSTITUTE(SUBSTITUTE(SUBSTITUTE(SUBSTITUTE(TRIM($W412),"-",""),".",""),"/","")," ",""),8),7,2)),"")))</f>
        <v/>
      </c>
      <c r="Y412" s="32">
        <f>IF($X412="","",INT($X412))</f>
        <v/>
      </c>
      <c r="Z412" s="33">
        <f>IF(OR($Y412="",$D$6=""),"",IF(INDEX($A:$U,ROW(),$D$6)="",0,IF(ISNUMBER(INDEX($A:$U,ROW(),$D$6)),INDEX($A:$U,ROW(),$D$6),IFERROR(--SUBSTITUTE(SUBSTITUTE(TRIM(INDEX($A:$U,ROW(),$D$6)),",",""),"원",""),0))))</f>
        <v/>
      </c>
      <c r="AA412" s="31">
        <f>IF($Y412="","",TRIM(INDEX($A:$U,ROW(),$E$6)&amp;IF($F$6="",""," "&amp;INDEX($A:$U,ROW(),$F$6))))</f>
        <v/>
      </c>
      <c r="AB412" s="31">
        <f>IF($AA412="","",SUBSTITUTE(SUBSTITUTE(SUBSTITUTE(SUBSTITUTE(SUBSTITUTE(SUBSTITUTE(SUBSTITUTE(SUBSTITUTE(SUBSTITUTE($AA412," ",""),"　",""),"(주)",""),"（주）",""),"㈜",""),"주식회사",""),"(유)",""),"（유）",""),"유한회사",""))</f>
        <v/>
      </c>
      <c r="AC412" s="31">
        <f>IF(OR($Y412="",N($Z412)&lt;=0,$AB412=""),0,IFERROR(LOOKUP(2,1/((거래처별!$AC$8:$AC$307&lt;&gt;"")*ISNUMBER(SEARCH(거래처별!$AC$8:$AC$307,$AB412))),거래처별!$A$8:$A$307),IFERROR(LOOKUP(2,1/((거래처별!$AD$8:$AD$307&lt;&gt;"")*ISNUMBER(SEARCH(거래처별!$AD$8:$AD$307,$AB412))),거래처별!$A$8:$A$307),IFERROR(LOOKUP(2,1/((거래처별!$AE$8:$AE$307&lt;&gt;"")*ISNUMBER(SEARCH(거래처별!$AE$8:$AE$307,$AB412))),거래처별!$A$8:$A$307),0))))</f>
        <v/>
      </c>
      <c r="AD412" s="31">
        <f>IF(AND($Y412&lt;&gt;"",N($Z412)&gt;0,$AC412=0),MAX($AD$7:$AD411)+1,"")</f>
        <v/>
      </c>
      <c r="AE412" s="31">
        <f>IF($Y412="",0,$Y412)</f>
        <v/>
      </c>
    </row>
    <row r="413">
      <c r="W413" s="31">
        <f>IF(OR($B$5="",$C$6="",ROW()&lt;$B$5),"",IF(INDEX($A:$U,ROW(),$C$6)="","",INDEX($A:$U,ROW(),$C$6)))</f>
        <v/>
      </c>
      <c r="X413" s="32">
        <f>IF($W413="","",IF(ISNUMBER($W413),IF($W413&gt;=10000000,IFERROR(DATE(INT($W413/10000),MOD(INT($W413/100),100),MOD($W413,100)),""),INT($W413)),IFERROR(DATE(--LEFT(LEFT(SUBSTITUTE(SUBSTITUTE(SUBSTITUTE(SUBSTITUTE(TRIM($W413),"-",""),".",""),"/","")," ",""),8),4),--MID(LEFT(SUBSTITUTE(SUBSTITUTE(SUBSTITUTE(SUBSTITUTE(TRIM($W413),"-",""),".",""),"/","")," ",""),8),5,2),--MID(LEFT(SUBSTITUTE(SUBSTITUTE(SUBSTITUTE(SUBSTITUTE(TRIM($W413),"-",""),".",""),"/","")," ",""),8),7,2)),"")))</f>
        <v/>
      </c>
      <c r="Y413" s="32">
        <f>IF($X413="","",INT($X413))</f>
        <v/>
      </c>
      <c r="Z413" s="33">
        <f>IF(OR($Y413="",$D$6=""),"",IF(INDEX($A:$U,ROW(),$D$6)="",0,IF(ISNUMBER(INDEX($A:$U,ROW(),$D$6)),INDEX($A:$U,ROW(),$D$6),IFERROR(--SUBSTITUTE(SUBSTITUTE(TRIM(INDEX($A:$U,ROW(),$D$6)),",",""),"원",""),0))))</f>
        <v/>
      </c>
      <c r="AA413" s="31">
        <f>IF($Y413="","",TRIM(INDEX($A:$U,ROW(),$E$6)&amp;IF($F$6="",""," "&amp;INDEX($A:$U,ROW(),$F$6))))</f>
        <v/>
      </c>
      <c r="AB413" s="31">
        <f>IF($AA413="","",SUBSTITUTE(SUBSTITUTE(SUBSTITUTE(SUBSTITUTE(SUBSTITUTE(SUBSTITUTE(SUBSTITUTE(SUBSTITUTE(SUBSTITUTE($AA413," ",""),"　",""),"(주)",""),"（주）",""),"㈜",""),"주식회사",""),"(유)",""),"（유）",""),"유한회사",""))</f>
        <v/>
      </c>
      <c r="AC413" s="31">
        <f>IF(OR($Y413="",N($Z413)&lt;=0,$AB413=""),0,IFERROR(LOOKUP(2,1/((거래처별!$AC$8:$AC$307&lt;&gt;"")*ISNUMBER(SEARCH(거래처별!$AC$8:$AC$307,$AB413))),거래처별!$A$8:$A$307),IFERROR(LOOKUP(2,1/((거래처별!$AD$8:$AD$307&lt;&gt;"")*ISNUMBER(SEARCH(거래처별!$AD$8:$AD$307,$AB413))),거래처별!$A$8:$A$307),IFERROR(LOOKUP(2,1/((거래처별!$AE$8:$AE$307&lt;&gt;"")*ISNUMBER(SEARCH(거래처별!$AE$8:$AE$307,$AB413))),거래처별!$A$8:$A$307),0))))</f>
        <v/>
      </c>
      <c r="AD413" s="31">
        <f>IF(AND($Y413&lt;&gt;"",N($Z413)&gt;0,$AC413=0),MAX($AD$7:$AD412)+1,"")</f>
        <v/>
      </c>
      <c r="AE413" s="31">
        <f>IF($Y413="",0,$Y413)</f>
        <v/>
      </c>
    </row>
    <row r="414">
      <c r="W414" s="31">
        <f>IF(OR($B$5="",$C$6="",ROW()&lt;$B$5),"",IF(INDEX($A:$U,ROW(),$C$6)="","",INDEX($A:$U,ROW(),$C$6)))</f>
        <v/>
      </c>
      <c r="X414" s="32">
        <f>IF($W414="","",IF(ISNUMBER($W414),IF($W414&gt;=10000000,IFERROR(DATE(INT($W414/10000),MOD(INT($W414/100),100),MOD($W414,100)),""),INT($W414)),IFERROR(DATE(--LEFT(LEFT(SUBSTITUTE(SUBSTITUTE(SUBSTITUTE(SUBSTITUTE(TRIM($W414),"-",""),".",""),"/","")," ",""),8),4),--MID(LEFT(SUBSTITUTE(SUBSTITUTE(SUBSTITUTE(SUBSTITUTE(TRIM($W414),"-",""),".",""),"/","")," ",""),8),5,2),--MID(LEFT(SUBSTITUTE(SUBSTITUTE(SUBSTITUTE(SUBSTITUTE(TRIM($W414),"-",""),".",""),"/","")," ",""),8),7,2)),"")))</f>
        <v/>
      </c>
      <c r="Y414" s="32">
        <f>IF($X414="","",INT($X414))</f>
        <v/>
      </c>
      <c r="Z414" s="33">
        <f>IF(OR($Y414="",$D$6=""),"",IF(INDEX($A:$U,ROW(),$D$6)="",0,IF(ISNUMBER(INDEX($A:$U,ROW(),$D$6)),INDEX($A:$U,ROW(),$D$6),IFERROR(--SUBSTITUTE(SUBSTITUTE(TRIM(INDEX($A:$U,ROW(),$D$6)),",",""),"원",""),0))))</f>
        <v/>
      </c>
      <c r="AA414" s="31">
        <f>IF($Y414="","",TRIM(INDEX($A:$U,ROW(),$E$6)&amp;IF($F$6="",""," "&amp;INDEX($A:$U,ROW(),$F$6))))</f>
        <v/>
      </c>
      <c r="AB414" s="31">
        <f>IF($AA414="","",SUBSTITUTE(SUBSTITUTE(SUBSTITUTE(SUBSTITUTE(SUBSTITUTE(SUBSTITUTE(SUBSTITUTE(SUBSTITUTE(SUBSTITUTE($AA414," ",""),"　",""),"(주)",""),"（주）",""),"㈜",""),"주식회사",""),"(유)",""),"（유）",""),"유한회사",""))</f>
        <v/>
      </c>
      <c r="AC414" s="31">
        <f>IF(OR($Y414="",N($Z414)&lt;=0,$AB414=""),0,IFERROR(LOOKUP(2,1/((거래처별!$AC$8:$AC$307&lt;&gt;"")*ISNUMBER(SEARCH(거래처별!$AC$8:$AC$307,$AB414))),거래처별!$A$8:$A$307),IFERROR(LOOKUP(2,1/((거래처별!$AD$8:$AD$307&lt;&gt;"")*ISNUMBER(SEARCH(거래처별!$AD$8:$AD$307,$AB414))),거래처별!$A$8:$A$307),IFERROR(LOOKUP(2,1/((거래처별!$AE$8:$AE$307&lt;&gt;"")*ISNUMBER(SEARCH(거래처별!$AE$8:$AE$307,$AB414))),거래처별!$A$8:$A$307),0))))</f>
        <v/>
      </c>
      <c r="AD414" s="31">
        <f>IF(AND($Y414&lt;&gt;"",N($Z414)&gt;0,$AC414=0),MAX($AD$7:$AD413)+1,"")</f>
        <v/>
      </c>
      <c r="AE414" s="31">
        <f>IF($Y414="",0,$Y414)</f>
        <v/>
      </c>
    </row>
    <row r="415">
      <c r="W415" s="31">
        <f>IF(OR($B$5="",$C$6="",ROW()&lt;$B$5),"",IF(INDEX($A:$U,ROW(),$C$6)="","",INDEX($A:$U,ROW(),$C$6)))</f>
        <v/>
      </c>
      <c r="X415" s="32">
        <f>IF($W415="","",IF(ISNUMBER($W415),IF($W415&gt;=10000000,IFERROR(DATE(INT($W415/10000),MOD(INT($W415/100),100),MOD($W415,100)),""),INT($W415)),IFERROR(DATE(--LEFT(LEFT(SUBSTITUTE(SUBSTITUTE(SUBSTITUTE(SUBSTITUTE(TRIM($W415),"-",""),".",""),"/","")," ",""),8),4),--MID(LEFT(SUBSTITUTE(SUBSTITUTE(SUBSTITUTE(SUBSTITUTE(TRIM($W415),"-",""),".",""),"/","")," ",""),8),5,2),--MID(LEFT(SUBSTITUTE(SUBSTITUTE(SUBSTITUTE(SUBSTITUTE(TRIM($W415),"-",""),".",""),"/","")," ",""),8),7,2)),"")))</f>
        <v/>
      </c>
      <c r="Y415" s="32">
        <f>IF($X415="","",INT($X415))</f>
        <v/>
      </c>
      <c r="Z415" s="33">
        <f>IF(OR($Y415="",$D$6=""),"",IF(INDEX($A:$U,ROW(),$D$6)="",0,IF(ISNUMBER(INDEX($A:$U,ROW(),$D$6)),INDEX($A:$U,ROW(),$D$6),IFERROR(--SUBSTITUTE(SUBSTITUTE(TRIM(INDEX($A:$U,ROW(),$D$6)),",",""),"원",""),0))))</f>
        <v/>
      </c>
      <c r="AA415" s="31">
        <f>IF($Y415="","",TRIM(INDEX($A:$U,ROW(),$E$6)&amp;IF($F$6="",""," "&amp;INDEX($A:$U,ROW(),$F$6))))</f>
        <v/>
      </c>
      <c r="AB415" s="31">
        <f>IF($AA415="","",SUBSTITUTE(SUBSTITUTE(SUBSTITUTE(SUBSTITUTE(SUBSTITUTE(SUBSTITUTE(SUBSTITUTE(SUBSTITUTE(SUBSTITUTE($AA415," ",""),"　",""),"(주)",""),"（주）",""),"㈜",""),"주식회사",""),"(유)",""),"（유）",""),"유한회사",""))</f>
        <v/>
      </c>
      <c r="AC415" s="31">
        <f>IF(OR($Y415="",N($Z415)&lt;=0,$AB415=""),0,IFERROR(LOOKUP(2,1/((거래처별!$AC$8:$AC$307&lt;&gt;"")*ISNUMBER(SEARCH(거래처별!$AC$8:$AC$307,$AB415))),거래처별!$A$8:$A$307),IFERROR(LOOKUP(2,1/((거래처별!$AD$8:$AD$307&lt;&gt;"")*ISNUMBER(SEARCH(거래처별!$AD$8:$AD$307,$AB415))),거래처별!$A$8:$A$307),IFERROR(LOOKUP(2,1/((거래처별!$AE$8:$AE$307&lt;&gt;"")*ISNUMBER(SEARCH(거래처별!$AE$8:$AE$307,$AB415))),거래처별!$A$8:$A$307),0))))</f>
        <v/>
      </c>
      <c r="AD415" s="31">
        <f>IF(AND($Y415&lt;&gt;"",N($Z415)&gt;0,$AC415=0),MAX($AD$7:$AD414)+1,"")</f>
        <v/>
      </c>
      <c r="AE415" s="31">
        <f>IF($Y415="",0,$Y415)</f>
        <v/>
      </c>
    </row>
    <row r="416">
      <c r="W416" s="31">
        <f>IF(OR($B$5="",$C$6="",ROW()&lt;$B$5),"",IF(INDEX($A:$U,ROW(),$C$6)="","",INDEX($A:$U,ROW(),$C$6)))</f>
        <v/>
      </c>
      <c r="X416" s="32">
        <f>IF($W416="","",IF(ISNUMBER($W416),IF($W416&gt;=10000000,IFERROR(DATE(INT($W416/10000),MOD(INT($W416/100),100),MOD($W416,100)),""),INT($W416)),IFERROR(DATE(--LEFT(LEFT(SUBSTITUTE(SUBSTITUTE(SUBSTITUTE(SUBSTITUTE(TRIM($W416),"-",""),".",""),"/","")," ",""),8),4),--MID(LEFT(SUBSTITUTE(SUBSTITUTE(SUBSTITUTE(SUBSTITUTE(TRIM($W416),"-",""),".",""),"/","")," ",""),8),5,2),--MID(LEFT(SUBSTITUTE(SUBSTITUTE(SUBSTITUTE(SUBSTITUTE(TRIM($W416),"-",""),".",""),"/","")," ",""),8),7,2)),"")))</f>
        <v/>
      </c>
      <c r="Y416" s="32">
        <f>IF($X416="","",INT($X416))</f>
        <v/>
      </c>
      <c r="Z416" s="33">
        <f>IF(OR($Y416="",$D$6=""),"",IF(INDEX($A:$U,ROW(),$D$6)="",0,IF(ISNUMBER(INDEX($A:$U,ROW(),$D$6)),INDEX($A:$U,ROW(),$D$6),IFERROR(--SUBSTITUTE(SUBSTITUTE(TRIM(INDEX($A:$U,ROW(),$D$6)),",",""),"원",""),0))))</f>
        <v/>
      </c>
      <c r="AA416" s="31">
        <f>IF($Y416="","",TRIM(INDEX($A:$U,ROW(),$E$6)&amp;IF($F$6="",""," "&amp;INDEX($A:$U,ROW(),$F$6))))</f>
        <v/>
      </c>
      <c r="AB416" s="31">
        <f>IF($AA416="","",SUBSTITUTE(SUBSTITUTE(SUBSTITUTE(SUBSTITUTE(SUBSTITUTE(SUBSTITUTE(SUBSTITUTE(SUBSTITUTE(SUBSTITUTE($AA416," ",""),"　",""),"(주)",""),"（주）",""),"㈜",""),"주식회사",""),"(유)",""),"（유）",""),"유한회사",""))</f>
        <v/>
      </c>
      <c r="AC416" s="31">
        <f>IF(OR($Y416="",N($Z416)&lt;=0,$AB416=""),0,IFERROR(LOOKUP(2,1/((거래처별!$AC$8:$AC$307&lt;&gt;"")*ISNUMBER(SEARCH(거래처별!$AC$8:$AC$307,$AB416))),거래처별!$A$8:$A$307),IFERROR(LOOKUP(2,1/((거래처별!$AD$8:$AD$307&lt;&gt;"")*ISNUMBER(SEARCH(거래처별!$AD$8:$AD$307,$AB416))),거래처별!$A$8:$A$307),IFERROR(LOOKUP(2,1/((거래처별!$AE$8:$AE$307&lt;&gt;"")*ISNUMBER(SEARCH(거래처별!$AE$8:$AE$307,$AB416))),거래처별!$A$8:$A$307),0))))</f>
        <v/>
      </c>
      <c r="AD416" s="31">
        <f>IF(AND($Y416&lt;&gt;"",N($Z416)&gt;0,$AC416=0),MAX($AD$7:$AD415)+1,"")</f>
        <v/>
      </c>
      <c r="AE416" s="31">
        <f>IF($Y416="",0,$Y416)</f>
        <v/>
      </c>
    </row>
    <row r="417">
      <c r="W417" s="31">
        <f>IF(OR($B$5="",$C$6="",ROW()&lt;$B$5),"",IF(INDEX($A:$U,ROW(),$C$6)="","",INDEX($A:$U,ROW(),$C$6)))</f>
        <v/>
      </c>
      <c r="X417" s="32">
        <f>IF($W417="","",IF(ISNUMBER($W417),IF($W417&gt;=10000000,IFERROR(DATE(INT($W417/10000),MOD(INT($W417/100),100),MOD($W417,100)),""),INT($W417)),IFERROR(DATE(--LEFT(LEFT(SUBSTITUTE(SUBSTITUTE(SUBSTITUTE(SUBSTITUTE(TRIM($W417),"-",""),".",""),"/","")," ",""),8),4),--MID(LEFT(SUBSTITUTE(SUBSTITUTE(SUBSTITUTE(SUBSTITUTE(TRIM($W417),"-",""),".",""),"/","")," ",""),8),5,2),--MID(LEFT(SUBSTITUTE(SUBSTITUTE(SUBSTITUTE(SUBSTITUTE(TRIM($W417),"-",""),".",""),"/","")," ",""),8),7,2)),"")))</f>
        <v/>
      </c>
      <c r="Y417" s="32">
        <f>IF($X417="","",INT($X417))</f>
        <v/>
      </c>
      <c r="Z417" s="33">
        <f>IF(OR($Y417="",$D$6=""),"",IF(INDEX($A:$U,ROW(),$D$6)="",0,IF(ISNUMBER(INDEX($A:$U,ROW(),$D$6)),INDEX($A:$U,ROW(),$D$6),IFERROR(--SUBSTITUTE(SUBSTITUTE(TRIM(INDEX($A:$U,ROW(),$D$6)),",",""),"원",""),0))))</f>
        <v/>
      </c>
      <c r="AA417" s="31">
        <f>IF($Y417="","",TRIM(INDEX($A:$U,ROW(),$E$6)&amp;IF($F$6="",""," "&amp;INDEX($A:$U,ROW(),$F$6))))</f>
        <v/>
      </c>
      <c r="AB417" s="31">
        <f>IF($AA417="","",SUBSTITUTE(SUBSTITUTE(SUBSTITUTE(SUBSTITUTE(SUBSTITUTE(SUBSTITUTE(SUBSTITUTE(SUBSTITUTE(SUBSTITUTE($AA417," ",""),"　",""),"(주)",""),"（주）",""),"㈜",""),"주식회사",""),"(유)",""),"（유）",""),"유한회사",""))</f>
        <v/>
      </c>
      <c r="AC417" s="31">
        <f>IF(OR($Y417="",N($Z417)&lt;=0,$AB417=""),0,IFERROR(LOOKUP(2,1/((거래처별!$AC$8:$AC$307&lt;&gt;"")*ISNUMBER(SEARCH(거래처별!$AC$8:$AC$307,$AB417))),거래처별!$A$8:$A$307),IFERROR(LOOKUP(2,1/((거래처별!$AD$8:$AD$307&lt;&gt;"")*ISNUMBER(SEARCH(거래처별!$AD$8:$AD$307,$AB417))),거래처별!$A$8:$A$307),IFERROR(LOOKUP(2,1/((거래처별!$AE$8:$AE$307&lt;&gt;"")*ISNUMBER(SEARCH(거래처별!$AE$8:$AE$307,$AB417))),거래처별!$A$8:$A$307),0))))</f>
        <v/>
      </c>
      <c r="AD417" s="31">
        <f>IF(AND($Y417&lt;&gt;"",N($Z417)&gt;0,$AC417=0),MAX($AD$7:$AD416)+1,"")</f>
        <v/>
      </c>
      <c r="AE417" s="31">
        <f>IF($Y417="",0,$Y417)</f>
        <v/>
      </c>
    </row>
    <row r="418">
      <c r="W418" s="31">
        <f>IF(OR($B$5="",$C$6="",ROW()&lt;$B$5),"",IF(INDEX($A:$U,ROW(),$C$6)="","",INDEX($A:$U,ROW(),$C$6)))</f>
        <v/>
      </c>
      <c r="X418" s="32">
        <f>IF($W418="","",IF(ISNUMBER($W418),IF($W418&gt;=10000000,IFERROR(DATE(INT($W418/10000),MOD(INT($W418/100),100),MOD($W418,100)),""),INT($W418)),IFERROR(DATE(--LEFT(LEFT(SUBSTITUTE(SUBSTITUTE(SUBSTITUTE(SUBSTITUTE(TRIM($W418),"-",""),".",""),"/","")," ",""),8),4),--MID(LEFT(SUBSTITUTE(SUBSTITUTE(SUBSTITUTE(SUBSTITUTE(TRIM($W418),"-",""),".",""),"/","")," ",""),8),5,2),--MID(LEFT(SUBSTITUTE(SUBSTITUTE(SUBSTITUTE(SUBSTITUTE(TRIM($W418),"-",""),".",""),"/","")," ",""),8),7,2)),"")))</f>
        <v/>
      </c>
      <c r="Y418" s="32">
        <f>IF($X418="","",INT($X418))</f>
        <v/>
      </c>
      <c r="Z418" s="33">
        <f>IF(OR($Y418="",$D$6=""),"",IF(INDEX($A:$U,ROW(),$D$6)="",0,IF(ISNUMBER(INDEX($A:$U,ROW(),$D$6)),INDEX($A:$U,ROW(),$D$6),IFERROR(--SUBSTITUTE(SUBSTITUTE(TRIM(INDEX($A:$U,ROW(),$D$6)),",",""),"원",""),0))))</f>
        <v/>
      </c>
      <c r="AA418" s="31">
        <f>IF($Y418="","",TRIM(INDEX($A:$U,ROW(),$E$6)&amp;IF($F$6="",""," "&amp;INDEX($A:$U,ROW(),$F$6))))</f>
        <v/>
      </c>
      <c r="AB418" s="31">
        <f>IF($AA418="","",SUBSTITUTE(SUBSTITUTE(SUBSTITUTE(SUBSTITUTE(SUBSTITUTE(SUBSTITUTE(SUBSTITUTE(SUBSTITUTE(SUBSTITUTE($AA418," ",""),"　",""),"(주)",""),"（주）",""),"㈜",""),"주식회사",""),"(유)",""),"（유）",""),"유한회사",""))</f>
        <v/>
      </c>
      <c r="AC418" s="31">
        <f>IF(OR($Y418="",N($Z418)&lt;=0,$AB418=""),0,IFERROR(LOOKUP(2,1/((거래처별!$AC$8:$AC$307&lt;&gt;"")*ISNUMBER(SEARCH(거래처별!$AC$8:$AC$307,$AB418))),거래처별!$A$8:$A$307),IFERROR(LOOKUP(2,1/((거래처별!$AD$8:$AD$307&lt;&gt;"")*ISNUMBER(SEARCH(거래처별!$AD$8:$AD$307,$AB418))),거래처별!$A$8:$A$307),IFERROR(LOOKUP(2,1/((거래처별!$AE$8:$AE$307&lt;&gt;"")*ISNUMBER(SEARCH(거래처별!$AE$8:$AE$307,$AB418))),거래처별!$A$8:$A$307),0))))</f>
        <v/>
      </c>
      <c r="AD418" s="31">
        <f>IF(AND($Y418&lt;&gt;"",N($Z418)&gt;0,$AC418=0),MAX($AD$7:$AD417)+1,"")</f>
        <v/>
      </c>
      <c r="AE418" s="31">
        <f>IF($Y418="",0,$Y418)</f>
        <v/>
      </c>
    </row>
    <row r="419">
      <c r="W419" s="31">
        <f>IF(OR($B$5="",$C$6="",ROW()&lt;$B$5),"",IF(INDEX($A:$U,ROW(),$C$6)="","",INDEX($A:$U,ROW(),$C$6)))</f>
        <v/>
      </c>
      <c r="X419" s="32">
        <f>IF($W419="","",IF(ISNUMBER($W419),IF($W419&gt;=10000000,IFERROR(DATE(INT($W419/10000),MOD(INT($W419/100),100),MOD($W419,100)),""),INT($W419)),IFERROR(DATE(--LEFT(LEFT(SUBSTITUTE(SUBSTITUTE(SUBSTITUTE(SUBSTITUTE(TRIM($W419),"-",""),".",""),"/","")," ",""),8),4),--MID(LEFT(SUBSTITUTE(SUBSTITUTE(SUBSTITUTE(SUBSTITUTE(TRIM($W419),"-",""),".",""),"/","")," ",""),8),5,2),--MID(LEFT(SUBSTITUTE(SUBSTITUTE(SUBSTITUTE(SUBSTITUTE(TRIM($W419),"-",""),".",""),"/","")," ",""),8),7,2)),"")))</f>
        <v/>
      </c>
      <c r="Y419" s="32">
        <f>IF($X419="","",INT($X419))</f>
        <v/>
      </c>
      <c r="Z419" s="33">
        <f>IF(OR($Y419="",$D$6=""),"",IF(INDEX($A:$U,ROW(),$D$6)="",0,IF(ISNUMBER(INDEX($A:$U,ROW(),$D$6)),INDEX($A:$U,ROW(),$D$6),IFERROR(--SUBSTITUTE(SUBSTITUTE(TRIM(INDEX($A:$U,ROW(),$D$6)),",",""),"원",""),0))))</f>
        <v/>
      </c>
      <c r="AA419" s="31">
        <f>IF($Y419="","",TRIM(INDEX($A:$U,ROW(),$E$6)&amp;IF($F$6="",""," "&amp;INDEX($A:$U,ROW(),$F$6))))</f>
        <v/>
      </c>
      <c r="AB419" s="31">
        <f>IF($AA419="","",SUBSTITUTE(SUBSTITUTE(SUBSTITUTE(SUBSTITUTE(SUBSTITUTE(SUBSTITUTE(SUBSTITUTE(SUBSTITUTE(SUBSTITUTE($AA419," ",""),"　",""),"(주)",""),"（주）",""),"㈜",""),"주식회사",""),"(유)",""),"（유）",""),"유한회사",""))</f>
        <v/>
      </c>
      <c r="AC419" s="31">
        <f>IF(OR($Y419="",N($Z419)&lt;=0,$AB419=""),0,IFERROR(LOOKUP(2,1/((거래처별!$AC$8:$AC$307&lt;&gt;"")*ISNUMBER(SEARCH(거래처별!$AC$8:$AC$307,$AB419))),거래처별!$A$8:$A$307),IFERROR(LOOKUP(2,1/((거래처별!$AD$8:$AD$307&lt;&gt;"")*ISNUMBER(SEARCH(거래처별!$AD$8:$AD$307,$AB419))),거래처별!$A$8:$A$307),IFERROR(LOOKUP(2,1/((거래처별!$AE$8:$AE$307&lt;&gt;"")*ISNUMBER(SEARCH(거래처별!$AE$8:$AE$307,$AB419))),거래처별!$A$8:$A$307),0))))</f>
        <v/>
      </c>
      <c r="AD419" s="31">
        <f>IF(AND($Y419&lt;&gt;"",N($Z419)&gt;0,$AC419=0),MAX($AD$7:$AD418)+1,"")</f>
        <v/>
      </c>
      <c r="AE419" s="31">
        <f>IF($Y419="",0,$Y419)</f>
        <v/>
      </c>
    </row>
    <row r="420">
      <c r="W420" s="31">
        <f>IF(OR($B$5="",$C$6="",ROW()&lt;$B$5),"",IF(INDEX($A:$U,ROW(),$C$6)="","",INDEX($A:$U,ROW(),$C$6)))</f>
        <v/>
      </c>
      <c r="X420" s="32">
        <f>IF($W420="","",IF(ISNUMBER($W420),IF($W420&gt;=10000000,IFERROR(DATE(INT($W420/10000),MOD(INT($W420/100),100),MOD($W420,100)),""),INT($W420)),IFERROR(DATE(--LEFT(LEFT(SUBSTITUTE(SUBSTITUTE(SUBSTITUTE(SUBSTITUTE(TRIM($W420),"-",""),".",""),"/","")," ",""),8),4),--MID(LEFT(SUBSTITUTE(SUBSTITUTE(SUBSTITUTE(SUBSTITUTE(TRIM($W420),"-",""),".",""),"/","")," ",""),8),5,2),--MID(LEFT(SUBSTITUTE(SUBSTITUTE(SUBSTITUTE(SUBSTITUTE(TRIM($W420),"-",""),".",""),"/","")," ",""),8),7,2)),"")))</f>
        <v/>
      </c>
      <c r="Y420" s="32">
        <f>IF($X420="","",INT($X420))</f>
        <v/>
      </c>
      <c r="Z420" s="33">
        <f>IF(OR($Y420="",$D$6=""),"",IF(INDEX($A:$U,ROW(),$D$6)="",0,IF(ISNUMBER(INDEX($A:$U,ROW(),$D$6)),INDEX($A:$U,ROW(),$D$6),IFERROR(--SUBSTITUTE(SUBSTITUTE(TRIM(INDEX($A:$U,ROW(),$D$6)),",",""),"원",""),0))))</f>
        <v/>
      </c>
      <c r="AA420" s="31">
        <f>IF($Y420="","",TRIM(INDEX($A:$U,ROW(),$E$6)&amp;IF($F$6="",""," "&amp;INDEX($A:$U,ROW(),$F$6))))</f>
        <v/>
      </c>
      <c r="AB420" s="31">
        <f>IF($AA420="","",SUBSTITUTE(SUBSTITUTE(SUBSTITUTE(SUBSTITUTE(SUBSTITUTE(SUBSTITUTE(SUBSTITUTE(SUBSTITUTE(SUBSTITUTE($AA420," ",""),"　",""),"(주)",""),"（주）",""),"㈜",""),"주식회사",""),"(유)",""),"（유）",""),"유한회사",""))</f>
        <v/>
      </c>
      <c r="AC420" s="31">
        <f>IF(OR($Y420="",N($Z420)&lt;=0,$AB420=""),0,IFERROR(LOOKUP(2,1/((거래처별!$AC$8:$AC$307&lt;&gt;"")*ISNUMBER(SEARCH(거래처별!$AC$8:$AC$307,$AB420))),거래처별!$A$8:$A$307),IFERROR(LOOKUP(2,1/((거래처별!$AD$8:$AD$307&lt;&gt;"")*ISNUMBER(SEARCH(거래처별!$AD$8:$AD$307,$AB420))),거래처별!$A$8:$A$307),IFERROR(LOOKUP(2,1/((거래처별!$AE$8:$AE$307&lt;&gt;"")*ISNUMBER(SEARCH(거래처별!$AE$8:$AE$307,$AB420))),거래처별!$A$8:$A$307),0))))</f>
        <v/>
      </c>
      <c r="AD420" s="31">
        <f>IF(AND($Y420&lt;&gt;"",N($Z420)&gt;0,$AC420=0),MAX($AD$7:$AD419)+1,"")</f>
        <v/>
      </c>
      <c r="AE420" s="31">
        <f>IF($Y420="",0,$Y420)</f>
        <v/>
      </c>
    </row>
    <row r="421">
      <c r="W421" s="31">
        <f>IF(OR($B$5="",$C$6="",ROW()&lt;$B$5),"",IF(INDEX($A:$U,ROW(),$C$6)="","",INDEX($A:$U,ROW(),$C$6)))</f>
        <v/>
      </c>
      <c r="X421" s="32">
        <f>IF($W421="","",IF(ISNUMBER($W421),IF($W421&gt;=10000000,IFERROR(DATE(INT($W421/10000),MOD(INT($W421/100),100),MOD($W421,100)),""),INT($W421)),IFERROR(DATE(--LEFT(LEFT(SUBSTITUTE(SUBSTITUTE(SUBSTITUTE(SUBSTITUTE(TRIM($W421),"-",""),".",""),"/","")," ",""),8),4),--MID(LEFT(SUBSTITUTE(SUBSTITUTE(SUBSTITUTE(SUBSTITUTE(TRIM($W421),"-",""),".",""),"/","")," ",""),8),5,2),--MID(LEFT(SUBSTITUTE(SUBSTITUTE(SUBSTITUTE(SUBSTITUTE(TRIM($W421),"-",""),".",""),"/","")," ",""),8),7,2)),"")))</f>
        <v/>
      </c>
      <c r="Y421" s="32">
        <f>IF($X421="","",INT($X421))</f>
        <v/>
      </c>
      <c r="Z421" s="33">
        <f>IF(OR($Y421="",$D$6=""),"",IF(INDEX($A:$U,ROW(),$D$6)="",0,IF(ISNUMBER(INDEX($A:$U,ROW(),$D$6)),INDEX($A:$U,ROW(),$D$6),IFERROR(--SUBSTITUTE(SUBSTITUTE(TRIM(INDEX($A:$U,ROW(),$D$6)),",",""),"원",""),0))))</f>
        <v/>
      </c>
      <c r="AA421" s="31">
        <f>IF($Y421="","",TRIM(INDEX($A:$U,ROW(),$E$6)&amp;IF($F$6="",""," "&amp;INDEX($A:$U,ROW(),$F$6))))</f>
        <v/>
      </c>
      <c r="AB421" s="31">
        <f>IF($AA421="","",SUBSTITUTE(SUBSTITUTE(SUBSTITUTE(SUBSTITUTE(SUBSTITUTE(SUBSTITUTE(SUBSTITUTE(SUBSTITUTE(SUBSTITUTE($AA421," ",""),"　",""),"(주)",""),"（주）",""),"㈜",""),"주식회사",""),"(유)",""),"（유）",""),"유한회사",""))</f>
        <v/>
      </c>
      <c r="AC421" s="31">
        <f>IF(OR($Y421="",N($Z421)&lt;=0,$AB421=""),0,IFERROR(LOOKUP(2,1/((거래처별!$AC$8:$AC$307&lt;&gt;"")*ISNUMBER(SEARCH(거래처별!$AC$8:$AC$307,$AB421))),거래처별!$A$8:$A$307),IFERROR(LOOKUP(2,1/((거래처별!$AD$8:$AD$307&lt;&gt;"")*ISNUMBER(SEARCH(거래처별!$AD$8:$AD$307,$AB421))),거래처별!$A$8:$A$307),IFERROR(LOOKUP(2,1/((거래처별!$AE$8:$AE$307&lt;&gt;"")*ISNUMBER(SEARCH(거래처별!$AE$8:$AE$307,$AB421))),거래처별!$A$8:$A$307),0))))</f>
        <v/>
      </c>
      <c r="AD421" s="31">
        <f>IF(AND($Y421&lt;&gt;"",N($Z421)&gt;0,$AC421=0),MAX($AD$7:$AD420)+1,"")</f>
        <v/>
      </c>
      <c r="AE421" s="31">
        <f>IF($Y421="",0,$Y421)</f>
        <v/>
      </c>
    </row>
    <row r="422">
      <c r="W422" s="31">
        <f>IF(OR($B$5="",$C$6="",ROW()&lt;$B$5),"",IF(INDEX($A:$U,ROW(),$C$6)="","",INDEX($A:$U,ROW(),$C$6)))</f>
        <v/>
      </c>
      <c r="X422" s="32">
        <f>IF($W422="","",IF(ISNUMBER($W422),IF($W422&gt;=10000000,IFERROR(DATE(INT($W422/10000),MOD(INT($W422/100),100),MOD($W422,100)),""),INT($W422)),IFERROR(DATE(--LEFT(LEFT(SUBSTITUTE(SUBSTITUTE(SUBSTITUTE(SUBSTITUTE(TRIM($W422),"-",""),".",""),"/","")," ",""),8),4),--MID(LEFT(SUBSTITUTE(SUBSTITUTE(SUBSTITUTE(SUBSTITUTE(TRIM($W422),"-",""),".",""),"/","")," ",""),8),5,2),--MID(LEFT(SUBSTITUTE(SUBSTITUTE(SUBSTITUTE(SUBSTITUTE(TRIM($W422),"-",""),".",""),"/","")," ",""),8),7,2)),"")))</f>
        <v/>
      </c>
      <c r="Y422" s="32">
        <f>IF($X422="","",INT($X422))</f>
        <v/>
      </c>
      <c r="Z422" s="33">
        <f>IF(OR($Y422="",$D$6=""),"",IF(INDEX($A:$U,ROW(),$D$6)="",0,IF(ISNUMBER(INDEX($A:$U,ROW(),$D$6)),INDEX($A:$U,ROW(),$D$6),IFERROR(--SUBSTITUTE(SUBSTITUTE(TRIM(INDEX($A:$U,ROW(),$D$6)),",",""),"원",""),0))))</f>
        <v/>
      </c>
      <c r="AA422" s="31">
        <f>IF($Y422="","",TRIM(INDEX($A:$U,ROW(),$E$6)&amp;IF($F$6="",""," "&amp;INDEX($A:$U,ROW(),$F$6))))</f>
        <v/>
      </c>
      <c r="AB422" s="31">
        <f>IF($AA422="","",SUBSTITUTE(SUBSTITUTE(SUBSTITUTE(SUBSTITUTE(SUBSTITUTE(SUBSTITUTE(SUBSTITUTE(SUBSTITUTE(SUBSTITUTE($AA422," ",""),"　",""),"(주)",""),"（주）",""),"㈜",""),"주식회사",""),"(유)",""),"（유）",""),"유한회사",""))</f>
        <v/>
      </c>
      <c r="AC422" s="31">
        <f>IF(OR($Y422="",N($Z422)&lt;=0,$AB422=""),0,IFERROR(LOOKUP(2,1/((거래처별!$AC$8:$AC$307&lt;&gt;"")*ISNUMBER(SEARCH(거래처별!$AC$8:$AC$307,$AB422))),거래처별!$A$8:$A$307),IFERROR(LOOKUP(2,1/((거래처별!$AD$8:$AD$307&lt;&gt;"")*ISNUMBER(SEARCH(거래처별!$AD$8:$AD$307,$AB422))),거래처별!$A$8:$A$307),IFERROR(LOOKUP(2,1/((거래처별!$AE$8:$AE$307&lt;&gt;"")*ISNUMBER(SEARCH(거래처별!$AE$8:$AE$307,$AB422))),거래처별!$A$8:$A$307),0))))</f>
        <v/>
      </c>
      <c r="AD422" s="31">
        <f>IF(AND($Y422&lt;&gt;"",N($Z422)&gt;0,$AC422=0),MAX($AD$7:$AD421)+1,"")</f>
        <v/>
      </c>
      <c r="AE422" s="31">
        <f>IF($Y422="",0,$Y422)</f>
        <v/>
      </c>
    </row>
    <row r="423">
      <c r="W423" s="31">
        <f>IF(OR($B$5="",$C$6="",ROW()&lt;$B$5),"",IF(INDEX($A:$U,ROW(),$C$6)="","",INDEX($A:$U,ROW(),$C$6)))</f>
        <v/>
      </c>
      <c r="X423" s="32">
        <f>IF($W423="","",IF(ISNUMBER($W423),IF($W423&gt;=10000000,IFERROR(DATE(INT($W423/10000),MOD(INT($W423/100),100),MOD($W423,100)),""),INT($W423)),IFERROR(DATE(--LEFT(LEFT(SUBSTITUTE(SUBSTITUTE(SUBSTITUTE(SUBSTITUTE(TRIM($W423),"-",""),".",""),"/","")," ",""),8),4),--MID(LEFT(SUBSTITUTE(SUBSTITUTE(SUBSTITUTE(SUBSTITUTE(TRIM($W423),"-",""),".",""),"/","")," ",""),8),5,2),--MID(LEFT(SUBSTITUTE(SUBSTITUTE(SUBSTITUTE(SUBSTITUTE(TRIM($W423),"-",""),".",""),"/","")," ",""),8),7,2)),"")))</f>
        <v/>
      </c>
      <c r="Y423" s="32">
        <f>IF($X423="","",INT($X423))</f>
        <v/>
      </c>
      <c r="Z423" s="33">
        <f>IF(OR($Y423="",$D$6=""),"",IF(INDEX($A:$U,ROW(),$D$6)="",0,IF(ISNUMBER(INDEX($A:$U,ROW(),$D$6)),INDEX($A:$U,ROW(),$D$6),IFERROR(--SUBSTITUTE(SUBSTITUTE(TRIM(INDEX($A:$U,ROW(),$D$6)),",",""),"원",""),0))))</f>
        <v/>
      </c>
      <c r="AA423" s="31">
        <f>IF($Y423="","",TRIM(INDEX($A:$U,ROW(),$E$6)&amp;IF($F$6="",""," "&amp;INDEX($A:$U,ROW(),$F$6))))</f>
        <v/>
      </c>
      <c r="AB423" s="31">
        <f>IF($AA423="","",SUBSTITUTE(SUBSTITUTE(SUBSTITUTE(SUBSTITUTE(SUBSTITUTE(SUBSTITUTE(SUBSTITUTE(SUBSTITUTE(SUBSTITUTE($AA423," ",""),"　",""),"(주)",""),"（주）",""),"㈜",""),"주식회사",""),"(유)",""),"（유）",""),"유한회사",""))</f>
        <v/>
      </c>
      <c r="AC423" s="31">
        <f>IF(OR($Y423="",N($Z423)&lt;=0,$AB423=""),0,IFERROR(LOOKUP(2,1/((거래처별!$AC$8:$AC$307&lt;&gt;"")*ISNUMBER(SEARCH(거래처별!$AC$8:$AC$307,$AB423))),거래처별!$A$8:$A$307),IFERROR(LOOKUP(2,1/((거래처별!$AD$8:$AD$307&lt;&gt;"")*ISNUMBER(SEARCH(거래처별!$AD$8:$AD$307,$AB423))),거래처별!$A$8:$A$307),IFERROR(LOOKUP(2,1/((거래처별!$AE$8:$AE$307&lt;&gt;"")*ISNUMBER(SEARCH(거래처별!$AE$8:$AE$307,$AB423))),거래처별!$A$8:$A$307),0))))</f>
        <v/>
      </c>
      <c r="AD423" s="31">
        <f>IF(AND($Y423&lt;&gt;"",N($Z423)&gt;0,$AC423=0),MAX($AD$7:$AD422)+1,"")</f>
        <v/>
      </c>
      <c r="AE423" s="31">
        <f>IF($Y423="",0,$Y423)</f>
        <v/>
      </c>
    </row>
    <row r="424">
      <c r="W424" s="31">
        <f>IF(OR($B$5="",$C$6="",ROW()&lt;$B$5),"",IF(INDEX($A:$U,ROW(),$C$6)="","",INDEX($A:$U,ROW(),$C$6)))</f>
        <v/>
      </c>
      <c r="X424" s="32">
        <f>IF($W424="","",IF(ISNUMBER($W424),IF($W424&gt;=10000000,IFERROR(DATE(INT($W424/10000),MOD(INT($W424/100),100),MOD($W424,100)),""),INT($W424)),IFERROR(DATE(--LEFT(LEFT(SUBSTITUTE(SUBSTITUTE(SUBSTITUTE(SUBSTITUTE(TRIM($W424),"-",""),".",""),"/","")," ",""),8),4),--MID(LEFT(SUBSTITUTE(SUBSTITUTE(SUBSTITUTE(SUBSTITUTE(TRIM($W424),"-",""),".",""),"/","")," ",""),8),5,2),--MID(LEFT(SUBSTITUTE(SUBSTITUTE(SUBSTITUTE(SUBSTITUTE(TRIM($W424),"-",""),".",""),"/","")," ",""),8),7,2)),"")))</f>
        <v/>
      </c>
      <c r="Y424" s="32">
        <f>IF($X424="","",INT($X424))</f>
        <v/>
      </c>
      <c r="Z424" s="33">
        <f>IF(OR($Y424="",$D$6=""),"",IF(INDEX($A:$U,ROW(),$D$6)="",0,IF(ISNUMBER(INDEX($A:$U,ROW(),$D$6)),INDEX($A:$U,ROW(),$D$6),IFERROR(--SUBSTITUTE(SUBSTITUTE(TRIM(INDEX($A:$U,ROW(),$D$6)),",",""),"원",""),0))))</f>
        <v/>
      </c>
      <c r="AA424" s="31">
        <f>IF($Y424="","",TRIM(INDEX($A:$U,ROW(),$E$6)&amp;IF($F$6="",""," "&amp;INDEX($A:$U,ROW(),$F$6))))</f>
        <v/>
      </c>
      <c r="AB424" s="31">
        <f>IF($AA424="","",SUBSTITUTE(SUBSTITUTE(SUBSTITUTE(SUBSTITUTE(SUBSTITUTE(SUBSTITUTE(SUBSTITUTE(SUBSTITUTE(SUBSTITUTE($AA424," ",""),"　",""),"(주)",""),"（주）",""),"㈜",""),"주식회사",""),"(유)",""),"（유）",""),"유한회사",""))</f>
        <v/>
      </c>
      <c r="AC424" s="31">
        <f>IF(OR($Y424="",N($Z424)&lt;=0,$AB424=""),0,IFERROR(LOOKUP(2,1/((거래처별!$AC$8:$AC$307&lt;&gt;"")*ISNUMBER(SEARCH(거래처별!$AC$8:$AC$307,$AB424))),거래처별!$A$8:$A$307),IFERROR(LOOKUP(2,1/((거래처별!$AD$8:$AD$307&lt;&gt;"")*ISNUMBER(SEARCH(거래처별!$AD$8:$AD$307,$AB424))),거래처별!$A$8:$A$307),IFERROR(LOOKUP(2,1/((거래처별!$AE$8:$AE$307&lt;&gt;"")*ISNUMBER(SEARCH(거래처별!$AE$8:$AE$307,$AB424))),거래처별!$A$8:$A$307),0))))</f>
        <v/>
      </c>
      <c r="AD424" s="31">
        <f>IF(AND($Y424&lt;&gt;"",N($Z424)&gt;0,$AC424=0),MAX($AD$7:$AD423)+1,"")</f>
        <v/>
      </c>
      <c r="AE424" s="31">
        <f>IF($Y424="",0,$Y424)</f>
        <v/>
      </c>
    </row>
    <row r="425">
      <c r="W425" s="31">
        <f>IF(OR($B$5="",$C$6="",ROW()&lt;$B$5),"",IF(INDEX($A:$U,ROW(),$C$6)="","",INDEX($A:$U,ROW(),$C$6)))</f>
        <v/>
      </c>
      <c r="X425" s="32">
        <f>IF($W425="","",IF(ISNUMBER($W425),IF($W425&gt;=10000000,IFERROR(DATE(INT($W425/10000),MOD(INT($W425/100),100),MOD($W425,100)),""),INT($W425)),IFERROR(DATE(--LEFT(LEFT(SUBSTITUTE(SUBSTITUTE(SUBSTITUTE(SUBSTITUTE(TRIM($W425),"-",""),".",""),"/","")," ",""),8),4),--MID(LEFT(SUBSTITUTE(SUBSTITUTE(SUBSTITUTE(SUBSTITUTE(TRIM($W425),"-",""),".",""),"/","")," ",""),8),5,2),--MID(LEFT(SUBSTITUTE(SUBSTITUTE(SUBSTITUTE(SUBSTITUTE(TRIM($W425),"-",""),".",""),"/","")," ",""),8),7,2)),"")))</f>
        <v/>
      </c>
      <c r="Y425" s="32">
        <f>IF($X425="","",INT($X425))</f>
        <v/>
      </c>
      <c r="Z425" s="33">
        <f>IF(OR($Y425="",$D$6=""),"",IF(INDEX($A:$U,ROW(),$D$6)="",0,IF(ISNUMBER(INDEX($A:$U,ROW(),$D$6)),INDEX($A:$U,ROW(),$D$6),IFERROR(--SUBSTITUTE(SUBSTITUTE(TRIM(INDEX($A:$U,ROW(),$D$6)),",",""),"원",""),0))))</f>
        <v/>
      </c>
      <c r="AA425" s="31">
        <f>IF($Y425="","",TRIM(INDEX($A:$U,ROW(),$E$6)&amp;IF($F$6="",""," "&amp;INDEX($A:$U,ROW(),$F$6))))</f>
        <v/>
      </c>
      <c r="AB425" s="31">
        <f>IF($AA425="","",SUBSTITUTE(SUBSTITUTE(SUBSTITUTE(SUBSTITUTE(SUBSTITUTE(SUBSTITUTE(SUBSTITUTE(SUBSTITUTE(SUBSTITUTE($AA425," ",""),"　",""),"(주)",""),"（주）",""),"㈜",""),"주식회사",""),"(유)",""),"（유）",""),"유한회사",""))</f>
        <v/>
      </c>
      <c r="AC425" s="31">
        <f>IF(OR($Y425="",N($Z425)&lt;=0,$AB425=""),0,IFERROR(LOOKUP(2,1/((거래처별!$AC$8:$AC$307&lt;&gt;"")*ISNUMBER(SEARCH(거래처별!$AC$8:$AC$307,$AB425))),거래처별!$A$8:$A$307),IFERROR(LOOKUP(2,1/((거래처별!$AD$8:$AD$307&lt;&gt;"")*ISNUMBER(SEARCH(거래처별!$AD$8:$AD$307,$AB425))),거래처별!$A$8:$A$307),IFERROR(LOOKUP(2,1/((거래처별!$AE$8:$AE$307&lt;&gt;"")*ISNUMBER(SEARCH(거래처별!$AE$8:$AE$307,$AB425))),거래처별!$A$8:$A$307),0))))</f>
        <v/>
      </c>
      <c r="AD425" s="31">
        <f>IF(AND($Y425&lt;&gt;"",N($Z425)&gt;0,$AC425=0),MAX($AD$7:$AD424)+1,"")</f>
        <v/>
      </c>
      <c r="AE425" s="31">
        <f>IF($Y425="",0,$Y425)</f>
        <v/>
      </c>
    </row>
    <row r="426">
      <c r="W426" s="31">
        <f>IF(OR($B$5="",$C$6="",ROW()&lt;$B$5),"",IF(INDEX($A:$U,ROW(),$C$6)="","",INDEX($A:$U,ROW(),$C$6)))</f>
        <v/>
      </c>
      <c r="X426" s="32">
        <f>IF($W426="","",IF(ISNUMBER($W426),IF($W426&gt;=10000000,IFERROR(DATE(INT($W426/10000),MOD(INT($W426/100),100),MOD($W426,100)),""),INT($W426)),IFERROR(DATE(--LEFT(LEFT(SUBSTITUTE(SUBSTITUTE(SUBSTITUTE(SUBSTITUTE(TRIM($W426),"-",""),".",""),"/","")," ",""),8),4),--MID(LEFT(SUBSTITUTE(SUBSTITUTE(SUBSTITUTE(SUBSTITUTE(TRIM($W426),"-",""),".",""),"/","")," ",""),8),5,2),--MID(LEFT(SUBSTITUTE(SUBSTITUTE(SUBSTITUTE(SUBSTITUTE(TRIM($W426),"-",""),".",""),"/","")," ",""),8),7,2)),"")))</f>
        <v/>
      </c>
      <c r="Y426" s="32">
        <f>IF($X426="","",INT($X426))</f>
        <v/>
      </c>
      <c r="Z426" s="33">
        <f>IF(OR($Y426="",$D$6=""),"",IF(INDEX($A:$U,ROW(),$D$6)="",0,IF(ISNUMBER(INDEX($A:$U,ROW(),$D$6)),INDEX($A:$U,ROW(),$D$6),IFERROR(--SUBSTITUTE(SUBSTITUTE(TRIM(INDEX($A:$U,ROW(),$D$6)),",",""),"원",""),0))))</f>
        <v/>
      </c>
      <c r="AA426" s="31">
        <f>IF($Y426="","",TRIM(INDEX($A:$U,ROW(),$E$6)&amp;IF($F$6="",""," "&amp;INDEX($A:$U,ROW(),$F$6))))</f>
        <v/>
      </c>
      <c r="AB426" s="31">
        <f>IF($AA426="","",SUBSTITUTE(SUBSTITUTE(SUBSTITUTE(SUBSTITUTE(SUBSTITUTE(SUBSTITUTE(SUBSTITUTE(SUBSTITUTE(SUBSTITUTE($AA426," ",""),"　",""),"(주)",""),"（주）",""),"㈜",""),"주식회사",""),"(유)",""),"（유）",""),"유한회사",""))</f>
        <v/>
      </c>
      <c r="AC426" s="31">
        <f>IF(OR($Y426="",N($Z426)&lt;=0,$AB426=""),0,IFERROR(LOOKUP(2,1/((거래처별!$AC$8:$AC$307&lt;&gt;"")*ISNUMBER(SEARCH(거래처별!$AC$8:$AC$307,$AB426))),거래처별!$A$8:$A$307),IFERROR(LOOKUP(2,1/((거래처별!$AD$8:$AD$307&lt;&gt;"")*ISNUMBER(SEARCH(거래처별!$AD$8:$AD$307,$AB426))),거래처별!$A$8:$A$307),IFERROR(LOOKUP(2,1/((거래처별!$AE$8:$AE$307&lt;&gt;"")*ISNUMBER(SEARCH(거래처별!$AE$8:$AE$307,$AB426))),거래처별!$A$8:$A$307),0))))</f>
        <v/>
      </c>
      <c r="AD426" s="31">
        <f>IF(AND($Y426&lt;&gt;"",N($Z426)&gt;0,$AC426=0),MAX($AD$7:$AD425)+1,"")</f>
        <v/>
      </c>
      <c r="AE426" s="31">
        <f>IF($Y426="",0,$Y426)</f>
        <v/>
      </c>
    </row>
    <row r="427">
      <c r="W427" s="31">
        <f>IF(OR($B$5="",$C$6="",ROW()&lt;$B$5),"",IF(INDEX($A:$U,ROW(),$C$6)="","",INDEX($A:$U,ROW(),$C$6)))</f>
        <v/>
      </c>
      <c r="X427" s="32">
        <f>IF($W427="","",IF(ISNUMBER($W427),IF($W427&gt;=10000000,IFERROR(DATE(INT($W427/10000),MOD(INT($W427/100),100),MOD($W427,100)),""),INT($W427)),IFERROR(DATE(--LEFT(LEFT(SUBSTITUTE(SUBSTITUTE(SUBSTITUTE(SUBSTITUTE(TRIM($W427),"-",""),".",""),"/","")," ",""),8),4),--MID(LEFT(SUBSTITUTE(SUBSTITUTE(SUBSTITUTE(SUBSTITUTE(TRIM($W427),"-",""),".",""),"/","")," ",""),8),5,2),--MID(LEFT(SUBSTITUTE(SUBSTITUTE(SUBSTITUTE(SUBSTITUTE(TRIM($W427),"-",""),".",""),"/","")," ",""),8),7,2)),"")))</f>
        <v/>
      </c>
      <c r="Y427" s="32">
        <f>IF($X427="","",INT($X427))</f>
        <v/>
      </c>
      <c r="Z427" s="33">
        <f>IF(OR($Y427="",$D$6=""),"",IF(INDEX($A:$U,ROW(),$D$6)="",0,IF(ISNUMBER(INDEX($A:$U,ROW(),$D$6)),INDEX($A:$U,ROW(),$D$6),IFERROR(--SUBSTITUTE(SUBSTITUTE(TRIM(INDEX($A:$U,ROW(),$D$6)),",",""),"원",""),0))))</f>
        <v/>
      </c>
      <c r="AA427" s="31">
        <f>IF($Y427="","",TRIM(INDEX($A:$U,ROW(),$E$6)&amp;IF($F$6="",""," "&amp;INDEX($A:$U,ROW(),$F$6))))</f>
        <v/>
      </c>
      <c r="AB427" s="31">
        <f>IF($AA427="","",SUBSTITUTE(SUBSTITUTE(SUBSTITUTE(SUBSTITUTE(SUBSTITUTE(SUBSTITUTE(SUBSTITUTE(SUBSTITUTE(SUBSTITUTE($AA427," ",""),"　",""),"(주)",""),"（주）",""),"㈜",""),"주식회사",""),"(유)",""),"（유）",""),"유한회사",""))</f>
        <v/>
      </c>
      <c r="AC427" s="31">
        <f>IF(OR($Y427="",N($Z427)&lt;=0,$AB427=""),0,IFERROR(LOOKUP(2,1/((거래처별!$AC$8:$AC$307&lt;&gt;"")*ISNUMBER(SEARCH(거래처별!$AC$8:$AC$307,$AB427))),거래처별!$A$8:$A$307),IFERROR(LOOKUP(2,1/((거래처별!$AD$8:$AD$307&lt;&gt;"")*ISNUMBER(SEARCH(거래처별!$AD$8:$AD$307,$AB427))),거래처별!$A$8:$A$307),IFERROR(LOOKUP(2,1/((거래처별!$AE$8:$AE$307&lt;&gt;"")*ISNUMBER(SEARCH(거래처별!$AE$8:$AE$307,$AB427))),거래처별!$A$8:$A$307),0))))</f>
        <v/>
      </c>
      <c r="AD427" s="31">
        <f>IF(AND($Y427&lt;&gt;"",N($Z427)&gt;0,$AC427=0),MAX($AD$7:$AD426)+1,"")</f>
        <v/>
      </c>
      <c r="AE427" s="31">
        <f>IF($Y427="",0,$Y427)</f>
        <v/>
      </c>
    </row>
    <row r="428">
      <c r="W428" s="31">
        <f>IF(OR($B$5="",$C$6="",ROW()&lt;$B$5),"",IF(INDEX($A:$U,ROW(),$C$6)="","",INDEX($A:$U,ROW(),$C$6)))</f>
        <v/>
      </c>
      <c r="X428" s="32">
        <f>IF($W428="","",IF(ISNUMBER($W428),IF($W428&gt;=10000000,IFERROR(DATE(INT($W428/10000),MOD(INT($W428/100),100),MOD($W428,100)),""),INT($W428)),IFERROR(DATE(--LEFT(LEFT(SUBSTITUTE(SUBSTITUTE(SUBSTITUTE(SUBSTITUTE(TRIM($W428),"-",""),".",""),"/","")," ",""),8),4),--MID(LEFT(SUBSTITUTE(SUBSTITUTE(SUBSTITUTE(SUBSTITUTE(TRIM($W428),"-",""),".",""),"/","")," ",""),8),5,2),--MID(LEFT(SUBSTITUTE(SUBSTITUTE(SUBSTITUTE(SUBSTITUTE(TRIM($W428),"-",""),".",""),"/","")," ",""),8),7,2)),"")))</f>
        <v/>
      </c>
      <c r="Y428" s="32">
        <f>IF($X428="","",INT($X428))</f>
        <v/>
      </c>
      <c r="Z428" s="33">
        <f>IF(OR($Y428="",$D$6=""),"",IF(INDEX($A:$U,ROW(),$D$6)="",0,IF(ISNUMBER(INDEX($A:$U,ROW(),$D$6)),INDEX($A:$U,ROW(),$D$6),IFERROR(--SUBSTITUTE(SUBSTITUTE(TRIM(INDEX($A:$U,ROW(),$D$6)),",",""),"원",""),0))))</f>
        <v/>
      </c>
      <c r="AA428" s="31">
        <f>IF($Y428="","",TRIM(INDEX($A:$U,ROW(),$E$6)&amp;IF($F$6="",""," "&amp;INDEX($A:$U,ROW(),$F$6))))</f>
        <v/>
      </c>
      <c r="AB428" s="31">
        <f>IF($AA428="","",SUBSTITUTE(SUBSTITUTE(SUBSTITUTE(SUBSTITUTE(SUBSTITUTE(SUBSTITUTE(SUBSTITUTE(SUBSTITUTE(SUBSTITUTE($AA428," ",""),"　",""),"(주)",""),"（주）",""),"㈜",""),"주식회사",""),"(유)",""),"（유）",""),"유한회사",""))</f>
        <v/>
      </c>
      <c r="AC428" s="31">
        <f>IF(OR($Y428="",N($Z428)&lt;=0,$AB428=""),0,IFERROR(LOOKUP(2,1/((거래처별!$AC$8:$AC$307&lt;&gt;"")*ISNUMBER(SEARCH(거래처별!$AC$8:$AC$307,$AB428))),거래처별!$A$8:$A$307),IFERROR(LOOKUP(2,1/((거래처별!$AD$8:$AD$307&lt;&gt;"")*ISNUMBER(SEARCH(거래처별!$AD$8:$AD$307,$AB428))),거래처별!$A$8:$A$307),IFERROR(LOOKUP(2,1/((거래처별!$AE$8:$AE$307&lt;&gt;"")*ISNUMBER(SEARCH(거래처별!$AE$8:$AE$307,$AB428))),거래처별!$A$8:$A$307),0))))</f>
        <v/>
      </c>
      <c r="AD428" s="31">
        <f>IF(AND($Y428&lt;&gt;"",N($Z428)&gt;0,$AC428=0),MAX($AD$7:$AD427)+1,"")</f>
        <v/>
      </c>
      <c r="AE428" s="31">
        <f>IF($Y428="",0,$Y428)</f>
        <v/>
      </c>
    </row>
    <row r="429">
      <c r="W429" s="31">
        <f>IF(OR($B$5="",$C$6="",ROW()&lt;$B$5),"",IF(INDEX($A:$U,ROW(),$C$6)="","",INDEX($A:$U,ROW(),$C$6)))</f>
        <v/>
      </c>
      <c r="X429" s="32">
        <f>IF($W429="","",IF(ISNUMBER($W429),IF($W429&gt;=10000000,IFERROR(DATE(INT($W429/10000),MOD(INT($W429/100),100),MOD($W429,100)),""),INT($W429)),IFERROR(DATE(--LEFT(LEFT(SUBSTITUTE(SUBSTITUTE(SUBSTITUTE(SUBSTITUTE(TRIM($W429),"-",""),".",""),"/","")," ",""),8),4),--MID(LEFT(SUBSTITUTE(SUBSTITUTE(SUBSTITUTE(SUBSTITUTE(TRIM($W429),"-",""),".",""),"/","")," ",""),8),5,2),--MID(LEFT(SUBSTITUTE(SUBSTITUTE(SUBSTITUTE(SUBSTITUTE(TRIM($W429),"-",""),".",""),"/","")," ",""),8),7,2)),"")))</f>
        <v/>
      </c>
      <c r="Y429" s="32">
        <f>IF($X429="","",INT($X429))</f>
        <v/>
      </c>
      <c r="Z429" s="33">
        <f>IF(OR($Y429="",$D$6=""),"",IF(INDEX($A:$U,ROW(),$D$6)="",0,IF(ISNUMBER(INDEX($A:$U,ROW(),$D$6)),INDEX($A:$U,ROW(),$D$6),IFERROR(--SUBSTITUTE(SUBSTITUTE(TRIM(INDEX($A:$U,ROW(),$D$6)),",",""),"원",""),0))))</f>
        <v/>
      </c>
      <c r="AA429" s="31">
        <f>IF($Y429="","",TRIM(INDEX($A:$U,ROW(),$E$6)&amp;IF($F$6="",""," "&amp;INDEX($A:$U,ROW(),$F$6))))</f>
        <v/>
      </c>
      <c r="AB429" s="31">
        <f>IF($AA429="","",SUBSTITUTE(SUBSTITUTE(SUBSTITUTE(SUBSTITUTE(SUBSTITUTE(SUBSTITUTE(SUBSTITUTE(SUBSTITUTE(SUBSTITUTE($AA429," ",""),"　",""),"(주)",""),"（주）",""),"㈜",""),"주식회사",""),"(유)",""),"（유）",""),"유한회사",""))</f>
        <v/>
      </c>
      <c r="AC429" s="31">
        <f>IF(OR($Y429="",N($Z429)&lt;=0,$AB429=""),0,IFERROR(LOOKUP(2,1/((거래처별!$AC$8:$AC$307&lt;&gt;"")*ISNUMBER(SEARCH(거래처별!$AC$8:$AC$307,$AB429))),거래처별!$A$8:$A$307),IFERROR(LOOKUP(2,1/((거래처별!$AD$8:$AD$307&lt;&gt;"")*ISNUMBER(SEARCH(거래처별!$AD$8:$AD$307,$AB429))),거래처별!$A$8:$A$307),IFERROR(LOOKUP(2,1/((거래처별!$AE$8:$AE$307&lt;&gt;"")*ISNUMBER(SEARCH(거래처별!$AE$8:$AE$307,$AB429))),거래처별!$A$8:$A$307),0))))</f>
        <v/>
      </c>
      <c r="AD429" s="31">
        <f>IF(AND($Y429&lt;&gt;"",N($Z429)&gt;0,$AC429=0),MAX($AD$7:$AD428)+1,"")</f>
        <v/>
      </c>
      <c r="AE429" s="31">
        <f>IF($Y429="",0,$Y429)</f>
        <v/>
      </c>
    </row>
    <row r="430">
      <c r="W430" s="31">
        <f>IF(OR($B$5="",$C$6="",ROW()&lt;$B$5),"",IF(INDEX($A:$U,ROW(),$C$6)="","",INDEX($A:$U,ROW(),$C$6)))</f>
        <v/>
      </c>
      <c r="X430" s="32">
        <f>IF($W430="","",IF(ISNUMBER($W430),IF($W430&gt;=10000000,IFERROR(DATE(INT($W430/10000),MOD(INT($W430/100),100),MOD($W430,100)),""),INT($W430)),IFERROR(DATE(--LEFT(LEFT(SUBSTITUTE(SUBSTITUTE(SUBSTITUTE(SUBSTITUTE(TRIM($W430),"-",""),".",""),"/","")," ",""),8),4),--MID(LEFT(SUBSTITUTE(SUBSTITUTE(SUBSTITUTE(SUBSTITUTE(TRIM($W430),"-",""),".",""),"/","")," ",""),8),5,2),--MID(LEFT(SUBSTITUTE(SUBSTITUTE(SUBSTITUTE(SUBSTITUTE(TRIM($W430),"-",""),".",""),"/","")," ",""),8),7,2)),"")))</f>
        <v/>
      </c>
      <c r="Y430" s="32">
        <f>IF($X430="","",INT($X430))</f>
        <v/>
      </c>
      <c r="Z430" s="33">
        <f>IF(OR($Y430="",$D$6=""),"",IF(INDEX($A:$U,ROW(),$D$6)="",0,IF(ISNUMBER(INDEX($A:$U,ROW(),$D$6)),INDEX($A:$U,ROW(),$D$6),IFERROR(--SUBSTITUTE(SUBSTITUTE(TRIM(INDEX($A:$U,ROW(),$D$6)),",",""),"원",""),0))))</f>
        <v/>
      </c>
      <c r="AA430" s="31">
        <f>IF($Y430="","",TRIM(INDEX($A:$U,ROW(),$E$6)&amp;IF($F$6="",""," "&amp;INDEX($A:$U,ROW(),$F$6))))</f>
        <v/>
      </c>
      <c r="AB430" s="31">
        <f>IF($AA430="","",SUBSTITUTE(SUBSTITUTE(SUBSTITUTE(SUBSTITUTE(SUBSTITUTE(SUBSTITUTE(SUBSTITUTE(SUBSTITUTE(SUBSTITUTE($AA430," ",""),"　",""),"(주)",""),"（주）",""),"㈜",""),"주식회사",""),"(유)",""),"（유）",""),"유한회사",""))</f>
        <v/>
      </c>
      <c r="AC430" s="31">
        <f>IF(OR($Y430="",N($Z430)&lt;=0,$AB430=""),0,IFERROR(LOOKUP(2,1/((거래처별!$AC$8:$AC$307&lt;&gt;"")*ISNUMBER(SEARCH(거래처별!$AC$8:$AC$307,$AB430))),거래처별!$A$8:$A$307),IFERROR(LOOKUP(2,1/((거래처별!$AD$8:$AD$307&lt;&gt;"")*ISNUMBER(SEARCH(거래처별!$AD$8:$AD$307,$AB430))),거래처별!$A$8:$A$307),IFERROR(LOOKUP(2,1/((거래처별!$AE$8:$AE$307&lt;&gt;"")*ISNUMBER(SEARCH(거래처별!$AE$8:$AE$307,$AB430))),거래처별!$A$8:$A$307),0))))</f>
        <v/>
      </c>
      <c r="AD430" s="31">
        <f>IF(AND($Y430&lt;&gt;"",N($Z430)&gt;0,$AC430=0),MAX($AD$7:$AD429)+1,"")</f>
        <v/>
      </c>
      <c r="AE430" s="31">
        <f>IF($Y430="",0,$Y430)</f>
        <v/>
      </c>
    </row>
    <row r="431">
      <c r="W431" s="31">
        <f>IF(OR($B$5="",$C$6="",ROW()&lt;$B$5),"",IF(INDEX($A:$U,ROW(),$C$6)="","",INDEX($A:$U,ROW(),$C$6)))</f>
        <v/>
      </c>
      <c r="X431" s="32">
        <f>IF($W431="","",IF(ISNUMBER($W431),IF($W431&gt;=10000000,IFERROR(DATE(INT($W431/10000),MOD(INT($W431/100),100),MOD($W431,100)),""),INT($W431)),IFERROR(DATE(--LEFT(LEFT(SUBSTITUTE(SUBSTITUTE(SUBSTITUTE(SUBSTITUTE(TRIM($W431),"-",""),".",""),"/","")," ",""),8),4),--MID(LEFT(SUBSTITUTE(SUBSTITUTE(SUBSTITUTE(SUBSTITUTE(TRIM($W431),"-",""),".",""),"/","")," ",""),8),5,2),--MID(LEFT(SUBSTITUTE(SUBSTITUTE(SUBSTITUTE(SUBSTITUTE(TRIM($W431),"-",""),".",""),"/","")," ",""),8),7,2)),"")))</f>
        <v/>
      </c>
      <c r="Y431" s="32">
        <f>IF($X431="","",INT($X431))</f>
        <v/>
      </c>
      <c r="Z431" s="33">
        <f>IF(OR($Y431="",$D$6=""),"",IF(INDEX($A:$U,ROW(),$D$6)="",0,IF(ISNUMBER(INDEX($A:$U,ROW(),$D$6)),INDEX($A:$U,ROW(),$D$6),IFERROR(--SUBSTITUTE(SUBSTITUTE(TRIM(INDEX($A:$U,ROW(),$D$6)),",",""),"원",""),0))))</f>
        <v/>
      </c>
      <c r="AA431" s="31">
        <f>IF($Y431="","",TRIM(INDEX($A:$U,ROW(),$E$6)&amp;IF($F$6="",""," "&amp;INDEX($A:$U,ROW(),$F$6))))</f>
        <v/>
      </c>
      <c r="AB431" s="31">
        <f>IF($AA431="","",SUBSTITUTE(SUBSTITUTE(SUBSTITUTE(SUBSTITUTE(SUBSTITUTE(SUBSTITUTE(SUBSTITUTE(SUBSTITUTE(SUBSTITUTE($AA431," ",""),"　",""),"(주)",""),"（주）",""),"㈜",""),"주식회사",""),"(유)",""),"（유）",""),"유한회사",""))</f>
        <v/>
      </c>
      <c r="AC431" s="31">
        <f>IF(OR($Y431="",N($Z431)&lt;=0,$AB431=""),0,IFERROR(LOOKUP(2,1/((거래처별!$AC$8:$AC$307&lt;&gt;"")*ISNUMBER(SEARCH(거래처별!$AC$8:$AC$307,$AB431))),거래처별!$A$8:$A$307),IFERROR(LOOKUP(2,1/((거래처별!$AD$8:$AD$307&lt;&gt;"")*ISNUMBER(SEARCH(거래처별!$AD$8:$AD$307,$AB431))),거래처별!$A$8:$A$307),IFERROR(LOOKUP(2,1/((거래처별!$AE$8:$AE$307&lt;&gt;"")*ISNUMBER(SEARCH(거래처별!$AE$8:$AE$307,$AB431))),거래처별!$A$8:$A$307),0))))</f>
        <v/>
      </c>
      <c r="AD431" s="31">
        <f>IF(AND($Y431&lt;&gt;"",N($Z431)&gt;0,$AC431=0),MAX($AD$7:$AD430)+1,"")</f>
        <v/>
      </c>
      <c r="AE431" s="31">
        <f>IF($Y431="",0,$Y431)</f>
        <v/>
      </c>
    </row>
    <row r="432">
      <c r="W432" s="31">
        <f>IF(OR($B$5="",$C$6="",ROW()&lt;$B$5),"",IF(INDEX($A:$U,ROW(),$C$6)="","",INDEX($A:$U,ROW(),$C$6)))</f>
        <v/>
      </c>
      <c r="X432" s="32">
        <f>IF($W432="","",IF(ISNUMBER($W432),IF($W432&gt;=10000000,IFERROR(DATE(INT($W432/10000),MOD(INT($W432/100),100),MOD($W432,100)),""),INT($W432)),IFERROR(DATE(--LEFT(LEFT(SUBSTITUTE(SUBSTITUTE(SUBSTITUTE(SUBSTITUTE(TRIM($W432),"-",""),".",""),"/","")," ",""),8),4),--MID(LEFT(SUBSTITUTE(SUBSTITUTE(SUBSTITUTE(SUBSTITUTE(TRIM($W432),"-",""),".",""),"/","")," ",""),8),5,2),--MID(LEFT(SUBSTITUTE(SUBSTITUTE(SUBSTITUTE(SUBSTITUTE(TRIM($W432),"-",""),".",""),"/","")," ",""),8),7,2)),"")))</f>
        <v/>
      </c>
      <c r="Y432" s="32">
        <f>IF($X432="","",INT($X432))</f>
        <v/>
      </c>
      <c r="Z432" s="33">
        <f>IF(OR($Y432="",$D$6=""),"",IF(INDEX($A:$U,ROW(),$D$6)="",0,IF(ISNUMBER(INDEX($A:$U,ROW(),$D$6)),INDEX($A:$U,ROW(),$D$6),IFERROR(--SUBSTITUTE(SUBSTITUTE(TRIM(INDEX($A:$U,ROW(),$D$6)),",",""),"원",""),0))))</f>
        <v/>
      </c>
      <c r="AA432" s="31">
        <f>IF($Y432="","",TRIM(INDEX($A:$U,ROW(),$E$6)&amp;IF($F$6="",""," "&amp;INDEX($A:$U,ROW(),$F$6))))</f>
        <v/>
      </c>
      <c r="AB432" s="31">
        <f>IF($AA432="","",SUBSTITUTE(SUBSTITUTE(SUBSTITUTE(SUBSTITUTE(SUBSTITUTE(SUBSTITUTE(SUBSTITUTE(SUBSTITUTE(SUBSTITUTE($AA432," ",""),"　",""),"(주)",""),"（주）",""),"㈜",""),"주식회사",""),"(유)",""),"（유）",""),"유한회사",""))</f>
        <v/>
      </c>
      <c r="AC432" s="31">
        <f>IF(OR($Y432="",N($Z432)&lt;=0,$AB432=""),0,IFERROR(LOOKUP(2,1/((거래처별!$AC$8:$AC$307&lt;&gt;"")*ISNUMBER(SEARCH(거래처별!$AC$8:$AC$307,$AB432))),거래처별!$A$8:$A$307),IFERROR(LOOKUP(2,1/((거래처별!$AD$8:$AD$307&lt;&gt;"")*ISNUMBER(SEARCH(거래처별!$AD$8:$AD$307,$AB432))),거래처별!$A$8:$A$307),IFERROR(LOOKUP(2,1/((거래처별!$AE$8:$AE$307&lt;&gt;"")*ISNUMBER(SEARCH(거래처별!$AE$8:$AE$307,$AB432))),거래처별!$A$8:$A$307),0))))</f>
        <v/>
      </c>
      <c r="AD432" s="31">
        <f>IF(AND($Y432&lt;&gt;"",N($Z432)&gt;0,$AC432=0),MAX($AD$7:$AD431)+1,"")</f>
        <v/>
      </c>
      <c r="AE432" s="31">
        <f>IF($Y432="",0,$Y432)</f>
        <v/>
      </c>
    </row>
    <row r="433">
      <c r="W433" s="31">
        <f>IF(OR($B$5="",$C$6="",ROW()&lt;$B$5),"",IF(INDEX($A:$U,ROW(),$C$6)="","",INDEX($A:$U,ROW(),$C$6)))</f>
        <v/>
      </c>
      <c r="X433" s="32">
        <f>IF($W433="","",IF(ISNUMBER($W433),IF($W433&gt;=10000000,IFERROR(DATE(INT($W433/10000),MOD(INT($W433/100),100),MOD($W433,100)),""),INT($W433)),IFERROR(DATE(--LEFT(LEFT(SUBSTITUTE(SUBSTITUTE(SUBSTITUTE(SUBSTITUTE(TRIM($W433),"-",""),".",""),"/","")," ",""),8),4),--MID(LEFT(SUBSTITUTE(SUBSTITUTE(SUBSTITUTE(SUBSTITUTE(TRIM($W433),"-",""),".",""),"/","")," ",""),8),5,2),--MID(LEFT(SUBSTITUTE(SUBSTITUTE(SUBSTITUTE(SUBSTITUTE(TRIM($W433),"-",""),".",""),"/","")," ",""),8),7,2)),"")))</f>
        <v/>
      </c>
      <c r="Y433" s="32">
        <f>IF($X433="","",INT($X433))</f>
        <v/>
      </c>
      <c r="Z433" s="33">
        <f>IF(OR($Y433="",$D$6=""),"",IF(INDEX($A:$U,ROW(),$D$6)="",0,IF(ISNUMBER(INDEX($A:$U,ROW(),$D$6)),INDEX($A:$U,ROW(),$D$6),IFERROR(--SUBSTITUTE(SUBSTITUTE(TRIM(INDEX($A:$U,ROW(),$D$6)),",",""),"원",""),0))))</f>
        <v/>
      </c>
      <c r="AA433" s="31">
        <f>IF($Y433="","",TRIM(INDEX($A:$U,ROW(),$E$6)&amp;IF($F$6="",""," "&amp;INDEX($A:$U,ROW(),$F$6))))</f>
        <v/>
      </c>
      <c r="AB433" s="31">
        <f>IF($AA433="","",SUBSTITUTE(SUBSTITUTE(SUBSTITUTE(SUBSTITUTE(SUBSTITUTE(SUBSTITUTE(SUBSTITUTE(SUBSTITUTE(SUBSTITUTE($AA433," ",""),"　",""),"(주)",""),"（주）",""),"㈜",""),"주식회사",""),"(유)",""),"（유）",""),"유한회사",""))</f>
        <v/>
      </c>
      <c r="AC433" s="31">
        <f>IF(OR($Y433="",N($Z433)&lt;=0,$AB433=""),0,IFERROR(LOOKUP(2,1/((거래처별!$AC$8:$AC$307&lt;&gt;"")*ISNUMBER(SEARCH(거래처별!$AC$8:$AC$307,$AB433))),거래처별!$A$8:$A$307),IFERROR(LOOKUP(2,1/((거래처별!$AD$8:$AD$307&lt;&gt;"")*ISNUMBER(SEARCH(거래처별!$AD$8:$AD$307,$AB433))),거래처별!$A$8:$A$307),IFERROR(LOOKUP(2,1/((거래처별!$AE$8:$AE$307&lt;&gt;"")*ISNUMBER(SEARCH(거래처별!$AE$8:$AE$307,$AB433))),거래처별!$A$8:$A$307),0))))</f>
        <v/>
      </c>
      <c r="AD433" s="31">
        <f>IF(AND($Y433&lt;&gt;"",N($Z433)&gt;0,$AC433=0),MAX($AD$7:$AD432)+1,"")</f>
        <v/>
      </c>
      <c r="AE433" s="31">
        <f>IF($Y433="",0,$Y433)</f>
        <v/>
      </c>
    </row>
    <row r="434">
      <c r="W434" s="31">
        <f>IF(OR($B$5="",$C$6="",ROW()&lt;$B$5),"",IF(INDEX($A:$U,ROW(),$C$6)="","",INDEX($A:$U,ROW(),$C$6)))</f>
        <v/>
      </c>
      <c r="X434" s="32">
        <f>IF($W434="","",IF(ISNUMBER($W434),IF($W434&gt;=10000000,IFERROR(DATE(INT($W434/10000),MOD(INT($W434/100),100),MOD($W434,100)),""),INT($W434)),IFERROR(DATE(--LEFT(LEFT(SUBSTITUTE(SUBSTITUTE(SUBSTITUTE(SUBSTITUTE(TRIM($W434),"-",""),".",""),"/","")," ",""),8),4),--MID(LEFT(SUBSTITUTE(SUBSTITUTE(SUBSTITUTE(SUBSTITUTE(TRIM($W434),"-",""),".",""),"/","")," ",""),8),5,2),--MID(LEFT(SUBSTITUTE(SUBSTITUTE(SUBSTITUTE(SUBSTITUTE(TRIM($W434),"-",""),".",""),"/","")," ",""),8),7,2)),"")))</f>
        <v/>
      </c>
      <c r="Y434" s="32">
        <f>IF($X434="","",INT($X434))</f>
        <v/>
      </c>
      <c r="Z434" s="33">
        <f>IF(OR($Y434="",$D$6=""),"",IF(INDEX($A:$U,ROW(),$D$6)="",0,IF(ISNUMBER(INDEX($A:$U,ROW(),$D$6)),INDEX($A:$U,ROW(),$D$6),IFERROR(--SUBSTITUTE(SUBSTITUTE(TRIM(INDEX($A:$U,ROW(),$D$6)),",",""),"원",""),0))))</f>
        <v/>
      </c>
      <c r="AA434" s="31">
        <f>IF($Y434="","",TRIM(INDEX($A:$U,ROW(),$E$6)&amp;IF($F$6="",""," "&amp;INDEX($A:$U,ROW(),$F$6))))</f>
        <v/>
      </c>
      <c r="AB434" s="31">
        <f>IF($AA434="","",SUBSTITUTE(SUBSTITUTE(SUBSTITUTE(SUBSTITUTE(SUBSTITUTE(SUBSTITUTE(SUBSTITUTE(SUBSTITUTE(SUBSTITUTE($AA434," ",""),"　",""),"(주)",""),"（주）",""),"㈜",""),"주식회사",""),"(유)",""),"（유）",""),"유한회사",""))</f>
        <v/>
      </c>
      <c r="AC434" s="31">
        <f>IF(OR($Y434="",N($Z434)&lt;=0,$AB434=""),0,IFERROR(LOOKUP(2,1/((거래처별!$AC$8:$AC$307&lt;&gt;"")*ISNUMBER(SEARCH(거래처별!$AC$8:$AC$307,$AB434))),거래처별!$A$8:$A$307),IFERROR(LOOKUP(2,1/((거래처별!$AD$8:$AD$307&lt;&gt;"")*ISNUMBER(SEARCH(거래처별!$AD$8:$AD$307,$AB434))),거래처별!$A$8:$A$307),IFERROR(LOOKUP(2,1/((거래처별!$AE$8:$AE$307&lt;&gt;"")*ISNUMBER(SEARCH(거래처별!$AE$8:$AE$307,$AB434))),거래처별!$A$8:$A$307),0))))</f>
        <v/>
      </c>
      <c r="AD434" s="31">
        <f>IF(AND($Y434&lt;&gt;"",N($Z434)&gt;0,$AC434=0),MAX($AD$7:$AD433)+1,"")</f>
        <v/>
      </c>
      <c r="AE434" s="31">
        <f>IF($Y434="",0,$Y434)</f>
        <v/>
      </c>
    </row>
    <row r="435">
      <c r="W435" s="31">
        <f>IF(OR($B$5="",$C$6="",ROW()&lt;$B$5),"",IF(INDEX($A:$U,ROW(),$C$6)="","",INDEX($A:$U,ROW(),$C$6)))</f>
        <v/>
      </c>
      <c r="X435" s="32">
        <f>IF($W435="","",IF(ISNUMBER($W435),IF($W435&gt;=10000000,IFERROR(DATE(INT($W435/10000),MOD(INT($W435/100),100),MOD($W435,100)),""),INT($W435)),IFERROR(DATE(--LEFT(LEFT(SUBSTITUTE(SUBSTITUTE(SUBSTITUTE(SUBSTITUTE(TRIM($W435),"-",""),".",""),"/","")," ",""),8),4),--MID(LEFT(SUBSTITUTE(SUBSTITUTE(SUBSTITUTE(SUBSTITUTE(TRIM($W435),"-",""),".",""),"/","")," ",""),8),5,2),--MID(LEFT(SUBSTITUTE(SUBSTITUTE(SUBSTITUTE(SUBSTITUTE(TRIM($W435),"-",""),".",""),"/","")," ",""),8),7,2)),"")))</f>
        <v/>
      </c>
      <c r="Y435" s="32">
        <f>IF($X435="","",INT($X435))</f>
        <v/>
      </c>
      <c r="Z435" s="33">
        <f>IF(OR($Y435="",$D$6=""),"",IF(INDEX($A:$U,ROW(),$D$6)="",0,IF(ISNUMBER(INDEX($A:$U,ROW(),$D$6)),INDEX($A:$U,ROW(),$D$6),IFERROR(--SUBSTITUTE(SUBSTITUTE(TRIM(INDEX($A:$U,ROW(),$D$6)),",",""),"원",""),0))))</f>
        <v/>
      </c>
      <c r="AA435" s="31">
        <f>IF($Y435="","",TRIM(INDEX($A:$U,ROW(),$E$6)&amp;IF($F$6="",""," "&amp;INDEX($A:$U,ROW(),$F$6))))</f>
        <v/>
      </c>
      <c r="AB435" s="31">
        <f>IF($AA435="","",SUBSTITUTE(SUBSTITUTE(SUBSTITUTE(SUBSTITUTE(SUBSTITUTE(SUBSTITUTE(SUBSTITUTE(SUBSTITUTE(SUBSTITUTE($AA435," ",""),"　",""),"(주)",""),"（주）",""),"㈜",""),"주식회사",""),"(유)",""),"（유）",""),"유한회사",""))</f>
        <v/>
      </c>
      <c r="AC435" s="31">
        <f>IF(OR($Y435="",N($Z435)&lt;=0,$AB435=""),0,IFERROR(LOOKUP(2,1/((거래처별!$AC$8:$AC$307&lt;&gt;"")*ISNUMBER(SEARCH(거래처별!$AC$8:$AC$307,$AB435))),거래처별!$A$8:$A$307),IFERROR(LOOKUP(2,1/((거래처별!$AD$8:$AD$307&lt;&gt;"")*ISNUMBER(SEARCH(거래처별!$AD$8:$AD$307,$AB435))),거래처별!$A$8:$A$307),IFERROR(LOOKUP(2,1/((거래처별!$AE$8:$AE$307&lt;&gt;"")*ISNUMBER(SEARCH(거래처별!$AE$8:$AE$307,$AB435))),거래처별!$A$8:$A$307),0))))</f>
        <v/>
      </c>
      <c r="AD435" s="31">
        <f>IF(AND($Y435&lt;&gt;"",N($Z435)&gt;0,$AC435=0),MAX($AD$7:$AD434)+1,"")</f>
        <v/>
      </c>
      <c r="AE435" s="31">
        <f>IF($Y435="",0,$Y435)</f>
        <v/>
      </c>
    </row>
    <row r="436">
      <c r="W436" s="31">
        <f>IF(OR($B$5="",$C$6="",ROW()&lt;$B$5),"",IF(INDEX($A:$U,ROW(),$C$6)="","",INDEX($A:$U,ROW(),$C$6)))</f>
        <v/>
      </c>
      <c r="X436" s="32">
        <f>IF($W436="","",IF(ISNUMBER($W436),IF($W436&gt;=10000000,IFERROR(DATE(INT($W436/10000),MOD(INT($W436/100),100),MOD($W436,100)),""),INT($W436)),IFERROR(DATE(--LEFT(LEFT(SUBSTITUTE(SUBSTITUTE(SUBSTITUTE(SUBSTITUTE(TRIM($W436),"-",""),".",""),"/","")," ",""),8),4),--MID(LEFT(SUBSTITUTE(SUBSTITUTE(SUBSTITUTE(SUBSTITUTE(TRIM($W436),"-",""),".",""),"/","")," ",""),8),5,2),--MID(LEFT(SUBSTITUTE(SUBSTITUTE(SUBSTITUTE(SUBSTITUTE(TRIM($W436),"-",""),".",""),"/","")," ",""),8),7,2)),"")))</f>
        <v/>
      </c>
      <c r="Y436" s="32">
        <f>IF($X436="","",INT($X436))</f>
        <v/>
      </c>
      <c r="Z436" s="33">
        <f>IF(OR($Y436="",$D$6=""),"",IF(INDEX($A:$U,ROW(),$D$6)="",0,IF(ISNUMBER(INDEX($A:$U,ROW(),$D$6)),INDEX($A:$U,ROW(),$D$6),IFERROR(--SUBSTITUTE(SUBSTITUTE(TRIM(INDEX($A:$U,ROW(),$D$6)),",",""),"원",""),0))))</f>
        <v/>
      </c>
      <c r="AA436" s="31">
        <f>IF($Y436="","",TRIM(INDEX($A:$U,ROW(),$E$6)&amp;IF($F$6="",""," "&amp;INDEX($A:$U,ROW(),$F$6))))</f>
        <v/>
      </c>
      <c r="AB436" s="31">
        <f>IF($AA436="","",SUBSTITUTE(SUBSTITUTE(SUBSTITUTE(SUBSTITUTE(SUBSTITUTE(SUBSTITUTE(SUBSTITUTE(SUBSTITUTE(SUBSTITUTE($AA436," ",""),"　",""),"(주)",""),"（주）",""),"㈜",""),"주식회사",""),"(유)",""),"（유）",""),"유한회사",""))</f>
        <v/>
      </c>
      <c r="AC436" s="31">
        <f>IF(OR($Y436="",N($Z436)&lt;=0,$AB436=""),0,IFERROR(LOOKUP(2,1/((거래처별!$AC$8:$AC$307&lt;&gt;"")*ISNUMBER(SEARCH(거래처별!$AC$8:$AC$307,$AB436))),거래처별!$A$8:$A$307),IFERROR(LOOKUP(2,1/((거래처별!$AD$8:$AD$307&lt;&gt;"")*ISNUMBER(SEARCH(거래처별!$AD$8:$AD$307,$AB436))),거래처별!$A$8:$A$307),IFERROR(LOOKUP(2,1/((거래처별!$AE$8:$AE$307&lt;&gt;"")*ISNUMBER(SEARCH(거래처별!$AE$8:$AE$307,$AB436))),거래처별!$A$8:$A$307),0))))</f>
        <v/>
      </c>
      <c r="AD436" s="31">
        <f>IF(AND($Y436&lt;&gt;"",N($Z436)&gt;0,$AC436=0),MAX($AD$7:$AD435)+1,"")</f>
        <v/>
      </c>
      <c r="AE436" s="31">
        <f>IF($Y436="",0,$Y436)</f>
        <v/>
      </c>
    </row>
    <row r="437">
      <c r="W437" s="31">
        <f>IF(OR($B$5="",$C$6="",ROW()&lt;$B$5),"",IF(INDEX($A:$U,ROW(),$C$6)="","",INDEX($A:$U,ROW(),$C$6)))</f>
        <v/>
      </c>
      <c r="X437" s="32">
        <f>IF($W437="","",IF(ISNUMBER($W437),IF($W437&gt;=10000000,IFERROR(DATE(INT($W437/10000),MOD(INT($W437/100),100),MOD($W437,100)),""),INT($W437)),IFERROR(DATE(--LEFT(LEFT(SUBSTITUTE(SUBSTITUTE(SUBSTITUTE(SUBSTITUTE(TRIM($W437),"-",""),".",""),"/","")," ",""),8),4),--MID(LEFT(SUBSTITUTE(SUBSTITUTE(SUBSTITUTE(SUBSTITUTE(TRIM($W437),"-",""),".",""),"/","")," ",""),8),5,2),--MID(LEFT(SUBSTITUTE(SUBSTITUTE(SUBSTITUTE(SUBSTITUTE(TRIM($W437),"-",""),".",""),"/","")," ",""),8),7,2)),"")))</f>
        <v/>
      </c>
      <c r="Y437" s="32">
        <f>IF($X437="","",INT($X437))</f>
        <v/>
      </c>
      <c r="Z437" s="33">
        <f>IF(OR($Y437="",$D$6=""),"",IF(INDEX($A:$U,ROW(),$D$6)="",0,IF(ISNUMBER(INDEX($A:$U,ROW(),$D$6)),INDEX($A:$U,ROW(),$D$6),IFERROR(--SUBSTITUTE(SUBSTITUTE(TRIM(INDEX($A:$U,ROW(),$D$6)),",",""),"원",""),0))))</f>
        <v/>
      </c>
      <c r="AA437" s="31">
        <f>IF($Y437="","",TRIM(INDEX($A:$U,ROW(),$E$6)&amp;IF($F$6="",""," "&amp;INDEX($A:$U,ROW(),$F$6))))</f>
        <v/>
      </c>
      <c r="AB437" s="31">
        <f>IF($AA437="","",SUBSTITUTE(SUBSTITUTE(SUBSTITUTE(SUBSTITUTE(SUBSTITUTE(SUBSTITUTE(SUBSTITUTE(SUBSTITUTE(SUBSTITUTE($AA437," ",""),"　",""),"(주)",""),"（주）",""),"㈜",""),"주식회사",""),"(유)",""),"（유）",""),"유한회사",""))</f>
        <v/>
      </c>
      <c r="AC437" s="31">
        <f>IF(OR($Y437="",N($Z437)&lt;=0,$AB437=""),0,IFERROR(LOOKUP(2,1/((거래처별!$AC$8:$AC$307&lt;&gt;"")*ISNUMBER(SEARCH(거래처별!$AC$8:$AC$307,$AB437))),거래처별!$A$8:$A$307),IFERROR(LOOKUP(2,1/((거래처별!$AD$8:$AD$307&lt;&gt;"")*ISNUMBER(SEARCH(거래처별!$AD$8:$AD$307,$AB437))),거래처별!$A$8:$A$307),IFERROR(LOOKUP(2,1/((거래처별!$AE$8:$AE$307&lt;&gt;"")*ISNUMBER(SEARCH(거래처별!$AE$8:$AE$307,$AB437))),거래처별!$A$8:$A$307),0))))</f>
        <v/>
      </c>
      <c r="AD437" s="31">
        <f>IF(AND($Y437&lt;&gt;"",N($Z437)&gt;0,$AC437=0),MAX($AD$7:$AD436)+1,"")</f>
        <v/>
      </c>
      <c r="AE437" s="31">
        <f>IF($Y437="",0,$Y437)</f>
        <v/>
      </c>
    </row>
    <row r="438">
      <c r="W438" s="31">
        <f>IF(OR($B$5="",$C$6="",ROW()&lt;$B$5),"",IF(INDEX($A:$U,ROW(),$C$6)="","",INDEX($A:$U,ROW(),$C$6)))</f>
        <v/>
      </c>
      <c r="X438" s="32">
        <f>IF($W438="","",IF(ISNUMBER($W438),IF($W438&gt;=10000000,IFERROR(DATE(INT($W438/10000),MOD(INT($W438/100),100),MOD($W438,100)),""),INT($W438)),IFERROR(DATE(--LEFT(LEFT(SUBSTITUTE(SUBSTITUTE(SUBSTITUTE(SUBSTITUTE(TRIM($W438),"-",""),".",""),"/","")," ",""),8),4),--MID(LEFT(SUBSTITUTE(SUBSTITUTE(SUBSTITUTE(SUBSTITUTE(TRIM($W438),"-",""),".",""),"/","")," ",""),8),5,2),--MID(LEFT(SUBSTITUTE(SUBSTITUTE(SUBSTITUTE(SUBSTITUTE(TRIM($W438),"-",""),".",""),"/","")," ",""),8),7,2)),"")))</f>
        <v/>
      </c>
      <c r="Y438" s="32">
        <f>IF($X438="","",INT($X438))</f>
        <v/>
      </c>
      <c r="Z438" s="33">
        <f>IF(OR($Y438="",$D$6=""),"",IF(INDEX($A:$U,ROW(),$D$6)="",0,IF(ISNUMBER(INDEX($A:$U,ROW(),$D$6)),INDEX($A:$U,ROW(),$D$6),IFERROR(--SUBSTITUTE(SUBSTITUTE(TRIM(INDEX($A:$U,ROW(),$D$6)),",",""),"원",""),0))))</f>
        <v/>
      </c>
      <c r="AA438" s="31">
        <f>IF($Y438="","",TRIM(INDEX($A:$U,ROW(),$E$6)&amp;IF($F$6="",""," "&amp;INDEX($A:$U,ROW(),$F$6))))</f>
        <v/>
      </c>
      <c r="AB438" s="31">
        <f>IF($AA438="","",SUBSTITUTE(SUBSTITUTE(SUBSTITUTE(SUBSTITUTE(SUBSTITUTE(SUBSTITUTE(SUBSTITUTE(SUBSTITUTE(SUBSTITUTE($AA438," ",""),"　",""),"(주)",""),"（주）",""),"㈜",""),"주식회사",""),"(유)",""),"（유）",""),"유한회사",""))</f>
        <v/>
      </c>
      <c r="AC438" s="31">
        <f>IF(OR($Y438="",N($Z438)&lt;=0,$AB438=""),0,IFERROR(LOOKUP(2,1/((거래처별!$AC$8:$AC$307&lt;&gt;"")*ISNUMBER(SEARCH(거래처별!$AC$8:$AC$307,$AB438))),거래처별!$A$8:$A$307),IFERROR(LOOKUP(2,1/((거래처별!$AD$8:$AD$307&lt;&gt;"")*ISNUMBER(SEARCH(거래처별!$AD$8:$AD$307,$AB438))),거래처별!$A$8:$A$307),IFERROR(LOOKUP(2,1/((거래처별!$AE$8:$AE$307&lt;&gt;"")*ISNUMBER(SEARCH(거래처별!$AE$8:$AE$307,$AB438))),거래처별!$A$8:$A$307),0))))</f>
        <v/>
      </c>
      <c r="AD438" s="31">
        <f>IF(AND($Y438&lt;&gt;"",N($Z438)&gt;0,$AC438=0),MAX($AD$7:$AD437)+1,"")</f>
        <v/>
      </c>
      <c r="AE438" s="31">
        <f>IF($Y438="",0,$Y438)</f>
        <v/>
      </c>
    </row>
    <row r="439">
      <c r="W439" s="31">
        <f>IF(OR($B$5="",$C$6="",ROW()&lt;$B$5),"",IF(INDEX($A:$U,ROW(),$C$6)="","",INDEX($A:$U,ROW(),$C$6)))</f>
        <v/>
      </c>
      <c r="X439" s="32">
        <f>IF($W439="","",IF(ISNUMBER($W439),IF($W439&gt;=10000000,IFERROR(DATE(INT($W439/10000),MOD(INT($W439/100),100),MOD($W439,100)),""),INT($W439)),IFERROR(DATE(--LEFT(LEFT(SUBSTITUTE(SUBSTITUTE(SUBSTITUTE(SUBSTITUTE(TRIM($W439),"-",""),".",""),"/","")," ",""),8),4),--MID(LEFT(SUBSTITUTE(SUBSTITUTE(SUBSTITUTE(SUBSTITUTE(TRIM($W439),"-",""),".",""),"/","")," ",""),8),5,2),--MID(LEFT(SUBSTITUTE(SUBSTITUTE(SUBSTITUTE(SUBSTITUTE(TRIM($W439),"-",""),".",""),"/","")," ",""),8),7,2)),"")))</f>
        <v/>
      </c>
      <c r="Y439" s="32">
        <f>IF($X439="","",INT($X439))</f>
        <v/>
      </c>
      <c r="Z439" s="33">
        <f>IF(OR($Y439="",$D$6=""),"",IF(INDEX($A:$U,ROW(),$D$6)="",0,IF(ISNUMBER(INDEX($A:$U,ROW(),$D$6)),INDEX($A:$U,ROW(),$D$6),IFERROR(--SUBSTITUTE(SUBSTITUTE(TRIM(INDEX($A:$U,ROW(),$D$6)),",",""),"원",""),0))))</f>
        <v/>
      </c>
      <c r="AA439" s="31">
        <f>IF($Y439="","",TRIM(INDEX($A:$U,ROW(),$E$6)&amp;IF($F$6="",""," "&amp;INDEX($A:$U,ROW(),$F$6))))</f>
        <v/>
      </c>
      <c r="AB439" s="31">
        <f>IF($AA439="","",SUBSTITUTE(SUBSTITUTE(SUBSTITUTE(SUBSTITUTE(SUBSTITUTE(SUBSTITUTE(SUBSTITUTE(SUBSTITUTE(SUBSTITUTE($AA439," ",""),"　",""),"(주)",""),"（주）",""),"㈜",""),"주식회사",""),"(유)",""),"（유）",""),"유한회사",""))</f>
        <v/>
      </c>
      <c r="AC439" s="31">
        <f>IF(OR($Y439="",N($Z439)&lt;=0,$AB439=""),0,IFERROR(LOOKUP(2,1/((거래처별!$AC$8:$AC$307&lt;&gt;"")*ISNUMBER(SEARCH(거래처별!$AC$8:$AC$307,$AB439))),거래처별!$A$8:$A$307),IFERROR(LOOKUP(2,1/((거래처별!$AD$8:$AD$307&lt;&gt;"")*ISNUMBER(SEARCH(거래처별!$AD$8:$AD$307,$AB439))),거래처별!$A$8:$A$307),IFERROR(LOOKUP(2,1/((거래처별!$AE$8:$AE$307&lt;&gt;"")*ISNUMBER(SEARCH(거래처별!$AE$8:$AE$307,$AB439))),거래처별!$A$8:$A$307),0))))</f>
        <v/>
      </c>
      <c r="AD439" s="31">
        <f>IF(AND($Y439&lt;&gt;"",N($Z439)&gt;0,$AC439=0),MAX($AD$7:$AD438)+1,"")</f>
        <v/>
      </c>
      <c r="AE439" s="31">
        <f>IF($Y439="",0,$Y439)</f>
        <v/>
      </c>
    </row>
    <row r="440">
      <c r="W440" s="31">
        <f>IF(OR($B$5="",$C$6="",ROW()&lt;$B$5),"",IF(INDEX($A:$U,ROW(),$C$6)="","",INDEX($A:$U,ROW(),$C$6)))</f>
        <v/>
      </c>
      <c r="X440" s="32">
        <f>IF($W440="","",IF(ISNUMBER($W440),IF($W440&gt;=10000000,IFERROR(DATE(INT($W440/10000),MOD(INT($W440/100),100),MOD($W440,100)),""),INT($W440)),IFERROR(DATE(--LEFT(LEFT(SUBSTITUTE(SUBSTITUTE(SUBSTITUTE(SUBSTITUTE(TRIM($W440),"-",""),".",""),"/","")," ",""),8),4),--MID(LEFT(SUBSTITUTE(SUBSTITUTE(SUBSTITUTE(SUBSTITUTE(TRIM($W440),"-",""),".",""),"/","")," ",""),8),5,2),--MID(LEFT(SUBSTITUTE(SUBSTITUTE(SUBSTITUTE(SUBSTITUTE(TRIM($W440),"-",""),".",""),"/","")," ",""),8),7,2)),"")))</f>
        <v/>
      </c>
      <c r="Y440" s="32">
        <f>IF($X440="","",INT($X440))</f>
        <v/>
      </c>
      <c r="Z440" s="33">
        <f>IF(OR($Y440="",$D$6=""),"",IF(INDEX($A:$U,ROW(),$D$6)="",0,IF(ISNUMBER(INDEX($A:$U,ROW(),$D$6)),INDEX($A:$U,ROW(),$D$6),IFERROR(--SUBSTITUTE(SUBSTITUTE(TRIM(INDEX($A:$U,ROW(),$D$6)),",",""),"원",""),0))))</f>
        <v/>
      </c>
      <c r="AA440" s="31">
        <f>IF($Y440="","",TRIM(INDEX($A:$U,ROW(),$E$6)&amp;IF($F$6="",""," "&amp;INDEX($A:$U,ROW(),$F$6))))</f>
        <v/>
      </c>
      <c r="AB440" s="31">
        <f>IF($AA440="","",SUBSTITUTE(SUBSTITUTE(SUBSTITUTE(SUBSTITUTE(SUBSTITUTE(SUBSTITUTE(SUBSTITUTE(SUBSTITUTE(SUBSTITUTE($AA440," ",""),"　",""),"(주)",""),"（주）",""),"㈜",""),"주식회사",""),"(유)",""),"（유）",""),"유한회사",""))</f>
        <v/>
      </c>
      <c r="AC440" s="31">
        <f>IF(OR($Y440="",N($Z440)&lt;=0,$AB440=""),0,IFERROR(LOOKUP(2,1/((거래처별!$AC$8:$AC$307&lt;&gt;"")*ISNUMBER(SEARCH(거래처별!$AC$8:$AC$307,$AB440))),거래처별!$A$8:$A$307),IFERROR(LOOKUP(2,1/((거래처별!$AD$8:$AD$307&lt;&gt;"")*ISNUMBER(SEARCH(거래처별!$AD$8:$AD$307,$AB440))),거래처별!$A$8:$A$307),IFERROR(LOOKUP(2,1/((거래처별!$AE$8:$AE$307&lt;&gt;"")*ISNUMBER(SEARCH(거래처별!$AE$8:$AE$307,$AB440))),거래처별!$A$8:$A$307),0))))</f>
        <v/>
      </c>
      <c r="AD440" s="31">
        <f>IF(AND($Y440&lt;&gt;"",N($Z440)&gt;0,$AC440=0),MAX($AD$7:$AD439)+1,"")</f>
        <v/>
      </c>
      <c r="AE440" s="31">
        <f>IF($Y440="",0,$Y440)</f>
        <v/>
      </c>
    </row>
    <row r="441">
      <c r="W441" s="31">
        <f>IF(OR($B$5="",$C$6="",ROW()&lt;$B$5),"",IF(INDEX($A:$U,ROW(),$C$6)="","",INDEX($A:$U,ROW(),$C$6)))</f>
        <v/>
      </c>
      <c r="X441" s="32">
        <f>IF($W441="","",IF(ISNUMBER($W441),IF($W441&gt;=10000000,IFERROR(DATE(INT($W441/10000),MOD(INT($W441/100),100),MOD($W441,100)),""),INT($W441)),IFERROR(DATE(--LEFT(LEFT(SUBSTITUTE(SUBSTITUTE(SUBSTITUTE(SUBSTITUTE(TRIM($W441),"-",""),".",""),"/","")," ",""),8),4),--MID(LEFT(SUBSTITUTE(SUBSTITUTE(SUBSTITUTE(SUBSTITUTE(TRIM($W441),"-",""),".",""),"/","")," ",""),8),5,2),--MID(LEFT(SUBSTITUTE(SUBSTITUTE(SUBSTITUTE(SUBSTITUTE(TRIM($W441),"-",""),".",""),"/","")," ",""),8),7,2)),"")))</f>
        <v/>
      </c>
      <c r="Y441" s="32">
        <f>IF($X441="","",INT($X441))</f>
        <v/>
      </c>
      <c r="Z441" s="33">
        <f>IF(OR($Y441="",$D$6=""),"",IF(INDEX($A:$U,ROW(),$D$6)="",0,IF(ISNUMBER(INDEX($A:$U,ROW(),$D$6)),INDEX($A:$U,ROW(),$D$6),IFERROR(--SUBSTITUTE(SUBSTITUTE(TRIM(INDEX($A:$U,ROW(),$D$6)),",",""),"원",""),0))))</f>
        <v/>
      </c>
      <c r="AA441" s="31">
        <f>IF($Y441="","",TRIM(INDEX($A:$U,ROW(),$E$6)&amp;IF($F$6="",""," "&amp;INDEX($A:$U,ROW(),$F$6))))</f>
        <v/>
      </c>
      <c r="AB441" s="31">
        <f>IF($AA441="","",SUBSTITUTE(SUBSTITUTE(SUBSTITUTE(SUBSTITUTE(SUBSTITUTE(SUBSTITUTE(SUBSTITUTE(SUBSTITUTE(SUBSTITUTE($AA441," ",""),"　",""),"(주)",""),"（주）",""),"㈜",""),"주식회사",""),"(유)",""),"（유）",""),"유한회사",""))</f>
        <v/>
      </c>
      <c r="AC441" s="31">
        <f>IF(OR($Y441="",N($Z441)&lt;=0,$AB441=""),0,IFERROR(LOOKUP(2,1/((거래처별!$AC$8:$AC$307&lt;&gt;"")*ISNUMBER(SEARCH(거래처별!$AC$8:$AC$307,$AB441))),거래처별!$A$8:$A$307),IFERROR(LOOKUP(2,1/((거래처별!$AD$8:$AD$307&lt;&gt;"")*ISNUMBER(SEARCH(거래처별!$AD$8:$AD$307,$AB441))),거래처별!$A$8:$A$307),IFERROR(LOOKUP(2,1/((거래처별!$AE$8:$AE$307&lt;&gt;"")*ISNUMBER(SEARCH(거래처별!$AE$8:$AE$307,$AB441))),거래처별!$A$8:$A$307),0))))</f>
        <v/>
      </c>
      <c r="AD441" s="31">
        <f>IF(AND($Y441&lt;&gt;"",N($Z441)&gt;0,$AC441=0),MAX($AD$7:$AD440)+1,"")</f>
        <v/>
      </c>
      <c r="AE441" s="31">
        <f>IF($Y441="",0,$Y441)</f>
        <v/>
      </c>
    </row>
    <row r="442">
      <c r="W442" s="31">
        <f>IF(OR($B$5="",$C$6="",ROW()&lt;$B$5),"",IF(INDEX($A:$U,ROW(),$C$6)="","",INDEX($A:$U,ROW(),$C$6)))</f>
        <v/>
      </c>
      <c r="X442" s="32">
        <f>IF($W442="","",IF(ISNUMBER($W442),IF($W442&gt;=10000000,IFERROR(DATE(INT($W442/10000),MOD(INT($W442/100),100),MOD($W442,100)),""),INT($W442)),IFERROR(DATE(--LEFT(LEFT(SUBSTITUTE(SUBSTITUTE(SUBSTITUTE(SUBSTITUTE(TRIM($W442),"-",""),".",""),"/","")," ",""),8),4),--MID(LEFT(SUBSTITUTE(SUBSTITUTE(SUBSTITUTE(SUBSTITUTE(TRIM($W442),"-",""),".",""),"/","")," ",""),8),5,2),--MID(LEFT(SUBSTITUTE(SUBSTITUTE(SUBSTITUTE(SUBSTITUTE(TRIM($W442),"-",""),".",""),"/","")," ",""),8),7,2)),"")))</f>
        <v/>
      </c>
      <c r="Y442" s="32">
        <f>IF($X442="","",INT($X442))</f>
        <v/>
      </c>
      <c r="Z442" s="33">
        <f>IF(OR($Y442="",$D$6=""),"",IF(INDEX($A:$U,ROW(),$D$6)="",0,IF(ISNUMBER(INDEX($A:$U,ROW(),$D$6)),INDEX($A:$U,ROW(),$D$6),IFERROR(--SUBSTITUTE(SUBSTITUTE(TRIM(INDEX($A:$U,ROW(),$D$6)),",",""),"원",""),0))))</f>
        <v/>
      </c>
      <c r="AA442" s="31">
        <f>IF($Y442="","",TRIM(INDEX($A:$U,ROW(),$E$6)&amp;IF($F$6="",""," "&amp;INDEX($A:$U,ROW(),$F$6))))</f>
        <v/>
      </c>
      <c r="AB442" s="31">
        <f>IF($AA442="","",SUBSTITUTE(SUBSTITUTE(SUBSTITUTE(SUBSTITUTE(SUBSTITUTE(SUBSTITUTE(SUBSTITUTE(SUBSTITUTE(SUBSTITUTE($AA442," ",""),"　",""),"(주)",""),"（주）",""),"㈜",""),"주식회사",""),"(유)",""),"（유）",""),"유한회사",""))</f>
        <v/>
      </c>
      <c r="AC442" s="31">
        <f>IF(OR($Y442="",N($Z442)&lt;=0,$AB442=""),0,IFERROR(LOOKUP(2,1/((거래처별!$AC$8:$AC$307&lt;&gt;"")*ISNUMBER(SEARCH(거래처별!$AC$8:$AC$307,$AB442))),거래처별!$A$8:$A$307),IFERROR(LOOKUP(2,1/((거래처별!$AD$8:$AD$307&lt;&gt;"")*ISNUMBER(SEARCH(거래처별!$AD$8:$AD$307,$AB442))),거래처별!$A$8:$A$307),IFERROR(LOOKUP(2,1/((거래처별!$AE$8:$AE$307&lt;&gt;"")*ISNUMBER(SEARCH(거래처별!$AE$8:$AE$307,$AB442))),거래처별!$A$8:$A$307),0))))</f>
        <v/>
      </c>
      <c r="AD442" s="31">
        <f>IF(AND($Y442&lt;&gt;"",N($Z442)&gt;0,$AC442=0),MAX($AD$7:$AD441)+1,"")</f>
        <v/>
      </c>
      <c r="AE442" s="31">
        <f>IF($Y442="",0,$Y442)</f>
        <v/>
      </c>
    </row>
    <row r="443">
      <c r="W443" s="31">
        <f>IF(OR($B$5="",$C$6="",ROW()&lt;$B$5),"",IF(INDEX($A:$U,ROW(),$C$6)="","",INDEX($A:$U,ROW(),$C$6)))</f>
        <v/>
      </c>
      <c r="X443" s="32">
        <f>IF($W443="","",IF(ISNUMBER($W443),IF($W443&gt;=10000000,IFERROR(DATE(INT($W443/10000),MOD(INT($W443/100),100),MOD($W443,100)),""),INT($W443)),IFERROR(DATE(--LEFT(LEFT(SUBSTITUTE(SUBSTITUTE(SUBSTITUTE(SUBSTITUTE(TRIM($W443),"-",""),".",""),"/","")," ",""),8),4),--MID(LEFT(SUBSTITUTE(SUBSTITUTE(SUBSTITUTE(SUBSTITUTE(TRIM($W443),"-",""),".",""),"/","")," ",""),8),5,2),--MID(LEFT(SUBSTITUTE(SUBSTITUTE(SUBSTITUTE(SUBSTITUTE(TRIM($W443),"-",""),".",""),"/","")," ",""),8),7,2)),"")))</f>
        <v/>
      </c>
      <c r="Y443" s="32">
        <f>IF($X443="","",INT($X443))</f>
        <v/>
      </c>
      <c r="Z443" s="33">
        <f>IF(OR($Y443="",$D$6=""),"",IF(INDEX($A:$U,ROW(),$D$6)="",0,IF(ISNUMBER(INDEX($A:$U,ROW(),$D$6)),INDEX($A:$U,ROW(),$D$6),IFERROR(--SUBSTITUTE(SUBSTITUTE(TRIM(INDEX($A:$U,ROW(),$D$6)),",",""),"원",""),0))))</f>
        <v/>
      </c>
      <c r="AA443" s="31">
        <f>IF($Y443="","",TRIM(INDEX($A:$U,ROW(),$E$6)&amp;IF($F$6="",""," "&amp;INDEX($A:$U,ROW(),$F$6))))</f>
        <v/>
      </c>
      <c r="AB443" s="31">
        <f>IF($AA443="","",SUBSTITUTE(SUBSTITUTE(SUBSTITUTE(SUBSTITUTE(SUBSTITUTE(SUBSTITUTE(SUBSTITUTE(SUBSTITUTE(SUBSTITUTE($AA443," ",""),"　",""),"(주)",""),"（주）",""),"㈜",""),"주식회사",""),"(유)",""),"（유）",""),"유한회사",""))</f>
        <v/>
      </c>
      <c r="AC443" s="31">
        <f>IF(OR($Y443="",N($Z443)&lt;=0,$AB443=""),0,IFERROR(LOOKUP(2,1/((거래처별!$AC$8:$AC$307&lt;&gt;"")*ISNUMBER(SEARCH(거래처별!$AC$8:$AC$307,$AB443))),거래처별!$A$8:$A$307),IFERROR(LOOKUP(2,1/((거래처별!$AD$8:$AD$307&lt;&gt;"")*ISNUMBER(SEARCH(거래처별!$AD$8:$AD$307,$AB443))),거래처별!$A$8:$A$307),IFERROR(LOOKUP(2,1/((거래처별!$AE$8:$AE$307&lt;&gt;"")*ISNUMBER(SEARCH(거래처별!$AE$8:$AE$307,$AB443))),거래처별!$A$8:$A$307),0))))</f>
        <v/>
      </c>
      <c r="AD443" s="31">
        <f>IF(AND($Y443&lt;&gt;"",N($Z443)&gt;0,$AC443=0),MAX($AD$7:$AD442)+1,"")</f>
        <v/>
      </c>
      <c r="AE443" s="31">
        <f>IF($Y443="",0,$Y443)</f>
        <v/>
      </c>
    </row>
    <row r="444">
      <c r="W444" s="31">
        <f>IF(OR($B$5="",$C$6="",ROW()&lt;$B$5),"",IF(INDEX($A:$U,ROW(),$C$6)="","",INDEX($A:$U,ROW(),$C$6)))</f>
        <v/>
      </c>
      <c r="X444" s="32">
        <f>IF($W444="","",IF(ISNUMBER($W444),IF($W444&gt;=10000000,IFERROR(DATE(INT($W444/10000),MOD(INT($W444/100),100),MOD($W444,100)),""),INT($W444)),IFERROR(DATE(--LEFT(LEFT(SUBSTITUTE(SUBSTITUTE(SUBSTITUTE(SUBSTITUTE(TRIM($W444),"-",""),".",""),"/","")," ",""),8),4),--MID(LEFT(SUBSTITUTE(SUBSTITUTE(SUBSTITUTE(SUBSTITUTE(TRIM($W444),"-",""),".",""),"/","")," ",""),8),5,2),--MID(LEFT(SUBSTITUTE(SUBSTITUTE(SUBSTITUTE(SUBSTITUTE(TRIM($W444),"-",""),".",""),"/","")," ",""),8),7,2)),"")))</f>
        <v/>
      </c>
      <c r="Y444" s="32">
        <f>IF($X444="","",INT($X444))</f>
        <v/>
      </c>
      <c r="Z444" s="33">
        <f>IF(OR($Y444="",$D$6=""),"",IF(INDEX($A:$U,ROW(),$D$6)="",0,IF(ISNUMBER(INDEX($A:$U,ROW(),$D$6)),INDEX($A:$U,ROW(),$D$6),IFERROR(--SUBSTITUTE(SUBSTITUTE(TRIM(INDEX($A:$U,ROW(),$D$6)),",",""),"원",""),0))))</f>
        <v/>
      </c>
      <c r="AA444" s="31">
        <f>IF($Y444="","",TRIM(INDEX($A:$U,ROW(),$E$6)&amp;IF($F$6="",""," "&amp;INDEX($A:$U,ROW(),$F$6))))</f>
        <v/>
      </c>
      <c r="AB444" s="31">
        <f>IF($AA444="","",SUBSTITUTE(SUBSTITUTE(SUBSTITUTE(SUBSTITUTE(SUBSTITUTE(SUBSTITUTE(SUBSTITUTE(SUBSTITUTE(SUBSTITUTE($AA444," ",""),"　",""),"(주)",""),"（주）",""),"㈜",""),"주식회사",""),"(유)",""),"（유）",""),"유한회사",""))</f>
        <v/>
      </c>
      <c r="AC444" s="31">
        <f>IF(OR($Y444="",N($Z444)&lt;=0,$AB444=""),0,IFERROR(LOOKUP(2,1/((거래처별!$AC$8:$AC$307&lt;&gt;"")*ISNUMBER(SEARCH(거래처별!$AC$8:$AC$307,$AB444))),거래처별!$A$8:$A$307),IFERROR(LOOKUP(2,1/((거래처별!$AD$8:$AD$307&lt;&gt;"")*ISNUMBER(SEARCH(거래처별!$AD$8:$AD$307,$AB444))),거래처별!$A$8:$A$307),IFERROR(LOOKUP(2,1/((거래처별!$AE$8:$AE$307&lt;&gt;"")*ISNUMBER(SEARCH(거래처별!$AE$8:$AE$307,$AB444))),거래처별!$A$8:$A$307),0))))</f>
        <v/>
      </c>
      <c r="AD444" s="31">
        <f>IF(AND($Y444&lt;&gt;"",N($Z444)&gt;0,$AC444=0),MAX($AD$7:$AD443)+1,"")</f>
        <v/>
      </c>
      <c r="AE444" s="31">
        <f>IF($Y444="",0,$Y444)</f>
        <v/>
      </c>
    </row>
    <row r="445">
      <c r="W445" s="31">
        <f>IF(OR($B$5="",$C$6="",ROW()&lt;$B$5),"",IF(INDEX($A:$U,ROW(),$C$6)="","",INDEX($A:$U,ROW(),$C$6)))</f>
        <v/>
      </c>
      <c r="X445" s="32">
        <f>IF($W445="","",IF(ISNUMBER($W445),IF($W445&gt;=10000000,IFERROR(DATE(INT($W445/10000),MOD(INT($W445/100),100),MOD($W445,100)),""),INT($W445)),IFERROR(DATE(--LEFT(LEFT(SUBSTITUTE(SUBSTITUTE(SUBSTITUTE(SUBSTITUTE(TRIM($W445),"-",""),".",""),"/","")," ",""),8),4),--MID(LEFT(SUBSTITUTE(SUBSTITUTE(SUBSTITUTE(SUBSTITUTE(TRIM($W445),"-",""),".",""),"/","")," ",""),8),5,2),--MID(LEFT(SUBSTITUTE(SUBSTITUTE(SUBSTITUTE(SUBSTITUTE(TRIM($W445),"-",""),".",""),"/","")," ",""),8),7,2)),"")))</f>
        <v/>
      </c>
      <c r="Y445" s="32">
        <f>IF($X445="","",INT($X445))</f>
        <v/>
      </c>
      <c r="Z445" s="33">
        <f>IF(OR($Y445="",$D$6=""),"",IF(INDEX($A:$U,ROW(),$D$6)="",0,IF(ISNUMBER(INDEX($A:$U,ROW(),$D$6)),INDEX($A:$U,ROW(),$D$6),IFERROR(--SUBSTITUTE(SUBSTITUTE(TRIM(INDEX($A:$U,ROW(),$D$6)),",",""),"원",""),0))))</f>
        <v/>
      </c>
      <c r="AA445" s="31">
        <f>IF($Y445="","",TRIM(INDEX($A:$U,ROW(),$E$6)&amp;IF($F$6="",""," "&amp;INDEX($A:$U,ROW(),$F$6))))</f>
        <v/>
      </c>
      <c r="AB445" s="31">
        <f>IF($AA445="","",SUBSTITUTE(SUBSTITUTE(SUBSTITUTE(SUBSTITUTE(SUBSTITUTE(SUBSTITUTE(SUBSTITUTE(SUBSTITUTE(SUBSTITUTE($AA445," ",""),"　",""),"(주)",""),"（주）",""),"㈜",""),"주식회사",""),"(유)",""),"（유）",""),"유한회사",""))</f>
        <v/>
      </c>
      <c r="AC445" s="31">
        <f>IF(OR($Y445="",N($Z445)&lt;=0,$AB445=""),0,IFERROR(LOOKUP(2,1/((거래처별!$AC$8:$AC$307&lt;&gt;"")*ISNUMBER(SEARCH(거래처별!$AC$8:$AC$307,$AB445))),거래처별!$A$8:$A$307),IFERROR(LOOKUP(2,1/((거래처별!$AD$8:$AD$307&lt;&gt;"")*ISNUMBER(SEARCH(거래처별!$AD$8:$AD$307,$AB445))),거래처별!$A$8:$A$307),IFERROR(LOOKUP(2,1/((거래처별!$AE$8:$AE$307&lt;&gt;"")*ISNUMBER(SEARCH(거래처별!$AE$8:$AE$307,$AB445))),거래처별!$A$8:$A$307),0))))</f>
        <v/>
      </c>
      <c r="AD445" s="31">
        <f>IF(AND($Y445&lt;&gt;"",N($Z445)&gt;0,$AC445=0),MAX($AD$7:$AD444)+1,"")</f>
        <v/>
      </c>
      <c r="AE445" s="31">
        <f>IF($Y445="",0,$Y445)</f>
        <v/>
      </c>
    </row>
    <row r="446">
      <c r="W446" s="31">
        <f>IF(OR($B$5="",$C$6="",ROW()&lt;$B$5),"",IF(INDEX($A:$U,ROW(),$C$6)="","",INDEX($A:$U,ROW(),$C$6)))</f>
        <v/>
      </c>
      <c r="X446" s="32">
        <f>IF($W446="","",IF(ISNUMBER($W446),IF($W446&gt;=10000000,IFERROR(DATE(INT($W446/10000),MOD(INT($W446/100),100),MOD($W446,100)),""),INT($W446)),IFERROR(DATE(--LEFT(LEFT(SUBSTITUTE(SUBSTITUTE(SUBSTITUTE(SUBSTITUTE(TRIM($W446),"-",""),".",""),"/","")," ",""),8),4),--MID(LEFT(SUBSTITUTE(SUBSTITUTE(SUBSTITUTE(SUBSTITUTE(TRIM($W446),"-",""),".",""),"/","")," ",""),8),5,2),--MID(LEFT(SUBSTITUTE(SUBSTITUTE(SUBSTITUTE(SUBSTITUTE(TRIM($W446),"-",""),".",""),"/","")," ",""),8),7,2)),"")))</f>
        <v/>
      </c>
      <c r="Y446" s="32">
        <f>IF($X446="","",INT($X446))</f>
        <v/>
      </c>
      <c r="Z446" s="33">
        <f>IF(OR($Y446="",$D$6=""),"",IF(INDEX($A:$U,ROW(),$D$6)="",0,IF(ISNUMBER(INDEX($A:$U,ROW(),$D$6)),INDEX($A:$U,ROW(),$D$6),IFERROR(--SUBSTITUTE(SUBSTITUTE(TRIM(INDEX($A:$U,ROW(),$D$6)),",",""),"원",""),0))))</f>
        <v/>
      </c>
      <c r="AA446" s="31">
        <f>IF($Y446="","",TRIM(INDEX($A:$U,ROW(),$E$6)&amp;IF($F$6="",""," "&amp;INDEX($A:$U,ROW(),$F$6))))</f>
        <v/>
      </c>
      <c r="AB446" s="31">
        <f>IF($AA446="","",SUBSTITUTE(SUBSTITUTE(SUBSTITUTE(SUBSTITUTE(SUBSTITUTE(SUBSTITUTE(SUBSTITUTE(SUBSTITUTE(SUBSTITUTE($AA446," ",""),"　",""),"(주)",""),"（주）",""),"㈜",""),"주식회사",""),"(유)",""),"（유）",""),"유한회사",""))</f>
        <v/>
      </c>
      <c r="AC446" s="31">
        <f>IF(OR($Y446="",N($Z446)&lt;=0,$AB446=""),0,IFERROR(LOOKUP(2,1/((거래처별!$AC$8:$AC$307&lt;&gt;"")*ISNUMBER(SEARCH(거래처별!$AC$8:$AC$307,$AB446))),거래처별!$A$8:$A$307),IFERROR(LOOKUP(2,1/((거래처별!$AD$8:$AD$307&lt;&gt;"")*ISNUMBER(SEARCH(거래처별!$AD$8:$AD$307,$AB446))),거래처별!$A$8:$A$307),IFERROR(LOOKUP(2,1/((거래처별!$AE$8:$AE$307&lt;&gt;"")*ISNUMBER(SEARCH(거래처별!$AE$8:$AE$307,$AB446))),거래처별!$A$8:$A$307),0))))</f>
        <v/>
      </c>
      <c r="AD446" s="31">
        <f>IF(AND($Y446&lt;&gt;"",N($Z446)&gt;0,$AC446=0),MAX($AD$7:$AD445)+1,"")</f>
        <v/>
      </c>
      <c r="AE446" s="31">
        <f>IF($Y446="",0,$Y446)</f>
        <v/>
      </c>
    </row>
    <row r="447">
      <c r="W447" s="31">
        <f>IF(OR($B$5="",$C$6="",ROW()&lt;$B$5),"",IF(INDEX($A:$U,ROW(),$C$6)="","",INDEX($A:$U,ROW(),$C$6)))</f>
        <v/>
      </c>
      <c r="X447" s="32">
        <f>IF($W447="","",IF(ISNUMBER($W447),IF($W447&gt;=10000000,IFERROR(DATE(INT($W447/10000),MOD(INT($W447/100),100),MOD($W447,100)),""),INT($W447)),IFERROR(DATE(--LEFT(LEFT(SUBSTITUTE(SUBSTITUTE(SUBSTITUTE(SUBSTITUTE(TRIM($W447),"-",""),".",""),"/","")," ",""),8),4),--MID(LEFT(SUBSTITUTE(SUBSTITUTE(SUBSTITUTE(SUBSTITUTE(TRIM($W447),"-",""),".",""),"/","")," ",""),8),5,2),--MID(LEFT(SUBSTITUTE(SUBSTITUTE(SUBSTITUTE(SUBSTITUTE(TRIM($W447),"-",""),".",""),"/","")," ",""),8),7,2)),"")))</f>
        <v/>
      </c>
      <c r="Y447" s="32">
        <f>IF($X447="","",INT($X447))</f>
        <v/>
      </c>
      <c r="Z447" s="33">
        <f>IF(OR($Y447="",$D$6=""),"",IF(INDEX($A:$U,ROW(),$D$6)="",0,IF(ISNUMBER(INDEX($A:$U,ROW(),$D$6)),INDEX($A:$U,ROW(),$D$6),IFERROR(--SUBSTITUTE(SUBSTITUTE(TRIM(INDEX($A:$U,ROW(),$D$6)),",",""),"원",""),0))))</f>
        <v/>
      </c>
      <c r="AA447" s="31">
        <f>IF($Y447="","",TRIM(INDEX($A:$U,ROW(),$E$6)&amp;IF($F$6="",""," "&amp;INDEX($A:$U,ROW(),$F$6))))</f>
        <v/>
      </c>
      <c r="AB447" s="31">
        <f>IF($AA447="","",SUBSTITUTE(SUBSTITUTE(SUBSTITUTE(SUBSTITUTE(SUBSTITUTE(SUBSTITUTE(SUBSTITUTE(SUBSTITUTE(SUBSTITUTE($AA447," ",""),"　",""),"(주)",""),"（주）",""),"㈜",""),"주식회사",""),"(유)",""),"（유）",""),"유한회사",""))</f>
        <v/>
      </c>
      <c r="AC447" s="31">
        <f>IF(OR($Y447="",N($Z447)&lt;=0,$AB447=""),0,IFERROR(LOOKUP(2,1/((거래처별!$AC$8:$AC$307&lt;&gt;"")*ISNUMBER(SEARCH(거래처별!$AC$8:$AC$307,$AB447))),거래처별!$A$8:$A$307),IFERROR(LOOKUP(2,1/((거래처별!$AD$8:$AD$307&lt;&gt;"")*ISNUMBER(SEARCH(거래처별!$AD$8:$AD$307,$AB447))),거래처별!$A$8:$A$307),IFERROR(LOOKUP(2,1/((거래처별!$AE$8:$AE$307&lt;&gt;"")*ISNUMBER(SEARCH(거래처별!$AE$8:$AE$307,$AB447))),거래처별!$A$8:$A$307),0))))</f>
        <v/>
      </c>
      <c r="AD447" s="31">
        <f>IF(AND($Y447&lt;&gt;"",N($Z447)&gt;0,$AC447=0),MAX($AD$7:$AD446)+1,"")</f>
        <v/>
      </c>
      <c r="AE447" s="31">
        <f>IF($Y447="",0,$Y447)</f>
        <v/>
      </c>
    </row>
    <row r="448">
      <c r="W448" s="31">
        <f>IF(OR($B$5="",$C$6="",ROW()&lt;$B$5),"",IF(INDEX($A:$U,ROW(),$C$6)="","",INDEX($A:$U,ROW(),$C$6)))</f>
        <v/>
      </c>
      <c r="X448" s="32">
        <f>IF($W448="","",IF(ISNUMBER($W448),IF($W448&gt;=10000000,IFERROR(DATE(INT($W448/10000),MOD(INT($W448/100),100),MOD($W448,100)),""),INT($W448)),IFERROR(DATE(--LEFT(LEFT(SUBSTITUTE(SUBSTITUTE(SUBSTITUTE(SUBSTITUTE(TRIM($W448),"-",""),".",""),"/","")," ",""),8),4),--MID(LEFT(SUBSTITUTE(SUBSTITUTE(SUBSTITUTE(SUBSTITUTE(TRIM($W448),"-",""),".",""),"/","")," ",""),8),5,2),--MID(LEFT(SUBSTITUTE(SUBSTITUTE(SUBSTITUTE(SUBSTITUTE(TRIM($W448),"-",""),".",""),"/","")," ",""),8),7,2)),"")))</f>
        <v/>
      </c>
      <c r="Y448" s="32">
        <f>IF($X448="","",INT($X448))</f>
        <v/>
      </c>
      <c r="Z448" s="33">
        <f>IF(OR($Y448="",$D$6=""),"",IF(INDEX($A:$U,ROW(),$D$6)="",0,IF(ISNUMBER(INDEX($A:$U,ROW(),$D$6)),INDEX($A:$U,ROW(),$D$6),IFERROR(--SUBSTITUTE(SUBSTITUTE(TRIM(INDEX($A:$U,ROW(),$D$6)),",",""),"원",""),0))))</f>
        <v/>
      </c>
      <c r="AA448" s="31">
        <f>IF($Y448="","",TRIM(INDEX($A:$U,ROW(),$E$6)&amp;IF($F$6="",""," "&amp;INDEX($A:$U,ROW(),$F$6))))</f>
        <v/>
      </c>
      <c r="AB448" s="31">
        <f>IF($AA448="","",SUBSTITUTE(SUBSTITUTE(SUBSTITUTE(SUBSTITUTE(SUBSTITUTE(SUBSTITUTE(SUBSTITUTE(SUBSTITUTE(SUBSTITUTE($AA448," ",""),"　",""),"(주)",""),"（주）",""),"㈜",""),"주식회사",""),"(유)",""),"（유）",""),"유한회사",""))</f>
        <v/>
      </c>
      <c r="AC448" s="31">
        <f>IF(OR($Y448="",N($Z448)&lt;=0,$AB448=""),0,IFERROR(LOOKUP(2,1/((거래처별!$AC$8:$AC$307&lt;&gt;"")*ISNUMBER(SEARCH(거래처별!$AC$8:$AC$307,$AB448))),거래처별!$A$8:$A$307),IFERROR(LOOKUP(2,1/((거래처별!$AD$8:$AD$307&lt;&gt;"")*ISNUMBER(SEARCH(거래처별!$AD$8:$AD$307,$AB448))),거래처별!$A$8:$A$307),IFERROR(LOOKUP(2,1/((거래처별!$AE$8:$AE$307&lt;&gt;"")*ISNUMBER(SEARCH(거래처별!$AE$8:$AE$307,$AB448))),거래처별!$A$8:$A$307),0))))</f>
        <v/>
      </c>
      <c r="AD448" s="31">
        <f>IF(AND($Y448&lt;&gt;"",N($Z448)&gt;0,$AC448=0),MAX($AD$7:$AD447)+1,"")</f>
        <v/>
      </c>
      <c r="AE448" s="31">
        <f>IF($Y448="",0,$Y448)</f>
        <v/>
      </c>
    </row>
    <row r="449">
      <c r="W449" s="31">
        <f>IF(OR($B$5="",$C$6="",ROW()&lt;$B$5),"",IF(INDEX($A:$U,ROW(),$C$6)="","",INDEX($A:$U,ROW(),$C$6)))</f>
        <v/>
      </c>
      <c r="X449" s="32">
        <f>IF($W449="","",IF(ISNUMBER($W449),IF($W449&gt;=10000000,IFERROR(DATE(INT($W449/10000),MOD(INT($W449/100),100),MOD($W449,100)),""),INT($W449)),IFERROR(DATE(--LEFT(LEFT(SUBSTITUTE(SUBSTITUTE(SUBSTITUTE(SUBSTITUTE(TRIM($W449),"-",""),".",""),"/","")," ",""),8),4),--MID(LEFT(SUBSTITUTE(SUBSTITUTE(SUBSTITUTE(SUBSTITUTE(TRIM($W449),"-",""),".",""),"/","")," ",""),8),5,2),--MID(LEFT(SUBSTITUTE(SUBSTITUTE(SUBSTITUTE(SUBSTITUTE(TRIM($W449),"-",""),".",""),"/","")," ",""),8),7,2)),"")))</f>
        <v/>
      </c>
      <c r="Y449" s="32">
        <f>IF($X449="","",INT($X449))</f>
        <v/>
      </c>
      <c r="Z449" s="33">
        <f>IF(OR($Y449="",$D$6=""),"",IF(INDEX($A:$U,ROW(),$D$6)="",0,IF(ISNUMBER(INDEX($A:$U,ROW(),$D$6)),INDEX($A:$U,ROW(),$D$6),IFERROR(--SUBSTITUTE(SUBSTITUTE(TRIM(INDEX($A:$U,ROW(),$D$6)),",",""),"원",""),0))))</f>
        <v/>
      </c>
      <c r="AA449" s="31">
        <f>IF($Y449="","",TRIM(INDEX($A:$U,ROW(),$E$6)&amp;IF($F$6="",""," "&amp;INDEX($A:$U,ROW(),$F$6))))</f>
        <v/>
      </c>
      <c r="AB449" s="31">
        <f>IF($AA449="","",SUBSTITUTE(SUBSTITUTE(SUBSTITUTE(SUBSTITUTE(SUBSTITUTE(SUBSTITUTE(SUBSTITUTE(SUBSTITUTE(SUBSTITUTE($AA449," ",""),"　",""),"(주)",""),"（주）",""),"㈜",""),"주식회사",""),"(유)",""),"（유）",""),"유한회사",""))</f>
        <v/>
      </c>
      <c r="AC449" s="31">
        <f>IF(OR($Y449="",N($Z449)&lt;=0,$AB449=""),0,IFERROR(LOOKUP(2,1/((거래처별!$AC$8:$AC$307&lt;&gt;"")*ISNUMBER(SEARCH(거래처별!$AC$8:$AC$307,$AB449))),거래처별!$A$8:$A$307),IFERROR(LOOKUP(2,1/((거래처별!$AD$8:$AD$307&lt;&gt;"")*ISNUMBER(SEARCH(거래처별!$AD$8:$AD$307,$AB449))),거래처별!$A$8:$A$307),IFERROR(LOOKUP(2,1/((거래처별!$AE$8:$AE$307&lt;&gt;"")*ISNUMBER(SEARCH(거래처별!$AE$8:$AE$307,$AB449))),거래처별!$A$8:$A$307),0))))</f>
        <v/>
      </c>
      <c r="AD449" s="31">
        <f>IF(AND($Y449&lt;&gt;"",N($Z449)&gt;0,$AC449=0),MAX($AD$7:$AD448)+1,"")</f>
        <v/>
      </c>
      <c r="AE449" s="31">
        <f>IF($Y449="",0,$Y449)</f>
        <v/>
      </c>
    </row>
    <row r="450">
      <c r="W450" s="31">
        <f>IF(OR($B$5="",$C$6="",ROW()&lt;$B$5),"",IF(INDEX($A:$U,ROW(),$C$6)="","",INDEX($A:$U,ROW(),$C$6)))</f>
        <v/>
      </c>
      <c r="X450" s="32">
        <f>IF($W450="","",IF(ISNUMBER($W450),IF($W450&gt;=10000000,IFERROR(DATE(INT($W450/10000),MOD(INT($W450/100),100),MOD($W450,100)),""),INT($W450)),IFERROR(DATE(--LEFT(LEFT(SUBSTITUTE(SUBSTITUTE(SUBSTITUTE(SUBSTITUTE(TRIM($W450),"-",""),".",""),"/","")," ",""),8),4),--MID(LEFT(SUBSTITUTE(SUBSTITUTE(SUBSTITUTE(SUBSTITUTE(TRIM($W450),"-",""),".",""),"/","")," ",""),8),5,2),--MID(LEFT(SUBSTITUTE(SUBSTITUTE(SUBSTITUTE(SUBSTITUTE(TRIM($W450),"-",""),".",""),"/","")," ",""),8),7,2)),"")))</f>
        <v/>
      </c>
      <c r="Y450" s="32">
        <f>IF($X450="","",INT($X450))</f>
        <v/>
      </c>
      <c r="Z450" s="33">
        <f>IF(OR($Y450="",$D$6=""),"",IF(INDEX($A:$U,ROW(),$D$6)="",0,IF(ISNUMBER(INDEX($A:$U,ROW(),$D$6)),INDEX($A:$U,ROW(),$D$6),IFERROR(--SUBSTITUTE(SUBSTITUTE(TRIM(INDEX($A:$U,ROW(),$D$6)),",",""),"원",""),0))))</f>
        <v/>
      </c>
      <c r="AA450" s="31">
        <f>IF($Y450="","",TRIM(INDEX($A:$U,ROW(),$E$6)&amp;IF($F$6="",""," "&amp;INDEX($A:$U,ROW(),$F$6))))</f>
        <v/>
      </c>
      <c r="AB450" s="31">
        <f>IF($AA450="","",SUBSTITUTE(SUBSTITUTE(SUBSTITUTE(SUBSTITUTE(SUBSTITUTE(SUBSTITUTE(SUBSTITUTE(SUBSTITUTE(SUBSTITUTE($AA450," ",""),"　",""),"(주)",""),"（주）",""),"㈜",""),"주식회사",""),"(유)",""),"（유）",""),"유한회사",""))</f>
        <v/>
      </c>
      <c r="AC450" s="31">
        <f>IF(OR($Y450="",N($Z450)&lt;=0,$AB450=""),0,IFERROR(LOOKUP(2,1/((거래처별!$AC$8:$AC$307&lt;&gt;"")*ISNUMBER(SEARCH(거래처별!$AC$8:$AC$307,$AB450))),거래처별!$A$8:$A$307),IFERROR(LOOKUP(2,1/((거래처별!$AD$8:$AD$307&lt;&gt;"")*ISNUMBER(SEARCH(거래처별!$AD$8:$AD$307,$AB450))),거래처별!$A$8:$A$307),IFERROR(LOOKUP(2,1/((거래처별!$AE$8:$AE$307&lt;&gt;"")*ISNUMBER(SEARCH(거래처별!$AE$8:$AE$307,$AB450))),거래처별!$A$8:$A$307),0))))</f>
        <v/>
      </c>
      <c r="AD450" s="31">
        <f>IF(AND($Y450&lt;&gt;"",N($Z450)&gt;0,$AC450=0),MAX($AD$7:$AD449)+1,"")</f>
        <v/>
      </c>
      <c r="AE450" s="31">
        <f>IF($Y450="",0,$Y450)</f>
        <v/>
      </c>
    </row>
    <row r="451">
      <c r="W451" s="31">
        <f>IF(OR($B$5="",$C$6="",ROW()&lt;$B$5),"",IF(INDEX($A:$U,ROW(),$C$6)="","",INDEX($A:$U,ROW(),$C$6)))</f>
        <v/>
      </c>
      <c r="X451" s="32">
        <f>IF($W451="","",IF(ISNUMBER($W451),IF($W451&gt;=10000000,IFERROR(DATE(INT($W451/10000),MOD(INT($W451/100),100),MOD($W451,100)),""),INT($W451)),IFERROR(DATE(--LEFT(LEFT(SUBSTITUTE(SUBSTITUTE(SUBSTITUTE(SUBSTITUTE(TRIM($W451),"-",""),".",""),"/","")," ",""),8),4),--MID(LEFT(SUBSTITUTE(SUBSTITUTE(SUBSTITUTE(SUBSTITUTE(TRIM($W451),"-",""),".",""),"/","")," ",""),8),5,2),--MID(LEFT(SUBSTITUTE(SUBSTITUTE(SUBSTITUTE(SUBSTITUTE(TRIM($W451),"-",""),".",""),"/","")," ",""),8),7,2)),"")))</f>
        <v/>
      </c>
      <c r="Y451" s="32">
        <f>IF($X451="","",INT($X451))</f>
        <v/>
      </c>
      <c r="Z451" s="33">
        <f>IF(OR($Y451="",$D$6=""),"",IF(INDEX($A:$U,ROW(),$D$6)="",0,IF(ISNUMBER(INDEX($A:$U,ROW(),$D$6)),INDEX($A:$U,ROW(),$D$6),IFERROR(--SUBSTITUTE(SUBSTITUTE(TRIM(INDEX($A:$U,ROW(),$D$6)),",",""),"원",""),0))))</f>
        <v/>
      </c>
      <c r="AA451" s="31">
        <f>IF($Y451="","",TRIM(INDEX($A:$U,ROW(),$E$6)&amp;IF($F$6="",""," "&amp;INDEX($A:$U,ROW(),$F$6))))</f>
        <v/>
      </c>
      <c r="AB451" s="31">
        <f>IF($AA451="","",SUBSTITUTE(SUBSTITUTE(SUBSTITUTE(SUBSTITUTE(SUBSTITUTE(SUBSTITUTE(SUBSTITUTE(SUBSTITUTE(SUBSTITUTE($AA451," ",""),"　",""),"(주)",""),"（주）",""),"㈜",""),"주식회사",""),"(유)",""),"（유）",""),"유한회사",""))</f>
        <v/>
      </c>
      <c r="AC451" s="31">
        <f>IF(OR($Y451="",N($Z451)&lt;=0,$AB451=""),0,IFERROR(LOOKUP(2,1/((거래처별!$AC$8:$AC$307&lt;&gt;"")*ISNUMBER(SEARCH(거래처별!$AC$8:$AC$307,$AB451))),거래처별!$A$8:$A$307),IFERROR(LOOKUP(2,1/((거래처별!$AD$8:$AD$307&lt;&gt;"")*ISNUMBER(SEARCH(거래처별!$AD$8:$AD$307,$AB451))),거래처별!$A$8:$A$307),IFERROR(LOOKUP(2,1/((거래처별!$AE$8:$AE$307&lt;&gt;"")*ISNUMBER(SEARCH(거래처별!$AE$8:$AE$307,$AB451))),거래처별!$A$8:$A$307),0))))</f>
        <v/>
      </c>
      <c r="AD451" s="31">
        <f>IF(AND($Y451&lt;&gt;"",N($Z451)&gt;0,$AC451=0),MAX($AD$7:$AD450)+1,"")</f>
        <v/>
      </c>
      <c r="AE451" s="31">
        <f>IF($Y451="",0,$Y451)</f>
        <v/>
      </c>
    </row>
    <row r="452">
      <c r="W452" s="31">
        <f>IF(OR($B$5="",$C$6="",ROW()&lt;$B$5),"",IF(INDEX($A:$U,ROW(),$C$6)="","",INDEX($A:$U,ROW(),$C$6)))</f>
        <v/>
      </c>
      <c r="X452" s="32">
        <f>IF($W452="","",IF(ISNUMBER($W452),IF($W452&gt;=10000000,IFERROR(DATE(INT($W452/10000),MOD(INT($W452/100),100),MOD($W452,100)),""),INT($W452)),IFERROR(DATE(--LEFT(LEFT(SUBSTITUTE(SUBSTITUTE(SUBSTITUTE(SUBSTITUTE(TRIM($W452),"-",""),".",""),"/","")," ",""),8),4),--MID(LEFT(SUBSTITUTE(SUBSTITUTE(SUBSTITUTE(SUBSTITUTE(TRIM($W452),"-",""),".",""),"/","")," ",""),8),5,2),--MID(LEFT(SUBSTITUTE(SUBSTITUTE(SUBSTITUTE(SUBSTITUTE(TRIM($W452),"-",""),".",""),"/","")," ",""),8),7,2)),"")))</f>
        <v/>
      </c>
      <c r="Y452" s="32">
        <f>IF($X452="","",INT($X452))</f>
        <v/>
      </c>
      <c r="Z452" s="33">
        <f>IF(OR($Y452="",$D$6=""),"",IF(INDEX($A:$U,ROW(),$D$6)="",0,IF(ISNUMBER(INDEX($A:$U,ROW(),$D$6)),INDEX($A:$U,ROW(),$D$6),IFERROR(--SUBSTITUTE(SUBSTITUTE(TRIM(INDEX($A:$U,ROW(),$D$6)),",",""),"원",""),0))))</f>
        <v/>
      </c>
      <c r="AA452" s="31">
        <f>IF($Y452="","",TRIM(INDEX($A:$U,ROW(),$E$6)&amp;IF($F$6="",""," "&amp;INDEX($A:$U,ROW(),$F$6))))</f>
        <v/>
      </c>
      <c r="AB452" s="31">
        <f>IF($AA452="","",SUBSTITUTE(SUBSTITUTE(SUBSTITUTE(SUBSTITUTE(SUBSTITUTE(SUBSTITUTE(SUBSTITUTE(SUBSTITUTE(SUBSTITUTE($AA452," ",""),"　",""),"(주)",""),"（주）",""),"㈜",""),"주식회사",""),"(유)",""),"（유）",""),"유한회사",""))</f>
        <v/>
      </c>
      <c r="AC452" s="31">
        <f>IF(OR($Y452="",N($Z452)&lt;=0,$AB452=""),0,IFERROR(LOOKUP(2,1/((거래처별!$AC$8:$AC$307&lt;&gt;"")*ISNUMBER(SEARCH(거래처별!$AC$8:$AC$307,$AB452))),거래처별!$A$8:$A$307),IFERROR(LOOKUP(2,1/((거래처별!$AD$8:$AD$307&lt;&gt;"")*ISNUMBER(SEARCH(거래처별!$AD$8:$AD$307,$AB452))),거래처별!$A$8:$A$307),IFERROR(LOOKUP(2,1/((거래처별!$AE$8:$AE$307&lt;&gt;"")*ISNUMBER(SEARCH(거래처별!$AE$8:$AE$307,$AB452))),거래처별!$A$8:$A$307),0))))</f>
        <v/>
      </c>
      <c r="AD452" s="31">
        <f>IF(AND($Y452&lt;&gt;"",N($Z452)&gt;0,$AC452=0),MAX($AD$7:$AD451)+1,"")</f>
        <v/>
      </c>
      <c r="AE452" s="31">
        <f>IF($Y452="",0,$Y452)</f>
        <v/>
      </c>
    </row>
    <row r="453">
      <c r="W453" s="31">
        <f>IF(OR($B$5="",$C$6="",ROW()&lt;$B$5),"",IF(INDEX($A:$U,ROW(),$C$6)="","",INDEX($A:$U,ROW(),$C$6)))</f>
        <v/>
      </c>
      <c r="X453" s="32">
        <f>IF($W453="","",IF(ISNUMBER($W453),IF($W453&gt;=10000000,IFERROR(DATE(INT($W453/10000),MOD(INT($W453/100),100),MOD($W453,100)),""),INT($W453)),IFERROR(DATE(--LEFT(LEFT(SUBSTITUTE(SUBSTITUTE(SUBSTITUTE(SUBSTITUTE(TRIM($W453),"-",""),".",""),"/","")," ",""),8),4),--MID(LEFT(SUBSTITUTE(SUBSTITUTE(SUBSTITUTE(SUBSTITUTE(TRIM($W453),"-",""),".",""),"/","")," ",""),8),5,2),--MID(LEFT(SUBSTITUTE(SUBSTITUTE(SUBSTITUTE(SUBSTITUTE(TRIM($W453),"-",""),".",""),"/","")," ",""),8),7,2)),"")))</f>
        <v/>
      </c>
      <c r="Y453" s="32">
        <f>IF($X453="","",INT($X453))</f>
        <v/>
      </c>
      <c r="Z453" s="33">
        <f>IF(OR($Y453="",$D$6=""),"",IF(INDEX($A:$U,ROW(),$D$6)="",0,IF(ISNUMBER(INDEX($A:$U,ROW(),$D$6)),INDEX($A:$U,ROW(),$D$6),IFERROR(--SUBSTITUTE(SUBSTITUTE(TRIM(INDEX($A:$U,ROW(),$D$6)),",",""),"원",""),0))))</f>
        <v/>
      </c>
      <c r="AA453" s="31">
        <f>IF($Y453="","",TRIM(INDEX($A:$U,ROW(),$E$6)&amp;IF($F$6="",""," "&amp;INDEX($A:$U,ROW(),$F$6))))</f>
        <v/>
      </c>
      <c r="AB453" s="31">
        <f>IF($AA453="","",SUBSTITUTE(SUBSTITUTE(SUBSTITUTE(SUBSTITUTE(SUBSTITUTE(SUBSTITUTE(SUBSTITUTE(SUBSTITUTE(SUBSTITUTE($AA453," ",""),"　",""),"(주)",""),"（주）",""),"㈜",""),"주식회사",""),"(유)",""),"（유）",""),"유한회사",""))</f>
        <v/>
      </c>
      <c r="AC453" s="31">
        <f>IF(OR($Y453="",N($Z453)&lt;=0,$AB453=""),0,IFERROR(LOOKUP(2,1/((거래처별!$AC$8:$AC$307&lt;&gt;"")*ISNUMBER(SEARCH(거래처별!$AC$8:$AC$307,$AB453))),거래처별!$A$8:$A$307),IFERROR(LOOKUP(2,1/((거래처별!$AD$8:$AD$307&lt;&gt;"")*ISNUMBER(SEARCH(거래처별!$AD$8:$AD$307,$AB453))),거래처별!$A$8:$A$307),IFERROR(LOOKUP(2,1/((거래처별!$AE$8:$AE$307&lt;&gt;"")*ISNUMBER(SEARCH(거래처별!$AE$8:$AE$307,$AB453))),거래처별!$A$8:$A$307),0))))</f>
        <v/>
      </c>
      <c r="AD453" s="31">
        <f>IF(AND($Y453&lt;&gt;"",N($Z453)&gt;0,$AC453=0),MAX($AD$7:$AD452)+1,"")</f>
        <v/>
      </c>
      <c r="AE453" s="31">
        <f>IF($Y453="",0,$Y453)</f>
        <v/>
      </c>
    </row>
    <row r="454">
      <c r="W454" s="31">
        <f>IF(OR($B$5="",$C$6="",ROW()&lt;$B$5),"",IF(INDEX($A:$U,ROW(),$C$6)="","",INDEX($A:$U,ROW(),$C$6)))</f>
        <v/>
      </c>
      <c r="X454" s="32">
        <f>IF($W454="","",IF(ISNUMBER($W454),IF($W454&gt;=10000000,IFERROR(DATE(INT($W454/10000),MOD(INT($W454/100),100),MOD($W454,100)),""),INT($W454)),IFERROR(DATE(--LEFT(LEFT(SUBSTITUTE(SUBSTITUTE(SUBSTITUTE(SUBSTITUTE(TRIM($W454),"-",""),".",""),"/","")," ",""),8),4),--MID(LEFT(SUBSTITUTE(SUBSTITUTE(SUBSTITUTE(SUBSTITUTE(TRIM($W454),"-",""),".",""),"/","")," ",""),8),5,2),--MID(LEFT(SUBSTITUTE(SUBSTITUTE(SUBSTITUTE(SUBSTITUTE(TRIM($W454),"-",""),".",""),"/","")," ",""),8),7,2)),"")))</f>
        <v/>
      </c>
      <c r="Y454" s="32">
        <f>IF($X454="","",INT($X454))</f>
        <v/>
      </c>
      <c r="Z454" s="33">
        <f>IF(OR($Y454="",$D$6=""),"",IF(INDEX($A:$U,ROW(),$D$6)="",0,IF(ISNUMBER(INDEX($A:$U,ROW(),$D$6)),INDEX($A:$U,ROW(),$D$6),IFERROR(--SUBSTITUTE(SUBSTITUTE(TRIM(INDEX($A:$U,ROW(),$D$6)),",",""),"원",""),0))))</f>
        <v/>
      </c>
      <c r="AA454" s="31">
        <f>IF($Y454="","",TRIM(INDEX($A:$U,ROW(),$E$6)&amp;IF($F$6="",""," "&amp;INDEX($A:$U,ROW(),$F$6))))</f>
        <v/>
      </c>
      <c r="AB454" s="31">
        <f>IF($AA454="","",SUBSTITUTE(SUBSTITUTE(SUBSTITUTE(SUBSTITUTE(SUBSTITUTE(SUBSTITUTE(SUBSTITUTE(SUBSTITUTE(SUBSTITUTE($AA454," ",""),"　",""),"(주)",""),"（주）",""),"㈜",""),"주식회사",""),"(유)",""),"（유）",""),"유한회사",""))</f>
        <v/>
      </c>
      <c r="AC454" s="31">
        <f>IF(OR($Y454="",N($Z454)&lt;=0,$AB454=""),0,IFERROR(LOOKUP(2,1/((거래처별!$AC$8:$AC$307&lt;&gt;"")*ISNUMBER(SEARCH(거래처별!$AC$8:$AC$307,$AB454))),거래처별!$A$8:$A$307),IFERROR(LOOKUP(2,1/((거래처별!$AD$8:$AD$307&lt;&gt;"")*ISNUMBER(SEARCH(거래처별!$AD$8:$AD$307,$AB454))),거래처별!$A$8:$A$307),IFERROR(LOOKUP(2,1/((거래처별!$AE$8:$AE$307&lt;&gt;"")*ISNUMBER(SEARCH(거래처별!$AE$8:$AE$307,$AB454))),거래처별!$A$8:$A$307),0))))</f>
        <v/>
      </c>
      <c r="AD454" s="31">
        <f>IF(AND($Y454&lt;&gt;"",N($Z454)&gt;0,$AC454=0),MAX($AD$7:$AD453)+1,"")</f>
        <v/>
      </c>
      <c r="AE454" s="31">
        <f>IF($Y454="",0,$Y454)</f>
        <v/>
      </c>
    </row>
    <row r="455">
      <c r="W455" s="31">
        <f>IF(OR($B$5="",$C$6="",ROW()&lt;$B$5),"",IF(INDEX($A:$U,ROW(),$C$6)="","",INDEX($A:$U,ROW(),$C$6)))</f>
        <v/>
      </c>
      <c r="X455" s="32">
        <f>IF($W455="","",IF(ISNUMBER($W455),IF($W455&gt;=10000000,IFERROR(DATE(INT($W455/10000),MOD(INT($W455/100),100),MOD($W455,100)),""),INT($W455)),IFERROR(DATE(--LEFT(LEFT(SUBSTITUTE(SUBSTITUTE(SUBSTITUTE(SUBSTITUTE(TRIM($W455),"-",""),".",""),"/","")," ",""),8),4),--MID(LEFT(SUBSTITUTE(SUBSTITUTE(SUBSTITUTE(SUBSTITUTE(TRIM($W455),"-",""),".",""),"/","")," ",""),8),5,2),--MID(LEFT(SUBSTITUTE(SUBSTITUTE(SUBSTITUTE(SUBSTITUTE(TRIM($W455),"-",""),".",""),"/","")," ",""),8),7,2)),"")))</f>
        <v/>
      </c>
      <c r="Y455" s="32">
        <f>IF($X455="","",INT($X455))</f>
        <v/>
      </c>
      <c r="Z455" s="33">
        <f>IF(OR($Y455="",$D$6=""),"",IF(INDEX($A:$U,ROW(),$D$6)="",0,IF(ISNUMBER(INDEX($A:$U,ROW(),$D$6)),INDEX($A:$U,ROW(),$D$6),IFERROR(--SUBSTITUTE(SUBSTITUTE(TRIM(INDEX($A:$U,ROW(),$D$6)),",",""),"원",""),0))))</f>
        <v/>
      </c>
      <c r="AA455" s="31">
        <f>IF($Y455="","",TRIM(INDEX($A:$U,ROW(),$E$6)&amp;IF($F$6="",""," "&amp;INDEX($A:$U,ROW(),$F$6))))</f>
        <v/>
      </c>
      <c r="AB455" s="31">
        <f>IF($AA455="","",SUBSTITUTE(SUBSTITUTE(SUBSTITUTE(SUBSTITUTE(SUBSTITUTE(SUBSTITUTE(SUBSTITUTE(SUBSTITUTE(SUBSTITUTE($AA455," ",""),"　",""),"(주)",""),"（주）",""),"㈜",""),"주식회사",""),"(유)",""),"（유）",""),"유한회사",""))</f>
        <v/>
      </c>
      <c r="AC455" s="31">
        <f>IF(OR($Y455="",N($Z455)&lt;=0,$AB455=""),0,IFERROR(LOOKUP(2,1/((거래처별!$AC$8:$AC$307&lt;&gt;"")*ISNUMBER(SEARCH(거래처별!$AC$8:$AC$307,$AB455))),거래처별!$A$8:$A$307),IFERROR(LOOKUP(2,1/((거래처별!$AD$8:$AD$307&lt;&gt;"")*ISNUMBER(SEARCH(거래처별!$AD$8:$AD$307,$AB455))),거래처별!$A$8:$A$307),IFERROR(LOOKUP(2,1/((거래처별!$AE$8:$AE$307&lt;&gt;"")*ISNUMBER(SEARCH(거래처별!$AE$8:$AE$307,$AB455))),거래처별!$A$8:$A$307),0))))</f>
        <v/>
      </c>
      <c r="AD455" s="31">
        <f>IF(AND($Y455&lt;&gt;"",N($Z455)&gt;0,$AC455=0),MAX($AD$7:$AD454)+1,"")</f>
        <v/>
      </c>
      <c r="AE455" s="31">
        <f>IF($Y455="",0,$Y455)</f>
        <v/>
      </c>
    </row>
    <row r="456">
      <c r="W456" s="31">
        <f>IF(OR($B$5="",$C$6="",ROW()&lt;$B$5),"",IF(INDEX($A:$U,ROW(),$C$6)="","",INDEX($A:$U,ROW(),$C$6)))</f>
        <v/>
      </c>
      <c r="X456" s="32">
        <f>IF($W456="","",IF(ISNUMBER($W456),IF($W456&gt;=10000000,IFERROR(DATE(INT($W456/10000),MOD(INT($W456/100),100),MOD($W456,100)),""),INT($W456)),IFERROR(DATE(--LEFT(LEFT(SUBSTITUTE(SUBSTITUTE(SUBSTITUTE(SUBSTITUTE(TRIM($W456),"-",""),".",""),"/","")," ",""),8),4),--MID(LEFT(SUBSTITUTE(SUBSTITUTE(SUBSTITUTE(SUBSTITUTE(TRIM($W456),"-",""),".",""),"/","")," ",""),8),5,2),--MID(LEFT(SUBSTITUTE(SUBSTITUTE(SUBSTITUTE(SUBSTITUTE(TRIM($W456),"-",""),".",""),"/","")," ",""),8),7,2)),"")))</f>
        <v/>
      </c>
      <c r="Y456" s="32">
        <f>IF($X456="","",INT($X456))</f>
        <v/>
      </c>
      <c r="Z456" s="33">
        <f>IF(OR($Y456="",$D$6=""),"",IF(INDEX($A:$U,ROW(),$D$6)="",0,IF(ISNUMBER(INDEX($A:$U,ROW(),$D$6)),INDEX($A:$U,ROW(),$D$6),IFERROR(--SUBSTITUTE(SUBSTITUTE(TRIM(INDEX($A:$U,ROW(),$D$6)),",",""),"원",""),0))))</f>
        <v/>
      </c>
      <c r="AA456" s="31">
        <f>IF($Y456="","",TRIM(INDEX($A:$U,ROW(),$E$6)&amp;IF($F$6="",""," "&amp;INDEX($A:$U,ROW(),$F$6))))</f>
        <v/>
      </c>
      <c r="AB456" s="31">
        <f>IF($AA456="","",SUBSTITUTE(SUBSTITUTE(SUBSTITUTE(SUBSTITUTE(SUBSTITUTE(SUBSTITUTE(SUBSTITUTE(SUBSTITUTE(SUBSTITUTE($AA456," ",""),"　",""),"(주)",""),"（주）",""),"㈜",""),"주식회사",""),"(유)",""),"（유）",""),"유한회사",""))</f>
        <v/>
      </c>
      <c r="AC456" s="31">
        <f>IF(OR($Y456="",N($Z456)&lt;=0,$AB456=""),0,IFERROR(LOOKUP(2,1/((거래처별!$AC$8:$AC$307&lt;&gt;"")*ISNUMBER(SEARCH(거래처별!$AC$8:$AC$307,$AB456))),거래처별!$A$8:$A$307),IFERROR(LOOKUP(2,1/((거래처별!$AD$8:$AD$307&lt;&gt;"")*ISNUMBER(SEARCH(거래처별!$AD$8:$AD$307,$AB456))),거래처별!$A$8:$A$307),IFERROR(LOOKUP(2,1/((거래처별!$AE$8:$AE$307&lt;&gt;"")*ISNUMBER(SEARCH(거래처별!$AE$8:$AE$307,$AB456))),거래처별!$A$8:$A$307),0))))</f>
        <v/>
      </c>
      <c r="AD456" s="31">
        <f>IF(AND($Y456&lt;&gt;"",N($Z456)&gt;0,$AC456=0),MAX($AD$7:$AD455)+1,"")</f>
        <v/>
      </c>
      <c r="AE456" s="31">
        <f>IF($Y456="",0,$Y456)</f>
        <v/>
      </c>
    </row>
    <row r="457">
      <c r="W457" s="31">
        <f>IF(OR($B$5="",$C$6="",ROW()&lt;$B$5),"",IF(INDEX($A:$U,ROW(),$C$6)="","",INDEX($A:$U,ROW(),$C$6)))</f>
        <v/>
      </c>
      <c r="X457" s="32">
        <f>IF($W457="","",IF(ISNUMBER($W457),IF($W457&gt;=10000000,IFERROR(DATE(INT($W457/10000),MOD(INT($W457/100),100),MOD($W457,100)),""),INT($W457)),IFERROR(DATE(--LEFT(LEFT(SUBSTITUTE(SUBSTITUTE(SUBSTITUTE(SUBSTITUTE(TRIM($W457),"-",""),".",""),"/","")," ",""),8),4),--MID(LEFT(SUBSTITUTE(SUBSTITUTE(SUBSTITUTE(SUBSTITUTE(TRIM($W457),"-",""),".",""),"/","")," ",""),8),5,2),--MID(LEFT(SUBSTITUTE(SUBSTITUTE(SUBSTITUTE(SUBSTITUTE(TRIM($W457),"-",""),".",""),"/","")," ",""),8),7,2)),"")))</f>
        <v/>
      </c>
      <c r="Y457" s="32">
        <f>IF($X457="","",INT($X457))</f>
        <v/>
      </c>
      <c r="Z457" s="33">
        <f>IF(OR($Y457="",$D$6=""),"",IF(INDEX($A:$U,ROW(),$D$6)="",0,IF(ISNUMBER(INDEX($A:$U,ROW(),$D$6)),INDEX($A:$U,ROW(),$D$6),IFERROR(--SUBSTITUTE(SUBSTITUTE(TRIM(INDEX($A:$U,ROW(),$D$6)),",",""),"원",""),0))))</f>
        <v/>
      </c>
      <c r="AA457" s="31">
        <f>IF($Y457="","",TRIM(INDEX($A:$U,ROW(),$E$6)&amp;IF($F$6="",""," "&amp;INDEX($A:$U,ROW(),$F$6))))</f>
        <v/>
      </c>
      <c r="AB457" s="31">
        <f>IF($AA457="","",SUBSTITUTE(SUBSTITUTE(SUBSTITUTE(SUBSTITUTE(SUBSTITUTE(SUBSTITUTE(SUBSTITUTE(SUBSTITUTE(SUBSTITUTE($AA457," ",""),"　",""),"(주)",""),"（주）",""),"㈜",""),"주식회사",""),"(유)",""),"（유）",""),"유한회사",""))</f>
        <v/>
      </c>
      <c r="AC457" s="31">
        <f>IF(OR($Y457="",N($Z457)&lt;=0,$AB457=""),0,IFERROR(LOOKUP(2,1/((거래처별!$AC$8:$AC$307&lt;&gt;"")*ISNUMBER(SEARCH(거래처별!$AC$8:$AC$307,$AB457))),거래처별!$A$8:$A$307),IFERROR(LOOKUP(2,1/((거래처별!$AD$8:$AD$307&lt;&gt;"")*ISNUMBER(SEARCH(거래처별!$AD$8:$AD$307,$AB457))),거래처별!$A$8:$A$307),IFERROR(LOOKUP(2,1/((거래처별!$AE$8:$AE$307&lt;&gt;"")*ISNUMBER(SEARCH(거래처별!$AE$8:$AE$307,$AB457))),거래처별!$A$8:$A$307),0))))</f>
        <v/>
      </c>
      <c r="AD457" s="31">
        <f>IF(AND($Y457&lt;&gt;"",N($Z457)&gt;0,$AC457=0),MAX($AD$7:$AD456)+1,"")</f>
        <v/>
      </c>
      <c r="AE457" s="31">
        <f>IF($Y457="",0,$Y457)</f>
        <v/>
      </c>
    </row>
    <row r="458">
      <c r="W458" s="31">
        <f>IF(OR($B$5="",$C$6="",ROW()&lt;$B$5),"",IF(INDEX($A:$U,ROW(),$C$6)="","",INDEX($A:$U,ROW(),$C$6)))</f>
        <v/>
      </c>
      <c r="X458" s="32">
        <f>IF($W458="","",IF(ISNUMBER($W458),IF($W458&gt;=10000000,IFERROR(DATE(INT($W458/10000),MOD(INT($W458/100),100),MOD($W458,100)),""),INT($W458)),IFERROR(DATE(--LEFT(LEFT(SUBSTITUTE(SUBSTITUTE(SUBSTITUTE(SUBSTITUTE(TRIM($W458),"-",""),".",""),"/","")," ",""),8),4),--MID(LEFT(SUBSTITUTE(SUBSTITUTE(SUBSTITUTE(SUBSTITUTE(TRIM($W458),"-",""),".",""),"/","")," ",""),8),5,2),--MID(LEFT(SUBSTITUTE(SUBSTITUTE(SUBSTITUTE(SUBSTITUTE(TRIM($W458),"-",""),".",""),"/","")," ",""),8),7,2)),"")))</f>
        <v/>
      </c>
      <c r="Y458" s="32">
        <f>IF($X458="","",INT($X458))</f>
        <v/>
      </c>
      <c r="Z458" s="33">
        <f>IF(OR($Y458="",$D$6=""),"",IF(INDEX($A:$U,ROW(),$D$6)="",0,IF(ISNUMBER(INDEX($A:$U,ROW(),$D$6)),INDEX($A:$U,ROW(),$D$6),IFERROR(--SUBSTITUTE(SUBSTITUTE(TRIM(INDEX($A:$U,ROW(),$D$6)),",",""),"원",""),0))))</f>
        <v/>
      </c>
      <c r="AA458" s="31">
        <f>IF($Y458="","",TRIM(INDEX($A:$U,ROW(),$E$6)&amp;IF($F$6="",""," "&amp;INDEX($A:$U,ROW(),$F$6))))</f>
        <v/>
      </c>
      <c r="AB458" s="31">
        <f>IF($AA458="","",SUBSTITUTE(SUBSTITUTE(SUBSTITUTE(SUBSTITUTE(SUBSTITUTE(SUBSTITUTE(SUBSTITUTE(SUBSTITUTE(SUBSTITUTE($AA458," ",""),"　",""),"(주)",""),"（주）",""),"㈜",""),"주식회사",""),"(유)",""),"（유）",""),"유한회사",""))</f>
        <v/>
      </c>
      <c r="AC458" s="31">
        <f>IF(OR($Y458="",N($Z458)&lt;=0,$AB458=""),0,IFERROR(LOOKUP(2,1/((거래처별!$AC$8:$AC$307&lt;&gt;"")*ISNUMBER(SEARCH(거래처별!$AC$8:$AC$307,$AB458))),거래처별!$A$8:$A$307),IFERROR(LOOKUP(2,1/((거래처별!$AD$8:$AD$307&lt;&gt;"")*ISNUMBER(SEARCH(거래처별!$AD$8:$AD$307,$AB458))),거래처별!$A$8:$A$307),IFERROR(LOOKUP(2,1/((거래처별!$AE$8:$AE$307&lt;&gt;"")*ISNUMBER(SEARCH(거래처별!$AE$8:$AE$307,$AB458))),거래처별!$A$8:$A$307),0))))</f>
        <v/>
      </c>
      <c r="AD458" s="31">
        <f>IF(AND($Y458&lt;&gt;"",N($Z458)&gt;0,$AC458=0),MAX($AD$7:$AD457)+1,"")</f>
        <v/>
      </c>
      <c r="AE458" s="31">
        <f>IF($Y458="",0,$Y458)</f>
        <v/>
      </c>
    </row>
    <row r="459">
      <c r="W459" s="31">
        <f>IF(OR($B$5="",$C$6="",ROW()&lt;$B$5),"",IF(INDEX($A:$U,ROW(),$C$6)="","",INDEX($A:$U,ROW(),$C$6)))</f>
        <v/>
      </c>
      <c r="X459" s="32">
        <f>IF($W459="","",IF(ISNUMBER($W459),IF($W459&gt;=10000000,IFERROR(DATE(INT($W459/10000),MOD(INT($W459/100),100),MOD($W459,100)),""),INT($W459)),IFERROR(DATE(--LEFT(LEFT(SUBSTITUTE(SUBSTITUTE(SUBSTITUTE(SUBSTITUTE(TRIM($W459),"-",""),".",""),"/","")," ",""),8),4),--MID(LEFT(SUBSTITUTE(SUBSTITUTE(SUBSTITUTE(SUBSTITUTE(TRIM($W459),"-",""),".",""),"/","")," ",""),8),5,2),--MID(LEFT(SUBSTITUTE(SUBSTITUTE(SUBSTITUTE(SUBSTITUTE(TRIM($W459),"-",""),".",""),"/","")," ",""),8),7,2)),"")))</f>
        <v/>
      </c>
      <c r="Y459" s="32">
        <f>IF($X459="","",INT($X459))</f>
        <v/>
      </c>
      <c r="Z459" s="33">
        <f>IF(OR($Y459="",$D$6=""),"",IF(INDEX($A:$U,ROW(),$D$6)="",0,IF(ISNUMBER(INDEX($A:$U,ROW(),$D$6)),INDEX($A:$U,ROW(),$D$6),IFERROR(--SUBSTITUTE(SUBSTITUTE(TRIM(INDEX($A:$U,ROW(),$D$6)),",",""),"원",""),0))))</f>
        <v/>
      </c>
      <c r="AA459" s="31">
        <f>IF($Y459="","",TRIM(INDEX($A:$U,ROW(),$E$6)&amp;IF($F$6="",""," "&amp;INDEX($A:$U,ROW(),$F$6))))</f>
        <v/>
      </c>
      <c r="AB459" s="31">
        <f>IF($AA459="","",SUBSTITUTE(SUBSTITUTE(SUBSTITUTE(SUBSTITUTE(SUBSTITUTE(SUBSTITUTE(SUBSTITUTE(SUBSTITUTE(SUBSTITUTE($AA459," ",""),"　",""),"(주)",""),"（주）",""),"㈜",""),"주식회사",""),"(유)",""),"（유）",""),"유한회사",""))</f>
        <v/>
      </c>
      <c r="AC459" s="31">
        <f>IF(OR($Y459="",N($Z459)&lt;=0,$AB459=""),0,IFERROR(LOOKUP(2,1/((거래처별!$AC$8:$AC$307&lt;&gt;"")*ISNUMBER(SEARCH(거래처별!$AC$8:$AC$307,$AB459))),거래처별!$A$8:$A$307),IFERROR(LOOKUP(2,1/((거래처별!$AD$8:$AD$307&lt;&gt;"")*ISNUMBER(SEARCH(거래처별!$AD$8:$AD$307,$AB459))),거래처별!$A$8:$A$307),IFERROR(LOOKUP(2,1/((거래처별!$AE$8:$AE$307&lt;&gt;"")*ISNUMBER(SEARCH(거래처별!$AE$8:$AE$307,$AB459))),거래처별!$A$8:$A$307),0))))</f>
        <v/>
      </c>
      <c r="AD459" s="31">
        <f>IF(AND($Y459&lt;&gt;"",N($Z459)&gt;0,$AC459=0),MAX($AD$7:$AD458)+1,"")</f>
        <v/>
      </c>
      <c r="AE459" s="31">
        <f>IF($Y459="",0,$Y459)</f>
        <v/>
      </c>
    </row>
    <row r="460">
      <c r="W460" s="31">
        <f>IF(OR($B$5="",$C$6="",ROW()&lt;$B$5),"",IF(INDEX($A:$U,ROW(),$C$6)="","",INDEX($A:$U,ROW(),$C$6)))</f>
        <v/>
      </c>
      <c r="X460" s="32">
        <f>IF($W460="","",IF(ISNUMBER($W460),IF($W460&gt;=10000000,IFERROR(DATE(INT($W460/10000),MOD(INT($W460/100),100),MOD($W460,100)),""),INT($W460)),IFERROR(DATE(--LEFT(LEFT(SUBSTITUTE(SUBSTITUTE(SUBSTITUTE(SUBSTITUTE(TRIM($W460),"-",""),".",""),"/","")," ",""),8),4),--MID(LEFT(SUBSTITUTE(SUBSTITUTE(SUBSTITUTE(SUBSTITUTE(TRIM($W460),"-",""),".",""),"/","")," ",""),8),5,2),--MID(LEFT(SUBSTITUTE(SUBSTITUTE(SUBSTITUTE(SUBSTITUTE(TRIM($W460),"-",""),".",""),"/","")," ",""),8),7,2)),"")))</f>
        <v/>
      </c>
      <c r="Y460" s="32">
        <f>IF($X460="","",INT($X460))</f>
        <v/>
      </c>
      <c r="Z460" s="33">
        <f>IF(OR($Y460="",$D$6=""),"",IF(INDEX($A:$U,ROW(),$D$6)="",0,IF(ISNUMBER(INDEX($A:$U,ROW(),$D$6)),INDEX($A:$U,ROW(),$D$6),IFERROR(--SUBSTITUTE(SUBSTITUTE(TRIM(INDEX($A:$U,ROW(),$D$6)),",",""),"원",""),0))))</f>
        <v/>
      </c>
      <c r="AA460" s="31">
        <f>IF($Y460="","",TRIM(INDEX($A:$U,ROW(),$E$6)&amp;IF($F$6="",""," "&amp;INDEX($A:$U,ROW(),$F$6))))</f>
        <v/>
      </c>
      <c r="AB460" s="31">
        <f>IF($AA460="","",SUBSTITUTE(SUBSTITUTE(SUBSTITUTE(SUBSTITUTE(SUBSTITUTE(SUBSTITUTE(SUBSTITUTE(SUBSTITUTE(SUBSTITUTE($AA460," ",""),"　",""),"(주)",""),"（주）",""),"㈜",""),"주식회사",""),"(유)",""),"（유）",""),"유한회사",""))</f>
        <v/>
      </c>
      <c r="AC460" s="31">
        <f>IF(OR($Y460="",N($Z460)&lt;=0,$AB460=""),0,IFERROR(LOOKUP(2,1/((거래처별!$AC$8:$AC$307&lt;&gt;"")*ISNUMBER(SEARCH(거래처별!$AC$8:$AC$307,$AB460))),거래처별!$A$8:$A$307),IFERROR(LOOKUP(2,1/((거래처별!$AD$8:$AD$307&lt;&gt;"")*ISNUMBER(SEARCH(거래처별!$AD$8:$AD$307,$AB460))),거래처별!$A$8:$A$307),IFERROR(LOOKUP(2,1/((거래처별!$AE$8:$AE$307&lt;&gt;"")*ISNUMBER(SEARCH(거래처별!$AE$8:$AE$307,$AB460))),거래처별!$A$8:$A$307),0))))</f>
        <v/>
      </c>
      <c r="AD460" s="31">
        <f>IF(AND($Y460&lt;&gt;"",N($Z460)&gt;0,$AC460=0),MAX($AD$7:$AD459)+1,"")</f>
        <v/>
      </c>
      <c r="AE460" s="31">
        <f>IF($Y460="",0,$Y460)</f>
        <v/>
      </c>
    </row>
    <row r="461">
      <c r="W461" s="31">
        <f>IF(OR($B$5="",$C$6="",ROW()&lt;$B$5),"",IF(INDEX($A:$U,ROW(),$C$6)="","",INDEX($A:$U,ROW(),$C$6)))</f>
        <v/>
      </c>
      <c r="X461" s="32">
        <f>IF($W461="","",IF(ISNUMBER($W461),IF($W461&gt;=10000000,IFERROR(DATE(INT($W461/10000),MOD(INT($W461/100),100),MOD($W461,100)),""),INT($W461)),IFERROR(DATE(--LEFT(LEFT(SUBSTITUTE(SUBSTITUTE(SUBSTITUTE(SUBSTITUTE(TRIM($W461),"-",""),".",""),"/","")," ",""),8),4),--MID(LEFT(SUBSTITUTE(SUBSTITUTE(SUBSTITUTE(SUBSTITUTE(TRIM($W461),"-",""),".",""),"/","")," ",""),8),5,2),--MID(LEFT(SUBSTITUTE(SUBSTITUTE(SUBSTITUTE(SUBSTITUTE(TRIM($W461),"-",""),".",""),"/","")," ",""),8),7,2)),"")))</f>
        <v/>
      </c>
      <c r="Y461" s="32">
        <f>IF($X461="","",INT($X461))</f>
        <v/>
      </c>
      <c r="Z461" s="33">
        <f>IF(OR($Y461="",$D$6=""),"",IF(INDEX($A:$U,ROW(),$D$6)="",0,IF(ISNUMBER(INDEX($A:$U,ROW(),$D$6)),INDEX($A:$U,ROW(),$D$6),IFERROR(--SUBSTITUTE(SUBSTITUTE(TRIM(INDEX($A:$U,ROW(),$D$6)),",",""),"원",""),0))))</f>
        <v/>
      </c>
      <c r="AA461" s="31">
        <f>IF($Y461="","",TRIM(INDEX($A:$U,ROW(),$E$6)&amp;IF($F$6="",""," "&amp;INDEX($A:$U,ROW(),$F$6))))</f>
        <v/>
      </c>
      <c r="AB461" s="31">
        <f>IF($AA461="","",SUBSTITUTE(SUBSTITUTE(SUBSTITUTE(SUBSTITUTE(SUBSTITUTE(SUBSTITUTE(SUBSTITUTE(SUBSTITUTE(SUBSTITUTE($AA461," ",""),"　",""),"(주)",""),"（주）",""),"㈜",""),"주식회사",""),"(유)",""),"（유）",""),"유한회사",""))</f>
        <v/>
      </c>
      <c r="AC461" s="31">
        <f>IF(OR($Y461="",N($Z461)&lt;=0,$AB461=""),0,IFERROR(LOOKUP(2,1/((거래처별!$AC$8:$AC$307&lt;&gt;"")*ISNUMBER(SEARCH(거래처별!$AC$8:$AC$307,$AB461))),거래처별!$A$8:$A$307),IFERROR(LOOKUP(2,1/((거래처별!$AD$8:$AD$307&lt;&gt;"")*ISNUMBER(SEARCH(거래처별!$AD$8:$AD$307,$AB461))),거래처별!$A$8:$A$307),IFERROR(LOOKUP(2,1/((거래처별!$AE$8:$AE$307&lt;&gt;"")*ISNUMBER(SEARCH(거래처별!$AE$8:$AE$307,$AB461))),거래처별!$A$8:$A$307),0))))</f>
        <v/>
      </c>
      <c r="AD461" s="31">
        <f>IF(AND($Y461&lt;&gt;"",N($Z461)&gt;0,$AC461=0),MAX($AD$7:$AD460)+1,"")</f>
        <v/>
      </c>
      <c r="AE461" s="31">
        <f>IF($Y461="",0,$Y461)</f>
        <v/>
      </c>
    </row>
    <row r="462">
      <c r="W462" s="31">
        <f>IF(OR($B$5="",$C$6="",ROW()&lt;$B$5),"",IF(INDEX($A:$U,ROW(),$C$6)="","",INDEX($A:$U,ROW(),$C$6)))</f>
        <v/>
      </c>
      <c r="X462" s="32">
        <f>IF($W462="","",IF(ISNUMBER($W462),IF($W462&gt;=10000000,IFERROR(DATE(INT($W462/10000),MOD(INT($W462/100),100),MOD($W462,100)),""),INT($W462)),IFERROR(DATE(--LEFT(LEFT(SUBSTITUTE(SUBSTITUTE(SUBSTITUTE(SUBSTITUTE(TRIM($W462),"-",""),".",""),"/","")," ",""),8),4),--MID(LEFT(SUBSTITUTE(SUBSTITUTE(SUBSTITUTE(SUBSTITUTE(TRIM($W462),"-",""),".",""),"/","")," ",""),8),5,2),--MID(LEFT(SUBSTITUTE(SUBSTITUTE(SUBSTITUTE(SUBSTITUTE(TRIM($W462),"-",""),".",""),"/","")," ",""),8),7,2)),"")))</f>
        <v/>
      </c>
      <c r="Y462" s="32">
        <f>IF($X462="","",INT($X462))</f>
        <v/>
      </c>
      <c r="Z462" s="33">
        <f>IF(OR($Y462="",$D$6=""),"",IF(INDEX($A:$U,ROW(),$D$6)="",0,IF(ISNUMBER(INDEX($A:$U,ROW(),$D$6)),INDEX($A:$U,ROW(),$D$6),IFERROR(--SUBSTITUTE(SUBSTITUTE(TRIM(INDEX($A:$U,ROW(),$D$6)),",",""),"원",""),0))))</f>
        <v/>
      </c>
      <c r="AA462" s="31">
        <f>IF($Y462="","",TRIM(INDEX($A:$U,ROW(),$E$6)&amp;IF($F$6="",""," "&amp;INDEX($A:$U,ROW(),$F$6))))</f>
        <v/>
      </c>
      <c r="AB462" s="31">
        <f>IF($AA462="","",SUBSTITUTE(SUBSTITUTE(SUBSTITUTE(SUBSTITUTE(SUBSTITUTE(SUBSTITUTE(SUBSTITUTE(SUBSTITUTE(SUBSTITUTE($AA462," ",""),"　",""),"(주)",""),"（주）",""),"㈜",""),"주식회사",""),"(유)",""),"（유）",""),"유한회사",""))</f>
        <v/>
      </c>
      <c r="AC462" s="31">
        <f>IF(OR($Y462="",N($Z462)&lt;=0,$AB462=""),0,IFERROR(LOOKUP(2,1/((거래처별!$AC$8:$AC$307&lt;&gt;"")*ISNUMBER(SEARCH(거래처별!$AC$8:$AC$307,$AB462))),거래처별!$A$8:$A$307),IFERROR(LOOKUP(2,1/((거래처별!$AD$8:$AD$307&lt;&gt;"")*ISNUMBER(SEARCH(거래처별!$AD$8:$AD$307,$AB462))),거래처별!$A$8:$A$307),IFERROR(LOOKUP(2,1/((거래처별!$AE$8:$AE$307&lt;&gt;"")*ISNUMBER(SEARCH(거래처별!$AE$8:$AE$307,$AB462))),거래처별!$A$8:$A$307),0))))</f>
        <v/>
      </c>
      <c r="AD462" s="31">
        <f>IF(AND($Y462&lt;&gt;"",N($Z462)&gt;0,$AC462=0),MAX($AD$7:$AD461)+1,"")</f>
        <v/>
      </c>
      <c r="AE462" s="31">
        <f>IF($Y462="",0,$Y462)</f>
        <v/>
      </c>
    </row>
    <row r="463">
      <c r="W463" s="31">
        <f>IF(OR($B$5="",$C$6="",ROW()&lt;$B$5),"",IF(INDEX($A:$U,ROW(),$C$6)="","",INDEX($A:$U,ROW(),$C$6)))</f>
        <v/>
      </c>
      <c r="X463" s="32">
        <f>IF($W463="","",IF(ISNUMBER($W463),IF($W463&gt;=10000000,IFERROR(DATE(INT($W463/10000),MOD(INT($W463/100),100),MOD($W463,100)),""),INT($W463)),IFERROR(DATE(--LEFT(LEFT(SUBSTITUTE(SUBSTITUTE(SUBSTITUTE(SUBSTITUTE(TRIM($W463),"-",""),".",""),"/","")," ",""),8),4),--MID(LEFT(SUBSTITUTE(SUBSTITUTE(SUBSTITUTE(SUBSTITUTE(TRIM($W463),"-",""),".",""),"/","")," ",""),8),5,2),--MID(LEFT(SUBSTITUTE(SUBSTITUTE(SUBSTITUTE(SUBSTITUTE(TRIM($W463),"-",""),".",""),"/","")," ",""),8),7,2)),"")))</f>
        <v/>
      </c>
      <c r="Y463" s="32">
        <f>IF($X463="","",INT($X463))</f>
        <v/>
      </c>
      <c r="Z463" s="33">
        <f>IF(OR($Y463="",$D$6=""),"",IF(INDEX($A:$U,ROW(),$D$6)="",0,IF(ISNUMBER(INDEX($A:$U,ROW(),$D$6)),INDEX($A:$U,ROW(),$D$6),IFERROR(--SUBSTITUTE(SUBSTITUTE(TRIM(INDEX($A:$U,ROW(),$D$6)),",",""),"원",""),0))))</f>
        <v/>
      </c>
      <c r="AA463" s="31">
        <f>IF($Y463="","",TRIM(INDEX($A:$U,ROW(),$E$6)&amp;IF($F$6="",""," "&amp;INDEX($A:$U,ROW(),$F$6))))</f>
        <v/>
      </c>
      <c r="AB463" s="31">
        <f>IF($AA463="","",SUBSTITUTE(SUBSTITUTE(SUBSTITUTE(SUBSTITUTE(SUBSTITUTE(SUBSTITUTE(SUBSTITUTE(SUBSTITUTE(SUBSTITUTE($AA463," ",""),"　",""),"(주)",""),"（주）",""),"㈜",""),"주식회사",""),"(유)",""),"（유）",""),"유한회사",""))</f>
        <v/>
      </c>
      <c r="AC463" s="31">
        <f>IF(OR($Y463="",N($Z463)&lt;=0,$AB463=""),0,IFERROR(LOOKUP(2,1/((거래처별!$AC$8:$AC$307&lt;&gt;"")*ISNUMBER(SEARCH(거래처별!$AC$8:$AC$307,$AB463))),거래처별!$A$8:$A$307),IFERROR(LOOKUP(2,1/((거래처별!$AD$8:$AD$307&lt;&gt;"")*ISNUMBER(SEARCH(거래처별!$AD$8:$AD$307,$AB463))),거래처별!$A$8:$A$307),IFERROR(LOOKUP(2,1/((거래처별!$AE$8:$AE$307&lt;&gt;"")*ISNUMBER(SEARCH(거래처별!$AE$8:$AE$307,$AB463))),거래처별!$A$8:$A$307),0))))</f>
        <v/>
      </c>
      <c r="AD463" s="31">
        <f>IF(AND($Y463&lt;&gt;"",N($Z463)&gt;0,$AC463=0),MAX($AD$7:$AD462)+1,"")</f>
        <v/>
      </c>
      <c r="AE463" s="31">
        <f>IF($Y463="",0,$Y463)</f>
        <v/>
      </c>
    </row>
    <row r="464">
      <c r="W464" s="31">
        <f>IF(OR($B$5="",$C$6="",ROW()&lt;$B$5),"",IF(INDEX($A:$U,ROW(),$C$6)="","",INDEX($A:$U,ROW(),$C$6)))</f>
        <v/>
      </c>
      <c r="X464" s="32">
        <f>IF($W464="","",IF(ISNUMBER($W464),IF($W464&gt;=10000000,IFERROR(DATE(INT($W464/10000),MOD(INT($W464/100),100),MOD($W464,100)),""),INT($W464)),IFERROR(DATE(--LEFT(LEFT(SUBSTITUTE(SUBSTITUTE(SUBSTITUTE(SUBSTITUTE(TRIM($W464),"-",""),".",""),"/","")," ",""),8),4),--MID(LEFT(SUBSTITUTE(SUBSTITUTE(SUBSTITUTE(SUBSTITUTE(TRIM($W464),"-",""),".",""),"/","")," ",""),8),5,2),--MID(LEFT(SUBSTITUTE(SUBSTITUTE(SUBSTITUTE(SUBSTITUTE(TRIM($W464),"-",""),".",""),"/","")," ",""),8),7,2)),"")))</f>
        <v/>
      </c>
      <c r="Y464" s="32">
        <f>IF($X464="","",INT($X464))</f>
        <v/>
      </c>
      <c r="Z464" s="33">
        <f>IF(OR($Y464="",$D$6=""),"",IF(INDEX($A:$U,ROW(),$D$6)="",0,IF(ISNUMBER(INDEX($A:$U,ROW(),$D$6)),INDEX($A:$U,ROW(),$D$6),IFERROR(--SUBSTITUTE(SUBSTITUTE(TRIM(INDEX($A:$U,ROW(),$D$6)),",",""),"원",""),0))))</f>
        <v/>
      </c>
      <c r="AA464" s="31">
        <f>IF($Y464="","",TRIM(INDEX($A:$U,ROW(),$E$6)&amp;IF($F$6="",""," "&amp;INDEX($A:$U,ROW(),$F$6))))</f>
        <v/>
      </c>
      <c r="AB464" s="31">
        <f>IF($AA464="","",SUBSTITUTE(SUBSTITUTE(SUBSTITUTE(SUBSTITUTE(SUBSTITUTE(SUBSTITUTE(SUBSTITUTE(SUBSTITUTE(SUBSTITUTE($AA464," ",""),"　",""),"(주)",""),"（주）",""),"㈜",""),"주식회사",""),"(유)",""),"（유）",""),"유한회사",""))</f>
        <v/>
      </c>
      <c r="AC464" s="31">
        <f>IF(OR($Y464="",N($Z464)&lt;=0,$AB464=""),0,IFERROR(LOOKUP(2,1/((거래처별!$AC$8:$AC$307&lt;&gt;"")*ISNUMBER(SEARCH(거래처별!$AC$8:$AC$307,$AB464))),거래처별!$A$8:$A$307),IFERROR(LOOKUP(2,1/((거래처별!$AD$8:$AD$307&lt;&gt;"")*ISNUMBER(SEARCH(거래처별!$AD$8:$AD$307,$AB464))),거래처별!$A$8:$A$307),IFERROR(LOOKUP(2,1/((거래처별!$AE$8:$AE$307&lt;&gt;"")*ISNUMBER(SEARCH(거래처별!$AE$8:$AE$307,$AB464))),거래처별!$A$8:$A$307),0))))</f>
        <v/>
      </c>
      <c r="AD464" s="31">
        <f>IF(AND($Y464&lt;&gt;"",N($Z464)&gt;0,$AC464=0),MAX($AD$7:$AD463)+1,"")</f>
        <v/>
      </c>
      <c r="AE464" s="31">
        <f>IF($Y464="",0,$Y464)</f>
        <v/>
      </c>
    </row>
    <row r="465">
      <c r="W465" s="31">
        <f>IF(OR($B$5="",$C$6="",ROW()&lt;$B$5),"",IF(INDEX($A:$U,ROW(),$C$6)="","",INDEX($A:$U,ROW(),$C$6)))</f>
        <v/>
      </c>
      <c r="X465" s="32">
        <f>IF($W465="","",IF(ISNUMBER($W465),IF($W465&gt;=10000000,IFERROR(DATE(INT($W465/10000),MOD(INT($W465/100),100),MOD($W465,100)),""),INT($W465)),IFERROR(DATE(--LEFT(LEFT(SUBSTITUTE(SUBSTITUTE(SUBSTITUTE(SUBSTITUTE(TRIM($W465),"-",""),".",""),"/","")," ",""),8),4),--MID(LEFT(SUBSTITUTE(SUBSTITUTE(SUBSTITUTE(SUBSTITUTE(TRIM($W465),"-",""),".",""),"/","")," ",""),8),5,2),--MID(LEFT(SUBSTITUTE(SUBSTITUTE(SUBSTITUTE(SUBSTITUTE(TRIM($W465),"-",""),".",""),"/","")," ",""),8),7,2)),"")))</f>
        <v/>
      </c>
      <c r="Y465" s="32">
        <f>IF($X465="","",INT($X465))</f>
        <v/>
      </c>
      <c r="Z465" s="33">
        <f>IF(OR($Y465="",$D$6=""),"",IF(INDEX($A:$U,ROW(),$D$6)="",0,IF(ISNUMBER(INDEX($A:$U,ROW(),$D$6)),INDEX($A:$U,ROW(),$D$6),IFERROR(--SUBSTITUTE(SUBSTITUTE(TRIM(INDEX($A:$U,ROW(),$D$6)),",",""),"원",""),0))))</f>
        <v/>
      </c>
      <c r="AA465" s="31">
        <f>IF($Y465="","",TRIM(INDEX($A:$U,ROW(),$E$6)&amp;IF($F$6="",""," "&amp;INDEX($A:$U,ROW(),$F$6))))</f>
        <v/>
      </c>
      <c r="AB465" s="31">
        <f>IF($AA465="","",SUBSTITUTE(SUBSTITUTE(SUBSTITUTE(SUBSTITUTE(SUBSTITUTE(SUBSTITUTE(SUBSTITUTE(SUBSTITUTE(SUBSTITUTE($AA465," ",""),"　",""),"(주)",""),"（주）",""),"㈜",""),"주식회사",""),"(유)",""),"（유）",""),"유한회사",""))</f>
        <v/>
      </c>
      <c r="AC465" s="31">
        <f>IF(OR($Y465="",N($Z465)&lt;=0,$AB465=""),0,IFERROR(LOOKUP(2,1/((거래처별!$AC$8:$AC$307&lt;&gt;"")*ISNUMBER(SEARCH(거래처별!$AC$8:$AC$307,$AB465))),거래처별!$A$8:$A$307),IFERROR(LOOKUP(2,1/((거래처별!$AD$8:$AD$307&lt;&gt;"")*ISNUMBER(SEARCH(거래처별!$AD$8:$AD$307,$AB465))),거래처별!$A$8:$A$307),IFERROR(LOOKUP(2,1/((거래처별!$AE$8:$AE$307&lt;&gt;"")*ISNUMBER(SEARCH(거래처별!$AE$8:$AE$307,$AB465))),거래처별!$A$8:$A$307),0))))</f>
        <v/>
      </c>
      <c r="AD465" s="31">
        <f>IF(AND($Y465&lt;&gt;"",N($Z465)&gt;0,$AC465=0),MAX($AD$7:$AD464)+1,"")</f>
        <v/>
      </c>
      <c r="AE465" s="31">
        <f>IF($Y465="",0,$Y465)</f>
        <v/>
      </c>
    </row>
    <row r="466">
      <c r="W466" s="31">
        <f>IF(OR($B$5="",$C$6="",ROW()&lt;$B$5),"",IF(INDEX($A:$U,ROW(),$C$6)="","",INDEX($A:$U,ROW(),$C$6)))</f>
        <v/>
      </c>
      <c r="X466" s="32">
        <f>IF($W466="","",IF(ISNUMBER($W466),IF($W466&gt;=10000000,IFERROR(DATE(INT($W466/10000),MOD(INT($W466/100),100),MOD($W466,100)),""),INT($W466)),IFERROR(DATE(--LEFT(LEFT(SUBSTITUTE(SUBSTITUTE(SUBSTITUTE(SUBSTITUTE(TRIM($W466),"-",""),".",""),"/","")," ",""),8),4),--MID(LEFT(SUBSTITUTE(SUBSTITUTE(SUBSTITUTE(SUBSTITUTE(TRIM($W466),"-",""),".",""),"/","")," ",""),8),5,2),--MID(LEFT(SUBSTITUTE(SUBSTITUTE(SUBSTITUTE(SUBSTITUTE(TRIM($W466),"-",""),".",""),"/","")," ",""),8),7,2)),"")))</f>
        <v/>
      </c>
      <c r="Y466" s="32">
        <f>IF($X466="","",INT($X466))</f>
        <v/>
      </c>
      <c r="Z466" s="33">
        <f>IF(OR($Y466="",$D$6=""),"",IF(INDEX($A:$U,ROW(),$D$6)="",0,IF(ISNUMBER(INDEX($A:$U,ROW(),$D$6)),INDEX($A:$U,ROW(),$D$6),IFERROR(--SUBSTITUTE(SUBSTITUTE(TRIM(INDEX($A:$U,ROW(),$D$6)),",",""),"원",""),0))))</f>
        <v/>
      </c>
      <c r="AA466" s="31">
        <f>IF($Y466="","",TRIM(INDEX($A:$U,ROW(),$E$6)&amp;IF($F$6="",""," "&amp;INDEX($A:$U,ROW(),$F$6))))</f>
        <v/>
      </c>
      <c r="AB466" s="31">
        <f>IF($AA466="","",SUBSTITUTE(SUBSTITUTE(SUBSTITUTE(SUBSTITUTE(SUBSTITUTE(SUBSTITUTE(SUBSTITUTE(SUBSTITUTE(SUBSTITUTE($AA466," ",""),"　",""),"(주)",""),"（주）",""),"㈜",""),"주식회사",""),"(유)",""),"（유）",""),"유한회사",""))</f>
        <v/>
      </c>
      <c r="AC466" s="31">
        <f>IF(OR($Y466="",N($Z466)&lt;=0,$AB466=""),0,IFERROR(LOOKUP(2,1/((거래처별!$AC$8:$AC$307&lt;&gt;"")*ISNUMBER(SEARCH(거래처별!$AC$8:$AC$307,$AB466))),거래처별!$A$8:$A$307),IFERROR(LOOKUP(2,1/((거래처별!$AD$8:$AD$307&lt;&gt;"")*ISNUMBER(SEARCH(거래처별!$AD$8:$AD$307,$AB466))),거래처별!$A$8:$A$307),IFERROR(LOOKUP(2,1/((거래처별!$AE$8:$AE$307&lt;&gt;"")*ISNUMBER(SEARCH(거래처별!$AE$8:$AE$307,$AB466))),거래처별!$A$8:$A$307),0))))</f>
        <v/>
      </c>
      <c r="AD466" s="31">
        <f>IF(AND($Y466&lt;&gt;"",N($Z466)&gt;0,$AC466=0),MAX($AD$7:$AD465)+1,"")</f>
        <v/>
      </c>
      <c r="AE466" s="31">
        <f>IF($Y466="",0,$Y466)</f>
        <v/>
      </c>
    </row>
    <row r="467">
      <c r="W467" s="31">
        <f>IF(OR($B$5="",$C$6="",ROW()&lt;$B$5),"",IF(INDEX($A:$U,ROW(),$C$6)="","",INDEX($A:$U,ROW(),$C$6)))</f>
        <v/>
      </c>
      <c r="X467" s="32">
        <f>IF($W467="","",IF(ISNUMBER($W467),IF($W467&gt;=10000000,IFERROR(DATE(INT($W467/10000),MOD(INT($W467/100),100),MOD($W467,100)),""),INT($W467)),IFERROR(DATE(--LEFT(LEFT(SUBSTITUTE(SUBSTITUTE(SUBSTITUTE(SUBSTITUTE(TRIM($W467),"-",""),".",""),"/","")," ",""),8),4),--MID(LEFT(SUBSTITUTE(SUBSTITUTE(SUBSTITUTE(SUBSTITUTE(TRIM($W467),"-",""),".",""),"/","")," ",""),8),5,2),--MID(LEFT(SUBSTITUTE(SUBSTITUTE(SUBSTITUTE(SUBSTITUTE(TRIM($W467),"-",""),".",""),"/","")," ",""),8),7,2)),"")))</f>
        <v/>
      </c>
      <c r="Y467" s="32">
        <f>IF($X467="","",INT($X467))</f>
        <v/>
      </c>
      <c r="Z467" s="33">
        <f>IF(OR($Y467="",$D$6=""),"",IF(INDEX($A:$U,ROW(),$D$6)="",0,IF(ISNUMBER(INDEX($A:$U,ROW(),$D$6)),INDEX($A:$U,ROW(),$D$6),IFERROR(--SUBSTITUTE(SUBSTITUTE(TRIM(INDEX($A:$U,ROW(),$D$6)),",",""),"원",""),0))))</f>
        <v/>
      </c>
      <c r="AA467" s="31">
        <f>IF($Y467="","",TRIM(INDEX($A:$U,ROW(),$E$6)&amp;IF($F$6="",""," "&amp;INDEX($A:$U,ROW(),$F$6))))</f>
        <v/>
      </c>
      <c r="AB467" s="31">
        <f>IF($AA467="","",SUBSTITUTE(SUBSTITUTE(SUBSTITUTE(SUBSTITUTE(SUBSTITUTE(SUBSTITUTE(SUBSTITUTE(SUBSTITUTE(SUBSTITUTE($AA467," ",""),"　",""),"(주)",""),"（주）",""),"㈜",""),"주식회사",""),"(유)",""),"（유）",""),"유한회사",""))</f>
        <v/>
      </c>
      <c r="AC467" s="31">
        <f>IF(OR($Y467="",N($Z467)&lt;=0,$AB467=""),0,IFERROR(LOOKUP(2,1/((거래처별!$AC$8:$AC$307&lt;&gt;"")*ISNUMBER(SEARCH(거래처별!$AC$8:$AC$307,$AB467))),거래처별!$A$8:$A$307),IFERROR(LOOKUP(2,1/((거래처별!$AD$8:$AD$307&lt;&gt;"")*ISNUMBER(SEARCH(거래처별!$AD$8:$AD$307,$AB467))),거래처별!$A$8:$A$307),IFERROR(LOOKUP(2,1/((거래처별!$AE$8:$AE$307&lt;&gt;"")*ISNUMBER(SEARCH(거래처별!$AE$8:$AE$307,$AB467))),거래처별!$A$8:$A$307),0))))</f>
        <v/>
      </c>
      <c r="AD467" s="31">
        <f>IF(AND($Y467&lt;&gt;"",N($Z467)&gt;0,$AC467=0),MAX($AD$7:$AD466)+1,"")</f>
        <v/>
      </c>
      <c r="AE467" s="31">
        <f>IF($Y467="",0,$Y467)</f>
        <v/>
      </c>
    </row>
    <row r="468">
      <c r="W468" s="31">
        <f>IF(OR($B$5="",$C$6="",ROW()&lt;$B$5),"",IF(INDEX($A:$U,ROW(),$C$6)="","",INDEX($A:$U,ROW(),$C$6)))</f>
        <v/>
      </c>
      <c r="X468" s="32">
        <f>IF($W468="","",IF(ISNUMBER($W468),IF($W468&gt;=10000000,IFERROR(DATE(INT($W468/10000),MOD(INT($W468/100),100),MOD($W468,100)),""),INT($W468)),IFERROR(DATE(--LEFT(LEFT(SUBSTITUTE(SUBSTITUTE(SUBSTITUTE(SUBSTITUTE(TRIM($W468),"-",""),".",""),"/","")," ",""),8),4),--MID(LEFT(SUBSTITUTE(SUBSTITUTE(SUBSTITUTE(SUBSTITUTE(TRIM($W468),"-",""),".",""),"/","")," ",""),8),5,2),--MID(LEFT(SUBSTITUTE(SUBSTITUTE(SUBSTITUTE(SUBSTITUTE(TRIM($W468),"-",""),".",""),"/","")," ",""),8),7,2)),"")))</f>
        <v/>
      </c>
      <c r="Y468" s="32">
        <f>IF($X468="","",INT($X468))</f>
        <v/>
      </c>
      <c r="Z468" s="33">
        <f>IF(OR($Y468="",$D$6=""),"",IF(INDEX($A:$U,ROW(),$D$6)="",0,IF(ISNUMBER(INDEX($A:$U,ROW(),$D$6)),INDEX($A:$U,ROW(),$D$6),IFERROR(--SUBSTITUTE(SUBSTITUTE(TRIM(INDEX($A:$U,ROW(),$D$6)),",",""),"원",""),0))))</f>
        <v/>
      </c>
      <c r="AA468" s="31">
        <f>IF($Y468="","",TRIM(INDEX($A:$U,ROW(),$E$6)&amp;IF($F$6="",""," "&amp;INDEX($A:$U,ROW(),$F$6))))</f>
        <v/>
      </c>
      <c r="AB468" s="31">
        <f>IF($AA468="","",SUBSTITUTE(SUBSTITUTE(SUBSTITUTE(SUBSTITUTE(SUBSTITUTE(SUBSTITUTE(SUBSTITUTE(SUBSTITUTE(SUBSTITUTE($AA468," ",""),"　",""),"(주)",""),"（주）",""),"㈜",""),"주식회사",""),"(유)",""),"（유）",""),"유한회사",""))</f>
        <v/>
      </c>
      <c r="AC468" s="31">
        <f>IF(OR($Y468="",N($Z468)&lt;=0,$AB468=""),0,IFERROR(LOOKUP(2,1/((거래처별!$AC$8:$AC$307&lt;&gt;"")*ISNUMBER(SEARCH(거래처별!$AC$8:$AC$307,$AB468))),거래처별!$A$8:$A$307),IFERROR(LOOKUP(2,1/((거래처별!$AD$8:$AD$307&lt;&gt;"")*ISNUMBER(SEARCH(거래처별!$AD$8:$AD$307,$AB468))),거래처별!$A$8:$A$307),IFERROR(LOOKUP(2,1/((거래처별!$AE$8:$AE$307&lt;&gt;"")*ISNUMBER(SEARCH(거래처별!$AE$8:$AE$307,$AB468))),거래처별!$A$8:$A$307),0))))</f>
        <v/>
      </c>
      <c r="AD468" s="31">
        <f>IF(AND($Y468&lt;&gt;"",N($Z468)&gt;0,$AC468=0),MAX($AD$7:$AD467)+1,"")</f>
        <v/>
      </c>
      <c r="AE468" s="31">
        <f>IF($Y468="",0,$Y468)</f>
        <v/>
      </c>
    </row>
    <row r="469">
      <c r="W469" s="31">
        <f>IF(OR($B$5="",$C$6="",ROW()&lt;$B$5),"",IF(INDEX($A:$U,ROW(),$C$6)="","",INDEX($A:$U,ROW(),$C$6)))</f>
        <v/>
      </c>
      <c r="X469" s="32">
        <f>IF($W469="","",IF(ISNUMBER($W469),IF($W469&gt;=10000000,IFERROR(DATE(INT($W469/10000),MOD(INT($W469/100),100),MOD($W469,100)),""),INT($W469)),IFERROR(DATE(--LEFT(LEFT(SUBSTITUTE(SUBSTITUTE(SUBSTITUTE(SUBSTITUTE(TRIM($W469),"-",""),".",""),"/","")," ",""),8),4),--MID(LEFT(SUBSTITUTE(SUBSTITUTE(SUBSTITUTE(SUBSTITUTE(TRIM($W469),"-",""),".",""),"/","")," ",""),8),5,2),--MID(LEFT(SUBSTITUTE(SUBSTITUTE(SUBSTITUTE(SUBSTITUTE(TRIM($W469),"-",""),".",""),"/","")," ",""),8),7,2)),"")))</f>
        <v/>
      </c>
      <c r="Y469" s="32">
        <f>IF($X469="","",INT($X469))</f>
        <v/>
      </c>
      <c r="Z469" s="33">
        <f>IF(OR($Y469="",$D$6=""),"",IF(INDEX($A:$U,ROW(),$D$6)="",0,IF(ISNUMBER(INDEX($A:$U,ROW(),$D$6)),INDEX($A:$U,ROW(),$D$6),IFERROR(--SUBSTITUTE(SUBSTITUTE(TRIM(INDEX($A:$U,ROW(),$D$6)),",",""),"원",""),0))))</f>
        <v/>
      </c>
      <c r="AA469" s="31">
        <f>IF($Y469="","",TRIM(INDEX($A:$U,ROW(),$E$6)&amp;IF($F$6="",""," "&amp;INDEX($A:$U,ROW(),$F$6))))</f>
        <v/>
      </c>
      <c r="AB469" s="31">
        <f>IF($AA469="","",SUBSTITUTE(SUBSTITUTE(SUBSTITUTE(SUBSTITUTE(SUBSTITUTE(SUBSTITUTE(SUBSTITUTE(SUBSTITUTE(SUBSTITUTE($AA469," ",""),"　",""),"(주)",""),"（주）",""),"㈜",""),"주식회사",""),"(유)",""),"（유）",""),"유한회사",""))</f>
        <v/>
      </c>
      <c r="AC469" s="31">
        <f>IF(OR($Y469="",N($Z469)&lt;=0,$AB469=""),0,IFERROR(LOOKUP(2,1/((거래처별!$AC$8:$AC$307&lt;&gt;"")*ISNUMBER(SEARCH(거래처별!$AC$8:$AC$307,$AB469))),거래처별!$A$8:$A$307),IFERROR(LOOKUP(2,1/((거래처별!$AD$8:$AD$307&lt;&gt;"")*ISNUMBER(SEARCH(거래처별!$AD$8:$AD$307,$AB469))),거래처별!$A$8:$A$307),IFERROR(LOOKUP(2,1/((거래처별!$AE$8:$AE$307&lt;&gt;"")*ISNUMBER(SEARCH(거래처별!$AE$8:$AE$307,$AB469))),거래처별!$A$8:$A$307),0))))</f>
        <v/>
      </c>
      <c r="AD469" s="31">
        <f>IF(AND($Y469&lt;&gt;"",N($Z469)&gt;0,$AC469=0),MAX($AD$7:$AD468)+1,"")</f>
        <v/>
      </c>
      <c r="AE469" s="31">
        <f>IF($Y469="",0,$Y469)</f>
        <v/>
      </c>
    </row>
    <row r="470">
      <c r="W470" s="31">
        <f>IF(OR($B$5="",$C$6="",ROW()&lt;$B$5),"",IF(INDEX($A:$U,ROW(),$C$6)="","",INDEX($A:$U,ROW(),$C$6)))</f>
        <v/>
      </c>
      <c r="X470" s="32">
        <f>IF($W470="","",IF(ISNUMBER($W470),IF($W470&gt;=10000000,IFERROR(DATE(INT($W470/10000),MOD(INT($W470/100),100),MOD($W470,100)),""),INT($W470)),IFERROR(DATE(--LEFT(LEFT(SUBSTITUTE(SUBSTITUTE(SUBSTITUTE(SUBSTITUTE(TRIM($W470),"-",""),".",""),"/","")," ",""),8),4),--MID(LEFT(SUBSTITUTE(SUBSTITUTE(SUBSTITUTE(SUBSTITUTE(TRIM($W470),"-",""),".",""),"/","")," ",""),8),5,2),--MID(LEFT(SUBSTITUTE(SUBSTITUTE(SUBSTITUTE(SUBSTITUTE(TRIM($W470),"-",""),".",""),"/","")," ",""),8),7,2)),"")))</f>
        <v/>
      </c>
      <c r="Y470" s="32">
        <f>IF($X470="","",INT($X470))</f>
        <v/>
      </c>
      <c r="Z470" s="33">
        <f>IF(OR($Y470="",$D$6=""),"",IF(INDEX($A:$U,ROW(),$D$6)="",0,IF(ISNUMBER(INDEX($A:$U,ROW(),$D$6)),INDEX($A:$U,ROW(),$D$6),IFERROR(--SUBSTITUTE(SUBSTITUTE(TRIM(INDEX($A:$U,ROW(),$D$6)),",",""),"원",""),0))))</f>
        <v/>
      </c>
      <c r="AA470" s="31">
        <f>IF($Y470="","",TRIM(INDEX($A:$U,ROW(),$E$6)&amp;IF($F$6="",""," "&amp;INDEX($A:$U,ROW(),$F$6))))</f>
        <v/>
      </c>
      <c r="AB470" s="31">
        <f>IF($AA470="","",SUBSTITUTE(SUBSTITUTE(SUBSTITUTE(SUBSTITUTE(SUBSTITUTE(SUBSTITUTE(SUBSTITUTE(SUBSTITUTE(SUBSTITUTE($AA470," ",""),"　",""),"(주)",""),"（주）",""),"㈜",""),"주식회사",""),"(유)",""),"（유）",""),"유한회사",""))</f>
        <v/>
      </c>
      <c r="AC470" s="31">
        <f>IF(OR($Y470="",N($Z470)&lt;=0,$AB470=""),0,IFERROR(LOOKUP(2,1/((거래처별!$AC$8:$AC$307&lt;&gt;"")*ISNUMBER(SEARCH(거래처별!$AC$8:$AC$307,$AB470))),거래처별!$A$8:$A$307),IFERROR(LOOKUP(2,1/((거래처별!$AD$8:$AD$307&lt;&gt;"")*ISNUMBER(SEARCH(거래처별!$AD$8:$AD$307,$AB470))),거래처별!$A$8:$A$307),IFERROR(LOOKUP(2,1/((거래처별!$AE$8:$AE$307&lt;&gt;"")*ISNUMBER(SEARCH(거래처별!$AE$8:$AE$307,$AB470))),거래처별!$A$8:$A$307),0))))</f>
        <v/>
      </c>
      <c r="AD470" s="31">
        <f>IF(AND($Y470&lt;&gt;"",N($Z470)&gt;0,$AC470=0),MAX($AD$7:$AD469)+1,"")</f>
        <v/>
      </c>
      <c r="AE470" s="31">
        <f>IF($Y470="",0,$Y470)</f>
        <v/>
      </c>
    </row>
    <row r="471">
      <c r="W471" s="31">
        <f>IF(OR($B$5="",$C$6="",ROW()&lt;$B$5),"",IF(INDEX($A:$U,ROW(),$C$6)="","",INDEX($A:$U,ROW(),$C$6)))</f>
        <v/>
      </c>
      <c r="X471" s="32">
        <f>IF($W471="","",IF(ISNUMBER($W471),IF($W471&gt;=10000000,IFERROR(DATE(INT($W471/10000),MOD(INT($W471/100),100),MOD($W471,100)),""),INT($W471)),IFERROR(DATE(--LEFT(LEFT(SUBSTITUTE(SUBSTITUTE(SUBSTITUTE(SUBSTITUTE(TRIM($W471),"-",""),".",""),"/","")," ",""),8),4),--MID(LEFT(SUBSTITUTE(SUBSTITUTE(SUBSTITUTE(SUBSTITUTE(TRIM($W471),"-",""),".",""),"/","")," ",""),8),5,2),--MID(LEFT(SUBSTITUTE(SUBSTITUTE(SUBSTITUTE(SUBSTITUTE(TRIM($W471),"-",""),".",""),"/","")," ",""),8),7,2)),"")))</f>
        <v/>
      </c>
      <c r="Y471" s="32">
        <f>IF($X471="","",INT($X471))</f>
        <v/>
      </c>
      <c r="Z471" s="33">
        <f>IF(OR($Y471="",$D$6=""),"",IF(INDEX($A:$U,ROW(),$D$6)="",0,IF(ISNUMBER(INDEX($A:$U,ROW(),$D$6)),INDEX($A:$U,ROW(),$D$6),IFERROR(--SUBSTITUTE(SUBSTITUTE(TRIM(INDEX($A:$U,ROW(),$D$6)),",",""),"원",""),0))))</f>
        <v/>
      </c>
      <c r="AA471" s="31">
        <f>IF($Y471="","",TRIM(INDEX($A:$U,ROW(),$E$6)&amp;IF($F$6="",""," "&amp;INDEX($A:$U,ROW(),$F$6))))</f>
        <v/>
      </c>
      <c r="AB471" s="31">
        <f>IF($AA471="","",SUBSTITUTE(SUBSTITUTE(SUBSTITUTE(SUBSTITUTE(SUBSTITUTE(SUBSTITUTE(SUBSTITUTE(SUBSTITUTE(SUBSTITUTE($AA471," ",""),"　",""),"(주)",""),"（주）",""),"㈜",""),"주식회사",""),"(유)",""),"（유）",""),"유한회사",""))</f>
        <v/>
      </c>
      <c r="AC471" s="31">
        <f>IF(OR($Y471="",N($Z471)&lt;=0,$AB471=""),0,IFERROR(LOOKUP(2,1/((거래처별!$AC$8:$AC$307&lt;&gt;"")*ISNUMBER(SEARCH(거래처별!$AC$8:$AC$307,$AB471))),거래처별!$A$8:$A$307),IFERROR(LOOKUP(2,1/((거래처별!$AD$8:$AD$307&lt;&gt;"")*ISNUMBER(SEARCH(거래처별!$AD$8:$AD$307,$AB471))),거래처별!$A$8:$A$307),IFERROR(LOOKUP(2,1/((거래처별!$AE$8:$AE$307&lt;&gt;"")*ISNUMBER(SEARCH(거래처별!$AE$8:$AE$307,$AB471))),거래처별!$A$8:$A$307),0))))</f>
        <v/>
      </c>
      <c r="AD471" s="31">
        <f>IF(AND($Y471&lt;&gt;"",N($Z471)&gt;0,$AC471=0),MAX($AD$7:$AD470)+1,"")</f>
        <v/>
      </c>
      <c r="AE471" s="31">
        <f>IF($Y471="",0,$Y471)</f>
        <v/>
      </c>
    </row>
    <row r="472">
      <c r="W472" s="31">
        <f>IF(OR($B$5="",$C$6="",ROW()&lt;$B$5),"",IF(INDEX($A:$U,ROW(),$C$6)="","",INDEX($A:$U,ROW(),$C$6)))</f>
        <v/>
      </c>
      <c r="X472" s="32">
        <f>IF($W472="","",IF(ISNUMBER($W472),IF($W472&gt;=10000000,IFERROR(DATE(INT($W472/10000),MOD(INT($W472/100),100),MOD($W472,100)),""),INT($W472)),IFERROR(DATE(--LEFT(LEFT(SUBSTITUTE(SUBSTITUTE(SUBSTITUTE(SUBSTITUTE(TRIM($W472),"-",""),".",""),"/","")," ",""),8),4),--MID(LEFT(SUBSTITUTE(SUBSTITUTE(SUBSTITUTE(SUBSTITUTE(TRIM($W472),"-",""),".",""),"/","")," ",""),8),5,2),--MID(LEFT(SUBSTITUTE(SUBSTITUTE(SUBSTITUTE(SUBSTITUTE(TRIM($W472),"-",""),".",""),"/","")," ",""),8),7,2)),"")))</f>
        <v/>
      </c>
      <c r="Y472" s="32">
        <f>IF($X472="","",INT($X472))</f>
        <v/>
      </c>
      <c r="Z472" s="33">
        <f>IF(OR($Y472="",$D$6=""),"",IF(INDEX($A:$U,ROW(),$D$6)="",0,IF(ISNUMBER(INDEX($A:$U,ROW(),$D$6)),INDEX($A:$U,ROW(),$D$6),IFERROR(--SUBSTITUTE(SUBSTITUTE(TRIM(INDEX($A:$U,ROW(),$D$6)),",",""),"원",""),0))))</f>
        <v/>
      </c>
      <c r="AA472" s="31">
        <f>IF($Y472="","",TRIM(INDEX($A:$U,ROW(),$E$6)&amp;IF($F$6="",""," "&amp;INDEX($A:$U,ROW(),$F$6))))</f>
        <v/>
      </c>
      <c r="AB472" s="31">
        <f>IF($AA472="","",SUBSTITUTE(SUBSTITUTE(SUBSTITUTE(SUBSTITUTE(SUBSTITUTE(SUBSTITUTE(SUBSTITUTE(SUBSTITUTE(SUBSTITUTE($AA472," ",""),"　",""),"(주)",""),"（주）",""),"㈜",""),"주식회사",""),"(유)",""),"（유）",""),"유한회사",""))</f>
        <v/>
      </c>
      <c r="AC472" s="31">
        <f>IF(OR($Y472="",N($Z472)&lt;=0,$AB472=""),0,IFERROR(LOOKUP(2,1/((거래처별!$AC$8:$AC$307&lt;&gt;"")*ISNUMBER(SEARCH(거래처별!$AC$8:$AC$307,$AB472))),거래처별!$A$8:$A$307),IFERROR(LOOKUP(2,1/((거래처별!$AD$8:$AD$307&lt;&gt;"")*ISNUMBER(SEARCH(거래처별!$AD$8:$AD$307,$AB472))),거래처별!$A$8:$A$307),IFERROR(LOOKUP(2,1/((거래처별!$AE$8:$AE$307&lt;&gt;"")*ISNUMBER(SEARCH(거래처별!$AE$8:$AE$307,$AB472))),거래처별!$A$8:$A$307),0))))</f>
        <v/>
      </c>
      <c r="AD472" s="31">
        <f>IF(AND($Y472&lt;&gt;"",N($Z472)&gt;0,$AC472=0),MAX($AD$7:$AD471)+1,"")</f>
        <v/>
      </c>
      <c r="AE472" s="31">
        <f>IF($Y472="",0,$Y472)</f>
        <v/>
      </c>
    </row>
    <row r="473">
      <c r="W473" s="31">
        <f>IF(OR($B$5="",$C$6="",ROW()&lt;$B$5),"",IF(INDEX($A:$U,ROW(),$C$6)="","",INDEX($A:$U,ROW(),$C$6)))</f>
        <v/>
      </c>
      <c r="X473" s="32">
        <f>IF($W473="","",IF(ISNUMBER($W473),IF($W473&gt;=10000000,IFERROR(DATE(INT($W473/10000),MOD(INT($W473/100),100),MOD($W473,100)),""),INT($W473)),IFERROR(DATE(--LEFT(LEFT(SUBSTITUTE(SUBSTITUTE(SUBSTITUTE(SUBSTITUTE(TRIM($W473),"-",""),".",""),"/","")," ",""),8),4),--MID(LEFT(SUBSTITUTE(SUBSTITUTE(SUBSTITUTE(SUBSTITUTE(TRIM($W473),"-",""),".",""),"/","")," ",""),8),5,2),--MID(LEFT(SUBSTITUTE(SUBSTITUTE(SUBSTITUTE(SUBSTITUTE(TRIM($W473),"-",""),".",""),"/","")," ",""),8),7,2)),"")))</f>
        <v/>
      </c>
      <c r="Y473" s="32">
        <f>IF($X473="","",INT($X473))</f>
        <v/>
      </c>
      <c r="Z473" s="33">
        <f>IF(OR($Y473="",$D$6=""),"",IF(INDEX($A:$U,ROW(),$D$6)="",0,IF(ISNUMBER(INDEX($A:$U,ROW(),$D$6)),INDEX($A:$U,ROW(),$D$6),IFERROR(--SUBSTITUTE(SUBSTITUTE(TRIM(INDEX($A:$U,ROW(),$D$6)),",",""),"원",""),0))))</f>
        <v/>
      </c>
      <c r="AA473" s="31">
        <f>IF($Y473="","",TRIM(INDEX($A:$U,ROW(),$E$6)&amp;IF($F$6="",""," "&amp;INDEX($A:$U,ROW(),$F$6))))</f>
        <v/>
      </c>
      <c r="AB473" s="31">
        <f>IF($AA473="","",SUBSTITUTE(SUBSTITUTE(SUBSTITUTE(SUBSTITUTE(SUBSTITUTE(SUBSTITUTE(SUBSTITUTE(SUBSTITUTE(SUBSTITUTE($AA473," ",""),"　",""),"(주)",""),"（주）",""),"㈜",""),"주식회사",""),"(유)",""),"（유）",""),"유한회사",""))</f>
        <v/>
      </c>
      <c r="AC473" s="31">
        <f>IF(OR($Y473="",N($Z473)&lt;=0,$AB473=""),0,IFERROR(LOOKUP(2,1/((거래처별!$AC$8:$AC$307&lt;&gt;"")*ISNUMBER(SEARCH(거래처별!$AC$8:$AC$307,$AB473))),거래처별!$A$8:$A$307),IFERROR(LOOKUP(2,1/((거래처별!$AD$8:$AD$307&lt;&gt;"")*ISNUMBER(SEARCH(거래처별!$AD$8:$AD$307,$AB473))),거래처별!$A$8:$A$307),IFERROR(LOOKUP(2,1/((거래처별!$AE$8:$AE$307&lt;&gt;"")*ISNUMBER(SEARCH(거래처별!$AE$8:$AE$307,$AB473))),거래처별!$A$8:$A$307),0))))</f>
        <v/>
      </c>
      <c r="AD473" s="31">
        <f>IF(AND($Y473&lt;&gt;"",N($Z473)&gt;0,$AC473=0),MAX($AD$7:$AD472)+1,"")</f>
        <v/>
      </c>
      <c r="AE473" s="31">
        <f>IF($Y473="",0,$Y473)</f>
        <v/>
      </c>
    </row>
    <row r="474">
      <c r="W474" s="31">
        <f>IF(OR($B$5="",$C$6="",ROW()&lt;$B$5),"",IF(INDEX($A:$U,ROW(),$C$6)="","",INDEX($A:$U,ROW(),$C$6)))</f>
        <v/>
      </c>
      <c r="X474" s="32">
        <f>IF($W474="","",IF(ISNUMBER($W474),IF($W474&gt;=10000000,IFERROR(DATE(INT($W474/10000),MOD(INT($W474/100),100),MOD($W474,100)),""),INT($W474)),IFERROR(DATE(--LEFT(LEFT(SUBSTITUTE(SUBSTITUTE(SUBSTITUTE(SUBSTITUTE(TRIM($W474),"-",""),".",""),"/","")," ",""),8),4),--MID(LEFT(SUBSTITUTE(SUBSTITUTE(SUBSTITUTE(SUBSTITUTE(TRIM($W474),"-",""),".",""),"/","")," ",""),8),5,2),--MID(LEFT(SUBSTITUTE(SUBSTITUTE(SUBSTITUTE(SUBSTITUTE(TRIM($W474),"-",""),".",""),"/","")," ",""),8),7,2)),"")))</f>
        <v/>
      </c>
      <c r="Y474" s="32">
        <f>IF($X474="","",INT($X474))</f>
        <v/>
      </c>
      <c r="Z474" s="33">
        <f>IF(OR($Y474="",$D$6=""),"",IF(INDEX($A:$U,ROW(),$D$6)="",0,IF(ISNUMBER(INDEX($A:$U,ROW(),$D$6)),INDEX($A:$U,ROW(),$D$6),IFERROR(--SUBSTITUTE(SUBSTITUTE(TRIM(INDEX($A:$U,ROW(),$D$6)),",",""),"원",""),0))))</f>
        <v/>
      </c>
      <c r="AA474" s="31">
        <f>IF($Y474="","",TRIM(INDEX($A:$U,ROW(),$E$6)&amp;IF($F$6="",""," "&amp;INDEX($A:$U,ROW(),$F$6))))</f>
        <v/>
      </c>
      <c r="AB474" s="31">
        <f>IF($AA474="","",SUBSTITUTE(SUBSTITUTE(SUBSTITUTE(SUBSTITUTE(SUBSTITUTE(SUBSTITUTE(SUBSTITUTE(SUBSTITUTE(SUBSTITUTE($AA474," ",""),"　",""),"(주)",""),"（주）",""),"㈜",""),"주식회사",""),"(유)",""),"（유）",""),"유한회사",""))</f>
        <v/>
      </c>
      <c r="AC474" s="31">
        <f>IF(OR($Y474="",N($Z474)&lt;=0,$AB474=""),0,IFERROR(LOOKUP(2,1/((거래처별!$AC$8:$AC$307&lt;&gt;"")*ISNUMBER(SEARCH(거래처별!$AC$8:$AC$307,$AB474))),거래처별!$A$8:$A$307),IFERROR(LOOKUP(2,1/((거래처별!$AD$8:$AD$307&lt;&gt;"")*ISNUMBER(SEARCH(거래처별!$AD$8:$AD$307,$AB474))),거래처별!$A$8:$A$307),IFERROR(LOOKUP(2,1/((거래처별!$AE$8:$AE$307&lt;&gt;"")*ISNUMBER(SEARCH(거래처별!$AE$8:$AE$307,$AB474))),거래처별!$A$8:$A$307),0))))</f>
        <v/>
      </c>
      <c r="AD474" s="31">
        <f>IF(AND($Y474&lt;&gt;"",N($Z474)&gt;0,$AC474=0),MAX($AD$7:$AD473)+1,"")</f>
        <v/>
      </c>
      <c r="AE474" s="31">
        <f>IF($Y474="",0,$Y474)</f>
        <v/>
      </c>
    </row>
    <row r="475">
      <c r="W475" s="31">
        <f>IF(OR($B$5="",$C$6="",ROW()&lt;$B$5),"",IF(INDEX($A:$U,ROW(),$C$6)="","",INDEX($A:$U,ROW(),$C$6)))</f>
        <v/>
      </c>
      <c r="X475" s="32">
        <f>IF($W475="","",IF(ISNUMBER($W475),IF($W475&gt;=10000000,IFERROR(DATE(INT($W475/10000),MOD(INT($W475/100),100),MOD($W475,100)),""),INT($W475)),IFERROR(DATE(--LEFT(LEFT(SUBSTITUTE(SUBSTITUTE(SUBSTITUTE(SUBSTITUTE(TRIM($W475),"-",""),".",""),"/","")," ",""),8),4),--MID(LEFT(SUBSTITUTE(SUBSTITUTE(SUBSTITUTE(SUBSTITUTE(TRIM($W475),"-",""),".",""),"/","")," ",""),8),5,2),--MID(LEFT(SUBSTITUTE(SUBSTITUTE(SUBSTITUTE(SUBSTITUTE(TRIM($W475),"-",""),".",""),"/","")," ",""),8),7,2)),"")))</f>
        <v/>
      </c>
      <c r="Y475" s="32">
        <f>IF($X475="","",INT($X475))</f>
        <v/>
      </c>
      <c r="Z475" s="33">
        <f>IF(OR($Y475="",$D$6=""),"",IF(INDEX($A:$U,ROW(),$D$6)="",0,IF(ISNUMBER(INDEX($A:$U,ROW(),$D$6)),INDEX($A:$U,ROW(),$D$6),IFERROR(--SUBSTITUTE(SUBSTITUTE(TRIM(INDEX($A:$U,ROW(),$D$6)),",",""),"원",""),0))))</f>
        <v/>
      </c>
      <c r="AA475" s="31">
        <f>IF($Y475="","",TRIM(INDEX($A:$U,ROW(),$E$6)&amp;IF($F$6="",""," "&amp;INDEX($A:$U,ROW(),$F$6))))</f>
        <v/>
      </c>
      <c r="AB475" s="31">
        <f>IF($AA475="","",SUBSTITUTE(SUBSTITUTE(SUBSTITUTE(SUBSTITUTE(SUBSTITUTE(SUBSTITUTE(SUBSTITUTE(SUBSTITUTE(SUBSTITUTE($AA475," ",""),"　",""),"(주)",""),"（주）",""),"㈜",""),"주식회사",""),"(유)",""),"（유）",""),"유한회사",""))</f>
        <v/>
      </c>
      <c r="AC475" s="31">
        <f>IF(OR($Y475="",N($Z475)&lt;=0,$AB475=""),0,IFERROR(LOOKUP(2,1/((거래처별!$AC$8:$AC$307&lt;&gt;"")*ISNUMBER(SEARCH(거래처별!$AC$8:$AC$307,$AB475))),거래처별!$A$8:$A$307),IFERROR(LOOKUP(2,1/((거래처별!$AD$8:$AD$307&lt;&gt;"")*ISNUMBER(SEARCH(거래처별!$AD$8:$AD$307,$AB475))),거래처별!$A$8:$A$307),IFERROR(LOOKUP(2,1/((거래처별!$AE$8:$AE$307&lt;&gt;"")*ISNUMBER(SEARCH(거래처별!$AE$8:$AE$307,$AB475))),거래처별!$A$8:$A$307),0))))</f>
        <v/>
      </c>
      <c r="AD475" s="31">
        <f>IF(AND($Y475&lt;&gt;"",N($Z475)&gt;0,$AC475=0),MAX($AD$7:$AD474)+1,"")</f>
        <v/>
      </c>
      <c r="AE475" s="31">
        <f>IF($Y475="",0,$Y475)</f>
        <v/>
      </c>
    </row>
    <row r="476">
      <c r="W476" s="31">
        <f>IF(OR($B$5="",$C$6="",ROW()&lt;$B$5),"",IF(INDEX($A:$U,ROW(),$C$6)="","",INDEX($A:$U,ROW(),$C$6)))</f>
        <v/>
      </c>
      <c r="X476" s="32">
        <f>IF($W476="","",IF(ISNUMBER($W476),IF($W476&gt;=10000000,IFERROR(DATE(INT($W476/10000),MOD(INT($W476/100),100),MOD($W476,100)),""),INT($W476)),IFERROR(DATE(--LEFT(LEFT(SUBSTITUTE(SUBSTITUTE(SUBSTITUTE(SUBSTITUTE(TRIM($W476),"-",""),".",""),"/","")," ",""),8),4),--MID(LEFT(SUBSTITUTE(SUBSTITUTE(SUBSTITUTE(SUBSTITUTE(TRIM($W476),"-",""),".",""),"/","")," ",""),8),5,2),--MID(LEFT(SUBSTITUTE(SUBSTITUTE(SUBSTITUTE(SUBSTITUTE(TRIM($W476),"-",""),".",""),"/","")," ",""),8),7,2)),"")))</f>
        <v/>
      </c>
      <c r="Y476" s="32">
        <f>IF($X476="","",INT($X476))</f>
        <v/>
      </c>
      <c r="Z476" s="33">
        <f>IF(OR($Y476="",$D$6=""),"",IF(INDEX($A:$U,ROW(),$D$6)="",0,IF(ISNUMBER(INDEX($A:$U,ROW(),$D$6)),INDEX($A:$U,ROW(),$D$6),IFERROR(--SUBSTITUTE(SUBSTITUTE(TRIM(INDEX($A:$U,ROW(),$D$6)),",",""),"원",""),0))))</f>
        <v/>
      </c>
      <c r="AA476" s="31">
        <f>IF($Y476="","",TRIM(INDEX($A:$U,ROW(),$E$6)&amp;IF($F$6="",""," "&amp;INDEX($A:$U,ROW(),$F$6))))</f>
        <v/>
      </c>
      <c r="AB476" s="31">
        <f>IF($AA476="","",SUBSTITUTE(SUBSTITUTE(SUBSTITUTE(SUBSTITUTE(SUBSTITUTE(SUBSTITUTE(SUBSTITUTE(SUBSTITUTE(SUBSTITUTE($AA476," ",""),"　",""),"(주)",""),"（주）",""),"㈜",""),"주식회사",""),"(유)",""),"（유）",""),"유한회사",""))</f>
        <v/>
      </c>
      <c r="AC476" s="31">
        <f>IF(OR($Y476="",N($Z476)&lt;=0,$AB476=""),0,IFERROR(LOOKUP(2,1/((거래처별!$AC$8:$AC$307&lt;&gt;"")*ISNUMBER(SEARCH(거래처별!$AC$8:$AC$307,$AB476))),거래처별!$A$8:$A$307),IFERROR(LOOKUP(2,1/((거래처별!$AD$8:$AD$307&lt;&gt;"")*ISNUMBER(SEARCH(거래처별!$AD$8:$AD$307,$AB476))),거래처별!$A$8:$A$307),IFERROR(LOOKUP(2,1/((거래처별!$AE$8:$AE$307&lt;&gt;"")*ISNUMBER(SEARCH(거래처별!$AE$8:$AE$307,$AB476))),거래처별!$A$8:$A$307),0))))</f>
        <v/>
      </c>
      <c r="AD476" s="31">
        <f>IF(AND($Y476&lt;&gt;"",N($Z476)&gt;0,$AC476=0),MAX($AD$7:$AD475)+1,"")</f>
        <v/>
      </c>
      <c r="AE476" s="31">
        <f>IF($Y476="",0,$Y476)</f>
        <v/>
      </c>
    </row>
    <row r="477">
      <c r="W477" s="31">
        <f>IF(OR($B$5="",$C$6="",ROW()&lt;$B$5),"",IF(INDEX($A:$U,ROW(),$C$6)="","",INDEX($A:$U,ROW(),$C$6)))</f>
        <v/>
      </c>
      <c r="X477" s="32">
        <f>IF($W477="","",IF(ISNUMBER($W477),IF($W477&gt;=10000000,IFERROR(DATE(INT($W477/10000),MOD(INT($W477/100),100),MOD($W477,100)),""),INT($W477)),IFERROR(DATE(--LEFT(LEFT(SUBSTITUTE(SUBSTITUTE(SUBSTITUTE(SUBSTITUTE(TRIM($W477),"-",""),".",""),"/","")," ",""),8),4),--MID(LEFT(SUBSTITUTE(SUBSTITUTE(SUBSTITUTE(SUBSTITUTE(TRIM($W477),"-",""),".",""),"/","")," ",""),8),5,2),--MID(LEFT(SUBSTITUTE(SUBSTITUTE(SUBSTITUTE(SUBSTITUTE(TRIM($W477),"-",""),".",""),"/","")," ",""),8),7,2)),"")))</f>
        <v/>
      </c>
      <c r="Y477" s="32">
        <f>IF($X477="","",INT($X477))</f>
        <v/>
      </c>
      <c r="Z477" s="33">
        <f>IF(OR($Y477="",$D$6=""),"",IF(INDEX($A:$U,ROW(),$D$6)="",0,IF(ISNUMBER(INDEX($A:$U,ROW(),$D$6)),INDEX($A:$U,ROW(),$D$6),IFERROR(--SUBSTITUTE(SUBSTITUTE(TRIM(INDEX($A:$U,ROW(),$D$6)),",",""),"원",""),0))))</f>
        <v/>
      </c>
      <c r="AA477" s="31">
        <f>IF($Y477="","",TRIM(INDEX($A:$U,ROW(),$E$6)&amp;IF($F$6="",""," "&amp;INDEX($A:$U,ROW(),$F$6))))</f>
        <v/>
      </c>
      <c r="AB477" s="31">
        <f>IF($AA477="","",SUBSTITUTE(SUBSTITUTE(SUBSTITUTE(SUBSTITUTE(SUBSTITUTE(SUBSTITUTE(SUBSTITUTE(SUBSTITUTE(SUBSTITUTE($AA477," ",""),"　",""),"(주)",""),"（주）",""),"㈜",""),"주식회사",""),"(유)",""),"（유）",""),"유한회사",""))</f>
        <v/>
      </c>
      <c r="AC477" s="31">
        <f>IF(OR($Y477="",N($Z477)&lt;=0,$AB477=""),0,IFERROR(LOOKUP(2,1/((거래처별!$AC$8:$AC$307&lt;&gt;"")*ISNUMBER(SEARCH(거래처별!$AC$8:$AC$307,$AB477))),거래처별!$A$8:$A$307),IFERROR(LOOKUP(2,1/((거래처별!$AD$8:$AD$307&lt;&gt;"")*ISNUMBER(SEARCH(거래처별!$AD$8:$AD$307,$AB477))),거래처별!$A$8:$A$307),IFERROR(LOOKUP(2,1/((거래처별!$AE$8:$AE$307&lt;&gt;"")*ISNUMBER(SEARCH(거래처별!$AE$8:$AE$307,$AB477))),거래처별!$A$8:$A$307),0))))</f>
        <v/>
      </c>
      <c r="AD477" s="31">
        <f>IF(AND($Y477&lt;&gt;"",N($Z477)&gt;0,$AC477=0),MAX($AD$7:$AD476)+1,"")</f>
        <v/>
      </c>
      <c r="AE477" s="31">
        <f>IF($Y477="",0,$Y477)</f>
        <v/>
      </c>
    </row>
    <row r="478">
      <c r="W478" s="31">
        <f>IF(OR($B$5="",$C$6="",ROW()&lt;$B$5),"",IF(INDEX($A:$U,ROW(),$C$6)="","",INDEX($A:$U,ROW(),$C$6)))</f>
        <v/>
      </c>
      <c r="X478" s="32">
        <f>IF($W478="","",IF(ISNUMBER($W478),IF($W478&gt;=10000000,IFERROR(DATE(INT($W478/10000),MOD(INT($W478/100),100),MOD($W478,100)),""),INT($W478)),IFERROR(DATE(--LEFT(LEFT(SUBSTITUTE(SUBSTITUTE(SUBSTITUTE(SUBSTITUTE(TRIM($W478),"-",""),".",""),"/","")," ",""),8),4),--MID(LEFT(SUBSTITUTE(SUBSTITUTE(SUBSTITUTE(SUBSTITUTE(TRIM($W478),"-",""),".",""),"/","")," ",""),8),5,2),--MID(LEFT(SUBSTITUTE(SUBSTITUTE(SUBSTITUTE(SUBSTITUTE(TRIM($W478),"-",""),".",""),"/","")," ",""),8),7,2)),"")))</f>
        <v/>
      </c>
      <c r="Y478" s="32">
        <f>IF($X478="","",INT($X478))</f>
        <v/>
      </c>
      <c r="Z478" s="33">
        <f>IF(OR($Y478="",$D$6=""),"",IF(INDEX($A:$U,ROW(),$D$6)="",0,IF(ISNUMBER(INDEX($A:$U,ROW(),$D$6)),INDEX($A:$U,ROW(),$D$6),IFERROR(--SUBSTITUTE(SUBSTITUTE(TRIM(INDEX($A:$U,ROW(),$D$6)),",",""),"원",""),0))))</f>
        <v/>
      </c>
      <c r="AA478" s="31">
        <f>IF($Y478="","",TRIM(INDEX($A:$U,ROW(),$E$6)&amp;IF($F$6="",""," "&amp;INDEX($A:$U,ROW(),$F$6))))</f>
        <v/>
      </c>
      <c r="AB478" s="31">
        <f>IF($AA478="","",SUBSTITUTE(SUBSTITUTE(SUBSTITUTE(SUBSTITUTE(SUBSTITUTE(SUBSTITUTE(SUBSTITUTE(SUBSTITUTE(SUBSTITUTE($AA478," ",""),"　",""),"(주)",""),"（주）",""),"㈜",""),"주식회사",""),"(유)",""),"（유）",""),"유한회사",""))</f>
        <v/>
      </c>
      <c r="AC478" s="31">
        <f>IF(OR($Y478="",N($Z478)&lt;=0,$AB478=""),0,IFERROR(LOOKUP(2,1/((거래처별!$AC$8:$AC$307&lt;&gt;"")*ISNUMBER(SEARCH(거래처별!$AC$8:$AC$307,$AB478))),거래처별!$A$8:$A$307),IFERROR(LOOKUP(2,1/((거래처별!$AD$8:$AD$307&lt;&gt;"")*ISNUMBER(SEARCH(거래처별!$AD$8:$AD$307,$AB478))),거래처별!$A$8:$A$307),IFERROR(LOOKUP(2,1/((거래처별!$AE$8:$AE$307&lt;&gt;"")*ISNUMBER(SEARCH(거래처별!$AE$8:$AE$307,$AB478))),거래처별!$A$8:$A$307),0))))</f>
        <v/>
      </c>
      <c r="AD478" s="31">
        <f>IF(AND($Y478&lt;&gt;"",N($Z478)&gt;0,$AC478=0),MAX($AD$7:$AD477)+1,"")</f>
        <v/>
      </c>
      <c r="AE478" s="31">
        <f>IF($Y478="",0,$Y478)</f>
        <v/>
      </c>
    </row>
    <row r="479">
      <c r="W479" s="31">
        <f>IF(OR($B$5="",$C$6="",ROW()&lt;$B$5),"",IF(INDEX($A:$U,ROW(),$C$6)="","",INDEX($A:$U,ROW(),$C$6)))</f>
        <v/>
      </c>
      <c r="X479" s="32">
        <f>IF($W479="","",IF(ISNUMBER($W479),IF($W479&gt;=10000000,IFERROR(DATE(INT($W479/10000),MOD(INT($W479/100),100),MOD($W479,100)),""),INT($W479)),IFERROR(DATE(--LEFT(LEFT(SUBSTITUTE(SUBSTITUTE(SUBSTITUTE(SUBSTITUTE(TRIM($W479),"-",""),".",""),"/","")," ",""),8),4),--MID(LEFT(SUBSTITUTE(SUBSTITUTE(SUBSTITUTE(SUBSTITUTE(TRIM($W479),"-",""),".",""),"/","")," ",""),8),5,2),--MID(LEFT(SUBSTITUTE(SUBSTITUTE(SUBSTITUTE(SUBSTITUTE(TRIM($W479),"-",""),".",""),"/","")," ",""),8),7,2)),"")))</f>
        <v/>
      </c>
      <c r="Y479" s="32">
        <f>IF($X479="","",INT($X479))</f>
        <v/>
      </c>
      <c r="Z479" s="33">
        <f>IF(OR($Y479="",$D$6=""),"",IF(INDEX($A:$U,ROW(),$D$6)="",0,IF(ISNUMBER(INDEX($A:$U,ROW(),$D$6)),INDEX($A:$U,ROW(),$D$6),IFERROR(--SUBSTITUTE(SUBSTITUTE(TRIM(INDEX($A:$U,ROW(),$D$6)),",",""),"원",""),0))))</f>
        <v/>
      </c>
      <c r="AA479" s="31">
        <f>IF($Y479="","",TRIM(INDEX($A:$U,ROW(),$E$6)&amp;IF($F$6="",""," "&amp;INDEX($A:$U,ROW(),$F$6))))</f>
        <v/>
      </c>
      <c r="AB479" s="31">
        <f>IF($AA479="","",SUBSTITUTE(SUBSTITUTE(SUBSTITUTE(SUBSTITUTE(SUBSTITUTE(SUBSTITUTE(SUBSTITUTE(SUBSTITUTE(SUBSTITUTE($AA479," ",""),"　",""),"(주)",""),"（주）",""),"㈜",""),"주식회사",""),"(유)",""),"（유）",""),"유한회사",""))</f>
        <v/>
      </c>
      <c r="AC479" s="31">
        <f>IF(OR($Y479="",N($Z479)&lt;=0,$AB479=""),0,IFERROR(LOOKUP(2,1/((거래처별!$AC$8:$AC$307&lt;&gt;"")*ISNUMBER(SEARCH(거래처별!$AC$8:$AC$307,$AB479))),거래처별!$A$8:$A$307),IFERROR(LOOKUP(2,1/((거래처별!$AD$8:$AD$307&lt;&gt;"")*ISNUMBER(SEARCH(거래처별!$AD$8:$AD$307,$AB479))),거래처별!$A$8:$A$307),IFERROR(LOOKUP(2,1/((거래처별!$AE$8:$AE$307&lt;&gt;"")*ISNUMBER(SEARCH(거래처별!$AE$8:$AE$307,$AB479))),거래처별!$A$8:$A$307),0))))</f>
        <v/>
      </c>
      <c r="AD479" s="31">
        <f>IF(AND($Y479&lt;&gt;"",N($Z479)&gt;0,$AC479=0),MAX($AD$7:$AD478)+1,"")</f>
        <v/>
      </c>
      <c r="AE479" s="31">
        <f>IF($Y479="",0,$Y479)</f>
        <v/>
      </c>
    </row>
    <row r="480">
      <c r="W480" s="31">
        <f>IF(OR($B$5="",$C$6="",ROW()&lt;$B$5),"",IF(INDEX($A:$U,ROW(),$C$6)="","",INDEX($A:$U,ROW(),$C$6)))</f>
        <v/>
      </c>
      <c r="X480" s="32">
        <f>IF($W480="","",IF(ISNUMBER($W480),IF($W480&gt;=10000000,IFERROR(DATE(INT($W480/10000),MOD(INT($W480/100),100),MOD($W480,100)),""),INT($W480)),IFERROR(DATE(--LEFT(LEFT(SUBSTITUTE(SUBSTITUTE(SUBSTITUTE(SUBSTITUTE(TRIM($W480),"-",""),".",""),"/","")," ",""),8),4),--MID(LEFT(SUBSTITUTE(SUBSTITUTE(SUBSTITUTE(SUBSTITUTE(TRIM($W480),"-",""),".",""),"/","")," ",""),8),5,2),--MID(LEFT(SUBSTITUTE(SUBSTITUTE(SUBSTITUTE(SUBSTITUTE(TRIM($W480),"-",""),".",""),"/","")," ",""),8),7,2)),"")))</f>
        <v/>
      </c>
      <c r="Y480" s="32">
        <f>IF($X480="","",INT($X480))</f>
        <v/>
      </c>
      <c r="Z480" s="33">
        <f>IF(OR($Y480="",$D$6=""),"",IF(INDEX($A:$U,ROW(),$D$6)="",0,IF(ISNUMBER(INDEX($A:$U,ROW(),$D$6)),INDEX($A:$U,ROW(),$D$6),IFERROR(--SUBSTITUTE(SUBSTITUTE(TRIM(INDEX($A:$U,ROW(),$D$6)),",",""),"원",""),0))))</f>
        <v/>
      </c>
      <c r="AA480" s="31">
        <f>IF($Y480="","",TRIM(INDEX($A:$U,ROW(),$E$6)&amp;IF($F$6="",""," "&amp;INDEX($A:$U,ROW(),$F$6))))</f>
        <v/>
      </c>
      <c r="AB480" s="31">
        <f>IF($AA480="","",SUBSTITUTE(SUBSTITUTE(SUBSTITUTE(SUBSTITUTE(SUBSTITUTE(SUBSTITUTE(SUBSTITUTE(SUBSTITUTE(SUBSTITUTE($AA480," ",""),"　",""),"(주)",""),"（주）",""),"㈜",""),"주식회사",""),"(유)",""),"（유）",""),"유한회사",""))</f>
        <v/>
      </c>
      <c r="AC480" s="31">
        <f>IF(OR($Y480="",N($Z480)&lt;=0,$AB480=""),0,IFERROR(LOOKUP(2,1/((거래처별!$AC$8:$AC$307&lt;&gt;"")*ISNUMBER(SEARCH(거래처별!$AC$8:$AC$307,$AB480))),거래처별!$A$8:$A$307),IFERROR(LOOKUP(2,1/((거래처별!$AD$8:$AD$307&lt;&gt;"")*ISNUMBER(SEARCH(거래처별!$AD$8:$AD$307,$AB480))),거래처별!$A$8:$A$307),IFERROR(LOOKUP(2,1/((거래처별!$AE$8:$AE$307&lt;&gt;"")*ISNUMBER(SEARCH(거래처별!$AE$8:$AE$307,$AB480))),거래처별!$A$8:$A$307),0))))</f>
        <v/>
      </c>
      <c r="AD480" s="31">
        <f>IF(AND($Y480&lt;&gt;"",N($Z480)&gt;0,$AC480=0),MAX($AD$7:$AD479)+1,"")</f>
        <v/>
      </c>
      <c r="AE480" s="31">
        <f>IF($Y480="",0,$Y480)</f>
        <v/>
      </c>
    </row>
    <row r="481">
      <c r="W481" s="31">
        <f>IF(OR($B$5="",$C$6="",ROW()&lt;$B$5),"",IF(INDEX($A:$U,ROW(),$C$6)="","",INDEX($A:$U,ROW(),$C$6)))</f>
        <v/>
      </c>
      <c r="X481" s="32">
        <f>IF($W481="","",IF(ISNUMBER($W481),IF($W481&gt;=10000000,IFERROR(DATE(INT($W481/10000),MOD(INT($W481/100),100),MOD($W481,100)),""),INT($W481)),IFERROR(DATE(--LEFT(LEFT(SUBSTITUTE(SUBSTITUTE(SUBSTITUTE(SUBSTITUTE(TRIM($W481),"-",""),".",""),"/","")," ",""),8),4),--MID(LEFT(SUBSTITUTE(SUBSTITUTE(SUBSTITUTE(SUBSTITUTE(TRIM($W481),"-",""),".",""),"/","")," ",""),8),5,2),--MID(LEFT(SUBSTITUTE(SUBSTITUTE(SUBSTITUTE(SUBSTITUTE(TRIM($W481),"-",""),".",""),"/","")," ",""),8),7,2)),"")))</f>
        <v/>
      </c>
      <c r="Y481" s="32">
        <f>IF($X481="","",INT($X481))</f>
        <v/>
      </c>
      <c r="Z481" s="33">
        <f>IF(OR($Y481="",$D$6=""),"",IF(INDEX($A:$U,ROW(),$D$6)="",0,IF(ISNUMBER(INDEX($A:$U,ROW(),$D$6)),INDEX($A:$U,ROW(),$D$6),IFERROR(--SUBSTITUTE(SUBSTITUTE(TRIM(INDEX($A:$U,ROW(),$D$6)),",",""),"원",""),0))))</f>
        <v/>
      </c>
      <c r="AA481" s="31">
        <f>IF($Y481="","",TRIM(INDEX($A:$U,ROW(),$E$6)&amp;IF($F$6="",""," "&amp;INDEX($A:$U,ROW(),$F$6))))</f>
        <v/>
      </c>
      <c r="AB481" s="31">
        <f>IF($AA481="","",SUBSTITUTE(SUBSTITUTE(SUBSTITUTE(SUBSTITUTE(SUBSTITUTE(SUBSTITUTE(SUBSTITUTE(SUBSTITUTE(SUBSTITUTE($AA481," ",""),"　",""),"(주)",""),"（주）",""),"㈜",""),"주식회사",""),"(유)",""),"（유）",""),"유한회사",""))</f>
        <v/>
      </c>
      <c r="AC481" s="31">
        <f>IF(OR($Y481="",N($Z481)&lt;=0,$AB481=""),0,IFERROR(LOOKUP(2,1/((거래처별!$AC$8:$AC$307&lt;&gt;"")*ISNUMBER(SEARCH(거래처별!$AC$8:$AC$307,$AB481))),거래처별!$A$8:$A$307),IFERROR(LOOKUP(2,1/((거래처별!$AD$8:$AD$307&lt;&gt;"")*ISNUMBER(SEARCH(거래처별!$AD$8:$AD$307,$AB481))),거래처별!$A$8:$A$307),IFERROR(LOOKUP(2,1/((거래처별!$AE$8:$AE$307&lt;&gt;"")*ISNUMBER(SEARCH(거래처별!$AE$8:$AE$307,$AB481))),거래처별!$A$8:$A$307),0))))</f>
        <v/>
      </c>
      <c r="AD481" s="31">
        <f>IF(AND($Y481&lt;&gt;"",N($Z481)&gt;0,$AC481=0),MAX($AD$7:$AD480)+1,"")</f>
        <v/>
      </c>
      <c r="AE481" s="31">
        <f>IF($Y481="",0,$Y481)</f>
        <v/>
      </c>
    </row>
    <row r="482">
      <c r="W482" s="31">
        <f>IF(OR($B$5="",$C$6="",ROW()&lt;$B$5),"",IF(INDEX($A:$U,ROW(),$C$6)="","",INDEX($A:$U,ROW(),$C$6)))</f>
        <v/>
      </c>
      <c r="X482" s="32">
        <f>IF($W482="","",IF(ISNUMBER($W482),IF($W482&gt;=10000000,IFERROR(DATE(INT($W482/10000),MOD(INT($W482/100),100),MOD($W482,100)),""),INT($W482)),IFERROR(DATE(--LEFT(LEFT(SUBSTITUTE(SUBSTITUTE(SUBSTITUTE(SUBSTITUTE(TRIM($W482),"-",""),".",""),"/","")," ",""),8),4),--MID(LEFT(SUBSTITUTE(SUBSTITUTE(SUBSTITUTE(SUBSTITUTE(TRIM($W482),"-",""),".",""),"/","")," ",""),8),5,2),--MID(LEFT(SUBSTITUTE(SUBSTITUTE(SUBSTITUTE(SUBSTITUTE(TRIM($W482),"-",""),".",""),"/","")," ",""),8),7,2)),"")))</f>
        <v/>
      </c>
      <c r="Y482" s="32">
        <f>IF($X482="","",INT($X482))</f>
        <v/>
      </c>
      <c r="Z482" s="33">
        <f>IF(OR($Y482="",$D$6=""),"",IF(INDEX($A:$U,ROW(),$D$6)="",0,IF(ISNUMBER(INDEX($A:$U,ROW(),$D$6)),INDEX($A:$U,ROW(),$D$6),IFERROR(--SUBSTITUTE(SUBSTITUTE(TRIM(INDEX($A:$U,ROW(),$D$6)),",",""),"원",""),0))))</f>
        <v/>
      </c>
      <c r="AA482" s="31">
        <f>IF($Y482="","",TRIM(INDEX($A:$U,ROW(),$E$6)&amp;IF($F$6="",""," "&amp;INDEX($A:$U,ROW(),$F$6))))</f>
        <v/>
      </c>
      <c r="AB482" s="31">
        <f>IF($AA482="","",SUBSTITUTE(SUBSTITUTE(SUBSTITUTE(SUBSTITUTE(SUBSTITUTE(SUBSTITUTE(SUBSTITUTE(SUBSTITUTE(SUBSTITUTE($AA482," ",""),"　",""),"(주)",""),"（주）",""),"㈜",""),"주식회사",""),"(유)",""),"（유）",""),"유한회사",""))</f>
        <v/>
      </c>
      <c r="AC482" s="31">
        <f>IF(OR($Y482="",N($Z482)&lt;=0,$AB482=""),0,IFERROR(LOOKUP(2,1/((거래처별!$AC$8:$AC$307&lt;&gt;"")*ISNUMBER(SEARCH(거래처별!$AC$8:$AC$307,$AB482))),거래처별!$A$8:$A$307),IFERROR(LOOKUP(2,1/((거래처별!$AD$8:$AD$307&lt;&gt;"")*ISNUMBER(SEARCH(거래처별!$AD$8:$AD$307,$AB482))),거래처별!$A$8:$A$307),IFERROR(LOOKUP(2,1/((거래처별!$AE$8:$AE$307&lt;&gt;"")*ISNUMBER(SEARCH(거래처별!$AE$8:$AE$307,$AB482))),거래처별!$A$8:$A$307),0))))</f>
        <v/>
      </c>
      <c r="AD482" s="31">
        <f>IF(AND($Y482&lt;&gt;"",N($Z482)&gt;0,$AC482=0),MAX($AD$7:$AD481)+1,"")</f>
        <v/>
      </c>
      <c r="AE482" s="31">
        <f>IF($Y482="",0,$Y482)</f>
        <v/>
      </c>
    </row>
    <row r="483">
      <c r="W483" s="31">
        <f>IF(OR($B$5="",$C$6="",ROW()&lt;$B$5),"",IF(INDEX($A:$U,ROW(),$C$6)="","",INDEX($A:$U,ROW(),$C$6)))</f>
        <v/>
      </c>
      <c r="X483" s="32">
        <f>IF($W483="","",IF(ISNUMBER($W483),IF($W483&gt;=10000000,IFERROR(DATE(INT($W483/10000),MOD(INT($W483/100),100),MOD($W483,100)),""),INT($W483)),IFERROR(DATE(--LEFT(LEFT(SUBSTITUTE(SUBSTITUTE(SUBSTITUTE(SUBSTITUTE(TRIM($W483),"-",""),".",""),"/","")," ",""),8),4),--MID(LEFT(SUBSTITUTE(SUBSTITUTE(SUBSTITUTE(SUBSTITUTE(TRIM($W483),"-",""),".",""),"/","")," ",""),8),5,2),--MID(LEFT(SUBSTITUTE(SUBSTITUTE(SUBSTITUTE(SUBSTITUTE(TRIM($W483),"-",""),".",""),"/","")," ",""),8),7,2)),"")))</f>
        <v/>
      </c>
      <c r="Y483" s="32">
        <f>IF($X483="","",INT($X483))</f>
        <v/>
      </c>
      <c r="Z483" s="33">
        <f>IF(OR($Y483="",$D$6=""),"",IF(INDEX($A:$U,ROW(),$D$6)="",0,IF(ISNUMBER(INDEX($A:$U,ROW(),$D$6)),INDEX($A:$U,ROW(),$D$6),IFERROR(--SUBSTITUTE(SUBSTITUTE(TRIM(INDEX($A:$U,ROW(),$D$6)),",",""),"원",""),0))))</f>
        <v/>
      </c>
      <c r="AA483" s="31">
        <f>IF($Y483="","",TRIM(INDEX($A:$U,ROW(),$E$6)&amp;IF($F$6="",""," "&amp;INDEX($A:$U,ROW(),$F$6))))</f>
        <v/>
      </c>
      <c r="AB483" s="31">
        <f>IF($AA483="","",SUBSTITUTE(SUBSTITUTE(SUBSTITUTE(SUBSTITUTE(SUBSTITUTE(SUBSTITUTE(SUBSTITUTE(SUBSTITUTE(SUBSTITUTE($AA483," ",""),"　",""),"(주)",""),"（주）",""),"㈜",""),"주식회사",""),"(유)",""),"（유）",""),"유한회사",""))</f>
        <v/>
      </c>
      <c r="AC483" s="31">
        <f>IF(OR($Y483="",N($Z483)&lt;=0,$AB483=""),0,IFERROR(LOOKUP(2,1/((거래처별!$AC$8:$AC$307&lt;&gt;"")*ISNUMBER(SEARCH(거래처별!$AC$8:$AC$307,$AB483))),거래처별!$A$8:$A$307),IFERROR(LOOKUP(2,1/((거래처별!$AD$8:$AD$307&lt;&gt;"")*ISNUMBER(SEARCH(거래처별!$AD$8:$AD$307,$AB483))),거래처별!$A$8:$A$307),IFERROR(LOOKUP(2,1/((거래처별!$AE$8:$AE$307&lt;&gt;"")*ISNUMBER(SEARCH(거래처별!$AE$8:$AE$307,$AB483))),거래처별!$A$8:$A$307),0))))</f>
        <v/>
      </c>
      <c r="AD483" s="31">
        <f>IF(AND($Y483&lt;&gt;"",N($Z483)&gt;0,$AC483=0),MAX($AD$7:$AD482)+1,"")</f>
        <v/>
      </c>
      <c r="AE483" s="31">
        <f>IF($Y483="",0,$Y483)</f>
        <v/>
      </c>
    </row>
    <row r="484">
      <c r="W484" s="31">
        <f>IF(OR($B$5="",$C$6="",ROW()&lt;$B$5),"",IF(INDEX($A:$U,ROW(),$C$6)="","",INDEX($A:$U,ROW(),$C$6)))</f>
        <v/>
      </c>
      <c r="X484" s="32">
        <f>IF($W484="","",IF(ISNUMBER($W484),IF($W484&gt;=10000000,IFERROR(DATE(INT($W484/10000),MOD(INT($W484/100),100),MOD($W484,100)),""),INT($W484)),IFERROR(DATE(--LEFT(LEFT(SUBSTITUTE(SUBSTITUTE(SUBSTITUTE(SUBSTITUTE(TRIM($W484),"-",""),".",""),"/","")," ",""),8),4),--MID(LEFT(SUBSTITUTE(SUBSTITUTE(SUBSTITUTE(SUBSTITUTE(TRIM($W484),"-",""),".",""),"/","")," ",""),8),5,2),--MID(LEFT(SUBSTITUTE(SUBSTITUTE(SUBSTITUTE(SUBSTITUTE(TRIM($W484),"-",""),".",""),"/","")," ",""),8),7,2)),"")))</f>
        <v/>
      </c>
      <c r="Y484" s="32">
        <f>IF($X484="","",INT($X484))</f>
        <v/>
      </c>
      <c r="Z484" s="33">
        <f>IF(OR($Y484="",$D$6=""),"",IF(INDEX($A:$U,ROW(),$D$6)="",0,IF(ISNUMBER(INDEX($A:$U,ROW(),$D$6)),INDEX($A:$U,ROW(),$D$6),IFERROR(--SUBSTITUTE(SUBSTITUTE(TRIM(INDEX($A:$U,ROW(),$D$6)),",",""),"원",""),0))))</f>
        <v/>
      </c>
      <c r="AA484" s="31">
        <f>IF($Y484="","",TRIM(INDEX($A:$U,ROW(),$E$6)&amp;IF($F$6="",""," "&amp;INDEX($A:$U,ROW(),$F$6))))</f>
        <v/>
      </c>
      <c r="AB484" s="31">
        <f>IF($AA484="","",SUBSTITUTE(SUBSTITUTE(SUBSTITUTE(SUBSTITUTE(SUBSTITUTE(SUBSTITUTE(SUBSTITUTE(SUBSTITUTE(SUBSTITUTE($AA484," ",""),"　",""),"(주)",""),"（주）",""),"㈜",""),"주식회사",""),"(유)",""),"（유）",""),"유한회사",""))</f>
        <v/>
      </c>
      <c r="AC484" s="31">
        <f>IF(OR($Y484="",N($Z484)&lt;=0,$AB484=""),0,IFERROR(LOOKUP(2,1/((거래처별!$AC$8:$AC$307&lt;&gt;"")*ISNUMBER(SEARCH(거래처별!$AC$8:$AC$307,$AB484))),거래처별!$A$8:$A$307),IFERROR(LOOKUP(2,1/((거래처별!$AD$8:$AD$307&lt;&gt;"")*ISNUMBER(SEARCH(거래처별!$AD$8:$AD$307,$AB484))),거래처별!$A$8:$A$307),IFERROR(LOOKUP(2,1/((거래처별!$AE$8:$AE$307&lt;&gt;"")*ISNUMBER(SEARCH(거래처별!$AE$8:$AE$307,$AB484))),거래처별!$A$8:$A$307),0))))</f>
        <v/>
      </c>
      <c r="AD484" s="31">
        <f>IF(AND($Y484&lt;&gt;"",N($Z484)&gt;0,$AC484=0),MAX($AD$7:$AD483)+1,"")</f>
        <v/>
      </c>
      <c r="AE484" s="31">
        <f>IF($Y484="",0,$Y484)</f>
        <v/>
      </c>
    </row>
    <row r="485">
      <c r="W485" s="31">
        <f>IF(OR($B$5="",$C$6="",ROW()&lt;$B$5),"",IF(INDEX($A:$U,ROW(),$C$6)="","",INDEX($A:$U,ROW(),$C$6)))</f>
        <v/>
      </c>
      <c r="X485" s="32">
        <f>IF($W485="","",IF(ISNUMBER($W485),IF($W485&gt;=10000000,IFERROR(DATE(INT($W485/10000),MOD(INT($W485/100),100),MOD($W485,100)),""),INT($W485)),IFERROR(DATE(--LEFT(LEFT(SUBSTITUTE(SUBSTITUTE(SUBSTITUTE(SUBSTITUTE(TRIM($W485),"-",""),".",""),"/","")," ",""),8),4),--MID(LEFT(SUBSTITUTE(SUBSTITUTE(SUBSTITUTE(SUBSTITUTE(TRIM($W485),"-",""),".",""),"/","")," ",""),8),5,2),--MID(LEFT(SUBSTITUTE(SUBSTITUTE(SUBSTITUTE(SUBSTITUTE(TRIM($W485),"-",""),".",""),"/","")," ",""),8),7,2)),"")))</f>
        <v/>
      </c>
      <c r="Y485" s="32">
        <f>IF($X485="","",INT($X485))</f>
        <v/>
      </c>
      <c r="Z485" s="33">
        <f>IF(OR($Y485="",$D$6=""),"",IF(INDEX($A:$U,ROW(),$D$6)="",0,IF(ISNUMBER(INDEX($A:$U,ROW(),$D$6)),INDEX($A:$U,ROW(),$D$6),IFERROR(--SUBSTITUTE(SUBSTITUTE(TRIM(INDEX($A:$U,ROW(),$D$6)),",",""),"원",""),0))))</f>
        <v/>
      </c>
      <c r="AA485" s="31">
        <f>IF($Y485="","",TRIM(INDEX($A:$U,ROW(),$E$6)&amp;IF($F$6="",""," "&amp;INDEX($A:$U,ROW(),$F$6))))</f>
        <v/>
      </c>
      <c r="AB485" s="31">
        <f>IF($AA485="","",SUBSTITUTE(SUBSTITUTE(SUBSTITUTE(SUBSTITUTE(SUBSTITUTE(SUBSTITUTE(SUBSTITUTE(SUBSTITUTE(SUBSTITUTE($AA485," ",""),"　",""),"(주)",""),"（주）",""),"㈜",""),"주식회사",""),"(유)",""),"（유）",""),"유한회사",""))</f>
        <v/>
      </c>
      <c r="AC485" s="31">
        <f>IF(OR($Y485="",N($Z485)&lt;=0,$AB485=""),0,IFERROR(LOOKUP(2,1/((거래처별!$AC$8:$AC$307&lt;&gt;"")*ISNUMBER(SEARCH(거래처별!$AC$8:$AC$307,$AB485))),거래처별!$A$8:$A$307),IFERROR(LOOKUP(2,1/((거래처별!$AD$8:$AD$307&lt;&gt;"")*ISNUMBER(SEARCH(거래처별!$AD$8:$AD$307,$AB485))),거래처별!$A$8:$A$307),IFERROR(LOOKUP(2,1/((거래처별!$AE$8:$AE$307&lt;&gt;"")*ISNUMBER(SEARCH(거래처별!$AE$8:$AE$307,$AB485))),거래처별!$A$8:$A$307),0))))</f>
        <v/>
      </c>
      <c r="AD485" s="31">
        <f>IF(AND($Y485&lt;&gt;"",N($Z485)&gt;0,$AC485=0),MAX($AD$7:$AD484)+1,"")</f>
        <v/>
      </c>
      <c r="AE485" s="31">
        <f>IF($Y485="",0,$Y485)</f>
        <v/>
      </c>
    </row>
    <row r="486">
      <c r="W486" s="31">
        <f>IF(OR($B$5="",$C$6="",ROW()&lt;$B$5),"",IF(INDEX($A:$U,ROW(),$C$6)="","",INDEX($A:$U,ROW(),$C$6)))</f>
        <v/>
      </c>
      <c r="X486" s="32">
        <f>IF($W486="","",IF(ISNUMBER($W486),IF($W486&gt;=10000000,IFERROR(DATE(INT($W486/10000),MOD(INT($W486/100),100),MOD($W486,100)),""),INT($W486)),IFERROR(DATE(--LEFT(LEFT(SUBSTITUTE(SUBSTITUTE(SUBSTITUTE(SUBSTITUTE(TRIM($W486),"-",""),".",""),"/","")," ",""),8),4),--MID(LEFT(SUBSTITUTE(SUBSTITUTE(SUBSTITUTE(SUBSTITUTE(TRIM($W486),"-",""),".",""),"/","")," ",""),8),5,2),--MID(LEFT(SUBSTITUTE(SUBSTITUTE(SUBSTITUTE(SUBSTITUTE(TRIM($W486),"-",""),".",""),"/","")," ",""),8),7,2)),"")))</f>
        <v/>
      </c>
      <c r="Y486" s="32">
        <f>IF($X486="","",INT($X486))</f>
        <v/>
      </c>
      <c r="Z486" s="33">
        <f>IF(OR($Y486="",$D$6=""),"",IF(INDEX($A:$U,ROW(),$D$6)="",0,IF(ISNUMBER(INDEX($A:$U,ROW(),$D$6)),INDEX($A:$U,ROW(),$D$6),IFERROR(--SUBSTITUTE(SUBSTITUTE(TRIM(INDEX($A:$U,ROW(),$D$6)),",",""),"원",""),0))))</f>
        <v/>
      </c>
      <c r="AA486" s="31">
        <f>IF($Y486="","",TRIM(INDEX($A:$U,ROW(),$E$6)&amp;IF($F$6="",""," "&amp;INDEX($A:$U,ROW(),$F$6))))</f>
        <v/>
      </c>
      <c r="AB486" s="31">
        <f>IF($AA486="","",SUBSTITUTE(SUBSTITUTE(SUBSTITUTE(SUBSTITUTE(SUBSTITUTE(SUBSTITUTE(SUBSTITUTE(SUBSTITUTE(SUBSTITUTE($AA486," ",""),"　",""),"(주)",""),"（주）",""),"㈜",""),"주식회사",""),"(유)",""),"（유）",""),"유한회사",""))</f>
        <v/>
      </c>
      <c r="AC486" s="31">
        <f>IF(OR($Y486="",N($Z486)&lt;=0,$AB486=""),0,IFERROR(LOOKUP(2,1/((거래처별!$AC$8:$AC$307&lt;&gt;"")*ISNUMBER(SEARCH(거래처별!$AC$8:$AC$307,$AB486))),거래처별!$A$8:$A$307),IFERROR(LOOKUP(2,1/((거래처별!$AD$8:$AD$307&lt;&gt;"")*ISNUMBER(SEARCH(거래처별!$AD$8:$AD$307,$AB486))),거래처별!$A$8:$A$307),IFERROR(LOOKUP(2,1/((거래처별!$AE$8:$AE$307&lt;&gt;"")*ISNUMBER(SEARCH(거래처별!$AE$8:$AE$307,$AB486))),거래처별!$A$8:$A$307),0))))</f>
        <v/>
      </c>
      <c r="AD486" s="31">
        <f>IF(AND($Y486&lt;&gt;"",N($Z486)&gt;0,$AC486=0),MAX($AD$7:$AD485)+1,"")</f>
        <v/>
      </c>
      <c r="AE486" s="31">
        <f>IF($Y486="",0,$Y486)</f>
        <v/>
      </c>
    </row>
    <row r="487">
      <c r="W487" s="31">
        <f>IF(OR($B$5="",$C$6="",ROW()&lt;$B$5),"",IF(INDEX($A:$U,ROW(),$C$6)="","",INDEX($A:$U,ROW(),$C$6)))</f>
        <v/>
      </c>
      <c r="X487" s="32">
        <f>IF($W487="","",IF(ISNUMBER($W487),IF($W487&gt;=10000000,IFERROR(DATE(INT($W487/10000),MOD(INT($W487/100),100),MOD($W487,100)),""),INT($W487)),IFERROR(DATE(--LEFT(LEFT(SUBSTITUTE(SUBSTITUTE(SUBSTITUTE(SUBSTITUTE(TRIM($W487),"-",""),".",""),"/","")," ",""),8),4),--MID(LEFT(SUBSTITUTE(SUBSTITUTE(SUBSTITUTE(SUBSTITUTE(TRIM($W487),"-",""),".",""),"/","")," ",""),8),5,2),--MID(LEFT(SUBSTITUTE(SUBSTITUTE(SUBSTITUTE(SUBSTITUTE(TRIM($W487),"-",""),".",""),"/","")," ",""),8),7,2)),"")))</f>
        <v/>
      </c>
      <c r="Y487" s="32">
        <f>IF($X487="","",INT($X487))</f>
        <v/>
      </c>
      <c r="Z487" s="33">
        <f>IF(OR($Y487="",$D$6=""),"",IF(INDEX($A:$U,ROW(),$D$6)="",0,IF(ISNUMBER(INDEX($A:$U,ROW(),$D$6)),INDEX($A:$U,ROW(),$D$6),IFERROR(--SUBSTITUTE(SUBSTITUTE(TRIM(INDEX($A:$U,ROW(),$D$6)),",",""),"원",""),0))))</f>
        <v/>
      </c>
      <c r="AA487" s="31">
        <f>IF($Y487="","",TRIM(INDEX($A:$U,ROW(),$E$6)&amp;IF($F$6="",""," "&amp;INDEX($A:$U,ROW(),$F$6))))</f>
        <v/>
      </c>
      <c r="AB487" s="31">
        <f>IF($AA487="","",SUBSTITUTE(SUBSTITUTE(SUBSTITUTE(SUBSTITUTE(SUBSTITUTE(SUBSTITUTE(SUBSTITUTE(SUBSTITUTE(SUBSTITUTE($AA487," ",""),"　",""),"(주)",""),"（주）",""),"㈜",""),"주식회사",""),"(유)",""),"（유）",""),"유한회사",""))</f>
        <v/>
      </c>
      <c r="AC487" s="31">
        <f>IF(OR($Y487="",N($Z487)&lt;=0,$AB487=""),0,IFERROR(LOOKUP(2,1/((거래처별!$AC$8:$AC$307&lt;&gt;"")*ISNUMBER(SEARCH(거래처별!$AC$8:$AC$307,$AB487))),거래처별!$A$8:$A$307),IFERROR(LOOKUP(2,1/((거래처별!$AD$8:$AD$307&lt;&gt;"")*ISNUMBER(SEARCH(거래처별!$AD$8:$AD$307,$AB487))),거래처별!$A$8:$A$307),IFERROR(LOOKUP(2,1/((거래처별!$AE$8:$AE$307&lt;&gt;"")*ISNUMBER(SEARCH(거래처별!$AE$8:$AE$307,$AB487))),거래처별!$A$8:$A$307),0))))</f>
        <v/>
      </c>
      <c r="AD487" s="31">
        <f>IF(AND($Y487&lt;&gt;"",N($Z487)&gt;0,$AC487=0),MAX($AD$7:$AD486)+1,"")</f>
        <v/>
      </c>
      <c r="AE487" s="31">
        <f>IF($Y487="",0,$Y487)</f>
        <v/>
      </c>
    </row>
    <row r="488">
      <c r="W488" s="31">
        <f>IF(OR($B$5="",$C$6="",ROW()&lt;$B$5),"",IF(INDEX($A:$U,ROW(),$C$6)="","",INDEX($A:$U,ROW(),$C$6)))</f>
        <v/>
      </c>
      <c r="X488" s="32">
        <f>IF($W488="","",IF(ISNUMBER($W488),IF($W488&gt;=10000000,IFERROR(DATE(INT($W488/10000),MOD(INT($W488/100),100),MOD($W488,100)),""),INT($W488)),IFERROR(DATE(--LEFT(LEFT(SUBSTITUTE(SUBSTITUTE(SUBSTITUTE(SUBSTITUTE(TRIM($W488),"-",""),".",""),"/","")," ",""),8),4),--MID(LEFT(SUBSTITUTE(SUBSTITUTE(SUBSTITUTE(SUBSTITUTE(TRIM($W488),"-",""),".",""),"/","")," ",""),8),5,2),--MID(LEFT(SUBSTITUTE(SUBSTITUTE(SUBSTITUTE(SUBSTITUTE(TRIM($W488),"-",""),".",""),"/","")," ",""),8),7,2)),"")))</f>
        <v/>
      </c>
      <c r="Y488" s="32">
        <f>IF($X488="","",INT($X488))</f>
        <v/>
      </c>
      <c r="Z488" s="33">
        <f>IF(OR($Y488="",$D$6=""),"",IF(INDEX($A:$U,ROW(),$D$6)="",0,IF(ISNUMBER(INDEX($A:$U,ROW(),$D$6)),INDEX($A:$U,ROW(),$D$6),IFERROR(--SUBSTITUTE(SUBSTITUTE(TRIM(INDEX($A:$U,ROW(),$D$6)),",",""),"원",""),0))))</f>
        <v/>
      </c>
      <c r="AA488" s="31">
        <f>IF($Y488="","",TRIM(INDEX($A:$U,ROW(),$E$6)&amp;IF($F$6="",""," "&amp;INDEX($A:$U,ROW(),$F$6))))</f>
        <v/>
      </c>
      <c r="AB488" s="31">
        <f>IF($AA488="","",SUBSTITUTE(SUBSTITUTE(SUBSTITUTE(SUBSTITUTE(SUBSTITUTE(SUBSTITUTE(SUBSTITUTE(SUBSTITUTE(SUBSTITUTE($AA488," ",""),"　",""),"(주)",""),"（주）",""),"㈜",""),"주식회사",""),"(유)",""),"（유）",""),"유한회사",""))</f>
        <v/>
      </c>
      <c r="AC488" s="31">
        <f>IF(OR($Y488="",N($Z488)&lt;=0,$AB488=""),0,IFERROR(LOOKUP(2,1/((거래처별!$AC$8:$AC$307&lt;&gt;"")*ISNUMBER(SEARCH(거래처별!$AC$8:$AC$307,$AB488))),거래처별!$A$8:$A$307),IFERROR(LOOKUP(2,1/((거래처별!$AD$8:$AD$307&lt;&gt;"")*ISNUMBER(SEARCH(거래처별!$AD$8:$AD$307,$AB488))),거래처별!$A$8:$A$307),IFERROR(LOOKUP(2,1/((거래처별!$AE$8:$AE$307&lt;&gt;"")*ISNUMBER(SEARCH(거래처별!$AE$8:$AE$307,$AB488))),거래처별!$A$8:$A$307),0))))</f>
        <v/>
      </c>
      <c r="AD488" s="31">
        <f>IF(AND($Y488&lt;&gt;"",N($Z488)&gt;0,$AC488=0),MAX($AD$7:$AD487)+1,"")</f>
        <v/>
      </c>
      <c r="AE488" s="31">
        <f>IF($Y488="",0,$Y488)</f>
        <v/>
      </c>
    </row>
    <row r="489">
      <c r="W489" s="31">
        <f>IF(OR($B$5="",$C$6="",ROW()&lt;$B$5),"",IF(INDEX($A:$U,ROW(),$C$6)="","",INDEX($A:$U,ROW(),$C$6)))</f>
        <v/>
      </c>
      <c r="X489" s="32">
        <f>IF($W489="","",IF(ISNUMBER($W489),IF($W489&gt;=10000000,IFERROR(DATE(INT($W489/10000),MOD(INT($W489/100),100),MOD($W489,100)),""),INT($W489)),IFERROR(DATE(--LEFT(LEFT(SUBSTITUTE(SUBSTITUTE(SUBSTITUTE(SUBSTITUTE(TRIM($W489),"-",""),".",""),"/","")," ",""),8),4),--MID(LEFT(SUBSTITUTE(SUBSTITUTE(SUBSTITUTE(SUBSTITUTE(TRIM($W489),"-",""),".",""),"/","")," ",""),8),5,2),--MID(LEFT(SUBSTITUTE(SUBSTITUTE(SUBSTITUTE(SUBSTITUTE(TRIM($W489),"-",""),".",""),"/","")," ",""),8),7,2)),"")))</f>
        <v/>
      </c>
      <c r="Y489" s="32">
        <f>IF($X489="","",INT($X489))</f>
        <v/>
      </c>
      <c r="Z489" s="33">
        <f>IF(OR($Y489="",$D$6=""),"",IF(INDEX($A:$U,ROW(),$D$6)="",0,IF(ISNUMBER(INDEX($A:$U,ROW(),$D$6)),INDEX($A:$U,ROW(),$D$6),IFERROR(--SUBSTITUTE(SUBSTITUTE(TRIM(INDEX($A:$U,ROW(),$D$6)),",",""),"원",""),0))))</f>
        <v/>
      </c>
      <c r="AA489" s="31">
        <f>IF($Y489="","",TRIM(INDEX($A:$U,ROW(),$E$6)&amp;IF($F$6="",""," "&amp;INDEX($A:$U,ROW(),$F$6))))</f>
        <v/>
      </c>
      <c r="AB489" s="31">
        <f>IF($AA489="","",SUBSTITUTE(SUBSTITUTE(SUBSTITUTE(SUBSTITUTE(SUBSTITUTE(SUBSTITUTE(SUBSTITUTE(SUBSTITUTE(SUBSTITUTE($AA489," ",""),"　",""),"(주)",""),"（주）",""),"㈜",""),"주식회사",""),"(유)",""),"（유）",""),"유한회사",""))</f>
        <v/>
      </c>
      <c r="AC489" s="31">
        <f>IF(OR($Y489="",N($Z489)&lt;=0,$AB489=""),0,IFERROR(LOOKUP(2,1/((거래처별!$AC$8:$AC$307&lt;&gt;"")*ISNUMBER(SEARCH(거래처별!$AC$8:$AC$307,$AB489))),거래처별!$A$8:$A$307),IFERROR(LOOKUP(2,1/((거래처별!$AD$8:$AD$307&lt;&gt;"")*ISNUMBER(SEARCH(거래처별!$AD$8:$AD$307,$AB489))),거래처별!$A$8:$A$307),IFERROR(LOOKUP(2,1/((거래처별!$AE$8:$AE$307&lt;&gt;"")*ISNUMBER(SEARCH(거래처별!$AE$8:$AE$307,$AB489))),거래처별!$A$8:$A$307),0))))</f>
        <v/>
      </c>
      <c r="AD489" s="31">
        <f>IF(AND($Y489&lt;&gt;"",N($Z489)&gt;0,$AC489=0),MAX($AD$7:$AD488)+1,"")</f>
        <v/>
      </c>
      <c r="AE489" s="31">
        <f>IF($Y489="",0,$Y489)</f>
        <v/>
      </c>
    </row>
    <row r="490">
      <c r="W490" s="31">
        <f>IF(OR($B$5="",$C$6="",ROW()&lt;$B$5),"",IF(INDEX($A:$U,ROW(),$C$6)="","",INDEX($A:$U,ROW(),$C$6)))</f>
        <v/>
      </c>
      <c r="X490" s="32">
        <f>IF($W490="","",IF(ISNUMBER($W490),IF($W490&gt;=10000000,IFERROR(DATE(INT($W490/10000),MOD(INT($W490/100),100),MOD($W490,100)),""),INT($W490)),IFERROR(DATE(--LEFT(LEFT(SUBSTITUTE(SUBSTITUTE(SUBSTITUTE(SUBSTITUTE(TRIM($W490),"-",""),".",""),"/","")," ",""),8),4),--MID(LEFT(SUBSTITUTE(SUBSTITUTE(SUBSTITUTE(SUBSTITUTE(TRIM($W490),"-",""),".",""),"/","")," ",""),8),5,2),--MID(LEFT(SUBSTITUTE(SUBSTITUTE(SUBSTITUTE(SUBSTITUTE(TRIM($W490),"-",""),".",""),"/","")," ",""),8),7,2)),"")))</f>
        <v/>
      </c>
      <c r="Y490" s="32">
        <f>IF($X490="","",INT($X490))</f>
        <v/>
      </c>
      <c r="Z490" s="33">
        <f>IF(OR($Y490="",$D$6=""),"",IF(INDEX($A:$U,ROW(),$D$6)="",0,IF(ISNUMBER(INDEX($A:$U,ROW(),$D$6)),INDEX($A:$U,ROW(),$D$6),IFERROR(--SUBSTITUTE(SUBSTITUTE(TRIM(INDEX($A:$U,ROW(),$D$6)),",",""),"원",""),0))))</f>
        <v/>
      </c>
      <c r="AA490" s="31">
        <f>IF($Y490="","",TRIM(INDEX($A:$U,ROW(),$E$6)&amp;IF($F$6="",""," "&amp;INDEX($A:$U,ROW(),$F$6))))</f>
        <v/>
      </c>
      <c r="AB490" s="31">
        <f>IF($AA490="","",SUBSTITUTE(SUBSTITUTE(SUBSTITUTE(SUBSTITUTE(SUBSTITUTE(SUBSTITUTE(SUBSTITUTE(SUBSTITUTE(SUBSTITUTE($AA490," ",""),"　",""),"(주)",""),"（주）",""),"㈜",""),"주식회사",""),"(유)",""),"（유）",""),"유한회사",""))</f>
        <v/>
      </c>
      <c r="AC490" s="31">
        <f>IF(OR($Y490="",N($Z490)&lt;=0,$AB490=""),0,IFERROR(LOOKUP(2,1/((거래처별!$AC$8:$AC$307&lt;&gt;"")*ISNUMBER(SEARCH(거래처별!$AC$8:$AC$307,$AB490))),거래처별!$A$8:$A$307),IFERROR(LOOKUP(2,1/((거래처별!$AD$8:$AD$307&lt;&gt;"")*ISNUMBER(SEARCH(거래처별!$AD$8:$AD$307,$AB490))),거래처별!$A$8:$A$307),IFERROR(LOOKUP(2,1/((거래처별!$AE$8:$AE$307&lt;&gt;"")*ISNUMBER(SEARCH(거래처별!$AE$8:$AE$307,$AB490))),거래처별!$A$8:$A$307),0))))</f>
        <v/>
      </c>
      <c r="AD490" s="31">
        <f>IF(AND($Y490&lt;&gt;"",N($Z490)&gt;0,$AC490=0),MAX($AD$7:$AD489)+1,"")</f>
        <v/>
      </c>
      <c r="AE490" s="31">
        <f>IF($Y490="",0,$Y490)</f>
        <v/>
      </c>
    </row>
    <row r="491">
      <c r="W491" s="31">
        <f>IF(OR($B$5="",$C$6="",ROW()&lt;$B$5),"",IF(INDEX($A:$U,ROW(),$C$6)="","",INDEX($A:$U,ROW(),$C$6)))</f>
        <v/>
      </c>
      <c r="X491" s="32">
        <f>IF($W491="","",IF(ISNUMBER($W491),IF($W491&gt;=10000000,IFERROR(DATE(INT($W491/10000),MOD(INT($W491/100),100),MOD($W491,100)),""),INT($W491)),IFERROR(DATE(--LEFT(LEFT(SUBSTITUTE(SUBSTITUTE(SUBSTITUTE(SUBSTITUTE(TRIM($W491),"-",""),".",""),"/","")," ",""),8),4),--MID(LEFT(SUBSTITUTE(SUBSTITUTE(SUBSTITUTE(SUBSTITUTE(TRIM($W491),"-",""),".",""),"/","")," ",""),8),5,2),--MID(LEFT(SUBSTITUTE(SUBSTITUTE(SUBSTITUTE(SUBSTITUTE(TRIM($W491),"-",""),".",""),"/","")," ",""),8),7,2)),"")))</f>
        <v/>
      </c>
      <c r="Y491" s="32">
        <f>IF($X491="","",INT($X491))</f>
        <v/>
      </c>
      <c r="Z491" s="33">
        <f>IF(OR($Y491="",$D$6=""),"",IF(INDEX($A:$U,ROW(),$D$6)="",0,IF(ISNUMBER(INDEX($A:$U,ROW(),$D$6)),INDEX($A:$U,ROW(),$D$6),IFERROR(--SUBSTITUTE(SUBSTITUTE(TRIM(INDEX($A:$U,ROW(),$D$6)),",",""),"원",""),0))))</f>
        <v/>
      </c>
      <c r="AA491" s="31">
        <f>IF($Y491="","",TRIM(INDEX($A:$U,ROW(),$E$6)&amp;IF($F$6="",""," "&amp;INDEX($A:$U,ROW(),$F$6))))</f>
        <v/>
      </c>
      <c r="AB491" s="31">
        <f>IF($AA491="","",SUBSTITUTE(SUBSTITUTE(SUBSTITUTE(SUBSTITUTE(SUBSTITUTE(SUBSTITUTE(SUBSTITUTE(SUBSTITUTE(SUBSTITUTE($AA491," ",""),"　",""),"(주)",""),"（주）",""),"㈜",""),"주식회사",""),"(유)",""),"（유）",""),"유한회사",""))</f>
        <v/>
      </c>
      <c r="AC491" s="31">
        <f>IF(OR($Y491="",N($Z491)&lt;=0,$AB491=""),0,IFERROR(LOOKUP(2,1/((거래처별!$AC$8:$AC$307&lt;&gt;"")*ISNUMBER(SEARCH(거래처별!$AC$8:$AC$307,$AB491))),거래처별!$A$8:$A$307),IFERROR(LOOKUP(2,1/((거래처별!$AD$8:$AD$307&lt;&gt;"")*ISNUMBER(SEARCH(거래처별!$AD$8:$AD$307,$AB491))),거래처별!$A$8:$A$307),IFERROR(LOOKUP(2,1/((거래처별!$AE$8:$AE$307&lt;&gt;"")*ISNUMBER(SEARCH(거래처별!$AE$8:$AE$307,$AB491))),거래처별!$A$8:$A$307),0))))</f>
        <v/>
      </c>
      <c r="AD491" s="31">
        <f>IF(AND($Y491&lt;&gt;"",N($Z491)&gt;0,$AC491=0),MAX($AD$7:$AD490)+1,"")</f>
        <v/>
      </c>
      <c r="AE491" s="31">
        <f>IF($Y491="",0,$Y491)</f>
        <v/>
      </c>
    </row>
    <row r="492">
      <c r="W492" s="31">
        <f>IF(OR($B$5="",$C$6="",ROW()&lt;$B$5),"",IF(INDEX($A:$U,ROW(),$C$6)="","",INDEX($A:$U,ROW(),$C$6)))</f>
        <v/>
      </c>
      <c r="X492" s="32">
        <f>IF($W492="","",IF(ISNUMBER($W492),IF($W492&gt;=10000000,IFERROR(DATE(INT($W492/10000),MOD(INT($W492/100),100),MOD($W492,100)),""),INT($W492)),IFERROR(DATE(--LEFT(LEFT(SUBSTITUTE(SUBSTITUTE(SUBSTITUTE(SUBSTITUTE(TRIM($W492),"-",""),".",""),"/","")," ",""),8),4),--MID(LEFT(SUBSTITUTE(SUBSTITUTE(SUBSTITUTE(SUBSTITUTE(TRIM($W492),"-",""),".",""),"/","")," ",""),8),5,2),--MID(LEFT(SUBSTITUTE(SUBSTITUTE(SUBSTITUTE(SUBSTITUTE(TRIM($W492),"-",""),".",""),"/","")," ",""),8),7,2)),"")))</f>
        <v/>
      </c>
      <c r="Y492" s="32">
        <f>IF($X492="","",INT($X492))</f>
        <v/>
      </c>
      <c r="Z492" s="33">
        <f>IF(OR($Y492="",$D$6=""),"",IF(INDEX($A:$U,ROW(),$D$6)="",0,IF(ISNUMBER(INDEX($A:$U,ROW(),$D$6)),INDEX($A:$U,ROW(),$D$6),IFERROR(--SUBSTITUTE(SUBSTITUTE(TRIM(INDEX($A:$U,ROW(),$D$6)),",",""),"원",""),0))))</f>
        <v/>
      </c>
      <c r="AA492" s="31">
        <f>IF($Y492="","",TRIM(INDEX($A:$U,ROW(),$E$6)&amp;IF($F$6="",""," "&amp;INDEX($A:$U,ROW(),$F$6))))</f>
        <v/>
      </c>
      <c r="AB492" s="31">
        <f>IF($AA492="","",SUBSTITUTE(SUBSTITUTE(SUBSTITUTE(SUBSTITUTE(SUBSTITUTE(SUBSTITUTE(SUBSTITUTE(SUBSTITUTE(SUBSTITUTE($AA492," ",""),"　",""),"(주)",""),"（주）",""),"㈜",""),"주식회사",""),"(유)",""),"（유）",""),"유한회사",""))</f>
        <v/>
      </c>
      <c r="AC492" s="31">
        <f>IF(OR($Y492="",N($Z492)&lt;=0,$AB492=""),0,IFERROR(LOOKUP(2,1/((거래처별!$AC$8:$AC$307&lt;&gt;"")*ISNUMBER(SEARCH(거래처별!$AC$8:$AC$307,$AB492))),거래처별!$A$8:$A$307),IFERROR(LOOKUP(2,1/((거래처별!$AD$8:$AD$307&lt;&gt;"")*ISNUMBER(SEARCH(거래처별!$AD$8:$AD$307,$AB492))),거래처별!$A$8:$A$307),IFERROR(LOOKUP(2,1/((거래처별!$AE$8:$AE$307&lt;&gt;"")*ISNUMBER(SEARCH(거래처별!$AE$8:$AE$307,$AB492))),거래처별!$A$8:$A$307),0))))</f>
        <v/>
      </c>
      <c r="AD492" s="31">
        <f>IF(AND($Y492&lt;&gt;"",N($Z492)&gt;0,$AC492=0),MAX($AD$7:$AD491)+1,"")</f>
        <v/>
      </c>
      <c r="AE492" s="31">
        <f>IF($Y492="",0,$Y492)</f>
        <v/>
      </c>
    </row>
    <row r="493">
      <c r="W493" s="31">
        <f>IF(OR($B$5="",$C$6="",ROW()&lt;$B$5),"",IF(INDEX($A:$U,ROW(),$C$6)="","",INDEX($A:$U,ROW(),$C$6)))</f>
        <v/>
      </c>
      <c r="X493" s="32">
        <f>IF($W493="","",IF(ISNUMBER($W493),IF($W493&gt;=10000000,IFERROR(DATE(INT($W493/10000),MOD(INT($W493/100),100),MOD($W493,100)),""),INT($W493)),IFERROR(DATE(--LEFT(LEFT(SUBSTITUTE(SUBSTITUTE(SUBSTITUTE(SUBSTITUTE(TRIM($W493),"-",""),".",""),"/","")," ",""),8),4),--MID(LEFT(SUBSTITUTE(SUBSTITUTE(SUBSTITUTE(SUBSTITUTE(TRIM($W493),"-",""),".",""),"/","")," ",""),8),5,2),--MID(LEFT(SUBSTITUTE(SUBSTITUTE(SUBSTITUTE(SUBSTITUTE(TRIM($W493),"-",""),".",""),"/","")," ",""),8),7,2)),"")))</f>
        <v/>
      </c>
      <c r="Y493" s="32">
        <f>IF($X493="","",INT($X493))</f>
        <v/>
      </c>
      <c r="Z493" s="33">
        <f>IF(OR($Y493="",$D$6=""),"",IF(INDEX($A:$U,ROW(),$D$6)="",0,IF(ISNUMBER(INDEX($A:$U,ROW(),$D$6)),INDEX($A:$U,ROW(),$D$6),IFERROR(--SUBSTITUTE(SUBSTITUTE(TRIM(INDEX($A:$U,ROW(),$D$6)),",",""),"원",""),0))))</f>
        <v/>
      </c>
      <c r="AA493" s="31">
        <f>IF($Y493="","",TRIM(INDEX($A:$U,ROW(),$E$6)&amp;IF($F$6="",""," "&amp;INDEX($A:$U,ROW(),$F$6))))</f>
        <v/>
      </c>
      <c r="AB493" s="31">
        <f>IF($AA493="","",SUBSTITUTE(SUBSTITUTE(SUBSTITUTE(SUBSTITUTE(SUBSTITUTE(SUBSTITUTE(SUBSTITUTE(SUBSTITUTE(SUBSTITUTE($AA493," ",""),"　",""),"(주)",""),"（주）",""),"㈜",""),"주식회사",""),"(유)",""),"（유）",""),"유한회사",""))</f>
        <v/>
      </c>
      <c r="AC493" s="31">
        <f>IF(OR($Y493="",N($Z493)&lt;=0,$AB493=""),0,IFERROR(LOOKUP(2,1/((거래처별!$AC$8:$AC$307&lt;&gt;"")*ISNUMBER(SEARCH(거래처별!$AC$8:$AC$307,$AB493))),거래처별!$A$8:$A$307),IFERROR(LOOKUP(2,1/((거래처별!$AD$8:$AD$307&lt;&gt;"")*ISNUMBER(SEARCH(거래처별!$AD$8:$AD$307,$AB493))),거래처별!$A$8:$A$307),IFERROR(LOOKUP(2,1/((거래처별!$AE$8:$AE$307&lt;&gt;"")*ISNUMBER(SEARCH(거래처별!$AE$8:$AE$307,$AB493))),거래처별!$A$8:$A$307),0))))</f>
        <v/>
      </c>
      <c r="AD493" s="31">
        <f>IF(AND($Y493&lt;&gt;"",N($Z493)&gt;0,$AC493=0),MAX($AD$7:$AD492)+1,"")</f>
        <v/>
      </c>
      <c r="AE493" s="31">
        <f>IF($Y493="",0,$Y493)</f>
        <v/>
      </c>
    </row>
    <row r="494">
      <c r="W494" s="31">
        <f>IF(OR($B$5="",$C$6="",ROW()&lt;$B$5),"",IF(INDEX($A:$U,ROW(),$C$6)="","",INDEX($A:$U,ROW(),$C$6)))</f>
        <v/>
      </c>
      <c r="X494" s="32">
        <f>IF($W494="","",IF(ISNUMBER($W494),IF($W494&gt;=10000000,IFERROR(DATE(INT($W494/10000),MOD(INT($W494/100),100),MOD($W494,100)),""),INT($W494)),IFERROR(DATE(--LEFT(LEFT(SUBSTITUTE(SUBSTITUTE(SUBSTITUTE(SUBSTITUTE(TRIM($W494),"-",""),".",""),"/","")," ",""),8),4),--MID(LEFT(SUBSTITUTE(SUBSTITUTE(SUBSTITUTE(SUBSTITUTE(TRIM($W494),"-",""),".",""),"/","")," ",""),8),5,2),--MID(LEFT(SUBSTITUTE(SUBSTITUTE(SUBSTITUTE(SUBSTITUTE(TRIM($W494),"-",""),".",""),"/","")," ",""),8),7,2)),"")))</f>
        <v/>
      </c>
      <c r="Y494" s="32">
        <f>IF($X494="","",INT($X494))</f>
        <v/>
      </c>
      <c r="Z494" s="33">
        <f>IF(OR($Y494="",$D$6=""),"",IF(INDEX($A:$U,ROW(),$D$6)="",0,IF(ISNUMBER(INDEX($A:$U,ROW(),$D$6)),INDEX($A:$U,ROW(),$D$6),IFERROR(--SUBSTITUTE(SUBSTITUTE(TRIM(INDEX($A:$U,ROW(),$D$6)),",",""),"원",""),0))))</f>
        <v/>
      </c>
      <c r="AA494" s="31">
        <f>IF($Y494="","",TRIM(INDEX($A:$U,ROW(),$E$6)&amp;IF($F$6="",""," "&amp;INDEX($A:$U,ROW(),$F$6))))</f>
        <v/>
      </c>
      <c r="AB494" s="31">
        <f>IF($AA494="","",SUBSTITUTE(SUBSTITUTE(SUBSTITUTE(SUBSTITUTE(SUBSTITUTE(SUBSTITUTE(SUBSTITUTE(SUBSTITUTE(SUBSTITUTE($AA494," ",""),"　",""),"(주)",""),"（주）",""),"㈜",""),"주식회사",""),"(유)",""),"（유）",""),"유한회사",""))</f>
        <v/>
      </c>
      <c r="AC494" s="31">
        <f>IF(OR($Y494="",N($Z494)&lt;=0,$AB494=""),0,IFERROR(LOOKUP(2,1/((거래처별!$AC$8:$AC$307&lt;&gt;"")*ISNUMBER(SEARCH(거래처별!$AC$8:$AC$307,$AB494))),거래처별!$A$8:$A$307),IFERROR(LOOKUP(2,1/((거래처별!$AD$8:$AD$307&lt;&gt;"")*ISNUMBER(SEARCH(거래처별!$AD$8:$AD$307,$AB494))),거래처별!$A$8:$A$307),IFERROR(LOOKUP(2,1/((거래처별!$AE$8:$AE$307&lt;&gt;"")*ISNUMBER(SEARCH(거래처별!$AE$8:$AE$307,$AB494))),거래처별!$A$8:$A$307),0))))</f>
        <v/>
      </c>
      <c r="AD494" s="31">
        <f>IF(AND($Y494&lt;&gt;"",N($Z494)&gt;0,$AC494=0),MAX($AD$7:$AD493)+1,"")</f>
        <v/>
      </c>
      <c r="AE494" s="31">
        <f>IF($Y494="",0,$Y494)</f>
        <v/>
      </c>
    </row>
    <row r="495">
      <c r="W495" s="31">
        <f>IF(OR($B$5="",$C$6="",ROW()&lt;$B$5),"",IF(INDEX($A:$U,ROW(),$C$6)="","",INDEX($A:$U,ROW(),$C$6)))</f>
        <v/>
      </c>
      <c r="X495" s="32">
        <f>IF($W495="","",IF(ISNUMBER($W495),IF($W495&gt;=10000000,IFERROR(DATE(INT($W495/10000),MOD(INT($W495/100),100),MOD($W495,100)),""),INT($W495)),IFERROR(DATE(--LEFT(LEFT(SUBSTITUTE(SUBSTITUTE(SUBSTITUTE(SUBSTITUTE(TRIM($W495),"-",""),".",""),"/","")," ",""),8),4),--MID(LEFT(SUBSTITUTE(SUBSTITUTE(SUBSTITUTE(SUBSTITUTE(TRIM($W495),"-",""),".",""),"/","")," ",""),8),5,2),--MID(LEFT(SUBSTITUTE(SUBSTITUTE(SUBSTITUTE(SUBSTITUTE(TRIM($W495),"-",""),".",""),"/","")," ",""),8),7,2)),"")))</f>
        <v/>
      </c>
      <c r="Y495" s="32">
        <f>IF($X495="","",INT($X495))</f>
        <v/>
      </c>
      <c r="Z495" s="33">
        <f>IF(OR($Y495="",$D$6=""),"",IF(INDEX($A:$U,ROW(),$D$6)="",0,IF(ISNUMBER(INDEX($A:$U,ROW(),$D$6)),INDEX($A:$U,ROW(),$D$6),IFERROR(--SUBSTITUTE(SUBSTITUTE(TRIM(INDEX($A:$U,ROW(),$D$6)),",",""),"원",""),0))))</f>
        <v/>
      </c>
      <c r="AA495" s="31">
        <f>IF($Y495="","",TRIM(INDEX($A:$U,ROW(),$E$6)&amp;IF($F$6="",""," "&amp;INDEX($A:$U,ROW(),$F$6))))</f>
        <v/>
      </c>
      <c r="AB495" s="31">
        <f>IF($AA495="","",SUBSTITUTE(SUBSTITUTE(SUBSTITUTE(SUBSTITUTE(SUBSTITUTE(SUBSTITUTE(SUBSTITUTE(SUBSTITUTE(SUBSTITUTE($AA495," ",""),"　",""),"(주)",""),"（주）",""),"㈜",""),"주식회사",""),"(유)",""),"（유）",""),"유한회사",""))</f>
        <v/>
      </c>
      <c r="AC495" s="31">
        <f>IF(OR($Y495="",N($Z495)&lt;=0,$AB495=""),0,IFERROR(LOOKUP(2,1/((거래처별!$AC$8:$AC$307&lt;&gt;"")*ISNUMBER(SEARCH(거래처별!$AC$8:$AC$307,$AB495))),거래처별!$A$8:$A$307),IFERROR(LOOKUP(2,1/((거래처별!$AD$8:$AD$307&lt;&gt;"")*ISNUMBER(SEARCH(거래처별!$AD$8:$AD$307,$AB495))),거래처별!$A$8:$A$307),IFERROR(LOOKUP(2,1/((거래처별!$AE$8:$AE$307&lt;&gt;"")*ISNUMBER(SEARCH(거래처별!$AE$8:$AE$307,$AB495))),거래처별!$A$8:$A$307),0))))</f>
        <v/>
      </c>
      <c r="AD495" s="31">
        <f>IF(AND($Y495&lt;&gt;"",N($Z495)&gt;0,$AC495=0),MAX($AD$7:$AD494)+1,"")</f>
        <v/>
      </c>
      <c r="AE495" s="31">
        <f>IF($Y495="",0,$Y495)</f>
        <v/>
      </c>
    </row>
    <row r="496">
      <c r="W496" s="31">
        <f>IF(OR($B$5="",$C$6="",ROW()&lt;$B$5),"",IF(INDEX($A:$U,ROW(),$C$6)="","",INDEX($A:$U,ROW(),$C$6)))</f>
        <v/>
      </c>
      <c r="X496" s="32">
        <f>IF($W496="","",IF(ISNUMBER($W496),IF($W496&gt;=10000000,IFERROR(DATE(INT($W496/10000),MOD(INT($W496/100),100),MOD($W496,100)),""),INT($W496)),IFERROR(DATE(--LEFT(LEFT(SUBSTITUTE(SUBSTITUTE(SUBSTITUTE(SUBSTITUTE(TRIM($W496),"-",""),".",""),"/","")," ",""),8),4),--MID(LEFT(SUBSTITUTE(SUBSTITUTE(SUBSTITUTE(SUBSTITUTE(TRIM($W496),"-",""),".",""),"/","")," ",""),8),5,2),--MID(LEFT(SUBSTITUTE(SUBSTITUTE(SUBSTITUTE(SUBSTITUTE(TRIM($W496),"-",""),".",""),"/","")," ",""),8),7,2)),"")))</f>
        <v/>
      </c>
      <c r="Y496" s="32">
        <f>IF($X496="","",INT($X496))</f>
        <v/>
      </c>
      <c r="Z496" s="33">
        <f>IF(OR($Y496="",$D$6=""),"",IF(INDEX($A:$U,ROW(),$D$6)="",0,IF(ISNUMBER(INDEX($A:$U,ROW(),$D$6)),INDEX($A:$U,ROW(),$D$6),IFERROR(--SUBSTITUTE(SUBSTITUTE(TRIM(INDEX($A:$U,ROW(),$D$6)),",",""),"원",""),0))))</f>
        <v/>
      </c>
      <c r="AA496" s="31">
        <f>IF($Y496="","",TRIM(INDEX($A:$U,ROW(),$E$6)&amp;IF($F$6="",""," "&amp;INDEX($A:$U,ROW(),$F$6))))</f>
        <v/>
      </c>
      <c r="AB496" s="31">
        <f>IF($AA496="","",SUBSTITUTE(SUBSTITUTE(SUBSTITUTE(SUBSTITUTE(SUBSTITUTE(SUBSTITUTE(SUBSTITUTE(SUBSTITUTE(SUBSTITUTE($AA496," ",""),"　",""),"(주)",""),"（주）",""),"㈜",""),"주식회사",""),"(유)",""),"（유）",""),"유한회사",""))</f>
        <v/>
      </c>
      <c r="AC496" s="31">
        <f>IF(OR($Y496="",N($Z496)&lt;=0,$AB496=""),0,IFERROR(LOOKUP(2,1/((거래처별!$AC$8:$AC$307&lt;&gt;"")*ISNUMBER(SEARCH(거래처별!$AC$8:$AC$307,$AB496))),거래처별!$A$8:$A$307),IFERROR(LOOKUP(2,1/((거래처별!$AD$8:$AD$307&lt;&gt;"")*ISNUMBER(SEARCH(거래처별!$AD$8:$AD$307,$AB496))),거래처별!$A$8:$A$307),IFERROR(LOOKUP(2,1/((거래처별!$AE$8:$AE$307&lt;&gt;"")*ISNUMBER(SEARCH(거래처별!$AE$8:$AE$307,$AB496))),거래처별!$A$8:$A$307),0))))</f>
        <v/>
      </c>
      <c r="AD496" s="31">
        <f>IF(AND($Y496&lt;&gt;"",N($Z496)&gt;0,$AC496=0),MAX($AD$7:$AD495)+1,"")</f>
        <v/>
      </c>
      <c r="AE496" s="31">
        <f>IF($Y496="",0,$Y496)</f>
        <v/>
      </c>
    </row>
    <row r="497">
      <c r="W497" s="31">
        <f>IF(OR($B$5="",$C$6="",ROW()&lt;$B$5),"",IF(INDEX($A:$U,ROW(),$C$6)="","",INDEX($A:$U,ROW(),$C$6)))</f>
        <v/>
      </c>
      <c r="X497" s="32">
        <f>IF($W497="","",IF(ISNUMBER($W497),IF($W497&gt;=10000000,IFERROR(DATE(INT($W497/10000),MOD(INT($W497/100),100),MOD($W497,100)),""),INT($W497)),IFERROR(DATE(--LEFT(LEFT(SUBSTITUTE(SUBSTITUTE(SUBSTITUTE(SUBSTITUTE(TRIM($W497),"-",""),".",""),"/","")," ",""),8),4),--MID(LEFT(SUBSTITUTE(SUBSTITUTE(SUBSTITUTE(SUBSTITUTE(TRIM($W497),"-",""),".",""),"/","")," ",""),8),5,2),--MID(LEFT(SUBSTITUTE(SUBSTITUTE(SUBSTITUTE(SUBSTITUTE(TRIM($W497),"-",""),".",""),"/","")," ",""),8),7,2)),"")))</f>
        <v/>
      </c>
      <c r="Y497" s="32">
        <f>IF($X497="","",INT($X497))</f>
        <v/>
      </c>
      <c r="Z497" s="33">
        <f>IF(OR($Y497="",$D$6=""),"",IF(INDEX($A:$U,ROW(),$D$6)="",0,IF(ISNUMBER(INDEX($A:$U,ROW(),$D$6)),INDEX($A:$U,ROW(),$D$6),IFERROR(--SUBSTITUTE(SUBSTITUTE(TRIM(INDEX($A:$U,ROW(),$D$6)),",",""),"원",""),0))))</f>
        <v/>
      </c>
      <c r="AA497" s="31">
        <f>IF($Y497="","",TRIM(INDEX($A:$U,ROW(),$E$6)&amp;IF($F$6="",""," "&amp;INDEX($A:$U,ROW(),$F$6))))</f>
        <v/>
      </c>
      <c r="AB497" s="31">
        <f>IF($AA497="","",SUBSTITUTE(SUBSTITUTE(SUBSTITUTE(SUBSTITUTE(SUBSTITUTE(SUBSTITUTE(SUBSTITUTE(SUBSTITUTE(SUBSTITUTE($AA497," ",""),"　",""),"(주)",""),"（주）",""),"㈜",""),"주식회사",""),"(유)",""),"（유）",""),"유한회사",""))</f>
        <v/>
      </c>
      <c r="AC497" s="31">
        <f>IF(OR($Y497="",N($Z497)&lt;=0,$AB497=""),0,IFERROR(LOOKUP(2,1/((거래처별!$AC$8:$AC$307&lt;&gt;"")*ISNUMBER(SEARCH(거래처별!$AC$8:$AC$307,$AB497))),거래처별!$A$8:$A$307),IFERROR(LOOKUP(2,1/((거래처별!$AD$8:$AD$307&lt;&gt;"")*ISNUMBER(SEARCH(거래처별!$AD$8:$AD$307,$AB497))),거래처별!$A$8:$A$307),IFERROR(LOOKUP(2,1/((거래처별!$AE$8:$AE$307&lt;&gt;"")*ISNUMBER(SEARCH(거래처별!$AE$8:$AE$307,$AB497))),거래처별!$A$8:$A$307),0))))</f>
        <v/>
      </c>
      <c r="AD497" s="31">
        <f>IF(AND($Y497&lt;&gt;"",N($Z497)&gt;0,$AC497=0),MAX($AD$7:$AD496)+1,"")</f>
        <v/>
      </c>
      <c r="AE497" s="31">
        <f>IF($Y497="",0,$Y497)</f>
        <v/>
      </c>
    </row>
    <row r="498">
      <c r="W498" s="31">
        <f>IF(OR($B$5="",$C$6="",ROW()&lt;$B$5),"",IF(INDEX($A:$U,ROW(),$C$6)="","",INDEX($A:$U,ROW(),$C$6)))</f>
        <v/>
      </c>
      <c r="X498" s="32">
        <f>IF($W498="","",IF(ISNUMBER($W498),IF($W498&gt;=10000000,IFERROR(DATE(INT($W498/10000),MOD(INT($W498/100),100),MOD($W498,100)),""),INT($W498)),IFERROR(DATE(--LEFT(LEFT(SUBSTITUTE(SUBSTITUTE(SUBSTITUTE(SUBSTITUTE(TRIM($W498),"-",""),".",""),"/","")," ",""),8),4),--MID(LEFT(SUBSTITUTE(SUBSTITUTE(SUBSTITUTE(SUBSTITUTE(TRIM($W498),"-",""),".",""),"/","")," ",""),8),5,2),--MID(LEFT(SUBSTITUTE(SUBSTITUTE(SUBSTITUTE(SUBSTITUTE(TRIM($W498),"-",""),".",""),"/","")," ",""),8),7,2)),"")))</f>
        <v/>
      </c>
      <c r="Y498" s="32">
        <f>IF($X498="","",INT($X498))</f>
        <v/>
      </c>
      <c r="Z498" s="33">
        <f>IF(OR($Y498="",$D$6=""),"",IF(INDEX($A:$U,ROW(),$D$6)="",0,IF(ISNUMBER(INDEX($A:$U,ROW(),$D$6)),INDEX($A:$U,ROW(),$D$6),IFERROR(--SUBSTITUTE(SUBSTITUTE(TRIM(INDEX($A:$U,ROW(),$D$6)),",",""),"원",""),0))))</f>
        <v/>
      </c>
      <c r="AA498" s="31">
        <f>IF($Y498="","",TRIM(INDEX($A:$U,ROW(),$E$6)&amp;IF($F$6="",""," "&amp;INDEX($A:$U,ROW(),$F$6))))</f>
        <v/>
      </c>
      <c r="AB498" s="31">
        <f>IF($AA498="","",SUBSTITUTE(SUBSTITUTE(SUBSTITUTE(SUBSTITUTE(SUBSTITUTE(SUBSTITUTE(SUBSTITUTE(SUBSTITUTE(SUBSTITUTE($AA498," ",""),"　",""),"(주)",""),"（주）",""),"㈜",""),"주식회사",""),"(유)",""),"（유）",""),"유한회사",""))</f>
        <v/>
      </c>
      <c r="AC498" s="31">
        <f>IF(OR($Y498="",N($Z498)&lt;=0,$AB498=""),0,IFERROR(LOOKUP(2,1/((거래처별!$AC$8:$AC$307&lt;&gt;"")*ISNUMBER(SEARCH(거래처별!$AC$8:$AC$307,$AB498))),거래처별!$A$8:$A$307),IFERROR(LOOKUP(2,1/((거래처별!$AD$8:$AD$307&lt;&gt;"")*ISNUMBER(SEARCH(거래처별!$AD$8:$AD$307,$AB498))),거래처별!$A$8:$A$307),IFERROR(LOOKUP(2,1/((거래처별!$AE$8:$AE$307&lt;&gt;"")*ISNUMBER(SEARCH(거래처별!$AE$8:$AE$307,$AB498))),거래처별!$A$8:$A$307),0))))</f>
        <v/>
      </c>
      <c r="AD498" s="31">
        <f>IF(AND($Y498&lt;&gt;"",N($Z498)&gt;0,$AC498=0),MAX($AD$7:$AD497)+1,"")</f>
        <v/>
      </c>
      <c r="AE498" s="31">
        <f>IF($Y498="",0,$Y498)</f>
        <v/>
      </c>
    </row>
    <row r="499">
      <c r="W499" s="31">
        <f>IF(OR($B$5="",$C$6="",ROW()&lt;$B$5),"",IF(INDEX($A:$U,ROW(),$C$6)="","",INDEX($A:$U,ROW(),$C$6)))</f>
        <v/>
      </c>
      <c r="X499" s="32">
        <f>IF($W499="","",IF(ISNUMBER($W499),IF($W499&gt;=10000000,IFERROR(DATE(INT($W499/10000),MOD(INT($W499/100),100),MOD($W499,100)),""),INT($W499)),IFERROR(DATE(--LEFT(LEFT(SUBSTITUTE(SUBSTITUTE(SUBSTITUTE(SUBSTITUTE(TRIM($W499),"-",""),".",""),"/","")," ",""),8),4),--MID(LEFT(SUBSTITUTE(SUBSTITUTE(SUBSTITUTE(SUBSTITUTE(TRIM($W499),"-",""),".",""),"/","")," ",""),8),5,2),--MID(LEFT(SUBSTITUTE(SUBSTITUTE(SUBSTITUTE(SUBSTITUTE(TRIM($W499),"-",""),".",""),"/","")," ",""),8),7,2)),"")))</f>
        <v/>
      </c>
      <c r="Y499" s="32">
        <f>IF($X499="","",INT($X499))</f>
        <v/>
      </c>
      <c r="Z499" s="33">
        <f>IF(OR($Y499="",$D$6=""),"",IF(INDEX($A:$U,ROW(),$D$6)="",0,IF(ISNUMBER(INDEX($A:$U,ROW(),$D$6)),INDEX($A:$U,ROW(),$D$6),IFERROR(--SUBSTITUTE(SUBSTITUTE(TRIM(INDEX($A:$U,ROW(),$D$6)),",",""),"원",""),0))))</f>
        <v/>
      </c>
      <c r="AA499" s="31">
        <f>IF($Y499="","",TRIM(INDEX($A:$U,ROW(),$E$6)&amp;IF($F$6="",""," "&amp;INDEX($A:$U,ROW(),$F$6))))</f>
        <v/>
      </c>
      <c r="AB499" s="31">
        <f>IF($AA499="","",SUBSTITUTE(SUBSTITUTE(SUBSTITUTE(SUBSTITUTE(SUBSTITUTE(SUBSTITUTE(SUBSTITUTE(SUBSTITUTE(SUBSTITUTE($AA499," ",""),"　",""),"(주)",""),"（주）",""),"㈜",""),"주식회사",""),"(유)",""),"（유）",""),"유한회사",""))</f>
        <v/>
      </c>
      <c r="AC499" s="31">
        <f>IF(OR($Y499="",N($Z499)&lt;=0,$AB499=""),0,IFERROR(LOOKUP(2,1/((거래처별!$AC$8:$AC$307&lt;&gt;"")*ISNUMBER(SEARCH(거래처별!$AC$8:$AC$307,$AB499))),거래처별!$A$8:$A$307),IFERROR(LOOKUP(2,1/((거래처별!$AD$8:$AD$307&lt;&gt;"")*ISNUMBER(SEARCH(거래처별!$AD$8:$AD$307,$AB499))),거래처별!$A$8:$A$307),IFERROR(LOOKUP(2,1/((거래처별!$AE$8:$AE$307&lt;&gt;"")*ISNUMBER(SEARCH(거래처별!$AE$8:$AE$307,$AB499))),거래처별!$A$8:$A$307),0))))</f>
        <v/>
      </c>
      <c r="AD499" s="31">
        <f>IF(AND($Y499&lt;&gt;"",N($Z499)&gt;0,$AC499=0),MAX($AD$7:$AD498)+1,"")</f>
        <v/>
      </c>
      <c r="AE499" s="31">
        <f>IF($Y499="",0,$Y499)</f>
        <v/>
      </c>
    </row>
    <row r="500">
      <c r="W500" s="31">
        <f>IF(OR($B$5="",$C$6="",ROW()&lt;$B$5),"",IF(INDEX($A:$U,ROW(),$C$6)="","",INDEX($A:$U,ROW(),$C$6)))</f>
        <v/>
      </c>
      <c r="X500" s="32">
        <f>IF($W500="","",IF(ISNUMBER($W500),IF($W500&gt;=10000000,IFERROR(DATE(INT($W500/10000),MOD(INT($W500/100),100),MOD($W500,100)),""),INT($W500)),IFERROR(DATE(--LEFT(LEFT(SUBSTITUTE(SUBSTITUTE(SUBSTITUTE(SUBSTITUTE(TRIM($W500),"-",""),".",""),"/","")," ",""),8),4),--MID(LEFT(SUBSTITUTE(SUBSTITUTE(SUBSTITUTE(SUBSTITUTE(TRIM($W500),"-",""),".",""),"/","")," ",""),8),5,2),--MID(LEFT(SUBSTITUTE(SUBSTITUTE(SUBSTITUTE(SUBSTITUTE(TRIM($W500),"-",""),".",""),"/","")," ",""),8),7,2)),"")))</f>
        <v/>
      </c>
      <c r="Y500" s="32">
        <f>IF($X500="","",INT($X500))</f>
        <v/>
      </c>
      <c r="Z500" s="33">
        <f>IF(OR($Y500="",$D$6=""),"",IF(INDEX($A:$U,ROW(),$D$6)="",0,IF(ISNUMBER(INDEX($A:$U,ROW(),$D$6)),INDEX($A:$U,ROW(),$D$6),IFERROR(--SUBSTITUTE(SUBSTITUTE(TRIM(INDEX($A:$U,ROW(),$D$6)),",",""),"원",""),0))))</f>
        <v/>
      </c>
      <c r="AA500" s="31">
        <f>IF($Y500="","",TRIM(INDEX($A:$U,ROW(),$E$6)&amp;IF($F$6="",""," "&amp;INDEX($A:$U,ROW(),$F$6))))</f>
        <v/>
      </c>
      <c r="AB500" s="31">
        <f>IF($AA500="","",SUBSTITUTE(SUBSTITUTE(SUBSTITUTE(SUBSTITUTE(SUBSTITUTE(SUBSTITUTE(SUBSTITUTE(SUBSTITUTE(SUBSTITUTE($AA500," ",""),"　",""),"(주)",""),"（주）",""),"㈜",""),"주식회사",""),"(유)",""),"（유）",""),"유한회사",""))</f>
        <v/>
      </c>
      <c r="AC500" s="31">
        <f>IF(OR($Y500="",N($Z500)&lt;=0,$AB500=""),0,IFERROR(LOOKUP(2,1/((거래처별!$AC$8:$AC$307&lt;&gt;"")*ISNUMBER(SEARCH(거래처별!$AC$8:$AC$307,$AB500))),거래처별!$A$8:$A$307),IFERROR(LOOKUP(2,1/((거래처별!$AD$8:$AD$307&lt;&gt;"")*ISNUMBER(SEARCH(거래처별!$AD$8:$AD$307,$AB500))),거래처별!$A$8:$A$307),IFERROR(LOOKUP(2,1/((거래처별!$AE$8:$AE$307&lt;&gt;"")*ISNUMBER(SEARCH(거래처별!$AE$8:$AE$307,$AB500))),거래처별!$A$8:$A$307),0))))</f>
        <v/>
      </c>
      <c r="AD500" s="31">
        <f>IF(AND($Y500&lt;&gt;"",N($Z500)&gt;0,$AC500=0),MAX($AD$7:$AD499)+1,"")</f>
        <v/>
      </c>
      <c r="AE500" s="31">
        <f>IF($Y500="",0,$Y500)</f>
        <v/>
      </c>
    </row>
    <row r="501">
      <c r="W501" s="31">
        <f>IF(OR($B$5="",$C$6="",ROW()&lt;$B$5),"",IF(INDEX($A:$U,ROW(),$C$6)="","",INDEX($A:$U,ROW(),$C$6)))</f>
        <v/>
      </c>
      <c r="X501" s="32">
        <f>IF($W501="","",IF(ISNUMBER($W501),IF($W501&gt;=10000000,IFERROR(DATE(INT($W501/10000),MOD(INT($W501/100),100),MOD($W501,100)),""),INT($W501)),IFERROR(DATE(--LEFT(LEFT(SUBSTITUTE(SUBSTITUTE(SUBSTITUTE(SUBSTITUTE(TRIM($W501),"-",""),".",""),"/","")," ",""),8),4),--MID(LEFT(SUBSTITUTE(SUBSTITUTE(SUBSTITUTE(SUBSTITUTE(TRIM($W501),"-",""),".",""),"/","")," ",""),8),5,2),--MID(LEFT(SUBSTITUTE(SUBSTITUTE(SUBSTITUTE(SUBSTITUTE(TRIM($W501),"-",""),".",""),"/","")," ",""),8),7,2)),"")))</f>
        <v/>
      </c>
      <c r="Y501" s="32">
        <f>IF($X501="","",INT($X501))</f>
        <v/>
      </c>
      <c r="Z501" s="33">
        <f>IF(OR($Y501="",$D$6=""),"",IF(INDEX($A:$U,ROW(),$D$6)="",0,IF(ISNUMBER(INDEX($A:$U,ROW(),$D$6)),INDEX($A:$U,ROW(),$D$6),IFERROR(--SUBSTITUTE(SUBSTITUTE(TRIM(INDEX($A:$U,ROW(),$D$6)),",",""),"원",""),0))))</f>
        <v/>
      </c>
      <c r="AA501" s="31">
        <f>IF($Y501="","",TRIM(INDEX($A:$U,ROW(),$E$6)&amp;IF($F$6="",""," "&amp;INDEX($A:$U,ROW(),$F$6))))</f>
        <v/>
      </c>
      <c r="AB501" s="31">
        <f>IF($AA501="","",SUBSTITUTE(SUBSTITUTE(SUBSTITUTE(SUBSTITUTE(SUBSTITUTE(SUBSTITUTE(SUBSTITUTE(SUBSTITUTE(SUBSTITUTE($AA501," ",""),"　",""),"(주)",""),"（주）",""),"㈜",""),"주식회사",""),"(유)",""),"（유）",""),"유한회사",""))</f>
        <v/>
      </c>
      <c r="AC501" s="31">
        <f>IF(OR($Y501="",N($Z501)&lt;=0,$AB501=""),0,IFERROR(LOOKUP(2,1/((거래처별!$AC$8:$AC$307&lt;&gt;"")*ISNUMBER(SEARCH(거래처별!$AC$8:$AC$307,$AB501))),거래처별!$A$8:$A$307),IFERROR(LOOKUP(2,1/((거래처별!$AD$8:$AD$307&lt;&gt;"")*ISNUMBER(SEARCH(거래처별!$AD$8:$AD$307,$AB501))),거래처별!$A$8:$A$307),IFERROR(LOOKUP(2,1/((거래처별!$AE$8:$AE$307&lt;&gt;"")*ISNUMBER(SEARCH(거래처별!$AE$8:$AE$307,$AB501))),거래처별!$A$8:$A$307),0))))</f>
        <v/>
      </c>
      <c r="AD501" s="31">
        <f>IF(AND($Y501&lt;&gt;"",N($Z501)&gt;0,$AC501=0),MAX($AD$7:$AD500)+1,"")</f>
        <v/>
      </c>
      <c r="AE501" s="31">
        <f>IF($Y501="",0,$Y501)</f>
        <v/>
      </c>
    </row>
    <row r="502">
      <c r="W502" s="31">
        <f>IF(OR($B$5="",$C$6="",ROW()&lt;$B$5),"",IF(INDEX($A:$U,ROW(),$C$6)="","",INDEX($A:$U,ROW(),$C$6)))</f>
        <v/>
      </c>
      <c r="X502" s="32">
        <f>IF($W502="","",IF(ISNUMBER($W502),IF($W502&gt;=10000000,IFERROR(DATE(INT($W502/10000),MOD(INT($W502/100),100),MOD($W502,100)),""),INT($W502)),IFERROR(DATE(--LEFT(LEFT(SUBSTITUTE(SUBSTITUTE(SUBSTITUTE(SUBSTITUTE(TRIM($W502),"-",""),".",""),"/","")," ",""),8),4),--MID(LEFT(SUBSTITUTE(SUBSTITUTE(SUBSTITUTE(SUBSTITUTE(TRIM($W502),"-",""),".",""),"/","")," ",""),8),5,2),--MID(LEFT(SUBSTITUTE(SUBSTITUTE(SUBSTITUTE(SUBSTITUTE(TRIM($W502),"-",""),".",""),"/","")," ",""),8),7,2)),"")))</f>
        <v/>
      </c>
      <c r="Y502" s="32">
        <f>IF($X502="","",INT($X502))</f>
        <v/>
      </c>
      <c r="Z502" s="33">
        <f>IF(OR($Y502="",$D$6=""),"",IF(INDEX($A:$U,ROW(),$D$6)="",0,IF(ISNUMBER(INDEX($A:$U,ROW(),$D$6)),INDEX($A:$U,ROW(),$D$6),IFERROR(--SUBSTITUTE(SUBSTITUTE(TRIM(INDEX($A:$U,ROW(),$D$6)),",",""),"원",""),0))))</f>
        <v/>
      </c>
      <c r="AA502" s="31">
        <f>IF($Y502="","",TRIM(INDEX($A:$U,ROW(),$E$6)&amp;IF($F$6="",""," "&amp;INDEX($A:$U,ROW(),$F$6))))</f>
        <v/>
      </c>
      <c r="AB502" s="31">
        <f>IF($AA502="","",SUBSTITUTE(SUBSTITUTE(SUBSTITUTE(SUBSTITUTE(SUBSTITUTE(SUBSTITUTE(SUBSTITUTE(SUBSTITUTE(SUBSTITUTE($AA502," ",""),"　",""),"(주)",""),"（주）",""),"㈜",""),"주식회사",""),"(유)",""),"（유）",""),"유한회사",""))</f>
        <v/>
      </c>
      <c r="AC502" s="31">
        <f>IF(OR($Y502="",N($Z502)&lt;=0,$AB502=""),0,IFERROR(LOOKUP(2,1/((거래처별!$AC$8:$AC$307&lt;&gt;"")*ISNUMBER(SEARCH(거래처별!$AC$8:$AC$307,$AB502))),거래처별!$A$8:$A$307),IFERROR(LOOKUP(2,1/((거래처별!$AD$8:$AD$307&lt;&gt;"")*ISNUMBER(SEARCH(거래처별!$AD$8:$AD$307,$AB502))),거래처별!$A$8:$A$307),IFERROR(LOOKUP(2,1/((거래처별!$AE$8:$AE$307&lt;&gt;"")*ISNUMBER(SEARCH(거래처별!$AE$8:$AE$307,$AB502))),거래처별!$A$8:$A$307),0))))</f>
        <v/>
      </c>
      <c r="AD502" s="31">
        <f>IF(AND($Y502&lt;&gt;"",N($Z502)&gt;0,$AC502=0),MAX($AD$7:$AD501)+1,"")</f>
        <v/>
      </c>
      <c r="AE502" s="31">
        <f>IF($Y502="",0,$Y502)</f>
        <v/>
      </c>
    </row>
    <row r="503">
      <c r="W503" s="31">
        <f>IF(OR($B$5="",$C$6="",ROW()&lt;$B$5),"",IF(INDEX($A:$U,ROW(),$C$6)="","",INDEX($A:$U,ROW(),$C$6)))</f>
        <v/>
      </c>
      <c r="X503" s="32">
        <f>IF($W503="","",IF(ISNUMBER($W503),IF($W503&gt;=10000000,IFERROR(DATE(INT($W503/10000),MOD(INT($W503/100),100),MOD($W503,100)),""),INT($W503)),IFERROR(DATE(--LEFT(LEFT(SUBSTITUTE(SUBSTITUTE(SUBSTITUTE(SUBSTITUTE(TRIM($W503),"-",""),".",""),"/","")," ",""),8),4),--MID(LEFT(SUBSTITUTE(SUBSTITUTE(SUBSTITUTE(SUBSTITUTE(TRIM($W503),"-",""),".",""),"/","")," ",""),8),5,2),--MID(LEFT(SUBSTITUTE(SUBSTITUTE(SUBSTITUTE(SUBSTITUTE(TRIM($W503),"-",""),".",""),"/","")," ",""),8),7,2)),"")))</f>
        <v/>
      </c>
      <c r="Y503" s="32">
        <f>IF($X503="","",INT($X503))</f>
        <v/>
      </c>
      <c r="Z503" s="33">
        <f>IF(OR($Y503="",$D$6=""),"",IF(INDEX($A:$U,ROW(),$D$6)="",0,IF(ISNUMBER(INDEX($A:$U,ROW(),$D$6)),INDEX($A:$U,ROW(),$D$6),IFERROR(--SUBSTITUTE(SUBSTITUTE(TRIM(INDEX($A:$U,ROW(),$D$6)),",",""),"원",""),0))))</f>
        <v/>
      </c>
      <c r="AA503" s="31">
        <f>IF($Y503="","",TRIM(INDEX($A:$U,ROW(),$E$6)&amp;IF($F$6="",""," "&amp;INDEX($A:$U,ROW(),$F$6))))</f>
        <v/>
      </c>
      <c r="AB503" s="31">
        <f>IF($AA503="","",SUBSTITUTE(SUBSTITUTE(SUBSTITUTE(SUBSTITUTE(SUBSTITUTE(SUBSTITUTE(SUBSTITUTE(SUBSTITUTE(SUBSTITUTE($AA503," ",""),"　",""),"(주)",""),"（주）",""),"㈜",""),"주식회사",""),"(유)",""),"（유）",""),"유한회사",""))</f>
        <v/>
      </c>
      <c r="AC503" s="31">
        <f>IF(OR($Y503="",N($Z503)&lt;=0,$AB503=""),0,IFERROR(LOOKUP(2,1/((거래처별!$AC$8:$AC$307&lt;&gt;"")*ISNUMBER(SEARCH(거래처별!$AC$8:$AC$307,$AB503))),거래처별!$A$8:$A$307),IFERROR(LOOKUP(2,1/((거래처별!$AD$8:$AD$307&lt;&gt;"")*ISNUMBER(SEARCH(거래처별!$AD$8:$AD$307,$AB503))),거래처별!$A$8:$A$307),IFERROR(LOOKUP(2,1/((거래처별!$AE$8:$AE$307&lt;&gt;"")*ISNUMBER(SEARCH(거래처별!$AE$8:$AE$307,$AB503))),거래처별!$A$8:$A$307),0))))</f>
        <v/>
      </c>
      <c r="AD503" s="31">
        <f>IF(AND($Y503&lt;&gt;"",N($Z503)&gt;0,$AC503=0),MAX($AD$7:$AD502)+1,"")</f>
        <v/>
      </c>
      <c r="AE503" s="31">
        <f>IF($Y503="",0,$Y503)</f>
        <v/>
      </c>
    </row>
    <row r="504">
      <c r="W504" s="31">
        <f>IF(OR($B$5="",$C$6="",ROW()&lt;$B$5),"",IF(INDEX($A:$U,ROW(),$C$6)="","",INDEX($A:$U,ROW(),$C$6)))</f>
        <v/>
      </c>
      <c r="X504" s="32">
        <f>IF($W504="","",IF(ISNUMBER($W504),IF($W504&gt;=10000000,IFERROR(DATE(INT($W504/10000),MOD(INT($W504/100),100),MOD($W504,100)),""),INT($W504)),IFERROR(DATE(--LEFT(LEFT(SUBSTITUTE(SUBSTITUTE(SUBSTITUTE(SUBSTITUTE(TRIM($W504),"-",""),".",""),"/","")," ",""),8),4),--MID(LEFT(SUBSTITUTE(SUBSTITUTE(SUBSTITUTE(SUBSTITUTE(TRIM($W504),"-",""),".",""),"/","")," ",""),8),5,2),--MID(LEFT(SUBSTITUTE(SUBSTITUTE(SUBSTITUTE(SUBSTITUTE(TRIM($W504),"-",""),".",""),"/","")," ",""),8),7,2)),"")))</f>
        <v/>
      </c>
      <c r="Y504" s="32">
        <f>IF($X504="","",INT($X504))</f>
        <v/>
      </c>
      <c r="Z504" s="33">
        <f>IF(OR($Y504="",$D$6=""),"",IF(INDEX($A:$U,ROW(),$D$6)="",0,IF(ISNUMBER(INDEX($A:$U,ROW(),$D$6)),INDEX($A:$U,ROW(),$D$6),IFERROR(--SUBSTITUTE(SUBSTITUTE(TRIM(INDEX($A:$U,ROW(),$D$6)),",",""),"원",""),0))))</f>
        <v/>
      </c>
      <c r="AA504" s="31">
        <f>IF($Y504="","",TRIM(INDEX($A:$U,ROW(),$E$6)&amp;IF($F$6="",""," "&amp;INDEX($A:$U,ROW(),$F$6))))</f>
        <v/>
      </c>
      <c r="AB504" s="31">
        <f>IF($AA504="","",SUBSTITUTE(SUBSTITUTE(SUBSTITUTE(SUBSTITUTE(SUBSTITUTE(SUBSTITUTE(SUBSTITUTE(SUBSTITUTE(SUBSTITUTE($AA504," ",""),"　",""),"(주)",""),"（주）",""),"㈜",""),"주식회사",""),"(유)",""),"（유）",""),"유한회사",""))</f>
        <v/>
      </c>
      <c r="AC504" s="31">
        <f>IF(OR($Y504="",N($Z504)&lt;=0,$AB504=""),0,IFERROR(LOOKUP(2,1/((거래처별!$AC$8:$AC$307&lt;&gt;"")*ISNUMBER(SEARCH(거래처별!$AC$8:$AC$307,$AB504))),거래처별!$A$8:$A$307),IFERROR(LOOKUP(2,1/((거래처별!$AD$8:$AD$307&lt;&gt;"")*ISNUMBER(SEARCH(거래처별!$AD$8:$AD$307,$AB504))),거래처별!$A$8:$A$307),IFERROR(LOOKUP(2,1/((거래처별!$AE$8:$AE$307&lt;&gt;"")*ISNUMBER(SEARCH(거래처별!$AE$8:$AE$307,$AB504))),거래처별!$A$8:$A$307),0))))</f>
        <v/>
      </c>
      <c r="AD504" s="31">
        <f>IF(AND($Y504&lt;&gt;"",N($Z504)&gt;0,$AC504=0),MAX($AD$7:$AD503)+1,"")</f>
        <v/>
      </c>
      <c r="AE504" s="31">
        <f>IF($Y504="",0,$Y504)</f>
        <v/>
      </c>
    </row>
    <row r="505">
      <c r="W505" s="31">
        <f>IF(OR($B$5="",$C$6="",ROW()&lt;$B$5),"",IF(INDEX($A:$U,ROW(),$C$6)="","",INDEX($A:$U,ROW(),$C$6)))</f>
        <v/>
      </c>
      <c r="X505" s="32">
        <f>IF($W505="","",IF(ISNUMBER($W505),IF($W505&gt;=10000000,IFERROR(DATE(INT($W505/10000),MOD(INT($W505/100),100),MOD($W505,100)),""),INT($W505)),IFERROR(DATE(--LEFT(LEFT(SUBSTITUTE(SUBSTITUTE(SUBSTITUTE(SUBSTITUTE(TRIM($W505),"-",""),".",""),"/","")," ",""),8),4),--MID(LEFT(SUBSTITUTE(SUBSTITUTE(SUBSTITUTE(SUBSTITUTE(TRIM($W505),"-",""),".",""),"/","")," ",""),8),5,2),--MID(LEFT(SUBSTITUTE(SUBSTITUTE(SUBSTITUTE(SUBSTITUTE(TRIM($W505),"-",""),".",""),"/","")," ",""),8),7,2)),"")))</f>
        <v/>
      </c>
      <c r="Y505" s="32">
        <f>IF($X505="","",INT($X505))</f>
        <v/>
      </c>
      <c r="Z505" s="33">
        <f>IF(OR($Y505="",$D$6=""),"",IF(INDEX($A:$U,ROW(),$D$6)="",0,IF(ISNUMBER(INDEX($A:$U,ROW(),$D$6)),INDEX($A:$U,ROW(),$D$6),IFERROR(--SUBSTITUTE(SUBSTITUTE(TRIM(INDEX($A:$U,ROW(),$D$6)),",",""),"원",""),0))))</f>
        <v/>
      </c>
      <c r="AA505" s="31">
        <f>IF($Y505="","",TRIM(INDEX($A:$U,ROW(),$E$6)&amp;IF($F$6="",""," "&amp;INDEX($A:$U,ROW(),$F$6))))</f>
        <v/>
      </c>
      <c r="AB505" s="31">
        <f>IF($AA505="","",SUBSTITUTE(SUBSTITUTE(SUBSTITUTE(SUBSTITUTE(SUBSTITUTE(SUBSTITUTE(SUBSTITUTE(SUBSTITUTE(SUBSTITUTE($AA505," ",""),"　",""),"(주)",""),"（주）",""),"㈜",""),"주식회사",""),"(유)",""),"（유）",""),"유한회사",""))</f>
        <v/>
      </c>
      <c r="AC505" s="31">
        <f>IF(OR($Y505="",N($Z505)&lt;=0,$AB505=""),0,IFERROR(LOOKUP(2,1/((거래처별!$AC$8:$AC$307&lt;&gt;"")*ISNUMBER(SEARCH(거래처별!$AC$8:$AC$307,$AB505))),거래처별!$A$8:$A$307),IFERROR(LOOKUP(2,1/((거래처별!$AD$8:$AD$307&lt;&gt;"")*ISNUMBER(SEARCH(거래처별!$AD$8:$AD$307,$AB505))),거래처별!$A$8:$A$307),IFERROR(LOOKUP(2,1/((거래처별!$AE$8:$AE$307&lt;&gt;"")*ISNUMBER(SEARCH(거래처별!$AE$8:$AE$307,$AB505))),거래처별!$A$8:$A$307),0))))</f>
        <v/>
      </c>
      <c r="AD505" s="31">
        <f>IF(AND($Y505&lt;&gt;"",N($Z505)&gt;0,$AC505=0),MAX($AD$7:$AD504)+1,"")</f>
        <v/>
      </c>
      <c r="AE505" s="31">
        <f>IF($Y505="",0,$Y505)</f>
        <v/>
      </c>
    </row>
    <row r="506">
      <c r="W506" s="31">
        <f>IF(OR($B$5="",$C$6="",ROW()&lt;$B$5),"",IF(INDEX($A:$U,ROW(),$C$6)="","",INDEX($A:$U,ROW(),$C$6)))</f>
        <v/>
      </c>
      <c r="X506" s="32">
        <f>IF($W506="","",IF(ISNUMBER($W506),IF($W506&gt;=10000000,IFERROR(DATE(INT($W506/10000),MOD(INT($W506/100),100),MOD($W506,100)),""),INT($W506)),IFERROR(DATE(--LEFT(LEFT(SUBSTITUTE(SUBSTITUTE(SUBSTITUTE(SUBSTITUTE(TRIM($W506),"-",""),".",""),"/","")," ",""),8),4),--MID(LEFT(SUBSTITUTE(SUBSTITUTE(SUBSTITUTE(SUBSTITUTE(TRIM($W506),"-",""),".",""),"/","")," ",""),8),5,2),--MID(LEFT(SUBSTITUTE(SUBSTITUTE(SUBSTITUTE(SUBSTITUTE(TRIM($W506),"-",""),".",""),"/","")," ",""),8),7,2)),"")))</f>
        <v/>
      </c>
      <c r="Y506" s="32">
        <f>IF($X506="","",INT($X506))</f>
        <v/>
      </c>
      <c r="Z506" s="33">
        <f>IF(OR($Y506="",$D$6=""),"",IF(INDEX($A:$U,ROW(),$D$6)="",0,IF(ISNUMBER(INDEX($A:$U,ROW(),$D$6)),INDEX($A:$U,ROW(),$D$6),IFERROR(--SUBSTITUTE(SUBSTITUTE(TRIM(INDEX($A:$U,ROW(),$D$6)),",",""),"원",""),0))))</f>
        <v/>
      </c>
      <c r="AA506" s="31">
        <f>IF($Y506="","",TRIM(INDEX($A:$U,ROW(),$E$6)&amp;IF($F$6="",""," "&amp;INDEX($A:$U,ROW(),$F$6))))</f>
        <v/>
      </c>
      <c r="AB506" s="31">
        <f>IF($AA506="","",SUBSTITUTE(SUBSTITUTE(SUBSTITUTE(SUBSTITUTE(SUBSTITUTE(SUBSTITUTE(SUBSTITUTE(SUBSTITUTE(SUBSTITUTE($AA506," ",""),"　",""),"(주)",""),"（주）",""),"㈜",""),"주식회사",""),"(유)",""),"（유）",""),"유한회사",""))</f>
        <v/>
      </c>
      <c r="AC506" s="31">
        <f>IF(OR($Y506="",N($Z506)&lt;=0,$AB506=""),0,IFERROR(LOOKUP(2,1/((거래처별!$AC$8:$AC$307&lt;&gt;"")*ISNUMBER(SEARCH(거래처별!$AC$8:$AC$307,$AB506))),거래처별!$A$8:$A$307),IFERROR(LOOKUP(2,1/((거래처별!$AD$8:$AD$307&lt;&gt;"")*ISNUMBER(SEARCH(거래처별!$AD$8:$AD$307,$AB506))),거래처별!$A$8:$A$307),IFERROR(LOOKUP(2,1/((거래처별!$AE$8:$AE$307&lt;&gt;"")*ISNUMBER(SEARCH(거래처별!$AE$8:$AE$307,$AB506))),거래처별!$A$8:$A$307),0))))</f>
        <v/>
      </c>
      <c r="AD506" s="31">
        <f>IF(AND($Y506&lt;&gt;"",N($Z506)&gt;0,$AC506=0),MAX($AD$7:$AD505)+1,"")</f>
        <v/>
      </c>
      <c r="AE506" s="31">
        <f>IF($Y506="",0,$Y506)</f>
        <v/>
      </c>
    </row>
    <row r="507">
      <c r="W507" s="31">
        <f>IF(OR($B$5="",$C$6="",ROW()&lt;$B$5),"",IF(INDEX($A:$U,ROW(),$C$6)="","",INDEX($A:$U,ROW(),$C$6)))</f>
        <v/>
      </c>
      <c r="X507" s="32">
        <f>IF($W507="","",IF(ISNUMBER($W507),IF($W507&gt;=10000000,IFERROR(DATE(INT($W507/10000),MOD(INT($W507/100),100),MOD($W507,100)),""),INT($W507)),IFERROR(DATE(--LEFT(LEFT(SUBSTITUTE(SUBSTITUTE(SUBSTITUTE(SUBSTITUTE(TRIM($W507),"-",""),".",""),"/","")," ",""),8),4),--MID(LEFT(SUBSTITUTE(SUBSTITUTE(SUBSTITUTE(SUBSTITUTE(TRIM($W507),"-",""),".",""),"/","")," ",""),8),5,2),--MID(LEFT(SUBSTITUTE(SUBSTITUTE(SUBSTITUTE(SUBSTITUTE(TRIM($W507),"-",""),".",""),"/","")," ",""),8),7,2)),"")))</f>
        <v/>
      </c>
      <c r="Y507" s="32">
        <f>IF($X507="","",INT($X507))</f>
        <v/>
      </c>
      <c r="Z507" s="33">
        <f>IF(OR($Y507="",$D$6=""),"",IF(INDEX($A:$U,ROW(),$D$6)="",0,IF(ISNUMBER(INDEX($A:$U,ROW(),$D$6)),INDEX($A:$U,ROW(),$D$6),IFERROR(--SUBSTITUTE(SUBSTITUTE(TRIM(INDEX($A:$U,ROW(),$D$6)),",",""),"원",""),0))))</f>
        <v/>
      </c>
      <c r="AA507" s="31">
        <f>IF($Y507="","",TRIM(INDEX($A:$U,ROW(),$E$6)&amp;IF($F$6="",""," "&amp;INDEX($A:$U,ROW(),$F$6))))</f>
        <v/>
      </c>
      <c r="AB507" s="31">
        <f>IF($AA507="","",SUBSTITUTE(SUBSTITUTE(SUBSTITUTE(SUBSTITUTE(SUBSTITUTE(SUBSTITUTE(SUBSTITUTE(SUBSTITUTE(SUBSTITUTE($AA507," ",""),"　",""),"(주)",""),"（주）",""),"㈜",""),"주식회사",""),"(유)",""),"（유）",""),"유한회사",""))</f>
        <v/>
      </c>
      <c r="AC507" s="31">
        <f>IF(OR($Y507="",N($Z507)&lt;=0,$AB507=""),0,IFERROR(LOOKUP(2,1/((거래처별!$AC$8:$AC$307&lt;&gt;"")*ISNUMBER(SEARCH(거래처별!$AC$8:$AC$307,$AB507))),거래처별!$A$8:$A$307),IFERROR(LOOKUP(2,1/((거래처별!$AD$8:$AD$307&lt;&gt;"")*ISNUMBER(SEARCH(거래처별!$AD$8:$AD$307,$AB507))),거래처별!$A$8:$A$307),IFERROR(LOOKUP(2,1/((거래처별!$AE$8:$AE$307&lt;&gt;"")*ISNUMBER(SEARCH(거래처별!$AE$8:$AE$307,$AB507))),거래처별!$A$8:$A$307),0))))</f>
        <v/>
      </c>
      <c r="AD507" s="31">
        <f>IF(AND($Y507&lt;&gt;"",N($Z507)&gt;0,$AC507=0),MAX($AD$7:$AD506)+1,"")</f>
        <v/>
      </c>
      <c r="AE507" s="31">
        <f>IF($Y507="",0,$Y507)</f>
        <v/>
      </c>
    </row>
    <row r="508">
      <c r="W508" s="31">
        <f>IF(OR($B$5="",$C$6="",ROW()&lt;$B$5),"",IF(INDEX($A:$U,ROW(),$C$6)="","",INDEX($A:$U,ROW(),$C$6)))</f>
        <v/>
      </c>
      <c r="X508" s="32">
        <f>IF($W508="","",IF(ISNUMBER($W508),IF($W508&gt;=10000000,IFERROR(DATE(INT($W508/10000),MOD(INT($W508/100),100),MOD($W508,100)),""),INT($W508)),IFERROR(DATE(--LEFT(LEFT(SUBSTITUTE(SUBSTITUTE(SUBSTITUTE(SUBSTITUTE(TRIM($W508),"-",""),".",""),"/","")," ",""),8),4),--MID(LEFT(SUBSTITUTE(SUBSTITUTE(SUBSTITUTE(SUBSTITUTE(TRIM($W508),"-",""),".",""),"/","")," ",""),8),5,2),--MID(LEFT(SUBSTITUTE(SUBSTITUTE(SUBSTITUTE(SUBSTITUTE(TRIM($W508),"-",""),".",""),"/","")," ",""),8),7,2)),"")))</f>
        <v/>
      </c>
      <c r="Y508" s="32">
        <f>IF($X508="","",INT($X508))</f>
        <v/>
      </c>
      <c r="Z508" s="33">
        <f>IF(OR($Y508="",$D$6=""),"",IF(INDEX($A:$U,ROW(),$D$6)="",0,IF(ISNUMBER(INDEX($A:$U,ROW(),$D$6)),INDEX($A:$U,ROW(),$D$6),IFERROR(--SUBSTITUTE(SUBSTITUTE(TRIM(INDEX($A:$U,ROW(),$D$6)),",",""),"원",""),0))))</f>
        <v/>
      </c>
      <c r="AA508" s="31">
        <f>IF($Y508="","",TRIM(INDEX($A:$U,ROW(),$E$6)&amp;IF($F$6="",""," "&amp;INDEX($A:$U,ROW(),$F$6))))</f>
        <v/>
      </c>
      <c r="AB508" s="31">
        <f>IF($AA508="","",SUBSTITUTE(SUBSTITUTE(SUBSTITUTE(SUBSTITUTE(SUBSTITUTE(SUBSTITUTE(SUBSTITUTE(SUBSTITUTE(SUBSTITUTE($AA508," ",""),"　",""),"(주)",""),"（주）",""),"㈜",""),"주식회사",""),"(유)",""),"（유）",""),"유한회사",""))</f>
        <v/>
      </c>
      <c r="AC508" s="31">
        <f>IF(OR($Y508="",N($Z508)&lt;=0,$AB508=""),0,IFERROR(LOOKUP(2,1/((거래처별!$AC$8:$AC$307&lt;&gt;"")*ISNUMBER(SEARCH(거래처별!$AC$8:$AC$307,$AB508))),거래처별!$A$8:$A$307),IFERROR(LOOKUP(2,1/((거래처별!$AD$8:$AD$307&lt;&gt;"")*ISNUMBER(SEARCH(거래처별!$AD$8:$AD$307,$AB508))),거래처별!$A$8:$A$307),IFERROR(LOOKUP(2,1/((거래처별!$AE$8:$AE$307&lt;&gt;"")*ISNUMBER(SEARCH(거래처별!$AE$8:$AE$307,$AB508))),거래처별!$A$8:$A$307),0))))</f>
        <v/>
      </c>
      <c r="AD508" s="31">
        <f>IF(AND($Y508&lt;&gt;"",N($Z508)&gt;0,$AC508=0),MAX($AD$7:$AD507)+1,"")</f>
        <v/>
      </c>
      <c r="AE508" s="31">
        <f>IF($Y508="",0,$Y508)</f>
        <v/>
      </c>
    </row>
    <row r="509">
      <c r="W509" s="31">
        <f>IF(OR($B$5="",$C$6="",ROW()&lt;$B$5),"",IF(INDEX($A:$U,ROW(),$C$6)="","",INDEX($A:$U,ROW(),$C$6)))</f>
        <v/>
      </c>
      <c r="X509" s="32">
        <f>IF($W509="","",IF(ISNUMBER($W509),IF($W509&gt;=10000000,IFERROR(DATE(INT($W509/10000),MOD(INT($W509/100),100),MOD($W509,100)),""),INT($W509)),IFERROR(DATE(--LEFT(LEFT(SUBSTITUTE(SUBSTITUTE(SUBSTITUTE(SUBSTITUTE(TRIM($W509),"-",""),".",""),"/","")," ",""),8),4),--MID(LEFT(SUBSTITUTE(SUBSTITUTE(SUBSTITUTE(SUBSTITUTE(TRIM($W509),"-",""),".",""),"/","")," ",""),8),5,2),--MID(LEFT(SUBSTITUTE(SUBSTITUTE(SUBSTITUTE(SUBSTITUTE(TRIM($W509),"-",""),".",""),"/","")," ",""),8),7,2)),"")))</f>
        <v/>
      </c>
      <c r="Y509" s="32">
        <f>IF($X509="","",INT($X509))</f>
        <v/>
      </c>
      <c r="Z509" s="33">
        <f>IF(OR($Y509="",$D$6=""),"",IF(INDEX($A:$U,ROW(),$D$6)="",0,IF(ISNUMBER(INDEX($A:$U,ROW(),$D$6)),INDEX($A:$U,ROW(),$D$6),IFERROR(--SUBSTITUTE(SUBSTITUTE(TRIM(INDEX($A:$U,ROW(),$D$6)),",",""),"원",""),0))))</f>
        <v/>
      </c>
      <c r="AA509" s="31">
        <f>IF($Y509="","",TRIM(INDEX($A:$U,ROW(),$E$6)&amp;IF($F$6="",""," "&amp;INDEX($A:$U,ROW(),$F$6))))</f>
        <v/>
      </c>
      <c r="AB509" s="31">
        <f>IF($AA509="","",SUBSTITUTE(SUBSTITUTE(SUBSTITUTE(SUBSTITUTE(SUBSTITUTE(SUBSTITUTE(SUBSTITUTE(SUBSTITUTE(SUBSTITUTE($AA509," ",""),"　",""),"(주)",""),"（주）",""),"㈜",""),"주식회사",""),"(유)",""),"（유）",""),"유한회사",""))</f>
        <v/>
      </c>
      <c r="AC509" s="31">
        <f>IF(OR($Y509="",N($Z509)&lt;=0,$AB509=""),0,IFERROR(LOOKUP(2,1/((거래처별!$AC$8:$AC$307&lt;&gt;"")*ISNUMBER(SEARCH(거래처별!$AC$8:$AC$307,$AB509))),거래처별!$A$8:$A$307),IFERROR(LOOKUP(2,1/((거래처별!$AD$8:$AD$307&lt;&gt;"")*ISNUMBER(SEARCH(거래처별!$AD$8:$AD$307,$AB509))),거래처별!$A$8:$A$307),IFERROR(LOOKUP(2,1/((거래처별!$AE$8:$AE$307&lt;&gt;"")*ISNUMBER(SEARCH(거래처별!$AE$8:$AE$307,$AB509))),거래처별!$A$8:$A$307),0))))</f>
        <v/>
      </c>
      <c r="AD509" s="31">
        <f>IF(AND($Y509&lt;&gt;"",N($Z509)&gt;0,$AC509=0),MAX($AD$7:$AD508)+1,"")</f>
        <v/>
      </c>
      <c r="AE509" s="31">
        <f>IF($Y509="",0,$Y509)</f>
        <v/>
      </c>
    </row>
    <row r="510">
      <c r="W510" s="31">
        <f>IF(OR($B$5="",$C$6="",ROW()&lt;$B$5),"",IF(INDEX($A:$U,ROW(),$C$6)="","",INDEX($A:$U,ROW(),$C$6)))</f>
        <v/>
      </c>
      <c r="X510" s="32">
        <f>IF($W510="","",IF(ISNUMBER($W510),IF($W510&gt;=10000000,IFERROR(DATE(INT($W510/10000),MOD(INT($W510/100),100),MOD($W510,100)),""),INT($W510)),IFERROR(DATE(--LEFT(LEFT(SUBSTITUTE(SUBSTITUTE(SUBSTITUTE(SUBSTITUTE(TRIM($W510),"-",""),".",""),"/","")," ",""),8),4),--MID(LEFT(SUBSTITUTE(SUBSTITUTE(SUBSTITUTE(SUBSTITUTE(TRIM($W510),"-",""),".",""),"/","")," ",""),8),5,2),--MID(LEFT(SUBSTITUTE(SUBSTITUTE(SUBSTITUTE(SUBSTITUTE(TRIM($W510),"-",""),".",""),"/","")," ",""),8),7,2)),"")))</f>
        <v/>
      </c>
      <c r="Y510" s="32">
        <f>IF($X510="","",INT($X510))</f>
        <v/>
      </c>
      <c r="Z510" s="33">
        <f>IF(OR($Y510="",$D$6=""),"",IF(INDEX($A:$U,ROW(),$D$6)="",0,IF(ISNUMBER(INDEX($A:$U,ROW(),$D$6)),INDEX($A:$U,ROW(),$D$6),IFERROR(--SUBSTITUTE(SUBSTITUTE(TRIM(INDEX($A:$U,ROW(),$D$6)),",",""),"원",""),0))))</f>
        <v/>
      </c>
      <c r="AA510" s="31">
        <f>IF($Y510="","",TRIM(INDEX($A:$U,ROW(),$E$6)&amp;IF($F$6="",""," "&amp;INDEX($A:$U,ROW(),$F$6))))</f>
        <v/>
      </c>
      <c r="AB510" s="31">
        <f>IF($AA510="","",SUBSTITUTE(SUBSTITUTE(SUBSTITUTE(SUBSTITUTE(SUBSTITUTE(SUBSTITUTE(SUBSTITUTE(SUBSTITUTE(SUBSTITUTE($AA510," ",""),"　",""),"(주)",""),"（주）",""),"㈜",""),"주식회사",""),"(유)",""),"（유）",""),"유한회사",""))</f>
        <v/>
      </c>
      <c r="AC510" s="31">
        <f>IF(OR($Y510="",N($Z510)&lt;=0,$AB510=""),0,IFERROR(LOOKUP(2,1/((거래처별!$AC$8:$AC$307&lt;&gt;"")*ISNUMBER(SEARCH(거래처별!$AC$8:$AC$307,$AB510))),거래처별!$A$8:$A$307),IFERROR(LOOKUP(2,1/((거래처별!$AD$8:$AD$307&lt;&gt;"")*ISNUMBER(SEARCH(거래처별!$AD$8:$AD$307,$AB510))),거래처별!$A$8:$A$307),IFERROR(LOOKUP(2,1/((거래처별!$AE$8:$AE$307&lt;&gt;"")*ISNUMBER(SEARCH(거래처별!$AE$8:$AE$307,$AB510))),거래처별!$A$8:$A$307),0))))</f>
        <v/>
      </c>
      <c r="AD510" s="31">
        <f>IF(AND($Y510&lt;&gt;"",N($Z510)&gt;0,$AC510=0),MAX($AD$7:$AD509)+1,"")</f>
        <v/>
      </c>
      <c r="AE510" s="31">
        <f>IF($Y510="",0,$Y510)</f>
        <v/>
      </c>
    </row>
    <row r="511">
      <c r="W511" s="31">
        <f>IF(OR($B$5="",$C$6="",ROW()&lt;$B$5),"",IF(INDEX($A:$U,ROW(),$C$6)="","",INDEX($A:$U,ROW(),$C$6)))</f>
        <v/>
      </c>
      <c r="X511" s="32">
        <f>IF($W511="","",IF(ISNUMBER($W511),IF($W511&gt;=10000000,IFERROR(DATE(INT($W511/10000),MOD(INT($W511/100),100),MOD($W511,100)),""),INT($W511)),IFERROR(DATE(--LEFT(LEFT(SUBSTITUTE(SUBSTITUTE(SUBSTITUTE(SUBSTITUTE(TRIM($W511),"-",""),".",""),"/","")," ",""),8),4),--MID(LEFT(SUBSTITUTE(SUBSTITUTE(SUBSTITUTE(SUBSTITUTE(TRIM($W511),"-",""),".",""),"/","")," ",""),8),5,2),--MID(LEFT(SUBSTITUTE(SUBSTITUTE(SUBSTITUTE(SUBSTITUTE(TRIM($W511),"-",""),".",""),"/","")," ",""),8),7,2)),"")))</f>
        <v/>
      </c>
      <c r="Y511" s="32">
        <f>IF($X511="","",INT($X511))</f>
        <v/>
      </c>
      <c r="Z511" s="33">
        <f>IF(OR($Y511="",$D$6=""),"",IF(INDEX($A:$U,ROW(),$D$6)="",0,IF(ISNUMBER(INDEX($A:$U,ROW(),$D$6)),INDEX($A:$U,ROW(),$D$6),IFERROR(--SUBSTITUTE(SUBSTITUTE(TRIM(INDEX($A:$U,ROW(),$D$6)),",",""),"원",""),0))))</f>
        <v/>
      </c>
      <c r="AA511" s="31">
        <f>IF($Y511="","",TRIM(INDEX($A:$U,ROW(),$E$6)&amp;IF($F$6="",""," "&amp;INDEX($A:$U,ROW(),$F$6))))</f>
        <v/>
      </c>
      <c r="AB511" s="31">
        <f>IF($AA511="","",SUBSTITUTE(SUBSTITUTE(SUBSTITUTE(SUBSTITUTE(SUBSTITUTE(SUBSTITUTE(SUBSTITUTE(SUBSTITUTE(SUBSTITUTE($AA511," ",""),"　",""),"(주)",""),"（주）",""),"㈜",""),"주식회사",""),"(유)",""),"（유）",""),"유한회사",""))</f>
        <v/>
      </c>
      <c r="AC511" s="31">
        <f>IF(OR($Y511="",N($Z511)&lt;=0,$AB511=""),0,IFERROR(LOOKUP(2,1/((거래처별!$AC$8:$AC$307&lt;&gt;"")*ISNUMBER(SEARCH(거래처별!$AC$8:$AC$307,$AB511))),거래처별!$A$8:$A$307),IFERROR(LOOKUP(2,1/((거래처별!$AD$8:$AD$307&lt;&gt;"")*ISNUMBER(SEARCH(거래처별!$AD$8:$AD$307,$AB511))),거래처별!$A$8:$A$307),IFERROR(LOOKUP(2,1/((거래처별!$AE$8:$AE$307&lt;&gt;"")*ISNUMBER(SEARCH(거래처별!$AE$8:$AE$307,$AB511))),거래처별!$A$8:$A$307),0))))</f>
        <v/>
      </c>
      <c r="AD511" s="31">
        <f>IF(AND($Y511&lt;&gt;"",N($Z511)&gt;0,$AC511=0),MAX($AD$7:$AD510)+1,"")</f>
        <v/>
      </c>
      <c r="AE511" s="31">
        <f>IF($Y511="",0,$Y511)</f>
        <v/>
      </c>
    </row>
    <row r="512">
      <c r="W512" s="31">
        <f>IF(OR($B$5="",$C$6="",ROW()&lt;$B$5),"",IF(INDEX($A:$U,ROW(),$C$6)="","",INDEX($A:$U,ROW(),$C$6)))</f>
        <v/>
      </c>
      <c r="X512" s="32">
        <f>IF($W512="","",IF(ISNUMBER($W512),IF($W512&gt;=10000000,IFERROR(DATE(INT($W512/10000),MOD(INT($W512/100),100),MOD($W512,100)),""),INT($W512)),IFERROR(DATE(--LEFT(LEFT(SUBSTITUTE(SUBSTITUTE(SUBSTITUTE(SUBSTITUTE(TRIM($W512),"-",""),".",""),"/","")," ",""),8),4),--MID(LEFT(SUBSTITUTE(SUBSTITUTE(SUBSTITUTE(SUBSTITUTE(TRIM($W512),"-",""),".",""),"/","")," ",""),8),5,2),--MID(LEFT(SUBSTITUTE(SUBSTITUTE(SUBSTITUTE(SUBSTITUTE(TRIM($W512),"-",""),".",""),"/","")," ",""),8),7,2)),"")))</f>
        <v/>
      </c>
      <c r="Y512" s="32">
        <f>IF($X512="","",INT($X512))</f>
        <v/>
      </c>
      <c r="Z512" s="33">
        <f>IF(OR($Y512="",$D$6=""),"",IF(INDEX($A:$U,ROW(),$D$6)="",0,IF(ISNUMBER(INDEX($A:$U,ROW(),$D$6)),INDEX($A:$U,ROW(),$D$6),IFERROR(--SUBSTITUTE(SUBSTITUTE(TRIM(INDEX($A:$U,ROW(),$D$6)),",",""),"원",""),0))))</f>
        <v/>
      </c>
      <c r="AA512" s="31">
        <f>IF($Y512="","",TRIM(INDEX($A:$U,ROW(),$E$6)&amp;IF($F$6="",""," "&amp;INDEX($A:$U,ROW(),$F$6))))</f>
        <v/>
      </c>
      <c r="AB512" s="31">
        <f>IF($AA512="","",SUBSTITUTE(SUBSTITUTE(SUBSTITUTE(SUBSTITUTE(SUBSTITUTE(SUBSTITUTE(SUBSTITUTE(SUBSTITUTE(SUBSTITUTE($AA512," ",""),"　",""),"(주)",""),"（주）",""),"㈜",""),"주식회사",""),"(유)",""),"（유）",""),"유한회사",""))</f>
        <v/>
      </c>
      <c r="AC512" s="31">
        <f>IF(OR($Y512="",N($Z512)&lt;=0,$AB512=""),0,IFERROR(LOOKUP(2,1/((거래처별!$AC$8:$AC$307&lt;&gt;"")*ISNUMBER(SEARCH(거래처별!$AC$8:$AC$307,$AB512))),거래처별!$A$8:$A$307),IFERROR(LOOKUP(2,1/((거래처별!$AD$8:$AD$307&lt;&gt;"")*ISNUMBER(SEARCH(거래처별!$AD$8:$AD$307,$AB512))),거래처별!$A$8:$A$307),IFERROR(LOOKUP(2,1/((거래처별!$AE$8:$AE$307&lt;&gt;"")*ISNUMBER(SEARCH(거래처별!$AE$8:$AE$307,$AB512))),거래처별!$A$8:$A$307),0))))</f>
        <v/>
      </c>
      <c r="AD512" s="31">
        <f>IF(AND($Y512&lt;&gt;"",N($Z512)&gt;0,$AC512=0),MAX($AD$7:$AD511)+1,"")</f>
        <v/>
      </c>
      <c r="AE512" s="31">
        <f>IF($Y512="",0,$Y512)</f>
        <v/>
      </c>
    </row>
    <row r="513">
      <c r="W513" s="31">
        <f>IF(OR($B$5="",$C$6="",ROW()&lt;$B$5),"",IF(INDEX($A:$U,ROW(),$C$6)="","",INDEX($A:$U,ROW(),$C$6)))</f>
        <v/>
      </c>
      <c r="X513" s="32">
        <f>IF($W513="","",IF(ISNUMBER($W513),IF($W513&gt;=10000000,IFERROR(DATE(INT($W513/10000),MOD(INT($W513/100),100),MOD($W513,100)),""),INT($W513)),IFERROR(DATE(--LEFT(LEFT(SUBSTITUTE(SUBSTITUTE(SUBSTITUTE(SUBSTITUTE(TRIM($W513),"-",""),".",""),"/","")," ",""),8),4),--MID(LEFT(SUBSTITUTE(SUBSTITUTE(SUBSTITUTE(SUBSTITUTE(TRIM($W513),"-",""),".",""),"/","")," ",""),8),5,2),--MID(LEFT(SUBSTITUTE(SUBSTITUTE(SUBSTITUTE(SUBSTITUTE(TRIM($W513),"-",""),".",""),"/","")," ",""),8),7,2)),"")))</f>
        <v/>
      </c>
      <c r="Y513" s="32">
        <f>IF($X513="","",INT($X513))</f>
        <v/>
      </c>
      <c r="Z513" s="33">
        <f>IF(OR($Y513="",$D$6=""),"",IF(INDEX($A:$U,ROW(),$D$6)="",0,IF(ISNUMBER(INDEX($A:$U,ROW(),$D$6)),INDEX($A:$U,ROW(),$D$6),IFERROR(--SUBSTITUTE(SUBSTITUTE(TRIM(INDEX($A:$U,ROW(),$D$6)),",",""),"원",""),0))))</f>
        <v/>
      </c>
      <c r="AA513" s="31">
        <f>IF($Y513="","",TRIM(INDEX($A:$U,ROW(),$E$6)&amp;IF($F$6="",""," "&amp;INDEX($A:$U,ROW(),$F$6))))</f>
        <v/>
      </c>
      <c r="AB513" s="31">
        <f>IF($AA513="","",SUBSTITUTE(SUBSTITUTE(SUBSTITUTE(SUBSTITUTE(SUBSTITUTE(SUBSTITUTE(SUBSTITUTE(SUBSTITUTE(SUBSTITUTE($AA513," ",""),"　",""),"(주)",""),"（주）",""),"㈜",""),"주식회사",""),"(유)",""),"（유）",""),"유한회사",""))</f>
        <v/>
      </c>
      <c r="AC513" s="31">
        <f>IF(OR($Y513="",N($Z513)&lt;=0,$AB513=""),0,IFERROR(LOOKUP(2,1/((거래처별!$AC$8:$AC$307&lt;&gt;"")*ISNUMBER(SEARCH(거래처별!$AC$8:$AC$307,$AB513))),거래처별!$A$8:$A$307),IFERROR(LOOKUP(2,1/((거래처별!$AD$8:$AD$307&lt;&gt;"")*ISNUMBER(SEARCH(거래처별!$AD$8:$AD$307,$AB513))),거래처별!$A$8:$A$307),IFERROR(LOOKUP(2,1/((거래처별!$AE$8:$AE$307&lt;&gt;"")*ISNUMBER(SEARCH(거래처별!$AE$8:$AE$307,$AB513))),거래처별!$A$8:$A$307),0))))</f>
        <v/>
      </c>
      <c r="AD513" s="31">
        <f>IF(AND($Y513&lt;&gt;"",N($Z513)&gt;0,$AC513=0),MAX($AD$7:$AD512)+1,"")</f>
        <v/>
      </c>
      <c r="AE513" s="31">
        <f>IF($Y513="",0,$Y513)</f>
        <v/>
      </c>
    </row>
    <row r="514">
      <c r="W514" s="31">
        <f>IF(OR($B$5="",$C$6="",ROW()&lt;$B$5),"",IF(INDEX($A:$U,ROW(),$C$6)="","",INDEX($A:$U,ROW(),$C$6)))</f>
        <v/>
      </c>
      <c r="X514" s="32">
        <f>IF($W514="","",IF(ISNUMBER($W514),IF($W514&gt;=10000000,IFERROR(DATE(INT($W514/10000),MOD(INT($W514/100),100),MOD($W514,100)),""),INT($W514)),IFERROR(DATE(--LEFT(LEFT(SUBSTITUTE(SUBSTITUTE(SUBSTITUTE(SUBSTITUTE(TRIM($W514),"-",""),".",""),"/","")," ",""),8),4),--MID(LEFT(SUBSTITUTE(SUBSTITUTE(SUBSTITUTE(SUBSTITUTE(TRIM($W514),"-",""),".",""),"/","")," ",""),8),5,2),--MID(LEFT(SUBSTITUTE(SUBSTITUTE(SUBSTITUTE(SUBSTITUTE(TRIM($W514),"-",""),".",""),"/","")," ",""),8),7,2)),"")))</f>
        <v/>
      </c>
      <c r="Y514" s="32">
        <f>IF($X514="","",INT($X514))</f>
        <v/>
      </c>
      <c r="Z514" s="33">
        <f>IF(OR($Y514="",$D$6=""),"",IF(INDEX($A:$U,ROW(),$D$6)="",0,IF(ISNUMBER(INDEX($A:$U,ROW(),$D$6)),INDEX($A:$U,ROW(),$D$6),IFERROR(--SUBSTITUTE(SUBSTITUTE(TRIM(INDEX($A:$U,ROW(),$D$6)),",",""),"원",""),0))))</f>
        <v/>
      </c>
      <c r="AA514" s="31">
        <f>IF($Y514="","",TRIM(INDEX($A:$U,ROW(),$E$6)&amp;IF($F$6="",""," "&amp;INDEX($A:$U,ROW(),$F$6))))</f>
        <v/>
      </c>
      <c r="AB514" s="31">
        <f>IF($AA514="","",SUBSTITUTE(SUBSTITUTE(SUBSTITUTE(SUBSTITUTE(SUBSTITUTE(SUBSTITUTE(SUBSTITUTE(SUBSTITUTE(SUBSTITUTE($AA514," ",""),"　",""),"(주)",""),"（주）",""),"㈜",""),"주식회사",""),"(유)",""),"（유）",""),"유한회사",""))</f>
        <v/>
      </c>
      <c r="AC514" s="31">
        <f>IF(OR($Y514="",N($Z514)&lt;=0,$AB514=""),0,IFERROR(LOOKUP(2,1/((거래처별!$AC$8:$AC$307&lt;&gt;"")*ISNUMBER(SEARCH(거래처별!$AC$8:$AC$307,$AB514))),거래처별!$A$8:$A$307),IFERROR(LOOKUP(2,1/((거래처별!$AD$8:$AD$307&lt;&gt;"")*ISNUMBER(SEARCH(거래처별!$AD$8:$AD$307,$AB514))),거래처별!$A$8:$A$307),IFERROR(LOOKUP(2,1/((거래처별!$AE$8:$AE$307&lt;&gt;"")*ISNUMBER(SEARCH(거래처별!$AE$8:$AE$307,$AB514))),거래처별!$A$8:$A$307),0))))</f>
        <v/>
      </c>
      <c r="AD514" s="31">
        <f>IF(AND($Y514&lt;&gt;"",N($Z514)&gt;0,$AC514=0),MAX($AD$7:$AD513)+1,"")</f>
        <v/>
      </c>
      <c r="AE514" s="31">
        <f>IF($Y514="",0,$Y514)</f>
        <v/>
      </c>
    </row>
    <row r="515">
      <c r="W515" s="31">
        <f>IF(OR($B$5="",$C$6="",ROW()&lt;$B$5),"",IF(INDEX($A:$U,ROW(),$C$6)="","",INDEX($A:$U,ROW(),$C$6)))</f>
        <v/>
      </c>
      <c r="X515" s="32">
        <f>IF($W515="","",IF(ISNUMBER($W515),IF($W515&gt;=10000000,IFERROR(DATE(INT($W515/10000),MOD(INT($W515/100),100),MOD($W515,100)),""),INT($W515)),IFERROR(DATE(--LEFT(LEFT(SUBSTITUTE(SUBSTITUTE(SUBSTITUTE(SUBSTITUTE(TRIM($W515),"-",""),".",""),"/","")," ",""),8),4),--MID(LEFT(SUBSTITUTE(SUBSTITUTE(SUBSTITUTE(SUBSTITUTE(TRIM($W515),"-",""),".",""),"/","")," ",""),8),5,2),--MID(LEFT(SUBSTITUTE(SUBSTITUTE(SUBSTITUTE(SUBSTITUTE(TRIM($W515),"-",""),".",""),"/","")," ",""),8),7,2)),"")))</f>
        <v/>
      </c>
      <c r="Y515" s="32">
        <f>IF($X515="","",INT($X515))</f>
        <v/>
      </c>
      <c r="Z515" s="33">
        <f>IF(OR($Y515="",$D$6=""),"",IF(INDEX($A:$U,ROW(),$D$6)="",0,IF(ISNUMBER(INDEX($A:$U,ROW(),$D$6)),INDEX($A:$U,ROW(),$D$6),IFERROR(--SUBSTITUTE(SUBSTITUTE(TRIM(INDEX($A:$U,ROW(),$D$6)),",",""),"원",""),0))))</f>
        <v/>
      </c>
      <c r="AA515" s="31">
        <f>IF($Y515="","",TRIM(INDEX($A:$U,ROW(),$E$6)&amp;IF($F$6="",""," "&amp;INDEX($A:$U,ROW(),$F$6))))</f>
        <v/>
      </c>
      <c r="AB515" s="31">
        <f>IF($AA515="","",SUBSTITUTE(SUBSTITUTE(SUBSTITUTE(SUBSTITUTE(SUBSTITUTE(SUBSTITUTE(SUBSTITUTE(SUBSTITUTE(SUBSTITUTE($AA515," ",""),"　",""),"(주)",""),"（주）",""),"㈜",""),"주식회사",""),"(유)",""),"（유）",""),"유한회사",""))</f>
        <v/>
      </c>
      <c r="AC515" s="31">
        <f>IF(OR($Y515="",N($Z515)&lt;=0,$AB515=""),0,IFERROR(LOOKUP(2,1/((거래처별!$AC$8:$AC$307&lt;&gt;"")*ISNUMBER(SEARCH(거래처별!$AC$8:$AC$307,$AB515))),거래처별!$A$8:$A$307),IFERROR(LOOKUP(2,1/((거래처별!$AD$8:$AD$307&lt;&gt;"")*ISNUMBER(SEARCH(거래처별!$AD$8:$AD$307,$AB515))),거래처별!$A$8:$A$307),IFERROR(LOOKUP(2,1/((거래처별!$AE$8:$AE$307&lt;&gt;"")*ISNUMBER(SEARCH(거래처별!$AE$8:$AE$307,$AB515))),거래처별!$A$8:$A$307),0))))</f>
        <v/>
      </c>
      <c r="AD515" s="31">
        <f>IF(AND($Y515&lt;&gt;"",N($Z515)&gt;0,$AC515=0),MAX($AD$7:$AD514)+1,"")</f>
        <v/>
      </c>
      <c r="AE515" s="31">
        <f>IF($Y515="",0,$Y515)</f>
        <v/>
      </c>
    </row>
    <row r="516">
      <c r="W516" s="31">
        <f>IF(OR($B$5="",$C$6="",ROW()&lt;$B$5),"",IF(INDEX($A:$U,ROW(),$C$6)="","",INDEX($A:$U,ROW(),$C$6)))</f>
        <v/>
      </c>
      <c r="X516" s="32">
        <f>IF($W516="","",IF(ISNUMBER($W516),IF($W516&gt;=10000000,IFERROR(DATE(INT($W516/10000),MOD(INT($W516/100),100),MOD($W516,100)),""),INT($W516)),IFERROR(DATE(--LEFT(LEFT(SUBSTITUTE(SUBSTITUTE(SUBSTITUTE(SUBSTITUTE(TRIM($W516),"-",""),".",""),"/","")," ",""),8),4),--MID(LEFT(SUBSTITUTE(SUBSTITUTE(SUBSTITUTE(SUBSTITUTE(TRIM($W516),"-",""),".",""),"/","")," ",""),8),5,2),--MID(LEFT(SUBSTITUTE(SUBSTITUTE(SUBSTITUTE(SUBSTITUTE(TRIM($W516),"-",""),".",""),"/","")," ",""),8),7,2)),"")))</f>
        <v/>
      </c>
      <c r="Y516" s="32">
        <f>IF($X516="","",INT($X516))</f>
        <v/>
      </c>
      <c r="Z516" s="33">
        <f>IF(OR($Y516="",$D$6=""),"",IF(INDEX($A:$U,ROW(),$D$6)="",0,IF(ISNUMBER(INDEX($A:$U,ROW(),$D$6)),INDEX($A:$U,ROW(),$D$6),IFERROR(--SUBSTITUTE(SUBSTITUTE(TRIM(INDEX($A:$U,ROW(),$D$6)),",",""),"원",""),0))))</f>
        <v/>
      </c>
      <c r="AA516" s="31">
        <f>IF($Y516="","",TRIM(INDEX($A:$U,ROW(),$E$6)&amp;IF($F$6="",""," "&amp;INDEX($A:$U,ROW(),$F$6))))</f>
        <v/>
      </c>
      <c r="AB516" s="31">
        <f>IF($AA516="","",SUBSTITUTE(SUBSTITUTE(SUBSTITUTE(SUBSTITUTE(SUBSTITUTE(SUBSTITUTE(SUBSTITUTE(SUBSTITUTE(SUBSTITUTE($AA516," ",""),"　",""),"(주)",""),"（주）",""),"㈜",""),"주식회사",""),"(유)",""),"（유）",""),"유한회사",""))</f>
        <v/>
      </c>
      <c r="AC516" s="31">
        <f>IF(OR($Y516="",N($Z516)&lt;=0,$AB516=""),0,IFERROR(LOOKUP(2,1/((거래처별!$AC$8:$AC$307&lt;&gt;"")*ISNUMBER(SEARCH(거래처별!$AC$8:$AC$307,$AB516))),거래처별!$A$8:$A$307),IFERROR(LOOKUP(2,1/((거래처별!$AD$8:$AD$307&lt;&gt;"")*ISNUMBER(SEARCH(거래처별!$AD$8:$AD$307,$AB516))),거래처별!$A$8:$A$307),IFERROR(LOOKUP(2,1/((거래처별!$AE$8:$AE$307&lt;&gt;"")*ISNUMBER(SEARCH(거래처별!$AE$8:$AE$307,$AB516))),거래처별!$A$8:$A$307),0))))</f>
        <v/>
      </c>
      <c r="AD516" s="31">
        <f>IF(AND($Y516&lt;&gt;"",N($Z516)&gt;0,$AC516=0),MAX($AD$7:$AD515)+1,"")</f>
        <v/>
      </c>
      <c r="AE516" s="31">
        <f>IF($Y516="",0,$Y516)</f>
        <v/>
      </c>
    </row>
    <row r="517">
      <c r="W517" s="31">
        <f>IF(OR($B$5="",$C$6="",ROW()&lt;$B$5),"",IF(INDEX($A:$U,ROW(),$C$6)="","",INDEX($A:$U,ROW(),$C$6)))</f>
        <v/>
      </c>
      <c r="X517" s="32">
        <f>IF($W517="","",IF(ISNUMBER($W517),IF($W517&gt;=10000000,IFERROR(DATE(INT($W517/10000),MOD(INT($W517/100),100),MOD($W517,100)),""),INT($W517)),IFERROR(DATE(--LEFT(LEFT(SUBSTITUTE(SUBSTITUTE(SUBSTITUTE(SUBSTITUTE(TRIM($W517),"-",""),".",""),"/","")," ",""),8),4),--MID(LEFT(SUBSTITUTE(SUBSTITUTE(SUBSTITUTE(SUBSTITUTE(TRIM($W517),"-",""),".",""),"/","")," ",""),8),5,2),--MID(LEFT(SUBSTITUTE(SUBSTITUTE(SUBSTITUTE(SUBSTITUTE(TRIM($W517),"-",""),".",""),"/","")," ",""),8),7,2)),"")))</f>
        <v/>
      </c>
      <c r="Y517" s="32">
        <f>IF($X517="","",INT($X517))</f>
        <v/>
      </c>
      <c r="Z517" s="33">
        <f>IF(OR($Y517="",$D$6=""),"",IF(INDEX($A:$U,ROW(),$D$6)="",0,IF(ISNUMBER(INDEX($A:$U,ROW(),$D$6)),INDEX($A:$U,ROW(),$D$6),IFERROR(--SUBSTITUTE(SUBSTITUTE(TRIM(INDEX($A:$U,ROW(),$D$6)),",",""),"원",""),0))))</f>
        <v/>
      </c>
      <c r="AA517" s="31">
        <f>IF($Y517="","",TRIM(INDEX($A:$U,ROW(),$E$6)&amp;IF($F$6="",""," "&amp;INDEX($A:$U,ROW(),$F$6))))</f>
        <v/>
      </c>
      <c r="AB517" s="31">
        <f>IF($AA517="","",SUBSTITUTE(SUBSTITUTE(SUBSTITUTE(SUBSTITUTE(SUBSTITUTE(SUBSTITUTE(SUBSTITUTE(SUBSTITUTE(SUBSTITUTE($AA517," ",""),"　",""),"(주)",""),"（주）",""),"㈜",""),"주식회사",""),"(유)",""),"（유）",""),"유한회사",""))</f>
        <v/>
      </c>
      <c r="AC517" s="31">
        <f>IF(OR($Y517="",N($Z517)&lt;=0,$AB517=""),0,IFERROR(LOOKUP(2,1/((거래처별!$AC$8:$AC$307&lt;&gt;"")*ISNUMBER(SEARCH(거래처별!$AC$8:$AC$307,$AB517))),거래처별!$A$8:$A$307),IFERROR(LOOKUP(2,1/((거래처별!$AD$8:$AD$307&lt;&gt;"")*ISNUMBER(SEARCH(거래처별!$AD$8:$AD$307,$AB517))),거래처별!$A$8:$A$307),IFERROR(LOOKUP(2,1/((거래처별!$AE$8:$AE$307&lt;&gt;"")*ISNUMBER(SEARCH(거래처별!$AE$8:$AE$307,$AB517))),거래처별!$A$8:$A$307),0))))</f>
        <v/>
      </c>
      <c r="AD517" s="31">
        <f>IF(AND($Y517&lt;&gt;"",N($Z517)&gt;0,$AC517=0),MAX($AD$7:$AD516)+1,"")</f>
        <v/>
      </c>
      <c r="AE517" s="31">
        <f>IF($Y517="",0,$Y517)</f>
        <v/>
      </c>
    </row>
    <row r="518">
      <c r="W518" s="31">
        <f>IF(OR($B$5="",$C$6="",ROW()&lt;$B$5),"",IF(INDEX($A:$U,ROW(),$C$6)="","",INDEX($A:$U,ROW(),$C$6)))</f>
        <v/>
      </c>
      <c r="X518" s="32">
        <f>IF($W518="","",IF(ISNUMBER($W518),IF($W518&gt;=10000000,IFERROR(DATE(INT($W518/10000),MOD(INT($W518/100),100),MOD($W518,100)),""),INT($W518)),IFERROR(DATE(--LEFT(LEFT(SUBSTITUTE(SUBSTITUTE(SUBSTITUTE(SUBSTITUTE(TRIM($W518),"-",""),".",""),"/","")," ",""),8),4),--MID(LEFT(SUBSTITUTE(SUBSTITUTE(SUBSTITUTE(SUBSTITUTE(TRIM($W518),"-",""),".",""),"/","")," ",""),8),5,2),--MID(LEFT(SUBSTITUTE(SUBSTITUTE(SUBSTITUTE(SUBSTITUTE(TRIM($W518),"-",""),".",""),"/","")," ",""),8),7,2)),"")))</f>
        <v/>
      </c>
      <c r="Y518" s="32">
        <f>IF($X518="","",INT($X518))</f>
        <v/>
      </c>
      <c r="Z518" s="33">
        <f>IF(OR($Y518="",$D$6=""),"",IF(INDEX($A:$U,ROW(),$D$6)="",0,IF(ISNUMBER(INDEX($A:$U,ROW(),$D$6)),INDEX($A:$U,ROW(),$D$6),IFERROR(--SUBSTITUTE(SUBSTITUTE(TRIM(INDEX($A:$U,ROW(),$D$6)),",",""),"원",""),0))))</f>
        <v/>
      </c>
      <c r="AA518" s="31">
        <f>IF($Y518="","",TRIM(INDEX($A:$U,ROW(),$E$6)&amp;IF($F$6="",""," "&amp;INDEX($A:$U,ROW(),$F$6))))</f>
        <v/>
      </c>
      <c r="AB518" s="31">
        <f>IF($AA518="","",SUBSTITUTE(SUBSTITUTE(SUBSTITUTE(SUBSTITUTE(SUBSTITUTE(SUBSTITUTE(SUBSTITUTE(SUBSTITUTE(SUBSTITUTE($AA518," ",""),"　",""),"(주)",""),"（주）",""),"㈜",""),"주식회사",""),"(유)",""),"（유）",""),"유한회사",""))</f>
        <v/>
      </c>
      <c r="AC518" s="31">
        <f>IF(OR($Y518="",N($Z518)&lt;=0,$AB518=""),0,IFERROR(LOOKUP(2,1/((거래처별!$AC$8:$AC$307&lt;&gt;"")*ISNUMBER(SEARCH(거래처별!$AC$8:$AC$307,$AB518))),거래처별!$A$8:$A$307),IFERROR(LOOKUP(2,1/((거래처별!$AD$8:$AD$307&lt;&gt;"")*ISNUMBER(SEARCH(거래처별!$AD$8:$AD$307,$AB518))),거래처별!$A$8:$A$307),IFERROR(LOOKUP(2,1/((거래처별!$AE$8:$AE$307&lt;&gt;"")*ISNUMBER(SEARCH(거래처별!$AE$8:$AE$307,$AB518))),거래처별!$A$8:$A$307),0))))</f>
        <v/>
      </c>
      <c r="AD518" s="31">
        <f>IF(AND($Y518&lt;&gt;"",N($Z518)&gt;0,$AC518=0),MAX($AD$7:$AD517)+1,"")</f>
        <v/>
      </c>
      <c r="AE518" s="31">
        <f>IF($Y518="",0,$Y518)</f>
        <v/>
      </c>
    </row>
    <row r="519">
      <c r="W519" s="31">
        <f>IF(OR($B$5="",$C$6="",ROW()&lt;$B$5),"",IF(INDEX($A:$U,ROW(),$C$6)="","",INDEX($A:$U,ROW(),$C$6)))</f>
        <v/>
      </c>
      <c r="X519" s="32">
        <f>IF($W519="","",IF(ISNUMBER($W519),IF($W519&gt;=10000000,IFERROR(DATE(INT($W519/10000),MOD(INT($W519/100),100),MOD($W519,100)),""),INT($W519)),IFERROR(DATE(--LEFT(LEFT(SUBSTITUTE(SUBSTITUTE(SUBSTITUTE(SUBSTITUTE(TRIM($W519),"-",""),".",""),"/","")," ",""),8),4),--MID(LEFT(SUBSTITUTE(SUBSTITUTE(SUBSTITUTE(SUBSTITUTE(TRIM($W519),"-",""),".",""),"/","")," ",""),8),5,2),--MID(LEFT(SUBSTITUTE(SUBSTITUTE(SUBSTITUTE(SUBSTITUTE(TRIM($W519),"-",""),".",""),"/","")," ",""),8),7,2)),"")))</f>
        <v/>
      </c>
      <c r="Y519" s="32">
        <f>IF($X519="","",INT($X519))</f>
        <v/>
      </c>
      <c r="Z519" s="33">
        <f>IF(OR($Y519="",$D$6=""),"",IF(INDEX($A:$U,ROW(),$D$6)="",0,IF(ISNUMBER(INDEX($A:$U,ROW(),$D$6)),INDEX($A:$U,ROW(),$D$6),IFERROR(--SUBSTITUTE(SUBSTITUTE(TRIM(INDEX($A:$U,ROW(),$D$6)),",",""),"원",""),0))))</f>
        <v/>
      </c>
      <c r="AA519" s="31">
        <f>IF($Y519="","",TRIM(INDEX($A:$U,ROW(),$E$6)&amp;IF($F$6="",""," "&amp;INDEX($A:$U,ROW(),$F$6))))</f>
        <v/>
      </c>
      <c r="AB519" s="31">
        <f>IF($AA519="","",SUBSTITUTE(SUBSTITUTE(SUBSTITUTE(SUBSTITUTE(SUBSTITUTE(SUBSTITUTE(SUBSTITUTE(SUBSTITUTE(SUBSTITUTE($AA519," ",""),"　",""),"(주)",""),"（주）",""),"㈜",""),"주식회사",""),"(유)",""),"（유）",""),"유한회사",""))</f>
        <v/>
      </c>
      <c r="AC519" s="31">
        <f>IF(OR($Y519="",N($Z519)&lt;=0,$AB519=""),0,IFERROR(LOOKUP(2,1/((거래처별!$AC$8:$AC$307&lt;&gt;"")*ISNUMBER(SEARCH(거래처별!$AC$8:$AC$307,$AB519))),거래처별!$A$8:$A$307),IFERROR(LOOKUP(2,1/((거래처별!$AD$8:$AD$307&lt;&gt;"")*ISNUMBER(SEARCH(거래처별!$AD$8:$AD$307,$AB519))),거래처별!$A$8:$A$307),IFERROR(LOOKUP(2,1/((거래처별!$AE$8:$AE$307&lt;&gt;"")*ISNUMBER(SEARCH(거래처별!$AE$8:$AE$307,$AB519))),거래처별!$A$8:$A$307),0))))</f>
        <v/>
      </c>
      <c r="AD519" s="31">
        <f>IF(AND($Y519&lt;&gt;"",N($Z519)&gt;0,$AC519=0),MAX($AD$7:$AD518)+1,"")</f>
        <v/>
      </c>
      <c r="AE519" s="31">
        <f>IF($Y519="",0,$Y519)</f>
        <v/>
      </c>
    </row>
    <row r="520">
      <c r="W520" s="31">
        <f>IF(OR($B$5="",$C$6="",ROW()&lt;$B$5),"",IF(INDEX($A:$U,ROW(),$C$6)="","",INDEX($A:$U,ROW(),$C$6)))</f>
        <v/>
      </c>
      <c r="X520" s="32">
        <f>IF($W520="","",IF(ISNUMBER($W520),IF($W520&gt;=10000000,IFERROR(DATE(INT($W520/10000),MOD(INT($W520/100),100),MOD($W520,100)),""),INT($W520)),IFERROR(DATE(--LEFT(LEFT(SUBSTITUTE(SUBSTITUTE(SUBSTITUTE(SUBSTITUTE(TRIM($W520),"-",""),".",""),"/","")," ",""),8),4),--MID(LEFT(SUBSTITUTE(SUBSTITUTE(SUBSTITUTE(SUBSTITUTE(TRIM($W520),"-",""),".",""),"/","")," ",""),8),5,2),--MID(LEFT(SUBSTITUTE(SUBSTITUTE(SUBSTITUTE(SUBSTITUTE(TRIM($W520),"-",""),".",""),"/","")," ",""),8),7,2)),"")))</f>
        <v/>
      </c>
      <c r="Y520" s="32">
        <f>IF($X520="","",INT($X520))</f>
        <v/>
      </c>
      <c r="Z520" s="33">
        <f>IF(OR($Y520="",$D$6=""),"",IF(INDEX($A:$U,ROW(),$D$6)="",0,IF(ISNUMBER(INDEX($A:$U,ROW(),$D$6)),INDEX($A:$U,ROW(),$D$6),IFERROR(--SUBSTITUTE(SUBSTITUTE(TRIM(INDEX($A:$U,ROW(),$D$6)),",",""),"원",""),0))))</f>
        <v/>
      </c>
      <c r="AA520" s="31">
        <f>IF($Y520="","",TRIM(INDEX($A:$U,ROW(),$E$6)&amp;IF($F$6="",""," "&amp;INDEX($A:$U,ROW(),$F$6))))</f>
        <v/>
      </c>
      <c r="AB520" s="31">
        <f>IF($AA520="","",SUBSTITUTE(SUBSTITUTE(SUBSTITUTE(SUBSTITUTE(SUBSTITUTE(SUBSTITUTE(SUBSTITUTE(SUBSTITUTE(SUBSTITUTE($AA520," ",""),"　",""),"(주)",""),"（주）",""),"㈜",""),"주식회사",""),"(유)",""),"（유）",""),"유한회사",""))</f>
        <v/>
      </c>
      <c r="AC520" s="31">
        <f>IF(OR($Y520="",N($Z520)&lt;=0,$AB520=""),0,IFERROR(LOOKUP(2,1/((거래처별!$AC$8:$AC$307&lt;&gt;"")*ISNUMBER(SEARCH(거래처별!$AC$8:$AC$307,$AB520))),거래처별!$A$8:$A$307),IFERROR(LOOKUP(2,1/((거래처별!$AD$8:$AD$307&lt;&gt;"")*ISNUMBER(SEARCH(거래처별!$AD$8:$AD$307,$AB520))),거래처별!$A$8:$A$307),IFERROR(LOOKUP(2,1/((거래처별!$AE$8:$AE$307&lt;&gt;"")*ISNUMBER(SEARCH(거래처별!$AE$8:$AE$307,$AB520))),거래처별!$A$8:$A$307),0))))</f>
        <v/>
      </c>
      <c r="AD520" s="31">
        <f>IF(AND($Y520&lt;&gt;"",N($Z520)&gt;0,$AC520=0),MAX($AD$7:$AD519)+1,"")</f>
        <v/>
      </c>
      <c r="AE520" s="31">
        <f>IF($Y520="",0,$Y520)</f>
        <v/>
      </c>
    </row>
    <row r="521">
      <c r="W521" s="31">
        <f>IF(OR($B$5="",$C$6="",ROW()&lt;$B$5),"",IF(INDEX($A:$U,ROW(),$C$6)="","",INDEX($A:$U,ROW(),$C$6)))</f>
        <v/>
      </c>
      <c r="X521" s="32">
        <f>IF($W521="","",IF(ISNUMBER($W521),IF($W521&gt;=10000000,IFERROR(DATE(INT($W521/10000),MOD(INT($W521/100),100),MOD($W521,100)),""),INT($W521)),IFERROR(DATE(--LEFT(LEFT(SUBSTITUTE(SUBSTITUTE(SUBSTITUTE(SUBSTITUTE(TRIM($W521),"-",""),".",""),"/","")," ",""),8),4),--MID(LEFT(SUBSTITUTE(SUBSTITUTE(SUBSTITUTE(SUBSTITUTE(TRIM($W521),"-",""),".",""),"/","")," ",""),8),5,2),--MID(LEFT(SUBSTITUTE(SUBSTITUTE(SUBSTITUTE(SUBSTITUTE(TRIM($W521),"-",""),".",""),"/","")," ",""),8),7,2)),"")))</f>
        <v/>
      </c>
      <c r="Y521" s="32">
        <f>IF($X521="","",INT($X521))</f>
        <v/>
      </c>
      <c r="Z521" s="33">
        <f>IF(OR($Y521="",$D$6=""),"",IF(INDEX($A:$U,ROW(),$D$6)="",0,IF(ISNUMBER(INDEX($A:$U,ROW(),$D$6)),INDEX($A:$U,ROW(),$D$6),IFERROR(--SUBSTITUTE(SUBSTITUTE(TRIM(INDEX($A:$U,ROW(),$D$6)),",",""),"원",""),0))))</f>
        <v/>
      </c>
      <c r="AA521" s="31">
        <f>IF($Y521="","",TRIM(INDEX($A:$U,ROW(),$E$6)&amp;IF($F$6="",""," "&amp;INDEX($A:$U,ROW(),$F$6))))</f>
        <v/>
      </c>
      <c r="AB521" s="31">
        <f>IF($AA521="","",SUBSTITUTE(SUBSTITUTE(SUBSTITUTE(SUBSTITUTE(SUBSTITUTE(SUBSTITUTE(SUBSTITUTE(SUBSTITUTE(SUBSTITUTE($AA521," ",""),"　",""),"(주)",""),"（주）",""),"㈜",""),"주식회사",""),"(유)",""),"（유）",""),"유한회사",""))</f>
        <v/>
      </c>
      <c r="AC521" s="31">
        <f>IF(OR($Y521="",N($Z521)&lt;=0,$AB521=""),0,IFERROR(LOOKUP(2,1/((거래처별!$AC$8:$AC$307&lt;&gt;"")*ISNUMBER(SEARCH(거래처별!$AC$8:$AC$307,$AB521))),거래처별!$A$8:$A$307),IFERROR(LOOKUP(2,1/((거래처별!$AD$8:$AD$307&lt;&gt;"")*ISNUMBER(SEARCH(거래처별!$AD$8:$AD$307,$AB521))),거래처별!$A$8:$A$307),IFERROR(LOOKUP(2,1/((거래처별!$AE$8:$AE$307&lt;&gt;"")*ISNUMBER(SEARCH(거래처별!$AE$8:$AE$307,$AB521))),거래처별!$A$8:$A$307),0))))</f>
        <v/>
      </c>
      <c r="AD521" s="31">
        <f>IF(AND($Y521&lt;&gt;"",N($Z521)&gt;0,$AC521=0),MAX($AD$7:$AD520)+1,"")</f>
        <v/>
      </c>
      <c r="AE521" s="31">
        <f>IF($Y521="",0,$Y521)</f>
        <v/>
      </c>
    </row>
    <row r="522">
      <c r="W522" s="31">
        <f>IF(OR($B$5="",$C$6="",ROW()&lt;$B$5),"",IF(INDEX($A:$U,ROW(),$C$6)="","",INDEX($A:$U,ROW(),$C$6)))</f>
        <v/>
      </c>
      <c r="X522" s="32">
        <f>IF($W522="","",IF(ISNUMBER($W522),IF($W522&gt;=10000000,IFERROR(DATE(INT($W522/10000),MOD(INT($W522/100),100),MOD($W522,100)),""),INT($W522)),IFERROR(DATE(--LEFT(LEFT(SUBSTITUTE(SUBSTITUTE(SUBSTITUTE(SUBSTITUTE(TRIM($W522),"-",""),".",""),"/","")," ",""),8),4),--MID(LEFT(SUBSTITUTE(SUBSTITUTE(SUBSTITUTE(SUBSTITUTE(TRIM($W522),"-",""),".",""),"/","")," ",""),8),5,2),--MID(LEFT(SUBSTITUTE(SUBSTITUTE(SUBSTITUTE(SUBSTITUTE(TRIM($W522),"-",""),".",""),"/","")," ",""),8),7,2)),"")))</f>
        <v/>
      </c>
      <c r="Y522" s="32">
        <f>IF($X522="","",INT($X522))</f>
        <v/>
      </c>
      <c r="Z522" s="33">
        <f>IF(OR($Y522="",$D$6=""),"",IF(INDEX($A:$U,ROW(),$D$6)="",0,IF(ISNUMBER(INDEX($A:$U,ROW(),$D$6)),INDEX($A:$U,ROW(),$D$6),IFERROR(--SUBSTITUTE(SUBSTITUTE(TRIM(INDEX($A:$U,ROW(),$D$6)),",",""),"원",""),0))))</f>
        <v/>
      </c>
      <c r="AA522" s="31">
        <f>IF($Y522="","",TRIM(INDEX($A:$U,ROW(),$E$6)&amp;IF($F$6="",""," "&amp;INDEX($A:$U,ROW(),$F$6))))</f>
        <v/>
      </c>
      <c r="AB522" s="31">
        <f>IF($AA522="","",SUBSTITUTE(SUBSTITUTE(SUBSTITUTE(SUBSTITUTE(SUBSTITUTE(SUBSTITUTE(SUBSTITUTE(SUBSTITUTE(SUBSTITUTE($AA522," ",""),"　",""),"(주)",""),"（주）",""),"㈜",""),"주식회사",""),"(유)",""),"（유）",""),"유한회사",""))</f>
        <v/>
      </c>
      <c r="AC522" s="31">
        <f>IF(OR($Y522="",N($Z522)&lt;=0,$AB522=""),0,IFERROR(LOOKUP(2,1/((거래처별!$AC$8:$AC$307&lt;&gt;"")*ISNUMBER(SEARCH(거래처별!$AC$8:$AC$307,$AB522))),거래처별!$A$8:$A$307),IFERROR(LOOKUP(2,1/((거래처별!$AD$8:$AD$307&lt;&gt;"")*ISNUMBER(SEARCH(거래처별!$AD$8:$AD$307,$AB522))),거래처별!$A$8:$A$307),IFERROR(LOOKUP(2,1/((거래처별!$AE$8:$AE$307&lt;&gt;"")*ISNUMBER(SEARCH(거래처별!$AE$8:$AE$307,$AB522))),거래처별!$A$8:$A$307),0))))</f>
        <v/>
      </c>
      <c r="AD522" s="31">
        <f>IF(AND($Y522&lt;&gt;"",N($Z522)&gt;0,$AC522=0),MAX($AD$7:$AD521)+1,"")</f>
        <v/>
      </c>
      <c r="AE522" s="31">
        <f>IF($Y522="",0,$Y522)</f>
        <v/>
      </c>
    </row>
    <row r="523">
      <c r="W523" s="31">
        <f>IF(OR($B$5="",$C$6="",ROW()&lt;$B$5),"",IF(INDEX($A:$U,ROW(),$C$6)="","",INDEX($A:$U,ROW(),$C$6)))</f>
        <v/>
      </c>
      <c r="X523" s="32">
        <f>IF($W523="","",IF(ISNUMBER($W523),IF($W523&gt;=10000000,IFERROR(DATE(INT($W523/10000),MOD(INT($W523/100),100),MOD($W523,100)),""),INT($W523)),IFERROR(DATE(--LEFT(LEFT(SUBSTITUTE(SUBSTITUTE(SUBSTITUTE(SUBSTITUTE(TRIM($W523),"-",""),".",""),"/","")," ",""),8),4),--MID(LEFT(SUBSTITUTE(SUBSTITUTE(SUBSTITUTE(SUBSTITUTE(TRIM($W523),"-",""),".",""),"/","")," ",""),8),5,2),--MID(LEFT(SUBSTITUTE(SUBSTITUTE(SUBSTITUTE(SUBSTITUTE(TRIM($W523),"-",""),".",""),"/","")," ",""),8),7,2)),"")))</f>
        <v/>
      </c>
      <c r="Y523" s="32">
        <f>IF($X523="","",INT($X523))</f>
        <v/>
      </c>
      <c r="Z523" s="33">
        <f>IF(OR($Y523="",$D$6=""),"",IF(INDEX($A:$U,ROW(),$D$6)="",0,IF(ISNUMBER(INDEX($A:$U,ROW(),$D$6)),INDEX($A:$U,ROW(),$D$6),IFERROR(--SUBSTITUTE(SUBSTITUTE(TRIM(INDEX($A:$U,ROW(),$D$6)),",",""),"원",""),0))))</f>
        <v/>
      </c>
      <c r="AA523" s="31">
        <f>IF($Y523="","",TRIM(INDEX($A:$U,ROW(),$E$6)&amp;IF($F$6="",""," "&amp;INDEX($A:$U,ROW(),$F$6))))</f>
        <v/>
      </c>
      <c r="AB523" s="31">
        <f>IF($AA523="","",SUBSTITUTE(SUBSTITUTE(SUBSTITUTE(SUBSTITUTE(SUBSTITUTE(SUBSTITUTE(SUBSTITUTE(SUBSTITUTE(SUBSTITUTE($AA523," ",""),"　",""),"(주)",""),"（주）",""),"㈜",""),"주식회사",""),"(유)",""),"（유）",""),"유한회사",""))</f>
        <v/>
      </c>
      <c r="AC523" s="31">
        <f>IF(OR($Y523="",N($Z523)&lt;=0,$AB523=""),0,IFERROR(LOOKUP(2,1/((거래처별!$AC$8:$AC$307&lt;&gt;"")*ISNUMBER(SEARCH(거래처별!$AC$8:$AC$307,$AB523))),거래처별!$A$8:$A$307),IFERROR(LOOKUP(2,1/((거래처별!$AD$8:$AD$307&lt;&gt;"")*ISNUMBER(SEARCH(거래처별!$AD$8:$AD$307,$AB523))),거래처별!$A$8:$A$307),IFERROR(LOOKUP(2,1/((거래처별!$AE$8:$AE$307&lt;&gt;"")*ISNUMBER(SEARCH(거래처별!$AE$8:$AE$307,$AB523))),거래처별!$A$8:$A$307),0))))</f>
        <v/>
      </c>
      <c r="AD523" s="31">
        <f>IF(AND($Y523&lt;&gt;"",N($Z523)&gt;0,$AC523=0),MAX($AD$7:$AD522)+1,"")</f>
        <v/>
      </c>
      <c r="AE523" s="31">
        <f>IF($Y523="",0,$Y523)</f>
        <v/>
      </c>
    </row>
    <row r="524">
      <c r="W524" s="31">
        <f>IF(OR($B$5="",$C$6="",ROW()&lt;$B$5),"",IF(INDEX($A:$U,ROW(),$C$6)="","",INDEX($A:$U,ROW(),$C$6)))</f>
        <v/>
      </c>
      <c r="X524" s="32">
        <f>IF($W524="","",IF(ISNUMBER($W524),IF($W524&gt;=10000000,IFERROR(DATE(INT($W524/10000),MOD(INT($W524/100),100),MOD($W524,100)),""),INT($W524)),IFERROR(DATE(--LEFT(LEFT(SUBSTITUTE(SUBSTITUTE(SUBSTITUTE(SUBSTITUTE(TRIM($W524),"-",""),".",""),"/","")," ",""),8),4),--MID(LEFT(SUBSTITUTE(SUBSTITUTE(SUBSTITUTE(SUBSTITUTE(TRIM($W524),"-",""),".",""),"/","")," ",""),8),5,2),--MID(LEFT(SUBSTITUTE(SUBSTITUTE(SUBSTITUTE(SUBSTITUTE(TRIM($W524),"-",""),".",""),"/","")," ",""),8),7,2)),"")))</f>
        <v/>
      </c>
      <c r="Y524" s="32">
        <f>IF($X524="","",INT($X524))</f>
        <v/>
      </c>
      <c r="Z524" s="33">
        <f>IF(OR($Y524="",$D$6=""),"",IF(INDEX($A:$U,ROW(),$D$6)="",0,IF(ISNUMBER(INDEX($A:$U,ROW(),$D$6)),INDEX($A:$U,ROW(),$D$6),IFERROR(--SUBSTITUTE(SUBSTITUTE(TRIM(INDEX($A:$U,ROW(),$D$6)),",",""),"원",""),0))))</f>
        <v/>
      </c>
      <c r="AA524" s="31">
        <f>IF($Y524="","",TRIM(INDEX($A:$U,ROW(),$E$6)&amp;IF($F$6="",""," "&amp;INDEX($A:$U,ROW(),$F$6))))</f>
        <v/>
      </c>
      <c r="AB524" s="31">
        <f>IF($AA524="","",SUBSTITUTE(SUBSTITUTE(SUBSTITUTE(SUBSTITUTE(SUBSTITUTE(SUBSTITUTE(SUBSTITUTE(SUBSTITUTE(SUBSTITUTE($AA524," ",""),"　",""),"(주)",""),"（주）",""),"㈜",""),"주식회사",""),"(유)",""),"（유）",""),"유한회사",""))</f>
        <v/>
      </c>
      <c r="AC524" s="31">
        <f>IF(OR($Y524="",N($Z524)&lt;=0,$AB524=""),0,IFERROR(LOOKUP(2,1/((거래처별!$AC$8:$AC$307&lt;&gt;"")*ISNUMBER(SEARCH(거래처별!$AC$8:$AC$307,$AB524))),거래처별!$A$8:$A$307),IFERROR(LOOKUP(2,1/((거래처별!$AD$8:$AD$307&lt;&gt;"")*ISNUMBER(SEARCH(거래처별!$AD$8:$AD$307,$AB524))),거래처별!$A$8:$A$307),IFERROR(LOOKUP(2,1/((거래처별!$AE$8:$AE$307&lt;&gt;"")*ISNUMBER(SEARCH(거래처별!$AE$8:$AE$307,$AB524))),거래처별!$A$8:$A$307),0))))</f>
        <v/>
      </c>
      <c r="AD524" s="31">
        <f>IF(AND($Y524&lt;&gt;"",N($Z524)&gt;0,$AC524=0),MAX($AD$7:$AD523)+1,"")</f>
        <v/>
      </c>
      <c r="AE524" s="31">
        <f>IF($Y524="",0,$Y524)</f>
        <v/>
      </c>
    </row>
    <row r="525">
      <c r="W525" s="31">
        <f>IF(OR($B$5="",$C$6="",ROW()&lt;$B$5),"",IF(INDEX($A:$U,ROW(),$C$6)="","",INDEX($A:$U,ROW(),$C$6)))</f>
        <v/>
      </c>
      <c r="X525" s="32">
        <f>IF($W525="","",IF(ISNUMBER($W525),IF($W525&gt;=10000000,IFERROR(DATE(INT($W525/10000),MOD(INT($W525/100),100),MOD($W525,100)),""),INT($W525)),IFERROR(DATE(--LEFT(LEFT(SUBSTITUTE(SUBSTITUTE(SUBSTITUTE(SUBSTITUTE(TRIM($W525),"-",""),".",""),"/","")," ",""),8),4),--MID(LEFT(SUBSTITUTE(SUBSTITUTE(SUBSTITUTE(SUBSTITUTE(TRIM($W525),"-",""),".",""),"/","")," ",""),8),5,2),--MID(LEFT(SUBSTITUTE(SUBSTITUTE(SUBSTITUTE(SUBSTITUTE(TRIM($W525),"-",""),".",""),"/","")," ",""),8),7,2)),"")))</f>
        <v/>
      </c>
      <c r="Y525" s="32">
        <f>IF($X525="","",INT($X525))</f>
        <v/>
      </c>
      <c r="Z525" s="33">
        <f>IF(OR($Y525="",$D$6=""),"",IF(INDEX($A:$U,ROW(),$D$6)="",0,IF(ISNUMBER(INDEX($A:$U,ROW(),$D$6)),INDEX($A:$U,ROW(),$D$6),IFERROR(--SUBSTITUTE(SUBSTITUTE(TRIM(INDEX($A:$U,ROW(),$D$6)),",",""),"원",""),0))))</f>
        <v/>
      </c>
      <c r="AA525" s="31">
        <f>IF($Y525="","",TRIM(INDEX($A:$U,ROW(),$E$6)&amp;IF($F$6="",""," "&amp;INDEX($A:$U,ROW(),$F$6))))</f>
        <v/>
      </c>
      <c r="AB525" s="31">
        <f>IF($AA525="","",SUBSTITUTE(SUBSTITUTE(SUBSTITUTE(SUBSTITUTE(SUBSTITUTE(SUBSTITUTE(SUBSTITUTE(SUBSTITUTE(SUBSTITUTE($AA525," ",""),"　",""),"(주)",""),"（주）",""),"㈜",""),"주식회사",""),"(유)",""),"（유）",""),"유한회사",""))</f>
        <v/>
      </c>
      <c r="AC525" s="31">
        <f>IF(OR($Y525="",N($Z525)&lt;=0,$AB525=""),0,IFERROR(LOOKUP(2,1/((거래처별!$AC$8:$AC$307&lt;&gt;"")*ISNUMBER(SEARCH(거래처별!$AC$8:$AC$307,$AB525))),거래처별!$A$8:$A$307),IFERROR(LOOKUP(2,1/((거래처별!$AD$8:$AD$307&lt;&gt;"")*ISNUMBER(SEARCH(거래처별!$AD$8:$AD$307,$AB525))),거래처별!$A$8:$A$307),IFERROR(LOOKUP(2,1/((거래처별!$AE$8:$AE$307&lt;&gt;"")*ISNUMBER(SEARCH(거래처별!$AE$8:$AE$307,$AB525))),거래처별!$A$8:$A$307),0))))</f>
        <v/>
      </c>
      <c r="AD525" s="31">
        <f>IF(AND($Y525&lt;&gt;"",N($Z525)&gt;0,$AC525=0),MAX($AD$7:$AD524)+1,"")</f>
        <v/>
      </c>
      <c r="AE525" s="31">
        <f>IF($Y525="",0,$Y525)</f>
        <v/>
      </c>
    </row>
    <row r="526">
      <c r="W526" s="31">
        <f>IF(OR($B$5="",$C$6="",ROW()&lt;$B$5),"",IF(INDEX($A:$U,ROW(),$C$6)="","",INDEX($A:$U,ROW(),$C$6)))</f>
        <v/>
      </c>
      <c r="X526" s="32">
        <f>IF($W526="","",IF(ISNUMBER($W526),IF($W526&gt;=10000000,IFERROR(DATE(INT($W526/10000),MOD(INT($W526/100),100),MOD($W526,100)),""),INT($W526)),IFERROR(DATE(--LEFT(LEFT(SUBSTITUTE(SUBSTITUTE(SUBSTITUTE(SUBSTITUTE(TRIM($W526),"-",""),".",""),"/","")," ",""),8),4),--MID(LEFT(SUBSTITUTE(SUBSTITUTE(SUBSTITUTE(SUBSTITUTE(TRIM($W526),"-",""),".",""),"/","")," ",""),8),5,2),--MID(LEFT(SUBSTITUTE(SUBSTITUTE(SUBSTITUTE(SUBSTITUTE(TRIM($W526),"-",""),".",""),"/","")," ",""),8),7,2)),"")))</f>
        <v/>
      </c>
      <c r="Y526" s="32">
        <f>IF($X526="","",INT($X526))</f>
        <v/>
      </c>
      <c r="Z526" s="33">
        <f>IF(OR($Y526="",$D$6=""),"",IF(INDEX($A:$U,ROW(),$D$6)="",0,IF(ISNUMBER(INDEX($A:$U,ROW(),$D$6)),INDEX($A:$U,ROW(),$D$6),IFERROR(--SUBSTITUTE(SUBSTITUTE(TRIM(INDEX($A:$U,ROW(),$D$6)),",",""),"원",""),0))))</f>
        <v/>
      </c>
      <c r="AA526" s="31">
        <f>IF($Y526="","",TRIM(INDEX($A:$U,ROW(),$E$6)&amp;IF($F$6="",""," "&amp;INDEX($A:$U,ROW(),$F$6))))</f>
        <v/>
      </c>
      <c r="AB526" s="31">
        <f>IF($AA526="","",SUBSTITUTE(SUBSTITUTE(SUBSTITUTE(SUBSTITUTE(SUBSTITUTE(SUBSTITUTE(SUBSTITUTE(SUBSTITUTE(SUBSTITUTE($AA526," ",""),"　",""),"(주)",""),"（주）",""),"㈜",""),"주식회사",""),"(유)",""),"（유）",""),"유한회사",""))</f>
        <v/>
      </c>
      <c r="AC526" s="31">
        <f>IF(OR($Y526="",N($Z526)&lt;=0,$AB526=""),0,IFERROR(LOOKUP(2,1/((거래처별!$AC$8:$AC$307&lt;&gt;"")*ISNUMBER(SEARCH(거래처별!$AC$8:$AC$307,$AB526))),거래처별!$A$8:$A$307),IFERROR(LOOKUP(2,1/((거래처별!$AD$8:$AD$307&lt;&gt;"")*ISNUMBER(SEARCH(거래처별!$AD$8:$AD$307,$AB526))),거래처별!$A$8:$A$307),IFERROR(LOOKUP(2,1/((거래처별!$AE$8:$AE$307&lt;&gt;"")*ISNUMBER(SEARCH(거래처별!$AE$8:$AE$307,$AB526))),거래처별!$A$8:$A$307),0))))</f>
        <v/>
      </c>
      <c r="AD526" s="31">
        <f>IF(AND($Y526&lt;&gt;"",N($Z526)&gt;0,$AC526=0),MAX($AD$7:$AD525)+1,"")</f>
        <v/>
      </c>
      <c r="AE526" s="31">
        <f>IF($Y526="",0,$Y526)</f>
        <v/>
      </c>
    </row>
    <row r="527">
      <c r="W527" s="31">
        <f>IF(OR($B$5="",$C$6="",ROW()&lt;$B$5),"",IF(INDEX($A:$U,ROW(),$C$6)="","",INDEX($A:$U,ROW(),$C$6)))</f>
        <v/>
      </c>
      <c r="X527" s="32">
        <f>IF($W527="","",IF(ISNUMBER($W527),IF($W527&gt;=10000000,IFERROR(DATE(INT($W527/10000),MOD(INT($W527/100),100),MOD($W527,100)),""),INT($W527)),IFERROR(DATE(--LEFT(LEFT(SUBSTITUTE(SUBSTITUTE(SUBSTITUTE(SUBSTITUTE(TRIM($W527),"-",""),".",""),"/","")," ",""),8),4),--MID(LEFT(SUBSTITUTE(SUBSTITUTE(SUBSTITUTE(SUBSTITUTE(TRIM($W527),"-",""),".",""),"/","")," ",""),8),5,2),--MID(LEFT(SUBSTITUTE(SUBSTITUTE(SUBSTITUTE(SUBSTITUTE(TRIM($W527),"-",""),".",""),"/","")," ",""),8),7,2)),"")))</f>
        <v/>
      </c>
      <c r="Y527" s="32">
        <f>IF($X527="","",INT($X527))</f>
        <v/>
      </c>
      <c r="Z527" s="33">
        <f>IF(OR($Y527="",$D$6=""),"",IF(INDEX($A:$U,ROW(),$D$6)="",0,IF(ISNUMBER(INDEX($A:$U,ROW(),$D$6)),INDEX($A:$U,ROW(),$D$6),IFERROR(--SUBSTITUTE(SUBSTITUTE(TRIM(INDEX($A:$U,ROW(),$D$6)),",",""),"원",""),0))))</f>
        <v/>
      </c>
      <c r="AA527" s="31">
        <f>IF($Y527="","",TRIM(INDEX($A:$U,ROW(),$E$6)&amp;IF($F$6="",""," "&amp;INDEX($A:$U,ROW(),$F$6))))</f>
        <v/>
      </c>
      <c r="AB527" s="31">
        <f>IF($AA527="","",SUBSTITUTE(SUBSTITUTE(SUBSTITUTE(SUBSTITUTE(SUBSTITUTE(SUBSTITUTE(SUBSTITUTE(SUBSTITUTE(SUBSTITUTE($AA527," ",""),"　",""),"(주)",""),"（주）",""),"㈜",""),"주식회사",""),"(유)",""),"（유）",""),"유한회사",""))</f>
        <v/>
      </c>
      <c r="AC527" s="31">
        <f>IF(OR($Y527="",N($Z527)&lt;=0,$AB527=""),0,IFERROR(LOOKUP(2,1/((거래처별!$AC$8:$AC$307&lt;&gt;"")*ISNUMBER(SEARCH(거래처별!$AC$8:$AC$307,$AB527))),거래처별!$A$8:$A$307),IFERROR(LOOKUP(2,1/((거래처별!$AD$8:$AD$307&lt;&gt;"")*ISNUMBER(SEARCH(거래처별!$AD$8:$AD$307,$AB527))),거래처별!$A$8:$A$307),IFERROR(LOOKUP(2,1/((거래처별!$AE$8:$AE$307&lt;&gt;"")*ISNUMBER(SEARCH(거래처별!$AE$8:$AE$307,$AB527))),거래처별!$A$8:$A$307),0))))</f>
        <v/>
      </c>
      <c r="AD527" s="31">
        <f>IF(AND($Y527&lt;&gt;"",N($Z527)&gt;0,$AC527=0),MAX($AD$7:$AD526)+1,"")</f>
        <v/>
      </c>
      <c r="AE527" s="31">
        <f>IF($Y527="",0,$Y527)</f>
        <v/>
      </c>
    </row>
    <row r="528">
      <c r="W528" s="31">
        <f>IF(OR($B$5="",$C$6="",ROW()&lt;$B$5),"",IF(INDEX($A:$U,ROW(),$C$6)="","",INDEX($A:$U,ROW(),$C$6)))</f>
        <v/>
      </c>
      <c r="X528" s="32">
        <f>IF($W528="","",IF(ISNUMBER($W528),IF($W528&gt;=10000000,IFERROR(DATE(INT($W528/10000),MOD(INT($W528/100),100),MOD($W528,100)),""),INT($W528)),IFERROR(DATE(--LEFT(LEFT(SUBSTITUTE(SUBSTITUTE(SUBSTITUTE(SUBSTITUTE(TRIM($W528),"-",""),".",""),"/","")," ",""),8),4),--MID(LEFT(SUBSTITUTE(SUBSTITUTE(SUBSTITUTE(SUBSTITUTE(TRIM($W528),"-",""),".",""),"/","")," ",""),8),5,2),--MID(LEFT(SUBSTITUTE(SUBSTITUTE(SUBSTITUTE(SUBSTITUTE(TRIM($W528),"-",""),".",""),"/","")," ",""),8),7,2)),"")))</f>
        <v/>
      </c>
      <c r="Y528" s="32">
        <f>IF($X528="","",INT($X528))</f>
        <v/>
      </c>
      <c r="Z528" s="33">
        <f>IF(OR($Y528="",$D$6=""),"",IF(INDEX($A:$U,ROW(),$D$6)="",0,IF(ISNUMBER(INDEX($A:$U,ROW(),$D$6)),INDEX($A:$U,ROW(),$D$6),IFERROR(--SUBSTITUTE(SUBSTITUTE(TRIM(INDEX($A:$U,ROW(),$D$6)),",",""),"원",""),0))))</f>
        <v/>
      </c>
      <c r="AA528" s="31">
        <f>IF($Y528="","",TRIM(INDEX($A:$U,ROW(),$E$6)&amp;IF($F$6="",""," "&amp;INDEX($A:$U,ROW(),$F$6))))</f>
        <v/>
      </c>
      <c r="AB528" s="31">
        <f>IF($AA528="","",SUBSTITUTE(SUBSTITUTE(SUBSTITUTE(SUBSTITUTE(SUBSTITUTE(SUBSTITUTE(SUBSTITUTE(SUBSTITUTE(SUBSTITUTE($AA528," ",""),"　",""),"(주)",""),"（주）",""),"㈜",""),"주식회사",""),"(유)",""),"（유）",""),"유한회사",""))</f>
        <v/>
      </c>
      <c r="AC528" s="31">
        <f>IF(OR($Y528="",N($Z528)&lt;=0,$AB528=""),0,IFERROR(LOOKUP(2,1/((거래처별!$AC$8:$AC$307&lt;&gt;"")*ISNUMBER(SEARCH(거래처별!$AC$8:$AC$307,$AB528))),거래처별!$A$8:$A$307),IFERROR(LOOKUP(2,1/((거래처별!$AD$8:$AD$307&lt;&gt;"")*ISNUMBER(SEARCH(거래처별!$AD$8:$AD$307,$AB528))),거래처별!$A$8:$A$307),IFERROR(LOOKUP(2,1/((거래처별!$AE$8:$AE$307&lt;&gt;"")*ISNUMBER(SEARCH(거래처별!$AE$8:$AE$307,$AB528))),거래처별!$A$8:$A$307),0))))</f>
        <v/>
      </c>
      <c r="AD528" s="31">
        <f>IF(AND($Y528&lt;&gt;"",N($Z528)&gt;0,$AC528=0),MAX($AD$7:$AD527)+1,"")</f>
        <v/>
      </c>
      <c r="AE528" s="31">
        <f>IF($Y528="",0,$Y528)</f>
        <v/>
      </c>
    </row>
    <row r="529">
      <c r="W529" s="31">
        <f>IF(OR($B$5="",$C$6="",ROW()&lt;$B$5),"",IF(INDEX($A:$U,ROW(),$C$6)="","",INDEX($A:$U,ROW(),$C$6)))</f>
        <v/>
      </c>
      <c r="X529" s="32">
        <f>IF($W529="","",IF(ISNUMBER($W529),IF($W529&gt;=10000000,IFERROR(DATE(INT($W529/10000),MOD(INT($W529/100),100),MOD($W529,100)),""),INT($W529)),IFERROR(DATE(--LEFT(LEFT(SUBSTITUTE(SUBSTITUTE(SUBSTITUTE(SUBSTITUTE(TRIM($W529),"-",""),".",""),"/","")," ",""),8),4),--MID(LEFT(SUBSTITUTE(SUBSTITUTE(SUBSTITUTE(SUBSTITUTE(TRIM($W529),"-",""),".",""),"/","")," ",""),8),5,2),--MID(LEFT(SUBSTITUTE(SUBSTITUTE(SUBSTITUTE(SUBSTITUTE(TRIM($W529),"-",""),".",""),"/","")," ",""),8),7,2)),"")))</f>
        <v/>
      </c>
      <c r="Y529" s="32">
        <f>IF($X529="","",INT($X529))</f>
        <v/>
      </c>
      <c r="Z529" s="33">
        <f>IF(OR($Y529="",$D$6=""),"",IF(INDEX($A:$U,ROW(),$D$6)="",0,IF(ISNUMBER(INDEX($A:$U,ROW(),$D$6)),INDEX($A:$U,ROW(),$D$6),IFERROR(--SUBSTITUTE(SUBSTITUTE(TRIM(INDEX($A:$U,ROW(),$D$6)),",",""),"원",""),0))))</f>
        <v/>
      </c>
      <c r="AA529" s="31">
        <f>IF($Y529="","",TRIM(INDEX($A:$U,ROW(),$E$6)&amp;IF($F$6="",""," "&amp;INDEX($A:$U,ROW(),$F$6))))</f>
        <v/>
      </c>
      <c r="AB529" s="31">
        <f>IF($AA529="","",SUBSTITUTE(SUBSTITUTE(SUBSTITUTE(SUBSTITUTE(SUBSTITUTE(SUBSTITUTE(SUBSTITUTE(SUBSTITUTE(SUBSTITUTE($AA529," ",""),"　",""),"(주)",""),"（주）",""),"㈜",""),"주식회사",""),"(유)",""),"（유）",""),"유한회사",""))</f>
        <v/>
      </c>
      <c r="AC529" s="31">
        <f>IF(OR($Y529="",N($Z529)&lt;=0,$AB529=""),0,IFERROR(LOOKUP(2,1/((거래처별!$AC$8:$AC$307&lt;&gt;"")*ISNUMBER(SEARCH(거래처별!$AC$8:$AC$307,$AB529))),거래처별!$A$8:$A$307),IFERROR(LOOKUP(2,1/((거래처별!$AD$8:$AD$307&lt;&gt;"")*ISNUMBER(SEARCH(거래처별!$AD$8:$AD$307,$AB529))),거래처별!$A$8:$A$307),IFERROR(LOOKUP(2,1/((거래처별!$AE$8:$AE$307&lt;&gt;"")*ISNUMBER(SEARCH(거래처별!$AE$8:$AE$307,$AB529))),거래처별!$A$8:$A$307),0))))</f>
        <v/>
      </c>
      <c r="AD529" s="31">
        <f>IF(AND($Y529&lt;&gt;"",N($Z529)&gt;0,$AC529=0),MAX($AD$7:$AD528)+1,"")</f>
        <v/>
      </c>
      <c r="AE529" s="31">
        <f>IF($Y529="",0,$Y529)</f>
        <v/>
      </c>
    </row>
    <row r="530">
      <c r="W530" s="31">
        <f>IF(OR($B$5="",$C$6="",ROW()&lt;$B$5),"",IF(INDEX($A:$U,ROW(),$C$6)="","",INDEX($A:$U,ROW(),$C$6)))</f>
        <v/>
      </c>
      <c r="X530" s="32">
        <f>IF($W530="","",IF(ISNUMBER($W530),IF($W530&gt;=10000000,IFERROR(DATE(INT($W530/10000),MOD(INT($W530/100),100),MOD($W530,100)),""),INT($W530)),IFERROR(DATE(--LEFT(LEFT(SUBSTITUTE(SUBSTITUTE(SUBSTITUTE(SUBSTITUTE(TRIM($W530),"-",""),".",""),"/","")," ",""),8),4),--MID(LEFT(SUBSTITUTE(SUBSTITUTE(SUBSTITUTE(SUBSTITUTE(TRIM($W530),"-",""),".",""),"/","")," ",""),8),5,2),--MID(LEFT(SUBSTITUTE(SUBSTITUTE(SUBSTITUTE(SUBSTITUTE(TRIM($W530),"-",""),".",""),"/","")," ",""),8),7,2)),"")))</f>
        <v/>
      </c>
      <c r="Y530" s="32">
        <f>IF($X530="","",INT($X530))</f>
        <v/>
      </c>
      <c r="Z530" s="33">
        <f>IF(OR($Y530="",$D$6=""),"",IF(INDEX($A:$U,ROW(),$D$6)="",0,IF(ISNUMBER(INDEX($A:$U,ROW(),$D$6)),INDEX($A:$U,ROW(),$D$6),IFERROR(--SUBSTITUTE(SUBSTITUTE(TRIM(INDEX($A:$U,ROW(),$D$6)),",",""),"원",""),0))))</f>
        <v/>
      </c>
      <c r="AA530" s="31">
        <f>IF($Y530="","",TRIM(INDEX($A:$U,ROW(),$E$6)&amp;IF($F$6="",""," "&amp;INDEX($A:$U,ROW(),$F$6))))</f>
        <v/>
      </c>
      <c r="AB530" s="31">
        <f>IF($AA530="","",SUBSTITUTE(SUBSTITUTE(SUBSTITUTE(SUBSTITUTE(SUBSTITUTE(SUBSTITUTE(SUBSTITUTE(SUBSTITUTE(SUBSTITUTE($AA530," ",""),"　",""),"(주)",""),"（주）",""),"㈜",""),"주식회사",""),"(유)",""),"（유）",""),"유한회사",""))</f>
        <v/>
      </c>
      <c r="AC530" s="31">
        <f>IF(OR($Y530="",N($Z530)&lt;=0,$AB530=""),0,IFERROR(LOOKUP(2,1/((거래처별!$AC$8:$AC$307&lt;&gt;"")*ISNUMBER(SEARCH(거래처별!$AC$8:$AC$307,$AB530))),거래처별!$A$8:$A$307),IFERROR(LOOKUP(2,1/((거래처별!$AD$8:$AD$307&lt;&gt;"")*ISNUMBER(SEARCH(거래처별!$AD$8:$AD$307,$AB530))),거래처별!$A$8:$A$307),IFERROR(LOOKUP(2,1/((거래처별!$AE$8:$AE$307&lt;&gt;"")*ISNUMBER(SEARCH(거래처별!$AE$8:$AE$307,$AB530))),거래처별!$A$8:$A$307),0))))</f>
        <v/>
      </c>
      <c r="AD530" s="31">
        <f>IF(AND($Y530&lt;&gt;"",N($Z530)&gt;0,$AC530=0),MAX($AD$7:$AD529)+1,"")</f>
        <v/>
      </c>
      <c r="AE530" s="31">
        <f>IF($Y530="",0,$Y530)</f>
        <v/>
      </c>
    </row>
    <row r="531">
      <c r="W531" s="31">
        <f>IF(OR($B$5="",$C$6="",ROW()&lt;$B$5),"",IF(INDEX($A:$U,ROW(),$C$6)="","",INDEX($A:$U,ROW(),$C$6)))</f>
        <v/>
      </c>
      <c r="X531" s="32">
        <f>IF($W531="","",IF(ISNUMBER($W531),IF($W531&gt;=10000000,IFERROR(DATE(INT($W531/10000),MOD(INT($W531/100),100),MOD($W531,100)),""),INT($W531)),IFERROR(DATE(--LEFT(LEFT(SUBSTITUTE(SUBSTITUTE(SUBSTITUTE(SUBSTITUTE(TRIM($W531),"-",""),".",""),"/","")," ",""),8),4),--MID(LEFT(SUBSTITUTE(SUBSTITUTE(SUBSTITUTE(SUBSTITUTE(TRIM($W531),"-",""),".",""),"/","")," ",""),8),5,2),--MID(LEFT(SUBSTITUTE(SUBSTITUTE(SUBSTITUTE(SUBSTITUTE(TRIM($W531),"-",""),".",""),"/","")," ",""),8),7,2)),"")))</f>
        <v/>
      </c>
      <c r="Y531" s="32">
        <f>IF($X531="","",INT($X531))</f>
        <v/>
      </c>
      <c r="Z531" s="33">
        <f>IF(OR($Y531="",$D$6=""),"",IF(INDEX($A:$U,ROW(),$D$6)="",0,IF(ISNUMBER(INDEX($A:$U,ROW(),$D$6)),INDEX($A:$U,ROW(),$D$6),IFERROR(--SUBSTITUTE(SUBSTITUTE(TRIM(INDEX($A:$U,ROW(),$D$6)),",",""),"원",""),0))))</f>
        <v/>
      </c>
      <c r="AA531" s="31">
        <f>IF($Y531="","",TRIM(INDEX($A:$U,ROW(),$E$6)&amp;IF($F$6="",""," "&amp;INDEX($A:$U,ROW(),$F$6))))</f>
        <v/>
      </c>
      <c r="AB531" s="31">
        <f>IF($AA531="","",SUBSTITUTE(SUBSTITUTE(SUBSTITUTE(SUBSTITUTE(SUBSTITUTE(SUBSTITUTE(SUBSTITUTE(SUBSTITUTE(SUBSTITUTE($AA531," ",""),"　",""),"(주)",""),"（주）",""),"㈜",""),"주식회사",""),"(유)",""),"（유）",""),"유한회사",""))</f>
        <v/>
      </c>
      <c r="AC531" s="31">
        <f>IF(OR($Y531="",N($Z531)&lt;=0,$AB531=""),0,IFERROR(LOOKUP(2,1/((거래처별!$AC$8:$AC$307&lt;&gt;"")*ISNUMBER(SEARCH(거래처별!$AC$8:$AC$307,$AB531))),거래처별!$A$8:$A$307),IFERROR(LOOKUP(2,1/((거래처별!$AD$8:$AD$307&lt;&gt;"")*ISNUMBER(SEARCH(거래처별!$AD$8:$AD$307,$AB531))),거래처별!$A$8:$A$307),IFERROR(LOOKUP(2,1/((거래처별!$AE$8:$AE$307&lt;&gt;"")*ISNUMBER(SEARCH(거래처별!$AE$8:$AE$307,$AB531))),거래처별!$A$8:$A$307),0))))</f>
        <v/>
      </c>
      <c r="AD531" s="31">
        <f>IF(AND($Y531&lt;&gt;"",N($Z531)&gt;0,$AC531=0),MAX($AD$7:$AD530)+1,"")</f>
        <v/>
      </c>
      <c r="AE531" s="31">
        <f>IF($Y531="",0,$Y531)</f>
        <v/>
      </c>
    </row>
    <row r="532">
      <c r="W532" s="31">
        <f>IF(OR($B$5="",$C$6="",ROW()&lt;$B$5),"",IF(INDEX($A:$U,ROW(),$C$6)="","",INDEX($A:$U,ROW(),$C$6)))</f>
        <v/>
      </c>
      <c r="X532" s="32">
        <f>IF($W532="","",IF(ISNUMBER($W532),IF($W532&gt;=10000000,IFERROR(DATE(INT($W532/10000),MOD(INT($W532/100),100),MOD($W532,100)),""),INT($W532)),IFERROR(DATE(--LEFT(LEFT(SUBSTITUTE(SUBSTITUTE(SUBSTITUTE(SUBSTITUTE(TRIM($W532),"-",""),".",""),"/","")," ",""),8),4),--MID(LEFT(SUBSTITUTE(SUBSTITUTE(SUBSTITUTE(SUBSTITUTE(TRIM($W532),"-",""),".",""),"/","")," ",""),8),5,2),--MID(LEFT(SUBSTITUTE(SUBSTITUTE(SUBSTITUTE(SUBSTITUTE(TRIM($W532),"-",""),".",""),"/","")," ",""),8),7,2)),"")))</f>
        <v/>
      </c>
      <c r="Y532" s="32">
        <f>IF($X532="","",INT($X532))</f>
        <v/>
      </c>
      <c r="Z532" s="33">
        <f>IF(OR($Y532="",$D$6=""),"",IF(INDEX($A:$U,ROW(),$D$6)="",0,IF(ISNUMBER(INDEX($A:$U,ROW(),$D$6)),INDEX($A:$U,ROW(),$D$6),IFERROR(--SUBSTITUTE(SUBSTITUTE(TRIM(INDEX($A:$U,ROW(),$D$6)),",",""),"원",""),0))))</f>
        <v/>
      </c>
      <c r="AA532" s="31">
        <f>IF($Y532="","",TRIM(INDEX($A:$U,ROW(),$E$6)&amp;IF($F$6="",""," "&amp;INDEX($A:$U,ROW(),$F$6))))</f>
        <v/>
      </c>
      <c r="AB532" s="31">
        <f>IF($AA532="","",SUBSTITUTE(SUBSTITUTE(SUBSTITUTE(SUBSTITUTE(SUBSTITUTE(SUBSTITUTE(SUBSTITUTE(SUBSTITUTE(SUBSTITUTE($AA532," ",""),"　",""),"(주)",""),"（주）",""),"㈜",""),"주식회사",""),"(유)",""),"（유）",""),"유한회사",""))</f>
        <v/>
      </c>
      <c r="AC532" s="31">
        <f>IF(OR($Y532="",N($Z532)&lt;=0,$AB532=""),0,IFERROR(LOOKUP(2,1/((거래처별!$AC$8:$AC$307&lt;&gt;"")*ISNUMBER(SEARCH(거래처별!$AC$8:$AC$307,$AB532))),거래처별!$A$8:$A$307),IFERROR(LOOKUP(2,1/((거래처별!$AD$8:$AD$307&lt;&gt;"")*ISNUMBER(SEARCH(거래처별!$AD$8:$AD$307,$AB532))),거래처별!$A$8:$A$307),IFERROR(LOOKUP(2,1/((거래처별!$AE$8:$AE$307&lt;&gt;"")*ISNUMBER(SEARCH(거래처별!$AE$8:$AE$307,$AB532))),거래처별!$A$8:$A$307),0))))</f>
        <v/>
      </c>
      <c r="AD532" s="31">
        <f>IF(AND($Y532&lt;&gt;"",N($Z532)&gt;0,$AC532=0),MAX($AD$7:$AD531)+1,"")</f>
        <v/>
      </c>
      <c r="AE532" s="31">
        <f>IF($Y532="",0,$Y532)</f>
        <v/>
      </c>
    </row>
    <row r="533">
      <c r="W533" s="31">
        <f>IF(OR($B$5="",$C$6="",ROW()&lt;$B$5),"",IF(INDEX($A:$U,ROW(),$C$6)="","",INDEX($A:$U,ROW(),$C$6)))</f>
        <v/>
      </c>
      <c r="X533" s="32">
        <f>IF($W533="","",IF(ISNUMBER($W533),IF($W533&gt;=10000000,IFERROR(DATE(INT($W533/10000),MOD(INT($W533/100),100),MOD($W533,100)),""),INT($W533)),IFERROR(DATE(--LEFT(LEFT(SUBSTITUTE(SUBSTITUTE(SUBSTITUTE(SUBSTITUTE(TRIM($W533),"-",""),".",""),"/","")," ",""),8),4),--MID(LEFT(SUBSTITUTE(SUBSTITUTE(SUBSTITUTE(SUBSTITUTE(TRIM($W533),"-",""),".",""),"/","")," ",""),8),5,2),--MID(LEFT(SUBSTITUTE(SUBSTITUTE(SUBSTITUTE(SUBSTITUTE(TRIM($W533),"-",""),".",""),"/","")," ",""),8),7,2)),"")))</f>
        <v/>
      </c>
      <c r="Y533" s="32">
        <f>IF($X533="","",INT($X533))</f>
        <v/>
      </c>
      <c r="Z533" s="33">
        <f>IF(OR($Y533="",$D$6=""),"",IF(INDEX($A:$U,ROW(),$D$6)="",0,IF(ISNUMBER(INDEX($A:$U,ROW(),$D$6)),INDEX($A:$U,ROW(),$D$6),IFERROR(--SUBSTITUTE(SUBSTITUTE(TRIM(INDEX($A:$U,ROW(),$D$6)),",",""),"원",""),0))))</f>
        <v/>
      </c>
      <c r="AA533" s="31">
        <f>IF($Y533="","",TRIM(INDEX($A:$U,ROW(),$E$6)&amp;IF($F$6="",""," "&amp;INDEX($A:$U,ROW(),$F$6))))</f>
        <v/>
      </c>
      <c r="AB533" s="31">
        <f>IF($AA533="","",SUBSTITUTE(SUBSTITUTE(SUBSTITUTE(SUBSTITUTE(SUBSTITUTE(SUBSTITUTE(SUBSTITUTE(SUBSTITUTE(SUBSTITUTE($AA533," ",""),"　",""),"(주)",""),"（주）",""),"㈜",""),"주식회사",""),"(유)",""),"（유）",""),"유한회사",""))</f>
        <v/>
      </c>
      <c r="AC533" s="31">
        <f>IF(OR($Y533="",N($Z533)&lt;=0,$AB533=""),0,IFERROR(LOOKUP(2,1/((거래처별!$AC$8:$AC$307&lt;&gt;"")*ISNUMBER(SEARCH(거래처별!$AC$8:$AC$307,$AB533))),거래처별!$A$8:$A$307),IFERROR(LOOKUP(2,1/((거래처별!$AD$8:$AD$307&lt;&gt;"")*ISNUMBER(SEARCH(거래처별!$AD$8:$AD$307,$AB533))),거래처별!$A$8:$A$307),IFERROR(LOOKUP(2,1/((거래처별!$AE$8:$AE$307&lt;&gt;"")*ISNUMBER(SEARCH(거래처별!$AE$8:$AE$307,$AB533))),거래처별!$A$8:$A$307),0))))</f>
        <v/>
      </c>
      <c r="AD533" s="31">
        <f>IF(AND($Y533&lt;&gt;"",N($Z533)&gt;0,$AC533=0),MAX($AD$7:$AD532)+1,"")</f>
        <v/>
      </c>
      <c r="AE533" s="31">
        <f>IF($Y533="",0,$Y533)</f>
        <v/>
      </c>
    </row>
    <row r="534">
      <c r="W534" s="31">
        <f>IF(OR($B$5="",$C$6="",ROW()&lt;$B$5),"",IF(INDEX($A:$U,ROW(),$C$6)="","",INDEX($A:$U,ROW(),$C$6)))</f>
        <v/>
      </c>
      <c r="X534" s="32">
        <f>IF($W534="","",IF(ISNUMBER($W534),IF($W534&gt;=10000000,IFERROR(DATE(INT($W534/10000),MOD(INT($W534/100),100),MOD($W534,100)),""),INT($W534)),IFERROR(DATE(--LEFT(LEFT(SUBSTITUTE(SUBSTITUTE(SUBSTITUTE(SUBSTITUTE(TRIM($W534),"-",""),".",""),"/","")," ",""),8),4),--MID(LEFT(SUBSTITUTE(SUBSTITUTE(SUBSTITUTE(SUBSTITUTE(TRIM($W534),"-",""),".",""),"/","")," ",""),8),5,2),--MID(LEFT(SUBSTITUTE(SUBSTITUTE(SUBSTITUTE(SUBSTITUTE(TRIM($W534),"-",""),".",""),"/","")," ",""),8),7,2)),"")))</f>
        <v/>
      </c>
      <c r="Y534" s="32">
        <f>IF($X534="","",INT($X534))</f>
        <v/>
      </c>
      <c r="Z534" s="33">
        <f>IF(OR($Y534="",$D$6=""),"",IF(INDEX($A:$U,ROW(),$D$6)="",0,IF(ISNUMBER(INDEX($A:$U,ROW(),$D$6)),INDEX($A:$U,ROW(),$D$6),IFERROR(--SUBSTITUTE(SUBSTITUTE(TRIM(INDEX($A:$U,ROW(),$D$6)),",",""),"원",""),0))))</f>
        <v/>
      </c>
      <c r="AA534" s="31">
        <f>IF($Y534="","",TRIM(INDEX($A:$U,ROW(),$E$6)&amp;IF($F$6="",""," "&amp;INDEX($A:$U,ROW(),$F$6))))</f>
        <v/>
      </c>
      <c r="AB534" s="31">
        <f>IF($AA534="","",SUBSTITUTE(SUBSTITUTE(SUBSTITUTE(SUBSTITUTE(SUBSTITUTE(SUBSTITUTE(SUBSTITUTE(SUBSTITUTE(SUBSTITUTE($AA534," ",""),"　",""),"(주)",""),"（주）",""),"㈜",""),"주식회사",""),"(유)",""),"（유）",""),"유한회사",""))</f>
        <v/>
      </c>
      <c r="AC534" s="31">
        <f>IF(OR($Y534="",N($Z534)&lt;=0,$AB534=""),0,IFERROR(LOOKUP(2,1/((거래처별!$AC$8:$AC$307&lt;&gt;"")*ISNUMBER(SEARCH(거래처별!$AC$8:$AC$307,$AB534))),거래처별!$A$8:$A$307),IFERROR(LOOKUP(2,1/((거래처별!$AD$8:$AD$307&lt;&gt;"")*ISNUMBER(SEARCH(거래처별!$AD$8:$AD$307,$AB534))),거래처별!$A$8:$A$307),IFERROR(LOOKUP(2,1/((거래처별!$AE$8:$AE$307&lt;&gt;"")*ISNUMBER(SEARCH(거래처별!$AE$8:$AE$307,$AB534))),거래처별!$A$8:$A$307),0))))</f>
        <v/>
      </c>
      <c r="AD534" s="31">
        <f>IF(AND($Y534&lt;&gt;"",N($Z534)&gt;0,$AC534=0),MAX($AD$7:$AD533)+1,"")</f>
        <v/>
      </c>
      <c r="AE534" s="31">
        <f>IF($Y534="",0,$Y534)</f>
        <v/>
      </c>
    </row>
    <row r="535">
      <c r="W535" s="31">
        <f>IF(OR($B$5="",$C$6="",ROW()&lt;$B$5),"",IF(INDEX($A:$U,ROW(),$C$6)="","",INDEX($A:$U,ROW(),$C$6)))</f>
        <v/>
      </c>
      <c r="X535" s="32">
        <f>IF($W535="","",IF(ISNUMBER($W535),IF($W535&gt;=10000000,IFERROR(DATE(INT($W535/10000),MOD(INT($W535/100),100),MOD($W535,100)),""),INT($W535)),IFERROR(DATE(--LEFT(LEFT(SUBSTITUTE(SUBSTITUTE(SUBSTITUTE(SUBSTITUTE(TRIM($W535),"-",""),".",""),"/","")," ",""),8),4),--MID(LEFT(SUBSTITUTE(SUBSTITUTE(SUBSTITUTE(SUBSTITUTE(TRIM($W535),"-",""),".",""),"/","")," ",""),8),5,2),--MID(LEFT(SUBSTITUTE(SUBSTITUTE(SUBSTITUTE(SUBSTITUTE(TRIM($W535),"-",""),".",""),"/","")," ",""),8),7,2)),"")))</f>
        <v/>
      </c>
      <c r="Y535" s="32">
        <f>IF($X535="","",INT($X535))</f>
        <v/>
      </c>
      <c r="Z535" s="33">
        <f>IF(OR($Y535="",$D$6=""),"",IF(INDEX($A:$U,ROW(),$D$6)="",0,IF(ISNUMBER(INDEX($A:$U,ROW(),$D$6)),INDEX($A:$U,ROW(),$D$6),IFERROR(--SUBSTITUTE(SUBSTITUTE(TRIM(INDEX($A:$U,ROW(),$D$6)),",",""),"원",""),0))))</f>
        <v/>
      </c>
      <c r="AA535" s="31">
        <f>IF($Y535="","",TRIM(INDEX($A:$U,ROW(),$E$6)&amp;IF($F$6="",""," "&amp;INDEX($A:$U,ROW(),$F$6))))</f>
        <v/>
      </c>
      <c r="AB535" s="31">
        <f>IF($AA535="","",SUBSTITUTE(SUBSTITUTE(SUBSTITUTE(SUBSTITUTE(SUBSTITUTE(SUBSTITUTE(SUBSTITUTE(SUBSTITUTE(SUBSTITUTE($AA535," ",""),"　",""),"(주)",""),"（주）",""),"㈜",""),"주식회사",""),"(유)",""),"（유）",""),"유한회사",""))</f>
        <v/>
      </c>
      <c r="AC535" s="31">
        <f>IF(OR($Y535="",N($Z535)&lt;=0,$AB535=""),0,IFERROR(LOOKUP(2,1/((거래처별!$AC$8:$AC$307&lt;&gt;"")*ISNUMBER(SEARCH(거래처별!$AC$8:$AC$307,$AB535))),거래처별!$A$8:$A$307),IFERROR(LOOKUP(2,1/((거래처별!$AD$8:$AD$307&lt;&gt;"")*ISNUMBER(SEARCH(거래처별!$AD$8:$AD$307,$AB535))),거래처별!$A$8:$A$307),IFERROR(LOOKUP(2,1/((거래처별!$AE$8:$AE$307&lt;&gt;"")*ISNUMBER(SEARCH(거래처별!$AE$8:$AE$307,$AB535))),거래처별!$A$8:$A$307),0))))</f>
        <v/>
      </c>
      <c r="AD535" s="31">
        <f>IF(AND($Y535&lt;&gt;"",N($Z535)&gt;0,$AC535=0),MAX($AD$7:$AD534)+1,"")</f>
        <v/>
      </c>
      <c r="AE535" s="31">
        <f>IF($Y535="",0,$Y535)</f>
        <v/>
      </c>
    </row>
    <row r="536">
      <c r="W536" s="31">
        <f>IF(OR($B$5="",$C$6="",ROW()&lt;$B$5),"",IF(INDEX($A:$U,ROW(),$C$6)="","",INDEX($A:$U,ROW(),$C$6)))</f>
        <v/>
      </c>
      <c r="X536" s="32">
        <f>IF($W536="","",IF(ISNUMBER($W536),IF($W536&gt;=10000000,IFERROR(DATE(INT($W536/10000),MOD(INT($W536/100),100),MOD($W536,100)),""),INT($W536)),IFERROR(DATE(--LEFT(LEFT(SUBSTITUTE(SUBSTITUTE(SUBSTITUTE(SUBSTITUTE(TRIM($W536),"-",""),".",""),"/","")," ",""),8),4),--MID(LEFT(SUBSTITUTE(SUBSTITUTE(SUBSTITUTE(SUBSTITUTE(TRIM($W536),"-",""),".",""),"/","")," ",""),8),5,2),--MID(LEFT(SUBSTITUTE(SUBSTITUTE(SUBSTITUTE(SUBSTITUTE(TRIM($W536),"-",""),".",""),"/","")," ",""),8),7,2)),"")))</f>
        <v/>
      </c>
      <c r="Y536" s="32">
        <f>IF($X536="","",INT($X536))</f>
        <v/>
      </c>
      <c r="Z536" s="33">
        <f>IF(OR($Y536="",$D$6=""),"",IF(INDEX($A:$U,ROW(),$D$6)="",0,IF(ISNUMBER(INDEX($A:$U,ROW(),$D$6)),INDEX($A:$U,ROW(),$D$6),IFERROR(--SUBSTITUTE(SUBSTITUTE(TRIM(INDEX($A:$U,ROW(),$D$6)),",",""),"원",""),0))))</f>
        <v/>
      </c>
      <c r="AA536" s="31">
        <f>IF($Y536="","",TRIM(INDEX($A:$U,ROW(),$E$6)&amp;IF($F$6="",""," "&amp;INDEX($A:$U,ROW(),$F$6))))</f>
        <v/>
      </c>
      <c r="AB536" s="31">
        <f>IF($AA536="","",SUBSTITUTE(SUBSTITUTE(SUBSTITUTE(SUBSTITUTE(SUBSTITUTE(SUBSTITUTE(SUBSTITUTE(SUBSTITUTE(SUBSTITUTE($AA536," ",""),"　",""),"(주)",""),"（주）",""),"㈜",""),"주식회사",""),"(유)",""),"（유）",""),"유한회사",""))</f>
        <v/>
      </c>
      <c r="AC536" s="31">
        <f>IF(OR($Y536="",N($Z536)&lt;=0,$AB536=""),0,IFERROR(LOOKUP(2,1/((거래처별!$AC$8:$AC$307&lt;&gt;"")*ISNUMBER(SEARCH(거래처별!$AC$8:$AC$307,$AB536))),거래처별!$A$8:$A$307),IFERROR(LOOKUP(2,1/((거래처별!$AD$8:$AD$307&lt;&gt;"")*ISNUMBER(SEARCH(거래처별!$AD$8:$AD$307,$AB536))),거래처별!$A$8:$A$307),IFERROR(LOOKUP(2,1/((거래처별!$AE$8:$AE$307&lt;&gt;"")*ISNUMBER(SEARCH(거래처별!$AE$8:$AE$307,$AB536))),거래처별!$A$8:$A$307),0))))</f>
        <v/>
      </c>
      <c r="AD536" s="31">
        <f>IF(AND($Y536&lt;&gt;"",N($Z536)&gt;0,$AC536=0),MAX($AD$7:$AD535)+1,"")</f>
        <v/>
      </c>
      <c r="AE536" s="31">
        <f>IF($Y536="",0,$Y536)</f>
        <v/>
      </c>
    </row>
    <row r="537">
      <c r="W537" s="31">
        <f>IF(OR($B$5="",$C$6="",ROW()&lt;$B$5),"",IF(INDEX($A:$U,ROW(),$C$6)="","",INDEX($A:$U,ROW(),$C$6)))</f>
        <v/>
      </c>
      <c r="X537" s="32">
        <f>IF($W537="","",IF(ISNUMBER($W537),IF($W537&gt;=10000000,IFERROR(DATE(INT($W537/10000),MOD(INT($W537/100),100),MOD($W537,100)),""),INT($W537)),IFERROR(DATE(--LEFT(LEFT(SUBSTITUTE(SUBSTITUTE(SUBSTITUTE(SUBSTITUTE(TRIM($W537),"-",""),".",""),"/","")," ",""),8),4),--MID(LEFT(SUBSTITUTE(SUBSTITUTE(SUBSTITUTE(SUBSTITUTE(TRIM($W537),"-",""),".",""),"/","")," ",""),8),5,2),--MID(LEFT(SUBSTITUTE(SUBSTITUTE(SUBSTITUTE(SUBSTITUTE(TRIM($W537),"-",""),".",""),"/","")," ",""),8),7,2)),"")))</f>
        <v/>
      </c>
      <c r="Y537" s="32">
        <f>IF($X537="","",INT($X537))</f>
        <v/>
      </c>
      <c r="Z537" s="33">
        <f>IF(OR($Y537="",$D$6=""),"",IF(INDEX($A:$U,ROW(),$D$6)="",0,IF(ISNUMBER(INDEX($A:$U,ROW(),$D$6)),INDEX($A:$U,ROW(),$D$6),IFERROR(--SUBSTITUTE(SUBSTITUTE(TRIM(INDEX($A:$U,ROW(),$D$6)),",",""),"원",""),0))))</f>
        <v/>
      </c>
      <c r="AA537" s="31">
        <f>IF($Y537="","",TRIM(INDEX($A:$U,ROW(),$E$6)&amp;IF($F$6="",""," "&amp;INDEX($A:$U,ROW(),$F$6))))</f>
        <v/>
      </c>
      <c r="AB537" s="31">
        <f>IF($AA537="","",SUBSTITUTE(SUBSTITUTE(SUBSTITUTE(SUBSTITUTE(SUBSTITUTE(SUBSTITUTE(SUBSTITUTE(SUBSTITUTE(SUBSTITUTE($AA537," ",""),"　",""),"(주)",""),"（주）",""),"㈜",""),"주식회사",""),"(유)",""),"（유）",""),"유한회사",""))</f>
        <v/>
      </c>
      <c r="AC537" s="31">
        <f>IF(OR($Y537="",N($Z537)&lt;=0,$AB537=""),0,IFERROR(LOOKUP(2,1/((거래처별!$AC$8:$AC$307&lt;&gt;"")*ISNUMBER(SEARCH(거래처별!$AC$8:$AC$307,$AB537))),거래처별!$A$8:$A$307),IFERROR(LOOKUP(2,1/((거래처별!$AD$8:$AD$307&lt;&gt;"")*ISNUMBER(SEARCH(거래처별!$AD$8:$AD$307,$AB537))),거래처별!$A$8:$A$307),IFERROR(LOOKUP(2,1/((거래처별!$AE$8:$AE$307&lt;&gt;"")*ISNUMBER(SEARCH(거래처별!$AE$8:$AE$307,$AB537))),거래처별!$A$8:$A$307),0))))</f>
        <v/>
      </c>
      <c r="AD537" s="31">
        <f>IF(AND($Y537&lt;&gt;"",N($Z537)&gt;0,$AC537=0),MAX($AD$7:$AD536)+1,"")</f>
        <v/>
      </c>
      <c r="AE537" s="31">
        <f>IF($Y537="",0,$Y537)</f>
        <v/>
      </c>
    </row>
    <row r="538">
      <c r="W538" s="31">
        <f>IF(OR($B$5="",$C$6="",ROW()&lt;$B$5),"",IF(INDEX($A:$U,ROW(),$C$6)="","",INDEX($A:$U,ROW(),$C$6)))</f>
        <v/>
      </c>
      <c r="X538" s="32">
        <f>IF($W538="","",IF(ISNUMBER($W538),IF($W538&gt;=10000000,IFERROR(DATE(INT($W538/10000),MOD(INT($W538/100),100),MOD($W538,100)),""),INT($W538)),IFERROR(DATE(--LEFT(LEFT(SUBSTITUTE(SUBSTITUTE(SUBSTITUTE(SUBSTITUTE(TRIM($W538),"-",""),".",""),"/","")," ",""),8),4),--MID(LEFT(SUBSTITUTE(SUBSTITUTE(SUBSTITUTE(SUBSTITUTE(TRIM($W538),"-",""),".",""),"/","")," ",""),8),5,2),--MID(LEFT(SUBSTITUTE(SUBSTITUTE(SUBSTITUTE(SUBSTITUTE(TRIM($W538),"-",""),".",""),"/","")," ",""),8),7,2)),"")))</f>
        <v/>
      </c>
      <c r="Y538" s="32">
        <f>IF($X538="","",INT($X538))</f>
        <v/>
      </c>
      <c r="Z538" s="33">
        <f>IF(OR($Y538="",$D$6=""),"",IF(INDEX($A:$U,ROW(),$D$6)="",0,IF(ISNUMBER(INDEX($A:$U,ROW(),$D$6)),INDEX($A:$U,ROW(),$D$6),IFERROR(--SUBSTITUTE(SUBSTITUTE(TRIM(INDEX($A:$U,ROW(),$D$6)),",",""),"원",""),0))))</f>
        <v/>
      </c>
      <c r="AA538" s="31">
        <f>IF($Y538="","",TRIM(INDEX($A:$U,ROW(),$E$6)&amp;IF($F$6="",""," "&amp;INDEX($A:$U,ROW(),$F$6))))</f>
        <v/>
      </c>
      <c r="AB538" s="31">
        <f>IF($AA538="","",SUBSTITUTE(SUBSTITUTE(SUBSTITUTE(SUBSTITUTE(SUBSTITUTE(SUBSTITUTE(SUBSTITUTE(SUBSTITUTE(SUBSTITUTE($AA538," ",""),"　",""),"(주)",""),"（주）",""),"㈜",""),"주식회사",""),"(유)",""),"（유）",""),"유한회사",""))</f>
        <v/>
      </c>
      <c r="AC538" s="31">
        <f>IF(OR($Y538="",N($Z538)&lt;=0,$AB538=""),0,IFERROR(LOOKUP(2,1/((거래처별!$AC$8:$AC$307&lt;&gt;"")*ISNUMBER(SEARCH(거래처별!$AC$8:$AC$307,$AB538))),거래처별!$A$8:$A$307),IFERROR(LOOKUP(2,1/((거래처별!$AD$8:$AD$307&lt;&gt;"")*ISNUMBER(SEARCH(거래처별!$AD$8:$AD$307,$AB538))),거래처별!$A$8:$A$307),IFERROR(LOOKUP(2,1/((거래처별!$AE$8:$AE$307&lt;&gt;"")*ISNUMBER(SEARCH(거래처별!$AE$8:$AE$307,$AB538))),거래처별!$A$8:$A$307),0))))</f>
        <v/>
      </c>
      <c r="AD538" s="31">
        <f>IF(AND($Y538&lt;&gt;"",N($Z538)&gt;0,$AC538=0),MAX($AD$7:$AD537)+1,"")</f>
        <v/>
      </c>
      <c r="AE538" s="31">
        <f>IF($Y538="",0,$Y538)</f>
        <v/>
      </c>
    </row>
    <row r="539">
      <c r="W539" s="31">
        <f>IF(OR($B$5="",$C$6="",ROW()&lt;$B$5),"",IF(INDEX($A:$U,ROW(),$C$6)="","",INDEX($A:$U,ROW(),$C$6)))</f>
        <v/>
      </c>
      <c r="X539" s="32">
        <f>IF($W539="","",IF(ISNUMBER($W539),IF($W539&gt;=10000000,IFERROR(DATE(INT($W539/10000),MOD(INT($W539/100),100),MOD($W539,100)),""),INT($W539)),IFERROR(DATE(--LEFT(LEFT(SUBSTITUTE(SUBSTITUTE(SUBSTITUTE(SUBSTITUTE(TRIM($W539),"-",""),".",""),"/","")," ",""),8),4),--MID(LEFT(SUBSTITUTE(SUBSTITUTE(SUBSTITUTE(SUBSTITUTE(TRIM($W539),"-",""),".",""),"/","")," ",""),8),5,2),--MID(LEFT(SUBSTITUTE(SUBSTITUTE(SUBSTITUTE(SUBSTITUTE(TRIM($W539),"-",""),".",""),"/","")," ",""),8),7,2)),"")))</f>
        <v/>
      </c>
      <c r="Y539" s="32">
        <f>IF($X539="","",INT($X539))</f>
        <v/>
      </c>
      <c r="Z539" s="33">
        <f>IF(OR($Y539="",$D$6=""),"",IF(INDEX($A:$U,ROW(),$D$6)="",0,IF(ISNUMBER(INDEX($A:$U,ROW(),$D$6)),INDEX($A:$U,ROW(),$D$6),IFERROR(--SUBSTITUTE(SUBSTITUTE(TRIM(INDEX($A:$U,ROW(),$D$6)),",",""),"원",""),0))))</f>
        <v/>
      </c>
      <c r="AA539" s="31">
        <f>IF($Y539="","",TRIM(INDEX($A:$U,ROW(),$E$6)&amp;IF($F$6="",""," "&amp;INDEX($A:$U,ROW(),$F$6))))</f>
        <v/>
      </c>
      <c r="AB539" s="31">
        <f>IF($AA539="","",SUBSTITUTE(SUBSTITUTE(SUBSTITUTE(SUBSTITUTE(SUBSTITUTE(SUBSTITUTE(SUBSTITUTE(SUBSTITUTE(SUBSTITUTE($AA539," ",""),"　",""),"(주)",""),"（주）",""),"㈜",""),"주식회사",""),"(유)",""),"（유）",""),"유한회사",""))</f>
        <v/>
      </c>
      <c r="AC539" s="31">
        <f>IF(OR($Y539="",N($Z539)&lt;=0,$AB539=""),0,IFERROR(LOOKUP(2,1/((거래처별!$AC$8:$AC$307&lt;&gt;"")*ISNUMBER(SEARCH(거래처별!$AC$8:$AC$307,$AB539))),거래처별!$A$8:$A$307),IFERROR(LOOKUP(2,1/((거래처별!$AD$8:$AD$307&lt;&gt;"")*ISNUMBER(SEARCH(거래처별!$AD$8:$AD$307,$AB539))),거래처별!$A$8:$A$307),IFERROR(LOOKUP(2,1/((거래처별!$AE$8:$AE$307&lt;&gt;"")*ISNUMBER(SEARCH(거래처별!$AE$8:$AE$307,$AB539))),거래처별!$A$8:$A$307),0))))</f>
        <v/>
      </c>
      <c r="AD539" s="31">
        <f>IF(AND($Y539&lt;&gt;"",N($Z539)&gt;0,$AC539=0),MAX($AD$7:$AD538)+1,"")</f>
        <v/>
      </c>
      <c r="AE539" s="31">
        <f>IF($Y539="",0,$Y539)</f>
        <v/>
      </c>
    </row>
    <row r="540">
      <c r="W540" s="31">
        <f>IF(OR($B$5="",$C$6="",ROW()&lt;$B$5),"",IF(INDEX($A:$U,ROW(),$C$6)="","",INDEX($A:$U,ROW(),$C$6)))</f>
        <v/>
      </c>
      <c r="X540" s="32">
        <f>IF($W540="","",IF(ISNUMBER($W540),IF($W540&gt;=10000000,IFERROR(DATE(INT($W540/10000),MOD(INT($W540/100),100),MOD($W540,100)),""),INT($W540)),IFERROR(DATE(--LEFT(LEFT(SUBSTITUTE(SUBSTITUTE(SUBSTITUTE(SUBSTITUTE(TRIM($W540),"-",""),".",""),"/","")," ",""),8),4),--MID(LEFT(SUBSTITUTE(SUBSTITUTE(SUBSTITUTE(SUBSTITUTE(TRIM($W540),"-",""),".",""),"/","")," ",""),8),5,2),--MID(LEFT(SUBSTITUTE(SUBSTITUTE(SUBSTITUTE(SUBSTITUTE(TRIM($W540),"-",""),".",""),"/","")," ",""),8),7,2)),"")))</f>
        <v/>
      </c>
      <c r="Y540" s="32">
        <f>IF($X540="","",INT($X540))</f>
        <v/>
      </c>
      <c r="Z540" s="33">
        <f>IF(OR($Y540="",$D$6=""),"",IF(INDEX($A:$U,ROW(),$D$6)="",0,IF(ISNUMBER(INDEX($A:$U,ROW(),$D$6)),INDEX($A:$U,ROW(),$D$6),IFERROR(--SUBSTITUTE(SUBSTITUTE(TRIM(INDEX($A:$U,ROW(),$D$6)),",",""),"원",""),0))))</f>
        <v/>
      </c>
      <c r="AA540" s="31">
        <f>IF($Y540="","",TRIM(INDEX($A:$U,ROW(),$E$6)&amp;IF($F$6="",""," "&amp;INDEX($A:$U,ROW(),$F$6))))</f>
        <v/>
      </c>
      <c r="AB540" s="31">
        <f>IF($AA540="","",SUBSTITUTE(SUBSTITUTE(SUBSTITUTE(SUBSTITUTE(SUBSTITUTE(SUBSTITUTE(SUBSTITUTE(SUBSTITUTE(SUBSTITUTE($AA540," ",""),"　",""),"(주)",""),"（주）",""),"㈜",""),"주식회사",""),"(유)",""),"（유）",""),"유한회사",""))</f>
        <v/>
      </c>
      <c r="AC540" s="31">
        <f>IF(OR($Y540="",N($Z540)&lt;=0,$AB540=""),0,IFERROR(LOOKUP(2,1/((거래처별!$AC$8:$AC$307&lt;&gt;"")*ISNUMBER(SEARCH(거래처별!$AC$8:$AC$307,$AB540))),거래처별!$A$8:$A$307),IFERROR(LOOKUP(2,1/((거래처별!$AD$8:$AD$307&lt;&gt;"")*ISNUMBER(SEARCH(거래처별!$AD$8:$AD$307,$AB540))),거래처별!$A$8:$A$307),IFERROR(LOOKUP(2,1/((거래처별!$AE$8:$AE$307&lt;&gt;"")*ISNUMBER(SEARCH(거래처별!$AE$8:$AE$307,$AB540))),거래처별!$A$8:$A$307),0))))</f>
        <v/>
      </c>
      <c r="AD540" s="31">
        <f>IF(AND($Y540&lt;&gt;"",N($Z540)&gt;0,$AC540=0),MAX($AD$7:$AD539)+1,"")</f>
        <v/>
      </c>
      <c r="AE540" s="31">
        <f>IF($Y540="",0,$Y540)</f>
        <v/>
      </c>
    </row>
    <row r="541">
      <c r="W541" s="31">
        <f>IF(OR($B$5="",$C$6="",ROW()&lt;$B$5),"",IF(INDEX($A:$U,ROW(),$C$6)="","",INDEX($A:$U,ROW(),$C$6)))</f>
        <v/>
      </c>
      <c r="X541" s="32">
        <f>IF($W541="","",IF(ISNUMBER($W541),IF($W541&gt;=10000000,IFERROR(DATE(INT($W541/10000),MOD(INT($W541/100),100),MOD($W541,100)),""),INT($W541)),IFERROR(DATE(--LEFT(LEFT(SUBSTITUTE(SUBSTITUTE(SUBSTITUTE(SUBSTITUTE(TRIM($W541),"-",""),".",""),"/","")," ",""),8),4),--MID(LEFT(SUBSTITUTE(SUBSTITUTE(SUBSTITUTE(SUBSTITUTE(TRIM($W541),"-",""),".",""),"/","")," ",""),8),5,2),--MID(LEFT(SUBSTITUTE(SUBSTITUTE(SUBSTITUTE(SUBSTITUTE(TRIM($W541),"-",""),".",""),"/","")," ",""),8),7,2)),"")))</f>
        <v/>
      </c>
      <c r="Y541" s="32">
        <f>IF($X541="","",INT($X541))</f>
        <v/>
      </c>
      <c r="Z541" s="33">
        <f>IF(OR($Y541="",$D$6=""),"",IF(INDEX($A:$U,ROW(),$D$6)="",0,IF(ISNUMBER(INDEX($A:$U,ROW(),$D$6)),INDEX($A:$U,ROW(),$D$6),IFERROR(--SUBSTITUTE(SUBSTITUTE(TRIM(INDEX($A:$U,ROW(),$D$6)),",",""),"원",""),0))))</f>
        <v/>
      </c>
      <c r="AA541" s="31">
        <f>IF($Y541="","",TRIM(INDEX($A:$U,ROW(),$E$6)&amp;IF($F$6="",""," "&amp;INDEX($A:$U,ROW(),$F$6))))</f>
        <v/>
      </c>
      <c r="AB541" s="31">
        <f>IF($AA541="","",SUBSTITUTE(SUBSTITUTE(SUBSTITUTE(SUBSTITUTE(SUBSTITUTE(SUBSTITUTE(SUBSTITUTE(SUBSTITUTE(SUBSTITUTE($AA541," ",""),"　",""),"(주)",""),"（주）",""),"㈜",""),"주식회사",""),"(유)",""),"（유）",""),"유한회사",""))</f>
        <v/>
      </c>
      <c r="AC541" s="31">
        <f>IF(OR($Y541="",N($Z541)&lt;=0,$AB541=""),0,IFERROR(LOOKUP(2,1/((거래처별!$AC$8:$AC$307&lt;&gt;"")*ISNUMBER(SEARCH(거래처별!$AC$8:$AC$307,$AB541))),거래처별!$A$8:$A$307),IFERROR(LOOKUP(2,1/((거래처별!$AD$8:$AD$307&lt;&gt;"")*ISNUMBER(SEARCH(거래처별!$AD$8:$AD$307,$AB541))),거래처별!$A$8:$A$307),IFERROR(LOOKUP(2,1/((거래처별!$AE$8:$AE$307&lt;&gt;"")*ISNUMBER(SEARCH(거래처별!$AE$8:$AE$307,$AB541))),거래처별!$A$8:$A$307),0))))</f>
        <v/>
      </c>
      <c r="AD541" s="31">
        <f>IF(AND($Y541&lt;&gt;"",N($Z541)&gt;0,$AC541=0),MAX($AD$7:$AD540)+1,"")</f>
        <v/>
      </c>
      <c r="AE541" s="31">
        <f>IF($Y541="",0,$Y541)</f>
        <v/>
      </c>
    </row>
    <row r="542">
      <c r="W542" s="31">
        <f>IF(OR($B$5="",$C$6="",ROW()&lt;$B$5),"",IF(INDEX($A:$U,ROW(),$C$6)="","",INDEX($A:$U,ROW(),$C$6)))</f>
        <v/>
      </c>
      <c r="X542" s="32">
        <f>IF($W542="","",IF(ISNUMBER($W542),IF($W542&gt;=10000000,IFERROR(DATE(INT($W542/10000),MOD(INT($W542/100),100),MOD($W542,100)),""),INT($W542)),IFERROR(DATE(--LEFT(LEFT(SUBSTITUTE(SUBSTITUTE(SUBSTITUTE(SUBSTITUTE(TRIM($W542),"-",""),".",""),"/","")," ",""),8),4),--MID(LEFT(SUBSTITUTE(SUBSTITUTE(SUBSTITUTE(SUBSTITUTE(TRIM($W542),"-",""),".",""),"/","")," ",""),8),5,2),--MID(LEFT(SUBSTITUTE(SUBSTITUTE(SUBSTITUTE(SUBSTITUTE(TRIM($W542),"-",""),".",""),"/","")," ",""),8),7,2)),"")))</f>
        <v/>
      </c>
      <c r="Y542" s="32">
        <f>IF($X542="","",INT($X542))</f>
        <v/>
      </c>
      <c r="Z542" s="33">
        <f>IF(OR($Y542="",$D$6=""),"",IF(INDEX($A:$U,ROW(),$D$6)="",0,IF(ISNUMBER(INDEX($A:$U,ROW(),$D$6)),INDEX($A:$U,ROW(),$D$6),IFERROR(--SUBSTITUTE(SUBSTITUTE(TRIM(INDEX($A:$U,ROW(),$D$6)),",",""),"원",""),0))))</f>
        <v/>
      </c>
      <c r="AA542" s="31">
        <f>IF($Y542="","",TRIM(INDEX($A:$U,ROW(),$E$6)&amp;IF($F$6="",""," "&amp;INDEX($A:$U,ROW(),$F$6))))</f>
        <v/>
      </c>
      <c r="AB542" s="31">
        <f>IF($AA542="","",SUBSTITUTE(SUBSTITUTE(SUBSTITUTE(SUBSTITUTE(SUBSTITUTE(SUBSTITUTE(SUBSTITUTE(SUBSTITUTE(SUBSTITUTE($AA542," ",""),"　",""),"(주)",""),"（주）",""),"㈜",""),"주식회사",""),"(유)",""),"（유）",""),"유한회사",""))</f>
        <v/>
      </c>
      <c r="AC542" s="31">
        <f>IF(OR($Y542="",N($Z542)&lt;=0,$AB542=""),0,IFERROR(LOOKUP(2,1/((거래처별!$AC$8:$AC$307&lt;&gt;"")*ISNUMBER(SEARCH(거래처별!$AC$8:$AC$307,$AB542))),거래처별!$A$8:$A$307),IFERROR(LOOKUP(2,1/((거래처별!$AD$8:$AD$307&lt;&gt;"")*ISNUMBER(SEARCH(거래처별!$AD$8:$AD$307,$AB542))),거래처별!$A$8:$A$307),IFERROR(LOOKUP(2,1/((거래처별!$AE$8:$AE$307&lt;&gt;"")*ISNUMBER(SEARCH(거래처별!$AE$8:$AE$307,$AB542))),거래처별!$A$8:$A$307),0))))</f>
        <v/>
      </c>
      <c r="AD542" s="31">
        <f>IF(AND($Y542&lt;&gt;"",N($Z542)&gt;0,$AC542=0),MAX($AD$7:$AD541)+1,"")</f>
        <v/>
      </c>
      <c r="AE542" s="31">
        <f>IF($Y542="",0,$Y542)</f>
        <v/>
      </c>
    </row>
    <row r="543">
      <c r="W543" s="31">
        <f>IF(OR($B$5="",$C$6="",ROW()&lt;$B$5),"",IF(INDEX($A:$U,ROW(),$C$6)="","",INDEX($A:$U,ROW(),$C$6)))</f>
        <v/>
      </c>
      <c r="X543" s="32">
        <f>IF($W543="","",IF(ISNUMBER($W543),IF($W543&gt;=10000000,IFERROR(DATE(INT($W543/10000),MOD(INT($W543/100),100),MOD($W543,100)),""),INT($W543)),IFERROR(DATE(--LEFT(LEFT(SUBSTITUTE(SUBSTITUTE(SUBSTITUTE(SUBSTITUTE(TRIM($W543),"-",""),".",""),"/","")," ",""),8),4),--MID(LEFT(SUBSTITUTE(SUBSTITUTE(SUBSTITUTE(SUBSTITUTE(TRIM($W543),"-",""),".",""),"/","")," ",""),8),5,2),--MID(LEFT(SUBSTITUTE(SUBSTITUTE(SUBSTITUTE(SUBSTITUTE(TRIM($W543),"-",""),".",""),"/","")," ",""),8),7,2)),"")))</f>
        <v/>
      </c>
      <c r="Y543" s="32">
        <f>IF($X543="","",INT($X543))</f>
        <v/>
      </c>
      <c r="Z543" s="33">
        <f>IF(OR($Y543="",$D$6=""),"",IF(INDEX($A:$U,ROW(),$D$6)="",0,IF(ISNUMBER(INDEX($A:$U,ROW(),$D$6)),INDEX($A:$U,ROW(),$D$6),IFERROR(--SUBSTITUTE(SUBSTITUTE(TRIM(INDEX($A:$U,ROW(),$D$6)),",",""),"원",""),0))))</f>
        <v/>
      </c>
      <c r="AA543" s="31">
        <f>IF($Y543="","",TRIM(INDEX($A:$U,ROW(),$E$6)&amp;IF($F$6="",""," "&amp;INDEX($A:$U,ROW(),$F$6))))</f>
        <v/>
      </c>
      <c r="AB543" s="31">
        <f>IF($AA543="","",SUBSTITUTE(SUBSTITUTE(SUBSTITUTE(SUBSTITUTE(SUBSTITUTE(SUBSTITUTE(SUBSTITUTE(SUBSTITUTE(SUBSTITUTE($AA543," ",""),"　",""),"(주)",""),"（주）",""),"㈜",""),"주식회사",""),"(유)",""),"（유）",""),"유한회사",""))</f>
        <v/>
      </c>
      <c r="AC543" s="31">
        <f>IF(OR($Y543="",N($Z543)&lt;=0,$AB543=""),0,IFERROR(LOOKUP(2,1/((거래처별!$AC$8:$AC$307&lt;&gt;"")*ISNUMBER(SEARCH(거래처별!$AC$8:$AC$307,$AB543))),거래처별!$A$8:$A$307),IFERROR(LOOKUP(2,1/((거래처별!$AD$8:$AD$307&lt;&gt;"")*ISNUMBER(SEARCH(거래처별!$AD$8:$AD$307,$AB543))),거래처별!$A$8:$A$307),IFERROR(LOOKUP(2,1/((거래처별!$AE$8:$AE$307&lt;&gt;"")*ISNUMBER(SEARCH(거래처별!$AE$8:$AE$307,$AB543))),거래처별!$A$8:$A$307),0))))</f>
        <v/>
      </c>
      <c r="AD543" s="31">
        <f>IF(AND($Y543&lt;&gt;"",N($Z543)&gt;0,$AC543=0),MAX($AD$7:$AD542)+1,"")</f>
        <v/>
      </c>
      <c r="AE543" s="31">
        <f>IF($Y543="",0,$Y543)</f>
        <v/>
      </c>
    </row>
    <row r="544">
      <c r="W544" s="31">
        <f>IF(OR($B$5="",$C$6="",ROW()&lt;$B$5),"",IF(INDEX($A:$U,ROW(),$C$6)="","",INDEX($A:$U,ROW(),$C$6)))</f>
        <v/>
      </c>
      <c r="X544" s="32">
        <f>IF($W544="","",IF(ISNUMBER($W544),IF($W544&gt;=10000000,IFERROR(DATE(INT($W544/10000),MOD(INT($W544/100),100),MOD($W544,100)),""),INT($W544)),IFERROR(DATE(--LEFT(LEFT(SUBSTITUTE(SUBSTITUTE(SUBSTITUTE(SUBSTITUTE(TRIM($W544),"-",""),".",""),"/","")," ",""),8),4),--MID(LEFT(SUBSTITUTE(SUBSTITUTE(SUBSTITUTE(SUBSTITUTE(TRIM($W544),"-",""),".",""),"/","")," ",""),8),5,2),--MID(LEFT(SUBSTITUTE(SUBSTITUTE(SUBSTITUTE(SUBSTITUTE(TRIM($W544),"-",""),".",""),"/","")," ",""),8),7,2)),"")))</f>
        <v/>
      </c>
      <c r="Y544" s="32">
        <f>IF($X544="","",INT($X544))</f>
        <v/>
      </c>
      <c r="Z544" s="33">
        <f>IF(OR($Y544="",$D$6=""),"",IF(INDEX($A:$U,ROW(),$D$6)="",0,IF(ISNUMBER(INDEX($A:$U,ROW(),$D$6)),INDEX($A:$U,ROW(),$D$6),IFERROR(--SUBSTITUTE(SUBSTITUTE(TRIM(INDEX($A:$U,ROW(),$D$6)),",",""),"원",""),0))))</f>
        <v/>
      </c>
      <c r="AA544" s="31">
        <f>IF($Y544="","",TRIM(INDEX($A:$U,ROW(),$E$6)&amp;IF($F$6="",""," "&amp;INDEX($A:$U,ROW(),$F$6))))</f>
        <v/>
      </c>
      <c r="AB544" s="31">
        <f>IF($AA544="","",SUBSTITUTE(SUBSTITUTE(SUBSTITUTE(SUBSTITUTE(SUBSTITUTE(SUBSTITUTE(SUBSTITUTE(SUBSTITUTE(SUBSTITUTE($AA544," ",""),"　",""),"(주)",""),"（주）",""),"㈜",""),"주식회사",""),"(유)",""),"（유）",""),"유한회사",""))</f>
        <v/>
      </c>
      <c r="AC544" s="31">
        <f>IF(OR($Y544="",N($Z544)&lt;=0,$AB544=""),0,IFERROR(LOOKUP(2,1/((거래처별!$AC$8:$AC$307&lt;&gt;"")*ISNUMBER(SEARCH(거래처별!$AC$8:$AC$307,$AB544))),거래처별!$A$8:$A$307),IFERROR(LOOKUP(2,1/((거래처별!$AD$8:$AD$307&lt;&gt;"")*ISNUMBER(SEARCH(거래처별!$AD$8:$AD$307,$AB544))),거래처별!$A$8:$A$307),IFERROR(LOOKUP(2,1/((거래처별!$AE$8:$AE$307&lt;&gt;"")*ISNUMBER(SEARCH(거래처별!$AE$8:$AE$307,$AB544))),거래처별!$A$8:$A$307),0))))</f>
        <v/>
      </c>
      <c r="AD544" s="31">
        <f>IF(AND($Y544&lt;&gt;"",N($Z544)&gt;0,$AC544=0),MAX($AD$7:$AD543)+1,"")</f>
        <v/>
      </c>
      <c r="AE544" s="31">
        <f>IF($Y544="",0,$Y544)</f>
        <v/>
      </c>
    </row>
    <row r="545">
      <c r="W545" s="31">
        <f>IF(OR($B$5="",$C$6="",ROW()&lt;$B$5),"",IF(INDEX($A:$U,ROW(),$C$6)="","",INDEX($A:$U,ROW(),$C$6)))</f>
        <v/>
      </c>
      <c r="X545" s="32">
        <f>IF($W545="","",IF(ISNUMBER($W545),IF($W545&gt;=10000000,IFERROR(DATE(INT($W545/10000),MOD(INT($W545/100),100),MOD($W545,100)),""),INT($W545)),IFERROR(DATE(--LEFT(LEFT(SUBSTITUTE(SUBSTITUTE(SUBSTITUTE(SUBSTITUTE(TRIM($W545),"-",""),".",""),"/","")," ",""),8),4),--MID(LEFT(SUBSTITUTE(SUBSTITUTE(SUBSTITUTE(SUBSTITUTE(TRIM($W545),"-",""),".",""),"/","")," ",""),8),5,2),--MID(LEFT(SUBSTITUTE(SUBSTITUTE(SUBSTITUTE(SUBSTITUTE(TRIM($W545),"-",""),".",""),"/","")," ",""),8),7,2)),"")))</f>
        <v/>
      </c>
      <c r="Y545" s="32">
        <f>IF($X545="","",INT($X545))</f>
        <v/>
      </c>
      <c r="Z545" s="33">
        <f>IF(OR($Y545="",$D$6=""),"",IF(INDEX($A:$U,ROW(),$D$6)="",0,IF(ISNUMBER(INDEX($A:$U,ROW(),$D$6)),INDEX($A:$U,ROW(),$D$6),IFERROR(--SUBSTITUTE(SUBSTITUTE(TRIM(INDEX($A:$U,ROW(),$D$6)),",",""),"원",""),0))))</f>
        <v/>
      </c>
      <c r="AA545" s="31">
        <f>IF($Y545="","",TRIM(INDEX($A:$U,ROW(),$E$6)&amp;IF($F$6="",""," "&amp;INDEX($A:$U,ROW(),$F$6))))</f>
        <v/>
      </c>
      <c r="AB545" s="31">
        <f>IF($AA545="","",SUBSTITUTE(SUBSTITUTE(SUBSTITUTE(SUBSTITUTE(SUBSTITUTE(SUBSTITUTE(SUBSTITUTE(SUBSTITUTE(SUBSTITUTE($AA545," ",""),"　",""),"(주)",""),"（주）",""),"㈜",""),"주식회사",""),"(유)",""),"（유）",""),"유한회사",""))</f>
        <v/>
      </c>
      <c r="AC545" s="31">
        <f>IF(OR($Y545="",N($Z545)&lt;=0,$AB545=""),0,IFERROR(LOOKUP(2,1/((거래처별!$AC$8:$AC$307&lt;&gt;"")*ISNUMBER(SEARCH(거래처별!$AC$8:$AC$307,$AB545))),거래처별!$A$8:$A$307),IFERROR(LOOKUP(2,1/((거래처별!$AD$8:$AD$307&lt;&gt;"")*ISNUMBER(SEARCH(거래처별!$AD$8:$AD$307,$AB545))),거래처별!$A$8:$A$307),IFERROR(LOOKUP(2,1/((거래처별!$AE$8:$AE$307&lt;&gt;"")*ISNUMBER(SEARCH(거래처별!$AE$8:$AE$307,$AB545))),거래처별!$A$8:$A$307),0))))</f>
        <v/>
      </c>
      <c r="AD545" s="31">
        <f>IF(AND($Y545&lt;&gt;"",N($Z545)&gt;0,$AC545=0),MAX($AD$7:$AD544)+1,"")</f>
        <v/>
      </c>
      <c r="AE545" s="31">
        <f>IF($Y545="",0,$Y545)</f>
        <v/>
      </c>
    </row>
    <row r="546">
      <c r="W546" s="31">
        <f>IF(OR($B$5="",$C$6="",ROW()&lt;$B$5),"",IF(INDEX($A:$U,ROW(),$C$6)="","",INDEX($A:$U,ROW(),$C$6)))</f>
        <v/>
      </c>
      <c r="X546" s="32">
        <f>IF($W546="","",IF(ISNUMBER($W546),IF($W546&gt;=10000000,IFERROR(DATE(INT($W546/10000),MOD(INT($W546/100),100),MOD($W546,100)),""),INT($W546)),IFERROR(DATE(--LEFT(LEFT(SUBSTITUTE(SUBSTITUTE(SUBSTITUTE(SUBSTITUTE(TRIM($W546),"-",""),".",""),"/","")," ",""),8),4),--MID(LEFT(SUBSTITUTE(SUBSTITUTE(SUBSTITUTE(SUBSTITUTE(TRIM($W546),"-",""),".",""),"/","")," ",""),8),5,2),--MID(LEFT(SUBSTITUTE(SUBSTITUTE(SUBSTITUTE(SUBSTITUTE(TRIM($W546),"-",""),".",""),"/","")," ",""),8),7,2)),"")))</f>
        <v/>
      </c>
      <c r="Y546" s="32">
        <f>IF($X546="","",INT($X546))</f>
        <v/>
      </c>
      <c r="Z546" s="33">
        <f>IF(OR($Y546="",$D$6=""),"",IF(INDEX($A:$U,ROW(),$D$6)="",0,IF(ISNUMBER(INDEX($A:$U,ROW(),$D$6)),INDEX($A:$U,ROW(),$D$6),IFERROR(--SUBSTITUTE(SUBSTITUTE(TRIM(INDEX($A:$U,ROW(),$D$6)),",",""),"원",""),0))))</f>
        <v/>
      </c>
      <c r="AA546" s="31">
        <f>IF($Y546="","",TRIM(INDEX($A:$U,ROW(),$E$6)&amp;IF($F$6="",""," "&amp;INDEX($A:$U,ROW(),$F$6))))</f>
        <v/>
      </c>
      <c r="AB546" s="31">
        <f>IF($AA546="","",SUBSTITUTE(SUBSTITUTE(SUBSTITUTE(SUBSTITUTE(SUBSTITUTE(SUBSTITUTE(SUBSTITUTE(SUBSTITUTE(SUBSTITUTE($AA546," ",""),"　",""),"(주)",""),"（주）",""),"㈜",""),"주식회사",""),"(유)",""),"（유）",""),"유한회사",""))</f>
        <v/>
      </c>
      <c r="AC546" s="31">
        <f>IF(OR($Y546="",N($Z546)&lt;=0,$AB546=""),0,IFERROR(LOOKUP(2,1/((거래처별!$AC$8:$AC$307&lt;&gt;"")*ISNUMBER(SEARCH(거래처별!$AC$8:$AC$307,$AB546))),거래처별!$A$8:$A$307),IFERROR(LOOKUP(2,1/((거래처별!$AD$8:$AD$307&lt;&gt;"")*ISNUMBER(SEARCH(거래처별!$AD$8:$AD$307,$AB546))),거래처별!$A$8:$A$307),IFERROR(LOOKUP(2,1/((거래처별!$AE$8:$AE$307&lt;&gt;"")*ISNUMBER(SEARCH(거래처별!$AE$8:$AE$307,$AB546))),거래처별!$A$8:$A$307),0))))</f>
        <v/>
      </c>
      <c r="AD546" s="31">
        <f>IF(AND($Y546&lt;&gt;"",N($Z546)&gt;0,$AC546=0),MAX($AD$7:$AD545)+1,"")</f>
        <v/>
      </c>
      <c r="AE546" s="31">
        <f>IF($Y546="",0,$Y546)</f>
        <v/>
      </c>
    </row>
    <row r="547">
      <c r="W547" s="31">
        <f>IF(OR($B$5="",$C$6="",ROW()&lt;$B$5),"",IF(INDEX($A:$U,ROW(),$C$6)="","",INDEX($A:$U,ROW(),$C$6)))</f>
        <v/>
      </c>
      <c r="X547" s="32">
        <f>IF($W547="","",IF(ISNUMBER($W547),IF($W547&gt;=10000000,IFERROR(DATE(INT($W547/10000),MOD(INT($W547/100),100),MOD($W547,100)),""),INT($W547)),IFERROR(DATE(--LEFT(LEFT(SUBSTITUTE(SUBSTITUTE(SUBSTITUTE(SUBSTITUTE(TRIM($W547),"-",""),".",""),"/","")," ",""),8),4),--MID(LEFT(SUBSTITUTE(SUBSTITUTE(SUBSTITUTE(SUBSTITUTE(TRIM($W547),"-",""),".",""),"/","")," ",""),8),5,2),--MID(LEFT(SUBSTITUTE(SUBSTITUTE(SUBSTITUTE(SUBSTITUTE(TRIM($W547),"-",""),".",""),"/","")," ",""),8),7,2)),"")))</f>
        <v/>
      </c>
      <c r="Y547" s="32">
        <f>IF($X547="","",INT($X547))</f>
        <v/>
      </c>
      <c r="Z547" s="33">
        <f>IF(OR($Y547="",$D$6=""),"",IF(INDEX($A:$U,ROW(),$D$6)="",0,IF(ISNUMBER(INDEX($A:$U,ROW(),$D$6)),INDEX($A:$U,ROW(),$D$6),IFERROR(--SUBSTITUTE(SUBSTITUTE(TRIM(INDEX($A:$U,ROW(),$D$6)),",",""),"원",""),0))))</f>
        <v/>
      </c>
      <c r="AA547" s="31">
        <f>IF($Y547="","",TRIM(INDEX($A:$U,ROW(),$E$6)&amp;IF($F$6="",""," "&amp;INDEX($A:$U,ROW(),$F$6))))</f>
        <v/>
      </c>
      <c r="AB547" s="31">
        <f>IF($AA547="","",SUBSTITUTE(SUBSTITUTE(SUBSTITUTE(SUBSTITUTE(SUBSTITUTE(SUBSTITUTE(SUBSTITUTE(SUBSTITUTE(SUBSTITUTE($AA547," ",""),"　",""),"(주)",""),"（주）",""),"㈜",""),"주식회사",""),"(유)",""),"（유）",""),"유한회사",""))</f>
        <v/>
      </c>
      <c r="AC547" s="31">
        <f>IF(OR($Y547="",N($Z547)&lt;=0,$AB547=""),0,IFERROR(LOOKUP(2,1/((거래처별!$AC$8:$AC$307&lt;&gt;"")*ISNUMBER(SEARCH(거래처별!$AC$8:$AC$307,$AB547))),거래처별!$A$8:$A$307),IFERROR(LOOKUP(2,1/((거래처별!$AD$8:$AD$307&lt;&gt;"")*ISNUMBER(SEARCH(거래처별!$AD$8:$AD$307,$AB547))),거래처별!$A$8:$A$307),IFERROR(LOOKUP(2,1/((거래처별!$AE$8:$AE$307&lt;&gt;"")*ISNUMBER(SEARCH(거래처별!$AE$8:$AE$307,$AB547))),거래처별!$A$8:$A$307),0))))</f>
        <v/>
      </c>
      <c r="AD547" s="31">
        <f>IF(AND($Y547&lt;&gt;"",N($Z547)&gt;0,$AC547=0),MAX($AD$7:$AD546)+1,"")</f>
        <v/>
      </c>
      <c r="AE547" s="31">
        <f>IF($Y547="",0,$Y547)</f>
        <v/>
      </c>
    </row>
    <row r="548">
      <c r="W548" s="31">
        <f>IF(OR($B$5="",$C$6="",ROW()&lt;$B$5),"",IF(INDEX($A:$U,ROW(),$C$6)="","",INDEX($A:$U,ROW(),$C$6)))</f>
        <v/>
      </c>
      <c r="X548" s="32">
        <f>IF($W548="","",IF(ISNUMBER($W548),IF($W548&gt;=10000000,IFERROR(DATE(INT($W548/10000),MOD(INT($W548/100),100),MOD($W548,100)),""),INT($W548)),IFERROR(DATE(--LEFT(LEFT(SUBSTITUTE(SUBSTITUTE(SUBSTITUTE(SUBSTITUTE(TRIM($W548),"-",""),".",""),"/","")," ",""),8),4),--MID(LEFT(SUBSTITUTE(SUBSTITUTE(SUBSTITUTE(SUBSTITUTE(TRIM($W548),"-",""),".",""),"/","")," ",""),8),5,2),--MID(LEFT(SUBSTITUTE(SUBSTITUTE(SUBSTITUTE(SUBSTITUTE(TRIM($W548),"-",""),".",""),"/","")," ",""),8),7,2)),"")))</f>
        <v/>
      </c>
      <c r="Y548" s="32">
        <f>IF($X548="","",INT($X548))</f>
        <v/>
      </c>
      <c r="Z548" s="33">
        <f>IF(OR($Y548="",$D$6=""),"",IF(INDEX($A:$U,ROW(),$D$6)="",0,IF(ISNUMBER(INDEX($A:$U,ROW(),$D$6)),INDEX($A:$U,ROW(),$D$6),IFERROR(--SUBSTITUTE(SUBSTITUTE(TRIM(INDEX($A:$U,ROW(),$D$6)),",",""),"원",""),0))))</f>
        <v/>
      </c>
      <c r="AA548" s="31">
        <f>IF($Y548="","",TRIM(INDEX($A:$U,ROW(),$E$6)&amp;IF($F$6="",""," "&amp;INDEX($A:$U,ROW(),$F$6))))</f>
        <v/>
      </c>
      <c r="AB548" s="31">
        <f>IF($AA548="","",SUBSTITUTE(SUBSTITUTE(SUBSTITUTE(SUBSTITUTE(SUBSTITUTE(SUBSTITUTE(SUBSTITUTE(SUBSTITUTE(SUBSTITUTE($AA548," ",""),"　",""),"(주)",""),"（주）",""),"㈜",""),"주식회사",""),"(유)",""),"（유）",""),"유한회사",""))</f>
        <v/>
      </c>
      <c r="AC548" s="31">
        <f>IF(OR($Y548="",N($Z548)&lt;=0,$AB548=""),0,IFERROR(LOOKUP(2,1/((거래처별!$AC$8:$AC$307&lt;&gt;"")*ISNUMBER(SEARCH(거래처별!$AC$8:$AC$307,$AB548))),거래처별!$A$8:$A$307),IFERROR(LOOKUP(2,1/((거래처별!$AD$8:$AD$307&lt;&gt;"")*ISNUMBER(SEARCH(거래처별!$AD$8:$AD$307,$AB548))),거래처별!$A$8:$A$307),IFERROR(LOOKUP(2,1/((거래처별!$AE$8:$AE$307&lt;&gt;"")*ISNUMBER(SEARCH(거래처별!$AE$8:$AE$307,$AB548))),거래처별!$A$8:$A$307),0))))</f>
        <v/>
      </c>
      <c r="AD548" s="31">
        <f>IF(AND($Y548&lt;&gt;"",N($Z548)&gt;0,$AC548=0),MAX($AD$7:$AD547)+1,"")</f>
        <v/>
      </c>
      <c r="AE548" s="31">
        <f>IF($Y548="",0,$Y548)</f>
        <v/>
      </c>
    </row>
    <row r="549">
      <c r="W549" s="31">
        <f>IF(OR($B$5="",$C$6="",ROW()&lt;$B$5),"",IF(INDEX($A:$U,ROW(),$C$6)="","",INDEX($A:$U,ROW(),$C$6)))</f>
        <v/>
      </c>
      <c r="X549" s="32">
        <f>IF($W549="","",IF(ISNUMBER($W549),IF($W549&gt;=10000000,IFERROR(DATE(INT($W549/10000),MOD(INT($W549/100),100),MOD($W549,100)),""),INT($W549)),IFERROR(DATE(--LEFT(LEFT(SUBSTITUTE(SUBSTITUTE(SUBSTITUTE(SUBSTITUTE(TRIM($W549),"-",""),".",""),"/","")," ",""),8),4),--MID(LEFT(SUBSTITUTE(SUBSTITUTE(SUBSTITUTE(SUBSTITUTE(TRIM($W549),"-",""),".",""),"/","")," ",""),8),5,2),--MID(LEFT(SUBSTITUTE(SUBSTITUTE(SUBSTITUTE(SUBSTITUTE(TRIM($W549),"-",""),".",""),"/","")," ",""),8),7,2)),"")))</f>
        <v/>
      </c>
      <c r="Y549" s="32">
        <f>IF($X549="","",INT($X549))</f>
        <v/>
      </c>
      <c r="Z549" s="33">
        <f>IF(OR($Y549="",$D$6=""),"",IF(INDEX($A:$U,ROW(),$D$6)="",0,IF(ISNUMBER(INDEX($A:$U,ROW(),$D$6)),INDEX($A:$U,ROW(),$D$6),IFERROR(--SUBSTITUTE(SUBSTITUTE(TRIM(INDEX($A:$U,ROW(),$D$6)),",",""),"원",""),0))))</f>
        <v/>
      </c>
      <c r="AA549" s="31">
        <f>IF($Y549="","",TRIM(INDEX($A:$U,ROW(),$E$6)&amp;IF($F$6="",""," "&amp;INDEX($A:$U,ROW(),$F$6))))</f>
        <v/>
      </c>
      <c r="AB549" s="31">
        <f>IF($AA549="","",SUBSTITUTE(SUBSTITUTE(SUBSTITUTE(SUBSTITUTE(SUBSTITUTE(SUBSTITUTE(SUBSTITUTE(SUBSTITUTE(SUBSTITUTE($AA549," ",""),"　",""),"(주)",""),"（주）",""),"㈜",""),"주식회사",""),"(유)",""),"（유）",""),"유한회사",""))</f>
        <v/>
      </c>
      <c r="AC549" s="31">
        <f>IF(OR($Y549="",N($Z549)&lt;=0,$AB549=""),0,IFERROR(LOOKUP(2,1/((거래처별!$AC$8:$AC$307&lt;&gt;"")*ISNUMBER(SEARCH(거래처별!$AC$8:$AC$307,$AB549))),거래처별!$A$8:$A$307),IFERROR(LOOKUP(2,1/((거래처별!$AD$8:$AD$307&lt;&gt;"")*ISNUMBER(SEARCH(거래처별!$AD$8:$AD$307,$AB549))),거래처별!$A$8:$A$307),IFERROR(LOOKUP(2,1/((거래처별!$AE$8:$AE$307&lt;&gt;"")*ISNUMBER(SEARCH(거래처별!$AE$8:$AE$307,$AB549))),거래처별!$A$8:$A$307),0))))</f>
        <v/>
      </c>
      <c r="AD549" s="31">
        <f>IF(AND($Y549&lt;&gt;"",N($Z549)&gt;0,$AC549=0),MAX($AD$7:$AD548)+1,"")</f>
        <v/>
      </c>
      <c r="AE549" s="31">
        <f>IF($Y549="",0,$Y549)</f>
        <v/>
      </c>
    </row>
    <row r="550">
      <c r="W550" s="31">
        <f>IF(OR($B$5="",$C$6="",ROW()&lt;$B$5),"",IF(INDEX($A:$U,ROW(),$C$6)="","",INDEX($A:$U,ROW(),$C$6)))</f>
        <v/>
      </c>
      <c r="X550" s="32">
        <f>IF($W550="","",IF(ISNUMBER($W550),IF($W550&gt;=10000000,IFERROR(DATE(INT($W550/10000),MOD(INT($W550/100),100),MOD($W550,100)),""),INT($W550)),IFERROR(DATE(--LEFT(LEFT(SUBSTITUTE(SUBSTITUTE(SUBSTITUTE(SUBSTITUTE(TRIM($W550),"-",""),".",""),"/","")," ",""),8),4),--MID(LEFT(SUBSTITUTE(SUBSTITUTE(SUBSTITUTE(SUBSTITUTE(TRIM($W550),"-",""),".",""),"/","")," ",""),8),5,2),--MID(LEFT(SUBSTITUTE(SUBSTITUTE(SUBSTITUTE(SUBSTITUTE(TRIM($W550),"-",""),".",""),"/","")," ",""),8),7,2)),"")))</f>
        <v/>
      </c>
      <c r="Y550" s="32">
        <f>IF($X550="","",INT($X550))</f>
        <v/>
      </c>
      <c r="Z550" s="33">
        <f>IF(OR($Y550="",$D$6=""),"",IF(INDEX($A:$U,ROW(),$D$6)="",0,IF(ISNUMBER(INDEX($A:$U,ROW(),$D$6)),INDEX($A:$U,ROW(),$D$6),IFERROR(--SUBSTITUTE(SUBSTITUTE(TRIM(INDEX($A:$U,ROW(),$D$6)),",",""),"원",""),0))))</f>
        <v/>
      </c>
      <c r="AA550" s="31">
        <f>IF($Y550="","",TRIM(INDEX($A:$U,ROW(),$E$6)&amp;IF($F$6="",""," "&amp;INDEX($A:$U,ROW(),$F$6))))</f>
        <v/>
      </c>
      <c r="AB550" s="31">
        <f>IF($AA550="","",SUBSTITUTE(SUBSTITUTE(SUBSTITUTE(SUBSTITUTE(SUBSTITUTE(SUBSTITUTE(SUBSTITUTE(SUBSTITUTE(SUBSTITUTE($AA550," ",""),"　",""),"(주)",""),"（주）",""),"㈜",""),"주식회사",""),"(유)",""),"（유）",""),"유한회사",""))</f>
        <v/>
      </c>
      <c r="AC550" s="31">
        <f>IF(OR($Y550="",N($Z550)&lt;=0,$AB550=""),0,IFERROR(LOOKUP(2,1/((거래처별!$AC$8:$AC$307&lt;&gt;"")*ISNUMBER(SEARCH(거래처별!$AC$8:$AC$307,$AB550))),거래처별!$A$8:$A$307),IFERROR(LOOKUP(2,1/((거래처별!$AD$8:$AD$307&lt;&gt;"")*ISNUMBER(SEARCH(거래처별!$AD$8:$AD$307,$AB550))),거래처별!$A$8:$A$307),IFERROR(LOOKUP(2,1/((거래처별!$AE$8:$AE$307&lt;&gt;"")*ISNUMBER(SEARCH(거래처별!$AE$8:$AE$307,$AB550))),거래처별!$A$8:$A$307),0))))</f>
        <v/>
      </c>
      <c r="AD550" s="31">
        <f>IF(AND($Y550&lt;&gt;"",N($Z550)&gt;0,$AC550=0),MAX($AD$7:$AD549)+1,"")</f>
        <v/>
      </c>
      <c r="AE550" s="31">
        <f>IF($Y550="",0,$Y550)</f>
        <v/>
      </c>
    </row>
    <row r="551">
      <c r="W551" s="31">
        <f>IF(OR($B$5="",$C$6="",ROW()&lt;$B$5),"",IF(INDEX($A:$U,ROW(),$C$6)="","",INDEX($A:$U,ROW(),$C$6)))</f>
        <v/>
      </c>
      <c r="X551" s="32">
        <f>IF($W551="","",IF(ISNUMBER($W551),IF($W551&gt;=10000000,IFERROR(DATE(INT($W551/10000),MOD(INT($W551/100),100),MOD($W551,100)),""),INT($W551)),IFERROR(DATE(--LEFT(LEFT(SUBSTITUTE(SUBSTITUTE(SUBSTITUTE(SUBSTITUTE(TRIM($W551),"-",""),".",""),"/","")," ",""),8),4),--MID(LEFT(SUBSTITUTE(SUBSTITUTE(SUBSTITUTE(SUBSTITUTE(TRIM($W551),"-",""),".",""),"/","")," ",""),8),5,2),--MID(LEFT(SUBSTITUTE(SUBSTITUTE(SUBSTITUTE(SUBSTITUTE(TRIM($W551),"-",""),".",""),"/","")," ",""),8),7,2)),"")))</f>
        <v/>
      </c>
      <c r="Y551" s="32">
        <f>IF($X551="","",INT($X551))</f>
        <v/>
      </c>
      <c r="Z551" s="33">
        <f>IF(OR($Y551="",$D$6=""),"",IF(INDEX($A:$U,ROW(),$D$6)="",0,IF(ISNUMBER(INDEX($A:$U,ROW(),$D$6)),INDEX($A:$U,ROW(),$D$6),IFERROR(--SUBSTITUTE(SUBSTITUTE(TRIM(INDEX($A:$U,ROW(),$D$6)),",",""),"원",""),0))))</f>
        <v/>
      </c>
      <c r="AA551" s="31">
        <f>IF($Y551="","",TRIM(INDEX($A:$U,ROW(),$E$6)&amp;IF($F$6="",""," "&amp;INDEX($A:$U,ROW(),$F$6))))</f>
        <v/>
      </c>
      <c r="AB551" s="31">
        <f>IF($AA551="","",SUBSTITUTE(SUBSTITUTE(SUBSTITUTE(SUBSTITUTE(SUBSTITUTE(SUBSTITUTE(SUBSTITUTE(SUBSTITUTE(SUBSTITUTE($AA551," ",""),"　",""),"(주)",""),"（주）",""),"㈜",""),"주식회사",""),"(유)",""),"（유）",""),"유한회사",""))</f>
        <v/>
      </c>
      <c r="AC551" s="31">
        <f>IF(OR($Y551="",N($Z551)&lt;=0,$AB551=""),0,IFERROR(LOOKUP(2,1/((거래처별!$AC$8:$AC$307&lt;&gt;"")*ISNUMBER(SEARCH(거래처별!$AC$8:$AC$307,$AB551))),거래처별!$A$8:$A$307),IFERROR(LOOKUP(2,1/((거래처별!$AD$8:$AD$307&lt;&gt;"")*ISNUMBER(SEARCH(거래처별!$AD$8:$AD$307,$AB551))),거래처별!$A$8:$A$307),IFERROR(LOOKUP(2,1/((거래처별!$AE$8:$AE$307&lt;&gt;"")*ISNUMBER(SEARCH(거래처별!$AE$8:$AE$307,$AB551))),거래처별!$A$8:$A$307),0))))</f>
        <v/>
      </c>
      <c r="AD551" s="31">
        <f>IF(AND($Y551&lt;&gt;"",N($Z551)&gt;0,$AC551=0),MAX($AD$7:$AD550)+1,"")</f>
        <v/>
      </c>
      <c r="AE551" s="31">
        <f>IF($Y551="",0,$Y551)</f>
        <v/>
      </c>
    </row>
    <row r="552">
      <c r="W552" s="31">
        <f>IF(OR($B$5="",$C$6="",ROW()&lt;$B$5),"",IF(INDEX($A:$U,ROW(),$C$6)="","",INDEX($A:$U,ROW(),$C$6)))</f>
        <v/>
      </c>
      <c r="X552" s="32">
        <f>IF($W552="","",IF(ISNUMBER($W552),IF($W552&gt;=10000000,IFERROR(DATE(INT($W552/10000),MOD(INT($W552/100),100),MOD($W552,100)),""),INT($W552)),IFERROR(DATE(--LEFT(LEFT(SUBSTITUTE(SUBSTITUTE(SUBSTITUTE(SUBSTITUTE(TRIM($W552),"-",""),".",""),"/","")," ",""),8),4),--MID(LEFT(SUBSTITUTE(SUBSTITUTE(SUBSTITUTE(SUBSTITUTE(TRIM($W552),"-",""),".",""),"/","")," ",""),8),5,2),--MID(LEFT(SUBSTITUTE(SUBSTITUTE(SUBSTITUTE(SUBSTITUTE(TRIM($W552),"-",""),".",""),"/","")," ",""),8),7,2)),"")))</f>
        <v/>
      </c>
      <c r="Y552" s="32">
        <f>IF($X552="","",INT($X552))</f>
        <v/>
      </c>
      <c r="Z552" s="33">
        <f>IF(OR($Y552="",$D$6=""),"",IF(INDEX($A:$U,ROW(),$D$6)="",0,IF(ISNUMBER(INDEX($A:$U,ROW(),$D$6)),INDEX($A:$U,ROW(),$D$6),IFERROR(--SUBSTITUTE(SUBSTITUTE(TRIM(INDEX($A:$U,ROW(),$D$6)),",",""),"원",""),0))))</f>
        <v/>
      </c>
      <c r="AA552" s="31">
        <f>IF($Y552="","",TRIM(INDEX($A:$U,ROW(),$E$6)&amp;IF($F$6="",""," "&amp;INDEX($A:$U,ROW(),$F$6))))</f>
        <v/>
      </c>
      <c r="AB552" s="31">
        <f>IF($AA552="","",SUBSTITUTE(SUBSTITUTE(SUBSTITUTE(SUBSTITUTE(SUBSTITUTE(SUBSTITUTE(SUBSTITUTE(SUBSTITUTE(SUBSTITUTE($AA552," ",""),"　",""),"(주)",""),"（주）",""),"㈜",""),"주식회사",""),"(유)",""),"（유）",""),"유한회사",""))</f>
        <v/>
      </c>
      <c r="AC552" s="31">
        <f>IF(OR($Y552="",N($Z552)&lt;=0,$AB552=""),0,IFERROR(LOOKUP(2,1/((거래처별!$AC$8:$AC$307&lt;&gt;"")*ISNUMBER(SEARCH(거래처별!$AC$8:$AC$307,$AB552))),거래처별!$A$8:$A$307),IFERROR(LOOKUP(2,1/((거래처별!$AD$8:$AD$307&lt;&gt;"")*ISNUMBER(SEARCH(거래처별!$AD$8:$AD$307,$AB552))),거래처별!$A$8:$A$307),IFERROR(LOOKUP(2,1/((거래처별!$AE$8:$AE$307&lt;&gt;"")*ISNUMBER(SEARCH(거래처별!$AE$8:$AE$307,$AB552))),거래처별!$A$8:$A$307),0))))</f>
        <v/>
      </c>
      <c r="AD552" s="31">
        <f>IF(AND($Y552&lt;&gt;"",N($Z552)&gt;0,$AC552=0),MAX($AD$7:$AD551)+1,"")</f>
        <v/>
      </c>
      <c r="AE552" s="31">
        <f>IF($Y552="",0,$Y552)</f>
        <v/>
      </c>
    </row>
    <row r="553">
      <c r="W553" s="31">
        <f>IF(OR($B$5="",$C$6="",ROW()&lt;$B$5),"",IF(INDEX($A:$U,ROW(),$C$6)="","",INDEX($A:$U,ROW(),$C$6)))</f>
        <v/>
      </c>
      <c r="X553" s="32">
        <f>IF($W553="","",IF(ISNUMBER($W553),IF($W553&gt;=10000000,IFERROR(DATE(INT($W553/10000),MOD(INT($W553/100),100),MOD($W553,100)),""),INT($W553)),IFERROR(DATE(--LEFT(LEFT(SUBSTITUTE(SUBSTITUTE(SUBSTITUTE(SUBSTITUTE(TRIM($W553),"-",""),".",""),"/","")," ",""),8),4),--MID(LEFT(SUBSTITUTE(SUBSTITUTE(SUBSTITUTE(SUBSTITUTE(TRIM($W553),"-",""),".",""),"/","")," ",""),8),5,2),--MID(LEFT(SUBSTITUTE(SUBSTITUTE(SUBSTITUTE(SUBSTITUTE(TRIM($W553),"-",""),".",""),"/","")," ",""),8),7,2)),"")))</f>
        <v/>
      </c>
      <c r="Y553" s="32">
        <f>IF($X553="","",INT($X553))</f>
        <v/>
      </c>
      <c r="Z553" s="33">
        <f>IF(OR($Y553="",$D$6=""),"",IF(INDEX($A:$U,ROW(),$D$6)="",0,IF(ISNUMBER(INDEX($A:$U,ROW(),$D$6)),INDEX($A:$U,ROW(),$D$6),IFERROR(--SUBSTITUTE(SUBSTITUTE(TRIM(INDEX($A:$U,ROW(),$D$6)),",",""),"원",""),0))))</f>
        <v/>
      </c>
      <c r="AA553" s="31">
        <f>IF($Y553="","",TRIM(INDEX($A:$U,ROW(),$E$6)&amp;IF($F$6="",""," "&amp;INDEX($A:$U,ROW(),$F$6))))</f>
        <v/>
      </c>
      <c r="AB553" s="31">
        <f>IF($AA553="","",SUBSTITUTE(SUBSTITUTE(SUBSTITUTE(SUBSTITUTE(SUBSTITUTE(SUBSTITUTE(SUBSTITUTE(SUBSTITUTE(SUBSTITUTE($AA553," ",""),"　",""),"(주)",""),"（주）",""),"㈜",""),"주식회사",""),"(유)",""),"（유）",""),"유한회사",""))</f>
        <v/>
      </c>
      <c r="AC553" s="31">
        <f>IF(OR($Y553="",N($Z553)&lt;=0,$AB553=""),0,IFERROR(LOOKUP(2,1/((거래처별!$AC$8:$AC$307&lt;&gt;"")*ISNUMBER(SEARCH(거래처별!$AC$8:$AC$307,$AB553))),거래처별!$A$8:$A$307),IFERROR(LOOKUP(2,1/((거래처별!$AD$8:$AD$307&lt;&gt;"")*ISNUMBER(SEARCH(거래처별!$AD$8:$AD$307,$AB553))),거래처별!$A$8:$A$307),IFERROR(LOOKUP(2,1/((거래처별!$AE$8:$AE$307&lt;&gt;"")*ISNUMBER(SEARCH(거래처별!$AE$8:$AE$307,$AB553))),거래처별!$A$8:$A$307),0))))</f>
        <v/>
      </c>
      <c r="AD553" s="31">
        <f>IF(AND($Y553&lt;&gt;"",N($Z553)&gt;0,$AC553=0),MAX($AD$7:$AD552)+1,"")</f>
        <v/>
      </c>
      <c r="AE553" s="31">
        <f>IF($Y553="",0,$Y553)</f>
        <v/>
      </c>
    </row>
    <row r="554">
      <c r="W554" s="31">
        <f>IF(OR($B$5="",$C$6="",ROW()&lt;$B$5),"",IF(INDEX($A:$U,ROW(),$C$6)="","",INDEX($A:$U,ROW(),$C$6)))</f>
        <v/>
      </c>
      <c r="X554" s="32">
        <f>IF($W554="","",IF(ISNUMBER($W554),IF($W554&gt;=10000000,IFERROR(DATE(INT($W554/10000),MOD(INT($W554/100),100),MOD($W554,100)),""),INT($W554)),IFERROR(DATE(--LEFT(LEFT(SUBSTITUTE(SUBSTITUTE(SUBSTITUTE(SUBSTITUTE(TRIM($W554),"-",""),".",""),"/","")," ",""),8),4),--MID(LEFT(SUBSTITUTE(SUBSTITUTE(SUBSTITUTE(SUBSTITUTE(TRIM($W554),"-",""),".",""),"/","")," ",""),8),5,2),--MID(LEFT(SUBSTITUTE(SUBSTITUTE(SUBSTITUTE(SUBSTITUTE(TRIM($W554),"-",""),".",""),"/","")," ",""),8),7,2)),"")))</f>
        <v/>
      </c>
      <c r="Y554" s="32">
        <f>IF($X554="","",INT($X554))</f>
        <v/>
      </c>
      <c r="Z554" s="33">
        <f>IF(OR($Y554="",$D$6=""),"",IF(INDEX($A:$U,ROW(),$D$6)="",0,IF(ISNUMBER(INDEX($A:$U,ROW(),$D$6)),INDEX($A:$U,ROW(),$D$6),IFERROR(--SUBSTITUTE(SUBSTITUTE(TRIM(INDEX($A:$U,ROW(),$D$6)),",",""),"원",""),0))))</f>
        <v/>
      </c>
      <c r="AA554" s="31">
        <f>IF($Y554="","",TRIM(INDEX($A:$U,ROW(),$E$6)&amp;IF($F$6="",""," "&amp;INDEX($A:$U,ROW(),$F$6))))</f>
        <v/>
      </c>
      <c r="AB554" s="31">
        <f>IF($AA554="","",SUBSTITUTE(SUBSTITUTE(SUBSTITUTE(SUBSTITUTE(SUBSTITUTE(SUBSTITUTE(SUBSTITUTE(SUBSTITUTE(SUBSTITUTE($AA554," ",""),"　",""),"(주)",""),"（주）",""),"㈜",""),"주식회사",""),"(유)",""),"（유）",""),"유한회사",""))</f>
        <v/>
      </c>
      <c r="AC554" s="31">
        <f>IF(OR($Y554="",N($Z554)&lt;=0,$AB554=""),0,IFERROR(LOOKUP(2,1/((거래처별!$AC$8:$AC$307&lt;&gt;"")*ISNUMBER(SEARCH(거래처별!$AC$8:$AC$307,$AB554))),거래처별!$A$8:$A$307),IFERROR(LOOKUP(2,1/((거래처별!$AD$8:$AD$307&lt;&gt;"")*ISNUMBER(SEARCH(거래처별!$AD$8:$AD$307,$AB554))),거래처별!$A$8:$A$307),IFERROR(LOOKUP(2,1/((거래처별!$AE$8:$AE$307&lt;&gt;"")*ISNUMBER(SEARCH(거래처별!$AE$8:$AE$307,$AB554))),거래처별!$A$8:$A$307),0))))</f>
        <v/>
      </c>
      <c r="AD554" s="31">
        <f>IF(AND($Y554&lt;&gt;"",N($Z554)&gt;0,$AC554=0),MAX($AD$7:$AD553)+1,"")</f>
        <v/>
      </c>
      <c r="AE554" s="31">
        <f>IF($Y554="",0,$Y554)</f>
        <v/>
      </c>
    </row>
    <row r="555">
      <c r="W555" s="31">
        <f>IF(OR($B$5="",$C$6="",ROW()&lt;$B$5),"",IF(INDEX($A:$U,ROW(),$C$6)="","",INDEX($A:$U,ROW(),$C$6)))</f>
        <v/>
      </c>
      <c r="X555" s="32">
        <f>IF($W555="","",IF(ISNUMBER($W555),IF($W555&gt;=10000000,IFERROR(DATE(INT($W555/10000),MOD(INT($W555/100),100),MOD($W555,100)),""),INT($W555)),IFERROR(DATE(--LEFT(LEFT(SUBSTITUTE(SUBSTITUTE(SUBSTITUTE(SUBSTITUTE(TRIM($W555),"-",""),".",""),"/","")," ",""),8),4),--MID(LEFT(SUBSTITUTE(SUBSTITUTE(SUBSTITUTE(SUBSTITUTE(TRIM($W555),"-",""),".",""),"/","")," ",""),8),5,2),--MID(LEFT(SUBSTITUTE(SUBSTITUTE(SUBSTITUTE(SUBSTITUTE(TRIM($W555),"-",""),".",""),"/","")," ",""),8),7,2)),"")))</f>
        <v/>
      </c>
      <c r="Y555" s="32">
        <f>IF($X555="","",INT($X555))</f>
        <v/>
      </c>
      <c r="Z555" s="33">
        <f>IF(OR($Y555="",$D$6=""),"",IF(INDEX($A:$U,ROW(),$D$6)="",0,IF(ISNUMBER(INDEX($A:$U,ROW(),$D$6)),INDEX($A:$U,ROW(),$D$6),IFERROR(--SUBSTITUTE(SUBSTITUTE(TRIM(INDEX($A:$U,ROW(),$D$6)),",",""),"원",""),0))))</f>
        <v/>
      </c>
      <c r="AA555" s="31">
        <f>IF($Y555="","",TRIM(INDEX($A:$U,ROW(),$E$6)&amp;IF($F$6="",""," "&amp;INDEX($A:$U,ROW(),$F$6))))</f>
        <v/>
      </c>
      <c r="AB555" s="31">
        <f>IF($AA555="","",SUBSTITUTE(SUBSTITUTE(SUBSTITUTE(SUBSTITUTE(SUBSTITUTE(SUBSTITUTE(SUBSTITUTE(SUBSTITUTE(SUBSTITUTE($AA555," ",""),"　",""),"(주)",""),"（주）",""),"㈜",""),"주식회사",""),"(유)",""),"（유）",""),"유한회사",""))</f>
        <v/>
      </c>
      <c r="AC555" s="31">
        <f>IF(OR($Y555="",N($Z555)&lt;=0,$AB555=""),0,IFERROR(LOOKUP(2,1/((거래처별!$AC$8:$AC$307&lt;&gt;"")*ISNUMBER(SEARCH(거래처별!$AC$8:$AC$307,$AB555))),거래처별!$A$8:$A$307),IFERROR(LOOKUP(2,1/((거래처별!$AD$8:$AD$307&lt;&gt;"")*ISNUMBER(SEARCH(거래처별!$AD$8:$AD$307,$AB555))),거래처별!$A$8:$A$307),IFERROR(LOOKUP(2,1/((거래처별!$AE$8:$AE$307&lt;&gt;"")*ISNUMBER(SEARCH(거래처별!$AE$8:$AE$307,$AB555))),거래처별!$A$8:$A$307),0))))</f>
        <v/>
      </c>
      <c r="AD555" s="31">
        <f>IF(AND($Y555&lt;&gt;"",N($Z555)&gt;0,$AC555=0),MAX($AD$7:$AD554)+1,"")</f>
        <v/>
      </c>
      <c r="AE555" s="31">
        <f>IF($Y555="",0,$Y555)</f>
        <v/>
      </c>
    </row>
    <row r="556">
      <c r="W556" s="31">
        <f>IF(OR($B$5="",$C$6="",ROW()&lt;$B$5),"",IF(INDEX($A:$U,ROW(),$C$6)="","",INDEX($A:$U,ROW(),$C$6)))</f>
        <v/>
      </c>
      <c r="X556" s="32">
        <f>IF($W556="","",IF(ISNUMBER($W556),IF($W556&gt;=10000000,IFERROR(DATE(INT($W556/10000),MOD(INT($W556/100),100),MOD($W556,100)),""),INT($W556)),IFERROR(DATE(--LEFT(LEFT(SUBSTITUTE(SUBSTITUTE(SUBSTITUTE(SUBSTITUTE(TRIM($W556),"-",""),".",""),"/","")," ",""),8),4),--MID(LEFT(SUBSTITUTE(SUBSTITUTE(SUBSTITUTE(SUBSTITUTE(TRIM($W556),"-",""),".",""),"/","")," ",""),8),5,2),--MID(LEFT(SUBSTITUTE(SUBSTITUTE(SUBSTITUTE(SUBSTITUTE(TRIM($W556),"-",""),".",""),"/","")," ",""),8),7,2)),"")))</f>
        <v/>
      </c>
      <c r="Y556" s="32">
        <f>IF($X556="","",INT($X556))</f>
        <v/>
      </c>
      <c r="Z556" s="33">
        <f>IF(OR($Y556="",$D$6=""),"",IF(INDEX($A:$U,ROW(),$D$6)="",0,IF(ISNUMBER(INDEX($A:$U,ROW(),$D$6)),INDEX($A:$U,ROW(),$D$6),IFERROR(--SUBSTITUTE(SUBSTITUTE(TRIM(INDEX($A:$U,ROW(),$D$6)),",",""),"원",""),0))))</f>
        <v/>
      </c>
      <c r="AA556" s="31">
        <f>IF($Y556="","",TRIM(INDEX($A:$U,ROW(),$E$6)&amp;IF($F$6="",""," "&amp;INDEX($A:$U,ROW(),$F$6))))</f>
        <v/>
      </c>
      <c r="AB556" s="31">
        <f>IF($AA556="","",SUBSTITUTE(SUBSTITUTE(SUBSTITUTE(SUBSTITUTE(SUBSTITUTE(SUBSTITUTE(SUBSTITUTE(SUBSTITUTE(SUBSTITUTE($AA556," ",""),"　",""),"(주)",""),"（주）",""),"㈜",""),"주식회사",""),"(유)",""),"（유）",""),"유한회사",""))</f>
        <v/>
      </c>
      <c r="AC556" s="31">
        <f>IF(OR($Y556="",N($Z556)&lt;=0,$AB556=""),0,IFERROR(LOOKUP(2,1/((거래처별!$AC$8:$AC$307&lt;&gt;"")*ISNUMBER(SEARCH(거래처별!$AC$8:$AC$307,$AB556))),거래처별!$A$8:$A$307),IFERROR(LOOKUP(2,1/((거래처별!$AD$8:$AD$307&lt;&gt;"")*ISNUMBER(SEARCH(거래처별!$AD$8:$AD$307,$AB556))),거래처별!$A$8:$A$307),IFERROR(LOOKUP(2,1/((거래처별!$AE$8:$AE$307&lt;&gt;"")*ISNUMBER(SEARCH(거래처별!$AE$8:$AE$307,$AB556))),거래처별!$A$8:$A$307),0))))</f>
        <v/>
      </c>
      <c r="AD556" s="31">
        <f>IF(AND($Y556&lt;&gt;"",N($Z556)&gt;0,$AC556=0),MAX($AD$7:$AD555)+1,"")</f>
        <v/>
      </c>
      <c r="AE556" s="31">
        <f>IF($Y556="",0,$Y556)</f>
        <v/>
      </c>
    </row>
    <row r="557">
      <c r="W557" s="31">
        <f>IF(OR($B$5="",$C$6="",ROW()&lt;$B$5),"",IF(INDEX($A:$U,ROW(),$C$6)="","",INDEX($A:$U,ROW(),$C$6)))</f>
        <v/>
      </c>
      <c r="X557" s="32">
        <f>IF($W557="","",IF(ISNUMBER($W557),IF($W557&gt;=10000000,IFERROR(DATE(INT($W557/10000),MOD(INT($W557/100),100),MOD($W557,100)),""),INT($W557)),IFERROR(DATE(--LEFT(LEFT(SUBSTITUTE(SUBSTITUTE(SUBSTITUTE(SUBSTITUTE(TRIM($W557),"-",""),".",""),"/","")," ",""),8),4),--MID(LEFT(SUBSTITUTE(SUBSTITUTE(SUBSTITUTE(SUBSTITUTE(TRIM($W557),"-",""),".",""),"/","")," ",""),8),5,2),--MID(LEFT(SUBSTITUTE(SUBSTITUTE(SUBSTITUTE(SUBSTITUTE(TRIM($W557),"-",""),".",""),"/","")," ",""),8),7,2)),"")))</f>
        <v/>
      </c>
      <c r="Y557" s="32">
        <f>IF($X557="","",INT($X557))</f>
        <v/>
      </c>
      <c r="Z557" s="33">
        <f>IF(OR($Y557="",$D$6=""),"",IF(INDEX($A:$U,ROW(),$D$6)="",0,IF(ISNUMBER(INDEX($A:$U,ROW(),$D$6)),INDEX($A:$U,ROW(),$D$6),IFERROR(--SUBSTITUTE(SUBSTITUTE(TRIM(INDEX($A:$U,ROW(),$D$6)),",",""),"원",""),0))))</f>
        <v/>
      </c>
      <c r="AA557" s="31">
        <f>IF($Y557="","",TRIM(INDEX($A:$U,ROW(),$E$6)&amp;IF($F$6="",""," "&amp;INDEX($A:$U,ROW(),$F$6))))</f>
        <v/>
      </c>
      <c r="AB557" s="31">
        <f>IF($AA557="","",SUBSTITUTE(SUBSTITUTE(SUBSTITUTE(SUBSTITUTE(SUBSTITUTE(SUBSTITUTE(SUBSTITUTE(SUBSTITUTE(SUBSTITUTE($AA557," ",""),"　",""),"(주)",""),"（주）",""),"㈜",""),"주식회사",""),"(유)",""),"（유）",""),"유한회사",""))</f>
        <v/>
      </c>
      <c r="AC557" s="31">
        <f>IF(OR($Y557="",N($Z557)&lt;=0,$AB557=""),0,IFERROR(LOOKUP(2,1/((거래처별!$AC$8:$AC$307&lt;&gt;"")*ISNUMBER(SEARCH(거래처별!$AC$8:$AC$307,$AB557))),거래처별!$A$8:$A$307),IFERROR(LOOKUP(2,1/((거래처별!$AD$8:$AD$307&lt;&gt;"")*ISNUMBER(SEARCH(거래처별!$AD$8:$AD$307,$AB557))),거래처별!$A$8:$A$307),IFERROR(LOOKUP(2,1/((거래처별!$AE$8:$AE$307&lt;&gt;"")*ISNUMBER(SEARCH(거래처별!$AE$8:$AE$307,$AB557))),거래처별!$A$8:$A$307),0))))</f>
        <v/>
      </c>
      <c r="AD557" s="31">
        <f>IF(AND($Y557&lt;&gt;"",N($Z557)&gt;0,$AC557=0),MAX($AD$7:$AD556)+1,"")</f>
        <v/>
      </c>
      <c r="AE557" s="31">
        <f>IF($Y557="",0,$Y557)</f>
        <v/>
      </c>
    </row>
    <row r="558">
      <c r="W558" s="31">
        <f>IF(OR($B$5="",$C$6="",ROW()&lt;$B$5),"",IF(INDEX($A:$U,ROW(),$C$6)="","",INDEX($A:$U,ROW(),$C$6)))</f>
        <v/>
      </c>
      <c r="X558" s="32">
        <f>IF($W558="","",IF(ISNUMBER($W558),IF($W558&gt;=10000000,IFERROR(DATE(INT($W558/10000),MOD(INT($W558/100),100),MOD($W558,100)),""),INT($W558)),IFERROR(DATE(--LEFT(LEFT(SUBSTITUTE(SUBSTITUTE(SUBSTITUTE(SUBSTITUTE(TRIM($W558),"-",""),".",""),"/","")," ",""),8),4),--MID(LEFT(SUBSTITUTE(SUBSTITUTE(SUBSTITUTE(SUBSTITUTE(TRIM($W558),"-",""),".",""),"/","")," ",""),8),5,2),--MID(LEFT(SUBSTITUTE(SUBSTITUTE(SUBSTITUTE(SUBSTITUTE(TRIM($W558),"-",""),".",""),"/","")," ",""),8),7,2)),"")))</f>
        <v/>
      </c>
      <c r="Y558" s="32">
        <f>IF($X558="","",INT($X558))</f>
        <v/>
      </c>
      <c r="Z558" s="33">
        <f>IF(OR($Y558="",$D$6=""),"",IF(INDEX($A:$U,ROW(),$D$6)="",0,IF(ISNUMBER(INDEX($A:$U,ROW(),$D$6)),INDEX($A:$U,ROW(),$D$6),IFERROR(--SUBSTITUTE(SUBSTITUTE(TRIM(INDEX($A:$U,ROW(),$D$6)),",",""),"원",""),0))))</f>
        <v/>
      </c>
      <c r="AA558" s="31">
        <f>IF($Y558="","",TRIM(INDEX($A:$U,ROW(),$E$6)&amp;IF($F$6="",""," "&amp;INDEX($A:$U,ROW(),$F$6))))</f>
        <v/>
      </c>
      <c r="AB558" s="31">
        <f>IF($AA558="","",SUBSTITUTE(SUBSTITUTE(SUBSTITUTE(SUBSTITUTE(SUBSTITUTE(SUBSTITUTE(SUBSTITUTE(SUBSTITUTE(SUBSTITUTE($AA558," ",""),"　",""),"(주)",""),"（주）",""),"㈜",""),"주식회사",""),"(유)",""),"（유）",""),"유한회사",""))</f>
        <v/>
      </c>
      <c r="AC558" s="31">
        <f>IF(OR($Y558="",N($Z558)&lt;=0,$AB558=""),0,IFERROR(LOOKUP(2,1/((거래처별!$AC$8:$AC$307&lt;&gt;"")*ISNUMBER(SEARCH(거래처별!$AC$8:$AC$307,$AB558))),거래처별!$A$8:$A$307),IFERROR(LOOKUP(2,1/((거래처별!$AD$8:$AD$307&lt;&gt;"")*ISNUMBER(SEARCH(거래처별!$AD$8:$AD$307,$AB558))),거래처별!$A$8:$A$307),IFERROR(LOOKUP(2,1/((거래처별!$AE$8:$AE$307&lt;&gt;"")*ISNUMBER(SEARCH(거래처별!$AE$8:$AE$307,$AB558))),거래처별!$A$8:$A$307),0))))</f>
        <v/>
      </c>
      <c r="AD558" s="31">
        <f>IF(AND($Y558&lt;&gt;"",N($Z558)&gt;0,$AC558=0),MAX($AD$7:$AD557)+1,"")</f>
        <v/>
      </c>
      <c r="AE558" s="31">
        <f>IF($Y558="",0,$Y558)</f>
        <v/>
      </c>
    </row>
    <row r="559">
      <c r="W559" s="31">
        <f>IF(OR($B$5="",$C$6="",ROW()&lt;$B$5),"",IF(INDEX($A:$U,ROW(),$C$6)="","",INDEX($A:$U,ROW(),$C$6)))</f>
        <v/>
      </c>
      <c r="X559" s="32">
        <f>IF($W559="","",IF(ISNUMBER($W559),IF($W559&gt;=10000000,IFERROR(DATE(INT($W559/10000),MOD(INT($W559/100),100),MOD($W559,100)),""),INT($W559)),IFERROR(DATE(--LEFT(LEFT(SUBSTITUTE(SUBSTITUTE(SUBSTITUTE(SUBSTITUTE(TRIM($W559),"-",""),".",""),"/","")," ",""),8),4),--MID(LEFT(SUBSTITUTE(SUBSTITUTE(SUBSTITUTE(SUBSTITUTE(TRIM($W559),"-",""),".",""),"/","")," ",""),8),5,2),--MID(LEFT(SUBSTITUTE(SUBSTITUTE(SUBSTITUTE(SUBSTITUTE(TRIM($W559),"-",""),".",""),"/","")," ",""),8),7,2)),"")))</f>
        <v/>
      </c>
      <c r="Y559" s="32">
        <f>IF($X559="","",INT($X559))</f>
        <v/>
      </c>
      <c r="Z559" s="33">
        <f>IF(OR($Y559="",$D$6=""),"",IF(INDEX($A:$U,ROW(),$D$6)="",0,IF(ISNUMBER(INDEX($A:$U,ROW(),$D$6)),INDEX($A:$U,ROW(),$D$6),IFERROR(--SUBSTITUTE(SUBSTITUTE(TRIM(INDEX($A:$U,ROW(),$D$6)),",",""),"원",""),0))))</f>
        <v/>
      </c>
      <c r="AA559" s="31">
        <f>IF($Y559="","",TRIM(INDEX($A:$U,ROW(),$E$6)&amp;IF($F$6="",""," "&amp;INDEX($A:$U,ROW(),$F$6))))</f>
        <v/>
      </c>
      <c r="AB559" s="31">
        <f>IF($AA559="","",SUBSTITUTE(SUBSTITUTE(SUBSTITUTE(SUBSTITUTE(SUBSTITUTE(SUBSTITUTE(SUBSTITUTE(SUBSTITUTE(SUBSTITUTE($AA559," ",""),"　",""),"(주)",""),"（주）",""),"㈜",""),"주식회사",""),"(유)",""),"（유）",""),"유한회사",""))</f>
        <v/>
      </c>
      <c r="AC559" s="31">
        <f>IF(OR($Y559="",N($Z559)&lt;=0,$AB559=""),0,IFERROR(LOOKUP(2,1/((거래처별!$AC$8:$AC$307&lt;&gt;"")*ISNUMBER(SEARCH(거래처별!$AC$8:$AC$307,$AB559))),거래처별!$A$8:$A$307),IFERROR(LOOKUP(2,1/((거래처별!$AD$8:$AD$307&lt;&gt;"")*ISNUMBER(SEARCH(거래처별!$AD$8:$AD$307,$AB559))),거래처별!$A$8:$A$307),IFERROR(LOOKUP(2,1/((거래처별!$AE$8:$AE$307&lt;&gt;"")*ISNUMBER(SEARCH(거래처별!$AE$8:$AE$307,$AB559))),거래처별!$A$8:$A$307),0))))</f>
        <v/>
      </c>
      <c r="AD559" s="31">
        <f>IF(AND($Y559&lt;&gt;"",N($Z559)&gt;0,$AC559=0),MAX($AD$7:$AD558)+1,"")</f>
        <v/>
      </c>
      <c r="AE559" s="31">
        <f>IF($Y559="",0,$Y559)</f>
        <v/>
      </c>
    </row>
    <row r="560">
      <c r="W560" s="31">
        <f>IF(OR($B$5="",$C$6="",ROW()&lt;$B$5),"",IF(INDEX($A:$U,ROW(),$C$6)="","",INDEX($A:$U,ROW(),$C$6)))</f>
        <v/>
      </c>
      <c r="X560" s="32">
        <f>IF($W560="","",IF(ISNUMBER($W560),IF($W560&gt;=10000000,IFERROR(DATE(INT($W560/10000),MOD(INT($W560/100),100),MOD($W560,100)),""),INT($W560)),IFERROR(DATE(--LEFT(LEFT(SUBSTITUTE(SUBSTITUTE(SUBSTITUTE(SUBSTITUTE(TRIM($W560),"-",""),".",""),"/","")," ",""),8),4),--MID(LEFT(SUBSTITUTE(SUBSTITUTE(SUBSTITUTE(SUBSTITUTE(TRIM($W560),"-",""),".",""),"/","")," ",""),8),5,2),--MID(LEFT(SUBSTITUTE(SUBSTITUTE(SUBSTITUTE(SUBSTITUTE(TRIM($W560),"-",""),".",""),"/","")," ",""),8),7,2)),"")))</f>
        <v/>
      </c>
      <c r="Y560" s="32">
        <f>IF($X560="","",INT($X560))</f>
        <v/>
      </c>
      <c r="Z560" s="33">
        <f>IF(OR($Y560="",$D$6=""),"",IF(INDEX($A:$U,ROW(),$D$6)="",0,IF(ISNUMBER(INDEX($A:$U,ROW(),$D$6)),INDEX($A:$U,ROW(),$D$6),IFERROR(--SUBSTITUTE(SUBSTITUTE(TRIM(INDEX($A:$U,ROW(),$D$6)),",",""),"원",""),0))))</f>
        <v/>
      </c>
      <c r="AA560" s="31">
        <f>IF($Y560="","",TRIM(INDEX($A:$U,ROW(),$E$6)&amp;IF($F$6="",""," "&amp;INDEX($A:$U,ROW(),$F$6))))</f>
        <v/>
      </c>
      <c r="AB560" s="31">
        <f>IF($AA560="","",SUBSTITUTE(SUBSTITUTE(SUBSTITUTE(SUBSTITUTE(SUBSTITUTE(SUBSTITUTE(SUBSTITUTE(SUBSTITUTE(SUBSTITUTE($AA560," ",""),"　",""),"(주)",""),"（주）",""),"㈜",""),"주식회사",""),"(유)",""),"（유）",""),"유한회사",""))</f>
        <v/>
      </c>
      <c r="AC560" s="31">
        <f>IF(OR($Y560="",N($Z560)&lt;=0,$AB560=""),0,IFERROR(LOOKUP(2,1/((거래처별!$AC$8:$AC$307&lt;&gt;"")*ISNUMBER(SEARCH(거래처별!$AC$8:$AC$307,$AB560))),거래처별!$A$8:$A$307),IFERROR(LOOKUP(2,1/((거래처별!$AD$8:$AD$307&lt;&gt;"")*ISNUMBER(SEARCH(거래처별!$AD$8:$AD$307,$AB560))),거래처별!$A$8:$A$307),IFERROR(LOOKUP(2,1/((거래처별!$AE$8:$AE$307&lt;&gt;"")*ISNUMBER(SEARCH(거래처별!$AE$8:$AE$307,$AB560))),거래처별!$A$8:$A$307),0))))</f>
        <v/>
      </c>
      <c r="AD560" s="31">
        <f>IF(AND($Y560&lt;&gt;"",N($Z560)&gt;0,$AC560=0),MAX($AD$7:$AD559)+1,"")</f>
        <v/>
      </c>
      <c r="AE560" s="31">
        <f>IF($Y560="",0,$Y560)</f>
        <v/>
      </c>
    </row>
    <row r="561">
      <c r="W561" s="31">
        <f>IF(OR($B$5="",$C$6="",ROW()&lt;$B$5),"",IF(INDEX($A:$U,ROW(),$C$6)="","",INDEX($A:$U,ROW(),$C$6)))</f>
        <v/>
      </c>
      <c r="X561" s="32">
        <f>IF($W561="","",IF(ISNUMBER($W561),IF($W561&gt;=10000000,IFERROR(DATE(INT($W561/10000),MOD(INT($W561/100),100),MOD($W561,100)),""),INT($W561)),IFERROR(DATE(--LEFT(LEFT(SUBSTITUTE(SUBSTITUTE(SUBSTITUTE(SUBSTITUTE(TRIM($W561),"-",""),".",""),"/","")," ",""),8),4),--MID(LEFT(SUBSTITUTE(SUBSTITUTE(SUBSTITUTE(SUBSTITUTE(TRIM($W561),"-",""),".",""),"/","")," ",""),8),5,2),--MID(LEFT(SUBSTITUTE(SUBSTITUTE(SUBSTITUTE(SUBSTITUTE(TRIM($W561),"-",""),".",""),"/","")," ",""),8),7,2)),"")))</f>
        <v/>
      </c>
      <c r="Y561" s="32">
        <f>IF($X561="","",INT($X561))</f>
        <v/>
      </c>
      <c r="Z561" s="33">
        <f>IF(OR($Y561="",$D$6=""),"",IF(INDEX($A:$U,ROW(),$D$6)="",0,IF(ISNUMBER(INDEX($A:$U,ROW(),$D$6)),INDEX($A:$U,ROW(),$D$6),IFERROR(--SUBSTITUTE(SUBSTITUTE(TRIM(INDEX($A:$U,ROW(),$D$6)),",",""),"원",""),0))))</f>
        <v/>
      </c>
      <c r="AA561" s="31">
        <f>IF($Y561="","",TRIM(INDEX($A:$U,ROW(),$E$6)&amp;IF($F$6="",""," "&amp;INDEX($A:$U,ROW(),$F$6))))</f>
        <v/>
      </c>
      <c r="AB561" s="31">
        <f>IF($AA561="","",SUBSTITUTE(SUBSTITUTE(SUBSTITUTE(SUBSTITUTE(SUBSTITUTE(SUBSTITUTE(SUBSTITUTE(SUBSTITUTE(SUBSTITUTE($AA561," ",""),"　",""),"(주)",""),"（주）",""),"㈜",""),"주식회사",""),"(유)",""),"（유）",""),"유한회사",""))</f>
        <v/>
      </c>
      <c r="AC561" s="31">
        <f>IF(OR($Y561="",N($Z561)&lt;=0,$AB561=""),0,IFERROR(LOOKUP(2,1/((거래처별!$AC$8:$AC$307&lt;&gt;"")*ISNUMBER(SEARCH(거래처별!$AC$8:$AC$307,$AB561))),거래처별!$A$8:$A$307),IFERROR(LOOKUP(2,1/((거래처별!$AD$8:$AD$307&lt;&gt;"")*ISNUMBER(SEARCH(거래처별!$AD$8:$AD$307,$AB561))),거래처별!$A$8:$A$307),IFERROR(LOOKUP(2,1/((거래처별!$AE$8:$AE$307&lt;&gt;"")*ISNUMBER(SEARCH(거래처별!$AE$8:$AE$307,$AB561))),거래처별!$A$8:$A$307),0))))</f>
        <v/>
      </c>
      <c r="AD561" s="31">
        <f>IF(AND($Y561&lt;&gt;"",N($Z561)&gt;0,$AC561=0),MAX($AD$7:$AD560)+1,"")</f>
        <v/>
      </c>
      <c r="AE561" s="31">
        <f>IF($Y561="",0,$Y561)</f>
        <v/>
      </c>
    </row>
    <row r="562">
      <c r="W562" s="31">
        <f>IF(OR($B$5="",$C$6="",ROW()&lt;$B$5),"",IF(INDEX($A:$U,ROW(),$C$6)="","",INDEX($A:$U,ROW(),$C$6)))</f>
        <v/>
      </c>
      <c r="X562" s="32">
        <f>IF($W562="","",IF(ISNUMBER($W562),IF($W562&gt;=10000000,IFERROR(DATE(INT($W562/10000),MOD(INT($W562/100),100),MOD($W562,100)),""),INT($W562)),IFERROR(DATE(--LEFT(LEFT(SUBSTITUTE(SUBSTITUTE(SUBSTITUTE(SUBSTITUTE(TRIM($W562),"-",""),".",""),"/","")," ",""),8),4),--MID(LEFT(SUBSTITUTE(SUBSTITUTE(SUBSTITUTE(SUBSTITUTE(TRIM($W562),"-",""),".",""),"/","")," ",""),8),5,2),--MID(LEFT(SUBSTITUTE(SUBSTITUTE(SUBSTITUTE(SUBSTITUTE(TRIM($W562),"-",""),".",""),"/","")," ",""),8),7,2)),"")))</f>
        <v/>
      </c>
      <c r="Y562" s="32">
        <f>IF($X562="","",INT($X562))</f>
        <v/>
      </c>
      <c r="Z562" s="33">
        <f>IF(OR($Y562="",$D$6=""),"",IF(INDEX($A:$U,ROW(),$D$6)="",0,IF(ISNUMBER(INDEX($A:$U,ROW(),$D$6)),INDEX($A:$U,ROW(),$D$6),IFERROR(--SUBSTITUTE(SUBSTITUTE(TRIM(INDEX($A:$U,ROW(),$D$6)),",",""),"원",""),0))))</f>
        <v/>
      </c>
      <c r="AA562" s="31">
        <f>IF($Y562="","",TRIM(INDEX($A:$U,ROW(),$E$6)&amp;IF($F$6="",""," "&amp;INDEX($A:$U,ROW(),$F$6))))</f>
        <v/>
      </c>
      <c r="AB562" s="31">
        <f>IF($AA562="","",SUBSTITUTE(SUBSTITUTE(SUBSTITUTE(SUBSTITUTE(SUBSTITUTE(SUBSTITUTE(SUBSTITUTE(SUBSTITUTE(SUBSTITUTE($AA562," ",""),"　",""),"(주)",""),"（주）",""),"㈜",""),"주식회사",""),"(유)",""),"（유）",""),"유한회사",""))</f>
        <v/>
      </c>
      <c r="AC562" s="31">
        <f>IF(OR($Y562="",N($Z562)&lt;=0,$AB562=""),0,IFERROR(LOOKUP(2,1/((거래처별!$AC$8:$AC$307&lt;&gt;"")*ISNUMBER(SEARCH(거래처별!$AC$8:$AC$307,$AB562))),거래처별!$A$8:$A$307),IFERROR(LOOKUP(2,1/((거래처별!$AD$8:$AD$307&lt;&gt;"")*ISNUMBER(SEARCH(거래처별!$AD$8:$AD$307,$AB562))),거래처별!$A$8:$A$307),IFERROR(LOOKUP(2,1/((거래처별!$AE$8:$AE$307&lt;&gt;"")*ISNUMBER(SEARCH(거래처별!$AE$8:$AE$307,$AB562))),거래처별!$A$8:$A$307),0))))</f>
        <v/>
      </c>
      <c r="AD562" s="31">
        <f>IF(AND($Y562&lt;&gt;"",N($Z562)&gt;0,$AC562=0),MAX($AD$7:$AD561)+1,"")</f>
        <v/>
      </c>
      <c r="AE562" s="31">
        <f>IF($Y562="",0,$Y562)</f>
        <v/>
      </c>
    </row>
    <row r="563">
      <c r="W563" s="31">
        <f>IF(OR($B$5="",$C$6="",ROW()&lt;$B$5),"",IF(INDEX($A:$U,ROW(),$C$6)="","",INDEX($A:$U,ROW(),$C$6)))</f>
        <v/>
      </c>
      <c r="X563" s="32">
        <f>IF($W563="","",IF(ISNUMBER($W563),IF($W563&gt;=10000000,IFERROR(DATE(INT($W563/10000),MOD(INT($W563/100),100),MOD($W563,100)),""),INT($W563)),IFERROR(DATE(--LEFT(LEFT(SUBSTITUTE(SUBSTITUTE(SUBSTITUTE(SUBSTITUTE(TRIM($W563),"-",""),".",""),"/","")," ",""),8),4),--MID(LEFT(SUBSTITUTE(SUBSTITUTE(SUBSTITUTE(SUBSTITUTE(TRIM($W563),"-",""),".",""),"/","")," ",""),8),5,2),--MID(LEFT(SUBSTITUTE(SUBSTITUTE(SUBSTITUTE(SUBSTITUTE(TRIM($W563),"-",""),".",""),"/","")," ",""),8),7,2)),"")))</f>
        <v/>
      </c>
      <c r="Y563" s="32">
        <f>IF($X563="","",INT($X563))</f>
        <v/>
      </c>
      <c r="Z563" s="33">
        <f>IF(OR($Y563="",$D$6=""),"",IF(INDEX($A:$U,ROW(),$D$6)="",0,IF(ISNUMBER(INDEX($A:$U,ROW(),$D$6)),INDEX($A:$U,ROW(),$D$6),IFERROR(--SUBSTITUTE(SUBSTITUTE(TRIM(INDEX($A:$U,ROW(),$D$6)),",",""),"원",""),0))))</f>
        <v/>
      </c>
      <c r="AA563" s="31">
        <f>IF($Y563="","",TRIM(INDEX($A:$U,ROW(),$E$6)&amp;IF($F$6="",""," "&amp;INDEX($A:$U,ROW(),$F$6))))</f>
        <v/>
      </c>
      <c r="AB563" s="31">
        <f>IF($AA563="","",SUBSTITUTE(SUBSTITUTE(SUBSTITUTE(SUBSTITUTE(SUBSTITUTE(SUBSTITUTE(SUBSTITUTE(SUBSTITUTE(SUBSTITUTE($AA563," ",""),"　",""),"(주)",""),"（주）",""),"㈜",""),"주식회사",""),"(유)",""),"（유）",""),"유한회사",""))</f>
        <v/>
      </c>
      <c r="AC563" s="31">
        <f>IF(OR($Y563="",N($Z563)&lt;=0,$AB563=""),0,IFERROR(LOOKUP(2,1/((거래처별!$AC$8:$AC$307&lt;&gt;"")*ISNUMBER(SEARCH(거래처별!$AC$8:$AC$307,$AB563))),거래처별!$A$8:$A$307),IFERROR(LOOKUP(2,1/((거래처별!$AD$8:$AD$307&lt;&gt;"")*ISNUMBER(SEARCH(거래처별!$AD$8:$AD$307,$AB563))),거래처별!$A$8:$A$307),IFERROR(LOOKUP(2,1/((거래처별!$AE$8:$AE$307&lt;&gt;"")*ISNUMBER(SEARCH(거래처별!$AE$8:$AE$307,$AB563))),거래처별!$A$8:$A$307),0))))</f>
        <v/>
      </c>
      <c r="AD563" s="31">
        <f>IF(AND($Y563&lt;&gt;"",N($Z563)&gt;0,$AC563=0),MAX($AD$7:$AD562)+1,"")</f>
        <v/>
      </c>
      <c r="AE563" s="31">
        <f>IF($Y563="",0,$Y563)</f>
        <v/>
      </c>
    </row>
    <row r="564">
      <c r="W564" s="31">
        <f>IF(OR($B$5="",$C$6="",ROW()&lt;$B$5),"",IF(INDEX($A:$U,ROW(),$C$6)="","",INDEX($A:$U,ROW(),$C$6)))</f>
        <v/>
      </c>
      <c r="X564" s="32">
        <f>IF($W564="","",IF(ISNUMBER($W564),IF($W564&gt;=10000000,IFERROR(DATE(INT($W564/10000),MOD(INT($W564/100),100),MOD($W564,100)),""),INT($W564)),IFERROR(DATE(--LEFT(LEFT(SUBSTITUTE(SUBSTITUTE(SUBSTITUTE(SUBSTITUTE(TRIM($W564),"-",""),".",""),"/","")," ",""),8),4),--MID(LEFT(SUBSTITUTE(SUBSTITUTE(SUBSTITUTE(SUBSTITUTE(TRIM($W564),"-",""),".",""),"/","")," ",""),8),5,2),--MID(LEFT(SUBSTITUTE(SUBSTITUTE(SUBSTITUTE(SUBSTITUTE(TRIM($W564),"-",""),".",""),"/","")," ",""),8),7,2)),"")))</f>
        <v/>
      </c>
      <c r="Y564" s="32">
        <f>IF($X564="","",INT($X564))</f>
        <v/>
      </c>
      <c r="Z564" s="33">
        <f>IF(OR($Y564="",$D$6=""),"",IF(INDEX($A:$U,ROW(),$D$6)="",0,IF(ISNUMBER(INDEX($A:$U,ROW(),$D$6)),INDEX($A:$U,ROW(),$D$6),IFERROR(--SUBSTITUTE(SUBSTITUTE(TRIM(INDEX($A:$U,ROW(),$D$6)),",",""),"원",""),0))))</f>
        <v/>
      </c>
      <c r="AA564" s="31">
        <f>IF($Y564="","",TRIM(INDEX($A:$U,ROW(),$E$6)&amp;IF($F$6="",""," "&amp;INDEX($A:$U,ROW(),$F$6))))</f>
        <v/>
      </c>
      <c r="AB564" s="31">
        <f>IF($AA564="","",SUBSTITUTE(SUBSTITUTE(SUBSTITUTE(SUBSTITUTE(SUBSTITUTE(SUBSTITUTE(SUBSTITUTE(SUBSTITUTE(SUBSTITUTE($AA564," ",""),"　",""),"(주)",""),"（주）",""),"㈜",""),"주식회사",""),"(유)",""),"（유）",""),"유한회사",""))</f>
        <v/>
      </c>
      <c r="AC564" s="31">
        <f>IF(OR($Y564="",N($Z564)&lt;=0,$AB564=""),0,IFERROR(LOOKUP(2,1/((거래처별!$AC$8:$AC$307&lt;&gt;"")*ISNUMBER(SEARCH(거래처별!$AC$8:$AC$307,$AB564))),거래처별!$A$8:$A$307),IFERROR(LOOKUP(2,1/((거래처별!$AD$8:$AD$307&lt;&gt;"")*ISNUMBER(SEARCH(거래처별!$AD$8:$AD$307,$AB564))),거래처별!$A$8:$A$307),IFERROR(LOOKUP(2,1/((거래처별!$AE$8:$AE$307&lt;&gt;"")*ISNUMBER(SEARCH(거래처별!$AE$8:$AE$307,$AB564))),거래처별!$A$8:$A$307),0))))</f>
        <v/>
      </c>
      <c r="AD564" s="31">
        <f>IF(AND($Y564&lt;&gt;"",N($Z564)&gt;0,$AC564=0),MAX($AD$7:$AD563)+1,"")</f>
        <v/>
      </c>
      <c r="AE564" s="31">
        <f>IF($Y564="",0,$Y564)</f>
        <v/>
      </c>
    </row>
    <row r="565">
      <c r="W565" s="31">
        <f>IF(OR($B$5="",$C$6="",ROW()&lt;$B$5),"",IF(INDEX($A:$U,ROW(),$C$6)="","",INDEX($A:$U,ROW(),$C$6)))</f>
        <v/>
      </c>
      <c r="X565" s="32">
        <f>IF($W565="","",IF(ISNUMBER($W565),IF($W565&gt;=10000000,IFERROR(DATE(INT($W565/10000),MOD(INT($W565/100),100),MOD($W565,100)),""),INT($W565)),IFERROR(DATE(--LEFT(LEFT(SUBSTITUTE(SUBSTITUTE(SUBSTITUTE(SUBSTITUTE(TRIM($W565),"-",""),".",""),"/","")," ",""),8),4),--MID(LEFT(SUBSTITUTE(SUBSTITUTE(SUBSTITUTE(SUBSTITUTE(TRIM($W565),"-",""),".",""),"/","")," ",""),8),5,2),--MID(LEFT(SUBSTITUTE(SUBSTITUTE(SUBSTITUTE(SUBSTITUTE(TRIM($W565),"-",""),".",""),"/","")," ",""),8),7,2)),"")))</f>
        <v/>
      </c>
      <c r="Y565" s="32">
        <f>IF($X565="","",INT($X565))</f>
        <v/>
      </c>
      <c r="Z565" s="33">
        <f>IF(OR($Y565="",$D$6=""),"",IF(INDEX($A:$U,ROW(),$D$6)="",0,IF(ISNUMBER(INDEX($A:$U,ROW(),$D$6)),INDEX($A:$U,ROW(),$D$6),IFERROR(--SUBSTITUTE(SUBSTITUTE(TRIM(INDEX($A:$U,ROW(),$D$6)),",",""),"원",""),0))))</f>
        <v/>
      </c>
      <c r="AA565" s="31">
        <f>IF($Y565="","",TRIM(INDEX($A:$U,ROW(),$E$6)&amp;IF($F$6="",""," "&amp;INDEX($A:$U,ROW(),$F$6))))</f>
        <v/>
      </c>
      <c r="AB565" s="31">
        <f>IF($AA565="","",SUBSTITUTE(SUBSTITUTE(SUBSTITUTE(SUBSTITUTE(SUBSTITUTE(SUBSTITUTE(SUBSTITUTE(SUBSTITUTE(SUBSTITUTE($AA565," ",""),"　",""),"(주)",""),"（주）",""),"㈜",""),"주식회사",""),"(유)",""),"（유）",""),"유한회사",""))</f>
        <v/>
      </c>
      <c r="AC565" s="31">
        <f>IF(OR($Y565="",N($Z565)&lt;=0,$AB565=""),0,IFERROR(LOOKUP(2,1/((거래처별!$AC$8:$AC$307&lt;&gt;"")*ISNUMBER(SEARCH(거래처별!$AC$8:$AC$307,$AB565))),거래처별!$A$8:$A$307),IFERROR(LOOKUP(2,1/((거래처별!$AD$8:$AD$307&lt;&gt;"")*ISNUMBER(SEARCH(거래처별!$AD$8:$AD$307,$AB565))),거래처별!$A$8:$A$307),IFERROR(LOOKUP(2,1/((거래처별!$AE$8:$AE$307&lt;&gt;"")*ISNUMBER(SEARCH(거래처별!$AE$8:$AE$307,$AB565))),거래처별!$A$8:$A$307),0))))</f>
        <v/>
      </c>
      <c r="AD565" s="31">
        <f>IF(AND($Y565&lt;&gt;"",N($Z565)&gt;0,$AC565=0),MAX($AD$7:$AD564)+1,"")</f>
        <v/>
      </c>
      <c r="AE565" s="31">
        <f>IF($Y565="",0,$Y565)</f>
        <v/>
      </c>
    </row>
    <row r="566">
      <c r="W566" s="31">
        <f>IF(OR($B$5="",$C$6="",ROW()&lt;$B$5),"",IF(INDEX($A:$U,ROW(),$C$6)="","",INDEX($A:$U,ROW(),$C$6)))</f>
        <v/>
      </c>
      <c r="X566" s="32">
        <f>IF($W566="","",IF(ISNUMBER($W566),IF($W566&gt;=10000000,IFERROR(DATE(INT($W566/10000),MOD(INT($W566/100),100),MOD($W566,100)),""),INT($W566)),IFERROR(DATE(--LEFT(LEFT(SUBSTITUTE(SUBSTITUTE(SUBSTITUTE(SUBSTITUTE(TRIM($W566),"-",""),".",""),"/","")," ",""),8),4),--MID(LEFT(SUBSTITUTE(SUBSTITUTE(SUBSTITUTE(SUBSTITUTE(TRIM($W566),"-",""),".",""),"/","")," ",""),8),5,2),--MID(LEFT(SUBSTITUTE(SUBSTITUTE(SUBSTITUTE(SUBSTITUTE(TRIM($W566),"-",""),".",""),"/","")," ",""),8),7,2)),"")))</f>
        <v/>
      </c>
      <c r="Y566" s="32">
        <f>IF($X566="","",INT($X566))</f>
        <v/>
      </c>
      <c r="Z566" s="33">
        <f>IF(OR($Y566="",$D$6=""),"",IF(INDEX($A:$U,ROW(),$D$6)="",0,IF(ISNUMBER(INDEX($A:$U,ROW(),$D$6)),INDEX($A:$U,ROW(),$D$6),IFERROR(--SUBSTITUTE(SUBSTITUTE(TRIM(INDEX($A:$U,ROW(),$D$6)),",",""),"원",""),0))))</f>
        <v/>
      </c>
      <c r="AA566" s="31">
        <f>IF($Y566="","",TRIM(INDEX($A:$U,ROW(),$E$6)&amp;IF($F$6="",""," "&amp;INDEX($A:$U,ROW(),$F$6))))</f>
        <v/>
      </c>
      <c r="AB566" s="31">
        <f>IF($AA566="","",SUBSTITUTE(SUBSTITUTE(SUBSTITUTE(SUBSTITUTE(SUBSTITUTE(SUBSTITUTE(SUBSTITUTE(SUBSTITUTE(SUBSTITUTE($AA566," ",""),"　",""),"(주)",""),"（주）",""),"㈜",""),"주식회사",""),"(유)",""),"（유）",""),"유한회사",""))</f>
        <v/>
      </c>
      <c r="AC566" s="31">
        <f>IF(OR($Y566="",N($Z566)&lt;=0,$AB566=""),0,IFERROR(LOOKUP(2,1/((거래처별!$AC$8:$AC$307&lt;&gt;"")*ISNUMBER(SEARCH(거래처별!$AC$8:$AC$307,$AB566))),거래처별!$A$8:$A$307),IFERROR(LOOKUP(2,1/((거래처별!$AD$8:$AD$307&lt;&gt;"")*ISNUMBER(SEARCH(거래처별!$AD$8:$AD$307,$AB566))),거래처별!$A$8:$A$307),IFERROR(LOOKUP(2,1/((거래처별!$AE$8:$AE$307&lt;&gt;"")*ISNUMBER(SEARCH(거래처별!$AE$8:$AE$307,$AB566))),거래처별!$A$8:$A$307),0))))</f>
        <v/>
      </c>
      <c r="AD566" s="31">
        <f>IF(AND($Y566&lt;&gt;"",N($Z566)&gt;0,$AC566=0),MAX($AD$7:$AD565)+1,"")</f>
        <v/>
      </c>
      <c r="AE566" s="31">
        <f>IF($Y566="",0,$Y566)</f>
        <v/>
      </c>
    </row>
    <row r="567">
      <c r="W567" s="31">
        <f>IF(OR($B$5="",$C$6="",ROW()&lt;$B$5),"",IF(INDEX($A:$U,ROW(),$C$6)="","",INDEX($A:$U,ROW(),$C$6)))</f>
        <v/>
      </c>
      <c r="X567" s="32">
        <f>IF($W567="","",IF(ISNUMBER($W567),IF($W567&gt;=10000000,IFERROR(DATE(INT($W567/10000),MOD(INT($W567/100),100),MOD($W567,100)),""),INT($W567)),IFERROR(DATE(--LEFT(LEFT(SUBSTITUTE(SUBSTITUTE(SUBSTITUTE(SUBSTITUTE(TRIM($W567),"-",""),".",""),"/","")," ",""),8),4),--MID(LEFT(SUBSTITUTE(SUBSTITUTE(SUBSTITUTE(SUBSTITUTE(TRIM($W567),"-",""),".",""),"/","")," ",""),8),5,2),--MID(LEFT(SUBSTITUTE(SUBSTITUTE(SUBSTITUTE(SUBSTITUTE(TRIM($W567),"-",""),".",""),"/","")," ",""),8),7,2)),"")))</f>
        <v/>
      </c>
      <c r="Y567" s="32">
        <f>IF($X567="","",INT($X567))</f>
        <v/>
      </c>
      <c r="Z567" s="33">
        <f>IF(OR($Y567="",$D$6=""),"",IF(INDEX($A:$U,ROW(),$D$6)="",0,IF(ISNUMBER(INDEX($A:$U,ROW(),$D$6)),INDEX($A:$U,ROW(),$D$6),IFERROR(--SUBSTITUTE(SUBSTITUTE(TRIM(INDEX($A:$U,ROW(),$D$6)),",",""),"원",""),0))))</f>
        <v/>
      </c>
      <c r="AA567" s="31">
        <f>IF($Y567="","",TRIM(INDEX($A:$U,ROW(),$E$6)&amp;IF($F$6="",""," "&amp;INDEX($A:$U,ROW(),$F$6))))</f>
        <v/>
      </c>
      <c r="AB567" s="31">
        <f>IF($AA567="","",SUBSTITUTE(SUBSTITUTE(SUBSTITUTE(SUBSTITUTE(SUBSTITUTE(SUBSTITUTE(SUBSTITUTE(SUBSTITUTE(SUBSTITUTE($AA567," ",""),"　",""),"(주)",""),"（주）",""),"㈜",""),"주식회사",""),"(유)",""),"（유）",""),"유한회사",""))</f>
        <v/>
      </c>
      <c r="AC567" s="31">
        <f>IF(OR($Y567="",N($Z567)&lt;=0,$AB567=""),0,IFERROR(LOOKUP(2,1/((거래처별!$AC$8:$AC$307&lt;&gt;"")*ISNUMBER(SEARCH(거래처별!$AC$8:$AC$307,$AB567))),거래처별!$A$8:$A$307),IFERROR(LOOKUP(2,1/((거래처별!$AD$8:$AD$307&lt;&gt;"")*ISNUMBER(SEARCH(거래처별!$AD$8:$AD$307,$AB567))),거래처별!$A$8:$A$307),IFERROR(LOOKUP(2,1/((거래처별!$AE$8:$AE$307&lt;&gt;"")*ISNUMBER(SEARCH(거래처별!$AE$8:$AE$307,$AB567))),거래처별!$A$8:$A$307),0))))</f>
        <v/>
      </c>
      <c r="AD567" s="31">
        <f>IF(AND($Y567&lt;&gt;"",N($Z567)&gt;0,$AC567=0),MAX($AD$7:$AD566)+1,"")</f>
        <v/>
      </c>
      <c r="AE567" s="31">
        <f>IF($Y567="",0,$Y567)</f>
        <v/>
      </c>
    </row>
    <row r="568">
      <c r="W568" s="31">
        <f>IF(OR($B$5="",$C$6="",ROW()&lt;$B$5),"",IF(INDEX($A:$U,ROW(),$C$6)="","",INDEX($A:$U,ROW(),$C$6)))</f>
        <v/>
      </c>
      <c r="X568" s="32">
        <f>IF($W568="","",IF(ISNUMBER($W568),IF($W568&gt;=10000000,IFERROR(DATE(INT($W568/10000),MOD(INT($W568/100),100),MOD($W568,100)),""),INT($W568)),IFERROR(DATE(--LEFT(LEFT(SUBSTITUTE(SUBSTITUTE(SUBSTITUTE(SUBSTITUTE(TRIM($W568),"-",""),".",""),"/","")," ",""),8),4),--MID(LEFT(SUBSTITUTE(SUBSTITUTE(SUBSTITUTE(SUBSTITUTE(TRIM($W568),"-",""),".",""),"/","")," ",""),8),5,2),--MID(LEFT(SUBSTITUTE(SUBSTITUTE(SUBSTITUTE(SUBSTITUTE(TRIM($W568),"-",""),".",""),"/","")," ",""),8),7,2)),"")))</f>
        <v/>
      </c>
      <c r="Y568" s="32">
        <f>IF($X568="","",INT($X568))</f>
        <v/>
      </c>
      <c r="Z568" s="33">
        <f>IF(OR($Y568="",$D$6=""),"",IF(INDEX($A:$U,ROW(),$D$6)="",0,IF(ISNUMBER(INDEX($A:$U,ROW(),$D$6)),INDEX($A:$U,ROW(),$D$6),IFERROR(--SUBSTITUTE(SUBSTITUTE(TRIM(INDEX($A:$U,ROW(),$D$6)),",",""),"원",""),0))))</f>
        <v/>
      </c>
      <c r="AA568" s="31">
        <f>IF($Y568="","",TRIM(INDEX($A:$U,ROW(),$E$6)&amp;IF($F$6="",""," "&amp;INDEX($A:$U,ROW(),$F$6))))</f>
        <v/>
      </c>
      <c r="AB568" s="31">
        <f>IF($AA568="","",SUBSTITUTE(SUBSTITUTE(SUBSTITUTE(SUBSTITUTE(SUBSTITUTE(SUBSTITUTE(SUBSTITUTE(SUBSTITUTE(SUBSTITUTE($AA568," ",""),"　",""),"(주)",""),"（주）",""),"㈜",""),"주식회사",""),"(유)",""),"（유）",""),"유한회사",""))</f>
        <v/>
      </c>
      <c r="AC568" s="31">
        <f>IF(OR($Y568="",N($Z568)&lt;=0,$AB568=""),0,IFERROR(LOOKUP(2,1/((거래처별!$AC$8:$AC$307&lt;&gt;"")*ISNUMBER(SEARCH(거래처별!$AC$8:$AC$307,$AB568))),거래처별!$A$8:$A$307),IFERROR(LOOKUP(2,1/((거래처별!$AD$8:$AD$307&lt;&gt;"")*ISNUMBER(SEARCH(거래처별!$AD$8:$AD$307,$AB568))),거래처별!$A$8:$A$307),IFERROR(LOOKUP(2,1/((거래처별!$AE$8:$AE$307&lt;&gt;"")*ISNUMBER(SEARCH(거래처별!$AE$8:$AE$307,$AB568))),거래처별!$A$8:$A$307),0))))</f>
        <v/>
      </c>
      <c r="AD568" s="31">
        <f>IF(AND($Y568&lt;&gt;"",N($Z568)&gt;0,$AC568=0),MAX($AD$7:$AD567)+1,"")</f>
        <v/>
      </c>
      <c r="AE568" s="31">
        <f>IF($Y568="",0,$Y568)</f>
        <v/>
      </c>
    </row>
    <row r="569">
      <c r="W569" s="31">
        <f>IF(OR($B$5="",$C$6="",ROW()&lt;$B$5),"",IF(INDEX($A:$U,ROW(),$C$6)="","",INDEX($A:$U,ROW(),$C$6)))</f>
        <v/>
      </c>
      <c r="X569" s="32">
        <f>IF($W569="","",IF(ISNUMBER($W569),IF($W569&gt;=10000000,IFERROR(DATE(INT($W569/10000),MOD(INT($W569/100),100),MOD($W569,100)),""),INT($W569)),IFERROR(DATE(--LEFT(LEFT(SUBSTITUTE(SUBSTITUTE(SUBSTITUTE(SUBSTITUTE(TRIM($W569),"-",""),".",""),"/","")," ",""),8),4),--MID(LEFT(SUBSTITUTE(SUBSTITUTE(SUBSTITUTE(SUBSTITUTE(TRIM($W569),"-",""),".",""),"/","")," ",""),8),5,2),--MID(LEFT(SUBSTITUTE(SUBSTITUTE(SUBSTITUTE(SUBSTITUTE(TRIM($W569),"-",""),".",""),"/","")," ",""),8),7,2)),"")))</f>
        <v/>
      </c>
      <c r="Y569" s="32">
        <f>IF($X569="","",INT($X569))</f>
        <v/>
      </c>
      <c r="Z569" s="33">
        <f>IF(OR($Y569="",$D$6=""),"",IF(INDEX($A:$U,ROW(),$D$6)="",0,IF(ISNUMBER(INDEX($A:$U,ROW(),$D$6)),INDEX($A:$U,ROW(),$D$6),IFERROR(--SUBSTITUTE(SUBSTITUTE(TRIM(INDEX($A:$U,ROW(),$D$6)),",",""),"원",""),0))))</f>
        <v/>
      </c>
      <c r="AA569" s="31">
        <f>IF($Y569="","",TRIM(INDEX($A:$U,ROW(),$E$6)&amp;IF($F$6="",""," "&amp;INDEX($A:$U,ROW(),$F$6))))</f>
        <v/>
      </c>
      <c r="AB569" s="31">
        <f>IF($AA569="","",SUBSTITUTE(SUBSTITUTE(SUBSTITUTE(SUBSTITUTE(SUBSTITUTE(SUBSTITUTE(SUBSTITUTE(SUBSTITUTE(SUBSTITUTE($AA569," ",""),"　",""),"(주)",""),"（주）",""),"㈜",""),"주식회사",""),"(유)",""),"（유）",""),"유한회사",""))</f>
        <v/>
      </c>
      <c r="AC569" s="31">
        <f>IF(OR($Y569="",N($Z569)&lt;=0,$AB569=""),0,IFERROR(LOOKUP(2,1/((거래처별!$AC$8:$AC$307&lt;&gt;"")*ISNUMBER(SEARCH(거래처별!$AC$8:$AC$307,$AB569))),거래처별!$A$8:$A$307),IFERROR(LOOKUP(2,1/((거래처별!$AD$8:$AD$307&lt;&gt;"")*ISNUMBER(SEARCH(거래처별!$AD$8:$AD$307,$AB569))),거래처별!$A$8:$A$307),IFERROR(LOOKUP(2,1/((거래처별!$AE$8:$AE$307&lt;&gt;"")*ISNUMBER(SEARCH(거래처별!$AE$8:$AE$307,$AB569))),거래처별!$A$8:$A$307),0))))</f>
        <v/>
      </c>
      <c r="AD569" s="31">
        <f>IF(AND($Y569&lt;&gt;"",N($Z569)&gt;0,$AC569=0),MAX($AD$7:$AD568)+1,"")</f>
        <v/>
      </c>
      <c r="AE569" s="31">
        <f>IF($Y569="",0,$Y569)</f>
        <v/>
      </c>
    </row>
    <row r="570">
      <c r="W570" s="31">
        <f>IF(OR($B$5="",$C$6="",ROW()&lt;$B$5),"",IF(INDEX($A:$U,ROW(),$C$6)="","",INDEX($A:$U,ROW(),$C$6)))</f>
        <v/>
      </c>
      <c r="X570" s="32">
        <f>IF($W570="","",IF(ISNUMBER($W570),IF($W570&gt;=10000000,IFERROR(DATE(INT($W570/10000),MOD(INT($W570/100),100),MOD($W570,100)),""),INT($W570)),IFERROR(DATE(--LEFT(LEFT(SUBSTITUTE(SUBSTITUTE(SUBSTITUTE(SUBSTITUTE(TRIM($W570),"-",""),".",""),"/","")," ",""),8),4),--MID(LEFT(SUBSTITUTE(SUBSTITUTE(SUBSTITUTE(SUBSTITUTE(TRIM($W570),"-",""),".",""),"/","")," ",""),8),5,2),--MID(LEFT(SUBSTITUTE(SUBSTITUTE(SUBSTITUTE(SUBSTITUTE(TRIM($W570),"-",""),".",""),"/","")," ",""),8),7,2)),"")))</f>
        <v/>
      </c>
      <c r="Y570" s="32">
        <f>IF($X570="","",INT($X570))</f>
        <v/>
      </c>
      <c r="Z570" s="33">
        <f>IF(OR($Y570="",$D$6=""),"",IF(INDEX($A:$U,ROW(),$D$6)="",0,IF(ISNUMBER(INDEX($A:$U,ROW(),$D$6)),INDEX($A:$U,ROW(),$D$6),IFERROR(--SUBSTITUTE(SUBSTITUTE(TRIM(INDEX($A:$U,ROW(),$D$6)),",",""),"원",""),0))))</f>
        <v/>
      </c>
      <c r="AA570" s="31">
        <f>IF($Y570="","",TRIM(INDEX($A:$U,ROW(),$E$6)&amp;IF($F$6="",""," "&amp;INDEX($A:$U,ROW(),$F$6))))</f>
        <v/>
      </c>
      <c r="AB570" s="31">
        <f>IF($AA570="","",SUBSTITUTE(SUBSTITUTE(SUBSTITUTE(SUBSTITUTE(SUBSTITUTE(SUBSTITUTE(SUBSTITUTE(SUBSTITUTE(SUBSTITUTE($AA570," ",""),"　",""),"(주)",""),"（주）",""),"㈜",""),"주식회사",""),"(유)",""),"（유）",""),"유한회사",""))</f>
        <v/>
      </c>
      <c r="AC570" s="31">
        <f>IF(OR($Y570="",N($Z570)&lt;=0,$AB570=""),0,IFERROR(LOOKUP(2,1/((거래처별!$AC$8:$AC$307&lt;&gt;"")*ISNUMBER(SEARCH(거래처별!$AC$8:$AC$307,$AB570))),거래처별!$A$8:$A$307),IFERROR(LOOKUP(2,1/((거래처별!$AD$8:$AD$307&lt;&gt;"")*ISNUMBER(SEARCH(거래처별!$AD$8:$AD$307,$AB570))),거래처별!$A$8:$A$307),IFERROR(LOOKUP(2,1/((거래처별!$AE$8:$AE$307&lt;&gt;"")*ISNUMBER(SEARCH(거래처별!$AE$8:$AE$307,$AB570))),거래처별!$A$8:$A$307),0))))</f>
        <v/>
      </c>
      <c r="AD570" s="31">
        <f>IF(AND($Y570&lt;&gt;"",N($Z570)&gt;0,$AC570=0),MAX($AD$7:$AD569)+1,"")</f>
        <v/>
      </c>
      <c r="AE570" s="31">
        <f>IF($Y570="",0,$Y570)</f>
        <v/>
      </c>
    </row>
    <row r="571">
      <c r="W571" s="31">
        <f>IF(OR($B$5="",$C$6="",ROW()&lt;$B$5),"",IF(INDEX($A:$U,ROW(),$C$6)="","",INDEX($A:$U,ROW(),$C$6)))</f>
        <v/>
      </c>
      <c r="X571" s="32">
        <f>IF($W571="","",IF(ISNUMBER($W571),IF($W571&gt;=10000000,IFERROR(DATE(INT($W571/10000),MOD(INT($W571/100),100),MOD($W571,100)),""),INT($W571)),IFERROR(DATE(--LEFT(LEFT(SUBSTITUTE(SUBSTITUTE(SUBSTITUTE(SUBSTITUTE(TRIM($W571),"-",""),".",""),"/","")," ",""),8),4),--MID(LEFT(SUBSTITUTE(SUBSTITUTE(SUBSTITUTE(SUBSTITUTE(TRIM($W571),"-",""),".",""),"/","")," ",""),8),5,2),--MID(LEFT(SUBSTITUTE(SUBSTITUTE(SUBSTITUTE(SUBSTITUTE(TRIM($W571),"-",""),".",""),"/","")," ",""),8),7,2)),"")))</f>
        <v/>
      </c>
      <c r="Y571" s="32">
        <f>IF($X571="","",INT($X571))</f>
        <v/>
      </c>
      <c r="Z571" s="33">
        <f>IF(OR($Y571="",$D$6=""),"",IF(INDEX($A:$U,ROW(),$D$6)="",0,IF(ISNUMBER(INDEX($A:$U,ROW(),$D$6)),INDEX($A:$U,ROW(),$D$6),IFERROR(--SUBSTITUTE(SUBSTITUTE(TRIM(INDEX($A:$U,ROW(),$D$6)),",",""),"원",""),0))))</f>
        <v/>
      </c>
      <c r="AA571" s="31">
        <f>IF($Y571="","",TRIM(INDEX($A:$U,ROW(),$E$6)&amp;IF($F$6="",""," "&amp;INDEX($A:$U,ROW(),$F$6))))</f>
        <v/>
      </c>
      <c r="AB571" s="31">
        <f>IF($AA571="","",SUBSTITUTE(SUBSTITUTE(SUBSTITUTE(SUBSTITUTE(SUBSTITUTE(SUBSTITUTE(SUBSTITUTE(SUBSTITUTE(SUBSTITUTE($AA571," ",""),"　",""),"(주)",""),"（주）",""),"㈜",""),"주식회사",""),"(유)",""),"（유）",""),"유한회사",""))</f>
        <v/>
      </c>
      <c r="AC571" s="31">
        <f>IF(OR($Y571="",N($Z571)&lt;=0,$AB571=""),0,IFERROR(LOOKUP(2,1/((거래처별!$AC$8:$AC$307&lt;&gt;"")*ISNUMBER(SEARCH(거래처별!$AC$8:$AC$307,$AB571))),거래처별!$A$8:$A$307),IFERROR(LOOKUP(2,1/((거래처별!$AD$8:$AD$307&lt;&gt;"")*ISNUMBER(SEARCH(거래처별!$AD$8:$AD$307,$AB571))),거래처별!$A$8:$A$307),IFERROR(LOOKUP(2,1/((거래처별!$AE$8:$AE$307&lt;&gt;"")*ISNUMBER(SEARCH(거래처별!$AE$8:$AE$307,$AB571))),거래처별!$A$8:$A$307),0))))</f>
        <v/>
      </c>
      <c r="AD571" s="31">
        <f>IF(AND($Y571&lt;&gt;"",N($Z571)&gt;0,$AC571=0),MAX($AD$7:$AD570)+1,"")</f>
        <v/>
      </c>
      <c r="AE571" s="31">
        <f>IF($Y571="",0,$Y571)</f>
        <v/>
      </c>
    </row>
    <row r="572">
      <c r="W572" s="31">
        <f>IF(OR($B$5="",$C$6="",ROW()&lt;$B$5),"",IF(INDEX($A:$U,ROW(),$C$6)="","",INDEX($A:$U,ROW(),$C$6)))</f>
        <v/>
      </c>
      <c r="X572" s="32">
        <f>IF($W572="","",IF(ISNUMBER($W572),IF($W572&gt;=10000000,IFERROR(DATE(INT($W572/10000),MOD(INT($W572/100),100),MOD($W572,100)),""),INT($W572)),IFERROR(DATE(--LEFT(LEFT(SUBSTITUTE(SUBSTITUTE(SUBSTITUTE(SUBSTITUTE(TRIM($W572),"-",""),".",""),"/","")," ",""),8),4),--MID(LEFT(SUBSTITUTE(SUBSTITUTE(SUBSTITUTE(SUBSTITUTE(TRIM($W572),"-",""),".",""),"/","")," ",""),8),5,2),--MID(LEFT(SUBSTITUTE(SUBSTITUTE(SUBSTITUTE(SUBSTITUTE(TRIM($W572),"-",""),".",""),"/","")," ",""),8),7,2)),"")))</f>
        <v/>
      </c>
      <c r="Y572" s="32">
        <f>IF($X572="","",INT($X572))</f>
        <v/>
      </c>
      <c r="Z572" s="33">
        <f>IF(OR($Y572="",$D$6=""),"",IF(INDEX($A:$U,ROW(),$D$6)="",0,IF(ISNUMBER(INDEX($A:$U,ROW(),$D$6)),INDEX($A:$U,ROW(),$D$6),IFERROR(--SUBSTITUTE(SUBSTITUTE(TRIM(INDEX($A:$U,ROW(),$D$6)),",",""),"원",""),0))))</f>
        <v/>
      </c>
      <c r="AA572" s="31">
        <f>IF($Y572="","",TRIM(INDEX($A:$U,ROW(),$E$6)&amp;IF($F$6="",""," "&amp;INDEX($A:$U,ROW(),$F$6))))</f>
        <v/>
      </c>
      <c r="AB572" s="31">
        <f>IF($AA572="","",SUBSTITUTE(SUBSTITUTE(SUBSTITUTE(SUBSTITUTE(SUBSTITUTE(SUBSTITUTE(SUBSTITUTE(SUBSTITUTE(SUBSTITUTE($AA572," ",""),"　",""),"(주)",""),"（주）",""),"㈜",""),"주식회사",""),"(유)",""),"（유）",""),"유한회사",""))</f>
        <v/>
      </c>
      <c r="AC572" s="31">
        <f>IF(OR($Y572="",N($Z572)&lt;=0,$AB572=""),0,IFERROR(LOOKUP(2,1/((거래처별!$AC$8:$AC$307&lt;&gt;"")*ISNUMBER(SEARCH(거래처별!$AC$8:$AC$307,$AB572))),거래처별!$A$8:$A$307),IFERROR(LOOKUP(2,1/((거래처별!$AD$8:$AD$307&lt;&gt;"")*ISNUMBER(SEARCH(거래처별!$AD$8:$AD$307,$AB572))),거래처별!$A$8:$A$307),IFERROR(LOOKUP(2,1/((거래처별!$AE$8:$AE$307&lt;&gt;"")*ISNUMBER(SEARCH(거래처별!$AE$8:$AE$307,$AB572))),거래처별!$A$8:$A$307),0))))</f>
        <v/>
      </c>
      <c r="AD572" s="31">
        <f>IF(AND($Y572&lt;&gt;"",N($Z572)&gt;0,$AC572=0),MAX($AD$7:$AD571)+1,"")</f>
        <v/>
      </c>
      <c r="AE572" s="31">
        <f>IF($Y572="",0,$Y572)</f>
        <v/>
      </c>
    </row>
    <row r="573">
      <c r="W573" s="31">
        <f>IF(OR($B$5="",$C$6="",ROW()&lt;$B$5),"",IF(INDEX($A:$U,ROW(),$C$6)="","",INDEX($A:$U,ROW(),$C$6)))</f>
        <v/>
      </c>
      <c r="X573" s="32">
        <f>IF($W573="","",IF(ISNUMBER($W573),IF($W573&gt;=10000000,IFERROR(DATE(INT($W573/10000),MOD(INT($W573/100),100),MOD($W573,100)),""),INT($W573)),IFERROR(DATE(--LEFT(LEFT(SUBSTITUTE(SUBSTITUTE(SUBSTITUTE(SUBSTITUTE(TRIM($W573),"-",""),".",""),"/","")," ",""),8),4),--MID(LEFT(SUBSTITUTE(SUBSTITUTE(SUBSTITUTE(SUBSTITUTE(TRIM($W573),"-",""),".",""),"/","")," ",""),8),5,2),--MID(LEFT(SUBSTITUTE(SUBSTITUTE(SUBSTITUTE(SUBSTITUTE(TRIM($W573),"-",""),".",""),"/","")," ",""),8),7,2)),"")))</f>
        <v/>
      </c>
      <c r="Y573" s="32">
        <f>IF($X573="","",INT($X573))</f>
        <v/>
      </c>
      <c r="Z573" s="33">
        <f>IF(OR($Y573="",$D$6=""),"",IF(INDEX($A:$U,ROW(),$D$6)="",0,IF(ISNUMBER(INDEX($A:$U,ROW(),$D$6)),INDEX($A:$U,ROW(),$D$6),IFERROR(--SUBSTITUTE(SUBSTITUTE(TRIM(INDEX($A:$U,ROW(),$D$6)),",",""),"원",""),0))))</f>
        <v/>
      </c>
      <c r="AA573" s="31">
        <f>IF($Y573="","",TRIM(INDEX($A:$U,ROW(),$E$6)&amp;IF($F$6="",""," "&amp;INDEX($A:$U,ROW(),$F$6))))</f>
        <v/>
      </c>
      <c r="AB573" s="31">
        <f>IF($AA573="","",SUBSTITUTE(SUBSTITUTE(SUBSTITUTE(SUBSTITUTE(SUBSTITUTE(SUBSTITUTE(SUBSTITUTE(SUBSTITUTE(SUBSTITUTE($AA573," ",""),"　",""),"(주)",""),"（주）",""),"㈜",""),"주식회사",""),"(유)",""),"（유）",""),"유한회사",""))</f>
        <v/>
      </c>
      <c r="AC573" s="31">
        <f>IF(OR($Y573="",N($Z573)&lt;=0,$AB573=""),0,IFERROR(LOOKUP(2,1/((거래처별!$AC$8:$AC$307&lt;&gt;"")*ISNUMBER(SEARCH(거래처별!$AC$8:$AC$307,$AB573))),거래처별!$A$8:$A$307),IFERROR(LOOKUP(2,1/((거래처별!$AD$8:$AD$307&lt;&gt;"")*ISNUMBER(SEARCH(거래처별!$AD$8:$AD$307,$AB573))),거래처별!$A$8:$A$307),IFERROR(LOOKUP(2,1/((거래처별!$AE$8:$AE$307&lt;&gt;"")*ISNUMBER(SEARCH(거래처별!$AE$8:$AE$307,$AB573))),거래처별!$A$8:$A$307),0))))</f>
        <v/>
      </c>
      <c r="AD573" s="31">
        <f>IF(AND($Y573&lt;&gt;"",N($Z573)&gt;0,$AC573=0),MAX($AD$7:$AD572)+1,"")</f>
        <v/>
      </c>
      <c r="AE573" s="31">
        <f>IF($Y573="",0,$Y573)</f>
        <v/>
      </c>
    </row>
    <row r="574">
      <c r="W574" s="31">
        <f>IF(OR($B$5="",$C$6="",ROW()&lt;$B$5),"",IF(INDEX($A:$U,ROW(),$C$6)="","",INDEX($A:$U,ROW(),$C$6)))</f>
        <v/>
      </c>
      <c r="X574" s="32">
        <f>IF($W574="","",IF(ISNUMBER($W574),IF($W574&gt;=10000000,IFERROR(DATE(INT($W574/10000),MOD(INT($W574/100),100),MOD($W574,100)),""),INT($W574)),IFERROR(DATE(--LEFT(LEFT(SUBSTITUTE(SUBSTITUTE(SUBSTITUTE(SUBSTITUTE(TRIM($W574),"-",""),".",""),"/","")," ",""),8),4),--MID(LEFT(SUBSTITUTE(SUBSTITUTE(SUBSTITUTE(SUBSTITUTE(TRIM($W574),"-",""),".",""),"/","")," ",""),8),5,2),--MID(LEFT(SUBSTITUTE(SUBSTITUTE(SUBSTITUTE(SUBSTITUTE(TRIM($W574),"-",""),".",""),"/","")," ",""),8),7,2)),"")))</f>
        <v/>
      </c>
      <c r="Y574" s="32">
        <f>IF($X574="","",INT($X574))</f>
        <v/>
      </c>
      <c r="Z574" s="33">
        <f>IF(OR($Y574="",$D$6=""),"",IF(INDEX($A:$U,ROW(),$D$6)="",0,IF(ISNUMBER(INDEX($A:$U,ROW(),$D$6)),INDEX($A:$U,ROW(),$D$6),IFERROR(--SUBSTITUTE(SUBSTITUTE(TRIM(INDEX($A:$U,ROW(),$D$6)),",",""),"원",""),0))))</f>
        <v/>
      </c>
      <c r="AA574" s="31">
        <f>IF($Y574="","",TRIM(INDEX($A:$U,ROW(),$E$6)&amp;IF($F$6="",""," "&amp;INDEX($A:$U,ROW(),$F$6))))</f>
        <v/>
      </c>
      <c r="AB574" s="31">
        <f>IF($AA574="","",SUBSTITUTE(SUBSTITUTE(SUBSTITUTE(SUBSTITUTE(SUBSTITUTE(SUBSTITUTE(SUBSTITUTE(SUBSTITUTE(SUBSTITUTE($AA574," ",""),"　",""),"(주)",""),"（주）",""),"㈜",""),"주식회사",""),"(유)",""),"（유）",""),"유한회사",""))</f>
        <v/>
      </c>
      <c r="AC574" s="31">
        <f>IF(OR($Y574="",N($Z574)&lt;=0,$AB574=""),0,IFERROR(LOOKUP(2,1/((거래처별!$AC$8:$AC$307&lt;&gt;"")*ISNUMBER(SEARCH(거래처별!$AC$8:$AC$307,$AB574))),거래처별!$A$8:$A$307),IFERROR(LOOKUP(2,1/((거래처별!$AD$8:$AD$307&lt;&gt;"")*ISNUMBER(SEARCH(거래처별!$AD$8:$AD$307,$AB574))),거래처별!$A$8:$A$307),IFERROR(LOOKUP(2,1/((거래처별!$AE$8:$AE$307&lt;&gt;"")*ISNUMBER(SEARCH(거래처별!$AE$8:$AE$307,$AB574))),거래처별!$A$8:$A$307),0))))</f>
        <v/>
      </c>
      <c r="AD574" s="31">
        <f>IF(AND($Y574&lt;&gt;"",N($Z574)&gt;0,$AC574=0),MAX($AD$7:$AD573)+1,"")</f>
        <v/>
      </c>
      <c r="AE574" s="31">
        <f>IF($Y574="",0,$Y574)</f>
        <v/>
      </c>
    </row>
    <row r="575">
      <c r="W575" s="31">
        <f>IF(OR($B$5="",$C$6="",ROW()&lt;$B$5),"",IF(INDEX($A:$U,ROW(),$C$6)="","",INDEX($A:$U,ROW(),$C$6)))</f>
        <v/>
      </c>
      <c r="X575" s="32">
        <f>IF($W575="","",IF(ISNUMBER($W575),IF($W575&gt;=10000000,IFERROR(DATE(INT($W575/10000),MOD(INT($W575/100),100),MOD($W575,100)),""),INT($W575)),IFERROR(DATE(--LEFT(LEFT(SUBSTITUTE(SUBSTITUTE(SUBSTITUTE(SUBSTITUTE(TRIM($W575),"-",""),".",""),"/","")," ",""),8),4),--MID(LEFT(SUBSTITUTE(SUBSTITUTE(SUBSTITUTE(SUBSTITUTE(TRIM($W575),"-",""),".",""),"/","")," ",""),8),5,2),--MID(LEFT(SUBSTITUTE(SUBSTITUTE(SUBSTITUTE(SUBSTITUTE(TRIM($W575),"-",""),".",""),"/","")," ",""),8),7,2)),"")))</f>
        <v/>
      </c>
      <c r="Y575" s="32">
        <f>IF($X575="","",INT($X575))</f>
        <v/>
      </c>
      <c r="Z575" s="33">
        <f>IF(OR($Y575="",$D$6=""),"",IF(INDEX($A:$U,ROW(),$D$6)="",0,IF(ISNUMBER(INDEX($A:$U,ROW(),$D$6)),INDEX($A:$U,ROW(),$D$6),IFERROR(--SUBSTITUTE(SUBSTITUTE(TRIM(INDEX($A:$U,ROW(),$D$6)),",",""),"원",""),0))))</f>
        <v/>
      </c>
      <c r="AA575" s="31">
        <f>IF($Y575="","",TRIM(INDEX($A:$U,ROW(),$E$6)&amp;IF($F$6="",""," "&amp;INDEX($A:$U,ROW(),$F$6))))</f>
        <v/>
      </c>
      <c r="AB575" s="31">
        <f>IF($AA575="","",SUBSTITUTE(SUBSTITUTE(SUBSTITUTE(SUBSTITUTE(SUBSTITUTE(SUBSTITUTE(SUBSTITUTE(SUBSTITUTE(SUBSTITUTE($AA575," ",""),"　",""),"(주)",""),"（주）",""),"㈜",""),"주식회사",""),"(유)",""),"（유）",""),"유한회사",""))</f>
        <v/>
      </c>
      <c r="AC575" s="31">
        <f>IF(OR($Y575="",N($Z575)&lt;=0,$AB575=""),0,IFERROR(LOOKUP(2,1/((거래처별!$AC$8:$AC$307&lt;&gt;"")*ISNUMBER(SEARCH(거래처별!$AC$8:$AC$307,$AB575))),거래처별!$A$8:$A$307),IFERROR(LOOKUP(2,1/((거래처별!$AD$8:$AD$307&lt;&gt;"")*ISNUMBER(SEARCH(거래처별!$AD$8:$AD$307,$AB575))),거래처별!$A$8:$A$307),IFERROR(LOOKUP(2,1/((거래처별!$AE$8:$AE$307&lt;&gt;"")*ISNUMBER(SEARCH(거래처별!$AE$8:$AE$307,$AB575))),거래처별!$A$8:$A$307),0))))</f>
        <v/>
      </c>
      <c r="AD575" s="31">
        <f>IF(AND($Y575&lt;&gt;"",N($Z575)&gt;0,$AC575=0),MAX($AD$7:$AD574)+1,"")</f>
        <v/>
      </c>
      <c r="AE575" s="31">
        <f>IF($Y575="",0,$Y575)</f>
        <v/>
      </c>
    </row>
    <row r="576">
      <c r="W576" s="31">
        <f>IF(OR($B$5="",$C$6="",ROW()&lt;$B$5),"",IF(INDEX($A:$U,ROW(),$C$6)="","",INDEX($A:$U,ROW(),$C$6)))</f>
        <v/>
      </c>
      <c r="X576" s="32">
        <f>IF($W576="","",IF(ISNUMBER($W576),IF($W576&gt;=10000000,IFERROR(DATE(INT($W576/10000),MOD(INT($W576/100),100),MOD($W576,100)),""),INT($W576)),IFERROR(DATE(--LEFT(LEFT(SUBSTITUTE(SUBSTITUTE(SUBSTITUTE(SUBSTITUTE(TRIM($W576),"-",""),".",""),"/","")," ",""),8),4),--MID(LEFT(SUBSTITUTE(SUBSTITUTE(SUBSTITUTE(SUBSTITUTE(TRIM($W576),"-",""),".",""),"/","")," ",""),8),5,2),--MID(LEFT(SUBSTITUTE(SUBSTITUTE(SUBSTITUTE(SUBSTITUTE(TRIM($W576),"-",""),".",""),"/","")," ",""),8),7,2)),"")))</f>
        <v/>
      </c>
      <c r="Y576" s="32">
        <f>IF($X576="","",INT($X576))</f>
        <v/>
      </c>
      <c r="Z576" s="33">
        <f>IF(OR($Y576="",$D$6=""),"",IF(INDEX($A:$U,ROW(),$D$6)="",0,IF(ISNUMBER(INDEX($A:$U,ROW(),$D$6)),INDEX($A:$U,ROW(),$D$6),IFERROR(--SUBSTITUTE(SUBSTITUTE(TRIM(INDEX($A:$U,ROW(),$D$6)),",",""),"원",""),0))))</f>
        <v/>
      </c>
      <c r="AA576" s="31">
        <f>IF($Y576="","",TRIM(INDEX($A:$U,ROW(),$E$6)&amp;IF($F$6="",""," "&amp;INDEX($A:$U,ROW(),$F$6))))</f>
        <v/>
      </c>
      <c r="AB576" s="31">
        <f>IF($AA576="","",SUBSTITUTE(SUBSTITUTE(SUBSTITUTE(SUBSTITUTE(SUBSTITUTE(SUBSTITUTE(SUBSTITUTE(SUBSTITUTE(SUBSTITUTE($AA576," ",""),"　",""),"(주)",""),"（주）",""),"㈜",""),"주식회사",""),"(유)",""),"（유）",""),"유한회사",""))</f>
        <v/>
      </c>
      <c r="AC576" s="31">
        <f>IF(OR($Y576="",N($Z576)&lt;=0,$AB576=""),0,IFERROR(LOOKUP(2,1/((거래처별!$AC$8:$AC$307&lt;&gt;"")*ISNUMBER(SEARCH(거래처별!$AC$8:$AC$307,$AB576))),거래처별!$A$8:$A$307),IFERROR(LOOKUP(2,1/((거래처별!$AD$8:$AD$307&lt;&gt;"")*ISNUMBER(SEARCH(거래처별!$AD$8:$AD$307,$AB576))),거래처별!$A$8:$A$307),IFERROR(LOOKUP(2,1/((거래처별!$AE$8:$AE$307&lt;&gt;"")*ISNUMBER(SEARCH(거래처별!$AE$8:$AE$307,$AB576))),거래처별!$A$8:$A$307),0))))</f>
        <v/>
      </c>
      <c r="AD576" s="31">
        <f>IF(AND($Y576&lt;&gt;"",N($Z576)&gt;0,$AC576=0),MAX($AD$7:$AD575)+1,"")</f>
        <v/>
      </c>
      <c r="AE576" s="31">
        <f>IF($Y576="",0,$Y576)</f>
        <v/>
      </c>
    </row>
    <row r="577">
      <c r="W577" s="31">
        <f>IF(OR($B$5="",$C$6="",ROW()&lt;$B$5),"",IF(INDEX($A:$U,ROW(),$C$6)="","",INDEX($A:$U,ROW(),$C$6)))</f>
        <v/>
      </c>
      <c r="X577" s="32">
        <f>IF($W577="","",IF(ISNUMBER($W577),IF($W577&gt;=10000000,IFERROR(DATE(INT($W577/10000),MOD(INT($W577/100),100),MOD($W577,100)),""),INT($W577)),IFERROR(DATE(--LEFT(LEFT(SUBSTITUTE(SUBSTITUTE(SUBSTITUTE(SUBSTITUTE(TRIM($W577),"-",""),".",""),"/","")," ",""),8),4),--MID(LEFT(SUBSTITUTE(SUBSTITUTE(SUBSTITUTE(SUBSTITUTE(TRIM($W577),"-",""),".",""),"/","")," ",""),8),5,2),--MID(LEFT(SUBSTITUTE(SUBSTITUTE(SUBSTITUTE(SUBSTITUTE(TRIM($W577),"-",""),".",""),"/","")," ",""),8),7,2)),"")))</f>
        <v/>
      </c>
      <c r="Y577" s="32">
        <f>IF($X577="","",INT($X577))</f>
        <v/>
      </c>
      <c r="Z577" s="33">
        <f>IF(OR($Y577="",$D$6=""),"",IF(INDEX($A:$U,ROW(),$D$6)="",0,IF(ISNUMBER(INDEX($A:$U,ROW(),$D$6)),INDEX($A:$U,ROW(),$D$6),IFERROR(--SUBSTITUTE(SUBSTITUTE(TRIM(INDEX($A:$U,ROW(),$D$6)),",",""),"원",""),0))))</f>
        <v/>
      </c>
      <c r="AA577" s="31">
        <f>IF($Y577="","",TRIM(INDEX($A:$U,ROW(),$E$6)&amp;IF($F$6="",""," "&amp;INDEX($A:$U,ROW(),$F$6))))</f>
        <v/>
      </c>
      <c r="AB577" s="31">
        <f>IF($AA577="","",SUBSTITUTE(SUBSTITUTE(SUBSTITUTE(SUBSTITUTE(SUBSTITUTE(SUBSTITUTE(SUBSTITUTE(SUBSTITUTE(SUBSTITUTE($AA577," ",""),"　",""),"(주)",""),"（주）",""),"㈜",""),"주식회사",""),"(유)",""),"（유）",""),"유한회사",""))</f>
        <v/>
      </c>
      <c r="AC577" s="31">
        <f>IF(OR($Y577="",N($Z577)&lt;=0,$AB577=""),0,IFERROR(LOOKUP(2,1/((거래처별!$AC$8:$AC$307&lt;&gt;"")*ISNUMBER(SEARCH(거래처별!$AC$8:$AC$307,$AB577))),거래처별!$A$8:$A$307),IFERROR(LOOKUP(2,1/((거래처별!$AD$8:$AD$307&lt;&gt;"")*ISNUMBER(SEARCH(거래처별!$AD$8:$AD$307,$AB577))),거래처별!$A$8:$A$307),IFERROR(LOOKUP(2,1/((거래처별!$AE$8:$AE$307&lt;&gt;"")*ISNUMBER(SEARCH(거래처별!$AE$8:$AE$307,$AB577))),거래처별!$A$8:$A$307),0))))</f>
        <v/>
      </c>
      <c r="AD577" s="31">
        <f>IF(AND($Y577&lt;&gt;"",N($Z577)&gt;0,$AC577=0),MAX($AD$7:$AD576)+1,"")</f>
        <v/>
      </c>
      <c r="AE577" s="31">
        <f>IF($Y577="",0,$Y577)</f>
        <v/>
      </c>
    </row>
    <row r="578">
      <c r="W578" s="31">
        <f>IF(OR($B$5="",$C$6="",ROW()&lt;$B$5),"",IF(INDEX($A:$U,ROW(),$C$6)="","",INDEX($A:$U,ROW(),$C$6)))</f>
        <v/>
      </c>
      <c r="X578" s="32">
        <f>IF($W578="","",IF(ISNUMBER($W578),IF($W578&gt;=10000000,IFERROR(DATE(INT($W578/10000),MOD(INT($W578/100),100),MOD($W578,100)),""),INT($W578)),IFERROR(DATE(--LEFT(LEFT(SUBSTITUTE(SUBSTITUTE(SUBSTITUTE(SUBSTITUTE(TRIM($W578),"-",""),".",""),"/","")," ",""),8),4),--MID(LEFT(SUBSTITUTE(SUBSTITUTE(SUBSTITUTE(SUBSTITUTE(TRIM($W578),"-",""),".",""),"/","")," ",""),8),5,2),--MID(LEFT(SUBSTITUTE(SUBSTITUTE(SUBSTITUTE(SUBSTITUTE(TRIM($W578),"-",""),".",""),"/","")," ",""),8),7,2)),"")))</f>
        <v/>
      </c>
      <c r="Y578" s="32">
        <f>IF($X578="","",INT($X578))</f>
        <v/>
      </c>
      <c r="Z578" s="33">
        <f>IF(OR($Y578="",$D$6=""),"",IF(INDEX($A:$U,ROW(),$D$6)="",0,IF(ISNUMBER(INDEX($A:$U,ROW(),$D$6)),INDEX($A:$U,ROW(),$D$6),IFERROR(--SUBSTITUTE(SUBSTITUTE(TRIM(INDEX($A:$U,ROW(),$D$6)),",",""),"원",""),0))))</f>
        <v/>
      </c>
      <c r="AA578" s="31">
        <f>IF($Y578="","",TRIM(INDEX($A:$U,ROW(),$E$6)&amp;IF($F$6="",""," "&amp;INDEX($A:$U,ROW(),$F$6))))</f>
        <v/>
      </c>
      <c r="AB578" s="31">
        <f>IF($AA578="","",SUBSTITUTE(SUBSTITUTE(SUBSTITUTE(SUBSTITUTE(SUBSTITUTE(SUBSTITUTE(SUBSTITUTE(SUBSTITUTE(SUBSTITUTE($AA578," ",""),"　",""),"(주)",""),"（주）",""),"㈜",""),"주식회사",""),"(유)",""),"（유）",""),"유한회사",""))</f>
        <v/>
      </c>
      <c r="AC578" s="31">
        <f>IF(OR($Y578="",N($Z578)&lt;=0,$AB578=""),0,IFERROR(LOOKUP(2,1/((거래처별!$AC$8:$AC$307&lt;&gt;"")*ISNUMBER(SEARCH(거래처별!$AC$8:$AC$307,$AB578))),거래처별!$A$8:$A$307),IFERROR(LOOKUP(2,1/((거래처별!$AD$8:$AD$307&lt;&gt;"")*ISNUMBER(SEARCH(거래처별!$AD$8:$AD$307,$AB578))),거래처별!$A$8:$A$307),IFERROR(LOOKUP(2,1/((거래처별!$AE$8:$AE$307&lt;&gt;"")*ISNUMBER(SEARCH(거래처별!$AE$8:$AE$307,$AB578))),거래처별!$A$8:$A$307),0))))</f>
        <v/>
      </c>
      <c r="AD578" s="31">
        <f>IF(AND($Y578&lt;&gt;"",N($Z578)&gt;0,$AC578=0),MAX($AD$7:$AD577)+1,"")</f>
        <v/>
      </c>
      <c r="AE578" s="31">
        <f>IF($Y578="",0,$Y578)</f>
        <v/>
      </c>
    </row>
    <row r="579">
      <c r="W579" s="31">
        <f>IF(OR($B$5="",$C$6="",ROW()&lt;$B$5),"",IF(INDEX($A:$U,ROW(),$C$6)="","",INDEX($A:$U,ROW(),$C$6)))</f>
        <v/>
      </c>
      <c r="X579" s="32">
        <f>IF($W579="","",IF(ISNUMBER($W579),IF($W579&gt;=10000000,IFERROR(DATE(INT($W579/10000),MOD(INT($W579/100),100),MOD($W579,100)),""),INT($W579)),IFERROR(DATE(--LEFT(LEFT(SUBSTITUTE(SUBSTITUTE(SUBSTITUTE(SUBSTITUTE(TRIM($W579),"-",""),".",""),"/","")," ",""),8),4),--MID(LEFT(SUBSTITUTE(SUBSTITUTE(SUBSTITUTE(SUBSTITUTE(TRIM($W579),"-",""),".",""),"/","")," ",""),8),5,2),--MID(LEFT(SUBSTITUTE(SUBSTITUTE(SUBSTITUTE(SUBSTITUTE(TRIM($W579),"-",""),".",""),"/","")," ",""),8),7,2)),"")))</f>
        <v/>
      </c>
      <c r="Y579" s="32">
        <f>IF($X579="","",INT($X579))</f>
        <v/>
      </c>
      <c r="Z579" s="33">
        <f>IF(OR($Y579="",$D$6=""),"",IF(INDEX($A:$U,ROW(),$D$6)="",0,IF(ISNUMBER(INDEX($A:$U,ROW(),$D$6)),INDEX($A:$U,ROW(),$D$6),IFERROR(--SUBSTITUTE(SUBSTITUTE(TRIM(INDEX($A:$U,ROW(),$D$6)),",",""),"원",""),0))))</f>
        <v/>
      </c>
      <c r="AA579" s="31">
        <f>IF($Y579="","",TRIM(INDEX($A:$U,ROW(),$E$6)&amp;IF($F$6="",""," "&amp;INDEX($A:$U,ROW(),$F$6))))</f>
        <v/>
      </c>
      <c r="AB579" s="31">
        <f>IF($AA579="","",SUBSTITUTE(SUBSTITUTE(SUBSTITUTE(SUBSTITUTE(SUBSTITUTE(SUBSTITUTE(SUBSTITUTE(SUBSTITUTE(SUBSTITUTE($AA579," ",""),"　",""),"(주)",""),"（주）",""),"㈜",""),"주식회사",""),"(유)",""),"（유）",""),"유한회사",""))</f>
        <v/>
      </c>
      <c r="AC579" s="31">
        <f>IF(OR($Y579="",N($Z579)&lt;=0,$AB579=""),0,IFERROR(LOOKUP(2,1/((거래처별!$AC$8:$AC$307&lt;&gt;"")*ISNUMBER(SEARCH(거래처별!$AC$8:$AC$307,$AB579))),거래처별!$A$8:$A$307),IFERROR(LOOKUP(2,1/((거래처별!$AD$8:$AD$307&lt;&gt;"")*ISNUMBER(SEARCH(거래처별!$AD$8:$AD$307,$AB579))),거래처별!$A$8:$A$307),IFERROR(LOOKUP(2,1/((거래처별!$AE$8:$AE$307&lt;&gt;"")*ISNUMBER(SEARCH(거래처별!$AE$8:$AE$307,$AB579))),거래처별!$A$8:$A$307),0))))</f>
        <v/>
      </c>
      <c r="AD579" s="31">
        <f>IF(AND($Y579&lt;&gt;"",N($Z579)&gt;0,$AC579=0),MAX($AD$7:$AD578)+1,"")</f>
        <v/>
      </c>
      <c r="AE579" s="31">
        <f>IF($Y579="",0,$Y579)</f>
        <v/>
      </c>
    </row>
    <row r="580">
      <c r="W580" s="31">
        <f>IF(OR($B$5="",$C$6="",ROW()&lt;$B$5),"",IF(INDEX($A:$U,ROW(),$C$6)="","",INDEX($A:$U,ROW(),$C$6)))</f>
        <v/>
      </c>
      <c r="X580" s="32">
        <f>IF($W580="","",IF(ISNUMBER($W580),IF($W580&gt;=10000000,IFERROR(DATE(INT($W580/10000),MOD(INT($W580/100),100),MOD($W580,100)),""),INT($W580)),IFERROR(DATE(--LEFT(LEFT(SUBSTITUTE(SUBSTITUTE(SUBSTITUTE(SUBSTITUTE(TRIM($W580),"-",""),".",""),"/","")," ",""),8),4),--MID(LEFT(SUBSTITUTE(SUBSTITUTE(SUBSTITUTE(SUBSTITUTE(TRIM($W580),"-",""),".",""),"/","")," ",""),8),5,2),--MID(LEFT(SUBSTITUTE(SUBSTITUTE(SUBSTITUTE(SUBSTITUTE(TRIM($W580),"-",""),".",""),"/","")," ",""),8),7,2)),"")))</f>
        <v/>
      </c>
      <c r="Y580" s="32">
        <f>IF($X580="","",INT($X580))</f>
        <v/>
      </c>
      <c r="Z580" s="33">
        <f>IF(OR($Y580="",$D$6=""),"",IF(INDEX($A:$U,ROW(),$D$6)="",0,IF(ISNUMBER(INDEX($A:$U,ROW(),$D$6)),INDEX($A:$U,ROW(),$D$6),IFERROR(--SUBSTITUTE(SUBSTITUTE(TRIM(INDEX($A:$U,ROW(),$D$6)),",",""),"원",""),0))))</f>
        <v/>
      </c>
      <c r="AA580" s="31">
        <f>IF($Y580="","",TRIM(INDEX($A:$U,ROW(),$E$6)&amp;IF($F$6="",""," "&amp;INDEX($A:$U,ROW(),$F$6))))</f>
        <v/>
      </c>
      <c r="AB580" s="31">
        <f>IF($AA580="","",SUBSTITUTE(SUBSTITUTE(SUBSTITUTE(SUBSTITUTE(SUBSTITUTE(SUBSTITUTE(SUBSTITUTE(SUBSTITUTE(SUBSTITUTE($AA580," ",""),"　",""),"(주)",""),"（주）",""),"㈜",""),"주식회사",""),"(유)",""),"（유）",""),"유한회사",""))</f>
        <v/>
      </c>
      <c r="AC580" s="31">
        <f>IF(OR($Y580="",N($Z580)&lt;=0,$AB580=""),0,IFERROR(LOOKUP(2,1/((거래처별!$AC$8:$AC$307&lt;&gt;"")*ISNUMBER(SEARCH(거래처별!$AC$8:$AC$307,$AB580))),거래처별!$A$8:$A$307),IFERROR(LOOKUP(2,1/((거래처별!$AD$8:$AD$307&lt;&gt;"")*ISNUMBER(SEARCH(거래처별!$AD$8:$AD$307,$AB580))),거래처별!$A$8:$A$307),IFERROR(LOOKUP(2,1/((거래처별!$AE$8:$AE$307&lt;&gt;"")*ISNUMBER(SEARCH(거래처별!$AE$8:$AE$307,$AB580))),거래처별!$A$8:$A$307),0))))</f>
        <v/>
      </c>
      <c r="AD580" s="31">
        <f>IF(AND($Y580&lt;&gt;"",N($Z580)&gt;0,$AC580=0),MAX($AD$7:$AD579)+1,"")</f>
        <v/>
      </c>
      <c r="AE580" s="31">
        <f>IF($Y580="",0,$Y580)</f>
        <v/>
      </c>
    </row>
    <row r="581">
      <c r="W581" s="31">
        <f>IF(OR($B$5="",$C$6="",ROW()&lt;$B$5),"",IF(INDEX($A:$U,ROW(),$C$6)="","",INDEX($A:$U,ROW(),$C$6)))</f>
        <v/>
      </c>
      <c r="X581" s="32">
        <f>IF($W581="","",IF(ISNUMBER($W581),IF($W581&gt;=10000000,IFERROR(DATE(INT($W581/10000),MOD(INT($W581/100),100),MOD($W581,100)),""),INT($W581)),IFERROR(DATE(--LEFT(LEFT(SUBSTITUTE(SUBSTITUTE(SUBSTITUTE(SUBSTITUTE(TRIM($W581),"-",""),".",""),"/","")," ",""),8),4),--MID(LEFT(SUBSTITUTE(SUBSTITUTE(SUBSTITUTE(SUBSTITUTE(TRIM($W581),"-",""),".",""),"/","")," ",""),8),5,2),--MID(LEFT(SUBSTITUTE(SUBSTITUTE(SUBSTITUTE(SUBSTITUTE(TRIM($W581),"-",""),".",""),"/","")," ",""),8),7,2)),"")))</f>
        <v/>
      </c>
      <c r="Y581" s="32">
        <f>IF($X581="","",INT($X581))</f>
        <v/>
      </c>
      <c r="Z581" s="33">
        <f>IF(OR($Y581="",$D$6=""),"",IF(INDEX($A:$U,ROW(),$D$6)="",0,IF(ISNUMBER(INDEX($A:$U,ROW(),$D$6)),INDEX($A:$U,ROW(),$D$6),IFERROR(--SUBSTITUTE(SUBSTITUTE(TRIM(INDEX($A:$U,ROW(),$D$6)),",",""),"원",""),0))))</f>
        <v/>
      </c>
      <c r="AA581" s="31">
        <f>IF($Y581="","",TRIM(INDEX($A:$U,ROW(),$E$6)&amp;IF($F$6="",""," "&amp;INDEX($A:$U,ROW(),$F$6))))</f>
        <v/>
      </c>
      <c r="AB581" s="31">
        <f>IF($AA581="","",SUBSTITUTE(SUBSTITUTE(SUBSTITUTE(SUBSTITUTE(SUBSTITUTE(SUBSTITUTE(SUBSTITUTE(SUBSTITUTE(SUBSTITUTE($AA581," ",""),"　",""),"(주)",""),"（주）",""),"㈜",""),"주식회사",""),"(유)",""),"（유）",""),"유한회사",""))</f>
        <v/>
      </c>
      <c r="AC581" s="31">
        <f>IF(OR($Y581="",N($Z581)&lt;=0,$AB581=""),0,IFERROR(LOOKUP(2,1/((거래처별!$AC$8:$AC$307&lt;&gt;"")*ISNUMBER(SEARCH(거래처별!$AC$8:$AC$307,$AB581))),거래처별!$A$8:$A$307),IFERROR(LOOKUP(2,1/((거래처별!$AD$8:$AD$307&lt;&gt;"")*ISNUMBER(SEARCH(거래처별!$AD$8:$AD$307,$AB581))),거래처별!$A$8:$A$307),IFERROR(LOOKUP(2,1/((거래처별!$AE$8:$AE$307&lt;&gt;"")*ISNUMBER(SEARCH(거래처별!$AE$8:$AE$307,$AB581))),거래처별!$A$8:$A$307),0))))</f>
        <v/>
      </c>
      <c r="AD581" s="31">
        <f>IF(AND($Y581&lt;&gt;"",N($Z581)&gt;0,$AC581=0),MAX($AD$7:$AD580)+1,"")</f>
        <v/>
      </c>
      <c r="AE581" s="31">
        <f>IF($Y581="",0,$Y581)</f>
        <v/>
      </c>
    </row>
    <row r="582">
      <c r="W582" s="31">
        <f>IF(OR($B$5="",$C$6="",ROW()&lt;$B$5),"",IF(INDEX($A:$U,ROW(),$C$6)="","",INDEX($A:$U,ROW(),$C$6)))</f>
        <v/>
      </c>
      <c r="X582" s="32">
        <f>IF($W582="","",IF(ISNUMBER($W582),IF($W582&gt;=10000000,IFERROR(DATE(INT($W582/10000),MOD(INT($W582/100),100),MOD($W582,100)),""),INT($W582)),IFERROR(DATE(--LEFT(LEFT(SUBSTITUTE(SUBSTITUTE(SUBSTITUTE(SUBSTITUTE(TRIM($W582),"-",""),".",""),"/","")," ",""),8),4),--MID(LEFT(SUBSTITUTE(SUBSTITUTE(SUBSTITUTE(SUBSTITUTE(TRIM($W582),"-",""),".",""),"/","")," ",""),8),5,2),--MID(LEFT(SUBSTITUTE(SUBSTITUTE(SUBSTITUTE(SUBSTITUTE(TRIM($W582),"-",""),".",""),"/","")," ",""),8),7,2)),"")))</f>
        <v/>
      </c>
      <c r="Y582" s="32">
        <f>IF($X582="","",INT($X582))</f>
        <v/>
      </c>
      <c r="Z582" s="33">
        <f>IF(OR($Y582="",$D$6=""),"",IF(INDEX($A:$U,ROW(),$D$6)="",0,IF(ISNUMBER(INDEX($A:$U,ROW(),$D$6)),INDEX($A:$U,ROW(),$D$6),IFERROR(--SUBSTITUTE(SUBSTITUTE(TRIM(INDEX($A:$U,ROW(),$D$6)),",",""),"원",""),0))))</f>
        <v/>
      </c>
      <c r="AA582" s="31">
        <f>IF($Y582="","",TRIM(INDEX($A:$U,ROW(),$E$6)&amp;IF($F$6="",""," "&amp;INDEX($A:$U,ROW(),$F$6))))</f>
        <v/>
      </c>
      <c r="AB582" s="31">
        <f>IF($AA582="","",SUBSTITUTE(SUBSTITUTE(SUBSTITUTE(SUBSTITUTE(SUBSTITUTE(SUBSTITUTE(SUBSTITUTE(SUBSTITUTE(SUBSTITUTE($AA582," ",""),"　",""),"(주)",""),"（주）",""),"㈜",""),"주식회사",""),"(유)",""),"（유）",""),"유한회사",""))</f>
        <v/>
      </c>
      <c r="AC582" s="31">
        <f>IF(OR($Y582="",N($Z582)&lt;=0,$AB582=""),0,IFERROR(LOOKUP(2,1/((거래처별!$AC$8:$AC$307&lt;&gt;"")*ISNUMBER(SEARCH(거래처별!$AC$8:$AC$307,$AB582))),거래처별!$A$8:$A$307),IFERROR(LOOKUP(2,1/((거래처별!$AD$8:$AD$307&lt;&gt;"")*ISNUMBER(SEARCH(거래처별!$AD$8:$AD$307,$AB582))),거래처별!$A$8:$A$307),IFERROR(LOOKUP(2,1/((거래처별!$AE$8:$AE$307&lt;&gt;"")*ISNUMBER(SEARCH(거래처별!$AE$8:$AE$307,$AB582))),거래처별!$A$8:$A$307),0))))</f>
        <v/>
      </c>
      <c r="AD582" s="31">
        <f>IF(AND($Y582&lt;&gt;"",N($Z582)&gt;0,$AC582=0),MAX($AD$7:$AD581)+1,"")</f>
        <v/>
      </c>
      <c r="AE582" s="31">
        <f>IF($Y582="",0,$Y582)</f>
        <v/>
      </c>
    </row>
    <row r="583">
      <c r="W583" s="31">
        <f>IF(OR($B$5="",$C$6="",ROW()&lt;$B$5),"",IF(INDEX($A:$U,ROW(),$C$6)="","",INDEX($A:$U,ROW(),$C$6)))</f>
        <v/>
      </c>
      <c r="X583" s="32">
        <f>IF($W583="","",IF(ISNUMBER($W583),IF($W583&gt;=10000000,IFERROR(DATE(INT($W583/10000),MOD(INT($W583/100),100),MOD($W583,100)),""),INT($W583)),IFERROR(DATE(--LEFT(LEFT(SUBSTITUTE(SUBSTITUTE(SUBSTITUTE(SUBSTITUTE(TRIM($W583),"-",""),".",""),"/","")," ",""),8),4),--MID(LEFT(SUBSTITUTE(SUBSTITUTE(SUBSTITUTE(SUBSTITUTE(TRIM($W583),"-",""),".",""),"/","")," ",""),8),5,2),--MID(LEFT(SUBSTITUTE(SUBSTITUTE(SUBSTITUTE(SUBSTITUTE(TRIM($W583),"-",""),".",""),"/","")," ",""),8),7,2)),"")))</f>
        <v/>
      </c>
      <c r="Y583" s="32">
        <f>IF($X583="","",INT($X583))</f>
        <v/>
      </c>
      <c r="Z583" s="33">
        <f>IF(OR($Y583="",$D$6=""),"",IF(INDEX($A:$U,ROW(),$D$6)="",0,IF(ISNUMBER(INDEX($A:$U,ROW(),$D$6)),INDEX($A:$U,ROW(),$D$6),IFERROR(--SUBSTITUTE(SUBSTITUTE(TRIM(INDEX($A:$U,ROW(),$D$6)),",",""),"원",""),0))))</f>
        <v/>
      </c>
      <c r="AA583" s="31">
        <f>IF($Y583="","",TRIM(INDEX($A:$U,ROW(),$E$6)&amp;IF($F$6="",""," "&amp;INDEX($A:$U,ROW(),$F$6))))</f>
        <v/>
      </c>
      <c r="AB583" s="31">
        <f>IF($AA583="","",SUBSTITUTE(SUBSTITUTE(SUBSTITUTE(SUBSTITUTE(SUBSTITUTE(SUBSTITUTE(SUBSTITUTE(SUBSTITUTE(SUBSTITUTE($AA583," ",""),"　",""),"(주)",""),"（주）",""),"㈜",""),"주식회사",""),"(유)",""),"（유）",""),"유한회사",""))</f>
        <v/>
      </c>
      <c r="AC583" s="31">
        <f>IF(OR($Y583="",N($Z583)&lt;=0,$AB583=""),0,IFERROR(LOOKUP(2,1/((거래처별!$AC$8:$AC$307&lt;&gt;"")*ISNUMBER(SEARCH(거래처별!$AC$8:$AC$307,$AB583))),거래처별!$A$8:$A$307),IFERROR(LOOKUP(2,1/((거래처별!$AD$8:$AD$307&lt;&gt;"")*ISNUMBER(SEARCH(거래처별!$AD$8:$AD$307,$AB583))),거래처별!$A$8:$A$307),IFERROR(LOOKUP(2,1/((거래처별!$AE$8:$AE$307&lt;&gt;"")*ISNUMBER(SEARCH(거래처별!$AE$8:$AE$307,$AB583))),거래처별!$A$8:$A$307),0))))</f>
        <v/>
      </c>
      <c r="AD583" s="31">
        <f>IF(AND($Y583&lt;&gt;"",N($Z583)&gt;0,$AC583=0),MAX($AD$7:$AD582)+1,"")</f>
        <v/>
      </c>
      <c r="AE583" s="31">
        <f>IF($Y583="",0,$Y583)</f>
        <v/>
      </c>
    </row>
    <row r="584">
      <c r="W584" s="31">
        <f>IF(OR($B$5="",$C$6="",ROW()&lt;$B$5),"",IF(INDEX($A:$U,ROW(),$C$6)="","",INDEX($A:$U,ROW(),$C$6)))</f>
        <v/>
      </c>
      <c r="X584" s="32">
        <f>IF($W584="","",IF(ISNUMBER($W584),IF($W584&gt;=10000000,IFERROR(DATE(INT($W584/10000),MOD(INT($W584/100),100),MOD($W584,100)),""),INT($W584)),IFERROR(DATE(--LEFT(LEFT(SUBSTITUTE(SUBSTITUTE(SUBSTITUTE(SUBSTITUTE(TRIM($W584),"-",""),".",""),"/","")," ",""),8),4),--MID(LEFT(SUBSTITUTE(SUBSTITUTE(SUBSTITUTE(SUBSTITUTE(TRIM($W584),"-",""),".",""),"/","")," ",""),8),5,2),--MID(LEFT(SUBSTITUTE(SUBSTITUTE(SUBSTITUTE(SUBSTITUTE(TRIM($W584),"-",""),".",""),"/","")," ",""),8),7,2)),"")))</f>
        <v/>
      </c>
      <c r="Y584" s="32">
        <f>IF($X584="","",INT($X584))</f>
        <v/>
      </c>
      <c r="Z584" s="33">
        <f>IF(OR($Y584="",$D$6=""),"",IF(INDEX($A:$U,ROW(),$D$6)="",0,IF(ISNUMBER(INDEX($A:$U,ROW(),$D$6)),INDEX($A:$U,ROW(),$D$6),IFERROR(--SUBSTITUTE(SUBSTITUTE(TRIM(INDEX($A:$U,ROW(),$D$6)),",",""),"원",""),0))))</f>
        <v/>
      </c>
      <c r="AA584" s="31">
        <f>IF($Y584="","",TRIM(INDEX($A:$U,ROW(),$E$6)&amp;IF($F$6="",""," "&amp;INDEX($A:$U,ROW(),$F$6))))</f>
        <v/>
      </c>
      <c r="AB584" s="31">
        <f>IF($AA584="","",SUBSTITUTE(SUBSTITUTE(SUBSTITUTE(SUBSTITUTE(SUBSTITUTE(SUBSTITUTE(SUBSTITUTE(SUBSTITUTE(SUBSTITUTE($AA584," ",""),"　",""),"(주)",""),"（주）",""),"㈜",""),"주식회사",""),"(유)",""),"（유）",""),"유한회사",""))</f>
        <v/>
      </c>
      <c r="AC584" s="31">
        <f>IF(OR($Y584="",N($Z584)&lt;=0,$AB584=""),0,IFERROR(LOOKUP(2,1/((거래처별!$AC$8:$AC$307&lt;&gt;"")*ISNUMBER(SEARCH(거래처별!$AC$8:$AC$307,$AB584))),거래처별!$A$8:$A$307),IFERROR(LOOKUP(2,1/((거래처별!$AD$8:$AD$307&lt;&gt;"")*ISNUMBER(SEARCH(거래처별!$AD$8:$AD$307,$AB584))),거래처별!$A$8:$A$307),IFERROR(LOOKUP(2,1/((거래처별!$AE$8:$AE$307&lt;&gt;"")*ISNUMBER(SEARCH(거래처별!$AE$8:$AE$307,$AB584))),거래처별!$A$8:$A$307),0))))</f>
        <v/>
      </c>
      <c r="AD584" s="31">
        <f>IF(AND($Y584&lt;&gt;"",N($Z584)&gt;0,$AC584=0),MAX($AD$7:$AD583)+1,"")</f>
        <v/>
      </c>
      <c r="AE584" s="31">
        <f>IF($Y584="",0,$Y584)</f>
        <v/>
      </c>
    </row>
    <row r="585">
      <c r="W585" s="31">
        <f>IF(OR($B$5="",$C$6="",ROW()&lt;$B$5),"",IF(INDEX($A:$U,ROW(),$C$6)="","",INDEX($A:$U,ROW(),$C$6)))</f>
        <v/>
      </c>
      <c r="X585" s="32">
        <f>IF($W585="","",IF(ISNUMBER($W585),IF($W585&gt;=10000000,IFERROR(DATE(INT($W585/10000),MOD(INT($W585/100),100),MOD($W585,100)),""),INT($W585)),IFERROR(DATE(--LEFT(LEFT(SUBSTITUTE(SUBSTITUTE(SUBSTITUTE(SUBSTITUTE(TRIM($W585),"-",""),".",""),"/","")," ",""),8),4),--MID(LEFT(SUBSTITUTE(SUBSTITUTE(SUBSTITUTE(SUBSTITUTE(TRIM($W585),"-",""),".",""),"/","")," ",""),8),5,2),--MID(LEFT(SUBSTITUTE(SUBSTITUTE(SUBSTITUTE(SUBSTITUTE(TRIM($W585),"-",""),".",""),"/","")," ",""),8),7,2)),"")))</f>
        <v/>
      </c>
      <c r="Y585" s="32">
        <f>IF($X585="","",INT($X585))</f>
        <v/>
      </c>
      <c r="Z585" s="33">
        <f>IF(OR($Y585="",$D$6=""),"",IF(INDEX($A:$U,ROW(),$D$6)="",0,IF(ISNUMBER(INDEX($A:$U,ROW(),$D$6)),INDEX($A:$U,ROW(),$D$6),IFERROR(--SUBSTITUTE(SUBSTITUTE(TRIM(INDEX($A:$U,ROW(),$D$6)),",",""),"원",""),0))))</f>
        <v/>
      </c>
      <c r="AA585" s="31">
        <f>IF($Y585="","",TRIM(INDEX($A:$U,ROW(),$E$6)&amp;IF($F$6="",""," "&amp;INDEX($A:$U,ROW(),$F$6))))</f>
        <v/>
      </c>
      <c r="AB585" s="31">
        <f>IF($AA585="","",SUBSTITUTE(SUBSTITUTE(SUBSTITUTE(SUBSTITUTE(SUBSTITUTE(SUBSTITUTE(SUBSTITUTE(SUBSTITUTE(SUBSTITUTE($AA585," ",""),"　",""),"(주)",""),"（주）",""),"㈜",""),"주식회사",""),"(유)",""),"（유）",""),"유한회사",""))</f>
        <v/>
      </c>
      <c r="AC585" s="31">
        <f>IF(OR($Y585="",N($Z585)&lt;=0,$AB585=""),0,IFERROR(LOOKUP(2,1/((거래처별!$AC$8:$AC$307&lt;&gt;"")*ISNUMBER(SEARCH(거래처별!$AC$8:$AC$307,$AB585))),거래처별!$A$8:$A$307),IFERROR(LOOKUP(2,1/((거래처별!$AD$8:$AD$307&lt;&gt;"")*ISNUMBER(SEARCH(거래처별!$AD$8:$AD$307,$AB585))),거래처별!$A$8:$A$307),IFERROR(LOOKUP(2,1/((거래처별!$AE$8:$AE$307&lt;&gt;"")*ISNUMBER(SEARCH(거래처별!$AE$8:$AE$307,$AB585))),거래처별!$A$8:$A$307),0))))</f>
        <v/>
      </c>
      <c r="AD585" s="31">
        <f>IF(AND($Y585&lt;&gt;"",N($Z585)&gt;0,$AC585=0),MAX($AD$7:$AD584)+1,"")</f>
        <v/>
      </c>
      <c r="AE585" s="31">
        <f>IF($Y585="",0,$Y585)</f>
        <v/>
      </c>
    </row>
    <row r="586">
      <c r="W586" s="31">
        <f>IF(OR($B$5="",$C$6="",ROW()&lt;$B$5),"",IF(INDEX($A:$U,ROW(),$C$6)="","",INDEX($A:$U,ROW(),$C$6)))</f>
        <v/>
      </c>
      <c r="X586" s="32">
        <f>IF($W586="","",IF(ISNUMBER($W586),IF($W586&gt;=10000000,IFERROR(DATE(INT($W586/10000),MOD(INT($W586/100),100),MOD($W586,100)),""),INT($W586)),IFERROR(DATE(--LEFT(LEFT(SUBSTITUTE(SUBSTITUTE(SUBSTITUTE(SUBSTITUTE(TRIM($W586),"-",""),".",""),"/","")," ",""),8),4),--MID(LEFT(SUBSTITUTE(SUBSTITUTE(SUBSTITUTE(SUBSTITUTE(TRIM($W586),"-",""),".",""),"/","")," ",""),8),5,2),--MID(LEFT(SUBSTITUTE(SUBSTITUTE(SUBSTITUTE(SUBSTITUTE(TRIM($W586),"-",""),".",""),"/","")," ",""),8),7,2)),"")))</f>
        <v/>
      </c>
      <c r="Y586" s="32">
        <f>IF($X586="","",INT($X586))</f>
        <v/>
      </c>
      <c r="Z586" s="33">
        <f>IF(OR($Y586="",$D$6=""),"",IF(INDEX($A:$U,ROW(),$D$6)="",0,IF(ISNUMBER(INDEX($A:$U,ROW(),$D$6)),INDEX($A:$U,ROW(),$D$6),IFERROR(--SUBSTITUTE(SUBSTITUTE(TRIM(INDEX($A:$U,ROW(),$D$6)),",",""),"원",""),0))))</f>
        <v/>
      </c>
      <c r="AA586" s="31">
        <f>IF($Y586="","",TRIM(INDEX($A:$U,ROW(),$E$6)&amp;IF($F$6="",""," "&amp;INDEX($A:$U,ROW(),$F$6))))</f>
        <v/>
      </c>
      <c r="AB586" s="31">
        <f>IF($AA586="","",SUBSTITUTE(SUBSTITUTE(SUBSTITUTE(SUBSTITUTE(SUBSTITUTE(SUBSTITUTE(SUBSTITUTE(SUBSTITUTE(SUBSTITUTE($AA586," ",""),"　",""),"(주)",""),"（주）",""),"㈜",""),"주식회사",""),"(유)",""),"（유）",""),"유한회사",""))</f>
        <v/>
      </c>
      <c r="AC586" s="31">
        <f>IF(OR($Y586="",N($Z586)&lt;=0,$AB586=""),0,IFERROR(LOOKUP(2,1/((거래처별!$AC$8:$AC$307&lt;&gt;"")*ISNUMBER(SEARCH(거래처별!$AC$8:$AC$307,$AB586))),거래처별!$A$8:$A$307),IFERROR(LOOKUP(2,1/((거래처별!$AD$8:$AD$307&lt;&gt;"")*ISNUMBER(SEARCH(거래처별!$AD$8:$AD$307,$AB586))),거래처별!$A$8:$A$307),IFERROR(LOOKUP(2,1/((거래처별!$AE$8:$AE$307&lt;&gt;"")*ISNUMBER(SEARCH(거래처별!$AE$8:$AE$307,$AB586))),거래처별!$A$8:$A$307),0))))</f>
        <v/>
      </c>
      <c r="AD586" s="31">
        <f>IF(AND($Y586&lt;&gt;"",N($Z586)&gt;0,$AC586=0),MAX($AD$7:$AD585)+1,"")</f>
        <v/>
      </c>
      <c r="AE586" s="31">
        <f>IF($Y586="",0,$Y586)</f>
        <v/>
      </c>
    </row>
    <row r="587">
      <c r="W587" s="31">
        <f>IF(OR($B$5="",$C$6="",ROW()&lt;$B$5),"",IF(INDEX($A:$U,ROW(),$C$6)="","",INDEX($A:$U,ROW(),$C$6)))</f>
        <v/>
      </c>
      <c r="X587" s="32">
        <f>IF($W587="","",IF(ISNUMBER($W587),IF($W587&gt;=10000000,IFERROR(DATE(INT($W587/10000),MOD(INT($W587/100),100),MOD($W587,100)),""),INT($W587)),IFERROR(DATE(--LEFT(LEFT(SUBSTITUTE(SUBSTITUTE(SUBSTITUTE(SUBSTITUTE(TRIM($W587),"-",""),".",""),"/","")," ",""),8),4),--MID(LEFT(SUBSTITUTE(SUBSTITUTE(SUBSTITUTE(SUBSTITUTE(TRIM($W587),"-",""),".",""),"/","")," ",""),8),5,2),--MID(LEFT(SUBSTITUTE(SUBSTITUTE(SUBSTITUTE(SUBSTITUTE(TRIM($W587),"-",""),".",""),"/","")," ",""),8),7,2)),"")))</f>
        <v/>
      </c>
      <c r="Y587" s="32">
        <f>IF($X587="","",INT($X587))</f>
        <v/>
      </c>
      <c r="Z587" s="33">
        <f>IF(OR($Y587="",$D$6=""),"",IF(INDEX($A:$U,ROW(),$D$6)="",0,IF(ISNUMBER(INDEX($A:$U,ROW(),$D$6)),INDEX($A:$U,ROW(),$D$6),IFERROR(--SUBSTITUTE(SUBSTITUTE(TRIM(INDEX($A:$U,ROW(),$D$6)),",",""),"원",""),0))))</f>
        <v/>
      </c>
      <c r="AA587" s="31">
        <f>IF($Y587="","",TRIM(INDEX($A:$U,ROW(),$E$6)&amp;IF($F$6="",""," "&amp;INDEX($A:$U,ROW(),$F$6))))</f>
        <v/>
      </c>
      <c r="AB587" s="31">
        <f>IF($AA587="","",SUBSTITUTE(SUBSTITUTE(SUBSTITUTE(SUBSTITUTE(SUBSTITUTE(SUBSTITUTE(SUBSTITUTE(SUBSTITUTE(SUBSTITUTE($AA587," ",""),"　",""),"(주)",""),"（주）",""),"㈜",""),"주식회사",""),"(유)",""),"（유）",""),"유한회사",""))</f>
        <v/>
      </c>
      <c r="AC587" s="31">
        <f>IF(OR($Y587="",N($Z587)&lt;=0,$AB587=""),0,IFERROR(LOOKUP(2,1/((거래처별!$AC$8:$AC$307&lt;&gt;"")*ISNUMBER(SEARCH(거래처별!$AC$8:$AC$307,$AB587))),거래처별!$A$8:$A$307),IFERROR(LOOKUP(2,1/((거래처별!$AD$8:$AD$307&lt;&gt;"")*ISNUMBER(SEARCH(거래처별!$AD$8:$AD$307,$AB587))),거래처별!$A$8:$A$307),IFERROR(LOOKUP(2,1/((거래처별!$AE$8:$AE$307&lt;&gt;"")*ISNUMBER(SEARCH(거래처별!$AE$8:$AE$307,$AB587))),거래처별!$A$8:$A$307),0))))</f>
        <v/>
      </c>
      <c r="AD587" s="31">
        <f>IF(AND($Y587&lt;&gt;"",N($Z587)&gt;0,$AC587=0),MAX($AD$7:$AD586)+1,"")</f>
        <v/>
      </c>
      <c r="AE587" s="31">
        <f>IF($Y587="",0,$Y587)</f>
        <v/>
      </c>
    </row>
    <row r="588">
      <c r="W588" s="31">
        <f>IF(OR($B$5="",$C$6="",ROW()&lt;$B$5),"",IF(INDEX($A:$U,ROW(),$C$6)="","",INDEX($A:$U,ROW(),$C$6)))</f>
        <v/>
      </c>
      <c r="X588" s="32">
        <f>IF($W588="","",IF(ISNUMBER($W588),IF($W588&gt;=10000000,IFERROR(DATE(INT($W588/10000),MOD(INT($W588/100),100),MOD($W588,100)),""),INT($W588)),IFERROR(DATE(--LEFT(LEFT(SUBSTITUTE(SUBSTITUTE(SUBSTITUTE(SUBSTITUTE(TRIM($W588),"-",""),".",""),"/","")," ",""),8),4),--MID(LEFT(SUBSTITUTE(SUBSTITUTE(SUBSTITUTE(SUBSTITUTE(TRIM($W588),"-",""),".",""),"/","")," ",""),8),5,2),--MID(LEFT(SUBSTITUTE(SUBSTITUTE(SUBSTITUTE(SUBSTITUTE(TRIM($W588),"-",""),".",""),"/","")," ",""),8),7,2)),"")))</f>
        <v/>
      </c>
      <c r="Y588" s="32">
        <f>IF($X588="","",INT($X588))</f>
        <v/>
      </c>
      <c r="Z588" s="33">
        <f>IF(OR($Y588="",$D$6=""),"",IF(INDEX($A:$U,ROW(),$D$6)="",0,IF(ISNUMBER(INDEX($A:$U,ROW(),$D$6)),INDEX($A:$U,ROW(),$D$6),IFERROR(--SUBSTITUTE(SUBSTITUTE(TRIM(INDEX($A:$U,ROW(),$D$6)),",",""),"원",""),0))))</f>
        <v/>
      </c>
      <c r="AA588" s="31">
        <f>IF($Y588="","",TRIM(INDEX($A:$U,ROW(),$E$6)&amp;IF($F$6="",""," "&amp;INDEX($A:$U,ROW(),$F$6))))</f>
        <v/>
      </c>
      <c r="AB588" s="31">
        <f>IF($AA588="","",SUBSTITUTE(SUBSTITUTE(SUBSTITUTE(SUBSTITUTE(SUBSTITUTE(SUBSTITUTE(SUBSTITUTE(SUBSTITUTE(SUBSTITUTE($AA588," ",""),"　",""),"(주)",""),"（주）",""),"㈜",""),"주식회사",""),"(유)",""),"（유）",""),"유한회사",""))</f>
        <v/>
      </c>
      <c r="AC588" s="31">
        <f>IF(OR($Y588="",N($Z588)&lt;=0,$AB588=""),0,IFERROR(LOOKUP(2,1/((거래처별!$AC$8:$AC$307&lt;&gt;"")*ISNUMBER(SEARCH(거래처별!$AC$8:$AC$307,$AB588))),거래처별!$A$8:$A$307),IFERROR(LOOKUP(2,1/((거래처별!$AD$8:$AD$307&lt;&gt;"")*ISNUMBER(SEARCH(거래처별!$AD$8:$AD$307,$AB588))),거래처별!$A$8:$A$307),IFERROR(LOOKUP(2,1/((거래처별!$AE$8:$AE$307&lt;&gt;"")*ISNUMBER(SEARCH(거래처별!$AE$8:$AE$307,$AB588))),거래처별!$A$8:$A$307),0))))</f>
        <v/>
      </c>
      <c r="AD588" s="31">
        <f>IF(AND($Y588&lt;&gt;"",N($Z588)&gt;0,$AC588=0),MAX($AD$7:$AD587)+1,"")</f>
        <v/>
      </c>
      <c r="AE588" s="31">
        <f>IF($Y588="",0,$Y588)</f>
        <v/>
      </c>
    </row>
    <row r="589">
      <c r="W589" s="31">
        <f>IF(OR($B$5="",$C$6="",ROW()&lt;$B$5),"",IF(INDEX($A:$U,ROW(),$C$6)="","",INDEX($A:$U,ROW(),$C$6)))</f>
        <v/>
      </c>
      <c r="X589" s="32">
        <f>IF($W589="","",IF(ISNUMBER($W589),IF($W589&gt;=10000000,IFERROR(DATE(INT($W589/10000),MOD(INT($W589/100),100),MOD($W589,100)),""),INT($W589)),IFERROR(DATE(--LEFT(LEFT(SUBSTITUTE(SUBSTITUTE(SUBSTITUTE(SUBSTITUTE(TRIM($W589),"-",""),".",""),"/","")," ",""),8),4),--MID(LEFT(SUBSTITUTE(SUBSTITUTE(SUBSTITUTE(SUBSTITUTE(TRIM($W589),"-",""),".",""),"/","")," ",""),8),5,2),--MID(LEFT(SUBSTITUTE(SUBSTITUTE(SUBSTITUTE(SUBSTITUTE(TRIM($W589),"-",""),".",""),"/","")," ",""),8),7,2)),"")))</f>
        <v/>
      </c>
      <c r="Y589" s="32">
        <f>IF($X589="","",INT($X589))</f>
        <v/>
      </c>
      <c r="Z589" s="33">
        <f>IF(OR($Y589="",$D$6=""),"",IF(INDEX($A:$U,ROW(),$D$6)="",0,IF(ISNUMBER(INDEX($A:$U,ROW(),$D$6)),INDEX($A:$U,ROW(),$D$6),IFERROR(--SUBSTITUTE(SUBSTITUTE(TRIM(INDEX($A:$U,ROW(),$D$6)),",",""),"원",""),0))))</f>
        <v/>
      </c>
      <c r="AA589" s="31">
        <f>IF($Y589="","",TRIM(INDEX($A:$U,ROW(),$E$6)&amp;IF($F$6="",""," "&amp;INDEX($A:$U,ROW(),$F$6))))</f>
        <v/>
      </c>
      <c r="AB589" s="31">
        <f>IF($AA589="","",SUBSTITUTE(SUBSTITUTE(SUBSTITUTE(SUBSTITUTE(SUBSTITUTE(SUBSTITUTE(SUBSTITUTE(SUBSTITUTE(SUBSTITUTE($AA589," ",""),"　",""),"(주)",""),"（주）",""),"㈜",""),"주식회사",""),"(유)",""),"（유）",""),"유한회사",""))</f>
        <v/>
      </c>
      <c r="AC589" s="31">
        <f>IF(OR($Y589="",N($Z589)&lt;=0,$AB589=""),0,IFERROR(LOOKUP(2,1/((거래처별!$AC$8:$AC$307&lt;&gt;"")*ISNUMBER(SEARCH(거래처별!$AC$8:$AC$307,$AB589))),거래처별!$A$8:$A$307),IFERROR(LOOKUP(2,1/((거래처별!$AD$8:$AD$307&lt;&gt;"")*ISNUMBER(SEARCH(거래처별!$AD$8:$AD$307,$AB589))),거래처별!$A$8:$A$307),IFERROR(LOOKUP(2,1/((거래처별!$AE$8:$AE$307&lt;&gt;"")*ISNUMBER(SEARCH(거래처별!$AE$8:$AE$307,$AB589))),거래처별!$A$8:$A$307),0))))</f>
        <v/>
      </c>
      <c r="AD589" s="31">
        <f>IF(AND($Y589&lt;&gt;"",N($Z589)&gt;0,$AC589=0),MAX($AD$7:$AD588)+1,"")</f>
        <v/>
      </c>
      <c r="AE589" s="31">
        <f>IF($Y589="",0,$Y589)</f>
        <v/>
      </c>
    </row>
    <row r="590">
      <c r="W590" s="31">
        <f>IF(OR($B$5="",$C$6="",ROW()&lt;$B$5),"",IF(INDEX($A:$U,ROW(),$C$6)="","",INDEX($A:$U,ROW(),$C$6)))</f>
        <v/>
      </c>
      <c r="X590" s="32">
        <f>IF($W590="","",IF(ISNUMBER($W590),IF($W590&gt;=10000000,IFERROR(DATE(INT($W590/10000),MOD(INT($W590/100),100),MOD($W590,100)),""),INT($W590)),IFERROR(DATE(--LEFT(LEFT(SUBSTITUTE(SUBSTITUTE(SUBSTITUTE(SUBSTITUTE(TRIM($W590),"-",""),".",""),"/","")," ",""),8),4),--MID(LEFT(SUBSTITUTE(SUBSTITUTE(SUBSTITUTE(SUBSTITUTE(TRIM($W590),"-",""),".",""),"/","")," ",""),8),5,2),--MID(LEFT(SUBSTITUTE(SUBSTITUTE(SUBSTITUTE(SUBSTITUTE(TRIM($W590),"-",""),".",""),"/","")," ",""),8),7,2)),"")))</f>
        <v/>
      </c>
      <c r="Y590" s="32">
        <f>IF($X590="","",INT($X590))</f>
        <v/>
      </c>
      <c r="Z590" s="33">
        <f>IF(OR($Y590="",$D$6=""),"",IF(INDEX($A:$U,ROW(),$D$6)="",0,IF(ISNUMBER(INDEX($A:$U,ROW(),$D$6)),INDEX($A:$U,ROW(),$D$6),IFERROR(--SUBSTITUTE(SUBSTITUTE(TRIM(INDEX($A:$U,ROW(),$D$6)),",",""),"원",""),0))))</f>
        <v/>
      </c>
      <c r="AA590" s="31">
        <f>IF($Y590="","",TRIM(INDEX($A:$U,ROW(),$E$6)&amp;IF($F$6="",""," "&amp;INDEX($A:$U,ROW(),$F$6))))</f>
        <v/>
      </c>
      <c r="AB590" s="31">
        <f>IF($AA590="","",SUBSTITUTE(SUBSTITUTE(SUBSTITUTE(SUBSTITUTE(SUBSTITUTE(SUBSTITUTE(SUBSTITUTE(SUBSTITUTE(SUBSTITUTE($AA590," ",""),"　",""),"(주)",""),"（주）",""),"㈜",""),"주식회사",""),"(유)",""),"（유）",""),"유한회사",""))</f>
        <v/>
      </c>
      <c r="AC590" s="31">
        <f>IF(OR($Y590="",N($Z590)&lt;=0,$AB590=""),0,IFERROR(LOOKUP(2,1/((거래처별!$AC$8:$AC$307&lt;&gt;"")*ISNUMBER(SEARCH(거래처별!$AC$8:$AC$307,$AB590))),거래처별!$A$8:$A$307),IFERROR(LOOKUP(2,1/((거래처별!$AD$8:$AD$307&lt;&gt;"")*ISNUMBER(SEARCH(거래처별!$AD$8:$AD$307,$AB590))),거래처별!$A$8:$A$307),IFERROR(LOOKUP(2,1/((거래처별!$AE$8:$AE$307&lt;&gt;"")*ISNUMBER(SEARCH(거래처별!$AE$8:$AE$307,$AB590))),거래처별!$A$8:$A$307),0))))</f>
        <v/>
      </c>
      <c r="AD590" s="31">
        <f>IF(AND($Y590&lt;&gt;"",N($Z590)&gt;0,$AC590=0),MAX($AD$7:$AD589)+1,"")</f>
        <v/>
      </c>
      <c r="AE590" s="31">
        <f>IF($Y590="",0,$Y590)</f>
        <v/>
      </c>
    </row>
    <row r="591">
      <c r="W591" s="31">
        <f>IF(OR($B$5="",$C$6="",ROW()&lt;$B$5),"",IF(INDEX($A:$U,ROW(),$C$6)="","",INDEX($A:$U,ROW(),$C$6)))</f>
        <v/>
      </c>
      <c r="X591" s="32">
        <f>IF($W591="","",IF(ISNUMBER($W591),IF($W591&gt;=10000000,IFERROR(DATE(INT($W591/10000),MOD(INT($W591/100),100),MOD($W591,100)),""),INT($W591)),IFERROR(DATE(--LEFT(LEFT(SUBSTITUTE(SUBSTITUTE(SUBSTITUTE(SUBSTITUTE(TRIM($W591),"-",""),".",""),"/","")," ",""),8),4),--MID(LEFT(SUBSTITUTE(SUBSTITUTE(SUBSTITUTE(SUBSTITUTE(TRIM($W591),"-",""),".",""),"/","")," ",""),8),5,2),--MID(LEFT(SUBSTITUTE(SUBSTITUTE(SUBSTITUTE(SUBSTITUTE(TRIM($W591),"-",""),".",""),"/","")," ",""),8),7,2)),"")))</f>
        <v/>
      </c>
      <c r="Y591" s="32">
        <f>IF($X591="","",INT($X591))</f>
        <v/>
      </c>
      <c r="Z591" s="33">
        <f>IF(OR($Y591="",$D$6=""),"",IF(INDEX($A:$U,ROW(),$D$6)="",0,IF(ISNUMBER(INDEX($A:$U,ROW(),$D$6)),INDEX($A:$U,ROW(),$D$6),IFERROR(--SUBSTITUTE(SUBSTITUTE(TRIM(INDEX($A:$U,ROW(),$D$6)),",",""),"원",""),0))))</f>
        <v/>
      </c>
      <c r="AA591" s="31">
        <f>IF($Y591="","",TRIM(INDEX($A:$U,ROW(),$E$6)&amp;IF($F$6="",""," "&amp;INDEX($A:$U,ROW(),$F$6))))</f>
        <v/>
      </c>
      <c r="AB591" s="31">
        <f>IF($AA591="","",SUBSTITUTE(SUBSTITUTE(SUBSTITUTE(SUBSTITUTE(SUBSTITUTE(SUBSTITUTE(SUBSTITUTE(SUBSTITUTE(SUBSTITUTE($AA591," ",""),"　",""),"(주)",""),"（주）",""),"㈜",""),"주식회사",""),"(유)",""),"（유）",""),"유한회사",""))</f>
        <v/>
      </c>
      <c r="AC591" s="31">
        <f>IF(OR($Y591="",N($Z591)&lt;=0,$AB591=""),0,IFERROR(LOOKUP(2,1/((거래처별!$AC$8:$AC$307&lt;&gt;"")*ISNUMBER(SEARCH(거래처별!$AC$8:$AC$307,$AB591))),거래처별!$A$8:$A$307),IFERROR(LOOKUP(2,1/((거래처별!$AD$8:$AD$307&lt;&gt;"")*ISNUMBER(SEARCH(거래처별!$AD$8:$AD$307,$AB591))),거래처별!$A$8:$A$307),IFERROR(LOOKUP(2,1/((거래처별!$AE$8:$AE$307&lt;&gt;"")*ISNUMBER(SEARCH(거래처별!$AE$8:$AE$307,$AB591))),거래처별!$A$8:$A$307),0))))</f>
        <v/>
      </c>
      <c r="AD591" s="31">
        <f>IF(AND($Y591&lt;&gt;"",N($Z591)&gt;0,$AC591=0),MAX($AD$7:$AD590)+1,"")</f>
        <v/>
      </c>
      <c r="AE591" s="31">
        <f>IF($Y591="",0,$Y591)</f>
        <v/>
      </c>
    </row>
    <row r="592">
      <c r="W592" s="31">
        <f>IF(OR($B$5="",$C$6="",ROW()&lt;$B$5),"",IF(INDEX($A:$U,ROW(),$C$6)="","",INDEX($A:$U,ROW(),$C$6)))</f>
        <v/>
      </c>
      <c r="X592" s="32">
        <f>IF($W592="","",IF(ISNUMBER($W592),IF($W592&gt;=10000000,IFERROR(DATE(INT($W592/10000),MOD(INT($W592/100),100),MOD($W592,100)),""),INT($W592)),IFERROR(DATE(--LEFT(LEFT(SUBSTITUTE(SUBSTITUTE(SUBSTITUTE(SUBSTITUTE(TRIM($W592),"-",""),".",""),"/","")," ",""),8),4),--MID(LEFT(SUBSTITUTE(SUBSTITUTE(SUBSTITUTE(SUBSTITUTE(TRIM($W592),"-",""),".",""),"/","")," ",""),8),5,2),--MID(LEFT(SUBSTITUTE(SUBSTITUTE(SUBSTITUTE(SUBSTITUTE(TRIM($W592),"-",""),".",""),"/","")," ",""),8),7,2)),"")))</f>
        <v/>
      </c>
      <c r="Y592" s="32">
        <f>IF($X592="","",INT($X592))</f>
        <v/>
      </c>
      <c r="Z592" s="33">
        <f>IF(OR($Y592="",$D$6=""),"",IF(INDEX($A:$U,ROW(),$D$6)="",0,IF(ISNUMBER(INDEX($A:$U,ROW(),$D$6)),INDEX($A:$U,ROW(),$D$6),IFERROR(--SUBSTITUTE(SUBSTITUTE(TRIM(INDEX($A:$U,ROW(),$D$6)),",",""),"원",""),0))))</f>
        <v/>
      </c>
      <c r="AA592" s="31">
        <f>IF($Y592="","",TRIM(INDEX($A:$U,ROW(),$E$6)&amp;IF($F$6="",""," "&amp;INDEX($A:$U,ROW(),$F$6))))</f>
        <v/>
      </c>
      <c r="AB592" s="31">
        <f>IF($AA592="","",SUBSTITUTE(SUBSTITUTE(SUBSTITUTE(SUBSTITUTE(SUBSTITUTE(SUBSTITUTE(SUBSTITUTE(SUBSTITUTE(SUBSTITUTE($AA592," ",""),"　",""),"(주)",""),"（주）",""),"㈜",""),"주식회사",""),"(유)",""),"（유）",""),"유한회사",""))</f>
        <v/>
      </c>
      <c r="AC592" s="31">
        <f>IF(OR($Y592="",N($Z592)&lt;=0,$AB592=""),0,IFERROR(LOOKUP(2,1/((거래처별!$AC$8:$AC$307&lt;&gt;"")*ISNUMBER(SEARCH(거래처별!$AC$8:$AC$307,$AB592))),거래처별!$A$8:$A$307),IFERROR(LOOKUP(2,1/((거래처별!$AD$8:$AD$307&lt;&gt;"")*ISNUMBER(SEARCH(거래처별!$AD$8:$AD$307,$AB592))),거래처별!$A$8:$A$307),IFERROR(LOOKUP(2,1/((거래처별!$AE$8:$AE$307&lt;&gt;"")*ISNUMBER(SEARCH(거래처별!$AE$8:$AE$307,$AB592))),거래처별!$A$8:$A$307),0))))</f>
        <v/>
      </c>
      <c r="AD592" s="31">
        <f>IF(AND($Y592&lt;&gt;"",N($Z592)&gt;0,$AC592=0),MAX($AD$7:$AD591)+1,"")</f>
        <v/>
      </c>
      <c r="AE592" s="31">
        <f>IF($Y592="",0,$Y592)</f>
        <v/>
      </c>
    </row>
    <row r="593">
      <c r="W593" s="31">
        <f>IF(OR($B$5="",$C$6="",ROW()&lt;$B$5),"",IF(INDEX($A:$U,ROW(),$C$6)="","",INDEX($A:$U,ROW(),$C$6)))</f>
        <v/>
      </c>
      <c r="X593" s="32">
        <f>IF($W593="","",IF(ISNUMBER($W593),IF($W593&gt;=10000000,IFERROR(DATE(INT($W593/10000),MOD(INT($W593/100),100),MOD($W593,100)),""),INT($W593)),IFERROR(DATE(--LEFT(LEFT(SUBSTITUTE(SUBSTITUTE(SUBSTITUTE(SUBSTITUTE(TRIM($W593),"-",""),".",""),"/","")," ",""),8),4),--MID(LEFT(SUBSTITUTE(SUBSTITUTE(SUBSTITUTE(SUBSTITUTE(TRIM($W593),"-",""),".",""),"/","")," ",""),8),5,2),--MID(LEFT(SUBSTITUTE(SUBSTITUTE(SUBSTITUTE(SUBSTITUTE(TRIM($W593),"-",""),".",""),"/","")," ",""),8),7,2)),"")))</f>
        <v/>
      </c>
      <c r="Y593" s="32">
        <f>IF($X593="","",INT($X593))</f>
        <v/>
      </c>
      <c r="Z593" s="33">
        <f>IF(OR($Y593="",$D$6=""),"",IF(INDEX($A:$U,ROW(),$D$6)="",0,IF(ISNUMBER(INDEX($A:$U,ROW(),$D$6)),INDEX($A:$U,ROW(),$D$6),IFERROR(--SUBSTITUTE(SUBSTITUTE(TRIM(INDEX($A:$U,ROW(),$D$6)),",",""),"원",""),0))))</f>
        <v/>
      </c>
      <c r="AA593" s="31">
        <f>IF($Y593="","",TRIM(INDEX($A:$U,ROW(),$E$6)&amp;IF($F$6="",""," "&amp;INDEX($A:$U,ROW(),$F$6))))</f>
        <v/>
      </c>
      <c r="AB593" s="31">
        <f>IF($AA593="","",SUBSTITUTE(SUBSTITUTE(SUBSTITUTE(SUBSTITUTE(SUBSTITUTE(SUBSTITUTE(SUBSTITUTE(SUBSTITUTE(SUBSTITUTE($AA593," ",""),"　",""),"(주)",""),"（주）",""),"㈜",""),"주식회사",""),"(유)",""),"（유）",""),"유한회사",""))</f>
        <v/>
      </c>
      <c r="AC593" s="31">
        <f>IF(OR($Y593="",N($Z593)&lt;=0,$AB593=""),0,IFERROR(LOOKUP(2,1/((거래처별!$AC$8:$AC$307&lt;&gt;"")*ISNUMBER(SEARCH(거래처별!$AC$8:$AC$307,$AB593))),거래처별!$A$8:$A$307),IFERROR(LOOKUP(2,1/((거래처별!$AD$8:$AD$307&lt;&gt;"")*ISNUMBER(SEARCH(거래처별!$AD$8:$AD$307,$AB593))),거래처별!$A$8:$A$307),IFERROR(LOOKUP(2,1/((거래처별!$AE$8:$AE$307&lt;&gt;"")*ISNUMBER(SEARCH(거래처별!$AE$8:$AE$307,$AB593))),거래처별!$A$8:$A$307),0))))</f>
        <v/>
      </c>
      <c r="AD593" s="31">
        <f>IF(AND($Y593&lt;&gt;"",N($Z593)&gt;0,$AC593=0),MAX($AD$7:$AD592)+1,"")</f>
        <v/>
      </c>
      <c r="AE593" s="31">
        <f>IF($Y593="",0,$Y593)</f>
        <v/>
      </c>
    </row>
    <row r="594">
      <c r="W594" s="31">
        <f>IF(OR($B$5="",$C$6="",ROW()&lt;$B$5),"",IF(INDEX($A:$U,ROW(),$C$6)="","",INDEX($A:$U,ROW(),$C$6)))</f>
        <v/>
      </c>
      <c r="X594" s="32">
        <f>IF($W594="","",IF(ISNUMBER($W594),IF($W594&gt;=10000000,IFERROR(DATE(INT($W594/10000),MOD(INT($W594/100),100),MOD($W594,100)),""),INT($W594)),IFERROR(DATE(--LEFT(LEFT(SUBSTITUTE(SUBSTITUTE(SUBSTITUTE(SUBSTITUTE(TRIM($W594),"-",""),".",""),"/","")," ",""),8),4),--MID(LEFT(SUBSTITUTE(SUBSTITUTE(SUBSTITUTE(SUBSTITUTE(TRIM($W594),"-",""),".",""),"/","")," ",""),8),5,2),--MID(LEFT(SUBSTITUTE(SUBSTITUTE(SUBSTITUTE(SUBSTITUTE(TRIM($W594),"-",""),".",""),"/","")," ",""),8),7,2)),"")))</f>
        <v/>
      </c>
      <c r="Y594" s="32">
        <f>IF($X594="","",INT($X594))</f>
        <v/>
      </c>
      <c r="Z594" s="33">
        <f>IF(OR($Y594="",$D$6=""),"",IF(INDEX($A:$U,ROW(),$D$6)="",0,IF(ISNUMBER(INDEX($A:$U,ROW(),$D$6)),INDEX($A:$U,ROW(),$D$6),IFERROR(--SUBSTITUTE(SUBSTITUTE(TRIM(INDEX($A:$U,ROW(),$D$6)),",",""),"원",""),0))))</f>
        <v/>
      </c>
      <c r="AA594" s="31">
        <f>IF($Y594="","",TRIM(INDEX($A:$U,ROW(),$E$6)&amp;IF($F$6="",""," "&amp;INDEX($A:$U,ROW(),$F$6))))</f>
        <v/>
      </c>
      <c r="AB594" s="31">
        <f>IF($AA594="","",SUBSTITUTE(SUBSTITUTE(SUBSTITUTE(SUBSTITUTE(SUBSTITUTE(SUBSTITUTE(SUBSTITUTE(SUBSTITUTE(SUBSTITUTE($AA594," ",""),"　",""),"(주)",""),"（주）",""),"㈜",""),"주식회사",""),"(유)",""),"（유）",""),"유한회사",""))</f>
        <v/>
      </c>
      <c r="AC594" s="31">
        <f>IF(OR($Y594="",N($Z594)&lt;=0,$AB594=""),0,IFERROR(LOOKUP(2,1/((거래처별!$AC$8:$AC$307&lt;&gt;"")*ISNUMBER(SEARCH(거래처별!$AC$8:$AC$307,$AB594))),거래처별!$A$8:$A$307),IFERROR(LOOKUP(2,1/((거래처별!$AD$8:$AD$307&lt;&gt;"")*ISNUMBER(SEARCH(거래처별!$AD$8:$AD$307,$AB594))),거래처별!$A$8:$A$307),IFERROR(LOOKUP(2,1/((거래처별!$AE$8:$AE$307&lt;&gt;"")*ISNUMBER(SEARCH(거래처별!$AE$8:$AE$307,$AB594))),거래처별!$A$8:$A$307),0))))</f>
        <v/>
      </c>
      <c r="AD594" s="31">
        <f>IF(AND($Y594&lt;&gt;"",N($Z594)&gt;0,$AC594=0),MAX($AD$7:$AD593)+1,"")</f>
        <v/>
      </c>
      <c r="AE594" s="31">
        <f>IF($Y594="",0,$Y594)</f>
        <v/>
      </c>
    </row>
    <row r="595">
      <c r="W595" s="31">
        <f>IF(OR($B$5="",$C$6="",ROW()&lt;$B$5),"",IF(INDEX($A:$U,ROW(),$C$6)="","",INDEX($A:$U,ROW(),$C$6)))</f>
        <v/>
      </c>
      <c r="X595" s="32">
        <f>IF($W595="","",IF(ISNUMBER($W595),IF($W595&gt;=10000000,IFERROR(DATE(INT($W595/10000),MOD(INT($W595/100),100),MOD($W595,100)),""),INT($W595)),IFERROR(DATE(--LEFT(LEFT(SUBSTITUTE(SUBSTITUTE(SUBSTITUTE(SUBSTITUTE(TRIM($W595),"-",""),".",""),"/","")," ",""),8),4),--MID(LEFT(SUBSTITUTE(SUBSTITUTE(SUBSTITUTE(SUBSTITUTE(TRIM($W595),"-",""),".",""),"/","")," ",""),8),5,2),--MID(LEFT(SUBSTITUTE(SUBSTITUTE(SUBSTITUTE(SUBSTITUTE(TRIM($W595),"-",""),".",""),"/","")," ",""),8),7,2)),"")))</f>
        <v/>
      </c>
      <c r="Y595" s="32">
        <f>IF($X595="","",INT($X595))</f>
        <v/>
      </c>
      <c r="Z595" s="33">
        <f>IF(OR($Y595="",$D$6=""),"",IF(INDEX($A:$U,ROW(),$D$6)="",0,IF(ISNUMBER(INDEX($A:$U,ROW(),$D$6)),INDEX($A:$U,ROW(),$D$6),IFERROR(--SUBSTITUTE(SUBSTITUTE(TRIM(INDEX($A:$U,ROW(),$D$6)),",",""),"원",""),0))))</f>
        <v/>
      </c>
      <c r="AA595" s="31">
        <f>IF($Y595="","",TRIM(INDEX($A:$U,ROW(),$E$6)&amp;IF($F$6="",""," "&amp;INDEX($A:$U,ROW(),$F$6))))</f>
        <v/>
      </c>
      <c r="AB595" s="31">
        <f>IF($AA595="","",SUBSTITUTE(SUBSTITUTE(SUBSTITUTE(SUBSTITUTE(SUBSTITUTE(SUBSTITUTE(SUBSTITUTE(SUBSTITUTE(SUBSTITUTE($AA595," ",""),"　",""),"(주)",""),"（주）",""),"㈜",""),"주식회사",""),"(유)",""),"（유）",""),"유한회사",""))</f>
        <v/>
      </c>
      <c r="AC595" s="31">
        <f>IF(OR($Y595="",N($Z595)&lt;=0,$AB595=""),0,IFERROR(LOOKUP(2,1/((거래처별!$AC$8:$AC$307&lt;&gt;"")*ISNUMBER(SEARCH(거래처별!$AC$8:$AC$307,$AB595))),거래처별!$A$8:$A$307),IFERROR(LOOKUP(2,1/((거래처별!$AD$8:$AD$307&lt;&gt;"")*ISNUMBER(SEARCH(거래처별!$AD$8:$AD$307,$AB595))),거래처별!$A$8:$A$307),IFERROR(LOOKUP(2,1/((거래처별!$AE$8:$AE$307&lt;&gt;"")*ISNUMBER(SEARCH(거래처별!$AE$8:$AE$307,$AB595))),거래처별!$A$8:$A$307),0))))</f>
        <v/>
      </c>
      <c r="AD595" s="31">
        <f>IF(AND($Y595&lt;&gt;"",N($Z595)&gt;0,$AC595=0),MAX($AD$7:$AD594)+1,"")</f>
        <v/>
      </c>
      <c r="AE595" s="31">
        <f>IF($Y595="",0,$Y595)</f>
        <v/>
      </c>
    </row>
    <row r="596">
      <c r="W596" s="31">
        <f>IF(OR($B$5="",$C$6="",ROW()&lt;$B$5),"",IF(INDEX($A:$U,ROW(),$C$6)="","",INDEX($A:$U,ROW(),$C$6)))</f>
        <v/>
      </c>
      <c r="X596" s="32">
        <f>IF($W596="","",IF(ISNUMBER($W596),IF($W596&gt;=10000000,IFERROR(DATE(INT($W596/10000),MOD(INT($W596/100),100),MOD($W596,100)),""),INT($W596)),IFERROR(DATE(--LEFT(LEFT(SUBSTITUTE(SUBSTITUTE(SUBSTITUTE(SUBSTITUTE(TRIM($W596),"-",""),".",""),"/","")," ",""),8),4),--MID(LEFT(SUBSTITUTE(SUBSTITUTE(SUBSTITUTE(SUBSTITUTE(TRIM($W596),"-",""),".",""),"/","")," ",""),8),5,2),--MID(LEFT(SUBSTITUTE(SUBSTITUTE(SUBSTITUTE(SUBSTITUTE(TRIM($W596),"-",""),".",""),"/","")," ",""),8),7,2)),"")))</f>
        <v/>
      </c>
      <c r="Y596" s="32">
        <f>IF($X596="","",INT($X596))</f>
        <v/>
      </c>
      <c r="Z596" s="33">
        <f>IF(OR($Y596="",$D$6=""),"",IF(INDEX($A:$U,ROW(),$D$6)="",0,IF(ISNUMBER(INDEX($A:$U,ROW(),$D$6)),INDEX($A:$U,ROW(),$D$6),IFERROR(--SUBSTITUTE(SUBSTITUTE(TRIM(INDEX($A:$U,ROW(),$D$6)),",",""),"원",""),0))))</f>
        <v/>
      </c>
      <c r="AA596" s="31">
        <f>IF($Y596="","",TRIM(INDEX($A:$U,ROW(),$E$6)&amp;IF($F$6="",""," "&amp;INDEX($A:$U,ROW(),$F$6))))</f>
        <v/>
      </c>
      <c r="AB596" s="31">
        <f>IF($AA596="","",SUBSTITUTE(SUBSTITUTE(SUBSTITUTE(SUBSTITUTE(SUBSTITUTE(SUBSTITUTE(SUBSTITUTE(SUBSTITUTE(SUBSTITUTE($AA596," ",""),"　",""),"(주)",""),"（주）",""),"㈜",""),"주식회사",""),"(유)",""),"（유）",""),"유한회사",""))</f>
        <v/>
      </c>
      <c r="AC596" s="31">
        <f>IF(OR($Y596="",N($Z596)&lt;=0,$AB596=""),0,IFERROR(LOOKUP(2,1/((거래처별!$AC$8:$AC$307&lt;&gt;"")*ISNUMBER(SEARCH(거래처별!$AC$8:$AC$307,$AB596))),거래처별!$A$8:$A$307),IFERROR(LOOKUP(2,1/((거래처별!$AD$8:$AD$307&lt;&gt;"")*ISNUMBER(SEARCH(거래처별!$AD$8:$AD$307,$AB596))),거래처별!$A$8:$A$307),IFERROR(LOOKUP(2,1/((거래처별!$AE$8:$AE$307&lt;&gt;"")*ISNUMBER(SEARCH(거래처별!$AE$8:$AE$307,$AB596))),거래처별!$A$8:$A$307),0))))</f>
        <v/>
      </c>
      <c r="AD596" s="31">
        <f>IF(AND($Y596&lt;&gt;"",N($Z596)&gt;0,$AC596=0),MAX($AD$7:$AD595)+1,"")</f>
        <v/>
      </c>
      <c r="AE596" s="31">
        <f>IF($Y596="",0,$Y596)</f>
        <v/>
      </c>
    </row>
    <row r="597">
      <c r="W597" s="31">
        <f>IF(OR($B$5="",$C$6="",ROW()&lt;$B$5),"",IF(INDEX($A:$U,ROW(),$C$6)="","",INDEX($A:$U,ROW(),$C$6)))</f>
        <v/>
      </c>
      <c r="X597" s="32">
        <f>IF($W597="","",IF(ISNUMBER($W597),IF($W597&gt;=10000000,IFERROR(DATE(INT($W597/10000),MOD(INT($W597/100),100),MOD($W597,100)),""),INT($W597)),IFERROR(DATE(--LEFT(LEFT(SUBSTITUTE(SUBSTITUTE(SUBSTITUTE(SUBSTITUTE(TRIM($W597),"-",""),".",""),"/","")," ",""),8),4),--MID(LEFT(SUBSTITUTE(SUBSTITUTE(SUBSTITUTE(SUBSTITUTE(TRIM($W597),"-",""),".",""),"/","")," ",""),8),5,2),--MID(LEFT(SUBSTITUTE(SUBSTITUTE(SUBSTITUTE(SUBSTITUTE(TRIM($W597),"-",""),".",""),"/","")," ",""),8),7,2)),"")))</f>
        <v/>
      </c>
      <c r="Y597" s="32">
        <f>IF($X597="","",INT($X597))</f>
        <v/>
      </c>
      <c r="Z597" s="33">
        <f>IF(OR($Y597="",$D$6=""),"",IF(INDEX($A:$U,ROW(),$D$6)="",0,IF(ISNUMBER(INDEX($A:$U,ROW(),$D$6)),INDEX($A:$U,ROW(),$D$6),IFERROR(--SUBSTITUTE(SUBSTITUTE(TRIM(INDEX($A:$U,ROW(),$D$6)),",",""),"원",""),0))))</f>
        <v/>
      </c>
      <c r="AA597" s="31">
        <f>IF($Y597="","",TRIM(INDEX($A:$U,ROW(),$E$6)&amp;IF($F$6="",""," "&amp;INDEX($A:$U,ROW(),$F$6))))</f>
        <v/>
      </c>
      <c r="AB597" s="31">
        <f>IF($AA597="","",SUBSTITUTE(SUBSTITUTE(SUBSTITUTE(SUBSTITUTE(SUBSTITUTE(SUBSTITUTE(SUBSTITUTE(SUBSTITUTE(SUBSTITUTE($AA597," ",""),"　",""),"(주)",""),"（주）",""),"㈜",""),"주식회사",""),"(유)",""),"（유）",""),"유한회사",""))</f>
        <v/>
      </c>
      <c r="AC597" s="31">
        <f>IF(OR($Y597="",N($Z597)&lt;=0,$AB597=""),0,IFERROR(LOOKUP(2,1/((거래처별!$AC$8:$AC$307&lt;&gt;"")*ISNUMBER(SEARCH(거래처별!$AC$8:$AC$307,$AB597))),거래처별!$A$8:$A$307),IFERROR(LOOKUP(2,1/((거래처별!$AD$8:$AD$307&lt;&gt;"")*ISNUMBER(SEARCH(거래처별!$AD$8:$AD$307,$AB597))),거래처별!$A$8:$A$307),IFERROR(LOOKUP(2,1/((거래처별!$AE$8:$AE$307&lt;&gt;"")*ISNUMBER(SEARCH(거래처별!$AE$8:$AE$307,$AB597))),거래처별!$A$8:$A$307),0))))</f>
        <v/>
      </c>
      <c r="AD597" s="31">
        <f>IF(AND($Y597&lt;&gt;"",N($Z597)&gt;0,$AC597=0),MAX($AD$7:$AD596)+1,"")</f>
        <v/>
      </c>
      <c r="AE597" s="31">
        <f>IF($Y597="",0,$Y597)</f>
        <v/>
      </c>
    </row>
    <row r="598">
      <c r="W598" s="31">
        <f>IF(OR($B$5="",$C$6="",ROW()&lt;$B$5),"",IF(INDEX($A:$U,ROW(),$C$6)="","",INDEX($A:$U,ROW(),$C$6)))</f>
        <v/>
      </c>
      <c r="X598" s="32">
        <f>IF($W598="","",IF(ISNUMBER($W598),IF($W598&gt;=10000000,IFERROR(DATE(INT($W598/10000),MOD(INT($W598/100),100),MOD($W598,100)),""),INT($W598)),IFERROR(DATE(--LEFT(LEFT(SUBSTITUTE(SUBSTITUTE(SUBSTITUTE(SUBSTITUTE(TRIM($W598),"-",""),".",""),"/","")," ",""),8),4),--MID(LEFT(SUBSTITUTE(SUBSTITUTE(SUBSTITUTE(SUBSTITUTE(TRIM($W598),"-",""),".",""),"/","")," ",""),8),5,2),--MID(LEFT(SUBSTITUTE(SUBSTITUTE(SUBSTITUTE(SUBSTITUTE(TRIM($W598),"-",""),".",""),"/","")," ",""),8),7,2)),"")))</f>
        <v/>
      </c>
      <c r="Y598" s="32">
        <f>IF($X598="","",INT($X598))</f>
        <v/>
      </c>
      <c r="Z598" s="33">
        <f>IF(OR($Y598="",$D$6=""),"",IF(INDEX($A:$U,ROW(),$D$6)="",0,IF(ISNUMBER(INDEX($A:$U,ROW(),$D$6)),INDEX($A:$U,ROW(),$D$6),IFERROR(--SUBSTITUTE(SUBSTITUTE(TRIM(INDEX($A:$U,ROW(),$D$6)),",",""),"원",""),0))))</f>
        <v/>
      </c>
      <c r="AA598" s="31">
        <f>IF($Y598="","",TRIM(INDEX($A:$U,ROW(),$E$6)&amp;IF($F$6="",""," "&amp;INDEX($A:$U,ROW(),$F$6))))</f>
        <v/>
      </c>
      <c r="AB598" s="31">
        <f>IF($AA598="","",SUBSTITUTE(SUBSTITUTE(SUBSTITUTE(SUBSTITUTE(SUBSTITUTE(SUBSTITUTE(SUBSTITUTE(SUBSTITUTE(SUBSTITUTE($AA598," ",""),"　",""),"(주)",""),"（주）",""),"㈜",""),"주식회사",""),"(유)",""),"（유）",""),"유한회사",""))</f>
        <v/>
      </c>
      <c r="AC598" s="31">
        <f>IF(OR($Y598="",N($Z598)&lt;=0,$AB598=""),0,IFERROR(LOOKUP(2,1/((거래처별!$AC$8:$AC$307&lt;&gt;"")*ISNUMBER(SEARCH(거래처별!$AC$8:$AC$307,$AB598))),거래처별!$A$8:$A$307),IFERROR(LOOKUP(2,1/((거래처별!$AD$8:$AD$307&lt;&gt;"")*ISNUMBER(SEARCH(거래처별!$AD$8:$AD$307,$AB598))),거래처별!$A$8:$A$307),IFERROR(LOOKUP(2,1/((거래처별!$AE$8:$AE$307&lt;&gt;"")*ISNUMBER(SEARCH(거래처별!$AE$8:$AE$307,$AB598))),거래처별!$A$8:$A$307),0))))</f>
        <v/>
      </c>
      <c r="AD598" s="31">
        <f>IF(AND($Y598&lt;&gt;"",N($Z598)&gt;0,$AC598=0),MAX($AD$7:$AD597)+1,"")</f>
        <v/>
      </c>
      <c r="AE598" s="31">
        <f>IF($Y598="",0,$Y598)</f>
        <v/>
      </c>
    </row>
    <row r="599">
      <c r="W599" s="31">
        <f>IF(OR($B$5="",$C$6="",ROW()&lt;$B$5),"",IF(INDEX($A:$U,ROW(),$C$6)="","",INDEX($A:$U,ROW(),$C$6)))</f>
        <v/>
      </c>
      <c r="X599" s="32">
        <f>IF($W599="","",IF(ISNUMBER($W599),IF($W599&gt;=10000000,IFERROR(DATE(INT($W599/10000),MOD(INT($W599/100),100),MOD($W599,100)),""),INT($W599)),IFERROR(DATE(--LEFT(LEFT(SUBSTITUTE(SUBSTITUTE(SUBSTITUTE(SUBSTITUTE(TRIM($W599),"-",""),".",""),"/","")," ",""),8),4),--MID(LEFT(SUBSTITUTE(SUBSTITUTE(SUBSTITUTE(SUBSTITUTE(TRIM($W599),"-",""),".",""),"/","")," ",""),8),5,2),--MID(LEFT(SUBSTITUTE(SUBSTITUTE(SUBSTITUTE(SUBSTITUTE(TRIM($W599),"-",""),".",""),"/","")," ",""),8),7,2)),"")))</f>
        <v/>
      </c>
      <c r="Y599" s="32">
        <f>IF($X599="","",INT($X599))</f>
        <v/>
      </c>
      <c r="Z599" s="33">
        <f>IF(OR($Y599="",$D$6=""),"",IF(INDEX($A:$U,ROW(),$D$6)="",0,IF(ISNUMBER(INDEX($A:$U,ROW(),$D$6)),INDEX($A:$U,ROW(),$D$6),IFERROR(--SUBSTITUTE(SUBSTITUTE(TRIM(INDEX($A:$U,ROW(),$D$6)),",",""),"원",""),0))))</f>
        <v/>
      </c>
      <c r="AA599" s="31">
        <f>IF($Y599="","",TRIM(INDEX($A:$U,ROW(),$E$6)&amp;IF($F$6="",""," "&amp;INDEX($A:$U,ROW(),$F$6))))</f>
        <v/>
      </c>
      <c r="AB599" s="31">
        <f>IF($AA599="","",SUBSTITUTE(SUBSTITUTE(SUBSTITUTE(SUBSTITUTE(SUBSTITUTE(SUBSTITUTE(SUBSTITUTE(SUBSTITUTE(SUBSTITUTE($AA599," ",""),"　",""),"(주)",""),"（주）",""),"㈜",""),"주식회사",""),"(유)",""),"（유）",""),"유한회사",""))</f>
        <v/>
      </c>
      <c r="AC599" s="31">
        <f>IF(OR($Y599="",N($Z599)&lt;=0,$AB599=""),0,IFERROR(LOOKUP(2,1/((거래처별!$AC$8:$AC$307&lt;&gt;"")*ISNUMBER(SEARCH(거래처별!$AC$8:$AC$307,$AB599))),거래처별!$A$8:$A$307),IFERROR(LOOKUP(2,1/((거래처별!$AD$8:$AD$307&lt;&gt;"")*ISNUMBER(SEARCH(거래처별!$AD$8:$AD$307,$AB599))),거래처별!$A$8:$A$307),IFERROR(LOOKUP(2,1/((거래처별!$AE$8:$AE$307&lt;&gt;"")*ISNUMBER(SEARCH(거래처별!$AE$8:$AE$307,$AB599))),거래처별!$A$8:$A$307),0))))</f>
        <v/>
      </c>
      <c r="AD599" s="31">
        <f>IF(AND($Y599&lt;&gt;"",N($Z599)&gt;0,$AC599=0),MAX($AD$7:$AD598)+1,"")</f>
        <v/>
      </c>
      <c r="AE599" s="31">
        <f>IF($Y599="",0,$Y599)</f>
        <v/>
      </c>
    </row>
    <row r="600">
      <c r="W600" s="31">
        <f>IF(OR($B$5="",$C$6="",ROW()&lt;$B$5),"",IF(INDEX($A:$U,ROW(),$C$6)="","",INDEX($A:$U,ROW(),$C$6)))</f>
        <v/>
      </c>
      <c r="X600" s="32">
        <f>IF($W600="","",IF(ISNUMBER($W600),IF($W600&gt;=10000000,IFERROR(DATE(INT($W600/10000),MOD(INT($W600/100),100),MOD($W600,100)),""),INT($W600)),IFERROR(DATE(--LEFT(LEFT(SUBSTITUTE(SUBSTITUTE(SUBSTITUTE(SUBSTITUTE(TRIM($W600),"-",""),".",""),"/","")," ",""),8),4),--MID(LEFT(SUBSTITUTE(SUBSTITUTE(SUBSTITUTE(SUBSTITUTE(TRIM($W600),"-",""),".",""),"/","")," ",""),8),5,2),--MID(LEFT(SUBSTITUTE(SUBSTITUTE(SUBSTITUTE(SUBSTITUTE(TRIM($W600),"-",""),".",""),"/","")," ",""),8),7,2)),"")))</f>
        <v/>
      </c>
      <c r="Y600" s="32">
        <f>IF($X600="","",INT($X600))</f>
        <v/>
      </c>
      <c r="Z600" s="33">
        <f>IF(OR($Y600="",$D$6=""),"",IF(INDEX($A:$U,ROW(),$D$6)="",0,IF(ISNUMBER(INDEX($A:$U,ROW(),$D$6)),INDEX($A:$U,ROW(),$D$6),IFERROR(--SUBSTITUTE(SUBSTITUTE(TRIM(INDEX($A:$U,ROW(),$D$6)),",",""),"원",""),0))))</f>
        <v/>
      </c>
      <c r="AA600" s="31">
        <f>IF($Y600="","",TRIM(INDEX($A:$U,ROW(),$E$6)&amp;IF($F$6="",""," "&amp;INDEX($A:$U,ROW(),$F$6))))</f>
        <v/>
      </c>
      <c r="AB600" s="31">
        <f>IF($AA600="","",SUBSTITUTE(SUBSTITUTE(SUBSTITUTE(SUBSTITUTE(SUBSTITUTE(SUBSTITUTE(SUBSTITUTE(SUBSTITUTE(SUBSTITUTE($AA600," ",""),"　",""),"(주)",""),"（주）",""),"㈜",""),"주식회사",""),"(유)",""),"（유）",""),"유한회사",""))</f>
        <v/>
      </c>
      <c r="AC600" s="31">
        <f>IF(OR($Y600="",N($Z600)&lt;=0,$AB600=""),0,IFERROR(LOOKUP(2,1/((거래처별!$AC$8:$AC$307&lt;&gt;"")*ISNUMBER(SEARCH(거래처별!$AC$8:$AC$307,$AB600))),거래처별!$A$8:$A$307),IFERROR(LOOKUP(2,1/((거래처별!$AD$8:$AD$307&lt;&gt;"")*ISNUMBER(SEARCH(거래처별!$AD$8:$AD$307,$AB600))),거래처별!$A$8:$A$307),IFERROR(LOOKUP(2,1/((거래처별!$AE$8:$AE$307&lt;&gt;"")*ISNUMBER(SEARCH(거래처별!$AE$8:$AE$307,$AB600))),거래처별!$A$8:$A$307),0))))</f>
        <v/>
      </c>
      <c r="AD600" s="31">
        <f>IF(AND($Y600&lt;&gt;"",N($Z600)&gt;0,$AC600=0),MAX($AD$7:$AD599)+1,"")</f>
        <v/>
      </c>
      <c r="AE600" s="31">
        <f>IF($Y600="",0,$Y600)</f>
        <v/>
      </c>
    </row>
    <row r="601">
      <c r="W601" s="31">
        <f>IF(OR($B$5="",$C$6="",ROW()&lt;$B$5),"",IF(INDEX($A:$U,ROW(),$C$6)="","",INDEX($A:$U,ROW(),$C$6)))</f>
        <v/>
      </c>
      <c r="X601" s="32">
        <f>IF($W601="","",IF(ISNUMBER($W601),IF($W601&gt;=10000000,IFERROR(DATE(INT($W601/10000),MOD(INT($W601/100),100),MOD($W601,100)),""),INT($W601)),IFERROR(DATE(--LEFT(LEFT(SUBSTITUTE(SUBSTITUTE(SUBSTITUTE(SUBSTITUTE(TRIM($W601),"-",""),".",""),"/","")," ",""),8),4),--MID(LEFT(SUBSTITUTE(SUBSTITUTE(SUBSTITUTE(SUBSTITUTE(TRIM($W601),"-",""),".",""),"/","")," ",""),8),5,2),--MID(LEFT(SUBSTITUTE(SUBSTITUTE(SUBSTITUTE(SUBSTITUTE(TRIM($W601),"-",""),".",""),"/","")," ",""),8),7,2)),"")))</f>
        <v/>
      </c>
      <c r="Y601" s="32">
        <f>IF($X601="","",INT($X601))</f>
        <v/>
      </c>
      <c r="Z601" s="33">
        <f>IF(OR($Y601="",$D$6=""),"",IF(INDEX($A:$U,ROW(),$D$6)="",0,IF(ISNUMBER(INDEX($A:$U,ROW(),$D$6)),INDEX($A:$U,ROW(),$D$6),IFERROR(--SUBSTITUTE(SUBSTITUTE(TRIM(INDEX($A:$U,ROW(),$D$6)),",",""),"원",""),0))))</f>
        <v/>
      </c>
      <c r="AA601" s="31">
        <f>IF($Y601="","",TRIM(INDEX($A:$U,ROW(),$E$6)&amp;IF($F$6="",""," "&amp;INDEX($A:$U,ROW(),$F$6))))</f>
        <v/>
      </c>
      <c r="AB601" s="31">
        <f>IF($AA601="","",SUBSTITUTE(SUBSTITUTE(SUBSTITUTE(SUBSTITUTE(SUBSTITUTE(SUBSTITUTE(SUBSTITUTE(SUBSTITUTE(SUBSTITUTE($AA601," ",""),"　",""),"(주)",""),"（주）",""),"㈜",""),"주식회사",""),"(유)",""),"（유）",""),"유한회사",""))</f>
        <v/>
      </c>
      <c r="AC601" s="31">
        <f>IF(OR($Y601="",N($Z601)&lt;=0,$AB601=""),0,IFERROR(LOOKUP(2,1/((거래처별!$AC$8:$AC$307&lt;&gt;"")*ISNUMBER(SEARCH(거래처별!$AC$8:$AC$307,$AB601))),거래처별!$A$8:$A$307),IFERROR(LOOKUP(2,1/((거래처별!$AD$8:$AD$307&lt;&gt;"")*ISNUMBER(SEARCH(거래처별!$AD$8:$AD$307,$AB601))),거래처별!$A$8:$A$307),IFERROR(LOOKUP(2,1/((거래처별!$AE$8:$AE$307&lt;&gt;"")*ISNUMBER(SEARCH(거래처별!$AE$8:$AE$307,$AB601))),거래처별!$A$8:$A$307),0))))</f>
        <v/>
      </c>
      <c r="AD601" s="31">
        <f>IF(AND($Y601&lt;&gt;"",N($Z601)&gt;0,$AC601=0),MAX($AD$7:$AD600)+1,"")</f>
        <v/>
      </c>
      <c r="AE601" s="31">
        <f>IF($Y601="",0,$Y601)</f>
        <v/>
      </c>
    </row>
    <row r="602">
      <c r="W602" s="31">
        <f>IF(OR($B$5="",$C$6="",ROW()&lt;$B$5),"",IF(INDEX($A:$U,ROW(),$C$6)="","",INDEX($A:$U,ROW(),$C$6)))</f>
        <v/>
      </c>
      <c r="X602" s="32">
        <f>IF($W602="","",IF(ISNUMBER($W602),IF($W602&gt;=10000000,IFERROR(DATE(INT($W602/10000),MOD(INT($W602/100),100),MOD($W602,100)),""),INT($W602)),IFERROR(DATE(--LEFT(LEFT(SUBSTITUTE(SUBSTITUTE(SUBSTITUTE(SUBSTITUTE(TRIM($W602),"-",""),".",""),"/","")," ",""),8),4),--MID(LEFT(SUBSTITUTE(SUBSTITUTE(SUBSTITUTE(SUBSTITUTE(TRIM($W602),"-",""),".",""),"/","")," ",""),8),5,2),--MID(LEFT(SUBSTITUTE(SUBSTITUTE(SUBSTITUTE(SUBSTITUTE(TRIM($W602),"-",""),".",""),"/","")," ",""),8),7,2)),"")))</f>
        <v/>
      </c>
      <c r="Y602" s="32">
        <f>IF($X602="","",INT($X602))</f>
        <v/>
      </c>
      <c r="Z602" s="33">
        <f>IF(OR($Y602="",$D$6=""),"",IF(INDEX($A:$U,ROW(),$D$6)="",0,IF(ISNUMBER(INDEX($A:$U,ROW(),$D$6)),INDEX($A:$U,ROW(),$D$6),IFERROR(--SUBSTITUTE(SUBSTITUTE(TRIM(INDEX($A:$U,ROW(),$D$6)),",",""),"원",""),0))))</f>
        <v/>
      </c>
      <c r="AA602" s="31">
        <f>IF($Y602="","",TRIM(INDEX($A:$U,ROW(),$E$6)&amp;IF($F$6="",""," "&amp;INDEX($A:$U,ROW(),$F$6))))</f>
        <v/>
      </c>
      <c r="AB602" s="31">
        <f>IF($AA602="","",SUBSTITUTE(SUBSTITUTE(SUBSTITUTE(SUBSTITUTE(SUBSTITUTE(SUBSTITUTE(SUBSTITUTE(SUBSTITUTE(SUBSTITUTE($AA602," ",""),"　",""),"(주)",""),"（주）",""),"㈜",""),"주식회사",""),"(유)",""),"（유）",""),"유한회사",""))</f>
        <v/>
      </c>
      <c r="AC602" s="31">
        <f>IF(OR($Y602="",N($Z602)&lt;=0,$AB602=""),0,IFERROR(LOOKUP(2,1/((거래처별!$AC$8:$AC$307&lt;&gt;"")*ISNUMBER(SEARCH(거래처별!$AC$8:$AC$307,$AB602))),거래처별!$A$8:$A$307),IFERROR(LOOKUP(2,1/((거래처별!$AD$8:$AD$307&lt;&gt;"")*ISNUMBER(SEARCH(거래처별!$AD$8:$AD$307,$AB602))),거래처별!$A$8:$A$307),IFERROR(LOOKUP(2,1/((거래처별!$AE$8:$AE$307&lt;&gt;"")*ISNUMBER(SEARCH(거래처별!$AE$8:$AE$307,$AB602))),거래처별!$A$8:$A$307),0))))</f>
        <v/>
      </c>
      <c r="AD602" s="31">
        <f>IF(AND($Y602&lt;&gt;"",N($Z602)&gt;0,$AC602=0),MAX($AD$7:$AD601)+1,"")</f>
        <v/>
      </c>
      <c r="AE602" s="31">
        <f>IF($Y602="",0,$Y602)</f>
        <v/>
      </c>
    </row>
    <row r="603">
      <c r="W603" s="31">
        <f>IF(OR($B$5="",$C$6="",ROW()&lt;$B$5),"",IF(INDEX($A:$U,ROW(),$C$6)="","",INDEX($A:$U,ROW(),$C$6)))</f>
        <v/>
      </c>
      <c r="X603" s="32">
        <f>IF($W603="","",IF(ISNUMBER($W603),IF($W603&gt;=10000000,IFERROR(DATE(INT($W603/10000),MOD(INT($W603/100),100),MOD($W603,100)),""),INT($W603)),IFERROR(DATE(--LEFT(LEFT(SUBSTITUTE(SUBSTITUTE(SUBSTITUTE(SUBSTITUTE(TRIM($W603),"-",""),".",""),"/","")," ",""),8),4),--MID(LEFT(SUBSTITUTE(SUBSTITUTE(SUBSTITUTE(SUBSTITUTE(TRIM($W603),"-",""),".",""),"/","")," ",""),8),5,2),--MID(LEFT(SUBSTITUTE(SUBSTITUTE(SUBSTITUTE(SUBSTITUTE(TRIM($W603),"-",""),".",""),"/","")," ",""),8),7,2)),"")))</f>
        <v/>
      </c>
      <c r="Y603" s="32">
        <f>IF($X603="","",INT($X603))</f>
        <v/>
      </c>
      <c r="Z603" s="33">
        <f>IF(OR($Y603="",$D$6=""),"",IF(INDEX($A:$U,ROW(),$D$6)="",0,IF(ISNUMBER(INDEX($A:$U,ROW(),$D$6)),INDEX($A:$U,ROW(),$D$6),IFERROR(--SUBSTITUTE(SUBSTITUTE(TRIM(INDEX($A:$U,ROW(),$D$6)),",",""),"원",""),0))))</f>
        <v/>
      </c>
      <c r="AA603" s="31">
        <f>IF($Y603="","",TRIM(INDEX($A:$U,ROW(),$E$6)&amp;IF($F$6="",""," "&amp;INDEX($A:$U,ROW(),$F$6))))</f>
        <v/>
      </c>
      <c r="AB603" s="31">
        <f>IF($AA603="","",SUBSTITUTE(SUBSTITUTE(SUBSTITUTE(SUBSTITUTE(SUBSTITUTE(SUBSTITUTE(SUBSTITUTE(SUBSTITUTE(SUBSTITUTE($AA603," ",""),"　",""),"(주)",""),"（주）",""),"㈜",""),"주식회사",""),"(유)",""),"（유）",""),"유한회사",""))</f>
        <v/>
      </c>
      <c r="AC603" s="31">
        <f>IF(OR($Y603="",N($Z603)&lt;=0,$AB603=""),0,IFERROR(LOOKUP(2,1/((거래처별!$AC$8:$AC$307&lt;&gt;"")*ISNUMBER(SEARCH(거래처별!$AC$8:$AC$307,$AB603))),거래처별!$A$8:$A$307),IFERROR(LOOKUP(2,1/((거래처별!$AD$8:$AD$307&lt;&gt;"")*ISNUMBER(SEARCH(거래처별!$AD$8:$AD$307,$AB603))),거래처별!$A$8:$A$307),IFERROR(LOOKUP(2,1/((거래처별!$AE$8:$AE$307&lt;&gt;"")*ISNUMBER(SEARCH(거래처별!$AE$8:$AE$307,$AB603))),거래처별!$A$8:$A$307),0))))</f>
        <v/>
      </c>
      <c r="AD603" s="31">
        <f>IF(AND($Y603&lt;&gt;"",N($Z603)&gt;0,$AC603=0),MAX($AD$7:$AD602)+1,"")</f>
        <v/>
      </c>
      <c r="AE603" s="31">
        <f>IF($Y603="",0,$Y603)</f>
        <v/>
      </c>
    </row>
    <row r="604">
      <c r="W604" s="31">
        <f>IF(OR($B$5="",$C$6="",ROW()&lt;$B$5),"",IF(INDEX($A:$U,ROW(),$C$6)="","",INDEX($A:$U,ROW(),$C$6)))</f>
        <v/>
      </c>
      <c r="X604" s="32">
        <f>IF($W604="","",IF(ISNUMBER($W604),IF($W604&gt;=10000000,IFERROR(DATE(INT($W604/10000),MOD(INT($W604/100),100),MOD($W604,100)),""),INT($W604)),IFERROR(DATE(--LEFT(LEFT(SUBSTITUTE(SUBSTITUTE(SUBSTITUTE(SUBSTITUTE(TRIM($W604),"-",""),".",""),"/","")," ",""),8),4),--MID(LEFT(SUBSTITUTE(SUBSTITUTE(SUBSTITUTE(SUBSTITUTE(TRIM($W604),"-",""),".",""),"/","")," ",""),8),5,2),--MID(LEFT(SUBSTITUTE(SUBSTITUTE(SUBSTITUTE(SUBSTITUTE(TRIM($W604),"-",""),".",""),"/","")," ",""),8),7,2)),"")))</f>
        <v/>
      </c>
      <c r="Y604" s="32">
        <f>IF($X604="","",INT($X604))</f>
        <v/>
      </c>
      <c r="Z604" s="33">
        <f>IF(OR($Y604="",$D$6=""),"",IF(INDEX($A:$U,ROW(),$D$6)="",0,IF(ISNUMBER(INDEX($A:$U,ROW(),$D$6)),INDEX($A:$U,ROW(),$D$6),IFERROR(--SUBSTITUTE(SUBSTITUTE(TRIM(INDEX($A:$U,ROW(),$D$6)),",",""),"원",""),0))))</f>
        <v/>
      </c>
      <c r="AA604" s="31">
        <f>IF($Y604="","",TRIM(INDEX($A:$U,ROW(),$E$6)&amp;IF($F$6="",""," "&amp;INDEX($A:$U,ROW(),$F$6))))</f>
        <v/>
      </c>
      <c r="AB604" s="31">
        <f>IF($AA604="","",SUBSTITUTE(SUBSTITUTE(SUBSTITUTE(SUBSTITUTE(SUBSTITUTE(SUBSTITUTE(SUBSTITUTE(SUBSTITUTE(SUBSTITUTE($AA604," ",""),"　",""),"(주)",""),"（주）",""),"㈜",""),"주식회사",""),"(유)",""),"（유）",""),"유한회사",""))</f>
        <v/>
      </c>
      <c r="AC604" s="31">
        <f>IF(OR($Y604="",N($Z604)&lt;=0,$AB604=""),0,IFERROR(LOOKUP(2,1/((거래처별!$AC$8:$AC$307&lt;&gt;"")*ISNUMBER(SEARCH(거래처별!$AC$8:$AC$307,$AB604))),거래처별!$A$8:$A$307),IFERROR(LOOKUP(2,1/((거래처별!$AD$8:$AD$307&lt;&gt;"")*ISNUMBER(SEARCH(거래처별!$AD$8:$AD$307,$AB604))),거래처별!$A$8:$A$307),IFERROR(LOOKUP(2,1/((거래처별!$AE$8:$AE$307&lt;&gt;"")*ISNUMBER(SEARCH(거래처별!$AE$8:$AE$307,$AB604))),거래처별!$A$8:$A$307),0))))</f>
        <v/>
      </c>
      <c r="AD604" s="31">
        <f>IF(AND($Y604&lt;&gt;"",N($Z604)&gt;0,$AC604=0),MAX($AD$7:$AD603)+1,"")</f>
        <v/>
      </c>
      <c r="AE604" s="31">
        <f>IF($Y604="",0,$Y604)</f>
        <v/>
      </c>
    </row>
    <row r="605">
      <c r="W605" s="31">
        <f>IF(OR($B$5="",$C$6="",ROW()&lt;$B$5),"",IF(INDEX($A:$U,ROW(),$C$6)="","",INDEX($A:$U,ROW(),$C$6)))</f>
        <v/>
      </c>
      <c r="X605" s="32">
        <f>IF($W605="","",IF(ISNUMBER($W605),IF($W605&gt;=10000000,IFERROR(DATE(INT($W605/10000),MOD(INT($W605/100),100),MOD($W605,100)),""),INT($W605)),IFERROR(DATE(--LEFT(LEFT(SUBSTITUTE(SUBSTITUTE(SUBSTITUTE(SUBSTITUTE(TRIM($W605),"-",""),".",""),"/","")," ",""),8),4),--MID(LEFT(SUBSTITUTE(SUBSTITUTE(SUBSTITUTE(SUBSTITUTE(TRIM($W605),"-",""),".",""),"/","")," ",""),8),5,2),--MID(LEFT(SUBSTITUTE(SUBSTITUTE(SUBSTITUTE(SUBSTITUTE(TRIM($W605),"-",""),".",""),"/","")," ",""),8),7,2)),"")))</f>
        <v/>
      </c>
      <c r="Y605" s="32">
        <f>IF($X605="","",INT($X605))</f>
        <v/>
      </c>
      <c r="Z605" s="33">
        <f>IF(OR($Y605="",$D$6=""),"",IF(INDEX($A:$U,ROW(),$D$6)="",0,IF(ISNUMBER(INDEX($A:$U,ROW(),$D$6)),INDEX($A:$U,ROW(),$D$6),IFERROR(--SUBSTITUTE(SUBSTITUTE(TRIM(INDEX($A:$U,ROW(),$D$6)),",",""),"원",""),0))))</f>
        <v/>
      </c>
      <c r="AA605" s="31">
        <f>IF($Y605="","",TRIM(INDEX($A:$U,ROW(),$E$6)&amp;IF($F$6="",""," "&amp;INDEX($A:$U,ROW(),$F$6))))</f>
        <v/>
      </c>
      <c r="AB605" s="31">
        <f>IF($AA605="","",SUBSTITUTE(SUBSTITUTE(SUBSTITUTE(SUBSTITUTE(SUBSTITUTE(SUBSTITUTE(SUBSTITUTE(SUBSTITUTE(SUBSTITUTE($AA605," ",""),"　",""),"(주)",""),"（주）",""),"㈜",""),"주식회사",""),"(유)",""),"（유）",""),"유한회사",""))</f>
        <v/>
      </c>
      <c r="AC605" s="31">
        <f>IF(OR($Y605="",N($Z605)&lt;=0,$AB605=""),0,IFERROR(LOOKUP(2,1/((거래처별!$AC$8:$AC$307&lt;&gt;"")*ISNUMBER(SEARCH(거래처별!$AC$8:$AC$307,$AB605))),거래처별!$A$8:$A$307),IFERROR(LOOKUP(2,1/((거래처별!$AD$8:$AD$307&lt;&gt;"")*ISNUMBER(SEARCH(거래처별!$AD$8:$AD$307,$AB605))),거래처별!$A$8:$A$307),IFERROR(LOOKUP(2,1/((거래처별!$AE$8:$AE$307&lt;&gt;"")*ISNUMBER(SEARCH(거래처별!$AE$8:$AE$307,$AB605))),거래처별!$A$8:$A$307),0))))</f>
        <v/>
      </c>
      <c r="AD605" s="31">
        <f>IF(AND($Y605&lt;&gt;"",N($Z605)&gt;0,$AC605=0),MAX($AD$7:$AD604)+1,"")</f>
        <v/>
      </c>
      <c r="AE605" s="31">
        <f>IF($Y605="",0,$Y605)</f>
        <v/>
      </c>
    </row>
    <row r="606">
      <c r="W606" s="31">
        <f>IF(OR($B$5="",$C$6="",ROW()&lt;$B$5),"",IF(INDEX($A:$U,ROW(),$C$6)="","",INDEX($A:$U,ROW(),$C$6)))</f>
        <v/>
      </c>
      <c r="X606" s="32">
        <f>IF($W606="","",IF(ISNUMBER($W606),IF($W606&gt;=10000000,IFERROR(DATE(INT($W606/10000),MOD(INT($W606/100),100),MOD($W606,100)),""),INT($W606)),IFERROR(DATE(--LEFT(LEFT(SUBSTITUTE(SUBSTITUTE(SUBSTITUTE(SUBSTITUTE(TRIM($W606),"-",""),".",""),"/","")," ",""),8),4),--MID(LEFT(SUBSTITUTE(SUBSTITUTE(SUBSTITUTE(SUBSTITUTE(TRIM($W606),"-",""),".",""),"/","")," ",""),8),5,2),--MID(LEFT(SUBSTITUTE(SUBSTITUTE(SUBSTITUTE(SUBSTITUTE(TRIM($W606),"-",""),".",""),"/","")," ",""),8),7,2)),"")))</f>
        <v/>
      </c>
      <c r="Y606" s="32">
        <f>IF($X606="","",INT($X606))</f>
        <v/>
      </c>
      <c r="Z606" s="33">
        <f>IF(OR($Y606="",$D$6=""),"",IF(INDEX($A:$U,ROW(),$D$6)="",0,IF(ISNUMBER(INDEX($A:$U,ROW(),$D$6)),INDEX($A:$U,ROW(),$D$6),IFERROR(--SUBSTITUTE(SUBSTITUTE(TRIM(INDEX($A:$U,ROW(),$D$6)),",",""),"원",""),0))))</f>
        <v/>
      </c>
      <c r="AA606" s="31">
        <f>IF($Y606="","",TRIM(INDEX($A:$U,ROW(),$E$6)&amp;IF($F$6="",""," "&amp;INDEX($A:$U,ROW(),$F$6))))</f>
        <v/>
      </c>
      <c r="AB606" s="31">
        <f>IF($AA606="","",SUBSTITUTE(SUBSTITUTE(SUBSTITUTE(SUBSTITUTE(SUBSTITUTE(SUBSTITUTE(SUBSTITUTE(SUBSTITUTE(SUBSTITUTE($AA606," ",""),"　",""),"(주)",""),"（주）",""),"㈜",""),"주식회사",""),"(유)",""),"（유）",""),"유한회사",""))</f>
        <v/>
      </c>
      <c r="AC606" s="31">
        <f>IF(OR($Y606="",N($Z606)&lt;=0,$AB606=""),0,IFERROR(LOOKUP(2,1/((거래처별!$AC$8:$AC$307&lt;&gt;"")*ISNUMBER(SEARCH(거래처별!$AC$8:$AC$307,$AB606))),거래처별!$A$8:$A$307),IFERROR(LOOKUP(2,1/((거래처별!$AD$8:$AD$307&lt;&gt;"")*ISNUMBER(SEARCH(거래처별!$AD$8:$AD$307,$AB606))),거래처별!$A$8:$A$307),IFERROR(LOOKUP(2,1/((거래처별!$AE$8:$AE$307&lt;&gt;"")*ISNUMBER(SEARCH(거래처별!$AE$8:$AE$307,$AB606))),거래처별!$A$8:$A$307),0))))</f>
        <v/>
      </c>
      <c r="AD606" s="31">
        <f>IF(AND($Y606&lt;&gt;"",N($Z606)&gt;0,$AC606=0),MAX($AD$7:$AD605)+1,"")</f>
        <v/>
      </c>
      <c r="AE606" s="31">
        <f>IF($Y606="",0,$Y606)</f>
        <v/>
      </c>
    </row>
    <row r="607">
      <c r="W607" s="31">
        <f>IF(OR($B$5="",$C$6="",ROW()&lt;$B$5),"",IF(INDEX($A:$U,ROW(),$C$6)="","",INDEX($A:$U,ROW(),$C$6)))</f>
        <v/>
      </c>
      <c r="X607" s="32">
        <f>IF($W607="","",IF(ISNUMBER($W607),IF($W607&gt;=10000000,IFERROR(DATE(INT($W607/10000),MOD(INT($W607/100),100),MOD($W607,100)),""),INT($W607)),IFERROR(DATE(--LEFT(LEFT(SUBSTITUTE(SUBSTITUTE(SUBSTITUTE(SUBSTITUTE(TRIM($W607),"-",""),".",""),"/","")," ",""),8),4),--MID(LEFT(SUBSTITUTE(SUBSTITUTE(SUBSTITUTE(SUBSTITUTE(TRIM($W607),"-",""),".",""),"/","")," ",""),8),5,2),--MID(LEFT(SUBSTITUTE(SUBSTITUTE(SUBSTITUTE(SUBSTITUTE(TRIM($W607),"-",""),".",""),"/","")," ",""),8),7,2)),"")))</f>
        <v/>
      </c>
      <c r="Y607" s="32">
        <f>IF($X607="","",INT($X607))</f>
        <v/>
      </c>
      <c r="Z607" s="33">
        <f>IF(OR($Y607="",$D$6=""),"",IF(INDEX($A:$U,ROW(),$D$6)="",0,IF(ISNUMBER(INDEX($A:$U,ROW(),$D$6)),INDEX($A:$U,ROW(),$D$6),IFERROR(--SUBSTITUTE(SUBSTITUTE(TRIM(INDEX($A:$U,ROW(),$D$6)),",",""),"원",""),0))))</f>
        <v/>
      </c>
      <c r="AA607" s="31">
        <f>IF($Y607="","",TRIM(INDEX($A:$U,ROW(),$E$6)&amp;IF($F$6="",""," "&amp;INDEX($A:$U,ROW(),$F$6))))</f>
        <v/>
      </c>
      <c r="AB607" s="31">
        <f>IF($AA607="","",SUBSTITUTE(SUBSTITUTE(SUBSTITUTE(SUBSTITUTE(SUBSTITUTE(SUBSTITUTE(SUBSTITUTE(SUBSTITUTE(SUBSTITUTE($AA607," ",""),"　",""),"(주)",""),"（주）",""),"㈜",""),"주식회사",""),"(유)",""),"（유）",""),"유한회사",""))</f>
        <v/>
      </c>
      <c r="AC607" s="31">
        <f>IF(OR($Y607="",N($Z607)&lt;=0,$AB607=""),0,IFERROR(LOOKUP(2,1/((거래처별!$AC$8:$AC$307&lt;&gt;"")*ISNUMBER(SEARCH(거래처별!$AC$8:$AC$307,$AB607))),거래처별!$A$8:$A$307),IFERROR(LOOKUP(2,1/((거래처별!$AD$8:$AD$307&lt;&gt;"")*ISNUMBER(SEARCH(거래처별!$AD$8:$AD$307,$AB607))),거래처별!$A$8:$A$307),IFERROR(LOOKUP(2,1/((거래처별!$AE$8:$AE$307&lt;&gt;"")*ISNUMBER(SEARCH(거래처별!$AE$8:$AE$307,$AB607))),거래처별!$A$8:$A$307),0))))</f>
        <v/>
      </c>
      <c r="AD607" s="31">
        <f>IF(AND($Y607&lt;&gt;"",N($Z607)&gt;0,$AC607=0),MAX($AD$7:$AD606)+1,"")</f>
        <v/>
      </c>
      <c r="AE607" s="31">
        <f>IF($Y607="",0,$Y607)</f>
        <v/>
      </c>
    </row>
    <row r="608">
      <c r="W608" s="31">
        <f>IF(OR($B$5="",$C$6="",ROW()&lt;$B$5),"",IF(INDEX($A:$U,ROW(),$C$6)="","",INDEX($A:$U,ROW(),$C$6)))</f>
        <v/>
      </c>
      <c r="X608" s="32">
        <f>IF($W608="","",IF(ISNUMBER($W608),IF($W608&gt;=10000000,IFERROR(DATE(INT($W608/10000),MOD(INT($W608/100),100),MOD($W608,100)),""),INT($W608)),IFERROR(DATE(--LEFT(LEFT(SUBSTITUTE(SUBSTITUTE(SUBSTITUTE(SUBSTITUTE(TRIM($W608),"-",""),".",""),"/","")," ",""),8),4),--MID(LEFT(SUBSTITUTE(SUBSTITUTE(SUBSTITUTE(SUBSTITUTE(TRIM($W608),"-",""),".",""),"/","")," ",""),8),5,2),--MID(LEFT(SUBSTITUTE(SUBSTITUTE(SUBSTITUTE(SUBSTITUTE(TRIM($W608),"-",""),".",""),"/","")," ",""),8),7,2)),"")))</f>
        <v/>
      </c>
      <c r="Y608" s="32">
        <f>IF($X608="","",INT($X608))</f>
        <v/>
      </c>
      <c r="Z608" s="33">
        <f>IF(OR($Y608="",$D$6=""),"",IF(INDEX($A:$U,ROW(),$D$6)="",0,IF(ISNUMBER(INDEX($A:$U,ROW(),$D$6)),INDEX($A:$U,ROW(),$D$6),IFERROR(--SUBSTITUTE(SUBSTITUTE(TRIM(INDEX($A:$U,ROW(),$D$6)),",",""),"원",""),0))))</f>
        <v/>
      </c>
      <c r="AA608" s="31">
        <f>IF($Y608="","",TRIM(INDEX($A:$U,ROW(),$E$6)&amp;IF($F$6="",""," "&amp;INDEX($A:$U,ROW(),$F$6))))</f>
        <v/>
      </c>
      <c r="AB608" s="31">
        <f>IF($AA608="","",SUBSTITUTE(SUBSTITUTE(SUBSTITUTE(SUBSTITUTE(SUBSTITUTE(SUBSTITUTE(SUBSTITUTE(SUBSTITUTE(SUBSTITUTE($AA608," ",""),"　",""),"(주)",""),"（주）",""),"㈜",""),"주식회사",""),"(유)",""),"（유）",""),"유한회사",""))</f>
        <v/>
      </c>
      <c r="AC608" s="31">
        <f>IF(OR($Y608="",N($Z608)&lt;=0,$AB608=""),0,IFERROR(LOOKUP(2,1/((거래처별!$AC$8:$AC$307&lt;&gt;"")*ISNUMBER(SEARCH(거래처별!$AC$8:$AC$307,$AB608))),거래처별!$A$8:$A$307),IFERROR(LOOKUP(2,1/((거래처별!$AD$8:$AD$307&lt;&gt;"")*ISNUMBER(SEARCH(거래처별!$AD$8:$AD$307,$AB608))),거래처별!$A$8:$A$307),IFERROR(LOOKUP(2,1/((거래처별!$AE$8:$AE$307&lt;&gt;"")*ISNUMBER(SEARCH(거래처별!$AE$8:$AE$307,$AB608))),거래처별!$A$8:$A$307),0))))</f>
        <v/>
      </c>
      <c r="AD608" s="31">
        <f>IF(AND($Y608&lt;&gt;"",N($Z608)&gt;0,$AC608=0),MAX($AD$7:$AD607)+1,"")</f>
        <v/>
      </c>
      <c r="AE608" s="31">
        <f>IF($Y608="",0,$Y608)</f>
        <v/>
      </c>
    </row>
    <row r="609">
      <c r="W609" s="31">
        <f>IF(OR($B$5="",$C$6="",ROW()&lt;$B$5),"",IF(INDEX($A:$U,ROW(),$C$6)="","",INDEX($A:$U,ROW(),$C$6)))</f>
        <v/>
      </c>
      <c r="X609" s="32">
        <f>IF($W609="","",IF(ISNUMBER($W609),IF($W609&gt;=10000000,IFERROR(DATE(INT($W609/10000),MOD(INT($W609/100),100),MOD($W609,100)),""),INT($W609)),IFERROR(DATE(--LEFT(LEFT(SUBSTITUTE(SUBSTITUTE(SUBSTITUTE(SUBSTITUTE(TRIM($W609),"-",""),".",""),"/","")," ",""),8),4),--MID(LEFT(SUBSTITUTE(SUBSTITUTE(SUBSTITUTE(SUBSTITUTE(TRIM($W609),"-",""),".",""),"/","")," ",""),8),5,2),--MID(LEFT(SUBSTITUTE(SUBSTITUTE(SUBSTITUTE(SUBSTITUTE(TRIM($W609),"-",""),".",""),"/","")," ",""),8),7,2)),"")))</f>
        <v/>
      </c>
      <c r="Y609" s="32">
        <f>IF($X609="","",INT($X609))</f>
        <v/>
      </c>
      <c r="Z609" s="33">
        <f>IF(OR($Y609="",$D$6=""),"",IF(INDEX($A:$U,ROW(),$D$6)="",0,IF(ISNUMBER(INDEX($A:$U,ROW(),$D$6)),INDEX($A:$U,ROW(),$D$6),IFERROR(--SUBSTITUTE(SUBSTITUTE(TRIM(INDEX($A:$U,ROW(),$D$6)),",",""),"원",""),0))))</f>
        <v/>
      </c>
      <c r="AA609" s="31">
        <f>IF($Y609="","",TRIM(INDEX($A:$U,ROW(),$E$6)&amp;IF($F$6="",""," "&amp;INDEX($A:$U,ROW(),$F$6))))</f>
        <v/>
      </c>
      <c r="AB609" s="31">
        <f>IF($AA609="","",SUBSTITUTE(SUBSTITUTE(SUBSTITUTE(SUBSTITUTE(SUBSTITUTE(SUBSTITUTE(SUBSTITUTE(SUBSTITUTE(SUBSTITUTE($AA609," ",""),"　",""),"(주)",""),"（주）",""),"㈜",""),"주식회사",""),"(유)",""),"（유）",""),"유한회사",""))</f>
        <v/>
      </c>
      <c r="AC609" s="31">
        <f>IF(OR($Y609="",N($Z609)&lt;=0,$AB609=""),0,IFERROR(LOOKUP(2,1/((거래처별!$AC$8:$AC$307&lt;&gt;"")*ISNUMBER(SEARCH(거래처별!$AC$8:$AC$307,$AB609))),거래처별!$A$8:$A$307),IFERROR(LOOKUP(2,1/((거래처별!$AD$8:$AD$307&lt;&gt;"")*ISNUMBER(SEARCH(거래처별!$AD$8:$AD$307,$AB609))),거래처별!$A$8:$A$307),IFERROR(LOOKUP(2,1/((거래처별!$AE$8:$AE$307&lt;&gt;"")*ISNUMBER(SEARCH(거래처별!$AE$8:$AE$307,$AB609))),거래처별!$A$8:$A$307),0))))</f>
        <v/>
      </c>
      <c r="AD609" s="31">
        <f>IF(AND($Y609&lt;&gt;"",N($Z609)&gt;0,$AC609=0),MAX($AD$7:$AD608)+1,"")</f>
        <v/>
      </c>
      <c r="AE609" s="31">
        <f>IF($Y609="",0,$Y609)</f>
        <v/>
      </c>
    </row>
    <row r="610">
      <c r="W610" s="31">
        <f>IF(OR($B$5="",$C$6="",ROW()&lt;$B$5),"",IF(INDEX($A:$U,ROW(),$C$6)="","",INDEX($A:$U,ROW(),$C$6)))</f>
        <v/>
      </c>
      <c r="X610" s="32">
        <f>IF($W610="","",IF(ISNUMBER($W610),IF($W610&gt;=10000000,IFERROR(DATE(INT($W610/10000),MOD(INT($W610/100),100),MOD($W610,100)),""),INT($W610)),IFERROR(DATE(--LEFT(LEFT(SUBSTITUTE(SUBSTITUTE(SUBSTITUTE(SUBSTITUTE(TRIM($W610),"-",""),".",""),"/","")," ",""),8),4),--MID(LEFT(SUBSTITUTE(SUBSTITUTE(SUBSTITUTE(SUBSTITUTE(TRIM($W610),"-",""),".",""),"/","")," ",""),8),5,2),--MID(LEFT(SUBSTITUTE(SUBSTITUTE(SUBSTITUTE(SUBSTITUTE(TRIM($W610),"-",""),".",""),"/","")," ",""),8),7,2)),"")))</f>
        <v/>
      </c>
      <c r="Y610" s="32">
        <f>IF($X610="","",INT($X610))</f>
        <v/>
      </c>
      <c r="Z610" s="33">
        <f>IF(OR($Y610="",$D$6=""),"",IF(INDEX($A:$U,ROW(),$D$6)="",0,IF(ISNUMBER(INDEX($A:$U,ROW(),$D$6)),INDEX($A:$U,ROW(),$D$6),IFERROR(--SUBSTITUTE(SUBSTITUTE(TRIM(INDEX($A:$U,ROW(),$D$6)),",",""),"원",""),0))))</f>
        <v/>
      </c>
      <c r="AA610" s="31">
        <f>IF($Y610="","",TRIM(INDEX($A:$U,ROW(),$E$6)&amp;IF($F$6="",""," "&amp;INDEX($A:$U,ROW(),$F$6))))</f>
        <v/>
      </c>
      <c r="AB610" s="31">
        <f>IF($AA610="","",SUBSTITUTE(SUBSTITUTE(SUBSTITUTE(SUBSTITUTE(SUBSTITUTE(SUBSTITUTE(SUBSTITUTE(SUBSTITUTE(SUBSTITUTE($AA610," ",""),"　",""),"(주)",""),"（주）",""),"㈜",""),"주식회사",""),"(유)",""),"（유）",""),"유한회사",""))</f>
        <v/>
      </c>
      <c r="AC610" s="31">
        <f>IF(OR($Y610="",N($Z610)&lt;=0,$AB610=""),0,IFERROR(LOOKUP(2,1/((거래처별!$AC$8:$AC$307&lt;&gt;"")*ISNUMBER(SEARCH(거래처별!$AC$8:$AC$307,$AB610))),거래처별!$A$8:$A$307),IFERROR(LOOKUP(2,1/((거래처별!$AD$8:$AD$307&lt;&gt;"")*ISNUMBER(SEARCH(거래처별!$AD$8:$AD$307,$AB610))),거래처별!$A$8:$A$307),IFERROR(LOOKUP(2,1/((거래처별!$AE$8:$AE$307&lt;&gt;"")*ISNUMBER(SEARCH(거래처별!$AE$8:$AE$307,$AB610))),거래처별!$A$8:$A$307),0))))</f>
        <v/>
      </c>
      <c r="AD610" s="31">
        <f>IF(AND($Y610&lt;&gt;"",N($Z610)&gt;0,$AC610=0),MAX($AD$7:$AD609)+1,"")</f>
        <v/>
      </c>
      <c r="AE610" s="31">
        <f>IF($Y610="",0,$Y610)</f>
        <v/>
      </c>
    </row>
    <row r="611">
      <c r="W611" s="31">
        <f>IF(OR($B$5="",$C$6="",ROW()&lt;$B$5),"",IF(INDEX($A:$U,ROW(),$C$6)="","",INDEX($A:$U,ROW(),$C$6)))</f>
        <v/>
      </c>
      <c r="X611" s="32">
        <f>IF($W611="","",IF(ISNUMBER($W611),IF($W611&gt;=10000000,IFERROR(DATE(INT($W611/10000),MOD(INT($W611/100),100),MOD($W611,100)),""),INT($W611)),IFERROR(DATE(--LEFT(LEFT(SUBSTITUTE(SUBSTITUTE(SUBSTITUTE(SUBSTITUTE(TRIM($W611),"-",""),".",""),"/","")," ",""),8),4),--MID(LEFT(SUBSTITUTE(SUBSTITUTE(SUBSTITUTE(SUBSTITUTE(TRIM($W611),"-",""),".",""),"/","")," ",""),8),5,2),--MID(LEFT(SUBSTITUTE(SUBSTITUTE(SUBSTITUTE(SUBSTITUTE(TRIM($W611),"-",""),".",""),"/","")," ",""),8),7,2)),"")))</f>
        <v/>
      </c>
      <c r="Y611" s="32">
        <f>IF($X611="","",INT($X611))</f>
        <v/>
      </c>
      <c r="Z611" s="33">
        <f>IF(OR($Y611="",$D$6=""),"",IF(INDEX($A:$U,ROW(),$D$6)="",0,IF(ISNUMBER(INDEX($A:$U,ROW(),$D$6)),INDEX($A:$U,ROW(),$D$6),IFERROR(--SUBSTITUTE(SUBSTITUTE(TRIM(INDEX($A:$U,ROW(),$D$6)),",",""),"원",""),0))))</f>
        <v/>
      </c>
      <c r="AA611" s="31">
        <f>IF($Y611="","",TRIM(INDEX($A:$U,ROW(),$E$6)&amp;IF($F$6="",""," "&amp;INDEX($A:$U,ROW(),$F$6))))</f>
        <v/>
      </c>
      <c r="AB611" s="31">
        <f>IF($AA611="","",SUBSTITUTE(SUBSTITUTE(SUBSTITUTE(SUBSTITUTE(SUBSTITUTE(SUBSTITUTE(SUBSTITUTE(SUBSTITUTE(SUBSTITUTE($AA611," ",""),"　",""),"(주)",""),"（주）",""),"㈜",""),"주식회사",""),"(유)",""),"（유）",""),"유한회사",""))</f>
        <v/>
      </c>
      <c r="AC611" s="31">
        <f>IF(OR($Y611="",N($Z611)&lt;=0,$AB611=""),0,IFERROR(LOOKUP(2,1/((거래처별!$AC$8:$AC$307&lt;&gt;"")*ISNUMBER(SEARCH(거래처별!$AC$8:$AC$307,$AB611))),거래처별!$A$8:$A$307),IFERROR(LOOKUP(2,1/((거래처별!$AD$8:$AD$307&lt;&gt;"")*ISNUMBER(SEARCH(거래처별!$AD$8:$AD$307,$AB611))),거래처별!$A$8:$A$307),IFERROR(LOOKUP(2,1/((거래처별!$AE$8:$AE$307&lt;&gt;"")*ISNUMBER(SEARCH(거래처별!$AE$8:$AE$307,$AB611))),거래처별!$A$8:$A$307),0))))</f>
        <v/>
      </c>
      <c r="AD611" s="31">
        <f>IF(AND($Y611&lt;&gt;"",N($Z611)&gt;0,$AC611=0),MAX($AD$7:$AD610)+1,"")</f>
        <v/>
      </c>
      <c r="AE611" s="31">
        <f>IF($Y611="",0,$Y611)</f>
        <v/>
      </c>
    </row>
    <row r="612">
      <c r="W612" s="31">
        <f>IF(OR($B$5="",$C$6="",ROW()&lt;$B$5),"",IF(INDEX($A:$U,ROW(),$C$6)="","",INDEX($A:$U,ROW(),$C$6)))</f>
        <v/>
      </c>
      <c r="X612" s="32">
        <f>IF($W612="","",IF(ISNUMBER($W612),IF($W612&gt;=10000000,IFERROR(DATE(INT($W612/10000),MOD(INT($W612/100),100),MOD($W612,100)),""),INT($W612)),IFERROR(DATE(--LEFT(LEFT(SUBSTITUTE(SUBSTITUTE(SUBSTITUTE(SUBSTITUTE(TRIM($W612),"-",""),".",""),"/","")," ",""),8),4),--MID(LEFT(SUBSTITUTE(SUBSTITUTE(SUBSTITUTE(SUBSTITUTE(TRIM($W612),"-",""),".",""),"/","")," ",""),8),5,2),--MID(LEFT(SUBSTITUTE(SUBSTITUTE(SUBSTITUTE(SUBSTITUTE(TRIM($W612),"-",""),".",""),"/","")," ",""),8),7,2)),"")))</f>
        <v/>
      </c>
      <c r="Y612" s="32">
        <f>IF($X612="","",INT($X612))</f>
        <v/>
      </c>
      <c r="Z612" s="33">
        <f>IF(OR($Y612="",$D$6=""),"",IF(INDEX($A:$U,ROW(),$D$6)="",0,IF(ISNUMBER(INDEX($A:$U,ROW(),$D$6)),INDEX($A:$U,ROW(),$D$6),IFERROR(--SUBSTITUTE(SUBSTITUTE(TRIM(INDEX($A:$U,ROW(),$D$6)),",",""),"원",""),0))))</f>
        <v/>
      </c>
      <c r="AA612" s="31">
        <f>IF($Y612="","",TRIM(INDEX($A:$U,ROW(),$E$6)&amp;IF($F$6="",""," "&amp;INDEX($A:$U,ROW(),$F$6))))</f>
        <v/>
      </c>
      <c r="AB612" s="31">
        <f>IF($AA612="","",SUBSTITUTE(SUBSTITUTE(SUBSTITUTE(SUBSTITUTE(SUBSTITUTE(SUBSTITUTE(SUBSTITUTE(SUBSTITUTE(SUBSTITUTE($AA612," ",""),"　",""),"(주)",""),"（주）",""),"㈜",""),"주식회사",""),"(유)",""),"（유）",""),"유한회사",""))</f>
        <v/>
      </c>
      <c r="AC612" s="31">
        <f>IF(OR($Y612="",N($Z612)&lt;=0,$AB612=""),0,IFERROR(LOOKUP(2,1/((거래처별!$AC$8:$AC$307&lt;&gt;"")*ISNUMBER(SEARCH(거래처별!$AC$8:$AC$307,$AB612))),거래처별!$A$8:$A$307),IFERROR(LOOKUP(2,1/((거래처별!$AD$8:$AD$307&lt;&gt;"")*ISNUMBER(SEARCH(거래처별!$AD$8:$AD$307,$AB612))),거래처별!$A$8:$A$307),IFERROR(LOOKUP(2,1/((거래처별!$AE$8:$AE$307&lt;&gt;"")*ISNUMBER(SEARCH(거래처별!$AE$8:$AE$307,$AB612))),거래처별!$A$8:$A$307),0))))</f>
        <v/>
      </c>
      <c r="AD612" s="31">
        <f>IF(AND($Y612&lt;&gt;"",N($Z612)&gt;0,$AC612=0),MAX($AD$7:$AD611)+1,"")</f>
        <v/>
      </c>
      <c r="AE612" s="31">
        <f>IF($Y612="",0,$Y612)</f>
        <v/>
      </c>
    </row>
    <row r="613">
      <c r="W613" s="31">
        <f>IF(OR($B$5="",$C$6="",ROW()&lt;$B$5),"",IF(INDEX($A:$U,ROW(),$C$6)="","",INDEX($A:$U,ROW(),$C$6)))</f>
        <v/>
      </c>
      <c r="X613" s="32">
        <f>IF($W613="","",IF(ISNUMBER($W613),IF($W613&gt;=10000000,IFERROR(DATE(INT($W613/10000),MOD(INT($W613/100),100),MOD($W613,100)),""),INT($W613)),IFERROR(DATE(--LEFT(LEFT(SUBSTITUTE(SUBSTITUTE(SUBSTITUTE(SUBSTITUTE(TRIM($W613),"-",""),".",""),"/","")," ",""),8),4),--MID(LEFT(SUBSTITUTE(SUBSTITUTE(SUBSTITUTE(SUBSTITUTE(TRIM($W613),"-",""),".",""),"/","")," ",""),8),5,2),--MID(LEFT(SUBSTITUTE(SUBSTITUTE(SUBSTITUTE(SUBSTITUTE(TRIM($W613),"-",""),".",""),"/","")," ",""),8),7,2)),"")))</f>
        <v/>
      </c>
      <c r="Y613" s="32">
        <f>IF($X613="","",INT($X613))</f>
        <v/>
      </c>
      <c r="Z613" s="33">
        <f>IF(OR($Y613="",$D$6=""),"",IF(INDEX($A:$U,ROW(),$D$6)="",0,IF(ISNUMBER(INDEX($A:$U,ROW(),$D$6)),INDEX($A:$U,ROW(),$D$6),IFERROR(--SUBSTITUTE(SUBSTITUTE(TRIM(INDEX($A:$U,ROW(),$D$6)),",",""),"원",""),0))))</f>
        <v/>
      </c>
      <c r="AA613" s="31">
        <f>IF($Y613="","",TRIM(INDEX($A:$U,ROW(),$E$6)&amp;IF($F$6="",""," "&amp;INDEX($A:$U,ROW(),$F$6))))</f>
        <v/>
      </c>
      <c r="AB613" s="31">
        <f>IF($AA613="","",SUBSTITUTE(SUBSTITUTE(SUBSTITUTE(SUBSTITUTE(SUBSTITUTE(SUBSTITUTE(SUBSTITUTE(SUBSTITUTE(SUBSTITUTE($AA613," ",""),"　",""),"(주)",""),"（주）",""),"㈜",""),"주식회사",""),"(유)",""),"（유）",""),"유한회사",""))</f>
        <v/>
      </c>
      <c r="AC613" s="31">
        <f>IF(OR($Y613="",N($Z613)&lt;=0,$AB613=""),0,IFERROR(LOOKUP(2,1/((거래처별!$AC$8:$AC$307&lt;&gt;"")*ISNUMBER(SEARCH(거래처별!$AC$8:$AC$307,$AB613))),거래처별!$A$8:$A$307),IFERROR(LOOKUP(2,1/((거래처별!$AD$8:$AD$307&lt;&gt;"")*ISNUMBER(SEARCH(거래처별!$AD$8:$AD$307,$AB613))),거래처별!$A$8:$A$307),IFERROR(LOOKUP(2,1/((거래처별!$AE$8:$AE$307&lt;&gt;"")*ISNUMBER(SEARCH(거래처별!$AE$8:$AE$307,$AB613))),거래처별!$A$8:$A$307),0))))</f>
        <v/>
      </c>
      <c r="AD613" s="31">
        <f>IF(AND($Y613&lt;&gt;"",N($Z613)&gt;0,$AC613=0),MAX($AD$7:$AD612)+1,"")</f>
        <v/>
      </c>
      <c r="AE613" s="31">
        <f>IF($Y613="",0,$Y613)</f>
        <v/>
      </c>
    </row>
    <row r="614">
      <c r="W614" s="31">
        <f>IF(OR($B$5="",$C$6="",ROW()&lt;$B$5),"",IF(INDEX($A:$U,ROW(),$C$6)="","",INDEX($A:$U,ROW(),$C$6)))</f>
        <v/>
      </c>
      <c r="X614" s="32">
        <f>IF($W614="","",IF(ISNUMBER($W614),IF($W614&gt;=10000000,IFERROR(DATE(INT($W614/10000),MOD(INT($W614/100),100),MOD($W614,100)),""),INT($W614)),IFERROR(DATE(--LEFT(LEFT(SUBSTITUTE(SUBSTITUTE(SUBSTITUTE(SUBSTITUTE(TRIM($W614),"-",""),".",""),"/","")," ",""),8),4),--MID(LEFT(SUBSTITUTE(SUBSTITUTE(SUBSTITUTE(SUBSTITUTE(TRIM($W614),"-",""),".",""),"/","")," ",""),8),5,2),--MID(LEFT(SUBSTITUTE(SUBSTITUTE(SUBSTITUTE(SUBSTITUTE(TRIM($W614),"-",""),".",""),"/","")," ",""),8),7,2)),"")))</f>
        <v/>
      </c>
      <c r="Y614" s="32">
        <f>IF($X614="","",INT($X614))</f>
        <v/>
      </c>
      <c r="Z614" s="33">
        <f>IF(OR($Y614="",$D$6=""),"",IF(INDEX($A:$U,ROW(),$D$6)="",0,IF(ISNUMBER(INDEX($A:$U,ROW(),$D$6)),INDEX($A:$U,ROW(),$D$6),IFERROR(--SUBSTITUTE(SUBSTITUTE(TRIM(INDEX($A:$U,ROW(),$D$6)),",",""),"원",""),0))))</f>
        <v/>
      </c>
      <c r="AA614" s="31">
        <f>IF($Y614="","",TRIM(INDEX($A:$U,ROW(),$E$6)&amp;IF($F$6="",""," "&amp;INDEX($A:$U,ROW(),$F$6))))</f>
        <v/>
      </c>
      <c r="AB614" s="31">
        <f>IF($AA614="","",SUBSTITUTE(SUBSTITUTE(SUBSTITUTE(SUBSTITUTE(SUBSTITUTE(SUBSTITUTE(SUBSTITUTE(SUBSTITUTE(SUBSTITUTE($AA614," ",""),"　",""),"(주)",""),"（주）",""),"㈜",""),"주식회사",""),"(유)",""),"（유）",""),"유한회사",""))</f>
        <v/>
      </c>
      <c r="AC614" s="31">
        <f>IF(OR($Y614="",N($Z614)&lt;=0,$AB614=""),0,IFERROR(LOOKUP(2,1/((거래처별!$AC$8:$AC$307&lt;&gt;"")*ISNUMBER(SEARCH(거래처별!$AC$8:$AC$307,$AB614))),거래처별!$A$8:$A$307),IFERROR(LOOKUP(2,1/((거래처별!$AD$8:$AD$307&lt;&gt;"")*ISNUMBER(SEARCH(거래처별!$AD$8:$AD$307,$AB614))),거래처별!$A$8:$A$307),IFERROR(LOOKUP(2,1/((거래처별!$AE$8:$AE$307&lt;&gt;"")*ISNUMBER(SEARCH(거래처별!$AE$8:$AE$307,$AB614))),거래처별!$A$8:$A$307),0))))</f>
        <v/>
      </c>
      <c r="AD614" s="31">
        <f>IF(AND($Y614&lt;&gt;"",N($Z614)&gt;0,$AC614=0),MAX($AD$7:$AD613)+1,"")</f>
        <v/>
      </c>
      <c r="AE614" s="31">
        <f>IF($Y614="",0,$Y614)</f>
        <v/>
      </c>
    </row>
    <row r="615">
      <c r="W615" s="31">
        <f>IF(OR($B$5="",$C$6="",ROW()&lt;$B$5),"",IF(INDEX($A:$U,ROW(),$C$6)="","",INDEX($A:$U,ROW(),$C$6)))</f>
        <v/>
      </c>
      <c r="X615" s="32">
        <f>IF($W615="","",IF(ISNUMBER($W615),IF($W615&gt;=10000000,IFERROR(DATE(INT($W615/10000),MOD(INT($W615/100),100),MOD($W615,100)),""),INT($W615)),IFERROR(DATE(--LEFT(LEFT(SUBSTITUTE(SUBSTITUTE(SUBSTITUTE(SUBSTITUTE(TRIM($W615),"-",""),".",""),"/","")," ",""),8),4),--MID(LEFT(SUBSTITUTE(SUBSTITUTE(SUBSTITUTE(SUBSTITUTE(TRIM($W615),"-",""),".",""),"/","")," ",""),8),5,2),--MID(LEFT(SUBSTITUTE(SUBSTITUTE(SUBSTITUTE(SUBSTITUTE(TRIM($W615),"-",""),".",""),"/","")," ",""),8),7,2)),"")))</f>
        <v/>
      </c>
      <c r="Y615" s="32">
        <f>IF($X615="","",INT($X615))</f>
        <v/>
      </c>
      <c r="Z615" s="33">
        <f>IF(OR($Y615="",$D$6=""),"",IF(INDEX($A:$U,ROW(),$D$6)="",0,IF(ISNUMBER(INDEX($A:$U,ROW(),$D$6)),INDEX($A:$U,ROW(),$D$6),IFERROR(--SUBSTITUTE(SUBSTITUTE(TRIM(INDEX($A:$U,ROW(),$D$6)),",",""),"원",""),0))))</f>
        <v/>
      </c>
      <c r="AA615" s="31">
        <f>IF($Y615="","",TRIM(INDEX($A:$U,ROW(),$E$6)&amp;IF($F$6="",""," "&amp;INDEX($A:$U,ROW(),$F$6))))</f>
        <v/>
      </c>
      <c r="AB615" s="31">
        <f>IF($AA615="","",SUBSTITUTE(SUBSTITUTE(SUBSTITUTE(SUBSTITUTE(SUBSTITUTE(SUBSTITUTE(SUBSTITUTE(SUBSTITUTE(SUBSTITUTE($AA615," ",""),"　",""),"(주)",""),"（주）",""),"㈜",""),"주식회사",""),"(유)",""),"（유）",""),"유한회사",""))</f>
        <v/>
      </c>
      <c r="AC615" s="31">
        <f>IF(OR($Y615="",N($Z615)&lt;=0,$AB615=""),0,IFERROR(LOOKUP(2,1/((거래처별!$AC$8:$AC$307&lt;&gt;"")*ISNUMBER(SEARCH(거래처별!$AC$8:$AC$307,$AB615))),거래처별!$A$8:$A$307),IFERROR(LOOKUP(2,1/((거래처별!$AD$8:$AD$307&lt;&gt;"")*ISNUMBER(SEARCH(거래처별!$AD$8:$AD$307,$AB615))),거래처별!$A$8:$A$307),IFERROR(LOOKUP(2,1/((거래처별!$AE$8:$AE$307&lt;&gt;"")*ISNUMBER(SEARCH(거래처별!$AE$8:$AE$307,$AB615))),거래처별!$A$8:$A$307),0))))</f>
        <v/>
      </c>
      <c r="AD615" s="31">
        <f>IF(AND($Y615&lt;&gt;"",N($Z615)&gt;0,$AC615=0),MAX($AD$7:$AD614)+1,"")</f>
        <v/>
      </c>
      <c r="AE615" s="31">
        <f>IF($Y615="",0,$Y615)</f>
        <v/>
      </c>
    </row>
    <row r="616">
      <c r="W616" s="31">
        <f>IF(OR($B$5="",$C$6="",ROW()&lt;$B$5),"",IF(INDEX($A:$U,ROW(),$C$6)="","",INDEX($A:$U,ROW(),$C$6)))</f>
        <v/>
      </c>
      <c r="X616" s="32">
        <f>IF($W616="","",IF(ISNUMBER($W616),IF($W616&gt;=10000000,IFERROR(DATE(INT($W616/10000),MOD(INT($W616/100),100),MOD($W616,100)),""),INT($W616)),IFERROR(DATE(--LEFT(LEFT(SUBSTITUTE(SUBSTITUTE(SUBSTITUTE(SUBSTITUTE(TRIM($W616),"-",""),".",""),"/","")," ",""),8),4),--MID(LEFT(SUBSTITUTE(SUBSTITUTE(SUBSTITUTE(SUBSTITUTE(TRIM($W616),"-",""),".",""),"/","")," ",""),8),5,2),--MID(LEFT(SUBSTITUTE(SUBSTITUTE(SUBSTITUTE(SUBSTITUTE(TRIM($W616),"-",""),".",""),"/","")," ",""),8),7,2)),"")))</f>
        <v/>
      </c>
      <c r="Y616" s="32">
        <f>IF($X616="","",INT($X616))</f>
        <v/>
      </c>
      <c r="Z616" s="33">
        <f>IF(OR($Y616="",$D$6=""),"",IF(INDEX($A:$U,ROW(),$D$6)="",0,IF(ISNUMBER(INDEX($A:$U,ROW(),$D$6)),INDEX($A:$U,ROW(),$D$6),IFERROR(--SUBSTITUTE(SUBSTITUTE(TRIM(INDEX($A:$U,ROW(),$D$6)),",",""),"원",""),0))))</f>
        <v/>
      </c>
      <c r="AA616" s="31">
        <f>IF($Y616="","",TRIM(INDEX($A:$U,ROW(),$E$6)&amp;IF($F$6="",""," "&amp;INDEX($A:$U,ROW(),$F$6))))</f>
        <v/>
      </c>
      <c r="AB616" s="31">
        <f>IF($AA616="","",SUBSTITUTE(SUBSTITUTE(SUBSTITUTE(SUBSTITUTE(SUBSTITUTE(SUBSTITUTE(SUBSTITUTE(SUBSTITUTE(SUBSTITUTE($AA616," ",""),"　",""),"(주)",""),"（주）",""),"㈜",""),"주식회사",""),"(유)",""),"（유）",""),"유한회사",""))</f>
        <v/>
      </c>
      <c r="AC616" s="31">
        <f>IF(OR($Y616="",N($Z616)&lt;=0,$AB616=""),0,IFERROR(LOOKUP(2,1/((거래처별!$AC$8:$AC$307&lt;&gt;"")*ISNUMBER(SEARCH(거래처별!$AC$8:$AC$307,$AB616))),거래처별!$A$8:$A$307),IFERROR(LOOKUP(2,1/((거래처별!$AD$8:$AD$307&lt;&gt;"")*ISNUMBER(SEARCH(거래처별!$AD$8:$AD$307,$AB616))),거래처별!$A$8:$A$307),IFERROR(LOOKUP(2,1/((거래처별!$AE$8:$AE$307&lt;&gt;"")*ISNUMBER(SEARCH(거래처별!$AE$8:$AE$307,$AB616))),거래처별!$A$8:$A$307),0))))</f>
        <v/>
      </c>
      <c r="AD616" s="31">
        <f>IF(AND($Y616&lt;&gt;"",N($Z616)&gt;0,$AC616=0),MAX($AD$7:$AD615)+1,"")</f>
        <v/>
      </c>
      <c r="AE616" s="31">
        <f>IF($Y616="",0,$Y616)</f>
        <v/>
      </c>
    </row>
    <row r="617">
      <c r="W617" s="31">
        <f>IF(OR($B$5="",$C$6="",ROW()&lt;$B$5),"",IF(INDEX($A:$U,ROW(),$C$6)="","",INDEX($A:$U,ROW(),$C$6)))</f>
        <v/>
      </c>
      <c r="X617" s="32">
        <f>IF($W617="","",IF(ISNUMBER($W617),IF($W617&gt;=10000000,IFERROR(DATE(INT($W617/10000),MOD(INT($W617/100),100),MOD($W617,100)),""),INT($W617)),IFERROR(DATE(--LEFT(LEFT(SUBSTITUTE(SUBSTITUTE(SUBSTITUTE(SUBSTITUTE(TRIM($W617),"-",""),".",""),"/","")," ",""),8),4),--MID(LEFT(SUBSTITUTE(SUBSTITUTE(SUBSTITUTE(SUBSTITUTE(TRIM($W617),"-",""),".",""),"/","")," ",""),8),5,2),--MID(LEFT(SUBSTITUTE(SUBSTITUTE(SUBSTITUTE(SUBSTITUTE(TRIM($W617),"-",""),".",""),"/","")," ",""),8),7,2)),"")))</f>
        <v/>
      </c>
      <c r="Y617" s="32">
        <f>IF($X617="","",INT($X617))</f>
        <v/>
      </c>
      <c r="Z617" s="33">
        <f>IF(OR($Y617="",$D$6=""),"",IF(INDEX($A:$U,ROW(),$D$6)="",0,IF(ISNUMBER(INDEX($A:$U,ROW(),$D$6)),INDEX($A:$U,ROW(),$D$6),IFERROR(--SUBSTITUTE(SUBSTITUTE(TRIM(INDEX($A:$U,ROW(),$D$6)),",",""),"원",""),0))))</f>
        <v/>
      </c>
      <c r="AA617" s="31">
        <f>IF($Y617="","",TRIM(INDEX($A:$U,ROW(),$E$6)&amp;IF($F$6="",""," "&amp;INDEX($A:$U,ROW(),$F$6))))</f>
        <v/>
      </c>
      <c r="AB617" s="31">
        <f>IF($AA617="","",SUBSTITUTE(SUBSTITUTE(SUBSTITUTE(SUBSTITUTE(SUBSTITUTE(SUBSTITUTE(SUBSTITUTE(SUBSTITUTE(SUBSTITUTE($AA617," ",""),"　",""),"(주)",""),"（주）",""),"㈜",""),"주식회사",""),"(유)",""),"（유）",""),"유한회사",""))</f>
        <v/>
      </c>
      <c r="AC617" s="31">
        <f>IF(OR($Y617="",N($Z617)&lt;=0,$AB617=""),0,IFERROR(LOOKUP(2,1/((거래처별!$AC$8:$AC$307&lt;&gt;"")*ISNUMBER(SEARCH(거래처별!$AC$8:$AC$307,$AB617))),거래처별!$A$8:$A$307),IFERROR(LOOKUP(2,1/((거래처별!$AD$8:$AD$307&lt;&gt;"")*ISNUMBER(SEARCH(거래처별!$AD$8:$AD$307,$AB617))),거래처별!$A$8:$A$307),IFERROR(LOOKUP(2,1/((거래처별!$AE$8:$AE$307&lt;&gt;"")*ISNUMBER(SEARCH(거래처별!$AE$8:$AE$307,$AB617))),거래처별!$A$8:$A$307),0))))</f>
        <v/>
      </c>
      <c r="AD617" s="31">
        <f>IF(AND($Y617&lt;&gt;"",N($Z617)&gt;0,$AC617=0),MAX($AD$7:$AD616)+1,"")</f>
        <v/>
      </c>
      <c r="AE617" s="31">
        <f>IF($Y617="",0,$Y617)</f>
        <v/>
      </c>
    </row>
    <row r="618">
      <c r="W618" s="31">
        <f>IF(OR($B$5="",$C$6="",ROW()&lt;$B$5),"",IF(INDEX($A:$U,ROW(),$C$6)="","",INDEX($A:$U,ROW(),$C$6)))</f>
        <v/>
      </c>
      <c r="X618" s="32">
        <f>IF($W618="","",IF(ISNUMBER($W618),IF($W618&gt;=10000000,IFERROR(DATE(INT($W618/10000),MOD(INT($W618/100),100),MOD($W618,100)),""),INT($W618)),IFERROR(DATE(--LEFT(LEFT(SUBSTITUTE(SUBSTITUTE(SUBSTITUTE(SUBSTITUTE(TRIM($W618),"-",""),".",""),"/","")," ",""),8),4),--MID(LEFT(SUBSTITUTE(SUBSTITUTE(SUBSTITUTE(SUBSTITUTE(TRIM($W618),"-",""),".",""),"/","")," ",""),8),5,2),--MID(LEFT(SUBSTITUTE(SUBSTITUTE(SUBSTITUTE(SUBSTITUTE(TRIM($W618),"-",""),".",""),"/","")," ",""),8),7,2)),"")))</f>
        <v/>
      </c>
      <c r="Y618" s="32">
        <f>IF($X618="","",INT($X618))</f>
        <v/>
      </c>
      <c r="Z618" s="33">
        <f>IF(OR($Y618="",$D$6=""),"",IF(INDEX($A:$U,ROW(),$D$6)="",0,IF(ISNUMBER(INDEX($A:$U,ROW(),$D$6)),INDEX($A:$U,ROW(),$D$6),IFERROR(--SUBSTITUTE(SUBSTITUTE(TRIM(INDEX($A:$U,ROW(),$D$6)),",",""),"원",""),0))))</f>
        <v/>
      </c>
      <c r="AA618" s="31">
        <f>IF($Y618="","",TRIM(INDEX($A:$U,ROW(),$E$6)&amp;IF($F$6="",""," "&amp;INDEX($A:$U,ROW(),$F$6))))</f>
        <v/>
      </c>
      <c r="AB618" s="31">
        <f>IF($AA618="","",SUBSTITUTE(SUBSTITUTE(SUBSTITUTE(SUBSTITUTE(SUBSTITUTE(SUBSTITUTE(SUBSTITUTE(SUBSTITUTE(SUBSTITUTE($AA618," ",""),"　",""),"(주)",""),"（주）",""),"㈜",""),"주식회사",""),"(유)",""),"（유）",""),"유한회사",""))</f>
        <v/>
      </c>
      <c r="AC618" s="31">
        <f>IF(OR($Y618="",N($Z618)&lt;=0,$AB618=""),0,IFERROR(LOOKUP(2,1/((거래처별!$AC$8:$AC$307&lt;&gt;"")*ISNUMBER(SEARCH(거래처별!$AC$8:$AC$307,$AB618))),거래처별!$A$8:$A$307),IFERROR(LOOKUP(2,1/((거래처별!$AD$8:$AD$307&lt;&gt;"")*ISNUMBER(SEARCH(거래처별!$AD$8:$AD$307,$AB618))),거래처별!$A$8:$A$307),IFERROR(LOOKUP(2,1/((거래처별!$AE$8:$AE$307&lt;&gt;"")*ISNUMBER(SEARCH(거래처별!$AE$8:$AE$307,$AB618))),거래처별!$A$8:$A$307),0))))</f>
        <v/>
      </c>
      <c r="AD618" s="31">
        <f>IF(AND($Y618&lt;&gt;"",N($Z618)&gt;0,$AC618=0),MAX($AD$7:$AD617)+1,"")</f>
        <v/>
      </c>
      <c r="AE618" s="31">
        <f>IF($Y618="",0,$Y618)</f>
        <v/>
      </c>
    </row>
    <row r="619">
      <c r="W619" s="31">
        <f>IF(OR($B$5="",$C$6="",ROW()&lt;$B$5),"",IF(INDEX($A:$U,ROW(),$C$6)="","",INDEX($A:$U,ROW(),$C$6)))</f>
        <v/>
      </c>
      <c r="X619" s="32">
        <f>IF($W619="","",IF(ISNUMBER($W619),IF($W619&gt;=10000000,IFERROR(DATE(INT($W619/10000),MOD(INT($W619/100),100),MOD($W619,100)),""),INT($W619)),IFERROR(DATE(--LEFT(LEFT(SUBSTITUTE(SUBSTITUTE(SUBSTITUTE(SUBSTITUTE(TRIM($W619),"-",""),".",""),"/","")," ",""),8),4),--MID(LEFT(SUBSTITUTE(SUBSTITUTE(SUBSTITUTE(SUBSTITUTE(TRIM($W619),"-",""),".",""),"/","")," ",""),8),5,2),--MID(LEFT(SUBSTITUTE(SUBSTITUTE(SUBSTITUTE(SUBSTITUTE(TRIM($W619),"-",""),".",""),"/","")," ",""),8),7,2)),"")))</f>
        <v/>
      </c>
      <c r="Y619" s="32">
        <f>IF($X619="","",INT($X619))</f>
        <v/>
      </c>
      <c r="Z619" s="33">
        <f>IF(OR($Y619="",$D$6=""),"",IF(INDEX($A:$U,ROW(),$D$6)="",0,IF(ISNUMBER(INDEX($A:$U,ROW(),$D$6)),INDEX($A:$U,ROW(),$D$6),IFERROR(--SUBSTITUTE(SUBSTITUTE(TRIM(INDEX($A:$U,ROW(),$D$6)),",",""),"원",""),0))))</f>
        <v/>
      </c>
      <c r="AA619" s="31">
        <f>IF($Y619="","",TRIM(INDEX($A:$U,ROW(),$E$6)&amp;IF($F$6="",""," "&amp;INDEX($A:$U,ROW(),$F$6))))</f>
        <v/>
      </c>
      <c r="AB619" s="31">
        <f>IF($AA619="","",SUBSTITUTE(SUBSTITUTE(SUBSTITUTE(SUBSTITUTE(SUBSTITUTE(SUBSTITUTE(SUBSTITUTE(SUBSTITUTE(SUBSTITUTE($AA619," ",""),"　",""),"(주)",""),"（주）",""),"㈜",""),"주식회사",""),"(유)",""),"（유）",""),"유한회사",""))</f>
        <v/>
      </c>
      <c r="AC619" s="31">
        <f>IF(OR($Y619="",N($Z619)&lt;=0,$AB619=""),0,IFERROR(LOOKUP(2,1/((거래처별!$AC$8:$AC$307&lt;&gt;"")*ISNUMBER(SEARCH(거래처별!$AC$8:$AC$307,$AB619))),거래처별!$A$8:$A$307),IFERROR(LOOKUP(2,1/((거래처별!$AD$8:$AD$307&lt;&gt;"")*ISNUMBER(SEARCH(거래처별!$AD$8:$AD$307,$AB619))),거래처별!$A$8:$A$307),IFERROR(LOOKUP(2,1/((거래처별!$AE$8:$AE$307&lt;&gt;"")*ISNUMBER(SEARCH(거래처별!$AE$8:$AE$307,$AB619))),거래처별!$A$8:$A$307),0))))</f>
        <v/>
      </c>
      <c r="AD619" s="31">
        <f>IF(AND($Y619&lt;&gt;"",N($Z619)&gt;0,$AC619=0),MAX($AD$7:$AD618)+1,"")</f>
        <v/>
      </c>
      <c r="AE619" s="31">
        <f>IF($Y619="",0,$Y619)</f>
        <v/>
      </c>
    </row>
    <row r="620">
      <c r="W620" s="31">
        <f>IF(OR($B$5="",$C$6="",ROW()&lt;$B$5),"",IF(INDEX($A:$U,ROW(),$C$6)="","",INDEX($A:$U,ROW(),$C$6)))</f>
        <v/>
      </c>
      <c r="X620" s="32">
        <f>IF($W620="","",IF(ISNUMBER($W620),IF($W620&gt;=10000000,IFERROR(DATE(INT($W620/10000),MOD(INT($W620/100),100),MOD($W620,100)),""),INT($W620)),IFERROR(DATE(--LEFT(LEFT(SUBSTITUTE(SUBSTITUTE(SUBSTITUTE(SUBSTITUTE(TRIM($W620),"-",""),".",""),"/","")," ",""),8),4),--MID(LEFT(SUBSTITUTE(SUBSTITUTE(SUBSTITUTE(SUBSTITUTE(TRIM($W620),"-",""),".",""),"/","")," ",""),8),5,2),--MID(LEFT(SUBSTITUTE(SUBSTITUTE(SUBSTITUTE(SUBSTITUTE(TRIM($W620),"-",""),".",""),"/","")," ",""),8),7,2)),"")))</f>
        <v/>
      </c>
      <c r="Y620" s="32">
        <f>IF($X620="","",INT($X620))</f>
        <v/>
      </c>
      <c r="Z620" s="33">
        <f>IF(OR($Y620="",$D$6=""),"",IF(INDEX($A:$U,ROW(),$D$6)="",0,IF(ISNUMBER(INDEX($A:$U,ROW(),$D$6)),INDEX($A:$U,ROW(),$D$6),IFERROR(--SUBSTITUTE(SUBSTITUTE(TRIM(INDEX($A:$U,ROW(),$D$6)),",",""),"원",""),0))))</f>
        <v/>
      </c>
      <c r="AA620" s="31">
        <f>IF($Y620="","",TRIM(INDEX($A:$U,ROW(),$E$6)&amp;IF($F$6="",""," "&amp;INDEX($A:$U,ROW(),$F$6))))</f>
        <v/>
      </c>
      <c r="AB620" s="31">
        <f>IF($AA620="","",SUBSTITUTE(SUBSTITUTE(SUBSTITUTE(SUBSTITUTE(SUBSTITUTE(SUBSTITUTE(SUBSTITUTE(SUBSTITUTE(SUBSTITUTE($AA620," ",""),"　",""),"(주)",""),"（주）",""),"㈜",""),"주식회사",""),"(유)",""),"（유）",""),"유한회사",""))</f>
        <v/>
      </c>
      <c r="AC620" s="31">
        <f>IF(OR($Y620="",N($Z620)&lt;=0,$AB620=""),0,IFERROR(LOOKUP(2,1/((거래처별!$AC$8:$AC$307&lt;&gt;"")*ISNUMBER(SEARCH(거래처별!$AC$8:$AC$307,$AB620))),거래처별!$A$8:$A$307),IFERROR(LOOKUP(2,1/((거래처별!$AD$8:$AD$307&lt;&gt;"")*ISNUMBER(SEARCH(거래처별!$AD$8:$AD$307,$AB620))),거래처별!$A$8:$A$307),IFERROR(LOOKUP(2,1/((거래처별!$AE$8:$AE$307&lt;&gt;"")*ISNUMBER(SEARCH(거래처별!$AE$8:$AE$307,$AB620))),거래처별!$A$8:$A$307),0))))</f>
        <v/>
      </c>
      <c r="AD620" s="31">
        <f>IF(AND($Y620&lt;&gt;"",N($Z620)&gt;0,$AC620=0),MAX($AD$7:$AD619)+1,"")</f>
        <v/>
      </c>
      <c r="AE620" s="31">
        <f>IF($Y620="",0,$Y620)</f>
        <v/>
      </c>
    </row>
    <row r="621">
      <c r="W621" s="31">
        <f>IF(OR($B$5="",$C$6="",ROW()&lt;$B$5),"",IF(INDEX($A:$U,ROW(),$C$6)="","",INDEX($A:$U,ROW(),$C$6)))</f>
        <v/>
      </c>
      <c r="X621" s="32">
        <f>IF($W621="","",IF(ISNUMBER($W621),IF($W621&gt;=10000000,IFERROR(DATE(INT($W621/10000),MOD(INT($W621/100),100),MOD($W621,100)),""),INT($W621)),IFERROR(DATE(--LEFT(LEFT(SUBSTITUTE(SUBSTITUTE(SUBSTITUTE(SUBSTITUTE(TRIM($W621),"-",""),".",""),"/","")," ",""),8),4),--MID(LEFT(SUBSTITUTE(SUBSTITUTE(SUBSTITUTE(SUBSTITUTE(TRIM($W621),"-",""),".",""),"/","")," ",""),8),5,2),--MID(LEFT(SUBSTITUTE(SUBSTITUTE(SUBSTITUTE(SUBSTITUTE(TRIM($W621),"-",""),".",""),"/","")," ",""),8),7,2)),"")))</f>
        <v/>
      </c>
      <c r="Y621" s="32">
        <f>IF($X621="","",INT($X621))</f>
        <v/>
      </c>
      <c r="Z621" s="33">
        <f>IF(OR($Y621="",$D$6=""),"",IF(INDEX($A:$U,ROW(),$D$6)="",0,IF(ISNUMBER(INDEX($A:$U,ROW(),$D$6)),INDEX($A:$U,ROW(),$D$6),IFERROR(--SUBSTITUTE(SUBSTITUTE(TRIM(INDEX($A:$U,ROW(),$D$6)),",",""),"원",""),0))))</f>
        <v/>
      </c>
      <c r="AA621" s="31">
        <f>IF($Y621="","",TRIM(INDEX($A:$U,ROW(),$E$6)&amp;IF($F$6="",""," "&amp;INDEX($A:$U,ROW(),$F$6))))</f>
        <v/>
      </c>
      <c r="AB621" s="31">
        <f>IF($AA621="","",SUBSTITUTE(SUBSTITUTE(SUBSTITUTE(SUBSTITUTE(SUBSTITUTE(SUBSTITUTE(SUBSTITUTE(SUBSTITUTE(SUBSTITUTE($AA621," ",""),"　",""),"(주)",""),"（주）",""),"㈜",""),"주식회사",""),"(유)",""),"（유）",""),"유한회사",""))</f>
        <v/>
      </c>
      <c r="AC621" s="31">
        <f>IF(OR($Y621="",N($Z621)&lt;=0,$AB621=""),0,IFERROR(LOOKUP(2,1/((거래처별!$AC$8:$AC$307&lt;&gt;"")*ISNUMBER(SEARCH(거래처별!$AC$8:$AC$307,$AB621))),거래처별!$A$8:$A$307),IFERROR(LOOKUP(2,1/((거래처별!$AD$8:$AD$307&lt;&gt;"")*ISNUMBER(SEARCH(거래처별!$AD$8:$AD$307,$AB621))),거래처별!$A$8:$A$307),IFERROR(LOOKUP(2,1/((거래처별!$AE$8:$AE$307&lt;&gt;"")*ISNUMBER(SEARCH(거래처별!$AE$8:$AE$307,$AB621))),거래처별!$A$8:$A$307),0))))</f>
        <v/>
      </c>
      <c r="AD621" s="31">
        <f>IF(AND($Y621&lt;&gt;"",N($Z621)&gt;0,$AC621=0),MAX($AD$7:$AD620)+1,"")</f>
        <v/>
      </c>
      <c r="AE621" s="31">
        <f>IF($Y621="",0,$Y621)</f>
        <v/>
      </c>
    </row>
    <row r="622">
      <c r="W622" s="31">
        <f>IF(OR($B$5="",$C$6="",ROW()&lt;$B$5),"",IF(INDEX($A:$U,ROW(),$C$6)="","",INDEX($A:$U,ROW(),$C$6)))</f>
        <v/>
      </c>
      <c r="X622" s="32">
        <f>IF($W622="","",IF(ISNUMBER($W622),IF($W622&gt;=10000000,IFERROR(DATE(INT($W622/10000),MOD(INT($W622/100),100),MOD($W622,100)),""),INT($W622)),IFERROR(DATE(--LEFT(LEFT(SUBSTITUTE(SUBSTITUTE(SUBSTITUTE(SUBSTITUTE(TRIM($W622),"-",""),".",""),"/","")," ",""),8),4),--MID(LEFT(SUBSTITUTE(SUBSTITUTE(SUBSTITUTE(SUBSTITUTE(TRIM($W622),"-",""),".",""),"/","")," ",""),8),5,2),--MID(LEFT(SUBSTITUTE(SUBSTITUTE(SUBSTITUTE(SUBSTITUTE(TRIM($W622),"-",""),".",""),"/","")," ",""),8),7,2)),"")))</f>
        <v/>
      </c>
      <c r="Y622" s="32">
        <f>IF($X622="","",INT($X622))</f>
        <v/>
      </c>
      <c r="Z622" s="33">
        <f>IF(OR($Y622="",$D$6=""),"",IF(INDEX($A:$U,ROW(),$D$6)="",0,IF(ISNUMBER(INDEX($A:$U,ROW(),$D$6)),INDEX($A:$U,ROW(),$D$6),IFERROR(--SUBSTITUTE(SUBSTITUTE(TRIM(INDEX($A:$U,ROW(),$D$6)),",",""),"원",""),0))))</f>
        <v/>
      </c>
      <c r="AA622" s="31">
        <f>IF($Y622="","",TRIM(INDEX($A:$U,ROW(),$E$6)&amp;IF($F$6="",""," "&amp;INDEX($A:$U,ROW(),$F$6))))</f>
        <v/>
      </c>
      <c r="AB622" s="31">
        <f>IF($AA622="","",SUBSTITUTE(SUBSTITUTE(SUBSTITUTE(SUBSTITUTE(SUBSTITUTE(SUBSTITUTE(SUBSTITUTE(SUBSTITUTE(SUBSTITUTE($AA622," ",""),"　",""),"(주)",""),"（주）",""),"㈜",""),"주식회사",""),"(유)",""),"（유）",""),"유한회사",""))</f>
        <v/>
      </c>
      <c r="AC622" s="31">
        <f>IF(OR($Y622="",N($Z622)&lt;=0,$AB622=""),0,IFERROR(LOOKUP(2,1/((거래처별!$AC$8:$AC$307&lt;&gt;"")*ISNUMBER(SEARCH(거래처별!$AC$8:$AC$307,$AB622))),거래처별!$A$8:$A$307),IFERROR(LOOKUP(2,1/((거래처별!$AD$8:$AD$307&lt;&gt;"")*ISNUMBER(SEARCH(거래처별!$AD$8:$AD$307,$AB622))),거래처별!$A$8:$A$307),IFERROR(LOOKUP(2,1/((거래처별!$AE$8:$AE$307&lt;&gt;"")*ISNUMBER(SEARCH(거래처별!$AE$8:$AE$307,$AB622))),거래처별!$A$8:$A$307),0))))</f>
        <v/>
      </c>
      <c r="AD622" s="31">
        <f>IF(AND($Y622&lt;&gt;"",N($Z622)&gt;0,$AC622=0),MAX($AD$7:$AD621)+1,"")</f>
        <v/>
      </c>
      <c r="AE622" s="31">
        <f>IF($Y622="",0,$Y622)</f>
        <v/>
      </c>
    </row>
    <row r="623">
      <c r="W623" s="31">
        <f>IF(OR($B$5="",$C$6="",ROW()&lt;$B$5),"",IF(INDEX($A:$U,ROW(),$C$6)="","",INDEX($A:$U,ROW(),$C$6)))</f>
        <v/>
      </c>
      <c r="X623" s="32">
        <f>IF($W623="","",IF(ISNUMBER($W623),IF($W623&gt;=10000000,IFERROR(DATE(INT($W623/10000),MOD(INT($W623/100),100),MOD($W623,100)),""),INT($W623)),IFERROR(DATE(--LEFT(LEFT(SUBSTITUTE(SUBSTITUTE(SUBSTITUTE(SUBSTITUTE(TRIM($W623),"-",""),".",""),"/","")," ",""),8),4),--MID(LEFT(SUBSTITUTE(SUBSTITUTE(SUBSTITUTE(SUBSTITUTE(TRIM($W623),"-",""),".",""),"/","")," ",""),8),5,2),--MID(LEFT(SUBSTITUTE(SUBSTITUTE(SUBSTITUTE(SUBSTITUTE(TRIM($W623),"-",""),".",""),"/","")," ",""),8),7,2)),"")))</f>
        <v/>
      </c>
      <c r="Y623" s="32">
        <f>IF($X623="","",INT($X623))</f>
        <v/>
      </c>
      <c r="Z623" s="33">
        <f>IF(OR($Y623="",$D$6=""),"",IF(INDEX($A:$U,ROW(),$D$6)="",0,IF(ISNUMBER(INDEX($A:$U,ROW(),$D$6)),INDEX($A:$U,ROW(),$D$6),IFERROR(--SUBSTITUTE(SUBSTITUTE(TRIM(INDEX($A:$U,ROW(),$D$6)),",",""),"원",""),0))))</f>
        <v/>
      </c>
      <c r="AA623" s="31">
        <f>IF($Y623="","",TRIM(INDEX($A:$U,ROW(),$E$6)&amp;IF($F$6="",""," "&amp;INDEX($A:$U,ROW(),$F$6))))</f>
        <v/>
      </c>
      <c r="AB623" s="31">
        <f>IF($AA623="","",SUBSTITUTE(SUBSTITUTE(SUBSTITUTE(SUBSTITUTE(SUBSTITUTE(SUBSTITUTE(SUBSTITUTE(SUBSTITUTE(SUBSTITUTE($AA623," ",""),"　",""),"(주)",""),"（주）",""),"㈜",""),"주식회사",""),"(유)",""),"（유）",""),"유한회사",""))</f>
        <v/>
      </c>
      <c r="AC623" s="31">
        <f>IF(OR($Y623="",N($Z623)&lt;=0,$AB623=""),0,IFERROR(LOOKUP(2,1/((거래처별!$AC$8:$AC$307&lt;&gt;"")*ISNUMBER(SEARCH(거래처별!$AC$8:$AC$307,$AB623))),거래처별!$A$8:$A$307),IFERROR(LOOKUP(2,1/((거래처별!$AD$8:$AD$307&lt;&gt;"")*ISNUMBER(SEARCH(거래처별!$AD$8:$AD$307,$AB623))),거래처별!$A$8:$A$307),IFERROR(LOOKUP(2,1/((거래처별!$AE$8:$AE$307&lt;&gt;"")*ISNUMBER(SEARCH(거래처별!$AE$8:$AE$307,$AB623))),거래처별!$A$8:$A$307),0))))</f>
        <v/>
      </c>
      <c r="AD623" s="31">
        <f>IF(AND($Y623&lt;&gt;"",N($Z623)&gt;0,$AC623=0),MAX($AD$7:$AD622)+1,"")</f>
        <v/>
      </c>
      <c r="AE623" s="31">
        <f>IF($Y623="",0,$Y623)</f>
        <v/>
      </c>
    </row>
    <row r="624">
      <c r="W624" s="31">
        <f>IF(OR($B$5="",$C$6="",ROW()&lt;$B$5),"",IF(INDEX($A:$U,ROW(),$C$6)="","",INDEX($A:$U,ROW(),$C$6)))</f>
        <v/>
      </c>
      <c r="X624" s="32">
        <f>IF($W624="","",IF(ISNUMBER($W624),IF($W624&gt;=10000000,IFERROR(DATE(INT($W624/10000),MOD(INT($W624/100),100),MOD($W624,100)),""),INT($W624)),IFERROR(DATE(--LEFT(LEFT(SUBSTITUTE(SUBSTITUTE(SUBSTITUTE(SUBSTITUTE(TRIM($W624),"-",""),".",""),"/","")," ",""),8),4),--MID(LEFT(SUBSTITUTE(SUBSTITUTE(SUBSTITUTE(SUBSTITUTE(TRIM($W624),"-",""),".",""),"/","")," ",""),8),5,2),--MID(LEFT(SUBSTITUTE(SUBSTITUTE(SUBSTITUTE(SUBSTITUTE(TRIM($W624),"-",""),".",""),"/","")," ",""),8),7,2)),"")))</f>
        <v/>
      </c>
      <c r="Y624" s="32">
        <f>IF($X624="","",INT($X624))</f>
        <v/>
      </c>
      <c r="Z624" s="33">
        <f>IF(OR($Y624="",$D$6=""),"",IF(INDEX($A:$U,ROW(),$D$6)="",0,IF(ISNUMBER(INDEX($A:$U,ROW(),$D$6)),INDEX($A:$U,ROW(),$D$6),IFERROR(--SUBSTITUTE(SUBSTITUTE(TRIM(INDEX($A:$U,ROW(),$D$6)),",",""),"원",""),0))))</f>
        <v/>
      </c>
      <c r="AA624" s="31">
        <f>IF($Y624="","",TRIM(INDEX($A:$U,ROW(),$E$6)&amp;IF($F$6="",""," "&amp;INDEX($A:$U,ROW(),$F$6))))</f>
        <v/>
      </c>
      <c r="AB624" s="31">
        <f>IF($AA624="","",SUBSTITUTE(SUBSTITUTE(SUBSTITUTE(SUBSTITUTE(SUBSTITUTE(SUBSTITUTE(SUBSTITUTE(SUBSTITUTE(SUBSTITUTE($AA624," ",""),"　",""),"(주)",""),"（주）",""),"㈜",""),"주식회사",""),"(유)",""),"（유）",""),"유한회사",""))</f>
        <v/>
      </c>
      <c r="AC624" s="31">
        <f>IF(OR($Y624="",N($Z624)&lt;=0,$AB624=""),0,IFERROR(LOOKUP(2,1/((거래처별!$AC$8:$AC$307&lt;&gt;"")*ISNUMBER(SEARCH(거래처별!$AC$8:$AC$307,$AB624))),거래처별!$A$8:$A$307),IFERROR(LOOKUP(2,1/((거래처별!$AD$8:$AD$307&lt;&gt;"")*ISNUMBER(SEARCH(거래처별!$AD$8:$AD$307,$AB624))),거래처별!$A$8:$A$307),IFERROR(LOOKUP(2,1/((거래처별!$AE$8:$AE$307&lt;&gt;"")*ISNUMBER(SEARCH(거래처별!$AE$8:$AE$307,$AB624))),거래처별!$A$8:$A$307),0))))</f>
        <v/>
      </c>
      <c r="AD624" s="31">
        <f>IF(AND($Y624&lt;&gt;"",N($Z624)&gt;0,$AC624=0),MAX($AD$7:$AD623)+1,"")</f>
        <v/>
      </c>
      <c r="AE624" s="31">
        <f>IF($Y624="",0,$Y624)</f>
        <v/>
      </c>
    </row>
    <row r="625">
      <c r="W625" s="31">
        <f>IF(OR($B$5="",$C$6="",ROW()&lt;$B$5),"",IF(INDEX($A:$U,ROW(),$C$6)="","",INDEX($A:$U,ROW(),$C$6)))</f>
        <v/>
      </c>
      <c r="X625" s="32">
        <f>IF($W625="","",IF(ISNUMBER($W625),IF($W625&gt;=10000000,IFERROR(DATE(INT($W625/10000),MOD(INT($W625/100),100),MOD($W625,100)),""),INT($W625)),IFERROR(DATE(--LEFT(LEFT(SUBSTITUTE(SUBSTITUTE(SUBSTITUTE(SUBSTITUTE(TRIM($W625),"-",""),".",""),"/","")," ",""),8),4),--MID(LEFT(SUBSTITUTE(SUBSTITUTE(SUBSTITUTE(SUBSTITUTE(TRIM($W625),"-",""),".",""),"/","")," ",""),8),5,2),--MID(LEFT(SUBSTITUTE(SUBSTITUTE(SUBSTITUTE(SUBSTITUTE(TRIM($W625),"-",""),".",""),"/","")," ",""),8),7,2)),"")))</f>
        <v/>
      </c>
      <c r="Y625" s="32">
        <f>IF($X625="","",INT($X625))</f>
        <v/>
      </c>
      <c r="Z625" s="33">
        <f>IF(OR($Y625="",$D$6=""),"",IF(INDEX($A:$U,ROW(),$D$6)="",0,IF(ISNUMBER(INDEX($A:$U,ROW(),$D$6)),INDEX($A:$U,ROW(),$D$6),IFERROR(--SUBSTITUTE(SUBSTITUTE(TRIM(INDEX($A:$U,ROW(),$D$6)),",",""),"원",""),0))))</f>
        <v/>
      </c>
      <c r="AA625" s="31">
        <f>IF($Y625="","",TRIM(INDEX($A:$U,ROW(),$E$6)&amp;IF($F$6="",""," "&amp;INDEX($A:$U,ROW(),$F$6))))</f>
        <v/>
      </c>
      <c r="AB625" s="31">
        <f>IF($AA625="","",SUBSTITUTE(SUBSTITUTE(SUBSTITUTE(SUBSTITUTE(SUBSTITUTE(SUBSTITUTE(SUBSTITUTE(SUBSTITUTE(SUBSTITUTE($AA625," ",""),"　",""),"(주)",""),"（주）",""),"㈜",""),"주식회사",""),"(유)",""),"（유）",""),"유한회사",""))</f>
        <v/>
      </c>
      <c r="AC625" s="31">
        <f>IF(OR($Y625="",N($Z625)&lt;=0,$AB625=""),0,IFERROR(LOOKUP(2,1/((거래처별!$AC$8:$AC$307&lt;&gt;"")*ISNUMBER(SEARCH(거래처별!$AC$8:$AC$307,$AB625))),거래처별!$A$8:$A$307),IFERROR(LOOKUP(2,1/((거래처별!$AD$8:$AD$307&lt;&gt;"")*ISNUMBER(SEARCH(거래처별!$AD$8:$AD$307,$AB625))),거래처별!$A$8:$A$307),IFERROR(LOOKUP(2,1/((거래처별!$AE$8:$AE$307&lt;&gt;"")*ISNUMBER(SEARCH(거래처별!$AE$8:$AE$307,$AB625))),거래처별!$A$8:$A$307),0))))</f>
        <v/>
      </c>
      <c r="AD625" s="31">
        <f>IF(AND($Y625&lt;&gt;"",N($Z625)&gt;0,$AC625=0),MAX($AD$7:$AD624)+1,"")</f>
        <v/>
      </c>
      <c r="AE625" s="31">
        <f>IF($Y625="",0,$Y625)</f>
        <v/>
      </c>
    </row>
    <row r="626">
      <c r="W626" s="31">
        <f>IF(OR($B$5="",$C$6="",ROW()&lt;$B$5),"",IF(INDEX($A:$U,ROW(),$C$6)="","",INDEX($A:$U,ROW(),$C$6)))</f>
        <v/>
      </c>
      <c r="X626" s="32">
        <f>IF($W626="","",IF(ISNUMBER($W626),IF($W626&gt;=10000000,IFERROR(DATE(INT($W626/10000),MOD(INT($W626/100),100),MOD($W626,100)),""),INT($W626)),IFERROR(DATE(--LEFT(LEFT(SUBSTITUTE(SUBSTITUTE(SUBSTITUTE(SUBSTITUTE(TRIM($W626),"-",""),".",""),"/","")," ",""),8),4),--MID(LEFT(SUBSTITUTE(SUBSTITUTE(SUBSTITUTE(SUBSTITUTE(TRIM($W626),"-",""),".",""),"/","")," ",""),8),5,2),--MID(LEFT(SUBSTITUTE(SUBSTITUTE(SUBSTITUTE(SUBSTITUTE(TRIM($W626),"-",""),".",""),"/","")," ",""),8),7,2)),"")))</f>
        <v/>
      </c>
      <c r="Y626" s="32">
        <f>IF($X626="","",INT($X626))</f>
        <v/>
      </c>
      <c r="Z626" s="33">
        <f>IF(OR($Y626="",$D$6=""),"",IF(INDEX($A:$U,ROW(),$D$6)="",0,IF(ISNUMBER(INDEX($A:$U,ROW(),$D$6)),INDEX($A:$U,ROW(),$D$6),IFERROR(--SUBSTITUTE(SUBSTITUTE(TRIM(INDEX($A:$U,ROW(),$D$6)),",",""),"원",""),0))))</f>
        <v/>
      </c>
      <c r="AA626" s="31">
        <f>IF($Y626="","",TRIM(INDEX($A:$U,ROW(),$E$6)&amp;IF($F$6="",""," "&amp;INDEX($A:$U,ROW(),$F$6))))</f>
        <v/>
      </c>
      <c r="AB626" s="31">
        <f>IF($AA626="","",SUBSTITUTE(SUBSTITUTE(SUBSTITUTE(SUBSTITUTE(SUBSTITUTE(SUBSTITUTE(SUBSTITUTE(SUBSTITUTE(SUBSTITUTE($AA626," ",""),"　",""),"(주)",""),"（주）",""),"㈜",""),"주식회사",""),"(유)",""),"（유）",""),"유한회사",""))</f>
        <v/>
      </c>
      <c r="AC626" s="31">
        <f>IF(OR($Y626="",N($Z626)&lt;=0,$AB626=""),0,IFERROR(LOOKUP(2,1/((거래처별!$AC$8:$AC$307&lt;&gt;"")*ISNUMBER(SEARCH(거래처별!$AC$8:$AC$307,$AB626))),거래처별!$A$8:$A$307),IFERROR(LOOKUP(2,1/((거래처별!$AD$8:$AD$307&lt;&gt;"")*ISNUMBER(SEARCH(거래처별!$AD$8:$AD$307,$AB626))),거래처별!$A$8:$A$307),IFERROR(LOOKUP(2,1/((거래처별!$AE$8:$AE$307&lt;&gt;"")*ISNUMBER(SEARCH(거래처별!$AE$8:$AE$307,$AB626))),거래처별!$A$8:$A$307),0))))</f>
        <v/>
      </c>
      <c r="AD626" s="31">
        <f>IF(AND($Y626&lt;&gt;"",N($Z626)&gt;0,$AC626=0),MAX($AD$7:$AD625)+1,"")</f>
        <v/>
      </c>
      <c r="AE626" s="31">
        <f>IF($Y626="",0,$Y626)</f>
        <v/>
      </c>
    </row>
    <row r="627">
      <c r="W627" s="31">
        <f>IF(OR($B$5="",$C$6="",ROW()&lt;$B$5),"",IF(INDEX($A:$U,ROW(),$C$6)="","",INDEX($A:$U,ROW(),$C$6)))</f>
        <v/>
      </c>
      <c r="X627" s="32">
        <f>IF($W627="","",IF(ISNUMBER($W627),IF($W627&gt;=10000000,IFERROR(DATE(INT($W627/10000),MOD(INT($W627/100),100),MOD($W627,100)),""),INT($W627)),IFERROR(DATE(--LEFT(LEFT(SUBSTITUTE(SUBSTITUTE(SUBSTITUTE(SUBSTITUTE(TRIM($W627),"-",""),".",""),"/","")," ",""),8),4),--MID(LEFT(SUBSTITUTE(SUBSTITUTE(SUBSTITUTE(SUBSTITUTE(TRIM($W627),"-",""),".",""),"/","")," ",""),8),5,2),--MID(LEFT(SUBSTITUTE(SUBSTITUTE(SUBSTITUTE(SUBSTITUTE(TRIM($W627),"-",""),".",""),"/","")," ",""),8),7,2)),"")))</f>
        <v/>
      </c>
      <c r="Y627" s="32">
        <f>IF($X627="","",INT($X627))</f>
        <v/>
      </c>
      <c r="Z627" s="33">
        <f>IF(OR($Y627="",$D$6=""),"",IF(INDEX($A:$U,ROW(),$D$6)="",0,IF(ISNUMBER(INDEX($A:$U,ROW(),$D$6)),INDEX($A:$U,ROW(),$D$6),IFERROR(--SUBSTITUTE(SUBSTITUTE(TRIM(INDEX($A:$U,ROW(),$D$6)),",",""),"원",""),0))))</f>
        <v/>
      </c>
      <c r="AA627" s="31">
        <f>IF($Y627="","",TRIM(INDEX($A:$U,ROW(),$E$6)&amp;IF($F$6="",""," "&amp;INDEX($A:$U,ROW(),$F$6))))</f>
        <v/>
      </c>
      <c r="AB627" s="31">
        <f>IF($AA627="","",SUBSTITUTE(SUBSTITUTE(SUBSTITUTE(SUBSTITUTE(SUBSTITUTE(SUBSTITUTE(SUBSTITUTE(SUBSTITUTE(SUBSTITUTE($AA627," ",""),"　",""),"(주)",""),"（주）",""),"㈜",""),"주식회사",""),"(유)",""),"（유）",""),"유한회사",""))</f>
        <v/>
      </c>
      <c r="AC627" s="31">
        <f>IF(OR($Y627="",N($Z627)&lt;=0,$AB627=""),0,IFERROR(LOOKUP(2,1/((거래처별!$AC$8:$AC$307&lt;&gt;"")*ISNUMBER(SEARCH(거래처별!$AC$8:$AC$307,$AB627))),거래처별!$A$8:$A$307),IFERROR(LOOKUP(2,1/((거래처별!$AD$8:$AD$307&lt;&gt;"")*ISNUMBER(SEARCH(거래처별!$AD$8:$AD$307,$AB627))),거래처별!$A$8:$A$307),IFERROR(LOOKUP(2,1/((거래처별!$AE$8:$AE$307&lt;&gt;"")*ISNUMBER(SEARCH(거래처별!$AE$8:$AE$307,$AB627))),거래처별!$A$8:$A$307),0))))</f>
        <v/>
      </c>
      <c r="AD627" s="31">
        <f>IF(AND($Y627&lt;&gt;"",N($Z627)&gt;0,$AC627=0),MAX($AD$7:$AD626)+1,"")</f>
        <v/>
      </c>
      <c r="AE627" s="31">
        <f>IF($Y627="",0,$Y627)</f>
        <v/>
      </c>
    </row>
    <row r="628">
      <c r="W628" s="31">
        <f>IF(OR($B$5="",$C$6="",ROW()&lt;$B$5),"",IF(INDEX($A:$U,ROW(),$C$6)="","",INDEX($A:$U,ROW(),$C$6)))</f>
        <v/>
      </c>
      <c r="X628" s="32">
        <f>IF($W628="","",IF(ISNUMBER($W628),IF($W628&gt;=10000000,IFERROR(DATE(INT($W628/10000),MOD(INT($W628/100),100),MOD($W628,100)),""),INT($W628)),IFERROR(DATE(--LEFT(LEFT(SUBSTITUTE(SUBSTITUTE(SUBSTITUTE(SUBSTITUTE(TRIM($W628),"-",""),".",""),"/","")," ",""),8),4),--MID(LEFT(SUBSTITUTE(SUBSTITUTE(SUBSTITUTE(SUBSTITUTE(TRIM($W628),"-",""),".",""),"/","")," ",""),8),5,2),--MID(LEFT(SUBSTITUTE(SUBSTITUTE(SUBSTITUTE(SUBSTITUTE(TRIM($W628),"-",""),".",""),"/","")," ",""),8),7,2)),"")))</f>
        <v/>
      </c>
      <c r="Y628" s="32">
        <f>IF($X628="","",INT($X628))</f>
        <v/>
      </c>
      <c r="Z628" s="33">
        <f>IF(OR($Y628="",$D$6=""),"",IF(INDEX($A:$U,ROW(),$D$6)="",0,IF(ISNUMBER(INDEX($A:$U,ROW(),$D$6)),INDEX($A:$U,ROW(),$D$6),IFERROR(--SUBSTITUTE(SUBSTITUTE(TRIM(INDEX($A:$U,ROW(),$D$6)),",",""),"원",""),0))))</f>
        <v/>
      </c>
      <c r="AA628" s="31">
        <f>IF($Y628="","",TRIM(INDEX($A:$U,ROW(),$E$6)&amp;IF($F$6="",""," "&amp;INDEX($A:$U,ROW(),$F$6))))</f>
        <v/>
      </c>
      <c r="AB628" s="31">
        <f>IF($AA628="","",SUBSTITUTE(SUBSTITUTE(SUBSTITUTE(SUBSTITUTE(SUBSTITUTE(SUBSTITUTE(SUBSTITUTE(SUBSTITUTE(SUBSTITUTE($AA628," ",""),"　",""),"(주)",""),"（주）",""),"㈜",""),"주식회사",""),"(유)",""),"（유）",""),"유한회사",""))</f>
        <v/>
      </c>
      <c r="AC628" s="31">
        <f>IF(OR($Y628="",N($Z628)&lt;=0,$AB628=""),0,IFERROR(LOOKUP(2,1/((거래처별!$AC$8:$AC$307&lt;&gt;"")*ISNUMBER(SEARCH(거래처별!$AC$8:$AC$307,$AB628))),거래처별!$A$8:$A$307),IFERROR(LOOKUP(2,1/((거래처별!$AD$8:$AD$307&lt;&gt;"")*ISNUMBER(SEARCH(거래처별!$AD$8:$AD$307,$AB628))),거래처별!$A$8:$A$307),IFERROR(LOOKUP(2,1/((거래처별!$AE$8:$AE$307&lt;&gt;"")*ISNUMBER(SEARCH(거래처별!$AE$8:$AE$307,$AB628))),거래처별!$A$8:$A$307),0))))</f>
        <v/>
      </c>
      <c r="AD628" s="31">
        <f>IF(AND($Y628&lt;&gt;"",N($Z628)&gt;0,$AC628=0),MAX($AD$7:$AD627)+1,"")</f>
        <v/>
      </c>
      <c r="AE628" s="31">
        <f>IF($Y628="",0,$Y628)</f>
        <v/>
      </c>
    </row>
    <row r="629">
      <c r="W629" s="31">
        <f>IF(OR($B$5="",$C$6="",ROW()&lt;$B$5),"",IF(INDEX($A:$U,ROW(),$C$6)="","",INDEX($A:$U,ROW(),$C$6)))</f>
        <v/>
      </c>
      <c r="X629" s="32">
        <f>IF($W629="","",IF(ISNUMBER($W629),IF($W629&gt;=10000000,IFERROR(DATE(INT($W629/10000),MOD(INT($W629/100),100),MOD($W629,100)),""),INT($W629)),IFERROR(DATE(--LEFT(LEFT(SUBSTITUTE(SUBSTITUTE(SUBSTITUTE(SUBSTITUTE(TRIM($W629),"-",""),".",""),"/","")," ",""),8),4),--MID(LEFT(SUBSTITUTE(SUBSTITUTE(SUBSTITUTE(SUBSTITUTE(TRIM($W629),"-",""),".",""),"/","")," ",""),8),5,2),--MID(LEFT(SUBSTITUTE(SUBSTITUTE(SUBSTITUTE(SUBSTITUTE(TRIM($W629),"-",""),".",""),"/","")," ",""),8),7,2)),"")))</f>
        <v/>
      </c>
      <c r="Y629" s="32">
        <f>IF($X629="","",INT($X629))</f>
        <v/>
      </c>
      <c r="Z629" s="33">
        <f>IF(OR($Y629="",$D$6=""),"",IF(INDEX($A:$U,ROW(),$D$6)="",0,IF(ISNUMBER(INDEX($A:$U,ROW(),$D$6)),INDEX($A:$U,ROW(),$D$6),IFERROR(--SUBSTITUTE(SUBSTITUTE(TRIM(INDEX($A:$U,ROW(),$D$6)),",",""),"원",""),0))))</f>
        <v/>
      </c>
      <c r="AA629" s="31">
        <f>IF($Y629="","",TRIM(INDEX($A:$U,ROW(),$E$6)&amp;IF($F$6="",""," "&amp;INDEX($A:$U,ROW(),$F$6))))</f>
        <v/>
      </c>
      <c r="AB629" s="31">
        <f>IF($AA629="","",SUBSTITUTE(SUBSTITUTE(SUBSTITUTE(SUBSTITUTE(SUBSTITUTE(SUBSTITUTE(SUBSTITUTE(SUBSTITUTE(SUBSTITUTE($AA629," ",""),"　",""),"(주)",""),"（주）",""),"㈜",""),"주식회사",""),"(유)",""),"（유）",""),"유한회사",""))</f>
        <v/>
      </c>
      <c r="AC629" s="31">
        <f>IF(OR($Y629="",N($Z629)&lt;=0,$AB629=""),0,IFERROR(LOOKUP(2,1/((거래처별!$AC$8:$AC$307&lt;&gt;"")*ISNUMBER(SEARCH(거래처별!$AC$8:$AC$307,$AB629))),거래처별!$A$8:$A$307),IFERROR(LOOKUP(2,1/((거래처별!$AD$8:$AD$307&lt;&gt;"")*ISNUMBER(SEARCH(거래처별!$AD$8:$AD$307,$AB629))),거래처별!$A$8:$A$307),IFERROR(LOOKUP(2,1/((거래처별!$AE$8:$AE$307&lt;&gt;"")*ISNUMBER(SEARCH(거래처별!$AE$8:$AE$307,$AB629))),거래처별!$A$8:$A$307),0))))</f>
        <v/>
      </c>
      <c r="AD629" s="31">
        <f>IF(AND($Y629&lt;&gt;"",N($Z629)&gt;0,$AC629=0),MAX($AD$7:$AD628)+1,"")</f>
        <v/>
      </c>
      <c r="AE629" s="31">
        <f>IF($Y629="",0,$Y629)</f>
        <v/>
      </c>
    </row>
    <row r="630">
      <c r="W630" s="31">
        <f>IF(OR($B$5="",$C$6="",ROW()&lt;$B$5),"",IF(INDEX($A:$U,ROW(),$C$6)="","",INDEX($A:$U,ROW(),$C$6)))</f>
        <v/>
      </c>
      <c r="X630" s="32">
        <f>IF($W630="","",IF(ISNUMBER($W630),IF($W630&gt;=10000000,IFERROR(DATE(INT($W630/10000),MOD(INT($W630/100),100),MOD($W630,100)),""),INT($W630)),IFERROR(DATE(--LEFT(LEFT(SUBSTITUTE(SUBSTITUTE(SUBSTITUTE(SUBSTITUTE(TRIM($W630),"-",""),".",""),"/","")," ",""),8),4),--MID(LEFT(SUBSTITUTE(SUBSTITUTE(SUBSTITUTE(SUBSTITUTE(TRIM($W630),"-",""),".",""),"/","")," ",""),8),5,2),--MID(LEFT(SUBSTITUTE(SUBSTITUTE(SUBSTITUTE(SUBSTITUTE(TRIM($W630),"-",""),".",""),"/","")," ",""),8),7,2)),"")))</f>
        <v/>
      </c>
      <c r="Y630" s="32">
        <f>IF($X630="","",INT($X630))</f>
        <v/>
      </c>
      <c r="Z630" s="33">
        <f>IF(OR($Y630="",$D$6=""),"",IF(INDEX($A:$U,ROW(),$D$6)="",0,IF(ISNUMBER(INDEX($A:$U,ROW(),$D$6)),INDEX($A:$U,ROW(),$D$6),IFERROR(--SUBSTITUTE(SUBSTITUTE(TRIM(INDEX($A:$U,ROW(),$D$6)),",",""),"원",""),0))))</f>
        <v/>
      </c>
      <c r="AA630" s="31">
        <f>IF($Y630="","",TRIM(INDEX($A:$U,ROW(),$E$6)&amp;IF($F$6="",""," "&amp;INDEX($A:$U,ROW(),$F$6))))</f>
        <v/>
      </c>
      <c r="AB630" s="31">
        <f>IF($AA630="","",SUBSTITUTE(SUBSTITUTE(SUBSTITUTE(SUBSTITUTE(SUBSTITUTE(SUBSTITUTE(SUBSTITUTE(SUBSTITUTE(SUBSTITUTE($AA630," ",""),"　",""),"(주)",""),"（주）",""),"㈜",""),"주식회사",""),"(유)",""),"（유）",""),"유한회사",""))</f>
        <v/>
      </c>
      <c r="AC630" s="31">
        <f>IF(OR($Y630="",N($Z630)&lt;=0,$AB630=""),0,IFERROR(LOOKUP(2,1/((거래처별!$AC$8:$AC$307&lt;&gt;"")*ISNUMBER(SEARCH(거래처별!$AC$8:$AC$307,$AB630))),거래처별!$A$8:$A$307),IFERROR(LOOKUP(2,1/((거래처별!$AD$8:$AD$307&lt;&gt;"")*ISNUMBER(SEARCH(거래처별!$AD$8:$AD$307,$AB630))),거래처별!$A$8:$A$307),IFERROR(LOOKUP(2,1/((거래처별!$AE$8:$AE$307&lt;&gt;"")*ISNUMBER(SEARCH(거래처별!$AE$8:$AE$307,$AB630))),거래처별!$A$8:$A$307),0))))</f>
        <v/>
      </c>
      <c r="AD630" s="31">
        <f>IF(AND($Y630&lt;&gt;"",N($Z630)&gt;0,$AC630=0),MAX($AD$7:$AD629)+1,"")</f>
        <v/>
      </c>
      <c r="AE630" s="31">
        <f>IF($Y630="",0,$Y630)</f>
        <v/>
      </c>
    </row>
    <row r="631">
      <c r="W631" s="31">
        <f>IF(OR($B$5="",$C$6="",ROW()&lt;$B$5),"",IF(INDEX($A:$U,ROW(),$C$6)="","",INDEX($A:$U,ROW(),$C$6)))</f>
        <v/>
      </c>
      <c r="X631" s="32">
        <f>IF($W631="","",IF(ISNUMBER($W631),IF($W631&gt;=10000000,IFERROR(DATE(INT($W631/10000),MOD(INT($W631/100),100),MOD($W631,100)),""),INT($W631)),IFERROR(DATE(--LEFT(LEFT(SUBSTITUTE(SUBSTITUTE(SUBSTITUTE(SUBSTITUTE(TRIM($W631),"-",""),".",""),"/","")," ",""),8),4),--MID(LEFT(SUBSTITUTE(SUBSTITUTE(SUBSTITUTE(SUBSTITUTE(TRIM($W631),"-",""),".",""),"/","")," ",""),8),5,2),--MID(LEFT(SUBSTITUTE(SUBSTITUTE(SUBSTITUTE(SUBSTITUTE(TRIM($W631),"-",""),".",""),"/","")," ",""),8),7,2)),"")))</f>
        <v/>
      </c>
      <c r="Y631" s="32">
        <f>IF($X631="","",INT($X631))</f>
        <v/>
      </c>
      <c r="Z631" s="33">
        <f>IF(OR($Y631="",$D$6=""),"",IF(INDEX($A:$U,ROW(),$D$6)="",0,IF(ISNUMBER(INDEX($A:$U,ROW(),$D$6)),INDEX($A:$U,ROW(),$D$6),IFERROR(--SUBSTITUTE(SUBSTITUTE(TRIM(INDEX($A:$U,ROW(),$D$6)),",",""),"원",""),0))))</f>
        <v/>
      </c>
      <c r="AA631" s="31">
        <f>IF($Y631="","",TRIM(INDEX($A:$U,ROW(),$E$6)&amp;IF($F$6="",""," "&amp;INDEX($A:$U,ROW(),$F$6))))</f>
        <v/>
      </c>
      <c r="AB631" s="31">
        <f>IF($AA631="","",SUBSTITUTE(SUBSTITUTE(SUBSTITUTE(SUBSTITUTE(SUBSTITUTE(SUBSTITUTE(SUBSTITUTE(SUBSTITUTE(SUBSTITUTE($AA631," ",""),"　",""),"(주)",""),"（주）",""),"㈜",""),"주식회사",""),"(유)",""),"（유）",""),"유한회사",""))</f>
        <v/>
      </c>
      <c r="AC631" s="31">
        <f>IF(OR($Y631="",N($Z631)&lt;=0,$AB631=""),0,IFERROR(LOOKUP(2,1/((거래처별!$AC$8:$AC$307&lt;&gt;"")*ISNUMBER(SEARCH(거래처별!$AC$8:$AC$307,$AB631))),거래처별!$A$8:$A$307),IFERROR(LOOKUP(2,1/((거래처별!$AD$8:$AD$307&lt;&gt;"")*ISNUMBER(SEARCH(거래처별!$AD$8:$AD$307,$AB631))),거래처별!$A$8:$A$307),IFERROR(LOOKUP(2,1/((거래처별!$AE$8:$AE$307&lt;&gt;"")*ISNUMBER(SEARCH(거래처별!$AE$8:$AE$307,$AB631))),거래처별!$A$8:$A$307),0))))</f>
        <v/>
      </c>
      <c r="AD631" s="31">
        <f>IF(AND($Y631&lt;&gt;"",N($Z631)&gt;0,$AC631=0),MAX($AD$7:$AD630)+1,"")</f>
        <v/>
      </c>
      <c r="AE631" s="31">
        <f>IF($Y631="",0,$Y631)</f>
        <v/>
      </c>
    </row>
    <row r="632">
      <c r="W632" s="31">
        <f>IF(OR($B$5="",$C$6="",ROW()&lt;$B$5),"",IF(INDEX($A:$U,ROW(),$C$6)="","",INDEX($A:$U,ROW(),$C$6)))</f>
        <v/>
      </c>
      <c r="X632" s="32">
        <f>IF($W632="","",IF(ISNUMBER($W632),IF($W632&gt;=10000000,IFERROR(DATE(INT($W632/10000),MOD(INT($W632/100),100),MOD($W632,100)),""),INT($W632)),IFERROR(DATE(--LEFT(LEFT(SUBSTITUTE(SUBSTITUTE(SUBSTITUTE(SUBSTITUTE(TRIM($W632),"-",""),".",""),"/","")," ",""),8),4),--MID(LEFT(SUBSTITUTE(SUBSTITUTE(SUBSTITUTE(SUBSTITUTE(TRIM($W632),"-",""),".",""),"/","")," ",""),8),5,2),--MID(LEFT(SUBSTITUTE(SUBSTITUTE(SUBSTITUTE(SUBSTITUTE(TRIM($W632),"-",""),".",""),"/","")," ",""),8),7,2)),"")))</f>
        <v/>
      </c>
      <c r="Y632" s="32">
        <f>IF($X632="","",INT($X632))</f>
        <v/>
      </c>
      <c r="Z632" s="33">
        <f>IF(OR($Y632="",$D$6=""),"",IF(INDEX($A:$U,ROW(),$D$6)="",0,IF(ISNUMBER(INDEX($A:$U,ROW(),$D$6)),INDEX($A:$U,ROW(),$D$6),IFERROR(--SUBSTITUTE(SUBSTITUTE(TRIM(INDEX($A:$U,ROW(),$D$6)),",",""),"원",""),0))))</f>
        <v/>
      </c>
      <c r="AA632" s="31">
        <f>IF($Y632="","",TRIM(INDEX($A:$U,ROW(),$E$6)&amp;IF($F$6="",""," "&amp;INDEX($A:$U,ROW(),$F$6))))</f>
        <v/>
      </c>
      <c r="AB632" s="31">
        <f>IF($AA632="","",SUBSTITUTE(SUBSTITUTE(SUBSTITUTE(SUBSTITUTE(SUBSTITUTE(SUBSTITUTE(SUBSTITUTE(SUBSTITUTE(SUBSTITUTE($AA632," ",""),"　",""),"(주)",""),"（주）",""),"㈜",""),"주식회사",""),"(유)",""),"（유）",""),"유한회사",""))</f>
        <v/>
      </c>
      <c r="AC632" s="31">
        <f>IF(OR($Y632="",N($Z632)&lt;=0,$AB632=""),0,IFERROR(LOOKUP(2,1/((거래처별!$AC$8:$AC$307&lt;&gt;"")*ISNUMBER(SEARCH(거래처별!$AC$8:$AC$307,$AB632))),거래처별!$A$8:$A$307),IFERROR(LOOKUP(2,1/((거래처별!$AD$8:$AD$307&lt;&gt;"")*ISNUMBER(SEARCH(거래처별!$AD$8:$AD$307,$AB632))),거래처별!$A$8:$A$307),IFERROR(LOOKUP(2,1/((거래처별!$AE$8:$AE$307&lt;&gt;"")*ISNUMBER(SEARCH(거래처별!$AE$8:$AE$307,$AB632))),거래처별!$A$8:$A$307),0))))</f>
        <v/>
      </c>
      <c r="AD632" s="31">
        <f>IF(AND($Y632&lt;&gt;"",N($Z632)&gt;0,$AC632=0),MAX($AD$7:$AD631)+1,"")</f>
        <v/>
      </c>
      <c r="AE632" s="31">
        <f>IF($Y632="",0,$Y632)</f>
        <v/>
      </c>
    </row>
    <row r="633">
      <c r="W633" s="31">
        <f>IF(OR($B$5="",$C$6="",ROW()&lt;$B$5),"",IF(INDEX($A:$U,ROW(),$C$6)="","",INDEX($A:$U,ROW(),$C$6)))</f>
        <v/>
      </c>
      <c r="X633" s="32">
        <f>IF($W633="","",IF(ISNUMBER($W633),IF($W633&gt;=10000000,IFERROR(DATE(INT($W633/10000),MOD(INT($W633/100),100),MOD($W633,100)),""),INT($W633)),IFERROR(DATE(--LEFT(LEFT(SUBSTITUTE(SUBSTITUTE(SUBSTITUTE(SUBSTITUTE(TRIM($W633),"-",""),".",""),"/","")," ",""),8),4),--MID(LEFT(SUBSTITUTE(SUBSTITUTE(SUBSTITUTE(SUBSTITUTE(TRIM($W633),"-",""),".",""),"/","")," ",""),8),5,2),--MID(LEFT(SUBSTITUTE(SUBSTITUTE(SUBSTITUTE(SUBSTITUTE(TRIM($W633),"-",""),".",""),"/","")," ",""),8),7,2)),"")))</f>
        <v/>
      </c>
      <c r="Y633" s="32">
        <f>IF($X633="","",INT($X633))</f>
        <v/>
      </c>
      <c r="Z633" s="33">
        <f>IF(OR($Y633="",$D$6=""),"",IF(INDEX($A:$U,ROW(),$D$6)="",0,IF(ISNUMBER(INDEX($A:$U,ROW(),$D$6)),INDEX($A:$U,ROW(),$D$6),IFERROR(--SUBSTITUTE(SUBSTITUTE(TRIM(INDEX($A:$U,ROW(),$D$6)),",",""),"원",""),0))))</f>
        <v/>
      </c>
      <c r="AA633" s="31">
        <f>IF($Y633="","",TRIM(INDEX($A:$U,ROW(),$E$6)&amp;IF($F$6="",""," "&amp;INDEX($A:$U,ROW(),$F$6))))</f>
        <v/>
      </c>
      <c r="AB633" s="31">
        <f>IF($AA633="","",SUBSTITUTE(SUBSTITUTE(SUBSTITUTE(SUBSTITUTE(SUBSTITUTE(SUBSTITUTE(SUBSTITUTE(SUBSTITUTE(SUBSTITUTE($AA633," ",""),"　",""),"(주)",""),"（주）",""),"㈜",""),"주식회사",""),"(유)",""),"（유）",""),"유한회사",""))</f>
        <v/>
      </c>
      <c r="AC633" s="31">
        <f>IF(OR($Y633="",N($Z633)&lt;=0,$AB633=""),0,IFERROR(LOOKUP(2,1/((거래처별!$AC$8:$AC$307&lt;&gt;"")*ISNUMBER(SEARCH(거래처별!$AC$8:$AC$307,$AB633))),거래처별!$A$8:$A$307),IFERROR(LOOKUP(2,1/((거래처별!$AD$8:$AD$307&lt;&gt;"")*ISNUMBER(SEARCH(거래처별!$AD$8:$AD$307,$AB633))),거래처별!$A$8:$A$307),IFERROR(LOOKUP(2,1/((거래처별!$AE$8:$AE$307&lt;&gt;"")*ISNUMBER(SEARCH(거래처별!$AE$8:$AE$307,$AB633))),거래처별!$A$8:$A$307),0))))</f>
        <v/>
      </c>
      <c r="AD633" s="31">
        <f>IF(AND($Y633&lt;&gt;"",N($Z633)&gt;0,$AC633=0),MAX($AD$7:$AD632)+1,"")</f>
        <v/>
      </c>
      <c r="AE633" s="31">
        <f>IF($Y633="",0,$Y633)</f>
        <v/>
      </c>
    </row>
    <row r="634">
      <c r="W634" s="31">
        <f>IF(OR($B$5="",$C$6="",ROW()&lt;$B$5),"",IF(INDEX($A:$U,ROW(),$C$6)="","",INDEX($A:$U,ROW(),$C$6)))</f>
        <v/>
      </c>
      <c r="X634" s="32">
        <f>IF($W634="","",IF(ISNUMBER($W634),IF($W634&gt;=10000000,IFERROR(DATE(INT($W634/10000),MOD(INT($W634/100),100),MOD($W634,100)),""),INT($W634)),IFERROR(DATE(--LEFT(LEFT(SUBSTITUTE(SUBSTITUTE(SUBSTITUTE(SUBSTITUTE(TRIM($W634),"-",""),".",""),"/","")," ",""),8),4),--MID(LEFT(SUBSTITUTE(SUBSTITUTE(SUBSTITUTE(SUBSTITUTE(TRIM($W634),"-",""),".",""),"/","")," ",""),8),5,2),--MID(LEFT(SUBSTITUTE(SUBSTITUTE(SUBSTITUTE(SUBSTITUTE(TRIM($W634),"-",""),".",""),"/","")," ",""),8),7,2)),"")))</f>
        <v/>
      </c>
      <c r="Y634" s="32">
        <f>IF($X634="","",INT($X634))</f>
        <v/>
      </c>
      <c r="Z634" s="33">
        <f>IF(OR($Y634="",$D$6=""),"",IF(INDEX($A:$U,ROW(),$D$6)="",0,IF(ISNUMBER(INDEX($A:$U,ROW(),$D$6)),INDEX($A:$U,ROW(),$D$6),IFERROR(--SUBSTITUTE(SUBSTITUTE(TRIM(INDEX($A:$U,ROW(),$D$6)),",",""),"원",""),0))))</f>
        <v/>
      </c>
      <c r="AA634" s="31">
        <f>IF($Y634="","",TRIM(INDEX($A:$U,ROW(),$E$6)&amp;IF($F$6="",""," "&amp;INDEX($A:$U,ROW(),$F$6))))</f>
        <v/>
      </c>
      <c r="AB634" s="31">
        <f>IF($AA634="","",SUBSTITUTE(SUBSTITUTE(SUBSTITUTE(SUBSTITUTE(SUBSTITUTE(SUBSTITUTE(SUBSTITUTE(SUBSTITUTE(SUBSTITUTE($AA634," ",""),"　",""),"(주)",""),"（주）",""),"㈜",""),"주식회사",""),"(유)",""),"（유）",""),"유한회사",""))</f>
        <v/>
      </c>
      <c r="AC634" s="31">
        <f>IF(OR($Y634="",N($Z634)&lt;=0,$AB634=""),0,IFERROR(LOOKUP(2,1/((거래처별!$AC$8:$AC$307&lt;&gt;"")*ISNUMBER(SEARCH(거래처별!$AC$8:$AC$307,$AB634))),거래처별!$A$8:$A$307),IFERROR(LOOKUP(2,1/((거래처별!$AD$8:$AD$307&lt;&gt;"")*ISNUMBER(SEARCH(거래처별!$AD$8:$AD$307,$AB634))),거래처별!$A$8:$A$307),IFERROR(LOOKUP(2,1/((거래처별!$AE$8:$AE$307&lt;&gt;"")*ISNUMBER(SEARCH(거래처별!$AE$8:$AE$307,$AB634))),거래처별!$A$8:$A$307),0))))</f>
        <v/>
      </c>
      <c r="AD634" s="31">
        <f>IF(AND($Y634&lt;&gt;"",N($Z634)&gt;0,$AC634=0),MAX($AD$7:$AD633)+1,"")</f>
        <v/>
      </c>
      <c r="AE634" s="31">
        <f>IF($Y634="",0,$Y634)</f>
        <v/>
      </c>
    </row>
    <row r="635">
      <c r="W635" s="31">
        <f>IF(OR($B$5="",$C$6="",ROW()&lt;$B$5),"",IF(INDEX($A:$U,ROW(),$C$6)="","",INDEX($A:$U,ROW(),$C$6)))</f>
        <v/>
      </c>
      <c r="X635" s="32">
        <f>IF($W635="","",IF(ISNUMBER($W635),IF($W635&gt;=10000000,IFERROR(DATE(INT($W635/10000),MOD(INT($W635/100),100),MOD($W635,100)),""),INT($W635)),IFERROR(DATE(--LEFT(LEFT(SUBSTITUTE(SUBSTITUTE(SUBSTITUTE(SUBSTITUTE(TRIM($W635),"-",""),".",""),"/","")," ",""),8),4),--MID(LEFT(SUBSTITUTE(SUBSTITUTE(SUBSTITUTE(SUBSTITUTE(TRIM($W635),"-",""),".",""),"/","")," ",""),8),5,2),--MID(LEFT(SUBSTITUTE(SUBSTITUTE(SUBSTITUTE(SUBSTITUTE(TRIM($W635),"-",""),".",""),"/","")," ",""),8),7,2)),"")))</f>
        <v/>
      </c>
      <c r="Y635" s="32">
        <f>IF($X635="","",INT($X635))</f>
        <v/>
      </c>
      <c r="Z635" s="33">
        <f>IF(OR($Y635="",$D$6=""),"",IF(INDEX($A:$U,ROW(),$D$6)="",0,IF(ISNUMBER(INDEX($A:$U,ROW(),$D$6)),INDEX($A:$U,ROW(),$D$6),IFERROR(--SUBSTITUTE(SUBSTITUTE(TRIM(INDEX($A:$U,ROW(),$D$6)),",",""),"원",""),0))))</f>
        <v/>
      </c>
      <c r="AA635" s="31">
        <f>IF($Y635="","",TRIM(INDEX($A:$U,ROW(),$E$6)&amp;IF($F$6="",""," "&amp;INDEX($A:$U,ROW(),$F$6))))</f>
        <v/>
      </c>
      <c r="AB635" s="31">
        <f>IF($AA635="","",SUBSTITUTE(SUBSTITUTE(SUBSTITUTE(SUBSTITUTE(SUBSTITUTE(SUBSTITUTE(SUBSTITUTE(SUBSTITUTE(SUBSTITUTE($AA635," ",""),"　",""),"(주)",""),"（주）",""),"㈜",""),"주식회사",""),"(유)",""),"（유）",""),"유한회사",""))</f>
        <v/>
      </c>
      <c r="AC635" s="31">
        <f>IF(OR($Y635="",N($Z635)&lt;=0,$AB635=""),0,IFERROR(LOOKUP(2,1/((거래처별!$AC$8:$AC$307&lt;&gt;"")*ISNUMBER(SEARCH(거래처별!$AC$8:$AC$307,$AB635))),거래처별!$A$8:$A$307),IFERROR(LOOKUP(2,1/((거래처별!$AD$8:$AD$307&lt;&gt;"")*ISNUMBER(SEARCH(거래처별!$AD$8:$AD$307,$AB635))),거래처별!$A$8:$A$307),IFERROR(LOOKUP(2,1/((거래처별!$AE$8:$AE$307&lt;&gt;"")*ISNUMBER(SEARCH(거래처별!$AE$8:$AE$307,$AB635))),거래처별!$A$8:$A$307),0))))</f>
        <v/>
      </c>
      <c r="AD635" s="31">
        <f>IF(AND($Y635&lt;&gt;"",N($Z635)&gt;0,$AC635=0),MAX($AD$7:$AD634)+1,"")</f>
        <v/>
      </c>
      <c r="AE635" s="31">
        <f>IF($Y635="",0,$Y635)</f>
        <v/>
      </c>
    </row>
    <row r="636">
      <c r="W636" s="31">
        <f>IF(OR($B$5="",$C$6="",ROW()&lt;$B$5),"",IF(INDEX($A:$U,ROW(),$C$6)="","",INDEX($A:$U,ROW(),$C$6)))</f>
        <v/>
      </c>
      <c r="X636" s="32">
        <f>IF($W636="","",IF(ISNUMBER($W636),IF($W636&gt;=10000000,IFERROR(DATE(INT($W636/10000),MOD(INT($W636/100),100),MOD($W636,100)),""),INT($W636)),IFERROR(DATE(--LEFT(LEFT(SUBSTITUTE(SUBSTITUTE(SUBSTITUTE(SUBSTITUTE(TRIM($W636),"-",""),".",""),"/","")," ",""),8),4),--MID(LEFT(SUBSTITUTE(SUBSTITUTE(SUBSTITUTE(SUBSTITUTE(TRIM($W636),"-",""),".",""),"/","")," ",""),8),5,2),--MID(LEFT(SUBSTITUTE(SUBSTITUTE(SUBSTITUTE(SUBSTITUTE(TRIM($W636),"-",""),".",""),"/","")," ",""),8),7,2)),"")))</f>
        <v/>
      </c>
      <c r="Y636" s="32">
        <f>IF($X636="","",INT($X636))</f>
        <v/>
      </c>
      <c r="Z636" s="33">
        <f>IF(OR($Y636="",$D$6=""),"",IF(INDEX($A:$U,ROW(),$D$6)="",0,IF(ISNUMBER(INDEX($A:$U,ROW(),$D$6)),INDEX($A:$U,ROW(),$D$6),IFERROR(--SUBSTITUTE(SUBSTITUTE(TRIM(INDEX($A:$U,ROW(),$D$6)),",",""),"원",""),0))))</f>
        <v/>
      </c>
      <c r="AA636" s="31">
        <f>IF($Y636="","",TRIM(INDEX($A:$U,ROW(),$E$6)&amp;IF($F$6="",""," "&amp;INDEX($A:$U,ROW(),$F$6))))</f>
        <v/>
      </c>
      <c r="AB636" s="31">
        <f>IF($AA636="","",SUBSTITUTE(SUBSTITUTE(SUBSTITUTE(SUBSTITUTE(SUBSTITUTE(SUBSTITUTE(SUBSTITUTE(SUBSTITUTE(SUBSTITUTE($AA636," ",""),"　",""),"(주)",""),"（주）",""),"㈜",""),"주식회사",""),"(유)",""),"（유）",""),"유한회사",""))</f>
        <v/>
      </c>
      <c r="AC636" s="31">
        <f>IF(OR($Y636="",N($Z636)&lt;=0,$AB636=""),0,IFERROR(LOOKUP(2,1/((거래처별!$AC$8:$AC$307&lt;&gt;"")*ISNUMBER(SEARCH(거래처별!$AC$8:$AC$307,$AB636))),거래처별!$A$8:$A$307),IFERROR(LOOKUP(2,1/((거래처별!$AD$8:$AD$307&lt;&gt;"")*ISNUMBER(SEARCH(거래처별!$AD$8:$AD$307,$AB636))),거래처별!$A$8:$A$307),IFERROR(LOOKUP(2,1/((거래처별!$AE$8:$AE$307&lt;&gt;"")*ISNUMBER(SEARCH(거래처별!$AE$8:$AE$307,$AB636))),거래처별!$A$8:$A$307),0))))</f>
        <v/>
      </c>
      <c r="AD636" s="31">
        <f>IF(AND($Y636&lt;&gt;"",N($Z636)&gt;0,$AC636=0),MAX($AD$7:$AD635)+1,"")</f>
        <v/>
      </c>
      <c r="AE636" s="31">
        <f>IF($Y636="",0,$Y636)</f>
        <v/>
      </c>
    </row>
    <row r="637">
      <c r="W637" s="31">
        <f>IF(OR($B$5="",$C$6="",ROW()&lt;$B$5),"",IF(INDEX($A:$U,ROW(),$C$6)="","",INDEX($A:$U,ROW(),$C$6)))</f>
        <v/>
      </c>
      <c r="X637" s="32">
        <f>IF($W637="","",IF(ISNUMBER($W637),IF($W637&gt;=10000000,IFERROR(DATE(INT($W637/10000),MOD(INT($W637/100),100),MOD($W637,100)),""),INT($W637)),IFERROR(DATE(--LEFT(LEFT(SUBSTITUTE(SUBSTITUTE(SUBSTITUTE(SUBSTITUTE(TRIM($W637),"-",""),".",""),"/","")," ",""),8),4),--MID(LEFT(SUBSTITUTE(SUBSTITUTE(SUBSTITUTE(SUBSTITUTE(TRIM($W637),"-",""),".",""),"/","")," ",""),8),5,2),--MID(LEFT(SUBSTITUTE(SUBSTITUTE(SUBSTITUTE(SUBSTITUTE(TRIM($W637),"-",""),".",""),"/","")," ",""),8),7,2)),"")))</f>
        <v/>
      </c>
      <c r="Y637" s="32">
        <f>IF($X637="","",INT($X637))</f>
        <v/>
      </c>
      <c r="Z637" s="33">
        <f>IF(OR($Y637="",$D$6=""),"",IF(INDEX($A:$U,ROW(),$D$6)="",0,IF(ISNUMBER(INDEX($A:$U,ROW(),$D$6)),INDEX($A:$U,ROW(),$D$6),IFERROR(--SUBSTITUTE(SUBSTITUTE(TRIM(INDEX($A:$U,ROW(),$D$6)),",",""),"원",""),0))))</f>
        <v/>
      </c>
      <c r="AA637" s="31">
        <f>IF($Y637="","",TRIM(INDEX($A:$U,ROW(),$E$6)&amp;IF($F$6="",""," "&amp;INDEX($A:$U,ROW(),$F$6))))</f>
        <v/>
      </c>
      <c r="AB637" s="31">
        <f>IF($AA637="","",SUBSTITUTE(SUBSTITUTE(SUBSTITUTE(SUBSTITUTE(SUBSTITUTE(SUBSTITUTE(SUBSTITUTE(SUBSTITUTE(SUBSTITUTE($AA637," ",""),"　",""),"(주)",""),"（주）",""),"㈜",""),"주식회사",""),"(유)",""),"（유）",""),"유한회사",""))</f>
        <v/>
      </c>
      <c r="AC637" s="31">
        <f>IF(OR($Y637="",N($Z637)&lt;=0,$AB637=""),0,IFERROR(LOOKUP(2,1/((거래처별!$AC$8:$AC$307&lt;&gt;"")*ISNUMBER(SEARCH(거래처별!$AC$8:$AC$307,$AB637))),거래처별!$A$8:$A$307),IFERROR(LOOKUP(2,1/((거래처별!$AD$8:$AD$307&lt;&gt;"")*ISNUMBER(SEARCH(거래처별!$AD$8:$AD$307,$AB637))),거래처별!$A$8:$A$307),IFERROR(LOOKUP(2,1/((거래처별!$AE$8:$AE$307&lt;&gt;"")*ISNUMBER(SEARCH(거래처별!$AE$8:$AE$307,$AB637))),거래처별!$A$8:$A$307),0))))</f>
        <v/>
      </c>
      <c r="AD637" s="31">
        <f>IF(AND($Y637&lt;&gt;"",N($Z637)&gt;0,$AC637=0),MAX($AD$7:$AD636)+1,"")</f>
        <v/>
      </c>
      <c r="AE637" s="31">
        <f>IF($Y637="",0,$Y637)</f>
        <v/>
      </c>
    </row>
    <row r="638">
      <c r="W638" s="31">
        <f>IF(OR($B$5="",$C$6="",ROW()&lt;$B$5),"",IF(INDEX($A:$U,ROW(),$C$6)="","",INDEX($A:$U,ROW(),$C$6)))</f>
        <v/>
      </c>
      <c r="X638" s="32">
        <f>IF($W638="","",IF(ISNUMBER($W638),IF($W638&gt;=10000000,IFERROR(DATE(INT($W638/10000),MOD(INT($W638/100),100),MOD($W638,100)),""),INT($W638)),IFERROR(DATE(--LEFT(LEFT(SUBSTITUTE(SUBSTITUTE(SUBSTITUTE(SUBSTITUTE(TRIM($W638),"-",""),".",""),"/","")," ",""),8),4),--MID(LEFT(SUBSTITUTE(SUBSTITUTE(SUBSTITUTE(SUBSTITUTE(TRIM($W638),"-",""),".",""),"/","")," ",""),8),5,2),--MID(LEFT(SUBSTITUTE(SUBSTITUTE(SUBSTITUTE(SUBSTITUTE(TRIM($W638),"-",""),".",""),"/","")," ",""),8),7,2)),"")))</f>
        <v/>
      </c>
      <c r="Y638" s="32">
        <f>IF($X638="","",INT($X638))</f>
        <v/>
      </c>
      <c r="Z638" s="33">
        <f>IF(OR($Y638="",$D$6=""),"",IF(INDEX($A:$U,ROW(),$D$6)="",0,IF(ISNUMBER(INDEX($A:$U,ROW(),$D$6)),INDEX($A:$U,ROW(),$D$6),IFERROR(--SUBSTITUTE(SUBSTITUTE(TRIM(INDEX($A:$U,ROW(),$D$6)),",",""),"원",""),0))))</f>
        <v/>
      </c>
      <c r="AA638" s="31">
        <f>IF($Y638="","",TRIM(INDEX($A:$U,ROW(),$E$6)&amp;IF($F$6="",""," "&amp;INDEX($A:$U,ROW(),$F$6))))</f>
        <v/>
      </c>
      <c r="AB638" s="31">
        <f>IF($AA638="","",SUBSTITUTE(SUBSTITUTE(SUBSTITUTE(SUBSTITUTE(SUBSTITUTE(SUBSTITUTE(SUBSTITUTE(SUBSTITUTE(SUBSTITUTE($AA638," ",""),"　",""),"(주)",""),"（주）",""),"㈜",""),"주식회사",""),"(유)",""),"（유）",""),"유한회사",""))</f>
        <v/>
      </c>
      <c r="AC638" s="31">
        <f>IF(OR($Y638="",N($Z638)&lt;=0,$AB638=""),0,IFERROR(LOOKUP(2,1/((거래처별!$AC$8:$AC$307&lt;&gt;"")*ISNUMBER(SEARCH(거래처별!$AC$8:$AC$307,$AB638))),거래처별!$A$8:$A$307),IFERROR(LOOKUP(2,1/((거래처별!$AD$8:$AD$307&lt;&gt;"")*ISNUMBER(SEARCH(거래처별!$AD$8:$AD$307,$AB638))),거래처별!$A$8:$A$307),IFERROR(LOOKUP(2,1/((거래처별!$AE$8:$AE$307&lt;&gt;"")*ISNUMBER(SEARCH(거래처별!$AE$8:$AE$307,$AB638))),거래처별!$A$8:$A$307),0))))</f>
        <v/>
      </c>
      <c r="AD638" s="31">
        <f>IF(AND($Y638&lt;&gt;"",N($Z638)&gt;0,$AC638=0),MAX($AD$7:$AD637)+1,"")</f>
        <v/>
      </c>
      <c r="AE638" s="31">
        <f>IF($Y638="",0,$Y638)</f>
        <v/>
      </c>
    </row>
    <row r="639">
      <c r="W639" s="31">
        <f>IF(OR($B$5="",$C$6="",ROW()&lt;$B$5),"",IF(INDEX($A:$U,ROW(),$C$6)="","",INDEX($A:$U,ROW(),$C$6)))</f>
        <v/>
      </c>
      <c r="X639" s="32">
        <f>IF($W639="","",IF(ISNUMBER($W639),IF($W639&gt;=10000000,IFERROR(DATE(INT($W639/10000),MOD(INT($W639/100),100),MOD($W639,100)),""),INT($W639)),IFERROR(DATE(--LEFT(LEFT(SUBSTITUTE(SUBSTITUTE(SUBSTITUTE(SUBSTITUTE(TRIM($W639),"-",""),".",""),"/","")," ",""),8),4),--MID(LEFT(SUBSTITUTE(SUBSTITUTE(SUBSTITUTE(SUBSTITUTE(TRIM($W639),"-",""),".",""),"/","")," ",""),8),5,2),--MID(LEFT(SUBSTITUTE(SUBSTITUTE(SUBSTITUTE(SUBSTITUTE(TRIM($W639),"-",""),".",""),"/","")," ",""),8),7,2)),"")))</f>
        <v/>
      </c>
      <c r="Y639" s="32">
        <f>IF($X639="","",INT($X639))</f>
        <v/>
      </c>
      <c r="Z639" s="33">
        <f>IF(OR($Y639="",$D$6=""),"",IF(INDEX($A:$U,ROW(),$D$6)="",0,IF(ISNUMBER(INDEX($A:$U,ROW(),$D$6)),INDEX($A:$U,ROW(),$D$6),IFERROR(--SUBSTITUTE(SUBSTITUTE(TRIM(INDEX($A:$U,ROW(),$D$6)),",",""),"원",""),0))))</f>
        <v/>
      </c>
      <c r="AA639" s="31">
        <f>IF($Y639="","",TRIM(INDEX($A:$U,ROW(),$E$6)&amp;IF($F$6="",""," "&amp;INDEX($A:$U,ROW(),$F$6))))</f>
        <v/>
      </c>
      <c r="AB639" s="31">
        <f>IF($AA639="","",SUBSTITUTE(SUBSTITUTE(SUBSTITUTE(SUBSTITUTE(SUBSTITUTE(SUBSTITUTE(SUBSTITUTE(SUBSTITUTE(SUBSTITUTE($AA639," ",""),"　",""),"(주)",""),"（주）",""),"㈜",""),"주식회사",""),"(유)",""),"（유）",""),"유한회사",""))</f>
        <v/>
      </c>
      <c r="AC639" s="31">
        <f>IF(OR($Y639="",N($Z639)&lt;=0,$AB639=""),0,IFERROR(LOOKUP(2,1/((거래처별!$AC$8:$AC$307&lt;&gt;"")*ISNUMBER(SEARCH(거래처별!$AC$8:$AC$307,$AB639))),거래처별!$A$8:$A$307),IFERROR(LOOKUP(2,1/((거래처별!$AD$8:$AD$307&lt;&gt;"")*ISNUMBER(SEARCH(거래처별!$AD$8:$AD$307,$AB639))),거래처별!$A$8:$A$307),IFERROR(LOOKUP(2,1/((거래처별!$AE$8:$AE$307&lt;&gt;"")*ISNUMBER(SEARCH(거래처별!$AE$8:$AE$307,$AB639))),거래처별!$A$8:$A$307),0))))</f>
        <v/>
      </c>
      <c r="AD639" s="31">
        <f>IF(AND($Y639&lt;&gt;"",N($Z639)&gt;0,$AC639=0),MAX($AD$7:$AD638)+1,"")</f>
        <v/>
      </c>
      <c r="AE639" s="31">
        <f>IF($Y639="",0,$Y639)</f>
        <v/>
      </c>
    </row>
    <row r="640">
      <c r="W640" s="31">
        <f>IF(OR($B$5="",$C$6="",ROW()&lt;$B$5),"",IF(INDEX($A:$U,ROW(),$C$6)="","",INDEX($A:$U,ROW(),$C$6)))</f>
        <v/>
      </c>
      <c r="X640" s="32">
        <f>IF($W640="","",IF(ISNUMBER($W640),IF($W640&gt;=10000000,IFERROR(DATE(INT($W640/10000),MOD(INT($W640/100),100),MOD($W640,100)),""),INT($W640)),IFERROR(DATE(--LEFT(LEFT(SUBSTITUTE(SUBSTITUTE(SUBSTITUTE(SUBSTITUTE(TRIM($W640),"-",""),".",""),"/","")," ",""),8),4),--MID(LEFT(SUBSTITUTE(SUBSTITUTE(SUBSTITUTE(SUBSTITUTE(TRIM($W640),"-",""),".",""),"/","")," ",""),8),5,2),--MID(LEFT(SUBSTITUTE(SUBSTITUTE(SUBSTITUTE(SUBSTITUTE(TRIM($W640),"-",""),".",""),"/","")," ",""),8),7,2)),"")))</f>
        <v/>
      </c>
      <c r="Y640" s="32">
        <f>IF($X640="","",INT($X640))</f>
        <v/>
      </c>
      <c r="Z640" s="33">
        <f>IF(OR($Y640="",$D$6=""),"",IF(INDEX($A:$U,ROW(),$D$6)="",0,IF(ISNUMBER(INDEX($A:$U,ROW(),$D$6)),INDEX($A:$U,ROW(),$D$6),IFERROR(--SUBSTITUTE(SUBSTITUTE(TRIM(INDEX($A:$U,ROW(),$D$6)),",",""),"원",""),0))))</f>
        <v/>
      </c>
      <c r="AA640" s="31">
        <f>IF($Y640="","",TRIM(INDEX($A:$U,ROW(),$E$6)&amp;IF($F$6="",""," "&amp;INDEX($A:$U,ROW(),$F$6))))</f>
        <v/>
      </c>
      <c r="AB640" s="31">
        <f>IF($AA640="","",SUBSTITUTE(SUBSTITUTE(SUBSTITUTE(SUBSTITUTE(SUBSTITUTE(SUBSTITUTE(SUBSTITUTE(SUBSTITUTE(SUBSTITUTE($AA640," ",""),"　",""),"(주)",""),"（주）",""),"㈜",""),"주식회사",""),"(유)",""),"（유）",""),"유한회사",""))</f>
        <v/>
      </c>
      <c r="AC640" s="31">
        <f>IF(OR($Y640="",N($Z640)&lt;=0,$AB640=""),0,IFERROR(LOOKUP(2,1/((거래처별!$AC$8:$AC$307&lt;&gt;"")*ISNUMBER(SEARCH(거래처별!$AC$8:$AC$307,$AB640))),거래처별!$A$8:$A$307),IFERROR(LOOKUP(2,1/((거래처별!$AD$8:$AD$307&lt;&gt;"")*ISNUMBER(SEARCH(거래처별!$AD$8:$AD$307,$AB640))),거래처별!$A$8:$A$307),IFERROR(LOOKUP(2,1/((거래처별!$AE$8:$AE$307&lt;&gt;"")*ISNUMBER(SEARCH(거래처별!$AE$8:$AE$307,$AB640))),거래처별!$A$8:$A$307),0))))</f>
        <v/>
      </c>
      <c r="AD640" s="31">
        <f>IF(AND($Y640&lt;&gt;"",N($Z640)&gt;0,$AC640=0),MAX($AD$7:$AD639)+1,"")</f>
        <v/>
      </c>
      <c r="AE640" s="31">
        <f>IF($Y640="",0,$Y640)</f>
        <v/>
      </c>
    </row>
    <row r="641">
      <c r="W641" s="31">
        <f>IF(OR($B$5="",$C$6="",ROW()&lt;$B$5),"",IF(INDEX($A:$U,ROW(),$C$6)="","",INDEX($A:$U,ROW(),$C$6)))</f>
        <v/>
      </c>
      <c r="X641" s="32">
        <f>IF($W641="","",IF(ISNUMBER($W641),IF($W641&gt;=10000000,IFERROR(DATE(INT($W641/10000),MOD(INT($W641/100),100),MOD($W641,100)),""),INT($W641)),IFERROR(DATE(--LEFT(LEFT(SUBSTITUTE(SUBSTITUTE(SUBSTITUTE(SUBSTITUTE(TRIM($W641),"-",""),".",""),"/","")," ",""),8),4),--MID(LEFT(SUBSTITUTE(SUBSTITUTE(SUBSTITUTE(SUBSTITUTE(TRIM($W641),"-",""),".",""),"/","")," ",""),8),5,2),--MID(LEFT(SUBSTITUTE(SUBSTITUTE(SUBSTITUTE(SUBSTITUTE(TRIM($W641),"-",""),".",""),"/","")," ",""),8),7,2)),"")))</f>
        <v/>
      </c>
      <c r="Y641" s="32">
        <f>IF($X641="","",INT($X641))</f>
        <v/>
      </c>
      <c r="Z641" s="33">
        <f>IF(OR($Y641="",$D$6=""),"",IF(INDEX($A:$U,ROW(),$D$6)="",0,IF(ISNUMBER(INDEX($A:$U,ROW(),$D$6)),INDEX($A:$U,ROW(),$D$6),IFERROR(--SUBSTITUTE(SUBSTITUTE(TRIM(INDEX($A:$U,ROW(),$D$6)),",",""),"원",""),0))))</f>
        <v/>
      </c>
      <c r="AA641" s="31">
        <f>IF($Y641="","",TRIM(INDEX($A:$U,ROW(),$E$6)&amp;IF($F$6="",""," "&amp;INDEX($A:$U,ROW(),$F$6))))</f>
        <v/>
      </c>
      <c r="AB641" s="31">
        <f>IF($AA641="","",SUBSTITUTE(SUBSTITUTE(SUBSTITUTE(SUBSTITUTE(SUBSTITUTE(SUBSTITUTE(SUBSTITUTE(SUBSTITUTE(SUBSTITUTE($AA641," ",""),"　",""),"(주)",""),"（주）",""),"㈜",""),"주식회사",""),"(유)",""),"（유）",""),"유한회사",""))</f>
        <v/>
      </c>
      <c r="AC641" s="31">
        <f>IF(OR($Y641="",N($Z641)&lt;=0,$AB641=""),0,IFERROR(LOOKUP(2,1/((거래처별!$AC$8:$AC$307&lt;&gt;"")*ISNUMBER(SEARCH(거래처별!$AC$8:$AC$307,$AB641))),거래처별!$A$8:$A$307),IFERROR(LOOKUP(2,1/((거래처별!$AD$8:$AD$307&lt;&gt;"")*ISNUMBER(SEARCH(거래처별!$AD$8:$AD$307,$AB641))),거래처별!$A$8:$A$307),IFERROR(LOOKUP(2,1/((거래처별!$AE$8:$AE$307&lt;&gt;"")*ISNUMBER(SEARCH(거래처별!$AE$8:$AE$307,$AB641))),거래처별!$A$8:$A$307),0))))</f>
        <v/>
      </c>
      <c r="AD641" s="31">
        <f>IF(AND($Y641&lt;&gt;"",N($Z641)&gt;0,$AC641=0),MAX($AD$7:$AD640)+1,"")</f>
        <v/>
      </c>
      <c r="AE641" s="31">
        <f>IF($Y641="",0,$Y641)</f>
        <v/>
      </c>
    </row>
    <row r="642">
      <c r="W642" s="31">
        <f>IF(OR($B$5="",$C$6="",ROW()&lt;$B$5),"",IF(INDEX($A:$U,ROW(),$C$6)="","",INDEX($A:$U,ROW(),$C$6)))</f>
        <v/>
      </c>
      <c r="X642" s="32">
        <f>IF($W642="","",IF(ISNUMBER($W642),IF($W642&gt;=10000000,IFERROR(DATE(INT($W642/10000),MOD(INT($W642/100),100),MOD($W642,100)),""),INT($W642)),IFERROR(DATE(--LEFT(LEFT(SUBSTITUTE(SUBSTITUTE(SUBSTITUTE(SUBSTITUTE(TRIM($W642),"-",""),".",""),"/","")," ",""),8),4),--MID(LEFT(SUBSTITUTE(SUBSTITUTE(SUBSTITUTE(SUBSTITUTE(TRIM($W642),"-",""),".",""),"/","")," ",""),8),5,2),--MID(LEFT(SUBSTITUTE(SUBSTITUTE(SUBSTITUTE(SUBSTITUTE(TRIM($W642),"-",""),".",""),"/","")," ",""),8),7,2)),"")))</f>
        <v/>
      </c>
      <c r="Y642" s="32">
        <f>IF($X642="","",INT($X642))</f>
        <v/>
      </c>
      <c r="Z642" s="33">
        <f>IF(OR($Y642="",$D$6=""),"",IF(INDEX($A:$U,ROW(),$D$6)="",0,IF(ISNUMBER(INDEX($A:$U,ROW(),$D$6)),INDEX($A:$U,ROW(),$D$6),IFERROR(--SUBSTITUTE(SUBSTITUTE(TRIM(INDEX($A:$U,ROW(),$D$6)),",",""),"원",""),0))))</f>
        <v/>
      </c>
      <c r="AA642" s="31">
        <f>IF($Y642="","",TRIM(INDEX($A:$U,ROW(),$E$6)&amp;IF($F$6="",""," "&amp;INDEX($A:$U,ROW(),$F$6))))</f>
        <v/>
      </c>
      <c r="AB642" s="31">
        <f>IF($AA642="","",SUBSTITUTE(SUBSTITUTE(SUBSTITUTE(SUBSTITUTE(SUBSTITUTE(SUBSTITUTE(SUBSTITUTE(SUBSTITUTE(SUBSTITUTE($AA642," ",""),"　",""),"(주)",""),"（주）",""),"㈜",""),"주식회사",""),"(유)",""),"（유）",""),"유한회사",""))</f>
        <v/>
      </c>
      <c r="AC642" s="31">
        <f>IF(OR($Y642="",N($Z642)&lt;=0,$AB642=""),0,IFERROR(LOOKUP(2,1/((거래처별!$AC$8:$AC$307&lt;&gt;"")*ISNUMBER(SEARCH(거래처별!$AC$8:$AC$307,$AB642))),거래처별!$A$8:$A$307),IFERROR(LOOKUP(2,1/((거래처별!$AD$8:$AD$307&lt;&gt;"")*ISNUMBER(SEARCH(거래처별!$AD$8:$AD$307,$AB642))),거래처별!$A$8:$A$307),IFERROR(LOOKUP(2,1/((거래처별!$AE$8:$AE$307&lt;&gt;"")*ISNUMBER(SEARCH(거래처별!$AE$8:$AE$307,$AB642))),거래처별!$A$8:$A$307),0))))</f>
        <v/>
      </c>
      <c r="AD642" s="31">
        <f>IF(AND($Y642&lt;&gt;"",N($Z642)&gt;0,$AC642=0),MAX($AD$7:$AD641)+1,"")</f>
        <v/>
      </c>
      <c r="AE642" s="31">
        <f>IF($Y642="",0,$Y642)</f>
        <v/>
      </c>
    </row>
    <row r="643">
      <c r="W643" s="31">
        <f>IF(OR($B$5="",$C$6="",ROW()&lt;$B$5),"",IF(INDEX($A:$U,ROW(),$C$6)="","",INDEX($A:$U,ROW(),$C$6)))</f>
        <v/>
      </c>
      <c r="X643" s="32">
        <f>IF($W643="","",IF(ISNUMBER($W643),IF($W643&gt;=10000000,IFERROR(DATE(INT($W643/10000),MOD(INT($W643/100),100),MOD($W643,100)),""),INT($W643)),IFERROR(DATE(--LEFT(LEFT(SUBSTITUTE(SUBSTITUTE(SUBSTITUTE(SUBSTITUTE(TRIM($W643),"-",""),".",""),"/","")," ",""),8),4),--MID(LEFT(SUBSTITUTE(SUBSTITUTE(SUBSTITUTE(SUBSTITUTE(TRIM($W643),"-",""),".",""),"/","")," ",""),8),5,2),--MID(LEFT(SUBSTITUTE(SUBSTITUTE(SUBSTITUTE(SUBSTITUTE(TRIM($W643),"-",""),".",""),"/","")," ",""),8),7,2)),"")))</f>
        <v/>
      </c>
      <c r="Y643" s="32">
        <f>IF($X643="","",INT($X643))</f>
        <v/>
      </c>
      <c r="Z643" s="33">
        <f>IF(OR($Y643="",$D$6=""),"",IF(INDEX($A:$U,ROW(),$D$6)="",0,IF(ISNUMBER(INDEX($A:$U,ROW(),$D$6)),INDEX($A:$U,ROW(),$D$6),IFERROR(--SUBSTITUTE(SUBSTITUTE(TRIM(INDEX($A:$U,ROW(),$D$6)),",",""),"원",""),0))))</f>
        <v/>
      </c>
      <c r="AA643" s="31">
        <f>IF($Y643="","",TRIM(INDEX($A:$U,ROW(),$E$6)&amp;IF($F$6="",""," "&amp;INDEX($A:$U,ROW(),$F$6))))</f>
        <v/>
      </c>
      <c r="AB643" s="31">
        <f>IF($AA643="","",SUBSTITUTE(SUBSTITUTE(SUBSTITUTE(SUBSTITUTE(SUBSTITUTE(SUBSTITUTE(SUBSTITUTE(SUBSTITUTE(SUBSTITUTE($AA643," ",""),"　",""),"(주)",""),"（주）",""),"㈜",""),"주식회사",""),"(유)",""),"（유）",""),"유한회사",""))</f>
        <v/>
      </c>
      <c r="AC643" s="31">
        <f>IF(OR($Y643="",N($Z643)&lt;=0,$AB643=""),0,IFERROR(LOOKUP(2,1/((거래처별!$AC$8:$AC$307&lt;&gt;"")*ISNUMBER(SEARCH(거래처별!$AC$8:$AC$307,$AB643))),거래처별!$A$8:$A$307),IFERROR(LOOKUP(2,1/((거래처별!$AD$8:$AD$307&lt;&gt;"")*ISNUMBER(SEARCH(거래처별!$AD$8:$AD$307,$AB643))),거래처별!$A$8:$A$307),IFERROR(LOOKUP(2,1/((거래처별!$AE$8:$AE$307&lt;&gt;"")*ISNUMBER(SEARCH(거래처별!$AE$8:$AE$307,$AB643))),거래처별!$A$8:$A$307),0))))</f>
        <v/>
      </c>
      <c r="AD643" s="31">
        <f>IF(AND($Y643&lt;&gt;"",N($Z643)&gt;0,$AC643=0),MAX($AD$7:$AD642)+1,"")</f>
        <v/>
      </c>
      <c r="AE643" s="31">
        <f>IF($Y643="",0,$Y643)</f>
        <v/>
      </c>
    </row>
    <row r="644">
      <c r="W644" s="31">
        <f>IF(OR($B$5="",$C$6="",ROW()&lt;$B$5),"",IF(INDEX($A:$U,ROW(),$C$6)="","",INDEX($A:$U,ROW(),$C$6)))</f>
        <v/>
      </c>
      <c r="X644" s="32">
        <f>IF($W644="","",IF(ISNUMBER($W644),IF($W644&gt;=10000000,IFERROR(DATE(INT($W644/10000),MOD(INT($W644/100),100),MOD($W644,100)),""),INT($W644)),IFERROR(DATE(--LEFT(LEFT(SUBSTITUTE(SUBSTITUTE(SUBSTITUTE(SUBSTITUTE(TRIM($W644),"-",""),".",""),"/","")," ",""),8),4),--MID(LEFT(SUBSTITUTE(SUBSTITUTE(SUBSTITUTE(SUBSTITUTE(TRIM($W644),"-",""),".",""),"/","")," ",""),8),5,2),--MID(LEFT(SUBSTITUTE(SUBSTITUTE(SUBSTITUTE(SUBSTITUTE(TRIM($W644),"-",""),".",""),"/","")," ",""),8),7,2)),"")))</f>
        <v/>
      </c>
      <c r="Y644" s="32">
        <f>IF($X644="","",INT($X644))</f>
        <v/>
      </c>
      <c r="Z644" s="33">
        <f>IF(OR($Y644="",$D$6=""),"",IF(INDEX($A:$U,ROW(),$D$6)="",0,IF(ISNUMBER(INDEX($A:$U,ROW(),$D$6)),INDEX($A:$U,ROW(),$D$6),IFERROR(--SUBSTITUTE(SUBSTITUTE(TRIM(INDEX($A:$U,ROW(),$D$6)),",",""),"원",""),0))))</f>
        <v/>
      </c>
      <c r="AA644" s="31">
        <f>IF($Y644="","",TRIM(INDEX($A:$U,ROW(),$E$6)&amp;IF($F$6="",""," "&amp;INDEX($A:$U,ROW(),$F$6))))</f>
        <v/>
      </c>
      <c r="AB644" s="31">
        <f>IF($AA644="","",SUBSTITUTE(SUBSTITUTE(SUBSTITUTE(SUBSTITUTE(SUBSTITUTE(SUBSTITUTE(SUBSTITUTE(SUBSTITUTE(SUBSTITUTE($AA644," ",""),"　",""),"(주)",""),"（주）",""),"㈜",""),"주식회사",""),"(유)",""),"（유）",""),"유한회사",""))</f>
        <v/>
      </c>
      <c r="AC644" s="31">
        <f>IF(OR($Y644="",N($Z644)&lt;=0,$AB644=""),0,IFERROR(LOOKUP(2,1/((거래처별!$AC$8:$AC$307&lt;&gt;"")*ISNUMBER(SEARCH(거래처별!$AC$8:$AC$307,$AB644))),거래처별!$A$8:$A$307),IFERROR(LOOKUP(2,1/((거래처별!$AD$8:$AD$307&lt;&gt;"")*ISNUMBER(SEARCH(거래처별!$AD$8:$AD$307,$AB644))),거래처별!$A$8:$A$307),IFERROR(LOOKUP(2,1/((거래처별!$AE$8:$AE$307&lt;&gt;"")*ISNUMBER(SEARCH(거래처별!$AE$8:$AE$307,$AB644))),거래처별!$A$8:$A$307),0))))</f>
        <v/>
      </c>
      <c r="AD644" s="31">
        <f>IF(AND($Y644&lt;&gt;"",N($Z644)&gt;0,$AC644=0),MAX($AD$7:$AD643)+1,"")</f>
        <v/>
      </c>
      <c r="AE644" s="31">
        <f>IF($Y644="",0,$Y644)</f>
        <v/>
      </c>
    </row>
    <row r="645">
      <c r="W645" s="31">
        <f>IF(OR($B$5="",$C$6="",ROW()&lt;$B$5),"",IF(INDEX($A:$U,ROW(),$C$6)="","",INDEX($A:$U,ROW(),$C$6)))</f>
        <v/>
      </c>
      <c r="X645" s="32">
        <f>IF($W645="","",IF(ISNUMBER($W645),IF($W645&gt;=10000000,IFERROR(DATE(INT($W645/10000),MOD(INT($W645/100),100),MOD($W645,100)),""),INT($W645)),IFERROR(DATE(--LEFT(LEFT(SUBSTITUTE(SUBSTITUTE(SUBSTITUTE(SUBSTITUTE(TRIM($W645),"-",""),".",""),"/","")," ",""),8),4),--MID(LEFT(SUBSTITUTE(SUBSTITUTE(SUBSTITUTE(SUBSTITUTE(TRIM($W645),"-",""),".",""),"/","")," ",""),8),5,2),--MID(LEFT(SUBSTITUTE(SUBSTITUTE(SUBSTITUTE(SUBSTITUTE(TRIM($W645),"-",""),".",""),"/","")," ",""),8),7,2)),"")))</f>
        <v/>
      </c>
      <c r="Y645" s="32">
        <f>IF($X645="","",INT($X645))</f>
        <v/>
      </c>
      <c r="Z645" s="33">
        <f>IF(OR($Y645="",$D$6=""),"",IF(INDEX($A:$U,ROW(),$D$6)="",0,IF(ISNUMBER(INDEX($A:$U,ROW(),$D$6)),INDEX($A:$U,ROW(),$D$6),IFERROR(--SUBSTITUTE(SUBSTITUTE(TRIM(INDEX($A:$U,ROW(),$D$6)),",",""),"원",""),0))))</f>
        <v/>
      </c>
      <c r="AA645" s="31">
        <f>IF($Y645="","",TRIM(INDEX($A:$U,ROW(),$E$6)&amp;IF($F$6="",""," "&amp;INDEX($A:$U,ROW(),$F$6))))</f>
        <v/>
      </c>
      <c r="AB645" s="31">
        <f>IF($AA645="","",SUBSTITUTE(SUBSTITUTE(SUBSTITUTE(SUBSTITUTE(SUBSTITUTE(SUBSTITUTE(SUBSTITUTE(SUBSTITUTE(SUBSTITUTE($AA645," ",""),"　",""),"(주)",""),"（주）",""),"㈜",""),"주식회사",""),"(유)",""),"（유）",""),"유한회사",""))</f>
        <v/>
      </c>
      <c r="AC645" s="31">
        <f>IF(OR($Y645="",N($Z645)&lt;=0,$AB645=""),0,IFERROR(LOOKUP(2,1/((거래처별!$AC$8:$AC$307&lt;&gt;"")*ISNUMBER(SEARCH(거래처별!$AC$8:$AC$307,$AB645))),거래처별!$A$8:$A$307),IFERROR(LOOKUP(2,1/((거래처별!$AD$8:$AD$307&lt;&gt;"")*ISNUMBER(SEARCH(거래처별!$AD$8:$AD$307,$AB645))),거래처별!$A$8:$A$307),IFERROR(LOOKUP(2,1/((거래처별!$AE$8:$AE$307&lt;&gt;"")*ISNUMBER(SEARCH(거래처별!$AE$8:$AE$307,$AB645))),거래처별!$A$8:$A$307),0))))</f>
        <v/>
      </c>
      <c r="AD645" s="31">
        <f>IF(AND($Y645&lt;&gt;"",N($Z645)&gt;0,$AC645=0),MAX($AD$7:$AD644)+1,"")</f>
        <v/>
      </c>
      <c r="AE645" s="31">
        <f>IF($Y645="",0,$Y645)</f>
        <v/>
      </c>
    </row>
    <row r="646">
      <c r="W646" s="31">
        <f>IF(OR($B$5="",$C$6="",ROW()&lt;$B$5),"",IF(INDEX($A:$U,ROW(),$C$6)="","",INDEX($A:$U,ROW(),$C$6)))</f>
        <v/>
      </c>
      <c r="X646" s="32">
        <f>IF($W646="","",IF(ISNUMBER($W646),IF($W646&gt;=10000000,IFERROR(DATE(INT($W646/10000),MOD(INT($W646/100),100),MOD($W646,100)),""),INT($W646)),IFERROR(DATE(--LEFT(LEFT(SUBSTITUTE(SUBSTITUTE(SUBSTITUTE(SUBSTITUTE(TRIM($W646),"-",""),".",""),"/","")," ",""),8),4),--MID(LEFT(SUBSTITUTE(SUBSTITUTE(SUBSTITUTE(SUBSTITUTE(TRIM($W646),"-",""),".",""),"/","")," ",""),8),5,2),--MID(LEFT(SUBSTITUTE(SUBSTITUTE(SUBSTITUTE(SUBSTITUTE(TRIM($W646),"-",""),".",""),"/","")," ",""),8),7,2)),"")))</f>
        <v/>
      </c>
      <c r="Y646" s="32">
        <f>IF($X646="","",INT($X646))</f>
        <v/>
      </c>
      <c r="Z646" s="33">
        <f>IF(OR($Y646="",$D$6=""),"",IF(INDEX($A:$U,ROW(),$D$6)="",0,IF(ISNUMBER(INDEX($A:$U,ROW(),$D$6)),INDEX($A:$U,ROW(),$D$6),IFERROR(--SUBSTITUTE(SUBSTITUTE(TRIM(INDEX($A:$U,ROW(),$D$6)),",",""),"원",""),0))))</f>
        <v/>
      </c>
      <c r="AA646" s="31">
        <f>IF($Y646="","",TRIM(INDEX($A:$U,ROW(),$E$6)&amp;IF($F$6="",""," "&amp;INDEX($A:$U,ROW(),$F$6))))</f>
        <v/>
      </c>
      <c r="AB646" s="31">
        <f>IF($AA646="","",SUBSTITUTE(SUBSTITUTE(SUBSTITUTE(SUBSTITUTE(SUBSTITUTE(SUBSTITUTE(SUBSTITUTE(SUBSTITUTE(SUBSTITUTE($AA646," ",""),"　",""),"(주)",""),"（주）",""),"㈜",""),"주식회사",""),"(유)",""),"（유）",""),"유한회사",""))</f>
        <v/>
      </c>
      <c r="AC646" s="31">
        <f>IF(OR($Y646="",N($Z646)&lt;=0,$AB646=""),0,IFERROR(LOOKUP(2,1/((거래처별!$AC$8:$AC$307&lt;&gt;"")*ISNUMBER(SEARCH(거래처별!$AC$8:$AC$307,$AB646))),거래처별!$A$8:$A$307),IFERROR(LOOKUP(2,1/((거래처별!$AD$8:$AD$307&lt;&gt;"")*ISNUMBER(SEARCH(거래처별!$AD$8:$AD$307,$AB646))),거래처별!$A$8:$A$307),IFERROR(LOOKUP(2,1/((거래처별!$AE$8:$AE$307&lt;&gt;"")*ISNUMBER(SEARCH(거래처별!$AE$8:$AE$307,$AB646))),거래처별!$A$8:$A$307),0))))</f>
        <v/>
      </c>
      <c r="AD646" s="31">
        <f>IF(AND($Y646&lt;&gt;"",N($Z646)&gt;0,$AC646=0),MAX($AD$7:$AD645)+1,"")</f>
        <v/>
      </c>
      <c r="AE646" s="31">
        <f>IF($Y646="",0,$Y646)</f>
        <v/>
      </c>
    </row>
    <row r="647">
      <c r="W647" s="31">
        <f>IF(OR($B$5="",$C$6="",ROW()&lt;$B$5),"",IF(INDEX($A:$U,ROW(),$C$6)="","",INDEX($A:$U,ROW(),$C$6)))</f>
        <v/>
      </c>
      <c r="X647" s="32">
        <f>IF($W647="","",IF(ISNUMBER($W647),IF($W647&gt;=10000000,IFERROR(DATE(INT($W647/10000),MOD(INT($W647/100),100),MOD($W647,100)),""),INT($W647)),IFERROR(DATE(--LEFT(LEFT(SUBSTITUTE(SUBSTITUTE(SUBSTITUTE(SUBSTITUTE(TRIM($W647),"-",""),".",""),"/","")," ",""),8),4),--MID(LEFT(SUBSTITUTE(SUBSTITUTE(SUBSTITUTE(SUBSTITUTE(TRIM($W647),"-",""),".",""),"/","")," ",""),8),5,2),--MID(LEFT(SUBSTITUTE(SUBSTITUTE(SUBSTITUTE(SUBSTITUTE(TRIM($W647),"-",""),".",""),"/","")," ",""),8),7,2)),"")))</f>
        <v/>
      </c>
      <c r="Y647" s="32">
        <f>IF($X647="","",INT($X647))</f>
        <v/>
      </c>
      <c r="Z647" s="33">
        <f>IF(OR($Y647="",$D$6=""),"",IF(INDEX($A:$U,ROW(),$D$6)="",0,IF(ISNUMBER(INDEX($A:$U,ROW(),$D$6)),INDEX($A:$U,ROW(),$D$6),IFERROR(--SUBSTITUTE(SUBSTITUTE(TRIM(INDEX($A:$U,ROW(),$D$6)),",",""),"원",""),0))))</f>
        <v/>
      </c>
      <c r="AA647" s="31">
        <f>IF($Y647="","",TRIM(INDEX($A:$U,ROW(),$E$6)&amp;IF($F$6="",""," "&amp;INDEX($A:$U,ROW(),$F$6))))</f>
        <v/>
      </c>
      <c r="AB647" s="31">
        <f>IF($AA647="","",SUBSTITUTE(SUBSTITUTE(SUBSTITUTE(SUBSTITUTE(SUBSTITUTE(SUBSTITUTE(SUBSTITUTE(SUBSTITUTE(SUBSTITUTE($AA647," ",""),"　",""),"(주)",""),"（주）",""),"㈜",""),"주식회사",""),"(유)",""),"（유）",""),"유한회사",""))</f>
        <v/>
      </c>
      <c r="AC647" s="31">
        <f>IF(OR($Y647="",N($Z647)&lt;=0,$AB647=""),0,IFERROR(LOOKUP(2,1/((거래처별!$AC$8:$AC$307&lt;&gt;"")*ISNUMBER(SEARCH(거래처별!$AC$8:$AC$307,$AB647))),거래처별!$A$8:$A$307),IFERROR(LOOKUP(2,1/((거래처별!$AD$8:$AD$307&lt;&gt;"")*ISNUMBER(SEARCH(거래처별!$AD$8:$AD$307,$AB647))),거래처별!$A$8:$A$307),IFERROR(LOOKUP(2,1/((거래처별!$AE$8:$AE$307&lt;&gt;"")*ISNUMBER(SEARCH(거래처별!$AE$8:$AE$307,$AB647))),거래처별!$A$8:$A$307),0))))</f>
        <v/>
      </c>
      <c r="AD647" s="31">
        <f>IF(AND($Y647&lt;&gt;"",N($Z647)&gt;0,$AC647=0),MAX($AD$7:$AD646)+1,"")</f>
        <v/>
      </c>
      <c r="AE647" s="31">
        <f>IF($Y647="",0,$Y647)</f>
        <v/>
      </c>
    </row>
    <row r="648">
      <c r="W648" s="31">
        <f>IF(OR($B$5="",$C$6="",ROW()&lt;$B$5),"",IF(INDEX($A:$U,ROW(),$C$6)="","",INDEX($A:$U,ROW(),$C$6)))</f>
        <v/>
      </c>
      <c r="X648" s="32">
        <f>IF($W648="","",IF(ISNUMBER($W648),IF($W648&gt;=10000000,IFERROR(DATE(INT($W648/10000),MOD(INT($W648/100),100),MOD($W648,100)),""),INT($W648)),IFERROR(DATE(--LEFT(LEFT(SUBSTITUTE(SUBSTITUTE(SUBSTITUTE(SUBSTITUTE(TRIM($W648),"-",""),".",""),"/","")," ",""),8),4),--MID(LEFT(SUBSTITUTE(SUBSTITUTE(SUBSTITUTE(SUBSTITUTE(TRIM($W648),"-",""),".",""),"/","")," ",""),8),5,2),--MID(LEFT(SUBSTITUTE(SUBSTITUTE(SUBSTITUTE(SUBSTITUTE(TRIM($W648),"-",""),".",""),"/","")," ",""),8),7,2)),"")))</f>
        <v/>
      </c>
      <c r="Y648" s="32">
        <f>IF($X648="","",INT($X648))</f>
        <v/>
      </c>
      <c r="Z648" s="33">
        <f>IF(OR($Y648="",$D$6=""),"",IF(INDEX($A:$U,ROW(),$D$6)="",0,IF(ISNUMBER(INDEX($A:$U,ROW(),$D$6)),INDEX($A:$U,ROW(),$D$6),IFERROR(--SUBSTITUTE(SUBSTITUTE(TRIM(INDEX($A:$U,ROW(),$D$6)),",",""),"원",""),0))))</f>
        <v/>
      </c>
      <c r="AA648" s="31">
        <f>IF($Y648="","",TRIM(INDEX($A:$U,ROW(),$E$6)&amp;IF($F$6="",""," "&amp;INDEX($A:$U,ROW(),$F$6))))</f>
        <v/>
      </c>
      <c r="AB648" s="31">
        <f>IF($AA648="","",SUBSTITUTE(SUBSTITUTE(SUBSTITUTE(SUBSTITUTE(SUBSTITUTE(SUBSTITUTE(SUBSTITUTE(SUBSTITUTE(SUBSTITUTE($AA648," ",""),"　",""),"(주)",""),"（주）",""),"㈜",""),"주식회사",""),"(유)",""),"（유）",""),"유한회사",""))</f>
        <v/>
      </c>
      <c r="AC648" s="31">
        <f>IF(OR($Y648="",N($Z648)&lt;=0,$AB648=""),0,IFERROR(LOOKUP(2,1/((거래처별!$AC$8:$AC$307&lt;&gt;"")*ISNUMBER(SEARCH(거래처별!$AC$8:$AC$307,$AB648))),거래처별!$A$8:$A$307),IFERROR(LOOKUP(2,1/((거래처별!$AD$8:$AD$307&lt;&gt;"")*ISNUMBER(SEARCH(거래처별!$AD$8:$AD$307,$AB648))),거래처별!$A$8:$A$307),IFERROR(LOOKUP(2,1/((거래처별!$AE$8:$AE$307&lt;&gt;"")*ISNUMBER(SEARCH(거래처별!$AE$8:$AE$307,$AB648))),거래처별!$A$8:$A$307),0))))</f>
        <v/>
      </c>
      <c r="AD648" s="31">
        <f>IF(AND($Y648&lt;&gt;"",N($Z648)&gt;0,$AC648=0),MAX($AD$7:$AD647)+1,"")</f>
        <v/>
      </c>
      <c r="AE648" s="31">
        <f>IF($Y648="",0,$Y648)</f>
        <v/>
      </c>
    </row>
    <row r="649">
      <c r="W649" s="31">
        <f>IF(OR($B$5="",$C$6="",ROW()&lt;$B$5),"",IF(INDEX($A:$U,ROW(),$C$6)="","",INDEX($A:$U,ROW(),$C$6)))</f>
        <v/>
      </c>
      <c r="X649" s="32">
        <f>IF($W649="","",IF(ISNUMBER($W649),IF($W649&gt;=10000000,IFERROR(DATE(INT($W649/10000),MOD(INT($W649/100),100),MOD($W649,100)),""),INT($W649)),IFERROR(DATE(--LEFT(LEFT(SUBSTITUTE(SUBSTITUTE(SUBSTITUTE(SUBSTITUTE(TRIM($W649),"-",""),".",""),"/","")," ",""),8),4),--MID(LEFT(SUBSTITUTE(SUBSTITUTE(SUBSTITUTE(SUBSTITUTE(TRIM($W649),"-",""),".",""),"/","")," ",""),8),5,2),--MID(LEFT(SUBSTITUTE(SUBSTITUTE(SUBSTITUTE(SUBSTITUTE(TRIM($W649),"-",""),".",""),"/","")," ",""),8),7,2)),"")))</f>
        <v/>
      </c>
      <c r="Y649" s="32">
        <f>IF($X649="","",INT($X649))</f>
        <v/>
      </c>
      <c r="Z649" s="33">
        <f>IF(OR($Y649="",$D$6=""),"",IF(INDEX($A:$U,ROW(),$D$6)="",0,IF(ISNUMBER(INDEX($A:$U,ROW(),$D$6)),INDEX($A:$U,ROW(),$D$6),IFERROR(--SUBSTITUTE(SUBSTITUTE(TRIM(INDEX($A:$U,ROW(),$D$6)),",",""),"원",""),0))))</f>
        <v/>
      </c>
      <c r="AA649" s="31">
        <f>IF($Y649="","",TRIM(INDEX($A:$U,ROW(),$E$6)&amp;IF($F$6="",""," "&amp;INDEX($A:$U,ROW(),$F$6))))</f>
        <v/>
      </c>
      <c r="AB649" s="31">
        <f>IF($AA649="","",SUBSTITUTE(SUBSTITUTE(SUBSTITUTE(SUBSTITUTE(SUBSTITUTE(SUBSTITUTE(SUBSTITUTE(SUBSTITUTE(SUBSTITUTE($AA649," ",""),"　",""),"(주)",""),"（주）",""),"㈜",""),"주식회사",""),"(유)",""),"（유）",""),"유한회사",""))</f>
        <v/>
      </c>
      <c r="AC649" s="31">
        <f>IF(OR($Y649="",N($Z649)&lt;=0,$AB649=""),0,IFERROR(LOOKUP(2,1/((거래처별!$AC$8:$AC$307&lt;&gt;"")*ISNUMBER(SEARCH(거래처별!$AC$8:$AC$307,$AB649))),거래처별!$A$8:$A$307),IFERROR(LOOKUP(2,1/((거래처별!$AD$8:$AD$307&lt;&gt;"")*ISNUMBER(SEARCH(거래처별!$AD$8:$AD$307,$AB649))),거래처별!$A$8:$A$307),IFERROR(LOOKUP(2,1/((거래처별!$AE$8:$AE$307&lt;&gt;"")*ISNUMBER(SEARCH(거래처별!$AE$8:$AE$307,$AB649))),거래처별!$A$8:$A$307),0))))</f>
        <v/>
      </c>
      <c r="AD649" s="31">
        <f>IF(AND($Y649&lt;&gt;"",N($Z649)&gt;0,$AC649=0),MAX($AD$7:$AD648)+1,"")</f>
        <v/>
      </c>
      <c r="AE649" s="31">
        <f>IF($Y649="",0,$Y649)</f>
        <v/>
      </c>
    </row>
    <row r="650">
      <c r="W650" s="31">
        <f>IF(OR($B$5="",$C$6="",ROW()&lt;$B$5),"",IF(INDEX($A:$U,ROW(),$C$6)="","",INDEX($A:$U,ROW(),$C$6)))</f>
        <v/>
      </c>
      <c r="X650" s="32">
        <f>IF($W650="","",IF(ISNUMBER($W650),IF($W650&gt;=10000000,IFERROR(DATE(INT($W650/10000),MOD(INT($W650/100),100),MOD($W650,100)),""),INT($W650)),IFERROR(DATE(--LEFT(LEFT(SUBSTITUTE(SUBSTITUTE(SUBSTITUTE(SUBSTITUTE(TRIM($W650),"-",""),".",""),"/","")," ",""),8),4),--MID(LEFT(SUBSTITUTE(SUBSTITUTE(SUBSTITUTE(SUBSTITUTE(TRIM($W650),"-",""),".",""),"/","")," ",""),8),5,2),--MID(LEFT(SUBSTITUTE(SUBSTITUTE(SUBSTITUTE(SUBSTITUTE(TRIM($W650),"-",""),".",""),"/","")," ",""),8),7,2)),"")))</f>
        <v/>
      </c>
      <c r="Y650" s="32">
        <f>IF($X650="","",INT($X650))</f>
        <v/>
      </c>
      <c r="Z650" s="33">
        <f>IF(OR($Y650="",$D$6=""),"",IF(INDEX($A:$U,ROW(),$D$6)="",0,IF(ISNUMBER(INDEX($A:$U,ROW(),$D$6)),INDEX($A:$U,ROW(),$D$6),IFERROR(--SUBSTITUTE(SUBSTITUTE(TRIM(INDEX($A:$U,ROW(),$D$6)),",",""),"원",""),0))))</f>
        <v/>
      </c>
      <c r="AA650" s="31">
        <f>IF($Y650="","",TRIM(INDEX($A:$U,ROW(),$E$6)&amp;IF($F$6="",""," "&amp;INDEX($A:$U,ROW(),$F$6))))</f>
        <v/>
      </c>
      <c r="AB650" s="31">
        <f>IF($AA650="","",SUBSTITUTE(SUBSTITUTE(SUBSTITUTE(SUBSTITUTE(SUBSTITUTE(SUBSTITUTE(SUBSTITUTE(SUBSTITUTE(SUBSTITUTE($AA650," ",""),"　",""),"(주)",""),"（주）",""),"㈜",""),"주식회사",""),"(유)",""),"（유）",""),"유한회사",""))</f>
        <v/>
      </c>
      <c r="AC650" s="31">
        <f>IF(OR($Y650="",N($Z650)&lt;=0,$AB650=""),0,IFERROR(LOOKUP(2,1/((거래처별!$AC$8:$AC$307&lt;&gt;"")*ISNUMBER(SEARCH(거래처별!$AC$8:$AC$307,$AB650))),거래처별!$A$8:$A$307),IFERROR(LOOKUP(2,1/((거래처별!$AD$8:$AD$307&lt;&gt;"")*ISNUMBER(SEARCH(거래처별!$AD$8:$AD$307,$AB650))),거래처별!$A$8:$A$307),IFERROR(LOOKUP(2,1/((거래처별!$AE$8:$AE$307&lt;&gt;"")*ISNUMBER(SEARCH(거래처별!$AE$8:$AE$307,$AB650))),거래처별!$A$8:$A$307),0))))</f>
        <v/>
      </c>
      <c r="AD650" s="31">
        <f>IF(AND($Y650&lt;&gt;"",N($Z650)&gt;0,$AC650=0),MAX($AD$7:$AD649)+1,"")</f>
        <v/>
      </c>
      <c r="AE650" s="31">
        <f>IF($Y650="",0,$Y650)</f>
        <v/>
      </c>
    </row>
    <row r="651">
      <c r="W651" s="31">
        <f>IF(OR($B$5="",$C$6="",ROW()&lt;$B$5),"",IF(INDEX($A:$U,ROW(),$C$6)="","",INDEX($A:$U,ROW(),$C$6)))</f>
        <v/>
      </c>
      <c r="X651" s="32">
        <f>IF($W651="","",IF(ISNUMBER($W651),IF($W651&gt;=10000000,IFERROR(DATE(INT($W651/10000),MOD(INT($W651/100),100),MOD($W651,100)),""),INT($W651)),IFERROR(DATE(--LEFT(LEFT(SUBSTITUTE(SUBSTITUTE(SUBSTITUTE(SUBSTITUTE(TRIM($W651),"-",""),".",""),"/","")," ",""),8),4),--MID(LEFT(SUBSTITUTE(SUBSTITUTE(SUBSTITUTE(SUBSTITUTE(TRIM($W651),"-",""),".",""),"/","")," ",""),8),5,2),--MID(LEFT(SUBSTITUTE(SUBSTITUTE(SUBSTITUTE(SUBSTITUTE(TRIM($W651),"-",""),".",""),"/","")," ",""),8),7,2)),"")))</f>
        <v/>
      </c>
      <c r="Y651" s="32">
        <f>IF($X651="","",INT($X651))</f>
        <v/>
      </c>
      <c r="Z651" s="33">
        <f>IF(OR($Y651="",$D$6=""),"",IF(INDEX($A:$U,ROW(),$D$6)="",0,IF(ISNUMBER(INDEX($A:$U,ROW(),$D$6)),INDEX($A:$U,ROW(),$D$6),IFERROR(--SUBSTITUTE(SUBSTITUTE(TRIM(INDEX($A:$U,ROW(),$D$6)),",",""),"원",""),0))))</f>
        <v/>
      </c>
      <c r="AA651" s="31">
        <f>IF($Y651="","",TRIM(INDEX($A:$U,ROW(),$E$6)&amp;IF($F$6="",""," "&amp;INDEX($A:$U,ROW(),$F$6))))</f>
        <v/>
      </c>
      <c r="AB651" s="31">
        <f>IF($AA651="","",SUBSTITUTE(SUBSTITUTE(SUBSTITUTE(SUBSTITUTE(SUBSTITUTE(SUBSTITUTE(SUBSTITUTE(SUBSTITUTE(SUBSTITUTE($AA651," ",""),"　",""),"(주)",""),"（주）",""),"㈜",""),"주식회사",""),"(유)",""),"（유）",""),"유한회사",""))</f>
        <v/>
      </c>
      <c r="AC651" s="31">
        <f>IF(OR($Y651="",N($Z651)&lt;=0,$AB651=""),0,IFERROR(LOOKUP(2,1/((거래처별!$AC$8:$AC$307&lt;&gt;"")*ISNUMBER(SEARCH(거래처별!$AC$8:$AC$307,$AB651))),거래처별!$A$8:$A$307),IFERROR(LOOKUP(2,1/((거래처별!$AD$8:$AD$307&lt;&gt;"")*ISNUMBER(SEARCH(거래처별!$AD$8:$AD$307,$AB651))),거래처별!$A$8:$A$307),IFERROR(LOOKUP(2,1/((거래처별!$AE$8:$AE$307&lt;&gt;"")*ISNUMBER(SEARCH(거래처별!$AE$8:$AE$307,$AB651))),거래처별!$A$8:$A$307),0))))</f>
        <v/>
      </c>
      <c r="AD651" s="31">
        <f>IF(AND($Y651&lt;&gt;"",N($Z651)&gt;0,$AC651=0),MAX($AD$7:$AD650)+1,"")</f>
        <v/>
      </c>
      <c r="AE651" s="31">
        <f>IF($Y651="",0,$Y651)</f>
        <v/>
      </c>
    </row>
    <row r="652">
      <c r="W652" s="31">
        <f>IF(OR($B$5="",$C$6="",ROW()&lt;$B$5),"",IF(INDEX($A:$U,ROW(),$C$6)="","",INDEX($A:$U,ROW(),$C$6)))</f>
        <v/>
      </c>
      <c r="X652" s="32">
        <f>IF($W652="","",IF(ISNUMBER($W652),IF($W652&gt;=10000000,IFERROR(DATE(INT($W652/10000),MOD(INT($W652/100),100),MOD($W652,100)),""),INT($W652)),IFERROR(DATE(--LEFT(LEFT(SUBSTITUTE(SUBSTITUTE(SUBSTITUTE(SUBSTITUTE(TRIM($W652),"-",""),".",""),"/","")," ",""),8),4),--MID(LEFT(SUBSTITUTE(SUBSTITUTE(SUBSTITUTE(SUBSTITUTE(TRIM($W652),"-",""),".",""),"/","")," ",""),8),5,2),--MID(LEFT(SUBSTITUTE(SUBSTITUTE(SUBSTITUTE(SUBSTITUTE(TRIM($W652),"-",""),".",""),"/","")," ",""),8),7,2)),"")))</f>
        <v/>
      </c>
      <c r="Y652" s="32">
        <f>IF($X652="","",INT($X652))</f>
        <v/>
      </c>
      <c r="Z652" s="33">
        <f>IF(OR($Y652="",$D$6=""),"",IF(INDEX($A:$U,ROW(),$D$6)="",0,IF(ISNUMBER(INDEX($A:$U,ROW(),$D$6)),INDEX($A:$U,ROW(),$D$6),IFERROR(--SUBSTITUTE(SUBSTITUTE(TRIM(INDEX($A:$U,ROW(),$D$6)),",",""),"원",""),0))))</f>
        <v/>
      </c>
      <c r="AA652" s="31">
        <f>IF($Y652="","",TRIM(INDEX($A:$U,ROW(),$E$6)&amp;IF($F$6="",""," "&amp;INDEX($A:$U,ROW(),$F$6))))</f>
        <v/>
      </c>
      <c r="AB652" s="31">
        <f>IF($AA652="","",SUBSTITUTE(SUBSTITUTE(SUBSTITUTE(SUBSTITUTE(SUBSTITUTE(SUBSTITUTE(SUBSTITUTE(SUBSTITUTE(SUBSTITUTE($AA652," ",""),"　",""),"(주)",""),"（주）",""),"㈜",""),"주식회사",""),"(유)",""),"（유）",""),"유한회사",""))</f>
        <v/>
      </c>
      <c r="AC652" s="31">
        <f>IF(OR($Y652="",N($Z652)&lt;=0,$AB652=""),0,IFERROR(LOOKUP(2,1/((거래처별!$AC$8:$AC$307&lt;&gt;"")*ISNUMBER(SEARCH(거래처별!$AC$8:$AC$307,$AB652))),거래처별!$A$8:$A$307),IFERROR(LOOKUP(2,1/((거래처별!$AD$8:$AD$307&lt;&gt;"")*ISNUMBER(SEARCH(거래처별!$AD$8:$AD$307,$AB652))),거래처별!$A$8:$A$307),IFERROR(LOOKUP(2,1/((거래처별!$AE$8:$AE$307&lt;&gt;"")*ISNUMBER(SEARCH(거래처별!$AE$8:$AE$307,$AB652))),거래처별!$A$8:$A$307),0))))</f>
        <v/>
      </c>
      <c r="AD652" s="31">
        <f>IF(AND($Y652&lt;&gt;"",N($Z652)&gt;0,$AC652=0),MAX($AD$7:$AD651)+1,"")</f>
        <v/>
      </c>
      <c r="AE652" s="31">
        <f>IF($Y652="",0,$Y652)</f>
        <v/>
      </c>
    </row>
    <row r="653">
      <c r="W653" s="31">
        <f>IF(OR($B$5="",$C$6="",ROW()&lt;$B$5),"",IF(INDEX($A:$U,ROW(),$C$6)="","",INDEX($A:$U,ROW(),$C$6)))</f>
        <v/>
      </c>
      <c r="X653" s="32">
        <f>IF($W653="","",IF(ISNUMBER($W653),IF($W653&gt;=10000000,IFERROR(DATE(INT($W653/10000),MOD(INT($W653/100),100),MOD($W653,100)),""),INT($W653)),IFERROR(DATE(--LEFT(LEFT(SUBSTITUTE(SUBSTITUTE(SUBSTITUTE(SUBSTITUTE(TRIM($W653),"-",""),".",""),"/","")," ",""),8),4),--MID(LEFT(SUBSTITUTE(SUBSTITUTE(SUBSTITUTE(SUBSTITUTE(TRIM($W653),"-",""),".",""),"/","")," ",""),8),5,2),--MID(LEFT(SUBSTITUTE(SUBSTITUTE(SUBSTITUTE(SUBSTITUTE(TRIM($W653),"-",""),".",""),"/","")," ",""),8),7,2)),"")))</f>
        <v/>
      </c>
      <c r="Y653" s="32">
        <f>IF($X653="","",INT($X653))</f>
        <v/>
      </c>
      <c r="Z653" s="33">
        <f>IF(OR($Y653="",$D$6=""),"",IF(INDEX($A:$U,ROW(),$D$6)="",0,IF(ISNUMBER(INDEX($A:$U,ROW(),$D$6)),INDEX($A:$U,ROW(),$D$6),IFERROR(--SUBSTITUTE(SUBSTITUTE(TRIM(INDEX($A:$U,ROW(),$D$6)),",",""),"원",""),0))))</f>
        <v/>
      </c>
      <c r="AA653" s="31">
        <f>IF($Y653="","",TRIM(INDEX($A:$U,ROW(),$E$6)&amp;IF($F$6="",""," "&amp;INDEX($A:$U,ROW(),$F$6))))</f>
        <v/>
      </c>
      <c r="AB653" s="31">
        <f>IF($AA653="","",SUBSTITUTE(SUBSTITUTE(SUBSTITUTE(SUBSTITUTE(SUBSTITUTE(SUBSTITUTE(SUBSTITUTE(SUBSTITUTE(SUBSTITUTE($AA653," ",""),"　",""),"(주)",""),"（주）",""),"㈜",""),"주식회사",""),"(유)",""),"（유）",""),"유한회사",""))</f>
        <v/>
      </c>
      <c r="AC653" s="31">
        <f>IF(OR($Y653="",N($Z653)&lt;=0,$AB653=""),0,IFERROR(LOOKUP(2,1/((거래처별!$AC$8:$AC$307&lt;&gt;"")*ISNUMBER(SEARCH(거래처별!$AC$8:$AC$307,$AB653))),거래처별!$A$8:$A$307),IFERROR(LOOKUP(2,1/((거래처별!$AD$8:$AD$307&lt;&gt;"")*ISNUMBER(SEARCH(거래처별!$AD$8:$AD$307,$AB653))),거래처별!$A$8:$A$307),IFERROR(LOOKUP(2,1/((거래처별!$AE$8:$AE$307&lt;&gt;"")*ISNUMBER(SEARCH(거래처별!$AE$8:$AE$307,$AB653))),거래처별!$A$8:$A$307),0))))</f>
        <v/>
      </c>
      <c r="AD653" s="31">
        <f>IF(AND($Y653&lt;&gt;"",N($Z653)&gt;0,$AC653=0),MAX($AD$7:$AD652)+1,"")</f>
        <v/>
      </c>
      <c r="AE653" s="31">
        <f>IF($Y653="",0,$Y653)</f>
        <v/>
      </c>
    </row>
    <row r="654">
      <c r="W654" s="31">
        <f>IF(OR($B$5="",$C$6="",ROW()&lt;$B$5),"",IF(INDEX($A:$U,ROW(),$C$6)="","",INDEX($A:$U,ROW(),$C$6)))</f>
        <v/>
      </c>
      <c r="X654" s="32">
        <f>IF($W654="","",IF(ISNUMBER($W654),IF($W654&gt;=10000000,IFERROR(DATE(INT($W654/10000),MOD(INT($W654/100),100),MOD($W654,100)),""),INT($W654)),IFERROR(DATE(--LEFT(LEFT(SUBSTITUTE(SUBSTITUTE(SUBSTITUTE(SUBSTITUTE(TRIM($W654),"-",""),".",""),"/","")," ",""),8),4),--MID(LEFT(SUBSTITUTE(SUBSTITUTE(SUBSTITUTE(SUBSTITUTE(TRIM($W654),"-",""),".",""),"/","")," ",""),8),5,2),--MID(LEFT(SUBSTITUTE(SUBSTITUTE(SUBSTITUTE(SUBSTITUTE(TRIM($W654),"-",""),".",""),"/","")," ",""),8),7,2)),"")))</f>
        <v/>
      </c>
      <c r="Y654" s="32">
        <f>IF($X654="","",INT($X654))</f>
        <v/>
      </c>
      <c r="Z654" s="33">
        <f>IF(OR($Y654="",$D$6=""),"",IF(INDEX($A:$U,ROW(),$D$6)="",0,IF(ISNUMBER(INDEX($A:$U,ROW(),$D$6)),INDEX($A:$U,ROW(),$D$6),IFERROR(--SUBSTITUTE(SUBSTITUTE(TRIM(INDEX($A:$U,ROW(),$D$6)),",",""),"원",""),0))))</f>
        <v/>
      </c>
      <c r="AA654" s="31">
        <f>IF($Y654="","",TRIM(INDEX($A:$U,ROW(),$E$6)&amp;IF($F$6="",""," "&amp;INDEX($A:$U,ROW(),$F$6))))</f>
        <v/>
      </c>
      <c r="AB654" s="31">
        <f>IF($AA654="","",SUBSTITUTE(SUBSTITUTE(SUBSTITUTE(SUBSTITUTE(SUBSTITUTE(SUBSTITUTE(SUBSTITUTE(SUBSTITUTE(SUBSTITUTE($AA654," ",""),"　",""),"(주)",""),"（주）",""),"㈜",""),"주식회사",""),"(유)",""),"（유）",""),"유한회사",""))</f>
        <v/>
      </c>
      <c r="AC654" s="31">
        <f>IF(OR($Y654="",N($Z654)&lt;=0,$AB654=""),0,IFERROR(LOOKUP(2,1/((거래처별!$AC$8:$AC$307&lt;&gt;"")*ISNUMBER(SEARCH(거래처별!$AC$8:$AC$307,$AB654))),거래처별!$A$8:$A$307),IFERROR(LOOKUP(2,1/((거래처별!$AD$8:$AD$307&lt;&gt;"")*ISNUMBER(SEARCH(거래처별!$AD$8:$AD$307,$AB654))),거래처별!$A$8:$A$307),IFERROR(LOOKUP(2,1/((거래처별!$AE$8:$AE$307&lt;&gt;"")*ISNUMBER(SEARCH(거래처별!$AE$8:$AE$307,$AB654))),거래처별!$A$8:$A$307),0))))</f>
        <v/>
      </c>
      <c r="AD654" s="31">
        <f>IF(AND($Y654&lt;&gt;"",N($Z654)&gt;0,$AC654=0),MAX($AD$7:$AD653)+1,"")</f>
        <v/>
      </c>
      <c r="AE654" s="31">
        <f>IF($Y654="",0,$Y654)</f>
        <v/>
      </c>
    </row>
    <row r="655">
      <c r="W655" s="31">
        <f>IF(OR($B$5="",$C$6="",ROW()&lt;$B$5),"",IF(INDEX($A:$U,ROW(),$C$6)="","",INDEX($A:$U,ROW(),$C$6)))</f>
        <v/>
      </c>
      <c r="X655" s="32">
        <f>IF($W655="","",IF(ISNUMBER($W655),IF($W655&gt;=10000000,IFERROR(DATE(INT($W655/10000),MOD(INT($W655/100),100),MOD($W655,100)),""),INT($W655)),IFERROR(DATE(--LEFT(LEFT(SUBSTITUTE(SUBSTITUTE(SUBSTITUTE(SUBSTITUTE(TRIM($W655),"-",""),".",""),"/","")," ",""),8),4),--MID(LEFT(SUBSTITUTE(SUBSTITUTE(SUBSTITUTE(SUBSTITUTE(TRIM($W655),"-",""),".",""),"/","")," ",""),8),5,2),--MID(LEFT(SUBSTITUTE(SUBSTITUTE(SUBSTITUTE(SUBSTITUTE(TRIM($W655),"-",""),".",""),"/","")," ",""),8),7,2)),"")))</f>
        <v/>
      </c>
      <c r="Y655" s="32">
        <f>IF($X655="","",INT($X655))</f>
        <v/>
      </c>
      <c r="Z655" s="33">
        <f>IF(OR($Y655="",$D$6=""),"",IF(INDEX($A:$U,ROW(),$D$6)="",0,IF(ISNUMBER(INDEX($A:$U,ROW(),$D$6)),INDEX($A:$U,ROW(),$D$6),IFERROR(--SUBSTITUTE(SUBSTITUTE(TRIM(INDEX($A:$U,ROW(),$D$6)),",",""),"원",""),0))))</f>
        <v/>
      </c>
      <c r="AA655" s="31">
        <f>IF($Y655="","",TRIM(INDEX($A:$U,ROW(),$E$6)&amp;IF($F$6="",""," "&amp;INDEX($A:$U,ROW(),$F$6))))</f>
        <v/>
      </c>
      <c r="AB655" s="31">
        <f>IF($AA655="","",SUBSTITUTE(SUBSTITUTE(SUBSTITUTE(SUBSTITUTE(SUBSTITUTE(SUBSTITUTE(SUBSTITUTE(SUBSTITUTE(SUBSTITUTE($AA655," ",""),"　",""),"(주)",""),"（주）",""),"㈜",""),"주식회사",""),"(유)",""),"（유）",""),"유한회사",""))</f>
        <v/>
      </c>
      <c r="AC655" s="31">
        <f>IF(OR($Y655="",N($Z655)&lt;=0,$AB655=""),0,IFERROR(LOOKUP(2,1/((거래처별!$AC$8:$AC$307&lt;&gt;"")*ISNUMBER(SEARCH(거래처별!$AC$8:$AC$307,$AB655))),거래처별!$A$8:$A$307),IFERROR(LOOKUP(2,1/((거래처별!$AD$8:$AD$307&lt;&gt;"")*ISNUMBER(SEARCH(거래처별!$AD$8:$AD$307,$AB655))),거래처별!$A$8:$A$307),IFERROR(LOOKUP(2,1/((거래처별!$AE$8:$AE$307&lt;&gt;"")*ISNUMBER(SEARCH(거래처별!$AE$8:$AE$307,$AB655))),거래처별!$A$8:$A$307),0))))</f>
        <v/>
      </c>
      <c r="AD655" s="31">
        <f>IF(AND($Y655&lt;&gt;"",N($Z655)&gt;0,$AC655=0),MAX($AD$7:$AD654)+1,"")</f>
        <v/>
      </c>
      <c r="AE655" s="31">
        <f>IF($Y655="",0,$Y655)</f>
        <v/>
      </c>
    </row>
    <row r="656">
      <c r="W656" s="31">
        <f>IF(OR($B$5="",$C$6="",ROW()&lt;$B$5),"",IF(INDEX($A:$U,ROW(),$C$6)="","",INDEX($A:$U,ROW(),$C$6)))</f>
        <v/>
      </c>
      <c r="X656" s="32">
        <f>IF($W656="","",IF(ISNUMBER($W656),IF($W656&gt;=10000000,IFERROR(DATE(INT($W656/10000),MOD(INT($W656/100),100),MOD($W656,100)),""),INT($W656)),IFERROR(DATE(--LEFT(LEFT(SUBSTITUTE(SUBSTITUTE(SUBSTITUTE(SUBSTITUTE(TRIM($W656),"-",""),".",""),"/","")," ",""),8),4),--MID(LEFT(SUBSTITUTE(SUBSTITUTE(SUBSTITUTE(SUBSTITUTE(TRIM($W656),"-",""),".",""),"/","")," ",""),8),5,2),--MID(LEFT(SUBSTITUTE(SUBSTITUTE(SUBSTITUTE(SUBSTITUTE(TRIM($W656),"-",""),".",""),"/","")," ",""),8),7,2)),"")))</f>
        <v/>
      </c>
      <c r="Y656" s="32">
        <f>IF($X656="","",INT($X656))</f>
        <v/>
      </c>
      <c r="Z656" s="33">
        <f>IF(OR($Y656="",$D$6=""),"",IF(INDEX($A:$U,ROW(),$D$6)="",0,IF(ISNUMBER(INDEX($A:$U,ROW(),$D$6)),INDEX($A:$U,ROW(),$D$6),IFERROR(--SUBSTITUTE(SUBSTITUTE(TRIM(INDEX($A:$U,ROW(),$D$6)),",",""),"원",""),0))))</f>
        <v/>
      </c>
      <c r="AA656" s="31">
        <f>IF($Y656="","",TRIM(INDEX($A:$U,ROW(),$E$6)&amp;IF($F$6="",""," "&amp;INDEX($A:$U,ROW(),$F$6))))</f>
        <v/>
      </c>
      <c r="AB656" s="31">
        <f>IF($AA656="","",SUBSTITUTE(SUBSTITUTE(SUBSTITUTE(SUBSTITUTE(SUBSTITUTE(SUBSTITUTE(SUBSTITUTE(SUBSTITUTE(SUBSTITUTE($AA656," ",""),"　",""),"(주)",""),"（주）",""),"㈜",""),"주식회사",""),"(유)",""),"（유）",""),"유한회사",""))</f>
        <v/>
      </c>
      <c r="AC656" s="31">
        <f>IF(OR($Y656="",N($Z656)&lt;=0,$AB656=""),0,IFERROR(LOOKUP(2,1/((거래처별!$AC$8:$AC$307&lt;&gt;"")*ISNUMBER(SEARCH(거래처별!$AC$8:$AC$307,$AB656))),거래처별!$A$8:$A$307),IFERROR(LOOKUP(2,1/((거래처별!$AD$8:$AD$307&lt;&gt;"")*ISNUMBER(SEARCH(거래처별!$AD$8:$AD$307,$AB656))),거래처별!$A$8:$A$307),IFERROR(LOOKUP(2,1/((거래처별!$AE$8:$AE$307&lt;&gt;"")*ISNUMBER(SEARCH(거래처별!$AE$8:$AE$307,$AB656))),거래처별!$A$8:$A$307),0))))</f>
        <v/>
      </c>
      <c r="AD656" s="31">
        <f>IF(AND($Y656&lt;&gt;"",N($Z656)&gt;0,$AC656=0),MAX($AD$7:$AD655)+1,"")</f>
        <v/>
      </c>
      <c r="AE656" s="31">
        <f>IF($Y656="",0,$Y656)</f>
        <v/>
      </c>
    </row>
    <row r="657">
      <c r="W657" s="31">
        <f>IF(OR($B$5="",$C$6="",ROW()&lt;$B$5),"",IF(INDEX($A:$U,ROW(),$C$6)="","",INDEX($A:$U,ROW(),$C$6)))</f>
        <v/>
      </c>
      <c r="X657" s="32">
        <f>IF($W657="","",IF(ISNUMBER($W657),IF($W657&gt;=10000000,IFERROR(DATE(INT($W657/10000),MOD(INT($W657/100),100),MOD($W657,100)),""),INT($W657)),IFERROR(DATE(--LEFT(LEFT(SUBSTITUTE(SUBSTITUTE(SUBSTITUTE(SUBSTITUTE(TRIM($W657),"-",""),".",""),"/","")," ",""),8),4),--MID(LEFT(SUBSTITUTE(SUBSTITUTE(SUBSTITUTE(SUBSTITUTE(TRIM($W657),"-",""),".",""),"/","")," ",""),8),5,2),--MID(LEFT(SUBSTITUTE(SUBSTITUTE(SUBSTITUTE(SUBSTITUTE(TRIM($W657),"-",""),".",""),"/","")," ",""),8),7,2)),"")))</f>
        <v/>
      </c>
      <c r="Y657" s="32">
        <f>IF($X657="","",INT($X657))</f>
        <v/>
      </c>
      <c r="Z657" s="33">
        <f>IF(OR($Y657="",$D$6=""),"",IF(INDEX($A:$U,ROW(),$D$6)="",0,IF(ISNUMBER(INDEX($A:$U,ROW(),$D$6)),INDEX($A:$U,ROW(),$D$6),IFERROR(--SUBSTITUTE(SUBSTITUTE(TRIM(INDEX($A:$U,ROW(),$D$6)),",",""),"원",""),0))))</f>
        <v/>
      </c>
      <c r="AA657" s="31">
        <f>IF($Y657="","",TRIM(INDEX($A:$U,ROW(),$E$6)&amp;IF($F$6="",""," "&amp;INDEX($A:$U,ROW(),$F$6))))</f>
        <v/>
      </c>
      <c r="AB657" s="31">
        <f>IF($AA657="","",SUBSTITUTE(SUBSTITUTE(SUBSTITUTE(SUBSTITUTE(SUBSTITUTE(SUBSTITUTE(SUBSTITUTE(SUBSTITUTE(SUBSTITUTE($AA657," ",""),"　",""),"(주)",""),"（주）",""),"㈜",""),"주식회사",""),"(유)",""),"（유）",""),"유한회사",""))</f>
        <v/>
      </c>
      <c r="AC657" s="31">
        <f>IF(OR($Y657="",N($Z657)&lt;=0,$AB657=""),0,IFERROR(LOOKUP(2,1/((거래처별!$AC$8:$AC$307&lt;&gt;"")*ISNUMBER(SEARCH(거래처별!$AC$8:$AC$307,$AB657))),거래처별!$A$8:$A$307),IFERROR(LOOKUP(2,1/((거래처별!$AD$8:$AD$307&lt;&gt;"")*ISNUMBER(SEARCH(거래처별!$AD$8:$AD$307,$AB657))),거래처별!$A$8:$A$307),IFERROR(LOOKUP(2,1/((거래처별!$AE$8:$AE$307&lt;&gt;"")*ISNUMBER(SEARCH(거래처별!$AE$8:$AE$307,$AB657))),거래처별!$A$8:$A$307),0))))</f>
        <v/>
      </c>
      <c r="AD657" s="31">
        <f>IF(AND($Y657&lt;&gt;"",N($Z657)&gt;0,$AC657=0),MAX($AD$7:$AD656)+1,"")</f>
        <v/>
      </c>
      <c r="AE657" s="31">
        <f>IF($Y657="",0,$Y657)</f>
        <v/>
      </c>
    </row>
    <row r="658">
      <c r="W658" s="31">
        <f>IF(OR($B$5="",$C$6="",ROW()&lt;$B$5),"",IF(INDEX($A:$U,ROW(),$C$6)="","",INDEX($A:$U,ROW(),$C$6)))</f>
        <v/>
      </c>
      <c r="X658" s="32">
        <f>IF($W658="","",IF(ISNUMBER($W658),IF($W658&gt;=10000000,IFERROR(DATE(INT($W658/10000),MOD(INT($W658/100),100),MOD($W658,100)),""),INT($W658)),IFERROR(DATE(--LEFT(LEFT(SUBSTITUTE(SUBSTITUTE(SUBSTITUTE(SUBSTITUTE(TRIM($W658),"-",""),".",""),"/","")," ",""),8),4),--MID(LEFT(SUBSTITUTE(SUBSTITUTE(SUBSTITUTE(SUBSTITUTE(TRIM($W658),"-",""),".",""),"/","")," ",""),8),5,2),--MID(LEFT(SUBSTITUTE(SUBSTITUTE(SUBSTITUTE(SUBSTITUTE(TRIM($W658),"-",""),".",""),"/","")," ",""),8),7,2)),"")))</f>
        <v/>
      </c>
      <c r="Y658" s="32">
        <f>IF($X658="","",INT($X658))</f>
        <v/>
      </c>
      <c r="Z658" s="33">
        <f>IF(OR($Y658="",$D$6=""),"",IF(INDEX($A:$U,ROW(),$D$6)="",0,IF(ISNUMBER(INDEX($A:$U,ROW(),$D$6)),INDEX($A:$U,ROW(),$D$6),IFERROR(--SUBSTITUTE(SUBSTITUTE(TRIM(INDEX($A:$U,ROW(),$D$6)),",",""),"원",""),0))))</f>
        <v/>
      </c>
      <c r="AA658" s="31">
        <f>IF($Y658="","",TRIM(INDEX($A:$U,ROW(),$E$6)&amp;IF($F$6="",""," "&amp;INDEX($A:$U,ROW(),$F$6))))</f>
        <v/>
      </c>
      <c r="AB658" s="31">
        <f>IF($AA658="","",SUBSTITUTE(SUBSTITUTE(SUBSTITUTE(SUBSTITUTE(SUBSTITUTE(SUBSTITUTE(SUBSTITUTE(SUBSTITUTE(SUBSTITUTE($AA658," ",""),"　",""),"(주)",""),"（주）",""),"㈜",""),"주식회사",""),"(유)",""),"（유）",""),"유한회사",""))</f>
        <v/>
      </c>
      <c r="AC658" s="31">
        <f>IF(OR($Y658="",N($Z658)&lt;=0,$AB658=""),0,IFERROR(LOOKUP(2,1/((거래처별!$AC$8:$AC$307&lt;&gt;"")*ISNUMBER(SEARCH(거래처별!$AC$8:$AC$307,$AB658))),거래처별!$A$8:$A$307),IFERROR(LOOKUP(2,1/((거래처별!$AD$8:$AD$307&lt;&gt;"")*ISNUMBER(SEARCH(거래처별!$AD$8:$AD$307,$AB658))),거래처별!$A$8:$A$307),IFERROR(LOOKUP(2,1/((거래처별!$AE$8:$AE$307&lt;&gt;"")*ISNUMBER(SEARCH(거래처별!$AE$8:$AE$307,$AB658))),거래처별!$A$8:$A$307),0))))</f>
        <v/>
      </c>
      <c r="AD658" s="31">
        <f>IF(AND($Y658&lt;&gt;"",N($Z658)&gt;0,$AC658=0),MAX($AD$7:$AD657)+1,"")</f>
        <v/>
      </c>
      <c r="AE658" s="31">
        <f>IF($Y658="",0,$Y658)</f>
        <v/>
      </c>
    </row>
    <row r="659">
      <c r="W659" s="31">
        <f>IF(OR($B$5="",$C$6="",ROW()&lt;$B$5),"",IF(INDEX($A:$U,ROW(),$C$6)="","",INDEX($A:$U,ROW(),$C$6)))</f>
        <v/>
      </c>
      <c r="X659" s="32">
        <f>IF($W659="","",IF(ISNUMBER($W659),IF($W659&gt;=10000000,IFERROR(DATE(INT($W659/10000),MOD(INT($W659/100),100),MOD($W659,100)),""),INT($W659)),IFERROR(DATE(--LEFT(LEFT(SUBSTITUTE(SUBSTITUTE(SUBSTITUTE(SUBSTITUTE(TRIM($W659),"-",""),".",""),"/","")," ",""),8),4),--MID(LEFT(SUBSTITUTE(SUBSTITUTE(SUBSTITUTE(SUBSTITUTE(TRIM($W659),"-",""),".",""),"/","")," ",""),8),5,2),--MID(LEFT(SUBSTITUTE(SUBSTITUTE(SUBSTITUTE(SUBSTITUTE(TRIM($W659),"-",""),".",""),"/","")," ",""),8),7,2)),"")))</f>
        <v/>
      </c>
      <c r="Y659" s="32">
        <f>IF($X659="","",INT($X659))</f>
        <v/>
      </c>
      <c r="Z659" s="33">
        <f>IF(OR($Y659="",$D$6=""),"",IF(INDEX($A:$U,ROW(),$D$6)="",0,IF(ISNUMBER(INDEX($A:$U,ROW(),$D$6)),INDEX($A:$U,ROW(),$D$6),IFERROR(--SUBSTITUTE(SUBSTITUTE(TRIM(INDEX($A:$U,ROW(),$D$6)),",",""),"원",""),0))))</f>
        <v/>
      </c>
      <c r="AA659" s="31">
        <f>IF($Y659="","",TRIM(INDEX($A:$U,ROW(),$E$6)&amp;IF($F$6="",""," "&amp;INDEX($A:$U,ROW(),$F$6))))</f>
        <v/>
      </c>
      <c r="AB659" s="31">
        <f>IF($AA659="","",SUBSTITUTE(SUBSTITUTE(SUBSTITUTE(SUBSTITUTE(SUBSTITUTE(SUBSTITUTE(SUBSTITUTE(SUBSTITUTE(SUBSTITUTE($AA659," ",""),"　",""),"(주)",""),"（주）",""),"㈜",""),"주식회사",""),"(유)",""),"（유）",""),"유한회사",""))</f>
        <v/>
      </c>
      <c r="AC659" s="31">
        <f>IF(OR($Y659="",N($Z659)&lt;=0,$AB659=""),0,IFERROR(LOOKUP(2,1/((거래처별!$AC$8:$AC$307&lt;&gt;"")*ISNUMBER(SEARCH(거래처별!$AC$8:$AC$307,$AB659))),거래처별!$A$8:$A$307),IFERROR(LOOKUP(2,1/((거래처별!$AD$8:$AD$307&lt;&gt;"")*ISNUMBER(SEARCH(거래처별!$AD$8:$AD$307,$AB659))),거래처별!$A$8:$A$307),IFERROR(LOOKUP(2,1/((거래처별!$AE$8:$AE$307&lt;&gt;"")*ISNUMBER(SEARCH(거래처별!$AE$8:$AE$307,$AB659))),거래처별!$A$8:$A$307),0))))</f>
        <v/>
      </c>
      <c r="AD659" s="31">
        <f>IF(AND($Y659&lt;&gt;"",N($Z659)&gt;0,$AC659=0),MAX($AD$7:$AD658)+1,"")</f>
        <v/>
      </c>
      <c r="AE659" s="31">
        <f>IF($Y659="",0,$Y659)</f>
        <v/>
      </c>
    </row>
    <row r="660">
      <c r="W660" s="31">
        <f>IF(OR($B$5="",$C$6="",ROW()&lt;$B$5),"",IF(INDEX($A:$U,ROW(),$C$6)="","",INDEX($A:$U,ROW(),$C$6)))</f>
        <v/>
      </c>
      <c r="X660" s="32">
        <f>IF($W660="","",IF(ISNUMBER($W660),IF($W660&gt;=10000000,IFERROR(DATE(INT($W660/10000),MOD(INT($W660/100),100),MOD($W660,100)),""),INT($W660)),IFERROR(DATE(--LEFT(LEFT(SUBSTITUTE(SUBSTITUTE(SUBSTITUTE(SUBSTITUTE(TRIM($W660),"-",""),".",""),"/","")," ",""),8),4),--MID(LEFT(SUBSTITUTE(SUBSTITUTE(SUBSTITUTE(SUBSTITUTE(TRIM($W660),"-",""),".",""),"/","")," ",""),8),5,2),--MID(LEFT(SUBSTITUTE(SUBSTITUTE(SUBSTITUTE(SUBSTITUTE(TRIM($W660),"-",""),".",""),"/","")," ",""),8),7,2)),"")))</f>
        <v/>
      </c>
      <c r="Y660" s="32">
        <f>IF($X660="","",INT($X660))</f>
        <v/>
      </c>
      <c r="Z660" s="33">
        <f>IF(OR($Y660="",$D$6=""),"",IF(INDEX($A:$U,ROW(),$D$6)="",0,IF(ISNUMBER(INDEX($A:$U,ROW(),$D$6)),INDEX($A:$U,ROW(),$D$6),IFERROR(--SUBSTITUTE(SUBSTITUTE(TRIM(INDEX($A:$U,ROW(),$D$6)),",",""),"원",""),0))))</f>
        <v/>
      </c>
      <c r="AA660" s="31">
        <f>IF($Y660="","",TRIM(INDEX($A:$U,ROW(),$E$6)&amp;IF($F$6="",""," "&amp;INDEX($A:$U,ROW(),$F$6))))</f>
        <v/>
      </c>
      <c r="AB660" s="31">
        <f>IF($AA660="","",SUBSTITUTE(SUBSTITUTE(SUBSTITUTE(SUBSTITUTE(SUBSTITUTE(SUBSTITUTE(SUBSTITUTE(SUBSTITUTE(SUBSTITUTE($AA660," ",""),"　",""),"(주)",""),"（주）",""),"㈜",""),"주식회사",""),"(유)",""),"（유）",""),"유한회사",""))</f>
        <v/>
      </c>
      <c r="AC660" s="31">
        <f>IF(OR($Y660="",N($Z660)&lt;=0,$AB660=""),0,IFERROR(LOOKUP(2,1/((거래처별!$AC$8:$AC$307&lt;&gt;"")*ISNUMBER(SEARCH(거래처별!$AC$8:$AC$307,$AB660))),거래처별!$A$8:$A$307),IFERROR(LOOKUP(2,1/((거래처별!$AD$8:$AD$307&lt;&gt;"")*ISNUMBER(SEARCH(거래처별!$AD$8:$AD$307,$AB660))),거래처별!$A$8:$A$307),IFERROR(LOOKUP(2,1/((거래처별!$AE$8:$AE$307&lt;&gt;"")*ISNUMBER(SEARCH(거래처별!$AE$8:$AE$307,$AB660))),거래처별!$A$8:$A$307),0))))</f>
        <v/>
      </c>
      <c r="AD660" s="31">
        <f>IF(AND($Y660&lt;&gt;"",N($Z660)&gt;0,$AC660=0),MAX($AD$7:$AD659)+1,"")</f>
        <v/>
      </c>
      <c r="AE660" s="31">
        <f>IF($Y660="",0,$Y660)</f>
        <v/>
      </c>
    </row>
    <row r="661">
      <c r="W661" s="31">
        <f>IF(OR($B$5="",$C$6="",ROW()&lt;$B$5),"",IF(INDEX($A:$U,ROW(),$C$6)="","",INDEX($A:$U,ROW(),$C$6)))</f>
        <v/>
      </c>
      <c r="X661" s="32">
        <f>IF($W661="","",IF(ISNUMBER($W661),IF($W661&gt;=10000000,IFERROR(DATE(INT($W661/10000),MOD(INT($W661/100),100),MOD($W661,100)),""),INT($W661)),IFERROR(DATE(--LEFT(LEFT(SUBSTITUTE(SUBSTITUTE(SUBSTITUTE(SUBSTITUTE(TRIM($W661),"-",""),".",""),"/","")," ",""),8),4),--MID(LEFT(SUBSTITUTE(SUBSTITUTE(SUBSTITUTE(SUBSTITUTE(TRIM($W661),"-",""),".",""),"/","")," ",""),8),5,2),--MID(LEFT(SUBSTITUTE(SUBSTITUTE(SUBSTITUTE(SUBSTITUTE(TRIM($W661),"-",""),".",""),"/","")," ",""),8),7,2)),"")))</f>
        <v/>
      </c>
      <c r="Y661" s="32">
        <f>IF($X661="","",INT($X661))</f>
        <v/>
      </c>
      <c r="Z661" s="33">
        <f>IF(OR($Y661="",$D$6=""),"",IF(INDEX($A:$U,ROW(),$D$6)="",0,IF(ISNUMBER(INDEX($A:$U,ROW(),$D$6)),INDEX($A:$U,ROW(),$D$6),IFERROR(--SUBSTITUTE(SUBSTITUTE(TRIM(INDEX($A:$U,ROW(),$D$6)),",",""),"원",""),0))))</f>
        <v/>
      </c>
      <c r="AA661" s="31">
        <f>IF($Y661="","",TRIM(INDEX($A:$U,ROW(),$E$6)&amp;IF($F$6="",""," "&amp;INDEX($A:$U,ROW(),$F$6))))</f>
        <v/>
      </c>
      <c r="AB661" s="31">
        <f>IF($AA661="","",SUBSTITUTE(SUBSTITUTE(SUBSTITUTE(SUBSTITUTE(SUBSTITUTE(SUBSTITUTE(SUBSTITUTE(SUBSTITUTE(SUBSTITUTE($AA661," ",""),"　",""),"(주)",""),"（주）",""),"㈜",""),"주식회사",""),"(유)",""),"（유）",""),"유한회사",""))</f>
        <v/>
      </c>
      <c r="AC661" s="31">
        <f>IF(OR($Y661="",N($Z661)&lt;=0,$AB661=""),0,IFERROR(LOOKUP(2,1/((거래처별!$AC$8:$AC$307&lt;&gt;"")*ISNUMBER(SEARCH(거래처별!$AC$8:$AC$307,$AB661))),거래처별!$A$8:$A$307),IFERROR(LOOKUP(2,1/((거래처별!$AD$8:$AD$307&lt;&gt;"")*ISNUMBER(SEARCH(거래처별!$AD$8:$AD$307,$AB661))),거래처별!$A$8:$A$307),IFERROR(LOOKUP(2,1/((거래처별!$AE$8:$AE$307&lt;&gt;"")*ISNUMBER(SEARCH(거래처별!$AE$8:$AE$307,$AB661))),거래처별!$A$8:$A$307),0))))</f>
        <v/>
      </c>
      <c r="AD661" s="31">
        <f>IF(AND($Y661&lt;&gt;"",N($Z661)&gt;0,$AC661=0),MAX($AD$7:$AD660)+1,"")</f>
        <v/>
      </c>
      <c r="AE661" s="31">
        <f>IF($Y661="",0,$Y661)</f>
        <v/>
      </c>
    </row>
    <row r="662">
      <c r="W662" s="31">
        <f>IF(OR($B$5="",$C$6="",ROW()&lt;$B$5),"",IF(INDEX($A:$U,ROW(),$C$6)="","",INDEX($A:$U,ROW(),$C$6)))</f>
        <v/>
      </c>
      <c r="X662" s="32">
        <f>IF($W662="","",IF(ISNUMBER($W662),IF($W662&gt;=10000000,IFERROR(DATE(INT($W662/10000),MOD(INT($W662/100),100),MOD($W662,100)),""),INT($W662)),IFERROR(DATE(--LEFT(LEFT(SUBSTITUTE(SUBSTITUTE(SUBSTITUTE(SUBSTITUTE(TRIM($W662),"-",""),".",""),"/","")," ",""),8),4),--MID(LEFT(SUBSTITUTE(SUBSTITUTE(SUBSTITUTE(SUBSTITUTE(TRIM($W662),"-",""),".",""),"/","")," ",""),8),5,2),--MID(LEFT(SUBSTITUTE(SUBSTITUTE(SUBSTITUTE(SUBSTITUTE(TRIM($W662),"-",""),".",""),"/","")," ",""),8),7,2)),"")))</f>
        <v/>
      </c>
      <c r="Y662" s="32">
        <f>IF($X662="","",INT($X662))</f>
        <v/>
      </c>
      <c r="Z662" s="33">
        <f>IF(OR($Y662="",$D$6=""),"",IF(INDEX($A:$U,ROW(),$D$6)="",0,IF(ISNUMBER(INDEX($A:$U,ROW(),$D$6)),INDEX($A:$U,ROW(),$D$6),IFERROR(--SUBSTITUTE(SUBSTITUTE(TRIM(INDEX($A:$U,ROW(),$D$6)),",",""),"원",""),0))))</f>
        <v/>
      </c>
      <c r="AA662" s="31">
        <f>IF($Y662="","",TRIM(INDEX($A:$U,ROW(),$E$6)&amp;IF($F$6="",""," "&amp;INDEX($A:$U,ROW(),$F$6))))</f>
        <v/>
      </c>
      <c r="AB662" s="31">
        <f>IF($AA662="","",SUBSTITUTE(SUBSTITUTE(SUBSTITUTE(SUBSTITUTE(SUBSTITUTE(SUBSTITUTE(SUBSTITUTE(SUBSTITUTE(SUBSTITUTE($AA662," ",""),"　",""),"(주)",""),"（주）",""),"㈜",""),"주식회사",""),"(유)",""),"（유）",""),"유한회사",""))</f>
        <v/>
      </c>
      <c r="AC662" s="31">
        <f>IF(OR($Y662="",N($Z662)&lt;=0,$AB662=""),0,IFERROR(LOOKUP(2,1/((거래처별!$AC$8:$AC$307&lt;&gt;"")*ISNUMBER(SEARCH(거래처별!$AC$8:$AC$307,$AB662))),거래처별!$A$8:$A$307),IFERROR(LOOKUP(2,1/((거래처별!$AD$8:$AD$307&lt;&gt;"")*ISNUMBER(SEARCH(거래처별!$AD$8:$AD$307,$AB662))),거래처별!$A$8:$A$307),IFERROR(LOOKUP(2,1/((거래처별!$AE$8:$AE$307&lt;&gt;"")*ISNUMBER(SEARCH(거래처별!$AE$8:$AE$307,$AB662))),거래처별!$A$8:$A$307),0))))</f>
        <v/>
      </c>
      <c r="AD662" s="31">
        <f>IF(AND($Y662&lt;&gt;"",N($Z662)&gt;0,$AC662=0),MAX($AD$7:$AD661)+1,"")</f>
        <v/>
      </c>
      <c r="AE662" s="31">
        <f>IF($Y662="",0,$Y662)</f>
        <v/>
      </c>
    </row>
    <row r="663">
      <c r="W663" s="31">
        <f>IF(OR($B$5="",$C$6="",ROW()&lt;$B$5),"",IF(INDEX($A:$U,ROW(),$C$6)="","",INDEX($A:$U,ROW(),$C$6)))</f>
        <v/>
      </c>
      <c r="X663" s="32">
        <f>IF($W663="","",IF(ISNUMBER($W663),IF($W663&gt;=10000000,IFERROR(DATE(INT($W663/10000),MOD(INT($W663/100),100),MOD($W663,100)),""),INT($W663)),IFERROR(DATE(--LEFT(LEFT(SUBSTITUTE(SUBSTITUTE(SUBSTITUTE(SUBSTITUTE(TRIM($W663),"-",""),".",""),"/","")," ",""),8),4),--MID(LEFT(SUBSTITUTE(SUBSTITUTE(SUBSTITUTE(SUBSTITUTE(TRIM($W663),"-",""),".",""),"/","")," ",""),8),5,2),--MID(LEFT(SUBSTITUTE(SUBSTITUTE(SUBSTITUTE(SUBSTITUTE(TRIM($W663),"-",""),".",""),"/","")," ",""),8),7,2)),"")))</f>
        <v/>
      </c>
      <c r="Y663" s="32">
        <f>IF($X663="","",INT($X663))</f>
        <v/>
      </c>
      <c r="Z663" s="33">
        <f>IF(OR($Y663="",$D$6=""),"",IF(INDEX($A:$U,ROW(),$D$6)="",0,IF(ISNUMBER(INDEX($A:$U,ROW(),$D$6)),INDEX($A:$U,ROW(),$D$6),IFERROR(--SUBSTITUTE(SUBSTITUTE(TRIM(INDEX($A:$U,ROW(),$D$6)),",",""),"원",""),0))))</f>
        <v/>
      </c>
      <c r="AA663" s="31">
        <f>IF($Y663="","",TRIM(INDEX($A:$U,ROW(),$E$6)&amp;IF($F$6="",""," "&amp;INDEX($A:$U,ROW(),$F$6))))</f>
        <v/>
      </c>
      <c r="AB663" s="31">
        <f>IF($AA663="","",SUBSTITUTE(SUBSTITUTE(SUBSTITUTE(SUBSTITUTE(SUBSTITUTE(SUBSTITUTE(SUBSTITUTE(SUBSTITUTE(SUBSTITUTE($AA663," ",""),"　",""),"(주)",""),"（주）",""),"㈜",""),"주식회사",""),"(유)",""),"（유）",""),"유한회사",""))</f>
        <v/>
      </c>
      <c r="AC663" s="31">
        <f>IF(OR($Y663="",N($Z663)&lt;=0,$AB663=""),0,IFERROR(LOOKUP(2,1/((거래처별!$AC$8:$AC$307&lt;&gt;"")*ISNUMBER(SEARCH(거래처별!$AC$8:$AC$307,$AB663))),거래처별!$A$8:$A$307),IFERROR(LOOKUP(2,1/((거래처별!$AD$8:$AD$307&lt;&gt;"")*ISNUMBER(SEARCH(거래처별!$AD$8:$AD$307,$AB663))),거래처별!$A$8:$A$307),IFERROR(LOOKUP(2,1/((거래처별!$AE$8:$AE$307&lt;&gt;"")*ISNUMBER(SEARCH(거래처별!$AE$8:$AE$307,$AB663))),거래처별!$A$8:$A$307),0))))</f>
        <v/>
      </c>
      <c r="AD663" s="31">
        <f>IF(AND($Y663&lt;&gt;"",N($Z663)&gt;0,$AC663=0),MAX($AD$7:$AD662)+1,"")</f>
        <v/>
      </c>
      <c r="AE663" s="31">
        <f>IF($Y663="",0,$Y663)</f>
        <v/>
      </c>
    </row>
    <row r="664">
      <c r="W664" s="31">
        <f>IF(OR($B$5="",$C$6="",ROW()&lt;$B$5),"",IF(INDEX($A:$U,ROW(),$C$6)="","",INDEX($A:$U,ROW(),$C$6)))</f>
        <v/>
      </c>
      <c r="X664" s="32">
        <f>IF($W664="","",IF(ISNUMBER($W664),IF($W664&gt;=10000000,IFERROR(DATE(INT($W664/10000),MOD(INT($W664/100),100),MOD($W664,100)),""),INT($W664)),IFERROR(DATE(--LEFT(LEFT(SUBSTITUTE(SUBSTITUTE(SUBSTITUTE(SUBSTITUTE(TRIM($W664),"-",""),".",""),"/","")," ",""),8),4),--MID(LEFT(SUBSTITUTE(SUBSTITUTE(SUBSTITUTE(SUBSTITUTE(TRIM($W664),"-",""),".",""),"/","")," ",""),8),5,2),--MID(LEFT(SUBSTITUTE(SUBSTITUTE(SUBSTITUTE(SUBSTITUTE(TRIM($W664),"-",""),".",""),"/","")," ",""),8),7,2)),"")))</f>
        <v/>
      </c>
      <c r="Y664" s="32">
        <f>IF($X664="","",INT($X664))</f>
        <v/>
      </c>
      <c r="Z664" s="33">
        <f>IF(OR($Y664="",$D$6=""),"",IF(INDEX($A:$U,ROW(),$D$6)="",0,IF(ISNUMBER(INDEX($A:$U,ROW(),$D$6)),INDEX($A:$U,ROW(),$D$6),IFERROR(--SUBSTITUTE(SUBSTITUTE(TRIM(INDEX($A:$U,ROW(),$D$6)),",",""),"원",""),0))))</f>
        <v/>
      </c>
      <c r="AA664" s="31">
        <f>IF($Y664="","",TRIM(INDEX($A:$U,ROW(),$E$6)&amp;IF($F$6="",""," "&amp;INDEX($A:$U,ROW(),$F$6))))</f>
        <v/>
      </c>
      <c r="AB664" s="31">
        <f>IF($AA664="","",SUBSTITUTE(SUBSTITUTE(SUBSTITUTE(SUBSTITUTE(SUBSTITUTE(SUBSTITUTE(SUBSTITUTE(SUBSTITUTE(SUBSTITUTE($AA664," ",""),"　",""),"(주)",""),"（주）",""),"㈜",""),"주식회사",""),"(유)",""),"（유）",""),"유한회사",""))</f>
        <v/>
      </c>
      <c r="AC664" s="31">
        <f>IF(OR($Y664="",N($Z664)&lt;=0,$AB664=""),0,IFERROR(LOOKUP(2,1/((거래처별!$AC$8:$AC$307&lt;&gt;"")*ISNUMBER(SEARCH(거래처별!$AC$8:$AC$307,$AB664))),거래처별!$A$8:$A$307),IFERROR(LOOKUP(2,1/((거래처별!$AD$8:$AD$307&lt;&gt;"")*ISNUMBER(SEARCH(거래처별!$AD$8:$AD$307,$AB664))),거래처별!$A$8:$A$307),IFERROR(LOOKUP(2,1/((거래처별!$AE$8:$AE$307&lt;&gt;"")*ISNUMBER(SEARCH(거래처별!$AE$8:$AE$307,$AB664))),거래처별!$A$8:$A$307),0))))</f>
        <v/>
      </c>
      <c r="AD664" s="31">
        <f>IF(AND($Y664&lt;&gt;"",N($Z664)&gt;0,$AC664=0),MAX($AD$7:$AD663)+1,"")</f>
        <v/>
      </c>
      <c r="AE664" s="31">
        <f>IF($Y664="",0,$Y664)</f>
        <v/>
      </c>
    </row>
    <row r="665">
      <c r="W665" s="31">
        <f>IF(OR($B$5="",$C$6="",ROW()&lt;$B$5),"",IF(INDEX($A:$U,ROW(),$C$6)="","",INDEX($A:$U,ROW(),$C$6)))</f>
        <v/>
      </c>
      <c r="X665" s="32">
        <f>IF($W665="","",IF(ISNUMBER($W665),IF($W665&gt;=10000000,IFERROR(DATE(INT($W665/10000),MOD(INT($W665/100),100),MOD($W665,100)),""),INT($W665)),IFERROR(DATE(--LEFT(LEFT(SUBSTITUTE(SUBSTITUTE(SUBSTITUTE(SUBSTITUTE(TRIM($W665),"-",""),".",""),"/","")," ",""),8),4),--MID(LEFT(SUBSTITUTE(SUBSTITUTE(SUBSTITUTE(SUBSTITUTE(TRIM($W665),"-",""),".",""),"/","")," ",""),8),5,2),--MID(LEFT(SUBSTITUTE(SUBSTITUTE(SUBSTITUTE(SUBSTITUTE(TRIM($W665),"-",""),".",""),"/","")," ",""),8),7,2)),"")))</f>
        <v/>
      </c>
      <c r="Y665" s="32">
        <f>IF($X665="","",INT($X665))</f>
        <v/>
      </c>
      <c r="Z665" s="33">
        <f>IF(OR($Y665="",$D$6=""),"",IF(INDEX($A:$U,ROW(),$D$6)="",0,IF(ISNUMBER(INDEX($A:$U,ROW(),$D$6)),INDEX($A:$U,ROW(),$D$6),IFERROR(--SUBSTITUTE(SUBSTITUTE(TRIM(INDEX($A:$U,ROW(),$D$6)),",",""),"원",""),0))))</f>
        <v/>
      </c>
      <c r="AA665" s="31">
        <f>IF($Y665="","",TRIM(INDEX($A:$U,ROW(),$E$6)&amp;IF($F$6="",""," "&amp;INDEX($A:$U,ROW(),$F$6))))</f>
        <v/>
      </c>
      <c r="AB665" s="31">
        <f>IF($AA665="","",SUBSTITUTE(SUBSTITUTE(SUBSTITUTE(SUBSTITUTE(SUBSTITUTE(SUBSTITUTE(SUBSTITUTE(SUBSTITUTE(SUBSTITUTE($AA665," ",""),"　",""),"(주)",""),"（주）",""),"㈜",""),"주식회사",""),"(유)",""),"（유）",""),"유한회사",""))</f>
        <v/>
      </c>
      <c r="AC665" s="31">
        <f>IF(OR($Y665="",N($Z665)&lt;=0,$AB665=""),0,IFERROR(LOOKUP(2,1/((거래처별!$AC$8:$AC$307&lt;&gt;"")*ISNUMBER(SEARCH(거래처별!$AC$8:$AC$307,$AB665))),거래처별!$A$8:$A$307),IFERROR(LOOKUP(2,1/((거래처별!$AD$8:$AD$307&lt;&gt;"")*ISNUMBER(SEARCH(거래처별!$AD$8:$AD$307,$AB665))),거래처별!$A$8:$A$307),IFERROR(LOOKUP(2,1/((거래처별!$AE$8:$AE$307&lt;&gt;"")*ISNUMBER(SEARCH(거래처별!$AE$8:$AE$307,$AB665))),거래처별!$A$8:$A$307),0))))</f>
        <v/>
      </c>
      <c r="AD665" s="31">
        <f>IF(AND($Y665&lt;&gt;"",N($Z665)&gt;0,$AC665=0),MAX($AD$7:$AD664)+1,"")</f>
        <v/>
      </c>
      <c r="AE665" s="31">
        <f>IF($Y665="",0,$Y665)</f>
        <v/>
      </c>
    </row>
    <row r="666">
      <c r="W666" s="31">
        <f>IF(OR($B$5="",$C$6="",ROW()&lt;$B$5),"",IF(INDEX($A:$U,ROW(),$C$6)="","",INDEX($A:$U,ROW(),$C$6)))</f>
        <v/>
      </c>
      <c r="X666" s="32">
        <f>IF($W666="","",IF(ISNUMBER($W666),IF($W666&gt;=10000000,IFERROR(DATE(INT($W666/10000),MOD(INT($W666/100),100),MOD($W666,100)),""),INT($W666)),IFERROR(DATE(--LEFT(LEFT(SUBSTITUTE(SUBSTITUTE(SUBSTITUTE(SUBSTITUTE(TRIM($W666),"-",""),".",""),"/","")," ",""),8),4),--MID(LEFT(SUBSTITUTE(SUBSTITUTE(SUBSTITUTE(SUBSTITUTE(TRIM($W666),"-",""),".",""),"/","")," ",""),8),5,2),--MID(LEFT(SUBSTITUTE(SUBSTITUTE(SUBSTITUTE(SUBSTITUTE(TRIM($W666),"-",""),".",""),"/","")," ",""),8),7,2)),"")))</f>
        <v/>
      </c>
      <c r="Y666" s="32">
        <f>IF($X666="","",INT($X666))</f>
        <v/>
      </c>
      <c r="Z666" s="33">
        <f>IF(OR($Y666="",$D$6=""),"",IF(INDEX($A:$U,ROW(),$D$6)="",0,IF(ISNUMBER(INDEX($A:$U,ROW(),$D$6)),INDEX($A:$U,ROW(),$D$6),IFERROR(--SUBSTITUTE(SUBSTITUTE(TRIM(INDEX($A:$U,ROW(),$D$6)),",",""),"원",""),0))))</f>
        <v/>
      </c>
      <c r="AA666" s="31">
        <f>IF($Y666="","",TRIM(INDEX($A:$U,ROW(),$E$6)&amp;IF($F$6="",""," "&amp;INDEX($A:$U,ROW(),$F$6))))</f>
        <v/>
      </c>
      <c r="AB666" s="31">
        <f>IF($AA666="","",SUBSTITUTE(SUBSTITUTE(SUBSTITUTE(SUBSTITUTE(SUBSTITUTE(SUBSTITUTE(SUBSTITUTE(SUBSTITUTE(SUBSTITUTE($AA666," ",""),"　",""),"(주)",""),"（주）",""),"㈜",""),"주식회사",""),"(유)",""),"（유）",""),"유한회사",""))</f>
        <v/>
      </c>
      <c r="AC666" s="31">
        <f>IF(OR($Y666="",N($Z666)&lt;=0,$AB666=""),0,IFERROR(LOOKUP(2,1/((거래처별!$AC$8:$AC$307&lt;&gt;"")*ISNUMBER(SEARCH(거래처별!$AC$8:$AC$307,$AB666))),거래처별!$A$8:$A$307),IFERROR(LOOKUP(2,1/((거래처별!$AD$8:$AD$307&lt;&gt;"")*ISNUMBER(SEARCH(거래처별!$AD$8:$AD$307,$AB666))),거래처별!$A$8:$A$307),IFERROR(LOOKUP(2,1/((거래처별!$AE$8:$AE$307&lt;&gt;"")*ISNUMBER(SEARCH(거래처별!$AE$8:$AE$307,$AB666))),거래처별!$A$8:$A$307),0))))</f>
        <v/>
      </c>
      <c r="AD666" s="31">
        <f>IF(AND($Y666&lt;&gt;"",N($Z666)&gt;0,$AC666=0),MAX($AD$7:$AD665)+1,"")</f>
        <v/>
      </c>
      <c r="AE666" s="31">
        <f>IF($Y666="",0,$Y666)</f>
        <v/>
      </c>
    </row>
    <row r="667">
      <c r="W667" s="31">
        <f>IF(OR($B$5="",$C$6="",ROW()&lt;$B$5),"",IF(INDEX($A:$U,ROW(),$C$6)="","",INDEX($A:$U,ROW(),$C$6)))</f>
        <v/>
      </c>
      <c r="X667" s="32">
        <f>IF($W667="","",IF(ISNUMBER($W667),IF($W667&gt;=10000000,IFERROR(DATE(INT($W667/10000),MOD(INT($W667/100),100),MOD($W667,100)),""),INT($W667)),IFERROR(DATE(--LEFT(LEFT(SUBSTITUTE(SUBSTITUTE(SUBSTITUTE(SUBSTITUTE(TRIM($W667),"-",""),".",""),"/","")," ",""),8),4),--MID(LEFT(SUBSTITUTE(SUBSTITUTE(SUBSTITUTE(SUBSTITUTE(TRIM($W667),"-",""),".",""),"/","")," ",""),8),5,2),--MID(LEFT(SUBSTITUTE(SUBSTITUTE(SUBSTITUTE(SUBSTITUTE(TRIM($W667),"-",""),".",""),"/","")," ",""),8),7,2)),"")))</f>
        <v/>
      </c>
      <c r="Y667" s="32">
        <f>IF($X667="","",INT($X667))</f>
        <v/>
      </c>
      <c r="Z667" s="33">
        <f>IF(OR($Y667="",$D$6=""),"",IF(INDEX($A:$U,ROW(),$D$6)="",0,IF(ISNUMBER(INDEX($A:$U,ROW(),$D$6)),INDEX($A:$U,ROW(),$D$6),IFERROR(--SUBSTITUTE(SUBSTITUTE(TRIM(INDEX($A:$U,ROW(),$D$6)),",",""),"원",""),0))))</f>
        <v/>
      </c>
      <c r="AA667" s="31">
        <f>IF($Y667="","",TRIM(INDEX($A:$U,ROW(),$E$6)&amp;IF($F$6="",""," "&amp;INDEX($A:$U,ROW(),$F$6))))</f>
        <v/>
      </c>
      <c r="AB667" s="31">
        <f>IF($AA667="","",SUBSTITUTE(SUBSTITUTE(SUBSTITUTE(SUBSTITUTE(SUBSTITUTE(SUBSTITUTE(SUBSTITUTE(SUBSTITUTE(SUBSTITUTE($AA667," ",""),"　",""),"(주)",""),"（주）",""),"㈜",""),"주식회사",""),"(유)",""),"（유）",""),"유한회사",""))</f>
        <v/>
      </c>
      <c r="AC667" s="31">
        <f>IF(OR($Y667="",N($Z667)&lt;=0,$AB667=""),0,IFERROR(LOOKUP(2,1/((거래처별!$AC$8:$AC$307&lt;&gt;"")*ISNUMBER(SEARCH(거래처별!$AC$8:$AC$307,$AB667))),거래처별!$A$8:$A$307),IFERROR(LOOKUP(2,1/((거래처별!$AD$8:$AD$307&lt;&gt;"")*ISNUMBER(SEARCH(거래처별!$AD$8:$AD$307,$AB667))),거래처별!$A$8:$A$307),IFERROR(LOOKUP(2,1/((거래처별!$AE$8:$AE$307&lt;&gt;"")*ISNUMBER(SEARCH(거래처별!$AE$8:$AE$307,$AB667))),거래처별!$A$8:$A$307),0))))</f>
        <v/>
      </c>
      <c r="AD667" s="31">
        <f>IF(AND($Y667&lt;&gt;"",N($Z667)&gt;0,$AC667=0),MAX($AD$7:$AD666)+1,"")</f>
        <v/>
      </c>
      <c r="AE667" s="31">
        <f>IF($Y667="",0,$Y667)</f>
        <v/>
      </c>
    </row>
    <row r="668">
      <c r="W668" s="31">
        <f>IF(OR($B$5="",$C$6="",ROW()&lt;$B$5),"",IF(INDEX($A:$U,ROW(),$C$6)="","",INDEX($A:$U,ROW(),$C$6)))</f>
        <v/>
      </c>
      <c r="X668" s="32">
        <f>IF($W668="","",IF(ISNUMBER($W668),IF($W668&gt;=10000000,IFERROR(DATE(INT($W668/10000),MOD(INT($W668/100),100),MOD($W668,100)),""),INT($W668)),IFERROR(DATE(--LEFT(LEFT(SUBSTITUTE(SUBSTITUTE(SUBSTITUTE(SUBSTITUTE(TRIM($W668),"-",""),".",""),"/","")," ",""),8),4),--MID(LEFT(SUBSTITUTE(SUBSTITUTE(SUBSTITUTE(SUBSTITUTE(TRIM($W668),"-",""),".",""),"/","")," ",""),8),5,2),--MID(LEFT(SUBSTITUTE(SUBSTITUTE(SUBSTITUTE(SUBSTITUTE(TRIM($W668),"-",""),".",""),"/","")," ",""),8),7,2)),"")))</f>
        <v/>
      </c>
      <c r="Y668" s="32">
        <f>IF($X668="","",INT($X668))</f>
        <v/>
      </c>
      <c r="Z668" s="33">
        <f>IF(OR($Y668="",$D$6=""),"",IF(INDEX($A:$U,ROW(),$D$6)="",0,IF(ISNUMBER(INDEX($A:$U,ROW(),$D$6)),INDEX($A:$U,ROW(),$D$6),IFERROR(--SUBSTITUTE(SUBSTITUTE(TRIM(INDEX($A:$U,ROW(),$D$6)),",",""),"원",""),0))))</f>
        <v/>
      </c>
      <c r="AA668" s="31">
        <f>IF($Y668="","",TRIM(INDEX($A:$U,ROW(),$E$6)&amp;IF($F$6="",""," "&amp;INDEX($A:$U,ROW(),$F$6))))</f>
        <v/>
      </c>
      <c r="AB668" s="31">
        <f>IF($AA668="","",SUBSTITUTE(SUBSTITUTE(SUBSTITUTE(SUBSTITUTE(SUBSTITUTE(SUBSTITUTE(SUBSTITUTE(SUBSTITUTE(SUBSTITUTE($AA668," ",""),"　",""),"(주)",""),"（주）",""),"㈜",""),"주식회사",""),"(유)",""),"（유）",""),"유한회사",""))</f>
        <v/>
      </c>
      <c r="AC668" s="31">
        <f>IF(OR($Y668="",N($Z668)&lt;=0,$AB668=""),0,IFERROR(LOOKUP(2,1/((거래처별!$AC$8:$AC$307&lt;&gt;"")*ISNUMBER(SEARCH(거래처별!$AC$8:$AC$307,$AB668))),거래처별!$A$8:$A$307),IFERROR(LOOKUP(2,1/((거래처별!$AD$8:$AD$307&lt;&gt;"")*ISNUMBER(SEARCH(거래처별!$AD$8:$AD$307,$AB668))),거래처별!$A$8:$A$307),IFERROR(LOOKUP(2,1/((거래처별!$AE$8:$AE$307&lt;&gt;"")*ISNUMBER(SEARCH(거래처별!$AE$8:$AE$307,$AB668))),거래처별!$A$8:$A$307),0))))</f>
        <v/>
      </c>
      <c r="AD668" s="31">
        <f>IF(AND($Y668&lt;&gt;"",N($Z668)&gt;0,$AC668=0),MAX($AD$7:$AD667)+1,"")</f>
        <v/>
      </c>
      <c r="AE668" s="31">
        <f>IF($Y668="",0,$Y668)</f>
        <v/>
      </c>
    </row>
    <row r="669">
      <c r="W669" s="31">
        <f>IF(OR($B$5="",$C$6="",ROW()&lt;$B$5),"",IF(INDEX($A:$U,ROW(),$C$6)="","",INDEX($A:$U,ROW(),$C$6)))</f>
        <v/>
      </c>
      <c r="X669" s="32">
        <f>IF($W669="","",IF(ISNUMBER($W669),IF($W669&gt;=10000000,IFERROR(DATE(INT($W669/10000),MOD(INT($W669/100),100),MOD($W669,100)),""),INT($W669)),IFERROR(DATE(--LEFT(LEFT(SUBSTITUTE(SUBSTITUTE(SUBSTITUTE(SUBSTITUTE(TRIM($W669),"-",""),".",""),"/","")," ",""),8),4),--MID(LEFT(SUBSTITUTE(SUBSTITUTE(SUBSTITUTE(SUBSTITUTE(TRIM($W669),"-",""),".",""),"/","")," ",""),8),5,2),--MID(LEFT(SUBSTITUTE(SUBSTITUTE(SUBSTITUTE(SUBSTITUTE(TRIM($W669),"-",""),".",""),"/","")," ",""),8),7,2)),"")))</f>
        <v/>
      </c>
      <c r="Y669" s="32">
        <f>IF($X669="","",INT($X669))</f>
        <v/>
      </c>
      <c r="Z669" s="33">
        <f>IF(OR($Y669="",$D$6=""),"",IF(INDEX($A:$U,ROW(),$D$6)="",0,IF(ISNUMBER(INDEX($A:$U,ROW(),$D$6)),INDEX($A:$U,ROW(),$D$6),IFERROR(--SUBSTITUTE(SUBSTITUTE(TRIM(INDEX($A:$U,ROW(),$D$6)),",",""),"원",""),0))))</f>
        <v/>
      </c>
      <c r="AA669" s="31">
        <f>IF($Y669="","",TRIM(INDEX($A:$U,ROW(),$E$6)&amp;IF($F$6="",""," "&amp;INDEX($A:$U,ROW(),$F$6))))</f>
        <v/>
      </c>
      <c r="AB669" s="31">
        <f>IF($AA669="","",SUBSTITUTE(SUBSTITUTE(SUBSTITUTE(SUBSTITUTE(SUBSTITUTE(SUBSTITUTE(SUBSTITUTE(SUBSTITUTE(SUBSTITUTE($AA669," ",""),"　",""),"(주)",""),"（주）",""),"㈜",""),"주식회사",""),"(유)",""),"（유）",""),"유한회사",""))</f>
        <v/>
      </c>
      <c r="AC669" s="31">
        <f>IF(OR($Y669="",N($Z669)&lt;=0,$AB669=""),0,IFERROR(LOOKUP(2,1/((거래처별!$AC$8:$AC$307&lt;&gt;"")*ISNUMBER(SEARCH(거래처별!$AC$8:$AC$307,$AB669))),거래처별!$A$8:$A$307),IFERROR(LOOKUP(2,1/((거래처별!$AD$8:$AD$307&lt;&gt;"")*ISNUMBER(SEARCH(거래처별!$AD$8:$AD$307,$AB669))),거래처별!$A$8:$A$307),IFERROR(LOOKUP(2,1/((거래처별!$AE$8:$AE$307&lt;&gt;"")*ISNUMBER(SEARCH(거래처별!$AE$8:$AE$307,$AB669))),거래처별!$A$8:$A$307),0))))</f>
        <v/>
      </c>
      <c r="AD669" s="31">
        <f>IF(AND($Y669&lt;&gt;"",N($Z669)&gt;0,$AC669=0),MAX($AD$7:$AD668)+1,"")</f>
        <v/>
      </c>
      <c r="AE669" s="31">
        <f>IF($Y669="",0,$Y669)</f>
        <v/>
      </c>
    </row>
    <row r="670">
      <c r="W670" s="31">
        <f>IF(OR($B$5="",$C$6="",ROW()&lt;$B$5),"",IF(INDEX($A:$U,ROW(),$C$6)="","",INDEX($A:$U,ROW(),$C$6)))</f>
        <v/>
      </c>
      <c r="X670" s="32">
        <f>IF($W670="","",IF(ISNUMBER($W670),IF($W670&gt;=10000000,IFERROR(DATE(INT($W670/10000),MOD(INT($W670/100),100),MOD($W670,100)),""),INT($W670)),IFERROR(DATE(--LEFT(LEFT(SUBSTITUTE(SUBSTITUTE(SUBSTITUTE(SUBSTITUTE(TRIM($W670),"-",""),".",""),"/","")," ",""),8),4),--MID(LEFT(SUBSTITUTE(SUBSTITUTE(SUBSTITUTE(SUBSTITUTE(TRIM($W670),"-",""),".",""),"/","")," ",""),8),5,2),--MID(LEFT(SUBSTITUTE(SUBSTITUTE(SUBSTITUTE(SUBSTITUTE(TRIM($W670),"-",""),".",""),"/","")," ",""),8),7,2)),"")))</f>
        <v/>
      </c>
      <c r="Y670" s="32">
        <f>IF($X670="","",INT($X670))</f>
        <v/>
      </c>
      <c r="Z670" s="33">
        <f>IF(OR($Y670="",$D$6=""),"",IF(INDEX($A:$U,ROW(),$D$6)="",0,IF(ISNUMBER(INDEX($A:$U,ROW(),$D$6)),INDEX($A:$U,ROW(),$D$6),IFERROR(--SUBSTITUTE(SUBSTITUTE(TRIM(INDEX($A:$U,ROW(),$D$6)),",",""),"원",""),0))))</f>
        <v/>
      </c>
      <c r="AA670" s="31">
        <f>IF($Y670="","",TRIM(INDEX($A:$U,ROW(),$E$6)&amp;IF($F$6="",""," "&amp;INDEX($A:$U,ROW(),$F$6))))</f>
        <v/>
      </c>
      <c r="AB670" s="31">
        <f>IF($AA670="","",SUBSTITUTE(SUBSTITUTE(SUBSTITUTE(SUBSTITUTE(SUBSTITUTE(SUBSTITUTE(SUBSTITUTE(SUBSTITUTE(SUBSTITUTE($AA670," ",""),"　",""),"(주)",""),"（주）",""),"㈜",""),"주식회사",""),"(유)",""),"（유）",""),"유한회사",""))</f>
        <v/>
      </c>
      <c r="AC670" s="31">
        <f>IF(OR($Y670="",N($Z670)&lt;=0,$AB670=""),0,IFERROR(LOOKUP(2,1/((거래처별!$AC$8:$AC$307&lt;&gt;"")*ISNUMBER(SEARCH(거래처별!$AC$8:$AC$307,$AB670))),거래처별!$A$8:$A$307),IFERROR(LOOKUP(2,1/((거래처별!$AD$8:$AD$307&lt;&gt;"")*ISNUMBER(SEARCH(거래처별!$AD$8:$AD$307,$AB670))),거래처별!$A$8:$A$307),IFERROR(LOOKUP(2,1/((거래처별!$AE$8:$AE$307&lt;&gt;"")*ISNUMBER(SEARCH(거래처별!$AE$8:$AE$307,$AB670))),거래처별!$A$8:$A$307),0))))</f>
        <v/>
      </c>
      <c r="AD670" s="31">
        <f>IF(AND($Y670&lt;&gt;"",N($Z670)&gt;0,$AC670=0),MAX($AD$7:$AD669)+1,"")</f>
        <v/>
      </c>
      <c r="AE670" s="31">
        <f>IF($Y670="",0,$Y670)</f>
        <v/>
      </c>
    </row>
    <row r="671">
      <c r="W671" s="31">
        <f>IF(OR($B$5="",$C$6="",ROW()&lt;$B$5),"",IF(INDEX($A:$U,ROW(),$C$6)="","",INDEX($A:$U,ROW(),$C$6)))</f>
        <v/>
      </c>
      <c r="X671" s="32">
        <f>IF($W671="","",IF(ISNUMBER($W671),IF($W671&gt;=10000000,IFERROR(DATE(INT($W671/10000),MOD(INT($W671/100),100),MOD($W671,100)),""),INT($W671)),IFERROR(DATE(--LEFT(LEFT(SUBSTITUTE(SUBSTITUTE(SUBSTITUTE(SUBSTITUTE(TRIM($W671),"-",""),".",""),"/","")," ",""),8),4),--MID(LEFT(SUBSTITUTE(SUBSTITUTE(SUBSTITUTE(SUBSTITUTE(TRIM($W671),"-",""),".",""),"/","")," ",""),8),5,2),--MID(LEFT(SUBSTITUTE(SUBSTITUTE(SUBSTITUTE(SUBSTITUTE(TRIM($W671),"-",""),".",""),"/","")," ",""),8),7,2)),"")))</f>
        <v/>
      </c>
      <c r="Y671" s="32">
        <f>IF($X671="","",INT($X671))</f>
        <v/>
      </c>
      <c r="Z671" s="33">
        <f>IF(OR($Y671="",$D$6=""),"",IF(INDEX($A:$U,ROW(),$D$6)="",0,IF(ISNUMBER(INDEX($A:$U,ROW(),$D$6)),INDEX($A:$U,ROW(),$D$6),IFERROR(--SUBSTITUTE(SUBSTITUTE(TRIM(INDEX($A:$U,ROW(),$D$6)),",",""),"원",""),0))))</f>
        <v/>
      </c>
      <c r="AA671" s="31">
        <f>IF($Y671="","",TRIM(INDEX($A:$U,ROW(),$E$6)&amp;IF($F$6="",""," "&amp;INDEX($A:$U,ROW(),$F$6))))</f>
        <v/>
      </c>
      <c r="AB671" s="31">
        <f>IF($AA671="","",SUBSTITUTE(SUBSTITUTE(SUBSTITUTE(SUBSTITUTE(SUBSTITUTE(SUBSTITUTE(SUBSTITUTE(SUBSTITUTE(SUBSTITUTE($AA671," ",""),"　",""),"(주)",""),"（주）",""),"㈜",""),"주식회사",""),"(유)",""),"（유）",""),"유한회사",""))</f>
        <v/>
      </c>
      <c r="AC671" s="31">
        <f>IF(OR($Y671="",N($Z671)&lt;=0,$AB671=""),0,IFERROR(LOOKUP(2,1/((거래처별!$AC$8:$AC$307&lt;&gt;"")*ISNUMBER(SEARCH(거래처별!$AC$8:$AC$307,$AB671))),거래처별!$A$8:$A$307),IFERROR(LOOKUP(2,1/((거래처별!$AD$8:$AD$307&lt;&gt;"")*ISNUMBER(SEARCH(거래처별!$AD$8:$AD$307,$AB671))),거래처별!$A$8:$A$307),IFERROR(LOOKUP(2,1/((거래처별!$AE$8:$AE$307&lt;&gt;"")*ISNUMBER(SEARCH(거래처별!$AE$8:$AE$307,$AB671))),거래처별!$A$8:$A$307),0))))</f>
        <v/>
      </c>
      <c r="AD671" s="31">
        <f>IF(AND($Y671&lt;&gt;"",N($Z671)&gt;0,$AC671=0),MAX($AD$7:$AD670)+1,"")</f>
        <v/>
      </c>
      <c r="AE671" s="31">
        <f>IF($Y671="",0,$Y671)</f>
        <v/>
      </c>
    </row>
    <row r="672">
      <c r="W672" s="31">
        <f>IF(OR($B$5="",$C$6="",ROW()&lt;$B$5),"",IF(INDEX($A:$U,ROW(),$C$6)="","",INDEX($A:$U,ROW(),$C$6)))</f>
        <v/>
      </c>
      <c r="X672" s="32">
        <f>IF($W672="","",IF(ISNUMBER($W672),IF($W672&gt;=10000000,IFERROR(DATE(INT($W672/10000),MOD(INT($W672/100),100),MOD($W672,100)),""),INT($W672)),IFERROR(DATE(--LEFT(LEFT(SUBSTITUTE(SUBSTITUTE(SUBSTITUTE(SUBSTITUTE(TRIM($W672),"-",""),".",""),"/","")," ",""),8),4),--MID(LEFT(SUBSTITUTE(SUBSTITUTE(SUBSTITUTE(SUBSTITUTE(TRIM($W672),"-",""),".",""),"/","")," ",""),8),5,2),--MID(LEFT(SUBSTITUTE(SUBSTITUTE(SUBSTITUTE(SUBSTITUTE(TRIM($W672),"-",""),".",""),"/","")," ",""),8),7,2)),"")))</f>
        <v/>
      </c>
      <c r="Y672" s="32">
        <f>IF($X672="","",INT($X672))</f>
        <v/>
      </c>
      <c r="Z672" s="33">
        <f>IF(OR($Y672="",$D$6=""),"",IF(INDEX($A:$U,ROW(),$D$6)="",0,IF(ISNUMBER(INDEX($A:$U,ROW(),$D$6)),INDEX($A:$U,ROW(),$D$6),IFERROR(--SUBSTITUTE(SUBSTITUTE(TRIM(INDEX($A:$U,ROW(),$D$6)),",",""),"원",""),0))))</f>
        <v/>
      </c>
      <c r="AA672" s="31">
        <f>IF($Y672="","",TRIM(INDEX($A:$U,ROW(),$E$6)&amp;IF($F$6="",""," "&amp;INDEX($A:$U,ROW(),$F$6))))</f>
        <v/>
      </c>
      <c r="AB672" s="31">
        <f>IF($AA672="","",SUBSTITUTE(SUBSTITUTE(SUBSTITUTE(SUBSTITUTE(SUBSTITUTE(SUBSTITUTE(SUBSTITUTE(SUBSTITUTE(SUBSTITUTE($AA672," ",""),"　",""),"(주)",""),"（주）",""),"㈜",""),"주식회사",""),"(유)",""),"（유）",""),"유한회사",""))</f>
        <v/>
      </c>
      <c r="AC672" s="31">
        <f>IF(OR($Y672="",N($Z672)&lt;=0,$AB672=""),0,IFERROR(LOOKUP(2,1/((거래처별!$AC$8:$AC$307&lt;&gt;"")*ISNUMBER(SEARCH(거래처별!$AC$8:$AC$307,$AB672))),거래처별!$A$8:$A$307),IFERROR(LOOKUP(2,1/((거래처별!$AD$8:$AD$307&lt;&gt;"")*ISNUMBER(SEARCH(거래처별!$AD$8:$AD$307,$AB672))),거래처별!$A$8:$A$307),IFERROR(LOOKUP(2,1/((거래처별!$AE$8:$AE$307&lt;&gt;"")*ISNUMBER(SEARCH(거래처별!$AE$8:$AE$307,$AB672))),거래처별!$A$8:$A$307),0))))</f>
        <v/>
      </c>
      <c r="AD672" s="31">
        <f>IF(AND($Y672&lt;&gt;"",N($Z672)&gt;0,$AC672=0),MAX($AD$7:$AD671)+1,"")</f>
        <v/>
      </c>
      <c r="AE672" s="31">
        <f>IF($Y672="",0,$Y672)</f>
        <v/>
      </c>
    </row>
    <row r="673">
      <c r="W673" s="31">
        <f>IF(OR($B$5="",$C$6="",ROW()&lt;$B$5),"",IF(INDEX($A:$U,ROW(),$C$6)="","",INDEX($A:$U,ROW(),$C$6)))</f>
        <v/>
      </c>
      <c r="X673" s="32">
        <f>IF($W673="","",IF(ISNUMBER($W673),IF($W673&gt;=10000000,IFERROR(DATE(INT($W673/10000),MOD(INT($W673/100),100),MOD($W673,100)),""),INT($W673)),IFERROR(DATE(--LEFT(LEFT(SUBSTITUTE(SUBSTITUTE(SUBSTITUTE(SUBSTITUTE(TRIM($W673),"-",""),".",""),"/","")," ",""),8),4),--MID(LEFT(SUBSTITUTE(SUBSTITUTE(SUBSTITUTE(SUBSTITUTE(TRIM($W673),"-",""),".",""),"/","")," ",""),8),5,2),--MID(LEFT(SUBSTITUTE(SUBSTITUTE(SUBSTITUTE(SUBSTITUTE(TRIM($W673),"-",""),".",""),"/","")," ",""),8),7,2)),"")))</f>
        <v/>
      </c>
      <c r="Y673" s="32">
        <f>IF($X673="","",INT($X673))</f>
        <v/>
      </c>
      <c r="Z673" s="33">
        <f>IF(OR($Y673="",$D$6=""),"",IF(INDEX($A:$U,ROW(),$D$6)="",0,IF(ISNUMBER(INDEX($A:$U,ROW(),$D$6)),INDEX($A:$U,ROW(),$D$6),IFERROR(--SUBSTITUTE(SUBSTITUTE(TRIM(INDEX($A:$U,ROW(),$D$6)),",",""),"원",""),0))))</f>
        <v/>
      </c>
      <c r="AA673" s="31">
        <f>IF($Y673="","",TRIM(INDEX($A:$U,ROW(),$E$6)&amp;IF($F$6="",""," "&amp;INDEX($A:$U,ROW(),$F$6))))</f>
        <v/>
      </c>
      <c r="AB673" s="31">
        <f>IF($AA673="","",SUBSTITUTE(SUBSTITUTE(SUBSTITUTE(SUBSTITUTE(SUBSTITUTE(SUBSTITUTE(SUBSTITUTE(SUBSTITUTE(SUBSTITUTE($AA673," ",""),"　",""),"(주)",""),"（주）",""),"㈜",""),"주식회사",""),"(유)",""),"（유）",""),"유한회사",""))</f>
        <v/>
      </c>
      <c r="AC673" s="31">
        <f>IF(OR($Y673="",N($Z673)&lt;=0,$AB673=""),0,IFERROR(LOOKUP(2,1/((거래처별!$AC$8:$AC$307&lt;&gt;"")*ISNUMBER(SEARCH(거래처별!$AC$8:$AC$307,$AB673))),거래처별!$A$8:$A$307),IFERROR(LOOKUP(2,1/((거래처별!$AD$8:$AD$307&lt;&gt;"")*ISNUMBER(SEARCH(거래처별!$AD$8:$AD$307,$AB673))),거래처별!$A$8:$A$307),IFERROR(LOOKUP(2,1/((거래처별!$AE$8:$AE$307&lt;&gt;"")*ISNUMBER(SEARCH(거래처별!$AE$8:$AE$307,$AB673))),거래처별!$A$8:$A$307),0))))</f>
        <v/>
      </c>
      <c r="AD673" s="31">
        <f>IF(AND($Y673&lt;&gt;"",N($Z673)&gt;0,$AC673=0),MAX($AD$7:$AD672)+1,"")</f>
        <v/>
      </c>
      <c r="AE673" s="31">
        <f>IF($Y673="",0,$Y673)</f>
        <v/>
      </c>
    </row>
    <row r="674">
      <c r="W674" s="31">
        <f>IF(OR($B$5="",$C$6="",ROW()&lt;$B$5),"",IF(INDEX($A:$U,ROW(),$C$6)="","",INDEX($A:$U,ROW(),$C$6)))</f>
        <v/>
      </c>
      <c r="X674" s="32">
        <f>IF($W674="","",IF(ISNUMBER($W674),IF($W674&gt;=10000000,IFERROR(DATE(INT($W674/10000),MOD(INT($W674/100),100),MOD($W674,100)),""),INT($W674)),IFERROR(DATE(--LEFT(LEFT(SUBSTITUTE(SUBSTITUTE(SUBSTITUTE(SUBSTITUTE(TRIM($W674),"-",""),".",""),"/","")," ",""),8),4),--MID(LEFT(SUBSTITUTE(SUBSTITUTE(SUBSTITUTE(SUBSTITUTE(TRIM($W674),"-",""),".",""),"/","")," ",""),8),5,2),--MID(LEFT(SUBSTITUTE(SUBSTITUTE(SUBSTITUTE(SUBSTITUTE(TRIM($W674),"-",""),".",""),"/","")," ",""),8),7,2)),"")))</f>
        <v/>
      </c>
      <c r="Y674" s="32">
        <f>IF($X674="","",INT($X674))</f>
        <v/>
      </c>
      <c r="Z674" s="33">
        <f>IF(OR($Y674="",$D$6=""),"",IF(INDEX($A:$U,ROW(),$D$6)="",0,IF(ISNUMBER(INDEX($A:$U,ROW(),$D$6)),INDEX($A:$U,ROW(),$D$6),IFERROR(--SUBSTITUTE(SUBSTITUTE(TRIM(INDEX($A:$U,ROW(),$D$6)),",",""),"원",""),0))))</f>
        <v/>
      </c>
      <c r="AA674" s="31">
        <f>IF($Y674="","",TRIM(INDEX($A:$U,ROW(),$E$6)&amp;IF($F$6="",""," "&amp;INDEX($A:$U,ROW(),$F$6))))</f>
        <v/>
      </c>
      <c r="AB674" s="31">
        <f>IF($AA674="","",SUBSTITUTE(SUBSTITUTE(SUBSTITUTE(SUBSTITUTE(SUBSTITUTE(SUBSTITUTE(SUBSTITUTE(SUBSTITUTE(SUBSTITUTE($AA674," ",""),"　",""),"(주)",""),"（주）",""),"㈜",""),"주식회사",""),"(유)",""),"（유）",""),"유한회사",""))</f>
        <v/>
      </c>
      <c r="AC674" s="31">
        <f>IF(OR($Y674="",N($Z674)&lt;=0,$AB674=""),0,IFERROR(LOOKUP(2,1/((거래처별!$AC$8:$AC$307&lt;&gt;"")*ISNUMBER(SEARCH(거래처별!$AC$8:$AC$307,$AB674))),거래처별!$A$8:$A$307),IFERROR(LOOKUP(2,1/((거래처별!$AD$8:$AD$307&lt;&gt;"")*ISNUMBER(SEARCH(거래처별!$AD$8:$AD$307,$AB674))),거래처별!$A$8:$A$307),IFERROR(LOOKUP(2,1/((거래처별!$AE$8:$AE$307&lt;&gt;"")*ISNUMBER(SEARCH(거래처별!$AE$8:$AE$307,$AB674))),거래처별!$A$8:$A$307),0))))</f>
        <v/>
      </c>
      <c r="AD674" s="31">
        <f>IF(AND($Y674&lt;&gt;"",N($Z674)&gt;0,$AC674=0),MAX($AD$7:$AD673)+1,"")</f>
        <v/>
      </c>
      <c r="AE674" s="31">
        <f>IF($Y674="",0,$Y674)</f>
        <v/>
      </c>
    </row>
    <row r="675">
      <c r="W675" s="31">
        <f>IF(OR($B$5="",$C$6="",ROW()&lt;$B$5),"",IF(INDEX($A:$U,ROW(),$C$6)="","",INDEX($A:$U,ROW(),$C$6)))</f>
        <v/>
      </c>
      <c r="X675" s="32">
        <f>IF($W675="","",IF(ISNUMBER($W675),IF($W675&gt;=10000000,IFERROR(DATE(INT($W675/10000),MOD(INT($W675/100),100),MOD($W675,100)),""),INT($W675)),IFERROR(DATE(--LEFT(LEFT(SUBSTITUTE(SUBSTITUTE(SUBSTITUTE(SUBSTITUTE(TRIM($W675),"-",""),".",""),"/","")," ",""),8),4),--MID(LEFT(SUBSTITUTE(SUBSTITUTE(SUBSTITUTE(SUBSTITUTE(TRIM($W675),"-",""),".",""),"/","")," ",""),8),5,2),--MID(LEFT(SUBSTITUTE(SUBSTITUTE(SUBSTITUTE(SUBSTITUTE(TRIM($W675),"-",""),".",""),"/","")," ",""),8),7,2)),"")))</f>
        <v/>
      </c>
      <c r="Y675" s="32">
        <f>IF($X675="","",INT($X675))</f>
        <v/>
      </c>
      <c r="Z675" s="33">
        <f>IF(OR($Y675="",$D$6=""),"",IF(INDEX($A:$U,ROW(),$D$6)="",0,IF(ISNUMBER(INDEX($A:$U,ROW(),$D$6)),INDEX($A:$U,ROW(),$D$6),IFERROR(--SUBSTITUTE(SUBSTITUTE(TRIM(INDEX($A:$U,ROW(),$D$6)),",",""),"원",""),0))))</f>
        <v/>
      </c>
      <c r="AA675" s="31">
        <f>IF($Y675="","",TRIM(INDEX($A:$U,ROW(),$E$6)&amp;IF($F$6="",""," "&amp;INDEX($A:$U,ROW(),$F$6))))</f>
        <v/>
      </c>
      <c r="AB675" s="31">
        <f>IF($AA675="","",SUBSTITUTE(SUBSTITUTE(SUBSTITUTE(SUBSTITUTE(SUBSTITUTE(SUBSTITUTE(SUBSTITUTE(SUBSTITUTE(SUBSTITUTE($AA675," ",""),"　",""),"(주)",""),"（주）",""),"㈜",""),"주식회사",""),"(유)",""),"（유）",""),"유한회사",""))</f>
        <v/>
      </c>
      <c r="AC675" s="31">
        <f>IF(OR($Y675="",N($Z675)&lt;=0,$AB675=""),0,IFERROR(LOOKUP(2,1/((거래처별!$AC$8:$AC$307&lt;&gt;"")*ISNUMBER(SEARCH(거래처별!$AC$8:$AC$307,$AB675))),거래처별!$A$8:$A$307),IFERROR(LOOKUP(2,1/((거래처별!$AD$8:$AD$307&lt;&gt;"")*ISNUMBER(SEARCH(거래처별!$AD$8:$AD$307,$AB675))),거래처별!$A$8:$A$307),IFERROR(LOOKUP(2,1/((거래처별!$AE$8:$AE$307&lt;&gt;"")*ISNUMBER(SEARCH(거래처별!$AE$8:$AE$307,$AB675))),거래처별!$A$8:$A$307),0))))</f>
        <v/>
      </c>
      <c r="AD675" s="31">
        <f>IF(AND($Y675&lt;&gt;"",N($Z675)&gt;0,$AC675=0),MAX($AD$7:$AD674)+1,"")</f>
        <v/>
      </c>
      <c r="AE675" s="31">
        <f>IF($Y675="",0,$Y675)</f>
        <v/>
      </c>
    </row>
    <row r="676">
      <c r="W676" s="31">
        <f>IF(OR($B$5="",$C$6="",ROW()&lt;$B$5),"",IF(INDEX($A:$U,ROW(),$C$6)="","",INDEX($A:$U,ROW(),$C$6)))</f>
        <v/>
      </c>
      <c r="X676" s="32">
        <f>IF($W676="","",IF(ISNUMBER($W676),IF($W676&gt;=10000000,IFERROR(DATE(INT($W676/10000),MOD(INT($W676/100),100),MOD($W676,100)),""),INT($W676)),IFERROR(DATE(--LEFT(LEFT(SUBSTITUTE(SUBSTITUTE(SUBSTITUTE(SUBSTITUTE(TRIM($W676),"-",""),".",""),"/","")," ",""),8),4),--MID(LEFT(SUBSTITUTE(SUBSTITUTE(SUBSTITUTE(SUBSTITUTE(TRIM($W676),"-",""),".",""),"/","")," ",""),8),5,2),--MID(LEFT(SUBSTITUTE(SUBSTITUTE(SUBSTITUTE(SUBSTITUTE(TRIM($W676),"-",""),".",""),"/","")," ",""),8),7,2)),"")))</f>
        <v/>
      </c>
      <c r="Y676" s="32">
        <f>IF($X676="","",INT($X676))</f>
        <v/>
      </c>
      <c r="Z676" s="33">
        <f>IF(OR($Y676="",$D$6=""),"",IF(INDEX($A:$U,ROW(),$D$6)="",0,IF(ISNUMBER(INDEX($A:$U,ROW(),$D$6)),INDEX($A:$U,ROW(),$D$6),IFERROR(--SUBSTITUTE(SUBSTITUTE(TRIM(INDEX($A:$U,ROW(),$D$6)),",",""),"원",""),0))))</f>
        <v/>
      </c>
      <c r="AA676" s="31">
        <f>IF($Y676="","",TRIM(INDEX($A:$U,ROW(),$E$6)&amp;IF($F$6="",""," "&amp;INDEX($A:$U,ROW(),$F$6))))</f>
        <v/>
      </c>
      <c r="AB676" s="31">
        <f>IF($AA676="","",SUBSTITUTE(SUBSTITUTE(SUBSTITUTE(SUBSTITUTE(SUBSTITUTE(SUBSTITUTE(SUBSTITUTE(SUBSTITUTE(SUBSTITUTE($AA676," ",""),"　",""),"(주)",""),"（주）",""),"㈜",""),"주식회사",""),"(유)",""),"（유）",""),"유한회사",""))</f>
        <v/>
      </c>
      <c r="AC676" s="31">
        <f>IF(OR($Y676="",N($Z676)&lt;=0,$AB676=""),0,IFERROR(LOOKUP(2,1/((거래처별!$AC$8:$AC$307&lt;&gt;"")*ISNUMBER(SEARCH(거래처별!$AC$8:$AC$307,$AB676))),거래처별!$A$8:$A$307),IFERROR(LOOKUP(2,1/((거래처별!$AD$8:$AD$307&lt;&gt;"")*ISNUMBER(SEARCH(거래처별!$AD$8:$AD$307,$AB676))),거래처별!$A$8:$A$307),IFERROR(LOOKUP(2,1/((거래처별!$AE$8:$AE$307&lt;&gt;"")*ISNUMBER(SEARCH(거래처별!$AE$8:$AE$307,$AB676))),거래처별!$A$8:$A$307),0))))</f>
        <v/>
      </c>
      <c r="AD676" s="31">
        <f>IF(AND($Y676&lt;&gt;"",N($Z676)&gt;0,$AC676=0),MAX($AD$7:$AD675)+1,"")</f>
        <v/>
      </c>
      <c r="AE676" s="31">
        <f>IF($Y676="",0,$Y676)</f>
        <v/>
      </c>
    </row>
    <row r="677">
      <c r="W677" s="31">
        <f>IF(OR($B$5="",$C$6="",ROW()&lt;$B$5),"",IF(INDEX($A:$U,ROW(),$C$6)="","",INDEX($A:$U,ROW(),$C$6)))</f>
        <v/>
      </c>
      <c r="X677" s="32">
        <f>IF($W677="","",IF(ISNUMBER($W677),IF($W677&gt;=10000000,IFERROR(DATE(INT($W677/10000),MOD(INT($W677/100),100),MOD($W677,100)),""),INT($W677)),IFERROR(DATE(--LEFT(LEFT(SUBSTITUTE(SUBSTITUTE(SUBSTITUTE(SUBSTITUTE(TRIM($W677),"-",""),".",""),"/","")," ",""),8),4),--MID(LEFT(SUBSTITUTE(SUBSTITUTE(SUBSTITUTE(SUBSTITUTE(TRIM($W677),"-",""),".",""),"/","")," ",""),8),5,2),--MID(LEFT(SUBSTITUTE(SUBSTITUTE(SUBSTITUTE(SUBSTITUTE(TRIM($W677),"-",""),".",""),"/","")," ",""),8),7,2)),"")))</f>
        <v/>
      </c>
      <c r="Y677" s="32">
        <f>IF($X677="","",INT($X677))</f>
        <v/>
      </c>
      <c r="Z677" s="33">
        <f>IF(OR($Y677="",$D$6=""),"",IF(INDEX($A:$U,ROW(),$D$6)="",0,IF(ISNUMBER(INDEX($A:$U,ROW(),$D$6)),INDEX($A:$U,ROW(),$D$6),IFERROR(--SUBSTITUTE(SUBSTITUTE(TRIM(INDEX($A:$U,ROW(),$D$6)),",",""),"원",""),0))))</f>
        <v/>
      </c>
      <c r="AA677" s="31">
        <f>IF($Y677="","",TRIM(INDEX($A:$U,ROW(),$E$6)&amp;IF($F$6="",""," "&amp;INDEX($A:$U,ROW(),$F$6))))</f>
        <v/>
      </c>
      <c r="AB677" s="31">
        <f>IF($AA677="","",SUBSTITUTE(SUBSTITUTE(SUBSTITUTE(SUBSTITUTE(SUBSTITUTE(SUBSTITUTE(SUBSTITUTE(SUBSTITUTE(SUBSTITUTE($AA677," ",""),"　",""),"(주)",""),"（주）",""),"㈜",""),"주식회사",""),"(유)",""),"（유）",""),"유한회사",""))</f>
        <v/>
      </c>
      <c r="AC677" s="31">
        <f>IF(OR($Y677="",N($Z677)&lt;=0,$AB677=""),0,IFERROR(LOOKUP(2,1/((거래처별!$AC$8:$AC$307&lt;&gt;"")*ISNUMBER(SEARCH(거래처별!$AC$8:$AC$307,$AB677))),거래처별!$A$8:$A$307),IFERROR(LOOKUP(2,1/((거래처별!$AD$8:$AD$307&lt;&gt;"")*ISNUMBER(SEARCH(거래처별!$AD$8:$AD$307,$AB677))),거래처별!$A$8:$A$307),IFERROR(LOOKUP(2,1/((거래처별!$AE$8:$AE$307&lt;&gt;"")*ISNUMBER(SEARCH(거래처별!$AE$8:$AE$307,$AB677))),거래처별!$A$8:$A$307),0))))</f>
        <v/>
      </c>
      <c r="AD677" s="31">
        <f>IF(AND($Y677&lt;&gt;"",N($Z677)&gt;0,$AC677=0),MAX($AD$7:$AD676)+1,"")</f>
        <v/>
      </c>
      <c r="AE677" s="31">
        <f>IF($Y677="",0,$Y677)</f>
        <v/>
      </c>
    </row>
    <row r="678">
      <c r="W678" s="31">
        <f>IF(OR($B$5="",$C$6="",ROW()&lt;$B$5),"",IF(INDEX($A:$U,ROW(),$C$6)="","",INDEX($A:$U,ROW(),$C$6)))</f>
        <v/>
      </c>
      <c r="X678" s="32">
        <f>IF($W678="","",IF(ISNUMBER($W678),IF($W678&gt;=10000000,IFERROR(DATE(INT($W678/10000),MOD(INT($W678/100),100),MOD($W678,100)),""),INT($W678)),IFERROR(DATE(--LEFT(LEFT(SUBSTITUTE(SUBSTITUTE(SUBSTITUTE(SUBSTITUTE(TRIM($W678),"-",""),".",""),"/","")," ",""),8),4),--MID(LEFT(SUBSTITUTE(SUBSTITUTE(SUBSTITUTE(SUBSTITUTE(TRIM($W678),"-",""),".",""),"/","")," ",""),8),5,2),--MID(LEFT(SUBSTITUTE(SUBSTITUTE(SUBSTITUTE(SUBSTITUTE(TRIM($W678),"-",""),".",""),"/","")," ",""),8),7,2)),"")))</f>
        <v/>
      </c>
      <c r="Y678" s="32">
        <f>IF($X678="","",INT($X678))</f>
        <v/>
      </c>
      <c r="Z678" s="33">
        <f>IF(OR($Y678="",$D$6=""),"",IF(INDEX($A:$U,ROW(),$D$6)="",0,IF(ISNUMBER(INDEX($A:$U,ROW(),$D$6)),INDEX($A:$U,ROW(),$D$6),IFERROR(--SUBSTITUTE(SUBSTITUTE(TRIM(INDEX($A:$U,ROW(),$D$6)),",",""),"원",""),0))))</f>
        <v/>
      </c>
      <c r="AA678" s="31">
        <f>IF($Y678="","",TRIM(INDEX($A:$U,ROW(),$E$6)&amp;IF($F$6="",""," "&amp;INDEX($A:$U,ROW(),$F$6))))</f>
        <v/>
      </c>
      <c r="AB678" s="31">
        <f>IF($AA678="","",SUBSTITUTE(SUBSTITUTE(SUBSTITUTE(SUBSTITUTE(SUBSTITUTE(SUBSTITUTE(SUBSTITUTE(SUBSTITUTE(SUBSTITUTE($AA678," ",""),"　",""),"(주)",""),"（주）",""),"㈜",""),"주식회사",""),"(유)",""),"（유）",""),"유한회사",""))</f>
        <v/>
      </c>
      <c r="AC678" s="31">
        <f>IF(OR($Y678="",N($Z678)&lt;=0,$AB678=""),0,IFERROR(LOOKUP(2,1/((거래처별!$AC$8:$AC$307&lt;&gt;"")*ISNUMBER(SEARCH(거래처별!$AC$8:$AC$307,$AB678))),거래처별!$A$8:$A$307),IFERROR(LOOKUP(2,1/((거래처별!$AD$8:$AD$307&lt;&gt;"")*ISNUMBER(SEARCH(거래처별!$AD$8:$AD$307,$AB678))),거래처별!$A$8:$A$307),IFERROR(LOOKUP(2,1/((거래처별!$AE$8:$AE$307&lt;&gt;"")*ISNUMBER(SEARCH(거래처별!$AE$8:$AE$307,$AB678))),거래처별!$A$8:$A$307),0))))</f>
        <v/>
      </c>
      <c r="AD678" s="31">
        <f>IF(AND($Y678&lt;&gt;"",N($Z678)&gt;0,$AC678=0),MAX($AD$7:$AD677)+1,"")</f>
        <v/>
      </c>
      <c r="AE678" s="31">
        <f>IF($Y678="",0,$Y678)</f>
        <v/>
      </c>
    </row>
    <row r="679">
      <c r="W679" s="31">
        <f>IF(OR($B$5="",$C$6="",ROW()&lt;$B$5),"",IF(INDEX($A:$U,ROW(),$C$6)="","",INDEX($A:$U,ROW(),$C$6)))</f>
        <v/>
      </c>
      <c r="X679" s="32">
        <f>IF($W679="","",IF(ISNUMBER($W679),IF($W679&gt;=10000000,IFERROR(DATE(INT($W679/10000),MOD(INT($W679/100),100),MOD($W679,100)),""),INT($W679)),IFERROR(DATE(--LEFT(LEFT(SUBSTITUTE(SUBSTITUTE(SUBSTITUTE(SUBSTITUTE(TRIM($W679),"-",""),".",""),"/","")," ",""),8),4),--MID(LEFT(SUBSTITUTE(SUBSTITUTE(SUBSTITUTE(SUBSTITUTE(TRIM($W679),"-",""),".",""),"/","")," ",""),8),5,2),--MID(LEFT(SUBSTITUTE(SUBSTITUTE(SUBSTITUTE(SUBSTITUTE(TRIM($W679),"-",""),".",""),"/","")," ",""),8),7,2)),"")))</f>
        <v/>
      </c>
      <c r="Y679" s="32">
        <f>IF($X679="","",INT($X679))</f>
        <v/>
      </c>
      <c r="Z679" s="33">
        <f>IF(OR($Y679="",$D$6=""),"",IF(INDEX($A:$U,ROW(),$D$6)="",0,IF(ISNUMBER(INDEX($A:$U,ROW(),$D$6)),INDEX($A:$U,ROW(),$D$6),IFERROR(--SUBSTITUTE(SUBSTITUTE(TRIM(INDEX($A:$U,ROW(),$D$6)),",",""),"원",""),0))))</f>
        <v/>
      </c>
      <c r="AA679" s="31">
        <f>IF($Y679="","",TRIM(INDEX($A:$U,ROW(),$E$6)&amp;IF($F$6="",""," "&amp;INDEX($A:$U,ROW(),$F$6))))</f>
        <v/>
      </c>
      <c r="AB679" s="31">
        <f>IF($AA679="","",SUBSTITUTE(SUBSTITUTE(SUBSTITUTE(SUBSTITUTE(SUBSTITUTE(SUBSTITUTE(SUBSTITUTE(SUBSTITUTE(SUBSTITUTE($AA679," ",""),"　",""),"(주)",""),"（주）",""),"㈜",""),"주식회사",""),"(유)",""),"（유）",""),"유한회사",""))</f>
        <v/>
      </c>
      <c r="AC679" s="31">
        <f>IF(OR($Y679="",N($Z679)&lt;=0,$AB679=""),0,IFERROR(LOOKUP(2,1/((거래처별!$AC$8:$AC$307&lt;&gt;"")*ISNUMBER(SEARCH(거래처별!$AC$8:$AC$307,$AB679))),거래처별!$A$8:$A$307),IFERROR(LOOKUP(2,1/((거래처별!$AD$8:$AD$307&lt;&gt;"")*ISNUMBER(SEARCH(거래처별!$AD$8:$AD$307,$AB679))),거래처별!$A$8:$A$307),IFERROR(LOOKUP(2,1/((거래처별!$AE$8:$AE$307&lt;&gt;"")*ISNUMBER(SEARCH(거래처별!$AE$8:$AE$307,$AB679))),거래처별!$A$8:$A$307),0))))</f>
        <v/>
      </c>
      <c r="AD679" s="31">
        <f>IF(AND($Y679&lt;&gt;"",N($Z679)&gt;0,$AC679=0),MAX($AD$7:$AD678)+1,"")</f>
        <v/>
      </c>
      <c r="AE679" s="31">
        <f>IF($Y679="",0,$Y679)</f>
        <v/>
      </c>
    </row>
    <row r="680">
      <c r="W680" s="31">
        <f>IF(OR($B$5="",$C$6="",ROW()&lt;$B$5),"",IF(INDEX($A:$U,ROW(),$C$6)="","",INDEX($A:$U,ROW(),$C$6)))</f>
        <v/>
      </c>
      <c r="X680" s="32">
        <f>IF($W680="","",IF(ISNUMBER($W680),IF($W680&gt;=10000000,IFERROR(DATE(INT($W680/10000),MOD(INT($W680/100),100),MOD($W680,100)),""),INT($W680)),IFERROR(DATE(--LEFT(LEFT(SUBSTITUTE(SUBSTITUTE(SUBSTITUTE(SUBSTITUTE(TRIM($W680),"-",""),".",""),"/","")," ",""),8),4),--MID(LEFT(SUBSTITUTE(SUBSTITUTE(SUBSTITUTE(SUBSTITUTE(TRIM($W680),"-",""),".",""),"/","")," ",""),8),5,2),--MID(LEFT(SUBSTITUTE(SUBSTITUTE(SUBSTITUTE(SUBSTITUTE(TRIM($W680),"-",""),".",""),"/","")," ",""),8),7,2)),"")))</f>
        <v/>
      </c>
      <c r="Y680" s="32">
        <f>IF($X680="","",INT($X680))</f>
        <v/>
      </c>
      <c r="Z680" s="33">
        <f>IF(OR($Y680="",$D$6=""),"",IF(INDEX($A:$U,ROW(),$D$6)="",0,IF(ISNUMBER(INDEX($A:$U,ROW(),$D$6)),INDEX($A:$U,ROW(),$D$6),IFERROR(--SUBSTITUTE(SUBSTITUTE(TRIM(INDEX($A:$U,ROW(),$D$6)),",",""),"원",""),0))))</f>
        <v/>
      </c>
      <c r="AA680" s="31">
        <f>IF($Y680="","",TRIM(INDEX($A:$U,ROW(),$E$6)&amp;IF($F$6="",""," "&amp;INDEX($A:$U,ROW(),$F$6))))</f>
        <v/>
      </c>
      <c r="AB680" s="31">
        <f>IF($AA680="","",SUBSTITUTE(SUBSTITUTE(SUBSTITUTE(SUBSTITUTE(SUBSTITUTE(SUBSTITUTE(SUBSTITUTE(SUBSTITUTE(SUBSTITUTE($AA680," ",""),"　",""),"(주)",""),"（주）",""),"㈜",""),"주식회사",""),"(유)",""),"（유）",""),"유한회사",""))</f>
        <v/>
      </c>
      <c r="AC680" s="31">
        <f>IF(OR($Y680="",N($Z680)&lt;=0,$AB680=""),0,IFERROR(LOOKUP(2,1/((거래처별!$AC$8:$AC$307&lt;&gt;"")*ISNUMBER(SEARCH(거래처별!$AC$8:$AC$307,$AB680))),거래처별!$A$8:$A$307),IFERROR(LOOKUP(2,1/((거래처별!$AD$8:$AD$307&lt;&gt;"")*ISNUMBER(SEARCH(거래처별!$AD$8:$AD$307,$AB680))),거래처별!$A$8:$A$307),IFERROR(LOOKUP(2,1/((거래처별!$AE$8:$AE$307&lt;&gt;"")*ISNUMBER(SEARCH(거래처별!$AE$8:$AE$307,$AB680))),거래처별!$A$8:$A$307),0))))</f>
        <v/>
      </c>
      <c r="AD680" s="31">
        <f>IF(AND($Y680&lt;&gt;"",N($Z680)&gt;0,$AC680=0),MAX($AD$7:$AD679)+1,"")</f>
        <v/>
      </c>
      <c r="AE680" s="31">
        <f>IF($Y680="",0,$Y680)</f>
        <v/>
      </c>
    </row>
    <row r="681">
      <c r="W681" s="31">
        <f>IF(OR($B$5="",$C$6="",ROW()&lt;$B$5),"",IF(INDEX($A:$U,ROW(),$C$6)="","",INDEX($A:$U,ROW(),$C$6)))</f>
        <v/>
      </c>
      <c r="X681" s="32">
        <f>IF($W681="","",IF(ISNUMBER($W681),IF($W681&gt;=10000000,IFERROR(DATE(INT($W681/10000),MOD(INT($W681/100),100),MOD($W681,100)),""),INT($W681)),IFERROR(DATE(--LEFT(LEFT(SUBSTITUTE(SUBSTITUTE(SUBSTITUTE(SUBSTITUTE(TRIM($W681),"-",""),".",""),"/","")," ",""),8),4),--MID(LEFT(SUBSTITUTE(SUBSTITUTE(SUBSTITUTE(SUBSTITUTE(TRIM($W681),"-",""),".",""),"/","")," ",""),8),5,2),--MID(LEFT(SUBSTITUTE(SUBSTITUTE(SUBSTITUTE(SUBSTITUTE(TRIM($W681),"-",""),".",""),"/","")," ",""),8),7,2)),"")))</f>
        <v/>
      </c>
      <c r="Y681" s="32">
        <f>IF($X681="","",INT($X681))</f>
        <v/>
      </c>
      <c r="Z681" s="33">
        <f>IF(OR($Y681="",$D$6=""),"",IF(INDEX($A:$U,ROW(),$D$6)="",0,IF(ISNUMBER(INDEX($A:$U,ROW(),$D$6)),INDEX($A:$U,ROW(),$D$6),IFERROR(--SUBSTITUTE(SUBSTITUTE(TRIM(INDEX($A:$U,ROW(),$D$6)),",",""),"원",""),0))))</f>
        <v/>
      </c>
      <c r="AA681" s="31">
        <f>IF($Y681="","",TRIM(INDEX($A:$U,ROW(),$E$6)&amp;IF($F$6="",""," "&amp;INDEX($A:$U,ROW(),$F$6))))</f>
        <v/>
      </c>
      <c r="AB681" s="31">
        <f>IF($AA681="","",SUBSTITUTE(SUBSTITUTE(SUBSTITUTE(SUBSTITUTE(SUBSTITUTE(SUBSTITUTE(SUBSTITUTE(SUBSTITUTE(SUBSTITUTE($AA681," ",""),"　",""),"(주)",""),"（주）",""),"㈜",""),"주식회사",""),"(유)",""),"（유）",""),"유한회사",""))</f>
        <v/>
      </c>
      <c r="AC681" s="31">
        <f>IF(OR($Y681="",N($Z681)&lt;=0,$AB681=""),0,IFERROR(LOOKUP(2,1/((거래처별!$AC$8:$AC$307&lt;&gt;"")*ISNUMBER(SEARCH(거래처별!$AC$8:$AC$307,$AB681))),거래처별!$A$8:$A$307),IFERROR(LOOKUP(2,1/((거래처별!$AD$8:$AD$307&lt;&gt;"")*ISNUMBER(SEARCH(거래처별!$AD$8:$AD$307,$AB681))),거래처별!$A$8:$A$307),IFERROR(LOOKUP(2,1/((거래처별!$AE$8:$AE$307&lt;&gt;"")*ISNUMBER(SEARCH(거래처별!$AE$8:$AE$307,$AB681))),거래처별!$A$8:$A$307),0))))</f>
        <v/>
      </c>
      <c r="AD681" s="31">
        <f>IF(AND($Y681&lt;&gt;"",N($Z681)&gt;0,$AC681=0),MAX($AD$7:$AD680)+1,"")</f>
        <v/>
      </c>
      <c r="AE681" s="31">
        <f>IF($Y681="",0,$Y681)</f>
        <v/>
      </c>
    </row>
    <row r="682">
      <c r="W682" s="31">
        <f>IF(OR($B$5="",$C$6="",ROW()&lt;$B$5),"",IF(INDEX($A:$U,ROW(),$C$6)="","",INDEX($A:$U,ROW(),$C$6)))</f>
        <v/>
      </c>
      <c r="X682" s="32">
        <f>IF($W682="","",IF(ISNUMBER($W682),IF($W682&gt;=10000000,IFERROR(DATE(INT($W682/10000),MOD(INT($W682/100),100),MOD($W682,100)),""),INT($W682)),IFERROR(DATE(--LEFT(LEFT(SUBSTITUTE(SUBSTITUTE(SUBSTITUTE(SUBSTITUTE(TRIM($W682),"-",""),".",""),"/","")," ",""),8),4),--MID(LEFT(SUBSTITUTE(SUBSTITUTE(SUBSTITUTE(SUBSTITUTE(TRIM($W682),"-",""),".",""),"/","")," ",""),8),5,2),--MID(LEFT(SUBSTITUTE(SUBSTITUTE(SUBSTITUTE(SUBSTITUTE(TRIM($W682),"-",""),".",""),"/","")," ",""),8),7,2)),"")))</f>
        <v/>
      </c>
      <c r="Y682" s="32">
        <f>IF($X682="","",INT($X682))</f>
        <v/>
      </c>
      <c r="Z682" s="33">
        <f>IF(OR($Y682="",$D$6=""),"",IF(INDEX($A:$U,ROW(),$D$6)="",0,IF(ISNUMBER(INDEX($A:$U,ROW(),$D$6)),INDEX($A:$U,ROW(),$D$6),IFERROR(--SUBSTITUTE(SUBSTITUTE(TRIM(INDEX($A:$U,ROW(),$D$6)),",",""),"원",""),0))))</f>
        <v/>
      </c>
      <c r="AA682" s="31">
        <f>IF($Y682="","",TRIM(INDEX($A:$U,ROW(),$E$6)&amp;IF($F$6="",""," "&amp;INDEX($A:$U,ROW(),$F$6))))</f>
        <v/>
      </c>
      <c r="AB682" s="31">
        <f>IF($AA682="","",SUBSTITUTE(SUBSTITUTE(SUBSTITUTE(SUBSTITUTE(SUBSTITUTE(SUBSTITUTE(SUBSTITUTE(SUBSTITUTE(SUBSTITUTE($AA682," ",""),"　",""),"(주)",""),"（주）",""),"㈜",""),"주식회사",""),"(유)",""),"（유）",""),"유한회사",""))</f>
        <v/>
      </c>
      <c r="AC682" s="31">
        <f>IF(OR($Y682="",N($Z682)&lt;=0,$AB682=""),0,IFERROR(LOOKUP(2,1/((거래처별!$AC$8:$AC$307&lt;&gt;"")*ISNUMBER(SEARCH(거래처별!$AC$8:$AC$307,$AB682))),거래처별!$A$8:$A$307),IFERROR(LOOKUP(2,1/((거래처별!$AD$8:$AD$307&lt;&gt;"")*ISNUMBER(SEARCH(거래처별!$AD$8:$AD$307,$AB682))),거래처별!$A$8:$A$307),IFERROR(LOOKUP(2,1/((거래처별!$AE$8:$AE$307&lt;&gt;"")*ISNUMBER(SEARCH(거래처별!$AE$8:$AE$307,$AB682))),거래처별!$A$8:$A$307),0))))</f>
        <v/>
      </c>
      <c r="AD682" s="31">
        <f>IF(AND($Y682&lt;&gt;"",N($Z682)&gt;0,$AC682=0),MAX($AD$7:$AD681)+1,"")</f>
        <v/>
      </c>
      <c r="AE682" s="31">
        <f>IF($Y682="",0,$Y682)</f>
        <v/>
      </c>
    </row>
    <row r="683">
      <c r="W683" s="31">
        <f>IF(OR($B$5="",$C$6="",ROW()&lt;$B$5),"",IF(INDEX($A:$U,ROW(),$C$6)="","",INDEX($A:$U,ROW(),$C$6)))</f>
        <v/>
      </c>
      <c r="X683" s="32">
        <f>IF($W683="","",IF(ISNUMBER($W683),IF($W683&gt;=10000000,IFERROR(DATE(INT($W683/10000),MOD(INT($W683/100),100),MOD($W683,100)),""),INT($W683)),IFERROR(DATE(--LEFT(LEFT(SUBSTITUTE(SUBSTITUTE(SUBSTITUTE(SUBSTITUTE(TRIM($W683),"-",""),".",""),"/","")," ",""),8),4),--MID(LEFT(SUBSTITUTE(SUBSTITUTE(SUBSTITUTE(SUBSTITUTE(TRIM($W683),"-",""),".",""),"/","")," ",""),8),5,2),--MID(LEFT(SUBSTITUTE(SUBSTITUTE(SUBSTITUTE(SUBSTITUTE(TRIM($W683),"-",""),".",""),"/","")," ",""),8),7,2)),"")))</f>
        <v/>
      </c>
      <c r="Y683" s="32">
        <f>IF($X683="","",INT($X683))</f>
        <v/>
      </c>
      <c r="Z683" s="33">
        <f>IF(OR($Y683="",$D$6=""),"",IF(INDEX($A:$U,ROW(),$D$6)="",0,IF(ISNUMBER(INDEX($A:$U,ROW(),$D$6)),INDEX($A:$U,ROW(),$D$6),IFERROR(--SUBSTITUTE(SUBSTITUTE(TRIM(INDEX($A:$U,ROW(),$D$6)),",",""),"원",""),0))))</f>
        <v/>
      </c>
      <c r="AA683" s="31">
        <f>IF($Y683="","",TRIM(INDEX($A:$U,ROW(),$E$6)&amp;IF($F$6="",""," "&amp;INDEX($A:$U,ROW(),$F$6))))</f>
        <v/>
      </c>
      <c r="AB683" s="31">
        <f>IF($AA683="","",SUBSTITUTE(SUBSTITUTE(SUBSTITUTE(SUBSTITUTE(SUBSTITUTE(SUBSTITUTE(SUBSTITUTE(SUBSTITUTE(SUBSTITUTE($AA683," ",""),"　",""),"(주)",""),"（주）",""),"㈜",""),"주식회사",""),"(유)",""),"（유）",""),"유한회사",""))</f>
        <v/>
      </c>
      <c r="AC683" s="31">
        <f>IF(OR($Y683="",N($Z683)&lt;=0,$AB683=""),0,IFERROR(LOOKUP(2,1/((거래처별!$AC$8:$AC$307&lt;&gt;"")*ISNUMBER(SEARCH(거래처별!$AC$8:$AC$307,$AB683))),거래처별!$A$8:$A$307),IFERROR(LOOKUP(2,1/((거래처별!$AD$8:$AD$307&lt;&gt;"")*ISNUMBER(SEARCH(거래처별!$AD$8:$AD$307,$AB683))),거래처별!$A$8:$A$307),IFERROR(LOOKUP(2,1/((거래처별!$AE$8:$AE$307&lt;&gt;"")*ISNUMBER(SEARCH(거래처별!$AE$8:$AE$307,$AB683))),거래처별!$A$8:$A$307),0))))</f>
        <v/>
      </c>
      <c r="AD683" s="31">
        <f>IF(AND($Y683&lt;&gt;"",N($Z683)&gt;0,$AC683=0),MAX($AD$7:$AD682)+1,"")</f>
        <v/>
      </c>
      <c r="AE683" s="31">
        <f>IF($Y683="",0,$Y683)</f>
        <v/>
      </c>
    </row>
    <row r="684">
      <c r="W684" s="31">
        <f>IF(OR($B$5="",$C$6="",ROW()&lt;$B$5),"",IF(INDEX($A:$U,ROW(),$C$6)="","",INDEX($A:$U,ROW(),$C$6)))</f>
        <v/>
      </c>
      <c r="X684" s="32">
        <f>IF($W684="","",IF(ISNUMBER($W684),IF($W684&gt;=10000000,IFERROR(DATE(INT($W684/10000),MOD(INT($W684/100),100),MOD($W684,100)),""),INT($W684)),IFERROR(DATE(--LEFT(LEFT(SUBSTITUTE(SUBSTITUTE(SUBSTITUTE(SUBSTITUTE(TRIM($W684),"-",""),".",""),"/","")," ",""),8),4),--MID(LEFT(SUBSTITUTE(SUBSTITUTE(SUBSTITUTE(SUBSTITUTE(TRIM($W684),"-",""),".",""),"/","")," ",""),8),5,2),--MID(LEFT(SUBSTITUTE(SUBSTITUTE(SUBSTITUTE(SUBSTITUTE(TRIM($W684),"-",""),".",""),"/","")," ",""),8),7,2)),"")))</f>
        <v/>
      </c>
      <c r="Y684" s="32">
        <f>IF($X684="","",INT($X684))</f>
        <v/>
      </c>
      <c r="Z684" s="33">
        <f>IF(OR($Y684="",$D$6=""),"",IF(INDEX($A:$U,ROW(),$D$6)="",0,IF(ISNUMBER(INDEX($A:$U,ROW(),$D$6)),INDEX($A:$U,ROW(),$D$6),IFERROR(--SUBSTITUTE(SUBSTITUTE(TRIM(INDEX($A:$U,ROW(),$D$6)),",",""),"원",""),0))))</f>
        <v/>
      </c>
      <c r="AA684" s="31">
        <f>IF($Y684="","",TRIM(INDEX($A:$U,ROW(),$E$6)&amp;IF($F$6="",""," "&amp;INDEX($A:$U,ROW(),$F$6))))</f>
        <v/>
      </c>
      <c r="AB684" s="31">
        <f>IF($AA684="","",SUBSTITUTE(SUBSTITUTE(SUBSTITUTE(SUBSTITUTE(SUBSTITUTE(SUBSTITUTE(SUBSTITUTE(SUBSTITUTE(SUBSTITUTE($AA684," ",""),"　",""),"(주)",""),"（주）",""),"㈜",""),"주식회사",""),"(유)",""),"（유）",""),"유한회사",""))</f>
        <v/>
      </c>
      <c r="AC684" s="31">
        <f>IF(OR($Y684="",N($Z684)&lt;=0,$AB684=""),0,IFERROR(LOOKUP(2,1/((거래처별!$AC$8:$AC$307&lt;&gt;"")*ISNUMBER(SEARCH(거래처별!$AC$8:$AC$307,$AB684))),거래처별!$A$8:$A$307),IFERROR(LOOKUP(2,1/((거래처별!$AD$8:$AD$307&lt;&gt;"")*ISNUMBER(SEARCH(거래처별!$AD$8:$AD$307,$AB684))),거래처별!$A$8:$A$307),IFERROR(LOOKUP(2,1/((거래처별!$AE$8:$AE$307&lt;&gt;"")*ISNUMBER(SEARCH(거래처별!$AE$8:$AE$307,$AB684))),거래처별!$A$8:$A$307),0))))</f>
        <v/>
      </c>
      <c r="AD684" s="31">
        <f>IF(AND($Y684&lt;&gt;"",N($Z684)&gt;0,$AC684=0),MAX($AD$7:$AD683)+1,"")</f>
        <v/>
      </c>
      <c r="AE684" s="31">
        <f>IF($Y684="",0,$Y684)</f>
        <v/>
      </c>
    </row>
    <row r="685">
      <c r="W685" s="31">
        <f>IF(OR($B$5="",$C$6="",ROW()&lt;$B$5),"",IF(INDEX($A:$U,ROW(),$C$6)="","",INDEX($A:$U,ROW(),$C$6)))</f>
        <v/>
      </c>
      <c r="X685" s="32">
        <f>IF($W685="","",IF(ISNUMBER($W685),IF($W685&gt;=10000000,IFERROR(DATE(INT($W685/10000),MOD(INT($W685/100),100),MOD($W685,100)),""),INT($W685)),IFERROR(DATE(--LEFT(LEFT(SUBSTITUTE(SUBSTITUTE(SUBSTITUTE(SUBSTITUTE(TRIM($W685),"-",""),".",""),"/","")," ",""),8),4),--MID(LEFT(SUBSTITUTE(SUBSTITUTE(SUBSTITUTE(SUBSTITUTE(TRIM($W685),"-",""),".",""),"/","")," ",""),8),5,2),--MID(LEFT(SUBSTITUTE(SUBSTITUTE(SUBSTITUTE(SUBSTITUTE(TRIM($W685),"-",""),".",""),"/","")," ",""),8),7,2)),"")))</f>
        <v/>
      </c>
      <c r="Y685" s="32">
        <f>IF($X685="","",INT($X685))</f>
        <v/>
      </c>
      <c r="Z685" s="33">
        <f>IF(OR($Y685="",$D$6=""),"",IF(INDEX($A:$U,ROW(),$D$6)="",0,IF(ISNUMBER(INDEX($A:$U,ROW(),$D$6)),INDEX($A:$U,ROW(),$D$6),IFERROR(--SUBSTITUTE(SUBSTITUTE(TRIM(INDEX($A:$U,ROW(),$D$6)),",",""),"원",""),0))))</f>
        <v/>
      </c>
      <c r="AA685" s="31">
        <f>IF($Y685="","",TRIM(INDEX($A:$U,ROW(),$E$6)&amp;IF($F$6="",""," "&amp;INDEX($A:$U,ROW(),$F$6))))</f>
        <v/>
      </c>
      <c r="AB685" s="31">
        <f>IF($AA685="","",SUBSTITUTE(SUBSTITUTE(SUBSTITUTE(SUBSTITUTE(SUBSTITUTE(SUBSTITUTE(SUBSTITUTE(SUBSTITUTE(SUBSTITUTE($AA685," ",""),"　",""),"(주)",""),"（주）",""),"㈜",""),"주식회사",""),"(유)",""),"（유）",""),"유한회사",""))</f>
        <v/>
      </c>
      <c r="AC685" s="31">
        <f>IF(OR($Y685="",N($Z685)&lt;=0,$AB685=""),0,IFERROR(LOOKUP(2,1/((거래처별!$AC$8:$AC$307&lt;&gt;"")*ISNUMBER(SEARCH(거래처별!$AC$8:$AC$307,$AB685))),거래처별!$A$8:$A$307),IFERROR(LOOKUP(2,1/((거래처별!$AD$8:$AD$307&lt;&gt;"")*ISNUMBER(SEARCH(거래처별!$AD$8:$AD$307,$AB685))),거래처별!$A$8:$A$307),IFERROR(LOOKUP(2,1/((거래처별!$AE$8:$AE$307&lt;&gt;"")*ISNUMBER(SEARCH(거래처별!$AE$8:$AE$307,$AB685))),거래처별!$A$8:$A$307),0))))</f>
        <v/>
      </c>
      <c r="AD685" s="31">
        <f>IF(AND($Y685&lt;&gt;"",N($Z685)&gt;0,$AC685=0),MAX($AD$7:$AD684)+1,"")</f>
        <v/>
      </c>
      <c r="AE685" s="31">
        <f>IF($Y685="",0,$Y685)</f>
        <v/>
      </c>
    </row>
    <row r="686">
      <c r="W686" s="31">
        <f>IF(OR($B$5="",$C$6="",ROW()&lt;$B$5),"",IF(INDEX($A:$U,ROW(),$C$6)="","",INDEX($A:$U,ROW(),$C$6)))</f>
        <v/>
      </c>
      <c r="X686" s="32">
        <f>IF($W686="","",IF(ISNUMBER($W686),IF($W686&gt;=10000000,IFERROR(DATE(INT($W686/10000),MOD(INT($W686/100),100),MOD($W686,100)),""),INT($W686)),IFERROR(DATE(--LEFT(LEFT(SUBSTITUTE(SUBSTITUTE(SUBSTITUTE(SUBSTITUTE(TRIM($W686),"-",""),".",""),"/","")," ",""),8),4),--MID(LEFT(SUBSTITUTE(SUBSTITUTE(SUBSTITUTE(SUBSTITUTE(TRIM($W686),"-",""),".",""),"/","")," ",""),8),5,2),--MID(LEFT(SUBSTITUTE(SUBSTITUTE(SUBSTITUTE(SUBSTITUTE(TRIM($W686),"-",""),".",""),"/","")," ",""),8),7,2)),"")))</f>
        <v/>
      </c>
      <c r="Y686" s="32">
        <f>IF($X686="","",INT($X686))</f>
        <v/>
      </c>
      <c r="Z686" s="33">
        <f>IF(OR($Y686="",$D$6=""),"",IF(INDEX($A:$U,ROW(),$D$6)="",0,IF(ISNUMBER(INDEX($A:$U,ROW(),$D$6)),INDEX($A:$U,ROW(),$D$6),IFERROR(--SUBSTITUTE(SUBSTITUTE(TRIM(INDEX($A:$U,ROW(),$D$6)),",",""),"원",""),0))))</f>
        <v/>
      </c>
      <c r="AA686" s="31">
        <f>IF($Y686="","",TRIM(INDEX($A:$U,ROW(),$E$6)&amp;IF($F$6="",""," "&amp;INDEX($A:$U,ROW(),$F$6))))</f>
        <v/>
      </c>
      <c r="AB686" s="31">
        <f>IF($AA686="","",SUBSTITUTE(SUBSTITUTE(SUBSTITUTE(SUBSTITUTE(SUBSTITUTE(SUBSTITUTE(SUBSTITUTE(SUBSTITUTE(SUBSTITUTE($AA686," ",""),"　",""),"(주)",""),"（주）",""),"㈜",""),"주식회사",""),"(유)",""),"（유）",""),"유한회사",""))</f>
        <v/>
      </c>
      <c r="AC686" s="31">
        <f>IF(OR($Y686="",N($Z686)&lt;=0,$AB686=""),0,IFERROR(LOOKUP(2,1/((거래처별!$AC$8:$AC$307&lt;&gt;"")*ISNUMBER(SEARCH(거래처별!$AC$8:$AC$307,$AB686))),거래처별!$A$8:$A$307),IFERROR(LOOKUP(2,1/((거래처별!$AD$8:$AD$307&lt;&gt;"")*ISNUMBER(SEARCH(거래처별!$AD$8:$AD$307,$AB686))),거래처별!$A$8:$A$307),IFERROR(LOOKUP(2,1/((거래처별!$AE$8:$AE$307&lt;&gt;"")*ISNUMBER(SEARCH(거래처별!$AE$8:$AE$307,$AB686))),거래처별!$A$8:$A$307),0))))</f>
        <v/>
      </c>
      <c r="AD686" s="31">
        <f>IF(AND($Y686&lt;&gt;"",N($Z686)&gt;0,$AC686=0),MAX($AD$7:$AD685)+1,"")</f>
        <v/>
      </c>
      <c r="AE686" s="31">
        <f>IF($Y686="",0,$Y686)</f>
        <v/>
      </c>
    </row>
    <row r="687">
      <c r="W687" s="31">
        <f>IF(OR($B$5="",$C$6="",ROW()&lt;$B$5),"",IF(INDEX($A:$U,ROW(),$C$6)="","",INDEX($A:$U,ROW(),$C$6)))</f>
        <v/>
      </c>
      <c r="X687" s="32">
        <f>IF($W687="","",IF(ISNUMBER($W687),IF($W687&gt;=10000000,IFERROR(DATE(INT($W687/10000),MOD(INT($W687/100),100),MOD($W687,100)),""),INT($W687)),IFERROR(DATE(--LEFT(LEFT(SUBSTITUTE(SUBSTITUTE(SUBSTITUTE(SUBSTITUTE(TRIM($W687),"-",""),".",""),"/","")," ",""),8),4),--MID(LEFT(SUBSTITUTE(SUBSTITUTE(SUBSTITUTE(SUBSTITUTE(TRIM($W687),"-",""),".",""),"/","")," ",""),8),5,2),--MID(LEFT(SUBSTITUTE(SUBSTITUTE(SUBSTITUTE(SUBSTITUTE(TRIM($W687),"-",""),".",""),"/","")," ",""),8),7,2)),"")))</f>
        <v/>
      </c>
      <c r="Y687" s="32">
        <f>IF($X687="","",INT($X687))</f>
        <v/>
      </c>
      <c r="Z687" s="33">
        <f>IF(OR($Y687="",$D$6=""),"",IF(INDEX($A:$U,ROW(),$D$6)="",0,IF(ISNUMBER(INDEX($A:$U,ROW(),$D$6)),INDEX($A:$U,ROW(),$D$6),IFERROR(--SUBSTITUTE(SUBSTITUTE(TRIM(INDEX($A:$U,ROW(),$D$6)),",",""),"원",""),0))))</f>
        <v/>
      </c>
      <c r="AA687" s="31">
        <f>IF($Y687="","",TRIM(INDEX($A:$U,ROW(),$E$6)&amp;IF($F$6="",""," "&amp;INDEX($A:$U,ROW(),$F$6))))</f>
        <v/>
      </c>
      <c r="AB687" s="31">
        <f>IF($AA687="","",SUBSTITUTE(SUBSTITUTE(SUBSTITUTE(SUBSTITUTE(SUBSTITUTE(SUBSTITUTE(SUBSTITUTE(SUBSTITUTE(SUBSTITUTE($AA687," ",""),"　",""),"(주)",""),"（주）",""),"㈜",""),"주식회사",""),"(유)",""),"（유）",""),"유한회사",""))</f>
        <v/>
      </c>
      <c r="AC687" s="31">
        <f>IF(OR($Y687="",N($Z687)&lt;=0,$AB687=""),0,IFERROR(LOOKUP(2,1/((거래처별!$AC$8:$AC$307&lt;&gt;"")*ISNUMBER(SEARCH(거래처별!$AC$8:$AC$307,$AB687))),거래처별!$A$8:$A$307),IFERROR(LOOKUP(2,1/((거래처별!$AD$8:$AD$307&lt;&gt;"")*ISNUMBER(SEARCH(거래처별!$AD$8:$AD$307,$AB687))),거래처별!$A$8:$A$307),IFERROR(LOOKUP(2,1/((거래처별!$AE$8:$AE$307&lt;&gt;"")*ISNUMBER(SEARCH(거래처별!$AE$8:$AE$307,$AB687))),거래처별!$A$8:$A$307),0))))</f>
        <v/>
      </c>
      <c r="AD687" s="31">
        <f>IF(AND($Y687&lt;&gt;"",N($Z687)&gt;0,$AC687=0),MAX($AD$7:$AD686)+1,"")</f>
        <v/>
      </c>
      <c r="AE687" s="31">
        <f>IF($Y687="",0,$Y687)</f>
        <v/>
      </c>
    </row>
    <row r="688">
      <c r="W688" s="31">
        <f>IF(OR($B$5="",$C$6="",ROW()&lt;$B$5),"",IF(INDEX($A:$U,ROW(),$C$6)="","",INDEX($A:$U,ROW(),$C$6)))</f>
        <v/>
      </c>
      <c r="X688" s="32">
        <f>IF($W688="","",IF(ISNUMBER($W688),IF($W688&gt;=10000000,IFERROR(DATE(INT($W688/10000),MOD(INT($W688/100),100),MOD($W688,100)),""),INT($W688)),IFERROR(DATE(--LEFT(LEFT(SUBSTITUTE(SUBSTITUTE(SUBSTITUTE(SUBSTITUTE(TRIM($W688),"-",""),".",""),"/","")," ",""),8),4),--MID(LEFT(SUBSTITUTE(SUBSTITUTE(SUBSTITUTE(SUBSTITUTE(TRIM($W688),"-",""),".",""),"/","")," ",""),8),5,2),--MID(LEFT(SUBSTITUTE(SUBSTITUTE(SUBSTITUTE(SUBSTITUTE(TRIM($W688),"-",""),".",""),"/","")," ",""),8),7,2)),"")))</f>
        <v/>
      </c>
      <c r="Y688" s="32">
        <f>IF($X688="","",INT($X688))</f>
        <v/>
      </c>
      <c r="Z688" s="33">
        <f>IF(OR($Y688="",$D$6=""),"",IF(INDEX($A:$U,ROW(),$D$6)="",0,IF(ISNUMBER(INDEX($A:$U,ROW(),$D$6)),INDEX($A:$U,ROW(),$D$6),IFERROR(--SUBSTITUTE(SUBSTITUTE(TRIM(INDEX($A:$U,ROW(),$D$6)),",",""),"원",""),0))))</f>
        <v/>
      </c>
      <c r="AA688" s="31">
        <f>IF($Y688="","",TRIM(INDEX($A:$U,ROW(),$E$6)&amp;IF($F$6="",""," "&amp;INDEX($A:$U,ROW(),$F$6))))</f>
        <v/>
      </c>
      <c r="AB688" s="31">
        <f>IF($AA688="","",SUBSTITUTE(SUBSTITUTE(SUBSTITUTE(SUBSTITUTE(SUBSTITUTE(SUBSTITUTE(SUBSTITUTE(SUBSTITUTE(SUBSTITUTE($AA688," ",""),"　",""),"(주)",""),"（주）",""),"㈜",""),"주식회사",""),"(유)",""),"（유）",""),"유한회사",""))</f>
        <v/>
      </c>
      <c r="AC688" s="31">
        <f>IF(OR($Y688="",N($Z688)&lt;=0,$AB688=""),0,IFERROR(LOOKUP(2,1/((거래처별!$AC$8:$AC$307&lt;&gt;"")*ISNUMBER(SEARCH(거래처별!$AC$8:$AC$307,$AB688))),거래처별!$A$8:$A$307),IFERROR(LOOKUP(2,1/((거래처별!$AD$8:$AD$307&lt;&gt;"")*ISNUMBER(SEARCH(거래처별!$AD$8:$AD$307,$AB688))),거래처별!$A$8:$A$307),IFERROR(LOOKUP(2,1/((거래처별!$AE$8:$AE$307&lt;&gt;"")*ISNUMBER(SEARCH(거래처별!$AE$8:$AE$307,$AB688))),거래처별!$A$8:$A$307),0))))</f>
        <v/>
      </c>
      <c r="AD688" s="31">
        <f>IF(AND($Y688&lt;&gt;"",N($Z688)&gt;0,$AC688=0),MAX($AD$7:$AD687)+1,"")</f>
        <v/>
      </c>
      <c r="AE688" s="31">
        <f>IF($Y688="",0,$Y688)</f>
        <v/>
      </c>
    </row>
    <row r="689">
      <c r="W689" s="31">
        <f>IF(OR($B$5="",$C$6="",ROW()&lt;$B$5),"",IF(INDEX($A:$U,ROW(),$C$6)="","",INDEX($A:$U,ROW(),$C$6)))</f>
        <v/>
      </c>
      <c r="X689" s="32">
        <f>IF($W689="","",IF(ISNUMBER($W689),IF($W689&gt;=10000000,IFERROR(DATE(INT($W689/10000),MOD(INT($W689/100),100),MOD($W689,100)),""),INT($W689)),IFERROR(DATE(--LEFT(LEFT(SUBSTITUTE(SUBSTITUTE(SUBSTITUTE(SUBSTITUTE(TRIM($W689),"-",""),".",""),"/","")," ",""),8),4),--MID(LEFT(SUBSTITUTE(SUBSTITUTE(SUBSTITUTE(SUBSTITUTE(TRIM($W689),"-",""),".",""),"/","")," ",""),8),5,2),--MID(LEFT(SUBSTITUTE(SUBSTITUTE(SUBSTITUTE(SUBSTITUTE(TRIM($W689),"-",""),".",""),"/","")," ",""),8),7,2)),"")))</f>
        <v/>
      </c>
      <c r="Y689" s="32">
        <f>IF($X689="","",INT($X689))</f>
        <v/>
      </c>
      <c r="Z689" s="33">
        <f>IF(OR($Y689="",$D$6=""),"",IF(INDEX($A:$U,ROW(),$D$6)="",0,IF(ISNUMBER(INDEX($A:$U,ROW(),$D$6)),INDEX($A:$U,ROW(),$D$6),IFERROR(--SUBSTITUTE(SUBSTITUTE(TRIM(INDEX($A:$U,ROW(),$D$6)),",",""),"원",""),0))))</f>
        <v/>
      </c>
      <c r="AA689" s="31">
        <f>IF($Y689="","",TRIM(INDEX($A:$U,ROW(),$E$6)&amp;IF($F$6="",""," "&amp;INDEX($A:$U,ROW(),$F$6))))</f>
        <v/>
      </c>
      <c r="AB689" s="31">
        <f>IF($AA689="","",SUBSTITUTE(SUBSTITUTE(SUBSTITUTE(SUBSTITUTE(SUBSTITUTE(SUBSTITUTE(SUBSTITUTE(SUBSTITUTE(SUBSTITUTE($AA689," ",""),"　",""),"(주)",""),"（주）",""),"㈜",""),"주식회사",""),"(유)",""),"（유）",""),"유한회사",""))</f>
        <v/>
      </c>
      <c r="AC689" s="31">
        <f>IF(OR($Y689="",N($Z689)&lt;=0,$AB689=""),0,IFERROR(LOOKUP(2,1/((거래처별!$AC$8:$AC$307&lt;&gt;"")*ISNUMBER(SEARCH(거래처별!$AC$8:$AC$307,$AB689))),거래처별!$A$8:$A$307),IFERROR(LOOKUP(2,1/((거래처별!$AD$8:$AD$307&lt;&gt;"")*ISNUMBER(SEARCH(거래처별!$AD$8:$AD$307,$AB689))),거래처별!$A$8:$A$307),IFERROR(LOOKUP(2,1/((거래처별!$AE$8:$AE$307&lt;&gt;"")*ISNUMBER(SEARCH(거래처별!$AE$8:$AE$307,$AB689))),거래처별!$A$8:$A$307),0))))</f>
        <v/>
      </c>
      <c r="AD689" s="31">
        <f>IF(AND($Y689&lt;&gt;"",N($Z689)&gt;0,$AC689=0),MAX($AD$7:$AD688)+1,"")</f>
        <v/>
      </c>
      <c r="AE689" s="31">
        <f>IF($Y689="",0,$Y689)</f>
        <v/>
      </c>
    </row>
    <row r="690">
      <c r="W690" s="31">
        <f>IF(OR($B$5="",$C$6="",ROW()&lt;$B$5),"",IF(INDEX($A:$U,ROW(),$C$6)="","",INDEX($A:$U,ROW(),$C$6)))</f>
        <v/>
      </c>
      <c r="X690" s="32">
        <f>IF($W690="","",IF(ISNUMBER($W690),IF($W690&gt;=10000000,IFERROR(DATE(INT($W690/10000),MOD(INT($W690/100),100),MOD($W690,100)),""),INT($W690)),IFERROR(DATE(--LEFT(LEFT(SUBSTITUTE(SUBSTITUTE(SUBSTITUTE(SUBSTITUTE(TRIM($W690),"-",""),".",""),"/","")," ",""),8),4),--MID(LEFT(SUBSTITUTE(SUBSTITUTE(SUBSTITUTE(SUBSTITUTE(TRIM($W690),"-",""),".",""),"/","")," ",""),8),5,2),--MID(LEFT(SUBSTITUTE(SUBSTITUTE(SUBSTITUTE(SUBSTITUTE(TRIM($W690),"-",""),".",""),"/","")," ",""),8),7,2)),"")))</f>
        <v/>
      </c>
      <c r="Y690" s="32">
        <f>IF($X690="","",INT($X690))</f>
        <v/>
      </c>
      <c r="Z690" s="33">
        <f>IF(OR($Y690="",$D$6=""),"",IF(INDEX($A:$U,ROW(),$D$6)="",0,IF(ISNUMBER(INDEX($A:$U,ROW(),$D$6)),INDEX($A:$U,ROW(),$D$6),IFERROR(--SUBSTITUTE(SUBSTITUTE(TRIM(INDEX($A:$U,ROW(),$D$6)),",",""),"원",""),0))))</f>
        <v/>
      </c>
      <c r="AA690" s="31">
        <f>IF($Y690="","",TRIM(INDEX($A:$U,ROW(),$E$6)&amp;IF($F$6="",""," "&amp;INDEX($A:$U,ROW(),$F$6))))</f>
        <v/>
      </c>
      <c r="AB690" s="31">
        <f>IF($AA690="","",SUBSTITUTE(SUBSTITUTE(SUBSTITUTE(SUBSTITUTE(SUBSTITUTE(SUBSTITUTE(SUBSTITUTE(SUBSTITUTE(SUBSTITUTE($AA690," ",""),"　",""),"(주)",""),"（주）",""),"㈜",""),"주식회사",""),"(유)",""),"（유）",""),"유한회사",""))</f>
        <v/>
      </c>
      <c r="AC690" s="31">
        <f>IF(OR($Y690="",N($Z690)&lt;=0,$AB690=""),0,IFERROR(LOOKUP(2,1/((거래처별!$AC$8:$AC$307&lt;&gt;"")*ISNUMBER(SEARCH(거래처별!$AC$8:$AC$307,$AB690))),거래처별!$A$8:$A$307),IFERROR(LOOKUP(2,1/((거래처별!$AD$8:$AD$307&lt;&gt;"")*ISNUMBER(SEARCH(거래처별!$AD$8:$AD$307,$AB690))),거래처별!$A$8:$A$307),IFERROR(LOOKUP(2,1/((거래처별!$AE$8:$AE$307&lt;&gt;"")*ISNUMBER(SEARCH(거래처별!$AE$8:$AE$307,$AB690))),거래처별!$A$8:$A$307),0))))</f>
        <v/>
      </c>
      <c r="AD690" s="31">
        <f>IF(AND($Y690&lt;&gt;"",N($Z690)&gt;0,$AC690=0),MAX($AD$7:$AD689)+1,"")</f>
        <v/>
      </c>
      <c r="AE690" s="31">
        <f>IF($Y690="",0,$Y690)</f>
        <v/>
      </c>
    </row>
    <row r="691">
      <c r="W691" s="31">
        <f>IF(OR($B$5="",$C$6="",ROW()&lt;$B$5),"",IF(INDEX($A:$U,ROW(),$C$6)="","",INDEX($A:$U,ROW(),$C$6)))</f>
        <v/>
      </c>
      <c r="X691" s="32">
        <f>IF($W691="","",IF(ISNUMBER($W691),IF($W691&gt;=10000000,IFERROR(DATE(INT($W691/10000),MOD(INT($W691/100),100),MOD($W691,100)),""),INT($W691)),IFERROR(DATE(--LEFT(LEFT(SUBSTITUTE(SUBSTITUTE(SUBSTITUTE(SUBSTITUTE(TRIM($W691),"-",""),".",""),"/","")," ",""),8),4),--MID(LEFT(SUBSTITUTE(SUBSTITUTE(SUBSTITUTE(SUBSTITUTE(TRIM($W691),"-",""),".",""),"/","")," ",""),8),5,2),--MID(LEFT(SUBSTITUTE(SUBSTITUTE(SUBSTITUTE(SUBSTITUTE(TRIM($W691),"-",""),".",""),"/","")," ",""),8),7,2)),"")))</f>
        <v/>
      </c>
      <c r="Y691" s="32">
        <f>IF($X691="","",INT($X691))</f>
        <v/>
      </c>
      <c r="Z691" s="33">
        <f>IF(OR($Y691="",$D$6=""),"",IF(INDEX($A:$U,ROW(),$D$6)="",0,IF(ISNUMBER(INDEX($A:$U,ROW(),$D$6)),INDEX($A:$U,ROW(),$D$6),IFERROR(--SUBSTITUTE(SUBSTITUTE(TRIM(INDEX($A:$U,ROW(),$D$6)),",",""),"원",""),0))))</f>
        <v/>
      </c>
      <c r="AA691" s="31">
        <f>IF($Y691="","",TRIM(INDEX($A:$U,ROW(),$E$6)&amp;IF($F$6="",""," "&amp;INDEX($A:$U,ROW(),$F$6))))</f>
        <v/>
      </c>
      <c r="AB691" s="31">
        <f>IF($AA691="","",SUBSTITUTE(SUBSTITUTE(SUBSTITUTE(SUBSTITUTE(SUBSTITUTE(SUBSTITUTE(SUBSTITUTE(SUBSTITUTE(SUBSTITUTE($AA691," ",""),"　",""),"(주)",""),"（주）",""),"㈜",""),"주식회사",""),"(유)",""),"（유）",""),"유한회사",""))</f>
        <v/>
      </c>
      <c r="AC691" s="31">
        <f>IF(OR($Y691="",N($Z691)&lt;=0,$AB691=""),0,IFERROR(LOOKUP(2,1/((거래처별!$AC$8:$AC$307&lt;&gt;"")*ISNUMBER(SEARCH(거래처별!$AC$8:$AC$307,$AB691))),거래처별!$A$8:$A$307),IFERROR(LOOKUP(2,1/((거래처별!$AD$8:$AD$307&lt;&gt;"")*ISNUMBER(SEARCH(거래처별!$AD$8:$AD$307,$AB691))),거래처별!$A$8:$A$307),IFERROR(LOOKUP(2,1/((거래처별!$AE$8:$AE$307&lt;&gt;"")*ISNUMBER(SEARCH(거래처별!$AE$8:$AE$307,$AB691))),거래처별!$A$8:$A$307),0))))</f>
        <v/>
      </c>
      <c r="AD691" s="31">
        <f>IF(AND($Y691&lt;&gt;"",N($Z691)&gt;0,$AC691=0),MAX($AD$7:$AD690)+1,"")</f>
        <v/>
      </c>
      <c r="AE691" s="31">
        <f>IF($Y691="",0,$Y691)</f>
        <v/>
      </c>
    </row>
    <row r="692">
      <c r="W692" s="31">
        <f>IF(OR($B$5="",$C$6="",ROW()&lt;$B$5),"",IF(INDEX($A:$U,ROW(),$C$6)="","",INDEX($A:$U,ROW(),$C$6)))</f>
        <v/>
      </c>
      <c r="X692" s="32">
        <f>IF($W692="","",IF(ISNUMBER($W692),IF($W692&gt;=10000000,IFERROR(DATE(INT($W692/10000),MOD(INT($W692/100),100),MOD($W692,100)),""),INT($W692)),IFERROR(DATE(--LEFT(LEFT(SUBSTITUTE(SUBSTITUTE(SUBSTITUTE(SUBSTITUTE(TRIM($W692),"-",""),".",""),"/","")," ",""),8),4),--MID(LEFT(SUBSTITUTE(SUBSTITUTE(SUBSTITUTE(SUBSTITUTE(TRIM($W692),"-",""),".",""),"/","")," ",""),8),5,2),--MID(LEFT(SUBSTITUTE(SUBSTITUTE(SUBSTITUTE(SUBSTITUTE(TRIM($W692),"-",""),".",""),"/","")," ",""),8),7,2)),"")))</f>
        <v/>
      </c>
      <c r="Y692" s="32">
        <f>IF($X692="","",INT($X692))</f>
        <v/>
      </c>
      <c r="Z692" s="33">
        <f>IF(OR($Y692="",$D$6=""),"",IF(INDEX($A:$U,ROW(),$D$6)="",0,IF(ISNUMBER(INDEX($A:$U,ROW(),$D$6)),INDEX($A:$U,ROW(),$D$6),IFERROR(--SUBSTITUTE(SUBSTITUTE(TRIM(INDEX($A:$U,ROW(),$D$6)),",",""),"원",""),0))))</f>
        <v/>
      </c>
      <c r="AA692" s="31">
        <f>IF($Y692="","",TRIM(INDEX($A:$U,ROW(),$E$6)&amp;IF($F$6="",""," "&amp;INDEX($A:$U,ROW(),$F$6))))</f>
        <v/>
      </c>
      <c r="AB692" s="31">
        <f>IF($AA692="","",SUBSTITUTE(SUBSTITUTE(SUBSTITUTE(SUBSTITUTE(SUBSTITUTE(SUBSTITUTE(SUBSTITUTE(SUBSTITUTE(SUBSTITUTE($AA692," ",""),"　",""),"(주)",""),"（주）",""),"㈜",""),"주식회사",""),"(유)",""),"（유）",""),"유한회사",""))</f>
        <v/>
      </c>
      <c r="AC692" s="31">
        <f>IF(OR($Y692="",N($Z692)&lt;=0,$AB692=""),0,IFERROR(LOOKUP(2,1/((거래처별!$AC$8:$AC$307&lt;&gt;"")*ISNUMBER(SEARCH(거래처별!$AC$8:$AC$307,$AB692))),거래처별!$A$8:$A$307),IFERROR(LOOKUP(2,1/((거래처별!$AD$8:$AD$307&lt;&gt;"")*ISNUMBER(SEARCH(거래처별!$AD$8:$AD$307,$AB692))),거래처별!$A$8:$A$307),IFERROR(LOOKUP(2,1/((거래처별!$AE$8:$AE$307&lt;&gt;"")*ISNUMBER(SEARCH(거래처별!$AE$8:$AE$307,$AB692))),거래처별!$A$8:$A$307),0))))</f>
        <v/>
      </c>
      <c r="AD692" s="31">
        <f>IF(AND($Y692&lt;&gt;"",N($Z692)&gt;0,$AC692=0),MAX($AD$7:$AD691)+1,"")</f>
        <v/>
      </c>
      <c r="AE692" s="31">
        <f>IF($Y692="",0,$Y692)</f>
        <v/>
      </c>
    </row>
    <row r="693">
      <c r="W693" s="31">
        <f>IF(OR($B$5="",$C$6="",ROW()&lt;$B$5),"",IF(INDEX($A:$U,ROW(),$C$6)="","",INDEX($A:$U,ROW(),$C$6)))</f>
        <v/>
      </c>
      <c r="X693" s="32">
        <f>IF($W693="","",IF(ISNUMBER($W693),IF($W693&gt;=10000000,IFERROR(DATE(INT($W693/10000),MOD(INT($W693/100),100),MOD($W693,100)),""),INT($W693)),IFERROR(DATE(--LEFT(LEFT(SUBSTITUTE(SUBSTITUTE(SUBSTITUTE(SUBSTITUTE(TRIM($W693),"-",""),".",""),"/","")," ",""),8),4),--MID(LEFT(SUBSTITUTE(SUBSTITUTE(SUBSTITUTE(SUBSTITUTE(TRIM($W693),"-",""),".",""),"/","")," ",""),8),5,2),--MID(LEFT(SUBSTITUTE(SUBSTITUTE(SUBSTITUTE(SUBSTITUTE(TRIM($W693),"-",""),".",""),"/","")," ",""),8),7,2)),"")))</f>
        <v/>
      </c>
      <c r="Y693" s="32">
        <f>IF($X693="","",INT($X693))</f>
        <v/>
      </c>
      <c r="Z693" s="33">
        <f>IF(OR($Y693="",$D$6=""),"",IF(INDEX($A:$U,ROW(),$D$6)="",0,IF(ISNUMBER(INDEX($A:$U,ROW(),$D$6)),INDEX($A:$U,ROW(),$D$6),IFERROR(--SUBSTITUTE(SUBSTITUTE(TRIM(INDEX($A:$U,ROW(),$D$6)),",",""),"원",""),0))))</f>
        <v/>
      </c>
      <c r="AA693" s="31">
        <f>IF($Y693="","",TRIM(INDEX($A:$U,ROW(),$E$6)&amp;IF($F$6="",""," "&amp;INDEX($A:$U,ROW(),$F$6))))</f>
        <v/>
      </c>
      <c r="AB693" s="31">
        <f>IF($AA693="","",SUBSTITUTE(SUBSTITUTE(SUBSTITUTE(SUBSTITUTE(SUBSTITUTE(SUBSTITUTE(SUBSTITUTE(SUBSTITUTE(SUBSTITUTE($AA693," ",""),"　",""),"(주)",""),"（주）",""),"㈜",""),"주식회사",""),"(유)",""),"（유）",""),"유한회사",""))</f>
        <v/>
      </c>
      <c r="AC693" s="31">
        <f>IF(OR($Y693="",N($Z693)&lt;=0,$AB693=""),0,IFERROR(LOOKUP(2,1/((거래처별!$AC$8:$AC$307&lt;&gt;"")*ISNUMBER(SEARCH(거래처별!$AC$8:$AC$307,$AB693))),거래처별!$A$8:$A$307),IFERROR(LOOKUP(2,1/((거래처별!$AD$8:$AD$307&lt;&gt;"")*ISNUMBER(SEARCH(거래처별!$AD$8:$AD$307,$AB693))),거래처별!$A$8:$A$307),IFERROR(LOOKUP(2,1/((거래처별!$AE$8:$AE$307&lt;&gt;"")*ISNUMBER(SEARCH(거래처별!$AE$8:$AE$307,$AB693))),거래처별!$A$8:$A$307),0))))</f>
        <v/>
      </c>
      <c r="AD693" s="31">
        <f>IF(AND($Y693&lt;&gt;"",N($Z693)&gt;0,$AC693=0),MAX($AD$7:$AD692)+1,"")</f>
        <v/>
      </c>
      <c r="AE693" s="31">
        <f>IF($Y693="",0,$Y693)</f>
        <v/>
      </c>
    </row>
    <row r="694">
      <c r="W694" s="31">
        <f>IF(OR($B$5="",$C$6="",ROW()&lt;$B$5),"",IF(INDEX($A:$U,ROW(),$C$6)="","",INDEX($A:$U,ROW(),$C$6)))</f>
        <v/>
      </c>
      <c r="X694" s="32">
        <f>IF($W694="","",IF(ISNUMBER($W694),IF($W694&gt;=10000000,IFERROR(DATE(INT($W694/10000),MOD(INT($W694/100),100),MOD($W694,100)),""),INT($W694)),IFERROR(DATE(--LEFT(LEFT(SUBSTITUTE(SUBSTITUTE(SUBSTITUTE(SUBSTITUTE(TRIM($W694),"-",""),".",""),"/","")," ",""),8),4),--MID(LEFT(SUBSTITUTE(SUBSTITUTE(SUBSTITUTE(SUBSTITUTE(TRIM($W694),"-",""),".",""),"/","")," ",""),8),5,2),--MID(LEFT(SUBSTITUTE(SUBSTITUTE(SUBSTITUTE(SUBSTITUTE(TRIM($W694),"-",""),".",""),"/","")," ",""),8),7,2)),"")))</f>
        <v/>
      </c>
      <c r="Y694" s="32">
        <f>IF($X694="","",INT($X694))</f>
        <v/>
      </c>
      <c r="Z694" s="33">
        <f>IF(OR($Y694="",$D$6=""),"",IF(INDEX($A:$U,ROW(),$D$6)="",0,IF(ISNUMBER(INDEX($A:$U,ROW(),$D$6)),INDEX($A:$U,ROW(),$D$6),IFERROR(--SUBSTITUTE(SUBSTITUTE(TRIM(INDEX($A:$U,ROW(),$D$6)),",",""),"원",""),0))))</f>
        <v/>
      </c>
      <c r="AA694" s="31">
        <f>IF($Y694="","",TRIM(INDEX($A:$U,ROW(),$E$6)&amp;IF($F$6="",""," "&amp;INDEX($A:$U,ROW(),$F$6))))</f>
        <v/>
      </c>
      <c r="AB694" s="31">
        <f>IF($AA694="","",SUBSTITUTE(SUBSTITUTE(SUBSTITUTE(SUBSTITUTE(SUBSTITUTE(SUBSTITUTE(SUBSTITUTE(SUBSTITUTE(SUBSTITUTE($AA694," ",""),"　",""),"(주)",""),"（주）",""),"㈜",""),"주식회사",""),"(유)",""),"（유）",""),"유한회사",""))</f>
        <v/>
      </c>
      <c r="AC694" s="31">
        <f>IF(OR($Y694="",N($Z694)&lt;=0,$AB694=""),0,IFERROR(LOOKUP(2,1/((거래처별!$AC$8:$AC$307&lt;&gt;"")*ISNUMBER(SEARCH(거래처별!$AC$8:$AC$307,$AB694))),거래처별!$A$8:$A$307),IFERROR(LOOKUP(2,1/((거래처별!$AD$8:$AD$307&lt;&gt;"")*ISNUMBER(SEARCH(거래처별!$AD$8:$AD$307,$AB694))),거래처별!$A$8:$A$307),IFERROR(LOOKUP(2,1/((거래처별!$AE$8:$AE$307&lt;&gt;"")*ISNUMBER(SEARCH(거래처별!$AE$8:$AE$307,$AB694))),거래처별!$A$8:$A$307),0))))</f>
        <v/>
      </c>
      <c r="AD694" s="31">
        <f>IF(AND($Y694&lt;&gt;"",N($Z694)&gt;0,$AC694=0),MAX($AD$7:$AD693)+1,"")</f>
        <v/>
      </c>
      <c r="AE694" s="31">
        <f>IF($Y694="",0,$Y694)</f>
        <v/>
      </c>
    </row>
    <row r="695">
      <c r="W695" s="31">
        <f>IF(OR($B$5="",$C$6="",ROW()&lt;$B$5),"",IF(INDEX($A:$U,ROW(),$C$6)="","",INDEX($A:$U,ROW(),$C$6)))</f>
        <v/>
      </c>
      <c r="X695" s="32">
        <f>IF($W695="","",IF(ISNUMBER($W695),IF($W695&gt;=10000000,IFERROR(DATE(INT($W695/10000),MOD(INT($W695/100),100),MOD($W695,100)),""),INT($W695)),IFERROR(DATE(--LEFT(LEFT(SUBSTITUTE(SUBSTITUTE(SUBSTITUTE(SUBSTITUTE(TRIM($W695),"-",""),".",""),"/","")," ",""),8),4),--MID(LEFT(SUBSTITUTE(SUBSTITUTE(SUBSTITUTE(SUBSTITUTE(TRIM($W695),"-",""),".",""),"/","")," ",""),8),5,2),--MID(LEFT(SUBSTITUTE(SUBSTITUTE(SUBSTITUTE(SUBSTITUTE(TRIM($W695),"-",""),".",""),"/","")," ",""),8),7,2)),"")))</f>
        <v/>
      </c>
      <c r="Y695" s="32">
        <f>IF($X695="","",INT($X695))</f>
        <v/>
      </c>
      <c r="Z695" s="33">
        <f>IF(OR($Y695="",$D$6=""),"",IF(INDEX($A:$U,ROW(),$D$6)="",0,IF(ISNUMBER(INDEX($A:$U,ROW(),$D$6)),INDEX($A:$U,ROW(),$D$6),IFERROR(--SUBSTITUTE(SUBSTITUTE(TRIM(INDEX($A:$U,ROW(),$D$6)),",",""),"원",""),0))))</f>
        <v/>
      </c>
      <c r="AA695" s="31">
        <f>IF($Y695="","",TRIM(INDEX($A:$U,ROW(),$E$6)&amp;IF($F$6="",""," "&amp;INDEX($A:$U,ROW(),$F$6))))</f>
        <v/>
      </c>
      <c r="AB695" s="31">
        <f>IF($AA695="","",SUBSTITUTE(SUBSTITUTE(SUBSTITUTE(SUBSTITUTE(SUBSTITUTE(SUBSTITUTE(SUBSTITUTE(SUBSTITUTE(SUBSTITUTE($AA695," ",""),"　",""),"(주)",""),"（주）",""),"㈜",""),"주식회사",""),"(유)",""),"（유）",""),"유한회사",""))</f>
        <v/>
      </c>
      <c r="AC695" s="31">
        <f>IF(OR($Y695="",N($Z695)&lt;=0,$AB695=""),0,IFERROR(LOOKUP(2,1/((거래처별!$AC$8:$AC$307&lt;&gt;"")*ISNUMBER(SEARCH(거래처별!$AC$8:$AC$307,$AB695))),거래처별!$A$8:$A$307),IFERROR(LOOKUP(2,1/((거래처별!$AD$8:$AD$307&lt;&gt;"")*ISNUMBER(SEARCH(거래처별!$AD$8:$AD$307,$AB695))),거래처별!$A$8:$A$307),IFERROR(LOOKUP(2,1/((거래처별!$AE$8:$AE$307&lt;&gt;"")*ISNUMBER(SEARCH(거래처별!$AE$8:$AE$307,$AB695))),거래처별!$A$8:$A$307),0))))</f>
        <v/>
      </c>
      <c r="AD695" s="31">
        <f>IF(AND($Y695&lt;&gt;"",N($Z695)&gt;0,$AC695=0),MAX($AD$7:$AD694)+1,"")</f>
        <v/>
      </c>
      <c r="AE695" s="31">
        <f>IF($Y695="",0,$Y695)</f>
        <v/>
      </c>
    </row>
    <row r="696">
      <c r="W696" s="31">
        <f>IF(OR($B$5="",$C$6="",ROW()&lt;$B$5),"",IF(INDEX($A:$U,ROW(),$C$6)="","",INDEX($A:$U,ROW(),$C$6)))</f>
        <v/>
      </c>
      <c r="X696" s="32">
        <f>IF($W696="","",IF(ISNUMBER($W696),IF($W696&gt;=10000000,IFERROR(DATE(INT($W696/10000),MOD(INT($W696/100),100),MOD($W696,100)),""),INT($W696)),IFERROR(DATE(--LEFT(LEFT(SUBSTITUTE(SUBSTITUTE(SUBSTITUTE(SUBSTITUTE(TRIM($W696),"-",""),".",""),"/","")," ",""),8),4),--MID(LEFT(SUBSTITUTE(SUBSTITUTE(SUBSTITUTE(SUBSTITUTE(TRIM($W696),"-",""),".",""),"/","")," ",""),8),5,2),--MID(LEFT(SUBSTITUTE(SUBSTITUTE(SUBSTITUTE(SUBSTITUTE(TRIM($W696),"-",""),".",""),"/","")," ",""),8),7,2)),"")))</f>
        <v/>
      </c>
      <c r="Y696" s="32">
        <f>IF($X696="","",INT($X696))</f>
        <v/>
      </c>
      <c r="Z696" s="33">
        <f>IF(OR($Y696="",$D$6=""),"",IF(INDEX($A:$U,ROW(),$D$6)="",0,IF(ISNUMBER(INDEX($A:$U,ROW(),$D$6)),INDEX($A:$U,ROW(),$D$6),IFERROR(--SUBSTITUTE(SUBSTITUTE(TRIM(INDEX($A:$U,ROW(),$D$6)),",",""),"원",""),0))))</f>
        <v/>
      </c>
      <c r="AA696" s="31">
        <f>IF($Y696="","",TRIM(INDEX($A:$U,ROW(),$E$6)&amp;IF($F$6="",""," "&amp;INDEX($A:$U,ROW(),$F$6))))</f>
        <v/>
      </c>
      <c r="AB696" s="31">
        <f>IF($AA696="","",SUBSTITUTE(SUBSTITUTE(SUBSTITUTE(SUBSTITUTE(SUBSTITUTE(SUBSTITUTE(SUBSTITUTE(SUBSTITUTE(SUBSTITUTE($AA696," ",""),"　",""),"(주)",""),"（주）",""),"㈜",""),"주식회사",""),"(유)",""),"（유）",""),"유한회사",""))</f>
        <v/>
      </c>
      <c r="AC696" s="31">
        <f>IF(OR($Y696="",N($Z696)&lt;=0,$AB696=""),0,IFERROR(LOOKUP(2,1/((거래처별!$AC$8:$AC$307&lt;&gt;"")*ISNUMBER(SEARCH(거래처별!$AC$8:$AC$307,$AB696))),거래처별!$A$8:$A$307),IFERROR(LOOKUP(2,1/((거래처별!$AD$8:$AD$307&lt;&gt;"")*ISNUMBER(SEARCH(거래처별!$AD$8:$AD$307,$AB696))),거래처별!$A$8:$A$307),IFERROR(LOOKUP(2,1/((거래처별!$AE$8:$AE$307&lt;&gt;"")*ISNUMBER(SEARCH(거래처별!$AE$8:$AE$307,$AB696))),거래처별!$A$8:$A$307),0))))</f>
        <v/>
      </c>
      <c r="AD696" s="31">
        <f>IF(AND($Y696&lt;&gt;"",N($Z696)&gt;0,$AC696=0),MAX($AD$7:$AD695)+1,"")</f>
        <v/>
      </c>
      <c r="AE696" s="31">
        <f>IF($Y696="",0,$Y696)</f>
        <v/>
      </c>
    </row>
    <row r="697">
      <c r="W697" s="31">
        <f>IF(OR($B$5="",$C$6="",ROW()&lt;$B$5),"",IF(INDEX($A:$U,ROW(),$C$6)="","",INDEX($A:$U,ROW(),$C$6)))</f>
        <v/>
      </c>
      <c r="X697" s="32">
        <f>IF($W697="","",IF(ISNUMBER($W697),IF($W697&gt;=10000000,IFERROR(DATE(INT($W697/10000),MOD(INT($W697/100),100),MOD($W697,100)),""),INT($W697)),IFERROR(DATE(--LEFT(LEFT(SUBSTITUTE(SUBSTITUTE(SUBSTITUTE(SUBSTITUTE(TRIM($W697),"-",""),".",""),"/","")," ",""),8),4),--MID(LEFT(SUBSTITUTE(SUBSTITUTE(SUBSTITUTE(SUBSTITUTE(TRIM($W697),"-",""),".",""),"/","")," ",""),8),5,2),--MID(LEFT(SUBSTITUTE(SUBSTITUTE(SUBSTITUTE(SUBSTITUTE(TRIM($W697),"-",""),".",""),"/","")," ",""),8),7,2)),"")))</f>
        <v/>
      </c>
      <c r="Y697" s="32">
        <f>IF($X697="","",INT($X697))</f>
        <v/>
      </c>
      <c r="Z697" s="33">
        <f>IF(OR($Y697="",$D$6=""),"",IF(INDEX($A:$U,ROW(),$D$6)="",0,IF(ISNUMBER(INDEX($A:$U,ROW(),$D$6)),INDEX($A:$U,ROW(),$D$6),IFERROR(--SUBSTITUTE(SUBSTITUTE(TRIM(INDEX($A:$U,ROW(),$D$6)),",",""),"원",""),0))))</f>
        <v/>
      </c>
      <c r="AA697" s="31">
        <f>IF($Y697="","",TRIM(INDEX($A:$U,ROW(),$E$6)&amp;IF($F$6="",""," "&amp;INDEX($A:$U,ROW(),$F$6))))</f>
        <v/>
      </c>
      <c r="AB697" s="31">
        <f>IF($AA697="","",SUBSTITUTE(SUBSTITUTE(SUBSTITUTE(SUBSTITUTE(SUBSTITUTE(SUBSTITUTE(SUBSTITUTE(SUBSTITUTE(SUBSTITUTE($AA697," ",""),"　",""),"(주)",""),"（주）",""),"㈜",""),"주식회사",""),"(유)",""),"（유）",""),"유한회사",""))</f>
        <v/>
      </c>
      <c r="AC697" s="31">
        <f>IF(OR($Y697="",N($Z697)&lt;=0,$AB697=""),0,IFERROR(LOOKUP(2,1/((거래처별!$AC$8:$AC$307&lt;&gt;"")*ISNUMBER(SEARCH(거래처별!$AC$8:$AC$307,$AB697))),거래처별!$A$8:$A$307),IFERROR(LOOKUP(2,1/((거래처별!$AD$8:$AD$307&lt;&gt;"")*ISNUMBER(SEARCH(거래처별!$AD$8:$AD$307,$AB697))),거래처별!$A$8:$A$307),IFERROR(LOOKUP(2,1/((거래처별!$AE$8:$AE$307&lt;&gt;"")*ISNUMBER(SEARCH(거래처별!$AE$8:$AE$307,$AB697))),거래처별!$A$8:$A$307),0))))</f>
        <v/>
      </c>
      <c r="AD697" s="31">
        <f>IF(AND($Y697&lt;&gt;"",N($Z697)&gt;0,$AC697=0),MAX($AD$7:$AD696)+1,"")</f>
        <v/>
      </c>
      <c r="AE697" s="31">
        <f>IF($Y697="",0,$Y697)</f>
        <v/>
      </c>
    </row>
    <row r="698">
      <c r="W698" s="31">
        <f>IF(OR($B$5="",$C$6="",ROW()&lt;$B$5),"",IF(INDEX($A:$U,ROW(),$C$6)="","",INDEX($A:$U,ROW(),$C$6)))</f>
        <v/>
      </c>
      <c r="X698" s="32">
        <f>IF($W698="","",IF(ISNUMBER($W698),IF($W698&gt;=10000000,IFERROR(DATE(INT($W698/10000),MOD(INT($W698/100),100),MOD($W698,100)),""),INT($W698)),IFERROR(DATE(--LEFT(LEFT(SUBSTITUTE(SUBSTITUTE(SUBSTITUTE(SUBSTITUTE(TRIM($W698),"-",""),".",""),"/","")," ",""),8),4),--MID(LEFT(SUBSTITUTE(SUBSTITUTE(SUBSTITUTE(SUBSTITUTE(TRIM($W698),"-",""),".",""),"/","")," ",""),8),5,2),--MID(LEFT(SUBSTITUTE(SUBSTITUTE(SUBSTITUTE(SUBSTITUTE(TRIM($W698),"-",""),".",""),"/","")," ",""),8),7,2)),"")))</f>
        <v/>
      </c>
      <c r="Y698" s="32">
        <f>IF($X698="","",INT($X698))</f>
        <v/>
      </c>
      <c r="Z698" s="33">
        <f>IF(OR($Y698="",$D$6=""),"",IF(INDEX($A:$U,ROW(),$D$6)="",0,IF(ISNUMBER(INDEX($A:$U,ROW(),$D$6)),INDEX($A:$U,ROW(),$D$6),IFERROR(--SUBSTITUTE(SUBSTITUTE(TRIM(INDEX($A:$U,ROW(),$D$6)),",",""),"원",""),0))))</f>
        <v/>
      </c>
      <c r="AA698" s="31">
        <f>IF($Y698="","",TRIM(INDEX($A:$U,ROW(),$E$6)&amp;IF($F$6="",""," "&amp;INDEX($A:$U,ROW(),$F$6))))</f>
        <v/>
      </c>
      <c r="AB698" s="31">
        <f>IF($AA698="","",SUBSTITUTE(SUBSTITUTE(SUBSTITUTE(SUBSTITUTE(SUBSTITUTE(SUBSTITUTE(SUBSTITUTE(SUBSTITUTE(SUBSTITUTE($AA698," ",""),"　",""),"(주)",""),"（주）",""),"㈜",""),"주식회사",""),"(유)",""),"（유）",""),"유한회사",""))</f>
        <v/>
      </c>
      <c r="AC698" s="31">
        <f>IF(OR($Y698="",N($Z698)&lt;=0,$AB698=""),0,IFERROR(LOOKUP(2,1/((거래처별!$AC$8:$AC$307&lt;&gt;"")*ISNUMBER(SEARCH(거래처별!$AC$8:$AC$307,$AB698))),거래처별!$A$8:$A$307),IFERROR(LOOKUP(2,1/((거래처별!$AD$8:$AD$307&lt;&gt;"")*ISNUMBER(SEARCH(거래처별!$AD$8:$AD$307,$AB698))),거래처별!$A$8:$A$307),IFERROR(LOOKUP(2,1/((거래처별!$AE$8:$AE$307&lt;&gt;"")*ISNUMBER(SEARCH(거래처별!$AE$8:$AE$307,$AB698))),거래처별!$A$8:$A$307),0))))</f>
        <v/>
      </c>
      <c r="AD698" s="31">
        <f>IF(AND($Y698&lt;&gt;"",N($Z698)&gt;0,$AC698=0),MAX($AD$7:$AD697)+1,"")</f>
        <v/>
      </c>
      <c r="AE698" s="31">
        <f>IF($Y698="",0,$Y698)</f>
        <v/>
      </c>
    </row>
    <row r="699">
      <c r="W699" s="31">
        <f>IF(OR($B$5="",$C$6="",ROW()&lt;$B$5),"",IF(INDEX($A:$U,ROW(),$C$6)="","",INDEX($A:$U,ROW(),$C$6)))</f>
        <v/>
      </c>
      <c r="X699" s="32">
        <f>IF($W699="","",IF(ISNUMBER($W699),IF($W699&gt;=10000000,IFERROR(DATE(INT($W699/10000),MOD(INT($W699/100),100),MOD($W699,100)),""),INT($W699)),IFERROR(DATE(--LEFT(LEFT(SUBSTITUTE(SUBSTITUTE(SUBSTITUTE(SUBSTITUTE(TRIM($W699),"-",""),".",""),"/","")," ",""),8),4),--MID(LEFT(SUBSTITUTE(SUBSTITUTE(SUBSTITUTE(SUBSTITUTE(TRIM($W699),"-",""),".",""),"/","")," ",""),8),5,2),--MID(LEFT(SUBSTITUTE(SUBSTITUTE(SUBSTITUTE(SUBSTITUTE(TRIM($W699),"-",""),".",""),"/","")," ",""),8),7,2)),"")))</f>
        <v/>
      </c>
      <c r="Y699" s="32">
        <f>IF($X699="","",INT($X699))</f>
        <v/>
      </c>
      <c r="Z699" s="33">
        <f>IF(OR($Y699="",$D$6=""),"",IF(INDEX($A:$U,ROW(),$D$6)="",0,IF(ISNUMBER(INDEX($A:$U,ROW(),$D$6)),INDEX($A:$U,ROW(),$D$6),IFERROR(--SUBSTITUTE(SUBSTITUTE(TRIM(INDEX($A:$U,ROW(),$D$6)),",",""),"원",""),0))))</f>
        <v/>
      </c>
      <c r="AA699" s="31">
        <f>IF($Y699="","",TRIM(INDEX($A:$U,ROW(),$E$6)&amp;IF($F$6="",""," "&amp;INDEX($A:$U,ROW(),$F$6))))</f>
        <v/>
      </c>
      <c r="AB699" s="31">
        <f>IF($AA699="","",SUBSTITUTE(SUBSTITUTE(SUBSTITUTE(SUBSTITUTE(SUBSTITUTE(SUBSTITUTE(SUBSTITUTE(SUBSTITUTE(SUBSTITUTE($AA699," ",""),"　",""),"(주)",""),"（주）",""),"㈜",""),"주식회사",""),"(유)",""),"（유）",""),"유한회사",""))</f>
        <v/>
      </c>
      <c r="AC699" s="31">
        <f>IF(OR($Y699="",N($Z699)&lt;=0,$AB699=""),0,IFERROR(LOOKUP(2,1/((거래처별!$AC$8:$AC$307&lt;&gt;"")*ISNUMBER(SEARCH(거래처별!$AC$8:$AC$307,$AB699))),거래처별!$A$8:$A$307),IFERROR(LOOKUP(2,1/((거래처별!$AD$8:$AD$307&lt;&gt;"")*ISNUMBER(SEARCH(거래처별!$AD$8:$AD$307,$AB699))),거래처별!$A$8:$A$307),IFERROR(LOOKUP(2,1/((거래처별!$AE$8:$AE$307&lt;&gt;"")*ISNUMBER(SEARCH(거래처별!$AE$8:$AE$307,$AB699))),거래처별!$A$8:$A$307),0))))</f>
        <v/>
      </c>
      <c r="AD699" s="31">
        <f>IF(AND($Y699&lt;&gt;"",N($Z699)&gt;0,$AC699=0),MAX($AD$7:$AD698)+1,"")</f>
        <v/>
      </c>
      <c r="AE699" s="31">
        <f>IF($Y699="",0,$Y699)</f>
        <v/>
      </c>
    </row>
    <row r="700">
      <c r="W700" s="31">
        <f>IF(OR($B$5="",$C$6="",ROW()&lt;$B$5),"",IF(INDEX($A:$U,ROW(),$C$6)="","",INDEX($A:$U,ROW(),$C$6)))</f>
        <v/>
      </c>
      <c r="X700" s="32">
        <f>IF($W700="","",IF(ISNUMBER($W700),IF($W700&gt;=10000000,IFERROR(DATE(INT($W700/10000),MOD(INT($W700/100),100),MOD($W700,100)),""),INT($W700)),IFERROR(DATE(--LEFT(LEFT(SUBSTITUTE(SUBSTITUTE(SUBSTITUTE(SUBSTITUTE(TRIM($W700),"-",""),".",""),"/","")," ",""),8),4),--MID(LEFT(SUBSTITUTE(SUBSTITUTE(SUBSTITUTE(SUBSTITUTE(TRIM($W700),"-",""),".",""),"/","")," ",""),8),5,2),--MID(LEFT(SUBSTITUTE(SUBSTITUTE(SUBSTITUTE(SUBSTITUTE(TRIM($W700),"-",""),".",""),"/","")," ",""),8),7,2)),"")))</f>
        <v/>
      </c>
      <c r="Y700" s="32">
        <f>IF($X700="","",INT($X700))</f>
        <v/>
      </c>
      <c r="Z700" s="33">
        <f>IF(OR($Y700="",$D$6=""),"",IF(INDEX($A:$U,ROW(),$D$6)="",0,IF(ISNUMBER(INDEX($A:$U,ROW(),$D$6)),INDEX($A:$U,ROW(),$D$6),IFERROR(--SUBSTITUTE(SUBSTITUTE(TRIM(INDEX($A:$U,ROW(),$D$6)),",",""),"원",""),0))))</f>
        <v/>
      </c>
      <c r="AA700" s="31">
        <f>IF($Y700="","",TRIM(INDEX($A:$U,ROW(),$E$6)&amp;IF($F$6="",""," "&amp;INDEX($A:$U,ROW(),$F$6))))</f>
        <v/>
      </c>
      <c r="AB700" s="31">
        <f>IF($AA700="","",SUBSTITUTE(SUBSTITUTE(SUBSTITUTE(SUBSTITUTE(SUBSTITUTE(SUBSTITUTE(SUBSTITUTE(SUBSTITUTE(SUBSTITUTE($AA700," ",""),"　",""),"(주)",""),"（주）",""),"㈜",""),"주식회사",""),"(유)",""),"（유）",""),"유한회사",""))</f>
        <v/>
      </c>
      <c r="AC700" s="31">
        <f>IF(OR($Y700="",N($Z700)&lt;=0,$AB700=""),0,IFERROR(LOOKUP(2,1/((거래처별!$AC$8:$AC$307&lt;&gt;"")*ISNUMBER(SEARCH(거래처별!$AC$8:$AC$307,$AB700))),거래처별!$A$8:$A$307),IFERROR(LOOKUP(2,1/((거래처별!$AD$8:$AD$307&lt;&gt;"")*ISNUMBER(SEARCH(거래처별!$AD$8:$AD$307,$AB700))),거래처별!$A$8:$A$307),IFERROR(LOOKUP(2,1/((거래처별!$AE$8:$AE$307&lt;&gt;"")*ISNUMBER(SEARCH(거래처별!$AE$8:$AE$307,$AB700))),거래처별!$A$8:$A$307),0))))</f>
        <v/>
      </c>
      <c r="AD700" s="31">
        <f>IF(AND($Y700&lt;&gt;"",N($Z700)&gt;0,$AC700=0),MAX($AD$7:$AD699)+1,"")</f>
        <v/>
      </c>
      <c r="AE700" s="31">
        <f>IF($Y700="",0,$Y700)</f>
        <v/>
      </c>
    </row>
    <row r="701">
      <c r="W701" s="31">
        <f>IF(OR($B$5="",$C$6="",ROW()&lt;$B$5),"",IF(INDEX($A:$U,ROW(),$C$6)="","",INDEX($A:$U,ROW(),$C$6)))</f>
        <v/>
      </c>
      <c r="X701" s="32">
        <f>IF($W701="","",IF(ISNUMBER($W701),IF($W701&gt;=10000000,IFERROR(DATE(INT($W701/10000),MOD(INT($W701/100),100),MOD($W701,100)),""),INT($W701)),IFERROR(DATE(--LEFT(LEFT(SUBSTITUTE(SUBSTITUTE(SUBSTITUTE(SUBSTITUTE(TRIM($W701),"-",""),".",""),"/","")," ",""),8),4),--MID(LEFT(SUBSTITUTE(SUBSTITUTE(SUBSTITUTE(SUBSTITUTE(TRIM($W701),"-",""),".",""),"/","")," ",""),8),5,2),--MID(LEFT(SUBSTITUTE(SUBSTITUTE(SUBSTITUTE(SUBSTITUTE(TRIM($W701),"-",""),".",""),"/","")," ",""),8),7,2)),"")))</f>
        <v/>
      </c>
      <c r="Y701" s="32">
        <f>IF($X701="","",INT($X701))</f>
        <v/>
      </c>
      <c r="Z701" s="33">
        <f>IF(OR($Y701="",$D$6=""),"",IF(INDEX($A:$U,ROW(),$D$6)="",0,IF(ISNUMBER(INDEX($A:$U,ROW(),$D$6)),INDEX($A:$U,ROW(),$D$6),IFERROR(--SUBSTITUTE(SUBSTITUTE(TRIM(INDEX($A:$U,ROW(),$D$6)),",",""),"원",""),0))))</f>
        <v/>
      </c>
      <c r="AA701" s="31">
        <f>IF($Y701="","",TRIM(INDEX($A:$U,ROW(),$E$6)&amp;IF($F$6="",""," "&amp;INDEX($A:$U,ROW(),$F$6))))</f>
        <v/>
      </c>
      <c r="AB701" s="31">
        <f>IF($AA701="","",SUBSTITUTE(SUBSTITUTE(SUBSTITUTE(SUBSTITUTE(SUBSTITUTE(SUBSTITUTE(SUBSTITUTE(SUBSTITUTE(SUBSTITUTE($AA701," ",""),"　",""),"(주)",""),"（주）",""),"㈜",""),"주식회사",""),"(유)",""),"（유）",""),"유한회사",""))</f>
        <v/>
      </c>
      <c r="AC701" s="31">
        <f>IF(OR($Y701="",N($Z701)&lt;=0,$AB701=""),0,IFERROR(LOOKUP(2,1/((거래처별!$AC$8:$AC$307&lt;&gt;"")*ISNUMBER(SEARCH(거래처별!$AC$8:$AC$307,$AB701))),거래처별!$A$8:$A$307),IFERROR(LOOKUP(2,1/((거래처별!$AD$8:$AD$307&lt;&gt;"")*ISNUMBER(SEARCH(거래처별!$AD$8:$AD$307,$AB701))),거래처별!$A$8:$A$307),IFERROR(LOOKUP(2,1/((거래처별!$AE$8:$AE$307&lt;&gt;"")*ISNUMBER(SEARCH(거래처별!$AE$8:$AE$307,$AB701))),거래처별!$A$8:$A$307),0))))</f>
        <v/>
      </c>
      <c r="AD701" s="31">
        <f>IF(AND($Y701&lt;&gt;"",N($Z701)&gt;0,$AC701=0),MAX($AD$7:$AD700)+1,"")</f>
        <v/>
      </c>
      <c r="AE701" s="31">
        <f>IF($Y701="",0,$Y701)</f>
        <v/>
      </c>
    </row>
    <row r="702">
      <c r="W702" s="31">
        <f>IF(OR($B$5="",$C$6="",ROW()&lt;$B$5),"",IF(INDEX($A:$U,ROW(),$C$6)="","",INDEX($A:$U,ROW(),$C$6)))</f>
        <v/>
      </c>
      <c r="X702" s="32">
        <f>IF($W702="","",IF(ISNUMBER($W702),IF($W702&gt;=10000000,IFERROR(DATE(INT($W702/10000),MOD(INT($W702/100),100),MOD($W702,100)),""),INT($W702)),IFERROR(DATE(--LEFT(LEFT(SUBSTITUTE(SUBSTITUTE(SUBSTITUTE(SUBSTITUTE(TRIM($W702),"-",""),".",""),"/","")," ",""),8),4),--MID(LEFT(SUBSTITUTE(SUBSTITUTE(SUBSTITUTE(SUBSTITUTE(TRIM($W702),"-",""),".",""),"/","")," ",""),8),5,2),--MID(LEFT(SUBSTITUTE(SUBSTITUTE(SUBSTITUTE(SUBSTITUTE(TRIM($W702),"-",""),".",""),"/","")," ",""),8),7,2)),"")))</f>
        <v/>
      </c>
      <c r="Y702" s="32">
        <f>IF($X702="","",INT($X702))</f>
        <v/>
      </c>
      <c r="Z702" s="33">
        <f>IF(OR($Y702="",$D$6=""),"",IF(INDEX($A:$U,ROW(),$D$6)="",0,IF(ISNUMBER(INDEX($A:$U,ROW(),$D$6)),INDEX($A:$U,ROW(),$D$6),IFERROR(--SUBSTITUTE(SUBSTITUTE(TRIM(INDEX($A:$U,ROW(),$D$6)),",",""),"원",""),0))))</f>
        <v/>
      </c>
      <c r="AA702" s="31">
        <f>IF($Y702="","",TRIM(INDEX($A:$U,ROW(),$E$6)&amp;IF($F$6="",""," "&amp;INDEX($A:$U,ROW(),$F$6))))</f>
        <v/>
      </c>
      <c r="AB702" s="31">
        <f>IF($AA702="","",SUBSTITUTE(SUBSTITUTE(SUBSTITUTE(SUBSTITUTE(SUBSTITUTE(SUBSTITUTE(SUBSTITUTE(SUBSTITUTE(SUBSTITUTE($AA702," ",""),"　",""),"(주)",""),"（주）",""),"㈜",""),"주식회사",""),"(유)",""),"（유）",""),"유한회사",""))</f>
        <v/>
      </c>
      <c r="AC702" s="31">
        <f>IF(OR($Y702="",N($Z702)&lt;=0,$AB702=""),0,IFERROR(LOOKUP(2,1/((거래처별!$AC$8:$AC$307&lt;&gt;"")*ISNUMBER(SEARCH(거래처별!$AC$8:$AC$307,$AB702))),거래처별!$A$8:$A$307),IFERROR(LOOKUP(2,1/((거래처별!$AD$8:$AD$307&lt;&gt;"")*ISNUMBER(SEARCH(거래처별!$AD$8:$AD$307,$AB702))),거래처별!$A$8:$A$307),IFERROR(LOOKUP(2,1/((거래처별!$AE$8:$AE$307&lt;&gt;"")*ISNUMBER(SEARCH(거래처별!$AE$8:$AE$307,$AB702))),거래처별!$A$8:$A$307),0))))</f>
        <v/>
      </c>
      <c r="AD702" s="31">
        <f>IF(AND($Y702&lt;&gt;"",N($Z702)&gt;0,$AC702=0),MAX($AD$7:$AD701)+1,"")</f>
        <v/>
      </c>
      <c r="AE702" s="31">
        <f>IF($Y702="",0,$Y702)</f>
        <v/>
      </c>
    </row>
    <row r="703">
      <c r="W703" s="31">
        <f>IF(OR($B$5="",$C$6="",ROW()&lt;$B$5),"",IF(INDEX($A:$U,ROW(),$C$6)="","",INDEX($A:$U,ROW(),$C$6)))</f>
        <v/>
      </c>
      <c r="X703" s="32">
        <f>IF($W703="","",IF(ISNUMBER($W703),IF($W703&gt;=10000000,IFERROR(DATE(INT($W703/10000),MOD(INT($W703/100),100),MOD($W703,100)),""),INT($W703)),IFERROR(DATE(--LEFT(LEFT(SUBSTITUTE(SUBSTITUTE(SUBSTITUTE(SUBSTITUTE(TRIM($W703),"-",""),".",""),"/","")," ",""),8),4),--MID(LEFT(SUBSTITUTE(SUBSTITUTE(SUBSTITUTE(SUBSTITUTE(TRIM($W703),"-",""),".",""),"/","")," ",""),8),5,2),--MID(LEFT(SUBSTITUTE(SUBSTITUTE(SUBSTITUTE(SUBSTITUTE(TRIM($W703),"-",""),".",""),"/","")," ",""),8),7,2)),"")))</f>
        <v/>
      </c>
      <c r="Y703" s="32">
        <f>IF($X703="","",INT($X703))</f>
        <v/>
      </c>
      <c r="Z703" s="33">
        <f>IF(OR($Y703="",$D$6=""),"",IF(INDEX($A:$U,ROW(),$D$6)="",0,IF(ISNUMBER(INDEX($A:$U,ROW(),$D$6)),INDEX($A:$U,ROW(),$D$6),IFERROR(--SUBSTITUTE(SUBSTITUTE(TRIM(INDEX($A:$U,ROW(),$D$6)),",",""),"원",""),0))))</f>
        <v/>
      </c>
      <c r="AA703" s="31">
        <f>IF($Y703="","",TRIM(INDEX($A:$U,ROW(),$E$6)&amp;IF($F$6="",""," "&amp;INDEX($A:$U,ROW(),$F$6))))</f>
        <v/>
      </c>
      <c r="AB703" s="31">
        <f>IF($AA703="","",SUBSTITUTE(SUBSTITUTE(SUBSTITUTE(SUBSTITUTE(SUBSTITUTE(SUBSTITUTE(SUBSTITUTE(SUBSTITUTE(SUBSTITUTE($AA703," ",""),"　",""),"(주)",""),"（주）",""),"㈜",""),"주식회사",""),"(유)",""),"（유）",""),"유한회사",""))</f>
        <v/>
      </c>
      <c r="AC703" s="31">
        <f>IF(OR($Y703="",N($Z703)&lt;=0,$AB703=""),0,IFERROR(LOOKUP(2,1/((거래처별!$AC$8:$AC$307&lt;&gt;"")*ISNUMBER(SEARCH(거래처별!$AC$8:$AC$307,$AB703))),거래처별!$A$8:$A$307),IFERROR(LOOKUP(2,1/((거래처별!$AD$8:$AD$307&lt;&gt;"")*ISNUMBER(SEARCH(거래처별!$AD$8:$AD$307,$AB703))),거래처별!$A$8:$A$307),IFERROR(LOOKUP(2,1/((거래처별!$AE$8:$AE$307&lt;&gt;"")*ISNUMBER(SEARCH(거래처별!$AE$8:$AE$307,$AB703))),거래처별!$A$8:$A$307),0))))</f>
        <v/>
      </c>
      <c r="AD703" s="31">
        <f>IF(AND($Y703&lt;&gt;"",N($Z703)&gt;0,$AC703=0),MAX($AD$7:$AD702)+1,"")</f>
        <v/>
      </c>
      <c r="AE703" s="31">
        <f>IF($Y703="",0,$Y703)</f>
        <v/>
      </c>
    </row>
    <row r="704">
      <c r="W704" s="31">
        <f>IF(OR($B$5="",$C$6="",ROW()&lt;$B$5),"",IF(INDEX($A:$U,ROW(),$C$6)="","",INDEX($A:$U,ROW(),$C$6)))</f>
        <v/>
      </c>
      <c r="X704" s="32">
        <f>IF($W704="","",IF(ISNUMBER($W704),IF($W704&gt;=10000000,IFERROR(DATE(INT($W704/10000),MOD(INT($W704/100),100),MOD($W704,100)),""),INT($W704)),IFERROR(DATE(--LEFT(LEFT(SUBSTITUTE(SUBSTITUTE(SUBSTITUTE(SUBSTITUTE(TRIM($W704),"-",""),".",""),"/","")," ",""),8),4),--MID(LEFT(SUBSTITUTE(SUBSTITUTE(SUBSTITUTE(SUBSTITUTE(TRIM($W704),"-",""),".",""),"/","")," ",""),8),5,2),--MID(LEFT(SUBSTITUTE(SUBSTITUTE(SUBSTITUTE(SUBSTITUTE(TRIM($W704),"-",""),".",""),"/","")," ",""),8),7,2)),"")))</f>
        <v/>
      </c>
      <c r="Y704" s="32">
        <f>IF($X704="","",INT($X704))</f>
        <v/>
      </c>
      <c r="Z704" s="33">
        <f>IF(OR($Y704="",$D$6=""),"",IF(INDEX($A:$U,ROW(),$D$6)="",0,IF(ISNUMBER(INDEX($A:$U,ROW(),$D$6)),INDEX($A:$U,ROW(),$D$6),IFERROR(--SUBSTITUTE(SUBSTITUTE(TRIM(INDEX($A:$U,ROW(),$D$6)),",",""),"원",""),0))))</f>
        <v/>
      </c>
      <c r="AA704" s="31">
        <f>IF($Y704="","",TRIM(INDEX($A:$U,ROW(),$E$6)&amp;IF($F$6="",""," "&amp;INDEX($A:$U,ROW(),$F$6))))</f>
        <v/>
      </c>
      <c r="AB704" s="31">
        <f>IF($AA704="","",SUBSTITUTE(SUBSTITUTE(SUBSTITUTE(SUBSTITUTE(SUBSTITUTE(SUBSTITUTE(SUBSTITUTE(SUBSTITUTE(SUBSTITUTE($AA704," ",""),"　",""),"(주)",""),"（주）",""),"㈜",""),"주식회사",""),"(유)",""),"（유）",""),"유한회사",""))</f>
        <v/>
      </c>
      <c r="AC704" s="31">
        <f>IF(OR($Y704="",N($Z704)&lt;=0,$AB704=""),0,IFERROR(LOOKUP(2,1/((거래처별!$AC$8:$AC$307&lt;&gt;"")*ISNUMBER(SEARCH(거래처별!$AC$8:$AC$307,$AB704))),거래처별!$A$8:$A$307),IFERROR(LOOKUP(2,1/((거래처별!$AD$8:$AD$307&lt;&gt;"")*ISNUMBER(SEARCH(거래처별!$AD$8:$AD$307,$AB704))),거래처별!$A$8:$A$307),IFERROR(LOOKUP(2,1/((거래처별!$AE$8:$AE$307&lt;&gt;"")*ISNUMBER(SEARCH(거래처별!$AE$8:$AE$307,$AB704))),거래처별!$A$8:$A$307),0))))</f>
        <v/>
      </c>
      <c r="AD704" s="31">
        <f>IF(AND($Y704&lt;&gt;"",N($Z704)&gt;0,$AC704=0),MAX($AD$7:$AD703)+1,"")</f>
        <v/>
      </c>
      <c r="AE704" s="31">
        <f>IF($Y704="",0,$Y704)</f>
        <v/>
      </c>
    </row>
    <row r="705">
      <c r="W705" s="31">
        <f>IF(OR($B$5="",$C$6="",ROW()&lt;$B$5),"",IF(INDEX($A:$U,ROW(),$C$6)="","",INDEX($A:$U,ROW(),$C$6)))</f>
        <v/>
      </c>
      <c r="X705" s="32">
        <f>IF($W705="","",IF(ISNUMBER($W705),IF($W705&gt;=10000000,IFERROR(DATE(INT($W705/10000),MOD(INT($W705/100),100),MOD($W705,100)),""),INT($W705)),IFERROR(DATE(--LEFT(LEFT(SUBSTITUTE(SUBSTITUTE(SUBSTITUTE(SUBSTITUTE(TRIM($W705),"-",""),".",""),"/","")," ",""),8),4),--MID(LEFT(SUBSTITUTE(SUBSTITUTE(SUBSTITUTE(SUBSTITUTE(TRIM($W705),"-",""),".",""),"/","")," ",""),8),5,2),--MID(LEFT(SUBSTITUTE(SUBSTITUTE(SUBSTITUTE(SUBSTITUTE(TRIM($W705),"-",""),".",""),"/","")," ",""),8),7,2)),"")))</f>
        <v/>
      </c>
      <c r="Y705" s="32">
        <f>IF($X705="","",INT($X705))</f>
        <v/>
      </c>
      <c r="Z705" s="33">
        <f>IF(OR($Y705="",$D$6=""),"",IF(INDEX($A:$U,ROW(),$D$6)="",0,IF(ISNUMBER(INDEX($A:$U,ROW(),$D$6)),INDEX($A:$U,ROW(),$D$6),IFERROR(--SUBSTITUTE(SUBSTITUTE(TRIM(INDEX($A:$U,ROW(),$D$6)),",",""),"원",""),0))))</f>
        <v/>
      </c>
      <c r="AA705" s="31">
        <f>IF($Y705="","",TRIM(INDEX($A:$U,ROW(),$E$6)&amp;IF($F$6="",""," "&amp;INDEX($A:$U,ROW(),$F$6))))</f>
        <v/>
      </c>
      <c r="AB705" s="31">
        <f>IF($AA705="","",SUBSTITUTE(SUBSTITUTE(SUBSTITUTE(SUBSTITUTE(SUBSTITUTE(SUBSTITUTE(SUBSTITUTE(SUBSTITUTE(SUBSTITUTE($AA705," ",""),"　",""),"(주)",""),"（주）",""),"㈜",""),"주식회사",""),"(유)",""),"（유）",""),"유한회사",""))</f>
        <v/>
      </c>
      <c r="AC705" s="31">
        <f>IF(OR($Y705="",N($Z705)&lt;=0,$AB705=""),0,IFERROR(LOOKUP(2,1/((거래처별!$AC$8:$AC$307&lt;&gt;"")*ISNUMBER(SEARCH(거래처별!$AC$8:$AC$307,$AB705))),거래처별!$A$8:$A$307),IFERROR(LOOKUP(2,1/((거래처별!$AD$8:$AD$307&lt;&gt;"")*ISNUMBER(SEARCH(거래처별!$AD$8:$AD$307,$AB705))),거래처별!$A$8:$A$307),IFERROR(LOOKUP(2,1/((거래처별!$AE$8:$AE$307&lt;&gt;"")*ISNUMBER(SEARCH(거래처별!$AE$8:$AE$307,$AB705))),거래처별!$A$8:$A$307),0))))</f>
        <v/>
      </c>
      <c r="AD705" s="31">
        <f>IF(AND($Y705&lt;&gt;"",N($Z705)&gt;0,$AC705=0),MAX($AD$7:$AD704)+1,"")</f>
        <v/>
      </c>
      <c r="AE705" s="31">
        <f>IF($Y705="",0,$Y705)</f>
        <v/>
      </c>
    </row>
    <row r="706">
      <c r="W706" s="31">
        <f>IF(OR($B$5="",$C$6="",ROW()&lt;$B$5),"",IF(INDEX($A:$U,ROW(),$C$6)="","",INDEX($A:$U,ROW(),$C$6)))</f>
        <v/>
      </c>
      <c r="X706" s="32">
        <f>IF($W706="","",IF(ISNUMBER($W706),IF($W706&gt;=10000000,IFERROR(DATE(INT($W706/10000),MOD(INT($W706/100),100),MOD($W706,100)),""),INT($W706)),IFERROR(DATE(--LEFT(LEFT(SUBSTITUTE(SUBSTITUTE(SUBSTITUTE(SUBSTITUTE(TRIM($W706),"-",""),".",""),"/","")," ",""),8),4),--MID(LEFT(SUBSTITUTE(SUBSTITUTE(SUBSTITUTE(SUBSTITUTE(TRIM($W706),"-",""),".",""),"/","")," ",""),8),5,2),--MID(LEFT(SUBSTITUTE(SUBSTITUTE(SUBSTITUTE(SUBSTITUTE(TRIM($W706),"-",""),".",""),"/","")," ",""),8),7,2)),"")))</f>
        <v/>
      </c>
      <c r="Y706" s="32">
        <f>IF($X706="","",INT($X706))</f>
        <v/>
      </c>
      <c r="Z706" s="33">
        <f>IF(OR($Y706="",$D$6=""),"",IF(INDEX($A:$U,ROW(),$D$6)="",0,IF(ISNUMBER(INDEX($A:$U,ROW(),$D$6)),INDEX($A:$U,ROW(),$D$6),IFERROR(--SUBSTITUTE(SUBSTITUTE(TRIM(INDEX($A:$U,ROW(),$D$6)),",",""),"원",""),0))))</f>
        <v/>
      </c>
      <c r="AA706" s="31">
        <f>IF($Y706="","",TRIM(INDEX($A:$U,ROW(),$E$6)&amp;IF($F$6="",""," "&amp;INDEX($A:$U,ROW(),$F$6))))</f>
        <v/>
      </c>
      <c r="AB706" s="31">
        <f>IF($AA706="","",SUBSTITUTE(SUBSTITUTE(SUBSTITUTE(SUBSTITUTE(SUBSTITUTE(SUBSTITUTE(SUBSTITUTE(SUBSTITUTE(SUBSTITUTE($AA706," ",""),"　",""),"(주)",""),"（주）",""),"㈜",""),"주식회사",""),"(유)",""),"（유）",""),"유한회사",""))</f>
        <v/>
      </c>
      <c r="AC706" s="31">
        <f>IF(OR($Y706="",N($Z706)&lt;=0,$AB706=""),0,IFERROR(LOOKUP(2,1/((거래처별!$AC$8:$AC$307&lt;&gt;"")*ISNUMBER(SEARCH(거래처별!$AC$8:$AC$307,$AB706))),거래처별!$A$8:$A$307),IFERROR(LOOKUP(2,1/((거래처별!$AD$8:$AD$307&lt;&gt;"")*ISNUMBER(SEARCH(거래처별!$AD$8:$AD$307,$AB706))),거래처별!$A$8:$A$307),IFERROR(LOOKUP(2,1/((거래처별!$AE$8:$AE$307&lt;&gt;"")*ISNUMBER(SEARCH(거래처별!$AE$8:$AE$307,$AB706))),거래처별!$A$8:$A$307),0))))</f>
        <v/>
      </c>
      <c r="AD706" s="31">
        <f>IF(AND($Y706&lt;&gt;"",N($Z706)&gt;0,$AC706=0),MAX($AD$7:$AD705)+1,"")</f>
        <v/>
      </c>
      <c r="AE706" s="31">
        <f>IF($Y706="",0,$Y706)</f>
        <v/>
      </c>
    </row>
    <row r="707">
      <c r="W707" s="31">
        <f>IF(OR($B$5="",$C$6="",ROW()&lt;$B$5),"",IF(INDEX($A:$U,ROW(),$C$6)="","",INDEX($A:$U,ROW(),$C$6)))</f>
        <v/>
      </c>
      <c r="X707" s="32">
        <f>IF($W707="","",IF(ISNUMBER($W707),IF($W707&gt;=10000000,IFERROR(DATE(INT($W707/10000),MOD(INT($W707/100),100),MOD($W707,100)),""),INT($W707)),IFERROR(DATE(--LEFT(LEFT(SUBSTITUTE(SUBSTITUTE(SUBSTITUTE(SUBSTITUTE(TRIM($W707),"-",""),".",""),"/","")," ",""),8),4),--MID(LEFT(SUBSTITUTE(SUBSTITUTE(SUBSTITUTE(SUBSTITUTE(TRIM($W707),"-",""),".",""),"/","")," ",""),8),5,2),--MID(LEFT(SUBSTITUTE(SUBSTITUTE(SUBSTITUTE(SUBSTITUTE(TRIM($W707),"-",""),".",""),"/","")," ",""),8),7,2)),"")))</f>
        <v/>
      </c>
      <c r="Y707" s="32">
        <f>IF($X707="","",INT($X707))</f>
        <v/>
      </c>
      <c r="Z707" s="33">
        <f>IF(OR($Y707="",$D$6=""),"",IF(INDEX($A:$U,ROW(),$D$6)="",0,IF(ISNUMBER(INDEX($A:$U,ROW(),$D$6)),INDEX($A:$U,ROW(),$D$6),IFERROR(--SUBSTITUTE(SUBSTITUTE(TRIM(INDEX($A:$U,ROW(),$D$6)),",",""),"원",""),0))))</f>
        <v/>
      </c>
      <c r="AA707" s="31">
        <f>IF($Y707="","",TRIM(INDEX($A:$U,ROW(),$E$6)&amp;IF($F$6="",""," "&amp;INDEX($A:$U,ROW(),$F$6))))</f>
        <v/>
      </c>
      <c r="AB707" s="31">
        <f>IF($AA707="","",SUBSTITUTE(SUBSTITUTE(SUBSTITUTE(SUBSTITUTE(SUBSTITUTE(SUBSTITUTE(SUBSTITUTE(SUBSTITUTE(SUBSTITUTE($AA707," ",""),"　",""),"(주)",""),"（주）",""),"㈜",""),"주식회사",""),"(유)",""),"（유）",""),"유한회사",""))</f>
        <v/>
      </c>
      <c r="AC707" s="31">
        <f>IF(OR($Y707="",N($Z707)&lt;=0,$AB707=""),0,IFERROR(LOOKUP(2,1/((거래처별!$AC$8:$AC$307&lt;&gt;"")*ISNUMBER(SEARCH(거래처별!$AC$8:$AC$307,$AB707))),거래처별!$A$8:$A$307),IFERROR(LOOKUP(2,1/((거래처별!$AD$8:$AD$307&lt;&gt;"")*ISNUMBER(SEARCH(거래처별!$AD$8:$AD$307,$AB707))),거래처별!$A$8:$A$307),IFERROR(LOOKUP(2,1/((거래처별!$AE$8:$AE$307&lt;&gt;"")*ISNUMBER(SEARCH(거래처별!$AE$8:$AE$307,$AB707))),거래처별!$A$8:$A$307),0))))</f>
        <v/>
      </c>
      <c r="AD707" s="31">
        <f>IF(AND($Y707&lt;&gt;"",N($Z707)&gt;0,$AC707=0),MAX($AD$7:$AD706)+1,"")</f>
        <v/>
      </c>
      <c r="AE707" s="31">
        <f>IF($Y707="",0,$Y707)</f>
        <v/>
      </c>
    </row>
    <row r="708">
      <c r="W708" s="31">
        <f>IF(OR($B$5="",$C$6="",ROW()&lt;$B$5),"",IF(INDEX($A:$U,ROW(),$C$6)="","",INDEX($A:$U,ROW(),$C$6)))</f>
        <v/>
      </c>
      <c r="X708" s="32">
        <f>IF($W708="","",IF(ISNUMBER($W708),IF($W708&gt;=10000000,IFERROR(DATE(INT($W708/10000),MOD(INT($W708/100),100),MOD($W708,100)),""),INT($W708)),IFERROR(DATE(--LEFT(LEFT(SUBSTITUTE(SUBSTITUTE(SUBSTITUTE(SUBSTITUTE(TRIM($W708),"-",""),".",""),"/","")," ",""),8),4),--MID(LEFT(SUBSTITUTE(SUBSTITUTE(SUBSTITUTE(SUBSTITUTE(TRIM($W708),"-",""),".",""),"/","")," ",""),8),5,2),--MID(LEFT(SUBSTITUTE(SUBSTITUTE(SUBSTITUTE(SUBSTITUTE(TRIM($W708),"-",""),".",""),"/","")," ",""),8),7,2)),"")))</f>
        <v/>
      </c>
      <c r="Y708" s="32">
        <f>IF($X708="","",INT($X708))</f>
        <v/>
      </c>
      <c r="Z708" s="33">
        <f>IF(OR($Y708="",$D$6=""),"",IF(INDEX($A:$U,ROW(),$D$6)="",0,IF(ISNUMBER(INDEX($A:$U,ROW(),$D$6)),INDEX($A:$U,ROW(),$D$6),IFERROR(--SUBSTITUTE(SUBSTITUTE(TRIM(INDEX($A:$U,ROW(),$D$6)),",",""),"원",""),0))))</f>
        <v/>
      </c>
      <c r="AA708" s="31">
        <f>IF($Y708="","",TRIM(INDEX($A:$U,ROW(),$E$6)&amp;IF($F$6="",""," "&amp;INDEX($A:$U,ROW(),$F$6))))</f>
        <v/>
      </c>
      <c r="AB708" s="31">
        <f>IF($AA708="","",SUBSTITUTE(SUBSTITUTE(SUBSTITUTE(SUBSTITUTE(SUBSTITUTE(SUBSTITUTE(SUBSTITUTE(SUBSTITUTE(SUBSTITUTE($AA708," ",""),"　",""),"(주)",""),"（주）",""),"㈜",""),"주식회사",""),"(유)",""),"（유）",""),"유한회사",""))</f>
        <v/>
      </c>
      <c r="AC708" s="31">
        <f>IF(OR($Y708="",N($Z708)&lt;=0,$AB708=""),0,IFERROR(LOOKUP(2,1/((거래처별!$AC$8:$AC$307&lt;&gt;"")*ISNUMBER(SEARCH(거래처별!$AC$8:$AC$307,$AB708))),거래처별!$A$8:$A$307),IFERROR(LOOKUP(2,1/((거래처별!$AD$8:$AD$307&lt;&gt;"")*ISNUMBER(SEARCH(거래처별!$AD$8:$AD$307,$AB708))),거래처별!$A$8:$A$307),IFERROR(LOOKUP(2,1/((거래처별!$AE$8:$AE$307&lt;&gt;"")*ISNUMBER(SEARCH(거래처별!$AE$8:$AE$307,$AB708))),거래처별!$A$8:$A$307),0))))</f>
        <v/>
      </c>
      <c r="AD708" s="31">
        <f>IF(AND($Y708&lt;&gt;"",N($Z708)&gt;0,$AC708=0),MAX($AD$7:$AD707)+1,"")</f>
        <v/>
      </c>
      <c r="AE708" s="31">
        <f>IF($Y708="",0,$Y708)</f>
        <v/>
      </c>
    </row>
    <row r="709">
      <c r="W709" s="31">
        <f>IF(OR($B$5="",$C$6="",ROW()&lt;$B$5),"",IF(INDEX($A:$U,ROW(),$C$6)="","",INDEX($A:$U,ROW(),$C$6)))</f>
        <v/>
      </c>
      <c r="X709" s="32">
        <f>IF($W709="","",IF(ISNUMBER($W709),IF($W709&gt;=10000000,IFERROR(DATE(INT($W709/10000),MOD(INT($W709/100),100),MOD($W709,100)),""),INT($W709)),IFERROR(DATE(--LEFT(LEFT(SUBSTITUTE(SUBSTITUTE(SUBSTITUTE(SUBSTITUTE(TRIM($W709),"-",""),".",""),"/","")," ",""),8),4),--MID(LEFT(SUBSTITUTE(SUBSTITUTE(SUBSTITUTE(SUBSTITUTE(TRIM($W709),"-",""),".",""),"/","")," ",""),8),5,2),--MID(LEFT(SUBSTITUTE(SUBSTITUTE(SUBSTITUTE(SUBSTITUTE(TRIM($W709),"-",""),".",""),"/","")," ",""),8),7,2)),"")))</f>
        <v/>
      </c>
      <c r="Y709" s="32">
        <f>IF($X709="","",INT($X709))</f>
        <v/>
      </c>
      <c r="Z709" s="33">
        <f>IF(OR($Y709="",$D$6=""),"",IF(INDEX($A:$U,ROW(),$D$6)="",0,IF(ISNUMBER(INDEX($A:$U,ROW(),$D$6)),INDEX($A:$U,ROW(),$D$6),IFERROR(--SUBSTITUTE(SUBSTITUTE(TRIM(INDEX($A:$U,ROW(),$D$6)),",",""),"원",""),0))))</f>
        <v/>
      </c>
      <c r="AA709" s="31">
        <f>IF($Y709="","",TRIM(INDEX($A:$U,ROW(),$E$6)&amp;IF($F$6="",""," "&amp;INDEX($A:$U,ROW(),$F$6))))</f>
        <v/>
      </c>
      <c r="AB709" s="31">
        <f>IF($AA709="","",SUBSTITUTE(SUBSTITUTE(SUBSTITUTE(SUBSTITUTE(SUBSTITUTE(SUBSTITUTE(SUBSTITUTE(SUBSTITUTE(SUBSTITUTE($AA709," ",""),"　",""),"(주)",""),"（주）",""),"㈜",""),"주식회사",""),"(유)",""),"（유）",""),"유한회사",""))</f>
        <v/>
      </c>
      <c r="AC709" s="31">
        <f>IF(OR($Y709="",N($Z709)&lt;=0,$AB709=""),0,IFERROR(LOOKUP(2,1/((거래처별!$AC$8:$AC$307&lt;&gt;"")*ISNUMBER(SEARCH(거래처별!$AC$8:$AC$307,$AB709))),거래처별!$A$8:$A$307),IFERROR(LOOKUP(2,1/((거래처별!$AD$8:$AD$307&lt;&gt;"")*ISNUMBER(SEARCH(거래처별!$AD$8:$AD$307,$AB709))),거래처별!$A$8:$A$307),IFERROR(LOOKUP(2,1/((거래처별!$AE$8:$AE$307&lt;&gt;"")*ISNUMBER(SEARCH(거래처별!$AE$8:$AE$307,$AB709))),거래처별!$A$8:$A$307),0))))</f>
        <v/>
      </c>
      <c r="AD709" s="31">
        <f>IF(AND($Y709&lt;&gt;"",N($Z709)&gt;0,$AC709=0),MAX($AD$7:$AD708)+1,"")</f>
        <v/>
      </c>
      <c r="AE709" s="31">
        <f>IF($Y709="",0,$Y709)</f>
        <v/>
      </c>
    </row>
    <row r="710">
      <c r="W710" s="31">
        <f>IF(OR($B$5="",$C$6="",ROW()&lt;$B$5),"",IF(INDEX($A:$U,ROW(),$C$6)="","",INDEX($A:$U,ROW(),$C$6)))</f>
        <v/>
      </c>
      <c r="X710" s="32">
        <f>IF($W710="","",IF(ISNUMBER($W710),IF($W710&gt;=10000000,IFERROR(DATE(INT($W710/10000),MOD(INT($W710/100),100),MOD($W710,100)),""),INT($W710)),IFERROR(DATE(--LEFT(LEFT(SUBSTITUTE(SUBSTITUTE(SUBSTITUTE(SUBSTITUTE(TRIM($W710),"-",""),".",""),"/","")," ",""),8),4),--MID(LEFT(SUBSTITUTE(SUBSTITUTE(SUBSTITUTE(SUBSTITUTE(TRIM($W710),"-",""),".",""),"/","")," ",""),8),5,2),--MID(LEFT(SUBSTITUTE(SUBSTITUTE(SUBSTITUTE(SUBSTITUTE(TRIM($W710),"-",""),".",""),"/","")," ",""),8),7,2)),"")))</f>
        <v/>
      </c>
      <c r="Y710" s="32">
        <f>IF($X710="","",INT($X710))</f>
        <v/>
      </c>
      <c r="Z710" s="33">
        <f>IF(OR($Y710="",$D$6=""),"",IF(INDEX($A:$U,ROW(),$D$6)="",0,IF(ISNUMBER(INDEX($A:$U,ROW(),$D$6)),INDEX($A:$U,ROW(),$D$6),IFERROR(--SUBSTITUTE(SUBSTITUTE(TRIM(INDEX($A:$U,ROW(),$D$6)),",",""),"원",""),0))))</f>
        <v/>
      </c>
      <c r="AA710" s="31">
        <f>IF($Y710="","",TRIM(INDEX($A:$U,ROW(),$E$6)&amp;IF($F$6="",""," "&amp;INDEX($A:$U,ROW(),$F$6))))</f>
        <v/>
      </c>
      <c r="AB710" s="31">
        <f>IF($AA710="","",SUBSTITUTE(SUBSTITUTE(SUBSTITUTE(SUBSTITUTE(SUBSTITUTE(SUBSTITUTE(SUBSTITUTE(SUBSTITUTE(SUBSTITUTE($AA710," ",""),"　",""),"(주)",""),"（주）",""),"㈜",""),"주식회사",""),"(유)",""),"（유）",""),"유한회사",""))</f>
        <v/>
      </c>
      <c r="AC710" s="31">
        <f>IF(OR($Y710="",N($Z710)&lt;=0,$AB710=""),0,IFERROR(LOOKUP(2,1/((거래처별!$AC$8:$AC$307&lt;&gt;"")*ISNUMBER(SEARCH(거래처별!$AC$8:$AC$307,$AB710))),거래처별!$A$8:$A$307),IFERROR(LOOKUP(2,1/((거래처별!$AD$8:$AD$307&lt;&gt;"")*ISNUMBER(SEARCH(거래처별!$AD$8:$AD$307,$AB710))),거래처별!$A$8:$A$307),IFERROR(LOOKUP(2,1/((거래처별!$AE$8:$AE$307&lt;&gt;"")*ISNUMBER(SEARCH(거래처별!$AE$8:$AE$307,$AB710))),거래처별!$A$8:$A$307),0))))</f>
        <v/>
      </c>
      <c r="AD710" s="31">
        <f>IF(AND($Y710&lt;&gt;"",N($Z710)&gt;0,$AC710=0),MAX($AD$7:$AD709)+1,"")</f>
        <v/>
      </c>
      <c r="AE710" s="31">
        <f>IF($Y710="",0,$Y710)</f>
        <v/>
      </c>
    </row>
    <row r="711">
      <c r="W711" s="31">
        <f>IF(OR($B$5="",$C$6="",ROW()&lt;$B$5),"",IF(INDEX($A:$U,ROW(),$C$6)="","",INDEX($A:$U,ROW(),$C$6)))</f>
        <v/>
      </c>
      <c r="X711" s="32">
        <f>IF($W711="","",IF(ISNUMBER($W711),IF($W711&gt;=10000000,IFERROR(DATE(INT($W711/10000),MOD(INT($W711/100),100),MOD($W711,100)),""),INT($W711)),IFERROR(DATE(--LEFT(LEFT(SUBSTITUTE(SUBSTITUTE(SUBSTITUTE(SUBSTITUTE(TRIM($W711),"-",""),".",""),"/","")," ",""),8),4),--MID(LEFT(SUBSTITUTE(SUBSTITUTE(SUBSTITUTE(SUBSTITUTE(TRIM($W711),"-",""),".",""),"/","")," ",""),8),5,2),--MID(LEFT(SUBSTITUTE(SUBSTITUTE(SUBSTITUTE(SUBSTITUTE(TRIM($W711),"-",""),".",""),"/","")," ",""),8),7,2)),"")))</f>
        <v/>
      </c>
      <c r="Y711" s="32">
        <f>IF($X711="","",INT($X711))</f>
        <v/>
      </c>
      <c r="Z711" s="33">
        <f>IF(OR($Y711="",$D$6=""),"",IF(INDEX($A:$U,ROW(),$D$6)="",0,IF(ISNUMBER(INDEX($A:$U,ROW(),$D$6)),INDEX($A:$U,ROW(),$D$6),IFERROR(--SUBSTITUTE(SUBSTITUTE(TRIM(INDEX($A:$U,ROW(),$D$6)),",",""),"원",""),0))))</f>
        <v/>
      </c>
      <c r="AA711" s="31">
        <f>IF($Y711="","",TRIM(INDEX($A:$U,ROW(),$E$6)&amp;IF($F$6="",""," "&amp;INDEX($A:$U,ROW(),$F$6))))</f>
        <v/>
      </c>
      <c r="AB711" s="31">
        <f>IF($AA711="","",SUBSTITUTE(SUBSTITUTE(SUBSTITUTE(SUBSTITUTE(SUBSTITUTE(SUBSTITUTE(SUBSTITUTE(SUBSTITUTE(SUBSTITUTE($AA711," ",""),"　",""),"(주)",""),"（주）",""),"㈜",""),"주식회사",""),"(유)",""),"（유）",""),"유한회사",""))</f>
        <v/>
      </c>
      <c r="AC711" s="31">
        <f>IF(OR($Y711="",N($Z711)&lt;=0,$AB711=""),0,IFERROR(LOOKUP(2,1/((거래처별!$AC$8:$AC$307&lt;&gt;"")*ISNUMBER(SEARCH(거래처별!$AC$8:$AC$307,$AB711))),거래처별!$A$8:$A$307),IFERROR(LOOKUP(2,1/((거래처별!$AD$8:$AD$307&lt;&gt;"")*ISNUMBER(SEARCH(거래처별!$AD$8:$AD$307,$AB711))),거래처별!$A$8:$A$307),IFERROR(LOOKUP(2,1/((거래처별!$AE$8:$AE$307&lt;&gt;"")*ISNUMBER(SEARCH(거래처별!$AE$8:$AE$307,$AB711))),거래처별!$A$8:$A$307),0))))</f>
        <v/>
      </c>
      <c r="AD711" s="31">
        <f>IF(AND($Y711&lt;&gt;"",N($Z711)&gt;0,$AC711=0),MAX($AD$7:$AD710)+1,"")</f>
        <v/>
      </c>
      <c r="AE711" s="31">
        <f>IF($Y711="",0,$Y711)</f>
        <v/>
      </c>
    </row>
    <row r="712">
      <c r="W712" s="31">
        <f>IF(OR($B$5="",$C$6="",ROW()&lt;$B$5),"",IF(INDEX($A:$U,ROW(),$C$6)="","",INDEX($A:$U,ROW(),$C$6)))</f>
        <v/>
      </c>
      <c r="X712" s="32">
        <f>IF($W712="","",IF(ISNUMBER($W712),IF($W712&gt;=10000000,IFERROR(DATE(INT($W712/10000),MOD(INT($W712/100),100),MOD($W712,100)),""),INT($W712)),IFERROR(DATE(--LEFT(LEFT(SUBSTITUTE(SUBSTITUTE(SUBSTITUTE(SUBSTITUTE(TRIM($W712),"-",""),".",""),"/","")," ",""),8),4),--MID(LEFT(SUBSTITUTE(SUBSTITUTE(SUBSTITUTE(SUBSTITUTE(TRIM($W712),"-",""),".",""),"/","")," ",""),8),5,2),--MID(LEFT(SUBSTITUTE(SUBSTITUTE(SUBSTITUTE(SUBSTITUTE(TRIM($W712),"-",""),".",""),"/","")," ",""),8),7,2)),"")))</f>
        <v/>
      </c>
      <c r="Y712" s="32">
        <f>IF($X712="","",INT($X712))</f>
        <v/>
      </c>
      <c r="Z712" s="33">
        <f>IF(OR($Y712="",$D$6=""),"",IF(INDEX($A:$U,ROW(),$D$6)="",0,IF(ISNUMBER(INDEX($A:$U,ROW(),$D$6)),INDEX($A:$U,ROW(),$D$6),IFERROR(--SUBSTITUTE(SUBSTITUTE(TRIM(INDEX($A:$U,ROW(),$D$6)),",",""),"원",""),0))))</f>
        <v/>
      </c>
      <c r="AA712" s="31">
        <f>IF($Y712="","",TRIM(INDEX($A:$U,ROW(),$E$6)&amp;IF($F$6="",""," "&amp;INDEX($A:$U,ROW(),$F$6))))</f>
        <v/>
      </c>
      <c r="AB712" s="31">
        <f>IF($AA712="","",SUBSTITUTE(SUBSTITUTE(SUBSTITUTE(SUBSTITUTE(SUBSTITUTE(SUBSTITUTE(SUBSTITUTE(SUBSTITUTE(SUBSTITUTE($AA712," ",""),"　",""),"(주)",""),"（주）",""),"㈜",""),"주식회사",""),"(유)",""),"（유）",""),"유한회사",""))</f>
        <v/>
      </c>
      <c r="AC712" s="31">
        <f>IF(OR($Y712="",N($Z712)&lt;=0,$AB712=""),0,IFERROR(LOOKUP(2,1/((거래처별!$AC$8:$AC$307&lt;&gt;"")*ISNUMBER(SEARCH(거래처별!$AC$8:$AC$307,$AB712))),거래처별!$A$8:$A$307),IFERROR(LOOKUP(2,1/((거래처별!$AD$8:$AD$307&lt;&gt;"")*ISNUMBER(SEARCH(거래처별!$AD$8:$AD$307,$AB712))),거래처별!$A$8:$A$307),IFERROR(LOOKUP(2,1/((거래처별!$AE$8:$AE$307&lt;&gt;"")*ISNUMBER(SEARCH(거래처별!$AE$8:$AE$307,$AB712))),거래처별!$A$8:$A$307),0))))</f>
        <v/>
      </c>
      <c r="AD712" s="31">
        <f>IF(AND($Y712&lt;&gt;"",N($Z712)&gt;0,$AC712=0),MAX($AD$7:$AD711)+1,"")</f>
        <v/>
      </c>
      <c r="AE712" s="31">
        <f>IF($Y712="",0,$Y712)</f>
        <v/>
      </c>
    </row>
    <row r="713">
      <c r="W713" s="31">
        <f>IF(OR($B$5="",$C$6="",ROW()&lt;$B$5),"",IF(INDEX($A:$U,ROW(),$C$6)="","",INDEX($A:$U,ROW(),$C$6)))</f>
        <v/>
      </c>
      <c r="X713" s="32">
        <f>IF($W713="","",IF(ISNUMBER($W713),IF($W713&gt;=10000000,IFERROR(DATE(INT($W713/10000),MOD(INT($W713/100),100),MOD($W713,100)),""),INT($W713)),IFERROR(DATE(--LEFT(LEFT(SUBSTITUTE(SUBSTITUTE(SUBSTITUTE(SUBSTITUTE(TRIM($W713),"-",""),".",""),"/","")," ",""),8),4),--MID(LEFT(SUBSTITUTE(SUBSTITUTE(SUBSTITUTE(SUBSTITUTE(TRIM($W713),"-",""),".",""),"/","")," ",""),8),5,2),--MID(LEFT(SUBSTITUTE(SUBSTITUTE(SUBSTITUTE(SUBSTITUTE(TRIM($W713),"-",""),".",""),"/","")," ",""),8),7,2)),"")))</f>
        <v/>
      </c>
      <c r="Y713" s="32">
        <f>IF($X713="","",INT($X713))</f>
        <v/>
      </c>
      <c r="Z713" s="33">
        <f>IF(OR($Y713="",$D$6=""),"",IF(INDEX($A:$U,ROW(),$D$6)="",0,IF(ISNUMBER(INDEX($A:$U,ROW(),$D$6)),INDEX($A:$U,ROW(),$D$6),IFERROR(--SUBSTITUTE(SUBSTITUTE(TRIM(INDEX($A:$U,ROW(),$D$6)),",",""),"원",""),0))))</f>
        <v/>
      </c>
      <c r="AA713" s="31">
        <f>IF($Y713="","",TRIM(INDEX($A:$U,ROW(),$E$6)&amp;IF($F$6="",""," "&amp;INDEX($A:$U,ROW(),$F$6))))</f>
        <v/>
      </c>
      <c r="AB713" s="31">
        <f>IF($AA713="","",SUBSTITUTE(SUBSTITUTE(SUBSTITUTE(SUBSTITUTE(SUBSTITUTE(SUBSTITUTE(SUBSTITUTE(SUBSTITUTE(SUBSTITUTE($AA713," ",""),"　",""),"(주)",""),"（주）",""),"㈜",""),"주식회사",""),"(유)",""),"（유）",""),"유한회사",""))</f>
        <v/>
      </c>
      <c r="AC713" s="31">
        <f>IF(OR($Y713="",N($Z713)&lt;=0,$AB713=""),0,IFERROR(LOOKUP(2,1/((거래처별!$AC$8:$AC$307&lt;&gt;"")*ISNUMBER(SEARCH(거래처별!$AC$8:$AC$307,$AB713))),거래처별!$A$8:$A$307),IFERROR(LOOKUP(2,1/((거래처별!$AD$8:$AD$307&lt;&gt;"")*ISNUMBER(SEARCH(거래처별!$AD$8:$AD$307,$AB713))),거래처별!$A$8:$A$307),IFERROR(LOOKUP(2,1/((거래처별!$AE$8:$AE$307&lt;&gt;"")*ISNUMBER(SEARCH(거래처별!$AE$8:$AE$307,$AB713))),거래처별!$A$8:$A$307),0))))</f>
        <v/>
      </c>
      <c r="AD713" s="31">
        <f>IF(AND($Y713&lt;&gt;"",N($Z713)&gt;0,$AC713=0),MAX($AD$7:$AD712)+1,"")</f>
        <v/>
      </c>
      <c r="AE713" s="31">
        <f>IF($Y713="",0,$Y713)</f>
        <v/>
      </c>
    </row>
    <row r="714">
      <c r="W714" s="31">
        <f>IF(OR($B$5="",$C$6="",ROW()&lt;$B$5),"",IF(INDEX($A:$U,ROW(),$C$6)="","",INDEX($A:$U,ROW(),$C$6)))</f>
        <v/>
      </c>
      <c r="X714" s="32">
        <f>IF($W714="","",IF(ISNUMBER($W714),IF($W714&gt;=10000000,IFERROR(DATE(INT($W714/10000),MOD(INT($W714/100),100),MOD($W714,100)),""),INT($W714)),IFERROR(DATE(--LEFT(LEFT(SUBSTITUTE(SUBSTITUTE(SUBSTITUTE(SUBSTITUTE(TRIM($W714),"-",""),".",""),"/","")," ",""),8),4),--MID(LEFT(SUBSTITUTE(SUBSTITUTE(SUBSTITUTE(SUBSTITUTE(TRIM($W714),"-",""),".",""),"/","")," ",""),8),5,2),--MID(LEFT(SUBSTITUTE(SUBSTITUTE(SUBSTITUTE(SUBSTITUTE(TRIM($W714),"-",""),".",""),"/","")," ",""),8),7,2)),"")))</f>
        <v/>
      </c>
      <c r="Y714" s="32">
        <f>IF($X714="","",INT($X714))</f>
        <v/>
      </c>
      <c r="Z714" s="33">
        <f>IF(OR($Y714="",$D$6=""),"",IF(INDEX($A:$U,ROW(),$D$6)="",0,IF(ISNUMBER(INDEX($A:$U,ROW(),$D$6)),INDEX($A:$U,ROW(),$D$6),IFERROR(--SUBSTITUTE(SUBSTITUTE(TRIM(INDEX($A:$U,ROW(),$D$6)),",",""),"원",""),0))))</f>
        <v/>
      </c>
      <c r="AA714" s="31">
        <f>IF($Y714="","",TRIM(INDEX($A:$U,ROW(),$E$6)&amp;IF($F$6="",""," "&amp;INDEX($A:$U,ROW(),$F$6))))</f>
        <v/>
      </c>
      <c r="AB714" s="31">
        <f>IF($AA714="","",SUBSTITUTE(SUBSTITUTE(SUBSTITUTE(SUBSTITUTE(SUBSTITUTE(SUBSTITUTE(SUBSTITUTE(SUBSTITUTE(SUBSTITUTE($AA714," ",""),"　",""),"(주)",""),"（주）",""),"㈜",""),"주식회사",""),"(유)",""),"（유）",""),"유한회사",""))</f>
        <v/>
      </c>
      <c r="AC714" s="31">
        <f>IF(OR($Y714="",N($Z714)&lt;=0,$AB714=""),0,IFERROR(LOOKUP(2,1/((거래처별!$AC$8:$AC$307&lt;&gt;"")*ISNUMBER(SEARCH(거래처별!$AC$8:$AC$307,$AB714))),거래처별!$A$8:$A$307),IFERROR(LOOKUP(2,1/((거래처별!$AD$8:$AD$307&lt;&gt;"")*ISNUMBER(SEARCH(거래처별!$AD$8:$AD$307,$AB714))),거래처별!$A$8:$A$307),IFERROR(LOOKUP(2,1/((거래처별!$AE$8:$AE$307&lt;&gt;"")*ISNUMBER(SEARCH(거래처별!$AE$8:$AE$307,$AB714))),거래처별!$A$8:$A$307),0))))</f>
        <v/>
      </c>
      <c r="AD714" s="31">
        <f>IF(AND($Y714&lt;&gt;"",N($Z714)&gt;0,$AC714=0),MAX($AD$7:$AD713)+1,"")</f>
        <v/>
      </c>
      <c r="AE714" s="31">
        <f>IF($Y714="",0,$Y714)</f>
        <v/>
      </c>
    </row>
    <row r="715">
      <c r="W715" s="31">
        <f>IF(OR($B$5="",$C$6="",ROW()&lt;$B$5),"",IF(INDEX($A:$U,ROW(),$C$6)="","",INDEX($A:$U,ROW(),$C$6)))</f>
        <v/>
      </c>
      <c r="X715" s="32">
        <f>IF($W715="","",IF(ISNUMBER($W715),IF($W715&gt;=10000000,IFERROR(DATE(INT($W715/10000),MOD(INT($W715/100),100),MOD($W715,100)),""),INT($W715)),IFERROR(DATE(--LEFT(LEFT(SUBSTITUTE(SUBSTITUTE(SUBSTITUTE(SUBSTITUTE(TRIM($W715),"-",""),".",""),"/","")," ",""),8),4),--MID(LEFT(SUBSTITUTE(SUBSTITUTE(SUBSTITUTE(SUBSTITUTE(TRIM($W715),"-",""),".",""),"/","")," ",""),8),5,2),--MID(LEFT(SUBSTITUTE(SUBSTITUTE(SUBSTITUTE(SUBSTITUTE(TRIM($W715),"-",""),".",""),"/","")," ",""),8),7,2)),"")))</f>
        <v/>
      </c>
      <c r="Y715" s="32">
        <f>IF($X715="","",INT($X715))</f>
        <v/>
      </c>
      <c r="Z715" s="33">
        <f>IF(OR($Y715="",$D$6=""),"",IF(INDEX($A:$U,ROW(),$D$6)="",0,IF(ISNUMBER(INDEX($A:$U,ROW(),$D$6)),INDEX($A:$U,ROW(),$D$6),IFERROR(--SUBSTITUTE(SUBSTITUTE(TRIM(INDEX($A:$U,ROW(),$D$6)),",",""),"원",""),0))))</f>
        <v/>
      </c>
      <c r="AA715" s="31">
        <f>IF($Y715="","",TRIM(INDEX($A:$U,ROW(),$E$6)&amp;IF($F$6="",""," "&amp;INDEX($A:$U,ROW(),$F$6))))</f>
        <v/>
      </c>
      <c r="AB715" s="31">
        <f>IF($AA715="","",SUBSTITUTE(SUBSTITUTE(SUBSTITUTE(SUBSTITUTE(SUBSTITUTE(SUBSTITUTE(SUBSTITUTE(SUBSTITUTE(SUBSTITUTE($AA715," ",""),"　",""),"(주)",""),"（주）",""),"㈜",""),"주식회사",""),"(유)",""),"（유）",""),"유한회사",""))</f>
        <v/>
      </c>
      <c r="AC715" s="31">
        <f>IF(OR($Y715="",N($Z715)&lt;=0,$AB715=""),0,IFERROR(LOOKUP(2,1/((거래처별!$AC$8:$AC$307&lt;&gt;"")*ISNUMBER(SEARCH(거래처별!$AC$8:$AC$307,$AB715))),거래처별!$A$8:$A$307),IFERROR(LOOKUP(2,1/((거래처별!$AD$8:$AD$307&lt;&gt;"")*ISNUMBER(SEARCH(거래처별!$AD$8:$AD$307,$AB715))),거래처별!$A$8:$A$307),IFERROR(LOOKUP(2,1/((거래처별!$AE$8:$AE$307&lt;&gt;"")*ISNUMBER(SEARCH(거래처별!$AE$8:$AE$307,$AB715))),거래처별!$A$8:$A$307),0))))</f>
        <v/>
      </c>
      <c r="AD715" s="31">
        <f>IF(AND($Y715&lt;&gt;"",N($Z715)&gt;0,$AC715=0),MAX($AD$7:$AD714)+1,"")</f>
        <v/>
      </c>
      <c r="AE715" s="31">
        <f>IF($Y715="",0,$Y715)</f>
        <v/>
      </c>
    </row>
    <row r="716">
      <c r="W716" s="31">
        <f>IF(OR($B$5="",$C$6="",ROW()&lt;$B$5),"",IF(INDEX($A:$U,ROW(),$C$6)="","",INDEX($A:$U,ROW(),$C$6)))</f>
        <v/>
      </c>
      <c r="X716" s="32">
        <f>IF($W716="","",IF(ISNUMBER($W716),IF($W716&gt;=10000000,IFERROR(DATE(INT($W716/10000),MOD(INT($W716/100),100),MOD($W716,100)),""),INT($W716)),IFERROR(DATE(--LEFT(LEFT(SUBSTITUTE(SUBSTITUTE(SUBSTITUTE(SUBSTITUTE(TRIM($W716),"-",""),".",""),"/","")," ",""),8),4),--MID(LEFT(SUBSTITUTE(SUBSTITUTE(SUBSTITUTE(SUBSTITUTE(TRIM($W716),"-",""),".",""),"/","")," ",""),8),5,2),--MID(LEFT(SUBSTITUTE(SUBSTITUTE(SUBSTITUTE(SUBSTITUTE(TRIM($W716),"-",""),".",""),"/","")," ",""),8),7,2)),"")))</f>
        <v/>
      </c>
      <c r="Y716" s="32">
        <f>IF($X716="","",INT($X716))</f>
        <v/>
      </c>
      <c r="Z716" s="33">
        <f>IF(OR($Y716="",$D$6=""),"",IF(INDEX($A:$U,ROW(),$D$6)="",0,IF(ISNUMBER(INDEX($A:$U,ROW(),$D$6)),INDEX($A:$U,ROW(),$D$6),IFERROR(--SUBSTITUTE(SUBSTITUTE(TRIM(INDEX($A:$U,ROW(),$D$6)),",",""),"원",""),0))))</f>
        <v/>
      </c>
      <c r="AA716" s="31">
        <f>IF($Y716="","",TRIM(INDEX($A:$U,ROW(),$E$6)&amp;IF($F$6="",""," "&amp;INDEX($A:$U,ROW(),$F$6))))</f>
        <v/>
      </c>
      <c r="AB716" s="31">
        <f>IF($AA716="","",SUBSTITUTE(SUBSTITUTE(SUBSTITUTE(SUBSTITUTE(SUBSTITUTE(SUBSTITUTE(SUBSTITUTE(SUBSTITUTE(SUBSTITUTE($AA716," ",""),"　",""),"(주)",""),"（주）",""),"㈜",""),"주식회사",""),"(유)",""),"（유）",""),"유한회사",""))</f>
        <v/>
      </c>
      <c r="AC716" s="31">
        <f>IF(OR($Y716="",N($Z716)&lt;=0,$AB716=""),0,IFERROR(LOOKUP(2,1/((거래처별!$AC$8:$AC$307&lt;&gt;"")*ISNUMBER(SEARCH(거래처별!$AC$8:$AC$307,$AB716))),거래처별!$A$8:$A$307),IFERROR(LOOKUP(2,1/((거래처별!$AD$8:$AD$307&lt;&gt;"")*ISNUMBER(SEARCH(거래처별!$AD$8:$AD$307,$AB716))),거래처별!$A$8:$A$307),IFERROR(LOOKUP(2,1/((거래처별!$AE$8:$AE$307&lt;&gt;"")*ISNUMBER(SEARCH(거래처별!$AE$8:$AE$307,$AB716))),거래처별!$A$8:$A$307),0))))</f>
        <v/>
      </c>
      <c r="AD716" s="31">
        <f>IF(AND($Y716&lt;&gt;"",N($Z716)&gt;0,$AC716=0),MAX($AD$7:$AD715)+1,"")</f>
        <v/>
      </c>
      <c r="AE716" s="31">
        <f>IF($Y716="",0,$Y716)</f>
        <v/>
      </c>
    </row>
    <row r="717">
      <c r="W717" s="31">
        <f>IF(OR($B$5="",$C$6="",ROW()&lt;$B$5),"",IF(INDEX($A:$U,ROW(),$C$6)="","",INDEX($A:$U,ROW(),$C$6)))</f>
        <v/>
      </c>
      <c r="X717" s="32">
        <f>IF($W717="","",IF(ISNUMBER($W717),IF($W717&gt;=10000000,IFERROR(DATE(INT($W717/10000),MOD(INT($W717/100),100),MOD($W717,100)),""),INT($W717)),IFERROR(DATE(--LEFT(LEFT(SUBSTITUTE(SUBSTITUTE(SUBSTITUTE(SUBSTITUTE(TRIM($W717),"-",""),".",""),"/","")," ",""),8),4),--MID(LEFT(SUBSTITUTE(SUBSTITUTE(SUBSTITUTE(SUBSTITUTE(TRIM($W717),"-",""),".",""),"/","")," ",""),8),5,2),--MID(LEFT(SUBSTITUTE(SUBSTITUTE(SUBSTITUTE(SUBSTITUTE(TRIM($W717),"-",""),".",""),"/","")," ",""),8),7,2)),"")))</f>
        <v/>
      </c>
      <c r="Y717" s="32">
        <f>IF($X717="","",INT($X717))</f>
        <v/>
      </c>
      <c r="Z717" s="33">
        <f>IF(OR($Y717="",$D$6=""),"",IF(INDEX($A:$U,ROW(),$D$6)="",0,IF(ISNUMBER(INDEX($A:$U,ROW(),$D$6)),INDEX($A:$U,ROW(),$D$6),IFERROR(--SUBSTITUTE(SUBSTITUTE(TRIM(INDEX($A:$U,ROW(),$D$6)),",",""),"원",""),0))))</f>
        <v/>
      </c>
      <c r="AA717" s="31">
        <f>IF($Y717="","",TRIM(INDEX($A:$U,ROW(),$E$6)&amp;IF($F$6="",""," "&amp;INDEX($A:$U,ROW(),$F$6))))</f>
        <v/>
      </c>
      <c r="AB717" s="31">
        <f>IF($AA717="","",SUBSTITUTE(SUBSTITUTE(SUBSTITUTE(SUBSTITUTE(SUBSTITUTE(SUBSTITUTE(SUBSTITUTE(SUBSTITUTE(SUBSTITUTE($AA717," ",""),"　",""),"(주)",""),"（주）",""),"㈜",""),"주식회사",""),"(유)",""),"（유）",""),"유한회사",""))</f>
        <v/>
      </c>
      <c r="AC717" s="31">
        <f>IF(OR($Y717="",N($Z717)&lt;=0,$AB717=""),0,IFERROR(LOOKUP(2,1/((거래처별!$AC$8:$AC$307&lt;&gt;"")*ISNUMBER(SEARCH(거래처별!$AC$8:$AC$307,$AB717))),거래처별!$A$8:$A$307),IFERROR(LOOKUP(2,1/((거래처별!$AD$8:$AD$307&lt;&gt;"")*ISNUMBER(SEARCH(거래처별!$AD$8:$AD$307,$AB717))),거래처별!$A$8:$A$307),IFERROR(LOOKUP(2,1/((거래처별!$AE$8:$AE$307&lt;&gt;"")*ISNUMBER(SEARCH(거래처별!$AE$8:$AE$307,$AB717))),거래처별!$A$8:$A$307),0))))</f>
        <v/>
      </c>
      <c r="AD717" s="31">
        <f>IF(AND($Y717&lt;&gt;"",N($Z717)&gt;0,$AC717=0),MAX($AD$7:$AD716)+1,"")</f>
        <v/>
      </c>
      <c r="AE717" s="31">
        <f>IF($Y717="",0,$Y717)</f>
        <v/>
      </c>
    </row>
    <row r="718">
      <c r="W718" s="31">
        <f>IF(OR($B$5="",$C$6="",ROW()&lt;$B$5),"",IF(INDEX($A:$U,ROW(),$C$6)="","",INDEX($A:$U,ROW(),$C$6)))</f>
        <v/>
      </c>
      <c r="X718" s="32">
        <f>IF($W718="","",IF(ISNUMBER($W718),IF($W718&gt;=10000000,IFERROR(DATE(INT($W718/10000),MOD(INT($W718/100),100),MOD($W718,100)),""),INT($W718)),IFERROR(DATE(--LEFT(LEFT(SUBSTITUTE(SUBSTITUTE(SUBSTITUTE(SUBSTITUTE(TRIM($W718),"-",""),".",""),"/","")," ",""),8),4),--MID(LEFT(SUBSTITUTE(SUBSTITUTE(SUBSTITUTE(SUBSTITUTE(TRIM($W718),"-",""),".",""),"/","")," ",""),8),5,2),--MID(LEFT(SUBSTITUTE(SUBSTITUTE(SUBSTITUTE(SUBSTITUTE(TRIM($W718),"-",""),".",""),"/","")," ",""),8),7,2)),"")))</f>
        <v/>
      </c>
      <c r="Y718" s="32">
        <f>IF($X718="","",INT($X718))</f>
        <v/>
      </c>
      <c r="Z718" s="33">
        <f>IF(OR($Y718="",$D$6=""),"",IF(INDEX($A:$U,ROW(),$D$6)="",0,IF(ISNUMBER(INDEX($A:$U,ROW(),$D$6)),INDEX($A:$U,ROW(),$D$6),IFERROR(--SUBSTITUTE(SUBSTITUTE(TRIM(INDEX($A:$U,ROW(),$D$6)),",",""),"원",""),0))))</f>
        <v/>
      </c>
      <c r="AA718" s="31">
        <f>IF($Y718="","",TRIM(INDEX($A:$U,ROW(),$E$6)&amp;IF($F$6="",""," "&amp;INDEX($A:$U,ROW(),$F$6))))</f>
        <v/>
      </c>
      <c r="AB718" s="31">
        <f>IF($AA718="","",SUBSTITUTE(SUBSTITUTE(SUBSTITUTE(SUBSTITUTE(SUBSTITUTE(SUBSTITUTE(SUBSTITUTE(SUBSTITUTE(SUBSTITUTE($AA718," ",""),"　",""),"(주)",""),"（주）",""),"㈜",""),"주식회사",""),"(유)",""),"（유）",""),"유한회사",""))</f>
        <v/>
      </c>
      <c r="AC718" s="31">
        <f>IF(OR($Y718="",N($Z718)&lt;=0,$AB718=""),0,IFERROR(LOOKUP(2,1/((거래처별!$AC$8:$AC$307&lt;&gt;"")*ISNUMBER(SEARCH(거래처별!$AC$8:$AC$307,$AB718))),거래처별!$A$8:$A$307),IFERROR(LOOKUP(2,1/((거래처별!$AD$8:$AD$307&lt;&gt;"")*ISNUMBER(SEARCH(거래처별!$AD$8:$AD$307,$AB718))),거래처별!$A$8:$A$307),IFERROR(LOOKUP(2,1/((거래처별!$AE$8:$AE$307&lt;&gt;"")*ISNUMBER(SEARCH(거래처별!$AE$8:$AE$307,$AB718))),거래처별!$A$8:$A$307),0))))</f>
        <v/>
      </c>
      <c r="AD718" s="31">
        <f>IF(AND($Y718&lt;&gt;"",N($Z718)&gt;0,$AC718=0),MAX($AD$7:$AD717)+1,"")</f>
        <v/>
      </c>
      <c r="AE718" s="31">
        <f>IF($Y718="",0,$Y718)</f>
        <v/>
      </c>
    </row>
    <row r="719">
      <c r="W719" s="31">
        <f>IF(OR($B$5="",$C$6="",ROW()&lt;$B$5),"",IF(INDEX($A:$U,ROW(),$C$6)="","",INDEX($A:$U,ROW(),$C$6)))</f>
        <v/>
      </c>
      <c r="X719" s="32">
        <f>IF($W719="","",IF(ISNUMBER($W719),IF($W719&gt;=10000000,IFERROR(DATE(INT($W719/10000),MOD(INT($W719/100),100),MOD($W719,100)),""),INT($W719)),IFERROR(DATE(--LEFT(LEFT(SUBSTITUTE(SUBSTITUTE(SUBSTITUTE(SUBSTITUTE(TRIM($W719),"-",""),".",""),"/","")," ",""),8),4),--MID(LEFT(SUBSTITUTE(SUBSTITUTE(SUBSTITUTE(SUBSTITUTE(TRIM($W719),"-",""),".",""),"/","")," ",""),8),5,2),--MID(LEFT(SUBSTITUTE(SUBSTITUTE(SUBSTITUTE(SUBSTITUTE(TRIM($W719),"-",""),".",""),"/","")," ",""),8),7,2)),"")))</f>
        <v/>
      </c>
      <c r="Y719" s="32">
        <f>IF($X719="","",INT($X719))</f>
        <v/>
      </c>
      <c r="Z719" s="33">
        <f>IF(OR($Y719="",$D$6=""),"",IF(INDEX($A:$U,ROW(),$D$6)="",0,IF(ISNUMBER(INDEX($A:$U,ROW(),$D$6)),INDEX($A:$U,ROW(),$D$6),IFERROR(--SUBSTITUTE(SUBSTITUTE(TRIM(INDEX($A:$U,ROW(),$D$6)),",",""),"원",""),0))))</f>
        <v/>
      </c>
      <c r="AA719" s="31">
        <f>IF($Y719="","",TRIM(INDEX($A:$U,ROW(),$E$6)&amp;IF($F$6="",""," "&amp;INDEX($A:$U,ROW(),$F$6))))</f>
        <v/>
      </c>
      <c r="AB719" s="31">
        <f>IF($AA719="","",SUBSTITUTE(SUBSTITUTE(SUBSTITUTE(SUBSTITUTE(SUBSTITUTE(SUBSTITUTE(SUBSTITUTE(SUBSTITUTE(SUBSTITUTE($AA719," ",""),"　",""),"(주)",""),"（주）",""),"㈜",""),"주식회사",""),"(유)",""),"（유）",""),"유한회사",""))</f>
        <v/>
      </c>
      <c r="AC719" s="31">
        <f>IF(OR($Y719="",N($Z719)&lt;=0,$AB719=""),0,IFERROR(LOOKUP(2,1/((거래처별!$AC$8:$AC$307&lt;&gt;"")*ISNUMBER(SEARCH(거래처별!$AC$8:$AC$307,$AB719))),거래처별!$A$8:$A$307),IFERROR(LOOKUP(2,1/((거래처별!$AD$8:$AD$307&lt;&gt;"")*ISNUMBER(SEARCH(거래처별!$AD$8:$AD$307,$AB719))),거래처별!$A$8:$A$307),IFERROR(LOOKUP(2,1/((거래처별!$AE$8:$AE$307&lt;&gt;"")*ISNUMBER(SEARCH(거래처별!$AE$8:$AE$307,$AB719))),거래처별!$A$8:$A$307),0))))</f>
        <v/>
      </c>
      <c r="AD719" s="31">
        <f>IF(AND($Y719&lt;&gt;"",N($Z719)&gt;0,$AC719=0),MAX($AD$7:$AD718)+1,"")</f>
        <v/>
      </c>
      <c r="AE719" s="31">
        <f>IF($Y719="",0,$Y719)</f>
        <v/>
      </c>
    </row>
    <row r="720">
      <c r="W720" s="31">
        <f>IF(OR($B$5="",$C$6="",ROW()&lt;$B$5),"",IF(INDEX($A:$U,ROW(),$C$6)="","",INDEX($A:$U,ROW(),$C$6)))</f>
        <v/>
      </c>
      <c r="X720" s="32">
        <f>IF($W720="","",IF(ISNUMBER($W720),IF($W720&gt;=10000000,IFERROR(DATE(INT($W720/10000),MOD(INT($W720/100),100),MOD($W720,100)),""),INT($W720)),IFERROR(DATE(--LEFT(LEFT(SUBSTITUTE(SUBSTITUTE(SUBSTITUTE(SUBSTITUTE(TRIM($W720),"-",""),".",""),"/","")," ",""),8),4),--MID(LEFT(SUBSTITUTE(SUBSTITUTE(SUBSTITUTE(SUBSTITUTE(TRIM($W720),"-",""),".",""),"/","")," ",""),8),5,2),--MID(LEFT(SUBSTITUTE(SUBSTITUTE(SUBSTITUTE(SUBSTITUTE(TRIM($W720),"-",""),".",""),"/","")," ",""),8),7,2)),"")))</f>
        <v/>
      </c>
      <c r="Y720" s="32">
        <f>IF($X720="","",INT($X720))</f>
        <v/>
      </c>
      <c r="Z720" s="33">
        <f>IF(OR($Y720="",$D$6=""),"",IF(INDEX($A:$U,ROW(),$D$6)="",0,IF(ISNUMBER(INDEX($A:$U,ROW(),$D$6)),INDEX($A:$U,ROW(),$D$6),IFERROR(--SUBSTITUTE(SUBSTITUTE(TRIM(INDEX($A:$U,ROW(),$D$6)),",",""),"원",""),0))))</f>
        <v/>
      </c>
      <c r="AA720" s="31">
        <f>IF($Y720="","",TRIM(INDEX($A:$U,ROW(),$E$6)&amp;IF($F$6="",""," "&amp;INDEX($A:$U,ROW(),$F$6))))</f>
        <v/>
      </c>
      <c r="AB720" s="31">
        <f>IF($AA720="","",SUBSTITUTE(SUBSTITUTE(SUBSTITUTE(SUBSTITUTE(SUBSTITUTE(SUBSTITUTE(SUBSTITUTE(SUBSTITUTE(SUBSTITUTE($AA720," ",""),"　",""),"(주)",""),"（주）",""),"㈜",""),"주식회사",""),"(유)",""),"（유）",""),"유한회사",""))</f>
        <v/>
      </c>
      <c r="AC720" s="31">
        <f>IF(OR($Y720="",N($Z720)&lt;=0,$AB720=""),0,IFERROR(LOOKUP(2,1/((거래처별!$AC$8:$AC$307&lt;&gt;"")*ISNUMBER(SEARCH(거래처별!$AC$8:$AC$307,$AB720))),거래처별!$A$8:$A$307),IFERROR(LOOKUP(2,1/((거래처별!$AD$8:$AD$307&lt;&gt;"")*ISNUMBER(SEARCH(거래처별!$AD$8:$AD$307,$AB720))),거래처별!$A$8:$A$307),IFERROR(LOOKUP(2,1/((거래처별!$AE$8:$AE$307&lt;&gt;"")*ISNUMBER(SEARCH(거래처별!$AE$8:$AE$307,$AB720))),거래처별!$A$8:$A$307),0))))</f>
        <v/>
      </c>
      <c r="AD720" s="31">
        <f>IF(AND($Y720&lt;&gt;"",N($Z720)&gt;0,$AC720=0),MAX($AD$7:$AD719)+1,"")</f>
        <v/>
      </c>
      <c r="AE720" s="31">
        <f>IF($Y720="",0,$Y720)</f>
        <v/>
      </c>
    </row>
    <row r="721">
      <c r="W721" s="31">
        <f>IF(OR($B$5="",$C$6="",ROW()&lt;$B$5),"",IF(INDEX($A:$U,ROW(),$C$6)="","",INDEX($A:$U,ROW(),$C$6)))</f>
        <v/>
      </c>
      <c r="X721" s="32">
        <f>IF($W721="","",IF(ISNUMBER($W721),IF($W721&gt;=10000000,IFERROR(DATE(INT($W721/10000),MOD(INT($W721/100),100),MOD($W721,100)),""),INT($W721)),IFERROR(DATE(--LEFT(LEFT(SUBSTITUTE(SUBSTITUTE(SUBSTITUTE(SUBSTITUTE(TRIM($W721),"-",""),".",""),"/","")," ",""),8),4),--MID(LEFT(SUBSTITUTE(SUBSTITUTE(SUBSTITUTE(SUBSTITUTE(TRIM($W721),"-",""),".",""),"/","")," ",""),8),5,2),--MID(LEFT(SUBSTITUTE(SUBSTITUTE(SUBSTITUTE(SUBSTITUTE(TRIM($W721),"-",""),".",""),"/","")," ",""),8),7,2)),"")))</f>
        <v/>
      </c>
      <c r="Y721" s="32">
        <f>IF($X721="","",INT($X721))</f>
        <v/>
      </c>
      <c r="Z721" s="33">
        <f>IF(OR($Y721="",$D$6=""),"",IF(INDEX($A:$U,ROW(),$D$6)="",0,IF(ISNUMBER(INDEX($A:$U,ROW(),$D$6)),INDEX($A:$U,ROW(),$D$6),IFERROR(--SUBSTITUTE(SUBSTITUTE(TRIM(INDEX($A:$U,ROW(),$D$6)),",",""),"원",""),0))))</f>
        <v/>
      </c>
      <c r="AA721" s="31">
        <f>IF($Y721="","",TRIM(INDEX($A:$U,ROW(),$E$6)&amp;IF($F$6="",""," "&amp;INDEX($A:$U,ROW(),$F$6))))</f>
        <v/>
      </c>
      <c r="AB721" s="31">
        <f>IF($AA721="","",SUBSTITUTE(SUBSTITUTE(SUBSTITUTE(SUBSTITUTE(SUBSTITUTE(SUBSTITUTE(SUBSTITUTE(SUBSTITUTE(SUBSTITUTE($AA721," ",""),"　",""),"(주)",""),"（주）",""),"㈜",""),"주식회사",""),"(유)",""),"（유）",""),"유한회사",""))</f>
        <v/>
      </c>
      <c r="AC721" s="31">
        <f>IF(OR($Y721="",N($Z721)&lt;=0,$AB721=""),0,IFERROR(LOOKUP(2,1/((거래처별!$AC$8:$AC$307&lt;&gt;"")*ISNUMBER(SEARCH(거래처별!$AC$8:$AC$307,$AB721))),거래처별!$A$8:$A$307),IFERROR(LOOKUP(2,1/((거래처별!$AD$8:$AD$307&lt;&gt;"")*ISNUMBER(SEARCH(거래처별!$AD$8:$AD$307,$AB721))),거래처별!$A$8:$A$307),IFERROR(LOOKUP(2,1/((거래처별!$AE$8:$AE$307&lt;&gt;"")*ISNUMBER(SEARCH(거래처별!$AE$8:$AE$307,$AB721))),거래처별!$A$8:$A$307),0))))</f>
        <v/>
      </c>
      <c r="AD721" s="31">
        <f>IF(AND($Y721&lt;&gt;"",N($Z721)&gt;0,$AC721=0),MAX($AD$7:$AD720)+1,"")</f>
        <v/>
      </c>
      <c r="AE721" s="31">
        <f>IF($Y721="",0,$Y721)</f>
        <v/>
      </c>
    </row>
    <row r="722">
      <c r="W722" s="31">
        <f>IF(OR($B$5="",$C$6="",ROW()&lt;$B$5),"",IF(INDEX($A:$U,ROW(),$C$6)="","",INDEX($A:$U,ROW(),$C$6)))</f>
        <v/>
      </c>
      <c r="X722" s="32">
        <f>IF($W722="","",IF(ISNUMBER($W722),IF($W722&gt;=10000000,IFERROR(DATE(INT($W722/10000),MOD(INT($W722/100),100),MOD($W722,100)),""),INT($W722)),IFERROR(DATE(--LEFT(LEFT(SUBSTITUTE(SUBSTITUTE(SUBSTITUTE(SUBSTITUTE(TRIM($W722),"-",""),".",""),"/","")," ",""),8),4),--MID(LEFT(SUBSTITUTE(SUBSTITUTE(SUBSTITUTE(SUBSTITUTE(TRIM($W722),"-",""),".",""),"/","")," ",""),8),5,2),--MID(LEFT(SUBSTITUTE(SUBSTITUTE(SUBSTITUTE(SUBSTITUTE(TRIM($W722),"-",""),".",""),"/","")," ",""),8),7,2)),"")))</f>
        <v/>
      </c>
      <c r="Y722" s="32">
        <f>IF($X722="","",INT($X722))</f>
        <v/>
      </c>
      <c r="Z722" s="33">
        <f>IF(OR($Y722="",$D$6=""),"",IF(INDEX($A:$U,ROW(),$D$6)="",0,IF(ISNUMBER(INDEX($A:$U,ROW(),$D$6)),INDEX($A:$U,ROW(),$D$6),IFERROR(--SUBSTITUTE(SUBSTITUTE(TRIM(INDEX($A:$U,ROW(),$D$6)),",",""),"원",""),0))))</f>
        <v/>
      </c>
      <c r="AA722" s="31">
        <f>IF($Y722="","",TRIM(INDEX($A:$U,ROW(),$E$6)&amp;IF($F$6="",""," "&amp;INDEX($A:$U,ROW(),$F$6))))</f>
        <v/>
      </c>
      <c r="AB722" s="31">
        <f>IF($AA722="","",SUBSTITUTE(SUBSTITUTE(SUBSTITUTE(SUBSTITUTE(SUBSTITUTE(SUBSTITUTE(SUBSTITUTE(SUBSTITUTE(SUBSTITUTE($AA722," ",""),"　",""),"(주)",""),"（주）",""),"㈜",""),"주식회사",""),"(유)",""),"（유）",""),"유한회사",""))</f>
        <v/>
      </c>
      <c r="AC722" s="31">
        <f>IF(OR($Y722="",N($Z722)&lt;=0,$AB722=""),0,IFERROR(LOOKUP(2,1/((거래처별!$AC$8:$AC$307&lt;&gt;"")*ISNUMBER(SEARCH(거래처별!$AC$8:$AC$307,$AB722))),거래처별!$A$8:$A$307),IFERROR(LOOKUP(2,1/((거래처별!$AD$8:$AD$307&lt;&gt;"")*ISNUMBER(SEARCH(거래처별!$AD$8:$AD$307,$AB722))),거래처별!$A$8:$A$307),IFERROR(LOOKUP(2,1/((거래처별!$AE$8:$AE$307&lt;&gt;"")*ISNUMBER(SEARCH(거래처별!$AE$8:$AE$307,$AB722))),거래처별!$A$8:$A$307),0))))</f>
        <v/>
      </c>
      <c r="AD722" s="31">
        <f>IF(AND($Y722&lt;&gt;"",N($Z722)&gt;0,$AC722=0),MAX($AD$7:$AD721)+1,"")</f>
        <v/>
      </c>
      <c r="AE722" s="31">
        <f>IF($Y722="",0,$Y722)</f>
        <v/>
      </c>
    </row>
    <row r="723">
      <c r="W723" s="31">
        <f>IF(OR($B$5="",$C$6="",ROW()&lt;$B$5),"",IF(INDEX($A:$U,ROW(),$C$6)="","",INDEX($A:$U,ROW(),$C$6)))</f>
        <v/>
      </c>
      <c r="X723" s="32">
        <f>IF($W723="","",IF(ISNUMBER($W723),IF($W723&gt;=10000000,IFERROR(DATE(INT($W723/10000),MOD(INT($W723/100),100),MOD($W723,100)),""),INT($W723)),IFERROR(DATE(--LEFT(LEFT(SUBSTITUTE(SUBSTITUTE(SUBSTITUTE(SUBSTITUTE(TRIM($W723),"-",""),".",""),"/","")," ",""),8),4),--MID(LEFT(SUBSTITUTE(SUBSTITUTE(SUBSTITUTE(SUBSTITUTE(TRIM($W723),"-",""),".",""),"/","")," ",""),8),5,2),--MID(LEFT(SUBSTITUTE(SUBSTITUTE(SUBSTITUTE(SUBSTITUTE(TRIM($W723),"-",""),".",""),"/","")," ",""),8),7,2)),"")))</f>
        <v/>
      </c>
      <c r="Y723" s="32">
        <f>IF($X723="","",INT($X723))</f>
        <v/>
      </c>
      <c r="Z723" s="33">
        <f>IF(OR($Y723="",$D$6=""),"",IF(INDEX($A:$U,ROW(),$D$6)="",0,IF(ISNUMBER(INDEX($A:$U,ROW(),$D$6)),INDEX($A:$U,ROW(),$D$6),IFERROR(--SUBSTITUTE(SUBSTITUTE(TRIM(INDEX($A:$U,ROW(),$D$6)),",",""),"원",""),0))))</f>
        <v/>
      </c>
      <c r="AA723" s="31">
        <f>IF($Y723="","",TRIM(INDEX($A:$U,ROW(),$E$6)&amp;IF($F$6="",""," "&amp;INDEX($A:$U,ROW(),$F$6))))</f>
        <v/>
      </c>
      <c r="AB723" s="31">
        <f>IF($AA723="","",SUBSTITUTE(SUBSTITUTE(SUBSTITUTE(SUBSTITUTE(SUBSTITUTE(SUBSTITUTE(SUBSTITUTE(SUBSTITUTE(SUBSTITUTE($AA723," ",""),"　",""),"(주)",""),"（주）",""),"㈜",""),"주식회사",""),"(유)",""),"（유）",""),"유한회사",""))</f>
        <v/>
      </c>
      <c r="AC723" s="31">
        <f>IF(OR($Y723="",N($Z723)&lt;=0,$AB723=""),0,IFERROR(LOOKUP(2,1/((거래처별!$AC$8:$AC$307&lt;&gt;"")*ISNUMBER(SEARCH(거래처별!$AC$8:$AC$307,$AB723))),거래처별!$A$8:$A$307),IFERROR(LOOKUP(2,1/((거래처별!$AD$8:$AD$307&lt;&gt;"")*ISNUMBER(SEARCH(거래처별!$AD$8:$AD$307,$AB723))),거래처별!$A$8:$A$307),IFERROR(LOOKUP(2,1/((거래처별!$AE$8:$AE$307&lt;&gt;"")*ISNUMBER(SEARCH(거래처별!$AE$8:$AE$307,$AB723))),거래처별!$A$8:$A$307),0))))</f>
        <v/>
      </c>
      <c r="AD723" s="31">
        <f>IF(AND($Y723&lt;&gt;"",N($Z723)&gt;0,$AC723=0),MAX($AD$7:$AD722)+1,"")</f>
        <v/>
      </c>
      <c r="AE723" s="31">
        <f>IF($Y723="",0,$Y723)</f>
        <v/>
      </c>
    </row>
    <row r="724">
      <c r="W724" s="31">
        <f>IF(OR($B$5="",$C$6="",ROW()&lt;$B$5),"",IF(INDEX($A:$U,ROW(),$C$6)="","",INDEX($A:$U,ROW(),$C$6)))</f>
        <v/>
      </c>
      <c r="X724" s="32">
        <f>IF($W724="","",IF(ISNUMBER($W724),IF($W724&gt;=10000000,IFERROR(DATE(INT($W724/10000),MOD(INT($W724/100),100),MOD($W724,100)),""),INT($W724)),IFERROR(DATE(--LEFT(LEFT(SUBSTITUTE(SUBSTITUTE(SUBSTITUTE(SUBSTITUTE(TRIM($W724),"-",""),".",""),"/","")," ",""),8),4),--MID(LEFT(SUBSTITUTE(SUBSTITUTE(SUBSTITUTE(SUBSTITUTE(TRIM($W724),"-",""),".",""),"/","")," ",""),8),5,2),--MID(LEFT(SUBSTITUTE(SUBSTITUTE(SUBSTITUTE(SUBSTITUTE(TRIM($W724),"-",""),".",""),"/","")," ",""),8),7,2)),"")))</f>
        <v/>
      </c>
      <c r="Y724" s="32">
        <f>IF($X724="","",INT($X724))</f>
        <v/>
      </c>
      <c r="Z724" s="33">
        <f>IF(OR($Y724="",$D$6=""),"",IF(INDEX($A:$U,ROW(),$D$6)="",0,IF(ISNUMBER(INDEX($A:$U,ROW(),$D$6)),INDEX($A:$U,ROW(),$D$6),IFERROR(--SUBSTITUTE(SUBSTITUTE(TRIM(INDEX($A:$U,ROW(),$D$6)),",",""),"원",""),0))))</f>
        <v/>
      </c>
      <c r="AA724" s="31">
        <f>IF($Y724="","",TRIM(INDEX($A:$U,ROW(),$E$6)&amp;IF($F$6="",""," "&amp;INDEX($A:$U,ROW(),$F$6))))</f>
        <v/>
      </c>
      <c r="AB724" s="31">
        <f>IF($AA724="","",SUBSTITUTE(SUBSTITUTE(SUBSTITUTE(SUBSTITUTE(SUBSTITUTE(SUBSTITUTE(SUBSTITUTE(SUBSTITUTE(SUBSTITUTE($AA724," ",""),"　",""),"(주)",""),"（주）",""),"㈜",""),"주식회사",""),"(유)",""),"（유）",""),"유한회사",""))</f>
        <v/>
      </c>
      <c r="AC724" s="31">
        <f>IF(OR($Y724="",N($Z724)&lt;=0,$AB724=""),0,IFERROR(LOOKUP(2,1/((거래처별!$AC$8:$AC$307&lt;&gt;"")*ISNUMBER(SEARCH(거래처별!$AC$8:$AC$307,$AB724))),거래처별!$A$8:$A$307),IFERROR(LOOKUP(2,1/((거래처별!$AD$8:$AD$307&lt;&gt;"")*ISNUMBER(SEARCH(거래처별!$AD$8:$AD$307,$AB724))),거래처별!$A$8:$A$307),IFERROR(LOOKUP(2,1/((거래처별!$AE$8:$AE$307&lt;&gt;"")*ISNUMBER(SEARCH(거래처별!$AE$8:$AE$307,$AB724))),거래처별!$A$8:$A$307),0))))</f>
        <v/>
      </c>
      <c r="AD724" s="31">
        <f>IF(AND($Y724&lt;&gt;"",N($Z724)&gt;0,$AC724=0),MAX($AD$7:$AD723)+1,"")</f>
        <v/>
      </c>
      <c r="AE724" s="31">
        <f>IF($Y724="",0,$Y724)</f>
        <v/>
      </c>
    </row>
    <row r="725">
      <c r="W725" s="31">
        <f>IF(OR($B$5="",$C$6="",ROW()&lt;$B$5),"",IF(INDEX($A:$U,ROW(),$C$6)="","",INDEX($A:$U,ROW(),$C$6)))</f>
        <v/>
      </c>
      <c r="X725" s="32">
        <f>IF($W725="","",IF(ISNUMBER($W725),IF($W725&gt;=10000000,IFERROR(DATE(INT($W725/10000),MOD(INT($W725/100),100),MOD($W725,100)),""),INT($W725)),IFERROR(DATE(--LEFT(LEFT(SUBSTITUTE(SUBSTITUTE(SUBSTITUTE(SUBSTITUTE(TRIM($W725),"-",""),".",""),"/","")," ",""),8),4),--MID(LEFT(SUBSTITUTE(SUBSTITUTE(SUBSTITUTE(SUBSTITUTE(TRIM($W725),"-",""),".",""),"/","")," ",""),8),5,2),--MID(LEFT(SUBSTITUTE(SUBSTITUTE(SUBSTITUTE(SUBSTITUTE(TRIM($W725),"-",""),".",""),"/","")," ",""),8),7,2)),"")))</f>
        <v/>
      </c>
      <c r="Y725" s="32">
        <f>IF($X725="","",INT($X725))</f>
        <v/>
      </c>
      <c r="Z725" s="33">
        <f>IF(OR($Y725="",$D$6=""),"",IF(INDEX($A:$U,ROW(),$D$6)="",0,IF(ISNUMBER(INDEX($A:$U,ROW(),$D$6)),INDEX($A:$U,ROW(),$D$6),IFERROR(--SUBSTITUTE(SUBSTITUTE(TRIM(INDEX($A:$U,ROW(),$D$6)),",",""),"원",""),0))))</f>
        <v/>
      </c>
      <c r="AA725" s="31">
        <f>IF($Y725="","",TRIM(INDEX($A:$U,ROW(),$E$6)&amp;IF($F$6="",""," "&amp;INDEX($A:$U,ROW(),$F$6))))</f>
        <v/>
      </c>
      <c r="AB725" s="31">
        <f>IF($AA725="","",SUBSTITUTE(SUBSTITUTE(SUBSTITUTE(SUBSTITUTE(SUBSTITUTE(SUBSTITUTE(SUBSTITUTE(SUBSTITUTE(SUBSTITUTE($AA725," ",""),"　",""),"(주)",""),"（주）",""),"㈜",""),"주식회사",""),"(유)",""),"（유）",""),"유한회사",""))</f>
        <v/>
      </c>
      <c r="AC725" s="31">
        <f>IF(OR($Y725="",N($Z725)&lt;=0,$AB725=""),0,IFERROR(LOOKUP(2,1/((거래처별!$AC$8:$AC$307&lt;&gt;"")*ISNUMBER(SEARCH(거래처별!$AC$8:$AC$307,$AB725))),거래처별!$A$8:$A$307),IFERROR(LOOKUP(2,1/((거래처별!$AD$8:$AD$307&lt;&gt;"")*ISNUMBER(SEARCH(거래처별!$AD$8:$AD$307,$AB725))),거래처별!$A$8:$A$307),IFERROR(LOOKUP(2,1/((거래처별!$AE$8:$AE$307&lt;&gt;"")*ISNUMBER(SEARCH(거래처별!$AE$8:$AE$307,$AB725))),거래처별!$A$8:$A$307),0))))</f>
        <v/>
      </c>
      <c r="AD725" s="31">
        <f>IF(AND($Y725&lt;&gt;"",N($Z725)&gt;0,$AC725=0),MAX($AD$7:$AD724)+1,"")</f>
        <v/>
      </c>
      <c r="AE725" s="31">
        <f>IF($Y725="",0,$Y725)</f>
        <v/>
      </c>
    </row>
    <row r="726">
      <c r="W726" s="31">
        <f>IF(OR($B$5="",$C$6="",ROW()&lt;$B$5),"",IF(INDEX($A:$U,ROW(),$C$6)="","",INDEX($A:$U,ROW(),$C$6)))</f>
        <v/>
      </c>
      <c r="X726" s="32">
        <f>IF($W726="","",IF(ISNUMBER($W726),IF($W726&gt;=10000000,IFERROR(DATE(INT($W726/10000),MOD(INT($W726/100),100),MOD($W726,100)),""),INT($W726)),IFERROR(DATE(--LEFT(LEFT(SUBSTITUTE(SUBSTITUTE(SUBSTITUTE(SUBSTITUTE(TRIM($W726),"-",""),".",""),"/","")," ",""),8),4),--MID(LEFT(SUBSTITUTE(SUBSTITUTE(SUBSTITUTE(SUBSTITUTE(TRIM($W726),"-",""),".",""),"/","")," ",""),8),5,2),--MID(LEFT(SUBSTITUTE(SUBSTITUTE(SUBSTITUTE(SUBSTITUTE(TRIM($W726),"-",""),".",""),"/","")," ",""),8),7,2)),"")))</f>
        <v/>
      </c>
      <c r="Y726" s="32">
        <f>IF($X726="","",INT($X726))</f>
        <v/>
      </c>
      <c r="Z726" s="33">
        <f>IF(OR($Y726="",$D$6=""),"",IF(INDEX($A:$U,ROW(),$D$6)="",0,IF(ISNUMBER(INDEX($A:$U,ROW(),$D$6)),INDEX($A:$U,ROW(),$D$6),IFERROR(--SUBSTITUTE(SUBSTITUTE(TRIM(INDEX($A:$U,ROW(),$D$6)),",",""),"원",""),0))))</f>
        <v/>
      </c>
      <c r="AA726" s="31">
        <f>IF($Y726="","",TRIM(INDEX($A:$U,ROW(),$E$6)&amp;IF($F$6="",""," "&amp;INDEX($A:$U,ROW(),$F$6))))</f>
        <v/>
      </c>
      <c r="AB726" s="31">
        <f>IF($AA726="","",SUBSTITUTE(SUBSTITUTE(SUBSTITUTE(SUBSTITUTE(SUBSTITUTE(SUBSTITUTE(SUBSTITUTE(SUBSTITUTE(SUBSTITUTE($AA726," ",""),"　",""),"(주)",""),"（주）",""),"㈜",""),"주식회사",""),"(유)",""),"（유）",""),"유한회사",""))</f>
        <v/>
      </c>
      <c r="AC726" s="31">
        <f>IF(OR($Y726="",N($Z726)&lt;=0,$AB726=""),0,IFERROR(LOOKUP(2,1/((거래처별!$AC$8:$AC$307&lt;&gt;"")*ISNUMBER(SEARCH(거래처별!$AC$8:$AC$307,$AB726))),거래처별!$A$8:$A$307),IFERROR(LOOKUP(2,1/((거래처별!$AD$8:$AD$307&lt;&gt;"")*ISNUMBER(SEARCH(거래처별!$AD$8:$AD$307,$AB726))),거래처별!$A$8:$A$307),IFERROR(LOOKUP(2,1/((거래처별!$AE$8:$AE$307&lt;&gt;"")*ISNUMBER(SEARCH(거래처별!$AE$8:$AE$307,$AB726))),거래처별!$A$8:$A$307),0))))</f>
        <v/>
      </c>
      <c r="AD726" s="31">
        <f>IF(AND($Y726&lt;&gt;"",N($Z726)&gt;0,$AC726=0),MAX($AD$7:$AD725)+1,"")</f>
        <v/>
      </c>
      <c r="AE726" s="31">
        <f>IF($Y726="",0,$Y726)</f>
        <v/>
      </c>
    </row>
    <row r="727">
      <c r="W727" s="31">
        <f>IF(OR($B$5="",$C$6="",ROW()&lt;$B$5),"",IF(INDEX($A:$U,ROW(),$C$6)="","",INDEX($A:$U,ROW(),$C$6)))</f>
        <v/>
      </c>
      <c r="X727" s="32">
        <f>IF($W727="","",IF(ISNUMBER($W727),IF($W727&gt;=10000000,IFERROR(DATE(INT($W727/10000),MOD(INT($W727/100),100),MOD($W727,100)),""),INT($W727)),IFERROR(DATE(--LEFT(LEFT(SUBSTITUTE(SUBSTITUTE(SUBSTITUTE(SUBSTITUTE(TRIM($W727),"-",""),".",""),"/","")," ",""),8),4),--MID(LEFT(SUBSTITUTE(SUBSTITUTE(SUBSTITUTE(SUBSTITUTE(TRIM($W727),"-",""),".",""),"/","")," ",""),8),5,2),--MID(LEFT(SUBSTITUTE(SUBSTITUTE(SUBSTITUTE(SUBSTITUTE(TRIM($W727),"-",""),".",""),"/","")," ",""),8),7,2)),"")))</f>
        <v/>
      </c>
      <c r="Y727" s="32">
        <f>IF($X727="","",INT($X727))</f>
        <v/>
      </c>
      <c r="Z727" s="33">
        <f>IF(OR($Y727="",$D$6=""),"",IF(INDEX($A:$U,ROW(),$D$6)="",0,IF(ISNUMBER(INDEX($A:$U,ROW(),$D$6)),INDEX($A:$U,ROW(),$D$6),IFERROR(--SUBSTITUTE(SUBSTITUTE(TRIM(INDEX($A:$U,ROW(),$D$6)),",",""),"원",""),0))))</f>
        <v/>
      </c>
      <c r="AA727" s="31">
        <f>IF($Y727="","",TRIM(INDEX($A:$U,ROW(),$E$6)&amp;IF($F$6="",""," "&amp;INDEX($A:$U,ROW(),$F$6))))</f>
        <v/>
      </c>
      <c r="AB727" s="31">
        <f>IF($AA727="","",SUBSTITUTE(SUBSTITUTE(SUBSTITUTE(SUBSTITUTE(SUBSTITUTE(SUBSTITUTE(SUBSTITUTE(SUBSTITUTE(SUBSTITUTE($AA727," ",""),"　",""),"(주)",""),"（주）",""),"㈜",""),"주식회사",""),"(유)",""),"（유）",""),"유한회사",""))</f>
        <v/>
      </c>
      <c r="AC727" s="31">
        <f>IF(OR($Y727="",N($Z727)&lt;=0,$AB727=""),0,IFERROR(LOOKUP(2,1/((거래처별!$AC$8:$AC$307&lt;&gt;"")*ISNUMBER(SEARCH(거래처별!$AC$8:$AC$307,$AB727))),거래처별!$A$8:$A$307),IFERROR(LOOKUP(2,1/((거래처별!$AD$8:$AD$307&lt;&gt;"")*ISNUMBER(SEARCH(거래처별!$AD$8:$AD$307,$AB727))),거래처별!$A$8:$A$307),IFERROR(LOOKUP(2,1/((거래처별!$AE$8:$AE$307&lt;&gt;"")*ISNUMBER(SEARCH(거래처별!$AE$8:$AE$307,$AB727))),거래처별!$A$8:$A$307),0))))</f>
        <v/>
      </c>
      <c r="AD727" s="31">
        <f>IF(AND($Y727&lt;&gt;"",N($Z727)&gt;0,$AC727=0),MAX($AD$7:$AD726)+1,"")</f>
        <v/>
      </c>
      <c r="AE727" s="31">
        <f>IF($Y727="",0,$Y727)</f>
        <v/>
      </c>
    </row>
    <row r="728">
      <c r="W728" s="31">
        <f>IF(OR($B$5="",$C$6="",ROW()&lt;$B$5),"",IF(INDEX($A:$U,ROW(),$C$6)="","",INDEX($A:$U,ROW(),$C$6)))</f>
        <v/>
      </c>
      <c r="X728" s="32">
        <f>IF($W728="","",IF(ISNUMBER($W728),IF($W728&gt;=10000000,IFERROR(DATE(INT($W728/10000),MOD(INT($W728/100),100),MOD($W728,100)),""),INT($W728)),IFERROR(DATE(--LEFT(LEFT(SUBSTITUTE(SUBSTITUTE(SUBSTITUTE(SUBSTITUTE(TRIM($W728),"-",""),".",""),"/","")," ",""),8),4),--MID(LEFT(SUBSTITUTE(SUBSTITUTE(SUBSTITUTE(SUBSTITUTE(TRIM($W728),"-",""),".",""),"/","")," ",""),8),5,2),--MID(LEFT(SUBSTITUTE(SUBSTITUTE(SUBSTITUTE(SUBSTITUTE(TRIM($W728),"-",""),".",""),"/","")," ",""),8),7,2)),"")))</f>
        <v/>
      </c>
      <c r="Y728" s="32">
        <f>IF($X728="","",INT($X728))</f>
        <v/>
      </c>
      <c r="Z728" s="33">
        <f>IF(OR($Y728="",$D$6=""),"",IF(INDEX($A:$U,ROW(),$D$6)="",0,IF(ISNUMBER(INDEX($A:$U,ROW(),$D$6)),INDEX($A:$U,ROW(),$D$6),IFERROR(--SUBSTITUTE(SUBSTITUTE(TRIM(INDEX($A:$U,ROW(),$D$6)),",",""),"원",""),0))))</f>
        <v/>
      </c>
      <c r="AA728" s="31">
        <f>IF($Y728="","",TRIM(INDEX($A:$U,ROW(),$E$6)&amp;IF($F$6="",""," "&amp;INDEX($A:$U,ROW(),$F$6))))</f>
        <v/>
      </c>
      <c r="AB728" s="31">
        <f>IF($AA728="","",SUBSTITUTE(SUBSTITUTE(SUBSTITUTE(SUBSTITUTE(SUBSTITUTE(SUBSTITUTE(SUBSTITUTE(SUBSTITUTE(SUBSTITUTE($AA728," ",""),"　",""),"(주)",""),"（주）",""),"㈜",""),"주식회사",""),"(유)",""),"（유）",""),"유한회사",""))</f>
        <v/>
      </c>
      <c r="AC728" s="31">
        <f>IF(OR($Y728="",N($Z728)&lt;=0,$AB728=""),0,IFERROR(LOOKUP(2,1/((거래처별!$AC$8:$AC$307&lt;&gt;"")*ISNUMBER(SEARCH(거래처별!$AC$8:$AC$307,$AB728))),거래처별!$A$8:$A$307),IFERROR(LOOKUP(2,1/((거래처별!$AD$8:$AD$307&lt;&gt;"")*ISNUMBER(SEARCH(거래처별!$AD$8:$AD$307,$AB728))),거래처별!$A$8:$A$307),IFERROR(LOOKUP(2,1/((거래처별!$AE$8:$AE$307&lt;&gt;"")*ISNUMBER(SEARCH(거래처별!$AE$8:$AE$307,$AB728))),거래처별!$A$8:$A$307),0))))</f>
        <v/>
      </c>
      <c r="AD728" s="31">
        <f>IF(AND($Y728&lt;&gt;"",N($Z728)&gt;0,$AC728=0),MAX($AD$7:$AD727)+1,"")</f>
        <v/>
      </c>
      <c r="AE728" s="31">
        <f>IF($Y728="",0,$Y728)</f>
        <v/>
      </c>
    </row>
    <row r="729">
      <c r="W729" s="31">
        <f>IF(OR($B$5="",$C$6="",ROW()&lt;$B$5),"",IF(INDEX($A:$U,ROW(),$C$6)="","",INDEX($A:$U,ROW(),$C$6)))</f>
        <v/>
      </c>
      <c r="X729" s="32">
        <f>IF($W729="","",IF(ISNUMBER($W729),IF($W729&gt;=10000000,IFERROR(DATE(INT($W729/10000),MOD(INT($W729/100),100),MOD($W729,100)),""),INT($W729)),IFERROR(DATE(--LEFT(LEFT(SUBSTITUTE(SUBSTITUTE(SUBSTITUTE(SUBSTITUTE(TRIM($W729),"-",""),".",""),"/","")," ",""),8),4),--MID(LEFT(SUBSTITUTE(SUBSTITUTE(SUBSTITUTE(SUBSTITUTE(TRIM($W729),"-",""),".",""),"/","")," ",""),8),5,2),--MID(LEFT(SUBSTITUTE(SUBSTITUTE(SUBSTITUTE(SUBSTITUTE(TRIM($W729),"-",""),".",""),"/","")," ",""),8),7,2)),"")))</f>
        <v/>
      </c>
      <c r="Y729" s="32">
        <f>IF($X729="","",INT($X729))</f>
        <v/>
      </c>
      <c r="Z729" s="33">
        <f>IF(OR($Y729="",$D$6=""),"",IF(INDEX($A:$U,ROW(),$D$6)="",0,IF(ISNUMBER(INDEX($A:$U,ROW(),$D$6)),INDEX($A:$U,ROW(),$D$6),IFERROR(--SUBSTITUTE(SUBSTITUTE(TRIM(INDEX($A:$U,ROW(),$D$6)),",",""),"원",""),0))))</f>
        <v/>
      </c>
      <c r="AA729" s="31">
        <f>IF($Y729="","",TRIM(INDEX($A:$U,ROW(),$E$6)&amp;IF($F$6="",""," "&amp;INDEX($A:$U,ROW(),$F$6))))</f>
        <v/>
      </c>
      <c r="AB729" s="31">
        <f>IF($AA729="","",SUBSTITUTE(SUBSTITUTE(SUBSTITUTE(SUBSTITUTE(SUBSTITUTE(SUBSTITUTE(SUBSTITUTE(SUBSTITUTE(SUBSTITUTE($AA729," ",""),"　",""),"(주)",""),"（주）",""),"㈜",""),"주식회사",""),"(유)",""),"（유）",""),"유한회사",""))</f>
        <v/>
      </c>
      <c r="AC729" s="31">
        <f>IF(OR($Y729="",N($Z729)&lt;=0,$AB729=""),0,IFERROR(LOOKUP(2,1/((거래처별!$AC$8:$AC$307&lt;&gt;"")*ISNUMBER(SEARCH(거래처별!$AC$8:$AC$307,$AB729))),거래처별!$A$8:$A$307),IFERROR(LOOKUP(2,1/((거래처별!$AD$8:$AD$307&lt;&gt;"")*ISNUMBER(SEARCH(거래처별!$AD$8:$AD$307,$AB729))),거래처별!$A$8:$A$307),IFERROR(LOOKUP(2,1/((거래처별!$AE$8:$AE$307&lt;&gt;"")*ISNUMBER(SEARCH(거래처별!$AE$8:$AE$307,$AB729))),거래처별!$A$8:$A$307),0))))</f>
        <v/>
      </c>
      <c r="AD729" s="31">
        <f>IF(AND($Y729&lt;&gt;"",N($Z729)&gt;0,$AC729=0),MAX($AD$7:$AD728)+1,"")</f>
        <v/>
      </c>
      <c r="AE729" s="31">
        <f>IF($Y729="",0,$Y729)</f>
        <v/>
      </c>
    </row>
    <row r="730">
      <c r="W730" s="31">
        <f>IF(OR($B$5="",$C$6="",ROW()&lt;$B$5),"",IF(INDEX($A:$U,ROW(),$C$6)="","",INDEX($A:$U,ROW(),$C$6)))</f>
        <v/>
      </c>
      <c r="X730" s="32">
        <f>IF($W730="","",IF(ISNUMBER($W730),IF($W730&gt;=10000000,IFERROR(DATE(INT($W730/10000),MOD(INT($W730/100),100),MOD($W730,100)),""),INT($W730)),IFERROR(DATE(--LEFT(LEFT(SUBSTITUTE(SUBSTITUTE(SUBSTITUTE(SUBSTITUTE(TRIM($W730),"-",""),".",""),"/","")," ",""),8),4),--MID(LEFT(SUBSTITUTE(SUBSTITUTE(SUBSTITUTE(SUBSTITUTE(TRIM($W730),"-",""),".",""),"/","")," ",""),8),5,2),--MID(LEFT(SUBSTITUTE(SUBSTITUTE(SUBSTITUTE(SUBSTITUTE(TRIM($W730),"-",""),".",""),"/","")," ",""),8),7,2)),"")))</f>
        <v/>
      </c>
      <c r="Y730" s="32">
        <f>IF($X730="","",INT($X730))</f>
        <v/>
      </c>
      <c r="Z730" s="33">
        <f>IF(OR($Y730="",$D$6=""),"",IF(INDEX($A:$U,ROW(),$D$6)="",0,IF(ISNUMBER(INDEX($A:$U,ROW(),$D$6)),INDEX($A:$U,ROW(),$D$6),IFERROR(--SUBSTITUTE(SUBSTITUTE(TRIM(INDEX($A:$U,ROW(),$D$6)),",",""),"원",""),0))))</f>
        <v/>
      </c>
      <c r="AA730" s="31">
        <f>IF($Y730="","",TRIM(INDEX($A:$U,ROW(),$E$6)&amp;IF($F$6="",""," "&amp;INDEX($A:$U,ROW(),$F$6))))</f>
        <v/>
      </c>
      <c r="AB730" s="31">
        <f>IF($AA730="","",SUBSTITUTE(SUBSTITUTE(SUBSTITUTE(SUBSTITUTE(SUBSTITUTE(SUBSTITUTE(SUBSTITUTE(SUBSTITUTE(SUBSTITUTE($AA730," ",""),"　",""),"(주)",""),"（주）",""),"㈜",""),"주식회사",""),"(유)",""),"（유）",""),"유한회사",""))</f>
        <v/>
      </c>
      <c r="AC730" s="31">
        <f>IF(OR($Y730="",N($Z730)&lt;=0,$AB730=""),0,IFERROR(LOOKUP(2,1/((거래처별!$AC$8:$AC$307&lt;&gt;"")*ISNUMBER(SEARCH(거래처별!$AC$8:$AC$307,$AB730))),거래처별!$A$8:$A$307),IFERROR(LOOKUP(2,1/((거래처별!$AD$8:$AD$307&lt;&gt;"")*ISNUMBER(SEARCH(거래처별!$AD$8:$AD$307,$AB730))),거래처별!$A$8:$A$307),IFERROR(LOOKUP(2,1/((거래처별!$AE$8:$AE$307&lt;&gt;"")*ISNUMBER(SEARCH(거래처별!$AE$8:$AE$307,$AB730))),거래처별!$A$8:$A$307),0))))</f>
        <v/>
      </c>
      <c r="AD730" s="31">
        <f>IF(AND($Y730&lt;&gt;"",N($Z730)&gt;0,$AC730=0),MAX($AD$7:$AD729)+1,"")</f>
        <v/>
      </c>
      <c r="AE730" s="31">
        <f>IF($Y730="",0,$Y730)</f>
        <v/>
      </c>
    </row>
    <row r="731">
      <c r="W731" s="31">
        <f>IF(OR($B$5="",$C$6="",ROW()&lt;$B$5),"",IF(INDEX($A:$U,ROW(),$C$6)="","",INDEX($A:$U,ROW(),$C$6)))</f>
        <v/>
      </c>
      <c r="X731" s="32">
        <f>IF($W731="","",IF(ISNUMBER($W731),IF($W731&gt;=10000000,IFERROR(DATE(INT($W731/10000),MOD(INT($W731/100),100),MOD($W731,100)),""),INT($W731)),IFERROR(DATE(--LEFT(LEFT(SUBSTITUTE(SUBSTITUTE(SUBSTITUTE(SUBSTITUTE(TRIM($W731),"-",""),".",""),"/","")," ",""),8),4),--MID(LEFT(SUBSTITUTE(SUBSTITUTE(SUBSTITUTE(SUBSTITUTE(TRIM($W731),"-",""),".",""),"/","")," ",""),8),5,2),--MID(LEFT(SUBSTITUTE(SUBSTITUTE(SUBSTITUTE(SUBSTITUTE(TRIM($W731),"-",""),".",""),"/","")," ",""),8),7,2)),"")))</f>
        <v/>
      </c>
      <c r="Y731" s="32">
        <f>IF($X731="","",INT($X731))</f>
        <v/>
      </c>
      <c r="Z731" s="33">
        <f>IF(OR($Y731="",$D$6=""),"",IF(INDEX($A:$U,ROW(),$D$6)="",0,IF(ISNUMBER(INDEX($A:$U,ROW(),$D$6)),INDEX($A:$U,ROW(),$D$6),IFERROR(--SUBSTITUTE(SUBSTITUTE(TRIM(INDEX($A:$U,ROW(),$D$6)),",",""),"원",""),0))))</f>
        <v/>
      </c>
      <c r="AA731" s="31">
        <f>IF($Y731="","",TRIM(INDEX($A:$U,ROW(),$E$6)&amp;IF($F$6="",""," "&amp;INDEX($A:$U,ROW(),$F$6))))</f>
        <v/>
      </c>
      <c r="AB731" s="31">
        <f>IF($AA731="","",SUBSTITUTE(SUBSTITUTE(SUBSTITUTE(SUBSTITUTE(SUBSTITUTE(SUBSTITUTE(SUBSTITUTE(SUBSTITUTE(SUBSTITUTE($AA731," ",""),"　",""),"(주)",""),"（주）",""),"㈜",""),"주식회사",""),"(유)",""),"（유）",""),"유한회사",""))</f>
        <v/>
      </c>
      <c r="AC731" s="31">
        <f>IF(OR($Y731="",N($Z731)&lt;=0,$AB731=""),0,IFERROR(LOOKUP(2,1/((거래처별!$AC$8:$AC$307&lt;&gt;"")*ISNUMBER(SEARCH(거래처별!$AC$8:$AC$307,$AB731))),거래처별!$A$8:$A$307),IFERROR(LOOKUP(2,1/((거래처별!$AD$8:$AD$307&lt;&gt;"")*ISNUMBER(SEARCH(거래처별!$AD$8:$AD$307,$AB731))),거래처별!$A$8:$A$307),IFERROR(LOOKUP(2,1/((거래처별!$AE$8:$AE$307&lt;&gt;"")*ISNUMBER(SEARCH(거래처별!$AE$8:$AE$307,$AB731))),거래처별!$A$8:$A$307),0))))</f>
        <v/>
      </c>
      <c r="AD731" s="31">
        <f>IF(AND($Y731&lt;&gt;"",N($Z731)&gt;0,$AC731=0),MAX($AD$7:$AD730)+1,"")</f>
        <v/>
      </c>
      <c r="AE731" s="31">
        <f>IF($Y731="",0,$Y731)</f>
        <v/>
      </c>
    </row>
    <row r="732">
      <c r="W732" s="31">
        <f>IF(OR($B$5="",$C$6="",ROW()&lt;$B$5),"",IF(INDEX($A:$U,ROW(),$C$6)="","",INDEX($A:$U,ROW(),$C$6)))</f>
        <v/>
      </c>
      <c r="X732" s="32">
        <f>IF($W732="","",IF(ISNUMBER($W732),IF($W732&gt;=10000000,IFERROR(DATE(INT($W732/10000),MOD(INT($W732/100),100),MOD($W732,100)),""),INT($W732)),IFERROR(DATE(--LEFT(LEFT(SUBSTITUTE(SUBSTITUTE(SUBSTITUTE(SUBSTITUTE(TRIM($W732),"-",""),".",""),"/","")," ",""),8),4),--MID(LEFT(SUBSTITUTE(SUBSTITUTE(SUBSTITUTE(SUBSTITUTE(TRIM($W732),"-",""),".",""),"/","")," ",""),8),5,2),--MID(LEFT(SUBSTITUTE(SUBSTITUTE(SUBSTITUTE(SUBSTITUTE(TRIM($W732),"-",""),".",""),"/","")," ",""),8),7,2)),"")))</f>
        <v/>
      </c>
      <c r="Y732" s="32">
        <f>IF($X732="","",INT($X732))</f>
        <v/>
      </c>
      <c r="Z732" s="33">
        <f>IF(OR($Y732="",$D$6=""),"",IF(INDEX($A:$U,ROW(),$D$6)="",0,IF(ISNUMBER(INDEX($A:$U,ROW(),$D$6)),INDEX($A:$U,ROW(),$D$6),IFERROR(--SUBSTITUTE(SUBSTITUTE(TRIM(INDEX($A:$U,ROW(),$D$6)),",",""),"원",""),0))))</f>
        <v/>
      </c>
      <c r="AA732" s="31">
        <f>IF($Y732="","",TRIM(INDEX($A:$U,ROW(),$E$6)&amp;IF($F$6="",""," "&amp;INDEX($A:$U,ROW(),$F$6))))</f>
        <v/>
      </c>
      <c r="AB732" s="31">
        <f>IF($AA732="","",SUBSTITUTE(SUBSTITUTE(SUBSTITUTE(SUBSTITUTE(SUBSTITUTE(SUBSTITUTE(SUBSTITUTE(SUBSTITUTE(SUBSTITUTE($AA732," ",""),"　",""),"(주)",""),"（주）",""),"㈜",""),"주식회사",""),"(유)",""),"（유）",""),"유한회사",""))</f>
        <v/>
      </c>
      <c r="AC732" s="31">
        <f>IF(OR($Y732="",N($Z732)&lt;=0,$AB732=""),0,IFERROR(LOOKUP(2,1/((거래처별!$AC$8:$AC$307&lt;&gt;"")*ISNUMBER(SEARCH(거래처별!$AC$8:$AC$307,$AB732))),거래처별!$A$8:$A$307),IFERROR(LOOKUP(2,1/((거래처별!$AD$8:$AD$307&lt;&gt;"")*ISNUMBER(SEARCH(거래처별!$AD$8:$AD$307,$AB732))),거래처별!$A$8:$A$307),IFERROR(LOOKUP(2,1/((거래처별!$AE$8:$AE$307&lt;&gt;"")*ISNUMBER(SEARCH(거래처별!$AE$8:$AE$307,$AB732))),거래처별!$A$8:$A$307),0))))</f>
        <v/>
      </c>
      <c r="AD732" s="31">
        <f>IF(AND($Y732&lt;&gt;"",N($Z732)&gt;0,$AC732=0),MAX($AD$7:$AD731)+1,"")</f>
        <v/>
      </c>
      <c r="AE732" s="31">
        <f>IF($Y732="",0,$Y732)</f>
        <v/>
      </c>
    </row>
    <row r="733">
      <c r="W733" s="31">
        <f>IF(OR($B$5="",$C$6="",ROW()&lt;$B$5),"",IF(INDEX($A:$U,ROW(),$C$6)="","",INDEX($A:$U,ROW(),$C$6)))</f>
        <v/>
      </c>
      <c r="X733" s="32">
        <f>IF($W733="","",IF(ISNUMBER($W733),IF($W733&gt;=10000000,IFERROR(DATE(INT($W733/10000),MOD(INT($W733/100),100),MOD($W733,100)),""),INT($W733)),IFERROR(DATE(--LEFT(LEFT(SUBSTITUTE(SUBSTITUTE(SUBSTITUTE(SUBSTITUTE(TRIM($W733),"-",""),".",""),"/","")," ",""),8),4),--MID(LEFT(SUBSTITUTE(SUBSTITUTE(SUBSTITUTE(SUBSTITUTE(TRIM($W733),"-",""),".",""),"/","")," ",""),8),5,2),--MID(LEFT(SUBSTITUTE(SUBSTITUTE(SUBSTITUTE(SUBSTITUTE(TRIM($W733),"-",""),".",""),"/","")," ",""),8),7,2)),"")))</f>
        <v/>
      </c>
      <c r="Y733" s="32">
        <f>IF($X733="","",INT($X733))</f>
        <v/>
      </c>
      <c r="Z733" s="33">
        <f>IF(OR($Y733="",$D$6=""),"",IF(INDEX($A:$U,ROW(),$D$6)="",0,IF(ISNUMBER(INDEX($A:$U,ROW(),$D$6)),INDEX($A:$U,ROW(),$D$6),IFERROR(--SUBSTITUTE(SUBSTITUTE(TRIM(INDEX($A:$U,ROW(),$D$6)),",",""),"원",""),0))))</f>
        <v/>
      </c>
      <c r="AA733" s="31">
        <f>IF($Y733="","",TRIM(INDEX($A:$U,ROW(),$E$6)&amp;IF($F$6="",""," "&amp;INDEX($A:$U,ROW(),$F$6))))</f>
        <v/>
      </c>
      <c r="AB733" s="31">
        <f>IF($AA733="","",SUBSTITUTE(SUBSTITUTE(SUBSTITUTE(SUBSTITUTE(SUBSTITUTE(SUBSTITUTE(SUBSTITUTE(SUBSTITUTE(SUBSTITUTE($AA733," ",""),"　",""),"(주)",""),"（주）",""),"㈜",""),"주식회사",""),"(유)",""),"（유）",""),"유한회사",""))</f>
        <v/>
      </c>
      <c r="AC733" s="31">
        <f>IF(OR($Y733="",N($Z733)&lt;=0,$AB733=""),0,IFERROR(LOOKUP(2,1/((거래처별!$AC$8:$AC$307&lt;&gt;"")*ISNUMBER(SEARCH(거래처별!$AC$8:$AC$307,$AB733))),거래처별!$A$8:$A$307),IFERROR(LOOKUP(2,1/((거래처별!$AD$8:$AD$307&lt;&gt;"")*ISNUMBER(SEARCH(거래처별!$AD$8:$AD$307,$AB733))),거래처별!$A$8:$A$307),IFERROR(LOOKUP(2,1/((거래처별!$AE$8:$AE$307&lt;&gt;"")*ISNUMBER(SEARCH(거래처별!$AE$8:$AE$307,$AB733))),거래처별!$A$8:$A$307),0))))</f>
        <v/>
      </c>
      <c r="AD733" s="31">
        <f>IF(AND($Y733&lt;&gt;"",N($Z733)&gt;0,$AC733=0),MAX($AD$7:$AD732)+1,"")</f>
        <v/>
      </c>
      <c r="AE733" s="31">
        <f>IF($Y733="",0,$Y733)</f>
        <v/>
      </c>
    </row>
    <row r="734">
      <c r="W734" s="31">
        <f>IF(OR($B$5="",$C$6="",ROW()&lt;$B$5),"",IF(INDEX($A:$U,ROW(),$C$6)="","",INDEX($A:$U,ROW(),$C$6)))</f>
        <v/>
      </c>
      <c r="X734" s="32">
        <f>IF($W734="","",IF(ISNUMBER($W734),IF($W734&gt;=10000000,IFERROR(DATE(INT($W734/10000),MOD(INT($W734/100),100),MOD($W734,100)),""),INT($W734)),IFERROR(DATE(--LEFT(LEFT(SUBSTITUTE(SUBSTITUTE(SUBSTITUTE(SUBSTITUTE(TRIM($W734),"-",""),".",""),"/","")," ",""),8),4),--MID(LEFT(SUBSTITUTE(SUBSTITUTE(SUBSTITUTE(SUBSTITUTE(TRIM($W734),"-",""),".",""),"/","")," ",""),8),5,2),--MID(LEFT(SUBSTITUTE(SUBSTITUTE(SUBSTITUTE(SUBSTITUTE(TRIM($W734),"-",""),".",""),"/","")," ",""),8),7,2)),"")))</f>
        <v/>
      </c>
      <c r="Y734" s="32">
        <f>IF($X734="","",INT($X734))</f>
        <v/>
      </c>
      <c r="Z734" s="33">
        <f>IF(OR($Y734="",$D$6=""),"",IF(INDEX($A:$U,ROW(),$D$6)="",0,IF(ISNUMBER(INDEX($A:$U,ROW(),$D$6)),INDEX($A:$U,ROW(),$D$6),IFERROR(--SUBSTITUTE(SUBSTITUTE(TRIM(INDEX($A:$U,ROW(),$D$6)),",",""),"원",""),0))))</f>
        <v/>
      </c>
      <c r="AA734" s="31">
        <f>IF($Y734="","",TRIM(INDEX($A:$U,ROW(),$E$6)&amp;IF($F$6="",""," "&amp;INDEX($A:$U,ROW(),$F$6))))</f>
        <v/>
      </c>
      <c r="AB734" s="31">
        <f>IF($AA734="","",SUBSTITUTE(SUBSTITUTE(SUBSTITUTE(SUBSTITUTE(SUBSTITUTE(SUBSTITUTE(SUBSTITUTE(SUBSTITUTE(SUBSTITUTE($AA734," ",""),"　",""),"(주)",""),"（주）",""),"㈜",""),"주식회사",""),"(유)",""),"（유）",""),"유한회사",""))</f>
        <v/>
      </c>
      <c r="AC734" s="31">
        <f>IF(OR($Y734="",N($Z734)&lt;=0,$AB734=""),0,IFERROR(LOOKUP(2,1/((거래처별!$AC$8:$AC$307&lt;&gt;"")*ISNUMBER(SEARCH(거래처별!$AC$8:$AC$307,$AB734))),거래처별!$A$8:$A$307),IFERROR(LOOKUP(2,1/((거래처별!$AD$8:$AD$307&lt;&gt;"")*ISNUMBER(SEARCH(거래처별!$AD$8:$AD$307,$AB734))),거래처별!$A$8:$A$307),IFERROR(LOOKUP(2,1/((거래처별!$AE$8:$AE$307&lt;&gt;"")*ISNUMBER(SEARCH(거래처별!$AE$8:$AE$307,$AB734))),거래처별!$A$8:$A$307),0))))</f>
        <v/>
      </c>
      <c r="AD734" s="31">
        <f>IF(AND($Y734&lt;&gt;"",N($Z734)&gt;0,$AC734=0),MAX($AD$7:$AD733)+1,"")</f>
        <v/>
      </c>
      <c r="AE734" s="31">
        <f>IF($Y734="",0,$Y734)</f>
        <v/>
      </c>
    </row>
    <row r="735">
      <c r="W735" s="31">
        <f>IF(OR($B$5="",$C$6="",ROW()&lt;$B$5),"",IF(INDEX($A:$U,ROW(),$C$6)="","",INDEX($A:$U,ROW(),$C$6)))</f>
        <v/>
      </c>
      <c r="X735" s="32">
        <f>IF($W735="","",IF(ISNUMBER($W735),IF($W735&gt;=10000000,IFERROR(DATE(INT($W735/10000),MOD(INT($W735/100),100),MOD($W735,100)),""),INT($W735)),IFERROR(DATE(--LEFT(LEFT(SUBSTITUTE(SUBSTITUTE(SUBSTITUTE(SUBSTITUTE(TRIM($W735),"-",""),".",""),"/","")," ",""),8),4),--MID(LEFT(SUBSTITUTE(SUBSTITUTE(SUBSTITUTE(SUBSTITUTE(TRIM($W735),"-",""),".",""),"/","")," ",""),8),5,2),--MID(LEFT(SUBSTITUTE(SUBSTITUTE(SUBSTITUTE(SUBSTITUTE(TRIM($W735),"-",""),".",""),"/","")," ",""),8),7,2)),"")))</f>
        <v/>
      </c>
      <c r="Y735" s="32">
        <f>IF($X735="","",INT($X735))</f>
        <v/>
      </c>
      <c r="Z735" s="33">
        <f>IF(OR($Y735="",$D$6=""),"",IF(INDEX($A:$U,ROW(),$D$6)="",0,IF(ISNUMBER(INDEX($A:$U,ROW(),$D$6)),INDEX($A:$U,ROW(),$D$6),IFERROR(--SUBSTITUTE(SUBSTITUTE(TRIM(INDEX($A:$U,ROW(),$D$6)),",",""),"원",""),0))))</f>
        <v/>
      </c>
      <c r="AA735" s="31">
        <f>IF($Y735="","",TRIM(INDEX($A:$U,ROW(),$E$6)&amp;IF($F$6="",""," "&amp;INDEX($A:$U,ROW(),$F$6))))</f>
        <v/>
      </c>
      <c r="AB735" s="31">
        <f>IF($AA735="","",SUBSTITUTE(SUBSTITUTE(SUBSTITUTE(SUBSTITUTE(SUBSTITUTE(SUBSTITUTE(SUBSTITUTE(SUBSTITUTE(SUBSTITUTE($AA735," ",""),"　",""),"(주)",""),"（주）",""),"㈜",""),"주식회사",""),"(유)",""),"（유）",""),"유한회사",""))</f>
        <v/>
      </c>
      <c r="AC735" s="31">
        <f>IF(OR($Y735="",N($Z735)&lt;=0,$AB735=""),0,IFERROR(LOOKUP(2,1/((거래처별!$AC$8:$AC$307&lt;&gt;"")*ISNUMBER(SEARCH(거래처별!$AC$8:$AC$307,$AB735))),거래처별!$A$8:$A$307),IFERROR(LOOKUP(2,1/((거래처별!$AD$8:$AD$307&lt;&gt;"")*ISNUMBER(SEARCH(거래처별!$AD$8:$AD$307,$AB735))),거래처별!$A$8:$A$307),IFERROR(LOOKUP(2,1/((거래처별!$AE$8:$AE$307&lt;&gt;"")*ISNUMBER(SEARCH(거래처별!$AE$8:$AE$307,$AB735))),거래처별!$A$8:$A$307),0))))</f>
        <v/>
      </c>
      <c r="AD735" s="31">
        <f>IF(AND($Y735&lt;&gt;"",N($Z735)&gt;0,$AC735=0),MAX($AD$7:$AD734)+1,"")</f>
        <v/>
      </c>
      <c r="AE735" s="31">
        <f>IF($Y735="",0,$Y735)</f>
        <v/>
      </c>
    </row>
    <row r="736">
      <c r="W736" s="31">
        <f>IF(OR($B$5="",$C$6="",ROW()&lt;$B$5),"",IF(INDEX($A:$U,ROW(),$C$6)="","",INDEX($A:$U,ROW(),$C$6)))</f>
        <v/>
      </c>
      <c r="X736" s="32">
        <f>IF($W736="","",IF(ISNUMBER($W736),IF($W736&gt;=10000000,IFERROR(DATE(INT($W736/10000),MOD(INT($W736/100),100),MOD($W736,100)),""),INT($W736)),IFERROR(DATE(--LEFT(LEFT(SUBSTITUTE(SUBSTITUTE(SUBSTITUTE(SUBSTITUTE(TRIM($W736),"-",""),".",""),"/","")," ",""),8),4),--MID(LEFT(SUBSTITUTE(SUBSTITUTE(SUBSTITUTE(SUBSTITUTE(TRIM($W736),"-",""),".",""),"/","")," ",""),8),5,2),--MID(LEFT(SUBSTITUTE(SUBSTITUTE(SUBSTITUTE(SUBSTITUTE(TRIM($W736),"-",""),".",""),"/","")," ",""),8),7,2)),"")))</f>
        <v/>
      </c>
      <c r="Y736" s="32">
        <f>IF($X736="","",INT($X736))</f>
        <v/>
      </c>
      <c r="Z736" s="33">
        <f>IF(OR($Y736="",$D$6=""),"",IF(INDEX($A:$U,ROW(),$D$6)="",0,IF(ISNUMBER(INDEX($A:$U,ROW(),$D$6)),INDEX($A:$U,ROW(),$D$6),IFERROR(--SUBSTITUTE(SUBSTITUTE(TRIM(INDEX($A:$U,ROW(),$D$6)),",",""),"원",""),0))))</f>
        <v/>
      </c>
      <c r="AA736" s="31">
        <f>IF($Y736="","",TRIM(INDEX($A:$U,ROW(),$E$6)&amp;IF($F$6="",""," "&amp;INDEX($A:$U,ROW(),$F$6))))</f>
        <v/>
      </c>
      <c r="AB736" s="31">
        <f>IF($AA736="","",SUBSTITUTE(SUBSTITUTE(SUBSTITUTE(SUBSTITUTE(SUBSTITUTE(SUBSTITUTE(SUBSTITUTE(SUBSTITUTE(SUBSTITUTE($AA736," ",""),"　",""),"(주)",""),"（주）",""),"㈜",""),"주식회사",""),"(유)",""),"（유）",""),"유한회사",""))</f>
        <v/>
      </c>
      <c r="AC736" s="31">
        <f>IF(OR($Y736="",N($Z736)&lt;=0,$AB736=""),0,IFERROR(LOOKUP(2,1/((거래처별!$AC$8:$AC$307&lt;&gt;"")*ISNUMBER(SEARCH(거래처별!$AC$8:$AC$307,$AB736))),거래처별!$A$8:$A$307),IFERROR(LOOKUP(2,1/((거래처별!$AD$8:$AD$307&lt;&gt;"")*ISNUMBER(SEARCH(거래처별!$AD$8:$AD$307,$AB736))),거래처별!$A$8:$A$307),IFERROR(LOOKUP(2,1/((거래처별!$AE$8:$AE$307&lt;&gt;"")*ISNUMBER(SEARCH(거래처별!$AE$8:$AE$307,$AB736))),거래처별!$A$8:$A$307),0))))</f>
        <v/>
      </c>
      <c r="AD736" s="31">
        <f>IF(AND($Y736&lt;&gt;"",N($Z736)&gt;0,$AC736=0),MAX($AD$7:$AD735)+1,"")</f>
        <v/>
      </c>
      <c r="AE736" s="31">
        <f>IF($Y736="",0,$Y736)</f>
        <v/>
      </c>
    </row>
    <row r="737">
      <c r="W737" s="31">
        <f>IF(OR($B$5="",$C$6="",ROW()&lt;$B$5),"",IF(INDEX($A:$U,ROW(),$C$6)="","",INDEX($A:$U,ROW(),$C$6)))</f>
        <v/>
      </c>
      <c r="X737" s="32">
        <f>IF($W737="","",IF(ISNUMBER($W737),IF($W737&gt;=10000000,IFERROR(DATE(INT($W737/10000),MOD(INT($W737/100),100),MOD($W737,100)),""),INT($W737)),IFERROR(DATE(--LEFT(LEFT(SUBSTITUTE(SUBSTITUTE(SUBSTITUTE(SUBSTITUTE(TRIM($W737),"-",""),".",""),"/","")," ",""),8),4),--MID(LEFT(SUBSTITUTE(SUBSTITUTE(SUBSTITUTE(SUBSTITUTE(TRIM($W737),"-",""),".",""),"/","")," ",""),8),5,2),--MID(LEFT(SUBSTITUTE(SUBSTITUTE(SUBSTITUTE(SUBSTITUTE(TRIM($W737),"-",""),".",""),"/","")," ",""),8),7,2)),"")))</f>
        <v/>
      </c>
      <c r="Y737" s="32">
        <f>IF($X737="","",INT($X737))</f>
        <v/>
      </c>
      <c r="Z737" s="33">
        <f>IF(OR($Y737="",$D$6=""),"",IF(INDEX($A:$U,ROW(),$D$6)="",0,IF(ISNUMBER(INDEX($A:$U,ROW(),$D$6)),INDEX($A:$U,ROW(),$D$6),IFERROR(--SUBSTITUTE(SUBSTITUTE(TRIM(INDEX($A:$U,ROW(),$D$6)),",",""),"원",""),0))))</f>
        <v/>
      </c>
      <c r="AA737" s="31">
        <f>IF($Y737="","",TRIM(INDEX($A:$U,ROW(),$E$6)&amp;IF($F$6="",""," "&amp;INDEX($A:$U,ROW(),$F$6))))</f>
        <v/>
      </c>
      <c r="AB737" s="31">
        <f>IF($AA737="","",SUBSTITUTE(SUBSTITUTE(SUBSTITUTE(SUBSTITUTE(SUBSTITUTE(SUBSTITUTE(SUBSTITUTE(SUBSTITUTE(SUBSTITUTE($AA737," ",""),"　",""),"(주)",""),"（주）",""),"㈜",""),"주식회사",""),"(유)",""),"（유）",""),"유한회사",""))</f>
        <v/>
      </c>
      <c r="AC737" s="31">
        <f>IF(OR($Y737="",N($Z737)&lt;=0,$AB737=""),0,IFERROR(LOOKUP(2,1/((거래처별!$AC$8:$AC$307&lt;&gt;"")*ISNUMBER(SEARCH(거래처별!$AC$8:$AC$307,$AB737))),거래처별!$A$8:$A$307),IFERROR(LOOKUP(2,1/((거래처별!$AD$8:$AD$307&lt;&gt;"")*ISNUMBER(SEARCH(거래처별!$AD$8:$AD$307,$AB737))),거래처별!$A$8:$A$307),IFERROR(LOOKUP(2,1/((거래처별!$AE$8:$AE$307&lt;&gt;"")*ISNUMBER(SEARCH(거래처별!$AE$8:$AE$307,$AB737))),거래처별!$A$8:$A$307),0))))</f>
        <v/>
      </c>
      <c r="AD737" s="31">
        <f>IF(AND($Y737&lt;&gt;"",N($Z737)&gt;0,$AC737=0),MAX($AD$7:$AD736)+1,"")</f>
        <v/>
      </c>
      <c r="AE737" s="31">
        <f>IF($Y737="",0,$Y737)</f>
        <v/>
      </c>
    </row>
    <row r="738">
      <c r="W738" s="31">
        <f>IF(OR($B$5="",$C$6="",ROW()&lt;$B$5),"",IF(INDEX($A:$U,ROW(),$C$6)="","",INDEX($A:$U,ROW(),$C$6)))</f>
        <v/>
      </c>
      <c r="X738" s="32">
        <f>IF($W738="","",IF(ISNUMBER($W738),IF($W738&gt;=10000000,IFERROR(DATE(INT($W738/10000),MOD(INT($W738/100),100),MOD($W738,100)),""),INT($W738)),IFERROR(DATE(--LEFT(LEFT(SUBSTITUTE(SUBSTITUTE(SUBSTITUTE(SUBSTITUTE(TRIM($W738),"-",""),".",""),"/","")," ",""),8),4),--MID(LEFT(SUBSTITUTE(SUBSTITUTE(SUBSTITUTE(SUBSTITUTE(TRIM($W738),"-",""),".",""),"/","")," ",""),8),5,2),--MID(LEFT(SUBSTITUTE(SUBSTITUTE(SUBSTITUTE(SUBSTITUTE(TRIM($W738),"-",""),".",""),"/","")," ",""),8),7,2)),"")))</f>
        <v/>
      </c>
      <c r="Y738" s="32">
        <f>IF($X738="","",INT($X738))</f>
        <v/>
      </c>
      <c r="Z738" s="33">
        <f>IF(OR($Y738="",$D$6=""),"",IF(INDEX($A:$U,ROW(),$D$6)="",0,IF(ISNUMBER(INDEX($A:$U,ROW(),$D$6)),INDEX($A:$U,ROW(),$D$6),IFERROR(--SUBSTITUTE(SUBSTITUTE(TRIM(INDEX($A:$U,ROW(),$D$6)),",",""),"원",""),0))))</f>
        <v/>
      </c>
      <c r="AA738" s="31">
        <f>IF($Y738="","",TRIM(INDEX($A:$U,ROW(),$E$6)&amp;IF($F$6="",""," "&amp;INDEX($A:$U,ROW(),$F$6))))</f>
        <v/>
      </c>
      <c r="AB738" s="31">
        <f>IF($AA738="","",SUBSTITUTE(SUBSTITUTE(SUBSTITUTE(SUBSTITUTE(SUBSTITUTE(SUBSTITUTE(SUBSTITUTE(SUBSTITUTE(SUBSTITUTE($AA738," ",""),"　",""),"(주)",""),"（주）",""),"㈜",""),"주식회사",""),"(유)",""),"（유）",""),"유한회사",""))</f>
        <v/>
      </c>
      <c r="AC738" s="31">
        <f>IF(OR($Y738="",N($Z738)&lt;=0,$AB738=""),0,IFERROR(LOOKUP(2,1/((거래처별!$AC$8:$AC$307&lt;&gt;"")*ISNUMBER(SEARCH(거래처별!$AC$8:$AC$307,$AB738))),거래처별!$A$8:$A$307),IFERROR(LOOKUP(2,1/((거래처별!$AD$8:$AD$307&lt;&gt;"")*ISNUMBER(SEARCH(거래처별!$AD$8:$AD$307,$AB738))),거래처별!$A$8:$A$307),IFERROR(LOOKUP(2,1/((거래처별!$AE$8:$AE$307&lt;&gt;"")*ISNUMBER(SEARCH(거래처별!$AE$8:$AE$307,$AB738))),거래처별!$A$8:$A$307),0))))</f>
        <v/>
      </c>
      <c r="AD738" s="31">
        <f>IF(AND($Y738&lt;&gt;"",N($Z738)&gt;0,$AC738=0),MAX($AD$7:$AD737)+1,"")</f>
        <v/>
      </c>
      <c r="AE738" s="31">
        <f>IF($Y738="",0,$Y738)</f>
        <v/>
      </c>
    </row>
    <row r="739">
      <c r="W739" s="31">
        <f>IF(OR($B$5="",$C$6="",ROW()&lt;$B$5),"",IF(INDEX($A:$U,ROW(),$C$6)="","",INDEX($A:$U,ROW(),$C$6)))</f>
        <v/>
      </c>
      <c r="X739" s="32">
        <f>IF($W739="","",IF(ISNUMBER($W739),IF($W739&gt;=10000000,IFERROR(DATE(INT($W739/10000),MOD(INT($W739/100),100),MOD($W739,100)),""),INT($W739)),IFERROR(DATE(--LEFT(LEFT(SUBSTITUTE(SUBSTITUTE(SUBSTITUTE(SUBSTITUTE(TRIM($W739),"-",""),".",""),"/","")," ",""),8),4),--MID(LEFT(SUBSTITUTE(SUBSTITUTE(SUBSTITUTE(SUBSTITUTE(TRIM($W739),"-",""),".",""),"/","")," ",""),8),5,2),--MID(LEFT(SUBSTITUTE(SUBSTITUTE(SUBSTITUTE(SUBSTITUTE(TRIM($W739),"-",""),".",""),"/","")," ",""),8),7,2)),"")))</f>
        <v/>
      </c>
      <c r="Y739" s="32">
        <f>IF($X739="","",INT($X739))</f>
        <v/>
      </c>
      <c r="Z739" s="33">
        <f>IF(OR($Y739="",$D$6=""),"",IF(INDEX($A:$U,ROW(),$D$6)="",0,IF(ISNUMBER(INDEX($A:$U,ROW(),$D$6)),INDEX($A:$U,ROW(),$D$6),IFERROR(--SUBSTITUTE(SUBSTITUTE(TRIM(INDEX($A:$U,ROW(),$D$6)),",",""),"원",""),0))))</f>
        <v/>
      </c>
      <c r="AA739" s="31">
        <f>IF($Y739="","",TRIM(INDEX($A:$U,ROW(),$E$6)&amp;IF($F$6="",""," "&amp;INDEX($A:$U,ROW(),$F$6))))</f>
        <v/>
      </c>
      <c r="AB739" s="31">
        <f>IF($AA739="","",SUBSTITUTE(SUBSTITUTE(SUBSTITUTE(SUBSTITUTE(SUBSTITUTE(SUBSTITUTE(SUBSTITUTE(SUBSTITUTE(SUBSTITUTE($AA739," ",""),"　",""),"(주)",""),"（주）",""),"㈜",""),"주식회사",""),"(유)",""),"（유）",""),"유한회사",""))</f>
        <v/>
      </c>
      <c r="AC739" s="31">
        <f>IF(OR($Y739="",N($Z739)&lt;=0,$AB739=""),0,IFERROR(LOOKUP(2,1/((거래처별!$AC$8:$AC$307&lt;&gt;"")*ISNUMBER(SEARCH(거래처별!$AC$8:$AC$307,$AB739))),거래처별!$A$8:$A$307),IFERROR(LOOKUP(2,1/((거래처별!$AD$8:$AD$307&lt;&gt;"")*ISNUMBER(SEARCH(거래처별!$AD$8:$AD$307,$AB739))),거래처별!$A$8:$A$307),IFERROR(LOOKUP(2,1/((거래처별!$AE$8:$AE$307&lt;&gt;"")*ISNUMBER(SEARCH(거래처별!$AE$8:$AE$307,$AB739))),거래처별!$A$8:$A$307),0))))</f>
        <v/>
      </c>
      <c r="AD739" s="31">
        <f>IF(AND($Y739&lt;&gt;"",N($Z739)&gt;0,$AC739=0),MAX($AD$7:$AD738)+1,"")</f>
        <v/>
      </c>
      <c r="AE739" s="31">
        <f>IF($Y739="",0,$Y739)</f>
        <v/>
      </c>
    </row>
    <row r="740">
      <c r="W740" s="31">
        <f>IF(OR($B$5="",$C$6="",ROW()&lt;$B$5),"",IF(INDEX($A:$U,ROW(),$C$6)="","",INDEX($A:$U,ROW(),$C$6)))</f>
        <v/>
      </c>
      <c r="X740" s="32">
        <f>IF($W740="","",IF(ISNUMBER($W740),IF($W740&gt;=10000000,IFERROR(DATE(INT($W740/10000),MOD(INT($W740/100),100),MOD($W740,100)),""),INT($W740)),IFERROR(DATE(--LEFT(LEFT(SUBSTITUTE(SUBSTITUTE(SUBSTITUTE(SUBSTITUTE(TRIM($W740),"-",""),".",""),"/","")," ",""),8),4),--MID(LEFT(SUBSTITUTE(SUBSTITUTE(SUBSTITUTE(SUBSTITUTE(TRIM($W740),"-",""),".",""),"/","")," ",""),8),5,2),--MID(LEFT(SUBSTITUTE(SUBSTITUTE(SUBSTITUTE(SUBSTITUTE(TRIM($W740),"-",""),".",""),"/","")," ",""),8),7,2)),"")))</f>
        <v/>
      </c>
      <c r="Y740" s="32">
        <f>IF($X740="","",INT($X740))</f>
        <v/>
      </c>
      <c r="Z740" s="33">
        <f>IF(OR($Y740="",$D$6=""),"",IF(INDEX($A:$U,ROW(),$D$6)="",0,IF(ISNUMBER(INDEX($A:$U,ROW(),$D$6)),INDEX($A:$U,ROW(),$D$6),IFERROR(--SUBSTITUTE(SUBSTITUTE(TRIM(INDEX($A:$U,ROW(),$D$6)),",",""),"원",""),0))))</f>
        <v/>
      </c>
      <c r="AA740" s="31">
        <f>IF($Y740="","",TRIM(INDEX($A:$U,ROW(),$E$6)&amp;IF($F$6="",""," "&amp;INDEX($A:$U,ROW(),$F$6))))</f>
        <v/>
      </c>
      <c r="AB740" s="31">
        <f>IF($AA740="","",SUBSTITUTE(SUBSTITUTE(SUBSTITUTE(SUBSTITUTE(SUBSTITUTE(SUBSTITUTE(SUBSTITUTE(SUBSTITUTE(SUBSTITUTE($AA740," ",""),"　",""),"(주)",""),"（주）",""),"㈜",""),"주식회사",""),"(유)",""),"（유）",""),"유한회사",""))</f>
        <v/>
      </c>
      <c r="AC740" s="31">
        <f>IF(OR($Y740="",N($Z740)&lt;=0,$AB740=""),0,IFERROR(LOOKUP(2,1/((거래처별!$AC$8:$AC$307&lt;&gt;"")*ISNUMBER(SEARCH(거래처별!$AC$8:$AC$307,$AB740))),거래처별!$A$8:$A$307),IFERROR(LOOKUP(2,1/((거래처별!$AD$8:$AD$307&lt;&gt;"")*ISNUMBER(SEARCH(거래처별!$AD$8:$AD$307,$AB740))),거래처별!$A$8:$A$307),IFERROR(LOOKUP(2,1/((거래처별!$AE$8:$AE$307&lt;&gt;"")*ISNUMBER(SEARCH(거래처별!$AE$8:$AE$307,$AB740))),거래처별!$A$8:$A$307),0))))</f>
        <v/>
      </c>
      <c r="AD740" s="31">
        <f>IF(AND($Y740&lt;&gt;"",N($Z740)&gt;0,$AC740=0),MAX($AD$7:$AD739)+1,"")</f>
        <v/>
      </c>
      <c r="AE740" s="31">
        <f>IF($Y740="",0,$Y740)</f>
        <v/>
      </c>
    </row>
    <row r="741">
      <c r="W741" s="31">
        <f>IF(OR($B$5="",$C$6="",ROW()&lt;$B$5),"",IF(INDEX($A:$U,ROW(),$C$6)="","",INDEX($A:$U,ROW(),$C$6)))</f>
        <v/>
      </c>
      <c r="X741" s="32">
        <f>IF($W741="","",IF(ISNUMBER($W741),IF($W741&gt;=10000000,IFERROR(DATE(INT($W741/10000),MOD(INT($W741/100),100),MOD($W741,100)),""),INT($W741)),IFERROR(DATE(--LEFT(LEFT(SUBSTITUTE(SUBSTITUTE(SUBSTITUTE(SUBSTITUTE(TRIM($W741),"-",""),".",""),"/","")," ",""),8),4),--MID(LEFT(SUBSTITUTE(SUBSTITUTE(SUBSTITUTE(SUBSTITUTE(TRIM($W741),"-",""),".",""),"/","")," ",""),8),5,2),--MID(LEFT(SUBSTITUTE(SUBSTITUTE(SUBSTITUTE(SUBSTITUTE(TRIM($W741),"-",""),".",""),"/","")," ",""),8),7,2)),"")))</f>
        <v/>
      </c>
      <c r="Y741" s="32">
        <f>IF($X741="","",INT($X741))</f>
        <v/>
      </c>
      <c r="Z741" s="33">
        <f>IF(OR($Y741="",$D$6=""),"",IF(INDEX($A:$U,ROW(),$D$6)="",0,IF(ISNUMBER(INDEX($A:$U,ROW(),$D$6)),INDEX($A:$U,ROW(),$D$6),IFERROR(--SUBSTITUTE(SUBSTITUTE(TRIM(INDEX($A:$U,ROW(),$D$6)),",",""),"원",""),0))))</f>
        <v/>
      </c>
      <c r="AA741" s="31">
        <f>IF($Y741="","",TRIM(INDEX($A:$U,ROW(),$E$6)&amp;IF($F$6="",""," "&amp;INDEX($A:$U,ROW(),$F$6))))</f>
        <v/>
      </c>
      <c r="AB741" s="31">
        <f>IF($AA741="","",SUBSTITUTE(SUBSTITUTE(SUBSTITUTE(SUBSTITUTE(SUBSTITUTE(SUBSTITUTE(SUBSTITUTE(SUBSTITUTE(SUBSTITUTE($AA741," ",""),"　",""),"(주)",""),"（주）",""),"㈜",""),"주식회사",""),"(유)",""),"（유）",""),"유한회사",""))</f>
        <v/>
      </c>
      <c r="AC741" s="31">
        <f>IF(OR($Y741="",N($Z741)&lt;=0,$AB741=""),0,IFERROR(LOOKUP(2,1/((거래처별!$AC$8:$AC$307&lt;&gt;"")*ISNUMBER(SEARCH(거래처별!$AC$8:$AC$307,$AB741))),거래처별!$A$8:$A$307),IFERROR(LOOKUP(2,1/((거래처별!$AD$8:$AD$307&lt;&gt;"")*ISNUMBER(SEARCH(거래처별!$AD$8:$AD$307,$AB741))),거래처별!$A$8:$A$307),IFERROR(LOOKUP(2,1/((거래처별!$AE$8:$AE$307&lt;&gt;"")*ISNUMBER(SEARCH(거래처별!$AE$8:$AE$307,$AB741))),거래처별!$A$8:$A$307),0))))</f>
        <v/>
      </c>
      <c r="AD741" s="31">
        <f>IF(AND($Y741&lt;&gt;"",N($Z741)&gt;0,$AC741=0),MAX($AD$7:$AD740)+1,"")</f>
        <v/>
      </c>
      <c r="AE741" s="31">
        <f>IF($Y741="",0,$Y741)</f>
        <v/>
      </c>
    </row>
    <row r="742">
      <c r="W742" s="31">
        <f>IF(OR($B$5="",$C$6="",ROW()&lt;$B$5),"",IF(INDEX($A:$U,ROW(),$C$6)="","",INDEX($A:$U,ROW(),$C$6)))</f>
        <v/>
      </c>
      <c r="X742" s="32">
        <f>IF($W742="","",IF(ISNUMBER($W742),IF($W742&gt;=10000000,IFERROR(DATE(INT($W742/10000),MOD(INT($W742/100),100),MOD($W742,100)),""),INT($W742)),IFERROR(DATE(--LEFT(LEFT(SUBSTITUTE(SUBSTITUTE(SUBSTITUTE(SUBSTITUTE(TRIM($W742),"-",""),".",""),"/","")," ",""),8),4),--MID(LEFT(SUBSTITUTE(SUBSTITUTE(SUBSTITUTE(SUBSTITUTE(TRIM($W742),"-",""),".",""),"/","")," ",""),8),5,2),--MID(LEFT(SUBSTITUTE(SUBSTITUTE(SUBSTITUTE(SUBSTITUTE(TRIM($W742),"-",""),".",""),"/","")," ",""),8),7,2)),"")))</f>
        <v/>
      </c>
      <c r="Y742" s="32">
        <f>IF($X742="","",INT($X742))</f>
        <v/>
      </c>
      <c r="Z742" s="33">
        <f>IF(OR($Y742="",$D$6=""),"",IF(INDEX($A:$U,ROW(),$D$6)="",0,IF(ISNUMBER(INDEX($A:$U,ROW(),$D$6)),INDEX($A:$U,ROW(),$D$6),IFERROR(--SUBSTITUTE(SUBSTITUTE(TRIM(INDEX($A:$U,ROW(),$D$6)),",",""),"원",""),0))))</f>
        <v/>
      </c>
      <c r="AA742" s="31">
        <f>IF($Y742="","",TRIM(INDEX($A:$U,ROW(),$E$6)&amp;IF($F$6="",""," "&amp;INDEX($A:$U,ROW(),$F$6))))</f>
        <v/>
      </c>
      <c r="AB742" s="31">
        <f>IF($AA742="","",SUBSTITUTE(SUBSTITUTE(SUBSTITUTE(SUBSTITUTE(SUBSTITUTE(SUBSTITUTE(SUBSTITUTE(SUBSTITUTE(SUBSTITUTE($AA742," ",""),"　",""),"(주)",""),"（주）",""),"㈜",""),"주식회사",""),"(유)",""),"（유）",""),"유한회사",""))</f>
        <v/>
      </c>
      <c r="AC742" s="31">
        <f>IF(OR($Y742="",N($Z742)&lt;=0,$AB742=""),0,IFERROR(LOOKUP(2,1/((거래처별!$AC$8:$AC$307&lt;&gt;"")*ISNUMBER(SEARCH(거래처별!$AC$8:$AC$307,$AB742))),거래처별!$A$8:$A$307),IFERROR(LOOKUP(2,1/((거래처별!$AD$8:$AD$307&lt;&gt;"")*ISNUMBER(SEARCH(거래처별!$AD$8:$AD$307,$AB742))),거래처별!$A$8:$A$307),IFERROR(LOOKUP(2,1/((거래처별!$AE$8:$AE$307&lt;&gt;"")*ISNUMBER(SEARCH(거래처별!$AE$8:$AE$307,$AB742))),거래처별!$A$8:$A$307),0))))</f>
        <v/>
      </c>
      <c r="AD742" s="31">
        <f>IF(AND($Y742&lt;&gt;"",N($Z742)&gt;0,$AC742=0),MAX($AD$7:$AD741)+1,"")</f>
        <v/>
      </c>
      <c r="AE742" s="31">
        <f>IF($Y742="",0,$Y742)</f>
        <v/>
      </c>
    </row>
    <row r="743">
      <c r="W743" s="31">
        <f>IF(OR($B$5="",$C$6="",ROW()&lt;$B$5),"",IF(INDEX($A:$U,ROW(),$C$6)="","",INDEX($A:$U,ROW(),$C$6)))</f>
        <v/>
      </c>
      <c r="X743" s="32">
        <f>IF($W743="","",IF(ISNUMBER($W743),IF($W743&gt;=10000000,IFERROR(DATE(INT($W743/10000),MOD(INT($W743/100),100),MOD($W743,100)),""),INT($W743)),IFERROR(DATE(--LEFT(LEFT(SUBSTITUTE(SUBSTITUTE(SUBSTITUTE(SUBSTITUTE(TRIM($W743),"-",""),".",""),"/","")," ",""),8),4),--MID(LEFT(SUBSTITUTE(SUBSTITUTE(SUBSTITUTE(SUBSTITUTE(TRIM($W743),"-",""),".",""),"/","")," ",""),8),5,2),--MID(LEFT(SUBSTITUTE(SUBSTITUTE(SUBSTITUTE(SUBSTITUTE(TRIM($W743),"-",""),".",""),"/","")," ",""),8),7,2)),"")))</f>
        <v/>
      </c>
      <c r="Y743" s="32">
        <f>IF($X743="","",INT($X743))</f>
        <v/>
      </c>
      <c r="Z743" s="33">
        <f>IF(OR($Y743="",$D$6=""),"",IF(INDEX($A:$U,ROW(),$D$6)="",0,IF(ISNUMBER(INDEX($A:$U,ROW(),$D$6)),INDEX($A:$U,ROW(),$D$6),IFERROR(--SUBSTITUTE(SUBSTITUTE(TRIM(INDEX($A:$U,ROW(),$D$6)),",",""),"원",""),0))))</f>
        <v/>
      </c>
      <c r="AA743" s="31">
        <f>IF($Y743="","",TRIM(INDEX($A:$U,ROW(),$E$6)&amp;IF($F$6="",""," "&amp;INDEX($A:$U,ROW(),$F$6))))</f>
        <v/>
      </c>
      <c r="AB743" s="31">
        <f>IF($AA743="","",SUBSTITUTE(SUBSTITUTE(SUBSTITUTE(SUBSTITUTE(SUBSTITUTE(SUBSTITUTE(SUBSTITUTE(SUBSTITUTE(SUBSTITUTE($AA743," ",""),"　",""),"(주)",""),"（주）",""),"㈜",""),"주식회사",""),"(유)",""),"（유）",""),"유한회사",""))</f>
        <v/>
      </c>
      <c r="AC743" s="31">
        <f>IF(OR($Y743="",N($Z743)&lt;=0,$AB743=""),0,IFERROR(LOOKUP(2,1/((거래처별!$AC$8:$AC$307&lt;&gt;"")*ISNUMBER(SEARCH(거래처별!$AC$8:$AC$307,$AB743))),거래처별!$A$8:$A$307),IFERROR(LOOKUP(2,1/((거래처별!$AD$8:$AD$307&lt;&gt;"")*ISNUMBER(SEARCH(거래처별!$AD$8:$AD$307,$AB743))),거래처별!$A$8:$A$307),IFERROR(LOOKUP(2,1/((거래처별!$AE$8:$AE$307&lt;&gt;"")*ISNUMBER(SEARCH(거래처별!$AE$8:$AE$307,$AB743))),거래처별!$A$8:$A$307),0))))</f>
        <v/>
      </c>
      <c r="AD743" s="31">
        <f>IF(AND($Y743&lt;&gt;"",N($Z743)&gt;0,$AC743=0),MAX($AD$7:$AD742)+1,"")</f>
        <v/>
      </c>
      <c r="AE743" s="31">
        <f>IF($Y743="",0,$Y743)</f>
        <v/>
      </c>
    </row>
    <row r="744">
      <c r="W744" s="31">
        <f>IF(OR($B$5="",$C$6="",ROW()&lt;$B$5),"",IF(INDEX($A:$U,ROW(),$C$6)="","",INDEX($A:$U,ROW(),$C$6)))</f>
        <v/>
      </c>
      <c r="X744" s="32">
        <f>IF($W744="","",IF(ISNUMBER($W744),IF($W744&gt;=10000000,IFERROR(DATE(INT($W744/10000),MOD(INT($W744/100),100),MOD($W744,100)),""),INT($W744)),IFERROR(DATE(--LEFT(LEFT(SUBSTITUTE(SUBSTITUTE(SUBSTITUTE(SUBSTITUTE(TRIM($W744),"-",""),".",""),"/","")," ",""),8),4),--MID(LEFT(SUBSTITUTE(SUBSTITUTE(SUBSTITUTE(SUBSTITUTE(TRIM($W744),"-",""),".",""),"/","")," ",""),8),5,2),--MID(LEFT(SUBSTITUTE(SUBSTITUTE(SUBSTITUTE(SUBSTITUTE(TRIM($W744),"-",""),".",""),"/","")," ",""),8),7,2)),"")))</f>
        <v/>
      </c>
      <c r="Y744" s="32">
        <f>IF($X744="","",INT($X744))</f>
        <v/>
      </c>
      <c r="Z744" s="33">
        <f>IF(OR($Y744="",$D$6=""),"",IF(INDEX($A:$U,ROW(),$D$6)="",0,IF(ISNUMBER(INDEX($A:$U,ROW(),$D$6)),INDEX($A:$U,ROW(),$D$6),IFERROR(--SUBSTITUTE(SUBSTITUTE(TRIM(INDEX($A:$U,ROW(),$D$6)),",",""),"원",""),0))))</f>
        <v/>
      </c>
      <c r="AA744" s="31">
        <f>IF($Y744="","",TRIM(INDEX($A:$U,ROW(),$E$6)&amp;IF($F$6="",""," "&amp;INDEX($A:$U,ROW(),$F$6))))</f>
        <v/>
      </c>
      <c r="AB744" s="31">
        <f>IF($AA744="","",SUBSTITUTE(SUBSTITUTE(SUBSTITUTE(SUBSTITUTE(SUBSTITUTE(SUBSTITUTE(SUBSTITUTE(SUBSTITUTE(SUBSTITUTE($AA744," ",""),"　",""),"(주)",""),"（주）",""),"㈜",""),"주식회사",""),"(유)",""),"（유）",""),"유한회사",""))</f>
        <v/>
      </c>
      <c r="AC744" s="31">
        <f>IF(OR($Y744="",N($Z744)&lt;=0,$AB744=""),0,IFERROR(LOOKUP(2,1/((거래처별!$AC$8:$AC$307&lt;&gt;"")*ISNUMBER(SEARCH(거래처별!$AC$8:$AC$307,$AB744))),거래처별!$A$8:$A$307),IFERROR(LOOKUP(2,1/((거래처별!$AD$8:$AD$307&lt;&gt;"")*ISNUMBER(SEARCH(거래처별!$AD$8:$AD$307,$AB744))),거래처별!$A$8:$A$307),IFERROR(LOOKUP(2,1/((거래처별!$AE$8:$AE$307&lt;&gt;"")*ISNUMBER(SEARCH(거래처별!$AE$8:$AE$307,$AB744))),거래처별!$A$8:$A$307),0))))</f>
        <v/>
      </c>
      <c r="AD744" s="31">
        <f>IF(AND($Y744&lt;&gt;"",N($Z744)&gt;0,$AC744=0),MAX($AD$7:$AD743)+1,"")</f>
        <v/>
      </c>
      <c r="AE744" s="31">
        <f>IF($Y744="",0,$Y744)</f>
        <v/>
      </c>
    </row>
    <row r="745">
      <c r="W745" s="31">
        <f>IF(OR($B$5="",$C$6="",ROW()&lt;$B$5),"",IF(INDEX($A:$U,ROW(),$C$6)="","",INDEX($A:$U,ROW(),$C$6)))</f>
        <v/>
      </c>
      <c r="X745" s="32">
        <f>IF($W745="","",IF(ISNUMBER($W745),IF($W745&gt;=10000000,IFERROR(DATE(INT($W745/10000),MOD(INT($W745/100),100),MOD($W745,100)),""),INT($W745)),IFERROR(DATE(--LEFT(LEFT(SUBSTITUTE(SUBSTITUTE(SUBSTITUTE(SUBSTITUTE(TRIM($W745),"-",""),".",""),"/","")," ",""),8),4),--MID(LEFT(SUBSTITUTE(SUBSTITUTE(SUBSTITUTE(SUBSTITUTE(TRIM($W745),"-",""),".",""),"/","")," ",""),8),5,2),--MID(LEFT(SUBSTITUTE(SUBSTITUTE(SUBSTITUTE(SUBSTITUTE(TRIM($W745),"-",""),".",""),"/","")," ",""),8),7,2)),"")))</f>
        <v/>
      </c>
      <c r="Y745" s="32">
        <f>IF($X745="","",INT($X745))</f>
        <v/>
      </c>
      <c r="Z745" s="33">
        <f>IF(OR($Y745="",$D$6=""),"",IF(INDEX($A:$U,ROW(),$D$6)="",0,IF(ISNUMBER(INDEX($A:$U,ROW(),$D$6)),INDEX($A:$U,ROW(),$D$6),IFERROR(--SUBSTITUTE(SUBSTITUTE(TRIM(INDEX($A:$U,ROW(),$D$6)),",",""),"원",""),0))))</f>
        <v/>
      </c>
      <c r="AA745" s="31">
        <f>IF($Y745="","",TRIM(INDEX($A:$U,ROW(),$E$6)&amp;IF($F$6="",""," "&amp;INDEX($A:$U,ROW(),$F$6))))</f>
        <v/>
      </c>
      <c r="AB745" s="31">
        <f>IF($AA745="","",SUBSTITUTE(SUBSTITUTE(SUBSTITUTE(SUBSTITUTE(SUBSTITUTE(SUBSTITUTE(SUBSTITUTE(SUBSTITUTE(SUBSTITUTE($AA745," ",""),"　",""),"(주)",""),"（주）",""),"㈜",""),"주식회사",""),"(유)",""),"（유）",""),"유한회사",""))</f>
        <v/>
      </c>
      <c r="AC745" s="31">
        <f>IF(OR($Y745="",N($Z745)&lt;=0,$AB745=""),0,IFERROR(LOOKUP(2,1/((거래처별!$AC$8:$AC$307&lt;&gt;"")*ISNUMBER(SEARCH(거래처별!$AC$8:$AC$307,$AB745))),거래처별!$A$8:$A$307),IFERROR(LOOKUP(2,1/((거래처별!$AD$8:$AD$307&lt;&gt;"")*ISNUMBER(SEARCH(거래처별!$AD$8:$AD$307,$AB745))),거래처별!$A$8:$A$307),IFERROR(LOOKUP(2,1/((거래처별!$AE$8:$AE$307&lt;&gt;"")*ISNUMBER(SEARCH(거래처별!$AE$8:$AE$307,$AB745))),거래처별!$A$8:$A$307),0))))</f>
        <v/>
      </c>
      <c r="AD745" s="31">
        <f>IF(AND($Y745&lt;&gt;"",N($Z745)&gt;0,$AC745=0),MAX($AD$7:$AD744)+1,"")</f>
        <v/>
      </c>
      <c r="AE745" s="31">
        <f>IF($Y745="",0,$Y745)</f>
        <v/>
      </c>
    </row>
    <row r="746">
      <c r="W746" s="31">
        <f>IF(OR($B$5="",$C$6="",ROW()&lt;$B$5),"",IF(INDEX($A:$U,ROW(),$C$6)="","",INDEX($A:$U,ROW(),$C$6)))</f>
        <v/>
      </c>
      <c r="X746" s="32">
        <f>IF($W746="","",IF(ISNUMBER($W746),IF($W746&gt;=10000000,IFERROR(DATE(INT($W746/10000),MOD(INT($W746/100),100),MOD($W746,100)),""),INT($W746)),IFERROR(DATE(--LEFT(LEFT(SUBSTITUTE(SUBSTITUTE(SUBSTITUTE(SUBSTITUTE(TRIM($W746),"-",""),".",""),"/","")," ",""),8),4),--MID(LEFT(SUBSTITUTE(SUBSTITUTE(SUBSTITUTE(SUBSTITUTE(TRIM($W746),"-",""),".",""),"/","")," ",""),8),5,2),--MID(LEFT(SUBSTITUTE(SUBSTITUTE(SUBSTITUTE(SUBSTITUTE(TRIM($W746),"-",""),".",""),"/","")," ",""),8),7,2)),"")))</f>
        <v/>
      </c>
      <c r="Y746" s="32">
        <f>IF($X746="","",INT($X746))</f>
        <v/>
      </c>
      <c r="Z746" s="33">
        <f>IF(OR($Y746="",$D$6=""),"",IF(INDEX($A:$U,ROW(),$D$6)="",0,IF(ISNUMBER(INDEX($A:$U,ROW(),$D$6)),INDEX($A:$U,ROW(),$D$6),IFERROR(--SUBSTITUTE(SUBSTITUTE(TRIM(INDEX($A:$U,ROW(),$D$6)),",",""),"원",""),0))))</f>
        <v/>
      </c>
      <c r="AA746" s="31">
        <f>IF($Y746="","",TRIM(INDEX($A:$U,ROW(),$E$6)&amp;IF($F$6="",""," "&amp;INDEX($A:$U,ROW(),$F$6))))</f>
        <v/>
      </c>
      <c r="AB746" s="31">
        <f>IF($AA746="","",SUBSTITUTE(SUBSTITUTE(SUBSTITUTE(SUBSTITUTE(SUBSTITUTE(SUBSTITUTE(SUBSTITUTE(SUBSTITUTE(SUBSTITUTE($AA746," ",""),"　",""),"(주)",""),"（주）",""),"㈜",""),"주식회사",""),"(유)",""),"（유）",""),"유한회사",""))</f>
        <v/>
      </c>
      <c r="AC746" s="31">
        <f>IF(OR($Y746="",N($Z746)&lt;=0,$AB746=""),0,IFERROR(LOOKUP(2,1/((거래처별!$AC$8:$AC$307&lt;&gt;"")*ISNUMBER(SEARCH(거래처별!$AC$8:$AC$307,$AB746))),거래처별!$A$8:$A$307),IFERROR(LOOKUP(2,1/((거래처별!$AD$8:$AD$307&lt;&gt;"")*ISNUMBER(SEARCH(거래처별!$AD$8:$AD$307,$AB746))),거래처별!$A$8:$A$307),IFERROR(LOOKUP(2,1/((거래처별!$AE$8:$AE$307&lt;&gt;"")*ISNUMBER(SEARCH(거래처별!$AE$8:$AE$307,$AB746))),거래처별!$A$8:$A$307),0))))</f>
        <v/>
      </c>
      <c r="AD746" s="31">
        <f>IF(AND($Y746&lt;&gt;"",N($Z746)&gt;0,$AC746=0),MAX($AD$7:$AD745)+1,"")</f>
        <v/>
      </c>
      <c r="AE746" s="31">
        <f>IF($Y746="",0,$Y746)</f>
        <v/>
      </c>
    </row>
    <row r="747">
      <c r="W747" s="31">
        <f>IF(OR($B$5="",$C$6="",ROW()&lt;$B$5),"",IF(INDEX($A:$U,ROW(),$C$6)="","",INDEX($A:$U,ROW(),$C$6)))</f>
        <v/>
      </c>
      <c r="X747" s="32">
        <f>IF($W747="","",IF(ISNUMBER($W747),IF($W747&gt;=10000000,IFERROR(DATE(INT($W747/10000),MOD(INT($W747/100),100),MOD($W747,100)),""),INT($W747)),IFERROR(DATE(--LEFT(LEFT(SUBSTITUTE(SUBSTITUTE(SUBSTITUTE(SUBSTITUTE(TRIM($W747),"-",""),".",""),"/","")," ",""),8),4),--MID(LEFT(SUBSTITUTE(SUBSTITUTE(SUBSTITUTE(SUBSTITUTE(TRIM($W747),"-",""),".",""),"/","")," ",""),8),5,2),--MID(LEFT(SUBSTITUTE(SUBSTITUTE(SUBSTITUTE(SUBSTITUTE(TRIM($W747),"-",""),".",""),"/","")," ",""),8),7,2)),"")))</f>
        <v/>
      </c>
      <c r="Y747" s="32">
        <f>IF($X747="","",INT($X747))</f>
        <v/>
      </c>
      <c r="Z747" s="33">
        <f>IF(OR($Y747="",$D$6=""),"",IF(INDEX($A:$U,ROW(),$D$6)="",0,IF(ISNUMBER(INDEX($A:$U,ROW(),$D$6)),INDEX($A:$U,ROW(),$D$6),IFERROR(--SUBSTITUTE(SUBSTITUTE(TRIM(INDEX($A:$U,ROW(),$D$6)),",",""),"원",""),0))))</f>
        <v/>
      </c>
      <c r="AA747" s="31">
        <f>IF($Y747="","",TRIM(INDEX($A:$U,ROW(),$E$6)&amp;IF($F$6="",""," "&amp;INDEX($A:$U,ROW(),$F$6))))</f>
        <v/>
      </c>
      <c r="AB747" s="31">
        <f>IF($AA747="","",SUBSTITUTE(SUBSTITUTE(SUBSTITUTE(SUBSTITUTE(SUBSTITUTE(SUBSTITUTE(SUBSTITUTE(SUBSTITUTE(SUBSTITUTE($AA747," ",""),"　",""),"(주)",""),"（주）",""),"㈜",""),"주식회사",""),"(유)",""),"（유）",""),"유한회사",""))</f>
        <v/>
      </c>
      <c r="AC747" s="31">
        <f>IF(OR($Y747="",N($Z747)&lt;=0,$AB747=""),0,IFERROR(LOOKUP(2,1/((거래처별!$AC$8:$AC$307&lt;&gt;"")*ISNUMBER(SEARCH(거래처별!$AC$8:$AC$307,$AB747))),거래처별!$A$8:$A$307),IFERROR(LOOKUP(2,1/((거래처별!$AD$8:$AD$307&lt;&gt;"")*ISNUMBER(SEARCH(거래처별!$AD$8:$AD$307,$AB747))),거래처별!$A$8:$A$307),IFERROR(LOOKUP(2,1/((거래처별!$AE$8:$AE$307&lt;&gt;"")*ISNUMBER(SEARCH(거래처별!$AE$8:$AE$307,$AB747))),거래처별!$A$8:$A$307),0))))</f>
        <v/>
      </c>
      <c r="AD747" s="31">
        <f>IF(AND($Y747&lt;&gt;"",N($Z747)&gt;0,$AC747=0),MAX($AD$7:$AD746)+1,"")</f>
        <v/>
      </c>
      <c r="AE747" s="31">
        <f>IF($Y747="",0,$Y747)</f>
        <v/>
      </c>
    </row>
    <row r="748">
      <c r="W748" s="31">
        <f>IF(OR($B$5="",$C$6="",ROW()&lt;$B$5),"",IF(INDEX($A:$U,ROW(),$C$6)="","",INDEX($A:$U,ROW(),$C$6)))</f>
        <v/>
      </c>
      <c r="X748" s="32">
        <f>IF($W748="","",IF(ISNUMBER($W748),IF($W748&gt;=10000000,IFERROR(DATE(INT($W748/10000),MOD(INT($W748/100),100),MOD($W748,100)),""),INT($W748)),IFERROR(DATE(--LEFT(LEFT(SUBSTITUTE(SUBSTITUTE(SUBSTITUTE(SUBSTITUTE(TRIM($W748),"-",""),".",""),"/","")," ",""),8),4),--MID(LEFT(SUBSTITUTE(SUBSTITUTE(SUBSTITUTE(SUBSTITUTE(TRIM($W748),"-",""),".",""),"/","")," ",""),8),5,2),--MID(LEFT(SUBSTITUTE(SUBSTITUTE(SUBSTITUTE(SUBSTITUTE(TRIM($W748),"-",""),".",""),"/","")," ",""),8),7,2)),"")))</f>
        <v/>
      </c>
      <c r="Y748" s="32">
        <f>IF($X748="","",INT($X748))</f>
        <v/>
      </c>
      <c r="Z748" s="33">
        <f>IF(OR($Y748="",$D$6=""),"",IF(INDEX($A:$U,ROW(),$D$6)="",0,IF(ISNUMBER(INDEX($A:$U,ROW(),$D$6)),INDEX($A:$U,ROW(),$D$6),IFERROR(--SUBSTITUTE(SUBSTITUTE(TRIM(INDEX($A:$U,ROW(),$D$6)),",",""),"원",""),0))))</f>
        <v/>
      </c>
      <c r="AA748" s="31">
        <f>IF($Y748="","",TRIM(INDEX($A:$U,ROW(),$E$6)&amp;IF($F$6="",""," "&amp;INDEX($A:$U,ROW(),$F$6))))</f>
        <v/>
      </c>
      <c r="AB748" s="31">
        <f>IF($AA748="","",SUBSTITUTE(SUBSTITUTE(SUBSTITUTE(SUBSTITUTE(SUBSTITUTE(SUBSTITUTE(SUBSTITUTE(SUBSTITUTE(SUBSTITUTE($AA748," ",""),"　",""),"(주)",""),"（주）",""),"㈜",""),"주식회사",""),"(유)",""),"（유）",""),"유한회사",""))</f>
        <v/>
      </c>
      <c r="AC748" s="31">
        <f>IF(OR($Y748="",N($Z748)&lt;=0,$AB748=""),0,IFERROR(LOOKUP(2,1/((거래처별!$AC$8:$AC$307&lt;&gt;"")*ISNUMBER(SEARCH(거래처별!$AC$8:$AC$307,$AB748))),거래처별!$A$8:$A$307),IFERROR(LOOKUP(2,1/((거래처별!$AD$8:$AD$307&lt;&gt;"")*ISNUMBER(SEARCH(거래처별!$AD$8:$AD$307,$AB748))),거래처별!$A$8:$A$307),IFERROR(LOOKUP(2,1/((거래처별!$AE$8:$AE$307&lt;&gt;"")*ISNUMBER(SEARCH(거래처별!$AE$8:$AE$307,$AB748))),거래처별!$A$8:$A$307),0))))</f>
        <v/>
      </c>
      <c r="AD748" s="31">
        <f>IF(AND($Y748&lt;&gt;"",N($Z748)&gt;0,$AC748=0),MAX($AD$7:$AD747)+1,"")</f>
        <v/>
      </c>
      <c r="AE748" s="31">
        <f>IF($Y748="",0,$Y748)</f>
        <v/>
      </c>
    </row>
    <row r="749">
      <c r="W749" s="31">
        <f>IF(OR($B$5="",$C$6="",ROW()&lt;$B$5),"",IF(INDEX($A:$U,ROW(),$C$6)="","",INDEX($A:$U,ROW(),$C$6)))</f>
        <v/>
      </c>
      <c r="X749" s="32">
        <f>IF($W749="","",IF(ISNUMBER($W749),IF($W749&gt;=10000000,IFERROR(DATE(INT($W749/10000),MOD(INT($W749/100),100),MOD($W749,100)),""),INT($W749)),IFERROR(DATE(--LEFT(LEFT(SUBSTITUTE(SUBSTITUTE(SUBSTITUTE(SUBSTITUTE(TRIM($W749),"-",""),".",""),"/","")," ",""),8),4),--MID(LEFT(SUBSTITUTE(SUBSTITUTE(SUBSTITUTE(SUBSTITUTE(TRIM($W749),"-",""),".",""),"/","")," ",""),8),5,2),--MID(LEFT(SUBSTITUTE(SUBSTITUTE(SUBSTITUTE(SUBSTITUTE(TRIM($W749),"-",""),".",""),"/","")," ",""),8),7,2)),"")))</f>
        <v/>
      </c>
      <c r="Y749" s="32">
        <f>IF($X749="","",INT($X749))</f>
        <v/>
      </c>
      <c r="Z749" s="33">
        <f>IF(OR($Y749="",$D$6=""),"",IF(INDEX($A:$U,ROW(),$D$6)="",0,IF(ISNUMBER(INDEX($A:$U,ROW(),$D$6)),INDEX($A:$U,ROW(),$D$6),IFERROR(--SUBSTITUTE(SUBSTITUTE(TRIM(INDEX($A:$U,ROW(),$D$6)),",",""),"원",""),0))))</f>
        <v/>
      </c>
      <c r="AA749" s="31">
        <f>IF($Y749="","",TRIM(INDEX($A:$U,ROW(),$E$6)&amp;IF($F$6="",""," "&amp;INDEX($A:$U,ROW(),$F$6))))</f>
        <v/>
      </c>
      <c r="AB749" s="31">
        <f>IF($AA749="","",SUBSTITUTE(SUBSTITUTE(SUBSTITUTE(SUBSTITUTE(SUBSTITUTE(SUBSTITUTE(SUBSTITUTE(SUBSTITUTE(SUBSTITUTE($AA749," ",""),"　",""),"(주)",""),"（주）",""),"㈜",""),"주식회사",""),"(유)",""),"（유）",""),"유한회사",""))</f>
        <v/>
      </c>
      <c r="AC749" s="31">
        <f>IF(OR($Y749="",N($Z749)&lt;=0,$AB749=""),0,IFERROR(LOOKUP(2,1/((거래처별!$AC$8:$AC$307&lt;&gt;"")*ISNUMBER(SEARCH(거래처별!$AC$8:$AC$307,$AB749))),거래처별!$A$8:$A$307),IFERROR(LOOKUP(2,1/((거래처별!$AD$8:$AD$307&lt;&gt;"")*ISNUMBER(SEARCH(거래처별!$AD$8:$AD$307,$AB749))),거래처별!$A$8:$A$307),IFERROR(LOOKUP(2,1/((거래처별!$AE$8:$AE$307&lt;&gt;"")*ISNUMBER(SEARCH(거래처별!$AE$8:$AE$307,$AB749))),거래처별!$A$8:$A$307),0))))</f>
        <v/>
      </c>
      <c r="AD749" s="31">
        <f>IF(AND($Y749&lt;&gt;"",N($Z749)&gt;0,$AC749=0),MAX($AD$7:$AD748)+1,"")</f>
        <v/>
      </c>
      <c r="AE749" s="31">
        <f>IF($Y749="",0,$Y749)</f>
        <v/>
      </c>
    </row>
    <row r="750">
      <c r="W750" s="31">
        <f>IF(OR($B$5="",$C$6="",ROW()&lt;$B$5),"",IF(INDEX($A:$U,ROW(),$C$6)="","",INDEX($A:$U,ROW(),$C$6)))</f>
        <v/>
      </c>
      <c r="X750" s="32">
        <f>IF($W750="","",IF(ISNUMBER($W750),IF($W750&gt;=10000000,IFERROR(DATE(INT($W750/10000),MOD(INT($W750/100),100),MOD($W750,100)),""),INT($W750)),IFERROR(DATE(--LEFT(LEFT(SUBSTITUTE(SUBSTITUTE(SUBSTITUTE(SUBSTITUTE(TRIM($W750),"-",""),".",""),"/","")," ",""),8),4),--MID(LEFT(SUBSTITUTE(SUBSTITUTE(SUBSTITUTE(SUBSTITUTE(TRIM($W750),"-",""),".",""),"/","")," ",""),8),5,2),--MID(LEFT(SUBSTITUTE(SUBSTITUTE(SUBSTITUTE(SUBSTITUTE(TRIM($W750),"-",""),".",""),"/","")," ",""),8),7,2)),"")))</f>
        <v/>
      </c>
      <c r="Y750" s="32">
        <f>IF($X750="","",INT($X750))</f>
        <v/>
      </c>
      <c r="Z750" s="33">
        <f>IF(OR($Y750="",$D$6=""),"",IF(INDEX($A:$U,ROW(),$D$6)="",0,IF(ISNUMBER(INDEX($A:$U,ROW(),$D$6)),INDEX($A:$U,ROW(),$D$6),IFERROR(--SUBSTITUTE(SUBSTITUTE(TRIM(INDEX($A:$U,ROW(),$D$6)),",",""),"원",""),0))))</f>
        <v/>
      </c>
      <c r="AA750" s="31">
        <f>IF($Y750="","",TRIM(INDEX($A:$U,ROW(),$E$6)&amp;IF($F$6="",""," "&amp;INDEX($A:$U,ROW(),$F$6))))</f>
        <v/>
      </c>
      <c r="AB750" s="31">
        <f>IF($AA750="","",SUBSTITUTE(SUBSTITUTE(SUBSTITUTE(SUBSTITUTE(SUBSTITUTE(SUBSTITUTE(SUBSTITUTE(SUBSTITUTE(SUBSTITUTE($AA750," ",""),"　",""),"(주)",""),"（주）",""),"㈜",""),"주식회사",""),"(유)",""),"（유）",""),"유한회사",""))</f>
        <v/>
      </c>
      <c r="AC750" s="31">
        <f>IF(OR($Y750="",N($Z750)&lt;=0,$AB750=""),0,IFERROR(LOOKUP(2,1/((거래처별!$AC$8:$AC$307&lt;&gt;"")*ISNUMBER(SEARCH(거래처별!$AC$8:$AC$307,$AB750))),거래처별!$A$8:$A$307),IFERROR(LOOKUP(2,1/((거래처별!$AD$8:$AD$307&lt;&gt;"")*ISNUMBER(SEARCH(거래처별!$AD$8:$AD$307,$AB750))),거래처별!$A$8:$A$307),IFERROR(LOOKUP(2,1/((거래처별!$AE$8:$AE$307&lt;&gt;"")*ISNUMBER(SEARCH(거래처별!$AE$8:$AE$307,$AB750))),거래처별!$A$8:$A$307),0))))</f>
        <v/>
      </c>
      <c r="AD750" s="31">
        <f>IF(AND($Y750&lt;&gt;"",N($Z750)&gt;0,$AC750=0),MAX($AD$7:$AD749)+1,"")</f>
        <v/>
      </c>
      <c r="AE750" s="31">
        <f>IF($Y750="",0,$Y750)</f>
        <v/>
      </c>
    </row>
    <row r="751">
      <c r="W751" s="31">
        <f>IF(OR($B$5="",$C$6="",ROW()&lt;$B$5),"",IF(INDEX($A:$U,ROW(),$C$6)="","",INDEX($A:$U,ROW(),$C$6)))</f>
        <v/>
      </c>
      <c r="X751" s="32">
        <f>IF($W751="","",IF(ISNUMBER($W751),IF($W751&gt;=10000000,IFERROR(DATE(INT($W751/10000),MOD(INT($W751/100),100),MOD($W751,100)),""),INT($W751)),IFERROR(DATE(--LEFT(LEFT(SUBSTITUTE(SUBSTITUTE(SUBSTITUTE(SUBSTITUTE(TRIM($W751),"-",""),".",""),"/","")," ",""),8),4),--MID(LEFT(SUBSTITUTE(SUBSTITUTE(SUBSTITUTE(SUBSTITUTE(TRIM($W751),"-",""),".",""),"/","")," ",""),8),5,2),--MID(LEFT(SUBSTITUTE(SUBSTITUTE(SUBSTITUTE(SUBSTITUTE(TRIM($W751),"-",""),".",""),"/","")," ",""),8),7,2)),"")))</f>
        <v/>
      </c>
      <c r="Y751" s="32">
        <f>IF($X751="","",INT($X751))</f>
        <v/>
      </c>
      <c r="Z751" s="33">
        <f>IF(OR($Y751="",$D$6=""),"",IF(INDEX($A:$U,ROW(),$D$6)="",0,IF(ISNUMBER(INDEX($A:$U,ROW(),$D$6)),INDEX($A:$U,ROW(),$D$6),IFERROR(--SUBSTITUTE(SUBSTITUTE(TRIM(INDEX($A:$U,ROW(),$D$6)),",",""),"원",""),0))))</f>
        <v/>
      </c>
      <c r="AA751" s="31">
        <f>IF($Y751="","",TRIM(INDEX($A:$U,ROW(),$E$6)&amp;IF($F$6="",""," "&amp;INDEX($A:$U,ROW(),$F$6))))</f>
        <v/>
      </c>
      <c r="AB751" s="31">
        <f>IF($AA751="","",SUBSTITUTE(SUBSTITUTE(SUBSTITUTE(SUBSTITUTE(SUBSTITUTE(SUBSTITUTE(SUBSTITUTE(SUBSTITUTE(SUBSTITUTE($AA751," ",""),"　",""),"(주)",""),"（주）",""),"㈜",""),"주식회사",""),"(유)",""),"（유）",""),"유한회사",""))</f>
        <v/>
      </c>
      <c r="AC751" s="31">
        <f>IF(OR($Y751="",N($Z751)&lt;=0,$AB751=""),0,IFERROR(LOOKUP(2,1/((거래처별!$AC$8:$AC$307&lt;&gt;"")*ISNUMBER(SEARCH(거래처별!$AC$8:$AC$307,$AB751))),거래처별!$A$8:$A$307),IFERROR(LOOKUP(2,1/((거래처별!$AD$8:$AD$307&lt;&gt;"")*ISNUMBER(SEARCH(거래처별!$AD$8:$AD$307,$AB751))),거래처별!$A$8:$A$307),IFERROR(LOOKUP(2,1/((거래처별!$AE$8:$AE$307&lt;&gt;"")*ISNUMBER(SEARCH(거래처별!$AE$8:$AE$307,$AB751))),거래처별!$A$8:$A$307),0))))</f>
        <v/>
      </c>
      <c r="AD751" s="31">
        <f>IF(AND($Y751&lt;&gt;"",N($Z751)&gt;0,$AC751=0),MAX($AD$7:$AD750)+1,"")</f>
        <v/>
      </c>
      <c r="AE751" s="31">
        <f>IF($Y751="",0,$Y751)</f>
        <v/>
      </c>
    </row>
    <row r="752">
      <c r="W752" s="31">
        <f>IF(OR($B$5="",$C$6="",ROW()&lt;$B$5),"",IF(INDEX($A:$U,ROW(),$C$6)="","",INDEX($A:$U,ROW(),$C$6)))</f>
        <v/>
      </c>
      <c r="X752" s="32">
        <f>IF($W752="","",IF(ISNUMBER($W752),IF($W752&gt;=10000000,IFERROR(DATE(INT($W752/10000),MOD(INT($W752/100),100),MOD($W752,100)),""),INT($W752)),IFERROR(DATE(--LEFT(LEFT(SUBSTITUTE(SUBSTITUTE(SUBSTITUTE(SUBSTITUTE(TRIM($W752),"-",""),".",""),"/","")," ",""),8),4),--MID(LEFT(SUBSTITUTE(SUBSTITUTE(SUBSTITUTE(SUBSTITUTE(TRIM($W752),"-",""),".",""),"/","")," ",""),8),5,2),--MID(LEFT(SUBSTITUTE(SUBSTITUTE(SUBSTITUTE(SUBSTITUTE(TRIM($W752),"-",""),".",""),"/","")," ",""),8),7,2)),"")))</f>
        <v/>
      </c>
      <c r="Y752" s="32">
        <f>IF($X752="","",INT($X752))</f>
        <v/>
      </c>
      <c r="Z752" s="33">
        <f>IF(OR($Y752="",$D$6=""),"",IF(INDEX($A:$U,ROW(),$D$6)="",0,IF(ISNUMBER(INDEX($A:$U,ROW(),$D$6)),INDEX($A:$U,ROW(),$D$6),IFERROR(--SUBSTITUTE(SUBSTITUTE(TRIM(INDEX($A:$U,ROW(),$D$6)),",",""),"원",""),0))))</f>
        <v/>
      </c>
      <c r="AA752" s="31">
        <f>IF($Y752="","",TRIM(INDEX($A:$U,ROW(),$E$6)&amp;IF($F$6="",""," "&amp;INDEX($A:$U,ROW(),$F$6))))</f>
        <v/>
      </c>
      <c r="AB752" s="31">
        <f>IF($AA752="","",SUBSTITUTE(SUBSTITUTE(SUBSTITUTE(SUBSTITUTE(SUBSTITUTE(SUBSTITUTE(SUBSTITUTE(SUBSTITUTE(SUBSTITUTE($AA752," ",""),"　",""),"(주)",""),"（주）",""),"㈜",""),"주식회사",""),"(유)",""),"（유）",""),"유한회사",""))</f>
        <v/>
      </c>
      <c r="AC752" s="31">
        <f>IF(OR($Y752="",N($Z752)&lt;=0,$AB752=""),0,IFERROR(LOOKUP(2,1/((거래처별!$AC$8:$AC$307&lt;&gt;"")*ISNUMBER(SEARCH(거래처별!$AC$8:$AC$307,$AB752))),거래처별!$A$8:$A$307),IFERROR(LOOKUP(2,1/((거래처별!$AD$8:$AD$307&lt;&gt;"")*ISNUMBER(SEARCH(거래처별!$AD$8:$AD$307,$AB752))),거래처별!$A$8:$A$307),IFERROR(LOOKUP(2,1/((거래처별!$AE$8:$AE$307&lt;&gt;"")*ISNUMBER(SEARCH(거래처별!$AE$8:$AE$307,$AB752))),거래처별!$A$8:$A$307),0))))</f>
        <v/>
      </c>
      <c r="AD752" s="31">
        <f>IF(AND($Y752&lt;&gt;"",N($Z752)&gt;0,$AC752=0),MAX($AD$7:$AD751)+1,"")</f>
        <v/>
      </c>
      <c r="AE752" s="31">
        <f>IF($Y752="",0,$Y752)</f>
        <v/>
      </c>
    </row>
    <row r="753">
      <c r="W753" s="31">
        <f>IF(OR($B$5="",$C$6="",ROW()&lt;$B$5),"",IF(INDEX($A:$U,ROW(),$C$6)="","",INDEX($A:$U,ROW(),$C$6)))</f>
        <v/>
      </c>
      <c r="X753" s="32">
        <f>IF($W753="","",IF(ISNUMBER($W753),IF($W753&gt;=10000000,IFERROR(DATE(INT($W753/10000),MOD(INT($W753/100),100),MOD($W753,100)),""),INT($W753)),IFERROR(DATE(--LEFT(LEFT(SUBSTITUTE(SUBSTITUTE(SUBSTITUTE(SUBSTITUTE(TRIM($W753),"-",""),".",""),"/","")," ",""),8),4),--MID(LEFT(SUBSTITUTE(SUBSTITUTE(SUBSTITUTE(SUBSTITUTE(TRIM($W753),"-",""),".",""),"/","")," ",""),8),5,2),--MID(LEFT(SUBSTITUTE(SUBSTITUTE(SUBSTITUTE(SUBSTITUTE(TRIM($W753),"-",""),".",""),"/","")," ",""),8),7,2)),"")))</f>
        <v/>
      </c>
      <c r="Y753" s="32">
        <f>IF($X753="","",INT($X753))</f>
        <v/>
      </c>
      <c r="Z753" s="33">
        <f>IF(OR($Y753="",$D$6=""),"",IF(INDEX($A:$U,ROW(),$D$6)="",0,IF(ISNUMBER(INDEX($A:$U,ROW(),$D$6)),INDEX($A:$U,ROW(),$D$6),IFERROR(--SUBSTITUTE(SUBSTITUTE(TRIM(INDEX($A:$U,ROW(),$D$6)),",",""),"원",""),0))))</f>
        <v/>
      </c>
      <c r="AA753" s="31">
        <f>IF($Y753="","",TRIM(INDEX($A:$U,ROW(),$E$6)&amp;IF($F$6="",""," "&amp;INDEX($A:$U,ROW(),$F$6))))</f>
        <v/>
      </c>
      <c r="AB753" s="31">
        <f>IF($AA753="","",SUBSTITUTE(SUBSTITUTE(SUBSTITUTE(SUBSTITUTE(SUBSTITUTE(SUBSTITUTE(SUBSTITUTE(SUBSTITUTE(SUBSTITUTE($AA753," ",""),"　",""),"(주)",""),"（주）",""),"㈜",""),"주식회사",""),"(유)",""),"（유）",""),"유한회사",""))</f>
        <v/>
      </c>
      <c r="AC753" s="31">
        <f>IF(OR($Y753="",N($Z753)&lt;=0,$AB753=""),0,IFERROR(LOOKUP(2,1/((거래처별!$AC$8:$AC$307&lt;&gt;"")*ISNUMBER(SEARCH(거래처별!$AC$8:$AC$307,$AB753))),거래처별!$A$8:$A$307),IFERROR(LOOKUP(2,1/((거래처별!$AD$8:$AD$307&lt;&gt;"")*ISNUMBER(SEARCH(거래처별!$AD$8:$AD$307,$AB753))),거래처별!$A$8:$A$307),IFERROR(LOOKUP(2,1/((거래처별!$AE$8:$AE$307&lt;&gt;"")*ISNUMBER(SEARCH(거래처별!$AE$8:$AE$307,$AB753))),거래처별!$A$8:$A$307),0))))</f>
        <v/>
      </c>
      <c r="AD753" s="31">
        <f>IF(AND($Y753&lt;&gt;"",N($Z753)&gt;0,$AC753=0),MAX($AD$7:$AD752)+1,"")</f>
        <v/>
      </c>
      <c r="AE753" s="31">
        <f>IF($Y753="",0,$Y753)</f>
        <v/>
      </c>
    </row>
    <row r="754">
      <c r="W754" s="31">
        <f>IF(OR($B$5="",$C$6="",ROW()&lt;$B$5),"",IF(INDEX($A:$U,ROW(),$C$6)="","",INDEX($A:$U,ROW(),$C$6)))</f>
        <v/>
      </c>
      <c r="X754" s="32">
        <f>IF($W754="","",IF(ISNUMBER($W754),IF($W754&gt;=10000000,IFERROR(DATE(INT($W754/10000),MOD(INT($W754/100),100),MOD($W754,100)),""),INT($W754)),IFERROR(DATE(--LEFT(LEFT(SUBSTITUTE(SUBSTITUTE(SUBSTITUTE(SUBSTITUTE(TRIM($W754),"-",""),".",""),"/","")," ",""),8),4),--MID(LEFT(SUBSTITUTE(SUBSTITUTE(SUBSTITUTE(SUBSTITUTE(TRIM($W754),"-",""),".",""),"/","")," ",""),8),5,2),--MID(LEFT(SUBSTITUTE(SUBSTITUTE(SUBSTITUTE(SUBSTITUTE(TRIM($W754),"-",""),".",""),"/","")," ",""),8),7,2)),"")))</f>
        <v/>
      </c>
      <c r="Y754" s="32">
        <f>IF($X754="","",INT($X754))</f>
        <v/>
      </c>
      <c r="Z754" s="33">
        <f>IF(OR($Y754="",$D$6=""),"",IF(INDEX($A:$U,ROW(),$D$6)="",0,IF(ISNUMBER(INDEX($A:$U,ROW(),$D$6)),INDEX($A:$U,ROW(),$D$6),IFERROR(--SUBSTITUTE(SUBSTITUTE(TRIM(INDEX($A:$U,ROW(),$D$6)),",",""),"원",""),0))))</f>
        <v/>
      </c>
      <c r="AA754" s="31">
        <f>IF($Y754="","",TRIM(INDEX($A:$U,ROW(),$E$6)&amp;IF($F$6="",""," "&amp;INDEX($A:$U,ROW(),$F$6))))</f>
        <v/>
      </c>
      <c r="AB754" s="31">
        <f>IF($AA754="","",SUBSTITUTE(SUBSTITUTE(SUBSTITUTE(SUBSTITUTE(SUBSTITUTE(SUBSTITUTE(SUBSTITUTE(SUBSTITUTE(SUBSTITUTE($AA754," ",""),"　",""),"(주)",""),"（주）",""),"㈜",""),"주식회사",""),"(유)",""),"（유）",""),"유한회사",""))</f>
        <v/>
      </c>
      <c r="AC754" s="31">
        <f>IF(OR($Y754="",N($Z754)&lt;=0,$AB754=""),0,IFERROR(LOOKUP(2,1/((거래처별!$AC$8:$AC$307&lt;&gt;"")*ISNUMBER(SEARCH(거래처별!$AC$8:$AC$307,$AB754))),거래처별!$A$8:$A$307),IFERROR(LOOKUP(2,1/((거래처별!$AD$8:$AD$307&lt;&gt;"")*ISNUMBER(SEARCH(거래처별!$AD$8:$AD$307,$AB754))),거래처별!$A$8:$A$307),IFERROR(LOOKUP(2,1/((거래처별!$AE$8:$AE$307&lt;&gt;"")*ISNUMBER(SEARCH(거래처별!$AE$8:$AE$307,$AB754))),거래처별!$A$8:$A$307),0))))</f>
        <v/>
      </c>
      <c r="AD754" s="31">
        <f>IF(AND($Y754&lt;&gt;"",N($Z754)&gt;0,$AC754=0),MAX($AD$7:$AD753)+1,"")</f>
        <v/>
      </c>
      <c r="AE754" s="31">
        <f>IF($Y754="",0,$Y754)</f>
        <v/>
      </c>
    </row>
    <row r="755">
      <c r="W755" s="31">
        <f>IF(OR($B$5="",$C$6="",ROW()&lt;$B$5),"",IF(INDEX($A:$U,ROW(),$C$6)="","",INDEX($A:$U,ROW(),$C$6)))</f>
        <v/>
      </c>
      <c r="X755" s="32">
        <f>IF($W755="","",IF(ISNUMBER($W755),IF($W755&gt;=10000000,IFERROR(DATE(INT($W755/10000),MOD(INT($W755/100),100),MOD($W755,100)),""),INT($W755)),IFERROR(DATE(--LEFT(LEFT(SUBSTITUTE(SUBSTITUTE(SUBSTITUTE(SUBSTITUTE(TRIM($W755),"-",""),".",""),"/","")," ",""),8),4),--MID(LEFT(SUBSTITUTE(SUBSTITUTE(SUBSTITUTE(SUBSTITUTE(TRIM($W755),"-",""),".",""),"/","")," ",""),8),5,2),--MID(LEFT(SUBSTITUTE(SUBSTITUTE(SUBSTITUTE(SUBSTITUTE(TRIM($W755),"-",""),".",""),"/","")," ",""),8),7,2)),"")))</f>
        <v/>
      </c>
      <c r="Y755" s="32">
        <f>IF($X755="","",INT($X755))</f>
        <v/>
      </c>
      <c r="Z755" s="33">
        <f>IF(OR($Y755="",$D$6=""),"",IF(INDEX($A:$U,ROW(),$D$6)="",0,IF(ISNUMBER(INDEX($A:$U,ROW(),$D$6)),INDEX($A:$U,ROW(),$D$6),IFERROR(--SUBSTITUTE(SUBSTITUTE(TRIM(INDEX($A:$U,ROW(),$D$6)),",",""),"원",""),0))))</f>
        <v/>
      </c>
      <c r="AA755" s="31">
        <f>IF($Y755="","",TRIM(INDEX($A:$U,ROW(),$E$6)&amp;IF($F$6="",""," "&amp;INDEX($A:$U,ROW(),$F$6))))</f>
        <v/>
      </c>
      <c r="AB755" s="31">
        <f>IF($AA755="","",SUBSTITUTE(SUBSTITUTE(SUBSTITUTE(SUBSTITUTE(SUBSTITUTE(SUBSTITUTE(SUBSTITUTE(SUBSTITUTE(SUBSTITUTE($AA755," ",""),"　",""),"(주)",""),"（주）",""),"㈜",""),"주식회사",""),"(유)",""),"（유）",""),"유한회사",""))</f>
        <v/>
      </c>
      <c r="AC755" s="31">
        <f>IF(OR($Y755="",N($Z755)&lt;=0,$AB755=""),0,IFERROR(LOOKUP(2,1/((거래처별!$AC$8:$AC$307&lt;&gt;"")*ISNUMBER(SEARCH(거래처별!$AC$8:$AC$307,$AB755))),거래처별!$A$8:$A$307),IFERROR(LOOKUP(2,1/((거래처별!$AD$8:$AD$307&lt;&gt;"")*ISNUMBER(SEARCH(거래처별!$AD$8:$AD$307,$AB755))),거래처별!$A$8:$A$307),IFERROR(LOOKUP(2,1/((거래처별!$AE$8:$AE$307&lt;&gt;"")*ISNUMBER(SEARCH(거래처별!$AE$8:$AE$307,$AB755))),거래처별!$A$8:$A$307),0))))</f>
        <v/>
      </c>
      <c r="AD755" s="31">
        <f>IF(AND($Y755&lt;&gt;"",N($Z755)&gt;0,$AC755=0),MAX($AD$7:$AD754)+1,"")</f>
        <v/>
      </c>
      <c r="AE755" s="31">
        <f>IF($Y755="",0,$Y755)</f>
        <v/>
      </c>
    </row>
    <row r="756">
      <c r="W756" s="31">
        <f>IF(OR($B$5="",$C$6="",ROW()&lt;$B$5),"",IF(INDEX($A:$U,ROW(),$C$6)="","",INDEX($A:$U,ROW(),$C$6)))</f>
        <v/>
      </c>
      <c r="X756" s="32">
        <f>IF($W756="","",IF(ISNUMBER($W756),IF($W756&gt;=10000000,IFERROR(DATE(INT($W756/10000),MOD(INT($W756/100),100),MOD($W756,100)),""),INT($W756)),IFERROR(DATE(--LEFT(LEFT(SUBSTITUTE(SUBSTITUTE(SUBSTITUTE(SUBSTITUTE(TRIM($W756),"-",""),".",""),"/","")," ",""),8),4),--MID(LEFT(SUBSTITUTE(SUBSTITUTE(SUBSTITUTE(SUBSTITUTE(TRIM($W756),"-",""),".",""),"/","")," ",""),8),5,2),--MID(LEFT(SUBSTITUTE(SUBSTITUTE(SUBSTITUTE(SUBSTITUTE(TRIM($W756),"-",""),".",""),"/","")," ",""),8),7,2)),"")))</f>
        <v/>
      </c>
      <c r="Y756" s="32">
        <f>IF($X756="","",INT($X756))</f>
        <v/>
      </c>
      <c r="Z756" s="33">
        <f>IF(OR($Y756="",$D$6=""),"",IF(INDEX($A:$U,ROW(),$D$6)="",0,IF(ISNUMBER(INDEX($A:$U,ROW(),$D$6)),INDEX($A:$U,ROW(),$D$6),IFERROR(--SUBSTITUTE(SUBSTITUTE(TRIM(INDEX($A:$U,ROW(),$D$6)),",",""),"원",""),0))))</f>
        <v/>
      </c>
      <c r="AA756" s="31">
        <f>IF($Y756="","",TRIM(INDEX($A:$U,ROW(),$E$6)&amp;IF($F$6="",""," "&amp;INDEX($A:$U,ROW(),$F$6))))</f>
        <v/>
      </c>
      <c r="AB756" s="31">
        <f>IF($AA756="","",SUBSTITUTE(SUBSTITUTE(SUBSTITUTE(SUBSTITUTE(SUBSTITUTE(SUBSTITUTE(SUBSTITUTE(SUBSTITUTE(SUBSTITUTE($AA756," ",""),"　",""),"(주)",""),"（주）",""),"㈜",""),"주식회사",""),"(유)",""),"（유）",""),"유한회사",""))</f>
        <v/>
      </c>
      <c r="AC756" s="31">
        <f>IF(OR($Y756="",N($Z756)&lt;=0,$AB756=""),0,IFERROR(LOOKUP(2,1/((거래처별!$AC$8:$AC$307&lt;&gt;"")*ISNUMBER(SEARCH(거래처별!$AC$8:$AC$307,$AB756))),거래처별!$A$8:$A$307),IFERROR(LOOKUP(2,1/((거래처별!$AD$8:$AD$307&lt;&gt;"")*ISNUMBER(SEARCH(거래처별!$AD$8:$AD$307,$AB756))),거래처별!$A$8:$A$307),IFERROR(LOOKUP(2,1/((거래처별!$AE$8:$AE$307&lt;&gt;"")*ISNUMBER(SEARCH(거래처별!$AE$8:$AE$307,$AB756))),거래처별!$A$8:$A$307),0))))</f>
        <v/>
      </c>
      <c r="AD756" s="31">
        <f>IF(AND($Y756&lt;&gt;"",N($Z756)&gt;0,$AC756=0),MAX($AD$7:$AD755)+1,"")</f>
        <v/>
      </c>
      <c r="AE756" s="31">
        <f>IF($Y756="",0,$Y756)</f>
        <v/>
      </c>
    </row>
    <row r="757">
      <c r="W757" s="31">
        <f>IF(OR($B$5="",$C$6="",ROW()&lt;$B$5),"",IF(INDEX($A:$U,ROW(),$C$6)="","",INDEX($A:$U,ROW(),$C$6)))</f>
        <v/>
      </c>
      <c r="X757" s="32">
        <f>IF($W757="","",IF(ISNUMBER($W757),IF($W757&gt;=10000000,IFERROR(DATE(INT($W757/10000),MOD(INT($W757/100),100),MOD($W757,100)),""),INT($W757)),IFERROR(DATE(--LEFT(LEFT(SUBSTITUTE(SUBSTITUTE(SUBSTITUTE(SUBSTITUTE(TRIM($W757),"-",""),".",""),"/","")," ",""),8),4),--MID(LEFT(SUBSTITUTE(SUBSTITUTE(SUBSTITUTE(SUBSTITUTE(TRIM($W757),"-",""),".",""),"/","")," ",""),8),5,2),--MID(LEFT(SUBSTITUTE(SUBSTITUTE(SUBSTITUTE(SUBSTITUTE(TRIM($W757),"-",""),".",""),"/","")," ",""),8),7,2)),"")))</f>
        <v/>
      </c>
      <c r="Y757" s="32">
        <f>IF($X757="","",INT($X757))</f>
        <v/>
      </c>
      <c r="Z757" s="33">
        <f>IF(OR($Y757="",$D$6=""),"",IF(INDEX($A:$U,ROW(),$D$6)="",0,IF(ISNUMBER(INDEX($A:$U,ROW(),$D$6)),INDEX($A:$U,ROW(),$D$6),IFERROR(--SUBSTITUTE(SUBSTITUTE(TRIM(INDEX($A:$U,ROW(),$D$6)),",",""),"원",""),0))))</f>
        <v/>
      </c>
      <c r="AA757" s="31">
        <f>IF($Y757="","",TRIM(INDEX($A:$U,ROW(),$E$6)&amp;IF($F$6="",""," "&amp;INDEX($A:$U,ROW(),$F$6))))</f>
        <v/>
      </c>
      <c r="AB757" s="31">
        <f>IF($AA757="","",SUBSTITUTE(SUBSTITUTE(SUBSTITUTE(SUBSTITUTE(SUBSTITUTE(SUBSTITUTE(SUBSTITUTE(SUBSTITUTE(SUBSTITUTE($AA757," ",""),"　",""),"(주)",""),"（주）",""),"㈜",""),"주식회사",""),"(유)",""),"（유）",""),"유한회사",""))</f>
        <v/>
      </c>
      <c r="AC757" s="31">
        <f>IF(OR($Y757="",N($Z757)&lt;=0,$AB757=""),0,IFERROR(LOOKUP(2,1/((거래처별!$AC$8:$AC$307&lt;&gt;"")*ISNUMBER(SEARCH(거래처별!$AC$8:$AC$307,$AB757))),거래처별!$A$8:$A$307),IFERROR(LOOKUP(2,1/((거래처별!$AD$8:$AD$307&lt;&gt;"")*ISNUMBER(SEARCH(거래처별!$AD$8:$AD$307,$AB757))),거래처별!$A$8:$A$307),IFERROR(LOOKUP(2,1/((거래처별!$AE$8:$AE$307&lt;&gt;"")*ISNUMBER(SEARCH(거래처별!$AE$8:$AE$307,$AB757))),거래처별!$A$8:$A$307),0))))</f>
        <v/>
      </c>
      <c r="AD757" s="31">
        <f>IF(AND($Y757&lt;&gt;"",N($Z757)&gt;0,$AC757=0),MAX($AD$7:$AD756)+1,"")</f>
        <v/>
      </c>
      <c r="AE757" s="31">
        <f>IF($Y757="",0,$Y757)</f>
        <v/>
      </c>
    </row>
    <row r="758">
      <c r="W758" s="31">
        <f>IF(OR($B$5="",$C$6="",ROW()&lt;$B$5),"",IF(INDEX($A:$U,ROW(),$C$6)="","",INDEX($A:$U,ROW(),$C$6)))</f>
        <v/>
      </c>
      <c r="X758" s="32">
        <f>IF($W758="","",IF(ISNUMBER($W758),IF($W758&gt;=10000000,IFERROR(DATE(INT($W758/10000),MOD(INT($W758/100),100),MOD($W758,100)),""),INT($W758)),IFERROR(DATE(--LEFT(LEFT(SUBSTITUTE(SUBSTITUTE(SUBSTITUTE(SUBSTITUTE(TRIM($W758),"-",""),".",""),"/","")," ",""),8),4),--MID(LEFT(SUBSTITUTE(SUBSTITUTE(SUBSTITUTE(SUBSTITUTE(TRIM($W758),"-",""),".",""),"/","")," ",""),8),5,2),--MID(LEFT(SUBSTITUTE(SUBSTITUTE(SUBSTITUTE(SUBSTITUTE(TRIM($W758),"-",""),".",""),"/","")," ",""),8),7,2)),"")))</f>
        <v/>
      </c>
      <c r="Y758" s="32">
        <f>IF($X758="","",INT($X758))</f>
        <v/>
      </c>
      <c r="Z758" s="33">
        <f>IF(OR($Y758="",$D$6=""),"",IF(INDEX($A:$U,ROW(),$D$6)="",0,IF(ISNUMBER(INDEX($A:$U,ROW(),$D$6)),INDEX($A:$U,ROW(),$D$6),IFERROR(--SUBSTITUTE(SUBSTITUTE(TRIM(INDEX($A:$U,ROW(),$D$6)),",",""),"원",""),0))))</f>
        <v/>
      </c>
      <c r="AA758" s="31">
        <f>IF($Y758="","",TRIM(INDEX($A:$U,ROW(),$E$6)&amp;IF($F$6="",""," "&amp;INDEX($A:$U,ROW(),$F$6))))</f>
        <v/>
      </c>
      <c r="AB758" s="31">
        <f>IF($AA758="","",SUBSTITUTE(SUBSTITUTE(SUBSTITUTE(SUBSTITUTE(SUBSTITUTE(SUBSTITUTE(SUBSTITUTE(SUBSTITUTE(SUBSTITUTE($AA758," ",""),"　",""),"(주)",""),"（주）",""),"㈜",""),"주식회사",""),"(유)",""),"（유）",""),"유한회사",""))</f>
        <v/>
      </c>
      <c r="AC758" s="31">
        <f>IF(OR($Y758="",N($Z758)&lt;=0,$AB758=""),0,IFERROR(LOOKUP(2,1/((거래처별!$AC$8:$AC$307&lt;&gt;"")*ISNUMBER(SEARCH(거래처별!$AC$8:$AC$307,$AB758))),거래처별!$A$8:$A$307),IFERROR(LOOKUP(2,1/((거래처별!$AD$8:$AD$307&lt;&gt;"")*ISNUMBER(SEARCH(거래처별!$AD$8:$AD$307,$AB758))),거래처별!$A$8:$A$307),IFERROR(LOOKUP(2,1/((거래처별!$AE$8:$AE$307&lt;&gt;"")*ISNUMBER(SEARCH(거래처별!$AE$8:$AE$307,$AB758))),거래처별!$A$8:$A$307),0))))</f>
        <v/>
      </c>
      <c r="AD758" s="31">
        <f>IF(AND($Y758&lt;&gt;"",N($Z758)&gt;0,$AC758=0),MAX($AD$7:$AD757)+1,"")</f>
        <v/>
      </c>
      <c r="AE758" s="31">
        <f>IF($Y758="",0,$Y758)</f>
        <v/>
      </c>
    </row>
    <row r="759">
      <c r="W759" s="31">
        <f>IF(OR($B$5="",$C$6="",ROW()&lt;$B$5),"",IF(INDEX($A:$U,ROW(),$C$6)="","",INDEX($A:$U,ROW(),$C$6)))</f>
        <v/>
      </c>
      <c r="X759" s="32">
        <f>IF($W759="","",IF(ISNUMBER($W759),IF($W759&gt;=10000000,IFERROR(DATE(INT($W759/10000),MOD(INT($W759/100),100),MOD($W759,100)),""),INT($W759)),IFERROR(DATE(--LEFT(LEFT(SUBSTITUTE(SUBSTITUTE(SUBSTITUTE(SUBSTITUTE(TRIM($W759),"-",""),".",""),"/","")," ",""),8),4),--MID(LEFT(SUBSTITUTE(SUBSTITUTE(SUBSTITUTE(SUBSTITUTE(TRIM($W759),"-",""),".",""),"/","")," ",""),8),5,2),--MID(LEFT(SUBSTITUTE(SUBSTITUTE(SUBSTITUTE(SUBSTITUTE(TRIM($W759),"-",""),".",""),"/","")," ",""),8),7,2)),"")))</f>
        <v/>
      </c>
      <c r="Y759" s="32">
        <f>IF($X759="","",INT($X759))</f>
        <v/>
      </c>
      <c r="Z759" s="33">
        <f>IF(OR($Y759="",$D$6=""),"",IF(INDEX($A:$U,ROW(),$D$6)="",0,IF(ISNUMBER(INDEX($A:$U,ROW(),$D$6)),INDEX($A:$U,ROW(),$D$6),IFERROR(--SUBSTITUTE(SUBSTITUTE(TRIM(INDEX($A:$U,ROW(),$D$6)),",",""),"원",""),0))))</f>
        <v/>
      </c>
      <c r="AA759" s="31">
        <f>IF($Y759="","",TRIM(INDEX($A:$U,ROW(),$E$6)&amp;IF($F$6="",""," "&amp;INDEX($A:$U,ROW(),$F$6))))</f>
        <v/>
      </c>
      <c r="AB759" s="31">
        <f>IF($AA759="","",SUBSTITUTE(SUBSTITUTE(SUBSTITUTE(SUBSTITUTE(SUBSTITUTE(SUBSTITUTE(SUBSTITUTE(SUBSTITUTE(SUBSTITUTE($AA759," ",""),"　",""),"(주)",""),"（주）",""),"㈜",""),"주식회사",""),"(유)",""),"（유）",""),"유한회사",""))</f>
        <v/>
      </c>
      <c r="AC759" s="31">
        <f>IF(OR($Y759="",N($Z759)&lt;=0,$AB759=""),0,IFERROR(LOOKUP(2,1/((거래처별!$AC$8:$AC$307&lt;&gt;"")*ISNUMBER(SEARCH(거래처별!$AC$8:$AC$307,$AB759))),거래처별!$A$8:$A$307),IFERROR(LOOKUP(2,1/((거래처별!$AD$8:$AD$307&lt;&gt;"")*ISNUMBER(SEARCH(거래처별!$AD$8:$AD$307,$AB759))),거래처별!$A$8:$A$307),IFERROR(LOOKUP(2,1/((거래처별!$AE$8:$AE$307&lt;&gt;"")*ISNUMBER(SEARCH(거래처별!$AE$8:$AE$307,$AB759))),거래처별!$A$8:$A$307),0))))</f>
        <v/>
      </c>
      <c r="AD759" s="31">
        <f>IF(AND($Y759&lt;&gt;"",N($Z759)&gt;0,$AC759=0),MAX($AD$7:$AD758)+1,"")</f>
        <v/>
      </c>
      <c r="AE759" s="31">
        <f>IF($Y759="",0,$Y759)</f>
        <v/>
      </c>
    </row>
    <row r="760">
      <c r="W760" s="31">
        <f>IF(OR($B$5="",$C$6="",ROW()&lt;$B$5),"",IF(INDEX($A:$U,ROW(),$C$6)="","",INDEX($A:$U,ROW(),$C$6)))</f>
        <v/>
      </c>
      <c r="X760" s="32">
        <f>IF($W760="","",IF(ISNUMBER($W760),IF($W760&gt;=10000000,IFERROR(DATE(INT($W760/10000),MOD(INT($W760/100),100),MOD($W760,100)),""),INT($W760)),IFERROR(DATE(--LEFT(LEFT(SUBSTITUTE(SUBSTITUTE(SUBSTITUTE(SUBSTITUTE(TRIM($W760),"-",""),".",""),"/","")," ",""),8),4),--MID(LEFT(SUBSTITUTE(SUBSTITUTE(SUBSTITUTE(SUBSTITUTE(TRIM($W760),"-",""),".",""),"/","")," ",""),8),5,2),--MID(LEFT(SUBSTITUTE(SUBSTITUTE(SUBSTITUTE(SUBSTITUTE(TRIM($W760),"-",""),".",""),"/","")," ",""),8),7,2)),"")))</f>
        <v/>
      </c>
      <c r="Y760" s="32">
        <f>IF($X760="","",INT($X760))</f>
        <v/>
      </c>
      <c r="Z760" s="33">
        <f>IF(OR($Y760="",$D$6=""),"",IF(INDEX($A:$U,ROW(),$D$6)="",0,IF(ISNUMBER(INDEX($A:$U,ROW(),$D$6)),INDEX($A:$U,ROW(),$D$6),IFERROR(--SUBSTITUTE(SUBSTITUTE(TRIM(INDEX($A:$U,ROW(),$D$6)),",",""),"원",""),0))))</f>
        <v/>
      </c>
      <c r="AA760" s="31">
        <f>IF($Y760="","",TRIM(INDEX($A:$U,ROW(),$E$6)&amp;IF($F$6="",""," "&amp;INDEX($A:$U,ROW(),$F$6))))</f>
        <v/>
      </c>
      <c r="AB760" s="31">
        <f>IF($AA760="","",SUBSTITUTE(SUBSTITUTE(SUBSTITUTE(SUBSTITUTE(SUBSTITUTE(SUBSTITUTE(SUBSTITUTE(SUBSTITUTE(SUBSTITUTE($AA760," ",""),"　",""),"(주)",""),"（주）",""),"㈜",""),"주식회사",""),"(유)",""),"（유）",""),"유한회사",""))</f>
        <v/>
      </c>
      <c r="AC760" s="31">
        <f>IF(OR($Y760="",N($Z760)&lt;=0,$AB760=""),0,IFERROR(LOOKUP(2,1/((거래처별!$AC$8:$AC$307&lt;&gt;"")*ISNUMBER(SEARCH(거래처별!$AC$8:$AC$307,$AB760))),거래처별!$A$8:$A$307),IFERROR(LOOKUP(2,1/((거래처별!$AD$8:$AD$307&lt;&gt;"")*ISNUMBER(SEARCH(거래처별!$AD$8:$AD$307,$AB760))),거래처별!$A$8:$A$307),IFERROR(LOOKUP(2,1/((거래처별!$AE$8:$AE$307&lt;&gt;"")*ISNUMBER(SEARCH(거래처별!$AE$8:$AE$307,$AB760))),거래처별!$A$8:$A$307),0))))</f>
        <v/>
      </c>
      <c r="AD760" s="31">
        <f>IF(AND($Y760&lt;&gt;"",N($Z760)&gt;0,$AC760=0),MAX($AD$7:$AD759)+1,"")</f>
        <v/>
      </c>
      <c r="AE760" s="31">
        <f>IF($Y760="",0,$Y760)</f>
        <v/>
      </c>
    </row>
    <row r="761">
      <c r="W761" s="31">
        <f>IF(OR($B$5="",$C$6="",ROW()&lt;$B$5),"",IF(INDEX($A:$U,ROW(),$C$6)="","",INDEX($A:$U,ROW(),$C$6)))</f>
        <v/>
      </c>
      <c r="X761" s="32">
        <f>IF($W761="","",IF(ISNUMBER($W761),IF($W761&gt;=10000000,IFERROR(DATE(INT($W761/10000),MOD(INT($W761/100),100),MOD($W761,100)),""),INT($W761)),IFERROR(DATE(--LEFT(LEFT(SUBSTITUTE(SUBSTITUTE(SUBSTITUTE(SUBSTITUTE(TRIM($W761),"-",""),".",""),"/","")," ",""),8),4),--MID(LEFT(SUBSTITUTE(SUBSTITUTE(SUBSTITUTE(SUBSTITUTE(TRIM($W761),"-",""),".",""),"/","")," ",""),8),5,2),--MID(LEFT(SUBSTITUTE(SUBSTITUTE(SUBSTITUTE(SUBSTITUTE(TRIM($W761),"-",""),".",""),"/","")," ",""),8),7,2)),"")))</f>
        <v/>
      </c>
      <c r="Y761" s="32">
        <f>IF($X761="","",INT($X761))</f>
        <v/>
      </c>
      <c r="Z761" s="33">
        <f>IF(OR($Y761="",$D$6=""),"",IF(INDEX($A:$U,ROW(),$D$6)="",0,IF(ISNUMBER(INDEX($A:$U,ROW(),$D$6)),INDEX($A:$U,ROW(),$D$6),IFERROR(--SUBSTITUTE(SUBSTITUTE(TRIM(INDEX($A:$U,ROW(),$D$6)),",",""),"원",""),0))))</f>
        <v/>
      </c>
      <c r="AA761" s="31">
        <f>IF($Y761="","",TRIM(INDEX($A:$U,ROW(),$E$6)&amp;IF($F$6="",""," "&amp;INDEX($A:$U,ROW(),$F$6))))</f>
        <v/>
      </c>
      <c r="AB761" s="31">
        <f>IF($AA761="","",SUBSTITUTE(SUBSTITUTE(SUBSTITUTE(SUBSTITUTE(SUBSTITUTE(SUBSTITUTE(SUBSTITUTE(SUBSTITUTE(SUBSTITUTE($AA761," ",""),"　",""),"(주)",""),"（주）",""),"㈜",""),"주식회사",""),"(유)",""),"（유）",""),"유한회사",""))</f>
        <v/>
      </c>
      <c r="AC761" s="31">
        <f>IF(OR($Y761="",N($Z761)&lt;=0,$AB761=""),0,IFERROR(LOOKUP(2,1/((거래처별!$AC$8:$AC$307&lt;&gt;"")*ISNUMBER(SEARCH(거래처별!$AC$8:$AC$307,$AB761))),거래처별!$A$8:$A$307),IFERROR(LOOKUP(2,1/((거래처별!$AD$8:$AD$307&lt;&gt;"")*ISNUMBER(SEARCH(거래처별!$AD$8:$AD$307,$AB761))),거래처별!$A$8:$A$307),IFERROR(LOOKUP(2,1/((거래처별!$AE$8:$AE$307&lt;&gt;"")*ISNUMBER(SEARCH(거래처별!$AE$8:$AE$307,$AB761))),거래처별!$A$8:$A$307),0))))</f>
        <v/>
      </c>
      <c r="AD761" s="31">
        <f>IF(AND($Y761&lt;&gt;"",N($Z761)&gt;0,$AC761=0),MAX($AD$7:$AD760)+1,"")</f>
        <v/>
      </c>
      <c r="AE761" s="31">
        <f>IF($Y761="",0,$Y761)</f>
        <v/>
      </c>
    </row>
    <row r="762">
      <c r="W762" s="31">
        <f>IF(OR($B$5="",$C$6="",ROW()&lt;$B$5),"",IF(INDEX($A:$U,ROW(),$C$6)="","",INDEX($A:$U,ROW(),$C$6)))</f>
        <v/>
      </c>
      <c r="X762" s="32">
        <f>IF($W762="","",IF(ISNUMBER($W762),IF($W762&gt;=10000000,IFERROR(DATE(INT($W762/10000),MOD(INT($W762/100),100),MOD($W762,100)),""),INT($W762)),IFERROR(DATE(--LEFT(LEFT(SUBSTITUTE(SUBSTITUTE(SUBSTITUTE(SUBSTITUTE(TRIM($W762),"-",""),".",""),"/","")," ",""),8),4),--MID(LEFT(SUBSTITUTE(SUBSTITUTE(SUBSTITUTE(SUBSTITUTE(TRIM($W762),"-",""),".",""),"/","")," ",""),8),5,2),--MID(LEFT(SUBSTITUTE(SUBSTITUTE(SUBSTITUTE(SUBSTITUTE(TRIM($W762),"-",""),".",""),"/","")," ",""),8),7,2)),"")))</f>
        <v/>
      </c>
      <c r="Y762" s="32">
        <f>IF($X762="","",INT($X762))</f>
        <v/>
      </c>
      <c r="Z762" s="33">
        <f>IF(OR($Y762="",$D$6=""),"",IF(INDEX($A:$U,ROW(),$D$6)="",0,IF(ISNUMBER(INDEX($A:$U,ROW(),$D$6)),INDEX($A:$U,ROW(),$D$6),IFERROR(--SUBSTITUTE(SUBSTITUTE(TRIM(INDEX($A:$U,ROW(),$D$6)),",",""),"원",""),0))))</f>
        <v/>
      </c>
      <c r="AA762" s="31">
        <f>IF($Y762="","",TRIM(INDEX($A:$U,ROW(),$E$6)&amp;IF($F$6="",""," "&amp;INDEX($A:$U,ROW(),$F$6))))</f>
        <v/>
      </c>
      <c r="AB762" s="31">
        <f>IF($AA762="","",SUBSTITUTE(SUBSTITUTE(SUBSTITUTE(SUBSTITUTE(SUBSTITUTE(SUBSTITUTE(SUBSTITUTE(SUBSTITUTE(SUBSTITUTE($AA762," ",""),"　",""),"(주)",""),"（주）",""),"㈜",""),"주식회사",""),"(유)",""),"（유）",""),"유한회사",""))</f>
        <v/>
      </c>
      <c r="AC762" s="31">
        <f>IF(OR($Y762="",N($Z762)&lt;=0,$AB762=""),0,IFERROR(LOOKUP(2,1/((거래처별!$AC$8:$AC$307&lt;&gt;"")*ISNUMBER(SEARCH(거래처별!$AC$8:$AC$307,$AB762))),거래처별!$A$8:$A$307),IFERROR(LOOKUP(2,1/((거래처별!$AD$8:$AD$307&lt;&gt;"")*ISNUMBER(SEARCH(거래처별!$AD$8:$AD$307,$AB762))),거래처별!$A$8:$A$307),IFERROR(LOOKUP(2,1/((거래처별!$AE$8:$AE$307&lt;&gt;"")*ISNUMBER(SEARCH(거래처별!$AE$8:$AE$307,$AB762))),거래처별!$A$8:$A$307),0))))</f>
        <v/>
      </c>
      <c r="AD762" s="31">
        <f>IF(AND($Y762&lt;&gt;"",N($Z762)&gt;0,$AC762=0),MAX($AD$7:$AD761)+1,"")</f>
        <v/>
      </c>
      <c r="AE762" s="31">
        <f>IF($Y762="",0,$Y762)</f>
        <v/>
      </c>
    </row>
    <row r="763">
      <c r="W763" s="31">
        <f>IF(OR($B$5="",$C$6="",ROW()&lt;$B$5),"",IF(INDEX($A:$U,ROW(),$C$6)="","",INDEX($A:$U,ROW(),$C$6)))</f>
        <v/>
      </c>
      <c r="X763" s="32">
        <f>IF($W763="","",IF(ISNUMBER($W763),IF($W763&gt;=10000000,IFERROR(DATE(INT($W763/10000),MOD(INT($W763/100),100),MOD($W763,100)),""),INT($W763)),IFERROR(DATE(--LEFT(LEFT(SUBSTITUTE(SUBSTITUTE(SUBSTITUTE(SUBSTITUTE(TRIM($W763),"-",""),".",""),"/","")," ",""),8),4),--MID(LEFT(SUBSTITUTE(SUBSTITUTE(SUBSTITUTE(SUBSTITUTE(TRIM($W763),"-",""),".",""),"/","")," ",""),8),5,2),--MID(LEFT(SUBSTITUTE(SUBSTITUTE(SUBSTITUTE(SUBSTITUTE(TRIM($W763),"-",""),".",""),"/","")," ",""),8),7,2)),"")))</f>
        <v/>
      </c>
      <c r="Y763" s="32">
        <f>IF($X763="","",INT($X763))</f>
        <v/>
      </c>
      <c r="Z763" s="33">
        <f>IF(OR($Y763="",$D$6=""),"",IF(INDEX($A:$U,ROW(),$D$6)="",0,IF(ISNUMBER(INDEX($A:$U,ROW(),$D$6)),INDEX($A:$U,ROW(),$D$6),IFERROR(--SUBSTITUTE(SUBSTITUTE(TRIM(INDEX($A:$U,ROW(),$D$6)),",",""),"원",""),0))))</f>
        <v/>
      </c>
      <c r="AA763" s="31">
        <f>IF($Y763="","",TRIM(INDEX($A:$U,ROW(),$E$6)&amp;IF($F$6="",""," "&amp;INDEX($A:$U,ROW(),$F$6))))</f>
        <v/>
      </c>
      <c r="AB763" s="31">
        <f>IF($AA763="","",SUBSTITUTE(SUBSTITUTE(SUBSTITUTE(SUBSTITUTE(SUBSTITUTE(SUBSTITUTE(SUBSTITUTE(SUBSTITUTE(SUBSTITUTE($AA763," ",""),"　",""),"(주)",""),"（주）",""),"㈜",""),"주식회사",""),"(유)",""),"（유）",""),"유한회사",""))</f>
        <v/>
      </c>
      <c r="AC763" s="31">
        <f>IF(OR($Y763="",N($Z763)&lt;=0,$AB763=""),0,IFERROR(LOOKUP(2,1/((거래처별!$AC$8:$AC$307&lt;&gt;"")*ISNUMBER(SEARCH(거래처별!$AC$8:$AC$307,$AB763))),거래처별!$A$8:$A$307),IFERROR(LOOKUP(2,1/((거래처별!$AD$8:$AD$307&lt;&gt;"")*ISNUMBER(SEARCH(거래처별!$AD$8:$AD$307,$AB763))),거래처별!$A$8:$A$307),IFERROR(LOOKUP(2,1/((거래처별!$AE$8:$AE$307&lt;&gt;"")*ISNUMBER(SEARCH(거래처별!$AE$8:$AE$307,$AB763))),거래처별!$A$8:$A$307),0))))</f>
        <v/>
      </c>
      <c r="AD763" s="31">
        <f>IF(AND($Y763&lt;&gt;"",N($Z763)&gt;0,$AC763=0),MAX($AD$7:$AD762)+1,"")</f>
        <v/>
      </c>
      <c r="AE763" s="31">
        <f>IF($Y763="",0,$Y763)</f>
        <v/>
      </c>
    </row>
    <row r="764">
      <c r="W764" s="31">
        <f>IF(OR($B$5="",$C$6="",ROW()&lt;$B$5),"",IF(INDEX($A:$U,ROW(),$C$6)="","",INDEX($A:$U,ROW(),$C$6)))</f>
        <v/>
      </c>
      <c r="X764" s="32">
        <f>IF($W764="","",IF(ISNUMBER($W764),IF($W764&gt;=10000000,IFERROR(DATE(INT($W764/10000),MOD(INT($W764/100),100),MOD($W764,100)),""),INT($W764)),IFERROR(DATE(--LEFT(LEFT(SUBSTITUTE(SUBSTITUTE(SUBSTITUTE(SUBSTITUTE(TRIM($W764),"-",""),".",""),"/","")," ",""),8),4),--MID(LEFT(SUBSTITUTE(SUBSTITUTE(SUBSTITUTE(SUBSTITUTE(TRIM($W764),"-",""),".",""),"/","")," ",""),8),5,2),--MID(LEFT(SUBSTITUTE(SUBSTITUTE(SUBSTITUTE(SUBSTITUTE(TRIM($W764),"-",""),".",""),"/","")," ",""),8),7,2)),"")))</f>
        <v/>
      </c>
      <c r="Y764" s="32">
        <f>IF($X764="","",INT($X764))</f>
        <v/>
      </c>
      <c r="Z764" s="33">
        <f>IF(OR($Y764="",$D$6=""),"",IF(INDEX($A:$U,ROW(),$D$6)="",0,IF(ISNUMBER(INDEX($A:$U,ROW(),$D$6)),INDEX($A:$U,ROW(),$D$6),IFERROR(--SUBSTITUTE(SUBSTITUTE(TRIM(INDEX($A:$U,ROW(),$D$6)),",",""),"원",""),0))))</f>
        <v/>
      </c>
      <c r="AA764" s="31">
        <f>IF($Y764="","",TRIM(INDEX($A:$U,ROW(),$E$6)&amp;IF($F$6="",""," "&amp;INDEX($A:$U,ROW(),$F$6))))</f>
        <v/>
      </c>
      <c r="AB764" s="31">
        <f>IF($AA764="","",SUBSTITUTE(SUBSTITUTE(SUBSTITUTE(SUBSTITUTE(SUBSTITUTE(SUBSTITUTE(SUBSTITUTE(SUBSTITUTE(SUBSTITUTE($AA764," ",""),"　",""),"(주)",""),"（주）",""),"㈜",""),"주식회사",""),"(유)",""),"（유）",""),"유한회사",""))</f>
        <v/>
      </c>
      <c r="AC764" s="31">
        <f>IF(OR($Y764="",N($Z764)&lt;=0,$AB764=""),0,IFERROR(LOOKUP(2,1/((거래처별!$AC$8:$AC$307&lt;&gt;"")*ISNUMBER(SEARCH(거래처별!$AC$8:$AC$307,$AB764))),거래처별!$A$8:$A$307),IFERROR(LOOKUP(2,1/((거래처별!$AD$8:$AD$307&lt;&gt;"")*ISNUMBER(SEARCH(거래처별!$AD$8:$AD$307,$AB764))),거래처별!$A$8:$A$307),IFERROR(LOOKUP(2,1/((거래처별!$AE$8:$AE$307&lt;&gt;"")*ISNUMBER(SEARCH(거래처별!$AE$8:$AE$307,$AB764))),거래처별!$A$8:$A$307),0))))</f>
        <v/>
      </c>
      <c r="AD764" s="31">
        <f>IF(AND($Y764&lt;&gt;"",N($Z764)&gt;0,$AC764=0),MAX($AD$7:$AD763)+1,"")</f>
        <v/>
      </c>
      <c r="AE764" s="31">
        <f>IF($Y764="",0,$Y764)</f>
        <v/>
      </c>
    </row>
    <row r="765">
      <c r="W765" s="31">
        <f>IF(OR($B$5="",$C$6="",ROW()&lt;$B$5),"",IF(INDEX($A:$U,ROW(),$C$6)="","",INDEX($A:$U,ROW(),$C$6)))</f>
        <v/>
      </c>
      <c r="X765" s="32">
        <f>IF($W765="","",IF(ISNUMBER($W765),IF($W765&gt;=10000000,IFERROR(DATE(INT($W765/10000),MOD(INT($W765/100),100),MOD($W765,100)),""),INT($W765)),IFERROR(DATE(--LEFT(LEFT(SUBSTITUTE(SUBSTITUTE(SUBSTITUTE(SUBSTITUTE(TRIM($W765),"-",""),".",""),"/","")," ",""),8),4),--MID(LEFT(SUBSTITUTE(SUBSTITUTE(SUBSTITUTE(SUBSTITUTE(TRIM($W765),"-",""),".",""),"/","")," ",""),8),5,2),--MID(LEFT(SUBSTITUTE(SUBSTITUTE(SUBSTITUTE(SUBSTITUTE(TRIM($W765),"-",""),".",""),"/","")," ",""),8),7,2)),"")))</f>
        <v/>
      </c>
      <c r="Y765" s="32">
        <f>IF($X765="","",INT($X765))</f>
        <v/>
      </c>
      <c r="Z765" s="33">
        <f>IF(OR($Y765="",$D$6=""),"",IF(INDEX($A:$U,ROW(),$D$6)="",0,IF(ISNUMBER(INDEX($A:$U,ROW(),$D$6)),INDEX($A:$U,ROW(),$D$6),IFERROR(--SUBSTITUTE(SUBSTITUTE(TRIM(INDEX($A:$U,ROW(),$D$6)),",",""),"원",""),0))))</f>
        <v/>
      </c>
      <c r="AA765" s="31">
        <f>IF($Y765="","",TRIM(INDEX($A:$U,ROW(),$E$6)&amp;IF($F$6="",""," "&amp;INDEX($A:$U,ROW(),$F$6))))</f>
        <v/>
      </c>
      <c r="AB765" s="31">
        <f>IF($AA765="","",SUBSTITUTE(SUBSTITUTE(SUBSTITUTE(SUBSTITUTE(SUBSTITUTE(SUBSTITUTE(SUBSTITUTE(SUBSTITUTE(SUBSTITUTE($AA765," ",""),"　",""),"(주)",""),"（주）",""),"㈜",""),"주식회사",""),"(유)",""),"（유）",""),"유한회사",""))</f>
        <v/>
      </c>
      <c r="AC765" s="31">
        <f>IF(OR($Y765="",N($Z765)&lt;=0,$AB765=""),0,IFERROR(LOOKUP(2,1/((거래처별!$AC$8:$AC$307&lt;&gt;"")*ISNUMBER(SEARCH(거래처별!$AC$8:$AC$307,$AB765))),거래처별!$A$8:$A$307),IFERROR(LOOKUP(2,1/((거래처별!$AD$8:$AD$307&lt;&gt;"")*ISNUMBER(SEARCH(거래처별!$AD$8:$AD$307,$AB765))),거래처별!$A$8:$A$307),IFERROR(LOOKUP(2,1/((거래처별!$AE$8:$AE$307&lt;&gt;"")*ISNUMBER(SEARCH(거래처별!$AE$8:$AE$307,$AB765))),거래처별!$A$8:$A$307),0))))</f>
        <v/>
      </c>
      <c r="AD765" s="31">
        <f>IF(AND($Y765&lt;&gt;"",N($Z765)&gt;0,$AC765=0),MAX($AD$7:$AD764)+1,"")</f>
        <v/>
      </c>
      <c r="AE765" s="31">
        <f>IF($Y765="",0,$Y765)</f>
        <v/>
      </c>
    </row>
    <row r="766">
      <c r="W766" s="31">
        <f>IF(OR($B$5="",$C$6="",ROW()&lt;$B$5),"",IF(INDEX($A:$U,ROW(),$C$6)="","",INDEX($A:$U,ROW(),$C$6)))</f>
        <v/>
      </c>
      <c r="X766" s="32">
        <f>IF($W766="","",IF(ISNUMBER($W766),IF($W766&gt;=10000000,IFERROR(DATE(INT($W766/10000),MOD(INT($W766/100),100),MOD($W766,100)),""),INT($W766)),IFERROR(DATE(--LEFT(LEFT(SUBSTITUTE(SUBSTITUTE(SUBSTITUTE(SUBSTITUTE(TRIM($W766),"-",""),".",""),"/","")," ",""),8),4),--MID(LEFT(SUBSTITUTE(SUBSTITUTE(SUBSTITUTE(SUBSTITUTE(TRIM($W766),"-",""),".",""),"/","")," ",""),8),5,2),--MID(LEFT(SUBSTITUTE(SUBSTITUTE(SUBSTITUTE(SUBSTITUTE(TRIM($W766),"-",""),".",""),"/","")," ",""),8),7,2)),"")))</f>
        <v/>
      </c>
      <c r="Y766" s="32">
        <f>IF($X766="","",INT($X766))</f>
        <v/>
      </c>
      <c r="Z766" s="33">
        <f>IF(OR($Y766="",$D$6=""),"",IF(INDEX($A:$U,ROW(),$D$6)="",0,IF(ISNUMBER(INDEX($A:$U,ROW(),$D$6)),INDEX($A:$U,ROW(),$D$6),IFERROR(--SUBSTITUTE(SUBSTITUTE(TRIM(INDEX($A:$U,ROW(),$D$6)),",",""),"원",""),0))))</f>
        <v/>
      </c>
      <c r="AA766" s="31">
        <f>IF($Y766="","",TRIM(INDEX($A:$U,ROW(),$E$6)&amp;IF($F$6="",""," "&amp;INDEX($A:$U,ROW(),$F$6))))</f>
        <v/>
      </c>
      <c r="AB766" s="31">
        <f>IF($AA766="","",SUBSTITUTE(SUBSTITUTE(SUBSTITUTE(SUBSTITUTE(SUBSTITUTE(SUBSTITUTE(SUBSTITUTE(SUBSTITUTE(SUBSTITUTE($AA766," ",""),"　",""),"(주)",""),"（주）",""),"㈜",""),"주식회사",""),"(유)",""),"（유）",""),"유한회사",""))</f>
        <v/>
      </c>
      <c r="AC766" s="31">
        <f>IF(OR($Y766="",N($Z766)&lt;=0,$AB766=""),0,IFERROR(LOOKUP(2,1/((거래처별!$AC$8:$AC$307&lt;&gt;"")*ISNUMBER(SEARCH(거래처별!$AC$8:$AC$307,$AB766))),거래처별!$A$8:$A$307),IFERROR(LOOKUP(2,1/((거래처별!$AD$8:$AD$307&lt;&gt;"")*ISNUMBER(SEARCH(거래처별!$AD$8:$AD$307,$AB766))),거래처별!$A$8:$A$307),IFERROR(LOOKUP(2,1/((거래처별!$AE$8:$AE$307&lt;&gt;"")*ISNUMBER(SEARCH(거래처별!$AE$8:$AE$307,$AB766))),거래처별!$A$8:$A$307),0))))</f>
        <v/>
      </c>
      <c r="AD766" s="31">
        <f>IF(AND($Y766&lt;&gt;"",N($Z766)&gt;0,$AC766=0),MAX($AD$7:$AD765)+1,"")</f>
        <v/>
      </c>
      <c r="AE766" s="31">
        <f>IF($Y766="",0,$Y766)</f>
        <v/>
      </c>
    </row>
    <row r="767">
      <c r="W767" s="31">
        <f>IF(OR($B$5="",$C$6="",ROW()&lt;$B$5),"",IF(INDEX($A:$U,ROW(),$C$6)="","",INDEX($A:$U,ROW(),$C$6)))</f>
        <v/>
      </c>
      <c r="X767" s="32">
        <f>IF($W767="","",IF(ISNUMBER($W767),IF($W767&gt;=10000000,IFERROR(DATE(INT($W767/10000),MOD(INT($W767/100),100),MOD($W767,100)),""),INT($W767)),IFERROR(DATE(--LEFT(LEFT(SUBSTITUTE(SUBSTITUTE(SUBSTITUTE(SUBSTITUTE(TRIM($W767),"-",""),".",""),"/","")," ",""),8),4),--MID(LEFT(SUBSTITUTE(SUBSTITUTE(SUBSTITUTE(SUBSTITUTE(TRIM($W767),"-",""),".",""),"/","")," ",""),8),5,2),--MID(LEFT(SUBSTITUTE(SUBSTITUTE(SUBSTITUTE(SUBSTITUTE(TRIM($W767),"-",""),".",""),"/","")," ",""),8),7,2)),"")))</f>
        <v/>
      </c>
      <c r="Y767" s="32">
        <f>IF($X767="","",INT($X767))</f>
        <v/>
      </c>
      <c r="Z767" s="33">
        <f>IF(OR($Y767="",$D$6=""),"",IF(INDEX($A:$U,ROW(),$D$6)="",0,IF(ISNUMBER(INDEX($A:$U,ROW(),$D$6)),INDEX($A:$U,ROW(),$D$6),IFERROR(--SUBSTITUTE(SUBSTITUTE(TRIM(INDEX($A:$U,ROW(),$D$6)),",",""),"원",""),0))))</f>
        <v/>
      </c>
      <c r="AA767" s="31">
        <f>IF($Y767="","",TRIM(INDEX($A:$U,ROW(),$E$6)&amp;IF($F$6="",""," "&amp;INDEX($A:$U,ROW(),$F$6))))</f>
        <v/>
      </c>
      <c r="AB767" s="31">
        <f>IF($AA767="","",SUBSTITUTE(SUBSTITUTE(SUBSTITUTE(SUBSTITUTE(SUBSTITUTE(SUBSTITUTE(SUBSTITUTE(SUBSTITUTE(SUBSTITUTE($AA767," ",""),"　",""),"(주)",""),"（주）",""),"㈜",""),"주식회사",""),"(유)",""),"（유）",""),"유한회사",""))</f>
        <v/>
      </c>
      <c r="AC767" s="31">
        <f>IF(OR($Y767="",N($Z767)&lt;=0,$AB767=""),0,IFERROR(LOOKUP(2,1/((거래처별!$AC$8:$AC$307&lt;&gt;"")*ISNUMBER(SEARCH(거래처별!$AC$8:$AC$307,$AB767))),거래처별!$A$8:$A$307),IFERROR(LOOKUP(2,1/((거래처별!$AD$8:$AD$307&lt;&gt;"")*ISNUMBER(SEARCH(거래처별!$AD$8:$AD$307,$AB767))),거래처별!$A$8:$A$307),IFERROR(LOOKUP(2,1/((거래처별!$AE$8:$AE$307&lt;&gt;"")*ISNUMBER(SEARCH(거래처별!$AE$8:$AE$307,$AB767))),거래처별!$A$8:$A$307),0))))</f>
        <v/>
      </c>
      <c r="AD767" s="31">
        <f>IF(AND($Y767&lt;&gt;"",N($Z767)&gt;0,$AC767=0),MAX($AD$7:$AD766)+1,"")</f>
        <v/>
      </c>
      <c r="AE767" s="31">
        <f>IF($Y767="",0,$Y767)</f>
        <v/>
      </c>
    </row>
    <row r="768">
      <c r="W768" s="31">
        <f>IF(OR($B$5="",$C$6="",ROW()&lt;$B$5),"",IF(INDEX($A:$U,ROW(),$C$6)="","",INDEX($A:$U,ROW(),$C$6)))</f>
        <v/>
      </c>
      <c r="X768" s="32">
        <f>IF($W768="","",IF(ISNUMBER($W768),IF($W768&gt;=10000000,IFERROR(DATE(INT($W768/10000),MOD(INT($W768/100),100),MOD($W768,100)),""),INT($W768)),IFERROR(DATE(--LEFT(LEFT(SUBSTITUTE(SUBSTITUTE(SUBSTITUTE(SUBSTITUTE(TRIM($W768),"-",""),".",""),"/","")," ",""),8),4),--MID(LEFT(SUBSTITUTE(SUBSTITUTE(SUBSTITUTE(SUBSTITUTE(TRIM($W768),"-",""),".",""),"/","")," ",""),8),5,2),--MID(LEFT(SUBSTITUTE(SUBSTITUTE(SUBSTITUTE(SUBSTITUTE(TRIM($W768),"-",""),".",""),"/","")," ",""),8),7,2)),"")))</f>
        <v/>
      </c>
      <c r="Y768" s="32">
        <f>IF($X768="","",INT($X768))</f>
        <v/>
      </c>
      <c r="Z768" s="33">
        <f>IF(OR($Y768="",$D$6=""),"",IF(INDEX($A:$U,ROW(),$D$6)="",0,IF(ISNUMBER(INDEX($A:$U,ROW(),$D$6)),INDEX($A:$U,ROW(),$D$6),IFERROR(--SUBSTITUTE(SUBSTITUTE(TRIM(INDEX($A:$U,ROW(),$D$6)),",",""),"원",""),0))))</f>
        <v/>
      </c>
      <c r="AA768" s="31">
        <f>IF($Y768="","",TRIM(INDEX($A:$U,ROW(),$E$6)&amp;IF($F$6="",""," "&amp;INDEX($A:$U,ROW(),$F$6))))</f>
        <v/>
      </c>
      <c r="AB768" s="31">
        <f>IF($AA768="","",SUBSTITUTE(SUBSTITUTE(SUBSTITUTE(SUBSTITUTE(SUBSTITUTE(SUBSTITUTE(SUBSTITUTE(SUBSTITUTE(SUBSTITUTE($AA768," ",""),"　",""),"(주)",""),"（주）",""),"㈜",""),"주식회사",""),"(유)",""),"（유）",""),"유한회사",""))</f>
        <v/>
      </c>
      <c r="AC768" s="31">
        <f>IF(OR($Y768="",N($Z768)&lt;=0,$AB768=""),0,IFERROR(LOOKUP(2,1/((거래처별!$AC$8:$AC$307&lt;&gt;"")*ISNUMBER(SEARCH(거래처별!$AC$8:$AC$307,$AB768))),거래처별!$A$8:$A$307),IFERROR(LOOKUP(2,1/((거래처별!$AD$8:$AD$307&lt;&gt;"")*ISNUMBER(SEARCH(거래처별!$AD$8:$AD$307,$AB768))),거래처별!$A$8:$A$307),IFERROR(LOOKUP(2,1/((거래처별!$AE$8:$AE$307&lt;&gt;"")*ISNUMBER(SEARCH(거래처별!$AE$8:$AE$307,$AB768))),거래처별!$A$8:$A$307),0))))</f>
        <v/>
      </c>
      <c r="AD768" s="31">
        <f>IF(AND($Y768&lt;&gt;"",N($Z768)&gt;0,$AC768=0),MAX($AD$7:$AD767)+1,"")</f>
        <v/>
      </c>
      <c r="AE768" s="31">
        <f>IF($Y768="",0,$Y768)</f>
        <v/>
      </c>
    </row>
    <row r="769">
      <c r="W769" s="31">
        <f>IF(OR($B$5="",$C$6="",ROW()&lt;$B$5),"",IF(INDEX($A:$U,ROW(),$C$6)="","",INDEX($A:$U,ROW(),$C$6)))</f>
        <v/>
      </c>
      <c r="X769" s="32">
        <f>IF($W769="","",IF(ISNUMBER($W769),IF($W769&gt;=10000000,IFERROR(DATE(INT($W769/10000),MOD(INT($W769/100),100),MOD($W769,100)),""),INT($W769)),IFERROR(DATE(--LEFT(LEFT(SUBSTITUTE(SUBSTITUTE(SUBSTITUTE(SUBSTITUTE(TRIM($W769),"-",""),".",""),"/","")," ",""),8),4),--MID(LEFT(SUBSTITUTE(SUBSTITUTE(SUBSTITUTE(SUBSTITUTE(TRIM($W769),"-",""),".",""),"/","")," ",""),8),5,2),--MID(LEFT(SUBSTITUTE(SUBSTITUTE(SUBSTITUTE(SUBSTITUTE(TRIM($W769),"-",""),".",""),"/","")," ",""),8),7,2)),"")))</f>
        <v/>
      </c>
      <c r="Y769" s="32">
        <f>IF($X769="","",INT($X769))</f>
        <v/>
      </c>
      <c r="Z769" s="33">
        <f>IF(OR($Y769="",$D$6=""),"",IF(INDEX($A:$U,ROW(),$D$6)="",0,IF(ISNUMBER(INDEX($A:$U,ROW(),$D$6)),INDEX($A:$U,ROW(),$D$6),IFERROR(--SUBSTITUTE(SUBSTITUTE(TRIM(INDEX($A:$U,ROW(),$D$6)),",",""),"원",""),0))))</f>
        <v/>
      </c>
      <c r="AA769" s="31">
        <f>IF($Y769="","",TRIM(INDEX($A:$U,ROW(),$E$6)&amp;IF($F$6="",""," "&amp;INDEX($A:$U,ROW(),$F$6))))</f>
        <v/>
      </c>
      <c r="AB769" s="31">
        <f>IF($AA769="","",SUBSTITUTE(SUBSTITUTE(SUBSTITUTE(SUBSTITUTE(SUBSTITUTE(SUBSTITUTE(SUBSTITUTE(SUBSTITUTE(SUBSTITUTE($AA769," ",""),"　",""),"(주)",""),"（주）",""),"㈜",""),"주식회사",""),"(유)",""),"（유）",""),"유한회사",""))</f>
        <v/>
      </c>
      <c r="AC769" s="31">
        <f>IF(OR($Y769="",N($Z769)&lt;=0,$AB769=""),0,IFERROR(LOOKUP(2,1/((거래처별!$AC$8:$AC$307&lt;&gt;"")*ISNUMBER(SEARCH(거래처별!$AC$8:$AC$307,$AB769))),거래처별!$A$8:$A$307),IFERROR(LOOKUP(2,1/((거래처별!$AD$8:$AD$307&lt;&gt;"")*ISNUMBER(SEARCH(거래처별!$AD$8:$AD$307,$AB769))),거래처별!$A$8:$A$307),IFERROR(LOOKUP(2,1/((거래처별!$AE$8:$AE$307&lt;&gt;"")*ISNUMBER(SEARCH(거래처별!$AE$8:$AE$307,$AB769))),거래처별!$A$8:$A$307),0))))</f>
        <v/>
      </c>
      <c r="AD769" s="31">
        <f>IF(AND($Y769&lt;&gt;"",N($Z769)&gt;0,$AC769=0),MAX($AD$7:$AD768)+1,"")</f>
        <v/>
      </c>
      <c r="AE769" s="31">
        <f>IF($Y769="",0,$Y769)</f>
        <v/>
      </c>
    </row>
    <row r="770">
      <c r="W770" s="31">
        <f>IF(OR($B$5="",$C$6="",ROW()&lt;$B$5),"",IF(INDEX($A:$U,ROW(),$C$6)="","",INDEX($A:$U,ROW(),$C$6)))</f>
        <v/>
      </c>
      <c r="X770" s="32">
        <f>IF($W770="","",IF(ISNUMBER($W770),IF($W770&gt;=10000000,IFERROR(DATE(INT($W770/10000),MOD(INT($W770/100),100),MOD($W770,100)),""),INT($W770)),IFERROR(DATE(--LEFT(LEFT(SUBSTITUTE(SUBSTITUTE(SUBSTITUTE(SUBSTITUTE(TRIM($W770),"-",""),".",""),"/","")," ",""),8),4),--MID(LEFT(SUBSTITUTE(SUBSTITUTE(SUBSTITUTE(SUBSTITUTE(TRIM($W770),"-",""),".",""),"/","")," ",""),8),5,2),--MID(LEFT(SUBSTITUTE(SUBSTITUTE(SUBSTITUTE(SUBSTITUTE(TRIM($W770),"-",""),".",""),"/","")," ",""),8),7,2)),"")))</f>
        <v/>
      </c>
      <c r="Y770" s="32">
        <f>IF($X770="","",INT($X770))</f>
        <v/>
      </c>
      <c r="Z770" s="33">
        <f>IF(OR($Y770="",$D$6=""),"",IF(INDEX($A:$U,ROW(),$D$6)="",0,IF(ISNUMBER(INDEX($A:$U,ROW(),$D$6)),INDEX($A:$U,ROW(),$D$6),IFERROR(--SUBSTITUTE(SUBSTITUTE(TRIM(INDEX($A:$U,ROW(),$D$6)),",",""),"원",""),0))))</f>
        <v/>
      </c>
      <c r="AA770" s="31">
        <f>IF($Y770="","",TRIM(INDEX($A:$U,ROW(),$E$6)&amp;IF($F$6="",""," "&amp;INDEX($A:$U,ROW(),$F$6))))</f>
        <v/>
      </c>
      <c r="AB770" s="31">
        <f>IF($AA770="","",SUBSTITUTE(SUBSTITUTE(SUBSTITUTE(SUBSTITUTE(SUBSTITUTE(SUBSTITUTE(SUBSTITUTE(SUBSTITUTE(SUBSTITUTE($AA770," ",""),"　",""),"(주)",""),"（주）",""),"㈜",""),"주식회사",""),"(유)",""),"（유）",""),"유한회사",""))</f>
        <v/>
      </c>
      <c r="AC770" s="31">
        <f>IF(OR($Y770="",N($Z770)&lt;=0,$AB770=""),0,IFERROR(LOOKUP(2,1/((거래처별!$AC$8:$AC$307&lt;&gt;"")*ISNUMBER(SEARCH(거래처별!$AC$8:$AC$307,$AB770))),거래처별!$A$8:$A$307),IFERROR(LOOKUP(2,1/((거래처별!$AD$8:$AD$307&lt;&gt;"")*ISNUMBER(SEARCH(거래처별!$AD$8:$AD$307,$AB770))),거래처별!$A$8:$A$307),IFERROR(LOOKUP(2,1/((거래처별!$AE$8:$AE$307&lt;&gt;"")*ISNUMBER(SEARCH(거래처별!$AE$8:$AE$307,$AB770))),거래처별!$A$8:$A$307),0))))</f>
        <v/>
      </c>
      <c r="AD770" s="31">
        <f>IF(AND($Y770&lt;&gt;"",N($Z770)&gt;0,$AC770=0),MAX($AD$7:$AD769)+1,"")</f>
        <v/>
      </c>
      <c r="AE770" s="31">
        <f>IF($Y770="",0,$Y770)</f>
        <v/>
      </c>
    </row>
    <row r="771">
      <c r="W771" s="31">
        <f>IF(OR($B$5="",$C$6="",ROW()&lt;$B$5),"",IF(INDEX($A:$U,ROW(),$C$6)="","",INDEX($A:$U,ROW(),$C$6)))</f>
        <v/>
      </c>
      <c r="X771" s="32">
        <f>IF($W771="","",IF(ISNUMBER($W771),IF($W771&gt;=10000000,IFERROR(DATE(INT($W771/10000),MOD(INT($W771/100),100),MOD($W771,100)),""),INT($W771)),IFERROR(DATE(--LEFT(LEFT(SUBSTITUTE(SUBSTITUTE(SUBSTITUTE(SUBSTITUTE(TRIM($W771),"-",""),".",""),"/","")," ",""),8),4),--MID(LEFT(SUBSTITUTE(SUBSTITUTE(SUBSTITUTE(SUBSTITUTE(TRIM($W771),"-",""),".",""),"/","")," ",""),8),5,2),--MID(LEFT(SUBSTITUTE(SUBSTITUTE(SUBSTITUTE(SUBSTITUTE(TRIM($W771),"-",""),".",""),"/","")," ",""),8),7,2)),"")))</f>
        <v/>
      </c>
      <c r="Y771" s="32">
        <f>IF($X771="","",INT($X771))</f>
        <v/>
      </c>
      <c r="Z771" s="33">
        <f>IF(OR($Y771="",$D$6=""),"",IF(INDEX($A:$U,ROW(),$D$6)="",0,IF(ISNUMBER(INDEX($A:$U,ROW(),$D$6)),INDEX($A:$U,ROW(),$D$6),IFERROR(--SUBSTITUTE(SUBSTITUTE(TRIM(INDEX($A:$U,ROW(),$D$6)),",",""),"원",""),0))))</f>
        <v/>
      </c>
      <c r="AA771" s="31">
        <f>IF($Y771="","",TRIM(INDEX($A:$U,ROW(),$E$6)&amp;IF($F$6="",""," "&amp;INDEX($A:$U,ROW(),$F$6))))</f>
        <v/>
      </c>
      <c r="AB771" s="31">
        <f>IF($AA771="","",SUBSTITUTE(SUBSTITUTE(SUBSTITUTE(SUBSTITUTE(SUBSTITUTE(SUBSTITUTE(SUBSTITUTE(SUBSTITUTE(SUBSTITUTE($AA771," ",""),"　",""),"(주)",""),"（주）",""),"㈜",""),"주식회사",""),"(유)",""),"（유）",""),"유한회사",""))</f>
        <v/>
      </c>
      <c r="AC771" s="31">
        <f>IF(OR($Y771="",N($Z771)&lt;=0,$AB771=""),0,IFERROR(LOOKUP(2,1/((거래처별!$AC$8:$AC$307&lt;&gt;"")*ISNUMBER(SEARCH(거래처별!$AC$8:$AC$307,$AB771))),거래처별!$A$8:$A$307),IFERROR(LOOKUP(2,1/((거래처별!$AD$8:$AD$307&lt;&gt;"")*ISNUMBER(SEARCH(거래처별!$AD$8:$AD$307,$AB771))),거래처별!$A$8:$A$307),IFERROR(LOOKUP(2,1/((거래처별!$AE$8:$AE$307&lt;&gt;"")*ISNUMBER(SEARCH(거래처별!$AE$8:$AE$307,$AB771))),거래처별!$A$8:$A$307),0))))</f>
        <v/>
      </c>
      <c r="AD771" s="31">
        <f>IF(AND($Y771&lt;&gt;"",N($Z771)&gt;0,$AC771=0),MAX($AD$7:$AD770)+1,"")</f>
        <v/>
      </c>
      <c r="AE771" s="31">
        <f>IF($Y771="",0,$Y771)</f>
        <v/>
      </c>
    </row>
    <row r="772">
      <c r="W772" s="31">
        <f>IF(OR($B$5="",$C$6="",ROW()&lt;$B$5),"",IF(INDEX($A:$U,ROW(),$C$6)="","",INDEX($A:$U,ROW(),$C$6)))</f>
        <v/>
      </c>
      <c r="X772" s="32">
        <f>IF($W772="","",IF(ISNUMBER($W772),IF($W772&gt;=10000000,IFERROR(DATE(INT($W772/10000),MOD(INT($W772/100),100),MOD($W772,100)),""),INT($W772)),IFERROR(DATE(--LEFT(LEFT(SUBSTITUTE(SUBSTITUTE(SUBSTITUTE(SUBSTITUTE(TRIM($W772),"-",""),".",""),"/","")," ",""),8),4),--MID(LEFT(SUBSTITUTE(SUBSTITUTE(SUBSTITUTE(SUBSTITUTE(TRIM($W772),"-",""),".",""),"/","")," ",""),8),5,2),--MID(LEFT(SUBSTITUTE(SUBSTITUTE(SUBSTITUTE(SUBSTITUTE(TRIM($W772),"-",""),".",""),"/","")," ",""),8),7,2)),"")))</f>
        <v/>
      </c>
      <c r="Y772" s="32">
        <f>IF($X772="","",INT($X772))</f>
        <v/>
      </c>
      <c r="Z772" s="33">
        <f>IF(OR($Y772="",$D$6=""),"",IF(INDEX($A:$U,ROW(),$D$6)="",0,IF(ISNUMBER(INDEX($A:$U,ROW(),$D$6)),INDEX($A:$U,ROW(),$D$6),IFERROR(--SUBSTITUTE(SUBSTITUTE(TRIM(INDEX($A:$U,ROW(),$D$6)),",",""),"원",""),0))))</f>
        <v/>
      </c>
      <c r="AA772" s="31">
        <f>IF($Y772="","",TRIM(INDEX($A:$U,ROW(),$E$6)&amp;IF($F$6="",""," "&amp;INDEX($A:$U,ROW(),$F$6))))</f>
        <v/>
      </c>
      <c r="AB772" s="31">
        <f>IF($AA772="","",SUBSTITUTE(SUBSTITUTE(SUBSTITUTE(SUBSTITUTE(SUBSTITUTE(SUBSTITUTE(SUBSTITUTE(SUBSTITUTE(SUBSTITUTE($AA772," ",""),"　",""),"(주)",""),"（주）",""),"㈜",""),"주식회사",""),"(유)",""),"（유）",""),"유한회사",""))</f>
        <v/>
      </c>
      <c r="AC772" s="31">
        <f>IF(OR($Y772="",N($Z772)&lt;=0,$AB772=""),0,IFERROR(LOOKUP(2,1/((거래처별!$AC$8:$AC$307&lt;&gt;"")*ISNUMBER(SEARCH(거래처별!$AC$8:$AC$307,$AB772))),거래처별!$A$8:$A$307),IFERROR(LOOKUP(2,1/((거래처별!$AD$8:$AD$307&lt;&gt;"")*ISNUMBER(SEARCH(거래처별!$AD$8:$AD$307,$AB772))),거래처별!$A$8:$A$307),IFERROR(LOOKUP(2,1/((거래처별!$AE$8:$AE$307&lt;&gt;"")*ISNUMBER(SEARCH(거래처별!$AE$8:$AE$307,$AB772))),거래처별!$A$8:$A$307),0))))</f>
        <v/>
      </c>
      <c r="AD772" s="31">
        <f>IF(AND($Y772&lt;&gt;"",N($Z772)&gt;0,$AC772=0),MAX($AD$7:$AD771)+1,"")</f>
        <v/>
      </c>
      <c r="AE772" s="31">
        <f>IF($Y772="",0,$Y772)</f>
        <v/>
      </c>
    </row>
    <row r="773">
      <c r="W773" s="31">
        <f>IF(OR($B$5="",$C$6="",ROW()&lt;$B$5),"",IF(INDEX($A:$U,ROW(),$C$6)="","",INDEX($A:$U,ROW(),$C$6)))</f>
        <v/>
      </c>
      <c r="X773" s="32">
        <f>IF($W773="","",IF(ISNUMBER($W773),IF($W773&gt;=10000000,IFERROR(DATE(INT($W773/10000),MOD(INT($W773/100),100),MOD($W773,100)),""),INT($W773)),IFERROR(DATE(--LEFT(LEFT(SUBSTITUTE(SUBSTITUTE(SUBSTITUTE(SUBSTITUTE(TRIM($W773),"-",""),".",""),"/","")," ",""),8),4),--MID(LEFT(SUBSTITUTE(SUBSTITUTE(SUBSTITUTE(SUBSTITUTE(TRIM($W773),"-",""),".",""),"/","")," ",""),8),5,2),--MID(LEFT(SUBSTITUTE(SUBSTITUTE(SUBSTITUTE(SUBSTITUTE(TRIM($W773),"-",""),".",""),"/","")," ",""),8),7,2)),"")))</f>
        <v/>
      </c>
      <c r="Y773" s="32">
        <f>IF($X773="","",INT($X773))</f>
        <v/>
      </c>
      <c r="Z773" s="33">
        <f>IF(OR($Y773="",$D$6=""),"",IF(INDEX($A:$U,ROW(),$D$6)="",0,IF(ISNUMBER(INDEX($A:$U,ROW(),$D$6)),INDEX($A:$U,ROW(),$D$6),IFERROR(--SUBSTITUTE(SUBSTITUTE(TRIM(INDEX($A:$U,ROW(),$D$6)),",",""),"원",""),0))))</f>
        <v/>
      </c>
      <c r="AA773" s="31">
        <f>IF($Y773="","",TRIM(INDEX($A:$U,ROW(),$E$6)&amp;IF($F$6="",""," "&amp;INDEX($A:$U,ROW(),$F$6))))</f>
        <v/>
      </c>
      <c r="AB773" s="31">
        <f>IF($AA773="","",SUBSTITUTE(SUBSTITUTE(SUBSTITUTE(SUBSTITUTE(SUBSTITUTE(SUBSTITUTE(SUBSTITUTE(SUBSTITUTE(SUBSTITUTE($AA773," ",""),"　",""),"(주)",""),"（주）",""),"㈜",""),"주식회사",""),"(유)",""),"（유）",""),"유한회사",""))</f>
        <v/>
      </c>
      <c r="AC773" s="31">
        <f>IF(OR($Y773="",N($Z773)&lt;=0,$AB773=""),0,IFERROR(LOOKUP(2,1/((거래처별!$AC$8:$AC$307&lt;&gt;"")*ISNUMBER(SEARCH(거래처별!$AC$8:$AC$307,$AB773))),거래처별!$A$8:$A$307),IFERROR(LOOKUP(2,1/((거래처별!$AD$8:$AD$307&lt;&gt;"")*ISNUMBER(SEARCH(거래처별!$AD$8:$AD$307,$AB773))),거래처별!$A$8:$A$307),IFERROR(LOOKUP(2,1/((거래처별!$AE$8:$AE$307&lt;&gt;"")*ISNUMBER(SEARCH(거래처별!$AE$8:$AE$307,$AB773))),거래처별!$A$8:$A$307),0))))</f>
        <v/>
      </c>
      <c r="AD773" s="31">
        <f>IF(AND($Y773&lt;&gt;"",N($Z773)&gt;0,$AC773=0),MAX($AD$7:$AD772)+1,"")</f>
        <v/>
      </c>
      <c r="AE773" s="31">
        <f>IF($Y773="",0,$Y773)</f>
        <v/>
      </c>
    </row>
    <row r="774">
      <c r="W774" s="31">
        <f>IF(OR($B$5="",$C$6="",ROW()&lt;$B$5),"",IF(INDEX($A:$U,ROW(),$C$6)="","",INDEX($A:$U,ROW(),$C$6)))</f>
        <v/>
      </c>
      <c r="X774" s="32">
        <f>IF($W774="","",IF(ISNUMBER($W774),IF($W774&gt;=10000000,IFERROR(DATE(INT($W774/10000),MOD(INT($W774/100),100),MOD($W774,100)),""),INT($W774)),IFERROR(DATE(--LEFT(LEFT(SUBSTITUTE(SUBSTITUTE(SUBSTITUTE(SUBSTITUTE(TRIM($W774),"-",""),".",""),"/","")," ",""),8),4),--MID(LEFT(SUBSTITUTE(SUBSTITUTE(SUBSTITUTE(SUBSTITUTE(TRIM($W774),"-",""),".",""),"/","")," ",""),8),5,2),--MID(LEFT(SUBSTITUTE(SUBSTITUTE(SUBSTITUTE(SUBSTITUTE(TRIM($W774),"-",""),".",""),"/","")," ",""),8),7,2)),"")))</f>
        <v/>
      </c>
      <c r="Y774" s="32">
        <f>IF($X774="","",INT($X774))</f>
        <v/>
      </c>
      <c r="Z774" s="33">
        <f>IF(OR($Y774="",$D$6=""),"",IF(INDEX($A:$U,ROW(),$D$6)="",0,IF(ISNUMBER(INDEX($A:$U,ROW(),$D$6)),INDEX($A:$U,ROW(),$D$6),IFERROR(--SUBSTITUTE(SUBSTITUTE(TRIM(INDEX($A:$U,ROW(),$D$6)),",",""),"원",""),0))))</f>
        <v/>
      </c>
      <c r="AA774" s="31">
        <f>IF($Y774="","",TRIM(INDEX($A:$U,ROW(),$E$6)&amp;IF($F$6="",""," "&amp;INDEX($A:$U,ROW(),$F$6))))</f>
        <v/>
      </c>
      <c r="AB774" s="31">
        <f>IF($AA774="","",SUBSTITUTE(SUBSTITUTE(SUBSTITUTE(SUBSTITUTE(SUBSTITUTE(SUBSTITUTE(SUBSTITUTE(SUBSTITUTE(SUBSTITUTE($AA774," ",""),"　",""),"(주)",""),"（주）",""),"㈜",""),"주식회사",""),"(유)",""),"（유）",""),"유한회사",""))</f>
        <v/>
      </c>
      <c r="AC774" s="31">
        <f>IF(OR($Y774="",N($Z774)&lt;=0,$AB774=""),0,IFERROR(LOOKUP(2,1/((거래처별!$AC$8:$AC$307&lt;&gt;"")*ISNUMBER(SEARCH(거래처별!$AC$8:$AC$307,$AB774))),거래처별!$A$8:$A$307),IFERROR(LOOKUP(2,1/((거래처별!$AD$8:$AD$307&lt;&gt;"")*ISNUMBER(SEARCH(거래처별!$AD$8:$AD$307,$AB774))),거래처별!$A$8:$A$307),IFERROR(LOOKUP(2,1/((거래처별!$AE$8:$AE$307&lt;&gt;"")*ISNUMBER(SEARCH(거래처별!$AE$8:$AE$307,$AB774))),거래처별!$A$8:$A$307),0))))</f>
        <v/>
      </c>
      <c r="AD774" s="31">
        <f>IF(AND($Y774&lt;&gt;"",N($Z774)&gt;0,$AC774=0),MAX($AD$7:$AD773)+1,"")</f>
        <v/>
      </c>
      <c r="AE774" s="31">
        <f>IF($Y774="",0,$Y774)</f>
        <v/>
      </c>
    </row>
    <row r="775">
      <c r="W775" s="31">
        <f>IF(OR($B$5="",$C$6="",ROW()&lt;$B$5),"",IF(INDEX($A:$U,ROW(),$C$6)="","",INDEX($A:$U,ROW(),$C$6)))</f>
        <v/>
      </c>
      <c r="X775" s="32">
        <f>IF($W775="","",IF(ISNUMBER($W775),IF($W775&gt;=10000000,IFERROR(DATE(INT($W775/10000),MOD(INT($W775/100),100),MOD($W775,100)),""),INT($W775)),IFERROR(DATE(--LEFT(LEFT(SUBSTITUTE(SUBSTITUTE(SUBSTITUTE(SUBSTITUTE(TRIM($W775),"-",""),".",""),"/","")," ",""),8),4),--MID(LEFT(SUBSTITUTE(SUBSTITUTE(SUBSTITUTE(SUBSTITUTE(TRIM($W775),"-",""),".",""),"/","")," ",""),8),5,2),--MID(LEFT(SUBSTITUTE(SUBSTITUTE(SUBSTITUTE(SUBSTITUTE(TRIM($W775),"-",""),".",""),"/","")," ",""),8),7,2)),"")))</f>
        <v/>
      </c>
      <c r="Y775" s="32">
        <f>IF($X775="","",INT($X775))</f>
        <v/>
      </c>
      <c r="Z775" s="33">
        <f>IF(OR($Y775="",$D$6=""),"",IF(INDEX($A:$U,ROW(),$D$6)="",0,IF(ISNUMBER(INDEX($A:$U,ROW(),$D$6)),INDEX($A:$U,ROW(),$D$6),IFERROR(--SUBSTITUTE(SUBSTITUTE(TRIM(INDEX($A:$U,ROW(),$D$6)),",",""),"원",""),0))))</f>
        <v/>
      </c>
      <c r="AA775" s="31">
        <f>IF($Y775="","",TRIM(INDEX($A:$U,ROW(),$E$6)&amp;IF($F$6="",""," "&amp;INDEX($A:$U,ROW(),$F$6))))</f>
        <v/>
      </c>
      <c r="AB775" s="31">
        <f>IF($AA775="","",SUBSTITUTE(SUBSTITUTE(SUBSTITUTE(SUBSTITUTE(SUBSTITUTE(SUBSTITUTE(SUBSTITUTE(SUBSTITUTE(SUBSTITUTE($AA775," ",""),"　",""),"(주)",""),"（주）",""),"㈜",""),"주식회사",""),"(유)",""),"（유）",""),"유한회사",""))</f>
        <v/>
      </c>
      <c r="AC775" s="31">
        <f>IF(OR($Y775="",N($Z775)&lt;=0,$AB775=""),0,IFERROR(LOOKUP(2,1/((거래처별!$AC$8:$AC$307&lt;&gt;"")*ISNUMBER(SEARCH(거래처별!$AC$8:$AC$307,$AB775))),거래처별!$A$8:$A$307),IFERROR(LOOKUP(2,1/((거래처별!$AD$8:$AD$307&lt;&gt;"")*ISNUMBER(SEARCH(거래처별!$AD$8:$AD$307,$AB775))),거래처별!$A$8:$A$307),IFERROR(LOOKUP(2,1/((거래처별!$AE$8:$AE$307&lt;&gt;"")*ISNUMBER(SEARCH(거래처별!$AE$8:$AE$307,$AB775))),거래처별!$A$8:$A$307),0))))</f>
        <v/>
      </c>
      <c r="AD775" s="31">
        <f>IF(AND($Y775&lt;&gt;"",N($Z775)&gt;0,$AC775=0),MAX($AD$7:$AD774)+1,"")</f>
        <v/>
      </c>
      <c r="AE775" s="31">
        <f>IF($Y775="",0,$Y775)</f>
        <v/>
      </c>
    </row>
    <row r="776">
      <c r="W776" s="31">
        <f>IF(OR($B$5="",$C$6="",ROW()&lt;$B$5),"",IF(INDEX($A:$U,ROW(),$C$6)="","",INDEX($A:$U,ROW(),$C$6)))</f>
        <v/>
      </c>
      <c r="X776" s="32">
        <f>IF($W776="","",IF(ISNUMBER($W776),IF($W776&gt;=10000000,IFERROR(DATE(INT($W776/10000),MOD(INT($W776/100),100),MOD($W776,100)),""),INT($W776)),IFERROR(DATE(--LEFT(LEFT(SUBSTITUTE(SUBSTITUTE(SUBSTITUTE(SUBSTITUTE(TRIM($W776),"-",""),".",""),"/","")," ",""),8),4),--MID(LEFT(SUBSTITUTE(SUBSTITUTE(SUBSTITUTE(SUBSTITUTE(TRIM($W776),"-",""),".",""),"/","")," ",""),8),5,2),--MID(LEFT(SUBSTITUTE(SUBSTITUTE(SUBSTITUTE(SUBSTITUTE(TRIM($W776),"-",""),".",""),"/","")," ",""),8),7,2)),"")))</f>
        <v/>
      </c>
      <c r="Y776" s="32">
        <f>IF($X776="","",INT($X776))</f>
        <v/>
      </c>
      <c r="Z776" s="33">
        <f>IF(OR($Y776="",$D$6=""),"",IF(INDEX($A:$U,ROW(),$D$6)="",0,IF(ISNUMBER(INDEX($A:$U,ROW(),$D$6)),INDEX($A:$U,ROW(),$D$6),IFERROR(--SUBSTITUTE(SUBSTITUTE(TRIM(INDEX($A:$U,ROW(),$D$6)),",",""),"원",""),0))))</f>
        <v/>
      </c>
      <c r="AA776" s="31">
        <f>IF($Y776="","",TRIM(INDEX($A:$U,ROW(),$E$6)&amp;IF($F$6="",""," "&amp;INDEX($A:$U,ROW(),$F$6))))</f>
        <v/>
      </c>
      <c r="AB776" s="31">
        <f>IF($AA776="","",SUBSTITUTE(SUBSTITUTE(SUBSTITUTE(SUBSTITUTE(SUBSTITUTE(SUBSTITUTE(SUBSTITUTE(SUBSTITUTE(SUBSTITUTE($AA776," ",""),"　",""),"(주)",""),"（주）",""),"㈜",""),"주식회사",""),"(유)",""),"（유）",""),"유한회사",""))</f>
        <v/>
      </c>
      <c r="AC776" s="31">
        <f>IF(OR($Y776="",N($Z776)&lt;=0,$AB776=""),0,IFERROR(LOOKUP(2,1/((거래처별!$AC$8:$AC$307&lt;&gt;"")*ISNUMBER(SEARCH(거래처별!$AC$8:$AC$307,$AB776))),거래처별!$A$8:$A$307),IFERROR(LOOKUP(2,1/((거래처별!$AD$8:$AD$307&lt;&gt;"")*ISNUMBER(SEARCH(거래처별!$AD$8:$AD$307,$AB776))),거래처별!$A$8:$A$307),IFERROR(LOOKUP(2,1/((거래처별!$AE$8:$AE$307&lt;&gt;"")*ISNUMBER(SEARCH(거래처별!$AE$8:$AE$307,$AB776))),거래처별!$A$8:$A$307),0))))</f>
        <v/>
      </c>
      <c r="AD776" s="31">
        <f>IF(AND($Y776&lt;&gt;"",N($Z776)&gt;0,$AC776=0),MAX($AD$7:$AD775)+1,"")</f>
        <v/>
      </c>
      <c r="AE776" s="31">
        <f>IF($Y776="",0,$Y776)</f>
        <v/>
      </c>
    </row>
    <row r="777">
      <c r="W777" s="31">
        <f>IF(OR($B$5="",$C$6="",ROW()&lt;$B$5),"",IF(INDEX($A:$U,ROW(),$C$6)="","",INDEX($A:$U,ROW(),$C$6)))</f>
        <v/>
      </c>
      <c r="X777" s="32">
        <f>IF($W777="","",IF(ISNUMBER($W777),IF($W777&gt;=10000000,IFERROR(DATE(INT($W777/10000),MOD(INT($W777/100),100),MOD($W777,100)),""),INT($W777)),IFERROR(DATE(--LEFT(LEFT(SUBSTITUTE(SUBSTITUTE(SUBSTITUTE(SUBSTITUTE(TRIM($W777),"-",""),".",""),"/","")," ",""),8),4),--MID(LEFT(SUBSTITUTE(SUBSTITUTE(SUBSTITUTE(SUBSTITUTE(TRIM($W777),"-",""),".",""),"/","")," ",""),8),5,2),--MID(LEFT(SUBSTITUTE(SUBSTITUTE(SUBSTITUTE(SUBSTITUTE(TRIM($W777),"-",""),".",""),"/","")," ",""),8),7,2)),"")))</f>
        <v/>
      </c>
      <c r="Y777" s="32">
        <f>IF($X777="","",INT($X777))</f>
        <v/>
      </c>
      <c r="Z777" s="33">
        <f>IF(OR($Y777="",$D$6=""),"",IF(INDEX($A:$U,ROW(),$D$6)="",0,IF(ISNUMBER(INDEX($A:$U,ROW(),$D$6)),INDEX($A:$U,ROW(),$D$6),IFERROR(--SUBSTITUTE(SUBSTITUTE(TRIM(INDEX($A:$U,ROW(),$D$6)),",",""),"원",""),0))))</f>
        <v/>
      </c>
      <c r="AA777" s="31">
        <f>IF($Y777="","",TRIM(INDEX($A:$U,ROW(),$E$6)&amp;IF($F$6="",""," "&amp;INDEX($A:$U,ROW(),$F$6))))</f>
        <v/>
      </c>
      <c r="AB777" s="31">
        <f>IF($AA777="","",SUBSTITUTE(SUBSTITUTE(SUBSTITUTE(SUBSTITUTE(SUBSTITUTE(SUBSTITUTE(SUBSTITUTE(SUBSTITUTE(SUBSTITUTE($AA777," ",""),"　",""),"(주)",""),"（주）",""),"㈜",""),"주식회사",""),"(유)",""),"（유）",""),"유한회사",""))</f>
        <v/>
      </c>
      <c r="AC777" s="31">
        <f>IF(OR($Y777="",N($Z777)&lt;=0,$AB777=""),0,IFERROR(LOOKUP(2,1/((거래처별!$AC$8:$AC$307&lt;&gt;"")*ISNUMBER(SEARCH(거래처별!$AC$8:$AC$307,$AB777))),거래처별!$A$8:$A$307),IFERROR(LOOKUP(2,1/((거래처별!$AD$8:$AD$307&lt;&gt;"")*ISNUMBER(SEARCH(거래처별!$AD$8:$AD$307,$AB777))),거래처별!$A$8:$A$307),IFERROR(LOOKUP(2,1/((거래처별!$AE$8:$AE$307&lt;&gt;"")*ISNUMBER(SEARCH(거래처별!$AE$8:$AE$307,$AB777))),거래처별!$A$8:$A$307),0))))</f>
        <v/>
      </c>
      <c r="AD777" s="31">
        <f>IF(AND($Y777&lt;&gt;"",N($Z777)&gt;0,$AC777=0),MAX($AD$7:$AD776)+1,"")</f>
        <v/>
      </c>
      <c r="AE777" s="31">
        <f>IF($Y777="",0,$Y777)</f>
        <v/>
      </c>
    </row>
    <row r="778">
      <c r="W778" s="31">
        <f>IF(OR($B$5="",$C$6="",ROW()&lt;$B$5),"",IF(INDEX($A:$U,ROW(),$C$6)="","",INDEX($A:$U,ROW(),$C$6)))</f>
        <v/>
      </c>
      <c r="X778" s="32">
        <f>IF($W778="","",IF(ISNUMBER($W778),IF($W778&gt;=10000000,IFERROR(DATE(INT($W778/10000),MOD(INT($W778/100),100),MOD($W778,100)),""),INT($W778)),IFERROR(DATE(--LEFT(LEFT(SUBSTITUTE(SUBSTITUTE(SUBSTITUTE(SUBSTITUTE(TRIM($W778),"-",""),".",""),"/","")," ",""),8),4),--MID(LEFT(SUBSTITUTE(SUBSTITUTE(SUBSTITUTE(SUBSTITUTE(TRIM($W778),"-",""),".",""),"/","")," ",""),8),5,2),--MID(LEFT(SUBSTITUTE(SUBSTITUTE(SUBSTITUTE(SUBSTITUTE(TRIM($W778),"-",""),".",""),"/","")," ",""),8),7,2)),"")))</f>
        <v/>
      </c>
      <c r="Y778" s="32">
        <f>IF($X778="","",INT($X778))</f>
        <v/>
      </c>
      <c r="Z778" s="33">
        <f>IF(OR($Y778="",$D$6=""),"",IF(INDEX($A:$U,ROW(),$D$6)="",0,IF(ISNUMBER(INDEX($A:$U,ROW(),$D$6)),INDEX($A:$U,ROW(),$D$6),IFERROR(--SUBSTITUTE(SUBSTITUTE(TRIM(INDEX($A:$U,ROW(),$D$6)),",",""),"원",""),0))))</f>
        <v/>
      </c>
      <c r="AA778" s="31">
        <f>IF($Y778="","",TRIM(INDEX($A:$U,ROW(),$E$6)&amp;IF($F$6="",""," "&amp;INDEX($A:$U,ROW(),$F$6))))</f>
        <v/>
      </c>
      <c r="AB778" s="31">
        <f>IF($AA778="","",SUBSTITUTE(SUBSTITUTE(SUBSTITUTE(SUBSTITUTE(SUBSTITUTE(SUBSTITUTE(SUBSTITUTE(SUBSTITUTE(SUBSTITUTE($AA778," ",""),"　",""),"(주)",""),"（주）",""),"㈜",""),"주식회사",""),"(유)",""),"（유）",""),"유한회사",""))</f>
        <v/>
      </c>
      <c r="AC778" s="31">
        <f>IF(OR($Y778="",N($Z778)&lt;=0,$AB778=""),0,IFERROR(LOOKUP(2,1/((거래처별!$AC$8:$AC$307&lt;&gt;"")*ISNUMBER(SEARCH(거래처별!$AC$8:$AC$307,$AB778))),거래처별!$A$8:$A$307),IFERROR(LOOKUP(2,1/((거래처별!$AD$8:$AD$307&lt;&gt;"")*ISNUMBER(SEARCH(거래처별!$AD$8:$AD$307,$AB778))),거래처별!$A$8:$A$307),IFERROR(LOOKUP(2,1/((거래처별!$AE$8:$AE$307&lt;&gt;"")*ISNUMBER(SEARCH(거래처별!$AE$8:$AE$307,$AB778))),거래처별!$A$8:$A$307),0))))</f>
        <v/>
      </c>
      <c r="AD778" s="31">
        <f>IF(AND($Y778&lt;&gt;"",N($Z778)&gt;0,$AC778=0),MAX($AD$7:$AD777)+1,"")</f>
        <v/>
      </c>
      <c r="AE778" s="31">
        <f>IF($Y778="",0,$Y778)</f>
        <v/>
      </c>
    </row>
    <row r="779">
      <c r="W779" s="31">
        <f>IF(OR($B$5="",$C$6="",ROW()&lt;$B$5),"",IF(INDEX($A:$U,ROW(),$C$6)="","",INDEX($A:$U,ROW(),$C$6)))</f>
        <v/>
      </c>
      <c r="X779" s="32">
        <f>IF($W779="","",IF(ISNUMBER($W779),IF($W779&gt;=10000000,IFERROR(DATE(INT($W779/10000),MOD(INT($W779/100),100),MOD($W779,100)),""),INT($W779)),IFERROR(DATE(--LEFT(LEFT(SUBSTITUTE(SUBSTITUTE(SUBSTITUTE(SUBSTITUTE(TRIM($W779),"-",""),".",""),"/","")," ",""),8),4),--MID(LEFT(SUBSTITUTE(SUBSTITUTE(SUBSTITUTE(SUBSTITUTE(TRIM($W779),"-",""),".",""),"/","")," ",""),8),5,2),--MID(LEFT(SUBSTITUTE(SUBSTITUTE(SUBSTITUTE(SUBSTITUTE(TRIM($W779),"-",""),".",""),"/","")," ",""),8),7,2)),"")))</f>
        <v/>
      </c>
      <c r="Y779" s="32">
        <f>IF($X779="","",INT($X779))</f>
        <v/>
      </c>
      <c r="Z779" s="33">
        <f>IF(OR($Y779="",$D$6=""),"",IF(INDEX($A:$U,ROW(),$D$6)="",0,IF(ISNUMBER(INDEX($A:$U,ROW(),$D$6)),INDEX($A:$U,ROW(),$D$6),IFERROR(--SUBSTITUTE(SUBSTITUTE(TRIM(INDEX($A:$U,ROW(),$D$6)),",",""),"원",""),0))))</f>
        <v/>
      </c>
      <c r="AA779" s="31">
        <f>IF($Y779="","",TRIM(INDEX($A:$U,ROW(),$E$6)&amp;IF($F$6="",""," "&amp;INDEX($A:$U,ROW(),$F$6))))</f>
        <v/>
      </c>
      <c r="AB779" s="31">
        <f>IF($AA779="","",SUBSTITUTE(SUBSTITUTE(SUBSTITUTE(SUBSTITUTE(SUBSTITUTE(SUBSTITUTE(SUBSTITUTE(SUBSTITUTE(SUBSTITUTE($AA779," ",""),"　",""),"(주)",""),"（주）",""),"㈜",""),"주식회사",""),"(유)",""),"（유）",""),"유한회사",""))</f>
        <v/>
      </c>
      <c r="AC779" s="31">
        <f>IF(OR($Y779="",N($Z779)&lt;=0,$AB779=""),0,IFERROR(LOOKUP(2,1/((거래처별!$AC$8:$AC$307&lt;&gt;"")*ISNUMBER(SEARCH(거래처별!$AC$8:$AC$307,$AB779))),거래처별!$A$8:$A$307),IFERROR(LOOKUP(2,1/((거래처별!$AD$8:$AD$307&lt;&gt;"")*ISNUMBER(SEARCH(거래처별!$AD$8:$AD$307,$AB779))),거래처별!$A$8:$A$307),IFERROR(LOOKUP(2,1/((거래처별!$AE$8:$AE$307&lt;&gt;"")*ISNUMBER(SEARCH(거래처별!$AE$8:$AE$307,$AB779))),거래처별!$A$8:$A$307),0))))</f>
        <v/>
      </c>
      <c r="AD779" s="31">
        <f>IF(AND($Y779&lt;&gt;"",N($Z779)&gt;0,$AC779=0),MAX($AD$7:$AD778)+1,"")</f>
        <v/>
      </c>
      <c r="AE779" s="31">
        <f>IF($Y779="",0,$Y779)</f>
        <v/>
      </c>
    </row>
    <row r="780">
      <c r="W780" s="31">
        <f>IF(OR($B$5="",$C$6="",ROW()&lt;$B$5),"",IF(INDEX($A:$U,ROW(),$C$6)="","",INDEX($A:$U,ROW(),$C$6)))</f>
        <v/>
      </c>
      <c r="X780" s="32">
        <f>IF($W780="","",IF(ISNUMBER($W780),IF($W780&gt;=10000000,IFERROR(DATE(INT($W780/10000),MOD(INT($W780/100),100),MOD($W780,100)),""),INT($W780)),IFERROR(DATE(--LEFT(LEFT(SUBSTITUTE(SUBSTITUTE(SUBSTITUTE(SUBSTITUTE(TRIM($W780),"-",""),".",""),"/","")," ",""),8),4),--MID(LEFT(SUBSTITUTE(SUBSTITUTE(SUBSTITUTE(SUBSTITUTE(TRIM($W780),"-",""),".",""),"/","")," ",""),8),5,2),--MID(LEFT(SUBSTITUTE(SUBSTITUTE(SUBSTITUTE(SUBSTITUTE(TRIM($W780),"-",""),".",""),"/","")," ",""),8),7,2)),"")))</f>
        <v/>
      </c>
      <c r="Y780" s="32">
        <f>IF($X780="","",INT($X780))</f>
        <v/>
      </c>
      <c r="Z780" s="33">
        <f>IF(OR($Y780="",$D$6=""),"",IF(INDEX($A:$U,ROW(),$D$6)="",0,IF(ISNUMBER(INDEX($A:$U,ROW(),$D$6)),INDEX($A:$U,ROW(),$D$6),IFERROR(--SUBSTITUTE(SUBSTITUTE(TRIM(INDEX($A:$U,ROW(),$D$6)),",",""),"원",""),0))))</f>
        <v/>
      </c>
      <c r="AA780" s="31">
        <f>IF($Y780="","",TRIM(INDEX($A:$U,ROW(),$E$6)&amp;IF($F$6="",""," "&amp;INDEX($A:$U,ROW(),$F$6))))</f>
        <v/>
      </c>
      <c r="AB780" s="31">
        <f>IF($AA780="","",SUBSTITUTE(SUBSTITUTE(SUBSTITUTE(SUBSTITUTE(SUBSTITUTE(SUBSTITUTE(SUBSTITUTE(SUBSTITUTE(SUBSTITUTE($AA780," ",""),"　",""),"(주)",""),"（주）",""),"㈜",""),"주식회사",""),"(유)",""),"（유）",""),"유한회사",""))</f>
        <v/>
      </c>
      <c r="AC780" s="31">
        <f>IF(OR($Y780="",N($Z780)&lt;=0,$AB780=""),0,IFERROR(LOOKUP(2,1/((거래처별!$AC$8:$AC$307&lt;&gt;"")*ISNUMBER(SEARCH(거래처별!$AC$8:$AC$307,$AB780))),거래처별!$A$8:$A$307),IFERROR(LOOKUP(2,1/((거래처별!$AD$8:$AD$307&lt;&gt;"")*ISNUMBER(SEARCH(거래처별!$AD$8:$AD$307,$AB780))),거래처별!$A$8:$A$307),IFERROR(LOOKUP(2,1/((거래처별!$AE$8:$AE$307&lt;&gt;"")*ISNUMBER(SEARCH(거래처별!$AE$8:$AE$307,$AB780))),거래처별!$A$8:$A$307),0))))</f>
        <v/>
      </c>
      <c r="AD780" s="31">
        <f>IF(AND($Y780&lt;&gt;"",N($Z780)&gt;0,$AC780=0),MAX($AD$7:$AD779)+1,"")</f>
        <v/>
      </c>
      <c r="AE780" s="31">
        <f>IF($Y780="",0,$Y780)</f>
        <v/>
      </c>
    </row>
    <row r="781">
      <c r="W781" s="31">
        <f>IF(OR($B$5="",$C$6="",ROW()&lt;$B$5),"",IF(INDEX($A:$U,ROW(),$C$6)="","",INDEX($A:$U,ROW(),$C$6)))</f>
        <v/>
      </c>
      <c r="X781" s="32">
        <f>IF($W781="","",IF(ISNUMBER($W781),IF($W781&gt;=10000000,IFERROR(DATE(INT($W781/10000),MOD(INT($W781/100),100),MOD($W781,100)),""),INT($W781)),IFERROR(DATE(--LEFT(LEFT(SUBSTITUTE(SUBSTITUTE(SUBSTITUTE(SUBSTITUTE(TRIM($W781),"-",""),".",""),"/","")," ",""),8),4),--MID(LEFT(SUBSTITUTE(SUBSTITUTE(SUBSTITUTE(SUBSTITUTE(TRIM($W781),"-",""),".",""),"/","")," ",""),8),5,2),--MID(LEFT(SUBSTITUTE(SUBSTITUTE(SUBSTITUTE(SUBSTITUTE(TRIM($W781),"-",""),".",""),"/","")," ",""),8),7,2)),"")))</f>
        <v/>
      </c>
      <c r="Y781" s="32">
        <f>IF($X781="","",INT($X781))</f>
        <v/>
      </c>
      <c r="Z781" s="33">
        <f>IF(OR($Y781="",$D$6=""),"",IF(INDEX($A:$U,ROW(),$D$6)="",0,IF(ISNUMBER(INDEX($A:$U,ROW(),$D$6)),INDEX($A:$U,ROW(),$D$6),IFERROR(--SUBSTITUTE(SUBSTITUTE(TRIM(INDEX($A:$U,ROW(),$D$6)),",",""),"원",""),0))))</f>
        <v/>
      </c>
      <c r="AA781" s="31">
        <f>IF($Y781="","",TRIM(INDEX($A:$U,ROW(),$E$6)&amp;IF($F$6="",""," "&amp;INDEX($A:$U,ROW(),$F$6))))</f>
        <v/>
      </c>
      <c r="AB781" s="31">
        <f>IF($AA781="","",SUBSTITUTE(SUBSTITUTE(SUBSTITUTE(SUBSTITUTE(SUBSTITUTE(SUBSTITUTE(SUBSTITUTE(SUBSTITUTE(SUBSTITUTE($AA781," ",""),"　",""),"(주)",""),"（주）",""),"㈜",""),"주식회사",""),"(유)",""),"（유）",""),"유한회사",""))</f>
        <v/>
      </c>
      <c r="AC781" s="31">
        <f>IF(OR($Y781="",N($Z781)&lt;=0,$AB781=""),0,IFERROR(LOOKUP(2,1/((거래처별!$AC$8:$AC$307&lt;&gt;"")*ISNUMBER(SEARCH(거래처별!$AC$8:$AC$307,$AB781))),거래처별!$A$8:$A$307),IFERROR(LOOKUP(2,1/((거래처별!$AD$8:$AD$307&lt;&gt;"")*ISNUMBER(SEARCH(거래처별!$AD$8:$AD$307,$AB781))),거래처별!$A$8:$A$307),IFERROR(LOOKUP(2,1/((거래처별!$AE$8:$AE$307&lt;&gt;"")*ISNUMBER(SEARCH(거래처별!$AE$8:$AE$307,$AB781))),거래처별!$A$8:$A$307),0))))</f>
        <v/>
      </c>
      <c r="AD781" s="31">
        <f>IF(AND($Y781&lt;&gt;"",N($Z781)&gt;0,$AC781=0),MAX($AD$7:$AD780)+1,"")</f>
        <v/>
      </c>
      <c r="AE781" s="31">
        <f>IF($Y781="",0,$Y781)</f>
        <v/>
      </c>
    </row>
    <row r="782">
      <c r="W782" s="31">
        <f>IF(OR($B$5="",$C$6="",ROW()&lt;$B$5),"",IF(INDEX($A:$U,ROW(),$C$6)="","",INDEX($A:$U,ROW(),$C$6)))</f>
        <v/>
      </c>
      <c r="X782" s="32">
        <f>IF($W782="","",IF(ISNUMBER($W782),IF($W782&gt;=10000000,IFERROR(DATE(INT($W782/10000),MOD(INT($W782/100),100),MOD($W782,100)),""),INT($W782)),IFERROR(DATE(--LEFT(LEFT(SUBSTITUTE(SUBSTITUTE(SUBSTITUTE(SUBSTITUTE(TRIM($W782),"-",""),".",""),"/","")," ",""),8),4),--MID(LEFT(SUBSTITUTE(SUBSTITUTE(SUBSTITUTE(SUBSTITUTE(TRIM($W782),"-",""),".",""),"/","")," ",""),8),5,2),--MID(LEFT(SUBSTITUTE(SUBSTITUTE(SUBSTITUTE(SUBSTITUTE(TRIM($W782),"-",""),".",""),"/","")," ",""),8),7,2)),"")))</f>
        <v/>
      </c>
      <c r="Y782" s="32">
        <f>IF($X782="","",INT($X782))</f>
        <v/>
      </c>
      <c r="Z782" s="33">
        <f>IF(OR($Y782="",$D$6=""),"",IF(INDEX($A:$U,ROW(),$D$6)="",0,IF(ISNUMBER(INDEX($A:$U,ROW(),$D$6)),INDEX($A:$U,ROW(),$D$6),IFERROR(--SUBSTITUTE(SUBSTITUTE(TRIM(INDEX($A:$U,ROW(),$D$6)),",",""),"원",""),0))))</f>
        <v/>
      </c>
      <c r="AA782" s="31">
        <f>IF($Y782="","",TRIM(INDEX($A:$U,ROW(),$E$6)&amp;IF($F$6="",""," "&amp;INDEX($A:$U,ROW(),$F$6))))</f>
        <v/>
      </c>
      <c r="AB782" s="31">
        <f>IF($AA782="","",SUBSTITUTE(SUBSTITUTE(SUBSTITUTE(SUBSTITUTE(SUBSTITUTE(SUBSTITUTE(SUBSTITUTE(SUBSTITUTE(SUBSTITUTE($AA782," ",""),"　",""),"(주)",""),"（주）",""),"㈜",""),"주식회사",""),"(유)",""),"（유）",""),"유한회사",""))</f>
        <v/>
      </c>
      <c r="AC782" s="31">
        <f>IF(OR($Y782="",N($Z782)&lt;=0,$AB782=""),0,IFERROR(LOOKUP(2,1/((거래처별!$AC$8:$AC$307&lt;&gt;"")*ISNUMBER(SEARCH(거래처별!$AC$8:$AC$307,$AB782))),거래처별!$A$8:$A$307),IFERROR(LOOKUP(2,1/((거래처별!$AD$8:$AD$307&lt;&gt;"")*ISNUMBER(SEARCH(거래처별!$AD$8:$AD$307,$AB782))),거래처별!$A$8:$A$307),IFERROR(LOOKUP(2,1/((거래처별!$AE$8:$AE$307&lt;&gt;"")*ISNUMBER(SEARCH(거래처별!$AE$8:$AE$307,$AB782))),거래처별!$A$8:$A$307),0))))</f>
        <v/>
      </c>
      <c r="AD782" s="31">
        <f>IF(AND($Y782&lt;&gt;"",N($Z782)&gt;0,$AC782=0),MAX($AD$7:$AD781)+1,"")</f>
        <v/>
      </c>
      <c r="AE782" s="31">
        <f>IF($Y782="",0,$Y782)</f>
        <v/>
      </c>
    </row>
    <row r="783">
      <c r="W783" s="31">
        <f>IF(OR($B$5="",$C$6="",ROW()&lt;$B$5),"",IF(INDEX($A:$U,ROW(),$C$6)="","",INDEX($A:$U,ROW(),$C$6)))</f>
        <v/>
      </c>
      <c r="X783" s="32">
        <f>IF($W783="","",IF(ISNUMBER($W783),IF($W783&gt;=10000000,IFERROR(DATE(INT($W783/10000),MOD(INT($W783/100),100),MOD($W783,100)),""),INT($W783)),IFERROR(DATE(--LEFT(LEFT(SUBSTITUTE(SUBSTITUTE(SUBSTITUTE(SUBSTITUTE(TRIM($W783),"-",""),".",""),"/","")," ",""),8),4),--MID(LEFT(SUBSTITUTE(SUBSTITUTE(SUBSTITUTE(SUBSTITUTE(TRIM($W783),"-",""),".",""),"/","")," ",""),8),5,2),--MID(LEFT(SUBSTITUTE(SUBSTITUTE(SUBSTITUTE(SUBSTITUTE(TRIM($W783),"-",""),".",""),"/","")," ",""),8),7,2)),"")))</f>
        <v/>
      </c>
      <c r="Y783" s="32">
        <f>IF($X783="","",INT($X783))</f>
        <v/>
      </c>
      <c r="Z783" s="33">
        <f>IF(OR($Y783="",$D$6=""),"",IF(INDEX($A:$U,ROW(),$D$6)="",0,IF(ISNUMBER(INDEX($A:$U,ROW(),$D$6)),INDEX($A:$U,ROW(),$D$6),IFERROR(--SUBSTITUTE(SUBSTITUTE(TRIM(INDEX($A:$U,ROW(),$D$6)),",",""),"원",""),0))))</f>
        <v/>
      </c>
      <c r="AA783" s="31">
        <f>IF($Y783="","",TRIM(INDEX($A:$U,ROW(),$E$6)&amp;IF($F$6="",""," "&amp;INDEX($A:$U,ROW(),$F$6))))</f>
        <v/>
      </c>
      <c r="AB783" s="31">
        <f>IF($AA783="","",SUBSTITUTE(SUBSTITUTE(SUBSTITUTE(SUBSTITUTE(SUBSTITUTE(SUBSTITUTE(SUBSTITUTE(SUBSTITUTE(SUBSTITUTE($AA783," ",""),"　",""),"(주)",""),"（주）",""),"㈜",""),"주식회사",""),"(유)",""),"（유）",""),"유한회사",""))</f>
        <v/>
      </c>
      <c r="AC783" s="31">
        <f>IF(OR($Y783="",N($Z783)&lt;=0,$AB783=""),0,IFERROR(LOOKUP(2,1/((거래처별!$AC$8:$AC$307&lt;&gt;"")*ISNUMBER(SEARCH(거래처별!$AC$8:$AC$307,$AB783))),거래처별!$A$8:$A$307),IFERROR(LOOKUP(2,1/((거래처별!$AD$8:$AD$307&lt;&gt;"")*ISNUMBER(SEARCH(거래처별!$AD$8:$AD$307,$AB783))),거래처별!$A$8:$A$307),IFERROR(LOOKUP(2,1/((거래처별!$AE$8:$AE$307&lt;&gt;"")*ISNUMBER(SEARCH(거래처별!$AE$8:$AE$307,$AB783))),거래처별!$A$8:$A$307),0))))</f>
        <v/>
      </c>
      <c r="AD783" s="31">
        <f>IF(AND($Y783&lt;&gt;"",N($Z783)&gt;0,$AC783=0),MAX($AD$7:$AD782)+1,"")</f>
        <v/>
      </c>
      <c r="AE783" s="31">
        <f>IF($Y783="",0,$Y783)</f>
        <v/>
      </c>
    </row>
    <row r="784">
      <c r="W784" s="31">
        <f>IF(OR($B$5="",$C$6="",ROW()&lt;$B$5),"",IF(INDEX($A:$U,ROW(),$C$6)="","",INDEX($A:$U,ROW(),$C$6)))</f>
        <v/>
      </c>
      <c r="X784" s="32">
        <f>IF($W784="","",IF(ISNUMBER($W784),IF($W784&gt;=10000000,IFERROR(DATE(INT($W784/10000),MOD(INT($W784/100),100),MOD($W784,100)),""),INT($W784)),IFERROR(DATE(--LEFT(LEFT(SUBSTITUTE(SUBSTITUTE(SUBSTITUTE(SUBSTITUTE(TRIM($W784),"-",""),".",""),"/","")," ",""),8),4),--MID(LEFT(SUBSTITUTE(SUBSTITUTE(SUBSTITUTE(SUBSTITUTE(TRIM($W784),"-",""),".",""),"/","")," ",""),8),5,2),--MID(LEFT(SUBSTITUTE(SUBSTITUTE(SUBSTITUTE(SUBSTITUTE(TRIM($W784),"-",""),".",""),"/","")," ",""),8),7,2)),"")))</f>
        <v/>
      </c>
      <c r="Y784" s="32">
        <f>IF($X784="","",INT($X784))</f>
        <v/>
      </c>
      <c r="Z784" s="33">
        <f>IF(OR($Y784="",$D$6=""),"",IF(INDEX($A:$U,ROW(),$D$6)="",0,IF(ISNUMBER(INDEX($A:$U,ROW(),$D$6)),INDEX($A:$U,ROW(),$D$6),IFERROR(--SUBSTITUTE(SUBSTITUTE(TRIM(INDEX($A:$U,ROW(),$D$6)),",",""),"원",""),0))))</f>
        <v/>
      </c>
      <c r="AA784" s="31">
        <f>IF($Y784="","",TRIM(INDEX($A:$U,ROW(),$E$6)&amp;IF($F$6="",""," "&amp;INDEX($A:$U,ROW(),$F$6))))</f>
        <v/>
      </c>
      <c r="AB784" s="31">
        <f>IF($AA784="","",SUBSTITUTE(SUBSTITUTE(SUBSTITUTE(SUBSTITUTE(SUBSTITUTE(SUBSTITUTE(SUBSTITUTE(SUBSTITUTE(SUBSTITUTE($AA784," ",""),"　",""),"(주)",""),"（주）",""),"㈜",""),"주식회사",""),"(유)",""),"（유）",""),"유한회사",""))</f>
        <v/>
      </c>
      <c r="AC784" s="31">
        <f>IF(OR($Y784="",N($Z784)&lt;=0,$AB784=""),0,IFERROR(LOOKUP(2,1/((거래처별!$AC$8:$AC$307&lt;&gt;"")*ISNUMBER(SEARCH(거래처별!$AC$8:$AC$307,$AB784))),거래처별!$A$8:$A$307),IFERROR(LOOKUP(2,1/((거래처별!$AD$8:$AD$307&lt;&gt;"")*ISNUMBER(SEARCH(거래처별!$AD$8:$AD$307,$AB784))),거래처별!$A$8:$A$307),IFERROR(LOOKUP(2,1/((거래처별!$AE$8:$AE$307&lt;&gt;"")*ISNUMBER(SEARCH(거래처별!$AE$8:$AE$307,$AB784))),거래처별!$A$8:$A$307),0))))</f>
        <v/>
      </c>
      <c r="AD784" s="31">
        <f>IF(AND($Y784&lt;&gt;"",N($Z784)&gt;0,$AC784=0),MAX($AD$7:$AD783)+1,"")</f>
        <v/>
      </c>
      <c r="AE784" s="31">
        <f>IF($Y784="",0,$Y784)</f>
        <v/>
      </c>
    </row>
    <row r="785">
      <c r="W785" s="31">
        <f>IF(OR($B$5="",$C$6="",ROW()&lt;$B$5),"",IF(INDEX($A:$U,ROW(),$C$6)="","",INDEX($A:$U,ROW(),$C$6)))</f>
        <v/>
      </c>
      <c r="X785" s="32">
        <f>IF($W785="","",IF(ISNUMBER($W785),IF($W785&gt;=10000000,IFERROR(DATE(INT($W785/10000),MOD(INT($W785/100),100),MOD($W785,100)),""),INT($W785)),IFERROR(DATE(--LEFT(LEFT(SUBSTITUTE(SUBSTITUTE(SUBSTITUTE(SUBSTITUTE(TRIM($W785),"-",""),".",""),"/","")," ",""),8),4),--MID(LEFT(SUBSTITUTE(SUBSTITUTE(SUBSTITUTE(SUBSTITUTE(TRIM($W785),"-",""),".",""),"/","")," ",""),8),5,2),--MID(LEFT(SUBSTITUTE(SUBSTITUTE(SUBSTITUTE(SUBSTITUTE(TRIM($W785),"-",""),".",""),"/","")," ",""),8),7,2)),"")))</f>
        <v/>
      </c>
      <c r="Y785" s="32">
        <f>IF($X785="","",INT($X785))</f>
        <v/>
      </c>
      <c r="Z785" s="33">
        <f>IF(OR($Y785="",$D$6=""),"",IF(INDEX($A:$U,ROW(),$D$6)="",0,IF(ISNUMBER(INDEX($A:$U,ROW(),$D$6)),INDEX($A:$U,ROW(),$D$6),IFERROR(--SUBSTITUTE(SUBSTITUTE(TRIM(INDEX($A:$U,ROW(),$D$6)),",",""),"원",""),0))))</f>
        <v/>
      </c>
      <c r="AA785" s="31">
        <f>IF($Y785="","",TRIM(INDEX($A:$U,ROW(),$E$6)&amp;IF($F$6="",""," "&amp;INDEX($A:$U,ROW(),$F$6))))</f>
        <v/>
      </c>
      <c r="AB785" s="31">
        <f>IF($AA785="","",SUBSTITUTE(SUBSTITUTE(SUBSTITUTE(SUBSTITUTE(SUBSTITUTE(SUBSTITUTE(SUBSTITUTE(SUBSTITUTE(SUBSTITUTE($AA785," ",""),"　",""),"(주)",""),"（주）",""),"㈜",""),"주식회사",""),"(유)",""),"（유）",""),"유한회사",""))</f>
        <v/>
      </c>
      <c r="AC785" s="31">
        <f>IF(OR($Y785="",N($Z785)&lt;=0,$AB785=""),0,IFERROR(LOOKUP(2,1/((거래처별!$AC$8:$AC$307&lt;&gt;"")*ISNUMBER(SEARCH(거래처별!$AC$8:$AC$307,$AB785))),거래처별!$A$8:$A$307),IFERROR(LOOKUP(2,1/((거래처별!$AD$8:$AD$307&lt;&gt;"")*ISNUMBER(SEARCH(거래처별!$AD$8:$AD$307,$AB785))),거래처별!$A$8:$A$307),IFERROR(LOOKUP(2,1/((거래처별!$AE$8:$AE$307&lt;&gt;"")*ISNUMBER(SEARCH(거래처별!$AE$8:$AE$307,$AB785))),거래처별!$A$8:$A$307),0))))</f>
        <v/>
      </c>
      <c r="AD785" s="31">
        <f>IF(AND($Y785&lt;&gt;"",N($Z785)&gt;0,$AC785=0),MAX($AD$7:$AD784)+1,"")</f>
        <v/>
      </c>
      <c r="AE785" s="31">
        <f>IF($Y785="",0,$Y785)</f>
        <v/>
      </c>
    </row>
    <row r="786">
      <c r="W786" s="31">
        <f>IF(OR($B$5="",$C$6="",ROW()&lt;$B$5),"",IF(INDEX($A:$U,ROW(),$C$6)="","",INDEX($A:$U,ROW(),$C$6)))</f>
        <v/>
      </c>
      <c r="X786" s="32">
        <f>IF($W786="","",IF(ISNUMBER($W786),IF($W786&gt;=10000000,IFERROR(DATE(INT($W786/10000),MOD(INT($W786/100),100),MOD($W786,100)),""),INT($W786)),IFERROR(DATE(--LEFT(LEFT(SUBSTITUTE(SUBSTITUTE(SUBSTITUTE(SUBSTITUTE(TRIM($W786),"-",""),".",""),"/","")," ",""),8),4),--MID(LEFT(SUBSTITUTE(SUBSTITUTE(SUBSTITUTE(SUBSTITUTE(TRIM($W786),"-",""),".",""),"/","")," ",""),8),5,2),--MID(LEFT(SUBSTITUTE(SUBSTITUTE(SUBSTITUTE(SUBSTITUTE(TRIM($W786),"-",""),".",""),"/","")," ",""),8),7,2)),"")))</f>
        <v/>
      </c>
      <c r="Y786" s="32">
        <f>IF($X786="","",INT($X786))</f>
        <v/>
      </c>
      <c r="Z786" s="33">
        <f>IF(OR($Y786="",$D$6=""),"",IF(INDEX($A:$U,ROW(),$D$6)="",0,IF(ISNUMBER(INDEX($A:$U,ROW(),$D$6)),INDEX($A:$U,ROW(),$D$6),IFERROR(--SUBSTITUTE(SUBSTITUTE(TRIM(INDEX($A:$U,ROW(),$D$6)),",",""),"원",""),0))))</f>
        <v/>
      </c>
      <c r="AA786" s="31">
        <f>IF($Y786="","",TRIM(INDEX($A:$U,ROW(),$E$6)&amp;IF($F$6="",""," "&amp;INDEX($A:$U,ROW(),$F$6))))</f>
        <v/>
      </c>
      <c r="AB786" s="31">
        <f>IF($AA786="","",SUBSTITUTE(SUBSTITUTE(SUBSTITUTE(SUBSTITUTE(SUBSTITUTE(SUBSTITUTE(SUBSTITUTE(SUBSTITUTE(SUBSTITUTE($AA786," ",""),"　",""),"(주)",""),"（주）",""),"㈜",""),"주식회사",""),"(유)",""),"（유）",""),"유한회사",""))</f>
        <v/>
      </c>
      <c r="AC786" s="31">
        <f>IF(OR($Y786="",N($Z786)&lt;=0,$AB786=""),0,IFERROR(LOOKUP(2,1/((거래처별!$AC$8:$AC$307&lt;&gt;"")*ISNUMBER(SEARCH(거래처별!$AC$8:$AC$307,$AB786))),거래처별!$A$8:$A$307),IFERROR(LOOKUP(2,1/((거래처별!$AD$8:$AD$307&lt;&gt;"")*ISNUMBER(SEARCH(거래처별!$AD$8:$AD$307,$AB786))),거래처별!$A$8:$A$307),IFERROR(LOOKUP(2,1/((거래처별!$AE$8:$AE$307&lt;&gt;"")*ISNUMBER(SEARCH(거래처별!$AE$8:$AE$307,$AB786))),거래처별!$A$8:$A$307),0))))</f>
        <v/>
      </c>
      <c r="AD786" s="31">
        <f>IF(AND($Y786&lt;&gt;"",N($Z786)&gt;0,$AC786=0),MAX($AD$7:$AD785)+1,"")</f>
        <v/>
      </c>
      <c r="AE786" s="31">
        <f>IF($Y786="",0,$Y786)</f>
        <v/>
      </c>
    </row>
    <row r="787">
      <c r="W787" s="31">
        <f>IF(OR($B$5="",$C$6="",ROW()&lt;$B$5),"",IF(INDEX($A:$U,ROW(),$C$6)="","",INDEX($A:$U,ROW(),$C$6)))</f>
        <v/>
      </c>
      <c r="X787" s="32">
        <f>IF($W787="","",IF(ISNUMBER($W787),IF($W787&gt;=10000000,IFERROR(DATE(INT($W787/10000),MOD(INT($W787/100),100),MOD($W787,100)),""),INT($W787)),IFERROR(DATE(--LEFT(LEFT(SUBSTITUTE(SUBSTITUTE(SUBSTITUTE(SUBSTITUTE(TRIM($W787),"-",""),".",""),"/","")," ",""),8),4),--MID(LEFT(SUBSTITUTE(SUBSTITUTE(SUBSTITUTE(SUBSTITUTE(TRIM($W787),"-",""),".",""),"/","")," ",""),8),5,2),--MID(LEFT(SUBSTITUTE(SUBSTITUTE(SUBSTITUTE(SUBSTITUTE(TRIM($W787),"-",""),".",""),"/","")," ",""),8),7,2)),"")))</f>
        <v/>
      </c>
      <c r="Y787" s="32">
        <f>IF($X787="","",INT($X787))</f>
        <v/>
      </c>
      <c r="Z787" s="33">
        <f>IF(OR($Y787="",$D$6=""),"",IF(INDEX($A:$U,ROW(),$D$6)="",0,IF(ISNUMBER(INDEX($A:$U,ROW(),$D$6)),INDEX($A:$U,ROW(),$D$6),IFERROR(--SUBSTITUTE(SUBSTITUTE(TRIM(INDEX($A:$U,ROW(),$D$6)),",",""),"원",""),0))))</f>
        <v/>
      </c>
      <c r="AA787" s="31">
        <f>IF($Y787="","",TRIM(INDEX($A:$U,ROW(),$E$6)&amp;IF($F$6="",""," "&amp;INDEX($A:$U,ROW(),$F$6))))</f>
        <v/>
      </c>
      <c r="AB787" s="31">
        <f>IF($AA787="","",SUBSTITUTE(SUBSTITUTE(SUBSTITUTE(SUBSTITUTE(SUBSTITUTE(SUBSTITUTE(SUBSTITUTE(SUBSTITUTE(SUBSTITUTE($AA787," ",""),"　",""),"(주)",""),"（주）",""),"㈜",""),"주식회사",""),"(유)",""),"（유）",""),"유한회사",""))</f>
        <v/>
      </c>
      <c r="AC787" s="31">
        <f>IF(OR($Y787="",N($Z787)&lt;=0,$AB787=""),0,IFERROR(LOOKUP(2,1/((거래처별!$AC$8:$AC$307&lt;&gt;"")*ISNUMBER(SEARCH(거래처별!$AC$8:$AC$307,$AB787))),거래처별!$A$8:$A$307),IFERROR(LOOKUP(2,1/((거래처별!$AD$8:$AD$307&lt;&gt;"")*ISNUMBER(SEARCH(거래처별!$AD$8:$AD$307,$AB787))),거래처별!$A$8:$A$307),IFERROR(LOOKUP(2,1/((거래처별!$AE$8:$AE$307&lt;&gt;"")*ISNUMBER(SEARCH(거래처별!$AE$8:$AE$307,$AB787))),거래처별!$A$8:$A$307),0))))</f>
        <v/>
      </c>
      <c r="AD787" s="31">
        <f>IF(AND($Y787&lt;&gt;"",N($Z787)&gt;0,$AC787=0),MAX($AD$7:$AD786)+1,"")</f>
        <v/>
      </c>
      <c r="AE787" s="31">
        <f>IF($Y787="",0,$Y787)</f>
        <v/>
      </c>
    </row>
    <row r="788">
      <c r="W788" s="31">
        <f>IF(OR($B$5="",$C$6="",ROW()&lt;$B$5),"",IF(INDEX($A:$U,ROW(),$C$6)="","",INDEX($A:$U,ROW(),$C$6)))</f>
        <v/>
      </c>
      <c r="X788" s="32">
        <f>IF($W788="","",IF(ISNUMBER($W788),IF($W788&gt;=10000000,IFERROR(DATE(INT($W788/10000),MOD(INT($W788/100),100),MOD($W788,100)),""),INT($W788)),IFERROR(DATE(--LEFT(LEFT(SUBSTITUTE(SUBSTITUTE(SUBSTITUTE(SUBSTITUTE(TRIM($W788),"-",""),".",""),"/","")," ",""),8),4),--MID(LEFT(SUBSTITUTE(SUBSTITUTE(SUBSTITUTE(SUBSTITUTE(TRIM($W788),"-",""),".",""),"/","")," ",""),8),5,2),--MID(LEFT(SUBSTITUTE(SUBSTITUTE(SUBSTITUTE(SUBSTITUTE(TRIM($W788),"-",""),".",""),"/","")," ",""),8),7,2)),"")))</f>
        <v/>
      </c>
      <c r="Y788" s="32">
        <f>IF($X788="","",INT($X788))</f>
        <v/>
      </c>
      <c r="Z788" s="33">
        <f>IF(OR($Y788="",$D$6=""),"",IF(INDEX($A:$U,ROW(),$D$6)="",0,IF(ISNUMBER(INDEX($A:$U,ROW(),$D$6)),INDEX($A:$U,ROW(),$D$6),IFERROR(--SUBSTITUTE(SUBSTITUTE(TRIM(INDEX($A:$U,ROW(),$D$6)),",",""),"원",""),0))))</f>
        <v/>
      </c>
      <c r="AA788" s="31">
        <f>IF($Y788="","",TRIM(INDEX($A:$U,ROW(),$E$6)&amp;IF($F$6="",""," "&amp;INDEX($A:$U,ROW(),$F$6))))</f>
        <v/>
      </c>
      <c r="AB788" s="31">
        <f>IF($AA788="","",SUBSTITUTE(SUBSTITUTE(SUBSTITUTE(SUBSTITUTE(SUBSTITUTE(SUBSTITUTE(SUBSTITUTE(SUBSTITUTE(SUBSTITUTE($AA788," ",""),"　",""),"(주)",""),"（주）",""),"㈜",""),"주식회사",""),"(유)",""),"（유）",""),"유한회사",""))</f>
        <v/>
      </c>
      <c r="AC788" s="31">
        <f>IF(OR($Y788="",N($Z788)&lt;=0,$AB788=""),0,IFERROR(LOOKUP(2,1/((거래처별!$AC$8:$AC$307&lt;&gt;"")*ISNUMBER(SEARCH(거래처별!$AC$8:$AC$307,$AB788))),거래처별!$A$8:$A$307),IFERROR(LOOKUP(2,1/((거래처별!$AD$8:$AD$307&lt;&gt;"")*ISNUMBER(SEARCH(거래처별!$AD$8:$AD$307,$AB788))),거래처별!$A$8:$A$307),IFERROR(LOOKUP(2,1/((거래처별!$AE$8:$AE$307&lt;&gt;"")*ISNUMBER(SEARCH(거래처별!$AE$8:$AE$307,$AB788))),거래처별!$A$8:$A$307),0))))</f>
        <v/>
      </c>
      <c r="AD788" s="31">
        <f>IF(AND($Y788&lt;&gt;"",N($Z788)&gt;0,$AC788=0),MAX($AD$7:$AD787)+1,"")</f>
        <v/>
      </c>
      <c r="AE788" s="31">
        <f>IF($Y788="",0,$Y788)</f>
        <v/>
      </c>
    </row>
    <row r="789">
      <c r="W789" s="31">
        <f>IF(OR($B$5="",$C$6="",ROW()&lt;$B$5),"",IF(INDEX($A:$U,ROW(),$C$6)="","",INDEX($A:$U,ROW(),$C$6)))</f>
        <v/>
      </c>
      <c r="X789" s="32">
        <f>IF($W789="","",IF(ISNUMBER($W789),IF($W789&gt;=10000000,IFERROR(DATE(INT($W789/10000),MOD(INT($W789/100),100),MOD($W789,100)),""),INT($W789)),IFERROR(DATE(--LEFT(LEFT(SUBSTITUTE(SUBSTITUTE(SUBSTITUTE(SUBSTITUTE(TRIM($W789),"-",""),".",""),"/","")," ",""),8),4),--MID(LEFT(SUBSTITUTE(SUBSTITUTE(SUBSTITUTE(SUBSTITUTE(TRIM($W789),"-",""),".",""),"/","")," ",""),8),5,2),--MID(LEFT(SUBSTITUTE(SUBSTITUTE(SUBSTITUTE(SUBSTITUTE(TRIM($W789),"-",""),".",""),"/","")," ",""),8),7,2)),"")))</f>
        <v/>
      </c>
      <c r="Y789" s="32">
        <f>IF($X789="","",INT($X789))</f>
        <v/>
      </c>
      <c r="Z789" s="33">
        <f>IF(OR($Y789="",$D$6=""),"",IF(INDEX($A:$U,ROW(),$D$6)="",0,IF(ISNUMBER(INDEX($A:$U,ROW(),$D$6)),INDEX($A:$U,ROW(),$D$6),IFERROR(--SUBSTITUTE(SUBSTITUTE(TRIM(INDEX($A:$U,ROW(),$D$6)),",",""),"원",""),0))))</f>
        <v/>
      </c>
      <c r="AA789" s="31">
        <f>IF($Y789="","",TRIM(INDEX($A:$U,ROW(),$E$6)&amp;IF($F$6="",""," "&amp;INDEX($A:$U,ROW(),$F$6))))</f>
        <v/>
      </c>
      <c r="AB789" s="31">
        <f>IF($AA789="","",SUBSTITUTE(SUBSTITUTE(SUBSTITUTE(SUBSTITUTE(SUBSTITUTE(SUBSTITUTE(SUBSTITUTE(SUBSTITUTE(SUBSTITUTE($AA789," ",""),"　",""),"(주)",""),"（주）",""),"㈜",""),"주식회사",""),"(유)",""),"（유）",""),"유한회사",""))</f>
        <v/>
      </c>
      <c r="AC789" s="31">
        <f>IF(OR($Y789="",N($Z789)&lt;=0,$AB789=""),0,IFERROR(LOOKUP(2,1/((거래처별!$AC$8:$AC$307&lt;&gt;"")*ISNUMBER(SEARCH(거래처별!$AC$8:$AC$307,$AB789))),거래처별!$A$8:$A$307),IFERROR(LOOKUP(2,1/((거래처별!$AD$8:$AD$307&lt;&gt;"")*ISNUMBER(SEARCH(거래처별!$AD$8:$AD$307,$AB789))),거래처별!$A$8:$A$307),IFERROR(LOOKUP(2,1/((거래처별!$AE$8:$AE$307&lt;&gt;"")*ISNUMBER(SEARCH(거래처별!$AE$8:$AE$307,$AB789))),거래처별!$A$8:$A$307),0))))</f>
        <v/>
      </c>
      <c r="AD789" s="31">
        <f>IF(AND($Y789&lt;&gt;"",N($Z789)&gt;0,$AC789=0),MAX($AD$7:$AD788)+1,"")</f>
        <v/>
      </c>
      <c r="AE789" s="31">
        <f>IF($Y789="",0,$Y789)</f>
        <v/>
      </c>
    </row>
    <row r="790">
      <c r="W790" s="31">
        <f>IF(OR($B$5="",$C$6="",ROW()&lt;$B$5),"",IF(INDEX($A:$U,ROW(),$C$6)="","",INDEX($A:$U,ROW(),$C$6)))</f>
        <v/>
      </c>
      <c r="X790" s="32">
        <f>IF($W790="","",IF(ISNUMBER($W790),IF($W790&gt;=10000000,IFERROR(DATE(INT($W790/10000),MOD(INT($W790/100),100),MOD($W790,100)),""),INT($W790)),IFERROR(DATE(--LEFT(LEFT(SUBSTITUTE(SUBSTITUTE(SUBSTITUTE(SUBSTITUTE(TRIM($W790),"-",""),".",""),"/","")," ",""),8),4),--MID(LEFT(SUBSTITUTE(SUBSTITUTE(SUBSTITUTE(SUBSTITUTE(TRIM($W790),"-",""),".",""),"/","")," ",""),8),5,2),--MID(LEFT(SUBSTITUTE(SUBSTITUTE(SUBSTITUTE(SUBSTITUTE(TRIM($W790),"-",""),".",""),"/","")," ",""),8),7,2)),"")))</f>
        <v/>
      </c>
      <c r="Y790" s="32">
        <f>IF($X790="","",INT($X790))</f>
        <v/>
      </c>
      <c r="Z790" s="33">
        <f>IF(OR($Y790="",$D$6=""),"",IF(INDEX($A:$U,ROW(),$D$6)="",0,IF(ISNUMBER(INDEX($A:$U,ROW(),$D$6)),INDEX($A:$U,ROW(),$D$6),IFERROR(--SUBSTITUTE(SUBSTITUTE(TRIM(INDEX($A:$U,ROW(),$D$6)),",",""),"원",""),0))))</f>
        <v/>
      </c>
      <c r="AA790" s="31">
        <f>IF($Y790="","",TRIM(INDEX($A:$U,ROW(),$E$6)&amp;IF($F$6="",""," "&amp;INDEX($A:$U,ROW(),$F$6))))</f>
        <v/>
      </c>
      <c r="AB790" s="31">
        <f>IF($AA790="","",SUBSTITUTE(SUBSTITUTE(SUBSTITUTE(SUBSTITUTE(SUBSTITUTE(SUBSTITUTE(SUBSTITUTE(SUBSTITUTE(SUBSTITUTE($AA790," ",""),"　",""),"(주)",""),"（주）",""),"㈜",""),"주식회사",""),"(유)",""),"（유）",""),"유한회사",""))</f>
        <v/>
      </c>
      <c r="AC790" s="31">
        <f>IF(OR($Y790="",N($Z790)&lt;=0,$AB790=""),0,IFERROR(LOOKUP(2,1/((거래처별!$AC$8:$AC$307&lt;&gt;"")*ISNUMBER(SEARCH(거래처별!$AC$8:$AC$307,$AB790))),거래처별!$A$8:$A$307),IFERROR(LOOKUP(2,1/((거래처별!$AD$8:$AD$307&lt;&gt;"")*ISNUMBER(SEARCH(거래처별!$AD$8:$AD$307,$AB790))),거래처별!$A$8:$A$307),IFERROR(LOOKUP(2,1/((거래처별!$AE$8:$AE$307&lt;&gt;"")*ISNUMBER(SEARCH(거래처별!$AE$8:$AE$307,$AB790))),거래처별!$A$8:$A$307),0))))</f>
        <v/>
      </c>
      <c r="AD790" s="31">
        <f>IF(AND($Y790&lt;&gt;"",N($Z790)&gt;0,$AC790=0),MAX($AD$7:$AD789)+1,"")</f>
        <v/>
      </c>
      <c r="AE790" s="31">
        <f>IF($Y790="",0,$Y790)</f>
        <v/>
      </c>
    </row>
    <row r="791">
      <c r="W791" s="31">
        <f>IF(OR($B$5="",$C$6="",ROW()&lt;$B$5),"",IF(INDEX($A:$U,ROW(),$C$6)="","",INDEX($A:$U,ROW(),$C$6)))</f>
        <v/>
      </c>
      <c r="X791" s="32">
        <f>IF($W791="","",IF(ISNUMBER($W791),IF($W791&gt;=10000000,IFERROR(DATE(INT($W791/10000),MOD(INT($W791/100),100),MOD($W791,100)),""),INT($W791)),IFERROR(DATE(--LEFT(LEFT(SUBSTITUTE(SUBSTITUTE(SUBSTITUTE(SUBSTITUTE(TRIM($W791),"-",""),".",""),"/","")," ",""),8),4),--MID(LEFT(SUBSTITUTE(SUBSTITUTE(SUBSTITUTE(SUBSTITUTE(TRIM($W791),"-",""),".",""),"/","")," ",""),8),5,2),--MID(LEFT(SUBSTITUTE(SUBSTITUTE(SUBSTITUTE(SUBSTITUTE(TRIM($W791),"-",""),".",""),"/","")," ",""),8),7,2)),"")))</f>
        <v/>
      </c>
      <c r="Y791" s="32">
        <f>IF($X791="","",INT($X791))</f>
        <v/>
      </c>
      <c r="Z791" s="33">
        <f>IF(OR($Y791="",$D$6=""),"",IF(INDEX($A:$U,ROW(),$D$6)="",0,IF(ISNUMBER(INDEX($A:$U,ROW(),$D$6)),INDEX($A:$U,ROW(),$D$6),IFERROR(--SUBSTITUTE(SUBSTITUTE(TRIM(INDEX($A:$U,ROW(),$D$6)),",",""),"원",""),0))))</f>
        <v/>
      </c>
      <c r="AA791" s="31">
        <f>IF($Y791="","",TRIM(INDEX($A:$U,ROW(),$E$6)&amp;IF($F$6="",""," "&amp;INDEX($A:$U,ROW(),$F$6))))</f>
        <v/>
      </c>
      <c r="AB791" s="31">
        <f>IF($AA791="","",SUBSTITUTE(SUBSTITUTE(SUBSTITUTE(SUBSTITUTE(SUBSTITUTE(SUBSTITUTE(SUBSTITUTE(SUBSTITUTE(SUBSTITUTE($AA791," ",""),"　",""),"(주)",""),"（주）",""),"㈜",""),"주식회사",""),"(유)",""),"（유）",""),"유한회사",""))</f>
        <v/>
      </c>
      <c r="AC791" s="31">
        <f>IF(OR($Y791="",N($Z791)&lt;=0,$AB791=""),0,IFERROR(LOOKUP(2,1/((거래처별!$AC$8:$AC$307&lt;&gt;"")*ISNUMBER(SEARCH(거래처별!$AC$8:$AC$307,$AB791))),거래처별!$A$8:$A$307),IFERROR(LOOKUP(2,1/((거래처별!$AD$8:$AD$307&lt;&gt;"")*ISNUMBER(SEARCH(거래처별!$AD$8:$AD$307,$AB791))),거래처별!$A$8:$A$307),IFERROR(LOOKUP(2,1/((거래처별!$AE$8:$AE$307&lt;&gt;"")*ISNUMBER(SEARCH(거래처별!$AE$8:$AE$307,$AB791))),거래처별!$A$8:$A$307),0))))</f>
        <v/>
      </c>
      <c r="AD791" s="31">
        <f>IF(AND($Y791&lt;&gt;"",N($Z791)&gt;0,$AC791=0),MAX($AD$7:$AD790)+1,"")</f>
        <v/>
      </c>
      <c r="AE791" s="31">
        <f>IF($Y791="",0,$Y791)</f>
        <v/>
      </c>
    </row>
    <row r="792">
      <c r="W792" s="31">
        <f>IF(OR($B$5="",$C$6="",ROW()&lt;$B$5),"",IF(INDEX($A:$U,ROW(),$C$6)="","",INDEX($A:$U,ROW(),$C$6)))</f>
        <v/>
      </c>
      <c r="X792" s="32">
        <f>IF($W792="","",IF(ISNUMBER($W792),IF($W792&gt;=10000000,IFERROR(DATE(INT($W792/10000),MOD(INT($W792/100),100),MOD($W792,100)),""),INT($W792)),IFERROR(DATE(--LEFT(LEFT(SUBSTITUTE(SUBSTITUTE(SUBSTITUTE(SUBSTITUTE(TRIM($W792),"-",""),".",""),"/","")," ",""),8),4),--MID(LEFT(SUBSTITUTE(SUBSTITUTE(SUBSTITUTE(SUBSTITUTE(TRIM($W792),"-",""),".",""),"/","")," ",""),8),5,2),--MID(LEFT(SUBSTITUTE(SUBSTITUTE(SUBSTITUTE(SUBSTITUTE(TRIM($W792),"-",""),".",""),"/","")," ",""),8),7,2)),"")))</f>
        <v/>
      </c>
      <c r="Y792" s="32">
        <f>IF($X792="","",INT($X792))</f>
        <v/>
      </c>
      <c r="Z792" s="33">
        <f>IF(OR($Y792="",$D$6=""),"",IF(INDEX($A:$U,ROW(),$D$6)="",0,IF(ISNUMBER(INDEX($A:$U,ROW(),$D$6)),INDEX($A:$U,ROW(),$D$6),IFERROR(--SUBSTITUTE(SUBSTITUTE(TRIM(INDEX($A:$U,ROW(),$D$6)),",",""),"원",""),0))))</f>
        <v/>
      </c>
      <c r="AA792" s="31">
        <f>IF($Y792="","",TRIM(INDEX($A:$U,ROW(),$E$6)&amp;IF($F$6="",""," "&amp;INDEX($A:$U,ROW(),$F$6))))</f>
        <v/>
      </c>
      <c r="AB792" s="31">
        <f>IF($AA792="","",SUBSTITUTE(SUBSTITUTE(SUBSTITUTE(SUBSTITUTE(SUBSTITUTE(SUBSTITUTE(SUBSTITUTE(SUBSTITUTE(SUBSTITUTE($AA792," ",""),"　",""),"(주)",""),"（주）",""),"㈜",""),"주식회사",""),"(유)",""),"（유）",""),"유한회사",""))</f>
        <v/>
      </c>
      <c r="AC792" s="31">
        <f>IF(OR($Y792="",N($Z792)&lt;=0,$AB792=""),0,IFERROR(LOOKUP(2,1/((거래처별!$AC$8:$AC$307&lt;&gt;"")*ISNUMBER(SEARCH(거래처별!$AC$8:$AC$307,$AB792))),거래처별!$A$8:$A$307),IFERROR(LOOKUP(2,1/((거래처별!$AD$8:$AD$307&lt;&gt;"")*ISNUMBER(SEARCH(거래처별!$AD$8:$AD$307,$AB792))),거래처별!$A$8:$A$307),IFERROR(LOOKUP(2,1/((거래처별!$AE$8:$AE$307&lt;&gt;"")*ISNUMBER(SEARCH(거래처별!$AE$8:$AE$307,$AB792))),거래처별!$A$8:$A$307),0))))</f>
        <v/>
      </c>
      <c r="AD792" s="31">
        <f>IF(AND($Y792&lt;&gt;"",N($Z792)&gt;0,$AC792=0),MAX($AD$7:$AD791)+1,"")</f>
        <v/>
      </c>
      <c r="AE792" s="31">
        <f>IF($Y792="",0,$Y792)</f>
        <v/>
      </c>
    </row>
    <row r="793">
      <c r="W793" s="31">
        <f>IF(OR($B$5="",$C$6="",ROW()&lt;$B$5),"",IF(INDEX($A:$U,ROW(),$C$6)="","",INDEX($A:$U,ROW(),$C$6)))</f>
        <v/>
      </c>
      <c r="X793" s="32">
        <f>IF($W793="","",IF(ISNUMBER($W793),IF($W793&gt;=10000000,IFERROR(DATE(INT($W793/10000),MOD(INT($W793/100),100),MOD($W793,100)),""),INT($W793)),IFERROR(DATE(--LEFT(LEFT(SUBSTITUTE(SUBSTITUTE(SUBSTITUTE(SUBSTITUTE(TRIM($W793),"-",""),".",""),"/","")," ",""),8),4),--MID(LEFT(SUBSTITUTE(SUBSTITUTE(SUBSTITUTE(SUBSTITUTE(TRIM($W793),"-",""),".",""),"/","")," ",""),8),5,2),--MID(LEFT(SUBSTITUTE(SUBSTITUTE(SUBSTITUTE(SUBSTITUTE(TRIM($W793),"-",""),".",""),"/","")," ",""),8),7,2)),"")))</f>
        <v/>
      </c>
      <c r="Y793" s="32">
        <f>IF($X793="","",INT($X793))</f>
        <v/>
      </c>
      <c r="Z793" s="33">
        <f>IF(OR($Y793="",$D$6=""),"",IF(INDEX($A:$U,ROW(),$D$6)="",0,IF(ISNUMBER(INDEX($A:$U,ROW(),$D$6)),INDEX($A:$U,ROW(),$D$6),IFERROR(--SUBSTITUTE(SUBSTITUTE(TRIM(INDEX($A:$U,ROW(),$D$6)),",",""),"원",""),0))))</f>
        <v/>
      </c>
      <c r="AA793" s="31">
        <f>IF($Y793="","",TRIM(INDEX($A:$U,ROW(),$E$6)&amp;IF($F$6="",""," "&amp;INDEX($A:$U,ROW(),$F$6))))</f>
        <v/>
      </c>
      <c r="AB793" s="31">
        <f>IF($AA793="","",SUBSTITUTE(SUBSTITUTE(SUBSTITUTE(SUBSTITUTE(SUBSTITUTE(SUBSTITUTE(SUBSTITUTE(SUBSTITUTE(SUBSTITUTE($AA793," ",""),"　",""),"(주)",""),"（주）",""),"㈜",""),"주식회사",""),"(유)",""),"（유）",""),"유한회사",""))</f>
        <v/>
      </c>
      <c r="AC793" s="31">
        <f>IF(OR($Y793="",N($Z793)&lt;=0,$AB793=""),0,IFERROR(LOOKUP(2,1/((거래처별!$AC$8:$AC$307&lt;&gt;"")*ISNUMBER(SEARCH(거래처별!$AC$8:$AC$307,$AB793))),거래처별!$A$8:$A$307),IFERROR(LOOKUP(2,1/((거래처별!$AD$8:$AD$307&lt;&gt;"")*ISNUMBER(SEARCH(거래처별!$AD$8:$AD$307,$AB793))),거래처별!$A$8:$A$307),IFERROR(LOOKUP(2,1/((거래처별!$AE$8:$AE$307&lt;&gt;"")*ISNUMBER(SEARCH(거래처별!$AE$8:$AE$307,$AB793))),거래처별!$A$8:$A$307),0))))</f>
        <v/>
      </c>
      <c r="AD793" s="31">
        <f>IF(AND($Y793&lt;&gt;"",N($Z793)&gt;0,$AC793=0),MAX($AD$7:$AD792)+1,"")</f>
        <v/>
      </c>
      <c r="AE793" s="31">
        <f>IF($Y793="",0,$Y793)</f>
        <v/>
      </c>
    </row>
    <row r="794">
      <c r="W794" s="31">
        <f>IF(OR($B$5="",$C$6="",ROW()&lt;$B$5),"",IF(INDEX($A:$U,ROW(),$C$6)="","",INDEX($A:$U,ROW(),$C$6)))</f>
        <v/>
      </c>
      <c r="X794" s="32">
        <f>IF($W794="","",IF(ISNUMBER($W794),IF($W794&gt;=10000000,IFERROR(DATE(INT($W794/10000),MOD(INT($W794/100),100),MOD($W794,100)),""),INT($W794)),IFERROR(DATE(--LEFT(LEFT(SUBSTITUTE(SUBSTITUTE(SUBSTITUTE(SUBSTITUTE(TRIM($W794),"-",""),".",""),"/","")," ",""),8),4),--MID(LEFT(SUBSTITUTE(SUBSTITUTE(SUBSTITUTE(SUBSTITUTE(TRIM($W794),"-",""),".",""),"/","")," ",""),8),5,2),--MID(LEFT(SUBSTITUTE(SUBSTITUTE(SUBSTITUTE(SUBSTITUTE(TRIM($W794),"-",""),".",""),"/","")," ",""),8),7,2)),"")))</f>
        <v/>
      </c>
      <c r="Y794" s="32">
        <f>IF($X794="","",INT($X794))</f>
        <v/>
      </c>
      <c r="Z794" s="33">
        <f>IF(OR($Y794="",$D$6=""),"",IF(INDEX($A:$U,ROW(),$D$6)="",0,IF(ISNUMBER(INDEX($A:$U,ROW(),$D$6)),INDEX($A:$U,ROW(),$D$6),IFERROR(--SUBSTITUTE(SUBSTITUTE(TRIM(INDEX($A:$U,ROW(),$D$6)),",",""),"원",""),0))))</f>
        <v/>
      </c>
      <c r="AA794" s="31">
        <f>IF($Y794="","",TRIM(INDEX($A:$U,ROW(),$E$6)&amp;IF($F$6="",""," "&amp;INDEX($A:$U,ROW(),$F$6))))</f>
        <v/>
      </c>
      <c r="AB794" s="31">
        <f>IF($AA794="","",SUBSTITUTE(SUBSTITUTE(SUBSTITUTE(SUBSTITUTE(SUBSTITUTE(SUBSTITUTE(SUBSTITUTE(SUBSTITUTE(SUBSTITUTE($AA794," ",""),"　",""),"(주)",""),"（주）",""),"㈜",""),"주식회사",""),"(유)",""),"（유）",""),"유한회사",""))</f>
        <v/>
      </c>
      <c r="AC794" s="31">
        <f>IF(OR($Y794="",N($Z794)&lt;=0,$AB794=""),0,IFERROR(LOOKUP(2,1/((거래처별!$AC$8:$AC$307&lt;&gt;"")*ISNUMBER(SEARCH(거래처별!$AC$8:$AC$307,$AB794))),거래처별!$A$8:$A$307),IFERROR(LOOKUP(2,1/((거래처별!$AD$8:$AD$307&lt;&gt;"")*ISNUMBER(SEARCH(거래처별!$AD$8:$AD$307,$AB794))),거래처별!$A$8:$A$307),IFERROR(LOOKUP(2,1/((거래처별!$AE$8:$AE$307&lt;&gt;"")*ISNUMBER(SEARCH(거래처별!$AE$8:$AE$307,$AB794))),거래처별!$A$8:$A$307),0))))</f>
        <v/>
      </c>
      <c r="AD794" s="31">
        <f>IF(AND($Y794&lt;&gt;"",N($Z794)&gt;0,$AC794=0),MAX($AD$7:$AD793)+1,"")</f>
        <v/>
      </c>
      <c r="AE794" s="31">
        <f>IF($Y794="",0,$Y794)</f>
        <v/>
      </c>
    </row>
    <row r="795">
      <c r="W795" s="31">
        <f>IF(OR($B$5="",$C$6="",ROW()&lt;$B$5),"",IF(INDEX($A:$U,ROW(),$C$6)="","",INDEX($A:$U,ROW(),$C$6)))</f>
        <v/>
      </c>
      <c r="X795" s="32">
        <f>IF($W795="","",IF(ISNUMBER($W795),IF($W795&gt;=10000000,IFERROR(DATE(INT($W795/10000),MOD(INT($W795/100),100),MOD($W795,100)),""),INT($W795)),IFERROR(DATE(--LEFT(LEFT(SUBSTITUTE(SUBSTITUTE(SUBSTITUTE(SUBSTITUTE(TRIM($W795),"-",""),".",""),"/","")," ",""),8),4),--MID(LEFT(SUBSTITUTE(SUBSTITUTE(SUBSTITUTE(SUBSTITUTE(TRIM($W795),"-",""),".",""),"/","")," ",""),8),5,2),--MID(LEFT(SUBSTITUTE(SUBSTITUTE(SUBSTITUTE(SUBSTITUTE(TRIM($W795),"-",""),".",""),"/","")," ",""),8),7,2)),"")))</f>
        <v/>
      </c>
      <c r="Y795" s="32">
        <f>IF($X795="","",INT($X795))</f>
        <v/>
      </c>
      <c r="Z795" s="33">
        <f>IF(OR($Y795="",$D$6=""),"",IF(INDEX($A:$U,ROW(),$D$6)="",0,IF(ISNUMBER(INDEX($A:$U,ROW(),$D$6)),INDEX($A:$U,ROW(),$D$6),IFERROR(--SUBSTITUTE(SUBSTITUTE(TRIM(INDEX($A:$U,ROW(),$D$6)),",",""),"원",""),0))))</f>
        <v/>
      </c>
      <c r="AA795" s="31">
        <f>IF($Y795="","",TRIM(INDEX($A:$U,ROW(),$E$6)&amp;IF($F$6="",""," "&amp;INDEX($A:$U,ROW(),$F$6))))</f>
        <v/>
      </c>
      <c r="AB795" s="31">
        <f>IF($AA795="","",SUBSTITUTE(SUBSTITUTE(SUBSTITUTE(SUBSTITUTE(SUBSTITUTE(SUBSTITUTE(SUBSTITUTE(SUBSTITUTE(SUBSTITUTE($AA795," ",""),"　",""),"(주)",""),"（주）",""),"㈜",""),"주식회사",""),"(유)",""),"（유）",""),"유한회사",""))</f>
        <v/>
      </c>
      <c r="AC795" s="31">
        <f>IF(OR($Y795="",N($Z795)&lt;=0,$AB795=""),0,IFERROR(LOOKUP(2,1/((거래처별!$AC$8:$AC$307&lt;&gt;"")*ISNUMBER(SEARCH(거래처별!$AC$8:$AC$307,$AB795))),거래처별!$A$8:$A$307),IFERROR(LOOKUP(2,1/((거래처별!$AD$8:$AD$307&lt;&gt;"")*ISNUMBER(SEARCH(거래처별!$AD$8:$AD$307,$AB795))),거래처별!$A$8:$A$307),IFERROR(LOOKUP(2,1/((거래처별!$AE$8:$AE$307&lt;&gt;"")*ISNUMBER(SEARCH(거래처별!$AE$8:$AE$307,$AB795))),거래처별!$A$8:$A$307),0))))</f>
        <v/>
      </c>
      <c r="AD795" s="31">
        <f>IF(AND($Y795&lt;&gt;"",N($Z795)&gt;0,$AC795=0),MAX($AD$7:$AD794)+1,"")</f>
        <v/>
      </c>
      <c r="AE795" s="31">
        <f>IF($Y795="",0,$Y795)</f>
        <v/>
      </c>
    </row>
    <row r="796">
      <c r="W796" s="31">
        <f>IF(OR($B$5="",$C$6="",ROW()&lt;$B$5),"",IF(INDEX($A:$U,ROW(),$C$6)="","",INDEX($A:$U,ROW(),$C$6)))</f>
        <v/>
      </c>
      <c r="X796" s="32">
        <f>IF($W796="","",IF(ISNUMBER($W796),IF($W796&gt;=10000000,IFERROR(DATE(INT($W796/10000),MOD(INT($W796/100),100),MOD($W796,100)),""),INT($W796)),IFERROR(DATE(--LEFT(LEFT(SUBSTITUTE(SUBSTITUTE(SUBSTITUTE(SUBSTITUTE(TRIM($W796),"-",""),".",""),"/","")," ",""),8),4),--MID(LEFT(SUBSTITUTE(SUBSTITUTE(SUBSTITUTE(SUBSTITUTE(TRIM($W796),"-",""),".",""),"/","")," ",""),8),5,2),--MID(LEFT(SUBSTITUTE(SUBSTITUTE(SUBSTITUTE(SUBSTITUTE(TRIM($W796),"-",""),".",""),"/","")," ",""),8),7,2)),"")))</f>
        <v/>
      </c>
      <c r="Y796" s="32">
        <f>IF($X796="","",INT($X796))</f>
        <v/>
      </c>
      <c r="Z796" s="33">
        <f>IF(OR($Y796="",$D$6=""),"",IF(INDEX($A:$U,ROW(),$D$6)="",0,IF(ISNUMBER(INDEX($A:$U,ROW(),$D$6)),INDEX($A:$U,ROW(),$D$6),IFERROR(--SUBSTITUTE(SUBSTITUTE(TRIM(INDEX($A:$U,ROW(),$D$6)),",",""),"원",""),0))))</f>
        <v/>
      </c>
      <c r="AA796" s="31">
        <f>IF($Y796="","",TRIM(INDEX($A:$U,ROW(),$E$6)&amp;IF($F$6="",""," "&amp;INDEX($A:$U,ROW(),$F$6))))</f>
        <v/>
      </c>
      <c r="AB796" s="31">
        <f>IF($AA796="","",SUBSTITUTE(SUBSTITUTE(SUBSTITUTE(SUBSTITUTE(SUBSTITUTE(SUBSTITUTE(SUBSTITUTE(SUBSTITUTE(SUBSTITUTE($AA796," ",""),"　",""),"(주)",""),"（주）",""),"㈜",""),"주식회사",""),"(유)",""),"（유）",""),"유한회사",""))</f>
        <v/>
      </c>
      <c r="AC796" s="31">
        <f>IF(OR($Y796="",N($Z796)&lt;=0,$AB796=""),0,IFERROR(LOOKUP(2,1/((거래처별!$AC$8:$AC$307&lt;&gt;"")*ISNUMBER(SEARCH(거래처별!$AC$8:$AC$307,$AB796))),거래처별!$A$8:$A$307),IFERROR(LOOKUP(2,1/((거래처별!$AD$8:$AD$307&lt;&gt;"")*ISNUMBER(SEARCH(거래처별!$AD$8:$AD$307,$AB796))),거래처별!$A$8:$A$307),IFERROR(LOOKUP(2,1/((거래처별!$AE$8:$AE$307&lt;&gt;"")*ISNUMBER(SEARCH(거래처별!$AE$8:$AE$307,$AB796))),거래처별!$A$8:$A$307),0))))</f>
        <v/>
      </c>
      <c r="AD796" s="31">
        <f>IF(AND($Y796&lt;&gt;"",N($Z796)&gt;0,$AC796=0),MAX($AD$7:$AD795)+1,"")</f>
        <v/>
      </c>
      <c r="AE796" s="31">
        <f>IF($Y796="",0,$Y796)</f>
        <v/>
      </c>
    </row>
    <row r="797">
      <c r="W797" s="31">
        <f>IF(OR($B$5="",$C$6="",ROW()&lt;$B$5),"",IF(INDEX($A:$U,ROW(),$C$6)="","",INDEX($A:$U,ROW(),$C$6)))</f>
        <v/>
      </c>
      <c r="X797" s="32">
        <f>IF($W797="","",IF(ISNUMBER($W797),IF($W797&gt;=10000000,IFERROR(DATE(INT($W797/10000),MOD(INT($W797/100),100),MOD($W797,100)),""),INT($W797)),IFERROR(DATE(--LEFT(LEFT(SUBSTITUTE(SUBSTITUTE(SUBSTITUTE(SUBSTITUTE(TRIM($W797),"-",""),".",""),"/","")," ",""),8),4),--MID(LEFT(SUBSTITUTE(SUBSTITUTE(SUBSTITUTE(SUBSTITUTE(TRIM($W797),"-",""),".",""),"/","")," ",""),8),5,2),--MID(LEFT(SUBSTITUTE(SUBSTITUTE(SUBSTITUTE(SUBSTITUTE(TRIM($W797),"-",""),".",""),"/","")," ",""),8),7,2)),"")))</f>
        <v/>
      </c>
      <c r="Y797" s="32">
        <f>IF($X797="","",INT($X797))</f>
        <v/>
      </c>
      <c r="Z797" s="33">
        <f>IF(OR($Y797="",$D$6=""),"",IF(INDEX($A:$U,ROW(),$D$6)="",0,IF(ISNUMBER(INDEX($A:$U,ROW(),$D$6)),INDEX($A:$U,ROW(),$D$6),IFERROR(--SUBSTITUTE(SUBSTITUTE(TRIM(INDEX($A:$U,ROW(),$D$6)),",",""),"원",""),0))))</f>
        <v/>
      </c>
      <c r="AA797" s="31">
        <f>IF($Y797="","",TRIM(INDEX($A:$U,ROW(),$E$6)&amp;IF($F$6="",""," "&amp;INDEX($A:$U,ROW(),$F$6))))</f>
        <v/>
      </c>
      <c r="AB797" s="31">
        <f>IF($AA797="","",SUBSTITUTE(SUBSTITUTE(SUBSTITUTE(SUBSTITUTE(SUBSTITUTE(SUBSTITUTE(SUBSTITUTE(SUBSTITUTE(SUBSTITUTE($AA797," ",""),"　",""),"(주)",""),"（주）",""),"㈜",""),"주식회사",""),"(유)",""),"（유）",""),"유한회사",""))</f>
        <v/>
      </c>
      <c r="AC797" s="31">
        <f>IF(OR($Y797="",N($Z797)&lt;=0,$AB797=""),0,IFERROR(LOOKUP(2,1/((거래처별!$AC$8:$AC$307&lt;&gt;"")*ISNUMBER(SEARCH(거래처별!$AC$8:$AC$307,$AB797))),거래처별!$A$8:$A$307),IFERROR(LOOKUP(2,1/((거래처별!$AD$8:$AD$307&lt;&gt;"")*ISNUMBER(SEARCH(거래처별!$AD$8:$AD$307,$AB797))),거래처별!$A$8:$A$307),IFERROR(LOOKUP(2,1/((거래처별!$AE$8:$AE$307&lt;&gt;"")*ISNUMBER(SEARCH(거래처별!$AE$8:$AE$307,$AB797))),거래처별!$A$8:$A$307),0))))</f>
        <v/>
      </c>
      <c r="AD797" s="31">
        <f>IF(AND($Y797&lt;&gt;"",N($Z797)&gt;0,$AC797=0),MAX($AD$7:$AD796)+1,"")</f>
        <v/>
      </c>
      <c r="AE797" s="31">
        <f>IF($Y797="",0,$Y797)</f>
        <v/>
      </c>
    </row>
    <row r="798">
      <c r="W798" s="31">
        <f>IF(OR($B$5="",$C$6="",ROW()&lt;$B$5),"",IF(INDEX($A:$U,ROW(),$C$6)="","",INDEX($A:$U,ROW(),$C$6)))</f>
        <v/>
      </c>
      <c r="X798" s="32">
        <f>IF($W798="","",IF(ISNUMBER($W798),IF($W798&gt;=10000000,IFERROR(DATE(INT($W798/10000),MOD(INT($W798/100),100),MOD($W798,100)),""),INT($W798)),IFERROR(DATE(--LEFT(LEFT(SUBSTITUTE(SUBSTITUTE(SUBSTITUTE(SUBSTITUTE(TRIM($W798),"-",""),".",""),"/","")," ",""),8),4),--MID(LEFT(SUBSTITUTE(SUBSTITUTE(SUBSTITUTE(SUBSTITUTE(TRIM($W798),"-",""),".",""),"/","")," ",""),8),5,2),--MID(LEFT(SUBSTITUTE(SUBSTITUTE(SUBSTITUTE(SUBSTITUTE(TRIM($W798),"-",""),".",""),"/","")," ",""),8),7,2)),"")))</f>
        <v/>
      </c>
      <c r="Y798" s="32">
        <f>IF($X798="","",INT($X798))</f>
        <v/>
      </c>
      <c r="Z798" s="33">
        <f>IF(OR($Y798="",$D$6=""),"",IF(INDEX($A:$U,ROW(),$D$6)="",0,IF(ISNUMBER(INDEX($A:$U,ROW(),$D$6)),INDEX($A:$U,ROW(),$D$6),IFERROR(--SUBSTITUTE(SUBSTITUTE(TRIM(INDEX($A:$U,ROW(),$D$6)),",",""),"원",""),0))))</f>
        <v/>
      </c>
      <c r="AA798" s="31">
        <f>IF($Y798="","",TRIM(INDEX($A:$U,ROW(),$E$6)&amp;IF($F$6="",""," "&amp;INDEX($A:$U,ROW(),$F$6))))</f>
        <v/>
      </c>
      <c r="AB798" s="31">
        <f>IF($AA798="","",SUBSTITUTE(SUBSTITUTE(SUBSTITUTE(SUBSTITUTE(SUBSTITUTE(SUBSTITUTE(SUBSTITUTE(SUBSTITUTE(SUBSTITUTE($AA798," ",""),"　",""),"(주)",""),"（주）",""),"㈜",""),"주식회사",""),"(유)",""),"（유）",""),"유한회사",""))</f>
        <v/>
      </c>
      <c r="AC798" s="31">
        <f>IF(OR($Y798="",N($Z798)&lt;=0,$AB798=""),0,IFERROR(LOOKUP(2,1/((거래처별!$AC$8:$AC$307&lt;&gt;"")*ISNUMBER(SEARCH(거래처별!$AC$8:$AC$307,$AB798))),거래처별!$A$8:$A$307),IFERROR(LOOKUP(2,1/((거래처별!$AD$8:$AD$307&lt;&gt;"")*ISNUMBER(SEARCH(거래처별!$AD$8:$AD$307,$AB798))),거래처별!$A$8:$A$307),IFERROR(LOOKUP(2,1/((거래처별!$AE$8:$AE$307&lt;&gt;"")*ISNUMBER(SEARCH(거래처별!$AE$8:$AE$307,$AB798))),거래처별!$A$8:$A$307),0))))</f>
        <v/>
      </c>
      <c r="AD798" s="31">
        <f>IF(AND($Y798&lt;&gt;"",N($Z798)&gt;0,$AC798=0),MAX($AD$7:$AD797)+1,"")</f>
        <v/>
      </c>
      <c r="AE798" s="31">
        <f>IF($Y798="",0,$Y798)</f>
        <v/>
      </c>
    </row>
    <row r="799">
      <c r="W799" s="31">
        <f>IF(OR($B$5="",$C$6="",ROW()&lt;$B$5),"",IF(INDEX($A:$U,ROW(),$C$6)="","",INDEX($A:$U,ROW(),$C$6)))</f>
        <v/>
      </c>
      <c r="X799" s="32">
        <f>IF($W799="","",IF(ISNUMBER($W799),IF($W799&gt;=10000000,IFERROR(DATE(INT($W799/10000),MOD(INT($W799/100),100),MOD($W799,100)),""),INT($W799)),IFERROR(DATE(--LEFT(LEFT(SUBSTITUTE(SUBSTITUTE(SUBSTITUTE(SUBSTITUTE(TRIM($W799),"-",""),".",""),"/","")," ",""),8),4),--MID(LEFT(SUBSTITUTE(SUBSTITUTE(SUBSTITUTE(SUBSTITUTE(TRIM($W799),"-",""),".",""),"/","")," ",""),8),5,2),--MID(LEFT(SUBSTITUTE(SUBSTITUTE(SUBSTITUTE(SUBSTITUTE(TRIM($W799),"-",""),".",""),"/","")," ",""),8),7,2)),"")))</f>
        <v/>
      </c>
      <c r="Y799" s="32">
        <f>IF($X799="","",INT($X799))</f>
        <v/>
      </c>
      <c r="Z799" s="33">
        <f>IF(OR($Y799="",$D$6=""),"",IF(INDEX($A:$U,ROW(),$D$6)="",0,IF(ISNUMBER(INDEX($A:$U,ROW(),$D$6)),INDEX($A:$U,ROW(),$D$6),IFERROR(--SUBSTITUTE(SUBSTITUTE(TRIM(INDEX($A:$U,ROW(),$D$6)),",",""),"원",""),0))))</f>
        <v/>
      </c>
      <c r="AA799" s="31">
        <f>IF($Y799="","",TRIM(INDEX($A:$U,ROW(),$E$6)&amp;IF($F$6="",""," "&amp;INDEX($A:$U,ROW(),$F$6))))</f>
        <v/>
      </c>
      <c r="AB799" s="31">
        <f>IF($AA799="","",SUBSTITUTE(SUBSTITUTE(SUBSTITUTE(SUBSTITUTE(SUBSTITUTE(SUBSTITUTE(SUBSTITUTE(SUBSTITUTE(SUBSTITUTE($AA799," ",""),"　",""),"(주)",""),"（주）",""),"㈜",""),"주식회사",""),"(유)",""),"（유）",""),"유한회사",""))</f>
        <v/>
      </c>
      <c r="AC799" s="31">
        <f>IF(OR($Y799="",N($Z799)&lt;=0,$AB799=""),0,IFERROR(LOOKUP(2,1/((거래처별!$AC$8:$AC$307&lt;&gt;"")*ISNUMBER(SEARCH(거래처별!$AC$8:$AC$307,$AB799))),거래처별!$A$8:$A$307),IFERROR(LOOKUP(2,1/((거래처별!$AD$8:$AD$307&lt;&gt;"")*ISNUMBER(SEARCH(거래처별!$AD$8:$AD$307,$AB799))),거래처별!$A$8:$A$307),IFERROR(LOOKUP(2,1/((거래처별!$AE$8:$AE$307&lt;&gt;"")*ISNUMBER(SEARCH(거래처별!$AE$8:$AE$307,$AB799))),거래처별!$A$8:$A$307),0))))</f>
        <v/>
      </c>
      <c r="AD799" s="31">
        <f>IF(AND($Y799&lt;&gt;"",N($Z799)&gt;0,$AC799=0),MAX($AD$7:$AD798)+1,"")</f>
        <v/>
      </c>
      <c r="AE799" s="31">
        <f>IF($Y799="",0,$Y799)</f>
        <v/>
      </c>
    </row>
    <row r="800">
      <c r="W800" s="31">
        <f>IF(OR($B$5="",$C$6="",ROW()&lt;$B$5),"",IF(INDEX($A:$U,ROW(),$C$6)="","",INDEX($A:$U,ROW(),$C$6)))</f>
        <v/>
      </c>
      <c r="X800" s="32">
        <f>IF($W800="","",IF(ISNUMBER($W800),IF($W800&gt;=10000000,IFERROR(DATE(INT($W800/10000),MOD(INT($W800/100),100),MOD($W800,100)),""),INT($W800)),IFERROR(DATE(--LEFT(LEFT(SUBSTITUTE(SUBSTITUTE(SUBSTITUTE(SUBSTITUTE(TRIM($W800),"-",""),".",""),"/","")," ",""),8),4),--MID(LEFT(SUBSTITUTE(SUBSTITUTE(SUBSTITUTE(SUBSTITUTE(TRIM($W800),"-",""),".",""),"/","")," ",""),8),5,2),--MID(LEFT(SUBSTITUTE(SUBSTITUTE(SUBSTITUTE(SUBSTITUTE(TRIM($W800),"-",""),".",""),"/","")," ",""),8),7,2)),"")))</f>
        <v/>
      </c>
      <c r="Y800" s="32">
        <f>IF($X800="","",INT($X800))</f>
        <v/>
      </c>
      <c r="Z800" s="33">
        <f>IF(OR($Y800="",$D$6=""),"",IF(INDEX($A:$U,ROW(),$D$6)="",0,IF(ISNUMBER(INDEX($A:$U,ROW(),$D$6)),INDEX($A:$U,ROW(),$D$6),IFERROR(--SUBSTITUTE(SUBSTITUTE(TRIM(INDEX($A:$U,ROW(),$D$6)),",",""),"원",""),0))))</f>
        <v/>
      </c>
      <c r="AA800" s="31">
        <f>IF($Y800="","",TRIM(INDEX($A:$U,ROW(),$E$6)&amp;IF($F$6="",""," "&amp;INDEX($A:$U,ROW(),$F$6))))</f>
        <v/>
      </c>
      <c r="AB800" s="31">
        <f>IF($AA800="","",SUBSTITUTE(SUBSTITUTE(SUBSTITUTE(SUBSTITUTE(SUBSTITUTE(SUBSTITUTE(SUBSTITUTE(SUBSTITUTE(SUBSTITUTE($AA800," ",""),"　",""),"(주)",""),"（주）",""),"㈜",""),"주식회사",""),"(유)",""),"（유）",""),"유한회사",""))</f>
        <v/>
      </c>
      <c r="AC800" s="31">
        <f>IF(OR($Y800="",N($Z800)&lt;=0,$AB800=""),0,IFERROR(LOOKUP(2,1/((거래처별!$AC$8:$AC$307&lt;&gt;"")*ISNUMBER(SEARCH(거래처별!$AC$8:$AC$307,$AB800))),거래처별!$A$8:$A$307),IFERROR(LOOKUP(2,1/((거래처별!$AD$8:$AD$307&lt;&gt;"")*ISNUMBER(SEARCH(거래처별!$AD$8:$AD$307,$AB800))),거래처별!$A$8:$A$307),IFERROR(LOOKUP(2,1/((거래처별!$AE$8:$AE$307&lt;&gt;"")*ISNUMBER(SEARCH(거래처별!$AE$8:$AE$307,$AB800))),거래처별!$A$8:$A$307),0))))</f>
        <v/>
      </c>
      <c r="AD800" s="31">
        <f>IF(AND($Y800&lt;&gt;"",N($Z800)&gt;0,$AC800=0),MAX($AD$7:$AD799)+1,"")</f>
        <v/>
      </c>
      <c r="AE800" s="31">
        <f>IF($Y800="",0,$Y800)</f>
        <v/>
      </c>
    </row>
    <row r="801">
      <c r="W801" s="31">
        <f>IF(OR($B$5="",$C$6="",ROW()&lt;$B$5),"",IF(INDEX($A:$U,ROW(),$C$6)="","",INDEX($A:$U,ROW(),$C$6)))</f>
        <v/>
      </c>
      <c r="X801" s="32">
        <f>IF($W801="","",IF(ISNUMBER($W801),IF($W801&gt;=10000000,IFERROR(DATE(INT($W801/10000),MOD(INT($W801/100),100),MOD($W801,100)),""),INT($W801)),IFERROR(DATE(--LEFT(LEFT(SUBSTITUTE(SUBSTITUTE(SUBSTITUTE(SUBSTITUTE(TRIM($W801),"-",""),".",""),"/","")," ",""),8),4),--MID(LEFT(SUBSTITUTE(SUBSTITUTE(SUBSTITUTE(SUBSTITUTE(TRIM($W801),"-",""),".",""),"/","")," ",""),8),5,2),--MID(LEFT(SUBSTITUTE(SUBSTITUTE(SUBSTITUTE(SUBSTITUTE(TRIM($W801),"-",""),".",""),"/","")," ",""),8),7,2)),"")))</f>
        <v/>
      </c>
      <c r="Y801" s="32">
        <f>IF($X801="","",INT($X801))</f>
        <v/>
      </c>
      <c r="Z801" s="33">
        <f>IF(OR($Y801="",$D$6=""),"",IF(INDEX($A:$U,ROW(),$D$6)="",0,IF(ISNUMBER(INDEX($A:$U,ROW(),$D$6)),INDEX($A:$U,ROW(),$D$6),IFERROR(--SUBSTITUTE(SUBSTITUTE(TRIM(INDEX($A:$U,ROW(),$D$6)),",",""),"원",""),0))))</f>
        <v/>
      </c>
      <c r="AA801" s="31">
        <f>IF($Y801="","",TRIM(INDEX($A:$U,ROW(),$E$6)&amp;IF($F$6="",""," "&amp;INDEX($A:$U,ROW(),$F$6))))</f>
        <v/>
      </c>
      <c r="AB801" s="31">
        <f>IF($AA801="","",SUBSTITUTE(SUBSTITUTE(SUBSTITUTE(SUBSTITUTE(SUBSTITUTE(SUBSTITUTE(SUBSTITUTE(SUBSTITUTE(SUBSTITUTE($AA801," ",""),"　",""),"(주)",""),"（주）",""),"㈜",""),"주식회사",""),"(유)",""),"（유）",""),"유한회사",""))</f>
        <v/>
      </c>
      <c r="AC801" s="31">
        <f>IF(OR($Y801="",N($Z801)&lt;=0,$AB801=""),0,IFERROR(LOOKUP(2,1/((거래처별!$AC$8:$AC$307&lt;&gt;"")*ISNUMBER(SEARCH(거래처별!$AC$8:$AC$307,$AB801))),거래처별!$A$8:$A$307),IFERROR(LOOKUP(2,1/((거래처별!$AD$8:$AD$307&lt;&gt;"")*ISNUMBER(SEARCH(거래처별!$AD$8:$AD$307,$AB801))),거래처별!$A$8:$A$307),IFERROR(LOOKUP(2,1/((거래처별!$AE$8:$AE$307&lt;&gt;"")*ISNUMBER(SEARCH(거래처별!$AE$8:$AE$307,$AB801))),거래처별!$A$8:$A$307),0))))</f>
        <v/>
      </c>
      <c r="AD801" s="31">
        <f>IF(AND($Y801&lt;&gt;"",N($Z801)&gt;0,$AC801=0),MAX($AD$7:$AD800)+1,"")</f>
        <v/>
      </c>
      <c r="AE801" s="31">
        <f>IF($Y801="",0,$Y801)</f>
        <v/>
      </c>
    </row>
    <row r="802">
      <c r="W802" s="31">
        <f>IF(OR($B$5="",$C$6="",ROW()&lt;$B$5),"",IF(INDEX($A:$U,ROW(),$C$6)="","",INDEX($A:$U,ROW(),$C$6)))</f>
        <v/>
      </c>
      <c r="X802" s="32">
        <f>IF($W802="","",IF(ISNUMBER($W802),IF($W802&gt;=10000000,IFERROR(DATE(INT($W802/10000),MOD(INT($W802/100),100),MOD($W802,100)),""),INT($W802)),IFERROR(DATE(--LEFT(LEFT(SUBSTITUTE(SUBSTITUTE(SUBSTITUTE(SUBSTITUTE(TRIM($W802),"-",""),".",""),"/","")," ",""),8),4),--MID(LEFT(SUBSTITUTE(SUBSTITUTE(SUBSTITUTE(SUBSTITUTE(TRIM($W802),"-",""),".",""),"/","")," ",""),8),5,2),--MID(LEFT(SUBSTITUTE(SUBSTITUTE(SUBSTITUTE(SUBSTITUTE(TRIM($W802),"-",""),".",""),"/","")," ",""),8),7,2)),"")))</f>
        <v/>
      </c>
      <c r="Y802" s="32">
        <f>IF($X802="","",INT($X802))</f>
        <v/>
      </c>
      <c r="Z802" s="33">
        <f>IF(OR($Y802="",$D$6=""),"",IF(INDEX($A:$U,ROW(),$D$6)="",0,IF(ISNUMBER(INDEX($A:$U,ROW(),$D$6)),INDEX($A:$U,ROW(),$D$6),IFERROR(--SUBSTITUTE(SUBSTITUTE(TRIM(INDEX($A:$U,ROW(),$D$6)),",",""),"원",""),0))))</f>
        <v/>
      </c>
      <c r="AA802" s="31">
        <f>IF($Y802="","",TRIM(INDEX($A:$U,ROW(),$E$6)&amp;IF($F$6="",""," "&amp;INDEX($A:$U,ROW(),$F$6))))</f>
        <v/>
      </c>
      <c r="AB802" s="31">
        <f>IF($AA802="","",SUBSTITUTE(SUBSTITUTE(SUBSTITUTE(SUBSTITUTE(SUBSTITUTE(SUBSTITUTE(SUBSTITUTE(SUBSTITUTE(SUBSTITUTE($AA802," ",""),"　",""),"(주)",""),"（주）",""),"㈜",""),"주식회사",""),"(유)",""),"（유）",""),"유한회사",""))</f>
        <v/>
      </c>
      <c r="AC802" s="31">
        <f>IF(OR($Y802="",N($Z802)&lt;=0,$AB802=""),0,IFERROR(LOOKUP(2,1/((거래처별!$AC$8:$AC$307&lt;&gt;"")*ISNUMBER(SEARCH(거래처별!$AC$8:$AC$307,$AB802))),거래처별!$A$8:$A$307),IFERROR(LOOKUP(2,1/((거래처별!$AD$8:$AD$307&lt;&gt;"")*ISNUMBER(SEARCH(거래처별!$AD$8:$AD$307,$AB802))),거래처별!$A$8:$A$307),IFERROR(LOOKUP(2,1/((거래처별!$AE$8:$AE$307&lt;&gt;"")*ISNUMBER(SEARCH(거래처별!$AE$8:$AE$307,$AB802))),거래처별!$A$8:$A$307),0))))</f>
        <v/>
      </c>
      <c r="AD802" s="31">
        <f>IF(AND($Y802&lt;&gt;"",N($Z802)&gt;0,$AC802=0),MAX($AD$7:$AD801)+1,"")</f>
        <v/>
      </c>
      <c r="AE802" s="31">
        <f>IF($Y802="",0,$Y802)</f>
        <v/>
      </c>
    </row>
    <row r="803">
      <c r="W803" s="31">
        <f>IF(OR($B$5="",$C$6="",ROW()&lt;$B$5),"",IF(INDEX($A:$U,ROW(),$C$6)="","",INDEX($A:$U,ROW(),$C$6)))</f>
        <v/>
      </c>
      <c r="X803" s="32">
        <f>IF($W803="","",IF(ISNUMBER($W803),IF($W803&gt;=10000000,IFERROR(DATE(INT($W803/10000),MOD(INT($W803/100),100),MOD($W803,100)),""),INT($W803)),IFERROR(DATE(--LEFT(LEFT(SUBSTITUTE(SUBSTITUTE(SUBSTITUTE(SUBSTITUTE(TRIM($W803),"-",""),".",""),"/","")," ",""),8),4),--MID(LEFT(SUBSTITUTE(SUBSTITUTE(SUBSTITUTE(SUBSTITUTE(TRIM($W803),"-",""),".",""),"/","")," ",""),8),5,2),--MID(LEFT(SUBSTITUTE(SUBSTITUTE(SUBSTITUTE(SUBSTITUTE(TRIM($W803),"-",""),".",""),"/","")," ",""),8),7,2)),"")))</f>
        <v/>
      </c>
      <c r="Y803" s="32">
        <f>IF($X803="","",INT($X803))</f>
        <v/>
      </c>
      <c r="Z803" s="33">
        <f>IF(OR($Y803="",$D$6=""),"",IF(INDEX($A:$U,ROW(),$D$6)="",0,IF(ISNUMBER(INDEX($A:$U,ROW(),$D$6)),INDEX($A:$U,ROW(),$D$6),IFERROR(--SUBSTITUTE(SUBSTITUTE(TRIM(INDEX($A:$U,ROW(),$D$6)),",",""),"원",""),0))))</f>
        <v/>
      </c>
      <c r="AA803" s="31">
        <f>IF($Y803="","",TRIM(INDEX($A:$U,ROW(),$E$6)&amp;IF($F$6="",""," "&amp;INDEX($A:$U,ROW(),$F$6))))</f>
        <v/>
      </c>
      <c r="AB803" s="31">
        <f>IF($AA803="","",SUBSTITUTE(SUBSTITUTE(SUBSTITUTE(SUBSTITUTE(SUBSTITUTE(SUBSTITUTE(SUBSTITUTE(SUBSTITUTE(SUBSTITUTE($AA803," ",""),"　",""),"(주)",""),"（주）",""),"㈜",""),"주식회사",""),"(유)",""),"（유）",""),"유한회사",""))</f>
        <v/>
      </c>
      <c r="AC803" s="31">
        <f>IF(OR($Y803="",N($Z803)&lt;=0,$AB803=""),0,IFERROR(LOOKUP(2,1/((거래처별!$AC$8:$AC$307&lt;&gt;"")*ISNUMBER(SEARCH(거래처별!$AC$8:$AC$307,$AB803))),거래처별!$A$8:$A$307),IFERROR(LOOKUP(2,1/((거래처별!$AD$8:$AD$307&lt;&gt;"")*ISNUMBER(SEARCH(거래처별!$AD$8:$AD$307,$AB803))),거래처별!$A$8:$A$307),IFERROR(LOOKUP(2,1/((거래처별!$AE$8:$AE$307&lt;&gt;"")*ISNUMBER(SEARCH(거래처별!$AE$8:$AE$307,$AB803))),거래처별!$A$8:$A$307),0))))</f>
        <v/>
      </c>
      <c r="AD803" s="31">
        <f>IF(AND($Y803&lt;&gt;"",N($Z803)&gt;0,$AC803=0),MAX($AD$7:$AD802)+1,"")</f>
        <v/>
      </c>
      <c r="AE803" s="31">
        <f>IF($Y803="",0,$Y803)</f>
        <v/>
      </c>
    </row>
    <row r="804">
      <c r="W804" s="31">
        <f>IF(OR($B$5="",$C$6="",ROW()&lt;$B$5),"",IF(INDEX($A:$U,ROW(),$C$6)="","",INDEX($A:$U,ROW(),$C$6)))</f>
        <v/>
      </c>
      <c r="X804" s="32">
        <f>IF($W804="","",IF(ISNUMBER($W804),IF($W804&gt;=10000000,IFERROR(DATE(INT($W804/10000),MOD(INT($W804/100),100),MOD($W804,100)),""),INT($W804)),IFERROR(DATE(--LEFT(LEFT(SUBSTITUTE(SUBSTITUTE(SUBSTITUTE(SUBSTITUTE(TRIM($W804),"-",""),".",""),"/","")," ",""),8),4),--MID(LEFT(SUBSTITUTE(SUBSTITUTE(SUBSTITUTE(SUBSTITUTE(TRIM($W804),"-",""),".",""),"/","")," ",""),8),5,2),--MID(LEFT(SUBSTITUTE(SUBSTITUTE(SUBSTITUTE(SUBSTITUTE(TRIM($W804),"-",""),".",""),"/","")," ",""),8),7,2)),"")))</f>
        <v/>
      </c>
      <c r="Y804" s="32">
        <f>IF($X804="","",INT($X804))</f>
        <v/>
      </c>
      <c r="Z804" s="33">
        <f>IF(OR($Y804="",$D$6=""),"",IF(INDEX($A:$U,ROW(),$D$6)="",0,IF(ISNUMBER(INDEX($A:$U,ROW(),$D$6)),INDEX($A:$U,ROW(),$D$6),IFERROR(--SUBSTITUTE(SUBSTITUTE(TRIM(INDEX($A:$U,ROW(),$D$6)),",",""),"원",""),0))))</f>
        <v/>
      </c>
      <c r="AA804" s="31">
        <f>IF($Y804="","",TRIM(INDEX($A:$U,ROW(),$E$6)&amp;IF($F$6="",""," "&amp;INDEX($A:$U,ROW(),$F$6))))</f>
        <v/>
      </c>
      <c r="AB804" s="31">
        <f>IF($AA804="","",SUBSTITUTE(SUBSTITUTE(SUBSTITUTE(SUBSTITUTE(SUBSTITUTE(SUBSTITUTE(SUBSTITUTE(SUBSTITUTE(SUBSTITUTE($AA804," ",""),"　",""),"(주)",""),"（주）",""),"㈜",""),"주식회사",""),"(유)",""),"（유）",""),"유한회사",""))</f>
        <v/>
      </c>
      <c r="AC804" s="31">
        <f>IF(OR($Y804="",N($Z804)&lt;=0,$AB804=""),0,IFERROR(LOOKUP(2,1/((거래처별!$AC$8:$AC$307&lt;&gt;"")*ISNUMBER(SEARCH(거래처별!$AC$8:$AC$307,$AB804))),거래처별!$A$8:$A$307),IFERROR(LOOKUP(2,1/((거래처별!$AD$8:$AD$307&lt;&gt;"")*ISNUMBER(SEARCH(거래처별!$AD$8:$AD$307,$AB804))),거래처별!$A$8:$A$307),IFERROR(LOOKUP(2,1/((거래처별!$AE$8:$AE$307&lt;&gt;"")*ISNUMBER(SEARCH(거래처별!$AE$8:$AE$307,$AB804))),거래처별!$A$8:$A$307),0))))</f>
        <v/>
      </c>
      <c r="AD804" s="31">
        <f>IF(AND($Y804&lt;&gt;"",N($Z804)&gt;0,$AC804=0),MAX($AD$7:$AD803)+1,"")</f>
        <v/>
      </c>
      <c r="AE804" s="31">
        <f>IF($Y804="",0,$Y804)</f>
        <v/>
      </c>
    </row>
    <row r="805">
      <c r="W805" s="31">
        <f>IF(OR($B$5="",$C$6="",ROW()&lt;$B$5),"",IF(INDEX($A:$U,ROW(),$C$6)="","",INDEX($A:$U,ROW(),$C$6)))</f>
        <v/>
      </c>
      <c r="X805" s="32">
        <f>IF($W805="","",IF(ISNUMBER($W805),IF($W805&gt;=10000000,IFERROR(DATE(INT($W805/10000),MOD(INT($W805/100),100),MOD($W805,100)),""),INT($W805)),IFERROR(DATE(--LEFT(LEFT(SUBSTITUTE(SUBSTITUTE(SUBSTITUTE(SUBSTITUTE(TRIM($W805),"-",""),".",""),"/","")," ",""),8),4),--MID(LEFT(SUBSTITUTE(SUBSTITUTE(SUBSTITUTE(SUBSTITUTE(TRIM($W805),"-",""),".",""),"/","")," ",""),8),5,2),--MID(LEFT(SUBSTITUTE(SUBSTITUTE(SUBSTITUTE(SUBSTITUTE(TRIM($W805),"-",""),".",""),"/","")," ",""),8),7,2)),"")))</f>
        <v/>
      </c>
      <c r="Y805" s="32">
        <f>IF($X805="","",INT($X805))</f>
        <v/>
      </c>
      <c r="Z805" s="33">
        <f>IF(OR($Y805="",$D$6=""),"",IF(INDEX($A:$U,ROW(),$D$6)="",0,IF(ISNUMBER(INDEX($A:$U,ROW(),$D$6)),INDEX($A:$U,ROW(),$D$6),IFERROR(--SUBSTITUTE(SUBSTITUTE(TRIM(INDEX($A:$U,ROW(),$D$6)),",",""),"원",""),0))))</f>
        <v/>
      </c>
      <c r="AA805" s="31">
        <f>IF($Y805="","",TRIM(INDEX($A:$U,ROW(),$E$6)&amp;IF($F$6="",""," "&amp;INDEX($A:$U,ROW(),$F$6))))</f>
        <v/>
      </c>
      <c r="AB805" s="31">
        <f>IF($AA805="","",SUBSTITUTE(SUBSTITUTE(SUBSTITUTE(SUBSTITUTE(SUBSTITUTE(SUBSTITUTE(SUBSTITUTE(SUBSTITUTE(SUBSTITUTE($AA805," ",""),"　",""),"(주)",""),"（주）",""),"㈜",""),"주식회사",""),"(유)",""),"（유）",""),"유한회사",""))</f>
        <v/>
      </c>
      <c r="AC805" s="31">
        <f>IF(OR($Y805="",N($Z805)&lt;=0,$AB805=""),0,IFERROR(LOOKUP(2,1/((거래처별!$AC$8:$AC$307&lt;&gt;"")*ISNUMBER(SEARCH(거래처별!$AC$8:$AC$307,$AB805))),거래처별!$A$8:$A$307),IFERROR(LOOKUP(2,1/((거래처별!$AD$8:$AD$307&lt;&gt;"")*ISNUMBER(SEARCH(거래처별!$AD$8:$AD$307,$AB805))),거래처별!$A$8:$A$307),IFERROR(LOOKUP(2,1/((거래처별!$AE$8:$AE$307&lt;&gt;"")*ISNUMBER(SEARCH(거래처별!$AE$8:$AE$307,$AB805))),거래처별!$A$8:$A$307),0))))</f>
        <v/>
      </c>
      <c r="AD805" s="31">
        <f>IF(AND($Y805&lt;&gt;"",N($Z805)&gt;0,$AC805=0),MAX($AD$7:$AD804)+1,"")</f>
        <v/>
      </c>
      <c r="AE805" s="31">
        <f>IF($Y805="",0,$Y805)</f>
        <v/>
      </c>
    </row>
    <row r="806">
      <c r="W806" s="31">
        <f>IF(OR($B$5="",$C$6="",ROW()&lt;$B$5),"",IF(INDEX($A:$U,ROW(),$C$6)="","",INDEX($A:$U,ROW(),$C$6)))</f>
        <v/>
      </c>
      <c r="X806" s="32">
        <f>IF($W806="","",IF(ISNUMBER($W806),IF($W806&gt;=10000000,IFERROR(DATE(INT($W806/10000),MOD(INT($W806/100),100),MOD($W806,100)),""),INT($W806)),IFERROR(DATE(--LEFT(LEFT(SUBSTITUTE(SUBSTITUTE(SUBSTITUTE(SUBSTITUTE(TRIM($W806),"-",""),".",""),"/","")," ",""),8),4),--MID(LEFT(SUBSTITUTE(SUBSTITUTE(SUBSTITUTE(SUBSTITUTE(TRIM($W806),"-",""),".",""),"/","")," ",""),8),5,2),--MID(LEFT(SUBSTITUTE(SUBSTITUTE(SUBSTITUTE(SUBSTITUTE(TRIM($W806),"-",""),".",""),"/","")," ",""),8),7,2)),"")))</f>
        <v/>
      </c>
      <c r="Y806" s="32">
        <f>IF($X806="","",INT($X806))</f>
        <v/>
      </c>
      <c r="Z806" s="33">
        <f>IF(OR($Y806="",$D$6=""),"",IF(INDEX($A:$U,ROW(),$D$6)="",0,IF(ISNUMBER(INDEX($A:$U,ROW(),$D$6)),INDEX($A:$U,ROW(),$D$6),IFERROR(--SUBSTITUTE(SUBSTITUTE(TRIM(INDEX($A:$U,ROW(),$D$6)),",",""),"원",""),0))))</f>
        <v/>
      </c>
      <c r="AA806" s="31">
        <f>IF($Y806="","",TRIM(INDEX($A:$U,ROW(),$E$6)&amp;IF($F$6="",""," "&amp;INDEX($A:$U,ROW(),$F$6))))</f>
        <v/>
      </c>
      <c r="AB806" s="31">
        <f>IF($AA806="","",SUBSTITUTE(SUBSTITUTE(SUBSTITUTE(SUBSTITUTE(SUBSTITUTE(SUBSTITUTE(SUBSTITUTE(SUBSTITUTE(SUBSTITUTE($AA806," ",""),"　",""),"(주)",""),"（주）",""),"㈜",""),"주식회사",""),"(유)",""),"（유）",""),"유한회사",""))</f>
        <v/>
      </c>
      <c r="AC806" s="31">
        <f>IF(OR($Y806="",N($Z806)&lt;=0,$AB806=""),0,IFERROR(LOOKUP(2,1/((거래처별!$AC$8:$AC$307&lt;&gt;"")*ISNUMBER(SEARCH(거래처별!$AC$8:$AC$307,$AB806))),거래처별!$A$8:$A$307),IFERROR(LOOKUP(2,1/((거래처별!$AD$8:$AD$307&lt;&gt;"")*ISNUMBER(SEARCH(거래처별!$AD$8:$AD$307,$AB806))),거래처별!$A$8:$A$307),IFERROR(LOOKUP(2,1/((거래처별!$AE$8:$AE$307&lt;&gt;"")*ISNUMBER(SEARCH(거래처별!$AE$8:$AE$307,$AB806))),거래처별!$A$8:$A$307),0))))</f>
        <v/>
      </c>
      <c r="AD806" s="31">
        <f>IF(AND($Y806&lt;&gt;"",N($Z806)&gt;0,$AC806=0),MAX($AD$7:$AD805)+1,"")</f>
        <v/>
      </c>
      <c r="AE806" s="31">
        <f>IF($Y806="",0,$Y806)</f>
        <v/>
      </c>
    </row>
    <row r="807">
      <c r="W807" s="31">
        <f>IF(OR($B$5="",$C$6="",ROW()&lt;$B$5),"",IF(INDEX($A:$U,ROW(),$C$6)="","",INDEX($A:$U,ROW(),$C$6)))</f>
        <v/>
      </c>
      <c r="X807" s="32">
        <f>IF($W807="","",IF(ISNUMBER($W807),IF($W807&gt;=10000000,IFERROR(DATE(INT($W807/10000),MOD(INT($W807/100),100),MOD($W807,100)),""),INT($W807)),IFERROR(DATE(--LEFT(LEFT(SUBSTITUTE(SUBSTITUTE(SUBSTITUTE(SUBSTITUTE(TRIM($W807),"-",""),".",""),"/","")," ",""),8),4),--MID(LEFT(SUBSTITUTE(SUBSTITUTE(SUBSTITUTE(SUBSTITUTE(TRIM($W807),"-",""),".",""),"/","")," ",""),8),5,2),--MID(LEFT(SUBSTITUTE(SUBSTITUTE(SUBSTITUTE(SUBSTITUTE(TRIM($W807),"-",""),".",""),"/","")," ",""),8),7,2)),"")))</f>
        <v/>
      </c>
      <c r="Y807" s="32">
        <f>IF($X807="","",INT($X807))</f>
        <v/>
      </c>
      <c r="Z807" s="33">
        <f>IF(OR($Y807="",$D$6=""),"",IF(INDEX($A:$U,ROW(),$D$6)="",0,IF(ISNUMBER(INDEX($A:$U,ROW(),$D$6)),INDEX($A:$U,ROW(),$D$6),IFERROR(--SUBSTITUTE(SUBSTITUTE(TRIM(INDEX($A:$U,ROW(),$D$6)),",",""),"원",""),0))))</f>
        <v/>
      </c>
      <c r="AA807" s="31">
        <f>IF($Y807="","",TRIM(INDEX($A:$U,ROW(),$E$6)&amp;IF($F$6="",""," "&amp;INDEX($A:$U,ROW(),$F$6))))</f>
        <v/>
      </c>
      <c r="AB807" s="31">
        <f>IF($AA807="","",SUBSTITUTE(SUBSTITUTE(SUBSTITUTE(SUBSTITUTE(SUBSTITUTE(SUBSTITUTE(SUBSTITUTE(SUBSTITUTE(SUBSTITUTE($AA807," ",""),"　",""),"(주)",""),"（주）",""),"㈜",""),"주식회사",""),"(유)",""),"（유）",""),"유한회사",""))</f>
        <v/>
      </c>
      <c r="AC807" s="31">
        <f>IF(OR($Y807="",N($Z807)&lt;=0,$AB807=""),0,IFERROR(LOOKUP(2,1/((거래처별!$AC$8:$AC$307&lt;&gt;"")*ISNUMBER(SEARCH(거래처별!$AC$8:$AC$307,$AB807))),거래처별!$A$8:$A$307),IFERROR(LOOKUP(2,1/((거래처별!$AD$8:$AD$307&lt;&gt;"")*ISNUMBER(SEARCH(거래처별!$AD$8:$AD$307,$AB807))),거래처별!$A$8:$A$307),IFERROR(LOOKUP(2,1/((거래처별!$AE$8:$AE$307&lt;&gt;"")*ISNUMBER(SEARCH(거래처별!$AE$8:$AE$307,$AB807))),거래처별!$A$8:$A$307),0))))</f>
        <v/>
      </c>
      <c r="AD807" s="31">
        <f>IF(AND($Y807&lt;&gt;"",N($Z807)&gt;0,$AC807=0),MAX($AD$7:$AD806)+1,"")</f>
        <v/>
      </c>
      <c r="AE807" s="31">
        <f>IF($Y807="",0,$Y807)</f>
        <v/>
      </c>
    </row>
    <row r="808">
      <c r="W808" s="31">
        <f>IF(OR($B$5="",$C$6="",ROW()&lt;$B$5),"",IF(INDEX($A:$U,ROW(),$C$6)="","",INDEX($A:$U,ROW(),$C$6)))</f>
        <v/>
      </c>
      <c r="X808" s="32">
        <f>IF($W808="","",IF(ISNUMBER($W808),IF($W808&gt;=10000000,IFERROR(DATE(INT($W808/10000),MOD(INT($W808/100),100),MOD($W808,100)),""),INT($W808)),IFERROR(DATE(--LEFT(LEFT(SUBSTITUTE(SUBSTITUTE(SUBSTITUTE(SUBSTITUTE(TRIM($W808),"-",""),".",""),"/","")," ",""),8),4),--MID(LEFT(SUBSTITUTE(SUBSTITUTE(SUBSTITUTE(SUBSTITUTE(TRIM($W808),"-",""),".",""),"/","")," ",""),8),5,2),--MID(LEFT(SUBSTITUTE(SUBSTITUTE(SUBSTITUTE(SUBSTITUTE(TRIM($W808),"-",""),".",""),"/","")," ",""),8),7,2)),"")))</f>
        <v/>
      </c>
      <c r="Y808" s="32">
        <f>IF($X808="","",INT($X808))</f>
        <v/>
      </c>
      <c r="Z808" s="33">
        <f>IF(OR($Y808="",$D$6=""),"",IF(INDEX($A:$U,ROW(),$D$6)="",0,IF(ISNUMBER(INDEX($A:$U,ROW(),$D$6)),INDEX($A:$U,ROW(),$D$6),IFERROR(--SUBSTITUTE(SUBSTITUTE(TRIM(INDEX($A:$U,ROW(),$D$6)),",",""),"원",""),0))))</f>
        <v/>
      </c>
      <c r="AA808" s="31">
        <f>IF($Y808="","",TRIM(INDEX($A:$U,ROW(),$E$6)&amp;IF($F$6="",""," "&amp;INDEX($A:$U,ROW(),$F$6))))</f>
        <v/>
      </c>
      <c r="AB808" s="31">
        <f>IF($AA808="","",SUBSTITUTE(SUBSTITUTE(SUBSTITUTE(SUBSTITUTE(SUBSTITUTE(SUBSTITUTE(SUBSTITUTE(SUBSTITUTE(SUBSTITUTE($AA808," ",""),"　",""),"(주)",""),"（주）",""),"㈜",""),"주식회사",""),"(유)",""),"（유）",""),"유한회사",""))</f>
        <v/>
      </c>
      <c r="AC808" s="31">
        <f>IF(OR($Y808="",N($Z808)&lt;=0,$AB808=""),0,IFERROR(LOOKUP(2,1/((거래처별!$AC$8:$AC$307&lt;&gt;"")*ISNUMBER(SEARCH(거래처별!$AC$8:$AC$307,$AB808))),거래처별!$A$8:$A$307),IFERROR(LOOKUP(2,1/((거래처별!$AD$8:$AD$307&lt;&gt;"")*ISNUMBER(SEARCH(거래처별!$AD$8:$AD$307,$AB808))),거래처별!$A$8:$A$307),IFERROR(LOOKUP(2,1/((거래처별!$AE$8:$AE$307&lt;&gt;"")*ISNUMBER(SEARCH(거래처별!$AE$8:$AE$307,$AB808))),거래처별!$A$8:$A$307),0))))</f>
        <v/>
      </c>
      <c r="AD808" s="31">
        <f>IF(AND($Y808&lt;&gt;"",N($Z808)&gt;0,$AC808=0),MAX($AD$7:$AD807)+1,"")</f>
        <v/>
      </c>
      <c r="AE808" s="31">
        <f>IF($Y808="",0,$Y808)</f>
        <v/>
      </c>
    </row>
    <row r="809">
      <c r="W809" s="31">
        <f>IF(OR($B$5="",$C$6="",ROW()&lt;$B$5),"",IF(INDEX($A:$U,ROW(),$C$6)="","",INDEX($A:$U,ROW(),$C$6)))</f>
        <v/>
      </c>
      <c r="X809" s="32">
        <f>IF($W809="","",IF(ISNUMBER($W809),IF($W809&gt;=10000000,IFERROR(DATE(INT($W809/10000),MOD(INT($W809/100),100),MOD($W809,100)),""),INT($W809)),IFERROR(DATE(--LEFT(LEFT(SUBSTITUTE(SUBSTITUTE(SUBSTITUTE(SUBSTITUTE(TRIM($W809),"-",""),".",""),"/","")," ",""),8),4),--MID(LEFT(SUBSTITUTE(SUBSTITUTE(SUBSTITUTE(SUBSTITUTE(TRIM($W809),"-",""),".",""),"/","")," ",""),8),5,2),--MID(LEFT(SUBSTITUTE(SUBSTITUTE(SUBSTITUTE(SUBSTITUTE(TRIM($W809),"-",""),".",""),"/","")," ",""),8),7,2)),"")))</f>
        <v/>
      </c>
      <c r="Y809" s="32">
        <f>IF($X809="","",INT($X809))</f>
        <v/>
      </c>
      <c r="Z809" s="33">
        <f>IF(OR($Y809="",$D$6=""),"",IF(INDEX($A:$U,ROW(),$D$6)="",0,IF(ISNUMBER(INDEX($A:$U,ROW(),$D$6)),INDEX($A:$U,ROW(),$D$6),IFERROR(--SUBSTITUTE(SUBSTITUTE(TRIM(INDEX($A:$U,ROW(),$D$6)),",",""),"원",""),0))))</f>
        <v/>
      </c>
      <c r="AA809" s="31">
        <f>IF($Y809="","",TRIM(INDEX($A:$U,ROW(),$E$6)&amp;IF($F$6="",""," "&amp;INDEX($A:$U,ROW(),$F$6))))</f>
        <v/>
      </c>
      <c r="AB809" s="31">
        <f>IF($AA809="","",SUBSTITUTE(SUBSTITUTE(SUBSTITUTE(SUBSTITUTE(SUBSTITUTE(SUBSTITUTE(SUBSTITUTE(SUBSTITUTE(SUBSTITUTE($AA809," ",""),"　",""),"(주)",""),"（주）",""),"㈜",""),"주식회사",""),"(유)",""),"（유）",""),"유한회사",""))</f>
        <v/>
      </c>
      <c r="AC809" s="31">
        <f>IF(OR($Y809="",N($Z809)&lt;=0,$AB809=""),0,IFERROR(LOOKUP(2,1/((거래처별!$AC$8:$AC$307&lt;&gt;"")*ISNUMBER(SEARCH(거래처별!$AC$8:$AC$307,$AB809))),거래처별!$A$8:$A$307),IFERROR(LOOKUP(2,1/((거래처별!$AD$8:$AD$307&lt;&gt;"")*ISNUMBER(SEARCH(거래처별!$AD$8:$AD$307,$AB809))),거래처별!$A$8:$A$307),IFERROR(LOOKUP(2,1/((거래처별!$AE$8:$AE$307&lt;&gt;"")*ISNUMBER(SEARCH(거래처별!$AE$8:$AE$307,$AB809))),거래처별!$A$8:$A$307),0))))</f>
        <v/>
      </c>
      <c r="AD809" s="31">
        <f>IF(AND($Y809&lt;&gt;"",N($Z809)&gt;0,$AC809=0),MAX($AD$7:$AD808)+1,"")</f>
        <v/>
      </c>
      <c r="AE809" s="31">
        <f>IF($Y809="",0,$Y809)</f>
        <v/>
      </c>
    </row>
    <row r="810">
      <c r="W810" s="31">
        <f>IF(OR($B$5="",$C$6="",ROW()&lt;$B$5),"",IF(INDEX($A:$U,ROW(),$C$6)="","",INDEX($A:$U,ROW(),$C$6)))</f>
        <v/>
      </c>
      <c r="X810" s="32">
        <f>IF($W810="","",IF(ISNUMBER($W810),IF($W810&gt;=10000000,IFERROR(DATE(INT($W810/10000),MOD(INT($W810/100),100),MOD($W810,100)),""),INT($W810)),IFERROR(DATE(--LEFT(LEFT(SUBSTITUTE(SUBSTITUTE(SUBSTITUTE(SUBSTITUTE(TRIM($W810),"-",""),".",""),"/","")," ",""),8),4),--MID(LEFT(SUBSTITUTE(SUBSTITUTE(SUBSTITUTE(SUBSTITUTE(TRIM($W810),"-",""),".",""),"/","")," ",""),8),5,2),--MID(LEFT(SUBSTITUTE(SUBSTITUTE(SUBSTITUTE(SUBSTITUTE(TRIM($W810),"-",""),".",""),"/","")," ",""),8),7,2)),"")))</f>
        <v/>
      </c>
      <c r="Y810" s="32">
        <f>IF($X810="","",INT($X810))</f>
        <v/>
      </c>
      <c r="Z810" s="33">
        <f>IF(OR($Y810="",$D$6=""),"",IF(INDEX($A:$U,ROW(),$D$6)="",0,IF(ISNUMBER(INDEX($A:$U,ROW(),$D$6)),INDEX($A:$U,ROW(),$D$6),IFERROR(--SUBSTITUTE(SUBSTITUTE(TRIM(INDEX($A:$U,ROW(),$D$6)),",",""),"원",""),0))))</f>
        <v/>
      </c>
      <c r="AA810" s="31">
        <f>IF($Y810="","",TRIM(INDEX($A:$U,ROW(),$E$6)&amp;IF($F$6="",""," "&amp;INDEX($A:$U,ROW(),$F$6))))</f>
        <v/>
      </c>
      <c r="AB810" s="31">
        <f>IF($AA810="","",SUBSTITUTE(SUBSTITUTE(SUBSTITUTE(SUBSTITUTE(SUBSTITUTE(SUBSTITUTE(SUBSTITUTE(SUBSTITUTE(SUBSTITUTE($AA810," ",""),"　",""),"(주)",""),"（주）",""),"㈜",""),"주식회사",""),"(유)",""),"（유）",""),"유한회사",""))</f>
        <v/>
      </c>
      <c r="AC810" s="31">
        <f>IF(OR($Y810="",N($Z810)&lt;=0,$AB810=""),0,IFERROR(LOOKUP(2,1/((거래처별!$AC$8:$AC$307&lt;&gt;"")*ISNUMBER(SEARCH(거래처별!$AC$8:$AC$307,$AB810))),거래처별!$A$8:$A$307),IFERROR(LOOKUP(2,1/((거래처별!$AD$8:$AD$307&lt;&gt;"")*ISNUMBER(SEARCH(거래처별!$AD$8:$AD$307,$AB810))),거래처별!$A$8:$A$307),IFERROR(LOOKUP(2,1/((거래처별!$AE$8:$AE$307&lt;&gt;"")*ISNUMBER(SEARCH(거래처별!$AE$8:$AE$307,$AB810))),거래처별!$A$8:$A$307),0))))</f>
        <v/>
      </c>
      <c r="AD810" s="31">
        <f>IF(AND($Y810&lt;&gt;"",N($Z810)&gt;0,$AC810=0),MAX($AD$7:$AD809)+1,"")</f>
        <v/>
      </c>
      <c r="AE810" s="31">
        <f>IF($Y810="",0,$Y810)</f>
        <v/>
      </c>
    </row>
    <row r="811">
      <c r="W811" s="31">
        <f>IF(OR($B$5="",$C$6="",ROW()&lt;$B$5),"",IF(INDEX($A:$U,ROW(),$C$6)="","",INDEX($A:$U,ROW(),$C$6)))</f>
        <v/>
      </c>
      <c r="X811" s="32">
        <f>IF($W811="","",IF(ISNUMBER($W811),IF($W811&gt;=10000000,IFERROR(DATE(INT($W811/10000),MOD(INT($W811/100),100),MOD($W811,100)),""),INT($W811)),IFERROR(DATE(--LEFT(LEFT(SUBSTITUTE(SUBSTITUTE(SUBSTITUTE(SUBSTITUTE(TRIM($W811),"-",""),".",""),"/","")," ",""),8),4),--MID(LEFT(SUBSTITUTE(SUBSTITUTE(SUBSTITUTE(SUBSTITUTE(TRIM($W811),"-",""),".",""),"/","")," ",""),8),5,2),--MID(LEFT(SUBSTITUTE(SUBSTITUTE(SUBSTITUTE(SUBSTITUTE(TRIM($W811),"-",""),".",""),"/","")," ",""),8),7,2)),"")))</f>
        <v/>
      </c>
      <c r="Y811" s="32">
        <f>IF($X811="","",INT($X811))</f>
        <v/>
      </c>
      <c r="Z811" s="33">
        <f>IF(OR($Y811="",$D$6=""),"",IF(INDEX($A:$U,ROW(),$D$6)="",0,IF(ISNUMBER(INDEX($A:$U,ROW(),$D$6)),INDEX($A:$U,ROW(),$D$6),IFERROR(--SUBSTITUTE(SUBSTITUTE(TRIM(INDEX($A:$U,ROW(),$D$6)),",",""),"원",""),0))))</f>
        <v/>
      </c>
      <c r="AA811" s="31">
        <f>IF($Y811="","",TRIM(INDEX($A:$U,ROW(),$E$6)&amp;IF($F$6="",""," "&amp;INDEX($A:$U,ROW(),$F$6))))</f>
        <v/>
      </c>
      <c r="AB811" s="31">
        <f>IF($AA811="","",SUBSTITUTE(SUBSTITUTE(SUBSTITUTE(SUBSTITUTE(SUBSTITUTE(SUBSTITUTE(SUBSTITUTE(SUBSTITUTE(SUBSTITUTE($AA811," ",""),"　",""),"(주)",""),"（주）",""),"㈜",""),"주식회사",""),"(유)",""),"（유）",""),"유한회사",""))</f>
        <v/>
      </c>
      <c r="AC811" s="31">
        <f>IF(OR($Y811="",N($Z811)&lt;=0,$AB811=""),0,IFERROR(LOOKUP(2,1/((거래처별!$AC$8:$AC$307&lt;&gt;"")*ISNUMBER(SEARCH(거래처별!$AC$8:$AC$307,$AB811))),거래처별!$A$8:$A$307),IFERROR(LOOKUP(2,1/((거래처별!$AD$8:$AD$307&lt;&gt;"")*ISNUMBER(SEARCH(거래처별!$AD$8:$AD$307,$AB811))),거래처별!$A$8:$A$307),IFERROR(LOOKUP(2,1/((거래처별!$AE$8:$AE$307&lt;&gt;"")*ISNUMBER(SEARCH(거래처별!$AE$8:$AE$307,$AB811))),거래처별!$A$8:$A$307),0))))</f>
        <v/>
      </c>
      <c r="AD811" s="31">
        <f>IF(AND($Y811&lt;&gt;"",N($Z811)&gt;0,$AC811=0),MAX($AD$7:$AD810)+1,"")</f>
        <v/>
      </c>
      <c r="AE811" s="31">
        <f>IF($Y811="",0,$Y811)</f>
        <v/>
      </c>
    </row>
    <row r="812">
      <c r="W812" s="31">
        <f>IF(OR($B$5="",$C$6="",ROW()&lt;$B$5),"",IF(INDEX($A:$U,ROW(),$C$6)="","",INDEX($A:$U,ROW(),$C$6)))</f>
        <v/>
      </c>
      <c r="X812" s="32">
        <f>IF($W812="","",IF(ISNUMBER($W812),IF($W812&gt;=10000000,IFERROR(DATE(INT($W812/10000),MOD(INT($W812/100),100),MOD($W812,100)),""),INT($W812)),IFERROR(DATE(--LEFT(LEFT(SUBSTITUTE(SUBSTITUTE(SUBSTITUTE(SUBSTITUTE(TRIM($W812),"-",""),".",""),"/","")," ",""),8),4),--MID(LEFT(SUBSTITUTE(SUBSTITUTE(SUBSTITUTE(SUBSTITUTE(TRIM($W812),"-",""),".",""),"/","")," ",""),8),5,2),--MID(LEFT(SUBSTITUTE(SUBSTITUTE(SUBSTITUTE(SUBSTITUTE(TRIM($W812),"-",""),".",""),"/","")," ",""),8),7,2)),"")))</f>
        <v/>
      </c>
      <c r="Y812" s="32">
        <f>IF($X812="","",INT($X812))</f>
        <v/>
      </c>
      <c r="Z812" s="33">
        <f>IF(OR($Y812="",$D$6=""),"",IF(INDEX($A:$U,ROW(),$D$6)="",0,IF(ISNUMBER(INDEX($A:$U,ROW(),$D$6)),INDEX($A:$U,ROW(),$D$6),IFERROR(--SUBSTITUTE(SUBSTITUTE(TRIM(INDEX($A:$U,ROW(),$D$6)),",",""),"원",""),0))))</f>
        <v/>
      </c>
      <c r="AA812" s="31">
        <f>IF($Y812="","",TRIM(INDEX($A:$U,ROW(),$E$6)&amp;IF($F$6="",""," "&amp;INDEX($A:$U,ROW(),$F$6))))</f>
        <v/>
      </c>
      <c r="AB812" s="31">
        <f>IF($AA812="","",SUBSTITUTE(SUBSTITUTE(SUBSTITUTE(SUBSTITUTE(SUBSTITUTE(SUBSTITUTE(SUBSTITUTE(SUBSTITUTE(SUBSTITUTE($AA812," ",""),"　",""),"(주)",""),"（주）",""),"㈜",""),"주식회사",""),"(유)",""),"（유）",""),"유한회사",""))</f>
        <v/>
      </c>
      <c r="AC812" s="31">
        <f>IF(OR($Y812="",N($Z812)&lt;=0,$AB812=""),0,IFERROR(LOOKUP(2,1/((거래처별!$AC$8:$AC$307&lt;&gt;"")*ISNUMBER(SEARCH(거래처별!$AC$8:$AC$307,$AB812))),거래처별!$A$8:$A$307),IFERROR(LOOKUP(2,1/((거래처별!$AD$8:$AD$307&lt;&gt;"")*ISNUMBER(SEARCH(거래처별!$AD$8:$AD$307,$AB812))),거래처별!$A$8:$A$307),IFERROR(LOOKUP(2,1/((거래처별!$AE$8:$AE$307&lt;&gt;"")*ISNUMBER(SEARCH(거래처별!$AE$8:$AE$307,$AB812))),거래처별!$A$8:$A$307),0))))</f>
        <v/>
      </c>
      <c r="AD812" s="31">
        <f>IF(AND($Y812&lt;&gt;"",N($Z812)&gt;0,$AC812=0),MAX($AD$7:$AD811)+1,"")</f>
        <v/>
      </c>
      <c r="AE812" s="31">
        <f>IF($Y812="",0,$Y812)</f>
        <v/>
      </c>
    </row>
    <row r="813">
      <c r="W813" s="31">
        <f>IF(OR($B$5="",$C$6="",ROW()&lt;$B$5),"",IF(INDEX($A:$U,ROW(),$C$6)="","",INDEX($A:$U,ROW(),$C$6)))</f>
        <v/>
      </c>
      <c r="X813" s="32">
        <f>IF($W813="","",IF(ISNUMBER($W813),IF($W813&gt;=10000000,IFERROR(DATE(INT($W813/10000),MOD(INT($W813/100),100),MOD($W813,100)),""),INT($W813)),IFERROR(DATE(--LEFT(LEFT(SUBSTITUTE(SUBSTITUTE(SUBSTITUTE(SUBSTITUTE(TRIM($W813),"-",""),".",""),"/","")," ",""),8),4),--MID(LEFT(SUBSTITUTE(SUBSTITUTE(SUBSTITUTE(SUBSTITUTE(TRIM($W813),"-",""),".",""),"/","")," ",""),8),5,2),--MID(LEFT(SUBSTITUTE(SUBSTITUTE(SUBSTITUTE(SUBSTITUTE(TRIM($W813),"-",""),".",""),"/","")," ",""),8),7,2)),"")))</f>
        <v/>
      </c>
      <c r="Y813" s="32">
        <f>IF($X813="","",INT($X813))</f>
        <v/>
      </c>
      <c r="Z813" s="33">
        <f>IF(OR($Y813="",$D$6=""),"",IF(INDEX($A:$U,ROW(),$D$6)="",0,IF(ISNUMBER(INDEX($A:$U,ROW(),$D$6)),INDEX($A:$U,ROW(),$D$6),IFERROR(--SUBSTITUTE(SUBSTITUTE(TRIM(INDEX($A:$U,ROW(),$D$6)),",",""),"원",""),0))))</f>
        <v/>
      </c>
      <c r="AA813" s="31">
        <f>IF($Y813="","",TRIM(INDEX($A:$U,ROW(),$E$6)&amp;IF($F$6="",""," "&amp;INDEX($A:$U,ROW(),$F$6))))</f>
        <v/>
      </c>
      <c r="AB813" s="31">
        <f>IF($AA813="","",SUBSTITUTE(SUBSTITUTE(SUBSTITUTE(SUBSTITUTE(SUBSTITUTE(SUBSTITUTE(SUBSTITUTE(SUBSTITUTE(SUBSTITUTE($AA813," ",""),"　",""),"(주)",""),"（주）",""),"㈜",""),"주식회사",""),"(유)",""),"（유）",""),"유한회사",""))</f>
        <v/>
      </c>
      <c r="AC813" s="31">
        <f>IF(OR($Y813="",N($Z813)&lt;=0,$AB813=""),0,IFERROR(LOOKUP(2,1/((거래처별!$AC$8:$AC$307&lt;&gt;"")*ISNUMBER(SEARCH(거래처별!$AC$8:$AC$307,$AB813))),거래처별!$A$8:$A$307),IFERROR(LOOKUP(2,1/((거래처별!$AD$8:$AD$307&lt;&gt;"")*ISNUMBER(SEARCH(거래처별!$AD$8:$AD$307,$AB813))),거래처별!$A$8:$A$307),IFERROR(LOOKUP(2,1/((거래처별!$AE$8:$AE$307&lt;&gt;"")*ISNUMBER(SEARCH(거래처별!$AE$8:$AE$307,$AB813))),거래처별!$A$8:$A$307),0))))</f>
        <v/>
      </c>
      <c r="AD813" s="31">
        <f>IF(AND($Y813&lt;&gt;"",N($Z813)&gt;0,$AC813=0),MAX($AD$7:$AD812)+1,"")</f>
        <v/>
      </c>
      <c r="AE813" s="31">
        <f>IF($Y813="",0,$Y813)</f>
        <v/>
      </c>
    </row>
    <row r="814">
      <c r="W814" s="31">
        <f>IF(OR($B$5="",$C$6="",ROW()&lt;$B$5),"",IF(INDEX($A:$U,ROW(),$C$6)="","",INDEX($A:$U,ROW(),$C$6)))</f>
        <v/>
      </c>
      <c r="X814" s="32">
        <f>IF($W814="","",IF(ISNUMBER($W814),IF($W814&gt;=10000000,IFERROR(DATE(INT($W814/10000),MOD(INT($W814/100),100),MOD($W814,100)),""),INT($W814)),IFERROR(DATE(--LEFT(LEFT(SUBSTITUTE(SUBSTITUTE(SUBSTITUTE(SUBSTITUTE(TRIM($W814),"-",""),".",""),"/","")," ",""),8),4),--MID(LEFT(SUBSTITUTE(SUBSTITUTE(SUBSTITUTE(SUBSTITUTE(TRIM($W814),"-",""),".",""),"/","")," ",""),8),5,2),--MID(LEFT(SUBSTITUTE(SUBSTITUTE(SUBSTITUTE(SUBSTITUTE(TRIM($W814),"-",""),".",""),"/","")," ",""),8),7,2)),"")))</f>
        <v/>
      </c>
      <c r="Y814" s="32">
        <f>IF($X814="","",INT($X814))</f>
        <v/>
      </c>
      <c r="Z814" s="33">
        <f>IF(OR($Y814="",$D$6=""),"",IF(INDEX($A:$U,ROW(),$D$6)="",0,IF(ISNUMBER(INDEX($A:$U,ROW(),$D$6)),INDEX($A:$U,ROW(),$D$6),IFERROR(--SUBSTITUTE(SUBSTITUTE(TRIM(INDEX($A:$U,ROW(),$D$6)),",",""),"원",""),0))))</f>
        <v/>
      </c>
      <c r="AA814" s="31">
        <f>IF($Y814="","",TRIM(INDEX($A:$U,ROW(),$E$6)&amp;IF($F$6="",""," "&amp;INDEX($A:$U,ROW(),$F$6))))</f>
        <v/>
      </c>
      <c r="AB814" s="31">
        <f>IF($AA814="","",SUBSTITUTE(SUBSTITUTE(SUBSTITUTE(SUBSTITUTE(SUBSTITUTE(SUBSTITUTE(SUBSTITUTE(SUBSTITUTE(SUBSTITUTE($AA814," ",""),"　",""),"(주)",""),"（주）",""),"㈜",""),"주식회사",""),"(유)",""),"（유）",""),"유한회사",""))</f>
        <v/>
      </c>
      <c r="AC814" s="31">
        <f>IF(OR($Y814="",N($Z814)&lt;=0,$AB814=""),0,IFERROR(LOOKUP(2,1/((거래처별!$AC$8:$AC$307&lt;&gt;"")*ISNUMBER(SEARCH(거래처별!$AC$8:$AC$307,$AB814))),거래처별!$A$8:$A$307),IFERROR(LOOKUP(2,1/((거래처별!$AD$8:$AD$307&lt;&gt;"")*ISNUMBER(SEARCH(거래처별!$AD$8:$AD$307,$AB814))),거래처별!$A$8:$A$307),IFERROR(LOOKUP(2,1/((거래처별!$AE$8:$AE$307&lt;&gt;"")*ISNUMBER(SEARCH(거래처별!$AE$8:$AE$307,$AB814))),거래처별!$A$8:$A$307),0))))</f>
        <v/>
      </c>
      <c r="AD814" s="31">
        <f>IF(AND($Y814&lt;&gt;"",N($Z814)&gt;0,$AC814=0),MAX($AD$7:$AD813)+1,"")</f>
        <v/>
      </c>
      <c r="AE814" s="31">
        <f>IF($Y814="",0,$Y814)</f>
        <v/>
      </c>
    </row>
    <row r="815">
      <c r="W815" s="31">
        <f>IF(OR($B$5="",$C$6="",ROW()&lt;$B$5),"",IF(INDEX($A:$U,ROW(),$C$6)="","",INDEX($A:$U,ROW(),$C$6)))</f>
        <v/>
      </c>
      <c r="X815" s="32">
        <f>IF($W815="","",IF(ISNUMBER($W815),IF($W815&gt;=10000000,IFERROR(DATE(INT($W815/10000),MOD(INT($W815/100),100),MOD($W815,100)),""),INT($W815)),IFERROR(DATE(--LEFT(LEFT(SUBSTITUTE(SUBSTITUTE(SUBSTITUTE(SUBSTITUTE(TRIM($W815),"-",""),".",""),"/","")," ",""),8),4),--MID(LEFT(SUBSTITUTE(SUBSTITUTE(SUBSTITUTE(SUBSTITUTE(TRIM($W815),"-",""),".",""),"/","")," ",""),8),5,2),--MID(LEFT(SUBSTITUTE(SUBSTITUTE(SUBSTITUTE(SUBSTITUTE(TRIM($W815),"-",""),".",""),"/","")," ",""),8),7,2)),"")))</f>
        <v/>
      </c>
      <c r="Y815" s="32">
        <f>IF($X815="","",INT($X815))</f>
        <v/>
      </c>
      <c r="Z815" s="33">
        <f>IF(OR($Y815="",$D$6=""),"",IF(INDEX($A:$U,ROW(),$D$6)="",0,IF(ISNUMBER(INDEX($A:$U,ROW(),$D$6)),INDEX($A:$U,ROW(),$D$6),IFERROR(--SUBSTITUTE(SUBSTITUTE(TRIM(INDEX($A:$U,ROW(),$D$6)),",",""),"원",""),0))))</f>
        <v/>
      </c>
      <c r="AA815" s="31">
        <f>IF($Y815="","",TRIM(INDEX($A:$U,ROW(),$E$6)&amp;IF($F$6="",""," "&amp;INDEX($A:$U,ROW(),$F$6))))</f>
        <v/>
      </c>
      <c r="AB815" s="31">
        <f>IF($AA815="","",SUBSTITUTE(SUBSTITUTE(SUBSTITUTE(SUBSTITUTE(SUBSTITUTE(SUBSTITUTE(SUBSTITUTE(SUBSTITUTE(SUBSTITUTE($AA815," ",""),"　",""),"(주)",""),"（주）",""),"㈜",""),"주식회사",""),"(유)",""),"（유）",""),"유한회사",""))</f>
        <v/>
      </c>
      <c r="AC815" s="31">
        <f>IF(OR($Y815="",N($Z815)&lt;=0,$AB815=""),0,IFERROR(LOOKUP(2,1/((거래처별!$AC$8:$AC$307&lt;&gt;"")*ISNUMBER(SEARCH(거래처별!$AC$8:$AC$307,$AB815))),거래처별!$A$8:$A$307),IFERROR(LOOKUP(2,1/((거래처별!$AD$8:$AD$307&lt;&gt;"")*ISNUMBER(SEARCH(거래처별!$AD$8:$AD$307,$AB815))),거래처별!$A$8:$A$307),IFERROR(LOOKUP(2,1/((거래처별!$AE$8:$AE$307&lt;&gt;"")*ISNUMBER(SEARCH(거래처별!$AE$8:$AE$307,$AB815))),거래처별!$A$8:$A$307),0))))</f>
        <v/>
      </c>
      <c r="AD815" s="31">
        <f>IF(AND($Y815&lt;&gt;"",N($Z815)&gt;0,$AC815=0),MAX($AD$7:$AD814)+1,"")</f>
        <v/>
      </c>
      <c r="AE815" s="31">
        <f>IF($Y815="",0,$Y815)</f>
        <v/>
      </c>
    </row>
    <row r="816">
      <c r="W816" s="31">
        <f>IF(OR($B$5="",$C$6="",ROW()&lt;$B$5),"",IF(INDEX($A:$U,ROW(),$C$6)="","",INDEX($A:$U,ROW(),$C$6)))</f>
        <v/>
      </c>
      <c r="X816" s="32">
        <f>IF($W816="","",IF(ISNUMBER($W816),IF($W816&gt;=10000000,IFERROR(DATE(INT($W816/10000),MOD(INT($W816/100),100),MOD($W816,100)),""),INT($W816)),IFERROR(DATE(--LEFT(LEFT(SUBSTITUTE(SUBSTITUTE(SUBSTITUTE(SUBSTITUTE(TRIM($W816),"-",""),".",""),"/","")," ",""),8),4),--MID(LEFT(SUBSTITUTE(SUBSTITUTE(SUBSTITUTE(SUBSTITUTE(TRIM($W816),"-",""),".",""),"/","")," ",""),8),5,2),--MID(LEFT(SUBSTITUTE(SUBSTITUTE(SUBSTITUTE(SUBSTITUTE(TRIM($W816),"-",""),".",""),"/","")," ",""),8),7,2)),"")))</f>
        <v/>
      </c>
      <c r="Y816" s="32">
        <f>IF($X816="","",INT($X816))</f>
        <v/>
      </c>
      <c r="Z816" s="33">
        <f>IF(OR($Y816="",$D$6=""),"",IF(INDEX($A:$U,ROW(),$D$6)="",0,IF(ISNUMBER(INDEX($A:$U,ROW(),$D$6)),INDEX($A:$U,ROW(),$D$6),IFERROR(--SUBSTITUTE(SUBSTITUTE(TRIM(INDEX($A:$U,ROW(),$D$6)),",",""),"원",""),0))))</f>
        <v/>
      </c>
      <c r="AA816" s="31">
        <f>IF($Y816="","",TRIM(INDEX($A:$U,ROW(),$E$6)&amp;IF($F$6="",""," "&amp;INDEX($A:$U,ROW(),$F$6))))</f>
        <v/>
      </c>
      <c r="AB816" s="31">
        <f>IF($AA816="","",SUBSTITUTE(SUBSTITUTE(SUBSTITUTE(SUBSTITUTE(SUBSTITUTE(SUBSTITUTE(SUBSTITUTE(SUBSTITUTE(SUBSTITUTE($AA816," ",""),"　",""),"(주)",""),"（주）",""),"㈜",""),"주식회사",""),"(유)",""),"（유）",""),"유한회사",""))</f>
        <v/>
      </c>
      <c r="AC816" s="31">
        <f>IF(OR($Y816="",N($Z816)&lt;=0,$AB816=""),0,IFERROR(LOOKUP(2,1/((거래처별!$AC$8:$AC$307&lt;&gt;"")*ISNUMBER(SEARCH(거래처별!$AC$8:$AC$307,$AB816))),거래처별!$A$8:$A$307),IFERROR(LOOKUP(2,1/((거래처별!$AD$8:$AD$307&lt;&gt;"")*ISNUMBER(SEARCH(거래처별!$AD$8:$AD$307,$AB816))),거래처별!$A$8:$A$307),IFERROR(LOOKUP(2,1/((거래처별!$AE$8:$AE$307&lt;&gt;"")*ISNUMBER(SEARCH(거래처별!$AE$8:$AE$307,$AB816))),거래처별!$A$8:$A$307),0))))</f>
        <v/>
      </c>
      <c r="AD816" s="31">
        <f>IF(AND($Y816&lt;&gt;"",N($Z816)&gt;0,$AC816=0),MAX($AD$7:$AD815)+1,"")</f>
        <v/>
      </c>
      <c r="AE816" s="31">
        <f>IF($Y816="",0,$Y816)</f>
        <v/>
      </c>
    </row>
    <row r="817">
      <c r="W817" s="31">
        <f>IF(OR($B$5="",$C$6="",ROW()&lt;$B$5),"",IF(INDEX($A:$U,ROW(),$C$6)="","",INDEX($A:$U,ROW(),$C$6)))</f>
        <v/>
      </c>
      <c r="X817" s="32">
        <f>IF($W817="","",IF(ISNUMBER($W817),IF($W817&gt;=10000000,IFERROR(DATE(INT($W817/10000),MOD(INT($W817/100),100),MOD($W817,100)),""),INT($W817)),IFERROR(DATE(--LEFT(LEFT(SUBSTITUTE(SUBSTITUTE(SUBSTITUTE(SUBSTITUTE(TRIM($W817),"-",""),".",""),"/","")," ",""),8),4),--MID(LEFT(SUBSTITUTE(SUBSTITUTE(SUBSTITUTE(SUBSTITUTE(TRIM($W817),"-",""),".",""),"/","")," ",""),8),5,2),--MID(LEFT(SUBSTITUTE(SUBSTITUTE(SUBSTITUTE(SUBSTITUTE(TRIM($W817),"-",""),".",""),"/","")," ",""),8),7,2)),"")))</f>
        <v/>
      </c>
      <c r="Y817" s="32">
        <f>IF($X817="","",INT($X817))</f>
        <v/>
      </c>
      <c r="Z817" s="33">
        <f>IF(OR($Y817="",$D$6=""),"",IF(INDEX($A:$U,ROW(),$D$6)="",0,IF(ISNUMBER(INDEX($A:$U,ROW(),$D$6)),INDEX($A:$U,ROW(),$D$6),IFERROR(--SUBSTITUTE(SUBSTITUTE(TRIM(INDEX($A:$U,ROW(),$D$6)),",",""),"원",""),0))))</f>
        <v/>
      </c>
      <c r="AA817" s="31">
        <f>IF($Y817="","",TRIM(INDEX($A:$U,ROW(),$E$6)&amp;IF($F$6="",""," "&amp;INDEX($A:$U,ROW(),$F$6))))</f>
        <v/>
      </c>
      <c r="AB817" s="31">
        <f>IF($AA817="","",SUBSTITUTE(SUBSTITUTE(SUBSTITUTE(SUBSTITUTE(SUBSTITUTE(SUBSTITUTE(SUBSTITUTE(SUBSTITUTE(SUBSTITUTE($AA817," ",""),"　",""),"(주)",""),"（주）",""),"㈜",""),"주식회사",""),"(유)",""),"（유）",""),"유한회사",""))</f>
        <v/>
      </c>
      <c r="AC817" s="31">
        <f>IF(OR($Y817="",N($Z817)&lt;=0,$AB817=""),0,IFERROR(LOOKUP(2,1/((거래처별!$AC$8:$AC$307&lt;&gt;"")*ISNUMBER(SEARCH(거래처별!$AC$8:$AC$307,$AB817))),거래처별!$A$8:$A$307),IFERROR(LOOKUP(2,1/((거래처별!$AD$8:$AD$307&lt;&gt;"")*ISNUMBER(SEARCH(거래처별!$AD$8:$AD$307,$AB817))),거래처별!$A$8:$A$307),IFERROR(LOOKUP(2,1/((거래처별!$AE$8:$AE$307&lt;&gt;"")*ISNUMBER(SEARCH(거래처별!$AE$8:$AE$307,$AB817))),거래처별!$A$8:$A$307),0))))</f>
        <v/>
      </c>
      <c r="AD817" s="31">
        <f>IF(AND($Y817&lt;&gt;"",N($Z817)&gt;0,$AC817=0),MAX($AD$7:$AD816)+1,"")</f>
        <v/>
      </c>
      <c r="AE817" s="31">
        <f>IF($Y817="",0,$Y817)</f>
        <v/>
      </c>
    </row>
    <row r="818">
      <c r="W818" s="31">
        <f>IF(OR($B$5="",$C$6="",ROW()&lt;$B$5),"",IF(INDEX($A:$U,ROW(),$C$6)="","",INDEX($A:$U,ROW(),$C$6)))</f>
        <v/>
      </c>
      <c r="X818" s="32">
        <f>IF($W818="","",IF(ISNUMBER($W818),IF($W818&gt;=10000000,IFERROR(DATE(INT($W818/10000),MOD(INT($W818/100),100),MOD($W818,100)),""),INT($W818)),IFERROR(DATE(--LEFT(LEFT(SUBSTITUTE(SUBSTITUTE(SUBSTITUTE(SUBSTITUTE(TRIM($W818),"-",""),".",""),"/","")," ",""),8),4),--MID(LEFT(SUBSTITUTE(SUBSTITUTE(SUBSTITUTE(SUBSTITUTE(TRIM($W818),"-",""),".",""),"/","")," ",""),8),5,2),--MID(LEFT(SUBSTITUTE(SUBSTITUTE(SUBSTITUTE(SUBSTITUTE(TRIM($W818),"-",""),".",""),"/","")," ",""),8),7,2)),"")))</f>
        <v/>
      </c>
      <c r="Y818" s="32">
        <f>IF($X818="","",INT($X818))</f>
        <v/>
      </c>
      <c r="Z818" s="33">
        <f>IF(OR($Y818="",$D$6=""),"",IF(INDEX($A:$U,ROW(),$D$6)="",0,IF(ISNUMBER(INDEX($A:$U,ROW(),$D$6)),INDEX($A:$U,ROW(),$D$6),IFERROR(--SUBSTITUTE(SUBSTITUTE(TRIM(INDEX($A:$U,ROW(),$D$6)),",",""),"원",""),0))))</f>
        <v/>
      </c>
      <c r="AA818" s="31">
        <f>IF($Y818="","",TRIM(INDEX($A:$U,ROW(),$E$6)&amp;IF($F$6="",""," "&amp;INDEX($A:$U,ROW(),$F$6))))</f>
        <v/>
      </c>
      <c r="AB818" s="31">
        <f>IF($AA818="","",SUBSTITUTE(SUBSTITUTE(SUBSTITUTE(SUBSTITUTE(SUBSTITUTE(SUBSTITUTE(SUBSTITUTE(SUBSTITUTE(SUBSTITUTE($AA818," ",""),"　",""),"(주)",""),"（주）",""),"㈜",""),"주식회사",""),"(유)",""),"（유）",""),"유한회사",""))</f>
        <v/>
      </c>
      <c r="AC818" s="31">
        <f>IF(OR($Y818="",N($Z818)&lt;=0,$AB818=""),0,IFERROR(LOOKUP(2,1/((거래처별!$AC$8:$AC$307&lt;&gt;"")*ISNUMBER(SEARCH(거래처별!$AC$8:$AC$307,$AB818))),거래처별!$A$8:$A$307),IFERROR(LOOKUP(2,1/((거래처별!$AD$8:$AD$307&lt;&gt;"")*ISNUMBER(SEARCH(거래처별!$AD$8:$AD$307,$AB818))),거래처별!$A$8:$A$307),IFERROR(LOOKUP(2,1/((거래처별!$AE$8:$AE$307&lt;&gt;"")*ISNUMBER(SEARCH(거래처별!$AE$8:$AE$307,$AB818))),거래처별!$A$8:$A$307),0))))</f>
        <v/>
      </c>
      <c r="AD818" s="31">
        <f>IF(AND($Y818&lt;&gt;"",N($Z818)&gt;0,$AC818=0),MAX($AD$7:$AD817)+1,"")</f>
        <v/>
      </c>
      <c r="AE818" s="31">
        <f>IF($Y818="",0,$Y818)</f>
        <v/>
      </c>
    </row>
    <row r="819">
      <c r="W819" s="31">
        <f>IF(OR($B$5="",$C$6="",ROW()&lt;$B$5),"",IF(INDEX($A:$U,ROW(),$C$6)="","",INDEX($A:$U,ROW(),$C$6)))</f>
        <v/>
      </c>
      <c r="X819" s="32">
        <f>IF($W819="","",IF(ISNUMBER($W819),IF($W819&gt;=10000000,IFERROR(DATE(INT($W819/10000),MOD(INT($W819/100),100),MOD($W819,100)),""),INT($W819)),IFERROR(DATE(--LEFT(LEFT(SUBSTITUTE(SUBSTITUTE(SUBSTITUTE(SUBSTITUTE(TRIM($W819),"-",""),".",""),"/","")," ",""),8),4),--MID(LEFT(SUBSTITUTE(SUBSTITUTE(SUBSTITUTE(SUBSTITUTE(TRIM($W819),"-",""),".",""),"/","")," ",""),8),5,2),--MID(LEFT(SUBSTITUTE(SUBSTITUTE(SUBSTITUTE(SUBSTITUTE(TRIM($W819),"-",""),".",""),"/","")," ",""),8),7,2)),"")))</f>
        <v/>
      </c>
      <c r="Y819" s="32">
        <f>IF($X819="","",INT($X819))</f>
        <v/>
      </c>
      <c r="Z819" s="33">
        <f>IF(OR($Y819="",$D$6=""),"",IF(INDEX($A:$U,ROW(),$D$6)="",0,IF(ISNUMBER(INDEX($A:$U,ROW(),$D$6)),INDEX($A:$U,ROW(),$D$6),IFERROR(--SUBSTITUTE(SUBSTITUTE(TRIM(INDEX($A:$U,ROW(),$D$6)),",",""),"원",""),0))))</f>
        <v/>
      </c>
      <c r="AA819" s="31">
        <f>IF($Y819="","",TRIM(INDEX($A:$U,ROW(),$E$6)&amp;IF($F$6="",""," "&amp;INDEX($A:$U,ROW(),$F$6))))</f>
        <v/>
      </c>
      <c r="AB819" s="31">
        <f>IF($AA819="","",SUBSTITUTE(SUBSTITUTE(SUBSTITUTE(SUBSTITUTE(SUBSTITUTE(SUBSTITUTE(SUBSTITUTE(SUBSTITUTE(SUBSTITUTE($AA819," ",""),"　",""),"(주)",""),"（주）",""),"㈜",""),"주식회사",""),"(유)",""),"（유）",""),"유한회사",""))</f>
        <v/>
      </c>
      <c r="AC819" s="31">
        <f>IF(OR($Y819="",N($Z819)&lt;=0,$AB819=""),0,IFERROR(LOOKUP(2,1/((거래처별!$AC$8:$AC$307&lt;&gt;"")*ISNUMBER(SEARCH(거래처별!$AC$8:$AC$307,$AB819))),거래처별!$A$8:$A$307),IFERROR(LOOKUP(2,1/((거래처별!$AD$8:$AD$307&lt;&gt;"")*ISNUMBER(SEARCH(거래처별!$AD$8:$AD$307,$AB819))),거래처별!$A$8:$A$307),IFERROR(LOOKUP(2,1/((거래처별!$AE$8:$AE$307&lt;&gt;"")*ISNUMBER(SEARCH(거래처별!$AE$8:$AE$307,$AB819))),거래처별!$A$8:$A$307),0))))</f>
        <v/>
      </c>
      <c r="AD819" s="31">
        <f>IF(AND($Y819&lt;&gt;"",N($Z819)&gt;0,$AC819=0),MAX($AD$7:$AD818)+1,"")</f>
        <v/>
      </c>
      <c r="AE819" s="31">
        <f>IF($Y819="",0,$Y819)</f>
        <v/>
      </c>
    </row>
    <row r="820">
      <c r="W820" s="31">
        <f>IF(OR($B$5="",$C$6="",ROW()&lt;$B$5),"",IF(INDEX($A:$U,ROW(),$C$6)="","",INDEX($A:$U,ROW(),$C$6)))</f>
        <v/>
      </c>
      <c r="X820" s="32">
        <f>IF($W820="","",IF(ISNUMBER($W820),IF($W820&gt;=10000000,IFERROR(DATE(INT($W820/10000),MOD(INT($W820/100),100),MOD($W820,100)),""),INT($W820)),IFERROR(DATE(--LEFT(LEFT(SUBSTITUTE(SUBSTITUTE(SUBSTITUTE(SUBSTITUTE(TRIM($W820),"-",""),".",""),"/","")," ",""),8),4),--MID(LEFT(SUBSTITUTE(SUBSTITUTE(SUBSTITUTE(SUBSTITUTE(TRIM($W820),"-",""),".",""),"/","")," ",""),8),5,2),--MID(LEFT(SUBSTITUTE(SUBSTITUTE(SUBSTITUTE(SUBSTITUTE(TRIM($W820),"-",""),".",""),"/","")," ",""),8),7,2)),"")))</f>
        <v/>
      </c>
      <c r="Y820" s="32">
        <f>IF($X820="","",INT($X820))</f>
        <v/>
      </c>
      <c r="Z820" s="33">
        <f>IF(OR($Y820="",$D$6=""),"",IF(INDEX($A:$U,ROW(),$D$6)="",0,IF(ISNUMBER(INDEX($A:$U,ROW(),$D$6)),INDEX($A:$U,ROW(),$D$6),IFERROR(--SUBSTITUTE(SUBSTITUTE(TRIM(INDEX($A:$U,ROW(),$D$6)),",",""),"원",""),0))))</f>
        <v/>
      </c>
      <c r="AA820" s="31">
        <f>IF($Y820="","",TRIM(INDEX($A:$U,ROW(),$E$6)&amp;IF($F$6="",""," "&amp;INDEX($A:$U,ROW(),$F$6))))</f>
        <v/>
      </c>
      <c r="AB820" s="31">
        <f>IF($AA820="","",SUBSTITUTE(SUBSTITUTE(SUBSTITUTE(SUBSTITUTE(SUBSTITUTE(SUBSTITUTE(SUBSTITUTE(SUBSTITUTE(SUBSTITUTE($AA820," ",""),"　",""),"(주)",""),"（주）",""),"㈜",""),"주식회사",""),"(유)",""),"（유）",""),"유한회사",""))</f>
        <v/>
      </c>
      <c r="AC820" s="31">
        <f>IF(OR($Y820="",N($Z820)&lt;=0,$AB820=""),0,IFERROR(LOOKUP(2,1/((거래처별!$AC$8:$AC$307&lt;&gt;"")*ISNUMBER(SEARCH(거래처별!$AC$8:$AC$307,$AB820))),거래처별!$A$8:$A$307),IFERROR(LOOKUP(2,1/((거래처별!$AD$8:$AD$307&lt;&gt;"")*ISNUMBER(SEARCH(거래처별!$AD$8:$AD$307,$AB820))),거래처별!$A$8:$A$307),IFERROR(LOOKUP(2,1/((거래처별!$AE$8:$AE$307&lt;&gt;"")*ISNUMBER(SEARCH(거래처별!$AE$8:$AE$307,$AB820))),거래처별!$A$8:$A$307),0))))</f>
        <v/>
      </c>
      <c r="AD820" s="31">
        <f>IF(AND($Y820&lt;&gt;"",N($Z820)&gt;0,$AC820=0),MAX($AD$7:$AD819)+1,"")</f>
        <v/>
      </c>
      <c r="AE820" s="31">
        <f>IF($Y820="",0,$Y820)</f>
        <v/>
      </c>
    </row>
    <row r="821">
      <c r="W821" s="31">
        <f>IF(OR($B$5="",$C$6="",ROW()&lt;$B$5),"",IF(INDEX($A:$U,ROW(),$C$6)="","",INDEX($A:$U,ROW(),$C$6)))</f>
        <v/>
      </c>
      <c r="X821" s="32">
        <f>IF($W821="","",IF(ISNUMBER($W821),IF($W821&gt;=10000000,IFERROR(DATE(INT($W821/10000),MOD(INT($W821/100),100),MOD($W821,100)),""),INT($W821)),IFERROR(DATE(--LEFT(LEFT(SUBSTITUTE(SUBSTITUTE(SUBSTITUTE(SUBSTITUTE(TRIM($W821),"-",""),".",""),"/","")," ",""),8),4),--MID(LEFT(SUBSTITUTE(SUBSTITUTE(SUBSTITUTE(SUBSTITUTE(TRIM($W821),"-",""),".",""),"/","")," ",""),8),5,2),--MID(LEFT(SUBSTITUTE(SUBSTITUTE(SUBSTITUTE(SUBSTITUTE(TRIM($W821),"-",""),".",""),"/","")," ",""),8),7,2)),"")))</f>
        <v/>
      </c>
      <c r="Y821" s="32">
        <f>IF($X821="","",INT($X821))</f>
        <v/>
      </c>
      <c r="Z821" s="33">
        <f>IF(OR($Y821="",$D$6=""),"",IF(INDEX($A:$U,ROW(),$D$6)="",0,IF(ISNUMBER(INDEX($A:$U,ROW(),$D$6)),INDEX($A:$U,ROW(),$D$6),IFERROR(--SUBSTITUTE(SUBSTITUTE(TRIM(INDEX($A:$U,ROW(),$D$6)),",",""),"원",""),0))))</f>
        <v/>
      </c>
      <c r="AA821" s="31">
        <f>IF($Y821="","",TRIM(INDEX($A:$U,ROW(),$E$6)&amp;IF($F$6="",""," "&amp;INDEX($A:$U,ROW(),$F$6))))</f>
        <v/>
      </c>
      <c r="AB821" s="31">
        <f>IF($AA821="","",SUBSTITUTE(SUBSTITUTE(SUBSTITUTE(SUBSTITUTE(SUBSTITUTE(SUBSTITUTE(SUBSTITUTE(SUBSTITUTE(SUBSTITUTE($AA821," ",""),"　",""),"(주)",""),"（주）",""),"㈜",""),"주식회사",""),"(유)",""),"（유）",""),"유한회사",""))</f>
        <v/>
      </c>
      <c r="AC821" s="31">
        <f>IF(OR($Y821="",N($Z821)&lt;=0,$AB821=""),0,IFERROR(LOOKUP(2,1/((거래처별!$AC$8:$AC$307&lt;&gt;"")*ISNUMBER(SEARCH(거래처별!$AC$8:$AC$307,$AB821))),거래처별!$A$8:$A$307),IFERROR(LOOKUP(2,1/((거래처별!$AD$8:$AD$307&lt;&gt;"")*ISNUMBER(SEARCH(거래처별!$AD$8:$AD$307,$AB821))),거래처별!$A$8:$A$307),IFERROR(LOOKUP(2,1/((거래처별!$AE$8:$AE$307&lt;&gt;"")*ISNUMBER(SEARCH(거래처별!$AE$8:$AE$307,$AB821))),거래처별!$A$8:$A$307),0))))</f>
        <v/>
      </c>
      <c r="AD821" s="31">
        <f>IF(AND($Y821&lt;&gt;"",N($Z821)&gt;0,$AC821=0),MAX($AD$7:$AD820)+1,"")</f>
        <v/>
      </c>
      <c r="AE821" s="31">
        <f>IF($Y821="",0,$Y821)</f>
        <v/>
      </c>
    </row>
    <row r="822">
      <c r="W822" s="31">
        <f>IF(OR($B$5="",$C$6="",ROW()&lt;$B$5),"",IF(INDEX($A:$U,ROW(),$C$6)="","",INDEX($A:$U,ROW(),$C$6)))</f>
        <v/>
      </c>
      <c r="X822" s="32">
        <f>IF($W822="","",IF(ISNUMBER($W822),IF($W822&gt;=10000000,IFERROR(DATE(INT($W822/10000),MOD(INT($W822/100),100),MOD($W822,100)),""),INT($W822)),IFERROR(DATE(--LEFT(LEFT(SUBSTITUTE(SUBSTITUTE(SUBSTITUTE(SUBSTITUTE(TRIM($W822),"-",""),".",""),"/","")," ",""),8),4),--MID(LEFT(SUBSTITUTE(SUBSTITUTE(SUBSTITUTE(SUBSTITUTE(TRIM($W822),"-",""),".",""),"/","")," ",""),8),5,2),--MID(LEFT(SUBSTITUTE(SUBSTITUTE(SUBSTITUTE(SUBSTITUTE(TRIM($W822),"-",""),".",""),"/","")," ",""),8),7,2)),"")))</f>
        <v/>
      </c>
      <c r="Y822" s="32">
        <f>IF($X822="","",INT($X822))</f>
        <v/>
      </c>
      <c r="Z822" s="33">
        <f>IF(OR($Y822="",$D$6=""),"",IF(INDEX($A:$U,ROW(),$D$6)="",0,IF(ISNUMBER(INDEX($A:$U,ROW(),$D$6)),INDEX($A:$U,ROW(),$D$6),IFERROR(--SUBSTITUTE(SUBSTITUTE(TRIM(INDEX($A:$U,ROW(),$D$6)),",",""),"원",""),0))))</f>
        <v/>
      </c>
      <c r="AA822" s="31">
        <f>IF($Y822="","",TRIM(INDEX($A:$U,ROW(),$E$6)&amp;IF($F$6="",""," "&amp;INDEX($A:$U,ROW(),$F$6))))</f>
        <v/>
      </c>
      <c r="AB822" s="31">
        <f>IF($AA822="","",SUBSTITUTE(SUBSTITUTE(SUBSTITUTE(SUBSTITUTE(SUBSTITUTE(SUBSTITUTE(SUBSTITUTE(SUBSTITUTE(SUBSTITUTE($AA822," ",""),"　",""),"(주)",""),"（주）",""),"㈜",""),"주식회사",""),"(유)",""),"（유）",""),"유한회사",""))</f>
        <v/>
      </c>
      <c r="AC822" s="31">
        <f>IF(OR($Y822="",N($Z822)&lt;=0,$AB822=""),0,IFERROR(LOOKUP(2,1/((거래처별!$AC$8:$AC$307&lt;&gt;"")*ISNUMBER(SEARCH(거래처별!$AC$8:$AC$307,$AB822))),거래처별!$A$8:$A$307),IFERROR(LOOKUP(2,1/((거래처별!$AD$8:$AD$307&lt;&gt;"")*ISNUMBER(SEARCH(거래처별!$AD$8:$AD$307,$AB822))),거래처별!$A$8:$A$307),IFERROR(LOOKUP(2,1/((거래처별!$AE$8:$AE$307&lt;&gt;"")*ISNUMBER(SEARCH(거래처별!$AE$8:$AE$307,$AB822))),거래처별!$A$8:$A$307),0))))</f>
        <v/>
      </c>
      <c r="AD822" s="31">
        <f>IF(AND($Y822&lt;&gt;"",N($Z822)&gt;0,$AC822=0),MAX($AD$7:$AD821)+1,"")</f>
        <v/>
      </c>
      <c r="AE822" s="31">
        <f>IF($Y822="",0,$Y822)</f>
        <v/>
      </c>
    </row>
    <row r="823">
      <c r="W823" s="31">
        <f>IF(OR($B$5="",$C$6="",ROW()&lt;$B$5),"",IF(INDEX($A:$U,ROW(),$C$6)="","",INDEX($A:$U,ROW(),$C$6)))</f>
        <v/>
      </c>
      <c r="X823" s="32">
        <f>IF($W823="","",IF(ISNUMBER($W823),IF($W823&gt;=10000000,IFERROR(DATE(INT($W823/10000),MOD(INT($W823/100),100),MOD($W823,100)),""),INT($W823)),IFERROR(DATE(--LEFT(LEFT(SUBSTITUTE(SUBSTITUTE(SUBSTITUTE(SUBSTITUTE(TRIM($W823),"-",""),".",""),"/","")," ",""),8),4),--MID(LEFT(SUBSTITUTE(SUBSTITUTE(SUBSTITUTE(SUBSTITUTE(TRIM($W823),"-",""),".",""),"/","")," ",""),8),5,2),--MID(LEFT(SUBSTITUTE(SUBSTITUTE(SUBSTITUTE(SUBSTITUTE(TRIM($W823),"-",""),".",""),"/","")," ",""),8),7,2)),"")))</f>
        <v/>
      </c>
      <c r="Y823" s="32">
        <f>IF($X823="","",INT($X823))</f>
        <v/>
      </c>
      <c r="Z823" s="33">
        <f>IF(OR($Y823="",$D$6=""),"",IF(INDEX($A:$U,ROW(),$D$6)="",0,IF(ISNUMBER(INDEX($A:$U,ROW(),$D$6)),INDEX($A:$U,ROW(),$D$6),IFERROR(--SUBSTITUTE(SUBSTITUTE(TRIM(INDEX($A:$U,ROW(),$D$6)),",",""),"원",""),0))))</f>
        <v/>
      </c>
      <c r="AA823" s="31">
        <f>IF($Y823="","",TRIM(INDEX($A:$U,ROW(),$E$6)&amp;IF($F$6="",""," "&amp;INDEX($A:$U,ROW(),$F$6))))</f>
        <v/>
      </c>
      <c r="AB823" s="31">
        <f>IF($AA823="","",SUBSTITUTE(SUBSTITUTE(SUBSTITUTE(SUBSTITUTE(SUBSTITUTE(SUBSTITUTE(SUBSTITUTE(SUBSTITUTE(SUBSTITUTE($AA823," ",""),"　",""),"(주)",""),"（주）",""),"㈜",""),"주식회사",""),"(유)",""),"（유）",""),"유한회사",""))</f>
        <v/>
      </c>
      <c r="AC823" s="31">
        <f>IF(OR($Y823="",N($Z823)&lt;=0,$AB823=""),0,IFERROR(LOOKUP(2,1/((거래처별!$AC$8:$AC$307&lt;&gt;"")*ISNUMBER(SEARCH(거래처별!$AC$8:$AC$307,$AB823))),거래처별!$A$8:$A$307),IFERROR(LOOKUP(2,1/((거래처별!$AD$8:$AD$307&lt;&gt;"")*ISNUMBER(SEARCH(거래처별!$AD$8:$AD$307,$AB823))),거래처별!$A$8:$A$307),IFERROR(LOOKUP(2,1/((거래처별!$AE$8:$AE$307&lt;&gt;"")*ISNUMBER(SEARCH(거래처별!$AE$8:$AE$307,$AB823))),거래처별!$A$8:$A$307),0))))</f>
        <v/>
      </c>
      <c r="AD823" s="31">
        <f>IF(AND($Y823&lt;&gt;"",N($Z823)&gt;0,$AC823=0),MAX($AD$7:$AD822)+1,"")</f>
        <v/>
      </c>
      <c r="AE823" s="31">
        <f>IF($Y823="",0,$Y823)</f>
        <v/>
      </c>
    </row>
    <row r="824">
      <c r="W824" s="31">
        <f>IF(OR($B$5="",$C$6="",ROW()&lt;$B$5),"",IF(INDEX($A:$U,ROW(),$C$6)="","",INDEX($A:$U,ROW(),$C$6)))</f>
        <v/>
      </c>
      <c r="X824" s="32">
        <f>IF($W824="","",IF(ISNUMBER($W824),IF($W824&gt;=10000000,IFERROR(DATE(INT($W824/10000),MOD(INT($W824/100),100),MOD($W824,100)),""),INT($W824)),IFERROR(DATE(--LEFT(LEFT(SUBSTITUTE(SUBSTITUTE(SUBSTITUTE(SUBSTITUTE(TRIM($W824),"-",""),".",""),"/","")," ",""),8),4),--MID(LEFT(SUBSTITUTE(SUBSTITUTE(SUBSTITUTE(SUBSTITUTE(TRIM($W824),"-",""),".",""),"/","")," ",""),8),5,2),--MID(LEFT(SUBSTITUTE(SUBSTITUTE(SUBSTITUTE(SUBSTITUTE(TRIM($W824),"-",""),".",""),"/","")," ",""),8),7,2)),"")))</f>
        <v/>
      </c>
      <c r="Y824" s="32">
        <f>IF($X824="","",INT($X824))</f>
        <v/>
      </c>
      <c r="Z824" s="33">
        <f>IF(OR($Y824="",$D$6=""),"",IF(INDEX($A:$U,ROW(),$D$6)="",0,IF(ISNUMBER(INDEX($A:$U,ROW(),$D$6)),INDEX($A:$U,ROW(),$D$6),IFERROR(--SUBSTITUTE(SUBSTITUTE(TRIM(INDEX($A:$U,ROW(),$D$6)),",",""),"원",""),0))))</f>
        <v/>
      </c>
      <c r="AA824" s="31">
        <f>IF($Y824="","",TRIM(INDEX($A:$U,ROW(),$E$6)&amp;IF($F$6="",""," "&amp;INDEX($A:$U,ROW(),$F$6))))</f>
        <v/>
      </c>
      <c r="AB824" s="31">
        <f>IF($AA824="","",SUBSTITUTE(SUBSTITUTE(SUBSTITUTE(SUBSTITUTE(SUBSTITUTE(SUBSTITUTE(SUBSTITUTE(SUBSTITUTE(SUBSTITUTE($AA824," ",""),"　",""),"(주)",""),"（주）",""),"㈜",""),"주식회사",""),"(유)",""),"（유）",""),"유한회사",""))</f>
        <v/>
      </c>
      <c r="AC824" s="31">
        <f>IF(OR($Y824="",N($Z824)&lt;=0,$AB824=""),0,IFERROR(LOOKUP(2,1/((거래처별!$AC$8:$AC$307&lt;&gt;"")*ISNUMBER(SEARCH(거래처별!$AC$8:$AC$307,$AB824))),거래처별!$A$8:$A$307),IFERROR(LOOKUP(2,1/((거래처별!$AD$8:$AD$307&lt;&gt;"")*ISNUMBER(SEARCH(거래처별!$AD$8:$AD$307,$AB824))),거래처별!$A$8:$A$307),IFERROR(LOOKUP(2,1/((거래처별!$AE$8:$AE$307&lt;&gt;"")*ISNUMBER(SEARCH(거래처별!$AE$8:$AE$307,$AB824))),거래처별!$A$8:$A$307),0))))</f>
        <v/>
      </c>
      <c r="AD824" s="31">
        <f>IF(AND($Y824&lt;&gt;"",N($Z824)&gt;0,$AC824=0),MAX($AD$7:$AD823)+1,"")</f>
        <v/>
      </c>
      <c r="AE824" s="31">
        <f>IF($Y824="",0,$Y824)</f>
        <v/>
      </c>
    </row>
    <row r="825">
      <c r="W825" s="31">
        <f>IF(OR($B$5="",$C$6="",ROW()&lt;$B$5),"",IF(INDEX($A:$U,ROW(),$C$6)="","",INDEX($A:$U,ROW(),$C$6)))</f>
        <v/>
      </c>
      <c r="X825" s="32">
        <f>IF($W825="","",IF(ISNUMBER($W825),IF($W825&gt;=10000000,IFERROR(DATE(INT($W825/10000),MOD(INT($W825/100),100),MOD($W825,100)),""),INT($W825)),IFERROR(DATE(--LEFT(LEFT(SUBSTITUTE(SUBSTITUTE(SUBSTITUTE(SUBSTITUTE(TRIM($W825),"-",""),".",""),"/","")," ",""),8),4),--MID(LEFT(SUBSTITUTE(SUBSTITUTE(SUBSTITUTE(SUBSTITUTE(TRIM($W825),"-",""),".",""),"/","")," ",""),8),5,2),--MID(LEFT(SUBSTITUTE(SUBSTITUTE(SUBSTITUTE(SUBSTITUTE(TRIM($W825),"-",""),".",""),"/","")," ",""),8),7,2)),"")))</f>
        <v/>
      </c>
      <c r="Y825" s="32">
        <f>IF($X825="","",INT($X825))</f>
        <v/>
      </c>
      <c r="Z825" s="33">
        <f>IF(OR($Y825="",$D$6=""),"",IF(INDEX($A:$U,ROW(),$D$6)="",0,IF(ISNUMBER(INDEX($A:$U,ROW(),$D$6)),INDEX($A:$U,ROW(),$D$6),IFERROR(--SUBSTITUTE(SUBSTITUTE(TRIM(INDEX($A:$U,ROW(),$D$6)),",",""),"원",""),0))))</f>
        <v/>
      </c>
      <c r="AA825" s="31">
        <f>IF($Y825="","",TRIM(INDEX($A:$U,ROW(),$E$6)&amp;IF($F$6="",""," "&amp;INDEX($A:$U,ROW(),$F$6))))</f>
        <v/>
      </c>
      <c r="AB825" s="31">
        <f>IF($AA825="","",SUBSTITUTE(SUBSTITUTE(SUBSTITUTE(SUBSTITUTE(SUBSTITUTE(SUBSTITUTE(SUBSTITUTE(SUBSTITUTE(SUBSTITUTE($AA825," ",""),"　",""),"(주)",""),"（주）",""),"㈜",""),"주식회사",""),"(유)",""),"（유）",""),"유한회사",""))</f>
        <v/>
      </c>
      <c r="AC825" s="31">
        <f>IF(OR($Y825="",N($Z825)&lt;=0,$AB825=""),0,IFERROR(LOOKUP(2,1/((거래처별!$AC$8:$AC$307&lt;&gt;"")*ISNUMBER(SEARCH(거래처별!$AC$8:$AC$307,$AB825))),거래처별!$A$8:$A$307),IFERROR(LOOKUP(2,1/((거래처별!$AD$8:$AD$307&lt;&gt;"")*ISNUMBER(SEARCH(거래처별!$AD$8:$AD$307,$AB825))),거래처별!$A$8:$A$307),IFERROR(LOOKUP(2,1/((거래처별!$AE$8:$AE$307&lt;&gt;"")*ISNUMBER(SEARCH(거래처별!$AE$8:$AE$307,$AB825))),거래처별!$A$8:$A$307),0))))</f>
        <v/>
      </c>
      <c r="AD825" s="31">
        <f>IF(AND($Y825&lt;&gt;"",N($Z825)&gt;0,$AC825=0),MAX($AD$7:$AD824)+1,"")</f>
        <v/>
      </c>
      <c r="AE825" s="31">
        <f>IF($Y825="",0,$Y825)</f>
        <v/>
      </c>
    </row>
    <row r="826">
      <c r="W826" s="31">
        <f>IF(OR($B$5="",$C$6="",ROW()&lt;$B$5),"",IF(INDEX($A:$U,ROW(),$C$6)="","",INDEX($A:$U,ROW(),$C$6)))</f>
        <v/>
      </c>
      <c r="X826" s="32">
        <f>IF($W826="","",IF(ISNUMBER($W826),IF($W826&gt;=10000000,IFERROR(DATE(INT($W826/10000),MOD(INT($W826/100),100),MOD($W826,100)),""),INT($W826)),IFERROR(DATE(--LEFT(LEFT(SUBSTITUTE(SUBSTITUTE(SUBSTITUTE(SUBSTITUTE(TRIM($W826),"-",""),".",""),"/","")," ",""),8),4),--MID(LEFT(SUBSTITUTE(SUBSTITUTE(SUBSTITUTE(SUBSTITUTE(TRIM($W826),"-",""),".",""),"/","")," ",""),8),5,2),--MID(LEFT(SUBSTITUTE(SUBSTITUTE(SUBSTITUTE(SUBSTITUTE(TRIM($W826),"-",""),".",""),"/","")," ",""),8),7,2)),"")))</f>
        <v/>
      </c>
      <c r="Y826" s="32">
        <f>IF($X826="","",INT($X826))</f>
        <v/>
      </c>
      <c r="Z826" s="33">
        <f>IF(OR($Y826="",$D$6=""),"",IF(INDEX($A:$U,ROW(),$D$6)="",0,IF(ISNUMBER(INDEX($A:$U,ROW(),$D$6)),INDEX($A:$U,ROW(),$D$6),IFERROR(--SUBSTITUTE(SUBSTITUTE(TRIM(INDEX($A:$U,ROW(),$D$6)),",",""),"원",""),0))))</f>
        <v/>
      </c>
      <c r="AA826" s="31">
        <f>IF($Y826="","",TRIM(INDEX($A:$U,ROW(),$E$6)&amp;IF($F$6="",""," "&amp;INDEX($A:$U,ROW(),$F$6))))</f>
        <v/>
      </c>
      <c r="AB826" s="31">
        <f>IF($AA826="","",SUBSTITUTE(SUBSTITUTE(SUBSTITUTE(SUBSTITUTE(SUBSTITUTE(SUBSTITUTE(SUBSTITUTE(SUBSTITUTE(SUBSTITUTE($AA826," ",""),"　",""),"(주)",""),"（주）",""),"㈜",""),"주식회사",""),"(유)",""),"（유）",""),"유한회사",""))</f>
        <v/>
      </c>
      <c r="AC826" s="31">
        <f>IF(OR($Y826="",N($Z826)&lt;=0,$AB826=""),0,IFERROR(LOOKUP(2,1/((거래처별!$AC$8:$AC$307&lt;&gt;"")*ISNUMBER(SEARCH(거래처별!$AC$8:$AC$307,$AB826))),거래처별!$A$8:$A$307),IFERROR(LOOKUP(2,1/((거래처별!$AD$8:$AD$307&lt;&gt;"")*ISNUMBER(SEARCH(거래처별!$AD$8:$AD$307,$AB826))),거래처별!$A$8:$A$307),IFERROR(LOOKUP(2,1/((거래처별!$AE$8:$AE$307&lt;&gt;"")*ISNUMBER(SEARCH(거래처별!$AE$8:$AE$307,$AB826))),거래처별!$A$8:$A$307),0))))</f>
        <v/>
      </c>
      <c r="AD826" s="31">
        <f>IF(AND($Y826&lt;&gt;"",N($Z826)&gt;0,$AC826=0),MAX($AD$7:$AD825)+1,"")</f>
        <v/>
      </c>
      <c r="AE826" s="31">
        <f>IF($Y826="",0,$Y826)</f>
        <v/>
      </c>
    </row>
    <row r="827">
      <c r="W827" s="31">
        <f>IF(OR($B$5="",$C$6="",ROW()&lt;$B$5),"",IF(INDEX($A:$U,ROW(),$C$6)="","",INDEX($A:$U,ROW(),$C$6)))</f>
        <v/>
      </c>
      <c r="X827" s="32">
        <f>IF($W827="","",IF(ISNUMBER($W827),IF($W827&gt;=10000000,IFERROR(DATE(INT($W827/10000),MOD(INT($W827/100),100),MOD($W827,100)),""),INT($W827)),IFERROR(DATE(--LEFT(LEFT(SUBSTITUTE(SUBSTITUTE(SUBSTITUTE(SUBSTITUTE(TRIM($W827),"-",""),".",""),"/","")," ",""),8),4),--MID(LEFT(SUBSTITUTE(SUBSTITUTE(SUBSTITUTE(SUBSTITUTE(TRIM($W827),"-",""),".",""),"/","")," ",""),8),5,2),--MID(LEFT(SUBSTITUTE(SUBSTITUTE(SUBSTITUTE(SUBSTITUTE(TRIM($W827),"-",""),".",""),"/","")," ",""),8),7,2)),"")))</f>
        <v/>
      </c>
      <c r="Y827" s="32">
        <f>IF($X827="","",INT($X827))</f>
        <v/>
      </c>
      <c r="Z827" s="33">
        <f>IF(OR($Y827="",$D$6=""),"",IF(INDEX($A:$U,ROW(),$D$6)="",0,IF(ISNUMBER(INDEX($A:$U,ROW(),$D$6)),INDEX($A:$U,ROW(),$D$6),IFERROR(--SUBSTITUTE(SUBSTITUTE(TRIM(INDEX($A:$U,ROW(),$D$6)),",",""),"원",""),0))))</f>
        <v/>
      </c>
      <c r="AA827" s="31">
        <f>IF($Y827="","",TRIM(INDEX($A:$U,ROW(),$E$6)&amp;IF($F$6="",""," "&amp;INDEX($A:$U,ROW(),$F$6))))</f>
        <v/>
      </c>
      <c r="AB827" s="31">
        <f>IF($AA827="","",SUBSTITUTE(SUBSTITUTE(SUBSTITUTE(SUBSTITUTE(SUBSTITUTE(SUBSTITUTE(SUBSTITUTE(SUBSTITUTE(SUBSTITUTE($AA827," ",""),"　",""),"(주)",""),"（주）",""),"㈜",""),"주식회사",""),"(유)",""),"（유）",""),"유한회사",""))</f>
        <v/>
      </c>
      <c r="AC827" s="31">
        <f>IF(OR($Y827="",N($Z827)&lt;=0,$AB827=""),0,IFERROR(LOOKUP(2,1/((거래처별!$AC$8:$AC$307&lt;&gt;"")*ISNUMBER(SEARCH(거래처별!$AC$8:$AC$307,$AB827))),거래처별!$A$8:$A$307),IFERROR(LOOKUP(2,1/((거래처별!$AD$8:$AD$307&lt;&gt;"")*ISNUMBER(SEARCH(거래처별!$AD$8:$AD$307,$AB827))),거래처별!$A$8:$A$307),IFERROR(LOOKUP(2,1/((거래처별!$AE$8:$AE$307&lt;&gt;"")*ISNUMBER(SEARCH(거래처별!$AE$8:$AE$307,$AB827))),거래처별!$A$8:$A$307),0))))</f>
        <v/>
      </c>
      <c r="AD827" s="31">
        <f>IF(AND($Y827&lt;&gt;"",N($Z827)&gt;0,$AC827=0),MAX($AD$7:$AD826)+1,"")</f>
        <v/>
      </c>
      <c r="AE827" s="31">
        <f>IF($Y827="",0,$Y827)</f>
        <v/>
      </c>
    </row>
    <row r="828">
      <c r="W828" s="31">
        <f>IF(OR($B$5="",$C$6="",ROW()&lt;$B$5),"",IF(INDEX($A:$U,ROW(),$C$6)="","",INDEX($A:$U,ROW(),$C$6)))</f>
        <v/>
      </c>
      <c r="X828" s="32">
        <f>IF($W828="","",IF(ISNUMBER($W828),IF($W828&gt;=10000000,IFERROR(DATE(INT($W828/10000),MOD(INT($W828/100),100),MOD($W828,100)),""),INT($W828)),IFERROR(DATE(--LEFT(LEFT(SUBSTITUTE(SUBSTITUTE(SUBSTITUTE(SUBSTITUTE(TRIM($W828),"-",""),".",""),"/","")," ",""),8),4),--MID(LEFT(SUBSTITUTE(SUBSTITUTE(SUBSTITUTE(SUBSTITUTE(TRIM($W828),"-",""),".",""),"/","")," ",""),8),5,2),--MID(LEFT(SUBSTITUTE(SUBSTITUTE(SUBSTITUTE(SUBSTITUTE(TRIM($W828),"-",""),".",""),"/","")," ",""),8),7,2)),"")))</f>
        <v/>
      </c>
      <c r="Y828" s="32">
        <f>IF($X828="","",INT($X828))</f>
        <v/>
      </c>
      <c r="Z828" s="33">
        <f>IF(OR($Y828="",$D$6=""),"",IF(INDEX($A:$U,ROW(),$D$6)="",0,IF(ISNUMBER(INDEX($A:$U,ROW(),$D$6)),INDEX($A:$U,ROW(),$D$6),IFERROR(--SUBSTITUTE(SUBSTITUTE(TRIM(INDEX($A:$U,ROW(),$D$6)),",",""),"원",""),0))))</f>
        <v/>
      </c>
      <c r="AA828" s="31">
        <f>IF($Y828="","",TRIM(INDEX($A:$U,ROW(),$E$6)&amp;IF($F$6="",""," "&amp;INDEX($A:$U,ROW(),$F$6))))</f>
        <v/>
      </c>
      <c r="AB828" s="31">
        <f>IF($AA828="","",SUBSTITUTE(SUBSTITUTE(SUBSTITUTE(SUBSTITUTE(SUBSTITUTE(SUBSTITUTE(SUBSTITUTE(SUBSTITUTE(SUBSTITUTE($AA828," ",""),"　",""),"(주)",""),"（주）",""),"㈜",""),"주식회사",""),"(유)",""),"（유）",""),"유한회사",""))</f>
        <v/>
      </c>
      <c r="AC828" s="31">
        <f>IF(OR($Y828="",N($Z828)&lt;=0,$AB828=""),0,IFERROR(LOOKUP(2,1/((거래처별!$AC$8:$AC$307&lt;&gt;"")*ISNUMBER(SEARCH(거래처별!$AC$8:$AC$307,$AB828))),거래처별!$A$8:$A$307),IFERROR(LOOKUP(2,1/((거래처별!$AD$8:$AD$307&lt;&gt;"")*ISNUMBER(SEARCH(거래처별!$AD$8:$AD$307,$AB828))),거래처별!$A$8:$A$307),IFERROR(LOOKUP(2,1/((거래처별!$AE$8:$AE$307&lt;&gt;"")*ISNUMBER(SEARCH(거래처별!$AE$8:$AE$307,$AB828))),거래처별!$A$8:$A$307),0))))</f>
        <v/>
      </c>
      <c r="AD828" s="31">
        <f>IF(AND($Y828&lt;&gt;"",N($Z828)&gt;0,$AC828=0),MAX($AD$7:$AD827)+1,"")</f>
        <v/>
      </c>
      <c r="AE828" s="31">
        <f>IF($Y828="",0,$Y828)</f>
        <v/>
      </c>
    </row>
    <row r="829">
      <c r="W829" s="31">
        <f>IF(OR($B$5="",$C$6="",ROW()&lt;$B$5),"",IF(INDEX($A:$U,ROW(),$C$6)="","",INDEX($A:$U,ROW(),$C$6)))</f>
        <v/>
      </c>
      <c r="X829" s="32">
        <f>IF($W829="","",IF(ISNUMBER($W829),IF($W829&gt;=10000000,IFERROR(DATE(INT($W829/10000),MOD(INT($W829/100),100),MOD($W829,100)),""),INT($W829)),IFERROR(DATE(--LEFT(LEFT(SUBSTITUTE(SUBSTITUTE(SUBSTITUTE(SUBSTITUTE(TRIM($W829),"-",""),".",""),"/","")," ",""),8),4),--MID(LEFT(SUBSTITUTE(SUBSTITUTE(SUBSTITUTE(SUBSTITUTE(TRIM($W829),"-",""),".",""),"/","")," ",""),8),5,2),--MID(LEFT(SUBSTITUTE(SUBSTITUTE(SUBSTITUTE(SUBSTITUTE(TRIM($W829),"-",""),".",""),"/","")," ",""),8),7,2)),"")))</f>
        <v/>
      </c>
      <c r="Y829" s="32">
        <f>IF($X829="","",INT($X829))</f>
        <v/>
      </c>
      <c r="Z829" s="33">
        <f>IF(OR($Y829="",$D$6=""),"",IF(INDEX($A:$U,ROW(),$D$6)="",0,IF(ISNUMBER(INDEX($A:$U,ROW(),$D$6)),INDEX($A:$U,ROW(),$D$6),IFERROR(--SUBSTITUTE(SUBSTITUTE(TRIM(INDEX($A:$U,ROW(),$D$6)),",",""),"원",""),0))))</f>
        <v/>
      </c>
      <c r="AA829" s="31">
        <f>IF($Y829="","",TRIM(INDEX($A:$U,ROW(),$E$6)&amp;IF($F$6="",""," "&amp;INDEX($A:$U,ROW(),$F$6))))</f>
        <v/>
      </c>
      <c r="AB829" s="31">
        <f>IF($AA829="","",SUBSTITUTE(SUBSTITUTE(SUBSTITUTE(SUBSTITUTE(SUBSTITUTE(SUBSTITUTE(SUBSTITUTE(SUBSTITUTE(SUBSTITUTE($AA829," ",""),"　",""),"(주)",""),"（주）",""),"㈜",""),"주식회사",""),"(유)",""),"（유）",""),"유한회사",""))</f>
        <v/>
      </c>
      <c r="AC829" s="31">
        <f>IF(OR($Y829="",N($Z829)&lt;=0,$AB829=""),0,IFERROR(LOOKUP(2,1/((거래처별!$AC$8:$AC$307&lt;&gt;"")*ISNUMBER(SEARCH(거래처별!$AC$8:$AC$307,$AB829))),거래처별!$A$8:$A$307),IFERROR(LOOKUP(2,1/((거래처별!$AD$8:$AD$307&lt;&gt;"")*ISNUMBER(SEARCH(거래처별!$AD$8:$AD$307,$AB829))),거래처별!$A$8:$A$307),IFERROR(LOOKUP(2,1/((거래처별!$AE$8:$AE$307&lt;&gt;"")*ISNUMBER(SEARCH(거래처별!$AE$8:$AE$307,$AB829))),거래처별!$A$8:$A$307),0))))</f>
        <v/>
      </c>
      <c r="AD829" s="31">
        <f>IF(AND($Y829&lt;&gt;"",N($Z829)&gt;0,$AC829=0),MAX($AD$7:$AD828)+1,"")</f>
        <v/>
      </c>
      <c r="AE829" s="31">
        <f>IF($Y829="",0,$Y829)</f>
        <v/>
      </c>
    </row>
    <row r="830">
      <c r="W830" s="31">
        <f>IF(OR($B$5="",$C$6="",ROW()&lt;$B$5),"",IF(INDEX($A:$U,ROW(),$C$6)="","",INDEX($A:$U,ROW(),$C$6)))</f>
        <v/>
      </c>
      <c r="X830" s="32">
        <f>IF($W830="","",IF(ISNUMBER($W830),IF($W830&gt;=10000000,IFERROR(DATE(INT($W830/10000),MOD(INT($W830/100),100),MOD($W830,100)),""),INT($W830)),IFERROR(DATE(--LEFT(LEFT(SUBSTITUTE(SUBSTITUTE(SUBSTITUTE(SUBSTITUTE(TRIM($W830),"-",""),".",""),"/","")," ",""),8),4),--MID(LEFT(SUBSTITUTE(SUBSTITUTE(SUBSTITUTE(SUBSTITUTE(TRIM($W830),"-",""),".",""),"/","")," ",""),8),5,2),--MID(LEFT(SUBSTITUTE(SUBSTITUTE(SUBSTITUTE(SUBSTITUTE(TRIM($W830),"-",""),".",""),"/","")," ",""),8),7,2)),"")))</f>
        <v/>
      </c>
      <c r="Y830" s="32">
        <f>IF($X830="","",INT($X830))</f>
        <v/>
      </c>
      <c r="Z830" s="33">
        <f>IF(OR($Y830="",$D$6=""),"",IF(INDEX($A:$U,ROW(),$D$6)="",0,IF(ISNUMBER(INDEX($A:$U,ROW(),$D$6)),INDEX($A:$U,ROW(),$D$6),IFERROR(--SUBSTITUTE(SUBSTITUTE(TRIM(INDEX($A:$U,ROW(),$D$6)),",",""),"원",""),0))))</f>
        <v/>
      </c>
      <c r="AA830" s="31">
        <f>IF($Y830="","",TRIM(INDEX($A:$U,ROW(),$E$6)&amp;IF($F$6="",""," "&amp;INDEX($A:$U,ROW(),$F$6))))</f>
        <v/>
      </c>
      <c r="AB830" s="31">
        <f>IF($AA830="","",SUBSTITUTE(SUBSTITUTE(SUBSTITUTE(SUBSTITUTE(SUBSTITUTE(SUBSTITUTE(SUBSTITUTE(SUBSTITUTE(SUBSTITUTE($AA830," ",""),"　",""),"(주)",""),"（주）",""),"㈜",""),"주식회사",""),"(유)",""),"（유）",""),"유한회사",""))</f>
        <v/>
      </c>
      <c r="AC830" s="31">
        <f>IF(OR($Y830="",N($Z830)&lt;=0,$AB830=""),0,IFERROR(LOOKUP(2,1/((거래처별!$AC$8:$AC$307&lt;&gt;"")*ISNUMBER(SEARCH(거래처별!$AC$8:$AC$307,$AB830))),거래처별!$A$8:$A$307),IFERROR(LOOKUP(2,1/((거래처별!$AD$8:$AD$307&lt;&gt;"")*ISNUMBER(SEARCH(거래처별!$AD$8:$AD$307,$AB830))),거래처별!$A$8:$A$307),IFERROR(LOOKUP(2,1/((거래처별!$AE$8:$AE$307&lt;&gt;"")*ISNUMBER(SEARCH(거래처별!$AE$8:$AE$307,$AB830))),거래처별!$A$8:$A$307),0))))</f>
        <v/>
      </c>
      <c r="AD830" s="31">
        <f>IF(AND($Y830&lt;&gt;"",N($Z830)&gt;0,$AC830=0),MAX($AD$7:$AD829)+1,"")</f>
        <v/>
      </c>
      <c r="AE830" s="31">
        <f>IF($Y830="",0,$Y830)</f>
        <v/>
      </c>
    </row>
    <row r="831">
      <c r="W831" s="31">
        <f>IF(OR($B$5="",$C$6="",ROW()&lt;$B$5),"",IF(INDEX($A:$U,ROW(),$C$6)="","",INDEX($A:$U,ROW(),$C$6)))</f>
        <v/>
      </c>
      <c r="X831" s="32">
        <f>IF($W831="","",IF(ISNUMBER($W831),IF($W831&gt;=10000000,IFERROR(DATE(INT($W831/10000),MOD(INT($W831/100),100),MOD($W831,100)),""),INT($W831)),IFERROR(DATE(--LEFT(LEFT(SUBSTITUTE(SUBSTITUTE(SUBSTITUTE(SUBSTITUTE(TRIM($W831),"-",""),".",""),"/","")," ",""),8),4),--MID(LEFT(SUBSTITUTE(SUBSTITUTE(SUBSTITUTE(SUBSTITUTE(TRIM($W831),"-",""),".",""),"/","")," ",""),8),5,2),--MID(LEFT(SUBSTITUTE(SUBSTITUTE(SUBSTITUTE(SUBSTITUTE(TRIM($W831),"-",""),".",""),"/","")," ",""),8),7,2)),"")))</f>
        <v/>
      </c>
      <c r="Y831" s="32">
        <f>IF($X831="","",INT($X831))</f>
        <v/>
      </c>
      <c r="Z831" s="33">
        <f>IF(OR($Y831="",$D$6=""),"",IF(INDEX($A:$U,ROW(),$D$6)="",0,IF(ISNUMBER(INDEX($A:$U,ROW(),$D$6)),INDEX($A:$U,ROW(),$D$6),IFERROR(--SUBSTITUTE(SUBSTITUTE(TRIM(INDEX($A:$U,ROW(),$D$6)),",",""),"원",""),0))))</f>
        <v/>
      </c>
      <c r="AA831" s="31">
        <f>IF($Y831="","",TRIM(INDEX($A:$U,ROW(),$E$6)&amp;IF($F$6="",""," "&amp;INDEX($A:$U,ROW(),$F$6))))</f>
        <v/>
      </c>
      <c r="AB831" s="31">
        <f>IF($AA831="","",SUBSTITUTE(SUBSTITUTE(SUBSTITUTE(SUBSTITUTE(SUBSTITUTE(SUBSTITUTE(SUBSTITUTE(SUBSTITUTE(SUBSTITUTE($AA831," ",""),"　",""),"(주)",""),"（주）",""),"㈜",""),"주식회사",""),"(유)",""),"（유）",""),"유한회사",""))</f>
        <v/>
      </c>
      <c r="AC831" s="31">
        <f>IF(OR($Y831="",N($Z831)&lt;=0,$AB831=""),0,IFERROR(LOOKUP(2,1/((거래처별!$AC$8:$AC$307&lt;&gt;"")*ISNUMBER(SEARCH(거래처별!$AC$8:$AC$307,$AB831))),거래처별!$A$8:$A$307),IFERROR(LOOKUP(2,1/((거래처별!$AD$8:$AD$307&lt;&gt;"")*ISNUMBER(SEARCH(거래처별!$AD$8:$AD$307,$AB831))),거래처별!$A$8:$A$307),IFERROR(LOOKUP(2,1/((거래처별!$AE$8:$AE$307&lt;&gt;"")*ISNUMBER(SEARCH(거래처별!$AE$8:$AE$307,$AB831))),거래처별!$A$8:$A$307),0))))</f>
        <v/>
      </c>
      <c r="AD831" s="31">
        <f>IF(AND($Y831&lt;&gt;"",N($Z831)&gt;0,$AC831=0),MAX($AD$7:$AD830)+1,"")</f>
        <v/>
      </c>
      <c r="AE831" s="31">
        <f>IF($Y831="",0,$Y831)</f>
        <v/>
      </c>
    </row>
    <row r="832">
      <c r="W832" s="31">
        <f>IF(OR($B$5="",$C$6="",ROW()&lt;$B$5),"",IF(INDEX($A:$U,ROW(),$C$6)="","",INDEX($A:$U,ROW(),$C$6)))</f>
        <v/>
      </c>
      <c r="X832" s="32">
        <f>IF($W832="","",IF(ISNUMBER($W832),IF($W832&gt;=10000000,IFERROR(DATE(INT($W832/10000),MOD(INT($W832/100),100),MOD($W832,100)),""),INT($W832)),IFERROR(DATE(--LEFT(LEFT(SUBSTITUTE(SUBSTITUTE(SUBSTITUTE(SUBSTITUTE(TRIM($W832),"-",""),".",""),"/","")," ",""),8),4),--MID(LEFT(SUBSTITUTE(SUBSTITUTE(SUBSTITUTE(SUBSTITUTE(TRIM($W832),"-",""),".",""),"/","")," ",""),8),5,2),--MID(LEFT(SUBSTITUTE(SUBSTITUTE(SUBSTITUTE(SUBSTITUTE(TRIM($W832),"-",""),".",""),"/","")," ",""),8),7,2)),"")))</f>
        <v/>
      </c>
      <c r="Y832" s="32">
        <f>IF($X832="","",INT($X832))</f>
        <v/>
      </c>
      <c r="Z832" s="33">
        <f>IF(OR($Y832="",$D$6=""),"",IF(INDEX($A:$U,ROW(),$D$6)="",0,IF(ISNUMBER(INDEX($A:$U,ROW(),$D$6)),INDEX($A:$U,ROW(),$D$6),IFERROR(--SUBSTITUTE(SUBSTITUTE(TRIM(INDEX($A:$U,ROW(),$D$6)),",",""),"원",""),0))))</f>
        <v/>
      </c>
      <c r="AA832" s="31">
        <f>IF($Y832="","",TRIM(INDEX($A:$U,ROW(),$E$6)&amp;IF($F$6="",""," "&amp;INDEX($A:$U,ROW(),$F$6))))</f>
        <v/>
      </c>
      <c r="AB832" s="31">
        <f>IF($AA832="","",SUBSTITUTE(SUBSTITUTE(SUBSTITUTE(SUBSTITUTE(SUBSTITUTE(SUBSTITUTE(SUBSTITUTE(SUBSTITUTE(SUBSTITUTE($AA832," ",""),"　",""),"(주)",""),"（주）",""),"㈜",""),"주식회사",""),"(유)",""),"（유）",""),"유한회사",""))</f>
        <v/>
      </c>
      <c r="AC832" s="31">
        <f>IF(OR($Y832="",N($Z832)&lt;=0,$AB832=""),0,IFERROR(LOOKUP(2,1/((거래처별!$AC$8:$AC$307&lt;&gt;"")*ISNUMBER(SEARCH(거래처별!$AC$8:$AC$307,$AB832))),거래처별!$A$8:$A$307),IFERROR(LOOKUP(2,1/((거래처별!$AD$8:$AD$307&lt;&gt;"")*ISNUMBER(SEARCH(거래처별!$AD$8:$AD$307,$AB832))),거래처별!$A$8:$A$307),IFERROR(LOOKUP(2,1/((거래처별!$AE$8:$AE$307&lt;&gt;"")*ISNUMBER(SEARCH(거래처별!$AE$8:$AE$307,$AB832))),거래처별!$A$8:$A$307),0))))</f>
        <v/>
      </c>
      <c r="AD832" s="31">
        <f>IF(AND($Y832&lt;&gt;"",N($Z832)&gt;0,$AC832=0),MAX($AD$7:$AD831)+1,"")</f>
        <v/>
      </c>
      <c r="AE832" s="31">
        <f>IF($Y832="",0,$Y832)</f>
        <v/>
      </c>
    </row>
    <row r="833">
      <c r="W833" s="31">
        <f>IF(OR($B$5="",$C$6="",ROW()&lt;$B$5),"",IF(INDEX($A:$U,ROW(),$C$6)="","",INDEX($A:$U,ROW(),$C$6)))</f>
        <v/>
      </c>
      <c r="X833" s="32">
        <f>IF($W833="","",IF(ISNUMBER($W833),IF($W833&gt;=10000000,IFERROR(DATE(INT($W833/10000),MOD(INT($W833/100),100),MOD($W833,100)),""),INT($W833)),IFERROR(DATE(--LEFT(LEFT(SUBSTITUTE(SUBSTITUTE(SUBSTITUTE(SUBSTITUTE(TRIM($W833),"-",""),".",""),"/","")," ",""),8),4),--MID(LEFT(SUBSTITUTE(SUBSTITUTE(SUBSTITUTE(SUBSTITUTE(TRIM($W833),"-",""),".",""),"/","")," ",""),8),5,2),--MID(LEFT(SUBSTITUTE(SUBSTITUTE(SUBSTITUTE(SUBSTITUTE(TRIM($W833),"-",""),".",""),"/","")," ",""),8),7,2)),"")))</f>
        <v/>
      </c>
      <c r="Y833" s="32">
        <f>IF($X833="","",INT($X833))</f>
        <v/>
      </c>
      <c r="Z833" s="33">
        <f>IF(OR($Y833="",$D$6=""),"",IF(INDEX($A:$U,ROW(),$D$6)="",0,IF(ISNUMBER(INDEX($A:$U,ROW(),$D$6)),INDEX($A:$U,ROW(),$D$6),IFERROR(--SUBSTITUTE(SUBSTITUTE(TRIM(INDEX($A:$U,ROW(),$D$6)),",",""),"원",""),0))))</f>
        <v/>
      </c>
      <c r="AA833" s="31">
        <f>IF($Y833="","",TRIM(INDEX($A:$U,ROW(),$E$6)&amp;IF($F$6="",""," "&amp;INDEX($A:$U,ROW(),$F$6))))</f>
        <v/>
      </c>
      <c r="AB833" s="31">
        <f>IF($AA833="","",SUBSTITUTE(SUBSTITUTE(SUBSTITUTE(SUBSTITUTE(SUBSTITUTE(SUBSTITUTE(SUBSTITUTE(SUBSTITUTE(SUBSTITUTE($AA833," ",""),"　",""),"(주)",""),"（주）",""),"㈜",""),"주식회사",""),"(유)",""),"（유）",""),"유한회사",""))</f>
        <v/>
      </c>
      <c r="AC833" s="31">
        <f>IF(OR($Y833="",N($Z833)&lt;=0,$AB833=""),0,IFERROR(LOOKUP(2,1/((거래처별!$AC$8:$AC$307&lt;&gt;"")*ISNUMBER(SEARCH(거래처별!$AC$8:$AC$307,$AB833))),거래처별!$A$8:$A$307),IFERROR(LOOKUP(2,1/((거래처별!$AD$8:$AD$307&lt;&gt;"")*ISNUMBER(SEARCH(거래처별!$AD$8:$AD$307,$AB833))),거래처별!$A$8:$A$307),IFERROR(LOOKUP(2,1/((거래처별!$AE$8:$AE$307&lt;&gt;"")*ISNUMBER(SEARCH(거래처별!$AE$8:$AE$307,$AB833))),거래처별!$A$8:$A$307),0))))</f>
        <v/>
      </c>
      <c r="AD833" s="31">
        <f>IF(AND($Y833&lt;&gt;"",N($Z833)&gt;0,$AC833=0),MAX($AD$7:$AD832)+1,"")</f>
        <v/>
      </c>
      <c r="AE833" s="31">
        <f>IF($Y833="",0,$Y833)</f>
        <v/>
      </c>
    </row>
    <row r="834">
      <c r="W834" s="31">
        <f>IF(OR($B$5="",$C$6="",ROW()&lt;$B$5),"",IF(INDEX($A:$U,ROW(),$C$6)="","",INDEX($A:$U,ROW(),$C$6)))</f>
        <v/>
      </c>
      <c r="X834" s="32">
        <f>IF($W834="","",IF(ISNUMBER($W834),IF($W834&gt;=10000000,IFERROR(DATE(INT($W834/10000),MOD(INT($W834/100),100),MOD($W834,100)),""),INT($W834)),IFERROR(DATE(--LEFT(LEFT(SUBSTITUTE(SUBSTITUTE(SUBSTITUTE(SUBSTITUTE(TRIM($W834),"-",""),".",""),"/","")," ",""),8),4),--MID(LEFT(SUBSTITUTE(SUBSTITUTE(SUBSTITUTE(SUBSTITUTE(TRIM($W834),"-",""),".",""),"/","")," ",""),8),5,2),--MID(LEFT(SUBSTITUTE(SUBSTITUTE(SUBSTITUTE(SUBSTITUTE(TRIM($W834),"-",""),".",""),"/","")," ",""),8),7,2)),"")))</f>
        <v/>
      </c>
      <c r="Y834" s="32">
        <f>IF($X834="","",INT($X834))</f>
        <v/>
      </c>
      <c r="Z834" s="33">
        <f>IF(OR($Y834="",$D$6=""),"",IF(INDEX($A:$U,ROW(),$D$6)="",0,IF(ISNUMBER(INDEX($A:$U,ROW(),$D$6)),INDEX($A:$U,ROW(),$D$6),IFERROR(--SUBSTITUTE(SUBSTITUTE(TRIM(INDEX($A:$U,ROW(),$D$6)),",",""),"원",""),0))))</f>
        <v/>
      </c>
      <c r="AA834" s="31">
        <f>IF($Y834="","",TRIM(INDEX($A:$U,ROW(),$E$6)&amp;IF($F$6="",""," "&amp;INDEX($A:$U,ROW(),$F$6))))</f>
        <v/>
      </c>
      <c r="AB834" s="31">
        <f>IF($AA834="","",SUBSTITUTE(SUBSTITUTE(SUBSTITUTE(SUBSTITUTE(SUBSTITUTE(SUBSTITUTE(SUBSTITUTE(SUBSTITUTE(SUBSTITUTE($AA834," ",""),"　",""),"(주)",""),"（주）",""),"㈜",""),"주식회사",""),"(유)",""),"（유）",""),"유한회사",""))</f>
        <v/>
      </c>
      <c r="AC834" s="31">
        <f>IF(OR($Y834="",N($Z834)&lt;=0,$AB834=""),0,IFERROR(LOOKUP(2,1/((거래처별!$AC$8:$AC$307&lt;&gt;"")*ISNUMBER(SEARCH(거래처별!$AC$8:$AC$307,$AB834))),거래처별!$A$8:$A$307),IFERROR(LOOKUP(2,1/((거래처별!$AD$8:$AD$307&lt;&gt;"")*ISNUMBER(SEARCH(거래처별!$AD$8:$AD$307,$AB834))),거래처별!$A$8:$A$307),IFERROR(LOOKUP(2,1/((거래처별!$AE$8:$AE$307&lt;&gt;"")*ISNUMBER(SEARCH(거래처별!$AE$8:$AE$307,$AB834))),거래처별!$A$8:$A$307),0))))</f>
        <v/>
      </c>
      <c r="AD834" s="31">
        <f>IF(AND($Y834&lt;&gt;"",N($Z834)&gt;0,$AC834=0),MAX($AD$7:$AD833)+1,"")</f>
        <v/>
      </c>
      <c r="AE834" s="31">
        <f>IF($Y834="",0,$Y834)</f>
        <v/>
      </c>
    </row>
    <row r="835">
      <c r="W835" s="31">
        <f>IF(OR($B$5="",$C$6="",ROW()&lt;$B$5),"",IF(INDEX($A:$U,ROW(),$C$6)="","",INDEX($A:$U,ROW(),$C$6)))</f>
        <v/>
      </c>
      <c r="X835" s="32">
        <f>IF($W835="","",IF(ISNUMBER($W835),IF($W835&gt;=10000000,IFERROR(DATE(INT($W835/10000),MOD(INT($W835/100),100),MOD($W835,100)),""),INT($W835)),IFERROR(DATE(--LEFT(LEFT(SUBSTITUTE(SUBSTITUTE(SUBSTITUTE(SUBSTITUTE(TRIM($W835),"-",""),".",""),"/","")," ",""),8),4),--MID(LEFT(SUBSTITUTE(SUBSTITUTE(SUBSTITUTE(SUBSTITUTE(TRIM($W835),"-",""),".",""),"/","")," ",""),8),5,2),--MID(LEFT(SUBSTITUTE(SUBSTITUTE(SUBSTITUTE(SUBSTITUTE(TRIM($W835),"-",""),".",""),"/","")," ",""),8),7,2)),"")))</f>
        <v/>
      </c>
      <c r="Y835" s="32">
        <f>IF($X835="","",INT($X835))</f>
        <v/>
      </c>
      <c r="Z835" s="33">
        <f>IF(OR($Y835="",$D$6=""),"",IF(INDEX($A:$U,ROW(),$D$6)="",0,IF(ISNUMBER(INDEX($A:$U,ROW(),$D$6)),INDEX($A:$U,ROW(),$D$6),IFERROR(--SUBSTITUTE(SUBSTITUTE(TRIM(INDEX($A:$U,ROW(),$D$6)),",",""),"원",""),0))))</f>
        <v/>
      </c>
      <c r="AA835" s="31">
        <f>IF($Y835="","",TRIM(INDEX($A:$U,ROW(),$E$6)&amp;IF($F$6="",""," "&amp;INDEX($A:$U,ROW(),$F$6))))</f>
        <v/>
      </c>
      <c r="AB835" s="31">
        <f>IF($AA835="","",SUBSTITUTE(SUBSTITUTE(SUBSTITUTE(SUBSTITUTE(SUBSTITUTE(SUBSTITUTE(SUBSTITUTE(SUBSTITUTE(SUBSTITUTE($AA835," ",""),"　",""),"(주)",""),"（주）",""),"㈜",""),"주식회사",""),"(유)",""),"（유）",""),"유한회사",""))</f>
        <v/>
      </c>
      <c r="AC835" s="31">
        <f>IF(OR($Y835="",N($Z835)&lt;=0,$AB835=""),0,IFERROR(LOOKUP(2,1/((거래처별!$AC$8:$AC$307&lt;&gt;"")*ISNUMBER(SEARCH(거래처별!$AC$8:$AC$307,$AB835))),거래처별!$A$8:$A$307),IFERROR(LOOKUP(2,1/((거래처별!$AD$8:$AD$307&lt;&gt;"")*ISNUMBER(SEARCH(거래처별!$AD$8:$AD$307,$AB835))),거래처별!$A$8:$A$307),IFERROR(LOOKUP(2,1/((거래처별!$AE$8:$AE$307&lt;&gt;"")*ISNUMBER(SEARCH(거래처별!$AE$8:$AE$307,$AB835))),거래처별!$A$8:$A$307),0))))</f>
        <v/>
      </c>
      <c r="AD835" s="31">
        <f>IF(AND($Y835&lt;&gt;"",N($Z835)&gt;0,$AC835=0),MAX($AD$7:$AD834)+1,"")</f>
        <v/>
      </c>
      <c r="AE835" s="31">
        <f>IF($Y835="",0,$Y835)</f>
        <v/>
      </c>
    </row>
    <row r="836">
      <c r="W836" s="31">
        <f>IF(OR($B$5="",$C$6="",ROW()&lt;$B$5),"",IF(INDEX($A:$U,ROW(),$C$6)="","",INDEX($A:$U,ROW(),$C$6)))</f>
        <v/>
      </c>
      <c r="X836" s="32">
        <f>IF($W836="","",IF(ISNUMBER($W836),IF($W836&gt;=10000000,IFERROR(DATE(INT($W836/10000),MOD(INT($W836/100),100),MOD($W836,100)),""),INT($W836)),IFERROR(DATE(--LEFT(LEFT(SUBSTITUTE(SUBSTITUTE(SUBSTITUTE(SUBSTITUTE(TRIM($W836),"-",""),".",""),"/","")," ",""),8),4),--MID(LEFT(SUBSTITUTE(SUBSTITUTE(SUBSTITUTE(SUBSTITUTE(TRIM($W836),"-",""),".",""),"/","")," ",""),8),5,2),--MID(LEFT(SUBSTITUTE(SUBSTITUTE(SUBSTITUTE(SUBSTITUTE(TRIM($W836),"-",""),".",""),"/","")," ",""),8),7,2)),"")))</f>
        <v/>
      </c>
      <c r="Y836" s="32">
        <f>IF($X836="","",INT($X836))</f>
        <v/>
      </c>
      <c r="Z836" s="33">
        <f>IF(OR($Y836="",$D$6=""),"",IF(INDEX($A:$U,ROW(),$D$6)="",0,IF(ISNUMBER(INDEX($A:$U,ROW(),$D$6)),INDEX($A:$U,ROW(),$D$6),IFERROR(--SUBSTITUTE(SUBSTITUTE(TRIM(INDEX($A:$U,ROW(),$D$6)),",",""),"원",""),0))))</f>
        <v/>
      </c>
      <c r="AA836" s="31">
        <f>IF($Y836="","",TRIM(INDEX($A:$U,ROW(),$E$6)&amp;IF($F$6="",""," "&amp;INDEX($A:$U,ROW(),$F$6))))</f>
        <v/>
      </c>
      <c r="AB836" s="31">
        <f>IF($AA836="","",SUBSTITUTE(SUBSTITUTE(SUBSTITUTE(SUBSTITUTE(SUBSTITUTE(SUBSTITUTE(SUBSTITUTE(SUBSTITUTE(SUBSTITUTE($AA836," ",""),"　",""),"(주)",""),"（주）",""),"㈜",""),"주식회사",""),"(유)",""),"（유）",""),"유한회사",""))</f>
        <v/>
      </c>
      <c r="AC836" s="31">
        <f>IF(OR($Y836="",N($Z836)&lt;=0,$AB836=""),0,IFERROR(LOOKUP(2,1/((거래처별!$AC$8:$AC$307&lt;&gt;"")*ISNUMBER(SEARCH(거래처별!$AC$8:$AC$307,$AB836))),거래처별!$A$8:$A$307),IFERROR(LOOKUP(2,1/((거래처별!$AD$8:$AD$307&lt;&gt;"")*ISNUMBER(SEARCH(거래처별!$AD$8:$AD$307,$AB836))),거래처별!$A$8:$A$307),IFERROR(LOOKUP(2,1/((거래처별!$AE$8:$AE$307&lt;&gt;"")*ISNUMBER(SEARCH(거래처별!$AE$8:$AE$307,$AB836))),거래처별!$A$8:$A$307),0))))</f>
        <v/>
      </c>
      <c r="AD836" s="31">
        <f>IF(AND($Y836&lt;&gt;"",N($Z836)&gt;0,$AC836=0),MAX($AD$7:$AD835)+1,"")</f>
        <v/>
      </c>
      <c r="AE836" s="31">
        <f>IF($Y836="",0,$Y836)</f>
        <v/>
      </c>
    </row>
    <row r="837">
      <c r="W837" s="31">
        <f>IF(OR($B$5="",$C$6="",ROW()&lt;$B$5),"",IF(INDEX($A:$U,ROW(),$C$6)="","",INDEX($A:$U,ROW(),$C$6)))</f>
        <v/>
      </c>
      <c r="X837" s="32">
        <f>IF($W837="","",IF(ISNUMBER($W837),IF($W837&gt;=10000000,IFERROR(DATE(INT($W837/10000),MOD(INT($W837/100),100),MOD($W837,100)),""),INT($W837)),IFERROR(DATE(--LEFT(LEFT(SUBSTITUTE(SUBSTITUTE(SUBSTITUTE(SUBSTITUTE(TRIM($W837),"-",""),".",""),"/","")," ",""),8),4),--MID(LEFT(SUBSTITUTE(SUBSTITUTE(SUBSTITUTE(SUBSTITUTE(TRIM($W837),"-",""),".",""),"/","")," ",""),8),5,2),--MID(LEFT(SUBSTITUTE(SUBSTITUTE(SUBSTITUTE(SUBSTITUTE(TRIM($W837),"-",""),".",""),"/","")," ",""),8),7,2)),"")))</f>
        <v/>
      </c>
      <c r="Y837" s="32">
        <f>IF($X837="","",INT($X837))</f>
        <v/>
      </c>
      <c r="Z837" s="33">
        <f>IF(OR($Y837="",$D$6=""),"",IF(INDEX($A:$U,ROW(),$D$6)="",0,IF(ISNUMBER(INDEX($A:$U,ROW(),$D$6)),INDEX($A:$U,ROW(),$D$6),IFERROR(--SUBSTITUTE(SUBSTITUTE(TRIM(INDEX($A:$U,ROW(),$D$6)),",",""),"원",""),0))))</f>
        <v/>
      </c>
      <c r="AA837" s="31">
        <f>IF($Y837="","",TRIM(INDEX($A:$U,ROW(),$E$6)&amp;IF($F$6="",""," "&amp;INDEX($A:$U,ROW(),$F$6))))</f>
        <v/>
      </c>
      <c r="AB837" s="31">
        <f>IF($AA837="","",SUBSTITUTE(SUBSTITUTE(SUBSTITUTE(SUBSTITUTE(SUBSTITUTE(SUBSTITUTE(SUBSTITUTE(SUBSTITUTE(SUBSTITUTE($AA837," ",""),"　",""),"(주)",""),"（주）",""),"㈜",""),"주식회사",""),"(유)",""),"（유）",""),"유한회사",""))</f>
        <v/>
      </c>
      <c r="AC837" s="31">
        <f>IF(OR($Y837="",N($Z837)&lt;=0,$AB837=""),0,IFERROR(LOOKUP(2,1/((거래처별!$AC$8:$AC$307&lt;&gt;"")*ISNUMBER(SEARCH(거래처별!$AC$8:$AC$307,$AB837))),거래처별!$A$8:$A$307),IFERROR(LOOKUP(2,1/((거래처별!$AD$8:$AD$307&lt;&gt;"")*ISNUMBER(SEARCH(거래처별!$AD$8:$AD$307,$AB837))),거래처별!$A$8:$A$307),IFERROR(LOOKUP(2,1/((거래처별!$AE$8:$AE$307&lt;&gt;"")*ISNUMBER(SEARCH(거래처별!$AE$8:$AE$307,$AB837))),거래처별!$A$8:$A$307),0))))</f>
        <v/>
      </c>
      <c r="AD837" s="31">
        <f>IF(AND($Y837&lt;&gt;"",N($Z837)&gt;0,$AC837=0),MAX($AD$7:$AD836)+1,"")</f>
        <v/>
      </c>
      <c r="AE837" s="31">
        <f>IF($Y837="",0,$Y837)</f>
        <v/>
      </c>
    </row>
    <row r="838">
      <c r="W838" s="31">
        <f>IF(OR($B$5="",$C$6="",ROW()&lt;$B$5),"",IF(INDEX($A:$U,ROW(),$C$6)="","",INDEX($A:$U,ROW(),$C$6)))</f>
        <v/>
      </c>
      <c r="X838" s="32">
        <f>IF($W838="","",IF(ISNUMBER($W838),IF($W838&gt;=10000000,IFERROR(DATE(INT($W838/10000),MOD(INT($W838/100),100),MOD($W838,100)),""),INT($W838)),IFERROR(DATE(--LEFT(LEFT(SUBSTITUTE(SUBSTITUTE(SUBSTITUTE(SUBSTITUTE(TRIM($W838),"-",""),".",""),"/","")," ",""),8),4),--MID(LEFT(SUBSTITUTE(SUBSTITUTE(SUBSTITUTE(SUBSTITUTE(TRIM($W838),"-",""),".",""),"/","")," ",""),8),5,2),--MID(LEFT(SUBSTITUTE(SUBSTITUTE(SUBSTITUTE(SUBSTITUTE(TRIM($W838),"-",""),".",""),"/","")," ",""),8),7,2)),"")))</f>
        <v/>
      </c>
      <c r="Y838" s="32">
        <f>IF($X838="","",INT($X838))</f>
        <v/>
      </c>
      <c r="Z838" s="33">
        <f>IF(OR($Y838="",$D$6=""),"",IF(INDEX($A:$U,ROW(),$D$6)="",0,IF(ISNUMBER(INDEX($A:$U,ROW(),$D$6)),INDEX($A:$U,ROW(),$D$6),IFERROR(--SUBSTITUTE(SUBSTITUTE(TRIM(INDEX($A:$U,ROW(),$D$6)),",",""),"원",""),0))))</f>
        <v/>
      </c>
      <c r="AA838" s="31">
        <f>IF($Y838="","",TRIM(INDEX($A:$U,ROW(),$E$6)&amp;IF($F$6="",""," "&amp;INDEX($A:$U,ROW(),$F$6))))</f>
        <v/>
      </c>
      <c r="AB838" s="31">
        <f>IF($AA838="","",SUBSTITUTE(SUBSTITUTE(SUBSTITUTE(SUBSTITUTE(SUBSTITUTE(SUBSTITUTE(SUBSTITUTE(SUBSTITUTE(SUBSTITUTE($AA838," ",""),"　",""),"(주)",""),"（주）",""),"㈜",""),"주식회사",""),"(유)",""),"（유）",""),"유한회사",""))</f>
        <v/>
      </c>
      <c r="AC838" s="31">
        <f>IF(OR($Y838="",N($Z838)&lt;=0,$AB838=""),0,IFERROR(LOOKUP(2,1/((거래처별!$AC$8:$AC$307&lt;&gt;"")*ISNUMBER(SEARCH(거래처별!$AC$8:$AC$307,$AB838))),거래처별!$A$8:$A$307),IFERROR(LOOKUP(2,1/((거래처별!$AD$8:$AD$307&lt;&gt;"")*ISNUMBER(SEARCH(거래처별!$AD$8:$AD$307,$AB838))),거래처별!$A$8:$A$307),IFERROR(LOOKUP(2,1/((거래처별!$AE$8:$AE$307&lt;&gt;"")*ISNUMBER(SEARCH(거래처별!$AE$8:$AE$307,$AB838))),거래처별!$A$8:$A$307),0))))</f>
        <v/>
      </c>
      <c r="AD838" s="31">
        <f>IF(AND($Y838&lt;&gt;"",N($Z838)&gt;0,$AC838=0),MAX($AD$7:$AD837)+1,"")</f>
        <v/>
      </c>
      <c r="AE838" s="31">
        <f>IF($Y838="",0,$Y838)</f>
        <v/>
      </c>
    </row>
    <row r="839">
      <c r="W839" s="31">
        <f>IF(OR($B$5="",$C$6="",ROW()&lt;$B$5),"",IF(INDEX($A:$U,ROW(),$C$6)="","",INDEX($A:$U,ROW(),$C$6)))</f>
        <v/>
      </c>
      <c r="X839" s="32">
        <f>IF($W839="","",IF(ISNUMBER($W839),IF($W839&gt;=10000000,IFERROR(DATE(INT($W839/10000),MOD(INT($W839/100),100),MOD($W839,100)),""),INT($W839)),IFERROR(DATE(--LEFT(LEFT(SUBSTITUTE(SUBSTITUTE(SUBSTITUTE(SUBSTITUTE(TRIM($W839),"-",""),".",""),"/","")," ",""),8),4),--MID(LEFT(SUBSTITUTE(SUBSTITUTE(SUBSTITUTE(SUBSTITUTE(TRIM($W839),"-",""),".",""),"/","")," ",""),8),5,2),--MID(LEFT(SUBSTITUTE(SUBSTITUTE(SUBSTITUTE(SUBSTITUTE(TRIM($W839),"-",""),".",""),"/","")," ",""),8),7,2)),"")))</f>
        <v/>
      </c>
      <c r="Y839" s="32">
        <f>IF($X839="","",INT($X839))</f>
        <v/>
      </c>
      <c r="Z839" s="33">
        <f>IF(OR($Y839="",$D$6=""),"",IF(INDEX($A:$U,ROW(),$D$6)="",0,IF(ISNUMBER(INDEX($A:$U,ROW(),$D$6)),INDEX($A:$U,ROW(),$D$6),IFERROR(--SUBSTITUTE(SUBSTITUTE(TRIM(INDEX($A:$U,ROW(),$D$6)),",",""),"원",""),0))))</f>
        <v/>
      </c>
      <c r="AA839" s="31">
        <f>IF($Y839="","",TRIM(INDEX($A:$U,ROW(),$E$6)&amp;IF($F$6="",""," "&amp;INDEX($A:$U,ROW(),$F$6))))</f>
        <v/>
      </c>
      <c r="AB839" s="31">
        <f>IF($AA839="","",SUBSTITUTE(SUBSTITUTE(SUBSTITUTE(SUBSTITUTE(SUBSTITUTE(SUBSTITUTE(SUBSTITUTE(SUBSTITUTE(SUBSTITUTE($AA839," ",""),"　",""),"(주)",""),"（주）",""),"㈜",""),"주식회사",""),"(유)",""),"（유）",""),"유한회사",""))</f>
        <v/>
      </c>
      <c r="AC839" s="31">
        <f>IF(OR($Y839="",N($Z839)&lt;=0,$AB839=""),0,IFERROR(LOOKUP(2,1/((거래처별!$AC$8:$AC$307&lt;&gt;"")*ISNUMBER(SEARCH(거래처별!$AC$8:$AC$307,$AB839))),거래처별!$A$8:$A$307),IFERROR(LOOKUP(2,1/((거래처별!$AD$8:$AD$307&lt;&gt;"")*ISNUMBER(SEARCH(거래처별!$AD$8:$AD$307,$AB839))),거래처별!$A$8:$A$307),IFERROR(LOOKUP(2,1/((거래처별!$AE$8:$AE$307&lt;&gt;"")*ISNUMBER(SEARCH(거래처별!$AE$8:$AE$307,$AB839))),거래처별!$A$8:$A$307),0))))</f>
        <v/>
      </c>
      <c r="AD839" s="31">
        <f>IF(AND($Y839&lt;&gt;"",N($Z839)&gt;0,$AC839=0),MAX($AD$7:$AD838)+1,"")</f>
        <v/>
      </c>
      <c r="AE839" s="31">
        <f>IF($Y839="",0,$Y839)</f>
        <v/>
      </c>
    </row>
    <row r="840">
      <c r="W840" s="31">
        <f>IF(OR($B$5="",$C$6="",ROW()&lt;$B$5),"",IF(INDEX($A:$U,ROW(),$C$6)="","",INDEX($A:$U,ROW(),$C$6)))</f>
        <v/>
      </c>
      <c r="X840" s="32">
        <f>IF($W840="","",IF(ISNUMBER($W840),IF($W840&gt;=10000000,IFERROR(DATE(INT($W840/10000),MOD(INT($W840/100),100),MOD($W840,100)),""),INT($W840)),IFERROR(DATE(--LEFT(LEFT(SUBSTITUTE(SUBSTITUTE(SUBSTITUTE(SUBSTITUTE(TRIM($W840),"-",""),".",""),"/","")," ",""),8),4),--MID(LEFT(SUBSTITUTE(SUBSTITUTE(SUBSTITUTE(SUBSTITUTE(TRIM($W840),"-",""),".",""),"/","")," ",""),8),5,2),--MID(LEFT(SUBSTITUTE(SUBSTITUTE(SUBSTITUTE(SUBSTITUTE(TRIM($W840),"-",""),".",""),"/","")," ",""),8),7,2)),"")))</f>
        <v/>
      </c>
      <c r="Y840" s="32">
        <f>IF($X840="","",INT($X840))</f>
        <v/>
      </c>
      <c r="Z840" s="33">
        <f>IF(OR($Y840="",$D$6=""),"",IF(INDEX($A:$U,ROW(),$D$6)="",0,IF(ISNUMBER(INDEX($A:$U,ROW(),$D$6)),INDEX($A:$U,ROW(),$D$6),IFERROR(--SUBSTITUTE(SUBSTITUTE(TRIM(INDEX($A:$U,ROW(),$D$6)),",",""),"원",""),0))))</f>
        <v/>
      </c>
      <c r="AA840" s="31">
        <f>IF($Y840="","",TRIM(INDEX($A:$U,ROW(),$E$6)&amp;IF($F$6="",""," "&amp;INDEX($A:$U,ROW(),$F$6))))</f>
        <v/>
      </c>
      <c r="AB840" s="31">
        <f>IF($AA840="","",SUBSTITUTE(SUBSTITUTE(SUBSTITUTE(SUBSTITUTE(SUBSTITUTE(SUBSTITUTE(SUBSTITUTE(SUBSTITUTE(SUBSTITUTE($AA840," ",""),"　",""),"(주)",""),"（주）",""),"㈜",""),"주식회사",""),"(유)",""),"（유）",""),"유한회사",""))</f>
        <v/>
      </c>
      <c r="AC840" s="31">
        <f>IF(OR($Y840="",N($Z840)&lt;=0,$AB840=""),0,IFERROR(LOOKUP(2,1/((거래처별!$AC$8:$AC$307&lt;&gt;"")*ISNUMBER(SEARCH(거래처별!$AC$8:$AC$307,$AB840))),거래처별!$A$8:$A$307),IFERROR(LOOKUP(2,1/((거래처별!$AD$8:$AD$307&lt;&gt;"")*ISNUMBER(SEARCH(거래처별!$AD$8:$AD$307,$AB840))),거래처별!$A$8:$A$307),IFERROR(LOOKUP(2,1/((거래처별!$AE$8:$AE$307&lt;&gt;"")*ISNUMBER(SEARCH(거래처별!$AE$8:$AE$307,$AB840))),거래처별!$A$8:$A$307),0))))</f>
        <v/>
      </c>
      <c r="AD840" s="31">
        <f>IF(AND($Y840&lt;&gt;"",N($Z840)&gt;0,$AC840=0),MAX($AD$7:$AD839)+1,"")</f>
        <v/>
      </c>
      <c r="AE840" s="31">
        <f>IF($Y840="",0,$Y840)</f>
        <v/>
      </c>
    </row>
    <row r="841">
      <c r="W841" s="31">
        <f>IF(OR($B$5="",$C$6="",ROW()&lt;$B$5),"",IF(INDEX($A:$U,ROW(),$C$6)="","",INDEX($A:$U,ROW(),$C$6)))</f>
        <v/>
      </c>
      <c r="X841" s="32">
        <f>IF($W841="","",IF(ISNUMBER($W841),IF($W841&gt;=10000000,IFERROR(DATE(INT($W841/10000),MOD(INT($W841/100),100),MOD($W841,100)),""),INT($W841)),IFERROR(DATE(--LEFT(LEFT(SUBSTITUTE(SUBSTITUTE(SUBSTITUTE(SUBSTITUTE(TRIM($W841),"-",""),".",""),"/","")," ",""),8),4),--MID(LEFT(SUBSTITUTE(SUBSTITUTE(SUBSTITUTE(SUBSTITUTE(TRIM($W841),"-",""),".",""),"/","")," ",""),8),5,2),--MID(LEFT(SUBSTITUTE(SUBSTITUTE(SUBSTITUTE(SUBSTITUTE(TRIM($W841),"-",""),".",""),"/","")," ",""),8),7,2)),"")))</f>
        <v/>
      </c>
      <c r="Y841" s="32">
        <f>IF($X841="","",INT($X841))</f>
        <v/>
      </c>
      <c r="Z841" s="33">
        <f>IF(OR($Y841="",$D$6=""),"",IF(INDEX($A:$U,ROW(),$D$6)="",0,IF(ISNUMBER(INDEX($A:$U,ROW(),$D$6)),INDEX($A:$U,ROW(),$D$6),IFERROR(--SUBSTITUTE(SUBSTITUTE(TRIM(INDEX($A:$U,ROW(),$D$6)),",",""),"원",""),0))))</f>
        <v/>
      </c>
      <c r="AA841" s="31">
        <f>IF($Y841="","",TRIM(INDEX($A:$U,ROW(),$E$6)&amp;IF($F$6="",""," "&amp;INDEX($A:$U,ROW(),$F$6))))</f>
        <v/>
      </c>
      <c r="AB841" s="31">
        <f>IF($AA841="","",SUBSTITUTE(SUBSTITUTE(SUBSTITUTE(SUBSTITUTE(SUBSTITUTE(SUBSTITUTE(SUBSTITUTE(SUBSTITUTE(SUBSTITUTE($AA841," ",""),"　",""),"(주)",""),"（주）",""),"㈜",""),"주식회사",""),"(유)",""),"（유）",""),"유한회사",""))</f>
        <v/>
      </c>
      <c r="AC841" s="31">
        <f>IF(OR($Y841="",N($Z841)&lt;=0,$AB841=""),0,IFERROR(LOOKUP(2,1/((거래처별!$AC$8:$AC$307&lt;&gt;"")*ISNUMBER(SEARCH(거래처별!$AC$8:$AC$307,$AB841))),거래처별!$A$8:$A$307),IFERROR(LOOKUP(2,1/((거래처별!$AD$8:$AD$307&lt;&gt;"")*ISNUMBER(SEARCH(거래처별!$AD$8:$AD$307,$AB841))),거래처별!$A$8:$A$307),IFERROR(LOOKUP(2,1/((거래처별!$AE$8:$AE$307&lt;&gt;"")*ISNUMBER(SEARCH(거래처별!$AE$8:$AE$307,$AB841))),거래처별!$A$8:$A$307),0))))</f>
        <v/>
      </c>
      <c r="AD841" s="31">
        <f>IF(AND($Y841&lt;&gt;"",N($Z841)&gt;0,$AC841=0),MAX($AD$7:$AD840)+1,"")</f>
        <v/>
      </c>
      <c r="AE841" s="31">
        <f>IF($Y841="",0,$Y841)</f>
        <v/>
      </c>
    </row>
    <row r="842">
      <c r="W842" s="31">
        <f>IF(OR($B$5="",$C$6="",ROW()&lt;$B$5),"",IF(INDEX($A:$U,ROW(),$C$6)="","",INDEX($A:$U,ROW(),$C$6)))</f>
        <v/>
      </c>
      <c r="X842" s="32">
        <f>IF($W842="","",IF(ISNUMBER($W842),IF($W842&gt;=10000000,IFERROR(DATE(INT($W842/10000),MOD(INT($W842/100),100),MOD($W842,100)),""),INT($W842)),IFERROR(DATE(--LEFT(LEFT(SUBSTITUTE(SUBSTITUTE(SUBSTITUTE(SUBSTITUTE(TRIM($W842),"-",""),".",""),"/","")," ",""),8),4),--MID(LEFT(SUBSTITUTE(SUBSTITUTE(SUBSTITUTE(SUBSTITUTE(TRIM($W842),"-",""),".",""),"/","")," ",""),8),5,2),--MID(LEFT(SUBSTITUTE(SUBSTITUTE(SUBSTITUTE(SUBSTITUTE(TRIM($W842),"-",""),".",""),"/","")," ",""),8),7,2)),"")))</f>
        <v/>
      </c>
      <c r="Y842" s="32">
        <f>IF($X842="","",INT($X842))</f>
        <v/>
      </c>
      <c r="Z842" s="33">
        <f>IF(OR($Y842="",$D$6=""),"",IF(INDEX($A:$U,ROW(),$D$6)="",0,IF(ISNUMBER(INDEX($A:$U,ROW(),$D$6)),INDEX($A:$U,ROW(),$D$6),IFERROR(--SUBSTITUTE(SUBSTITUTE(TRIM(INDEX($A:$U,ROW(),$D$6)),",",""),"원",""),0))))</f>
        <v/>
      </c>
      <c r="AA842" s="31">
        <f>IF($Y842="","",TRIM(INDEX($A:$U,ROW(),$E$6)&amp;IF($F$6="",""," "&amp;INDEX($A:$U,ROW(),$F$6))))</f>
        <v/>
      </c>
      <c r="AB842" s="31">
        <f>IF($AA842="","",SUBSTITUTE(SUBSTITUTE(SUBSTITUTE(SUBSTITUTE(SUBSTITUTE(SUBSTITUTE(SUBSTITUTE(SUBSTITUTE(SUBSTITUTE($AA842," ",""),"　",""),"(주)",""),"（주）",""),"㈜",""),"주식회사",""),"(유)",""),"（유）",""),"유한회사",""))</f>
        <v/>
      </c>
      <c r="AC842" s="31">
        <f>IF(OR($Y842="",N($Z842)&lt;=0,$AB842=""),0,IFERROR(LOOKUP(2,1/((거래처별!$AC$8:$AC$307&lt;&gt;"")*ISNUMBER(SEARCH(거래처별!$AC$8:$AC$307,$AB842))),거래처별!$A$8:$A$307),IFERROR(LOOKUP(2,1/((거래처별!$AD$8:$AD$307&lt;&gt;"")*ISNUMBER(SEARCH(거래처별!$AD$8:$AD$307,$AB842))),거래처별!$A$8:$A$307),IFERROR(LOOKUP(2,1/((거래처별!$AE$8:$AE$307&lt;&gt;"")*ISNUMBER(SEARCH(거래처별!$AE$8:$AE$307,$AB842))),거래처별!$A$8:$A$307),0))))</f>
        <v/>
      </c>
      <c r="AD842" s="31">
        <f>IF(AND($Y842&lt;&gt;"",N($Z842)&gt;0,$AC842=0),MAX($AD$7:$AD841)+1,"")</f>
        <v/>
      </c>
      <c r="AE842" s="31">
        <f>IF($Y842="",0,$Y842)</f>
        <v/>
      </c>
    </row>
    <row r="843">
      <c r="W843" s="31">
        <f>IF(OR($B$5="",$C$6="",ROW()&lt;$B$5),"",IF(INDEX($A:$U,ROW(),$C$6)="","",INDEX($A:$U,ROW(),$C$6)))</f>
        <v/>
      </c>
      <c r="X843" s="32">
        <f>IF($W843="","",IF(ISNUMBER($W843),IF($W843&gt;=10000000,IFERROR(DATE(INT($W843/10000),MOD(INT($W843/100),100),MOD($W843,100)),""),INT($W843)),IFERROR(DATE(--LEFT(LEFT(SUBSTITUTE(SUBSTITUTE(SUBSTITUTE(SUBSTITUTE(TRIM($W843),"-",""),".",""),"/","")," ",""),8),4),--MID(LEFT(SUBSTITUTE(SUBSTITUTE(SUBSTITUTE(SUBSTITUTE(TRIM($W843),"-",""),".",""),"/","")," ",""),8),5,2),--MID(LEFT(SUBSTITUTE(SUBSTITUTE(SUBSTITUTE(SUBSTITUTE(TRIM($W843),"-",""),".",""),"/","")," ",""),8),7,2)),"")))</f>
        <v/>
      </c>
      <c r="Y843" s="32">
        <f>IF($X843="","",INT($X843))</f>
        <v/>
      </c>
      <c r="Z843" s="33">
        <f>IF(OR($Y843="",$D$6=""),"",IF(INDEX($A:$U,ROW(),$D$6)="",0,IF(ISNUMBER(INDEX($A:$U,ROW(),$D$6)),INDEX($A:$U,ROW(),$D$6),IFERROR(--SUBSTITUTE(SUBSTITUTE(TRIM(INDEX($A:$U,ROW(),$D$6)),",",""),"원",""),0))))</f>
        <v/>
      </c>
      <c r="AA843" s="31">
        <f>IF($Y843="","",TRIM(INDEX($A:$U,ROW(),$E$6)&amp;IF($F$6="",""," "&amp;INDEX($A:$U,ROW(),$F$6))))</f>
        <v/>
      </c>
      <c r="AB843" s="31">
        <f>IF($AA843="","",SUBSTITUTE(SUBSTITUTE(SUBSTITUTE(SUBSTITUTE(SUBSTITUTE(SUBSTITUTE(SUBSTITUTE(SUBSTITUTE(SUBSTITUTE($AA843," ",""),"　",""),"(주)",""),"（주）",""),"㈜",""),"주식회사",""),"(유)",""),"（유）",""),"유한회사",""))</f>
        <v/>
      </c>
      <c r="AC843" s="31">
        <f>IF(OR($Y843="",N($Z843)&lt;=0,$AB843=""),0,IFERROR(LOOKUP(2,1/((거래처별!$AC$8:$AC$307&lt;&gt;"")*ISNUMBER(SEARCH(거래처별!$AC$8:$AC$307,$AB843))),거래처별!$A$8:$A$307),IFERROR(LOOKUP(2,1/((거래처별!$AD$8:$AD$307&lt;&gt;"")*ISNUMBER(SEARCH(거래처별!$AD$8:$AD$307,$AB843))),거래처별!$A$8:$A$307),IFERROR(LOOKUP(2,1/((거래처별!$AE$8:$AE$307&lt;&gt;"")*ISNUMBER(SEARCH(거래처별!$AE$8:$AE$307,$AB843))),거래처별!$A$8:$A$307),0))))</f>
        <v/>
      </c>
      <c r="AD843" s="31">
        <f>IF(AND($Y843&lt;&gt;"",N($Z843)&gt;0,$AC843=0),MAX($AD$7:$AD842)+1,"")</f>
        <v/>
      </c>
      <c r="AE843" s="31">
        <f>IF($Y843="",0,$Y843)</f>
        <v/>
      </c>
    </row>
    <row r="844">
      <c r="W844" s="31">
        <f>IF(OR($B$5="",$C$6="",ROW()&lt;$B$5),"",IF(INDEX($A:$U,ROW(),$C$6)="","",INDEX($A:$U,ROW(),$C$6)))</f>
        <v/>
      </c>
      <c r="X844" s="32">
        <f>IF($W844="","",IF(ISNUMBER($W844),IF($W844&gt;=10000000,IFERROR(DATE(INT($W844/10000),MOD(INT($W844/100),100),MOD($W844,100)),""),INT($W844)),IFERROR(DATE(--LEFT(LEFT(SUBSTITUTE(SUBSTITUTE(SUBSTITUTE(SUBSTITUTE(TRIM($W844),"-",""),".",""),"/","")," ",""),8),4),--MID(LEFT(SUBSTITUTE(SUBSTITUTE(SUBSTITUTE(SUBSTITUTE(TRIM($W844),"-",""),".",""),"/","")," ",""),8),5,2),--MID(LEFT(SUBSTITUTE(SUBSTITUTE(SUBSTITUTE(SUBSTITUTE(TRIM($W844),"-",""),".",""),"/","")," ",""),8),7,2)),"")))</f>
        <v/>
      </c>
      <c r="Y844" s="32">
        <f>IF($X844="","",INT($X844))</f>
        <v/>
      </c>
      <c r="Z844" s="33">
        <f>IF(OR($Y844="",$D$6=""),"",IF(INDEX($A:$U,ROW(),$D$6)="",0,IF(ISNUMBER(INDEX($A:$U,ROW(),$D$6)),INDEX($A:$U,ROW(),$D$6),IFERROR(--SUBSTITUTE(SUBSTITUTE(TRIM(INDEX($A:$U,ROW(),$D$6)),",",""),"원",""),0))))</f>
        <v/>
      </c>
      <c r="AA844" s="31">
        <f>IF($Y844="","",TRIM(INDEX($A:$U,ROW(),$E$6)&amp;IF($F$6="",""," "&amp;INDEX($A:$U,ROW(),$F$6))))</f>
        <v/>
      </c>
      <c r="AB844" s="31">
        <f>IF($AA844="","",SUBSTITUTE(SUBSTITUTE(SUBSTITUTE(SUBSTITUTE(SUBSTITUTE(SUBSTITUTE(SUBSTITUTE(SUBSTITUTE(SUBSTITUTE($AA844," ",""),"　",""),"(주)",""),"（주）",""),"㈜",""),"주식회사",""),"(유)",""),"（유）",""),"유한회사",""))</f>
        <v/>
      </c>
      <c r="AC844" s="31">
        <f>IF(OR($Y844="",N($Z844)&lt;=0,$AB844=""),0,IFERROR(LOOKUP(2,1/((거래처별!$AC$8:$AC$307&lt;&gt;"")*ISNUMBER(SEARCH(거래처별!$AC$8:$AC$307,$AB844))),거래처별!$A$8:$A$307),IFERROR(LOOKUP(2,1/((거래처별!$AD$8:$AD$307&lt;&gt;"")*ISNUMBER(SEARCH(거래처별!$AD$8:$AD$307,$AB844))),거래처별!$A$8:$A$307),IFERROR(LOOKUP(2,1/((거래처별!$AE$8:$AE$307&lt;&gt;"")*ISNUMBER(SEARCH(거래처별!$AE$8:$AE$307,$AB844))),거래처별!$A$8:$A$307),0))))</f>
        <v/>
      </c>
      <c r="AD844" s="31">
        <f>IF(AND($Y844&lt;&gt;"",N($Z844)&gt;0,$AC844=0),MAX($AD$7:$AD843)+1,"")</f>
        <v/>
      </c>
      <c r="AE844" s="31">
        <f>IF($Y844="",0,$Y844)</f>
        <v/>
      </c>
    </row>
    <row r="845">
      <c r="W845" s="31">
        <f>IF(OR($B$5="",$C$6="",ROW()&lt;$B$5),"",IF(INDEX($A:$U,ROW(),$C$6)="","",INDEX($A:$U,ROW(),$C$6)))</f>
        <v/>
      </c>
      <c r="X845" s="32">
        <f>IF($W845="","",IF(ISNUMBER($W845),IF($W845&gt;=10000000,IFERROR(DATE(INT($W845/10000),MOD(INT($W845/100),100),MOD($W845,100)),""),INT($W845)),IFERROR(DATE(--LEFT(LEFT(SUBSTITUTE(SUBSTITUTE(SUBSTITUTE(SUBSTITUTE(TRIM($W845),"-",""),".",""),"/","")," ",""),8),4),--MID(LEFT(SUBSTITUTE(SUBSTITUTE(SUBSTITUTE(SUBSTITUTE(TRIM($W845),"-",""),".",""),"/","")," ",""),8),5,2),--MID(LEFT(SUBSTITUTE(SUBSTITUTE(SUBSTITUTE(SUBSTITUTE(TRIM($W845),"-",""),".",""),"/","")," ",""),8),7,2)),"")))</f>
        <v/>
      </c>
      <c r="Y845" s="32">
        <f>IF($X845="","",INT($X845))</f>
        <v/>
      </c>
      <c r="Z845" s="33">
        <f>IF(OR($Y845="",$D$6=""),"",IF(INDEX($A:$U,ROW(),$D$6)="",0,IF(ISNUMBER(INDEX($A:$U,ROW(),$D$6)),INDEX($A:$U,ROW(),$D$6),IFERROR(--SUBSTITUTE(SUBSTITUTE(TRIM(INDEX($A:$U,ROW(),$D$6)),",",""),"원",""),0))))</f>
        <v/>
      </c>
      <c r="AA845" s="31">
        <f>IF($Y845="","",TRIM(INDEX($A:$U,ROW(),$E$6)&amp;IF($F$6="",""," "&amp;INDEX($A:$U,ROW(),$F$6))))</f>
        <v/>
      </c>
      <c r="AB845" s="31">
        <f>IF($AA845="","",SUBSTITUTE(SUBSTITUTE(SUBSTITUTE(SUBSTITUTE(SUBSTITUTE(SUBSTITUTE(SUBSTITUTE(SUBSTITUTE(SUBSTITUTE($AA845," ",""),"　",""),"(주)",""),"（주）",""),"㈜",""),"주식회사",""),"(유)",""),"（유）",""),"유한회사",""))</f>
        <v/>
      </c>
      <c r="AC845" s="31">
        <f>IF(OR($Y845="",N($Z845)&lt;=0,$AB845=""),0,IFERROR(LOOKUP(2,1/((거래처별!$AC$8:$AC$307&lt;&gt;"")*ISNUMBER(SEARCH(거래처별!$AC$8:$AC$307,$AB845))),거래처별!$A$8:$A$307),IFERROR(LOOKUP(2,1/((거래처별!$AD$8:$AD$307&lt;&gt;"")*ISNUMBER(SEARCH(거래처별!$AD$8:$AD$307,$AB845))),거래처별!$A$8:$A$307),IFERROR(LOOKUP(2,1/((거래처별!$AE$8:$AE$307&lt;&gt;"")*ISNUMBER(SEARCH(거래처별!$AE$8:$AE$307,$AB845))),거래처별!$A$8:$A$307),0))))</f>
        <v/>
      </c>
      <c r="AD845" s="31">
        <f>IF(AND($Y845&lt;&gt;"",N($Z845)&gt;0,$AC845=0),MAX($AD$7:$AD844)+1,"")</f>
        <v/>
      </c>
      <c r="AE845" s="31">
        <f>IF($Y845="",0,$Y845)</f>
        <v/>
      </c>
    </row>
    <row r="846">
      <c r="W846" s="31">
        <f>IF(OR($B$5="",$C$6="",ROW()&lt;$B$5),"",IF(INDEX($A:$U,ROW(),$C$6)="","",INDEX($A:$U,ROW(),$C$6)))</f>
        <v/>
      </c>
      <c r="X846" s="32">
        <f>IF($W846="","",IF(ISNUMBER($W846),IF($W846&gt;=10000000,IFERROR(DATE(INT($W846/10000),MOD(INT($W846/100),100),MOD($W846,100)),""),INT($W846)),IFERROR(DATE(--LEFT(LEFT(SUBSTITUTE(SUBSTITUTE(SUBSTITUTE(SUBSTITUTE(TRIM($W846),"-",""),".",""),"/","")," ",""),8),4),--MID(LEFT(SUBSTITUTE(SUBSTITUTE(SUBSTITUTE(SUBSTITUTE(TRIM($W846),"-",""),".",""),"/","")," ",""),8),5,2),--MID(LEFT(SUBSTITUTE(SUBSTITUTE(SUBSTITUTE(SUBSTITUTE(TRIM($W846),"-",""),".",""),"/","")," ",""),8),7,2)),"")))</f>
        <v/>
      </c>
      <c r="Y846" s="32">
        <f>IF($X846="","",INT($X846))</f>
        <v/>
      </c>
      <c r="Z846" s="33">
        <f>IF(OR($Y846="",$D$6=""),"",IF(INDEX($A:$U,ROW(),$D$6)="",0,IF(ISNUMBER(INDEX($A:$U,ROW(),$D$6)),INDEX($A:$U,ROW(),$D$6),IFERROR(--SUBSTITUTE(SUBSTITUTE(TRIM(INDEX($A:$U,ROW(),$D$6)),",",""),"원",""),0))))</f>
        <v/>
      </c>
      <c r="AA846" s="31">
        <f>IF($Y846="","",TRIM(INDEX($A:$U,ROW(),$E$6)&amp;IF($F$6="",""," "&amp;INDEX($A:$U,ROW(),$F$6))))</f>
        <v/>
      </c>
      <c r="AB846" s="31">
        <f>IF($AA846="","",SUBSTITUTE(SUBSTITUTE(SUBSTITUTE(SUBSTITUTE(SUBSTITUTE(SUBSTITUTE(SUBSTITUTE(SUBSTITUTE(SUBSTITUTE($AA846," ",""),"　",""),"(주)",""),"（주）",""),"㈜",""),"주식회사",""),"(유)",""),"（유）",""),"유한회사",""))</f>
        <v/>
      </c>
      <c r="AC846" s="31">
        <f>IF(OR($Y846="",N($Z846)&lt;=0,$AB846=""),0,IFERROR(LOOKUP(2,1/((거래처별!$AC$8:$AC$307&lt;&gt;"")*ISNUMBER(SEARCH(거래처별!$AC$8:$AC$307,$AB846))),거래처별!$A$8:$A$307),IFERROR(LOOKUP(2,1/((거래처별!$AD$8:$AD$307&lt;&gt;"")*ISNUMBER(SEARCH(거래처별!$AD$8:$AD$307,$AB846))),거래처별!$A$8:$A$307),IFERROR(LOOKUP(2,1/((거래처별!$AE$8:$AE$307&lt;&gt;"")*ISNUMBER(SEARCH(거래처별!$AE$8:$AE$307,$AB846))),거래처별!$A$8:$A$307),0))))</f>
        <v/>
      </c>
      <c r="AD846" s="31">
        <f>IF(AND($Y846&lt;&gt;"",N($Z846)&gt;0,$AC846=0),MAX($AD$7:$AD845)+1,"")</f>
        <v/>
      </c>
      <c r="AE846" s="31">
        <f>IF($Y846="",0,$Y846)</f>
        <v/>
      </c>
    </row>
    <row r="847">
      <c r="W847" s="31">
        <f>IF(OR($B$5="",$C$6="",ROW()&lt;$B$5),"",IF(INDEX($A:$U,ROW(),$C$6)="","",INDEX($A:$U,ROW(),$C$6)))</f>
        <v/>
      </c>
      <c r="X847" s="32">
        <f>IF($W847="","",IF(ISNUMBER($W847),IF($W847&gt;=10000000,IFERROR(DATE(INT($W847/10000),MOD(INT($W847/100),100),MOD($W847,100)),""),INT($W847)),IFERROR(DATE(--LEFT(LEFT(SUBSTITUTE(SUBSTITUTE(SUBSTITUTE(SUBSTITUTE(TRIM($W847),"-",""),".",""),"/","")," ",""),8),4),--MID(LEFT(SUBSTITUTE(SUBSTITUTE(SUBSTITUTE(SUBSTITUTE(TRIM($W847),"-",""),".",""),"/","")," ",""),8),5,2),--MID(LEFT(SUBSTITUTE(SUBSTITUTE(SUBSTITUTE(SUBSTITUTE(TRIM($W847),"-",""),".",""),"/","")," ",""),8),7,2)),"")))</f>
        <v/>
      </c>
      <c r="Y847" s="32">
        <f>IF($X847="","",INT($X847))</f>
        <v/>
      </c>
      <c r="Z847" s="33">
        <f>IF(OR($Y847="",$D$6=""),"",IF(INDEX($A:$U,ROW(),$D$6)="",0,IF(ISNUMBER(INDEX($A:$U,ROW(),$D$6)),INDEX($A:$U,ROW(),$D$6),IFERROR(--SUBSTITUTE(SUBSTITUTE(TRIM(INDEX($A:$U,ROW(),$D$6)),",",""),"원",""),0))))</f>
        <v/>
      </c>
      <c r="AA847" s="31">
        <f>IF($Y847="","",TRIM(INDEX($A:$U,ROW(),$E$6)&amp;IF($F$6="",""," "&amp;INDEX($A:$U,ROW(),$F$6))))</f>
        <v/>
      </c>
      <c r="AB847" s="31">
        <f>IF($AA847="","",SUBSTITUTE(SUBSTITUTE(SUBSTITUTE(SUBSTITUTE(SUBSTITUTE(SUBSTITUTE(SUBSTITUTE(SUBSTITUTE(SUBSTITUTE($AA847," ",""),"　",""),"(주)",""),"（주）",""),"㈜",""),"주식회사",""),"(유)",""),"（유）",""),"유한회사",""))</f>
        <v/>
      </c>
      <c r="AC847" s="31">
        <f>IF(OR($Y847="",N($Z847)&lt;=0,$AB847=""),0,IFERROR(LOOKUP(2,1/((거래처별!$AC$8:$AC$307&lt;&gt;"")*ISNUMBER(SEARCH(거래처별!$AC$8:$AC$307,$AB847))),거래처별!$A$8:$A$307),IFERROR(LOOKUP(2,1/((거래처별!$AD$8:$AD$307&lt;&gt;"")*ISNUMBER(SEARCH(거래처별!$AD$8:$AD$307,$AB847))),거래처별!$A$8:$A$307),IFERROR(LOOKUP(2,1/((거래처별!$AE$8:$AE$307&lt;&gt;"")*ISNUMBER(SEARCH(거래처별!$AE$8:$AE$307,$AB847))),거래처별!$A$8:$A$307),0))))</f>
        <v/>
      </c>
      <c r="AD847" s="31">
        <f>IF(AND($Y847&lt;&gt;"",N($Z847)&gt;0,$AC847=0),MAX($AD$7:$AD846)+1,"")</f>
        <v/>
      </c>
      <c r="AE847" s="31">
        <f>IF($Y847="",0,$Y847)</f>
        <v/>
      </c>
    </row>
    <row r="848">
      <c r="W848" s="31">
        <f>IF(OR($B$5="",$C$6="",ROW()&lt;$B$5),"",IF(INDEX($A:$U,ROW(),$C$6)="","",INDEX($A:$U,ROW(),$C$6)))</f>
        <v/>
      </c>
      <c r="X848" s="32">
        <f>IF($W848="","",IF(ISNUMBER($W848),IF($W848&gt;=10000000,IFERROR(DATE(INT($W848/10000),MOD(INT($W848/100),100),MOD($W848,100)),""),INT($W848)),IFERROR(DATE(--LEFT(LEFT(SUBSTITUTE(SUBSTITUTE(SUBSTITUTE(SUBSTITUTE(TRIM($W848),"-",""),".",""),"/","")," ",""),8),4),--MID(LEFT(SUBSTITUTE(SUBSTITUTE(SUBSTITUTE(SUBSTITUTE(TRIM($W848),"-",""),".",""),"/","")," ",""),8),5,2),--MID(LEFT(SUBSTITUTE(SUBSTITUTE(SUBSTITUTE(SUBSTITUTE(TRIM($W848),"-",""),".",""),"/","")," ",""),8),7,2)),"")))</f>
        <v/>
      </c>
      <c r="Y848" s="32">
        <f>IF($X848="","",INT($X848))</f>
        <v/>
      </c>
      <c r="Z848" s="33">
        <f>IF(OR($Y848="",$D$6=""),"",IF(INDEX($A:$U,ROW(),$D$6)="",0,IF(ISNUMBER(INDEX($A:$U,ROW(),$D$6)),INDEX($A:$U,ROW(),$D$6),IFERROR(--SUBSTITUTE(SUBSTITUTE(TRIM(INDEX($A:$U,ROW(),$D$6)),",",""),"원",""),0))))</f>
        <v/>
      </c>
      <c r="AA848" s="31">
        <f>IF($Y848="","",TRIM(INDEX($A:$U,ROW(),$E$6)&amp;IF($F$6="",""," "&amp;INDEX($A:$U,ROW(),$F$6))))</f>
        <v/>
      </c>
      <c r="AB848" s="31">
        <f>IF($AA848="","",SUBSTITUTE(SUBSTITUTE(SUBSTITUTE(SUBSTITUTE(SUBSTITUTE(SUBSTITUTE(SUBSTITUTE(SUBSTITUTE(SUBSTITUTE($AA848," ",""),"　",""),"(주)",""),"（주）",""),"㈜",""),"주식회사",""),"(유)",""),"（유）",""),"유한회사",""))</f>
        <v/>
      </c>
      <c r="AC848" s="31">
        <f>IF(OR($Y848="",N($Z848)&lt;=0,$AB848=""),0,IFERROR(LOOKUP(2,1/((거래처별!$AC$8:$AC$307&lt;&gt;"")*ISNUMBER(SEARCH(거래처별!$AC$8:$AC$307,$AB848))),거래처별!$A$8:$A$307),IFERROR(LOOKUP(2,1/((거래처별!$AD$8:$AD$307&lt;&gt;"")*ISNUMBER(SEARCH(거래처별!$AD$8:$AD$307,$AB848))),거래처별!$A$8:$A$307),IFERROR(LOOKUP(2,1/((거래처별!$AE$8:$AE$307&lt;&gt;"")*ISNUMBER(SEARCH(거래처별!$AE$8:$AE$307,$AB848))),거래처별!$A$8:$A$307),0))))</f>
        <v/>
      </c>
      <c r="AD848" s="31">
        <f>IF(AND($Y848&lt;&gt;"",N($Z848)&gt;0,$AC848=0),MAX($AD$7:$AD847)+1,"")</f>
        <v/>
      </c>
      <c r="AE848" s="31">
        <f>IF($Y848="",0,$Y848)</f>
        <v/>
      </c>
    </row>
    <row r="849">
      <c r="W849" s="31">
        <f>IF(OR($B$5="",$C$6="",ROW()&lt;$B$5),"",IF(INDEX($A:$U,ROW(),$C$6)="","",INDEX($A:$U,ROW(),$C$6)))</f>
        <v/>
      </c>
      <c r="X849" s="32">
        <f>IF($W849="","",IF(ISNUMBER($W849),IF($W849&gt;=10000000,IFERROR(DATE(INT($W849/10000),MOD(INT($W849/100),100),MOD($W849,100)),""),INT($W849)),IFERROR(DATE(--LEFT(LEFT(SUBSTITUTE(SUBSTITUTE(SUBSTITUTE(SUBSTITUTE(TRIM($W849),"-",""),".",""),"/","")," ",""),8),4),--MID(LEFT(SUBSTITUTE(SUBSTITUTE(SUBSTITUTE(SUBSTITUTE(TRIM($W849),"-",""),".",""),"/","")," ",""),8),5,2),--MID(LEFT(SUBSTITUTE(SUBSTITUTE(SUBSTITUTE(SUBSTITUTE(TRIM($W849),"-",""),".",""),"/","")," ",""),8),7,2)),"")))</f>
        <v/>
      </c>
      <c r="Y849" s="32">
        <f>IF($X849="","",INT($X849))</f>
        <v/>
      </c>
      <c r="Z849" s="33">
        <f>IF(OR($Y849="",$D$6=""),"",IF(INDEX($A:$U,ROW(),$D$6)="",0,IF(ISNUMBER(INDEX($A:$U,ROW(),$D$6)),INDEX($A:$U,ROW(),$D$6),IFERROR(--SUBSTITUTE(SUBSTITUTE(TRIM(INDEX($A:$U,ROW(),$D$6)),",",""),"원",""),0))))</f>
        <v/>
      </c>
      <c r="AA849" s="31">
        <f>IF($Y849="","",TRIM(INDEX($A:$U,ROW(),$E$6)&amp;IF($F$6="",""," "&amp;INDEX($A:$U,ROW(),$F$6))))</f>
        <v/>
      </c>
      <c r="AB849" s="31">
        <f>IF($AA849="","",SUBSTITUTE(SUBSTITUTE(SUBSTITUTE(SUBSTITUTE(SUBSTITUTE(SUBSTITUTE(SUBSTITUTE(SUBSTITUTE(SUBSTITUTE($AA849," ",""),"　",""),"(주)",""),"（주）",""),"㈜",""),"주식회사",""),"(유)",""),"（유）",""),"유한회사",""))</f>
        <v/>
      </c>
      <c r="AC849" s="31">
        <f>IF(OR($Y849="",N($Z849)&lt;=0,$AB849=""),0,IFERROR(LOOKUP(2,1/((거래처별!$AC$8:$AC$307&lt;&gt;"")*ISNUMBER(SEARCH(거래처별!$AC$8:$AC$307,$AB849))),거래처별!$A$8:$A$307),IFERROR(LOOKUP(2,1/((거래처별!$AD$8:$AD$307&lt;&gt;"")*ISNUMBER(SEARCH(거래처별!$AD$8:$AD$307,$AB849))),거래처별!$A$8:$A$307),IFERROR(LOOKUP(2,1/((거래처별!$AE$8:$AE$307&lt;&gt;"")*ISNUMBER(SEARCH(거래처별!$AE$8:$AE$307,$AB849))),거래처별!$A$8:$A$307),0))))</f>
        <v/>
      </c>
      <c r="AD849" s="31">
        <f>IF(AND($Y849&lt;&gt;"",N($Z849)&gt;0,$AC849=0),MAX($AD$7:$AD848)+1,"")</f>
        <v/>
      </c>
      <c r="AE849" s="31">
        <f>IF($Y849="",0,$Y849)</f>
        <v/>
      </c>
    </row>
    <row r="850">
      <c r="W850" s="31">
        <f>IF(OR($B$5="",$C$6="",ROW()&lt;$B$5),"",IF(INDEX($A:$U,ROW(),$C$6)="","",INDEX($A:$U,ROW(),$C$6)))</f>
        <v/>
      </c>
      <c r="X850" s="32">
        <f>IF($W850="","",IF(ISNUMBER($W850),IF($W850&gt;=10000000,IFERROR(DATE(INT($W850/10000),MOD(INT($W850/100),100),MOD($W850,100)),""),INT($W850)),IFERROR(DATE(--LEFT(LEFT(SUBSTITUTE(SUBSTITUTE(SUBSTITUTE(SUBSTITUTE(TRIM($W850),"-",""),".",""),"/","")," ",""),8),4),--MID(LEFT(SUBSTITUTE(SUBSTITUTE(SUBSTITUTE(SUBSTITUTE(TRIM($W850),"-",""),".",""),"/","")," ",""),8),5,2),--MID(LEFT(SUBSTITUTE(SUBSTITUTE(SUBSTITUTE(SUBSTITUTE(TRIM($W850),"-",""),".",""),"/","")," ",""),8),7,2)),"")))</f>
        <v/>
      </c>
      <c r="Y850" s="32">
        <f>IF($X850="","",INT($X850))</f>
        <v/>
      </c>
      <c r="Z850" s="33">
        <f>IF(OR($Y850="",$D$6=""),"",IF(INDEX($A:$U,ROW(),$D$6)="",0,IF(ISNUMBER(INDEX($A:$U,ROW(),$D$6)),INDEX($A:$U,ROW(),$D$6),IFERROR(--SUBSTITUTE(SUBSTITUTE(TRIM(INDEX($A:$U,ROW(),$D$6)),",",""),"원",""),0))))</f>
        <v/>
      </c>
      <c r="AA850" s="31">
        <f>IF($Y850="","",TRIM(INDEX($A:$U,ROW(),$E$6)&amp;IF($F$6="",""," "&amp;INDEX($A:$U,ROW(),$F$6))))</f>
        <v/>
      </c>
      <c r="AB850" s="31">
        <f>IF($AA850="","",SUBSTITUTE(SUBSTITUTE(SUBSTITUTE(SUBSTITUTE(SUBSTITUTE(SUBSTITUTE(SUBSTITUTE(SUBSTITUTE(SUBSTITUTE($AA850," ",""),"　",""),"(주)",""),"（주）",""),"㈜",""),"주식회사",""),"(유)",""),"（유）",""),"유한회사",""))</f>
        <v/>
      </c>
      <c r="AC850" s="31">
        <f>IF(OR($Y850="",N($Z850)&lt;=0,$AB850=""),0,IFERROR(LOOKUP(2,1/((거래처별!$AC$8:$AC$307&lt;&gt;"")*ISNUMBER(SEARCH(거래처별!$AC$8:$AC$307,$AB850))),거래처별!$A$8:$A$307),IFERROR(LOOKUP(2,1/((거래처별!$AD$8:$AD$307&lt;&gt;"")*ISNUMBER(SEARCH(거래처별!$AD$8:$AD$307,$AB850))),거래처별!$A$8:$A$307),IFERROR(LOOKUP(2,1/((거래처별!$AE$8:$AE$307&lt;&gt;"")*ISNUMBER(SEARCH(거래처별!$AE$8:$AE$307,$AB850))),거래처별!$A$8:$A$307),0))))</f>
        <v/>
      </c>
      <c r="AD850" s="31">
        <f>IF(AND($Y850&lt;&gt;"",N($Z850)&gt;0,$AC850=0),MAX($AD$7:$AD849)+1,"")</f>
        <v/>
      </c>
      <c r="AE850" s="31">
        <f>IF($Y850="",0,$Y850)</f>
        <v/>
      </c>
    </row>
    <row r="851">
      <c r="W851" s="31">
        <f>IF(OR($B$5="",$C$6="",ROW()&lt;$B$5),"",IF(INDEX($A:$U,ROW(),$C$6)="","",INDEX($A:$U,ROW(),$C$6)))</f>
        <v/>
      </c>
      <c r="X851" s="32">
        <f>IF($W851="","",IF(ISNUMBER($W851),IF($W851&gt;=10000000,IFERROR(DATE(INT($W851/10000),MOD(INT($W851/100),100),MOD($W851,100)),""),INT($W851)),IFERROR(DATE(--LEFT(LEFT(SUBSTITUTE(SUBSTITUTE(SUBSTITUTE(SUBSTITUTE(TRIM($W851),"-",""),".",""),"/","")," ",""),8),4),--MID(LEFT(SUBSTITUTE(SUBSTITUTE(SUBSTITUTE(SUBSTITUTE(TRIM($W851),"-",""),".",""),"/","")," ",""),8),5,2),--MID(LEFT(SUBSTITUTE(SUBSTITUTE(SUBSTITUTE(SUBSTITUTE(TRIM($W851),"-",""),".",""),"/","")," ",""),8),7,2)),"")))</f>
        <v/>
      </c>
      <c r="Y851" s="32">
        <f>IF($X851="","",INT($X851))</f>
        <v/>
      </c>
      <c r="Z851" s="33">
        <f>IF(OR($Y851="",$D$6=""),"",IF(INDEX($A:$U,ROW(),$D$6)="",0,IF(ISNUMBER(INDEX($A:$U,ROW(),$D$6)),INDEX($A:$U,ROW(),$D$6),IFERROR(--SUBSTITUTE(SUBSTITUTE(TRIM(INDEX($A:$U,ROW(),$D$6)),",",""),"원",""),0))))</f>
        <v/>
      </c>
      <c r="AA851" s="31">
        <f>IF($Y851="","",TRIM(INDEX($A:$U,ROW(),$E$6)&amp;IF($F$6="",""," "&amp;INDEX($A:$U,ROW(),$F$6))))</f>
        <v/>
      </c>
      <c r="AB851" s="31">
        <f>IF($AA851="","",SUBSTITUTE(SUBSTITUTE(SUBSTITUTE(SUBSTITUTE(SUBSTITUTE(SUBSTITUTE(SUBSTITUTE(SUBSTITUTE(SUBSTITUTE($AA851," ",""),"　",""),"(주)",""),"（주）",""),"㈜",""),"주식회사",""),"(유)",""),"（유）",""),"유한회사",""))</f>
        <v/>
      </c>
      <c r="AC851" s="31">
        <f>IF(OR($Y851="",N($Z851)&lt;=0,$AB851=""),0,IFERROR(LOOKUP(2,1/((거래처별!$AC$8:$AC$307&lt;&gt;"")*ISNUMBER(SEARCH(거래처별!$AC$8:$AC$307,$AB851))),거래처별!$A$8:$A$307),IFERROR(LOOKUP(2,1/((거래처별!$AD$8:$AD$307&lt;&gt;"")*ISNUMBER(SEARCH(거래처별!$AD$8:$AD$307,$AB851))),거래처별!$A$8:$A$307),IFERROR(LOOKUP(2,1/((거래처별!$AE$8:$AE$307&lt;&gt;"")*ISNUMBER(SEARCH(거래처별!$AE$8:$AE$307,$AB851))),거래처별!$A$8:$A$307),0))))</f>
        <v/>
      </c>
      <c r="AD851" s="31">
        <f>IF(AND($Y851&lt;&gt;"",N($Z851)&gt;0,$AC851=0),MAX($AD$7:$AD850)+1,"")</f>
        <v/>
      </c>
      <c r="AE851" s="31">
        <f>IF($Y851="",0,$Y851)</f>
        <v/>
      </c>
    </row>
    <row r="852">
      <c r="W852" s="31">
        <f>IF(OR($B$5="",$C$6="",ROW()&lt;$B$5),"",IF(INDEX($A:$U,ROW(),$C$6)="","",INDEX($A:$U,ROW(),$C$6)))</f>
        <v/>
      </c>
      <c r="X852" s="32">
        <f>IF($W852="","",IF(ISNUMBER($W852),IF($W852&gt;=10000000,IFERROR(DATE(INT($W852/10000),MOD(INT($W852/100),100),MOD($W852,100)),""),INT($W852)),IFERROR(DATE(--LEFT(LEFT(SUBSTITUTE(SUBSTITUTE(SUBSTITUTE(SUBSTITUTE(TRIM($W852),"-",""),".",""),"/","")," ",""),8),4),--MID(LEFT(SUBSTITUTE(SUBSTITUTE(SUBSTITUTE(SUBSTITUTE(TRIM($W852),"-",""),".",""),"/","")," ",""),8),5,2),--MID(LEFT(SUBSTITUTE(SUBSTITUTE(SUBSTITUTE(SUBSTITUTE(TRIM($W852),"-",""),".",""),"/","")," ",""),8),7,2)),"")))</f>
        <v/>
      </c>
      <c r="Y852" s="32">
        <f>IF($X852="","",INT($X852))</f>
        <v/>
      </c>
      <c r="Z852" s="33">
        <f>IF(OR($Y852="",$D$6=""),"",IF(INDEX($A:$U,ROW(),$D$6)="",0,IF(ISNUMBER(INDEX($A:$U,ROW(),$D$6)),INDEX($A:$U,ROW(),$D$6),IFERROR(--SUBSTITUTE(SUBSTITUTE(TRIM(INDEX($A:$U,ROW(),$D$6)),",",""),"원",""),0))))</f>
        <v/>
      </c>
      <c r="AA852" s="31">
        <f>IF($Y852="","",TRIM(INDEX($A:$U,ROW(),$E$6)&amp;IF($F$6="",""," "&amp;INDEX($A:$U,ROW(),$F$6))))</f>
        <v/>
      </c>
      <c r="AB852" s="31">
        <f>IF($AA852="","",SUBSTITUTE(SUBSTITUTE(SUBSTITUTE(SUBSTITUTE(SUBSTITUTE(SUBSTITUTE(SUBSTITUTE(SUBSTITUTE(SUBSTITUTE($AA852," ",""),"　",""),"(주)",""),"（주）",""),"㈜",""),"주식회사",""),"(유)",""),"（유）",""),"유한회사",""))</f>
        <v/>
      </c>
      <c r="AC852" s="31">
        <f>IF(OR($Y852="",N($Z852)&lt;=0,$AB852=""),0,IFERROR(LOOKUP(2,1/((거래처별!$AC$8:$AC$307&lt;&gt;"")*ISNUMBER(SEARCH(거래처별!$AC$8:$AC$307,$AB852))),거래처별!$A$8:$A$307),IFERROR(LOOKUP(2,1/((거래처별!$AD$8:$AD$307&lt;&gt;"")*ISNUMBER(SEARCH(거래처별!$AD$8:$AD$307,$AB852))),거래처별!$A$8:$A$307),IFERROR(LOOKUP(2,1/((거래처별!$AE$8:$AE$307&lt;&gt;"")*ISNUMBER(SEARCH(거래처별!$AE$8:$AE$307,$AB852))),거래처별!$A$8:$A$307),0))))</f>
        <v/>
      </c>
      <c r="AD852" s="31">
        <f>IF(AND($Y852&lt;&gt;"",N($Z852)&gt;0,$AC852=0),MAX($AD$7:$AD851)+1,"")</f>
        <v/>
      </c>
      <c r="AE852" s="31">
        <f>IF($Y852="",0,$Y852)</f>
        <v/>
      </c>
    </row>
    <row r="853">
      <c r="W853" s="31">
        <f>IF(OR($B$5="",$C$6="",ROW()&lt;$B$5),"",IF(INDEX($A:$U,ROW(),$C$6)="","",INDEX($A:$U,ROW(),$C$6)))</f>
        <v/>
      </c>
      <c r="X853" s="32">
        <f>IF($W853="","",IF(ISNUMBER($W853),IF($W853&gt;=10000000,IFERROR(DATE(INT($W853/10000),MOD(INT($W853/100),100),MOD($W853,100)),""),INT($W853)),IFERROR(DATE(--LEFT(LEFT(SUBSTITUTE(SUBSTITUTE(SUBSTITUTE(SUBSTITUTE(TRIM($W853),"-",""),".",""),"/","")," ",""),8),4),--MID(LEFT(SUBSTITUTE(SUBSTITUTE(SUBSTITUTE(SUBSTITUTE(TRIM($W853),"-",""),".",""),"/","")," ",""),8),5,2),--MID(LEFT(SUBSTITUTE(SUBSTITUTE(SUBSTITUTE(SUBSTITUTE(TRIM($W853),"-",""),".",""),"/","")," ",""),8),7,2)),"")))</f>
        <v/>
      </c>
      <c r="Y853" s="32">
        <f>IF($X853="","",INT($X853))</f>
        <v/>
      </c>
      <c r="Z853" s="33">
        <f>IF(OR($Y853="",$D$6=""),"",IF(INDEX($A:$U,ROW(),$D$6)="",0,IF(ISNUMBER(INDEX($A:$U,ROW(),$D$6)),INDEX($A:$U,ROW(),$D$6),IFERROR(--SUBSTITUTE(SUBSTITUTE(TRIM(INDEX($A:$U,ROW(),$D$6)),",",""),"원",""),0))))</f>
        <v/>
      </c>
      <c r="AA853" s="31">
        <f>IF($Y853="","",TRIM(INDEX($A:$U,ROW(),$E$6)&amp;IF($F$6="",""," "&amp;INDEX($A:$U,ROW(),$F$6))))</f>
        <v/>
      </c>
      <c r="AB853" s="31">
        <f>IF($AA853="","",SUBSTITUTE(SUBSTITUTE(SUBSTITUTE(SUBSTITUTE(SUBSTITUTE(SUBSTITUTE(SUBSTITUTE(SUBSTITUTE(SUBSTITUTE($AA853," ",""),"　",""),"(주)",""),"（주）",""),"㈜",""),"주식회사",""),"(유)",""),"（유）",""),"유한회사",""))</f>
        <v/>
      </c>
      <c r="AC853" s="31">
        <f>IF(OR($Y853="",N($Z853)&lt;=0,$AB853=""),0,IFERROR(LOOKUP(2,1/((거래처별!$AC$8:$AC$307&lt;&gt;"")*ISNUMBER(SEARCH(거래처별!$AC$8:$AC$307,$AB853))),거래처별!$A$8:$A$307),IFERROR(LOOKUP(2,1/((거래처별!$AD$8:$AD$307&lt;&gt;"")*ISNUMBER(SEARCH(거래처별!$AD$8:$AD$307,$AB853))),거래처별!$A$8:$A$307),IFERROR(LOOKUP(2,1/((거래처별!$AE$8:$AE$307&lt;&gt;"")*ISNUMBER(SEARCH(거래처별!$AE$8:$AE$307,$AB853))),거래처별!$A$8:$A$307),0))))</f>
        <v/>
      </c>
      <c r="AD853" s="31">
        <f>IF(AND($Y853&lt;&gt;"",N($Z853)&gt;0,$AC853=0),MAX($AD$7:$AD852)+1,"")</f>
        <v/>
      </c>
      <c r="AE853" s="31">
        <f>IF($Y853="",0,$Y853)</f>
        <v/>
      </c>
    </row>
    <row r="854">
      <c r="W854" s="31">
        <f>IF(OR($B$5="",$C$6="",ROW()&lt;$B$5),"",IF(INDEX($A:$U,ROW(),$C$6)="","",INDEX($A:$U,ROW(),$C$6)))</f>
        <v/>
      </c>
      <c r="X854" s="32">
        <f>IF($W854="","",IF(ISNUMBER($W854),IF($W854&gt;=10000000,IFERROR(DATE(INT($W854/10000),MOD(INT($W854/100),100),MOD($W854,100)),""),INT($W854)),IFERROR(DATE(--LEFT(LEFT(SUBSTITUTE(SUBSTITUTE(SUBSTITUTE(SUBSTITUTE(TRIM($W854),"-",""),".",""),"/","")," ",""),8),4),--MID(LEFT(SUBSTITUTE(SUBSTITUTE(SUBSTITUTE(SUBSTITUTE(TRIM($W854),"-",""),".",""),"/","")," ",""),8),5,2),--MID(LEFT(SUBSTITUTE(SUBSTITUTE(SUBSTITUTE(SUBSTITUTE(TRIM($W854),"-",""),".",""),"/","")," ",""),8),7,2)),"")))</f>
        <v/>
      </c>
      <c r="Y854" s="32">
        <f>IF($X854="","",INT($X854))</f>
        <v/>
      </c>
      <c r="Z854" s="33">
        <f>IF(OR($Y854="",$D$6=""),"",IF(INDEX($A:$U,ROW(),$D$6)="",0,IF(ISNUMBER(INDEX($A:$U,ROW(),$D$6)),INDEX($A:$U,ROW(),$D$6),IFERROR(--SUBSTITUTE(SUBSTITUTE(TRIM(INDEX($A:$U,ROW(),$D$6)),",",""),"원",""),0))))</f>
        <v/>
      </c>
      <c r="AA854" s="31">
        <f>IF($Y854="","",TRIM(INDEX($A:$U,ROW(),$E$6)&amp;IF($F$6="",""," "&amp;INDEX($A:$U,ROW(),$F$6))))</f>
        <v/>
      </c>
      <c r="AB854" s="31">
        <f>IF($AA854="","",SUBSTITUTE(SUBSTITUTE(SUBSTITUTE(SUBSTITUTE(SUBSTITUTE(SUBSTITUTE(SUBSTITUTE(SUBSTITUTE(SUBSTITUTE($AA854," ",""),"　",""),"(주)",""),"（주）",""),"㈜",""),"주식회사",""),"(유)",""),"（유）",""),"유한회사",""))</f>
        <v/>
      </c>
      <c r="AC854" s="31">
        <f>IF(OR($Y854="",N($Z854)&lt;=0,$AB854=""),0,IFERROR(LOOKUP(2,1/((거래처별!$AC$8:$AC$307&lt;&gt;"")*ISNUMBER(SEARCH(거래처별!$AC$8:$AC$307,$AB854))),거래처별!$A$8:$A$307),IFERROR(LOOKUP(2,1/((거래처별!$AD$8:$AD$307&lt;&gt;"")*ISNUMBER(SEARCH(거래처별!$AD$8:$AD$307,$AB854))),거래처별!$A$8:$A$307),IFERROR(LOOKUP(2,1/((거래처별!$AE$8:$AE$307&lt;&gt;"")*ISNUMBER(SEARCH(거래처별!$AE$8:$AE$307,$AB854))),거래처별!$A$8:$A$307),0))))</f>
        <v/>
      </c>
      <c r="AD854" s="31">
        <f>IF(AND($Y854&lt;&gt;"",N($Z854)&gt;0,$AC854=0),MAX($AD$7:$AD853)+1,"")</f>
        <v/>
      </c>
      <c r="AE854" s="31">
        <f>IF($Y854="",0,$Y854)</f>
        <v/>
      </c>
    </row>
    <row r="855">
      <c r="W855" s="31">
        <f>IF(OR($B$5="",$C$6="",ROW()&lt;$B$5),"",IF(INDEX($A:$U,ROW(),$C$6)="","",INDEX($A:$U,ROW(),$C$6)))</f>
        <v/>
      </c>
      <c r="X855" s="32">
        <f>IF($W855="","",IF(ISNUMBER($W855),IF($W855&gt;=10000000,IFERROR(DATE(INT($W855/10000),MOD(INT($W855/100),100),MOD($W855,100)),""),INT($W855)),IFERROR(DATE(--LEFT(LEFT(SUBSTITUTE(SUBSTITUTE(SUBSTITUTE(SUBSTITUTE(TRIM($W855),"-",""),".",""),"/","")," ",""),8),4),--MID(LEFT(SUBSTITUTE(SUBSTITUTE(SUBSTITUTE(SUBSTITUTE(TRIM($W855),"-",""),".",""),"/","")," ",""),8),5,2),--MID(LEFT(SUBSTITUTE(SUBSTITUTE(SUBSTITUTE(SUBSTITUTE(TRIM($W855),"-",""),".",""),"/","")," ",""),8),7,2)),"")))</f>
        <v/>
      </c>
      <c r="Y855" s="32">
        <f>IF($X855="","",INT($X855))</f>
        <v/>
      </c>
      <c r="Z855" s="33">
        <f>IF(OR($Y855="",$D$6=""),"",IF(INDEX($A:$U,ROW(),$D$6)="",0,IF(ISNUMBER(INDEX($A:$U,ROW(),$D$6)),INDEX($A:$U,ROW(),$D$6),IFERROR(--SUBSTITUTE(SUBSTITUTE(TRIM(INDEX($A:$U,ROW(),$D$6)),",",""),"원",""),0))))</f>
        <v/>
      </c>
      <c r="AA855" s="31">
        <f>IF($Y855="","",TRIM(INDEX($A:$U,ROW(),$E$6)&amp;IF($F$6="",""," "&amp;INDEX($A:$U,ROW(),$F$6))))</f>
        <v/>
      </c>
      <c r="AB855" s="31">
        <f>IF($AA855="","",SUBSTITUTE(SUBSTITUTE(SUBSTITUTE(SUBSTITUTE(SUBSTITUTE(SUBSTITUTE(SUBSTITUTE(SUBSTITUTE(SUBSTITUTE($AA855," ",""),"　",""),"(주)",""),"（주）",""),"㈜",""),"주식회사",""),"(유)",""),"（유）",""),"유한회사",""))</f>
        <v/>
      </c>
      <c r="AC855" s="31">
        <f>IF(OR($Y855="",N($Z855)&lt;=0,$AB855=""),0,IFERROR(LOOKUP(2,1/((거래처별!$AC$8:$AC$307&lt;&gt;"")*ISNUMBER(SEARCH(거래처별!$AC$8:$AC$307,$AB855))),거래처별!$A$8:$A$307),IFERROR(LOOKUP(2,1/((거래처별!$AD$8:$AD$307&lt;&gt;"")*ISNUMBER(SEARCH(거래처별!$AD$8:$AD$307,$AB855))),거래처별!$A$8:$A$307),IFERROR(LOOKUP(2,1/((거래처별!$AE$8:$AE$307&lt;&gt;"")*ISNUMBER(SEARCH(거래처별!$AE$8:$AE$307,$AB855))),거래처별!$A$8:$A$307),0))))</f>
        <v/>
      </c>
      <c r="AD855" s="31">
        <f>IF(AND($Y855&lt;&gt;"",N($Z855)&gt;0,$AC855=0),MAX($AD$7:$AD854)+1,"")</f>
        <v/>
      </c>
      <c r="AE855" s="31">
        <f>IF($Y855="",0,$Y855)</f>
        <v/>
      </c>
    </row>
    <row r="856">
      <c r="W856" s="31">
        <f>IF(OR($B$5="",$C$6="",ROW()&lt;$B$5),"",IF(INDEX($A:$U,ROW(),$C$6)="","",INDEX($A:$U,ROW(),$C$6)))</f>
        <v/>
      </c>
      <c r="X856" s="32">
        <f>IF($W856="","",IF(ISNUMBER($W856),IF($W856&gt;=10000000,IFERROR(DATE(INT($W856/10000),MOD(INT($W856/100),100),MOD($W856,100)),""),INT($W856)),IFERROR(DATE(--LEFT(LEFT(SUBSTITUTE(SUBSTITUTE(SUBSTITUTE(SUBSTITUTE(TRIM($W856),"-",""),".",""),"/","")," ",""),8),4),--MID(LEFT(SUBSTITUTE(SUBSTITUTE(SUBSTITUTE(SUBSTITUTE(TRIM($W856),"-",""),".",""),"/","")," ",""),8),5,2),--MID(LEFT(SUBSTITUTE(SUBSTITUTE(SUBSTITUTE(SUBSTITUTE(TRIM($W856),"-",""),".",""),"/","")," ",""),8),7,2)),"")))</f>
        <v/>
      </c>
      <c r="Y856" s="32">
        <f>IF($X856="","",INT($X856))</f>
        <v/>
      </c>
      <c r="Z856" s="33">
        <f>IF(OR($Y856="",$D$6=""),"",IF(INDEX($A:$U,ROW(),$D$6)="",0,IF(ISNUMBER(INDEX($A:$U,ROW(),$D$6)),INDEX($A:$U,ROW(),$D$6),IFERROR(--SUBSTITUTE(SUBSTITUTE(TRIM(INDEX($A:$U,ROW(),$D$6)),",",""),"원",""),0))))</f>
        <v/>
      </c>
      <c r="AA856" s="31">
        <f>IF($Y856="","",TRIM(INDEX($A:$U,ROW(),$E$6)&amp;IF($F$6="",""," "&amp;INDEX($A:$U,ROW(),$F$6))))</f>
        <v/>
      </c>
      <c r="AB856" s="31">
        <f>IF($AA856="","",SUBSTITUTE(SUBSTITUTE(SUBSTITUTE(SUBSTITUTE(SUBSTITUTE(SUBSTITUTE(SUBSTITUTE(SUBSTITUTE(SUBSTITUTE($AA856," ",""),"　",""),"(주)",""),"（주）",""),"㈜",""),"주식회사",""),"(유)",""),"（유）",""),"유한회사",""))</f>
        <v/>
      </c>
      <c r="AC856" s="31">
        <f>IF(OR($Y856="",N($Z856)&lt;=0,$AB856=""),0,IFERROR(LOOKUP(2,1/((거래처별!$AC$8:$AC$307&lt;&gt;"")*ISNUMBER(SEARCH(거래처별!$AC$8:$AC$307,$AB856))),거래처별!$A$8:$A$307),IFERROR(LOOKUP(2,1/((거래처별!$AD$8:$AD$307&lt;&gt;"")*ISNUMBER(SEARCH(거래처별!$AD$8:$AD$307,$AB856))),거래처별!$A$8:$A$307),IFERROR(LOOKUP(2,1/((거래처별!$AE$8:$AE$307&lt;&gt;"")*ISNUMBER(SEARCH(거래처별!$AE$8:$AE$307,$AB856))),거래처별!$A$8:$A$307),0))))</f>
        <v/>
      </c>
      <c r="AD856" s="31">
        <f>IF(AND($Y856&lt;&gt;"",N($Z856)&gt;0,$AC856=0),MAX($AD$7:$AD855)+1,"")</f>
        <v/>
      </c>
      <c r="AE856" s="31">
        <f>IF($Y856="",0,$Y856)</f>
        <v/>
      </c>
    </row>
    <row r="857">
      <c r="W857" s="31">
        <f>IF(OR($B$5="",$C$6="",ROW()&lt;$B$5),"",IF(INDEX($A:$U,ROW(),$C$6)="","",INDEX($A:$U,ROW(),$C$6)))</f>
        <v/>
      </c>
      <c r="X857" s="32">
        <f>IF($W857="","",IF(ISNUMBER($W857),IF($W857&gt;=10000000,IFERROR(DATE(INT($W857/10000),MOD(INT($W857/100),100),MOD($W857,100)),""),INT($W857)),IFERROR(DATE(--LEFT(LEFT(SUBSTITUTE(SUBSTITUTE(SUBSTITUTE(SUBSTITUTE(TRIM($W857),"-",""),".",""),"/","")," ",""),8),4),--MID(LEFT(SUBSTITUTE(SUBSTITUTE(SUBSTITUTE(SUBSTITUTE(TRIM($W857),"-",""),".",""),"/","")," ",""),8),5,2),--MID(LEFT(SUBSTITUTE(SUBSTITUTE(SUBSTITUTE(SUBSTITUTE(TRIM($W857),"-",""),".",""),"/","")," ",""),8),7,2)),"")))</f>
        <v/>
      </c>
      <c r="Y857" s="32">
        <f>IF($X857="","",INT($X857))</f>
        <v/>
      </c>
      <c r="Z857" s="33">
        <f>IF(OR($Y857="",$D$6=""),"",IF(INDEX($A:$U,ROW(),$D$6)="",0,IF(ISNUMBER(INDEX($A:$U,ROW(),$D$6)),INDEX($A:$U,ROW(),$D$6),IFERROR(--SUBSTITUTE(SUBSTITUTE(TRIM(INDEX($A:$U,ROW(),$D$6)),",",""),"원",""),0))))</f>
        <v/>
      </c>
      <c r="AA857" s="31">
        <f>IF($Y857="","",TRIM(INDEX($A:$U,ROW(),$E$6)&amp;IF($F$6="",""," "&amp;INDEX($A:$U,ROW(),$F$6))))</f>
        <v/>
      </c>
      <c r="AB857" s="31">
        <f>IF($AA857="","",SUBSTITUTE(SUBSTITUTE(SUBSTITUTE(SUBSTITUTE(SUBSTITUTE(SUBSTITUTE(SUBSTITUTE(SUBSTITUTE(SUBSTITUTE($AA857," ",""),"　",""),"(주)",""),"（주）",""),"㈜",""),"주식회사",""),"(유)",""),"（유）",""),"유한회사",""))</f>
        <v/>
      </c>
      <c r="AC857" s="31">
        <f>IF(OR($Y857="",N($Z857)&lt;=0,$AB857=""),0,IFERROR(LOOKUP(2,1/((거래처별!$AC$8:$AC$307&lt;&gt;"")*ISNUMBER(SEARCH(거래처별!$AC$8:$AC$307,$AB857))),거래처별!$A$8:$A$307),IFERROR(LOOKUP(2,1/((거래처별!$AD$8:$AD$307&lt;&gt;"")*ISNUMBER(SEARCH(거래처별!$AD$8:$AD$307,$AB857))),거래처별!$A$8:$A$307),IFERROR(LOOKUP(2,1/((거래처별!$AE$8:$AE$307&lt;&gt;"")*ISNUMBER(SEARCH(거래처별!$AE$8:$AE$307,$AB857))),거래처별!$A$8:$A$307),0))))</f>
        <v/>
      </c>
      <c r="AD857" s="31">
        <f>IF(AND($Y857&lt;&gt;"",N($Z857)&gt;0,$AC857=0),MAX($AD$7:$AD856)+1,"")</f>
        <v/>
      </c>
      <c r="AE857" s="31">
        <f>IF($Y857="",0,$Y857)</f>
        <v/>
      </c>
    </row>
    <row r="858">
      <c r="W858" s="31">
        <f>IF(OR($B$5="",$C$6="",ROW()&lt;$B$5),"",IF(INDEX($A:$U,ROW(),$C$6)="","",INDEX($A:$U,ROW(),$C$6)))</f>
        <v/>
      </c>
      <c r="X858" s="32">
        <f>IF($W858="","",IF(ISNUMBER($W858),IF($W858&gt;=10000000,IFERROR(DATE(INT($W858/10000),MOD(INT($W858/100),100),MOD($W858,100)),""),INT($W858)),IFERROR(DATE(--LEFT(LEFT(SUBSTITUTE(SUBSTITUTE(SUBSTITUTE(SUBSTITUTE(TRIM($W858),"-",""),".",""),"/","")," ",""),8),4),--MID(LEFT(SUBSTITUTE(SUBSTITUTE(SUBSTITUTE(SUBSTITUTE(TRIM($W858),"-",""),".",""),"/","")," ",""),8),5,2),--MID(LEFT(SUBSTITUTE(SUBSTITUTE(SUBSTITUTE(SUBSTITUTE(TRIM($W858),"-",""),".",""),"/","")," ",""),8),7,2)),"")))</f>
        <v/>
      </c>
      <c r="Y858" s="32">
        <f>IF($X858="","",INT($X858))</f>
        <v/>
      </c>
      <c r="Z858" s="33">
        <f>IF(OR($Y858="",$D$6=""),"",IF(INDEX($A:$U,ROW(),$D$6)="",0,IF(ISNUMBER(INDEX($A:$U,ROW(),$D$6)),INDEX($A:$U,ROW(),$D$6),IFERROR(--SUBSTITUTE(SUBSTITUTE(TRIM(INDEX($A:$U,ROW(),$D$6)),",",""),"원",""),0))))</f>
        <v/>
      </c>
      <c r="AA858" s="31">
        <f>IF($Y858="","",TRIM(INDEX($A:$U,ROW(),$E$6)&amp;IF($F$6="",""," "&amp;INDEX($A:$U,ROW(),$F$6))))</f>
        <v/>
      </c>
      <c r="AB858" s="31">
        <f>IF($AA858="","",SUBSTITUTE(SUBSTITUTE(SUBSTITUTE(SUBSTITUTE(SUBSTITUTE(SUBSTITUTE(SUBSTITUTE(SUBSTITUTE(SUBSTITUTE($AA858," ",""),"　",""),"(주)",""),"（주）",""),"㈜",""),"주식회사",""),"(유)",""),"（유）",""),"유한회사",""))</f>
        <v/>
      </c>
      <c r="AC858" s="31">
        <f>IF(OR($Y858="",N($Z858)&lt;=0,$AB858=""),0,IFERROR(LOOKUP(2,1/((거래처별!$AC$8:$AC$307&lt;&gt;"")*ISNUMBER(SEARCH(거래처별!$AC$8:$AC$307,$AB858))),거래처별!$A$8:$A$307),IFERROR(LOOKUP(2,1/((거래처별!$AD$8:$AD$307&lt;&gt;"")*ISNUMBER(SEARCH(거래처별!$AD$8:$AD$307,$AB858))),거래처별!$A$8:$A$307),IFERROR(LOOKUP(2,1/((거래처별!$AE$8:$AE$307&lt;&gt;"")*ISNUMBER(SEARCH(거래처별!$AE$8:$AE$307,$AB858))),거래처별!$A$8:$A$307),0))))</f>
        <v/>
      </c>
      <c r="AD858" s="31">
        <f>IF(AND($Y858&lt;&gt;"",N($Z858)&gt;0,$AC858=0),MAX($AD$7:$AD857)+1,"")</f>
        <v/>
      </c>
      <c r="AE858" s="31">
        <f>IF($Y858="",0,$Y858)</f>
        <v/>
      </c>
    </row>
    <row r="859">
      <c r="W859" s="31">
        <f>IF(OR($B$5="",$C$6="",ROW()&lt;$B$5),"",IF(INDEX($A:$U,ROW(),$C$6)="","",INDEX($A:$U,ROW(),$C$6)))</f>
        <v/>
      </c>
      <c r="X859" s="32">
        <f>IF($W859="","",IF(ISNUMBER($W859),IF($W859&gt;=10000000,IFERROR(DATE(INT($W859/10000),MOD(INT($W859/100),100),MOD($W859,100)),""),INT($W859)),IFERROR(DATE(--LEFT(LEFT(SUBSTITUTE(SUBSTITUTE(SUBSTITUTE(SUBSTITUTE(TRIM($W859),"-",""),".",""),"/","")," ",""),8),4),--MID(LEFT(SUBSTITUTE(SUBSTITUTE(SUBSTITUTE(SUBSTITUTE(TRIM($W859),"-",""),".",""),"/","")," ",""),8),5,2),--MID(LEFT(SUBSTITUTE(SUBSTITUTE(SUBSTITUTE(SUBSTITUTE(TRIM($W859),"-",""),".",""),"/","")," ",""),8),7,2)),"")))</f>
        <v/>
      </c>
      <c r="Y859" s="32">
        <f>IF($X859="","",INT($X859))</f>
        <v/>
      </c>
      <c r="Z859" s="33">
        <f>IF(OR($Y859="",$D$6=""),"",IF(INDEX($A:$U,ROW(),$D$6)="",0,IF(ISNUMBER(INDEX($A:$U,ROW(),$D$6)),INDEX($A:$U,ROW(),$D$6),IFERROR(--SUBSTITUTE(SUBSTITUTE(TRIM(INDEX($A:$U,ROW(),$D$6)),",",""),"원",""),0))))</f>
        <v/>
      </c>
      <c r="AA859" s="31">
        <f>IF($Y859="","",TRIM(INDEX($A:$U,ROW(),$E$6)&amp;IF($F$6="",""," "&amp;INDEX($A:$U,ROW(),$F$6))))</f>
        <v/>
      </c>
      <c r="AB859" s="31">
        <f>IF($AA859="","",SUBSTITUTE(SUBSTITUTE(SUBSTITUTE(SUBSTITUTE(SUBSTITUTE(SUBSTITUTE(SUBSTITUTE(SUBSTITUTE(SUBSTITUTE($AA859," ",""),"　",""),"(주)",""),"（주）",""),"㈜",""),"주식회사",""),"(유)",""),"（유）",""),"유한회사",""))</f>
        <v/>
      </c>
      <c r="AC859" s="31">
        <f>IF(OR($Y859="",N($Z859)&lt;=0,$AB859=""),0,IFERROR(LOOKUP(2,1/((거래처별!$AC$8:$AC$307&lt;&gt;"")*ISNUMBER(SEARCH(거래처별!$AC$8:$AC$307,$AB859))),거래처별!$A$8:$A$307),IFERROR(LOOKUP(2,1/((거래처별!$AD$8:$AD$307&lt;&gt;"")*ISNUMBER(SEARCH(거래처별!$AD$8:$AD$307,$AB859))),거래처별!$A$8:$A$307),IFERROR(LOOKUP(2,1/((거래처별!$AE$8:$AE$307&lt;&gt;"")*ISNUMBER(SEARCH(거래처별!$AE$8:$AE$307,$AB859))),거래처별!$A$8:$A$307),0))))</f>
        <v/>
      </c>
      <c r="AD859" s="31">
        <f>IF(AND($Y859&lt;&gt;"",N($Z859)&gt;0,$AC859=0),MAX($AD$7:$AD858)+1,"")</f>
        <v/>
      </c>
      <c r="AE859" s="31">
        <f>IF($Y859="",0,$Y859)</f>
        <v/>
      </c>
    </row>
    <row r="860">
      <c r="W860" s="31">
        <f>IF(OR($B$5="",$C$6="",ROW()&lt;$B$5),"",IF(INDEX($A:$U,ROW(),$C$6)="","",INDEX($A:$U,ROW(),$C$6)))</f>
        <v/>
      </c>
      <c r="X860" s="32">
        <f>IF($W860="","",IF(ISNUMBER($W860),IF($W860&gt;=10000000,IFERROR(DATE(INT($W860/10000),MOD(INT($W860/100),100),MOD($W860,100)),""),INT($W860)),IFERROR(DATE(--LEFT(LEFT(SUBSTITUTE(SUBSTITUTE(SUBSTITUTE(SUBSTITUTE(TRIM($W860),"-",""),".",""),"/","")," ",""),8),4),--MID(LEFT(SUBSTITUTE(SUBSTITUTE(SUBSTITUTE(SUBSTITUTE(TRIM($W860),"-",""),".",""),"/","")," ",""),8),5,2),--MID(LEFT(SUBSTITUTE(SUBSTITUTE(SUBSTITUTE(SUBSTITUTE(TRIM($W860),"-",""),".",""),"/","")," ",""),8),7,2)),"")))</f>
        <v/>
      </c>
      <c r="Y860" s="32">
        <f>IF($X860="","",INT($X860))</f>
        <v/>
      </c>
      <c r="Z860" s="33">
        <f>IF(OR($Y860="",$D$6=""),"",IF(INDEX($A:$U,ROW(),$D$6)="",0,IF(ISNUMBER(INDEX($A:$U,ROW(),$D$6)),INDEX($A:$U,ROW(),$D$6),IFERROR(--SUBSTITUTE(SUBSTITUTE(TRIM(INDEX($A:$U,ROW(),$D$6)),",",""),"원",""),0))))</f>
        <v/>
      </c>
      <c r="AA860" s="31">
        <f>IF($Y860="","",TRIM(INDEX($A:$U,ROW(),$E$6)&amp;IF($F$6="",""," "&amp;INDEX($A:$U,ROW(),$F$6))))</f>
        <v/>
      </c>
      <c r="AB860" s="31">
        <f>IF($AA860="","",SUBSTITUTE(SUBSTITUTE(SUBSTITUTE(SUBSTITUTE(SUBSTITUTE(SUBSTITUTE(SUBSTITUTE(SUBSTITUTE(SUBSTITUTE($AA860," ",""),"　",""),"(주)",""),"（주）",""),"㈜",""),"주식회사",""),"(유)",""),"（유）",""),"유한회사",""))</f>
        <v/>
      </c>
      <c r="AC860" s="31">
        <f>IF(OR($Y860="",N($Z860)&lt;=0,$AB860=""),0,IFERROR(LOOKUP(2,1/((거래처별!$AC$8:$AC$307&lt;&gt;"")*ISNUMBER(SEARCH(거래처별!$AC$8:$AC$307,$AB860))),거래처별!$A$8:$A$307),IFERROR(LOOKUP(2,1/((거래처별!$AD$8:$AD$307&lt;&gt;"")*ISNUMBER(SEARCH(거래처별!$AD$8:$AD$307,$AB860))),거래처별!$A$8:$A$307),IFERROR(LOOKUP(2,1/((거래처별!$AE$8:$AE$307&lt;&gt;"")*ISNUMBER(SEARCH(거래처별!$AE$8:$AE$307,$AB860))),거래처별!$A$8:$A$307),0))))</f>
        <v/>
      </c>
      <c r="AD860" s="31">
        <f>IF(AND($Y860&lt;&gt;"",N($Z860)&gt;0,$AC860=0),MAX($AD$7:$AD859)+1,"")</f>
        <v/>
      </c>
      <c r="AE860" s="31">
        <f>IF($Y860="",0,$Y860)</f>
        <v/>
      </c>
    </row>
    <row r="861">
      <c r="W861" s="31">
        <f>IF(OR($B$5="",$C$6="",ROW()&lt;$B$5),"",IF(INDEX($A:$U,ROW(),$C$6)="","",INDEX($A:$U,ROW(),$C$6)))</f>
        <v/>
      </c>
      <c r="X861" s="32">
        <f>IF($W861="","",IF(ISNUMBER($W861),IF($W861&gt;=10000000,IFERROR(DATE(INT($W861/10000),MOD(INT($W861/100),100),MOD($W861,100)),""),INT($W861)),IFERROR(DATE(--LEFT(LEFT(SUBSTITUTE(SUBSTITUTE(SUBSTITUTE(SUBSTITUTE(TRIM($W861),"-",""),".",""),"/","")," ",""),8),4),--MID(LEFT(SUBSTITUTE(SUBSTITUTE(SUBSTITUTE(SUBSTITUTE(TRIM($W861),"-",""),".",""),"/","")," ",""),8),5,2),--MID(LEFT(SUBSTITUTE(SUBSTITUTE(SUBSTITUTE(SUBSTITUTE(TRIM($W861),"-",""),".",""),"/","")," ",""),8),7,2)),"")))</f>
        <v/>
      </c>
      <c r="Y861" s="32">
        <f>IF($X861="","",INT($X861))</f>
        <v/>
      </c>
      <c r="Z861" s="33">
        <f>IF(OR($Y861="",$D$6=""),"",IF(INDEX($A:$U,ROW(),$D$6)="",0,IF(ISNUMBER(INDEX($A:$U,ROW(),$D$6)),INDEX($A:$U,ROW(),$D$6),IFERROR(--SUBSTITUTE(SUBSTITUTE(TRIM(INDEX($A:$U,ROW(),$D$6)),",",""),"원",""),0))))</f>
        <v/>
      </c>
      <c r="AA861" s="31">
        <f>IF($Y861="","",TRIM(INDEX($A:$U,ROW(),$E$6)&amp;IF($F$6="",""," "&amp;INDEX($A:$U,ROW(),$F$6))))</f>
        <v/>
      </c>
      <c r="AB861" s="31">
        <f>IF($AA861="","",SUBSTITUTE(SUBSTITUTE(SUBSTITUTE(SUBSTITUTE(SUBSTITUTE(SUBSTITUTE(SUBSTITUTE(SUBSTITUTE(SUBSTITUTE($AA861," ",""),"　",""),"(주)",""),"（주）",""),"㈜",""),"주식회사",""),"(유)",""),"（유）",""),"유한회사",""))</f>
        <v/>
      </c>
      <c r="AC861" s="31">
        <f>IF(OR($Y861="",N($Z861)&lt;=0,$AB861=""),0,IFERROR(LOOKUP(2,1/((거래처별!$AC$8:$AC$307&lt;&gt;"")*ISNUMBER(SEARCH(거래처별!$AC$8:$AC$307,$AB861))),거래처별!$A$8:$A$307),IFERROR(LOOKUP(2,1/((거래처별!$AD$8:$AD$307&lt;&gt;"")*ISNUMBER(SEARCH(거래처별!$AD$8:$AD$307,$AB861))),거래처별!$A$8:$A$307),IFERROR(LOOKUP(2,1/((거래처별!$AE$8:$AE$307&lt;&gt;"")*ISNUMBER(SEARCH(거래처별!$AE$8:$AE$307,$AB861))),거래처별!$A$8:$A$307),0))))</f>
        <v/>
      </c>
      <c r="AD861" s="31">
        <f>IF(AND($Y861&lt;&gt;"",N($Z861)&gt;0,$AC861=0),MAX($AD$7:$AD860)+1,"")</f>
        <v/>
      </c>
      <c r="AE861" s="31">
        <f>IF($Y861="",0,$Y861)</f>
        <v/>
      </c>
    </row>
    <row r="862">
      <c r="W862" s="31">
        <f>IF(OR($B$5="",$C$6="",ROW()&lt;$B$5),"",IF(INDEX($A:$U,ROW(),$C$6)="","",INDEX($A:$U,ROW(),$C$6)))</f>
        <v/>
      </c>
      <c r="X862" s="32">
        <f>IF($W862="","",IF(ISNUMBER($W862),IF($W862&gt;=10000000,IFERROR(DATE(INT($W862/10000),MOD(INT($W862/100),100),MOD($W862,100)),""),INT($W862)),IFERROR(DATE(--LEFT(LEFT(SUBSTITUTE(SUBSTITUTE(SUBSTITUTE(SUBSTITUTE(TRIM($W862),"-",""),".",""),"/","")," ",""),8),4),--MID(LEFT(SUBSTITUTE(SUBSTITUTE(SUBSTITUTE(SUBSTITUTE(TRIM($W862),"-",""),".",""),"/","")," ",""),8),5,2),--MID(LEFT(SUBSTITUTE(SUBSTITUTE(SUBSTITUTE(SUBSTITUTE(TRIM($W862),"-",""),".",""),"/","")," ",""),8),7,2)),"")))</f>
        <v/>
      </c>
      <c r="Y862" s="32">
        <f>IF($X862="","",INT($X862))</f>
        <v/>
      </c>
      <c r="Z862" s="33">
        <f>IF(OR($Y862="",$D$6=""),"",IF(INDEX($A:$U,ROW(),$D$6)="",0,IF(ISNUMBER(INDEX($A:$U,ROW(),$D$6)),INDEX($A:$U,ROW(),$D$6),IFERROR(--SUBSTITUTE(SUBSTITUTE(TRIM(INDEX($A:$U,ROW(),$D$6)),",",""),"원",""),0))))</f>
        <v/>
      </c>
      <c r="AA862" s="31">
        <f>IF($Y862="","",TRIM(INDEX($A:$U,ROW(),$E$6)&amp;IF($F$6="",""," "&amp;INDEX($A:$U,ROW(),$F$6))))</f>
        <v/>
      </c>
      <c r="AB862" s="31">
        <f>IF($AA862="","",SUBSTITUTE(SUBSTITUTE(SUBSTITUTE(SUBSTITUTE(SUBSTITUTE(SUBSTITUTE(SUBSTITUTE(SUBSTITUTE(SUBSTITUTE($AA862," ",""),"　",""),"(주)",""),"（주）",""),"㈜",""),"주식회사",""),"(유)",""),"（유）",""),"유한회사",""))</f>
        <v/>
      </c>
      <c r="AC862" s="31">
        <f>IF(OR($Y862="",N($Z862)&lt;=0,$AB862=""),0,IFERROR(LOOKUP(2,1/((거래처별!$AC$8:$AC$307&lt;&gt;"")*ISNUMBER(SEARCH(거래처별!$AC$8:$AC$307,$AB862))),거래처별!$A$8:$A$307),IFERROR(LOOKUP(2,1/((거래처별!$AD$8:$AD$307&lt;&gt;"")*ISNUMBER(SEARCH(거래처별!$AD$8:$AD$307,$AB862))),거래처별!$A$8:$A$307),IFERROR(LOOKUP(2,1/((거래처별!$AE$8:$AE$307&lt;&gt;"")*ISNUMBER(SEARCH(거래처별!$AE$8:$AE$307,$AB862))),거래처별!$A$8:$A$307),0))))</f>
        <v/>
      </c>
      <c r="AD862" s="31">
        <f>IF(AND($Y862&lt;&gt;"",N($Z862)&gt;0,$AC862=0),MAX($AD$7:$AD861)+1,"")</f>
        <v/>
      </c>
      <c r="AE862" s="31">
        <f>IF($Y862="",0,$Y862)</f>
        <v/>
      </c>
    </row>
    <row r="863">
      <c r="W863" s="31">
        <f>IF(OR($B$5="",$C$6="",ROW()&lt;$B$5),"",IF(INDEX($A:$U,ROW(),$C$6)="","",INDEX($A:$U,ROW(),$C$6)))</f>
        <v/>
      </c>
      <c r="X863" s="32">
        <f>IF($W863="","",IF(ISNUMBER($W863),IF($W863&gt;=10000000,IFERROR(DATE(INT($W863/10000),MOD(INT($W863/100),100),MOD($W863,100)),""),INT($W863)),IFERROR(DATE(--LEFT(LEFT(SUBSTITUTE(SUBSTITUTE(SUBSTITUTE(SUBSTITUTE(TRIM($W863),"-",""),".",""),"/","")," ",""),8),4),--MID(LEFT(SUBSTITUTE(SUBSTITUTE(SUBSTITUTE(SUBSTITUTE(TRIM($W863),"-",""),".",""),"/","")," ",""),8),5,2),--MID(LEFT(SUBSTITUTE(SUBSTITUTE(SUBSTITUTE(SUBSTITUTE(TRIM($W863),"-",""),".",""),"/","")," ",""),8),7,2)),"")))</f>
        <v/>
      </c>
      <c r="Y863" s="32">
        <f>IF($X863="","",INT($X863))</f>
        <v/>
      </c>
      <c r="Z863" s="33">
        <f>IF(OR($Y863="",$D$6=""),"",IF(INDEX($A:$U,ROW(),$D$6)="",0,IF(ISNUMBER(INDEX($A:$U,ROW(),$D$6)),INDEX($A:$U,ROW(),$D$6),IFERROR(--SUBSTITUTE(SUBSTITUTE(TRIM(INDEX($A:$U,ROW(),$D$6)),",",""),"원",""),0))))</f>
        <v/>
      </c>
      <c r="AA863" s="31">
        <f>IF($Y863="","",TRIM(INDEX($A:$U,ROW(),$E$6)&amp;IF($F$6="",""," "&amp;INDEX($A:$U,ROW(),$F$6))))</f>
        <v/>
      </c>
      <c r="AB863" s="31">
        <f>IF($AA863="","",SUBSTITUTE(SUBSTITUTE(SUBSTITUTE(SUBSTITUTE(SUBSTITUTE(SUBSTITUTE(SUBSTITUTE(SUBSTITUTE(SUBSTITUTE($AA863," ",""),"　",""),"(주)",""),"（주）",""),"㈜",""),"주식회사",""),"(유)",""),"（유）",""),"유한회사",""))</f>
        <v/>
      </c>
      <c r="AC863" s="31">
        <f>IF(OR($Y863="",N($Z863)&lt;=0,$AB863=""),0,IFERROR(LOOKUP(2,1/((거래처별!$AC$8:$AC$307&lt;&gt;"")*ISNUMBER(SEARCH(거래처별!$AC$8:$AC$307,$AB863))),거래처별!$A$8:$A$307),IFERROR(LOOKUP(2,1/((거래처별!$AD$8:$AD$307&lt;&gt;"")*ISNUMBER(SEARCH(거래처별!$AD$8:$AD$307,$AB863))),거래처별!$A$8:$A$307),IFERROR(LOOKUP(2,1/((거래처별!$AE$8:$AE$307&lt;&gt;"")*ISNUMBER(SEARCH(거래처별!$AE$8:$AE$307,$AB863))),거래처별!$A$8:$A$307),0))))</f>
        <v/>
      </c>
      <c r="AD863" s="31">
        <f>IF(AND($Y863&lt;&gt;"",N($Z863)&gt;0,$AC863=0),MAX($AD$7:$AD862)+1,"")</f>
        <v/>
      </c>
      <c r="AE863" s="31">
        <f>IF($Y863="",0,$Y863)</f>
        <v/>
      </c>
    </row>
    <row r="864">
      <c r="W864" s="31">
        <f>IF(OR($B$5="",$C$6="",ROW()&lt;$B$5),"",IF(INDEX($A:$U,ROW(),$C$6)="","",INDEX($A:$U,ROW(),$C$6)))</f>
        <v/>
      </c>
      <c r="X864" s="32">
        <f>IF($W864="","",IF(ISNUMBER($W864),IF($W864&gt;=10000000,IFERROR(DATE(INT($W864/10000),MOD(INT($W864/100),100),MOD($W864,100)),""),INT($W864)),IFERROR(DATE(--LEFT(LEFT(SUBSTITUTE(SUBSTITUTE(SUBSTITUTE(SUBSTITUTE(TRIM($W864),"-",""),".",""),"/","")," ",""),8),4),--MID(LEFT(SUBSTITUTE(SUBSTITUTE(SUBSTITUTE(SUBSTITUTE(TRIM($W864),"-",""),".",""),"/","")," ",""),8),5,2),--MID(LEFT(SUBSTITUTE(SUBSTITUTE(SUBSTITUTE(SUBSTITUTE(TRIM($W864),"-",""),".",""),"/","")," ",""),8),7,2)),"")))</f>
        <v/>
      </c>
      <c r="Y864" s="32">
        <f>IF($X864="","",INT($X864))</f>
        <v/>
      </c>
      <c r="Z864" s="33">
        <f>IF(OR($Y864="",$D$6=""),"",IF(INDEX($A:$U,ROW(),$D$6)="",0,IF(ISNUMBER(INDEX($A:$U,ROW(),$D$6)),INDEX($A:$U,ROW(),$D$6),IFERROR(--SUBSTITUTE(SUBSTITUTE(TRIM(INDEX($A:$U,ROW(),$D$6)),",",""),"원",""),0))))</f>
        <v/>
      </c>
      <c r="AA864" s="31">
        <f>IF($Y864="","",TRIM(INDEX($A:$U,ROW(),$E$6)&amp;IF($F$6="",""," "&amp;INDEX($A:$U,ROW(),$F$6))))</f>
        <v/>
      </c>
      <c r="AB864" s="31">
        <f>IF($AA864="","",SUBSTITUTE(SUBSTITUTE(SUBSTITUTE(SUBSTITUTE(SUBSTITUTE(SUBSTITUTE(SUBSTITUTE(SUBSTITUTE(SUBSTITUTE($AA864," ",""),"　",""),"(주)",""),"（주）",""),"㈜",""),"주식회사",""),"(유)",""),"（유）",""),"유한회사",""))</f>
        <v/>
      </c>
      <c r="AC864" s="31">
        <f>IF(OR($Y864="",N($Z864)&lt;=0,$AB864=""),0,IFERROR(LOOKUP(2,1/((거래처별!$AC$8:$AC$307&lt;&gt;"")*ISNUMBER(SEARCH(거래처별!$AC$8:$AC$307,$AB864))),거래처별!$A$8:$A$307),IFERROR(LOOKUP(2,1/((거래처별!$AD$8:$AD$307&lt;&gt;"")*ISNUMBER(SEARCH(거래처별!$AD$8:$AD$307,$AB864))),거래처별!$A$8:$A$307),IFERROR(LOOKUP(2,1/((거래처별!$AE$8:$AE$307&lt;&gt;"")*ISNUMBER(SEARCH(거래처별!$AE$8:$AE$307,$AB864))),거래처별!$A$8:$A$307),0))))</f>
        <v/>
      </c>
      <c r="AD864" s="31">
        <f>IF(AND($Y864&lt;&gt;"",N($Z864)&gt;0,$AC864=0),MAX($AD$7:$AD863)+1,"")</f>
        <v/>
      </c>
      <c r="AE864" s="31">
        <f>IF($Y864="",0,$Y864)</f>
        <v/>
      </c>
    </row>
    <row r="865">
      <c r="W865" s="31">
        <f>IF(OR($B$5="",$C$6="",ROW()&lt;$B$5),"",IF(INDEX($A:$U,ROW(),$C$6)="","",INDEX($A:$U,ROW(),$C$6)))</f>
        <v/>
      </c>
      <c r="X865" s="32">
        <f>IF($W865="","",IF(ISNUMBER($W865),IF($W865&gt;=10000000,IFERROR(DATE(INT($W865/10000),MOD(INT($W865/100),100),MOD($W865,100)),""),INT($W865)),IFERROR(DATE(--LEFT(LEFT(SUBSTITUTE(SUBSTITUTE(SUBSTITUTE(SUBSTITUTE(TRIM($W865),"-",""),".",""),"/","")," ",""),8),4),--MID(LEFT(SUBSTITUTE(SUBSTITUTE(SUBSTITUTE(SUBSTITUTE(TRIM($W865),"-",""),".",""),"/","")," ",""),8),5,2),--MID(LEFT(SUBSTITUTE(SUBSTITUTE(SUBSTITUTE(SUBSTITUTE(TRIM($W865),"-",""),".",""),"/","")," ",""),8),7,2)),"")))</f>
        <v/>
      </c>
      <c r="Y865" s="32">
        <f>IF($X865="","",INT($X865))</f>
        <v/>
      </c>
      <c r="Z865" s="33">
        <f>IF(OR($Y865="",$D$6=""),"",IF(INDEX($A:$U,ROW(),$D$6)="",0,IF(ISNUMBER(INDEX($A:$U,ROW(),$D$6)),INDEX($A:$U,ROW(),$D$6),IFERROR(--SUBSTITUTE(SUBSTITUTE(TRIM(INDEX($A:$U,ROW(),$D$6)),",",""),"원",""),0))))</f>
        <v/>
      </c>
      <c r="AA865" s="31">
        <f>IF($Y865="","",TRIM(INDEX($A:$U,ROW(),$E$6)&amp;IF($F$6="",""," "&amp;INDEX($A:$U,ROW(),$F$6))))</f>
        <v/>
      </c>
      <c r="AB865" s="31">
        <f>IF($AA865="","",SUBSTITUTE(SUBSTITUTE(SUBSTITUTE(SUBSTITUTE(SUBSTITUTE(SUBSTITUTE(SUBSTITUTE(SUBSTITUTE(SUBSTITUTE($AA865," ",""),"　",""),"(주)",""),"（주）",""),"㈜",""),"주식회사",""),"(유)",""),"（유）",""),"유한회사",""))</f>
        <v/>
      </c>
      <c r="AC865" s="31">
        <f>IF(OR($Y865="",N($Z865)&lt;=0,$AB865=""),0,IFERROR(LOOKUP(2,1/((거래처별!$AC$8:$AC$307&lt;&gt;"")*ISNUMBER(SEARCH(거래처별!$AC$8:$AC$307,$AB865))),거래처별!$A$8:$A$307),IFERROR(LOOKUP(2,1/((거래처별!$AD$8:$AD$307&lt;&gt;"")*ISNUMBER(SEARCH(거래처별!$AD$8:$AD$307,$AB865))),거래처별!$A$8:$A$307),IFERROR(LOOKUP(2,1/((거래처별!$AE$8:$AE$307&lt;&gt;"")*ISNUMBER(SEARCH(거래처별!$AE$8:$AE$307,$AB865))),거래처별!$A$8:$A$307),0))))</f>
        <v/>
      </c>
      <c r="AD865" s="31">
        <f>IF(AND($Y865&lt;&gt;"",N($Z865)&gt;0,$AC865=0),MAX($AD$7:$AD864)+1,"")</f>
        <v/>
      </c>
      <c r="AE865" s="31">
        <f>IF($Y865="",0,$Y865)</f>
        <v/>
      </c>
    </row>
    <row r="866">
      <c r="W866" s="31">
        <f>IF(OR($B$5="",$C$6="",ROW()&lt;$B$5),"",IF(INDEX($A:$U,ROW(),$C$6)="","",INDEX($A:$U,ROW(),$C$6)))</f>
        <v/>
      </c>
      <c r="X866" s="32">
        <f>IF($W866="","",IF(ISNUMBER($W866),IF($W866&gt;=10000000,IFERROR(DATE(INT($W866/10000),MOD(INT($W866/100),100),MOD($W866,100)),""),INT($W866)),IFERROR(DATE(--LEFT(LEFT(SUBSTITUTE(SUBSTITUTE(SUBSTITUTE(SUBSTITUTE(TRIM($W866),"-",""),".",""),"/","")," ",""),8),4),--MID(LEFT(SUBSTITUTE(SUBSTITUTE(SUBSTITUTE(SUBSTITUTE(TRIM($W866),"-",""),".",""),"/","")," ",""),8),5,2),--MID(LEFT(SUBSTITUTE(SUBSTITUTE(SUBSTITUTE(SUBSTITUTE(TRIM($W866),"-",""),".",""),"/","")," ",""),8),7,2)),"")))</f>
        <v/>
      </c>
      <c r="Y866" s="32">
        <f>IF($X866="","",INT($X866))</f>
        <v/>
      </c>
      <c r="Z866" s="33">
        <f>IF(OR($Y866="",$D$6=""),"",IF(INDEX($A:$U,ROW(),$D$6)="",0,IF(ISNUMBER(INDEX($A:$U,ROW(),$D$6)),INDEX($A:$U,ROW(),$D$6),IFERROR(--SUBSTITUTE(SUBSTITUTE(TRIM(INDEX($A:$U,ROW(),$D$6)),",",""),"원",""),0))))</f>
        <v/>
      </c>
      <c r="AA866" s="31">
        <f>IF($Y866="","",TRIM(INDEX($A:$U,ROW(),$E$6)&amp;IF($F$6="",""," "&amp;INDEX($A:$U,ROW(),$F$6))))</f>
        <v/>
      </c>
      <c r="AB866" s="31">
        <f>IF($AA866="","",SUBSTITUTE(SUBSTITUTE(SUBSTITUTE(SUBSTITUTE(SUBSTITUTE(SUBSTITUTE(SUBSTITUTE(SUBSTITUTE(SUBSTITUTE($AA866," ",""),"　",""),"(주)",""),"（주）",""),"㈜",""),"주식회사",""),"(유)",""),"（유）",""),"유한회사",""))</f>
        <v/>
      </c>
      <c r="AC866" s="31">
        <f>IF(OR($Y866="",N($Z866)&lt;=0,$AB866=""),0,IFERROR(LOOKUP(2,1/((거래처별!$AC$8:$AC$307&lt;&gt;"")*ISNUMBER(SEARCH(거래처별!$AC$8:$AC$307,$AB866))),거래처별!$A$8:$A$307),IFERROR(LOOKUP(2,1/((거래처별!$AD$8:$AD$307&lt;&gt;"")*ISNUMBER(SEARCH(거래처별!$AD$8:$AD$307,$AB866))),거래처별!$A$8:$A$307),IFERROR(LOOKUP(2,1/((거래처별!$AE$8:$AE$307&lt;&gt;"")*ISNUMBER(SEARCH(거래처별!$AE$8:$AE$307,$AB866))),거래처별!$A$8:$A$307),0))))</f>
        <v/>
      </c>
      <c r="AD866" s="31">
        <f>IF(AND($Y866&lt;&gt;"",N($Z866)&gt;0,$AC866=0),MAX($AD$7:$AD865)+1,"")</f>
        <v/>
      </c>
      <c r="AE866" s="31">
        <f>IF($Y866="",0,$Y866)</f>
        <v/>
      </c>
    </row>
    <row r="867">
      <c r="W867" s="31">
        <f>IF(OR($B$5="",$C$6="",ROW()&lt;$B$5),"",IF(INDEX($A:$U,ROW(),$C$6)="","",INDEX($A:$U,ROW(),$C$6)))</f>
        <v/>
      </c>
      <c r="X867" s="32">
        <f>IF($W867="","",IF(ISNUMBER($W867),IF($W867&gt;=10000000,IFERROR(DATE(INT($W867/10000),MOD(INT($W867/100),100),MOD($W867,100)),""),INT($W867)),IFERROR(DATE(--LEFT(LEFT(SUBSTITUTE(SUBSTITUTE(SUBSTITUTE(SUBSTITUTE(TRIM($W867),"-",""),".",""),"/","")," ",""),8),4),--MID(LEFT(SUBSTITUTE(SUBSTITUTE(SUBSTITUTE(SUBSTITUTE(TRIM($W867),"-",""),".",""),"/","")," ",""),8),5,2),--MID(LEFT(SUBSTITUTE(SUBSTITUTE(SUBSTITUTE(SUBSTITUTE(TRIM($W867),"-",""),".",""),"/","")," ",""),8),7,2)),"")))</f>
        <v/>
      </c>
      <c r="Y867" s="32">
        <f>IF($X867="","",INT($X867))</f>
        <v/>
      </c>
      <c r="Z867" s="33">
        <f>IF(OR($Y867="",$D$6=""),"",IF(INDEX($A:$U,ROW(),$D$6)="",0,IF(ISNUMBER(INDEX($A:$U,ROW(),$D$6)),INDEX($A:$U,ROW(),$D$6),IFERROR(--SUBSTITUTE(SUBSTITUTE(TRIM(INDEX($A:$U,ROW(),$D$6)),",",""),"원",""),0))))</f>
        <v/>
      </c>
      <c r="AA867" s="31">
        <f>IF($Y867="","",TRIM(INDEX($A:$U,ROW(),$E$6)&amp;IF($F$6="",""," "&amp;INDEX($A:$U,ROW(),$F$6))))</f>
        <v/>
      </c>
      <c r="AB867" s="31">
        <f>IF($AA867="","",SUBSTITUTE(SUBSTITUTE(SUBSTITUTE(SUBSTITUTE(SUBSTITUTE(SUBSTITUTE(SUBSTITUTE(SUBSTITUTE(SUBSTITUTE($AA867," ",""),"　",""),"(주)",""),"（주）",""),"㈜",""),"주식회사",""),"(유)",""),"（유）",""),"유한회사",""))</f>
        <v/>
      </c>
      <c r="AC867" s="31">
        <f>IF(OR($Y867="",N($Z867)&lt;=0,$AB867=""),0,IFERROR(LOOKUP(2,1/((거래처별!$AC$8:$AC$307&lt;&gt;"")*ISNUMBER(SEARCH(거래처별!$AC$8:$AC$307,$AB867))),거래처별!$A$8:$A$307),IFERROR(LOOKUP(2,1/((거래처별!$AD$8:$AD$307&lt;&gt;"")*ISNUMBER(SEARCH(거래처별!$AD$8:$AD$307,$AB867))),거래처별!$A$8:$A$307),IFERROR(LOOKUP(2,1/((거래처별!$AE$8:$AE$307&lt;&gt;"")*ISNUMBER(SEARCH(거래처별!$AE$8:$AE$307,$AB867))),거래처별!$A$8:$A$307),0))))</f>
        <v/>
      </c>
      <c r="AD867" s="31">
        <f>IF(AND($Y867&lt;&gt;"",N($Z867)&gt;0,$AC867=0),MAX($AD$7:$AD866)+1,"")</f>
        <v/>
      </c>
      <c r="AE867" s="31">
        <f>IF($Y867="",0,$Y867)</f>
        <v/>
      </c>
    </row>
    <row r="868">
      <c r="W868" s="31">
        <f>IF(OR($B$5="",$C$6="",ROW()&lt;$B$5),"",IF(INDEX($A:$U,ROW(),$C$6)="","",INDEX($A:$U,ROW(),$C$6)))</f>
        <v/>
      </c>
      <c r="X868" s="32">
        <f>IF($W868="","",IF(ISNUMBER($W868),IF($W868&gt;=10000000,IFERROR(DATE(INT($W868/10000),MOD(INT($W868/100),100),MOD($W868,100)),""),INT($W868)),IFERROR(DATE(--LEFT(LEFT(SUBSTITUTE(SUBSTITUTE(SUBSTITUTE(SUBSTITUTE(TRIM($W868),"-",""),".",""),"/","")," ",""),8),4),--MID(LEFT(SUBSTITUTE(SUBSTITUTE(SUBSTITUTE(SUBSTITUTE(TRIM($W868),"-",""),".",""),"/","")," ",""),8),5,2),--MID(LEFT(SUBSTITUTE(SUBSTITUTE(SUBSTITUTE(SUBSTITUTE(TRIM($W868),"-",""),".",""),"/","")," ",""),8),7,2)),"")))</f>
        <v/>
      </c>
      <c r="Y868" s="32">
        <f>IF($X868="","",INT($X868))</f>
        <v/>
      </c>
      <c r="Z868" s="33">
        <f>IF(OR($Y868="",$D$6=""),"",IF(INDEX($A:$U,ROW(),$D$6)="",0,IF(ISNUMBER(INDEX($A:$U,ROW(),$D$6)),INDEX($A:$U,ROW(),$D$6),IFERROR(--SUBSTITUTE(SUBSTITUTE(TRIM(INDEX($A:$U,ROW(),$D$6)),",",""),"원",""),0))))</f>
        <v/>
      </c>
      <c r="AA868" s="31">
        <f>IF($Y868="","",TRIM(INDEX($A:$U,ROW(),$E$6)&amp;IF($F$6="",""," "&amp;INDEX($A:$U,ROW(),$F$6))))</f>
        <v/>
      </c>
      <c r="AB868" s="31">
        <f>IF($AA868="","",SUBSTITUTE(SUBSTITUTE(SUBSTITUTE(SUBSTITUTE(SUBSTITUTE(SUBSTITUTE(SUBSTITUTE(SUBSTITUTE(SUBSTITUTE($AA868," ",""),"　",""),"(주)",""),"（주）",""),"㈜",""),"주식회사",""),"(유)",""),"（유）",""),"유한회사",""))</f>
        <v/>
      </c>
      <c r="AC868" s="31">
        <f>IF(OR($Y868="",N($Z868)&lt;=0,$AB868=""),0,IFERROR(LOOKUP(2,1/((거래처별!$AC$8:$AC$307&lt;&gt;"")*ISNUMBER(SEARCH(거래처별!$AC$8:$AC$307,$AB868))),거래처별!$A$8:$A$307),IFERROR(LOOKUP(2,1/((거래처별!$AD$8:$AD$307&lt;&gt;"")*ISNUMBER(SEARCH(거래처별!$AD$8:$AD$307,$AB868))),거래처별!$A$8:$A$307),IFERROR(LOOKUP(2,1/((거래처별!$AE$8:$AE$307&lt;&gt;"")*ISNUMBER(SEARCH(거래처별!$AE$8:$AE$307,$AB868))),거래처별!$A$8:$A$307),0))))</f>
        <v/>
      </c>
      <c r="AD868" s="31">
        <f>IF(AND($Y868&lt;&gt;"",N($Z868)&gt;0,$AC868=0),MAX($AD$7:$AD867)+1,"")</f>
        <v/>
      </c>
      <c r="AE868" s="31">
        <f>IF($Y868="",0,$Y868)</f>
        <v/>
      </c>
    </row>
    <row r="869">
      <c r="W869" s="31">
        <f>IF(OR($B$5="",$C$6="",ROW()&lt;$B$5),"",IF(INDEX($A:$U,ROW(),$C$6)="","",INDEX($A:$U,ROW(),$C$6)))</f>
        <v/>
      </c>
      <c r="X869" s="32">
        <f>IF($W869="","",IF(ISNUMBER($W869),IF($W869&gt;=10000000,IFERROR(DATE(INT($W869/10000),MOD(INT($W869/100),100),MOD($W869,100)),""),INT($W869)),IFERROR(DATE(--LEFT(LEFT(SUBSTITUTE(SUBSTITUTE(SUBSTITUTE(SUBSTITUTE(TRIM($W869),"-",""),".",""),"/","")," ",""),8),4),--MID(LEFT(SUBSTITUTE(SUBSTITUTE(SUBSTITUTE(SUBSTITUTE(TRIM($W869),"-",""),".",""),"/","")," ",""),8),5,2),--MID(LEFT(SUBSTITUTE(SUBSTITUTE(SUBSTITUTE(SUBSTITUTE(TRIM($W869),"-",""),".",""),"/","")," ",""),8),7,2)),"")))</f>
        <v/>
      </c>
      <c r="Y869" s="32">
        <f>IF($X869="","",INT($X869))</f>
        <v/>
      </c>
      <c r="Z869" s="33">
        <f>IF(OR($Y869="",$D$6=""),"",IF(INDEX($A:$U,ROW(),$D$6)="",0,IF(ISNUMBER(INDEX($A:$U,ROW(),$D$6)),INDEX($A:$U,ROW(),$D$6),IFERROR(--SUBSTITUTE(SUBSTITUTE(TRIM(INDEX($A:$U,ROW(),$D$6)),",",""),"원",""),0))))</f>
        <v/>
      </c>
      <c r="AA869" s="31">
        <f>IF($Y869="","",TRIM(INDEX($A:$U,ROW(),$E$6)&amp;IF($F$6="",""," "&amp;INDEX($A:$U,ROW(),$F$6))))</f>
        <v/>
      </c>
      <c r="AB869" s="31">
        <f>IF($AA869="","",SUBSTITUTE(SUBSTITUTE(SUBSTITUTE(SUBSTITUTE(SUBSTITUTE(SUBSTITUTE(SUBSTITUTE(SUBSTITUTE(SUBSTITUTE($AA869," ",""),"　",""),"(주)",""),"（주）",""),"㈜",""),"주식회사",""),"(유)",""),"（유）",""),"유한회사",""))</f>
        <v/>
      </c>
      <c r="AC869" s="31">
        <f>IF(OR($Y869="",N($Z869)&lt;=0,$AB869=""),0,IFERROR(LOOKUP(2,1/((거래처별!$AC$8:$AC$307&lt;&gt;"")*ISNUMBER(SEARCH(거래처별!$AC$8:$AC$307,$AB869))),거래처별!$A$8:$A$307),IFERROR(LOOKUP(2,1/((거래처별!$AD$8:$AD$307&lt;&gt;"")*ISNUMBER(SEARCH(거래처별!$AD$8:$AD$307,$AB869))),거래처별!$A$8:$A$307),IFERROR(LOOKUP(2,1/((거래처별!$AE$8:$AE$307&lt;&gt;"")*ISNUMBER(SEARCH(거래처별!$AE$8:$AE$307,$AB869))),거래처별!$A$8:$A$307),0))))</f>
        <v/>
      </c>
      <c r="AD869" s="31">
        <f>IF(AND($Y869&lt;&gt;"",N($Z869)&gt;0,$AC869=0),MAX($AD$7:$AD868)+1,"")</f>
        <v/>
      </c>
      <c r="AE869" s="31">
        <f>IF($Y869="",0,$Y869)</f>
        <v/>
      </c>
    </row>
    <row r="870">
      <c r="W870" s="31">
        <f>IF(OR($B$5="",$C$6="",ROW()&lt;$B$5),"",IF(INDEX($A:$U,ROW(),$C$6)="","",INDEX($A:$U,ROW(),$C$6)))</f>
        <v/>
      </c>
      <c r="X870" s="32">
        <f>IF($W870="","",IF(ISNUMBER($W870),IF($W870&gt;=10000000,IFERROR(DATE(INT($W870/10000),MOD(INT($W870/100),100),MOD($W870,100)),""),INT($W870)),IFERROR(DATE(--LEFT(LEFT(SUBSTITUTE(SUBSTITUTE(SUBSTITUTE(SUBSTITUTE(TRIM($W870),"-",""),".",""),"/","")," ",""),8),4),--MID(LEFT(SUBSTITUTE(SUBSTITUTE(SUBSTITUTE(SUBSTITUTE(TRIM($W870),"-",""),".",""),"/","")," ",""),8),5,2),--MID(LEFT(SUBSTITUTE(SUBSTITUTE(SUBSTITUTE(SUBSTITUTE(TRIM($W870),"-",""),".",""),"/","")," ",""),8),7,2)),"")))</f>
        <v/>
      </c>
      <c r="Y870" s="32">
        <f>IF($X870="","",INT($X870))</f>
        <v/>
      </c>
      <c r="Z870" s="33">
        <f>IF(OR($Y870="",$D$6=""),"",IF(INDEX($A:$U,ROW(),$D$6)="",0,IF(ISNUMBER(INDEX($A:$U,ROW(),$D$6)),INDEX($A:$U,ROW(),$D$6),IFERROR(--SUBSTITUTE(SUBSTITUTE(TRIM(INDEX($A:$U,ROW(),$D$6)),",",""),"원",""),0))))</f>
        <v/>
      </c>
      <c r="AA870" s="31">
        <f>IF($Y870="","",TRIM(INDEX($A:$U,ROW(),$E$6)&amp;IF($F$6="",""," "&amp;INDEX($A:$U,ROW(),$F$6))))</f>
        <v/>
      </c>
      <c r="AB870" s="31">
        <f>IF($AA870="","",SUBSTITUTE(SUBSTITUTE(SUBSTITUTE(SUBSTITUTE(SUBSTITUTE(SUBSTITUTE(SUBSTITUTE(SUBSTITUTE(SUBSTITUTE($AA870," ",""),"　",""),"(주)",""),"（주）",""),"㈜",""),"주식회사",""),"(유)",""),"（유）",""),"유한회사",""))</f>
        <v/>
      </c>
      <c r="AC870" s="31">
        <f>IF(OR($Y870="",N($Z870)&lt;=0,$AB870=""),0,IFERROR(LOOKUP(2,1/((거래처별!$AC$8:$AC$307&lt;&gt;"")*ISNUMBER(SEARCH(거래처별!$AC$8:$AC$307,$AB870))),거래처별!$A$8:$A$307),IFERROR(LOOKUP(2,1/((거래처별!$AD$8:$AD$307&lt;&gt;"")*ISNUMBER(SEARCH(거래처별!$AD$8:$AD$307,$AB870))),거래처별!$A$8:$A$307),IFERROR(LOOKUP(2,1/((거래처별!$AE$8:$AE$307&lt;&gt;"")*ISNUMBER(SEARCH(거래처별!$AE$8:$AE$307,$AB870))),거래처별!$A$8:$A$307),0))))</f>
        <v/>
      </c>
      <c r="AD870" s="31">
        <f>IF(AND($Y870&lt;&gt;"",N($Z870)&gt;0,$AC870=0),MAX($AD$7:$AD869)+1,"")</f>
        <v/>
      </c>
      <c r="AE870" s="31">
        <f>IF($Y870="",0,$Y870)</f>
        <v/>
      </c>
    </row>
    <row r="871">
      <c r="W871" s="31">
        <f>IF(OR($B$5="",$C$6="",ROW()&lt;$B$5),"",IF(INDEX($A:$U,ROW(),$C$6)="","",INDEX($A:$U,ROW(),$C$6)))</f>
        <v/>
      </c>
      <c r="X871" s="32">
        <f>IF($W871="","",IF(ISNUMBER($W871),IF($W871&gt;=10000000,IFERROR(DATE(INT($W871/10000),MOD(INT($W871/100),100),MOD($W871,100)),""),INT($W871)),IFERROR(DATE(--LEFT(LEFT(SUBSTITUTE(SUBSTITUTE(SUBSTITUTE(SUBSTITUTE(TRIM($W871),"-",""),".",""),"/","")," ",""),8),4),--MID(LEFT(SUBSTITUTE(SUBSTITUTE(SUBSTITUTE(SUBSTITUTE(TRIM($W871),"-",""),".",""),"/","")," ",""),8),5,2),--MID(LEFT(SUBSTITUTE(SUBSTITUTE(SUBSTITUTE(SUBSTITUTE(TRIM($W871),"-",""),".",""),"/","")," ",""),8),7,2)),"")))</f>
        <v/>
      </c>
      <c r="Y871" s="32">
        <f>IF($X871="","",INT($X871))</f>
        <v/>
      </c>
      <c r="Z871" s="33">
        <f>IF(OR($Y871="",$D$6=""),"",IF(INDEX($A:$U,ROW(),$D$6)="",0,IF(ISNUMBER(INDEX($A:$U,ROW(),$D$6)),INDEX($A:$U,ROW(),$D$6),IFERROR(--SUBSTITUTE(SUBSTITUTE(TRIM(INDEX($A:$U,ROW(),$D$6)),",",""),"원",""),0))))</f>
        <v/>
      </c>
      <c r="AA871" s="31">
        <f>IF($Y871="","",TRIM(INDEX($A:$U,ROW(),$E$6)&amp;IF($F$6="",""," "&amp;INDEX($A:$U,ROW(),$F$6))))</f>
        <v/>
      </c>
      <c r="AB871" s="31">
        <f>IF($AA871="","",SUBSTITUTE(SUBSTITUTE(SUBSTITUTE(SUBSTITUTE(SUBSTITUTE(SUBSTITUTE(SUBSTITUTE(SUBSTITUTE(SUBSTITUTE($AA871," ",""),"　",""),"(주)",""),"（주）",""),"㈜",""),"주식회사",""),"(유)",""),"（유）",""),"유한회사",""))</f>
        <v/>
      </c>
      <c r="AC871" s="31">
        <f>IF(OR($Y871="",N($Z871)&lt;=0,$AB871=""),0,IFERROR(LOOKUP(2,1/((거래처별!$AC$8:$AC$307&lt;&gt;"")*ISNUMBER(SEARCH(거래처별!$AC$8:$AC$307,$AB871))),거래처별!$A$8:$A$307),IFERROR(LOOKUP(2,1/((거래처별!$AD$8:$AD$307&lt;&gt;"")*ISNUMBER(SEARCH(거래처별!$AD$8:$AD$307,$AB871))),거래처별!$A$8:$A$307),IFERROR(LOOKUP(2,1/((거래처별!$AE$8:$AE$307&lt;&gt;"")*ISNUMBER(SEARCH(거래처별!$AE$8:$AE$307,$AB871))),거래처별!$A$8:$A$307),0))))</f>
        <v/>
      </c>
      <c r="AD871" s="31">
        <f>IF(AND($Y871&lt;&gt;"",N($Z871)&gt;0,$AC871=0),MAX($AD$7:$AD870)+1,"")</f>
        <v/>
      </c>
      <c r="AE871" s="31">
        <f>IF($Y871="",0,$Y871)</f>
        <v/>
      </c>
    </row>
    <row r="872">
      <c r="W872" s="31">
        <f>IF(OR($B$5="",$C$6="",ROW()&lt;$B$5),"",IF(INDEX($A:$U,ROW(),$C$6)="","",INDEX($A:$U,ROW(),$C$6)))</f>
        <v/>
      </c>
      <c r="X872" s="32">
        <f>IF($W872="","",IF(ISNUMBER($W872),IF($W872&gt;=10000000,IFERROR(DATE(INT($W872/10000),MOD(INT($W872/100),100),MOD($W872,100)),""),INT($W872)),IFERROR(DATE(--LEFT(LEFT(SUBSTITUTE(SUBSTITUTE(SUBSTITUTE(SUBSTITUTE(TRIM($W872),"-",""),".",""),"/","")," ",""),8),4),--MID(LEFT(SUBSTITUTE(SUBSTITUTE(SUBSTITUTE(SUBSTITUTE(TRIM($W872),"-",""),".",""),"/","")," ",""),8),5,2),--MID(LEFT(SUBSTITUTE(SUBSTITUTE(SUBSTITUTE(SUBSTITUTE(TRIM($W872),"-",""),".",""),"/","")," ",""),8),7,2)),"")))</f>
        <v/>
      </c>
      <c r="Y872" s="32">
        <f>IF($X872="","",INT($X872))</f>
        <v/>
      </c>
      <c r="Z872" s="33">
        <f>IF(OR($Y872="",$D$6=""),"",IF(INDEX($A:$U,ROW(),$D$6)="",0,IF(ISNUMBER(INDEX($A:$U,ROW(),$D$6)),INDEX($A:$U,ROW(),$D$6),IFERROR(--SUBSTITUTE(SUBSTITUTE(TRIM(INDEX($A:$U,ROW(),$D$6)),",",""),"원",""),0))))</f>
        <v/>
      </c>
      <c r="AA872" s="31">
        <f>IF($Y872="","",TRIM(INDEX($A:$U,ROW(),$E$6)&amp;IF($F$6="",""," "&amp;INDEX($A:$U,ROW(),$F$6))))</f>
        <v/>
      </c>
      <c r="AB872" s="31">
        <f>IF($AA872="","",SUBSTITUTE(SUBSTITUTE(SUBSTITUTE(SUBSTITUTE(SUBSTITUTE(SUBSTITUTE(SUBSTITUTE(SUBSTITUTE(SUBSTITUTE($AA872," ",""),"　",""),"(주)",""),"（주）",""),"㈜",""),"주식회사",""),"(유)",""),"（유）",""),"유한회사",""))</f>
        <v/>
      </c>
      <c r="AC872" s="31">
        <f>IF(OR($Y872="",N($Z872)&lt;=0,$AB872=""),0,IFERROR(LOOKUP(2,1/((거래처별!$AC$8:$AC$307&lt;&gt;"")*ISNUMBER(SEARCH(거래처별!$AC$8:$AC$307,$AB872))),거래처별!$A$8:$A$307),IFERROR(LOOKUP(2,1/((거래처별!$AD$8:$AD$307&lt;&gt;"")*ISNUMBER(SEARCH(거래처별!$AD$8:$AD$307,$AB872))),거래처별!$A$8:$A$307),IFERROR(LOOKUP(2,1/((거래처별!$AE$8:$AE$307&lt;&gt;"")*ISNUMBER(SEARCH(거래처별!$AE$8:$AE$307,$AB872))),거래처별!$A$8:$A$307),0))))</f>
        <v/>
      </c>
      <c r="AD872" s="31">
        <f>IF(AND($Y872&lt;&gt;"",N($Z872)&gt;0,$AC872=0),MAX($AD$7:$AD871)+1,"")</f>
        <v/>
      </c>
      <c r="AE872" s="31">
        <f>IF($Y872="",0,$Y872)</f>
        <v/>
      </c>
    </row>
    <row r="873">
      <c r="W873" s="31">
        <f>IF(OR($B$5="",$C$6="",ROW()&lt;$B$5),"",IF(INDEX($A:$U,ROW(),$C$6)="","",INDEX($A:$U,ROW(),$C$6)))</f>
        <v/>
      </c>
      <c r="X873" s="32">
        <f>IF($W873="","",IF(ISNUMBER($W873),IF($W873&gt;=10000000,IFERROR(DATE(INT($W873/10000),MOD(INT($W873/100),100),MOD($W873,100)),""),INT($W873)),IFERROR(DATE(--LEFT(LEFT(SUBSTITUTE(SUBSTITUTE(SUBSTITUTE(SUBSTITUTE(TRIM($W873),"-",""),".",""),"/","")," ",""),8),4),--MID(LEFT(SUBSTITUTE(SUBSTITUTE(SUBSTITUTE(SUBSTITUTE(TRIM($W873),"-",""),".",""),"/","")," ",""),8),5,2),--MID(LEFT(SUBSTITUTE(SUBSTITUTE(SUBSTITUTE(SUBSTITUTE(TRIM($W873),"-",""),".",""),"/","")," ",""),8),7,2)),"")))</f>
        <v/>
      </c>
      <c r="Y873" s="32">
        <f>IF($X873="","",INT($X873))</f>
        <v/>
      </c>
      <c r="Z873" s="33">
        <f>IF(OR($Y873="",$D$6=""),"",IF(INDEX($A:$U,ROW(),$D$6)="",0,IF(ISNUMBER(INDEX($A:$U,ROW(),$D$6)),INDEX($A:$U,ROW(),$D$6),IFERROR(--SUBSTITUTE(SUBSTITUTE(TRIM(INDEX($A:$U,ROW(),$D$6)),",",""),"원",""),0))))</f>
        <v/>
      </c>
      <c r="AA873" s="31">
        <f>IF($Y873="","",TRIM(INDEX($A:$U,ROW(),$E$6)&amp;IF($F$6="",""," "&amp;INDEX($A:$U,ROW(),$F$6))))</f>
        <v/>
      </c>
      <c r="AB873" s="31">
        <f>IF($AA873="","",SUBSTITUTE(SUBSTITUTE(SUBSTITUTE(SUBSTITUTE(SUBSTITUTE(SUBSTITUTE(SUBSTITUTE(SUBSTITUTE(SUBSTITUTE($AA873," ",""),"　",""),"(주)",""),"（주）",""),"㈜",""),"주식회사",""),"(유)",""),"（유）",""),"유한회사",""))</f>
        <v/>
      </c>
      <c r="AC873" s="31">
        <f>IF(OR($Y873="",N($Z873)&lt;=0,$AB873=""),0,IFERROR(LOOKUP(2,1/((거래처별!$AC$8:$AC$307&lt;&gt;"")*ISNUMBER(SEARCH(거래처별!$AC$8:$AC$307,$AB873))),거래처별!$A$8:$A$307),IFERROR(LOOKUP(2,1/((거래처별!$AD$8:$AD$307&lt;&gt;"")*ISNUMBER(SEARCH(거래처별!$AD$8:$AD$307,$AB873))),거래처별!$A$8:$A$307),IFERROR(LOOKUP(2,1/((거래처별!$AE$8:$AE$307&lt;&gt;"")*ISNUMBER(SEARCH(거래처별!$AE$8:$AE$307,$AB873))),거래처별!$A$8:$A$307),0))))</f>
        <v/>
      </c>
      <c r="AD873" s="31">
        <f>IF(AND($Y873&lt;&gt;"",N($Z873)&gt;0,$AC873=0),MAX($AD$7:$AD872)+1,"")</f>
        <v/>
      </c>
      <c r="AE873" s="31">
        <f>IF($Y873="",0,$Y873)</f>
        <v/>
      </c>
    </row>
    <row r="874">
      <c r="W874" s="31">
        <f>IF(OR($B$5="",$C$6="",ROW()&lt;$B$5),"",IF(INDEX($A:$U,ROW(),$C$6)="","",INDEX($A:$U,ROW(),$C$6)))</f>
        <v/>
      </c>
      <c r="X874" s="32">
        <f>IF($W874="","",IF(ISNUMBER($W874),IF($W874&gt;=10000000,IFERROR(DATE(INT($W874/10000),MOD(INT($W874/100),100),MOD($W874,100)),""),INT($W874)),IFERROR(DATE(--LEFT(LEFT(SUBSTITUTE(SUBSTITUTE(SUBSTITUTE(SUBSTITUTE(TRIM($W874),"-",""),".",""),"/","")," ",""),8),4),--MID(LEFT(SUBSTITUTE(SUBSTITUTE(SUBSTITUTE(SUBSTITUTE(TRIM($W874),"-",""),".",""),"/","")," ",""),8),5,2),--MID(LEFT(SUBSTITUTE(SUBSTITUTE(SUBSTITUTE(SUBSTITUTE(TRIM($W874),"-",""),".",""),"/","")," ",""),8),7,2)),"")))</f>
        <v/>
      </c>
      <c r="Y874" s="32">
        <f>IF($X874="","",INT($X874))</f>
        <v/>
      </c>
      <c r="Z874" s="33">
        <f>IF(OR($Y874="",$D$6=""),"",IF(INDEX($A:$U,ROW(),$D$6)="",0,IF(ISNUMBER(INDEX($A:$U,ROW(),$D$6)),INDEX($A:$U,ROW(),$D$6),IFERROR(--SUBSTITUTE(SUBSTITUTE(TRIM(INDEX($A:$U,ROW(),$D$6)),",",""),"원",""),0))))</f>
        <v/>
      </c>
      <c r="AA874" s="31">
        <f>IF($Y874="","",TRIM(INDEX($A:$U,ROW(),$E$6)&amp;IF($F$6="",""," "&amp;INDEX($A:$U,ROW(),$F$6))))</f>
        <v/>
      </c>
      <c r="AB874" s="31">
        <f>IF($AA874="","",SUBSTITUTE(SUBSTITUTE(SUBSTITUTE(SUBSTITUTE(SUBSTITUTE(SUBSTITUTE(SUBSTITUTE(SUBSTITUTE(SUBSTITUTE($AA874," ",""),"　",""),"(주)",""),"（주）",""),"㈜",""),"주식회사",""),"(유)",""),"（유）",""),"유한회사",""))</f>
        <v/>
      </c>
      <c r="AC874" s="31">
        <f>IF(OR($Y874="",N($Z874)&lt;=0,$AB874=""),0,IFERROR(LOOKUP(2,1/((거래처별!$AC$8:$AC$307&lt;&gt;"")*ISNUMBER(SEARCH(거래처별!$AC$8:$AC$307,$AB874))),거래처별!$A$8:$A$307),IFERROR(LOOKUP(2,1/((거래처별!$AD$8:$AD$307&lt;&gt;"")*ISNUMBER(SEARCH(거래처별!$AD$8:$AD$307,$AB874))),거래처별!$A$8:$A$307),IFERROR(LOOKUP(2,1/((거래처별!$AE$8:$AE$307&lt;&gt;"")*ISNUMBER(SEARCH(거래처별!$AE$8:$AE$307,$AB874))),거래처별!$A$8:$A$307),0))))</f>
        <v/>
      </c>
      <c r="AD874" s="31">
        <f>IF(AND($Y874&lt;&gt;"",N($Z874)&gt;0,$AC874=0),MAX($AD$7:$AD873)+1,"")</f>
        <v/>
      </c>
      <c r="AE874" s="31">
        <f>IF($Y874="",0,$Y874)</f>
        <v/>
      </c>
    </row>
    <row r="875">
      <c r="W875" s="31">
        <f>IF(OR($B$5="",$C$6="",ROW()&lt;$B$5),"",IF(INDEX($A:$U,ROW(),$C$6)="","",INDEX($A:$U,ROW(),$C$6)))</f>
        <v/>
      </c>
      <c r="X875" s="32">
        <f>IF($W875="","",IF(ISNUMBER($W875),IF($W875&gt;=10000000,IFERROR(DATE(INT($W875/10000),MOD(INT($W875/100),100),MOD($W875,100)),""),INT($W875)),IFERROR(DATE(--LEFT(LEFT(SUBSTITUTE(SUBSTITUTE(SUBSTITUTE(SUBSTITUTE(TRIM($W875),"-",""),".",""),"/","")," ",""),8),4),--MID(LEFT(SUBSTITUTE(SUBSTITUTE(SUBSTITUTE(SUBSTITUTE(TRIM($W875),"-",""),".",""),"/","")," ",""),8),5,2),--MID(LEFT(SUBSTITUTE(SUBSTITUTE(SUBSTITUTE(SUBSTITUTE(TRIM($W875),"-",""),".",""),"/","")," ",""),8),7,2)),"")))</f>
        <v/>
      </c>
      <c r="Y875" s="32">
        <f>IF($X875="","",INT($X875))</f>
        <v/>
      </c>
      <c r="Z875" s="33">
        <f>IF(OR($Y875="",$D$6=""),"",IF(INDEX($A:$U,ROW(),$D$6)="",0,IF(ISNUMBER(INDEX($A:$U,ROW(),$D$6)),INDEX($A:$U,ROW(),$D$6),IFERROR(--SUBSTITUTE(SUBSTITUTE(TRIM(INDEX($A:$U,ROW(),$D$6)),",",""),"원",""),0))))</f>
        <v/>
      </c>
      <c r="AA875" s="31">
        <f>IF($Y875="","",TRIM(INDEX($A:$U,ROW(),$E$6)&amp;IF($F$6="",""," "&amp;INDEX($A:$U,ROW(),$F$6))))</f>
        <v/>
      </c>
      <c r="AB875" s="31">
        <f>IF($AA875="","",SUBSTITUTE(SUBSTITUTE(SUBSTITUTE(SUBSTITUTE(SUBSTITUTE(SUBSTITUTE(SUBSTITUTE(SUBSTITUTE(SUBSTITUTE($AA875," ",""),"　",""),"(주)",""),"（주）",""),"㈜",""),"주식회사",""),"(유)",""),"（유）",""),"유한회사",""))</f>
        <v/>
      </c>
      <c r="AC875" s="31">
        <f>IF(OR($Y875="",N($Z875)&lt;=0,$AB875=""),0,IFERROR(LOOKUP(2,1/((거래처별!$AC$8:$AC$307&lt;&gt;"")*ISNUMBER(SEARCH(거래처별!$AC$8:$AC$307,$AB875))),거래처별!$A$8:$A$307),IFERROR(LOOKUP(2,1/((거래처별!$AD$8:$AD$307&lt;&gt;"")*ISNUMBER(SEARCH(거래처별!$AD$8:$AD$307,$AB875))),거래처별!$A$8:$A$307),IFERROR(LOOKUP(2,1/((거래처별!$AE$8:$AE$307&lt;&gt;"")*ISNUMBER(SEARCH(거래처별!$AE$8:$AE$307,$AB875))),거래처별!$A$8:$A$307),0))))</f>
        <v/>
      </c>
      <c r="AD875" s="31">
        <f>IF(AND($Y875&lt;&gt;"",N($Z875)&gt;0,$AC875=0),MAX($AD$7:$AD874)+1,"")</f>
        <v/>
      </c>
      <c r="AE875" s="31">
        <f>IF($Y875="",0,$Y875)</f>
        <v/>
      </c>
    </row>
    <row r="876">
      <c r="W876" s="31">
        <f>IF(OR($B$5="",$C$6="",ROW()&lt;$B$5),"",IF(INDEX($A:$U,ROW(),$C$6)="","",INDEX($A:$U,ROW(),$C$6)))</f>
        <v/>
      </c>
      <c r="X876" s="32">
        <f>IF($W876="","",IF(ISNUMBER($W876),IF($W876&gt;=10000000,IFERROR(DATE(INT($W876/10000),MOD(INT($W876/100),100),MOD($W876,100)),""),INT($W876)),IFERROR(DATE(--LEFT(LEFT(SUBSTITUTE(SUBSTITUTE(SUBSTITUTE(SUBSTITUTE(TRIM($W876),"-",""),".",""),"/","")," ",""),8),4),--MID(LEFT(SUBSTITUTE(SUBSTITUTE(SUBSTITUTE(SUBSTITUTE(TRIM($W876),"-",""),".",""),"/","")," ",""),8),5,2),--MID(LEFT(SUBSTITUTE(SUBSTITUTE(SUBSTITUTE(SUBSTITUTE(TRIM($W876),"-",""),".",""),"/","")," ",""),8),7,2)),"")))</f>
        <v/>
      </c>
      <c r="Y876" s="32">
        <f>IF($X876="","",INT($X876))</f>
        <v/>
      </c>
      <c r="Z876" s="33">
        <f>IF(OR($Y876="",$D$6=""),"",IF(INDEX($A:$U,ROW(),$D$6)="",0,IF(ISNUMBER(INDEX($A:$U,ROW(),$D$6)),INDEX($A:$U,ROW(),$D$6),IFERROR(--SUBSTITUTE(SUBSTITUTE(TRIM(INDEX($A:$U,ROW(),$D$6)),",",""),"원",""),0))))</f>
        <v/>
      </c>
      <c r="AA876" s="31">
        <f>IF($Y876="","",TRIM(INDEX($A:$U,ROW(),$E$6)&amp;IF($F$6="",""," "&amp;INDEX($A:$U,ROW(),$F$6))))</f>
        <v/>
      </c>
      <c r="AB876" s="31">
        <f>IF($AA876="","",SUBSTITUTE(SUBSTITUTE(SUBSTITUTE(SUBSTITUTE(SUBSTITUTE(SUBSTITUTE(SUBSTITUTE(SUBSTITUTE(SUBSTITUTE($AA876," ",""),"　",""),"(주)",""),"（주）",""),"㈜",""),"주식회사",""),"(유)",""),"（유）",""),"유한회사",""))</f>
        <v/>
      </c>
      <c r="AC876" s="31">
        <f>IF(OR($Y876="",N($Z876)&lt;=0,$AB876=""),0,IFERROR(LOOKUP(2,1/((거래처별!$AC$8:$AC$307&lt;&gt;"")*ISNUMBER(SEARCH(거래처별!$AC$8:$AC$307,$AB876))),거래처별!$A$8:$A$307),IFERROR(LOOKUP(2,1/((거래처별!$AD$8:$AD$307&lt;&gt;"")*ISNUMBER(SEARCH(거래처별!$AD$8:$AD$307,$AB876))),거래처별!$A$8:$A$307),IFERROR(LOOKUP(2,1/((거래처별!$AE$8:$AE$307&lt;&gt;"")*ISNUMBER(SEARCH(거래처별!$AE$8:$AE$307,$AB876))),거래처별!$A$8:$A$307),0))))</f>
        <v/>
      </c>
      <c r="AD876" s="31">
        <f>IF(AND($Y876&lt;&gt;"",N($Z876)&gt;0,$AC876=0),MAX($AD$7:$AD875)+1,"")</f>
        <v/>
      </c>
      <c r="AE876" s="31">
        <f>IF($Y876="",0,$Y876)</f>
        <v/>
      </c>
    </row>
    <row r="877">
      <c r="W877" s="31">
        <f>IF(OR($B$5="",$C$6="",ROW()&lt;$B$5),"",IF(INDEX($A:$U,ROW(),$C$6)="","",INDEX($A:$U,ROW(),$C$6)))</f>
        <v/>
      </c>
      <c r="X877" s="32">
        <f>IF($W877="","",IF(ISNUMBER($W877),IF($W877&gt;=10000000,IFERROR(DATE(INT($W877/10000),MOD(INT($W877/100),100),MOD($W877,100)),""),INT($W877)),IFERROR(DATE(--LEFT(LEFT(SUBSTITUTE(SUBSTITUTE(SUBSTITUTE(SUBSTITUTE(TRIM($W877),"-",""),".",""),"/","")," ",""),8),4),--MID(LEFT(SUBSTITUTE(SUBSTITUTE(SUBSTITUTE(SUBSTITUTE(TRIM($W877),"-",""),".",""),"/","")," ",""),8),5,2),--MID(LEFT(SUBSTITUTE(SUBSTITUTE(SUBSTITUTE(SUBSTITUTE(TRIM($W877),"-",""),".",""),"/","")," ",""),8),7,2)),"")))</f>
        <v/>
      </c>
      <c r="Y877" s="32">
        <f>IF($X877="","",INT($X877))</f>
        <v/>
      </c>
      <c r="Z877" s="33">
        <f>IF(OR($Y877="",$D$6=""),"",IF(INDEX($A:$U,ROW(),$D$6)="",0,IF(ISNUMBER(INDEX($A:$U,ROW(),$D$6)),INDEX($A:$U,ROW(),$D$6),IFERROR(--SUBSTITUTE(SUBSTITUTE(TRIM(INDEX($A:$U,ROW(),$D$6)),",",""),"원",""),0))))</f>
        <v/>
      </c>
      <c r="AA877" s="31">
        <f>IF($Y877="","",TRIM(INDEX($A:$U,ROW(),$E$6)&amp;IF($F$6="",""," "&amp;INDEX($A:$U,ROW(),$F$6))))</f>
        <v/>
      </c>
      <c r="AB877" s="31">
        <f>IF($AA877="","",SUBSTITUTE(SUBSTITUTE(SUBSTITUTE(SUBSTITUTE(SUBSTITUTE(SUBSTITUTE(SUBSTITUTE(SUBSTITUTE(SUBSTITUTE($AA877," ",""),"　",""),"(주)",""),"（주）",""),"㈜",""),"주식회사",""),"(유)",""),"（유）",""),"유한회사",""))</f>
        <v/>
      </c>
      <c r="AC877" s="31">
        <f>IF(OR($Y877="",N($Z877)&lt;=0,$AB877=""),0,IFERROR(LOOKUP(2,1/((거래처별!$AC$8:$AC$307&lt;&gt;"")*ISNUMBER(SEARCH(거래처별!$AC$8:$AC$307,$AB877))),거래처별!$A$8:$A$307),IFERROR(LOOKUP(2,1/((거래처별!$AD$8:$AD$307&lt;&gt;"")*ISNUMBER(SEARCH(거래처별!$AD$8:$AD$307,$AB877))),거래처별!$A$8:$A$307),IFERROR(LOOKUP(2,1/((거래처별!$AE$8:$AE$307&lt;&gt;"")*ISNUMBER(SEARCH(거래처별!$AE$8:$AE$307,$AB877))),거래처별!$A$8:$A$307),0))))</f>
        <v/>
      </c>
      <c r="AD877" s="31">
        <f>IF(AND($Y877&lt;&gt;"",N($Z877)&gt;0,$AC877=0),MAX($AD$7:$AD876)+1,"")</f>
        <v/>
      </c>
      <c r="AE877" s="31">
        <f>IF($Y877="",0,$Y877)</f>
        <v/>
      </c>
    </row>
    <row r="878">
      <c r="W878" s="31">
        <f>IF(OR($B$5="",$C$6="",ROW()&lt;$B$5),"",IF(INDEX($A:$U,ROW(),$C$6)="","",INDEX($A:$U,ROW(),$C$6)))</f>
        <v/>
      </c>
      <c r="X878" s="32">
        <f>IF($W878="","",IF(ISNUMBER($W878),IF($W878&gt;=10000000,IFERROR(DATE(INT($W878/10000),MOD(INT($W878/100),100),MOD($W878,100)),""),INT($W878)),IFERROR(DATE(--LEFT(LEFT(SUBSTITUTE(SUBSTITUTE(SUBSTITUTE(SUBSTITUTE(TRIM($W878),"-",""),".",""),"/","")," ",""),8),4),--MID(LEFT(SUBSTITUTE(SUBSTITUTE(SUBSTITUTE(SUBSTITUTE(TRIM($W878),"-",""),".",""),"/","")," ",""),8),5,2),--MID(LEFT(SUBSTITUTE(SUBSTITUTE(SUBSTITUTE(SUBSTITUTE(TRIM($W878),"-",""),".",""),"/","")," ",""),8),7,2)),"")))</f>
        <v/>
      </c>
      <c r="Y878" s="32">
        <f>IF($X878="","",INT($X878))</f>
        <v/>
      </c>
      <c r="Z878" s="33">
        <f>IF(OR($Y878="",$D$6=""),"",IF(INDEX($A:$U,ROW(),$D$6)="",0,IF(ISNUMBER(INDEX($A:$U,ROW(),$D$6)),INDEX($A:$U,ROW(),$D$6),IFERROR(--SUBSTITUTE(SUBSTITUTE(TRIM(INDEX($A:$U,ROW(),$D$6)),",",""),"원",""),0))))</f>
        <v/>
      </c>
      <c r="AA878" s="31">
        <f>IF($Y878="","",TRIM(INDEX($A:$U,ROW(),$E$6)&amp;IF($F$6="",""," "&amp;INDEX($A:$U,ROW(),$F$6))))</f>
        <v/>
      </c>
      <c r="AB878" s="31">
        <f>IF($AA878="","",SUBSTITUTE(SUBSTITUTE(SUBSTITUTE(SUBSTITUTE(SUBSTITUTE(SUBSTITUTE(SUBSTITUTE(SUBSTITUTE(SUBSTITUTE($AA878," ",""),"　",""),"(주)",""),"（주）",""),"㈜",""),"주식회사",""),"(유)",""),"（유）",""),"유한회사",""))</f>
        <v/>
      </c>
      <c r="AC878" s="31">
        <f>IF(OR($Y878="",N($Z878)&lt;=0,$AB878=""),0,IFERROR(LOOKUP(2,1/((거래처별!$AC$8:$AC$307&lt;&gt;"")*ISNUMBER(SEARCH(거래처별!$AC$8:$AC$307,$AB878))),거래처별!$A$8:$A$307),IFERROR(LOOKUP(2,1/((거래처별!$AD$8:$AD$307&lt;&gt;"")*ISNUMBER(SEARCH(거래처별!$AD$8:$AD$307,$AB878))),거래처별!$A$8:$A$307),IFERROR(LOOKUP(2,1/((거래처별!$AE$8:$AE$307&lt;&gt;"")*ISNUMBER(SEARCH(거래처별!$AE$8:$AE$307,$AB878))),거래처별!$A$8:$A$307),0))))</f>
        <v/>
      </c>
      <c r="AD878" s="31">
        <f>IF(AND($Y878&lt;&gt;"",N($Z878)&gt;0,$AC878=0),MAX($AD$7:$AD877)+1,"")</f>
        <v/>
      </c>
      <c r="AE878" s="31">
        <f>IF($Y878="",0,$Y878)</f>
        <v/>
      </c>
    </row>
    <row r="879">
      <c r="W879" s="31">
        <f>IF(OR($B$5="",$C$6="",ROW()&lt;$B$5),"",IF(INDEX($A:$U,ROW(),$C$6)="","",INDEX($A:$U,ROW(),$C$6)))</f>
        <v/>
      </c>
      <c r="X879" s="32">
        <f>IF($W879="","",IF(ISNUMBER($W879),IF($W879&gt;=10000000,IFERROR(DATE(INT($W879/10000),MOD(INT($W879/100),100),MOD($W879,100)),""),INT($W879)),IFERROR(DATE(--LEFT(LEFT(SUBSTITUTE(SUBSTITUTE(SUBSTITUTE(SUBSTITUTE(TRIM($W879),"-",""),".",""),"/","")," ",""),8),4),--MID(LEFT(SUBSTITUTE(SUBSTITUTE(SUBSTITUTE(SUBSTITUTE(TRIM($W879),"-",""),".",""),"/","")," ",""),8),5,2),--MID(LEFT(SUBSTITUTE(SUBSTITUTE(SUBSTITUTE(SUBSTITUTE(TRIM($W879),"-",""),".",""),"/","")," ",""),8),7,2)),"")))</f>
        <v/>
      </c>
      <c r="Y879" s="32">
        <f>IF($X879="","",INT($X879))</f>
        <v/>
      </c>
      <c r="Z879" s="33">
        <f>IF(OR($Y879="",$D$6=""),"",IF(INDEX($A:$U,ROW(),$D$6)="",0,IF(ISNUMBER(INDEX($A:$U,ROW(),$D$6)),INDEX($A:$U,ROW(),$D$6),IFERROR(--SUBSTITUTE(SUBSTITUTE(TRIM(INDEX($A:$U,ROW(),$D$6)),",",""),"원",""),0))))</f>
        <v/>
      </c>
      <c r="AA879" s="31">
        <f>IF($Y879="","",TRIM(INDEX($A:$U,ROW(),$E$6)&amp;IF($F$6="",""," "&amp;INDEX($A:$U,ROW(),$F$6))))</f>
        <v/>
      </c>
      <c r="AB879" s="31">
        <f>IF($AA879="","",SUBSTITUTE(SUBSTITUTE(SUBSTITUTE(SUBSTITUTE(SUBSTITUTE(SUBSTITUTE(SUBSTITUTE(SUBSTITUTE(SUBSTITUTE($AA879," ",""),"　",""),"(주)",""),"（주）",""),"㈜",""),"주식회사",""),"(유)",""),"（유）",""),"유한회사",""))</f>
        <v/>
      </c>
      <c r="AC879" s="31">
        <f>IF(OR($Y879="",N($Z879)&lt;=0,$AB879=""),0,IFERROR(LOOKUP(2,1/((거래처별!$AC$8:$AC$307&lt;&gt;"")*ISNUMBER(SEARCH(거래처별!$AC$8:$AC$307,$AB879))),거래처별!$A$8:$A$307),IFERROR(LOOKUP(2,1/((거래처별!$AD$8:$AD$307&lt;&gt;"")*ISNUMBER(SEARCH(거래처별!$AD$8:$AD$307,$AB879))),거래처별!$A$8:$A$307),IFERROR(LOOKUP(2,1/((거래처별!$AE$8:$AE$307&lt;&gt;"")*ISNUMBER(SEARCH(거래처별!$AE$8:$AE$307,$AB879))),거래처별!$A$8:$A$307),0))))</f>
        <v/>
      </c>
      <c r="AD879" s="31">
        <f>IF(AND($Y879&lt;&gt;"",N($Z879)&gt;0,$AC879=0),MAX($AD$7:$AD878)+1,"")</f>
        <v/>
      </c>
      <c r="AE879" s="31">
        <f>IF($Y879="",0,$Y879)</f>
        <v/>
      </c>
    </row>
    <row r="880">
      <c r="W880" s="31">
        <f>IF(OR($B$5="",$C$6="",ROW()&lt;$B$5),"",IF(INDEX($A:$U,ROW(),$C$6)="","",INDEX($A:$U,ROW(),$C$6)))</f>
        <v/>
      </c>
      <c r="X880" s="32">
        <f>IF($W880="","",IF(ISNUMBER($W880),IF($W880&gt;=10000000,IFERROR(DATE(INT($W880/10000),MOD(INT($W880/100),100),MOD($W880,100)),""),INT($W880)),IFERROR(DATE(--LEFT(LEFT(SUBSTITUTE(SUBSTITUTE(SUBSTITUTE(SUBSTITUTE(TRIM($W880),"-",""),".",""),"/","")," ",""),8),4),--MID(LEFT(SUBSTITUTE(SUBSTITUTE(SUBSTITUTE(SUBSTITUTE(TRIM($W880),"-",""),".",""),"/","")," ",""),8),5,2),--MID(LEFT(SUBSTITUTE(SUBSTITUTE(SUBSTITUTE(SUBSTITUTE(TRIM($W880),"-",""),".",""),"/","")," ",""),8),7,2)),"")))</f>
        <v/>
      </c>
      <c r="Y880" s="32">
        <f>IF($X880="","",INT($X880))</f>
        <v/>
      </c>
      <c r="Z880" s="33">
        <f>IF(OR($Y880="",$D$6=""),"",IF(INDEX($A:$U,ROW(),$D$6)="",0,IF(ISNUMBER(INDEX($A:$U,ROW(),$D$6)),INDEX($A:$U,ROW(),$D$6),IFERROR(--SUBSTITUTE(SUBSTITUTE(TRIM(INDEX($A:$U,ROW(),$D$6)),",",""),"원",""),0))))</f>
        <v/>
      </c>
      <c r="AA880" s="31">
        <f>IF($Y880="","",TRIM(INDEX($A:$U,ROW(),$E$6)&amp;IF($F$6="",""," "&amp;INDEX($A:$U,ROW(),$F$6))))</f>
        <v/>
      </c>
      <c r="AB880" s="31">
        <f>IF($AA880="","",SUBSTITUTE(SUBSTITUTE(SUBSTITUTE(SUBSTITUTE(SUBSTITUTE(SUBSTITUTE(SUBSTITUTE(SUBSTITUTE(SUBSTITUTE($AA880," ",""),"　",""),"(주)",""),"（주）",""),"㈜",""),"주식회사",""),"(유)",""),"（유）",""),"유한회사",""))</f>
        <v/>
      </c>
      <c r="AC880" s="31">
        <f>IF(OR($Y880="",N($Z880)&lt;=0,$AB880=""),0,IFERROR(LOOKUP(2,1/((거래처별!$AC$8:$AC$307&lt;&gt;"")*ISNUMBER(SEARCH(거래처별!$AC$8:$AC$307,$AB880))),거래처별!$A$8:$A$307),IFERROR(LOOKUP(2,1/((거래처별!$AD$8:$AD$307&lt;&gt;"")*ISNUMBER(SEARCH(거래처별!$AD$8:$AD$307,$AB880))),거래처별!$A$8:$A$307),IFERROR(LOOKUP(2,1/((거래처별!$AE$8:$AE$307&lt;&gt;"")*ISNUMBER(SEARCH(거래처별!$AE$8:$AE$307,$AB880))),거래처별!$A$8:$A$307),0))))</f>
        <v/>
      </c>
      <c r="AD880" s="31">
        <f>IF(AND($Y880&lt;&gt;"",N($Z880)&gt;0,$AC880=0),MAX($AD$7:$AD879)+1,"")</f>
        <v/>
      </c>
      <c r="AE880" s="31">
        <f>IF($Y880="",0,$Y880)</f>
        <v/>
      </c>
    </row>
    <row r="881">
      <c r="W881" s="31">
        <f>IF(OR($B$5="",$C$6="",ROW()&lt;$B$5),"",IF(INDEX($A:$U,ROW(),$C$6)="","",INDEX($A:$U,ROW(),$C$6)))</f>
        <v/>
      </c>
      <c r="X881" s="32">
        <f>IF($W881="","",IF(ISNUMBER($W881),IF($W881&gt;=10000000,IFERROR(DATE(INT($W881/10000),MOD(INT($W881/100),100),MOD($W881,100)),""),INT($W881)),IFERROR(DATE(--LEFT(LEFT(SUBSTITUTE(SUBSTITUTE(SUBSTITUTE(SUBSTITUTE(TRIM($W881),"-",""),".",""),"/","")," ",""),8),4),--MID(LEFT(SUBSTITUTE(SUBSTITUTE(SUBSTITUTE(SUBSTITUTE(TRIM($W881),"-",""),".",""),"/","")," ",""),8),5,2),--MID(LEFT(SUBSTITUTE(SUBSTITUTE(SUBSTITUTE(SUBSTITUTE(TRIM($W881),"-",""),".",""),"/","")," ",""),8),7,2)),"")))</f>
        <v/>
      </c>
      <c r="Y881" s="32">
        <f>IF($X881="","",INT($X881))</f>
        <v/>
      </c>
      <c r="Z881" s="33">
        <f>IF(OR($Y881="",$D$6=""),"",IF(INDEX($A:$U,ROW(),$D$6)="",0,IF(ISNUMBER(INDEX($A:$U,ROW(),$D$6)),INDEX($A:$U,ROW(),$D$6),IFERROR(--SUBSTITUTE(SUBSTITUTE(TRIM(INDEX($A:$U,ROW(),$D$6)),",",""),"원",""),0))))</f>
        <v/>
      </c>
      <c r="AA881" s="31">
        <f>IF($Y881="","",TRIM(INDEX($A:$U,ROW(),$E$6)&amp;IF($F$6="",""," "&amp;INDEX($A:$U,ROW(),$F$6))))</f>
        <v/>
      </c>
      <c r="AB881" s="31">
        <f>IF($AA881="","",SUBSTITUTE(SUBSTITUTE(SUBSTITUTE(SUBSTITUTE(SUBSTITUTE(SUBSTITUTE(SUBSTITUTE(SUBSTITUTE(SUBSTITUTE($AA881," ",""),"　",""),"(주)",""),"（주）",""),"㈜",""),"주식회사",""),"(유)",""),"（유）",""),"유한회사",""))</f>
        <v/>
      </c>
      <c r="AC881" s="31">
        <f>IF(OR($Y881="",N($Z881)&lt;=0,$AB881=""),0,IFERROR(LOOKUP(2,1/((거래처별!$AC$8:$AC$307&lt;&gt;"")*ISNUMBER(SEARCH(거래처별!$AC$8:$AC$307,$AB881))),거래처별!$A$8:$A$307),IFERROR(LOOKUP(2,1/((거래처별!$AD$8:$AD$307&lt;&gt;"")*ISNUMBER(SEARCH(거래처별!$AD$8:$AD$307,$AB881))),거래처별!$A$8:$A$307),IFERROR(LOOKUP(2,1/((거래처별!$AE$8:$AE$307&lt;&gt;"")*ISNUMBER(SEARCH(거래처별!$AE$8:$AE$307,$AB881))),거래처별!$A$8:$A$307),0))))</f>
        <v/>
      </c>
      <c r="AD881" s="31">
        <f>IF(AND($Y881&lt;&gt;"",N($Z881)&gt;0,$AC881=0),MAX($AD$7:$AD880)+1,"")</f>
        <v/>
      </c>
      <c r="AE881" s="31">
        <f>IF($Y881="",0,$Y881)</f>
        <v/>
      </c>
    </row>
    <row r="882">
      <c r="W882" s="31">
        <f>IF(OR($B$5="",$C$6="",ROW()&lt;$B$5),"",IF(INDEX($A:$U,ROW(),$C$6)="","",INDEX($A:$U,ROW(),$C$6)))</f>
        <v/>
      </c>
      <c r="X882" s="32">
        <f>IF($W882="","",IF(ISNUMBER($W882),IF($W882&gt;=10000000,IFERROR(DATE(INT($W882/10000),MOD(INT($W882/100),100),MOD($W882,100)),""),INT($W882)),IFERROR(DATE(--LEFT(LEFT(SUBSTITUTE(SUBSTITUTE(SUBSTITUTE(SUBSTITUTE(TRIM($W882),"-",""),".",""),"/","")," ",""),8),4),--MID(LEFT(SUBSTITUTE(SUBSTITUTE(SUBSTITUTE(SUBSTITUTE(TRIM($W882),"-",""),".",""),"/","")," ",""),8),5,2),--MID(LEFT(SUBSTITUTE(SUBSTITUTE(SUBSTITUTE(SUBSTITUTE(TRIM($W882),"-",""),".",""),"/","")," ",""),8),7,2)),"")))</f>
        <v/>
      </c>
      <c r="Y882" s="32">
        <f>IF($X882="","",INT($X882))</f>
        <v/>
      </c>
      <c r="Z882" s="33">
        <f>IF(OR($Y882="",$D$6=""),"",IF(INDEX($A:$U,ROW(),$D$6)="",0,IF(ISNUMBER(INDEX($A:$U,ROW(),$D$6)),INDEX($A:$U,ROW(),$D$6),IFERROR(--SUBSTITUTE(SUBSTITUTE(TRIM(INDEX($A:$U,ROW(),$D$6)),",",""),"원",""),0))))</f>
        <v/>
      </c>
      <c r="AA882" s="31">
        <f>IF($Y882="","",TRIM(INDEX($A:$U,ROW(),$E$6)&amp;IF($F$6="",""," "&amp;INDEX($A:$U,ROW(),$F$6))))</f>
        <v/>
      </c>
      <c r="AB882" s="31">
        <f>IF($AA882="","",SUBSTITUTE(SUBSTITUTE(SUBSTITUTE(SUBSTITUTE(SUBSTITUTE(SUBSTITUTE(SUBSTITUTE(SUBSTITUTE(SUBSTITUTE($AA882," ",""),"　",""),"(주)",""),"（주）",""),"㈜",""),"주식회사",""),"(유)",""),"（유）",""),"유한회사",""))</f>
        <v/>
      </c>
      <c r="AC882" s="31">
        <f>IF(OR($Y882="",N($Z882)&lt;=0,$AB882=""),0,IFERROR(LOOKUP(2,1/((거래처별!$AC$8:$AC$307&lt;&gt;"")*ISNUMBER(SEARCH(거래처별!$AC$8:$AC$307,$AB882))),거래처별!$A$8:$A$307),IFERROR(LOOKUP(2,1/((거래처별!$AD$8:$AD$307&lt;&gt;"")*ISNUMBER(SEARCH(거래처별!$AD$8:$AD$307,$AB882))),거래처별!$A$8:$A$307),IFERROR(LOOKUP(2,1/((거래처별!$AE$8:$AE$307&lt;&gt;"")*ISNUMBER(SEARCH(거래처별!$AE$8:$AE$307,$AB882))),거래처별!$A$8:$A$307),0))))</f>
        <v/>
      </c>
      <c r="AD882" s="31">
        <f>IF(AND($Y882&lt;&gt;"",N($Z882)&gt;0,$AC882=0),MAX($AD$7:$AD881)+1,"")</f>
        <v/>
      </c>
      <c r="AE882" s="31">
        <f>IF($Y882="",0,$Y882)</f>
        <v/>
      </c>
    </row>
    <row r="883">
      <c r="W883" s="31">
        <f>IF(OR($B$5="",$C$6="",ROW()&lt;$B$5),"",IF(INDEX($A:$U,ROW(),$C$6)="","",INDEX($A:$U,ROW(),$C$6)))</f>
        <v/>
      </c>
      <c r="X883" s="32">
        <f>IF($W883="","",IF(ISNUMBER($W883),IF($W883&gt;=10000000,IFERROR(DATE(INT($W883/10000),MOD(INT($W883/100),100),MOD($W883,100)),""),INT($W883)),IFERROR(DATE(--LEFT(LEFT(SUBSTITUTE(SUBSTITUTE(SUBSTITUTE(SUBSTITUTE(TRIM($W883),"-",""),".",""),"/","")," ",""),8),4),--MID(LEFT(SUBSTITUTE(SUBSTITUTE(SUBSTITUTE(SUBSTITUTE(TRIM($W883),"-",""),".",""),"/","")," ",""),8),5,2),--MID(LEFT(SUBSTITUTE(SUBSTITUTE(SUBSTITUTE(SUBSTITUTE(TRIM($W883),"-",""),".",""),"/","")," ",""),8),7,2)),"")))</f>
        <v/>
      </c>
      <c r="Y883" s="32">
        <f>IF($X883="","",INT($X883))</f>
        <v/>
      </c>
      <c r="Z883" s="33">
        <f>IF(OR($Y883="",$D$6=""),"",IF(INDEX($A:$U,ROW(),$D$6)="",0,IF(ISNUMBER(INDEX($A:$U,ROW(),$D$6)),INDEX($A:$U,ROW(),$D$6),IFERROR(--SUBSTITUTE(SUBSTITUTE(TRIM(INDEX($A:$U,ROW(),$D$6)),",",""),"원",""),0))))</f>
        <v/>
      </c>
      <c r="AA883" s="31">
        <f>IF($Y883="","",TRIM(INDEX($A:$U,ROW(),$E$6)&amp;IF($F$6="",""," "&amp;INDEX($A:$U,ROW(),$F$6))))</f>
        <v/>
      </c>
      <c r="AB883" s="31">
        <f>IF($AA883="","",SUBSTITUTE(SUBSTITUTE(SUBSTITUTE(SUBSTITUTE(SUBSTITUTE(SUBSTITUTE(SUBSTITUTE(SUBSTITUTE(SUBSTITUTE($AA883," ",""),"　",""),"(주)",""),"（주）",""),"㈜",""),"주식회사",""),"(유)",""),"（유）",""),"유한회사",""))</f>
        <v/>
      </c>
      <c r="AC883" s="31">
        <f>IF(OR($Y883="",N($Z883)&lt;=0,$AB883=""),0,IFERROR(LOOKUP(2,1/((거래처별!$AC$8:$AC$307&lt;&gt;"")*ISNUMBER(SEARCH(거래처별!$AC$8:$AC$307,$AB883))),거래처별!$A$8:$A$307),IFERROR(LOOKUP(2,1/((거래처별!$AD$8:$AD$307&lt;&gt;"")*ISNUMBER(SEARCH(거래처별!$AD$8:$AD$307,$AB883))),거래처별!$A$8:$A$307),IFERROR(LOOKUP(2,1/((거래처별!$AE$8:$AE$307&lt;&gt;"")*ISNUMBER(SEARCH(거래처별!$AE$8:$AE$307,$AB883))),거래처별!$A$8:$A$307),0))))</f>
        <v/>
      </c>
      <c r="AD883" s="31">
        <f>IF(AND($Y883&lt;&gt;"",N($Z883)&gt;0,$AC883=0),MAX($AD$7:$AD882)+1,"")</f>
        <v/>
      </c>
      <c r="AE883" s="31">
        <f>IF($Y883="",0,$Y883)</f>
        <v/>
      </c>
    </row>
    <row r="884">
      <c r="W884" s="31">
        <f>IF(OR($B$5="",$C$6="",ROW()&lt;$B$5),"",IF(INDEX($A:$U,ROW(),$C$6)="","",INDEX($A:$U,ROW(),$C$6)))</f>
        <v/>
      </c>
      <c r="X884" s="32">
        <f>IF($W884="","",IF(ISNUMBER($W884),IF($W884&gt;=10000000,IFERROR(DATE(INT($W884/10000),MOD(INT($W884/100),100),MOD($W884,100)),""),INT($W884)),IFERROR(DATE(--LEFT(LEFT(SUBSTITUTE(SUBSTITUTE(SUBSTITUTE(SUBSTITUTE(TRIM($W884),"-",""),".",""),"/","")," ",""),8),4),--MID(LEFT(SUBSTITUTE(SUBSTITUTE(SUBSTITUTE(SUBSTITUTE(TRIM($W884),"-",""),".",""),"/","")," ",""),8),5,2),--MID(LEFT(SUBSTITUTE(SUBSTITUTE(SUBSTITUTE(SUBSTITUTE(TRIM($W884),"-",""),".",""),"/","")," ",""),8),7,2)),"")))</f>
        <v/>
      </c>
      <c r="Y884" s="32">
        <f>IF($X884="","",INT($X884))</f>
        <v/>
      </c>
      <c r="Z884" s="33">
        <f>IF(OR($Y884="",$D$6=""),"",IF(INDEX($A:$U,ROW(),$D$6)="",0,IF(ISNUMBER(INDEX($A:$U,ROW(),$D$6)),INDEX($A:$U,ROW(),$D$6),IFERROR(--SUBSTITUTE(SUBSTITUTE(TRIM(INDEX($A:$U,ROW(),$D$6)),",",""),"원",""),0))))</f>
        <v/>
      </c>
      <c r="AA884" s="31">
        <f>IF($Y884="","",TRIM(INDEX($A:$U,ROW(),$E$6)&amp;IF($F$6="",""," "&amp;INDEX($A:$U,ROW(),$F$6))))</f>
        <v/>
      </c>
      <c r="AB884" s="31">
        <f>IF($AA884="","",SUBSTITUTE(SUBSTITUTE(SUBSTITUTE(SUBSTITUTE(SUBSTITUTE(SUBSTITUTE(SUBSTITUTE(SUBSTITUTE(SUBSTITUTE($AA884," ",""),"　",""),"(주)",""),"（주）",""),"㈜",""),"주식회사",""),"(유)",""),"（유）",""),"유한회사",""))</f>
        <v/>
      </c>
      <c r="AC884" s="31">
        <f>IF(OR($Y884="",N($Z884)&lt;=0,$AB884=""),0,IFERROR(LOOKUP(2,1/((거래처별!$AC$8:$AC$307&lt;&gt;"")*ISNUMBER(SEARCH(거래처별!$AC$8:$AC$307,$AB884))),거래처별!$A$8:$A$307),IFERROR(LOOKUP(2,1/((거래처별!$AD$8:$AD$307&lt;&gt;"")*ISNUMBER(SEARCH(거래처별!$AD$8:$AD$307,$AB884))),거래처별!$A$8:$A$307),IFERROR(LOOKUP(2,1/((거래처별!$AE$8:$AE$307&lt;&gt;"")*ISNUMBER(SEARCH(거래처별!$AE$8:$AE$307,$AB884))),거래처별!$A$8:$A$307),0))))</f>
        <v/>
      </c>
      <c r="AD884" s="31">
        <f>IF(AND($Y884&lt;&gt;"",N($Z884)&gt;0,$AC884=0),MAX($AD$7:$AD883)+1,"")</f>
        <v/>
      </c>
      <c r="AE884" s="31">
        <f>IF($Y884="",0,$Y884)</f>
        <v/>
      </c>
    </row>
    <row r="885">
      <c r="W885" s="31">
        <f>IF(OR($B$5="",$C$6="",ROW()&lt;$B$5),"",IF(INDEX($A:$U,ROW(),$C$6)="","",INDEX($A:$U,ROW(),$C$6)))</f>
        <v/>
      </c>
      <c r="X885" s="32">
        <f>IF($W885="","",IF(ISNUMBER($W885),IF($W885&gt;=10000000,IFERROR(DATE(INT($W885/10000),MOD(INT($W885/100),100),MOD($W885,100)),""),INT($W885)),IFERROR(DATE(--LEFT(LEFT(SUBSTITUTE(SUBSTITUTE(SUBSTITUTE(SUBSTITUTE(TRIM($W885),"-",""),".",""),"/","")," ",""),8),4),--MID(LEFT(SUBSTITUTE(SUBSTITUTE(SUBSTITUTE(SUBSTITUTE(TRIM($W885),"-",""),".",""),"/","")," ",""),8),5,2),--MID(LEFT(SUBSTITUTE(SUBSTITUTE(SUBSTITUTE(SUBSTITUTE(TRIM($W885),"-",""),".",""),"/","")," ",""),8),7,2)),"")))</f>
        <v/>
      </c>
      <c r="Y885" s="32">
        <f>IF($X885="","",INT($X885))</f>
        <v/>
      </c>
      <c r="Z885" s="33">
        <f>IF(OR($Y885="",$D$6=""),"",IF(INDEX($A:$U,ROW(),$D$6)="",0,IF(ISNUMBER(INDEX($A:$U,ROW(),$D$6)),INDEX($A:$U,ROW(),$D$6),IFERROR(--SUBSTITUTE(SUBSTITUTE(TRIM(INDEX($A:$U,ROW(),$D$6)),",",""),"원",""),0))))</f>
        <v/>
      </c>
      <c r="AA885" s="31">
        <f>IF($Y885="","",TRIM(INDEX($A:$U,ROW(),$E$6)&amp;IF($F$6="",""," "&amp;INDEX($A:$U,ROW(),$F$6))))</f>
        <v/>
      </c>
      <c r="AB885" s="31">
        <f>IF($AA885="","",SUBSTITUTE(SUBSTITUTE(SUBSTITUTE(SUBSTITUTE(SUBSTITUTE(SUBSTITUTE(SUBSTITUTE(SUBSTITUTE(SUBSTITUTE($AA885," ",""),"　",""),"(주)",""),"（주）",""),"㈜",""),"주식회사",""),"(유)",""),"（유）",""),"유한회사",""))</f>
        <v/>
      </c>
      <c r="AC885" s="31">
        <f>IF(OR($Y885="",N($Z885)&lt;=0,$AB885=""),0,IFERROR(LOOKUP(2,1/((거래처별!$AC$8:$AC$307&lt;&gt;"")*ISNUMBER(SEARCH(거래처별!$AC$8:$AC$307,$AB885))),거래처별!$A$8:$A$307),IFERROR(LOOKUP(2,1/((거래처별!$AD$8:$AD$307&lt;&gt;"")*ISNUMBER(SEARCH(거래처별!$AD$8:$AD$307,$AB885))),거래처별!$A$8:$A$307),IFERROR(LOOKUP(2,1/((거래처별!$AE$8:$AE$307&lt;&gt;"")*ISNUMBER(SEARCH(거래처별!$AE$8:$AE$307,$AB885))),거래처별!$A$8:$A$307),0))))</f>
        <v/>
      </c>
      <c r="AD885" s="31">
        <f>IF(AND($Y885&lt;&gt;"",N($Z885)&gt;0,$AC885=0),MAX($AD$7:$AD884)+1,"")</f>
        <v/>
      </c>
      <c r="AE885" s="31">
        <f>IF($Y885="",0,$Y885)</f>
        <v/>
      </c>
    </row>
    <row r="886">
      <c r="W886" s="31">
        <f>IF(OR($B$5="",$C$6="",ROW()&lt;$B$5),"",IF(INDEX($A:$U,ROW(),$C$6)="","",INDEX($A:$U,ROW(),$C$6)))</f>
        <v/>
      </c>
      <c r="X886" s="32">
        <f>IF($W886="","",IF(ISNUMBER($W886),IF($W886&gt;=10000000,IFERROR(DATE(INT($W886/10000),MOD(INT($W886/100),100),MOD($W886,100)),""),INT($W886)),IFERROR(DATE(--LEFT(LEFT(SUBSTITUTE(SUBSTITUTE(SUBSTITUTE(SUBSTITUTE(TRIM($W886),"-",""),".",""),"/","")," ",""),8),4),--MID(LEFT(SUBSTITUTE(SUBSTITUTE(SUBSTITUTE(SUBSTITUTE(TRIM($W886),"-",""),".",""),"/","")," ",""),8),5,2),--MID(LEFT(SUBSTITUTE(SUBSTITUTE(SUBSTITUTE(SUBSTITUTE(TRIM($W886),"-",""),".",""),"/","")," ",""),8),7,2)),"")))</f>
        <v/>
      </c>
      <c r="Y886" s="32">
        <f>IF($X886="","",INT($X886))</f>
        <v/>
      </c>
      <c r="Z886" s="33">
        <f>IF(OR($Y886="",$D$6=""),"",IF(INDEX($A:$U,ROW(),$D$6)="",0,IF(ISNUMBER(INDEX($A:$U,ROW(),$D$6)),INDEX($A:$U,ROW(),$D$6),IFERROR(--SUBSTITUTE(SUBSTITUTE(TRIM(INDEX($A:$U,ROW(),$D$6)),",",""),"원",""),0))))</f>
        <v/>
      </c>
      <c r="AA886" s="31">
        <f>IF($Y886="","",TRIM(INDEX($A:$U,ROW(),$E$6)&amp;IF($F$6="",""," "&amp;INDEX($A:$U,ROW(),$F$6))))</f>
        <v/>
      </c>
      <c r="AB886" s="31">
        <f>IF($AA886="","",SUBSTITUTE(SUBSTITUTE(SUBSTITUTE(SUBSTITUTE(SUBSTITUTE(SUBSTITUTE(SUBSTITUTE(SUBSTITUTE(SUBSTITUTE($AA886," ",""),"　",""),"(주)",""),"（주）",""),"㈜",""),"주식회사",""),"(유)",""),"（유）",""),"유한회사",""))</f>
        <v/>
      </c>
      <c r="AC886" s="31">
        <f>IF(OR($Y886="",N($Z886)&lt;=0,$AB886=""),0,IFERROR(LOOKUP(2,1/((거래처별!$AC$8:$AC$307&lt;&gt;"")*ISNUMBER(SEARCH(거래처별!$AC$8:$AC$307,$AB886))),거래처별!$A$8:$A$307),IFERROR(LOOKUP(2,1/((거래처별!$AD$8:$AD$307&lt;&gt;"")*ISNUMBER(SEARCH(거래처별!$AD$8:$AD$307,$AB886))),거래처별!$A$8:$A$307),IFERROR(LOOKUP(2,1/((거래처별!$AE$8:$AE$307&lt;&gt;"")*ISNUMBER(SEARCH(거래처별!$AE$8:$AE$307,$AB886))),거래처별!$A$8:$A$307),0))))</f>
        <v/>
      </c>
      <c r="AD886" s="31">
        <f>IF(AND($Y886&lt;&gt;"",N($Z886)&gt;0,$AC886=0),MAX($AD$7:$AD885)+1,"")</f>
        <v/>
      </c>
      <c r="AE886" s="31">
        <f>IF($Y886="",0,$Y886)</f>
        <v/>
      </c>
    </row>
    <row r="887">
      <c r="W887" s="31">
        <f>IF(OR($B$5="",$C$6="",ROW()&lt;$B$5),"",IF(INDEX($A:$U,ROW(),$C$6)="","",INDEX($A:$U,ROW(),$C$6)))</f>
        <v/>
      </c>
      <c r="X887" s="32">
        <f>IF($W887="","",IF(ISNUMBER($W887),IF($W887&gt;=10000000,IFERROR(DATE(INT($W887/10000),MOD(INT($W887/100),100),MOD($W887,100)),""),INT($W887)),IFERROR(DATE(--LEFT(LEFT(SUBSTITUTE(SUBSTITUTE(SUBSTITUTE(SUBSTITUTE(TRIM($W887),"-",""),".",""),"/","")," ",""),8),4),--MID(LEFT(SUBSTITUTE(SUBSTITUTE(SUBSTITUTE(SUBSTITUTE(TRIM($W887),"-",""),".",""),"/","")," ",""),8),5,2),--MID(LEFT(SUBSTITUTE(SUBSTITUTE(SUBSTITUTE(SUBSTITUTE(TRIM($W887),"-",""),".",""),"/","")," ",""),8),7,2)),"")))</f>
        <v/>
      </c>
      <c r="Y887" s="32">
        <f>IF($X887="","",INT($X887))</f>
        <v/>
      </c>
      <c r="Z887" s="33">
        <f>IF(OR($Y887="",$D$6=""),"",IF(INDEX($A:$U,ROW(),$D$6)="",0,IF(ISNUMBER(INDEX($A:$U,ROW(),$D$6)),INDEX($A:$U,ROW(),$D$6),IFERROR(--SUBSTITUTE(SUBSTITUTE(TRIM(INDEX($A:$U,ROW(),$D$6)),",",""),"원",""),0))))</f>
        <v/>
      </c>
      <c r="AA887" s="31">
        <f>IF($Y887="","",TRIM(INDEX($A:$U,ROW(),$E$6)&amp;IF($F$6="",""," "&amp;INDEX($A:$U,ROW(),$F$6))))</f>
        <v/>
      </c>
      <c r="AB887" s="31">
        <f>IF($AA887="","",SUBSTITUTE(SUBSTITUTE(SUBSTITUTE(SUBSTITUTE(SUBSTITUTE(SUBSTITUTE(SUBSTITUTE(SUBSTITUTE(SUBSTITUTE($AA887," ",""),"　",""),"(주)",""),"（주）",""),"㈜",""),"주식회사",""),"(유)",""),"（유）",""),"유한회사",""))</f>
        <v/>
      </c>
      <c r="AC887" s="31">
        <f>IF(OR($Y887="",N($Z887)&lt;=0,$AB887=""),0,IFERROR(LOOKUP(2,1/((거래처별!$AC$8:$AC$307&lt;&gt;"")*ISNUMBER(SEARCH(거래처별!$AC$8:$AC$307,$AB887))),거래처별!$A$8:$A$307),IFERROR(LOOKUP(2,1/((거래처별!$AD$8:$AD$307&lt;&gt;"")*ISNUMBER(SEARCH(거래처별!$AD$8:$AD$307,$AB887))),거래처별!$A$8:$A$307),IFERROR(LOOKUP(2,1/((거래처별!$AE$8:$AE$307&lt;&gt;"")*ISNUMBER(SEARCH(거래처별!$AE$8:$AE$307,$AB887))),거래처별!$A$8:$A$307),0))))</f>
        <v/>
      </c>
      <c r="AD887" s="31">
        <f>IF(AND($Y887&lt;&gt;"",N($Z887)&gt;0,$AC887=0),MAX($AD$7:$AD886)+1,"")</f>
        <v/>
      </c>
      <c r="AE887" s="31">
        <f>IF($Y887="",0,$Y887)</f>
        <v/>
      </c>
    </row>
    <row r="888">
      <c r="W888" s="31">
        <f>IF(OR($B$5="",$C$6="",ROW()&lt;$B$5),"",IF(INDEX($A:$U,ROW(),$C$6)="","",INDEX($A:$U,ROW(),$C$6)))</f>
        <v/>
      </c>
      <c r="X888" s="32">
        <f>IF($W888="","",IF(ISNUMBER($W888),IF($W888&gt;=10000000,IFERROR(DATE(INT($W888/10000),MOD(INT($W888/100),100),MOD($W888,100)),""),INT($W888)),IFERROR(DATE(--LEFT(LEFT(SUBSTITUTE(SUBSTITUTE(SUBSTITUTE(SUBSTITUTE(TRIM($W888),"-",""),".",""),"/","")," ",""),8),4),--MID(LEFT(SUBSTITUTE(SUBSTITUTE(SUBSTITUTE(SUBSTITUTE(TRIM($W888),"-",""),".",""),"/","")," ",""),8),5,2),--MID(LEFT(SUBSTITUTE(SUBSTITUTE(SUBSTITUTE(SUBSTITUTE(TRIM($W888),"-",""),".",""),"/","")," ",""),8),7,2)),"")))</f>
        <v/>
      </c>
      <c r="Y888" s="32">
        <f>IF($X888="","",INT($X888))</f>
        <v/>
      </c>
      <c r="Z888" s="33">
        <f>IF(OR($Y888="",$D$6=""),"",IF(INDEX($A:$U,ROW(),$D$6)="",0,IF(ISNUMBER(INDEX($A:$U,ROW(),$D$6)),INDEX($A:$U,ROW(),$D$6),IFERROR(--SUBSTITUTE(SUBSTITUTE(TRIM(INDEX($A:$U,ROW(),$D$6)),",",""),"원",""),0))))</f>
        <v/>
      </c>
      <c r="AA888" s="31">
        <f>IF($Y888="","",TRIM(INDEX($A:$U,ROW(),$E$6)&amp;IF($F$6="",""," "&amp;INDEX($A:$U,ROW(),$F$6))))</f>
        <v/>
      </c>
      <c r="AB888" s="31">
        <f>IF($AA888="","",SUBSTITUTE(SUBSTITUTE(SUBSTITUTE(SUBSTITUTE(SUBSTITUTE(SUBSTITUTE(SUBSTITUTE(SUBSTITUTE(SUBSTITUTE($AA888," ",""),"　",""),"(주)",""),"（주）",""),"㈜",""),"주식회사",""),"(유)",""),"（유）",""),"유한회사",""))</f>
        <v/>
      </c>
      <c r="AC888" s="31">
        <f>IF(OR($Y888="",N($Z888)&lt;=0,$AB888=""),0,IFERROR(LOOKUP(2,1/((거래처별!$AC$8:$AC$307&lt;&gt;"")*ISNUMBER(SEARCH(거래처별!$AC$8:$AC$307,$AB888))),거래처별!$A$8:$A$307),IFERROR(LOOKUP(2,1/((거래처별!$AD$8:$AD$307&lt;&gt;"")*ISNUMBER(SEARCH(거래처별!$AD$8:$AD$307,$AB888))),거래처별!$A$8:$A$307),IFERROR(LOOKUP(2,1/((거래처별!$AE$8:$AE$307&lt;&gt;"")*ISNUMBER(SEARCH(거래처별!$AE$8:$AE$307,$AB888))),거래처별!$A$8:$A$307),0))))</f>
        <v/>
      </c>
      <c r="AD888" s="31">
        <f>IF(AND($Y888&lt;&gt;"",N($Z888)&gt;0,$AC888=0),MAX($AD$7:$AD887)+1,"")</f>
        <v/>
      </c>
      <c r="AE888" s="31">
        <f>IF($Y888="",0,$Y888)</f>
        <v/>
      </c>
    </row>
    <row r="889">
      <c r="W889" s="31">
        <f>IF(OR($B$5="",$C$6="",ROW()&lt;$B$5),"",IF(INDEX($A:$U,ROW(),$C$6)="","",INDEX($A:$U,ROW(),$C$6)))</f>
        <v/>
      </c>
      <c r="X889" s="32">
        <f>IF($W889="","",IF(ISNUMBER($W889),IF($W889&gt;=10000000,IFERROR(DATE(INT($W889/10000),MOD(INT($W889/100),100),MOD($W889,100)),""),INT($W889)),IFERROR(DATE(--LEFT(LEFT(SUBSTITUTE(SUBSTITUTE(SUBSTITUTE(SUBSTITUTE(TRIM($W889),"-",""),".",""),"/","")," ",""),8),4),--MID(LEFT(SUBSTITUTE(SUBSTITUTE(SUBSTITUTE(SUBSTITUTE(TRIM($W889),"-",""),".",""),"/","")," ",""),8),5,2),--MID(LEFT(SUBSTITUTE(SUBSTITUTE(SUBSTITUTE(SUBSTITUTE(TRIM($W889),"-",""),".",""),"/","")," ",""),8),7,2)),"")))</f>
        <v/>
      </c>
      <c r="Y889" s="32">
        <f>IF($X889="","",INT($X889))</f>
        <v/>
      </c>
      <c r="Z889" s="33">
        <f>IF(OR($Y889="",$D$6=""),"",IF(INDEX($A:$U,ROW(),$D$6)="",0,IF(ISNUMBER(INDEX($A:$U,ROW(),$D$6)),INDEX($A:$U,ROW(),$D$6),IFERROR(--SUBSTITUTE(SUBSTITUTE(TRIM(INDEX($A:$U,ROW(),$D$6)),",",""),"원",""),0))))</f>
        <v/>
      </c>
      <c r="AA889" s="31">
        <f>IF($Y889="","",TRIM(INDEX($A:$U,ROW(),$E$6)&amp;IF($F$6="",""," "&amp;INDEX($A:$U,ROW(),$F$6))))</f>
        <v/>
      </c>
      <c r="AB889" s="31">
        <f>IF($AA889="","",SUBSTITUTE(SUBSTITUTE(SUBSTITUTE(SUBSTITUTE(SUBSTITUTE(SUBSTITUTE(SUBSTITUTE(SUBSTITUTE(SUBSTITUTE($AA889," ",""),"　",""),"(주)",""),"（주）",""),"㈜",""),"주식회사",""),"(유)",""),"（유）",""),"유한회사",""))</f>
        <v/>
      </c>
      <c r="AC889" s="31">
        <f>IF(OR($Y889="",N($Z889)&lt;=0,$AB889=""),0,IFERROR(LOOKUP(2,1/((거래처별!$AC$8:$AC$307&lt;&gt;"")*ISNUMBER(SEARCH(거래처별!$AC$8:$AC$307,$AB889))),거래처별!$A$8:$A$307),IFERROR(LOOKUP(2,1/((거래처별!$AD$8:$AD$307&lt;&gt;"")*ISNUMBER(SEARCH(거래처별!$AD$8:$AD$307,$AB889))),거래처별!$A$8:$A$307),IFERROR(LOOKUP(2,1/((거래처별!$AE$8:$AE$307&lt;&gt;"")*ISNUMBER(SEARCH(거래처별!$AE$8:$AE$307,$AB889))),거래처별!$A$8:$A$307),0))))</f>
        <v/>
      </c>
      <c r="AD889" s="31">
        <f>IF(AND($Y889&lt;&gt;"",N($Z889)&gt;0,$AC889=0),MAX($AD$7:$AD888)+1,"")</f>
        <v/>
      </c>
      <c r="AE889" s="31">
        <f>IF($Y889="",0,$Y889)</f>
        <v/>
      </c>
    </row>
    <row r="890">
      <c r="W890" s="31">
        <f>IF(OR($B$5="",$C$6="",ROW()&lt;$B$5),"",IF(INDEX($A:$U,ROW(),$C$6)="","",INDEX($A:$U,ROW(),$C$6)))</f>
        <v/>
      </c>
      <c r="X890" s="32">
        <f>IF($W890="","",IF(ISNUMBER($W890),IF($W890&gt;=10000000,IFERROR(DATE(INT($W890/10000),MOD(INT($W890/100),100),MOD($W890,100)),""),INT($W890)),IFERROR(DATE(--LEFT(LEFT(SUBSTITUTE(SUBSTITUTE(SUBSTITUTE(SUBSTITUTE(TRIM($W890),"-",""),".",""),"/","")," ",""),8),4),--MID(LEFT(SUBSTITUTE(SUBSTITUTE(SUBSTITUTE(SUBSTITUTE(TRIM($W890),"-",""),".",""),"/","")," ",""),8),5,2),--MID(LEFT(SUBSTITUTE(SUBSTITUTE(SUBSTITUTE(SUBSTITUTE(TRIM($W890),"-",""),".",""),"/","")," ",""),8),7,2)),"")))</f>
        <v/>
      </c>
      <c r="Y890" s="32">
        <f>IF($X890="","",INT($X890))</f>
        <v/>
      </c>
      <c r="Z890" s="33">
        <f>IF(OR($Y890="",$D$6=""),"",IF(INDEX($A:$U,ROW(),$D$6)="",0,IF(ISNUMBER(INDEX($A:$U,ROW(),$D$6)),INDEX($A:$U,ROW(),$D$6),IFERROR(--SUBSTITUTE(SUBSTITUTE(TRIM(INDEX($A:$U,ROW(),$D$6)),",",""),"원",""),0))))</f>
        <v/>
      </c>
      <c r="AA890" s="31">
        <f>IF($Y890="","",TRIM(INDEX($A:$U,ROW(),$E$6)&amp;IF($F$6="",""," "&amp;INDEX($A:$U,ROW(),$F$6))))</f>
        <v/>
      </c>
      <c r="AB890" s="31">
        <f>IF($AA890="","",SUBSTITUTE(SUBSTITUTE(SUBSTITUTE(SUBSTITUTE(SUBSTITUTE(SUBSTITUTE(SUBSTITUTE(SUBSTITUTE(SUBSTITUTE($AA890," ",""),"　",""),"(주)",""),"（주）",""),"㈜",""),"주식회사",""),"(유)",""),"（유）",""),"유한회사",""))</f>
        <v/>
      </c>
      <c r="AC890" s="31">
        <f>IF(OR($Y890="",N($Z890)&lt;=0,$AB890=""),0,IFERROR(LOOKUP(2,1/((거래처별!$AC$8:$AC$307&lt;&gt;"")*ISNUMBER(SEARCH(거래처별!$AC$8:$AC$307,$AB890))),거래처별!$A$8:$A$307),IFERROR(LOOKUP(2,1/((거래처별!$AD$8:$AD$307&lt;&gt;"")*ISNUMBER(SEARCH(거래처별!$AD$8:$AD$307,$AB890))),거래처별!$A$8:$A$307),IFERROR(LOOKUP(2,1/((거래처별!$AE$8:$AE$307&lt;&gt;"")*ISNUMBER(SEARCH(거래처별!$AE$8:$AE$307,$AB890))),거래처별!$A$8:$A$307),0))))</f>
        <v/>
      </c>
      <c r="AD890" s="31">
        <f>IF(AND($Y890&lt;&gt;"",N($Z890)&gt;0,$AC890=0),MAX($AD$7:$AD889)+1,"")</f>
        <v/>
      </c>
      <c r="AE890" s="31">
        <f>IF($Y890="",0,$Y890)</f>
        <v/>
      </c>
    </row>
    <row r="891">
      <c r="W891" s="31">
        <f>IF(OR($B$5="",$C$6="",ROW()&lt;$B$5),"",IF(INDEX($A:$U,ROW(),$C$6)="","",INDEX($A:$U,ROW(),$C$6)))</f>
        <v/>
      </c>
      <c r="X891" s="32">
        <f>IF($W891="","",IF(ISNUMBER($W891),IF($W891&gt;=10000000,IFERROR(DATE(INT($W891/10000),MOD(INT($W891/100),100),MOD($W891,100)),""),INT($W891)),IFERROR(DATE(--LEFT(LEFT(SUBSTITUTE(SUBSTITUTE(SUBSTITUTE(SUBSTITUTE(TRIM($W891),"-",""),".",""),"/","")," ",""),8),4),--MID(LEFT(SUBSTITUTE(SUBSTITUTE(SUBSTITUTE(SUBSTITUTE(TRIM($W891),"-",""),".",""),"/","")," ",""),8),5,2),--MID(LEFT(SUBSTITUTE(SUBSTITUTE(SUBSTITUTE(SUBSTITUTE(TRIM($W891),"-",""),".",""),"/","")," ",""),8),7,2)),"")))</f>
        <v/>
      </c>
      <c r="Y891" s="32">
        <f>IF($X891="","",INT($X891))</f>
        <v/>
      </c>
      <c r="Z891" s="33">
        <f>IF(OR($Y891="",$D$6=""),"",IF(INDEX($A:$U,ROW(),$D$6)="",0,IF(ISNUMBER(INDEX($A:$U,ROW(),$D$6)),INDEX($A:$U,ROW(),$D$6),IFERROR(--SUBSTITUTE(SUBSTITUTE(TRIM(INDEX($A:$U,ROW(),$D$6)),",",""),"원",""),0))))</f>
        <v/>
      </c>
      <c r="AA891" s="31">
        <f>IF($Y891="","",TRIM(INDEX($A:$U,ROW(),$E$6)&amp;IF($F$6="",""," "&amp;INDEX($A:$U,ROW(),$F$6))))</f>
        <v/>
      </c>
      <c r="AB891" s="31">
        <f>IF($AA891="","",SUBSTITUTE(SUBSTITUTE(SUBSTITUTE(SUBSTITUTE(SUBSTITUTE(SUBSTITUTE(SUBSTITUTE(SUBSTITUTE(SUBSTITUTE($AA891," ",""),"　",""),"(주)",""),"（주）",""),"㈜",""),"주식회사",""),"(유)",""),"（유）",""),"유한회사",""))</f>
        <v/>
      </c>
      <c r="AC891" s="31">
        <f>IF(OR($Y891="",N($Z891)&lt;=0,$AB891=""),0,IFERROR(LOOKUP(2,1/((거래처별!$AC$8:$AC$307&lt;&gt;"")*ISNUMBER(SEARCH(거래처별!$AC$8:$AC$307,$AB891))),거래처별!$A$8:$A$307),IFERROR(LOOKUP(2,1/((거래처별!$AD$8:$AD$307&lt;&gt;"")*ISNUMBER(SEARCH(거래처별!$AD$8:$AD$307,$AB891))),거래처별!$A$8:$A$307),IFERROR(LOOKUP(2,1/((거래처별!$AE$8:$AE$307&lt;&gt;"")*ISNUMBER(SEARCH(거래처별!$AE$8:$AE$307,$AB891))),거래처별!$A$8:$A$307),0))))</f>
        <v/>
      </c>
      <c r="AD891" s="31">
        <f>IF(AND($Y891&lt;&gt;"",N($Z891)&gt;0,$AC891=0),MAX($AD$7:$AD890)+1,"")</f>
        <v/>
      </c>
      <c r="AE891" s="31">
        <f>IF($Y891="",0,$Y891)</f>
        <v/>
      </c>
    </row>
    <row r="892">
      <c r="W892" s="31">
        <f>IF(OR($B$5="",$C$6="",ROW()&lt;$B$5),"",IF(INDEX($A:$U,ROW(),$C$6)="","",INDEX($A:$U,ROW(),$C$6)))</f>
        <v/>
      </c>
      <c r="X892" s="32">
        <f>IF($W892="","",IF(ISNUMBER($W892),IF($W892&gt;=10000000,IFERROR(DATE(INT($W892/10000),MOD(INT($W892/100),100),MOD($W892,100)),""),INT($W892)),IFERROR(DATE(--LEFT(LEFT(SUBSTITUTE(SUBSTITUTE(SUBSTITUTE(SUBSTITUTE(TRIM($W892),"-",""),".",""),"/","")," ",""),8),4),--MID(LEFT(SUBSTITUTE(SUBSTITUTE(SUBSTITUTE(SUBSTITUTE(TRIM($W892),"-",""),".",""),"/","")," ",""),8),5,2),--MID(LEFT(SUBSTITUTE(SUBSTITUTE(SUBSTITUTE(SUBSTITUTE(TRIM($W892),"-",""),".",""),"/","")," ",""),8),7,2)),"")))</f>
        <v/>
      </c>
      <c r="Y892" s="32">
        <f>IF($X892="","",INT($X892))</f>
        <v/>
      </c>
      <c r="Z892" s="33">
        <f>IF(OR($Y892="",$D$6=""),"",IF(INDEX($A:$U,ROW(),$D$6)="",0,IF(ISNUMBER(INDEX($A:$U,ROW(),$D$6)),INDEX($A:$U,ROW(),$D$6),IFERROR(--SUBSTITUTE(SUBSTITUTE(TRIM(INDEX($A:$U,ROW(),$D$6)),",",""),"원",""),0))))</f>
        <v/>
      </c>
      <c r="AA892" s="31">
        <f>IF($Y892="","",TRIM(INDEX($A:$U,ROW(),$E$6)&amp;IF($F$6="",""," "&amp;INDEX($A:$U,ROW(),$F$6))))</f>
        <v/>
      </c>
      <c r="AB892" s="31">
        <f>IF($AA892="","",SUBSTITUTE(SUBSTITUTE(SUBSTITUTE(SUBSTITUTE(SUBSTITUTE(SUBSTITUTE(SUBSTITUTE(SUBSTITUTE(SUBSTITUTE($AA892," ",""),"　",""),"(주)",""),"（주）",""),"㈜",""),"주식회사",""),"(유)",""),"（유）",""),"유한회사",""))</f>
        <v/>
      </c>
      <c r="AC892" s="31">
        <f>IF(OR($Y892="",N($Z892)&lt;=0,$AB892=""),0,IFERROR(LOOKUP(2,1/((거래처별!$AC$8:$AC$307&lt;&gt;"")*ISNUMBER(SEARCH(거래처별!$AC$8:$AC$307,$AB892))),거래처별!$A$8:$A$307),IFERROR(LOOKUP(2,1/((거래처별!$AD$8:$AD$307&lt;&gt;"")*ISNUMBER(SEARCH(거래처별!$AD$8:$AD$307,$AB892))),거래처별!$A$8:$A$307),IFERROR(LOOKUP(2,1/((거래처별!$AE$8:$AE$307&lt;&gt;"")*ISNUMBER(SEARCH(거래처별!$AE$8:$AE$307,$AB892))),거래처별!$A$8:$A$307),0))))</f>
        <v/>
      </c>
      <c r="AD892" s="31">
        <f>IF(AND($Y892&lt;&gt;"",N($Z892)&gt;0,$AC892=0),MAX($AD$7:$AD891)+1,"")</f>
        <v/>
      </c>
      <c r="AE892" s="31">
        <f>IF($Y892="",0,$Y892)</f>
        <v/>
      </c>
    </row>
    <row r="893">
      <c r="W893" s="31">
        <f>IF(OR($B$5="",$C$6="",ROW()&lt;$B$5),"",IF(INDEX($A:$U,ROW(),$C$6)="","",INDEX($A:$U,ROW(),$C$6)))</f>
        <v/>
      </c>
      <c r="X893" s="32">
        <f>IF($W893="","",IF(ISNUMBER($W893),IF($W893&gt;=10000000,IFERROR(DATE(INT($W893/10000),MOD(INT($W893/100),100),MOD($W893,100)),""),INT($W893)),IFERROR(DATE(--LEFT(LEFT(SUBSTITUTE(SUBSTITUTE(SUBSTITUTE(SUBSTITUTE(TRIM($W893),"-",""),".",""),"/","")," ",""),8),4),--MID(LEFT(SUBSTITUTE(SUBSTITUTE(SUBSTITUTE(SUBSTITUTE(TRIM($W893),"-",""),".",""),"/","")," ",""),8),5,2),--MID(LEFT(SUBSTITUTE(SUBSTITUTE(SUBSTITUTE(SUBSTITUTE(TRIM($W893),"-",""),".",""),"/","")," ",""),8),7,2)),"")))</f>
        <v/>
      </c>
      <c r="Y893" s="32">
        <f>IF($X893="","",INT($X893))</f>
        <v/>
      </c>
      <c r="Z893" s="33">
        <f>IF(OR($Y893="",$D$6=""),"",IF(INDEX($A:$U,ROW(),$D$6)="",0,IF(ISNUMBER(INDEX($A:$U,ROW(),$D$6)),INDEX($A:$U,ROW(),$D$6),IFERROR(--SUBSTITUTE(SUBSTITUTE(TRIM(INDEX($A:$U,ROW(),$D$6)),",",""),"원",""),0))))</f>
        <v/>
      </c>
      <c r="AA893" s="31">
        <f>IF($Y893="","",TRIM(INDEX($A:$U,ROW(),$E$6)&amp;IF($F$6="",""," "&amp;INDEX($A:$U,ROW(),$F$6))))</f>
        <v/>
      </c>
      <c r="AB893" s="31">
        <f>IF($AA893="","",SUBSTITUTE(SUBSTITUTE(SUBSTITUTE(SUBSTITUTE(SUBSTITUTE(SUBSTITUTE(SUBSTITUTE(SUBSTITUTE(SUBSTITUTE($AA893," ",""),"　",""),"(주)",""),"（주）",""),"㈜",""),"주식회사",""),"(유)",""),"（유）",""),"유한회사",""))</f>
        <v/>
      </c>
      <c r="AC893" s="31">
        <f>IF(OR($Y893="",N($Z893)&lt;=0,$AB893=""),0,IFERROR(LOOKUP(2,1/((거래처별!$AC$8:$AC$307&lt;&gt;"")*ISNUMBER(SEARCH(거래처별!$AC$8:$AC$307,$AB893))),거래처별!$A$8:$A$307),IFERROR(LOOKUP(2,1/((거래처별!$AD$8:$AD$307&lt;&gt;"")*ISNUMBER(SEARCH(거래처별!$AD$8:$AD$307,$AB893))),거래처별!$A$8:$A$307),IFERROR(LOOKUP(2,1/((거래처별!$AE$8:$AE$307&lt;&gt;"")*ISNUMBER(SEARCH(거래처별!$AE$8:$AE$307,$AB893))),거래처별!$A$8:$A$307),0))))</f>
        <v/>
      </c>
      <c r="AD893" s="31">
        <f>IF(AND($Y893&lt;&gt;"",N($Z893)&gt;0,$AC893=0),MAX($AD$7:$AD892)+1,"")</f>
        <v/>
      </c>
      <c r="AE893" s="31">
        <f>IF($Y893="",0,$Y893)</f>
        <v/>
      </c>
    </row>
    <row r="894">
      <c r="W894" s="31">
        <f>IF(OR($B$5="",$C$6="",ROW()&lt;$B$5),"",IF(INDEX($A:$U,ROW(),$C$6)="","",INDEX($A:$U,ROW(),$C$6)))</f>
        <v/>
      </c>
      <c r="X894" s="32">
        <f>IF($W894="","",IF(ISNUMBER($W894),IF($W894&gt;=10000000,IFERROR(DATE(INT($W894/10000),MOD(INT($W894/100),100),MOD($W894,100)),""),INT($W894)),IFERROR(DATE(--LEFT(LEFT(SUBSTITUTE(SUBSTITUTE(SUBSTITUTE(SUBSTITUTE(TRIM($W894),"-",""),".",""),"/","")," ",""),8),4),--MID(LEFT(SUBSTITUTE(SUBSTITUTE(SUBSTITUTE(SUBSTITUTE(TRIM($W894),"-",""),".",""),"/","")," ",""),8),5,2),--MID(LEFT(SUBSTITUTE(SUBSTITUTE(SUBSTITUTE(SUBSTITUTE(TRIM($W894),"-",""),".",""),"/","")," ",""),8),7,2)),"")))</f>
        <v/>
      </c>
      <c r="Y894" s="32">
        <f>IF($X894="","",INT($X894))</f>
        <v/>
      </c>
      <c r="Z894" s="33">
        <f>IF(OR($Y894="",$D$6=""),"",IF(INDEX($A:$U,ROW(),$D$6)="",0,IF(ISNUMBER(INDEX($A:$U,ROW(),$D$6)),INDEX($A:$U,ROW(),$D$6),IFERROR(--SUBSTITUTE(SUBSTITUTE(TRIM(INDEX($A:$U,ROW(),$D$6)),",",""),"원",""),0))))</f>
        <v/>
      </c>
      <c r="AA894" s="31">
        <f>IF($Y894="","",TRIM(INDEX($A:$U,ROW(),$E$6)&amp;IF($F$6="",""," "&amp;INDEX($A:$U,ROW(),$F$6))))</f>
        <v/>
      </c>
      <c r="AB894" s="31">
        <f>IF($AA894="","",SUBSTITUTE(SUBSTITUTE(SUBSTITUTE(SUBSTITUTE(SUBSTITUTE(SUBSTITUTE(SUBSTITUTE(SUBSTITUTE(SUBSTITUTE($AA894," ",""),"　",""),"(주)",""),"（주）",""),"㈜",""),"주식회사",""),"(유)",""),"（유）",""),"유한회사",""))</f>
        <v/>
      </c>
      <c r="AC894" s="31">
        <f>IF(OR($Y894="",N($Z894)&lt;=0,$AB894=""),0,IFERROR(LOOKUP(2,1/((거래처별!$AC$8:$AC$307&lt;&gt;"")*ISNUMBER(SEARCH(거래처별!$AC$8:$AC$307,$AB894))),거래처별!$A$8:$A$307),IFERROR(LOOKUP(2,1/((거래처별!$AD$8:$AD$307&lt;&gt;"")*ISNUMBER(SEARCH(거래처별!$AD$8:$AD$307,$AB894))),거래처별!$A$8:$A$307),IFERROR(LOOKUP(2,1/((거래처별!$AE$8:$AE$307&lt;&gt;"")*ISNUMBER(SEARCH(거래처별!$AE$8:$AE$307,$AB894))),거래처별!$A$8:$A$307),0))))</f>
        <v/>
      </c>
      <c r="AD894" s="31">
        <f>IF(AND($Y894&lt;&gt;"",N($Z894)&gt;0,$AC894=0),MAX($AD$7:$AD893)+1,"")</f>
        <v/>
      </c>
      <c r="AE894" s="31">
        <f>IF($Y894="",0,$Y894)</f>
        <v/>
      </c>
    </row>
    <row r="895">
      <c r="W895" s="31">
        <f>IF(OR($B$5="",$C$6="",ROW()&lt;$B$5),"",IF(INDEX($A:$U,ROW(),$C$6)="","",INDEX($A:$U,ROW(),$C$6)))</f>
        <v/>
      </c>
      <c r="X895" s="32">
        <f>IF($W895="","",IF(ISNUMBER($W895),IF($W895&gt;=10000000,IFERROR(DATE(INT($W895/10000),MOD(INT($W895/100),100),MOD($W895,100)),""),INT($W895)),IFERROR(DATE(--LEFT(LEFT(SUBSTITUTE(SUBSTITUTE(SUBSTITUTE(SUBSTITUTE(TRIM($W895),"-",""),".",""),"/","")," ",""),8),4),--MID(LEFT(SUBSTITUTE(SUBSTITUTE(SUBSTITUTE(SUBSTITUTE(TRIM($W895),"-",""),".",""),"/","")," ",""),8),5,2),--MID(LEFT(SUBSTITUTE(SUBSTITUTE(SUBSTITUTE(SUBSTITUTE(TRIM($W895),"-",""),".",""),"/","")," ",""),8),7,2)),"")))</f>
        <v/>
      </c>
      <c r="Y895" s="32">
        <f>IF($X895="","",INT($X895))</f>
        <v/>
      </c>
      <c r="Z895" s="33">
        <f>IF(OR($Y895="",$D$6=""),"",IF(INDEX($A:$U,ROW(),$D$6)="",0,IF(ISNUMBER(INDEX($A:$U,ROW(),$D$6)),INDEX($A:$U,ROW(),$D$6),IFERROR(--SUBSTITUTE(SUBSTITUTE(TRIM(INDEX($A:$U,ROW(),$D$6)),",",""),"원",""),0))))</f>
        <v/>
      </c>
      <c r="AA895" s="31">
        <f>IF($Y895="","",TRIM(INDEX($A:$U,ROW(),$E$6)&amp;IF($F$6="",""," "&amp;INDEX($A:$U,ROW(),$F$6))))</f>
        <v/>
      </c>
      <c r="AB895" s="31">
        <f>IF($AA895="","",SUBSTITUTE(SUBSTITUTE(SUBSTITUTE(SUBSTITUTE(SUBSTITUTE(SUBSTITUTE(SUBSTITUTE(SUBSTITUTE(SUBSTITUTE($AA895," ",""),"　",""),"(주)",""),"（주）",""),"㈜",""),"주식회사",""),"(유)",""),"（유）",""),"유한회사",""))</f>
        <v/>
      </c>
      <c r="AC895" s="31">
        <f>IF(OR($Y895="",N($Z895)&lt;=0,$AB895=""),0,IFERROR(LOOKUP(2,1/((거래처별!$AC$8:$AC$307&lt;&gt;"")*ISNUMBER(SEARCH(거래처별!$AC$8:$AC$307,$AB895))),거래처별!$A$8:$A$307),IFERROR(LOOKUP(2,1/((거래처별!$AD$8:$AD$307&lt;&gt;"")*ISNUMBER(SEARCH(거래처별!$AD$8:$AD$307,$AB895))),거래처별!$A$8:$A$307),IFERROR(LOOKUP(2,1/((거래처별!$AE$8:$AE$307&lt;&gt;"")*ISNUMBER(SEARCH(거래처별!$AE$8:$AE$307,$AB895))),거래처별!$A$8:$A$307),0))))</f>
        <v/>
      </c>
      <c r="AD895" s="31">
        <f>IF(AND($Y895&lt;&gt;"",N($Z895)&gt;0,$AC895=0),MAX($AD$7:$AD894)+1,"")</f>
        <v/>
      </c>
      <c r="AE895" s="31">
        <f>IF($Y895="",0,$Y895)</f>
        <v/>
      </c>
    </row>
    <row r="896">
      <c r="W896" s="31">
        <f>IF(OR($B$5="",$C$6="",ROW()&lt;$B$5),"",IF(INDEX($A:$U,ROW(),$C$6)="","",INDEX($A:$U,ROW(),$C$6)))</f>
        <v/>
      </c>
      <c r="X896" s="32">
        <f>IF($W896="","",IF(ISNUMBER($W896),IF($W896&gt;=10000000,IFERROR(DATE(INT($W896/10000),MOD(INT($W896/100),100),MOD($W896,100)),""),INT($W896)),IFERROR(DATE(--LEFT(LEFT(SUBSTITUTE(SUBSTITUTE(SUBSTITUTE(SUBSTITUTE(TRIM($W896),"-",""),".",""),"/","")," ",""),8),4),--MID(LEFT(SUBSTITUTE(SUBSTITUTE(SUBSTITUTE(SUBSTITUTE(TRIM($W896),"-",""),".",""),"/","")," ",""),8),5,2),--MID(LEFT(SUBSTITUTE(SUBSTITUTE(SUBSTITUTE(SUBSTITUTE(TRIM($W896),"-",""),".",""),"/","")," ",""),8),7,2)),"")))</f>
        <v/>
      </c>
      <c r="Y896" s="32">
        <f>IF($X896="","",INT($X896))</f>
        <v/>
      </c>
      <c r="Z896" s="33">
        <f>IF(OR($Y896="",$D$6=""),"",IF(INDEX($A:$U,ROW(),$D$6)="",0,IF(ISNUMBER(INDEX($A:$U,ROW(),$D$6)),INDEX($A:$U,ROW(),$D$6),IFERROR(--SUBSTITUTE(SUBSTITUTE(TRIM(INDEX($A:$U,ROW(),$D$6)),",",""),"원",""),0))))</f>
        <v/>
      </c>
      <c r="AA896" s="31">
        <f>IF($Y896="","",TRIM(INDEX($A:$U,ROW(),$E$6)&amp;IF($F$6="",""," "&amp;INDEX($A:$U,ROW(),$F$6))))</f>
        <v/>
      </c>
      <c r="AB896" s="31">
        <f>IF($AA896="","",SUBSTITUTE(SUBSTITUTE(SUBSTITUTE(SUBSTITUTE(SUBSTITUTE(SUBSTITUTE(SUBSTITUTE(SUBSTITUTE(SUBSTITUTE($AA896," ",""),"　",""),"(주)",""),"（주）",""),"㈜",""),"주식회사",""),"(유)",""),"（유）",""),"유한회사",""))</f>
        <v/>
      </c>
      <c r="AC896" s="31">
        <f>IF(OR($Y896="",N($Z896)&lt;=0,$AB896=""),0,IFERROR(LOOKUP(2,1/((거래처별!$AC$8:$AC$307&lt;&gt;"")*ISNUMBER(SEARCH(거래처별!$AC$8:$AC$307,$AB896))),거래처별!$A$8:$A$307),IFERROR(LOOKUP(2,1/((거래처별!$AD$8:$AD$307&lt;&gt;"")*ISNUMBER(SEARCH(거래처별!$AD$8:$AD$307,$AB896))),거래처별!$A$8:$A$307),IFERROR(LOOKUP(2,1/((거래처별!$AE$8:$AE$307&lt;&gt;"")*ISNUMBER(SEARCH(거래처별!$AE$8:$AE$307,$AB896))),거래처별!$A$8:$A$307),0))))</f>
        <v/>
      </c>
      <c r="AD896" s="31">
        <f>IF(AND($Y896&lt;&gt;"",N($Z896)&gt;0,$AC896=0),MAX($AD$7:$AD895)+1,"")</f>
        <v/>
      </c>
      <c r="AE896" s="31">
        <f>IF($Y896="",0,$Y896)</f>
        <v/>
      </c>
    </row>
    <row r="897">
      <c r="W897" s="31">
        <f>IF(OR($B$5="",$C$6="",ROW()&lt;$B$5),"",IF(INDEX($A:$U,ROW(),$C$6)="","",INDEX($A:$U,ROW(),$C$6)))</f>
        <v/>
      </c>
      <c r="X897" s="32">
        <f>IF($W897="","",IF(ISNUMBER($W897),IF($W897&gt;=10000000,IFERROR(DATE(INT($W897/10000),MOD(INT($W897/100),100),MOD($W897,100)),""),INT($W897)),IFERROR(DATE(--LEFT(LEFT(SUBSTITUTE(SUBSTITUTE(SUBSTITUTE(SUBSTITUTE(TRIM($W897),"-",""),".",""),"/","")," ",""),8),4),--MID(LEFT(SUBSTITUTE(SUBSTITUTE(SUBSTITUTE(SUBSTITUTE(TRIM($W897),"-",""),".",""),"/","")," ",""),8),5,2),--MID(LEFT(SUBSTITUTE(SUBSTITUTE(SUBSTITUTE(SUBSTITUTE(TRIM($W897),"-",""),".",""),"/","")," ",""),8),7,2)),"")))</f>
        <v/>
      </c>
      <c r="Y897" s="32">
        <f>IF($X897="","",INT($X897))</f>
        <v/>
      </c>
      <c r="Z897" s="33">
        <f>IF(OR($Y897="",$D$6=""),"",IF(INDEX($A:$U,ROW(),$D$6)="",0,IF(ISNUMBER(INDEX($A:$U,ROW(),$D$6)),INDEX($A:$U,ROW(),$D$6),IFERROR(--SUBSTITUTE(SUBSTITUTE(TRIM(INDEX($A:$U,ROW(),$D$6)),",",""),"원",""),0))))</f>
        <v/>
      </c>
      <c r="AA897" s="31">
        <f>IF($Y897="","",TRIM(INDEX($A:$U,ROW(),$E$6)&amp;IF($F$6="",""," "&amp;INDEX($A:$U,ROW(),$F$6))))</f>
        <v/>
      </c>
      <c r="AB897" s="31">
        <f>IF($AA897="","",SUBSTITUTE(SUBSTITUTE(SUBSTITUTE(SUBSTITUTE(SUBSTITUTE(SUBSTITUTE(SUBSTITUTE(SUBSTITUTE(SUBSTITUTE($AA897," ",""),"　",""),"(주)",""),"（주）",""),"㈜",""),"주식회사",""),"(유)",""),"（유）",""),"유한회사",""))</f>
        <v/>
      </c>
      <c r="AC897" s="31">
        <f>IF(OR($Y897="",N($Z897)&lt;=0,$AB897=""),0,IFERROR(LOOKUP(2,1/((거래처별!$AC$8:$AC$307&lt;&gt;"")*ISNUMBER(SEARCH(거래처별!$AC$8:$AC$307,$AB897))),거래처별!$A$8:$A$307),IFERROR(LOOKUP(2,1/((거래처별!$AD$8:$AD$307&lt;&gt;"")*ISNUMBER(SEARCH(거래처별!$AD$8:$AD$307,$AB897))),거래처별!$A$8:$A$307),IFERROR(LOOKUP(2,1/((거래처별!$AE$8:$AE$307&lt;&gt;"")*ISNUMBER(SEARCH(거래처별!$AE$8:$AE$307,$AB897))),거래처별!$A$8:$A$307),0))))</f>
        <v/>
      </c>
      <c r="AD897" s="31">
        <f>IF(AND($Y897&lt;&gt;"",N($Z897)&gt;0,$AC897=0),MAX($AD$7:$AD896)+1,"")</f>
        <v/>
      </c>
      <c r="AE897" s="31">
        <f>IF($Y897="",0,$Y897)</f>
        <v/>
      </c>
    </row>
    <row r="898">
      <c r="W898" s="31">
        <f>IF(OR($B$5="",$C$6="",ROW()&lt;$B$5),"",IF(INDEX($A:$U,ROW(),$C$6)="","",INDEX($A:$U,ROW(),$C$6)))</f>
        <v/>
      </c>
      <c r="X898" s="32">
        <f>IF($W898="","",IF(ISNUMBER($W898),IF($W898&gt;=10000000,IFERROR(DATE(INT($W898/10000),MOD(INT($W898/100),100),MOD($W898,100)),""),INT($W898)),IFERROR(DATE(--LEFT(LEFT(SUBSTITUTE(SUBSTITUTE(SUBSTITUTE(SUBSTITUTE(TRIM($W898),"-",""),".",""),"/","")," ",""),8),4),--MID(LEFT(SUBSTITUTE(SUBSTITUTE(SUBSTITUTE(SUBSTITUTE(TRIM($W898),"-",""),".",""),"/","")," ",""),8),5,2),--MID(LEFT(SUBSTITUTE(SUBSTITUTE(SUBSTITUTE(SUBSTITUTE(TRIM($W898),"-",""),".",""),"/","")," ",""),8),7,2)),"")))</f>
        <v/>
      </c>
      <c r="Y898" s="32">
        <f>IF($X898="","",INT($X898))</f>
        <v/>
      </c>
      <c r="Z898" s="33">
        <f>IF(OR($Y898="",$D$6=""),"",IF(INDEX($A:$U,ROW(),$D$6)="",0,IF(ISNUMBER(INDEX($A:$U,ROW(),$D$6)),INDEX($A:$U,ROW(),$D$6),IFERROR(--SUBSTITUTE(SUBSTITUTE(TRIM(INDEX($A:$U,ROW(),$D$6)),",",""),"원",""),0))))</f>
        <v/>
      </c>
      <c r="AA898" s="31">
        <f>IF($Y898="","",TRIM(INDEX($A:$U,ROW(),$E$6)&amp;IF($F$6="",""," "&amp;INDEX($A:$U,ROW(),$F$6))))</f>
        <v/>
      </c>
      <c r="AB898" s="31">
        <f>IF($AA898="","",SUBSTITUTE(SUBSTITUTE(SUBSTITUTE(SUBSTITUTE(SUBSTITUTE(SUBSTITUTE(SUBSTITUTE(SUBSTITUTE(SUBSTITUTE($AA898," ",""),"　",""),"(주)",""),"（주）",""),"㈜",""),"주식회사",""),"(유)",""),"（유）",""),"유한회사",""))</f>
        <v/>
      </c>
      <c r="AC898" s="31">
        <f>IF(OR($Y898="",N($Z898)&lt;=0,$AB898=""),0,IFERROR(LOOKUP(2,1/((거래처별!$AC$8:$AC$307&lt;&gt;"")*ISNUMBER(SEARCH(거래처별!$AC$8:$AC$307,$AB898))),거래처별!$A$8:$A$307),IFERROR(LOOKUP(2,1/((거래처별!$AD$8:$AD$307&lt;&gt;"")*ISNUMBER(SEARCH(거래처별!$AD$8:$AD$307,$AB898))),거래처별!$A$8:$A$307),IFERROR(LOOKUP(2,1/((거래처별!$AE$8:$AE$307&lt;&gt;"")*ISNUMBER(SEARCH(거래처별!$AE$8:$AE$307,$AB898))),거래처별!$A$8:$A$307),0))))</f>
        <v/>
      </c>
      <c r="AD898" s="31">
        <f>IF(AND($Y898&lt;&gt;"",N($Z898)&gt;0,$AC898=0),MAX($AD$7:$AD897)+1,"")</f>
        <v/>
      </c>
      <c r="AE898" s="31">
        <f>IF($Y898="",0,$Y898)</f>
        <v/>
      </c>
    </row>
    <row r="899">
      <c r="W899" s="31">
        <f>IF(OR($B$5="",$C$6="",ROW()&lt;$B$5),"",IF(INDEX($A:$U,ROW(),$C$6)="","",INDEX($A:$U,ROW(),$C$6)))</f>
        <v/>
      </c>
      <c r="X899" s="32">
        <f>IF($W899="","",IF(ISNUMBER($W899),IF($W899&gt;=10000000,IFERROR(DATE(INT($W899/10000),MOD(INT($W899/100),100),MOD($W899,100)),""),INT($W899)),IFERROR(DATE(--LEFT(LEFT(SUBSTITUTE(SUBSTITUTE(SUBSTITUTE(SUBSTITUTE(TRIM($W899),"-",""),".",""),"/","")," ",""),8),4),--MID(LEFT(SUBSTITUTE(SUBSTITUTE(SUBSTITUTE(SUBSTITUTE(TRIM($W899),"-",""),".",""),"/","")," ",""),8),5,2),--MID(LEFT(SUBSTITUTE(SUBSTITUTE(SUBSTITUTE(SUBSTITUTE(TRIM($W899),"-",""),".",""),"/","")," ",""),8),7,2)),"")))</f>
        <v/>
      </c>
      <c r="Y899" s="32">
        <f>IF($X899="","",INT($X899))</f>
        <v/>
      </c>
      <c r="Z899" s="33">
        <f>IF(OR($Y899="",$D$6=""),"",IF(INDEX($A:$U,ROW(),$D$6)="",0,IF(ISNUMBER(INDEX($A:$U,ROW(),$D$6)),INDEX($A:$U,ROW(),$D$6),IFERROR(--SUBSTITUTE(SUBSTITUTE(TRIM(INDEX($A:$U,ROW(),$D$6)),",",""),"원",""),0))))</f>
        <v/>
      </c>
      <c r="AA899" s="31">
        <f>IF($Y899="","",TRIM(INDEX($A:$U,ROW(),$E$6)&amp;IF($F$6="",""," "&amp;INDEX($A:$U,ROW(),$F$6))))</f>
        <v/>
      </c>
      <c r="AB899" s="31">
        <f>IF($AA899="","",SUBSTITUTE(SUBSTITUTE(SUBSTITUTE(SUBSTITUTE(SUBSTITUTE(SUBSTITUTE(SUBSTITUTE(SUBSTITUTE(SUBSTITUTE($AA899," ",""),"　",""),"(주)",""),"（주）",""),"㈜",""),"주식회사",""),"(유)",""),"（유）",""),"유한회사",""))</f>
        <v/>
      </c>
      <c r="AC899" s="31">
        <f>IF(OR($Y899="",N($Z899)&lt;=0,$AB899=""),0,IFERROR(LOOKUP(2,1/((거래처별!$AC$8:$AC$307&lt;&gt;"")*ISNUMBER(SEARCH(거래처별!$AC$8:$AC$307,$AB899))),거래처별!$A$8:$A$307),IFERROR(LOOKUP(2,1/((거래처별!$AD$8:$AD$307&lt;&gt;"")*ISNUMBER(SEARCH(거래처별!$AD$8:$AD$307,$AB899))),거래처별!$A$8:$A$307),IFERROR(LOOKUP(2,1/((거래처별!$AE$8:$AE$307&lt;&gt;"")*ISNUMBER(SEARCH(거래처별!$AE$8:$AE$307,$AB899))),거래처별!$A$8:$A$307),0))))</f>
        <v/>
      </c>
      <c r="AD899" s="31">
        <f>IF(AND($Y899&lt;&gt;"",N($Z899)&gt;0,$AC899=0),MAX($AD$7:$AD898)+1,"")</f>
        <v/>
      </c>
      <c r="AE899" s="31">
        <f>IF($Y899="",0,$Y899)</f>
        <v/>
      </c>
    </row>
    <row r="900">
      <c r="W900" s="31">
        <f>IF(OR($B$5="",$C$6="",ROW()&lt;$B$5),"",IF(INDEX($A:$U,ROW(),$C$6)="","",INDEX($A:$U,ROW(),$C$6)))</f>
        <v/>
      </c>
      <c r="X900" s="32">
        <f>IF($W900="","",IF(ISNUMBER($W900),IF($W900&gt;=10000000,IFERROR(DATE(INT($W900/10000),MOD(INT($W900/100),100),MOD($W900,100)),""),INT($W900)),IFERROR(DATE(--LEFT(LEFT(SUBSTITUTE(SUBSTITUTE(SUBSTITUTE(SUBSTITUTE(TRIM($W900),"-",""),".",""),"/","")," ",""),8),4),--MID(LEFT(SUBSTITUTE(SUBSTITUTE(SUBSTITUTE(SUBSTITUTE(TRIM($W900),"-",""),".",""),"/","")," ",""),8),5,2),--MID(LEFT(SUBSTITUTE(SUBSTITUTE(SUBSTITUTE(SUBSTITUTE(TRIM($W900),"-",""),".",""),"/","")," ",""),8),7,2)),"")))</f>
        <v/>
      </c>
      <c r="Y900" s="32">
        <f>IF($X900="","",INT($X900))</f>
        <v/>
      </c>
      <c r="Z900" s="33">
        <f>IF(OR($Y900="",$D$6=""),"",IF(INDEX($A:$U,ROW(),$D$6)="",0,IF(ISNUMBER(INDEX($A:$U,ROW(),$D$6)),INDEX($A:$U,ROW(),$D$6),IFERROR(--SUBSTITUTE(SUBSTITUTE(TRIM(INDEX($A:$U,ROW(),$D$6)),",",""),"원",""),0))))</f>
        <v/>
      </c>
      <c r="AA900" s="31">
        <f>IF($Y900="","",TRIM(INDEX($A:$U,ROW(),$E$6)&amp;IF($F$6="",""," "&amp;INDEX($A:$U,ROW(),$F$6))))</f>
        <v/>
      </c>
      <c r="AB900" s="31">
        <f>IF($AA900="","",SUBSTITUTE(SUBSTITUTE(SUBSTITUTE(SUBSTITUTE(SUBSTITUTE(SUBSTITUTE(SUBSTITUTE(SUBSTITUTE(SUBSTITUTE($AA900," ",""),"　",""),"(주)",""),"（주）",""),"㈜",""),"주식회사",""),"(유)",""),"（유）",""),"유한회사",""))</f>
        <v/>
      </c>
      <c r="AC900" s="31">
        <f>IF(OR($Y900="",N($Z900)&lt;=0,$AB900=""),0,IFERROR(LOOKUP(2,1/((거래처별!$AC$8:$AC$307&lt;&gt;"")*ISNUMBER(SEARCH(거래처별!$AC$8:$AC$307,$AB900))),거래처별!$A$8:$A$307),IFERROR(LOOKUP(2,1/((거래처별!$AD$8:$AD$307&lt;&gt;"")*ISNUMBER(SEARCH(거래처별!$AD$8:$AD$307,$AB900))),거래처별!$A$8:$A$307),IFERROR(LOOKUP(2,1/((거래처별!$AE$8:$AE$307&lt;&gt;"")*ISNUMBER(SEARCH(거래처별!$AE$8:$AE$307,$AB900))),거래처별!$A$8:$A$307),0))))</f>
        <v/>
      </c>
      <c r="AD900" s="31">
        <f>IF(AND($Y900&lt;&gt;"",N($Z900)&gt;0,$AC900=0),MAX($AD$7:$AD899)+1,"")</f>
        <v/>
      </c>
      <c r="AE900" s="31">
        <f>IF($Y900="",0,$Y900)</f>
        <v/>
      </c>
    </row>
    <row r="901">
      <c r="W901" s="31">
        <f>IF(OR($B$5="",$C$6="",ROW()&lt;$B$5),"",IF(INDEX($A:$U,ROW(),$C$6)="","",INDEX($A:$U,ROW(),$C$6)))</f>
        <v/>
      </c>
      <c r="X901" s="32">
        <f>IF($W901="","",IF(ISNUMBER($W901),IF($W901&gt;=10000000,IFERROR(DATE(INT($W901/10000),MOD(INT($W901/100),100),MOD($W901,100)),""),INT($W901)),IFERROR(DATE(--LEFT(LEFT(SUBSTITUTE(SUBSTITUTE(SUBSTITUTE(SUBSTITUTE(TRIM($W901),"-",""),".",""),"/","")," ",""),8),4),--MID(LEFT(SUBSTITUTE(SUBSTITUTE(SUBSTITUTE(SUBSTITUTE(TRIM($W901),"-",""),".",""),"/","")," ",""),8),5,2),--MID(LEFT(SUBSTITUTE(SUBSTITUTE(SUBSTITUTE(SUBSTITUTE(TRIM($W901),"-",""),".",""),"/","")," ",""),8),7,2)),"")))</f>
        <v/>
      </c>
      <c r="Y901" s="32">
        <f>IF($X901="","",INT($X901))</f>
        <v/>
      </c>
      <c r="Z901" s="33">
        <f>IF(OR($Y901="",$D$6=""),"",IF(INDEX($A:$U,ROW(),$D$6)="",0,IF(ISNUMBER(INDEX($A:$U,ROW(),$D$6)),INDEX($A:$U,ROW(),$D$6),IFERROR(--SUBSTITUTE(SUBSTITUTE(TRIM(INDEX($A:$U,ROW(),$D$6)),",",""),"원",""),0))))</f>
        <v/>
      </c>
      <c r="AA901" s="31">
        <f>IF($Y901="","",TRIM(INDEX($A:$U,ROW(),$E$6)&amp;IF($F$6="",""," "&amp;INDEX($A:$U,ROW(),$F$6))))</f>
        <v/>
      </c>
      <c r="AB901" s="31">
        <f>IF($AA901="","",SUBSTITUTE(SUBSTITUTE(SUBSTITUTE(SUBSTITUTE(SUBSTITUTE(SUBSTITUTE(SUBSTITUTE(SUBSTITUTE(SUBSTITUTE($AA901," ",""),"　",""),"(주)",""),"（주）",""),"㈜",""),"주식회사",""),"(유)",""),"（유）",""),"유한회사",""))</f>
        <v/>
      </c>
      <c r="AC901" s="31">
        <f>IF(OR($Y901="",N($Z901)&lt;=0,$AB901=""),0,IFERROR(LOOKUP(2,1/((거래처별!$AC$8:$AC$307&lt;&gt;"")*ISNUMBER(SEARCH(거래처별!$AC$8:$AC$307,$AB901))),거래처별!$A$8:$A$307),IFERROR(LOOKUP(2,1/((거래처별!$AD$8:$AD$307&lt;&gt;"")*ISNUMBER(SEARCH(거래처별!$AD$8:$AD$307,$AB901))),거래처별!$A$8:$A$307),IFERROR(LOOKUP(2,1/((거래처별!$AE$8:$AE$307&lt;&gt;"")*ISNUMBER(SEARCH(거래처별!$AE$8:$AE$307,$AB901))),거래처별!$A$8:$A$307),0))))</f>
        <v/>
      </c>
      <c r="AD901" s="31">
        <f>IF(AND($Y901&lt;&gt;"",N($Z901)&gt;0,$AC901=0),MAX($AD$7:$AD900)+1,"")</f>
        <v/>
      </c>
      <c r="AE901" s="31">
        <f>IF($Y901="",0,$Y901)</f>
        <v/>
      </c>
    </row>
    <row r="902">
      <c r="W902" s="31">
        <f>IF(OR($B$5="",$C$6="",ROW()&lt;$B$5),"",IF(INDEX($A:$U,ROW(),$C$6)="","",INDEX($A:$U,ROW(),$C$6)))</f>
        <v/>
      </c>
      <c r="X902" s="32">
        <f>IF($W902="","",IF(ISNUMBER($W902),IF($W902&gt;=10000000,IFERROR(DATE(INT($W902/10000),MOD(INT($W902/100),100),MOD($W902,100)),""),INT($W902)),IFERROR(DATE(--LEFT(LEFT(SUBSTITUTE(SUBSTITUTE(SUBSTITUTE(SUBSTITUTE(TRIM($W902),"-",""),".",""),"/","")," ",""),8),4),--MID(LEFT(SUBSTITUTE(SUBSTITUTE(SUBSTITUTE(SUBSTITUTE(TRIM($W902),"-",""),".",""),"/","")," ",""),8),5,2),--MID(LEFT(SUBSTITUTE(SUBSTITUTE(SUBSTITUTE(SUBSTITUTE(TRIM($W902),"-",""),".",""),"/","")," ",""),8),7,2)),"")))</f>
        <v/>
      </c>
      <c r="Y902" s="32">
        <f>IF($X902="","",INT($X902))</f>
        <v/>
      </c>
      <c r="Z902" s="33">
        <f>IF(OR($Y902="",$D$6=""),"",IF(INDEX($A:$U,ROW(),$D$6)="",0,IF(ISNUMBER(INDEX($A:$U,ROW(),$D$6)),INDEX($A:$U,ROW(),$D$6),IFERROR(--SUBSTITUTE(SUBSTITUTE(TRIM(INDEX($A:$U,ROW(),$D$6)),",",""),"원",""),0))))</f>
        <v/>
      </c>
      <c r="AA902" s="31">
        <f>IF($Y902="","",TRIM(INDEX($A:$U,ROW(),$E$6)&amp;IF($F$6="",""," "&amp;INDEX($A:$U,ROW(),$F$6))))</f>
        <v/>
      </c>
      <c r="AB902" s="31">
        <f>IF($AA902="","",SUBSTITUTE(SUBSTITUTE(SUBSTITUTE(SUBSTITUTE(SUBSTITUTE(SUBSTITUTE(SUBSTITUTE(SUBSTITUTE(SUBSTITUTE($AA902," ",""),"　",""),"(주)",""),"（주）",""),"㈜",""),"주식회사",""),"(유)",""),"（유）",""),"유한회사",""))</f>
        <v/>
      </c>
      <c r="AC902" s="31">
        <f>IF(OR($Y902="",N($Z902)&lt;=0,$AB902=""),0,IFERROR(LOOKUP(2,1/((거래처별!$AC$8:$AC$307&lt;&gt;"")*ISNUMBER(SEARCH(거래처별!$AC$8:$AC$307,$AB902))),거래처별!$A$8:$A$307),IFERROR(LOOKUP(2,1/((거래처별!$AD$8:$AD$307&lt;&gt;"")*ISNUMBER(SEARCH(거래처별!$AD$8:$AD$307,$AB902))),거래처별!$A$8:$A$307),IFERROR(LOOKUP(2,1/((거래처별!$AE$8:$AE$307&lt;&gt;"")*ISNUMBER(SEARCH(거래처별!$AE$8:$AE$307,$AB902))),거래처별!$A$8:$A$307),0))))</f>
        <v/>
      </c>
      <c r="AD902" s="31">
        <f>IF(AND($Y902&lt;&gt;"",N($Z902)&gt;0,$AC902=0),MAX($AD$7:$AD901)+1,"")</f>
        <v/>
      </c>
      <c r="AE902" s="31">
        <f>IF($Y902="",0,$Y902)</f>
        <v/>
      </c>
    </row>
    <row r="903">
      <c r="W903" s="31">
        <f>IF(OR($B$5="",$C$6="",ROW()&lt;$B$5),"",IF(INDEX($A:$U,ROW(),$C$6)="","",INDEX($A:$U,ROW(),$C$6)))</f>
        <v/>
      </c>
      <c r="X903" s="32">
        <f>IF($W903="","",IF(ISNUMBER($W903),IF($W903&gt;=10000000,IFERROR(DATE(INT($W903/10000),MOD(INT($W903/100),100),MOD($W903,100)),""),INT($W903)),IFERROR(DATE(--LEFT(LEFT(SUBSTITUTE(SUBSTITUTE(SUBSTITUTE(SUBSTITUTE(TRIM($W903),"-",""),".",""),"/","")," ",""),8),4),--MID(LEFT(SUBSTITUTE(SUBSTITUTE(SUBSTITUTE(SUBSTITUTE(TRIM($W903),"-",""),".",""),"/","")," ",""),8),5,2),--MID(LEFT(SUBSTITUTE(SUBSTITUTE(SUBSTITUTE(SUBSTITUTE(TRIM($W903),"-",""),".",""),"/","")," ",""),8),7,2)),"")))</f>
        <v/>
      </c>
      <c r="Y903" s="32">
        <f>IF($X903="","",INT($X903))</f>
        <v/>
      </c>
      <c r="Z903" s="33">
        <f>IF(OR($Y903="",$D$6=""),"",IF(INDEX($A:$U,ROW(),$D$6)="",0,IF(ISNUMBER(INDEX($A:$U,ROW(),$D$6)),INDEX($A:$U,ROW(),$D$6),IFERROR(--SUBSTITUTE(SUBSTITUTE(TRIM(INDEX($A:$U,ROW(),$D$6)),",",""),"원",""),0))))</f>
        <v/>
      </c>
      <c r="AA903" s="31">
        <f>IF($Y903="","",TRIM(INDEX($A:$U,ROW(),$E$6)&amp;IF($F$6="",""," "&amp;INDEX($A:$U,ROW(),$F$6))))</f>
        <v/>
      </c>
      <c r="AB903" s="31">
        <f>IF($AA903="","",SUBSTITUTE(SUBSTITUTE(SUBSTITUTE(SUBSTITUTE(SUBSTITUTE(SUBSTITUTE(SUBSTITUTE(SUBSTITUTE(SUBSTITUTE($AA903," ",""),"　",""),"(주)",""),"（주）",""),"㈜",""),"주식회사",""),"(유)",""),"（유）",""),"유한회사",""))</f>
        <v/>
      </c>
      <c r="AC903" s="31">
        <f>IF(OR($Y903="",N($Z903)&lt;=0,$AB903=""),0,IFERROR(LOOKUP(2,1/((거래처별!$AC$8:$AC$307&lt;&gt;"")*ISNUMBER(SEARCH(거래처별!$AC$8:$AC$307,$AB903))),거래처별!$A$8:$A$307),IFERROR(LOOKUP(2,1/((거래처별!$AD$8:$AD$307&lt;&gt;"")*ISNUMBER(SEARCH(거래처별!$AD$8:$AD$307,$AB903))),거래처별!$A$8:$A$307),IFERROR(LOOKUP(2,1/((거래처별!$AE$8:$AE$307&lt;&gt;"")*ISNUMBER(SEARCH(거래처별!$AE$8:$AE$307,$AB903))),거래처별!$A$8:$A$307),0))))</f>
        <v/>
      </c>
      <c r="AD903" s="31">
        <f>IF(AND($Y903&lt;&gt;"",N($Z903)&gt;0,$AC903=0),MAX($AD$7:$AD902)+1,"")</f>
        <v/>
      </c>
      <c r="AE903" s="31">
        <f>IF($Y903="",0,$Y903)</f>
        <v/>
      </c>
    </row>
    <row r="904">
      <c r="W904" s="31">
        <f>IF(OR($B$5="",$C$6="",ROW()&lt;$B$5),"",IF(INDEX($A:$U,ROW(),$C$6)="","",INDEX($A:$U,ROW(),$C$6)))</f>
        <v/>
      </c>
      <c r="X904" s="32">
        <f>IF($W904="","",IF(ISNUMBER($W904),IF($W904&gt;=10000000,IFERROR(DATE(INT($W904/10000),MOD(INT($W904/100),100),MOD($W904,100)),""),INT($W904)),IFERROR(DATE(--LEFT(LEFT(SUBSTITUTE(SUBSTITUTE(SUBSTITUTE(SUBSTITUTE(TRIM($W904),"-",""),".",""),"/","")," ",""),8),4),--MID(LEFT(SUBSTITUTE(SUBSTITUTE(SUBSTITUTE(SUBSTITUTE(TRIM($W904),"-",""),".",""),"/","")," ",""),8),5,2),--MID(LEFT(SUBSTITUTE(SUBSTITUTE(SUBSTITUTE(SUBSTITUTE(TRIM($W904),"-",""),".",""),"/","")," ",""),8),7,2)),"")))</f>
        <v/>
      </c>
      <c r="Y904" s="32">
        <f>IF($X904="","",INT($X904))</f>
        <v/>
      </c>
      <c r="Z904" s="33">
        <f>IF(OR($Y904="",$D$6=""),"",IF(INDEX($A:$U,ROW(),$D$6)="",0,IF(ISNUMBER(INDEX($A:$U,ROW(),$D$6)),INDEX($A:$U,ROW(),$D$6),IFERROR(--SUBSTITUTE(SUBSTITUTE(TRIM(INDEX($A:$U,ROW(),$D$6)),",",""),"원",""),0))))</f>
        <v/>
      </c>
      <c r="AA904" s="31">
        <f>IF($Y904="","",TRIM(INDEX($A:$U,ROW(),$E$6)&amp;IF($F$6="",""," "&amp;INDEX($A:$U,ROW(),$F$6))))</f>
        <v/>
      </c>
      <c r="AB904" s="31">
        <f>IF($AA904="","",SUBSTITUTE(SUBSTITUTE(SUBSTITUTE(SUBSTITUTE(SUBSTITUTE(SUBSTITUTE(SUBSTITUTE(SUBSTITUTE(SUBSTITUTE($AA904," ",""),"　",""),"(주)",""),"（주）",""),"㈜",""),"주식회사",""),"(유)",""),"（유）",""),"유한회사",""))</f>
        <v/>
      </c>
      <c r="AC904" s="31">
        <f>IF(OR($Y904="",N($Z904)&lt;=0,$AB904=""),0,IFERROR(LOOKUP(2,1/((거래처별!$AC$8:$AC$307&lt;&gt;"")*ISNUMBER(SEARCH(거래처별!$AC$8:$AC$307,$AB904))),거래처별!$A$8:$A$307),IFERROR(LOOKUP(2,1/((거래처별!$AD$8:$AD$307&lt;&gt;"")*ISNUMBER(SEARCH(거래처별!$AD$8:$AD$307,$AB904))),거래처별!$A$8:$A$307),IFERROR(LOOKUP(2,1/((거래처별!$AE$8:$AE$307&lt;&gt;"")*ISNUMBER(SEARCH(거래처별!$AE$8:$AE$307,$AB904))),거래처별!$A$8:$A$307),0))))</f>
        <v/>
      </c>
      <c r="AD904" s="31">
        <f>IF(AND($Y904&lt;&gt;"",N($Z904)&gt;0,$AC904=0),MAX($AD$7:$AD903)+1,"")</f>
        <v/>
      </c>
      <c r="AE904" s="31">
        <f>IF($Y904="",0,$Y904)</f>
        <v/>
      </c>
    </row>
    <row r="905">
      <c r="W905" s="31">
        <f>IF(OR($B$5="",$C$6="",ROW()&lt;$B$5),"",IF(INDEX($A:$U,ROW(),$C$6)="","",INDEX($A:$U,ROW(),$C$6)))</f>
        <v/>
      </c>
      <c r="X905" s="32">
        <f>IF($W905="","",IF(ISNUMBER($W905),IF($W905&gt;=10000000,IFERROR(DATE(INT($W905/10000),MOD(INT($W905/100),100),MOD($W905,100)),""),INT($W905)),IFERROR(DATE(--LEFT(LEFT(SUBSTITUTE(SUBSTITUTE(SUBSTITUTE(SUBSTITUTE(TRIM($W905),"-",""),".",""),"/","")," ",""),8),4),--MID(LEFT(SUBSTITUTE(SUBSTITUTE(SUBSTITUTE(SUBSTITUTE(TRIM($W905),"-",""),".",""),"/","")," ",""),8),5,2),--MID(LEFT(SUBSTITUTE(SUBSTITUTE(SUBSTITUTE(SUBSTITUTE(TRIM($W905),"-",""),".",""),"/","")," ",""),8),7,2)),"")))</f>
        <v/>
      </c>
      <c r="Y905" s="32">
        <f>IF($X905="","",INT($X905))</f>
        <v/>
      </c>
      <c r="Z905" s="33">
        <f>IF(OR($Y905="",$D$6=""),"",IF(INDEX($A:$U,ROW(),$D$6)="",0,IF(ISNUMBER(INDEX($A:$U,ROW(),$D$6)),INDEX($A:$U,ROW(),$D$6),IFERROR(--SUBSTITUTE(SUBSTITUTE(TRIM(INDEX($A:$U,ROW(),$D$6)),",",""),"원",""),0))))</f>
        <v/>
      </c>
      <c r="AA905" s="31">
        <f>IF($Y905="","",TRIM(INDEX($A:$U,ROW(),$E$6)&amp;IF($F$6="",""," "&amp;INDEX($A:$U,ROW(),$F$6))))</f>
        <v/>
      </c>
      <c r="AB905" s="31">
        <f>IF($AA905="","",SUBSTITUTE(SUBSTITUTE(SUBSTITUTE(SUBSTITUTE(SUBSTITUTE(SUBSTITUTE(SUBSTITUTE(SUBSTITUTE(SUBSTITUTE($AA905," ",""),"　",""),"(주)",""),"（주）",""),"㈜",""),"주식회사",""),"(유)",""),"（유）",""),"유한회사",""))</f>
        <v/>
      </c>
      <c r="AC905" s="31">
        <f>IF(OR($Y905="",N($Z905)&lt;=0,$AB905=""),0,IFERROR(LOOKUP(2,1/((거래처별!$AC$8:$AC$307&lt;&gt;"")*ISNUMBER(SEARCH(거래처별!$AC$8:$AC$307,$AB905))),거래처별!$A$8:$A$307),IFERROR(LOOKUP(2,1/((거래처별!$AD$8:$AD$307&lt;&gt;"")*ISNUMBER(SEARCH(거래처별!$AD$8:$AD$307,$AB905))),거래처별!$A$8:$A$307),IFERROR(LOOKUP(2,1/((거래처별!$AE$8:$AE$307&lt;&gt;"")*ISNUMBER(SEARCH(거래처별!$AE$8:$AE$307,$AB905))),거래처별!$A$8:$A$307),0))))</f>
        <v/>
      </c>
      <c r="AD905" s="31">
        <f>IF(AND($Y905&lt;&gt;"",N($Z905)&gt;0,$AC905=0),MAX($AD$7:$AD904)+1,"")</f>
        <v/>
      </c>
      <c r="AE905" s="31">
        <f>IF($Y905="",0,$Y905)</f>
        <v/>
      </c>
    </row>
    <row r="906">
      <c r="W906" s="31">
        <f>IF(OR($B$5="",$C$6="",ROW()&lt;$B$5),"",IF(INDEX($A:$U,ROW(),$C$6)="","",INDEX($A:$U,ROW(),$C$6)))</f>
        <v/>
      </c>
      <c r="X906" s="32">
        <f>IF($W906="","",IF(ISNUMBER($W906),IF($W906&gt;=10000000,IFERROR(DATE(INT($W906/10000),MOD(INT($W906/100),100),MOD($W906,100)),""),INT($W906)),IFERROR(DATE(--LEFT(LEFT(SUBSTITUTE(SUBSTITUTE(SUBSTITUTE(SUBSTITUTE(TRIM($W906),"-",""),".",""),"/","")," ",""),8),4),--MID(LEFT(SUBSTITUTE(SUBSTITUTE(SUBSTITUTE(SUBSTITUTE(TRIM($W906),"-",""),".",""),"/","")," ",""),8),5,2),--MID(LEFT(SUBSTITUTE(SUBSTITUTE(SUBSTITUTE(SUBSTITUTE(TRIM($W906),"-",""),".",""),"/","")," ",""),8),7,2)),"")))</f>
        <v/>
      </c>
      <c r="Y906" s="32">
        <f>IF($X906="","",INT($X906))</f>
        <v/>
      </c>
      <c r="Z906" s="33">
        <f>IF(OR($Y906="",$D$6=""),"",IF(INDEX($A:$U,ROW(),$D$6)="",0,IF(ISNUMBER(INDEX($A:$U,ROW(),$D$6)),INDEX($A:$U,ROW(),$D$6),IFERROR(--SUBSTITUTE(SUBSTITUTE(TRIM(INDEX($A:$U,ROW(),$D$6)),",",""),"원",""),0))))</f>
        <v/>
      </c>
      <c r="AA906" s="31">
        <f>IF($Y906="","",TRIM(INDEX($A:$U,ROW(),$E$6)&amp;IF($F$6="",""," "&amp;INDEX($A:$U,ROW(),$F$6))))</f>
        <v/>
      </c>
      <c r="AB906" s="31">
        <f>IF($AA906="","",SUBSTITUTE(SUBSTITUTE(SUBSTITUTE(SUBSTITUTE(SUBSTITUTE(SUBSTITUTE(SUBSTITUTE(SUBSTITUTE(SUBSTITUTE($AA906," ",""),"　",""),"(주)",""),"（주）",""),"㈜",""),"주식회사",""),"(유)",""),"（유）",""),"유한회사",""))</f>
        <v/>
      </c>
      <c r="AC906" s="31">
        <f>IF(OR($Y906="",N($Z906)&lt;=0,$AB906=""),0,IFERROR(LOOKUP(2,1/((거래처별!$AC$8:$AC$307&lt;&gt;"")*ISNUMBER(SEARCH(거래처별!$AC$8:$AC$307,$AB906))),거래처별!$A$8:$A$307),IFERROR(LOOKUP(2,1/((거래처별!$AD$8:$AD$307&lt;&gt;"")*ISNUMBER(SEARCH(거래처별!$AD$8:$AD$307,$AB906))),거래처별!$A$8:$A$307),IFERROR(LOOKUP(2,1/((거래처별!$AE$8:$AE$307&lt;&gt;"")*ISNUMBER(SEARCH(거래처별!$AE$8:$AE$307,$AB906))),거래처별!$A$8:$A$307),0))))</f>
        <v/>
      </c>
      <c r="AD906" s="31">
        <f>IF(AND($Y906&lt;&gt;"",N($Z906)&gt;0,$AC906=0),MAX($AD$7:$AD905)+1,"")</f>
        <v/>
      </c>
      <c r="AE906" s="31">
        <f>IF($Y906="",0,$Y906)</f>
        <v/>
      </c>
    </row>
    <row r="907">
      <c r="W907" s="31">
        <f>IF(OR($B$5="",$C$6="",ROW()&lt;$B$5),"",IF(INDEX($A:$U,ROW(),$C$6)="","",INDEX($A:$U,ROW(),$C$6)))</f>
        <v/>
      </c>
      <c r="X907" s="32">
        <f>IF($W907="","",IF(ISNUMBER($W907),IF($W907&gt;=10000000,IFERROR(DATE(INT($W907/10000),MOD(INT($W907/100),100),MOD($W907,100)),""),INT($W907)),IFERROR(DATE(--LEFT(LEFT(SUBSTITUTE(SUBSTITUTE(SUBSTITUTE(SUBSTITUTE(TRIM($W907),"-",""),".",""),"/","")," ",""),8),4),--MID(LEFT(SUBSTITUTE(SUBSTITUTE(SUBSTITUTE(SUBSTITUTE(TRIM($W907),"-",""),".",""),"/","")," ",""),8),5,2),--MID(LEFT(SUBSTITUTE(SUBSTITUTE(SUBSTITUTE(SUBSTITUTE(TRIM($W907),"-",""),".",""),"/","")," ",""),8),7,2)),"")))</f>
        <v/>
      </c>
      <c r="Y907" s="32">
        <f>IF($X907="","",INT($X907))</f>
        <v/>
      </c>
      <c r="Z907" s="33">
        <f>IF(OR($Y907="",$D$6=""),"",IF(INDEX($A:$U,ROW(),$D$6)="",0,IF(ISNUMBER(INDEX($A:$U,ROW(),$D$6)),INDEX($A:$U,ROW(),$D$6),IFERROR(--SUBSTITUTE(SUBSTITUTE(TRIM(INDEX($A:$U,ROW(),$D$6)),",",""),"원",""),0))))</f>
        <v/>
      </c>
      <c r="AA907" s="31">
        <f>IF($Y907="","",TRIM(INDEX($A:$U,ROW(),$E$6)&amp;IF($F$6="",""," "&amp;INDEX($A:$U,ROW(),$F$6))))</f>
        <v/>
      </c>
      <c r="AB907" s="31">
        <f>IF($AA907="","",SUBSTITUTE(SUBSTITUTE(SUBSTITUTE(SUBSTITUTE(SUBSTITUTE(SUBSTITUTE(SUBSTITUTE(SUBSTITUTE(SUBSTITUTE($AA907," ",""),"　",""),"(주)",""),"（주）",""),"㈜",""),"주식회사",""),"(유)",""),"（유）",""),"유한회사",""))</f>
        <v/>
      </c>
      <c r="AC907" s="31">
        <f>IF(OR($Y907="",N($Z907)&lt;=0,$AB907=""),0,IFERROR(LOOKUP(2,1/((거래처별!$AC$8:$AC$307&lt;&gt;"")*ISNUMBER(SEARCH(거래처별!$AC$8:$AC$307,$AB907))),거래처별!$A$8:$A$307),IFERROR(LOOKUP(2,1/((거래처별!$AD$8:$AD$307&lt;&gt;"")*ISNUMBER(SEARCH(거래처별!$AD$8:$AD$307,$AB907))),거래처별!$A$8:$A$307),IFERROR(LOOKUP(2,1/((거래처별!$AE$8:$AE$307&lt;&gt;"")*ISNUMBER(SEARCH(거래처별!$AE$8:$AE$307,$AB907))),거래처별!$A$8:$A$307),0))))</f>
        <v/>
      </c>
      <c r="AD907" s="31">
        <f>IF(AND($Y907&lt;&gt;"",N($Z907)&gt;0,$AC907=0),MAX($AD$7:$AD906)+1,"")</f>
        <v/>
      </c>
      <c r="AE907" s="31">
        <f>IF($Y907="",0,$Y907)</f>
        <v/>
      </c>
    </row>
    <row r="908">
      <c r="W908" s="31">
        <f>IF(OR($B$5="",$C$6="",ROW()&lt;$B$5),"",IF(INDEX($A:$U,ROW(),$C$6)="","",INDEX($A:$U,ROW(),$C$6)))</f>
        <v/>
      </c>
      <c r="X908" s="32">
        <f>IF($W908="","",IF(ISNUMBER($W908),IF($W908&gt;=10000000,IFERROR(DATE(INT($W908/10000),MOD(INT($W908/100),100),MOD($W908,100)),""),INT($W908)),IFERROR(DATE(--LEFT(LEFT(SUBSTITUTE(SUBSTITUTE(SUBSTITUTE(SUBSTITUTE(TRIM($W908),"-",""),".",""),"/","")," ",""),8),4),--MID(LEFT(SUBSTITUTE(SUBSTITUTE(SUBSTITUTE(SUBSTITUTE(TRIM($W908),"-",""),".",""),"/","")," ",""),8),5,2),--MID(LEFT(SUBSTITUTE(SUBSTITUTE(SUBSTITUTE(SUBSTITUTE(TRIM($W908),"-",""),".",""),"/","")," ",""),8),7,2)),"")))</f>
        <v/>
      </c>
      <c r="Y908" s="32">
        <f>IF($X908="","",INT($X908))</f>
        <v/>
      </c>
      <c r="Z908" s="33">
        <f>IF(OR($Y908="",$D$6=""),"",IF(INDEX($A:$U,ROW(),$D$6)="",0,IF(ISNUMBER(INDEX($A:$U,ROW(),$D$6)),INDEX($A:$U,ROW(),$D$6),IFERROR(--SUBSTITUTE(SUBSTITUTE(TRIM(INDEX($A:$U,ROW(),$D$6)),",",""),"원",""),0))))</f>
        <v/>
      </c>
      <c r="AA908" s="31">
        <f>IF($Y908="","",TRIM(INDEX($A:$U,ROW(),$E$6)&amp;IF($F$6="",""," "&amp;INDEX($A:$U,ROW(),$F$6))))</f>
        <v/>
      </c>
      <c r="AB908" s="31">
        <f>IF($AA908="","",SUBSTITUTE(SUBSTITUTE(SUBSTITUTE(SUBSTITUTE(SUBSTITUTE(SUBSTITUTE(SUBSTITUTE(SUBSTITUTE(SUBSTITUTE($AA908," ",""),"　",""),"(주)",""),"（주）",""),"㈜",""),"주식회사",""),"(유)",""),"（유）",""),"유한회사",""))</f>
        <v/>
      </c>
      <c r="AC908" s="31">
        <f>IF(OR($Y908="",N($Z908)&lt;=0,$AB908=""),0,IFERROR(LOOKUP(2,1/((거래처별!$AC$8:$AC$307&lt;&gt;"")*ISNUMBER(SEARCH(거래처별!$AC$8:$AC$307,$AB908))),거래처별!$A$8:$A$307),IFERROR(LOOKUP(2,1/((거래처별!$AD$8:$AD$307&lt;&gt;"")*ISNUMBER(SEARCH(거래처별!$AD$8:$AD$307,$AB908))),거래처별!$A$8:$A$307),IFERROR(LOOKUP(2,1/((거래처별!$AE$8:$AE$307&lt;&gt;"")*ISNUMBER(SEARCH(거래처별!$AE$8:$AE$307,$AB908))),거래처별!$A$8:$A$307),0))))</f>
        <v/>
      </c>
      <c r="AD908" s="31">
        <f>IF(AND($Y908&lt;&gt;"",N($Z908)&gt;0,$AC908=0),MAX($AD$7:$AD907)+1,"")</f>
        <v/>
      </c>
      <c r="AE908" s="31">
        <f>IF($Y908="",0,$Y908)</f>
        <v/>
      </c>
    </row>
    <row r="909">
      <c r="W909" s="31">
        <f>IF(OR($B$5="",$C$6="",ROW()&lt;$B$5),"",IF(INDEX($A:$U,ROW(),$C$6)="","",INDEX($A:$U,ROW(),$C$6)))</f>
        <v/>
      </c>
      <c r="X909" s="32">
        <f>IF($W909="","",IF(ISNUMBER($W909),IF($W909&gt;=10000000,IFERROR(DATE(INT($W909/10000),MOD(INT($W909/100),100),MOD($W909,100)),""),INT($W909)),IFERROR(DATE(--LEFT(LEFT(SUBSTITUTE(SUBSTITUTE(SUBSTITUTE(SUBSTITUTE(TRIM($W909),"-",""),".",""),"/","")," ",""),8),4),--MID(LEFT(SUBSTITUTE(SUBSTITUTE(SUBSTITUTE(SUBSTITUTE(TRIM($W909),"-",""),".",""),"/","")," ",""),8),5,2),--MID(LEFT(SUBSTITUTE(SUBSTITUTE(SUBSTITUTE(SUBSTITUTE(TRIM($W909),"-",""),".",""),"/","")," ",""),8),7,2)),"")))</f>
        <v/>
      </c>
      <c r="Y909" s="32">
        <f>IF($X909="","",INT($X909))</f>
        <v/>
      </c>
      <c r="Z909" s="33">
        <f>IF(OR($Y909="",$D$6=""),"",IF(INDEX($A:$U,ROW(),$D$6)="",0,IF(ISNUMBER(INDEX($A:$U,ROW(),$D$6)),INDEX($A:$U,ROW(),$D$6),IFERROR(--SUBSTITUTE(SUBSTITUTE(TRIM(INDEX($A:$U,ROW(),$D$6)),",",""),"원",""),0))))</f>
        <v/>
      </c>
      <c r="AA909" s="31">
        <f>IF($Y909="","",TRIM(INDEX($A:$U,ROW(),$E$6)&amp;IF($F$6="",""," "&amp;INDEX($A:$U,ROW(),$F$6))))</f>
        <v/>
      </c>
      <c r="AB909" s="31">
        <f>IF($AA909="","",SUBSTITUTE(SUBSTITUTE(SUBSTITUTE(SUBSTITUTE(SUBSTITUTE(SUBSTITUTE(SUBSTITUTE(SUBSTITUTE(SUBSTITUTE($AA909," ",""),"　",""),"(주)",""),"（주）",""),"㈜",""),"주식회사",""),"(유)",""),"（유）",""),"유한회사",""))</f>
        <v/>
      </c>
      <c r="AC909" s="31">
        <f>IF(OR($Y909="",N($Z909)&lt;=0,$AB909=""),0,IFERROR(LOOKUP(2,1/((거래처별!$AC$8:$AC$307&lt;&gt;"")*ISNUMBER(SEARCH(거래처별!$AC$8:$AC$307,$AB909))),거래처별!$A$8:$A$307),IFERROR(LOOKUP(2,1/((거래처별!$AD$8:$AD$307&lt;&gt;"")*ISNUMBER(SEARCH(거래처별!$AD$8:$AD$307,$AB909))),거래처별!$A$8:$A$307),IFERROR(LOOKUP(2,1/((거래처별!$AE$8:$AE$307&lt;&gt;"")*ISNUMBER(SEARCH(거래처별!$AE$8:$AE$307,$AB909))),거래처별!$A$8:$A$307),0))))</f>
        <v/>
      </c>
      <c r="AD909" s="31">
        <f>IF(AND($Y909&lt;&gt;"",N($Z909)&gt;0,$AC909=0),MAX($AD$7:$AD908)+1,"")</f>
        <v/>
      </c>
      <c r="AE909" s="31">
        <f>IF($Y909="",0,$Y909)</f>
        <v/>
      </c>
    </row>
    <row r="910">
      <c r="W910" s="31">
        <f>IF(OR($B$5="",$C$6="",ROW()&lt;$B$5),"",IF(INDEX($A:$U,ROW(),$C$6)="","",INDEX($A:$U,ROW(),$C$6)))</f>
        <v/>
      </c>
      <c r="X910" s="32">
        <f>IF($W910="","",IF(ISNUMBER($W910),IF($W910&gt;=10000000,IFERROR(DATE(INT($W910/10000),MOD(INT($W910/100),100),MOD($W910,100)),""),INT($W910)),IFERROR(DATE(--LEFT(LEFT(SUBSTITUTE(SUBSTITUTE(SUBSTITUTE(SUBSTITUTE(TRIM($W910),"-",""),".",""),"/","")," ",""),8),4),--MID(LEFT(SUBSTITUTE(SUBSTITUTE(SUBSTITUTE(SUBSTITUTE(TRIM($W910),"-",""),".",""),"/","")," ",""),8),5,2),--MID(LEFT(SUBSTITUTE(SUBSTITUTE(SUBSTITUTE(SUBSTITUTE(TRIM($W910),"-",""),".",""),"/","")," ",""),8),7,2)),"")))</f>
        <v/>
      </c>
      <c r="Y910" s="32">
        <f>IF($X910="","",INT($X910))</f>
        <v/>
      </c>
      <c r="Z910" s="33">
        <f>IF(OR($Y910="",$D$6=""),"",IF(INDEX($A:$U,ROW(),$D$6)="",0,IF(ISNUMBER(INDEX($A:$U,ROW(),$D$6)),INDEX($A:$U,ROW(),$D$6),IFERROR(--SUBSTITUTE(SUBSTITUTE(TRIM(INDEX($A:$U,ROW(),$D$6)),",",""),"원",""),0))))</f>
        <v/>
      </c>
      <c r="AA910" s="31">
        <f>IF($Y910="","",TRIM(INDEX($A:$U,ROW(),$E$6)&amp;IF($F$6="",""," "&amp;INDEX($A:$U,ROW(),$F$6))))</f>
        <v/>
      </c>
      <c r="AB910" s="31">
        <f>IF($AA910="","",SUBSTITUTE(SUBSTITUTE(SUBSTITUTE(SUBSTITUTE(SUBSTITUTE(SUBSTITUTE(SUBSTITUTE(SUBSTITUTE(SUBSTITUTE($AA910," ",""),"　",""),"(주)",""),"（주）",""),"㈜",""),"주식회사",""),"(유)",""),"（유）",""),"유한회사",""))</f>
        <v/>
      </c>
      <c r="AC910" s="31">
        <f>IF(OR($Y910="",N($Z910)&lt;=0,$AB910=""),0,IFERROR(LOOKUP(2,1/((거래처별!$AC$8:$AC$307&lt;&gt;"")*ISNUMBER(SEARCH(거래처별!$AC$8:$AC$307,$AB910))),거래처별!$A$8:$A$307),IFERROR(LOOKUP(2,1/((거래처별!$AD$8:$AD$307&lt;&gt;"")*ISNUMBER(SEARCH(거래처별!$AD$8:$AD$307,$AB910))),거래처별!$A$8:$A$307),IFERROR(LOOKUP(2,1/((거래처별!$AE$8:$AE$307&lt;&gt;"")*ISNUMBER(SEARCH(거래처별!$AE$8:$AE$307,$AB910))),거래처별!$A$8:$A$307),0))))</f>
        <v/>
      </c>
      <c r="AD910" s="31">
        <f>IF(AND($Y910&lt;&gt;"",N($Z910)&gt;0,$AC910=0),MAX($AD$7:$AD909)+1,"")</f>
        <v/>
      </c>
      <c r="AE910" s="31">
        <f>IF($Y910="",0,$Y910)</f>
        <v/>
      </c>
    </row>
    <row r="911">
      <c r="W911" s="31">
        <f>IF(OR($B$5="",$C$6="",ROW()&lt;$B$5),"",IF(INDEX($A:$U,ROW(),$C$6)="","",INDEX($A:$U,ROW(),$C$6)))</f>
        <v/>
      </c>
      <c r="X911" s="32">
        <f>IF($W911="","",IF(ISNUMBER($W911),IF($W911&gt;=10000000,IFERROR(DATE(INT($W911/10000),MOD(INT($W911/100),100),MOD($W911,100)),""),INT($W911)),IFERROR(DATE(--LEFT(LEFT(SUBSTITUTE(SUBSTITUTE(SUBSTITUTE(SUBSTITUTE(TRIM($W911),"-",""),".",""),"/","")," ",""),8),4),--MID(LEFT(SUBSTITUTE(SUBSTITUTE(SUBSTITUTE(SUBSTITUTE(TRIM($W911),"-",""),".",""),"/","")," ",""),8),5,2),--MID(LEFT(SUBSTITUTE(SUBSTITUTE(SUBSTITUTE(SUBSTITUTE(TRIM($W911),"-",""),".",""),"/","")," ",""),8),7,2)),"")))</f>
        <v/>
      </c>
      <c r="Y911" s="32">
        <f>IF($X911="","",INT($X911))</f>
        <v/>
      </c>
      <c r="Z911" s="33">
        <f>IF(OR($Y911="",$D$6=""),"",IF(INDEX($A:$U,ROW(),$D$6)="",0,IF(ISNUMBER(INDEX($A:$U,ROW(),$D$6)),INDEX($A:$U,ROW(),$D$6),IFERROR(--SUBSTITUTE(SUBSTITUTE(TRIM(INDEX($A:$U,ROW(),$D$6)),",",""),"원",""),0))))</f>
        <v/>
      </c>
      <c r="AA911" s="31">
        <f>IF($Y911="","",TRIM(INDEX($A:$U,ROW(),$E$6)&amp;IF($F$6="",""," "&amp;INDEX($A:$U,ROW(),$F$6))))</f>
        <v/>
      </c>
      <c r="AB911" s="31">
        <f>IF($AA911="","",SUBSTITUTE(SUBSTITUTE(SUBSTITUTE(SUBSTITUTE(SUBSTITUTE(SUBSTITUTE(SUBSTITUTE(SUBSTITUTE(SUBSTITUTE($AA911," ",""),"　",""),"(주)",""),"（주）",""),"㈜",""),"주식회사",""),"(유)",""),"（유）",""),"유한회사",""))</f>
        <v/>
      </c>
      <c r="AC911" s="31">
        <f>IF(OR($Y911="",N($Z911)&lt;=0,$AB911=""),0,IFERROR(LOOKUP(2,1/((거래처별!$AC$8:$AC$307&lt;&gt;"")*ISNUMBER(SEARCH(거래처별!$AC$8:$AC$307,$AB911))),거래처별!$A$8:$A$307),IFERROR(LOOKUP(2,1/((거래처별!$AD$8:$AD$307&lt;&gt;"")*ISNUMBER(SEARCH(거래처별!$AD$8:$AD$307,$AB911))),거래처별!$A$8:$A$307),IFERROR(LOOKUP(2,1/((거래처별!$AE$8:$AE$307&lt;&gt;"")*ISNUMBER(SEARCH(거래처별!$AE$8:$AE$307,$AB911))),거래처별!$A$8:$A$307),0))))</f>
        <v/>
      </c>
      <c r="AD911" s="31">
        <f>IF(AND($Y911&lt;&gt;"",N($Z911)&gt;0,$AC911=0),MAX($AD$7:$AD910)+1,"")</f>
        <v/>
      </c>
      <c r="AE911" s="31">
        <f>IF($Y911="",0,$Y911)</f>
        <v/>
      </c>
    </row>
    <row r="912">
      <c r="W912" s="31">
        <f>IF(OR($B$5="",$C$6="",ROW()&lt;$B$5),"",IF(INDEX($A:$U,ROW(),$C$6)="","",INDEX($A:$U,ROW(),$C$6)))</f>
        <v/>
      </c>
      <c r="X912" s="32">
        <f>IF($W912="","",IF(ISNUMBER($W912),IF($W912&gt;=10000000,IFERROR(DATE(INT($W912/10000),MOD(INT($W912/100),100),MOD($W912,100)),""),INT($W912)),IFERROR(DATE(--LEFT(LEFT(SUBSTITUTE(SUBSTITUTE(SUBSTITUTE(SUBSTITUTE(TRIM($W912),"-",""),".",""),"/","")," ",""),8),4),--MID(LEFT(SUBSTITUTE(SUBSTITUTE(SUBSTITUTE(SUBSTITUTE(TRIM($W912),"-",""),".",""),"/","")," ",""),8),5,2),--MID(LEFT(SUBSTITUTE(SUBSTITUTE(SUBSTITUTE(SUBSTITUTE(TRIM($W912),"-",""),".",""),"/","")," ",""),8),7,2)),"")))</f>
        <v/>
      </c>
      <c r="Y912" s="32">
        <f>IF($X912="","",INT($X912))</f>
        <v/>
      </c>
      <c r="Z912" s="33">
        <f>IF(OR($Y912="",$D$6=""),"",IF(INDEX($A:$U,ROW(),$D$6)="",0,IF(ISNUMBER(INDEX($A:$U,ROW(),$D$6)),INDEX($A:$U,ROW(),$D$6),IFERROR(--SUBSTITUTE(SUBSTITUTE(TRIM(INDEX($A:$U,ROW(),$D$6)),",",""),"원",""),0))))</f>
        <v/>
      </c>
      <c r="AA912" s="31">
        <f>IF($Y912="","",TRIM(INDEX($A:$U,ROW(),$E$6)&amp;IF($F$6="",""," "&amp;INDEX($A:$U,ROW(),$F$6))))</f>
        <v/>
      </c>
      <c r="AB912" s="31">
        <f>IF($AA912="","",SUBSTITUTE(SUBSTITUTE(SUBSTITUTE(SUBSTITUTE(SUBSTITUTE(SUBSTITUTE(SUBSTITUTE(SUBSTITUTE(SUBSTITUTE($AA912," ",""),"　",""),"(주)",""),"（주）",""),"㈜",""),"주식회사",""),"(유)",""),"（유）",""),"유한회사",""))</f>
        <v/>
      </c>
      <c r="AC912" s="31">
        <f>IF(OR($Y912="",N($Z912)&lt;=0,$AB912=""),0,IFERROR(LOOKUP(2,1/((거래처별!$AC$8:$AC$307&lt;&gt;"")*ISNUMBER(SEARCH(거래처별!$AC$8:$AC$307,$AB912))),거래처별!$A$8:$A$307),IFERROR(LOOKUP(2,1/((거래처별!$AD$8:$AD$307&lt;&gt;"")*ISNUMBER(SEARCH(거래처별!$AD$8:$AD$307,$AB912))),거래처별!$A$8:$A$307),IFERROR(LOOKUP(2,1/((거래처별!$AE$8:$AE$307&lt;&gt;"")*ISNUMBER(SEARCH(거래처별!$AE$8:$AE$307,$AB912))),거래처별!$A$8:$A$307),0))))</f>
        <v/>
      </c>
      <c r="AD912" s="31">
        <f>IF(AND($Y912&lt;&gt;"",N($Z912)&gt;0,$AC912=0),MAX($AD$7:$AD911)+1,"")</f>
        <v/>
      </c>
      <c r="AE912" s="31">
        <f>IF($Y912="",0,$Y912)</f>
        <v/>
      </c>
    </row>
    <row r="913">
      <c r="W913" s="31">
        <f>IF(OR($B$5="",$C$6="",ROW()&lt;$B$5),"",IF(INDEX($A:$U,ROW(),$C$6)="","",INDEX($A:$U,ROW(),$C$6)))</f>
        <v/>
      </c>
      <c r="X913" s="32">
        <f>IF($W913="","",IF(ISNUMBER($W913),IF($W913&gt;=10000000,IFERROR(DATE(INT($W913/10000),MOD(INT($W913/100),100),MOD($W913,100)),""),INT($W913)),IFERROR(DATE(--LEFT(LEFT(SUBSTITUTE(SUBSTITUTE(SUBSTITUTE(SUBSTITUTE(TRIM($W913),"-",""),".",""),"/","")," ",""),8),4),--MID(LEFT(SUBSTITUTE(SUBSTITUTE(SUBSTITUTE(SUBSTITUTE(TRIM($W913),"-",""),".",""),"/","")," ",""),8),5,2),--MID(LEFT(SUBSTITUTE(SUBSTITUTE(SUBSTITUTE(SUBSTITUTE(TRIM($W913),"-",""),".",""),"/","")," ",""),8),7,2)),"")))</f>
        <v/>
      </c>
      <c r="Y913" s="32">
        <f>IF($X913="","",INT($X913))</f>
        <v/>
      </c>
      <c r="Z913" s="33">
        <f>IF(OR($Y913="",$D$6=""),"",IF(INDEX($A:$U,ROW(),$D$6)="",0,IF(ISNUMBER(INDEX($A:$U,ROW(),$D$6)),INDEX($A:$U,ROW(),$D$6),IFERROR(--SUBSTITUTE(SUBSTITUTE(TRIM(INDEX($A:$U,ROW(),$D$6)),",",""),"원",""),0))))</f>
        <v/>
      </c>
      <c r="AA913" s="31">
        <f>IF($Y913="","",TRIM(INDEX($A:$U,ROW(),$E$6)&amp;IF($F$6="",""," "&amp;INDEX($A:$U,ROW(),$F$6))))</f>
        <v/>
      </c>
      <c r="AB913" s="31">
        <f>IF($AA913="","",SUBSTITUTE(SUBSTITUTE(SUBSTITUTE(SUBSTITUTE(SUBSTITUTE(SUBSTITUTE(SUBSTITUTE(SUBSTITUTE(SUBSTITUTE($AA913," ",""),"　",""),"(주)",""),"（주）",""),"㈜",""),"주식회사",""),"(유)",""),"（유）",""),"유한회사",""))</f>
        <v/>
      </c>
      <c r="AC913" s="31">
        <f>IF(OR($Y913="",N($Z913)&lt;=0,$AB913=""),0,IFERROR(LOOKUP(2,1/((거래처별!$AC$8:$AC$307&lt;&gt;"")*ISNUMBER(SEARCH(거래처별!$AC$8:$AC$307,$AB913))),거래처별!$A$8:$A$307),IFERROR(LOOKUP(2,1/((거래처별!$AD$8:$AD$307&lt;&gt;"")*ISNUMBER(SEARCH(거래처별!$AD$8:$AD$307,$AB913))),거래처별!$A$8:$A$307),IFERROR(LOOKUP(2,1/((거래처별!$AE$8:$AE$307&lt;&gt;"")*ISNUMBER(SEARCH(거래처별!$AE$8:$AE$307,$AB913))),거래처별!$A$8:$A$307),0))))</f>
        <v/>
      </c>
      <c r="AD913" s="31">
        <f>IF(AND($Y913&lt;&gt;"",N($Z913)&gt;0,$AC913=0),MAX($AD$7:$AD912)+1,"")</f>
        <v/>
      </c>
      <c r="AE913" s="31">
        <f>IF($Y913="",0,$Y913)</f>
        <v/>
      </c>
    </row>
    <row r="914">
      <c r="W914" s="31">
        <f>IF(OR($B$5="",$C$6="",ROW()&lt;$B$5),"",IF(INDEX($A:$U,ROW(),$C$6)="","",INDEX($A:$U,ROW(),$C$6)))</f>
        <v/>
      </c>
      <c r="X914" s="32">
        <f>IF($W914="","",IF(ISNUMBER($W914),IF($W914&gt;=10000000,IFERROR(DATE(INT($W914/10000),MOD(INT($W914/100),100),MOD($W914,100)),""),INT($W914)),IFERROR(DATE(--LEFT(LEFT(SUBSTITUTE(SUBSTITUTE(SUBSTITUTE(SUBSTITUTE(TRIM($W914),"-",""),".",""),"/","")," ",""),8),4),--MID(LEFT(SUBSTITUTE(SUBSTITUTE(SUBSTITUTE(SUBSTITUTE(TRIM($W914),"-",""),".",""),"/","")," ",""),8),5,2),--MID(LEFT(SUBSTITUTE(SUBSTITUTE(SUBSTITUTE(SUBSTITUTE(TRIM($W914),"-",""),".",""),"/","")," ",""),8),7,2)),"")))</f>
        <v/>
      </c>
      <c r="Y914" s="32">
        <f>IF($X914="","",INT($X914))</f>
        <v/>
      </c>
      <c r="Z914" s="33">
        <f>IF(OR($Y914="",$D$6=""),"",IF(INDEX($A:$U,ROW(),$D$6)="",0,IF(ISNUMBER(INDEX($A:$U,ROW(),$D$6)),INDEX($A:$U,ROW(),$D$6),IFERROR(--SUBSTITUTE(SUBSTITUTE(TRIM(INDEX($A:$U,ROW(),$D$6)),",",""),"원",""),0))))</f>
        <v/>
      </c>
      <c r="AA914" s="31">
        <f>IF($Y914="","",TRIM(INDEX($A:$U,ROW(),$E$6)&amp;IF($F$6="",""," "&amp;INDEX($A:$U,ROW(),$F$6))))</f>
        <v/>
      </c>
      <c r="AB914" s="31">
        <f>IF($AA914="","",SUBSTITUTE(SUBSTITUTE(SUBSTITUTE(SUBSTITUTE(SUBSTITUTE(SUBSTITUTE(SUBSTITUTE(SUBSTITUTE(SUBSTITUTE($AA914," ",""),"　",""),"(주)",""),"（주）",""),"㈜",""),"주식회사",""),"(유)",""),"（유）",""),"유한회사",""))</f>
        <v/>
      </c>
      <c r="AC914" s="31">
        <f>IF(OR($Y914="",N($Z914)&lt;=0,$AB914=""),0,IFERROR(LOOKUP(2,1/((거래처별!$AC$8:$AC$307&lt;&gt;"")*ISNUMBER(SEARCH(거래처별!$AC$8:$AC$307,$AB914))),거래처별!$A$8:$A$307),IFERROR(LOOKUP(2,1/((거래처별!$AD$8:$AD$307&lt;&gt;"")*ISNUMBER(SEARCH(거래처별!$AD$8:$AD$307,$AB914))),거래처별!$A$8:$A$307),IFERROR(LOOKUP(2,1/((거래처별!$AE$8:$AE$307&lt;&gt;"")*ISNUMBER(SEARCH(거래처별!$AE$8:$AE$307,$AB914))),거래처별!$A$8:$A$307),0))))</f>
        <v/>
      </c>
      <c r="AD914" s="31">
        <f>IF(AND($Y914&lt;&gt;"",N($Z914)&gt;0,$AC914=0),MAX($AD$7:$AD913)+1,"")</f>
        <v/>
      </c>
      <c r="AE914" s="31">
        <f>IF($Y914="",0,$Y914)</f>
        <v/>
      </c>
    </row>
    <row r="915">
      <c r="W915" s="31">
        <f>IF(OR($B$5="",$C$6="",ROW()&lt;$B$5),"",IF(INDEX($A:$U,ROW(),$C$6)="","",INDEX($A:$U,ROW(),$C$6)))</f>
        <v/>
      </c>
      <c r="X915" s="32">
        <f>IF($W915="","",IF(ISNUMBER($W915),IF($W915&gt;=10000000,IFERROR(DATE(INT($W915/10000),MOD(INT($W915/100),100),MOD($W915,100)),""),INT($W915)),IFERROR(DATE(--LEFT(LEFT(SUBSTITUTE(SUBSTITUTE(SUBSTITUTE(SUBSTITUTE(TRIM($W915),"-",""),".",""),"/","")," ",""),8),4),--MID(LEFT(SUBSTITUTE(SUBSTITUTE(SUBSTITUTE(SUBSTITUTE(TRIM($W915),"-",""),".",""),"/","")," ",""),8),5,2),--MID(LEFT(SUBSTITUTE(SUBSTITUTE(SUBSTITUTE(SUBSTITUTE(TRIM($W915),"-",""),".",""),"/","")," ",""),8),7,2)),"")))</f>
        <v/>
      </c>
      <c r="Y915" s="32">
        <f>IF($X915="","",INT($X915))</f>
        <v/>
      </c>
      <c r="Z915" s="33">
        <f>IF(OR($Y915="",$D$6=""),"",IF(INDEX($A:$U,ROW(),$D$6)="",0,IF(ISNUMBER(INDEX($A:$U,ROW(),$D$6)),INDEX($A:$U,ROW(),$D$6),IFERROR(--SUBSTITUTE(SUBSTITUTE(TRIM(INDEX($A:$U,ROW(),$D$6)),",",""),"원",""),0))))</f>
        <v/>
      </c>
      <c r="AA915" s="31">
        <f>IF($Y915="","",TRIM(INDEX($A:$U,ROW(),$E$6)&amp;IF($F$6="",""," "&amp;INDEX($A:$U,ROW(),$F$6))))</f>
        <v/>
      </c>
      <c r="AB915" s="31">
        <f>IF($AA915="","",SUBSTITUTE(SUBSTITUTE(SUBSTITUTE(SUBSTITUTE(SUBSTITUTE(SUBSTITUTE(SUBSTITUTE(SUBSTITUTE(SUBSTITUTE($AA915," ",""),"　",""),"(주)",""),"（주）",""),"㈜",""),"주식회사",""),"(유)",""),"（유）",""),"유한회사",""))</f>
        <v/>
      </c>
      <c r="AC915" s="31">
        <f>IF(OR($Y915="",N($Z915)&lt;=0,$AB915=""),0,IFERROR(LOOKUP(2,1/((거래처별!$AC$8:$AC$307&lt;&gt;"")*ISNUMBER(SEARCH(거래처별!$AC$8:$AC$307,$AB915))),거래처별!$A$8:$A$307),IFERROR(LOOKUP(2,1/((거래처별!$AD$8:$AD$307&lt;&gt;"")*ISNUMBER(SEARCH(거래처별!$AD$8:$AD$307,$AB915))),거래처별!$A$8:$A$307),IFERROR(LOOKUP(2,1/((거래처별!$AE$8:$AE$307&lt;&gt;"")*ISNUMBER(SEARCH(거래처별!$AE$8:$AE$307,$AB915))),거래처별!$A$8:$A$307),0))))</f>
        <v/>
      </c>
      <c r="AD915" s="31">
        <f>IF(AND($Y915&lt;&gt;"",N($Z915)&gt;0,$AC915=0),MAX($AD$7:$AD914)+1,"")</f>
        <v/>
      </c>
      <c r="AE915" s="31">
        <f>IF($Y915="",0,$Y915)</f>
        <v/>
      </c>
    </row>
    <row r="916">
      <c r="W916" s="31">
        <f>IF(OR($B$5="",$C$6="",ROW()&lt;$B$5),"",IF(INDEX($A:$U,ROW(),$C$6)="","",INDEX($A:$U,ROW(),$C$6)))</f>
        <v/>
      </c>
      <c r="X916" s="32">
        <f>IF($W916="","",IF(ISNUMBER($W916),IF($W916&gt;=10000000,IFERROR(DATE(INT($W916/10000),MOD(INT($W916/100),100),MOD($W916,100)),""),INT($W916)),IFERROR(DATE(--LEFT(LEFT(SUBSTITUTE(SUBSTITUTE(SUBSTITUTE(SUBSTITUTE(TRIM($W916),"-",""),".",""),"/","")," ",""),8),4),--MID(LEFT(SUBSTITUTE(SUBSTITUTE(SUBSTITUTE(SUBSTITUTE(TRIM($W916),"-",""),".",""),"/","")," ",""),8),5,2),--MID(LEFT(SUBSTITUTE(SUBSTITUTE(SUBSTITUTE(SUBSTITUTE(TRIM($W916),"-",""),".",""),"/","")," ",""),8),7,2)),"")))</f>
        <v/>
      </c>
      <c r="Y916" s="32">
        <f>IF($X916="","",INT($X916))</f>
        <v/>
      </c>
      <c r="Z916" s="33">
        <f>IF(OR($Y916="",$D$6=""),"",IF(INDEX($A:$U,ROW(),$D$6)="",0,IF(ISNUMBER(INDEX($A:$U,ROW(),$D$6)),INDEX($A:$U,ROW(),$D$6),IFERROR(--SUBSTITUTE(SUBSTITUTE(TRIM(INDEX($A:$U,ROW(),$D$6)),",",""),"원",""),0))))</f>
        <v/>
      </c>
      <c r="AA916" s="31">
        <f>IF($Y916="","",TRIM(INDEX($A:$U,ROW(),$E$6)&amp;IF($F$6="",""," "&amp;INDEX($A:$U,ROW(),$F$6))))</f>
        <v/>
      </c>
      <c r="AB916" s="31">
        <f>IF($AA916="","",SUBSTITUTE(SUBSTITUTE(SUBSTITUTE(SUBSTITUTE(SUBSTITUTE(SUBSTITUTE(SUBSTITUTE(SUBSTITUTE(SUBSTITUTE($AA916," ",""),"　",""),"(주)",""),"（주）",""),"㈜",""),"주식회사",""),"(유)",""),"（유）",""),"유한회사",""))</f>
        <v/>
      </c>
      <c r="AC916" s="31">
        <f>IF(OR($Y916="",N($Z916)&lt;=0,$AB916=""),0,IFERROR(LOOKUP(2,1/((거래처별!$AC$8:$AC$307&lt;&gt;"")*ISNUMBER(SEARCH(거래처별!$AC$8:$AC$307,$AB916))),거래처별!$A$8:$A$307),IFERROR(LOOKUP(2,1/((거래처별!$AD$8:$AD$307&lt;&gt;"")*ISNUMBER(SEARCH(거래처별!$AD$8:$AD$307,$AB916))),거래처별!$A$8:$A$307),IFERROR(LOOKUP(2,1/((거래처별!$AE$8:$AE$307&lt;&gt;"")*ISNUMBER(SEARCH(거래처별!$AE$8:$AE$307,$AB916))),거래처별!$A$8:$A$307),0))))</f>
        <v/>
      </c>
      <c r="AD916" s="31">
        <f>IF(AND($Y916&lt;&gt;"",N($Z916)&gt;0,$AC916=0),MAX($AD$7:$AD915)+1,"")</f>
        <v/>
      </c>
      <c r="AE916" s="31">
        <f>IF($Y916="",0,$Y916)</f>
        <v/>
      </c>
    </row>
    <row r="917">
      <c r="W917" s="31">
        <f>IF(OR($B$5="",$C$6="",ROW()&lt;$B$5),"",IF(INDEX($A:$U,ROW(),$C$6)="","",INDEX($A:$U,ROW(),$C$6)))</f>
        <v/>
      </c>
      <c r="X917" s="32">
        <f>IF($W917="","",IF(ISNUMBER($W917),IF($W917&gt;=10000000,IFERROR(DATE(INT($W917/10000),MOD(INT($W917/100),100),MOD($W917,100)),""),INT($W917)),IFERROR(DATE(--LEFT(LEFT(SUBSTITUTE(SUBSTITUTE(SUBSTITUTE(SUBSTITUTE(TRIM($W917),"-",""),".",""),"/","")," ",""),8),4),--MID(LEFT(SUBSTITUTE(SUBSTITUTE(SUBSTITUTE(SUBSTITUTE(TRIM($W917),"-",""),".",""),"/","")," ",""),8),5,2),--MID(LEFT(SUBSTITUTE(SUBSTITUTE(SUBSTITUTE(SUBSTITUTE(TRIM($W917),"-",""),".",""),"/","")," ",""),8),7,2)),"")))</f>
        <v/>
      </c>
      <c r="Y917" s="32">
        <f>IF($X917="","",INT($X917))</f>
        <v/>
      </c>
      <c r="Z917" s="33">
        <f>IF(OR($Y917="",$D$6=""),"",IF(INDEX($A:$U,ROW(),$D$6)="",0,IF(ISNUMBER(INDEX($A:$U,ROW(),$D$6)),INDEX($A:$U,ROW(),$D$6),IFERROR(--SUBSTITUTE(SUBSTITUTE(TRIM(INDEX($A:$U,ROW(),$D$6)),",",""),"원",""),0))))</f>
        <v/>
      </c>
      <c r="AA917" s="31">
        <f>IF($Y917="","",TRIM(INDEX($A:$U,ROW(),$E$6)&amp;IF($F$6="",""," "&amp;INDEX($A:$U,ROW(),$F$6))))</f>
        <v/>
      </c>
      <c r="AB917" s="31">
        <f>IF($AA917="","",SUBSTITUTE(SUBSTITUTE(SUBSTITUTE(SUBSTITUTE(SUBSTITUTE(SUBSTITUTE(SUBSTITUTE(SUBSTITUTE(SUBSTITUTE($AA917," ",""),"　",""),"(주)",""),"（주）",""),"㈜",""),"주식회사",""),"(유)",""),"（유）",""),"유한회사",""))</f>
        <v/>
      </c>
      <c r="AC917" s="31">
        <f>IF(OR($Y917="",N($Z917)&lt;=0,$AB917=""),0,IFERROR(LOOKUP(2,1/((거래처별!$AC$8:$AC$307&lt;&gt;"")*ISNUMBER(SEARCH(거래처별!$AC$8:$AC$307,$AB917))),거래처별!$A$8:$A$307),IFERROR(LOOKUP(2,1/((거래처별!$AD$8:$AD$307&lt;&gt;"")*ISNUMBER(SEARCH(거래처별!$AD$8:$AD$307,$AB917))),거래처별!$A$8:$A$307),IFERROR(LOOKUP(2,1/((거래처별!$AE$8:$AE$307&lt;&gt;"")*ISNUMBER(SEARCH(거래처별!$AE$8:$AE$307,$AB917))),거래처별!$A$8:$A$307),0))))</f>
        <v/>
      </c>
      <c r="AD917" s="31">
        <f>IF(AND($Y917&lt;&gt;"",N($Z917)&gt;0,$AC917=0),MAX($AD$7:$AD916)+1,"")</f>
        <v/>
      </c>
      <c r="AE917" s="31">
        <f>IF($Y917="",0,$Y917)</f>
        <v/>
      </c>
    </row>
    <row r="918">
      <c r="W918" s="31">
        <f>IF(OR($B$5="",$C$6="",ROW()&lt;$B$5),"",IF(INDEX($A:$U,ROW(),$C$6)="","",INDEX($A:$U,ROW(),$C$6)))</f>
        <v/>
      </c>
      <c r="X918" s="32">
        <f>IF($W918="","",IF(ISNUMBER($W918),IF($W918&gt;=10000000,IFERROR(DATE(INT($W918/10000),MOD(INT($W918/100),100),MOD($W918,100)),""),INT($W918)),IFERROR(DATE(--LEFT(LEFT(SUBSTITUTE(SUBSTITUTE(SUBSTITUTE(SUBSTITUTE(TRIM($W918),"-",""),".",""),"/","")," ",""),8),4),--MID(LEFT(SUBSTITUTE(SUBSTITUTE(SUBSTITUTE(SUBSTITUTE(TRIM($W918),"-",""),".",""),"/","")," ",""),8),5,2),--MID(LEFT(SUBSTITUTE(SUBSTITUTE(SUBSTITUTE(SUBSTITUTE(TRIM($W918),"-",""),".",""),"/","")," ",""),8),7,2)),"")))</f>
        <v/>
      </c>
      <c r="Y918" s="32">
        <f>IF($X918="","",INT($X918))</f>
        <v/>
      </c>
      <c r="Z918" s="33">
        <f>IF(OR($Y918="",$D$6=""),"",IF(INDEX($A:$U,ROW(),$D$6)="",0,IF(ISNUMBER(INDEX($A:$U,ROW(),$D$6)),INDEX($A:$U,ROW(),$D$6),IFERROR(--SUBSTITUTE(SUBSTITUTE(TRIM(INDEX($A:$U,ROW(),$D$6)),",",""),"원",""),0))))</f>
        <v/>
      </c>
      <c r="AA918" s="31">
        <f>IF($Y918="","",TRIM(INDEX($A:$U,ROW(),$E$6)&amp;IF($F$6="",""," "&amp;INDEX($A:$U,ROW(),$F$6))))</f>
        <v/>
      </c>
      <c r="AB918" s="31">
        <f>IF($AA918="","",SUBSTITUTE(SUBSTITUTE(SUBSTITUTE(SUBSTITUTE(SUBSTITUTE(SUBSTITUTE(SUBSTITUTE(SUBSTITUTE(SUBSTITUTE($AA918," ",""),"　",""),"(주)",""),"（주）",""),"㈜",""),"주식회사",""),"(유)",""),"（유）",""),"유한회사",""))</f>
        <v/>
      </c>
      <c r="AC918" s="31">
        <f>IF(OR($Y918="",N($Z918)&lt;=0,$AB918=""),0,IFERROR(LOOKUP(2,1/((거래처별!$AC$8:$AC$307&lt;&gt;"")*ISNUMBER(SEARCH(거래처별!$AC$8:$AC$307,$AB918))),거래처별!$A$8:$A$307),IFERROR(LOOKUP(2,1/((거래처별!$AD$8:$AD$307&lt;&gt;"")*ISNUMBER(SEARCH(거래처별!$AD$8:$AD$307,$AB918))),거래처별!$A$8:$A$307),IFERROR(LOOKUP(2,1/((거래처별!$AE$8:$AE$307&lt;&gt;"")*ISNUMBER(SEARCH(거래처별!$AE$8:$AE$307,$AB918))),거래처별!$A$8:$A$307),0))))</f>
        <v/>
      </c>
      <c r="AD918" s="31">
        <f>IF(AND($Y918&lt;&gt;"",N($Z918)&gt;0,$AC918=0),MAX($AD$7:$AD917)+1,"")</f>
        <v/>
      </c>
      <c r="AE918" s="31">
        <f>IF($Y918="",0,$Y918)</f>
        <v/>
      </c>
    </row>
    <row r="919">
      <c r="W919" s="31">
        <f>IF(OR($B$5="",$C$6="",ROW()&lt;$B$5),"",IF(INDEX($A:$U,ROW(),$C$6)="","",INDEX($A:$U,ROW(),$C$6)))</f>
        <v/>
      </c>
      <c r="X919" s="32">
        <f>IF($W919="","",IF(ISNUMBER($W919),IF($W919&gt;=10000000,IFERROR(DATE(INT($W919/10000),MOD(INT($W919/100),100),MOD($W919,100)),""),INT($W919)),IFERROR(DATE(--LEFT(LEFT(SUBSTITUTE(SUBSTITUTE(SUBSTITUTE(SUBSTITUTE(TRIM($W919),"-",""),".",""),"/","")," ",""),8),4),--MID(LEFT(SUBSTITUTE(SUBSTITUTE(SUBSTITUTE(SUBSTITUTE(TRIM($W919),"-",""),".",""),"/","")," ",""),8),5,2),--MID(LEFT(SUBSTITUTE(SUBSTITUTE(SUBSTITUTE(SUBSTITUTE(TRIM($W919),"-",""),".",""),"/","")," ",""),8),7,2)),"")))</f>
        <v/>
      </c>
      <c r="Y919" s="32">
        <f>IF($X919="","",INT($X919))</f>
        <v/>
      </c>
      <c r="Z919" s="33">
        <f>IF(OR($Y919="",$D$6=""),"",IF(INDEX($A:$U,ROW(),$D$6)="",0,IF(ISNUMBER(INDEX($A:$U,ROW(),$D$6)),INDEX($A:$U,ROW(),$D$6),IFERROR(--SUBSTITUTE(SUBSTITUTE(TRIM(INDEX($A:$U,ROW(),$D$6)),",",""),"원",""),0))))</f>
        <v/>
      </c>
      <c r="AA919" s="31">
        <f>IF($Y919="","",TRIM(INDEX($A:$U,ROW(),$E$6)&amp;IF($F$6="",""," "&amp;INDEX($A:$U,ROW(),$F$6))))</f>
        <v/>
      </c>
      <c r="AB919" s="31">
        <f>IF($AA919="","",SUBSTITUTE(SUBSTITUTE(SUBSTITUTE(SUBSTITUTE(SUBSTITUTE(SUBSTITUTE(SUBSTITUTE(SUBSTITUTE(SUBSTITUTE($AA919," ",""),"　",""),"(주)",""),"（주）",""),"㈜",""),"주식회사",""),"(유)",""),"（유）",""),"유한회사",""))</f>
        <v/>
      </c>
      <c r="AC919" s="31">
        <f>IF(OR($Y919="",N($Z919)&lt;=0,$AB919=""),0,IFERROR(LOOKUP(2,1/((거래처별!$AC$8:$AC$307&lt;&gt;"")*ISNUMBER(SEARCH(거래처별!$AC$8:$AC$307,$AB919))),거래처별!$A$8:$A$307),IFERROR(LOOKUP(2,1/((거래처별!$AD$8:$AD$307&lt;&gt;"")*ISNUMBER(SEARCH(거래처별!$AD$8:$AD$307,$AB919))),거래처별!$A$8:$A$307),IFERROR(LOOKUP(2,1/((거래처별!$AE$8:$AE$307&lt;&gt;"")*ISNUMBER(SEARCH(거래처별!$AE$8:$AE$307,$AB919))),거래처별!$A$8:$A$307),0))))</f>
        <v/>
      </c>
      <c r="AD919" s="31">
        <f>IF(AND($Y919&lt;&gt;"",N($Z919)&gt;0,$AC919=0),MAX($AD$7:$AD918)+1,"")</f>
        <v/>
      </c>
      <c r="AE919" s="31">
        <f>IF($Y919="",0,$Y919)</f>
        <v/>
      </c>
    </row>
    <row r="920">
      <c r="W920" s="31">
        <f>IF(OR($B$5="",$C$6="",ROW()&lt;$B$5),"",IF(INDEX($A:$U,ROW(),$C$6)="","",INDEX($A:$U,ROW(),$C$6)))</f>
        <v/>
      </c>
      <c r="X920" s="32">
        <f>IF($W920="","",IF(ISNUMBER($W920),IF($W920&gt;=10000000,IFERROR(DATE(INT($W920/10000),MOD(INT($W920/100),100),MOD($W920,100)),""),INT($W920)),IFERROR(DATE(--LEFT(LEFT(SUBSTITUTE(SUBSTITUTE(SUBSTITUTE(SUBSTITUTE(TRIM($W920),"-",""),".",""),"/","")," ",""),8),4),--MID(LEFT(SUBSTITUTE(SUBSTITUTE(SUBSTITUTE(SUBSTITUTE(TRIM($W920),"-",""),".",""),"/","")," ",""),8),5,2),--MID(LEFT(SUBSTITUTE(SUBSTITUTE(SUBSTITUTE(SUBSTITUTE(TRIM($W920),"-",""),".",""),"/","")," ",""),8),7,2)),"")))</f>
        <v/>
      </c>
      <c r="Y920" s="32">
        <f>IF($X920="","",INT($X920))</f>
        <v/>
      </c>
      <c r="Z920" s="33">
        <f>IF(OR($Y920="",$D$6=""),"",IF(INDEX($A:$U,ROW(),$D$6)="",0,IF(ISNUMBER(INDEX($A:$U,ROW(),$D$6)),INDEX($A:$U,ROW(),$D$6),IFERROR(--SUBSTITUTE(SUBSTITUTE(TRIM(INDEX($A:$U,ROW(),$D$6)),",",""),"원",""),0))))</f>
        <v/>
      </c>
      <c r="AA920" s="31">
        <f>IF($Y920="","",TRIM(INDEX($A:$U,ROW(),$E$6)&amp;IF($F$6="",""," "&amp;INDEX($A:$U,ROW(),$F$6))))</f>
        <v/>
      </c>
      <c r="AB920" s="31">
        <f>IF($AA920="","",SUBSTITUTE(SUBSTITUTE(SUBSTITUTE(SUBSTITUTE(SUBSTITUTE(SUBSTITUTE(SUBSTITUTE(SUBSTITUTE(SUBSTITUTE($AA920," ",""),"　",""),"(주)",""),"（주）",""),"㈜",""),"주식회사",""),"(유)",""),"（유）",""),"유한회사",""))</f>
        <v/>
      </c>
      <c r="AC920" s="31">
        <f>IF(OR($Y920="",N($Z920)&lt;=0,$AB920=""),0,IFERROR(LOOKUP(2,1/((거래처별!$AC$8:$AC$307&lt;&gt;"")*ISNUMBER(SEARCH(거래처별!$AC$8:$AC$307,$AB920))),거래처별!$A$8:$A$307),IFERROR(LOOKUP(2,1/((거래처별!$AD$8:$AD$307&lt;&gt;"")*ISNUMBER(SEARCH(거래처별!$AD$8:$AD$307,$AB920))),거래처별!$A$8:$A$307),IFERROR(LOOKUP(2,1/((거래처별!$AE$8:$AE$307&lt;&gt;"")*ISNUMBER(SEARCH(거래처별!$AE$8:$AE$307,$AB920))),거래처별!$A$8:$A$307),0))))</f>
        <v/>
      </c>
      <c r="AD920" s="31">
        <f>IF(AND($Y920&lt;&gt;"",N($Z920)&gt;0,$AC920=0),MAX($AD$7:$AD919)+1,"")</f>
        <v/>
      </c>
      <c r="AE920" s="31">
        <f>IF($Y920="",0,$Y920)</f>
        <v/>
      </c>
    </row>
    <row r="921">
      <c r="W921" s="31">
        <f>IF(OR($B$5="",$C$6="",ROW()&lt;$B$5),"",IF(INDEX($A:$U,ROW(),$C$6)="","",INDEX($A:$U,ROW(),$C$6)))</f>
        <v/>
      </c>
      <c r="X921" s="32">
        <f>IF($W921="","",IF(ISNUMBER($W921),IF($W921&gt;=10000000,IFERROR(DATE(INT($W921/10000),MOD(INT($W921/100),100),MOD($W921,100)),""),INT($W921)),IFERROR(DATE(--LEFT(LEFT(SUBSTITUTE(SUBSTITUTE(SUBSTITUTE(SUBSTITUTE(TRIM($W921),"-",""),".",""),"/","")," ",""),8),4),--MID(LEFT(SUBSTITUTE(SUBSTITUTE(SUBSTITUTE(SUBSTITUTE(TRIM($W921),"-",""),".",""),"/","")," ",""),8),5,2),--MID(LEFT(SUBSTITUTE(SUBSTITUTE(SUBSTITUTE(SUBSTITUTE(TRIM($W921),"-",""),".",""),"/","")," ",""),8),7,2)),"")))</f>
        <v/>
      </c>
      <c r="Y921" s="32">
        <f>IF($X921="","",INT($X921))</f>
        <v/>
      </c>
      <c r="Z921" s="33">
        <f>IF(OR($Y921="",$D$6=""),"",IF(INDEX($A:$U,ROW(),$D$6)="",0,IF(ISNUMBER(INDEX($A:$U,ROW(),$D$6)),INDEX($A:$U,ROW(),$D$6),IFERROR(--SUBSTITUTE(SUBSTITUTE(TRIM(INDEX($A:$U,ROW(),$D$6)),",",""),"원",""),0))))</f>
        <v/>
      </c>
      <c r="AA921" s="31">
        <f>IF($Y921="","",TRIM(INDEX($A:$U,ROW(),$E$6)&amp;IF($F$6="",""," "&amp;INDEX($A:$U,ROW(),$F$6))))</f>
        <v/>
      </c>
      <c r="AB921" s="31">
        <f>IF($AA921="","",SUBSTITUTE(SUBSTITUTE(SUBSTITUTE(SUBSTITUTE(SUBSTITUTE(SUBSTITUTE(SUBSTITUTE(SUBSTITUTE(SUBSTITUTE($AA921," ",""),"　",""),"(주)",""),"（주）",""),"㈜",""),"주식회사",""),"(유)",""),"（유）",""),"유한회사",""))</f>
        <v/>
      </c>
      <c r="AC921" s="31">
        <f>IF(OR($Y921="",N($Z921)&lt;=0,$AB921=""),0,IFERROR(LOOKUP(2,1/((거래처별!$AC$8:$AC$307&lt;&gt;"")*ISNUMBER(SEARCH(거래처별!$AC$8:$AC$307,$AB921))),거래처별!$A$8:$A$307),IFERROR(LOOKUP(2,1/((거래처별!$AD$8:$AD$307&lt;&gt;"")*ISNUMBER(SEARCH(거래처별!$AD$8:$AD$307,$AB921))),거래처별!$A$8:$A$307),IFERROR(LOOKUP(2,1/((거래처별!$AE$8:$AE$307&lt;&gt;"")*ISNUMBER(SEARCH(거래처별!$AE$8:$AE$307,$AB921))),거래처별!$A$8:$A$307),0))))</f>
        <v/>
      </c>
      <c r="AD921" s="31">
        <f>IF(AND($Y921&lt;&gt;"",N($Z921)&gt;0,$AC921=0),MAX($AD$7:$AD920)+1,"")</f>
        <v/>
      </c>
      <c r="AE921" s="31">
        <f>IF($Y921="",0,$Y921)</f>
        <v/>
      </c>
    </row>
    <row r="922">
      <c r="W922" s="31">
        <f>IF(OR($B$5="",$C$6="",ROW()&lt;$B$5),"",IF(INDEX($A:$U,ROW(),$C$6)="","",INDEX($A:$U,ROW(),$C$6)))</f>
        <v/>
      </c>
      <c r="X922" s="32">
        <f>IF($W922="","",IF(ISNUMBER($W922),IF($W922&gt;=10000000,IFERROR(DATE(INT($W922/10000),MOD(INT($W922/100),100),MOD($W922,100)),""),INT($W922)),IFERROR(DATE(--LEFT(LEFT(SUBSTITUTE(SUBSTITUTE(SUBSTITUTE(SUBSTITUTE(TRIM($W922),"-",""),".",""),"/","")," ",""),8),4),--MID(LEFT(SUBSTITUTE(SUBSTITUTE(SUBSTITUTE(SUBSTITUTE(TRIM($W922),"-",""),".",""),"/","")," ",""),8),5,2),--MID(LEFT(SUBSTITUTE(SUBSTITUTE(SUBSTITUTE(SUBSTITUTE(TRIM($W922),"-",""),".",""),"/","")," ",""),8),7,2)),"")))</f>
        <v/>
      </c>
      <c r="Y922" s="32">
        <f>IF($X922="","",INT($X922))</f>
        <v/>
      </c>
      <c r="Z922" s="33">
        <f>IF(OR($Y922="",$D$6=""),"",IF(INDEX($A:$U,ROW(),$D$6)="",0,IF(ISNUMBER(INDEX($A:$U,ROW(),$D$6)),INDEX($A:$U,ROW(),$D$6),IFERROR(--SUBSTITUTE(SUBSTITUTE(TRIM(INDEX($A:$U,ROW(),$D$6)),",",""),"원",""),0))))</f>
        <v/>
      </c>
      <c r="AA922" s="31">
        <f>IF($Y922="","",TRIM(INDEX($A:$U,ROW(),$E$6)&amp;IF($F$6="",""," "&amp;INDEX($A:$U,ROW(),$F$6))))</f>
        <v/>
      </c>
      <c r="AB922" s="31">
        <f>IF($AA922="","",SUBSTITUTE(SUBSTITUTE(SUBSTITUTE(SUBSTITUTE(SUBSTITUTE(SUBSTITUTE(SUBSTITUTE(SUBSTITUTE(SUBSTITUTE($AA922," ",""),"　",""),"(주)",""),"（주）",""),"㈜",""),"주식회사",""),"(유)",""),"（유）",""),"유한회사",""))</f>
        <v/>
      </c>
      <c r="AC922" s="31">
        <f>IF(OR($Y922="",N($Z922)&lt;=0,$AB922=""),0,IFERROR(LOOKUP(2,1/((거래처별!$AC$8:$AC$307&lt;&gt;"")*ISNUMBER(SEARCH(거래처별!$AC$8:$AC$307,$AB922))),거래처별!$A$8:$A$307),IFERROR(LOOKUP(2,1/((거래처별!$AD$8:$AD$307&lt;&gt;"")*ISNUMBER(SEARCH(거래처별!$AD$8:$AD$307,$AB922))),거래처별!$A$8:$A$307),IFERROR(LOOKUP(2,1/((거래처별!$AE$8:$AE$307&lt;&gt;"")*ISNUMBER(SEARCH(거래처별!$AE$8:$AE$307,$AB922))),거래처별!$A$8:$A$307),0))))</f>
        <v/>
      </c>
      <c r="AD922" s="31">
        <f>IF(AND($Y922&lt;&gt;"",N($Z922)&gt;0,$AC922=0),MAX($AD$7:$AD921)+1,"")</f>
        <v/>
      </c>
      <c r="AE922" s="31">
        <f>IF($Y922="",0,$Y922)</f>
        <v/>
      </c>
    </row>
    <row r="923">
      <c r="W923" s="31">
        <f>IF(OR($B$5="",$C$6="",ROW()&lt;$B$5),"",IF(INDEX($A:$U,ROW(),$C$6)="","",INDEX($A:$U,ROW(),$C$6)))</f>
        <v/>
      </c>
      <c r="X923" s="32">
        <f>IF($W923="","",IF(ISNUMBER($W923),IF($W923&gt;=10000000,IFERROR(DATE(INT($W923/10000),MOD(INT($W923/100),100),MOD($W923,100)),""),INT($W923)),IFERROR(DATE(--LEFT(LEFT(SUBSTITUTE(SUBSTITUTE(SUBSTITUTE(SUBSTITUTE(TRIM($W923),"-",""),".",""),"/","")," ",""),8),4),--MID(LEFT(SUBSTITUTE(SUBSTITUTE(SUBSTITUTE(SUBSTITUTE(TRIM($W923),"-",""),".",""),"/","")," ",""),8),5,2),--MID(LEFT(SUBSTITUTE(SUBSTITUTE(SUBSTITUTE(SUBSTITUTE(TRIM($W923),"-",""),".",""),"/","")," ",""),8),7,2)),"")))</f>
        <v/>
      </c>
      <c r="Y923" s="32">
        <f>IF($X923="","",INT($X923))</f>
        <v/>
      </c>
      <c r="Z923" s="33">
        <f>IF(OR($Y923="",$D$6=""),"",IF(INDEX($A:$U,ROW(),$D$6)="",0,IF(ISNUMBER(INDEX($A:$U,ROW(),$D$6)),INDEX($A:$U,ROW(),$D$6),IFERROR(--SUBSTITUTE(SUBSTITUTE(TRIM(INDEX($A:$U,ROW(),$D$6)),",",""),"원",""),0))))</f>
        <v/>
      </c>
      <c r="AA923" s="31">
        <f>IF($Y923="","",TRIM(INDEX($A:$U,ROW(),$E$6)&amp;IF($F$6="",""," "&amp;INDEX($A:$U,ROW(),$F$6))))</f>
        <v/>
      </c>
      <c r="AB923" s="31">
        <f>IF($AA923="","",SUBSTITUTE(SUBSTITUTE(SUBSTITUTE(SUBSTITUTE(SUBSTITUTE(SUBSTITUTE(SUBSTITUTE(SUBSTITUTE(SUBSTITUTE($AA923," ",""),"　",""),"(주)",""),"（주）",""),"㈜",""),"주식회사",""),"(유)",""),"（유）",""),"유한회사",""))</f>
        <v/>
      </c>
      <c r="AC923" s="31">
        <f>IF(OR($Y923="",N($Z923)&lt;=0,$AB923=""),0,IFERROR(LOOKUP(2,1/((거래처별!$AC$8:$AC$307&lt;&gt;"")*ISNUMBER(SEARCH(거래처별!$AC$8:$AC$307,$AB923))),거래처별!$A$8:$A$307),IFERROR(LOOKUP(2,1/((거래처별!$AD$8:$AD$307&lt;&gt;"")*ISNUMBER(SEARCH(거래처별!$AD$8:$AD$307,$AB923))),거래처별!$A$8:$A$307),IFERROR(LOOKUP(2,1/((거래처별!$AE$8:$AE$307&lt;&gt;"")*ISNUMBER(SEARCH(거래처별!$AE$8:$AE$307,$AB923))),거래처별!$A$8:$A$307),0))))</f>
        <v/>
      </c>
      <c r="AD923" s="31">
        <f>IF(AND($Y923&lt;&gt;"",N($Z923)&gt;0,$AC923=0),MAX($AD$7:$AD922)+1,"")</f>
        <v/>
      </c>
      <c r="AE923" s="31">
        <f>IF($Y923="",0,$Y923)</f>
        <v/>
      </c>
    </row>
    <row r="924">
      <c r="W924" s="31">
        <f>IF(OR($B$5="",$C$6="",ROW()&lt;$B$5),"",IF(INDEX($A:$U,ROW(),$C$6)="","",INDEX($A:$U,ROW(),$C$6)))</f>
        <v/>
      </c>
      <c r="X924" s="32">
        <f>IF($W924="","",IF(ISNUMBER($W924),IF($W924&gt;=10000000,IFERROR(DATE(INT($W924/10000),MOD(INT($W924/100),100),MOD($W924,100)),""),INT($W924)),IFERROR(DATE(--LEFT(LEFT(SUBSTITUTE(SUBSTITUTE(SUBSTITUTE(SUBSTITUTE(TRIM($W924),"-",""),".",""),"/","")," ",""),8),4),--MID(LEFT(SUBSTITUTE(SUBSTITUTE(SUBSTITUTE(SUBSTITUTE(TRIM($W924),"-",""),".",""),"/","")," ",""),8),5,2),--MID(LEFT(SUBSTITUTE(SUBSTITUTE(SUBSTITUTE(SUBSTITUTE(TRIM($W924),"-",""),".",""),"/","")," ",""),8),7,2)),"")))</f>
        <v/>
      </c>
      <c r="Y924" s="32">
        <f>IF($X924="","",INT($X924))</f>
        <v/>
      </c>
      <c r="Z924" s="33">
        <f>IF(OR($Y924="",$D$6=""),"",IF(INDEX($A:$U,ROW(),$D$6)="",0,IF(ISNUMBER(INDEX($A:$U,ROW(),$D$6)),INDEX($A:$U,ROW(),$D$6),IFERROR(--SUBSTITUTE(SUBSTITUTE(TRIM(INDEX($A:$U,ROW(),$D$6)),",",""),"원",""),0))))</f>
        <v/>
      </c>
      <c r="AA924" s="31">
        <f>IF($Y924="","",TRIM(INDEX($A:$U,ROW(),$E$6)&amp;IF($F$6="",""," "&amp;INDEX($A:$U,ROW(),$F$6))))</f>
        <v/>
      </c>
      <c r="AB924" s="31">
        <f>IF($AA924="","",SUBSTITUTE(SUBSTITUTE(SUBSTITUTE(SUBSTITUTE(SUBSTITUTE(SUBSTITUTE(SUBSTITUTE(SUBSTITUTE(SUBSTITUTE($AA924," ",""),"　",""),"(주)",""),"（주）",""),"㈜",""),"주식회사",""),"(유)",""),"（유）",""),"유한회사",""))</f>
        <v/>
      </c>
      <c r="AC924" s="31">
        <f>IF(OR($Y924="",N($Z924)&lt;=0,$AB924=""),0,IFERROR(LOOKUP(2,1/((거래처별!$AC$8:$AC$307&lt;&gt;"")*ISNUMBER(SEARCH(거래처별!$AC$8:$AC$307,$AB924))),거래처별!$A$8:$A$307),IFERROR(LOOKUP(2,1/((거래처별!$AD$8:$AD$307&lt;&gt;"")*ISNUMBER(SEARCH(거래처별!$AD$8:$AD$307,$AB924))),거래처별!$A$8:$A$307),IFERROR(LOOKUP(2,1/((거래처별!$AE$8:$AE$307&lt;&gt;"")*ISNUMBER(SEARCH(거래처별!$AE$8:$AE$307,$AB924))),거래처별!$A$8:$A$307),0))))</f>
        <v/>
      </c>
      <c r="AD924" s="31">
        <f>IF(AND($Y924&lt;&gt;"",N($Z924)&gt;0,$AC924=0),MAX($AD$7:$AD923)+1,"")</f>
        <v/>
      </c>
      <c r="AE924" s="31">
        <f>IF($Y924="",0,$Y924)</f>
        <v/>
      </c>
    </row>
    <row r="925">
      <c r="W925" s="31">
        <f>IF(OR($B$5="",$C$6="",ROW()&lt;$B$5),"",IF(INDEX($A:$U,ROW(),$C$6)="","",INDEX($A:$U,ROW(),$C$6)))</f>
        <v/>
      </c>
      <c r="X925" s="32">
        <f>IF($W925="","",IF(ISNUMBER($W925),IF($W925&gt;=10000000,IFERROR(DATE(INT($W925/10000),MOD(INT($W925/100),100),MOD($W925,100)),""),INT($W925)),IFERROR(DATE(--LEFT(LEFT(SUBSTITUTE(SUBSTITUTE(SUBSTITUTE(SUBSTITUTE(TRIM($W925),"-",""),".",""),"/","")," ",""),8),4),--MID(LEFT(SUBSTITUTE(SUBSTITUTE(SUBSTITUTE(SUBSTITUTE(TRIM($W925),"-",""),".",""),"/","")," ",""),8),5,2),--MID(LEFT(SUBSTITUTE(SUBSTITUTE(SUBSTITUTE(SUBSTITUTE(TRIM($W925),"-",""),".",""),"/","")," ",""),8),7,2)),"")))</f>
        <v/>
      </c>
      <c r="Y925" s="32">
        <f>IF($X925="","",INT($X925))</f>
        <v/>
      </c>
      <c r="Z925" s="33">
        <f>IF(OR($Y925="",$D$6=""),"",IF(INDEX($A:$U,ROW(),$D$6)="",0,IF(ISNUMBER(INDEX($A:$U,ROW(),$D$6)),INDEX($A:$U,ROW(),$D$6),IFERROR(--SUBSTITUTE(SUBSTITUTE(TRIM(INDEX($A:$U,ROW(),$D$6)),",",""),"원",""),0))))</f>
        <v/>
      </c>
      <c r="AA925" s="31">
        <f>IF($Y925="","",TRIM(INDEX($A:$U,ROW(),$E$6)&amp;IF($F$6="",""," "&amp;INDEX($A:$U,ROW(),$F$6))))</f>
        <v/>
      </c>
      <c r="AB925" s="31">
        <f>IF($AA925="","",SUBSTITUTE(SUBSTITUTE(SUBSTITUTE(SUBSTITUTE(SUBSTITUTE(SUBSTITUTE(SUBSTITUTE(SUBSTITUTE(SUBSTITUTE($AA925," ",""),"　",""),"(주)",""),"（주）",""),"㈜",""),"주식회사",""),"(유)",""),"（유）",""),"유한회사",""))</f>
        <v/>
      </c>
      <c r="AC925" s="31">
        <f>IF(OR($Y925="",N($Z925)&lt;=0,$AB925=""),0,IFERROR(LOOKUP(2,1/((거래처별!$AC$8:$AC$307&lt;&gt;"")*ISNUMBER(SEARCH(거래처별!$AC$8:$AC$307,$AB925))),거래처별!$A$8:$A$307),IFERROR(LOOKUP(2,1/((거래처별!$AD$8:$AD$307&lt;&gt;"")*ISNUMBER(SEARCH(거래처별!$AD$8:$AD$307,$AB925))),거래처별!$A$8:$A$307),IFERROR(LOOKUP(2,1/((거래처별!$AE$8:$AE$307&lt;&gt;"")*ISNUMBER(SEARCH(거래처별!$AE$8:$AE$307,$AB925))),거래처별!$A$8:$A$307),0))))</f>
        <v/>
      </c>
      <c r="AD925" s="31">
        <f>IF(AND($Y925&lt;&gt;"",N($Z925)&gt;0,$AC925=0),MAX($AD$7:$AD924)+1,"")</f>
        <v/>
      </c>
      <c r="AE925" s="31">
        <f>IF($Y925="",0,$Y925)</f>
        <v/>
      </c>
    </row>
    <row r="926">
      <c r="W926" s="31">
        <f>IF(OR($B$5="",$C$6="",ROW()&lt;$B$5),"",IF(INDEX($A:$U,ROW(),$C$6)="","",INDEX($A:$U,ROW(),$C$6)))</f>
        <v/>
      </c>
      <c r="X926" s="32">
        <f>IF($W926="","",IF(ISNUMBER($W926),IF($W926&gt;=10000000,IFERROR(DATE(INT($W926/10000),MOD(INT($W926/100),100),MOD($W926,100)),""),INT($W926)),IFERROR(DATE(--LEFT(LEFT(SUBSTITUTE(SUBSTITUTE(SUBSTITUTE(SUBSTITUTE(TRIM($W926),"-",""),".",""),"/","")," ",""),8),4),--MID(LEFT(SUBSTITUTE(SUBSTITUTE(SUBSTITUTE(SUBSTITUTE(TRIM($W926),"-",""),".",""),"/","")," ",""),8),5,2),--MID(LEFT(SUBSTITUTE(SUBSTITUTE(SUBSTITUTE(SUBSTITUTE(TRIM($W926),"-",""),".",""),"/","")," ",""),8),7,2)),"")))</f>
        <v/>
      </c>
      <c r="Y926" s="32">
        <f>IF($X926="","",INT($X926))</f>
        <v/>
      </c>
      <c r="Z926" s="33">
        <f>IF(OR($Y926="",$D$6=""),"",IF(INDEX($A:$U,ROW(),$D$6)="",0,IF(ISNUMBER(INDEX($A:$U,ROW(),$D$6)),INDEX($A:$U,ROW(),$D$6),IFERROR(--SUBSTITUTE(SUBSTITUTE(TRIM(INDEX($A:$U,ROW(),$D$6)),",",""),"원",""),0))))</f>
        <v/>
      </c>
      <c r="AA926" s="31">
        <f>IF($Y926="","",TRIM(INDEX($A:$U,ROW(),$E$6)&amp;IF($F$6="",""," "&amp;INDEX($A:$U,ROW(),$F$6))))</f>
        <v/>
      </c>
      <c r="AB926" s="31">
        <f>IF($AA926="","",SUBSTITUTE(SUBSTITUTE(SUBSTITUTE(SUBSTITUTE(SUBSTITUTE(SUBSTITUTE(SUBSTITUTE(SUBSTITUTE(SUBSTITUTE($AA926," ",""),"　",""),"(주)",""),"（주）",""),"㈜",""),"주식회사",""),"(유)",""),"（유）",""),"유한회사",""))</f>
        <v/>
      </c>
      <c r="AC926" s="31">
        <f>IF(OR($Y926="",N($Z926)&lt;=0,$AB926=""),0,IFERROR(LOOKUP(2,1/((거래처별!$AC$8:$AC$307&lt;&gt;"")*ISNUMBER(SEARCH(거래처별!$AC$8:$AC$307,$AB926))),거래처별!$A$8:$A$307),IFERROR(LOOKUP(2,1/((거래처별!$AD$8:$AD$307&lt;&gt;"")*ISNUMBER(SEARCH(거래처별!$AD$8:$AD$307,$AB926))),거래처별!$A$8:$A$307),IFERROR(LOOKUP(2,1/((거래처별!$AE$8:$AE$307&lt;&gt;"")*ISNUMBER(SEARCH(거래처별!$AE$8:$AE$307,$AB926))),거래처별!$A$8:$A$307),0))))</f>
        <v/>
      </c>
      <c r="AD926" s="31">
        <f>IF(AND($Y926&lt;&gt;"",N($Z926)&gt;0,$AC926=0),MAX($AD$7:$AD925)+1,"")</f>
        <v/>
      </c>
      <c r="AE926" s="31">
        <f>IF($Y926="",0,$Y926)</f>
        <v/>
      </c>
    </row>
    <row r="927">
      <c r="W927" s="31">
        <f>IF(OR($B$5="",$C$6="",ROW()&lt;$B$5),"",IF(INDEX($A:$U,ROW(),$C$6)="","",INDEX($A:$U,ROW(),$C$6)))</f>
        <v/>
      </c>
      <c r="X927" s="32">
        <f>IF($W927="","",IF(ISNUMBER($W927),IF($W927&gt;=10000000,IFERROR(DATE(INT($W927/10000),MOD(INT($W927/100),100),MOD($W927,100)),""),INT($W927)),IFERROR(DATE(--LEFT(LEFT(SUBSTITUTE(SUBSTITUTE(SUBSTITUTE(SUBSTITUTE(TRIM($W927),"-",""),".",""),"/","")," ",""),8),4),--MID(LEFT(SUBSTITUTE(SUBSTITUTE(SUBSTITUTE(SUBSTITUTE(TRIM($W927),"-",""),".",""),"/","")," ",""),8),5,2),--MID(LEFT(SUBSTITUTE(SUBSTITUTE(SUBSTITUTE(SUBSTITUTE(TRIM($W927),"-",""),".",""),"/","")," ",""),8),7,2)),"")))</f>
        <v/>
      </c>
      <c r="Y927" s="32">
        <f>IF($X927="","",INT($X927))</f>
        <v/>
      </c>
      <c r="Z927" s="33">
        <f>IF(OR($Y927="",$D$6=""),"",IF(INDEX($A:$U,ROW(),$D$6)="",0,IF(ISNUMBER(INDEX($A:$U,ROW(),$D$6)),INDEX($A:$U,ROW(),$D$6),IFERROR(--SUBSTITUTE(SUBSTITUTE(TRIM(INDEX($A:$U,ROW(),$D$6)),",",""),"원",""),0))))</f>
        <v/>
      </c>
      <c r="AA927" s="31">
        <f>IF($Y927="","",TRIM(INDEX($A:$U,ROW(),$E$6)&amp;IF($F$6="",""," "&amp;INDEX($A:$U,ROW(),$F$6))))</f>
        <v/>
      </c>
      <c r="AB927" s="31">
        <f>IF($AA927="","",SUBSTITUTE(SUBSTITUTE(SUBSTITUTE(SUBSTITUTE(SUBSTITUTE(SUBSTITUTE(SUBSTITUTE(SUBSTITUTE(SUBSTITUTE($AA927," ",""),"　",""),"(주)",""),"（주）",""),"㈜",""),"주식회사",""),"(유)",""),"（유）",""),"유한회사",""))</f>
        <v/>
      </c>
      <c r="AC927" s="31">
        <f>IF(OR($Y927="",N($Z927)&lt;=0,$AB927=""),0,IFERROR(LOOKUP(2,1/((거래처별!$AC$8:$AC$307&lt;&gt;"")*ISNUMBER(SEARCH(거래처별!$AC$8:$AC$307,$AB927))),거래처별!$A$8:$A$307),IFERROR(LOOKUP(2,1/((거래처별!$AD$8:$AD$307&lt;&gt;"")*ISNUMBER(SEARCH(거래처별!$AD$8:$AD$307,$AB927))),거래처별!$A$8:$A$307),IFERROR(LOOKUP(2,1/((거래처별!$AE$8:$AE$307&lt;&gt;"")*ISNUMBER(SEARCH(거래처별!$AE$8:$AE$307,$AB927))),거래처별!$A$8:$A$307),0))))</f>
        <v/>
      </c>
      <c r="AD927" s="31">
        <f>IF(AND($Y927&lt;&gt;"",N($Z927)&gt;0,$AC927=0),MAX($AD$7:$AD926)+1,"")</f>
        <v/>
      </c>
      <c r="AE927" s="31">
        <f>IF($Y927="",0,$Y927)</f>
        <v/>
      </c>
    </row>
    <row r="928">
      <c r="W928" s="31">
        <f>IF(OR($B$5="",$C$6="",ROW()&lt;$B$5),"",IF(INDEX($A:$U,ROW(),$C$6)="","",INDEX($A:$U,ROW(),$C$6)))</f>
        <v/>
      </c>
      <c r="X928" s="32">
        <f>IF($W928="","",IF(ISNUMBER($W928),IF($W928&gt;=10000000,IFERROR(DATE(INT($W928/10000),MOD(INT($W928/100),100),MOD($W928,100)),""),INT($W928)),IFERROR(DATE(--LEFT(LEFT(SUBSTITUTE(SUBSTITUTE(SUBSTITUTE(SUBSTITUTE(TRIM($W928),"-",""),".",""),"/","")," ",""),8),4),--MID(LEFT(SUBSTITUTE(SUBSTITUTE(SUBSTITUTE(SUBSTITUTE(TRIM($W928),"-",""),".",""),"/","")," ",""),8),5,2),--MID(LEFT(SUBSTITUTE(SUBSTITUTE(SUBSTITUTE(SUBSTITUTE(TRIM($W928),"-",""),".",""),"/","")," ",""),8),7,2)),"")))</f>
        <v/>
      </c>
      <c r="Y928" s="32">
        <f>IF($X928="","",INT($X928))</f>
        <v/>
      </c>
      <c r="Z928" s="33">
        <f>IF(OR($Y928="",$D$6=""),"",IF(INDEX($A:$U,ROW(),$D$6)="",0,IF(ISNUMBER(INDEX($A:$U,ROW(),$D$6)),INDEX($A:$U,ROW(),$D$6),IFERROR(--SUBSTITUTE(SUBSTITUTE(TRIM(INDEX($A:$U,ROW(),$D$6)),",",""),"원",""),0))))</f>
        <v/>
      </c>
      <c r="AA928" s="31">
        <f>IF($Y928="","",TRIM(INDEX($A:$U,ROW(),$E$6)&amp;IF($F$6="",""," "&amp;INDEX($A:$U,ROW(),$F$6))))</f>
        <v/>
      </c>
      <c r="AB928" s="31">
        <f>IF($AA928="","",SUBSTITUTE(SUBSTITUTE(SUBSTITUTE(SUBSTITUTE(SUBSTITUTE(SUBSTITUTE(SUBSTITUTE(SUBSTITUTE(SUBSTITUTE($AA928," ",""),"　",""),"(주)",""),"（주）",""),"㈜",""),"주식회사",""),"(유)",""),"（유）",""),"유한회사",""))</f>
        <v/>
      </c>
      <c r="AC928" s="31">
        <f>IF(OR($Y928="",N($Z928)&lt;=0,$AB928=""),0,IFERROR(LOOKUP(2,1/((거래처별!$AC$8:$AC$307&lt;&gt;"")*ISNUMBER(SEARCH(거래처별!$AC$8:$AC$307,$AB928))),거래처별!$A$8:$A$307),IFERROR(LOOKUP(2,1/((거래처별!$AD$8:$AD$307&lt;&gt;"")*ISNUMBER(SEARCH(거래처별!$AD$8:$AD$307,$AB928))),거래처별!$A$8:$A$307),IFERROR(LOOKUP(2,1/((거래처별!$AE$8:$AE$307&lt;&gt;"")*ISNUMBER(SEARCH(거래처별!$AE$8:$AE$307,$AB928))),거래처별!$A$8:$A$307),0))))</f>
        <v/>
      </c>
      <c r="AD928" s="31">
        <f>IF(AND($Y928&lt;&gt;"",N($Z928)&gt;0,$AC928=0),MAX($AD$7:$AD927)+1,"")</f>
        <v/>
      </c>
      <c r="AE928" s="31">
        <f>IF($Y928="",0,$Y928)</f>
        <v/>
      </c>
    </row>
    <row r="929">
      <c r="W929" s="31">
        <f>IF(OR($B$5="",$C$6="",ROW()&lt;$B$5),"",IF(INDEX($A:$U,ROW(),$C$6)="","",INDEX($A:$U,ROW(),$C$6)))</f>
        <v/>
      </c>
      <c r="X929" s="32">
        <f>IF($W929="","",IF(ISNUMBER($W929),IF($W929&gt;=10000000,IFERROR(DATE(INT($W929/10000),MOD(INT($W929/100),100),MOD($W929,100)),""),INT($W929)),IFERROR(DATE(--LEFT(LEFT(SUBSTITUTE(SUBSTITUTE(SUBSTITUTE(SUBSTITUTE(TRIM($W929),"-",""),".",""),"/","")," ",""),8),4),--MID(LEFT(SUBSTITUTE(SUBSTITUTE(SUBSTITUTE(SUBSTITUTE(TRIM($W929),"-",""),".",""),"/","")," ",""),8),5,2),--MID(LEFT(SUBSTITUTE(SUBSTITUTE(SUBSTITUTE(SUBSTITUTE(TRIM($W929),"-",""),".",""),"/","")," ",""),8),7,2)),"")))</f>
        <v/>
      </c>
      <c r="Y929" s="32">
        <f>IF($X929="","",INT($X929))</f>
        <v/>
      </c>
      <c r="Z929" s="33">
        <f>IF(OR($Y929="",$D$6=""),"",IF(INDEX($A:$U,ROW(),$D$6)="",0,IF(ISNUMBER(INDEX($A:$U,ROW(),$D$6)),INDEX($A:$U,ROW(),$D$6),IFERROR(--SUBSTITUTE(SUBSTITUTE(TRIM(INDEX($A:$U,ROW(),$D$6)),",",""),"원",""),0))))</f>
        <v/>
      </c>
      <c r="AA929" s="31">
        <f>IF($Y929="","",TRIM(INDEX($A:$U,ROW(),$E$6)&amp;IF($F$6="",""," "&amp;INDEX($A:$U,ROW(),$F$6))))</f>
        <v/>
      </c>
      <c r="AB929" s="31">
        <f>IF($AA929="","",SUBSTITUTE(SUBSTITUTE(SUBSTITUTE(SUBSTITUTE(SUBSTITUTE(SUBSTITUTE(SUBSTITUTE(SUBSTITUTE(SUBSTITUTE($AA929," ",""),"　",""),"(주)",""),"（주）",""),"㈜",""),"주식회사",""),"(유)",""),"（유）",""),"유한회사",""))</f>
        <v/>
      </c>
      <c r="AC929" s="31">
        <f>IF(OR($Y929="",N($Z929)&lt;=0,$AB929=""),0,IFERROR(LOOKUP(2,1/((거래처별!$AC$8:$AC$307&lt;&gt;"")*ISNUMBER(SEARCH(거래처별!$AC$8:$AC$307,$AB929))),거래처별!$A$8:$A$307),IFERROR(LOOKUP(2,1/((거래처별!$AD$8:$AD$307&lt;&gt;"")*ISNUMBER(SEARCH(거래처별!$AD$8:$AD$307,$AB929))),거래처별!$A$8:$A$307),IFERROR(LOOKUP(2,1/((거래처별!$AE$8:$AE$307&lt;&gt;"")*ISNUMBER(SEARCH(거래처별!$AE$8:$AE$307,$AB929))),거래처별!$A$8:$A$307),0))))</f>
        <v/>
      </c>
      <c r="AD929" s="31">
        <f>IF(AND($Y929&lt;&gt;"",N($Z929)&gt;0,$AC929=0),MAX($AD$7:$AD928)+1,"")</f>
        <v/>
      </c>
      <c r="AE929" s="31">
        <f>IF($Y929="",0,$Y929)</f>
        <v/>
      </c>
    </row>
    <row r="930">
      <c r="W930" s="31">
        <f>IF(OR($B$5="",$C$6="",ROW()&lt;$B$5),"",IF(INDEX($A:$U,ROW(),$C$6)="","",INDEX($A:$U,ROW(),$C$6)))</f>
        <v/>
      </c>
      <c r="X930" s="32">
        <f>IF($W930="","",IF(ISNUMBER($W930),IF($W930&gt;=10000000,IFERROR(DATE(INT($W930/10000),MOD(INT($W930/100),100),MOD($W930,100)),""),INT($W930)),IFERROR(DATE(--LEFT(LEFT(SUBSTITUTE(SUBSTITUTE(SUBSTITUTE(SUBSTITUTE(TRIM($W930),"-",""),".",""),"/","")," ",""),8),4),--MID(LEFT(SUBSTITUTE(SUBSTITUTE(SUBSTITUTE(SUBSTITUTE(TRIM($W930),"-",""),".",""),"/","")," ",""),8),5,2),--MID(LEFT(SUBSTITUTE(SUBSTITUTE(SUBSTITUTE(SUBSTITUTE(TRIM($W930),"-",""),".",""),"/","")," ",""),8),7,2)),"")))</f>
        <v/>
      </c>
      <c r="Y930" s="32">
        <f>IF($X930="","",INT($X930))</f>
        <v/>
      </c>
      <c r="Z930" s="33">
        <f>IF(OR($Y930="",$D$6=""),"",IF(INDEX($A:$U,ROW(),$D$6)="",0,IF(ISNUMBER(INDEX($A:$U,ROW(),$D$6)),INDEX($A:$U,ROW(),$D$6),IFERROR(--SUBSTITUTE(SUBSTITUTE(TRIM(INDEX($A:$U,ROW(),$D$6)),",",""),"원",""),0))))</f>
        <v/>
      </c>
      <c r="AA930" s="31">
        <f>IF($Y930="","",TRIM(INDEX($A:$U,ROW(),$E$6)&amp;IF($F$6="",""," "&amp;INDEX($A:$U,ROW(),$F$6))))</f>
        <v/>
      </c>
      <c r="AB930" s="31">
        <f>IF($AA930="","",SUBSTITUTE(SUBSTITUTE(SUBSTITUTE(SUBSTITUTE(SUBSTITUTE(SUBSTITUTE(SUBSTITUTE(SUBSTITUTE(SUBSTITUTE($AA930," ",""),"　",""),"(주)",""),"（주）",""),"㈜",""),"주식회사",""),"(유)",""),"（유）",""),"유한회사",""))</f>
        <v/>
      </c>
      <c r="AC930" s="31">
        <f>IF(OR($Y930="",N($Z930)&lt;=0,$AB930=""),0,IFERROR(LOOKUP(2,1/((거래처별!$AC$8:$AC$307&lt;&gt;"")*ISNUMBER(SEARCH(거래처별!$AC$8:$AC$307,$AB930))),거래처별!$A$8:$A$307),IFERROR(LOOKUP(2,1/((거래처별!$AD$8:$AD$307&lt;&gt;"")*ISNUMBER(SEARCH(거래처별!$AD$8:$AD$307,$AB930))),거래처별!$A$8:$A$307),IFERROR(LOOKUP(2,1/((거래처별!$AE$8:$AE$307&lt;&gt;"")*ISNUMBER(SEARCH(거래처별!$AE$8:$AE$307,$AB930))),거래처별!$A$8:$A$307),0))))</f>
        <v/>
      </c>
      <c r="AD930" s="31">
        <f>IF(AND($Y930&lt;&gt;"",N($Z930)&gt;0,$AC930=0),MAX($AD$7:$AD929)+1,"")</f>
        <v/>
      </c>
      <c r="AE930" s="31">
        <f>IF($Y930="",0,$Y930)</f>
        <v/>
      </c>
    </row>
    <row r="931">
      <c r="W931" s="31">
        <f>IF(OR($B$5="",$C$6="",ROW()&lt;$B$5),"",IF(INDEX($A:$U,ROW(),$C$6)="","",INDEX($A:$U,ROW(),$C$6)))</f>
        <v/>
      </c>
      <c r="X931" s="32">
        <f>IF($W931="","",IF(ISNUMBER($W931),IF($W931&gt;=10000000,IFERROR(DATE(INT($W931/10000),MOD(INT($W931/100),100),MOD($W931,100)),""),INT($W931)),IFERROR(DATE(--LEFT(LEFT(SUBSTITUTE(SUBSTITUTE(SUBSTITUTE(SUBSTITUTE(TRIM($W931),"-",""),".",""),"/","")," ",""),8),4),--MID(LEFT(SUBSTITUTE(SUBSTITUTE(SUBSTITUTE(SUBSTITUTE(TRIM($W931),"-",""),".",""),"/","")," ",""),8),5,2),--MID(LEFT(SUBSTITUTE(SUBSTITUTE(SUBSTITUTE(SUBSTITUTE(TRIM($W931),"-",""),".",""),"/","")," ",""),8),7,2)),"")))</f>
        <v/>
      </c>
      <c r="Y931" s="32">
        <f>IF($X931="","",INT($X931))</f>
        <v/>
      </c>
      <c r="Z931" s="33">
        <f>IF(OR($Y931="",$D$6=""),"",IF(INDEX($A:$U,ROW(),$D$6)="",0,IF(ISNUMBER(INDEX($A:$U,ROW(),$D$6)),INDEX($A:$U,ROW(),$D$6),IFERROR(--SUBSTITUTE(SUBSTITUTE(TRIM(INDEX($A:$U,ROW(),$D$6)),",",""),"원",""),0))))</f>
        <v/>
      </c>
      <c r="AA931" s="31">
        <f>IF($Y931="","",TRIM(INDEX($A:$U,ROW(),$E$6)&amp;IF($F$6="",""," "&amp;INDEX($A:$U,ROW(),$F$6))))</f>
        <v/>
      </c>
      <c r="AB931" s="31">
        <f>IF($AA931="","",SUBSTITUTE(SUBSTITUTE(SUBSTITUTE(SUBSTITUTE(SUBSTITUTE(SUBSTITUTE(SUBSTITUTE(SUBSTITUTE(SUBSTITUTE($AA931," ",""),"　",""),"(주)",""),"（주）",""),"㈜",""),"주식회사",""),"(유)",""),"（유）",""),"유한회사",""))</f>
        <v/>
      </c>
      <c r="AC931" s="31">
        <f>IF(OR($Y931="",N($Z931)&lt;=0,$AB931=""),0,IFERROR(LOOKUP(2,1/((거래처별!$AC$8:$AC$307&lt;&gt;"")*ISNUMBER(SEARCH(거래처별!$AC$8:$AC$307,$AB931))),거래처별!$A$8:$A$307),IFERROR(LOOKUP(2,1/((거래처별!$AD$8:$AD$307&lt;&gt;"")*ISNUMBER(SEARCH(거래처별!$AD$8:$AD$307,$AB931))),거래처별!$A$8:$A$307),IFERROR(LOOKUP(2,1/((거래처별!$AE$8:$AE$307&lt;&gt;"")*ISNUMBER(SEARCH(거래처별!$AE$8:$AE$307,$AB931))),거래처별!$A$8:$A$307),0))))</f>
        <v/>
      </c>
      <c r="AD931" s="31">
        <f>IF(AND($Y931&lt;&gt;"",N($Z931)&gt;0,$AC931=0),MAX($AD$7:$AD930)+1,"")</f>
        <v/>
      </c>
      <c r="AE931" s="31">
        <f>IF($Y931="",0,$Y931)</f>
        <v/>
      </c>
    </row>
    <row r="932">
      <c r="W932" s="31">
        <f>IF(OR($B$5="",$C$6="",ROW()&lt;$B$5),"",IF(INDEX($A:$U,ROW(),$C$6)="","",INDEX($A:$U,ROW(),$C$6)))</f>
        <v/>
      </c>
      <c r="X932" s="32">
        <f>IF($W932="","",IF(ISNUMBER($W932),IF($W932&gt;=10000000,IFERROR(DATE(INT($W932/10000),MOD(INT($W932/100),100),MOD($W932,100)),""),INT($W932)),IFERROR(DATE(--LEFT(LEFT(SUBSTITUTE(SUBSTITUTE(SUBSTITUTE(SUBSTITUTE(TRIM($W932),"-",""),".",""),"/","")," ",""),8),4),--MID(LEFT(SUBSTITUTE(SUBSTITUTE(SUBSTITUTE(SUBSTITUTE(TRIM($W932),"-",""),".",""),"/","")," ",""),8),5,2),--MID(LEFT(SUBSTITUTE(SUBSTITUTE(SUBSTITUTE(SUBSTITUTE(TRIM($W932),"-",""),".",""),"/","")," ",""),8),7,2)),"")))</f>
        <v/>
      </c>
      <c r="Y932" s="32">
        <f>IF($X932="","",INT($X932))</f>
        <v/>
      </c>
      <c r="Z932" s="33">
        <f>IF(OR($Y932="",$D$6=""),"",IF(INDEX($A:$U,ROW(),$D$6)="",0,IF(ISNUMBER(INDEX($A:$U,ROW(),$D$6)),INDEX($A:$U,ROW(),$D$6),IFERROR(--SUBSTITUTE(SUBSTITUTE(TRIM(INDEX($A:$U,ROW(),$D$6)),",",""),"원",""),0))))</f>
        <v/>
      </c>
      <c r="AA932" s="31">
        <f>IF($Y932="","",TRIM(INDEX($A:$U,ROW(),$E$6)&amp;IF($F$6="",""," "&amp;INDEX($A:$U,ROW(),$F$6))))</f>
        <v/>
      </c>
      <c r="AB932" s="31">
        <f>IF($AA932="","",SUBSTITUTE(SUBSTITUTE(SUBSTITUTE(SUBSTITUTE(SUBSTITUTE(SUBSTITUTE(SUBSTITUTE(SUBSTITUTE(SUBSTITUTE($AA932," ",""),"　",""),"(주)",""),"（주）",""),"㈜",""),"주식회사",""),"(유)",""),"（유）",""),"유한회사",""))</f>
        <v/>
      </c>
      <c r="AC932" s="31">
        <f>IF(OR($Y932="",N($Z932)&lt;=0,$AB932=""),0,IFERROR(LOOKUP(2,1/((거래처별!$AC$8:$AC$307&lt;&gt;"")*ISNUMBER(SEARCH(거래처별!$AC$8:$AC$307,$AB932))),거래처별!$A$8:$A$307),IFERROR(LOOKUP(2,1/((거래처별!$AD$8:$AD$307&lt;&gt;"")*ISNUMBER(SEARCH(거래처별!$AD$8:$AD$307,$AB932))),거래처별!$A$8:$A$307),IFERROR(LOOKUP(2,1/((거래처별!$AE$8:$AE$307&lt;&gt;"")*ISNUMBER(SEARCH(거래처별!$AE$8:$AE$307,$AB932))),거래처별!$A$8:$A$307),0))))</f>
        <v/>
      </c>
      <c r="AD932" s="31">
        <f>IF(AND($Y932&lt;&gt;"",N($Z932)&gt;0,$AC932=0),MAX($AD$7:$AD931)+1,"")</f>
        <v/>
      </c>
      <c r="AE932" s="31">
        <f>IF($Y932="",0,$Y932)</f>
        <v/>
      </c>
    </row>
    <row r="933">
      <c r="W933" s="31">
        <f>IF(OR($B$5="",$C$6="",ROW()&lt;$B$5),"",IF(INDEX($A:$U,ROW(),$C$6)="","",INDEX($A:$U,ROW(),$C$6)))</f>
        <v/>
      </c>
      <c r="X933" s="32">
        <f>IF($W933="","",IF(ISNUMBER($W933),IF($W933&gt;=10000000,IFERROR(DATE(INT($W933/10000),MOD(INT($W933/100),100),MOD($W933,100)),""),INT($W933)),IFERROR(DATE(--LEFT(LEFT(SUBSTITUTE(SUBSTITUTE(SUBSTITUTE(SUBSTITUTE(TRIM($W933),"-",""),".",""),"/","")," ",""),8),4),--MID(LEFT(SUBSTITUTE(SUBSTITUTE(SUBSTITUTE(SUBSTITUTE(TRIM($W933),"-",""),".",""),"/","")," ",""),8),5,2),--MID(LEFT(SUBSTITUTE(SUBSTITUTE(SUBSTITUTE(SUBSTITUTE(TRIM($W933),"-",""),".",""),"/","")," ",""),8),7,2)),"")))</f>
        <v/>
      </c>
      <c r="Y933" s="32">
        <f>IF($X933="","",INT($X933))</f>
        <v/>
      </c>
      <c r="Z933" s="33">
        <f>IF(OR($Y933="",$D$6=""),"",IF(INDEX($A:$U,ROW(),$D$6)="",0,IF(ISNUMBER(INDEX($A:$U,ROW(),$D$6)),INDEX($A:$U,ROW(),$D$6),IFERROR(--SUBSTITUTE(SUBSTITUTE(TRIM(INDEX($A:$U,ROW(),$D$6)),",",""),"원",""),0))))</f>
        <v/>
      </c>
      <c r="AA933" s="31">
        <f>IF($Y933="","",TRIM(INDEX($A:$U,ROW(),$E$6)&amp;IF($F$6="",""," "&amp;INDEX($A:$U,ROW(),$F$6))))</f>
        <v/>
      </c>
      <c r="AB933" s="31">
        <f>IF($AA933="","",SUBSTITUTE(SUBSTITUTE(SUBSTITUTE(SUBSTITUTE(SUBSTITUTE(SUBSTITUTE(SUBSTITUTE(SUBSTITUTE(SUBSTITUTE($AA933," ",""),"　",""),"(주)",""),"（주）",""),"㈜",""),"주식회사",""),"(유)",""),"（유）",""),"유한회사",""))</f>
        <v/>
      </c>
      <c r="AC933" s="31">
        <f>IF(OR($Y933="",N($Z933)&lt;=0,$AB933=""),0,IFERROR(LOOKUP(2,1/((거래처별!$AC$8:$AC$307&lt;&gt;"")*ISNUMBER(SEARCH(거래처별!$AC$8:$AC$307,$AB933))),거래처별!$A$8:$A$307),IFERROR(LOOKUP(2,1/((거래처별!$AD$8:$AD$307&lt;&gt;"")*ISNUMBER(SEARCH(거래처별!$AD$8:$AD$307,$AB933))),거래처별!$A$8:$A$307),IFERROR(LOOKUP(2,1/((거래처별!$AE$8:$AE$307&lt;&gt;"")*ISNUMBER(SEARCH(거래처별!$AE$8:$AE$307,$AB933))),거래처별!$A$8:$A$307),0))))</f>
        <v/>
      </c>
      <c r="AD933" s="31">
        <f>IF(AND($Y933&lt;&gt;"",N($Z933)&gt;0,$AC933=0),MAX($AD$7:$AD932)+1,"")</f>
        <v/>
      </c>
      <c r="AE933" s="31">
        <f>IF($Y933="",0,$Y933)</f>
        <v/>
      </c>
    </row>
    <row r="934">
      <c r="W934" s="31">
        <f>IF(OR($B$5="",$C$6="",ROW()&lt;$B$5),"",IF(INDEX($A:$U,ROW(),$C$6)="","",INDEX($A:$U,ROW(),$C$6)))</f>
        <v/>
      </c>
      <c r="X934" s="32">
        <f>IF($W934="","",IF(ISNUMBER($W934),IF($W934&gt;=10000000,IFERROR(DATE(INT($W934/10000),MOD(INT($W934/100),100),MOD($W934,100)),""),INT($W934)),IFERROR(DATE(--LEFT(LEFT(SUBSTITUTE(SUBSTITUTE(SUBSTITUTE(SUBSTITUTE(TRIM($W934),"-",""),".",""),"/","")," ",""),8),4),--MID(LEFT(SUBSTITUTE(SUBSTITUTE(SUBSTITUTE(SUBSTITUTE(TRIM($W934),"-",""),".",""),"/","")," ",""),8),5,2),--MID(LEFT(SUBSTITUTE(SUBSTITUTE(SUBSTITUTE(SUBSTITUTE(TRIM($W934),"-",""),".",""),"/","")," ",""),8),7,2)),"")))</f>
        <v/>
      </c>
      <c r="Y934" s="32">
        <f>IF($X934="","",INT($X934))</f>
        <v/>
      </c>
      <c r="Z934" s="33">
        <f>IF(OR($Y934="",$D$6=""),"",IF(INDEX($A:$U,ROW(),$D$6)="",0,IF(ISNUMBER(INDEX($A:$U,ROW(),$D$6)),INDEX($A:$U,ROW(),$D$6),IFERROR(--SUBSTITUTE(SUBSTITUTE(TRIM(INDEX($A:$U,ROW(),$D$6)),",",""),"원",""),0))))</f>
        <v/>
      </c>
      <c r="AA934" s="31">
        <f>IF($Y934="","",TRIM(INDEX($A:$U,ROW(),$E$6)&amp;IF($F$6="",""," "&amp;INDEX($A:$U,ROW(),$F$6))))</f>
        <v/>
      </c>
      <c r="AB934" s="31">
        <f>IF($AA934="","",SUBSTITUTE(SUBSTITUTE(SUBSTITUTE(SUBSTITUTE(SUBSTITUTE(SUBSTITUTE(SUBSTITUTE(SUBSTITUTE(SUBSTITUTE($AA934," ",""),"　",""),"(주)",""),"（주）",""),"㈜",""),"주식회사",""),"(유)",""),"（유）",""),"유한회사",""))</f>
        <v/>
      </c>
      <c r="AC934" s="31">
        <f>IF(OR($Y934="",N($Z934)&lt;=0,$AB934=""),0,IFERROR(LOOKUP(2,1/((거래처별!$AC$8:$AC$307&lt;&gt;"")*ISNUMBER(SEARCH(거래처별!$AC$8:$AC$307,$AB934))),거래처별!$A$8:$A$307),IFERROR(LOOKUP(2,1/((거래처별!$AD$8:$AD$307&lt;&gt;"")*ISNUMBER(SEARCH(거래처별!$AD$8:$AD$307,$AB934))),거래처별!$A$8:$A$307),IFERROR(LOOKUP(2,1/((거래처별!$AE$8:$AE$307&lt;&gt;"")*ISNUMBER(SEARCH(거래처별!$AE$8:$AE$307,$AB934))),거래처별!$A$8:$A$307),0))))</f>
        <v/>
      </c>
      <c r="AD934" s="31">
        <f>IF(AND($Y934&lt;&gt;"",N($Z934)&gt;0,$AC934=0),MAX($AD$7:$AD933)+1,"")</f>
        <v/>
      </c>
      <c r="AE934" s="31">
        <f>IF($Y934="",0,$Y934)</f>
        <v/>
      </c>
    </row>
    <row r="935">
      <c r="W935" s="31">
        <f>IF(OR($B$5="",$C$6="",ROW()&lt;$B$5),"",IF(INDEX($A:$U,ROW(),$C$6)="","",INDEX($A:$U,ROW(),$C$6)))</f>
        <v/>
      </c>
      <c r="X935" s="32">
        <f>IF($W935="","",IF(ISNUMBER($W935),IF($W935&gt;=10000000,IFERROR(DATE(INT($W935/10000),MOD(INT($W935/100),100),MOD($W935,100)),""),INT($W935)),IFERROR(DATE(--LEFT(LEFT(SUBSTITUTE(SUBSTITUTE(SUBSTITUTE(SUBSTITUTE(TRIM($W935),"-",""),".",""),"/","")," ",""),8),4),--MID(LEFT(SUBSTITUTE(SUBSTITUTE(SUBSTITUTE(SUBSTITUTE(TRIM($W935),"-",""),".",""),"/","")," ",""),8),5,2),--MID(LEFT(SUBSTITUTE(SUBSTITUTE(SUBSTITUTE(SUBSTITUTE(TRIM($W935),"-",""),".",""),"/","")," ",""),8),7,2)),"")))</f>
        <v/>
      </c>
      <c r="Y935" s="32">
        <f>IF($X935="","",INT($X935))</f>
        <v/>
      </c>
      <c r="Z935" s="33">
        <f>IF(OR($Y935="",$D$6=""),"",IF(INDEX($A:$U,ROW(),$D$6)="",0,IF(ISNUMBER(INDEX($A:$U,ROW(),$D$6)),INDEX($A:$U,ROW(),$D$6),IFERROR(--SUBSTITUTE(SUBSTITUTE(TRIM(INDEX($A:$U,ROW(),$D$6)),",",""),"원",""),0))))</f>
        <v/>
      </c>
      <c r="AA935" s="31">
        <f>IF($Y935="","",TRIM(INDEX($A:$U,ROW(),$E$6)&amp;IF($F$6="",""," "&amp;INDEX($A:$U,ROW(),$F$6))))</f>
        <v/>
      </c>
      <c r="AB935" s="31">
        <f>IF($AA935="","",SUBSTITUTE(SUBSTITUTE(SUBSTITUTE(SUBSTITUTE(SUBSTITUTE(SUBSTITUTE(SUBSTITUTE(SUBSTITUTE(SUBSTITUTE($AA935," ",""),"　",""),"(주)",""),"（주）",""),"㈜",""),"주식회사",""),"(유)",""),"（유）",""),"유한회사",""))</f>
        <v/>
      </c>
      <c r="AC935" s="31">
        <f>IF(OR($Y935="",N($Z935)&lt;=0,$AB935=""),0,IFERROR(LOOKUP(2,1/((거래처별!$AC$8:$AC$307&lt;&gt;"")*ISNUMBER(SEARCH(거래처별!$AC$8:$AC$307,$AB935))),거래처별!$A$8:$A$307),IFERROR(LOOKUP(2,1/((거래처별!$AD$8:$AD$307&lt;&gt;"")*ISNUMBER(SEARCH(거래처별!$AD$8:$AD$307,$AB935))),거래처별!$A$8:$A$307),IFERROR(LOOKUP(2,1/((거래처별!$AE$8:$AE$307&lt;&gt;"")*ISNUMBER(SEARCH(거래처별!$AE$8:$AE$307,$AB935))),거래처별!$A$8:$A$307),0))))</f>
        <v/>
      </c>
      <c r="AD935" s="31">
        <f>IF(AND($Y935&lt;&gt;"",N($Z935)&gt;0,$AC935=0),MAX($AD$7:$AD934)+1,"")</f>
        <v/>
      </c>
      <c r="AE935" s="31">
        <f>IF($Y935="",0,$Y935)</f>
        <v/>
      </c>
    </row>
    <row r="936">
      <c r="W936" s="31">
        <f>IF(OR($B$5="",$C$6="",ROW()&lt;$B$5),"",IF(INDEX($A:$U,ROW(),$C$6)="","",INDEX($A:$U,ROW(),$C$6)))</f>
        <v/>
      </c>
      <c r="X936" s="32">
        <f>IF($W936="","",IF(ISNUMBER($W936),IF($W936&gt;=10000000,IFERROR(DATE(INT($W936/10000),MOD(INT($W936/100),100),MOD($W936,100)),""),INT($W936)),IFERROR(DATE(--LEFT(LEFT(SUBSTITUTE(SUBSTITUTE(SUBSTITUTE(SUBSTITUTE(TRIM($W936),"-",""),".",""),"/","")," ",""),8),4),--MID(LEFT(SUBSTITUTE(SUBSTITUTE(SUBSTITUTE(SUBSTITUTE(TRIM($W936),"-",""),".",""),"/","")," ",""),8),5,2),--MID(LEFT(SUBSTITUTE(SUBSTITUTE(SUBSTITUTE(SUBSTITUTE(TRIM($W936),"-",""),".",""),"/","")," ",""),8),7,2)),"")))</f>
        <v/>
      </c>
      <c r="Y936" s="32">
        <f>IF($X936="","",INT($X936))</f>
        <v/>
      </c>
      <c r="Z936" s="33">
        <f>IF(OR($Y936="",$D$6=""),"",IF(INDEX($A:$U,ROW(),$D$6)="",0,IF(ISNUMBER(INDEX($A:$U,ROW(),$D$6)),INDEX($A:$U,ROW(),$D$6),IFERROR(--SUBSTITUTE(SUBSTITUTE(TRIM(INDEX($A:$U,ROW(),$D$6)),",",""),"원",""),0))))</f>
        <v/>
      </c>
      <c r="AA936" s="31">
        <f>IF($Y936="","",TRIM(INDEX($A:$U,ROW(),$E$6)&amp;IF($F$6="",""," "&amp;INDEX($A:$U,ROW(),$F$6))))</f>
        <v/>
      </c>
      <c r="AB936" s="31">
        <f>IF($AA936="","",SUBSTITUTE(SUBSTITUTE(SUBSTITUTE(SUBSTITUTE(SUBSTITUTE(SUBSTITUTE(SUBSTITUTE(SUBSTITUTE(SUBSTITUTE($AA936," ",""),"　",""),"(주)",""),"（주）",""),"㈜",""),"주식회사",""),"(유)",""),"（유）",""),"유한회사",""))</f>
        <v/>
      </c>
      <c r="AC936" s="31">
        <f>IF(OR($Y936="",N($Z936)&lt;=0,$AB936=""),0,IFERROR(LOOKUP(2,1/((거래처별!$AC$8:$AC$307&lt;&gt;"")*ISNUMBER(SEARCH(거래처별!$AC$8:$AC$307,$AB936))),거래처별!$A$8:$A$307),IFERROR(LOOKUP(2,1/((거래처별!$AD$8:$AD$307&lt;&gt;"")*ISNUMBER(SEARCH(거래처별!$AD$8:$AD$307,$AB936))),거래처별!$A$8:$A$307),IFERROR(LOOKUP(2,1/((거래처별!$AE$8:$AE$307&lt;&gt;"")*ISNUMBER(SEARCH(거래처별!$AE$8:$AE$307,$AB936))),거래처별!$A$8:$A$307),0))))</f>
        <v/>
      </c>
      <c r="AD936" s="31">
        <f>IF(AND($Y936&lt;&gt;"",N($Z936)&gt;0,$AC936=0),MAX($AD$7:$AD935)+1,"")</f>
        <v/>
      </c>
      <c r="AE936" s="31">
        <f>IF($Y936="",0,$Y936)</f>
        <v/>
      </c>
    </row>
    <row r="937">
      <c r="W937" s="31">
        <f>IF(OR($B$5="",$C$6="",ROW()&lt;$B$5),"",IF(INDEX($A:$U,ROW(),$C$6)="","",INDEX($A:$U,ROW(),$C$6)))</f>
        <v/>
      </c>
      <c r="X937" s="32">
        <f>IF($W937="","",IF(ISNUMBER($W937),IF($W937&gt;=10000000,IFERROR(DATE(INT($W937/10000),MOD(INT($W937/100),100),MOD($W937,100)),""),INT($W937)),IFERROR(DATE(--LEFT(LEFT(SUBSTITUTE(SUBSTITUTE(SUBSTITUTE(SUBSTITUTE(TRIM($W937),"-",""),".",""),"/","")," ",""),8),4),--MID(LEFT(SUBSTITUTE(SUBSTITUTE(SUBSTITUTE(SUBSTITUTE(TRIM($W937),"-",""),".",""),"/","")," ",""),8),5,2),--MID(LEFT(SUBSTITUTE(SUBSTITUTE(SUBSTITUTE(SUBSTITUTE(TRIM($W937),"-",""),".",""),"/","")," ",""),8),7,2)),"")))</f>
        <v/>
      </c>
      <c r="Y937" s="32">
        <f>IF($X937="","",INT($X937))</f>
        <v/>
      </c>
      <c r="Z937" s="33">
        <f>IF(OR($Y937="",$D$6=""),"",IF(INDEX($A:$U,ROW(),$D$6)="",0,IF(ISNUMBER(INDEX($A:$U,ROW(),$D$6)),INDEX($A:$U,ROW(),$D$6),IFERROR(--SUBSTITUTE(SUBSTITUTE(TRIM(INDEX($A:$U,ROW(),$D$6)),",",""),"원",""),0))))</f>
        <v/>
      </c>
      <c r="AA937" s="31">
        <f>IF($Y937="","",TRIM(INDEX($A:$U,ROW(),$E$6)&amp;IF($F$6="",""," "&amp;INDEX($A:$U,ROW(),$F$6))))</f>
        <v/>
      </c>
      <c r="AB937" s="31">
        <f>IF($AA937="","",SUBSTITUTE(SUBSTITUTE(SUBSTITUTE(SUBSTITUTE(SUBSTITUTE(SUBSTITUTE(SUBSTITUTE(SUBSTITUTE(SUBSTITUTE($AA937," ",""),"　",""),"(주)",""),"（주）",""),"㈜",""),"주식회사",""),"(유)",""),"（유）",""),"유한회사",""))</f>
        <v/>
      </c>
      <c r="AC937" s="31">
        <f>IF(OR($Y937="",N($Z937)&lt;=0,$AB937=""),0,IFERROR(LOOKUP(2,1/((거래처별!$AC$8:$AC$307&lt;&gt;"")*ISNUMBER(SEARCH(거래처별!$AC$8:$AC$307,$AB937))),거래처별!$A$8:$A$307),IFERROR(LOOKUP(2,1/((거래처별!$AD$8:$AD$307&lt;&gt;"")*ISNUMBER(SEARCH(거래처별!$AD$8:$AD$307,$AB937))),거래처별!$A$8:$A$307),IFERROR(LOOKUP(2,1/((거래처별!$AE$8:$AE$307&lt;&gt;"")*ISNUMBER(SEARCH(거래처별!$AE$8:$AE$307,$AB937))),거래처별!$A$8:$A$307),0))))</f>
        <v/>
      </c>
      <c r="AD937" s="31">
        <f>IF(AND($Y937&lt;&gt;"",N($Z937)&gt;0,$AC937=0),MAX($AD$7:$AD936)+1,"")</f>
        <v/>
      </c>
      <c r="AE937" s="31">
        <f>IF($Y937="",0,$Y937)</f>
        <v/>
      </c>
    </row>
    <row r="938">
      <c r="W938" s="31">
        <f>IF(OR($B$5="",$C$6="",ROW()&lt;$B$5),"",IF(INDEX($A:$U,ROW(),$C$6)="","",INDEX($A:$U,ROW(),$C$6)))</f>
        <v/>
      </c>
      <c r="X938" s="32">
        <f>IF($W938="","",IF(ISNUMBER($W938),IF($W938&gt;=10000000,IFERROR(DATE(INT($W938/10000),MOD(INT($W938/100),100),MOD($W938,100)),""),INT($W938)),IFERROR(DATE(--LEFT(LEFT(SUBSTITUTE(SUBSTITUTE(SUBSTITUTE(SUBSTITUTE(TRIM($W938),"-",""),".",""),"/","")," ",""),8),4),--MID(LEFT(SUBSTITUTE(SUBSTITUTE(SUBSTITUTE(SUBSTITUTE(TRIM($W938),"-",""),".",""),"/","")," ",""),8),5,2),--MID(LEFT(SUBSTITUTE(SUBSTITUTE(SUBSTITUTE(SUBSTITUTE(TRIM($W938),"-",""),".",""),"/","")," ",""),8),7,2)),"")))</f>
        <v/>
      </c>
      <c r="Y938" s="32">
        <f>IF($X938="","",INT($X938))</f>
        <v/>
      </c>
      <c r="Z938" s="33">
        <f>IF(OR($Y938="",$D$6=""),"",IF(INDEX($A:$U,ROW(),$D$6)="",0,IF(ISNUMBER(INDEX($A:$U,ROW(),$D$6)),INDEX($A:$U,ROW(),$D$6),IFERROR(--SUBSTITUTE(SUBSTITUTE(TRIM(INDEX($A:$U,ROW(),$D$6)),",",""),"원",""),0))))</f>
        <v/>
      </c>
      <c r="AA938" s="31">
        <f>IF($Y938="","",TRIM(INDEX($A:$U,ROW(),$E$6)&amp;IF($F$6="",""," "&amp;INDEX($A:$U,ROW(),$F$6))))</f>
        <v/>
      </c>
      <c r="AB938" s="31">
        <f>IF($AA938="","",SUBSTITUTE(SUBSTITUTE(SUBSTITUTE(SUBSTITUTE(SUBSTITUTE(SUBSTITUTE(SUBSTITUTE(SUBSTITUTE(SUBSTITUTE($AA938," ",""),"　",""),"(주)",""),"（주）",""),"㈜",""),"주식회사",""),"(유)",""),"（유）",""),"유한회사",""))</f>
        <v/>
      </c>
      <c r="AC938" s="31">
        <f>IF(OR($Y938="",N($Z938)&lt;=0,$AB938=""),0,IFERROR(LOOKUP(2,1/((거래처별!$AC$8:$AC$307&lt;&gt;"")*ISNUMBER(SEARCH(거래처별!$AC$8:$AC$307,$AB938))),거래처별!$A$8:$A$307),IFERROR(LOOKUP(2,1/((거래처별!$AD$8:$AD$307&lt;&gt;"")*ISNUMBER(SEARCH(거래처별!$AD$8:$AD$307,$AB938))),거래처별!$A$8:$A$307),IFERROR(LOOKUP(2,1/((거래처별!$AE$8:$AE$307&lt;&gt;"")*ISNUMBER(SEARCH(거래처별!$AE$8:$AE$307,$AB938))),거래처별!$A$8:$A$307),0))))</f>
        <v/>
      </c>
      <c r="AD938" s="31">
        <f>IF(AND($Y938&lt;&gt;"",N($Z938)&gt;0,$AC938=0),MAX($AD$7:$AD937)+1,"")</f>
        <v/>
      </c>
      <c r="AE938" s="31">
        <f>IF($Y938="",0,$Y938)</f>
        <v/>
      </c>
    </row>
    <row r="939">
      <c r="W939" s="31">
        <f>IF(OR($B$5="",$C$6="",ROW()&lt;$B$5),"",IF(INDEX($A:$U,ROW(),$C$6)="","",INDEX($A:$U,ROW(),$C$6)))</f>
        <v/>
      </c>
      <c r="X939" s="32">
        <f>IF($W939="","",IF(ISNUMBER($W939),IF($W939&gt;=10000000,IFERROR(DATE(INT($W939/10000),MOD(INT($W939/100),100),MOD($W939,100)),""),INT($W939)),IFERROR(DATE(--LEFT(LEFT(SUBSTITUTE(SUBSTITUTE(SUBSTITUTE(SUBSTITUTE(TRIM($W939),"-",""),".",""),"/","")," ",""),8),4),--MID(LEFT(SUBSTITUTE(SUBSTITUTE(SUBSTITUTE(SUBSTITUTE(TRIM($W939),"-",""),".",""),"/","")," ",""),8),5,2),--MID(LEFT(SUBSTITUTE(SUBSTITUTE(SUBSTITUTE(SUBSTITUTE(TRIM($W939),"-",""),".",""),"/","")," ",""),8),7,2)),"")))</f>
        <v/>
      </c>
      <c r="Y939" s="32">
        <f>IF($X939="","",INT($X939))</f>
        <v/>
      </c>
      <c r="Z939" s="33">
        <f>IF(OR($Y939="",$D$6=""),"",IF(INDEX($A:$U,ROW(),$D$6)="",0,IF(ISNUMBER(INDEX($A:$U,ROW(),$D$6)),INDEX($A:$U,ROW(),$D$6),IFERROR(--SUBSTITUTE(SUBSTITUTE(TRIM(INDEX($A:$U,ROW(),$D$6)),",",""),"원",""),0))))</f>
        <v/>
      </c>
      <c r="AA939" s="31">
        <f>IF($Y939="","",TRIM(INDEX($A:$U,ROW(),$E$6)&amp;IF($F$6="",""," "&amp;INDEX($A:$U,ROW(),$F$6))))</f>
        <v/>
      </c>
      <c r="AB939" s="31">
        <f>IF($AA939="","",SUBSTITUTE(SUBSTITUTE(SUBSTITUTE(SUBSTITUTE(SUBSTITUTE(SUBSTITUTE(SUBSTITUTE(SUBSTITUTE(SUBSTITUTE($AA939," ",""),"　",""),"(주)",""),"（주）",""),"㈜",""),"주식회사",""),"(유)",""),"（유）",""),"유한회사",""))</f>
        <v/>
      </c>
      <c r="AC939" s="31">
        <f>IF(OR($Y939="",N($Z939)&lt;=0,$AB939=""),0,IFERROR(LOOKUP(2,1/((거래처별!$AC$8:$AC$307&lt;&gt;"")*ISNUMBER(SEARCH(거래처별!$AC$8:$AC$307,$AB939))),거래처별!$A$8:$A$307),IFERROR(LOOKUP(2,1/((거래처별!$AD$8:$AD$307&lt;&gt;"")*ISNUMBER(SEARCH(거래처별!$AD$8:$AD$307,$AB939))),거래처별!$A$8:$A$307),IFERROR(LOOKUP(2,1/((거래처별!$AE$8:$AE$307&lt;&gt;"")*ISNUMBER(SEARCH(거래처별!$AE$8:$AE$307,$AB939))),거래처별!$A$8:$A$307),0))))</f>
        <v/>
      </c>
      <c r="AD939" s="31">
        <f>IF(AND($Y939&lt;&gt;"",N($Z939)&gt;0,$AC939=0),MAX($AD$7:$AD938)+1,"")</f>
        <v/>
      </c>
      <c r="AE939" s="31">
        <f>IF($Y939="",0,$Y939)</f>
        <v/>
      </c>
    </row>
    <row r="940">
      <c r="W940" s="31">
        <f>IF(OR($B$5="",$C$6="",ROW()&lt;$B$5),"",IF(INDEX($A:$U,ROW(),$C$6)="","",INDEX($A:$U,ROW(),$C$6)))</f>
        <v/>
      </c>
      <c r="X940" s="32">
        <f>IF($W940="","",IF(ISNUMBER($W940),IF($W940&gt;=10000000,IFERROR(DATE(INT($W940/10000),MOD(INT($W940/100),100),MOD($W940,100)),""),INT($W940)),IFERROR(DATE(--LEFT(LEFT(SUBSTITUTE(SUBSTITUTE(SUBSTITUTE(SUBSTITUTE(TRIM($W940),"-",""),".",""),"/","")," ",""),8),4),--MID(LEFT(SUBSTITUTE(SUBSTITUTE(SUBSTITUTE(SUBSTITUTE(TRIM($W940),"-",""),".",""),"/","")," ",""),8),5,2),--MID(LEFT(SUBSTITUTE(SUBSTITUTE(SUBSTITUTE(SUBSTITUTE(TRIM($W940),"-",""),".",""),"/","")," ",""),8),7,2)),"")))</f>
        <v/>
      </c>
      <c r="Y940" s="32">
        <f>IF($X940="","",INT($X940))</f>
        <v/>
      </c>
      <c r="Z940" s="33">
        <f>IF(OR($Y940="",$D$6=""),"",IF(INDEX($A:$U,ROW(),$D$6)="",0,IF(ISNUMBER(INDEX($A:$U,ROW(),$D$6)),INDEX($A:$U,ROW(),$D$6),IFERROR(--SUBSTITUTE(SUBSTITUTE(TRIM(INDEX($A:$U,ROW(),$D$6)),",",""),"원",""),0))))</f>
        <v/>
      </c>
      <c r="AA940" s="31">
        <f>IF($Y940="","",TRIM(INDEX($A:$U,ROW(),$E$6)&amp;IF($F$6="",""," "&amp;INDEX($A:$U,ROW(),$F$6))))</f>
        <v/>
      </c>
      <c r="AB940" s="31">
        <f>IF($AA940="","",SUBSTITUTE(SUBSTITUTE(SUBSTITUTE(SUBSTITUTE(SUBSTITUTE(SUBSTITUTE(SUBSTITUTE(SUBSTITUTE(SUBSTITUTE($AA940," ",""),"　",""),"(주)",""),"（주）",""),"㈜",""),"주식회사",""),"(유)",""),"（유）",""),"유한회사",""))</f>
        <v/>
      </c>
      <c r="AC940" s="31">
        <f>IF(OR($Y940="",N($Z940)&lt;=0,$AB940=""),0,IFERROR(LOOKUP(2,1/((거래처별!$AC$8:$AC$307&lt;&gt;"")*ISNUMBER(SEARCH(거래처별!$AC$8:$AC$307,$AB940))),거래처별!$A$8:$A$307),IFERROR(LOOKUP(2,1/((거래처별!$AD$8:$AD$307&lt;&gt;"")*ISNUMBER(SEARCH(거래처별!$AD$8:$AD$307,$AB940))),거래처별!$A$8:$A$307),IFERROR(LOOKUP(2,1/((거래처별!$AE$8:$AE$307&lt;&gt;"")*ISNUMBER(SEARCH(거래처별!$AE$8:$AE$307,$AB940))),거래처별!$A$8:$A$307),0))))</f>
        <v/>
      </c>
      <c r="AD940" s="31">
        <f>IF(AND($Y940&lt;&gt;"",N($Z940)&gt;0,$AC940=0),MAX($AD$7:$AD939)+1,"")</f>
        <v/>
      </c>
      <c r="AE940" s="31">
        <f>IF($Y940="",0,$Y940)</f>
        <v/>
      </c>
    </row>
    <row r="941">
      <c r="W941" s="31">
        <f>IF(OR($B$5="",$C$6="",ROW()&lt;$B$5),"",IF(INDEX($A:$U,ROW(),$C$6)="","",INDEX($A:$U,ROW(),$C$6)))</f>
        <v/>
      </c>
      <c r="X941" s="32">
        <f>IF($W941="","",IF(ISNUMBER($W941),IF($W941&gt;=10000000,IFERROR(DATE(INT($W941/10000),MOD(INT($W941/100),100),MOD($W941,100)),""),INT($W941)),IFERROR(DATE(--LEFT(LEFT(SUBSTITUTE(SUBSTITUTE(SUBSTITUTE(SUBSTITUTE(TRIM($W941),"-",""),".",""),"/","")," ",""),8),4),--MID(LEFT(SUBSTITUTE(SUBSTITUTE(SUBSTITUTE(SUBSTITUTE(TRIM($W941),"-",""),".",""),"/","")," ",""),8),5,2),--MID(LEFT(SUBSTITUTE(SUBSTITUTE(SUBSTITUTE(SUBSTITUTE(TRIM($W941),"-",""),".",""),"/","")," ",""),8),7,2)),"")))</f>
        <v/>
      </c>
      <c r="Y941" s="32">
        <f>IF($X941="","",INT($X941))</f>
        <v/>
      </c>
      <c r="Z941" s="33">
        <f>IF(OR($Y941="",$D$6=""),"",IF(INDEX($A:$U,ROW(),$D$6)="",0,IF(ISNUMBER(INDEX($A:$U,ROW(),$D$6)),INDEX($A:$U,ROW(),$D$6),IFERROR(--SUBSTITUTE(SUBSTITUTE(TRIM(INDEX($A:$U,ROW(),$D$6)),",",""),"원",""),0))))</f>
        <v/>
      </c>
      <c r="AA941" s="31">
        <f>IF($Y941="","",TRIM(INDEX($A:$U,ROW(),$E$6)&amp;IF($F$6="",""," "&amp;INDEX($A:$U,ROW(),$F$6))))</f>
        <v/>
      </c>
      <c r="AB941" s="31">
        <f>IF($AA941="","",SUBSTITUTE(SUBSTITUTE(SUBSTITUTE(SUBSTITUTE(SUBSTITUTE(SUBSTITUTE(SUBSTITUTE(SUBSTITUTE(SUBSTITUTE($AA941," ",""),"　",""),"(주)",""),"（주）",""),"㈜",""),"주식회사",""),"(유)",""),"（유）",""),"유한회사",""))</f>
        <v/>
      </c>
      <c r="AC941" s="31">
        <f>IF(OR($Y941="",N($Z941)&lt;=0,$AB941=""),0,IFERROR(LOOKUP(2,1/((거래처별!$AC$8:$AC$307&lt;&gt;"")*ISNUMBER(SEARCH(거래처별!$AC$8:$AC$307,$AB941))),거래처별!$A$8:$A$307),IFERROR(LOOKUP(2,1/((거래처별!$AD$8:$AD$307&lt;&gt;"")*ISNUMBER(SEARCH(거래처별!$AD$8:$AD$307,$AB941))),거래처별!$A$8:$A$307),IFERROR(LOOKUP(2,1/((거래처별!$AE$8:$AE$307&lt;&gt;"")*ISNUMBER(SEARCH(거래처별!$AE$8:$AE$307,$AB941))),거래처별!$A$8:$A$307),0))))</f>
        <v/>
      </c>
      <c r="AD941" s="31">
        <f>IF(AND($Y941&lt;&gt;"",N($Z941)&gt;0,$AC941=0),MAX($AD$7:$AD940)+1,"")</f>
        <v/>
      </c>
      <c r="AE941" s="31">
        <f>IF($Y941="",0,$Y941)</f>
        <v/>
      </c>
    </row>
    <row r="942">
      <c r="W942" s="31">
        <f>IF(OR($B$5="",$C$6="",ROW()&lt;$B$5),"",IF(INDEX($A:$U,ROW(),$C$6)="","",INDEX($A:$U,ROW(),$C$6)))</f>
        <v/>
      </c>
      <c r="X942" s="32">
        <f>IF($W942="","",IF(ISNUMBER($W942),IF($W942&gt;=10000000,IFERROR(DATE(INT($W942/10000),MOD(INT($W942/100),100),MOD($W942,100)),""),INT($W942)),IFERROR(DATE(--LEFT(LEFT(SUBSTITUTE(SUBSTITUTE(SUBSTITUTE(SUBSTITUTE(TRIM($W942),"-",""),".",""),"/","")," ",""),8),4),--MID(LEFT(SUBSTITUTE(SUBSTITUTE(SUBSTITUTE(SUBSTITUTE(TRIM($W942),"-",""),".",""),"/","")," ",""),8),5,2),--MID(LEFT(SUBSTITUTE(SUBSTITUTE(SUBSTITUTE(SUBSTITUTE(TRIM($W942),"-",""),".",""),"/","")," ",""),8),7,2)),"")))</f>
        <v/>
      </c>
      <c r="Y942" s="32">
        <f>IF($X942="","",INT($X942))</f>
        <v/>
      </c>
      <c r="Z942" s="33">
        <f>IF(OR($Y942="",$D$6=""),"",IF(INDEX($A:$U,ROW(),$D$6)="",0,IF(ISNUMBER(INDEX($A:$U,ROW(),$D$6)),INDEX($A:$U,ROW(),$D$6),IFERROR(--SUBSTITUTE(SUBSTITUTE(TRIM(INDEX($A:$U,ROW(),$D$6)),",",""),"원",""),0))))</f>
        <v/>
      </c>
      <c r="AA942" s="31">
        <f>IF($Y942="","",TRIM(INDEX($A:$U,ROW(),$E$6)&amp;IF($F$6="",""," "&amp;INDEX($A:$U,ROW(),$F$6))))</f>
        <v/>
      </c>
      <c r="AB942" s="31">
        <f>IF($AA942="","",SUBSTITUTE(SUBSTITUTE(SUBSTITUTE(SUBSTITUTE(SUBSTITUTE(SUBSTITUTE(SUBSTITUTE(SUBSTITUTE(SUBSTITUTE($AA942," ",""),"　",""),"(주)",""),"（주）",""),"㈜",""),"주식회사",""),"(유)",""),"（유）",""),"유한회사",""))</f>
        <v/>
      </c>
      <c r="AC942" s="31">
        <f>IF(OR($Y942="",N($Z942)&lt;=0,$AB942=""),0,IFERROR(LOOKUP(2,1/((거래처별!$AC$8:$AC$307&lt;&gt;"")*ISNUMBER(SEARCH(거래처별!$AC$8:$AC$307,$AB942))),거래처별!$A$8:$A$307),IFERROR(LOOKUP(2,1/((거래처별!$AD$8:$AD$307&lt;&gt;"")*ISNUMBER(SEARCH(거래처별!$AD$8:$AD$307,$AB942))),거래처별!$A$8:$A$307),IFERROR(LOOKUP(2,1/((거래처별!$AE$8:$AE$307&lt;&gt;"")*ISNUMBER(SEARCH(거래처별!$AE$8:$AE$307,$AB942))),거래처별!$A$8:$A$307),0))))</f>
        <v/>
      </c>
      <c r="AD942" s="31">
        <f>IF(AND($Y942&lt;&gt;"",N($Z942)&gt;0,$AC942=0),MAX($AD$7:$AD941)+1,"")</f>
        <v/>
      </c>
      <c r="AE942" s="31">
        <f>IF($Y942="",0,$Y942)</f>
        <v/>
      </c>
    </row>
    <row r="943">
      <c r="W943" s="31">
        <f>IF(OR($B$5="",$C$6="",ROW()&lt;$B$5),"",IF(INDEX($A:$U,ROW(),$C$6)="","",INDEX($A:$U,ROW(),$C$6)))</f>
        <v/>
      </c>
      <c r="X943" s="32">
        <f>IF($W943="","",IF(ISNUMBER($W943),IF($W943&gt;=10000000,IFERROR(DATE(INT($W943/10000),MOD(INT($W943/100),100),MOD($W943,100)),""),INT($W943)),IFERROR(DATE(--LEFT(LEFT(SUBSTITUTE(SUBSTITUTE(SUBSTITUTE(SUBSTITUTE(TRIM($W943),"-",""),".",""),"/","")," ",""),8),4),--MID(LEFT(SUBSTITUTE(SUBSTITUTE(SUBSTITUTE(SUBSTITUTE(TRIM($W943),"-",""),".",""),"/","")," ",""),8),5,2),--MID(LEFT(SUBSTITUTE(SUBSTITUTE(SUBSTITUTE(SUBSTITUTE(TRIM($W943),"-",""),".",""),"/","")," ",""),8),7,2)),"")))</f>
        <v/>
      </c>
      <c r="Y943" s="32">
        <f>IF($X943="","",INT($X943))</f>
        <v/>
      </c>
      <c r="Z943" s="33">
        <f>IF(OR($Y943="",$D$6=""),"",IF(INDEX($A:$U,ROW(),$D$6)="",0,IF(ISNUMBER(INDEX($A:$U,ROW(),$D$6)),INDEX($A:$U,ROW(),$D$6),IFERROR(--SUBSTITUTE(SUBSTITUTE(TRIM(INDEX($A:$U,ROW(),$D$6)),",",""),"원",""),0))))</f>
        <v/>
      </c>
      <c r="AA943" s="31">
        <f>IF($Y943="","",TRIM(INDEX($A:$U,ROW(),$E$6)&amp;IF($F$6="",""," "&amp;INDEX($A:$U,ROW(),$F$6))))</f>
        <v/>
      </c>
      <c r="AB943" s="31">
        <f>IF($AA943="","",SUBSTITUTE(SUBSTITUTE(SUBSTITUTE(SUBSTITUTE(SUBSTITUTE(SUBSTITUTE(SUBSTITUTE(SUBSTITUTE(SUBSTITUTE($AA943," ",""),"　",""),"(주)",""),"（주）",""),"㈜",""),"주식회사",""),"(유)",""),"（유）",""),"유한회사",""))</f>
        <v/>
      </c>
      <c r="AC943" s="31">
        <f>IF(OR($Y943="",N($Z943)&lt;=0,$AB943=""),0,IFERROR(LOOKUP(2,1/((거래처별!$AC$8:$AC$307&lt;&gt;"")*ISNUMBER(SEARCH(거래처별!$AC$8:$AC$307,$AB943))),거래처별!$A$8:$A$307),IFERROR(LOOKUP(2,1/((거래처별!$AD$8:$AD$307&lt;&gt;"")*ISNUMBER(SEARCH(거래처별!$AD$8:$AD$307,$AB943))),거래처별!$A$8:$A$307),IFERROR(LOOKUP(2,1/((거래처별!$AE$8:$AE$307&lt;&gt;"")*ISNUMBER(SEARCH(거래처별!$AE$8:$AE$307,$AB943))),거래처별!$A$8:$A$307),0))))</f>
        <v/>
      </c>
      <c r="AD943" s="31">
        <f>IF(AND($Y943&lt;&gt;"",N($Z943)&gt;0,$AC943=0),MAX($AD$7:$AD942)+1,"")</f>
        <v/>
      </c>
      <c r="AE943" s="31">
        <f>IF($Y943="",0,$Y943)</f>
        <v/>
      </c>
    </row>
    <row r="944">
      <c r="W944" s="31">
        <f>IF(OR($B$5="",$C$6="",ROW()&lt;$B$5),"",IF(INDEX($A:$U,ROW(),$C$6)="","",INDEX($A:$U,ROW(),$C$6)))</f>
        <v/>
      </c>
      <c r="X944" s="32">
        <f>IF($W944="","",IF(ISNUMBER($W944),IF($W944&gt;=10000000,IFERROR(DATE(INT($W944/10000),MOD(INT($W944/100),100),MOD($W944,100)),""),INT($W944)),IFERROR(DATE(--LEFT(LEFT(SUBSTITUTE(SUBSTITUTE(SUBSTITUTE(SUBSTITUTE(TRIM($W944),"-",""),".",""),"/","")," ",""),8),4),--MID(LEFT(SUBSTITUTE(SUBSTITUTE(SUBSTITUTE(SUBSTITUTE(TRIM($W944),"-",""),".",""),"/","")," ",""),8),5,2),--MID(LEFT(SUBSTITUTE(SUBSTITUTE(SUBSTITUTE(SUBSTITUTE(TRIM($W944),"-",""),".",""),"/","")," ",""),8),7,2)),"")))</f>
        <v/>
      </c>
      <c r="Y944" s="32">
        <f>IF($X944="","",INT($X944))</f>
        <v/>
      </c>
      <c r="Z944" s="33">
        <f>IF(OR($Y944="",$D$6=""),"",IF(INDEX($A:$U,ROW(),$D$6)="",0,IF(ISNUMBER(INDEX($A:$U,ROW(),$D$6)),INDEX($A:$U,ROW(),$D$6),IFERROR(--SUBSTITUTE(SUBSTITUTE(TRIM(INDEX($A:$U,ROW(),$D$6)),",",""),"원",""),0))))</f>
        <v/>
      </c>
      <c r="AA944" s="31">
        <f>IF($Y944="","",TRIM(INDEX($A:$U,ROW(),$E$6)&amp;IF($F$6="",""," "&amp;INDEX($A:$U,ROW(),$F$6))))</f>
        <v/>
      </c>
      <c r="AB944" s="31">
        <f>IF($AA944="","",SUBSTITUTE(SUBSTITUTE(SUBSTITUTE(SUBSTITUTE(SUBSTITUTE(SUBSTITUTE(SUBSTITUTE(SUBSTITUTE(SUBSTITUTE($AA944," ",""),"　",""),"(주)",""),"（주）",""),"㈜",""),"주식회사",""),"(유)",""),"（유）",""),"유한회사",""))</f>
        <v/>
      </c>
      <c r="AC944" s="31">
        <f>IF(OR($Y944="",N($Z944)&lt;=0,$AB944=""),0,IFERROR(LOOKUP(2,1/((거래처별!$AC$8:$AC$307&lt;&gt;"")*ISNUMBER(SEARCH(거래처별!$AC$8:$AC$307,$AB944))),거래처별!$A$8:$A$307),IFERROR(LOOKUP(2,1/((거래처별!$AD$8:$AD$307&lt;&gt;"")*ISNUMBER(SEARCH(거래처별!$AD$8:$AD$307,$AB944))),거래처별!$A$8:$A$307),IFERROR(LOOKUP(2,1/((거래처별!$AE$8:$AE$307&lt;&gt;"")*ISNUMBER(SEARCH(거래처별!$AE$8:$AE$307,$AB944))),거래처별!$A$8:$A$307),0))))</f>
        <v/>
      </c>
      <c r="AD944" s="31">
        <f>IF(AND($Y944&lt;&gt;"",N($Z944)&gt;0,$AC944=0),MAX($AD$7:$AD943)+1,"")</f>
        <v/>
      </c>
      <c r="AE944" s="31">
        <f>IF($Y944="",0,$Y944)</f>
        <v/>
      </c>
    </row>
    <row r="945">
      <c r="W945" s="31">
        <f>IF(OR($B$5="",$C$6="",ROW()&lt;$B$5),"",IF(INDEX($A:$U,ROW(),$C$6)="","",INDEX($A:$U,ROW(),$C$6)))</f>
        <v/>
      </c>
      <c r="X945" s="32">
        <f>IF($W945="","",IF(ISNUMBER($W945),IF($W945&gt;=10000000,IFERROR(DATE(INT($W945/10000),MOD(INT($W945/100),100),MOD($W945,100)),""),INT($W945)),IFERROR(DATE(--LEFT(LEFT(SUBSTITUTE(SUBSTITUTE(SUBSTITUTE(SUBSTITUTE(TRIM($W945),"-",""),".",""),"/","")," ",""),8),4),--MID(LEFT(SUBSTITUTE(SUBSTITUTE(SUBSTITUTE(SUBSTITUTE(TRIM($W945),"-",""),".",""),"/","")," ",""),8),5,2),--MID(LEFT(SUBSTITUTE(SUBSTITUTE(SUBSTITUTE(SUBSTITUTE(TRIM($W945),"-",""),".",""),"/","")," ",""),8),7,2)),"")))</f>
        <v/>
      </c>
      <c r="Y945" s="32">
        <f>IF($X945="","",INT($X945))</f>
        <v/>
      </c>
      <c r="Z945" s="33">
        <f>IF(OR($Y945="",$D$6=""),"",IF(INDEX($A:$U,ROW(),$D$6)="",0,IF(ISNUMBER(INDEX($A:$U,ROW(),$D$6)),INDEX($A:$U,ROW(),$D$6),IFERROR(--SUBSTITUTE(SUBSTITUTE(TRIM(INDEX($A:$U,ROW(),$D$6)),",",""),"원",""),0))))</f>
        <v/>
      </c>
      <c r="AA945" s="31">
        <f>IF($Y945="","",TRIM(INDEX($A:$U,ROW(),$E$6)&amp;IF($F$6="",""," "&amp;INDEX($A:$U,ROW(),$F$6))))</f>
        <v/>
      </c>
      <c r="AB945" s="31">
        <f>IF($AA945="","",SUBSTITUTE(SUBSTITUTE(SUBSTITUTE(SUBSTITUTE(SUBSTITUTE(SUBSTITUTE(SUBSTITUTE(SUBSTITUTE(SUBSTITUTE($AA945," ",""),"　",""),"(주)",""),"（주）",""),"㈜",""),"주식회사",""),"(유)",""),"（유）",""),"유한회사",""))</f>
        <v/>
      </c>
      <c r="AC945" s="31">
        <f>IF(OR($Y945="",N($Z945)&lt;=0,$AB945=""),0,IFERROR(LOOKUP(2,1/((거래처별!$AC$8:$AC$307&lt;&gt;"")*ISNUMBER(SEARCH(거래처별!$AC$8:$AC$307,$AB945))),거래처별!$A$8:$A$307),IFERROR(LOOKUP(2,1/((거래처별!$AD$8:$AD$307&lt;&gt;"")*ISNUMBER(SEARCH(거래처별!$AD$8:$AD$307,$AB945))),거래처별!$A$8:$A$307),IFERROR(LOOKUP(2,1/((거래처별!$AE$8:$AE$307&lt;&gt;"")*ISNUMBER(SEARCH(거래처별!$AE$8:$AE$307,$AB945))),거래처별!$A$8:$A$307),0))))</f>
        <v/>
      </c>
      <c r="AD945" s="31">
        <f>IF(AND($Y945&lt;&gt;"",N($Z945)&gt;0,$AC945=0),MAX($AD$7:$AD944)+1,"")</f>
        <v/>
      </c>
      <c r="AE945" s="31">
        <f>IF($Y945="",0,$Y945)</f>
        <v/>
      </c>
    </row>
    <row r="946">
      <c r="W946" s="31">
        <f>IF(OR($B$5="",$C$6="",ROW()&lt;$B$5),"",IF(INDEX($A:$U,ROW(),$C$6)="","",INDEX($A:$U,ROW(),$C$6)))</f>
        <v/>
      </c>
      <c r="X946" s="32">
        <f>IF($W946="","",IF(ISNUMBER($W946),IF($W946&gt;=10000000,IFERROR(DATE(INT($W946/10000),MOD(INT($W946/100),100),MOD($W946,100)),""),INT($W946)),IFERROR(DATE(--LEFT(LEFT(SUBSTITUTE(SUBSTITUTE(SUBSTITUTE(SUBSTITUTE(TRIM($W946),"-",""),".",""),"/","")," ",""),8),4),--MID(LEFT(SUBSTITUTE(SUBSTITUTE(SUBSTITUTE(SUBSTITUTE(TRIM($W946),"-",""),".",""),"/","")," ",""),8),5,2),--MID(LEFT(SUBSTITUTE(SUBSTITUTE(SUBSTITUTE(SUBSTITUTE(TRIM($W946),"-",""),".",""),"/","")," ",""),8),7,2)),"")))</f>
        <v/>
      </c>
      <c r="Y946" s="32">
        <f>IF($X946="","",INT($X946))</f>
        <v/>
      </c>
      <c r="Z946" s="33">
        <f>IF(OR($Y946="",$D$6=""),"",IF(INDEX($A:$U,ROW(),$D$6)="",0,IF(ISNUMBER(INDEX($A:$U,ROW(),$D$6)),INDEX($A:$U,ROW(),$D$6),IFERROR(--SUBSTITUTE(SUBSTITUTE(TRIM(INDEX($A:$U,ROW(),$D$6)),",",""),"원",""),0))))</f>
        <v/>
      </c>
      <c r="AA946" s="31">
        <f>IF($Y946="","",TRIM(INDEX($A:$U,ROW(),$E$6)&amp;IF($F$6="",""," "&amp;INDEX($A:$U,ROW(),$F$6))))</f>
        <v/>
      </c>
      <c r="AB946" s="31">
        <f>IF($AA946="","",SUBSTITUTE(SUBSTITUTE(SUBSTITUTE(SUBSTITUTE(SUBSTITUTE(SUBSTITUTE(SUBSTITUTE(SUBSTITUTE(SUBSTITUTE($AA946," ",""),"　",""),"(주)",""),"（주）",""),"㈜",""),"주식회사",""),"(유)",""),"（유）",""),"유한회사",""))</f>
        <v/>
      </c>
      <c r="AC946" s="31">
        <f>IF(OR($Y946="",N($Z946)&lt;=0,$AB946=""),0,IFERROR(LOOKUP(2,1/((거래처별!$AC$8:$AC$307&lt;&gt;"")*ISNUMBER(SEARCH(거래처별!$AC$8:$AC$307,$AB946))),거래처별!$A$8:$A$307),IFERROR(LOOKUP(2,1/((거래처별!$AD$8:$AD$307&lt;&gt;"")*ISNUMBER(SEARCH(거래처별!$AD$8:$AD$307,$AB946))),거래처별!$A$8:$A$307),IFERROR(LOOKUP(2,1/((거래처별!$AE$8:$AE$307&lt;&gt;"")*ISNUMBER(SEARCH(거래처별!$AE$8:$AE$307,$AB946))),거래처별!$A$8:$A$307),0))))</f>
        <v/>
      </c>
      <c r="AD946" s="31">
        <f>IF(AND($Y946&lt;&gt;"",N($Z946)&gt;0,$AC946=0),MAX($AD$7:$AD945)+1,"")</f>
        <v/>
      </c>
      <c r="AE946" s="31">
        <f>IF($Y946="",0,$Y946)</f>
        <v/>
      </c>
    </row>
    <row r="947">
      <c r="W947" s="31">
        <f>IF(OR($B$5="",$C$6="",ROW()&lt;$B$5),"",IF(INDEX($A:$U,ROW(),$C$6)="","",INDEX($A:$U,ROW(),$C$6)))</f>
        <v/>
      </c>
      <c r="X947" s="32">
        <f>IF($W947="","",IF(ISNUMBER($W947),IF($W947&gt;=10000000,IFERROR(DATE(INT($W947/10000),MOD(INT($W947/100),100),MOD($W947,100)),""),INT($W947)),IFERROR(DATE(--LEFT(LEFT(SUBSTITUTE(SUBSTITUTE(SUBSTITUTE(SUBSTITUTE(TRIM($W947),"-",""),".",""),"/","")," ",""),8),4),--MID(LEFT(SUBSTITUTE(SUBSTITUTE(SUBSTITUTE(SUBSTITUTE(TRIM($W947),"-",""),".",""),"/","")," ",""),8),5,2),--MID(LEFT(SUBSTITUTE(SUBSTITUTE(SUBSTITUTE(SUBSTITUTE(TRIM($W947),"-",""),".",""),"/","")," ",""),8),7,2)),"")))</f>
        <v/>
      </c>
      <c r="Y947" s="32">
        <f>IF($X947="","",INT($X947))</f>
        <v/>
      </c>
      <c r="Z947" s="33">
        <f>IF(OR($Y947="",$D$6=""),"",IF(INDEX($A:$U,ROW(),$D$6)="",0,IF(ISNUMBER(INDEX($A:$U,ROW(),$D$6)),INDEX($A:$U,ROW(),$D$6),IFERROR(--SUBSTITUTE(SUBSTITUTE(TRIM(INDEX($A:$U,ROW(),$D$6)),",",""),"원",""),0))))</f>
        <v/>
      </c>
      <c r="AA947" s="31">
        <f>IF($Y947="","",TRIM(INDEX($A:$U,ROW(),$E$6)&amp;IF($F$6="",""," "&amp;INDEX($A:$U,ROW(),$F$6))))</f>
        <v/>
      </c>
      <c r="AB947" s="31">
        <f>IF($AA947="","",SUBSTITUTE(SUBSTITUTE(SUBSTITUTE(SUBSTITUTE(SUBSTITUTE(SUBSTITUTE(SUBSTITUTE(SUBSTITUTE(SUBSTITUTE($AA947," ",""),"　",""),"(주)",""),"（주）",""),"㈜",""),"주식회사",""),"(유)",""),"（유）",""),"유한회사",""))</f>
        <v/>
      </c>
      <c r="AC947" s="31">
        <f>IF(OR($Y947="",N($Z947)&lt;=0,$AB947=""),0,IFERROR(LOOKUP(2,1/((거래처별!$AC$8:$AC$307&lt;&gt;"")*ISNUMBER(SEARCH(거래처별!$AC$8:$AC$307,$AB947))),거래처별!$A$8:$A$307),IFERROR(LOOKUP(2,1/((거래처별!$AD$8:$AD$307&lt;&gt;"")*ISNUMBER(SEARCH(거래처별!$AD$8:$AD$307,$AB947))),거래처별!$A$8:$A$307),IFERROR(LOOKUP(2,1/((거래처별!$AE$8:$AE$307&lt;&gt;"")*ISNUMBER(SEARCH(거래처별!$AE$8:$AE$307,$AB947))),거래처별!$A$8:$A$307),0))))</f>
        <v/>
      </c>
      <c r="AD947" s="31">
        <f>IF(AND($Y947&lt;&gt;"",N($Z947)&gt;0,$AC947=0),MAX($AD$7:$AD946)+1,"")</f>
        <v/>
      </c>
      <c r="AE947" s="31">
        <f>IF($Y947="",0,$Y947)</f>
        <v/>
      </c>
    </row>
    <row r="948">
      <c r="W948" s="31">
        <f>IF(OR($B$5="",$C$6="",ROW()&lt;$B$5),"",IF(INDEX($A:$U,ROW(),$C$6)="","",INDEX($A:$U,ROW(),$C$6)))</f>
        <v/>
      </c>
      <c r="X948" s="32">
        <f>IF($W948="","",IF(ISNUMBER($W948),IF($W948&gt;=10000000,IFERROR(DATE(INT($W948/10000),MOD(INT($W948/100),100),MOD($W948,100)),""),INT($W948)),IFERROR(DATE(--LEFT(LEFT(SUBSTITUTE(SUBSTITUTE(SUBSTITUTE(SUBSTITUTE(TRIM($W948),"-",""),".",""),"/","")," ",""),8),4),--MID(LEFT(SUBSTITUTE(SUBSTITUTE(SUBSTITUTE(SUBSTITUTE(TRIM($W948),"-",""),".",""),"/","")," ",""),8),5,2),--MID(LEFT(SUBSTITUTE(SUBSTITUTE(SUBSTITUTE(SUBSTITUTE(TRIM($W948),"-",""),".",""),"/","")," ",""),8),7,2)),"")))</f>
        <v/>
      </c>
      <c r="Y948" s="32">
        <f>IF($X948="","",INT($X948))</f>
        <v/>
      </c>
      <c r="Z948" s="33">
        <f>IF(OR($Y948="",$D$6=""),"",IF(INDEX($A:$U,ROW(),$D$6)="",0,IF(ISNUMBER(INDEX($A:$U,ROW(),$D$6)),INDEX($A:$U,ROW(),$D$6),IFERROR(--SUBSTITUTE(SUBSTITUTE(TRIM(INDEX($A:$U,ROW(),$D$6)),",",""),"원",""),0))))</f>
        <v/>
      </c>
      <c r="AA948" s="31">
        <f>IF($Y948="","",TRIM(INDEX($A:$U,ROW(),$E$6)&amp;IF($F$6="",""," "&amp;INDEX($A:$U,ROW(),$F$6))))</f>
        <v/>
      </c>
      <c r="AB948" s="31">
        <f>IF($AA948="","",SUBSTITUTE(SUBSTITUTE(SUBSTITUTE(SUBSTITUTE(SUBSTITUTE(SUBSTITUTE(SUBSTITUTE(SUBSTITUTE(SUBSTITUTE($AA948," ",""),"　",""),"(주)",""),"（주）",""),"㈜",""),"주식회사",""),"(유)",""),"（유）",""),"유한회사",""))</f>
        <v/>
      </c>
      <c r="AC948" s="31">
        <f>IF(OR($Y948="",N($Z948)&lt;=0,$AB948=""),0,IFERROR(LOOKUP(2,1/((거래처별!$AC$8:$AC$307&lt;&gt;"")*ISNUMBER(SEARCH(거래처별!$AC$8:$AC$307,$AB948))),거래처별!$A$8:$A$307),IFERROR(LOOKUP(2,1/((거래처별!$AD$8:$AD$307&lt;&gt;"")*ISNUMBER(SEARCH(거래처별!$AD$8:$AD$307,$AB948))),거래처별!$A$8:$A$307),IFERROR(LOOKUP(2,1/((거래처별!$AE$8:$AE$307&lt;&gt;"")*ISNUMBER(SEARCH(거래처별!$AE$8:$AE$307,$AB948))),거래처별!$A$8:$A$307),0))))</f>
        <v/>
      </c>
      <c r="AD948" s="31">
        <f>IF(AND($Y948&lt;&gt;"",N($Z948)&gt;0,$AC948=0),MAX($AD$7:$AD947)+1,"")</f>
        <v/>
      </c>
      <c r="AE948" s="31">
        <f>IF($Y948="",0,$Y948)</f>
        <v/>
      </c>
    </row>
    <row r="949">
      <c r="W949" s="31">
        <f>IF(OR($B$5="",$C$6="",ROW()&lt;$B$5),"",IF(INDEX($A:$U,ROW(),$C$6)="","",INDEX($A:$U,ROW(),$C$6)))</f>
        <v/>
      </c>
      <c r="X949" s="32">
        <f>IF($W949="","",IF(ISNUMBER($W949),IF($W949&gt;=10000000,IFERROR(DATE(INT($W949/10000),MOD(INT($W949/100),100),MOD($W949,100)),""),INT($W949)),IFERROR(DATE(--LEFT(LEFT(SUBSTITUTE(SUBSTITUTE(SUBSTITUTE(SUBSTITUTE(TRIM($W949),"-",""),".",""),"/","")," ",""),8),4),--MID(LEFT(SUBSTITUTE(SUBSTITUTE(SUBSTITUTE(SUBSTITUTE(TRIM($W949),"-",""),".",""),"/","")," ",""),8),5,2),--MID(LEFT(SUBSTITUTE(SUBSTITUTE(SUBSTITUTE(SUBSTITUTE(TRIM($W949),"-",""),".",""),"/","")," ",""),8),7,2)),"")))</f>
        <v/>
      </c>
      <c r="Y949" s="32">
        <f>IF($X949="","",INT($X949))</f>
        <v/>
      </c>
      <c r="Z949" s="33">
        <f>IF(OR($Y949="",$D$6=""),"",IF(INDEX($A:$U,ROW(),$D$6)="",0,IF(ISNUMBER(INDEX($A:$U,ROW(),$D$6)),INDEX($A:$U,ROW(),$D$6),IFERROR(--SUBSTITUTE(SUBSTITUTE(TRIM(INDEX($A:$U,ROW(),$D$6)),",",""),"원",""),0))))</f>
        <v/>
      </c>
      <c r="AA949" s="31">
        <f>IF($Y949="","",TRIM(INDEX($A:$U,ROW(),$E$6)&amp;IF($F$6="",""," "&amp;INDEX($A:$U,ROW(),$F$6))))</f>
        <v/>
      </c>
      <c r="AB949" s="31">
        <f>IF($AA949="","",SUBSTITUTE(SUBSTITUTE(SUBSTITUTE(SUBSTITUTE(SUBSTITUTE(SUBSTITUTE(SUBSTITUTE(SUBSTITUTE(SUBSTITUTE($AA949," ",""),"　",""),"(주)",""),"（주）",""),"㈜",""),"주식회사",""),"(유)",""),"（유）",""),"유한회사",""))</f>
        <v/>
      </c>
      <c r="AC949" s="31">
        <f>IF(OR($Y949="",N($Z949)&lt;=0,$AB949=""),0,IFERROR(LOOKUP(2,1/((거래처별!$AC$8:$AC$307&lt;&gt;"")*ISNUMBER(SEARCH(거래처별!$AC$8:$AC$307,$AB949))),거래처별!$A$8:$A$307),IFERROR(LOOKUP(2,1/((거래처별!$AD$8:$AD$307&lt;&gt;"")*ISNUMBER(SEARCH(거래처별!$AD$8:$AD$307,$AB949))),거래처별!$A$8:$A$307),IFERROR(LOOKUP(2,1/((거래처별!$AE$8:$AE$307&lt;&gt;"")*ISNUMBER(SEARCH(거래처별!$AE$8:$AE$307,$AB949))),거래처별!$A$8:$A$307),0))))</f>
        <v/>
      </c>
      <c r="AD949" s="31">
        <f>IF(AND($Y949&lt;&gt;"",N($Z949)&gt;0,$AC949=0),MAX($AD$7:$AD948)+1,"")</f>
        <v/>
      </c>
      <c r="AE949" s="31">
        <f>IF($Y949="",0,$Y949)</f>
        <v/>
      </c>
    </row>
    <row r="950">
      <c r="W950" s="31">
        <f>IF(OR($B$5="",$C$6="",ROW()&lt;$B$5),"",IF(INDEX($A:$U,ROW(),$C$6)="","",INDEX($A:$U,ROW(),$C$6)))</f>
        <v/>
      </c>
      <c r="X950" s="32">
        <f>IF($W950="","",IF(ISNUMBER($W950),IF($W950&gt;=10000000,IFERROR(DATE(INT($W950/10000),MOD(INT($W950/100),100),MOD($W950,100)),""),INT($W950)),IFERROR(DATE(--LEFT(LEFT(SUBSTITUTE(SUBSTITUTE(SUBSTITUTE(SUBSTITUTE(TRIM($W950),"-",""),".",""),"/","")," ",""),8),4),--MID(LEFT(SUBSTITUTE(SUBSTITUTE(SUBSTITUTE(SUBSTITUTE(TRIM($W950),"-",""),".",""),"/","")," ",""),8),5,2),--MID(LEFT(SUBSTITUTE(SUBSTITUTE(SUBSTITUTE(SUBSTITUTE(TRIM($W950),"-",""),".",""),"/","")," ",""),8),7,2)),"")))</f>
        <v/>
      </c>
      <c r="Y950" s="32">
        <f>IF($X950="","",INT($X950))</f>
        <v/>
      </c>
      <c r="Z950" s="33">
        <f>IF(OR($Y950="",$D$6=""),"",IF(INDEX($A:$U,ROW(),$D$6)="",0,IF(ISNUMBER(INDEX($A:$U,ROW(),$D$6)),INDEX($A:$U,ROW(),$D$6),IFERROR(--SUBSTITUTE(SUBSTITUTE(TRIM(INDEX($A:$U,ROW(),$D$6)),",",""),"원",""),0))))</f>
        <v/>
      </c>
      <c r="AA950" s="31">
        <f>IF($Y950="","",TRIM(INDEX($A:$U,ROW(),$E$6)&amp;IF($F$6="",""," "&amp;INDEX($A:$U,ROW(),$F$6))))</f>
        <v/>
      </c>
      <c r="AB950" s="31">
        <f>IF($AA950="","",SUBSTITUTE(SUBSTITUTE(SUBSTITUTE(SUBSTITUTE(SUBSTITUTE(SUBSTITUTE(SUBSTITUTE(SUBSTITUTE(SUBSTITUTE($AA950," ",""),"　",""),"(주)",""),"（주）",""),"㈜",""),"주식회사",""),"(유)",""),"（유）",""),"유한회사",""))</f>
        <v/>
      </c>
      <c r="AC950" s="31">
        <f>IF(OR($Y950="",N($Z950)&lt;=0,$AB950=""),0,IFERROR(LOOKUP(2,1/((거래처별!$AC$8:$AC$307&lt;&gt;"")*ISNUMBER(SEARCH(거래처별!$AC$8:$AC$307,$AB950))),거래처별!$A$8:$A$307),IFERROR(LOOKUP(2,1/((거래처별!$AD$8:$AD$307&lt;&gt;"")*ISNUMBER(SEARCH(거래처별!$AD$8:$AD$307,$AB950))),거래처별!$A$8:$A$307),IFERROR(LOOKUP(2,1/((거래처별!$AE$8:$AE$307&lt;&gt;"")*ISNUMBER(SEARCH(거래처별!$AE$8:$AE$307,$AB950))),거래처별!$A$8:$A$307),0))))</f>
        <v/>
      </c>
      <c r="AD950" s="31">
        <f>IF(AND($Y950&lt;&gt;"",N($Z950)&gt;0,$AC950=0),MAX($AD$7:$AD949)+1,"")</f>
        <v/>
      </c>
      <c r="AE950" s="31">
        <f>IF($Y950="",0,$Y950)</f>
        <v/>
      </c>
    </row>
    <row r="951">
      <c r="W951" s="31">
        <f>IF(OR($B$5="",$C$6="",ROW()&lt;$B$5),"",IF(INDEX($A:$U,ROW(),$C$6)="","",INDEX($A:$U,ROW(),$C$6)))</f>
        <v/>
      </c>
      <c r="X951" s="32">
        <f>IF($W951="","",IF(ISNUMBER($W951),IF($W951&gt;=10000000,IFERROR(DATE(INT($W951/10000),MOD(INT($W951/100),100),MOD($W951,100)),""),INT($W951)),IFERROR(DATE(--LEFT(LEFT(SUBSTITUTE(SUBSTITUTE(SUBSTITUTE(SUBSTITUTE(TRIM($W951),"-",""),".",""),"/","")," ",""),8),4),--MID(LEFT(SUBSTITUTE(SUBSTITUTE(SUBSTITUTE(SUBSTITUTE(TRIM($W951),"-",""),".",""),"/","")," ",""),8),5,2),--MID(LEFT(SUBSTITUTE(SUBSTITUTE(SUBSTITUTE(SUBSTITUTE(TRIM($W951),"-",""),".",""),"/","")," ",""),8),7,2)),"")))</f>
        <v/>
      </c>
      <c r="Y951" s="32">
        <f>IF($X951="","",INT($X951))</f>
        <v/>
      </c>
      <c r="Z951" s="33">
        <f>IF(OR($Y951="",$D$6=""),"",IF(INDEX($A:$U,ROW(),$D$6)="",0,IF(ISNUMBER(INDEX($A:$U,ROW(),$D$6)),INDEX($A:$U,ROW(),$D$6),IFERROR(--SUBSTITUTE(SUBSTITUTE(TRIM(INDEX($A:$U,ROW(),$D$6)),",",""),"원",""),0))))</f>
        <v/>
      </c>
      <c r="AA951" s="31">
        <f>IF($Y951="","",TRIM(INDEX($A:$U,ROW(),$E$6)&amp;IF($F$6="",""," "&amp;INDEX($A:$U,ROW(),$F$6))))</f>
        <v/>
      </c>
      <c r="AB951" s="31">
        <f>IF($AA951="","",SUBSTITUTE(SUBSTITUTE(SUBSTITUTE(SUBSTITUTE(SUBSTITUTE(SUBSTITUTE(SUBSTITUTE(SUBSTITUTE(SUBSTITUTE($AA951," ",""),"　",""),"(주)",""),"（주）",""),"㈜",""),"주식회사",""),"(유)",""),"（유）",""),"유한회사",""))</f>
        <v/>
      </c>
      <c r="AC951" s="31">
        <f>IF(OR($Y951="",N($Z951)&lt;=0,$AB951=""),0,IFERROR(LOOKUP(2,1/((거래처별!$AC$8:$AC$307&lt;&gt;"")*ISNUMBER(SEARCH(거래처별!$AC$8:$AC$307,$AB951))),거래처별!$A$8:$A$307),IFERROR(LOOKUP(2,1/((거래처별!$AD$8:$AD$307&lt;&gt;"")*ISNUMBER(SEARCH(거래처별!$AD$8:$AD$307,$AB951))),거래처별!$A$8:$A$307),IFERROR(LOOKUP(2,1/((거래처별!$AE$8:$AE$307&lt;&gt;"")*ISNUMBER(SEARCH(거래처별!$AE$8:$AE$307,$AB951))),거래처별!$A$8:$A$307),0))))</f>
        <v/>
      </c>
      <c r="AD951" s="31">
        <f>IF(AND($Y951&lt;&gt;"",N($Z951)&gt;0,$AC951=0),MAX($AD$7:$AD950)+1,"")</f>
        <v/>
      </c>
      <c r="AE951" s="31">
        <f>IF($Y951="",0,$Y951)</f>
        <v/>
      </c>
    </row>
    <row r="952">
      <c r="W952" s="31">
        <f>IF(OR($B$5="",$C$6="",ROW()&lt;$B$5),"",IF(INDEX($A:$U,ROW(),$C$6)="","",INDEX($A:$U,ROW(),$C$6)))</f>
        <v/>
      </c>
      <c r="X952" s="32">
        <f>IF($W952="","",IF(ISNUMBER($W952),IF($W952&gt;=10000000,IFERROR(DATE(INT($W952/10000),MOD(INT($W952/100),100),MOD($W952,100)),""),INT($W952)),IFERROR(DATE(--LEFT(LEFT(SUBSTITUTE(SUBSTITUTE(SUBSTITUTE(SUBSTITUTE(TRIM($W952),"-",""),".",""),"/","")," ",""),8),4),--MID(LEFT(SUBSTITUTE(SUBSTITUTE(SUBSTITUTE(SUBSTITUTE(TRIM($W952),"-",""),".",""),"/","")," ",""),8),5,2),--MID(LEFT(SUBSTITUTE(SUBSTITUTE(SUBSTITUTE(SUBSTITUTE(TRIM($W952),"-",""),".",""),"/","")," ",""),8),7,2)),"")))</f>
        <v/>
      </c>
      <c r="Y952" s="32">
        <f>IF($X952="","",INT($X952))</f>
        <v/>
      </c>
      <c r="Z952" s="33">
        <f>IF(OR($Y952="",$D$6=""),"",IF(INDEX($A:$U,ROW(),$D$6)="",0,IF(ISNUMBER(INDEX($A:$U,ROW(),$D$6)),INDEX($A:$U,ROW(),$D$6),IFERROR(--SUBSTITUTE(SUBSTITUTE(TRIM(INDEX($A:$U,ROW(),$D$6)),",",""),"원",""),0))))</f>
        <v/>
      </c>
      <c r="AA952" s="31">
        <f>IF($Y952="","",TRIM(INDEX($A:$U,ROW(),$E$6)&amp;IF($F$6="",""," "&amp;INDEX($A:$U,ROW(),$F$6))))</f>
        <v/>
      </c>
      <c r="AB952" s="31">
        <f>IF($AA952="","",SUBSTITUTE(SUBSTITUTE(SUBSTITUTE(SUBSTITUTE(SUBSTITUTE(SUBSTITUTE(SUBSTITUTE(SUBSTITUTE(SUBSTITUTE($AA952," ",""),"　",""),"(주)",""),"（주）",""),"㈜",""),"주식회사",""),"(유)",""),"（유）",""),"유한회사",""))</f>
        <v/>
      </c>
      <c r="AC952" s="31">
        <f>IF(OR($Y952="",N($Z952)&lt;=0,$AB952=""),0,IFERROR(LOOKUP(2,1/((거래처별!$AC$8:$AC$307&lt;&gt;"")*ISNUMBER(SEARCH(거래처별!$AC$8:$AC$307,$AB952))),거래처별!$A$8:$A$307),IFERROR(LOOKUP(2,1/((거래처별!$AD$8:$AD$307&lt;&gt;"")*ISNUMBER(SEARCH(거래처별!$AD$8:$AD$307,$AB952))),거래처별!$A$8:$A$307),IFERROR(LOOKUP(2,1/((거래처별!$AE$8:$AE$307&lt;&gt;"")*ISNUMBER(SEARCH(거래처별!$AE$8:$AE$307,$AB952))),거래처별!$A$8:$A$307),0))))</f>
        <v/>
      </c>
      <c r="AD952" s="31">
        <f>IF(AND($Y952&lt;&gt;"",N($Z952)&gt;0,$AC952=0),MAX($AD$7:$AD951)+1,"")</f>
        <v/>
      </c>
      <c r="AE952" s="31">
        <f>IF($Y952="",0,$Y952)</f>
        <v/>
      </c>
    </row>
    <row r="953">
      <c r="W953" s="31">
        <f>IF(OR($B$5="",$C$6="",ROW()&lt;$B$5),"",IF(INDEX($A:$U,ROW(),$C$6)="","",INDEX($A:$U,ROW(),$C$6)))</f>
        <v/>
      </c>
      <c r="X953" s="32">
        <f>IF($W953="","",IF(ISNUMBER($W953),IF($W953&gt;=10000000,IFERROR(DATE(INT($W953/10000),MOD(INT($W953/100),100),MOD($W953,100)),""),INT($W953)),IFERROR(DATE(--LEFT(LEFT(SUBSTITUTE(SUBSTITUTE(SUBSTITUTE(SUBSTITUTE(TRIM($W953),"-",""),".",""),"/","")," ",""),8),4),--MID(LEFT(SUBSTITUTE(SUBSTITUTE(SUBSTITUTE(SUBSTITUTE(TRIM($W953),"-",""),".",""),"/","")," ",""),8),5,2),--MID(LEFT(SUBSTITUTE(SUBSTITUTE(SUBSTITUTE(SUBSTITUTE(TRIM($W953),"-",""),".",""),"/","")," ",""),8),7,2)),"")))</f>
        <v/>
      </c>
      <c r="Y953" s="32">
        <f>IF($X953="","",INT($X953))</f>
        <v/>
      </c>
      <c r="Z953" s="33">
        <f>IF(OR($Y953="",$D$6=""),"",IF(INDEX($A:$U,ROW(),$D$6)="",0,IF(ISNUMBER(INDEX($A:$U,ROW(),$D$6)),INDEX($A:$U,ROW(),$D$6),IFERROR(--SUBSTITUTE(SUBSTITUTE(TRIM(INDEX($A:$U,ROW(),$D$6)),",",""),"원",""),0))))</f>
        <v/>
      </c>
      <c r="AA953" s="31">
        <f>IF($Y953="","",TRIM(INDEX($A:$U,ROW(),$E$6)&amp;IF($F$6="",""," "&amp;INDEX($A:$U,ROW(),$F$6))))</f>
        <v/>
      </c>
      <c r="AB953" s="31">
        <f>IF($AA953="","",SUBSTITUTE(SUBSTITUTE(SUBSTITUTE(SUBSTITUTE(SUBSTITUTE(SUBSTITUTE(SUBSTITUTE(SUBSTITUTE(SUBSTITUTE($AA953," ",""),"　",""),"(주)",""),"（주）",""),"㈜",""),"주식회사",""),"(유)",""),"（유）",""),"유한회사",""))</f>
        <v/>
      </c>
      <c r="AC953" s="31">
        <f>IF(OR($Y953="",N($Z953)&lt;=0,$AB953=""),0,IFERROR(LOOKUP(2,1/((거래처별!$AC$8:$AC$307&lt;&gt;"")*ISNUMBER(SEARCH(거래처별!$AC$8:$AC$307,$AB953))),거래처별!$A$8:$A$307),IFERROR(LOOKUP(2,1/((거래처별!$AD$8:$AD$307&lt;&gt;"")*ISNUMBER(SEARCH(거래처별!$AD$8:$AD$307,$AB953))),거래처별!$A$8:$A$307),IFERROR(LOOKUP(2,1/((거래처별!$AE$8:$AE$307&lt;&gt;"")*ISNUMBER(SEARCH(거래처별!$AE$8:$AE$307,$AB953))),거래처별!$A$8:$A$307),0))))</f>
        <v/>
      </c>
      <c r="AD953" s="31">
        <f>IF(AND($Y953&lt;&gt;"",N($Z953)&gt;0,$AC953=0),MAX($AD$7:$AD952)+1,"")</f>
        <v/>
      </c>
      <c r="AE953" s="31">
        <f>IF($Y953="",0,$Y953)</f>
        <v/>
      </c>
    </row>
    <row r="954">
      <c r="W954" s="31">
        <f>IF(OR($B$5="",$C$6="",ROW()&lt;$B$5),"",IF(INDEX($A:$U,ROW(),$C$6)="","",INDEX($A:$U,ROW(),$C$6)))</f>
        <v/>
      </c>
      <c r="X954" s="32">
        <f>IF($W954="","",IF(ISNUMBER($W954),IF($W954&gt;=10000000,IFERROR(DATE(INT($W954/10000),MOD(INT($W954/100),100),MOD($W954,100)),""),INT($W954)),IFERROR(DATE(--LEFT(LEFT(SUBSTITUTE(SUBSTITUTE(SUBSTITUTE(SUBSTITUTE(TRIM($W954),"-",""),".",""),"/","")," ",""),8),4),--MID(LEFT(SUBSTITUTE(SUBSTITUTE(SUBSTITUTE(SUBSTITUTE(TRIM($W954),"-",""),".",""),"/","")," ",""),8),5,2),--MID(LEFT(SUBSTITUTE(SUBSTITUTE(SUBSTITUTE(SUBSTITUTE(TRIM($W954),"-",""),".",""),"/","")," ",""),8),7,2)),"")))</f>
        <v/>
      </c>
      <c r="Y954" s="32">
        <f>IF($X954="","",INT($X954))</f>
        <v/>
      </c>
      <c r="Z954" s="33">
        <f>IF(OR($Y954="",$D$6=""),"",IF(INDEX($A:$U,ROW(),$D$6)="",0,IF(ISNUMBER(INDEX($A:$U,ROW(),$D$6)),INDEX($A:$U,ROW(),$D$6),IFERROR(--SUBSTITUTE(SUBSTITUTE(TRIM(INDEX($A:$U,ROW(),$D$6)),",",""),"원",""),0))))</f>
        <v/>
      </c>
      <c r="AA954" s="31">
        <f>IF($Y954="","",TRIM(INDEX($A:$U,ROW(),$E$6)&amp;IF($F$6="",""," "&amp;INDEX($A:$U,ROW(),$F$6))))</f>
        <v/>
      </c>
      <c r="AB954" s="31">
        <f>IF($AA954="","",SUBSTITUTE(SUBSTITUTE(SUBSTITUTE(SUBSTITUTE(SUBSTITUTE(SUBSTITUTE(SUBSTITUTE(SUBSTITUTE(SUBSTITUTE($AA954," ",""),"　",""),"(주)",""),"（주）",""),"㈜",""),"주식회사",""),"(유)",""),"（유）",""),"유한회사",""))</f>
        <v/>
      </c>
      <c r="AC954" s="31">
        <f>IF(OR($Y954="",N($Z954)&lt;=0,$AB954=""),0,IFERROR(LOOKUP(2,1/((거래처별!$AC$8:$AC$307&lt;&gt;"")*ISNUMBER(SEARCH(거래처별!$AC$8:$AC$307,$AB954))),거래처별!$A$8:$A$307),IFERROR(LOOKUP(2,1/((거래처별!$AD$8:$AD$307&lt;&gt;"")*ISNUMBER(SEARCH(거래처별!$AD$8:$AD$307,$AB954))),거래처별!$A$8:$A$307),IFERROR(LOOKUP(2,1/((거래처별!$AE$8:$AE$307&lt;&gt;"")*ISNUMBER(SEARCH(거래처별!$AE$8:$AE$307,$AB954))),거래처별!$A$8:$A$307),0))))</f>
        <v/>
      </c>
      <c r="AD954" s="31">
        <f>IF(AND($Y954&lt;&gt;"",N($Z954)&gt;0,$AC954=0),MAX($AD$7:$AD953)+1,"")</f>
        <v/>
      </c>
      <c r="AE954" s="31">
        <f>IF($Y954="",0,$Y954)</f>
        <v/>
      </c>
    </row>
    <row r="955">
      <c r="W955" s="31">
        <f>IF(OR($B$5="",$C$6="",ROW()&lt;$B$5),"",IF(INDEX($A:$U,ROW(),$C$6)="","",INDEX($A:$U,ROW(),$C$6)))</f>
        <v/>
      </c>
      <c r="X955" s="32">
        <f>IF($W955="","",IF(ISNUMBER($W955),IF($W955&gt;=10000000,IFERROR(DATE(INT($W955/10000),MOD(INT($W955/100),100),MOD($W955,100)),""),INT($W955)),IFERROR(DATE(--LEFT(LEFT(SUBSTITUTE(SUBSTITUTE(SUBSTITUTE(SUBSTITUTE(TRIM($W955),"-",""),".",""),"/","")," ",""),8),4),--MID(LEFT(SUBSTITUTE(SUBSTITUTE(SUBSTITUTE(SUBSTITUTE(TRIM($W955),"-",""),".",""),"/","")," ",""),8),5,2),--MID(LEFT(SUBSTITUTE(SUBSTITUTE(SUBSTITUTE(SUBSTITUTE(TRIM($W955),"-",""),".",""),"/","")," ",""),8),7,2)),"")))</f>
        <v/>
      </c>
      <c r="Y955" s="32">
        <f>IF($X955="","",INT($X955))</f>
        <v/>
      </c>
      <c r="Z955" s="33">
        <f>IF(OR($Y955="",$D$6=""),"",IF(INDEX($A:$U,ROW(),$D$6)="",0,IF(ISNUMBER(INDEX($A:$U,ROW(),$D$6)),INDEX($A:$U,ROW(),$D$6),IFERROR(--SUBSTITUTE(SUBSTITUTE(TRIM(INDEX($A:$U,ROW(),$D$6)),",",""),"원",""),0))))</f>
        <v/>
      </c>
      <c r="AA955" s="31">
        <f>IF($Y955="","",TRIM(INDEX($A:$U,ROW(),$E$6)&amp;IF($F$6="",""," "&amp;INDEX($A:$U,ROW(),$F$6))))</f>
        <v/>
      </c>
      <c r="AB955" s="31">
        <f>IF($AA955="","",SUBSTITUTE(SUBSTITUTE(SUBSTITUTE(SUBSTITUTE(SUBSTITUTE(SUBSTITUTE(SUBSTITUTE(SUBSTITUTE(SUBSTITUTE($AA955," ",""),"　",""),"(주)",""),"（주）",""),"㈜",""),"주식회사",""),"(유)",""),"（유）",""),"유한회사",""))</f>
        <v/>
      </c>
      <c r="AC955" s="31">
        <f>IF(OR($Y955="",N($Z955)&lt;=0,$AB955=""),0,IFERROR(LOOKUP(2,1/((거래처별!$AC$8:$AC$307&lt;&gt;"")*ISNUMBER(SEARCH(거래처별!$AC$8:$AC$307,$AB955))),거래처별!$A$8:$A$307),IFERROR(LOOKUP(2,1/((거래처별!$AD$8:$AD$307&lt;&gt;"")*ISNUMBER(SEARCH(거래처별!$AD$8:$AD$307,$AB955))),거래처별!$A$8:$A$307),IFERROR(LOOKUP(2,1/((거래처별!$AE$8:$AE$307&lt;&gt;"")*ISNUMBER(SEARCH(거래처별!$AE$8:$AE$307,$AB955))),거래처별!$A$8:$A$307),0))))</f>
        <v/>
      </c>
      <c r="AD955" s="31">
        <f>IF(AND($Y955&lt;&gt;"",N($Z955)&gt;0,$AC955=0),MAX($AD$7:$AD954)+1,"")</f>
        <v/>
      </c>
      <c r="AE955" s="31">
        <f>IF($Y955="",0,$Y955)</f>
        <v/>
      </c>
    </row>
    <row r="956">
      <c r="W956" s="31">
        <f>IF(OR($B$5="",$C$6="",ROW()&lt;$B$5),"",IF(INDEX($A:$U,ROW(),$C$6)="","",INDEX($A:$U,ROW(),$C$6)))</f>
        <v/>
      </c>
      <c r="X956" s="32">
        <f>IF($W956="","",IF(ISNUMBER($W956),IF($W956&gt;=10000000,IFERROR(DATE(INT($W956/10000),MOD(INT($W956/100),100),MOD($W956,100)),""),INT($W956)),IFERROR(DATE(--LEFT(LEFT(SUBSTITUTE(SUBSTITUTE(SUBSTITUTE(SUBSTITUTE(TRIM($W956),"-",""),".",""),"/","")," ",""),8),4),--MID(LEFT(SUBSTITUTE(SUBSTITUTE(SUBSTITUTE(SUBSTITUTE(TRIM($W956),"-",""),".",""),"/","")," ",""),8),5,2),--MID(LEFT(SUBSTITUTE(SUBSTITUTE(SUBSTITUTE(SUBSTITUTE(TRIM($W956),"-",""),".",""),"/","")," ",""),8),7,2)),"")))</f>
        <v/>
      </c>
      <c r="Y956" s="32">
        <f>IF($X956="","",INT($X956))</f>
        <v/>
      </c>
      <c r="Z956" s="33">
        <f>IF(OR($Y956="",$D$6=""),"",IF(INDEX($A:$U,ROW(),$D$6)="",0,IF(ISNUMBER(INDEX($A:$U,ROW(),$D$6)),INDEX($A:$U,ROW(),$D$6),IFERROR(--SUBSTITUTE(SUBSTITUTE(TRIM(INDEX($A:$U,ROW(),$D$6)),",",""),"원",""),0))))</f>
        <v/>
      </c>
      <c r="AA956" s="31">
        <f>IF($Y956="","",TRIM(INDEX($A:$U,ROW(),$E$6)&amp;IF($F$6="",""," "&amp;INDEX($A:$U,ROW(),$F$6))))</f>
        <v/>
      </c>
      <c r="AB956" s="31">
        <f>IF($AA956="","",SUBSTITUTE(SUBSTITUTE(SUBSTITUTE(SUBSTITUTE(SUBSTITUTE(SUBSTITUTE(SUBSTITUTE(SUBSTITUTE(SUBSTITUTE($AA956," ",""),"　",""),"(주)",""),"（주）",""),"㈜",""),"주식회사",""),"(유)",""),"（유）",""),"유한회사",""))</f>
        <v/>
      </c>
      <c r="AC956" s="31">
        <f>IF(OR($Y956="",N($Z956)&lt;=0,$AB956=""),0,IFERROR(LOOKUP(2,1/((거래처별!$AC$8:$AC$307&lt;&gt;"")*ISNUMBER(SEARCH(거래처별!$AC$8:$AC$307,$AB956))),거래처별!$A$8:$A$307),IFERROR(LOOKUP(2,1/((거래처별!$AD$8:$AD$307&lt;&gt;"")*ISNUMBER(SEARCH(거래처별!$AD$8:$AD$307,$AB956))),거래처별!$A$8:$A$307),IFERROR(LOOKUP(2,1/((거래처별!$AE$8:$AE$307&lt;&gt;"")*ISNUMBER(SEARCH(거래처별!$AE$8:$AE$307,$AB956))),거래처별!$A$8:$A$307),0))))</f>
        <v/>
      </c>
      <c r="AD956" s="31">
        <f>IF(AND($Y956&lt;&gt;"",N($Z956)&gt;0,$AC956=0),MAX($AD$7:$AD955)+1,"")</f>
        <v/>
      </c>
      <c r="AE956" s="31">
        <f>IF($Y956="",0,$Y956)</f>
        <v/>
      </c>
    </row>
    <row r="957">
      <c r="W957" s="31">
        <f>IF(OR($B$5="",$C$6="",ROW()&lt;$B$5),"",IF(INDEX($A:$U,ROW(),$C$6)="","",INDEX($A:$U,ROW(),$C$6)))</f>
        <v/>
      </c>
      <c r="X957" s="32">
        <f>IF($W957="","",IF(ISNUMBER($W957),IF($W957&gt;=10000000,IFERROR(DATE(INT($W957/10000),MOD(INT($W957/100),100),MOD($W957,100)),""),INT($W957)),IFERROR(DATE(--LEFT(LEFT(SUBSTITUTE(SUBSTITUTE(SUBSTITUTE(SUBSTITUTE(TRIM($W957),"-",""),".",""),"/","")," ",""),8),4),--MID(LEFT(SUBSTITUTE(SUBSTITUTE(SUBSTITUTE(SUBSTITUTE(TRIM($W957),"-",""),".",""),"/","")," ",""),8),5,2),--MID(LEFT(SUBSTITUTE(SUBSTITUTE(SUBSTITUTE(SUBSTITUTE(TRIM($W957),"-",""),".",""),"/","")," ",""),8),7,2)),"")))</f>
        <v/>
      </c>
      <c r="Y957" s="32">
        <f>IF($X957="","",INT($X957))</f>
        <v/>
      </c>
      <c r="Z957" s="33">
        <f>IF(OR($Y957="",$D$6=""),"",IF(INDEX($A:$U,ROW(),$D$6)="",0,IF(ISNUMBER(INDEX($A:$U,ROW(),$D$6)),INDEX($A:$U,ROW(),$D$6),IFERROR(--SUBSTITUTE(SUBSTITUTE(TRIM(INDEX($A:$U,ROW(),$D$6)),",",""),"원",""),0))))</f>
        <v/>
      </c>
      <c r="AA957" s="31">
        <f>IF($Y957="","",TRIM(INDEX($A:$U,ROW(),$E$6)&amp;IF($F$6="",""," "&amp;INDEX($A:$U,ROW(),$F$6))))</f>
        <v/>
      </c>
      <c r="AB957" s="31">
        <f>IF($AA957="","",SUBSTITUTE(SUBSTITUTE(SUBSTITUTE(SUBSTITUTE(SUBSTITUTE(SUBSTITUTE(SUBSTITUTE(SUBSTITUTE(SUBSTITUTE($AA957," ",""),"　",""),"(주)",""),"（주）",""),"㈜",""),"주식회사",""),"(유)",""),"（유）",""),"유한회사",""))</f>
        <v/>
      </c>
      <c r="AC957" s="31">
        <f>IF(OR($Y957="",N($Z957)&lt;=0,$AB957=""),0,IFERROR(LOOKUP(2,1/((거래처별!$AC$8:$AC$307&lt;&gt;"")*ISNUMBER(SEARCH(거래처별!$AC$8:$AC$307,$AB957))),거래처별!$A$8:$A$307),IFERROR(LOOKUP(2,1/((거래처별!$AD$8:$AD$307&lt;&gt;"")*ISNUMBER(SEARCH(거래처별!$AD$8:$AD$307,$AB957))),거래처별!$A$8:$A$307),IFERROR(LOOKUP(2,1/((거래처별!$AE$8:$AE$307&lt;&gt;"")*ISNUMBER(SEARCH(거래처별!$AE$8:$AE$307,$AB957))),거래처별!$A$8:$A$307),0))))</f>
        <v/>
      </c>
      <c r="AD957" s="31">
        <f>IF(AND($Y957&lt;&gt;"",N($Z957)&gt;0,$AC957=0),MAX($AD$7:$AD956)+1,"")</f>
        <v/>
      </c>
      <c r="AE957" s="31">
        <f>IF($Y957="",0,$Y957)</f>
        <v/>
      </c>
    </row>
    <row r="958">
      <c r="W958" s="31">
        <f>IF(OR($B$5="",$C$6="",ROW()&lt;$B$5),"",IF(INDEX($A:$U,ROW(),$C$6)="","",INDEX($A:$U,ROW(),$C$6)))</f>
        <v/>
      </c>
      <c r="X958" s="32">
        <f>IF($W958="","",IF(ISNUMBER($W958),IF($W958&gt;=10000000,IFERROR(DATE(INT($W958/10000),MOD(INT($W958/100),100),MOD($W958,100)),""),INT($W958)),IFERROR(DATE(--LEFT(LEFT(SUBSTITUTE(SUBSTITUTE(SUBSTITUTE(SUBSTITUTE(TRIM($W958),"-",""),".",""),"/","")," ",""),8),4),--MID(LEFT(SUBSTITUTE(SUBSTITUTE(SUBSTITUTE(SUBSTITUTE(TRIM($W958),"-",""),".",""),"/","")," ",""),8),5,2),--MID(LEFT(SUBSTITUTE(SUBSTITUTE(SUBSTITUTE(SUBSTITUTE(TRIM($W958),"-",""),".",""),"/","")," ",""),8),7,2)),"")))</f>
        <v/>
      </c>
      <c r="Y958" s="32">
        <f>IF($X958="","",INT($X958))</f>
        <v/>
      </c>
      <c r="Z958" s="33">
        <f>IF(OR($Y958="",$D$6=""),"",IF(INDEX($A:$U,ROW(),$D$6)="",0,IF(ISNUMBER(INDEX($A:$U,ROW(),$D$6)),INDEX($A:$U,ROW(),$D$6),IFERROR(--SUBSTITUTE(SUBSTITUTE(TRIM(INDEX($A:$U,ROW(),$D$6)),",",""),"원",""),0))))</f>
        <v/>
      </c>
      <c r="AA958" s="31">
        <f>IF($Y958="","",TRIM(INDEX($A:$U,ROW(),$E$6)&amp;IF($F$6="",""," "&amp;INDEX($A:$U,ROW(),$F$6))))</f>
        <v/>
      </c>
      <c r="AB958" s="31">
        <f>IF($AA958="","",SUBSTITUTE(SUBSTITUTE(SUBSTITUTE(SUBSTITUTE(SUBSTITUTE(SUBSTITUTE(SUBSTITUTE(SUBSTITUTE(SUBSTITUTE($AA958," ",""),"　",""),"(주)",""),"（주）",""),"㈜",""),"주식회사",""),"(유)",""),"（유）",""),"유한회사",""))</f>
        <v/>
      </c>
      <c r="AC958" s="31">
        <f>IF(OR($Y958="",N($Z958)&lt;=0,$AB958=""),0,IFERROR(LOOKUP(2,1/((거래처별!$AC$8:$AC$307&lt;&gt;"")*ISNUMBER(SEARCH(거래처별!$AC$8:$AC$307,$AB958))),거래처별!$A$8:$A$307),IFERROR(LOOKUP(2,1/((거래처별!$AD$8:$AD$307&lt;&gt;"")*ISNUMBER(SEARCH(거래처별!$AD$8:$AD$307,$AB958))),거래처별!$A$8:$A$307),IFERROR(LOOKUP(2,1/((거래처별!$AE$8:$AE$307&lt;&gt;"")*ISNUMBER(SEARCH(거래처별!$AE$8:$AE$307,$AB958))),거래처별!$A$8:$A$307),0))))</f>
        <v/>
      </c>
      <c r="AD958" s="31">
        <f>IF(AND($Y958&lt;&gt;"",N($Z958)&gt;0,$AC958=0),MAX($AD$7:$AD957)+1,"")</f>
        <v/>
      </c>
      <c r="AE958" s="31">
        <f>IF($Y958="",0,$Y958)</f>
        <v/>
      </c>
    </row>
    <row r="959">
      <c r="W959" s="31">
        <f>IF(OR($B$5="",$C$6="",ROW()&lt;$B$5),"",IF(INDEX($A:$U,ROW(),$C$6)="","",INDEX($A:$U,ROW(),$C$6)))</f>
        <v/>
      </c>
      <c r="X959" s="32">
        <f>IF($W959="","",IF(ISNUMBER($W959),IF($W959&gt;=10000000,IFERROR(DATE(INT($W959/10000),MOD(INT($W959/100),100),MOD($W959,100)),""),INT($W959)),IFERROR(DATE(--LEFT(LEFT(SUBSTITUTE(SUBSTITUTE(SUBSTITUTE(SUBSTITUTE(TRIM($W959),"-",""),".",""),"/","")," ",""),8),4),--MID(LEFT(SUBSTITUTE(SUBSTITUTE(SUBSTITUTE(SUBSTITUTE(TRIM($W959),"-",""),".",""),"/","")," ",""),8),5,2),--MID(LEFT(SUBSTITUTE(SUBSTITUTE(SUBSTITUTE(SUBSTITUTE(TRIM($W959),"-",""),".",""),"/","")," ",""),8),7,2)),"")))</f>
        <v/>
      </c>
      <c r="Y959" s="32">
        <f>IF($X959="","",INT($X959))</f>
        <v/>
      </c>
      <c r="Z959" s="33">
        <f>IF(OR($Y959="",$D$6=""),"",IF(INDEX($A:$U,ROW(),$D$6)="",0,IF(ISNUMBER(INDEX($A:$U,ROW(),$D$6)),INDEX($A:$U,ROW(),$D$6),IFERROR(--SUBSTITUTE(SUBSTITUTE(TRIM(INDEX($A:$U,ROW(),$D$6)),",",""),"원",""),0))))</f>
        <v/>
      </c>
      <c r="AA959" s="31">
        <f>IF($Y959="","",TRIM(INDEX($A:$U,ROW(),$E$6)&amp;IF($F$6="",""," "&amp;INDEX($A:$U,ROW(),$F$6))))</f>
        <v/>
      </c>
      <c r="AB959" s="31">
        <f>IF($AA959="","",SUBSTITUTE(SUBSTITUTE(SUBSTITUTE(SUBSTITUTE(SUBSTITUTE(SUBSTITUTE(SUBSTITUTE(SUBSTITUTE(SUBSTITUTE($AA959," ",""),"　",""),"(주)",""),"（주）",""),"㈜",""),"주식회사",""),"(유)",""),"（유）",""),"유한회사",""))</f>
        <v/>
      </c>
      <c r="AC959" s="31">
        <f>IF(OR($Y959="",N($Z959)&lt;=0,$AB959=""),0,IFERROR(LOOKUP(2,1/((거래처별!$AC$8:$AC$307&lt;&gt;"")*ISNUMBER(SEARCH(거래처별!$AC$8:$AC$307,$AB959))),거래처별!$A$8:$A$307),IFERROR(LOOKUP(2,1/((거래처별!$AD$8:$AD$307&lt;&gt;"")*ISNUMBER(SEARCH(거래처별!$AD$8:$AD$307,$AB959))),거래처별!$A$8:$A$307),IFERROR(LOOKUP(2,1/((거래처별!$AE$8:$AE$307&lt;&gt;"")*ISNUMBER(SEARCH(거래처별!$AE$8:$AE$307,$AB959))),거래처별!$A$8:$A$307),0))))</f>
        <v/>
      </c>
      <c r="AD959" s="31">
        <f>IF(AND($Y959&lt;&gt;"",N($Z959)&gt;0,$AC959=0),MAX($AD$7:$AD958)+1,"")</f>
        <v/>
      </c>
      <c r="AE959" s="31">
        <f>IF($Y959="",0,$Y959)</f>
        <v/>
      </c>
    </row>
    <row r="960">
      <c r="W960" s="31">
        <f>IF(OR($B$5="",$C$6="",ROW()&lt;$B$5),"",IF(INDEX($A:$U,ROW(),$C$6)="","",INDEX($A:$U,ROW(),$C$6)))</f>
        <v/>
      </c>
      <c r="X960" s="32">
        <f>IF($W960="","",IF(ISNUMBER($W960),IF($W960&gt;=10000000,IFERROR(DATE(INT($W960/10000),MOD(INT($W960/100),100),MOD($W960,100)),""),INT($W960)),IFERROR(DATE(--LEFT(LEFT(SUBSTITUTE(SUBSTITUTE(SUBSTITUTE(SUBSTITUTE(TRIM($W960),"-",""),".",""),"/","")," ",""),8),4),--MID(LEFT(SUBSTITUTE(SUBSTITUTE(SUBSTITUTE(SUBSTITUTE(TRIM($W960),"-",""),".",""),"/","")," ",""),8),5,2),--MID(LEFT(SUBSTITUTE(SUBSTITUTE(SUBSTITUTE(SUBSTITUTE(TRIM($W960),"-",""),".",""),"/","")," ",""),8),7,2)),"")))</f>
        <v/>
      </c>
      <c r="Y960" s="32">
        <f>IF($X960="","",INT($X960))</f>
        <v/>
      </c>
      <c r="Z960" s="33">
        <f>IF(OR($Y960="",$D$6=""),"",IF(INDEX($A:$U,ROW(),$D$6)="",0,IF(ISNUMBER(INDEX($A:$U,ROW(),$D$6)),INDEX($A:$U,ROW(),$D$6),IFERROR(--SUBSTITUTE(SUBSTITUTE(TRIM(INDEX($A:$U,ROW(),$D$6)),",",""),"원",""),0))))</f>
        <v/>
      </c>
      <c r="AA960" s="31">
        <f>IF($Y960="","",TRIM(INDEX($A:$U,ROW(),$E$6)&amp;IF($F$6="",""," "&amp;INDEX($A:$U,ROW(),$F$6))))</f>
        <v/>
      </c>
      <c r="AB960" s="31">
        <f>IF($AA960="","",SUBSTITUTE(SUBSTITUTE(SUBSTITUTE(SUBSTITUTE(SUBSTITUTE(SUBSTITUTE(SUBSTITUTE(SUBSTITUTE(SUBSTITUTE($AA960," ",""),"　",""),"(주)",""),"（주）",""),"㈜",""),"주식회사",""),"(유)",""),"（유）",""),"유한회사",""))</f>
        <v/>
      </c>
      <c r="AC960" s="31">
        <f>IF(OR($Y960="",N($Z960)&lt;=0,$AB960=""),0,IFERROR(LOOKUP(2,1/((거래처별!$AC$8:$AC$307&lt;&gt;"")*ISNUMBER(SEARCH(거래처별!$AC$8:$AC$307,$AB960))),거래처별!$A$8:$A$307),IFERROR(LOOKUP(2,1/((거래처별!$AD$8:$AD$307&lt;&gt;"")*ISNUMBER(SEARCH(거래처별!$AD$8:$AD$307,$AB960))),거래처별!$A$8:$A$307),IFERROR(LOOKUP(2,1/((거래처별!$AE$8:$AE$307&lt;&gt;"")*ISNUMBER(SEARCH(거래처별!$AE$8:$AE$307,$AB960))),거래처별!$A$8:$A$307),0))))</f>
        <v/>
      </c>
      <c r="AD960" s="31">
        <f>IF(AND($Y960&lt;&gt;"",N($Z960)&gt;0,$AC960=0),MAX($AD$7:$AD959)+1,"")</f>
        <v/>
      </c>
      <c r="AE960" s="31">
        <f>IF($Y960="",0,$Y960)</f>
        <v/>
      </c>
    </row>
    <row r="961">
      <c r="W961" s="31">
        <f>IF(OR($B$5="",$C$6="",ROW()&lt;$B$5),"",IF(INDEX($A:$U,ROW(),$C$6)="","",INDEX($A:$U,ROW(),$C$6)))</f>
        <v/>
      </c>
      <c r="X961" s="32">
        <f>IF($W961="","",IF(ISNUMBER($W961),IF($W961&gt;=10000000,IFERROR(DATE(INT($W961/10000),MOD(INT($W961/100),100),MOD($W961,100)),""),INT($W961)),IFERROR(DATE(--LEFT(LEFT(SUBSTITUTE(SUBSTITUTE(SUBSTITUTE(SUBSTITUTE(TRIM($W961),"-",""),".",""),"/","")," ",""),8),4),--MID(LEFT(SUBSTITUTE(SUBSTITUTE(SUBSTITUTE(SUBSTITUTE(TRIM($W961),"-",""),".",""),"/","")," ",""),8),5,2),--MID(LEFT(SUBSTITUTE(SUBSTITUTE(SUBSTITUTE(SUBSTITUTE(TRIM($W961),"-",""),".",""),"/","")," ",""),8),7,2)),"")))</f>
        <v/>
      </c>
      <c r="Y961" s="32">
        <f>IF($X961="","",INT($X961))</f>
        <v/>
      </c>
      <c r="Z961" s="33">
        <f>IF(OR($Y961="",$D$6=""),"",IF(INDEX($A:$U,ROW(),$D$6)="",0,IF(ISNUMBER(INDEX($A:$U,ROW(),$D$6)),INDEX($A:$U,ROW(),$D$6),IFERROR(--SUBSTITUTE(SUBSTITUTE(TRIM(INDEX($A:$U,ROW(),$D$6)),",",""),"원",""),0))))</f>
        <v/>
      </c>
      <c r="AA961" s="31">
        <f>IF($Y961="","",TRIM(INDEX($A:$U,ROW(),$E$6)&amp;IF($F$6="",""," "&amp;INDEX($A:$U,ROW(),$F$6))))</f>
        <v/>
      </c>
      <c r="AB961" s="31">
        <f>IF($AA961="","",SUBSTITUTE(SUBSTITUTE(SUBSTITUTE(SUBSTITUTE(SUBSTITUTE(SUBSTITUTE(SUBSTITUTE(SUBSTITUTE(SUBSTITUTE($AA961," ",""),"　",""),"(주)",""),"（주）",""),"㈜",""),"주식회사",""),"(유)",""),"（유）",""),"유한회사",""))</f>
        <v/>
      </c>
      <c r="AC961" s="31">
        <f>IF(OR($Y961="",N($Z961)&lt;=0,$AB961=""),0,IFERROR(LOOKUP(2,1/((거래처별!$AC$8:$AC$307&lt;&gt;"")*ISNUMBER(SEARCH(거래처별!$AC$8:$AC$307,$AB961))),거래처별!$A$8:$A$307),IFERROR(LOOKUP(2,1/((거래처별!$AD$8:$AD$307&lt;&gt;"")*ISNUMBER(SEARCH(거래처별!$AD$8:$AD$307,$AB961))),거래처별!$A$8:$A$307),IFERROR(LOOKUP(2,1/((거래처별!$AE$8:$AE$307&lt;&gt;"")*ISNUMBER(SEARCH(거래처별!$AE$8:$AE$307,$AB961))),거래처별!$A$8:$A$307),0))))</f>
        <v/>
      </c>
      <c r="AD961" s="31">
        <f>IF(AND($Y961&lt;&gt;"",N($Z961)&gt;0,$AC961=0),MAX($AD$7:$AD960)+1,"")</f>
        <v/>
      </c>
      <c r="AE961" s="31">
        <f>IF($Y961="",0,$Y961)</f>
        <v/>
      </c>
    </row>
    <row r="962">
      <c r="W962" s="31">
        <f>IF(OR($B$5="",$C$6="",ROW()&lt;$B$5),"",IF(INDEX($A:$U,ROW(),$C$6)="","",INDEX($A:$U,ROW(),$C$6)))</f>
        <v/>
      </c>
      <c r="X962" s="32">
        <f>IF($W962="","",IF(ISNUMBER($W962),IF($W962&gt;=10000000,IFERROR(DATE(INT($W962/10000),MOD(INT($W962/100),100),MOD($W962,100)),""),INT($W962)),IFERROR(DATE(--LEFT(LEFT(SUBSTITUTE(SUBSTITUTE(SUBSTITUTE(SUBSTITUTE(TRIM($W962),"-",""),".",""),"/","")," ",""),8),4),--MID(LEFT(SUBSTITUTE(SUBSTITUTE(SUBSTITUTE(SUBSTITUTE(TRIM($W962),"-",""),".",""),"/","")," ",""),8),5,2),--MID(LEFT(SUBSTITUTE(SUBSTITUTE(SUBSTITUTE(SUBSTITUTE(TRIM($W962),"-",""),".",""),"/","")," ",""),8),7,2)),"")))</f>
        <v/>
      </c>
      <c r="Y962" s="32">
        <f>IF($X962="","",INT($X962))</f>
        <v/>
      </c>
      <c r="Z962" s="33">
        <f>IF(OR($Y962="",$D$6=""),"",IF(INDEX($A:$U,ROW(),$D$6)="",0,IF(ISNUMBER(INDEX($A:$U,ROW(),$D$6)),INDEX($A:$U,ROW(),$D$6),IFERROR(--SUBSTITUTE(SUBSTITUTE(TRIM(INDEX($A:$U,ROW(),$D$6)),",",""),"원",""),0))))</f>
        <v/>
      </c>
      <c r="AA962" s="31">
        <f>IF($Y962="","",TRIM(INDEX($A:$U,ROW(),$E$6)&amp;IF($F$6="",""," "&amp;INDEX($A:$U,ROW(),$F$6))))</f>
        <v/>
      </c>
      <c r="AB962" s="31">
        <f>IF($AA962="","",SUBSTITUTE(SUBSTITUTE(SUBSTITUTE(SUBSTITUTE(SUBSTITUTE(SUBSTITUTE(SUBSTITUTE(SUBSTITUTE(SUBSTITUTE($AA962," ",""),"　",""),"(주)",""),"（주）",""),"㈜",""),"주식회사",""),"(유)",""),"（유）",""),"유한회사",""))</f>
        <v/>
      </c>
      <c r="AC962" s="31">
        <f>IF(OR($Y962="",N($Z962)&lt;=0,$AB962=""),0,IFERROR(LOOKUP(2,1/((거래처별!$AC$8:$AC$307&lt;&gt;"")*ISNUMBER(SEARCH(거래처별!$AC$8:$AC$307,$AB962))),거래처별!$A$8:$A$307),IFERROR(LOOKUP(2,1/((거래처별!$AD$8:$AD$307&lt;&gt;"")*ISNUMBER(SEARCH(거래처별!$AD$8:$AD$307,$AB962))),거래처별!$A$8:$A$307),IFERROR(LOOKUP(2,1/((거래처별!$AE$8:$AE$307&lt;&gt;"")*ISNUMBER(SEARCH(거래처별!$AE$8:$AE$307,$AB962))),거래처별!$A$8:$A$307),0))))</f>
        <v/>
      </c>
      <c r="AD962" s="31">
        <f>IF(AND($Y962&lt;&gt;"",N($Z962)&gt;0,$AC962=0),MAX($AD$7:$AD961)+1,"")</f>
        <v/>
      </c>
      <c r="AE962" s="31">
        <f>IF($Y962="",0,$Y962)</f>
        <v/>
      </c>
    </row>
    <row r="963">
      <c r="W963" s="31">
        <f>IF(OR($B$5="",$C$6="",ROW()&lt;$B$5),"",IF(INDEX($A:$U,ROW(),$C$6)="","",INDEX($A:$U,ROW(),$C$6)))</f>
        <v/>
      </c>
      <c r="X963" s="32">
        <f>IF($W963="","",IF(ISNUMBER($W963),IF($W963&gt;=10000000,IFERROR(DATE(INT($W963/10000),MOD(INT($W963/100),100),MOD($W963,100)),""),INT($W963)),IFERROR(DATE(--LEFT(LEFT(SUBSTITUTE(SUBSTITUTE(SUBSTITUTE(SUBSTITUTE(TRIM($W963),"-",""),".",""),"/","")," ",""),8),4),--MID(LEFT(SUBSTITUTE(SUBSTITUTE(SUBSTITUTE(SUBSTITUTE(TRIM($W963),"-",""),".",""),"/","")," ",""),8),5,2),--MID(LEFT(SUBSTITUTE(SUBSTITUTE(SUBSTITUTE(SUBSTITUTE(TRIM($W963),"-",""),".",""),"/","")," ",""),8),7,2)),"")))</f>
        <v/>
      </c>
      <c r="Y963" s="32">
        <f>IF($X963="","",INT($X963))</f>
        <v/>
      </c>
      <c r="Z963" s="33">
        <f>IF(OR($Y963="",$D$6=""),"",IF(INDEX($A:$U,ROW(),$D$6)="",0,IF(ISNUMBER(INDEX($A:$U,ROW(),$D$6)),INDEX($A:$U,ROW(),$D$6),IFERROR(--SUBSTITUTE(SUBSTITUTE(TRIM(INDEX($A:$U,ROW(),$D$6)),",",""),"원",""),0))))</f>
        <v/>
      </c>
      <c r="AA963" s="31">
        <f>IF($Y963="","",TRIM(INDEX($A:$U,ROW(),$E$6)&amp;IF($F$6="",""," "&amp;INDEX($A:$U,ROW(),$F$6))))</f>
        <v/>
      </c>
      <c r="AB963" s="31">
        <f>IF($AA963="","",SUBSTITUTE(SUBSTITUTE(SUBSTITUTE(SUBSTITUTE(SUBSTITUTE(SUBSTITUTE(SUBSTITUTE(SUBSTITUTE(SUBSTITUTE($AA963," ",""),"　",""),"(주)",""),"（주）",""),"㈜",""),"주식회사",""),"(유)",""),"（유）",""),"유한회사",""))</f>
        <v/>
      </c>
      <c r="AC963" s="31">
        <f>IF(OR($Y963="",N($Z963)&lt;=0,$AB963=""),0,IFERROR(LOOKUP(2,1/((거래처별!$AC$8:$AC$307&lt;&gt;"")*ISNUMBER(SEARCH(거래처별!$AC$8:$AC$307,$AB963))),거래처별!$A$8:$A$307),IFERROR(LOOKUP(2,1/((거래처별!$AD$8:$AD$307&lt;&gt;"")*ISNUMBER(SEARCH(거래처별!$AD$8:$AD$307,$AB963))),거래처별!$A$8:$A$307),IFERROR(LOOKUP(2,1/((거래처별!$AE$8:$AE$307&lt;&gt;"")*ISNUMBER(SEARCH(거래처별!$AE$8:$AE$307,$AB963))),거래처별!$A$8:$A$307),0))))</f>
        <v/>
      </c>
      <c r="AD963" s="31">
        <f>IF(AND($Y963&lt;&gt;"",N($Z963)&gt;0,$AC963=0),MAX($AD$7:$AD962)+1,"")</f>
        <v/>
      </c>
      <c r="AE963" s="31">
        <f>IF($Y963="",0,$Y963)</f>
        <v/>
      </c>
    </row>
    <row r="964">
      <c r="W964" s="31">
        <f>IF(OR($B$5="",$C$6="",ROW()&lt;$B$5),"",IF(INDEX($A:$U,ROW(),$C$6)="","",INDEX($A:$U,ROW(),$C$6)))</f>
        <v/>
      </c>
      <c r="X964" s="32">
        <f>IF($W964="","",IF(ISNUMBER($W964),IF($W964&gt;=10000000,IFERROR(DATE(INT($W964/10000),MOD(INT($W964/100),100),MOD($W964,100)),""),INT($W964)),IFERROR(DATE(--LEFT(LEFT(SUBSTITUTE(SUBSTITUTE(SUBSTITUTE(SUBSTITUTE(TRIM($W964),"-",""),".",""),"/","")," ",""),8),4),--MID(LEFT(SUBSTITUTE(SUBSTITUTE(SUBSTITUTE(SUBSTITUTE(TRIM($W964),"-",""),".",""),"/","")," ",""),8),5,2),--MID(LEFT(SUBSTITUTE(SUBSTITUTE(SUBSTITUTE(SUBSTITUTE(TRIM($W964),"-",""),".",""),"/","")," ",""),8),7,2)),"")))</f>
        <v/>
      </c>
      <c r="Y964" s="32">
        <f>IF($X964="","",INT($X964))</f>
        <v/>
      </c>
      <c r="Z964" s="33">
        <f>IF(OR($Y964="",$D$6=""),"",IF(INDEX($A:$U,ROW(),$D$6)="",0,IF(ISNUMBER(INDEX($A:$U,ROW(),$D$6)),INDEX($A:$U,ROW(),$D$6),IFERROR(--SUBSTITUTE(SUBSTITUTE(TRIM(INDEX($A:$U,ROW(),$D$6)),",",""),"원",""),0))))</f>
        <v/>
      </c>
      <c r="AA964" s="31">
        <f>IF($Y964="","",TRIM(INDEX($A:$U,ROW(),$E$6)&amp;IF($F$6="",""," "&amp;INDEX($A:$U,ROW(),$F$6))))</f>
        <v/>
      </c>
      <c r="AB964" s="31">
        <f>IF($AA964="","",SUBSTITUTE(SUBSTITUTE(SUBSTITUTE(SUBSTITUTE(SUBSTITUTE(SUBSTITUTE(SUBSTITUTE(SUBSTITUTE(SUBSTITUTE($AA964," ",""),"　",""),"(주)",""),"（주）",""),"㈜",""),"주식회사",""),"(유)",""),"（유）",""),"유한회사",""))</f>
        <v/>
      </c>
      <c r="AC964" s="31">
        <f>IF(OR($Y964="",N($Z964)&lt;=0,$AB964=""),0,IFERROR(LOOKUP(2,1/((거래처별!$AC$8:$AC$307&lt;&gt;"")*ISNUMBER(SEARCH(거래처별!$AC$8:$AC$307,$AB964))),거래처별!$A$8:$A$307),IFERROR(LOOKUP(2,1/((거래처별!$AD$8:$AD$307&lt;&gt;"")*ISNUMBER(SEARCH(거래처별!$AD$8:$AD$307,$AB964))),거래처별!$A$8:$A$307),IFERROR(LOOKUP(2,1/((거래처별!$AE$8:$AE$307&lt;&gt;"")*ISNUMBER(SEARCH(거래처별!$AE$8:$AE$307,$AB964))),거래처별!$A$8:$A$307),0))))</f>
        <v/>
      </c>
      <c r="AD964" s="31">
        <f>IF(AND($Y964&lt;&gt;"",N($Z964)&gt;0,$AC964=0),MAX($AD$7:$AD963)+1,"")</f>
        <v/>
      </c>
      <c r="AE964" s="31">
        <f>IF($Y964="",0,$Y964)</f>
        <v/>
      </c>
    </row>
    <row r="965">
      <c r="W965" s="31">
        <f>IF(OR($B$5="",$C$6="",ROW()&lt;$B$5),"",IF(INDEX($A:$U,ROW(),$C$6)="","",INDEX($A:$U,ROW(),$C$6)))</f>
        <v/>
      </c>
      <c r="X965" s="32">
        <f>IF($W965="","",IF(ISNUMBER($W965),IF($W965&gt;=10000000,IFERROR(DATE(INT($W965/10000),MOD(INT($W965/100),100),MOD($W965,100)),""),INT($W965)),IFERROR(DATE(--LEFT(LEFT(SUBSTITUTE(SUBSTITUTE(SUBSTITUTE(SUBSTITUTE(TRIM($W965),"-",""),".",""),"/","")," ",""),8),4),--MID(LEFT(SUBSTITUTE(SUBSTITUTE(SUBSTITUTE(SUBSTITUTE(TRIM($W965),"-",""),".",""),"/","")," ",""),8),5,2),--MID(LEFT(SUBSTITUTE(SUBSTITUTE(SUBSTITUTE(SUBSTITUTE(TRIM($W965),"-",""),".",""),"/","")," ",""),8),7,2)),"")))</f>
        <v/>
      </c>
      <c r="Y965" s="32">
        <f>IF($X965="","",INT($X965))</f>
        <v/>
      </c>
      <c r="Z965" s="33">
        <f>IF(OR($Y965="",$D$6=""),"",IF(INDEX($A:$U,ROW(),$D$6)="",0,IF(ISNUMBER(INDEX($A:$U,ROW(),$D$6)),INDEX($A:$U,ROW(),$D$6),IFERROR(--SUBSTITUTE(SUBSTITUTE(TRIM(INDEX($A:$U,ROW(),$D$6)),",",""),"원",""),0))))</f>
        <v/>
      </c>
      <c r="AA965" s="31">
        <f>IF($Y965="","",TRIM(INDEX($A:$U,ROW(),$E$6)&amp;IF($F$6="",""," "&amp;INDEX($A:$U,ROW(),$F$6))))</f>
        <v/>
      </c>
      <c r="AB965" s="31">
        <f>IF($AA965="","",SUBSTITUTE(SUBSTITUTE(SUBSTITUTE(SUBSTITUTE(SUBSTITUTE(SUBSTITUTE(SUBSTITUTE(SUBSTITUTE(SUBSTITUTE($AA965," ",""),"　",""),"(주)",""),"（주）",""),"㈜",""),"주식회사",""),"(유)",""),"（유）",""),"유한회사",""))</f>
        <v/>
      </c>
      <c r="AC965" s="31">
        <f>IF(OR($Y965="",N($Z965)&lt;=0,$AB965=""),0,IFERROR(LOOKUP(2,1/((거래처별!$AC$8:$AC$307&lt;&gt;"")*ISNUMBER(SEARCH(거래처별!$AC$8:$AC$307,$AB965))),거래처별!$A$8:$A$307),IFERROR(LOOKUP(2,1/((거래처별!$AD$8:$AD$307&lt;&gt;"")*ISNUMBER(SEARCH(거래처별!$AD$8:$AD$307,$AB965))),거래처별!$A$8:$A$307),IFERROR(LOOKUP(2,1/((거래처별!$AE$8:$AE$307&lt;&gt;"")*ISNUMBER(SEARCH(거래처별!$AE$8:$AE$307,$AB965))),거래처별!$A$8:$A$307),0))))</f>
        <v/>
      </c>
      <c r="AD965" s="31">
        <f>IF(AND($Y965&lt;&gt;"",N($Z965)&gt;0,$AC965=0),MAX($AD$7:$AD964)+1,"")</f>
        <v/>
      </c>
      <c r="AE965" s="31">
        <f>IF($Y965="",0,$Y965)</f>
        <v/>
      </c>
    </row>
    <row r="966">
      <c r="W966" s="31">
        <f>IF(OR($B$5="",$C$6="",ROW()&lt;$B$5),"",IF(INDEX($A:$U,ROW(),$C$6)="","",INDEX($A:$U,ROW(),$C$6)))</f>
        <v/>
      </c>
      <c r="X966" s="32">
        <f>IF($W966="","",IF(ISNUMBER($W966),IF($W966&gt;=10000000,IFERROR(DATE(INT($W966/10000),MOD(INT($W966/100),100),MOD($W966,100)),""),INT($W966)),IFERROR(DATE(--LEFT(LEFT(SUBSTITUTE(SUBSTITUTE(SUBSTITUTE(SUBSTITUTE(TRIM($W966),"-",""),".",""),"/","")," ",""),8),4),--MID(LEFT(SUBSTITUTE(SUBSTITUTE(SUBSTITUTE(SUBSTITUTE(TRIM($W966),"-",""),".",""),"/","")," ",""),8),5,2),--MID(LEFT(SUBSTITUTE(SUBSTITUTE(SUBSTITUTE(SUBSTITUTE(TRIM($W966),"-",""),".",""),"/","")," ",""),8),7,2)),"")))</f>
        <v/>
      </c>
      <c r="Y966" s="32">
        <f>IF($X966="","",INT($X966))</f>
        <v/>
      </c>
      <c r="Z966" s="33">
        <f>IF(OR($Y966="",$D$6=""),"",IF(INDEX($A:$U,ROW(),$D$6)="",0,IF(ISNUMBER(INDEX($A:$U,ROW(),$D$6)),INDEX($A:$U,ROW(),$D$6),IFERROR(--SUBSTITUTE(SUBSTITUTE(TRIM(INDEX($A:$U,ROW(),$D$6)),",",""),"원",""),0))))</f>
        <v/>
      </c>
      <c r="AA966" s="31">
        <f>IF($Y966="","",TRIM(INDEX($A:$U,ROW(),$E$6)&amp;IF($F$6="",""," "&amp;INDEX($A:$U,ROW(),$F$6))))</f>
        <v/>
      </c>
      <c r="AB966" s="31">
        <f>IF($AA966="","",SUBSTITUTE(SUBSTITUTE(SUBSTITUTE(SUBSTITUTE(SUBSTITUTE(SUBSTITUTE(SUBSTITUTE(SUBSTITUTE(SUBSTITUTE($AA966," ",""),"　",""),"(주)",""),"（주）",""),"㈜",""),"주식회사",""),"(유)",""),"（유）",""),"유한회사",""))</f>
        <v/>
      </c>
      <c r="AC966" s="31">
        <f>IF(OR($Y966="",N($Z966)&lt;=0,$AB966=""),0,IFERROR(LOOKUP(2,1/((거래처별!$AC$8:$AC$307&lt;&gt;"")*ISNUMBER(SEARCH(거래처별!$AC$8:$AC$307,$AB966))),거래처별!$A$8:$A$307),IFERROR(LOOKUP(2,1/((거래처별!$AD$8:$AD$307&lt;&gt;"")*ISNUMBER(SEARCH(거래처별!$AD$8:$AD$307,$AB966))),거래처별!$A$8:$A$307),IFERROR(LOOKUP(2,1/((거래처별!$AE$8:$AE$307&lt;&gt;"")*ISNUMBER(SEARCH(거래처별!$AE$8:$AE$307,$AB966))),거래처별!$A$8:$A$307),0))))</f>
        <v/>
      </c>
      <c r="AD966" s="31">
        <f>IF(AND($Y966&lt;&gt;"",N($Z966)&gt;0,$AC966=0),MAX($AD$7:$AD965)+1,"")</f>
        <v/>
      </c>
      <c r="AE966" s="31">
        <f>IF($Y966="",0,$Y966)</f>
        <v/>
      </c>
    </row>
    <row r="967">
      <c r="W967" s="31">
        <f>IF(OR($B$5="",$C$6="",ROW()&lt;$B$5),"",IF(INDEX($A:$U,ROW(),$C$6)="","",INDEX($A:$U,ROW(),$C$6)))</f>
        <v/>
      </c>
      <c r="X967" s="32">
        <f>IF($W967="","",IF(ISNUMBER($W967),IF($W967&gt;=10000000,IFERROR(DATE(INT($W967/10000),MOD(INT($W967/100),100),MOD($W967,100)),""),INT($W967)),IFERROR(DATE(--LEFT(LEFT(SUBSTITUTE(SUBSTITUTE(SUBSTITUTE(SUBSTITUTE(TRIM($W967),"-",""),".",""),"/","")," ",""),8),4),--MID(LEFT(SUBSTITUTE(SUBSTITUTE(SUBSTITUTE(SUBSTITUTE(TRIM($W967),"-",""),".",""),"/","")," ",""),8),5,2),--MID(LEFT(SUBSTITUTE(SUBSTITUTE(SUBSTITUTE(SUBSTITUTE(TRIM($W967),"-",""),".",""),"/","")," ",""),8),7,2)),"")))</f>
        <v/>
      </c>
      <c r="Y967" s="32">
        <f>IF($X967="","",INT($X967))</f>
        <v/>
      </c>
      <c r="Z967" s="33">
        <f>IF(OR($Y967="",$D$6=""),"",IF(INDEX($A:$U,ROW(),$D$6)="",0,IF(ISNUMBER(INDEX($A:$U,ROW(),$D$6)),INDEX($A:$U,ROW(),$D$6),IFERROR(--SUBSTITUTE(SUBSTITUTE(TRIM(INDEX($A:$U,ROW(),$D$6)),",",""),"원",""),0))))</f>
        <v/>
      </c>
      <c r="AA967" s="31">
        <f>IF($Y967="","",TRIM(INDEX($A:$U,ROW(),$E$6)&amp;IF($F$6="",""," "&amp;INDEX($A:$U,ROW(),$F$6))))</f>
        <v/>
      </c>
      <c r="AB967" s="31">
        <f>IF($AA967="","",SUBSTITUTE(SUBSTITUTE(SUBSTITUTE(SUBSTITUTE(SUBSTITUTE(SUBSTITUTE(SUBSTITUTE(SUBSTITUTE(SUBSTITUTE($AA967," ",""),"　",""),"(주)",""),"（주）",""),"㈜",""),"주식회사",""),"(유)",""),"（유）",""),"유한회사",""))</f>
        <v/>
      </c>
      <c r="AC967" s="31">
        <f>IF(OR($Y967="",N($Z967)&lt;=0,$AB967=""),0,IFERROR(LOOKUP(2,1/((거래처별!$AC$8:$AC$307&lt;&gt;"")*ISNUMBER(SEARCH(거래처별!$AC$8:$AC$307,$AB967))),거래처별!$A$8:$A$307),IFERROR(LOOKUP(2,1/((거래처별!$AD$8:$AD$307&lt;&gt;"")*ISNUMBER(SEARCH(거래처별!$AD$8:$AD$307,$AB967))),거래처별!$A$8:$A$307),IFERROR(LOOKUP(2,1/((거래처별!$AE$8:$AE$307&lt;&gt;"")*ISNUMBER(SEARCH(거래처별!$AE$8:$AE$307,$AB967))),거래처별!$A$8:$A$307),0))))</f>
        <v/>
      </c>
      <c r="AD967" s="31">
        <f>IF(AND($Y967&lt;&gt;"",N($Z967)&gt;0,$AC967=0),MAX($AD$7:$AD966)+1,"")</f>
        <v/>
      </c>
      <c r="AE967" s="31">
        <f>IF($Y967="",0,$Y967)</f>
        <v/>
      </c>
    </row>
    <row r="968">
      <c r="W968" s="31">
        <f>IF(OR($B$5="",$C$6="",ROW()&lt;$B$5),"",IF(INDEX($A:$U,ROW(),$C$6)="","",INDEX($A:$U,ROW(),$C$6)))</f>
        <v/>
      </c>
      <c r="X968" s="32">
        <f>IF($W968="","",IF(ISNUMBER($W968),IF($W968&gt;=10000000,IFERROR(DATE(INT($W968/10000),MOD(INT($W968/100),100),MOD($W968,100)),""),INT($W968)),IFERROR(DATE(--LEFT(LEFT(SUBSTITUTE(SUBSTITUTE(SUBSTITUTE(SUBSTITUTE(TRIM($W968),"-",""),".",""),"/","")," ",""),8),4),--MID(LEFT(SUBSTITUTE(SUBSTITUTE(SUBSTITUTE(SUBSTITUTE(TRIM($W968),"-",""),".",""),"/","")," ",""),8),5,2),--MID(LEFT(SUBSTITUTE(SUBSTITUTE(SUBSTITUTE(SUBSTITUTE(TRIM($W968),"-",""),".",""),"/","")," ",""),8),7,2)),"")))</f>
        <v/>
      </c>
      <c r="Y968" s="32">
        <f>IF($X968="","",INT($X968))</f>
        <v/>
      </c>
      <c r="Z968" s="33">
        <f>IF(OR($Y968="",$D$6=""),"",IF(INDEX($A:$U,ROW(),$D$6)="",0,IF(ISNUMBER(INDEX($A:$U,ROW(),$D$6)),INDEX($A:$U,ROW(),$D$6),IFERROR(--SUBSTITUTE(SUBSTITUTE(TRIM(INDEX($A:$U,ROW(),$D$6)),",",""),"원",""),0))))</f>
        <v/>
      </c>
      <c r="AA968" s="31">
        <f>IF($Y968="","",TRIM(INDEX($A:$U,ROW(),$E$6)&amp;IF($F$6="",""," "&amp;INDEX($A:$U,ROW(),$F$6))))</f>
        <v/>
      </c>
      <c r="AB968" s="31">
        <f>IF($AA968="","",SUBSTITUTE(SUBSTITUTE(SUBSTITUTE(SUBSTITUTE(SUBSTITUTE(SUBSTITUTE(SUBSTITUTE(SUBSTITUTE(SUBSTITUTE($AA968," ",""),"　",""),"(주)",""),"（주）",""),"㈜",""),"주식회사",""),"(유)",""),"（유）",""),"유한회사",""))</f>
        <v/>
      </c>
      <c r="AC968" s="31">
        <f>IF(OR($Y968="",N($Z968)&lt;=0,$AB968=""),0,IFERROR(LOOKUP(2,1/((거래처별!$AC$8:$AC$307&lt;&gt;"")*ISNUMBER(SEARCH(거래처별!$AC$8:$AC$307,$AB968))),거래처별!$A$8:$A$307),IFERROR(LOOKUP(2,1/((거래처별!$AD$8:$AD$307&lt;&gt;"")*ISNUMBER(SEARCH(거래처별!$AD$8:$AD$307,$AB968))),거래처별!$A$8:$A$307),IFERROR(LOOKUP(2,1/((거래처별!$AE$8:$AE$307&lt;&gt;"")*ISNUMBER(SEARCH(거래처별!$AE$8:$AE$307,$AB968))),거래처별!$A$8:$A$307),0))))</f>
        <v/>
      </c>
      <c r="AD968" s="31">
        <f>IF(AND($Y968&lt;&gt;"",N($Z968)&gt;0,$AC968=0),MAX($AD$7:$AD967)+1,"")</f>
        <v/>
      </c>
      <c r="AE968" s="31">
        <f>IF($Y968="",0,$Y968)</f>
        <v/>
      </c>
    </row>
    <row r="969">
      <c r="W969" s="31">
        <f>IF(OR($B$5="",$C$6="",ROW()&lt;$B$5),"",IF(INDEX($A:$U,ROW(),$C$6)="","",INDEX($A:$U,ROW(),$C$6)))</f>
        <v/>
      </c>
      <c r="X969" s="32">
        <f>IF($W969="","",IF(ISNUMBER($W969),IF($W969&gt;=10000000,IFERROR(DATE(INT($W969/10000),MOD(INT($W969/100),100),MOD($W969,100)),""),INT($W969)),IFERROR(DATE(--LEFT(LEFT(SUBSTITUTE(SUBSTITUTE(SUBSTITUTE(SUBSTITUTE(TRIM($W969),"-",""),".",""),"/","")," ",""),8),4),--MID(LEFT(SUBSTITUTE(SUBSTITUTE(SUBSTITUTE(SUBSTITUTE(TRIM($W969),"-",""),".",""),"/","")," ",""),8),5,2),--MID(LEFT(SUBSTITUTE(SUBSTITUTE(SUBSTITUTE(SUBSTITUTE(TRIM($W969),"-",""),".",""),"/","")," ",""),8),7,2)),"")))</f>
        <v/>
      </c>
      <c r="Y969" s="32">
        <f>IF($X969="","",INT($X969))</f>
        <v/>
      </c>
      <c r="Z969" s="33">
        <f>IF(OR($Y969="",$D$6=""),"",IF(INDEX($A:$U,ROW(),$D$6)="",0,IF(ISNUMBER(INDEX($A:$U,ROW(),$D$6)),INDEX($A:$U,ROW(),$D$6),IFERROR(--SUBSTITUTE(SUBSTITUTE(TRIM(INDEX($A:$U,ROW(),$D$6)),",",""),"원",""),0))))</f>
        <v/>
      </c>
      <c r="AA969" s="31">
        <f>IF($Y969="","",TRIM(INDEX($A:$U,ROW(),$E$6)&amp;IF($F$6="",""," "&amp;INDEX($A:$U,ROW(),$F$6))))</f>
        <v/>
      </c>
      <c r="AB969" s="31">
        <f>IF($AA969="","",SUBSTITUTE(SUBSTITUTE(SUBSTITUTE(SUBSTITUTE(SUBSTITUTE(SUBSTITUTE(SUBSTITUTE(SUBSTITUTE(SUBSTITUTE($AA969," ",""),"　",""),"(주)",""),"（주）",""),"㈜",""),"주식회사",""),"(유)",""),"（유）",""),"유한회사",""))</f>
        <v/>
      </c>
      <c r="AC969" s="31">
        <f>IF(OR($Y969="",N($Z969)&lt;=0,$AB969=""),0,IFERROR(LOOKUP(2,1/((거래처별!$AC$8:$AC$307&lt;&gt;"")*ISNUMBER(SEARCH(거래처별!$AC$8:$AC$307,$AB969))),거래처별!$A$8:$A$307),IFERROR(LOOKUP(2,1/((거래처별!$AD$8:$AD$307&lt;&gt;"")*ISNUMBER(SEARCH(거래처별!$AD$8:$AD$307,$AB969))),거래처별!$A$8:$A$307),IFERROR(LOOKUP(2,1/((거래처별!$AE$8:$AE$307&lt;&gt;"")*ISNUMBER(SEARCH(거래처별!$AE$8:$AE$307,$AB969))),거래처별!$A$8:$A$307),0))))</f>
        <v/>
      </c>
      <c r="AD969" s="31">
        <f>IF(AND($Y969&lt;&gt;"",N($Z969)&gt;0,$AC969=0),MAX($AD$7:$AD968)+1,"")</f>
        <v/>
      </c>
      <c r="AE969" s="31">
        <f>IF($Y969="",0,$Y969)</f>
        <v/>
      </c>
    </row>
    <row r="970">
      <c r="W970" s="31">
        <f>IF(OR($B$5="",$C$6="",ROW()&lt;$B$5),"",IF(INDEX($A:$U,ROW(),$C$6)="","",INDEX($A:$U,ROW(),$C$6)))</f>
        <v/>
      </c>
      <c r="X970" s="32">
        <f>IF($W970="","",IF(ISNUMBER($W970),IF($W970&gt;=10000000,IFERROR(DATE(INT($W970/10000),MOD(INT($W970/100),100),MOD($W970,100)),""),INT($W970)),IFERROR(DATE(--LEFT(LEFT(SUBSTITUTE(SUBSTITUTE(SUBSTITUTE(SUBSTITUTE(TRIM($W970),"-",""),".",""),"/","")," ",""),8),4),--MID(LEFT(SUBSTITUTE(SUBSTITUTE(SUBSTITUTE(SUBSTITUTE(TRIM($W970),"-",""),".",""),"/","")," ",""),8),5,2),--MID(LEFT(SUBSTITUTE(SUBSTITUTE(SUBSTITUTE(SUBSTITUTE(TRIM($W970),"-",""),".",""),"/","")," ",""),8),7,2)),"")))</f>
        <v/>
      </c>
      <c r="Y970" s="32">
        <f>IF($X970="","",INT($X970))</f>
        <v/>
      </c>
      <c r="Z970" s="33">
        <f>IF(OR($Y970="",$D$6=""),"",IF(INDEX($A:$U,ROW(),$D$6)="",0,IF(ISNUMBER(INDEX($A:$U,ROW(),$D$6)),INDEX($A:$U,ROW(),$D$6),IFERROR(--SUBSTITUTE(SUBSTITUTE(TRIM(INDEX($A:$U,ROW(),$D$6)),",",""),"원",""),0))))</f>
        <v/>
      </c>
      <c r="AA970" s="31">
        <f>IF($Y970="","",TRIM(INDEX($A:$U,ROW(),$E$6)&amp;IF($F$6="",""," "&amp;INDEX($A:$U,ROW(),$F$6))))</f>
        <v/>
      </c>
      <c r="AB970" s="31">
        <f>IF($AA970="","",SUBSTITUTE(SUBSTITUTE(SUBSTITUTE(SUBSTITUTE(SUBSTITUTE(SUBSTITUTE(SUBSTITUTE(SUBSTITUTE(SUBSTITUTE($AA970," ",""),"　",""),"(주)",""),"（주）",""),"㈜",""),"주식회사",""),"(유)",""),"（유）",""),"유한회사",""))</f>
        <v/>
      </c>
      <c r="AC970" s="31">
        <f>IF(OR($Y970="",N($Z970)&lt;=0,$AB970=""),0,IFERROR(LOOKUP(2,1/((거래처별!$AC$8:$AC$307&lt;&gt;"")*ISNUMBER(SEARCH(거래처별!$AC$8:$AC$307,$AB970))),거래처별!$A$8:$A$307),IFERROR(LOOKUP(2,1/((거래처별!$AD$8:$AD$307&lt;&gt;"")*ISNUMBER(SEARCH(거래처별!$AD$8:$AD$307,$AB970))),거래처별!$A$8:$A$307),IFERROR(LOOKUP(2,1/((거래처별!$AE$8:$AE$307&lt;&gt;"")*ISNUMBER(SEARCH(거래처별!$AE$8:$AE$307,$AB970))),거래처별!$A$8:$A$307),0))))</f>
        <v/>
      </c>
      <c r="AD970" s="31">
        <f>IF(AND($Y970&lt;&gt;"",N($Z970)&gt;0,$AC970=0),MAX($AD$7:$AD969)+1,"")</f>
        <v/>
      </c>
      <c r="AE970" s="31">
        <f>IF($Y970="",0,$Y970)</f>
        <v/>
      </c>
    </row>
    <row r="971">
      <c r="W971" s="31">
        <f>IF(OR($B$5="",$C$6="",ROW()&lt;$B$5),"",IF(INDEX($A:$U,ROW(),$C$6)="","",INDEX($A:$U,ROW(),$C$6)))</f>
        <v/>
      </c>
      <c r="X971" s="32">
        <f>IF($W971="","",IF(ISNUMBER($W971),IF($W971&gt;=10000000,IFERROR(DATE(INT($W971/10000),MOD(INT($W971/100),100),MOD($W971,100)),""),INT($W971)),IFERROR(DATE(--LEFT(LEFT(SUBSTITUTE(SUBSTITUTE(SUBSTITUTE(SUBSTITUTE(TRIM($W971),"-",""),".",""),"/","")," ",""),8),4),--MID(LEFT(SUBSTITUTE(SUBSTITUTE(SUBSTITUTE(SUBSTITUTE(TRIM($W971),"-",""),".",""),"/","")," ",""),8),5,2),--MID(LEFT(SUBSTITUTE(SUBSTITUTE(SUBSTITUTE(SUBSTITUTE(TRIM($W971),"-",""),".",""),"/","")," ",""),8),7,2)),"")))</f>
        <v/>
      </c>
      <c r="Y971" s="32">
        <f>IF($X971="","",INT($X971))</f>
        <v/>
      </c>
      <c r="Z971" s="33">
        <f>IF(OR($Y971="",$D$6=""),"",IF(INDEX($A:$U,ROW(),$D$6)="",0,IF(ISNUMBER(INDEX($A:$U,ROW(),$D$6)),INDEX($A:$U,ROW(),$D$6),IFERROR(--SUBSTITUTE(SUBSTITUTE(TRIM(INDEX($A:$U,ROW(),$D$6)),",",""),"원",""),0))))</f>
        <v/>
      </c>
      <c r="AA971" s="31">
        <f>IF($Y971="","",TRIM(INDEX($A:$U,ROW(),$E$6)&amp;IF($F$6="",""," "&amp;INDEX($A:$U,ROW(),$F$6))))</f>
        <v/>
      </c>
      <c r="AB971" s="31">
        <f>IF($AA971="","",SUBSTITUTE(SUBSTITUTE(SUBSTITUTE(SUBSTITUTE(SUBSTITUTE(SUBSTITUTE(SUBSTITUTE(SUBSTITUTE(SUBSTITUTE($AA971," ",""),"　",""),"(주)",""),"（주）",""),"㈜",""),"주식회사",""),"(유)",""),"（유）",""),"유한회사",""))</f>
        <v/>
      </c>
      <c r="AC971" s="31">
        <f>IF(OR($Y971="",N($Z971)&lt;=0,$AB971=""),0,IFERROR(LOOKUP(2,1/((거래처별!$AC$8:$AC$307&lt;&gt;"")*ISNUMBER(SEARCH(거래처별!$AC$8:$AC$307,$AB971))),거래처별!$A$8:$A$307),IFERROR(LOOKUP(2,1/((거래처별!$AD$8:$AD$307&lt;&gt;"")*ISNUMBER(SEARCH(거래처별!$AD$8:$AD$307,$AB971))),거래처별!$A$8:$A$307),IFERROR(LOOKUP(2,1/((거래처별!$AE$8:$AE$307&lt;&gt;"")*ISNUMBER(SEARCH(거래처별!$AE$8:$AE$307,$AB971))),거래처별!$A$8:$A$307),0))))</f>
        <v/>
      </c>
      <c r="AD971" s="31">
        <f>IF(AND($Y971&lt;&gt;"",N($Z971)&gt;0,$AC971=0),MAX($AD$7:$AD970)+1,"")</f>
        <v/>
      </c>
      <c r="AE971" s="31">
        <f>IF($Y971="",0,$Y971)</f>
        <v/>
      </c>
    </row>
    <row r="972">
      <c r="W972" s="31">
        <f>IF(OR($B$5="",$C$6="",ROW()&lt;$B$5),"",IF(INDEX($A:$U,ROW(),$C$6)="","",INDEX($A:$U,ROW(),$C$6)))</f>
        <v/>
      </c>
      <c r="X972" s="32">
        <f>IF($W972="","",IF(ISNUMBER($W972),IF($W972&gt;=10000000,IFERROR(DATE(INT($W972/10000),MOD(INT($W972/100),100),MOD($W972,100)),""),INT($W972)),IFERROR(DATE(--LEFT(LEFT(SUBSTITUTE(SUBSTITUTE(SUBSTITUTE(SUBSTITUTE(TRIM($W972),"-",""),".",""),"/","")," ",""),8),4),--MID(LEFT(SUBSTITUTE(SUBSTITUTE(SUBSTITUTE(SUBSTITUTE(TRIM($W972),"-",""),".",""),"/","")," ",""),8),5,2),--MID(LEFT(SUBSTITUTE(SUBSTITUTE(SUBSTITUTE(SUBSTITUTE(TRIM($W972),"-",""),".",""),"/","")," ",""),8),7,2)),"")))</f>
        <v/>
      </c>
      <c r="Y972" s="32">
        <f>IF($X972="","",INT($X972))</f>
        <v/>
      </c>
      <c r="Z972" s="33">
        <f>IF(OR($Y972="",$D$6=""),"",IF(INDEX($A:$U,ROW(),$D$6)="",0,IF(ISNUMBER(INDEX($A:$U,ROW(),$D$6)),INDEX($A:$U,ROW(),$D$6),IFERROR(--SUBSTITUTE(SUBSTITUTE(TRIM(INDEX($A:$U,ROW(),$D$6)),",",""),"원",""),0))))</f>
        <v/>
      </c>
      <c r="AA972" s="31">
        <f>IF($Y972="","",TRIM(INDEX($A:$U,ROW(),$E$6)&amp;IF($F$6="",""," "&amp;INDEX($A:$U,ROW(),$F$6))))</f>
        <v/>
      </c>
      <c r="AB972" s="31">
        <f>IF($AA972="","",SUBSTITUTE(SUBSTITUTE(SUBSTITUTE(SUBSTITUTE(SUBSTITUTE(SUBSTITUTE(SUBSTITUTE(SUBSTITUTE(SUBSTITUTE($AA972," ",""),"　",""),"(주)",""),"（주）",""),"㈜",""),"주식회사",""),"(유)",""),"（유）",""),"유한회사",""))</f>
        <v/>
      </c>
      <c r="AC972" s="31">
        <f>IF(OR($Y972="",N($Z972)&lt;=0,$AB972=""),0,IFERROR(LOOKUP(2,1/((거래처별!$AC$8:$AC$307&lt;&gt;"")*ISNUMBER(SEARCH(거래처별!$AC$8:$AC$307,$AB972))),거래처별!$A$8:$A$307),IFERROR(LOOKUP(2,1/((거래처별!$AD$8:$AD$307&lt;&gt;"")*ISNUMBER(SEARCH(거래처별!$AD$8:$AD$307,$AB972))),거래처별!$A$8:$A$307),IFERROR(LOOKUP(2,1/((거래처별!$AE$8:$AE$307&lt;&gt;"")*ISNUMBER(SEARCH(거래처별!$AE$8:$AE$307,$AB972))),거래처별!$A$8:$A$307),0))))</f>
        <v/>
      </c>
      <c r="AD972" s="31">
        <f>IF(AND($Y972&lt;&gt;"",N($Z972)&gt;0,$AC972=0),MAX($AD$7:$AD971)+1,"")</f>
        <v/>
      </c>
      <c r="AE972" s="31">
        <f>IF($Y972="",0,$Y972)</f>
        <v/>
      </c>
    </row>
    <row r="973">
      <c r="W973" s="31">
        <f>IF(OR($B$5="",$C$6="",ROW()&lt;$B$5),"",IF(INDEX($A:$U,ROW(),$C$6)="","",INDEX($A:$U,ROW(),$C$6)))</f>
        <v/>
      </c>
      <c r="X973" s="32">
        <f>IF($W973="","",IF(ISNUMBER($W973),IF($W973&gt;=10000000,IFERROR(DATE(INT($W973/10000),MOD(INT($W973/100),100),MOD($W973,100)),""),INT($W973)),IFERROR(DATE(--LEFT(LEFT(SUBSTITUTE(SUBSTITUTE(SUBSTITUTE(SUBSTITUTE(TRIM($W973),"-",""),".",""),"/","")," ",""),8),4),--MID(LEFT(SUBSTITUTE(SUBSTITUTE(SUBSTITUTE(SUBSTITUTE(TRIM($W973),"-",""),".",""),"/","")," ",""),8),5,2),--MID(LEFT(SUBSTITUTE(SUBSTITUTE(SUBSTITUTE(SUBSTITUTE(TRIM($W973),"-",""),".",""),"/","")," ",""),8),7,2)),"")))</f>
        <v/>
      </c>
      <c r="Y973" s="32">
        <f>IF($X973="","",INT($X973))</f>
        <v/>
      </c>
      <c r="Z973" s="33">
        <f>IF(OR($Y973="",$D$6=""),"",IF(INDEX($A:$U,ROW(),$D$6)="",0,IF(ISNUMBER(INDEX($A:$U,ROW(),$D$6)),INDEX($A:$U,ROW(),$D$6),IFERROR(--SUBSTITUTE(SUBSTITUTE(TRIM(INDEX($A:$U,ROW(),$D$6)),",",""),"원",""),0))))</f>
        <v/>
      </c>
      <c r="AA973" s="31">
        <f>IF($Y973="","",TRIM(INDEX($A:$U,ROW(),$E$6)&amp;IF($F$6="",""," "&amp;INDEX($A:$U,ROW(),$F$6))))</f>
        <v/>
      </c>
      <c r="AB973" s="31">
        <f>IF($AA973="","",SUBSTITUTE(SUBSTITUTE(SUBSTITUTE(SUBSTITUTE(SUBSTITUTE(SUBSTITUTE(SUBSTITUTE(SUBSTITUTE(SUBSTITUTE($AA973," ",""),"　",""),"(주)",""),"（주）",""),"㈜",""),"주식회사",""),"(유)",""),"（유）",""),"유한회사",""))</f>
        <v/>
      </c>
      <c r="AC973" s="31">
        <f>IF(OR($Y973="",N($Z973)&lt;=0,$AB973=""),0,IFERROR(LOOKUP(2,1/((거래처별!$AC$8:$AC$307&lt;&gt;"")*ISNUMBER(SEARCH(거래처별!$AC$8:$AC$307,$AB973))),거래처별!$A$8:$A$307),IFERROR(LOOKUP(2,1/((거래처별!$AD$8:$AD$307&lt;&gt;"")*ISNUMBER(SEARCH(거래처별!$AD$8:$AD$307,$AB973))),거래처별!$A$8:$A$307),IFERROR(LOOKUP(2,1/((거래처별!$AE$8:$AE$307&lt;&gt;"")*ISNUMBER(SEARCH(거래처별!$AE$8:$AE$307,$AB973))),거래처별!$A$8:$A$307),0))))</f>
        <v/>
      </c>
      <c r="AD973" s="31">
        <f>IF(AND($Y973&lt;&gt;"",N($Z973)&gt;0,$AC973=0),MAX($AD$7:$AD972)+1,"")</f>
        <v/>
      </c>
      <c r="AE973" s="31">
        <f>IF($Y973="",0,$Y973)</f>
        <v/>
      </c>
    </row>
    <row r="974">
      <c r="W974" s="31">
        <f>IF(OR($B$5="",$C$6="",ROW()&lt;$B$5),"",IF(INDEX($A:$U,ROW(),$C$6)="","",INDEX($A:$U,ROW(),$C$6)))</f>
        <v/>
      </c>
      <c r="X974" s="32">
        <f>IF($W974="","",IF(ISNUMBER($W974),IF($W974&gt;=10000000,IFERROR(DATE(INT($W974/10000),MOD(INT($W974/100),100),MOD($W974,100)),""),INT($W974)),IFERROR(DATE(--LEFT(LEFT(SUBSTITUTE(SUBSTITUTE(SUBSTITUTE(SUBSTITUTE(TRIM($W974),"-",""),".",""),"/","")," ",""),8),4),--MID(LEFT(SUBSTITUTE(SUBSTITUTE(SUBSTITUTE(SUBSTITUTE(TRIM($W974),"-",""),".",""),"/","")," ",""),8),5,2),--MID(LEFT(SUBSTITUTE(SUBSTITUTE(SUBSTITUTE(SUBSTITUTE(TRIM($W974),"-",""),".",""),"/","")," ",""),8),7,2)),"")))</f>
        <v/>
      </c>
      <c r="Y974" s="32">
        <f>IF($X974="","",INT($X974))</f>
        <v/>
      </c>
      <c r="Z974" s="33">
        <f>IF(OR($Y974="",$D$6=""),"",IF(INDEX($A:$U,ROW(),$D$6)="",0,IF(ISNUMBER(INDEX($A:$U,ROW(),$D$6)),INDEX($A:$U,ROW(),$D$6),IFERROR(--SUBSTITUTE(SUBSTITUTE(TRIM(INDEX($A:$U,ROW(),$D$6)),",",""),"원",""),0))))</f>
        <v/>
      </c>
      <c r="AA974" s="31">
        <f>IF($Y974="","",TRIM(INDEX($A:$U,ROW(),$E$6)&amp;IF($F$6="",""," "&amp;INDEX($A:$U,ROW(),$F$6))))</f>
        <v/>
      </c>
      <c r="AB974" s="31">
        <f>IF($AA974="","",SUBSTITUTE(SUBSTITUTE(SUBSTITUTE(SUBSTITUTE(SUBSTITUTE(SUBSTITUTE(SUBSTITUTE(SUBSTITUTE(SUBSTITUTE($AA974," ",""),"　",""),"(주)",""),"（주）",""),"㈜",""),"주식회사",""),"(유)",""),"（유）",""),"유한회사",""))</f>
        <v/>
      </c>
      <c r="AC974" s="31">
        <f>IF(OR($Y974="",N($Z974)&lt;=0,$AB974=""),0,IFERROR(LOOKUP(2,1/((거래처별!$AC$8:$AC$307&lt;&gt;"")*ISNUMBER(SEARCH(거래처별!$AC$8:$AC$307,$AB974))),거래처별!$A$8:$A$307),IFERROR(LOOKUP(2,1/((거래처별!$AD$8:$AD$307&lt;&gt;"")*ISNUMBER(SEARCH(거래처별!$AD$8:$AD$307,$AB974))),거래처별!$A$8:$A$307),IFERROR(LOOKUP(2,1/((거래처별!$AE$8:$AE$307&lt;&gt;"")*ISNUMBER(SEARCH(거래처별!$AE$8:$AE$307,$AB974))),거래처별!$A$8:$A$307),0))))</f>
        <v/>
      </c>
      <c r="AD974" s="31">
        <f>IF(AND($Y974&lt;&gt;"",N($Z974)&gt;0,$AC974=0),MAX($AD$7:$AD973)+1,"")</f>
        <v/>
      </c>
      <c r="AE974" s="31">
        <f>IF($Y974="",0,$Y974)</f>
        <v/>
      </c>
    </row>
    <row r="975">
      <c r="W975" s="31">
        <f>IF(OR($B$5="",$C$6="",ROW()&lt;$B$5),"",IF(INDEX($A:$U,ROW(),$C$6)="","",INDEX($A:$U,ROW(),$C$6)))</f>
        <v/>
      </c>
      <c r="X975" s="32">
        <f>IF($W975="","",IF(ISNUMBER($W975),IF($W975&gt;=10000000,IFERROR(DATE(INT($W975/10000),MOD(INT($W975/100),100),MOD($W975,100)),""),INT($W975)),IFERROR(DATE(--LEFT(LEFT(SUBSTITUTE(SUBSTITUTE(SUBSTITUTE(SUBSTITUTE(TRIM($W975),"-",""),".",""),"/","")," ",""),8),4),--MID(LEFT(SUBSTITUTE(SUBSTITUTE(SUBSTITUTE(SUBSTITUTE(TRIM($W975),"-",""),".",""),"/","")," ",""),8),5,2),--MID(LEFT(SUBSTITUTE(SUBSTITUTE(SUBSTITUTE(SUBSTITUTE(TRIM($W975),"-",""),".",""),"/","")," ",""),8),7,2)),"")))</f>
        <v/>
      </c>
      <c r="Y975" s="32">
        <f>IF($X975="","",INT($X975))</f>
        <v/>
      </c>
      <c r="Z975" s="33">
        <f>IF(OR($Y975="",$D$6=""),"",IF(INDEX($A:$U,ROW(),$D$6)="",0,IF(ISNUMBER(INDEX($A:$U,ROW(),$D$6)),INDEX($A:$U,ROW(),$D$6),IFERROR(--SUBSTITUTE(SUBSTITUTE(TRIM(INDEX($A:$U,ROW(),$D$6)),",",""),"원",""),0))))</f>
        <v/>
      </c>
      <c r="AA975" s="31">
        <f>IF($Y975="","",TRIM(INDEX($A:$U,ROW(),$E$6)&amp;IF($F$6="",""," "&amp;INDEX($A:$U,ROW(),$F$6))))</f>
        <v/>
      </c>
      <c r="AB975" s="31">
        <f>IF($AA975="","",SUBSTITUTE(SUBSTITUTE(SUBSTITUTE(SUBSTITUTE(SUBSTITUTE(SUBSTITUTE(SUBSTITUTE(SUBSTITUTE(SUBSTITUTE($AA975," ",""),"　",""),"(주)",""),"（주）",""),"㈜",""),"주식회사",""),"(유)",""),"（유）",""),"유한회사",""))</f>
        <v/>
      </c>
      <c r="AC975" s="31">
        <f>IF(OR($Y975="",N($Z975)&lt;=0,$AB975=""),0,IFERROR(LOOKUP(2,1/((거래처별!$AC$8:$AC$307&lt;&gt;"")*ISNUMBER(SEARCH(거래처별!$AC$8:$AC$307,$AB975))),거래처별!$A$8:$A$307),IFERROR(LOOKUP(2,1/((거래처별!$AD$8:$AD$307&lt;&gt;"")*ISNUMBER(SEARCH(거래처별!$AD$8:$AD$307,$AB975))),거래처별!$A$8:$A$307),IFERROR(LOOKUP(2,1/((거래처별!$AE$8:$AE$307&lt;&gt;"")*ISNUMBER(SEARCH(거래처별!$AE$8:$AE$307,$AB975))),거래처별!$A$8:$A$307),0))))</f>
        <v/>
      </c>
      <c r="AD975" s="31">
        <f>IF(AND($Y975&lt;&gt;"",N($Z975)&gt;0,$AC975=0),MAX($AD$7:$AD974)+1,"")</f>
        <v/>
      </c>
      <c r="AE975" s="31">
        <f>IF($Y975="",0,$Y975)</f>
        <v/>
      </c>
    </row>
    <row r="976">
      <c r="W976" s="31">
        <f>IF(OR($B$5="",$C$6="",ROW()&lt;$B$5),"",IF(INDEX($A:$U,ROW(),$C$6)="","",INDEX($A:$U,ROW(),$C$6)))</f>
        <v/>
      </c>
      <c r="X976" s="32">
        <f>IF($W976="","",IF(ISNUMBER($W976),IF($W976&gt;=10000000,IFERROR(DATE(INT($W976/10000),MOD(INT($W976/100),100),MOD($W976,100)),""),INT($W976)),IFERROR(DATE(--LEFT(LEFT(SUBSTITUTE(SUBSTITUTE(SUBSTITUTE(SUBSTITUTE(TRIM($W976),"-",""),".",""),"/","")," ",""),8),4),--MID(LEFT(SUBSTITUTE(SUBSTITUTE(SUBSTITUTE(SUBSTITUTE(TRIM($W976),"-",""),".",""),"/","")," ",""),8),5,2),--MID(LEFT(SUBSTITUTE(SUBSTITUTE(SUBSTITUTE(SUBSTITUTE(TRIM($W976),"-",""),".",""),"/","")," ",""),8),7,2)),"")))</f>
        <v/>
      </c>
      <c r="Y976" s="32">
        <f>IF($X976="","",INT($X976))</f>
        <v/>
      </c>
      <c r="Z976" s="33">
        <f>IF(OR($Y976="",$D$6=""),"",IF(INDEX($A:$U,ROW(),$D$6)="",0,IF(ISNUMBER(INDEX($A:$U,ROW(),$D$6)),INDEX($A:$U,ROW(),$D$6),IFERROR(--SUBSTITUTE(SUBSTITUTE(TRIM(INDEX($A:$U,ROW(),$D$6)),",",""),"원",""),0))))</f>
        <v/>
      </c>
      <c r="AA976" s="31">
        <f>IF($Y976="","",TRIM(INDEX($A:$U,ROW(),$E$6)&amp;IF($F$6="",""," "&amp;INDEX($A:$U,ROW(),$F$6))))</f>
        <v/>
      </c>
      <c r="AB976" s="31">
        <f>IF($AA976="","",SUBSTITUTE(SUBSTITUTE(SUBSTITUTE(SUBSTITUTE(SUBSTITUTE(SUBSTITUTE(SUBSTITUTE(SUBSTITUTE(SUBSTITUTE($AA976," ",""),"　",""),"(주)",""),"（주）",""),"㈜",""),"주식회사",""),"(유)",""),"（유）",""),"유한회사",""))</f>
        <v/>
      </c>
      <c r="AC976" s="31">
        <f>IF(OR($Y976="",N($Z976)&lt;=0,$AB976=""),0,IFERROR(LOOKUP(2,1/((거래처별!$AC$8:$AC$307&lt;&gt;"")*ISNUMBER(SEARCH(거래처별!$AC$8:$AC$307,$AB976))),거래처별!$A$8:$A$307),IFERROR(LOOKUP(2,1/((거래처별!$AD$8:$AD$307&lt;&gt;"")*ISNUMBER(SEARCH(거래처별!$AD$8:$AD$307,$AB976))),거래처별!$A$8:$A$307),IFERROR(LOOKUP(2,1/((거래처별!$AE$8:$AE$307&lt;&gt;"")*ISNUMBER(SEARCH(거래처별!$AE$8:$AE$307,$AB976))),거래처별!$A$8:$A$307),0))))</f>
        <v/>
      </c>
      <c r="AD976" s="31">
        <f>IF(AND($Y976&lt;&gt;"",N($Z976)&gt;0,$AC976=0),MAX($AD$7:$AD975)+1,"")</f>
        <v/>
      </c>
      <c r="AE976" s="31">
        <f>IF($Y976="",0,$Y976)</f>
        <v/>
      </c>
    </row>
    <row r="977">
      <c r="W977" s="31">
        <f>IF(OR($B$5="",$C$6="",ROW()&lt;$B$5),"",IF(INDEX($A:$U,ROW(),$C$6)="","",INDEX($A:$U,ROW(),$C$6)))</f>
        <v/>
      </c>
      <c r="X977" s="32">
        <f>IF($W977="","",IF(ISNUMBER($W977),IF($W977&gt;=10000000,IFERROR(DATE(INT($W977/10000),MOD(INT($W977/100),100),MOD($W977,100)),""),INT($W977)),IFERROR(DATE(--LEFT(LEFT(SUBSTITUTE(SUBSTITUTE(SUBSTITUTE(SUBSTITUTE(TRIM($W977),"-",""),".",""),"/","")," ",""),8),4),--MID(LEFT(SUBSTITUTE(SUBSTITUTE(SUBSTITUTE(SUBSTITUTE(TRIM($W977),"-",""),".",""),"/","")," ",""),8),5,2),--MID(LEFT(SUBSTITUTE(SUBSTITUTE(SUBSTITUTE(SUBSTITUTE(TRIM($W977),"-",""),".",""),"/","")," ",""),8),7,2)),"")))</f>
        <v/>
      </c>
      <c r="Y977" s="32">
        <f>IF($X977="","",INT($X977))</f>
        <v/>
      </c>
      <c r="Z977" s="33">
        <f>IF(OR($Y977="",$D$6=""),"",IF(INDEX($A:$U,ROW(),$D$6)="",0,IF(ISNUMBER(INDEX($A:$U,ROW(),$D$6)),INDEX($A:$U,ROW(),$D$6),IFERROR(--SUBSTITUTE(SUBSTITUTE(TRIM(INDEX($A:$U,ROW(),$D$6)),",",""),"원",""),0))))</f>
        <v/>
      </c>
      <c r="AA977" s="31">
        <f>IF($Y977="","",TRIM(INDEX($A:$U,ROW(),$E$6)&amp;IF($F$6="",""," "&amp;INDEX($A:$U,ROW(),$F$6))))</f>
        <v/>
      </c>
      <c r="AB977" s="31">
        <f>IF($AA977="","",SUBSTITUTE(SUBSTITUTE(SUBSTITUTE(SUBSTITUTE(SUBSTITUTE(SUBSTITUTE(SUBSTITUTE(SUBSTITUTE(SUBSTITUTE($AA977," ",""),"　",""),"(주)",""),"（주）",""),"㈜",""),"주식회사",""),"(유)",""),"（유）",""),"유한회사",""))</f>
        <v/>
      </c>
      <c r="AC977" s="31">
        <f>IF(OR($Y977="",N($Z977)&lt;=0,$AB977=""),0,IFERROR(LOOKUP(2,1/((거래처별!$AC$8:$AC$307&lt;&gt;"")*ISNUMBER(SEARCH(거래처별!$AC$8:$AC$307,$AB977))),거래처별!$A$8:$A$307),IFERROR(LOOKUP(2,1/((거래처별!$AD$8:$AD$307&lt;&gt;"")*ISNUMBER(SEARCH(거래처별!$AD$8:$AD$307,$AB977))),거래처별!$A$8:$A$307),IFERROR(LOOKUP(2,1/((거래처별!$AE$8:$AE$307&lt;&gt;"")*ISNUMBER(SEARCH(거래처별!$AE$8:$AE$307,$AB977))),거래처별!$A$8:$A$307),0))))</f>
        <v/>
      </c>
      <c r="AD977" s="31">
        <f>IF(AND($Y977&lt;&gt;"",N($Z977)&gt;0,$AC977=0),MAX($AD$7:$AD976)+1,"")</f>
        <v/>
      </c>
      <c r="AE977" s="31">
        <f>IF($Y977="",0,$Y977)</f>
        <v/>
      </c>
    </row>
    <row r="978">
      <c r="W978" s="31">
        <f>IF(OR($B$5="",$C$6="",ROW()&lt;$B$5),"",IF(INDEX($A:$U,ROW(),$C$6)="","",INDEX($A:$U,ROW(),$C$6)))</f>
        <v/>
      </c>
      <c r="X978" s="32">
        <f>IF($W978="","",IF(ISNUMBER($W978),IF($W978&gt;=10000000,IFERROR(DATE(INT($W978/10000),MOD(INT($W978/100),100),MOD($W978,100)),""),INT($W978)),IFERROR(DATE(--LEFT(LEFT(SUBSTITUTE(SUBSTITUTE(SUBSTITUTE(SUBSTITUTE(TRIM($W978),"-",""),".",""),"/","")," ",""),8),4),--MID(LEFT(SUBSTITUTE(SUBSTITUTE(SUBSTITUTE(SUBSTITUTE(TRIM($W978),"-",""),".",""),"/","")," ",""),8),5,2),--MID(LEFT(SUBSTITUTE(SUBSTITUTE(SUBSTITUTE(SUBSTITUTE(TRIM($W978),"-",""),".",""),"/","")," ",""),8),7,2)),"")))</f>
        <v/>
      </c>
      <c r="Y978" s="32">
        <f>IF($X978="","",INT($X978))</f>
        <v/>
      </c>
      <c r="Z978" s="33">
        <f>IF(OR($Y978="",$D$6=""),"",IF(INDEX($A:$U,ROW(),$D$6)="",0,IF(ISNUMBER(INDEX($A:$U,ROW(),$D$6)),INDEX($A:$U,ROW(),$D$6),IFERROR(--SUBSTITUTE(SUBSTITUTE(TRIM(INDEX($A:$U,ROW(),$D$6)),",",""),"원",""),0))))</f>
        <v/>
      </c>
      <c r="AA978" s="31">
        <f>IF($Y978="","",TRIM(INDEX($A:$U,ROW(),$E$6)&amp;IF($F$6="",""," "&amp;INDEX($A:$U,ROW(),$F$6))))</f>
        <v/>
      </c>
      <c r="AB978" s="31">
        <f>IF($AA978="","",SUBSTITUTE(SUBSTITUTE(SUBSTITUTE(SUBSTITUTE(SUBSTITUTE(SUBSTITUTE(SUBSTITUTE(SUBSTITUTE(SUBSTITUTE($AA978," ",""),"　",""),"(주)",""),"（주）",""),"㈜",""),"주식회사",""),"(유)",""),"（유）",""),"유한회사",""))</f>
        <v/>
      </c>
      <c r="AC978" s="31">
        <f>IF(OR($Y978="",N($Z978)&lt;=0,$AB978=""),0,IFERROR(LOOKUP(2,1/((거래처별!$AC$8:$AC$307&lt;&gt;"")*ISNUMBER(SEARCH(거래처별!$AC$8:$AC$307,$AB978))),거래처별!$A$8:$A$307),IFERROR(LOOKUP(2,1/((거래처별!$AD$8:$AD$307&lt;&gt;"")*ISNUMBER(SEARCH(거래처별!$AD$8:$AD$307,$AB978))),거래처별!$A$8:$A$307),IFERROR(LOOKUP(2,1/((거래처별!$AE$8:$AE$307&lt;&gt;"")*ISNUMBER(SEARCH(거래처별!$AE$8:$AE$307,$AB978))),거래처별!$A$8:$A$307),0))))</f>
        <v/>
      </c>
      <c r="AD978" s="31">
        <f>IF(AND($Y978&lt;&gt;"",N($Z978)&gt;0,$AC978=0),MAX($AD$7:$AD977)+1,"")</f>
        <v/>
      </c>
      <c r="AE978" s="31">
        <f>IF($Y978="",0,$Y978)</f>
        <v/>
      </c>
    </row>
    <row r="979">
      <c r="W979" s="31">
        <f>IF(OR($B$5="",$C$6="",ROW()&lt;$B$5),"",IF(INDEX($A:$U,ROW(),$C$6)="","",INDEX($A:$U,ROW(),$C$6)))</f>
        <v/>
      </c>
      <c r="X979" s="32">
        <f>IF($W979="","",IF(ISNUMBER($W979),IF($W979&gt;=10000000,IFERROR(DATE(INT($W979/10000),MOD(INT($W979/100),100),MOD($W979,100)),""),INT($W979)),IFERROR(DATE(--LEFT(LEFT(SUBSTITUTE(SUBSTITUTE(SUBSTITUTE(SUBSTITUTE(TRIM($W979),"-",""),".",""),"/","")," ",""),8),4),--MID(LEFT(SUBSTITUTE(SUBSTITUTE(SUBSTITUTE(SUBSTITUTE(TRIM($W979),"-",""),".",""),"/","")," ",""),8),5,2),--MID(LEFT(SUBSTITUTE(SUBSTITUTE(SUBSTITUTE(SUBSTITUTE(TRIM($W979),"-",""),".",""),"/","")," ",""),8),7,2)),"")))</f>
        <v/>
      </c>
      <c r="Y979" s="32">
        <f>IF($X979="","",INT($X979))</f>
        <v/>
      </c>
      <c r="Z979" s="33">
        <f>IF(OR($Y979="",$D$6=""),"",IF(INDEX($A:$U,ROW(),$D$6)="",0,IF(ISNUMBER(INDEX($A:$U,ROW(),$D$6)),INDEX($A:$U,ROW(),$D$6),IFERROR(--SUBSTITUTE(SUBSTITUTE(TRIM(INDEX($A:$U,ROW(),$D$6)),",",""),"원",""),0))))</f>
        <v/>
      </c>
      <c r="AA979" s="31">
        <f>IF($Y979="","",TRIM(INDEX($A:$U,ROW(),$E$6)&amp;IF($F$6="",""," "&amp;INDEX($A:$U,ROW(),$F$6))))</f>
        <v/>
      </c>
      <c r="AB979" s="31">
        <f>IF($AA979="","",SUBSTITUTE(SUBSTITUTE(SUBSTITUTE(SUBSTITUTE(SUBSTITUTE(SUBSTITUTE(SUBSTITUTE(SUBSTITUTE(SUBSTITUTE($AA979," ",""),"　",""),"(주)",""),"（주）",""),"㈜",""),"주식회사",""),"(유)",""),"（유）",""),"유한회사",""))</f>
        <v/>
      </c>
      <c r="AC979" s="31">
        <f>IF(OR($Y979="",N($Z979)&lt;=0,$AB979=""),0,IFERROR(LOOKUP(2,1/((거래처별!$AC$8:$AC$307&lt;&gt;"")*ISNUMBER(SEARCH(거래처별!$AC$8:$AC$307,$AB979))),거래처별!$A$8:$A$307),IFERROR(LOOKUP(2,1/((거래처별!$AD$8:$AD$307&lt;&gt;"")*ISNUMBER(SEARCH(거래처별!$AD$8:$AD$307,$AB979))),거래처별!$A$8:$A$307),IFERROR(LOOKUP(2,1/((거래처별!$AE$8:$AE$307&lt;&gt;"")*ISNUMBER(SEARCH(거래처별!$AE$8:$AE$307,$AB979))),거래처별!$A$8:$A$307),0))))</f>
        <v/>
      </c>
      <c r="AD979" s="31">
        <f>IF(AND($Y979&lt;&gt;"",N($Z979)&gt;0,$AC979=0),MAX($AD$7:$AD978)+1,"")</f>
        <v/>
      </c>
      <c r="AE979" s="31">
        <f>IF($Y979="",0,$Y979)</f>
        <v/>
      </c>
    </row>
    <row r="980">
      <c r="W980" s="31">
        <f>IF(OR($B$5="",$C$6="",ROW()&lt;$B$5),"",IF(INDEX($A:$U,ROW(),$C$6)="","",INDEX($A:$U,ROW(),$C$6)))</f>
        <v/>
      </c>
      <c r="X980" s="32">
        <f>IF($W980="","",IF(ISNUMBER($W980),IF($W980&gt;=10000000,IFERROR(DATE(INT($W980/10000),MOD(INT($W980/100),100),MOD($W980,100)),""),INT($W980)),IFERROR(DATE(--LEFT(LEFT(SUBSTITUTE(SUBSTITUTE(SUBSTITUTE(SUBSTITUTE(TRIM($W980),"-",""),".",""),"/","")," ",""),8),4),--MID(LEFT(SUBSTITUTE(SUBSTITUTE(SUBSTITUTE(SUBSTITUTE(TRIM($W980),"-",""),".",""),"/","")," ",""),8),5,2),--MID(LEFT(SUBSTITUTE(SUBSTITUTE(SUBSTITUTE(SUBSTITUTE(TRIM($W980),"-",""),".",""),"/","")," ",""),8),7,2)),"")))</f>
        <v/>
      </c>
      <c r="Y980" s="32">
        <f>IF($X980="","",INT($X980))</f>
        <v/>
      </c>
      <c r="Z980" s="33">
        <f>IF(OR($Y980="",$D$6=""),"",IF(INDEX($A:$U,ROW(),$D$6)="",0,IF(ISNUMBER(INDEX($A:$U,ROW(),$D$6)),INDEX($A:$U,ROW(),$D$6),IFERROR(--SUBSTITUTE(SUBSTITUTE(TRIM(INDEX($A:$U,ROW(),$D$6)),",",""),"원",""),0))))</f>
        <v/>
      </c>
      <c r="AA980" s="31">
        <f>IF($Y980="","",TRIM(INDEX($A:$U,ROW(),$E$6)&amp;IF($F$6="",""," "&amp;INDEX($A:$U,ROW(),$F$6))))</f>
        <v/>
      </c>
      <c r="AB980" s="31">
        <f>IF($AA980="","",SUBSTITUTE(SUBSTITUTE(SUBSTITUTE(SUBSTITUTE(SUBSTITUTE(SUBSTITUTE(SUBSTITUTE(SUBSTITUTE(SUBSTITUTE($AA980," ",""),"　",""),"(주)",""),"（주）",""),"㈜",""),"주식회사",""),"(유)",""),"（유）",""),"유한회사",""))</f>
        <v/>
      </c>
      <c r="AC980" s="31">
        <f>IF(OR($Y980="",N($Z980)&lt;=0,$AB980=""),0,IFERROR(LOOKUP(2,1/((거래처별!$AC$8:$AC$307&lt;&gt;"")*ISNUMBER(SEARCH(거래처별!$AC$8:$AC$307,$AB980))),거래처별!$A$8:$A$307),IFERROR(LOOKUP(2,1/((거래처별!$AD$8:$AD$307&lt;&gt;"")*ISNUMBER(SEARCH(거래처별!$AD$8:$AD$307,$AB980))),거래처별!$A$8:$A$307),IFERROR(LOOKUP(2,1/((거래처별!$AE$8:$AE$307&lt;&gt;"")*ISNUMBER(SEARCH(거래처별!$AE$8:$AE$307,$AB980))),거래처별!$A$8:$A$307),0))))</f>
        <v/>
      </c>
      <c r="AD980" s="31">
        <f>IF(AND($Y980&lt;&gt;"",N($Z980)&gt;0,$AC980=0),MAX($AD$7:$AD979)+1,"")</f>
        <v/>
      </c>
      <c r="AE980" s="31">
        <f>IF($Y980="",0,$Y980)</f>
        <v/>
      </c>
    </row>
    <row r="981">
      <c r="W981" s="31">
        <f>IF(OR($B$5="",$C$6="",ROW()&lt;$B$5),"",IF(INDEX($A:$U,ROW(),$C$6)="","",INDEX($A:$U,ROW(),$C$6)))</f>
        <v/>
      </c>
      <c r="X981" s="32">
        <f>IF($W981="","",IF(ISNUMBER($W981),IF($W981&gt;=10000000,IFERROR(DATE(INT($W981/10000),MOD(INT($W981/100),100),MOD($W981,100)),""),INT($W981)),IFERROR(DATE(--LEFT(LEFT(SUBSTITUTE(SUBSTITUTE(SUBSTITUTE(SUBSTITUTE(TRIM($W981),"-",""),".",""),"/","")," ",""),8),4),--MID(LEFT(SUBSTITUTE(SUBSTITUTE(SUBSTITUTE(SUBSTITUTE(TRIM($W981),"-",""),".",""),"/","")," ",""),8),5,2),--MID(LEFT(SUBSTITUTE(SUBSTITUTE(SUBSTITUTE(SUBSTITUTE(TRIM($W981),"-",""),".",""),"/","")," ",""),8),7,2)),"")))</f>
        <v/>
      </c>
      <c r="Y981" s="32">
        <f>IF($X981="","",INT($X981))</f>
        <v/>
      </c>
      <c r="Z981" s="33">
        <f>IF(OR($Y981="",$D$6=""),"",IF(INDEX($A:$U,ROW(),$D$6)="",0,IF(ISNUMBER(INDEX($A:$U,ROW(),$D$6)),INDEX($A:$U,ROW(),$D$6),IFERROR(--SUBSTITUTE(SUBSTITUTE(TRIM(INDEX($A:$U,ROW(),$D$6)),",",""),"원",""),0))))</f>
        <v/>
      </c>
      <c r="AA981" s="31">
        <f>IF($Y981="","",TRIM(INDEX($A:$U,ROW(),$E$6)&amp;IF($F$6="",""," "&amp;INDEX($A:$U,ROW(),$F$6))))</f>
        <v/>
      </c>
      <c r="AB981" s="31">
        <f>IF($AA981="","",SUBSTITUTE(SUBSTITUTE(SUBSTITUTE(SUBSTITUTE(SUBSTITUTE(SUBSTITUTE(SUBSTITUTE(SUBSTITUTE(SUBSTITUTE($AA981," ",""),"　",""),"(주)",""),"（주）",""),"㈜",""),"주식회사",""),"(유)",""),"（유）",""),"유한회사",""))</f>
        <v/>
      </c>
      <c r="AC981" s="31">
        <f>IF(OR($Y981="",N($Z981)&lt;=0,$AB981=""),0,IFERROR(LOOKUP(2,1/((거래처별!$AC$8:$AC$307&lt;&gt;"")*ISNUMBER(SEARCH(거래처별!$AC$8:$AC$307,$AB981))),거래처별!$A$8:$A$307),IFERROR(LOOKUP(2,1/((거래처별!$AD$8:$AD$307&lt;&gt;"")*ISNUMBER(SEARCH(거래처별!$AD$8:$AD$307,$AB981))),거래처별!$A$8:$A$307),IFERROR(LOOKUP(2,1/((거래처별!$AE$8:$AE$307&lt;&gt;"")*ISNUMBER(SEARCH(거래처별!$AE$8:$AE$307,$AB981))),거래처별!$A$8:$A$307),0))))</f>
        <v/>
      </c>
      <c r="AD981" s="31">
        <f>IF(AND($Y981&lt;&gt;"",N($Z981)&gt;0,$AC981=0),MAX($AD$7:$AD980)+1,"")</f>
        <v/>
      </c>
      <c r="AE981" s="31">
        <f>IF($Y981="",0,$Y981)</f>
        <v/>
      </c>
    </row>
    <row r="982">
      <c r="W982" s="31">
        <f>IF(OR($B$5="",$C$6="",ROW()&lt;$B$5),"",IF(INDEX($A:$U,ROW(),$C$6)="","",INDEX($A:$U,ROW(),$C$6)))</f>
        <v/>
      </c>
      <c r="X982" s="32">
        <f>IF($W982="","",IF(ISNUMBER($W982),IF($W982&gt;=10000000,IFERROR(DATE(INT($W982/10000),MOD(INT($W982/100),100),MOD($W982,100)),""),INT($W982)),IFERROR(DATE(--LEFT(LEFT(SUBSTITUTE(SUBSTITUTE(SUBSTITUTE(SUBSTITUTE(TRIM($W982),"-",""),".",""),"/","")," ",""),8),4),--MID(LEFT(SUBSTITUTE(SUBSTITUTE(SUBSTITUTE(SUBSTITUTE(TRIM($W982),"-",""),".",""),"/","")," ",""),8),5,2),--MID(LEFT(SUBSTITUTE(SUBSTITUTE(SUBSTITUTE(SUBSTITUTE(TRIM($W982),"-",""),".",""),"/","")," ",""),8),7,2)),"")))</f>
        <v/>
      </c>
      <c r="Y982" s="32">
        <f>IF($X982="","",INT($X982))</f>
        <v/>
      </c>
      <c r="Z982" s="33">
        <f>IF(OR($Y982="",$D$6=""),"",IF(INDEX($A:$U,ROW(),$D$6)="",0,IF(ISNUMBER(INDEX($A:$U,ROW(),$D$6)),INDEX($A:$U,ROW(),$D$6),IFERROR(--SUBSTITUTE(SUBSTITUTE(TRIM(INDEX($A:$U,ROW(),$D$6)),",",""),"원",""),0))))</f>
        <v/>
      </c>
      <c r="AA982" s="31">
        <f>IF($Y982="","",TRIM(INDEX($A:$U,ROW(),$E$6)&amp;IF($F$6="",""," "&amp;INDEX($A:$U,ROW(),$F$6))))</f>
        <v/>
      </c>
      <c r="AB982" s="31">
        <f>IF($AA982="","",SUBSTITUTE(SUBSTITUTE(SUBSTITUTE(SUBSTITUTE(SUBSTITUTE(SUBSTITUTE(SUBSTITUTE(SUBSTITUTE(SUBSTITUTE($AA982," ",""),"　",""),"(주)",""),"（주）",""),"㈜",""),"주식회사",""),"(유)",""),"（유）",""),"유한회사",""))</f>
        <v/>
      </c>
      <c r="AC982" s="31">
        <f>IF(OR($Y982="",N($Z982)&lt;=0,$AB982=""),0,IFERROR(LOOKUP(2,1/((거래처별!$AC$8:$AC$307&lt;&gt;"")*ISNUMBER(SEARCH(거래처별!$AC$8:$AC$307,$AB982))),거래처별!$A$8:$A$307),IFERROR(LOOKUP(2,1/((거래처별!$AD$8:$AD$307&lt;&gt;"")*ISNUMBER(SEARCH(거래처별!$AD$8:$AD$307,$AB982))),거래처별!$A$8:$A$307),IFERROR(LOOKUP(2,1/((거래처별!$AE$8:$AE$307&lt;&gt;"")*ISNUMBER(SEARCH(거래처별!$AE$8:$AE$307,$AB982))),거래처별!$A$8:$A$307),0))))</f>
        <v/>
      </c>
      <c r="AD982" s="31">
        <f>IF(AND($Y982&lt;&gt;"",N($Z982)&gt;0,$AC982=0),MAX($AD$7:$AD981)+1,"")</f>
        <v/>
      </c>
      <c r="AE982" s="31">
        <f>IF($Y982="",0,$Y982)</f>
        <v/>
      </c>
    </row>
    <row r="983">
      <c r="W983" s="31">
        <f>IF(OR($B$5="",$C$6="",ROW()&lt;$B$5),"",IF(INDEX($A:$U,ROW(),$C$6)="","",INDEX($A:$U,ROW(),$C$6)))</f>
        <v/>
      </c>
      <c r="X983" s="32">
        <f>IF($W983="","",IF(ISNUMBER($W983),IF($W983&gt;=10000000,IFERROR(DATE(INT($W983/10000),MOD(INT($W983/100),100),MOD($W983,100)),""),INT($W983)),IFERROR(DATE(--LEFT(LEFT(SUBSTITUTE(SUBSTITUTE(SUBSTITUTE(SUBSTITUTE(TRIM($W983),"-",""),".",""),"/","")," ",""),8),4),--MID(LEFT(SUBSTITUTE(SUBSTITUTE(SUBSTITUTE(SUBSTITUTE(TRIM($W983),"-",""),".",""),"/","")," ",""),8),5,2),--MID(LEFT(SUBSTITUTE(SUBSTITUTE(SUBSTITUTE(SUBSTITUTE(TRIM($W983),"-",""),".",""),"/","")," ",""),8),7,2)),"")))</f>
        <v/>
      </c>
      <c r="Y983" s="32">
        <f>IF($X983="","",INT($X983))</f>
        <v/>
      </c>
      <c r="Z983" s="33">
        <f>IF(OR($Y983="",$D$6=""),"",IF(INDEX($A:$U,ROW(),$D$6)="",0,IF(ISNUMBER(INDEX($A:$U,ROW(),$D$6)),INDEX($A:$U,ROW(),$D$6),IFERROR(--SUBSTITUTE(SUBSTITUTE(TRIM(INDEX($A:$U,ROW(),$D$6)),",",""),"원",""),0))))</f>
        <v/>
      </c>
      <c r="AA983" s="31">
        <f>IF($Y983="","",TRIM(INDEX($A:$U,ROW(),$E$6)&amp;IF($F$6="",""," "&amp;INDEX($A:$U,ROW(),$F$6))))</f>
        <v/>
      </c>
      <c r="AB983" s="31">
        <f>IF($AA983="","",SUBSTITUTE(SUBSTITUTE(SUBSTITUTE(SUBSTITUTE(SUBSTITUTE(SUBSTITUTE(SUBSTITUTE(SUBSTITUTE(SUBSTITUTE($AA983," ",""),"　",""),"(주)",""),"（주）",""),"㈜",""),"주식회사",""),"(유)",""),"（유）",""),"유한회사",""))</f>
        <v/>
      </c>
      <c r="AC983" s="31">
        <f>IF(OR($Y983="",N($Z983)&lt;=0,$AB983=""),0,IFERROR(LOOKUP(2,1/((거래처별!$AC$8:$AC$307&lt;&gt;"")*ISNUMBER(SEARCH(거래처별!$AC$8:$AC$307,$AB983))),거래처별!$A$8:$A$307),IFERROR(LOOKUP(2,1/((거래처별!$AD$8:$AD$307&lt;&gt;"")*ISNUMBER(SEARCH(거래처별!$AD$8:$AD$307,$AB983))),거래처별!$A$8:$A$307),IFERROR(LOOKUP(2,1/((거래처별!$AE$8:$AE$307&lt;&gt;"")*ISNUMBER(SEARCH(거래처별!$AE$8:$AE$307,$AB983))),거래처별!$A$8:$A$307),0))))</f>
        <v/>
      </c>
      <c r="AD983" s="31">
        <f>IF(AND($Y983&lt;&gt;"",N($Z983)&gt;0,$AC983=0),MAX($AD$7:$AD982)+1,"")</f>
        <v/>
      </c>
      <c r="AE983" s="31">
        <f>IF($Y983="",0,$Y983)</f>
        <v/>
      </c>
    </row>
    <row r="984">
      <c r="W984" s="31">
        <f>IF(OR($B$5="",$C$6="",ROW()&lt;$B$5),"",IF(INDEX($A:$U,ROW(),$C$6)="","",INDEX($A:$U,ROW(),$C$6)))</f>
        <v/>
      </c>
      <c r="X984" s="32">
        <f>IF($W984="","",IF(ISNUMBER($W984),IF($W984&gt;=10000000,IFERROR(DATE(INT($W984/10000),MOD(INT($W984/100),100),MOD($W984,100)),""),INT($W984)),IFERROR(DATE(--LEFT(LEFT(SUBSTITUTE(SUBSTITUTE(SUBSTITUTE(SUBSTITUTE(TRIM($W984),"-",""),".",""),"/","")," ",""),8),4),--MID(LEFT(SUBSTITUTE(SUBSTITUTE(SUBSTITUTE(SUBSTITUTE(TRIM($W984),"-",""),".",""),"/","")," ",""),8),5,2),--MID(LEFT(SUBSTITUTE(SUBSTITUTE(SUBSTITUTE(SUBSTITUTE(TRIM($W984),"-",""),".",""),"/","")," ",""),8),7,2)),"")))</f>
        <v/>
      </c>
      <c r="Y984" s="32">
        <f>IF($X984="","",INT($X984))</f>
        <v/>
      </c>
      <c r="Z984" s="33">
        <f>IF(OR($Y984="",$D$6=""),"",IF(INDEX($A:$U,ROW(),$D$6)="",0,IF(ISNUMBER(INDEX($A:$U,ROW(),$D$6)),INDEX($A:$U,ROW(),$D$6),IFERROR(--SUBSTITUTE(SUBSTITUTE(TRIM(INDEX($A:$U,ROW(),$D$6)),",",""),"원",""),0))))</f>
        <v/>
      </c>
      <c r="AA984" s="31">
        <f>IF($Y984="","",TRIM(INDEX($A:$U,ROW(),$E$6)&amp;IF($F$6="",""," "&amp;INDEX($A:$U,ROW(),$F$6))))</f>
        <v/>
      </c>
      <c r="AB984" s="31">
        <f>IF($AA984="","",SUBSTITUTE(SUBSTITUTE(SUBSTITUTE(SUBSTITUTE(SUBSTITUTE(SUBSTITUTE(SUBSTITUTE(SUBSTITUTE(SUBSTITUTE($AA984," ",""),"　",""),"(주)",""),"（주）",""),"㈜",""),"주식회사",""),"(유)",""),"（유）",""),"유한회사",""))</f>
        <v/>
      </c>
      <c r="AC984" s="31">
        <f>IF(OR($Y984="",N($Z984)&lt;=0,$AB984=""),0,IFERROR(LOOKUP(2,1/((거래처별!$AC$8:$AC$307&lt;&gt;"")*ISNUMBER(SEARCH(거래처별!$AC$8:$AC$307,$AB984))),거래처별!$A$8:$A$307),IFERROR(LOOKUP(2,1/((거래처별!$AD$8:$AD$307&lt;&gt;"")*ISNUMBER(SEARCH(거래처별!$AD$8:$AD$307,$AB984))),거래처별!$A$8:$A$307),IFERROR(LOOKUP(2,1/((거래처별!$AE$8:$AE$307&lt;&gt;"")*ISNUMBER(SEARCH(거래처별!$AE$8:$AE$307,$AB984))),거래처별!$A$8:$A$307),0))))</f>
        <v/>
      </c>
      <c r="AD984" s="31">
        <f>IF(AND($Y984&lt;&gt;"",N($Z984)&gt;0,$AC984=0),MAX($AD$7:$AD983)+1,"")</f>
        <v/>
      </c>
      <c r="AE984" s="31">
        <f>IF($Y984="",0,$Y984)</f>
        <v/>
      </c>
    </row>
    <row r="985">
      <c r="W985" s="31">
        <f>IF(OR($B$5="",$C$6="",ROW()&lt;$B$5),"",IF(INDEX($A:$U,ROW(),$C$6)="","",INDEX($A:$U,ROW(),$C$6)))</f>
        <v/>
      </c>
      <c r="X985" s="32">
        <f>IF($W985="","",IF(ISNUMBER($W985),IF($W985&gt;=10000000,IFERROR(DATE(INT($W985/10000),MOD(INT($W985/100),100),MOD($W985,100)),""),INT($W985)),IFERROR(DATE(--LEFT(LEFT(SUBSTITUTE(SUBSTITUTE(SUBSTITUTE(SUBSTITUTE(TRIM($W985),"-",""),".",""),"/","")," ",""),8),4),--MID(LEFT(SUBSTITUTE(SUBSTITUTE(SUBSTITUTE(SUBSTITUTE(TRIM($W985),"-",""),".",""),"/","")," ",""),8),5,2),--MID(LEFT(SUBSTITUTE(SUBSTITUTE(SUBSTITUTE(SUBSTITUTE(TRIM($W985),"-",""),".",""),"/","")," ",""),8),7,2)),"")))</f>
        <v/>
      </c>
      <c r="Y985" s="32">
        <f>IF($X985="","",INT($X985))</f>
        <v/>
      </c>
      <c r="Z985" s="33">
        <f>IF(OR($Y985="",$D$6=""),"",IF(INDEX($A:$U,ROW(),$D$6)="",0,IF(ISNUMBER(INDEX($A:$U,ROW(),$D$6)),INDEX($A:$U,ROW(),$D$6),IFERROR(--SUBSTITUTE(SUBSTITUTE(TRIM(INDEX($A:$U,ROW(),$D$6)),",",""),"원",""),0))))</f>
        <v/>
      </c>
      <c r="AA985" s="31">
        <f>IF($Y985="","",TRIM(INDEX($A:$U,ROW(),$E$6)&amp;IF($F$6="",""," "&amp;INDEX($A:$U,ROW(),$F$6))))</f>
        <v/>
      </c>
      <c r="AB985" s="31">
        <f>IF($AA985="","",SUBSTITUTE(SUBSTITUTE(SUBSTITUTE(SUBSTITUTE(SUBSTITUTE(SUBSTITUTE(SUBSTITUTE(SUBSTITUTE(SUBSTITUTE($AA985," ",""),"　",""),"(주)",""),"（주）",""),"㈜",""),"주식회사",""),"(유)",""),"（유）",""),"유한회사",""))</f>
        <v/>
      </c>
      <c r="AC985" s="31">
        <f>IF(OR($Y985="",N($Z985)&lt;=0,$AB985=""),0,IFERROR(LOOKUP(2,1/((거래처별!$AC$8:$AC$307&lt;&gt;"")*ISNUMBER(SEARCH(거래처별!$AC$8:$AC$307,$AB985))),거래처별!$A$8:$A$307),IFERROR(LOOKUP(2,1/((거래처별!$AD$8:$AD$307&lt;&gt;"")*ISNUMBER(SEARCH(거래처별!$AD$8:$AD$307,$AB985))),거래처별!$A$8:$A$307),IFERROR(LOOKUP(2,1/((거래처별!$AE$8:$AE$307&lt;&gt;"")*ISNUMBER(SEARCH(거래처별!$AE$8:$AE$307,$AB985))),거래처별!$A$8:$A$307),0))))</f>
        <v/>
      </c>
      <c r="AD985" s="31">
        <f>IF(AND($Y985&lt;&gt;"",N($Z985)&gt;0,$AC985=0),MAX($AD$7:$AD984)+1,"")</f>
        <v/>
      </c>
      <c r="AE985" s="31">
        <f>IF($Y985="",0,$Y985)</f>
        <v/>
      </c>
    </row>
    <row r="986">
      <c r="W986" s="31">
        <f>IF(OR($B$5="",$C$6="",ROW()&lt;$B$5),"",IF(INDEX($A:$U,ROW(),$C$6)="","",INDEX($A:$U,ROW(),$C$6)))</f>
        <v/>
      </c>
      <c r="X986" s="32">
        <f>IF($W986="","",IF(ISNUMBER($W986),IF($W986&gt;=10000000,IFERROR(DATE(INT($W986/10000),MOD(INT($W986/100),100),MOD($W986,100)),""),INT($W986)),IFERROR(DATE(--LEFT(LEFT(SUBSTITUTE(SUBSTITUTE(SUBSTITUTE(SUBSTITUTE(TRIM($W986),"-",""),".",""),"/","")," ",""),8),4),--MID(LEFT(SUBSTITUTE(SUBSTITUTE(SUBSTITUTE(SUBSTITUTE(TRIM($W986),"-",""),".",""),"/","")," ",""),8),5,2),--MID(LEFT(SUBSTITUTE(SUBSTITUTE(SUBSTITUTE(SUBSTITUTE(TRIM($W986),"-",""),".",""),"/","")," ",""),8),7,2)),"")))</f>
        <v/>
      </c>
      <c r="Y986" s="32">
        <f>IF($X986="","",INT($X986))</f>
        <v/>
      </c>
      <c r="Z986" s="33">
        <f>IF(OR($Y986="",$D$6=""),"",IF(INDEX($A:$U,ROW(),$D$6)="",0,IF(ISNUMBER(INDEX($A:$U,ROW(),$D$6)),INDEX($A:$U,ROW(),$D$6),IFERROR(--SUBSTITUTE(SUBSTITUTE(TRIM(INDEX($A:$U,ROW(),$D$6)),",",""),"원",""),0))))</f>
        <v/>
      </c>
      <c r="AA986" s="31">
        <f>IF($Y986="","",TRIM(INDEX($A:$U,ROW(),$E$6)&amp;IF($F$6="",""," "&amp;INDEX($A:$U,ROW(),$F$6))))</f>
        <v/>
      </c>
      <c r="AB986" s="31">
        <f>IF($AA986="","",SUBSTITUTE(SUBSTITUTE(SUBSTITUTE(SUBSTITUTE(SUBSTITUTE(SUBSTITUTE(SUBSTITUTE(SUBSTITUTE(SUBSTITUTE($AA986," ",""),"　",""),"(주)",""),"（주）",""),"㈜",""),"주식회사",""),"(유)",""),"（유）",""),"유한회사",""))</f>
        <v/>
      </c>
      <c r="AC986" s="31">
        <f>IF(OR($Y986="",N($Z986)&lt;=0,$AB986=""),0,IFERROR(LOOKUP(2,1/((거래처별!$AC$8:$AC$307&lt;&gt;"")*ISNUMBER(SEARCH(거래처별!$AC$8:$AC$307,$AB986))),거래처별!$A$8:$A$307),IFERROR(LOOKUP(2,1/((거래처별!$AD$8:$AD$307&lt;&gt;"")*ISNUMBER(SEARCH(거래처별!$AD$8:$AD$307,$AB986))),거래처별!$A$8:$A$307),IFERROR(LOOKUP(2,1/((거래처별!$AE$8:$AE$307&lt;&gt;"")*ISNUMBER(SEARCH(거래처별!$AE$8:$AE$307,$AB986))),거래처별!$A$8:$A$307),0))))</f>
        <v/>
      </c>
      <c r="AD986" s="31">
        <f>IF(AND($Y986&lt;&gt;"",N($Z986)&gt;0,$AC986=0),MAX($AD$7:$AD985)+1,"")</f>
        <v/>
      </c>
      <c r="AE986" s="31">
        <f>IF($Y986="",0,$Y986)</f>
        <v/>
      </c>
    </row>
    <row r="987">
      <c r="W987" s="31">
        <f>IF(OR($B$5="",$C$6="",ROW()&lt;$B$5),"",IF(INDEX($A:$U,ROW(),$C$6)="","",INDEX($A:$U,ROW(),$C$6)))</f>
        <v/>
      </c>
      <c r="X987" s="32">
        <f>IF($W987="","",IF(ISNUMBER($W987),IF($W987&gt;=10000000,IFERROR(DATE(INT($W987/10000),MOD(INT($W987/100),100),MOD($W987,100)),""),INT($W987)),IFERROR(DATE(--LEFT(LEFT(SUBSTITUTE(SUBSTITUTE(SUBSTITUTE(SUBSTITUTE(TRIM($W987),"-",""),".",""),"/","")," ",""),8),4),--MID(LEFT(SUBSTITUTE(SUBSTITUTE(SUBSTITUTE(SUBSTITUTE(TRIM($W987),"-",""),".",""),"/","")," ",""),8),5,2),--MID(LEFT(SUBSTITUTE(SUBSTITUTE(SUBSTITUTE(SUBSTITUTE(TRIM($W987),"-",""),".",""),"/","")," ",""),8),7,2)),"")))</f>
        <v/>
      </c>
      <c r="Y987" s="32">
        <f>IF($X987="","",INT($X987))</f>
        <v/>
      </c>
      <c r="Z987" s="33">
        <f>IF(OR($Y987="",$D$6=""),"",IF(INDEX($A:$U,ROW(),$D$6)="",0,IF(ISNUMBER(INDEX($A:$U,ROW(),$D$6)),INDEX($A:$U,ROW(),$D$6),IFERROR(--SUBSTITUTE(SUBSTITUTE(TRIM(INDEX($A:$U,ROW(),$D$6)),",",""),"원",""),0))))</f>
        <v/>
      </c>
      <c r="AA987" s="31">
        <f>IF($Y987="","",TRIM(INDEX($A:$U,ROW(),$E$6)&amp;IF($F$6="",""," "&amp;INDEX($A:$U,ROW(),$F$6))))</f>
        <v/>
      </c>
      <c r="AB987" s="31">
        <f>IF($AA987="","",SUBSTITUTE(SUBSTITUTE(SUBSTITUTE(SUBSTITUTE(SUBSTITUTE(SUBSTITUTE(SUBSTITUTE(SUBSTITUTE(SUBSTITUTE($AA987," ",""),"　",""),"(주)",""),"（주）",""),"㈜",""),"주식회사",""),"(유)",""),"（유）",""),"유한회사",""))</f>
        <v/>
      </c>
      <c r="AC987" s="31">
        <f>IF(OR($Y987="",N($Z987)&lt;=0,$AB987=""),0,IFERROR(LOOKUP(2,1/((거래처별!$AC$8:$AC$307&lt;&gt;"")*ISNUMBER(SEARCH(거래처별!$AC$8:$AC$307,$AB987))),거래처별!$A$8:$A$307),IFERROR(LOOKUP(2,1/((거래처별!$AD$8:$AD$307&lt;&gt;"")*ISNUMBER(SEARCH(거래처별!$AD$8:$AD$307,$AB987))),거래처별!$A$8:$A$307),IFERROR(LOOKUP(2,1/((거래처별!$AE$8:$AE$307&lt;&gt;"")*ISNUMBER(SEARCH(거래처별!$AE$8:$AE$307,$AB987))),거래처별!$A$8:$A$307),0))))</f>
        <v/>
      </c>
      <c r="AD987" s="31">
        <f>IF(AND($Y987&lt;&gt;"",N($Z987)&gt;0,$AC987=0),MAX($AD$7:$AD986)+1,"")</f>
        <v/>
      </c>
      <c r="AE987" s="31">
        <f>IF($Y987="",0,$Y987)</f>
        <v/>
      </c>
    </row>
    <row r="988">
      <c r="W988" s="31">
        <f>IF(OR($B$5="",$C$6="",ROW()&lt;$B$5),"",IF(INDEX($A:$U,ROW(),$C$6)="","",INDEX($A:$U,ROW(),$C$6)))</f>
        <v/>
      </c>
      <c r="X988" s="32">
        <f>IF($W988="","",IF(ISNUMBER($W988),IF($W988&gt;=10000000,IFERROR(DATE(INT($W988/10000),MOD(INT($W988/100),100),MOD($W988,100)),""),INT($W988)),IFERROR(DATE(--LEFT(LEFT(SUBSTITUTE(SUBSTITUTE(SUBSTITUTE(SUBSTITUTE(TRIM($W988),"-",""),".",""),"/","")," ",""),8),4),--MID(LEFT(SUBSTITUTE(SUBSTITUTE(SUBSTITUTE(SUBSTITUTE(TRIM($W988),"-",""),".",""),"/","")," ",""),8),5,2),--MID(LEFT(SUBSTITUTE(SUBSTITUTE(SUBSTITUTE(SUBSTITUTE(TRIM($W988),"-",""),".",""),"/","")," ",""),8),7,2)),"")))</f>
        <v/>
      </c>
      <c r="Y988" s="32">
        <f>IF($X988="","",INT($X988))</f>
        <v/>
      </c>
      <c r="Z988" s="33">
        <f>IF(OR($Y988="",$D$6=""),"",IF(INDEX($A:$U,ROW(),$D$6)="",0,IF(ISNUMBER(INDEX($A:$U,ROW(),$D$6)),INDEX($A:$U,ROW(),$D$6),IFERROR(--SUBSTITUTE(SUBSTITUTE(TRIM(INDEX($A:$U,ROW(),$D$6)),",",""),"원",""),0))))</f>
        <v/>
      </c>
      <c r="AA988" s="31">
        <f>IF($Y988="","",TRIM(INDEX($A:$U,ROW(),$E$6)&amp;IF($F$6="",""," "&amp;INDEX($A:$U,ROW(),$F$6))))</f>
        <v/>
      </c>
      <c r="AB988" s="31">
        <f>IF($AA988="","",SUBSTITUTE(SUBSTITUTE(SUBSTITUTE(SUBSTITUTE(SUBSTITUTE(SUBSTITUTE(SUBSTITUTE(SUBSTITUTE(SUBSTITUTE($AA988," ",""),"　",""),"(주)",""),"（주）",""),"㈜",""),"주식회사",""),"(유)",""),"（유）",""),"유한회사",""))</f>
        <v/>
      </c>
      <c r="AC988" s="31">
        <f>IF(OR($Y988="",N($Z988)&lt;=0,$AB988=""),0,IFERROR(LOOKUP(2,1/((거래처별!$AC$8:$AC$307&lt;&gt;"")*ISNUMBER(SEARCH(거래처별!$AC$8:$AC$307,$AB988))),거래처별!$A$8:$A$307),IFERROR(LOOKUP(2,1/((거래처별!$AD$8:$AD$307&lt;&gt;"")*ISNUMBER(SEARCH(거래처별!$AD$8:$AD$307,$AB988))),거래처별!$A$8:$A$307),IFERROR(LOOKUP(2,1/((거래처별!$AE$8:$AE$307&lt;&gt;"")*ISNUMBER(SEARCH(거래처별!$AE$8:$AE$307,$AB988))),거래처별!$A$8:$A$307),0))))</f>
        <v/>
      </c>
      <c r="AD988" s="31">
        <f>IF(AND($Y988&lt;&gt;"",N($Z988)&gt;0,$AC988=0),MAX($AD$7:$AD987)+1,"")</f>
        <v/>
      </c>
      <c r="AE988" s="31">
        <f>IF($Y988="",0,$Y988)</f>
        <v/>
      </c>
    </row>
    <row r="989">
      <c r="W989" s="31">
        <f>IF(OR($B$5="",$C$6="",ROW()&lt;$B$5),"",IF(INDEX($A:$U,ROW(),$C$6)="","",INDEX($A:$U,ROW(),$C$6)))</f>
        <v/>
      </c>
      <c r="X989" s="32">
        <f>IF($W989="","",IF(ISNUMBER($W989),IF($W989&gt;=10000000,IFERROR(DATE(INT($W989/10000),MOD(INT($W989/100),100),MOD($W989,100)),""),INT($W989)),IFERROR(DATE(--LEFT(LEFT(SUBSTITUTE(SUBSTITUTE(SUBSTITUTE(SUBSTITUTE(TRIM($W989),"-",""),".",""),"/","")," ",""),8),4),--MID(LEFT(SUBSTITUTE(SUBSTITUTE(SUBSTITUTE(SUBSTITUTE(TRIM($W989),"-",""),".",""),"/","")," ",""),8),5,2),--MID(LEFT(SUBSTITUTE(SUBSTITUTE(SUBSTITUTE(SUBSTITUTE(TRIM($W989),"-",""),".",""),"/","")," ",""),8),7,2)),"")))</f>
        <v/>
      </c>
      <c r="Y989" s="32">
        <f>IF($X989="","",INT($X989))</f>
        <v/>
      </c>
      <c r="Z989" s="33">
        <f>IF(OR($Y989="",$D$6=""),"",IF(INDEX($A:$U,ROW(),$D$6)="",0,IF(ISNUMBER(INDEX($A:$U,ROW(),$D$6)),INDEX($A:$U,ROW(),$D$6),IFERROR(--SUBSTITUTE(SUBSTITUTE(TRIM(INDEX($A:$U,ROW(),$D$6)),",",""),"원",""),0))))</f>
        <v/>
      </c>
      <c r="AA989" s="31">
        <f>IF($Y989="","",TRIM(INDEX($A:$U,ROW(),$E$6)&amp;IF($F$6="",""," "&amp;INDEX($A:$U,ROW(),$F$6))))</f>
        <v/>
      </c>
      <c r="AB989" s="31">
        <f>IF($AA989="","",SUBSTITUTE(SUBSTITUTE(SUBSTITUTE(SUBSTITUTE(SUBSTITUTE(SUBSTITUTE(SUBSTITUTE(SUBSTITUTE(SUBSTITUTE($AA989," ",""),"　",""),"(주)",""),"（주）",""),"㈜",""),"주식회사",""),"(유)",""),"（유）",""),"유한회사",""))</f>
        <v/>
      </c>
      <c r="AC989" s="31">
        <f>IF(OR($Y989="",N($Z989)&lt;=0,$AB989=""),0,IFERROR(LOOKUP(2,1/((거래처별!$AC$8:$AC$307&lt;&gt;"")*ISNUMBER(SEARCH(거래처별!$AC$8:$AC$307,$AB989))),거래처별!$A$8:$A$307),IFERROR(LOOKUP(2,1/((거래처별!$AD$8:$AD$307&lt;&gt;"")*ISNUMBER(SEARCH(거래처별!$AD$8:$AD$307,$AB989))),거래처별!$A$8:$A$307),IFERROR(LOOKUP(2,1/((거래처별!$AE$8:$AE$307&lt;&gt;"")*ISNUMBER(SEARCH(거래처별!$AE$8:$AE$307,$AB989))),거래처별!$A$8:$A$307),0))))</f>
        <v/>
      </c>
      <c r="AD989" s="31">
        <f>IF(AND($Y989&lt;&gt;"",N($Z989)&gt;0,$AC989=0),MAX($AD$7:$AD988)+1,"")</f>
        <v/>
      </c>
      <c r="AE989" s="31">
        <f>IF($Y989="",0,$Y989)</f>
        <v/>
      </c>
    </row>
    <row r="990">
      <c r="W990" s="31">
        <f>IF(OR($B$5="",$C$6="",ROW()&lt;$B$5),"",IF(INDEX($A:$U,ROW(),$C$6)="","",INDEX($A:$U,ROW(),$C$6)))</f>
        <v/>
      </c>
      <c r="X990" s="32">
        <f>IF($W990="","",IF(ISNUMBER($W990),IF($W990&gt;=10000000,IFERROR(DATE(INT($W990/10000),MOD(INT($W990/100),100),MOD($W990,100)),""),INT($W990)),IFERROR(DATE(--LEFT(LEFT(SUBSTITUTE(SUBSTITUTE(SUBSTITUTE(SUBSTITUTE(TRIM($W990),"-",""),".",""),"/","")," ",""),8),4),--MID(LEFT(SUBSTITUTE(SUBSTITUTE(SUBSTITUTE(SUBSTITUTE(TRIM($W990),"-",""),".",""),"/","")," ",""),8),5,2),--MID(LEFT(SUBSTITUTE(SUBSTITUTE(SUBSTITUTE(SUBSTITUTE(TRIM($W990),"-",""),".",""),"/","")," ",""),8),7,2)),"")))</f>
        <v/>
      </c>
      <c r="Y990" s="32">
        <f>IF($X990="","",INT($X990))</f>
        <v/>
      </c>
      <c r="Z990" s="33">
        <f>IF(OR($Y990="",$D$6=""),"",IF(INDEX($A:$U,ROW(),$D$6)="",0,IF(ISNUMBER(INDEX($A:$U,ROW(),$D$6)),INDEX($A:$U,ROW(),$D$6),IFERROR(--SUBSTITUTE(SUBSTITUTE(TRIM(INDEX($A:$U,ROW(),$D$6)),",",""),"원",""),0))))</f>
        <v/>
      </c>
      <c r="AA990" s="31">
        <f>IF($Y990="","",TRIM(INDEX($A:$U,ROW(),$E$6)&amp;IF($F$6="",""," "&amp;INDEX($A:$U,ROW(),$F$6))))</f>
        <v/>
      </c>
      <c r="AB990" s="31">
        <f>IF($AA990="","",SUBSTITUTE(SUBSTITUTE(SUBSTITUTE(SUBSTITUTE(SUBSTITUTE(SUBSTITUTE(SUBSTITUTE(SUBSTITUTE(SUBSTITUTE($AA990," ",""),"　",""),"(주)",""),"（주）",""),"㈜",""),"주식회사",""),"(유)",""),"（유）",""),"유한회사",""))</f>
        <v/>
      </c>
      <c r="AC990" s="31">
        <f>IF(OR($Y990="",N($Z990)&lt;=0,$AB990=""),0,IFERROR(LOOKUP(2,1/((거래처별!$AC$8:$AC$307&lt;&gt;"")*ISNUMBER(SEARCH(거래처별!$AC$8:$AC$307,$AB990))),거래처별!$A$8:$A$307),IFERROR(LOOKUP(2,1/((거래처별!$AD$8:$AD$307&lt;&gt;"")*ISNUMBER(SEARCH(거래처별!$AD$8:$AD$307,$AB990))),거래처별!$A$8:$A$307),IFERROR(LOOKUP(2,1/((거래처별!$AE$8:$AE$307&lt;&gt;"")*ISNUMBER(SEARCH(거래처별!$AE$8:$AE$307,$AB990))),거래처별!$A$8:$A$307),0))))</f>
        <v/>
      </c>
      <c r="AD990" s="31">
        <f>IF(AND($Y990&lt;&gt;"",N($Z990)&gt;0,$AC990=0),MAX($AD$7:$AD989)+1,"")</f>
        <v/>
      </c>
      <c r="AE990" s="31">
        <f>IF($Y990="",0,$Y990)</f>
        <v/>
      </c>
    </row>
    <row r="991">
      <c r="W991" s="31">
        <f>IF(OR($B$5="",$C$6="",ROW()&lt;$B$5),"",IF(INDEX($A:$U,ROW(),$C$6)="","",INDEX($A:$U,ROW(),$C$6)))</f>
        <v/>
      </c>
      <c r="X991" s="32">
        <f>IF($W991="","",IF(ISNUMBER($W991),IF($W991&gt;=10000000,IFERROR(DATE(INT($W991/10000),MOD(INT($W991/100),100),MOD($W991,100)),""),INT($W991)),IFERROR(DATE(--LEFT(LEFT(SUBSTITUTE(SUBSTITUTE(SUBSTITUTE(SUBSTITUTE(TRIM($W991),"-",""),".",""),"/","")," ",""),8),4),--MID(LEFT(SUBSTITUTE(SUBSTITUTE(SUBSTITUTE(SUBSTITUTE(TRIM($W991),"-",""),".",""),"/","")," ",""),8),5,2),--MID(LEFT(SUBSTITUTE(SUBSTITUTE(SUBSTITUTE(SUBSTITUTE(TRIM($W991),"-",""),".",""),"/","")," ",""),8),7,2)),"")))</f>
        <v/>
      </c>
      <c r="Y991" s="32">
        <f>IF($X991="","",INT($X991))</f>
        <v/>
      </c>
      <c r="Z991" s="33">
        <f>IF(OR($Y991="",$D$6=""),"",IF(INDEX($A:$U,ROW(),$D$6)="",0,IF(ISNUMBER(INDEX($A:$U,ROW(),$D$6)),INDEX($A:$U,ROW(),$D$6),IFERROR(--SUBSTITUTE(SUBSTITUTE(TRIM(INDEX($A:$U,ROW(),$D$6)),",",""),"원",""),0))))</f>
        <v/>
      </c>
      <c r="AA991" s="31">
        <f>IF($Y991="","",TRIM(INDEX($A:$U,ROW(),$E$6)&amp;IF($F$6="",""," "&amp;INDEX($A:$U,ROW(),$F$6))))</f>
        <v/>
      </c>
      <c r="AB991" s="31">
        <f>IF($AA991="","",SUBSTITUTE(SUBSTITUTE(SUBSTITUTE(SUBSTITUTE(SUBSTITUTE(SUBSTITUTE(SUBSTITUTE(SUBSTITUTE(SUBSTITUTE($AA991," ",""),"　",""),"(주)",""),"（주）",""),"㈜",""),"주식회사",""),"(유)",""),"（유）",""),"유한회사",""))</f>
        <v/>
      </c>
      <c r="AC991" s="31">
        <f>IF(OR($Y991="",N($Z991)&lt;=0,$AB991=""),0,IFERROR(LOOKUP(2,1/((거래처별!$AC$8:$AC$307&lt;&gt;"")*ISNUMBER(SEARCH(거래처별!$AC$8:$AC$307,$AB991))),거래처별!$A$8:$A$307),IFERROR(LOOKUP(2,1/((거래처별!$AD$8:$AD$307&lt;&gt;"")*ISNUMBER(SEARCH(거래처별!$AD$8:$AD$307,$AB991))),거래처별!$A$8:$A$307),IFERROR(LOOKUP(2,1/((거래처별!$AE$8:$AE$307&lt;&gt;"")*ISNUMBER(SEARCH(거래처별!$AE$8:$AE$307,$AB991))),거래처별!$A$8:$A$307),0))))</f>
        <v/>
      </c>
      <c r="AD991" s="31">
        <f>IF(AND($Y991&lt;&gt;"",N($Z991)&gt;0,$AC991=0),MAX($AD$7:$AD990)+1,"")</f>
        <v/>
      </c>
      <c r="AE991" s="31">
        <f>IF($Y991="",0,$Y991)</f>
        <v/>
      </c>
    </row>
    <row r="992">
      <c r="W992" s="31">
        <f>IF(OR($B$5="",$C$6="",ROW()&lt;$B$5),"",IF(INDEX($A:$U,ROW(),$C$6)="","",INDEX($A:$U,ROW(),$C$6)))</f>
        <v/>
      </c>
      <c r="X992" s="32">
        <f>IF($W992="","",IF(ISNUMBER($W992),IF($W992&gt;=10000000,IFERROR(DATE(INT($W992/10000),MOD(INT($W992/100),100),MOD($W992,100)),""),INT($W992)),IFERROR(DATE(--LEFT(LEFT(SUBSTITUTE(SUBSTITUTE(SUBSTITUTE(SUBSTITUTE(TRIM($W992),"-",""),".",""),"/","")," ",""),8),4),--MID(LEFT(SUBSTITUTE(SUBSTITUTE(SUBSTITUTE(SUBSTITUTE(TRIM($W992),"-",""),".",""),"/","")," ",""),8),5,2),--MID(LEFT(SUBSTITUTE(SUBSTITUTE(SUBSTITUTE(SUBSTITUTE(TRIM($W992),"-",""),".",""),"/","")," ",""),8),7,2)),"")))</f>
        <v/>
      </c>
      <c r="Y992" s="32">
        <f>IF($X992="","",INT($X992))</f>
        <v/>
      </c>
      <c r="Z992" s="33">
        <f>IF(OR($Y992="",$D$6=""),"",IF(INDEX($A:$U,ROW(),$D$6)="",0,IF(ISNUMBER(INDEX($A:$U,ROW(),$D$6)),INDEX($A:$U,ROW(),$D$6),IFERROR(--SUBSTITUTE(SUBSTITUTE(TRIM(INDEX($A:$U,ROW(),$D$6)),",",""),"원",""),0))))</f>
        <v/>
      </c>
      <c r="AA992" s="31">
        <f>IF($Y992="","",TRIM(INDEX($A:$U,ROW(),$E$6)&amp;IF($F$6="",""," "&amp;INDEX($A:$U,ROW(),$F$6))))</f>
        <v/>
      </c>
      <c r="AB992" s="31">
        <f>IF($AA992="","",SUBSTITUTE(SUBSTITUTE(SUBSTITUTE(SUBSTITUTE(SUBSTITUTE(SUBSTITUTE(SUBSTITUTE(SUBSTITUTE(SUBSTITUTE($AA992," ",""),"　",""),"(주)",""),"（주）",""),"㈜",""),"주식회사",""),"(유)",""),"（유）",""),"유한회사",""))</f>
        <v/>
      </c>
      <c r="AC992" s="31">
        <f>IF(OR($Y992="",N($Z992)&lt;=0,$AB992=""),0,IFERROR(LOOKUP(2,1/((거래처별!$AC$8:$AC$307&lt;&gt;"")*ISNUMBER(SEARCH(거래처별!$AC$8:$AC$307,$AB992))),거래처별!$A$8:$A$307),IFERROR(LOOKUP(2,1/((거래처별!$AD$8:$AD$307&lt;&gt;"")*ISNUMBER(SEARCH(거래처별!$AD$8:$AD$307,$AB992))),거래처별!$A$8:$A$307),IFERROR(LOOKUP(2,1/((거래처별!$AE$8:$AE$307&lt;&gt;"")*ISNUMBER(SEARCH(거래처별!$AE$8:$AE$307,$AB992))),거래처별!$A$8:$A$307),0))))</f>
        <v/>
      </c>
      <c r="AD992" s="31">
        <f>IF(AND($Y992&lt;&gt;"",N($Z992)&gt;0,$AC992=0),MAX($AD$7:$AD991)+1,"")</f>
        <v/>
      </c>
      <c r="AE992" s="31">
        <f>IF($Y992="",0,$Y992)</f>
        <v/>
      </c>
    </row>
    <row r="993">
      <c r="W993" s="31">
        <f>IF(OR($B$5="",$C$6="",ROW()&lt;$B$5),"",IF(INDEX($A:$U,ROW(),$C$6)="","",INDEX($A:$U,ROW(),$C$6)))</f>
        <v/>
      </c>
      <c r="X993" s="32">
        <f>IF($W993="","",IF(ISNUMBER($W993),IF($W993&gt;=10000000,IFERROR(DATE(INT($W993/10000),MOD(INT($W993/100),100),MOD($W993,100)),""),INT($W993)),IFERROR(DATE(--LEFT(LEFT(SUBSTITUTE(SUBSTITUTE(SUBSTITUTE(SUBSTITUTE(TRIM($W993),"-",""),".",""),"/","")," ",""),8),4),--MID(LEFT(SUBSTITUTE(SUBSTITUTE(SUBSTITUTE(SUBSTITUTE(TRIM($W993),"-",""),".",""),"/","")," ",""),8),5,2),--MID(LEFT(SUBSTITUTE(SUBSTITUTE(SUBSTITUTE(SUBSTITUTE(TRIM($W993),"-",""),".",""),"/","")," ",""),8),7,2)),"")))</f>
        <v/>
      </c>
      <c r="Y993" s="32">
        <f>IF($X993="","",INT($X993))</f>
        <v/>
      </c>
      <c r="Z993" s="33">
        <f>IF(OR($Y993="",$D$6=""),"",IF(INDEX($A:$U,ROW(),$D$6)="",0,IF(ISNUMBER(INDEX($A:$U,ROW(),$D$6)),INDEX($A:$U,ROW(),$D$6),IFERROR(--SUBSTITUTE(SUBSTITUTE(TRIM(INDEX($A:$U,ROW(),$D$6)),",",""),"원",""),0))))</f>
        <v/>
      </c>
      <c r="AA993" s="31">
        <f>IF($Y993="","",TRIM(INDEX($A:$U,ROW(),$E$6)&amp;IF($F$6="",""," "&amp;INDEX($A:$U,ROW(),$F$6))))</f>
        <v/>
      </c>
      <c r="AB993" s="31">
        <f>IF($AA993="","",SUBSTITUTE(SUBSTITUTE(SUBSTITUTE(SUBSTITUTE(SUBSTITUTE(SUBSTITUTE(SUBSTITUTE(SUBSTITUTE(SUBSTITUTE($AA993," ",""),"　",""),"(주)",""),"（주）",""),"㈜",""),"주식회사",""),"(유)",""),"（유）",""),"유한회사",""))</f>
        <v/>
      </c>
      <c r="AC993" s="31">
        <f>IF(OR($Y993="",N($Z993)&lt;=0,$AB993=""),0,IFERROR(LOOKUP(2,1/((거래처별!$AC$8:$AC$307&lt;&gt;"")*ISNUMBER(SEARCH(거래처별!$AC$8:$AC$307,$AB993))),거래처별!$A$8:$A$307),IFERROR(LOOKUP(2,1/((거래처별!$AD$8:$AD$307&lt;&gt;"")*ISNUMBER(SEARCH(거래처별!$AD$8:$AD$307,$AB993))),거래처별!$A$8:$A$307),IFERROR(LOOKUP(2,1/((거래처별!$AE$8:$AE$307&lt;&gt;"")*ISNUMBER(SEARCH(거래처별!$AE$8:$AE$307,$AB993))),거래처별!$A$8:$A$307),0))))</f>
        <v/>
      </c>
      <c r="AD993" s="31">
        <f>IF(AND($Y993&lt;&gt;"",N($Z993)&gt;0,$AC993=0),MAX($AD$7:$AD992)+1,"")</f>
        <v/>
      </c>
      <c r="AE993" s="31">
        <f>IF($Y993="",0,$Y993)</f>
        <v/>
      </c>
    </row>
    <row r="994">
      <c r="W994" s="31">
        <f>IF(OR($B$5="",$C$6="",ROW()&lt;$B$5),"",IF(INDEX($A:$U,ROW(),$C$6)="","",INDEX($A:$U,ROW(),$C$6)))</f>
        <v/>
      </c>
      <c r="X994" s="32">
        <f>IF($W994="","",IF(ISNUMBER($W994),IF($W994&gt;=10000000,IFERROR(DATE(INT($W994/10000),MOD(INT($W994/100),100),MOD($W994,100)),""),INT($W994)),IFERROR(DATE(--LEFT(LEFT(SUBSTITUTE(SUBSTITUTE(SUBSTITUTE(SUBSTITUTE(TRIM($W994),"-",""),".",""),"/","")," ",""),8),4),--MID(LEFT(SUBSTITUTE(SUBSTITUTE(SUBSTITUTE(SUBSTITUTE(TRIM($W994),"-",""),".",""),"/","")," ",""),8),5,2),--MID(LEFT(SUBSTITUTE(SUBSTITUTE(SUBSTITUTE(SUBSTITUTE(TRIM($W994),"-",""),".",""),"/","")," ",""),8),7,2)),"")))</f>
        <v/>
      </c>
      <c r="Y994" s="32">
        <f>IF($X994="","",INT($X994))</f>
        <v/>
      </c>
      <c r="Z994" s="33">
        <f>IF(OR($Y994="",$D$6=""),"",IF(INDEX($A:$U,ROW(),$D$6)="",0,IF(ISNUMBER(INDEX($A:$U,ROW(),$D$6)),INDEX($A:$U,ROW(),$D$6),IFERROR(--SUBSTITUTE(SUBSTITUTE(TRIM(INDEX($A:$U,ROW(),$D$6)),",",""),"원",""),0))))</f>
        <v/>
      </c>
      <c r="AA994" s="31">
        <f>IF($Y994="","",TRIM(INDEX($A:$U,ROW(),$E$6)&amp;IF($F$6="",""," "&amp;INDEX($A:$U,ROW(),$F$6))))</f>
        <v/>
      </c>
      <c r="AB994" s="31">
        <f>IF($AA994="","",SUBSTITUTE(SUBSTITUTE(SUBSTITUTE(SUBSTITUTE(SUBSTITUTE(SUBSTITUTE(SUBSTITUTE(SUBSTITUTE(SUBSTITUTE($AA994," ",""),"　",""),"(주)",""),"（주）",""),"㈜",""),"주식회사",""),"(유)",""),"（유）",""),"유한회사",""))</f>
        <v/>
      </c>
      <c r="AC994" s="31">
        <f>IF(OR($Y994="",N($Z994)&lt;=0,$AB994=""),0,IFERROR(LOOKUP(2,1/((거래처별!$AC$8:$AC$307&lt;&gt;"")*ISNUMBER(SEARCH(거래처별!$AC$8:$AC$307,$AB994))),거래처별!$A$8:$A$307),IFERROR(LOOKUP(2,1/((거래처별!$AD$8:$AD$307&lt;&gt;"")*ISNUMBER(SEARCH(거래처별!$AD$8:$AD$307,$AB994))),거래처별!$A$8:$A$307),IFERROR(LOOKUP(2,1/((거래처별!$AE$8:$AE$307&lt;&gt;"")*ISNUMBER(SEARCH(거래처별!$AE$8:$AE$307,$AB994))),거래처별!$A$8:$A$307),0))))</f>
        <v/>
      </c>
      <c r="AD994" s="31">
        <f>IF(AND($Y994&lt;&gt;"",N($Z994)&gt;0,$AC994=0),MAX($AD$7:$AD993)+1,"")</f>
        <v/>
      </c>
      <c r="AE994" s="31">
        <f>IF($Y994="",0,$Y994)</f>
        <v/>
      </c>
    </row>
    <row r="995">
      <c r="W995" s="31">
        <f>IF(OR($B$5="",$C$6="",ROW()&lt;$B$5),"",IF(INDEX($A:$U,ROW(),$C$6)="","",INDEX($A:$U,ROW(),$C$6)))</f>
        <v/>
      </c>
      <c r="X995" s="32">
        <f>IF($W995="","",IF(ISNUMBER($W995),IF($W995&gt;=10000000,IFERROR(DATE(INT($W995/10000),MOD(INT($W995/100),100),MOD($W995,100)),""),INT($W995)),IFERROR(DATE(--LEFT(LEFT(SUBSTITUTE(SUBSTITUTE(SUBSTITUTE(SUBSTITUTE(TRIM($W995),"-",""),".",""),"/","")," ",""),8),4),--MID(LEFT(SUBSTITUTE(SUBSTITUTE(SUBSTITUTE(SUBSTITUTE(TRIM($W995),"-",""),".",""),"/","")," ",""),8),5,2),--MID(LEFT(SUBSTITUTE(SUBSTITUTE(SUBSTITUTE(SUBSTITUTE(TRIM($W995),"-",""),".",""),"/","")," ",""),8),7,2)),"")))</f>
        <v/>
      </c>
      <c r="Y995" s="32">
        <f>IF($X995="","",INT($X995))</f>
        <v/>
      </c>
      <c r="Z995" s="33">
        <f>IF(OR($Y995="",$D$6=""),"",IF(INDEX($A:$U,ROW(),$D$6)="",0,IF(ISNUMBER(INDEX($A:$U,ROW(),$D$6)),INDEX($A:$U,ROW(),$D$6),IFERROR(--SUBSTITUTE(SUBSTITUTE(TRIM(INDEX($A:$U,ROW(),$D$6)),",",""),"원",""),0))))</f>
        <v/>
      </c>
      <c r="AA995" s="31">
        <f>IF($Y995="","",TRIM(INDEX($A:$U,ROW(),$E$6)&amp;IF($F$6="",""," "&amp;INDEX($A:$U,ROW(),$F$6))))</f>
        <v/>
      </c>
      <c r="AB995" s="31">
        <f>IF($AA995="","",SUBSTITUTE(SUBSTITUTE(SUBSTITUTE(SUBSTITUTE(SUBSTITUTE(SUBSTITUTE(SUBSTITUTE(SUBSTITUTE(SUBSTITUTE($AA995," ",""),"　",""),"(주)",""),"（주）",""),"㈜",""),"주식회사",""),"(유)",""),"（유）",""),"유한회사",""))</f>
        <v/>
      </c>
      <c r="AC995" s="31">
        <f>IF(OR($Y995="",N($Z995)&lt;=0,$AB995=""),0,IFERROR(LOOKUP(2,1/((거래처별!$AC$8:$AC$307&lt;&gt;"")*ISNUMBER(SEARCH(거래처별!$AC$8:$AC$307,$AB995))),거래처별!$A$8:$A$307),IFERROR(LOOKUP(2,1/((거래처별!$AD$8:$AD$307&lt;&gt;"")*ISNUMBER(SEARCH(거래처별!$AD$8:$AD$307,$AB995))),거래처별!$A$8:$A$307),IFERROR(LOOKUP(2,1/((거래처별!$AE$8:$AE$307&lt;&gt;"")*ISNUMBER(SEARCH(거래처별!$AE$8:$AE$307,$AB995))),거래처별!$A$8:$A$307),0))))</f>
        <v/>
      </c>
      <c r="AD995" s="31">
        <f>IF(AND($Y995&lt;&gt;"",N($Z995)&gt;0,$AC995=0),MAX($AD$7:$AD994)+1,"")</f>
        <v/>
      </c>
      <c r="AE995" s="31">
        <f>IF($Y995="",0,$Y995)</f>
        <v/>
      </c>
    </row>
    <row r="996">
      <c r="W996" s="31">
        <f>IF(OR($B$5="",$C$6="",ROW()&lt;$B$5),"",IF(INDEX($A:$U,ROW(),$C$6)="","",INDEX($A:$U,ROW(),$C$6)))</f>
        <v/>
      </c>
      <c r="X996" s="32">
        <f>IF($W996="","",IF(ISNUMBER($W996),IF($W996&gt;=10000000,IFERROR(DATE(INT($W996/10000),MOD(INT($W996/100),100),MOD($W996,100)),""),INT($W996)),IFERROR(DATE(--LEFT(LEFT(SUBSTITUTE(SUBSTITUTE(SUBSTITUTE(SUBSTITUTE(TRIM($W996),"-",""),".",""),"/","")," ",""),8),4),--MID(LEFT(SUBSTITUTE(SUBSTITUTE(SUBSTITUTE(SUBSTITUTE(TRIM($W996),"-",""),".",""),"/","")," ",""),8),5,2),--MID(LEFT(SUBSTITUTE(SUBSTITUTE(SUBSTITUTE(SUBSTITUTE(TRIM($W996),"-",""),".",""),"/","")," ",""),8),7,2)),"")))</f>
        <v/>
      </c>
      <c r="Y996" s="32">
        <f>IF($X996="","",INT($X996))</f>
        <v/>
      </c>
      <c r="Z996" s="33">
        <f>IF(OR($Y996="",$D$6=""),"",IF(INDEX($A:$U,ROW(),$D$6)="",0,IF(ISNUMBER(INDEX($A:$U,ROW(),$D$6)),INDEX($A:$U,ROW(),$D$6),IFERROR(--SUBSTITUTE(SUBSTITUTE(TRIM(INDEX($A:$U,ROW(),$D$6)),",",""),"원",""),0))))</f>
        <v/>
      </c>
      <c r="AA996" s="31">
        <f>IF($Y996="","",TRIM(INDEX($A:$U,ROW(),$E$6)&amp;IF($F$6="",""," "&amp;INDEX($A:$U,ROW(),$F$6))))</f>
        <v/>
      </c>
      <c r="AB996" s="31">
        <f>IF($AA996="","",SUBSTITUTE(SUBSTITUTE(SUBSTITUTE(SUBSTITUTE(SUBSTITUTE(SUBSTITUTE(SUBSTITUTE(SUBSTITUTE(SUBSTITUTE($AA996," ",""),"　",""),"(주)",""),"（주）",""),"㈜",""),"주식회사",""),"(유)",""),"（유）",""),"유한회사",""))</f>
        <v/>
      </c>
      <c r="AC996" s="31">
        <f>IF(OR($Y996="",N($Z996)&lt;=0,$AB996=""),0,IFERROR(LOOKUP(2,1/((거래처별!$AC$8:$AC$307&lt;&gt;"")*ISNUMBER(SEARCH(거래처별!$AC$8:$AC$307,$AB996))),거래처별!$A$8:$A$307),IFERROR(LOOKUP(2,1/((거래처별!$AD$8:$AD$307&lt;&gt;"")*ISNUMBER(SEARCH(거래처별!$AD$8:$AD$307,$AB996))),거래처별!$A$8:$A$307),IFERROR(LOOKUP(2,1/((거래처별!$AE$8:$AE$307&lt;&gt;"")*ISNUMBER(SEARCH(거래처별!$AE$8:$AE$307,$AB996))),거래처별!$A$8:$A$307),0))))</f>
        <v/>
      </c>
      <c r="AD996" s="31">
        <f>IF(AND($Y996&lt;&gt;"",N($Z996)&gt;0,$AC996=0),MAX($AD$7:$AD995)+1,"")</f>
        <v/>
      </c>
      <c r="AE996" s="31">
        <f>IF($Y996="",0,$Y996)</f>
        <v/>
      </c>
    </row>
    <row r="997">
      <c r="W997" s="31">
        <f>IF(OR($B$5="",$C$6="",ROW()&lt;$B$5),"",IF(INDEX($A:$U,ROW(),$C$6)="","",INDEX($A:$U,ROW(),$C$6)))</f>
        <v/>
      </c>
      <c r="X997" s="32">
        <f>IF($W997="","",IF(ISNUMBER($W997),IF($W997&gt;=10000000,IFERROR(DATE(INT($W997/10000),MOD(INT($W997/100),100),MOD($W997,100)),""),INT($W997)),IFERROR(DATE(--LEFT(LEFT(SUBSTITUTE(SUBSTITUTE(SUBSTITUTE(SUBSTITUTE(TRIM($W997),"-",""),".",""),"/","")," ",""),8),4),--MID(LEFT(SUBSTITUTE(SUBSTITUTE(SUBSTITUTE(SUBSTITUTE(TRIM($W997),"-",""),".",""),"/","")," ",""),8),5,2),--MID(LEFT(SUBSTITUTE(SUBSTITUTE(SUBSTITUTE(SUBSTITUTE(TRIM($W997),"-",""),".",""),"/","")," ",""),8),7,2)),"")))</f>
        <v/>
      </c>
      <c r="Y997" s="32">
        <f>IF($X997="","",INT($X997))</f>
        <v/>
      </c>
      <c r="Z997" s="33">
        <f>IF(OR($Y997="",$D$6=""),"",IF(INDEX($A:$U,ROW(),$D$6)="",0,IF(ISNUMBER(INDEX($A:$U,ROW(),$D$6)),INDEX($A:$U,ROW(),$D$6),IFERROR(--SUBSTITUTE(SUBSTITUTE(TRIM(INDEX($A:$U,ROW(),$D$6)),",",""),"원",""),0))))</f>
        <v/>
      </c>
      <c r="AA997" s="31">
        <f>IF($Y997="","",TRIM(INDEX($A:$U,ROW(),$E$6)&amp;IF($F$6="",""," "&amp;INDEX($A:$U,ROW(),$F$6))))</f>
        <v/>
      </c>
      <c r="AB997" s="31">
        <f>IF($AA997="","",SUBSTITUTE(SUBSTITUTE(SUBSTITUTE(SUBSTITUTE(SUBSTITUTE(SUBSTITUTE(SUBSTITUTE(SUBSTITUTE(SUBSTITUTE($AA997," ",""),"　",""),"(주)",""),"（주）",""),"㈜",""),"주식회사",""),"(유)",""),"（유）",""),"유한회사",""))</f>
        <v/>
      </c>
      <c r="AC997" s="31">
        <f>IF(OR($Y997="",N($Z997)&lt;=0,$AB997=""),0,IFERROR(LOOKUP(2,1/((거래처별!$AC$8:$AC$307&lt;&gt;"")*ISNUMBER(SEARCH(거래처별!$AC$8:$AC$307,$AB997))),거래처별!$A$8:$A$307),IFERROR(LOOKUP(2,1/((거래처별!$AD$8:$AD$307&lt;&gt;"")*ISNUMBER(SEARCH(거래처별!$AD$8:$AD$307,$AB997))),거래처별!$A$8:$A$307),IFERROR(LOOKUP(2,1/((거래처별!$AE$8:$AE$307&lt;&gt;"")*ISNUMBER(SEARCH(거래처별!$AE$8:$AE$307,$AB997))),거래처별!$A$8:$A$307),0))))</f>
        <v/>
      </c>
      <c r="AD997" s="31">
        <f>IF(AND($Y997&lt;&gt;"",N($Z997)&gt;0,$AC997=0),MAX($AD$7:$AD996)+1,"")</f>
        <v/>
      </c>
      <c r="AE997" s="31">
        <f>IF($Y997="",0,$Y997)</f>
        <v/>
      </c>
    </row>
    <row r="998">
      <c r="W998" s="31">
        <f>IF(OR($B$5="",$C$6="",ROW()&lt;$B$5),"",IF(INDEX($A:$U,ROW(),$C$6)="","",INDEX($A:$U,ROW(),$C$6)))</f>
        <v/>
      </c>
      <c r="X998" s="32">
        <f>IF($W998="","",IF(ISNUMBER($W998),IF($W998&gt;=10000000,IFERROR(DATE(INT($W998/10000),MOD(INT($W998/100),100),MOD($W998,100)),""),INT($W998)),IFERROR(DATE(--LEFT(LEFT(SUBSTITUTE(SUBSTITUTE(SUBSTITUTE(SUBSTITUTE(TRIM($W998),"-",""),".",""),"/","")," ",""),8),4),--MID(LEFT(SUBSTITUTE(SUBSTITUTE(SUBSTITUTE(SUBSTITUTE(TRIM($W998),"-",""),".",""),"/","")," ",""),8),5,2),--MID(LEFT(SUBSTITUTE(SUBSTITUTE(SUBSTITUTE(SUBSTITUTE(TRIM($W998),"-",""),".",""),"/","")," ",""),8),7,2)),"")))</f>
        <v/>
      </c>
      <c r="Y998" s="32">
        <f>IF($X998="","",INT($X998))</f>
        <v/>
      </c>
      <c r="Z998" s="33">
        <f>IF(OR($Y998="",$D$6=""),"",IF(INDEX($A:$U,ROW(),$D$6)="",0,IF(ISNUMBER(INDEX($A:$U,ROW(),$D$6)),INDEX($A:$U,ROW(),$D$6),IFERROR(--SUBSTITUTE(SUBSTITUTE(TRIM(INDEX($A:$U,ROW(),$D$6)),",",""),"원",""),0))))</f>
        <v/>
      </c>
      <c r="AA998" s="31">
        <f>IF($Y998="","",TRIM(INDEX($A:$U,ROW(),$E$6)&amp;IF($F$6="",""," "&amp;INDEX($A:$U,ROW(),$F$6))))</f>
        <v/>
      </c>
      <c r="AB998" s="31">
        <f>IF($AA998="","",SUBSTITUTE(SUBSTITUTE(SUBSTITUTE(SUBSTITUTE(SUBSTITUTE(SUBSTITUTE(SUBSTITUTE(SUBSTITUTE(SUBSTITUTE($AA998," ",""),"　",""),"(주)",""),"（주）",""),"㈜",""),"주식회사",""),"(유)",""),"（유）",""),"유한회사",""))</f>
        <v/>
      </c>
      <c r="AC998" s="31">
        <f>IF(OR($Y998="",N($Z998)&lt;=0,$AB998=""),0,IFERROR(LOOKUP(2,1/((거래처별!$AC$8:$AC$307&lt;&gt;"")*ISNUMBER(SEARCH(거래처별!$AC$8:$AC$307,$AB998))),거래처별!$A$8:$A$307),IFERROR(LOOKUP(2,1/((거래처별!$AD$8:$AD$307&lt;&gt;"")*ISNUMBER(SEARCH(거래처별!$AD$8:$AD$307,$AB998))),거래처별!$A$8:$A$307),IFERROR(LOOKUP(2,1/((거래처별!$AE$8:$AE$307&lt;&gt;"")*ISNUMBER(SEARCH(거래처별!$AE$8:$AE$307,$AB998))),거래처별!$A$8:$A$307),0))))</f>
        <v/>
      </c>
      <c r="AD998" s="31">
        <f>IF(AND($Y998&lt;&gt;"",N($Z998)&gt;0,$AC998=0),MAX($AD$7:$AD997)+1,"")</f>
        <v/>
      </c>
      <c r="AE998" s="31">
        <f>IF($Y998="",0,$Y998)</f>
        <v/>
      </c>
    </row>
    <row r="999">
      <c r="W999" s="31">
        <f>IF(OR($B$5="",$C$6="",ROW()&lt;$B$5),"",IF(INDEX($A:$U,ROW(),$C$6)="","",INDEX($A:$U,ROW(),$C$6)))</f>
        <v/>
      </c>
      <c r="X999" s="32">
        <f>IF($W999="","",IF(ISNUMBER($W999),IF($W999&gt;=10000000,IFERROR(DATE(INT($W999/10000),MOD(INT($W999/100),100),MOD($W999,100)),""),INT($W999)),IFERROR(DATE(--LEFT(LEFT(SUBSTITUTE(SUBSTITUTE(SUBSTITUTE(SUBSTITUTE(TRIM($W999),"-",""),".",""),"/","")," ",""),8),4),--MID(LEFT(SUBSTITUTE(SUBSTITUTE(SUBSTITUTE(SUBSTITUTE(TRIM($W999),"-",""),".",""),"/","")," ",""),8),5,2),--MID(LEFT(SUBSTITUTE(SUBSTITUTE(SUBSTITUTE(SUBSTITUTE(TRIM($W999),"-",""),".",""),"/","")," ",""),8),7,2)),"")))</f>
        <v/>
      </c>
      <c r="Y999" s="32">
        <f>IF($X999="","",INT($X999))</f>
        <v/>
      </c>
      <c r="Z999" s="33">
        <f>IF(OR($Y999="",$D$6=""),"",IF(INDEX($A:$U,ROW(),$D$6)="",0,IF(ISNUMBER(INDEX($A:$U,ROW(),$D$6)),INDEX($A:$U,ROW(),$D$6),IFERROR(--SUBSTITUTE(SUBSTITUTE(TRIM(INDEX($A:$U,ROW(),$D$6)),",",""),"원",""),0))))</f>
        <v/>
      </c>
      <c r="AA999" s="31">
        <f>IF($Y999="","",TRIM(INDEX($A:$U,ROW(),$E$6)&amp;IF($F$6="",""," "&amp;INDEX($A:$U,ROW(),$F$6))))</f>
        <v/>
      </c>
      <c r="AB999" s="31">
        <f>IF($AA999="","",SUBSTITUTE(SUBSTITUTE(SUBSTITUTE(SUBSTITUTE(SUBSTITUTE(SUBSTITUTE(SUBSTITUTE(SUBSTITUTE(SUBSTITUTE($AA999," ",""),"　",""),"(주)",""),"（주）",""),"㈜",""),"주식회사",""),"(유)",""),"（유）",""),"유한회사",""))</f>
        <v/>
      </c>
      <c r="AC999" s="31">
        <f>IF(OR($Y999="",N($Z999)&lt;=0,$AB999=""),0,IFERROR(LOOKUP(2,1/((거래처별!$AC$8:$AC$307&lt;&gt;"")*ISNUMBER(SEARCH(거래처별!$AC$8:$AC$307,$AB999))),거래처별!$A$8:$A$307),IFERROR(LOOKUP(2,1/((거래처별!$AD$8:$AD$307&lt;&gt;"")*ISNUMBER(SEARCH(거래처별!$AD$8:$AD$307,$AB999))),거래처별!$A$8:$A$307),IFERROR(LOOKUP(2,1/((거래처별!$AE$8:$AE$307&lt;&gt;"")*ISNUMBER(SEARCH(거래처별!$AE$8:$AE$307,$AB999))),거래처별!$A$8:$A$307),0))))</f>
        <v/>
      </c>
      <c r="AD999" s="31">
        <f>IF(AND($Y999&lt;&gt;"",N($Z999)&gt;0,$AC999=0),MAX($AD$7:$AD998)+1,"")</f>
        <v/>
      </c>
      <c r="AE999" s="31">
        <f>IF($Y999="",0,$Y999)</f>
        <v/>
      </c>
    </row>
    <row r="1000">
      <c r="W1000" s="31">
        <f>IF(OR($B$5="",$C$6="",ROW()&lt;$B$5),"",IF(INDEX($A:$U,ROW(),$C$6)="","",INDEX($A:$U,ROW(),$C$6)))</f>
        <v/>
      </c>
      <c r="X1000" s="32">
        <f>IF($W1000="","",IF(ISNUMBER($W1000),IF($W1000&gt;=10000000,IFERROR(DATE(INT($W1000/10000),MOD(INT($W1000/100),100),MOD($W1000,100)),""),INT($W1000)),IFERROR(DATE(--LEFT(LEFT(SUBSTITUTE(SUBSTITUTE(SUBSTITUTE(SUBSTITUTE(TRIM($W1000),"-",""),".",""),"/","")," ",""),8),4),--MID(LEFT(SUBSTITUTE(SUBSTITUTE(SUBSTITUTE(SUBSTITUTE(TRIM($W1000),"-",""),".",""),"/","")," ",""),8),5,2),--MID(LEFT(SUBSTITUTE(SUBSTITUTE(SUBSTITUTE(SUBSTITUTE(TRIM($W1000),"-",""),".",""),"/","")," ",""),8),7,2)),"")))</f>
        <v/>
      </c>
      <c r="Y1000" s="32">
        <f>IF($X1000="","",INT($X1000))</f>
        <v/>
      </c>
      <c r="Z1000" s="33">
        <f>IF(OR($Y1000="",$D$6=""),"",IF(INDEX($A:$U,ROW(),$D$6)="",0,IF(ISNUMBER(INDEX($A:$U,ROW(),$D$6)),INDEX($A:$U,ROW(),$D$6),IFERROR(--SUBSTITUTE(SUBSTITUTE(TRIM(INDEX($A:$U,ROW(),$D$6)),",",""),"원",""),0))))</f>
        <v/>
      </c>
      <c r="AA1000" s="31">
        <f>IF($Y1000="","",TRIM(INDEX($A:$U,ROW(),$E$6)&amp;IF($F$6="",""," "&amp;INDEX($A:$U,ROW(),$F$6))))</f>
        <v/>
      </c>
      <c r="AB1000" s="31">
        <f>IF($AA1000="","",SUBSTITUTE(SUBSTITUTE(SUBSTITUTE(SUBSTITUTE(SUBSTITUTE(SUBSTITUTE(SUBSTITUTE(SUBSTITUTE(SUBSTITUTE($AA1000," ",""),"　",""),"(주)",""),"（주）",""),"㈜",""),"주식회사",""),"(유)",""),"（유）",""),"유한회사",""))</f>
        <v/>
      </c>
      <c r="AC1000" s="31">
        <f>IF(OR($Y1000="",N($Z1000)&lt;=0,$AB1000=""),0,IFERROR(LOOKUP(2,1/((거래처별!$AC$8:$AC$307&lt;&gt;"")*ISNUMBER(SEARCH(거래처별!$AC$8:$AC$307,$AB1000))),거래처별!$A$8:$A$307),IFERROR(LOOKUP(2,1/((거래처별!$AD$8:$AD$307&lt;&gt;"")*ISNUMBER(SEARCH(거래처별!$AD$8:$AD$307,$AB1000))),거래처별!$A$8:$A$307),IFERROR(LOOKUP(2,1/((거래처별!$AE$8:$AE$307&lt;&gt;"")*ISNUMBER(SEARCH(거래처별!$AE$8:$AE$307,$AB1000))),거래처별!$A$8:$A$307),0))))</f>
        <v/>
      </c>
      <c r="AD1000" s="31">
        <f>IF(AND($Y1000&lt;&gt;"",N($Z1000)&gt;0,$AC1000=0),MAX($AD$7:$AD999)+1,"")</f>
        <v/>
      </c>
      <c r="AE1000" s="31">
        <f>IF($Y1000="",0,$Y1000)</f>
        <v/>
      </c>
    </row>
    <row r="1001">
      <c r="W1001" s="31">
        <f>IF(OR($B$5="",$C$6="",ROW()&lt;$B$5),"",IF(INDEX($A:$U,ROW(),$C$6)="","",INDEX($A:$U,ROW(),$C$6)))</f>
        <v/>
      </c>
      <c r="X1001" s="32">
        <f>IF($W1001="","",IF(ISNUMBER($W1001),IF($W1001&gt;=10000000,IFERROR(DATE(INT($W1001/10000),MOD(INT($W1001/100),100),MOD($W1001,100)),""),INT($W1001)),IFERROR(DATE(--LEFT(LEFT(SUBSTITUTE(SUBSTITUTE(SUBSTITUTE(SUBSTITUTE(TRIM($W1001),"-",""),".",""),"/","")," ",""),8),4),--MID(LEFT(SUBSTITUTE(SUBSTITUTE(SUBSTITUTE(SUBSTITUTE(TRIM($W1001),"-",""),".",""),"/","")," ",""),8),5,2),--MID(LEFT(SUBSTITUTE(SUBSTITUTE(SUBSTITUTE(SUBSTITUTE(TRIM($W1001),"-",""),".",""),"/","")," ",""),8),7,2)),"")))</f>
        <v/>
      </c>
      <c r="Y1001" s="32">
        <f>IF($X1001="","",INT($X1001))</f>
        <v/>
      </c>
      <c r="Z1001" s="33">
        <f>IF(OR($Y1001="",$D$6=""),"",IF(INDEX($A:$U,ROW(),$D$6)="",0,IF(ISNUMBER(INDEX($A:$U,ROW(),$D$6)),INDEX($A:$U,ROW(),$D$6),IFERROR(--SUBSTITUTE(SUBSTITUTE(TRIM(INDEX($A:$U,ROW(),$D$6)),",",""),"원",""),0))))</f>
        <v/>
      </c>
      <c r="AA1001" s="31">
        <f>IF($Y1001="","",TRIM(INDEX($A:$U,ROW(),$E$6)&amp;IF($F$6="",""," "&amp;INDEX($A:$U,ROW(),$F$6))))</f>
        <v/>
      </c>
      <c r="AB1001" s="31">
        <f>IF($AA1001="","",SUBSTITUTE(SUBSTITUTE(SUBSTITUTE(SUBSTITUTE(SUBSTITUTE(SUBSTITUTE(SUBSTITUTE(SUBSTITUTE(SUBSTITUTE($AA1001," ",""),"　",""),"(주)",""),"（주）",""),"㈜",""),"주식회사",""),"(유)",""),"（유）",""),"유한회사",""))</f>
        <v/>
      </c>
      <c r="AC1001" s="31">
        <f>IF(OR($Y1001="",N($Z1001)&lt;=0,$AB1001=""),0,IFERROR(LOOKUP(2,1/((거래처별!$AC$8:$AC$307&lt;&gt;"")*ISNUMBER(SEARCH(거래처별!$AC$8:$AC$307,$AB1001))),거래처별!$A$8:$A$307),IFERROR(LOOKUP(2,1/((거래처별!$AD$8:$AD$307&lt;&gt;"")*ISNUMBER(SEARCH(거래처별!$AD$8:$AD$307,$AB1001))),거래처별!$A$8:$A$307),IFERROR(LOOKUP(2,1/((거래처별!$AE$8:$AE$307&lt;&gt;"")*ISNUMBER(SEARCH(거래처별!$AE$8:$AE$307,$AB1001))),거래처별!$A$8:$A$307),0))))</f>
        <v/>
      </c>
      <c r="AD1001" s="31">
        <f>IF(AND($Y1001&lt;&gt;"",N($Z1001)&gt;0,$AC1001=0),MAX($AD$7:$AD1000)+1,"")</f>
        <v/>
      </c>
      <c r="AE1001" s="31">
        <f>IF($Y1001="",0,$Y1001)</f>
        <v/>
      </c>
    </row>
    <row r="1002">
      <c r="W1002" s="31">
        <f>IF(OR($B$5="",$C$6="",ROW()&lt;$B$5),"",IF(INDEX($A:$U,ROW(),$C$6)="","",INDEX($A:$U,ROW(),$C$6)))</f>
        <v/>
      </c>
      <c r="X1002" s="32">
        <f>IF($W1002="","",IF(ISNUMBER($W1002),IF($W1002&gt;=10000000,IFERROR(DATE(INT($W1002/10000),MOD(INT($W1002/100),100),MOD($W1002,100)),""),INT($W1002)),IFERROR(DATE(--LEFT(LEFT(SUBSTITUTE(SUBSTITUTE(SUBSTITUTE(SUBSTITUTE(TRIM($W1002),"-",""),".",""),"/","")," ",""),8),4),--MID(LEFT(SUBSTITUTE(SUBSTITUTE(SUBSTITUTE(SUBSTITUTE(TRIM($W1002),"-",""),".",""),"/","")," ",""),8),5,2),--MID(LEFT(SUBSTITUTE(SUBSTITUTE(SUBSTITUTE(SUBSTITUTE(TRIM($W1002),"-",""),".",""),"/","")," ",""),8),7,2)),"")))</f>
        <v/>
      </c>
      <c r="Y1002" s="32">
        <f>IF($X1002="","",INT($X1002))</f>
        <v/>
      </c>
      <c r="Z1002" s="33">
        <f>IF(OR($Y1002="",$D$6=""),"",IF(INDEX($A:$U,ROW(),$D$6)="",0,IF(ISNUMBER(INDEX($A:$U,ROW(),$D$6)),INDEX($A:$U,ROW(),$D$6),IFERROR(--SUBSTITUTE(SUBSTITUTE(TRIM(INDEX($A:$U,ROW(),$D$6)),",",""),"원",""),0))))</f>
        <v/>
      </c>
      <c r="AA1002" s="31">
        <f>IF($Y1002="","",TRIM(INDEX($A:$U,ROW(),$E$6)&amp;IF($F$6="",""," "&amp;INDEX($A:$U,ROW(),$F$6))))</f>
        <v/>
      </c>
      <c r="AB1002" s="31">
        <f>IF($AA1002="","",SUBSTITUTE(SUBSTITUTE(SUBSTITUTE(SUBSTITUTE(SUBSTITUTE(SUBSTITUTE(SUBSTITUTE(SUBSTITUTE(SUBSTITUTE($AA1002," ",""),"　",""),"(주)",""),"（주）",""),"㈜",""),"주식회사",""),"(유)",""),"（유）",""),"유한회사",""))</f>
        <v/>
      </c>
      <c r="AC1002" s="31">
        <f>IF(OR($Y1002="",N($Z1002)&lt;=0,$AB1002=""),0,IFERROR(LOOKUP(2,1/((거래처별!$AC$8:$AC$307&lt;&gt;"")*ISNUMBER(SEARCH(거래처별!$AC$8:$AC$307,$AB1002))),거래처별!$A$8:$A$307),IFERROR(LOOKUP(2,1/((거래처별!$AD$8:$AD$307&lt;&gt;"")*ISNUMBER(SEARCH(거래처별!$AD$8:$AD$307,$AB1002))),거래처별!$A$8:$A$307),IFERROR(LOOKUP(2,1/((거래처별!$AE$8:$AE$307&lt;&gt;"")*ISNUMBER(SEARCH(거래처별!$AE$8:$AE$307,$AB1002))),거래처별!$A$8:$A$307),0))))</f>
        <v/>
      </c>
      <c r="AD1002" s="31">
        <f>IF(AND($Y1002&lt;&gt;"",N($Z1002)&gt;0,$AC1002=0),MAX($AD$7:$AD1001)+1,"")</f>
        <v/>
      </c>
      <c r="AE1002" s="31">
        <f>IF($Y1002="",0,$Y1002)</f>
        <v/>
      </c>
    </row>
    <row r="1003">
      <c r="W1003" s="31">
        <f>IF(OR($B$5="",$C$6="",ROW()&lt;$B$5),"",IF(INDEX($A:$U,ROW(),$C$6)="","",INDEX($A:$U,ROW(),$C$6)))</f>
        <v/>
      </c>
      <c r="X1003" s="32">
        <f>IF($W1003="","",IF(ISNUMBER($W1003),IF($W1003&gt;=10000000,IFERROR(DATE(INT($W1003/10000),MOD(INT($W1003/100),100),MOD($W1003,100)),""),INT($W1003)),IFERROR(DATE(--LEFT(LEFT(SUBSTITUTE(SUBSTITUTE(SUBSTITUTE(SUBSTITUTE(TRIM($W1003),"-",""),".",""),"/","")," ",""),8),4),--MID(LEFT(SUBSTITUTE(SUBSTITUTE(SUBSTITUTE(SUBSTITUTE(TRIM($W1003),"-",""),".",""),"/","")," ",""),8),5,2),--MID(LEFT(SUBSTITUTE(SUBSTITUTE(SUBSTITUTE(SUBSTITUTE(TRIM($W1003),"-",""),".",""),"/","")," ",""),8),7,2)),"")))</f>
        <v/>
      </c>
      <c r="Y1003" s="32">
        <f>IF($X1003="","",INT($X1003))</f>
        <v/>
      </c>
      <c r="Z1003" s="33">
        <f>IF(OR($Y1003="",$D$6=""),"",IF(INDEX($A:$U,ROW(),$D$6)="",0,IF(ISNUMBER(INDEX($A:$U,ROW(),$D$6)),INDEX($A:$U,ROW(),$D$6),IFERROR(--SUBSTITUTE(SUBSTITUTE(TRIM(INDEX($A:$U,ROW(),$D$6)),",",""),"원",""),0))))</f>
        <v/>
      </c>
      <c r="AA1003" s="31">
        <f>IF($Y1003="","",TRIM(INDEX($A:$U,ROW(),$E$6)&amp;IF($F$6="",""," "&amp;INDEX($A:$U,ROW(),$F$6))))</f>
        <v/>
      </c>
      <c r="AB1003" s="31">
        <f>IF($AA1003="","",SUBSTITUTE(SUBSTITUTE(SUBSTITUTE(SUBSTITUTE(SUBSTITUTE(SUBSTITUTE(SUBSTITUTE(SUBSTITUTE(SUBSTITUTE($AA1003," ",""),"　",""),"(주)",""),"（주）",""),"㈜",""),"주식회사",""),"(유)",""),"（유）",""),"유한회사",""))</f>
        <v/>
      </c>
      <c r="AC1003" s="31">
        <f>IF(OR($Y1003="",N($Z1003)&lt;=0,$AB1003=""),0,IFERROR(LOOKUP(2,1/((거래처별!$AC$8:$AC$307&lt;&gt;"")*ISNUMBER(SEARCH(거래처별!$AC$8:$AC$307,$AB1003))),거래처별!$A$8:$A$307),IFERROR(LOOKUP(2,1/((거래처별!$AD$8:$AD$307&lt;&gt;"")*ISNUMBER(SEARCH(거래처별!$AD$8:$AD$307,$AB1003))),거래처별!$A$8:$A$307),IFERROR(LOOKUP(2,1/((거래처별!$AE$8:$AE$307&lt;&gt;"")*ISNUMBER(SEARCH(거래처별!$AE$8:$AE$307,$AB1003))),거래처별!$A$8:$A$307),0))))</f>
        <v/>
      </c>
      <c r="AD1003" s="31">
        <f>IF(AND($Y1003&lt;&gt;"",N($Z1003)&gt;0,$AC1003=0),MAX($AD$7:$AD1002)+1,"")</f>
        <v/>
      </c>
      <c r="AE1003" s="31">
        <f>IF($Y1003="",0,$Y1003)</f>
        <v/>
      </c>
    </row>
    <row r="1004">
      <c r="W1004" s="31">
        <f>IF(OR($B$5="",$C$6="",ROW()&lt;$B$5),"",IF(INDEX($A:$U,ROW(),$C$6)="","",INDEX($A:$U,ROW(),$C$6)))</f>
        <v/>
      </c>
      <c r="X1004" s="32">
        <f>IF($W1004="","",IF(ISNUMBER($W1004),IF($W1004&gt;=10000000,IFERROR(DATE(INT($W1004/10000),MOD(INT($W1004/100),100),MOD($W1004,100)),""),INT($W1004)),IFERROR(DATE(--LEFT(LEFT(SUBSTITUTE(SUBSTITUTE(SUBSTITUTE(SUBSTITUTE(TRIM($W1004),"-",""),".",""),"/","")," ",""),8),4),--MID(LEFT(SUBSTITUTE(SUBSTITUTE(SUBSTITUTE(SUBSTITUTE(TRIM($W1004),"-",""),".",""),"/","")," ",""),8),5,2),--MID(LEFT(SUBSTITUTE(SUBSTITUTE(SUBSTITUTE(SUBSTITUTE(TRIM($W1004),"-",""),".",""),"/","")," ",""),8),7,2)),"")))</f>
        <v/>
      </c>
      <c r="Y1004" s="32">
        <f>IF($X1004="","",INT($X1004))</f>
        <v/>
      </c>
      <c r="Z1004" s="33">
        <f>IF(OR($Y1004="",$D$6=""),"",IF(INDEX($A:$U,ROW(),$D$6)="",0,IF(ISNUMBER(INDEX($A:$U,ROW(),$D$6)),INDEX($A:$U,ROW(),$D$6),IFERROR(--SUBSTITUTE(SUBSTITUTE(TRIM(INDEX($A:$U,ROW(),$D$6)),",",""),"원",""),0))))</f>
        <v/>
      </c>
      <c r="AA1004" s="31">
        <f>IF($Y1004="","",TRIM(INDEX($A:$U,ROW(),$E$6)&amp;IF($F$6="",""," "&amp;INDEX($A:$U,ROW(),$F$6))))</f>
        <v/>
      </c>
      <c r="AB1004" s="31">
        <f>IF($AA1004="","",SUBSTITUTE(SUBSTITUTE(SUBSTITUTE(SUBSTITUTE(SUBSTITUTE(SUBSTITUTE(SUBSTITUTE(SUBSTITUTE(SUBSTITUTE($AA1004," ",""),"　",""),"(주)",""),"（주）",""),"㈜",""),"주식회사",""),"(유)",""),"（유）",""),"유한회사",""))</f>
        <v/>
      </c>
      <c r="AC1004" s="31">
        <f>IF(OR($Y1004="",N($Z1004)&lt;=0,$AB1004=""),0,IFERROR(LOOKUP(2,1/((거래처별!$AC$8:$AC$307&lt;&gt;"")*ISNUMBER(SEARCH(거래처별!$AC$8:$AC$307,$AB1004))),거래처별!$A$8:$A$307),IFERROR(LOOKUP(2,1/((거래처별!$AD$8:$AD$307&lt;&gt;"")*ISNUMBER(SEARCH(거래처별!$AD$8:$AD$307,$AB1004))),거래처별!$A$8:$A$307),IFERROR(LOOKUP(2,1/((거래처별!$AE$8:$AE$307&lt;&gt;"")*ISNUMBER(SEARCH(거래처별!$AE$8:$AE$307,$AB1004))),거래처별!$A$8:$A$307),0))))</f>
        <v/>
      </c>
      <c r="AD1004" s="31">
        <f>IF(AND($Y1004&lt;&gt;"",N($Z1004)&gt;0,$AC1004=0),MAX($AD$7:$AD1003)+1,"")</f>
        <v/>
      </c>
      <c r="AE1004" s="31">
        <f>IF($Y1004="",0,$Y1004)</f>
        <v/>
      </c>
    </row>
    <row r="1005">
      <c r="W1005" s="31">
        <f>IF(OR($B$5="",$C$6="",ROW()&lt;$B$5),"",IF(INDEX($A:$U,ROW(),$C$6)="","",INDEX($A:$U,ROW(),$C$6)))</f>
        <v/>
      </c>
      <c r="X1005" s="32">
        <f>IF($W1005="","",IF(ISNUMBER($W1005),IF($W1005&gt;=10000000,IFERROR(DATE(INT($W1005/10000),MOD(INT($W1005/100),100),MOD($W1005,100)),""),INT($W1005)),IFERROR(DATE(--LEFT(LEFT(SUBSTITUTE(SUBSTITUTE(SUBSTITUTE(SUBSTITUTE(TRIM($W1005),"-",""),".",""),"/","")," ",""),8),4),--MID(LEFT(SUBSTITUTE(SUBSTITUTE(SUBSTITUTE(SUBSTITUTE(TRIM($W1005),"-",""),".",""),"/","")," ",""),8),5,2),--MID(LEFT(SUBSTITUTE(SUBSTITUTE(SUBSTITUTE(SUBSTITUTE(TRIM($W1005),"-",""),".",""),"/","")," ",""),8),7,2)),"")))</f>
        <v/>
      </c>
      <c r="Y1005" s="32">
        <f>IF($X1005="","",INT($X1005))</f>
        <v/>
      </c>
      <c r="Z1005" s="33">
        <f>IF(OR($Y1005="",$D$6=""),"",IF(INDEX($A:$U,ROW(),$D$6)="",0,IF(ISNUMBER(INDEX($A:$U,ROW(),$D$6)),INDEX($A:$U,ROW(),$D$6),IFERROR(--SUBSTITUTE(SUBSTITUTE(TRIM(INDEX($A:$U,ROW(),$D$6)),",",""),"원",""),0))))</f>
        <v/>
      </c>
      <c r="AA1005" s="31">
        <f>IF($Y1005="","",TRIM(INDEX($A:$U,ROW(),$E$6)&amp;IF($F$6="",""," "&amp;INDEX($A:$U,ROW(),$F$6))))</f>
        <v/>
      </c>
      <c r="AB1005" s="31">
        <f>IF($AA1005="","",SUBSTITUTE(SUBSTITUTE(SUBSTITUTE(SUBSTITUTE(SUBSTITUTE(SUBSTITUTE(SUBSTITUTE(SUBSTITUTE(SUBSTITUTE($AA1005," ",""),"　",""),"(주)",""),"（주）",""),"㈜",""),"주식회사",""),"(유)",""),"（유）",""),"유한회사",""))</f>
        <v/>
      </c>
      <c r="AC1005" s="31">
        <f>IF(OR($Y1005="",N($Z1005)&lt;=0,$AB1005=""),0,IFERROR(LOOKUP(2,1/((거래처별!$AC$8:$AC$307&lt;&gt;"")*ISNUMBER(SEARCH(거래처별!$AC$8:$AC$307,$AB1005))),거래처별!$A$8:$A$307),IFERROR(LOOKUP(2,1/((거래처별!$AD$8:$AD$307&lt;&gt;"")*ISNUMBER(SEARCH(거래처별!$AD$8:$AD$307,$AB1005))),거래처별!$A$8:$A$307),IFERROR(LOOKUP(2,1/((거래처별!$AE$8:$AE$307&lt;&gt;"")*ISNUMBER(SEARCH(거래처별!$AE$8:$AE$307,$AB1005))),거래처별!$A$8:$A$307),0))))</f>
        <v/>
      </c>
      <c r="AD1005" s="31">
        <f>IF(AND($Y1005&lt;&gt;"",N($Z1005)&gt;0,$AC1005=0),MAX($AD$7:$AD1004)+1,"")</f>
        <v/>
      </c>
      <c r="AE1005" s="31">
        <f>IF($Y1005="",0,$Y1005)</f>
        <v/>
      </c>
    </row>
    <row r="1006">
      <c r="W1006" s="31">
        <f>IF(OR($B$5="",$C$6="",ROW()&lt;$B$5),"",IF(INDEX($A:$U,ROW(),$C$6)="","",INDEX($A:$U,ROW(),$C$6)))</f>
        <v/>
      </c>
      <c r="X1006" s="32">
        <f>IF($W1006="","",IF(ISNUMBER($W1006),IF($W1006&gt;=10000000,IFERROR(DATE(INT($W1006/10000),MOD(INT($W1006/100),100),MOD($W1006,100)),""),INT($W1006)),IFERROR(DATE(--LEFT(LEFT(SUBSTITUTE(SUBSTITUTE(SUBSTITUTE(SUBSTITUTE(TRIM($W1006),"-",""),".",""),"/","")," ",""),8),4),--MID(LEFT(SUBSTITUTE(SUBSTITUTE(SUBSTITUTE(SUBSTITUTE(TRIM($W1006),"-",""),".",""),"/","")," ",""),8),5,2),--MID(LEFT(SUBSTITUTE(SUBSTITUTE(SUBSTITUTE(SUBSTITUTE(TRIM($W1006),"-",""),".",""),"/","")," ",""),8),7,2)),"")))</f>
        <v/>
      </c>
      <c r="Y1006" s="32">
        <f>IF($X1006="","",INT($X1006))</f>
        <v/>
      </c>
      <c r="Z1006" s="33">
        <f>IF(OR($Y1006="",$D$6=""),"",IF(INDEX($A:$U,ROW(),$D$6)="",0,IF(ISNUMBER(INDEX($A:$U,ROW(),$D$6)),INDEX($A:$U,ROW(),$D$6),IFERROR(--SUBSTITUTE(SUBSTITUTE(TRIM(INDEX($A:$U,ROW(),$D$6)),",",""),"원",""),0))))</f>
        <v/>
      </c>
      <c r="AA1006" s="31">
        <f>IF($Y1006="","",TRIM(INDEX($A:$U,ROW(),$E$6)&amp;IF($F$6="",""," "&amp;INDEX($A:$U,ROW(),$F$6))))</f>
        <v/>
      </c>
      <c r="AB1006" s="31">
        <f>IF($AA1006="","",SUBSTITUTE(SUBSTITUTE(SUBSTITUTE(SUBSTITUTE(SUBSTITUTE(SUBSTITUTE(SUBSTITUTE(SUBSTITUTE(SUBSTITUTE($AA1006," ",""),"　",""),"(주)",""),"（주）",""),"㈜",""),"주식회사",""),"(유)",""),"（유）",""),"유한회사",""))</f>
        <v/>
      </c>
      <c r="AC1006" s="31">
        <f>IF(OR($Y1006="",N($Z1006)&lt;=0,$AB1006=""),0,IFERROR(LOOKUP(2,1/((거래처별!$AC$8:$AC$307&lt;&gt;"")*ISNUMBER(SEARCH(거래처별!$AC$8:$AC$307,$AB1006))),거래처별!$A$8:$A$307),IFERROR(LOOKUP(2,1/((거래처별!$AD$8:$AD$307&lt;&gt;"")*ISNUMBER(SEARCH(거래처별!$AD$8:$AD$307,$AB1006))),거래처별!$A$8:$A$307),IFERROR(LOOKUP(2,1/((거래처별!$AE$8:$AE$307&lt;&gt;"")*ISNUMBER(SEARCH(거래처별!$AE$8:$AE$307,$AB1006))),거래처별!$A$8:$A$307),0))))</f>
        <v/>
      </c>
      <c r="AD1006" s="31">
        <f>IF(AND($Y1006&lt;&gt;"",N($Z1006)&gt;0,$AC1006=0),MAX($AD$7:$AD1005)+1,"")</f>
        <v/>
      </c>
      <c r="AE1006" s="31">
        <f>IF($Y1006="",0,$Y1006)</f>
        <v/>
      </c>
    </row>
    <row r="1007">
      <c r="W1007" s="31">
        <f>IF(OR($B$5="",$C$6="",ROW()&lt;$B$5),"",IF(INDEX($A:$U,ROW(),$C$6)="","",INDEX($A:$U,ROW(),$C$6)))</f>
        <v/>
      </c>
      <c r="X1007" s="32">
        <f>IF($W1007="","",IF(ISNUMBER($W1007),IF($W1007&gt;=10000000,IFERROR(DATE(INT($W1007/10000),MOD(INT($W1007/100),100),MOD($W1007,100)),""),INT($W1007)),IFERROR(DATE(--LEFT(LEFT(SUBSTITUTE(SUBSTITUTE(SUBSTITUTE(SUBSTITUTE(TRIM($W1007),"-",""),".",""),"/","")," ",""),8),4),--MID(LEFT(SUBSTITUTE(SUBSTITUTE(SUBSTITUTE(SUBSTITUTE(TRIM($W1007),"-",""),".",""),"/","")," ",""),8),5,2),--MID(LEFT(SUBSTITUTE(SUBSTITUTE(SUBSTITUTE(SUBSTITUTE(TRIM($W1007),"-",""),".",""),"/","")," ",""),8),7,2)),"")))</f>
        <v/>
      </c>
      <c r="Y1007" s="32">
        <f>IF($X1007="","",INT($X1007))</f>
        <v/>
      </c>
      <c r="Z1007" s="33">
        <f>IF(OR($Y1007="",$D$6=""),"",IF(INDEX($A:$U,ROW(),$D$6)="",0,IF(ISNUMBER(INDEX($A:$U,ROW(),$D$6)),INDEX($A:$U,ROW(),$D$6),IFERROR(--SUBSTITUTE(SUBSTITUTE(TRIM(INDEX($A:$U,ROW(),$D$6)),",",""),"원",""),0))))</f>
        <v/>
      </c>
      <c r="AA1007" s="31">
        <f>IF($Y1007="","",TRIM(INDEX($A:$U,ROW(),$E$6)&amp;IF($F$6="",""," "&amp;INDEX($A:$U,ROW(),$F$6))))</f>
        <v/>
      </c>
      <c r="AB1007" s="31">
        <f>IF($AA1007="","",SUBSTITUTE(SUBSTITUTE(SUBSTITUTE(SUBSTITUTE(SUBSTITUTE(SUBSTITUTE(SUBSTITUTE(SUBSTITUTE(SUBSTITUTE($AA1007," ",""),"　",""),"(주)",""),"（주）",""),"㈜",""),"주식회사",""),"(유)",""),"（유）",""),"유한회사",""))</f>
        <v/>
      </c>
      <c r="AC1007" s="31">
        <f>IF(OR($Y1007="",N($Z1007)&lt;=0,$AB1007=""),0,IFERROR(LOOKUP(2,1/((거래처별!$AC$8:$AC$307&lt;&gt;"")*ISNUMBER(SEARCH(거래처별!$AC$8:$AC$307,$AB1007))),거래처별!$A$8:$A$307),IFERROR(LOOKUP(2,1/((거래처별!$AD$8:$AD$307&lt;&gt;"")*ISNUMBER(SEARCH(거래처별!$AD$8:$AD$307,$AB1007))),거래처별!$A$8:$A$307),IFERROR(LOOKUP(2,1/((거래처별!$AE$8:$AE$307&lt;&gt;"")*ISNUMBER(SEARCH(거래처별!$AE$8:$AE$307,$AB1007))),거래처별!$A$8:$A$307),0))))</f>
        <v/>
      </c>
      <c r="AD1007" s="31">
        <f>IF(AND($Y1007&lt;&gt;"",N($Z1007)&gt;0,$AC1007=0),MAX($AD$7:$AD1006)+1,"")</f>
        <v/>
      </c>
      <c r="AE1007" s="31">
        <f>IF($Y1007="",0,$Y1007)</f>
        <v/>
      </c>
    </row>
    <row r="1008">
      <c r="W1008" s="31">
        <f>IF(OR($B$5="",$C$6="",ROW()&lt;$B$5),"",IF(INDEX($A:$U,ROW(),$C$6)="","",INDEX($A:$U,ROW(),$C$6)))</f>
        <v/>
      </c>
      <c r="X1008" s="32">
        <f>IF($W1008="","",IF(ISNUMBER($W1008),IF($W1008&gt;=10000000,IFERROR(DATE(INT($W1008/10000),MOD(INT($W1008/100),100),MOD($W1008,100)),""),INT($W1008)),IFERROR(DATE(--LEFT(LEFT(SUBSTITUTE(SUBSTITUTE(SUBSTITUTE(SUBSTITUTE(TRIM($W1008),"-",""),".",""),"/","")," ",""),8),4),--MID(LEFT(SUBSTITUTE(SUBSTITUTE(SUBSTITUTE(SUBSTITUTE(TRIM($W1008),"-",""),".",""),"/","")," ",""),8),5,2),--MID(LEFT(SUBSTITUTE(SUBSTITUTE(SUBSTITUTE(SUBSTITUTE(TRIM($W1008),"-",""),".",""),"/","")," ",""),8),7,2)),"")))</f>
        <v/>
      </c>
      <c r="Y1008" s="32">
        <f>IF($X1008="","",INT($X1008))</f>
        <v/>
      </c>
      <c r="Z1008" s="33">
        <f>IF(OR($Y1008="",$D$6=""),"",IF(INDEX($A:$U,ROW(),$D$6)="",0,IF(ISNUMBER(INDEX($A:$U,ROW(),$D$6)),INDEX($A:$U,ROW(),$D$6),IFERROR(--SUBSTITUTE(SUBSTITUTE(TRIM(INDEX($A:$U,ROW(),$D$6)),",",""),"원",""),0))))</f>
        <v/>
      </c>
      <c r="AA1008" s="31">
        <f>IF($Y1008="","",TRIM(INDEX($A:$U,ROW(),$E$6)&amp;IF($F$6="",""," "&amp;INDEX($A:$U,ROW(),$F$6))))</f>
        <v/>
      </c>
      <c r="AB1008" s="31">
        <f>IF($AA1008="","",SUBSTITUTE(SUBSTITUTE(SUBSTITUTE(SUBSTITUTE(SUBSTITUTE(SUBSTITUTE(SUBSTITUTE(SUBSTITUTE(SUBSTITUTE($AA1008," ",""),"　",""),"(주)",""),"（주）",""),"㈜",""),"주식회사",""),"(유)",""),"（유）",""),"유한회사",""))</f>
        <v/>
      </c>
      <c r="AC1008" s="31">
        <f>IF(OR($Y1008="",N($Z1008)&lt;=0,$AB1008=""),0,IFERROR(LOOKUP(2,1/((거래처별!$AC$8:$AC$307&lt;&gt;"")*ISNUMBER(SEARCH(거래처별!$AC$8:$AC$307,$AB1008))),거래처별!$A$8:$A$307),IFERROR(LOOKUP(2,1/((거래처별!$AD$8:$AD$307&lt;&gt;"")*ISNUMBER(SEARCH(거래처별!$AD$8:$AD$307,$AB1008))),거래처별!$A$8:$A$307),IFERROR(LOOKUP(2,1/((거래처별!$AE$8:$AE$307&lt;&gt;"")*ISNUMBER(SEARCH(거래처별!$AE$8:$AE$307,$AB1008))),거래처별!$A$8:$A$307),0))))</f>
        <v/>
      </c>
      <c r="AD1008" s="31">
        <f>IF(AND($Y1008&lt;&gt;"",N($Z1008)&gt;0,$AC1008=0),MAX($AD$7:$AD1007)+1,"")</f>
        <v/>
      </c>
      <c r="AE1008" s="31">
        <f>IF($Y1008="",0,$Y1008)</f>
        <v/>
      </c>
    </row>
    <row r="1009">
      <c r="W1009" s="31">
        <f>IF(OR($B$5="",$C$6="",ROW()&lt;$B$5),"",IF(INDEX($A:$U,ROW(),$C$6)="","",INDEX($A:$U,ROW(),$C$6)))</f>
        <v/>
      </c>
      <c r="X1009" s="32">
        <f>IF($W1009="","",IF(ISNUMBER($W1009),IF($W1009&gt;=10000000,IFERROR(DATE(INT($W1009/10000),MOD(INT($W1009/100),100),MOD($W1009,100)),""),INT($W1009)),IFERROR(DATE(--LEFT(LEFT(SUBSTITUTE(SUBSTITUTE(SUBSTITUTE(SUBSTITUTE(TRIM($W1009),"-",""),".",""),"/","")," ",""),8),4),--MID(LEFT(SUBSTITUTE(SUBSTITUTE(SUBSTITUTE(SUBSTITUTE(TRIM($W1009),"-",""),".",""),"/","")," ",""),8),5,2),--MID(LEFT(SUBSTITUTE(SUBSTITUTE(SUBSTITUTE(SUBSTITUTE(TRIM($W1009),"-",""),".",""),"/","")," ",""),8),7,2)),"")))</f>
        <v/>
      </c>
      <c r="Y1009" s="32">
        <f>IF($X1009="","",INT($X1009))</f>
        <v/>
      </c>
      <c r="Z1009" s="33">
        <f>IF(OR($Y1009="",$D$6=""),"",IF(INDEX($A:$U,ROW(),$D$6)="",0,IF(ISNUMBER(INDEX($A:$U,ROW(),$D$6)),INDEX($A:$U,ROW(),$D$6),IFERROR(--SUBSTITUTE(SUBSTITUTE(TRIM(INDEX($A:$U,ROW(),$D$6)),",",""),"원",""),0))))</f>
        <v/>
      </c>
      <c r="AA1009" s="31">
        <f>IF($Y1009="","",TRIM(INDEX($A:$U,ROW(),$E$6)&amp;IF($F$6="",""," "&amp;INDEX($A:$U,ROW(),$F$6))))</f>
        <v/>
      </c>
      <c r="AB1009" s="31">
        <f>IF($AA1009="","",SUBSTITUTE(SUBSTITUTE(SUBSTITUTE(SUBSTITUTE(SUBSTITUTE(SUBSTITUTE(SUBSTITUTE(SUBSTITUTE(SUBSTITUTE($AA1009," ",""),"　",""),"(주)",""),"（주）",""),"㈜",""),"주식회사",""),"(유)",""),"（유）",""),"유한회사",""))</f>
        <v/>
      </c>
      <c r="AC1009" s="31">
        <f>IF(OR($Y1009="",N($Z1009)&lt;=0,$AB1009=""),0,IFERROR(LOOKUP(2,1/((거래처별!$AC$8:$AC$307&lt;&gt;"")*ISNUMBER(SEARCH(거래처별!$AC$8:$AC$307,$AB1009))),거래처별!$A$8:$A$307),IFERROR(LOOKUP(2,1/((거래처별!$AD$8:$AD$307&lt;&gt;"")*ISNUMBER(SEARCH(거래처별!$AD$8:$AD$307,$AB1009))),거래처별!$A$8:$A$307),IFERROR(LOOKUP(2,1/((거래처별!$AE$8:$AE$307&lt;&gt;"")*ISNUMBER(SEARCH(거래처별!$AE$8:$AE$307,$AB1009))),거래처별!$A$8:$A$307),0))))</f>
        <v/>
      </c>
      <c r="AD1009" s="31">
        <f>IF(AND($Y1009&lt;&gt;"",N($Z1009)&gt;0,$AC1009=0),MAX($AD$7:$AD1008)+1,"")</f>
        <v/>
      </c>
      <c r="AE1009" s="31">
        <f>IF($Y1009="",0,$Y1009)</f>
        <v/>
      </c>
    </row>
    <row r="1010">
      <c r="W1010" s="31">
        <f>IF(OR($B$5="",$C$6="",ROW()&lt;$B$5),"",IF(INDEX($A:$U,ROW(),$C$6)="","",INDEX($A:$U,ROW(),$C$6)))</f>
        <v/>
      </c>
      <c r="X1010" s="32">
        <f>IF($W1010="","",IF(ISNUMBER($W1010),IF($W1010&gt;=10000000,IFERROR(DATE(INT($W1010/10000),MOD(INT($W1010/100),100),MOD($W1010,100)),""),INT($W1010)),IFERROR(DATE(--LEFT(LEFT(SUBSTITUTE(SUBSTITUTE(SUBSTITUTE(SUBSTITUTE(TRIM($W1010),"-",""),".",""),"/","")," ",""),8),4),--MID(LEFT(SUBSTITUTE(SUBSTITUTE(SUBSTITUTE(SUBSTITUTE(TRIM($W1010),"-",""),".",""),"/","")," ",""),8),5,2),--MID(LEFT(SUBSTITUTE(SUBSTITUTE(SUBSTITUTE(SUBSTITUTE(TRIM($W1010),"-",""),".",""),"/","")," ",""),8),7,2)),"")))</f>
        <v/>
      </c>
      <c r="Y1010" s="32">
        <f>IF($X1010="","",INT($X1010))</f>
        <v/>
      </c>
      <c r="Z1010" s="33">
        <f>IF(OR($Y1010="",$D$6=""),"",IF(INDEX($A:$U,ROW(),$D$6)="",0,IF(ISNUMBER(INDEX($A:$U,ROW(),$D$6)),INDEX($A:$U,ROW(),$D$6),IFERROR(--SUBSTITUTE(SUBSTITUTE(TRIM(INDEX($A:$U,ROW(),$D$6)),",",""),"원",""),0))))</f>
        <v/>
      </c>
      <c r="AA1010" s="31">
        <f>IF($Y1010="","",TRIM(INDEX($A:$U,ROW(),$E$6)&amp;IF($F$6="",""," "&amp;INDEX($A:$U,ROW(),$F$6))))</f>
        <v/>
      </c>
      <c r="AB1010" s="31">
        <f>IF($AA1010="","",SUBSTITUTE(SUBSTITUTE(SUBSTITUTE(SUBSTITUTE(SUBSTITUTE(SUBSTITUTE(SUBSTITUTE(SUBSTITUTE(SUBSTITUTE($AA1010," ",""),"　",""),"(주)",""),"（주）",""),"㈜",""),"주식회사",""),"(유)",""),"（유）",""),"유한회사",""))</f>
        <v/>
      </c>
      <c r="AC1010" s="31">
        <f>IF(OR($Y1010="",N($Z1010)&lt;=0,$AB1010=""),0,IFERROR(LOOKUP(2,1/((거래처별!$AC$8:$AC$307&lt;&gt;"")*ISNUMBER(SEARCH(거래처별!$AC$8:$AC$307,$AB1010))),거래처별!$A$8:$A$307),IFERROR(LOOKUP(2,1/((거래처별!$AD$8:$AD$307&lt;&gt;"")*ISNUMBER(SEARCH(거래처별!$AD$8:$AD$307,$AB1010))),거래처별!$A$8:$A$307),IFERROR(LOOKUP(2,1/((거래처별!$AE$8:$AE$307&lt;&gt;"")*ISNUMBER(SEARCH(거래처별!$AE$8:$AE$307,$AB1010))),거래처별!$A$8:$A$307),0))))</f>
        <v/>
      </c>
      <c r="AD1010" s="31">
        <f>IF(AND($Y1010&lt;&gt;"",N($Z1010)&gt;0,$AC1010=0),MAX($AD$7:$AD1009)+1,"")</f>
        <v/>
      </c>
      <c r="AE1010" s="31">
        <f>IF($Y1010="",0,$Y1010)</f>
        <v/>
      </c>
    </row>
    <row r="1011">
      <c r="W1011" s="31">
        <f>IF(OR($B$5="",$C$6="",ROW()&lt;$B$5),"",IF(INDEX($A:$U,ROW(),$C$6)="","",INDEX($A:$U,ROW(),$C$6)))</f>
        <v/>
      </c>
      <c r="X1011" s="32">
        <f>IF($W1011="","",IF(ISNUMBER($W1011),IF($W1011&gt;=10000000,IFERROR(DATE(INT($W1011/10000),MOD(INT($W1011/100),100),MOD($W1011,100)),""),INT($W1011)),IFERROR(DATE(--LEFT(LEFT(SUBSTITUTE(SUBSTITUTE(SUBSTITUTE(SUBSTITUTE(TRIM($W1011),"-",""),".",""),"/","")," ",""),8),4),--MID(LEFT(SUBSTITUTE(SUBSTITUTE(SUBSTITUTE(SUBSTITUTE(TRIM($W1011),"-",""),".",""),"/","")," ",""),8),5,2),--MID(LEFT(SUBSTITUTE(SUBSTITUTE(SUBSTITUTE(SUBSTITUTE(TRIM($W1011),"-",""),".",""),"/","")," ",""),8),7,2)),"")))</f>
        <v/>
      </c>
      <c r="Y1011" s="32">
        <f>IF($X1011="","",INT($X1011))</f>
        <v/>
      </c>
      <c r="Z1011" s="33">
        <f>IF(OR($Y1011="",$D$6=""),"",IF(INDEX($A:$U,ROW(),$D$6)="",0,IF(ISNUMBER(INDEX($A:$U,ROW(),$D$6)),INDEX($A:$U,ROW(),$D$6),IFERROR(--SUBSTITUTE(SUBSTITUTE(TRIM(INDEX($A:$U,ROW(),$D$6)),",",""),"원",""),0))))</f>
        <v/>
      </c>
      <c r="AA1011" s="31">
        <f>IF($Y1011="","",TRIM(INDEX($A:$U,ROW(),$E$6)&amp;IF($F$6="",""," "&amp;INDEX($A:$U,ROW(),$F$6))))</f>
        <v/>
      </c>
      <c r="AB1011" s="31">
        <f>IF($AA1011="","",SUBSTITUTE(SUBSTITUTE(SUBSTITUTE(SUBSTITUTE(SUBSTITUTE(SUBSTITUTE(SUBSTITUTE(SUBSTITUTE(SUBSTITUTE($AA1011," ",""),"　",""),"(주)",""),"（주）",""),"㈜",""),"주식회사",""),"(유)",""),"（유）",""),"유한회사",""))</f>
        <v/>
      </c>
      <c r="AC1011" s="31">
        <f>IF(OR($Y1011="",N($Z1011)&lt;=0,$AB1011=""),0,IFERROR(LOOKUP(2,1/((거래처별!$AC$8:$AC$307&lt;&gt;"")*ISNUMBER(SEARCH(거래처별!$AC$8:$AC$307,$AB1011))),거래처별!$A$8:$A$307),IFERROR(LOOKUP(2,1/((거래처별!$AD$8:$AD$307&lt;&gt;"")*ISNUMBER(SEARCH(거래처별!$AD$8:$AD$307,$AB1011))),거래처별!$A$8:$A$307),IFERROR(LOOKUP(2,1/((거래처별!$AE$8:$AE$307&lt;&gt;"")*ISNUMBER(SEARCH(거래처별!$AE$8:$AE$307,$AB1011))),거래처별!$A$8:$A$307),0))))</f>
        <v/>
      </c>
      <c r="AD1011" s="31">
        <f>IF(AND($Y1011&lt;&gt;"",N($Z1011)&gt;0,$AC1011=0),MAX($AD$7:$AD1010)+1,"")</f>
        <v/>
      </c>
      <c r="AE1011" s="31">
        <f>IF($Y1011="",0,$Y1011)</f>
        <v/>
      </c>
    </row>
    <row r="1012">
      <c r="W1012" s="31">
        <f>IF(OR($B$5="",$C$6="",ROW()&lt;$B$5),"",IF(INDEX($A:$U,ROW(),$C$6)="","",INDEX($A:$U,ROW(),$C$6)))</f>
        <v/>
      </c>
      <c r="X1012" s="32">
        <f>IF($W1012="","",IF(ISNUMBER($W1012),IF($W1012&gt;=10000000,IFERROR(DATE(INT($W1012/10000),MOD(INT($W1012/100),100),MOD($W1012,100)),""),INT($W1012)),IFERROR(DATE(--LEFT(LEFT(SUBSTITUTE(SUBSTITUTE(SUBSTITUTE(SUBSTITUTE(TRIM($W1012),"-",""),".",""),"/","")," ",""),8),4),--MID(LEFT(SUBSTITUTE(SUBSTITUTE(SUBSTITUTE(SUBSTITUTE(TRIM($W1012),"-",""),".",""),"/","")," ",""),8),5,2),--MID(LEFT(SUBSTITUTE(SUBSTITUTE(SUBSTITUTE(SUBSTITUTE(TRIM($W1012),"-",""),".",""),"/","")," ",""),8),7,2)),"")))</f>
        <v/>
      </c>
      <c r="Y1012" s="32">
        <f>IF($X1012="","",INT($X1012))</f>
        <v/>
      </c>
      <c r="Z1012" s="33">
        <f>IF(OR($Y1012="",$D$6=""),"",IF(INDEX($A:$U,ROW(),$D$6)="",0,IF(ISNUMBER(INDEX($A:$U,ROW(),$D$6)),INDEX($A:$U,ROW(),$D$6),IFERROR(--SUBSTITUTE(SUBSTITUTE(TRIM(INDEX($A:$U,ROW(),$D$6)),",",""),"원",""),0))))</f>
        <v/>
      </c>
      <c r="AA1012" s="31">
        <f>IF($Y1012="","",TRIM(INDEX($A:$U,ROW(),$E$6)&amp;IF($F$6="",""," "&amp;INDEX($A:$U,ROW(),$F$6))))</f>
        <v/>
      </c>
      <c r="AB1012" s="31">
        <f>IF($AA1012="","",SUBSTITUTE(SUBSTITUTE(SUBSTITUTE(SUBSTITUTE(SUBSTITUTE(SUBSTITUTE(SUBSTITUTE(SUBSTITUTE(SUBSTITUTE($AA1012," ",""),"　",""),"(주)",""),"（주）",""),"㈜",""),"주식회사",""),"(유)",""),"（유）",""),"유한회사",""))</f>
        <v/>
      </c>
      <c r="AC1012" s="31">
        <f>IF(OR($Y1012="",N($Z1012)&lt;=0,$AB1012=""),0,IFERROR(LOOKUP(2,1/((거래처별!$AC$8:$AC$307&lt;&gt;"")*ISNUMBER(SEARCH(거래처별!$AC$8:$AC$307,$AB1012))),거래처별!$A$8:$A$307),IFERROR(LOOKUP(2,1/((거래처별!$AD$8:$AD$307&lt;&gt;"")*ISNUMBER(SEARCH(거래처별!$AD$8:$AD$307,$AB1012))),거래처별!$A$8:$A$307),IFERROR(LOOKUP(2,1/((거래처별!$AE$8:$AE$307&lt;&gt;"")*ISNUMBER(SEARCH(거래처별!$AE$8:$AE$307,$AB1012))),거래처별!$A$8:$A$307),0))))</f>
        <v/>
      </c>
      <c r="AD1012" s="31">
        <f>IF(AND($Y1012&lt;&gt;"",N($Z1012)&gt;0,$AC1012=0),MAX($AD$7:$AD1011)+1,"")</f>
        <v/>
      </c>
      <c r="AE1012" s="31">
        <f>IF($Y1012="",0,$Y1012)</f>
        <v/>
      </c>
    </row>
    <row r="1013">
      <c r="W1013" s="31">
        <f>IF(OR($B$5="",$C$6="",ROW()&lt;$B$5),"",IF(INDEX($A:$U,ROW(),$C$6)="","",INDEX($A:$U,ROW(),$C$6)))</f>
        <v/>
      </c>
      <c r="X1013" s="32">
        <f>IF($W1013="","",IF(ISNUMBER($W1013),IF($W1013&gt;=10000000,IFERROR(DATE(INT($W1013/10000),MOD(INT($W1013/100),100),MOD($W1013,100)),""),INT($W1013)),IFERROR(DATE(--LEFT(LEFT(SUBSTITUTE(SUBSTITUTE(SUBSTITUTE(SUBSTITUTE(TRIM($W1013),"-",""),".",""),"/","")," ",""),8),4),--MID(LEFT(SUBSTITUTE(SUBSTITUTE(SUBSTITUTE(SUBSTITUTE(TRIM($W1013),"-",""),".",""),"/","")," ",""),8),5,2),--MID(LEFT(SUBSTITUTE(SUBSTITUTE(SUBSTITUTE(SUBSTITUTE(TRIM($W1013),"-",""),".",""),"/","")," ",""),8),7,2)),"")))</f>
        <v/>
      </c>
      <c r="Y1013" s="32">
        <f>IF($X1013="","",INT($X1013))</f>
        <v/>
      </c>
      <c r="Z1013" s="33">
        <f>IF(OR($Y1013="",$D$6=""),"",IF(INDEX($A:$U,ROW(),$D$6)="",0,IF(ISNUMBER(INDEX($A:$U,ROW(),$D$6)),INDEX($A:$U,ROW(),$D$6),IFERROR(--SUBSTITUTE(SUBSTITUTE(TRIM(INDEX($A:$U,ROW(),$D$6)),",",""),"원",""),0))))</f>
        <v/>
      </c>
      <c r="AA1013" s="31">
        <f>IF($Y1013="","",TRIM(INDEX($A:$U,ROW(),$E$6)&amp;IF($F$6="",""," "&amp;INDEX($A:$U,ROW(),$F$6))))</f>
        <v/>
      </c>
      <c r="AB1013" s="31">
        <f>IF($AA1013="","",SUBSTITUTE(SUBSTITUTE(SUBSTITUTE(SUBSTITUTE(SUBSTITUTE(SUBSTITUTE(SUBSTITUTE(SUBSTITUTE(SUBSTITUTE($AA1013," ",""),"　",""),"(주)",""),"（주）",""),"㈜",""),"주식회사",""),"(유)",""),"（유）",""),"유한회사",""))</f>
        <v/>
      </c>
      <c r="AC1013" s="31">
        <f>IF(OR($Y1013="",N($Z1013)&lt;=0,$AB1013=""),0,IFERROR(LOOKUP(2,1/((거래처별!$AC$8:$AC$307&lt;&gt;"")*ISNUMBER(SEARCH(거래처별!$AC$8:$AC$307,$AB1013))),거래처별!$A$8:$A$307),IFERROR(LOOKUP(2,1/((거래처별!$AD$8:$AD$307&lt;&gt;"")*ISNUMBER(SEARCH(거래처별!$AD$8:$AD$307,$AB1013))),거래처별!$A$8:$A$307),IFERROR(LOOKUP(2,1/((거래처별!$AE$8:$AE$307&lt;&gt;"")*ISNUMBER(SEARCH(거래처별!$AE$8:$AE$307,$AB1013))),거래처별!$A$8:$A$307),0))))</f>
        <v/>
      </c>
      <c r="AD1013" s="31">
        <f>IF(AND($Y1013&lt;&gt;"",N($Z1013)&gt;0,$AC1013=0),MAX($AD$7:$AD1012)+1,"")</f>
        <v/>
      </c>
      <c r="AE1013" s="31">
        <f>IF($Y1013="",0,$Y1013)</f>
        <v/>
      </c>
    </row>
    <row r="1014">
      <c r="W1014" s="31">
        <f>IF(OR($B$5="",$C$6="",ROW()&lt;$B$5),"",IF(INDEX($A:$U,ROW(),$C$6)="","",INDEX($A:$U,ROW(),$C$6)))</f>
        <v/>
      </c>
      <c r="X1014" s="32">
        <f>IF($W1014="","",IF(ISNUMBER($W1014),IF($W1014&gt;=10000000,IFERROR(DATE(INT($W1014/10000),MOD(INT($W1014/100),100),MOD($W1014,100)),""),INT($W1014)),IFERROR(DATE(--LEFT(LEFT(SUBSTITUTE(SUBSTITUTE(SUBSTITUTE(SUBSTITUTE(TRIM($W1014),"-",""),".",""),"/","")," ",""),8),4),--MID(LEFT(SUBSTITUTE(SUBSTITUTE(SUBSTITUTE(SUBSTITUTE(TRIM($W1014),"-",""),".",""),"/","")," ",""),8),5,2),--MID(LEFT(SUBSTITUTE(SUBSTITUTE(SUBSTITUTE(SUBSTITUTE(TRIM($W1014),"-",""),".",""),"/","")," ",""),8),7,2)),"")))</f>
        <v/>
      </c>
      <c r="Y1014" s="32">
        <f>IF($X1014="","",INT($X1014))</f>
        <v/>
      </c>
      <c r="Z1014" s="33">
        <f>IF(OR($Y1014="",$D$6=""),"",IF(INDEX($A:$U,ROW(),$D$6)="",0,IF(ISNUMBER(INDEX($A:$U,ROW(),$D$6)),INDEX($A:$U,ROW(),$D$6),IFERROR(--SUBSTITUTE(SUBSTITUTE(TRIM(INDEX($A:$U,ROW(),$D$6)),",",""),"원",""),0))))</f>
        <v/>
      </c>
      <c r="AA1014" s="31">
        <f>IF($Y1014="","",TRIM(INDEX($A:$U,ROW(),$E$6)&amp;IF($F$6="",""," "&amp;INDEX($A:$U,ROW(),$F$6))))</f>
        <v/>
      </c>
      <c r="AB1014" s="31">
        <f>IF($AA1014="","",SUBSTITUTE(SUBSTITUTE(SUBSTITUTE(SUBSTITUTE(SUBSTITUTE(SUBSTITUTE(SUBSTITUTE(SUBSTITUTE(SUBSTITUTE($AA1014," ",""),"　",""),"(주)",""),"（주）",""),"㈜",""),"주식회사",""),"(유)",""),"（유）",""),"유한회사",""))</f>
        <v/>
      </c>
      <c r="AC1014" s="31">
        <f>IF(OR($Y1014="",N($Z1014)&lt;=0,$AB1014=""),0,IFERROR(LOOKUP(2,1/((거래처별!$AC$8:$AC$307&lt;&gt;"")*ISNUMBER(SEARCH(거래처별!$AC$8:$AC$307,$AB1014))),거래처별!$A$8:$A$307),IFERROR(LOOKUP(2,1/((거래처별!$AD$8:$AD$307&lt;&gt;"")*ISNUMBER(SEARCH(거래처별!$AD$8:$AD$307,$AB1014))),거래처별!$A$8:$A$307),IFERROR(LOOKUP(2,1/((거래처별!$AE$8:$AE$307&lt;&gt;"")*ISNUMBER(SEARCH(거래처별!$AE$8:$AE$307,$AB1014))),거래처별!$A$8:$A$307),0))))</f>
        <v/>
      </c>
      <c r="AD1014" s="31">
        <f>IF(AND($Y1014&lt;&gt;"",N($Z1014)&gt;0,$AC1014=0),MAX($AD$7:$AD1013)+1,"")</f>
        <v/>
      </c>
      <c r="AE1014" s="31">
        <f>IF($Y1014="",0,$Y1014)</f>
        <v/>
      </c>
    </row>
    <row r="1015">
      <c r="W1015" s="31">
        <f>IF(OR($B$5="",$C$6="",ROW()&lt;$B$5),"",IF(INDEX($A:$U,ROW(),$C$6)="","",INDEX($A:$U,ROW(),$C$6)))</f>
        <v/>
      </c>
      <c r="X1015" s="32">
        <f>IF($W1015="","",IF(ISNUMBER($W1015),IF($W1015&gt;=10000000,IFERROR(DATE(INT($W1015/10000),MOD(INT($W1015/100),100),MOD($W1015,100)),""),INT($W1015)),IFERROR(DATE(--LEFT(LEFT(SUBSTITUTE(SUBSTITUTE(SUBSTITUTE(SUBSTITUTE(TRIM($W1015),"-",""),".",""),"/","")," ",""),8),4),--MID(LEFT(SUBSTITUTE(SUBSTITUTE(SUBSTITUTE(SUBSTITUTE(TRIM($W1015),"-",""),".",""),"/","")," ",""),8),5,2),--MID(LEFT(SUBSTITUTE(SUBSTITUTE(SUBSTITUTE(SUBSTITUTE(TRIM($W1015),"-",""),".",""),"/","")," ",""),8),7,2)),"")))</f>
        <v/>
      </c>
      <c r="Y1015" s="32">
        <f>IF($X1015="","",INT($X1015))</f>
        <v/>
      </c>
      <c r="Z1015" s="33">
        <f>IF(OR($Y1015="",$D$6=""),"",IF(INDEX($A:$U,ROW(),$D$6)="",0,IF(ISNUMBER(INDEX($A:$U,ROW(),$D$6)),INDEX($A:$U,ROW(),$D$6),IFERROR(--SUBSTITUTE(SUBSTITUTE(TRIM(INDEX($A:$U,ROW(),$D$6)),",",""),"원",""),0))))</f>
        <v/>
      </c>
      <c r="AA1015" s="31">
        <f>IF($Y1015="","",TRIM(INDEX($A:$U,ROW(),$E$6)&amp;IF($F$6="",""," "&amp;INDEX($A:$U,ROW(),$F$6))))</f>
        <v/>
      </c>
      <c r="AB1015" s="31">
        <f>IF($AA1015="","",SUBSTITUTE(SUBSTITUTE(SUBSTITUTE(SUBSTITUTE(SUBSTITUTE(SUBSTITUTE(SUBSTITUTE(SUBSTITUTE(SUBSTITUTE($AA1015," ",""),"　",""),"(주)",""),"（주）",""),"㈜",""),"주식회사",""),"(유)",""),"（유）",""),"유한회사",""))</f>
        <v/>
      </c>
      <c r="AC1015" s="31">
        <f>IF(OR($Y1015="",N($Z1015)&lt;=0,$AB1015=""),0,IFERROR(LOOKUP(2,1/((거래처별!$AC$8:$AC$307&lt;&gt;"")*ISNUMBER(SEARCH(거래처별!$AC$8:$AC$307,$AB1015))),거래처별!$A$8:$A$307),IFERROR(LOOKUP(2,1/((거래처별!$AD$8:$AD$307&lt;&gt;"")*ISNUMBER(SEARCH(거래처별!$AD$8:$AD$307,$AB1015))),거래처별!$A$8:$A$307),IFERROR(LOOKUP(2,1/((거래처별!$AE$8:$AE$307&lt;&gt;"")*ISNUMBER(SEARCH(거래처별!$AE$8:$AE$307,$AB1015))),거래처별!$A$8:$A$307),0))))</f>
        <v/>
      </c>
      <c r="AD1015" s="31">
        <f>IF(AND($Y1015&lt;&gt;"",N($Z1015)&gt;0,$AC1015=0),MAX($AD$7:$AD1014)+1,"")</f>
        <v/>
      </c>
      <c r="AE1015" s="31">
        <f>IF($Y1015="",0,$Y1015)</f>
        <v/>
      </c>
    </row>
    <row r="1016">
      <c r="W1016" s="31">
        <f>IF(OR($B$5="",$C$6="",ROW()&lt;$B$5),"",IF(INDEX($A:$U,ROW(),$C$6)="","",INDEX($A:$U,ROW(),$C$6)))</f>
        <v/>
      </c>
      <c r="X1016" s="32">
        <f>IF($W1016="","",IF(ISNUMBER($W1016),IF($W1016&gt;=10000000,IFERROR(DATE(INT($W1016/10000),MOD(INT($W1016/100),100),MOD($W1016,100)),""),INT($W1016)),IFERROR(DATE(--LEFT(LEFT(SUBSTITUTE(SUBSTITUTE(SUBSTITUTE(SUBSTITUTE(TRIM($W1016),"-",""),".",""),"/","")," ",""),8),4),--MID(LEFT(SUBSTITUTE(SUBSTITUTE(SUBSTITUTE(SUBSTITUTE(TRIM($W1016),"-",""),".",""),"/","")," ",""),8),5,2),--MID(LEFT(SUBSTITUTE(SUBSTITUTE(SUBSTITUTE(SUBSTITUTE(TRIM($W1016),"-",""),".",""),"/","")," ",""),8),7,2)),"")))</f>
        <v/>
      </c>
      <c r="Y1016" s="32">
        <f>IF($X1016="","",INT($X1016))</f>
        <v/>
      </c>
      <c r="Z1016" s="33">
        <f>IF(OR($Y1016="",$D$6=""),"",IF(INDEX($A:$U,ROW(),$D$6)="",0,IF(ISNUMBER(INDEX($A:$U,ROW(),$D$6)),INDEX($A:$U,ROW(),$D$6),IFERROR(--SUBSTITUTE(SUBSTITUTE(TRIM(INDEX($A:$U,ROW(),$D$6)),",",""),"원",""),0))))</f>
        <v/>
      </c>
      <c r="AA1016" s="31">
        <f>IF($Y1016="","",TRIM(INDEX($A:$U,ROW(),$E$6)&amp;IF($F$6="",""," "&amp;INDEX($A:$U,ROW(),$F$6))))</f>
        <v/>
      </c>
      <c r="AB1016" s="31">
        <f>IF($AA1016="","",SUBSTITUTE(SUBSTITUTE(SUBSTITUTE(SUBSTITUTE(SUBSTITUTE(SUBSTITUTE(SUBSTITUTE(SUBSTITUTE(SUBSTITUTE($AA1016," ",""),"　",""),"(주)",""),"（주）",""),"㈜",""),"주식회사",""),"(유)",""),"（유）",""),"유한회사",""))</f>
        <v/>
      </c>
      <c r="AC1016" s="31">
        <f>IF(OR($Y1016="",N($Z1016)&lt;=0,$AB1016=""),0,IFERROR(LOOKUP(2,1/((거래처별!$AC$8:$AC$307&lt;&gt;"")*ISNUMBER(SEARCH(거래처별!$AC$8:$AC$307,$AB1016))),거래처별!$A$8:$A$307),IFERROR(LOOKUP(2,1/((거래처별!$AD$8:$AD$307&lt;&gt;"")*ISNUMBER(SEARCH(거래처별!$AD$8:$AD$307,$AB1016))),거래처별!$A$8:$A$307),IFERROR(LOOKUP(2,1/((거래처별!$AE$8:$AE$307&lt;&gt;"")*ISNUMBER(SEARCH(거래처별!$AE$8:$AE$307,$AB1016))),거래처별!$A$8:$A$307),0))))</f>
        <v/>
      </c>
      <c r="AD1016" s="31">
        <f>IF(AND($Y1016&lt;&gt;"",N($Z1016)&gt;0,$AC1016=0),MAX($AD$7:$AD1015)+1,"")</f>
        <v/>
      </c>
      <c r="AE1016" s="31">
        <f>IF($Y1016="",0,$Y1016)</f>
        <v/>
      </c>
    </row>
    <row r="1017">
      <c r="W1017" s="31">
        <f>IF(OR($B$5="",$C$6="",ROW()&lt;$B$5),"",IF(INDEX($A:$U,ROW(),$C$6)="","",INDEX($A:$U,ROW(),$C$6)))</f>
        <v/>
      </c>
      <c r="X1017" s="32">
        <f>IF($W1017="","",IF(ISNUMBER($W1017),IF($W1017&gt;=10000000,IFERROR(DATE(INT($W1017/10000),MOD(INT($W1017/100),100),MOD($W1017,100)),""),INT($W1017)),IFERROR(DATE(--LEFT(LEFT(SUBSTITUTE(SUBSTITUTE(SUBSTITUTE(SUBSTITUTE(TRIM($W1017),"-",""),".",""),"/","")," ",""),8),4),--MID(LEFT(SUBSTITUTE(SUBSTITUTE(SUBSTITUTE(SUBSTITUTE(TRIM($W1017),"-",""),".",""),"/","")," ",""),8),5,2),--MID(LEFT(SUBSTITUTE(SUBSTITUTE(SUBSTITUTE(SUBSTITUTE(TRIM($W1017),"-",""),".",""),"/","")," ",""),8),7,2)),"")))</f>
        <v/>
      </c>
      <c r="Y1017" s="32">
        <f>IF($X1017="","",INT($X1017))</f>
        <v/>
      </c>
      <c r="Z1017" s="33">
        <f>IF(OR($Y1017="",$D$6=""),"",IF(INDEX($A:$U,ROW(),$D$6)="",0,IF(ISNUMBER(INDEX($A:$U,ROW(),$D$6)),INDEX($A:$U,ROW(),$D$6),IFERROR(--SUBSTITUTE(SUBSTITUTE(TRIM(INDEX($A:$U,ROW(),$D$6)),",",""),"원",""),0))))</f>
        <v/>
      </c>
      <c r="AA1017" s="31">
        <f>IF($Y1017="","",TRIM(INDEX($A:$U,ROW(),$E$6)&amp;IF($F$6="",""," "&amp;INDEX($A:$U,ROW(),$F$6))))</f>
        <v/>
      </c>
      <c r="AB1017" s="31">
        <f>IF($AA1017="","",SUBSTITUTE(SUBSTITUTE(SUBSTITUTE(SUBSTITUTE(SUBSTITUTE(SUBSTITUTE(SUBSTITUTE(SUBSTITUTE(SUBSTITUTE($AA1017," ",""),"　",""),"(주)",""),"（주）",""),"㈜",""),"주식회사",""),"(유)",""),"（유）",""),"유한회사",""))</f>
        <v/>
      </c>
      <c r="AC1017" s="31">
        <f>IF(OR($Y1017="",N($Z1017)&lt;=0,$AB1017=""),0,IFERROR(LOOKUP(2,1/((거래처별!$AC$8:$AC$307&lt;&gt;"")*ISNUMBER(SEARCH(거래처별!$AC$8:$AC$307,$AB1017))),거래처별!$A$8:$A$307),IFERROR(LOOKUP(2,1/((거래처별!$AD$8:$AD$307&lt;&gt;"")*ISNUMBER(SEARCH(거래처별!$AD$8:$AD$307,$AB1017))),거래처별!$A$8:$A$307),IFERROR(LOOKUP(2,1/((거래처별!$AE$8:$AE$307&lt;&gt;"")*ISNUMBER(SEARCH(거래처별!$AE$8:$AE$307,$AB1017))),거래처별!$A$8:$A$307),0))))</f>
        <v/>
      </c>
      <c r="AD1017" s="31">
        <f>IF(AND($Y1017&lt;&gt;"",N($Z1017)&gt;0,$AC1017=0),MAX($AD$7:$AD1016)+1,"")</f>
        <v/>
      </c>
      <c r="AE1017" s="31">
        <f>IF($Y1017="",0,$Y1017)</f>
        <v/>
      </c>
    </row>
    <row r="1018">
      <c r="W1018" s="31">
        <f>IF(OR($B$5="",$C$6="",ROW()&lt;$B$5),"",IF(INDEX($A:$U,ROW(),$C$6)="","",INDEX($A:$U,ROW(),$C$6)))</f>
        <v/>
      </c>
      <c r="X1018" s="32">
        <f>IF($W1018="","",IF(ISNUMBER($W1018),IF($W1018&gt;=10000000,IFERROR(DATE(INT($W1018/10000),MOD(INT($W1018/100),100),MOD($W1018,100)),""),INT($W1018)),IFERROR(DATE(--LEFT(LEFT(SUBSTITUTE(SUBSTITUTE(SUBSTITUTE(SUBSTITUTE(TRIM($W1018),"-",""),".",""),"/","")," ",""),8),4),--MID(LEFT(SUBSTITUTE(SUBSTITUTE(SUBSTITUTE(SUBSTITUTE(TRIM($W1018),"-",""),".",""),"/","")," ",""),8),5,2),--MID(LEFT(SUBSTITUTE(SUBSTITUTE(SUBSTITUTE(SUBSTITUTE(TRIM($W1018),"-",""),".",""),"/","")," ",""),8),7,2)),"")))</f>
        <v/>
      </c>
      <c r="Y1018" s="32">
        <f>IF($X1018="","",INT($X1018))</f>
        <v/>
      </c>
      <c r="Z1018" s="33">
        <f>IF(OR($Y1018="",$D$6=""),"",IF(INDEX($A:$U,ROW(),$D$6)="",0,IF(ISNUMBER(INDEX($A:$U,ROW(),$D$6)),INDEX($A:$U,ROW(),$D$6),IFERROR(--SUBSTITUTE(SUBSTITUTE(TRIM(INDEX($A:$U,ROW(),$D$6)),",",""),"원",""),0))))</f>
        <v/>
      </c>
      <c r="AA1018" s="31">
        <f>IF($Y1018="","",TRIM(INDEX($A:$U,ROW(),$E$6)&amp;IF($F$6="",""," "&amp;INDEX($A:$U,ROW(),$F$6))))</f>
        <v/>
      </c>
      <c r="AB1018" s="31">
        <f>IF($AA1018="","",SUBSTITUTE(SUBSTITUTE(SUBSTITUTE(SUBSTITUTE(SUBSTITUTE(SUBSTITUTE(SUBSTITUTE(SUBSTITUTE(SUBSTITUTE($AA1018," ",""),"　",""),"(주)",""),"（주）",""),"㈜",""),"주식회사",""),"(유)",""),"（유）",""),"유한회사",""))</f>
        <v/>
      </c>
      <c r="AC1018" s="31">
        <f>IF(OR($Y1018="",N($Z1018)&lt;=0,$AB1018=""),0,IFERROR(LOOKUP(2,1/((거래처별!$AC$8:$AC$307&lt;&gt;"")*ISNUMBER(SEARCH(거래처별!$AC$8:$AC$307,$AB1018))),거래처별!$A$8:$A$307),IFERROR(LOOKUP(2,1/((거래처별!$AD$8:$AD$307&lt;&gt;"")*ISNUMBER(SEARCH(거래처별!$AD$8:$AD$307,$AB1018))),거래처별!$A$8:$A$307),IFERROR(LOOKUP(2,1/((거래처별!$AE$8:$AE$307&lt;&gt;"")*ISNUMBER(SEARCH(거래처별!$AE$8:$AE$307,$AB1018))),거래처별!$A$8:$A$307),0))))</f>
        <v/>
      </c>
      <c r="AD1018" s="31">
        <f>IF(AND($Y1018&lt;&gt;"",N($Z1018)&gt;0,$AC1018=0),MAX($AD$7:$AD1017)+1,"")</f>
        <v/>
      </c>
      <c r="AE1018" s="31">
        <f>IF($Y1018="",0,$Y1018)</f>
        <v/>
      </c>
    </row>
    <row r="1019">
      <c r="W1019" s="31">
        <f>IF(OR($B$5="",$C$6="",ROW()&lt;$B$5),"",IF(INDEX($A:$U,ROW(),$C$6)="","",INDEX($A:$U,ROW(),$C$6)))</f>
        <v/>
      </c>
      <c r="X1019" s="32">
        <f>IF($W1019="","",IF(ISNUMBER($W1019),IF($W1019&gt;=10000000,IFERROR(DATE(INT($W1019/10000),MOD(INT($W1019/100),100),MOD($W1019,100)),""),INT($W1019)),IFERROR(DATE(--LEFT(LEFT(SUBSTITUTE(SUBSTITUTE(SUBSTITUTE(SUBSTITUTE(TRIM($W1019),"-",""),".",""),"/","")," ",""),8),4),--MID(LEFT(SUBSTITUTE(SUBSTITUTE(SUBSTITUTE(SUBSTITUTE(TRIM($W1019),"-",""),".",""),"/","")," ",""),8),5,2),--MID(LEFT(SUBSTITUTE(SUBSTITUTE(SUBSTITUTE(SUBSTITUTE(TRIM($W1019),"-",""),".",""),"/","")," ",""),8),7,2)),"")))</f>
        <v/>
      </c>
      <c r="Y1019" s="32">
        <f>IF($X1019="","",INT($X1019))</f>
        <v/>
      </c>
      <c r="Z1019" s="33">
        <f>IF(OR($Y1019="",$D$6=""),"",IF(INDEX($A:$U,ROW(),$D$6)="",0,IF(ISNUMBER(INDEX($A:$U,ROW(),$D$6)),INDEX($A:$U,ROW(),$D$6),IFERROR(--SUBSTITUTE(SUBSTITUTE(TRIM(INDEX($A:$U,ROW(),$D$6)),",",""),"원",""),0))))</f>
        <v/>
      </c>
      <c r="AA1019" s="31">
        <f>IF($Y1019="","",TRIM(INDEX($A:$U,ROW(),$E$6)&amp;IF($F$6="",""," "&amp;INDEX($A:$U,ROW(),$F$6))))</f>
        <v/>
      </c>
      <c r="AB1019" s="31">
        <f>IF($AA1019="","",SUBSTITUTE(SUBSTITUTE(SUBSTITUTE(SUBSTITUTE(SUBSTITUTE(SUBSTITUTE(SUBSTITUTE(SUBSTITUTE(SUBSTITUTE($AA1019," ",""),"　",""),"(주)",""),"（주）",""),"㈜",""),"주식회사",""),"(유)",""),"（유）",""),"유한회사",""))</f>
        <v/>
      </c>
      <c r="AC1019" s="31">
        <f>IF(OR($Y1019="",N($Z1019)&lt;=0,$AB1019=""),0,IFERROR(LOOKUP(2,1/((거래처별!$AC$8:$AC$307&lt;&gt;"")*ISNUMBER(SEARCH(거래처별!$AC$8:$AC$307,$AB1019))),거래처별!$A$8:$A$307),IFERROR(LOOKUP(2,1/((거래처별!$AD$8:$AD$307&lt;&gt;"")*ISNUMBER(SEARCH(거래처별!$AD$8:$AD$307,$AB1019))),거래처별!$A$8:$A$307),IFERROR(LOOKUP(2,1/((거래처별!$AE$8:$AE$307&lt;&gt;"")*ISNUMBER(SEARCH(거래처별!$AE$8:$AE$307,$AB1019))),거래처별!$A$8:$A$307),0))))</f>
        <v/>
      </c>
      <c r="AD1019" s="31">
        <f>IF(AND($Y1019&lt;&gt;"",N($Z1019)&gt;0,$AC1019=0),MAX($AD$7:$AD1018)+1,"")</f>
        <v/>
      </c>
      <c r="AE1019" s="31">
        <f>IF($Y1019="",0,$Y1019)</f>
        <v/>
      </c>
    </row>
    <row r="1020">
      <c r="W1020" s="31">
        <f>IF(OR($B$5="",$C$6="",ROW()&lt;$B$5),"",IF(INDEX($A:$U,ROW(),$C$6)="","",INDEX($A:$U,ROW(),$C$6)))</f>
        <v/>
      </c>
      <c r="X1020" s="32">
        <f>IF($W1020="","",IF(ISNUMBER($W1020),IF($W1020&gt;=10000000,IFERROR(DATE(INT($W1020/10000),MOD(INT($W1020/100),100),MOD($W1020,100)),""),INT($W1020)),IFERROR(DATE(--LEFT(LEFT(SUBSTITUTE(SUBSTITUTE(SUBSTITUTE(SUBSTITUTE(TRIM($W1020),"-",""),".",""),"/","")," ",""),8),4),--MID(LEFT(SUBSTITUTE(SUBSTITUTE(SUBSTITUTE(SUBSTITUTE(TRIM($W1020),"-",""),".",""),"/","")," ",""),8),5,2),--MID(LEFT(SUBSTITUTE(SUBSTITUTE(SUBSTITUTE(SUBSTITUTE(TRIM($W1020),"-",""),".",""),"/","")," ",""),8),7,2)),"")))</f>
        <v/>
      </c>
      <c r="Y1020" s="32">
        <f>IF($X1020="","",INT($X1020))</f>
        <v/>
      </c>
      <c r="Z1020" s="33">
        <f>IF(OR($Y1020="",$D$6=""),"",IF(INDEX($A:$U,ROW(),$D$6)="",0,IF(ISNUMBER(INDEX($A:$U,ROW(),$D$6)),INDEX($A:$U,ROW(),$D$6),IFERROR(--SUBSTITUTE(SUBSTITUTE(TRIM(INDEX($A:$U,ROW(),$D$6)),",",""),"원",""),0))))</f>
        <v/>
      </c>
      <c r="AA1020" s="31">
        <f>IF($Y1020="","",TRIM(INDEX($A:$U,ROW(),$E$6)&amp;IF($F$6="",""," "&amp;INDEX($A:$U,ROW(),$F$6))))</f>
        <v/>
      </c>
      <c r="AB1020" s="31">
        <f>IF($AA1020="","",SUBSTITUTE(SUBSTITUTE(SUBSTITUTE(SUBSTITUTE(SUBSTITUTE(SUBSTITUTE(SUBSTITUTE(SUBSTITUTE(SUBSTITUTE($AA1020," ",""),"　",""),"(주)",""),"（주）",""),"㈜",""),"주식회사",""),"(유)",""),"（유）",""),"유한회사",""))</f>
        <v/>
      </c>
      <c r="AC1020" s="31">
        <f>IF(OR($Y1020="",N($Z1020)&lt;=0,$AB1020=""),0,IFERROR(LOOKUP(2,1/((거래처별!$AC$8:$AC$307&lt;&gt;"")*ISNUMBER(SEARCH(거래처별!$AC$8:$AC$307,$AB1020))),거래처별!$A$8:$A$307),IFERROR(LOOKUP(2,1/((거래처별!$AD$8:$AD$307&lt;&gt;"")*ISNUMBER(SEARCH(거래처별!$AD$8:$AD$307,$AB1020))),거래처별!$A$8:$A$307),IFERROR(LOOKUP(2,1/((거래처별!$AE$8:$AE$307&lt;&gt;"")*ISNUMBER(SEARCH(거래처별!$AE$8:$AE$307,$AB1020))),거래처별!$A$8:$A$307),0))))</f>
        <v/>
      </c>
      <c r="AD1020" s="31">
        <f>IF(AND($Y1020&lt;&gt;"",N($Z1020)&gt;0,$AC1020=0),MAX($AD$7:$AD1019)+1,"")</f>
        <v/>
      </c>
      <c r="AE1020" s="31">
        <f>IF($Y1020="",0,$Y1020)</f>
        <v/>
      </c>
    </row>
    <row r="1021">
      <c r="W1021" s="31">
        <f>IF(OR($B$5="",$C$6="",ROW()&lt;$B$5),"",IF(INDEX($A:$U,ROW(),$C$6)="","",INDEX($A:$U,ROW(),$C$6)))</f>
        <v/>
      </c>
      <c r="X1021" s="32">
        <f>IF($W1021="","",IF(ISNUMBER($W1021),IF($W1021&gt;=10000000,IFERROR(DATE(INT($W1021/10000),MOD(INT($W1021/100),100),MOD($W1021,100)),""),INT($W1021)),IFERROR(DATE(--LEFT(LEFT(SUBSTITUTE(SUBSTITUTE(SUBSTITUTE(SUBSTITUTE(TRIM($W1021),"-",""),".",""),"/","")," ",""),8),4),--MID(LEFT(SUBSTITUTE(SUBSTITUTE(SUBSTITUTE(SUBSTITUTE(TRIM($W1021),"-",""),".",""),"/","")," ",""),8),5,2),--MID(LEFT(SUBSTITUTE(SUBSTITUTE(SUBSTITUTE(SUBSTITUTE(TRIM($W1021),"-",""),".",""),"/","")," ",""),8),7,2)),"")))</f>
        <v/>
      </c>
      <c r="Y1021" s="32">
        <f>IF($X1021="","",INT($X1021))</f>
        <v/>
      </c>
      <c r="Z1021" s="33">
        <f>IF(OR($Y1021="",$D$6=""),"",IF(INDEX($A:$U,ROW(),$D$6)="",0,IF(ISNUMBER(INDEX($A:$U,ROW(),$D$6)),INDEX($A:$U,ROW(),$D$6),IFERROR(--SUBSTITUTE(SUBSTITUTE(TRIM(INDEX($A:$U,ROW(),$D$6)),",",""),"원",""),0))))</f>
        <v/>
      </c>
      <c r="AA1021" s="31">
        <f>IF($Y1021="","",TRIM(INDEX($A:$U,ROW(),$E$6)&amp;IF($F$6="",""," "&amp;INDEX($A:$U,ROW(),$F$6))))</f>
        <v/>
      </c>
      <c r="AB1021" s="31">
        <f>IF($AA1021="","",SUBSTITUTE(SUBSTITUTE(SUBSTITUTE(SUBSTITUTE(SUBSTITUTE(SUBSTITUTE(SUBSTITUTE(SUBSTITUTE(SUBSTITUTE($AA1021," ",""),"　",""),"(주)",""),"（주）",""),"㈜",""),"주식회사",""),"(유)",""),"（유）",""),"유한회사",""))</f>
        <v/>
      </c>
      <c r="AC1021" s="31">
        <f>IF(OR($Y1021="",N($Z1021)&lt;=0,$AB1021=""),0,IFERROR(LOOKUP(2,1/((거래처별!$AC$8:$AC$307&lt;&gt;"")*ISNUMBER(SEARCH(거래처별!$AC$8:$AC$307,$AB1021))),거래처별!$A$8:$A$307),IFERROR(LOOKUP(2,1/((거래처별!$AD$8:$AD$307&lt;&gt;"")*ISNUMBER(SEARCH(거래처별!$AD$8:$AD$307,$AB1021))),거래처별!$A$8:$A$307),IFERROR(LOOKUP(2,1/((거래처별!$AE$8:$AE$307&lt;&gt;"")*ISNUMBER(SEARCH(거래처별!$AE$8:$AE$307,$AB1021))),거래처별!$A$8:$A$307),0))))</f>
        <v/>
      </c>
      <c r="AD1021" s="31">
        <f>IF(AND($Y1021&lt;&gt;"",N($Z1021)&gt;0,$AC1021=0),MAX($AD$7:$AD1020)+1,"")</f>
        <v/>
      </c>
      <c r="AE1021" s="31">
        <f>IF($Y1021="",0,$Y1021)</f>
        <v/>
      </c>
    </row>
    <row r="1022">
      <c r="W1022" s="31">
        <f>IF(OR($B$5="",$C$6="",ROW()&lt;$B$5),"",IF(INDEX($A:$U,ROW(),$C$6)="","",INDEX($A:$U,ROW(),$C$6)))</f>
        <v/>
      </c>
      <c r="X1022" s="32">
        <f>IF($W1022="","",IF(ISNUMBER($W1022),IF($W1022&gt;=10000000,IFERROR(DATE(INT($W1022/10000),MOD(INT($W1022/100),100),MOD($W1022,100)),""),INT($W1022)),IFERROR(DATE(--LEFT(LEFT(SUBSTITUTE(SUBSTITUTE(SUBSTITUTE(SUBSTITUTE(TRIM($W1022),"-",""),".",""),"/","")," ",""),8),4),--MID(LEFT(SUBSTITUTE(SUBSTITUTE(SUBSTITUTE(SUBSTITUTE(TRIM($W1022),"-",""),".",""),"/","")," ",""),8),5,2),--MID(LEFT(SUBSTITUTE(SUBSTITUTE(SUBSTITUTE(SUBSTITUTE(TRIM($W1022),"-",""),".",""),"/","")," ",""),8),7,2)),"")))</f>
        <v/>
      </c>
      <c r="Y1022" s="32">
        <f>IF($X1022="","",INT($X1022))</f>
        <v/>
      </c>
      <c r="Z1022" s="33">
        <f>IF(OR($Y1022="",$D$6=""),"",IF(INDEX($A:$U,ROW(),$D$6)="",0,IF(ISNUMBER(INDEX($A:$U,ROW(),$D$6)),INDEX($A:$U,ROW(),$D$6),IFERROR(--SUBSTITUTE(SUBSTITUTE(TRIM(INDEX($A:$U,ROW(),$D$6)),",",""),"원",""),0))))</f>
        <v/>
      </c>
      <c r="AA1022" s="31">
        <f>IF($Y1022="","",TRIM(INDEX($A:$U,ROW(),$E$6)&amp;IF($F$6="",""," "&amp;INDEX($A:$U,ROW(),$F$6))))</f>
        <v/>
      </c>
      <c r="AB1022" s="31">
        <f>IF($AA1022="","",SUBSTITUTE(SUBSTITUTE(SUBSTITUTE(SUBSTITUTE(SUBSTITUTE(SUBSTITUTE(SUBSTITUTE(SUBSTITUTE(SUBSTITUTE($AA1022," ",""),"　",""),"(주)",""),"（주）",""),"㈜",""),"주식회사",""),"(유)",""),"（유）",""),"유한회사",""))</f>
        <v/>
      </c>
      <c r="AC1022" s="31">
        <f>IF(OR($Y1022="",N($Z1022)&lt;=0,$AB1022=""),0,IFERROR(LOOKUP(2,1/((거래처별!$AC$8:$AC$307&lt;&gt;"")*ISNUMBER(SEARCH(거래처별!$AC$8:$AC$307,$AB1022))),거래처별!$A$8:$A$307),IFERROR(LOOKUP(2,1/((거래처별!$AD$8:$AD$307&lt;&gt;"")*ISNUMBER(SEARCH(거래처별!$AD$8:$AD$307,$AB1022))),거래처별!$A$8:$A$307),IFERROR(LOOKUP(2,1/((거래처별!$AE$8:$AE$307&lt;&gt;"")*ISNUMBER(SEARCH(거래처별!$AE$8:$AE$307,$AB1022))),거래처별!$A$8:$A$307),0))))</f>
        <v/>
      </c>
      <c r="AD1022" s="31">
        <f>IF(AND($Y1022&lt;&gt;"",N($Z1022)&gt;0,$AC1022=0),MAX($AD$7:$AD1021)+1,"")</f>
        <v/>
      </c>
      <c r="AE1022" s="31">
        <f>IF($Y1022="",0,$Y1022)</f>
        <v/>
      </c>
    </row>
    <row r="1023">
      <c r="W1023" s="31">
        <f>IF(OR($B$5="",$C$6="",ROW()&lt;$B$5),"",IF(INDEX($A:$U,ROW(),$C$6)="","",INDEX($A:$U,ROW(),$C$6)))</f>
        <v/>
      </c>
      <c r="X1023" s="32">
        <f>IF($W1023="","",IF(ISNUMBER($W1023),IF($W1023&gt;=10000000,IFERROR(DATE(INT($W1023/10000),MOD(INT($W1023/100),100),MOD($W1023,100)),""),INT($W1023)),IFERROR(DATE(--LEFT(LEFT(SUBSTITUTE(SUBSTITUTE(SUBSTITUTE(SUBSTITUTE(TRIM($W1023),"-",""),".",""),"/","")," ",""),8),4),--MID(LEFT(SUBSTITUTE(SUBSTITUTE(SUBSTITUTE(SUBSTITUTE(TRIM($W1023),"-",""),".",""),"/","")," ",""),8),5,2),--MID(LEFT(SUBSTITUTE(SUBSTITUTE(SUBSTITUTE(SUBSTITUTE(TRIM($W1023),"-",""),".",""),"/","")," ",""),8),7,2)),"")))</f>
        <v/>
      </c>
      <c r="Y1023" s="32">
        <f>IF($X1023="","",INT($X1023))</f>
        <v/>
      </c>
      <c r="Z1023" s="33">
        <f>IF(OR($Y1023="",$D$6=""),"",IF(INDEX($A:$U,ROW(),$D$6)="",0,IF(ISNUMBER(INDEX($A:$U,ROW(),$D$6)),INDEX($A:$U,ROW(),$D$6),IFERROR(--SUBSTITUTE(SUBSTITUTE(TRIM(INDEX($A:$U,ROW(),$D$6)),",",""),"원",""),0))))</f>
        <v/>
      </c>
      <c r="AA1023" s="31">
        <f>IF($Y1023="","",TRIM(INDEX($A:$U,ROW(),$E$6)&amp;IF($F$6="",""," "&amp;INDEX($A:$U,ROW(),$F$6))))</f>
        <v/>
      </c>
      <c r="AB1023" s="31">
        <f>IF($AA1023="","",SUBSTITUTE(SUBSTITUTE(SUBSTITUTE(SUBSTITUTE(SUBSTITUTE(SUBSTITUTE(SUBSTITUTE(SUBSTITUTE(SUBSTITUTE($AA1023," ",""),"　",""),"(주)",""),"（주）",""),"㈜",""),"주식회사",""),"(유)",""),"（유）",""),"유한회사",""))</f>
        <v/>
      </c>
      <c r="AC1023" s="31">
        <f>IF(OR($Y1023="",N($Z1023)&lt;=0,$AB1023=""),0,IFERROR(LOOKUP(2,1/((거래처별!$AC$8:$AC$307&lt;&gt;"")*ISNUMBER(SEARCH(거래처별!$AC$8:$AC$307,$AB1023))),거래처별!$A$8:$A$307),IFERROR(LOOKUP(2,1/((거래처별!$AD$8:$AD$307&lt;&gt;"")*ISNUMBER(SEARCH(거래처별!$AD$8:$AD$307,$AB1023))),거래처별!$A$8:$A$307),IFERROR(LOOKUP(2,1/((거래처별!$AE$8:$AE$307&lt;&gt;"")*ISNUMBER(SEARCH(거래처별!$AE$8:$AE$307,$AB1023))),거래처별!$A$8:$A$307),0))))</f>
        <v/>
      </c>
      <c r="AD1023" s="31">
        <f>IF(AND($Y1023&lt;&gt;"",N($Z1023)&gt;0,$AC1023=0),MAX($AD$7:$AD1022)+1,"")</f>
        <v/>
      </c>
      <c r="AE1023" s="31">
        <f>IF($Y1023="",0,$Y1023)</f>
        <v/>
      </c>
    </row>
    <row r="1024">
      <c r="W1024" s="31">
        <f>IF(OR($B$5="",$C$6="",ROW()&lt;$B$5),"",IF(INDEX($A:$U,ROW(),$C$6)="","",INDEX($A:$U,ROW(),$C$6)))</f>
        <v/>
      </c>
      <c r="X1024" s="32">
        <f>IF($W1024="","",IF(ISNUMBER($W1024),IF($W1024&gt;=10000000,IFERROR(DATE(INT($W1024/10000),MOD(INT($W1024/100),100),MOD($W1024,100)),""),INT($W1024)),IFERROR(DATE(--LEFT(LEFT(SUBSTITUTE(SUBSTITUTE(SUBSTITUTE(SUBSTITUTE(TRIM($W1024),"-",""),".",""),"/","")," ",""),8),4),--MID(LEFT(SUBSTITUTE(SUBSTITUTE(SUBSTITUTE(SUBSTITUTE(TRIM($W1024),"-",""),".",""),"/","")," ",""),8),5,2),--MID(LEFT(SUBSTITUTE(SUBSTITUTE(SUBSTITUTE(SUBSTITUTE(TRIM($W1024),"-",""),".",""),"/","")," ",""),8),7,2)),"")))</f>
        <v/>
      </c>
      <c r="Y1024" s="32">
        <f>IF($X1024="","",INT($X1024))</f>
        <v/>
      </c>
      <c r="Z1024" s="33">
        <f>IF(OR($Y1024="",$D$6=""),"",IF(INDEX($A:$U,ROW(),$D$6)="",0,IF(ISNUMBER(INDEX($A:$U,ROW(),$D$6)),INDEX($A:$U,ROW(),$D$6),IFERROR(--SUBSTITUTE(SUBSTITUTE(TRIM(INDEX($A:$U,ROW(),$D$6)),",",""),"원",""),0))))</f>
        <v/>
      </c>
      <c r="AA1024" s="31">
        <f>IF($Y1024="","",TRIM(INDEX($A:$U,ROW(),$E$6)&amp;IF($F$6="",""," "&amp;INDEX($A:$U,ROW(),$F$6))))</f>
        <v/>
      </c>
      <c r="AB1024" s="31">
        <f>IF($AA1024="","",SUBSTITUTE(SUBSTITUTE(SUBSTITUTE(SUBSTITUTE(SUBSTITUTE(SUBSTITUTE(SUBSTITUTE(SUBSTITUTE(SUBSTITUTE($AA1024," ",""),"　",""),"(주)",""),"（주）",""),"㈜",""),"주식회사",""),"(유)",""),"（유）",""),"유한회사",""))</f>
        <v/>
      </c>
      <c r="AC1024" s="31">
        <f>IF(OR($Y1024="",N($Z1024)&lt;=0,$AB1024=""),0,IFERROR(LOOKUP(2,1/((거래처별!$AC$8:$AC$307&lt;&gt;"")*ISNUMBER(SEARCH(거래처별!$AC$8:$AC$307,$AB1024))),거래처별!$A$8:$A$307),IFERROR(LOOKUP(2,1/((거래처별!$AD$8:$AD$307&lt;&gt;"")*ISNUMBER(SEARCH(거래처별!$AD$8:$AD$307,$AB1024))),거래처별!$A$8:$A$307),IFERROR(LOOKUP(2,1/((거래처별!$AE$8:$AE$307&lt;&gt;"")*ISNUMBER(SEARCH(거래처별!$AE$8:$AE$307,$AB1024))),거래처별!$A$8:$A$307),0))))</f>
        <v/>
      </c>
      <c r="AD1024" s="31">
        <f>IF(AND($Y1024&lt;&gt;"",N($Z1024)&gt;0,$AC1024=0),MAX($AD$7:$AD1023)+1,"")</f>
        <v/>
      </c>
      <c r="AE1024" s="31">
        <f>IF($Y1024="",0,$Y1024)</f>
        <v/>
      </c>
    </row>
    <row r="1025">
      <c r="W1025" s="31">
        <f>IF(OR($B$5="",$C$6="",ROW()&lt;$B$5),"",IF(INDEX($A:$U,ROW(),$C$6)="","",INDEX($A:$U,ROW(),$C$6)))</f>
        <v/>
      </c>
      <c r="X1025" s="32">
        <f>IF($W1025="","",IF(ISNUMBER($W1025),IF($W1025&gt;=10000000,IFERROR(DATE(INT($W1025/10000),MOD(INT($W1025/100),100),MOD($W1025,100)),""),INT($W1025)),IFERROR(DATE(--LEFT(LEFT(SUBSTITUTE(SUBSTITUTE(SUBSTITUTE(SUBSTITUTE(TRIM($W1025),"-",""),".",""),"/","")," ",""),8),4),--MID(LEFT(SUBSTITUTE(SUBSTITUTE(SUBSTITUTE(SUBSTITUTE(TRIM($W1025),"-",""),".",""),"/","")," ",""),8),5,2),--MID(LEFT(SUBSTITUTE(SUBSTITUTE(SUBSTITUTE(SUBSTITUTE(TRIM($W1025),"-",""),".",""),"/","")," ",""),8),7,2)),"")))</f>
        <v/>
      </c>
      <c r="Y1025" s="32">
        <f>IF($X1025="","",INT($X1025))</f>
        <v/>
      </c>
      <c r="Z1025" s="33">
        <f>IF(OR($Y1025="",$D$6=""),"",IF(INDEX($A:$U,ROW(),$D$6)="",0,IF(ISNUMBER(INDEX($A:$U,ROW(),$D$6)),INDEX($A:$U,ROW(),$D$6),IFERROR(--SUBSTITUTE(SUBSTITUTE(TRIM(INDEX($A:$U,ROW(),$D$6)),",",""),"원",""),0))))</f>
        <v/>
      </c>
      <c r="AA1025" s="31">
        <f>IF($Y1025="","",TRIM(INDEX($A:$U,ROW(),$E$6)&amp;IF($F$6="",""," "&amp;INDEX($A:$U,ROW(),$F$6))))</f>
        <v/>
      </c>
      <c r="AB1025" s="31">
        <f>IF($AA1025="","",SUBSTITUTE(SUBSTITUTE(SUBSTITUTE(SUBSTITUTE(SUBSTITUTE(SUBSTITUTE(SUBSTITUTE(SUBSTITUTE(SUBSTITUTE($AA1025," ",""),"　",""),"(주)",""),"（주）",""),"㈜",""),"주식회사",""),"(유)",""),"（유）",""),"유한회사",""))</f>
        <v/>
      </c>
      <c r="AC1025" s="31">
        <f>IF(OR($Y1025="",N($Z1025)&lt;=0,$AB1025=""),0,IFERROR(LOOKUP(2,1/((거래처별!$AC$8:$AC$307&lt;&gt;"")*ISNUMBER(SEARCH(거래처별!$AC$8:$AC$307,$AB1025))),거래처별!$A$8:$A$307),IFERROR(LOOKUP(2,1/((거래처별!$AD$8:$AD$307&lt;&gt;"")*ISNUMBER(SEARCH(거래처별!$AD$8:$AD$307,$AB1025))),거래처별!$A$8:$A$307),IFERROR(LOOKUP(2,1/((거래처별!$AE$8:$AE$307&lt;&gt;"")*ISNUMBER(SEARCH(거래처별!$AE$8:$AE$307,$AB1025))),거래처별!$A$8:$A$307),0))))</f>
        <v/>
      </c>
      <c r="AD1025" s="31">
        <f>IF(AND($Y1025&lt;&gt;"",N($Z1025)&gt;0,$AC1025=0),MAX($AD$7:$AD1024)+1,"")</f>
        <v/>
      </c>
      <c r="AE1025" s="31">
        <f>IF($Y1025="",0,$Y1025)</f>
        <v/>
      </c>
    </row>
    <row r="1026">
      <c r="W1026" s="31">
        <f>IF(OR($B$5="",$C$6="",ROW()&lt;$B$5),"",IF(INDEX($A:$U,ROW(),$C$6)="","",INDEX($A:$U,ROW(),$C$6)))</f>
        <v/>
      </c>
      <c r="X1026" s="32">
        <f>IF($W1026="","",IF(ISNUMBER($W1026),IF($W1026&gt;=10000000,IFERROR(DATE(INT($W1026/10000),MOD(INT($W1026/100),100),MOD($W1026,100)),""),INT($W1026)),IFERROR(DATE(--LEFT(LEFT(SUBSTITUTE(SUBSTITUTE(SUBSTITUTE(SUBSTITUTE(TRIM($W1026),"-",""),".",""),"/","")," ",""),8),4),--MID(LEFT(SUBSTITUTE(SUBSTITUTE(SUBSTITUTE(SUBSTITUTE(TRIM($W1026),"-",""),".",""),"/","")," ",""),8),5,2),--MID(LEFT(SUBSTITUTE(SUBSTITUTE(SUBSTITUTE(SUBSTITUTE(TRIM($W1026),"-",""),".",""),"/","")," ",""),8),7,2)),"")))</f>
        <v/>
      </c>
      <c r="Y1026" s="32">
        <f>IF($X1026="","",INT($X1026))</f>
        <v/>
      </c>
      <c r="Z1026" s="33">
        <f>IF(OR($Y1026="",$D$6=""),"",IF(INDEX($A:$U,ROW(),$D$6)="",0,IF(ISNUMBER(INDEX($A:$U,ROW(),$D$6)),INDEX($A:$U,ROW(),$D$6),IFERROR(--SUBSTITUTE(SUBSTITUTE(TRIM(INDEX($A:$U,ROW(),$D$6)),",",""),"원",""),0))))</f>
        <v/>
      </c>
      <c r="AA1026" s="31">
        <f>IF($Y1026="","",TRIM(INDEX($A:$U,ROW(),$E$6)&amp;IF($F$6="",""," "&amp;INDEX($A:$U,ROW(),$F$6))))</f>
        <v/>
      </c>
      <c r="AB1026" s="31">
        <f>IF($AA1026="","",SUBSTITUTE(SUBSTITUTE(SUBSTITUTE(SUBSTITUTE(SUBSTITUTE(SUBSTITUTE(SUBSTITUTE(SUBSTITUTE(SUBSTITUTE($AA1026," ",""),"　",""),"(주)",""),"（주）",""),"㈜",""),"주식회사",""),"(유)",""),"（유）",""),"유한회사",""))</f>
        <v/>
      </c>
      <c r="AC1026" s="31">
        <f>IF(OR($Y1026="",N($Z1026)&lt;=0,$AB1026=""),0,IFERROR(LOOKUP(2,1/((거래처별!$AC$8:$AC$307&lt;&gt;"")*ISNUMBER(SEARCH(거래처별!$AC$8:$AC$307,$AB1026))),거래처별!$A$8:$A$307),IFERROR(LOOKUP(2,1/((거래처별!$AD$8:$AD$307&lt;&gt;"")*ISNUMBER(SEARCH(거래처별!$AD$8:$AD$307,$AB1026))),거래처별!$A$8:$A$307),IFERROR(LOOKUP(2,1/((거래처별!$AE$8:$AE$307&lt;&gt;"")*ISNUMBER(SEARCH(거래처별!$AE$8:$AE$307,$AB1026))),거래처별!$A$8:$A$307),0))))</f>
        <v/>
      </c>
      <c r="AD1026" s="31">
        <f>IF(AND($Y1026&lt;&gt;"",N($Z1026)&gt;0,$AC1026=0),MAX($AD$7:$AD1025)+1,"")</f>
        <v/>
      </c>
      <c r="AE1026" s="31">
        <f>IF($Y1026="",0,$Y1026)</f>
        <v/>
      </c>
    </row>
    <row r="1027">
      <c r="W1027" s="31">
        <f>IF(OR($B$5="",$C$6="",ROW()&lt;$B$5),"",IF(INDEX($A:$U,ROW(),$C$6)="","",INDEX($A:$U,ROW(),$C$6)))</f>
        <v/>
      </c>
      <c r="X1027" s="32">
        <f>IF($W1027="","",IF(ISNUMBER($W1027),IF($W1027&gt;=10000000,IFERROR(DATE(INT($W1027/10000),MOD(INT($W1027/100),100),MOD($W1027,100)),""),INT($W1027)),IFERROR(DATE(--LEFT(LEFT(SUBSTITUTE(SUBSTITUTE(SUBSTITUTE(SUBSTITUTE(TRIM($W1027),"-",""),".",""),"/","")," ",""),8),4),--MID(LEFT(SUBSTITUTE(SUBSTITUTE(SUBSTITUTE(SUBSTITUTE(TRIM($W1027),"-",""),".",""),"/","")," ",""),8),5,2),--MID(LEFT(SUBSTITUTE(SUBSTITUTE(SUBSTITUTE(SUBSTITUTE(TRIM($W1027),"-",""),".",""),"/","")," ",""),8),7,2)),"")))</f>
        <v/>
      </c>
      <c r="Y1027" s="32">
        <f>IF($X1027="","",INT($X1027))</f>
        <v/>
      </c>
      <c r="Z1027" s="33">
        <f>IF(OR($Y1027="",$D$6=""),"",IF(INDEX($A:$U,ROW(),$D$6)="",0,IF(ISNUMBER(INDEX($A:$U,ROW(),$D$6)),INDEX($A:$U,ROW(),$D$6),IFERROR(--SUBSTITUTE(SUBSTITUTE(TRIM(INDEX($A:$U,ROW(),$D$6)),",",""),"원",""),0))))</f>
        <v/>
      </c>
      <c r="AA1027" s="31">
        <f>IF($Y1027="","",TRIM(INDEX($A:$U,ROW(),$E$6)&amp;IF($F$6="",""," "&amp;INDEX($A:$U,ROW(),$F$6))))</f>
        <v/>
      </c>
      <c r="AB1027" s="31">
        <f>IF($AA1027="","",SUBSTITUTE(SUBSTITUTE(SUBSTITUTE(SUBSTITUTE(SUBSTITUTE(SUBSTITUTE(SUBSTITUTE(SUBSTITUTE(SUBSTITUTE($AA1027," ",""),"　",""),"(주)",""),"（주）",""),"㈜",""),"주식회사",""),"(유)",""),"（유）",""),"유한회사",""))</f>
        <v/>
      </c>
      <c r="AC1027" s="31">
        <f>IF(OR($Y1027="",N($Z1027)&lt;=0,$AB1027=""),0,IFERROR(LOOKUP(2,1/((거래처별!$AC$8:$AC$307&lt;&gt;"")*ISNUMBER(SEARCH(거래처별!$AC$8:$AC$307,$AB1027))),거래처별!$A$8:$A$307),IFERROR(LOOKUP(2,1/((거래처별!$AD$8:$AD$307&lt;&gt;"")*ISNUMBER(SEARCH(거래처별!$AD$8:$AD$307,$AB1027))),거래처별!$A$8:$A$307),IFERROR(LOOKUP(2,1/((거래처별!$AE$8:$AE$307&lt;&gt;"")*ISNUMBER(SEARCH(거래처별!$AE$8:$AE$307,$AB1027))),거래처별!$A$8:$A$307),0))))</f>
        <v/>
      </c>
      <c r="AD1027" s="31">
        <f>IF(AND($Y1027&lt;&gt;"",N($Z1027)&gt;0,$AC1027=0),MAX($AD$7:$AD1026)+1,"")</f>
        <v/>
      </c>
      <c r="AE1027" s="31">
        <f>IF($Y1027="",0,$Y1027)</f>
        <v/>
      </c>
    </row>
    <row r="1028">
      <c r="W1028" s="31">
        <f>IF(OR($B$5="",$C$6="",ROW()&lt;$B$5),"",IF(INDEX($A:$U,ROW(),$C$6)="","",INDEX($A:$U,ROW(),$C$6)))</f>
        <v/>
      </c>
      <c r="X1028" s="32">
        <f>IF($W1028="","",IF(ISNUMBER($W1028),IF($W1028&gt;=10000000,IFERROR(DATE(INT($W1028/10000),MOD(INT($W1028/100),100),MOD($W1028,100)),""),INT($W1028)),IFERROR(DATE(--LEFT(LEFT(SUBSTITUTE(SUBSTITUTE(SUBSTITUTE(SUBSTITUTE(TRIM($W1028),"-",""),".",""),"/","")," ",""),8),4),--MID(LEFT(SUBSTITUTE(SUBSTITUTE(SUBSTITUTE(SUBSTITUTE(TRIM($W1028),"-",""),".",""),"/","")," ",""),8),5,2),--MID(LEFT(SUBSTITUTE(SUBSTITUTE(SUBSTITUTE(SUBSTITUTE(TRIM($W1028),"-",""),".",""),"/","")," ",""),8),7,2)),"")))</f>
        <v/>
      </c>
      <c r="Y1028" s="32">
        <f>IF($X1028="","",INT($X1028))</f>
        <v/>
      </c>
      <c r="Z1028" s="33">
        <f>IF(OR($Y1028="",$D$6=""),"",IF(INDEX($A:$U,ROW(),$D$6)="",0,IF(ISNUMBER(INDEX($A:$U,ROW(),$D$6)),INDEX($A:$U,ROW(),$D$6),IFERROR(--SUBSTITUTE(SUBSTITUTE(TRIM(INDEX($A:$U,ROW(),$D$6)),",",""),"원",""),0))))</f>
        <v/>
      </c>
      <c r="AA1028" s="31">
        <f>IF($Y1028="","",TRIM(INDEX($A:$U,ROW(),$E$6)&amp;IF($F$6="",""," "&amp;INDEX($A:$U,ROW(),$F$6))))</f>
        <v/>
      </c>
      <c r="AB1028" s="31">
        <f>IF($AA1028="","",SUBSTITUTE(SUBSTITUTE(SUBSTITUTE(SUBSTITUTE(SUBSTITUTE(SUBSTITUTE(SUBSTITUTE(SUBSTITUTE(SUBSTITUTE($AA1028," ",""),"　",""),"(주)",""),"（주）",""),"㈜",""),"주식회사",""),"(유)",""),"（유）",""),"유한회사",""))</f>
        <v/>
      </c>
      <c r="AC1028" s="31">
        <f>IF(OR($Y1028="",N($Z1028)&lt;=0,$AB1028=""),0,IFERROR(LOOKUP(2,1/((거래처별!$AC$8:$AC$307&lt;&gt;"")*ISNUMBER(SEARCH(거래처별!$AC$8:$AC$307,$AB1028))),거래처별!$A$8:$A$307),IFERROR(LOOKUP(2,1/((거래처별!$AD$8:$AD$307&lt;&gt;"")*ISNUMBER(SEARCH(거래처별!$AD$8:$AD$307,$AB1028))),거래처별!$A$8:$A$307),IFERROR(LOOKUP(2,1/((거래처별!$AE$8:$AE$307&lt;&gt;"")*ISNUMBER(SEARCH(거래처별!$AE$8:$AE$307,$AB1028))),거래처별!$A$8:$A$307),0))))</f>
        <v/>
      </c>
      <c r="AD1028" s="31">
        <f>IF(AND($Y1028&lt;&gt;"",N($Z1028)&gt;0,$AC1028=0),MAX($AD$7:$AD1027)+1,"")</f>
        <v/>
      </c>
      <c r="AE1028" s="31">
        <f>IF($Y1028="",0,$Y1028)</f>
        <v/>
      </c>
    </row>
    <row r="1029">
      <c r="W1029" s="31">
        <f>IF(OR($B$5="",$C$6="",ROW()&lt;$B$5),"",IF(INDEX($A:$U,ROW(),$C$6)="","",INDEX($A:$U,ROW(),$C$6)))</f>
        <v/>
      </c>
      <c r="X1029" s="32">
        <f>IF($W1029="","",IF(ISNUMBER($W1029),IF($W1029&gt;=10000000,IFERROR(DATE(INT($W1029/10000),MOD(INT($W1029/100),100),MOD($W1029,100)),""),INT($W1029)),IFERROR(DATE(--LEFT(LEFT(SUBSTITUTE(SUBSTITUTE(SUBSTITUTE(SUBSTITUTE(TRIM($W1029),"-",""),".",""),"/","")," ",""),8),4),--MID(LEFT(SUBSTITUTE(SUBSTITUTE(SUBSTITUTE(SUBSTITUTE(TRIM($W1029),"-",""),".",""),"/","")," ",""),8),5,2),--MID(LEFT(SUBSTITUTE(SUBSTITUTE(SUBSTITUTE(SUBSTITUTE(TRIM($W1029),"-",""),".",""),"/","")," ",""),8),7,2)),"")))</f>
        <v/>
      </c>
      <c r="Y1029" s="32">
        <f>IF($X1029="","",INT($X1029))</f>
        <v/>
      </c>
      <c r="Z1029" s="33">
        <f>IF(OR($Y1029="",$D$6=""),"",IF(INDEX($A:$U,ROW(),$D$6)="",0,IF(ISNUMBER(INDEX($A:$U,ROW(),$D$6)),INDEX($A:$U,ROW(),$D$6),IFERROR(--SUBSTITUTE(SUBSTITUTE(TRIM(INDEX($A:$U,ROW(),$D$6)),",",""),"원",""),0))))</f>
        <v/>
      </c>
      <c r="AA1029" s="31">
        <f>IF($Y1029="","",TRIM(INDEX($A:$U,ROW(),$E$6)&amp;IF($F$6="",""," "&amp;INDEX($A:$U,ROW(),$F$6))))</f>
        <v/>
      </c>
      <c r="AB1029" s="31">
        <f>IF($AA1029="","",SUBSTITUTE(SUBSTITUTE(SUBSTITUTE(SUBSTITUTE(SUBSTITUTE(SUBSTITUTE(SUBSTITUTE(SUBSTITUTE(SUBSTITUTE($AA1029," ",""),"　",""),"(주)",""),"（주）",""),"㈜",""),"주식회사",""),"(유)",""),"（유）",""),"유한회사",""))</f>
        <v/>
      </c>
      <c r="AC1029" s="31">
        <f>IF(OR($Y1029="",N($Z1029)&lt;=0,$AB1029=""),0,IFERROR(LOOKUP(2,1/((거래처별!$AC$8:$AC$307&lt;&gt;"")*ISNUMBER(SEARCH(거래처별!$AC$8:$AC$307,$AB1029))),거래처별!$A$8:$A$307),IFERROR(LOOKUP(2,1/((거래처별!$AD$8:$AD$307&lt;&gt;"")*ISNUMBER(SEARCH(거래처별!$AD$8:$AD$307,$AB1029))),거래처별!$A$8:$A$307),IFERROR(LOOKUP(2,1/((거래처별!$AE$8:$AE$307&lt;&gt;"")*ISNUMBER(SEARCH(거래처별!$AE$8:$AE$307,$AB1029))),거래처별!$A$8:$A$307),0))))</f>
        <v/>
      </c>
      <c r="AD1029" s="31">
        <f>IF(AND($Y1029&lt;&gt;"",N($Z1029)&gt;0,$AC1029=0),MAX($AD$7:$AD1028)+1,"")</f>
        <v/>
      </c>
      <c r="AE1029" s="31">
        <f>IF($Y1029="",0,$Y1029)</f>
        <v/>
      </c>
    </row>
    <row r="1030">
      <c r="W1030" s="31">
        <f>IF(OR($B$5="",$C$6="",ROW()&lt;$B$5),"",IF(INDEX($A:$U,ROW(),$C$6)="","",INDEX($A:$U,ROW(),$C$6)))</f>
        <v/>
      </c>
      <c r="X1030" s="32">
        <f>IF($W1030="","",IF(ISNUMBER($W1030),IF($W1030&gt;=10000000,IFERROR(DATE(INT($W1030/10000),MOD(INT($W1030/100),100),MOD($W1030,100)),""),INT($W1030)),IFERROR(DATE(--LEFT(LEFT(SUBSTITUTE(SUBSTITUTE(SUBSTITUTE(SUBSTITUTE(TRIM($W1030),"-",""),".",""),"/","")," ",""),8),4),--MID(LEFT(SUBSTITUTE(SUBSTITUTE(SUBSTITUTE(SUBSTITUTE(TRIM($W1030),"-",""),".",""),"/","")," ",""),8),5,2),--MID(LEFT(SUBSTITUTE(SUBSTITUTE(SUBSTITUTE(SUBSTITUTE(TRIM($W1030),"-",""),".",""),"/","")," ",""),8),7,2)),"")))</f>
        <v/>
      </c>
      <c r="Y1030" s="32">
        <f>IF($X1030="","",INT($X1030))</f>
        <v/>
      </c>
      <c r="Z1030" s="33">
        <f>IF(OR($Y1030="",$D$6=""),"",IF(INDEX($A:$U,ROW(),$D$6)="",0,IF(ISNUMBER(INDEX($A:$U,ROW(),$D$6)),INDEX($A:$U,ROW(),$D$6),IFERROR(--SUBSTITUTE(SUBSTITUTE(TRIM(INDEX($A:$U,ROW(),$D$6)),",",""),"원",""),0))))</f>
        <v/>
      </c>
      <c r="AA1030" s="31">
        <f>IF($Y1030="","",TRIM(INDEX($A:$U,ROW(),$E$6)&amp;IF($F$6="",""," "&amp;INDEX($A:$U,ROW(),$F$6))))</f>
        <v/>
      </c>
      <c r="AB1030" s="31">
        <f>IF($AA1030="","",SUBSTITUTE(SUBSTITUTE(SUBSTITUTE(SUBSTITUTE(SUBSTITUTE(SUBSTITUTE(SUBSTITUTE(SUBSTITUTE(SUBSTITUTE($AA1030," ",""),"　",""),"(주)",""),"（주）",""),"㈜",""),"주식회사",""),"(유)",""),"（유）",""),"유한회사",""))</f>
        <v/>
      </c>
      <c r="AC1030" s="31">
        <f>IF(OR($Y1030="",N($Z1030)&lt;=0,$AB1030=""),0,IFERROR(LOOKUP(2,1/((거래처별!$AC$8:$AC$307&lt;&gt;"")*ISNUMBER(SEARCH(거래처별!$AC$8:$AC$307,$AB1030))),거래처별!$A$8:$A$307),IFERROR(LOOKUP(2,1/((거래처별!$AD$8:$AD$307&lt;&gt;"")*ISNUMBER(SEARCH(거래처별!$AD$8:$AD$307,$AB1030))),거래처별!$A$8:$A$307),IFERROR(LOOKUP(2,1/((거래처별!$AE$8:$AE$307&lt;&gt;"")*ISNUMBER(SEARCH(거래처별!$AE$8:$AE$307,$AB1030))),거래처별!$A$8:$A$307),0))))</f>
        <v/>
      </c>
      <c r="AD1030" s="31">
        <f>IF(AND($Y1030&lt;&gt;"",N($Z1030)&gt;0,$AC1030=0),MAX($AD$7:$AD1029)+1,"")</f>
        <v/>
      </c>
      <c r="AE1030" s="31">
        <f>IF($Y1030="",0,$Y1030)</f>
        <v/>
      </c>
    </row>
    <row r="1031">
      <c r="W1031" s="31">
        <f>IF(OR($B$5="",$C$6="",ROW()&lt;$B$5),"",IF(INDEX($A:$U,ROW(),$C$6)="","",INDEX($A:$U,ROW(),$C$6)))</f>
        <v/>
      </c>
      <c r="X1031" s="32">
        <f>IF($W1031="","",IF(ISNUMBER($W1031),IF($W1031&gt;=10000000,IFERROR(DATE(INT($W1031/10000),MOD(INT($W1031/100),100),MOD($W1031,100)),""),INT($W1031)),IFERROR(DATE(--LEFT(LEFT(SUBSTITUTE(SUBSTITUTE(SUBSTITUTE(SUBSTITUTE(TRIM($W1031),"-",""),".",""),"/","")," ",""),8),4),--MID(LEFT(SUBSTITUTE(SUBSTITUTE(SUBSTITUTE(SUBSTITUTE(TRIM($W1031),"-",""),".",""),"/","")," ",""),8),5,2),--MID(LEFT(SUBSTITUTE(SUBSTITUTE(SUBSTITUTE(SUBSTITUTE(TRIM($W1031),"-",""),".",""),"/","")," ",""),8),7,2)),"")))</f>
        <v/>
      </c>
      <c r="Y1031" s="32">
        <f>IF($X1031="","",INT($X1031))</f>
        <v/>
      </c>
      <c r="Z1031" s="33">
        <f>IF(OR($Y1031="",$D$6=""),"",IF(INDEX($A:$U,ROW(),$D$6)="",0,IF(ISNUMBER(INDEX($A:$U,ROW(),$D$6)),INDEX($A:$U,ROW(),$D$6),IFERROR(--SUBSTITUTE(SUBSTITUTE(TRIM(INDEX($A:$U,ROW(),$D$6)),",",""),"원",""),0))))</f>
        <v/>
      </c>
      <c r="AA1031" s="31">
        <f>IF($Y1031="","",TRIM(INDEX($A:$U,ROW(),$E$6)&amp;IF($F$6="",""," "&amp;INDEX($A:$U,ROW(),$F$6))))</f>
        <v/>
      </c>
      <c r="AB1031" s="31">
        <f>IF($AA1031="","",SUBSTITUTE(SUBSTITUTE(SUBSTITUTE(SUBSTITUTE(SUBSTITUTE(SUBSTITUTE(SUBSTITUTE(SUBSTITUTE(SUBSTITUTE($AA1031," ",""),"　",""),"(주)",""),"（주）",""),"㈜",""),"주식회사",""),"(유)",""),"（유）",""),"유한회사",""))</f>
        <v/>
      </c>
      <c r="AC1031" s="31">
        <f>IF(OR($Y1031="",N($Z1031)&lt;=0,$AB1031=""),0,IFERROR(LOOKUP(2,1/((거래처별!$AC$8:$AC$307&lt;&gt;"")*ISNUMBER(SEARCH(거래처별!$AC$8:$AC$307,$AB1031))),거래처별!$A$8:$A$307),IFERROR(LOOKUP(2,1/((거래처별!$AD$8:$AD$307&lt;&gt;"")*ISNUMBER(SEARCH(거래처별!$AD$8:$AD$307,$AB1031))),거래처별!$A$8:$A$307),IFERROR(LOOKUP(2,1/((거래처별!$AE$8:$AE$307&lt;&gt;"")*ISNUMBER(SEARCH(거래처별!$AE$8:$AE$307,$AB1031))),거래처별!$A$8:$A$307),0))))</f>
        <v/>
      </c>
      <c r="AD1031" s="31">
        <f>IF(AND($Y1031&lt;&gt;"",N($Z1031)&gt;0,$AC1031=0),MAX($AD$7:$AD1030)+1,"")</f>
        <v/>
      </c>
      <c r="AE1031" s="31">
        <f>IF($Y1031="",0,$Y1031)</f>
        <v/>
      </c>
    </row>
    <row r="1032">
      <c r="W1032" s="31">
        <f>IF(OR($B$5="",$C$6="",ROW()&lt;$B$5),"",IF(INDEX($A:$U,ROW(),$C$6)="","",INDEX($A:$U,ROW(),$C$6)))</f>
        <v/>
      </c>
      <c r="X1032" s="32">
        <f>IF($W1032="","",IF(ISNUMBER($W1032),IF($W1032&gt;=10000000,IFERROR(DATE(INT($W1032/10000),MOD(INT($W1032/100),100),MOD($W1032,100)),""),INT($W1032)),IFERROR(DATE(--LEFT(LEFT(SUBSTITUTE(SUBSTITUTE(SUBSTITUTE(SUBSTITUTE(TRIM($W1032),"-",""),".",""),"/","")," ",""),8),4),--MID(LEFT(SUBSTITUTE(SUBSTITUTE(SUBSTITUTE(SUBSTITUTE(TRIM($W1032),"-",""),".",""),"/","")," ",""),8),5,2),--MID(LEFT(SUBSTITUTE(SUBSTITUTE(SUBSTITUTE(SUBSTITUTE(TRIM($W1032),"-",""),".",""),"/","")," ",""),8),7,2)),"")))</f>
        <v/>
      </c>
      <c r="Y1032" s="32">
        <f>IF($X1032="","",INT($X1032))</f>
        <v/>
      </c>
      <c r="Z1032" s="33">
        <f>IF(OR($Y1032="",$D$6=""),"",IF(INDEX($A:$U,ROW(),$D$6)="",0,IF(ISNUMBER(INDEX($A:$U,ROW(),$D$6)),INDEX($A:$U,ROW(),$D$6),IFERROR(--SUBSTITUTE(SUBSTITUTE(TRIM(INDEX($A:$U,ROW(),$D$6)),",",""),"원",""),0))))</f>
        <v/>
      </c>
      <c r="AA1032" s="31">
        <f>IF($Y1032="","",TRIM(INDEX($A:$U,ROW(),$E$6)&amp;IF($F$6="",""," "&amp;INDEX($A:$U,ROW(),$F$6))))</f>
        <v/>
      </c>
      <c r="AB1032" s="31">
        <f>IF($AA1032="","",SUBSTITUTE(SUBSTITUTE(SUBSTITUTE(SUBSTITUTE(SUBSTITUTE(SUBSTITUTE(SUBSTITUTE(SUBSTITUTE(SUBSTITUTE($AA1032," ",""),"　",""),"(주)",""),"（주）",""),"㈜",""),"주식회사",""),"(유)",""),"（유）",""),"유한회사",""))</f>
        <v/>
      </c>
      <c r="AC1032" s="31">
        <f>IF(OR($Y1032="",N($Z1032)&lt;=0,$AB1032=""),0,IFERROR(LOOKUP(2,1/((거래처별!$AC$8:$AC$307&lt;&gt;"")*ISNUMBER(SEARCH(거래처별!$AC$8:$AC$307,$AB1032))),거래처별!$A$8:$A$307),IFERROR(LOOKUP(2,1/((거래처별!$AD$8:$AD$307&lt;&gt;"")*ISNUMBER(SEARCH(거래처별!$AD$8:$AD$307,$AB1032))),거래처별!$A$8:$A$307),IFERROR(LOOKUP(2,1/((거래처별!$AE$8:$AE$307&lt;&gt;"")*ISNUMBER(SEARCH(거래처별!$AE$8:$AE$307,$AB1032))),거래처별!$A$8:$A$307),0))))</f>
        <v/>
      </c>
      <c r="AD1032" s="31">
        <f>IF(AND($Y1032&lt;&gt;"",N($Z1032)&gt;0,$AC1032=0),MAX($AD$7:$AD1031)+1,"")</f>
        <v/>
      </c>
      <c r="AE1032" s="31">
        <f>IF($Y1032="",0,$Y1032)</f>
        <v/>
      </c>
    </row>
    <row r="1033">
      <c r="W1033" s="31">
        <f>IF(OR($B$5="",$C$6="",ROW()&lt;$B$5),"",IF(INDEX($A:$U,ROW(),$C$6)="","",INDEX($A:$U,ROW(),$C$6)))</f>
        <v/>
      </c>
      <c r="X1033" s="32">
        <f>IF($W1033="","",IF(ISNUMBER($W1033),IF($W1033&gt;=10000000,IFERROR(DATE(INT($W1033/10000),MOD(INT($W1033/100),100),MOD($W1033,100)),""),INT($W1033)),IFERROR(DATE(--LEFT(LEFT(SUBSTITUTE(SUBSTITUTE(SUBSTITUTE(SUBSTITUTE(TRIM($W1033),"-",""),".",""),"/","")," ",""),8),4),--MID(LEFT(SUBSTITUTE(SUBSTITUTE(SUBSTITUTE(SUBSTITUTE(TRIM($W1033),"-",""),".",""),"/","")," ",""),8),5,2),--MID(LEFT(SUBSTITUTE(SUBSTITUTE(SUBSTITUTE(SUBSTITUTE(TRIM($W1033),"-",""),".",""),"/","")," ",""),8),7,2)),"")))</f>
        <v/>
      </c>
      <c r="Y1033" s="32">
        <f>IF($X1033="","",INT($X1033))</f>
        <v/>
      </c>
      <c r="Z1033" s="33">
        <f>IF(OR($Y1033="",$D$6=""),"",IF(INDEX($A:$U,ROW(),$D$6)="",0,IF(ISNUMBER(INDEX($A:$U,ROW(),$D$6)),INDEX($A:$U,ROW(),$D$6),IFERROR(--SUBSTITUTE(SUBSTITUTE(TRIM(INDEX($A:$U,ROW(),$D$6)),",",""),"원",""),0))))</f>
        <v/>
      </c>
      <c r="AA1033" s="31">
        <f>IF($Y1033="","",TRIM(INDEX($A:$U,ROW(),$E$6)&amp;IF($F$6="",""," "&amp;INDEX($A:$U,ROW(),$F$6))))</f>
        <v/>
      </c>
      <c r="AB1033" s="31">
        <f>IF($AA1033="","",SUBSTITUTE(SUBSTITUTE(SUBSTITUTE(SUBSTITUTE(SUBSTITUTE(SUBSTITUTE(SUBSTITUTE(SUBSTITUTE(SUBSTITUTE($AA1033," ",""),"　",""),"(주)",""),"（주）",""),"㈜",""),"주식회사",""),"(유)",""),"（유）",""),"유한회사",""))</f>
        <v/>
      </c>
      <c r="AC1033" s="31">
        <f>IF(OR($Y1033="",N($Z1033)&lt;=0,$AB1033=""),0,IFERROR(LOOKUP(2,1/((거래처별!$AC$8:$AC$307&lt;&gt;"")*ISNUMBER(SEARCH(거래처별!$AC$8:$AC$307,$AB1033))),거래처별!$A$8:$A$307),IFERROR(LOOKUP(2,1/((거래처별!$AD$8:$AD$307&lt;&gt;"")*ISNUMBER(SEARCH(거래처별!$AD$8:$AD$307,$AB1033))),거래처별!$A$8:$A$307),IFERROR(LOOKUP(2,1/((거래처별!$AE$8:$AE$307&lt;&gt;"")*ISNUMBER(SEARCH(거래처별!$AE$8:$AE$307,$AB1033))),거래처별!$A$8:$A$307),0))))</f>
        <v/>
      </c>
      <c r="AD1033" s="31">
        <f>IF(AND($Y1033&lt;&gt;"",N($Z1033)&gt;0,$AC1033=0),MAX($AD$7:$AD1032)+1,"")</f>
        <v/>
      </c>
      <c r="AE1033" s="31">
        <f>IF($Y1033="",0,$Y1033)</f>
        <v/>
      </c>
    </row>
    <row r="1034">
      <c r="W1034" s="31">
        <f>IF(OR($B$5="",$C$6="",ROW()&lt;$B$5),"",IF(INDEX($A:$U,ROW(),$C$6)="","",INDEX($A:$U,ROW(),$C$6)))</f>
        <v/>
      </c>
      <c r="X1034" s="32">
        <f>IF($W1034="","",IF(ISNUMBER($W1034),IF($W1034&gt;=10000000,IFERROR(DATE(INT($W1034/10000),MOD(INT($W1034/100),100),MOD($W1034,100)),""),INT($W1034)),IFERROR(DATE(--LEFT(LEFT(SUBSTITUTE(SUBSTITUTE(SUBSTITUTE(SUBSTITUTE(TRIM($W1034),"-",""),".",""),"/","")," ",""),8),4),--MID(LEFT(SUBSTITUTE(SUBSTITUTE(SUBSTITUTE(SUBSTITUTE(TRIM($W1034),"-",""),".",""),"/","")," ",""),8),5,2),--MID(LEFT(SUBSTITUTE(SUBSTITUTE(SUBSTITUTE(SUBSTITUTE(TRIM($W1034),"-",""),".",""),"/","")," ",""),8),7,2)),"")))</f>
        <v/>
      </c>
      <c r="Y1034" s="32">
        <f>IF($X1034="","",INT($X1034))</f>
        <v/>
      </c>
      <c r="Z1034" s="33">
        <f>IF(OR($Y1034="",$D$6=""),"",IF(INDEX($A:$U,ROW(),$D$6)="",0,IF(ISNUMBER(INDEX($A:$U,ROW(),$D$6)),INDEX($A:$U,ROW(),$D$6),IFERROR(--SUBSTITUTE(SUBSTITUTE(TRIM(INDEX($A:$U,ROW(),$D$6)),",",""),"원",""),0))))</f>
        <v/>
      </c>
      <c r="AA1034" s="31">
        <f>IF($Y1034="","",TRIM(INDEX($A:$U,ROW(),$E$6)&amp;IF($F$6="",""," "&amp;INDEX($A:$U,ROW(),$F$6))))</f>
        <v/>
      </c>
      <c r="AB1034" s="31">
        <f>IF($AA1034="","",SUBSTITUTE(SUBSTITUTE(SUBSTITUTE(SUBSTITUTE(SUBSTITUTE(SUBSTITUTE(SUBSTITUTE(SUBSTITUTE(SUBSTITUTE($AA1034," ",""),"　",""),"(주)",""),"（주）",""),"㈜",""),"주식회사",""),"(유)",""),"（유）",""),"유한회사",""))</f>
        <v/>
      </c>
      <c r="AC1034" s="31">
        <f>IF(OR($Y1034="",N($Z1034)&lt;=0,$AB1034=""),0,IFERROR(LOOKUP(2,1/((거래처별!$AC$8:$AC$307&lt;&gt;"")*ISNUMBER(SEARCH(거래처별!$AC$8:$AC$307,$AB1034))),거래처별!$A$8:$A$307),IFERROR(LOOKUP(2,1/((거래처별!$AD$8:$AD$307&lt;&gt;"")*ISNUMBER(SEARCH(거래처별!$AD$8:$AD$307,$AB1034))),거래처별!$A$8:$A$307),IFERROR(LOOKUP(2,1/((거래처별!$AE$8:$AE$307&lt;&gt;"")*ISNUMBER(SEARCH(거래처별!$AE$8:$AE$307,$AB1034))),거래처별!$A$8:$A$307),0))))</f>
        <v/>
      </c>
      <c r="AD1034" s="31">
        <f>IF(AND($Y1034&lt;&gt;"",N($Z1034)&gt;0,$AC1034=0),MAX($AD$7:$AD1033)+1,"")</f>
        <v/>
      </c>
      <c r="AE1034" s="31">
        <f>IF($Y1034="",0,$Y1034)</f>
        <v/>
      </c>
    </row>
    <row r="1035">
      <c r="W1035" s="31">
        <f>IF(OR($B$5="",$C$6="",ROW()&lt;$B$5),"",IF(INDEX($A:$U,ROW(),$C$6)="","",INDEX($A:$U,ROW(),$C$6)))</f>
        <v/>
      </c>
      <c r="X1035" s="32">
        <f>IF($W1035="","",IF(ISNUMBER($W1035),IF($W1035&gt;=10000000,IFERROR(DATE(INT($W1035/10000),MOD(INT($W1035/100),100),MOD($W1035,100)),""),INT($W1035)),IFERROR(DATE(--LEFT(LEFT(SUBSTITUTE(SUBSTITUTE(SUBSTITUTE(SUBSTITUTE(TRIM($W1035),"-",""),".",""),"/","")," ",""),8),4),--MID(LEFT(SUBSTITUTE(SUBSTITUTE(SUBSTITUTE(SUBSTITUTE(TRIM($W1035),"-",""),".",""),"/","")," ",""),8),5,2),--MID(LEFT(SUBSTITUTE(SUBSTITUTE(SUBSTITUTE(SUBSTITUTE(TRIM($W1035),"-",""),".",""),"/","")," ",""),8),7,2)),"")))</f>
        <v/>
      </c>
      <c r="Y1035" s="32">
        <f>IF($X1035="","",INT($X1035))</f>
        <v/>
      </c>
      <c r="Z1035" s="33">
        <f>IF(OR($Y1035="",$D$6=""),"",IF(INDEX($A:$U,ROW(),$D$6)="",0,IF(ISNUMBER(INDEX($A:$U,ROW(),$D$6)),INDEX($A:$U,ROW(),$D$6),IFERROR(--SUBSTITUTE(SUBSTITUTE(TRIM(INDEX($A:$U,ROW(),$D$6)),",",""),"원",""),0))))</f>
        <v/>
      </c>
      <c r="AA1035" s="31">
        <f>IF($Y1035="","",TRIM(INDEX($A:$U,ROW(),$E$6)&amp;IF($F$6="",""," "&amp;INDEX($A:$U,ROW(),$F$6))))</f>
        <v/>
      </c>
      <c r="AB1035" s="31">
        <f>IF($AA1035="","",SUBSTITUTE(SUBSTITUTE(SUBSTITUTE(SUBSTITUTE(SUBSTITUTE(SUBSTITUTE(SUBSTITUTE(SUBSTITUTE(SUBSTITUTE($AA1035," ",""),"　",""),"(주)",""),"（주）",""),"㈜",""),"주식회사",""),"(유)",""),"（유）",""),"유한회사",""))</f>
        <v/>
      </c>
      <c r="AC1035" s="31">
        <f>IF(OR($Y1035="",N($Z1035)&lt;=0,$AB1035=""),0,IFERROR(LOOKUP(2,1/((거래처별!$AC$8:$AC$307&lt;&gt;"")*ISNUMBER(SEARCH(거래처별!$AC$8:$AC$307,$AB1035))),거래처별!$A$8:$A$307),IFERROR(LOOKUP(2,1/((거래처별!$AD$8:$AD$307&lt;&gt;"")*ISNUMBER(SEARCH(거래처별!$AD$8:$AD$307,$AB1035))),거래처별!$A$8:$A$307),IFERROR(LOOKUP(2,1/((거래처별!$AE$8:$AE$307&lt;&gt;"")*ISNUMBER(SEARCH(거래처별!$AE$8:$AE$307,$AB1035))),거래처별!$A$8:$A$307),0))))</f>
        <v/>
      </c>
      <c r="AD1035" s="31">
        <f>IF(AND($Y1035&lt;&gt;"",N($Z1035)&gt;0,$AC1035=0),MAX($AD$7:$AD1034)+1,"")</f>
        <v/>
      </c>
      <c r="AE1035" s="31">
        <f>IF($Y1035="",0,$Y1035)</f>
        <v/>
      </c>
    </row>
    <row r="1036">
      <c r="W1036" s="31">
        <f>IF(OR($B$5="",$C$6="",ROW()&lt;$B$5),"",IF(INDEX($A:$U,ROW(),$C$6)="","",INDEX($A:$U,ROW(),$C$6)))</f>
        <v/>
      </c>
      <c r="X1036" s="32">
        <f>IF($W1036="","",IF(ISNUMBER($W1036),IF($W1036&gt;=10000000,IFERROR(DATE(INT($W1036/10000),MOD(INT($W1036/100),100),MOD($W1036,100)),""),INT($W1036)),IFERROR(DATE(--LEFT(LEFT(SUBSTITUTE(SUBSTITUTE(SUBSTITUTE(SUBSTITUTE(TRIM($W1036),"-",""),".",""),"/","")," ",""),8),4),--MID(LEFT(SUBSTITUTE(SUBSTITUTE(SUBSTITUTE(SUBSTITUTE(TRIM($W1036),"-",""),".",""),"/","")," ",""),8),5,2),--MID(LEFT(SUBSTITUTE(SUBSTITUTE(SUBSTITUTE(SUBSTITUTE(TRIM($W1036),"-",""),".",""),"/","")," ",""),8),7,2)),"")))</f>
        <v/>
      </c>
      <c r="Y1036" s="32">
        <f>IF($X1036="","",INT($X1036))</f>
        <v/>
      </c>
      <c r="Z1036" s="33">
        <f>IF(OR($Y1036="",$D$6=""),"",IF(INDEX($A:$U,ROW(),$D$6)="",0,IF(ISNUMBER(INDEX($A:$U,ROW(),$D$6)),INDEX($A:$U,ROW(),$D$6),IFERROR(--SUBSTITUTE(SUBSTITUTE(TRIM(INDEX($A:$U,ROW(),$D$6)),",",""),"원",""),0))))</f>
        <v/>
      </c>
      <c r="AA1036" s="31">
        <f>IF($Y1036="","",TRIM(INDEX($A:$U,ROW(),$E$6)&amp;IF($F$6="",""," "&amp;INDEX($A:$U,ROW(),$F$6))))</f>
        <v/>
      </c>
      <c r="AB1036" s="31">
        <f>IF($AA1036="","",SUBSTITUTE(SUBSTITUTE(SUBSTITUTE(SUBSTITUTE(SUBSTITUTE(SUBSTITUTE(SUBSTITUTE(SUBSTITUTE(SUBSTITUTE($AA1036," ",""),"　",""),"(주)",""),"（주）",""),"㈜",""),"주식회사",""),"(유)",""),"（유）",""),"유한회사",""))</f>
        <v/>
      </c>
      <c r="AC1036" s="31">
        <f>IF(OR($Y1036="",N($Z1036)&lt;=0,$AB1036=""),0,IFERROR(LOOKUP(2,1/((거래처별!$AC$8:$AC$307&lt;&gt;"")*ISNUMBER(SEARCH(거래처별!$AC$8:$AC$307,$AB1036))),거래처별!$A$8:$A$307),IFERROR(LOOKUP(2,1/((거래처별!$AD$8:$AD$307&lt;&gt;"")*ISNUMBER(SEARCH(거래처별!$AD$8:$AD$307,$AB1036))),거래처별!$A$8:$A$307),IFERROR(LOOKUP(2,1/((거래처별!$AE$8:$AE$307&lt;&gt;"")*ISNUMBER(SEARCH(거래처별!$AE$8:$AE$307,$AB1036))),거래처별!$A$8:$A$307),0))))</f>
        <v/>
      </c>
      <c r="AD1036" s="31">
        <f>IF(AND($Y1036&lt;&gt;"",N($Z1036)&gt;0,$AC1036=0),MAX($AD$7:$AD1035)+1,"")</f>
        <v/>
      </c>
      <c r="AE1036" s="31">
        <f>IF($Y1036="",0,$Y1036)</f>
        <v/>
      </c>
    </row>
    <row r="1037">
      <c r="W1037" s="31">
        <f>IF(OR($B$5="",$C$6="",ROW()&lt;$B$5),"",IF(INDEX($A:$U,ROW(),$C$6)="","",INDEX($A:$U,ROW(),$C$6)))</f>
        <v/>
      </c>
      <c r="X1037" s="32">
        <f>IF($W1037="","",IF(ISNUMBER($W1037),IF($W1037&gt;=10000000,IFERROR(DATE(INT($W1037/10000),MOD(INT($W1037/100),100),MOD($W1037,100)),""),INT($W1037)),IFERROR(DATE(--LEFT(LEFT(SUBSTITUTE(SUBSTITUTE(SUBSTITUTE(SUBSTITUTE(TRIM($W1037),"-",""),".",""),"/","")," ",""),8),4),--MID(LEFT(SUBSTITUTE(SUBSTITUTE(SUBSTITUTE(SUBSTITUTE(TRIM($W1037),"-",""),".",""),"/","")," ",""),8),5,2),--MID(LEFT(SUBSTITUTE(SUBSTITUTE(SUBSTITUTE(SUBSTITUTE(TRIM($W1037),"-",""),".",""),"/","")," ",""),8),7,2)),"")))</f>
        <v/>
      </c>
      <c r="Y1037" s="32">
        <f>IF($X1037="","",INT($X1037))</f>
        <v/>
      </c>
      <c r="Z1037" s="33">
        <f>IF(OR($Y1037="",$D$6=""),"",IF(INDEX($A:$U,ROW(),$D$6)="",0,IF(ISNUMBER(INDEX($A:$U,ROW(),$D$6)),INDEX($A:$U,ROW(),$D$6),IFERROR(--SUBSTITUTE(SUBSTITUTE(TRIM(INDEX($A:$U,ROW(),$D$6)),",",""),"원",""),0))))</f>
        <v/>
      </c>
      <c r="AA1037" s="31">
        <f>IF($Y1037="","",TRIM(INDEX($A:$U,ROW(),$E$6)&amp;IF($F$6="",""," "&amp;INDEX($A:$U,ROW(),$F$6))))</f>
        <v/>
      </c>
      <c r="AB1037" s="31">
        <f>IF($AA1037="","",SUBSTITUTE(SUBSTITUTE(SUBSTITUTE(SUBSTITUTE(SUBSTITUTE(SUBSTITUTE(SUBSTITUTE(SUBSTITUTE(SUBSTITUTE($AA1037," ",""),"　",""),"(주)",""),"（주）",""),"㈜",""),"주식회사",""),"(유)",""),"（유）",""),"유한회사",""))</f>
        <v/>
      </c>
      <c r="AC1037" s="31">
        <f>IF(OR($Y1037="",N($Z1037)&lt;=0,$AB1037=""),0,IFERROR(LOOKUP(2,1/((거래처별!$AC$8:$AC$307&lt;&gt;"")*ISNUMBER(SEARCH(거래처별!$AC$8:$AC$307,$AB1037))),거래처별!$A$8:$A$307),IFERROR(LOOKUP(2,1/((거래처별!$AD$8:$AD$307&lt;&gt;"")*ISNUMBER(SEARCH(거래처별!$AD$8:$AD$307,$AB1037))),거래처별!$A$8:$A$307),IFERROR(LOOKUP(2,1/((거래처별!$AE$8:$AE$307&lt;&gt;"")*ISNUMBER(SEARCH(거래처별!$AE$8:$AE$307,$AB1037))),거래처별!$A$8:$A$307),0))))</f>
        <v/>
      </c>
      <c r="AD1037" s="31">
        <f>IF(AND($Y1037&lt;&gt;"",N($Z1037)&gt;0,$AC1037=0),MAX($AD$7:$AD1036)+1,"")</f>
        <v/>
      </c>
      <c r="AE1037" s="31">
        <f>IF($Y1037="",0,$Y1037)</f>
        <v/>
      </c>
    </row>
    <row r="1038">
      <c r="W1038" s="31">
        <f>IF(OR($B$5="",$C$6="",ROW()&lt;$B$5),"",IF(INDEX($A:$U,ROW(),$C$6)="","",INDEX($A:$U,ROW(),$C$6)))</f>
        <v/>
      </c>
      <c r="X1038" s="32">
        <f>IF($W1038="","",IF(ISNUMBER($W1038),IF($W1038&gt;=10000000,IFERROR(DATE(INT($W1038/10000),MOD(INT($W1038/100),100),MOD($W1038,100)),""),INT($W1038)),IFERROR(DATE(--LEFT(LEFT(SUBSTITUTE(SUBSTITUTE(SUBSTITUTE(SUBSTITUTE(TRIM($W1038),"-",""),".",""),"/","")," ",""),8),4),--MID(LEFT(SUBSTITUTE(SUBSTITUTE(SUBSTITUTE(SUBSTITUTE(TRIM($W1038),"-",""),".",""),"/","")," ",""),8),5,2),--MID(LEFT(SUBSTITUTE(SUBSTITUTE(SUBSTITUTE(SUBSTITUTE(TRIM($W1038),"-",""),".",""),"/","")," ",""),8),7,2)),"")))</f>
        <v/>
      </c>
      <c r="Y1038" s="32">
        <f>IF($X1038="","",INT($X1038))</f>
        <v/>
      </c>
      <c r="Z1038" s="33">
        <f>IF(OR($Y1038="",$D$6=""),"",IF(INDEX($A:$U,ROW(),$D$6)="",0,IF(ISNUMBER(INDEX($A:$U,ROW(),$D$6)),INDEX($A:$U,ROW(),$D$6),IFERROR(--SUBSTITUTE(SUBSTITUTE(TRIM(INDEX($A:$U,ROW(),$D$6)),",",""),"원",""),0))))</f>
        <v/>
      </c>
      <c r="AA1038" s="31">
        <f>IF($Y1038="","",TRIM(INDEX($A:$U,ROW(),$E$6)&amp;IF($F$6="",""," "&amp;INDEX($A:$U,ROW(),$F$6))))</f>
        <v/>
      </c>
      <c r="AB1038" s="31">
        <f>IF($AA1038="","",SUBSTITUTE(SUBSTITUTE(SUBSTITUTE(SUBSTITUTE(SUBSTITUTE(SUBSTITUTE(SUBSTITUTE(SUBSTITUTE(SUBSTITUTE($AA1038," ",""),"　",""),"(주)",""),"（주）",""),"㈜",""),"주식회사",""),"(유)",""),"（유）",""),"유한회사",""))</f>
        <v/>
      </c>
      <c r="AC1038" s="31">
        <f>IF(OR($Y1038="",N($Z1038)&lt;=0,$AB1038=""),0,IFERROR(LOOKUP(2,1/((거래처별!$AC$8:$AC$307&lt;&gt;"")*ISNUMBER(SEARCH(거래처별!$AC$8:$AC$307,$AB1038))),거래처별!$A$8:$A$307),IFERROR(LOOKUP(2,1/((거래처별!$AD$8:$AD$307&lt;&gt;"")*ISNUMBER(SEARCH(거래처별!$AD$8:$AD$307,$AB1038))),거래처별!$A$8:$A$307),IFERROR(LOOKUP(2,1/((거래처별!$AE$8:$AE$307&lt;&gt;"")*ISNUMBER(SEARCH(거래처별!$AE$8:$AE$307,$AB1038))),거래처별!$A$8:$A$307),0))))</f>
        <v/>
      </c>
      <c r="AD1038" s="31">
        <f>IF(AND($Y1038&lt;&gt;"",N($Z1038)&gt;0,$AC1038=0),MAX($AD$7:$AD1037)+1,"")</f>
        <v/>
      </c>
      <c r="AE1038" s="31">
        <f>IF($Y1038="",0,$Y1038)</f>
        <v/>
      </c>
    </row>
    <row r="1039">
      <c r="W1039" s="31">
        <f>IF(OR($B$5="",$C$6="",ROW()&lt;$B$5),"",IF(INDEX($A:$U,ROW(),$C$6)="","",INDEX($A:$U,ROW(),$C$6)))</f>
        <v/>
      </c>
      <c r="X1039" s="32">
        <f>IF($W1039="","",IF(ISNUMBER($W1039),IF($W1039&gt;=10000000,IFERROR(DATE(INT($W1039/10000),MOD(INT($W1039/100),100),MOD($W1039,100)),""),INT($W1039)),IFERROR(DATE(--LEFT(LEFT(SUBSTITUTE(SUBSTITUTE(SUBSTITUTE(SUBSTITUTE(TRIM($W1039),"-",""),".",""),"/","")," ",""),8),4),--MID(LEFT(SUBSTITUTE(SUBSTITUTE(SUBSTITUTE(SUBSTITUTE(TRIM($W1039),"-",""),".",""),"/","")," ",""),8),5,2),--MID(LEFT(SUBSTITUTE(SUBSTITUTE(SUBSTITUTE(SUBSTITUTE(TRIM($W1039),"-",""),".",""),"/","")," ",""),8),7,2)),"")))</f>
        <v/>
      </c>
      <c r="Y1039" s="32">
        <f>IF($X1039="","",INT($X1039))</f>
        <v/>
      </c>
      <c r="Z1039" s="33">
        <f>IF(OR($Y1039="",$D$6=""),"",IF(INDEX($A:$U,ROW(),$D$6)="",0,IF(ISNUMBER(INDEX($A:$U,ROW(),$D$6)),INDEX($A:$U,ROW(),$D$6),IFERROR(--SUBSTITUTE(SUBSTITUTE(TRIM(INDEX($A:$U,ROW(),$D$6)),",",""),"원",""),0))))</f>
        <v/>
      </c>
      <c r="AA1039" s="31">
        <f>IF($Y1039="","",TRIM(INDEX($A:$U,ROW(),$E$6)&amp;IF($F$6="",""," "&amp;INDEX($A:$U,ROW(),$F$6))))</f>
        <v/>
      </c>
      <c r="AB1039" s="31">
        <f>IF($AA1039="","",SUBSTITUTE(SUBSTITUTE(SUBSTITUTE(SUBSTITUTE(SUBSTITUTE(SUBSTITUTE(SUBSTITUTE(SUBSTITUTE(SUBSTITUTE($AA1039," ",""),"　",""),"(주)",""),"（주）",""),"㈜",""),"주식회사",""),"(유)",""),"（유）",""),"유한회사",""))</f>
        <v/>
      </c>
      <c r="AC1039" s="31">
        <f>IF(OR($Y1039="",N($Z1039)&lt;=0,$AB1039=""),0,IFERROR(LOOKUP(2,1/((거래처별!$AC$8:$AC$307&lt;&gt;"")*ISNUMBER(SEARCH(거래처별!$AC$8:$AC$307,$AB1039))),거래처별!$A$8:$A$307),IFERROR(LOOKUP(2,1/((거래처별!$AD$8:$AD$307&lt;&gt;"")*ISNUMBER(SEARCH(거래처별!$AD$8:$AD$307,$AB1039))),거래처별!$A$8:$A$307),IFERROR(LOOKUP(2,1/((거래처별!$AE$8:$AE$307&lt;&gt;"")*ISNUMBER(SEARCH(거래처별!$AE$8:$AE$307,$AB1039))),거래처별!$A$8:$A$307),0))))</f>
        <v/>
      </c>
      <c r="AD1039" s="31">
        <f>IF(AND($Y1039&lt;&gt;"",N($Z1039)&gt;0,$AC1039=0),MAX($AD$7:$AD1038)+1,"")</f>
        <v/>
      </c>
      <c r="AE1039" s="31">
        <f>IF($Y1039="",0,$Y1039)</f>
        <v/>
      </c>
    </row>
    <row r="1040">
      <c r="W1040" s="31">
        <f>IF(OR($B$5="",$C$6="",ROW()&lt;$B$5),"",IF(INDEX($A:$U,ROW(),$C$6)="","",INDEX($A:$U,ROW(),$C$6)))</f>
        <v/>
      </c>
      <c r="X1040" s="32">
        <f>IF($W1040="","",IF(ISNUMBER($W1040),IF($W1040&gt;=10000000,IFERROR(DATE(INT($W1040/10000),MOD(INT($W1040/100),100),MOD($W1040,100)),""),INT($W1040)),IFERROR(DATE(--LEFT(LEFT(SUBSTITUTE(SUBSTITUTE(SUBSTITUTE(SUBSTITUTE(TRIM($W1040),"-",""),".",""),"/","")," ",""),8),4),--MID(LEFT(SUBSTITUTE(SUBSTITUTE(SUBSTITUTE(SUBSTITUTE(TRIM($W1040),"-",""),".",""),"/","")," ",""),8),5,2),--MID(LEFT(SUBSTITUTE(SUBSTITUTE(SUBSTITUTE(SUBSTITUTE(TRIM($W1040),"-",""),".",""),"/","")," ",""),8),7,2)),"")))</f>
        <v/>
      </c>
      <c r="Y1040" s="32">
        <f>IF($X1040="","",INT($X1040))</f>
        <v/>
      </c>
      <c r="Z1040" s="33">
        <f>IF(OR($Y1040="",$D$6=""),"",IF(INDEX($A:$U,ROW(),$D$6)="",0,IF(ISNUMBER(INDEX($A:$U,ROW(),$D$6)),INDEX($A:$U,ROW(),$D$6),IFERROR(--SUBSTITUTE(SUBSTITUTE(TRIM(INDEX($A:$U,ROW(),$D$6)),",",""),"원",""),0))))</f>
        <v/>
      </c>
      <c r="AA1040" s="31">
        <f>IF($Y1040="","",TRIM(INDEX($A:$U,ROW(),$E$6)&amp;IF($F$6="",""," "&amp;INDEX($A:$U,ROW(),$F$6))))</f>
        <v/>
      </c>
      <c r="AB1040" s="31">
        <f>IF($AA1040="","",SUBSTITUTE(SUBSTITUTE(SUBSTITUTE(SUBSTITUTE(SUBSTITUTE(SUBSTITUTE(SUBSTITUTE(SUBSTITUTE(SUBSTITUTE($AA1040," ",""),"　",""),"(주)",""),"（주）",""),"㈜",""),"주식회사",""),"(유)",""),"（유）",""),"유한회사",""))</f>
        <v/>
      </c>
      <c r="AC1040" s="31">
        <f>IF(OR($Y1040="",N($Z1040)&lt;=0,$AB1040=""),0,IFERROR(LOOKUP(2,1/((거래처별!$AC$8:$AC$307&lt;&gt;"")*ISNUMBER(SEARCH(거래처별!$AC$8:$AC$307,$AB1040))),거래처별!$A$8:$A$307),IFERROR(LOOKUP(2,1/((거래처별!$AD$8:$AD$307&lt;&gt;"")*ISNUMBER(SEARCH(거래처별!$AD$8:$AD$307,$AB1040))),거래처별!$A$8:$A$307),IFERROR(LOOKUP(2,1/((거래처별!$AE$8:$AE$307&lt;&gt;"")*ISNUMBER(SEARCH(거래처별!$AE$8:$AE$307,$AB1040))),거래처별!$A$8:$A$307),0))))</f>
        <v/>
      </c>
      <c r="AD1040" s="31">
        <f>IF(AND($Y1040&lt;&gt;"",N($Z1040)&gt;0,$AC1040=0),MAX($AD$7:$AD1039)+1,"")</f>
        <v/>
      </c>
      <c r="AE1040" s="31">
        <f>IF($Y1040="",0,$Y1040)</f>
        <v/>
      </c>
    </row>
    <row r="1041">
      <c r="W1041" s="31">
        <f>IF(OR($B$5="",$C$6="",ROW()&lt;$B$5),"",IF(INDEX($A:$U,ROW(),$C$6)="","",INDEX($A:$U,ROW(),$C$6)))</f>
        <v/>
      </c>
      <c r="X1041" s="32">
        <f>IF($W1041="","",IF(ISNUMBER($W1041),IF($W1041&gt;=10000000,IFERROR(DATE(INT($W1041/10000),MOD(INT($W1041/100),100),MOD($W1041,100)),""),INT($W1041)),IFERROR(DATE(--LEFT(LEFT(SUBSTITUTE(SUBSTITUTE(SUBSTITUTE(SUBSTITUTE(TRIM($W1041),"-",""),".",""),"/","")," ",""),8),4),--MID(LEFT(SUBSTITUTE(SUBSTITUTE(SUBSTITUTE(SUBSTITUTE(TRIM($W1041),"-",""),".",""),"/","")," ",""),8),5,2),--MID(LEFT(SUBSTITUTE(SUBSTITUTE(SUBSTITUTE(SUBSTITUTE(TRIM($W1041),"-",""),".",""),"/","")," ",""),8),7,2)),"")))</f>
        <v/>
      </c>
      <c r="Y1041" s="32">
        <f>IF($X1041="","",INT($X1041))</f>
        <v/>
      </c>
      <c r="Z1041" s="33">
        <f>IF(OR($Y1041="",$D$6=""),"",IF(INDEX($A:$U,ROW(),$D$6)="",0,IF(ISNUMBER(INDEX($A:$U,ROW(),$D$6)),INDEX($A:$U,ROW(),$D$6),IFERROR(--SUBSTITUTE(SUBSTITUTE(TRIM(INDEX($A:$U,ROW(),$D$6)),",",""),"원",""),0))))</f>
        <v/>
      </c>
      <c r="AA1041" s="31">
        <f>IF($Y1041="","",TRIM(INDEX($A:$U,ROW(),$E$6)&amp;IF($F$6="",""," "&amp;INDEX($A:$U,ROW(),$F$6))))</f>
        <v/>
      </c>
      <c r="AB1041" s="31">
        <f>IF($AA1041="","",SUBSTITUTE(SUBSTITUTE(SUBSTITUTE(SUBSTITUTE(SUBSTITUTE(SUBSTITUTE(SUBSTITUTE(SUBSTITUTE(SUBSTITUTE($AA1041," ",""),"　",""),"(주)",""),"（주）",""),"㈜",""),"주식회사",""),"(유)",""),"（유）",""),"유한회사",""))</f>
        <v/>
      </c>
      <c r="AC1041" s="31">
        <f>IF(OR($Y1041="",N($Z1041)&lt;=0,$AB1041=""),0,IFERROR(LOOKUP(2,1/((거래처별!$AC$8:$AC$307&lt;&gt;"")*ISNUMBER(SEARCH(거래처별!$AC$8:$AC$307,$AB1041))),거래처별!$A$8:$A$307),IFERROR(LOOKUP(2,1/((거래처별!$AD$8:$AD$307&lt;&gt;"")*ISNUMBER(SEARCH(거래처별!$AD$8:$AD$307,$AB1041))),거래처별!$A$8:$A$307),IFERROR(LOOKUP(2,1/((거래처별!$AE$8:$AE$307&lt;&gt;"")*ISNUMBER(SEARCH(거래처별!$AE$8:$AE$307,$AB1041))),거래처별!$A$8:$A$307),0))))</f>
        <v/>
      </c>
      <c r="AD1041" s="31">
        <f>IF(AND($Y1041&lt;&gt;"",N($Z1041)&gt;0,$AC1041=0),MAX($AD$7:$AD1040)+1,"")</f>
        <v/>
      </c>
      <c r="AE1041" s="31">
        <f>IF($Y1041="",0,$Y1041)</f>
        <v/>
      </c>
    </row>
    <row r="1042">
      <c r="W1042" s="31">
        <f>IF(OR($B$5="",$C$6="",ROW()&lt;$B$5),"",IF(INDEX($A:$U,ROW(),$C$6)="","",INDEX($A:$U,ROW(),$C$6)))</f>
        <v/>
      </c>
      <c r="X1042" s="32">
        <f>IF($W1042="","",IF(ISNUMBER($W1042),IF($W1042&gt;=10000000,IFERROR(DATE(INT($W1042/10000),MOD(INT($W1042/100),100),MOD($W1042,100)),""),INT($W1042)),IFERROR(DATE(--LEFT(LEFT(SUBSTITUTE(SUBSTITUTE(SUBSTITUTE(SUBSTITUTE(TRIM($W1042),"-",""),".",""),"/","")," ",""),8),4),--MID(LEFT(SUBSTITUTE(SUBSTITUTE(SUBSTITUTE(SUBSTITUTE(TRIM($W1042),"-",""),".",""),"/","")," ",""),8),5,2),--MID(LEFT(SUBSTITUTE(SUBSTITUTE(SUBSTITUTE(SUBSTITUTE(TRIM($W1042),"-",""),".",""),"/","")," ",""),8),7,2)),"")))</f>
        <v/>
      </c>
      <c r="Y1042" s="32">
        <f>IF($X1042="","",INT($X1042))</f>
        <v/>
      </c>
      <c r="Z1042" s="33">
        <f>IF(OR($Y1042="",$D$6=""),"",IF(INDEX($A:$U,ROW(),$D$6)="",0,IF(ISNUMBER(INDEX($A:$U,ROW(),$D$6)),INDEX($A:$U,ROW(),$D$6),IFERROR(--SUBSTITUTE(SUBSTITUTE(TRIM(INDEX($A:$U,ROW(),$D$6)),",",""),"원",""),0))))</f>
        <v/>
      </c>
      <c r="AA1042" s="31">
        <f>IF($Y1042="","",TRIM(INDEX($A:$U,ROW(),$E$6)&amp;IF($F$6="",""," "&amp;INDEX($A:$U,ROW(),$F$6))))</f>
        <v/>
      </c>
      <c r="AB1042" s="31">
        <f>IF($AA1042="","",SUBSTITUTE(SUBSTITUTE(SUBSTITUTE(SUBSTITUTE(SUBSTITUTE(SUBSTITUTE(SUBSTITUTE(SUBSTITUTE(SUBSTITUTE($AA1042," ",""),"　",""),"(주)",""),"（주）",""),"㈜",""),"주식회사",""),"(유)",""),"（유）",""),"유한회사",""))</f>
        <v/>
      </c>
      <c r="AC1042" s="31">
        <f>IF(OR($Y1042="",N($Z1042)&lt;=0,$AB1042=""),0,IFERROR(LOOKUP(2,1/((거래처별!$AC$8:$AC$307&lt;&gt;"")*ISNUMBER(SEARCH(거래처별!$AC$8:$AC$307,$AB1042))),거래처별!$A$8:$A$307),IFERROR(LOOKUP(2,1/((거래처별!$AD$8:$AD$307&lt;&gt;"")*ISNUMBER(SEARCH(거래처별!$AD$8:$AD$307,$AB1042))),거래처별!$A$8:$A$307),IFERROR(LOOKUP(2,1/((거래처별!$AE$8:$AE$307&lt;&gt;"")*ISNUMBER(SEARCH(거래처별!$AE$8:$AE$307,$AB1042))),거래처별!$A$8:$A$307),0))))</f>
        <v/>
      </c>
      <c r="AD1042" s="31">
        <f>IF(AND($Y1042&lt;&gt;"",N($Z1042)&gt;0,$AC1042=0),MAX($AD$7:$AD1041)+1,"")</f>
        <v/>
      </c>
      <c r="AE1042" s="31">
        <f>IF($Y1042="",0,$Y1042)</f>
        <v/>
      </c>
    </row>
    <row r="1043">
      <c r="W1043" s="31">
        <f>IF(OR($B$5="",$C$6="",ROW()&lt;$B$5),"",IF(INDEX($A:$U,ROW(),$C$6)="","",INDEX($A:$U,ROW(),$C$6)))</f>
        <v/>
      </c>
      <c r="X1043" s="32">
        <f>IF($W1043="","",IF(ISNUMBER($W1043),IF($W1043&gt;=10000000,IFERROR(DATE(INT($W1043/10000),MOD(INT($W1043/100),100),MOD($W1043,100)),""),INT($W1043)),IFERROR(DATE(--LEFT(LEFT(SUBSTITUTE(SUBSTITUTE(SUBSTITUTE(SUBSTITUTE(TRIM($W1043),"-",""),".",""),"/","")," ",""),8),4),--MID(LEFT(SUBSTITUTE(SUBSTITUTE(SUBSTITUTE(SUBSTITUTE(TRIM($W1043),"-",""),".",""),"/","")," ",""),8),5,2),--MID(LEFT(SUBSTITUTE(SUBSTITUTE(SUBSTITUTE(SUBSTITUTE(TRIM($W1043),"-",""),".",""),"/","")," ",""),8),7,2)),"")))</f>
        <v/>
      </c>
      <c r="Y1043" s="32">
        <f>IF($X1043="","",INT($X1043))</f>
        <v/>
      </c>
      <c r="Z1043" s="33">
        <f>IF(OR($Y1043="",$D$6=""),"",IF(INDEX($A:$U,ROW(),$D$6)="",0,IF(ISNUMBER(INDEX($A:$U,ROW(),$D$6)),INDEX($A:$U,ROW(),$D$6),IFERROR(--SUBSTITUTE(SUBSTITUTE(TRIM(INDEX($A:$U,ROW(),$D$6)),",",""),"원",""),0))))</f>
        <v/>
      </c>
      <c r="AA1043" s="31">
        <f>IF($Y1043="","",TRIM(INDEX($A:$U,ROW(),$E$6)&amp;IF($F$6="",""," "&amp;INDEX($A:$U,ROW(),$F$6))))</f>
        <v/>
      </c>
      <c r="AB1043" s="31">
        <f>IF($AA1043="","",SUBSTITUTE(SUBSTITUTE(SUBSTITUTE(SUBSTITUTE(SUBSTITUTE(SUBSTITUTE(SUBSTITUTE(SUBSTITUTE(SUBSTITUTE($AA1043," ",""),"　",""),"(주)",""),"（주）",""),"㈜",""),"주식회사",""),"(유)",""),"（유）",""),"유한회사",""))</f>
        <v/>
      </c>
      <c r="AC1043" s="31">
        <f>IF(OR($Y1043="",N($Z1043)&lt;=0,$AB1043=""),0,IFERROR(LOOKUP(2,1/((거래처별!$AC$8:$AC$307&lt;&gt;"")*ISNUMBER(SEARCH(거래처별!$AC$8:$AC$307,$AB1043))),거래처별!$A$8:$A$307),IFERROR(LOOKUP(2,1/((거래처별!$AD$8:$AD$307&lt;&gt;"")*ISNUMBER(SEARCH(거래처별!$AD$8:$AD$307,$AB1043))),거래처별!$A$8:$A$307),IFERROR(LOOKUP(2,1/((거래처별!$AE$8:$AE$307&lt;&gt;"")*ISNUMBER(SEARCH(거래처별!$AE$8:$AE$307,$AB1043))),거래처별!$A$8:$A$307),0))))</f>
        <v/>
      </c>
      <c r="AD1043" s="31">
        <f>IF(AND($Y1043&lt;&gt;"",N($Z1043)&gt;0,$AC1043=0),MAX($AD$7:$AD1042)+1,"")</f>
        <v/>
      </c>
      <c r="AE1043" s="31">
        <f>IF($Y1043="",0,$Y1043)</f>
        <v/>
      </c>
    </row>
    <row r="1044">
      <c r="W1044" s="31">
        <f>IF(OR($B$5="",$C$6="",ROW()&lt;$B$5),"",IF(INDEX($A:$U,ROW(),$C$6)="","",INDEX($A:$U,ROW(),$C$6)))</f>
        <v/>
      </c>
      <c r="X1044" s="32">
        <f>IF($W1044="","",IF(ISNUMBER($W1044),IF($W1044&gt;=10000000,IFERROR(DATE(INT($W1044/10000),MOD(INT($W1044/100),100),MOD($W1044,100)),""),INT($W1044)),IFERROR(DATE(--LEFT(LEFT(SUBSTITUTE(SUBSTITUTE(SUBSTITUTE(SUBSTITUTE(TRIM($W1044),"-",""),".",""),"/","")," ",""),8),4),--MID(LEFT(SUBSTITUTE(SUBSTITUTE(SUBSTITUTE(SUBSTITUTE(TRIM($W1044),"-",""),".",""),"/","")," ",""),8),5,2),--MID(LEFT(SUBSTITUTE(SUBSTITUTE(SUBSTITUTE(SUBSTITUTE(TRIM($W1044),"-",""),".",""),"/","")," ",""),8),7,2)),"")))</f>
        <v/>
      </c>
      <c r="Y1044" s="32">
        <f>IF($X1044="","",INT($X1044))</f>
        <v/>
      </c>
      <c r="Z1044" s="33">
        <f>IF(OR($Y1044="",$D$6=""),"",IF(INDEX($A:$U,ROW(),$D$6)="",0,IF(ISNUMBER(INDEX($A:$U,ROW(),$D$6)),INDEX($A:$U,ROW(),$D$6),IFERROR(--SUBSTITUTE(SUBSTITUTE(TRIM(INDEX($A:$U,ROW(),$D$6)),",",""),"원",""),0))))</f>
        <v/>
      </c>
      <c r="AA1044" s="31">
        <f>IF($Y1044="","",TRIM(INDEX($A:$U,ROW(),$E$6)&amp;IF($F$6="",""," "&amp;INDEX($A:$U,ROW(),$F$6))))</f>
        <v/>
      </c>
      <c r="AB1044" s="31">
        <f>IF($AA1044="","",SUBSTITUTE(SUBSTITUTE(SUBSTITUTE(SUBSTITUTE(SUBSTITUTE(SUBSTITUTE(SUBSTITUTE(SUBSTITUTE(SUBSTITUTE($AA1044," ",""),"　",""),"(주)",""),"（주）",""),"㈜",""),"주식회사",""),"(유)",""),"（유）",""),"유한회사",""))</f>
        <v/>
      </c>
      <c r="AC1044" s="31">
        <f>IF(OR($Y1044="",N($Z1044)&lt;=0,$AB1044=""),0,IFERROR(LOOKUP(2,1/((거래처별!$AC$8:$AC$307&lt;&gt;"")*ISNUMBER(SEARCH(거래처별!$AC$8:$AC$307,$AB1044))),거래처별!$A$8:$A$307),IFERROR(LOOKUP(2,1/((거래처별!$AD$8:$AD$307&lt;&gt;"")*ISNUMBER(SEARCH(거래처별!$AD$8:$AD$307,$AB1044))),거래처별!$A$8:$A$307),IFERROR(LOOKUP(2,1/((거래처별!$AE$8:$AE$307&lt;&gt;"")*ISNUMBER(SEARCH(거래처별!$AE$8:$AE$307,$AB1044))),거래처별!$A$8:$A$307),0))))</f>
        <v/>
      </c>
      <c r="AD1044" s="31">
        <f>IF(AND($Y1044&lt;&gt;"",N($Z1044)&gt;0,$AC1044=0),MAX($AD$7:$AD1043)+1,"")</f>
        <v/>
      </c>
      <c r="AE1044" s="31">
        <f>IF($Y1044="",0,$Y1044)</f>
        <v/>
      </c>
    </row>
    <row r="1045">
      <c r="W1045" s="31">
        <f>IF(OR($B$5="",$C$6="",ROW()&lt;$B$5),"",IF(INDEX($A:$U,ROW(),$C$6)="","",INDEX($A:$U,ROW(),$C$6)))</f>
        <v/>
      </c>
      <c r="X1045" s="32">
        <f>IF($W1045="","",IF(ISNUMBER($W1045),IF($W1045&gt;=10000000,IFERROR(DATE(INT($W1045/10000),MOD(INT($W1045/100),100),MOD($W1045,100)),""),INT($W1045)),IFERROR(DATE(--LEFT(LEFT(SUBSTITUTE(SUBSTITUTE(SUBSTITUTE(SUBSTITUTE(TRIM($W1045),"-",""),".",""),"/","")," ",""),8),4),--MID(LEFT(SUBSTITUTE(SUBSTITUTE(SUBSTITUTE(SUBSTITUTE(TRIM($W1045),"-",""),".",""),"/","")," ",""),8),5,2),--MID(LEFT(SUBSTITUTE(SUBSTITUTE(SUBSTITUTE(SUBSTITUTE(TRIM($W1045),"-",""),".",""),"/","")," ",""),8),7,2)),"")))</f>
        <v/>
      </c>
      <c r="Y1045" s="32">
        <f>IF($X1045="","",INT($X1045))</f>
        <v/>
      </c>
      <c r="Z1045" s="33">
        <f>IF(OR($Y1045="",$D$6=""),"",IF(INDEX($A:$U,ROW(),$D$6)="",0,IF(ISNUMBER(INDEX($A:$U,ROW(),$D$6)),INDEX($A:$U,ROW(),$D$6),IFERROR(--SUBSTITUTE(SUBSTITUTE(TRIM(INDEX($A:$U,ROW(),$D$6)),",",""),"원",""),0))))</f>
        <v/>
      </c>
      <c r="AA1045" s="31">
        <f>IF($Y1045="","",TRIM(INDEX($A:$U,ROW(),$E$6)&amp;IF($F$6="",""," "&amp;INDEX($A:$U,ROW(),$F$6))))</f>
        <v/>
      </c>
      <c r="AB1045" s="31">
        <f>IF($AA1045="","",SUBSTITUTE(SUBSTITUTE(SUBSTITUTE(SUBSTITUTE(SUBSTITUTE(SUBSTITUTE(SUBSTITUTE(SUBSTITUTE(SUBSTITUTE($AA1045," ",""),"　",""),"(주)",""),"（주）",""),"㈜",""),"주식회사",""),"(유)",""),"（유）",""),"유한회사",""))</f>
        <v/>
      </c>
      <c r="AC1045" s="31">
        <f>IF(OR($Y1045="",N($Z1045)&lt;=0,$AB1045=""),0,IFERROR(LOOKUP(2,1/((거래처별!$AC$8:$AC$307&lt;&gt;"")*ISNUMBER(SEARCH(거래처별!$AC$8:$AC$307,$AB1045))),거래처별!$A$8:$A$307),IFERROR(LOOKUP(2,1/((거래처별!$AD$8:$AD$307&lt;&gt;"")*ISNUMBER(SEARCH(거래처별!$AD$8:$AD$307,$AB1045))),거래처별!$A$8:$A$307),IFERROR(LOOKUP(2,1/((거래처별!$AE$8:$AE$307&lt;&gt;"")*ISNUMBER(SEARCH(거래처별!$AE$8:$AE$307,$AB1045))),거래처별!$A$8:$A$307),0))))</f>
        <v/>
      </c>
      <c r="AD1045" s="31">
        <f>IF(AND($Y1045&lt;&gt;"",N($Z1045)&gt;0,$AC1045=0),MAX($AD$7:$AD1044)+1,"")</f>
        <v/>
      </c>
      <c r="AE1045" s="31">
        <f>IF($Y1045="",0,$Y1045)</f>
        <v/>
      </c>
    </row>
    <row r="1046">
      <c r="W1046" s="31">
        <f>IF(OR($B$5="",$C$6="",ROW()&lt;$B$5),"",IF(INDEX($A:$U,ROW(),$C$6)="","",INDEX($A:$U,ROW(),$C$6)))</f>
        <v/>
      </c>
      <c r="X1046" s="32">
        <f>IF($W1046="","",IF(ISNUMBER($W1046),IF($W1046&gt;=10000000,IFERROR(DATE(INT($W1046/10000),MOD(INT($W1046/100),100),MOD($W1046,100)),""),INT($W1046)),IFERROR(DATE(--LEFT(LEFT(SUBSTITUTE(SUBSTITUTE(SUBSTITUTE(SUBSTITUTE(TRIM($W1046),"-",""),".",""),"/","")," ",""),8),4),--MID(LEFT(SUBSTITUTE(SUBSTITUTE(SUBSTITUTE(SUBSTITUTE(TRIM($W1046),"-",""),".",""),"/","")," ",""),8),5,2),--MID(LEFT(SUBSTITUTE(SUBSTITUTE(SUBSTITUTE(SUBSTITUTE(TRIM($W1046),"-",""),".",""),"/","")," ",""),8),7,2)),"")))</f>
        <v/>
      </c>
      <c r="Y1046" s="32">
        <f>IF($X1046="","",INT($X1046))</f>
        <v/>
      </c>
      <c r="Z1046" s="33">
        <f>IF(OR($Y1046="",$D$6=""),"",IF(INDEX($A:$U,ROW(),$D$6)="",0,IF(ISNUMBER(INDEX($A:$U,ROW(),$D$6)),INDEX($A:$U,ROW(),$D$6),IFERROR(--SUBSTITUTE(SUBSTITUTE(TRIM(INDEX($A:$U,ROW(),$D$6)),",",""),"원",""),0))))</f>
        <v/>
      </c>
      <c r="AA1046" s="31">
        <f>IF($Y1046="","",TRIM(INDEX($A:$U,ROW(),$E$6)&amp;IF($F$6="",""," "&amp;INDEX($A:$U,ROW(),$F$6))))</f>
        <v/>
      </c>
      <c r="AB1046" s="31">
        <f>IF($AA1046="","",SUBSTITUTE(SUBSTITUTE(SUBSTITUTE(SUBSTITUTE(SUBSTITUTE(SUBSTITUTE(SUBSTITUTE(SUBSTITUTE(SUBSTITUTE($AA1046," ",""),"　",""),"(주)",""),"（주）",""),"㈜",""),"주식회사",""),"(유)",""),"（유）",""),"유한회사",""))</f>
        <v/>
      </c>
      <c r="AC1046" s="31">
        <f>IF(OR($Y1046="",N($Z1046)&lt;=0,$AB1046=""),0,IFERROR(LOOKUP(2,1/((거래처별!$AC$8:$AC$307&lt;&gt;"")*ISNUMBER(SEARCH(거래처별!$AC$8:$AC$307,$AB1046))),거래처별!$A$8:$A$307),IFERROR(LOOKUP(2,1/((거래처별!$AD$8:$AD$307&lt;&gt;"")*ISNUMBER(SEARCH(거래처별!$AD$8:$AD$307,$AB1046))),거래처별!$A$8:$A$307),IFERROR(LOOKUP(2,1/((거래처별!$AE$8:$AE$307&lt;&gt;"")*ISNUMBER(SEARCH(거래처별!$AE$8:$AE$307,$AB1046))),거래처별!$A$8:$A$307),0))))</f>
        <v/>
      </c>
      <c r="AD1046" s="31">
        <f>IF(AND($Y1046&lt;&gt;"",N($Z1046)&gt;0,$AC1046=0),MAX($AD$7:$AD1045)+1,"")</f>
        <v/>
      </c>
      <c r="AE1046" s="31">
        <f>IF($Y1046="",0,$Y1046)</f>
        <v/>
      </c>
    </row>
    <row r="1047">
      <c r="W1047" s="31">
        <f>IF(OR($B$5="",$C$6="",ROW()&lt;$B$5),"",IF(INDEX($A:$U,ROW(),$C$6)="","",INDEX($A:$U,ROW(),$C$6)))</f>
        <v/>
      </c>
      <c r="X1047" s="32">
        <f>IF($W1047="","",IF(ISNUMBER($W1047),IF($W1047&gt;=10000000,IFERROR(DATE(INT($W1047/10000),MOD(INT($W1047/100),100),MOD($W1047,100)),""),INT($W1047)),IFERROR(DATE(--LEFT(LEFT(SUBSTITUTE(SUBSTITUTE(SUBSTITUTE(SUBSTITUTE(TRIM($W1047),"-",""),".",""),"/","")," ",""),8),4),--MID(LEFT(SUBSTITUTE(SUBSTITUTE(SUBSTITUTE(SUBSTITUTE(TRIM($W1047),"-",""),".",""),"/","")," ",""),8),5,2),--MID(LEFT(SUBSTITUTE(SUBSTITUTE(SUBSTITUTE(SUBSTITUTE(TRIM($W1047),"-",""),".",""),"/","")," ",""),8),7,2)),"")))</f>
        <v/>
      </c>
      <c r="Y1047" s="32">
        <f>IF($X1047="","",INT($X1047))</f>
        <v/>
      </c>
      <c r="Z1047" s="33">
        <f>IF(OR($Y1047="",$D$6=""),"",IF(INDEX($A:$U,ROW(),$D$6)="",0,IF(ISNUMBER(INDEX($A:$U,ROW(),$D$6)),INDEX($A:$U,ROW(),$D$6),IFERROR(--SUBSTITUTE(SUBSTITUTE(TRIM(INDEX($A:$U,ROW(),$D$6)),",",""),"원",""),0))))</f>
        <v/>
      </c>
      <c r="AA1047" s="31">
        <f>IF($Y1047="","",TRIM(INDEX($A:$U,ROW(),$E$6)&amp;IF($F$6="",""," "&amp;INDEX($A:$U,ROW(),$F$6))))</f>
        <v/>
      </c>
      <c r="AB1047" s="31">
        <f>IF($AA1047="","",SUBSTITUTE(SUBSTITUTE(SUBSTITUTE(SUBSTITUTE(SUBSTITUTE(SUBSTITUTE(SUBSTITUTE(SUBSTITUTE(SUBSTITUTE($AA1047," ",""),"　",""),"(주)",""),"（주）",""),"㈜",""),"주식회사",""),"(유)",""),"（유）",""),"유한회사",""))</f>
        <v/>
      </c>
      <c r="AC1047" s="31">
        <f>IF(OR($Y1047="",N($Z1047)&lt;=0,$AB1047=""),0,IFERROR(LOOKUP(2,1/((거래처별!$AC$8:$AC$307&lt;&gt;"")*ISNUMBER(SEARCH(거래처별!$AC$8:$AC$307,$AB1047))),거래처별!$A$8:$A$307),IFERROR(LOOKUP(2,1/((거래처별!$AD$8:$AD$307&lt;&gt;"")*ISNUMBER(SEARCH(거래처별!$AD$8:$AD$307,$AB1047))),거래처별!$A$8:$A$307),IFERROR(LOOKUP(2,1/((거래처별!$AE$8:$AE$307&lt;&gt;"")*ISNUMBER(SEARCH(거래처별!$AE$8:$AE$307,$AB1047))),거래처별!$A$8:$A$307),0))))</f>
        <v/>
      </c>
      <c r="AD1047" s="31">
        <f>IF(AND($Y1047&lt;&gt;"",N($Z1047)&gt;0,$AC1047=0),MAX($AD$7:$AD1046)+1,"")</f>
        <v/>
      </c>
      <c r="AE1047" s="31">
        <f>IF($Y1047="",0,$Y1047)</f>
        <v/>
      </c>
    </row>
    <row r="1048">
      <c r="W1048" s="31">
        <f>IF(OR($B$5="",$C$6="",ROW()&lt;$B$5),"",IF(INDEX($A:$U,ROW(),$C$6)="","",INDEX($A:$U,ROW(),$C$6)))</f>
        <v/>
      </c>
      <c r="X1048" s="32">
        <f>IF($W1048="","",IF(ISNUMBER($W1048),IF($W1048&gt;=10000000,IFERROR(DATE(INT($W1048/10000),MOD(INT($W1048/100),100),MOD($W1048,100)),""),INT($W1048)),IFERROR(DATE(--LEFT(LEFT(SUBSTITUTE(SUBSTITUTE(SUBSTITUTE(SUBSTITUTE(TRIM($W1048),"-",""),".",""),"/","")," ",""),8),4),--MID(LEFT(SUBSTITUTE(SUBSTITUTE(SUBSTITUTE(SUBSTITUTE(TRIM($W1048),"-",""),".",""),"/","")," ",""),8),5,2),--MID(LEFT(SUBSTITUTE(SUBSTITUTE(SUBSTITUTE(SUBSTITUTE(TRIM($W1048),"-",""),".",""),"/","")," ",""),8),7,2)),"")))</f>
        <v/>
      </c>
      <c r="Y1048" s="32">
        <f>IF($X1048="","",INT($X1048))</f>
        <v/>
      </c>
      <c r="Z1048" s="33">
        <f>IF(OR($Y1048="",$D$6=""),"",IF(INDEX($A:$U,ROW(),$D$6)="",0,IF(ISNUMBER(INDEX($A:$U,ROW(),$D$6)),INDEX($A:$U,ROW(),$D$6),IFERROR(--SUBSTITUTE(SUBSTITUTE(TRIM(INDEX($A:$U,ROW(),$D$6)),",",""),"원",""),0))))</f>
        <v/>
      </c>
      <c r="AA1048" s="31">
        <f>IF($Y1048="","",TRIM(INDEX($A:$U,ROW(),$E$6)&amp;IF($F$6="",""," "&amp;INDEX($A:$U,ROW(),$F$6))))</f>
        <v/>
      </c>
      <c r="AB1048" s="31">
        <f>IF($AA1048="","",SUBSTITUTE(SUBSTITUTE(SUBSTITUTE(SUBSTITUTE(SUBSTITUTE(SUBSTITUTE(SUBSTITUTE(SUBSTITUTE(SUBSTITUTE($AA1048," ",""),"　",""),"(주)",""),"（주）",""),"㈜",""),"주식회사",""),"(유)",""),"（유）",""),"유한회사",""))</f>
        <v/>
      </c>
      <c r="AC1048" s="31">
        <f>IF(OR($Y1048="",N($Z1048)&lt;=0,$AB1048=""),0,IFERROR(LOOKUP(2,1/((거래처별!$AC$8:$AC$307&lt;&gt;"")*ISNUMBER(SEARCH(거래처별!$AC$8:$AC$307,$AB1048))),거래처별!$A$8:$A$307),IFERROR(LOOKUP(2,1/((거래처별!$AD$8:$AD$307&lt;&gt;"")*ISNUMBER(SEARCH(거래처별!$AD$8:$AD$307,$AB1048))),거래처별!$A$8:$A$307),IFERROR(LOOKUP(2,1/((거래처별!$AE$8:$AE$307&lt;&gt;"")*ISNUMBER(SEARCH(거래처별!$AE$8:$AE$307,$AB1048))),거래처별!$A$8:$A$307),0))))</f>
        <v/>
      </c>
      <c r="AD1048" s="31">
        <f>IF(AND($Y1048&lt;&gt;"",N($Z1048)&gt;0,$AC1048=0),MAX($AD$7:$AD1047)+1,"")</f>
        <v/>
      </c>
      <c r="AE1048" s="31">
        <f>IF($Y1048="",0,$Y1048)</f>
        <v/>
      </c>
    </row>
    <row r="1049">
      <c r="W1049" s="31">
        <f>IF(OR($B$5="",$C$6="",ROW()&lt;$B$5),"",IF(INDEX($A:$U,ROW(),$C$6)="","",INDEX($A:$U,ROW(),$C$6)))</f>
        <v/>
      </c>
      <c r="X1049" s="32">
        <f>IF($W1049="","",IF(ISNUMBER($W1049),IF($W1049&gt;=10000000,IFERROR(DATE(INT($W1049/10000),MOD(INT($W1049/100),100),MOD($W1049,100)),""),INT($W1049)),IFERROR(DATE(--LEFT(LEFT(SUBSTITUTE(SUBSTITUTE(SUBSTITUTE(SUBSTITUTE(TRIM($W1049),"-",""),".",""),"/","")," ",""),8),4),--MID(LEFT(SUBSTITUTE(SUBSTITUTE(SUBSTITUTE(SUBSTITUTE(TRIM($W1049),"-",""),".",""),"/","")," ",""),8),5,2),--MID(LEFT(SUBSTITUTE(SUBSTITUTE(SUBSTITUTE(SUBSTITUTE(TRIM($W1049),"-",""),".",""),"/","")," ",""),8),7,2)),"")))</f>
        <v/>
      </c>
      <c r="Y1049" s="32">
        <f>IF($X1049="","",INT($X1049))</f>
        <v/>
      </c>
      <c r="Z1049" s="33">
        <f>IF(OR($Y1049="",$D$6=""),"",IF(INDEX($A:$U,ROW(),$D$6)="",0,IF(ISNUMBER(INDEX($A:$U,ROW(),$D$6)),INDEX($A:$U,ROW(),$D$6),IFERROR(--SUBSTITUTE(SUBSTITUTE(TRIM(INDEX($A:$U,ROW(),$D$6)),",",""),"원",""),0))))</f>
        <v/>
      </c>
      <c r="AA1049" s="31">
        <f>IF($Y1049="","",TRIM(INDEX($A:$U,ROW(),$E$6)&amp;IF($F$6="",""," "&amp;INDEX($A:$U,ROW(),$F$6))))</f>
        <v/>
      </c>
      <c r="AB1049" s="31">
        <f>IF($AA1049="","",SUBSTITUTE(SUBSTITUTE(SUBSTITUTE(SUBSTITUTE(SUBSTITUTE(SUBSTITUTE(SUBSTITUTE(SUBSTITUTE(SUBSTITUTE($AA1049," ",""),"　",""),"(주)",""),"（주）",""),"㈜",""),"주식회사",""),"(유)",""),"（유）",""),"유한회사",""))</f>
        <v/>
      </c>
      <c r="AC1049" s="31">
        <f>IF(OR($Y1049="",N($Z1049)&lt;=0,$AB1049=""),0,IFERROR(LOOKUP(2,1/((거래처별!$AC$8:$AC$307&lt;&gt;"")*ISNUMBER(SEARCH(거래처별!$AC$8:$AC$307,$AB1049))),거래처별!$A$8:$A$307),IFERROR(LOOKUP(2,1/((거래처별!$AD$8:$AD$307&lt;&gt;"")*ISNUMBER(SEARCH(거래처별!$AD$8:$AD$307,$AB1049))),거래처별!$A$8:$A$307),IFERROR(LOOKUP(2,1/((거래처별!$AE$8:$AE$307&lt;&gt;"")*ISNUMBER(SEARCH(거래처별!$AE$8:$AE$307,$AB1049))),거래처별!$A$8:$A$307),0))))</f>
        <v/>
      </c>
      <c r="AD1049" s="31">
        <f>IF(AND($Y1049&lt;&gt;"",N($Z1049)&gt;0,$AC1049=0),MAX($AD$7:$AD1048)+1,"")</f>
        <v/>
      </c>
      <c r="AE1049" s="31">
        <f>IF($Y1049="",0,$Y1049)</f>
        <v/>
      </c>
    </row>
    <row r="1050">
      <c r="W1050" s="31">
        <f>IF(OR($B$5="",$C$6="",ROW()&lt;$B$5),"",IF(INDEX($A:$U,ROW(),$C$6)="","",INDEX($A:$U,ROW(),$C$6)))</f>
        <v/>
      </c>
      <c r="X1050" s="32">
        <f>IF($W1050="","",IF(ISNUMBER($W1050),IF($W1050&gt;=10000000,IFERROR(DATE(INT($W1050/10000),MOD(INT($W1050/100),100),MOD($W1050,100)),""),INT($W1050)),IFERROR(DATE(--LEFT(LEFT(SUBSTITUTE(SUBSTITUTE(SUBSTITUTE(SUBSTITUTE(TRIM($W1050),"-",""),".",""),"/","")," ",""),8),4),--MID(LEFT(SUBSTITUTE(SUBSTITUTE(SUBSTITUTE(SUBSTITUTE(TRIM($W1050),"-",""),".",""),"/","")," ",""),8),5,2),--MID(LEFT(SUBSTITUTE(SUBSTITUTE(SUBSTITUTE(SUBSTITUTE(TRIM($W1050),"-",""),".",""),"/","")," ",""),8),7,2)),"")))</f>
        <v/>
      </c>
      <c r="Y1050" s="32">
        <f>IF($X1050="","",INT($X1050))</f>
        <v/>
      </c>
      <c r="Z1050" s="33">
        <f>IF(OR($Y1050="",$D$6=""),"",IF(INDEX($A:$U,ROW(),$D$6)="",0,IF(ISNUMBER(INDEX($A:$U,ROW(),$D$6)),INDEX($A:$U,ROW(),$D$6),IFERROR(--SUBSTITUTE(SUBSTITUTE(TRIM(INDEX($A:$U,ROW(),$D$6)),",",""),"원",""),0))))</f>
        <v/>
      </c>
      <c r="AA1050" s="31">
        <f>IF($Y1050="","",TRIM(INDEX($A:$U,ROW(),$E$6)&amp;IF($F$6="",""," "&amp;INDEX($A:$U,ROW(),$F$6))))</f>
        <v/>
      </c>
      <c r="AB1050" s="31">
        <f>IF($AA1050="","",SUBSTITUTE(SUBSTITUTE(SUBSTITUTE(SUBSTITUTE(SUBSTITUTE(SUBSTITUTE(SUBSTITUTE(SUBSTITUTE(SUBSTITUTE($AA1050," ",""),"　",""),"(주)",""),"（주）",""),"㈜",""),"주식회사",""),"(유)",""),"（유）",""),"유한회사",""))</f>
        <v/>
      </c>
      <c r="AC1050" s="31">
        <f>IF(OR($Y1050="",N($Z1050)&lt;=0,$AB1050=""),0,IFERROR(LOOKUP(2,1/((거래처별!$AC$8:$AC$307&lt;&gt;"")*ISNUMBER(SEARCH(거래처별!$AC$8:$AC$307,$AB1050))),거래처별!$A$8:$A$307),IFERROR(LOOKUP(2,1/((거래처별!$AD$8:$AD$307&lt;&gt;"")*ISNUMBER(SEARCH(거래처별!$AD$8:$AD$307,$AB1050))),거래처별!$A$8:$A$307),IFERROR(LOOKUP(2,1/((거래처별!$AE$8:$AE$307&lt;&gt;"")*ISNUMBER(SEARCH(거래처별!$AE$8:$AE$307,$AB1050))),거래처별!$A$8:$A$307),0))))</f>
        <v/>
      </c>
      <c r="AD1050" s="31">
        <f>IF(AND($Y1050&lt;&gt;"",N($Z1050)&gt;0,$AC1050=0),MAX($AD$7:$AD1049)+1,"")</f>
        <v/>
      </c>
      <c r="AE1050" s="31">
        <f>IF($Y1050="",0,$Y1050)</f>
        <v/>
      </c>
    </row>
    <row r="1051">
      <c r="W1051" s="31">
        <f>IF(OR($B$5="",$C$6="",ROW()&lt;$B$5),"",IF(INDEX($A:$U,ROW(),$C$6)="","",INDEX($A:$U,ROW(),$C$6)))</f>
        <v/>
      </c>
      <c r="X1051" s="32">
        <f>IF($W1051="","",IF(ISNUMBER($W1051),IF($W1051&gt;=10000000,IFERROR(DATE(INT($W1051/10000),MOD(INT($W1051/100),100),MOD($W1051,100)),""),INT($W1051)),IFERROR(DATE(--LEFT(LEFT(SUBSTITUTE(SUBSTITUTE(SUBSTITUTE(SUBSTITUTE(TRIM($W1051),"-",""),".",""),"/","")," ",""),8),4),--MID(LEFT(SUBSTITUTE(SUBSTITUTE(SUBSTITUTE(SUBSTITUTE(TRIM($W1051),"-",""),".",""),"/","")," ",""),8),5,2),--MID(LEFT(SUBSTITUTE(SUBSTITUTE(SUBSTITUTE(SUBSTITUTE(TRIM($W1051),"-",""),".",""),"/","")," ",""),8),7,2)),"")))</f>
        <v/>
      </c>
      <c r="Y1051" s="32">
        <f>IF($X1051="","",INT($X1051))</f>
        <v/>
      </c>
      <c r="Z1051" s="33">
        <f>IF(OR($Y1051="",$D$6=""),"",IF(INDEX($A:$U,ROW(),$D$6)="",0,IF(ISNUMBER(INDEX($A:$U,ROW(),$D$6)),INDEX($A:$U,ROW(),$D$6),IFERROR(--SUBSTITUTE(SUBSTITUTE(TRIM(INDEX($A:$U,ROW(),$D$6)),",",""),"원",""),0))))</f>
        <v/>
      </c>
      <c r="AA1051" s="31">
        <f>IF($Y1051="","",TRIM(INDEX($A:$U,ROW(),$E$6)&amp;IF($F$6="",""," "&amp;INDEX($A:$U,ROW(),$F$6))))</f>
        <v/>
      </c>
      <c r="AB1051" s="31">
        <f>IF($AA1051="","",SUBSTITUTE(SUBSTITUTE(SUBSTITUTE(SUBSTITUTE(SUBSTITUTE(SUBSTITUTE(SUBSTITUTE(SUBSTITUTE(SUBSTITUTE($AA1051," ",""),"　",""),"(주)",""),"（주）",""),"㈜",""),"주식회사",""),"(유)",""),"（유）",""),"유한회사",""))</f>
        <v/>
      </c>
      <c r="AC1051" s="31">
        <f>IF(OR($Y1051="",N($Z1051)&lt;=0,$AB1051=""),0,IFERROR(LOOKUP(2,1/((거래처별!$AC$8:$AC$307&lt;&gt;"")*ISNUMBER(SEARCH(거래처별!$AC$8:$AC$307,$AB1051))),거래처별!$A$8:$A$307),IFERROR(LOOKUP(2,1/((거래처별!$AD$8:$AD$307&lt;&gt;"")*ISNUMBER(SEARCH(거래처별!$AD$8:$AD$307,$AB1051))),거래처별!$A$8:$A$307),IFERROR(LOOKUP(2,1/((거래처별!$AE$8:$AE$307&lt;&gt;"")*ISNUMBER(SEARCH(거래처별!$AE$8:$AE$307,$AB1051))),거래처별!$A$8:$A$307),0))))</f>
        <v/>
      </c>
      <c r="AD1051" s="31">
        <f>IF(AND($Y1051&lt;&gt;"",N($Z1051)&gt;0,$AC1051=0),MAX($AD$7:$AD1050)+1,"")</f>
        <v/>
      </c>
      <c r="AE1051" s="31">
        <f>IF($Y1051="",0,$Y1051)</f>
        <v/>
      </c>
    </row>
    <row r="1052">
      <c r="W1052" s="31">
        <f>IF(OR($B$5="",$C$6="",ROW()&lt;$B$5),"",IF(INDEX($A:$U,ROW(),$C$6)="","",INDEX($A:$U,ROW(),$C$6)))</f>
        <v/>
      </c>
      <c r="X1052" s="32">
        <f>IF($W1052="","",IF(ISNUMBER($W1052),IF($W1052&gt;=10000000,IFERROR(DATE(INT($W1052/10000),MOD(INT($W1052/100),100),MOD($W1052,100)),""),INT($W1052)),IFERROR(DATE(--LEFT(LEFT(SUBSTITUTE(SUBSTITUTE(SUBSTITUTE(SUBSTITUTE(TRIM($W1052),"-",""),".",""),"/","")," ",""),8),4),--MID(LEFT(SUBSTITUTE(SUBSTITUTE(SUBSTITUTE(SUBSTITUTE(TRIM($W1052),"-",""),".",""),"/","")," ",""),8),5,2),--MID(LEFT(SUBSTITUTE(SUBSTITUTE(SUBSTITUTE(SUBSTITUTE(TRIM($W1052),"-",""),".",""),"/","")," ",""),8),7,2)),"")))</f>
        <v/>
      </c>
      <c r="Y1052" s="32">
        <f>IF($X1052="","",INT($X1052))</f>
        <v/>
      </c>
      <c r="Z1052" s="33">
        <f>IF(OR($Y1052="",$D$6=""),"",IF(INDEX($A:$U,ROW(),$D$6)="",0,IF(ISNUMBER(INDEX($A:$U,ROW(),$D$6)),INDEX($A:$U,ROW(),$D$6),IFERROR(--SUBSTITUTE(SUBSTITUTE(TRIM(INDEX($A:$U,ROW(),$D$6)),",",""),"원",""),0))))</f>
        <v/>
      </c>
      <c r="AA1052" s="31">
        <f>IF($Y1052="","",TRIM(INDEX($A:$U,ROW(),$E$6)&amp;IF($F$6="",""," "&amp;INDEX($A:$U,ROW(),$F$6))))</f>
        <v/>
      </c>
      <c r="AB1052" s="31">
        <f>IF($AA1052="","",SUBSTITUTE(SUBSTITUTE(SUBSTITUTE(SUBSTITUTE(SUBSTITUTE(SUBSTITUTE(SUBSTITUTE(SUBSTITUTE(SUBSTITUTE($AA1052," ",""),"　",""),"(주)",""),"（주）",""),"㈜",""),"주식회사",""),"(유)",""),"（유）",""),"유한회사",""))</f>
        <v/>
      </c>
      <c r="AC1052" s="31">
        <f>IF(OR($Y1052="",N($Z1052)&lt;=0,$AB1052=""),0,IFERROR(LOOKUP(2,1/((거래처별!$AC$8:$AC$307&lt;&gt;"")*ISNUMBER(SEARCH(거래처별!$AC$8:$AC$307,$AB1052))),거래처별!$A$8:$A$307),IFERROR(LOOKUP(2,1/((거래처별!$AD$8:$AD$307&lt;&gt;"")*ISNUMBER(SEARCH(거래처별!$AD$8:$AD$307,$AB1052))),거래처별!$A$8:$A$307),IFERROR(LOOKUP(2,1/((거래처별!$AE$8:$AE$307&lt;&gt;"")*ISNUMBER(SEARCH(거래처별!$AE$8:$AE$307,$AB1052))),거래처별!$A$8:$A$307),0))))</f>
        <v/>
      </c>
      <c r="AD1052" s="31">
        <f>IF(AND($Y1052&lt;&gt;"",N($Z1052)&gt;0,$AC1052=0),MAX($AD$7:$AD1051)+1,"")</f>
        <v/>
      </c>
      <c r="AE1052" s="31">
        <f>IF($Y1052="",0,$Y1052)</f>
        <v/>
      </c>
    </row>
    <row r="1053">
      <c r="W1053" s="31">
        <f>IF(OR($B$5="",$C$6="",ROW()&lt;$B$5),"",IF(INDEX($A:$U,ROW(),$C$6)="","",INDEX($A:$U,ROW(),$C$6)))</f>
        <v/>
      </c>
      <c r="X1053" s="32">
        <f>IF($W1053="","",IF(ISNUMBER($W1053),IF($W1053&gt;=10000000,IFERROR(DATE(INT($W1053/10000),MOD(INT($W1053/100),100),MOD($W1053,100)),""),INT($W1053)),IFERROR(DATE(--LEFT(LEFT(SUBSTITUTE(SUBSTITUTE(SUBSTITUTE(SUBSTITUTE(TRIM($W1053),"-",""),".",""),"/","")," ",""),8),4),--MID(LEFT(SUBSTITUTE(SUBSTITUTE(SUBSTITUTE(SUBSTITUTE(TRIM($W1053),"-",""),".",""),"/","")," ",""),8),5,2),--MID(LEFT(SUBSTITUTE(SUBSTITUTE(SUBSTITUTE(SUBSTITUTE(TRIM($W1053),"-",""),".",""),"/","")," ",""),8),7,2)),"")))</f>
        <v/>
      </c>
      <c r="Y1053" s="32">
        <f>IF($X1053="","",INT($X1053))</f>
        <v/>
      </c>
      <c r="Z1053" s="33">
        <f>IF(OR($Y1053="",$D$6=""),"",IF(INDEX($A:$U,ROW(),$D$6)="",0,IF(ISNUMBER(INDEX($A:$U,ROW(),$D$6)),INDEX($A:$U,ROW(),$D$6),IFERROR(--SUBSTITUTE(SUBSTITUTE(TRIM(INDEX($A:$U,ROW(),$D$6)),",",""),"원",""),0))))</f>
        <v/>
      </c>
      <c r="AA1053" s="31">
        <f>IF($Y1053="","",TRIM(INDEX($A:$U,ROW(),$E$6)&amp;IF($F$6="",""," "&amp;INDEX($A:$U,ROW(),$F$6))))</f>
        <v/>
      </c>
      <c r="AB1053" s="31">
        <f>IF($AA1053="","",SUBSTITUTE(SUBSTITUTE(SUBSTITUTE(SUBSTITUTE(SUBSTITUTE(SUBSTITUTE(SUBSTITUTE(SUBSTITUTE(SUBSTITUTE($AA1053," ",""),"　",""),"(주)",""),"（주）",""),"㈜",""),"주식회사",""),"(유)",""),"（유）",""),"유한회사",""))</f>
        <v/>
      </c>
      <c r="AC1053" s="31">
        <f>IF(OR($Y1053="",N($Z1053)&lt;=0,$AB1053=""),0,IFERROR(LOOKUP(2,1/((거래처별!$AC$8:$AC$307&lt;&gt;"")*ISNUMBER(SEARCH(거래처별!$AC$8:$AC$307,$AB1053))),거래처별!$A$8:$A$307),IFERROR(LOOKUP(2,1/((거래처별!$AD$8:$AD$307&lt;&gt;"")*ISNUMBER(SEARCH(거래처별!$AD$8:$AD$307,$AB1053))),거래처별!$A$8:$A$307),IFERROR(LOOKUP(2,1/((거래처별!$AE$8:$AE$307&lt;&gt;"")*ISNUMBER(SEARCH(거래처별!$AE$8:$AE$307,$AB1053))),거래처별!$A$8:$A$307),0))))</f>
        <v/>
      </c>
      <c r="AD1053" s="31">
        <f>IF(AND($Y1053&lt;&gt;"",N($Z1053)&gt;0,$AC1053=0),MAX($AD$7:$AD1052)+1,"")</f>
        <v/>
      </c>
      <c r="AE1053" s="31">
        <f>IF($Y1053="",0,$Y1053)</f>
        <v/>
      </c>
    </row>
    <row r="1054">
      <c r="W1054" s="31">
        <f>IF(OR($B$5="",$C$6="",ROW()&lt;$B$5),"",IF(INDEX($A:$U,ROW(),$C$6)="","",INDEX($A:$U,ROW(),$C$6)))</f>
        <v/>
      </c>
      <c r="X1054" s="32">
        <f>IF($W1054="","",IF(ISNUMBER($W1054),IF($W1054&gt;=10000000,IFERROR(DATE(INT($W1054/10000),MOD(INT($W1054/100),100),MOD($W1054,100)),""),INT($W1054)),IFERROR(DATE(--LEFT(LEFT(SUBSTITUTE(SUBSTITUTE(SUBSTITUTE(SUBSTITUTE(TRIM($W1054),"-",""),".",""),"/","")," ",""),8),4),--MID(LEFT(SUBSTITUTE(SUBSTITUTE(SUBSTITUTE(SUBSTITUTE(TRIM($W1054),"-",""),".",""),"/","")," ",""),8),5,2),--MID(LEFT(SUBSTITUTE(SUBSTITUTE(SUBSTITUTE(SUBSTITUTE(TRIM($W1054),"-",""),".",""),"/","")," ",""),8),7,2)),"")))</f>
        <v/>
      </c>
      <c r="Y1054" s="32">
        <f>IF($X1054="","",INT($X1054))</f>
        <v/>
      </c>
      <c r="Z1054" s="33">
        <f>IF(OR($Y1054="",$D$6=""),"",IF(INDEX($A:$U,ROW(),$D$6)="",0,IF(ISNUMBER(INDEX($A:$U,ROW(),$D$6)),INDEX($A:$U,ROW(),$D$6),IFERROR(--SUBSTITUTE(SUBSTITUTE(TRIM(INDEX($A:$U,ROW(),$D$6)),",",""),"원",""),0))))</f>
        <v/>
      </c>
      <c r="AA1054" s="31">
        <f>IF($Y1054="","",TRIM(INDEX($A:$U,ROW(),$E$6)&amp;IF($F$6="",""," "&amp;INDEX($A:$U,ROW(),$F$6))))</f>
        <v/>
      </c>
      <c r="AB1054" s="31">
        <f>IF($AA1054="","",SUBSTITUTE(SUBSTITUTE(SUBSTITUTE(SUBSTITUTE(SUBSTITUTE(SUBSTITUTE(SUBSTITUTE(SUBSTITUTE(SUBSTITUTE($AA1054," ",""),"　",""),"(주)",""),"（주）",""),"㈜",""),"주식회사",""),"(유)",""),"（유）",""),"유한회사",""))</f>
        <v/>
      </c>
      <c r="AC1054" s="31">
        <f>IF(OR($Y1054="",N($Z1054)&lt;=0,$AB1054=""),0,IFERROR(LOOKUP(2,1/((거래처별!$AC$8:$AC$307&lt;&gt;"")*ISNUMBER(SEARCH(거래처별!$AC$8:$AC$307,$AB1054))),거래처별!$A$8:$A$307),IFERROR(LOOKUP(2,1/((거래처별!$AD$8:$AD$307&lt;&gt;"")*ISNUMBER(SEARCH(거래처별!$AD$8:$AD$307,$AB1054))),거래처별!$A$8:$A$307),IFERROR(LOOKUP(2,1/((거래처별!$AE$8:$AE$307&lt;&gt;"")*ISNUMBER(SEARCH(거래처별!$AE$8:$AE$307,$AB1054))),거래처별!$A$8:$A$307),0))))</f>
        <v/>
      </c>
      <c r="AD1054" s="31">
        <f>IF(AND($Y1054&lt;&gt;"",N($Z1054)&gt;0,$AC1054=0),MAX($AD$7:$AD1053)+1,"")</f>
        <v/>
      </c>
      <c r="AE1054" s="31">
        <f>IF($Y1054="",0,$Y1054)</f>
        <v/>
      </c>
    </row>
    <row r="1055">
      <c r="W1055" s="31">
        <f>IF(OR($B$5="",$C$6="",ROW()&lt;$B$5),"",IF(INDEX($A:$U,ROW(),$C$6)="","",INDEX($A:$U,ROW(),$C$6)))</f>
        <v/>
      </c>
      <c r="X1055" s="32">
        <f>IF($W1055="","",IF(ISNUMBER($W1055),IF($W1055&gt;=10000000,IFERROR(DATE(INT($W1055/10000),MOD(INT($W1055/100),100),MOD($W1055,100)),""),INT($W1055)),IFERROR(DATE(--LEFT(LEFT(SUBSTITUTE(SUBSTITUTE(SUBSTITUTE(SUBSTITUTE(TRIM($W1055),"-",""),".",""),"/","")," ",""),8),4),--MID(LEFT(SUBSTITUTE(SUBSTITUTE(SUBSTITUTE(SUBSTITUTE(TRIM($W1055),"-",""),".",""),"/","")," ",""),8),5,2),--MID(LEFT(SUBSTITUTE(SUBSTITUTE(SUBSTITUTE(SUBSTITUTE(TRIM($W1055),"-",""),".",""),"/","")," ",""),8),7,2)),"")))</f>
        <v/>
      </c>
      <c r="Y1055" s="32">
        <f>IF($X1055="","",INT($X1055))</f>
        <v/>
      </c>
      <c r="Z1055" s="33">
        <f>IF(OR($Y1055="",$D$6=""),"",IF(INDEX($A:$U,ROW(),$D$6)="",0,IF(ISNUMBER(INDEX($A:$U,ROW(),$D$6)),INDEX($A:$U,ROW(),$D$6),IFERROR(--SUBSTITUTE(SUBSTITUTE(TRIM(INDEX($A:$U,ROW(),$D$6)),",",""),"원",""),0))))</f>
        <v/>
      </c>
      <c r="AA1055" s="31">
        <f>IF($Y1055="","",TRIM(INDEX($A:$U,ROW(),$E$6)&amp;IF($F$6="",""," "&amp;INDEX($A:$U,ROW(),$F$6))))</f>
        <v/>
      </c>
      <c r="AB1055" s="31">
        <f>IF($AA1055="","",SUBSTITUTE(SUBSTITUTE(SUBSTITUTE(SUBSTITUTE(SUBSTITUTE(SUBSTITUTE(SUBSTITUTE(SUBSTITUTE(SUBSTITUTE($AA1055," ",""),"　",""),"(주)",""),"（주）",""),"㈜",""),"주식회사",""),"(유)",""),"（유）",""),"유한회사",""))</f>
        <v/>
      </c>
      <c r="AC1055" s="31">
        <f>IF(OR($Y1055="",N($Z1055)&lt;=0,$AB1055=""),0,IFERROR(LOOKUP(2,1/((거래처별!$AC$8:$AC$307&lt;&gt;"")*ISNUMBER(SEARCH(거래처별!$AC$8:$AC$307,$AB1055))),거래처별!$A$8:$A$307),IFERROR(LOOKUP(2,1/((거래처별!$AD$8:$AD$307&lt;&gt;"")*ISNUMBER(SEARCH(거래처별!$AD$8:$AD$307,$AB1055))),거래처별!$A$8:$A$307),IFERROR(LOOKUP(2,1/((거래처별!$AE$8:$AE$307&lt;&gt;"")*ISNUMBER(SEARCH(거래처별!$AE$8:$AE$307,$AB1055))),거래처별!$A$8:$A$307),0))))</f>
        <v/>
      </c>
      <c r="AD1055" s="31">
        <f>IF(AND($Y1055&lt;&gt;"",N($Z1055)&gt;0,$AC1055=0),MAX($AD$7:$AD1054)+1,"")</f>
        <v/>
      </c>
      <c r="AE1055" s="31">
        <f>IF($Y1055="",0,$Y1055)</f>
        <v/>
      </c>
    </row>
    <row r="1056">
      <c r="W1056" s="31">
        <f>IF(OR($B$5="",$C$6="",ROW()&lt;$B$5),"",IF(INDEX($A:$U,ROW(),$C$6)="","",INDEX($A:$U,ROW(),$C$6)))</f>
        <v/>
      </c>
      <c r="X1056" s="32">
        <f>IF($W1056="","",IF(ISNUMBER($W1056),IF($W1056&gt;=10000000,IFERROR(DATE(INT($W1056/10000),MOD(INT($W1056/100),100),MOD($W1056,100)),""),INT($W1056)),IFERROR(DATE(--LEFT(LEFT(SUBSTITUTE(SUBSTITUTE(SUBSTITUTE(SUBSTITUTE(TRIM($W1056),"-",""),".",""),"/","")," ",""),8),4),--MID(LEFT(SUBSTITUTE(SUBSTITUTE(SUBSTITUTE(SUBSTITUTE(TRIM($W1056),"-",""),".",""),"/","")," ",""),8),5,2),--MID(LEFT(SUBSTITUTE(SUBSTITUTE(SUBSTITUTE(SUBSTITUTE(TRIM($W1056),"-",""),".",""),"/","")," ",""),8),7,2)),"")))</f>
        <v/>
      </c>
      <c r="Y1056" s="32">
        <f>IF($X1056="","",INT($X1056))</f>
        <v/>
      </c>
      <c r="Z1056" s="33">
        <f>IF(OR($Y1056="",$D$6=""),"",IF(INDEX($A:$U,ROW(),$D$6)="",0,IF(ISNUMBER(INDEX($A:$U,ROW(),$D$6)),INDEX($A:$U,ROW(),$D$6),IFERROR(--SUBSTITUTE(SUBSTITUTE(TRIM(INDEX($A:$U,ROW(),$D$6)),",",""),"원",""),0))))</f>
        <v/>
      </c>
      <c r="AA1056" s="31">
        <f>IF($Y1056="","",TRIM(INDEX($A:$U,ROW(),$E$6)&amp;IF($F$6="",""," "&amp;INDEX($A:$U,ROW(),$F$6))))</f>
        <v/>
      </c>
      <c r="AB1056" s="31">
        <f>IF($AA1056="","",SUBSTITUTE(SUBSTITUTE(SUBSTITUTE(SUBSTITUTE(SUBSTITUTE(SUBSTITUTE(SUBSTITUTE(SUBSTITUTE(SUBSTITUTE($AA1056," ",""),"　",""),"(주)",""),"（주）",""),"㈜",""),"주식회사",""),"(유)",""),"（유）",""),"유한회사",""))</f>
        <v/>
      </c>
      <c r="AC1056" s="31">
        <f>IF(OR($Y1056="",N($Z1056)&lt;=0,$AB1056=""),0,IFERROR(LOOKUP(2,1/((거래처별!$AC$8:$AC$307&lt;&gt;"")*ISNUMBER(SEARCH(거래처별!$AC$8:$AC$307,$AB1056))),거래처별!$A$8:$A$307),IFERROR(LOOKUP(2,1/((거래처별!$AD$8:$AD$307&lt;&gt;"")*ISNUMBER(SEARCH(거래처별!$AD$8:$AD$307,$AB1056))),거래처별!$A$8:$A$307),IFERROR(LOOKUP(2,1/((거래처별!$AE$8:$AE$307&lt;&gt;"")*ISNUMBER(SEARCH(거래처별!$AE$8:$AE$307,$AB1056))),거래처별!$A$8:$A$307),0))))</f>
        <v/>
      </c>
      <c r="AD1056" s="31">
        <f>IF(AND($Y1056&lt;&gt;"",N($Z1056)&gt;0,$AC1056=0),MAX($AD$7:$AD1055)+1,"")</f>
        <v/>
      </c>
      <c r="AE1056" s="31">
        <f>IF($Y1056="",0,$Y1056)</f>
        <v/>
      </c>
    </row>
    <row r="1057">
      <c r="W1057" s="31">
        <f>IF(OR($B$5="",$C$6="",ROW()&lt;$B$5),"",IF(INDEX($A:$U,ROW(),$C$6)="","",INDEX($A:$U,ROW(),$C$6)))</f>
        <v/>
      </c>
      <c r="X1057" s="32">
        <f>IF($W1057="","",IF(ISNUMBER($W1057),IF($W1057&gt;=10000000,IFERROR(DATE(INT($W1057/10000),MOD(INT($W1057/100),100),MOD($W1057,100)),""),INT($W1057)),IFERROR(DATE(--LEFT(LEFT(SUBSTITUTE(SUBSTITUTE(SUBSTITUTE(SUBSTITUTE(TRIM($W1057),"-",""),".",""),"/","")," ",""),8),4),--MID(LEFT(SUBSTITUTE(SUBSTITUTE(SUBSTITUTE(SUBSTITUTE(TRIM($W1057),"-",""),".",""),"/","")," ",""),8),5,2),--MID(LEFT(SUBSTITUTE(SUBSTITUTE(SUBSTITUTE(SUBSTITUTE(TRIM($W1057),"-",""),".",""),"/","")," ",""),8),7,2)),"")))</f>
        <v/>
      </c>
      <c r="Y1057" s="32">
        <f>IF($X1057="","",INT($X1057))</f>
        <v/>
      </c>
      <c r="Z1057" s="33">
        <f>IF(OR($Y1057="",$D$6=""),"",IF(INDEX($A:$U,ROW(),$D$6)="",0,IF(ISNUMBER(INDEX($A:$U,ROW(),$D$6)),INDEX($A:$U,ROW(),$D$6),IFERROR(--SUBSTITUTE(SUBSTITUTE(TRIM(INDEX($A:$U,ROW(),$D$6)),",",""),"원",""),0))))</f>
        <v/>
      </c>
      <c r="AA1057" s="31">
        <f>IF($Y1057="","",TRIM(INDEX($A:$U,ROW(),$E$6)&amp;IF($F$6="",""," "&amp;INDEX($A:$U,ROW(),$F$6))))</f>
        <v/>
      </c>
      <c r="AB1057" s="31">
        <f>IF($AA1057="","",SUBSTITUTE(SUBSTITUTE(SUBSTITUTE(SUBSTITUTE(SUBSTITUTE(SUBSTITUTE(SUBSTITUTE(SUBSTITUTE(SUBSTITUTE($AA1057," ",""),"　",""),"(주)",""),"（주）",""),"㈜",""),"주식회사",""),"(유)",""),"（유）",""),"유한회사",""))</f>
        <v/>
      </c>
      <c r="AC1057" s="31">
        <f>IF(OR($Y1057="",N($Z1057)&lt;=0,$AB1057=""),0,IFERROR(LOOKUP(2,1/((거래처별!$AC$8:$AC$307&lt;&gt;"")*ISNUMBER(SEARCH(거래처별!$AC$8:$AC$307,$AB1057))),거래처별!$A$8:$A$307),IFERROR(LOOKUP(2,1/((거래처별!$AD$8:$AD$307&lt;&gt;"")*ISNUMBER(SEARCH(거래처별!$AD$8:$AD$307,$AB1057))),거래처별!$A$8:$A$307),IFERROR(LOOKUP(2,1/((거래처별!$AE$8:$AE$307&lt;&gt;"")*ISNUMBER(SEARCH(거래처별!$AE$8:$AE$307,$AB1057))),거래처별!$A$8:$A$307),0))))</f>
        <v/>
      </c>
      <c r="AD1057" s="31">
        <f>IF(AND($Y1057&lt;&gt;"",N($Z1057)&gt;0,$AC1057=0),MAX($AD$7:$AD1056)+1,"")</f>
        <v/>
      </c>
      <c r="AE1057" s="31">
        <f>IF($Y1057="",0,$Y1057)</f>
        <v/>
      </c>
    </row>
    <row r="1058">
      <c r="W1058" s="31">
        <f>IF(OR($B$5="",$C$6="",ROW()&lt;$B$5),"",IF(INDEX($A:$U,ROW(),$C$6)="","",INDEX($A:$U,ROW(),$C$6)))</f>
        <v/>
      </c>
      <c r="X1058" s="32">
        <f>IF($W1058="","",IF(ISNUMBER($W1058),IF($W1058&gt;=10000000,IFERROR(DATE(INT($W1058/10000),MOD(INT($W1058/100),100),MOD($W1058,100)),""),INT($W1058)),IFERROR(DATE(--LEFT(LEFT(SUBSTITUTE(SUBSTITUTE(SUBSTITUTE(SUBSTITUTE(TRIM($W1058),"-",""),".",""),"/","")," ",""),8),4),--MID(LEFT(SUBSTITUTE(SUBSTITUTE(SUBSTITUTE(SUBSTITUTE(TRIM($W1058),"-",""),".",""),"/","")," ",""),8),5,2),--MID(LEFT(SUBSTITUTE(SUBSTITUTE(SUBSTITUTE(SUBSTITUTE(TRIM($W1058),"-",""),".",""),"/","")," ",""),8),7,2)),"")))</f>
        <v/>
      </c>
      <c r="Y1058" s="32">
        <f>IF($X1058="","",INT($X1058))</f>
        <v/>
      </c>
      <c r="Z1058" s="33">
        <f>IF(OR($Y1058="",$D$6=""),"",IF(INDEX($A:$U,ROW(),$D$6)="",0,IF(ISNUMBER(INDEX($A:$U,ROW(),$D$6)),INDEX($A:$U,ROW(),$D$6),IFERROR(--SUBSTITUTE(SUBSTITUTE(TRIM(INDEX($A:$U,ROW(),$D$6)),",",""),"원",""),0))))</f>
        <v/>
      </c>
      <c r="AA1058" s="31">
        <f>IF($Y1058="","",TRIM(INDEX($A:$U,ROW(),$E$6)&amp;IF($F$6="",""," "&amp;INDEX($A:$U,ROW(),$F$6))))</f>
        <v/>
      </c>
      <c r="AB1058" s="31">
        <f>IF($AA1058="","",SUBSTITUTE(SUBSTITUTE(SUBSTITUTE(SUBSTITUTE(SUBSTITUTE(SUBSTITUTE(SUBSTITUTE(SUBSTITUTE(SUBSTITUTE($AA1058," ",""),"　",""),"(주)",""),"（주）",""),"㈜",""),"주식회사",""),"(유)",""),"（유）",""),"유한회사",""))</f>
        <v/>
      </c>
      <c r="AC1058" s="31">
        <f>IF(OR($Y1058="",N($Z1058)&lt;=0,$AB1058=""),0,IFERROR(LOOKUP(2,1/((거래처별!$AC$8:$AC$307&lt;&gt;"")*ISNUMBER(SEARCH(거래처별!$AC$8:$AC$307,$AB1058))),거래처별!$A$8:$A$307),IFERROR(LOOKUP(2,1/((거래처별!$AD$8:$AD$307&lt;&gt;"")*ISNUMBER(SEARCH(거래처별!$AD$8:$AD$307,$AB1058))),거래처별!$A$8:$A$307),IFERROR(LOOKUP(2,1/((거래처별!$AE$8:$AE$307&lt;&gt;"")*ISNUMBER(SEARCH(거래처별!$AE$8:$AE$307,$AB1058))),거래처별!$A$8:$A$307),0))))</f>
        <v/>
      </c>
      <c r="AD1058" s="31">
        <f>IF(AND($Y1058&lt;&gt;"",N($Z1058)&gt;0,$AC1058=0),MAX($AD$7:$AD1057)+1,"")</f>
        <v/>
      </c>
      <c r="AE1058" s="31">
        <f>IF($Y1058="",0,$Y1058)</f>
        <v/>
      </c>
    </row>
    <row r="1059">
      <c r="W1059" s="31">
        <f>IF(OR($B$5="",$C$6="",ROW()&lt;$B$5),"",IF(INDEX($A:$U,ROW(),$C$6)="","",INDEX($A:$U,ROW(),$C$6)))</f>
        <v/>
      </c>
      <c r="X1059" s="32">
        <f>IF($W1059="","",IF(ISNUMBER($W1059),IF($W1059&gt;=10000000,IFERROR(DATE(INT($W1059/10000),MOD(INT($W1059/100),100),MOD($W1059,100)),""),INT($W1059)),IFERROR(DATE(--LEFT(LEFT(SUBSTITUTE(SUBSTITUTE(SUBSTITUTE(SUBSTITUTE(TRIM($W1059),"-",""),".",""),"/","")," ",""),8),4),--MID(LEFT(SUBSTITUTE(SUBSTITUTE(SUBSTITUTE(SUBSTITUTE(TRIM($W1059),"-",""),".",""),"/","")," ",""),8),5,2),--MID(LEFT(SUBSTITUTE(SUBSTITUTE(SUBSTITUTE(SUBSTITUTE(TRIM($W1059),"-",""),".",""),"/","")," ",""),8),7,2)),"")))</f>
        <v/>
      </c>
      <c r="Y1059" s="32">
        <f>IF($X1059="","",INT($X1059))</f>
        <v/>
      </c>
      <c r="Z1059" s="33">
        <f>IF(OR($Y1059="",$D$6=""),"",IF(INDEX($A:$U,ROW(),$D$6)="",0,IF(ISNUMBER(INDEX($A:$U,ROW(),$D$6)),INDEX($A:$U,ROW(),$D$6),IFERROR(--SUBSTITUTE(SUBSTITUTE(TRIM(INDEX($A:$U,ROW(),$D$6)),",",""),"원",""),0))))</f>
        <v/>
      </c>
      <c r="AA1059" s="31">
        <f>IF($Y1059="","",TRIM(INDEX($A:$U,ROW(),$E$6)&amp;IF($F$6="",""," "&amp;INDEX($A:$U,ROW(),$F$6))))</f>
        <v/>
      </c>
      <c r="AB1059" s="31">
        <f>IF($AA1059="","",SUBSTITUTE(SUBSTITUTE(SUBSTITUTE(SUBSTITUTE(SUBSTITUTE(SUBSTITUTE(SUBSTITUTE(SUBSTITUTE(SUBSTITUTE($AA1059," ",""),"　",""),"(주)",""),"（주）",""),"㈜",""),"주식회사",""),"(유)",""),"（유）",""),"유한회사",""))</f>
        <v/>
      </c>
      <c r="AC1059" s="31">
        <f>IF(OR($Y1059="",N($Z1059)&lt;=0,$AB1059=""),0,IFERROR(LOOKUP(2,1/((거래처별!$AC$8:$AC$307&lt;&gt;"")*ISNUMBER(SEARCH(거래처별!$AC$8:$AC$307,$AB1059))),거래처별!$A$8:$A$307),IFERROR(LOOKUP(2,1/((거래처별!$AD$8:$AD$307&lt;&gt;"")*ISNUMBER(SEARCH(거래처별!$AD$8:$AD$307,$AB1059))),거래처별!$A$8:$A$307),IFERROR(LOOKUP(2,1/((거래처별!$AE$8:$AE$307&lt;&gt;"")*ISNUMBER(SEARCH(거래처별!$AE$8:$AE$307,$AB1059))),거래처별!$A$8:$A$307),0))))</f>
        <v/>
      </c>
      <c r="AD1059" s="31">
        <f>IF(AND($Y1059&lt;&gt;"",N($Z1059)&gt;0,$AC1059=0),MAX($AD$7:$AD1058)+1,"")</f>
        <v/>
      </c>
      <c r="AE1059" s="31">
        <f>IF($Y1059="",0,$Y1059)</f>
        <v/>
      </c>
    </row>
    <row r="1060">
      <c r="W1060" s="31">
        <f>IF(OR($B$5="",$C$6="",ROW()&lt;$B$5),"",IF(INDEX($A:$U,ROW(),$C$6)="","",INDEX($A:$U,ROW(),$C$6)))</f>
        <v/>
      </c>
      <c r="X1060" s="32">
        <f>IF($W1060="","",IF(ISNUMBER($W1060),IF($W1060&gt;=10000000,IFERROR(DATE(INT($W1060/10000),MOD(INT($W1060/100),100),MOD($W1060,100)),""),INT($W1060)),IFERROR(DATE(--LEFT(LEFT(SUBSTITUTE(SUBSTITUTE(SUBSTITUTE(SUBSTITUTE(TRIM($W1060),"-",""),".",""),"/","")," ",""),8),4),--MID(LEFT(SUBSTITUTE(SUBSTITUTE(SUBSTITUTE(SUBSTITUTE(TRIM($W1060),"-",""),".",""),"/","")," ",""),8),5,2),--MID(LEFT(SUBSTITUTE(SUBSTITUTE(SUBSTITUTE(SUBSTITUTE(TRIM($W1060),"-",""),".",""),"/","")," ",""),8),7,2)),"")))</f>
        <v/>
      </c>
      <c r="Y1060" s="32">
        <f>IF($X1060="","",INT($X1060))</f>
        <v/>
      </c>
      <c r="Z1060" s="33">
        <f>IF(OR($Y1060="",$D$6=""),"",IF(INDEX($A:$U,ROW(),$D$6)="",0,IF(ISNUMBER(INDEX($A:$U,ROW(),$D$6)),INDEX($A:$U,ROW(),$D$6),IFERROR(--SUBSTITUTE(SUBSTITUTE(TRIM(INDEX($A:$U,ROW(),$D$6)),",",""),"원",""),0))))</f>
        <v/>
      </c>
      <c r="AA1060" s="31">
        <f>IF($Y1060="","",TRIM(INDEX($A:$U,ROW(),$E$6)&amp;IF($F$6="",""," "&amp;INDEX($A:$U,ROW(),$F$6))))</f>
        <v/>
      </c>
      <c r="AB1060" s="31">
        <f>IF($AA1060="","",SUBSTITUTE(SUBSTITUTE(SUBSTITUTE(SUBSTITUTE(SUBSTITUTE(SUBSTITUTE(SUBSTITUTE(SUBSTITUTE(SUBSTITUTE($AA1060," ",""),"　",""),"(주)",""),"（주）",""),"㈜",""),"주식회사",""),"(유)",""),"（유）",""),"유한회사",""))</f>
        <v/>
      </c>
      <c r="AC1060" s="31">
        <f>IF(OR($Y1060="",N($Z1060)&lt;=0,$AB1060=""),0,IFERROR(LOOKUP(2,1/((거래처별!$AC$8:$AC$307&lt;&gt;"")*ISNUMBER(SEARCH(거래처별!$AC$8:$AC$307,$AB1060))),거래처별!$A$8:$A$307),IFERROR(LOOKUP(2,1/((거래처별!$AD$8:$AD$307&lt;&gt;"")*ISNUMBER(SEARCH(거래처별!$AD$8:$AD$307,$AB1060))),거래처별!$A$8:$A$307),IFERROR(LOOKUP(2,1/((거래처별!$AE$8:$AE$307&lt;&gt;"")*ISNUMBER(SEARCH(거래처별!$AE$8:$AE$307,$AB1060))),거래처별!$A$8:$A$307),0))))</f>
        <v/>
      </c>
      <c r="AD1060" s="31">
        <f>IF(AND($Y1060&lt;&gt;"",N($Z1060)&gt;0,$AC1060=0),MAX($AD$7:$AD1059)+1,"")</f>
        <v/>
      </c>
      <c r="AE1060" s="31">
        <f>IF($Y1060="",0,$Y1060)</f>
        <v/>
      </c>
    </row>
    <row r="1061">
      <c r="W1061" s="31">
        <f>IF(OR($B$5="",$C$6="",ROW()&lt;$B$5),"",IF(INDEX($A:$U,ROW(),$C$6)="","",INDEX($A:$U,ROW(),$C$6)))</f>
        <v/>
      </c>
      <c r="X1061" s="32">
        <f>IF($W1061="","",IF(ISNUMBER($W1061),IF($W1061&gt;=10000000,IFERROR(DATE(INT($W1061/10000),MOD(INT($W1061/100),100),MOD($W1061,100)),""),INT($W1061)),IFERROR(DATE(--LEFT(LEFT(SUBSTITUTE(SUBSTITUTE(SUBSTITUTE(SUBSTITUTE(TRIM($W1061),"-",""),".",""),"/","")," ",""),8),4),--MID(LEFT(SUBSTITUTE(SUBSTITUTE(SUBSTITUTE(SUBSTITUTE(TRIM($W1061),"-",""),".",""),"/","")," ",""),8),5,2),--MID(LEFT(SUBSTITUTE(SUBSTITUTE(SUBSTITUTE(SUBSTITUTE(TRIM($W1061),"-",""),".",""),"/","")," ",""),8),7,2)),"")))</f>
        <v/>
      </c>
      <c r="Y1061" s="32">
        <f>IF($X1061="","",INT($X1061))</f>
        <v/>
      </c>
      <c r="Z1061" s="33">
        <f>IF(OR($Y1061="",$D$6=""),"",IF(INDEX($A:$U,ROW(),$D$6)="",0,IF(ISNUMBER(INDEX($A:$U,ROW(),$D$6)),INDEX($A:$U,ROW(),$D$6),IFERROR(--SUBSTITUTE(SUBSTITUTE(TRIM(INDEX($A:$U,ROW(),$D$6)),",",""),"원",""),0))))</f>
        <v/>
      </c>
      <c r="AA1061" s="31">
        <f>IF($Y1061="","",TRIM(INDEX($A:$U,ROW(),$E$6)&amp;IF($F$6="",""," "&amp;INDEX($A:$U,ROW(),$F$6))))</f>
        <v/>
      </c>
      <c r="AB1061" s="31">
        <f>IF($AA1061="","",SUBSTITUTE(SUBSTITUTE(SUBSTITUTE(SUBSTITUTE(SUBSTITUTE(SUBSTITUTE(SUBSTITUTE(SUBSTITUTE(SUBSTITUTE($AA1061," ",""),"　",""),"(주)",""),"（주）",""),"㈜",""),"주식회사",""),"(유)",""),"（유）",""),"유한회사",""))</f>
        <v/>
      </c>
      <c r="AC1061" s="31">
        <f>IF(OR($Y1061="",N($Z1061)&lt;=0,$AB1061=""),0,IFERROR(LOOKUP(2,1/((거래처별!$AC$8:$AC$307&lt;&gt;"")*ISNUMBER(SEARCH(거래처별!$AC$8:$AC$307,$AB1061))),거래처별!$A$8:$A$307),IFERROR(LOOKUP(2,1/((거래처별!$AD$8:$AD$307&lt;&gt;"")*ISNUMBER(SEARCH(거래처별!$AD$8:$AD$307,$AB1061))),거래처별!$A$8:$A$307),IFERROR(LOOKUP(2,1/((거래처별!$AE$8:$AE$307&lt;&gt;"")*ISNUMBER(SEARCH(거래처별!$AE$8:$AE$307,$AB1061))),거래처별!$A$8:$A$307),0))))</f>
        <v/>
      </c>
      <c r="AD1061" s="31">
        <f>IF(AND($Y1061&lt;&gt;"",N($Z1061)&gt;0,$AC1061=0),MAX($AD$7:$AD1060)+1,"")</f>
        <v/>
      </c>
      <c r="AE1061" s="31">
        <f>IF($Y1061="",0,$Y1061)</f>
        <v/>
      </c>
    </row>
    <row r="1062">
      <c r="W1062" s="31">
        <f>IF(OR($B$5="",$C$6="",ROW()&lt;$B$5),"",IF(INDEX($A:$U,ROW(),$C$6)="","",INDEX($A:$U,ROW(),$C$6)))</f>
        <v/>
      </c>
      <c r="X1062" s="32">
        <f>IF($W1062="","",IF(ISNUMBER($W1062),IF($W1062&gt;=10000000,IFERROR(DATE(INT($W1062/10000),MOD(INT($W1062/100),100),MOD($W1062,100)),""),INT($W1062)),IFERROR(DATE(--LEFT(LEFT(SUBSTITUTE(SUBSTITUTE(SUBSTITUTE(SUBSTITUTE(TRIM($W1062),"-",""),".",""),"/","")," ",""),8),4),--MID(LEFT(SUBSTITUTE(SUBSTITUTE(SUBSTITUTE(SUBSTITUTE(TRIM($W1062),"-",""),".",""),"/","")," ",""),8),5,2),--MID(LEFT(SUBSTITUTE(SUBSTITUTE(SUBSTITUTE(SUBSTITUTE(TRIM($W1062),"-",""),".",""),"/","")," ",""),8),7,2)),"")))</f>
        <v/>
      </c>
      <c r="Y1062" s="32">
        <f>IF($X1062="","",INT($X1062))</f>
        <v/>
      </c>
      <c r="Z1062" s="33">
        <f>IF(OR($Y1062="",$D$6=""),"",IF(INDEX($A:$U,ROW(),$D$6)="",0,IF(ISNUMBER(INDEX($A:$U,ROW(),$D$6)),INDEX($A:$U,ROW(),$D$6),IFERROR(--SUBSTITUTE(SUBSTITUTE(TRIM(INDEX($A:$U,ROW(),$D$6)),",",""),"원",""),0))))</f>
        <v/>
      </c>
      <c r="AA1062" s="31">
        <f>IF($Y1062="","",TRIM(INDEX($A:$U,ROW(),$E$6)&amp;IF($F$6="",""," "&amp;INDEX($A:$U,ROW(),$F$6))))</f>
        <v/>
      </c>
      <c r="AB1062" s="31">
        <f>IF($AA1062="","",SUBSTITUTE(SUBSTITUTE(SUBSTITUTE(SUBSTITUTE(SUBSTITUTE(SUBSTITUTE(SUBSTITUTE(SUBSTITUTE(SUBSTITUTE($AA1062," ",""),"　",""),"(주)",""),"（주）",""),"㈜",""),"주식회사",""),"(유)",""),"（유）",""),"유한회사",""))</f>
        <v/>
      </c>
      <c r="AC1062" s="31">
        <f>IF(OR($Y1062="",N($Z1062)&lt;=0,$AB1062=""),0,IFERROR(LOOKUP(2,1/((거래처별!$AC$8:$AC$307&lt;&gt;"")*ISNUMBER(SEARCH(거래처별!$AC$8:$AC$307,$AB1062))),거래처별!$A$8:$A$307),IFERROR(LOOKUP(2,1/((거래처별!$AD$8:$AD$307&lt;&gt;"")*ISNUMBER(SEARCH(거래처별!$AD$8:$AD$307,$AB1062))),거래처별!$A$8:$A$307),IFERROR(LOOKUP(2,1/((거래처별!$AE$8:$AE$307&lt;&gt;"")*ISNUMBER(SEARCH(거래처별!$AE$8:$AE$307,$AB1062))),거래처별!$A$8:$A$307),0))))</f>
        <v/>
      </c>
      <c r="AD1062" s="31">
        <f>IF(AND($Y1062&lt;&gt;"",N($Z1062)&gt;0,$AC1062=0),MAX($AD$7:$AD1061)+1,"")</f>
        <v/>
      </c>
      <c r="AE1062" s="31">
        <f>IF($Y1062="",0,$Y1062)</f>
        <v/>
      </c>
    </row>
    <row r="1063">
      <c r="W1063" s="31">
        <f>IF(OR($B$5="",$C$6="",ROW()&lt;$B$5),"",IF(INDEX($A:$U,ROW(),$C$6)="","",INDEX($A:$U,ROW(),$C$6)))</f>
        <v/>
      </c>
      <c r="X1063" s="32">
        <f>IF($W1063="","",IF(ISNUMBER($W1063),IF($W1063&gt;=10000000,IFERROR(DATE(INT($W1063/10000),MOD(INT($W1063/100),100),MOD($W1063,100)),""),INT($W1063)),IFERROR(DATE(--LEFT(LEFT(SUBSTITUTE(SUBSTITUTE(SUBSTITUTE(SUBSTITUTE(TRIM($W1063),"-",""),".",""),"/","")," ",""),8),4),--MID(LEFT(SUBSTITUTE(SUBSTITUTE(SUBSTITUTE(SUBSTITUTE(TRIM($W1063),"-",""),".",""),"/","")," ",""),8),5,2),--MID(LEFT(SUBSTITUTE(SUBSTITUTE(SUBSTITUTE(SUBSTITUTE(TRIM($W1063),"-",""),".",""),"/","")," ",""),8),7,2)),"")))</f>
        <v/>
      </c>
      <c r="Y1063" s="32">
        <f>IF($X1063="","",INT($X1063))</f>
        <v/>
      </c>
      <c r="Z1063" s="33">
        <f>IF(OR($Y1063="",$D$6=""),"",IF(INDEX($A:$U,ROW(),$D$6)="",0,IF(ISNUMBER(INDEX($A:$U,ROW(),$D$6)),INDEX($A:$U,ROW(),$D$6),IFERROR(--SUBSTITUTE(SUBSTITUTE(TRIM(INDEX($A:$U,ROW(),$D$6)),",",""),"원",""),0))))</f>
        <v/>
      </c>
      <c r="AA1063" s="31">
        <f>IF($Y1063="","",TRIM(INDEX($A:$U,ROW(),$E$6)&amp;IF($F$6="",""," "&amp;INDEX($A:$U,ROW(),$F$6))))</f>
        <v/>
      </c>
      <c r="AB1063" s="31">
        <f>IF($AA1063="","",SUBSTITUTE(SUBSTITUTE(SUBSTITUTE(SUBSTITUTE(SUBSTITUTE(SUBSTITUTE(SUBSTITUTE(SUBSTITUTE(SUBSTITUTE($AA1063," ",""),"　",""),"(주)",""),"（주）",""),"㈜",""),"주식회사",""),"(유)",""),"（유）",""),"유한회사",""))</f>
        <v/>
      </c>
      <c r="AC1063" s="31">
        <f>IF(OR($Y1063="",N($Z1063)&lt;=0,$AB1063=""),0,IFERROR(LOOKUP(2,1/((거래처별!$AC$8:$AC$307&lt;&gt;"")*ISNUMBER(SEARCH(거래처별!$AC$8:$AC$307,$AB1063))),거래처별!$A$8:$A$307),IFERROR(LOOKUP(2,1/((거래처별!$AD$8:$AD$307&lt;&gt;"")*ISNUMBER(SEARCH(거래처별!$AD$8:$AD$307,$AB1063))),거래처별!$A$8:$A$307),IFERROR(LOOKUP(2,1/((거래처별!$AE$8:$AE$307&lt;&gt;"")*ISNUMBER(SEARCH(거래처별!$AE$8:$AE$307,$AB1063))),거래처별!$A$8:$A$307),0))))</f>
        <v/>
      </c>
      <c r="AD1063" s="31">
        <f>IF(AND($Y1063&lt;&gt;"",N($Z1063)&gt;0,$AC1063=0),MAX($AD$7:$AD1062)+1,"")</f>
        <v/>
      </c>
      <c r="AE1063" s="31">
        <f>IF($Y1063="",0,$Y1063)</f>
        <v/>
      </c>
    </row>
    <row r="1064">
      <c r="W1064" s="31">
        <f>IF(OR($B$5="",$C$6="",ROW()&lt;$B$5),"",IF(INDEX($A:$U,ROW(),$C$6)="","",INDEX($A:$U,ROW(),$C$6)))</f>
        <v/>
      </c>
      <c r="X1064" s="32">
        <f>IF($W1064="","",IF(ISNUMBER($W1064),IF($W1064&gt;=10000000,IFERROR(DATE(INT($W1064/10000),MOD(INT($W1064/100),100),MOD($W1064,100)),""),INT($W1064)),IFERROR(DATE(--LEFT(LEFT(SUBSTITUTE(SUBSTITUTE(SUBSTITUTE(SUBSTITUTE(TRIM($W1064),"-",""),".",""),"/","")," ",""),8),4),--MID(LEFT(SUBSTITUTE(SUBSTITUTE(SUBSTITUTE(SUBSTITUTE(TRIM($W1064),"-",""),".",""),"/","")," ",""),8),5,2),--MID(LEFT(SUBSTITUTE(SUBSTITUTE(SUBSTITUTE(SUBSTITUTE(TRIM($W1064),"-",""),".",""),"/","")," ",""),8),7,2)),"")))</f>
        <v/>
      </c>
      <c r="Y1064" s="32">
        <f>IF($X1064="","",INT($X1064))</f>
        <v/>
      </c>
      <c r="Z1064" s="33">
        <f>IF(OR($Y1064="",$D$6=""),"",IF(INDEX($A:$U,ROW(),$D$6)="",0,IF(ISNUMBER(INDEX($A:$U,ROW(),$D$6)),INDEX($A:$U,ROW(),$D$6),IFERROR(--SUBSTITUTE(SUBSTITUTE(TRIM(INDEX($A:$U,ROW(),$D$6)),",",""),"원",""),0))))</f>
        <v/>
      </c>
      <c r="AA1064" s="31">
        <f>IF($Y1064="","",TRIM(INDEX($A:$U,ROW(),$E$6)&amp;IF($F$6="",""," "&amp;INDEX($A:$U,ROW(),$F$6))))</f>
        <v/>
      </c>
      <c r="AB1064" s="31">
        <f>IF($AA1064="","",SUBSTITUTE(SUBSTITUTE(SUBSTITUTE(SUBSTITUTE(SUBSTITUTE(SUBSTITUTE(SUBSTITUTE(SUBSTITUTE(SUBSTITUTE($AA1064," ",""),"　",""),"(주)",""),"（주）",""),"㈜",""),"주식회사",""),"(유)",""),"（유）",""),"유한회사",""))</f>
        <v/>
      </c>
      <c r="AC1064" s="31">
        <f>IF(OR($Y1064="",N($Z1064)&lt;=0,$AB1064=""),0,IFERROR(LOOKUP(2,1/((거래처별!$AC$8:$AC$307&lt;&gt;"")*ISNUMBER(SEARCH(거래처별!$AC$8:$AC$307,$AB1064))),거래처별!$A$8:$A$307),IFERROR(LOOKUP(2,1/((거래처별!$AD$8:$AD$307&lt;&gt;"")*ISNUMBER(SEARCH(거래처별!$AD$8:$AD$307,$AB1064))),거래처별!$A$8:$A$307),IFERROR(LOOKUP(2,1/((거래처별!$AE$8:$AE$307&lt;&gt;"")*ISNUMBER(SEARCH(거래처별!$AE$8:$AE$307,$AB1064))),거래처별!$A$8:$A$307),0))))</f>
        <v/>
      </c>
      <c r="AD1064" s="31">
        <f>IF(AND($Y1064&lt;&gt;"",N($Z1064)&gt;0,$AC1064=0),MAX($AD$7:$AD1063)+1,"")</f>
        <v/>
      </c>
      <c r="AE1064" s="31">
        <f>IF($Y1064="",0,$Y1064)</f>
        <v/>
      </c>
    </row>
    <row r="1065">
      <c r="W1065" s="31">
        <f>IF(OR($B$5="",$C$6="",ROW()&lt;$B$5),"",IF(INDEX($A:$U,ROW(),$C$6)="","",INDEX($A:$U,ROW(),$C$6)))</f>
        <v/>
      </c>
      <c r="X1065" s="32">
        <f>IF($W1065="","",IF(ISNUMBER($W1065),IF($W1065&gt;=10000000,IFERROR(DATE(INT($W1065/10000),MOD(INT($W1065/100),100),MOD($W1065,100)),""),INT($W1065)),IFERROR(DATE(--LEFT(LEFT(SUBSTITUTE(SUBSTITUTE(SUBSTITUTE(SUBSTITUTE(TRIM($W1065),"-",""),".",""),"/","")," ",""),8),4),--MID(LEFT(SUBSTITUTE(SUBSTITUTE(SUBSTITUTE(SUBSTITUTE(TRIM($W1065),"-",""),".",""),"/","")," ",""),8),5,2),--MID(LEFT(SUBSTITUTE(SUBSTITUTE(SUBSTITUTE(SUBSTITUTE(TRIM($W1065),"-",""),".",""),"/","")," ",""),8),7,2)),"")))</f>
        <v/>
      </c>
      <c r="Y1065" s="32">
        <f>IF($X1065="","",INT($X1065))</f>
        <v/>
      </c>
      <c r="Z1065" s="33">
        <f>IF(OR($Y1065="",$D$6=""),"",IF(INDEX($A:$U,ROW(),$D$6)="",0,IF(ISNUMBER(INDEX($A:$U,ROW(),$D$6)),INDEX($A:$U,ROW(),$D$6),IFERROR(--SUBSTITUTE(SUBSTITUTE(TRIM(INDEX($A:$U,ROW(),$D$6)),",",""),"원",""),0))))</f>
        <v/>
      </c>
      <c r="AA1065" s="31">
        <f>IF($Y1065="","",TRIM(INDEX($A:$U,ROW(),$E$6)&amp;IF($F$6="",""," "&amp;INDEX($A:$U,ROW(),$F$6))))</f>
        <v/>
      </c>
      <c r="AB1065" s="31">
        <f>IF($AA1065="","",SUBSTITUTE(SUBSTITUTE(SUBSTITUTE(SUBSTITUTE(SUBSTITUTE(SUBSTITUTE(SUBSTITUTE(SUBSTITUTE(SUBSTITUTE($AA1065," ",""),"　",""),"(주)",""),"（주）",""),"㈜",""),"주식회사",""),"(유)",""),"（유）",""),"유한회사",""))</f>
        <v/>
      </c>
      <c r="AC1065" s="31">
        <f>IF(OR($Y1065="",N($Z1065)&lt;=0,$AB1065=""),0,IFERROR(LOOKUP(2,1/((거래처별!$AC$8:$AC$307&lt;&gt;"")*ISNUMBER(SEARCH(거래처별!$AC$8:$AC$307,$AB1065))),거래처별!$A$8:$A$307),IFERROR(LOOKUP(2,1/((거래처별!$AD$8:$AD$307&lt;&gt;"")*ISNUMBER(SEARCH(거래처별!$AD$8:$AD$307,$AB1065))),거래처별!$A$8:$A$307),IFERROR(LOOKUP(2,1/((거래처별!$AE$8:$AE$307&lt;&gt;"")*ISNUMBER(SEARCH(거래처별!$AE$8:$AE$307,$AB1065))),거래처별!$A$8:$A$307),0))))</f>
        <v/>
      </c>
      <c r="AD1065" s="31">
        <f>IF(AND($Y1065&lt;&gt;"",N($Z1065)&gt;0,$AC1065=0),MAX($AD$7:$AD1064)+1,"")</f>
        <v/>
      </c>
      <c r="AE1065" s="31">
        <f>IF($Y1065="",0,$Y1065)</f>
        <v/>
      </c>
    </row>
    <row r="1066">
      <c r="W1066" s="31">
        <f>IF(OR($B$5="",$C$6="",ROW()&lt;$B$5),"",IF(INDEX($A:$U,ROW(),$C$6)="","",INDEX($A:$U,ROW(),$C$6)))</f>
        <v/>
      </c>
      <c r="X1066" s="32">
        <f>IF($W1066="","",IF(ISNUMBER($W1066),IF($W1066&gt;=10000000,IFERROR(DATE(INT($W1066/10000),MOD(INT($W1066/100),100),MOD($W1066,100)),""),INT($W1066)),IFERROR(DATE(--LEFT(LEFT(SUBSTITUTE(SUBSTITUTE(SUBSTITUTE(SUBSTITUTE(TRIM($W1066),"-",""),".",""),"/","")," ",""),8),4),--MID(LEFT(SUBSTITUTE(SUBSTITUTE(SUBSTITUTE(SUBSTITUTE(TRIM($W1066),"-",""),".",""),"/","")," ",""),8),5,2),--MID(LEFT(SUBSTITUTE(SUBSTITUTE(SUBSTITUTE(SUBSTITUTE(TRIM($W1066),"-",""),".",""),"/","")," ",""),8),7,2)),"")))</f>
        <v/>
      </c>
      <c r="Y1066" s="32">
        <f>IF($X1066="","",INT($X1066))</f>
        <v/>
      </c>
      <c r="Z1066" s="33">
        <f>IF(OR($Y1066="",$D$6=""),"",IF(INDEX($A:$U,ROW(),$D$6)="",0,IF(ISNUMBER(INDEX($A:$U,ROW(),$D$6)),INDEX($A:$U,ROW(),$D$6),IFERROR(--SUBSTITUTE(SUBSTITUTE(TRIM(INDEX($A:$U,ROW(),$D$6)),",",""),"원",""),0))))</f>
        <v/>
      </c>
      <c r="AA1066" s="31">
        <f>IF($Y1066="","",TRIM(INDEX($A:$U,ROW(),$E$6)&amp;IF($F$6="",""," "&amp;INDEX($A:$U,ROW(),$F$6))))</f>
        <v/>
      </c>
      <c r="AB1066" s="31">
        <f>IF($AA1066="","",SUBSTITUTE(SUBSTITUTE(SUBSTITUTE(SUBSTITUTE(SUBSTITUTE(SUBSTITUTE(SUBSTITUTE(SUBSTITUTE(SUBSTITUTE($AA1066," ",""),"　",""),"(주)",""),"（주）",""),"㈜",""),"주식회사",""),"(유)",""),"（유）",""),"유한회사",""))</f>
        <v/>
      </c>
      <c r="AC1066" s="31">
        <f>IF(OR($Y1066="",N($Z1066)&lt;=0,$AB1066=""),0,IFERROR(LOOKUP(2,1/((거래처별!$AC$8:$AC$307&lt;&gt;"")*ISNUMBER(SEARCH(거래처별!$AC$8:$AC$307,$AB1066))),거래처별!$A$8:$A$307),IFERROR(LOOKUP(2,1/((거래처별!$AD$8:$AD$307&lt;&gt;"")*ISNUMBER(SEARCH(거래처별!$AD$8:$AD$307,$AB1066))),거래처별!$A$8:$A$307),IFERROR(LOOKUP(2,1/((거래처별!$AE$8:$AE$307&lt;&gt;"")*ISNUMBER(SEARCH(거래처별!$AE$8:$AE$307,$AB1066))),거래처별!$A$8:$A$307),0))))</f>
        <v/>
      </c>
      <c r="AD1066" s="31">
        <f>IF(AND($Y1066&lt;&gt;"",N($Z1066)&gt;0,$AC1066=0),MAX($AD$7:$AD1065)+1,"")</f>
        <v/>
      </c>
      <c r="AE1066" s="31">
        <f>IF($Y1066="",0,$Y1066)</f>
        <v/>
      </c>
    </row>
    <row r="1067">
      <c r="W1067" s="31">
        <f>IF(OR($B$5="",$C$6="",ROW()&lt;$B$5),"",IF(INDEX($A:$U,ROW(),$C$6)="","",INDEX($A:$U,ROW(),$C$6)))</f>
        <v/>
      </c>
      <c r="X1067" s="32">
        <f>IF($W1067="","",IF(ISNUMBER($W1067),IF($W1067&gt;=10000000,IFERROR(DATE(INT($W1067/10000),MOD(INT($W1067/100),100),MOD($W1067,100)),""),INT($W1067)),IFERROR(DATE(--LEFT(LEFT(SUBSTITUTE(SUBSTITUTE(SUBSTITUTE(SUBSTITUTE(TRIM($W1067),"-",""),".",""),"/","")," ",""),8),4),--MID(LEFT(SUBSTITUTE(SUBSTITUTE(SUBSTITUTE(SUBSTITUTE(TRIM($W1067),"-",""),".",""),"/","")," ",""),8),5,2),--MID(LEFT(SUBSTITUTE(SUBSTITUTE(SUBSTITUTE(SUBSTITUTE(TRIM($W1067),"-",""),".",""),"/","")," ",""),8),7,2)),"")))</f>
        <v/>
      </c>
      <c r="Y1067" s="32">
        <f>IF($X1067="","",INT($X1067))</f>
        <v/>
      </c>
      <c r="Z1067" s="33">
        <f>IF(OR($Y1067="",$D$6=""),"",IF(INDEX($A:$U,ROW(),$D$6)="",0,IF(ISNUMBER(INDEX($A:$U,ROW(),$D$6)),INDEX($A:$U,ROW(),$D$6),IFERROR(--SUBSTITUTE(SUBSTITUTE(TRIM(INDEX($A:$U,ROW(),$D$6)),",",""),"원",""),0))))</f>
        <v/>
      </c>
      <c r="AA1067" s="31">
        <f>IF($Y1067="","",TRIM(INDEX($A:$U,ROW(),$E$6)&amp;IF($F$6="",""," "&amp;INDEX($A:$U,ROW(),$F$6))))</f>
        <v/>
      </c>
      <c r="AB1067" s="31">
        <f>IF($AA1067="","",SUBSTITUTE(SUBSTITUTE(SUBSTITUTE(SUBSTITUTE(SUBSTITUTE(SUBSTITUTE(SUBSTITUTE(SUBSTITUTE(SUBSTITUTE($AA1067," ",""),"　",""),"(주)",""),"（주）",""),"㈜",""),"주식회사",""),"(유)",""),"（유）",""),"유한회사",""))</f>
        <v/>
      </c>
      <c r="AC1067" s="31">
        <f>IF(OR($Y1067="",N($Z1067)&lt;=0,$AB1067=""),0,IFERROR(LOOKUP(2,1/((거래처별!$AC$8:$AC$307&lt;&gt;"")*ISNUMBER(SEARCH(거래처별!$AC$8:$AC$307,$AB1067))),거래처별!$A$8:$A$307),IFERROR(LOOKUP(2,1/((거래처별!$AD$8:$AD$307&lt;&gt;"")*ISNUMBER(SEARCH(거래처별!$AD$8:$AD$307,$AB1067))),거래처별!$A$8:$A$307),IFERROR(LOOKUP(2,1/((거래처별!$AE$8:$AE$307&lt;&gt;"")*ISNUMBER(SEARCH(거래처별!$AE$8:$AE$307,$AB1067))),거래처별!$A$8:$A$307),0))))</f>
        <v/>
      </c>
      <c r="AD1067" s="31">
        <f>IF(AND($Y1067&lt;&gt;"",N($Z1067)&gt;0,$AC1067=0),MAX($AD$7:$AD1066)+1,"")</f>
        <v/>
      </c>
      <c r="AE1067" s="31">
        <f>IF($Y1067="",0,$Y1067)</f>
        <v/>
      </c>
    </row>
    <row r="1068">
      <c r="W1068" s="31">
        <f>IF(OR($B$5="",$C$6="",ROW()&lt;$B$5),"",IF(INDEX($A:$U,ROW(),$C$6)="","",INDEX($A:$U,ROW(),$C$6)))</f>
        <v/>
      </c>
      <c r="X1068" s="32">
        <f>IF($W1068="","",IF(ISNUMBER($W1068),IF($W1068&gt;=10000000,IFERROR(DATE(INT($W1068/10000),MOD(INT($W1068/100),100),MOD($W1068,100)),""),INT($W1068)),IFERROR(DATE(--LEFT(LEFT(SUBSTITUTE(SUBSTITUTE(SUBSTITUTE(SUBSTITUTE(TRIM($W1068),"-",""),".",""),"/","")," ",""),8),4),--MID(LEFT(SUBSTITUTE(SUBSTITUTE(SUBSTITUTE(SUBSTITUTE(TRIM($W1068),"-",""),".",""),"/","")," ",""),8),5,2),--MID(LEFT(SUBSTITUTE(SUBSTITUTE(SUBSTITUTE(SUBSTITUTE(TRIM($W1068),"-",""),".",""),"/","")," ",""),8),7,2)),"")))</f>
        <v/>
      </c>
      <c r="Y1068" s="32">
        <f>IF($X1068="","",INT($X1068))</f>
        <v/>
      </c>
      <c r="Z1068" s="33">
        <f>IF(OR($Y1068="",$D$6=""),"",IF(INDEX($A:$U,ROW(),$D$6)="",0,IF(ISNUMBER(INDEX($A:$U,ROW(),$D$6)),INDEX($A:$U,ROW(),$D$6),IFERROR(--SUBSTITUTE(SUBSTITUTE(TRIM(INDEX($A:$U,ROW(),$D$6)),",",""),"원",""),0))))</f>
        <v/>
      </c>
      <c r="AA1068" s="31">
        <f>IF($Y1068="","",TRIM(INDEX($A:$U,ROW(),$E$6)&amp;IF($F$6="",""," "&amp;INDEX($A:$U,ROW(),$F$6))))</f>
        <v/>
      </c>
      <c r="AB1068" s="31">
        <f>IF($AA1068="","",SUBSTITUTE(SUBSTITUTE(SUBSTITUTE(SUBSTITUTE(SUBSTITUTE(SUBSTITUTE(SUBSTITUTE(SUBSTITUTE(SUBSTITUTE($AA1068," ",""),"　",""),"(주)",""),"（주）",""),"㈜",""),"주식회사",""),"(유)",""),"（유）",""),"유한회사",""))</f>
        <v/>
      </c>
      <c r="AC1068" s="31">
        <f>IF(OR($Y1068="",N($Z1068)&lt;=0,$AB1068=""),0,IFERROR(LOOKUP(2,1/((거래처별!$AC$8:$AC$307&lt;&gt;"")*ISNUMBER(SEARCH(거래처별!$AC$8:$AC$307,$AB1068))),거래처별!$A$8:$A$307),IFERROR(LOOKUP(2,1/((거래처별!$AD$8:$AD$307&lt;&gt;"")*ISNUMBER(SEARCH(거래처별!$AD$8:$AD$307,$AB1068))),거래처별!$A$8:$A$307),IFERROR(LOOKUP(2,1/((거래처별!$AE$8:$AE$307&lt;&gt;"")*ISNUMBER(SEARCH(거래처별!$AE$8:$AE$307,$AB1068))),거래처별!$A$8:$A$307),0))))</f>
        <v/>
      </c>
      <c r="AD1068" s="31">
        <f>IF(AND($Y1068&lt;&gt;"",N($Z1068)&gt;0,$AC1068=0),MAX($AD$7:$AD1067)+1,"")</f>
        <v/>
      </c>
      <c r="AE1068" s="31">
        <f>IF($Y1068="",0,$Y1068)</f>
        <v/>
      </c>
    </row>
    <row r="1069">
      <c r="W1069" s="31">
        <f>IF(OR($B$5="",$C$6="",ROW()&lt;$B$5),"",IF(INDEX($A:$U,ROW(),$C$6)="","",INDEX($A:$U,ROW(),$C$6)))</f>
        <v/>
      </c>
      <c r="X1069" s="32">
        <f>IF($W1069="","",IF(ISNUMBER($W1069),IF($W1069&gt;=10000000,IFERROR(DATE(INT($W1069/10000),MOD(INT($W1069/100),100),MOD($W1069,100)),""),INT($W1069)),IFERROR(DATE(--LEFT(LEFT(SUBSTITUTE(SUBSTITUTE(SUBSTITUTE(SUBSTITUTE(TRIM($W1069),"-",""),".",""),"/","")," ",""),8),4),--MID(LEFT(SUBSTITUTE(SUBSTITUTE(SUBSTITUTE(SUBSTITUTE(TRIM($W1069),"-",""),".",""),"/","")," ",""),8),5,2),--MID(LEFT(SUBSTITUTE(SUBSTITUTE(SUBSTITUTE(SUBSTITUTE(TRIM($W1069),"-",""),".",""),"/","")," ",""),8),7,2)),"")))</f>
        <v/>
      </c>
      <c r="Y1069" s="32">
        <f>IF($X1069="","",INT($X1069))</f>
        <v/>
      </c>
      <c r="Z1069" s="33">
        <f>IF(OR($Y1069="",$D$6=""),"",IF(INDEX($A:$U,ROW(),$D$6)="",0,IF(ISNUMBER(INDEX($A:$U,ROW(),$D$6)),INDEX($A:$U,ROW(),$D$6),IFERROR(--SUBSTITUTE(SUBSTITUTE(TRIM(INDEX($A:$U,ROW(),$D$6)),",",""),"원",""),0))))</f>
        <v/>
      </c>
      <c r="AA1069" s="31">
        <f>IF($Y1069="","",TRIM(INDEX($A:$U,ROW(),$E$6)&amp;IF($F$6="",""," "&amp;INDEX($A:$U,ROW(),$F$6))))</f>
        <v/>
      </c>
      <c r="AB1069" s="31">
        <f>IF($AA1069="","",SUBSTITUTE(SUBSTITUTE(SUBSTITUTE(SUBSTITUTE(SUBSTITUTE(SUBSTITUTE(SUBSTITUTE(SUBSTITUTE(SUBSTITUTE($AA1069," ",""),"　",""),"(주)",""),"（주）",""),"㈜",""),"주식회사",""),"(유)",""),"（유）",""),"유한회사",""))</f>
        <v/>
      </c>
      <c r="AC1069" s="31">
        <f>IF(OR($Y1069="",N($Z1069)&lt;=0,$AB1069=""),0,IFERROR(LOOKUP(2,1/((거래처별!$AC$8:$AC$307&lt;&gt;"")*ISNUMBER(SEARCH(거래처별!$AC$8:$AC$307,$AB1069))),거래처별!$A$8:$A$307),IFERROR(LOOKUP(2,1/((거래처별!$AD$8:$AD$307&lt;&gt;"")*ISNUMBER(SEARCH(거래처별!$AD$8:$AD$307,$AB1069))),거래처별!$A$8:$A$307),IFERROR(LOOKUP(2,1/((거래처별!$AE$8:$AE$307&lt;&gt;"")*ISNUMBER(SEARCH(거래처별!$AE$8:$AE$307,$AB1069))),거래처별!$A$8:$A$307),0))))</f>
        <v/>
      </c>
      <c r="AD1069" s="31">
        <f>IF(AND($Y1069&lt;&gt;"",N($Z1069)&gt;0,$AC1069=0),MAX($AD$7:$AD1068)+1,"")</f>
        <v/>
      </c>
      <c r="AE1069" s="31">
        <f>IF($Y1069="",0,$Y1069)</f>
        <v/>
      </c>
    </row>
    <row r="1070">
      <c r="W1070" s="31">
        <f>IF(OR($B$5="",$C$6="",ROW()&lt;$B$5),"",IF(INDEX($A:$U,ROW(),$C$6)="","",INDEX($A:$U,ROW(),$C$6)))</f>
        <v/>
      </c>
      <c r="X1070" s="32">
        <f>IF($W1070="","",IF(ISNUMBER($W1070),IF($W1070&gt;=10000000,IFERROR(DATE(INT($W1070/10000),MOD(INT($W1070/100),100),MOD($W1070,100)),""),INT($W1070)),IFERROR(DATE(--LEFT(LEFT(SUBSTITUTE(SUBSTITUTE(SUBSTITUTE(SUBSTITUTE(TRIM($W1070),"-",""),".",""),"/","")," ",""),8),4),--MID(LEFT(SUBSTITUTE(SUBSTITUTE(SUBSTITUTE(SUBSTITUTE(TRIM($W1070),"-",""),".",""),"/","")," ",""),8),5,2),--MID(LEFT(SUBSTITUTE(SUBSTITUTE(SUBSTITUTE(SUBSTITUTE(TRIM($W1070),"-",""),".",""),"/","")," ",""),8),7,2)),"")))</f>
        <v/>
      </c>
      <c r="Y1070" s="32">
        <f>IF($X1070="","",INT($X1070))</f>
        <v/>
      </c>
      <c r="Z1070" s="33">
        <f>IF(OR($Y1070="",$D$6=""),"",IF(INDEX($A:$U,ROW(),$D$6)="",0,IF(ISNUMBER(INDEX($A:$U,ROW(),$D$6)),INDEX($A:$U,ROW(),$D$6),IFERROR(--SUBSTITUTE(SUBSTITUTE(TRIM(INDEX($A:$U,ROW(),$D$6)),",",""),"원",""),0))))</f>
        <v/>
      </c>
      <c r="AA1070" s="31">
        <f>IF($Y1070="","",TRIM(INDEX($A:$U,ROW(),$E$6)&amp;IF($F$6="",""," "&amp;INDEX($A:$U,ROW(),$F$6))))</f>
        <v/>
      </c>
      <c r="AB1070" s="31">
        <f>IF($AA1070="","",SUBSTITUTE(SUBSTITUTE(SUBSTITUTE(SUBSTITUTE(SUBSTITUTE(SUBSTITUTE(SUBSTITUTE(SUBSTITUTE(SUBSTITUTE($AA1070," ",""),"　",""),"(주)",""),"（주）",""),"㈜",""),"주식회사",""),"(유)",""),"（유）",""),"유한회사",""))</f>
        <v/>
      </c>
      <c r="AC1070" s="31">
        <f>IF(OR($Y1070="",N($Z1070)&lt;=0,$AB1070=""),0,IFERROR(LOOKUP(2,1/((거래처별!$AC$8:$AC$307&lt;&gt;"")*ISNUMBER(SEARCH(거래처별!$AC$8:$AC$307,$AB1070))),거래처별!$A$8:$A$307),IFERROR(LOOKUP(2,1/((거래처별!$AD$8:$AD$307&lt;&gt;"")*ISNUMBER(SEARCH(거래처별!$AD$8:$AD$307,$AB1070))),거래처별!$A$8:$A$307),IFERROR(LOOKUP(2,1/((거래처별!$AE$8:$AE$307&lt;&gt;"")*ISNUMBER(SEARCH(거래처별!$AE$8:$AE$307,$AB1070))),거래처별!$A$8:$A$307),0))))</f>
        <v/>
      </c>
      <c r="AD1070" s="31">
        <f>IF(AND($Y1070&lt;&gt;"",N($Z1070)&gt;0,$AC1070=0),MAX($AD$7:$AD1069)+1,"")</f>
        <v/>
      </c>
      <c r="AE1070" s="31">
        <f>IF($Y1070="",0,$Y1070)</f>
        <v/>
      </c>
    </row>
    <row r="1071">
      <c r="W1071" s="31">
        <f>IF(OR($B$5="",$C$6="",ROW()&lt;$B$5),"",IF(INDEX($A:$U,ROW(),$C$6)="","",INDEX($A:$U,ROW(),$C$6)))</f>
        <v/>
      </c>
      <c r="X1071" s="32">
        <f>IF($W1071="","",IF(ISNUMBER($W1071),IF($W1071&gt;=10000000,IFERROR(DATE(INT($W1071/10000),MOD(INT($W1071/100),100),MOD($W1071,100)),""),INT($W1071)),IFERROR(DATE(--LEFT(LEFT(SUBSTITUTE(SUBSTITUTE(SUBSTITUTE(SUBSTITUTE(TRIM($W1071),"-",""),".",""),"/","")," ",""),8),4),--MID(LEFT(SUBSTITUTE(SUBSTITUTE(SUBSTITUTE(SUBSTITUTE(TRIM($W1071),"-",""),".",""),"/","")," ",""),8),5,2),--MID(LEFT(SUBSTITUTE(SUBSTITUTE(SUBSTITUTE(SUBSTITUTE(TRIM($W1071),"-",""),".",""),"/","")," ",""),8),7,2)),"")))</f>
        <v/>
      </c>
      <c r="Y1071" s="32">
        <f>IF($X1071="","",INT($X1071))</f>
        <v/>
      </c>
      <c r="Z1071" s="33">
        <f>IF(OR($Y1071="",$D$6=""),"",IF(INDEX($A:$U,ROW(),$D$6)="",0,IF(ISNUMBER(INDEX($A:$U,ROW(),$D$6)),INDEX($A:$U,ROW(),$D$6),IFERROR(--SUBSTITUTE(SUBSTITUTE(TRIM(INDEX($A:$U,ROW(),$D$6)),",",""),"원",""),0))))</f>
        <v/>
      </c>
      <c r="AA1071" s="31">
        <f>IF($Y1071="","",TRIM(INDEX($A:$U,ROW(),$E$6)&amp;IF($F$6="",""," "&amp;INDEX($A:$U,ROW(),$F$6))))</f>
        <v/>
      </c>
      <c r="AB1071" s="31">
        <f>IF($AA1071="","",SUBSTITUTE(SUBSTITUTE(SUBSTITUTE(SUBSTITUTE(SUBSTITUTE(SUBSTITUTE(SUBSTITUTE(SUBSTITUTE(SUBSTITUTE($AA1071," ",""),"　",""),"(주)",""),"（주）",""),"㈜",""),"주식회사",""),"(유)",""),"（유）",""),"유한회사",""))</f>
        <v/>
      </c>
      <c r="AC1071" s="31">
        <f>IF(OR($Y1071="",N($Z1071)&lt;=0,$AB1071=""),0,IFERROR(LOOKUP(2,1/((거래처별!$AC$8:$AC$307&lt;&gt;"")*ISNUMBER(SEARCH(거래처별!$AC$8:$AC$307,$AB1071))),거래처별!$A$8:$A$307),IFERROR(LOOKUP(2,1/((거래처별!$AD$8:$AD$307&lt;&gt;"")*ISNUMBER(SEARCH(거래처별!$AD$8:$AD$307,$AB1071))),거래처별!$A$8:$A$307),IFERROR(LOOKUP(2,1/((거래처별!$AE$8:$AE$307&lt;&gt;"")*ISNUMBER(SEARCH(거래처별!$AE$8:$AE$307,$AB1071))),거래처별!$A$8:$A$307),0))))</f>
        <v/>
      </c>
      <c r="AD1071" s="31">
        <f>IF(AND($Y1071&lt;&gt;"",N($Z1071)&gt;0,$AC1071=0),MAX($AD$7:$AD1070)+1,"")</f>
        <v/>
      </c>
      <c r="AE1071" s="31">
        <f>IF($Y1071="",0,$Y1071)</f>
        <v/>
      </c>
    </row>
    <row r="1072">
      <c r="W1072" s="31">
        <f>IF(OR($B$5="",$C$6="",ROW()&lt;$B$5),"",IF(INDEX($A:$U,ROW(),$C$6)="","",INDEX($A:$U,ROW(),$C$6)))</f>
        <v/>
      </c>
      <c r="X1072" s="32">
        <f>IF($W1072="","",IF(ISNUMBER($W1072),IF($W1072&gt;=10000000,IFERROR(DATE(INT($W1072/10000),MOD(INT($W1072/100),100),MOD($W1072,100)),""),INT($W1072)),IFERROR(DATE(--LEFT(LEFT(SUBSTITUTE(SUBSTITUTE(SUBSTITUTE(SUBSTITUTE(TRIM($W1072),"-",""),".",""),"/","")," ",""),8),4),--MID(LEFT(SUBSTITUTE(SUBSTITUTE(SUBSTITUTE(SUBSTITUTE(TRIM($W1072),"-",""),".",""),"/","")," ",""),8),5,2),--MID(LEFT(SUBSTITUTE(SUBSTITUTE(SUBSTITUTE(SUBSTITUTE(TRIM($W1072),"-",""),".",""),"/","")," ",""),8),7,2)),"")))</f>
        <v/>
      </c>
      <c r="Y1072" s="32">
        <f>IF($X1072="","",INT($X1072))</f>
        <v/>
      </c>
      <c r="Z1072" s="33">
        <f>IF(OR($Y1072="",$D$6=""),"",IF(INDEX($A:$U,ROW(),$D$6)="",0,IF(ISNUMBER(INDEX($A:$U,ROW(),$D$6)),INDEX($A:$U,ROW(),$D$6),IFERROR(--SUBSTITUTE(SUBSTITUTE(TRIM(INDEX($A:$U,ROW(),$D$6)),",",""),"원",""),0))))</f>
        <v/>
      </c>
      <c r="AA1072" s="31">
        <f>IF($Y1072="","",TRIM(INDEX($A:$U,ROW(),$E$6)&amp;IF($F$6="",""," "&amp;INDEX($A:$U,ROW(),$F$6))))</f>
        <v/>
      </c>
      <c r="AB1072" s="31">
        <f>IF($AA1072="","",SUBSTITUTE(SUBSTITUTE(SUBSTITUTE(SUBSTITUTE(SUBSTITUTE(SUBSTITUTE(SUBSTITUTE(SUBSTITUTE(SUBSTITUTE($AA1072," ",""),"　",""),"(주)",""),"（주）",""),"㈜",""),"주식회사",""),"(유)",""),"（유）",""),"유한회사",""))</f>
        <v/>
      </c>
      <c r="AC1072" s="31">
        <f>IF(OR($Y1072="",N($Z1072)&lt;=0,$AB1072=""),0,IFERROR(LOOKUP(2,1/((거래처별!$AC$8:$AC$307&lt;&gt;"")*ISNUMBER(SEARCH(거래처별!$AC$8:$AC$307,$AB1072))),거래처별!$A$8:$A$307),IFERROR(LOOKUP(2,1/((거래처별!$AD$8:$AD$307&lt;&gt;"")*ISNUMBER(SEARCH(거래처별!$AD$8:$AD$307,$AB1072))),거래처별!$A$8:$A$307),IFERROR(LOOKUP(2,1/((거래처별!$AE$8:$AE$307&lt;&gt;"")*ISNUMBER(SEARCH(거래처별!$AE$8:$AE$307,$AB1072))),거래처별!$A$8:$A$307),0))))</f>
        <v/>
      </c>
      <c r="AD1072" s="31">
        <f>IF(AND($Y1072&lt;&gt;"",N($Z1072)&gt;0,$AC1072=0),MAX($AD$7:$AD1071)+1,"")</f>
        <v/>
      </c>
      <c r="AE1072" s="31">
        <f>IF($Y1072="",0,$Y1072)</f>
        <v/>
      </c>
    </row>
    <row r="1073">
      <c r="W1073" s="31">
        <f>IF(OR($B$5="",$C$6="",ROW()&lt;$B$5),"",IF(INDEX($A:$U,ROW(),$C$6)="","",INDEX($A:$U,ROW(),$C$6)))</f>
        <v/>
      </c>
      <c r="X1073" s="32">
        <f>IF($W1073="","",IF(ISNUMBER($W1073),IF($W1073&gt;=10000000,IFERROR(DATE(INT($W1073/10000),MOD(INT($W1073/100),100),MOD($W1073,100)),""),INT($W1073)),IFERROR(DATE(--LEFT(LEFT(SUBSTITUTE(SUBSTITUTE(SUBSTITUTE(SUBSTITUTE(TRIM($W1073),"-",""),".",""),"/","")," ",""),8),4),--MID(LEFT(SUBSTITUTE(SUBSTITUTE(SUBSTITUTE(SUBSTITUTE(TRIM($W1073),"-",""),".",""),"/","")," ",""),8),5,2),--MID(LEFT(SUBSTITUTE(SUBSTITUTE(SUBSTITUTE(SUBSTITUTE(TRIM($W1073),"-",""),".",""),"/","")," ",""),8),7,2)),"")))</f>
        <v/>
      </c>
      <c r="Y1073" s="32">
        <f>IF($X1073="","",INT($X1073))</f>
        <v/>
      </c>
      <c r="Z1073" s="33">
        <f>IF(OR($Y1073="",$D$6=""),"",IF(INDEX($A:$U,ROW(),$D$6)="",0,IF(ISNUMBER(INDEX($A:$U,ROW(),$D$6)),INDEX($A:$U,ROW(),$D$6),IFERROR(--SUBSTITUTE(SUBSTITUTE(TRIM(INDEX($A:$U,ROW(),$D$6)),",",""),"원",""),0))))</f>
        <v/>
      </c>
      <c r="AA1073" s="31">
        <f>IF($Y1073="","",TRIM(INDEX($A:$U,ROW(),$E$6)&amp;IF($F$6="",""," "&amp;INDEX($A:$U,ROW(),$F$6))))</f>
        <v/>
      </c>
      <c r="AB1073" s="31">
        <f>IF($AA1073="","",SUBSTITUTE(SUBSTITUTE(SUBSTITUTE(SUBSTITUTE(SUBSTITUTE(SUBSTITUTE(SUBSTITUTE(SUBSTITUTE(SUBSTITUTE($AA1073," ",""),"　",""),"(주)",""),"（주）",""),"㈜",""),"주식회사",""),"(유)",""),"（유）",""),"유한회사",""))</f>
        <v/>
      </c>
      <c r="AC1073" s="31">
        <f>IF(OR($Y1073="",N($Z1073)&lt;=0,$AB1073=""),0,IFERROR(LOOKUP(2,1/((거래처별!$AC$8:$AC$307&lt;&gt;"")*ISNUMBER(SEARCH(거래처별!$AC$8:$AC$307,$AB1073))),거래처별!$A$8:$A$307),IFERROR(LOOKUP(2,1/((거래처별!$AD$8:$AD$307&lt;&gt;"")*ISNUMBER(SEARCH(거래처별!$AD$8:$AD$307,$AB1073))),거래처별!$A$8:$A$307),IFERROR(LOOKUP(2,1/((거래처별!$AE$8:$AE$307&lt;&gt;"")*ISNUMBER(SEARCH(거래처별!$AE$8:$AE$307,$AB1073))),거래처별!$A$8:$A$307),0))))</f>
        <v/>
      </c>
      <c r="AD1073" s="31">
        <f>IF(AND($Y1073&lt;&gt;"",N($Z1073)&gt;0,$AC1073=0),MAX($AD$7:$AD1072)+1,"")</f>
        <v/>
      </c>
      <c r="AE1073" s="31">
        <f>IF($Y1073="",0,$Y1073)</f>
        <v/>
      </c>
    </row>
    <row r="1074">
      <c r="W1074" s="31">
        <f>IF(OR($B$5="",$C$6="",ROW()&lt;$B$5),"",IF(INDEX($A:$U,ROW(),$C$6)="","",INDEX($A:$U,ROW(),$C$6)))</f>
        <v/>
      </c>
      <c r="X1074" s="32">
        <f>IF($W1074="","",IF(ISNUMBER($W1074),IF($W1074&gt;=10000000,IFERROR(DATE(INT($W1074/10000),MOD(INT($W1074/100),100),MOD($W1074,100)),""),INT($W1074)),IFERROR(DATE(--LEFT(LEFT(SUBSTITUTE(SUBSTITUTE(SUBSTITUTE(SUBSTITUTE(TRIM($W1074),"-",""),".",""),"/","")," ",""),8),4),--MID(LEFT(SUBSTITUTE(SUBSTITUTE(SUBSTITUTE(SUBSTITUTE(TRIM($W1074),"-",""),".",""),"/","")," ",""),8),5,2),--MID(LEFT(SUBSTITUTE(SUBSTITUTE(SUBSTITUTE(SUBSTITUTE(TRIM($W1074),"-",""),".",""),"/","")," ",""),8),7,2)),"")))</f>
        <v/>
      </c>
      <c r="Y1074" s="32">
        <f>IF($X1074="","",INT($X1074))</f>
        <v/>
      </c>
      <c r="Z1074" s="33">
        <f>IF(OR($Y1074="",$D$6=""),"",IF(INDEX($A:$U,ROW(),$D$6)="",0,IF(ISNUMBER(INDEX($A:$U,ROW(),$D$6)),INDEX($A:$U,ROW(),$D$6),IFERROR(--SUBSTITUTE(SUBSTITUTE(TRIM(INDEX($A:$U,ROW(),$D$6)),",",""),"원",""),0))))</f>
        <v/>
      </c>
      <c r="AA1074" s="31">
        <f>IF($Y1074="","",TRIM(INDEX($A:$U,ROW(),$E$6)&amp;IF($F$6="",""," "&amp;INDEX($A:$U,ROW(),$F$6))))</f>
        <v/>
      </c>
      <c r="AB1074" s="31">
        <f>IF($AA1074="","",SUBSTITUTE(SUBSTITUTE(SUBSTITUTE(SUBSTITUTE(SUBSTITUTE(SUBSTITUTE(SUBSTITUTE(SUBSTITUTE(SUBSTITUTE($AA1074," ",""),"　",""),"(주)",""),"（주）",""),"㈜",""),"주식회사",""),"(유)",""),"（유）",""),"유한회사",""))</f>
        <v/>
      </c>
      <c r="AC1074" s="31">
        <f>IF(OR($Y1074="",N($Z1074)&lt;=0,$AB1074=""),0,IFERROR(LOOKUP(2,1/((거래처별!$AC$8:$AC$307&lt;&gt;"")*ISNUMBER(SEARCH(거래처별!$AC$8:$AC$307,$AB1074))),거래처별!$A$8:$A$307),IFERROR(LOOKUP(2,1/((거래처별!$AD$8:$AD$307&lt;&gt;"")*ISNUMBER(SEARCH(거래처별!$AD$8:$AD$307,$AB1074))),거래처별!$A$8:$A$307),IFERROR(LOOKUP(2,1/((거래처별!$AE$8:$AE$307&lt;&gt;"")*ISNUMBER(SEARCH(거래처별!$AE$8:$AE$307,$AB1074))),거래처별!$A$8:$A$307),0))))</f>
        <v/>
      </c>
      <c r="AD1074" s="31">
        <f>IF(AND($Y1074&lt;&gt;"",N($Z1074)&gt;0,$AC1074=0),MAX($AD$7:$AD1073)+1,"")</f>
        <v/>
      </c>
      <c r="AE1074" s="31">
        <f>IF($Y1074="",0,$Y1074)</f>
        <v/>
      </c>
    </row>
    <row r="1075">
      <c r="W1075" s="31">
        <f>IF(OR($B$5="",$C$6="",ROW()&lt;$B$5),"",IF(INDEX($A:$U,ROW(),$C$6)="","",INDEX($A:$U,ROW(),$C$6)))</f>
        <v/>
      </c>
      <c r="X1075" s="32">
        <f>IF($W1075="","",IF(ISNUMBER($W1075),IF($W1075&gt;=10000000,IFERROR(DATE(INT($W1075/10000),MOD(INT($W1075/100),100),MOD($W1075,100)),""),INT($W1075)),IFERROR(DATE(--LEFT(LEFT(SUBSTITUTE(SUBSTITUTE(SUBSTITUTE(SUBSTITUTE(TRIM($W1075),"-",""),".",""),"/","")," ",""),8),4),--MID(LEFT(SUBSTITUTE(SUBSTITUTE(SUBSTITUTE(SUBSTITUTE(TRIM($W1075),"-",""),".",""),"/","")," ",""),8),5,2),--MID(LEFT(SUBSTITUTE(SUBSTITUTE(SUBSTITUTE(SUBSTITUTE(TRIM($W1075),"-",""),".",""),"/","")," ",""),8),7,2)),"")))</f>
        <v/>
      </c>
      <c r="Y1075" s="32">
        <f>IF($X1075="","",INT($X1075))</f>
        <v/>
      </c>
      <c r="Z1075" s="33">
        <f>IF(OR($Y1075="",$D$6=""),"",IF(INDEX($A:$U,ROW(),$D$6)="",0,IF(ISNUMBER(INDEX($A:$U,ROW(),$D$6)),INDEX($A:$U,ROW(),$D$6),IFERROR(--SUBSTITUTE(SUBSTITUTE(TRIM(INDEX($A:$U,ROW(),$D$6)),",",""),"원",""),0))))</f>
        <v/>
      </c>
      <c r="AA1075" s="31">
        <f>IF($Y1075="","",TRIM(INDEX($A:$U,ROW(),$E$6)&amp;IF($F$6="",""," "&amp;INDEX($A:$U,ROW(),$F$6))))</f>
        <v/>
      </c>
      <c r="AB1075" s="31">
        <f>IF($AA1075="","",SUBSTITUTE(SUBSTITUTE(SUBSTITUTE(SUBSTITUTE(SUBSTITUTE(SUBSTITUTE(SUBSTITUTE(SUBSTITUTE(SUBSTITUTE($AA1075," ",""),"　",""),"(주)",""),"（주）",""),"㈜",""),"주식회사",""),"(유)",""),"（유）",""),"유한회사",""))</f>
        <v/>
      </c>
      <c r="AC1075" s="31">
        <f>IF(OR($Y1075="",N($Z1075)&lt;=0,$AB1075=""),0,IFERROR(LOOKUP(2,1/((거래처별!$AC$8:$AC$307&lt;&gt;"")*ISNUMBER(SEARCH(거래처별!$AC$8:$AC$307,$AB1075))),거래처별!$A$8:$A$307),IFERROR(LOOKUP(2,1/((거래처별!$AD$8:$AD$307&lt;&gt;"")*ISNUMBER(SEARCH(거래처별!$AD$8:$AD$307,$AB1075))),거래처별!$A$8:$A$307),IFERROR(LOOKUP(2,1/((거래처별!$AE$8:$AE$307&lt;&gt;"")*ISNUMBER(SEARCH(거래처별!$AE$8:$AE$307,$AB1075))),거래처별!$A$8:$A$307),0))))</f>
        <v/>
      </c>
      <c r="AD1075" s="31">
        <f>IF(AND($Y1075&lt;&gt;"",N($Z1075)&gt;0,$AC1075=0),MAX($AD$7:$AD1074)+1,"")</f>
        <v/>
      </c>
      <c r="AE1075" s="31">
        <f>IF($Y1075="",0,$Y1075)</f>
        <v/>
      </c>
    </row>
    <row r="1076">
      <c r="W1076" s="31">
        <f>IF(OR($B$5="",$C$6="",ROW()&lt;$B$5),"",IF(INDEX($A:$U,ROW(),$C$6)="","",INDEX($A:$U,ROW(),$C$6)))</f>
        <v/>
      </c>
      <c r="X1076" s="32">
        <f>IF($W1076="","",IF(ISNUMBER($W1076),IF($W1076&gt;=10000000,IFERROR(DATE(INT($W1076/10000),MOD(INT($W1076/100),100),MOD($W1076,100)),""),INT($W1076)),IFERROR(DATE(--LEFT(LEFT(SUBSTITUTE(SUBSTITUTE(SUBSTITUTE(SUBSTITUTE(TRIM($W1076),"-",""),".",""),"/","")," ",""),8),4),--MID(LEFT(SUBSTITUTE(SUBSTITUTE(SUBSTITUTE(SUBSTITUTE(TRIM($W1076),"-",""),".",""),"/","")," ",""),8),5,2),--MID(LEFT(SUBSTITUTE(SUBSTITUTE(SUBSTITUTE(SUBSTITUTE(TRIM($W1076),"-",""),".",""),"/","")," ",""),8),7,2)),"")))</f>
        <v/>
      </c>
      <c r="Y1076" s="32">
        <f>IF($X1076="","",INT($X1076))</f>
        <v/>
      </c>
      <c r="Z1076" s="33">
        <f>IF(OR($Y1076="",$D$6=""),"",IF(INDEX($A:$U,ROW(),$D$6)="",0,IF(ISNUMBER(INDEX($A:$U,ROW(),$D$6)),INDEX($A:$U,ROW(),$D$6),IFERROR(--SUBSTITUTE(SUBSTITUTE(TRIM(INDEX($A:$U,ROW(),$D$6)),",",""),"원",""),0))))</f>
        <v/>
      </c>
      <c r="AA1076" s="31">
        <f>IF($Y1076="","",TRIM(INDEX($A:$U,ROW(),$E$6)&amp;IF($F$6="",""," "&amp;INDEX($A:$U,ROW(),$F$6))))</f>
        <v/>
      </c>
      <c r="AB1076" s="31">
        <f>IF($AA1076="","",SUBSTITUTE(SUBSTITUTE(SUBSTITUTE(SUBSTITUTE(SUBSTITUTE(SUBSTITUTE(SUBSTITUTE(SUBSTITUTE(SUBSTITUTE($AA1076," ",""),"　",""),"(주)",""),"（주）",""),"㈜",""),"주식회사",""),"(유)",""),"（유）",""),"유한회사",""))</f>
        <v/>
      </c>
      <c r="AC1076" s="31">
        <f>IF(OR($Y1076="",N($Z1076)&lt;=0,$AB1076=""),0,IFERROR(LOOKUP(2,1/((거래처별!$AC$8:$AC$307&lt;&gt;"")*ISNUMBER(SEARCH(거래처별!$AC$8:$AC$307,$AB1076))),거래처별!$A$8:$A$307),IFERROR(LOOKUP(2,1/((거래처별!$AD$8:$AD$307&lt;&gt;"")*ISNUMBER(SEARCH(거래처별!$AD$8:$AD$307,$AB1076))),거래처별!$A$8:$A$307),IFERROR(LOOKUP(2,1/((거래처별!$AE$8:$AE$307&lt;&gt;"")*ISNUMBER(SEARCH(거래처별!$AE$8:$AE$307,$AB1076))),거래처별!$A$8:$A$307),0))))</f>
        <v/>
      </c>
      <c r="AD1076" s="31">
        <f>IF(AND($Y1076&lt;&gt;"",N($Z1076)&gt;0,$AC1076=0),MAX($AD$7:$AD1075)+1,"")</f>
        <v/>
      </c>
      <c r="AE1076" s="31">
        <f>IF($Y1076="",0,$Y1076)</f>
        <v/>
      </c>
    </row>
    <row r="1077">
      <c r="W1077" s="31">
        <f>IF(OR($B$5="",$C$6="",ROW()&lt;$B$5),"",IF(INDEX($A:$U,ROW(),$C$6)="","",INDEX($A:$U,ROW(),$C$6)))</f>
        <v/>
      </c>
      <c r="X1077" s="32">
        <f>IF($W1077="","",IF(ISNUMBER($W1077),IF($W1077&gt;=10000000,IFERROR(DATE(INT($W1077/10000),MOD(INT($W1077/100),100),MOD($W1077,100)),""),INT($W1077)),IFERROR(DATE(--LEFT(LEFT(SUBSTITUTE(SUBSTITUTE(SUBSTITUTE(SUBSTITUTE(TRIM($W1077),"-",""),".",""),"/","")," ",""),8),4),--MID(LEFT(SUBSTITUTE(SUBSTITUTE(SUBSTITUTE(SUBSTITUTE(TRIM($W1077),"-",""),".",""),"/","")," ",""),8),5,2),--MID(LEFT(SUBSTITUTE(SUBSTITUTE(SUBSTITUTE(SUBSTITUTE(TRIM($W1077),"-",""),".",""),"/","")," ",""),8),7,2)),"")))</f>
        <v/>
      </c>
      <c r="Y1077" s="32">
        <f>IF($X1077="","",INT($X1077))</f>
        <v/>
      </c>
      <c r="Z1077" s="33">
        <f>IF(OR($Y1077="",$D$6=""),"",IF(INDEX($A:$U,ROW(),$D$6)="",0,IF(ISNUMBER(INDEX($A:$U,ROW(),$D$6)),INDEX($A:$U,ROW(),$D$6),IFERROR(--SUBSTITUTE(SUBSTITUTE(TRIM(INDEX($A:$U,ROW(),$D$6)),",",""),"원",""),0))))</f>
        <v/>
      </c>
      <c r="AA1077" s="31">
        <f>IF($Y1077="","",TRIM(INDEX($A:$U,ROW(),$E$6)&amp;IF($F$6="",""," "&amp;INDEX($A:$U,ROW(),$F$6))))</f>
        <v/>
      </c>
      <c r="AB1077" s="31">
        <f>IF($AA1077="","",SUBSTITUTE(SUBSTITUTE(SUBSTITUTE(SUBSTITUTE(SUBSTITUTE(SUBSTITUTE(SUBSTITUTE(SUBSTITUTE(SUBSTITUTE($AA1077," ",""),"　",""),"(주)",""),"（주）",""),"㈜",""),"주식회사",""),"(유)",""),"（유）",""),"유한회사",""))</f>
        <v/>
      </c>
      <c r="AC1077" s="31">
        <f>IF(OR($Y1077="",N($Z1077)&lt;=0,$AB1077=""),0,IFERROR(LOOKUP(2,1/((거래처별!$AC$8:$AC$307&lt;&gt;"")*ISNUMBER(SEARCH(거래처별!$AC$8:$AC$307,$AB1077))),거래처별!$A$8:$A$307),IFERROR(LOOKUP(2,1/((거래처별!$AD$8:$AD$307&lt;&gt;"")*ISNUMBER(SEARCH(거래처별!$AD$8:$AD$307,$AB1077))),거래처별!$A$8:$A$307),IFERROR(LOOKUP(2,1/((거래처별!$AE$8:$AE$307&lt;&gt;"")*ISNUMBER(SEARCH(거래처별!$AE$8:$AE$307,$AB1077))),거래처별!$A$8:$A$307),0))))</f>
        <v/>
      </c>
      <c r="AD1077" s="31">
        <f>IF(AND($Y1077&lt;&gt;"",N($Z1077)&gt;0,$AC1077=0),MAX($AD$7:$AD1076)+1,"")</f>
        <v/>
      </c>
      <c r="AE1077" s="31">
        <f>IF($Y1077="",0,$Y1077)</f>
        <v/>
      </c>
    </row>
    <row r="1078">
      <c r="W1078" s="31">
        <f>IF(OR($B$5="",$C$6="",ROW()&lt;$B$5),"",IF(INDEX($A:$U,ROW(),$C$6)="","",INDEX($A:$U,ROW(),$C$6)))</f>
        <v/>
      </c>
      <c r="X1078" s="32">
        <f>IF($W1078="","",IF(ISNUMBER($W1078),IF($W1078&gt;=10000000,IFERROR(DATE(INT($W1078/10000),MOD(INT($W1078/100),100),MOD($W1078,100)),""),INT($W1078)),IFERROR(DATE(--LEFT(LEFT(SUBSTITUTE(SUBSTITUTE(SUBSTITUTE(SUBSTITUTE(TRIM($W1078),"-",""),".",""),"/","")," ",""),8),4),--MID(LEFT(SUBSTITUTE(SUBSTITUTE(SUBSTITUTE(SUBSTITUTE(TRIM($W1078),"-",""),".",""),"/","")," ",""),8),5,2),--MID(LEFT(SUBSTITUTE(SUBSTITUTE(SUBSTITUTE(SUBSTITUTE(TRIM($W1078),"-",""),".",""),"/","")," ",""),8),7,2)),"")))</f>
        <v/>
      </c>
      <c r="Y1078" s="32">
        <f>IF($X1078="","",INT($X1078))</f>
        <v/>
      </c>
      <c r="Z1078" s="33">
        <f>IF(OR($Y1078="",$D$6=""),"",IF(INDEX($A:$U,ROW(),$D$6)="",0,IF(ISNUMBER(INDEX($A:$U,ROW(),$D$6)),INDEX($A:$U,ROW(),$D$6),IFERROR(--SUBSTITUTE(SUBSTITUTE(TRIM(INDEX($A:$U,ROW(),$D$6)),",",""),"원",""),0))))</f>
        <v/>
      </c>
      <c r="AA1078" s="31">
        <f>IF($Y1078="","",TRIM(INDEX($A:$U,ROW(),$E$6)&amp;IF($F$6="",""," "&amp;INDEX($A:$U,ROW(),$F$6))))</f>
        <v/>
      </c>
      <c r="AB1078" s="31">
        <f>IF($AA1078="","",SUBSTITUTE(SUBSTITUTE(SUBSTITUTE(SUBSTITUTE(SUBSTITUTE(SUBSTITUTE(SUBSTITUTE(SUBSTITUTE(SUBSTITUTE($AA1078," ",""),"　",""),"(주)",""),"（주）",""),"㈜",""),"주식회사",""),"(유)",""),"（유）",""),"유한회사",""))</f>
        <v/>
      </c>
      <c r="AC1078" s="31">
        <f>IF(OR($Y1078="",N($Z1078)&lt;=0,$AB1078=""),0,IFERROR(LOOKUP(2,1/((거래처별!$AC$8:$AC$307&lt;&gt;"")*ISNUMBER(SEARCH(거래처별!$AC$8:$AC$307,$AB1078))),거래처별!$A$8:$A$307),IFERROR(LOOKUP(2,1/((거래처별!$AD$8:$AD$307&lt;&gt;"")*ISNUMBER(SEARCH(거래처별!$AD$8:$AD$307,$AB1078))),거래처별!$A$8:$A$307),IFERROR(LOOKUP(2,1/((거래처별!$AE$8:$AE$307&lt;&gt;"")*ISNUMBER(SEARCH(거래처별!$AE$8:$AE$307,$AB1078))),거래처별!$A$8:$A$307),0))))</f>
        <v/>
      </c>
      <c r="AD1078" s="31">
        <f>IF(AND($Y1078&lt;&gt;"",N($Z1078)&gt;0,$AC1078=0),MAX($AD$7:$AD1077)+1,"")</f>
        <v/>
      </c>
      <c r="AE1078" s="31">
        <f>IF($Y1078="",0,$Y1078)</f>
        <v/>
      </c>
    </row>
    <row r="1079">
      <c r="W1079" s="31">
        <f>IF(OR($B$5="",$C$6="",ROW()&lt;$B$5),"",IF(INDEX($A:$U,ROW(),$C$6)="","",INDEX($A:$U,ROW(),$C$6)))</f>
        <v/>
      </c>
      <c r="X1079" s="32">
        <f>IF($W1079="","",IF(ISNUMBER($W1079),IF($W1079&gt;=10000000,IFERROR(DATE(INT($W1079/10000),MOD(INT($W1079/100),100),MOD($W1079,100)),""),INT($W1079)),IFERROR(DATE(--LEFT(LEFT(SUBSTITUTE(SUBSTITUTE(SUBSTITUTE(SUBSTITUTE(TRIM($W1079),"-",""),".",""),"/","")," ",""),8),4),--MID(LEFT(SUBSTITUTE(SUBSTITUTE(SUBSTITUTE(SUBSTITUTE(TRIM($W1079),"-",""),".",""),"/","")," ",""),8),5,2),--MID(LEFT(SUBSTITUTE(SUBSTITUTE(SUBSTITUTE(SUBSTITUTE(TRIM($W1079),"-",""),".",""),"/","")," ",""),8),7,2)),"")))</f>
        <v/>
      </c>
      <c r="Y1079" s="32">
        <f>IF($X1079="","",INT($X1079))</f>
        <v/>
      </c>
      <c r="Z1079" s="33">
        <f>IF(OR($Y1079="",$D$6=""),"",IF(INDEX($A:$U,ROW(),$D$6)="",0,IF(ISNUMBER(INDEX($A:$U,ROW(),$D$6)),INDEX($A:$U,ROW(),$D$6),IFERROR(--SUBSTITUTE(SUBSTITUTE(TRIM(INDEX($A:$U,ROW(),$D$6)),",",""),"원",""),0))))</f>
        <v/>
      </c>
      <c r="AA1079" s="31">
        <f>IF($Y1079="","",TRIM(INDEX($A:$U,ROW(),$E$6)&amp;IF($F$6="",""," "&amp;INDEX($A:$U,ROW(),$F$6))))</f>
        <v/>
      </c>
      <c r="AB1079" s="31">
        <f>IF($AA1079="","",SUBSTITUTE(SUBSTITUTE(SUBSTITUTE(SUBSTITUTE(SUBSTITUTE(SUBSTITUTE(SUBSTITUTE(SUBSTITUTE(SUBSTITUTE($AA1079," ",""),"　",""),"(주)",""),"（주）",""),"㈜",""),"주식회사",""),"(유)",""),"（유）",""),"유한회사",""))</f>
        <v/>
      </c>
      <c r="AC1079" s="31">
        <f>IF(OR($Y1079="",N($Z1079)&lt;=0,$AB1079=""),0,IFERROR(LOOKUP(2,1/((거래처별!$AC$8:$AC$307&lt;&gt;"")*ISNUMBER(SEARCH(거래처별!$AC$8:$AC$307,$AB1079))),거래처별!$A$8:$A$307),IFERROR(LOOKUP(2,1/((거래처별!$AD$8:$AD$307&lt;&gt;"")*ISNUMBER(SEARCH(거래처별!$AD$8:$AD$307,$AB1079))),거래처별!$A$8:$A$307),IFERROR(LOOKUP(2,1/((거래처별!$AE$8:$AE$307&lt;&gt;"")*ISNUMBER(SEARCH(거래처별!$AE$8:$AE$307,$AB1079))),거래처별!$A$8:$A$307),0))))</f>
        <v/>
      </c>
      <c r="AD1079" s="31">
        <f>IF(AND($Y1079&lt;&gt;"",N($Z1079)&gt;0,$AC1079=0),MAX($AD$7:$AD1078)+1,"")</f>
        <v/>
      </c>
      <c r="AE1079" s="31">
        <f>IF($Y1079="",0,$Y1079)</f>
        <v/>
      </c>
    </row>
    <row r="1080">
      <c r="W1080" s="31">
        <f>IF(OR($B$5="",$C$6="",ROW()&lt;$B$5),"",IF(INDEX($A:$U,ROW(),$C$6)="","",INDEX($A:$U,ROW(),$C$6)))</f>
        <v/>
      </c>
      <c r="X1080" s="32">
        <f>IF($W1080="","",IF(ISNUMBER($W1080),IF($W1080&gt;=10000000,IFERROR(DATE(INT($W1080/10000),MOD(INT($W1080/100),100),MOD($W1080,100)),""),INT($W1080)),IFERROR(DATE(--LEFT(LEFT(SUBSTITUTE(SUBSTITUTE(SUBSTITUTE(SUBSTITUTE(TRIM($W1080),"-",""),".",""),"/","")," ",""),8),4),--MID(LEFT(SUBSTITUTE(SUBSTITUTE(SUBSTITUTE(SUBSTITUTE(TRIM($W1080),"-",""),".",""),"/","")," ",""),8),5,2),--MID(LEFT(SUBSTITUTE(SUBSTITUTE(SUBSTITUTE(SUBSTITUTE(TRIM($W1080),"-",""),".",""),"/","")," ",""),8),7,2)),"")))</f>
        <v/>
      </c>
      <c r="Y1080" s="32">
        <f>IF($X1080="","",INT($X1080))</f>
        <v/>
      </c>
      <c r="Z1080" s="33">
        <f>IF(OR($Y1080="",$D$6=""),"",IF(INDEX($A:$U,ROW(),$D$6)="",0,IF(ISNUMBER(INDEX($A:$U,ROW(),$D$6)),INDEX($A:$U,ROW(),$D$6),IFERROR(--SUBSTITUTE(SUBSTITUTE(TRIM(INDEX($A:$U,ROW(),$D$6)),",",""),"원",""),0))))</f>
        <v/>
      </c>
      <c r="AA1080" s="31">
        <f>IF($Y1080="","",TRIM(INDEX($A:$U,ROW(),$E$6)&amp;IF($F$6="",""," "&amp;INDEX($A:$U,ROW(),$F$6))))</f>
        <v/>
      </c>
      <c r="AB1080" s="31">
        <f>IF($AA1080="","",SUBSTITUTE(SUBSTITUTE(SUBSTITUTE(SUBSTITUTE(SUBSTITUTE(SUBSTITUTE(SUBSTITUTE(SUBSTITUTE(SUBSTITUTE($AA1080," ",""),"　",""),"(주)",""),"（주）",""),"㈜",""),"주식회사",""),"(유)",""),"（유）",""),"유한회사",""))</f>
        <v/>
      </c>
      <c r="AC1080" s="31">
        <f>IF(OR($Y1080="",N($Z1080)&lt;=0,$AB1080=""),0,IFERROR(LOOKUP(2,1/((거래처별!$AC$8:$AC$307&lt;&gt;"")*ISNUMBER(SEARCH(거래처별!$AC$8:$AC$307,$AB1080))),거래처별!$A$8:$A$307),IFERROR(LOOKUP(2,1/((거래처별!$AD$8:$AD$307&lt;&gt;"")*ISNUMBER(SEARCH(거래처별!$AD$8:$AD$307,$AB1080))),거래처별!$A$8:$A$307),IFERROR(LOOKUP(2,1/((거래처별!$AE$8:$AE$307&lt;&gt;"")*ISNUMBER(SEARCH(거래처별!$AE$8:$AE$307,$AB1080))),거래처별!$A$8:$A$307),0))))</f>
        <v/>
      </c>
      <c r="AD1080" s="31">
        <f>IF(AND($Y1080&lt;&gt;"",N($Z1080)&gt;0,$AC1080=0),MAX($AD$7:$AD1079)+1,"")</f>
        <v/>
      </c>
      <c r="AE1080" s="31">
        <f>IF($Y1080="",0,$Y1080)</f>
        <v/>
      </c>
    </row>
    <row r="1081">
      <c r="W1081" s="31">
        <f>IF(OR($B$5="",$C$6="",ROW()&lt;$B$5),"",IF(INDEX($A:$U,ROW(),$C$6)="","",INDEX($A:$U,ROW(),$C$6)))</f>
        <v/>
      </c>
      <c r="X1081" s="32">
        <f>IF($W1081="","",IF(ISNUMBER($W1081),IF($W1081&gt;=10000000,IFERROR(DATE(INT($W1081/10000),MOD(INT($W1081/100),100),MOD($W1081,100)),""),INT($W1081)),IFERROR(DATE(--LEFT(LEFT(SUBSTITUTE(SUBSTITUTE(SUBSTITUTE(SUBSTITUTE(TRIM($W1081),"-",""),".",""),"/","")," ",""),8),4),--MID(LEFT(SUBSTITUTE(SUBSTITUTE(SUBSTITUTE(SUBSTITUTE(TRIM($W1081),"-",""),".",""),"/","")," ",""),8),5,2),--MID(LEFT(SUBSTITUTE(SUBSTITUTE(SUBSTITUTE(SUBSTITUTE(TRIM($W1081),"-",""),".",""),"/","")," ",""),8),7,2)),"")))</f>
        <v/>
      </c>
      <c r="Y1081" s="32">
        <f>IF($X1081="","",INT($X1081))</f>
        <v/>
      </c>
      <c r="Z1081" s="33">
        <f>IF(OR($Y1081="",$D$6=""),"",IF(INDEX($A:$U,ROW(),$D$6)="",0,IF(ISNUMBER(INDEX($A:$U,ROW(),$D$6)),INDEX($A:$U,ROW(),$D$6),IFERROR(--SUBSTITUTE(SUBSTITUTE(TRIM(INDEX($A:$U,ROW(),$D$6)),",",""),"원",""),0))))</f>
        <v/>
      </c>
      <c r="AA1081" s="31">
        <f>IF($Y1081="","",TRIM(INDEX($A:$U,ROW(),$E$6)&amp;IF($F$6="",""," "&amp;INDEX($A:$U,ROW(),$F$6))))</f>
        <v/>
      </c>
      <c r="AB1081" s="31">
        <f>IF($AA1081="","",SUBSTITUTE(SUBSTITUTE(SUBSTITUTE(SUBSTITUTE(SUBSTITUTE(SUBSTITUTE(SUBSTITUTE(SUBSTITUTE(SUBSTITUTE($AA1081," ",""),"　",""),"(주)",""),"（주）",""),"㈜",""),"주식회사",""),"(유)",""),"（유）",""),"유한회사",""))</f>
        <v/>
      </c>
      <c r="AC1081" s="31">
        <f>IF(OR($Y1081="",N($Z1081)&lt;=0,$AB1081=""),0,IFERROR(LOOKUP(2,1/((거래처별!$AC$8:$AC$307&lt;&gt;"")*ISNUMBER(SEARCH(거래처별!$AC$8:$AC$307,$AB1081))),거래처별!$A$8:$A$307),IFERROR(LOOKUP(2,1/((거래처별!$AD$8:$AD$307&lt;&gt;"")*ISNUMBER(SEARCH(거래처별!$AD$8:$AD$307,$AB1081))),거래처별!$A$8:$A$307),IFERROR(LOOKUP(2,1/((거래처별!$AE$8:$AE$307&lt;&gt;"")*ISNUMBER(SEARCH(거래처별!$AE$8:$AE$307,$AB1081))),거래처별!$A$8:$A$307),0))))</f>
        <v/>
      </c>
      <c r="AD1081" s="31">
        <f>IF(AND($Y1081&lt;&gt;"",N($Z1081)&gt;0,$AC1081=0),MAX($AD$7:$AD1080)+1,"")</f>
        <v/>
      </c>
      <c r="AE1081" s="31">
        <f>IF($Y1081="",0,$Y1081)</f>
        <v/>
      </c>
    </row>
    <row r="1082">
      <c r="W1082" s="31">
        <f>IF(OR($B$5="",$C$6="",ROW()&lt;$B$5),"",IF(INDEX($A:$U,ROW(),$C$6)="","",INDEX($A:$U,ROW(),$C$6)))</f>
        <v/>
      </c>
      <c r="X1082" s="32">
        <f>IF($W1082="","",IF(ISNUMBER($W1082),IF($W1082&gt;=10000000,IFERROR(DATE(INT($W1082/10000),MOD(INT($W1082/100),100),MOD($W1082,100)),""),INT($W1082)),IFERROR(DATE(--LEFT(LEFT(SUBSTITUTE(SUBSTITUTE(SUBSTITUTE(SUBSTITUTE(TRIM($W1082),"-",""),".",""),"/","")," ",""),8),4),--MID(LEFT(SUBSTITUTE(SUBSTITUTE(SUBSTITUTE(SUBSTITUTE(TRIM($W1082),"-",""),".",""),"/","")," ",""),8),5,2),--MID(LEFT(SUBSTITUTE(SUBSTITUTE(SUBSTITUTE(SUBSTITUTE(TRIM($W1082),"-",""),".",""),"/","")," ",""),8),7,2)),"")))</f>
        <v/>
      </c>
      <c r="Y1082" s="32">
        <f>IF($X1082="","",INT($X1082))</f>
        <v/>
      </c>
      <c r="Z1082" s="33">
        <f>IF(OR($Y1082="",$D$6=""),"",IF(INDEX($A:$U,ROW(),$D$6)="",0,IF(ISNUMBER(INDEX($A:$U,ROW(),$D$6)),INDEX($A:$U,ROW(),$D$6),IFERROR(--SUBSTITUTE(SUBSTITUTE(TRIM(INDEX($A:$U,ROW(),$D$6)),",",""),"원",""),0))))</f>
        <v/>
      </c>
      <c r="AA1082" s="31">
        <f>IF($Y1082="","",TRIM(INDEX($A:$U,ROW(),$E$6)&amp;IF($F$6="",""," "&amp;INDEX($A:$U,ROW(),$F$6))))</f>
        <v/>
      </c>
      <c r="AB1082" s="31">
        <f>IF($AA1082="","",SUBSTITUTE(SUBSTITUTE(SUBSTITUTE(SUBSTITUTE(SUBSTITUTE(SUBSTITUTE(SUBSTITUTE(SUBSTITUTE(SUBSTITUTE($AA1082," ",""),"　",""),"(주)",""),"（주）",""),"㈜",""),"주식회사",""),"(유)",""),"（유）",""),"유한회사",""))</f>
        <v/>
      </c>
      <c r="AC1082" s="31">
        <f>IF(OR($Y1082="",N($Z1082)&lt;=0,$AB1082=""),0,IFERROR(LOOKUP(2,1/((거래처별!$AC$8:$AC$307&lt;&gt;"")*ISNUMBER(SEARCH(거래처별!$AC$8:$AC$307,$AB1082))),거래처별!$A$8:$A$307),IFERROR(LOOKUP(2,1/((거래처별!$AD$8:$AD$307&lt;&gt;"")*ISNUMBER(SEARCH(거래처별!$AD$8:$AD$307,$AB1082))),거래처별!$A$8:$A$307),IFERROR(LOOKUP(2,1/((거래처별!$AE$8:$AE$307&lt;&gt;"")*ISNUMBER(SEARCH(거래처별!$AE$8:$AE$307,$AB1082))),거래처별!$A$8:$A$307),0))))</f>
        <v/>
      </c>
      <c r="AD1082" s="31">
        <f>IF(AND($Y1082&lt;&gt;"",N($Z1082)&gt;0,$AC1082=0),MAX($AD$7:$AD1081)+1,"")</f>
        <v/>
      </c>
      <c r="AE1082" s="31">
        <f>IF($Y1082="",0,$Y1082)</f>
        <v/>
      </c>
    </row>
    <row r="1083">
      <c r="W1083" s="31">
        <f>IF(OR($B$5="",$C$6="",ROW()&lt;$B$5),"",IF(INDEX($A:$U,ROW(),$C$6)="","",INDEX($A:$U,ROW(),$C$6)))</f>
        <v/>
      </c>
      <c r="X1083" s="32">
        <f>IF($W1083="","",IF(ISNUMBER($W1083),IF($W1083&gt;=10000000,IFERROR(DATE(INT($W1083/10000),MOD(INT($W1083/100),100),MOD($W1083,100)),""),INT($W1083)),IFERROR(DATE(--LEFT(LEFT(SUBSTITUTE(SUBSTITUTE(SUBSTITUTE(SUBSTITUTE(TRIM($W1083),"-",""),".",""),"/","")," ",""),8),4),--MID(LEFT(SUBSTITUTE(SUBSTITUTE(SUBSTITUTE(SUBSTITUTE(TRIM($W1083),"-",""),".",""),"/","")," ",""),8),5,2),--MID(LEFT(SUBSTITUTE(SUBSTITUTE(SUBSTITUTE(SUBSTITUTE(TRIM($W1083),"-",""),".",""),"/","")," ",""),8),7,2)),"")))</f>
        <v/>
      </c>
      <c r="Y1083" s="32">
        <f>IF($X1083="","",INT($X1083))</f>
        <v/>
      </c>
      <c r="Z1083" s="33">
        <f>IF(OR($Y1083="",$D$6=""),"",IF(INDEX($A:$U,ROW(),$D$6)="",0,IF(ISNUMBER(INDEX($A:$U,ROW(),$D$6)),INDEX($A:$U,ROW(),$D$6),IFERROR(--SUBSTITUTE(SUBSTITUTE(TRIM(INDEX($A:$U,ROW(),$D$6)),",",""),"원",""),0))))</f>
        <v/>
      </c>
      <c r="AA1083" s="31">
        <f>IF($Y1083="","",TRIM(INDEX($A:$U,ROW(),$E$6)&amp;IF($F$6="",""," "&amp;INDEX($A:$U,ROW(),$F$6))))</f>
        <v/>
      </c>
      <c r="AB1083" s="31">
        <f>IF($AA1083="","",SUBSTITUTE(SUBSTITUTE(SUBSTITUTE(SUBSTITUTE(SUBSTITUTE(SUBSTITUTE(SUBSTITUTE(SUBSTITUTE(SUBSTITUTE($AA1083," ",""),"　",""),"(주)",""),"（주）",""),"㈜",""),"주식회사",""),"(유)",""),"（유）",""),"유한회사",""))</f>
        <v/>
      </c>
      <c r="AC1083" s="31">
        <f>IF(OR($Y1083="",N($Z1083)&lt;=0,$AB1083=""),0,IFERROR(LOOKUP(2,1/((거래처별!$AC$8:$AC$307&lt;&gt;"")*ISNUMBER(SEARCH(거래처별!$AC$8:$AC$307,$AB1083))),거래처별!$A$8:$A$307),IFERROR(LOOKUP(2,1/((거래처별!$AD$8:$AD$307&lt;&gt;"")*ISNUMBER(SEARCH(거래처별!$AD$8:$AD$307,$AB1083))),거래처별!$A$8:$A$307),IFERROR(LOOKUP(2,1/((거래처별!$AE$8:$AE$307&lt;&gt;"")*ISNUMBER(SEARCH(거래처별!$AE$8:$AE$307,$AB1083))),거래처별!$A$8:$A$307),0))))</f>
        <v/>
      </c>
      <c r="AD1083" s="31">
        <f>IF(AND($Y1083&lt;&gt;"",N($Z1083)&gt;0,$AC1083=0),MAX($AD$7:$AD1082)+1,"")</f>
        <v/>
      </c>
      <c r="AE1083" s="31">
        <f>IF($Y1083="",0,$Y1083)</f>
        <v/>
      </c>
    </row>
    <row r="1084">
      <c r="W1084" s="31">
        <f>IF(OR($B$5="",$C$6="",ROW()&lt;$B$5),"",IF(INDEX($A:$U,ROW(),$C$6)="","",INDEX($A:$U,ROW(),$C$6)))</f>
        <v/>
      </c>
      <c r="X1084" s="32">
        <f>IF($W1084="","",IF(ISNUMBER($W1084),IF($W1084&gt;=10000000,IFERROR(DATE(INT($W1084/10000),MOD(INT($W1084/100),100),MOD($W1084,100)),""),INT($W1084)),IFERROR(DATE(--LEFT(LEFT(SUBSTITUTE(SUBSTITUTE(SUBSTITUTE(SUBSTITUTE(TRIM($W1084),"-",""),".",""),"/","")," ",""),8),4),--MID(LEFT(SUBSTITUTE(SUBSTITUTE(SUBSTITUTE(SUBSTITUTE(TRIM($W1084),"-",""),".",""),"/","")," ",""),8),5,2),--MID(LEFT(SUBSTITUTE(SUBSTITUTE(SUBSTITUTE(SUBSTITUTE(TRIM($W1084),"-",""),".",""),"/","")," ",""),8),7,2)),"")))</f>
        <v/>
      </c>
      <c r="Y1084" s="32">
        <f>IF($X1084="","",INT($X1084))</f>
        <v/>
      </c>
      <c r="Z1084" s="33">
        <f>IF(OR($Y1084="",$D$6=""),"",IF(INDEX($A:$U,ROW(),$D$6)="",0,IF(ISNUMBER(INDEX($A:$U,ROW(),$D$6)),INDEX($A:$U,ROW(),$D$6),IFERROR(--SUBSTITUTE(SUBSTITUTE(TRIM(INDEX($A:$U,ROW(),$D$6)),",",""),"원",""),0))))</f>
        <v/>
      </c>
      <c r="AA1084" s="31">
        <f>IF($Y1084="","",TRIM(INDEX($A:$U,ROW(),$E$6)&amp;IF($F$6="",""," "&amp;INDEX($A:$U,ROW(),$F$6))))</f>
        <v/>
      </c>
      <c r="AB1084" s="31">
        <f>IF($AA1084="","",SUBSTITUTE(SUBSTITUTE(SUBSTITUTE(SUBSTITUTE(SUBSTITUTE(SUBSTITUTE(SUBSTITUTE(SUBSTITUTE(SUBSTITUTE($AA1084," ",""),"　",""),"(주)",""),"（주）",""),"㈜",""),"주식회사",""),"(유)",""),"（유）",""),"유한회사",""))</f>
        <v/>
      </c>
      <c r="AC1084" s="31">
        <f>IF(OR($Y1084="",N($Z1084)&lt;=0,$AB1084=""),0,IFERROR(LOOKUP(2,1/((거래처별!$AC$8:$AC$307&lt;&gt;"")*ISNUMBER(SEARCH(거래처별!$AC$8:$AC$307,$AB1084))),거래처별!$A$8:$A$307),IFERROR(LOOKUP(2,1/((거래처별!$AD$8:$AD$307&lt;&gt;"")*ISNUMBER(SEARCH(거래처별!$AD$8:$AD$307,$AB1084))),거래처별!$A$8:$A$307),IFERROR(LOOKUP(2,1/((거래처별!$AE$8:$AE$307&lt;&gt;"")*ISNUMBER(SEARCH(거래처별!$AE$8:$AE$307,$AB1084))),거래처별!$A$8:$A$307),0))))</f>
        <v/>
      </c>
      <c r="AD1084" s="31">
        <f>IF(AND($Y1084&lt;&gt;"",N($Z1084)&gt;0,$AC1084=0),MAX($AD$7:$AD1083)+1,"")</f>
        <v/>
      </c>
      <c r="AE1084" s="31">
        <f>IF($Y1084="",0,$Y1084)</f>
        <v/>
      </c>
    </row>
    <row r="1085">
      <c r="W1085" s="31">
        <f>IF(OR($B$5="",$C$6="",ROW()&lt;$B$5),"",IF(INDEX($A:$U,ROW(),$C$6)="","",INDEX($A:$U,ROW(),$C$6)))</f>
        <v/>
      </c>
      <c r="X1085" s="32">
        <f>IF($W1085="","",IF(ISNUMBER($W1085),IF($W1085&gt;=10000000,IFERROR(DATE(INT($W1085/10000),MOD(INT($W1085/100),100),MOD($W1085,100)),""),INT($W1085)),IFERROR(DATE(--LEFT(LEFT(SUBSTITUTE(SUBSTITUTE(SUBSTITUTE(SUBSTITUTE(TRIM($W1085),"-",""),".",""),"/","")," ",""),8),4),--MID(LEFT(SUBSTITUTE(SUBSTITUTE(SUBSTITUTE(SUBSTITUTE(TRIM($W1085),"-",""),".",""),"/","")," ",""),8),5,2),--MID(LEFT(SUBSTITUTE(SUBSTITUTE(SUBSTITUTE(SUBSTITUTE(TRIM($W1085),"-",""),".",""),"/","")," ",""),8),7,2)),"")))</f>
        <v/>
      </c>
      <c r="Y1085" s="32">
        <f>IF($X1085="","",INT($X1085))</f>
        <v/>
      </c>
      <c r="Z1085" s="33">
        <f>IF(OR($Y1085="",$D$6=""),"",IF(INDEX($A:$U,ROW(),$D$6)="",0,IF(ISNUMBER(INDEX($A:$U,ROW(),$D$6)),INDEX($A:$U,ROW(),$D$6),IFERROR(--SUBSTITUTE(SUBSTITUTE(TRIM(INDEX($A:$U,ROW(),$D$6)),",",""),"원",""),0))))</f>
        <v/>
      </c>
      <c r="AA1085" s="31">
        <f>IF($Y1085="","",TRIM(INDEX($A:$U,ROW(),$E$6)&amp;IF($F$6="",""," "&amp;INDEX($A:$U,ROW(),$F$6))))</f>
        <v/>
      </c>
      <c r="AB1085" s="31">
        <f>IF($AA1085="","",SUBSTITUTE(SUBSTITUTE(SUBSTITUTE(SUBSTITUTE(SUBSTITUTE(SUBSTITUTE(SUBSTITUTE(SUBSTITUTE(SUBSTITUTE($AA1085," ",""),"　",""),"(주)",""),"（주）",""),"㈜",""),"주식회사",""),"(유)",""),"（유）",""),"유한회사",""))</f>
        <v/>
      </c>
      <c r="AC1085" s="31">
        <f>IF(OR($Y1085="",N($Z1085)&lt;=0,$AB1085=""),0,IFERROR(LOOKUP(2,1/((거래처별!$AC$8:$AC$307&lt;&gt;"")*ISNUMBER(SEARCH(거래처별!$AC$8:$AC$307,$AB1085))),거래처별!$A$8:$A$307),IFERROR(LOOKUP(2,1/((거래처별!$AD$8:$AD$307&lt;&gt;"")*ISNUMBER(SEARCH(거래처별!$AD$8:$AD$307,$AB1085))),거래처별!$A$8:$A$307),IFERROR(LOOKUP(2,1/((거래처별!$AE$8:$AE$307&lt;&gt;"")*ISNUMBER(SEARCH(거래처별!$AE$8:$AE$307,$AB1085))),거래처별!$A$8:$A$307),0))))</f>
        <v/>
      </c>
      <c r="AD1085" s="31">
        <f>IF(AND($Y1085&lt;&gt;"",N($Z1085)&gt;0,$AC1085=0),MAX($AD$7:$AD1084)+1,"")</f>
        <v/>
      </c>
      <c r="AE1085" s="31">
        <f>IF($Y1085="",0,$Y1085)</f>
        <v/>
      </c>
    </row>
    <row r="1086">
      <c r="W1086" s="31">
        <f>IF(OR($B$5="",$C$6="",ROW()&lt;$B$5),"",IF(INDEX($A:$U,ROW(),$C$6)="","",INDEX($A:$U,ROW(),$C$6)))</f>
        <v/>
      </c>
      <c r="X1086" s="32">
        <f>IF($W1086="","",IF(ISNUMBER($W1086),IF($W1086&gt;=10000000,IFERROR(DATE(INT($W1086/10000),MOD(INT($W1086/100),100),MOD($W1086,100)),""),INT($W1086)),IFERROR(DATE(--LEFT(LEFT(SUBSTITUTE(SUBSTITUTE(SUBSTITUTE(SUBSTITUTE(TRIM($W1086),"-",""),".",""),"/","")," ",""),8),4),--MID(LEFT(SUBSTITUTE(SUBSTITUTE(SUBSTITUTE(SUBSTITUTE(TRIM($W1086),"-",""),".",""),"/","")," ",""),8),5,2),--MID(LEFT(SUBSTITUTE(SUBSTITUTE(SUBSTITUTE(SUBSTITUTE(TRIM($W1086),"-",""),".",""),"/","")," ",""),8),7,2)),"")))</f>
        <v/>
      </c>
      <c r="Y1086" s="32">
        <f>IF($X1086="","",INT($X1086))</f>
        <v/>
      </c>
      <c r="Z1086" s="33">
        <f>IF(OR($Y1086="",$D$6=""),"",IF(INDEX($A:$U,ROW(),$D$6)="",0,IF(ISNUMBER(INDEX($A:$U,ROW(),$D$6)),INDEX($A:$U,ROW(),$D$6),IFERROR(--SUBSTITUTE(SUBSTITUTE(TRIM(INDEX($A:$U,ROW(),$D$6)),",",""),"원",""),0))))</f>
        <v/>
      </c>
      <c r="AA1086" s="31">
        <f>IF($Y1086="","",TRIM(INDEX($A:$U,ROW(),$E$6)&amp;IF($F$6="",""," "&amp;INDEX($A:$U,ROW(),$F$6))))</f>
        <v/>
      </c>
      <c r="AB1086" s="31">
        <f>IF($AA1086="","",SUBSTITUTE(SUBSTITUTE(SUBSTITUTE(SUBSTITUTE(SUBSTITUTE(SUBSTITUTE(SUBSTITUTE(SUBSTITUTE(SUBSTITUTE($AA1086," ",""),"　",""),"(주)",""),"（주）",""),"㈜",""),"주식회사",""),"(유)",""),"（유）",""),"유한회사",""))</f>
        <v/>
      </c>
      <c r="AC1086" s="31">
        <f>IF(OR($Y1086="",N($Z1086)&lt;=0,$AB1086=""),0,IFERROR(LOOKUP(2,1/((거래처별!$AC$8:$AC$307&lt;&gt;"")*ISNUMBER(SEARCH(거래처별!$AC$8:$AC$307,$AB1086))),거래처별!$A$8:$A$307),IFERROR(LOOKUP(2,1/((거래처별!$AD$8:$AD$307&lt;&gt;"")*ISNUMBER(SEARCH(거래처별!$AD$8:$AD$307,$AB1086))),거래처별!$A$8:$A$307),IFERROR(LOOKUP(2,1/((거래처별!$AE$8:$AE$307&lt;&gt;"")*ISNUMBER(SEARCH(거래처별!$AE$8:$AE$307,$AB1086))),거래처별!$A$8:$A$307),0))))</f>
        <v/>
      </c>
      <c r="AD1086" s="31">
        <f>IF(AND($Y1086&lt;&gt;"",N($Z1086)&gt;0,$AC1086=0),MAX($AD$7:$AD1085)+1,"")</f>
        <v/>
      </c>
      <c r="AE1086" s="31">
        <f>IF($Y1086="",0,$Y1086)</f>
        <v/>
      </c>
    </row>
    <row r="1087">
      <c r="W1087" s="31">
        <f>IF(OR($B$5="",$C$6="",ROW()&lt;$B$5),"",IF(INDEX($A:$U,ROW(),$C$6)="","",INDEX($A:$U,ROW(),$C$6)))</f>
        <v/>
      </c>
      <c r="X1087" s="32">
        <f>IF($W1087="","",IF(ISNUMBER($W1087),IF($W1087&gt;=10000000,IFERROR(DATE(INT($W1087/10000),MOD(INT($W1087/100),100),MOD($W1087,100)),""),INT($W1087)),IFERROR(DATE(--LEFT(LEFT(SUBSTITUTE(SUBSTITUTE(SUBSTITUTE(SUBSTITUTE(TRIM($W1087),"-",""),".",""),"/","")," ",""),8),4),--MID(LEFT(SUBSTITUTE(SUBSTITUTE(SUBSTITUTE(SUBSTITUTE(TRIM($W1087),"-",""),".",""),"/","")," ",""),8),5,2),--MID(LEFT(SUBSTITUTE(SUBSTITUTE(SUBSTITUTE(SUBSTITUTE(TRIM($W1087),"-",""),".",""),"/","")," ",""),8),7,2)),"")))</f>
        <v/>
      </c>
      <c r="Y1087" s="32">
        <f>IF($X1087="","",INT($X1087))</f>
        <v/>
      </c>
      <c r="Z1087" s="33">
        <f>IF(OR($Y1087="",$D$6=""),"",IF(INDEX($A:$U,ROW(),$D$6)="",0,IF(ISNUMBER(INDEX($A:$U,ROW(),$D$6)),INDEX($A:$U,ROW(),$D$6),IFERROR(--SUBSTITUTE(SUBSTITUTE(TRIM(INDEX($A:$U,ROW(),$D$6)),",",""),"원",""),0))))</f>
        <v/>
      </c>
      <c r="AA1087" s="31">
        <f>IF($Y1087="","",TRIM(INDEX($A:$U,ROW(),$E$6)&amp;IF($F$6="",""," "&amp;INDEX($A:$U,ROW(),$F$6))))</f>
        <v/>
      </c>
      <c r="AB1087" s="31">
        <f>IF($AA1087="","",SUBSTITUTE(SUBSTITUTE(SUBSTITUTE(SUBSTITUTE(SUBSTITUTE(SUBSTITUTE(SUBSTITUTE(SUBSTITUTE(SUBSTITUTE($AA1087," ",""),"　",""),"(주)",""),"（주）",""),"㈜",""),"주식회사",""),"(유)",""),"（유）",""),"유한회사",""))</f>
        <v/>
      </c>
      <c r="AC1087" s="31">
        <f>IF(OR($Y1087="",N($Z1087)&lt;=0,$AB1087=""),0,IFERROR(LOOKUP(2,1/((거래처별!$AC$8:$AC$307&lt;&gt;"")*ISNUMBER(SEARCH(거래처별!$AC$8:$AC$307,$AB1087))),거래처별!$A$8:$A$307),IFERROR(LOOKUP(2,1/((거래처별!$AD$8:$AD$307&lt;&gt;"")*ISNUMBER(SEARCH(거래처별!$AD$8:$AD$307,$AB1087))),거래처별!$A$8:$A$307),IFERROR(LOOKUP(2,1/((거래처별!$AE$8:$AE$307&lt;&gt;"")*ISNUMBER(SEARCH(거래처별!$AE$8:$AE$307,$AB1087))),거래처별!$A$8:$A$307),0))))</f>
        <v/>
      </c>
      <c r="AD1087" s="31">
        <f>IF(AND($Y1087&lt;&gt;"",N($Z1087)&gt;0,$AC1087=0),MAX($AD$7:$AD1086)+1,"")</f>
        <v/>
      </c>
      <c r="AE1087" s="31">
        <f>IF($Y1087="",0,$Y1087)</f>
        <v/>
      </c>
    </row>
    <row r="1088">
      <c r="W1088" s="31">
        <f>IF(OR($B$5="",$C$6="",ROW()&lt;$B$5),"",IF(INDEX($A:$U,ROW(),$C$6)="","",INDEX($A:$U,ROW(),$C$6)))</f>
        <v/>
      </c>
      <c r="X1088" s="32">
        <f>IF($W1088="","",IF(ISNUMBER($W1088),IF($W1088&gt;=10000000,IFERROR(DATE(INT($W1088/10000),MOD(INT($W1088/100),100),MOD($W1088,100)),""),INT($W1088)),IFERROR(DATE(--LEFT(LEFT(SUBSTITUTE(SUBSTITUTE(SUBSTITUTE(SUBSTITUTE(TRIM($W1088),"-",""),".",""),"/","")," ",""),8),4),--MID(LEFT(SUBSTITUTE(SUBSTITUTE(SUBSTITUTE(SUBSTITUTE(TRIM($W1088),"-",""),".",""),"/","")," ",""),8),5,2),--MID(LEFT(SUBSTITUTE(SUBSTITUTE(SUBSTITUTE(SUBSTITUTE(TRIM($W1088),"-",""),".",""),"/","")," ",""),8),7,2)),"")))</f>
        <v/>
      </c>
      <c r="Y1088" s="32">
        <f>IF($X1088="","",INT($X1088))</f>
        <v/>
      </c>
      <c r="Z1088" s="33">
        <f>IF(OR($Y1088="",$D$6=""),"",IF(INDEX($A:$U,ROW(),$D$6)="",0,IF(ISNUMBER(INDEX($A:$U,ROW(),$D$6)),INDEX($A:$U,ROW(),$D$6),IFERROR(--SUBSTITUTE(SUBSTITUTE(TRIM(INDEX($A:$U,ROW(),$D$6)),",",""),"원",""),0))))</f>
        <v/>
      </c>
      <c r="AA1088" s="31">
        <f>IF($Y1088="","",TRIM(INDEX($A:$U,ROW(),$E$6)&amp;IF($F$6="",""," "&amp;INDEX($A:$U,ROW(),$F$6))))</f>
        <v/>
      </c>
      <c r="AB1088" s="31">
        <f>IF($AA1088="","",SUBSTITUTE(SUBSTITUTE(SUBSTITUTE(SUBSTITUTE(SUBSTITUTE(SUBSTITUTE(SUBSTITUTE(SUBSTITUTE(SUBSTITUTE($AA1088," ",""),"　",""),"(주)",""),"（주）",""),"㈜",""),"주식회사",""),"(유)",""),"（유）",""),"유한회사",""))</f>
        <v/>
      </c>
      <c r="AC1088" s="31">
        <f>IF(OR($Y1088="",N($Z1088)&lt;=0,$AB1088=""),0,IFERROR(LOOKUP(2,1/((거래처별!$AC$8:$AC$307&lt;&gt;"")*ISNUMBER(SEARCH(거래처별!$AC$8:$AC$307,$AB1088))),거래처별!$A$8:$A$307),IFERROR(LOOKUP(2,1/((거래처별!$AD$8:$AD$307&lt;&gt;"")*ISNUMBER(SEARCH(거래처별!$AD$8:$AD$307,$AB1088))),거래처별!$A$8:$A$307),IFERROR(LOOKUP(2,1/((거래처별!$AE$8:$AE$307&lt;&gt;"")*ISNUMBER(SEARCH(거래처별!$AE$8:$AE$307,$AB1088))),거래처별!$A$8:$A$307),0))))</f>
        <v/>
      </c>
      <c r="AD1088" s="31">
        <f>IF(AND($Y1088&lt;&gt;"",N($Z1088)&gt;0,$AC1088=0),MAX($AD$7:$AD1087)+1,"")</f>
        <v/>
      </c>
      <c r="AE1088" s="31">
        <f>IF($Y1088="",0,$Y1088)</f>
        <v/>
      </c>
    </row>
    <row r="1089">
      <c r="W1089" s="31">
        <f>IF(OR($B$5="",$C$6="",ROW()&lt;$B$5),"",IF(INDEX($A:$U,ROW(),$C$6)="","",INDEX($A:$U,ROW(),$C$6)))</f>
        <v/>
      </c>
      <c r="X1089" s="32">
        <f>IF($W1089="","",IF(ISNUMBER($W1089),IF($W1089&gt;=10000000,IFERROR(DATE(INT($W1089/10000),MOD(INT($W1089/100),100),MOD($W1089,100)),""),INT($W1089)),IFERROR(DATE(--LEFT(LEFT(SUBSTITUTE(SUBSTITUTE(SUBSTITUTE(SUBSTITUTE(TRIM($W1089),"-",""),".",""),"/","")," ",""),8),4),--MID(LEFT(SUBSTITUTE(SUBSTITUTE(SUBSTITUTE(SUBSTITUTE(TRIM($W1089),"-",""),".",""),"/","")," ",""),8),5,2),--MID(LEFT(SUBSTITUTE(SUBSTITUTE(SUBSTITUTE(SUBSTITUTE(TRIM($W1089),"-",""),".",""),"/","")," ",""),8),7,2)),"")))</f>
        <v/>
      </c>
      <c r="Y1089" s="32">
        <f>IF($X1089="","",INT($X1089))</f>
        <v/>
      </c>
      <c r="Z1089" s="33">
        <f>IF(OR($Y1089="",$D$6=""),"",IF(INDEX($A:$U,ROW(),$D$6)="",0,IF(ISNUMBER(INDEX($A:$U,ROW(),$D$6)),INDEX($A:$U,ROW(),$D$6),IFERROR(--SUBSTITUTE(SUBSTITUTE(TRIM(INDEX($A:$U,ROW(),$D$6)),",",""),"원",""),0))))</f>
        <v/>
      </c>
      <c r="AA1089" s="31">
        <f>IF($Y1089="","",TRIM(INDEX($A:$U,ROW(),$E$6)&amp;IF($F$6="",""," "&amp;INDEX($A:$U,ROW(),$F$6))))</f>
        <v/>
      </c>
      <c r="AB1089" s="31">
        <f>IF($AA1089="","",SUBSTITUTE(SUBSTITUTE(SUBSTITUTE(SUBSTITUTE(SUBSTITUTE(SUBSTITUTE(SUBSTITUTE(SUBSTITUTE(SUBSTITUTE($AA1089," ",""),"　",""),"(주)",""),"（주）",""),"㈜",""),"주식회사",""),"(유)",""),"（유）",""),"유한회사",""))</f>
        <v/>
      </c>
      <c r="AC1089" s="31">
        <f>IF(OR($Y1089="",N($Z1089)&lt;=0,$AB1089=""),0,IFERROR(LOOKUP(2,1/((거래처별!$AC$8:$AC$307&lt;&gt;"")*ISNUMBER(SEARCH(거래처별!$AC$8:$AC$307,$AB1089))),거래처별!$A$8:$A$307),IFERROR(LOOKUP(2,1/((거래처별!$AD$8:$AD$307&lt;&gt;"")*ISNUMBER(SEARCH(거래처별!$AD$8:$AD$307,$AB1089))),거래처별!$A$8:$A$307),IFERROR(LOOKUP(2,1/((거래처별!$AE$8:$AE$307&lt;&gt;"")*ISNUMBER(SEARCH(거래처별!$AE$8:$AE$307,$AB1089))),거래처별!$A$8:$A$307),0))))</f>
        <v/>
      </c>
      <c r="AD1089" s="31">
        <f>IF(AND($Y1089&lt;&gt;"",N($Z1089)&gt;0,$AC1089=0),MAX($AD$7:$AD1088)+1,"")</f>
        <v/>
      </c>
      <c r="AE1089" s="31">
        <f>IF($Y1089="",0,$Y1089)</f>
        <v/>
      </c>
    </row>
    <row r="1090">
      <c r="W1090" s="31">
        <f>IF(OR($B$5="",$C$6="",ROW()&lt;$B$5),"",IF(INDEX($A:$U,ROW(),$C$6)="","",INDEX($A:$U,ROW(),$C$6)))</f>
        <v/>
      </c>
      <c r="X1090" s="32">
        <f>IF($W1090="","",IF(ISNUMBER($W1090),IF($W1090&gt;=10000000,IFERROR(DATE(INT($W1090/10000),MOD(INT($W1090/100),100),MOD($W1090,100)),""),INT($W1090)),IFERROR(DATE(--LEFT(LEFT(SUBSTITUTE(SUBSTITUTE(SUBSTITUTE(SUBSTITUTE(TRIM($W1090),"-",""),".",""),"/","")," ",""),8),4),--MID(LEFT(SUBSTITUTE(SUBSTITUTE(SUBSTITUTE(SUBSTITUTE(TRIM($W1090),"-",""),".",""),"/","")," ",""),8),5,2),--MID(LEFT(SUBSTITUTE(SUBSTITUTE(SUBSTITUTE(SUBSTITUTE(TRIM($W1090),"-",""),".",""),"/","")," ",""),8),7,2)),"")))</f>
        <v/>
      </c>
      <c r="Y1090" s="32">
        <f>IF($X1090="","",INT($X1090))</f>
        <v/>
      </c>
      <c r="Z1090" s="33">
        <f>IF(OR($Y1090="",$D$6=""),"",IF(INDEX($A:$U,ROW(),$D$6)="",0,IF(ISNUMBER(INDEX($A:$U,ROW(),$D$6)),INDEX($A:$U,ROW(),$D$6),IFERROR(--SUBSTITUTE(SUBSTITUTE(TRIM(INDEX($A:$U,ROW(),$D$6)),",",""),"원",""),0))))</f>
        <v/>
      </c>
      <c r="AA1090" s="31">
        <f>IF($Y1090="","",TRIM(INDEX($A:$U,ROW(),$E$6)&amp;IF($F$6="",""," "&amp;INDEX($A:$U,ROW(),$F$6))))</f>
        <v/>
      </c>
      <c r="AB1090" s="31">
        <f>IF($AA1090="","",SUBSTITUTE(SUBSTITUTE(SUBSTITUTE(SUBSTITUTE(SUBSTITUTE(SUBSTITUTE(SUBSTITUTE(SUBSTITUTE(SUBSTITUTE($AA1090," ",""),"　",""),"(주)",""),"（주）",""),"㈜",""),"주식회사",""),"(유)",""),"（유）",""),"유한회사",""))</f>
        <v/>
      </c>
      <c r="AC1090" s="31">
        <f>IF(OR($Y1090="",N($Z1090)&lt;=0,$AB1090=""),0,IFERROR(LOOKUP(2,1/((거래처별!$AC$8:$AC$307&lt;&gt;"")*ISNUMBER(SEARCH(거래처별!$AC$8:$AC$307,$AB1090))),거래처별!$A$8:$A$307),IFERROR(LOOKUP(2,1/((거래처별!$AD$8:$AD$307&lt;&gt;"")*ISNUMBER(SEARCH(거래처별!$AD$8:$AD$307,$AB1090))),거래처별!$A$8:$A$307),IFERROR(LOOKUP(2,1/((거래처별!$AE$8:$AE$307&lt;&gt;"")*ISNUMBER(SEARCH(거래처별!$AE$8:$AE$307,$AB1090))),거래처별!$A$8:$A$307),0))))</f>
        <v/>
      </c>
      <c r="AD1090" s="31">
        <f>IF(AND($Y1090&lt;&gt;"",N($Z1090)&gt;0,$AC1090=0),MAX($AD$7:$AD1089)+1,"")</f>
        <v/>
      </c>
      <c r="AE1090" s="31">
        <f>IF($Y1090="",0,$Y1090)</f>
        <v/>
      </c>
    </row>
    <row r="1091">
      <c r="W1091" s="31">
        <f>IF(OR($B$5="",$C$6="",ROW()&lt;$B$5),"",IF(INDEX($A:$U,ROW(),$C$6)="","",INDEX($A:$U,ROW(),$C$6)))</f>
        <v/>
      </c>
      <c r="X1091" s="32">
        <f>IF($W1091="","",IF(ISNUMBER($W1091),IF($W1091&gt;=10000000,IFERROR(DATE(INT($W1091/10000),MOD(INT($W1091/100),100),MOD($W1091,100)),""),INT($W1091)),IFERROR(DATE(--LEFT(LEFT(SUBSTITUTE(SUBSTITUTE(SUBSTITUTE(SUBSTITUTE(TRIM($W1091),"-",""),".",""),"/","")," ",""),8),4),--MID(LEFT(SUBSTITUTE(SUBSTITUTE(SUBSTITUTE(SUBSTITUTE(TRIM($W1091),"-",""),".",""),"/","")," ",""),8),5,2),--MID(LEFT(SUBSTITUTE(SUBSTITUTE(SUBSTITUTE(SUBSTITUTE(TRIM($W1091),"-",""),".",""),"/","")," ",""),8),7,2)),"")))</f>
        <v/>
      </c>
      <c r="Y1091" s="32">
        <f>IF($X1091="","",INT($X1091))</f>
        <v/>
      </c>
      <c r="Z1091" s="33">
        <f>IF(OR($Y1091="",$D$6=""),"",IF(INDEX($A:$U,ROW(),$D$6)="",0,IF(ISNUMBER(INDEX($A:$U,ROW(),$D$6)),INDEX($A:$U,ROW(),$D$6),IFERROR(--SUBSTITUTE(SUBSTITUTE(TRIM(INDEX($A:$U,ROW(),$D$6)),",",""),"원",""),0))))</f>
        <v/>
      </c>
      <c r="AA1091" s="31">
        <f>IF($Y1091="","",TRIM(INDEX($A:$U,ROW(),$E$6)&amp;IF($F$6="",""," "&amp;INDEX($A:$U,ROW(),$F$6))))</f>
        <v/>
      </c>
      <c r="AB1091" s="31">
        <f>IF($AA1091="","",SUBSTITUTE(SUBSTITUTE(SUBSTITUTE(SUBSTITUTE(SUBSTITUTE(SUBSTITUTE(SUBSTITUTE(SUBSTITUTE(SUBSTITUTE($AA1091," ",""),"　",""),"(주)",""),"（주）",""),"㈜",""),"주식회사",""),"(유)",""),"（유）",""),"유한회사",""))</f>
        <v/>
      </c>
      <c r="AC1091" s="31">
        <f>IF(OR($Y1091="",N($Z1091)&lt;=0,$AB1091=""),0,IFERROR(LOOKUP(2,1/((거래처별!$AC$8:$AC$307&lt;&gt;"")*ISNUMBER(SEARCH(거래처별!$AC$8:$AC$307,$AB1091))),거래처별!$A$8:$A$307),IFERROR(LOOKUP(2,1/((거래처별!$AD$8:$AD$307&lt;&gt;"")*ISNUMBER(SEARCH(거래처별!$AD$8:$AD$307,$AB1091))),거래처별!$A$8:$A$307),IFERROR(LOOKUP(2,1/((거래처별!$AE$8:$AE$307&lt;&gt;"")*ISNUMBER(SEARCH(거래처별!$AE$8:$AE$307,$AB1091))),거래처별!$A$8:$A$307),0))))</f>
        <v/>
      </c>
      <c r="AD1091" s="31">
        <f>IF(AND($Y1091&lt;&gt;"",N($Z1091)&gt;0,$AC1091=0),MAX($AD$7:$AD1090)+1,"")</f>
        <v/>
      </c>
      <c r="AE1091" s="31">
        <f>IF($Y1091="",0,$Y1091)</f>
        <v/>
      </c>
    </row>
    <row r="1092">
      <c r="W1092" s="31">
        <f>IF(OR($B$5="",$C$6="",ROW()&lt;$B$5),"",IF(INDEX($A:$U,ROW(),$C$6)="","",INDEX($A:$U,ROW(),$C$6)))</f>
        <v/>
      </c>
      <c r="X1092" s="32">
        <f>IF($W1092="","",IF(ISNUMBER($W1092),IF($W1092&gt;=10000000,IFERROR(DATE(INT($W1092/10000),MOD(INT($W1092/100),100),MOD($W1092,100)),""),INT($W1092)),IFERROR(DATE(--LEFT(LEFT(SUBSTITUTE(SUBSTITUTE(SUBSTITUTE(SUBSTITUTE(TRIM($W1092),"-",""),".",""),"/","")," ",""),8),4),--MID(LEFT(SUBSTITUTE(SUBSTITUTE(SUBSTITUTE(SUBSTITUTE(TRIM($W1092),"-",""),".",""),"/","")," ",""),8),5,2),--MID(LEFT(SUBSTITUTE(SUBSTITUTE(SUBSTITUTE(SUBSTITUTE(TRIM($W1092),"-",""),".",""),"/","")," ",""),8),7,2)),"")))</f>
        <v/>
      </c>
      <c r="Y1092" s="32">
        <f>IF($X1092="","",INT($X1092))</f>
        <v/>
      </c>
      <c r="Z1092" s="33">
        <f>IF(OR($Y1092="",$D$6=""),"",IF(INDEX($A:$U,ROW(),$D$6)="",0,IF(ISNUMBER(INDEX($A:$U,ROW(),$D$6)),INDEX($A:$U,ROW(),$D$6),IFERROR(--SUBSTITUTE(SUBSTITUTE(TRIM(INDEX($A:$U,ROW(),$D$6)),",",""),"원",""),0))))</f>
        <v/>
      </c>
      <c r="AA1092" s="31">
        <f>IF($Y1092="","",TRIM(INDEX($A:$U,ROW(),$E$6)&amp;IF($F$6="",""," "&amp;INDEX($A:$U,ROW(),$F$6))))</f>
        <v/>
      </c>
      <c r="AB1092" s="31">
        <f>IF($AA1092="","",SUBSTITUTE(SUBSTITUTE(SUBSTITUTE(SUBSTITUTE(SUBSTITUTE(SUBSTITUTE(SUBSTITUTE(SUBSTITUTE(SUBSTITUTE($AA1092," ",""),"　",""),"(주)",""),"（주）",""),"㈜",""),"주식회사",""),"(유)",""),"（유）",""),"유한회사",""))</f>
        <v/>
      </c>
      <c r="AC1092" s="31">
        <f>IF(OR($Y1092="",N($Z1092)&lt;=0,$AB1092=""),0,IFERROR(LOOKUP(2,1/((거래처별!$AC$8:$AC$307&lt;&gt;"")*ISNUMBER(SEARCH(거래처별!$AC$8:$AC$307,$AB1092))),거래처별!$A$8:$A$307),IFERROR(LOOKUP(2,1/((거래처별!$AD$8:$AD$307&lt;&gt;"")*ISNUMBER(SEARCH(거래처별!$AD$8:$AD$307,$AB1092))),거래처별!$A$8:$A$307),IFERROR(LOOKUP(2,1/((거래처별!$AE$8:$AE$307&lt;&gt;"")*ISNUMBER(SEARCH(거래처별!$AE$8:$AE$307,$AB1092))),거래처별!$A$8:$A$307),0))))</f>
        <v/>
      </c>
      <c r="AD1092" s="31">
        <f>IF(AND($Y1092&lt;&gt;"",N($Z1092)&gt;0,$AC1092=0),MAX($AD$7:$AD1091)+1,"")</f>
        <v/>
      </c>
      <c r="AE1092" s="31">
        <f>IF($Y1092="",0,$Y1092)</f>
        <v/>
      </c>
    </row>
    <row r="1093">
      <c r="W1093" s="31">
        <f>IF(OR($B$5="",$C$6="",ROW()&lt;$B$5),"",IF(INDEX($A:$U,ROW(),$C$6)="","",INDEX($A:$U,ROW(),$C$6)))</f>
        <v/>
      </c>
      <c r="X1093" s="32">
        <f>IF($W1093="","",IF(ISNUMBER($W1093),IF($W1093&gt;=10000000,IFERROR(DATE(INT($W1093/10000),MOD(INT($W1093/100),100),MOD($W1093,100)),""),INT($W1093)),IFERROR(DATE(--LEFT(LEFT(SUBSTITUTE(SUBSTITUTE(SUBSTITUTE(SUBSTITUTE(TRIM($W1093),"-",""),".",""),"/","")," ",""),8),4),--MID(LEFT(SUBSTITUTE(SUBSTITUTE(SUBSTITUTE(SUBSTITUTE(TRIM($W1093),"-",""),".",""),"/","")," ",""),8),5,2),--MID(LEFT(SUBSTITUTE(SUBSTITUTE(SUBSTITUTE(SUBSTITUTE(TRIM($W1093),"-",""),".",""),"/","")," ",""),8),7,2)),"")))</f>
        <v/>
      </c>
      <c r="Y1093" s="32">
        <f>IF($X1093="","",INT($X1093))</f>
        <v/>
      </c>
      <c r="Z1093" s="33">
        <f>IF(OR($Y1093="",$D$6=""),"",IF(INDEX($A:$U,ROW(),$D$6)="",0,IF(ISNUMBER(INDEX($A:$U,ROW(),$D$6)),INDEX($A:$U,ROW(),$D$6),IFERROR(--SUBSTITUTE(SUBSTITUTE(TRIM(INDEX($A:$U,ROW(),$D$6)),",",""),"원",""),0))))</f>
        <v/>
      </c>
      <c r="AA1093" s="31">
        <f>IF($Y1093="","",TRIM(INDEX($A:$U,ROW(),$E$6)&amp;IF($F$6="",""," "&amp;INDEX($A:$U,ROW(),$F$6))))</f>
        <v/>
      </c>
      <c r="AB1093" s="31">
        <f>IF($AA1093="","",SUBSTITUTE(SUBSTITUTE(SUBSTITUTE(SUBSTITUTE(SUBSTITUTE(SUBSTITUTE(SUBSTITUTE(SUBSTITUTE(SUBSTITUTE($AA1093," ",""),"　",""),"(주)",""),"（주）",""),"㈜",""),"주식회사",""),"(유)",""),"（유）",""),"유한회사",""))</f>
        <v/>
      </c>
      <c r="AC1093" s="31">
        <f>IF(OR($Y1093="",N($Z1093)&lt;=0,$AB1093=""),0,IFERROR(LOOKUP(2,1/((거래처별!$AC$8:$AC$307&lt;&gt;"")*ISNUMBER(SEARCH(거래처별!$AC$8:$AC$307,$AB1093))),거래처별!$A$8:$A$307),IFERROR(LOOKUP(2,1/((거래처별!$AD$8:$AD$307&lt;&gt;"")*ISNUMBER(SEARCH(거래처별!$AD$8:$AD$307,$AB1093))),거래처별!$A$8:$A$307),IFERROR(LOOKUP(2,1/((거래처별!$AE$8:$AE$307&lt;&gt;"")*ISNUMBER(SEARCH(거래처별!$AE$8:$AE$307,$AB1093))),거래처별!$A$8:$A$307),0))))</f>
        <v/>
      </c>
      <c r="AD1093" s="31">
        <f>IF(AND($Y1093&lt;&gt;"",N($Z1093)&gt;0,$AC1093=0),MAX($AD$7:$AD1092)+1,"")</f>
        <v/>
      </c>
      <c r="AE1093" s="31">
        <f>IF($Y1093="",0,$Y1093)</f>
        <v/>
      </c>
    </row>
    <row r="1094">
      <c r="W1094" s="31">
        <f>IF(OR($B$5="",$C$6="",ROW()&lt;$B$5),"",IF(INDEX($A:$U,ROW(),$C$6)="","",INDEX($A:$U,ROW(),$C$6)))</f>
        <v/>
      </c>
      <c r="X1094" s="32">
        <f>IF($W1094="","",IF(ISNUMBER($W1094),IF($W1094&gt;=10000000,IFERROR(DATE(INT($W1094/10000),MOD(INT($W1094/100),100),MOD($W1094,100)),""),INT($W1094)),IFERROR(DATE(--LEFT(LEFT(SUBSTITUTE(SUBSTITUTE(SUBSTITUTE(SUBSTITUTE(TRIM($W1094),"-",""),".",""),"/","")," ",""),8),4),--MID(LEFT(SUBSTITUTE(SUBSTITUTE(SUBSTITUTE(SUBSTITUTE(TRIM($W1094),"-",""),".",""),"/","")," ",""),8),5,2),--MID(LEFT(SUBSTITUTE(SUBSTITUTE(SUBSTITUTE(SUBSTITUTE(TRIM($W1094),"-",""),".",""),"/","")," ",""),8),7,2)),"")))</f>
        <v/>
      </c>
      <c r="Y1094" s="32">
        <f>IF($X1094="","",INT($X1094))</f>
        <v/>
      </c>
      <c r="Z1094" s="33">
        <f>IF(OR($Y1094="",$D$6=""),"",IF(INDEX($A:$U,ROW(),$D$6)="",0,IF(ISNUMBER(INDEX($A:$U,ROW(),$D$6)),INDEX($A:$U,ROW(),$D$6),IFERROR(--SUBSTITUTE(SUBSTITUTE(TRIM(INDEX($A:$U,ROW(),$D$6)),",",""),"원",""),0))))</f>
        <v/>
      </c>
      <c r="AA1094" s="31">
        <f>IF($Y1094="","",TRIM(INDEX($A:$U,ROW(),$E$6)&amp;IF($F$6="",""," "&amp;INDEX($A:$U,ROW(),$F$6))))</f>
        <v/>
      </c>
      <c r="AB1094" s="31">
        <f>IF($AA1094="","",SUBSTITUTE(SUBSTITUTE(SUBSTITUTE(SUBSTITUTE(SUBSTITUTE(SUBSTITUTE(SUBSTITUTE(SUBSTITUTE(SUBSTITUTE($AA1094," ",""),"　",""),"(주)",""),"（주）",""),"㈜",""),"주식회사",""),"(유)",""),"（유）",""),"유한회사",""))</f>
        <v/>
      </c>
      <c r="AC1094" s="31">
        <f>IF(OR($Y1094="",N($Z1094)&lt;=0,$AB1094=""),0,IFERROR(LOOKUP(2,1/((거래처별!$AC$8:$AC$307&lt;&gt;"")*ISNUMBER(SEARCH(거래처별!$AC$8:$AC$307,$AB1094))),거래처별!$A$8:$A$307),IFERROR(LOOKUP(2,1/((거래처별!$AD$8:$AD$307&lt;&gt;"")*ISNUMBER(SEARCH(거래처별!$AD$8:$AD$307,$AB1094))),거래처별!$A$8:$A$307),IFERROR(LOOKUP(2,1/((거래처별!$AE$8:$AE$307&lt;&gt;"")*ISNUMBER(SEARCH(거래처별!$AE$8:$AE$307,$AB1094))),거래처별!$A$8:$A$307),0))))</f>
        <v/>
      </c>
      <c r="AD1094" s="31">
        <f>IF(AND($Y1094&lt;&gt;"",N($Z1094)&gt;0,$AC1094=0),MAX($AD$7:$AD1093)+1,"")</f>
        <v/>
      </c>
      <c r="AE1094" s="31">
        <f>IF($Y1094="",0,$Y1094)</f>
        <v/>
      </c>
    </row>
    <row r="1095">
      <c r="W1095" s="31">
        <f>IF(OR($B$5="",$C$6="",ROW()&lt;$B$5),"",IF(INDEX($A:$U,ROW(),$C$6)="","",INDEX($A:$U,ROW(),$C$6)))</f>
        <v/>
      </c>
      <c r="X1095" s="32">
        <f>IF($W1095="","",IF(ISNUMBER($W1095),IF($W1095&gt;=10000000,IFERROR(DATE(INT($W1095/10000),MOD(INT($W1095/100),100),MOD($W1095,100)),""),INT($W1095)),IFERROR(DATE(--LEFT(LEFT(SUBSTITUTE(SUBSTITUTE(SUBSTITUTE(SUBSTITUTE(TRIM($W1095),"-",""),".",""),"/","")," ",""),8),4),--MID(LEFT(SUBSTITUTE(SUBSTITUTE(SUBSTITUTE(SUBSTITUTE(TRIM($W1095),"-",""),".",""),"/","")," ",""),8),5,2),--MID(LEFT(SUBSTITUTE(SUBSTITUTE(SUBSTITUTE(SUBSTITUTE(TRIM($W1095),"-",""),".",""),"/","")," ",""),8),7,2)),"")))</f>
        <v/>
      </c>
      <c r="Y1095" s="32">
        <f>IF($X1095="","",INT($X1095))</f>
        <v/>
      </c>
      <c r="Z1095" s="33">
        <f>IF(OR($Y1095="",$D$6=""),"",IF(INDEX($A:$U,ROW(),$D$6)="",0,IF(ISNUMBER(INDEX($A:$U,ROW(),$D$6)),INDEX($A:$U,ROW(),$D$6),IFERROR(--SUBSTITUTE(SUBSTITUTE(TRIM(INDEX($A:$U,ROW(),$D$6)),",",""),"원",""),0))))</f>
        <v/>
      </c>
      <c r="AA1095" s="31">
        <f>IF($Y1095="","",TRIM(INDEX($A:$U,ROW(),$E$6)&amp;IF($F$6="",""," "&amp;INDEX($A:$U,ROW(),$F$6))))</f>
        <v/>
      </c>
      <c r="AB1095" s="31">
        <f>IF($AA1095="","",SUBSTITUTE(SUBSTITUTE(SUBSTITUTE(SUBSTITUTE(SUBSTITUTE(SUBSTITUTE(SUBSTITUTE(SUBSTITUTE(SUBSTITUTE($AA1095," ",""),"　",""),"(주)",""),"（주）",""),"㈜",""),"주식회사",""),"(유)",""),"（유）",""),"유한회사",""))</f>
        <v/>
      </c>
      <c r="AC1095" s="31">
        <f>IF(OR($Y1095="",N($Z1095)&lt;=0,$AB1095=""),0,IFERROR(LOOKUP(2,1/((거래처별!$AC$8:$AC$307&lt;&gt;"")*ISNUMBER(SEARCH(거래처별!$AC$8:$AC$307,$AB1095))),거래처별!$A$8:$A$307),IFERROR(LOOKUP(2,1/((거래처별!$AD$8:$AD$307&lt;&gt;"")*ISNUMBER(SEARCH(거래처별!$AD$8:$AD$307,$AB1095))),거래처별!$A$8:$A$307),IFERROR(LOOKUP(2,1/((거래처별!$AE$8:$AE$307&lt;&gt;"")*ISNUMBER(SEARCH(거래처별!$AE$8:$AE$307,$AB1095))),거래처별!$A$8:$A$307),0))))</f>
        <v/>
      </c>
      <c r="AD1095" s="31">
        <f>IF(AND($Y1095&lt;&gt;"",N($Z1095)&gt;0,$AC1095=0),MAX($AD$7:$AD1094)+1,"")</f>
        <v/>
      </c>
      <c r="AE1095" s="31">
        <f>IF($Y1095="",0,$Y1095)</f>
        <v/>
      </c>
    </row>
    <row r="1096">
      <c r="W1096" s="31">
        <f>IF(OR($B$5="",$C$6="",ROW()&lt;$B$5),"",IF(INDEX($A:$U,ROW(),$C$6)="","",INDEX($A:$U,ROW(),$C$6)))</f>
        <v/>
      </c>
      <c r="X1096" s="32">
        <f>IF($W1096="","",IF(ISNUMBER($W1096),IF($W1096&gt;=10000000,IFERROR(DATE(INT($W1096/10000),MOD(INT($W1096/100),100),MOD($W1096,100)),""),INT($W1096)),IFERROR(DATE(--LEFT(LEFT(SUBSTITUTE(SUBSTITUTE(SUBSTITUTE(SUBSTITUTE(TRIM($W1096),"-",""),".",""),"/","")," ",""),8),4),--MID(LEFT(SUBSTITUTE(SUBSTITUTE(SUBSTITUTE(SUBSTITUTE(TRIM($W1096),"-",""),".",""),"/","")," ",""),8),5,2),--MID(LEFT(SUBSTITUTE(SUBSTITUTE(SUBSTITUTE(SUBSTITUTE(TRIM($W1096),"-",""),".",""),"/","")," ",""),8),7,2)),"")))</f>
        <v/>
      </c>
      <c r="Y1096" s="32">
        <f>IF($X1096="","",INT($X1096))</f>
        <v/>
      </c>
      <c r="Z1096" s="33">
        <f>IF(OR($Y1096="",$D$6=""),"",IF(INDEX($A:$U,ROW(),$D$6)="",0,IF(ISNUMBER(INDEX($A:$U,ROW(),$D$6)),INDEX($A:$U,ROW(),$D$6),IFERROR(--SUBSTITUTE(SUBSTITUTE(TRIM(INDEX($A:$U,ROW(),$D$6)),",",""),"원",""),0))))</f>
        <v/>
      </c>
      <c r="AA1096" s="31">
        <f>IF($Y1096="","",TRIM(INDEX($A:$U,ROW(),$E$6)&amp;IF($F$6="",""," "&amp;INDEX($A:$U,ROW(),$F$6))))</f>
        <v/>
      </c>
      <c r="AB1096" s="31">
        <f>IF($AA1096="","",SUBSTITUTE(SUBSTITUTE(SUBSTITUTE(SUBSTITUTE(SUBSTITUTE(SUBSTITUTE(SUBSTITUTE(SUBSTITUTE(SUBSTITUTE($AA1096," ",""),"　",""),"(주)",""),"（주）",""),"㈜",""),"주식회사",""),"(유)",""),"（유）",""),"유한회사",""))</f>
        <v/>
      </c>
      <c r="AC1096" s="31">
        <f>IF(OR($Y1096="",N($Z1096)&lt;=0,$AB1096=""),0,IFERROR(LOOKUP(2,1/((거래처별!$AC$8:$AC$307&lt;&gt;"")*ISNUMBER(SEARCH(거래처별!$AC$8:$AC$307,$AB1096))),거래처별!$A$8:$A$307),IFERROR(LOOKUP(2,1/((거래처별!$AD$8:$AD$307&lt;&gt;"")*ISNUMBER(SEARCH(거래처별!$AD$8:$AD$307,$AB1096))),거래처별!$A$8:$A$307),IFERROR(LOOKUP(2,1/((거래처별!$AE$8:$AE$307&lt;&gt;"")*ISNUMBER(SEARCH(거래처별!$AE$8:$AE$307,$AB1096))),거래처별!$A$8:$A$307),0))))</f>
        <v/>
      </c>
      <c r="AD1096" s="31">
        <f>IF(AND($Y1096&lt;&gt;"",N($Z1096)&gt;0,$AC1096=0),MAX($AD$7:$AD1095)+1,"")</f>
        <v/>
      </c>
      <c r="AE1096" s="31">
        <f>IF($Y1096="",0,$Y1096)</f>
        <v/>
      </c>
    </row>
    <row r="1097">
      <c r="W1097" s="31">
        <f>IF(OR($B$5="",$C$6="",ROW()&lt;$B$5),"",IF(INDEX($A:$U,ROW(),$C$6)="","",INDEX($A:$U,ROW(),$C$6)))</f>
        <v/>
      </c>
      <c r="X1097" s="32">
        <f>IF($W1097="","",IF(ISNUMBER($W1097),IF($W1097&gt;=10000000,IFERROR(DATE(INT($W1097/10000),MOD(INT($W1097/100),100),MOD($W1097,100)),""),INT($W1097)),IFERROR(DATE(--LEFT(LEFT(SUBSTITUTE(SUBSTITUTE(SUBSTITUTE(SUBSTITUTE(TRIM($W1097),"-",""),".",""),"/","")," ",""),8),4),--MID(LEFT(SUBSTITUTE(SUBSTITUTE(SUBSTITUTE(SUBSTITUTE(TRIM($W1097),"-",""),".",""),"/","")," ",""),8),5,2),--MID(LEFT(SUBSTITUTE(SUBSTITUTE(SUBSTITUTE(SUBSTITUTE(TRIM($W1097),"-",""),".",""),"/","")," ",""),8),7,2)),"")))</f>
        <v/>
      </c>
      <c r="Y1097" s="32">
        <f>IF($X1097="","",INT($X1097))</f>
        <v/>
      </c>
      <c r="Z1097" s="33">
        <f>IF(OR($Y1097="",$D$6=""),"",IF(INDEX($A:$U,ROW(),$D$6)="",0,IF(ISNUMBER(INDEX($A:$U,ROW(),$D$6)),INDEX($A:$U,ROW(),$D$6),IFERROR(--SUBSTITUTE(SUBSTITUTE(TRIM(INDEX($A:$U,ROW(),$D$6)),",",""),"원",""),0))))</f>
        <v/>
      </c>
      <c r="AA1097" s="31">
        <f>IF($Y1097="","",TRIM(INDEX($A:$U,ROW(),$E$6)&amp;IF($F$6="",""," "&amp;INDEX($A:$U,ROW(),$F$6))))</f>
        <v/>
      </c>
      <c r="AB1097" s="31">
        <f>IF($AA1097="","",SUBSTITUTE(SUBSTITUTE(SUBSTITUTE(SUBSTITUTE(SUBSTITUTE(SUBSTITUTE(SUBSTITUTE(SUBSTITUTE(SUBSTITUTE($AA1097," ",""),"　",""),"(주)",""),"（주）",""),"㈜",""),"주식회사",""),"(유)",""),"（유）",""),"유한회사",""))</f>
        <v/>
      </c>
      <c r="AC1097" s="31">
        <f>IF(OR($Y1097="",N($Z1097)&lt;=0,$AB1097=""),0,IFERROR(LOOKUP(2,1/((거래처별!$AC$8:$AC$307&lt;&gt;"")*ISNUMBER(SEARCH(거래처별!$AC$8:$AC$307,$AB1097))),거래처별!$A$8:$A$307),IFERROR(LOOKUP(2,1/((거래처별!$AD$8:$AD$307&lt;&gt;"")*ISNUMBER(SEARCH(거래처별!$AD$8:$AD$307,$AB1097))),거래처별!$A$8:$A$307),IFERROR(LOOKUP(2,1/((거래처별!$AE$8:$AE$307&lt;&gt;"")*ISNUMBER(SEARCH(거래처별!$AE$8:$AE$307,$AB1097))),거래처별!$A$8:$A$307),0))))</f>
        <v/>
      </c>
      <c r="AD1097" s="31">
        <f>IF(AND($Y1097&lt;&gt;"",N($Z1097)&gt;0,$AC1097=0),MAX($AD$7:$AD1096)+1,"")</f>
        <v/>
      </c>
      <c r="AE1097" s="31">
        <f>IF($Y1097="",0,$Y1097)</f>
        <v/>
      </c>
    </row>
    <row r="1098">
      <c r="W1098" s="31">
        <f>IF(OR($B$5="",$C$6="",ROW()&lt;$B$5),"",IF(INDEX($A:$U,ROW(),$C$6)="","",INDEX($A:$U,ROW(),$C$6)))</f>
        <v/>
      </c>
      <c r="X1098" s="32">
        <f>IF($W1098="","",IF(ISNUMBER($W1098),IF($W1098&gt;=10000000,IFERROR(DATE(INT($W1098/10000),MOD(INT($W1098/100),100),MOD($W1098,100)),""),INT($W1098)),IFERROR(DATE(--LEFT(LEFT(SUBSTITUTE(SUBSTITUTE(SUBSTITUTE(SUBSTITUTE(TRIM($W1098),"-",""),".",""),"/","")," ",""),8),4),--MID(LEFT(SUBSTITUTE(SUBSTITUTE(SUBSTITUTE(SUBSTITUTE(TRIM($W1098),"-",""),".",""),"/","")," ",""),8),5,2),--MID(LEFT(SUBSTITUTE(SUBSTITUTE(SUBSTITUTE(SUBSTITUTE(TRIM($W1098),"-",""),".",""),"/","")," ",""),8),7,2)),"")))</f>
        <v/>
      </c>
      <c r="Y1098" s="32">
        <f>IF($X1098="","",INT($X1098))</f>
        <v/>
      </c>
      <c r="Z1098" s="33">
        <f>IF(OR($Y1098="",$D$6=""),"",IF(INDEX($A:$U,ROW(),$D$6)="",0,IF(ISNUMBER(INDEX($A:$U,ROW(),$D$6)),INDEX($A:$U,ROW(),$D$6),IFERROR(--SUBSTITUTE(SUBSTITUTE(TRIM(INDEX($A:$U,ROW(),$D$6)),",",""),"원",""),0))))</f>
        <v/>
      </c>
      <c r="AA1098" s="31">
        <f>IF($Y1098="","",TRIM(INDEX($A:$U,ROW(),$E$6)&amp;IF($F$6="",""," "&amp;INDEX($A:$U,ROW(),$F$6))))</f>
        <v/>
      </c>
      <c r="AB1098" s="31">
        <f>IF($AA1098="","",SUBSTITUTE(SUBSTITUTE(SUBSTITUTE(SUBSTITUTE(SUBSTITUTE(SUBSTITUTE(SUBSTITUTE(SUBSTITUTE(SUBSTITUTE($AA1098," ",""),"　",""),"(주)",""),"（주）",""),"㈜",""),"주식회사",""),"(유)",""),"（유）",""),"유한회사",""))</f>
        <v/>
      </c>
      <c r="AC1098" s="31">
        <f>IF(OR($Y1098="",N($Z1098)&lt;=0,$AB1098=""),0,IFERROR(LOOKUP(2,1/((거래처별!$AC$8:$AC$307&lt;&gt;"")*ISNUMBER(SEARCH(거래처별!$AC$8:$AC$307,$AB1098))),거래처별!$A$8:$A$307),IFERROR(LOOKUP(2,1/((거래처별!$AD$8:$AD$307&lt;&gt;"")*ISNUMBER(SEARCH(거래처별!$AD$8:$AD$307,$AB1098))),거래처별!$A$8:$A$307),IFERROR(LOOKUP(2,1/((거래처별!$AE$8:$AE$307&lt;&gt;"")*ISNUMBER(SEARCH(거래처별!$AE$8:$AE$307,$AB1098))),거래처별!$A$8:$A$307),0))))</f>
        <v/>
      </c>
      <c r="AD1098" s="31">
        <f>IF(AND($Y1098&lt;&gt;"",N($Z1098)&gt;0,$AC1098=0),MAX($AD$7:$AD1097)+1,"")</f>
        <v/>
      </c>
      <c r="AE1098" s="31">
        <f>IF($Y1098="",0,$Y1098)</f>
        <v/>
      </c>
    </row>
    <row r="1099">
      <c r="W1099" s="31">
        <f>IF(OR($B$5="",$C$6="",ROW()&lt;$B$5),"",IF(INDEX($A:$U,ROW(),$C$6)="","",INDEX($A:$U,ROW(),$C$6)))</f>
        <v/>
      </c>
      <c r="X1099" s="32">
        <f>IF($W1099="","",IF(ISNUMBER($W1099),IF($W1099&gt;=10000000,IFERROR(DATE(INT($W1099/10000),MOD(INT($W1099/100),100),MOD($W1099,100)),""),INT($W1099)),IFERROR(DATE(--LEFT(LEFT(SUBSTITUTE(SUBSTITUTE(SUBSTITUTE(SUBSTITUTE(TRIM($W1099),"-",""),".",""),"/","")," ",""),8),4),--MID(LEFT(SUBSTITUTE(SUBSTITUTE(SUBSTITUTE(SUBSTITUTE(TRIM($W1099),"-",""),".",""),"/","")," ",""),8),5,2),--MID(LEFT(SUBSTITUTE(SUBSTITUTE(SUBSTITUTE(SUBSTITUTE(TRIM($W1099),"-",""),".",""),"/","")," ",""),8),7,2)),"")))</f>
        <v/>
      </c>
      <c r="Y1099" s="32">
        <f>IF($X1099="","",INT($X1099))</f>
        <v/>
      </c>
      <c r="Z1099" s="33">
        <f>IF(OR($Y1099="",$D$6=""),"",IF(INDEX($A:$U,ROW(),$D$6)="",0,IF(ISNUMBER(INDEX($A:$U,ROW(),$D$6)),INDEX($A:$U,ROW(),$D$6),IFERROR(--SUBSTITUTE(SUBSTITUTE(TRIM(INDEX($A:$U,ROW(),$D$6)),",",""),"원",""),0))))</f>
        <v/>
      </c>
      <c r="AA1099" s="31">
        <f>IF($Y1099="","",TRIM(INDEX($A:$U,ROW(),$E$6)&amp;IF($F$6="",""," "&amp;INDEX($A:$U,ROW(),$F$6))))</f>
        <v/>
      </c>
      <c r="AB1099" s="31">
        <f>IF($AA1099="","",SUBSTITUTE(SUBSTITUTE(SUBSTITUTE(SUBSTITUTE(SUBSTITUTE(SUBSTITUTE(SUBSTITUTE(SUBSTITUTE(SUBSTITUTE($AA1099," ",""),"　",""),"(주)",""),"（주）",""),"㈜",""),"주식회사",""),"(유)",""),"（유）",""),"유한회사",""))</f>
        <v/>
      </c>
      <c r="AC1099" s="31">
        <f>IF(OR($Y1099="",N($Z1099)&lt;=0,$AB1099=""),0,IFERROR(LOOKUP(2,1/((거래처별!$AC$8:$AC$307&lt;&gt;"")*ISNUMBER(SEARCH(거래처별!$AC$8:$AC$307,$AB1099))),거래처별!$A$8:$A$307),IFERROR(LOOKUP(2,1/((거래처별!$AD$8:$AD$307&lt;&gt;"")*ISNUMBER(SEARCH(거래처별!$AD$8:$AD$307,$AB1099))),거래처별!$A$8:$A$307),IFERROR(LOOKUP(2,1/((거래처별!$AE$8:$AE$307&lt;&gt;"")*ISNUMBER(SEARCH(거래처별!$AE$8:$AE$307,$AB1099))),거래처별!$A$8:$A$307),0))))</f>
        <v/>
      </c>
      <c r="AD1099" s="31">
        <f>IF(AND($Y1099&lt;&gt;"",N($Z1099)&gt;0,$AC1099=0),MAX($AD$7:$AD1098)+1,"")</f>
        <v/>
      </c>
      <c r="AE1099" s="31">
        <f>IF($Y1099="",0,$Y1099)</f>
        <v/>
      </c>
    </row>
    <row r="1100">
      <c r="W1100" s="31">
        <f>IF(OR($B$5="",$C$6="",ROW()&lt;$B$5),"",IF(INDEX($A:$U,ROW(),$C$6)="","",INDEX($A:$U,ROW(),$C$6)))</f>
        <v/>
      </c>
      <c r="X1100" s="32">
        <f>IF($W1100="","",IF(ISNUMBER($W1100),IF($W1100&gt;=10000000,IFERROR(DATE(INT($W1100/10000),MOD(INT($W1100/100),100),MOD($W1100,100)),""),INT($W1100)),IFERROR(DATE(--LEFT(LEFT(SUBSTITUTE(SUBSTITUTE(SUBSTITUTE(SUBSTITUTE(TRIM($W1100),"-",""),".",""),"/","")," ",""),8),4),--MID(LEFT(SUBSTITUTE(SUBSTITUTE(SUBSTITUTE(SUBSTITUTE(TRIM($W1100),"-",""),".",""),"/","")," ",""),8),5,2),--MID(LEFT(SUBSTITUTE(SUBSTITUTE(SUBSTITUTE(SUBSTITUTE(TRIM($W1100),"-",""),".",""),"/","")," ",""),8),7,2)),"")))</f>
        <v/>
      </c>
      <c r="Y1100" s="32">
        <f>IF($X1100="","",INT($X1100))</f>
        <v/>
      </c>
      <c r="Z1100" s="33">
        <f>IF(OR($Y1100="",$D$6=""),"",IF(INDEX($A:$U,ROW(),$D$6)="",0,IF(ISNUMBER(INDEX($A:$U,ROW(),$D$6)),INDEX($A:$U,ROW(),$D$6),IFERROR(--SUBSTITUTE(SUBSTITUTE(TRIM(INDEX($A:$U,ROW(),$D$6)),",",""),"원",""),0))))</f>
        <v/>
      </c>
      <c r="AA1100" s="31">
        <f>IF($Y1100="","",TRIM(INDEX($A:$U,ROW(),$E$6)&amp;IF($F$6="",""," "&amp;INDEX($A:$U,ROW(),$F$6))))</f>
        <v/>
      </c>
      <c r="AB1100" s="31">
        <f>IF($AA1100="","",SUBSTITUTE(SUBSTITUTE(SUBSTITUTE(SUBSTITUTE(SUBSTITUTE(SUBSTITUTE(SUBSTITUTE(SUBSTITUTE(SUBSTITUTE($AA1100," ",""),"　",""),"(주)",""),"（주）",""),"㈜",""),"주식회사",""),"(유)",""),"（유）",""),"유한회사",""))</f>
        <v/>
      </c>
      <c r="AC1100" s="31">
        <f>IF(OR($Y1100="",N($Z1100)&lt;=0,$AB1100=""),0,IFERROR(LOOKUP(2,1/((거래처별!$AC$8:$AC$307&lt;&gt;"")*ISNUMBER(SEARCH(거래처별!$AC$8:$AC$307,$AB1100))),거래처별!$A$8:$A$307),IFERROR(LOOKUP(2,1/((거래처별!$AD$8:$AD$307&lt;&gt;"")*ISNUMBER(SEARCH(거래처별!$AD$8:$AD$307,$AB1100))),거래처별!$A$8:$A$307),IFERROR(LOOKUP(2,1/((거래처별!$AE$8:$AE$307&lt;&gt;"")*ISNUMBER(SEARCH(거래처별!$AE$8:$AE$307,$AB1100))),거래처별!$A$8:$A$307),0))))</f>
        <v/>
      </c>
      <c r="AD1100" s="31">
        <f>IF(AND($Y1100&lt;&gt;"",N($Z1100)&gt;0,$AC1100=0),MAX($AD$7:$AD1099)+1,"")</f>
        <v/>
      </c>
      <c r="AE1100" s="31">
        <f>IF($Y1100="",0,$Y1100)</f>
        <v/>
      </c>
    </row>
    <row r="1101">
      <c r="W1101" s="31">
        <f>IF(OR($B$5="",$C$6="",ROW()&lt;$B$5),"",IF(INDEX($A:$U,ROW(),$C$6)="","",INDEX($A:$U,ROW(),$C$6)))</f>
        <v/>
      </c>
      <c r="X1101" s="32">
        <f>IF($W1101="","",IF(ISNUMBER($W1101),IF($W1101&gt;=10000000,IFERROR(DATE(INT($W1101/10000),MOD(INT($W1101/100),100),MOD($W1101,100)),""),INT($W1101)),IFERROR(DATE(--LEFT(LEFT(SUBSTITUTE(SUBSTITUTE(SUBSTITUTE(SUBSTITUTE(TRIM($W1101),"-",""),".",""),"/","")," ",""),8),4),--MID(LEFT(SUBSTITUTE(SUBSTITUTE(SUBSTITUTE(SUBSTITUTE(TRIM($W1101),"-",""),".",""),"/","")," ",""),8),5,2),--MID(LEFT(SUBSTITUTE(SUBSTITUTE(SUBSTITUTE(SUBSTITUTE(TRIM($W1101),"-",""),".",""),"/","")," ",""),8),7,2)),"")))</f>
        <v/>
      </c>
      <c r="Y1101" s="32">
        <f>IF($X1101="","",INT($X1101))</f>
        <v/>
      </c>
      <c r="Z1101" s="33">
        <f>IF(OR($Y1101="",$D$6=""),"",IF(INDEX($A:$U,ROW(),$D$6)="",0,IF(ISNUMBER(INDEX($A:$U,ROW(),$D$6)),INDEX($A:$U,ROW(),$D$6),IFERROR(--SUBSTITUTE(SUBSTITUTE(TRIM(INDEX($A:$U,ROW(),$D$6)),",",""),"원",""),0))))</f>
        <v/>
      </c>
      <c r="AA1101" s="31">
        <f>IF($Y1101="","",TRIM(INDEX($A:$U,ROW(),$E$6)&amp;IF($F$6="",""," "&amp;INDEX($A:$U,ROW(),$F$6))))</f>
        <v/>
      </c>
      <c r="AB1101" s="31">
        <f>IF($AA1101="","",SUBSTITUTE(SUBSTITUTE(SUBSTITUTE(SUBSTITUTE(SUBSTITUTE(SUBSTITUTE(SUBSTITUTE(SUBSTITUTE(SUBSTITUTE($AA1101," ",""),"　",""),"(주)",""),"（주）",""),"㈜",""),"주식회사",""),"(유)",""),"（유）",""),"유한회사",""))</f>
        <v/>
      </c>
      <c r="AC1101" s="31">
        <f>IF(OR($Y1101="",N($Z1101)&lt;=0,$AB1101=""),0,IFERROR(LOOKUP(2,1/((거래처별!$AC$8:$AC$307&lt;&gt;"")*ISNUMBER(SEARCH(거래처별!$AC$8:$AC$307,$AB1101))),거래처별!$A$8:$A$307),IFERROR(LOOKUP(2,1/((거래처별!$AD$8:$AD$307&lt;&gt;"")*ISNUMBER(SEARCH(거래처별!$AD$8:$AD$307,$AB1101))),거래처별!$A$8:$A$307),IFERROR(LOOKUP(2,1/((거래처별!$AE$8:$AE$307&lt;&gt;"")*ISNUMBER(SEARCH(거래처별!$AE$8:$AE$307,$AB1101))),거래처별!$A$8:$A$307),0))))</f>
        <v/>
      </c>
      <c r="AD1101" s="31">
        <f>IF(AND($Y1101&lt;&gt;"",N($Z1101)&gt;0,$AC1101=0),MAX($AD$7:$AD1100)+1,"")</f>
        <v/>
      </c>
      <c r="AE1101" s="31">
        <f>IF($Y1101="",0,$Y1101)</f>
        <v/>
      </c>
    </row>
    <row r="1102">
      <c r="W1102" s="31">
        <f>IF(OR($B$5="",$C$6="",ROW()&lt;$B$5),"",IF(INDEX($A:$U,ROW(),$C$6)="","",INDEX($A:$U,ROW(),$C$6)))</f>
        <v/>
      </c>
      <c r="X1102" s="32">
        <f>IF($W1102="","",IF(ISNUMBER($W1102),IF($W1102&gt;=10000000,IFERROR(DATE(INT($W1102/10000),MOD(INT($W1102/100),100),MOD($W1102,100)),""),INT($W1102)),IFERROR(DATE(--LEFT(LEFT(SUBSTITUTE(SUBSTITUTE(SUBSTITUTE(SUBSTITUTE(TRIM($W1102),"-",""),".",""),"/","")," ",""),8),4),--MID(LEFT(SUBSTITUTE(SUBSTITUTE(SUBSTITUTE(SUBSTITUTE(TRIM($W1102),"-",""),".",""),"/","")," ",""),8),5,2),--MID(LEFT(SUBSTITUTE(SUBSTITUTE(SUBSTITUTE(SUBSTITUTE(TRIM($W1102),"-",""),".",""),"/","")," ",""),8),7,2)),"")))</f>
        <v/>
      </c>
      <c r="Y1102" s="32">
        <f>IF($X1102="","",INT($X1102))</f>
        <v/>
      </c>
      <c r="Z1102" s="33">
        <f>IF(OR($Y1102="",$D$6=""),"",IF(INDEX($A:$U,ROW(),$D$6)="",0,IF(ISNUMBER(INDEX($A:$U,ROW(),$D$6)),INDEX($A:$U,ROW(),$D$6),IFERROR(--SUBSTITUTE(SUBSTITUTE(TRIM(INDEX($A:$U,ROW(),$D$6)),",",""),"원",""),0))))</f>
        <v/>
      </c>
      <c r="AA1102" s="31">
        <f>IF($Y1102="","",TRIM(INDEX($A:$U,ROW(),$E$6)&amp;IF($F$6="",""," "&amp;INDEX($A:$U,ROW(),$F$6))))</f>
        <v/>
      </c>
      <c r="AB1102" s="31">
        <f>IF($AA1102="","",SUBSTITUTE(SUBSTITUTE(SUBSTITUTE(SUBSTITUTE(SUBSTITUTE(SUBSTITUTE(SUBSTITUTE(SUBSTITUTE(SUBSTITUTE($AA1102," ",""),"　",""),"(주)",""),"（주）",""),"㈜",""),"주식회사",""),"(유)",""),"（유）",""),"유한회사",""))</f>
        <v/>
      </c>
      <c r="AC1102" s="31">
        <f>IF(OR($Y1102="",N($Z1102)&lt;=0,$AB1102=""),0,IFERROR(LOOKUP(2,1/((거래처별!$AC$8:$AC$307&lt;&gt;"")*ISNUMBER(SEARCH(거래처별!$AC$8:$AC$307,$AB1102))),거래처별!$A$8:$A$307),IFERROR(LOOKUP(2,1/((거래처별!$AD$8:$AD$307&lt;&gt;"")*ISNUMBER(SEARCH(거래처별!$AD$8:$AD$307,$AB1102))),거래처별!$A$8:$A$307),IFERROR(LOOKUP(2,1/((거래처별!$AE$8:$AE$307&lt;&gt;"")*ISNUMBER(SEARCH(거래처별!$AE$8:$AE$307,$AB1102))),거래처별!$A$8:$A$307),0))))</f>
        <v/>
      </c>
      <c r="AD1102" s="31">
        <f>IF(AND($Y1102&lt;&gt;"",N($Z1102)&gt;0,$AC1102=0),MAX($AD$7:$AD1101)+1,"")</f>
        <v/>
      </c>
      <c r="AE1102" s="31">
        <f>IF($Y1102="",0,$Y1102)</f>
        <v/>
      </c>
    </row>
    <row r="1103">
      <c r="W1103" s="31">
        <f>IF(OR($B$5="",$C$6="",ROW()&lt;$B$5),"",IF(INDEX($A:$U,ROW(),$C$6)="","",INDEX($A:$U,ROW(),$C$6)))</f>
        <v/>
      </c>
      <c r="X1103" s="32">
        <f>IF($W1103="","",IF(ISNUMBER($W1103),IF($W1103&gt;=10000000,IFERROR(DATE(INT($W1103/10000),MOD(INT($W1103/100),100),MOD($W1103,100)),""),INT($W1103)),IFERROR(DATE(--LEFT(LEFT(SUBSTITUTE(SUBSTITUTE(SUBSTITUTE(SUBSTITUTE(TRIM($W1103),"-",""),".",""),"/","")," ",""),8),4),--MID(LEFT(SUBSTITUTE(SUBSTITUTE(SUBSTITUTE(SUBSTITUTE(TRIM($W1103),"-",""),".",""),"/","")," ",""),8),5,2),--MID(LEFT(SUBSTITUTE(SUBSTITUTE(SUBSTITUTE(SUBSTITUTE(TRIM($W1103),"-",""),".",""),"/","")," ",""),8),7,2)),"")))</f>
        <v/>
      </c>
      <c r="Y1103" s="32">
        <f>IF($X1103="","",INT($X1103))</f>
        <v/>
      </c>
      <c r="Z1103" s="33">
        <f>IF(OR($Y1103="",$D$6=""),"",IF(INDEX($A:$U,ROW(),$D$6)="",0,IF(ISNUMBER(INDEX($A:$U,ROW(),$D$6)),INDEX($A:$U,ROW(),$D$6),IFERROR(--SUBSTITUTE(SUBSTITUTE(TRIM(INDEX($A:$U,ROW(),$D$6)),",",""),"원",""),0))))</f>
        <v/>
      </c>
      <c r="AA1103" s="31">
        <f>IF($Y1103="","",TRIM(INDEX($A:$U,ROW(),$E$6)&amp;IF($F$6="",""," "&amp;INDEX($A:$U,ROW(),$F$6))))</f>
        <v/>
      </c>
      <c r="AB1103" s="31">
        <f>IF($AA1103="","",SUBSTITUTE(SUBSTITUTE(SUBSTITUTE(SUBSTITUTE(SUBSTITUTE(SUBSTITUTE(SUBSTITUTE(SUBSTITUTE(SUBSTITUTE($AA1103," ",""),"　",""),"(주)",""),"（주）",""),"㈜",""),"주식회사",""),"(유)",""),"（유）",""),"유한회사",""))</f>
        <v/>
      </c>
      <c r="AC1103" s="31">
        <f>IF(OR($Y1103="",N($Z1103)&lt;=0,$AB1103=""),0,IFERROR(LOOKUP(2,1/((거래처별!$AC$8:$AC$307&lt;&gt;"")*ISNUMBER(SEARCH(거래처별!$AC$8:$AC$307,$AB1103))),거래처별!$A$8:$A$307),IFERROR(LOOKUP(2,1/((거래처별!$AD$8:$AD$307&lt;&gt;"")*ISNUMBER(SEARCH(거래처별!$AD$8:$AD$307,$AB1103))),거래처별!$A$8:$A$307),IFERROR(LOOKUP(2,1/((거래처별!$AE$8:$AE$307&lt;&gt;"")*ISNUMBER(SEARCH(거래처별!$AE$8:$AE$307,$AB1103))),거래처별!$A$8:$A$307),0))))</f>
        <v/>
      </c>
      <c r="AD1103" s="31">
        <f>IF(AND($Y1103&lt;&gt;"",N($Z1103)&gt;0,$AC1103=0),MAX($AD$7:$AD1102)+1,"")</f>
        <v/>
      </c>
      <c r="AE1103" s="31">
        <f>IF($Y1103="",0,$Y1103)</f>
        <v/>
      </c>
    </row>
    <row r="1104">
      <c r="W1104" s="31">
        <f>IF(OR($B$5="",$C$6="",ROW()&lt;$B$5),"",IF(INDEX($A:$U,ROW(),$C$6)="","",INDEX($A:$U,ROW(),$C$6)))</f>
        <v/>
      </c>
      <c r="X1104" s="32">
        <f>IF($W1104="","",IF(ISNUMBER($W1104),IF($W1104&gt;=10000000,IFERROR(DATE(INT($W1104/10000),MOD(INT($W1104/100),100),MOD($W1104,100)),""),INT($W1104)),IFERROR(DATE(--LEFT(LEFT(SUBSTITUTE(SUBSTITUTE(SUBSTITUTE(SUBSTITUTE(TRIM($W1104),"-",""),".",""),"/","")," ",""),8),4),--MID(LEFT(SUBSTITUTE(SUBSTITUTE(SUBSTITUTE(SUBSTITUTE(TRIM($W1104),"-",""),".",""),"/","")," ",""),8),5,2),--MID(LEFT(SUBSTITUTE(SUBSTITUTE(SUBSTITUTE(SUBSTITUTE(TRIM($W1104),"-",""),".",""),"/","")," ",""),8),7,2)),"")))</f>
        <v/>
      </c>
      <c r="Y1104" s="32">
        <f>IF($X1104="","",INT($X1104))</f>
        <v/>
      </c>
      <c r="Z1104" s="33">
        <f>IF(OR($Y1104="",$D$6=""),"",IF(INDEX($A:$U,ROW(),$D$6)="",0,IF(ISNUMBER(INDEX($A:$U,ROW(),$D$6)),INDEX($A:$U,ROW(),$D$6),IFERROR(--SUBSTITUTE(SUBSTITUTE(TRIM(INDEX($A:$U,ROW(),$D$6)),",",""),"원",""),0))))</f>
        <v/>
      </c>
      <c r="AA1104" s="31">
        <f>IF($Y1104="","",TRIM(INDEX($A:$U,ROW(),$E$6)&amp;IF($F$6="",""," "&amp;INDEX($A:$U,ROW(),$F$6))))</f>
        <v/>
      </c>
      <c r="AB1104" s="31">
        <f>IF($AA1104="","",SUBSTITUTE(SUBSTITUTE(SUBSTITUTE(SUBSTITUTE(SUBSTITUTE(SUBSTITUTE(SUBSTITUTE(SUBSTITUTE(SUBSTITUTE($AA1104," ",""),"　",""),"(주)",""),"（주）",""),"㈜",""),"주식회사",""),"(유)",""),"（유）",""),"유한회사",""))</f>
        <v/>
      </c>
      <c r="AC1104" s="31">
        <f>IF(OR($Y1104="",N($Z1104)&lt;=0,$AB1104=""),0,IFERROR(LOOKUP(2,1/((거래처별!$AC$8:$AC$307&lt;&gt;"")*ISNUMBER(SEARCH(거래처별!$AC$8:$AC$307,$AB1104))),거래처별!$A$8:$A$307),IFERROR(LOOKUP(2,1/((거래처별!$AD$8:$AD$307&lt;&gt;"")*ISNUMBER(SEARCH(거래처별!$AD$8:$AD$307,$AB1104))),거래처별!$A$8:$A$307),IFERROR(LOOKUP(2,1/((거래처별!$AE$8:$AE$307&lt;&gt;"")*ISNUMBER(SEARCH(거래처별!$AE$8:$AE$307,$AB1104))),거래처별!$A$8:$A$307),0))))</f>
        <v/>
      </c>
      <c r="AD1104" s="31">
        <f>IF(AND($Y1104&lt;&gt;"",N($Z1104)&gt;0,$AC1104=0),MAX($AD$7:$AD1103)+1,"")</f>
        <v/>
      </c>
      <c r="AE1104" s="31">
        <f>IF($Y1104="",0,$Y1104)</f>
        <v/>
      </c>
    </row>
    <row r="1105">
      <c r="W1105" s="31">
        <f>IF(OR($B$5="",$C$6="",ROW()&lt;$B$5),"",IF(INDEX($A:$U,ROW(),$C$6)="","",INDEX($A:$U,ROW(),$C$6)))</f>
        <v/>
      </c>
      <c r="X1105" s="32">
        <f>IF($W1105="","",IF(ISNUMBER($W1105),IF($W1105&gt;=10000000,IFERROR(DATE(INT($W1105/10000),MOD(INT($W1105/100),100),MOD($W1105,100)),""),INT($W1105)),IFERROR(DATE(--LEFT(LEFT(SUBSTITUTE(SUBSTITUTE(SUBSTITUTE(SUBSTITUTE(TRIM($W1105),"-",""),".",""),"/","")," ",""),8),4),--MID(LEFT(SUBSTITUTE(SUBSTITUTE(SUBSTITUTE(SUBSTITUTE(TRIM($W1105),"-",""),".",""),"/","")," ",""),8),5,2),--MID(LEFT(SUBSTITUTE(SUBSTITUTE(SUBSTITUTE(SUBSTITUTE(TRIM($W1105),"-",""),".",""),"/","")," ",""),8),7,2)),"")))</f>
        <v/>
      </c>
      <c r="Y1105" s="32">
        <f>IF($X1105="","",INT($X1105))</f>
        <v/>
      </c>
      <c r="Z1105" s="33">
        <f>IF(OR($Y1105="",$D$6=""),"",IF(INDEX($A:$U,ROW(),$D$6)="",0,IF(ISNUMBER(INDEX($A:$U,ROW(),$D$6)),INDEX($A:$U,ROW(),$D$6),IFERROR(--SUBSTITUTE(SUBSTITUTE(TRIM(INDEX($A:$U,ROW(),$D$6)),",",""),"원",""),0))))</f>
        <v/>
      </c>
      <c r="AA1105" s="31">
        <f>IF($Y1105="","",TRIM(INDEX($A:$U,ROW(),$E$6)&amp;IF($F$6="",""," "&amp;INDEX($A:$U,ROW(),$F$6))))</f>
        <v/>
      </c>
      <c r="AB1105" s="31">
        <f>IF($AA1105="","",SUBSTITUTE(SUBSTITUTE(SUBSTITUTE(SUBSTITUTE(SUBSTITUTE(SUBSTITUTE(SUBSTITUTE(SUBSTITUTE(SUBSTITUTE($AA1105," ",""),"　",""),"(주)",""),"（주）",""),"㈜",""),"주식회사",""),"(유)",""),"（유）",""),"유한회사",""))</f>
        <v/>
      </c>
      <c r="AC1105" s="31">
        <f>IF(OR($Y1105="",N($Z1105)&lt;=0,$AB1105=""),0,IFERROR(LOOKUP(2,1/((거래처별!$AC$8:$AC$307&lt;&gt;"")*ISNUMBER(SEARCH(거래처별!$AC$8:$AC$307,$AB1105))),거래처별!$A$8:$A$307),IFERROR(LOOKUP(2,1/((거래처별!$AD$8:$AD$307&lt;&gt;"")*ISNUMBER(SEARCH(거래처별!$AD$8:$AD$307,$AB1105))),거래처별!$A$8:$A$307),IFERROR(LOOKUP(2,1/((거래처별!$AE$8:$AE$307&lt;&gt;"")*ISNUMBER(SEARCH(거래처별!$AE$8:$AE$307,$AB1105))),거래처별!$A$8:$A$307),0))))</f>
        <v/>
      </c>
      <c r="AD1105" s="31">
        <f>IF(AND($Y1105&lt;&gt;"",N($Z1105)&gt;0,$AC1105=0),MAX($AD$7:$AD1104)+1,"")</f>
        <v/>
      </c>
      <c r="AE1105" s="31">
        <f>IF($Y1105="",0,$Y1105)</f>
        <v/>
      </c>
    </row>
    <row r="1106">
      <c r="W1106" s="31">
        <f>IF(OR($B$5="",$C$6="",ROW()&lt;$B$5),"",IF(INDEX($A:$U,ROW(),$C$6)="","",INDEX($A:$U,ROW(),$C$6)))</f>
        <v/>
      </c>
      <c r="X1106" s="32">
        <f>IF($W1106="","",IF(ISNUMBER($W1106),IF($W1106&gt;=10000000,IFERROR(DATE(INT($W1106/10000),MOD(INT($W1106/100),100),MOD($W1106,100)),""),INT($W1106)),IFERROR(DATE(--LEFT(LEFT(SUBSTITUTE(SUBSTITUTE(SUBSTITUTE(SUBSTITUTE(TRIM($W1106),"-",""),".",""),"/","")," ",""),8),4),--MID(LEFT(SUBSTITUTE(SUBSTITUTE(SUBSTITUTE(SUBSTITUTE(TRIM($W1106),"-",""),".",""),"/","")," ",""),8),5,2),--MID(LEFT(SUBSTITUTE(SUBSTITUTE(SUBSTITUTE(SUBSTITUTE(TRIM($W1106),"-",""),".",""),"/","")," ",""),8),7,2)),"")))</f>
        <v/>
      </c>
      <c r="Y1106" s="32">
        <f>IF($X1106="","",INT($X1106))</f>
        <v/>
      </c>
      <c r="Z1106" s="33">
        <f>IF(OR($Y1106="",$D$6=""),"",IF(INDEX($A:$U,ROW(),$D$6)="",0,IF(ISNUMBER(INDEX($A:$U,ROW(),$D$6)),INDEX($A:$U,ROW(),$D$6),IFERROR(--SUBSTITUTE(SUBSTITUTE(TRIM(INDEX($A:$U,ROW(),$D$6)),",",""),"원",""),0))))</f>
        <v/>
      </c>
      <c r="AA1106" s="31">
        <f>IF($Y1106="","",TRIM(INDEX($A:$U,ROW(),$E$6)&amp;IF($F$6="",""," "&amp;INDEX($A:$U,ROW(),$F$6))))</f>
        <v/>
      </c>
      <c r="AB1106" s="31">
        <f>IF($AA1106="","",SUBSTITUTE(SUBSTITUTE(SUBSTITUTE(SUBSTITUTE(SUBSTITUTE(SUBSTITUTE(SUBSTITUTE(SUBSTITUTE(SUBSTITUTE($AA1106," ",""),"　",""),"(주)",""),"（주）",""),"㈜",""),"주식회사",""),"(유)",""),"（유）",""),"유한회사",""))</f>
        <v/>
      </c>
      <c r="AC1106" s="31">
        <f>IF(OR($Y1106="",N($Z1106)&lt;=0,$AB1106=""),0,IFERROR(LOOKUP(2,1/((거래처별!$AC$8:$AC$307&lt;&gt;"")*ISNUMBER(SEARCH(거래처별!$AC$8:$AC$307,$AB1106))),거래처별!$A$8:$A$307),IFERROR(LOOKUP(2,1/((거래처별!$AD$8:$AD$307&lt;&gt;"")*ISNUMBER(SEARCH(거래처별!$AD$8:$AD$307,$AB1106))),거래처별!$A$8:$A$307),IFERROR(LOOKUP(2,1/((거래처별!$AE$8:$AE$307&lt;&gt;"")*ISNUMBER(SEARCH(거래처별!$AE$8:$AE$307,$AB1106))),거래처별!$A$8:$A$307),0))))</f>
        <v/>
      </c>
      <c r="AD1106" s="31">
        <f>IF(AND($Y1106&lt;&gt;"",N($Z1106)&gt;0,$AC1106=0),MAX($AD$7:$AD1105)+1,"")</f>
        <v/>
      </c>
      <c r="AE1106" s="31">
        <f>IF($Y1106="",0,$Y1106)</f>
        <v/>
      </c>
    </row>
    <row r="1107">
      <c r="W1107" s="31">
        <f>IF(OR($B$5="",$C$6="",ROW()&lt;$B$5),"",IF(INDEX($A:$U,ROW(),$C$6)="","",INDEX($A:$U,ROW(),$C$6)))</f>
        <v/>
      </c>
      <c r="X1107" s="32">
        <f>IF($W1107="","",IF(ISNUMBER($W1107),IF($W1107&gt;=10000000,IFERROR(DATE(INT($W1107/10000),MOD(INT($W1107/100),100),MOD($W1107,100)),""),INT($W1107)),IFERROR(DATE(--LEFT(LEFT(SUBSTITUTE(SUBSTITUTE(SUBSTITUTE(SUBSTITUTE(TRIM($W1107),"-",""),".",""),"/","")," ",""),8),4),--MID(LEFT(SUBSTITUTE(SUBSTITUTE(SUBSTITUTE(SUBSTITUTE(TRIM($W1107),"-",""),".",""),"/","")," ",""),8),5,2),--MID(LEFT(SUBSTITUTE(SUBSTITUTE(SUBSTITUTE(SUBSTITUTE(TRIM($W1107),"-",""),".",""),"/","")," ",""),8),7,2)),"")))</f>
        <v/>
      </c>
      <c r="Y1107" s="32">
        <f>IF($X1107="","",INT($X1107))</f>
        <v/>
      </c>
      <c r="Z1107" s="33">
        <f>IF(OR($Y1107="",$D$6=""),"",IF(INDEX($A:$U,ROW(),$D$6)="",0,IF(ISNUMBER(INDEX($A:$U,ROW(),$D$6)),INDEX($A:$U,ROW(),$D$6),IFERROR(--SUBSTITUTE(SUBSTITUTE(TRIM(INDEX($A:$U,ROW(),$D$6)),",",""),"원",""),0))))</f>
        <v/>
      </c>
      <c r="AA1107" s="31">
        <f>IF($Y1107="","",TRIM(INDEX($A:$U,ROW(),$E$6)&amp;IF($F$6="",""," "&amp;INDEX($A:$U,ROW(),$F$6))))</f>
        <v/>
      </c>
      <c r="AB1107" s="31">
        <f>IF($AA1107="","",SUBSTITUTE(SUBSTITUTE(SUBSTITUTE(SUBSTITUTE(SUBSTITUTE(SUBSTITUTE(SUBSTITUTE(SUBSTITUTE(SUBSTITUTE($AA1107," ",""),"　",""),"(주)",""),"（주）",""),"㈜",""),"주식회사",""),"(유)",""),"（유）",""),"유한회사",""))</f>
        <v/>
      </c>
      <c r="AC1107" s="31">
        <f>IF(OR($Y1107="",N($Z1107)&lt;=0,$AB1107=""),0,IFERROR(LOOKUP(2,1/((거래처별!$AC$8:$AC$307&lt;&gt;"")*ISNUMBER(SEARCH(거래처별!$AC$8:$AC$307,$AB1107))),거래처별!$A$8:$A$307),IFERROR(LOOKUP(2,1/((거래처별!$AD$8:$AD$307&lt;&gt;"")*ISNUMBER(SEARCH(거래처별!$AD$8:$AD$307,$AB1107))),거래처별!$A$8:$A$307),IFERROR(LOOKUP(2,1/((거래처별!$AE$8:$AE$307&lt;&gt;"")*ISNUMBER(SEARCH(거래처별!$AE$8:$AE$307,$AB1107))),거래처별!$A$8:$A$307),0))))</f>
        <v/>
      </c>
      <c r="AD1107" s="31">
        <f>IF(AND($Y1107&lt;&gt;"",N($Z1107)&gt;0,$AC1107=0),MAX($AD$7:$AD1106)+1,"")</f>
        <v/>
      </c>
      <c r="AE1107" s="31">
        <f>IF($Y1107="",0,$Y1107)</f>
        <v/>
      </c>
    </row>
    <row r="1108">
      <c r="W1108" s="31">
        <f>IF(OR($B$5="",$C$6="",ROW()&lt;$B$5),"",IF(INDEX($A:$U,ROW(),$C$6)="","",INDEX($A:$U,ROW(),$C$6)))</f>
        <v/>
      </c>
      <c r="X1108" s="32">
        <f>IF($W1108="","",IF(ISNUMBER($W1108),IF($W1108&gt;=10000000,IFERROR(DATE(INT($W1108/10000),MOD(INT($W1108/100),100),MOD($W1108,100)),""),INT($W1108)),IFERROR(DATE(--LEFT(LEFT(SUBSTITUTE(SUBSTITUTE(SUBSTITUTE(SUBSTITUTE(TRIM($W1108),"-",""),".",""),"/","")," ",""),8),4),--MID(LEFT(SUBSTITUTE(SUBSTITUTE(SUBSTITUTE(SUBSTITUTE(TRIM($W1108),"-",""),".",""),"/","")," ",""),8),5,2),--MID(LEFT(SUBSTITUTE(SUBSTITUTE(SUBSTITUTE(SUBSTITUTE(TRIM($W1108),"-",""),".",""),"/","")," ",""),8),7,2)),"")))</f>
        <v/>
      </c>
      <c r="Y1108" s="32">
        <f>IF($X1108="","",INT($X1108))</f>
        <v/>
      </c>
      <c r="Z1108" s="33">
        <f>IF(OR($Y1108="",$D$6=""),"",IF(INDEX($A:$U,ROW(),$D$6)="",0,IF(ISNUMBER(INDEX($A:$U,ROW(),$D$6)),INDEX($A:$U,ROW(),$D$6),IFERROR(--SUBSTITUTE(SUBSTITUTE(TRIM(INDEX($A:$U,ROW(),$D$6)),",",""),"원",""),0))))</f>
        <v/>
      </c>
      <c r="AA1108" s="31">
        <f>IF($Y1108="","",TRIM(INDEX($A:$U,ROW(),$E$6)&amp;IF($F$6="",""," "&amp;INDEX($A:$U,ROW(),$F$6))))</f>
        <v/>
      </c>
      <c r="AB1108" s="31">
        <f>IF($AA1108="","",SUBSTITUTE(SUBSTITUTE(SUBSTITUTE(SUBSTITUTE(SUBSTITUTE(SUBSTITUTE(SUBSTITUTE(SUBSTITUTE(SUBSTITUTE($AA1108," ",""),"　",""),"(주)",""),"（주）",""),"㈜",""),"주식회사",""),"(유)",""),"（유）",""),"유한회사",""))</f>
        <v/>
      </c>
      <c r="AC1108" s="31">
        <f>IF(OR($Y1108="",N($Z1108)&lt;=0,$AB1108=""),0,IFERROR(LOOKUP(2,1/((거래처별!$AC$8:$AC$307&lt;&gt;"")*ISNUMBER(SEARCH(거래처별!$AC$8:$AC$307,$AB1108))),거래처별!$A$8:$A$307),IFERROR(LOOKUP(2,1/((거래처별!$AD$8:$AD$307&lt;&gt;"")*ISNUMBER(SEARCH(거래처별!$AD$8:$AD$307,$AB1108))),거래처별!$A$8:$A$307),IFERROR(LOOKUP(2,1/((거래처별!$AE$8:$AE$307&lt;&gt;"")*ISNUMBER(SEARCH(거래처별!$AE$8:$AE$307,$AB1108))),거래처별!$A$8:$A$307),0))))</f>
        <v/>
      </c>
      <c r="AD1108" s="31">
        <f>IF(AND($Y1108&lt;&gt;"",N($Z1108)&gt;0,$AC1108=0),MAX($AD$7:$AD1107)+1,"")</f>
        <v/>
      </c>
      <c r="AE1108" s="31">
        <f>IF($Y1108="",0,$Y1108)</f>
        <v/>
      </c>
    </row>
    <row r="1109">
      <c r="W1109" s="31">
        <f>IF(OR($B$5="",$C$6="",ROW()&lt;$B$5),"",IF(INDEX($A:$U,ROW(),$C$6)="","",INDEX($A:$U,ROW(),$C$6)))</f>
        <v/>
      </c>
      <c r="X1109" s="32">
        <f>IF($W1109="","",IF(ISNUMBER($W1109),IF($W1109&gt;=10000000,IFERROR(DATE(INT($W1109/10000),MOD(INT($W1109/100),100),MOD($W1109,100)),""),INT($W1109)),IFERROR(DATE(--LEFT(LEFT(SUBSTITUTE(SUBSTITUTE(SUBSTITUTE(SUBSTITUTE(TRIM($W1109),"-",""),".",""),"/","")," ",""),8),4),--MID(LEFT(SUBSTITUTE(SUBSTITUTE(SUBSTITUTE(SUBSTITUTE(TRIM($W1109),"-",""),".",""),"/","")," ",""),8),5,2),--MID(LEFT(SUBSTITUTE(SUBSTITUTE(SUBSTITUTE(SUBSTITUTE(TRIM($W1109),"-",""),".",""),"/","")," ",""),8),7,2)),"")))</f>
        <v/>
      </c>
      <c r="Y1109" s="32">
        <f>IF($X1109="","",INT($X1109))</f>
        <v/>
      </c>
      <c r="Z1109" s="33">
        <f>IF(OR($Y1109="",$D$6=""),"",IF(INDEX($A:$U,ROW(),$D$6)="",0,IF(ISNUMBER(INDEX($A:$U,ROW(),$D$6)),INDEX($A:$U,ROW(),$D$6),IFERROR(--SUBSTITUTE(SUBSTITUTE(TRIM(INDEX($A:$U,ROW(),$D$6)),",",""),"원",""),0))))</f>
        <v/>
      </c>
      <c r="AA1109" s="31">
        <f>IF($Y1109="","",TRIM(INDEX($A:$U,ROW(),$E$6)&amp;IF($F$6="",""," "&amp;INDEX($A:$U,ROW(),$F$6))))</f>
        <v/>
      </c>
      <c r="AB1109" s="31">
        <f>IF($AA1109="","",SUBSTITUTE(SUBSTITUTE(SUBSTITUTE(SUBSTITUTE(SUBSTITUTE(SUBSTITUTE(SUBSTITUTE(SUBSTITUTE(SUBSTITUTE($AA1109," ",""),"　",""),"(주)",""),"（주）",""),"㈜",""),"주식회사",""),"(유)",""),"（유）",""),"유한회사",""))</f>
        <v/>
      </c>
      <c r="AC1109" s="31">
        <f>IF(OR($Y1109="",N($Z1109)&lt;=0,$AB1109=""),0,IFERROR(LOOKUP(2,1/((거래처별!$AC$8:$AC$307&lt;&gt;"")*ISNUMBER(SEARCH(거래처별!$AC$8:$AC$307,$AB1109))),거래처별!$A$8:$A$307),IFERROR(LOOKUP(2,1/((거래처별!$AD$8:$AD$307&lt;&gt;"")*ISNUMBER(SEARCH(거래처별!$AD$8:$AD$307,$AB1109))),거래처별!$A$8:$A$307),IFERROR(LOOKUP(2,1/((거래처별!$AE$8:$AE$307&lt;&gt;"")*ISNUMBER(SEARCH(거래처별!$AE$8:$AE$307,$AB1109))),거래처별!$A$8:$A$307),0))))</f>
        <v/>
      </c>
      <c r="AD1109" s="31">
        <f>IF(AND($Y1109&lt;&gt;"",N($Z1109)&gt;0,$AC1109=0),MAX($AD$7:$AD1108)+1,"")</f>
        <v/>
      </c>
      <c r="AE1109" s="31">
        <f>IF($Y1109="",0,$Y1109)</f>
        <v/>
      </c>
    </row>
    <row r="1110">
      <c r="W1110" s="31">
        <f>IF(OR($B$5="",$C$6="",ROW()&lt;$B$5),"",IF(INDEX($A:$U,ROW(),$C$6)="","",INDEX($A:$U,ROW(),$C$6)))</f>
        <v/>
      </c>
      <c r="X1110" s="32">
        <f>IF($W1110="","",IF(ISNUMBER($W1110),IF($W1110&gt;=10000000,IFERROR(DATE(INT($W1110/10000),MOD(INT($W1110/100),100),MOD($W1110,100)),""),INT($W1110)),IFERROR(DATE(--LEFT(LEFT(SUBSTITUTE(SUBSTITUTE(SUBSTITUTE(SUBSTITUTE(TRIM($W1110),"-",""),".",""),"/","")," ",""),8),4),--MID(LEFT(SUBSTITUTE(SUBSTITUTE(SUBSTITUTE(SUBSTITUTE(TRIM($W1110),"-",""),".",""),"/","")," ",""),8),5,2),--MID(LEFT(SUBSTITUTE(SUBSTITUTE(SUBSTITUTE(SUBSTITUTE(TRIM($W1110),"-",""),".",""),"/","")," ",""),8),7,2)),"")))</f>
        <v/>
      </c>
      <c r="Y1110" s="32">
        <f>IF($X1110="","",INT($X1110))</f>
        <v/>
      </c>
      <c r="Z1110" s="33">
        <f>IF(OR($Y1110="",$D$6=""),"",IF(INDEX($A:$U,ROW(),$D$6)="",0,IF(ISNUMBER(INDEX($A:$U,ROW(),$D$6)),INDEX($A:$U,ROW(),$D$6),IFERROR(--SUBSTITUTE(SUBSTITUTE(TRIM(INDEX($A:$U,ROW(),$D$6)),",",""),"원",""),0))))</f>
        <v/>
      </c>
      <c r="AA1110" s="31">
        <f>IF($Y1110="","",TRIM(INDEX($A:$U,ROW(),$E$6)&amp;IF($F$6="",""," "&amp;INDEX($A:$U,ROW(),$F$6))))</f>
        <v/>
      </c>
      <c r="AB1110" s="31">
        <f>IF($AA1110="","",SUBSTITUTE(SUBSTITUTE(SUBSTITUTE(SUBSTITUTE(SUBSTITUTE(SUBSTITUTE(SUBSTITUTE(SUBSTITUTE(SUBSTITUTE($AA1110," ",""),"　",""),"(주)",""),"（주）",""),"㈜",""),"주식회사",""),"(유)",""),"（유）",""),"유한회사",""))</f>
        <v/>
      </c>
      <c r="AC1110" s="31">
        <f>IF(OR($Y1110="",N($Z1110)&lt;=0,$AB1110=""),0,IFERROR(LOOKUP(2,1/((거래처별!$AC$8:$AC$307&lt;&gt;"")*ISNUMBER(SEARCH(거래처별!$AC$8:$AC$307,$AB1110))),거래처별!$A$8:$A$307),IFERROR(LOOKUP(2,1/((거래처별!$AD$8:$AD$307&lt;&gt;"")*ISNUMBER(SEARCH(거래처별!$AD$8:$AD$307,$AB1110))),거래처별!$A$8:$A$307),IFERROR(LOOKUP(2,1/((거래처별!$AE$8:$AE$307&lt;&gt;"")*ISNUMBER(SEARCH(거래처별!$AE$8:$AE$307,$AB1110))),거래처별!$A$8:$A$307),0))))</f>
        <v/>
      </c>
      <c r="AD1110" s="31">
        <f>IF(AND($Y1110&lt;&gt;"",N($Z1110)&gt;0,$AC1110=0),MAX($AD$7:$AD1109)+1,"")</f>
        <v/>
      </c>
      <c r="AE1110" s="31">
        <f>IF($Y1110="",0,$Y1110)</f>
        <v/>
      </c>
    </row>
    <row r="1111">
      <c r="W1111" s="31">
        <f>IF(OR($B$5="",$C$6="",ROW()&lt;$B$5),"",IF(INDEX($A:$U,ROW(),$C$6)="","",INDEX($A:$U,ROW(),$C$6)))</f>
        <v/>
      </c>
      <c r="X1111" s="32">
        <f>IF($W1111="","",IF(ISNUMBER($W1111),IF($W1111&gt;=10000000,IFERROR(DATE(INT($W1111/10000),MOD(INT($W1111/100),100),MOD($W1111,100)),""),INT($W1111)),IFERROR(DATE(--LEFT(LEFT(SUBSTITUTE(SUBSTITUTE(SUBSTITUTE(SUBSTITUTE(TRIM($W1111),"-",""),".",""),"/","")," ",""),8),4),--MID(LEFT(SUBSTITUTE(SUBSTITUTE(SUBSTITUTE(SUBSTITUTE(TRIM($W1111),"-",""),".",""),"/","")," ",""),8),5,2),--MID(LEFT(SUBSTITUTE(SUBSTITUTE(SUBSTITUTE(SUBSTITUTE(TRIM($W1111),"-",""),".",""),"/","")," ",""),8),7,2)),"")))</f>
        <v/>
      </c>
      <c r="Y1111" s="32">
        <f>IF($X1111="","",INT($X1111))</f>
        <v/>
      </c>
      <c r="Z1111" s="33">
        <f>IF(OR($Y1111="",$D$6=""),"",IF(INDEX($A:$U,ROW(),$D$6)="",0,IF(ISNUMBER(INDEX($A:$U,ROW(),$D$6)),INDEX($A:$U,ROW(),$D$6),IFERROR(--SUBSTITUTE(SUBSTITUTE(TRIM(INDEX($A:$U,ROW(),$D$6)),",",""),"원",""),0))))</f>
        <v/>
      </c>
      <c r="AA1111" s="31">
        <f>IF($Y1111="","",TRIM(INDEX($A:$U,ROW(),$E$6)&amp;IF($F$6="",""," "&amp;INDEX($A:$U,ROW(),$F$6))))</f>
        <v/>
      </c>
      <c r="AB1111" s="31">
        <f>IF($AA1111="","",SUBSTITUTE(SUBSTITUTE(SUBSTITUTE(SUBSTITUTE(SUBSTITUTE(SUBSTITUTE(SUBSTITUTE(SUBSTITUTE(SUBSTITUTE($AA1111," ",""),"　",""),"(주)",""),"（주）",""),"㈜",""),"주식회사",""),"(유)",""),"（유）",""),"유한회사",""))</f>
        <v/>
      </c>
      <c r="AC1111" s="31">
        <f>IF(OR($Y1111="",N($Z1111)&lt;=0,$AB1111=""),0,IFERROR(LOOKUP(2,1/((거래처별!$AC$8:$AC$307&lt;&gt;"")*ISNUMBER(SEARCH(거래처별!$AC$8:$AC$307,$AB1111))),거래처별!$A$8:$A$307),IFERROR(LOOKUP(2,1/((거래처별!$AD$8:$AD$307&lt;&gt;"")*ISNUMBER(SEARCH(거래처별!$AD$8:$AD$307,$AB1111))),거래처별!$A$8:$A$307),IFERROR(LOOKUP(2,1/((거래처별!$AE$8:$AE$307&lt;&gt;"")*ISNUMBER(SEARCH(거래처별!$AE$8:$AE$307,$AB1111))),거래처별!$A$8:$A$307),0))))</f>
        <v/>
      </c>
      <c r="AD1111" s="31">
        <f>IF(AND($Y1111&lt;&gt;"",N($Z1111)&gt;0,$AC1111=0),MAX($AD$7:$AD1110)+1,"")</f>
        <v/>
      </c>
      <c r="AE1111" s="31">
        <f>IF($Y1111="",0,$Y1111)</f>
        <v/>
      </c>
    </row>
    <row r="1112">
      <c r="W1112" s="31">
        <f>IF(OR($B$5="",$C$6="",ROW()&lt;$B$5),"",IF(INDEX($A:$U,ROW(),$C$6)="","",INDEX($A:$U,ROW(),$C$6)))</f>
        <v/>
      </c>
      <c r="X1112" s="32">
        <f>IF($W1112="","",IF(ISNUMBER($W1112),IF($W1112&gt;=10000000,IFERROR(DATE(INT($W1112/10000),MOD(INT($W1112/100),100),MOD($W1112,100)),""),INT($W1112)),IFERROR(DATE(--LEFT(LEFT(SUBSTITUTE(SUBSTITUTE(SUBSTITUTE(SUBSTITUTE(TRIM($W1112),"-",""),".",""),"/","")," ",""),8),4),--MID(LEFT(SUBSTITUTE(SUBSTITUTE(SUBSTITUTE(SUBSTITUTE(TRIM($W1112),"-",""),".",""),"/","")," ",""),8),5,2),--MID(LEFT(SUBSTITUTE(SUBSTITUTE(SUBSTITUTE(SUBSTITUTE(TRIM($W1112),"-",""),".",""),"/","")," ",""),8),7,2)),"")))</f>
        <v/>
      </c>
      <c r="Y1112" s="32">
        <f>IF($X1112="","",INT($X1112))</f>
        <v/>
      </c>
      <c r="Z1112" s="33">
        <f>IF(OR($Y1112="",$D$6=""),"",IF(INDEX($A:$U,ROW(),$D$6)="",0,IF(ISNUMBER(INDEX($A:$U,ROW(),$D$6)),INDEX($A:$U,ROW(),$D$6),IFERROR(--SUBSTITUTE(SUBSTITUTE(TRIM(INDEX($A:$U,ROW(),$D$6)),",",""),"원",""),0))))</f>
        <v/>
      </c>
      <c r="AA1112" s="31">
        <f>IF($Y1112="","",TRIM(INDEX($A:$U,ROW(),$E$6)&amp;IF($F$6="",""," "&amp;INDEX($A:$U,ROW(),$F$6))))</f>
        <v/>
      </c>
      <c r="AB1112" s="31">
        <f>IF($AA1112="","",SUBSTITUTE(SUBSTITUTE(SUBSTITUTE(SUBSTITUTE(SUBSTITUTE(SUBSTITUTE(SUBSTITUTE(SUBSTITUTE(SUBSTITUTE($AA1112," ",""),"　",""),"(주)",""),"（주）",""),"㈜",""),"주식회사",""),"(유)",""),"（유）",""),"유한회사",""))</f>
        <v/>
      </c>
      <c r="AC1112" s="31">
        <f>IF(OR($Y1112="",N($Z1112)&lt;=0,$AB1112=""),0,IFERROR(LOOKUP(2,1/((거래처별!$AC$8:$AC$307&lt;&gt;"")*ISNUMBER(SEARCH(거래처별!$AC$8:$AC$307,$AB1112))),거래처별!$A$8:$A$307),IFERROR(LOOKUP(2,1/((거래처별!$AD$8:$AD$307&lt;&gt;"")*ISNUMBER(SEARCH(거래처별!$AD$8:$AD$307,$AB1112))),거래처별!$A$8:$A$307),IFERROR(LOOKUP(2,1/((거래처별!$AE$8:$AE$307&lt;&gt;"")*ISNUMBER(SEARCH(거래처별!$AE$8:$AE$307,$AB1112))),거래처별!$A$8:$A$307),0))))</f>
        <v/>
      </c>
      <c r="AD1112" s="31">
        <f>IF(AND($Y1112&lt;&gt;"",N($Z1112)&gt;0,$AC1112=0),MAX($AD$7:$AD1111)+1,"")</f>
        <v/>
      </c>
      <c r="AE1112" s="31">
        <f>IF($Y1112="",0,$Y1112)</f>
        <v/>
      </c>
    </row>
    <row r="1113">
      <c r="W1113" s="31">
        <f>IF(OR($B$5="",$C$6="",ROW()&lt;$B$5),"",IF(INDEX($A:$U,ROW(),$C$6)="","",INDEX($A:$U,ROW(),$C$6)))</f>
        <v/>
      </c>
      <c r="X1113" s="32">
        <f>IF($W1113="","",IF(ISNUMBER($W1113),IF($W1113&gt;=10000000,IFERROR(DATE(INT($W1113/10000),MOD(INT($W1113/100),100),MOD($W1113,100)),""),INT($W1113)),IFERROR(DATE(--LEFT(LEFT(SUBSTITUTE(SUBSTITUTE(SUBSTITUTE(SUBSTITUTE(TRIM($W1113),"-",""),".",""),"/","")," ",""),8),4),--MID(LEFT(SUBSTITUTE(SUBSTITUTE(SUBSTITUTE(SUBSTITUTE(TRIM($W1113),"-",""),".",""),"/","")," ",""),8),5,2),--MID(LEFT(SUBSTITUTE(SUBSTITUTE(SUBSTITUTE(SUBSTITUTE(TRIM($W1113),"-",""),".",""),"/","")," ",""),8),7,2)),"")))</f>
        <v/>
      </c>
      <c r="Y1113" s="32">
        <f>IF($X1113="","",INT($X1113))</f>
        <v/>
      </c>
      <c r="Z1113" s="33">
        <f>IF(OR($Y1113="",$D$6=""),"",IF(INDEX($A:$U,ROW(),$D$6)="",0,IF(ISNUMBER(INDEX($A:$U,ROW(),$D$6)),INDEX($A:$U,ROW(),$D$6),IFERROR(--SUBSTITUTE(SUBSTITUTE(TRIM(INDEX($A:$U,ROW(),$D$6)),",",""),"원",""),0))))</f>
        <v/>
      </c>
      <c r="AA1113" s="31">
        <f>IF($Y1113="","",TRIM(INDEX($A:$U,ROW(),$E$6)&amp;IF($F$6="",""," "&amp;INDEX($A:$U,ROW(),$F$6))))</f>
        <v/>
      </c>
      <c r="AB1113" s="31">
        <f>IF($AA1113="","",SUBSTITUTE(SUBSTITUTE(SUBSTITUTE(SUBSTITUTE(SUBSTITUTE(SUBSTITUTE(SUBSTITUTE(SUBSTITUTE(SUBSTITUTE($AA1113," ",""),"　",""),"(주)",""),"（주）",""),"㈜",""),"주식회사",""),"(유)",""),"（유）",""),"유한회사",""))</f>
        <v/>
      </c>
      <c r="AC1113" s="31">
        <f>IF(OR($Y1113="",N($Z1113)&lt;=0,$AB1113=""),0,IFERROR(LOOKUP(2,1/((거래처별!$AC$8:$AC$307&lt;&gt;"")*ISNUMBER(SEARCH(거래처별!$AC$8:$AC$307,$AB1113))),거래처별!$A$8:$A$307),IFERROR(LOOKUP(2,1/((거래처별!$AD$8:$AD$307&lt;&gt;"")*ISNUMBER(SEARCH(거래처별!$AD$8:$AD$307,$AB1113))),거래처별!$A$8:$A$307),IFERROR(LOOKUP(2,1/((거래처별!$AE$8:$AE$307&lt;&gt;"")*ISNUMBER(SEARCH(거래처별!$AE$8:$AE$307,$AB1113))),거래처별!$A$8:$A$307),0))))</f>
        <v/>
      </c>
      <c r="AD1113" s="31">
        <f>IF(AND($Y1113&lt;&gt;"",N($Z1113)&gt;0,$AC1113=0),MAX($AD$7:$AD1112)+1,"")</f>
        <v/>
      </c>
      <c r="AE1113" s="31">
        <f>IF($Y1113="",0,$Y1113)</f>
        <v/>
      </c>
    </row>
    <row r="1114">
      <c r="W1114" s="31">
        <f>IF(OR($B$5="",$C$6="",ROW()&lt;$B$5),"",IF(INDEX($A:$U,ROW(),$C$6)="","",INDEX($A:$U,ROW(),$C$6)))</f>
        <v/>
      </c>
      <c r="X1114" s="32">
        <f>IF($W1114="","",IF(ISNUMBER($W1114),IF($W1114&gt;=10000000,IFERROR(DATE(INT($W1114/10000),MOD(INT($W1114/100),100),MOD($W1114,100)),""),INT($W1114)),IFERROR(DATE(--LEFT(LEFT(SUBSTITUTE(SUBSTITUTE(SUBSTITUTE(SUBSTITUTE(TRIM($W1114),"-",""),".",""),"/","")," ",""),8),4),--MID(LEFT(SUBSTITUTE(SUBSTITUTE(SUBSTITUTE(SUBSTITUTE(TRIM($W1114),"-",""),".",""),"/","")," ",""),8),5,2),--MID(LEFT(SUBSTITUTE(SUBSTITUTE(SUBSTITUTE(SUBSTITUTE(TRIM($W1114),"-",""),".",""),"/","")," ",""),8),7,2)),"")))</f>
        <v/>
      </c>
      <c r="Y1114" s="32">
        <f>IF($X1114="","",INT($X1114))</f>
        <v/>
      </c>
      <c r="Z1114" s="33">
        <f>IF(OR($Y1114="",$D$6=""),"",IF(INDEX($A:$U,ROW(),$D$6)="",0,IF(ISNUMBER(INDEX($A:$U,ROW(),$D$6)),INDEX($A:$U,ROW(),$D$6),IFERROR(--SUBSTITUTE(SUBSTITUTE(TRIM(INDEX($A:$U,ROW(),$D$6)),",",""),"원",""),0))))</f>
        <v/>
      </c>
      <c r="AA1114" s="31">
        <f>IF($Y1114="","",TRIM(INDEX($A:$U,ROW(),$E$6)&amp;IF($F$6="",""," "&amp;INDEX($A:$U,ROW(),$F$6))))</f>
        <v/>
      </c>
      <c r="AB1114" s="31">
        <f>IF($AA1114="","",SUBSTITUTE(SUBSTITUTE(SUBSTITUTE(SUBSTITUTE(SUBSTITUTE(SUBSTITUTE(SUBSTITUTE(SUBSTITUTE(SUBSTITUTE($AA1114," ",""),"　",""),"(주)",""),"（주）",""),"㈜",""),"주식회사",""),"(유)",""),"（유）",""),"유한회사",""))</f>
        <v/>
      </c>
      <c r="AC1114" s="31">
        <f>IF(OR($Y1114="",N($Z1114)&lt;=0,$AB1114=""),0,IFERROR(LOOKUP(2,1/((거래처별!$AC$8:$AC$307&lt;&gt;"")*ISNUMBER(SEARCH(거래처별!$AC$8:$AC$307,$AB1114))),거래처별!$A$8:$A$307),IFERROR(LOOKUP(2,1/((거래처별!$AD$8:$AD$307&lt;&gt;"")*ISNUMBER(SEARCH(거래처별!$AD$8:$AD$307,$AB1114))),거래처별!$A$8:$A$307),IFERROR(LOOKUP(2,1/((거래처별!$AE$8:$AE$307&lt;&gt;"")*ISNUMBER(SEARCH(거래처별!$AE$8:$AE$307,$AB1114))),거래처별!$A$8:$A$307),0))))</f>
        <v/>
      </c>
      <c r="AD1114" s="31">
        <f>IF(AND($Y1114&lt;&gt;"",N($Z1114)&gt;0,$AC1114=0),MAX($AD$7:$AD1113)+1,"")</f>
        <v/>
      </c>
      <c r="AE1114" s="31">
        <f>IF($Y1114="",0,$Y1114)</f>
        <v/>
      </c>
    </row>
    <row r="1115">
      <c r="W1115" s="31">
        <f>IF(OR($B$5="",$C$6="",ROW()&lt;$B$5),"",IF(INDEX($A:$U,ROW(),$C$6)="","",INDEX($A:$U,ROW(),$C$6)))</f>
        <v/>
      </c>
      <c r="X1115" s="32">
        <f>IF($W1115="","",IF(ISNUMBER($W1115),IF($W1115&gt;=10000000,IFERROR(DATE(INT($W1115/10000),MOD(INT($W1115/100),100),MOD($W1115,100)),""),INT($W1115)),IFERROR(DATE(--LEFT(LEFT(SUBSTITUTE(SUBSTITUTE(SUBSTITUTE(SUBSTITUTE(TRIM($W1115),"-",""),".",""),"/","")," ",""),8),4),--MID(LEFT(SUBSTITUTE(SUBSTITUTE(SUBSTITUTE(SUBSTITUTE(TRIM($W1115),"-",""),".",""),"/","")," ",""),8),5,2),--MID(LEFT(SUBSTITUTE(SUBSTITUTE(SUBSTITUTE(SUBSTITUTE(TRIM($W1115),"-",""),".",""),"/","")," ",""),8),7,2)),"")))</f>
        <v/>
      </c>
      <c r="Y1115" s="32">
        <f>IF($X1115="","",INT($X1115))</f>
        <v/>
      </c>
      <c r="Z1115" s="33">
        <f>IF(OR($Y1115="",$D$6=""),"",IF(INDEX($A:$U,ROW(),$D$6)="",0,IF(ISNUMBER(INDEX($A:$U,ROW(),$D$6)),INDEX($A:$U,ROW(),$D$6),IFERROR(--SUBSTITUTE(SUBSTITUTE(TRIM(INDEX($A:$U,ROW(),$D$6)),",",""),"원",""),0))))</f>
        <v/>
      </c>
      <c r="AA1115" s="31">
        <f>IF($Y1115="","",TRIM(INDEX($A:$U,ROW(),$E$6)&amp;IF($F$6="",""," "&amp;INDEX($A:$U,ROW(),$F$6))))</f>
        <v/>
      </c>
      <c r="AB1115" s="31">
        <f>IF($AA1115="","",SUBSTITUTE(SUBSTITUTE(SUBSTITUTE(SUBSTITUTE(SUBSTITUTE(SUBSTITUTE(SUBSTITUTE(SUBSTITUTE(SUBSTITUTE($AA1115," ",""),"　",""),"(주)",""),"（주）",""),"㈜",""),"주식회사",""),"(유)",""),"（유）",""),"유한회사",""))</f>
        <v/>
      </c>
      <c r="AC1115" s="31">
        <f>IF(OR($Y1115="",N($Z1115)&lt;=0,$AB1115=""),0,IFERROR(LOOKUP(2,1/((거래처별!$AC$8:$AC$307&lt;&gt;"")*ISNUMBER(SEARCH(거래처별!$AC$8:$AC$307,$AB1115))),거래처별!$A$8:$A$307),IFERROR(LOOKUP(2,1/((거래처별!$AD$8:$AD$307&lt;&gt;"")*ISNUMBER(SEARCH(거래처별!$AD$8:$AD$307,$AB1115))),거래처별!$A$8:$A$307),IFERROR(LOOKUP(2,1/((거래처별!$AE$8:$AE$307&lt;&gt;"")*ISNUMBER(SEARCH(거래처별!$AE$8:$AE$307,$AB1115))),거래처별!$A$8:$A$307),0))))</f>
        <v/>
      </c>
      <c r="AD1115" s="31">
        <f>IF(AND($Y1115&lt;&gt;"",N($Z1115)&gt;0,$AC1115=0),MAX($AD$7:$AD1114)+1,"")</f>
        <v/>
      </c>
      <c r="AE1115" s="31">
        <f>IF($Y1115="",0,$Y1115)</f>
        <v/>
      </c>
    </row>
    <row r="1116">
      <c r="W1116" s="31">
        <f>IF(OR($B$5="",$C$6="",ROW()&lt;$B$5),"",IF(INDEX($A:$U,ROW(),$C$6)="","",INDEX($A:$U,ROW(),$C$6)))</f>
        <v/>
      </c>
      <c r="X1116" s="32">
        <f>IF($W1116="","",IF(ISNUMBER($W1116),IF($W1116&gt;=10000000,IFERROR(DATE(INT($W1116/10000),MOD(INT($W1116/100),100),MOD($W1116,100)),""),INT($W1116)),IFERROR(DATE(--LEFT(LEFT(SUBSTITUTE(SUBSTITUTE(SUBSTITUTE(SUBSTITUTE(TRIM($W1116),"-",""),".",""),"/","")," ",""),8),4),--MID(LEFT(SUBSTITUTE(SUBSTITUTE(SUBSTITUTE(SUBSTITUTE(TRIM($W1116),"-",""),".",""),"/","")," ",""),8),5,2),--MID(LEFT(SUBSTITUTE(SUBSTITUTE(SUBSTITUTE(SUBSTITUTE(TRIM($W1116),"-",""),".",""),"/","")," ",""),8),7,2)),"")))</f>
        <v/>
      </c>
      <c r="Y1116" s="32">
        <f>IF($X1116="","",INT($X1116))</f>
        <v/>
      </c>
      <c r="Z1116" s="33">
        <f>IF(OR($Y1116="",$D$6=""),"",IF(INDEX($A:$U,ROW(),$D$6)="",0,IF(ISNUMBER(INDEX($A:$U,ROW(),$D$6)),INDEX($A:$U,ROW(),$D$6),IFERROR(--SUBSTITUTE(SUBSTITUTE(TRIM(INDEX($A:$U,ROW(),$D$6)),",",""),"원",""),0))))</f>
        <v/>
      </c>
      <c r="AA1116" s="31">
        <f>IF($Y1116="","",TRIM(INDEX($A:$U,ROW(),$E$6)&amp;IF($F$6="",""," "&amp;INDEX($A:$U,ROW(),$F$6))))</f>
        <v/>
      </c>
      <c r="AB1116" s="31">
        <f>IF($AA1116="","",SUBSTITUTE(SUBSTITUTE(SUBSTITUTE(SUBSTITUTE(SUBSTITUTE(SUBSTITUTE(SUBSTITUTE(SUBSTITUTE(SUBSTITUTE($AA1116," ",""),"　",""),"(주)",""),"（주）",""),"㈜",""),"주식회사",""),"(유)",""),"（유）",""),"유한회사",""))</f>
        <v/>
      </c>
      <c r="AC1116" s="31">
        <f>IF(OR($Y1116="",N($Z1116)&lt;=0,$AB1116=""),0,IFERROR(LOOKUP(2,1/((거래처별!$AC$8:$AC$307&lt;&gt;"")*ISNUMBER(SEARCH(거래처별!$AC$8:$AC$307,$AB1116))),거래처별!$A$8:$A$307),IFERROR(LOOKUP(2,1/((거래처별!$AD$8:$AD$307&lt;&gt;"")*ISNUMBER(SEARCH(거래처별!$AD$8:$AD$307,$AB1116))),거래처별!$A$8:$A$307),IFERROR(LOOKUP(2,1/((거래처별!$AE$8:$AE$307&lt;&gt;"")*ISNUMBER(SEARCH(거래처별!$AE$8:$AE$307,$AB1116))),거래처별!$A$8:$A$307),0))))</f>
        <v/>
      </c>
      <c r="AD1116" s="31">
        <f>IF(AND($Y1116&lt;&gt;"",N($Z1116)&gt;0,$AC1116=0),MAX($AD$7:$AD1115)+1,"")</f>
        <v/>
      </c>
      <c r="AE1116" s="31">
        <f>IF($Y1116="",0,$Y1116)</f>
        <v/>
      </c>
    </row>
    <row r="1117">
      <c r="W1117" s="31">
        <f>IF(OR($B$5="",$C$6="",ROW()&lt;$B$5),"",IF(INDEX($A:$U,ROW(),$C$6)="","",INDEX($A:$U,ROW(),$C$6)))</f>
        <v/>
      </c>
      <c r="X1117" s="32">
        <f>IF($W1117="","",IF(ISNUMBER($W1117),IF($W1117&gt;=10000000,IFERROR(DATE(INT($W1117/10000),MOD(INT($W1117/100),100),MOD($W1117,100)),""),INT($W1117)),IFERROR(DATE(--LEFT(LEFT(SUBSTITUTE(SUBSTITUTE(SUBSTITUTE(SUBSTITUTE(TRIM($W1117),"-",""),".",""),"/","")," ",""),8),4),--MID(LEFT(SUBSTITUTE(SUBSTITUTE(SUBSTITUTE(SUBSTITUTE(TRIM($W1117),"-",""),".",""),"/","")," ",""),8),5,2),--MID(LEFT(SUBSTITUTE(SUBSTITUTE(SUBSTITUTE(SUBSTITUTE(TRIM($W1117),"-",""),".",""),"/","")," ",""),8),7,2)),"")))</f>
        <v/>
      </c>
      <c r="Y1117" s="32">
        <f>IF($X1117="","",INT($X1117))</f>
        <v/>
      </c>
      <c r="Z1117" s="33">
        <f>IF(OR($Y1117="",$D$6=""),"",IF(INDEX($A:$U,ROW(),$D$6)="",0,IF(ISNUMBER(INDEX($A:$U,ROW(),$D$6)),INDEX($A:$U,ROW(),$D$6),IFERROR(--SUBSTITUTE(SUBSTITUTE(TRIM(INDEX($A:$U,ROW(),$D$6)),",",""),"원",""),0))))</f>
        <v/>
      </c>
      <c r="AA1117" s="31">
        <f>IF($Y1117="","",TRIM(INDEX($A:$U,ROW(),$E$6)&amp;IF($F$6="",""," "&amp;INDEX($A:$U,ROW(),$F$6))))</f>
        <v/>
      </c>
      <c r="AB1117" s="31">
        <f>IF($AA1117="","",SUBSTITUTE(SUBSTITUTE(SUBSTITUTE(SUBSTITUTE(SUBSTITUTE(SUBSTITUTE(SUBSTITUTE(SUBSTITUTE(SUBSTITUTE($AA1117," ",""),"　",""),"(주)",""),"（주）",""),"㈜",""),"주식회사",""),"(유)",""),"（유）",""),"유한회사",""))</f>
        <v/>
      </c>
      <c r="AC1117" s="31">
        <f>IF(OR($Y1117="",N($Z1117)&lt;=0,$AB1117=""),0,IFERROR(LOOKUP(2,1/((거래처별!$AC$8:$AC$307&lt;&gt;"")*ISNUMBER(SEARCH(거래처별!$AC$8:$AC$307,$AB1117))),거래처별!$A$8:$A$307),IFERROR(LOOKUP(2,1/((거래처별!$AD$8:$AD$307&lt;&gt;"")*ISNUMBER(SEARCH(거래처별!$AD$8:$AD$307,$AB1117))),거래처별!$A$8:$A$307),IFERROR(LOOKUP(2,1/((거래처별!$AE$8:$AE$307&lt;&gt;"")*ISNUMBER(SEARCH(거래처별!$AE$8:$AE$307,$AB1117))),거래처별!$A$8:$A$307),0))))</f>
        <v/>
      </c>
      <c r="AD1117" s="31">
        <f>IF(AND($Y1117&lt;&gt;"",N($Z1117)&gt;0,$AC1117=0),MAX($AD$7:$AD1116)+1,"")</f>
        <v/>
      </c>
      <c r="AE1117" s="31">
        <f>IF($Y1117="",0,$Y1117)</f>
        <v/>
      </c>
    </row>
    <row r="1118">
      <c r="W1118" s="31">
        <f>IF(OR($B$5="",$C$6="",ROW()&lt;$B$5),"",IF(INDEX($A:$U,ROW(),$C$6)="","",INDEX($A:$U,ROW(),$C$6)))</f>
        <v/>
      </c>
      <c r="X1118" s="32">
        <f>IF($W1118="","",IF(ISNUMBER($W1118),IF($W1118&gt;=10000000,IFERROR(DATE(INT($W1118/10000),MOD(INT($W1118/100),100),MOD($W1118,100)),""),INT($W1118)),IFERROR(DATE(--LEFT(LEFT(SUBSTITUTE(SUBSTITUTE(SUBSTITUTE(SUBSTITUTE(TRIM($W1118),"-",""),".",""),"/","")," ",""),8),4),--MID(LEFT(SUBSTITUTE(SUBSTITUTE(SUBSTITUTE(SUBSTITUTE(TRIM($W1118),"-",""),".",""),"/","")," ",""),8),5,2),--MID(LEFT(SUBSTITUTE(SUBSTITUTE(SUBSTITUTE(SUBSTITUTE(TRIM($W1118),"-",""),".",""),"/","")," ",""),8),7,2)),"")))</f>
        <v/>
      </c>
      <c r="Y1118" s="32">
        <f>IF($X1118="","",INT($X1118))</f>
        <v/>
      </c>
      <c r="Z1118" s="33">
        <f>IF(OR($Y1118="",$D$6=""),"",IF(INDEX($A:$U,ROW(),$D$6)="",0,IF(ISNUMBER(INDEX($A:$U,ROW(),$D$6)),INDEX($A:$U,ROW(),$D$6),IFERROR(--SUBSTITUTE(SUBSTITUTE(TRIM(INDEX($A:$U,ROW(),$D$6)),",",""),"원",""),0))))</f>
        <v/>
      </c>
      <c r="AA1118" s="31">
        <f>IF($Y1118="","",TRIM(INDEX($A:$U,ROW(),$E$6)&amp;IF($F$6="",""," "&amp;INDEX($A:$U,ROW(),$F$6))))</f>
        <v/>
      </c>
      <c r="AB1118" s="31">
        <f>IF($AA1118="","",SUBSTITUTE(SUBSTITUTE(SUBSTITUTE(SUBSTITUTE(SUBSTITUTE(SUBSTITUTE(SUBSTITUTE(SUBSTITUTE(SUBSTITUTE($AA1118," ",""),"　",""),"(주)",""),"（주）",""),"㈜",""),"주식회사",""),"(유)",""),"（유）",""),"유한회사",""))</f>
        <v/>
      </c>
      <c r="AC1118" s="31">
        <f>IF(OR($Y1118="",N($Z1118)&lt;=0,$AB1118=""),0,IFERROR(LOOKUP(2,1/((거래처별!$AC$8:$AC$307&lt;&gt;"")*ISNUMBER(SEARCH(거래처별!$AC$8:$AC$307,$AB1118))),거래처별!$A$8:$A$307),IFERROR(LOOKUP(2,1/((거래처별!$AD$8:$AD$307&lt;&gt;"")*ISNUMBER(SEARCH(거래처별!$AD$8:$AD$307,$AB1118))),거래처별!$A$8:$A$307),IFERROR(LOOKUP(2,1/((거래처별!$AE$8:$AE$307&lt;&gt;"")*ISNUMBER(SEARCH(거래처별!$AE$8:$AE$307,$AB1118))),거래처별!$A$8:$A$307),0))))</f>
        <v/>
      </c>
      <c r="AD1118" s="31">
        <f>IF(AND($Y1118&lt;&gt;"",N($Z1118)&gt;0,$AC1118=0),MAX($AD$7:$AD1117)+1,"")</f>
        <v/>
      </c>
      <c r="AE1118" s="31">
        <f>IF($Y1118="",0,$Y1118)</f>
        <v/>
      </c>
    </row>
    <row r="1119">
      <c r="W1119" s="31">
        <f>IF(OR($B$5="",$C$6="",ROW()&lt;$B$5),"",IF(INDEX($A:$U,ROW(),$C$6)="","",INDEX($A:$U,ROW(),$C$6)))</f>
        <v/>
      </c>
      <c r="X1119" s="32">
        <f>IF($W1119="","",IF(ISNUMBER($W1119),IF($W1119&gt;=10000000,IFERROR(DATE(INT($W1119/10000),MOD(INT($W1119/100),100),MOD($W1119,100)),""),INT($W1119)),IFERROR(DATE(--LEFT(LEFT(SUBSTITUTE(SUBSTITUTE(SUBSTITUTE(SUBSTITUTE(TRIM($W1119),"-",""),".",""),"/","")," ",""),8),4),--MID(LEFT(SUBSTITUTE(SUBSTITUTE(SUBSTITUTE(SUBSTITUTE(TRIM($W1119),"-",""),".",""),"/","")," ",""),8),5,2),--MID(LEFT(SUBSTITUTE(SUBSTITUTE(SUBSTITUTE(SUBSTITUTE(TRIM($W1119),"-",""),".",""),"/","")," ",""),8),7,2)),"")))</f>
        <v/>
      </c>
      <c r="Y1119" s="32">
        <f>IF($X1119="","",INT($X1119))</f>
        <v/>
      </c>
      <c r="Z1119" s="33">
        <f>IF(OR($Y1119="",$D$6=""),"",IF(INDEX($A:$U,ROW(),$D$6)="",0,IF(ISNUMBER(INDEX($A:$U,ROW(),$D$6)),INDEX($A:$U,ROW(),$D$6),IFERROR(--SUBSTITUTE(SUBSTITUTE(TRIM(INDEX($A:$U,ROW(),$D$6)),",",""),"원",""),0))))</f>
        <v/>
      </c>
      <c r="AA1119" s="31">
        <f>IF($Y1119="","",TRIM(INDEX($A:$U,ROW(),$E$6)&amp;IF($F$6="",""," "&amp;INDEX($A:$U,ROW(),$F$6))))</f>
        <v/>
      </c>
      <c r="AB1119" s="31">
        <f>IF($AA1119="","",SUBSTITUTE(SUBSTITUTE(SUBSTITUTE(SUBSTITUTE(SUBSTITUTE(SUBSTITUTE(SUBSTITUTE(SUBSTITUTE(SUBSTITUTE($AA1119," ",""),"　",""),"(주)",""),"（주）",""),"㈜",""),"주식회사",""),"(유)",""),"（유）",""),"유한회사",""))</f>
        <v/>
      </c>
      <c r="AC1119" s="31">
        <f>IF(OR($Y1119="",N($Z1119)&lt;=0,$AB1119=""),0,IFERROR(LOOKUP(2,1/((거래처별!$AC$8:$AC$307&lt;&gt;"")*ISNUMBER(SEARCH(거래처별!$AC$8:$AC$307,$AB1119))),거래처별!$A$8:$A$307),IFERROR(LOOKUP(2,1/((거래처별!$AD$8:$AD$307&lt;&gt;"")*ISNUMBER(SEARCH(거래처별!$AD$8:$AD$307,$AB1119))),거래처별!$A$8:$A$307),IFERROR(LOOKUP(2,1/((거래처별!$AE$8:$AE$307&lt;&gt;"")*ISNUMBER(SEARCH(거래처별!$AE$8:$AE$307,$AB1119))),거래처별!$A$8:$A$307),0))))</f>
        <v/>
      </c>
      <c r="AD1119" s="31">
        <f>IF(AND($Y1119&lt;&gt;"",N($Z1119)&gt;0,$AC1119=0),MAX($AD$7:$AD1118)+1,"")</f>
        <v/>
      </c>
      <c r="AE1119" s="31">
        <f>IF($Y1119="",0,$Y1119)</f>
        <v/>
      </c>
    </row>
    <row r="1120">
      <c r="W1120" s="31">
        <f>IF(OR($B$5="",$C$6="",ROW()&lt;$B$5),"",IF(INDEX($A:$U,ROW(),$C$6)="","",INDEX($A:$U,ROW(),$C$6)))</f>
        <v/>
      </c>
      <c r="X1120" s="32">
        <f>IF($W1120="","",IF(ISNUMBER($W1120),IF($W1120&gt;=10000000,IFERROR(DATE(INT($W1120/10000),MOD(INT($W1120/100),100),MOD($W1120,100)),""),INT($W1120)),IFERROR(DATE(--LEFT(LEFT(SUBSTITUTE(SUBSTITUTE(SUBSTITUTE(SUBSTITUTE(TRIM($W1120),"-",""),".",""),"/","")," ",""),8),4),--MID(LEFT(SUBSTITUTE(SUBSTITUTE(SUBSTITUTE(SUBSTITUTE(TRIM($W1120),"-",""),".",""),"/","")," ",""),8),5,2),--MID(LEFT(SUBSTITUTE(SUBSTITUTE(SUBSTITUTE(SUBSTITUTE(TRIM($W1120),"-",""),".",""),"/","")," ",""),8),7,2)),"")))</f>
        <v/>
      </c>
      <c r="Y1120" s="32">
        <f>IF($X1120="","",INT($X1120))</f>
        <v/>
      </c>
      <c r="Z1120" s="33">
        <f>IF(OR($Y1120="",$D$6=""),"",IF(INDEX($A:$U,ROW(),$D$6)="",0,IF(ISNUMBER(INDEX($A:$U,ROW(),$D$6)),INDEX($A:$U,ROW(),$D$6),IFERROR(--SUBSTITUTE(SUBSTITUTE(TRIM(INDEX($A:$U,ROW(),$D$6)),",",""),"원",""),0))))</f>
        <v/>
      </c>
      <c r="AA1120" s="31">
        <f>IF($Y1120="","",TRIM(INDEX($A:$U,ROW(),$E$6)&amp;IF($F$6="",""," "&amp;INDEX($A:$U,ROW(),$F$6))))</f>
        <v/>
      </c>
      <c r="AB1120" s="31">
        <f>IF($AA1120="","",SUBSTITUTE(SUBSTITUTE(SUBSTITUTE(SUBSTITUTE(SUBSTITUTE(SUBSTITUTE(SUBSTITUTE(SUBSTITUTE(SUBSTITUTE($AA1120," ",""),"　",""),"(주)",""),"（주）",""),"㈜",""),"주식회사",""),"(유)",""),"（유）",""),"유한회사",""))</f>
        <v/>
      </c>
      <c r="AC1120" s="31">
        <f>IF(OR($Y1120="",N($Z1120)&lt;=0,$AB1120=""),0,IFERROR(LOOKUP(2,1/((거래처별!$AC$8:$AC$307&lt;&gt;"")*ISNUMBER(SEARCH(거래처별!$AC$8:$AC$307,$AB1120))),거래처별!$A$8:$A$307),IFERROR(LOOKUP(2,1/((거래처별!$AD$8:$AD$307&lt;&gt;"")*ISNUMBER(SEARCH(거래처별!$AD$8:$AD$307,$AB1120))),거래처별!$A$8:$A$307),IFERROR(LOOKUP(2,1/((거래처별!$AE$8:$AE$307&lt;&gt;"")*ISNUMBER(SEARCH(거래처별!$AE$8:$AE$307,$AB1120))),거래처별!$A$8:$A$307),0))))</f>
        <v/>
      </c>
      <c r="AD1120" s="31">
        <f>IF(AND($Y1120&lt;&gt;"",N($Z1120)&gt;0,$AC1120=0),MAX($AD$7:$AD1119)+1,"")</f>
        <v/>
      </c>
      <c r="AE1120" s="31">
        <f>IF($Y1120="",0,$Y1120)</f>
        <v/>
      </c>
    </row>
    <row r="1121">
      <c r="W1121" s="31">
        <f>IF(OR($B$5="",$C$6="",ROW()&lt;$B$5),"",IF(INDEX($A:$U,ROW(),$C$6)="","",INDEX($A:$U,ROW(),$C$6)))</f>
        <v/>
      </c>
      <c r="X1121" s="32">
        <f>IF($W1121="","",IF(ISNUMBER($W1121),IF($W1121&gt;=10000000,IFERROR(DATE(INT($W1121/10000),MOD(INT($W1121/100),100),MOD($W1121,100)),""),INT($W1121)),IFERROR(DATE(--LEFT(LEFT(SUBSTITUTE(SUBSTITUTE(SUBSTITUTE(SUBSTITUTE(TRIM($W1121),"-",""),".",""),"/","")," ",""),8),4),--MID(LEFT(SUBSTITUTE(SUBSTITUTE(SUBSTITUTE(SUBSTITUTE(TRIM($W1121),"-",""),".",""),"/","")," ",""),8),5,2),--MID(LEFT(SUBSTITUTE(SUBSTITUTE(SUBSTITUTE(SUBSTITUTE(TRIM($W1121),"-",""),".",""),"/","")," ",""),8),7,2)),"")))</f>
        <v/>
      </c>
      <c r="Y1121" s="32">
        <f>IF($X1121="","",INT($X1121))</f>
        <v/>
      </c>
      <c r="Z1121" s="33">
        <f>IF(OR($Y1121="",$D$6=""),"",IF(INDEX($A:$U,ROW(),$D$6)="",0,IF(ISNUMBER(INDEX($A:$U,ROW(),$D$6)),INDEX($A:$U,ROW(),$D$6),IFERROR(--SUBSTITUTE(SUBSTITUTE(TRIM(INDEX($A:$U,ROW(),$D$6)),",",""),"원",""),0))))</f>
        <v/>
      </c>
      <c r="AA1121" s="31">
        <f>IF($Y1121="","",TRIM(INDEX($A:$U,ROW(),$E$6)&amp;IF($F$6="",""," "&amp;INDEX($A:$U,ROW(),$F$6))))</f>
        <v/>
      </c>
      <c r="AB1121" s="31">
        <f>IF($AA1121="","",SUBSTITUTE(SUBSTITUTE(SUBSTITUTE(SUBSTITUTE(SUBSTITUTE(SUBSTITUTE(SUBSTITUTE(SUBSTITUTE(SUBSTITUTE($AA1121," ",""),"　",""),"(주)",""),"（주）",""),"㈜",""),"주식회사",""),"(유)",""),"（유）",""),"유한회사",""))</f>
        <v/>
      </c>
      <c r="AC1121" s="31">
        <f>IF(OR($Y1121="",N($Z1121)&lt;=0,$AB1121=""),0,IFERROR(LOOKUP(2,1/((거래처별!$AC$8:$AC$307&lt;&gt;"")*ISNUMBER(SEARCH(거래처별!$AC$8:$AC$307,$AB1121))),거래처별!$A$8:$A$307),IFERROR(LOOKUP(2,1/((거래처별!$AD$8:$AD$307&lt;&gt;"")*ISNUMBER(SEARCH(거래처별!$AD$8:$AD$307,$AB1121))),거래처별!$A$8:$A$307),IFERROR(LOOKUP(2,1/((거래처별!$AE$8:$AE$307&lt;&gt;"")*ISNUMBER(SEARCH(거래처별!$AE$8:$AE$307,$AB1121))),거래처별!$A$8:$A$307),0))))</f>
        <v/>
      </c>
      <c r="AD1121" s="31">
        <f>IF(AND($Y1121&lt;&gt;"",N($Z1121)&gt;0,$AC1121=0),MAX($AD$7:$AD1120)+1,"")</f>
        <v/>
      </c>
      <c r="AE1121" s="31">
        <f>IF($Y1121="",0,$Y1121)</f>
        <v/>
      </c>
    </row>
    <row r="1122">
      <c r="W1122" s="31">
        <f>IF(OR($B$5="",$C$6="",ROW()&lt;$B$5),"",IF(INDEX($A:$U,ROW(),$C$6)="","",INDEX($A:$U,ROW(),$C$6)))</f>
        <v/>
      </c>
      <c r="X1122" s="32">
        <f>IF($W1122="","",IF(ISNUMBER($W1122),IF($W1122&gt;=10000000,IFERROR(DATE(INT($W1122/10000),MOD(INT($W1122/100),100),MOD($W1122,100)),""),INT($W1122)),IFERROR(DATE(--LEFT(LEFT(SUBSTITUTE(SUBSTITUTE(SUBSTITUTE(SUBSTITUTE(TRIM($W1122),"-",""),".",""),"/","")," ",""),8),4),--MID(LEFT(SUBSTITUTE(SUBSTITUTE(SUBSTITUTE(SUBSTITUTE(TRIM($W1122),"-",""),".",""),"/","")," ",""),8),5,2),--MID(LEFT(SUBSTITUTE(SUBSTITUTE(SUBSTITUTE(SUBSTITUTE(TRIM($W1122),"-",""),".",""),"/","")," ",""),8),7,2)),"")))</f>
        <v/>
      </c>
      <c r="Y1122" s="32">
        <f>IF($X1122="","",INT($X1122))</f>
        <v/>
      </c>
      <c r="Z1122" s="33">
        <f>IF(OR($Y1122="",$D$6=""),"",IF(INDEX($A:$U,ROW(),$D$6)="",0,IF(ISNUMBER(INDEX($A:$U,ROW(),$D$6)),INDEX($A:$U,ROW(),$D$6),IFERROR(--SUBSTITUTE(SUBSTITUTE(TRIM(INDEX($A:$U,ROW(),$D$6)),",",""),"원",""),0))))</f>
        <v/>
      </c>
      <c r="AA1122" s="31">
        <f>IF($Y1122="","",TRIM(INDEX($A:$U,ROW(),$E$6)&amp;IF($F$6="",""," "&amp;INDEX($A:$U,ROW(),$F$6))))</f>
        <v/>
      </c>
      <c r="AB1122" s="31">
        <f>IF($AA1122="","",SUBSTITUTE(SUBSTITUTE(SUBSTITUTE(SUBSTITUTE(SUBSTITUTE(SUBSTITUTE(SUBSTITUTE(SUBSTITUTE(SUBSTITUTE($AA1122," ",""),"　",""),"(주)",""),"（주）",""),"㈜",""),"주식회사",""),"(유)",""),"（유）",""),"유한회사",""))</f>
        <v/>
      </c>
      <c r="AC1122" s="31">
        <f>IF(OR($Y1122="",N($Z1122)&lt;=0,$AB1122=""),0,IFERROR(LOOKUP(2,1/((거래처별!$AC$8:$AC$307&lt;&gt;"")*ISNUMBER(SEARCH(거래처별!$AC$8:$AC$307,$AB1122))),거래처별!$A$8:$A$307),IFERROR(LOOKUP(2,1/((거래처별!$AD$8:$AD$307&lt;&gt;"")*ISNUMBER(SEARCH(거래처별!$AD$8:$AD$307,$AB1122))),거래처별!$A$8:$A$307),IFERROR(LOOKUP(2,1/((거래처별!$AE$8:$AE$307&lt;&gt;"")*ISNUMBER(SEARCH(거래처별!$AE$8:$AE$307,$AB1122))),거래처별!$A$8:$A$307),0))))</f>
        <v/>
      </c>
      <c r="AD1122" s="31">
        <f>IF(AND($Y1122&lt;&gt;"",N($Z1122)&gt;0,$AC1122=0),MAX($AD$7:$AD1121)+1,"")</f>
        <v/>
      </c>
      <c r="AE1122" s="31">
        <f>IF($Y1122="",0,$Y1122)</f>
        <v/>
      </c>
    </row>
    <row r="1123">
      <c r="W1123" s="31">
        <f>IF(OR($B$5="",$C$6="",ROW()&lt;$B$5),"",IF(INDEX($A:$U,ROW(),$C$6)="","",INDEX($A:$U,ROW(),$C$6)))</f>
        <v/>
      </c>
      <c r="X1123" s="32">
        <f>IF($W1123="","",IF(ISNUMBER($W1123),IF($W1123&gt;=10000000,IFERROR(DATE(INT($W1123/10000),MOD(INT($W1123/100),100),MOD($W1123,100)),""),INT($W1123)),IFERROR(DATE(--LEFT(LEFT(SUBSTITUTE(SUBSTITUTE(SUBSTITUTE(SUBSTITUTE(TRIM($W1123),"-",""),".",""),"/","")," ",""),8),4),--MID(LEFT(SUBSTITUTE(SUBSTITUTE(SUBSTITUTE(SUBSTITUTE(TRIM($W1123),"-",""),".",""),"/","")," ",""),8),5,2),--MID(LEFT(SUBSTITUTE(SUBSTITUTE(SUBSTITUTE(SUBSTITUTE(TRIM($W1123),"-",""),".",""),"/","")," ",""),8),7,2)),"")))</f>
        <v/>
      </c>
      <c r="Y1123" s="32">
        <f>IF($X1123="","",INT($X1123))</f>
        <v/>
      </c>
      <c r="Z1123" s="33">
        <f>IF(OR($Y1123="",$D$6=""),"",IF(INDEX($A:$U,ROW(),$D$6)="",0,IF(ISNUMBER(INDEX($A:$U,ROW(),$D$6)),INDEX($A:$U,ROW(),$D$6),IFERROR(--SUBSTITUTE(SUBSTITUTE(TRIM(INDEX($A:$U,ROW(),$D$6)),",",""),"원",""),0))))</f>
        <v/>
      </c>
      <c r="AA1123" s="31">
        <f>IF($Y1123="","",TRIM(INDEX($A:$U,ROW(),$E$6)&amp;IF($F$6="",""," "&amp;INDEX($A:$U,ROW(),$F$6))))</f>
        <v/>
      </c>
      <c r="AB1123" s="31">
        <f>IF($AA1123="","",SUBSTITUTE(SUBSTITUTE(SUBSTITUTE(SUBSTITUTE(SUBSTITUTE(SUBSTITUTE(SUBSTITUTE(SUBSTITUTE(SUBSTITUTE($AA1123," ",""),"　",""),"(주)",""),"（주）",""),"㈜",""),"주식회사",""),"(유)",""),"（유）",""),"유한회사",""))</f>
        <v/>
      </c>
      <c r="AC1123" s="31">
        <f>IF(OR($Y1123="",N($Z1123)&lt;=0,$AB1123=""),0,IFERROR(LOOKUP(2,1/((거래처별!$AC$8:$AC$307&lt;&gt;"")*ISNUMBER(SEARCH(거래처별!$AC$8:$AC$307,$AB1123))),거래처별!$A$8:$A$307),IFERROR(LOOKUP(2,1/((거래처별!$AD$8:$AD$307&lt;&gt;"")*ISNUMBER(SEARCH(거래처별!$AD$8:$AD$307,$AB1123))),거래처별!$A$8:$A$307),IFERROR(LOOKUP(2,1/((거래처별!$AE$8:$AE$307&lt;&gt;"")*ISNUMBER(SEARCH(거래처별!$AE$8:$AE$307,$AB1123))),거래처별!$A$8:$A$307),0))))</f>
        <v/>
      </c>
      <c r="AD1123" s="31">
        <f>IF(AND($Y1123&lt;&gt;"",N($Z1123)&gt;0,$AC1123=0),MAX($AD$7:$AD1122)+1,"")</f>
        <v/>
      </c>
      <c r="AE1123" s="31">
        <f>IF($Y1123="",0,$Y1123)</f>
        <v/>
      </c>
    </row>
    <row r="1124">
      <c r="W1124" s="31">
        <f>IF(OR($B$5="",$C$6="",ROW()&lt;$B$5),"",IF(INDEX($A:$U,ROW(),$C$6)="","",INDEX($A:$U,ROW(),$C$6)))</f>
        <v/>
      </c>
      <c r="X1124" s="32">
        <f>IF($W1124="","",IF(ISNUMBER($W1124),IF($W1124&gt;=10000000,IFERROR(DATE(INT($W1124/10000),MOD(INT($W1124/100),100),MOD($W1124,100)),""),INT($W1124)),IFERROR(DATE(--LEFT(LEFT(SUBSTITUTE(SUBSTITUTE(SUBSTITUTE(SUBSTITUTE(TRIM($W1124),"-",""),".",""),"/","")," ",""),8),4),--MID(LEFT(SUBSTITUTE(SUBSTITUTE(SUBSTITUTE(SUBSTITUTE(TRIM($W1124),"-",""),".",""),"/","")," ",""),8),5,2),--MID(LEFT(SUBSTITUTE(SUBSTITUTE(SUBSTITUTE(SUBSTITUTE(TRIM($W1124),"-",""),".",""),"/","")," ",""),8),7,2)),"")))</f>
        <v/>
      </c>
      <c r="Y1124" s="32">
        <f>IF($X1124="","",INT($X1124))</f>
        <v/>
      </c>
      <c r="Z1124" s="33">
        <f>IF(OR($Y1124="",$D$6=""),"",IF(INDEX($A:$U,ROW(),$D$6)="",0,IF(ISNUMBER(INDEX($A:$U,ROW(),$D$6)),INDEX($A:$U,ROW(),$D$6),IFERROR(--SUBSTITUTE(SUBSTITUTE(TRIM(INDEX($A:$U,ROW(),$D$6)),",",""),"원",""),0))))</f>
        <v/>
      </c>
      <c r="AA1124" s="31">
        <f>IF($Y1124="","",TRIM(INDEX($A:$U,ROW(),$E$6)&amp;IF($F$6="",""," "&amp;INDEX($A:$U,ROW(),$F$6))))</f>
        <v/>
      </c>
      <c r="AB1124" s="31">
        <f>IF($AA1124="","",SUBSTITUTE(SUBSTITUTE(SUBSTITUTE(SUBSTITUTE(SUBSTITUTE(SUBSTITUTE(SUBSTITUTE(SUBSTITUTE(SUBSTITUTE($AA1124," ",""),"　",""),"(주)",""),"（주）",""),"㈜",""),"주식회사",""),"(유)",""),"（유）",""),"유한회사",""))</f>
        <v/>
      </c>
      <c r="AC1124" s="31">
        <f>IF(OR($Y1124="",N($Z1124)&lt;=0,$AB1124=""),0,IFERROR(LOOKUP(2,1/((거래처별!$AC$8:$AC$307&lt;&gt;"")*ISNUMBER(SEARCH(거래처별!$AC$8:$AC$307,$AB1124))),거래처별!$A$8:$A$307),IFERROR(LOOKUP(2,1/((거래처별!$AD$8:$AD$307&lt;&gt;"")*ISNUMBER(SEARCH(거래처별!$AD$8:$AD$307,$AB1124))),거래처별!$A$8:$A$307),IFERROR(LOOKUP(2,1/((거래처별!$AE$8:$AE$307&lt;&gt;"")*ISNUMBER(SEARCH(거래처별!$AE$8:$AE$307,$AB1124))),거래처별!$A$8:$A$307),0))))</f>
        <v/>
      </c>
      <c r="AD1124" s="31">
        <f>IF(AND($Y1124&lt;&gt;"",N($Z1124)&gt;0,$AC1124=0),MAX($AD$7:$AD1123)+1,"")</f>
        <v/>
      </c>
      <c r="AE1124" s="31">
        <f>IF($Y1124="",0,$Y1124)</f>
        <v/>
      </c>
    </row>
    <row r="1125">
      <c r="W1125" s="31">
        <f>IF(OR($B$5="",$C$6="",ROW()&lt;$B$5),"",IF(INDEX($A:$U,ROW(),$C$6)="","",INDEX($A:$U,ROW(),$C$6)))</f>
        <v/>
      </c>
      <c r="X1125" s="32">
        <f>IF($W1125="","",IF(ISNUMBER($W1125),IF($W1125&gt;=10000000,IFERROR(DATE(INT($W1125/10000),MOD(INT($W1125/100),100),MOD($W1125,100)),""),INT($W1125)),IFERROR(DATE(--LEFT(LEFT(SUBSTITUTE(SUBSTITUTE(SUBSTITUTE(SUBSTITUTE(TRIM($W1125),"-",""),".",""),"/","")," ",""),8),4),--MID(LEFT(SUBSTITUTE(SUBSTITUTE(SUBSTITUTE(SUBSTITUTE(TRIM($W1125),"-",""),".",""),"/","")," ",""),8),5,2),--MID(LEFT(SUBSTITUTE(SUBSTITUTE(SUBSTITUTE(SUBSTITUTE(TRIM($W1125),"-",""),".",""),"/","")," ",""),8),7,2)),"")))</f>
        <v/>
      </c>
      <c r="Y1125" s="32">
        <f>IF($X1125="","",INT($X1125))</f>
        <v/>
      </c>
      <c r="Z1125" s="33">
        <f>IF(OR($Y1125="",$D$6=""),"",IF(INDEX($A:$U,ROW(),$D$6)="",0,IF(ISNUMBER(INDEX($A:$U,ROW(),$D$6)),INDEX($A:$U,ROW(),$D$6),IFERROR(--SUBSTITUTE(SUBSTITUTE(TRIM(INDEX($A:$U,ROW(),$D$6)),",",""),"원",""),0))))</f>
        <v/>
      </c>
      <c r="AA1125" s="31">
        <f>IF($Y1125="","",TRIM(INDEX($A:$U,ROW(),$E$6)&amp;IF($F$6="",""," "&amp;INDEX($A:$U,ROW(),$F$6))))</f>
        <v/>
      </c>
      <c r="AB1125" s="31">
        <f>IF($AA1125="","",SUBSTITUTE(SUBSTITUTE(SUBSTITUTE(SUBSTITUTE(SUBSTITUTE(SUBSTITUTE(SUBSTITUTE(SUBSTITUTE(SUBSTITUTE($AA1125," ",""),"　",""),"(주)",""),"（주）",""),"㈜",""),"주식회사",""),"(유)",""),"（유）",""),"유한회사",""))</f>
        <v/>
      </c>
      <c r="AC1125" s="31">
        <f>IF(OR($Y1125="",N($Z1125)&lt;=0,$AB1125=""),0,IFERROR(LOOKUP(2,1/((거래처별!$AC$8:$AC$307&lt;&gt;"")*ISNUMBER(SEARCH(거래처별!$AC$8:$AC$307,$AB1125))),거래처별!$A$8:$A$307),IFERROR(LOOKUP(2,1/((거래처별!$AD$8:$AD$307&lt;&gt;"")*ISNUMBER(SEARCH(거래처별!$AD$8:$AD$307,$AB1125))),거래처별!$A$8:$A$307),IFERROR(LOOKUP(2,1/((거래처별!$AE$8:$AE$307&lt;&gt;"")*ISNUMBER(SEARCH(거래처별!$AE$8:$AE$307,$AB1125))),거래처별!$A$8:$A$307),0))))</f>
        <v/>
      </c>
      <c r="AD1125" s="31">
        <f>IF(AND($Y1125&lt;&gt;"",N($Z1125)&gt;0,$AC1125=0),MAX($AD$7:$AD1124)+1,"")</f>
        <v/>
      </c>
      <c r="AE1125" s="31">
        <f>IF($Y1125="",0,$Y1125)</f>
        <v/>
      </c>
    </row>
    <row r="1126">
      <c r="W1126" s="31">
        <f>IF(OR($B$5="",$C$6="",ROW()&lt;$B$5),"",IF(INDEX($A:$U,ROW(),$C$6)="","",INDEX($A:$U,ROW(),$C$6)))</f>
        <v/>
      </c>
      <c r="X1126" s="32">
        <f>IF($W1126="","",IF(ISNUMBER($W1126),IF($W1126&gt;=10000000,IFERROR(DATE(INT($W1126/10000),MOD(INT($W1126/100),100),MOD($W1126,100)),""),INT($W1126)),IFERROR(DATE(--LEFT(LEFT(SUBSTITUTE(SUBSTITUTE(SUBSTITUTE(SUBSTITUTE(TRIM($W1126),"-",""),".",""),"/","")," ",""),8),4),--MID(LEFT(SUBSTITUTE(SUBSTITUTE(SUBSTITUTE(SUBSTITUTE(TRIM($W1126),"-",""),".",""),"/","")," ",""),8),5,2),--MID(LEFT(SUBSTITUTE(SUBSTITUTE(SUBSTITUTE(SUBSTITUTE(TRIM($W1126),"-",""),".",""),"/","")," ",""),8),7,2)),"")))</f>
        <v/>
      </c>
      <c r="Y1126" s="32">
        <f>IF($X1126="","",INT($X1126))</f>
        <v/>
      </c>
      <c r="Z1126" s="33">
        <f>IF(OR($Y1126="",$D$6=""),"",IF(INDEX($A:$U,ROW(),$D$6)="",0,IF(ISNUMBER(INDEX($A:$U,ROW(),$D$6)),INDEX($A:$U,ROW(),$D$6),IFERROR(--SUBSTITUTE(SUBSTITUTE(TRIM(INDEX($A:$U,ROW(),$D$6)),",",""),"원",""),0))))</f>
        <v/>
      </c>
      <c r="AA1126" s="31">
        <f>IF($Y1126="","",TRIM(INDEX($A:$U,ROW(),$E$6)&amp;IF($F$6="",""," "&amp;INDEX($A:$U,ROW(),$F$6))))</f>
        <v/>
      </c>
      <c r="AB1126" s="31">
        <f>IF($AA1126="","",SUBSTITUTE(SUBSTITUTE(SUBSTITUTE(SUBSTITUTE(SUBSTITUTE(SUBSTITUTE(SUBSTITUTE(SUBSTITUTE(SUBSTITUTE($AA1126," ",""),"　",""),"(주)",""),"（주）",""),"㈜",""),"주식회사",""),"(유)",""),"（유）",""),"유한회사",""))</f>
        <v/>
      </c>
      <c r="AC1126" s="31">
        <f>IF(OR($Y1126="",N($Z1126)&lt;=0,$AB1126=""),0,IFERROR(LOOKUP(2,1/((거래처별!$AC$8:$AC$307&lt;&gt;"")*ISNUMBER(SEARCH(거래처별!$AC$8:$AC$307,$AB1126))),거래처별!$A$8:$A$307),IFERROR(LOOKUP(2,1/((거래처별!$AD$8:$AD$307&lt;&gt;"")*ISNUMBER(SEARCH(거래처별!$AD$8:$AD$307,$AB1126))),거래처별!$A$8:$A$307),IFERROR(LOOKUP(2,1/((거래처별!$AE$8:$AE$307&lt;&gt;"")*ISNUMBER(SEARCH(거래처별!$AE$8:$AE$307,$AB1126))),거래처별!$A$8:$A$307),0))))</f>
        <v/>
      </c>
      <c r="AD1126" s="31">
        <f>IF(AND($Y1126&lt;&gt;"",N($Z1126)&gt;0,$AC1126=0),MAX($AD$7:$AD1125)+1,"")</f>
        <v/>
      </c>
      <c r="AE1126" s="31">
        <f>IF($Y1126="",0,$Y1126)</f>
        <v/>
      </c>
    </row>
    <row r="1127">
      <c r="W1127" s="31">
        <f>IF(OR($B$5="",$C$6="",ROW()&lt;$B$5),"",IF(INDEX($A:$U,ROW(),$C$6)="","",INDEX($A:$U,ROW(),$C$6)))</f>
        <v/>
      </c>
      <c r="X1127" s="32">
        <f>IF($W1127="","",IF(ISNUMBER($W1127),IF($W1127&gt;=10000000,IFERROR(DATE(INT($W1127/10000),MOD(INT($W1127/100),100),MOD($W1127,100)),""),INT($W1127)),IFERROR(DATE(--LEFT(LEFT(SUBSTITUTE(SUBSTITUTE(SUBSTITUTE(SUBSTITUTE(TRIM($W1127),"-",""),".",""),"/","")," ",""),8),4),--MID(LEFT(SUBSTITUTE(SUBSTITUTE(SUBSTITUTE(SUBSTITUTE(TRIM($W1127),"-",""),".",""),"/","")," ",""),8),5,2),--MID(LEFT(SUBSTITUTE(SUBSTITUTE(SUBSTITUTE(SUBSTITUTE(TRIM($W1127),"-",""),".",""),"/","")," ",""),8),7,2)),"")))</f>
        <v/>
      </c>
      <c r="Y1127" s="32">
        <f>IF($X1127="","",INT($X1127))</f>
        <v/>
      </c>
      <c r="Z1127" s="33">
        <f>IF(OR($Y1127="",$D$6=""),"",IF(INDEX($A:$U,ROW(),$D$6)="",0,IF(ISNUMBER(INDEX($A:$U,ROW(),$D$6)),INDEX($A:$U,ROW(),$D$6),IFERROR(--SUBSTITUTE(SUBSTITUTE(TRIM(INDEX($A:$U,ROW(),$D$6)),",",""),"원",""),0))))</f>
        <v/>
      </c>
      <c r="AA1127" s="31">
        <f>IF($Y1127="","",TRIM(INDEX($A:$U,ROW(),$E$6)&amp;IF($F$6="",""," "&amp;INDEX($A:$U,ROW(),$F$6))))</f>
        <v/>
      </c>
      <c r="AB1127" s="31">
        <f>IF($AA1127="","",SUBSTITUTE(SUBSTITUTE(SUBSTITUTE(SUBSTITUTE(SUBSTITUTE(SUBSTITUTE(SUBSTITUTE(SUBSTITUTE(SUBSTITUTE($AA1127," ",""),"　",""),"(주)",""),"（주）",""),"㈜",""),"주식회사",""),"(유)",""),"（유）",""),"유한회사",""))</f>
        <v/>
      </c>
      <c r="AC1127" s="31">
        <f>IF(OR($Y1127="",N($Z1127)&lt;=0,$AB1127=""),0,IFERROR(LOOKUP(2,1/((거래처별!$AC$8:$AC$307&lt;&gt;"")*ISNUMBER(SEARCH(거래처별!$AC$8:$AC$307,$AB1127))),거래처별!$A$8:$A$307),IFERROR(LOOKUP(2,1/((거래처별!$AD$8:$AD$307&lt;&gt;"")*ISNUMBER(SEARCH(거래처별!$AD$8:$AD$307,$AB1127))),거래처별!$A$8:$A$307),IFERROR(LOOKUP(2,1/((거래처별!$AE$8:$AE$307&lt;&gt;"")*ISNUMBER(SEARCH(거래처별!$AE$8:$AE$307,$AB1127))),거래처별!$A$8:$A$307),0))))</f>
        <v/>
      </c>
      <c r="AD1127" s="31">
        <f>IF(AND($Y1127&lt;&gt;"",N($Z1127)&gt;0,$AC1127=0),MAX($AD$7:$AD1126)+1,"")</f>
        <v/>
      </c>
      <c r="AE1127" s="31">
        <f>IF($Y1127="",0,$Y1127)</f>
        <v/>
      </c>
    </row>
    <row r="1128">
      <c r="W1128" s="31">
        <f>IF(OR($B$5="",$C$6="",ROW()&lt;$B$5),"",IF(INDEX($A:$U,ROW(),$C$6)="","",INDEX($A:$U,ROW(),$C$6)))</f>
        <v/>
      </c>
      <c r="X1128" s="32">
        <f>IF($W1128="","",IF(ISNUMBER($W1128),IF($W1128&gt;=10000000,IFERROR(DATE(INT($W1128/10000),MOD(INT($W1128/100),100),MOD($W1128,100)),""),INT($W1128)),IFERROR(DATE(--LEFT(LEFT(SUBSTITUTE(SUBSTITUTE(SUBSTITUTE(SUBSTITUTE(TRIM($W1128),"-",""),".",""),"/","")," ",""),8),4),--MID(LEFT(SUBSTITUTE(SUBSTITUTE(SUBSTITUTE(SUBSTITUTE(TRIM($W1128),"-",""),".",""),"/","")," ",""),8),5,2),--MID(LEFT(SUBSTITUTE(SUBSTITUTE(SUBSTITUTE(SUBSTITUTE(TRIM($W1128),"-",""),".",""),"/","")," ",""),8),7,2)),"")))</f>
        <v/>
      </c>
      <c r="Y1128" s="32">
        <f>IF($X1128="","",INT($X1128))</f>
        <v/>
      </c>
      <c r="Z1128" s="33">
        <f>IF(OR($Y1128="",$D$6=""),"",IF(INDEX($A:$U,ROW(),$D$6)="",0,IF(ISNUMBER(INDEX($A:$U,ROW(),$D$6)),INDEX($A:$U,ROW(),$D$6),IFERROR(--SUBSTITUTE(SUBSTITUTE(TRIM(INDEX($A:$U,ROW(),$D$6)),",",""),"원",""),0))))</f>
        <v/>
      </c>
      <c r="AA1128" s="31">
        <f>IF($Y1128="","",TRIM(INDEX($A:$U,ROW(),$E$6)&amp;IF($F$6="",""," "&amp;INDEX($A:$U,ROW(),$F$6))))</f>
        <v/>
      </c>
      <c r="AB1128" s="31">
        <f>IF($AA1128="","",SUBSTITUTE(SUBSTITUTE(SUBSTITUTE(SUBSTITUTE(SUBSTITUTE(SUBSTITUTE(SUBSTITUTE(SUBSTITUTE(SUBSTITUTE($AA1128," ",""),"　",""),"(주)",""),"（주）",""),"㈜",""),"주식회사",""),"(유)",""),"（유）",""),"유한회사",""))</f>
        <v/>
      </c>
      <c r="AC1128" s="31">
        <f>IF(OR($Y1128="",N($Z1128)&lt;=0,$AB1128=""),0,IFERROR(LOOKUP(2,1/((거래처별!$AC$8:$AC$307&lt;&gt;"")*ISNUMBER(SEARCH(거래처별!$AC$8:$AC$307,$AB1128))),거래처별!$A$8:$A$307),IFERROR(LOOKUP(2,1/((거래처별!$AD$8:$AD$307&lt;&gt;"")*ISNUMBER(SEARCH(거래처별!$AD$8:$AD$307,$AB1128))),거래처별!$A$8:$A$307),IFERROR(LOOKUP(2,1/((거래처별!$AE$8:$AE$307&lt;&gt;"")*ISNUMBER(SEARCH(거래처별!$AE$8:$AE$307,$AB1128))),거래처별!$A$8:$A$307),0))))</f>
        <v/>
      </c>
      <c r="AD1128" s="31">
        <f>IF(AND($Y1128&lt;&gt;"",N($Z1128)&gt;0,$AC1128=0),MAX($AD$7:$AD1127)+1,"")</f>
        <v/>
      </c>
      <c r="AE1128" s="31">
        <f>IF($Y1128="",0,$Y1128)</f>
        <v/>
      </c>
    </row>
    <row r="1129">
      <c r="W1129" s="31">
        <f>IF(OR($B$5="",$C$6="",ROW()&lt;$B$5),"",IF(INDEX($A:$U,ROW(),$C$6)="","",INDEX($A:$U,ROW(),$C$6)))</f>
        <v/>
      </c>
      <c r="X1129" s="32">
        <f>IF($W1129="","",IF(ISNUMBER($W1129),IF($W1129&gt;=10000000,IFERROR(DATE(INT($W1129/10000),MOD(INT($W1129/100),100),MOD($W1129,100)),""),INT($W1129)),IFERROR(DATE(--LEFT(LEFT(SUBSTITUTE(SUBSTITUTE(SUBSTITUTE(SUBSTITUTE(TRIM($W1129),"-",""),".",""),"/","")," ",""),8),4),--MID(LEFT(SUBSTITUTE(SUBSTITUTE(SUBSTITUTE(SUBSTITUTE(TRIM($W1129),"-",""),".",""),"/","")," ",""),8),5,2),--MID(LEFT(SUBSTITUTE(SUBSTITUTE(SUBSTITUTE(SUBSTITUTE(TRIM($W1129),"-",""),".",""),"/","")," ",""),8),7,2)),"")))</f>
        <v/>
      </c>
      <c r="Y1129" s="32">
        <f>IF($X1129="","",INT($X1129))</f>
        <v/>
      </c>
      <c r="Z1129" s="33">
        <f>IF(OR($Y1129="",$D$6=""),"",IF(INDEX($A:$U,ROW(),$D$6)="",0,IF(ISNUMBER(INDEX($A:$U,ROW(),$D$6)),INDEX($A:$U,ROW(),$D$6),IFERROR(--SUBSTITUTE(SUBSTITUTE(TRIM(INDEX($A:$U,ROW(),$D$6)),",",""),"원",""),0))))</f>
        <v/>
      </c>
      <c r="AA1129" s="31">
        <f>IF($Y1129="","",TRIM(INDEX($A:$U,ROW(),$E$6)&amp;IF($F$6="",""," "&amp;INDEX($A:$U,ROW(),$F$6))))</f>
        <v/>
      </c>
      <c r="AB1129" s="31">
        <f>IF($AA1129="","",SUBSTITUTE(SUBSTITUTE(SUBSTITUTE(SUBSTITUTE(SUBSTITUTE(SUBSTITUTE(SUBSTITUTE(SUBSTITUTE(SUBSTITUTE($AA1129," ",""),"　",""),"(주)",""),"（주）",""),"㈜",""),"주식회사",""),"(유)",""),"（유）",""),"유한회사",""))</f>
        <v/>
      </c>
      <c r="AC1129" s="31">
        <f>IF(OR($Y1129="",N($Z1129)&lt;=0,$AB1129=""),0,IFERROR(LOOKUP(2,1/((거래처별!$AC$8:$AC$307&lt;&gt;"")*ISNUMBER(SEARCH(거래처별!$AC$8:$AC$307,$AB1129))),거래처별!$A$8:$A$307),IFERROR(LOOKUP(2,1/((거래처별!$AD$8:$AD$307&lt;&gt;"")*ISNUMBER(SEARCH(거래처별!$AD$8:$AD$307,$AB1129))),거래처별!$A$8:$A$307),IFERROR(LOOKUP(2,1/((거래처별!$AE$8:$AE$307&lt;&gt;"")*ISNUMBER(SEARCH(거래처별!$AE$8:$AE$307,$AB1129))),거래처별!$A$8:$A$307),0))))</f>
        <v/>
      </c>
      <c r="AD1129" s="31">
        <f>IF(AND($Y1129&lt;&gt;"",N($Z1129)&gt;0,$AC1129=0),MAX($AD$7:$AD1128)+1,"")</f>
        <v/>
      </c>
      <c r="AE1129" s="31">
        <f>IF($Y1129="",0,$Y1129)</f>
        <v/>
      </c>
    </row>
    <row r="1130">
      <c r="W1130" s="31">
        <f>IF(OR($B$5="",$C$6="",ROW()&lt;$B$5),"",IF(INDEX($A:$U,ROW(),$C$6)="","",INDEX($A:$U,ROW(),$C$6)))</f>
        <v/>
      </c>
      <c r="X1130" s="32">
        <f>IF($W1130="","",IF(ISNUMBER($W1130),IF($W1130&gt;=10000000,IFERROR(DATE(INT($W1130/10000),MOD(INT($W1130/100),100),MOD($W1130,100)),""),INT($W1130)),IFERROR(DATE(--LEFT(LEFT(SUBSTITUTE(SUBSTITUTE(SUBSTITUTE(SUBSTITUTE(TRIM($W1130),"-",""),".",""),"/","")," ",""),8),4),--MID(LEFT(SUBSTITUTE(SUBSTITUTE(SUBSTITUTE(SUBSTITUTE(TRIM($W1130),"-",""),".",""),"/","")," ",""),8),5,2),--MID(LEFT(SUBSTITUTE(SUBSTITUTE(SUBSTITUTE(SUBSTITUTE(TRIM($W1130),"-",""),".",""),"/","")," ",""),8),7,2)),"")))</f>
        <v/>
      </c>
      <c r="Y1130" s="32">
        <f>IF($X1130="","",INT($X1130))</f>
        <v/>
      </c>
      <c r="Z1130" s="33">
        <f>IF(OR($Y1130="",$D$6=""),"",IF(INDEX($A:$U,ROW(),$D$6)="",0,IF(ISNUMBER(INDEX($A:$U,ROW(),$D$6)),INDEX($A:$U,ROW(),$D$6),IFERROR(--SUBSTITUTE(SUBSTITUTE(TRIM(INDEX($A:$U,ROW(),$D$6)),",",""),"원",""),0))))</f>
        <v/>
      </c>
      <c r="AA1130" s="31">
        <f>IF($Y1130="","",TRIM(INDEX($A:$U,ROW(),$E$6)&amp;IF($F$6="",""," "&amp;INDEX($A:$U,ROW(),$F$6))))</f>
        <v/>
      </c>
      <c r="AB1130" s="31">
        <f>IF($AA1130="","",SUBSTITUTE(SUBSTITUTE(SUBSTITUTE(SUBSTITUTE(SUBSTITUTE(SUBSTITUTE(SUBSTITUTE(SUBSTITUTE(SUBSTITUTE($AA1130," ",""),"　",""),"(주)",""),"（주）",""),"㈜",""),"주식회사",""),"(유)",""),"（유）",""),"유한회사",""))</f>
        <v/>
      </c>
      <c r="AC1130" s="31">
        <f>IF(OR($Y1130="",N($Z1130)&lt;=0,$AB1130=""),0,IFERROR(LOOKUP(2,1/((거래처별!$AC$8:$AC$307&lt;&gt;"")*ISNUMBER(SEARCH(거래처별!$AC$8:$AC$307,$AB1130))),거래처별!$A$8:$A$307),IFERROR(LOOKUP(2,1/((거래처별!$AD$8:$AD$307&lt;&gt;"")*ISNUMBER(SEARCH(거래처별!$AD$8:$AD$307,$AB1130))),거래처별!$A$8:$A$307),IFERROR(LOOKUP(2,1/((거래처별!$AE$8:$AE$307&lt;&gt;"")*ISNUMBER(SEARCH(거래처별!$AE$8:$AE$307,$AB1130))),거래처별!$A$8:$A$307),0))))</f>
        <v/>
      </c>
      <c r="AD1130" s="31">
        <f>IF(AND($Y1130&lt;&gt;"",N($Z1130)&gt;0,$AC1130=0),MAX($AD$7:$AD1129)+1,"")</f>
        <v/>
      </c>
      <c r="AE1130" s="31">
        <f>IF($Y1130="",0,$Y1130)</f>
        <v/>
      </c>
    </row>
    <row r="1131">
      <c r="W1131" s="31">
        <f>IF(OR($B$5="",$C$6="",ROW()&lt;$B$5),"",IF(INDEX($A:$U,ROW(),$C$6)="","",INDEX($A:$U,ROW(),$C$6)))</f>
        <v/>
      </c>
      <c r="X1131" s="32">
        <f>IF($W1131="","",IF(ISNUMBER($W1131),IF($W1131&gt;=10000000,IFERROR(DATE(INT($W1131/10000),MOD(INT($W1131/100),100),MOD($W1131,100)),""),INT($W1131)),IFERROR(DATE(--LEFT(LEFT(SUBSTITUTE(SUBSTITUTE(SUBSTITUTE(SUBSTITUTE(TRIM($W1131),"-",""),".",""),"/","")," ",""),8),4),--MID(LEFT(SUBSTITUTE(SUBSTITUTE(SUBSTITUTE(SUBSTITUTE(TRIM($W1131),"-",""),".",""),"/","")," ",""),8),5,2),--MID(LEFT(SUBSTITUTE(SUBSTITUTE(SUBSTITUTE(SUBSTITUTE(TRIM($W1131),"-",""),".",""),"/","")," ",""),8),7,2)),"")))</f>
        <v/>
      </c>
      <c r="Y1131" s="32">
        <f>IF($X1131="","",INT($X1131))</f>
        <v/>
      </c>
      <c r="Z1131" s="33">
        <f>IF(OR($Y1131="",$D$6=""),"",IF(INDEX($A:$U,ROW(),$D$6)="",0,IF(ISNUMBER(INDEX($A:$U,ROW(),$D$6)),INDEX($A:$U,ROW(),$D$6),IFERROR(--SUBSTITUTE(SUBSTITUTE(TRIM(INDEX($A:$U,ROW(),$D$6)),",",""),"원",""),0))))</f>
        <v/>
      </c>
      <c r="AA1131" s="31">
        <f>IF($Y1131="","",TRIM(INDEX($A:$U,ROW(),$E$6)&amp;IF($F$6="",""," "&amp;INDEX($A:$U,ROW(),$F$6))))</f>
        <v/>
      </c>
      <c r="AB1131" s="31">
        <f>IF($AA1131="","",SUBSTITUTE(SUBSTITUTE(SUBSTITUTE(SUBSTITUTE(SUBSTITUTE(SUBSTITUTE(SUBSTITUTE(SUBSTITUTE(SUBSTITUTE($AA1131," ",""),"　",""),"(주)",""),"（주）",""),"㈜",""),"주식회사",""),"(유)",""),"（유）",""),"유한회사",""))</f>
        <v/>
      </c>
      <c r="AC1131" s="31">
        <f>IF(OR($Y1131="",N($Z1131)&lt;=0,$AB1131=""),0,IFERROR(LOOKUP(2,1/((거래처별!$AC$8:$AC$307&lt;&gt;"")*ISNUMBER(SEARCH(거래처별!$AC$8:$AC$307,$AB1131))),거래처별!$A$8:$A$307),IFERROR(LOOKUP(2,1/((거래처별!$AD$8:$AD$307&lt;&gt;"")*ISNUMBER(SEARCH(거래처별!$AD$8:$AD$307,$AB1131))),거래처별!$A$8:$A$307),IFERROR(LOOKUP(2,1/((거래처별!$AE$8:$AE$307&lt;&gt;"")*ISNUMBER(SEARCH(거래처별!$AE$8:$AE$307,$AB1131))),거래처별!$A$8:$A$307),0))))</f>
        <v/>
      </c>
      <c r="AD1131" s="31">
        <f>IF(AND($Y1131&lt;&gt;"",N($Z1131)&gt;0,$AC1131=0),MAX($AD$7:$AD1130)+1,"")</f>
        <v/>
      </c>
      <c r="AE1131" s="31">
        <f>IF($Y1131="",0,$Y1131)</f>
        <v/>
      </c>
    </row>
    <row r="1132">
      <c r="W1132" s="31">
        <f>IF(OR($B$5="",$C$6="",ROW()&lt;$B$5),"",IF(INDEX($A:$U,ROW(),$C$6)="","",INDEX($A:$U,ROW(),$C$6)))</f>
        <v/>
      </c>
      <c r="X1132" s="32">
        <f>IF($W1132="","",IF(ISNUMBER($W1132),IF($W1132&gt;=10000000,IFERROR(DATE(INT($W1132/10000),MOD(INT($W1132/100),100),MOD($W1132,100)),""),INT($W1132)),IFERROR(DATE(--LEFT(LEFT(SUBSTITUTE(SUBSTITUTE(SUBSTITUTE(SUBSTITUTE(TRIM($W1132),"-",""),".",""),"/","")," ",""),8),4),--MID(LEFT(SUBSTITUTE(SUBSTITUTE(SUBSTITUTE(SUBSTITUTE(TRIM($W1132),"-",""),".",""),"/","")," ",""),8),5,2),--MID(LEFT(SUBSTITUTE(SUBSTITUTE(SUBSTITUTE(SUBSTITUTE(TRIM($W1132),"-",""),".",""),"/","")," ",""),8),7,2)),"")))</f>
        <v/>
      </c>
      <c r="Y1132" s="32">
        <f>IF($X1132="","",INT($X1132))</f>
        <v/>
      </c>
      <c r="Z1132" s="33">
        <f>IF(OR($Y1132="",$D$6=""),"",IF(INDEX($A:$U,ROW(),$D$6)="",0,IF(ISNUMBER(INDEX($A:$U,ROW(),$D$6)),INDEX($A:$U,ROW(),$D$6),IFERROR(--SUBSTITUTE(SUBSTITUTE(TRIM(INDEX($A:$U,ROW(),$D$6)),",",""),"원",""),0))))</f>
        <v/>
      </c>
      <c r="AA1132" s="31">
        <f>IF($Y1132="","",TRIM(INDEX($A:$U,ROW(),$E$6)&amp;IF($F$6="",""," "&amp;INDEX($A:$U,ROW(),$F$6))))</f>
        <v/>
      </c>
      <c r="AB1132" s="31">
        <f>IF($AA1132="","",SUBSTITUTE(SUBSTITUTE(SUBSTITUTE(SUBSTITUTE(SUBSTITUTE(SUBSTITUTE(SUBSTITUTE(SUBSTITUTE(SUBSTITUTE($AA1132," ",""),"　",""),"(주)",""),"（주）",""),"㈜",""),"주식회사",""),"(유)",""),"（유）",""),"유한회사",""))</f>
        <v/>
      </c>
      <c r="AC1132" s="31">
        <f>IF(OR($Y1132="",N($Z1132)&lt;=0,$AB1132=""),0,IFERROR(LOOKUP(2,1/((거래처별!$AC$8:$AC$307&lt;&gt;"")*ISNUMBER(SEARCH(거래처별!$AC$8:$AC$307,$AB1132))),거래처별!$A$8:$A$307),IFERROR(LOOKUP(2,1/((거래처별!$AD$8:$AD$307&lt;&gt;"")*ISNUMBER(SEARCH(거래처별!$AD$8:$AD$307,$AB1132))),거래처별!$A$8:$A$307),IFERROR(LOOKUP(2,1/((거래처별!$AE$8:$AE$307&lt;&gt;"")*ISNUMBER(SEARCH(거래처별!$AE$8:$AE$307,$AB1132))),거래처별!$A$8:$A$307),0))))</f>
        <v/>
      </c>
      <c r="AD1132" s="31">
        <f>IF(AND($Y1132&lt;&gt;"",N($Z1132)&gt;0,$AC1132=0),MAX($AD$7:$AD1131)+1,"")</f>
        <v/>
      </c>
      <c r="AE1132" s="31">
        <f>IF($Y1132="",0,$Y1132)</f>
        <v/>
      </c>
    </row>
    <row r="1133">
      <c r="W1133" s="31">
        <f>IF(OR($B$5="",$C$6="",ROW()&lt;$B$5),"",IF(INDEX($A:$U,ROW(),$C$6)="","",INDEX($A:$U,ROW(),$C$6)))</f>
        <v/>
      </c>
      <c r="X1133" s="32">
        <f>IF($W1133="","",IF(ISNUMBER($W1133),IF($W1133&gt;=10000000,IFERROR(DATE(INT($W1133/10000),MOD(INT($W1133/100),100),MOD($W1133,100)),""),INT($W1133)),IFERROR(DATE(--LEFT(LEFT(SUBSTITUTE(SUBSTITUTE(SUBSTITUTE(SUBSTITUTE(TRIM($W1133),"-",""),".",""),"/","")," ",""),8),4),--MID(LEFT(SUBSTITUTE(SUBSTITUTE(SUBSTITUTE(SUBSTITUTE(TRIM($W1133),"-",""),".",""),"/","")," ",""),8),5,2),--MID(LEFT(SUBSTITUTE(SUBSTITUTE(SUBSTITUTE(SUBSTITUTE(TRIM($W1133),"-",""),".",""),"/","")," ",""),8),7,2)),"")))</f>
        <v/>
      </c>
      <c r="Y1133" s="32">
        <f>IF($X1133="","",INT($X1133))</f>
        <v/>
      </c>
      <c r="Z1133" s="33">
        <f>IF(OR($Y1133="",$D$6=""),"",IF(INDEX($A:$U,ROW(),$D$6)="",0,IF(ISNUMBER(INDEX($A:$U,ROW(),$D$6)),INDEX($A:$U,ROW(),$D$6),IFERROR(--SUBSTITUTE(SUBSTITUTE(TRIM(INDEX($A:$U,ROW(),$D$6)),",",""),"원",""),0))))</f>
        <v/>
      </c>
      <c r="AA1133" s="31">
        <f>IF($Y1133="","",TRIM(INDEX($A:$U,ROW(),$E$6)&amp;IF($F$6="",""," "&amp;INDEX($A:$U,ROW(),$F$6))))</f>
        <v/>
      </c>
      <c r="AB1133" s="31">
        <f>IF($AA1133="","",SUBSTITUTE(SUBSTITUTE(SUBSTITUTE(SUBSTITUTE(SUBSTITUTE(SUBSTITUTE(SUBSTITUTE(SUBSTITUTE(SUBSTITUTE($AA1133," ",""),"　",""),"(주)",""),"（주）",""),"㈜",""),"주식회사",""),"(유)",""),"（유）",""),"유한회사",""))</f>
        <v/>
      </c>
      <c r="AC1133" s="31">
        <f>IF(OR($Y1133="",N($Z1133)&lt;=0,$AB1133=""),0,IFERROR(LOOKUP(2,1/((거래처별!$AC$8:$AC$307&lt;&gt;"")*ISNUMBER(SEARCH(거래처별!$AC$8:$AC$307,$AB1133))),거래처별!$A$8:$A$307),IFERROR(LOOKUP(2,1/((거래처별!$AD$8:$AD$307&lt;&gt;"")*ISNUMBER(SEARCH(거래처별!$AD$8:$AD$307,$AB1133))),거래처별!$A$8:$A$307),IFERROR(LOOKUP(2,1/((거래처별!$AE$8:$AE$307&lt;&gt;"")*ISNUMBER(SEARCH(거래처별!$AE$8:$AE$307,$AB1133))),거래처별!$A$8:$A$307),0))))</f>
        <v/>
      </c>
      <c r="AD1133" s="31">
        <f>IF(AND($Y1133&lt;&gt;"",N($Z1133)&gt;0,$AC1133=0),MAX($AD$7:$AD1132)+1,"")</f>
        <v/>
      </c>
      <c r="AE1133" s="31">
        <f>IF($Y1133="",0,$Y1133)</f>
        <v/>
      </c>
    </row>
    <row r="1134">
      <c r="W1134" s="31">
        <f>IF(OR($B$5="",$C$6="",ROW()&lt;$B$5),"",IF(INDEX($A:$U,ROW(),$C$6)="","",INDEX($A:$U,ROW(),$C$6)))</f>
        <v/>
      </c>
      <c r="X1134" s="32">
        <f>IF($W1134="","",IF(ISNUMBER($W1134),IF($W1134&gt;=10000000,IFERROR(DATE(INT($W1134/10000),MOD(INT($W1134/100),100),MOD($W1134,100)),""),INT($W1134)),IFERROR(DATE(--LEFT(LEFT(SUBSTITUTE(SUBSTITUTE(SUBSTITUTE(SUBSTITUTE(TRIM($W1134),"-",""),".",""),"/","")," ",""),8),4),--MID(LEFT(SUBSTITUTE(SUBSTITUTE(SUBSTITUTE(SUBSTITUTE(TRIM($W1134),"-",""),".",""),"/","")," ",""),8),5,2),--MID(LEFT(SUBSTITUTE(SUBSTITUTE(SUBSTITUTE(SUBSTITUTE(TRIM($W1134),"-",""),".",""),"/","")," ",""),8),7,2)),"")))</f>
        <v/>
      </c>
      <c r="Y1134" s="32">
        <f>IF($X1134="","",INT($X1134))</f>
        <v/>
      </c>
      <c r="Z1134" s="33">
        <f>IF(OR($Y1134="",$D$6=""),"",IF(INDEX($A:$U,ROW(),$D$6)="",0,IF(ISNUMBER(INDEX($A:$U,ROW(),$D$6)),INDEX($A:$U,ROW(),$D$6),IFERROR(--SUBSTITUTE(SUBSTITUTE(TRIM(INDEX($A:$U,ROW(),$D$6)),",",""),"원",""),0))))</f>
        <v/>
      </c>
      <c r="AA1134" s="31">
        <f>IF($Y1134="","",TRIM(INDEX($A:$U,ROW(),$E$6)&amp;IF($F$6="",""," "&amp;INDEX($A:$U,ROW(),$F$6))))</f>
        <v/>
      </c>
      <c r="AB1134" s="31">
        <f>IF($AA1134="","",SUBSTITUTE(SUBSTITUTE(SUBSTITUTE(SUBSTITUTE(SUBSTITUTE(SUBSTITUTE(SUBSTITUTE(SUBSTITUTE(SUBSTITUTE($AA1134," ",""),"　",""),"(주)",""),"（주）",""),"㈜",""),"주식회사",""),"(유)",""),"（유）",""),"유한회사",""))</f>
        <v/>
      </c>
      <c r="AC1134" s="31">
        <f>IF(OR($Y1134="",N($Z1134)&lt;=0,$AB1134=""),0,IFERROR(LOOKUP(2,1/((거래처별!$AC$8:$AC$307&lt;&gt;"")*ISNUMBER(SEARCH(거래처별!$AC$8:$AC$307,$AB1134))),거래처별!$A$8:$A$307),IFERROR(LOOKUP(2,1/((거래처별!$AD$8:$AD$307&lt;&gt;"")*ISNUMBER(SEARCH(거래처별!$AD$8:$AD$307,$AB1134))),거래처별!$A$8:$A$307),IFERROR(LOOKUP(2,1/((거래처별!$AE$8:$AE$307&lt;&gt;"")*ISNUMBER(SEARCH(거래처별!$AE$8:$AE$307,$AB1134))),거래처별!$A$8:$A$307),0))))</f>
        <v/>
      </c>
      <c r="AD1134" s="31">
        <f>IF(AND($Y1134&lt;&gt;"",N($Z1134)&gt;0,$AC1134=0),MAX($AD$7:$AD1133)+1,"")</f>
        <v/>
      </c>
      <c r="AE1134" s="31">
        <f>IF($Y1134="",0,$Y1134)</f>
        <v/>
      </c>
    </row>
    <row r="1135">
      <c r="W1135" s="31">
        <f>IF(OR($B$5="",$C$6="",ROW()&lt;$B$5),"",IF(INDEX($A:$U,ROW(),$C$6)="","",INDEX($A:$U,ROW(),$C$6)))</f>
        <v/>
      </c>
      <c r="X1135" s="32">
        <f>IF($W1135="","",IF(ISNUMBER($W1135),IF($W1135&gt;=10000000,IFERROR(DATE(INT($W1135/10000),MOD(INT($W1135/100),100),MOD($W1135,100)),""),INT($W1135)),IFERROR(DATE(--LEFT(LEFT(SUBSTITUTE(SUBSTITUTE(SUBSTITUTE(SUBSTITUTE(TRIM($W1135),"-",""),".",""),"/","")," ",""),8),4),--MID(LEFT(SUBSTITUTE(SUBSTITUTE(SUBSTITUTE(SUBSTITUTE(TRIM($W1135),"-",""),".",""),"/","")," ",""),8),5,2),--MID(LEFT(SUBSTITUTE(SUBSTITUTE(SUBSTITUTE(SUBSTITUTE(TRIM($W1135),"-",""),".",""),"/","")," ",""),8),7,2)),"")))</f>
        <v/>
      </c>
      <c r="Y1135" s="32">
        <f>IF($X1135="","",INT($X1135))</f>
        <v/>
      </c>
      <c r="Z1135" s="33">
        <f>IF(OR($Y1135="",$D$6=""),"",IF(INDEX($A:$U,ROW(),$D$6)="",0,IF(ISNUMBER(INDEX($A:$U,ROW(),$D$6)),INDEX($A:$U,ROW(),$D$6),IFERROR(--SUBSTITUTE(SUBSTITUTE(TRIM(INDEX($A:$U,ROW(),$D$6)),",",""),"원",""),0))))</f>
        <v/>
      </c>
      <c r="AA1135" s="31">
        <f>IF($Y1135="","",TRIM(INDEX($A:$U,ROW(),$E$6)&amp;IF($F$6="",""," "&amp;INDEX($A:$U,ROW(),$F$6))))</f>
        <v/>
      </c>
      <c r="AB1135" s="31">
        <f>IF($AA1135="","",SUBSTITUTE(SUBSTITUTE(SUBSTITUTE(SUBSTITUTE(SUBSTITUTE(SUBSTITUTE(SUBSTITUTE(SUBSTITUTE(SUBSTITUTE($AA1135," ",""),"　",""),"(주)",""),"（주）",""),"㈜",""),"주식회사",""),"(유)",""),"（유）",""),"유한회사",""))</f>
        <v/>
      </c>
      <c r="AC1135" s="31">
        <f>IF(OR($Y1135="",N($Z1135)&lt;=0,$AB1135=""),0,IFERROR(LOOKUP(2,1/((거래처별!$AC$8:$AC$307&lt;&gt;"")*ISNUMBER(SEARCH(거래처별!$AC$8:$AC$307,$AB1135))),거래처별!$A$8:$A$307),IFERROR(LOOKUP(2,1/((거래처별!$AD$8:$AD$307&lt;&gt;"")*ISNUMBER(SEARCH(거래처별!$AD$8:$AD$307,$AB1135))),거래처별!$A$8:$A$307),IFERROR(LOOKUP(2,1/((거래처별!$AE$8:$AE$307&lt;&gt;"")*ISNUMBER(SEARCH(거래처별!$AE$8:$AE$307,$AB1135))),거래처별!$A$8:$A$307),0))))</f>
        <v/>
      </c>
      <c r="AD1135" s="31">
        <f>IF(AND($Y1135&lt;&gt;"",N($Z1135)&gt;0,$AC1135=0),MAX($AD$7:$AD1134)+1,"")</f>
        <v/>
      </c>
      <c r="AE1135" s="31">
        <f>IF($Y1135="",0,$Y1135)</f>
        <v/>
      </c>
    </row>
    <row r="1136">
      <c r="W1136" s="31">
        <f>IF(OR($B$5="",$C$6="",ROW()&lt;$B$5),"",IF(INDEX($A:$U,ROW(),$C$6)="","",INDEX($A:$U,ROW(),$C$6)))</f>
        <v/>
      </c>
      <c r="X1136" s="32">
        <f>IF($W1136="","",IF(ISNUMBER($W1136),IF($W1136&gt;=10000000,IFERROR(DATE(INT($W1136/10000),MOD(INT($W1136/100),100),MOD($W1136,100)),""),INT($W1136)),IFERROR(DATE(--LEFT(LEFT(SUBSTITUTE(SUBSTITUTE(SUBSTITUTE(SUBSTITUTE(TRIM($W1136),"-",""),".",""),"/","")," ",""),8),4),--MID(LEFT(SUBSTITUTE(SUBSTITUTE(SUBSTITUTE(SUBSTITUTE(TRIM($W1136),"-",""),".",""),"/","")," ",""),8),5,2),--MID(LEFT(SUBSTITUTE(SUBSTITUTE(SUBSTITUTE(SUBSTITUTE(TRIM($W1136),"-",""),".",""),"/","")," ",""),8),7,2)),"")))</f>
        <v/>
      </c>
      <c r="Y1136" s="32">
        <f>IF($X1136="","",INT($X1136))</f>
        <v/>
      </c>
      <c r="Z1136" s="33">
        <f>IF(OR($Y1136="",$D$6=""),"",IF(INDEX($A:$U,ROW(),$D$6)="",0,IF(ISNUMBER(INDEX($A:$U,ROW(),$D$6)),INDEX($A:$U,ROW(),$D$6),IFERROR(--SUBSTITUTE(SUBSTITUTE(TRIM(INDEX($A:$U,ROW(),$D$6)),",",""),"원",""),0))))</f>
        <v/>
      </c>
      <c r="AA1136" s="31">
        <f>IF($Y1136="","",TRIM(INDEX($A:$U,ROW(),$E$6)&amp;IF($F$6="",""," "&amp;INDEX($A:$U,ROW(),$F$6))))</f>
        <v/>
      </c>
      <c r="AB1136" s="31">
        <f>IF($AA1136="","",SUBSTITUTE(SUBSTITUTE(SUBSTITUTE(SUBSTITUTE(SUBSTITUTE(SUBSTITUTE(SUBSTITUTE(SUBSTITUTE(SUBSTITUTE($AA1136," ",""),"　",""),"(주)",""),"（주）",""),"㈜",""),"주식회사",""),"(유)",""),"（유）",""),"유한회사",""))</f>
        <v/>
      </c>
      <c r="AC1136" s="31">
        <f>IF(OR($Y1136="",N($Z1136)&lt;=0,$AB1136=""),0,IFERROR(LOOKUP(2,1/((거래처별!$AC$8:$AC$307&lt;&gt;"")*ISNUMBER(SEARCH(거래처별!$AC$8:$AC$307,$AB1136))),거래처별!$A$8:$A$307),IFERROR(LOOKUP(2,1/((거래처별!$AD$8:$AD$307&lt;&gt;"")*ISNUMBER(SEARCH(거래처별!$AD$8:$AD$307,$AB1136))),거래처별!$A$8:$A$307),IFERROR(LOOKUP(2,1/((거래처별!$AE$8:$AE$307&lt;&gt;"")*ISNUMBER(SEARCH(거래처별!$AE$8:$AE$307,$AB1136))),거래처별!$A$8:$A$307),0))))</f>
        <v/>
      </c>
      <c r="AD1136" s="31">
        <f>IF(AND($Y1136&lt;&gt;"",N($Z1136)&gt;0,$AC1136=0),MAX($AD$7:$AD1135)+1,"")</f>
        <v/>
      </c>
      <c r="AE1136" s="31">
        <f>IF($Y1136="",0,$Y1136)</f>
        <v/>
      </c>
    </row>
    <row r="1137">
      <c r="W1137" s="31">
        <f>IF(OR($B$5="",$C$6="",ROW()&lt;$B$5),"",IF(INDEX($A:$U,ROW(),$C$6)="","",INDEX($A:$U,ROW(),$C$6)))</f>
        <v/>
      </c>
      <c r="X1137" s="32">
        <f>IF($W1137="","",IF(ISNUMBER($W1137),IF($W1137&gt;=10000000,IFERROR(DATE(INT($W1137/10000),MOD(INT($W1137/100),100),MOD($W1137,100)),""),INT($W1137)),IFERROR(DATE(--LEFT(LEFT(SUBSTITUTE(SUBSTITUTE(SUBSTITUTE(SUBSTITUTE(TRIM($W1137),"-",""),".",""),"/","")," ",""),8),4),--MID(LEFT(SUBSTITUTE(SUBSTITUTE(SUBSTITUTE(SUBSTITUTE(TRIM($W1137),"-",""),".",""),"/","")," ",""),8),5,2),--MID(LEFT(SUBSTITUTE(SUBSTITUTE(SUBSTITUTE(SUBSTITUTE(TRIM($W1137),"-",""),".",""),"/","")," ",""),8),7,2)),"")))</f>
        <v/>
      </c>
      <c r="Y1137" s="32">
        <f>IF($X1137="","",INT($X1137))</f>
        <v/>
      </c>
      <c r="Z1137" s="33">
        <f>IF(OR($Y1137="",$D$6=""),"",IF(INDEX($A:$U,ROW(),$D$6)="",0,IF(ISNUMBER(INDEX($A:$U,ROW(),$D$6)),INDEX($A:$U,ROW(),$D$6),IFERROR(--SUBSTITUTE(SUBSTITUTE(TRIM(INDEX($A:$U,ROW(),$D$6)),",",""),"원",""),0))))</f>
        <v/>
      </c>
      <c r="AA1137" s="31">
        <f>IF($Y1137="","",TRIM(INDEX($A:$U,ROW(),$E$6)&amp;IF($F$6="",""," "&amp;INDEX($A:$U,ROW(),$F$6))))</f>
        <v/>
      </c>
      <c r="AB1137" s="31">
        <f>IF($AA1137="","",SUBSTITUTE(SUBSTITUTE(SUBSTITUTE(SUBSTITUTE(SUBSTITUTE(SUBSTITUTE(SUBSTITUTE(SUBSTITUTE(SUBSTITUTE($AA1137," ",""),"　",""),"(주)",""),"（주）",""),"㈜",""),"주식회사",""),"(유)",""),"（유）",""),"유한회사",""))</f>
        <v/>
      </c>
      <c r="AC1137" s="31">
        <f>IF(OR($Y1137="",N($Z1137)&lt;=0,$AB1137=""),0,IFERROR(LOOKUP(2,1/((거래처별!$AC$8:$AC$307&lt;&gt;"")*ISNUMBER(SEARCH(거래처별!$AC$8:$AC$307,$AB1137))),거래처별!$A$8:$A$307),IFERROR(LOOKUP(2,1/((거래처별!$AD$8:$AD$307&lt;&gt;"")*ISNUMBER(SEARCH(거래처별!$AD$8:$AD$307,$AB1137))),거래처별!$A$8:$A$307),IFERROR(LOOKUP(2,1/((거래처별!$AE$8:$AE$307&lt;&gt;"")*ISNUMBER(SEARCH(거래처별!$AE$8:$AE$307,$AB1137))),거래처별!$A$8:$A$307),0))))</f>
        <v/>
      </c>
      <c r="AD1137" s="31">
        <f>IF(AND($Y1137&lt;&gt;"",N($Z1137)&gt;0,$AC1137=0),MAX($AD$7:$AD1136)+1,"")</f>
        <v/>
      </c>
      <c r="AE1137" s="31">
        <f>IF($Y1137="",0,$Y1137)</f>
        <v/>
      </c>
    </row>
    <row r="1138">
      <c r="W1138" s="31">
        <f>IF(OR($B$5="",$C$6="",ROW()&lt;$B$5),"",IF(INDEX($A:$U,ROW(),$C$6)="","",INDEX($A:$U,ROW(),$C$6)))</f>
        <v/>
      </c>
      <c r="X1138" s="32">
        <f>IF($W1138="","",IF(ISNUMBER($W1138),IF($W1138&gt;=10000000,IFERROR(DATE(INT($W1138/10000),MOD(INT($W1138/100),100),MOD($W1138,100)),""),INT($W1138)),IFERROR(DATE(--LEFT(LEFT(SUBSTITUTE(SUBSTITUTE(SUBSTITUTE(SUBSTITUTE(TRIM($W1138),"-",""),".",""),"/","")," ",""),8),4),--MID(LEFT(SUBSTITUTE(SUBSTITUTE(SUBSTITUTE(SUBSTITUTE(TRIM($W1138),"-",""),".",""),"/","")," ",""),8),5,2),--MID(LEFT(SUBSTITUTE(SUBSTITUTE(SUBSTITUTE(SUBSTITUTE(TRIM($W1138),"-",""),".",""),"/","")," ",""),8),7,2)),"")))</f>
        <v/>
      </c>
      <c r="Y1138" s="32">
        <f>IF($X1138="","",INT($X1138))</f>
        <v/>
      </c>
      <c r="Z1138" s="33">
        <f>IF(OR($Y1138="",$D$6=""),"",IF(INDEX($A:$U,ROW(),$D$6)="",0,IF(ISNUMBER(INDEX($A:$U,ROW(),$D$6)),INDEX($A:$U,ROW(),$D$6),IFERROR(--SUBSTITUTE(SUBSTITUTE(TRIM(INDEX($A:$U,ROW(),$D$6)),",",""),"원",""),0))))</f>
        <v/>
      </c>
      <c r="AA1138" s="31">
        <f>IF($Y1138="","",TRIM(INDEX($A:$U,ROW(),$E$6)&amp;IF($F$6="",""," "&amp;INDEX($A:$U,ROW(),$F$6))))</f>
        <v/>
      </c>
      <c r="AB1138" s="31">
        <f>IF($AA1138="","",SUBSTITUTE(SUBSTITUTE(SUBSTITUTE(SUBSTITUTE(SUBSTITUTE(SUBSTITUTE(SUBSTITUTE(SUBSTITUTE(SUBSTITUTE($AA1138," ",""),"　",""),"(주)",""),"（주）",""),"㈜",""),"주식회사",""),"(유)",""),"（유）",""),"유한회사",""))</f>
        <v/>
      </c>
      <c r="AC1138" s="31">
        <f>IF(OR($Y1138="",N($Z1138)&lt;=0,$AB1138=""),0,IFERROR(LOOKUP(2,1/((거래처별!$AC$8:$AC$307&lt;&gt;"")*ISNUMBER(SEARCH(거래처별!$AC$8:$AC$307,$AB1138))),거래처별!$A$8:$A$307),IFERROR(LOOKUP(2,1/((거래처별!$AD$8:$AD$307&lt;&gt;"")*ISNUMBER(SEARCH(거래처별!$AD$8:$AD$307,$AB1138))),거래처별!$A$8:$A$307),IFERROR(LOOKUP(2,1/((거래처별!$AE$8:$AE$307&lt;&gt;"")*ISNUMBER(SEARCH(거래처별!$AE$8:$AE$307,$AB1138))),거래처별!$A$8:$A$307),0))))</f>
        <v/>
      </c>
      <c r="AD1138" s="31">
        <f>IF(AND($Y1138&lt;&gt;"",N($Z1138)&gt;0,$AC1138=0),MAX($AD$7:$AD1137)+1,"")</f>
        <v/>
      </c>
      <c r="AE1138" s="31">
        <f>IF($Y1138="",0,$Y1138)</f>
        <v/>
      </c>
    </row>
    <row r="1139">
      <c r="W1139" s="31">
        <f>IF(OR($B$5="",$C$6="",ROW()&lt;$B$5),"",IF(INDEX($A:$U,ROW(),$C$6)="","",INDEX($A:$U,ROW(),$C$6)))</f>
        <v/>
      </c>
      <c r="X1139" s="32">
        <f>IF($W1139="","",IF(ISNUMBER($W1139),IF($W1139&gt;=10000000,IFERROR(DATE(INT($W1139/10000),MOD(INT($W1139/100),100),MOD($W1139,100)),""),INT($W1139)),IFERROR(DATE(--LEFT(LEFT(SUBSTITUTE(SUBSTITUTE(SUBSTITUTE(SUBSTITUTE(TRIM($W1139),"-",""),".",""),"/","")," ",""),8),4),--MID(LEFT(SUBSTITUTE(SUBSTITUTE(SUBSTITUTE(SUBSTITUTE(TRIM($W1139),"-",""),".",""),"/","")," ",""),8),5,2),--MID(LEFT(SUBSTITUTE(SUBSTITUTE(SUBSTITUTE(SUBSTITUTE(TRIM($W1139),"-",""),".",""),"/","")," ",""),8),7,2)),"")))</f>
        <v/>
      </c>
      <c r="Y1139" s="32">
        <f>IF($X1139="","",INT($X1139))</f>
        <v/>
      </c>
      <c r="Z1139" s="33">
        <f>IF(OR($Y1139="",$D$6=""),"",IF(INDEX($A:$U,ROW(),$D$6)="",0,IF(ISNUMBER(INDEX($A:$U,ROW(),$D$6)),INDEX($A:$U,ROW(),$D$6),IFERROR(--SUBSTITUTE(SUBSTITUTE(TRIM(INDEX($A:$U,ROW(),$D$6)),",",""),"원",""),0))))</f>
        <v/>
      </c>
      <c r="AA1139" s="31">
        <f>IF($Y1139="","",TRIM(INDEX($A:$U,ROW(),$E$6)&amp;IF($F$6="",""," "&amp;INDEX($A:$U,ROW(),$F$6))))</f>
        <v/>
      </c>
      <c r="AB1139" s="31">
        <f>IF($AA1139="","",SUBSTITUTE(SUBSTITUTE(SUBSTITUTE(SUBSTITUTE(SUBSTITUTE(SUBSTITUTE(SUBSTITUTE(SUBSTITUTE(SUBSTITUTE($AA1139," ",""),"　",""),"(주)",""),"（주）",""),"㈜",""),"주식회사",""),"(유)",""),"（유）",""),"유한회사",""))</f>
        <v/>
      </c>
      <c r="AC1139" s="31">
        <f>IF(OR($Y1139="",N($Z1139)&lt;=0,$AB1139=""),0,IFERROR(LOOKUP(2,1/((거래처별!$AC$8:$AC$307&lt;&gt;"")*ISNUMBER(SEARCH(거래처별!$AC$8:$AC$307,$AB1139))),거래처별!$A$8:$A$307),IFERROR(LOOKUP(2,1/((거래처별!$AD$8:$AD$307&lt;&gt;"")*ISNUMBER(SEARCH(거래처별!$AD$8:$AD$307,$AB1139))),거래처별!$A$8:$A$307),IFERROR(LOOKUP(2,1/((거래처별!$AE$8:$AE$307&lt;&gt;"")*ISNUMBER(SEARCH(거래처별!$AE$8:$AE$307,$AB1139))),거래처별!$A$8:$A$307),0))))</f>
        <v/>
      </c>
      <c r="AD1139" s="31">
        <f>IF(AND($Y1139&lt;&gt;"",N($Z1139)&gt;0,$AC1139=0),MAX($AD$7:$AD1138)+1,"")</f>
        <v/>
      </c>
      <c r="AE1139" s="31">
        <f>IF($Y1139="",0,$Y1139)</f>
        <v/>
      </c>
    </row>
    <row r="1140">
      <c r="W1140" s="31">
        <f>IF(OR($B$5="",$C$6="",ROW()&lt;$B$5),"",IF(INDEX($A:$U,ROW(),$C$6)="","",INDEX($A:$U,ROW(),$C$6)))</f>
        <v/>
      </c>
      <c r="X1140" s="32">
        <f>IF($W1140="","",IF(ISNUMBER($W1140),IF($W1140&gt;=10000000,IFERROR(DATE(INT($W1140/10000),MOD(INT($W1140/100),100),MOD($W1140,100)),""),INT($W1140)),IFERROR(DATE(--LEFT(LEFT(SUBSTITUTE(SUBSTITUTE(SUBSTITUTE(SUBSTITUTE(TRIM($W1140),"-",""),".",""),"/","")," ",""),8),4),--MID(LEFT(SUBSTITUTE(SUBSTITUTE(SUBSTITUTE(SUBSTITUTE(TRIM($W1140),"-",""),".",""),"/","")," ",""),8),5,2),--MID(LEFT(SUBSTITUTE(SUBSTITUTE(SUBSTITUTE(SUBSTITUTE(TRIM($W1140),"-",""),".",""),"/","")," ",""),8),7,2)),"")))</f>
        <v/>
      </c>
      <c r="Y1140" s="32">
        <f>IF($X1140="","",INT($X1140))</f>
        <v/>
      </c>
      <c r="Z1140" s="33">
        <f>IF(OR($Y1140="",$D$6=""),"",IF(INDEX($A:$U,ROW(),$D$6)="",0,IF(ISNUMBER(INDEX($A:$U,ROW(),$D$6)),INDEX($A:$U,ROW(),$D$6),IFERROR(--SUBSTITUTE(SUBSTITUTE(TRIM(INDEX($A:$U,ROW(),$D$6)),",",""),"원",""),0))))</f>
        <v/>
      </c>
      <c r="AA1140" s="31">
        <f>IF($Y1140="","",TRIM(INDEX($A:$U,ROW(),$E$6)&amp;IF($F$6="",""," "&amp;INDEX($A:$U,ROW(),$F$6))))</f>
        <v/>
      </c>
      <c r="AB1140" s="31">
        <f>IF($AA1140="","",SUBSTITUTE(SUBSTITUTE(SUBSTITUTE(SUBSTITUTE(SUBSTITUTE(SUBSTITUTE(SUBSTITUTE(SUBSTITUTE(SUBSTITUTE($AA1140," ",""),"　",""),"(주)",""),"（주）",""),"㈜",""),"주식회사",""),"(유)",""),"（유）",""),"유한회사",""))</f>
        <v/>
      </c>
      <c r="AC1140" s="31">
        <f>IF(OR($Y1140="",N($Z1140)&lt;=0,$AB1140=""),0,IFERROR(LOOKUP(2,1/((거래처별!$AC$8:$AC$307&lt;&gt;"")*ISNUMBER(SEARCH(거래처별!$AC$8:$AC$307,$AB1140))),거래처별!$A$8:$A$307),IFERROR(LOOKUP(2,1/((거래처별!$AD$8:$AD$307&lt;&gt;"")*ISNUMBER(SEARCH(거래처별!$AD$8:$AD$307,$AB1140))),거래처별!$A$8:$A$307),IFERROR(LOOKUP(2,1/((거래처별!$AE$8:$AE$307&lt;&gt;"")*ISNUMBER(SEARCH(거래처별!$AE$8:$AE$307,$AB1140))),거래처별!$A$8:$A$307),0))))</f>
        <v/>
      </c>
      <c r="AD1140" s="31">
        <f>IF(AND($Y1140&lt;&gt;"",N($Z1140)&gt;0,$AC1140=0),MAX($AD$7:$AD1139)+1,"")</f>
        <v/>
      </c>
      <c r="AE1140" s="31">
        <f>IF($Y1140="",0,$Y1140)</f>
        <v/>
      </c>
    </row>
    <row r="1141">
      <c r="W1141" s="31">
        <f>IF(OR($B$5="",$C$6="",ROW()&lt;$B$5),"",IF(INDEX($A:$U,ROW(),$C$6)="","",INDEX($A:$U,ROW(),$C$6)))</f>
        <v/>
      </c>
      <c r="X1141" s="32">
        <f>IF($W1141="","",IF(ISNUMBER($W1141),IF($W1141&gt;=10000000,IFERROR(DATE(INT($W1141/10000),MOD(INT($W1141/100),100),MOD($W1141,100)),""),INT($W1141)),IFERROR(DATE(--LEFT(LEFT(SUBSTITUTE(SUBSTITUTE(SUBSTITUTE(SUBSTITUTE(TRIM($W1141),"-",""),".",""),"/","")," ",""),8),4),--MID(LEFT(SUBSTITUTE(SUBSTITUTE(SUBSTITUTE(SUBSTITUTE(TRIM($W1141),"-",""),".",""),"/","")," ",""),8),5,2),--MID(LEFT(SUBSTITUTE(SUBSTITUTE(SUBSTITUTE(SUBSTITUTE(TRIM($W1141),"-",""),".",""),"/","")," ",""),8),7,2)),"")))</f>
        <v/>
      </c>
      <c r="Y1141" s="32">
        <f>IF($X1141="","",INT($X1141))</f>
        <v/>
      </c>
      <c r="Z1141" s="33">
        <f>IF(OR($Y1141="",$D$6=""),"",IF(INDEX($A:$U,ROW(),$D$6)="",0,IF(ISNUMBER(INDEX($A:$U,ROW(),$D$6)),INDEX($A:$U,ROW(),$D$6),IFERROR(--SUBSTITUTE(SUBSTITUTE(TRIM(INDEX($A:$U,ROW(),$D$6)),",",""),"원",""),0))))</f>
        <v/>
      </c>
      <c r="AA1141" s="31">
        <f>IF($Y1141="","",TRIM(INDEX($A:$U,ROW(),$E$6)&amp;IF($F$6="",""," "&amp;INDEX($A:$U,ROW(),$F$6))))</f>
        <v/>
      </c>
      <c r="AB1141" s="31">
        <f>IF($AA1141="","",SUBSTITUTE(SUBSTITUTE(SUBSTITUTE(SUBSTITUTE(SUBSTITUTE(SUBSTITUTE(SUBSTITUTE(SUBSTITUTE(SUBSTITUTE($AA1141," ",""),"　",""),"(주)",""),"（주）",""),"㈜",""),"주식회사",""),"(유)",""),"（유）",""),"유한회사",""))</f>
        <v/>
      </c>
      <c r="AC1141" s="31">
        <f>IF(OR($Y1141="",N($Z1141)&lt;=0,$AB1141=""),0,IFERROR(LOOKUP(2,1/((거래처별!$AC$8:$AC$307&lt;&gt;"")*ISNUMBER(SEARCH(거래처별!$AC$8:$AC$307,$AB1141))),거래처별!$A$8:$A$307),IFERROR(LOOKUP(2,1/((거래처별!$AD$8:$AD$307&lt;&gt;"")*ISNUMBER(SEARCH(거래처별!$AD$8:$AD$307,$AB1141))),거래처별!$A$8:$A$307),IFERROR(LOOKUP(2,1/((거래처별!$AE$8:$AE$307&lt;&gt;"")*ISNUMBER(SEARCH(거래처별!$AE$8:$AE$307,$AB1141))),거래처별!$A$8:$A$307),0))))</f>
        <v/>
      </c>
      <c r="AD1141" s="31">
        <f>IF(AND($Y1141&lt;&gt;"",N($Z1141)&gt;0,$AC1141=0),MAX($AD$7:$AD1140)+1,"")</f>
        <v/>
      </c>
      <c r="AE1141" s="31">
        <f>IF($Y1141="",0,$Y1141)</f>
        <v/>
      </c>
    </row>
    <row r="1142">
      <c r="W1142" s="31">
        <f>IF(OR($B$5="",$C$6="",ROW()&lt;$B$5),"",IF(INDEX($A:$U,ROW(),$C$6)="","",INDEX($A:$U,ROW(),$C$6)))</f>
        <v/>
      </c>
      <c r="X1142" s="32">
        <f>IF($W1142="","",IF(ISNUMBER($W1142),IF($W1142&gt;=10000000,IFERROR(DATE(INT($W1142/10000),MOD(INT($W1142/100),100),MOD($W1142,100)),""),INT($W1142)),IFERROR(DATE(--LEFT(LEFT(SUBSTITUTE(SUBSTITUTE(SUBSTITUTE(SUBSTITUTE(TRIM($W1142),"-",""),".",""),"/","")," ",""),8),4),--MID(LEFT(SUBSTITUTE(SUBSTITUTE(SUBSTITUTE(SUBSTITUTE(TRIM($W1142),"-",""),".",""),"/","")," ",""),8),5,2),--MID(LEFT(SUBSTITUTE(SUBSTITUTE(SUBSTITUTE(SUBSTITUTE(TRIM($W1142),"-",""),".",""),"/","")," ",""),8),7,2)),"")))</f>
        <v/>
      </c>
      <c r="Y1142" s="32">
        <f>IF($X1142="","",INT($X1142))</f>
        <v/>
      </c>
      <c r="Z1142" s="33">
        <f>IF(OR($Y1142="",$D$6=""),"",IF(INDEX($A:$U,ROW(),$D$6)="",0,IF(ISNUMBER(INDEX($A:$U,ROW(),$D$6)),INDEX($A:$U,ROW(),$D$6),IFERROR(--SUBSTITUTE(SUBSTITUTE(TRIM(INDEX($A:$U,ROW(),$D$6)),",",""),"원",""),0))))</f>
        <v/>
      </c>
      <c r="AA1142" s="31">
        <f>IF($Y1142="","",TRIM(INDEX($A:$U,ROW(),$E$6)&amp;IF($F$6="",""," "&amp;INDEX($A:$U,ROW(),$F$6))))</f>
        <v/>
      </c>
      <c r="AB1142" s="31">
        <f>IF($AA1142="","",SUBSTITUTE(SUBSTITUTE(SUBSTITUTE(SUBSTITUTE(SUBSTITUTE(SUBSTITUTE(SUBSTITUTE(SUBSTITUTE(SUBSTITUTE($AA1142," ",""),"　",""),"(주)",""),"（주）",""),"㈜",""),"주식회사",""),"(유)",""),"（유）",""),"유한회사",""))</f>
        <v/>
      </c>
      <c r="AC1142" s="31">
        <f>IF(OR($Y1142="",N($Z1142)&lt;=0,$AB1142=""),0,IFERROR(LOOKUP(2,1/((거래처별!$AC$8:$AC$307&lt;&gt;"")*ISNUMBER(SEARCH(거래처별!$AC$8:$AC$307,$AB1142))),거래처별!$A$8:$A$307),IFERROR(LOOKUP(2,1/((거래처별!$AD$8:$AD$307&lt;&gt;"")*ISNUMBER(SEARCH(거래처별!$AD$8:$AD$307,$AB1142))),거래처별!$A$8:$A$307),IFERROR(LOOKUP(2,1/((거래처별!$AE$8:$AE$307&lt;&gt;"")*ISNUMBER(SEARCH(거래처별!$AE$8:$AE$307,$AB1142))),거래처별!$A$8:$A$307),0))))</f>
        <v/>
      </c>
      <c r="AD1142" s="31">
        <f>IF(AND($Y1142&lt;&gt;"",N($Z1142)&gt;0,$AC1142=0),MAX($AD$7:$AD1141)+1,"")</f>
        <v/>
      </c>
      <c r="AE1142" s="31">
        <f>IF($Y1142="",0,$Y1142)</f>
        <v/>
      </c>
    </row>
    <row r="1143">
      <c r="W1143" s="31">
        <f>IF(OR($B$5="",$C$6="",ROW()&lt;$B$5),"",IF(INDEX($A:$U,ROW(),$C$6)="","",INDEX($A:$U,ROW(),$C$6)))</f>
        <v/>
      </c>
      <c r="X1143" s="32">
        <f>IF($W1143="","",IF(ISNUMBER($W1143),IF($W1143&gt;=10000000,IFERROR(DATE(INT($W1143/10000),MOD(INT($W1143/100),100),MOD($W1143,100)),""),INT($W1143)),IFERROR(DATE(--LEFT(LEFT(SUBSTITUTE(SUBSTITUTE(SUBSTITUTE(SUBSTITUTE(TRIM($W1143),"-",""),".",""),"/","")," ",""),8),4),--MID(LEFT(SUBSTITUTE(SUBSTITUTE(SUBSTITUTE(SUBSTITUTE(TRIM($W1143),"-",""),".",""),"/","")," ",""),8),5,2),--MID(LEFT(SUBSTITUTE(SUBSTITUTE(SUBSTITUTE(SUBSTITUTE(TRIM($W1143),"-",""),".",""),"/","")," ",""),8),7,2)),"")))</f>
        <v/>
      </c>
      <c r="Y1143" s="32">
        <f>IF($X1143="","",INT($X1143))</f>
        <v/>
      </c>
      <c r="Z1143" s="33">
        <f>IF(OR($Y1143="",$D$6=""),"",IF(INDEX($A:$U,ROW(),$D$6)="",0,IF(ISNUMBER(INDEX($A:$U,ROW(),$D$6)),INDEX($A:$U,ROW(),$D$6),IFERROR(--SUBSTITUTE(SUBSTITUTE(TRIM(INDEX($A:$U,ROW(),$D$6)),",",""),"원",""),0))))</f>
        <v/>
      </c>
      <c r="AA1143" s="31">
        <f>IF($Y1143="","",TRIM(INDEX($A:$U,ROW(),$E$6)&amp;IF($F$6="",""," "&amp;INDEX($A:$U,ROW(),$F$6))))</f>
        <v/>
      </c>
      <c r="AB1143" s="31">
        <f>IF($AA1143="","",SUBSTITUTE(SUBSTITUTE(SUBSTITUTE(SUBSTITUTE(SUBSTITUTE(SUBSTITUTE(SUBSTITUTE(SUBSTITUTE(SUBSTITUTE($AA1143," ",""),"　",""),"(주)",""),"（주）",""),"㈜",""),"주식회사",""),"(유)",""),"（유）",""),"유한회사",""))</f>
        <v/>
      </c>
      <c r="AC1143" s="31">
        <f>IF(OR($Y1143="",N($Z1143)&lt;=0,$AB1143=""),0,IFERROR(LOOKUP(2,1/((거래처별!$AC$8:$AC$307&lt;&gt;"")*ISNUMBER(SEARCH(거래처별!$AC$8:$AC$307,$AB1143))),거래처별!$A$8:$A$307),IFERROR(LOOKUP(2,1/((거래처별!$AD$8:$AD$307&lt;&gt;"")*ISNUMBER(SEARCH(거래처별!$AD$8:$AD$307,$AB1143))),거래처별!$A$8:$A$307),IFERROR(LOOKUP(2,1/((거래처별!$AE$8:$AE$307&lt;&gt;"")*ISNUMBER(SEARCH(거래처별!$AE$8:$AE$307,$AB1143))),거래처별!$A$8:$A$307),0))))</f>
        <v/>
      </c>
      <c r="AD1143" s="31">
        <f>IF(AND($Y1143&lt;&gt;"",N($Z1143)&gt;0,$AC1143=0),MAX($AD$7:$AD1142)+1,"")</f>
        <v/>
      </c>
      <c r="AE1143" s="31">
        <f>IF($Y1143="",0,$Y1143)</f>
        <v/>
      </c>
    </row>
    <row r="1144">
      <c r="W1144" s="31">
        <f>IF(OR($B$5="",$C$6="",ROW()&lt;$B$5),"",IF(INDEX($A:$U,ROW(),$C$6)="","",INDEX($A:$U,ROW(),$C$6)))</f>
        <v/>
      </c>
      <c r="X1144" s="32">
        <f>IF($W1144="","",IF(ISNUMBER($W1144),IF($W1144&gt;=10000000,IFERROR(DATE(INT($W1144/10000),MOD(INT($W1144/100),100),MOD($W1144,100)),""),INT($W1144)),IFERROR(DATE(--LEFT(LEFT(SUBSTITUTE(SUBSTITUTE(SUBSTITUTE(SUBSTITUTE(TRIM($W1144),"-",""),".",""),"/","")," ",""),8),4),--MID(LEFT(SUBSTITUTE(SUBSTITUTE(SUBSTITUTE(SUBSTITUTE(TRIM($W1144),"-",""),".",""),"/","")," ",""),8),5,2),--MID(LEFT(SUBSTITUTE(SUBSTITUTE(SUBSTITUTE(SUBSTITUTE(TRIM($W1144),"-",""),".",""),"/","")," ",""),8),7,2)),"")))</f>
        <v/>
      </c>
      <c r="Y1144" s="32">
        <f>IF($X1144="","",INT($X1144))</f>
        <v/>
      </c>
      <c r="Z1144" s="33">
        <f>IF(OR($Y1144="",$D$6=""),"",IF(INDEX($A:$U,ROW(),$D$6)="",0,IF(ISNUMBER(INDEX($A:$U,ROW(),$D$6)),INDEX($A:$U,ROW(),$D$6),IFERROR(--SUBSTITUTE(SUBSTITUTE(TRIM(INDEX($A:$U,ROW(),$D$6)),",",""),"원",""),0))))</f>
        <v/>
      </c>
      <c r="AA1144" s="31">
        <f>IF($Y1144="","",TRIM(INDEX($A:$U,ROW(),$E$6)&amp;IF($F$6="",""," "&amp;INDEX($A:$U,ROW(),$F$6))))</f>
        <v/>
      </c>
      <c r="AB1144" s="31">
        <f>IF($AA1144="","",SUBSTITUTE(SUBSTITUTE(SUBSTITUTE(SUBSTITUTE(SUBSTITUTE(SUBSTITUTE(SUBSTITUTE(SUBSTITUTE(SUBSTITUTE($AA1144," ",""),"　",""),"(주)",""),"（주）",""),"㈜",""),"주식회사",""),"(유)",""),"（유）",""),"유한회사",""))</f>
        <v/>
      </c>
      <c r="AC1144" s="31">
        <f>IF(OR($Y1144="",N($Z1144)&lt;=0,$AB1144=""),0,IFERROR(LOOKUP(2,1/((거래처별!$AC$8:$AC$307&lt;&gt;"")*ISNUMBER(SEARCH(거래처별!$AC$8:$AC$307,$AB1144))),거래처별!$A$8:$A$307),IFERROR(LOOKUP(2,1/((거래처별!$AD$8:$AD$307&lt;&gt;"")*ISNUMBER(SEARCH(거래처별!$AD$8:$AD$307,$AB1144))),거래처별!$A$8:$A$307),IFERROR(LOOKUP(2,1/((거래처별!$AE$8:$AE$307&lt;&gt;"")*ISNUMBER(SEARCH(거래처별!$AE$8:$AE$307,$AB1144))),거래처별!$A$8:$A$307),0))))</f>
        <v/>
      </c>
      <c r="AD1144" s="31">
        <f>IF(AND($Y1144&lt;&gt;"",N($Z1144)&gt;0,$AC1144=0),MAX($AD$7:$AD1143)+1,"")</f>
        <v/>
      </c>
      <c r="AE1144" s="31">
        <f>IF($Y1144="",0,$Y1144)</f>
        <v/>
      </c>
    </row>
    <row r="1145">
      <c r="W1145" s="31">
        <f>IF(OR($B$5="",$C$6="",ROW()&lt;$B$5),"",IF(INDEX($A:$U,ROW(),$C$6)="","",INDEX($A:$U,ROW(),$C$6)))</f>
        <v/>
      </c>
      <c r="X1145" s="32">
        <f>IF($W1145="","",IF(ISNUMBER($W1145),IF($W1145&gt;=10000000,IFERROR(DATE(INT($W1145/10000),MOD(INT($W1145/100),100),MOD($W1145,100)),""),INT($W1145)),IFERROR(DATE(--LEFT(LEFT(SUBSTITUTE(SUBSTITUTE(SUBSTITUTE(SUBSTITUTE(TRIM($W1145),"-",""),".",""),"/","")," ",""),8),4),--MID(LEFT(SUBSTITUTE(SUBSTITUTE(SUBSTITUTE(SUBSTITUTE(TRIM($W1145),"-",""),".",""),"/","")," ",""),8),5,2),--MID(LEFT(SUBSTITUTE(SUBSTITUTE(SUBSTITUTE(SUBSTITUTE(TRIM($W1145),"-",""),".",""),"/","")," ",""),8),7,2)),"")))</f>
        <v/>
      </c>
      <c r="Y1145" s="32">
        <f>IF($X1145="","",INT($X1145))</f>
        <v/>
      </c>
      <c r="Z1145" s="33">
        <f>IF(OR($Y1145="",$D$6=""),"",IF(INDEX($A:$U,ROW(),$D$6)="",0,IF(ISNUMBER(INDEX($A:$U,ROW(),$D$6)),INDEX($A:$U,ROW(),$D$6),IFERROR(--SUBSTITUTE(SUBSTITUTE(TRIM(INDEX($A:$U,ROW(),$D$6)),",",""),"원",""),0))))</f>
        <v/>
      </c>
      <c r="AA1145" s="31">
        <f>IF($Y1145="","",TRIM(INDEX($A:$U,ROW(),$E$6)&amp;IF($F$6="",""," "&amp;INDEX($A:$U,ROW(),$F$6))))</f>
        <v/>
      </c>
      <c r="AB1145" s="31">
        <f>IF($AA1145="","",SUBSTITUTE(SUBSTITUTE(SUBSTITUTE(SUBSTITUTE(SUBSTITUTE(SUBSTITUTE(SUBSTITUTE(SUBSTITUTE(SUBSTITUTE($AA1145," ",""),"　",""),"(주)",""),"（주）",""),"㈜",""),"주식회사",""),"(유)",""),"（유）",""),"유한회사",""))</f>
        <v/>
      </c>
      <c r="AC1145" s="31">
        <f>IF(OR($Y1145="",N($Z1145)&lt;=0,$AB1145=""),0,IFERROR(LOOKUP(2,1/((거래처별!$AC$8:$AC$307&lt;&gt;"")*ISNUMBER(SEARCH(거래처별!$AC$8:$AC$307,$AB1145))),거래처별!$A$8:$A$307),IFERROR(LOOKUP(2,1/((거래처별!$AD$8:$AD$307&lt;&gt;"")*ISNUMBER(SEARCH(거래처별!$AD$8:$AD$307,$AB1145))),거래처별!$A$8:$A$307),IFERROR(LOOKUP(2,1/((거래처별!$AE$8:$AE$307&lt;&gt;"")*ISNUMBER(SEARCH(거래처별!$AE$8:$AE$307,$AB1145))),거래처별!$A$8:$A$307),0))))</f>
        <v/>
      </c>
      <c r="AD1145" s="31">
        <f>IF(AND($Y1145&lt;&gt;"",N($Z1145)&gt;0,$AC1145=0),MAX($AD$7:$AD1144)+1,"")</f>
        <v/>
      </c>
      <c r="AE1145" s="31">
        <f>IF($Y1145="",0,$Y1145)</f>
        <v/>
      </c>
    </row>
    <row r="1146">
      <c r="W1146" s="31">
        <f>IF(OR($B$5="",$C$6="",ROW()&lt;$B$5),"",IF(INDEX($A:$U,ROW(),$C$6)="","",INDEX($A:$U,ROW(),$C$6)))</f>
        <v/>
      </c>
      <c r="X1146" s="32">
        <f>IF($W1146="","",IF(ISNUMBER($W1146),IF($W1146&gt;=10000000,IFERROR(DATE(INT($W1146/10000),MOD(INT($W1146/100),100),MOD($W1146,100)),""),INT($W1146)),IFERROR(DATE(--LEFT(LEFT(SUBSTITUTE(SUBSTITUTE(SUBSTITUTE(SUBSTITUTE(TRIM($W1146),"-",""),".",""),"/","")," ",""),8),4),--MID(LEFT(SUBSTITUTE(SUBSTITUTE(SUBSTITUTE(SUBSTITUTE(TRIM($W1146),"-",""),".",""),"/","")," ",""),8),5,2),--MID(LEFT(SUBSTITUTE(SUBSTITUTE(SUBSTITUTE(SUBSTITUTE(TRIM($W1146),"-",""),".",""),"/","")," ",""),8),7,2)),"")))</f>
        <v/>
      </c>
      <c r="Y1146" s="32">
        <f>IF($X1146="","",INT($X1146))</f>
        <v/>
      </c>
      <c r="Z1146" s="33">
        <f>IF(OR($Y1146="",$D$6=""),"",IF(INDEX($A:$U,ROW(),$D$6)="",0,IF(ISNUMBER(INDEX($A:$U,ROW(),$D$6)),INDEX($A:$U,ROW(),$D$6),IFERROR(--SUBSTITUTE(SUBSTITUTE(TRIM(INDEX($A:$U,ROW(),$D$6)),",",""),"원",""),0))))</f>
        <v/>
      </c>
      <c r="AA1146" s="31">
        <f>IF($Y1146="","",TRIM(INDEX($A:$U,ROW(),$E$6)&amp;IF($F$6="",""," "&amp;INDEX($A:$U,ROW(),$F$6))))</f>
        <v/>
      </c>
      <c r="AB1146" s="31">
        <f>IF($AA1146="","",SUBSTITUTE(SUBSTITUTE(SUBSTITUTE(SUBSTITUTE(SUBSTITUTE(SUBSTITUTE(SUBSTITUTE(SUBSTITUTE(SUBSTITUTE($AA1146," ",""),"　",""),"(주)",""),"（주）",""),"㈜",""),"주식회사",""),"(유)",""),"（유）",""),"유한회사",""))</f>
        <v/>
      </c>
      <c r="AC1146" s="31">
        <f>IF(OR($Y1146="",N($Z1146)&lt;=0,$AB1146=""),0,IFERROR(LOOKUP(2,1/((거래처별!$AC$8:$AC$307&lt;&gt;"")*ISNUMBER(SEARCH(거래처별!$AC$8:$AC$307,$AB1146))),거래처별!$A$8:$A$307),IFERROR(LOOKUP(2,1/((거래처별!$AD$8:$AD$307&lt;&gt;"")*ISNUMBER(SEARCH(거래처별!$AD$8:$AD$307,$AB1146))),거래처별!$A$8:$A$307),IFERROR(LOOKUP(2,1/((거래처별!$AE$8:$AE$307&lt;&gt;"")*ISNUMBER(SEARCH(거래처별!$AE$8:$AE$307,$AB1146))),거래처별!$A$8:$A$307),0))))</f>
        <v/>
      </c>
      <c r="AD1146" s="31">
        <f>IF(AND($Y1146&lt;&gt;"",N($Z1146)&gt;0,$AC1146=0),MAX($AD$7:$AD1145)+1,"")</f>
        <v/>
      </c>
      <c r="AE1146" s="31">
        <f>IF($Y1146="",0,$Y1146)</f>
        <v/>
      </c>
    </row>
    <row r="1147">
      <c r="W1147" s="31">
        <f>IF(OR($B$5="",$C$6="",ROW()&lt;$B$5),"",IF(INDEX($A:$U,ROW(),$C$6)="","",INDEX($A:$U,ROW(),$C$6)))</f>
        <v/>
      </c>
      <c r="X1147" s="32">
        <f>IF($W1147="","",IF(ISNUMBER($W1147),IF($W1147&gt;=10000000,IFERROR(DATE(INT($W1147/10000),MOD(INT($W1147/100),100),MOD($W1147,100)),""),INT($W1147)),IFERROR(DATE(--LEFT(LEFT(SUBSTITUTE(SUBSTITUTE(SUBSTITUTE(SUBSTITUTE(TRIM($W1147),"-",""),".",""),"/","")," ",""),8),4),--MID(LEFT(SUBSTITUTE(SUBSTITUTE(SUBSTITUTE(SUBSTITUTE(TRIM($W1147),"-",""),".",""),"/","")," ",""),8),5,2),--MID(LEFT(SUBSTITUTE(SUBSTITUTE(SUBSTITUTE(SUBSTITUTE(TRIM($W1147),"-",""),".",""),"/","")," ",""),8),7,2)),"")))</f>
        <v/>
      </c>
      <c r="Y1147" s="32">
        <f>IF($X1147="","",INT($X1147))</f>
        <v/>
      </c>
      <c r="Z1147" s="33">
        <f>IF(OR($Y1147="",$D$6=""),"",IF(INDEX($A:$U,ROW(),$D$6)="",0,IF(ISNUMBER(INDEX($A:$U,ROW(),$D$6)),INDEX($A:$U,ROW(),$D$6),IFERROR(--SUBSTITUTE(SUBSTITUTE(TRIM(INDEX($A:$U,ROW(),$D$6)),",",""),"원",""),0))))</f>
        <v/>
      </c>
      <c r="AA1147" s="31">
        <f>IF($Y1147="","",TRIM(INDEX($A:$U,ROW(),$E$6)&amp;IF($F$6="",""," "&amp;INDEX($A:$U,ROW(),$F$6))))</f>
        <v/>
      </c>
      <c r="AB1147" s="31">
        <f>IF($AA1147="","",SUBSTITUTE(SUBSTITUTE(SUBSTITUTE(SUBSTITUTE(SUBSTITUTE(SUBSTITUTE(SUBSTITUTE(SUBSTITUTE(SUBSTITUTE($AA1147," ",""),"　",""),"(주)",""),"（주）",""),"㈜",""),"주식회사",""),"(유)",""),"（유）",""),"유한회사",""))</f>
        <v/>
      </c>
      <c r="AC1147" s="31">
        <f>IF(OR($Y1147="",N($Z1147)&lt;=0,$AB1147=""),0,IFERROR(LOOKUP(2,1/((거래처별!$AC$8:$AC$307&lt;&gt;"")*ISNUMBER(SEARCH(거래처별!$AC$8:$AC$307,$AB1147))),거래처별!$A$8:$A$307),IFERROR(LOOKUP(2,1/((거래처별!$AD$8:$AD$307&lt;&gt;"")*ISNUMBER(SEARCH(거래처별!$AD$8:$AD$307,$AB1147))),거래처별!$A$8:$A$307),IFERROR(LOOKUP(2,1/((거래처별!$AE$8:$AE$307&lt;&gt;"")*ISNUMBER(SEARCH(거래처별!$AE$8:$AE$307,$AB1147))),거래처별!$A$8:$A$307),0))))</f>
        <v/>
      </c>
      <c r="AD1147" s="31">
        <f>IF(AND($Y1147&lt;&gt;"",N($Z1147)&gt;0,$AC1147=0),MAX($AD$7:$AD1146)+1,"")</f>
        <v/>
      </c>
      <c r="AE1147" s="31">
        <f>IF($Y1147="",0,$Y1147)</f>
        <v/>
      </c>
    </row>
    <row r="1148">
      <c r="W1148" s="31">
        <f>IF(OR($B$5="",$C$6="",ROW()&lt;$B$5),"",IF(INDEX($A:$U,ROW(),$C$6)="","",INDEX($A:$U,ROW(),$C$6)))</f>
        <v/>
      </c>
      <c r="X1148" s="32">
        <f>IF($W1148="","",IF(ISNUMBER($W1148),IF($W1148&gt;=10000000,IFERROR(DATE(INT($W1148/10000),MOD(INT($W1148/100),100),MOD($W1148,100)),""),INT($W1148)),IFERROR(DATE(--LEFT(LEFT(SUBSTITUTE(SUBSTITUTE(SUBSTITUTE(SUBSTITUTE(TRIM($W1148),"-",""),".",""),"/","")," ",""),8),4),--MID(LEFT(SUBSTITUTE(SUBSTITUTE(SUBSTITUTE(SUBSTITUTE(TRIM($W1148),"-",""),".",""),"/","")," ",""),8),5,2),--MID(LEFT(SUBSTITUTE(SUBSTITUTE(SUBSTITUTE(SUBSTITUTE(TRIM($W1148),"-",""),".",""),"/","")," ",""),8),7,2)),"")))</f>
        <v/>
      </c>
      <c r="Y1148" s="32">
        <f>IF($X1148="","",INT($X1148))</f>
        <v/>
      </c>
      <c r="Z1148" s="33">
        <f>IF(OR($Y1148="",$D$6=""),"",IF(INDEX($A:$U,ROW(),$D$6)="",0,IF(ISNUMBER(INDEX($A:$U,ROW(),$D$6)),INDEX($A:$U,ROW(),$D$6),IFERROR(--SUBSTITUTE(SUBSTITUTE(TRIM(INDEX($A:$U,ROW(),$D$6)),",",""),"원",""),0))))</f>
        <v/>
      </c>
      <c r="AA1148" s="31">
        <f>IF($Y1148="","",TRIM(INDEX($A:$U,ROW(),$E$6)&amp;IF($F$6="",""," "&amp;INDEX($A:$U,ROW(),$F$6))))</f>
        <v/>
      </c>
      <c r="AB1148" s="31">
        <f>IF($AA1148="","",SUBSTITUTE(SUBSTITUTE(SUBSTITUTE(SUBSTITUTE(SUBSTITUTE(SUBSTITUTE(SUBSTITUTE(SUBSTITUTE(SUBSTITUTE($AA1148," ",""),"　",""),"(주)",""),"（주）",""),"㈜",""),"주식회사",""),"(유)",""),"（유）",""),"유한회사",""))</f>
        <v/>
      </c>
      <c r="AC1148" s="31">
        <f>IF(OR($Y1148="",N($Z1148)&lt;=0,$AB1148=""),0,IFERROR(LOOKUP(2,1/((거래처별!$AC$8:$AC$307&lt;&gt;"")*ISNUMBER(SEARCH(거래처별!$AC$8:$AC$307,$AB1148))),거래처별!$A$8:$A$307),IFERROR(LOOKUP(2,1/((거래처별!$AD$8:$AD$307&lt;&gt;"")*ISNUMBER(SEARCH(거래처별!$AD$8:$AD$307,$AB1148))),거래처별!$A$8:$A$307),IFERROR(LOOKUP(2,1/((거래처별!$AE$8:$AE$307&lt;&gt;"")*ISNUMBER(SEARCH(거래처별!$AE$8:$AE$307,$AB1148))),거래처별!$A$8:$A$307),0))))</f>
        <v/>
      </c>
      <c r="AD1148" s="31">
        <f>IF(AND($Y1148&lt;&gt;"",N($Z1148)&gt;0,$AC1148=0),MAX($AD$7:$AD1147)+1,"")</f>
        <v/>
      </c>
      <c r="AE1148" s="31">
        <f>IF($Y1148="",0,$Y1148)</f>
        <v/>
      </c>
    </row>
    <row r="1149">
      <c r="W1149" s="31">
        <f>IF(OR($B$5="",$C$6="",ROW()&lt;$B$5),"",IF(INDEX($A:$U,ROW(),$C$6)="","",INDEX($A:$U,ROW(),$C$6)))</f>
        <v/>
      </c>
      <c r="X1149" s="32">
        <f>IF($W1149="","",IF(ISNUMBER($W1149),IF($W1149&gt;=10000000,IFERROR(DATE(INT($W1149/10000),MOD(INT($W1149/100),100),MOD($W1149,100)),""),INT($W1149)),IFERROR(DATE(--LEFT(LEFT(SUBSTITUTE(SUBSTITUTE(SUBSTITUTE(SUBSTITUTE(TRIM($W1149),"-",""),".",""),"/","")," ",""),8),4),--MID(LEFT(SUBSTITUTE(SUBSTITUTE(SUBSTITUTE(SUBSTITUTE(TRIM($W1149),"-",""),".",""),"/","")," ",""),8),5,2),--MID(LEFT(SUBSTITUTE(SUBSTITUTE(SUBSTITUTE(SUBSTITUTE(TRIM($W1149),"-",""),".",""),"/","")," ",""),8),7,2)),"")))</f>
        <v/>
      </c>
      <c r="Y1149" s="32">
        <f>IF($X1149="","",INT($X1149))</f>
        <v/>
      </c>
      <c r="Z1149" s="33">
        <f>IF(OR($Y1149="",$D$6=""),"",IF(INDEX($A:$U,ROW(),$D$6)="",0,IF(ISNUMBER(INDEX($A:$U,ROW(),$D$6)),INDEX($A:$U,ROW(),$D$6),IFERROR(--SUBSTITUTE(SUBSTITUTE(TRIM(INDEX($A:$U,ROW(),$D$6)),",",""),"원",""),0))))</f>
        <v/>
      </c>
      <c r="AA1149" s="31">
        <f>IF($Y1149="","",TRIM(INDEX($A:$U,ROW(),$E$6)&amp;IF($F$6="",""," "&amp;INDEX($A:$U,ROW(),$F$6))))</f>
        <v/>
      </c>
      <c r="AB1149" s="31">
        <f>IF($AA1149="","",SUBSTITUTE(SUBSTITUTE(SUBSTITUTE(SUBSTITUTE(SUBSTITUTE(SUBSTITUTE(SUBSTITUTE(SUBSTITUTE(SUBSTITUTE($AA1149," ",""),"　",""),"(주)",""),"（주）",""),"㈜",""),"주식회사",""),"(유)",""),"（유）",""),"유한회사",""))</f>
        <v/>
      </c>
      <c r="AC1149" s="31">
        <f>IF(OR($Y1149="",N($Z1149)&lt;=0,$AB1149=""),0,IFERROR(LOOKUP(2,1/((거래처별!$AC$8:$AC$307&lt;&gt;"")*ISNUMBER(SEARCH(거래처별!$AC$8:$AC$307,$AB1149))),거래처별!$A$8:$A$307),IFERROR(LOOKUP(2,1/((거래처별!$AD$8:$AD$307&lt;&gt;"")*ISNUMBER(SEARCH(거래처별!$AD$8:$AD$307,$AB1149))),거래처별!$A$8:$A$307),IFERROR(LOOKUP(2,1/((거래처별!$AE$8:$AE$307&lt;&gt;"")*ISNUMBER(SEARCH(거래처별!$AE$8:$AE$307,$AB1149))),거래처별!$A$8:$A$307),0))))</f>
        <v/>
      </c>
      <c r="AD1149" s="31">
        <f>IF(AND($Y1149&lt;&gt;"",N($Z1149)&gt;0,$AC1149=0),MAX($AD$7:$AD1148)+1,"")</f>
        <v/>
      </c>
      <c r="AE1149" s="31">
        <f>IF($Y1149="",0,$Y1149)</f>
        <v/>
      </c>
    </row>
    <row r="1150">
      <c r="W1150" s="31">
        <f>IF(OR($B$5="",$C$6="",ROW()&lt;$B$5),"",IF(INDEX($A:$U,ROW(),$C$6)="","",INDEX($A:$U,ROW(),$C$6)))</f>
        <v/>
      </c>
      <c r="X1150" s="32">
        <f>IF($W1150="","",IF(ISNUMBER($W1150),IF($W1150&gt;=10000000,IFERROR(DATE(INT($W1150/10000),MOD(INT($W1150/100),100),MOD($W1150,100)),""),INT($W1150)),IFERROR(DATE(--LEFT(LEFT(SUBSTITUTE(SUBSTITUTE(SUBSTITUTE(SUBSTITUTE(TRIM($W1150),"-",""),".",""),"/","")," ",""),8),4),--MID(LEFT(SUBSTITUTE(SUBSTITUTE(SUBSTITUTE(SUBSTITUTE(TRIM($W1150),"-",""),".",""),"/","")," ",""),8),5,2),--MID(LEFT(SUBSTITUTE(SUBSTITUTE(SUBSTITUTE(SUBSTITUTE(TRIM($W1150),"-",""),".",""),"/","")," ",""),8),7,2)),"")))</f>
        <v/>
      </c>
      <c r="Y1150" s="32">
        <f>IF($X1150="","",INT($X1150))</f>
        <v/>
      </c>
      <c r="Z1150" s="33">
        <f>IF(OR($Y1150="",$D$6=""),"",IF(INDEX($A:$U,ROW(),$D$6)="",0,IF(ISNUMBER(INDEX($A:$U,ROW(),$D$6)),INDEX($A:$U,ROW(),$D$6),IFERROR(--SUBSTITUTE(SUBSTITUTE(TRIM(INDEX($A:$U,ROW(),$D$6)),",",""),"원",""),0))))</f>
        <v/>
      </c>
      <c r="AA1150" s="31">
        <f>IF($Y1150="","",TRIM(INDEX($A:$U,ROW(),$E$6)&amp;IF($F$6="",""," "&amp;INDEX($A:$U,ROW(),$F$6))))</f>
        <v/>
      </c>
      <c r="AB1150" s="31">
        <f>IF($AA1150="","",SUBSTITUTE(SUBSTITUTE(SUBSTITUTE(SUBSTITUTE(SUBSTITUTE(SUBSTITUTE(SUBSTITUTE(SUBSTITUTE(SUBSTITUTE($AA1150," ",""),"　",""),"(주)",""),"（주）",""),"㈜",""),"주식회사",""),"(유)",""),"（유）",""),"유한회사",""))</f>
        <v/>
      </c>
      <c r="AC1150" s="31">
        <f>IF(OR($Y1150="",N($Z1150)&lt;=0,$AB1150=""),0,IFERROR(LOOKUP(2,1/((거래처별!$AC$8:$AC$307&lt;&gt;"")*ISNUMBER(SEARCH(거래처별!$AC$8:$AC$307,$AB1150))),거래처별!$A$8:$A$307),IFERROR(LOOKUP(2,1/((거래처별!$AD$8:$AD$307&lt;&gt;"")*ISNUMBER(SEARCH(거래처별!$AD$8:$AD$307,$AB1150))),거래처별!$A$8:$A$307),IFERROR(LOOKUP(2,1/((거래처별!$AE$8:$AE$307&lt;&gt;"")*ISNUMBER(SEARCH(거래처별!$AE$8:$AE$307,$AB1150))),거래처별!$A$8:$A$307),0))))</f>
        <v/>
      </c>
      <c r="AD1150" s="31">
        <f>IF(AND($Y1150&lt;&gt;"",N($Z1150)&gt;0,$AC1150=0),MAX($AD$7:$AD1149)+1,"")</f>
        <v/>
      </c>
      <c r="AE1150" s="31">
        <f>IF($Y1150="",0,$Y1150)</f>
        <v/>
      </c>
    </row>
    <row r="1151">
      <c r="W1151" s="31">
        <f>IF(OR($B$5="",$C$6="",ROW()&lt;$B$5),"",IF(INDEX($A:$U,ROW(),$C$6)="","",INDEX($A:$U,ROW(),$C$6)))</f>
        <v/>
      </c>
      <c r="X1151" s="32">
        <f>IF($W1151="","",IF(ISNUMBER($W1151),IF($W1151&gt;=10000000,IFERROR(DATE(INT($W1151/10000),MOD(INT($W1151/100),100),MOD($W1151,100)),""),INT($W1151)),IFERROR(DATE(--LEFT(LEFT(SUBSTITUTE(SUBSTITUTE(SUBSTITUTE(SUBSTITUTE(TRIM($W1151),"-",""),".",""),"/","")," ",""),8),4),--MID(LEFT(SUBSTITUTE(SUBSTITUTE(SUBSTITUTE(SUBSTITUTE(TRIM($W1151),"-",""),".",""),"/","")," ",""),8),5,2),--MID(LEFT(SUBSTITUTE(SUBSTITUTE(SUBSTITUTE(SUBSTITUTE(TRIM($W1151),"-",""),".",""),"/","")," ",""),8),7,2)),"")))</f>
        <v/>
      </c>
      <c r="Y1151" s="32">
        <f>IF($X1151="","",INT($X1151))</f>
        <v/>
      </c>
      <c r="Z1151" s="33">
        <f>IF(OR($Y1151="",$D$6=""),"",IF(INDEX($A:$U,ROW(),$D$6)="",0,IF(ISNUMBER(INDEX($A:$U,ROW(),$D$6)),INDEX($A:$U,ROW(),$D$6),IFERROR(--SUBSTITUTE(SUBSTITUTE(TRIM(INDEX($A:$U,ROW(),$D$6)),",",""),"원",""),0))))</f>
        <v/>
      </c>
      <c r="AA1151" s="31">
        <f>IF($Y1151="","",TRIM(INDEX($A:$U,ROW(),$E$6)&amp;IF($F$6="",""," "&amp;INDEX($A:$U,ROW(),$F$6))))</f>
        <v/>
      </c>
      <c r="AB1151" s="31">
        <f>IF($AA1151="","",SUBSTITUTE(SUBSTITUTE(SUBSTITUTE(SUBSTITUTE(SUBSTITUTE(SUBSTITUTE(SUBSTITUTE(SUBSTITUTE(SUBSTITUTE($AA1151," ",""),"　",""),"(주)",""),"（주）",""),"㈜",""),"주식회사",""),"(유)",""),"（유）",""),"유한회사",""))</f>
        <v/>
      </c>
      <c r="AC1151" s="31">
        <f>IF(OR($Y1151="",N($Z1151)&lt;=0,$AB1151=""),0,IFERROR(LOOKUP(2,1/((거래처별!$AC$8:$AC$307&lt;&gt;"")*ISNUMBER(SEARCH(거래처별!$AC$8:$AC$307,$AB1151))),거래처별!$A$8:$A$307),IFERROR(LOOKUP(2,1/((거래처별!$AD$8:$AD$307&lt;&gt;"")*ISNUMBER(SEARCH(거래처별!$AD$8:$AD$307,$AB1151))),거래처별!$A$8:$A$307),IFERROR(LOOKUP(2,1/((거래처별!$AE$8:$AE$307&lt;&gt;"")*ISNUMBER(SEARCH(거래처별!$AE$8:$AE$307,$AB1151))),거래처별!$A$8:$A$307),0))))</f>
        <v/>
      </c>
      <c r="AD1151" s="31">
        <f>IF(AND($Y1151&lt;&gt;"",N($Z1151)&gt;0,$AC1151=0),MAX($AD$7:$AD1150)+1,"")</f>
        <v/>
      </c>
      <c r="AE1151" s="31">
        <f>IF($Y1151="",0,$Y1151)</f>
        <v/>
      </c>
    </row>
    <row r="1152">
      <c r="W1152" s="31">
        <f>IF(OR($B$5="",$C$6="",ROW()&lt;$B$5),"",IF(INDEX($A:$U,ROW(),$C$6)="","",INDEX($A:$U,ROW(),$C$6)))</f>
        <v/>
      </c>
      <c r="X1152" s="32">
        <f>IF($W1152="","",IF(ISNUMBER($W1152),IF($W1152&gt;=10000000,IFERROR(DATE(INT($W1152/10000),MOD(INT($W1152/100),100),MOD($W1152,100)),""),INT($W1152)),IFERROR(DATE(--LEFT(LEFT(SUBSTITUTE(SUBSTITUTE(SUBSTITUTE(SUBSTITUTE(TRIM($W1152),"-",""),".",""),"/","")," ",""),8),4),--MID(LEFT(SUBSTITUTE(SUBSTITUTE(SUBSTITUTE(SUBSTITUTE(TRIM($W1152),"-",""),".",""),"/","")," ",""),8),5,2),--MID(LEFT(SUBSTITUTE(SUBSTITUTE(SUBSTITUTE(SUBSTITUTE(TRIM($W1152),"-",""),".",""),"/","")," ",""),8),7,2)),"")))</f>
        <v/>
      </c>
      <c r="Y1152" s="32">
        <f>IF($X1152="","",INT($X1152))</f>
        <v/>
      </c>
      <c r="Z1152" s="33">
        <f>IF(OR($Y1152="",$D$6=""),"",IF(INDEX($A:$U,ROW(),$D$6)="",0,IF(ISNUMBER(INDEX($A:$U,ROW(),$D$6)),INDEX($A:$U,ROW(),$D$6),IFERROR(--SUBSTITUTE(SUBSTITUTE(TRIM(INDEX($A:$U,ROW(),$D$6)),",",""),"원",""),0))))</f>
        <v/>
      </c>
      <c r="AA1152" s="31">
        <f>IF($Y1152="","",TRIM(INDEX($A:$U,ROW(),$E$6)&amp;IF($F$6="",""," "&amp;INDEX($A:$U,ROW(),$F$6))))</f>
        <v/>
      </c>
      <c r="AB1152" s="31">
        <f>IF($AA1152="","",SUBSTITUTE(SUBSTITUTE(SUBSTITUTE(SUBSTITUTE(SUBSTITUTE(SUBSTITUTE(SUBSTITUTE(SUBSTITUTE(SUBSTITUTE($AA1152," ",""),"　",""),"(주)",""),"（주）",""),"㈜",""),"주식회사",""),"(유)",""),"（유）",""),"유한회사",""))</f>
        <v/>
      </c>
      <c r="AC1152" s="31">
        <f>IF(OR($Y1152="",N($Z1152)&lt;=0,$AB1152=""),0,IFERROR(LOOKUP(2,1/((거래처별!$AC$8:$AC$307&lt;&gt;"")*ISNUMBER(SEARCH(거래처별!$AC$8:$AC$307,$AB1152))),거래처별!$A$8:$A$307),IFERROR(LOOKUP(2,1/((거래처별!$AD$8:$AD$307&lt;&gt;"")*ISNUMBER(SEARCH(거래처별!$AD$8:$AD$307,$AB1152))),거래처별!$A$8:$A$307),IFERROR(LOOKUP(2,1/((거래처별!$AE$8:$AE$307&lt;&gt;"")*ISNUMBER(SEARCH(거래처별!$AE$8:$AE$307,$AB1152))),거래처별!$A$8:$A$307),0))))</f>
        <v/>
      </c>
      <c r="AD1152" s="31">
        <f>IF(AND($Y1152&lt;&gt;"",N($Z1152)&gt;0,$AC1152=0),MAX($AD$7:$AD1151)+1,"")</f>
        <v/>
      </c>
      <c r="AE1152" s="31">
        <f>IF($Y1152="",0,$Y1152)</f>
        <v/>
      </c>
    </row>
    <row r="1153">
      <c r="W1153" s="31">
        <f>IF(OR($B$5="",$C$6="",ROW()&lt;$B$5),"",IF(INDEX($A:$U,ROW(),$C$6)="","",INDEX($A:$U,ROW(),$C$6)))</f>
        <v/>
      </c>
      <c r="X1153" s="32">
        <f>IF($W1153="","",IF(ISNUMBER($W1153),IF($W1153&gt;=10000000,IFERROR(DATE(INT($W1153/10000),MOD(INT($W1153/100),100),MOD($W1153,100)),""),INT($W1153)),IFERROR(DATE(--LEFT(LEFT(SUBSTITUTE(SUBSTITUTE(SUBSTITUTE(SUBSTITUTE(TRIM($W1153),"-",""),".",""),"/","")," ",""),8),4),--MID(LEFT(SUBSTITUTE(SUBSTITUTE(SUBSTITUTE(SUBSTITUTE(TRIM($W1153),"-",""),".",""),"/","")," ",""),8),5,2),--MID(LEFT(SUBSTITUTE(SUBSTITUTE(SUBSTITUTE(SUBSTITUTE(TRIM($W1153),"-",""),".",""),"/","")," ",""),8),7,2)),"")))</f>
        <v/>
      </c>
      <c r="Y1153" s="32">
        <f>IF($X1153="","",INT($X1153))</f>
        <v/>
      </c>
      <c r="Z1153" s="33">
        <f>IF(OR($Y1153="",$D$6=""),"",IF(INDEX($A:$U,ROW(),$D$6)="",0,IF(ISNUMBER(INDEX($A:$U,ROW(),$D$6)),INDEX($A:$U,ROW(),$D$6),IFERROR(--SUBSTITUTE(SUBSTITUTE(TRIM(INDEX($A:$U,ROW(),$D$6)),",",""),"원",""),0))))</f>
        <v/>
      </c>
      <c r="AA1153" s="31">
        <f>IF($Y1153="","",TRIM(INDEX($A:$U,ROW(),$E$6)&amp;IF($F$6="",""," "&amp;INDEX($A:$U,ROW(),$F$6))))</f>
        <v/>
      </c>
      <c r="AB1153" s="31">
        <f>IF($AA1153="","",SUBSTITUTE(SUBSTITUTE(SUBSTITUTE(SUBSTITUTE(SUBSTITUTE(SUBSTITUTE(SUBSTITUTE(SUBSTITUTE(SUBSTITUTE($AA1153," ",""),"　",""),"(주)",""),"（주）",""),"㈜",""),"주식회사",""),"(유)",""),"（유）",""),"유한회사",""))</f>
        <v/>
      </c>
      <c r="AC1153" s="31">
        <f>IF(OR($Y1153="",N($Z1153)&lt;=0,$AB1153=""),0,IFERROR(LOOKUP(2,1/((거래처별!$AC$8:$AC$307&lt;&gt;"")*ISNUMBER(SEARCH(거래처별!$AC$8:$AC$307,$AB1153))),거래처별!$A$8:$A$307),IFERROR(LOOKUP(2,1/((거래처별!$AD$8:$AD$307&lt;&gt;"")*ISNUMBER(SEARCH(거래처별!$AD$8:$AD$307,$AB1153))),거래처별!$A$8:$A$307),IFERROR(LOOKUP(2,1/((거래처별!$AE$8:$AE$307&lt;&gt;"")*ISNUMBER(SEARCH(거래처별!$AE$8:$AE$307,$AB1153))),거래처별!$A$8:$A$307),0))))</f>
        <v/>
      </c>
      <c r="AD1153" s="31">
        <f>IF(AND($Y1153&lt;&gt;"",N($Z1153)&gt;0,$AC1153=0),MAX($AD$7:$AD1152)+1,"")</f>
        <v/>
      </c>
      <c r="AE1153" s="31">
        <f>IF($Y1153="",0,$Y1153)</f>
        <v/>
      </c>
    </row>
    <row r="1154">
      <c r="W1154" s="31">
        <f>IF(OR($B$5="",$C$6="",ROW()&lt;$B$5),"",IF(INDEX($A:$U,ROW(),$C$6)="","",INDEX($A:$U,ROW(),$C$6)))</f>
        <v/>
      </c>
      <c r="X1154" s="32">
        <f>IF($W1154="","",IF(ISNUMBER($W1154),IF($W1154&gt;=10000000,IFERROR(DATE(INT($W1154/10000),MOD(INT($W1154/100),100),MOD($W1154,100)),""),INT($W1154)),IFERROR(DATE(--LEFT(LEFT(SUBSTITUTE(SUBSTITUTE(SUBSTITUTE(SUBSTITUTE(TRIM($W1154),"-",""),".",""),"/","")," ",""),8),4),--MID(LEFT(SUBSTITUTE(SUBSTITUTE(SUBSTITUTE(SUBSTITUTE(TRIM($W1154),"-",""),".",""),"/","")," ",""),8),5,2),--MID(LEFT(SUBSTITUTE(SUBSTITUTE(SUBSTITUTE(SUBSTITUTE(TRIM($W1154),"-",""),".",""),"/","")," ",""),8),7,2)),"")))</f>
        <v/>
      </c>
      <c r="Y1154" s="32">
        <f>IF($X1154="","",INT($X1154))</f>
        <v/>
      </c>
      <c r="Z1154" s="33">
        <f>IF(OR($Y1154="",$D$6=""),"",IF(INDEX($A:$U,ROW(),$D$6)="",0,IF(ISNUMBER(INDEX($A:$U,ROW(),$D$6)),INDEX($A:$U,ROW(),$D$6),IFERROR(--SUBSTITUTE(SUBSTITUTE(TRIM(INDEX($A:$U,ROW(),$D$6)),",",""),"원",""),0))))</f>
        <v/>
      </c>
      <c r="AA1154" s="31">
        <f>IF($Y1154="","",TRIM(INDEX($A:$U,ROW(),$E$6)&amp;IF($F$6="",""," "&amp;INDEX($A:$U,ROW(),$F$6))))</f>
        <v/>
      </c>
      <c r="AB1154" s="31">
        <f>IF($AA1154="","",SUBSTITUTE(SUBSTITUTE(SUBSTITUTE(SUBSTITUTE(SUBSTITUTE(SUBSTITUTE(SUBSTITUTE(SUBSTITUTE(SUBSTITUTE($AA1154," ",""),"　",""),"(주)",""),"（주）",""),"㈜",""),"주식회사",""),"(유)",""),"（유）",""),"유한회사",""))</f>
        <v/>
      </c>
      <c r="AC1154" s="31">
        <f>IF(OR($Y1154="",N($Z1154)&lt;=0,$AB1154=""),0,IFERROR(LOOKUP(2,1/((거래처별!$AC$8:$AC$307&lt;&gt;"")*ISNUMBER(SEARCH(거래처별!$AC$8:$AC$307,$AB1154))),거래처별!$A$8:$A$307),IFERROR(LOOKUP(2,1/((거래처별!$AD$8:$AD$307&lt;&gt;"")*ISNUMBER(SEARCH(거래처별!$AD$8:$AD$307,$AB1154))),거래처별!$A$8:$A$307),IFERROR(LOOKUP(2,1/((거래처별!$AE$8:$AE$307&lt;&gt;"")*ISNUMBER(SEARCH(거래처별!$AE$8:$AE$307,$AB1154))),거래처별!$A$8:$A$307),0))))</f>
        <v/>
      </c>
      <c r="AD1154" s="31">
        <f>IF(AND($Y1154&lt;&gt;"",N($Z1154)&gt;0,$AC1154=0),MAX($AD$7:$AD1153)+1,"")</f>
        <v/>
      </c>
      <c r="AE1154" s="31">
        <f>IF($Y1154="",0,$Y1154)</f>
        <v/>
      </c>
    </row>
    <row r="1155">
      <c r="W1155" s="31">
        <f>IF(OR($B$5="",$C$6="",ROW()&lt;$B$5),"",IF(INDEX($A:$U,ROW(),$C$6)="","",INDEX($A:$U,ROW(),$C$6)))</f>
        <v/>
      </c>
      <c r="X1155" s="32">
        <f>IF($W1155="","",IF(ISNUMBER($W1155),IF($W1155&gt;=10000000,IFERROR(DATE(INT($W1155/10000),MOD(INT($W1155/100),100),MOD($W1155,100)),""),INT($W1155)),IFERROR(DATE(--LEFT(LEFT(SUBSTITUTE(SUBSTITUTE(SUBSTITUTE(SUBSTITUTE(TRIM($W1155),"-",""),".",""),"/","")," ",""),8),4),--MID(LEFT(SUBSTITUTE(SUBSTITUTE(SUBSTITUTE(SUBSTITUTE(TRIM($W1155),"-",""),".",""),"/","")," ",""),8),5,2),--MID(LEFT(SUBSTITUTE(SUBSTITUTE(SUBSTITUTE(SUBSTITUTE(TRIM($W1155),"-",""),".",""),"/","")," ",""),8),7,2)),"")))</f>
        <v/>
      </c>
      <c r="Y1155" s="32">
        <f>IF($X1155="","",INT($X1155))</f>
        <v/>
      </c>
      <c r="Z1155" s="33">
        <f>IF(OR($Y1155="",$D$6=""),"",IF(INDEX($A:$U,ROW(),$D$6)="",0,IF(ISNUMBER(INDEX($A:$U,ROW(),$D$6)),INDEX($A:$U,ROW(),$D$6),IFERROR(--SUBSTITUTE(SUBSTITUTE(TRIM(INDEX($A:$U,ROW(),$D$6)),",",""),"원",""),0))))</f>
        <v/>
      </c>
      <c r="AA1155" s="31">
        <f>IF($Y1155="","",TRIM(INDEX($A:$U,ROW(),$E$6)&amp;IF($F$6="",""," "&amp;INDEX($A:$U,ROW(),$F$6))))</f>
        <v/>
      </c>
      <c r="AB1155" s="31">
        <f>IF($AA1155="","",SUBSTITUTE(SUBSTITUTE(SUBSTITUTE(SUBSTITUTE(SUBSTITUTE(SUBSTITUTE(SUBSTITUTE(SUBSTITUTE(SUBSTITUTE($AA1155," ",""),"　",""),"(주)",""),"（주）",""),"㈜",""),"주식회사",""),"(유)",""),"（유）",""),"유한회사",""))</f>
        <v/>
      </c>
      <c r="AC1155" s="31">
        <f>IF(OR($Y1155="",N($Z1155)&lt;=0,$AB1155=""),0,IFERROR(LOOKUP(2,1/((거래처별!$AC$8:$AC$307&lt;&gt;"")*ISNUMBER(SEARCH(거래처별!$AC$8:$AC$307,$AB1155))),거래처별!$A$8:$A$307),IFERROR(LOOKUP(2,1/((거래처별!$AD$8:$AD$307&lt;&gt;"")*ISNUMBER(SEARCH(거래처별!$AD$8:$AD$307,$AB1155))),거래처별!$A$8:$A$307),IFERROR(LOOKUP(2,1/((거래처별!$AE$8:$AE$307&lt;&gt;"")*ISNUMBER(SEARCH(거래처별!$AE$8:$AE$307,$AB1155))),거래처별!$A$8:$A$307),0))))</f>
        <v/>
      </c>
      <c r="AD1155" s="31">
        <f>IF(AND($Y1155&lt;&gt;"",N($Z1155)&gt;0,$AC1155=0),MAX($AD$7:$AD1154)+1,"")</f>
        <v/>
      </c>
      <c r="AE1155" s="31">
        <f>IF($Y1155="",0,$Y1155)</f>
        <v/>
      </c>
    </row>
    <row r="1156">
      <c r="W1156" s="31">
        <f>IF(OR($B$5="",$C$6="",ROW()&lt;$B$5),"",IF(INDEX($A:$U,ROW(),$C$6)="","",INDEX($A:$U,ROW(),$C$6)))</f>
        <v/>
      </c>
      <c r="X1156" s="32">
        <f>IF($W1156="","",IF(ISNUMBER($W1156),IF($W1156&gt;=10000000,IFERROR(DATE(INT($W1156/10000),MOD(INT($W1156/100),100),MOD($W1156,100)),""),INT($W1156)),IFERROR(DATE(--LEFT(LEFT(SUBSTITUTE(SUBSTITUTE(SUBSTITUTE(SUBSTITUTE(TRIM($W1156),"-",""),".",""),"/","")," ",""),8),4),--MID(LEFT(SUBSTITUTE(SUBSTITUTE(SUBSTITUTE(SUBSTITUTE(TRIM($W1156),"-",""),".",""),"/","")," ",""),8),5,2),--MID(LEFT(SUBSTITUTE(SUBSTITUTE(SUBSTITUTE(SUBSTITUTE(TRIM($W1156),"-",""),".",""),"/","")," ",""),8),7,2)),"")))</f>
        <v/>
      </c>
      <c r="Y1156" s="32">
        <f>IF($X1156="","",INT($X1156))</f>
        <v/>
      </c>
      <c r="Z1156" s="33">
        <f>IF(OR($Y1156="",$D$6=""),"",IF(INDEX($A:$U,ROW(),$D$6)="",0,IF(ISNUMBER(INDEX($A:$U,ROW(),$D$6)),INDEX($A:$U,ROW(),$D$6),IFERROR(--SUBSTITUTE(SUBSTITUTE(TRIM(INDEX($A:$U,ROW(),$D$6)),",",""),"원",""),0))))</f>
        <v/>
      </c>
      <c r="AA1156" s="31">
        <f>IF($Y1156="","",TRIM(INDEX($A:$U,ROW(),$E$6)&amp;IF($F$6="",""," "&amp;INDEX($A:$U,ROW(),$F$6))))</f>
        <v/>
      </c>
      <c r="AB1156" s="31">
        <f>IF($AA1156="","",SUBSTITUTE(SUBSTITUTE(SUBSTITUTE(SUBSTITUTE(SUBSTITUTE(SUBSTITUTE(SUBSTITUTE(SUBSTITUTE(SUBSTITUTE($AA1156," ",""),"　",""),"(주)",""),"（주）",""),"㈜",""),"주식회사",""),"(유)",""),"（유）",""),"유한회사",""))</f>
        <v/>
      </c>
      <c r="AC1156" s="31">
        <f>IF(OR($Y1156="",N($Z1156)&lt;=0,$AB1156=""),0,IFERROR(LOOKUP(2,1/((거래처별!$AC$8:$AC$307&lt;&gt;"")*ISNUMBER(SEARCH(거래처별!$AC$8:$AC$307,$AB1156))),거래처별!$A$8:$A$307),IFERROR(LOOKUP(2,1/((거래처별!$AD$8:$AD$307&lt;&gt;"")*ISNUMBER(SEARCH(거래처별!$AD$8:$AD$307,$AB1156))),거래처별!$A$8:$A$307),IFERROR(LOOKUP(2,1/((거래처별!$AE$8:$AE$307&lt;&gt;"")*ISNUMBER(SEARCH(거래처별!$AE$8:$AE$307,$AB1156))),거래처별!$A$8:$A$307),0))))</f>
        <v/>
      </c>
      <c r="AD1156" s="31">
        <f>IF(AND($Y1156&lt;&gt;"",N($Z1156)&gt;0,$AC1156=0),MAX($AD$7:$AD1155)+1,"")</f>
        <v/>
      </c>
      <c r="AE1156" s="31">
        <f>IF($Y1156="",0,$Y1156)</f>
        <v/>
      </c>
    </row>
    <row r="1157">
      <c r="W1157" s="31">
        <f>IF(OR($B$5="",$C$6="",ROW()&lt;$B$5),"",IF(INDEX($A:$U,ROW(),$C$6)="","",INDEX($A:$U,ROW(),$C$6)))</f>
        <v/>
      </c>
      <c r="X1157" s="32">
        <f>IF($W1157="","",IF(ISNUMBER($W1157),IF($W1157&gt;=10000000,IFERROR(DATE(INT($W1157/10000),MOD(INT($W1157/100),100),MOD($W1157,100)),""),INT($W1157)),IFERROR(DATE(--LEFT(LEFT(SUBSTITUTE(SUBSTITUTE(SUBSTITUTE(SUBSTITUTE(TRIM($W1157),"-",""),".",""),"/","")," ",""),8),4),--MID(LEFT(SUBSTITUTE(SUBSTITUTE(SUBSTITUTE(SUBSTITUTE(TRIM($W1157),"-",""),".",""),"/","")," ",""),8),5,2),--MID(LEFT(SUBSTITUTE(SUBSTITUTE(SUBSTITUTE(SUBSTITUTE(TRIM($W1157),"-",""),".",""),"/","")," ",""),8),7,2)),"")))</f>
        <v/>
      </c>
      <c r="Y1157" s="32">
        <f>IF($X1157="","",INT($X1157))</f>
        <v/>
      </c>
      <c r="Z1157" s="33">
        <f>IF(OR($Y1157="",$D$6=""),"",IF(INDEX($A:$U,ROW(),$D$6)="",0,IF(ISNUMBER(INDEX($A:$U,ROW(),$D$6)),INDEX($A:$U,ROW(),$D$6),IFERROR(--SUBSTITUTE(SUBSTITUTE(TRIM(INDEX($A:$U,ROW(),$D$6)),",",""),"원",""),0))))</f>
        <v/>
      </c>
      <c r="AA1157" s="31">
        <f>IF($Y1157="","",TRIM(INDEX($A:$U,ROW(),$E$6)&amp;IF($F$6="",""," "&amp;INDEX($A:$U,ROW(),$F$6))))</f>
        <v/>
      </c>
      <c r="AB1157" s="31">
        <f>IF($AA1157="","",SUBSTITUTE(SUBSTITUTE(SUBSTITUTE(SUBSTITUTE(SUBSTITUTE(SUBSTITUTE(SUBSTITUTE(SUBSTITUTE(SUBSTITUTE($AA1157," ",""),"　",""),"(주)",""),"（주）",""),"㈜",""),"주식회사",""),"(유)",""),"（유）",""),"유한회사",""))</f>
        <v/>
      </c>
      <c r="AC1157" s="31">
        <f>IF(OR($Y1157="",N($Z1157)&lt;=0,$AB1157=""),0,IFERROR(LOOKUP(2,1/((거래처별!$AC$8:$AC$307&lt;&gt;"")*ISNUMBER(SEARCH(거래처별!$AC$8:$AC$307,$AB1157))),거래처별!$A$8:$A$307),IFERROR(LOOKUP(2,1/((거래처별!$AD$8:$AD$307&lt;&gt;"")*ISNUMBER(SEARCH(거래처별!$AD$8:$AD$307,$AB1157))),거래처별!$A$8:$A$307),IFERROR(LOOKUP(2,1/((거래처별!$AE$8:$AE$307&lt;&gt;"")*ISNUMBER(SEARCH(거래처별!$AE$8:$AE$307,$AB1157))),거래처별!$A$8:$A$307),0))))</f>
        <v/>
      </c>
      <c r="AD1157" s="31">
        <f>IF(AND($Y1157&lt;&gt;"",N($Z1157)&gt;0,$AC1157=0),MAX($AD$7:$AD1156)+1,"")</f>
        <v/>
      </c>
      <c r="AE1157" s="31">
        <f>IF($Y1157="",0,$Y1157)</f>
        <v/>
      </c>
    </row>
    <row r="1158">
      <c r="W1158" s="31">
        <f>IF(OR($B$5="",$C$6="",ROW()&lt;$B$5),"",IF(INDEX($A:$U,ROW(),$C$6)="","",INDEX($A:$U,ROW(),$C$6)))</f>
        <v/>
      </c>
      <c r="X1158" s="32">
        <f>IF($W1158="","",IF(ISNUMBER($W1158),IF($W1158&gt;=10000000,IFERROR(DATE(INT($W1158/10000),MOD(INT($W1158/100),100),MOD($W1158,100)),""),INT($W1158)),IFERROR(DATE(--LEFT(LEFT(SUBSTITUTE(SUBSTITUTE(SUBSTITUTE(SUBSTITUTE(TRIM($W1158),"-",""),".",""),"/","")," ",""),8),4),--MID(LEFT(SUBSTITUTE(SUBSTITUTE(SUBSTITUTE(SUBSTITUTE(TRIM($W1158),"-",""),".",""),"/","")," ",""),8),5,2),--MID(LEFT(SUBSTITUTE(SUBSTITUTE(SUBSTITUTE(SUBSTITUTE(TRIM($W1158),"-",""),".",""),"/","")," ",""),8),7,2)),"")))</f>
        <v/>
      </c>
      <c r="Y1158" s="32">
        <f>IF($X1158="","",INT($X1158))</f>
        <v/>
      </c>
      <c r="Z1158" s="33">
        <f>IF(OR($Y1158="",$D$6=""),"",IF(INDEX($A:$U,ROW(),$D$6)="",0,IF(ISNUMBER(INDEX($A:$U,ROW(),$D$6)),INDEX($A:$U,ROW(),$D$6),IFERROR(--SUBSTITUTE(SUBSTITUTE(TRIM(INDEX($A:$U,ROW(),$D$6)),",",""),"원",""),0))))</f>
        <v/>
      </c>
      <c r="AA1158" s="31">
        <f>IF($Y1158="","",TRIM(INDEX($A:$U,ROW(),$E$6)&amp;IF($F$6="",""," "&amp;INDEX($A:$U,ROW(),$F$6))))</f>
        <v/>
      </c>
      <c r="AB1158" s="31">
        <f>IF($AA1158="","",SUBSTITUTE(SUBSTITUTE(SUBSTITUTE(SUBSTITUTE(SUBSTITUTE(SUBSTITUTE(SUBSTITUTE(SUBSTITUTE(SUBSTITUTE($AA1158," ",""),"　",""),"(주)",""),"（주）",""),"㈜",""),"주식회사",""),"(유)",""),"（유）",""),"유한회사",""))</f>
        <v/>
      </c>
      <c r="AC1158" s="31">
        <f>IF(OR($Y1158="",N($Z1158)&lt;=0,$AB1158=""),0,IFERROR(LOOKUP(2,1/((거래처별!$AC$8:$AC$307&lt;&gt;"")*ISNUMBER(SEARCH(거래처별!$AC$8:$AC$307,$AB1158))),거래처별!$A$8:$A$307),IFERROR(LOOKUP(2,1/((거래처별!$AD$8:$AD$307&lt;&gt;"")*ISNUMBER(SEARCH(거래처별!$AD$8:$AD$307,$AB1158))),거래처별!$A$8:$A$307),IFERROR(LOOKUP(2,1/((거래처별!$AE$8:$AE$307&lt;&gt;"")*ISNUMBER(SEARCH(거래처별!$AE$8:$AE$307,$AB1158))),거래처별!$A$8:$A$307),0))))</f>
        <v/>
      </c>
      <c r="AD1158" s="31">
        <f>IF(AND($Y1158&lt;&gt;"",N($Z1158)&gt;0,$AC1158=0),MAX($AD$7:$AD1157)+1,"")</f>
        <v/>
      </c>
      <c r="AE1158" s="31">
        <f>IF($Y1158="",0,$Y1158)</f>
        <v/>
      </c>
    </row>
    <row r="1159">
      <c r="W1159" s="31">
        <f>IF(OR($B$5="",$C$6="",ROW()&lt;$B$5),"",IF(INDEX($A:$U,ROW(),$C$6)="","",INDEX($A:$U,ROW(),$C$6)))</f>
        <v/>
      </c>
      <c r="X1159" s="32">
        <f>IF($W1159="","",IF(ISNUMBER($W1159),IF($W1159&gt;=10000000,IFERROR(DATE(INT($W1159/10000),MOD(INT($W1159/100),100),MOD($W1159,100)),""),INT($W1159)),IFERROR(DATE(--LEFT(LEFT(SUBSTITUTE(SUBSTITUTE(SUBSTITUTE(SUBSTITUTE(TRIM($W1159),"-",""),".",""),"/","")," ",""),8),4),--MID(LEFT(SUBSTITUTE(SUBSTITUTE(SUBSTITUTE(SUBSTITUTE(TRIM($W1159),"-",""),".",""),"/","")," ",""),8),5,2),--MID(LEFT(SUBSTITUTE(SUBSTITUTE(SUBSTITUTE(SUBSTITUTE(TRIM($W1159),"-",""),".",""),"/","")," ",""),8),7,2)),"")))</f>
        <v/>
      </c>
      <c r="Y1159" s="32">
        <f>IF($X1159="","",INT($X1159))</f>
        <v/>
      </c>
      <c r="Z1159" s="33">
        <f>IF(OR($Y1159="",$D$6=""),"",IF(INDEX($A:$U,ROW(),$D$6)="",0,IF(ISNUMBER(INDEX($A:$U,ROW(),$D$6)),INDEX($A:$U,ROW(),$D$6),IFERROR(--SUBSTITUTE(SUBSTITUTE(TRIM(INDEX($A:$U,ROW(),$D$6)),",",""),"원",""),0))))</f>
        <v/>
      </c>
      <c r="AA1159" s="31">
        <f>IF($Y1159="","",TRIM(INDEX($A:$U,ROW(),$E$6)&amp;IF($F$6="",""," "&amp;INDEX($A:$U,ROW(),$F$6))))</f>
        <v/>
      </c>
      <c r="AB1159" s="31">
        <f>IF($AA1159="","",SUBSTITUTE(SUBSTITUTE(SUBSTITUTE(SUBSTITUTE(SUBSTITUTE(SUBSTITUTE(SUBSTITUTE(SUBSTITUTE(SUBSTITUTE($AA1159," ",""),"　",""),"(주)",""),"（주）",""),"㈜",""),"주식회사",""),"(유)",""),"（유）",""),"유한회사",""))</f>
        <v/>
      </c>
      <c r="AC1159" s="31">
        <f>IF(OR($Y1159="",N($Z1159)&lt;=0,$AB1159=""),0,IFERROR(LOOKUP(2,1/((거래처별!$AC$8:$AC$307&lt;&gt;"")*ISNUMBER(SEARCH(거래처별!$AC$8:$AC$307,$AB1159))),거래처별!$A$8:$A$307),IFERROR(LOOKUP(2,1/((거래처별!$AD$8:$AD$307&lt;&gt;"")*ISNUMBER(SEARCH(거래처별!$AD$8:$AD$307,$AB1159))),거래처별!$A$8:$A$307),IFERROR(LOOKUP(2,1/((거래처별!$AE$8:$AE$307&lt;&gt;"")*ISNUMBER(SEARCH(거래처별!$AE$8:$AE$307,$AB1159))),거래처별!$A$8:$A$307),0))))</f>
        <v/>
      </c>
      <c r="AD1159" s="31">
        <f>IF(AND($Y1159&lt;&gt;"",N($Z1159)&gt;0,$AC1159=0),MAX($AD$7:$AD1158)+1,"")</f>
        <v/>
      </c>
      <c r="AE1159" s="31">
        <f>IF($Y1159="",0,$Y1159)</f>
        <v/>
      </c>
    </row>
    <row r="1160">
      <c r="W1160" s="31">
        <f>IF(OR($B$5="",$C$6="",ROW()&lt;$B$5),"",IF(INDEX($A:$U,ROW(),$C$6)="","",INDEX($A:$U,ROW(),$C$6)))</f>
        <v/>
      </c>
      <c r="X1160" s="32">
        <f>IF($W1160="","",IF(ISNUMBER($W1160),IF($W1160&gt;=10000000,IFERROR(DATE(INT($W1160/10000),MOD(INT($W1160/100),100),MOD($W1160,100)),""),INT($W1160)),IFERROR(DATE(--LEFT(LEFT(SUBSTITUTE(SUBSTITUTE(SUBSTITUTE(SUBSTITUTE(TRIM($W1160),"-",""),".",""),"/","")," ",""),8),4),--MID(LEFT(SUBSTITUTE(SUBSTITUTE(SUBSTITUTE(SUBSTITUTE(TRIM($W1160),"-",""),".",""),"/","")," ",""),8),5,2),--MID(LEFT(SUBSTITUTE(SUBSTITUTE(SUBSTITUTE(SUBSTITUTE(TRIM($W1160),"-",""),".",""),"/","")," ",""),8),7,2)),"")))</f>
        <v/>
      </c>
      <c r="Y1160" s="32">
        <f>IF($X1160="","",INT($X1160))</f>
        <v/>
      </c>
      <c r="Z1160" s="33">
        <f>IF(OR($Y1160="",$D$6=""),"",IF(INDEX($A:$U,ROW(),$D$6)="",0,IF(ISNUMBER(INDEX($A:$U,ROW(),$D$6)),INDEX($A:$U,ROW(),$D$6),IFERROR(--SUBSTITUTE(SUBSTITUTE(TRIM(INDEX($A:$U,ROW(),$D$6)),",",""),"원",""),0))))</f>
        <v/>
      </c>
      <c r="AA1160" s="31">
        <f>IF($Y1160="","",TRIM(INDEX($A:$U,ROW(),$E$6)&amp;IF($F$6="",""," "&amp;INDEX($A:$U,ROW(),$F$6))))</f>
        <v/>
      </c>
      <c r="AB1160" s="31">
        <f>IF($AA1160="","",SUBSTITUTE(SUBSTITUTE(SUBSTITUTE(SUBSTITUTE(SUBSTITUTE(SUBSTITUTE(SUBSTITUTE(SUBSTITUTE(SUBSTITUTE($AA1160," ",""),"　",""),"(주)",""),"（주）",""),"㈜",""),"주식회사",""),"(유)",""),"（유）",""),"유한회사",""))</f>
        <v/>
      </c>
      <c r="AC1160" s="31">
        <f>IF(OR($Y1160="",N($Z1160)&lt;=0,$AB1160=""),0,IFERROR(LOOKUP(2,1/((거래처별!$AC$8:$AC$307&lt;&gt;"")*ISNUMBER(SEARCH(거래처별!$AC$8:$AC$307,$AB1160))),거래처별!$A$8:$A$307),IFERROR(LOOKUP(2,1/((거래처별!$AD$8:$AD$307&lt;&gt;"")*ISNUMBER(SEARCH(거래처별!$AD$8:$AD$307,$AB1160))),거래처별!$A$8:$A$307),IFERROR(LOOKUP(2,1/((거래처별!$AE$8:$AE$307&lt;&gt;"")*ISNUMBER(SEARCH(거래처별!$AE$8:$AE$307,$AB1160))),거래처별!$A$8:$A$307),0))))</f>
        <v/>
      </c>
      <c r="AD1160" s="31">
        <f>IF(AND($Y1160&lt;&gt;"",N($Z1160)&gt;0,$AC1160=0),MAX($AD$7:$AD1159)+1,"")</f>
        <v/>
      </c>
      <c r="AE1160" s="31">
        <f>IF($Y1160="",0,$Y1160)</f>
        <v/>
      </c>
    </row>
    <row r="1161">
      <c r="W1161" s="31">
        <f>IF(OR($B$5="",$C$6="",ROW()&lt;$B$5),"",IF(INDEX($A:$U,ROW(),$C$6)="","",INDEX($A:$U,ROW(),$C$6)))</f>
        <v/>
      </c>
      <c r="X1161" s="32">
        <f>IF($W1161="","",IF(ISNUMBER($W1161),IF($W1161&gt;=10000000,IFERROR(DATE(INT($W1161/10000),MOD(INT($W1161/100),100),MOD($W1161,100)),""),INT($W1161)),IFERROR(DATE(--LEFT(LEFT(SUBSTITUTE(SUBSTITUTE(SUBSTITUTE(SUBSTITUTE(TRIM($W1161),"-",""),".",""),"/","")," ",""),8),4),--MID(LEFT(SUBSTITUTE(SUBSTITUTE(SUBSTITUTE(SUBSTITUTE(TRIM($W1161),"-",""),".",""),"/","")," ",""),8),5,2),--MID(LEFT(SUBSTITUTE(SUBSTITUTE(SUBSTITUTE(SUBSTITUTE(TRIM($W1161),"-",""),".",""),"/","")," ",""),8),7,2)),"")))</f>
        <v/>
      </c>
      <c r="Y1161" s="32">
        <f>IF($X1161="","",INT($X1161))</f>
        <v/>
      </c>
      <c r="Z1161" s="33">
        <f>IF(OR($Y1161="",$D$6=""),"",IF(INDEX($A:$U,ROW(),$D$6)="",0,IF(ISNUMBER(INDEX($A:$U,ROW(),$D$6)),INDEX($A:$U,ROW(),$D$6),IFERROR(--SUBSTITUTE(SUBSTITUTE(TRIM(INDEX($A:$U,ROW(),$D$6)),",",""),"원",""),0))))</f>
        <v/>
      </c>
      <c r="AA1161" s="31">
        <f>IF($Y1161="","",TRIM(INDEX($A:$U,ROW(),$E$6)&amp;IF($F$6="",""," "&amp;INDEX($A:$U,ROW(),$F$6))))</f>
        <v/>
      </c>
      <c r="AB1161" s="31">
        <f>IF($AA1161="","",SUBSTITUTE(SUBSTITUTE(SUBSTITUTE(SUBSTITUTE(SUBSTITUTE(SUBSTITUTE(SUBSTITUTE(SUBSTITUTE(SUBSTITUTE($AA1161," ",""),"　",""),"(주)",""),"（주）",""),"㈜",""),"주식회사",""),"(유)",""),"（유）",""),"유한회사",""))</f>
        <v/>
      </c>
      <c r="AC1161" s="31">
        <f>IF(OR($Y1161="",N($Z1161)&lt;=0,$AB1161=""),0,IFERROR(LOOKUP(2,1/((거래처별!$AC$8:$AC$307&lt;&gt;"")*ISNUMBER(SEARCH(거래처별!$AC$8:$AC$307,$AB1161))),거래처별!$A$8:$A$307),IFERROR(LOOKUP(2,1/((거래처별!$AD$8:$AD$307&lt;&gt;"")*ISNUMBER(SEARCH(거래처별!$AD$8:$AD$307,$AB1161))),거래처별!$A$8:$A$307),IFERROR(LOOKUP(2,1/((거래처별!$AE$8:$AE$307&lt;&gt;"")*ISNUMBER(SEARCH(거래처별!$AE$8:$AE$307,$AB1161))),거래처별!$A$8:$A$307),0))))</f>
        <v/>
      </c>
      <c r="AD1161" s="31">
        <f>IF(AND($Y1161&lt;&gt;"",N($Z1161)&gt;0,$AC1161=0),MAX($AD$7:$AD1160)+1,"")</f>
        <v/>
      </c>
      <c r="AE1161" s="31">
        <f>IF($Y1161="",0,$Y1161)</f>
        <v/>
      </c>
    </row>
    <row r="1162">
      <c r="W1162" s="31">
        <f>IF(OR($B$5="",$C$6="",ROW()&lt;$B$5),"",IF(INDEX($A:$U,ROW(),$C$6)="","",INDEX($A:$U,ROW(),$C$6)))</f>
        <v/>
      </c>
      <c r="X1162" s="32">
        <f>IF($W1162="","",IF(ISNUMBER($W1162),IF($W1162&gt;=10000000,IFERROR(DATE(INT($W1162/10000),MOD(INT($W1162/100),100),MOD($W1162,100)),""),INT($W1162)),IFERROR(DATE(--LEFT(LEFT(SUBSTITUTE(SUBSTITUTE(SUBSTITUTE(SUBSTITUTE(TRIM($W1162),"-",""),".",""),"/","")," ",""),8),4),--MID(LEFT(SUBSTITUTE(SUBSTITUTE(SUBSTITUTE(SUBSTITUTE(TRIM($W1162),"-",""),".",""),"/","")," ",""),8),5,2),--MID(LEFT(SUBSTITUTE(SUBSTITUTE(SUBSTITUTE(SUBSTITUTE(TRIM($W1162),"-",""),".",""),"/","")," ",""),8),7,2)),"")))</f>
        <v/>
      </c>
      <c r="Y1162" s="32">
        <f>IF($X1162="","",INT($X1162))</f>
        <v/>
      </c>
      <c r="Z1162" s="33">
        <f>IF(OR($Y1162="",$D$6=""),"",IF(INDEX($A:$U,ROW(),$D$6)="",0,IF(ISNUMBER(INDEX($A:$U,ROW(),$D$6)),INDEX($A:$U,ROW(),$D$6),IFERROR(--SUBSTITUTE(SUBSTITUTE(TRIM(INDEX($A:$U,ROW(),$D$6)),",",""),"원",""),0))))</f>
        <v/>
      </c>
      <c r="AA1162" s="31">
        <f>IF($Y1162="","",TRIM(INDEX($A:$U,ROW(),$E$6)&amp;IF($F$6="",""," "&amp;INDEX($A:$U,ROW(),$F$6))))</f>
        <v/>
      </c>
      <c r="AB1162" s="31">
        <f>IF($AA1162="","",SUBSTITUTE(SUBSTITUTE(SUBSTITUTE(SUBSTITUTE(SUBSTITUTE(SUBSTITUTE(SUBSTITUTE(SUBSTITUTE(SUBSTITUTE($AA1162," ",""),"　",""),"(주)",""),"（주）",""),"㈜",""),"주식회사",""),"(유)",""),"（유）",""),"유한회사",""))</f>
        <v/>
      </c>
      <c r="AC1162" s="31">
        <f>IF(OR($Y1162="",N($Z1162)&lt;=0,$AB1162=""),0,IFERROR(LOOKUP(2,1/((거래처별!$AC$8:$AC$307&lt;&gt;"")*ISNUMBER(SEARCH(거래처별!$AC$8:$AC$307,$AB1162))),거래처별!$A$8:$A$307),IFERROR(LOOKUP(2,1/((거래처별!$AD$8:$AD$307&lt;&gt;"")*ISNUMBER(SEARCH(거래처별!$AD$8:$AD$307,$AB1162))),거래처별!$A$8:$A$307),IFERROR(LOOKUP(2,1/((거래처별!$AE$8:$AE$307&lt;&gt;"")*ISNUMBER(SEARCH(거래처별!$AE$8:$AE$307,$AB1162))),거래처별!$A$8:$A$307),0))))</f>
        <v/>
      </c>
      <c r="AD1162" s="31">
        <f>IF(AND($Y1162&lt;&gt;"",N($Z1162)&gt;0,$AC1162=0),MAX($AD$7:$AD1161)+1,"")</f>
        <v/>
      </c>
      <c r="AE1162" s="31">
        <f>IF($Y1162="",0,$Y1162)</f>
        <v/>
      </c>
    </row>
    <row r="1163">
      <c r="W1163" s="31">
        <f>IF(OR($B$5="",$C$6="",ROW()&lt;$B$5),"",IF(INDEX($A:$U,ROW(),$C$6)="","",INDEX($A:$U,ROW(),$C$6)))</f>
        <v/>
      </c>
      <c r="X1163" s="32">
        <f>IF($W1163="","",IF(ISNUMBER($W1163),IF($W1163&gt;=10000000,IFERROR(DATE(INT($W1163/10000),MOD(INT($W1163/100),100),MOD($W1163,100)),""),INT($W1163)),IFERROR(DATE(--LEFT(LEFT(SUBSTITUTE(SUBSTITUTE(SUBSTITUTE(SUBSTITUTE(TRIM($W1163),"-",""),".",""),"/","")," ",""),8),4),--MID(LEFT(SUBSTITUTE(SUBSTITUTE(SUBSTITUTE(SUBSTITUTE(TRIM($W1163),"-",""),".",""),"/","")," ",""),8),5,2),--MID(LEFT(SUBSTITUTE(SUBSTITUTE(SUBSTITUTE(SUBSTITUTE(TRIM($W1163),"-",""),".",""),"/","")," ",""),8),7,2)),"")))</f>
        <v/>
      </c>
      <c r="Y1163" s="32">
        <f>IF($X1163="","",INT($X1163))</f>
        <v/>
      </c>
      <c r="Z1163" s="33">
        <f>IF(OR($Y1163="",$D$6=""),"",IF(INDEX($A:$U,ROW(),$D$6)="",0,IF(ISNUMBER(INDEX($A:$U,ROW(),$D$6)),INDEX($A:$U,ROW(),$D$6),IFERROR(--SUBSTITUTE(SUBSTITUTE(TRIM(INDEX($A:$U,ROW(),$D$6)),",",""),"원",""),0))))</f>
        <v/>
      </c>
      <c r="AA1163" s="31">
        <f>IF($Y1163="","",TRIM(INDEX($A:$U,ROW(),$E$6)&amp;IF($F$6="",""," "&amp;INDEX($A:$U,ROW(),$F$6))))</f>
        <v/>
      </c>
      <c r="AB1163" s="31">
        <f>IF($AA1163="","",SUBSTITUTE(SUBSTITUTE(SUBSTITUTE(SUBSTITUTE(SUBSTITUTE(SUBSTITUTE(SUBSTITUTE(SUBSTITUTE(SUBSTITUTE($AA1163," ",""),"　",""),"(주)",""),"（주）",""),"㈜",""),"주식회사",""),"(유)",""),"（유）",""),"유한회사",""))</f>
        <v/>
      </c>
      <c r="AC1163" s="31">
        <f>IF(OR($Y1163="",N($Z1163)&lt;=0,$AB1163=""),0,IFERROR(LOOKUP(2,1/((거래처별!$AC$8:$AC$307&lt;&gt;"")*ISNUMBER(SEARCH(거래처별!$AC$8:$AC$307,$AB1163))),거래처별!$A$8:$A$307),IFERROR(LOOKUP(2,1/((거래처별!$AD$8:$AD$307&lt;&gt;"")*ISNUMBER(SEARCH(거래처별!$AD$8:$AD$307,$AB1163))),거래처별!$A$8:$A$307),IFERROR(LOOKUP(2,1/((거래처별!$AE$8:$AE$307&lt;&gt;"")*ISNUMBER(SEARCH(거래처별!$AE$8:$AE$307,$AB1163))),거래처별!$A$8:$A$307),0))))</f>
        <v/>
      </c>
      <c r="AD1163" s="31">
        <f>IF(AND($Y1163&lt;&gt;"",N($Z1163)&gt;0,$AC1163=0),MAX($AD$7:$AD1162)+1,"")</f>
        <v/>
      </c>
      <c r="AE1163" s="31">
        <f>IF($Y1163="",0,$Y1163)</f>
        <v/>
      </c>
    </row>
    <row r="1164">
      <c r="W1164" s="31">
        <f>IF(OR($B$5="",$C$6="",ROW()&lt;$B$5),"",IF(INDEX($A:$U,ROW(),$C$6)="","",INDEX($A:$U,ROW(),$C$6)))</f>
        <v/>
      </c>
      <c r="X1164" s="32">
        <f>IF($W1164="","",IF(ISNUMBER($W1164),IF($W1164&gt;=10000000,IFERROR(DATE(INT($W1164/10000),MOD(INT($W1164/100),100),MOD($W1164,100)),""),INT($W1164)),IFERROR(DATE(--LEFT(LEFT(SUBSTITUTE(SUBSTITUTE(SUBSTITUTE(SUBSTITUTE(TRIM($W1164),"-",""),".",""),"/","")," ",""),8),4),--MID(LEFT(SUBSTITUTE(SUBSTITUTE(SUBSTITUTE(SUBSTITUTE(TRIM($W1164),"-",""),".",""),"/","")," ",""),8),5,2),--MID(LEFT(SUBSTITUTE(SUBSTITUTE(SUBSTITUTE(SUBSTITUTE(TRIM($W1164),"-",""),".",""),"/","")," ",""),8),7,2)),"")))</f>
        <v/>
      </c>
      <c r="Y1164" s="32">
        <f>IF($X1164="","",INT($X1164))</f>
        <v/>
      </c>
      <c r="Z1164" s="33">
        <f>IF(OR($Y1164="",$D$6=""),"",IF(INDEX($A:$U,ROW(),$D$6)="",0,IF(ISNUMBER(INDEX($A:$U,ROW(),$D$6)),INDEX($A:$U,ROW(),$D$6),IFERROR(--SUBSTITUTE(SUBSTITUTE(TRIM(INDEX($A:$U,ROW(),$D$6)),",",""),"원",""),0))))</f>
        <v/>
      </c>
      <c r="AA1164" s="31">
        <f>IF($Y1164="","",TRIM(INDEX($A:$U,ROW(),$E$6)&amp;IF($F$6="",""," "&amp;INDEX($A:$U,ROW(),$F$6))))</f>
        <v/>
      </c>
      <c r="AB1164" s="31">
        <f>IF($AA1164="","",SUBSTITUTE(SUBSTITUTE(SUBSTITUTE(SUBSTITUTE(SUBSTITUTE(SUBSTITUTE(SUBSTITUTE(SUBSTITUTE(SUBSTITUTE($AA1164," ",""),"　",""),"(주)",""),"（주）",""),"㈜",""),"주식회사",""),"(유)",""),"（유）",""),"유한회사",""))</f>
        <v/>
      </c>
      <c r="AC1164" s="31">
        <f>IF(OR($Y1164="",N($Z1164)&lt;=0,$AB1164=""),0,IFERROR(LOOKUP(2,1/((거래처별!$AC$8:$AC$307&lt;&gt;"")*ISNUMBER(SEARCH(거래처별!$AC$8:$AC$307,$AB1164))),거래처별!$A$8:$A$307),IFERROR(LOOKUP(2,1/((거래처별!$AD$8:$AD$307&lt;&gt;"")*ISNUMBER(SEARCH(거래처별!$AD$8:$AD$307,$AB1164))),거래처별!$A$8:$A$307),IFERROR(LOOKUP(2,1/((거래처별!$AE$8:$AE$307&lt;&gt;"")*ISNUMBER(SEARCH(거래처별!$AE$8:$AE$307,$AB1164))),거래처별!$A$8:$A$307),0))))</f>
        <v/>
      </c>
      <c r="AD1164" s="31">
        <f>IF(AND($Y1164&lt;&gt;"",N($Z1164)&gt;0,$AC1164=0),MAX($AD$7:$AD1163)+1,"")</f>
        <v/>
      </c>
      <c r="AE1164" s="31">
        <f>IF($Y1164="",0,$Y1164)</f>
        <v/>
      </c>
    </row>
    <row r="1165">
      <c r="W1165" s="31">
        <f>IF(OR($B$5="",$C$6="",ROW()&lt;$B$5),"",IF(INDEX($A:$U,ROW(),$C$6)="","",INDEX($A:$U,ROW(),$C$6)))</f>
        <v/>
      </c>
      <c r="X1165" s="32">
        <f>IF($W1165="","",IF(ISNUMBER($W1165),IF($W1165&gt;=10000000,IFERROR(DATE(INT($W1165/10000),MOD(INT($W1165/100),100),MOD($W1165,100)),""),INT($W1165)),IFERROR(DATE(--LEFT(LEFT(SUBSTITUTE(SUBSTITUTE(SUBSTITUTE(SUBSTITUTE(TRIM($W1165),"-",""),".",""),"/","")," ",""),8),4),--MID(LEFT(SUBSTITUTE(SUBSTITUTE(SUBSTITUTE(SUBSTITUTE(TRIM($W1165),"-",""),".",""),"/","")," ",""),8),5,2),--MID(LEFT(SUBSTITUTE(SUBSTITUTE(SUBSTITUTE(SUBSTITUTE(TRIM($W1165),"-",""),".",""),"/","")," ",""),8),7,2)),"")))</f>
        <v/>
      </c>
      <c r="Y1165" s="32">
        <f>IF($X1165="","",INT($X1165))</f>
        <v/>
      </c>
      <c r="Z1165" s="33">
        <f>IF(OR($Y1165="",$D$6=""),"",IF(INDEX($A:$U,ROW(),$D$6)="",0,IF(ISNUMBER(INDEX($A:$U,ROW(),$D$6)),INDEX($A:$U,ROW(),$D$6),IFERROR(--SUBSTITUTE(SUBSTITUTE(TRIM(INDEX($A:$U,ROW(),$D$6)),",",""),"원",""),0))))</f>
        <v/>
      </c>
      <c r="AA1165" s="31">
        <f>IF($Y1165="","",TRIM(INDEX($A:$U,ROW(),$E$6)&amp;IF($F$6="",""," "&amp;INDEX($A:$U,ROW(),$F$6))))</f>
        <v/>
      </c>
      <c r="AB1165" s="31">
        <f>IF($AA1165="","",SUBSTITUTE(SUBSTITUTE(SUBSTITUTE(SUBSTITUTE(SUBSTITUTE(SUBSTITUTE(SUBSTITUTE(SUBSTITUTE(SUBSTITUTE($AA1165," ",""),"　",""),"(주)",""),"（주）",""),"㈜",""),"주식회사",""),"(유)",""),"（유）",""),"유한회사",""))</f>
        <v/>
      </c>
      <c r="AC1165" s="31">
        <f>IF(OR($Y1165="",N($Z1165)&lt;=0,$AB1165=""),0,IFERROR(LOOKUP(2,1/((거래처별!$AC$8:$AC$307&lt;&gt;"")*ISNUMBER(SEARCH(거래처별!$AC$8:$AC$307,$AB1165))),거래처별!$A$8:$A$307),IFERROR(LOOKUP(2,1/((거래처별!$AD$8:$AD$307&lt;&gt;"")*ISNUMBER(SEARCH(거래처별!$AD$8:$AD$307,$AB1165))),거래처별!$A$8:$A$307),IFERROR(LOOKUP(2,1/((거래처별!$AE$8:$AE$307&lt;&gt;"")*ISNUMBER(SEARCH(거래처별!$AE$8:$AE$307,$AB1165))),거래처별!$A$8:$A$307),0))))</f>
        <v/>
      </c>
      <c r="AD1165" s="31">
        <f>IF(AND($Y1165&lt;&gt;"",N($Z1165)&gt;0,$AC1165=0),MAX($AD$7:$AD1164)+1,"")</f>
        <v/>
      </c>
      <c r="AE1165" s="31">
        <f>IF($Y1165="",0,$Y1165)</f>
        <v/>
      </c>
    </row>
    <row r="1166">
      <c r="W1166" s="31">
        <f>IF(OR($B$5="",$C$6="",ROW()&lt;$B$5),"",IF(INDEX($A:$U,ROW(),$C$6)="","",INDEX($A:$U,ROW(),$C$6)))</f>
        <v/>
      </c>
      <c r="X1166" s="32">
        <f>IF($W1166="","",IF(ISNUMBER($W1166),IF($W1166&gt;=10000000,IFERROR(DATE(INT($W1166/10000),MOD(INT($W1166/100),100),MOD($W1166,100)),""),INT($W1166)),IFERROR(DATE(--LEFT(LEFT(SUBSTITUTE(SUBSTITUTE(SUBSTITUTE(SUBSTITUTE(TRIM($W1166),"-",""),".",""),"/","")," ",""),8),4),--MID(LEFT(SUBSTITUTE(SUBSTITUTE(SUBSTITUTE(SUBSTITUTE(TRIM($W1166),"-",""),".",""),"/","")," ",""),8),5,2),--MID(LEFT(SUBSTITUTE(SUBSTITUTE(SUBSTITUTE(SUBSTITUTE(TRIM($W1166),"-",""),".",""),"/","")," ",""),8),7,2)),"")))</f>
        <v/>
      </c>
      <c r="Y1166" s="32">
        <f>IF($X1166="","",INT($X1166))</f>
        <v/>
      </c>
      <c r="Z1166" s="33">
        <f>IF(OR($Y1166="",$D$6=""),"",IF(INDEX($A:$U,ROW(),$D$6)="",0,IF(ISNUMBER(INDEX($A:$U,ROW(),$D$6)),INDEX($A:$U,ROW(),$D$6),IFERROR(--SUBSTITUTE(SUBSTITUTE(TRIM(INDEX($A:$U,ROW(),$D$6)),",",""),"원",""),0))))</f>
        <v/>
      </c>
      <c r="AA1166" s="31">
        <f>IF($Y1166="","",TRIM(INDEX($A:$U,ROW(),$E$6)&amp;IF($F$6="",""," "&amp;INDEX($A:$U,ROW(),$F$6))))</f>
        <v/>
      </c>
      <c r="AB1166" s="31">
        <f>IF($AA1166="","",SUBSTITUTE(SUBSTITUTE(SUBSTITUTE(SUBSTITUTE(SUBSTITUTE(SUBSTITUTE(SUBSTITUTE(SUBSTITUTE(SUBSTITUTE($AA1166," ",""),"　",""),"(주)",""),"（주）",""),"㈜",""),"주식회사",""),"(유)",""),"（유）",""),"유한회사",""))</f>
        <v/>
      </c>
      <c r="AC1166" s="31">
        <f>IF(OR($Y1166="",N($Z1166)&lt;=0,$AB1166=""),0,IFERROR(LOOKUP(2,1/((거래처별!$AC$8:$AC$307&lt;&gt;"")*ISNUMBER(SEARCH(거래처별!$AC$8:$AC$307,$AB1166))),거래처별!$A$8:$A$307),IFERROR(LOOKUP(2,1/((거래처별!$AD$8:$AD$307&lt;&gt;"")*ISNUMBER(SEARCH(거래처별!$AD$8:$AD$307,$AB1166))),거래처별!$A$8:$A$307),IFERROR(LOOKUP(2,1/((거래처별!$AE$8:$AE$307&lt;&gt;"")*ISNUMBER(SEARCH(거래처별!$AE$8:$AE$307,$AB1166))),거래처별!$A$8:$A$307),0))))</f>
        <v/>
      </c>
      <c r="AD1166" s="31">
        <f>IF(AND($Y1166&lt;&gt;"",N($Z1166)&gt;0,$AC1166=0),MAX($AD$7:$AD1165)+1,"")</f>
        <v/>
      </c>
      <c r="AE1166" s="31">
        <f>IF($Y1166="",0,$Y1166)</f>
        <v/>
      </c>
    </row>
    <row r="1167">
      <c r="W1167" s="31">
        <f>IF(OR($B$5="",$C$6="",ROW()&lt;$B$5),"",IF(INDEX($A:$U,ROW(),$C$6)="","",INDEX($A:$U,ROW(),$C$6)))</f>
        <v/>
      </c>
      <c r="X1167" s="32">
        <f>IF($W1167="","",IF(ISNUMBER($W1167),IF($W1167&gt;=10000000,IFERROR(DATE(INT($W1167/10000),MOD(INT($W1167/100),100),MOD($W1167,100)),""),INT($W1167)),IFERROR(DATE(--LEFT(LEFT(SUBSTITUTE(SUBSTITUTE(SUBSTITUTE(SUBSTITUTE(TRIM($W1167),"-",""),".",""),"/","")," ",""),8),4),--MID(LEFT(SUBSTITUTE(SUBSTITUTE(SUBSTITUTE(SUBSTITUTE(TRIM($W1167),"-",""),".",""),"/","")," ",""),8),5,2),--MID(LEFT(SUBSTITUTE(SUBSTITUTE(SUBSTITUTE(SUBSTITUTE(TRIM($W1167),"-",""),".",""),"/","")," ",""),8),7,2)),"")))</f>
        <v/>
      </c>
      <c r="Y1167" s="32">
        <f>IF($X1167="","",INT($X1167))</f>
        <v/>
      </c>
      <c r="Z1167" s="33">
        <f>IF(OR($Y1167="",$D$6=""),"",IF(INDEX($A:$U,ROW(),$D$6)="",0,IF(ISNUMBER(INDEX($A:$U,ROW(),$D$6)),INDEX($A:$U,ROW(),$D$6),IFERROR(--SUBSTITUTE(SUBSTITUTE(TRIM(INDEX($A:$U,ROW(),$D$6)),",",""),"원",""),0))))</f>
        <v/>
      </c>
      <c r="AA1167" s="31">
        <f>IF($Y1167="","",TRIM(INDEX($A:$U,ROW(),$E$6)&amp;IF($F$6="",""," "&amp;INDEX($A:$U,ROW(),$F$6))))</f>
        <v/>
      </c>
      <c r="AB1167" s="31">
        <f>IF($AA1167="","",SUBSTITUTE(SUBSTITUTE(SUBSTITUTE(SUBSTITUTE(SUBSTITUTE(SUBSTITUTE(SUBSTITUTE(SUBSTITUTE(SUBSTITUTE($AA1167," ",""),"　",""),"(주)",""),"（주）",""),"㈜",""),"주식회사",""),"(유)",""),"（유）",""),"유한회사",""))</f>
        <v/>
      </c>
      <c r="AC1167" s="31">
        <f>IF(OR($Y1167="",N($Z1167)&lt;=0,$AB1167=""),0,IFERROR(LOOKUP(2,1/((거래처별!$AC$8:$AC$307&lt;&gt;"")*ISNUMBER(SEARCH(거래처별!$AC$8:$AC$307,$AB1167))),거래처별!$A$8:$A$307),IFERROR(LOOKUP(2,1/((거래처별!$AD$8:$AD$307&lt;&gt;"")*ISNUMBER(SEARCH(거래처별!$AD$8:$AD$307,$AB1167))),거래처별!$A$8:$A$307),IFERROR(LOOKUP(2,1/((거래처별!$AE$8:$AE$307&lt;&gt;"")*ISNUMBER(SEARCH(거래처별!$AE$8:$AE$307,$AB1167))),거래처별!$A$8:$A$307),0))))</f>
        <v/>
      </c>
      <c r="AD1167" s="31">
        <f>IF(AND($Y1167&lt;&gt;"",N($Z1167)&gt;0,$AC1167=0),MAX($AD$7:$AD1166)+1,"")</f>
        <v/>
      </c>
      <c r="AE1167" s="31">
        <f>IF($Y1167="",0,$Y1167)</f>
        <v/>
      </c>
    </row>
    <row r="1168">
      <c r="W1168" s="31">
        <f>IF(OR($B$5="",$C$6="",ROW()&lt;$B$5),"",IF(INDEX($A:$U,ROW(),$C$6)="","",INDEX($A:$U,ROW(),$C$6)))</f>
        <v/>
      </c>
      <c r="X1168" s="32">
        <f>IF($W1168="","",IF(ISNUMBER($W1168),IF($W1168&gt;=10000000,IFERROR(DATE(INT($W1168/10000),MOD(INT($W1168/100),100),MOD($W1168,100)),""),INT($W1168)),IFERROR(DATE(--LEFT(LEFT(SUBSTITUTE(SUBSTITUTE(SUBSTITUTE(SUBSTITUTE(TRIM($W1168),"-",""),".",""),"/","")," ",""),8),4),--MID(LEFT(SUBSTITUTE(SUBSTITUTE(SUBSTITUTE(SUBSTITUTE(TRIM($W1168),"-",""),".",""),"/","")," ",""),8),5,2),--MID(LEFT(SUBSTITUTE(SUBSTITUTE(SUBSTITUTE(SUBSTITUTE(TRIM($W1168),"-",""),".",""),"/","")," ",""),8),7,2)),"")))</f>
        <v/>
      </c>
      <c r="Y1168" s="32">
        <f>IF($X1168="","",INT($X1168))</f>
        <v/>
      </c>
      <c r="Z1168" s="33">
        <f>IF(OR($Y1168="",$D$6=""),"",IF(INDEX($A:$U,ROW(),$D$6)="",0,IF(ISNUMBER(INDEX($A:$U,ROW(),$D$6)),INDEX($A:$U,ROW(),$D$6),IFERROR(--SUBSTITUTE(SUBSTITUTE(TRIM(INDEX($A:$U,ROW(),$D$6)),",",""),"원",""),0))))</f>
        <v/>
      </c>
      <c r="AA1168" s="31">
        <f>IF($Y1168="","",TRIM(INDEX($A:$U,ROW(),$E$6)&amp;IF($F$6="",""," "&amp;INDEX($A:$U,ROW(),$F$6))))</f>
        <v/>
      </c>
      <c r="AB1168" s="31">
        <f>IF($AA1168="","",SUBSTITUTE(SUBSTITUTE(SUBSTITUTE(SUBSTITUTE(SUBSTITUTE(SUBSTITUTE(SUBSTITUTE(SUBSTITUTE(SUBSTITUTE($AA1168," ",""),"　",""),"(주)",""),"（주）",""),"㈜",""),"주식회사",""),"(유)",""),"（유）",""),"유한회사",""))</f>
        <v/>
      </c>
      <c r="AC1168" s="31">
        <f>IF(OR($Y1168="",N($Z1168)&lt;=0,$AB1168=""),0,IFERROR(LOOKUP(2,1/((거래처별!$AC$8:$AC$307&lt;&gt;"")*ISNUMBER(SEARCH(거래처별!$AC$8:$AC$307,$AB1168))),거래처별!$A$8:$A$307),IFERROR(LOOKUP(2,1/((거래처별!$AD$8:$AD$307&lt;&gt;"")*ISNUMBER(SEARCH(거래처별!$AD$8:$AD$307,$AB1168))),거래처별!$A$8:$A$307),IFERROR(LOOKUP(2,1/((거래처별!$AE$8:$AE$307&lt;&gt;"")*ISNUMBER(SEARCH(거래처별!$AE$8:$AE$307,$AB1168))),거래처별!$A$8:$A$307),0))))</f>
        <v/>
      </c>
      <c r="AD1168" s="31">
        <f>IF(AND($Y1168&lt;&gt;"",N($Z1168)&gt;0,$AC1168=0),MAX($AD$7:$AD1167)+1,"")</f>
        <v/>
      </c>
      <c r="AE1168" s="31">
        <f>IF($Y1168="",0,$Y1168)</f>
        <v/>
      </c>
    </row>
    <row r="1169">
      <c r="W1169" s="31">
        <f>IF(OR($B$5="",$C$6="",ROW()&lt;$B$5),"",IF(INDEX($A:$U,ROW(),$C$6)="","",INDEX($A:$U,ROW(),$C$6)))</f>
        <v/>
      </c>
      <c r="X1169" s="32">
        <f>IF($W1169="","",IF(ISNUMBER($W1169),IF($W1169&gt;=10000000,IFERROR(DATE(INT($W1169/10000),MOD(INT($W1169/100),100),MOD($W1169,100)),""),INT($W1169)),IFERROR(DATE(--LEFT(LEFT(SUBSTITUTE(SUBSTITUTE(SUBSTITUTE(SUBSTITUTE(TRIM($W1169),"-",""),".",""),"/","")," ",""),8),4),--MID(LEFT(SUBSTITUTE(SUBSTITUTE(SUBSTITUTE(SUBSTITUTE(TRIM($W1169),"-",""),".",""),"/","")," ",""),8),5,2),--MID(LEFT(SUBSTITUTE(SUBSTITUTE(SUBSTITUTE(SUBSTITUTE(TRIM($W1169),"-",""),".",""),"/","")," ",""),8),7,2)),"")))</f>
        <v/>
      </c>
      <c r="Y1169" s="32">
        <f>IF($X1169="","",INT($X1169))</f>
        <v/>
      </c>
      <c r="Z1169" s="33">
        <f>IF(OR($Y1169="",$D$6=""),"",IF(INDEX($A:$U,ROW(),$D$6)="",0,IF(ISNUMBER(INDEX($A:$U,ROW(),$D$6)),INDEX($A:$U,ROW(),$D$6),IFERROR(--SUBSTITUTE(SUBSTITUTE(TRIM(INDEX($A:$U,ROW(),$D$6)),",",""),"원",""),0))))</f>
        <v/>
      </c>
      <c r="AA1169" s="31">
        <f>IF($Y1169="","",TRIM(INDEX($A:$U,ROW(),$E$6)&amp;IF($F$6="",""," "&amp;INDEX($A:$U,ROW(),$F$6))))</f>
        <v/>
      </c>
      <c r="AB1169" s="31">
        <f>IF($AA1169="","",SUBSTITUTE(SUBSTITUTE(SUBSTITUTE(SUBSTITUTE(SUBSTITUTE(SUBSTITUTE(SUBSTITUTE(SUBSTITUTE(SUBSTITUTE($AA1169," ",""),"　",""),"(주)",""),"（주）",""),"㈜",""),"주식회사",""),"(유)",""),"（유）",""),"유한회사",""))</f>
        <v/>
      </c>
      <c r="AC1169" s="31">
        <f>IF(OR($Y1169="",N($Z1169)&lt;=0,$AB1169=""),0,IFERROR(LOOKUP(2,1/((거래처별!$AC$8:$AC$307&lt;&gt;"")*ISNUMBER(SEARCH(거래처별!$AC$8:$AC$307,$AB1169))),거래처별!$A$8:$A$307),IFERROR(LOOKUP(2,1/((거래처별!$AD$8:$AD$307&lt;&gt;"")*ISNUMBER(SEARCH(거래처별!$AD$8:$AD$307,$AB1169))),거래처별!$A$8:$A$307),IFERROR(LOOKUP(2,1/((거래처별!$AE$8:$AE$307&lt;&gt;"")*ISNUMBER(SEARCH(거래처별!$AE$8:$AE$307,$AB1169))),거래처별!$A$8:$A$307),0))))</f>
        <v/>
      </c>
      <c r="AD1169" s="31">
        <f>IF(AND($Y1169&lt;&gt;"",N($Z1169)&gt;0,$AC1169=0),MAX($AD$7:$AD1168)+1,"")</f>
        <v/>
      </c>
      <c r="AE1169" s="31">
        <f>IF($Y1169="",0,$Y1169)</f>
        <v/>
      </c>
    </row>
    <row r="1170">
      <c r="W1170" s="31">
        <f>IF(OR($B$5="",$C$6="",ROW()&lt;$B$5),"",IF(INDEX($A:$U,ROW(),$C$6)="","",INDEX($A:$U,ROW(),$C$6)))</f>
        <v/>
      </c>
      <c r="X1170" s="32">
        <f>IF($W1170="","",IF(ISNUMBER($W1170),IF($W1170&gt;=10000000,IFERROR(DATE(INT($W1170/10000),MOD(INT($W1170/100),100),MOD($W1170,100)),""),INT($W1170)),IFERROR(DATE(--LEFT(LEFT(SUBSTITUTE(SUBSTITUTE(SUBSTITUTE(SUBSTITUTE(TRIM($W1170),"-",""),".",""),"/","")," ",""),8),4),--MID(LEFT(SUBSTITUTE(SUBSTITUTE(SUBSTITUTE(SUBSTITUTE(TRIM($W1170),"-",""),".",""),"/","")," ",""),8),5,2),--MID(LEFT(SUBSTITUTE(SUBSTITUTE(SUBSTITUTE(SUBSTITUTE(TRIM($W1170),"-",""),".",""),"/","")," ",""),8),7,2)),"")))</f>
        <v/>
      </c>
      <c r="Y1170" s="32">
        <f>IF($X1170="","",INT($X1170))</f>
        <v/>
      </c>
      <c r="Z1170" s="33">
        <f>IF(OR($Y1170="",$D$6=""),"",IF(INDEX($A:$U,ROW(),$D$6)="",0,IF(ISNUMBER(INDEX($A:$U,ROW(),$D$6)),INDEX($A:$U,ROW(),$D$6),IFERROR(--SUBSTITUTE(SUBSTITUTE(TRIM(INDEX($A:$U,ROW(),$D$6)),",",""),"원",""),0))))</f>
        <v/>
      </c>
      <c r="AA1170" s="31">
        <f>IF($Y1170="","",TRIM(INDEX($A:$U,ROW(),$E$6)&amp;IF($F$6="",""," "&amp;INDEX($A:$U,ROW(),$F$6))))</f>
        <v/>
      </c>
      <c r="AB1170" s="31">
        <f>IF($AA1170="","",SUBSTITUTE(SUBSTITUTE(SUBSTITUTE(SUBSTITUTE(SUBSTITUTE(SUBSTITUTE(SUBSTITUTE(SUBSTITUTE(SUBSTITUTE($AA1170," ",""),"　",""),"(주)",""),"（주）",""),"㈜",""),"주식회사",""),"(유)",""),"（유）",""),"유한회사",""))</f>
        <v/>
      </c>
      <c r="AC1170" s="31">
        <f>IF(OR($Y1170="",N($Z1170)&lt;=0,$AB1170=""),0,IFERROR(LOOKUP(2,1/((거래처별!$AC$8:$AC$307&lt;&gt;"")*ISNUMBER(SEARCH(거래처별!$AC$8:$AC$307,$AB1170))),거래처별!$A$8:$A$307),IFERROR(LOOKUP(2,1/((거래처별!$AD$8:$AD$307&lt;&gt;"")*ISNUMBER(SEARCH(거래처별!$AD$8:$AD$307,$AB1170))),거래처별!$A$8:$A$307),IFERROR(LOOKUP(2,1/((거래처별!$AE$8:$AE$307&lt;&gt;"")*ISNUMBER(SEARCH(거래처별!$AE$8:$AE$307,$AB1170))),거래처별!$A$8:$A$307),0))))</f>
        <v/>
      </c>
      <c r="AD1170" s="31">
        <f>IF(AND($Y1170&lt;&gt;"",N($Z1170)&gt;0,$AC1170=0),MAX($AD$7:$AD1169)+1,"")</f>
        <v/>
      </c>
      <c r="AE1170" s="31">
        <f>IF($Y1170="",0,$Y1170)</f>
        <v/>
      </c>
    </row>
    <row r="1171">
      <c r="W1171" s="31">
        <f>IF(OR($B$5="",$C$6="",ROW()&lt;$B$5),"",IF(INDEX($A:$U,ROW(),$C$6)="","",INDEX($A:$U,ROW(),$C$6)))</f>
        <v/>
      </c>
      <c r="X1171" s="32">
        <f>IF($W1171="","",IF(ISNUMBER($W1171),IF($W1171&gt;=10000000,IFERROR(DATE(INT($W1171/10000),MOD(INT($W1171/100),100),MOD($W1171,100)),""),INT($W1171)),IFERROR(DATE(--LEFT(LEFT(SUBSTITUTE(SUBSTITUTE(SUBSTITUTE(SUBSTITUTE(TRIM($W1171),"-",""),".",""),"/","")," ",""),8),4),--MID(LEFT(SUBSTITUTE(SUBSTITUTE(SUBSTITUTE(SUBSTITUTE(TRIM($W1171),"-",""),".",""),"/","")," ",""),8),5,2),--MID(LEFT(SUBSTITUTE(SUBSTITUTE(SUBSTITUTE(SUBSTITUTE(TRIM($W1171),"-",""),".",""),"/","")," ",""),8),7,2)),"")))</f>
        <v/>
      </c>
      <c r="Y1171" s="32">
        <f>IF($X1171="","",INT($X1171))</f>
        <v/>
      </c>
      <c r="Z1171" s="33">
        <f>IF(OR($Y1171="",$D$6=""),"",IF(INDEX($A:$U,ROW(),$D$6)="",0,IF(ISNUMBER(INDEX($A:$U,ROW(),$D$6)),INDEX($A:$U,ROW(),$D$6),IFERROR(--SUBSTITUTE(SUBSTITUTE(TRIM(INDEX($A:$U,ROW(),$D$6)),",",""),"원",""),0))))</f>
        <v/>
      </c>
      <c r="AA1171" s="31">
        <f>IF($Y1171="","",TRIM(INDEX($A:$U,ROW(),$E$6)&amp;IF($F$6="",""," "&amp;INDEX($A:$U,ROW(),$F$6))))</f>
        <v/>
      </c>
      <c r="AB1171" s="31">
        <f>IF($AA1171="","",SUBSTITUTE(SUBSTITUTE(SUBSTITUTE(SUBSTITUTE(SUBSTITUTE(SUBSTITUTE(SUBSTITUTE(SUBSTITUTE(SUBSTITUTE($AA1171," ",""),"　",""),"(주)",""),"（주）",""),"㈜",""),"주식회사",""),"(유)",""),"（유）",""),"유한회사",""))</f>
        <v/>
      </c>
      <c r="AC1171" s="31">
        <f>IF(OR($Y1171="",N($Z1171)&lt;=0,$AB1171=""),0,IFERROR(LOOKUP(2,1/((거래처별!$AC$8:$AC$307&lt;&gt;"")*ISNUMBER(SEARCH(거래처별!$AC$8:$AC$307,$AB1171))),거래처별!$A$8:$A$307),IFERROR(LOOKUP(2,1/((거래처별!$AD$8:$AD$307&lt;&gt;"")*ISNUMBER(SEARCH(거래처별!$AD$8:$AD$307,$AB1171))),거래처별!$A$8:$A$307),IFERROR(LOOKUP(2,1/((거래처별!$AE$8:$AE$307&lt;&gt;"")*ISNUMBER(SEARCH(거래처별!$AE$8:$AE$307,$AB1171))),거래처별!$A$8:$A$307),0))))</f>
        <v/>
      </c>
      <c r="AD1171" s="31">
        <f>IF(AND($Y1171&lt;&gt;"",N($Z1171)&gt;0,$AC1171=0),MAX($AD$7:$AD1170)+1,"")</f>
        <v/>
      </c>
      <c r="AE1171" s="31">
        <f>IF($Y1171="",0,$Y1171)</f>
        <v/>
      </c>
    </row>
    <row r="1172">
      <c r="W1172" s="31">
        <f>IF(OR($B$5="",$C$6="",ROW()&lt;$B$5),"",IF(INDEX($A:$U,ROW(),$C$6)="","",INDEX($A:$U,ROW(),$C$6)))</f>
        <v/>
      </c>
      <c r="X1172" s="32">
        <f>IF($W1172="","",IF(ISNUMBER($W1172),IF($W1172&gt;=10000000,IFERROR(DATE(INT($W1172/10000),MOD(INT($W1172/100),100),MOD($W1172,100)),""),INT($W1172)),IFERROR(DATE(--LEFT(LEFT(SUBSTITUTE(SUBSTITUTE(SUBSTITUTE(SUBSTITUTE(TRIM($W1172),"-",""),".",""),"/","")," ",""),8),4),--MID(LEFT(SUBSTITUTE(SUBSTITUTE(SUBSTITUTE(SUBSTITUTE(TRIM($W1172),"-",""),".",""),"/","")," ",""),8),5,2),--MID(LEFT(SUBSTITUTE(SUBSTITUTE(SUBSTITUTE(SUBSTITUTE(TRIM($W1172),"-",""),".",""),"/","")," ",""),8),7,2)),"")))</f>
        <v/>
      </c>
      <c r="Y1172" s="32">
        <f>IF($X1172="","",INT($X1172))</f>
        <v/>
      </c>
      <c r="Z1172" s="33">
        <f>IF(OR($Y1172="",$D$6=""),"",IF(INDEX($A:$U,ROW(),$D$6)="",0,IF(ISNUMBER(INDEX($A:$U,ROW(),$D$6)),INDEX($A:$U,ROW(),$D$6),IFERROR(--SUBSTITUTE(SUBSTITUTE(TRIM(INDEX($A:$U,ROW(),$D$6)),",",""),"원",""),0))))</f>
        <v/>
      </c>
      <c r="AA1172" s="31">
        <f>IF($Y1172="","",TRIM(INDEX($A:$U,ROW(),$E$6)&amp;IF($F$6="",""," "&amp;INDEX($A:$U,ROW(),$F$6))))</f>
        <v/>
      </c>
      <c r="AB1172" s="31">
        <f>IF($AA1172="","",SUBSTITUTE(SUBSTITUTE(SUBSTITUTE(SUBSTITUTE(SUBSTITUTE(SUBSTITUTE(SUBSTITUTE(SUBSTITUTE(SUBSTITUTE($AA1172," ",""),"　",""),"(주)",""),"（주）",""),"㈜",""),"주식회사",""),"(유)",""),"（유）",""),"유한회사",""))</f>
        <v/>
      </c>
      <c r="AC1172" s="31">
        <f>IF(OR($Y1172="",N($Z1172)&lt;=0,$AB1172=""),0,IFERROR(LOOKUP(2,1/((거래처별!$AC$8:$AC$307&lt;&gt;"")*ISNUMBER(SEARCH(거래처별!$AC$8:$AC$307,$AB1172))),거래처별!$A$8:$A$307),IFERROR(LOOKUP(2,1/((거래처별!$AD$8:$AD$307&lt;&gt;"")*ISNUMBER(SEARCH(거래처별!$AD$8:$AD$307,$AB1172))),거래처별!$A$8:$A$307),IFERROR(LOOKUP(2,1/((거래처별!$AE$8:$AE$307&lt;&gt;"")*ISNUMBER(SEARCH(거래처별!$AE$8:$AE$307,$AB1172))),거래처별!$A$8:$A$307),0))))</f>
        <v/>
      </c>
      <c r="AD1172" s="31">
        <f>IF(AND($Y1172&lt;&gt;"",N($Z1172)&gt;0,$AC1172=0),MAX($AD$7:$AD1171)+1,"")</f>
        <v/>
      </c>
      <c r="AE1172" s="31">
        <f>IF($Y1172="",0,$Y1172)</f>
        <v/>
      </c>
    </row>
    <row r="1173">
      <c r="W1173" s="31">
        <f>IF(OR($B$5="",$C$6="",ROW()&lt;$B$5),"",IF(INDEX($A:$U,ROW(),$C$6)="","",INDEX($A:$U,ROW(),$C$6)))</f>
        <v/>
      </c>
      <c r="X1173" s="32">
        <f>IF($W1173="","",IF(ISNUMBER($W1173),IF($W1173&gt;=10000000,IFERROR(DATE(INT($W1173/10000),MOD(INT($W1173/100),100),MOD($W1173,100)),""),INT($W1173)),IFERROR(DATE(--LEFT(LEFT(SUBSTITUTE(SUBSTITUTE(SUBSTITUTE(SUBSTITUTE(TRIM($W1173),"-",""),".",""),"/","")," ",""),8),4),--MID(LEFT(SUBSTITUTE(SUBSTITUTE(SUBSTITUTE(SUBSTITUTE(TRIM($W1173),"-",""),".",""),"/","")," ",""),8),5,2),--MID(LEFT(SUBSTITUTE(SUBSTITUTE(SUBSTITUTE(SUBSTITUTE(TRIM($W1173),"-",""),".",""),"/","")," ",""),8),7,2)),"")))</f>
        <v/>
      </c>
      <c r="Y1173" s="32">
        <f>IF($X1173="","",INT($X1173))</f>
        <v/>
      </c>
      <c r="Z1173" s="33">
        <f>IF(OR($Y1173="",$D$6=""),"",IF(INDEX($A:$U,ROW(),$D$6)="",0,IF(ISNUMBER(INDEX($A:$U,ROW(),$D$6)),INDEX($A:$U,ROW(),$D$6),IFERROR(--SUBSTITUTE(SUBSTITUTE(TRIM(INDEX($A:$U,ROW(),$D$6)),",",""),"원",""),0))))</f>
        <v/>
      </c>
      <c r="AA1173" s="31">
        <f>IF($Y1173="","",TRIM(INDEX($A:$U,ROW(),$E$6)&amp;IF($F$6="",""," "&amp;INDEX($A:$U,ROW(),$F$6))))</f>
        <v/>
      </c>
      <c r="AB1173" s="31">
        <f>IF($AA1173="","",SUBSTITUTE(SUBSTITUTE(SUBSTITUTE(SUBSTITUTE(SUBSTITUTE(SUBSTITUTE(SUBSTITUTE(SUBSTITUTE(SUBSTITUTE($AA1173," ",""),"　",""),"(주)",""),"（주）",""),"㈜",""),"주식회사",""),"(유)",""),"（유）",""),"유한회사",""))</f>
        <v/>
      </c>
      <c r="AC1173" s="31">
        <f>IF(OR($Y1173="",N($Z1173)&lt;=0,$AB1173=""),0,IFERROR(LOOKUP(2,1/((거래처별!$AC$8:$AC$307&lt;&gt;"")*ISNUMBER(SEARCH(거래처별!$AC$8:$AC$307,$AB1173))),거래처별!$A$8:$A$307),IFERROR(LOOKUP(2,1/((거래처별!$AD$8:$AD$307&lt;&gt;"")*ISNUMBER(SEARCH(거래처별!$AD$8:$AD$307,$AB1173))),거래처별!$A$8:$A$307),IFERROR(LOOKUP(2,1/((거래처별!$AE$8:$AE$307&lt;&gt;"")*ISNUMBER(SEARCH(거래처별!$AE$8:$AE$307,$AB1173))),거래처별!$A$8:$A$307),0))))</f>
        <v/>
      </c>
      <c r="AD1173" s="31">
        <f>IF(AND($Y1173&lt;&gt;"",N($Z1173)&gt;0,$AC1173=0),MAX($AD$7:$AD1172)+1,"")</f>
        <v/>
      </c>
      <c r="AE1173" s="31">
        <f>IF($Y1173="",0,$Y1173)</f>
        <v/>
      </c>
    </row>
    <row r="1174">
      <c r="W1174" s="31">
        <f>IF(OR($B$5="",$C$6="",ROW()&lt;$B$5),"",IF(INDEX($A:$U,ROW(),$C$6)="","",INDEX($A:$U,ROW(),$C$6)))</f>
        <v/>
      </c>
      <c r="X1174" s="32">
        <f>IF($W1174="","",IF(ISNUMBER($W1174),IF($W1174&gt;=10000000,IFERROR(DATE(INT($W1174/10000),MOD(INT($W1174/100),100),MOD($W1174,100)),""),INT($W1174)),IFERROR(DATE(--LEFT(LEFT(SUBSTITUTE(SUBSTITUTE(SUBSTITUTE(SUBSTITUTE(TRIM($W1174),"-",""),".",""),"/","")," ",""),8),4),--MID(LEFT(SUBSTITUTE(SUBSTITUTE(SUBSTITUTE(SUBSTITUTE(TRIM($W1174),"-",""),".",""),"/","")," ",""),8),5,2),--MID(LEFT(SUBSTITUTE(SUBSTITUTE(SUBSTITUTE(SUBSTITUTE(TRIM($W1174),"-",""),".",""),"/","")," ",""),8),7,2)),"")))</f>
        <v/>
      </c>
      <c r="Y1174" s="32">
        <f>IF($X1174="","",INT($X1174))</f>
        <v/>
      </c>
      <c r="Z1174" s="33">
        <f>IF(OR($Y1174="",$D$6=""),"",IF(INDEX($A:$U,ROW(),$D$6)="",0,IF(ISNUMBER(INDEX($A:$U,ROW(),$D$6)),INDEX($A:$U,ROW(),$D$6),IFERROR(--SUBSTITUTE(SUBSTITUTE(TRIM(INDEX($A:$U,ROW(),$D$6)),",",""),"원",""),0))))</f>
        <v/>
      </c>
      <c r="AA1174" s="31">
        <f>IF($Y1174="","",TRIM(INDEX($A:$U,ROW(),$E$6)&amp;IF($F$6="",""," "&amp;INDEX($A:$U,ROW(),$F$6))))</f>
        <v/>
      </c>
      <c r="AB1174" s="31">
        <f>IF($AA1174="","",SUBSTITUTE(SUBSTITUTE(SUBSTITUTE(SUBSTITUTE(SUBSTITUTE(SUBSTITUTE(SUBSTITUTE(SUBSTITUTE(SUBSTITUTE($AA1174," ",""),"　",""),"(주)",""),"（주）",""),"㈜",""),"주식회사",""),"(유)",""),"（유）",""),"유한회사",""))</f>
        <v/>
      </c>
      <c r="AC1174" s="31">
        <f>IF(OR($Y1174="",N($Z1174)&lt;=0,$AB1174=""),0,IFERROR(LOOKUP(2,1/((거래처별!$AC$8:$AC$307&lt;&gt;"")*ISNUMBER(SEARCH(거래처별!$AC$8:$AC$307,$AB1174))),거래처별!$A$8:$A$307),IFERROR(LOOKUP(2,1/((거래처별!$AD$8:$AD$307&lt;&gt;"")*ISNUMBER(SEARCH(거래처별!$AD$8:$AD$307,$AB1174))),거래처별!$A$8:$A$307),IFERROR(LOOKUP(2,1/((거래처별!$AE$8:$AE$307&lt;&gt;"")*ISNUMBER(SEARCH(거래처별!$AE$8:$AE$307,$AB1174))),거래처별!$A$8:$A$307),0))))</f>
        <v/>
      </c>
      <c r="AD1174" s="31">
        <f>IF(AND($Y1174&lt;&gt;"",N($Z1174)&gt;0,$AC1174=0),MAX($AD$7:$AD1173)+1,"")</f>
        <v/>
      </c>
      <c r="AE1174" s="31">
        <f>IF($Y1174="",0,$Y1174)</f>
        <v/>
      </c>
    </row>
    <row r="1175">
      <c r="W1175" s="31">
        <f>IF(OR($B$5="",$C$6="",ROW()&lt;$B$5),"",IF(INDEX($A:$U,ROW(),$C$6)="","",INDEX($A:$U,ROW(),$C$6)))</f>
        <v/>
      </c>
      <c r="X1175" s="32">
        <f>IF($W1175="","",IF(ISNUMBER($W1175),IF($W1175&gt;=10000000,IFERROR(DATE(INT($W1175/10000),MOD(INT($W1175/100),100),MOD($W1175,100)),""),INT($W1175)),IFERROR(DATE(--LEFT(LEFT(SUBSTITUTE(SUBSTITUTE(SUBSTITUTE(SUBSTITUTE(TRIM($W1175),"-",""),".",""),"/","")," ",""),8),4),--MID(LEFT(SUBSTITUTE(SUBSTITUTE(SUBSTITUTE(SUBSTITUTE(TRIM($W1175),"-",""),".",""),"/","")," ",""),8),5,2),--MID(LEFT(SUBSTITUTE(SUBSTITUTE(SUBSTITUTE(SUBSTITUTE(TRIM($W1175),"-",""),".",""),"/","")," ",""),8),7,2)),"")))</f>
        <v/>
      </c>
      <c r="Y1175" s="32">
        <f>IF($X1175="","",INT($X1175))</f>
        <v/>
      </c>
      <c r="Z1175" s="33">
        <f>IF(OR($Y1175="",$D$6=""),"",IF(INDEX($A:$U,ROW(),$D$6)="",0,IF(ISNUMBER(INDEX($A:$U,ROW(),$D$6)),INDEX($A:$U,ROW(),$D$6),IFERROR(--SUBSTITUTE(SUBSTITUTE(TRIM(INDEX($A:$U,ROW(),$D$6)),",",""),"원",""),0))))</f>
        <v/>
      </c>
      <c r="AA1175" s="31">
        <f>IF($Y1175="","",TRIM(INDEX($A:$U,ROW(),$E$6)&amp;IF($F$6="",""," "&amp;INDEX($A:$U,ROW(),$F$6))))</f>
        <v/>
      </c>
      <c r="AB1175" s="31">
        <f>IF($AA1175="","",SUBSTITUTE(SUBSTITUTE(SUBSTITUTE(SUBSTITUTE(SUBSTITUTE(SUBSTITUTE(SUBSTITUTE(SUBSTITUTE(SUBSTITUTE($AA1175," ",""),"　",""),"(주)",""),"（주）",""),"㈜",""),"주식회사",""),"(유)",""),"（유）",""),"유한회사",""))</f>
        <v/>
      </c>
      <c r="AC1175" s="31">
        <f>IF(OR($Y1175="",N($Z1175)&lt;=0,$AB1175=""),0,IFERROR(LOOKUP(2,1/((거래처별!$AC$8:$AC$307&lt;&gt;"")*ISNUMBER(SEARCH(거래처별!$AC$8:$AC$307,$AB1175))),거래처별!$A$8:$A$307),IFERROR(LOOKUP(2,1/((거래처별!$AD$8:$AD$307&lt;&gt;"")*ISNUMBER(SEARCH(거래처별!$AD$8:$AD$307,$AB1175))),거래처별!$A$8:$A$307),IFERROR(LOOKUP(2,1/((거래처별!$AE$8:$AE$307&lt;&gt;"")*ISNUMBER(SEARCH(거래처별!$AE$8:$AE$307,$AB1175))),거래처별!$A$8:$A$307),0))))</f>
        <v/>
      </c>
      <c r="AD1175" s="31">
        <f>IF(AND($Y1175&lt;&gt;"",N($Z1175)&gt;0,$AC1175=0),MAX($AD$7:$AD1174)+1,"")</f>
        <v/>
      </c>
      <c r="AE1175" s="31">
        <f>IF($Y1175="",0,$Y1175)</f>
        <v/>
      </c>
    </row>
    <row r="1176">
      <c r="W1176" s="31">
        <f>IF(OR($B$5="",$C$6="",ROW()&lt;$B$5),"",IF(INDEX($A:$U,ROW(),$C$6)="","",INDEX($A:$U,ROW(),$C$6)))</f>
        <v/>
      </c>
      <c r="X1176" s="32">
        <f>IF($W1176="","",IF(ISNUMBER($W1176),IF($W1176&gt;=10000000,IFERROR(DATE(INT($W1176/10000),MOD(INT($W1176/100),100),MOD($W1176,100)),""),INT($W1176)),IFERROR(DATE(--LEFT(LEFT(SUBSTITUTE(SUBSTITUTE(SUBSTITUTE(SUBSTITUTE(TRIM($W1176),"-",""),".",""),"/","")," ",""),8),4),--MID(LEFT(SUBSTITUTE(SUBSTITUTE(SUBSTITUTE(SUBSTITUTE(TRIM($W1176),"-",""),".",""),"/","")," ",""),8),5,2),--MID(LEFT(SUBSTITUTE(SUBSTITUTE(SUBSTITUTE(SUBSTITUTE(TRIM($W1176),"-",""),".",""),"/","")," ",""),8),7,2)),"")))</f>
        <v/>
      </c>
      <c r="Y1176" s="32">
        <f>IF($X1176="","",INT($X1176))</f>
        <v/>
      </c>
      <c r="Z1176" s="33">
        <f>IF(OR($Y1176="",$D$6=""),"",IF(INDEX($A:$U,ROW(),$D$6)="",0,IF(ISNUMBER(INDEX($A:$U,ROW(),$D$6)),INDEX($A:$U,ROW(),$D$6),IFERROR(--SUBSTITUTE(SUBSTITUTE(TRIM(INDEX($A:$U,ROW(),$D$6)),",",""),"원",""),0))))</f>
        <v/>
      </c>
      <c r="AA1176" s="31">
        <f>IF($Y1176="","",TRIM(INDEX($A:$U,ROW(),$E$6)&amp;IF($F$6="",""," "&amp;INDEX($A:$U,ROW(),$F$6))))</f>
        <v/>
      </c>
      <c r="AB1176" s="31">
        <f>IF($AA1176="","",SUBSTITUTE(SUBSTITUTE(SUBSTITUTE(SUBSTITUTE(SUBSTITUTE(SUBSTITUTE(SUBSTITUTE(SUBSTITUTE(SUBSTITUTE($AA1176," ",""),"　",""),"(주)",""),"（주）",""),"㈜",""),"주식회사",""),"(유)",""),"（유）",""),"유한회사",""))</f>
        <v/>
      </c>
      <c r="AC1176" s="31">
        <f>IF(OR($Y1176="",N($Z1176)&lt;=0,$AB1176=""),0,IFERROR(LOOKUP(2,1/((거래처별!$AC$8:$AC$307&lt;&gt;"")*ISNUMBER(SEARCH(거래처별!$AC$8:$AC$307,$AB1176))),거래처별!$A$8:$A$307),IFERROR(LOOKUP(2,1/((거래처별!$AD$8:$AD$307&lt;&gt;"")*ISNUMBER(SEARCH(거래처별!$AD$8:$AD$307,$AB1176))),거래처별!$A$8:$A$307),IFERROR(LOOKUP(2,1/((거래처별!$AE$8:$AE$307&lt;&gt;"")*ISNUMBER(SEARCH(거래처별!$AE$8:$AE$307,$AB1176))),거래처별!$A$8:$A$307),0))))</f>
        <v/>
      </c>
      <c r="AD1176" s="31">
        <f>IF(AND($Y1176&lt;&gt;"",N($Z1176)&gt;0,$AC1176=0),MAX($AD$7:$AD1175)+1,"")</f>
        <v/>
      </c>
      <c r="AE1176" s="31">
        <f>IF($Y1176="",0,$Y1176)</f>
        <v/>
      </c>
    </row>
    <row r="1177">
      <c r="W1177" s="31">
        <f>IF(OR($B$5="",$C$6="",ROW()&lt;$B$5),"",IF(INDEX($A:$U,ROW(),$C$6)="","",INDEX($A:$U,ROW(),$C$6)))</f>
        <v/>
      </c>
      <c r="X1177" s="32">
        <f>IF($W1177="","",IF(ISNUMBER($W1177),IF($W1177&gt;=10000000,IFERROR(DATE(INT($W1177/10000),MOD(INT($W1177/100),100),MOD($W1177,100)),""),INT($W1177)),IFERROR(DATE(--LEFT(LEFT(SUBSTITUTE(SUBSTITUTE(SUBSTITUTE(SUBSTITUTE(TRIM($W1177),"-",""),".",""),"/","")," ",""),8),4),--MID(LEFT(SUBSTITUTE(SUBSTITUTE(SUBSTITUTE(SUBSTITUTE(TRIM($W1177),"-",""),".",""),"/","")," ",""),8),5,2),--MID(LEFT(SUBSTITUTE(SUBSTITUTE(SUBSTITUTE(SUBSTITUTE(TRIM($W1177),"-",""),".",""),"/","")," ",""),8),7,2)),"")))</f>
        <v/>
      </c>
      <c r="Y1177" s="32">
        <f>IF($X1177="","",INT($X1177))</f>
        <v/>
      </c>
      <c r="Z1177" s="33">
        <f>IF(OR($Y1177="",$D$6=""),"",IF(INDEX($A:$U,ROW(),$D$6)="",0,IF(ISNUMBER(INDEX($A:$U,ROW(),$D$6)),INDEX($A:$U,ROW(),$D$6),IFERROR(--SUBSTITUTE(SUBSTITUTE(TRIM(INDEX($A:$U,ROW(),$D$6)),",",""),"원",""),0))))</f>
        <v/>
      </c>
      <c r="AA1177" s="31">
        <f>IF($Y1177="","",TRIM(INDEX($A:$U,ROW(),$E$6)&amp;IF($F$6="",""," "&amp;INDEX($A:$U,ROW(),$F$6))))</f>
        <v/>
      </c>
      <c r="AB1177" s="31">
        <f>IF($AA1177="","",SUBSTITUTE(SUBSTITUTE(SUBSTITUTE(SUBSTITUTE(SUBSTITUTE(SUBSTITUTE(SUBSTITUTE(SUBSTITUTE(SUBSTITUTE($AA1177," ",""),"　",""),"(주)",""),"（주）",""),"㈜",""),"주식회사",""),"(유)",""),"（유）",""),"유한회사",""))</f>
        <v/>
      </c>
      <c r="AC1177" s="31">
        <f>IF(OR($Y1177="",N($Z1177)&lt;=0,$AB1177=""),0,IFERROR(LOOKUP(2,1/((거래처별!$AC$8:$AC$307&lt;&gt;"")*ISNUMBER(SEARCH(거래처별!$AC$8:$AC$307,$AB1177))),거래처별!$A$8:$A$307),IFERROR(LOOKUP(2,1/((거래처별!$AD$8:$AD$307&lt;&gt;"")*ISNUMBER(SEARCH(거래처별!$AD$8:$AD$307,$AB1177))),거래처별!$A$8:$A$307),IFERROR(LOOKUP(2,1/((거래처별!$AE$8:$AE$307&lt;&gt;"")*ISNUMBER(SEARCH(거래처별!$AE$8:$AE$307,$AB1177))),거래처별!$A$8:$A$307),0))))</f>
        <v/>
      </c>
      <c r="AD1177" s="31">
        <f>IF(AND($Y1177&lt;&gt;"",N($Z1177)&gt;0,$AC1177=0),MAX($AD$7:$AD1176)+1,"")</f>
        <v/>
      </c>
      <c r="AE1177" s="31">
        <f>IF($Y1177="",0,$Y1177)</f>
        <v/>
      </c>
    </row>
    <row r="1178">
      <c r="W1178" s="31">
        <f>IF(OR($B$5="",$C$6="",ROW()&lt;$B$5),"",IF(INDEX($A:$U,ROW(),$C$6)="","",INDEX($A:$U,ROW(),$C$6)))</f>
        <v/>
      </c>
      <c r="X1178" s="32">
        <f>IF($W1178="","",IF(ISNUMBER($W1178),IF($W1178&gt;=10000000,IFERROR(DATE(INT($W1178/10000),MOD(INT($W1178/100),100),MOD($W1178,100)),""),INT($W1178)),IFERROR(DATE(--LEFT(LEFT(SUBSTITUTE(SUBSTITUTE(SUBSTITUTE(SUBSTITUTE(TRIM($W1178),"-",""),".",""),"/","")," ",""),8),4),--MID(LEFT(SUBSTITUTE(SUBSTITUTE(SUBSTITUTE(SUBSTITUTE(TRIM($W1178),"-",""),".",""),"/","")," ",""),8),5,2),--MID(LEFT(SUBSTITUTE(SUBSTITUTE(SUBSTITUTE(SUBSTITUTE(TRIM($W1178),"-",""),".",""),"/","")," ",""),8),7,2)),"")))</f>
        <v/>
      </c>
      <c r="Y1178" s="32">
        <f>IF($X1178="","",INT($X1178))</f>
        <v/>
      </c>
      <c r="Z1178" s="33">
        <f>IF(OR($Y1178="",$D$6=""),"",IF(INDEX($A:$U,ROW(),$D$6)="",0,IF(ISNUMBER(INDEX($A:$U,ROW(),$D$6)),INDEX($A:$U,ROW(),$D$6),IFERROR(--SUBSTITUTE(SUBSTITUTE(TRIM(INDEX($A:$U,ROW(),$D$6)),",",""),"원",""),0))))</f>
        <v/>
      </c>
      <c r="AA1178" s="31">
        <f>IF($Y1178="","",TRIM(INDEX($A:$U,ROW(),$E$6)&amp;IF($F$6="",""," "&amp;INDEX($A:$U,ROW(),$F$6))))</f>
        <v/>
      </c>
      <c r="AB1178" s="31">
        <f>IF($AA1178="","",SUBSTITUTE(SUBSTITUTE(SUBSTITUTE(SUBSTITUTE(SUBSTITUTE(SUBSTITUTE(SUBSTITUTE(SUBSTITUTE(SUBSTITUTE($AA1178," ",""),"　",""),"(주)",""),"（주）",""),"㈜",""),"주식회사",""),"(유)",""),"（유）",""),"유한회사",""))</f>
        <v/>
      </c>
      <c r="AC1178" s="31">
        <f>IF(OR($Y1178="",N($Z1178)&lt;=0,$AB1178=""),0,IFERROR(LOOKUP(2,1/((거래처별!$AC$8:$AC$307&lt;&gt;"")*ISNUMBER(SEARCH(거래처별!$AC$8:$AC$307,$AB1178))),거래처별!$A$8:$A$307),IFERROR(LOOKUP(2,1/((거래처별!$AD$8:$AD$307&lt;&gt;"")*ISNUMBER(SEARCH(거래처별!$AD$8:$AD$307,$AB1178))),거래처별!$A$8:$A$307),IFERROR(LOOKUP(2,1/((거래처별!$AE$8:$AE$307&lt;&gt;"")*ISNUMBER(SEARCH(거래처별!$AE$8:$AE$307,$AB1178))),거래처별!$A$8:$A$307),0))))</f>
        <v/>
      </c>
      <c r="AD1178" s="31">
        <f>IF(AND($Y1178&lt;&gt;"",N($Z1178)&gt;0,$AC1178=0),MAX($AD$7:$AD1177)+1,"")</f>
        <v/>
      </c>
      <c r="AE1178" s="31">
        <f>IF($Y1178="",0,$Y1178)</f>
        <v/>
      </c>
    </row>
    <row r="1179">
      <c r="W1179" s="31">
        <f>IF(OR($B$5="",$C$6="",ROW()&lt;$B$5),"",IF(INDEX($A:$U,ROW(),$C$6)="","",INDEX($A:$U,ROW(),$C$6)))</f>
        <v/>
      </c>
      <c r="X1179" s="32">
        <f>IF($W1179="","",IF(ISNUMBER($W1179),IF($W1179&gt;=10000000,IFERROR(DATE(INT($W1179/10000),MOD(INT($W1179/100),100),MOD($W1179,100)),""),INT($W1179)),IFERROR(DATE(--LEFT(LEFT(SUBSTITUTE(SUBSTITUTE(SUBSTITUTE(SUBSTITUTE(TRIM($W1179),"-",""),".",""),"/","")," ",""),8),4),--MID(LEFT(SUBSTITUTE(SUBSTITUTE(SUBSTITUTE(SUBSTITUTE(TRIM($W1179),"-",""),".",""),"/","")," ",""),8),5,2),--MID(LEFT(SUBSTITUTE(SUBSTITUTE(SUBSTITUTE(SUBSTITUTE(TRIM($W1179),"-",""),".",""),"/","")," ",""),8),7,2)),"")))</f>
        <v/>
      </c>
      <c r="Y1179" s="32">
        <f>IF($X1179="","",INT($X1179))</f>
        <v/>
      </c>
      <c r="Z1179" s="33">
        <f>IF(OR($Y1179="",$D$6=""),"",IF(INDEX($A:$U,ROW(),$D$6)="",0,IF(ISNUMBER(INDEX($A:$U,ROW(),$D$6)),INDEX($A:$U,ROW(),$D$6),IFERROR(--SUBSTITUTE(SUBSTITUTE(TRIM(INDEX($A:$U,ROW(),$D$6)),",",""),"원",""),0))))</f>
        <v/>
      </c>
      <c r="AA1179" s="31">
        <f>IF($Y1179="","",TRIM(INDEX($A:$U,ROW(),$E$6)&amp;IF($F$6="",""," "&amp;INDEX($A:$U,ROW(),$F$6))))</f>
        <v/>
      </c>
      <c r="AB1179" s="31">
        <f>IF($AA1179="","",SUBSTITUTE(SUBSTITUTE(SUBSTITUTE(SUBSTITUTE(SUBSTITUTE(SUBSTITUTE(SUBSTITUTE(SUBSTITUTE(SUBSTITUTE($AA1179," ",""),"　",""),"(주)",""),"（주）",""),"㈜",""),"주식회사",""),"(유)",""),"（유）",""),"유한회사",""))</f>
        <v/>
      </c>
      <c r="AC1179" s="31">
        <f>IF(OR($Y1179="",N($Z1179)&lt;=0,$AB1179=""),0,IFERROR(LOOKUP(2,1/((거래처별!$AC$8:$AC$307&lt;&gt;"")*ISNUMBER(SEARCH(거래처별!$AC$8:$AC$307,$AB1179))),거래처별!$A$8:$A$307),IFERROR(LOOKUP(2,1/((거래처별!$AD$8:$AD$307&lt;&gt;"")*ISNUMBER(SEARCH(거래처별!$AD$8:$AD$307,$AB1179))),거래처별!$A$8:$A$307),IFERROR(LOOKUP(2,1/((거래처별!$AE$8:$AE$307&lt;&gt;"")*ISNUMBER(SEARCH(거래처별!$AE$8:$AE$307,$AB1179))),거래처별!$A$8:$A$307),0))))</f>
        <v/>
      </c>
      <c r="AD1179" s="31">
        <f>IF(AND($Y1179&lt;&gt;"",N($Z1179)&gt;0,$AC1179=0),MAX($AD$7:$AD1178)+1,"")</f>
        <v/>
      </c>
      <c r="AE1179" s="31">
        <f>IF($Y1179="",0,$Y1179)</f>
        <v/>
      </c>
    </row>
    <row r="1180">
      <c r="W1180" s="31">
        <f>IF(OR($B$5="",$C$6="",ROW()&lt;$B$5),"",IF(INDEX($A:$U,ROW(),$C$6)="","",INDEX($A:$U,ROW(),$C$6)))</f>
        <v/>
      </c>
      <c r="X1180" s="32">
        <f>IF($W1180="","",IF(ISNUMBER($W1180),IF($W1180&gt;=10000000,IFERROR(DATE(INT($W1180/10000),MOD(INT($W1180/100),100),MOD($W1180,100)),""),INT($W1180)),IFERROR(DATE(--LEFT(LEFT(SUBSTITUTE(SUBSTITUTE(SUBSTITUTE(SUBSTITUTE(TRIM($W1180),"-",""),".",""),"/","")," ",""),8),4),--MID(LEFT(SUBSTITUTE(SUBSTITUTE(SUBSTITUTE(SUBSTITUTE(TRIM($W1180),"-",""),".",""),"/","")," ",""),8),5,2),--MID(LEFT(SUBSTITUTE(SUBSTITUTE(SUBSTITUTE(SUBSTITUTE(TRIM($W1180),"-",""),".",""),"/","")," ",""),8),7,2)),"")))</f>
        <v/>
      </c>
      <c r="Y1180" s="32">
        <f>IF($X1180="","",INT($X1180))</f>
        <v/>
      </c>
      <c r="Z1180" s="33">
        <f>IF(OR($Y1180="",$D$6=""),"",IF(INDEX($A:$U,ROW(),$D$6)="",0,IF(ISNUMBER(INDEX($A:$U,ROW(),$D$6)),INDEX($A:$U,ROW(),$D$6),IFERROR(--SUBSTITUTE(SUBSTITUTE(TRIM(INDEX($A:$U,ROW(),$D$6)),",",""),"원",""),0))))</f>
        <v/>
      </c>
      <c r="AA1180" s="31">
        <f>IF($Y1180="","",TRIM(INDEX($A:$U,ROW(),$E$6)&amp;IF($F$6="",""," "&amp;INDEX($A:$U,ROW(),$F$6))))</f>
        <v/>
      </c>
      <c r="AB1180" s="31">
        <f>IF($AA1180="","",SUBSTITUTE(SUBSTITUTE(SUBSTITUTE(SUBSTITUTE(SUBSTITUTE(SUBSTITUTE(SUBSTITUTE(SUBSTITUTE(SUBSTITUTE($AA1180," ",""),"　",""),"(주)",""),"（주）",""),"㈜",""),"주식회사",""),"(유)",""),"（유）",""),"유한회사",""))</f>
        <v/>
      </c>
      <c r="AC1180" s="31">
        <f>IF(OR($Y1180="",N($Z1180)&lt;=0,$AB1180=""),0,IFERROR(LOOKUP(2,1/((거래처별!$AC$8:$AC$307&lt;&gt;"")*ISNUMBER(SEARCH(거래처별!$AC$8:$AC$307,$AB1180))),거래처별!$A$8:$A$307),IFERROR(LOOKUP(2,1/((거래처별!$AD$8:$AD$307&lt;&gt;"")*ISNUMBER(SEARCH(거래처별!$AD$8:$AD$307,$AB1180))),거래처별!$A$8:$A$307),IFERROR(LOOKUP(2,1/((거래처별!$AE$8:$AE$307&lt;&gt;"")*ISNUMBER(SEARCH(거래처별!$AE$8:$AE$307,$AB1180))),거래처별!$A$8:$A$307),0))))</f>
        <v/>
      </c>
      <c r="AD1180" s="31">
        <f>IF(AND($Y1180&lt;&gt;"",N($Z1180)&gt;0,$AC1180=0),MAX($AD$7:$AD1179)+1,"")</f>
        <v/>
      </c>
      <c r="AE1180" s="31">
        <f>IF($Y1180="",0,$Y1180)</f>
        <v/>
      </c>
    </row>
    <row r="1181">
      <c r="W1181" s="31">
        <f>IF(OR($B$5="",$C$6="",ROW()&lt;$B$5),"",IF(INDEX($A:$U,ROW(),$C$6)="","",INDEX($A:$U,ROW(),$C$6)))</f>
        <v/>
      </c>
      <c r="X1181" s="32">
        <f>IF($W1181="","",IF(ISNUMBER($W1181),IF($W1181&gt;=10000000,IFERROR(DATE(INT($W1181/10000),MOD(INT($W1181/100),100),MOD($W1181,100)),""),INT($W1181)),IFERROR(DATE(--LEFT(LEFT(SUBSTITUTE(SUBSTITUTE(SUBSTITUTE(SUBSTITUTE(TRIM($W1181),"-",""),".",""),"/","")," ",""),8),4),--MID(LEFT(SUBSTITUTE(SUBSTITUTE(SUBSTITUTE(SUBSTITUTE(TRIM($W1181),"-",""),".",""),"/","")," ",""),8),5,2),--MID(LEFT(SUBSTITUTE(SUBSTITUTE(SUBSTITUTE(SUBSTITUTE(TRIM($W1181),"-",""),".",""),"/","")," ",""),8),7,2)),"")))</f>
        <v/>
      </c>
      <c r="Y1181" s="32">
        <f>IF($X1181="","",INT($X1181))</f>
        <v/>
      </c>
      <c r="Z1181" s="33">
        <f>IF(OR($Y1181="",$D$6=""),"",IF(INDEX($A:$U,ROW(),$D$6)="",0,IF(ISNUMBER(INDEX($A:$U,ROW(),$D$6)),INDEX($A:$U,ROW(),$D$6),IFERROR(--SUBSTITUTE(SUBSTITUTE(TRIM(INDEX($A:$U,ROW(),$D$6)),",",""),"원",""),0))))</f>
        <v/>
      </c>
      <c r="AA1181" s="31">
        <f>IF($Y1181="","",TRIM(INDEX($A:$U,ROW(),$E$6)&amp;IF($F$6="",""," "&amp;INDEX($A:$U,ROW(),$F$6))))</f>
        <v/>
      </c>
      <c r="AB1181" s="31">
        <f>IF($AA1181="","",SUBSTITUTE(SUBSTITUTE(SUBSTITUTE(SUBSTITUTE(SUBSTITUTE(SUBSTITUTE(SUBSTITUTE(SUBSTITUTE(SUBSTITUTE($AA1181," ",""),"　",""),"(주)",""),"（주）",""),"㈜",""),"주식회사",""),"(유)",""),"（유）",""),"유한회사",""))</f>
        <v/>
      </c>
      <c r="AC1181" s="31">
        <f>IF(OR($Y1181="",N($Z1181)&lt;=0,$AB1181=""),0,IFERROR(LOOKUP(2,1/((거래처별!$AC$8:$AC$307&lt;&gt;"")*ISNUMBER(SEARCH(거래처별!$AC$8:$AC$307,$AB1181))),거래처별!$A$8:$A$307),IFERROR(LOOKUP(2,1/((거래처별!$AD$8:$AD$307&lt;&gt;"")*ISNUMBER(SEARCH(거래처별!$AD$8:$AD$307,$AB1181))),거래처별!$A$8:$A$307),IFERROR(LOOKUP(2,1/((거래처별!$AE$8:$AE$307&lt;&gt;"")*ISNUMBER(SEARCH(거래처별!$AE$8:$AE$307,$AB1181))),거래처별!$A$8:$A$307),0))))</f>
        <v/>
      </c>
      <c r="AD1181" s="31">
        <f>IF(AND($Y1181&lt;&gt;"",N($Z1181)&gt;0,$AC1181=0),MAX($AD$7:$AD1180)+1,"")</f>
        <v/>
      </c>
      <c r="AE1181" s="31">
        <f>IF($Y1181="",0,$Y1181)</f>
        <v/>
      </c>
    </row>
    <row r="1182">
      <c r="W1182" s="31">
        <f>IF(OR($B$5="",$C$6="",ROW()&lt;$B$5),"",IF(INDEX($A:$U,ROW(),$C$6)="","",INDEX($A:$U,ROW(),$C$6)))</f>
        <v/>
      </c>
      <c r="X1182" s="32">
        <f>IF($W1182="","",IF(ISNUMBER($W1182),IF($W1182&gt;=10000000,IFERROR(DATE(INT($W1182/10000),MOD(INT($W1182/100),100),MOD($W1182,100)),""),INT($W1182)),IFERROR(DATE(--LEFT(LEFT(SUBSTITUTE(SUBSTITUTE(SUBSTITUTE(SUBSTITUTE(TRIM($W1182),"-",""),".",""),"/","")," ",""),8),4),--MID(LEFT(SUBSTITUTE(SUBSTITUTE(SUBSTITUTE(SUBSTITUTE(TRIM($W1182),"-",""),".",""),"/","")," ",""),8),5,2),--MID(LEFT(SUBSTITUTE(SUBSTITUTE(SUBSTITUTE(SUBSTITUTE(TRIM($W1182),"-",""),".",""),"/","")," ",""),8),7,2)),"")))</f>
        <v/>
      </c>
      <c r="Y1182" s="32">
        <f>IF($X1182="","",INT($X1182))</f>
        <v/>
      </c>
      <c r="Z1182" s="33">
        <f>IF(OR($Y1182="",$D$6=""),"",IF(INDEX($A:$U,ROW(),$D$6)="",0,IF(ISNUMBER(INDEX($A:$U,ROW(),$D$6)),INDEX($A:$U,ROW(),$D$6),IFERROR(--SUBSTITUTE(SUBSTITUTE(TRIM(INDEX($A:$U,ROW(),$D$6)),",",""),"원",""),0))))</f>
        <v/>
      </c>
      <c r="AA1182" s="31">
        <f>IF($Y1182="","",TRIM(INDEX($A:$U,ROW(),$E$6)&amp;IF($F$6="",""," "&amp;INDEX($A:$U,ROW(),$F$6))))</f>
        <v/>
      </c>
      <c r="AB1182" s="31">
        <f>IF($AA1182="","",SUBSTITUTE(SUBSTITUTE(SUBSTITUTE(SUBSTITUTE(SUBSTITUTE(SUBSTITUTE(SUBSTITUTE(SUBSTITUTE(SUBSTITUTE($AA1182," ",""),"　",""),"(주)",""),"（주）",""),"㈜",""),"주식회사",""),"(유)",""),"（유）",""),"유한회사",""))</f>
        <v/>
      </c>
      <c r="AC1182" s="31">
        <f>IF(OR($Y1182="",N($Z1182)&lt;=0,$AB1182=""),0,IFERROR(LOOKUP(2,1/((거래처별!$AC$8:$AC$307&lt;&gt;"")*ISNUMBER(SEARCH(거래처별!$AC$8:$AC$307,$AB1182))),거래처별!$A$8:$A$307),IFERROR(LOOKUP(2,1/((거래처별!$AD$8:$AD$307&lt;&gt;"")*ISNUMBER(SEARCH(거래처별!$AD$8:$AD$307,$AB1182))),거래처별!$A$8:$A$307),IFERROR(LOOKUP(2,1/((거래처별!$AE$8:$AE$307&lt;&gt;"")*ISNUMBER(SEARCH(거래처별!$AE$8:$AE$307,$AB1182))),거래처별!$A$8:$A$307),0))))</f>
        <v/>
      </c>
      <c r="AD1182" s="31">
        <f>IF(AND($Y1182&lt;&gt;"",N($Z1182)&gt;0,$AC1182=0),MAX($AD$7:$AD1181)+1,"")</f>
        <v/>
      </c>
      <c r="AE1182" s="31">
        <f>IF($Y1182="",0,$Y1182)</f>
        <v/>
      </c>
    </row>
    <row r="1183">
      <c r="W1183" s="31">
        <f>IF(OR($B$5="",$C$6="",ROW()&lt;$B$5),"",IF(INDEX($A:$U,ROW(),$C$6)="","",INDEX($A:$U,ROW(),$C$6)))</f>
        <v/>
      </c>
      <c r="X1183" s="32">
        <f>IF($W1183="","",IF(ISNUMBER($W1183),IF($W1183&gt;=10000000,IFERROR(DATE(INT($W1183/10000),MOD(INT($W1183/100),100),MOD($W1183,100)),""),INT($W1183)),IFERROR(DATE(--LEFT(LEFT(SUBSTITUTE(SUBSTITUTE(SUBSTITUTE(SUBSTITUTE(TRIM($W1183),"-",""),".",""),"/","")," ",""),8),4),--MID(LEFT(SUBSTITUTE(SUBSTITUTE(SUBSTITUTE(SUBSTITUTE(TRIM($W1183),"-",""),".",""),"/","")," ",""),8),5,2),--MID(LEFT(SUBSTITUTE(SUBSTITUTE(SUBSTITUTE(SUBSTITUTE(TRIM($W1183),"-",""),".",""),"/","")," ",""),8),7,2)),"")))</f>
        <v/>
      </c>
      <c r="Y1183" s="32">
        <f>IF($X1183="","",INT($X1183))</f>
        <v/>
      </c>
      <c r="Z1183" s="33">
        <f>IF(OR($Y1183="",$D$6=""),"",IF(INDEX($A:$U,ROW(),$D$6)="",0,IF(ISNUMBER(INDEX($A:$U,ROW(),$D$6)),INDEX($A:$U,ROW(),$D$6),IFERROR(--SUBSTITUTE(SUBSTITUTE(TRIM(INDEX($A:$U,ROW(),$D$6)),",",""),"원",""),0))))</f>
        <v/>
      </c>
      <c r="AA1183" s="31">
        <f>IF($Y1183="","",TRIM(INDEX($A:$U,ROW(),$E$6)&amp;IF($F$6="",""," "&amp;INDEX($A:$U,ROW(),$F$6))))</f>
        <v/>
      </c>
      <c r="AB1183" s="31">
        <f>IF($AA1183="","",SUBSTITUTE(SUBSTITUTE(SUBSTITUTE(SUBSTITUTE(SUBSTITUTE(SUBSTITUTE(SUBSTITUTE(SUBSTITUTE(SUBSTITUTE($AA1183," ",""),"　",""),"(주)",""),"（주）",""),"㈜",""),"주식회사",""),"(유)",""),"（유）",""),"유한회사",""))</f>
        <v/>
      </c>
      <c r="AC1183" s="31">
        <f>IF(OR($Y1183="",N($Z1183)&lt;=0,$AB1183=""),0,IFERROR(LOOKUP(2,1/((거래처별!$AC$8:$AC$307&lt;&gt;"")*ISNUMBER(SEARCH(거래처별!$AC$8:$AC$307,$AB1183))),거래처별!$A$8:$A$307),IFERROR(LOOKUP(2,1/((거래처별!$AD$8:$AD$307&lt;&gt;"")*ISNUMBER(SEARCH(거래처별!$AD$8:$AD$307,$AB1183))),거래처별!$A$8:$A$307),IFERROR(LOOKUP(2,1/((거래처별!$AE$8:$AE$307&lt;&gt;"")*ISNUMBER(SEARCH(거래처별!$AE$8:$AE$307,$AB1183))),거래처별!$A$8:$A$307),0))))</f>
        <v/>
      </c>
      <c r="AD1183" s="31">
        <f>IF(AND($Y1183&lt;&gt;"",N($Z1183)&gt;0,$AC1183=0),MAX($AD$7:$AD1182)+1,"")</f>
        <v/>
      </c>
      <c r="AE1183" s="31">
        <f>IF($Y1183="",0,$Y1183)</f>
        <v/>
      </c>
    </row>
    <row r="1184">
      <c r="W1184" s="31">
        <f>IF(OR($B$5="",$C$6="",ROW()&lt;$B$5),"",IF(INDEX($A:$U,ROW(),$C$6)="","",INDEX($A:$U,ROW(),$C$6)))</f>
        <v/>
      </c>
      <c r="X1184" s="32">
        <f>IF($W1184="","",IF(ISNUMBER($W1184),IF($W1184&gt;=10000000,IFERROR(DATE(INT($W1184/10000),MOD(INT($W1184/100),100),MOD($W1184,100)),""),INT($W1184)),IFERROR(DATE(--LEFT(LEFT(SUBSTITUTE(SUBSTITUTE(SUBSTITUTE(SUBSTITUTE(TRIM($W1184),"-",""),".",""),"/","")," ",""),8),4),--MID(LEFT(SUBSTITUTE(SUBSTITUTE(SUBSTITUTE(SUBSTITUTE(TRIM($W1184),"-",""),".",""),"/","")," ",""),8),5,2),--MID(LEFT(SUBSTITUTE(SUBSTITUTE(SUBSTITUTE(SUBSTITUTE(TRIM($W1184),"-",""),".",""),"/","")," ",""),8),7,2)),"")))</f>
        <v/>
      </c>
      <c r="Y1184" s="32">
        <f>IF($X1184="","",INT($X1184))</f>
        <v/>
      </c>
      <c r="Z1184" s="33">
        <f>IF(OR($Y1184="",$D$6=""),"",IF(INDEX($A:$U,ROW(),$D$6)="",0,IF(ISNUMBER(INDEX($A:$U,ROW(),$D$6)),INDEX($A:$U,ROW(),$D$6),IFERROR(--SUBSTITUTE(SUBSTITUTE(TRIM(INDEX($A:$U,ROW(),$D$6)),",",""),"원",""),0))))</f>
        <v/>
      </c>
      <c r="AA1184" s="31">
        <f>IF($Y1184="","",TRIM(INDEX($A:$U,ROW(),$E$6)&amp;IF($F$6="",""," "&amp;INDEX($A:$U,ROW(),$F$6))))</f>
        <v/>
      </c>
      <c r="AB1184" s="31">
        <f>IF($AA1184="","",SUBSTITUTE(SUBSTITUTE(SUBSTITUTE(SUBSTITUTE(SUBSTITUTE(SUBSTITUTE(SUBSTITUTE(SUBSTITUTE(SUBSTITUTE($AA1184," ",""),"　",""),"(주)",""),"（주）",""),"㈜",""),"주식회사",""),"(유)",""),"（유）",""),"유한회사",""))</f>
        <v/>
      </c>
      <c r="AC1184" s="31">
        <f>IF(OR($Y1184="",N($Z1184)&lt;=0,$AB1184=""),0,IFERROR(LOOKUP(2,1/((거래처별!$AC$8:$AC$307&lt;&gt;"")*ISNUMBER(SEARCH(거래처별!$AC$8:$AC$307,$AB1184))),거래처별!$A$8:$A$307),IFERROR(LOOKUP(2,1/((거래처별!$AD$8:$AD$307&lt;&gt;"")*ISNUMBER(SEARCH(거래처별!$AD$8:$AD$307,$AB1184))),거래처별!$A$8:$A$307),IFERROR(LOOKUP(2,1/((거래처별!$AE$8:$AE$307&lt;&gt;"")*ISNUMBER(SEARCH(거래처별!$AE$8:$AE$307,$AB1184))),거래처별!$A$8:$A$307),0))))</f>
        <v/>
      </c>
      <c r="AD1184" s="31">
        <f>IF(AND($Y1184&lt;&gt;"",N($Z1184)&gt;0,$AC1184=0),MAX($AD$7:$AD1183)+1,"")</f>
        <v/>
      </c>
      <c r="AE1184" s="31">
        <f>IF($Y1184="",0,$Y1184)</f>
        <v/>
      </c>
    </row>
    <row r="1185">
      <c r="W1185" s="31">
        <f>IF(OR($B$5="",$C$6="",ROW()&lt;$B$5),"",IF(INDEX($A:$U,ROW(),$C$6)="","",INDEX($A:$U,ROW(),$C$6)))</f>
        <v/>
      </c>
      <c r="X1185" s="32">
        <f>IF($W1185="","",IF(ISNUMBER($W1185),IF($W1185&gt;=10000000,IFERROR(DATE(INT($W1185/10000),MOD(INT($W1185/100),100),MOD($W1185,100)),""),INT($W1185)),IFERROR(DATE(--LEFT(LEFT(SUBSTITUTE(SUBSTITUTE(SUBSTITUTE(SUBSTITUTE(TRIM($W1185),"-",""),".",""),"/","")," ",""),8),4),--MID(LEFT(SUBSTITUTE(SUBSTITUTE(SUBSTITUTE(SUBSTITUTE(TRIM($W1185),"-",""),".",""),"/","")," ",""),8),5,2),--MID(LEFT(SUBSTITUTE(SUBSTITUTE(SUBSTITUTE(SUBSTITUTE(TRIM($W1185),"-",""),".",""),"/","")," ",""),8),7,2)),"")))</f>
        <v/>
      </c>
      <c r="Y1185" s="32">
        <f>IF($X1185="","",INT($X1185))</f>
        <v/>
      </c>
      <c r="Z1185" s="33">
        <f>IF(OR($Y1185="",$D$6=""),"",IF(INDEX($A:$U,ROW(),$D$6)="",0,IF(ISNUMBER(INDEX($A:$U,ROW(),$D$6)),INDEX($A:$U,ROW(),$D$6),IFERROR(--SUBSTITUTE(SUBSTITUTE(TRIM(INDEX($A:$U,ROW(),$D$6)),",",""),"원",""),0))))</f>
        <v/>
      </c>
      <c r="AA1185" s="31">
        <f>IF($Y1185="","",TRIM(INDEX($A:$U,ROW(),$E$6)&amp;IF($F$6="",""," "&amp;INDEX($A:$U,ROW(),$F$6))))</f>
        <v/>
      </c>
      <c r="AB1185" s="31">
        <f>IF($AA1185="","",SUBSTITUTE(SUBSTITUTE(SUBSTITUTE(SUBSTITUTE(SUBSTITUTE(SUBSTITUTE(SUBSTITUTE(SUBSTITUTE(SUBSTITUTE($AA1185," ",""),"　",""),"(주)",""),"（주）",""),"㈜",""),"주식회사",""),"(유)",""),"（유）",""),"유한회사",""))</f>
        <v/>
      </c>
      <c r="AC1185" s="31">
        <f>IF(OR($Y1185="",N($Z1185)&lt;=0,$AB1185=""),0,IFERROR(LOOKUP(2,1/((거래처별!$AC$8:$AC$307&lt;&gt;"")*ISNUMBER(SEARCH(거래처별!$AC$8:$AC$307,$AB1185))),거래처별!$A$8:$A$307),IFERROR(LOOKUP(2,1/((거래처별!$AD$8:$AD$307&lt;&gt;"")*ISNUMBER(SEARCH(거래처별!$AD$8:$AD$307,$AB1185))),거래처별!$A$8:$A$307),IFERROR(LOOKUP(2,1/((거래처별!$AE$8:$AE$307&lt;&gt;"")*ISNUMBER(SEARCH(거래처별!$AE$8:$AE$307,$AB1185))),거래처별!$A$8:$A$307),0))))</f>
        <v/>
      </c>
      <c r="AD1185" s="31">
        <f>IF(AND($Y1185&lt;&gt;"",N($Z1185)&gt;0,$AC1185=0),MAX($AD$7:$AD1184)+1,"")</f>
        <v/>
      </c>
      <c r="AE1185" s="31">
        <f>IF($Y1185="",0,$Y1185)</f>
        <v/>
      </c>
    </row>
    <row r="1186">
      <c r="W1186" s="31">
        <f>IF(OR($B$5="",$C$6="",ROW()&lt;$B$5),"",IF(INDEX($A:$U,ROW(),$C$6)="","",INDEX($A:$U,ROW(),$C$6)))</f>
        <v/>
      </c>
      <c r="X1186" s="32">
        <f>IF($W1186="","",IF(ISNUMBER($W1186),IF($W1186&gt;=10000000,IFERROR(DATE(INT($W1186/10000),MOD(INT($W1186/100),100),MOD($W1186,100)),""),INT($W1186)),IFERROR(DATE(--LEFT(LEFT(SUBSTITUTE(SUBSTITUTE(SUBSTITUTE(SUBSTITUTE(TRIM($W1186),"-",""),".",""),"/","")," ",""),8),4),--MID(LEFT(SUBSTITUTE(SUBSTITUTE(SUBSTITUTE(SUBSTITUTE(TRIM($W1186),"-",""),".",""),"/","")," ",""),8),5,2),--MID(LEFT(SUBSTITUTE(SUBSTITUTE(SUBSTITUTE(SUBSTITUTE(TRIM($W1186),"-",""),".",""),"/","")," ",""),8),7,2)),"")))</f>
        <v/>
      </c>
      <c r="Y1186" s="32">
        <f>IF($X1186="","",INT($X1186))</f>
        <v/>
      </c>
      <c r="Z1186" s="33">
        <f>IF(OR($Y1186="",$D$6=""),"",IF(INDEX($A:$U,ROW(),$D$6)="",0,IF(ISNUMBER(INDEX($A:$U,ROW(),$D$6)),INDEX($A:$U,ROW(),$D$6),IFERROR(--SUBSTITUTE(SUBSTITUTE(TRIM(INDEX($A:$U,ROW(),$D$6)),",",""),"원",""),0))))</f>
        <v/>
      </c>
      <c r="AA1186" s="31">
        <f>IF($Y1186="","",TRIM(INDEX($A:$U,ROW(),$E$6)&amp;IF($F$6="",""," "&amp;INDEX($A:$U,ROW(),$F$6))))</f>
        <v/>
      </c>
      <c r="AB1186" s="31">
        <f>IF($AA1186="","",SUBSTITUTE(SUBSTITUTE(SUBSTITUTE(SUBSTITUTE(SUBSTITUTE(SUBSTITUTE(SUBSTITUTE(SUBSTITUTE(SUBSTITUTE($AA1186," ",""),"　",""),"(주)",""),"（주）",""),"㈜",""),"주식회사",""),"(유)",""),"（유）",""),"유한회사",""))</f>
        <v/>
      </c>
      <c r="AC1186" s="31">
        <f>IF(OR($Y1186="",N($Z1186)&lt;=0,$AB1186=""),0,IFERROR(LOOKUP(2,1/((거래처별!$AC$8:$AC$307&lt;&gt;"")*ISNUMBER(SEARCH(거래처별!$AC$8:$AC$307,$AB1186))),거래처별!$A$8:$A$307),IFERROR(LOOKUP(2,1/((거래처별!$AD$8:$AD$307&lt;&gt;"")*ISNUMBER(SEARCH(거래처별!$AD$8:$AD$307,$AB1186))),거래처별!$A$8:$A$307),IFERROR(LOOKUP(2,1/((거래처별!$AE$8:$AE$307&lt;&gt;"")*ISNUMBER(SEARCH(거래처별!$AE$8:$AE$307,$AB1186))),거래처별!$A$8:$A$307),0))))</f>
        <v/>
      </c>
      <c r="AD1186" s="31">
        <f>IF(AND($Y1186&lt;&gt;"",N($Z1186)&gt;0,$AC1186=0),MAX($AD$7:$AD1185)+1,"")</f>
        <v/>
      </c>
      <c r="AE1186" s="31">
        <f>IF($Y1186="",0,$Y1186)</f>
        <v/>
      </c>
    </row>
    <row r="1187">
      <c r="W1187" s="31">
        <f>IF(OR($B$5="",$C$6="",ROW()&lt;$B$5),"",IF(INDEX($A:$U,ROW(),$C$6)="","",INDEX($A:$U,ROW(),$C$6)))</f>
        <v/>
      </c>
      <c r="X1187" s="32">
        <f>IF($W1187="","",IF(ISNUMBER($W1187),IF($W1187&gt;=10000000,IFERROR(DATE(INT($W1187/10000),MOD(INT($W1187/100),100),MOD($W1187,100)),""),INT($W1187)),IFERROR(DATE(--LEFT(LEFT(SUBSTITUTE(SUBSTITUTE(SUBSTITUTE(SUBSTITUTE(TRIM($W1187),"-",""),".",""),"/","")," ",""),8),4),--MID(LEFT(SUBSTITUTE(SUBSTITUTE(SUBSTITUTE(SUBSTITUTE(TRIM($W1187),"-",""),".",""),"/","")," ",""),8),5,2),--MID(LEFT(SUBSTITUTE(SUBSTITUTE(SUBSTITUTE(SUBSTITUTE(TRIM($W1187),"-",""),".",""),"/","")," ",""),8),7,2)),"")))</f>
        <v/>
      </c>
      <c r="Y1187" s="32">
        <f>IF($X1187="","",INT($X1187))</f>
        <v/>
      </c>
      <c r="Z1187" s="33">
        <f>IF(OR($Y1187="",$D$6=""),"",IF(INDEX($A:$U,ROW(),$D$6)="",0,IF(ISNUMBER(INDEX($A:$U,ROW(),$D$6)),INDEX($A:$U,ROW(),$D$6),IFERROR(--SUBSTITUTE(SUBSTITUTE(TRIM(INDEX($A:$U,ROW(),$D$6)),",",""),"원",""),0))))</f>
        <v/>
      </c>
      <c r="AA1187" s="31">
        <f>IF($Y1187="","",TRIM(INDEX($A:$U,ROW(),$E$6)&amp;IF($F$6="",""," "&amp;INDEX($A:$U,ROW(),$F$6))))</f>
        <v/>
      </c>
      <c r="AB1187" s="31">
        <f>IF($AA1187="","",SUBSTITUTE(SUBSTITUTE(SUBSTITUTE(SUBSTITUTE(SUBSTITUTE(SUBSTITUTE(SUBSTITUTE(SUBSTITUTE(SUBSTITUTE($AA1187," ",""),"　",""),"(주)",""),"（주）",""),"㈜",""),"주식회사",""),"(유)",""),"（유）",""),"유한회사",""))</f>
        <v/>
      </c>
      <c r="AC1187" s="31">
        <f>IF(OR($Y1187="",N($Z1187)&lt;=0,$AB1187=""),0,IFERROR(LOOKUP(2,1/((거래처별!$AC$8:$AC$307&lt;&gt;"")*ISNUMBER(SEARCH(거래처별!$AC$8:$AC$307,$AB1187))),거래처별!$A$8:$A$307),IFERROR(LOOKUP(2,1/((거래처별!$AD$8:$AD$307&lt;&gt;"")*ISNUMBER(SEARCH(거래처별!$AD$8:$AD$307,$AB1187))),거래처별!$A$8:$A$307),IFERROR(LOOKUP(2,1/((거래처별!$AE$8:$AE$307&lt;&gt;"")*ISNUMBER(SEARCH(거래처별!$AE$8:$AE$307,$AB1187))),거래처별!$A$8:$A$307),0))))</f>
        <v/>
      </c>
      <c r="AD1187" s="31">
        <f>IF(AND($Y1187&lt;&gt;"",N($Z1187)&gt;0,$AC1187=0),MAX($AD$7:$AD1186)+1,"")</f>
        <v/>
      </c>
      <c r="AE1187" s="31">
        <f>IF($Y1187="",0,$Y1187)</f>
        <v/>
      </c>
    </row>
    <row r="1188">
      <c r="W1188" s="31">
        <f>IF(OR($B$5="",$C$6="",ROW()&lt;$B$5),"",IF(INDEX($A:$U,ROW(),$C$6)="","",INDEX($A:$U,ROW(),$C$6)))</f>
        <v/>
      </c>
      <c r="X1188" s="32">
        <f>IF($W1188="","",IF(ISNUMBER($W1188),IF($W1188&gt;=10000000,IFERROR(DATE(INT($W1188/10000),MOD(INT($W1188/100),100),MOD($W1188,100)),""),INT($W1188)),IFERROR(DATE(--LEFT(LEFT(SUBSTITUTE(SUBSTITUTE(SUBSTITUTE(SUBSTITUTE(TRIM($W1188),"-",""),".",""),"/","")," ",""),8),4),--MID(LEFT(SUBSTITUTE(SUBSTITUTE(SUBSTITUTE(SUBSTITUTE(TRIM($W1188),"-",""),".",""),"/","")," ",""),8),5,2),--MID(LEFT(SUBSTITUTE(SUBSTITUTE(SUBSTITUTE(SUBSTITUTE(TRIM($W1188),"-",""),".",""),"/","")," ",""),8),7,2)),"")))</f>
        <v/>
      </c>
      <c r="Y1188" s="32">
        <f>IF($X1188="","",INT($X1188))</f>
        <v/>
      </c>
      <c r="Z1188" s="33">
        <f>IF(OR($Y1188="",$D$6=""),"",IF(INDEX($A:$U,ROW(),$D$6)="",0,IF(ISNUMBER(INDEX($A:$U,ROW(),$D$6)),INDEX($A:$U,ROW(),$D$6),IFERROR(--SUBSTITUTE(SUBSTITUTE(TRIM(INDEX($A:$U,ROW(),$D$6)),",",""),"원",""),0))))</f>
        <v/>
      </c>
      <c r="AA1188" s="31">
        <f>IF($Y1188="","",TRIM(INDEX($A:$U,ROW(),$E$6)&amp;IF($F$6="",""," "&amp;INDEX($A:$U,ROW(),$F$6))))</f>
        <v/>
      </c>
      <c r="AB1188" s="31">
        <f>IF($AA1188="","",SUBSTITUTE(SUBSTITUTE(SUBSTITUTE(SUBSTITUTE(SUBSTITUTE(SUBSTITUTE(SUBSTITUTE(SUBSTITUTE(SUBSTITUTE($AA1188," ",""),"　",""),"(주)",""),"（주）",""),"㈜",""),"주식회사",""),"(유)",""),"（유）",""),"유한회사",""))</f>
        <v/>
      </c>
      <c r="AC1188" s="31">
        <f>IF(OR($Y1188="",N($Z1188)&lt;=0,$AB1188=""),0,IFERROR(LOOKUP(2,1/((거래처별!$AC$8:$AC$307&lt;&gt;"")*ISNUMBER(SEARCH(거래처별!$AC$8:$AC$307,$AB1188))),거래처별!$A$8:$A$307),IFERROR(LOOKUP(2,1/((거래처별!$AD$8:$AD$307&lt;&gt;"")*ISNUMBER(SEARCH(거래처별!$AD$8:$AD$307,$AB1188))),거래처별!$A$8:$A$307),IFERROR(LOOKUP(2,1/((거래처별!$AE$8:$AE$307&lt;&gt;"")*ISNUMBER(SEARCH(거래처별!$AE$8:$AE$307,$AB1188))),거래처별!$A$8:$A$307),0))))</f>
        <v/>
      </c>
      <c r="AD1188" s="31">
        <f>IF(AND($Y1188&lt;&gt;"",N($Z1188)&gt;0,$AC1188=0),MAX($AD$7:$AD1187)+1,"")</f>
        <v/>
      </c>
      <c r="AE1188" s="31">
        <f>IF($Y1188="",0,$Y1188)</f>
        <v/>
      </c>
    </row>
    <row r="1189">
      <c r="W1189" s="31">
        <f>IF(OR($B$5="",$C$6="",ROW()&lt;$B$5),"",IF(INDEX($A:$U,ROW(),$C$6)="","",INDEX($A:$U,ROW(),$C$6)))</f>
        <v/>
      </c>
      <c r="X1189" s="32">
        <f>IF($W1189="","",IF(ISNUMBER($W1189),IF($W1189&gt;=10000000,IFERROR(DATE(INT($W1189/10000),MOD(INT($W1189/100),100),MOD($W1189,100)),""),INT($W1189)),IFERROR(DATE(--LEFT(LEFT(SUBSTITUTE(SUBSTITUTE(SUBSTITUTE(SUBSTITUTE(TRIM($W1189),"-",""),".",""),"/","")," ",""),8),4),--MID(LEFT(SUBSTITUTE(SUBSTITUTE(SUBSTITUTE(SUBSTITUTE(TRIM($W1189),"-",""),".",""),"/","")," ",""),8),5,2),--MID(LEFT(SUBSTITUTE(SUBSTITUTE(SUBSTITUTE(SUBSTITUTE(TRIM($W1189),"-",""),".",""),"/","")," ",""),8),7,2)),"")))</f>
        <v/>
      </c>
      <c r="Y1189" s="32">
        <f>IF($X1189="","",INT($X1189))</f>
        <v/>
      </c>
      <c r="Z1189" s="33">
        <f>IF(OR($Y1189="",$D$6=""),"",IF(INDEX($A:$U,ROW(),$D$6)="",0,IF(ISNUMBER(INDEX($A:$U,ROW(),$D$6)),INDEX($A:$U,ROW(),$D$6),IFERROR(--SUBSTITUTE(SUBSTITUTE(TRIM(INDEX($A:$U,ROW(),$D$6)),",",""),"원",""),0))))</f>
        <v/>
      </c>
      <c r="AA1189" s="31">
        <f>IF($Y1189="","",TRIM(INDEX($A:$U,ROW(),$E$6)&amp;IF($F$6="",""," "&amp;INDEX($A:$U,ROW(),$F$6))))</f>
        <v/>
      </c>
      <c r="AB1189" s="31">
        <f>IF($AA1189="","",SUBSTITUTE(SUBSTITUTE(SUBSTITUTE(SUBSTITUTE(SUBSTITUTE(SUBSTITUTE(SUBSTITUTE(SUBSTITUTE(SUBSTITUTE($AA1189," ",""),"　",""),"(주)",""),"（주）",""),"㈜",""),"주식회사",""),"(유)",""),"（유）",""),"유한회사",""))</f>
        <v/>
      </c>
      <c r="AC1189" s="31">
        <f>IF(OR($Y1189="",N($Z1189)&lt;=0,$AB1189=""),0,IFERROR(LOOKUP(2,1/((거래처별!$AC$8:$AC$307&lt;&gt;"")*ISNUMBER(SEARCH(거래처별!$AC$8:$AC$307,$AB1189))),거래처별!$A$8:$A$307),IFERROR(LOOKUP(2,1/((거래처별!$AD$8:$AD$307&lt;&gt;"")*ISNUMBER(SEARCH(거래처별!$AD$8:$AD$307,$AB1189))),거래처별!$A$8:$A$307),IFERROR(LOOKUP(2,1/((거래처별!$AE$8:$AE$307&lt;&gt;"")*ISNUMBER(SEARCH(거래처별!$AE$8:$AE$307,$AB1189))),거래처별!$A$8:$A$307),0))))</f>
        <v/>
      </c>
      <c r="AD1189" s="31">
        <f>IF(AND($Y1189&lt;&gt;"",N($Z1189)&gt;0,$AC1189=0),MAX($AD$7:$AD1188)+1,"")</f>
        <v/>
      </c>
      <c r="AE1189" s="31">
        <f>IF($Y1189="",0,$Y1189)</f>
        <v/>
      </c>
    </row>
    <row r="1190">
      <c r="W1190" s="31">
        <f>IF(OR($B$5="",$C$6="",ROW()&lt;$B$5),"",IF(INDEX($A:$U,ROW(),$C$6)="","",INDEX($A:$U,ROW(),$C$6)))</f>
        <v/>
      </c>
      <c r="X1190" s="32">
        <f>IF($W1190="","",IF(ISNUMBER($W1190),IF($W1190&gt;=10000000,IFERROR(DATE(INT($W1190/10000),MOD(INT($W1190/100),100),MOD($W1190,100)),""),INT($W1190)),IFERROR(DATE(--LEFT(LEFT(SUBSTITUTE(SUBSTITUTE(SUBSTITUTE(SUBSTITUTE(TRIM($W1190),"-",""),".",""),"/","")," ",""),8),4),--MID(LEFT(SUBSTITUTE(SUBSTITUTE(SUBSTITUTE(SUBSTITUTE(TRIM($W1190),"-",""),".",""),"/","")," ",""),8),5,2),--MID(LEFT(SUBSTITUTE(SUBSTITUTE(SUBSTITUTE(SUBSTITUTE(TRIM($W1190),"-",""),".",""),"/","")," ",""),8),7,2)),"")))</f>
        <v/>
      </c>
      <c r="Y1190" s="32">
        <f>IF($X1190="","",INT($X1190))</f>
        <v/>
      </c>
      <c r="Z1190" s="33">
        <f>IF(OR($Y1190="",$D$6=""),"",IF(INDEX($A:$U,ROW(),$D$6)="",0,IF(ISNUMBER(INDEX($A:$U,ROW(),$D$6)),INDEX($A:$U,ROW(),$D$6),IFERROR(--SUBSTITUTE(SUBSTITUTE(TRIM(INDEX($A:$U,ROW(),$D$6)),",",""),"원",""),0))))</f>
        <v/>
      </c>
      <c r="AA1190" s="31">
        <f>IF($Y1190="","",TRIM(INDEX($A:$U,ROW(),$E$6)&amp;IF($F$6="",""," "&amp;INDEX($A:$U,ROW(),$F$6))))</f>
        <v/>
      </c>
      <c r="AB1190" s="31">
        <f>IF($AA1190="","",SUBSTITUTE(SUBSTITUTE(SUBSTITUTE(SUBSTITUTE(SUBSTITUTE(SUBSTITUTE(SUBSTITUTE(SUBSTITUTE(SUBSTITUTE($AA1190," ",""),"　",""),"(주)",""),"（주）",""),"㈜",""),"주식회사",""),"(유)",""),"（유）",""),"유한회사",""))</f>
        <v/>
      </c>
      <c r="AC1190" s="31">
        <f>IF(OR($Y1190="",N($Z1190)&lt;=0,$AB1190=""),0,IFERROR(LOOKUP(2,1/((거래처별!$AC$8:$AC$307&lt;&gt;"")*ISNUMBER(SEARCH(거래처별!$AC$8:$AC$307,$AB1190))),거래처별!$A$8:$A$307),IFERROR(LOOKUP(2,1/((거래처별!$AD$8:$AD$307&lt;&gt;"")*ISNUMBER(SEARCH(거래처별!$AD$8:$AD$307,$AB1190))),거래처별!$A$8:$A$307),IFERROR(LOOKUP(2,1/((거래처별!$AE$8:$AE$307&lt;&gt;"")*ISNUMBER(SEARCH(거래처별!$AE$8:$AE$307,$AB1190))),거래처별!$A$8:$A$307),0))))</f>
        <v/>
      </c>
      <c r="AD1190" s="31">
        <f>IF(AND($Y1190&lt;&gt;"",N($Z1190)&gt;0,$AC1190=0),MAX($AD$7:$AD1189)+1,"")</f>
        <v/>
      </c>
      <c r="AE1190" s="31">
        <f>IF($Y1190="",0,$Y1190)</f>
        <v/>
      </c>
    </row>
    <row r="1191">
      <c r="W1191" s="31">
        <f>IF(OR($B$5="",$C$6="",ROW()&lt;$B$5),"",IF(INDEX($A:$U,ROW(),$C$6)="","",INDEX($A:$U,ROW(),$C$6)))</f>
        <v/>
      </c>
      <c r="X1191" s="32">
        <f>IF($W1191="","",IF(ISNUMBER($W1191),IF($W1191&gt;=10000000,IFERROR(DATE(INT($W1191/10000),MOD(INT($W1191/100),100),MOD($W1191,100)),""),INT($W1191)),IFERROR(DATE(--LEFT(LEFT(SUBSTITUTE(SUBSTITUTE(SUBSTITUTE(SUBSTITUTE(TRIM($W1191),"-",""),".",""),"/","")," ",""),8),4),--MID(LEFT(SUBSTITUTE(SUBSTITUTE(SUBSTITUTE(SUBSTITUTE(TRIM($W1191),"-",""),".",""),"/","")," ",""),8),5,2),--MID(LEFT(SUBSTITUTE(SUBSTITUTE(SUBSTITUTE(SUBSTITUTE(TRIM($W1191),"-",""),".",""),"/","")," ",""),8),7,2)),"")))</f>
        <v/>
      </c>
      <c r="Y1191" s="32">
        <f>IF($X1191="","",INT($X1191))</f>
        <v/>
      </c>
      <c r="Z1191" s="33">
        <f>IF(OR($Y1191="",$D$6=""),"",IF(INDEX($A:$U,ROW(),$D$6)="",0,IF(ISNUMBER(INDEX($A:$U,ROW(),$D$6)),INDEX($A:$U,ROW(),$D$6),IFERROR(--SUBSTITUTE(SUBSTITUTE(TRIM(INDEX($A:$U,ROW(),$D$6)),",",""),"원",""),0))))</f>
        <v/>
      </c>
      <c r="AA1191" s="31">
        <f>IF($Y1191="","",TRIM(INDEX($A:$U,ROW(),$E$6)&amp;IF($F$6="",""," "&amp;INDEX($A:$U,ROW(),$F$6))))</f>
        <v/>
      </c>
      <c r="AB1191" s="31">
        <f>IF($AA1191="","",SUBSTITUTE(SUBSTITUTE(SUBSTITUTE(SUBSTITUTE(SUBSTITUTE(SUBSTITUTE(SUBSTITUTE(SUBSTITUTE(SUBSTITUTE($AA1191," ",""),"　",""),"(주)",""),"（주）",""),"㈜",""),"주식회사",""),"(유)",""),"（유）",""),"유한회사",""))</f>
        <v/>
      </c>
      <c r="AC1191" s="31">
        <f>IF(OR($Y1191="",N($Z1191)&lt;=0,$AB1191=""),0,IFERROR(LOOKUP(2,1/((거래처별!$AC$8:$AC$307&lt;&gt;"")*ISNUMBER(SEARCH(거래처별!$AC$8:$AC$307,$AB1191))),거래처별!$A$8:$A$307),IFERROR(LOOKUP(2,1/((거래처별!$AD$8:$AD$307&lt;&gt;"")*ISNUMBER(SEARCH(거래처별!$AD$8:$AD$307,$AB1191))),거래처별!$A$8:$A$307),IFERROR(LOOKUP(2,1/((거래처별!$AE$8:$AE$307&lt;&gt;"")*ISNUMBER(SEARCH(거래처별!$AE$8:$AE$307,$AB1191))),거래처별!$A$8:$A$307),0))))</f>
        <v/>
      </c>
      <c r="AD1191" s="31">
        <f>IF(AND($Y1191&lt;&gt;"",N($Z1191)&gt;0,$AC1191=0),MAX($AD$7:$AD1190)+1,"")</f>
        <v/>
      </c>
      <c r="AE1191" s="31">
        <f>IF($Y1191="",0,$Y1191)</f>
        <v/>
      </c>
    </row>
    <row r="1192">
      <c r="W1192" s="31">
        <f>IF(OR($B$5="",$C$6="",ROW()&lt;$B$5),"",IF(INDEX($A:$U,ROW(),$C$6)="","",INDEX($A:$U,ROW(),$C$6)))</f>
        <v/>
      </c>
      <c r="X1192" s="32">
        <f>IF($W1192="","",IF(ISNUMBER($W1192),IF($W1192&gt;=10000000,IFERROR(DATE(INT($W1192/10000),MOD(INT($W1192/100),100),MOD($W1192,100)),""),INT($W1192)),IFERROR(DATE(--LEFT(LEFT(SUBSTITUTE(SUBSTITUTE(SUBSTITUTE(SUBSTITUTE(TRIM($W1192),"-",""),".",""),"/","")," ",""),8),4),--MID(LEFT(SUBSTITUTE(SUBSTITUTE(SUBSTITUTE(SUBSTITUTE(TRIM($W1192),"-",""),".",""),"/","")," ",""),8),5,2),--MID(LEFT(SUBSTITUTE(SUBSTITUTE(SUBSTITUTE(SUBSTITUTE(TRIM($W1192),"-",""),".",""),"/","")," ",""),8),7,2)),"")))</f>
        <v/>
      </c>
      <c r="Y1192" s="32">
        <f>IF($X1192="","",INT($X1192))</f>
        <v/>
      </c>
      <c r="Z1192" s="33">
        <f>IF(OR($Y1192="",$D$6=""),"",IF(INDEX($A:$U,ROW(),$D$6)="",0,IF(ISNUMBER(INDEX($A:$U,ROW(),$D$6)),INDEX($A:$U,ROW(),$D$6),IFERROR(--SUBSTITUTE(SUBSTITUTE(TRIM(INDEX($A:$U,ROW(),$D$6)),",",""),"원",""),0))))</f>
        <v/>
      </c>
      <c r="AA1192" s="31">
        <f>IF($Y1192="","",TRIM(INDEX($A:$U,ROW(),$E$6)&amp;IF($F$6="",""," "&amp;INDEX($A:$U,ROW(),$F$6))))</f>
        <v/>
      </c>
      <c r="AB1192" s="31">
        <f>IF($AA1192="","",SUBSTITUTE(SUBSTITUTE(SUBSTITUTE(SUBSTITUTE(SUBSTITUTE(SUBSTITUTE(SUBSTITUTE(SUBSTITUTE(SUBSTITUTE($AA1192," ",""),"　",""),"(주)",""),"（주）",""),"㈜",""),"주식회사",""),"(유)",""),"（유）",""),"유한회사",""))</f>
        <v/>
      </c>
      <c r="AC1192" s="31">
        <f>IF(OR($Y1192="",N($Z1192)&lt;=0,$AB1192=""),0,IFERROR(LOOKUP(2,1/((거래처별!$AC$8:$AC$307&lt;&gt;"")*ISNUMBER(SEARCH(거래처별!$AC$8:$AC$307,$AB1192))),거래처별!$A$8:$A$307),IFERROR(LOOKUP(2,1/((거래처별!$AD$8:$AD$307&lt;&gt;"")*ISNUMBER(SEARCH(거래처별!$AD$8:$AD$307,$AB1192))),거래처별!$A$8:$A$307),IFERROR(LOOKUP(2,1/((거래처별!$AE$8:$AE$307&lt;&gt;"")*ISNUMBER(SEARCH(거래처별!$AE$8:$AE$307,$AB1192))),거래처별!$A$8:$A$307),0))))</f>
        <v/>
      </c>
      <c r="AD1192" s="31">
        <f>IF(AND($Y1192&lt;&gt;"",N($Z1192)&gt;0,$AC1192=0),MAX($AD$7:$AD1191)+1,"")</f>
        <v/>
      </c>
      <c r="AE1192" s="31">
        <f>IF($Y1192="",0,$Y1192)</f>
        <v/>
      </c>
    </row>
    <row r="1193">
      <c r="W1193" s="31">
        <f>IF(OR($B$5="",$C$6="",ROW()&lt;$B$5),"",IF(INDEX($A:$U,ROW(),$C$6)="","",INDEX($A:$U,ROW(),$C$6)))</f>
        <v/>
      </c>
      <c r="X1193" s="32">
        <f>IF($W1193="","",IF(ISNUMBER($W1193),IF($W1193&gt;=10000000,IFERROR(DATE(INT($W1193/10000),MOD(INT($W1193/100),100),MOD($W1193,100)),""),INT($W1193)),IFERROR(DATE(--LEFT(LEFT(SUBSTITUTE(SUBSTITUTE(SUBSTITUTE(SUBSTITUTE(TRIM($W1193),"-",""),".",""),"/","")," ",""),8),4),--MID(LEFT(SUBSTITUTE(SUBSTITUTE(SUBSTITUTE(SUBSTITUTE(TRIM($W1193),"-",""),".",""),"/","")," ",""),8),5,2),--MID(LEFT(SUBSTITUTE(SUBSTITUTE(SUBSTITUTE(SUBSTITUTE(TRIM($W1193),"-",""),".",""),"/","")," ",""),8),7,2)),"")))</f>
        <v/>
      </c>
      <c r="Y1193" s="32">
        <f>IF($X1193="","",INT($X1193))</f>
        <v/>
      </c>
      <c r="Z1193" s="33">
        <f>IF(OR($Y1193="",$D$6=""),"",IF(INDEX($A:$U,ROW(),$D$6)="",0,IF(ISNUMBER(INDEX($A:$U,ROW(),$D$6)),INDEX($A:$U,ROW(),$D$6),IFERROR(--SUBSTITUTE(SUBSTITUTE(TRIM(INDEX($A:$U,ROW(),$D$6)),",",""),"원",""),0))))</f>
        <v/>
      </c>
      <c r="AA1193" s="31">
        <f>IF($Y1193="","",TRIM(INDEX($A:$U,ROW(),$E$6)&amp;IF($F$6="",""," "&amp;INDEX($A:$U,ROW(),$F$6))))</f>
        <v/>
      </c>
      <c r="AB1193" s="31">
        <f>IF($AA1193="","",SUBSTITUTE(SUBSTITUTE(SUBSTITUTE(SUBSTITUTE(SUBSTITUTE(SUBSTITUTE(SUBSTITUTE(SUBSTITUTE(SUBSTITUTE($AA1193," ",""),"　",""),"(주)",""),"（주）",""),"㈜",""),"주식회사",""),"(유)",""),"（유）",""),"유한회사",""))</f>
        <v/>
      </c>
      <c r="AC1193" s="31">
        <f>IF(OR($Y1193="",N($Z1193)&lt;=0,$AB1193=""),0,IFERROR(LOOKUP(2,1/((거래처별!$AC$8:$AC$307&lt;&gt;"")*ISNUMBER(SEARCH(거래처별!$AC$8:$AC$307,$AB1193))),거래처별!$A$8:$A$307),IFERROR(LOOKUP(2,1/((거래처별!$AD$8:$AD$307&lt;&gt;"")*ISNUMBER(SEARCH(거래처별!$AD$8:$AD$307,$AB1193))),거래처별!$A$8:$A$307),IFERROR(LOOKUP(2,1/((거래처별!$AE$8:$AE$307&lt;&gt;"")*ISNUMBER(SEARCH(거래처별!$AE$8:$AE$307,$AB1193))),거래처별!$A$8:$A$307),0))))</f>
        <v/>
      </c>
      <c r="AD1193" s="31">
        <f>IF(AND($Y1193&lt;&gt;"",N($Z1193)&gt;0,$AC1193=0),MAX($AD$7:$AD1192)+1,"")</f>
        <v/>
      </c>
      <c r="AE1193" s="31">
        <f>IF($Y1193="",0,$Y1193)</f>
        <v/>
      </c>
    </row>
    <row r="1194">
      <c r="W1194" s="31">
        <f>IF(OR($B$5="",$C$6="",ROW()&lt;$B$5),"",IF(INDEX($A:$U,ROW(),$C$6)="","",INDEX($A:$U,ROW(),$C$6)))</f>
        <v/>
      </c>
      <c r="X1194" s="32">
        <f>IF($W1194="","",IF(ISNUMBER($W1194),IF($W1194&gt;=10000000,IFERROR(DATE(INT($W1194/10000),MOD(INT($W1194/100),100),MOD($W1194,100)),""),INT($W1194)),IFERROR(DATE(--LEFT(LEFT(SUBSTITUTE(SUBSTITUTE(SUBSTITUTE(SUBSTITUTE(TRIM($W1194),"-",""),".",""),"/","")," ",""),8),4),--MID(LEFT(SUBSTITUTE(SUBSTITUTE(SUBSTITUTE(SUBSTITUTE(TRIM($W1194),"-",""),".",""),"/","")," ",""),8),5,2),--MID(LEFT(SUBSTITUTE(SUBSTITUTE(SUBSTITUTE(SUBSTITUTE(TRIM($W1194),"-",""),".",""),"/","")," ",""),8),7,2)),"")))</f>
        <v/>
      </c>
      <c r="Y1194" s="32">
        <f>IF($X1194="","",INT($X1194))</f>
        <v/>
      </c>
      <c r="Z1194" s="33">
        <f>IF(OR($Y1194="",$D$6=""),"",IF(INDEX($A:$U,ROW(),$D$6)="",0,IF(ISNUMBER(INDEX($A:$U,ROW(),$D$6)),INDEX($A:$U,ROW(),$D$6),IFERROR(--SUBSTITUTE(SUBSTITUTE(TRIM(INDEX($A:$U,ROW(),$D$6)),",",""),"원",""),0))))</f>
        <v/>
      </c>
      <c r="AA1194" s="31">
        <f>IF($Y1194="","",TRIM(INDEX($A:$U,ROW(),$E$6)&amp;IF($F$6="",""," "&amp;INDEX($A:$U,ROW(),$F$6))))</f>
        <v/>
      </c>
      <c r="AB1194" s="31">
        <f>IF($AA1194="","",SUBSTITUTE(SUBSTITUTE(SUBSTITUTE(SUBSTITUTE(SUBSTITUTE(SUBSTITUTE(SUBSTITUTE(SUBSTITUTE(SUBSTITUTE($AA1194," ",""),"　",""),"(주)",""),"（주）",""),"㈜",""),"주식회사",""),"(유)",""),"（유）",""),"유한회사",""))</f>
        <v/>
      </c>
      <c r="AC1194" s="31">
        <f>IF(OR($Y1194="",N($Z1194)&lt;=0,$AB1194=""),0,IFERROR(LOOKUP(2,1/((거래처별!$AC$8:$AC$307&lt;&gt;"")*ISNUMBER(SEARCH(거래처별!$AC$8:$AC$307,$AB1194))),거래처별!$A$8:$A$307),IFERROR(LOOKUP(2,1/((거래처별!$AD$8:$AD$307&lt;&gt;"")*ISNUMBER(SEARCH(거래처별!$AD$8:$AD$307,$AB1194))),거래처별!$A$8:$A$307),IFERROR(LOOKUP(2,1/((거래처별!$AE$8:$AE$307&lt;&gt;"")*ISNUMBER(SEARCH(거래처별!$AE$8:$AE$307,$AB1194))),거래처별!$A$8:$A$307),0))))</f>
        <v/>
      </c>
      <c r="AD1194" s="31">
        <f>IF(AND($Y1194&lt;&gt;"",N($Z1194)&gt;0,$AC1194=0),MAX($AD$7:$AD1193)+1,"")</f>
        <v/>
      </c>
      <c r="AE1194" s="31">
        <f>IF($Y1194="",0,$Y1194)</f>
        <v/>
      </c>
    </row>
    <row r="1195">
      <c r="W1195" s="31">
        <f>IF(OR($B$5="",$C$6="",ROW()&lt;$B$5),"",IF(INDEX($A:$U,ROW(),$C$6)="","",INDEX($A:$U,ROW(),$C$6)))</f>
        <v/>
      </c>
      <c r="X1195" s="32">
        <f>IF($W1195="","",IF(ISNUMBER($W1195),IF($W1195&gt;=10000000,IFERROR(DATE(INT($W1195/10000),MOD(INT($W1195/100),100),MOD($W1195,100)),""),INT($W1195)),IFERROR(DATE(--LEFT(LEFT(SUBSTITUTE(SUBSTITUTE(SUBSTITUTE(SUBSTITUTE(TRIM($W1195),"-",""),".",""),"/","")," ",""),8),4),--MID(LEFT(SUBSTITUTE(SUBSTITUTE(SUBSTITUTE(SUBSTITUTE(TRIM($W1195),"-",""),".",""),"/","")," ",""),8),5,2),--MID(LEFT(SUBSTITUTE(SUBSTITUTE(SUBSTITUTE(SUBSTITUTE(TRIM($W1195),"-",""),".",""),"/","")," ",""),8),7,2)),"")))</f>
        <v/>
      </c>
      <c r="Y1195" s="32">
        <f>IF($X1195="","",INT($X1195))</f>
        <v/>
      </c>
      <c r="Z1195" s="33">
        <f>IF(OR($Y1195="",$D$6=""),"",IF(INDEX($A:$U,ROW(),$D$6)="",0,IF(ISNUMBER(INDEX($A:$U,ROW(),$D$6)),INDEX($A:$U,ROW(),$D$6),IFERROR(--SUBSTITUTE(SUBSTITUTE(TRIM(INDEX($A:$U,ROW(),$D$6)),",",""),"원",""),0))))</f>
        <v/>
      </c>
      <c r="AA1195" s="31">
        <f>IF($Y1195="","",TRIM(INDEX($A:$U,ROW(),$E$6)&amp;IF($F$6="",""," "&amp;INDEX($A:$U,ROW(),$F$6))))</f>
        <v/>
      </c>
      <c r="AB1195" s="31">
        <f>IF($AA1195="","",SUBSTITUTE(SUBSTITUTE(SUBSTITUTE(SUBSTITUTE(SUBSTITUTE(SUBSTITUTE(SUBSTITUTE(SUBSTITUTE(SUBSTITUTE($AA1195," ",""),"　",""),"(주)",""),"（주）",""),"㈜",""),"주식회사",""),"(유)",""),"（유）",""),"유한회사",""))</f>
        <v/>
      </c>
      <c r="AC1195" s="31">
        <f>IF(OR($Y1195="",N($Z1195)&lt;=0,$AB1195=""),0,IFERROR(LOOKUP(2,1/((거래처별!$AC$8:$AC$307&lt;&gt;"")*ISNUMBER(SEARCH(거래처별!$AC$8:$AC$307,$AB1195))),거래처별!$A$8:$A$307),IFERROR(LOOKUP(2,1/((거래처별!$AD$8:$AD$307&lt;&gt;"")*ISNUMBER(SEARCH(거래처별!$AD$8:$AD$307,$AB1195))),거래처별!$A$8:$A$307),IFERROR(LOOKUP(2,1/((거래처별!$AE$8:$AE$307&lt;&gt;"")*ISNUMBER(SEARCH(거래처별!$AE$8:$AE$307,$AB1195))),거래처별!$A$8:$A$307),0))))</f>
        <v/>
      </c>
      <c r="AD1195" s="31">
        <f>IF(AND($Y1195&lt;&gt;"",N($Z1195)&gt;0,$AC1195=0),MAX($AD$7:$AD1194)+1,"")</f>
        <v/>
      </c>
      <c r="AE1195" s="31">
        <f>IF($Y1195="",0,$Y1195)</f>
        <v/>
      </c>
    </row>
    <row r="1196">
      <c r="W1196" s="31">
        <f>IF(OR($B$5="",$C$6="",ROW()&lt;$B$5),"",IF(INDEX($A:$U,ROW(),$C$6)="","",INDEX($A:$U,ROW(),$C$6)))</f>
        <v/>
      </c>
      <c r="X1196" s="32">
        <f>IF($W1196="","",IF(ISNUMBER($W1196),IF($W1196&gt;=10000000,IFERROR(DATE(INT($W1196/10000),MOD(INT($W1196/100),100),MOD($W1196,100)),""),INT($W1196)),IFERROR(DATE(--LEFT(LEFT(SUBSTITUTE(SUBSTITUTE(SUBSTITUTE(SUBSTITUTE(TRIM($W1196),"-",""),".",""),"/","")," ",""),8),4),--MID(LEFT(SUBSTITUTE(SUBSTITUTE(SUBSTITUTE(SUBSTITUTE(TRIM($W1196),"-",""),".",""),"/","")," ",""),8),5,2),--MID(LEFT(SUBSTITUTE(SUBSTITUTE(SUBSTITUTE(SUBSTITUTE(TRIM($W1196),"-",""),".",""),"/","")," ",""),8),7,2)),"")))</f>
        <v/>
      </c>
      <c r="Y1196" s="32">
        <f>IF($X1196="","",INT($X1196))</f>
        <v/>
      </c>
      <c r="Z1196" s="33">
        <f>IF(OR($Y1196="",$D$6=""),"",IF(INDEX($A:$U,ROW(),$D$6)="",0,IF(ISNUMBER(INDEX($A:$U,ROW(),$D$6)),INDEX($A:$U,ROW(),$D$6),IFERROR(--SUBSTITUTE(SUBSTITUTE(TRIM(INDEX($A:$U,ROW(),$D$6)),",",""),"원",""),0))))</f>
        <v/>
      </c>
      <c r="AA1196" s="31">
        <f>IF($Y1196="","",TRIM(INDEX($A:$U,ROW(),$E$6)&amp;IF($F$6="",""," "&amp;INDEX($A:$U,ROW(),$F$6))))</f>
        <v/>
      </c>
      <c r="AB1196" s="31">
        <f>IF($AA1196="","",SUBSTITUTE(SUBSTITUTE(SUBSTITUTE(SUBSTITUTE(SUBSTITUTE(SUBSTITUTE(SUBSTITUTE(SUBSTITUTE(SUBSTITUTE($AA1196," ",""),"　",""),"(주)",""),"（주）",""),"㈜",""),"주식회사",""),"(유)",""),"（유）",""),"유한회사",""))</f>
        <v/>
      </c>
      <c r="AC1196" s="31">
        <f>IF(OR($Y1196="",N($Z1196)&lt;=0,$AB1196=""),0,IFERROR(LOOKUP(2,1/((거래처별!$AC$8:$AC$307&lt;&gt;"")*ISNUMBER(SEARCH(거래처별!$AC$8:$AC$307,$AB1196))),거래처별!$A$8:$A$307),IFERROR(LOOKUP(2,1/((거래처별!$AD$8:$AD$307&lt;&gt;"")*ISNUMBER(SEARCH(거래처별!$AD$8:$AD$307,$AB1196))),거래처별!$A$8:$A$307),IFERROR(LOOKUP(2,1/((거래처별!$AE$8:$AE$307&lt;&gt;"")*ISNUMBER(SEARCH(거래처별!$AE$8:$AE$307,$AB1196))),거래처별!$A$8:$A$307),0))))</f>
        <v/>
      </c>
      <c r="AD1196" s="31">
        <f>IF(AND($Y1196&lt;&gt;"",N($Z1196)&gt;0,$AC1196=0),MAX($AD$7:$AD1195)+1,"")</f>
        <v/>
      </c>
      <c r="AE1196" s="31">
        <f>IF($Y1196="",0,$Y1196)</f>
        <v/>
      </c>
    </row>
    <row r="1197">
      <c r="W1197" s="31">
        <f>IF(OR($B$5="",$C$6="",ROW()&lt;$B$5),"",IF(INDEX($A:$U,ROW(),$C$6)="","",INDEX($A:$U,ROW(),$C$6)))</f>
        <v/>
      </c>
      <c r="X1197" s="32">
        <f>IF($W1197="","",IF(ISNUMBER($W1197),IF($W1197&gt;=10000000,IFERROR(DATE(INT($W1197/10000),MOD(INT($W1197/100),100),MOD($W1197,100)),""),INT($W1197)),IFERROR(DATE(--LEFT(LEFT(SUBSTITUTE(SUBSTITUTE(SUBSTITUTE(SUBSTITUTE(TRIM($W1197),"-",""),".",""),"/","")," ",""),8),4),--MID(LEFT(SUBSTITUTE(SUBSTITUTE(SUBSTITUTE(SUBSTITUTE(TRIM($W1197),"-",""),".",""),"/","")," ",""),8),5,2),--MID(LEFT(SUBSTITUTE(SUBSTITUTE(SUBSTITUTE(SUBSTITUTE(TRIM($W1197),"-",""),".",""),"/","")," ",""),8),7,2)),"")))</f>
        <v/>
      </c>
      <c r="Y1197" s="32">
        <f>IF($X1197="","",INT($X1197))</f>
        <v/>
      </c>
      <c r="Z1197" s="33">
        <f>IF(OR($Y1197="",$D$6=""),"",IF(INDEX($A:$U,ROW(),$D$6)="",0,IF(ISNUMBER(INDEX($A:$U,ROW(),$D$6)),INDEX($A:$U,ROW(),$D$6),IFERROR(--SUBSTITUTE(SUBSTITUTE(TRIM(INDEX($A:$U,ROW(),$D$6)),",",""),"원",""),0))))</f>
        <v/>
      </c>
      <c r="AA1197" s="31">
        <f>IF($Y1197="","",TRIM(INDEX($A:$U,ROW(),$E$6)&amp;IF($F$6="",""," "&amp;INDEX($A:$U,ROW(),$F$6))))</f>
        <v/>
      </c>
      <c r="AB1197" s="31">
        <f>IF($AA1197="","",SUBSTITUTE(SUBSTITUTE(SUBSTITUTE(SUBSTITUTE(SUBSTITUTE(SUBSTITUTE(SUBSTITUTE(SUBSTITUTE(SUBSTITUTE($AA1197," ",""),"　",""),"(주)",""),"（주）",""),"㈜",""),"주식회사",""),"(유)",""),"（유）",""),"유한회사",""))</f>
        <v/>
      </c>
      <c r="AC1197" s="31">
        <f>IF(OR($Y1197="",N($Z1197)&lt;=0,$AB1197=""),0,IFERROR(LOOKUP(2,1/((거래처별!$AC$8:$AC$307&lt;&gt;"")*ISNUMBER(SEARCH(거래처별!$AC$8:$AC$307,$AB1197))),거래처별!$A$8:$A$307),IFERROR(LOOKUP(2,1/((거래처별!$AD$8:$AD$307&lt;&gt;"")*ISNUMBER(SEARCH(거래처별!$AD$8:$AD$307,$AB1197))),거래처별!$A$8:$A$307),IFERROR(LOOKUP(2,1/((거래처별!$AE$8:$AE$307&lt;&gt;"")*ISNUMBER(SEARCH(거래처별!$AE$8:$AE$307,$AB1197))),거래처별!$A$8:$A$307),0))))</f>
        <v/>
      </c>
      <c r="AD1197" s="31">
        <f>IF(AND($Y1197&lt;&gt;"",N($Z1197)&gt;0,$AC1197=0),MAX($AD$7:$AD1196)+1,"")</f>
        <v/>
      </c>
      <c r="AE1197" s="31">
        <f>IF($Y1197="",0,$Y1197)</f>
        <v/>
      </c>
    </row>
    <row r="1198">
      <c r="W1198" s="31">
        <f>IF(OR($B$5="",$C$6="",ROW()&lt;$B$5),"",IF(INDEX($A:$U,ROW(),$C$6)="","",INDEX($A:$U,ROW(),$C$6)))</f>
        <v/>
      </c>
      <c r="X1198" s="32">
        <f>IF($W1198="","",IF(ISNUMBER($W1198),IF($W1198&gt;=10000000,IFERROR(DATE(INT($W1198/10000),MOD(INT($W1198/100),100),MOD($W1198,100)),""),INT($W1198)),IFERROR(DATE(--LEFT(LEFT(SUBSTITUTE(SUBSTITUTE(SUBSTITUTE(SUBSTITUTE(TRIM($W1198),"-",""),".",""),"/","")," ",""),8),4),--MID(LEFT(SUBSTITUTE(SUBSTITUTE(SUBSTITUTE(SUBSTITUTE(TRIM($W1198),"-",""),".",""),"/","")," ",""),8),5,2),--MID(LEFT(SUBSTITUTE(SUBSTITUTE(SUBSTITUTE(SUBSTITUTE(TRIM($W1198),"-",""),".",""),"/","")," ",""),8),7,2)),"")))</f>
        <v/>
      </c>
      <c r="Y1198" s="32">
        <f>IF($X1198="","",INT($X1198))</f>
        <v/>
      </c>
      <c r="Z1198" s="33">
        <f>IF(OR($Y1198="",$D$6=""),"",IF(INDEX($A:$U,ROW(),$D$6)="",0,IF(ISNUMBER(INDEX($A:$U,ROW(),$D$6)),INDEX($A:$U,ROW(),$D$6),IFERROR(--SUBSTITUTE(SUBSTITUTE(TRIM(INDEX($A:$U,ROW(),$D$6)),",",""),"원",""),0))))</f>
        <v/>
      </c>
      <c r="AA1198" s="31">
        <f>IF($Y1198="","",TRIM(INDEX($A:$U,ROW(),$E$6)&amp;IF($F$6="",""," "&amp;INDEX($A:$U,ROW(),$F$6))))</f>
        <v/>
      </c>
      <c r="AB1198" s="31">
        <f>IF($AA1198="","",SUBSTITUTE(SUBSTITUTE(SUBSTITUTE(SUBSTITUTE(SUBSTITUTE(SUBSTITUTE(SUBSTITUTE(SUBSTITUTE(SUBSTITUTE($AA1198," ",""),"　",""),"(주)",""),"（주）",""),"㈜",""),"주식회사",""),"(유)",""),"（유）",""),"유한회사",""))</f>
        <v/>
      </c>
      <c r="AC1198" s="31">
        <f>IF(OR($Y1198="",N($Z1198)&lt;=0,$AB1198=""),0,IFERROR(LOOKUP(2,1/((거래처별!$AC$8:$AC$307&lt;&gt;"")*ISNUMBER(SEARCH(거래처별!$AC$8:$AC$307,$AB1198))),거래처별!$A$8:$A$307),IFERROR(LOOKUP(2,1/((거래처별!$AD$8:$AD$307&lt;&gt;"")*ISNUMBER(SEARCH(거래처별!$AD$8:$AD$307,$AB1198))),거래처별!$A$8:$A$307),IFERROR(LOOKUP(2,1/((거래처별!$AE$8:$AE$307&lt;&gt;"")*ISNUMBER(SEARCH(거래처별!$AE$8:$AE$307,$AB1198))),거래처별!$A$8:$A$307),0))))</f>
        <v/>
      </c>
      <c r="AD1198" s="31">
        <f>IF(AND($Y1198&lt;&gt;"",N($Z1198)&gt;0,$AC1198=0),MAX($AD$7:$AD1197)+1,"")</f>
        <v/>
      </c>
      <c r="AE1198" s="31">
        <f>IF($Y1198="",0,$Y1198)</f>
        <v/>
      </c>
    </row>
    <row r="1199">
      <c r="W1199" s="31">
        <f>IF(OR($B$5="",$C$6="",ROW()&lt;$B$5),"",IF(INDEX($A:$U,ROW(),$C$6)="","",INDEX($A:$U,ROW(),$C$6)))</f>
        <v/>
      </c>
      <c r="X1199" s="32">
        <f>IF($W1199="","",IF(ISNUMBER($W1199),IF($W1199&gt;=10000000,IFERROR(DATE(INT($W1199/10000),MOD(INT($W1199/100),100),MOD($W1199,100)),""),INT($W1199)),IFERROR(DATE(--LEFT(LEFT(SUBSTITUTE(SUBSTITUTE(SUBSTITUTE(SUBSTITUTE(TRIM($W1199),"-",""),".",""),"/","")," ",""),8),4),--MID(LEFT(SUBSTITUTE(SUBSTITUTE(SUBSTITUTE(SUBSTITUTE(TRIM($W1199),"-",""),".",""),"/","")," ",""),8),5,2),--MID(LEFT(SUBSTITUTE(SUBSTITUTE(SUBSTITUTE(SUBSTITUTE(TRIM($W1199),"-",""),".",""),"/","")," ",""),8),7,2)),"")))</f>
        <v/>
      </c>
      <c r="Y1199" s="32">
        <f>IF($X1199="","",INT($X1199))</f>
        <v/>
      </c>
      <c r="Z1199" s="33">
        <f>IF(OR($Y1199="",$D$6=""),"",IF(INDEX($A:$U,ROW(),$D$6)="",0,IF(ISNUMBER(INDEX($A:$U,ROW(),$D$6)),INDEX($A:$U,ROW(),$D$6),IFERROR(--SUBSTITUTE(SUBSTITUTE(TRIM(INDEX($A:$U,ROW(),$D$6)),",",""),"원",""),0))))</f>
        <v/>
      </c>
      <c r="AA1199" s="31">
        <f>IF($Y1199="","",TRIM(INDEX($A:$U,ROW(),$E$6)&amp;IF($F$6="",""," "&amp;INDEX($A:$U,ROW(),$F$6))))</f>
        <v/>
      </c>
      <c r="AB1199" s="31">
        <f>IF($AA1199="","",SUBSTITUTE(SUBSTITUTE(SUBSTITUTE(SUBSTITUTE(SUBSTITUTE(SUBSTITUTE(SUBSTITUTE(SUBSTITUTE(SUBSTITUTE($AA1199," ",""),"　",""),"(주)",""),"（주）",""),"㈜",""),"주식회사",""),"(유)",""),"（유）",""),"유한회사",""))</f>
        <v/>
      </c>
      <c r="AC1199" s="31">
        <f>IF(OR($Y1199="",N($Z1199)&lt;=0,$AB1199=""),0,IFERROR(LOOKUP(2,1/((거래처별!$AC$8:$AC$307&lt;&gt;"")*ISNUMBER(SEARCH(거래처별!$AC$8:$AC$307,$AB1199))),거래처별!$A$8:$A$307),IFERROR(LOOKUP(2,1/((거래처별!$AD$8:$AD$307&lt;&gt;"")*ISNUMBER(SEARCH(거래처별!$AD$8:$AD$307,$AB1199))),거래처별!$A$8:$A$307),IFERROR(LOOKUP(2,1/((거래처별!$AE$8:$AE$307&lt;&gt;"")*ISNUMBER(SEARCH(거래처별!$AE$8:$AE$307,$AB1199))),거래처별!$A$8:$A$307),0))))</f>
        <v/>
      </c>
      <c r="AD1199" s="31">
        <f>IF(AND($Y1199&lt;&gt;"",N($Z1199)&gt;0,$AC1199=0),MAX($AD$7:$AD1198)+1,"")</f>
        <v/>
      </c>
      <c r="AE1199" s="31">
        <f>IF($Y1199="",0,$Y1199)</f>
        <v/>
      </c>
    </row>
    <row r="1200">
      <c r="W1200" s="31">
        <f>IF(OR($B$5="",$C$6="",ROW()&lt;$B$5),"",IF(INDEX($A:$U,ROW(),$C$6)="","",INDEX($A:$U,ROW(),$C$6)))</f>
        <v/>
      </c>
      <c r="X1200" s="32">
        <f>IF($W1200="","",IF(ISNUMBER($W1200),IF($W1200&gt;=10000000,IFERROR(DATE(INT($W1200/10000),MOD(INT($W1200/100),100),MOD($W1200,100)),""),INT($W1200)),IFERROR(DATE(--LEFT(LEFT(SUBSTITUTE(SUBSTITUTE(SUBSTITUTE(SUBSTITUTE(TRIM($W1200),"-",""),".",""),"/","")," ",""),8),4),--MID(LEFT(SUBSTITUTE(SUBSTITUTE(SUBSTITUTE(SUBSTITUTE(TRIM($W1200),"-",""),".",""),"/","")," ",""),8),5,2),--MID(LEFT(SUBSTITUTE(SUBSTITUTE(SUBSTITUTE(SUBSTITUTE(TRIM($W1200),"-",""),".",""),"/","")," ",""),8),7,2)),"")))</f>
        <v/>
      </c>
      <c r="Y1200" s="32">
        <f>IF($X1200="","",INT($X1200))</f>
        <v/>
      </c>
      <c r="Z1200" s="33">
        <f>IF(OR($Y1200="",$D$6=""),"",IF(INDEX($A:$U,ROW(),$D$6)="",0,IF(ISNUMBER(INDEX($A:$U,ROW(),$D$6)),INDEX($A:$U,ROW(),$D$6),IFERROR(--SUBSTITUTE(SUBSTITUTE(TRIM(INDEX($A:$U,ROW(),$D$6)),",",""),"원",""),0))))</f>
        <v/>
      </c>
      <c r="AA1200" s="31">
        <f>IF($Y1200="","",TRIM(INDEX($A:$U,ROW(),$E$6)&amp;IF($F$6="",""," "&amp;INDEX($A:$U,ROW(),$F$6))))</f>
        <v/>
      </c>
      <c r="AB1200" s="31">
        <f>IF($AA1200="","",SUBSTITUTE(SUBSTITUTE(SUBSTITUTE(SUBSTITUTE(SUBSTITUTE(SUBSTITUTE(SUBSTITUTE(SUBSTITUTE(SUBSTITUTE($AA1200," ",""),"　",""),"(주)",""),"（주）",""),"㈜",""),"주식회사",""),"(유)",""),"（유）",""),"유한회사",""))</f>
        <v/>
      </c>
      <c r="AC1200" s="31">
        <f>IF(OR($Y1200="",N($Z1200)&lt;=0,$AB1200=""),0,IFERROR(LOOKUP(2,1/((거래처별!$AC$8:$AC$307&lt;&gt;"")*ISNUMBER(SEARCH(거래처별!$AC$8:$AC$307,$AB1200))),거래처별!$A$8:$A$307),IFERROR(LOOKUP(2,1/((거래처별!$AD$8:$AD$307&lt;&gt;"")*ISNUMBER(SEARCH(거래처별!$AD$8:$AD$307,$AB1200))),거래처별!$A$8:$A$307),IFERROR(LOOKUP(2,1/((거래처별!$AE$8:$AE$307&lt;&gt;"")*ISNUMBER(SEARCH(거래처별!$AE$8:$AE$307,$AB1200))),거래처별!$A$8:$A$307),0))))</f>
        <v/>
      </c>
      <c r="AD1200" s="31">
        <f>IF(AND($Y1200&lt;&gt;"",N($Z1200)&gt;0,$AC1200=0),MAX($AD$7:$AD1199)+1,"")</f>
        <v/>
      </c>
      <c r="AE1200" s="31">
        <f>IF($Y1200="",0,$Y1200)</f>
        <v/>
      </c>
    </row>
    <row r="1201">
      <c r="W1201" s="31">
        <f>IF(OR($B$5="",$C$6="",ROW()&lt;$B$5),"",IF(INDEX($A:$U,ROW(),$C$6)="","",INDEX($A:$U,ROW(),$C$6)))</f>
        <v/>
      </c>
      <c r="X1201" s="32">
        <f>IF($W1201="","",IF(ISNUMBER($W1201),IF($W1201&gt;=10000000,IFERROR(DATE(INT($W1201/10000),MOD(INT($W1201/100),100),MOD($W1201,100)),""),INT($W1201)),IFERROR(DATE(--LEFT(LEFT(SUBSTITUTE(SUBSTITUTE(SUBSTITUTE(SUBSTITUTE(TRIM($W1201),"-",""),".",""),"/","")," ",""),8),4),--MID(LEFT(SUBSTITUTE(SUBSTITUTE(SUBSTITUTE(SUBSTITUTE(TRIM($W1201),"-",""),".",""),"/","")," ",""),8),5,2),--MID(LEFT(SUBSTITUTE(SUBSTITUTE(SUBSTITUTE(SUBSTITUTE(TRIM($W1201),"-",""),".",""),"/","")," ",""),8),7,2)),"")))</f>
        <v/>
      </c>
      <c r="Y1201" s="32">
        <f>IF($X1201="","",INT($X1201))</f>
        <v/>
      </c>
      <c r="Z1201" s="33">
        <f>IF(OR($Y1201="",$D$6=""),"",IF(INDEX($A:$U,ROW(),$D$6)="",0,IF(ISNUMBER(INDEX($A:$U,ROW(),$D$6)),INDEX($A:$U,ROW(),$D$6),IFERROR(--SUBSTITUTE(SUBSTITUTE(TRIM(INDEX($A:$U,ROW(),$D$6)),",",""),"원",""),0))))</f>
        <v/>
      </c>
      <c r="AA1201" s="31">
        <f>IF($Y1201="","",TRIM(INDEX($A:$U,ROW(),$E$6)&amp;IF($F$6="",""," "&amp;INDEX($A:$U,ROW(),$F$6))))</f>
        <v/>
      </c>
      <c r="AB1201" s="31">
        <f>IF($AA1201="","",SUBSTITUTE(SUBSTITUTE(SUBSTITUTE(SUBSTITUTE(SUBSTITUTE(SUBSTITUTE(SUBSTITUTE(SUBSTITUTE(SUBSTITUTE($AA1201," ",""),"　",""),"(주)",""),"（주）",""),"㈜",""),"주식회사",""),"(유)",""),"（유）",""),"유한회사",""))</f>
        <v/>
      </c>
      <c r="AC1201" s="31">
        <f>IF(OR($Y1201="",N($Z1201)&lt;=0,$AB1201=""),0,IFERROR(LOOKUP(2,1/((거래처별!$AC$8:$AC$307&lt;&gt;"")*ISNUMBER(SEARCH(거래처별!$AC$8:$AC$307,$AB1201))),거래처별!$A$8:$A$307),IFERROR(LOOKUP(2,1/((거래처별!$AD$8:$AD$307&lt;&gt;"")*ISNUMBER(SEARCH(거래처별!$AD$8:$AD$307,$AB1201))),거래처별!$A$8:$A$307),IFERROR(LOOKUP(2,1/((거래처별!$AE$8:$AE$307&lt;&gt;"")*ISNUMBER(SEARCH(거래처별!$AE$8:$AE$307,$AB1201))),거래처별!$A$8:$A$307),0))))</f>
        <v/>
      </c>
      <c r="AD1201" s="31">
        <f>IF(AND($Y1201&lt;&gt;"",N($Z1201)&gt;0,$AC1201=0),MAX($AD$7:$AD1200)+1,"")</f>
        <v/>
      </c>
      <c r="AE1201" s="31">
        <f>IF($Y1201="",0,$Y1201)</f>
        <v/>
      </c>
    </row>
    <row r="1202">
      <c r="W1202" s="31">
        <f>IF(OR($B$5="",$C$6="",ROW()&lt;$B$5),"",IF(INDEX($A:$U,ROW(),$C$6)="","",INDEX($A:$U,ROW(),$C$6)))</f>
        <v/>
      </c>
      <c r="X1202" s="32">
        <f>IF($W1202="","",IF(ISNUMBER($W1202),IF($W1202&gt;=10000000,IFERROR(DATE(INT($W1202/10000),MOD(INT($W1202/100),100),MOD($W1202,100)),""),INT($W1202)),IFERROR(DATE(--LEFT(LEFT(SUBSTITUTE(SUBSTITUTE(SUBSTITUTE(SUBSTITUTE(TRIM($W1202),"-",""),".",""),"/","")," ",""),8),4),--MID(LEFT(SUBSTITUTE(SUBSTITUTE(SUBSTITUTE(SUBSTITUTE(TRIM($W1202),"-",""),".",""),"/","")," ",""),8),5,2),--MID(LEFT(SUBSTITUTE(SUBSTITUTE(SUBSTITUTE(SUBSTITUTE(TRIM($W1202),"-",""),".",""),"/","")," ",""),8),7,2)),"")))</f>
        <v/>
      </c>
      <c r="Y1202" s="32">
        <f>IF($X1202="","",INT($X1202))</f>
        <v/>
      </c>
      <c r="Z1202" s="33">
        <f>IF(OR($Y1202="",$D$6=""),"",IF(INDEX($A:$U,ROW(),$D$6)="",0,IF(ISNUMBER(INDEX($A:$U,ROW(),$D$6)),INDEX($A:$U,ROW(),$D$6),IFERROR(--SUBSTITUTE(SUBSTITUTE(TRIM(INDEX($A:$U,ROW(),$D$6)),",",""),"원",""),0))))</f>
        <v/>
      </c>
      <c r="AA1202" s="31">
        <f>IF($Y1202="","",TRIM(INDEX($A:$U,ROW(),$E$6)&amp;IF($F$6="",""," "&amp;INDEX($A:$U,ROW(),$F$6))))</f>
        <v/>
      </c>
      <c r="AB1202" s="31">
        <f>IF($AA1202="","",SUBSTITUTE(SUBSTITUTE(SUBSTITUTE(SUBSTITUTE(SUBSTITUTE(SUBSTITUTE(SUBSTITUTE(SUBSTITUTE(SUBSTITUTE($AA1202," ",""),"　",""),"(주)",""),"（주）",""),"㈜",""),"주식회사",""),"(유)",""),"（유）",""),"유한회사",""))</f>
        <v/>
      </c>
      <c r="AC1202" s="31">
        <f>IF(OR($Y1202="",N($Z1202)&lt;=0,$AB1202=""),0,IFERROR(LOOKUP(2,1/((거래처별!$AC$8:$AC$307&lt;&gt;"")*ISNUMBER(SEARCH(거래처별!$AC$8:$AC$307,$AB1202))),거래처별!$A$8:$A$307),IFERROR(LOOKUP(2,1/((거래처별!$AD$8:$AD$307&lt;&gt;"")*ISNUMBER(SEARCH(거래처별!$AD$8:$AD$307,$AB1202))),거래처별!$A$8:$A$307),IFERROR(LOOKUP(2,1/((거래처별!$AE$8:$AE$307&lt;&gt;"")*ISNUMBER(SEARCH(거래처별!$AE$8:$AE$307,$AB1202))),거래처별!$A$8:$A$307),0))))</f>
        <v/>
      </c>
      <c r="AD1202" s="31">
        <f>IF(AND($Y1202&lt;&gt;"",N($Z1202)&gt;0,$AC1202=0),MAX($AD$7:$AD1201)+1,"")</f>
        <v/>
      </c>
      <c r="AE1202" s="31">
        <f>IF($Y1202="",0,$Y1202)</f>
        <v/>
      </c>
    </row>
    <row r="1203">
      <c r="W1203" s="31">
        <f>IF(OR($B$5="",$C$6="",ROW()&lt;$B$5),"",IF(INDEX($A:$U,ROW(),$C$6)="","",INDEX($A:$U,ROW(),$C$6)))</f>
        <v/>
      </c>
      <c r="X1203" s="32">
        <f>IF($W1203="","",IF(ISNUMBER($W1203),IF($W1203&gt;=10000000,IFERROR(DATE(INT($W1203/10000),MOD(INT($W1203/100),100),MOD($W1203,100)),""),INT($W1203)),IFERROR(DATE(--LEFT(LEFT(SUBSTITUTE(SUBSTITUTE(SUBSTITUTE(SUBSTITUTE(TRIM($W1203),"-",""),".",""),"/","")," ",""),8),4),--MID(LEFT(SUBSTITUTE(SUBSTITUTE(SUBSTITUTE(SUBSTITUTE(TRIM($W1203),"-",""),".",""),"/","")," ",""),8),5,2),--MID(LEFT(SUBSTITUTE(SUBSTITUTE(SUBSTITUTE(SUBSTITUTE(TRIM($W1203),"-",""),".",""),"/","")," ",""),8),7,2)),"")))</f>
        <v/>
      </c>
      <c r="Y1203" s="32">
        <f>IF($X1203="","",INT($X1203))</f>
        <v/>
      </c>
      <c r="Z1203" s="33">
        <f>IF(OR($Y1203="",$D$6=""),"",IF(INDEX($A:$U,ROW(),$D$6)="",0,IF(ISNUMBER(INDEX($A:$U,ROW(),$D$6)),INDEX($A:$U,ROW(),$D$6),IFERROR(--SUBSTITUTE(SUBSTITUTE(TRIM(INDEX($A:$U,ROW(),$D$6)),",",""),"원",""),0))))</f>
        <v/>
      </c>
      <c r="AA1203" s="31">
        <f>IF($Y1203="","",TRIM(INDEX($A:$U,ROW(),$E$6)&amp;IF($F$6="",""," "&amp;INDEX($A:$U,ROW(),$F$6))))</f>
        <v/>
      </c>
      <c r="AB1203" s="31">
        <f>IF($AA1203="","",SUBSTITUTE(SUBSTITUTE(SUBSTITUTE(SUBSTITUTE(SUBSTITUTE(SUBSTITUTE(SUBSTITUTE(SUBSTITUTE(SUBSTITUTE($AA1203," ",""),"　",""),"(주)",""),"（주）",""),"㈜",""),"주식회사",""),"(유)",""),"（유）",""),"유한회사",""))</f>
        <v/>
      </c>
      <c r="AC1203" s="31">
        <f>IF(OR($Y1203="",N($Z1203)&lt;=0,$AB1203=""),0,IFERROR(LOOKUP(2,1/((거래처별!$AC$8:$AC$307&lt;&gt;"")*ISNUMBER(SEARCH(거래처별!$AC$8:$AC$307,$AB1203))),거래처별!$A$8:$A$307),IFERROR(LOOKUP(2,1/((거래처별!$AD$8:$AD$307&lt;&gt;"")*ISNUMBER(SEARCH(거래처별!$AD$8:$AD$307,$AB1203))),거래처별!$A$8:$A$307),IFERROR(LOOKUP(2,1/((거래처별!$AE$8:$AE$307&lt;&gt;"")*ISNUMBER(SEARCH(거래처별!$AE$8:$AE$307,$AB1203))),거래처별!$A$8:$A$307),0))))</f>
        <v/>
      </c>
      <c r="AD1203" s="31">
        <f>IF(AND($Y1203&lt;&gt;"",N($Z1203)&gt;0,$AC1203=0),MAX($AD$7:$AD1202)+1,"")</f>
        <v/>
      </c>
      <c r="AE1203" s="31">
        <f>IF($Y1203="",0,$Y1203)</f>
        <v/>
      </c>
    </row>
    <row r="1204">
      <c r="W1204" s="31">
        <f>IF(OR($B$5="",$C$6="",ROW()&lt;$B$5),"",IF(INDEX($A:$U,ROW(),$C$6)="","",INDEX($A:$U,ROW(),$C$6)))</f>
        <v/>
      </c>
      <c r="X1204" s="32">
        <f>IF($W1204="","",IF(ISNUMBER($W1204),IF($W1204&gt;=10000000,IFERROR(DATE(INT($W1204/10000),MOD(INT($W1204/100),100),MOD($W1204,100)),""),INT($W1204)),IFERROR(DATE(--LEFT(LEFT(SUBSTITUTE(SUBSTITUTE(SUBSTITUTE(SUBSTITUTE(TRIM($W1204),"-",""),".",""),"/","")," ",""),8),4),--MID(LEFT(SUBSTITUTE(SUBSTITUTE(SUBSTITUTE(SUBSTITUTE(TRIM($W1204),"-",""),".",""),"/","")," ",""),8),5,2),--MID(LEFT(SUBSTITUTE(SUBSTITUTE(SUBSTITUTE(SUBSTITUTE(TRIM($W1204),"-",""),".",""),"/","")," ",""),8),7,2)),"")))</f>
        <v/>
      </c>
      <c r="Y1204" s="32">
        <f>IF($X1204="","",INT($X1204))</f>
        <v/>
      </c>
      <c r="Z1204" s="33">
        <f>IF(OR($Y1204="",$D$6=""),"",IF(INDEX($A:$U,ROW(),$D$6)="",0,IF(ISNUMBER(INDEX($A:$U,ROW(),$D$6)),INDEX($A:$U,ROW(),$D$6),IFERROR(--SUBSTITUTE(SUBSTITUTE(TRIM(INDEX($A:$U,ROW(),$D$6)),",",""),"원",""),0))))</f>
        <v/>
      </c>
      <c r="AA1204" s="31">
        <f>IF($Y1204="","",TRIM(INDEX($A:$U,ROW(),$E$6)&amp;IF($F$6="",""," "&amp;INDEX($A:$U,ROW(),$F$6))))</f>
        <v/>
      </c>
      <c r="AB1204" s="31">
        <f>IF($AA1204="","",SUBSTITUTE(SUBSTITUTE(SUBSTITUTE(SUBSTITUTE(SUBSTITUTE(SUBSTITUTE(SUBSTITUTE(SUBSTITUTE(SUBSTITUTE($AA1204," ",""),"　",""),"(주)",""),"（주）",""),"㈜",""),"주식회사",""),"(유)",""),"（유）",""),"유한회사",""))</f>
        <v/>
      </c>
      <c r="AC1204" s="31">
        <f>IF(OR($Y1204="",N($Z1204)&lt;=0,$AB1204=""),0,IFERROR(LOOKUP(2,1/((거래처별!$AC$8:$AC$307&lt;&gt;"")*ISNUMBER(SEARCH(거래처별!$AC$8:$AC$307,$AB1204))),거래처별!$A$8:$A$307),IFERROR(LOOKUP(2,1/((거래처별!$AD$8:$AD$307&lt;&gt;"")*ISNUMBER(SEARCH(거래처별!$AD$8:$AD$307,$AB1204))),거래처별!$A$8:$A$307),IFERROR(LOOKUP(2,1/((거래처별!$AE$8:$AE$307&lt;&gt;"")*ISNUMBER(SEARCH(거래처별!$AE$8:$AE$307,$AB1204))),거래처별!$A$8:$A$307),0))))</f>
        <v/>
      </c>
      <c r="AD1204" s="31">
        <f>IF(AND($Y1204&lt;&gt;"",N($Z1204)&gt;0,$AC1204=0),MAX($AD$7:$AD1203)+1,"")</f>
        <v/>
      </c>
      <c r="AE1204" s="31">
        <f>IF($Y1204="",0,$Y1204)</f>
        <v/>
      </c>
    </row>
    <row r="1205">
      <c r="W1205" s="31">
        <f>IF(OR($B$5="",$C$6="",ROW()&lt;$B$5),"",IF(INDEX($A:$U,ROW(),$C$6)="","",INDEX($A:$U,ROW(),$C$6)))</f>
        <v/>
      </c>
      <c r="X1205" s="32">
        <f>IF($W1205="","",IF(ISNUMBER($W1205),IF($W1205&gt;=10000000,IFERROR(DATE(INT($W1205/10000),MOD(INT($W1205/100),100),MOD($W1205,100)),""),INT($W1205)),IFERROR(DATE(--LEFT(LEFT(SUBSTITUTE(SUBSTITUTE(SUBSTITUTE(SUBSTITUTE(TRIM($W1205),"-",""),".",""),"/","")," ",""),8),4),--MID(LEFT(SUBSTITUTE(SUBSTITUTE(SUBSTITUTE(SUBSTITUTE(TRIM($W1205),"-",""),".",""),"/","")," ",""),8),5,2),--MID(LEFT(SUBSTITUTE(SUBSTITUTE(SUBSTITUTE(SUBSTITUTE(TRIM($W1205),"-",""),".",""),"/","")," ",""),8),7,2)),"")))</f>
        <v/>
      </c>
      <c r="Y1205" s="32">
        <f>IF($X1205="","",INT($X1205))</f>
        <v/>
      </c>
      <c r="Z1205" s="33">
        <f>IF(OR($Y1205="",$D$6=""),"",IF(INDEX($A:$U,ROW(),$D$6)="",0,IF(ISNUMBER(INDEX($A:$U,ROW(),$D$6)),INDEX($A:$U,ROW(),$D$6),IFERROR(--SUBSTITUTE(SUBSTITUTE(TRIM(INDEX($A:$U,ROW(),$D$6)),",",""),"원",""),0))))</f>
        <v/>
      </c>
      <c r="AA1205" s="31">
        <f>IF($Y1205="","",TRIM(INDEX($A:$U,ROW(),$E$6)&amp;IF($F$6="",""," "&amp;INDEX($A:$U,ROW(),$F$6))))</f>
        <v/>
      </c>
      <c r="AB1205" s="31">
        <f>IF($AA1205="","",SUBSTITUTE(SUBSTITUTE(SUBSTITUTE(SUBSTITUTE(SUBSTITUTE(SUBSTITUTE(SUBSTITUTE(SUBSTITUTE(SUBSTITUTE($AA1205," ",""),"　",""),"(주)",""),"（주）",""),"㈜",""),"주식회사",""),"(유)",""),"（유）",""),"유한회사",""))</f>
        <v/>
      </c>
      <c r="AC1205" s="31">
        <f>IF(OR($Y1205="",N($Z1205)&lt;=0,$AB1205=""),0,IFERROR(LOOKUP(2,1/((거래처별!$AC$8:$AC$307&lt;&gt;"")*ISNUMBER(SEARCH(거래처별!$AC$8:$AC$307,$AB1205))),거래처별!$A$8:$A$307),IFERROR(LOOKUP(2,1/((거래처별!$AD$8:$AD$307&lt;&gt;"")*ISNUMBER(SEARCH(거래처별!$AD$8:$AD$307,$AB1205))),거래처별!$A$8:$A$307),IFERROR(LOOKUP(2,1/((거래처별!$AE$8:$AE$307&lt;&gt;"")*ISNUMBER(SEARCH(거래처별!$AE$8:$AE$307,$AB1205))),거래처별!$A$8:$A$307),0))))</f>
        <v/>
      </c>
      <c r="AD1205" s="31">
        <f>IF(AND($Y1205&lt;&gt;"",N($Z1205)&gt;0,$AC1205=0),MAX($AD$7:$AD1204)+1,"")</f>
        <v/>
      </c>
      <c r="AE1205" s="31">
        <f>IF($Y1205="",0,$Y1205)</f>
        <v/>
      </c>
    </row>
    <row r="1206">
      <c r="W1206" s="31">
        <f>IF(OR($B$5="",$C$6="",ROW()&lt;$B$5),"",IF(INDEX($A:$U,ROW(),$C$6)="","",INDEX($A:$U,ROW(),$C$6)))</f>
        <v/>
      </c>
      <c r="X1206" s="32">
        <f>IF($W1206="","",IF(ISNUMBER($W1206),IF($W1206&gt;=10000000,IFERROR(DATE(INT($W1206/10000),MOD(INT($W1206/100),100),MOD($W1206,100)),""),INT($W1206)),IFERROR(DATE(--LEFT(LEFT(SUBSTITUTE(SUBSTITUTE(SUBSTITUTE(SUBSTITUTE(TRIM($W1206),"-",""),".",""),"/","")," ",""),8),4),--MID(LEFT(SUBSTITUTE(SUBSTITUTE(SUBSTITUTE(SUBSTITUTE(TRIM($W1206),"-",""),".",""),"/","")," ",""),8),5,2),--MID(LEFT(SUBSTITUTE(SUBSTITUTE(SUBSTITUTE(SUBSTITUTE(TRIM($W1206),"-",""),".",""),"/","")," ",""),8),7,2)),"")))</f>
        <v/>
      </c>
      <c r="Y1206" s="32">
        <f>IF($X1206="","",INT($X1206))</f>
        <v/>
      </c>
      <c r="Z1206" s="33">
        <f>IF(OR($Y1206="",$D$6=""),"",IF(INDEX($A:$U,ROW(),$D$6)="",0,IF(ISNUMBER(INDEX($A:$U,ROW(),$D$6)),INDEX($A:$U,ROW(),$D$6),IFERROR(--SUBSTITUTE(SUBSTITUTE(TRIM(INDEX($A:$U,ROW(),$D$6)),",",""),"원",""),0))))</f>
        <v/>
      </c>
      <c r="AA1206" s="31">
        <f>IF($Y1206="","",TRIM(INDEX($A:$U,ROW(),$E$6)&amp;IF($F$6="",""," "&amp;INDEX($A:$U,ROW(),$F$6))))</f>
        <v/>
      </c>
      <c r="AB1206" s="31">
        <f>IF($AA1206="","",SUBSTITUTE(SUBSTITUTE(SUBSTITUTE(SUBSTITUTE(SUBSTITUTE(SUBSTITUTE(SUBSTITUTE(SUBSTITUTE(SUBSTITUTE($AA1206," ",""),"　",""),"(주)",""),"（주）",""),"㈜",""),"주식회사",""),"(유)",""),"（유）",""),"유한회사",""))</f>
        <v/>
      </c>
      <c r="AC1206" s="31">
        <f>IF(OR($Y1206="",N($Z1206)&lt;=0,$AB1206=""),0,IFERROR(LOOKUP(2,1/((거래처별!$AC$8:$AC$307&lt;&gt;"")*ISNUMBER(SEARCH(거래처별!$AC$8:$AC$307,$AB1206))),거래처별!$A$8:$A$307),IFERROR(LOOKUP(2,1/((거래처별!$AD$8:$AD$307&lt;&gt;"")*ISNUMBER(SEARCH(거래처별!$AD$8:$AD$307,$AB1206))),거래처별!$A$8:$A$307),IFERROR(LOOKUP(2,1/((거래처별!$AE$8:$AE$307&lt;&gt;"")*ISNUMBER(SEARCH(거래처별!$AE$8:$AE$307,$AB1206))),거래처별!$A$8:$A$307),0))))</f>
        <v/>
      </c>
      <c r="AD1206" s="31">
        <f>IF(AND($Y1206&lt;&gt;"",N($Z1206)&gt;0,$AC1206=0),MAX($AD$7:$AD1205)+1,"")</f>
        <v/>
      </c>
      <c r="AE1206" s="31">
        <f>IF($Y1206="",0,$Y1206)</f>
        <v/>
      </c>
    </row>
    <row r="1207">
      <c r="W1207" s="31">
        <f>IF(OR($B$5="",$C$6="",ROW()&lt;$B$5),"",IF(INDEX($A:$U,ROW(),$C$6)="","",INDEX($A:$U,ROW(),$C$6)))</f>
        <v/>
      </c>
      <c r="X1207" s="32">
        <f>IF($W1207="","",IF(ISNUMBER($W1207),IF($W1207&gt;=10000000,IFERROR(DATE(INT($W1207/10000),MOD(INT($W1207/100),100),MOD($W1207,100)),""),INT($W1207)),IFERROR(DATE(--LEFT(LEFT(SUBSTITUTE(SUBSTITUTE(SUBSTITUTE(SUBSTITUTE(TRIM($W1207),"-",""),".",""),"/","")," ",""),8),4),--MID(LEFT(SUBSTITUTE(SUBSTITUTE(SUBSTITUTE(SUBSTITUTE(TRIM($W1207),"-",""),".",""),"/","")," ",""),8),5,2),--MID(LEFT(SUBSTITUTE(SUBSTITUTE(SUBSTITUTE(SUBSTITUTE(TRIM($W1207),"-",""),".",""),"/","")," ",""),8),7,2)),"")))</f>
        <v/>
      </c>
      <c r="Y1207" s="32">
        <f>IF($X1207="","",INT($X1207))</f>
        <v/>
      </c>
      <c r="Z1207" s="33">
        <f>IF(OR($Y1207="",$D$6=""),"",IF(INDEX($A:$U,ROW(),$D$6)="",0,IF(ISNUMBER(INDEX($A:$U,ROW(),$D$6)),INDEX($A:$U,ROW(),$D$6),IFERROR(--SUBSTITUTE(SUBSTITUTE(TRIM(INDEX($A:$U,ROW(),$D$6)),",",""),"원",""),0))))</f>
        <v/>
      </c>
      <c r="AA1207" s="31">
        <f>IF($Y1207="","",TRIM(INDEX($A:$U,ROW(),$E$6)&amp;IF($F$6="",""," "&amp;INDEX($A:$U,ROW(),$F$6))))</f>
        <v/>
      </c>
      <c r="AB1207" s="31">
        <f>IF($AA1207="","",SUBSTITUTE(SUBSTITUTE(SUBSTITUTE(SUBSTITUTE(SUBSTITUTE(SUBSTITUTE(SUBSTITUTE(SUBSTITUTE(SUBSTITUTE($AA1207," ",""),"　",""),"(주)",""),"（주）",""),"㈜",""),"주식회사",""),"(유)",""),"（유）",""),"유한회사",""))</f>
        <v/>
      </c>
      <c r="AC1207" s="31">
        <f>IF(OR($Y1207="",N($Z1207)&lt;=0,$AB1207=""),0,IFERROR(LOOKUP(2,1/((거래처별!$AC$8:$AC$307&lt;&gt;"")*ISNUMBER(SEARCH(거래처별!$AC$8:$AC$307,$AB1207))),거래처별!$A$8:$A$307),IFERROR(LOOKUP(2,1/((거래처별!$AD$8:$AD$307&lt;&gt;"")*ISNUMBER(SEARCH(거래처별!$AD$8:$AD$307,$AB1207))),거래처별!$A$8:$A$307),IFERROR(LOOKUP(2,1/((거래처별!$AE$8:$AE$307&lt;&gt;"")*ISNUMBER(SEARCH(거래처별!$AE$8:$AE$307,$AB1207))),거래처별!$A$8:$A$307),0))))</f>
        <v/>
      </c>
      <c r="AD1207" s="31">
        <f>IF(AND($Y1207&lt;&gt;"",N($Z1207)&gt;0,$AC1207=0),MAX($AD$7:$AD1206)+1,"")</f>
        <v/>
      </c>
      <c r="AE1207" s="31">
        <f>IF($Y1207="",0,$Y1207)</f>
        <v/>
      </c>
    </row>
    <row r="1208">
      <c r="W1208" s="31">
        <f>IF(OR($B$5="",$C$6="",ROW()&lt;$B$5),"",IF(INDEX($A:$U,ROW(),$C$6)="","",INDEX($A:$U,ROW(),$C$6)))</f>
        <v/>
      </c>
      <c r="X1208" s="32">
        <f>IF($W1208="","",IF(ISNUMBER($W1208),IF($W1208&gt;=10000000,IFERROR(DATE(INT($W1208/10000),MOD(INT($W1208/100),100),MOD($W1208,100)),""),INT($W1208)),IFERROR(DATE(--LEFT(LEFT(SUBSTITUTE(SUBSTITUTE(SUBSTITUTE(SUBSTITUTE(TRIM($W1208),"-",""),".",""),"/","")," ",""),8),4),--MID(LEFT(SUBSTITUTE(SUBSTITUTE(SUBSTITUTE(SUBSTITUTE(TRIM($W1208),"-",""),".",""),"/","")," ",""),8),5,2),--MID(LEFT(SUBSTITUTE(SUBSTITUTE(SUBSTITUTE(SUBSTITUTE(TRIM($W1208),"-",""),".",""),"/","")," ",""),8),7,2)),"")))</f>
        <v/>
      </c>
      <c r="Y1208" s="32">
        <f>IF($X1208="","",INT($X1208))</f>
        <v/>
      </c>
      <c r="Z1208" s="33">
        <f>IF(OR($Y1208="",$D$6=""),"",IF(INDEX($A:$U,ROW(),$D$6)="",0,IF(ISNUMBER(INDEX($A:$U,ROW(),$D$6)),INDEX($A:$U,ROW(),$D$6),IFERROR(--SUBSTITUTE(SUBSTITUTE(TRIM(INDEX($A:$U,ROW(),$D$6)),",",""),"원",""),0))))</f>
        <v/>
      </c>
      <c r="AA1208" s="31">
        <f>IF($Y1208="","",TRIM(INDEX($A:$U,ROW(),$E$6)&amp;IF($F$6="",""," "&amp;INDEX($A:$U,ROW(),$F$6))))</f>
        <v/>
      </c>
      <c r="AB1208" s="31">
        <f>IF($AA1208="","",SUBSTITUTE(SUBSTITUTE(SUBSTITUTE(SUBSTITUTE(SUBSTITUTE(SUBSTITUTE(SUBSTITUTE(SUBSTITUTE(SUBSTITUTE($AA1208," ",""),"　",""),"(주)",""),"（주）",""),"㈜",""),"주식회사",""),"(유)",""),"（유）",""),"유한회사",""))</f>
        <v/>
      </c>
      <c r="AC1208" s="31">
        <f>IF(OR($Y1208="",N($Z1208)&lt;=0,$AB1208=""),0,IFERROR(LOOKUP(2,1/((거래처별!$AC$8:$AC$307&lt;&gt;"")*ISNUMBER(SEARCH(거래처별!$AC$8:$AC$307,$AB1208))),거래처별!$A$8:$A$307),IFERROR(LOOKUP(2,1/((거래처별!$AD$8:$AD$307&lt;&gt;"")*ISNUMBER(SEARCH(거래처별!$AD$8:$AD$307,$AB1208))),거래처별!$A$8:$A$307),IFERROR(LOOKUP(2,1/((거래처별!$AE$8:$AE$307&lt;&gt;"")*ISNUMBER(SEARCH(거래처별!$AE$8:$AE$307,$AB1208))),거래처별!$A$8:$A$307),0))))</f>
        <v/>
      </c>
      <c r="AD1208" s="31">
        <f>IF(AND($Y1208&lt;&gt;"",N($Z1208)&gt;0,$AC1208=0),MAX($AD$7:$AD1207)+1,"")</f>
        <v/>
      </c>
      <c r="AE1208" s="31">
        <f>IF($Y1208="",0,$Y1208)</f>
        <v/>
      </c>
    </row>
    <row r="1209">
      <c r="W1209" s="31">
        <f>IF(OR($B$5="",$C$6="",ROW()&lt;$B$5),"",IF(INDEX($A:$U,ROW(),$C$6)="","",INDEX($A:$U,ROW(),$C$6)))</f>
        <v/>
      </c>
      <c r="X1209" s="32">
        <f>IF($W1209="","",IF(ISNUMBER($W1209),IF($W1209&gt;=10000000,IFERROR(DATE(INT($W1209/10000),MOD(INT($W1209/100),100),MOD($W1209,100)),""),INT($W1209)),IFERROR(DATE(--LEFT(LEFT(SUBSTITUTE(SUBSTITUTE(SUBSTITUTE(SUBSTITUTE(TRIM($W1209),"-",""),".",""),"/","")," ",""),8),4),--MID(LEFT(SUBSTITUTE(SUBSTITUTE(SUBSTITUTE(SUBSTITUTE(TRIM($W1209),"-",""),".",""),"/","")," ",""),8),5,2),--MID(LEFT(SUBSTITUTE(SUBSTITUTE(SUBSTITUTE(SUBSTITUTE(TRIM($W1209),"-",""),".",""),"/","")," ",""),8),7,2)),"")))</f>
        <v/>
      </c>
      <c r="Y1209" s="32">
        <f>IF($X1209="","",INT($X1209))</f>
        <v/>
      </c>
      <c r="Z1209" s="33">
        <f>IF(OR($Y1209="",$D$6=""),"",IF(INDEX($A:$U,ROW(),$D$6)="",0,IF(ISNUMBER(INDEX($A:$U,ROW(),$D$6)),INDEX($A:$U,ROW(),$D$6),IFERROR(--SUBSTITUTE(SUBSTITUTE(TRIM(INDEX($A:$U,ROW(),$D$6)),",",""),"원",""),0))))</f>
        <v/>
      </c>
      <c r="AA1209" s="31">
        <f>IF($Y1209="","",TRIM(INDEX($A:$U,ROW(),$E$6)&amp;IF($F$6="",""," "&amp;INDEX($A:$U,ROW(),$F$6))))</f>
        <v/>
      </c>
      <c r="AB1209" s="31">
        <f>IF($AA1209="","",SUBSTITUTE(SUBSTITUTE(SUBSTITUTE(SUBSTITUTE(SUBSTITUTE(SUBSTITUTE(SUBSTITUTE(SUBSTITUTE(SUBSTITUTE($AA1209," ",""),"　",""),"(주)",""),"（주）",""),"㈜",""),"주식회사",""),"(유)",""),"（유）",""),"유한회사",""))</f>
        <v/>
      </c>
      <c r="AC1209" s="31">
        <f>IF(OR($Y1209="",N($Z1209)&lt;=0,$AB1209=""),0,IFERROR(LOOKUP(2,1/((거래처별!$AC$8:$AC$307&lt;&gt;"")*ISNUMBER(SEARCH(거래처별!$AC$8:$AC$307,$AB1209))),거래처별!$A$8:$A$307),IFERROR(LOOKUP(2,1/((거래처별!$AD$8:$AD$307&lt;&gt;"")*ISNUMBER(SEARCH(거래처별!$AD$8:$AD$307,$AB1209))),거래처별!$A$8:$A$307),IFERROR(LOOKUP(2,1/((거래처별!$AE$8:$AE$307&lt;&gt;"")*ISNUMBER(SEARCH(거래처별!$AE$8:$AE$307,$AB1209))),거래처별!$A$8:$A$307),0))))</f>
        <v/>
      </c>
      <c r="AD1209" s="31">
        <f>IF(AND($Y1209&lt;&gt;"",N($Z1209)&gt;0,$AC1209=0),MAX($AD$7:$AD1208)+1,"")</f>
        <v/>
      </c>
      <c r="AE1209" s="31">
        <f>IF($Y1209="",0,$Y1209)</f>
        <v/>
      </c>
    </row>
    <row r="1210">
      <c r="W1210" s="31">
        <f>IF(OR($B$5="",$C$6="",ROW()&lt;$B$5),"",IF(INDEX($A:$U,ROW(),$C$6)="","",INDEX($A:$U,ROW(),$C$6)))</f>
        <v/>
      </c>
      <c r="X1210" s="32">
        <f>IF($W1210="","",IF(ISNUMBER($W1210),IF($W1210&gt;=10000000,IFERROR(DATE(INT($W1210/10000),MOD(INT($W1210/100),100),MOD($W1210,100)),""),INT($W1210)),IFERROR(DATE(--LEFT(LEFT(SUBSTITUTE(SUBSTITUTE(SUBSTITUTE(SUBSTITUTE(TRIM($W1210),"-",""),".",""),"/","")," ",""),8),4),--MID(LEFT(SUBSTITUTE(SUBSTITUTE(SUBSTITUTE(SUBSTITUTE(TRIM($W1210),"-",""),".",""),"/","")," ",""),8),5,2),--MID(LEFT(SUBSTITUTE(SUBSTITUTE(SUBSTITUTE(SUBSTITUTE(TRIM($W1210),"-",""),".",""),"/","")," ",""),8),7,2)),"")))</f>
        <v/>
      </c>
      <c r="Y1210" s="32">
        <f>IF($X1210="","",INT($X1210))</f>
        <v/>
      </c>
      <c r="Z1210" s="33">
        <f>IF(OR($Y1210="",$D$6=""),"",IF(INDEX($A:$U,ROW(),$D$6)="",0,IF(ISNUMBER(INDEX($A:$U,ROW(),$D$6)),INDEX($A:$U,ROW(),$D$6),IFERROR(--SUBSTITUTE(SUBSTITUTE(TRIM(INDEX($A:$U,ROW(),$D$6)),",",""),"원",""),0))))</f>
        <v/>
      </c>
      <c r="AA1210" s="31">
        <f>IF($Y1210="","",TRIM(INDEX($A:$U,ROW(),$E$6)&amp;IF($F$6="",""," "&amp;INDEX($A:$U,ROW(),$F$6))))</f>
        <v/>
      </c>
      <c r="AB1210" s="31">
        <f>IF($AA1210="","",SUBSTITUTE(SUBSTITUTE(SUBSTITUTE(SUBSTITUTE(SUBSTITUTE(SUBSTITUTE(SUBSTITUTE(SUBSTITUTE(SUBSTITUTE($AA1210," ",""),"　",""),"(주)",""),"（주）",""),"㈜",""),"주식회사",""),"(유)",""),"（유）",""),"유한회사",""))</f>
        <v/>
      </c>
      <c r="AC1210" s="31">
        <f>IF(OR($Y1210="",N($Z1210)&lt;=0,$AB1210=""),0,IFERROR(LOOKUP(2,1/((거래처별!$AC$8:$AC$307&lt;&gt;"")*ISNUMBER(SEARCH(거래처별!$AC$8:$AC$307,$AB1210))),거래처별!$A$8:$A$307),IFERROR(LOOKUP(2,1/((거래처별!$AD$8:$AD$307&lt;&gt;"")*ISNUMBER(SEARCH(거래처별!$AD$8:$AD$307,$AB1210))),거래처별!$A$8:$A$307),IFERROR(LOOKUP(2,1/((거래처별!$AE$8:$AE$307&lt;&gt;"")*ISNUMBER(SEARCH(거래처별!$AE$8:$AE$307,$AB1210))),거래처별!$A$8:$A$307),0))))</f>
        <v/>
      </c>
      <c r="AD1210" s="31">
        <f>IF(AND($Y1210&lt;&gt;"",N($Z1210)&gt;0,$AC1210=0),MAX($AD$7:$AD1209)+1,"")</f>
        <v/>
      </c>
      <c r="AE1210" s="31">
        <f>IF($Y1210="",0,$Y1210)</f>
        <v/>
      </c>
    </row>
    <row r="1211">
      <c r="W1211" s="31">
        <f>IF(OR($B$5="",$C$6="",ROW()&lt;$B$5),"",IF(INDEX($A:$U,ROW(),$C$6)="","",INDEX($A:$U,ROW(),$C$6)))</f>
        <v/>
      </c>
      <c r="X1211" s="32">
        <f>IF($W1211="","",IF(ISNUMBER($W1211),IF($W1211&gt;=10000000,IFERROR(DATE(INT($W1211/10000),MOD(INT($W1211/100),100),MOD($W1211,100)),""),INT($W1211)),IFERROR(DATE(--LEFT(LEFT(SUBSTITUTE(SUBSTITUTE(SUBSTITUTE(SUBSTITUTE(TRIM($W1211),"-",""),".",""),"/","")," ",""),8),4),--MID(LEFT(SUBSTITUTE(SUBSTITUTE(SUBSTITUTE(SUBSTITUTE(TRIM($W1211),"-",""),".",""),"/","")," ",""),8),5,2),--MID(LEFT(SUBSTITUTE(SUBSTITUTE(SUBSTITUTE(SUBSTITUTE(TRIM($W1211),"-",""),".",""),"/","")," ",""),8),7,2)),"")))</f>
        <v/>
      </c>
      <c r="Y1211" s="32">
        <f>IF($X1211="","",INT($X1211))</f>
        <v/>
      </c>
      <c r="Z1211" s="33">
        <f>IF(OR($Y1211="",$D$6=""),"",IF(INDEX($A:$U,ROW(),$D$6)="",0,IF(ISNUMBER(INDEX($A:$U,ROW(),$D$6)),INDEX($A:$U,ROW(),$D$6),IFERROR(--SUBSTITUTE(SUBSTITUTE(TRIM(INDEX($A:$U,ROW(),$D$6)),",",""),"원",""),0))))</f>
        <v/>
      </c>
      <c r="AA1211" s="31">
        <f>IF($Y1211="","",TRIM(INDEX($A:$U,ROW(),$E$6)&amp;IF($F$6="",""," "&amp;INDEX($A:$U,ROW(),$F$6))))</f>
        <v/>
      </c>
      <c r="AB1211" s="31">
        <f>IF($AA1211="","",SUBSTITUTE(SUBSTITUTE(SUBSTITUTE(SUBSTITUTE(SUBSTITUTE(SUBSTITUTE(SUBSTITUTE(SUBSTITUTE(SUBSTITUTE($AA1211," ",""),"　",""),"(주)",""),"（주）",""),"㈜",""),"주식회사",""),"(유)",""),"（유）",""),"유한회사",""))</f>
        <v/>
      </c>
      <c r="AC1211" s="31">
        <f>IF(OR($Y1211="",N($Z1211)&lt;=0,$AB1211=""),0,IFERROR(LOOKUP(2,1/((거래처별!$AC$8:$AC$307&lt;&gt;"")*ISNUMBER(SEARCH(거래처별!$AC$8:$AC$307,$AB1211))),거래처별!$A$8:$A$307),IFERROR(LOOKUP(2,1/((거래처별!$AD$8:$AD$307&lt;&gt;"")*ISNUMBER(SEARCH(거래처별!$AD$8:$AD$307,$AB1211))),거래처별!$A$8:$A$307),IFERROR(LOOKUP(2,1/((거래처별!$AE$8:$AE$307&lt;&gt;"")*ISNUMBER(SEARCH(거래처별!$AE$8:$AE$307,$AB1211))),거래처별!$A$8:$A$307),0))))</f>
        <v/>
      </c>
      <c r="AD1211" s="31">
        <f>IF(AND($Y1211&lt;&gt;"",N($Z1211)&gt;0,$AC1211=0),MAX($AD$7:$AD1210)+1,"")</f>
        <v/>
      </c>
      <c r="AE1211" s="31">
        <f>IF($Y1211="",0,$Y1211)</f>
        <v/>
      </c>
    </row>
    <row r="1212">
      <c r="W1212" s="31">
        <f>IF(OR($B$5="",$C$6="",ROW()&lt;$B$5),"",IF(INDEX($A:$U,ROW(),$C$6)="","",INDEX($A:$U,ROW(),$C$6)))</f>
        <v/>
      </c>
      <c r="X1212" s="32">
        <f>IF($W1212="","",IF(ISNUMBER($W1212),IF($W1212&gt;=10000000,IFERROR(DATE(INT($W1212/10000),MOD(INT($W1212/100),100),MOD($W1212,100)),""),INT($W1212)),IFERROR(DATE(--LEFT(LEFT(SUBSTITUTE(SUBSTITUTE(SUBSTITUTE(SUBSTITUTE(TRIM($W1212),"-",""),".",""),"/","")," ",""),8),4),--MID(LEFT(SUBSTITUTE(SUBSTITUTE(SUBSTITUTE(SUBSTITUTE(TRIM($W1212),"-",""),".",""),"/","")," ",""),8),5,2),--MID(LEFT(SUBSTITUTE(SUBSTITUTE(SUBSTITUTE(SUBSTITUTE(TRIM($W1212),"-",""),".",""),"/","")," ",""),8),7,2)),"")))</f>
        <v/>
      </c>
      <c r="Y1212" s="32">
        <f>IF($X1212="","",INT($X1212))</f>
        <v/>
      </c>
      <c r="Z1212" s="33">
        <f>IF(OR($Y1212="",$D$6=""),"",IF(INDEX($A:$U,ROW(),$D$6)="",0,IF(ISNUMBER(INDEX($A:$U,ROW(),$D$6)),INDEX($A:$U,ROW(),$D$6),IFERROR(--SUBSTITUTE(SUBSTITUTE(TRIM(INDEX($A:$U,ROW(),$D$6)),",",""),"원",""),0))))</f>
        <v/>
      </c>
      <c r="AA1212" s="31">
        <f>IF($Y1212="","",TRIM(INDEX($A:$U,ROW(),$E$6)&amp;IF($F$6="",""," "&amp;INDEX($A:$U,ROW(),$F$6))))</f>
        <v/>
      </c>
      <c r="AB1212" s="31">
        <f>IF($AA1212="","",SUBSTITUTE(SUBSTITUTE(SUBSTITUTE(SUBSTITUTE(SUBSTITUTE(SUBSTITUTE(SUBSTITUTE(SUBSTITUTE(SUBSTITUTE($AA1212," ",""),"　",""),"(주)",""),"（주）",""),"㈜",""),"주식회사",""),"(유)",""),"（유）",""),"유한회사",""))</f>
        <v/>
      </c>
      <c r="AC1212" s="31">
        <f>IF(OR($Y1212="",N($Z1212)&lt;=0,$AB1212=""),0,IFERROR(LOOKUP(2,1/((거래처별!$AC$8:$AC$307&lt;&gt;"")*ISNUMBER(SEARCH(거래처별!$AC$8:$AC$307,$AB1212))),거래처별!$A$8:$A$307),IFERROR(LOOKUP(2,1/((거래처별!$AD$8:$AD$307&lt;&gt;"")*ISNUMBER(SEARCH(거래처별!$AD$8:$AD$307,$AB1212))),거래처별!$A$8:$A$307),IFERROR(LOOKUP(2,1/((거래처별!$AE$8:$AE$307&lt;&gt;"")*ISNUMBER(SEARCH(거래처별!$AE$8:$AE$307,$AB1212))),거래처별!$A$8:$A$307),0))))</f>
        <v/>
      </c>
      <c r="AD1212" s="31">
        <f>IF(AND($Y1212&lt;&gt;"",N($Z1212)&gt;0,$AC1212=0),MAX($AD$7:$AD1211)+1,"")</f>
        <v/>
      </c>
      <c r="AE1212" s="31">
        <f>IF($Y1212="",0,$Y1212)</f>
        <v/>
      </c>
    </row>
    <row r="1213">
      <c r="W1213" s="31">
        <f>IF(OR($B$5="",$C$6="",ROW()&lt;$B$5),"",IF(INDEX($A:$U,ROW(),$C$6)="","",INDEX($A:$U,ROW(),$C$6)))</f>
        <v/>
      </c>
      <c r="X1213" s="32">
        <f>IF($W1213="","",IF(ISNUMBER($W1213),IF($W1213&gt;=10000000,IFERROR(DATE(INT($W1213/10000),MOD(INT($W1213/100),100),MOD($W1213,100)),""),INT($W1213)),IFERROR(DATE(--LEFT(LEFT(SUBSTITUTE(SUBSTITUTE(SUBSTITUTE(SUBSTITUTE(TRIM($W1213),"-",""),".",""),"/","")," ",""),8),4),--MID(LEFT(SUBSTITUTE(SUBSTITUTE(SUBSTITUTE(SUBSTITUTE(TRIM($W1213),"-",""),".",""),"/","")," ",""),8),5,2),--MID(LEFT(SUBSTITUTE(SUBSTITUTE(SUBSTITUTE(SUBSTITUTE(TRIM($W1213),"-",""),".",""),"/","")," ",""),8),7,2)),"")))</f>
        <v/>
      </c>
      <c r="Y1213" s="32">
        <f>IF($X1213="","",INT($X1213))</f>
        <v/>
      </c>
      <c r="Z1213" s="33">
        <f>IF(OR($Y1213="",$D$6=""),"",IF(INDEX($A:$U,ROW(),$D$6)="",0,IF(ISNUMBER(INDEX($A:$U,ROW(),$D$6)),INDEX($A:$U,ROW(),$D$6),IFERROR(--SUBSTITUTE(SUBSTITUTE(TRIM(INDEX($A:$U,ROW(),$D$6)),",",""),"원",""),0))))</f>
        <v/>
      </c>
      <c r="AA1213" s="31">
        <f>IF($Y1213="","",TRIM(INDEX($A:$U,ROW(),$E$6)&amp;IF($F$6="",""," "&amp;INDEX($A:$U,ROW(),$F$6))))</f>
        <v/>
      </c>
      <c r="AB1213" s="31">
        <f>IF($AA1213="","",SUBSTITUTE(SUBSTITUTE(SUBSTITUTE(SUBSTITUTE(SUBSTITUTE(SUBSTITUTE(SUBSTITUTE(SUBSTITUTE(SUBSTITUTE($AA1213," ",""),"　",""),"(주)",""),"（주）",""),"㈜",""),"주식회사",""),"(유)",""),"（유）",""),"유한회사",""))</f>
        <v/>
      </c>
      <c r="AC1213" s="31">
        <f>IF(OR($Y1213="",N($Z1213)&lt;=0,$AB1213=""),0,IFERROR(LOOKUP(2,1/((거래처별!$AC$8:$AC$307&lt;&gt;"")*ISNUMBER(SEARCH(거래처별!$AC$8:$AC$307,$AB1213))),거래처별!$A$8:$A$307),IFERROR(LOOKUP(2,1/((거래처별!$AD$8:$AD$307&lt;&gt;"")*ISNUMBER(SEARCH(거래처별!$AD$8:$AD$307,$AB1213))),거래처별!$A$8:$A$307),IFERROR(LOOKUP(2,1/((거래처별!$AE$8:$AE$307&lt;&gt;"")*ISNUMBER(SEARCH(거래처별!$AE$8:$AE$307,$AB1213))),거래처별!$A$8:$A$307),0))))</f>
        <v/>
      </c>
      <c r="AD1213" s="31">
        <f>IF(AND($Y1213&lt;&gt;"",N($Z1213)&gt;0,$AC1213=0),MAX($AD$7:$AD1212)+1,"")</f>
        <v/>
      </c>
      <c r="AE1213" s="31">
        <f>IF($Y1213="",0,$Y1213)</f>
        <v/>
      </c>
    </row>
    <row r="1214">
      <c r="W1214" s="31">
        <f>IF(OR($B$5="",$C$6="",ROW()&lt;$B$5),"",IF(INDEX($A:$U,ROW(),$C$6)="","",INDEX($A:$U,ROW(),$C$6)))</f>
        <v/>
      </c>
      <c r="X1214" s="32">
        <f>IF($W1214="","",IF(ISNUMBER($W1214),IF($W1214&gt;=10000000,IFERROR(DATE(INT($W1214/10000),MOD(INT($W1214/100),100),MOD($W1214,100)),""),INT($W1214)),IFERROR(DATE(--LEFT(LEFT(SUBSTITUTE(SUBSTITUTE(SUBSTITUTE(SUBSTITUTE(TRIM($W1214),"-",""),".",""),"/","")," ",""),8),4),--MID(LEFT(SUBSTITUTE(SUBSTITUTE(SUBSTITUTE(SUBSTITUTE(TRIM($W1214),"-",""),".",""),"/","")," ",""),8),5,2),--MID(LEFT(SUBSTITUTE(SUBSTITUTE(SUBSTITUTE(SUBSTITUTE(TRIM($W1214),"-",""),".",""),"/","")," ",""),8),7,2)),"")))</f>
        <v/>
      </c>
      <c r="Y1214" s="32">
        <f>IF($X1214="","",INT($X1214))</f>
        <v/>
      </c>
      <c r="Z1214" s="33">
        <f>IF(OR($Y1214="",$D$6=""),"",IF(INDEX($A:$U,ROW(),$D$6)="",0,IF(ISNUMBER(INDEX($A:$U,ROW(),$D$6)),INDEX($A:$U,ROW(),$D$6),IFERROR(--SUBSTITUTE(SUBSTITUTE(TRIM(INDEX($A:$U,ROW(),$D$6)),",",""),"원",""),0))))</f>
        <v/>
      </c>
      <c r="AA1214" s="31">
        <f>IF($Y1214="","",TRIM(INDEX($A:$U,ROW(),$E$6)&amp;IF($F$6="",""," "&amp;INDEX($A:$U,ROW(),$F$6))))</f>
        <v/>
      </c>
      <c r="AB1214" s="31">
        <f>IF($AA1214="","",SUBSTITUTE(SUBSTITUTE(SUBSTITUTE(SUBSTITUTE(SUBSTITUTE(SUBSTITUTE(SUBSTITUTE(SUBSTITUTE(SUBSTITUTE($AA1214," ",""),"　",""),"(주)",""),"（주）",""),"㈜",""),"주식회사",""),"(유)",""),"（유）",""),"유한회사",""))</f>
        <v/>
      </c>
      <c r="AC1214" s="31">
        <f>IF(OR($Y1214="",N($Z1214)&lt;=0,$AB1214=""),0,IFERROR(LOOKUP(2,1/((거래처별!$AC$8:$AC$307&lt;&gt;"")*ISNUMBER(SEARCH(거래처별!$AC$8:$AC$307,$AB1214))),거래처별!$A$8:$A$307),IFERROR(LOOKUP(2,1/((거래처별!$AD$8:$AD$307&lt;&gt;"")*ISNUMBER(SEARCH(거래처별!$AD$8:$AD$307,$AB1214))),거래처별!$A$8:$A$307),IFERROR(LOOKUP(2,1/((거래처별!$AE$8:$AE$307&lt;&gt;"")*ISNUMBER(SEARCH(거래처별!$AE$8:$AE$307,$AB1214))),거래처별!$A$8:$A$307),0))))</f>
        <v/>
      </c>
      <c r="AD1214" s="31">
        <f>IF(AND($Y1214&lt;&gt;"",N($Z1214)&gt;0,$AC1214=0),MAX($AD$7:$AD1213)+1,"")</f>
        <v/>
      </c>
      <c r="AE1214" s="31">
        <f>IF($Y1214="",0,$Y1214)</f>
        <v/>
      </c>
    </row>
    <row r="1215">
      <c r="W1215" s="31">
        <f>IF(OR($B$5="",$C$6="",ROW()&lt;$B$5),"",IF(INDEX($A:$U,ROW(),$C$6)="","",INDEX($A:$U,ROW(),$C$6)))</f>
        <v/>
      </c>
      <c r="X1215" s="32">
        <f>IF($W1215="","",IF(ISNUMBER($W1215),IF($W1215&gt;=10000000,IFERROR(DATE(INT($W1215/10000),MOD(INT($W1215/100),100),MOD($W1215,100)),""),INT($W1215)),IFERROR(DATE(--LEFT(LEFT(SUBSTITUTE(SUBSTITUTE(SUBSTITUTE(SUBSTITUTE(TRIM($W1215),"-",""),".",""),"/","")," ",""),8),4),--MID(LEFT(SUBSTITUTE(SUBSTITUTE(SUBSTITUTE(SUBSTITUTE(TRIM($W1215),"-",""),".",""),"/","")," ",""),8),5,2),--MID(LEFT(SUBSTITUTE(SUBSTITUTE(SUBSTITUTE(SUBSTITUTE(TRIM($W1215),"-",""),".",""),"/","")," ",""),8),7,2)),"")))</f>
        <v/>
      </c>
      <c r="Y1215" s="32">
        <f>IF($X1215="","",INT($X1215))</f>
        <v/>
      </c>
      <c r="Z1215" s="33">
        <f>IF(OR($Y1215="",$D$6=""),"",IF(INDEX($A:$U,ROW(),$D$6)="",0,IF(ISNUMBER(INDEX($A:$U,ROW(),$D$6)),INDEX($A:$U,ROW(),$D$6),IFERROR(--SUBSTITUTE(SUBSTITUTE(TRIM(INDEX($A:$U,ROW(),$D$6)),",",""),"원",""),0))))</f>
        <v/>
      </c>
      <c r="AA1215" s="31">
        <f>IF($Y1215="","",TRIM(INDEX($A:$U,ROW(),$E$6)&amp;IF($F$6="",""," "&amp;INDEX($A:$U,ROW(),$F$6))))</f>
        <v/>
      </c>
      <c r="AB1215" s="31">
        <f>IF($AA1215="","",SUBSTITUTE(SUBSTITUTE(SUBSTITUTE(SUBSTITUTE(SUBSTITUTE(SUBSTITUTE(SUBSTITUTE(SUBSTITUTE(SUBSTITUTE($AA1215," ",""),"　",""),"(주)",""),"（주）",""),"㈜",""),"주식회사",""),"(유)",""),"（유）",""),"유한회사",""))</f>
        <v/>
      </c>
      <c r="AC1215" s="31">
        <f>IF(OR($Y1215="",N($Z1215)&lt;=0,$AB1215=""),0,IFERROR(LOOKUP(2,1/((거래처별!$AC$8:$AC$307&lt;&gt;"")*ISNUMBER(SEARCH(거래처별!$AC$8:$AC$307,$AB1215))),거래처별!$A$8:$A$307),IFERROR(LOOKUP(2,1/((거래처별!$AD$8:$AD$307&lt;&gt;"")*ISNUMBER(SEARCH(거래처별!$AD$8:$AD$307,$AB1215))),거래처별!$A$8:$A$307),IFERROR(LOOKUP(2,1/((거래처별!$AE$8:$AE$307&lt;&gt;"")*ISNUMBER(SEARCH(거래처별!$AE$8:$AE$307,$AB1215))),거래처별!$A$8:$A$307),0))))</f>
        <v/>
      </c>
      <c r="AD1215" s="31">
        <f>IF(AND($Y1215&lt;&gt;"",N($Z1215)&gt;0,$AC1215=0),MAX($AD$7:$AD1214)+1,"")</f>
        <v/>
      </c>
      <c r="AE1215" s="31">
        <f>IF($Y1215="",0,$Y1215)</f>
        <v/>
      </c>
    </row>
    <row r="1216">
      <c r="W1216" s="31">
        <f>IF(OR($B$5="",$C$6="",ROW()&lt;$B$5),"",IF(INDEX($A:$U,ROW(),$C$6)="","",INDEX($A:$U,ROW(),$C$6)))</f>
        <v/>
      </c>
      <c r="X1216" s="32">
        <f>IF($W1216="","",IF(ISNUMBER($W1216),IF($W1216&gt;=10000000,IFERROR(DATE(INT($W1216/10000),MOD(INT($W1216/100),100),MOD($W1216,100)),""),INT($W1216)),IFERROR(DATE(--LEFT(LEFT(SUBSTITUTE(SUBSTITUTE(SUBSTITUTE(SUBSTITUTE(TRIM($W1216),"-",""),".",""),"/","")," ",""),8),4),--MID(LEFT(SUBSTITUTE(SUBSTITUTE(SUBSTITUTE(SUBSTITUTE(TRIM($W1216),"-",""),".",""),"/","")," ",""),8),5,2),--MID(LEFT(SUBSTITUTE(SUBSTITUTE(SUBSTITUTE(SUBSTITUTE(TRIM($W1216),"-",""),".",""),"/","")," ",""),8),7,2)),"")))</f>
        <v/>
      </c>
      <c r="Y1216" s="32">
        <f>IF($X1216="","",INT($X1216))</f>
        <v/>
      </c>
      <c r="Z1216" s="33">
        <f>IF(OR($Y1216="",$D$6=""),"",IF(INDEX($A:$U,ROW(),$D$6)="",0,IF(ISNUMBER(INDEX($A:$U,ROW(),$D$6)),INDEX($A:$U,ROW(),$D$6),IFERROR(--SUBSTITUTE(SUBSTITUTE(TRIM(INDEX($A:$U,ROW(),$D$6)),",",""),"원",""),0))))</f>
        <v/>
      </c>
      <c r="AA1216" s="31">
        <f>IF($Y1216="","",TRIM(INDEX($A:$U,ROW(),$E$6)&amp;IF($F$6="",""," "&amp;INDEX($A:$U,ROW(),$F$6))))</f>
        <v/>
      </c>
      <c r="AB1216" s="31">
        <f>IF($AA1216="","",SUBSTITUTE(SUBSTITUTE(SUBSTITUTE(SUBSTITUTE(SUBSTITUTE(SUBSTITUTE(SUBSTITUTE(SUBSTITUTE(SUBSTITUTE($AA1216," ",""),"　",""),"(주)",""),"（주）",""),"㈜",""),"주식회사",""),"(유)",""),"（유）",""),"유한회사",""))</f>
        <v/>
      </c>
      <c r="AC1216" s="31">
        <f>IF(OR($Y1216="",N($Z1216)&lt;=0,$AB1216=""),0,IFERROR(LOOKUP(2,1/((거래처별!$AC$8:$AC$307&lt;&gt;"")*ISNUMBER(SEARCH(거래처별!$AC$8:$AC$307,$AB1216))),거래처별!$A$8:$A$307),IFERROR(LOOKUP(2,1/((거래처별!$AD$8:$AD$307&lt;&gt;"")*ISNUMBER(SEARCH(거래처별!$AD$8:$AD$307,$AB1216))),거래처별!$A$8:$A$307),IFERROR(LOOKUP(2,1/((거래처별!$AE$8:$AE$307&lt;&gt;"")*ISNUMBER(SEARCH(거래처별!$AE$8:$AE$307,$AB1216))),거래처별!$A$8:$A$307),0))))</f>
        <v/>
      </c>
      <c r="AD1216" s="31">
        <f>IF(AND($Y1216&lt;&gt;"",N($Z1216)&gt;0,$AC1216=0),MAX($AD$7:$AD1215)+1,"")</f>
        <v/>
      </c>
      <c r="AE1216" s="31">
        <f>IF($Y1216="",0,$Y1216)</f>
        <v/>
      </c>
    </row>
    <row r="1217">
      <c r="W1217" s="31">
        <f>IF(OR($B$5="",$C$6="",ROW()&lt;$B$5),"",IF(INDEX($A:$U,ROW(),$C$6)="","",INDEX($A:$U,ROW(),$C$6)))</f>
        <v/>
      </c>
      <c r="X1217" s="32">
        <f>IF($W1217="","",IF(ISNUMBER($W1217),IF($W1217&gt;=10000000,IFERROR(DATE(INT($W1217/10000),MOD(INT($W1217/100),100),MOD($W1217,100)),""),INT($W1217)),IFERROR(DATE(--LEFT(LEFT(SUBSTITUTE(SUBSTITUTE(SUBSTITUTE(SUBSTITUTE(TRIM($W1217),"-",""),".",""),"/","")," ",""),8),4),--MID(LEFT(SUBSTITUTE(SUBSTITUTE(SUBSTITUTE(SUBSTITUTE(TRIM($W1217),"-",""),".",""),"/","")," ",""),8),5,2),--MID(LEFT(SUBSTITUTE(SUBSTITUTE(SUBSTITUTE(SUBSTITUTE(TRIM($W1217),"-",""),".",""),"/","")," ",""),8),7,2)),"")))</f>
        <v/>
      </c>
      <c r="Y1217" s="32">
        <f>IF($X1217="","",INT($X1217))</f>
        <v/>
      </c>
      <c r="Z1217" s="33">
        <f>IF(OR($Y1217="",$D$6=""),"",IF(INDEX($A:$U,ROW(),$D$6)="",0,IF(ISNUMBER(INDEX($A:$U,ROW(),$D$6)),INDEX($A:$U,ROW(),$D$6),IFERROR(--SUBSTITUTE(SUBSTITUTE(TRIM(INDEX($A:$U,ROW(),$D$6)),",",""),"원",""),0))))</f>
        <v/>
      </c>
      <c r="AA1217" s="31">
        <f>IF($Y1217="","",TRIM(INDEX($A:$U,ROW(),$E$6)&amp;IF($F$6="",""," "&amp;INDEX($A:$U,ROW(),$F$6))))</f>
        <v/>
      </c>
      <c r="AB1217" s="31">
        <f>IF($AA1217="","",SUBSTITUTE(SUBSTITUTE(SUBSTITUTE(SUBSTITUTE(SUBSTITUTE(SUBSTITUTE(SUBSTITUTE(SUBSTITUTE(SUBSTITUTE($AA1217," ",""),"　",""),"(주)",""),"（주）",""),"㈜",""),"주식회사",""),"(유)",""),"（유）",""),"유한회사",""))</f>
        <v/>
      </c>
      <c r="AC1217" s="31">
        <f>IF(OR($Y1217="",N($Z1217)&lt;=0,$AB1217=""),0,IFERROR(LOOKUP(2,1/((거래처별!$AC$8:$AC$307&lt;&gt;"")*ISNUMBER(SEARCH(거래처별!$AC$8:$AC$307,$AB1217))),거래처별!$A$8:$A$307),IFERROR(LOOKUP(2,1/((거래처별!$AD$8:$AD$307&lt;&gt;"")*ISNUMBER(SEARCH(거래처별!$AD$8:$AD$307,$AB1217))),거래처별!$A$8:$A$307),IFERROR(LOOKUP(2,1/((거래처별!$AE$8:$AE$307&lt;&gt;"")*ISNUMBER(SEARCH(거래처별!$AE$8:$AE$307,$AB1217))),거래처별!$A$8:$A$307),0))))</f>
        <v/>
      </c>
      <c r="AD1217" s="31">
        <f>IF(AND($Y1217&lt;&gt;"",N($Z1217)&gt;0,$AC1217=0),MAX($AD$7:$AD1216)+1,"")</f>
        <v/>
      </c>
      <c r="AE1217" s="31">
        <f>IF($Y1217="",0,$Y1217)</f>
        <v/>
      </c>
    </row>
    <row r="1218">
      <c r="W1218" s="31">
        <f>IF(OR($B$5="",$C$6="",ROW()&lt;$B$5),"",IF(INDEX($A:$U,ROW(),$C$6)="","",INDEX($A:$U,ROW(),$C$6)))</f>
        <v/>
      </c>
      <c r="X1218" s="32">
        <f>IF($W1218="","",IF(ISNUMBER($W1218),IF($W1218&gt;=10000000,IFERROR(DATE(INT($W1218/10000),MOD(INT($W1218/100),100),MOD($W1218,100)),""),INT($W1218)),IFERROR(DATE(--LEFT(LEFT(SUBSTITUTE(SUBSTITUTE(SUBSTITUTE(SUBSTITUTE(TRIM($W1218),"-",""),".",""),"/","")," ",""),8),4),--MID(LEFT(SUBSTITUTE(SUBSTITUTE(SUBSTITUTE(SUBSTITUTE(TRIM($W1218),"-",""),".",""),"/","")," ",""),8),5,2),--MID(LEFT(SUBSTITUTE(SUBSTITUTE(SUBSTITUTE(SUBSTITUTE(TRIM($W1218),"-",""),".",""),"/","")," ",""),8),7,2)),"")))</f>
        <v/>
      </c>
      <c r="Y1218" s="32">
        <f>IF($X1218="","",INT($X1218))</f>
        <v/>
      </c>
      <c r="Z1218" s="33">
        <f>IF(OR($Y1218="",$D$6=""),"",IF(INDEX($A:$U,ROW(),$D$6)="",0,IF(ISNUMBER(INDEX($A:$U,ROW(),$D$6)),INDEX($A:$U,ROW(),$D$6),IFERROR(--SUBSTITUTE(SUBSTITUTE(TRIM(INDEX($A:$U,ROW(),$D$6)),",",""),"원",""),0))))</f>
        <v/>
      </c>
      <c r="AA1218" s="31">
        <f>IF($Y1218="","",TRIM(INDEX($A:$U,ROW(),$E$6)&amp;IF($F$6="",""," "&amp;INDEX($A:$U,ROW(),$F$6))))</f>
        <v/>
      </c>
      <c r="AB1218" s="31">
        <f>IF($AA1218="","",SUBSTITUTE(SUBSTITUTE(SUBSTITUTE(SUBSTITUTE(SUBSTITUTE(SUBSTITUTE(SUBSTITUTE(SUBSTITUTE(SUBSTITUTE($AA1218," ",""),"　",""),"(주)",""),"（주）",""),"㈜",""),"주식회사",""),"(유)",""),"（유）",""),"유한회사",""))</f>
        <v/>
      </c>
      <c r="AC1218" s="31">
        <f>IF(OR($Y1218="",N($Z1218)&lt;=0,$AB1218=""),0,IFERROR(LOOKUP(2,1/((거래처별!$AC$8:$AC$307&lt;&gt;"")*ISNUMBER(SEARCH(거래처별!$AC$8:$AC$307,$AB1218))),거래처별!$A$8:$A$307),IFERROR(LOOKUP(2,1/((거래처별!$AD$8:$AD$307&lt;&gt;"")*ISNUMBER(SEARCH(거래처별!$AD$8:$AD$307,$AB1218))),거래처별!$A$8:$A$307),IFERROR(LOOKUP(2,1/((거래처별!$AE$8:$AE$307&lt;&gt;"")*ISNUMBER(SEARCH(거래처별!$AE$8:$AE$307,$AB1218))),거래처별!$A$8:$A$307),0))))</f>
        <v/>
      </c>
      <c r="AD1218" s="31">
        <f>IF(AND($Y1218&lt;&gt;"",N($Z1218)&gt;0,$AC1218=0),MAX($AD$7:$AD1217)+1,"")</f>
        <v/>
      </c>
      <c r="AE1218" s="31">
        <f>IF($Y1218="",0,$Y1218)</f>
        <v/>
      </c>
    </row>
    <row r="1219">
      <c r="W1219" s="31">
        <f>IF(OR($B$5="",$C$6="",ROW()&lt;$B$5),"",IF(INDEX($A:$U,ROW(),$C$6)="","",INDEX($A:$U,ROW(),$C$6)))</f>
        <v/>
      </c>
      <c r="X1219" s="32">
        <f>IF($W1219="","",IF(ISNUMBER($W1219),IF($W1219&gt;=10000000,IFERROR(DATE(INT($W1219/10000),MOD(INT($W1219/100),100),MOD($W1219,100)),""),INT($W1219)),IFERROR(DATE(--LEFT(LEFT(SUBSTITUTE(SUBSTITUTE(SUBSTITUTE(SUBSTITUTE(TRIM($W1219),"-",""),".",""),"/","")," ",""),8),4),--MID(LEFT(SUBSTITUTE(SUBSTITUTE(SUBSTITUTE(SUBSTITUTE(TRIM($W1219),"-",""),".",""),"/","")," ",""),8),5,2),--MID(LEFT(SUBSTITUTE(SUBSTITUTE(SUBSTITUTE(SUBSTITUTE(TRIM($W1219),"-",""),".",""),"/","")," ",""),8),7,2)),"")))</f>
        <v/>
      </c>
      <c r="Y1219" s="32">
        <f>IF($X1219="","",INT($X1219))</f>
        <v/>
      </c>
      <c r="Z1219" s="33">
        <f>IF(OR($Y1219="",$D$6=""),"",IF(INDEX($A:$U,ROW(),$D$6)="",0,IF(ISNUMBER(INDEX($A:$U,ROW(),$D$6)),INDEX($A:$U,ROW(),$D$6),IFERROR(--SUBSTITUTE(SUBSTITUTE(TRIM(INDEX($A:$U,ROW(),$D$6)),",",""),"원",""),0))))</f>
        <v/>
      </c>
      <c r="AA1219" s="31">
        <f>IF($Y1219="","",TRIM(INDEX($A:$U,ROW(),$E$6)&amp;IF($F$6="",""," "&amp;INDEX($A:$U,ROW(),$F$6))))</f>
        <v/>
      </c>
      <c r="AB1219" s="31">
        <f>IF($AA1219="","",SUBSTITUTE(SUBSTITUTE(SUBSTITUTE(SUBSTITUTE(SUBSTITUTE(SUBSTITUTE(SUBSTITUTE(SUBSTITUTE(SUBSTITUTE($AA1219," ",""),"　",""),"(주)",""),"（주）",""),"㈜",""),"주식회사",""),"(유)",""),"（유）",""),"유한회사",""))</f>
        <v/>
      </c>
      <c r="AC1219" s="31">
        <f>IF(OR($Y1219="",N($Z1219)&lt;=0,$AB1219=""),0,IFERROR(LOOKUP(2,1/((거래처별!$AC$8:$AC$307&lt;&gt;"")*ISNUMBER(SEARCH(거래처별!$AC$8:$AC$307,$AB1219))),거래처별!$A$8:$A$307),IFERROR(LOOKUP(2,1/((거래처별!$AD$8:$AD$307&lt;&gt;"")*ISNUMBER(SEARCH(거래처별!$AD$8:$AD$307,$AB1219))),거래처별!$A$8:$A$307),IFERROR(LOOKUP(2,1/((거래처별!$AE$8:$AE$307&lt;&gt;"")*ISNUMBER(SEARCH(거래처별!$AE$8:$AE$307,$AB1219))),거래처별!$A$8:$A$307),0))))</f>
        <v/>
      </c>
      <c r="AD1219" s="31">
        <f>IF(AND($Y1219&lt;&gt;"",N($Z1219)&gt;0,$AC1219=0),MAX($AD$7:$AD1218)+1,"")</f>
        <v/>
      </c>
      <c r="AE1219" s="31">
        <f>IF($Y1219="",0,$Y1219)</f>
        <v/>
      </c>
    </row>
    <row r="1220">
      <c r="W1220" s="31">
        <f>IF(OR($B$5="",$C$6="",ROW()&lt;$B$5),"",IF(INDEX($A:$U,ROW(),$C$6)="","",INDEX($A:$U,ROW(),$C$6)))</f>
        <v/>
      </c>
      <c r="X1220" s="32">
        <f>IF($W1220="","",IF(ISNUMBER($W1220),IF($W1220&gt;=10000000,IFERROR(DATE(INT($W1220/10000),MOD(INT($W1220/100),100),MOD($W1220,100)),""),INT($W1220)),IFERROR(DATE(--LEFT(LEFT(SUBSTITUTE(SUBSTITUTE(SUBSTITUTE(SUBSTITUTE(TRIM($W1220),"-",""),".",""),"/","")," ",""),8),4),--MID(LEFT(SUBSTITUTE(SUBSTITUTE(SUBSTITUTE(SUBSTITUTE(TRIM($W1220),"-",""),".",""),"/","")," ",""),8),5,2),--MID(LEFT(SUBSTITUTE(SUBSTITUTE(SUBSTITUTE(SUBSTITUTE(TRIM($W1220),"-",""),".",""),"/","")," ",""),8),7,2)),"")))</f>
        <v/>
      </c>
      <c r="Y1220" s="32">
        <f>IF($X1220="","",INT($X1220))</f>
        <v/>
      </c>
      <c r="Z1220" s="33">
        <f>IF(OR($Y1220="",$D$6=""),"",IF(INDEX($A:$U,ROW(),$D$6)="",0,IF(ISNUMBER(INDEX($A:$U,ROW(),$D$6)),INDEX($A:$U,ROW(),$D$6),IFERROR(--SUBSTITUTE(SUBSTITUTE(TRIM(INDEX($A:$U,ROW(),$D$6)),",",""),"원",""),0))))</f>
        <v/>
      </c>
      <c r="AA1220" s="31">
        <f>IF($Y1220="","",TRIM(INDEX($A:$U,ROW(),$E$6)&amp;IF($F$6="",""," "&amp;INDEX($A:$U,ROW(),$F$6))))</f>
        <v/>
      </c>
      <c r="AB1220" s="31">
        <f>IF($AA1220="","",SUBSTITUTE(SUBSTITUTE(SUBSTITUTE(SUBSTITUTE(SUBSTITUTE(SUBSTITUTE(SUBSTITUTE(SUBSTITUTE(SUBSTITUTE($AA1220," ",""),"　",""),"(주)",""),"（주）",""),"㈜",""),"주식회사",""),"(유)",""),"（유）",""),"유한회사",""))</f>
        <v/>
      </c>
      <c r="AC1220" s="31">
        <f>IF(OR($Y1220="",N($Z1220)&lt;=0,$AB1220=""),0,IFERROR(LOOKUP(2,1/((거래처별!$AC$8:$AC$307&lt;&gt;"")*ISNUMBER(SEARCH(거래처별!$AC$8:$AC$307,$AB1220))),거래처별!$A$8:$A$307),IFERROR(LOOKUP(2,1/((거래처별!$AD$8:$AD$307&lt;&gt;"")*ISNUMBER(SEARCH(거래처별!$AD$8:$AD$307,$AB1220))),거래처별!$A$8:$A$307),IFERROR(LOOKUP(2,1/((거래처별!$AE$8:$AE$307&lt;&gt;"")*ISNUMBER(SEARCH(거래처별!$AE$8:$AE$307,$AB1220))),거래처별!$A$8:$A$307),0))))</f>
        <v/>
      </c>
      <c r="AD1220" s="31">
        <f>IF(AND($Y1220&lt;&gt;"",N($Z1220)&gt;0,$AC1220=0),MAX($AD$7:$AD1219)+1,"")</f>
        <v/>
      </c>
      <c r="AE1220" s="31">
        <f>IF($Y1220="",0,$Y1220)</f>
        <v/>
      </c>
    </row>
    <row r="1221">
      <c r="W1221" s="31">
        <f>IF(OR($B$5="",$C$6="",ROW()&lt;$B$5),"",IF(INDEX($A:$U,ROW(),$C$6)="","",INDEX($A:$U,ROW(),$C$6)))</f>
        <v/>
      </c>
      <c r="X1221" s="32">
        <f>IF($W1221="","",IF(ISNUMBER($W1221),IF($W1221&gt;=10000000,IFERROR(DATE(INT($W1221/10000),MOD(INT($W1221/100),100),MOD($W1221,100)),""),INT($W1221)),IFERROR(DATE(--LEFT(LEFT(SUBSTITUTE(SUBSTITUTE(SUBSTITUTE(SUBSTITUTE(TRIM($W1221),"-",""),".",""),"/","")," ",""),8),4),--MID(LEFT(SUBSTITUTE(SUBSTITUTE(SUBSTITUTE(SUBSTITUTE(TRIM($W1221),"-",""),".",""),"/","")," ",""),8),5,2),--MID(LEFT(SUBSTITUTE(SUBSTITUTE(SUBSTITUTE(SUBSTITUTE(TRIM($W1221),"-",""),".",""),"/","")," ",""),8),7,2)),"")))</f>
        <v/>
      </c>
      <c r="Y1221" s="32">
        <f>IF($X1221="","",INT($X1221))</f>
        <v/>
      </c>
      <c r="Z1221" s="33">
        <f>IF(OR($Y1221="",$D$6=""),"",IF(INDEX($A:$U,ROW(),$D$6)="",0,IF(ISNUMBER(INDEX($A:$U,ROW(),$D$6)),INDEX($A:$U,ROW(),$D$6),IFERROR(--SUBSTITUTE(SUBSTITUTE(TRIM(INDEX($A:$U,ROW(),$D$6)),",",""),"원",""),0))))</f>
        <v/>
      </c>
      <c r="AA1221" s="31">
        <f>IF($Y1221="","",TRIM(INDEX($A:$U,ROW(),$E$6)&amp;IF($F$6="",""," "&amp;INDEX($A:$U,ROW(),$F$6))))</f>
        <v/>
      </c>
      <c r="AB1221" s="31">
        <f>IF($AA1221="","",SUBSTITUTE(SUBSTITUTE(SUBSTITUTE(SUBSTITUTE(SUBSTITUTE(SUBSTITUTE(SUBSTITUTE(SUBSTITUTE(SUBSTITUTE($AA1221," ",""),"　",""),"(주)",""),"（주）",""),"㈜",""),"주식회사",""),"(유)",""),"（유）",""),"유한회사",""))</f>
        <v/>
      </c>
      <c r="AC1221" s="31">
        <f>IF(OR($Y1221="",N($Z1221)&lt;=0,$AB1221=""),0,IFERROR(LOOKUP(2,1/((거래처별!$AC$8:$AC$307&lt;&gt;"")*ISNUMBER(SEARCH(거래처별!$AC$8:$AC$307,$AB1221))),거래처별!$A$8:$A$307),IFERROR(LOOKUP(2,1/((거래처별!$AD$8:$AD$307&lt;&gt;"")*ISNUMBER(SEARCH(거래처별!$AD$8:$AD$307,$AB1221))),거래처별!$A$8:$A$307),IFERROR(LOOKUP(2,1/((거래처별!$AE$8:$AE$307&lt;&gt;"")*ISNUMBER(SEARCH(거래처별!$AE$8:$AE$307,$AB1221))),거래처별!$A$8:$A$307),0))))</f>
        <v/>
      </c>
      <c r="AD1221" s="31">
        <f>IF(AND($Y1221&lt;&gt;"",N($Z1221)&gt;0,$AC1221=0),MAX($AD$7:$AD1220)+1,"")</f>
        <v/>
      </c>
      <c r="AE1221" s="31">
        <f>IF($Y1221="",0,$Y1221)</f>
        <v/>
      </c>
    </row>
    <row r="1222">
      <c r="W1222" s="31">
        <f>IF(OR($B$5="",$C$6="",ROW()&lt;$B$5),"",IF(INDEX($A:$U,ROW(),$C$6)="","",INDEX($A:$U,ROW(),$C$6)))</f>
        <v/>
      </c>
      <c r="X1222" s="32">
        <f>IF($W1222="","",IF(ISNUMBER($W1222),IF($W1222&gt;=10000000,IFERROR(DATE(INT($W1222/10000),MOD(INT($W1222/100),100),MOD($W1222,100)),""),INT($W1222)),IFERROR(DATE(--LEFT(LEFT(SUBSTITUTE(SUBSTITUTE(SUBSTITUTE(SUBSTITUTE(TRIM($W1222),"-",""),".",""),"/","")," ",""),8),4),--MID(LEFT(SUBSTITUTE(SUBSTITUTE(SUBSTITUTE(SUBSTITUTE(TRIM($W1222),"-",""),".",""),"/","")," ",""),8),5,2),--MID(LEFT(SUBSTITUTE(SUBSTITUTE(SUBSTITUTE(SUBSTITUTE(TRIM($W1222),"-",""),".",""),"/","")," ",""),8),7,2)),"")))</f>
        <v/>
      </c>
      <c r="Y1222" s="32">
        <f>IF($X1222="","",INT($X1222))</f>
        <v/>
      </c>
      <c r="Z1222" s="33">
        <f>IF(OR($Y1222="",$D$6=""),"",IF(INDEX($A:$U,ROW(),$D$6)="",0,IF(ISNUMBER(INDEX($A:$U,ROW(),$D$6)),INDEX($A:$U,ROW(),$D$6),IFERROR(--SUBSTITUTE(SUBSTITUTE(TRIM(INDEX($A:$U,ROW(),$D$6)),",",""),"원",""),0))))</f>
        <v/>
      </c>
      <c r="AA1222" s="31">
        <f>IF($Y1222="","",TRIM(INDEX($A:$U,ROW(),$E$6)&amp;IF($F$6="",""," "&amp;INDEX($A:$U,ROW(),$F$6))))</f>
        <v/>
      </c>
      <c r="AB1222" s="31">
        <f>IF($AA1222="","",SUBSTITUTE(SUBSTITUTE(SUBSTITUTE(SUBSTITUTE(SUBSTITUTE(SUBSTITUTE(SUBSTITUTE(SUBSTITUTE(SUBSTITUTE($AA1222," ",""),"　",""),"(주)",""),"（주）",""),"㈜",""),"주식회사",""),"(유)",""),"（유）",""),"유한회사",""))</f>
        <v/>
      </c>
      <c r="AC1222" s="31">
        <f>IF(OR($Y1222="",N($Z1222)&lt;=0,$AB1222=""),0,IFERROR(LOOKUP(2,1/((거래처별!$AC$8:$AC$307&lt;&gt;"")*ISNUMBER(SEARCH(거래처별!$AC$8:$AC$307,$AB1222))),거래처별!$A$8:$A$307),IFERROR(LOOKUP(2,1/((거래처별!$AD$8:$AD$307&lt;&gt;"")*ISNUMBER(SEARCH(거래처별!$AD$8:$AD$307,$AB1222))),거래처별!$A$8:$A$307),IFERROR(LOOKUP(2,1/((거래처별!$AE$8:$AE$307&lt;&gt;"")*ISNUMBER(SEARCH(거래처별!$AE$8:$AE$307,$AB1222))),거래처별!$A$8:$A$307),0))))</f>
        <v/>
      </c>
      <c r="AD1222" s="31">
        <f>IF(AND($Y1222&lt;&gt;"",N($Z1222)&gt;0,$AC1222=0),MAX($AD$7:$AD1221)+1,"")</f>
        <v/>
      </c>
      <c r="AE1222" s="31">
        <f>IF($Y1222="",0,$Y1222)</f>
        <v/>
      </c>
    </row>
    <row r="1223">
      <c r="W1223" s="31">
        <f>IF(OR($B$5="",$C$6="",ROW()&lt;$B$5),"",IF(INDEX($A:$U,ROW(),$C$6)="","",INDEX($A:$U,ROW(),$C$6)))</f>
        <v/>
      </c>
      <c r="X1223" s="32">
        <f>IF($W1223="","",IF(ISNUMBER($W1223),IF($W1223&gt;=10000000,IFERROR(DATE(INT($W1223/10000),MOD(INT($W1223/100),100),MOD($W1223,100)),""),INT($W1223)),IFERROR(DATE(--LEFT(LEFT(SUBSTITUTE(SUBSTITUTE(SUBSTITUTE(SUBSTITUTE(TRIM($W1223),"-",""),".",""),"/","")," ",""),8),4),--MID(LEFT(SUBSTITUTE(SUBSTITUTE(SUBSTITUTE(SUBSTITUTE(TRIM($W1223),"-",""),".",""),"/","")," ",""),8),5,2),--MID(LEFT(SUBSTITUTE(SUBSTITUTE(SUBSTITUTE(SUBSTITUTE(TRIM($W1223),"-",""),".",""),"/","")," ",""),8),7,2)),"")))</f>
        <v/>
      </c>
      <c r="Y1223" s="32">
        <f>IF($X1223="","",INT($X1223))</f>
        <v/>
      </c>
      <c r="Z1223" s="33">
        <f>IF(OR($Y1223="",$D$6=""),"",IF(INDEX($A:$U,ROW(),$D$6)="",0,IF(ISNUMBER(INDEX($A:$U,ROW(),$D$6)),INDEX($A:$U,ROW(),$D$6),IFERROR(--SUBSTITUTE(SUBSTITUTE(TRIM(INDEX($A:$U,ROW(),$D$6)),",",""),"원",""),0))))</f>
        <v/>
      </c>
      <c r="AA1223" s="31">
        <f>IF($Y1223="","",TRIM(INDEX($A:$U,ROW(),$E$6)&amp;IF($F$6="",""," "&amp;INDEX($A:$U,ROW(),$F$6))))</f>
        <v/>
      </c>
      <c r="AB1223" s="31">
        <f>IF($AA1223="","",SUBSTITUTE(SUBSTITUTE(SUBSTITUTE(SUBSTITUTE(SUBSTITUTE(SUBSTITUTE(SUBSTITUTE(SUBSTITUTE(SUBSTITUTE($AA1223," ",""),"　",""),"(주)",""),"（주）",""),"㈜",""),"주식회사",""),"(유)",""),"（유）",""),"유한회사",""))</f>
        <v/>
      </c>
      <c r="AC1223" s="31">
        <f>IF(OR($Y1223="",N($Z1223)&lt;=0,$AB1223=""),0,IFERROR(LOOKUP(2,1/((거래처별!$AC$8:$AC$307&lt;&gt;"")*ISNUMBER(SEARCH(거래처별!$AC$8:$AC$307,$AB1223))),거래처별!$A$8:$A$307),IFERROR(LOOKUP(2,1/((거래처별!$AD$8:$AD$307&lt;&gt;"")*ISNUMBER(SEARCH(거래처별!$AD$8:$AD$307,$AB1223))),거래처별!$A$8:$A$307),IFERROR(LOOKUP(2,1/((거래처별!$AE$8:$AE$307&lt;&gt;"")*ISNUMBER(SEARCH(거래처별!$AE$8:$AE$307,$AB1223))),거래처별!$A$8:$A$307),0))))</f>
        <v/>
      </c>
      <c r="AD1223" s="31">
        <f>IF(AND($Y1223&lt;&gt;"",N($Z1223)&gt;0,$AC1223=0),MAX($AD$7:$AD1222)+1,"")</f>
        <v/>
      </c>
      <c r="AE1223" s="31">
        <f>IF($Y1223="",0,$Y1223)</f>
        <v/>
      </c>
    </row>
    <row r="1224">
      <c r="W1224" s="31">
        <f>IF(OR($B$5="",$C$6="",ROW()&lt;$B$5),"",IF(INDEX($A:$U,ROW(),$C$6)="","",INDEX($A:$U,ROW(),$C$6)))</f>
        <v/>
      </c>
      <c r="X1224" s="32">
        <f>IF($W1224="","",IF(ISNUMBER($W1224),IF($W1224&gt;=10000000,IFERROR(DATE(INT($W1224/10000),MOD(INT($W1224/100),100),MOD($W1224,100)),""),INT($W1224)),IFERROR(DATE(--LEFT(LEFT(SUBSTITUTE(SUBSTITUTE(SUBSTITUTE(SUBSTITUTE(TRIM($W1224),"-",""),".",""),"/","")," ",""),8),4),--MID(LEFT(SUBSTITUTE(SUBSTITUTE(SUBSTITUTE(SUBSTITUTE(TRIM($W1224),"-",""),".",""),"/","")," ",""),8),5,2),--MID(LEFT(SUBSTITUTE(SUBSTITUTE(SUBSTITUTE(SUBSTITUTE(TRIM($W1224),"-",""),".",""),"/","")," ",""),8),7,2)),"")))</f>
        <v/>
      </c>
      <c r="Y1224" s="32">
        <f>IF($X1224="","",INT($X1224))</f>
        <v/>
      </c>
      <c r="Z1224" s="33">
        <f>IF(OR($Y1224="",$D$6=""),"",IF(INDEX($A:$U,ROW(),$D$6)="",0,IF(ISNUMBER(INDEX($A:$U,ROW(),$D$6)),INDEX($A:$U,ROW(),$D$6),IFERROR(--SUBSTITUTE(SUBSTITUTE(TRIM(INDEX($A:$U,ROW(),$D$6)),",",""),"원",""),0))))</f>
        <v/>
      </c>
      <c r="AA1224" s="31">
        <f>IF($Y1224="","",TRIM(INDEX($A:$U,ROW(),$E$6)&amp;IF($F$6="",""," "&amp;INDEX($A:$U,ROW(),$F$6))))</f>
        <v/>
      </c>
      <c r="AB1224" s="31">
        <f>IF($AA1224="","",SUBSTITUTE(SUBSTITUTE(SUBSTITUTE(SUBSTITUTE(SUBSTITUTE(SUBSTITUTE(SUBSTITUTE(SUBSTITUTE(SUBSTITUTE($AA1224," ",""),"　",""),"(주)",""),"（주）",""),"㈜",""),"주식회사",""),"(유)",""),"（유）",""),"유한회사",""))</f>
        <v/>
      </c>
      <c r="AC1224" s="31">
        <f>IF(OR($Y1224="",N($Z1224)&lt;=0,$AB1224=""),0,IFERROR(LOOKUP(2,1/((거래처별!$AC$8:$AC$307&lt;&gt;"")*ISNUMBER(SEARCH(거래처별!$AC$8:$AC$307,$AB1224))),거래처별!$A$8:$A$307),IFERROR(LOOKUP(2,1/((거래처별!$AD$8:$AD$307&lt;&gt;"")*ISNUMBER(SEARCH(거래처별!$AD$8:$AD$307,$AB1224))),거래처별!$A$8:$A$307),IFERROR(LOOKUP(2,1/((거래처별!$AE$8:$AE$307&lt;&gt;"")*ISNUMBER(SEARCH(거래처별!$AE$8:$AE$307,$AB1224))),거래처별!$A$8:$A$307),0))))</f>
        <v/>
      </c>
      <c r="AD1224" s="31">
        <f>IF(AND($Y1224&lt;&gt;"",N($Z1224)&gt;0,$AC1224=0),MAX($AD$7:$AD1223)+1,"")</f>
        <v/>
      </c>
      <c r="AE1224" s="31">
        <f>IF($Y1224="",0,$Y1224)</f>
        <v/>
      </c>
    </row>
    <row r="1225">
      <c r="W1225" s="31">
        <f>IF(OR($B$5="",$C$6="",ROW()&lt;$B$5),"",IF(INDEX($A:$U,ROW(),$C$6)="","",INDEX($A:$U,ROW(),$C$6)))</f>
        <v/>
      </c>
      <c r="X1225" s="32">
        <f>IF($W1225="","",IF(ISNUMBER($W1225),IF($W1225&gt;=10000000,IFERROR(DATE(INT($W1225/10000),MOD(INT($W1225/100),100),MOD($W1225,100)),""),INT($W1225)),IFERROR(DATE(--LEFT(LEFT(SUBSTITUTE(SUBSTITUTE(SUBSTITUTE(SUBSTITUTE(TRIM($W1225),"-",""),".",""),"/","")," ",""),8),4),--MID(LEFT(SUBSTITUTE(SUBSTITUTE(SUBSTITUTE(SUBSTITUTE(TRIM($W1225),"-",""),".",""),"/","")," ",""),8),5,2),--MID(LEFT(SUBSTITUTE(SUBSTITUTE(SUBSTITUTE(SUBSTITUTE(TRIM($W1225),"-",""),".",""),"/","")," ",""),8),7,2)),"")))</f>
        <v/>
      </c>
      <c r="Y1225" s="32">
        <f>IF($X1225="","",INT($X1225))</f>
        <v/>
      </c>
      <c r="Z1225" s="33">
        <f>IF(OR($Y1225="",$D$6=""),"",IF(INDEX($A:$U,ROW(),$D$6)="",0,IF(ISNUMBER(INDEX($A:$U,ROW(),$D$6)),INDEX($A:$U,ROW(),$D$6),IFERROR(--SUBSTITUTE(SUBSTITUTE(TRIM(INDEX($A:$U,ROW(),$D$6)),",",""),"원",""),0))))</f>
        <v/>
      </c>
      <c r="AA1225" s="31">
        <f>IF($Y1225="","",TRIM(INDEX($A:$U,ROW(),$E$6)&amp;IF($F$6="",""," "&amp;INDEX($A:$U,ROW(),$F$6))))</f>
        <v/>
      </c>
      <c r="AB1225" s="31">
        <f>IF($AA1225="","",SUBSTITUTE(SUBSTITUTE(SUBSTITUTE(SUBSTITUTE(SUBSTITUTE(SUBSTITUTE(SUBSTITUTE(SUBSTITUTE(SUBSTITUTE($AA1225," ",""),"　",""),"(주)",""),"（주）",""),"㈜",""),"주식회사",""),"(유)",""),"（유）",""),"유한회사",""))</f>
        <v/>
      </c>
      <c r="AC1225" s="31">
        <f>IF(OR($Y1225="",N($Z1225)&lt;=0,$AB1225=""),0,IFERROR(LOOKUP(2,1/((거래처별!$AC$8:$AC$307&lt;&gt;"")*ISNUMBER(SEARCH(거래처별!$AC$8:$AC$307,$AB1225))),거래처별!$A$8:$A$307),IFERROR(LOOKUP(2,1/((거래처별!$AD$8:$AD$307&lt;&gt;"")*ISNUMBER(SEARCH(거래처별!$AD$8:$AD$307,$AB1225))),거래처별!$A$8:$A$307),IFERROR(LOOKUP(2,1/((거래처별!$AE$8:$AE$307&lt;&gt;"")*ISNUMBER(SEARCH(거래처별!$AE$8:$AE$307,$AB1225))),거래처별!$A$8:$A$307),0))))</f>
        <v/>
      </c>
      <c r="AD1225" s="31">
        <f>IF(AND($Y1225&lt;&gt;"",N($Z1225)&gt;0,$AC1225=0),MAX($AD$7:$AD1224)+1,"")</f>
        <v/>
      </c>
      <c r="AE1225" s="31">
        <f>IF($Y1225="",0,$Y1225)</f>
        <v/>
      </c>
    </row>
    <row r="1226">
      <c r="W1226" s="31">
        <f>IF(OR($B$5="",$C$6="",ROW()&lt;$B$5),"",IF(INDEX($A:$U,ROW(),$C$6)="","",INDEX($A:$U,ROW(),$C$6)))</f>
        <v/>
      </c>
      <c r="X1226" s="32">
        <f>IF($W1226="","",IF(ISNUMBER($W1226),IF($W1226&gt;=10000000,IFERROR(DATE(INT($W1226/10000),MOD(INT($W1226/100),100),MOD($W1226,100)),""),INT($W1226)),IFERROR(DATE(--LEFT(LEFT(SUBSTITUTE(SUBSTITUTE(SUBSTITUTE(SUBSTITUTE(TRIM($W1226),"-",""),".",""),"/","")," ",""),8),4),--MID(LEFT(SUBSTITUTE(SUBSTITUTE(SUBSTITUTE(SUBSTITUTE(TRIM($W1226),"-",""),".",""),"/","")," ",""),8),5,2),--MID(LEFT(SUBSTITUTE(SUBSTITUTE(SUBSTITUTE(SUBSTITUTE(TRIM($W1226),"-",""),".",""),"/","")," ",""),8),7,2)),"")))</f>
        <v/>
      </c>
      <c r="Y1226" s="32">
        <f>IF($X1226="","",INT($X1226))</f>
        <v/>
      </c>
      <c r="Z1226" s="33">
        <f>IF(OR($Y1226="",$D$6=""),"",IF(INDEX($A:$U,ROW(),$D$6)="",0,IF(ISNUMBER(INDEX($A:$U,ROW(),$D$6)),INDEX($A:$U,ROW(),$D$6),IFERROR(--SUBSTITUTE(SUBSTITUTE(TRIM(INDEX($A:$U,ROW(),$D$6)),",",""),"원",""),0))))</f>
        <v/>
      </c>
      <c r="AA1226" s="31">
        <f>IF($Y1226="","",TRIM(INDEX($A:$U,ROW(),$E$6)&amp;IF($F$6="",""," "&amp;INDEX($A:$U,ROW(),$F$6))))</f>
        <v/>
      </c>
      <c r="AB1226" s="31">
        <f>IF($AA1226="","",SUBSTITUTE(SUBSTITUTE(SUBSTITUTE(SUBSTITUTE(SUBSTITUTE(SUBSTITUTE(SUBSTITUTE(SUBSTITUTE(SUBSTITUTE($AA1226," ",""),"　",""),"(주)",""),"（주）",""),"㈜",""),"주식회사",""),"(유)",""),"（유）",""),"유한회사",""))</f>
        <v/>
      </c>
      <c r="AC1226" s="31">
        <f>IF(OR($Y1226="",N($Z1226)&lt;=0,$AB1226=""),0,IFERROR(LOOKUP(2,1/((거래처별!$AC$8:$AC$307&lt;&gt;"")*ISNUMBER(SEARCH(거래처별!$AC$8:$AC$307,$AB1226))),거래처별!$A$8:$A$307),IFERROR(LOOKUP(2,1/((거래처별!$AD$8:$AD$307&lt;&gt;"")*ISNUMBER(SEARCH(거래처별!$AD$8:$AD$307,$AB1226))),거래처별!$A$8:$A$307),IFERROR(LOOKUP(2,1/((거래처별!$AE$8:$AE$307&lt;&gt;"")*ISNUMBER(SEARCH(거래처별!$AE$8:$AE$307,$AB1226))),거래처별!$A$8:$A$307),0))))</f>
        <v/>
      </c>
      <c r="AD1226" s="31">
        <f>IF(AND($Y1226&lt;&gt;"",N($Z1226)&gt;0,$AC1226=0),MAX($AD$7:$AD1225)+1,"")</f>
        <v/>
      </c>
      <c r="AE1226" s="31">
        <f>IF($Y1226="",0,$Y1226)</f>
        <v/>
      </c>
    </row>
    <row r="1227">
      <c r="W1227" s="31">
        <f>IF(OR($B$5="",$C$6="",ROW()&lt;$B$5),"",IF(INDEX($A:$U,ROW(),$C$6)="","",INDEX($A:$U,ROW(),$C$6)))</f>
        <v/>
      </c>
      <c r="X1227" s="32">
        <f>IF($W1227="","",IF(ISNUMBER($W1227),IF($W1227&gt;=10000000,IFERROR(DATE(INT($W1227/10000),MOD(INT($W1227/100),100),MOD($W1227,100)),""),INT($W1227)),IFERROR(DATE(--LEFT(LEFT(SUBSTITUTE(SUBSTITUTE(SUBSTITUTE(SUBSTITUTE(TRIM($W1227),"-",""),".",""),"/","")," ",""),8),4),--MID(LEFT(SUBSTITUTE(SUBSTITUTE(SUBSTITUTE(SUBSTITUTE(TRIM($W1227),"-",""),".",""),"/","")," ",""),8),5,2),--MID(LEFT(SUBSTITUTE(SUBSTITUTE(SUBSTITUTE(SUBSTITUTE(TRIM($W1227),"-",""),".",""),"/","")," ",""),8),7,2)),"")))</f>
        <v/>
      </c>
      <c r="Y1227" s="32">
        <f>IF($X1227="","",INT($X1227))</f>
        <v/>
      </c>
      <c r="Z1227" s="33">
        <f>IF(OR($Y1227="",$D$6=""),"",IF(INDEX($A:$U,ROW(),$D$6)="",0,IF(ISNUMBER(INDEX($A:$U,ROW(),$D$6)),INDEX($A:$U,ROW(),$D$6),IFERROR(--SUBSTITUTE(SUBSTITUTE(TRIM(INDEX($A:$U,ROW(),$D$6)),",",""),"원",""),0))))</f>
        <v/>
      </c>
      <c r="AA1227" s="31">
        <f>IF($Y1227="","",TRIM(INDEX($A:$U,ROW(),$E$6)&amp;IF($F$6="",""," "&amp;INDEX($A:$U,ROW(),$F$6))))</f>
        <v/>
      </c>
      <c r="AB1227" s="31">
        <f>IF($AA1227="","",SUBSTITUTE(SUBSTITUTE(SUBSTITUTE(SUBSTITUTE(SUBSTITUTE(SUBSTITUTE(SUBSTITUTE(SUBSTITUTE(SUBSTITUTE($AA1227," ",""),"　",""),"(주)",""),"（주）",""),"㈜",""),"주식회사",""),"(유)",""),"（유）",""),"유한회사",""))</f>
        <v/>
      </c>
      <c r="AC1227" s="31">
        <f>IF(OR($Y1227="",N($Z1227)&lt;=0,$AB1227=""),0,IFERROR(LOOKUP(2,1/((거래처별!$AC$8:$AC$307&lt;&gt;"")*ISNUMBER(SEARCH(거래처별!$AC$8:$AC$307,$AB1227))),거래처별!$A$8:$A$307),IFERROR(LOOKUP(2,1/((거래처별!$AD$8:$AD$307&lt;&gt;"")*ISNUMBER(SEARCH(거래처별!$AD$8:$AD$307,$AB1227))),거래처별!$A$8:$A$307),IFERROR(LOOKUP(2,1/((거래처별!$AE$8:$AE$307&lt;&gt;"")*ISNUMBER(SEARCH(거래처별!$AE$8:$AE$307,$AB1227))),거래처별!$A$8:$A$307),0))))</f>
        <v/>
      </c>
      <c r="AD1227" s="31">
        <f>IF(AND($Y1227&lt;&gt;"",N($Z1227)&gt;0,$AC1227=0),MAX($AD$7:$AD1226)+1,"")</f>
        <v/>
      </c>
      <c r="AE1227" s="31">
        <f>IF($Y1227="",0,$Y1227)</f>
        <v/>
      </c>
    </row>
    <row r="1228">
      <c r="W1228" s="31">
        <f>IF(OR($B$5="",$C$6="",ROW()&lt;$B$5),"",IF(INDEX($A:$U,ROW(),$C$6)="","",INDEX($A:$U,ROW(),$C$6)))</f>
        <v/>
      </c>
      <c r="X1228" s="32">
        <f>IF($W1228="","",IF(ISNUMBER($W1228),IF($W1228&gt;=10000000,IFERROR(DATE(INT($W1228/10000),MOD(INT($W1228/100),100),MOD($W1228,100)),""),INT($W1228)),IFERROR(DATE(--LEFT(LEFT(SUBSTITUTE(SUBSTITUTE(SUBSTITUTE(SUBSTITUTE(TRIM($W1228),"-",""),".",""),"/","")," ",""),8),4),--MID(LEFT(SUBSTITUTE(SUBSTITUTE(SUBSTITUTE(SUBSTITUTE(TRIM($W1228),"-",""),".",""),"/","")," ",""),8),5,2),--MID(LEFT(SUBSTITUTE(SUBSTITUTE(SUBSTITUTE(SUBSTITUTE(TRIM($W1228),"-",""),".",""),"/","")," ",""),8),7,2)),"")))</f>
        <v/>
      </c>
      <c r="Y1228" s="32">
        <f>IF($X1228="","",INT($X1228))</f>
        <v/>
      </c>
      <c r="Z1228" s="33">
        <f>IF(OR($Y1228="",$D$6=""),"",IF(INDEX($A:$U,ROW(),$D$6)="",0,IF(ISNUMBER(INDEX($A:$U,ROW(),$D$6)),INDEX($A:$U,ROW(),$D$6),IFERROR(--SUBSTITUTE(SUBSTITUTE(TRIM(INDEX($A:$U,ROW(),$D$6)),",",""),"원",""),0))))</f>
        <v/>
      </c>
      <c r="AA1228" s="31">
        <f>IF($Y1228="","",TRIM(INDEX($A:$U,ROW(),$E$6)&amp;IF($F$6="",""," "&amp;INDEX($A:$U,ROW(),$F$6))))</f>
        <v/>
      </c>
      <c r="AB1228" s="31">
        <f>IF($AA1228="","",SUBSTITUTE(SUBSTITUTE(SUBSTITUTE(SUBSTITUTE(SUBSTITUTE(SUBSTITUTE(SUBSTITUTE(SUBSTITUTE(SUBSTITUTE($AA1228," ",""),"　",""),"(주)",""),"（주）",""),"㈜",""),"주식회사",""),"(유)",""),"（유）",""),"유한회사",""))</f>
        <v/>
      </c>
      <c r="AC1228" s="31">
        <f>IF(OR($Y1228="",N($Z1228)&lt;=0,$AB1228=""),0,IFERROR(LOOKUP(2,1/((거래처별!$AC$8:$AC$307&lt;&gt;"")*ISNUMBER(SEARCH(거래처별!$AC$8:$AC$307,$AB1228))),거래처별!$A$8:$A$307),IFERROR(LOOKUP(2,1/((거래처별!$AD$8:$AD$307&lt;&gt;"")*ISNUMBER(SEARCH(거래처별!$AD$8:$AD$307,$AB1228))),거래처별!$A$8:$A$307),IFERROR(LOOKUP(2,1/((거래처별!$AE$8:$AE$307&lt;&gt;"")*ISNUMBER(SEARCH(거래처별!$AE$8:$AE$307,$AB1228))),거래처별!$A$8:$A$307),0))))</f>
        <v/>
      </c>
      <c r="AD1228" s="31">
        <f>IF(AND($Y1228&lt;&gt;"",N($Z1228)&gt;0,$AC1228=0),MAX($AD$7:$AD1227)+1,"")</f>
        <v/>
      </c>
      <c r="AE1228" s="31">
        <f>IF($Y1228="",0,$Y1228)</f>
        <v/>
      </c>
    </row>
    <row r="1229">
      <c r="W1229" s="31">
        <f>IF(OR($B$5="",$C$6="",ROW()&lt;$B$5),"",IF(INDEX($A:$U,ROW(),$C$6)="","",INDEX($A:$U,ROW(),$C$6)))</f>
        <v/>
      </c>
      <c r="X1229" s="32">
        <f>IF($W1229="","",IF(ISNUMBER($W1229),IF($W1229&gt;=10000000,IFERROR(DATE(INT($W1229/10000),MOD(INT($W1229/100),100),MOD($W1229,100)),""),INT($W1229)),IFERROR(DATE(--LEFT(LEFT(SUBSTITUTE(SUBSTITUTE(SUBSTITUTE(SUBSTITUTE(TRIM($W1229),"-",""),".",""),"/","")," ",""),8),4),--MID(LEFT(SUBSTITUTE(SUBSTITUTE(SUBSTITUTE(SUBSTITUTE(TRIM($W1229),"-",""),".",""),"/","")," ",""),8),5,2),--MID(LEFT(SUBSTITUTE(SUBSTITUTE(SUBSTITUTE(SUBSTITUTE(TRIM($W1229),"-",""),".",""),"/","")," ",""),8),7,2)),"")))</f>
        <v/>
      </c>
      <c r="Y1229" s="32">
        <f>IF($X1229="","",INT($X1229))</f>
        <v/>
      </c>
      <c r="Z1229" s="33">
        <f>IF(OR($Y1229="",$D$6=""),"",IF(INDEX($A:$U,ROW(),$D$6)="",0,IF(ISNUMBER(INDEX($A:$U,ROW(),$D$6)),INDEX($A:$U,ROW(),$D$6),IFERROR(--SUBSTITUTE(SUBSTITUTE(TRIM(INDEX($A:$U,ROW(),$D$6)),",",""),"원",""),0))))</f>
        <v/>
      </c>
      <c r="AA1229" s="31">
        <f>IF($Y1229="","",TRIM(INDEX($A:$U,ROW(),$E$6)&amp;IF($F$6="",""," "&amp;INDEX($A:$U,ROW(),$F$6))))</f>
        <v/>
      </c>
      <c r="AB1229" s="31">
        <f>IF($AA1229="","",SUBSTITUTE(SUBSTITUTE(SUBSTITUTE(SUBSTITUTE(SUBSTITUTE(SUBSTITUTE(SUBSTITUTE(SUBSTITUTE(SUBSTITUTE($AA1229," ",""),"　",""),"(주)",""),"（주）",""),"㈜",""),"주식회사",""),"(유)",""),"（유）",""),"유한회사",""))</f>
        <v/>
      </c>
      <c r="AC1229" s="31">
        <f>IF(OR($Y1229="",N($Z1229)&lt;=0,$AB1229=""),0,IFERROR(LOOKUP(2,1/((거래처별!$AC$8:$AC$307&lt;&gt;"")*ISNUMBER(SEARCH(거래처별!$AC$8:$AC$307,$AB1229))),거래처별!$A$8:$A$307),IFERROR(LOOKUP(2,1/((거래처별!$AD$8:$AD$307&lt;&gt;"")*ISNUMBER(SEARCH(거래처별!$AD$8:$AD$307,$AB1229))),거래처별!$A$8:$A$307),IFERROR(LOOKUP(2,1/((거래처별!$AE$8:$AE$307&lt;&gt;"")*ISNUMBER(SEARCH(거래처별!$AE$8:$AE$307,$AB1229))),거래처별!$A$8:$A$307),0))))</f>
        <v/>
      </c>
      <c r="AD1229" s="31">
        <f>IF(AND($Y1229&lt;&gt;"",N($Z1229)&gt;0,$AC1229=0),MAX($AD$7:$AD1228)+1,"")</f>
        <v/>
      </c>
      <c r="AE1229" s="31">
        <f>IF($Y1229="",0,$Y1229)</f>
        <v/>
      </c>
    </row>
    <row r="1230">
      <c r="W1230" s="31">
        <f>IF(OR($B$5="",$C$6="",ROW()&lt;$B$5),"",IF(INDEX($A:$U,ROW(),$C$6)="","",INDEX($A:$U,ROW(),$C$6)))</f>
        <v/>
      </c>
      <c r="X1230" s="32">
        <f>IF($W1230="","",IF(ISNUMBER($W1230),IF($W1230&gt;=10000000,IFERROR(DATE(INT($W1230/10000),MOD(INT($W1230/100),100),MOD($W1230,100)),""),INT($W1230)),IFERROR(DATE(--LEFT(LEFT(SUBSTITUTE(SUBSTITUTE(SUBSTITUTE(SUBSTITUTE(TRIM($W1230),"-",""),".",""),"/","")," ",""),8),4),--MID(LEFT(SUBSTITUTE(SUBSTITUTE(SUBSTITUTE(SUBSTITUTE(TRIM($W1230),"-",""),".",""),"/","")," ",""),8),5,2),--MID(LEFT(SUBSTITUTE(SUBSTITUTE(SUBSTITUTE(SUBSTITUTE(TRIM($W1230),"-",""),".",""),"/","")," ",""),8),7,2)),"")))</f>
        <v/>
      </c>
      <c r="Y1230" s="32">
        <f>IF($X1230="","",INT($X1230))</f>
        <v/>
      </c>
      <c r="Z1230" s="33">
        <f>IF(OR($Y1230="",$D$6=""),"",IF(INDEX($A:$U,ROW(),$D$6)="",0,IF(ISNUMBER(INDEX($A:$U,ROW(),$D$6)),INDEX($A:$U,ROW(),$D$6),IFERROR(--SUBSTITUTE(SUBSTITUTE(TRIM(INDEX($A:$U,ROW(),$D$6)),",",""),"원",""),0))))</f>
        <v/>
      </c>
      <c r="AA1230" s="31">
        <f>IF($Y1230="","",TRIM(INDEX($A:$U,ROW(),$E$6)&amp;IF($F$6="",""," "&amp;INDEX($A:$U,ROW(),$F$6))))</f>
        <v/>
      </c>
      <c r="AB1230" s="31">
        <f>IF($AA1230="","",SUBSTITUTE(SUBSTITUTE(SUBSTITUTE(SUBSTITUTE(SUBSTITUTE(SUBSTITUTE(SUBSTITUTE(SUBSTITUTE(SUBSTITUTE($AA1230," ",""),"　",""),"(주)",""),"（주）",""),"㈜",""),"주식회사",""),"(유)",""),"（유）",""),"유한회사",""))</f>
        <v/>
      </c>
      <c r="AC1230" s="31">
        <f>IF(OR($Y1230="",N($Z1230)&lt;=0,$AB1230=""),0,IFERROR(LOOKUP(2,1/((거래처별!$AC$8:$AC$307&lt;&gt;"")*ISNUMBER(SEARCH(거래처별!$AC$8:$AC$307,$AB1230))),거래처별!$A$8:$A$307),IFERROR(LOOKUP(2,1/((거래처별!$AD$8:$AD$307&lt;&gt;"")*ISNUMBER(SEARCH(거래처별!$AD$8:$AD$307,$AB1230))),거래처별!$A$8:$A$307),IFERROR(LOOKUP(2,1/((거래처별!$AE$8:$AE$307&lt;&gt;"")*ISNUMBER(SEARCH(거래처별!$AE$8:$AE$307,$AB1230))),거래처별!$A$8:$A$307),0))))</f>
        <v/>
      </c>
      <c r="AD1230" s="31">
        <f>IF(AND($Y1230&lt;&gt;"",N($Z1230)&gt;0,$AC1230=0),MAX($AD$7:$AD1229)+1,"")</f>
        <v/>
      </c>
      <c r="AE1230" s="31">
        <f>IF($Y1230="",0,$Y1230)</f>
        <v/>
      </c>
    </row>
    <row r="1231">
      <c r="W1231" s="31">
        <f>IF(OR($B$5="",$C$6="",ROW()&lt;$B$5),"",IF(INDEX($A:$U,ROW(),$C$6)="","",INDEX($A:$U,ROW(),$C$6)))</f>
        <v/>
      </c>
      <c r="X1231" s="32">
        <f>IF($W1231="","",IF(ISNUMBER($W1231),IF($W1231&gt;=10000000,IFERROR(DATE(INT($W1231/10000),MOD(INT($W1231/100),100),MOD($W1231,100)),""),INT($W1231)),IFERROR(DATE(--LEFT(LEFT(SUBSTITUTE(SUBSTITUTE(SUBSTITUTE(SUBSTITUTE(TRIM($W1231),"-",""),".",""),"/","")," ",""),8),4),--MID(LEFT(SUBSTITUTE(SUBSTITUTE(SUBSTITUTE(SUBSTITUTE(TRIM($W1231),"-",""),".",""),"/","")," ",""),8),5,2),--MID(LEFT(SUBSTITUTE(SUBSTITUTE(SUBSTITUTE(SUBSTITUTE(TRIM($W1231),"-",""),".",""),"/","")," ",""),8),7,2)),"")))</f>
        <v/>
      </c>
      <c r="Y1231" s="32">
        <f>IF($X1231="","",INT($X1231))</f>
        <v/>
      </c>
      <c r="Z1231" s="33">
        <f>IF(OR($Y1231="",$D$6=""),"",IF(INDEX($A:$U,ROW(),$D$6)="",0,IF(ISNUMBER(INDEX($A:$U,ROW(),$D$6)),INDEX($A:$U,ROW(),$D$6),IFERROR(--SUBSTITUTE(SUBSTITUTE(TRIM(INDEX($A:$U,ROW(),$D$6)),",",""),"원",""),0))))</f>
        <v/>
      </c>
      <c r="AA1231" s="31">
        <f>IF($Y1231="","",TRIM(INDEX($A:$U,ROW(),$E$6)&amp;IF($F$6="",""," "&amp;INDEX($A:$U,ROW(),$F$6))))</f>
        <v/>
      </c>
      <c r="AB1231" s="31">
        <f>IF($AA1231="","",SUBSTITUTE(SUBSTITUTE(SUBSTITUTE(SUBSTITUTE(SUBSTITUTE(SUBSTITUTE(SUBSTITUTE(SUBSTITUTE(SUBSTITUTE($AA1231," ",""),"　",""),"(주)",""),"（주）",""),"㈜",""),"주식회사",""),"(유)",""),"（유）",""),"유한회사",""))</f>
        <v/>
      </c>
      <c r="AC1231" s="31">
        <f>IF(OR($Y1231="",N($Z1231)&lt;=0,$AB1231=""),0,IFERROR(LOOKUP(2,1/((거래처별!$AC$8:$AC$307&lt;&gt;"")*ISNUMBER(SEARCH(거래처별!$AC$8:$AC$307,$AB1231))),거래처별!$A$8:$A$307),IFERROR(LOOKUP(2,1/((거래처별!$AD$8:$AD$307&lt;&gt;"")*ISNUMBER(SEARCH(거래처별!$AD$8:$AD$307,$AB1231))),거래처별!$A$8:$A$307),IFERROR(LOOKUP(2,1/((거래처별!$AE$8:$AE$307&lt;&gt;"")*ISNUMBER(SEARCH(거래처별!$AE$8:$AE$307,$AB1231))),거래처별!$A$8:$A$307),0))))</f>
        <v/>
      </c>
      <c r="AD1231" s="31">
        <f>IF(AND($Y1231&lt;&gt;"",N($Z1231)&gt;0,$AC1231=0),MAX($AD$7:$AD1230)+1,"")</f>
        <v/>
      </c>
      <c r="AE1231" s="31">
        <f>IF($Y1231="",0,$Y1231)</f>
        <v/>
      </c>
    </row>
    <row r="1232">
      <c r="W1232" s="31">
        <f>IF(OR($B$5="",$C$6="",ROW()&lt;$B$5),"",IF(INDEX($A:$U,ROW(),$C$6)="","",INDEX($A:$U,ROW(),$C$6)))</f>
        <v/>
      </c>
      <c r="X1232" s="32">
        <f>IF($W1232="","",IF(ISNUMBER($W1232),IF($W1232&gt;=10000000,IFERROR(DATE(INT($W1232/10000),MOD(INT($W1232/100),100),MOD($W1232,100)),""),INT($W1232)),IFERROR(DATE(--LEFT(LEFT(SUBSTITUTE(SUBSTITUTE(SUBSTITUTE(SUBSTITUTE(TRIM($W1232),"-",""),".",""),"/","")," ",""),8),4),--MID(LEFT(SUBSTITUTE(SUBSTITUTE(SUBSTITUTE(SUBSTITUTE(TRIM($W1232),"-",""),".",""),"/","")," ",""),8),5,2),--MID(LEFT(SUBSTITUTE(SUBSTITUTE(SUBSTITUTE(SUBSTITUTE(TRIM($W1232),"-",""),".",""),"/","")," ",""),8),7,2)),"")))</f>
        <v/>
      </c>
      <c r="Y1232" s="32">
        <f>IF($X1232="","",INT($X1232))</f>
        <v/>
      </c>
      <c r="Z1232" s="33">
        <f>IF(OR($Y1232="",$D$6=""),"",IF(INDEX($A:$U,ROW(),$D$6)="",0,IF(ISNUMBER(INDEX($A:$U,ROW(),$D$6)),INDEX($A:$U,ROW(),$D$6),IFERROR(--SUBSTITUTE(SUBSTITUTE(TRIM(INDEX($A:$U,ROW(),$D$6)),",",""),"원",""),0))))</f>
        <v/>
      </c>
      <c r="AA1232" s="31">
        <f>IF($Y1232="","",TRIM(INDEX($A:$U,ROW(),$E$6)&amp;IF($F$6="",""," "&amp;INDEX($A:$U,ROW(),$F$6))))</f>
        <v/>
      </c>
      <c r="AB1232" s="31">
        <f>IF($AA1232="","",SUBSTITUTE(SUBSTITUTE(SUBSTITUTE(SUBSTITUTE(SUBSTITUTE(SUBSTITUTE(SUBSTITUTE(SUBSTITUTE(SUBSTITUTE($AA1232," ",""),"　",""),"(주)",""),"（주）",""),"㈜",""),"주식회사",""),"(유)",""),"（유）",""),"유한회사",""))</f>
        <v/>
      </c>
      <c r="AC1232" s="31">
        <f>IF(OR($Y1232="",N($Z1232)&lt;=0,$AB1232=""),0,IFERROR(LOOKUP(2,1/((거래처별!$AC$8:$AC$307&lt;&gt;"")*ISNUMBER(SEARCH(거래처별!$AC$8:$AC$307,$AB1232))),거래처별!$A$8:$A$307),IFERROR(LOOKUP(2,1/((거래처별!$AD$8:$AD$307&lt;&gt;"")*ISNUMBER(SEARCH(거래처별!$AD$8:$AD$307,$AB1232))),거래처별!$A$8:$A$307),IFERROR(LOOKUP(2,1/((거래처별!$AE$8:$AE$307&lt;&gt;"")*ISNUMBER(SEARCH(거래처별!$AE$8:$AE$307,$AB1232))),거래처별!$A$8:$A$307),0))))</f>
        <v/>
      </c>
      <c r="AD1232" s="31">
        <f>IF(AND($Y1232&lt;&gt;"",N($Z1232)&gt;0,$AC1232=0),MAX($AD$7:$AD1231)+1,"")</f>
        <v/>
      </c>
      <c r="AE1232" s="31">
        <f>IF($Y1232="",0,$Y1232)</f>
        <v/>
      </c>
    </row>
    <row r="1233">
      <c r="W1233" s="31">
        <f>IF(OR($B$5="",$C$6="",ROW()&lt;$B$5),"",IF(INDEX($A:$U,ROW(),$C$6)="","",INDEX($A:$U,ROW(),$C$6)))</f>
        <v/>
      </c>
      <c r="X1233" s="32">
        <f>IF($W1233="","",IF(ISNUMBER($W1233),IF($W1233&gt;=10000000,IFERROR(DATE(INT($W1233/10000),MOD(INT($W1233/100),100),MOD($W1233,100)),""),INT($W1233)),IFERROR(DATE(--LEFT(LEFT(SUBSTITUTE(SUBSTITUTE(SUBSTITUTE(SUBSTITUTE(TRIM($W1233),"-",""),".",""),"/","")," ",""),8),4),--MID(LEFT(SUBSTITUTE(SUBSTITUTE(SUBSTITUTE(SUBSTITUTE(TRIM($W1233),"-",""),".",""),"/","")," ",""),8),5,2),--MID(LEFT(SUBSTITUTE(SUBSTITUTE(SUBSTITUTE(SUBSTITUTE(TRIM($W1233),"-",""),".",""),"/","")," ",""),8),7,2)),"")))</f>
        <v/>
      </c>
      <c r="Y1233" s="32">
        <f>IF($X1233="","",INT($X1233))</f>
        <v/>
      </c>
      <c r="Z1233" s="33">
        <f>IF(OR($Y1233="",$D$6=""),"",IF(INDEX($A:$U,ROW(),$D$6)="",0,IF(ISNUMBER(INDEX($A:$U,ROW(),$D$6)),INDEX($A:$U,ROW(),$D$6),IFERROR(--SUBSTITUTE(SUBSTITUTE(TRIM(INDEX($A:$U,ROW(),$D$6)),",",""),"원",""),0))))</f>
        <v/>
      </c>
      <c r="AA1233" s="31">
        <f>IF($Y1233="","",TRIM(INDEX($A:$U,ROW(),$E$6)&amp;IF($F$6="",""," "&amp;INDEX($A:$U,ROW(),$F$6))))</f>
        <v/>
      </c>
      <c r="AB1233" s="31">
        <f>IF($AA1233="","",SUBSTITUTE(SUBSTITUTE(SUBSTITUTE(SUBSTITUTE(SUBSTITUTE(SUBSTITUTE(SUBSTITUTE(SUBSTITUTE(SUBSTITUTE($AA1233," ",""),"　",""),"(주)",""),"（주）",""),"㈜",""),"주식회사",""),"(유)",""),"（유）",""),"유한회사",""))</f>
        <v/>
      </c>
      <c r="AC1233" s="31">
        <f>IF(OR($Y1233="",N($Z1233)&lt;=0,$AB1233=""),0,IFERROR(LOOKUP(2,1/((거래처별!$AC$8:$AC$307&lt;&gt;"")*ISNUMBER(SEARCH(거래처별!$AC$8:$AC$307,$AB1233))),거래처별!$A$8:$A$307),IFERROR(LOOKUP(2,1/((거래처별!$AD$8:$AD$307&lt;&gt;"")*ISNUMBER(SEARCH(거래처별!$AD$8:$AD$307,$AB1233))),거래처별!$A$8:$A$307),IFERROR(LOOKUP(2,1/((거래처별!$AE$8:$AE$307&lt;&gt;"")*ISNUMBER(SEARCH(거래처별!$AE$8:$AE$307,$AB1233))),거래처별!$A$8:$A$307),0))))</f>
        <v/>
      </c>
      <c r="AD1233" s="31">
        <f>IF(AND($Y1233&lt;&gt;"",N($Z1233)&gt;0,$AC1233=0),MAX($AD$7:$AD1232)+1,"")</f>
        <v/>
      </c>
      <c r="AE1233" s="31">
        <f>IF($Y1233="",0,$Y1233)</f>
        <v/>
      </c>
    </row>
    <row r="1234">
      <c r="W1234" s="31">
        <f>IF(OR($B$5="",$C$6="",ROW()&lt;$B$5),"",IF(INDEX($A:$U,ROW(),$C$6)="","",INDEX($A:$U,ROW(),$C$6)))</f>
        <v/>
      </c>
      <c r="X1234" s="32">
        <f>IF($W1234="","",IF(ISNUMBER($W1234),IF($W1234&gt;=10000000,IFERROR(DATE(INT($W1234/10000),MOD(INT($W1234/100),100),MOD($W1234,100)),""),INT($W1234)),IFERROR(DATE(--LEFT(LEFT(SUBSTITUTE(SUBSTITUTE(SUBSTITUTE(SUBSTITUTE(TRIM($W1234),"-",""),".",""),"/","")," ",""),8),4),--MID(LEFT(SUBSTITUTE(SUBSTITUTE(SUBSTITUTE(SUBSTITUTE(TRIM($W1234),"-",""),".",""),"/","")," ",""),8),5,2),--MID(LEFT(SUBSTITUTE(SUBSTITUTE(SUBSTITUTE(SUBSTITUTE(TRIM($W1234),"-",""),".",""),"/","")," ",""),8),7,2)),"")))</f>
        <v/>
      </c>
      <c r="Y1234" s="32">
        <f>IF($X1234="","",INT($X1234))</f>
        <v/>
      </c>
      <c r="Z1234" s="33">
        <f>IF(OR($Y1234="",$D$6=""),"",IF(INDEX($A:$U,ROW(),$D$6)="",0,IF(ISNUMBER(INDEX($A:$U,ROW(),$D$6)),INDEX($A:$U,ROW(),$D$6),IFERROR(--SUBSTITUTE(SUBSTITUTE(TRIM(INDEX($A:$U,ROW(),$D$6)),",",""),"원",""),0))))</f>
        <v/>
      </c>
      <c r="AA1234" s="31">
        <f>IF($Y1234="","",TRIM(INDEX($A:$U,ROW(),$E$6)&amp;IF($F$6="",""," "&amp;INDEX($A:$U,ROW(),$F$6))))</f>
        <v/>
      </c>
      <c r="AB1234" s="31">
        <f>IF($AA1234="","",SUBSTITUTE(SUBSTITUTE(SUBSTITUTE(SUBSTITUTE(SUBSTITUTE(SUBSTITUTE(SUBSTITUTE(SUBSTITUTE(SUBSTITUTE($AA1234," ",""),"　",""),"(주)",""),"（주）",""),"㈜",""),"주식회사",""),"(유)",""),"（유）",""),"유한회사",""))</f>
        <v/>
      </c>
      <c r="AC1234" s="31">
        <f>IF(OR($Y1234="",N($Z1234)&lt;=0,$AB1234=""),0,IFERROR(LOOKUP(2,1/((거래처별!$AC$8:$AC$307&lt;&gt;"")*ISNUMBER(SEARCH(거래처별!$AC$8:$AC$307,$AB1234))),거래처별!$A$8:$A$307),IFERROR(LOOKUP(2,1/((거래처별!$AD$8:$AD$307&lt;&gt;"")*ISNUMBER(SEARCH(거래처별!$AD$8:$AD$307,$AB1234))),거래처별!$A$8:$A$307),IFERROR(LOOKUP(2,1/((거래처별!$AE$8:$AE$307&lt;&gt;"")*ISNUMBER(SEARCH(거래처별!$AE$8:$AE$307,$AB1234))),거래처별!$A$8:$A$307),0))))</f>
        <v/>
      </c>
      <c r="AD1234" s="31">
        <f>IF(AND($Y1234&lt;&gt;"",N($Z1234)&gt;0,$AC1234=0),MAX($AD$7:$AD1233)+1,"")</f>
        <v/>
      </c>
      <c r="AE1234" s="31">
        <f>IF($Y1234="",0,$Y1234)</f>
        <v/>
      </c>
    </row>
    <row r="1235">
      <c r="W1235" s="31">
        <f>IF(OR($B$5="",$C$6="",ROW()&lt;$B$5),"",IF(INDEX($A:$U,ROW(),$C$6)="","",INDEX($A:$U,ROW(),$C$6)))</f>
        <v/>
      </c>
      <c r="X1235" s="32">
        <f>IF($W1235="","",IF(ISNUMBER($W1235),IF($W1235&gt;=10000000,IFERROR(DATE(INT($W1235/10000),MOD(INT($W1235/100),100),MOD($W1235,100)),""),INT($W1235)),IFERROR(DATE(--LEFT(LEFT(SUBSTITUTE(SUBSTITUTE(SUBSTITUTE(SUBSTITUTE(TRIM($W1235),"-",""),".",""),"/","")," ",""),8),4),--MID(LEFT(SUBSTITUTE(SUBSTITUTE(SUBSTITUTE(SUBSTITUTE(TRIM($W1235),"-",""),".",""),"/","")," ",""),8),5,2),--MID(LEFT(SUBSTITUTE(SUBSTITUTE(SUBSTITUTE(SUBSTITUTE(TRIM($W1235),"-",""),".",""),"/","")," ",""),8),7,2)),"")))</f>
        <v/>
      </c>
      <c r="Y1235" s="32">
        <f>IF($X1235="","",INT($X1235))</f>
        <v/>
      </c>
      <c r="Z1235" s="33">
        <f>IF(OR($Y1235="",$D$6=""),"",IF(INDEX($A:$U,ROW(),$D$6)="",0,IF(ISNUMBER(INDEX($A:$U,ROW(),$D$6)),INDEX($A:$U,ROW(),$D$6),IFERROR(--SUBSTITUTE(SUBSTITUTE(TRIM(INDEX($A:$U,ROW(),$D$6)),",",""),"원",""),0))))</f>
        <v/>
      </c>
      <c r="AA1235" s="31">
        <f>IF($Y1235="","",TRIM(INDEX($A:$U,ROW(),$E$6)&amp;IF($F$6="",""," "&amp;INDEX($A:$U,ROW(),$F$6))))</f>
        <v/>
      </c>
      <c r="AB1235" s="31">
        <f>IF($AA1235="","",SUBSTITUTE(SUBSTITUTE(SUBSTITUTE(SUBSTITUTE(SUBSTITUTE(SUBSTITUTE(SUBSTITUTE(SUBSTITUTE(SUBSTITUTE($AA1235," ",""),"　",""),"(주)",""),"（주）",""),"㈜",""),"주식회사",""),"(유)",""),"（유）",""),"유한회사",""))</f>
        <v/>
      </c>
      <c r="AC1235" s="31">
        <f>IF(OR($Y1235="",N($Z1235)&lt;=0,$AB1235=""),0,IFERROR(LOOKUP(2,1/((거래처별!$AC$8:$AC$307&lt;&gt;"")*ISNUMBER(SEARCH(거래처별!$AC$8:$AC$307,$AB1235))),거래처별!$A$8:$A$307),IFERROR(LOOKUP(2,1/((거래처별!$AD$8:$AD$307&lt;&gt;"")*ISNUMBER(SEARCH(거래처별!$AD$8:$AD$307,$AB1235))),거래처별!$A$8:$A$307),IFERROR(LOOKUP(2,1/((거래처별!$AE$8:$AE$307&lt;&gt;"")*ISNUMBER(SEARCH(거래처별!$AE$8:$AE$307,$AB1235))),거래처별!$A$8:$A$307),0))))</f>
        <v/>
      </c>
      <c r="AD1235" s="31">
        <f>IF(AND($Y1235&lt;&gt;"",N($Z1235)&gt;0,$AC1235=0),MAX($AD$7:$AD1234)+1,"")</f>
        <v/>
      </c>
      <c r="AE1235" s="31">
        <f>IF($Y1235="",0,$Y1235)</f>
        <v/>
      </c>
    </row>
    <row r="1236">
      <c r="W1236" s="31">
        <f>IF(OR($B$5="",$C$6="",ROW()&lt;$B$5),"",IF(INDEX($A:$U,ROW(),$C$6)="","",INDEX($A:$U,ROW(),$C$6)))</f>
        <v/>
      </c>
      <c r="X1236" s="32">
        <f>IF($W1236="","",IF(ISNUMBER($W1236),IF($W1236&gt;=10000000,IFERROR(DATE(INT($W1236/10000),MOD(INT($W1236/100),100),MOD($W1236,100)),""),INT($W1236)),IFERROR(DATE(--LEFT(LEFT(SUBSTITUTE(SUBSTITUTE(SUBSTITUTE(SUBSTITUTE(TRIM($W1236),"-",""),".",""),"/","")," ",""),8),4),--MID(LEFT(SUBSTITUTE(SUBSTITUTE(SUBSTITUTE(SUBSTITUTE(TRIM($W1236),"-",""),".",""),"/","")," ",""),8),5,2),--MID(LEFT(SUBSTITUTE(SUBSTITUTE(SUBSTITUTE(SUBSTITUTE(TRIM($W1236),"-",""),".",""),"/","")," ",""),8),7,2)),"")))</f>
        <v/>
      </c>
      <c r="Y1236" s="32">
        <f>IF($X1236="","",INT($X1236))</f>
        <v/>
      </c>
      <c r="Z1236" s="33">
        <f>IF(OR($Y1236="",$D$6=""),"",IF(INDEX($A:$U,ROW(),$D$6)="",0,IF(ISNUMBER(INDEX($A:$U,ROW(),$D$6)),INDEX($A:$U,ROW(),$D$6),IFERROR(--SUBSTITUTE(SUBSTITUTE(TRIM(INDEX($A:$U,ROW(),$D$6)),",",""),"원",""),0))))</f>
        <v/>
      </c>
      <c r="AA1236" s="31">
        <f>IF($Y1236="","",TRIM(INDEX($A:$U,ROW(),$E$6)&amp;IF($F$6="",""," "&amp;INDEX($A:$U,ROW(),$F$6))))</f>
        <v/>
      </c>
      <c r="AB1236" s="31">
        <f>IF($AA1236="","",SUBSTITUTE(SUBSTITUTE(SUBSTITUTE(SUBSTITUTE(SUBSTITUTE(SUBSTITUTE(SUBSTITUTE(SUBSTITUTE(SUBSTITUTE($AA1236," ",""),"　",""),"(주)",""),"（주）",""),"㈜",""),"주식회사",""),"(유)",""),"（유）",""),"유한회사",""))</f>
        <v/>
      </c>
      <c r="AC1236" s="31">
        <f>IF(OR($Y1236="",N($Z1236)&lt;=0,$AB1236=""),0,IFERROR(LOOKUP(2,1/((거래처별!$AC$8:$AC$307&lt;&gt;"")*ISNUMBER(SEARCH(거래처별!$AC$8:$AC$307,$AB1236))),거래처별!$A$8:$A$307),IFERROR(LOOKUP(2,1/((거래처별!$AD$8:$AD$307&lt;&gt;"")*ISNUMBER(SEARCH(거래처별!$AD$8:$AD$307,$AB1236))),거래처별!$A$8:$A$307),IFERROR(LOOKUP(2,1/((거래처별!$AE$8:$AE$307&lt;&gt;"")*ISNUMBER(SEARCH(거래처별!$AE$8:$AE$307,$AB1236))),거래처별!$A$8:$A$307),0))))</f>
        <v/>
      </c>
      <c r="AD1236" s="31">
        <f>IF(AND($Y1236&lt;&gt;"",N($Z1236)&gt;0,$AC1236=0),MAX($AD$7:$AD1235)+1,"")</f>
        <v/>
      </c>
      <c r="AE1236" s="31">
        <f>IF($Y1236="",0,$Y1236)</f>
        <v/>
      </c>
    </row>
    <row r="1237">
      <c r="W1237" s="31">
        <f>IF(OR($B$5="",$C$6="",ROW()&lt;$B$5),"",IF(INDEX($A:$U,ROW(),$C$6)="","",INDEX($A:$U,ROW(),$C$6)))</f>
        <v/>
      </c>
      <c r="X1237" s="32">
        <f>IF($W1237="","",IF(ISNUMBER($W1237),IF($W1237&gt;=10000000,IFERROR(DATE(INT($W1237/10000),MOD(INT($W1237/100),100),MOD($W1237,100)),""),INT($W1237)),IFERROR(DATE(--LEFT(LEFT(SUBSTITUTE(SUBSTITUTE(SUBSTITUTE(SUBSTITUTE(TRIM($W1237),"-",""),".",""),"/","")," ",""),8),4),--MID(LEFT(SUBSTITUTE(SUBSTITUTE(SUBSTITUTE(SUBSTITUTE(TRIM($W1237),"-",""),".",""),"/","")," ",""),8),5,2),--MID(LEFT(SUBSTITUTE(SUBSTITUTE(SUBSTITUTE(SUBSTITUTE(TRIM($W1237),"-",""),".",""),"/","")," ",""),8),7,2)),"")))</f>
        <v/>
      </c>
      <c r="Y1237" s="32">
        <f>IF($X1237="","",INT($X1237))</f>
        <v/>
      </c>
      <c r="Z1237" s="33">
        <f>IF(OR($Y1237="",$D$6=""),"",IF(INDEX($A:$U,ROW(),$D$6)="",0,IF(ISNUMBER(INDEX($A:$U,ROW(),$D$6)),INDEX($A:$U,ROW(),$D$6),IFERROR(--SUBSTITUTE(SUBSTITUTE(TRIM(INDEX($A:$U,ROW(),$D$6)),",",""),"원",""),0))))</f>
        <v/>
      </c>
      <c r="AA1237" s="31">
        <f>IF($Y1237="","",TRIM(INDEX($A:$U,ROW(),$E$6)&amp;IF($F$6="",""," "&amp;INDEX($A:$U,ROW(),$F$6))))</f>
        <v/>
      </c>
      <c r="AB1237" s="31">
        <f>IF($AA1237="","",SUBSTITUTE(SUBSTITUTE(SUBSTITUTE(SUBSTITUTE(SUBSTITUTE(SUBSTITUTE(SUBSTITUTE(SUBSTITUTE(SUBSTITUTE($AA1237," ",""),"　",""),"(주)",""),"（주）",""),"㈜",""),"주식회사",""),"(유)",""),"（유）",""),"유한회사",""))</f>
        <v/>
      </c>
      <c r="AC1237" s="31">
        <f>IF(OR($Y1237="",N($Z1237)&lt;=0,$AB1237=""),0,IFERROR(LOOKUP(2,1/((거래처별!$AC$8:$AC$307&lt;&gt;"")*ISNUMBER(SEARCH(거래처별!$AC$8:$AC$307,$AB1237))),거래처별!$A$8:$A$307),IFERROR(LOOKUP(2,1/((거래처별!$AD$8:$AD$307&lt;&gt;"")*ISNUMBER(SEARCH(거래처별!$AD$8:$AD$307,$AB1237))),거래처별!$A$8:$A$307),IFERROR(LOOKUP(2,1/((거래처별!$AE$8:$AE$307&lt;&gt;"")*ISNUMBER(SEARCH(거래처별!$AE$8:$AE$307,$AB1237))),거래처별!$A$8:$A$307),0))))</f>
        <v/>
      </c>
      <c r="AD1237" s="31">
        <f>IF(AND($Y1237&lt;&gt;"",N($Z1237)&gt;0,$AC1237=0),MAX($AD$7:$AD1236)+1,"")</f>
        <v/>
      </c>
      <c r="AE1237" s="31">
        <f>IF($Y1237="",0,$Y1237)</f>
        <v/>
      </c>
    </row>
    <row r="1238">
      <c r="W1238" s="31">
        <f>IF(OR($B$5="",$C$6="",ROW()&lt;$B$5),"",IF(INDEX($A:$U,ROW(),$C$6)="","",INDEX($A:$U,ROW(),$C$6)))</f>
        <v/>
      </c>
      <c r="X1238" s="32">
        <f>IF($W1238="","",IF(ISNUMBER($W1238),IF($W1238&gt;=10000000,IFERROR(DATE(INT($W1238/10000),MOD(INT($W1238/100),100),MOD($W1238,100)),""),INT($W1238)),IFERROR(DATE(--LEFT(LEFT(SUBSTITUTE(SUBSTITUTE(SUBSTITUTE(SUBSTITUTE(TRIM($W1238),"-",""),".",""),"/","")," ",""),8),4),--MID(LEFT(SUBSTITUTE(SUBSTITUTE(SUBSTITUTE(SUBSTITUTE(TRIM($W1238),"-",""),".",""),"/","")," ",""),8),5,2),--MID(LEFT(SUBSTITUTE(SUBSTITUTE(SUBSTITUTE(SUBSTITUTE(TRIM($W1238),"-",""),".",""),"/","")," ",""),8),7,2)),"")))</f>
        <v/>
      </c>
      <c r="Y1238" s="32">
        <f>IF($X1238="","",INT($X1238))</f>
        <v/>
      </c>
      <c r="Z1238" s="33">
        <f>IF(OR($Y1238="",$D$6=""),"",IF(INDEX($A:$U,ROW(),$D$6)="",0,IF(ISNUMBER(INDEX($A:$U,ROW(),$D$6)),INDEX($A:$U,ROW(),$D$6),IFERROR(--SUBSTITUTE(SUBSTITUTE(TRIM(INDEX($A:$U,ROW(),$D$6)),",",""),"원",""),0))))</f>
        <v/>
      </c>
      <c r="AA1238" s="31">
        <f>IF($Y1238="","",TRIM(INDEX($A:$U,ROW(),$E$6)&amp;IF($F$6="",""," "&amp;INDEX($A:$U,ROW(),$F$6))))</f>
        <v/>
      </c>
      <c r="AB1238" s="31">
        <f>IF($AA1238="","",SUBSTITUTE(SUBSTITUTE(SUBSTITUTE(SUBSTITUTE(SUBSTITUTE(SUBSTITUTE(SUBSTITUTE(SUBSTITUTE(SUBSTITUTE($AA1238," ",""),"　",""),"(주)",""),"（주）",""),"㈜",""),"주식회사",""),"(유)",""),"（유）",""),"유한회사",""))</f>
        <v/>
      </c>
      <c r="AC1238" s="31">
        <f>IF(OR($Y1238="",N($Z1238)&lt;=0,$AB1238=""),0,IFERROR(LOOKUP(2,1/((거래처별!$AC$8:$AC$307&lt;&gt;"")*ISNUMBER(SEARCH(거래처별!$AC$8:$AC$307,$AB1238))),거래처별!$A$8:$A$307),IFERROR(LOOKUP(2,1/((거래처별!$AD$8:$AD$307&lt;&gt;"")*ISNUMBER(SEARCH(거래처별!$AD$8:$AD$307,$AB1238))),거래처별!$A$8:$A$307),IFERROR(LOOKUP(2,1/((거래처별!$AE$8:$AE$307&lt;&gt;"")*ISNUMBER(SEARCH(거래처별!$AE$8:$AE$307,$AB1238))),거래처별!$A$8:$A$307),0))))</f>
        <v/>
      </c>
      <c r="AD1238" s="31">
        <f>IF(AND($Y1238&lt;&gt;"",N($Z1238)&gt;0,$AC1238=0),MAX($AD$7:$AD1237)+1,"")</f>
        <v/>
      </c>
      <c r="AE1238" s="31">
        <f>IF($Y1238="",0,$Y1238)</f>
        <v/>
      </c>
    </row>
    <row r="1239">
      <c r="W1239" s="31">
        <f>IF(OR($B$5="",$C$6="",ROW()&lt;$B$5),"",IF(INDEX($A:$U,ROW(),$C$6)="","",INDEX($A:$U,ROW(),$C$6)))</f>
        <v/>
      </c>
      <c r="X1239" s="32">
        <f>IF($W1239="","",IF(ISNUMBER($W1239),IF($W1239&gt;=10000000,IFERROR(DATE(INT($W1239/10000),MOD(INT($W1239/100),100),MOD($W1239,100)),""),INT($W1239)),IFERROR(DATE(--LEFT(LEFT(SUBSTITUTE(SUBSTITUTE(SUBSTITUTE(SUBSTITUTE(TRIM($W1239),"-",""),".",""),"/","")," ",""),8),4),--MID(LEFT(SUBSTITUTE(SUBSTITUTE(SUBSTITUTE(SUBSTITUTE(TRIM($W1239),"-",""),".",""),"/","")," ",""),8),5,2),--MID(LEFT(SUBSTITUTE(SUBSTITUTE(SUBSTITUTE(SUBSTITUTE(TRIM($W1239),"-",""),".",""),"/","")," ",""),8),7,2)),"")))</f>
        <v/>
      </c>
      <c r="Y1239" s="32">
        <f>IF($X1239="","",INT($X1239))</f>
        <v/>
      </c>
      <c r="Z1239" s="33">
        <f>IF(OR($Y1239="",$D$6=""),"",IF(INDEX($A:$U,ROW(),$D$6)="",0,IF(ISNUMBER(INDEX($A:$U,ROW(),$D$6)),INDEX($A:$U,ROW(),$D$6),IFERROR(--SUBSTITUTE(SUBSTITUTE(TRIM(INDEX($A:$U,ROW(),$D$6)),",",""),"원",""),0))))</f>
        <v/>
      </c>
      <c r="AA1239" s="31">
        <f>IF($Y1239="","",TRIM(INDEX($A:$U,ROW(),$E$6)&amp;IF($F$6="",""," "&amp;INDEX($A:$U,ROW(),$F$6))))</f>
        <v/>
      </c>
      <c r="AB1239" s="31">
        <f>IF($AA1239="","",SUBSTITUTE(SUBSTITUTE(SUBSTITUTE(SUBSTITUTE(SUBSTITUTE(SUBSTITUTE(SUBSTITUTE(SUBSTITUTE(SUBSTITUTE($AA1239," ",""),"　",""),"(주)",""),"（주）",""),"㈜",""),"주식회사",""),"(유)",""),"（유）",""),"유한회사",""))</f>
        <v/>
      </c>
      <c r="AC1239" s="31">
        <f>IF(OR($Y1239="",N($Z1239)&lt;=0,$AB1239=""),0,IFERROR(LOOKUP(2,1/((거래처별!$AC$8:$AC$307&lt;&gt;"")*ISNUMBER(SEARCH(거래처별!$AC$8:$AC$307,$AB1239))),거래처별!$A$8:$A$307),IFERROR(LOOKUP(2,1/((거래처별!$AD$8:$AD$307&lt;&gt;"")*ISNUMBER(SEARCH(거래처별!$AD$8:$AD$307,$AB1239))),거래처별!$A$8:$A$307),IFERROR(LOOKUP(2,1/((거래처별!$AE$8:$AE$307&lt;&gt;"")*ISNUMBER(SEARCH(거래처별!$AE$8:$AE$307,$AB1239))),거래처별!$A$8:$A$307),0))))</f>
        <v/>
      </c>
      <c r="AD1239" s="31">
        <f>IF(AND($Y1239&lt;&gt;"",N($Z1239)&gt;0,$AC1239=0),MAX($AD$7:$AD1238)+1,"")</f>
        <v/>
      </c>
      <c r="AE1239" s="31">
        <f>IF($Y1239="",0,$Y1239)</f>
        <v/>
      </c>
    </row>
    <row r="1240">
      <c r="W1240" s="31">
        <f>IF(OR($B$5="",$C$6="",ROW()&lt;$B$5),"",IF(INDEX($A:$U,ROW(),$C$6)="","",INDEX($A:$U,ROW(),$C$6)))</f>
        <v/>
      </c>
      <c r="X1240" s="32">
        <f>IF($W1240="","",IF(ISNUMBER($W1240),IF($W1240&gt;=10000000,IFERROR(DATE(INT($W1240/10000),MOD(INT($W1240/100),100),MOD($W1240,100)),""),INT($W1240)),IFERROR(DATE(--LEFT(LEFT(SUBSTITUTE(SUBSTITUTE(SUBSTITUTE(SUBSTITUTE(TRIM($W1240),"-",""),".",""),"/","")," ",""),8),4),--MID(LEFT(SUBSTITUTE(SUBSTITUTE(SUBSTITUTE(SUBSTITUTE(TRIM($W1240),"-",""),".",""),"/","")," ",""),8),5,2),--MID(LEFT(SUBSTITUTE(SUBSTITUTE(SUBSTITUTE(SUBSTITUTE(TRIM($W1240),"-",""),".",""),"/","")," ",""),8),7,2)),"")))</f>
        <v/>
      </c>
      <c r="Y1240" s="32">
        <f>IF($X1240="","",INT($X1240))</f>
        <v/>
      </c>
      <c r="Z1240" s="33">
        <f>IF(OR($Y1240="",$D$6=""),"",IF(INDEX($A:$U,ROW(),$D$6)="",0,IF(ISNUMBER(INDEX($A:$U,ROW(),$D$6)),INDEX($A:$U,ROW(),$D$6),IFERROR(--SUBSTITUTE(SUBSTITUTE(TRIM(INDEX($A:$U,ROW(),$D$6)),",",""),"원",""),0))))</f>
        <v/>
      </c>
      <c r="AA1240" s="31">
        <f>IF($Y1240="","",TRIM(INDEX($A:$U,ROW(),$E$6)&amp;IF($F$6="",""," "&amp;INDEX($A:$U,ROW(),$F$6))))</f>
        <v/>
      </c>
      <c r="AB1240" s="31">
        <f>IF($AA1240="","",SUBSTITUTE(SUBSTITUTE(SUBSTITUTE(SUBSTITUTE(SUBSTITUTE(SUBSTITUTE(SUBSTITUTE(SUBSTITUTE(SUBSTITUTE($AA1240," ",""),"　",""),"(주)",""),"（주）",""),"㈜",""),"주식회사",""),"(유)",""),"（유）",""),"유한회사",""))</f>
        <v/>
      </c>
      <c r="AC1240" s="31">
        <f>IF(OR($Y1240="",N($Z1240)&lt;=0,$AB1240=""),0,IFERROR(LOOKUP(2,1/((거래처별!$AC$8:$AC$307&lt;&gt;"")*ISNUMBER(SEARCH(거래처별!$AC$8:$AC$307,$AB1240))),거래처별!$A$8:$A$307),IFERROR(LOOKUP(2,1/((거래처별!$AD$8:$AD$307&lt;&gt;"")*ISNUMBER(SEARCH(거래처별!$AD$8:$AD$307,$AB1240))),거래처별!$A$8:$A$307),IFERROR(LOOKUP(2,1/((거래처별!$AE$8:$AE$307&lt;&gt;"")*ISNUMBER(SEARCH(거래처별!$AE$8:$AE$307,$AB1240))),거래처별!$A$8:$A$307),0))))</f>
        <v/>
      </c>
      <c r="AD1240" s="31">
        <f>IF(AND($Y1240&lt;&gt;"",N($Z1240)&gt;0,$AC1240=0),MAX($AD$7:$AD1239)+1,"")</f>
        <v/>
      </c>
      <c r="AE1240" s="31">
        <f>IF($Y1240="",0,$Y1240)</f>
        <v/>
      </c>
    </row>
    <row r="1241">
      <c r="W1241" s="31">
        <f>IF(OR($B$5="",$C$6="",ROW()&lt;$B$5),"",IF(INDEX($A:$U,ROW(),$C$6)="","",INDEX($A:$U,ROW(),$C$6)))</f>
        <v/>
      </c>
      <c r="X1241" s="32">
        <f>IF($W1241="","",IF(ISNUMBER($W1241),IF($W1241&gt;=10000000,IFERROR(DATE(INT($W1241/10000),MOD(INT($W1241/100),100),MOD($W1241,100)),""),INT($W1241)),IFERROR(DATE(--LEFT(LEFT(SUBSTITUTE(SUBSTITUTE(SUBSTITUTE(SUBSTITUTE(TRIM($W1241),"-",""),".",""),"/","")," ",""),8),4),--MID(LEFT(SUBSTITUTE(SUBSTITUTE(SUBSTITUTE(SUBSTITUTE(TRIM($W1241),"-",""),".",""),"/","")," ",""),8),5,2),--MID(LEFT(SUBSTITUTE(SUBSTITUTE(SUBSTITUTE(SUBSTITUTE(TRIM($W1241),"-",""),".",""),"/","")," ",""),8),7,2)),"")))</f>
        <v/>
      </c>
      <c r="Y1241" s="32">
        <f>IF($X1241="","",INT($X1241))</f>
        <v/>
      </c>
      <c r="Z1241" s="33">
        <f>IF(OR($Y1241="",$D$6=""),"",IF(INDEX($A:$U,ROW(),$D$6)="",0,IF(ISNUMBER(INDEX($A:$U,ROW(),$D$6)),INDEX($A:$U,ROW(),$D$6),IFERROR(--SUBSTITUTE(SUBSTITUTE(TRIM(INDEX($A:$U,ROW(),$D$6)),",",""),"원",""),0))))</f>
        <v/>
      </c>
      <c r="AA1241" s="31">
        <f>IF($Y1241="","",TRIM(INDEX($A:$U,ROW(),$E$6)&amp;IF($F$6="",""," "&amp;INDEX($A:$U,ROW(),$F$6))))</f>
        <v/>
      </c>
      <c r="AB1241" s="31">
        <f>IF($AA1241="","",SUBSTITUTE(SUBSTITUTE(SUBSTITUTE(SUBSTITUTE(SUBSTITUTE(SUBSTITUTE(SUBSTITUTE(SUBSTITUTE(SUBSTITUTE($AA1241," ",""),"　",""),"(주)",""),"（주）",""),"㈜",""),"주식회사",""),"(유)",""),"（유）",""),"유한회사",""))</f>
        <v/>
      </c>
      <c r="AC1241" s="31">
        <f>IF(OR($Y1241="",N($Z1241)&lt;=0,$AB1241=""),0,IFERROR(LOOKUP(2,1/((거래처별!$AC$8:$AC$307&lt;&gt;"")*ISNUMBER(SEARCH(거래처별!$AC$8:$AC$307,$AB1241))),거래처별!$A$8:$A$307),IFERROR(LOOKUP(2,1/((거래처별!$AD$8:$AD$307&lt;&gt;"")*ISNUMBER(SEARCH(거래처별!$AD$8:$AD$307,$AB1241))),거래처별!$A$8:$A$307),IFERROR(LOOKUP(2,1/((거래처별!$AE$8:$AE$307&lt;&gt;"")*ISNUMBER(SEARCH(거래처별!$AE$8:$AE$307,$AB1241))),거래처별!$A$8:$A$307),0))))</f>
        <v/>
      </c>
      <c r="AD1241" s="31">
        <f>IF(AND($Y1241&lt;&gt;"",N($Z1241)&gt;0,$AC1241=0),MAX($AD$7:$AD1240)+1,"")</f>
        <v/>
      </c>
      <c r="AE1241" s="31">
        <f>IF($Y1241="",0,$Y1241)</f>
        <v/>
      </c>
    </row>
    <row r="1242">
      <c r="W1242" s="31">
        <f>IF(OR($B$5="",$C$6="",ROW()&lt;$B$5),"",IF(INDEX($A:$U,ROW(),$C$6)="","",INDEX($A:$U,ROW(),$C$6)))</f>
        <v/>
      </c>
      <c r="X1242" s="32">
        <f>IF($W1242="","",IF(ISNUMBER($W1242),IF($W1242&gt;=10000000,IFERROR(DATE(INT($W1242/10000),MOD(INT($W1242/100),100),MOD($W1242,100)),""),INT($W1242)),IFERROR(DATE(--LEFT(LEFT(SUBSTITUTE(SUBSTITUTE(SUBSTITUTE(SUBSTITUTE(TRIM($W1242),"-",""),".",""),"/","")," ",""),8),4),--MID(LEFT(SUBSTITUTE(SUBSTITUTE(SUBSTITUTE(SUBSTITUTE(TRIM($W1242),"-",""),".",""),"/","")," ",""),8),5,2),--MID(LEFT(SUBSTITUTE(SUBSTITUTE(SUBSTITUTE(SUBSTITUTE(TRIM($W1242),"-",""),".",""),"/","")," ",""),8),7,2)),"")))</f>
        <v/>
      </c>
      <c r="Y1242" s="32">
        <f>IF($X1242="","",INT($X1242))</f>
        <v/>
      </c>
      <c r="Z1242" s="33">
        <f>IF(OR($Y1242="",$D$6=""),"",IF(INDEX($A:$U,ROW(),$D$6)="",0,IF(ISNUMBER(INDEX($A:$U,ROW(),$D$6)),INDEX($A:$U,ROW(),$D$6),IFERROR(--SUBSTITUTE(SUBSTITUTE(TRIM(INDEX($A:$U,ROW(),$D$6)),",",""),"원",""),0))))</f>
        <v/>
      </c>
      <c r="AA1242" s="31">
        <f>IF($Y1242="","",TRIM(INDEX($A:$U,ROW(),$E$6)&amp;IF($F$6="",""," "&amp;INDEX($A:$U,ROW(),$F$6))))</f>
        <v/>
      </c>
      <c r="AB1242" s="31">
        <f>IF($AA1242="","",SUBSTITUTE(SUBSTITUTE(SUBSTITUTE(SUBSTITUTE(SUBSTITUTE(SUBSTITUTE(SUBSTITUTE(SUBSTITUTE(SUBSTITUTE($AA1242," ",""),"　",""),"(주)",""),"（주）",""),"㈜",""),"주식회사",""),"(유)",""),"（유）",""),"유한회사",""))</f>
        <v/>
      </c>
      <c r="AC1242" s="31">
        <f>IF(OR($Y1242="",N($Z1242)&lt;=0,$AB1242=""),0,IFERROR(LOOKUP(2,1/((거래처별!$AC$8:$AC$307&lt;&gt;"")*ISNUMBER(SEARCH(거래처별!$AC$8:$AC$307,$AB1242))),거래처별!$A$8:$A$307),IFERROR(LOOKUP(2,1/((거래처별!$AD$8:$AD$307&lt;&gt;"")*ISNUMBER(SEARCH(거래처별!$AD$8:$AD$307,$AB1242))),거래처별!$A$8:$A$307),IFERROR(LOOKUP(2,1/((거래처별!$AE$8:$AE$307&lt;&gt;"")*ISNUMBER(SEARCH(거래처별!$AE$8:$AE$307,$AB1242))),거래처별!$A$8:$A$307),0))))</f>
        <v/>
      </c>
      <c r="AD1242" s="31">
        <f>IF(AND($Y1242&lt;&gt;"",N($Z1242)&gt;0,$AC1242=0),MAX($AD$7:$AD1241)+1,"")</f>
        <v/>
      </c>
      <c r="AE1242" s="31">
        <f>IF($Y1242="",0,$Y1242)</f>
        <v/>
      </c>
    </row>
    <row r="1243">
      <c r="W1243" s="31">
        <f>IF(OR($B$5="",$C$6="",ROW()&lt;$B$5),"",IF(INDEX($A:$U,ROW(),$C$6)="","",INDEX($A:$U,ROW(),$C$6)))</f>
        <v/>
      </c>
      <c r="X1243" s="32">
        <f>IF($W1243="","",IF(ISNUMBER($W1243),IF($W1243&gt;=10000000,IFERROR(DATE(INT($W1243/10000),MOD(INT($W1243/100),100),MOD($W1243,100)),""),INT($W1243)),IFERROR(DATE(--LEFT(LEFT(SUBSTITUTE(SUBSTITUTE(SUBSTITUTE(SUBSTITUTE(TRIM($W1243),"-",""),".",""),"/","")," ",""),8),4),--MID(LEFT(SUBSTITUTE(SUBSTITUTE(SUBSTITUTE(SUBSTITUTE(TRIM($W1243),"-",""),".",""),"/","")," ",""),8),5,2),--MID(LEFT(SUBSTITUTE(SUBSTITUTE(SUBSTITUTE(SUBSTITUTE(TRIM($W1243),"-",""),".",""),"/","")," ",""),8),7,2)),"")))</f>
        <v/>
      </c>
      <c r="Y1243" s="32">
        <f>IF($X1243="","",INT($X1243))</f>
        <v/>
      </c>
      <c r="Z1243" s="33">
        <f>IF(OR($Y1243="",$D$6=""),"",IF(INDEX($A:$U,ROW(),$D$6)="",0,IF(ISNUMBER(INDEX($A:$U,ROW(),$D$6)),INDEX($A:$U,ROW(),$D$6),IFERROR(--SUBSTITUTE(SUBSTITUTE(TRIM(INDEX($A:$U,ROW(),$D$6)),",",""),"원",""),0))))</f>
        <v/>
      </c>
      <c r="AA1243" s="31">
        <f>IF($Y1243="","",TRIM(INDEX($A:$U,ROW(),$E$6)&amp;IF($F$6="",""," "&amp;INDEX($A:$U,ROW(),$F$6))))</f>
        <v/>
      </c>
      <c r="AB1243" s="31">
        <f>IF($AA1243="","",SUBSTITUTE(SUBSTITUTE(SUBSTITUTE(SUBSTITUTE(SUBSTITUTE(SUBSTITUTE(SUBSTITUTE(SUBSTITUTE(SUBSTITUTE($AA1243," ",""),"　",""),"(주)",""),"（주）",""),"㈜",""),"주식회사",""),"(유)",""),"（유）",""),"유한회사",""))</f>
        <v/>
      </c>
      <c r="AC1243" s="31">
        <f>IF(OR($Y1243="",N($Z1243)&lt;=0,$AB1243=""),0,IFERROR(LOOKUP(2,1/((거래처별!$AC$8:$AC$307&lt;&gt;"")*ISNUMBER(SEARCH(거래처별!$AC$8:$AC$307,$AB1243))),거래처별!$A$8:$A$307),IFERROR(LOOKUP(2,1/((거래처별!$AD$8:$AD$307&lt;&gt;"")*ISNUMBER(SEARCH(거래처별!$AD$8:$AD$307,$AB1243))),거래처별!$A$8:$A$307),IFERROR(LOOKUP(2,1/((거래처별!$AE$8:$AE$307&lt;&gt;"")*ISNUMBER(SEARCH(거래처별!$AE$8:$AE$307,$AB1243))),거래처별!$A$8:$A$307),0))))</f>
        <v/>
      </c>
      <c r="AD1243" s="31">
        <f>IF(AND($Y1243&lt;&gt;"",N($Z1243)&gt;0,$AC1243=0),MAX($AD$7:$AD1242)+1,"")</f>
        <v/>
      </c>
      <c r="AE1243" s="31">
        <f>IF($Y1243="",0,$Y1243)</f>
        <v/>
      </c>
    </row>
    <row r="1244">
      <c r="W1244" s="31">
        <f>IF(OR($B$5="",$C$6="",ROW()&lt;$B$5),"",IF(INDEX($A:$U,ROW(),$C$6)="","",INDEX($A:$U,ROW(),$C$6)))</f>
        <v/>
      </c>
      <c r="X1244" s="32">
        <f>IF($W1244="","",IF(ISNUMBER($W1244),IF($W1244&gt;=10000000,IFERROR(DATE(INT($W1244/10000),MOD(INT($W1244/100),100),MOD($W1244,100)),""),INT($W1244)),IFERROR(DATE(--LEFT(LEFT(SUBSTITUTE(SUBSTITUTE(SUBSTITUTE(SUBSTITUTE(TRIM($W1244),"-",""),".",""),"/","")," ",""),8),4),--MID(LEFT(SUBSTITUTE(SUBSTITUTE(SUBSTITUTE(SUBSTITUTE(TRIM($W1244),"-",""),".",""),"/","")," ",""),8),5,2),--MID(LEFT(SUBSTITUTE(SUBSTITUTE(SUBSTITUTE(SUBSTITUTE(TRIM($W1244),"-",""),".",""),"/","")," ",""),8),7,2)),"")))</f>
        <v/>
      </c>
      <c r="Y1244" s="32">
        <f>IF($X1244="","",INT($X1244))</f>
        <v/>
      </c>
      <c r="Z1244" s="33">
        <f>IF(OR($Y1244="",$D$6=""),"",IF(INDEX($A:$U,ROW(),$D$6)="",0,IF(ISNUMBER(INDEX($A:$U,ROW(),$D$6)),INDEX($A:$U,ROW(),$D$6),IFERROR(--SUBSTITUTE(SUBSTITUTE(TRIM(INDEX($A:$U,ROW(),$D$6)),",",""),"원",""),0))))</f>
        <v/>
      </c>
      <c r="AA1244" s="31">
        <f>IF($Y1244="","",TRIM(INDEX($A:$U,ROW(),$E$6)&amp;IF($F$6="",""," "&amp;INDEX($A:$U,ROW(),$F$6))))</f>
        <v/>
      </c>
      <c r="AB1244" s="31">
        <f>IF($AA1244="","",SUBSTITUTE(SUBSTITUTE(SUBSTITUTE(SUBSTITUTE(SUBSTITUTE(SUBSTITUTE(SUBSTITUTE(SUBSTITUTE(SUBSTITUTE($AA1244," ",""),"　",""),"(주)",""),"（주）",""),"㈜",""),"주식회사",""),"(유)",""),"（유）",""),"유한회사",""))</f>
        <v/>
      </c>
      <c r="AC1244" s="31">
        <f>IF(OR($Y1244="",N($Z1244)&lt;=0,$AB1244=""),0,IFERROR(LOOKUP(2,1/((거래처별!$AC$8:$AC$307&lt;&gt;"")*ISNUMBER(SEARCH(거래처별!$AC$8:$AC$307,$AB1244))),거래처별!$A$8:$A$307),IFERROR(LOOKUP(2,1/((거래처별!$AD$8:$AD$307&lt;&gt;"")*ISNUMBER(SEARCH(거래처별!$AD$8:$AD$307,$AB1244))),거래처별!$A$8:$A$307),IFERROR(LOOKUP(2,1/((거래처별!$AE$8:$AE$307&lt;&gt;"")*ISNUMBER(SEARCH(거래처별!$AE$8:$AE$307,$AB1244))),거래처별!$A$8:$A$307),0))))</f>
        <v/>
      </c>
      <c r="AD1244" s="31">
        <f>IF(AND($Y1244&lt;&gt;"",N($Z1244)&gt;0,$AC1244=0),MAX($AD$7:$AD1243)+1,"")</f>
        <v/>
      </c>
      <c r="AE1244" s="31">
        <f>IF($Y1244="",0,$Y1244)</f>
        <v/>
      </c>
    </row>
    <row r="1245">
      <c r="W1245" s="31">
        <f>IF(OR($B$5="",$C$6="",ROW()&lt;$B$5),"",IF(INDEX($A:$U,ROW(),$C$6)="","",INDEX($A:$U,ROW(),$C$6)))</f>
        <v/>
      </c>
      <c r="X1245" s="32">
        <f>IF($W1245="","",IF(ISNUMBER($W1245),IF($W1245&gt;=10000000,IFERROR(DATE(INT($W1245/10000),MOD(INT($W1245/100),100),MOD($W1245,100)),""),INT($W1245)),IFERROR(DATE(--LEFT(LEFT(SUBSTITUTE(SUBSTITUTE(SUBSTITUTE(SUBSTITUTE(TRIM($W1245),"-",""),".",""),"/","")," ",""),8),4),--MID(LEFT(SUBSTITUTE(SUBSTITUTE(SUBSTITUTE(SUBSTITUTE(TRIM($W1245),"-",""),".",""),"/","")," ",""),8),5,2),--MID(LEFT(SUBSTITUTE(SUBSTITUTE(SUBSTITUTE(SUBSTITUTE(TRIM($W1245),"-",""),".",""),"/","")," ",""),8),7,2)),"")))</f>
        <v/>
      </c>
      <c r="Y1245" s="32">
        <f>IF($X1245="","",INT($X1245))</f>
        <v/>
      </c>
      <c r="Z1245" s="33">
        <f>IF(OR($Y1245="",$D$6=""),"",IF(INDEX($A:$U,ROW(),$D$6)="",0,IF(ISNUMBER(INDEX($A:$U,ROW(),$D$6)),INDEX($A:$U,ROW(),$D$6),IFERROR(--SUBSTITUTE(SUBSTITUTE(TRIM(INDEX($A:$U,ROW(),$D$6)),",",""),"원",""),0))))</f>
        <v/>
      </c>
      <c r="AA1245" s="31">
        <f>IF($Y1245="","",TRIM(INDEX($A:$U,ROW(),$E$6)&amp;IF($F$6="",""," "&amp;INDEX($A:$U,ROW(),$F$6))))</f>
        <v/>
      </c>
      <c r="AB1245" s="31">
        <f>IF($AA1245="","",SUBSTITUTE(SUBSTITUTE(SUBSTITUTE(SUBSTITUTE(SUBSTITUTE(SUBSTITUTE(SUBSTITUTE(SUBSTITUTE(SUBSTITUTE($AA1245," ",""),"　",""),"(주)",""),"（주）",""),"㈜",""),"주식회사",""),"(유)",""),"（유）",""),"유한회사",""))</f>
        <v/>
      </c>
      <c r="AC1245" s="31">
        <f>IF(OR($Y1245="",N($Z1245)&lt;=0,$AB1245=""),0,IFERROR(LOOKUP(2,1/((거래처별!$AC$8:$AC$307&lt;&gt;"")*ISNUMBER(SEARCH(거래처별!$AC$8:$AC$307,$AB1245))),거래처별!$A$8:$A$307),IFERROR(LOOKUP(2,1/((거래처별!$AD$8:$AD$307&lt;&gt;"")*ISNUMBER(SEARCH(거래처별!$AD$8:$AD$307,$AB1245))),거래처별!$A$8:$A$307),IFERROR(LOOKUP(2,1/((거래처별!$AE$8:$AE$307&lt;&gt;"")*ISNUMBER(SEARCH(거래처별!$AE$8:$AE$307,$AB1245))),거래처별!$A$8:$A$307),0))))</f>
        <v/>
      </c>
      <c r="AD1245" s="31">
        <f>IF(AND($Y1245&lt;&gt;"",N($Z1245)&gt;0,$AC1245=0),MAX($AD$7:$AD1244)+1,"")</f>
        <v/>
      </c>
      <c r="AE1245" s="31">
        <f>IF($Y1245="",0,$Y1245)</f>
        <v/>
      </c>
    </row>
    <row r="1246">
      <c r="W1246" s="31">
        <f>IF(OR($B$5="",$C$6="",ROW()&lt;$B$5),"",IF(INDEX($A:$U,ROW(),$C$6)="","",INDEX($A:$U,ROW(),$C$6)))</f>
        <v/>
      </c>
      <c r="X1246" s="32">
        <f>IF($W1246="","",IF(ISNUMBER($W1246),IF($W1246&gt;=10000000,IFERROR(DATE(INT($W1246/10000),MOD(INT($W1246/100),100),MOD($W1246,100)),""),INT($W1246)),IFERROR(DATE(--LEFT(LEFT(SUBSTITUTE(SUBSTITUTE(SUBSTITUTE(SUBSTITUTE(TRIM($W1246),"-",""),".",""),"/","")," ",""),8),4),--MID(LEFT(SUBSTITUTE(SUBSTITUTE(SUBSTITUTE(SUBSTITUTE(TRIM($W1246),"-",""),".",""),"/","")," ",""),8),5,2),--MID(LEFT(SUBSTITUTE(SUBSTITUTE(SUBSTITUTE(SUBSTITUTE(TRIM($W1246),"-",""),".",""),"/","")," ",""),8),7,2)),"")))</f>
        <v/>
      </c>
      <c r="Y1246" s="32">
        <f>IF($X1246="","",INT($X1246))</f>
        <v/>
      </c>
      <c r="Z1246" s="33">
        <f>IF(OR($Y1246="",$D$6=""),"",IF(INDEX($A:$U,ROW(),$D$6)="",0,IF(ISNUMBER(INDEX($A:$U,ROW(),$D$6)),INDEX($A:$U,ROW(),$D$6),IFERROR(--SUBSTITUTE(SUBSTITUTE(TRIM(INDEX($A:$U,ROW(),$D$6)),",",""),"원",""),0))))</f>
        <v/>
      </c>
      <c r="AA1246" s="31">
        <f>IF($Y1246="","",TRIM(INDEX($A:$U,ROW(),$E$6)&amp;IF($F$6="",""," "&amp;INDEX($A:$U,ROW(),$F$6))))</f>
        <v/>
      </c>
      <c r="AB1246" s="31">
        <f>IF($AA1246="","",SUBSTITUTE(SUBSTITUTE(SUBSTITUTE(SUBSTITUTE(SUBSTITUTE(SUBSTITUTE(SUBSTITUTE(SUBSTITUTE(SUBSTITUTE($AA1246," ",""),"　",""),"(주)",""),"（주）",""),"㈜",""),"주식회사",""),"(유)",""),"（유）",""),"유한회사",""))</f>
        <v/>
      </c>
      <c r="AC1246" s="31">
        <f>IF(OR($Y1246="",N($Z1246)&lt;=0,$AB1246=""),0,IFERROR(LOOKUP(2,1/((거래처별!$AC$8:$AC$307&lt;&gt;"")*ISNUMBER(SEARCH(거래처별!$AC$8:$AC$307,$AB1246))),거래처별!$A$8:$A$307),IFERROR(LOOKUP(2,1/((거래처별!$AD$8:$AD$307&lt;&gt;"")*ISNUMBER(SEARCH(거래처별!$AD$8:$AD$307,$AB1246))),거래처별!$A$8:$A$307),IFERROR(LOOKUP(2,1/((거래처별!$AE$8:$AE$307&lt;&gt;"")*ISNUMBER(SEARCH(거래처별!$AE$8:$AE$307,$AB1246))),거래처별!$A$8:$A$307),0))))</f>
        <v/>
      </c>
      <c r="AD1246" s="31">
        <f>IF(AND($Y1246&lt;&gt;"",N($Z1246)&gt;0,$AC1246=0),MAX($AD$7:$AD1245)+1,"")</f>
        <v/>
      </c>
      <c r="AE1246" s="31">
        <f>IF($Y1246="",0,$Y1246)</f>
        <v/>
      </c>
    </row>
    <row r="1247">
      <c r="W1247" s="31">
        <f>IF(OR($B$5="",$C$6="",ROW()&lt;$B$5),"",IF(INDEX($A:$U,ROW(),$C$6)="","",INDEX($A:$U,ROW(),$C$6)))</f>
        <v/>
      </c>
      <c r="X1247" s="32">
        <f>IF($W1247="","",IF(ISNUMBER($W1247),IF($W1247&gt;=10000000,IFERROR(DATE(INT($W1247/10000),MOD(INT($W1247/100),100),MOD($W1247,100)),""),INT($W1247)),IFERROR(DATE(--LEFT(LEFT(SUBSTITUTE(SUBSTITUTE(SUBSTITUTE(SUBSTITUTE(TRIM($W1247),"-",""),".",""),"/","")," ",""),8),4),--MID(LEFT(SUBSTITUTE(SUBSTITUTE(SUBSTITUTE(SUBSTITUTE(TRIM($W1247),"-",""),".",""),"/","")," ",""),8),5,2),--MID(LEFT(SUBSTITUTE(SUBSTITUTE(SUBSTITUTE(SUBSTITUTE(TRIM($W1247),"-",""),".",""),"/","")," ",""),8),7,2)),"")))</f>
        <v/>
      </c>
      <c r="Y1247" s="32">
        <f>IF($X1247="","",INT($X1247))</f>
        <v/>
      </c>
      <c r="Z1247" s="33">
        <f>IF(OR($Y1247="",$D$6=""),"",IF(INDEX($A:$U,ROW(),$D$6)="",0,IF(ISNUMBER(INDEX($A:$U,ROW(),$D$6)),INDEX($A:$U,ROW(),$D$6),IFERROR(--SUBSTITUTE(SUBSTITUTE(TRIM(INDEX($A:$U,ROW(),$D$6)),",",""),"원",""),0))))</f>
        <v/>
      </c>
      <c r="AA1247" s="31">
        <f>IF($Y1247="","",TRIM(INDEX($A:$U,ROW(),$E$6)&amp;IF($F$6="",""," "&amp;INDEX($A:$U,ROW(),$F$6))))</f>
        <v/>
      </c>
      <c r="AB1247" s="31">
        <f>IF($AA1247="","",SUBSTITUTE(SUBSTITUTE(SUBSTITUTE(SUBSTITUTE(SUBSTITUTE(SUBSTITUTE(SUBSTITUTE(SUBSTITUTE(SUBSTITUTE($AA1247," ",""),"　",""),"(주)",""),"（주）",""),"㈜",""),"주식회사",""),"(유)",""),"（유）",""),"유한회사",""))</f>
        <v/>
      </c>
      <c r="AC1247" s="31">
        <f>IF(OR($Y1247="",N($Z1247)&lt;=0,$AB1247=""),0,IFERROR(LOOKUP(2,1/((거래처별!$AC$8:$AC$307&lt;&gt;"")*ISNUMBER(SEARCH(거래처별!$AC$8:$AC$307,$AB1247))),거래처별!$A$8:$A$307),IFERROR(LOOKUP(2,1/((거래처별!$AD$8:$AD$307&lt;&gt;"")*ISNUMBER(SEARCH(거래처별!$AD$8:$AD$307,$AB1247))),거래처별!$A$8:$A$307),IFERROR(LOOKUP(2,1/((거래처별!$AE$8:$AE$307&lt;&gt;"")*ISNUMBER(SEARCH(거래처별!$AE$8:$AE$307,$AB1247))),거래처별!$A$8:$A$307),0))))</f>
        <v/>
      </c>
      <c r="AD1247" s="31">
        <f>IF(AND($Y1247&lt;&gt;"",N($Z1247)&gt;0,$AC1247=0),MAX($AD$7:$AD1246)+1,"")</f>
        <v/>
      </c>
      <c r="AE1247" s="31">
        <f>IF($Y1247="",0,$Y1247)</f>
        <v/>
      </c>
    </row>
    <row r="1248">
      <c r="W1248" s="31">
        <f>IF(OR($B$5="",$C$6="",ROW()&lt;$B$5),"",IF(INDEX($A:$U,ROW(),$C$6)="","",INDEX($A:$U,ROW(),$C$6)))</f>
        <v/>
      </c>
      <c r="X1248" s="32">
        <f>IF($W1248="","",IF(ISNUMBER($W1248),IF($W1248&gt;=10000000,IFERROR(DATE(INT($W1248/10000),MOD(INT($W1248/100),100),MOD($W1248,100)),""),INT($W1248)),IFERROR(DATE(--LEFT(LEFT(SUBSTITUTE(SUBSTITUTE(SUBSTITUTE(SUBSTITUTE(TRIM($W1248),"-",""),".",""),"/","")," ",""),8),4),--MID(LEFT(SUBSTITUTE(SUBSTITUTE(SUBSTITUTE(SUBSTITUTE(TRIM($W1248),"-",""),".",""),"/","")," ",""),8),5,2),--MID(LEFT(SUBSTITUTE(SUBSTITUTE(SUBSTITUTE(SUBSTITUTE(TRIM($W1248),"-",""),".",""),"/","")," ",""),8),7,2)),"")))</f>
        <v/>
      </c>
      <c r="Y1248" s="32">
        <f>IF($X1248="","",INT($X1248))</f>
        <v/>
      </c>
      <c r="Z1248" s="33">
        <f>IF(OR($Y1248="",$D$6=""),"",IF(INDEX($A:$U,ROW(),$D$6)="",0,IF(ISNUMBER(INDEX($A:$U,ROW(),$D$6)),INDEX($A:$U,ROW(),$D$6),IFERROR(--SUBSTITUTE(SUBSTITUTE(TRIM(INDEX($A:$U,ROW(),$D$6)),",",""),"원",""),0))))</f>
        <v/>
      </c>
      <c r="AA1248" s="31">
        <f>IF($Y1248="","",TRIM(INDEX($A:$U,ROW(),$E$6)&amp;IF($F$6="",""," "&amp;INDEX($A:$U,ROW(),$F$6))))</f>
        <v/>
      </c>
      <c r="AB1248" s="31">
        <f>IF($AA1248="","",SUBSTITUTE(SUBSTITUTE(SUBSTITUTE(SUBSTITUTE(SUBSTITUTE(SUBSTITUTE(SUBSTITUTE(SUBSTITUTE(SUBSTITUTE($AA1248," ",""),"　",""),"(주)",""),"（주）",""),"㈜",""),"주식회사",""),"(유)",""),"（유）",""),"유한회사",""))</f>
        <v/>
      </c>
      <c r="AC1248" s="31">
        <f>IF(OR($Y1248="",N($Z1248)&lt;=0,$AB1248=""),0,IFERROR(LOOKUP(2,1/((거래처별!$AC$8:$AC$307&lt;&gt;"")*ISNUMBER(SEARCH(거래처별!$AC$8:$AC$307,$AB1248))),거래처별!$A$8:$A$307),IFERROR(LOOKUP(2,1/((거래처별!$AD$8:$AD$307&lt;&gt;"")*ISNUMBER(SEARCH(거래처별!$AD$8:$AD$307,$AB1248))),거래처별!$A$8:$A$307),IFERROR(LOOKUP(2,1/((거래처별!$AE$8:$AE$307&lt;&gt;"")*ISNUMBER(SEARCH(거래처별!$AE$8:$AE$307,$AB1248))),거래처별!$A$8:$A$307),0))))</f>
        <v/>
      </c>
      <c r="AD1248" s="31">
        <f>IF(AND($Y1248&lt;&gt;"",N($Z1248)&gt;0,$AC1248=0),MAX($AD$7:$AD1247)+1,"")</f>
        <v/>
      </c>
      <c r="AE1248" s="31">
        <f>IF($Y1248="",0,$Y1248)</f>
        <v/>
      </c>
    </row>
    <row r="1249">
      <c r="W1249" s="31">
        <f>IF(OR($B$5="",$C$6="",ROW()&lt;$B$5),"",IF(INDEX($A:$U,ROW(),$C$6)="","",INDEX($A:$U,ROW(),$C$6)))</f>
        <v/>
      </c>
      <c r="X1249" s="32">
        <f>IF($W1249="","",IF(ISNUMBER($W1249),IF($W1249&gt;=10000000,IFERROR(DATE(INT($W1249/10000),MOD(INT($W1249/100),100),MOD($W1249,100)),""),INT($W1249)),IFERROR(DATE(--LEFT(LEFT(SUBSTITUTE(SUBSTITUTE(SUBSTITUTE(SUBSTITUTE(TRIM($W1249),"-",""),".",""),"/","")," ",""),8),4),--MID(LEFT(SUBSTITUTE(SUBSTITUTE(SUBSTITUTE(SUBSTITUTE(TRIM($W1249),"-",""),".",""),"/","")," ",""),8),5,2),--MID(LEFT(SUBSTITUTE(SUBSTITUTE(SUBSTITUTE(SUBSTITUTE(TRIM($W1249),"-",""),".",""),"/","")," ",""),8),7,2)),"")))</f>
        <v/>
      </c>
      <c r="Y1249" s="32">
        <f>IF($X1249="","",INT($X1249))</f>
        <v/>
      </c>
      <c r="Z1249" s="33">
        <f>IF(OR($Y1249="",$D$6=""),"",IF(INDEX($A:$U,ROW(),$D$6)="",0,IF(ISNUMBER(INDEX($A:$U,ROW(),$D$6)),INDEX($A:$U,ROW(),$D$6),IFERROR(--SUBSTITUTE(SUBSTITUTE(TRIM(INDEX($A:$U,ROW(),$D$6)),",",""),"원",""),0))))</f>
        <v/>
      </c>
      <c r="AA1249" s="31">
        <f>IF($Y1249="","",TRIM(INDEX($A:$U,ROW(),$E$6)&amp;IF($F$6="",""," "&amp;INDEX($A:$U,ROW(),$F$6))))</f>
        <v/>
      </c>
      <c r="AB1249" s="31">
        <f>IF($AA1249="","",SUBSTITUTE(SUBSTITUTE(SUBSTITUTE(SUBSTITUTE(SUBSTITUTE(SUBSTITUTE(SUBSTITUTE(SUBSTITUTE(SUBSTITUTE($AA1249," ",""),"　",""),"(주)",""),"（주）",""),"㈜",""),"주식회사",""),"(유)",""),"（유）",""),"유한회사",""))</f>
        <v/>
      </c>
      <c r="AC1249" s="31">
        <f>IF(OR($Y1249="",N($Z1249)&lt;=0,$AB1249=""),0,IFERROR(LOOKUP(2,1/((거래처별!$AC$8:$AC$307&lt;&gt;"")*ISNUMBER(SEARCH(거래처별!$AC$8:$AC$307,$AB1249))),거래처별!$A$8:$A$307),IFERROR(LOOKUP(2,1/((거래처별!$AD$8:$AD$307&lt;&gt;"")*ISNUMBER(SEARCH(거래처별!$AD$8:$AD$307,$AB1249))),거래처별!$A$8:$A$307),IFERROR(LOOKUP(2,1/((거래처별!$AE$8:$AE$307&lt;&gt;"")*ISNUMBER(SEARCH(거래처별!$AE$8:$AE$307,$AB1249))),거래처별!$A$8:$A$307),0))))</f>
        <v/>
      </c>
      <c r="AD1249" s="31">
        <f>IF(AND($Y1249&lt;&gt;"",N($Z1249)&gt;0,$AC1249=0),MAX($AD$7:$AD1248)+1,"")</f>
        <v/>
      </c>
      <c r="AE1249" s="31">
        <f>IF($Y1249="",0,$Y1249)</f>
        <v/>
      </c>
    </row>
    <row r="1250">
      <c r="W1250" s="31">
        <f>IF(OR($B$5="",$C$6="",ROW()&lt;$B$5),"",IF(INDEX($A:$U,ROW(),$C$6)="","",INDEX($A:$U,ROW(),$C$6)))</f>
        <v/>
      </c>
      <c r="X1250" s="32">
        <f>IF($W1250="","",IF(ISNUMBER($W1250),IF($W1250&gt;=10000000,IFERROR(DATE(INT($W1250/10000),MOD(INT($W1250/100),100),MOD($W1250,100)),""),INT($W1250)),IFERROR(DATE(--LEFT(LEFT(SUBSTITUTE(SUBSTITUTE(SUBSTITUTE(SUBSTITUTE(TRIM($W1250),"-",""),".",""),"/","")," ",""),8),4),--MID(LEFT(SUBSTITUTE(SUBSTITUTE(SUBSTITUTE(SUBSTITUTE(TRIM($W1250),"-",""),".",""),"/","")," ",""),8),5,2),--MID(LEFT(SUBSTITUTE(SUBSTITUTE(SUBSTITUTE(SUBSTITUTE(TRIM($W1250),"-",""),".",""),"/","")," ",""),8),7,2)),"")))</f>
        <v/>
      </c>
      <c r="Y1250" s="32">
        <f>IF($X1250="","",INT($X1250))</f>
        <v/>
      </c>
      <c r="Z1250" s="33">
        <f>IF(OR($Y1250="",$D$6=""),"",IF(INDEX($A:$U,ROW(),$D$6)="",0,IF(ISNUMBER(INDEX($A:$U,ROW(),$D$6)),INDEX($A:$U,ROW(),$D$6),IFERROR(--SUBSTITUTE(SUBSTITUTE(TRIM(INDEX($A:$U,ROW(),$D$6)),",",""),"원",""),0))))</f>
        <v/>
      </c>
      <c r="AA1250" s="31">
        <f>IF($Y1250="","",TRIM(INDEX($A:$U,ROW(),$E$6)&amp;IF($F$6="",""," "&amp;INDEX($A:$U,ROW(),$F$6))))</f>
        <v/>
      </c>
      <c r="AB1250" s="31">
        <f>IF($AA1250="","",SUBSTITUTE(SUBSTITUTE(SUBSTITUTE(SUBSTITUTE(SUBSTITUTE(SUBSTITUTE(SUBSTITUTE(SUBSTITUTE(SUBSTITUTE($AA1250," ",""),"　",""),"(주)",""),"（주）",""),"㈜",""),"주식회사",""),"(유)",""),"（유）",""),"유한회사",""))</f>
        <v/>
      </c>
      <c r="AC1250" s="31">
        <f>IF(OR($Y1250="",N($Z1250)&lt;=0,$AB1250=""),0,IFERROR(LOOKUP(2,1/((거래처별!$AC$8:$AC$307&lt;&gt;"")*ISNUMBER(SEARCH(거래처별!$AC$8:$AC$307,$AB1250))),거래처별!$A$8:$A$307),IFERROR(LOOKUP(2,1/((거래처별!$AD$8:$AD$307&lt;&gt;"")*ISNUMBER(SEARCH(거래처별!$AD$8:$AD$307,$AB1250))),거래처별!$A$8:$A$307),IFERROR(LOOKUP(2,1/((거래처별!$AE$8:$AE$307&lt;&gt;"")*ISNUMBER(SEARCH(거래처별!$AE$8:$AE$307,$AB1250))),거래처별!$A$8:$A$307),0))))</f>
        <v/>
      </c>
      <c r="AD1250" s="31">
        <f>IF(AND($Y1250&lt;&gt;"",N($Z1250)&gt;0,$AC1250=0),MAX($AD$7:$AD1249)+1,"")</f>
        <v/>
      </c>
      <c r="AE1250" s="31">
        <f>IF($Y1250="",0,$Y1250)</f>
        <v/>
      </c>
    </row>
    <row r="1251">
      <c r="W1251" s="31">
        <f>IF(OR($B$5="",$C$6="",ROW()&lt;$B$5),"",IF(INDEX($A:$U,ROW(),$C$6)="","",INDEX($A:$U,ROW(),$C$6)))</f>
        <v/>
      </c>
      <c r="X1251" s="32">
        <f>IF($W1251="","",IF(ISNUMBER($W1251),IF($W1251&gt;=10000000,IFERROR(DATE(INT($W1251/10000),MOD(INT($W1251/100),100),MOD($W1251,100)),""),INT($W1251)),IFERROR(DATE(--LEFT(LEFT(SUBSTITUTE(SUBSTITUTE(SUBSTITUTE(SUBSTITUTE(TRIM($W1251),"-",""),".",""),"/","")," ",""),8),4),--MID(LEFT(SUBSTITUTE(SUBSTITUTE(SUBSTITUTE(SUBSTITUTE(TRIM($W1251),"-",""),".",""),"/","")," ",""),8),5,2),--MID(LEFT(SUBSTITUTE(SUBSTITUTE(SUBSTITUTE(SUBSTITUTE(TRIM($W1251),"-",""),".",""),"/","")," ",""),8),7,2)),"")))</f>
        <v/>
      </c>
      <c r="Y1251" s="32">
        <f>IF($X1251="","",INT($X1251))</f>
        <v/>
      </c>
      <c r="Z1251" s="33">
        <f>IF(OR($Y1251="",$D$6=""),"",IF(INDEX($A:$U,ROW(),$D$6)="",0,IF(ISNUMBER(INDEX($A:$U,ROW(),$D$6)),INDEX($A:$U,ROW(),$D$6),IFERROR(--SUBSTITUTE(SUBSTITUTE(TRIM(INDEX($A:$U,ROW(),$D$6)),",",""),"원",""),0))))</f>
        <v/>
      </c>
      <c r="AA1251" s="31">
        <f>IF($Y1251="","",TRIM(INDEX($A:$U,ROW(),$E$6)&amp;IF($F$6="",""," "&amp;INDEX($A:$U,ROW(),$F$6))))</f>
        <v/>
      </c>
      <c r="AB1251" s="31">
        <f>IF($AA1251="","",SUBSTITUTE(SUBSTITUTE(SUBSTITUTE(SUBSTITUTE(SUBSTITUTE(SUBSTITUTE(SUBSTITUTE(SUBSTITUTE(SUBSTITUTE($AA1251," ",""),"　",""),"(주)",""),"（주）",""),"㈜",""),"주식회사",""),"(유)",""),"（유）",""),"유한회사",""))</f>
        <v/>
      </c>
      <c r="AC1251" s="31">
        <f>IF(OR($Y1251="",N($Z1251)&lt;=0,$AB1251=""),0,IFERROR(LOOKUP(2,1/((거래처별!$AC$8:$AC$307&lt;&gt;"")*ISNUMBER(SEARCH(거래처별!$AC$8:$AC$307,$AB1251))),거래처별!$A$8:$A$307),IFERROR(LOOKUP(2,1/((거래처별!$AD$8:$AD$307&lt;&gt;"")*ISNUMBER(SEARCH(거래처별!$AD$8:$AD$307,$AB1251))),거래처별!$A$8:$A$307),IFERROR(LOOKUP(2,1/((거래처별!$AE$8:$AE$307&lt;&gt;"")*ISNUMBER(SEARCH(거래처별!$AE$8:$AE$307,$AB1251))),거래처별!$A$8:$A$307),0))))</f>
        <v/>
      </c>
      <c r="AD1251" s="31">
        <f>IF(AND($Y1251&lt;&gt;"",N($Z1251)&gt;0,$AC1251=0),MAX($AD$7:$AD1250)+1,"")</f>
        <v/>
      </c>
      <c r="AE1251" s="31">
        <f>IF($Y1251="",0,$Y1251)</f>
        <v/>
      </c>
    </row>
    <row r="1252">
      <c r="W1252" s="31">
        <f>IF(OR($B$5="",$C$6="",ROW()&lt;$B$5),"",IF(INDEX($A:$U,ROW(),$C$6)="","",INDEX($A:$U,ROW(),$C$6)))</f>
        <v/>
      </c>
      <c r="X1252" s="32">
        <f>IF($W1252="","",IF(ISNUMBER($W1252),IF($W1252&gt;=10000000,IFERROR(DATE(INT($W1252/10000),MOD(INT($W1252/100),100),MOD($W1252,100)),""),INT($W1252)),IFERROR(DATE(--LEFT(LEFT(SUBSTITUTE(SUBSTITUTE(SUBSTITUTE(SUBSTITUTE(TRIM($W1252),"-",""),".",""),"/","")," ",""),8),4),--MID(LEFT(SUBSTITUTE(SUBSTITUTE(SUBSTITUTE(SUBSTITUTE(TRIM($W1252),"-",""),".",""),"/","")," ",""),8),5,2),--MID(LEFT(SUBSTITUTE(SUBSTITUTE(SUBSTITUTE(SUBSTITUTE(TRIM($W1252),"-",""),".",""),"/","")," ",""),8),7,2)),"")))</f>
        <v/>
      </c>
      <c r="Y1252" s="32">
        <f>IF($X1252="","",INT($X1252))</f>
        <v/>
      </c>
      <c r="Z1252" s="33">
        <f>IF(OR($Y1252="",$D$6=""),"",IF(INDEX($A:$U,ROW(),$D$6)="",0,IF(ISNUMBER(INDEX($A:$U,ROW(),$D$6)),INDEX($A:$U,ROW(),$D$6),IFERROR(--SUBSTITUTE(SUBSTITUTE(TRIM(INDEX($A:$U,ROW(),$D$6)),",",""),"원",""),0))))</f>
        <v/>
      </c>
      <c r="AA1252" s="31">
        <f>IF($Y1252="","",TRIM(INDEX($A:$U,ROW(),$E$6)&amp;IF($F$6="",""," "&amp;INDEX($A:$U,ROW(),$F$6))))</f>
        <v/>
      </c>
      <c r="AB1252" s="31">
        <f>IF($AA1252="","",SUBSTITUTE(SUBSTITUTE(SUBSTITUTE(SUBSTITUTE(SUBSTITUTE(SUBSTITUTE(SUBSTITUTE(SUBSTITUTE(SUBSTITUTE($AA1252," ",""),"　",""),"(주)",""),"（주）",""),"㈜",""),"주식회사",""),"(유)",""),"（유）",""),"유한회사",""))</f>
        <v/>
      </c>
      <c r="AC1252" s="31">
        <f>IF(OR($Y1252="",N($Z1252)&lt;=0,$AB1252=""),0,IFERROR(LOOKUP(2,1/((거래처별!$AC$8:$AC$307&lt;&gt;"")*ISNUMBER(SEARCH(거래처별!$AC$8:$AC$307,$AB1252))),거래처별!$A$8:$A$307),IFERROR(LOOKUP(2,1/((거래처별!$AD$8:$AD$307&lt;&gt;"")*ISNUMBER(SEARCH(거래처별!$AD$8:$AD$307,$AB1252))),거래처별!$A$8:$A$307),IFERROR(LOOKUP(2,1/((거래처별!$AE$8:$AE$307&lt;&gt;"")*ISNUMBER(SEARCH(거래처별!$AE$8:$AE$307,$AB1252))),거래처별!$A$8:$A$307),0))))</f>
        <v/>
      </c>
      <c r="AD1252" s="31">
        <f>IF(AND($Y1252&lt;&gt;"",N($Z1252)&gt;0,$AC1252=0),MAX($AD$7:$AD1251)+1,"")</f>
        <v/>
      </c>
      <c r="AE1252" s="31">
        <f>IF($Y1252="",0,$Y1252)</f>
        <v/>
      </c>
    </row>
    <row r="1253">
      <c r="W1253" s="31">
        <f>IF(OR($B$5="",$C$6="",ROW()&lt;$B$5),"",IF(INDEX($A:$U,ROW(),$C$6)="","",INDEX($A:$U,ROW(),$C$6)))</f>
        <v/>
      </c>
      <c r="X1253" s="32">
        <f>IF($W1253="","",IF(ISNUMBER($W1253),IF($W1253&gt;=10000000,IFERROR(DATE(INT($W1253/10000),MOD(INT($W1253/100),100),MOD($W1253,100)),""),INT($W1253)),IFERROR(DATE(--LEFT(LEFT(SUBSTITUTE(SUBSTITUTE(SUBSTITUTE(SUBSTITUTE(TRIM($W1253),"-",""),".",""),"/","")," ",""),8),4),--MID(LEFT(SUBSTITUTE(SUBSTITUTE(SUBSTITUTE(SUBSTITUTE(TRIM($W1253),"-",""),".",""),"/","")," ",""),8),5,2),--MID(LEFT(SUBSTITUTE(SUBSTITUTE(SUBSTITUTE(SUBSTITUTE(TRIM($W1253),"-",""),".",""),"/","")," ",""),8),7,2)),"")))</f>
        <v/>
      </c>
      <c r="Y1253" s="32">
        <f>IF($X1253="","",INT($X1253))</f>
        <v/>
      </c>
      <c r="Z1253" s="33">
        <f>IF(OR($Y1253="",$D$6=""),"",IF(INDEX($A:$U,ROW(),$D$6)="",0,IF(ISNUMBER(INDEX($A:$U,ROW(),$D$6)),INDEX($A:$U,ROW(),$D$6),IFERROR(--SUBSTITUTE(SUBSTITUTE(TRIM(INDEX($A:$U,ROW(),$D$6)),",",""),"원",""),0))))</f>
        <v/>
      </c>
      <c r="AA1253" s="31">
        <f>IF($Y1253="","",TRIM(INDEX($A:$U,ROW(),$E$6)&amp;IF($F$6="",""," "&amp;INDEX($A:$U,ROW(),$F$6))))</f>
        <v/>
      </c>
      <c r="AB1253" s="31">
        <f>IF($AA1253="","",SUBSTITUTE(SUBSTITUTE(SUBSTITUTE(SUBSTITUTE(SUBSTITUTE(SUBSTITUTE(SUBSTITUTE(SUBSTITUTE(SUBSTITUTE($AA1253," ",""),"　",""),"(주)",""),"（주）",""),"㈜",""),"주식회사",""),"(유)",""),"（유）",""),"유한회사",""))</f>
        <v/>
      </c>
      <c r="AC1253" s="31">
        <f>IF(OR($Y1253="",N($Z1253)&lt;=0,$AB1253=""),0,IFERROR(LOOKUP(2,1/((거래처별!$AC$8:$AC$307&lt;&gt;"")*ISNUMBER(SEARCH(거래처별!$AC$8:$AC$307,$AB1253))),거래처별!$A$8:$A$307),IFERROR(LOOKUP(2,1/((거래처별!$AD$8:$AD$307&lt;&gt;"")*ISNUMBER(SEARCH(거래처별!$AD$8:$AD$307,$AB1253))),거래처별!$A$8:$A$307),IFERROR(LOOKUP(2,1/((거래처별!$AE$8:$AE$307&lt;&gt;"")*ISNUMBER(SEARCH(거래처별!$AE$8:$AE$307,$AB1253))),거래처별!$A$8:$A$307),0))))</f>
        <v/>
      </c>
      <c r="AD1253" s="31">
        <f>IF(AND($Y1253&lt;&gt;"",N($Z1253)&gt;0,$AC1253=0),MAX($AD$7:$AD1252)+1,"")</f>
        <v/>
      </c>
      <c r="AE1253" s="31">
        <f>IF($Y1253="",0,$Y1253)</f>
        <v/>
      </c>
    </row>
    <row r="1254">
      <c r="W1254" s="31">
        <f>IF(OR($B$5="",$C$6="",ROW()&lt;$B$5),"",IF(INDEX($A:$U,ROW(),$C$6)="","",INDEX($A:$U,ROW(),$C$6)))</f>
        <v/>
      </c>
      <c r="X1254" s="32">
        <f>IF($W1254="","",IF(ISNUMBER($W1254),IF($W1254&gt;=10000000,IFERROR(DATE(INT($W1254/10000),MOD(INT($W1254/100),100),MOD($W1254,100)),""),INT($W1254)),IFERROR(DATE(--LEFT(LEFT(SUBSTITUTE(SUBSTITUTE(SUBSTITUTE(SUBSTITUTE(TRIM($W1254),"-",""),".",""),"/","")," ",""),8),4),--MID(LEFT(SUBSTITUTE(SUBSTITUTE(SUBSTITUTE(SUBSTITUTE(TRIM($W1254),"-",""),".",""),"/","")," ",""),8),5,2),--MID(LEFT(SUBSTITUTE(SUBSTITUTE(SUBSTITUTE(SUBSTITUTE(TRIM($W1254),"-",""),".",""),"/","")," ",""),8),7,2)),"")))</f>
        <v/>
      </c>
      <c r="Y1254" s="32">
        <f>IF($X1254="","",INT($X1254))</f>
        <v/>
      </c>
      <c r="Z1254" s="33">
        <f>IF(OR($Y1254="",$D$6=""),"",IF(INDEX($A:$U,ROW(),$D$6)="",0,IF(ISNUMBER(INDEX($A:$U,ROW(),$D$6)),INDEX($A:$U,ROW(),$D$6),IFERROR(--SUBSTITUTE(SUBSTITUTE(TRIM(INDEX($A:$U,ROW(),$D$6)),",",""),"원",""),0))))</f>
        <v/>
      </c>
      <c r="AA1254" s="31">
        <f>IF($Y1254="","",TRIM(INDEX($A:$U,ROW(),$E$6)&amp;IF($F$6="",""," "&amp;INDEX($A:$U,ROW(),$F$6))))</f>
        <v/>
      </c>
      <c r="AB1254" s="31">
        <f>IF($AA1254="","",SUBSTITUTE(SUBSTITUTE(SUBSTITUTE(SUBSTITUTE(SUBSTITUTE(SUBSTITUTE(SUBSTITUTE(SUBSTITUTE(SUBSTITUTE($AA1254," ",""),"　",""),"(주)",""),"（주）",""),"㈜",""),"주식회사",""),"(유)",""),"（유）",""),"유한회사",""))</f>
        <v/>
      </c>
      <c r="AC1254" s="31">
        <f>IF(OR($Y1254="",N($Z1254)&lt;=0,$AB1254=""),0,IFERROR(LOOKUP(2,1/((거래처별!$AC$8:$AC$307&lt;&gt;"")*ISNUMBER(SEARCH(거래처별!$AC$8:$AC$307,$AB1254))),거래처별!$A$8:$A$307),IFERROR(LOOKUP(2,1/((거래처별!$AD$8:$AD$307&lt;&gt;"")*ISNUMBER(SEARCH(거래처별!$AD$8:$AD$307,$AB1254))),거래처별!$A$8:$A$307),IFERROR(LOOKUP(2,1/((거래처별!$AE$8:$AE$307&lt;&gt;"")*ISNUMBER(SEARCH(거래처별!$AE$8:$AE$307,$AB1254))),거래처별!$A$8:$A$307),0))))</f>
        <v/>
      </c>
      <c r="AD1254" s="31">
        <f>IF(AND($Y1254&lt;&gt;"",N($Z1254)&gt;0,$AC1254=0),MAX($AD$7:$AD1253)+1,"")</f>
        <v/>
      </c>
      <c r="AE1254" s="31">
        <f>IF($Y1254="",0,$Y1254)</f>
        <v/>
      </c>
    </row>
    <row r="1255">
      <c r="W1255" s="31">
        <f>IF(OR($B$5="",$C$6="",ROW()&lt;$B$5),"",IF(INDEX($A:$U,ROW(),$C$6)="","",INDEX($A:$U,ROW(),$C$6)))</f>
        <v/>
      </c>
      <c r="X1255" s="32">
        <f>IF($W1255="","",IF(ISNUMBER($W1255),IF($W1255&gt;=10000000,IFERROR(DATE(INT($W1255/10000),MOD(INT($W1255/100),100),MOD($W1255,100)),""),INT($W1255)),IFERROR(DATE(--LEFT(LEFT(SUBSTITUTE(SUBSTITUTE(SUBSTITUTE(SUBSTITUTE(TRIM($W1255),"-",""),".",""),"/","")," ",""),8),4),--MID(LEFT(SUBSTITUTE(SUBSTITUTE(SUBSTITUTE(SUBSTITUTE(TRIM($W1255),"-",""),".",""),"/","")," ",""),8),5,2),--MID(LEFT(SUBSTITUTE(SUBSTITUTE(SUBSTITUTE(SUBSTITUTE(TRIM($W1255),"-",""),".",""),"/","")," ",""),8),7,2)),"")))</f>
        <v/>
      </c>
      <c r="Y1255" s="32">
        <f>IF($X1255="","",INT($X1255))</f>
        <v/>
      </c>
      <c r="Z1255" s="33">
        <f>IF(OR($Y1255="",$D$6=""),"",IF(INDEX($A:$U,ROW(),$D$6)="",0,IF(ISNUMBER(INDEX($A:$U,ROW(),$D$6)),INDEX($A:$U,ROW(),$D$6),IFERROR(--SUBSTITUTE(SUBSTITUTE(TRIM(INDEX($A:$U,ROW(),$D$6)),",",""),"원",""),0))))</f>
        <v/>
      </c>
      <c r="AA1255" s="31">
        <f>IF($Y1255="","",TRIM(INDEX($A:$U,ROW(),$E$6)&amp;IF($F$6="",""," "&amp;INDEX($A:$U,ROW(),$F$6))))</f>
        <v/>
      </c>
      <c r="AB1255" s="31">
        <f>IF($AA1255="","",SUBSTITUTE(SUBSTITUTE(SUBSTITUTE(SUBSTITUTE(SUBSTITUTE(SUBSTITUTE(SUBSTITUTE(SUBSTITUTE(SUBSTITUTE($AA1255," ",""),"　",""),"(주)",""),"（주）",""),"㈜",""),"주식회사",""),"(유)",""),"（유）",""),"유한회사",""))</f>
        <v/>
      </c>
      <c r="AC1255" s="31">
        <f>IF(OR($Y1255="",N($Z1255)&lt;=0,$AB1255=""),0,IFERROR(LOOKUP(2,1/((거래처별!$AC$8:$AC$307&lt;&gt;"")*ISNUMBER(SEARCH(거래처별!$AC$8:$AC$307,$AB1255))),거래처별!$A$8:$A$307),IFERROR(LOOKUP(2,1/((거래처별!$AD$8:$AD$307&lt;&gt;"")*ISNUMBER(SEARCH(거래처별!$AD$8:$AD$307,$AB1255))),거래처별!$A$8:$A$307),IFERROR(LOOKUP(2,1/((거래처별!$AE$8:$AE$307&lt;&gt;"")*ISNUMBER(SEARCH(거래처별!$AE$8:$AE$307,$AB1255))),거래처별!$A$8:$A$307),0))))</f>
        <v/>
      </c>
      <c r="AD1255" s="31">
        <f>IF(AND($Y1255&lt;&gt;"",N($Z1255)&gt;0,$AC1255=0),MAX($AD$7:$AD1254)+1,"")</f>
        <v/>
      </c>
      <c r="AE1255" s="31">
        <f>IF($Y1255="",0,$Y1255)</f>
        <v/>
      </c>
    </row>
    <row r="1256">
      <c r="W1256" s="31">
        <f>IF(OR($B$5="",$C$6="",ROW()&lt;$B$5),"",IF(INDEX($A:$U,ROW(),$C$6)="","",INDEX($A:$U,ROW(),$C$6)))</f>
        <v/>
      </c>
      <c r="X1256" s="32">
        <f>IF($W1256="","",IF(ISNUMBER($W1256),IF($W1256&gt;=10000000,IFERROR(DATE(INT($W1256/10000),MOD(INT($W1256/100),100),MOD($W1256,100)),""),INT($W1256)),IFERROR(DATE(--LEFT(LEFT(SUBSTITUTE(SUBSTITUTE(SUBSTITUTE(SUBSTITUTE(TRIM($W1256),"-",""),".",""),"/","")," ",""),8),4),--MID(LEFT(SUBSTITUTE(SUBSTITUTE(SUBSTITUTE(SUBSTITUTE(TRIM($W1256),"-",""),".",""),"/","")," ",""),8),5,2),--MID(LEFT(SUBSTITUTE(SUBSTITUTE(SUBSTITUTE(SUBSTITUTE(TRIM($W1256),"-",""),".",""),"/","")," ",""),8),7,2)),"")))</f>
        <v/>
      </c>
      <c r="Y1256" s="32">
        <f>IF($X1256="","",INT($X1256))</f>
        <v/>
      </c>
      <c r="Z1256" s="33">
        <f>IF(OR($Y1256="",$D$6=""),"",IF(INDEX($A:$U,ROW(),$D$6)="",0,IF(ISNUMBER(INDEX($A:$U,ROW(),$D$6)),INDEX($A:$U,ROW(),$D$6),IFERROR(--SUBSTITUTE(SUBSTITUTE(TRIM(INDEX($A:$U,ROW(),$D$6)),",",""),"원",""),0))))</f>
        <v/>
      </c>
      <c r="AA1256" s="31">
        <f>IF($Y1256="","",TRIM(INDEX($A:$U,ROW(),$E$6)&amp;IF($F$6="",""," "&amp;INDEX($A:$U,ROW(),$F$6))))</f>
        <v/>
      </c>
      <c r="AB1256" s="31">
        <f>IF($AA1256="","",SUBSTITUTE(SUBSTITUTE(SUBSTITUTE(SUBSTITUTE(SUBSTITUTE(SUBSTITUTE(SUBSTITUTE(SUBSTITUTE(SUBSTITUTE($AA1256," ",""),"　",""),"(주)",""),"（주）",""),"㈜",""),"주식회사",""),"(유)",""),"（유）",""),"유한회사",""))</f>
        <v/>
      </c>
      <c r="AC1256" s="31">
        <f>IF(OR($Y1256="",N($Z1256)&lt;=0,$AB1256=""),0,IFERROR(LOOKUP(2,1/((거래처별!$AC$8:$AC$307&lt;&gt;"")*ISNUMBER(SEARCH(거래처별!$AC$8:$AC$307,$AB1256))),거래처별!$A$8:$A$307),IFERROR(LOOKUP(2,1/((거래처별!$AD$8:$AD$307&lt;&gt;"")*ISNUMBER(SEARCH(거래처별!$AD$8:$AD$307,$AB1256))),거래처별!$A$8:$A$307),IFERROR(LOOKUP(2,1/((거래처별!$AE$8:$AE$307&lt;&gt;"")*ISNUMBER(SEARCH(거래처별!$AE$8:$AE$307,$AB1256))),거래처별!$A$8:$A$307),0))))</f>
        <v/>
      </c>
      <c r="AD1256" s="31">
        <f>IF(AND($Y1256&lt;&gt;"",N($Z1256)&gt;0,$AC1256=0),MAX($AD$7:$AD1255)+1,"")</f>
        <v/>
      </c>
      <c r="AE1256" s="31">
        <f>IF($Y1256="",0,$Y1256)</f>
        <v/>
      </c>
    </row>
    <row r="1257">
      <c r="W1257" s="31">
        <f>IF(OR($B$5="",$C$6="",ROW()&lt;$B$5),"",IF(INDEX($A:$U,ROW(),$C$6)="","",INDEX($A:$U,ROW(),$C$6)))</f>
        <v/>
      </c>
      <c r="X1257" s="32">
        <f>IF($W1257="","",IF(ISNUMBER($W1257),IF($W1257&gt;=10000000,IFERROR(DATE(INT($W1257/10000),MOD(INT($W1257/100),100),MOD($W1257,100)),""),INT($W1257)),IFERROR(DATE(--LEFT(LEFT(SUBSTITUTE(SUBSTITUTE(SUBSTITUTE(SUBSTITUTE(TRIM($W1257),"-",""),".",""),"/","")," ",""),8),4),--MID(LEFT(SUBSTITUTE(SUBSTITUTE(SUBSTITUTE(SUBSTITUTE(TRIM($W1257),"-",""),".",""),"/","")," ",""),8),5,2),--MID(LEFT(SUBSTITUTE(SUBSTITUTE(SUBSTITUTE(SUBSTITUTE(TRIM($W1257),"-",""),".",""),"/","")," ",""),8),7,2)),"")))</f>
        <v/>
      </c>
      <c r="Y1257" s="32">
        <f>IF($X1257="","",INT($X1257))</f>
        <v/>
      </c>
      <c r="Z1257" s="33">
        <f>IF(OR($Y1257="",$D$6=""),"",IF(INDEX($A:$U,ROW(),$D$6)="",0,IF(ISNUMBER(INDEX($A:$U,ROW(),$D$6)),INDEX($A:$U,ROW(),$D$6),IFERROR(--SUBSTITUTE(SUBSTITUTE(TRIM(INDEX($A:$U,ROW(),$D$6)),",",""),"원",""),0))))</f>
        <v/>
      </c>
      <c r="AA1257" s="31">
        <f>IF($Y1257="","",TRIM(INDEX($A:$U,ROW(),$E$6)&amp;IF($F$6="",""," "&amp;INDEX($A:$U,ROW(),$F$6))))</f>
        <v/>
      </c>
      <c r="AB1257" s="31">
        <f>IF($AA1257="","",SUBSTITUTE(SUBSTITUTE(SUBSTITUTE(SUBSTITUTE(SUBSTITUTE(SUBSTITUTE(SUBSTITUTE(SUBSTITUTE(SUBSTITUTE($AA1257," ",""),"　",""),"(주)",""),"（주）",""),"㈜",""),"주식회사",""),"(유)",""),"（유）",""),"유한회사",""))</f>
        <v/>
      </c>
      <c r="AC1257" s="31">
        <f>IF(OR($Y1257="",N($Z1257)&lt;=0,$AB1257=""),0,IFERROR(LOOKUP(2,1/((거래처별!$AC$8:$AC$307&lt;&gt;"")*ISNUMBER(SEARCH(거래처별!$AC$8:$AC$307,$AB1257))),거래처별!$A$8:$A$307),IFERROR(LOOKUP(2,1/((거래처별!$AD$8:$AD$307&lt;&gt;"")*ISNUMBER(SEARCH(거래처별!$AD$8:$AD$307,$AB1257))),거래처별!$A$8:$A$307),IFERROR(LOOKUP(2,1/((거래처별!$AE$8:$AE$307&lt;&gt;"")*ISNUMBER(SEARCH(거래처별!$AE$8:$AE$307,$AB1257))),거래처별!$A$8:$A$307),0))))</f>
        <v/>
      </c>
      <c r="AD1257" s="31">
        <f>IF(AND($Y1257&lt;&gt;"",N($Z1257)&gt;0,$AC1257=0),MAX($AD$7:$AD1256)+1,"")</f>
        <v/>
      </c>
      <c r="AE1257" s="31">
        <f>IF($Y1257="",0,$Y1257)</f>
        <v/>
      </c>
    </row>
    <row r="1258">
      <c r="W1258" s="31">
        <f>IF(OR($B$5="",$C$6="",ROW()&lt;$B$5),"",IF(INDEX($A:$U,ROW(),$C$6)="","",INDEX($A:$U,ROW(),$C$6)))</f>
        <v/>
      </c>
      <c r="X1258" s="32">
        <f>IF($W1258="","",IF(ISNUMBER($W1258),IF($W1258&gt;=10000000,IFERROR(DATE(INT($W1258/10000),MOD(INT($W1258/100),100),MOD($W1258,100)),""),INT($W1258)),IFERROR(DATE(--LEFT(LEFT(SUBSTITUTE(SUBSTITUTE(SUBSTITUTE(SUBSTITUTE(TRIM($W1258),"-",""),".",""),"/","")," ",""),8),4),--MID(LEFT(SUBSTITUTE(SUBSTITUTE(SUBSTITUTE(SUBSTITUTE(TRIM($W1258),"-",""),".",""),"/","")," ",""),8),5,2),--MID(LEFT(SUBSTITUTE(SUBSTITUTE(SUBSTITUTE(SUBSTITUTE(TRIM($W1258),"-",""),".",""),"/","")," ",""),8),7,2)),"")))</f>
        <v/>
      </c>
      <c r="Y1258" s="32">
        <f>IF($X1258="","",INT($X1258))</f>
        <v/>
      </c>
      <c r="Z1258" s="33">
        <f>IF(OR($Y1258="",$D$6=""),"",IF(INDEX($A:$U,ROW(),$D$6)="",0,IF(ISNUMBER(INDEX($A:$U,ROW(),$D$6)),INDEX($A:$U,ROW(),$D$6),IFERROR(--SUBSTITUTE(SUBSTITUTE(TRIM(INDEX($A:$U,ROW(),$D$6)),",",""),"원",""),0))))</f>
        <v/>
      </c>
      <c r="AA1258" s="31">
        <f>IF($Y1258="","",TRIM(INDEX($A:$U,ROW(),$E$6)&amp;IF($F$6="",""," "&amp;INDEX($A:$U,ROW(),$F$6))))</f>
        <v/>
      </c>
      <c r="AB1258" s="31">
        <f>IF($AA1258="","",SUBSTITUTE(SUBSTITUTE(SUBSTITUTE(SUBSTITUTE(SUBSTITUTE(SUBSTITUTE(SUBSTITUTE(SUBSTITUTE(SUBSTITUTE($AA1258," ",""),"　",""),"(주)",""),"（주）",""),"㈜",""),"주식회사",""),"(유)",""),"（유）",""),"유한회사",""))</f>
        <v/>
      </c>
      <c r="AC1258" s="31">
        <f>IF(OR($Y1258="",N($Z1258)&lt;=0,$AB1258=""),0,IFERROR(LOOKUP(2,1/((거래처별!$AC$8:$AC$307&lt;&gt;"")*ISNUMBER(SEARCH(거래처별!$AC$8:$AC$307,$AB1258))),거래처별!$A$8:$A$307),IFERROR(LOOKUP(2,1/((거래처별!$AD$8:$AD$307&lt;&gt;"")*ISNUMBER(SEARCH(거래처별!$AD$8:$AD$307,$AB1258))),거래처별!$A$8:$A$307),IFERROR(LOOKUP(2,1/((거래처별!$AE$8:$AE$307&lt;&gt;"")*ISNUMBER(SEARCH(거래처별!$AE$8:$AE$307,$AB1258))),거래처별!$A$8:$A$307),0))))</f>
        <v/>
      </c>
      <c r="AD1258" s="31">
        <f>IF(AND($Y1258&lt;&gt;"",N($Z1258)&gt;0,$AC1258=0),MAX($AD$7:$AD1257)+1,"")</f>
        <v/>
      </c>
      <c r="AE1258" s="31">
        <f>IF($Y1258="",0,$Y1258)</f>
        <v/>
      </c>
    </row>
    <row r="1259">
      <c r="W1259" s="31">
        <f>IF(OR($B$5="",$C$6="",ROW()&lt;$B$5),"",IF(INDEX($A:$U,ROW(),$C$6)="","",INDEX($A:$U,ROW(),$C$6)))</f>
        <v/>
      </c>
      <c r="X1259" s="32">
        <f>IF($W1259="","",IF(ISNUMBER($W1259),IF($W1259&gt;=10000000,IFERROR(DATE(INT($W1259/10000),MOD(INT($W1259/100),100),MOD($W1259,100)),""),INT($W1259)),IFERROR(DATE(--LEFT(LEFT(SUBSTITUTE(SUBSTITUTE(SUBSTITUTE(SUBSTITUTE(TRIM($W1259),"-",""),".",""),"/","")," ",""),8),4),--MID(LEFT(SUBSTITUTE(SUBSTITUTE(SUBSTITUTE(SUBSTITUTE(TRIM($W1259),"-",""),".",""),"/","")," ",""),8),5,2),--MID(LEFT(SUBSTITUTE(SUBSTITUTE(SUBSTITUTE(SUBSTITUTE(TRIM($W1259),"-",""),".",""),"/","")," ",""),8),7,2)),"")))</f>
        <v/>
      </c>
      <c r="Y1259" s="32">
        <f>IF($X1259="","",INT($X1259))</f>
        <v/>
      </c>
      <c r="Z1259" s="33">
        <f>IF(OR($Y1259="",$D$6=""),"",IF(INDEX($A:$U,ROW(),$D$6)="",0,IF(ISNUMBER(INDEX($A:$U,ROW(),$D$6)),INDEX($A:$U,ROW(),$D$6),IFERROR(--SUBSTITUTE(SUBSTITUTE(TRIM(INDEX($A:$U,ROW(),$D$6)),",",""),"원",""),0))))</f>
        <v/>
      </c>
      <c r="AA1259" s="31">
        <f>IF($Y1259="","",TRIM(INDEX($A:$U,ROW(),$E$6)&amp;IF($F$6="",""," "&amp;INDEX($A:$U,ROW(),$F$6))))</f>
        <v/>
      </c>
      <c r="AB1259" s="31">
        <f>IF($AA1259="","",SUBSTITUTE(SUBSTITUTE(SUBSTITUTE(SUBSTITUTE(SUBSTITUTE(SUBSTITUTE(SUBSTITUTE(SUBSTITUTE(SUBSTITUTE($AA1259," ",""),"　",""),"(주)",""),"（주）",""),"㈜",""),"주식회사",""),"(유)",""),"（유）",""),"유한회사",""))</f>
        <v/>
      </c>
      <c r="AC1259" s="31">
        <f>IF(OR($Y1259="",N($Z1259)&lt;=0,$AB1259=""),0,IFERROR(LOOKUP(2,1/((거래처별!$AC$8:$AC$307&lt;&gt;"")*ISNUMBER(SEARCH(거래처별!$AC$8:$AC$307,$AB1259))),거래처별!$A$8:$A$307),IFERROR(LOOKUP(2,1/((거래처별!$AD$8:$AD$307&lt;&gt;"")*ISNUMBER(SEARCH(거래처별!$AD$8:$AD$307,$AB1259))),거래처별!$A$8:$A$307),IFERROR(LOOKUP(2,1/((거래처별!$AE$8:$AE$307&lt;&gt;"")*ISNUMBER(SEARCH(거래처별!$AE$8:$AE$307,$AB1259))),거래처별!$A$8:$A$307),0))))</f>
        <v/>
      </c>
      <c r="AD1259" s="31">
        <f>IF(AND($Y1259&lt;&gt;"",N($Z1259)&gt;0,$AC1259=0),MAX($AD$7:$AD1258)+1,"")</f>
        <v/>
      </c>
      <c r="AE1259" s="31">
        <f>IF($Y1259="",0,$Y1259)</f>
        <v/>
      </c>
    </row>
    <row r="1260">
      <c r="W1260" s="31">
        <f>IF(OR($B$5="",$C$6="",ROW()&lt;$B$5),"",IF(INDEX($A:$U,ROW(),$C$6)="","",INDEX($A:$U,ROW(),$C$6)))</f>
        <v/>
      </c>
      <c r="X1260" s="32">
        <f>IF($W1260="","",IF(ISNUMBER($W1260),IF($W1260&gt;=10000000,IFERROR(DATE(INT($W1260/10000),MOD(INT($W1260/100),100),MOD($W1260,100)),""),INT($W1260)),IFERROR(DATE(--LEFT(LEFT(SUBSTITUTE(SUBSTITUTE(SUBSTITUTE(SUBSTITUTE(TRIM($W1260),"-",""),".",""),"/","")," ",""),8),4),--MID(LEFT(SUBSTITUTE(SUBSTITUTE(SUBSTITUTE(SUBSTITUTE(TRIM($W1260),"-",""),".",""),"/","")," ",""),8),5,2),--MID(LEFT(SUBSTITUTE(SUBSTITUTE(SUBSTITUTE(SUBSTITUTE(TRIM($W1260),"-",""),".",""),"/","")," ",""),8),7,2)),"")))</f>
        <v/>
      </c>
      <c r="Y1260" s="32">
        <f>IF($X1260="","",INT($X1260))</f>
        <v/>
      </c>
      <c r="Z1260" s="33">
        <f>IF(OR($Y1260="",$D$6=""),"",IF(INDEX($A:$U,ROW(),$D$6)="",0,IF(ISNUMBER(INDEX($A:$U,ROW(),$D$6)),INDEX($A:$U,ROW(),$D$6),IFERROR(--SUBSTITUTE(SUBSTITUTE(TRIM(INDEX($A:$U,ROW(),$D$6)),",",""),"원",""),0))))</f>
        <v/>
      </c>
      <c r="AA1260" s="31">
        <f>IF($Y1260="","",TRIM(INDEX($A:$U,ROW(),$E$6)&amp;IF($F$6="",""," "&amp;INDEX($A:$U,ROW(),$F$6))))</f>
        <v/>
      </c>
      <c r="AB1260" s="31">
        <f>IF($AA1260="","",SUBSTITUTE(SUBSTITUTE(SUBSTITUTE(SUBSTITUTE(SUBSTITUTE(SUBSTITUTE(SUBSTITUTE(SUBSTITUTE(SUBSTITUTE($AA1260," ",""),"　",""),"(주)",""),"（주）",""),"㈜",""),"주식회사",""),"(유)",""),"（유）",""),"유한회사",""))</f>
        <v/>
      </c>
      <c r="AC1260" s="31">
        <f>IF(OR($Y1260="",N($Z1260)&lt;=0,$AB1260=""),0,IFERROR(LOOKUP(2,1/((거래처별!$AC$8:$AC$307&lt;&gt;"")*ISNUMBER(SEARCH(거래처별!$AC$8:$AC$307,$AB1260))),거래처별!$A$8:$A$307),IFERROR(LOOKUP(2,1/((거래처별!$AD$8:$AD$307&lt;&gt;"")*ISNUMBER(SEARCH(거래처별!$AD$8:$AD$307,$AB1260))),거래처별!$A$8:$A$307),IFERROR(LOOKUP(2,1/((거래처별!$AE$8:$AE$307&lt;&gt;"")*ISNUMBER(SEARCH(거래처별!$AE$8:$AE$307,$AB1260))),거래처별!$A$8:$A$307),0))))</f>
        <v/>
      </c>
      <c r="AD1260" s="31">
        <f>IF(AND($Y1260&lt;&gt;"",N($Z1260)&gt;0,$AC1260=0),MAX($AD$7:$AD1259)+1,"")</f>
        <v/>
      </c>
      <c r="AE1260" s="31">
        <f>IF($Y1260="",0,$Y1260)</f>
        <v/>
      </c>
    </row>
    <row r="1261">
      <c r="W1261" s="31">
        <f>IF(OR($B$5="",$C$6="",ROW()&lt;$B$5),"",IF(INDEX($A:$U,ROW(),$C$6)="","",INDEX($A:$U,ROW(),$C$6)))</f>
        <v/>
      </c>
      <c r="X1261" s="32">
        <f>IF($W1261="","",IF(ISNUMBER($W1261),IF($W1261&gt;=10000000,IFERROR(DATE(INT($W1261/10000),MOD(INT($W1261/100),100),MOD($W1261,100)),""),INT($W1261)),IFERROR(DATE(--LEFT(LEFT(SUBSTITUTE(SUBSTITUTE(SUBSTITUTE(SUBSTITUTE(TRIM($W1261),"-",""),".",""),"/","")," ",""),8),4),--MID(LEFT(SUBSTITUTE(SUBSTITUTE(SUBSTITUTE(SUBSTITUTE(TRIM($W1261),"-",""),".",""),"/","")," ",""),8),5,2),--MID(LEFT(SUBSTITUTE(SUBSTITUTE(SUBSTITUTE(SUBSTITUTE(TRIM($W1261),"-",""),".",""),"/","")," ",""),8),7,2)),"")))</f>
        <v/>
      </c>
      <c r="Y1261" s="32">
        <f>IF($X1261="","",INT($X1261))</f>
        <v/>
      </c>
      <c r="Z1261" s="33">
        <f>IF(OR($Y1261="",$D$6=""),"",IF(INDEX($A:$U,ROW(),$D$6)="",0,IF(ISNUMBER(INDEX($A:$U,ROW(),$D$6)),INDEX($A:$U,ROW(),$D$6),IFERROR(--SUBSTITUTE(SUBSTITUTE(TRIM(INDEX($A:$U,ROW(),$D$6)),",",""),"원",""),0))))</f>
        <v/>
      </c>
      <c r="AA1261" s="31">
        <f>IF($Y1261="","",TRIM(INDEX($A:$U,ROW(),$E$6)&amp;IF($F$6="",""," "&amp;INDEX($A:$U,ROW(),$F$6))))</f>
        <v/>
      </c>
      <c r="AB1261" s="31">
        <f>IF($AA1261="","",SUBSTITUTE(SUBSTITUTE(SUBSTITUTE(SUBSTITUTE(SUBSTITUTE(SUBSTITUTE(SUBSTITUTE(SUBSTITUTE(SUBSTITUTE($AA1261," ",""),"　",""),"(주)",""),"（주）",""),"㈜",""),"주식회사",""),"(유)",""),"（유）",""),"유한회사",""))</f>
        <v/>
      </c>
      <c r="AC1261" s="31">
        <f>IF(OR($Y1261="",N($Z1261)&lt;=0,$AB1261=""),0,IFERROR(LOOKUP(2,1/((거래처별!$AC$8:$AC$307&lt;&gt;"")*ISNUMBER(SEARCH(거래처별!$AC$8:$AC$307,$AB1261))),거래처별!$A$8:$A$307),IFERROR(LOOKUP(2,1/((거래처별!$AD$8:$AD$307&lt;&gt;"")*ISNUMBER(SEARCH(거래처별!$AD$8:$AD$307,$AB1261))),거래처별!$A$8:$A$307),IFERROR(LOOKUP(2,1/((거래처별!$AE$8:$AE$307&lt;&gt;"")*ISNUMBER(SEARCH(거래처별!$AE$8:$AE$307,$AB1261))),거래처별!$A$8:$A$307),0))))</f>
        <v/>
      </c>
      <c r="AD1261" s="31">
        <f>IF(AND($Y1261&lt;&gt;"",N($Z1261)&gt;0,$AC1261=0),MAX($AD$7:$AD1260)+1,"")</f>
        <v/>
      </c>
      <c r="AE1261" s="31">
        <f>IF($Y1261="",0,$Y1261)</f>
        <v/>
      </c>
    </row>
    <row r="1262">
      <c r="W1262" s="31">
        <f>IF(OR($B$5="",$C$6="",ROW()&lt;$B$5),"",IF(INDEX($A:$U,ROW(),$C$6)="","",INDEX($A:$U,ROW(),$C$6)))</f>
        <v/>
      </c>
      <c r="X1262" s="32">
        <f>IF($W1262="","",IF(ISNUMBER($W1262),IF($W1262&gt;=10000000,IFERROR(DATE(INT($W1262/10000),MOD(INT($W1262/100),100),MOD($W1262,100)),""),INT($W1262)),IFERROR(DATE(--LEFT(LEFT(SUBSTITUTE(SUBSTITUTE(SUBSTITUTE(SUBSTITUTE(TRIM($W1262),"-",""),".",""),"/","")," ",""),8),4),--MID(LEFT(SUBSTITUTE(SUBSTITUTE(SUBSTITUTE(SUBSTITUTE(TRIM($W1262),"-",""),".",""),"/","")," ",""),8),5,2),--MID(LEFT(SUBSTITUTE(SUBSTITUTE(SUBSTITUTE(SUBSTITUTE(TRIM($W1262),"-",""),".",""),"/","")," ",""),8),7,2)),"")))</f>
        <v/>
      </c>
      <c r="Y1262" s="32">
        <f>IF($X1262="","",INT($X1262))</f>
        <v/>
      </c>
      <c r="Z1262" s="33">
        <f>IF(OR($Y1262="",$D$6=""),"",IF(INDEX($A:$U,ROW(),$D$6)="",0,IF(ISNUMBER(INDEX($A:$U,ROW(),$D$6)),INDEX($A:$U,ROW(),$D$6),IFERROR(--SUBSTITUTE(SUBSTITUTE(TRIM(INDEX($A:$U,ROW(),$D$6)),",",""),"원",""),0))))</f>
        <v/>
      </c>
      <c r="AA1262" s="31">
        <f>IF($Y1262="","",TRIM(INDEX($A:$U,ROW(),$E$6)&amp;IF($F$6="",""," "&amp;INDEX($A:$U,ROW(),$F$6))))</f>
        <v/>
      </c>
      <c r="AB1262" s="31">
        <f>IF($AA1262="","",SUBSTITUTE(SUBSTITUTE(SUBSTITUTE(SUBSTITUTE(SUBSTITUTE(SUBSTITUTE(SUBSTITUTE(SUBSTITUTE(SUBSTITUTE($AA1262," ",""),"　",""),"(주)",""),"（주）",""),"㈜",""),"주식회사",""),"(유)",""),"（유）",""),"유한회사",""))</f>
        <v/>
      </c>
      <c r="AC1262" s="31">
        <f>IF(OR($Y1262="",N($Z1262)&lt;=0,$AB1262=""),0,IFERROR(LOOKUP(2,1/((거래처별!$AC$8:$AC$307&lt;&gt;"")*ISNUMBER(SEARCH(거래처별!$AC$8:$AC$307,$AB1262))),거래처별!$A$8:$A$307),IFERROR(LOOKUP(2,1/((거래처별!$AD$8:$AD$307&lt;&gt;"")*ISNUMBER(SEARCH(거래처별!$AD$8:$AD$307,$AB1262))),거래처별!$A$8:$A$307),IFERROR(LOOKUP(2,1/((거래처별!$AE$8:$AE$307&lt;&gt;"")*ISNUMBER(SEARCH(거래처별!$AE$8:$AE$307,$AB1262))),거래처별!$A$8:$A$307),0))))</f>
        <v/>
      </c>
      <c r="AD1262" s="31">
        <f>IF(AND($Y1262&lt;&gt;"",N($Z1262)&gt;0,$AC1262=0),MAX($AD$7:$AD1261)+1,"")</f>
        <v/>
      </c>
      <c r="AE1262" s="31">
        <f>IF($Y1262="",0,$Y1262)</f>
        <v/>
      </c>
    </row>
    <row r="1263">
      <c r="W1263" s="31">
        <f>IF(OR($B$5="",$C$6="",ROW()&lt;$B$5),"",IF(INDEX($A:$U,ROW(),$C$6)="","",INDEX($A:$U,ROW(),$C$6)))</f>
        <v/>
      </c>
      <c r="X1263" s="32">
        <f>IF($W1263="","",IF(ISNUMBER($W1263),IF($W1263&gt;=10000000,IFERROR(DATE(INT($W1263/10000),MOD(INT($W1263/100),100),MOD($W1263,100)),""),INT($W1263)),IFERROR(DATE(--LEFT(LEFT(SUBSTITUTE(SUBSTITUTE(SUBSTITUTE(SUBSTITUTE(TRIM($W1263),"-",""),".",""),"/","")," ",""),8),4),--MID(LEFT(SUBSTITUTE(SUBSTITUTE(SUBSTITUTE(SUBSTITUTE(TRIM($W1263),"-",""),".",""),"/","")," ",""),8),5,2),--MID(LEFT(SUBSTITUTE(SUBSTITUTE(SUBSTITUTE(SUBSTITUTE(TRIM($W1263),"-",""),".",""),"/","")," ",""),8),7,2)),"")))</f>
        <v/>
      </c>
      <c r="Y1263" s="32">
        <f>IF($X1263="","",INT($X1263))</f>
        <v/>
      </c>
      <c r="Z1263" s="33">
        <f>IF(OR($Y1263="",$D$6=""),"",IF(INDEX($A:$U,ROW(),$D$6)="",0,IF(ISNUMBER(INDEX($A:$U,ROW(),$D$6)),INDEX($A:$U,ROW(),$D$6),IFERROR(--SUBSTITUTE(SUBSTITUTE(TRIM(INDEX($A:$U,ROW(),$D$6)),",",""),"원",""),0))))</f>
        <v/>
      </c>
      <c r="AA1263" s="31">
        <f>IF($Y1263="","",TRIM(INDEX($A:$U,ROW(),$E$6)&amp;IF($F$6="",""," "&amp;INDEX($A:$U,ROW(),$F$6))))</f>
        <v/>
      </c>
      <c r="AB1263" s="31">
        <f>IF($AA1263="","",SUBSTITUTE(SUBSTITUTE(SUBSTITUTE(SUBSTITUTE(SUBSTITUTE(SUBSTITUTE(SUBSTITUTE(SUBSTITUTE(SUBSTITUTE($AA1263," ",""),"　",""),"(주)",""),"（주）",""),"㈜",""),"주식회사",""),"(유)",""),"（유）",""),"유한회사",""))</f>
        <v/>
      </c>
      <c r="AC1263" s="31">
        <f>IF(OR($Y1263="",N($Z1263)&lt;=0,$AB1263=""),0,IFERROR(LOOKUP(2,1/((거래처별!$AC$8:$AC$307&lt;&gt;"")*ISNUMBER(SEARCH(거래처별!$AC$8:$AC$307,$AB1263))),거래처별!$A$8:$A$307),IFERROR(LOOKUP(2,1/((거래처별!$AD$8:$AD$307&lt;&gt;"")*ISNUMBER(SEARCH(거래처별!$AD$8:$AD$307,$AB1263))),거래처별!$A$8:$A$307),IFERROR(LOOKUP(2,1/((거래처별!$AE$8:$AE$307&lt;&gt;"")*ISNUMBER(SEARCH(거래처별!$AE$8:$AE$307,$AB1263))),거래처별!$A$8:$A$307),0))))</f>
        <v/>
      </c>
      <c r="AD1263" s="31">
        <f>IF(AND($Y1263&lt;&gt;"",N($Z1263)&gt;0,$AC1263=0),MAX($AD$7:$AD1262)+1,"")</f>
        <v/>
      </c>
      <c r="AE1263" s="31">
        <f>IF($Y1263="",0,$Y1263)</f>
        <v/>
      </c>
    </row>
    <row r="1264">
      <c r="W1264" s="31">
        <f>IF(OR($B$5="",$C$6="",ROW()&lt;$B$5),"",IF(INDEX($A:$U,ROW(),$C$6)="","",INDEX($A:$U,ROW(),$C$6)))</f>
        <v/>
      </c>
      <c r="X1264" s="32">
        <f>IF($W1264="","",IF(ISNUMBER($W1264),IF($W1264&gt;=10000000,IFERROR(DATE(INT($W1264/10000),MOD(INT($W1264/100),100),MOD($W1264,100)),""),INT($W1264)),IFERROR(DATE(--LEFT(LEFT(SUBSTITUTE(SUBSTITUTE(SUBSTITUTE(SUBSTITUTE(TRIM($W1264),"-",""),".",""),"/","")," ",""),8),4),--MID(LEFT(SUBSTITUTE(SUBSTITUTE(SUBSTITUTE(SUBSTITUTE(TRIM($W1264),"-",""),".",""),"/","")," ",""),8),5,2),--MID(LEFT(SUBSTITUTE(SUBSTITUTE(SUBSTITUTE(SUBSTITUTE(TRIM($W1264),"-",""),".",""),"/","")," ",""),8),7,2)),"")))</f>
        <v/>
      </c>
      <c r="Y1264" s="32">
        <f>IF($X1264="","",INT($X1264))</f>
        <v/>
      </c>
      <c r="Z1264" s="33">
        <f>IF(OR($Y1264="",$D$6=""),"",IF(INDEX($A:$U,ROW(),$D$6)="",0,IF(ISNUMBER(INDEX($A:$U,ROW(),$D$6)),INDEX($A:$U,ROW(),$D$6),IFERROR(--SUBSTITUTE(SUBSTITUTE(TRIM(INDEX($A:$U,ROW(),$D$6)),",",""),"원",""),0))))</f>
        <v/>
      </c>
      <c r="AA1264" s="31">
        <f>IF($Y1264="","",TRIM(INDEX($A:$U,ROW(),$E$6)&amp;IF($F$6="",""," "&amp;INDEX($A:$U,ROW(),$F$6))))</f>
        <v/>
      </c>
      <c r="AB1264" s="31">
        <f>IF($AA1264="","",SUBSTITUTE(SUBSTITUTE(SUBSTITUTE(SUBSTITUTE(SUBSTITUTE(SUBSTITUTE(SUBSTITUTE(SUBSTITUTE(SUBSTITUTE($AA1264," ",""),"　",""),"(주)",""),"（주）",""),"㈜",""),"주식회사",""),"(유)",""),"（유）",""),"유한회사",""))</f>
        <v/>
      </c>
      <c r="AC1264" s="31">
        <f>IF(OR($Y1264="",N($Z1264)&lt;=0,$AB1264=""),0,IFERROR(LOOKUP(2,1/((거래처별!$AC$8:$AC$307&lt;&gt;"")*ISNUMBER(SEARCH(거래처별!$AC$8:$AC$307,$AB1264))),거래처별!$A$8:$A$307),IFERROR(LOOKUP(2,1/((거래처별!$AD$8:$AD$307&lt;&gt;"")*ISNUMBER(SEARCH(거래처별!$AD$8:$AD$307,$AB1264))),거래처별!$A$8:$A$307),IFERROR(LOOKUP(2,1/((거래처별!$AE$8:$AE$307&lt;&gt;"")*ISNUMBER(SEARCH(거래처별!$AE$8:$AE$307,$AB1264))),거래처별!$A$8:$A$307),0))))</f>
        <v/>
      </c>
      <c r="AD1264" s="31">
        <f>IF(AND($Y1264&lt;&gt;"",N($Z1264)&gt;0,$AC1264=0),MAX($AD$7:$AD1263)+1,"")</f>
        <v/>
      </c>
      <c r="AE1264" s="31">
        <f>IF($Y1264="",0,$Y1264)</f>
        <v/>
      </c>
    </row>
    <row r="1265">
      <c r="W1265" s="31">
        <f>IF(OR($B$5="",$C$6="",ROW()&lt;$B$5),"",IF(INDEX($A:$U,ROW(),$C$6)="","",INDEX($A:$U,ROW(),$C$6)))</f>
        <v/>
      </c>
      <c r="X1265" s="32">
        <f>IF($W1265="","",IF(ISNUMBER($W1265),IF($W1265&gt;=10000000,IFERROR(DATE(INT($W1265/10000),MOD(INT($W1265/100),100),MOD($W1265,100)),""),INT($W1265)),IFERROR(DATE(--LEFT(LEFT(SUBSTITUTE(SUBSTITUTE(SUBSTITUTE(SUBSTITUTE(TRIM($W1265),"-",""),".",""),"/","")," ",""),8),4),--MID(LEFT(SUBSTITUTE(SUBSTITUTE(SUBSTITUTE(SUBSTITUTE(TRIM($W1265),"-",""),".",""),"/","")," ",""),8),5,2),--MID(LEFT(SUBSTITUTE(SUBSTITUTE(SUBSTITUTE(SUBSTITUTE(TRIM($W1265),"-",""),".",""),"/","")," ",""),8),7,2)),"")))</f>
        <v/>
      </c>
      <c r="Y1265" s="32">
        <f>IF($X1265="","",INT($X1265))</f>
        <v/>
      </c>
      <c r="Z1265" s="33">
        <f>IF(OR($Y1265="",$D$6=""),"",IF(INDEX($A:$U,ROW(),$D$6)="",0,IF(ISNUMBER(INDEX($A:$U,ROW(),$D$6)),INDEX($A:$U,ROW(),$D$6),IFERROR(--SUBSTITUTE(SUBSTITUTE(TRIM(INDEX($A:$U,ROW(),$D$6)),",",""),"원",""),0))))</f>
        <v/>
      </c>
      <c r="AA1265" s="31">
        <f>IF($Y1265="","",TRIM(INDEX($A:$U,ROW(),$E$6)&amp;IF($F$6="",""," "&amp;INDEX($A:$U,ROW(),$F$6))))</f>
        <v/>
      </c>
      <c r="AB1265" s="31">
        <f>IF($AA1265="","",SUBSTITUTE(SUBSTITUTE(SUBSTITUTE(SUBSTITUTE(SUBSTITUTE(SUBSTITUTE(SUBSTITUTE(SUBSTITUTE(SUBSTITUTE($AA1265," ",""),"　",""),"(주)",""),"（주）",""),"㈜",""),"주식회사",""),"(유)",""),"（유）",""),"유한회사",""))</f>
        <v/>
      </c>
      <c r="AC1265" s="31">
        <f>IF(OR($Y1265="",N($Z1265)&lt;=0,$AB1265=""),0,IFERROR(LOOKUP(2,1/((거래처별!$AC$8:$AC$307&lt;&gt;"")*ISNUMBER(SEARCH(거래처별!$AC$8:$AC$307,$AB1265))),거래처별!$A$8:$A$307),IFERROR(LOOKUP(2,1/((거래처별!$AD$8:$AD$307&lt;&gt;"")*ISNUMBER(SEARCH(거래처별!$AD$8:$AD$307,$AB1265))),거래처별!$A$8:$A$307),IFERROR(LOOKUP(2,1/((거래처별!$AE$8:$AE$307&lt;&gt;"")*ISNUMBER(SEARCH(거래처별!$AE$8:$AE$307,$AB1265))),거래처별!$A$8:$A$307),0))))</f>
        <v/>
      </c>
      <c r="AD1265" s="31">
        <f>IF(AND($Y1265&lt;&gt;"",N($Z1265)&gt;0,$AC1265=0),MAX($AD$7:$AD1264)+1,"")</f>
        <v/>
      </c>
      <c r="AE1265" s="31">
        <f>IF($Y1265="",0,$Y1265)</f>
        <v/>
      </c>
    </row>
    <row r="1266">
      <c r="W1266" s="31">
        <f>IF(OR($B$5="",$C$6="",ROW()&lt;$B$5),"",IF(INDEX($A:$U,ROW(),$C$6)="","",INDEX($A:$U,ROW(),$C$6)))</f>
        <v/>
      </c>
      <c r="X1266" s="32">
        <f>IF($W1266="","",IF(ISNUMBER($W1266),IF($W1266&gt;=10000000,IFERROR(DATE(INT($W1266/10000),MOD(INT($W1266/100),100),MOD($W1266,100)),""),INT($W1266)),IFERROR(DATE(--LEFT(LEFT(SUBSTITUTE(SUBSTITUTE(SUBSTITUTE(SUBSTITUTE(TRIM($W1266),"-",""),".",""),"/","")," ",""),8),4),--MID(LEFT(SUBSTITUTE(SUBSTITUTE(SUBSTITUTE(SUBSTITUTE(TRIM($W1266),"-",""),".",""),"/","")," ",""),8),5,2),--MID(LEFT(SUBSTITUTE(SUBSTITUTE(SUBSTITUTE(SUBSTITUTE(TRIM($W1266),"-",""),".",""),"/","")," ",""),8),7,2)),"")))</f>
        <v/>
      </c>
      <c r="Y1266" s="32">
        <f>IF($X1266="","",INT($X1266))</f>
        <v/>
      </c>
      <c r="Z1266" s="33">
        <f>IF(OR($Y1266="",$D$6=""),"",IF(INDEX($A:$U,ROW(),$D$6)="",0,IF(ISNUMBER(INDEX($A:$U,ROW(),$D$6)),INDEX($A:$U,ROW(),$D$6),IFERROR(--SUBSTITUTE(SUBSTITUTE(TRIM(INDEX($A:$U,ROW(),$D$6)),",",""),"원",""),0))))</f>
        <v/>
      </c>
      <c r="AA1266" s="31">
        <f>IF($Y1266="","",TRIM(INDEX($A:$U,ROW(),$E$6)&amp;IF($F$6="",""," "&amp;INDEX($A:$U,ROW(),$F$6))))</f>
        <v/>
      </c>
      <c r="AB1266" s="31">
        <f>IF($AA1266="","",SUBSTITUTE(SUBSTITUTE(SUBSTITUTE(SUBSTITUTE(SUBSTITUTE(SUBSTITUTE(SUBSTITUTE(SUBSTITUTE(SUBSTITUTE($AA1266," ",""),"　",""),"(주)",""),"（주）",""),"㈜",""),"주식회사",""),"(유)",""),"（유）",""),"유한회사",""))</f>
        <v/>
      </c>
      <c r="AC1266" s="31">
        <f>IF(OR($Y1266="",N($Z1266)&lt;=0,$AB1266=""),0,IFERROR(LOOKUP(2,1/((거래처별!$AC$8:$AC$307&lt;&gt;"")*ISNUMBER(SEARCH(거래처별!$AC$8:$AC$307,$AB1266))),거래처별!$A$8:$A$307),IFERROR(LOOKUP(2,1/((거래처별!$AD$8:$AD$307&lt;&gt;"")*ISNUMBER(SEARCH(거래처별!$AD$8:$AD$307,$AB1266))),거래처별!$A$8:$A$307),IFERROR(LOOKUP(2,1/((거래처별!$AE$8:$AE$307&lt;&gt;"")*ISNUMBER(SEARCH(거래처별!$AE$8:$AE$307,$AB1266))),거래처별!$A$8:$A$307),0))))</f>
        <v/>
      </c>
      <c r="AD1266" s="31">
        <f>IF(AND($Y1266&lt;&gt;"",N($Z1266)&gt;0,$AC1266=0),MAX($AD$7:$AD1265)+1,"")</f>
        <v/>
      </c>
      <c r="AE1266" s="31">
        <f>IF($Y1266="",0,$Y1266)</f>
        <v/>
      </c>
    </row>
    <row r="1267">
      <c r="W1267" s="31">
        <f>IF(OR($B$5="",$C$6="",ROW()&lt;$B$5),"",IF(INDEX($A:$U,ROW(),$C$6)="","",INDEX($A:$U,ROW(),$C$6)))</f>
        <v/>
      </c>
      <c r="X1267" s="32">
        <f>IF($W1267="","",IF(ISNUMBER($W1267),IF($W1267&gt;=10000000,IFERROR(DATE(INT($W1267/10000),MOD(INT($W1267/100),100),MOD($W1267,100)),""),INT($W1267)),IFERROR(DATE(--LEFT(LEFT(SUBSTITUTE(SUBSTITUTE(SUBSTITUTE(SUBSTITUTE(TRIM($W1267),"-",""),".",""),"/","")," ",""),8),4),--MID(LEFT(SUBSTITUTE(SUBSTITUTE(SUBSTITUTE(SUBSTITUTE(TRIM($W1267),"-",""),".",""),"/","")," ",""),8),5,2),--MID(LEFT(SUBSTITUTE(SUBSTITUTE(SUBSTITUTE(SUBSTITUTE(TRIM($W1267),"-",""),".",""),"/","")," ",""),8),7,2)),"")))</f>
        <v/>
      </c>
      <c r="Y1267" s="32">
        <f>IF($X1267="","",INT($X1267))</f>
        <v/>
      </c>
      <c r="Z1267" s="33">
        <f>IF(OR($Y1267="",$D$6=""),"",IF(INDEX($A:$U,ROW(),$D$6)="",0,IF(ISNUMBER(INDEX($A:$U,ROW(),$D$6)),INDEX($A:$U,ROW(),$D$6),IFERROR(--SUBSTITUTE(SUBSTITUTE(TRIM(INDEX($A:$U,ROW(),$D$6)),",",""),"원",""),0))))</f>
        <v/>
      </c>
      <c r="AA1267" s="31">
        <f>IF($Y1267="","",TRIM(INDEX($A:$U,ROW(),$E$6)&amp;IF($F$6="",""," "&amp;INDEX($A:$U,ROW(),$F$6))))</f>
        <v/>
      </c>
      <c r="AB1267" s="31">
        <f>IF($AA1267="","",SUBSTITUTE(SUBSTITUTE(SUBSTITUTE(SUBSTITUTE(SUBSTITUTE(SUBSTITUTE(SUBSTITUTE(SUBSTITUTE(SUBSTITUTE($AA1267," ",""),"　",""),"(주)",""),"（주）",""),"㈜",""),"주식회사",""),"(유)",""),"（유）",""),"유한회사",""))</f>
        <v/>
      </c>
      <c r="AC1267" s="31">
        <f>IF(OR($Y1267="",N($Z1267)&lt;=0,$AB1267=""),0,IFERROR(LOOKUP(2,1/((거래처별!$AC$8:$AC$307&lt;&gt;"")*ISNUMBER(SEARCH(거래처별!$AC$8:$AC$307,$AB1267))),거래처별!$A$8:$A$307),IFERROR(LOOKUP(2,1/((거래처별!$AD$8:$AD$307&lt;&gt;"")*ISNUMBER(SEARCH(거래처별!$AD$8:$AD$307,$AB1267))),거래처별!$A$8:$A$307),IFERROR(LOOKUP(2,1/((거래처별!$AE$8:$AE$307&lt;&gt;"")*ISNUMBER(SEARCH(거래처별!$AE$8:$AE$307,$AB1267))),거래처별!$A$8:$A$307),0))))</f>
        <v/>
      </c>
      <c r="AD1267" s="31">
        <f>IF(AND($Y1267&lt;&gt;"",N($Z1267)&gt;0,$AC1267=0),MAX($AD$7:$AD1266)+1,"")</f>
        <v/>
      </c>
      <c r="AE1267" s="31">
        <f>IF($Y1267="",0,$Y1267)</f>
        <v/>
      </c>
    </row>
    <row r="1268">
      <c r="W1268" s="31">
        <f>IF(OR($B$5="",$C$6="",ROW()&lt;$B$5),"",IF(INDEX($A:$U,ROW(),$C$6)="","",INDEX($A:$U,ROW(),$C$6)))</f>
        <v/>
      </c>
      <c r="X1268" s="32">
        <f>IF($W1268="","",IF(ISNUMBER($W1268),IF($W1268&gt;=10000000,IFERROR(DATE(INT($W1268/10000),MOD(INT($W1268/100),100),MOD($W1268,100)),""),INT($W1268)),IFERROR(DATE(--LEFT(LEFT(SUBSTITUTE(SUBSTITUTE(SUBSTITUTE(SUBSTITUTE(TRIM($W1268),"-",""),".",""),"/","")," ",""),8),4),--MID(LEFT(SUBSTITUTE(SUBSTITUTE(SUBSTITUTE(SUBSTITUTE(TRIM($W1268),"-",""),".",""),"/","")," ",""),8),5,2),--MID(LEFT(SUBSTITUTE(SUBSTITUTE(SUBSTITUTE(SUBSTITUTE(TRIM($W1268),"-",""),".",""),"/","")," ",""),8),7,2)),"")))</f>
        <v/>
      </c>
      <c r="Y1268" s="32">
        <f>IF($X1268="","",INT($X1268))</f>
        <v/>
      </c>
      <c r="Z1268" s="33">
        <f>IF(OR($Y1268="",$D$6=""),"",IF(INDEX($A:$U,ROW(),$D$6)="",0,IF(ISNUMBER(INDEX($A:$U,ROW(),$D$6)),INDEX($A:$U,ROW(),$D$6),IFERROR(--SUBSTITUTE(SUBSTITUTE(TRIM(INDEX($A:$U,ROW(),$D$6)),",",""),"원",""),0))))</f>
        <v/>
      </c>
      <c r="AA1268" s="31">
        <f>IF($Y1268="","",TRIM(INDEX($A:$U,ROW(),$E$6)&amp;IF($F$6="",""," "&amp;INDEX($A:$U,ROW(),$F$6))))</f>
        <v/>
      </c>
      <c r="AB1268" s="31">
        <f>IF($AA1268="","",SUBSTITUTE(SUBSTITUTE(SUBSTITUTE(SUBSTITUTE(SUBSTITUTE(SUBSTITUTE(SUBSTITUTE(SUBSTITUTE(SUBSTITUTE($AA1268," ",""),"　",""),"(주)",""),"（주）",""),"㈜",""),"주식회사",""),"(유)",""),"（유）",""),"유한회사",""))</f>
        <v/>
      </c>
      <c r="AC1268" s="31">
        <f>IF(OR($Y1268="",N($Z1268)&lt;=0,$AB1268=""),0,IFERROR(LOOKUP(2,1/((거래처별!$AC$8:$AC$307&lt;&gt;"")*ISNUMBER(SEARCH(거래처별!$AC$8:$AC$307,$AB1268))),거래처별!$A$8:$A$307),IFERROR(LOOKUP(2,1/((거래처별!$AD$8:$AD$307&lt;&gt;"")*ISNUMBER(SEARCH(거래처별!$AD$8:$AD$307,$AB1268))),거래처별!$A$8:$A$307),IFERROR(LOOKUP(2,1/((거래처별!$AE$8:$AE$307&lt;&gt;"")*ISNUMBER(SEARCH(거래처별!$AE$8:$AE$307,$AB1268))),거래처별!$A$8:$A$307),0))))</f>
        <v/>
      </c>
      <c r="AD1268" s="31">
        <f>IF(AND($Y1268&lt;&gt;"",N($Z1268)&gt;0,$AC1268=0),MAX($AD$7:$AD1267)+1,"")</f>
        <v/>
      </c>
      <c r="AE1268" s="31">
        <f>IF($Y1268="",0,$Y1268)</f>
        <v/>
      </c>
    </row>
    <row r="1269">
      <c r="W1269" s="31">
        <f>IF(OR($B$5="",$C$6="",ROW()&lt;$B$5),"",IF(INDEX($A:$U,ROW(),$C$6)="","",INDEX($A:$U,ROW(),$C$6)))</f>
        <v/>
      </c>
      <c r="X1269" s="32">
        <f>IF($W1269="","",IF(ISNUMBER($W1269),IF($W1269&gt;=10000000,IFERROR(DATE(INT($W1269/10000),MOD(INT($W1269/100),100),MOD($W1269,100)),""),INT($W1269)),IFERROR(DATE(--LEFT(LEFT(SUBSTITUTE(SUBSTITUTE(SUBSTITUTE(SUBSTITUTE(TRIM($W1269),"-",""),".",""),"/","")," ",""),8),4),--MID(LEFT(SUBSTITUTE(SUBSTITUTE(SUBSTITUTE(SUBSTITUTE(TRIM($W1269),"-",""),".",""),"/","")," ",""),8),5,2),--MID(LEFT(SUBSTITUTE(SUBSTITUTE(SUBSTITUTE(SUBSTITUTE(TRIM($W1269),"-",""),".",""),"/","")," ",""),8),7,2)),"")))</f>
        <v/>
      </c>
      <c r="Y1269" s="32">
        <f>IF($X1269="","",INT($X1269))</f>
        <v/>
      </c>
      <c r="Z1269" s="33">
        <f>IF(OR($Y1269="",$D$6=""),"",IF(INDEX($A:$U,ROW(),$D$6)="",0,IF(ISNUMBER(INDEX($A:$U,ROW(),$D$6)),INDEX($A:$U,ROW(),$D$6),IFERROR(--SUBSTITUTE(SUBSTITUTE(TRIM(INDEX($A:$U,ROW(),$D$6)),",",""),"원",""),0))))</f>
        <v/>
      </c>
      <c r="AA1269" s="31">
        <f>IF($Y1269="","",TRIM(INDEX($A:$U,ROW(),$E$6)&amp;IF($F$6="",""," "&amp;INDEX($A:$U,ROW(),$F$6))))</f>
        <v/>
      </c>
      <c r="AB1269" s="31">
        <f>IF($AA1269="","",SUBSTITUTE(SUBSTITUTE(SUBSTITUTE(SUBSTITUTE(SUBSTITUTE(SUBSTITUTE(SUBSTITUTE(SUBSTITUTE(SUBSTITUTE($AA1269," ",""),"　",""),"(주)",""),"（주）",""),"㈜",""),"주식회사",""),"(유)",""),"（유）",""),"유한회사",""))</f>
        <v/>
      </c>
      <c r="AC1269" s="31">
        <f>IF(OR($Y1269="",N($Z1269)&lt;=0,$AB1269=""),0,IFERROR(LOOKUP(2,1/((거래처별!$AC$8:$AC$307&lt;&gt;"")*ISNUMBER(SEARCH(거래처별!$AC$8:$AC$307,$AB1269))),거래처별!$A$8:$A$307),IFERROR(LOOKUP(2,1/((거래처별!$AD$8:$AD$307&lt;&gt;"")*ISNUMBER(SEARCH(거래처별!$AD$8:$AD$307,$AB1269))),거래처별!$A$8:$A$307),IFERROR(LOOKUP(2,1/((거래처별!$AE$8:$AE$307&lt;&gt;"")*ISNUMBER(SEARCH(거래처별!$AE$8:$AE$307,$AB1269))),거래처별!$A$8:$A$307),0))))</f>
        <v/>
      </c>
      <c r="AD1269" s="31">
        <f>IF(AND($Y1269&lt;&gt;"",N($Z1269)&gt;0,$AC1269=0),MAX($AD$7:$AD1268)+1,"")</f>
        <v/>
      </c>
      <c r="AE1269" s="31">
        <f>IF($Y1269="",0,$Y1269)</f>
        <v/>
      </c>
    </row>
    <row r="1270">
      <c r="W1270" s="31">
        <f>IF(OR($B$5="",$C$6="",ROW()&lt;$B$5),"",IF(INDEX($A:$U,ROW(),$C$6)="","",INDEX($A:$U,ROW(),$C$6)))</f>
        <v/>
      </c>
      <c r="X1270" s="32">
        <f>IF($W1270="","",IF(ISNUMBER($W1270),IF($W1270&gt;=10000000,IFERROR(DATE(INT($W1270/10000),MOD(INT($W1270/100),100),MOD($W1270,100)),""),INT($W1270)),IFERROR(DATE(--LEFT(LEFT(SUBSTITUTE(SUBSTITUTE(SUBSTITUTE(SUBSTITUTE(TRIM($W1270),"-",""),".",""),"/","")," ",""),8),4),--MID(LEFT(SUBSTITUTE(SUBSTITUTE(SUBSTITUTE(SUBSTITUTE(TRIM($W1270),"-",""),".",""),"/","")," ",""),8),5,2),--MID(LEFT(SUBSTITUTE(SUBSTITUTE(SUBSTITUTE(SUBSTITUTE(TRIM($W1270),"-",""),".",""),"/","")," ",""),8),7,2)),"")))</f>
        <v/>
      </c>
      <c r="Y1270" s="32">
        <f>IF($X1270="","",INT($X1270))</f>
        <v/>
      </c>
      <c r="Z1270" s="33">
        <f>IF(OR($Y1270="",$D$6=""),"",IF(INDEX($A:$U,ROW(),$D$6)="",0,IF(ISNUMBER(INDEX($A:$U,ROW(),$D$6)),INDEX($A:$U,ROW(),$D$6),IFERROR(--SUBSTITUTE(SUBSTITUTE(TRIM(INDEX($A:$U,ROW(),$D$6)),",",""),"원",""),0))))</f>
        <v/>
      </c>
      <c r="AA1270" s="31">
        <f>IF($Y1270="","",TRIM(INDEX($A:$U,ROW(),$E$6)&amp;IF($F$6="",""," "&amp;INDEX($A:$U,ROW(),$F$6))))</f>
        <v/>
      </c>
      <c r="AB1270" s="31">
        <f>IF($AA1270="","",SUBSTITUTE(SUBSTITUTE(SUBSTITUTE(SUBSTITUTE(SUBSTITUTE(SUBSTITUTE(SUBSTITUTE(SUBSTITUTE(SUBSTITUTE($AA1270," ",""),"　",""),"(주)",""),"（주）",""),"㈜",""),"주식회사",""),"(유)",""),"（유）",""),"유한회사",""))</f>
        <v/>
      </c>
      <c r="AC1270" s="31">
        <f>IF(OR($Y1270="",N($Z1270)&lt;=0,$AB1270=""),0,IFERROR(LOOKUP(2,1/((거래처별!$AC$8:$AC$307&lt;&gt;"")*ISNUMBER(SEARCH(거래처별!$AC$8:$AC$307,$AB1270))),거래처별!$A$8:$A$307),IFERROR(LOOKUP(2,1/((거래처별!$AD$8:$AD$307&lt;&gt;"")*ISNUMBER(SEARCH(거래처별!$AD$8:$AD$307,$AB1270))),거래처별!$A$8:$A$307),IFERROR(LOOKUP(2,1/((거래처별!$AE$8:$AE$307&lt;&gt;"")*ISNUMBER(SEARCH(거래처별!$AE$8:$AE$307,$AB1270))),거래처별!$A$8:$A$307),0))))</f>
        <v/>
      </c>
      <c r="AD1270" s="31">
        <f>IF(AND($Y1270&lt;&gt;"",N($Z1270)&gt;0,$AC1270=0),MAX($AD$7:$AD1269)+1,"")</f>
        <v/>
      </c>
      <c r="AE1270" s="31">
        <f>IF($Y1270="",0,$Y1270)</f>
        <v/>
      </c>
    </row>
    <row r="1271">
      <c r="W1271" s="31">
        <f>IF(OR($B$5="",$C$6="",ROW()&lt;$B$5),"",IF(INDEX($A:$U,ROW(),$C$6)="","",INDEX($A:$U,ROW(),$C$6)))</f>
        <v/>
      </c>
      <c r="X1271" s="32">
        <f>IF($W1271="","",IF(ISNUMBER($W1271),IF($W1271&gt;=10000000,IFERROR(DATE(INT($W1271/10000),MOD(INT($W1271/100),100),MOD($W1271,100)),""),INT($W1271)),IFERROR(DATE(--LEFT(LEFT(SUBSTITUTE(SUBSTITUTE(SUBSTITUTE(SUBSTITUTE(TRIM($W1271),"-",""),".",""),"/","")," ",""),8),4),--MID(LEFT(SUBSTITUTE(SUBSTITUTE(SUBSTITUTE(SUBSTITUTE(TRIM($W1271),"-",""),".",""),"/","")," ",""),8),5,2),--MID(LEFT(SUBSTITUTE(SUBSTITUTE(SUBSTITUTE(SUBSTITUTE(TRIM($W1271),"-",""),".",""),"/","")," ",""),8),7,2)),"")))</f>
        <v/>
      </c>
      <c r="Y1271" s="32">
        <f>IF($X1271="","",INT($X1271))</f>
        <v/>
      </c>
      <c r="Z1271" s="33">
        <f>IF(OR($Y1271="",$D$6=""),"",IF(INDEX($A:$U,ROW(),$D$6)="",0,IF(ISNUMBER(INDEX($A:$U,ROW(),$D$6)),INDEX($A:$U,ROW(),$D$6),IFERROR(--SUBSTITUTE(SUBSTITUTE(TRIM(INDEX($A:$U,ROW(),$D$6)),",",""),"원",""),0))))</f>
        <v/>
      </c>
      <c r="AA1271" s="31">
        <f>IF($Y1271="","",TRIM(INDEX($A:$U,ROW(),$E$6)&amp;IF($F$6="",""," "&amp;INDEX($A:$U,ROW(),$F$6))))</f>
        <v/>
      </c>
      <c r="AB1271" s="31">
        <f>IF($AA1271="","",SUBSTITUTE(SUBSTITUTE(SUBSTITUTE(SUBSTITUTE(SUBSTITUTE(SUBSTITUTE(SUBSTITUTE(SUBSTITUTE(SUBSTITUTE($AA1271," ",""),"　",""),"(주)",""),"（주）",""),"㈜",""),"주식회사",""),"(유)",""),"（유）",""),"유한회사",""))</f>
        <v/>
      </c>
      <c r="AC1271" s="31">
        <f>IF(OR($Y1271="",N($Z1271)&lt;=0,$AB1271=""),0,IFERROR(LOOKUP(2,1/((거래처별!$AC$8:$AC$307&lt;&gt;"")*ISNUMBER(SEARCH(거래처별!$AC$8:$AC$307,$AB1271))),거래처별!$A$8:$A$307),IFERROR(LOOKUP(2,1/((거래처별!$AD$8:$AD$307&lt;&gt;"")*ISNUMBER(SEARCH(거래처별!$AD$8:$AD$307,$AB1271))),거래처별!$A$8:$A$307),IFERROR(LOOKUP(2,1/((거래처별!$AE$8:$AE$307&lt;&gt;"")*ISNUMBER(SEARCH(거래처별!$AE$8:$AE$307,$AB1271))),거래처별!$A$8:$A$307),0))))</f>
        <v/>
      </c>
      <c r="AD1271" s="31">
        <f>IF(AND($Y1271&lt;&gt;"",N($Z1271)&gt;0,$AC1271=0),MAX($AD$7:$AD1270)+1,"")</f>
        <v/>
      </c>
      <c r="AE1271" s="31">
        <f>IF($Y1271="",0,$Y1271)</f>
        <v/>
      </c>
    </row>
    <row r="1272">
      <c r="W1272" s="31">
        <f>IF(OR($B$5="",$C$6="",ROW()&lt;$B$5),"",IF(INDEX($A:$U,ROW(),$C$6)="","",INDEX($A:$U,ROW(),$C$6)))</f>
        <v/>
      </c>
      <c r="X1272" s="32">
        <f>IF($W1272="","",IF(ISNUMBER($W1272),IF($W1272&gt;=10000000,IFERROR(DATE(INT($W1272/10000),MOD(INT($W1272/100),100),MOD($W1272,100)),""),INT($W1272)),IFERROR(DATE(--LEFT(LEFT(SUBSTITUTE(SUBSTITUTE(SUBSTITUTE(SUBSTITUTE(TRIM($W1272),"-",""),".",""),"/","")," ",""),8),4),--MID(LEFT(SUBSTITUTE(SUBSTITUTE(SUBSTITUTE(SUBSTITUTE(TRIM($W1272),"-",""),".",""),"/","")," ",""),8),5,2),--MID(LEFT(SUBSTITUTE(SUBSTITUTE(SUBSTITUTE(SUBSTITUTE(TRIM($W1272),"-",""),".",""),"/","")," ",""),8),7,2)),"")))</f>
        <v/>
      </c>
      <c r="Y1272" s="32">
        <f>IF($X1272="","",INT($X1272))</f>
        <v/>
      </c>
      <c r="Z1272" s="33">
        <f>IF(OR($Y1272="",$D$6=""),"",IF(INDEX($A:$U,ROW(),$D$6)="",0,IF(ISNUMBER(INDEX($A:$U,ROW(),$D$6)),INDEX($A:$U,ROW(),$D$6),IFERROR(--SUBSTITUTE(SUBSTITUTE(TRIM(INDEX($A:$U,ROW(),$D$6)),",",""),"원",""),0))))</f>
        <v/>
      </c>
      <c r="AA1272" s="31">
        <f>IF($Y1272="","",TRIM(INDEX($A:$U,ROW(),$E$6)&amp;IF($F$6="",""," "&amp;INDEX($A:$U,ROW(),$F$6))))</f>
        <v/>
      </c>
      <c r="AB1272" s="31">
        <f>IF($AA1272="","",SUBSTITUTE(SUBSTITUTE(SUBSTITUTE(SUBSTITUTE(SUBSTITUTE(SUBSTITUTE(SUBSTITUTE(SUBSTITUTE(SUBSTITUTE($AA1272," ",""),"　",""),"(주)",""),"（주）",""),"㈜",""),"주식회사",""),"(유)",""),"（유）",""),"유한회사",""))</f>
        <v/>
      </c>
      <c r="AC1272" s="31">
        <f>IF(OR($Y1272="",N($Z1272)&lt;=0,$AB1272=""),0,IFERROR(LOOKUP(2,1/((거래처별!$AC$8:$AC$307&lt;&gt;"")*ISNUMBER(SEARCH(거래처별!$AC$8:$AC$307,$AB1272))),거래처별!$A$8:$A$307),IFERROR(LOOKUP(2,1/((거래처별!$AD$8:$AD$307&lt;&gt;"")*ISNUMBER(SEARCH(거래처별!$AD$8:$AD$307,$AB1272))),거래처별!$A$8:$A$307),IFERROR(LOOKUP(2,1/((거래처별!$AE$8:$AE$307&lt;&gt;"")*ISNUMBER(SEARCH(거래처별!$AE$8:$AE$307,$AB1272))),거래처별!$A$8:$A$307),0))))</f>
        <v/>
      </c>
      <c r="AD1272" s="31">
        <f>IF(AND($Y1272&lt;&gt;"",N($Z1272)&gt;0,$AC1272=0),MAX($AD$7:$AD1271)+1,"")</f>
        <v/>
      </c>
      <c r="AE1272" s="31">
        <f>IF($Y1272="",0,$Y1272)</f>
        <v/>
      </c>
    </row>
    <row r="1273">
      <c r="W1273" s="31">
        <f>IF(OR($B$5="",$C$6="",ROW()&lt;$B$5),"",IF(INDEX($A:$U,ROW(),$C$6)="","",INDEX($A:$U,ROW(),$C$6)))</f>
        <v/>
      </c>
      <c r="X1273" s="32">
        <f>IF($W1273="","",IF(ISNUMBER($W1273),IF($W1273&gt;=10000000,IFERROR(DATE(INT($W1273/10000),MOD(INT($W1273/100),100),MOD($W1273,100)),""),INT($W1273)),IFERROR(DATE(--LEFT(LEFT(SUBSTITUTE(SUBSTITUTE(SUBSTITUTE(SUBSTITUTE(TRIM($W1273),"-",""),".",""),"/","")," ",""),8),4),--MID(LEFT(SUBSTITUTE(SUBSTITUTE(SUBSTITUTE(SUBSTITUTE(TRIM($W1273),"-",""),".",""),"/","")," ",""),8),5,2),--MID(LEFT(SUBSTITUTE(SUBSTITUTE(SUBSTITUTE(SUBSTITUTE(TRIM($W1273),"-",""),".",""),"/","")," ",""),8),7,2)),"")))</f>
        <v/>
      </c>
      <c r="Y1273" s="32">
        <f>IF($X1273="","",INT($X1273))</f>
        <v/>
      </c>
      <c r="Z1273" s="33">
        <f>IF(OR($Y1273="",$D$6=""),"",IF(INDEX($A:$U,ROW(),$D$6)="",0,IF(ISNUMBER(INDEX($A:$U,ROW(),$D$6)),INDEX($A:$U,ROW(),$D$6),IFERROR(--SUBSTITUTE(SUBSTITUTE(TRIM(INDEX($A:$U,ROW(),$D$6)),",",""),"원",""),0))))</f>
        <v/>
      </c>
      <c r="AA1273" s="31">
        <f>IF($Y1273="","",TRIM(INDEX($A:$U,ROW(),$E$6)&amp;IF($F$6="",""," "&amp;INDEX($A:$U,ROW(),$F$6))))</f>
        <v/>
      </c>
      <c r="AB1273" s="31">
        <f>IF($AA1273="","",SUBSTITUTE(SUBSTITUTE(SUBSTITUTE(SUBSTITUTE(SUBSTITUTE(SUBSTITUTE(SUBSTITUTE(SUBSTITUTE(SUBSTITUTE($AA1273," ",""),"　",""),"(주)",""),"（주）",""),"㈜",""),"주식회사",""),"(유)",""),"（유）",""),"유한회사",""))</f>
        <v/>
      </c>
      <c r="AC1273" s="31">
        <f>IF(OR($Y1273="",N($Z1273)&lt;=0,$AB1273=""),0,IFERROR(LOOKUP(2,1/((거래처별!$AC$8:$AC$307&lt;&gt;"")*ISNUMBER(SEARCH(거래처별!$AC$8:$AC$307,$AB1273))),거래처별!$A$8:$A$307),IFERROR(LOOKUP(2,1/((거래처별!$AD$8:$AD$307&lt;&gt;"")*ISNUMBER(SEARCH(거래처별!$AD$8:$AD$307,$AB1273))),거래처별!$A$8:$A$307),IFERROR(LOOKUP(2,1/((거래처별!$AE$8:$AE$307&lt;&gt;"")*ISNUMBER(SEARCH(거래처별!$AE$8:$AE$307,$AB1273))),거래처별!$A$8:$A$307),0))))</f>
        <v/>
      </c>
      <c r="AD1273" s="31">
        <f>IF(AND($Y1273&lt;&gt;"",N($Z1273)&gt;0,$AC1273=0),MAX($AD$7:$AD1272)+1,"")</f>
        <v/>
      </c>
      <c r="AE1273" s="31">
        <f>IF($Y1273="",0,$Y1273)</f>
        <v/>
      </c>
    </row>
    <row r="1274">
      <c r="W1274" s="31">
        <f>IF(OR($B$5="",$C$6="",ROW()&lt;$B$5),"",IF(INDEX($A:$U,ROW(),$C$6)="","",INDEX($A:$U,ROW(),$C$6)))</f>
        <v/>
      </c>
      <c r="X1274" s="32">
        <f>IF($W1274="","",IF(ISNUMBER($W1274),IF($W1274&gt;=10000000,IFERROR(DATE(INT($W1274/10000),MOD(INT($W1274/100),100),MOD($W1274,100)),""),INT($W1274)),IFERROR(DATE(--LEFT(LEFT(SUBSTITUTE(SUBSTITUTE(SUBSTITUTE(SUBSTITUTE(TRIM($W1274),"-",""),".",""),"/","")," ",""),8),4),--MID(LEFT(SUBSTITUTE(SUBSTITUTE(SUBSTITUTE(SUBSTITUTE(TRIM($W1274),"-",""),".",""),"/","")," ",""),8),5,2),--MID(LEFT(SUBSTITUTE(SUBSTITUTE(SUBSTITUTE(SUBSTITUTE(TRIM($W1274),"-",""),".",""),"/","")," ",""),8),7,2)),"")))</f>
        <v/>
      </c>
      <c r="Y1274" s="32">
        <f>IF($X1274="","",INT($X1274))</f>
        <v/>
      </c>
      <c r="Z1274" s="33">
        <f>IF(OR($Y1274="",$D$6=""),"",IF(INDEX($A:$U,ROW(),$D$6)="",0,IF(ISNUMBER(INDEX($A:$U,ROW(),$D$6)),INDEX($A:$U,ROW(),$D$6),IFERROR(--SUBSTITUTE(SUBSTITUTE(TRIM(INDEX($A:$U,ROW(),$D$6)),",",""),"원",""),0))))</f>
        <v/>
      </c>
      <c r="AA1274" s="31">
        <f>IF($Y1274="","",TRIM(INDEX($A:$U,ROW(),$E$6)&amp;IF($F$6="",""," "&amp;INDEX($A:$U,ROW(),$F$6))))</f>
        <v/>
      </c>
      <c r="AB1274" s="31">
        <f>IF($AA1274="","",SUBSTITUTE(SUBSTITUTE(SUBSTITUTE(SUBSTITUTE(SUBSTITUTE(SUBSTITUTE(SUBSTITUTE(SUBSTITUTE(SUBSTITUTE($AA1274," ",""),"　",""),"(주)",""),"（주）",""),"㈜",""),"주식회사",""),"(유)",""),"（유）",""),"유한회사",""))</f>
        <v/>
      </c>
      <c r="AC1274" s="31">
        <f>IF(OR($Y1274="",N($Z1274)&lt;=0,$AB1274=""),0,IFERROR(LOOKUP(2,1/((거래처별!$AC$8:$AC$307&lt;&gt;"")*ISNUMBER(SEARCH(거래처별!$AC$8:$AC$307,$AB1274))),거래처별!$A$8:$A$307),IFERROR(LOOKUP(2,1/((거래처별!$AD$8:$AD$307&lt;&gt;"")*ISNUMBER(SEARCH(거래처별!$AD$8:$AD$307,$AB1274))),거래처별!$A$8:$A$307),IFERROR(LOOKUP(2,1/((거래처별!$AE$8:$AE$307&lt;&gt;"")*ISNUMBER(SEARCH(거래처별!$AE$8:$AE$307,$AB1274))),거래처별!$A$8:$A$307),0))))</f>
        <v/>
      </c>
      <c r="AD1274" s="31">
        <f>IF(AND($Y1274&lt;&gt;"",N($Z1274)&gt;0,$AC1274=0),MAX($AD$7:$AD1273)+1,"")</f>
        <v/>
      </c>
      <c r="AE1274" s="31">
        <f>IF($Y1274="",0,$Y1274)</f>
        <v/>
      </c>
    </row>
    <row r="1275">
      <c r="W1275" s="31">
        <f>IF(OR($B$5="",$C$6="",ROW()&lt;$B$5),"",IF(INDEX($A:$U,ROW(),$C$6)="","",INDEX($A:$U,ROW(),$C$6)))</f>
        <v/>
      </c>
      <c r="X1275" s="32">
        <f>IF($W1275="","",IF(ISNUMBER($W1275),IF($W1275&gt;=10000000,IFERROR(DATE(INT($W1275/10000),MOD(INT($W1275/100),100),MOD($W1275,100)),""),INT($W1275)),IFERROR(DATE(--LEFT(LEFT(SUBSTITUTE(SUBSTITUTE(SUBSTITUTE(SUBSTITUTE(TRIM($W1275),"-",""),".",""),"/","")," ",""),8),4),--MID(LEFT(SUBSTITUTE(SUBSTITUTE(SUBSTITUTE(SUBSTITUTE(TRIM($W1275),"-",""),".",""),"/","")," ",""),8),5,2),--MID(LEFT(SUBSTITUTE(SUBSTITUTE(SUBSTITUTE(SUBSTITUTE(TRIM($W1275),"-",""),".",""),"/","")," ",""),8),7,2)),"")))</f>
        <v/>
      </c>
      <c r="Y1275" s="32">
        <f>IF($X1275="","",INT($X1275))</f>
        <v/>
      </c>
      <c r="Z1275" s="33">
        <f>IF(OR($Y1275="",$D$6=""),"",IF(INDEX($A:$U,ROW(),$D$6)="",0,IF(ISNUMBER(INDEX($A:$U,ROW(),$D$6)),INDEX($A:$U,ROW(),$D$6),IFERROR(--SUBSTITUTE(SUBSTITUTE(TRIM(INDEX($A:$U,ROW(),$D$6)),",",""),"원",""),0))))</f>
        <v/>
      </c>
      <c r="AA1275" s="31">
        <f>IF($Y1275="","",TRIM(INDEX($A:$U,ROW(),$E$6)&amp;IF($F$6="",""," "&amp;INDEX($A:$U,ROW(),$F$6))))</f>
        <v/>
      </c>
      <c r="AB1275" s="31">
        <f>IF($AA1275="","",SUBSTITUTE(SUBSTITUTE(SUBSTITUTE(SUBSTITUTE(SUBSTITUTE(SUBSTITUTE(SUBSTITUTE(SUBSTITUTE(SUBSTITUTE($AA1275," ",""),"　",""),"(주)",""),"（주）",""),"㈜",""),"주식회사",""),"(유)",""),"（유）",""),"유한회사",""))</f>
        <v/>
      </c>
      <c r="AC1275" s="31">
        <f>IF(OR($Y1275="",N($Z1275)&lt;=0,$AB1275=""),0,IFERROR(LOOKUP(2,1/((거래처별!$AC$8:$AC$307&lt;&gt;"")*ISNUMBER(SEARCH(거래처별!$AC$8:$AC$307,$AB1275))),거래처별!$A$8:$A$307),IFERROR(LOOKUP(2,1/((거래처별!$AD$8:$AD$307&lt;&gt;"")*ISNUMBER(SEARCH(거래처별!$AD$8:$AD$307,$AB1275))),거래처별!$A$8:$A$307),IFERROR(LOOKUP(2,1/((거래처별!$AE$8:$AE$307&lt;&gt;"")*ISNUMBER(SEARCH(거래처별!$AE$8:$AE$307,$AB1275))),거래처별!$A$8:$A$307),0))))</f>
        <v/>
      </c>
      <c r="AD1275" s="31">
        <f>IF(AND($Y1275&lt;&gt;"",N($Z1275)&gt;0,$AC1275=0),MAX($AD$7:$AD1274)+1,"")</f>
        <v/>
      </c>
      <c r="AE1275" s="31">
        <f>IF($Y1275="",0,$Y1275)</f>
        <v/>
      </c>
    </row>
    <row r="1276">
      <c r="W1276" s="31">
        <f>IF(OR($B$5="",$C$6="",ROW()&lt;$B$5),"",IF(INDEX($A:$U,ROW(),$C$6)="","",INDEX($A:$U,ROW(),$C$6)))</f>
        <v/>
      </c>
      <c r="X1276" s="32">
        <f>IF($W1276="","",IF(ISNUMBER($W1276),IF($W1276&gt;=10000000,IFERROR(DATE(INT($W1276/10000),MOD(INT($W1276/100),100),MOD($W1276,100)),""),INT($W1276)),IFERROR(DATE(--LEFT(LEFT(SUBSTITUTE(SUBSTITUTE(SUBSTITUTE(SUBSTITUTE(TRIM($W1276),"-",""),".",""),"/","")," ",""),8),4),--MID(LEFT(SUBSTITUTE(SUBSTITUTE(SUBSTITUTE(SUBSTITUTE(TRIM($W1276),"-",""),".",""),"/","")," ",""),8),5,2),--MID(LEFT(SUBSTITUTE(SUBSTITUTE(SUBSTITUTE(SUBSTITUTE(TRIM($W1276),"-",""),".",""),"/","")," ",""),8),7,2)),"")))</f>
        <v/>
      </c>
      <c r="Y1276" s="32">
        <f>IF($X1276="","",INT($X1276))</f>
        <v/>
      </c>
      <c r="Z1276" s="33">
        <f>IF(OR($Y1276="",$D$6=""),"",IF(INDEX($A:$U,ROW(),$D$6)="",0,IF(ISNUMBER(INDEX($A:$U,ROW(),$D$6)),INDEX($A:$U,ROW(),$D$6),IFERROR(--SUBSTITUTE(SUBSTITUTE(TRIM(INDEX($A:$U,ROW(),$D$6)),",",""),"원",""),0))))</f>
        <v/>
      </c>
      <c r="AA1276" s="31">
        <f>IF($Y1276="","",TRIM(INDEX($A:$U,ROW(),$E$6)&amp;IF($F$6="",""," "&amp;INDEX($A:$U,ROW(),$F$6))))</f>
        <v/>
      </c>
      <c r="AB1276" s="31">
        <f>IF($AA1276="","",SUBSTITUTE(SUBSTITUTE(SUBSTITUTE(SUBSTITUTE(SUBSTITUTE(SUBSTITUTE(SUBSTITUTE(SUBSTITUTE(SUBSTITUTE($AA1276," ",""),"　",""),"(주)",""),"（주）",""),"㈜",""),"주식회사",""),"(유)",""),"（유）",""),"유한회사",""))</f>
        <v/>
      </c>
      <c r="AC1276" s="31">
        <f>IF(OR($Y1276="",N($Z1276)&lt;=0,$AB1276=""),0,IFERROR(LOOKUP(2,1/((거래처별!$AC$8:$AC$307&lt;&gt;"")*ISNUMBER(SEARCH(거래처별!$AC$8:$AC$307,$AB1276))),거래처별!$A$8:$A$307),IFERROR(LOOKUP(2,1/((거래처별!$AD$8:$AD$307&lt;&gt;"")*ISNUMBER(SEARCH(거래처별!$AD$8:$AD$307,$AB1276))),거래처별!$A$8:$A$307),IFERROR(LOOKUP(2,1/((거래처별!$AE$8:$AE$307&lt;&gt;"")*ISNUMBER(SEARCH(거래처별!$AE$8:$AE$307,$AB1276))),거래처별!$A$8:$A$307),0))))</f>
        <v/>
      </c>
      <c r="AD1276" s="31">
        <f>IF(AND($Y1276&lt;&gt;"",N($Z1276)&gt;0,$AC1276=0),MAX($AD$7:$AD1275)+1,"")</f>
        <v/>
      </c>
      <c r="AE1276" s="31">
        <f>IF($Y1276="",0,$Y1276)</f>
        <v/>
      </c>
    </row>
    <row r="1277">
      <c r="W1277" s="31">
        <f>IF(OR($B$5="",$C$6="",ROW()&lt;$B$5),"",IF(INDEX($A:$U,ROW(),$C$6)="","",INDEX($A:$U,ROW(),$C$6)))</f>
        <v/>
      </c>
      <c r="X1277" s="32">
        <f>IF($W1277="","",IF(ISNUMBER($W1277),IF($W1277&gt;=10000000,IFERROR(DATE(INT($W1277/10000),MOD(INT($W1277/100),100),MOD($W1277,100)),""),INT($W1277)),IFERROR(DATE(--LEFT(LEFT(SUBSTITUTE(SUBSTITUTE(SUBSTITUTE(SUBSTITUTE(TRIM($W1277),"-",""),".",""),"/","")," ",""),8),4),--MID(LEFT(SUBSTITUTE(SUBSTITUTE(SUBSTITUTE(SUBSTITUTE(TRIM($W1277),"-",""),".",""),"/","")," ",""),8),5,2),--MID(LEFT(SUBSTITUTE(SUBSTITUTE(SUBSTITUTE(SUBSTITUTE(TRIM($W1277),"-",""),".",""),"/","")," ",""),8),7,2)),"")))</f>
        <v/>
      </c>
      <c r="Y1277" s="32">
        <f>IF($X1277="","",INT($X1277))</f>
        <v/>
      </c>
      <c r="Z1277" s="33">
        <f>IF(OR($Y1277="",$D$6=""),"",IF(INDEX($A:$U,ROW(),$D$6)="",0,IF(ISNUMBER(INDEX($A:$U,ROW(),$D$6)),INDEX($A:$U,ROW(),$D$6),IFERROR(--SUBSTITUTE(SUBSTITUTE(TRIM(INDEX($A:$U,ROW(),$D$6)),",",""),"원",""),0))))</f>
        <v/>
      </c>
      <c r="AA1277" s="31">
        <f>IF($Y1277="","",TRIM(INDEX($A:$U,ROW(),$E$6)&amp;IF($F$6="",""," "&amp;INDEX($A:$U,ROW(),$F$6))))</f>
        <v/>
      </c>
      <c r="AB1277" s="31">
        <f>IF($AA1277="","",SUBSTITUTE(SUBSTITUTE(SUBSTITUTE(SUBSTITUTE(SUBSTITUTE(SUBSTITUTE(SUBSTITUTE(SUBSTITUTE(SUBSTITUTE($AA1277," ",""),"　",""),"(주)",""),"（주）",""),"㈜",""),"주식회사",""),"(유)",""),"（유）",""),"유한회사",""))</f>
        <v/>
      </c>
      <c r="AC1277" s="31">
        <f>IF(OR($Y1277="",N($Z1277)&lt;=0,$AB1277=""),0,IFERROR(LOOKUP(2,1/((거래처별!$AC$8:$AC$307&lt;&gt;"")*ISNUMBER(SEARCH(거래처별!$AC$8:$AC$307,$AB1277))),거래처별!$A$8:$A$307),IFERROR(LOOKUP(2,1/((거래처별!$AD$8:$AD$307&lt;&gt;"")*ISNUMBER(SEARCH(거래처별!$AD$8:$AD$307,$AB1277))),거래처별!$A$8:$A$307),IFERROR(LOOKUP(2,1/((거래처별!$AE$8:$AE$307&lt;&gt;"")*ISNUMBER(SEARCH(거래처별!$AE$8:$AE$307,$AB1277))),거래처별!$A$8:$A$307),0))))</f>
        <v/>
      </c>
      <c r="AD1277" s="31">
        <f>IF(AND($Y1277&lt;&gt;"",N($Z1277)&gt;0,$AC1277=0),MAX($AD$7:$AD1276)+1,"")</f>
        <v/>
      </c>
      <c r="AE1277" s="31">
        <f>IF($Y1277="",0,$Y1277)</f>
        <v/>
      </c>
    </row>
    <row r="1278">
      <c r="W1278" s="31">
        <f>IF(OR($B$5="",$C$6="",ROW()&lt;$B$5),"",IF(INDEX($A:$U,ROW(),$C$6)="","",INDEX($A:$U,ROW(),$C$6)))</f>
        <v/>
      </c>
      <c r="X1278" s="32">
        <f>IF($W1278="","",IF(ISNUMBER($W1278),IF($W1278&gt;=10000000,IFERROR(DATE(INT($W1278/10000),MOD(INT($W1278/100),100),MOD($W1278,100)),""),INT($W1278)),IFERROR(DATE(--LEFT(LEFT(SUBSTITUTE(SUBSTITUTE(SUBSTITUTE(SUBSTITUTE(TRIM($W1278),"-",""),".",""),"/","")," ",""),8),4),--MID(LEFT(SUBSTITUTE(SUBSTITUTE(SUBSTITUTE(SUBSTITUTE(TRIM($W1278),"-",""),".",""),"/","")," ",""),8),5,2),--MID(LEFT(SUBSTITUTE(SUBSTITUTE(SUBSTITUTE(SUBSTITUTE(TRIM($W1278),"-",""),".",""),"/","")," ",""),8),7,2)),"")))</f>
        <v/>
      </c>
      <c r="Y1278" s="32">
        <f>IF($X1278="","",INT($X1278))</f>
        <v/>
      </c>
      <c r="Z1278" s="33">
        <f>IF(OR($Y1278="",$D$6=""),"",IF(INDEX($A:$U,ROW(),$D$6)="",0,IF(ISNUMBER(INDEX($A:$U,ROW(),$D$6)),INDEX($A:$U,ROW(),$D$6),IFERROR(--SUBSTITUTE(SUBSTITUTE(TRIM(INDEX($A:$U,ROW(),$D$6)),",",""),"원",""),0))))</f>
        <v/>
      </c>
      <c r="AA1278" s="31">
        <f>IF($Y1278="","",TRIM(INDEX($A:$U,ROW(),$E$6)&amp;IF($F$6="",""," "&amp;INDEX($A:$U,ROW(),$F$6))))</f>
        <v/>
      </c>
      <c r="AB1278" s="31">
        <f>IF($AA1278="","",SUBSTITUTE(SUBSTITUTE(SUBSTITUTE(SUBSTITUTE(SUBSTITUTE(SUBSTITUTE(SUBSTITUTE(SUBSTITUTE(SUBSTITUTE($AA1278," ",""),"　",""),"(주)",""),"（주）",""),"㈜",""),"주식회사",""),"(유)",""),"（유）",""),"유한회사",""))</f>
        <v/>
      </c>
      <c r="AC1278" s="31">
        <f>IF(OR($Y1278="",N($Z1278)&lt;=0,$AB1278=""),0,IFERROR(LOOKUP(2,1/((거래처별!$AC$8:$AC$307&lt;&gt;"")*ISNUMBER(SEARCH(거래처별!$AC$8:$AC$307,$AB1278))),거래처별!$A$8:$A$307),IFERROR(LOOKUP(2,1/((거래처별!$AD$8:$AD$307&lt;&gt;"")*ISNUMBER(SEARCH(거래처별!$AD$8:$AD$307,$AB1278))),거래처별!$A$8:$A$307),IFERROR(LOOKUP(2,1/((거래처별!$AE$8:$AE$307&lt;&gt;"")*ISNUMBER(SEARCH(거래처별!$AE$8:$AE$307,$AB1278))),거래처별!$A$8:$A$307),0))))</f>
        <v/>
      </c>
      <c r="AD1278" s="31">
        <f>IF(AND($Y1278&lt;&gt;"",N($Z1278)&gt;0,$AC1278=0),MAX($AD$7:$AD1277)+1,"")</f>
        <v/>
      </c>
      <c r="AE1278" s="31">
        <f>IF($Y1278="",0,$Y1278)</f>
        <v/>
      </c>
    </row>
    <row r="1279">
      <c r="W1279" s="31">
        <f>IF(OR($B$5="",$C$6="",ROW()&lt;$B$5),"",IF(INDEX($A:$U,ROW(),$C$6)="","",INDEX($A:$U,ROW(),$C$6)))</f>
        <v/>
      </c>
      <c r="X1279" s="32">
        <f>IF($W1279="","",IF(ISNUMBER($W1279),IF($W1279&gt;=10000000,IFERROR(DATE(INT($W1279/10000),MOD(INT($W1279/100),100),MOD($W1279,100)),""),INT($W1279)),IFERROR(DATE(--LEFT(LEFT(SUBSTITUTE(SUBSTITUTE(SUBSTITUTE(SUBSTITUTE(TRIM($W1279),"-",""),".",""),"/","")," ",""),8),4),--MID(LEFT(SUBSTITUTE(SUBSTITUTE(SUBSTITUTE(SUBSTITUTE(TRIM($W1279),"-",""),".",""),"/","")," ",""),8),5,2),--MID(LEFT(SUBSTITUTE(SUBSTITUTE(SUBSTITUTE(SUBSTITUTE(TRIM($W1279),"-",""),".",""),"/","")," ",""),8),7,2)),"")))</f>
        <v/>
      </c>
      <c r="Y1279" s="32">
        <f>IF($X1279="","",INT($X1279))</f>
        <v/>
      </c>
      <c r="Z1279" s="33">
        <f>IF(OR($Y1279="",$D$6=""),"",IF(INDEX($A:$U,ROW(),$D$6)="",0,IF(ISNUMBER(INDEX($A:$U,ROW(),$D$6)),INDEX($A:$U,ROW(),$D$6),IFERROR(--SUBSTITUTE(SUBSTITUTE(TRIM(INDEX($A:$U,ROW(),$D$6)),",",""),"원",""),0))))</f>
        <v/>
      </c>
      <c r="AA1279" s="31">
        <f>IF($Y1279="","",TRIM(INDEX($A:$U,ROW(),$E$6)&amp;IF($F$6="",""," "&amp;INDEX($A:$U,ROW(),$F$6))))</f>
        <v/>
      </c>
      <c r="AB1279" s="31">
        <f>IF($AA1279="","",SUBSTITUTE(SUBSTITUTE(SUBSTITUTE(SUBSTITUTE(SUBSTITUTE(SUBSTITUTE(SUBSTITUTE(SUBSTITUTE(SUBSTITUTE($AA1279," ",""),"　",""),"(주)",""),"（주）",""),"㈜",""),"주식회사",""),"(유)",""),"（유）",""),"유한회사",""))</f>
        <v/>
      </c>
      <c r="AC1279" s="31">
        <f>IF(OR($Y1279="",N($Z1279)&lt;=0,$AB1279=""),0,IFERROR(LOOKUP(2,1/((거래처별!$AC$8:$AC$307&lt;&gt;"")*ISNUMBER(SEARCH(거래처별!$AC$8:$AC$307,$AB1279))),거래처별!$A$8:$A$307),IFERROR(LOOKUP(2,1/((거래처별!$AD$8:$AD$307&lt;&gt;"")*ISNUMBER(SEARCH(거래처별!$AD$8:$AD$307,$AB1279))),거래처별!$A$8:$A$307),IFERROR(LOOKUP(2,1/((거래처별!$AE$8:$AE$307&lt;&gt;"")*ISNUMBER(SEARCH(거래처별!$AE$8:$AE$307,$AB1279))),거래처별!$A$8:$A$307),0))))</f>
        <v/>
      </c>
      <c r="AD1279" s="31">
        <f>IF(AND($Y1279&lt;&gt;"",N($Z1279)&gt;0,$AC1279=0),MAX($AD$7:$AD1278)+1,"")</f>
        <v/>
      </c>
      <c r="AE1279" s="31">
        <f>IF($Y1279="",0,$Y1279)</f>
        <v/>
      </c>
    </row>
    <row r="1280">
      <c r="W1280" s="31">
        <f>IF(OR($B$5="",$C$6="",ROW()&lt;$B$5),"",IF(INDEX($A:$U,ROW(),$C$6)="","",INDEX($A:$U,ROW(),$C$6)))</f>
        <v/>
      </c>
      <c r="X1280" s="32">
        <f>IF($W1280="","",IF(ISNUMBER($W1280),IF($W1280&gt;=10000000,IFERROR(DATE(INT($W1280/10000),MOD(INT($W1280/100),100),MOD($W1280,100)),""),INT($W1280)),IFERROR(DATE(--LEFT(LEFT(SUBSTITUTE(SUBSTITUTE(SUBSTITUTE(SUBSTITUTE(TRIM($W1280),"-",""),".",""),"/","")," ",""),8),4),--MID(LEFT(SUBSTITUTE(SUBSTITUTE(SUBSTITUTE(SUBSTITUTE(TRIM($W1280),"-",""),".",""),"/","")," ",""),8),5,2),--MID(LEFT(SUBSTITUTE(SUBSTITUTE(SUBSTITUTE(SUBSTITUTE(TRIM($W1280),"-",""),".",""),"/","")," ",""),8),7,2)),"")))</f>
        <v/>
      </c>
      <c r="Y1280" s="32">
        <f>IF($X1280="","",INT($X1280))</f>
        <v/>
      </c>
      <c r="Z1280" s="33">
        <f>IF(OR($Y1280="",$D$6=""),"",IF(INDEX($A:$U,ROW(),$D$6)="",0,IF(ISNUMBER(INDEX($A:$U,ROW(),$D$6)),INDEX($A:$U,ROW(),$D$6),IFERROR(--SUBSTITUTE(SUBSTITUTE(TRIM(INDEX($A:$U,ROW(),$D$6)),",",""),"원",""),0))))</f>
        <v/>
      </c>
      <c r="AA1280" s="31">
        <f>IF($Y1280="","",TRIM(INDEX($A:$U,ROW(),$E$6)&amp;IF($F$6="",""," "&amp;INDEX($A:$U,ROW(),$F$6))))</f>
        <v/>
      </c>
      <c r="AB1280" s="31">
        <f>IF($AA1280="","",SUBSTITUTE(SUBSTITUTE(SUBSTITUTE(SUBSTITUTE(SUBSTITUTE(SUBSTITUTE(SUBSTITUTE(SUBSTITUTE(SUBSTITUTE($AA1280," ",""),"　",""),"(주)",""),"（주）",""),"㈜",""),"주식회사",""),"(유)",""),"（유）",""),"유한회사",""))</f>
        <v/>
      </c>
      <c r="AC1280" s="31">
        <f>IF(OR($Y1280="",N($Z1280)&lt;=0,$AB1280=""),0,IFERROR(LOOKUP(2,1/((거래처별!$AC$8:$AC$307&lt;&gt;"")*ISNUMBER(SEARCH(거래처별!$AC$8:$AC$307,$AB1280))),거래처별!$A$8:$A$307),IFERROR(LOOKUP(2,1/((거래처별!$AD$8:$AD$307&lt;&gt;"")*ISNUMBER(SEARCH(거래처별!$AD$8:$AD$307,$AB1280))),거래처별!$A$8:$A$307),IFERROR(LOOKUP(2,1/((거래처별!$AE$8:$AE$307&lt;&gt;"")*ISNUMBER(SEARCH(거래처별!$AE$8:$AE$307,$AB1280))),거래처별!$A$8:$A$307),0))))</f>
        <v/>
      </c>
      <c r="AD1280" s="31">
        <f>IF(AND($Y1280&lt;&gt;"",N($Z1280)&gt;0,$AC1280=0),MAX($AD$7:$AD1279)+1,"")</f>
        <v/>
      </c>
      <c r="AE1280" s="31">
        <f>IF($Y1280="",0,$Y1280)</f>
        <v/>
      </c>
    </row>
    <row r="1281">
      <c r="W1281" s="31">
        <f>IF(OR($B$5="",$C$6="",ROW()&lt;$B$5),"",IF(INDEX($A:$U,ROW(),$C$6)="","",INDEX($A:$U,ROW(),$C$6)))</f>
        <v/>
      </c>
      <c r="X1281" s="32">
        <f>IF($W1281="","",IF(ISNUMBER($W1281),IF($W1281&gt;=10000000,IFERROR(DATE(INT($W1281/10000),MOD(INT($W1281/100),100),MOD($W1281,100)),""),INT($W1281)),IFERROR(DATE(--LEFT(LEFT(SUBSTITUTE(SUBSTITUTE(SUBSTITUTE(SUBSTITUTE(TRIM($W1281),"-",""),".",""),"/","")," ",""),8),4),--MID(LEFT(SUBSTITUTE(SUBSTITUTE(SUBSTITUTE(SUBSTITUTE(TRIM($W1281),"-",""),".",""),"/","")," ",""),8),5,2),--MID(LEFT(SUBSTITUTE(SUBSTITUTE(SUBSTITUTE(SUBSTITUTE(TRIM($W1281),"-",""),".",""),"/","")," ",""),8),7,2)),"")))</f>
        <v/>
      </c>
      <c r="Y1281" s="32">
        <f>IF($X1281="","",INT($X1281))</f>
        <v/>
      </c>
      <c r="Z1281" s="33">
        <f>IF(OR($Y1281="",$D$6=""),"",IF(INDEX($A:$U,ROW(),$D$6)="",0,IF(ISNUMBER(INDEX($A:$U,ROW(),$D$6)),INDEX($A:$U,ROW(),$D$6),IFERROR(--SUBSTITUTE(SUBSTITUTE(TRIM(INDEX($A:$U,ROW(),$D$6)),",",""),"원",""),0))))</f>
        <v/>
      </c>
      <c r="AA1281" s="31">
        <f>IF($Y1281="","",TRIM(INDEX($A:$U,ROW(),$E$6)&amp;IF($F$6="",""," "&amp;INDEX($A:$U,ROW(),$F$6))))</f>
        <v/>
      </c>
      <c r="AB1281" s="31">
        <f>IF($AA1281="","",SUBSTITUTE(SUBSTITUTE(SUBSTITUTE(SUBSTITUTE(SUBSTITUTE(SUBSTITUTE(SUBSTITUTE(SUBSTITUTE(SUBSTITUTE($AA1281," ",""),"　",""),"(주)",""),"（주）",""),"㈜",""),"주식회사",""),"(유)",""),"（유）",""),"유한회사",""))</f>
        <v/>
      </c>
      <c r="AC1281" s="31">
        <f>IF(OR($Y1281="",N($Z1281)&lt;=0,$AB1281=""),0,IFERROR(LOOKUP(2,1/((거래처별!$AC$8:$AC$307&lt;&gt;"")*ISNUMBER(SEARCH(거래처별!$AC$8:$AC$307,$AB1281))),거래처별!$A$8:$A$307),IFERROR(LOOKUP(2,1/((거래처별!$AD$8:$AD$307&lt;&gt;"")*ISNUMBER(SEARCH(거래처별!$AD$8:$AD$307,$AB1281))),거래처별!$A$8:$A$307),IFERROR(LOOKUP(2,1/((거래처별!$AE$8:$AE$307&lt;&gt;"")*ISNUMBER(SEARCH(거래처별!$AE$8:$AE$307,$AB1281))),거래처별!$A$8:$A$307),0))))</f>
        <v/>
      </c>
      <c r="AD1281" s="31">
        <f>IF(AND($Y1281&lt;&gt;"",N($Z1281)&gt;0,$AC1281=0),MAX($AD$7:$AD1280)+1,"")</f>
        <v/>
      </c>
      <c r="AE1281" s="31">
        <f>IF($Y1281="",0,$Y1281)</f>
        <v/>
      </c>
    </row>
    <row r="1282">
      <c r="W1282" s="31">
        <f>IF(OR($B$5="",$C$6="",ROW()&lt;$B$5),"",IF(INDEX($A:$U,ROW(),$C$6)="","",INDEX($A:$U,ROW(),$C$6)))</f>
        <v/>
      </c>
      <c r="X1282" s="32">
        <f>IF($W1282="","",IF(ISNUMBER($W1282),IF($W1282&gt;=10000000,IFERROR(DATE(INT($W1282/10000),MOD(INT($W1282/100),100),MOD($W1282,100)),""),INT($W1282)),IFERROR(DATE(--LEFT(LEFT(SUBSTITUTE(SUBSTITUTE(SUBSTITUTE(SUBSTITUTE(TRIM($W1282),"-",""),".",""),"/","")," ",""),8),4),--MID(LEFT(SUBSTITUTE(SUBSTITUTE(SUBSTITUTE(SUBSTITUTE(TRIM($W1282),"-",""),".",""),"/","")," ",""),8),5,2),--MID(LEFT(SUBSTITUTE(SUBSTITUTE(SUBSTITUTE(SUBSTITUTE(TRIM($W1282),"-",""),".",""),"/","")," ",""),8),7,2)),"")))</f>
        <v/>
      </c>
      <c r="Y1282" s="32">
        <f>IF($X1282="","",INT($X1282))</f>
        <v/>
      </c>
      <c r="Z1282" s="33">
        <f>IF(OR($Y1282="",$D$6=""),"",IF(INDEX($A:$U,ROW(),$D$6)="",0,IF(ISNUMBER(INDEX($A:$U,ROW(),$D$6)),INDEX($A:$U,ROW(),$D$6),IFERROR(--SUBSTITUTE(SUBSTITUTE(TRIM(INDEX($A:$U,ROW(),$D$6)),",",""),"원",""),0))))</f>
        <v/>
      </c>
      <c r="AA1282" s="31">
        <f>IF($Y1282="","",TRIM(INDEX($A:$U,ROW(),$E$6)&amp;IF($F$6="",""," "&amp;INDEX($A:$U,ROW(),$F$6))))</f>
        <v/>
      </c>
      <c r="AB1282" s="31">
        <f>IF($AA1282="","",SUBSTITUTE(SUBSTITUTE(SUBSTITUTE(SUBSTITUTE(SUBSTITUTE(SUBSTITUTE(SUBSTITUTE(SUBSTITUTE(SUBSTITUTE($AA1282," ",""),"　",""),"(주)",""),"（주）",""),"㈜",""),"주식회사",""),"(유)",""),"（유）",""),"유한회사",""))</f>
        <v/>
      </c>
      <c r="AC1282" s="31">
        <f>IF(OR($Y1282="",N($Z1282)&lt;=0,$AB1282=""),0,IFERROR(LOOKUP(2,1/((거래처별!$AC$8:$AC$307&lt;&gt;"")*ISNUMBER(SEARCH(거래처별!$AC$8:$AC$307,$AB1282))),거래처별!$A$8:$A$307),IFERROR(LOOKUP(2,1/((거래처별!$AD$8:$AD$307&lt;&gt;"")*ISNUMBER(SEARCH(거래처별!$AD$8:$AD$307,$AB1282))),거래처별!$A$8:$A$307),IFERROR(LOOKUP(2,1/((거래처별!$AE$8:$AE$307&lt;&gt;"")*ISNUMBER(SEARCH(거래처별!$AE$8:$AE$307,$AB1282))),거래처별!$A$8:$A$307),0))))</f>
        <v/>
      </c>
      <c r="AD1282" s="31">
        <f>IF(AND($Y1282&lt;&gt;"",N($Z1282)&gt;0,$AC1282=0),MAX($AD$7:$AD1281)+1,"")</f>
        <v/>
      </c>
      <c r="AE1282" s="31">
        <f>IF($Y1282="",0,$Y1282)</f>
        <v/>
      </c>
    </row>
    <row r="1283">
      <c r="W1283" s="31">
        <f>IF(OR($B$5="",$C$6="",ROW()&lt;$B$5),"",IF(INDEX($A:$U,ROW(),$C$6)="","",INDEX($A:$U,ROW(),$C$6)))</f>
        <v/>
      </c>
      <c r="X1283" s="32">
        <f>IF($W1283="","",IF(ISNUMBER($W1283),IF($W1283&gt;=10000000,IFERROR(DATE(INT($W1283/10000),MOD(INT($W1283/100),100),MOD($W1283,100)),""),INT($W1283)),IFERROR(DATE(--LEFT(LEFT(SUBSTITUTE(SUBSTITUTE(SUBSTITUTE(SUBSTITUTE(TRIM($W1283),"-",""),".",""),"/","")," ",""),8),4),--MID(LEFT(SUBSTITUTE(SUBSTITUTE(SUBSTITUTE(SUBSTITUTE(TRIM($W1283),"-",""),".",""),"/","")," ",""),8),5,2),--MID(LEFT(SUBSTITUTE(SUBSTITUTE(SUBSTITUTE(SUBSTITUTE(TRIM($W1283),"-",""),".",""),"/","")," ",""),8),7,2)),"")))</f>
        <v/>
      </c>
      <c r="Y1283" s="32">
        <f>IF($X1283="","",INT($X1283))</f>
        <v/>
      </c>
      <c r="Z1283" s="33">
        <f>IF(OR($Y1283="",$D$6=""),"",IF(INDEX($A:$U,ROW(),$D$6)="",0,IF(ISNUMBER(INDEX($A:$U,ROW(),$D$6)),INDEX($A:$U,ROW(),$D$6),IFERROR(--SUBSTITUTE(SUBSTITUTE(TRIM(INDEX($A:$U,ROW(),$D$6)),",",""),"원",""),0))))</f>
        <v/>
      </c>
      <c r="AA1283" s="31">
        <f>IF($Y1283="","",TRIM(INDEX($A:$U,ROW(),$E$6)&amp;IF($F$6="",""," "&amp;INDEX($A:$U,ROW(),$F$6))))</f>
        <v/>
      </c>
      <c r="AB1283" s="31">
        <f>IF($AA1283="","",SUBSTITUTE(SUBSTITUTE(SUBSTITUTE(SUBSTITUTE(SUBSTITUTE(SUBSTITUTE(SUBSTITUTE(SUBSTITUTE(SUBSTITUTE($AA1283," ",""),"　",""),"(주)",""),"（주）",""),"㈜",""),"주식회사",""),"(유)",""),"（유）",""),"유한회사",""))</f>
        <v/>
      </c>
      <c r="AC1283" s="31">
        <f>IF(OR($Y1283="",N($Z1283)&lt;=0,$AB1283=""),0,IFERROR(LOOKUP(2,1/((거래처별!$AC$8:$AC$307&lt;&gt;"")*ISNUMBER(SEARCH(거래처별!$AC$8:$AC$307,$AB1283))),거래처별!$A$8:$A$307),IFERROR(LOOKUP(2,1/((거래처별!$AD$8:$AD$307&lt;&gt;"")*ISNUMBER(SEARCH(거래처별!$AD$8:$AD$307,$AB1283))),거래처별!$A$8:$A$307),IFERROR(LOOKUP(2,1/((거래처별!$AE$8:$AE$307&lt;&gt;"")*ISNUMBER(SEARCH(거래처별!$AE$8:$AE$307,$AB1283))),거래처별!$A$8:$A$307),0))))</f>
        <v/>
      </c>
      <c r="AD1283" s="31">
        <f>IF(AND($Y1283&lt;&gt;"",N($Z1283)&gt;0,$AC1283=0),MAX($AD$7:$AD1282)+1,"")</f>
        <v/>
      </c>
      <c r="AE1283" s="31">
        <f>IF($Y1283="",0,$Y1283)</f>
        <v/>
      </c>
    </row>
    <row r="1284">
      <c r="W1284" s="31">
        <f>IF(OR($B$5="",$C$6="",ROW()&lt;$B$5),"",IF(INDEX($A:$U,ROW(),$C$6)="","",INDEX($A:$U,ROW(),$C$6)))</f>
        <v/>
      </c>
      <c r="X1284" s="32">
        <f>IF($W1284="","",IF(ISNUMBER($W1284),IF($W1284&gt;=10000000,IFERROR(DATE(INT($W1284/10000),MOD(INT($W1284/100),100),MOD($W1284,100)),""),INT($W1284)),IFERROR(DATE(--LEFT(LEFT(SUBSTITUTE(SUBSTITUTE(SUBSTITUTE(SUBSTITUTE(TRIM($W1284),"-",""),".",""),"/","")," ",""),8),4),--MID(LEFT(SUBSTITUTE(SUBSTITUTE(SUBSTITUTE(SUBSTITUTE(TRIM($W1284),"-",""),".",""),"/","")," ",""),8),5,2),--MID(LEFT(SUBSTITUTE(SUBSTITUTE(SUBSTITUTE(SUBSTITUTE(TRIM($W1284),"-",""),".",""),"/","")," ",""),8),7,2)),"")))</f>
        <v/>
      </c>
      <c r="Y1284" s="32">
        <f>IF($X1284="","",INT($X1284))</f>
        <v/>
      </c>
      <c r="Z1284" s="33">
        <f>IF(OR($Y1284="",$D$6=""),"",IF(INDEX($A:$U,ROW(),$D$6)="",0,IF(ISNUMBER(INDEX($A:$U,ROW(),$D$6)),INDEX($A:$U,ROW(),$D$6),IFERROR(--SUBSTITUTE(SUBSTITUTE(TRIM(INDEX($A:$U,ROW(),$D$6)),",",""),"원",""),0))))</f>
        <v/>
      </c>
      <c r="AA1284" s="31">
        <f>IF($Y1284="","",TRIM(INDEX($A:$U,ROW(),$E$6)&amp;IF($F$6="",""," "&amp;INDEX($A:$U,ROW(),$F$6))))</f>
        <v/>
      </c>
      <c r="AB1284" s="31">
        <f>IF($AA1284="","",SUBSTITUTE(SUBSTITUTE(SUBSTITUTE(SUBSTITUTE(SUBSTITUTE(SUBSTITUTE(SUBSTITUTE(SUBSTITUTE(SUBSTITUTE($AA1284," ",""),"　",""),"(주)",""),"（주）",""),"㈜",""),"주식회사",""),"(유)",""),"（유）",""),"유한회사",""))</f>
        <v/>
      </c>
      <c r="AC1284" s="31">
        <f>IF(OR($Y1284="",N($Z1284)&lt;=0,$AB1284=""),0,IFERROR(LOOKUP(2,1/((거래처별!$AC$8:$AC$307&lt;&gt;"")*ISNUMBER(SEARCH(거래처별!$AC$8:$AC$307,$AB1284))),거래처별!$A$8:$A$307),IFERROR(LOOKUP(2,1/((거래처별!$AD$8:$AD$307&lt;&gt;"")*ISNUMBER(SEARCH(거래처별!$AD$8:$AD$307,$AB1284))),거래처별!$A$8:$A$307),IFERROR(LOOKUP(2,1/((거래처별!$AE$8:$AE$307&lt;&gt;"")*ISNUMBER(SEARCH(거래처별!$AE$8:$AE$307,$AB1284))),거래처별!$A$8:$A$307),0))))</f>
        <v/>
      </c>
      <c r="AD1284" s="31">
        <f>IF(AND($Y1284&lt;&gt;"",N($Z1284)&gt;0,$AC1284=0),MAX($AD$7:$AD1283)+1,"")</f>
        <v/>
      </c>
      <c r="AE1284" s="31">
        <f>IF($Y1284="",0,$Y1284)</f>
        <v/>
      </c>
    </row>
    <row r="1285">
      <c r="W1285" s="31">
        <f>IF(OR($B$5="",$C$6="",ROW()&lt;$B$5),"",IF(INDEX($A:$U,ROW(),$C$6)="","",INDEX($A:$U,ROW(),$C$6)))</f>
        <v/>
      </c>
      <c r="X1285" s="32">
        <f>IF($W1285="","",IF(ISNUMBER($W1285),IF($W1285&gt;=10000000,IFERROR(DATE(INT($W1285/10000),MOD(INT($W1285/100),100),MOD($W1285,100)),""),INT($W1285)),IFERROR(DATE(--LEFT(LEFT(SUBSTITUTE(SUBSTITUTE(SUBSTITUTE(SUBSTITUTE(TRIM($W1285),"-",""),".",""),"/","")," ",""),8),4),--MID(LEFT(SUBSTITUTE(SUBSTITUTE(SUBSTITUTE(SUBSTITUTE(TRIM($W1285),"-",""),".",""),"/","")," ",""),8),5,2),--MID(LEFT(SUBSTITUTE(SUBSTITUTE(SUBSTITUTE(SUBSTITUTE(TRIM($W1285),"-",""),".",""),"/","")," ",""),8),7,2)),"")))</f>
        <v/>
      </c>
      <c r="Y1285" s="32">
        <f>IF($X1285="","",INT($X1285))</f>
        <v/>
      </c>
      <c r="Z1285" s="33">
        <f>IF(OR($Y1285="",$D$6=""),"",IF(INDEX($A:$U,ROW(),$D$6)="",0,IF(ISNUMBER(INDEX($A:$U,ROW(),$D$6)),INDEX($A:$U,ROW(),$D$6),IFERROR(--SUBSTITUTE(SUBSTITUTE(TRIM(INDEX($A:$U,ROW(),$D$6)),",",""),"원",""),0))))</f>
        <v/>
      </c>
      <c r="AA1285" s="31">
        <f>IF($Y1285="","",TRIM(INDEX($A:$U,ROW(),$E$6)&amp;IF($F$6="",""," "&amp;INDEX($A:$U,ROW(),$F$6))))</f>
        <v/>
      </c>
      <c r="AB1285" s="31">
        <f>IF($AA1285="","",SUBSTITUTE(SUBSTITUTE(SUBSTITUTE(SUBSTITUTE(SUBSTITUTE(SUBSTITUTE(SUBSTITUTE(SUBSTITUTE(SUBSTITUTE($AA1285," ",""),"　",""),"(주)",""),"（주）",""),"㈜",""),"주식회사",""),"(유)",""),"（유）",""),"유한회사",""))</f>
        <v/>
      </c>
      <c r="AC1285" s="31">
        <f>IF(OR($Y1285="",N($Z1285)&lt;=0,$AB1285=""),0,IFERROR(LOOKUP(2,1/((거래처별!$AC$8:$AC$307&lt;&gt;"")*ISNUMBER(SEARCH(거래처별!$AC$8:$AC$307,$AB1285))),거래처별!$A$8:$A$307),IFERROR(LOOKUP(2,1/((거래처별!$AD$8:$AD$307&lt;&gt;"")*ISNUMBER(SEARCH(거래처별!$AD$8:$AD$307,$AB1285))),거래처별!$A$8:$A$307),IFERROR(LOOKUP(2,1/((거래처별!$AE$8:$AE$307&lt;&gt;"")*ISNUMBER(SEARCH(거래처별!$AE$8:$AE$307,$AB1285))),거래처별!$A$8:$A$307),0))))</f>
        <v/>
      </c>
      <c r="AD1285" s="31">
        <f>IF(AND($Y1285&lt;&gt;"",N($Z1285)&gt;0,$AC1285=0),MAX($AD$7:$AD1284)+1,"")</f>
        <v/>
      </c>
      <c r="AE1285" s="31">
        <f>IF($Y1285="",0,$Y1285)</f>
        <v/>
      </c>
    </row>
    <row r="1286">
      <c r="W1286" s="31">
        <f>IF(OR($B$5="",$C$6="",ROW()&lt;$B$5),"",IF(INDEX($A:$U,ROW(),$C$6)="","",INDEX($A:$U,ROW(),$C$6)))</f>
        <v/>
      </c>
      <c r="X1286" s="32">
        <f>IF($W1286="","",IF(ISNUMBER($W1286),IF($W1286&gt;=10000000,IFERROR(DATE(INT($W1286/10000),MOD(INT($W1286/100),100),MOD($W1286,100)),""),INT($W1286)),IFERROR(DATE(--LEFT(LEFT(SUBSTITUTE(SUBSTITUTE(SUBSTITUTE(SUBSTITUTE(TRIM($W1286),"-",""),".",""),"/","")," ",""),8),4),--MID(LEFT(SUBSTITUTE(SUBSTITUTE(SUBSTITUTE(SUBSTITUTE(TRIM($W1286),"-",""),".",""),"/","")," ",""),8),5,2),--MID(LEFT(SUBSTITUTE(SUBSTITUTE(SUBSTITUTE(SUBSTITUTE(TRIM($W1286),"-",""),".",""),"/","")," ",""),8),7,2)),"")))</f>
        <v/>
      </c>
      <c r="Y1286" s="32">
        <f>IF($X1286="","",INT($X1286))</f>
        <v/>
      </c>
      <c r="Z1286" s="33">
        <f>IF(OR($Y1286="",$D$6=""),"",IF(INDEX($A:$U,ROW(),$D$6)="",0,IF(ISNUMBER(INDEX($A:$U,ROW(),$D$6)),INDEX($A:$U,ROW(),$D$6),IFERROR(--SUBSTITUTE(SUBSTITUTE(TRIM(INDEX($A:$U,ROW(),$D$6)),",",""),"원",""),0))))</f>
        <v/>
      </c>
      <c r="AA1286" s="31">
        <f>IF($Y1286="","",TRIM(INDEX($A:$U,ROW(),$E$6)&amp;IF($F$6="",""," "&amp;INDEX($A:$U,ROW(),$F$6))))</f>
        <v/>
      </c>
      <c r="AB1286" s="31">
        <f>IF($AA1286="","",SUBSTITUTE(SUBSTITUTE(SUBSTITUTE(SUBSTITUTE(SUBSTITUTE(SUBSTITUTE(SUBSTITUTE(SUBSTITUTE(SUBSTITUTE($AA1286," ",""),"　",""),"(주)",""),"（주）",""),"㈜",""),"주식회사",""),"(유)",""),"（유）",""),"유한회사",""))</f>
        <v/>
      </c>
      <c r="AC1286" s="31">
        <f>IF(OR($Y1286="",N($Z1286)&lt;=0,$AB1286=""),0,IFERROR(LOOKUP(2,1/((거래처별!$AC$8:$AC$307&lt;&gt;"")*ISNUMBER(SEARCH(거래처별!$AC$8:$AC$307,$AB1286))),거래처별!$A$8:$A$307),IFERROR(LOOKUP(2,1/((거래처별!$AD$8:$AD$307&lt;&gt;"")*ISNUMBER(SEARCH(거래처별!$AD$8:$AD$307,$AB1286))),거래처별!$A$8:$A$307),IFERROR(LOOKUP(2,1/((거래처별!$AE$8:$AE$307&lt;&gt;"")*ISNUMBER(SEARCH(거래처별!$AE$8:$AE$307,$AB1286))),거래처별!$A$8:$A$307),0))))</f>
        <v/>
      </c>
      <c r="AD1286" s="31">
        <f>IF(AND($Y1286&lt;&gt;"",N($Z1286)&gt;0,$AC1286=0),MAX($AD$7:$AD1285)+1,"")</f>
        <v/>
      </c>
      <c r="AE1286" s="31">
        <f>IF($Y1286="",0,$Y1286)</f>
        <v/>
      </c>
    </row>
    <row r="1287">
      <c r="W1287" s="31">
        <f>IF(OR($B$5="",$C$6="",ROW()&lt;$B$5),"",IF(INDEX($A:$U,ROW(),$C$6)="","",INDEX($A:$U,ROW(),$C$6)))</f>
        <v/>
      </c>
      <c r="X1287" s="32">
        <f>IF($W1287="","",IF(ISNUMBER($W1287),IF($W1287&gt;=10000000,IFERROR(DATE(INT($W1287/10000),MOD(INT($W1287/100),100),MOD($W1287,100)),""),INT($W1287)),IFERROR(DATE(--LEFT(LEFT(SUBSTITUTE(SUBSTITUTE(SUBSTITUTE(SUBSTITUTE(TRIM($W1287),"-",""),".",""),"/","")," ",""),8),4),--MID(LEFT(SUBSTITUTE(SUBSTITUTE(SUBSTITUTE(SUBSTITUTE(TRIM($W1287),"-",""),".",""),"/","")," ",""),8),5,2),--MID(LEFT(SUBSTITUTE(SUBSTITUTE(SUBSTITUTE(SUBSTITUTE(TRIM($W1287),"-",""),".",""),"/","")," ",""),8),7,2)),"")))</f>
        <v/>
      </c>
      <c r="Y1287" s="32">
        <f>IF($X1287="","",INT($X1287))</f>
        <v/>
      </c>
      <c r="Z1287" s="33">
        <f>IF(OR($Y1287="",$D$6=""),"",IF(INDEX($A:$U,ROW(),$D$6)="",0,IF(ISNUMBER(INDEX($A:$U,ROW(),$D$6)),INDEX($A:$U,ROW(),$D$6),IFERROR(--SUBSTITUTE(SUBSTITUTE(TRIM(INDEX($A:$U,ROW(),$D$6)),",",""),"원",""),0))))</f>
        <v/>
      </c>
      <c r="AA1287" s="31">
        <f>IF($Y1287="","",TRIM(INDEX($A:$U,ROW(),$E$6)&amp;IF($F$6="",""," "&amp;INDEX($A:$U,ROW(),$F$6))))</f>
        <v/>
      </c>
      <c r="AB1287" s="31">
        <f>IF($AA1287="","",SUBSTITUTE(SUBSTITUTE(SUBSTITUTE(SUBSTITUTE(SUBSTITUTE(SUBSTITUTE(SUBSTITUTE(SUBSTITUTE(SUBSTITUTE($AA1287," ",""),"　",""),"(주)",""),"（주）",""),"㈜",""),"주식회사",""),"(유)",""),"（유）",""),"유한회사",""))</f>
        <v/>
      </c>
      <c r="AC1287" s="31">
        <f>IF(OR($Y1287="",N($Z1287)&lt;=0,$AB1287=""),0,IFERROR(LOOKUP(2,1/((거래처별!$AC$8:$AC$307&lt;&gt;"")*ISNUMBER(SEARCH(거래처별!$AC$8:$AC$307,$AB1287))),거래처별!$A$8:$A$307),IFERROR(LOOKUP(2,1/((거래처별!$AD$8:$AD$307&lt;&gt;"")*ISNUMBER(SEARCH(거래처별!$AD$8:$AD$307,$AB1287))),거래처별!$A$8:$A$307),IFERROR(LOOKUP(2,1/((거래처별!$AE$8:$AE$307&lt;&gt;"")*ISNUMBER(SEARCH(거래처별!$AE$8:$AE$307,$AB1287))),거래처별!$A$8:$A$307),0))))</f>
        <v/>
      </c>
      <c r="AD1287" s="31">
        <f>IF(AND($Y1287&lt;&gt;"",N($Z1287)&gt;0,$AC1287=0),MAX($AD$7:$AD1286)+1,"")</f>
        <v/>
      </c>
      <c r="AE1287" s="31">
        <f>IF($Y1287="",0,$Y1287)</f>
        <v/>
      </c>
    </row>
    <row r="1288">
      <c r="W1288" s="31">
        <f>IF(OR($B$5="",$C$6="",ROW()&lt;$B$5),"",IF(INDEX($A:$U,ROW(),$C$6)="","",INDEX($A:$U,ROW(),$C$6)))</f>
        <v/>
      </c>
      <c r="X1288" s="32">
        <f>IF($W1288="","",IF(ISNUMBER($W1288),IF($W1288&gt;=10000000,IFERROR(DATE(INT($W1288/10000),MOD(INT($W1288/100),100),MOD($W1288,100)),""),INT($W1288)),IFERROR(DATE(--LEFT(LEFT(SUBSTITUTE(SUBSTITUTE(SUBSTITUTE(SUBSTITUTE(TRIM($W1288),"-",""),".",""),"/","")," ",""),8),4),--MID(LEFT(SUBSTITUTE(SUBSTITUTE(SUBSTITUTE(SUBSTITUTE(TRIM($W1288),"-",""),".",""),"/","")," ",""),8),5,2),--MID(LEFT(SUBSTITUTE(SUBSTITUTE(SUBSTITUTE(SUBSTITUTE(TRIM($W1288),"-",""),".",""),"/","")," ",""),8),7,2)),"")))</f>
        <v/>
      </c>
      <c r="Y1288" s="32">
        <f>IF($X1288="","",INT($X1288))</f>
        <v/>
      </c>
      <c r="Z1288" s="33">
        <f>IF(OR($Y1288="",$D$6=""),"",IF(INDEX($A:$U,ROW(),$D$6)="",0,IF(ISNUMBER(INDEX($A:$U,ROW(),$D$6)),INDEX($A:$U,ROW(),$D$6),IFERROR(--SUBSTITUTE(SUBSTITUTE(TRIM(INDEX($A:$U,ROW(),$D$6)),",",""),"원",""),0))))</f>
        <v/>
      </c>
      <c r="AA1288" s="31">
        <f>IF($Y1288="","",TRIM(INDEX($A:$U,ROW(),$E$6)&amp;IF($F$6="",""," "&amp;INDEX($A:$U,ROW(),$F$6))))</f>
        <v/>
      </c>
      <c r="AB1288" s="31">
        <f>IF($AA1288="","",SUBSTITUTE(SUBSTITUTE(SUBSTITUTE(SUBSTITUTE(SUBSTITUTE(SUBSTITUTE(SUBSTITUTE(SUBSTITUTE(SUBSTITUTE($AA1288," ",""),"　",""),"(주)",""),"（주）",""),"㈜",""),"주식회사",""),"(유)",""),"（유）",""),"유한회사",""))</f>
        <v/>
      </c>
      <c r="AC1288" s="31">
        <f>IF(OR($Y1288="",N($Z1288)&lt;=0,$AB1288=""),0,IFERROR(LOOKUP(2,1/((거래처별!$AC$8:$AC$307&lt;&gt;"")*ISNUMBER(SEARCH(거래처별!$AC$8:$AC$307,$AB1288))),거래처별!$A$8:$A$307),IFERROR(LOOKUP(2,1/((거래처별!$AD$8:$AD$307&lt;&gt;"")*ISNUMBER(SEARCH(거래처별!$AD$8:$AD$307,$AB1288))),거래처별!$A$8:$A$307),IFERROR(LOOKUP(2,1/((거래처별!$AE$8:$AE$307&lt;&gt;"")*ISNUMBER(SEARCH(거래처별!$AE$8:$AE$307,$AB1288))),거래처별!$A$8:$A$307),0))))</f>
        <v/>
      </c>
      <c r="AD1288" s="31">
        <f>IF(AND($Y1288&lt;&gt;"",N($Z1288)&gt;0,$AC1288=0),MAX($AD$7:$AD1287)+1,"")</f>
        <v/>
      </c>
      <c r="AE1288" s="31">
        <f>IF($Y1288="",0,$Y1288)</f>
        <v/>
      </c>
    </row>
    <row r="1289">
      <c r="W1289" s="31">
        <f>IF(OR($B$5="",$C$6="",ROW()&lt;$B$5),"",IF(INDEX($A:$U,ROW(),$C$6)="","",INDEX($A:$U,ROW(),$C$6)))</f>
        <v/>
      </c>
      <c r="X1289" s="32">
        <f>IF($W1289="","",IF(ISNUMBER($W1289),IF($W1289&gt;=10000000,IFERROR(DATE(INT($W1289/10000),MOD(INT($W1289/100),100),MOD($W1289,100)),""),INT($W1289)),IFERROR(DATE(--LEFT(LEFT(SUBSTITUTE(SUBSTITUTE(SUBSTITUTE(SUBSTITUTE(TRIM($W1289),"-",""),".",""),"/","")," ",""),8),4),--MID(LEFT(SUBSTITUTE(SUBSTITUTE(SUBSTITUTE(SUBSTITUTE(TRIM($W1289),"-",""),".",""),"/","")," ",""),8),5,2),--MID(LEFT(SUBSTITUTE(SUBSTITUTE(SUBSTITUTE(SUBSTITUTE(TRIM($W1289),"-",""),".",""),"/","")," ",""),8),7,2)),"")))</f>
        <v/>
      </c>
      <c r="Y1289" s="32">
        <f>IF($X1289="","",INT($X1289))</f>
        <v/>
      </c>
      <c r="Z1289" s="33">
        <f>IF(OR($Y1289="",$D$6=""),"",IF(INDEX($A:$U,ROW(),$D$6)="",0,IF(ISNUMBER(INDEX($A:$U,ROW(),$D$6)),INDEX($A:$U,ROW(),$D$6),IFERROR(--SUBSTITUTE(SUBSTITUTE(TRIM(INDEX($A:$U,ROW(),$D$6)),",",""),"원",""),0))))</f>
        <v/>
      </c>
      <c r="AA1289" s="31">
        <f>IF($Y1289="","",TRIM(INDEX($A:$U,ROW(),$E$6)&amp;IF($F$6="",""," "&amp;INDEX($A:$U,ROW(),$F$6))))</f>
        <v/>
      </c>
      <c r="AB1289" s="31">
        <f>IF($AA1289="","",SUBSTITUTE(SUBSTITUTE(SUBSTITUTE(SUBSTITUTE(SUBSTITUTE(SUBSTITUTE(SUBSTITUTE(SUBSTITUTE(SUBSTITUTE($AA1289," ",""),"　",""),"(주)",""),"（주）",""),"㈜",""),"주식회사",""),"(유)",""),"（유）",""),"유한회사",""))</f>
        <v/>
      </c>
      <c r="AC1289" s="31">
        <f>IF(OR($Y1289="",N($Z1289)&lt;=0,$AB1289=""),0,IFERROR(LOOKUP(2,1/((거래처별!$AC$8:$AC$307&lt;&gt;"")*ISNUMBER(SEARCH(거래처별!$AC$8:$AC$307,$AB1289))),거래처별!$A$8:$A$307),IFERROR(LOOKUP(2,1/((거래처별!$AD$8:$AD$307&lt;&gt;"")*ISNUMBER(SEARCH(거래처별!$AD$8:$AD$307,$AB1289))),거래처별!$A$8:$A$307),IFERROR(LOOKUP(2,1/((거래처별!$AE$8:$AE$307&lt;&gt;"")*ISNUMBER(SEARCH(거래처별!$AE$8:$AE$307,$AB1289))),거래처별!$A$8:$A$307),0))))</f>
        <v/>
      </c>
      <c r="AD1289" s="31">
        <f>IF(AND($Y1289&lt;&gt;"",N($Z1289)&gt;0,$AC1289=0),MAX($AD$7:$AD1288)+1,"")</f>
        <v/>
      </c>
      <c r="AE1289" s="31">
        <f>IF($Y1289="",0,$Y1289)</f>
        <v/>
      </c>
    </row>
    <row r="1290">
      <c r="W1290" s="31">
        <f>IF(OR($B$5="",$C$6="",ROW()&lt;$B$5),"",IF(INDEX($A:$U,ROW(),$C$6)="","",INDEX($A:$U,ROW(),$C$6)))</f>
        <v/>
      </c>
      <c r="X1290" s="32">
        <f>IF($W1290="","",IF(ISNUMBER($W1290),IF($W1290&gt;=10000000,IFERROR(DATE(INT($W1290/10000),MOD(INT($W1290/100),100),MOD($W1290,100)),""),INT($W1290)),IFERROR(DATE(--LEFT(LEFT(SUBSTITUTE(SUBSTITUTE(SUBSTITUTE(SUBSTITUTE(TRIM($W1290),"-",""),".",""),"/","")," ",""),8),4),--MID(LEFT(SUBSTITUTE(SUBSTITUTE(SUBSTITUTE(SUBSTITUTE(TRIM($W1290),"-",""),".",""),"/","")," ",""),8),5,2),--MID(LEFT(SUBSTITUTE(SUBSTITUTE(SUBSTITUTE(SUBSTITUTE(TRIM($W1290),"-",""),".",""),"/","")," ",""),8),7,2)),"")))</f>
        <v/>
      </c>
      <c r="Y1290" s="32">
        <f>IF($X1290="","",INT($X1290))</f>
        <v/>
      </c>
      <c r="Z1290" s="33">
        <f>IF(OR($Y1290="",$D$6=""),"",IF(INDEX($A:$U,ROW(),$D$6)="",0,IF(ISNUMBER(INDEX($A:$U,ROW(),$D$6)),INDEX($A:$U,ROW(),$D$6),IFERROR(--SUBSTITUTE(SUBSTITUTE(TRIM(INDEX($A:$U,ROW(),$D$6)),",",""),"원",""),0))))</f>
        <v/>
      </c>
      <c r="AA1290" s="31">
        <f>IF($Y1290="","",TRIM(INDEX($A:$U,ROW(),$E$6)&amp;IF($F$6="",""," "&amp;INDEX($A:$U,ROW(),$F$6))))</f>
        <v/>
      </c>
      <c r="AB1290" s="31">
        <f>IF($AA1290="","",SUBSTITUTE(SUBSTITUTE(SUBSTITUTE(SUBSTITUTE(SUBSTITUTE(SUBSTITUTE(SUBSTITUTE(SUBSTITUTE(SUBSTITUTE($AA1290," ",""),"　",""),"(주)",""),"（주）",""),"㈜",""),"주식회사",""),"(유)",""),"（유）",""),"유한회사",""))</f>
        <v/>
      </c>
      <c r="AC1290" s="31">
        <f>IF(OR($Y1290="",N($Z1290)&lt;=0,$AB1290=""),0,IFERROR(LOOKUP(2,1/((거래처별!$AC$8:$AC$307&lt;&gt;"")*ISNUMBER(SEARCH(거래처별!$AC$8:$AC$307,$AB1290))),거래처별!$A$8:$A$307),IFERROR(LOOKUP(2,1/((거래처별!$AD$8:$AD$307&lt;&gt;"")*ISNUMBER(SEARCH(거래처별!$AD$8:$AD$307,$AB1290))),거래처별!$A$8:$A$307),IFERROR(LOOKUP(2,1/((거래처별!$AE$8:$AE$307&lt;&gt;"")*ISNUMBER(SEARCH(거래처별!$AE$8:$AE$307,$AB1290))),거래처별!$A$8:$A$307),0))))</f>
        <v/>
      </c>
      <c r="AD1290" s="31">
        <f>IF(AND($Y1290&lt;&gt;"",N($Z1290)&gt;0,$AC1290=0),MAX($AD$7:$AD1289)+1,"")</f>
        <v/>
      </c>
      <c r="AE1290" s="31">
        <f>IF($Y1290="",0,$Y1290)</f>
        <v/>
      </c>
    </row>
    <row r="1291">
      <c r="W1291" s="31">
        <f>IF(OR($B$5="",$C$6="",ROW()&lt;$B$5),"",IF(INDEX($A:$U,ROW(),$C$6)="","",INDEX($A:$U,ROW(),$C$6)))</f>
        <v/>
      </c>
      <c r="X1291" s="32">
        <f>IF($W1291="","",IF(ISNUMBER($W1291),IF($W1291&gt;=10000000,IFERROR(DATE(INT($W1291/10000),MOD(INT($W1291/100),100),MOD($W1291,100)),""),INT($W1291)),IFERROR(DATE(--LEFT(LEFT(SUBSTITUTE(SUBSTITUTE(SUBSTITUTE(SUBSTITUTE(TRIM($W1291),"-",""),".",""),"/","")," ",""),8),4),--MID(LEFT(SUBSTITUTE(SUBSTITUTE(SUBSTITUTE(SUBSTITUTE(TRIM($W1291),"-",""),".",""),"/","")," ",""),8),5,2),--MID(LEFT(SUBSTITUTE(SUBSTITUTE(SUBSTITUTE(SUBSTITUTE(TRIM($W1291),"-",""),".",""),"/","")," ",""),8),7,2)),"")))</f>
        <v/>
      </c>
      <c r="Y1291" s="32">
        <f>IF($X1291="","",INT($X1291))</f>
        <v/>
      </c>
      <c r="Z1291" s="33">
        <f>IF(OR($Y1291="",$D$6=""),"",IF(INDEX($A:$U,ROW(),$D$6)="",0,IF(ISNUMBER(INDEX($A:$U,ROW(),$D$6)),INDEX($A:$U,ROW(),$D$6),IFERROR(--SUBSTITUTE(SUBSTITUTE(TRIM(INDEX($A:$U,ROW(),$D$6)),",",""),"원",""),0))))</f>
        <v/>
      </c>
      <c r="AA1291" s="31">
        <f>IF($Y1291="","",TRIM(INDEX($A:$U,ROW(),$E$6)&amp;IF($F$6="",""," "&amp;INDEX($A:$U,ROW(),$F$6))))</f>
        <v/>
      </c>
      <c r="AB1291" s="31">
        <f>IF($AA1291="","",SUBSTITUTE(SUBSTITUTE(SUBSTITUTE(SUBSTITUTE(SUBSTITUTE(SUBSTITUTE(SUBSTITUTE(SUBSTITUTE(SUBSTITUTE($AA1291," ",""),"　",""),"(주)",""),"（주）",""),"㈜",""),"주식회사",""),"(유)",""),"（유）",""),"유한회사",""))</f>
        <v/>
      </c>
      <c r="AC1291" s="31">
        <f>IF(OR($Y1291="",N($Z1291)&lt;=0,$AB1291=""),0,IFERROR(LOOKUP(2,1/((거래처별!$AC$8:$AC$307&lt;&gt;"")*ISNUMBER(SEARCH(거래처별!$AC$8:$AC$307,$AB1291))),거래처별!$A$8:$A$307),IFERROR(LOOKUP(2,1/((거래처별!$AD$8:$AD$307&lt;&gt;"")*ISNUMBER(SEARCH(거래처별!$AD$8:$AD$307,$AB1291))),거래처별!$A$8:$A$307),IFERROR(LOOKUP(2,1/((거래처별!$AE$8:$AE$307&lt;&gt;"")*ISNUMBER(SEARCH(거래처별!$AE$8:$AE$307,$AB1291))),거래처별!$A$8:$A$307),0))))</f>
        <v/>
      </c>
      <c r="AD1291" s="31">
        <f>IF(AND($Y1291&lt;&gt;"",N($Z1291)&gt;0,$AC1291=0),MAX($AD$7:$AD1290)+1,"")</f>
        <v/>
      </c>
      <c r="AE1291" s="31">
        <f>IF($Y1291="",0,$Y1291)</f>
        <v/>
      </c>
    </row>
    <row r="1292">
      <c r="W1292" s="31">
        <f>IF(OR($B$5="",$C$6="",ROW()&lt;$B$5),"",IF(INDEX($A:$U,ROW(),$C$6)="","",INDEX($A:$U,ROW(),$C$6)))</f>
        <v/>
      </c>
      <c r="X1292" s="32">
        <f>IF($W1292="","",IF(ISNUMBER($W1292),IF($W1292&gt;=10000000,IFERROR(DATE(INT($W1292/10000),MOD(INT($W1292/100),100),MOD($W1292,100)),""),INT($W1292)),IFERROR(DATE(--LEFT(LEFT(SUBSTITUTE(SUBSTITUTE(SUBSTITUTE(SUBSTITUTE(TRIM($W1292),"-",""),".",""),"/","")," ",""),8),4),--MID(LEFT(SUBSTITUTE(SUBSTITUTE(SUBSTITUTE(SUBSTITUTE(TRIM($W1292),"-",""),".",""),"/","")," ",""),8),5,2),--MID(LEFT(SUBSTITUTE(SUBSTITUTE(SUBSTITUTE(SUBSTITUTE(TRIM($W1292),"-",""),".",""),"/","")," ",""),8),7,2)),"")))</f>
        <v/>
      </c>
      <c r="Y1292" s="32">
        <f>IF($X1292="","",INT($X1292))</f>
        <v/>
      </c>
      <c r="Z1292" s="33">
        <f>IF(OR($Y1292="",$D$6=""),"",IF(INDEX($A:$U,ROW(),$D$6)="",0,IF(ISNUMBER(INDEX($A:$U,ROW(),$D$6)),INDEX($A:$U,ROW(),$D$6),IFERROR(--SUBSTITUTE(SUBSTITUTE(TRIM(INDEX($A:$U,ROW(),$D$6)),",",""),"원",""),0))))</f>
        <v/>
      </c>
      <c r="AA1292" s="31">
        <f>IF($Y1292="","",TRIM(INDEX($A:$U,ROW(),$E$6)&amp;IF($F$6="",""," "&amp;INDEX($A:$U,ROW(),$F$6))))</f>
        <v/>
      </c>
      <c r="AB1292" s="31">
        <f>IF($AA1292="","",SUBSTITUTE(SUBSTITUTE(SUBSTITUTE(SUBSTITUTE(SUBSTITUTE(SUBSTITUTE(SUBSTITUTE(SUBSTITUTE(SUBSTITUTE($AA1292," ",""),"　",""),"(주)",""),"（주）",""),"㈜",""),"주식회사",""),"(유)",""),"（유）",""),"유한회사",""))</f>
        <v/>
      </c>
      <c r="AC1292" s="31">
        <f>IF(OR($Y1292="",N($Z1292)&lt;=0,$AB1292=""),0,IFERROR(LOOKUP(2,1/((거래처별!$AC$8:$AC$307&lt;&gt;"")*ISNUMBER(SEARCH(거래처별!$AC$8:$AC$307,$AB1292))),거래처별!$A$8:$A$307),IFERROR(LOOKUP(2,1/((거래처별!$AD$8:$AD$307&lt;&gt;"")*ISNUMBER(SEARCH(거래처별!$AD$8:$AD$307,$AB1292))),거래처별!$A$8:$A$307),IFERROR(LOOKUP(2,1/((거래처별!$AE$8:$AE$307&lt;&gt;"")*ISNUMBER(SEARCH(거래처별!$AE$8:$AE$307,$AB1292))),거래처별!$A$8:$A$307),0))))</f>
        <v/>
      </c>
      <c r="AD1292" s="31">
        <f>IF(AND($Y1292&lt;&gt;"",N($Z1292)&gt;0,$AC1292=0),MAX($AD$7:$AD1291)+1,"")</f>
        <v/>
      </c>
      <c r="AE1292" s="31">
        <f>IF($Y1292="",0,$Y1292)</f>
        <v/>
      </c>
    </row>
    <row r="1293">
      <c r="W1293" s="31">
        <f>IF(OR($B$5="",$C$6="",ROW()&lt;$B$5),"",IF(INDEX($A:$U,ROW(),$C$6)="","",INDEX($A:$U,ROW(),$C$6)))</f>
        <v/>
      </c>
      <c r="X1293" s="32">
        <f>IF($W1293="","",IF(ISNUMBER($W1293),IF($W1293&gt;=10000000,IFERROR(DATE(INT($W1293/10000),MOD(INT($W1293/100),100),MOD($W1293,100)),""),INT($W1293)),IFERROR(DATE(--LEFT(LEFT(SUBSTITUTE(SUBSTITUTE(SUBSTITUTE(SUBSTITUTE(TRIM($W1293),"-",""),".",""),"/","")," ",""),8),4),--MID(LEFT(SUBSTITUTE(SUBSTITUTE(SUBSTITUTE(SUBSTITUTE(TRIM($W1293),"-",""),".",""),"/","")," ",""),8),5,2),--MID(LEFT(SUBSTITUTE(SUBSTITUTE(SUBSTITUTE(SUBSTITUTE(TRIM($W1293),"-",""),".",""),"/","")," ",""),8),7,2)),"")))</f>
        <v/>
      </c>
      <c r="Y1293" s="32">
        <f>IF($X1293="","",INT($X1293))</f>
        <v/>
      </c>
      <c r="Z1293" s="33">
        <f>IF(OR($Y1293="",$D$6=""),"",IF(INDEX($A:$U,ROW(),$D$6)="",0,IF(ISNUMBER(INDEX($A:$U,ROW(),$D$6)),INDEX($A:$U,ROW(),$D$6),IFERROR(--SUBSTITUTE(SUBSTITUTE(TRIM(INDEX($A:$U,ROW(),$D$6)),",",""),"원",""),0))))</f>
        <v/>
      </c>
      <c r="AA1293" s="31">
        <f>IF($Y1293="","",TRIM(INDEX($A:$U,ROW(),$E$6)&amp;IF($F$6="",""," "&amp;INDEX($A:$U,ROW(),$F$6))))</f>
        <v/>
      </c>
      <c r="AB1293" s="31">
        <f>IF($AA1293="","",SUBSTITUTE(SUBSTITUTE(SUBSTITUTE(SUBSTITUTE(SUBSTITUTE(SUBSTITUTE(SUBSTITUTE(SUBSTITUTE(SUBSTITUTE($AA1293," ",""),"　",""),"(주)",""),"（주）",""),"㈜",""),"주식회사",""),"(유)",""),"（유）",""),"유한회사",""))</f>
        <v/>
      </c>
      <c r="AC1293" s="31">
        <f>IF(OR($Y1293="",N($Z1293)&lt;=0,$AB1293=""),0,IFERROR(LOOKUP(2,1/((거래처별!$AC$8:$AC$307&lt;&gt;"")*ISNUMBER(SEARCH(거래처별!$AC$8:$AC$307,$AB1293))),거래처별!$A$8:$A$307),IFERROR(LOOKUP(2,1/((거래처별!$AD$8:$AD$307&lt;&gt;"")*ISNUMBER(SEARCH(거래처별!$AD$8:$AD$307,$AB1293))),거래처별!$A$8:$A$307),IFERROR(LOOKUP(2,1/((거래처별!$AE$8:$AE$307&lt;&gt;"")*ISNUMBER(SEARCH(거래처별!$AE$8:$AE$307,$AB1293))),거래처별!$A$8:$A$307),0))))</f>
        <v/>
      </c>
      <c r="AD1293" s="31">
        <f>IF(AND($Y1293&lt;&gt;"",N($Z1293)&gt;0,$AC1293=0),MAX($AD$7:$AD1292)+1,"")</f>
        <v/>
      </c>
      <c r="AE1293" s="31">
        <f>IF($Y1293="",0,$Y1293)</f>
        <v/>
      </c>
    </row>
    <row r="1294">
      <c r="W1294" s="31">
        <f>IF(OR($B$5="",$C$6="",ROW()&lt;$B$5),"",IF(INDEX($A:$U,ROW(),$C$6)="","",INDEX($A:$U,ROW(),$C$6)))</f>
        <v/>
      </c>
      <c r="X1294" s="32">
        <f>IF($W1294="","",IF(ISNUMBER($W1294),IF($W1294&gt;=10000000,IFERROR(DATE(INT($W1294/10000),MOD(INT($W1294/100),100),MOD($W1294,100)),""),INT($W1294)),IFERROR(DATE(--LEFT(LEFT(SUBSTITUTE(SUBSTITUTE(SUBSTITUTE(SUBSTITUTE(TRIM($W1294),"-",""),".",""),"/","")," ",""),8),4),--MID(LEFT(SUBSTITUTE(SUBSTITUTE(SUBSTITUTE(SUBSTITUTE(TRIM($W1294),"-",""),".",""),"/","")," ",""),8),5,2),--MID(LEFT(SUBSTITUTE(SUBSTITUTE(SUBSTITUTE(SUBSTITUTE(TRIM($W1294),"-",""),".",""),"/","")," ",""),8),7,2)),"")))</f>
        <v/>
      </c>
      <c r="Y1294" s="32">
        <f>IF($X1294="","",INT($X1294))</f>
        <v/>
      </c>
      <c r="Z1294" s="33">
        <f>IF(OR($Y1294="",$D$6=""),"",IF(INDEX($A:$U,ROW(),$D$6)="",0,IF(ISNUMBER(INDEX($A:$U,ROW(),$D$6)),INDEX($A:$U,ROW(),$D$6),IFERROR(--SUBSTITUTE(SUBSTITUTE(TRIM(INDEX($A:$U,ROW(),$D$6)),",",""),"원",""),0))))</f>
        <v/>
      </c>
      <c r="AA1294" s="31">
        <f>IF($Y1294="","",TRIM(INDEX($A:$U,ROW(),$E$6)&amp;IF($F$6="",""," "&amp;INDEX($A:$U,ROW(),$F$6))))</f>
        <v/>
      </c>
      <c r="AB1294" s="31">
        <f>IF($AA1294="","",SUBSTITUTE(SUBSTITUTE(SUBSTITUTE(SUBSTITUTE(SUBSTITUTE(SUBSTITUTE(SUBSTITUTE(SUBSTITUTE(SUBSTITUTE($AA1294," ",""),"　",""),"(주)",""),"（주）",""),"㈜",""),"주식회사",""),"(유)",""),"（유）",""),"유한회사",""))</f>
        <v/>
      </c>
      <c r="AC1294" s="31">
        <f>IF(OR($Y1294="",N($Z1294)&lt;=0,$AB1294=""),0,IFERROR(LOOKUP(2,1/((거래처별!$AC$8:$AC$307&lt;&gt;"")*ISNUMBER(SEARCH(거래처별!$AC$8:$AC$307,$AB1294))),거래처별!$A$8:$A$307),IFERROR(LOOKUP(2,1/((거래처별!$AD$8:$AD$307&lt;&gt;"")*ISNUMBER(SEARCH(거래처별!$AD$8:$AD$307,$AB1294))),거래처별!$A$8:$A$307),IFERROR(LOOKUP(2,1/((거래처별!$AE$8:$AE$307&lt;&gt;"")*ISNUMBER(SEARCH(거래처별!$AE$8:$AE$307,$AB1294))),거래처별!$A$8:$A$307),0))))</f>
        <v/>
      </c>
      <c r="AD1294" s="31">
        <f>IF(AND($Y1294&lt;&gt;"",N($Z1294)&gt;0,$AC1294=0),MAX($AD$7:$AD1293)+1,"")</f>
        <v/>
      </c>
      <c r="AE1294" s="31">
        <f>IF($Y1294="",0,$Y1294)</f>
        <v/>
      </c>
    </row>
    <row r="1295">
      <c r="W1295" s="31">
        <f>IF(OR($B$5="",$C$6="",ROW()&lt;$B$5),"",IF(INDEX($A:$U,ROW(),$C$6)="","",INDEX($A:$U,ROW(),$C$6)))</f>
        <v/>
      </c>
      <c r="X1295" s="32">
        <f>IF($W1295="","",IF(ISNUMBER($W1295),IF($W1295&gt;=10000000,IFERROR(DATE(INT($W1295/10000),MOD(INT($W1295/100),100),MOD($W1295,100)),""),INT($W1295)),IFERROR(DATE(--LEFT(LEFT(SUBSTITUTE(SUBSTITUTE(SUBSTITUTE(SUBSTITUTE(TRIM($W1295),"-",""),".",""),"/","")," ",""),8),4),--MID(LEFT(SUBSTITUTE(SUBSTITUTE(SUBSTITUTE(SUBSTITUTE(TRIM($W1295),"-",""),".",""),"/","")," ",""),8),5,2),--MID(LEFT(SUBSTITUTE(SUBSTITUTE(SUBSTITUTE(SUBSTITUTE(TRIM($W1295),"-",""),".",""),"/","")," ",""),8),7,2)),"")))</f>
        <v/>
      </c>
      <c r="Y1295" s="32">
        <f>IF($X1295="","",INT($X1295))</f>
        <v/>
      </c>
      <c r="Z1295" s="33">
        <f>IF(OR($Y1295="",$D$6=""),"",IF(INDEX($A:$U,ROW(),$D$6)="",0,IF(ISNUMBER(INDEX($A:$U,ROW(),$D$6)),INDEX($A:$U,ROW(),$D$6),IFERROR(--SUBSTITUTE(SUBSTITUTE(TRIM(INDEX($A:$U,ROW(),$D$6)),",",""),"원",""),0))))</f>
        <v/>
      </c>
      <c r="AA1295" s="31">
        <f>IF($Y1295="","",TRIM(INDEX($A:$U,ROW(),$E$6)&amp;IF($F$6="",""," "&amp;INDEX($A:$U,ROW(),$F$6))))</f>
        <v/>
      </c>
      <c r="AB1295" s="31">
        <f>IF($AA1295="","",SUBSTITUTE(SUBSTITUTE(SUBSTITUTE(SUBSTITUTE(SUBSTITUTE(SUBSTITUTE(SUBSTITUTE(SUBSTITUTE(SUBSTITUTE($AA1295," ",""),"　",""),"(주)",""),"（주）",""),"㈜",""),"주식회사",""),"(유)",""),"（유）",""),"유한회사",""))</f>
        <v/>
      </c>
      <c r="AC1295" s="31">
        <f>IF(OR($Y1295="",N($Z1295)&lt;=0,$AB1295=""),0,IFERROR(LOOKUP(2,1/((거래처별!$AC$8:$AC$307&lt;&gt;"")*ISNUMBER(SEARCH(거래처별!$AC$8:$AC$307,$AB1295))),거래처별!$A$8:$A$307),IFERROR(LOOKUP(2,1/((거래처별!$AD$8:$AD$307&lt;&gt;"")*ISNUMBER(SEARCH(거래처별!$AD$8:$AD$307,$AB1295))),거래처별!$A$8:$A$307),IFERROR(LOOKUP(2,1/((거래처별!$AE$8:$AE$307&lt;&gt;"")*ISNUMBER(SEARCH(거래처별!$AE$8:$AE$307,$AB1295))),거래처별!$A$8:$A$307),0))))</f>
        <v/>
      </c>
      <c r="AD1295" s="31">
        <f>IF(AND($Y1295&lt;&gt;"",N($Z1295)&gt;0,$AC1295=0),MAX($AD$7:$AD1294)+1,"")</f>
        <v/>
      </c>
      <c r="AE1295" s="31">
        <f>IF($Y1295="",0,$Y1295)</f>
        <v/>
      </c>
    </row>
    <row r="1296">
      <c r="W1296" s="31">
        <f>IF(OR($B$5="",$C$6="",ROW()&lt;$B$5),"",IF(INDEX($A:$U,ROW(),$C$6)="","",INDEX($A:$U,ROW(),$C$6)))</f>
        <v/>
      </c>
      <c r="X1296" s="32">
        <f>IF($W1296="","",IF(ISNUMBER($W1296),IF($W1296&gt;=10000000,IFERROR(DATE(INT($W1296/10000),MOD(INT($W1296/100),100),MOD($W1296,100)),""),INT($W1296)),IFERROR(DATE(--LEFT(LEFT(SUBSTITUTE(SUBSTITUTE(SUBSTITUTE(SUBSTITUTE(TRIM($W1296),"-",""),".",""),"/","")," ",""),8),4),--MID(LEFT(SUBSTITUTE(SUBSTITUTE(SUBSTITUTE(SUBSTITUTE(TRIM($W1296),"-",""),".",""),"/","")," ",""),8),5,2),--MID(LEFT(SUBSTITUTE(SUBSTITUTE(SUBSTITUTE(SUBSTITUTE(TRIM($W1296),"-",""),".",""),"/","")," ",""),8),7,2)),"")))</f>
        <v/>
      </c>
      <c r="Y1296" s="32">
        <f>IF($X1296="","",INT($X1296))</f>
        <v/>
      </c>
      <c r="Z1296" s="33">
        <f>IF(OR($Y1296="",$D$6=""),"",IF(INDEX($A:$U,ROW(),$D$6)="",0,IF(ISNUMBER(INDEX($A:$U,ROW(),$D$6)),INDEX($A:$U,ROW(),$D$6),IFERROR(--SUBSTITUTE(SUBSTITUTE(TRIM(INDEX($A:$U,ROW(),$D$6)),",",""),"원",""),0))))</f>
        <v/>
      </c>
      <c r="AA1296" s="31">
        <f>IF($Y1296="","",TRIM(INDEX($A:$U,ROW(),$E$6)&amp;IF($F$6="",""," "&amp;INDEX($A:$U,ROW(),$F$6))))</f>
        <v/>
      </c>
      <c r="AB1296" s="31">
        <f>IF($AA1296="","",SUBSTITUTE(SUBSTITUTE(SUBSTITUTE(SUBSTITUTE(SUBSTITUTE(SUBSTITUTE(SUBSTITUTE(SUBSTITUTE(SUBSTITUTE($AA1296," ",""),"　",""),"(주)",""),"（주）",""),"㈜",""),"주식회사",""),"(유)",""),"（유）",""),"유한회사",""))</f>
        <v/>
      </c>
      <c r="AC1296" s="31">
        <f>IF(OR($Y1296="",N($Z1296)&lt;=0,$AB1296=""),0,IFERROR(LOOKUP(2,1/((거래처별!$AC$8:$AC$307&lt;&gt;"")*ISNUMBER(SEARCH(거래처별!$AC$8:$AC$307,$AB1296))),거래처별!$A$8:$A$307),IFERROR(LOOKUP(2,1/((거래처별!$AD$8:$AD$307&lt;&gt;"")*ISNUMBER(SEARCH(거래처별!$AD$8:$AD$307,$AB1296))),거래처별!$A$8:$A$307),IFERROR(LOOKUP(2,1/((거래처별!$AE$8:$AE$307&lt;&gt;"")*ISNUMBER(SEARCH(거래처별!$AE$8:$AE$307,$AB1296))),거래처별!$A$8:$A$307),0))))</f>
        <v/>
      </c>
      <c r="AD1296" s="31">
        <f>IF(AND($Y1296&lt;&gt;"",N($Z1296)&gt;0,$AC1296=0),MAX($AD$7:$AD1295)+1,"")</f>
        <v/>
      </c>
      <c r="AE1296" s="31">
        <f>IF($Y1296="",0,$Y1296)</f>
        <v/>
      </c>
    </row>
    <row r="1297">
      <c r="W1297" s="31">
        <f>IF(OR($B$5="",$C$6="",ROW()&lt;$B$5),"",IF(INDEX($A:$U,ROW(),$C$6)="","",INDEX($A:$U,ROW(),$C$6)))</f>
        <v/>
      </c>
      <c r="X1297" s="32">
        <f>IF($W1297="","",IF(ISNUMBER($W1297),IF($W1297&gt;=10000000,IFERROR(DATE(INT($W1297/10000),MOD(INT($W1297/100),100),MOD($W1297,100)),""),INT($W1297)),IFERROR(DATE(--LEFT(LEFT(SUBSTITUTE(SUBSTITUTE(SUBSTITUTE(SUBSTITUTE(TRIM($W1297),"-",""),".",""),"/","")," ",""),8),4),--MID(LEFT(SUBSTITUTE(SUBSTITUTE(SUBSTITUTE(SUBSTITUTE(TRIM($W1297),"-",""),".",""),"/","")," ",""),8),5,2),--MID(LEFT(SUBSTITUTE(SUBSTITUTE(SUBSTITUTE(SUBSTITUTE(TRIM($W1297),"-",""),".",""),"/","")," ",""),8),7,2)),"")))</f>
        <v/>
      </c>
      <c r="Y1297" s="32">
        <f>IF($X1297="","",INT($X1297))</f>
        <v/>
      </c>
      <c r="Z1297" s="33">
        <f>IF(OR($Y1297="",$D$6=""),"",IF(INDEX($A:$U,ROW(),$D$6)="",0,IF(ISNUMBER(INDEX($A:$U,ROW(),$D$6)),INDEX($A:$U,ROW(),$D$6),IFERROR(--SUBSTITUTE(SUBSTITUTE(TRIM(INDEX($A:$U,ROW(),$D$6)),",",""),"원",""),0))))</f>
        <v/>
      </c>
      <c r="AA1297" s="31">
        <f>IF($Y1297="","",TRIM(INDEX($A:$U,ROW(),$E$6)&amp;IF($F$6="",""," "&amp;INDEX($A:$U,ROW(),$F$6))))</f>
        <v/>
      </c>
      <c r="AB1297" s="31">
        <f>IF($AA1297="","",SUBSTITUTE(SUBSTITUTE(SUBSTITUTE(SUBSTITUTE(SUBSTITUTE(SUBSTITUTE(SUBSTITUTE(SUBSTITUTE(SUBSTITUTE($AA1297," ",""),"　",""),"(주)",""),"（주）",""),"㈜",""),"주식회사",""),"(유)",""),"（유）",""),"유한회사",""))</f>
        <v/>
      </c>
      <c r="AC1297" s="31">
        <f>IF(OR($Y1297="",N($Z1297)&lt;=0,$AB1297=""),0,IFERROR(LOOKUP(2,1/((거래처별!$AC$8:$AC$307&lt;&gt;"")*ISNUMBER(SEARCH(거래처별!$AC$8:$AC$307,$AB1297))),거래처별!$A$8:$A$307),IFERROR(LOOKUP(2,1/((거래처별!$AD$8:$AD$307&lt;&gt;"")*ISNUMBER(SEARCH(거래처별!$AD$8:$AD$307,$AB1297))),거래처별!$A$8:$A$307),IFERROR(LOOKUP(2,1/((거래처별!$AE$8:$AE$307&lt;&gt;"")*ISNUMBER(SEARCH(거래처별!$AE$8:$AE$307,$AB1297))),거래처별!$A$8:$A$307),0))))</f>
        <v/>
      </c>
      <c r="AD1297" s="31">
        <f>IF(AND($Y1297&lt;&gt;"",N($Z1297)&gt;0,$AC1297=0),MAX($AD$7:$AD1296)+1,"")</f>
        <v/>
      </c>
      <c r="AE1297" s="31">
        <f>IF($Y1297="",0,$Y1297)</f>
        <v/>
      </c>
    </row>
    <row r="1298">
      <c r="W1298" s="31">
        <f>IF(OR($B$5="",$C$6="",ROW()&lt;$B$5),"",IF(INDEX($A:$U,ROW(),$C$6)="","",INDEX($A:$U,ROW(),$C$6)))</f>
        <v/>
      </c>
      <c r="X1298" s="32">
        <f>IF($W1298="","",IF(ISNUMBER($W1298),IF($W1298&gt;=10000000,IFERROR(DATE(INT($W1298/10000),MOD(INT($W1298/100),100),MOD($W1298,100)),""),INT($W1298)),IFERROR(DATE(--LEFT(LEFT(SUBSTITUTE(SUBSTITUTE(SUBSTITUTE(SUBSTITUTE(TRIM($W1298),"-",""),".",""),"/","")," ",""),8),4),--MID(LEFT(SUBSTITUTE(SUBSTITUTE(SUBSTITUTE(SUBSTITUTE(TRIM($W1298),"-",""),".",""),"/","")," ",""),8),5,2),--MID(LEFT(SUBSTITUTE(SUBSTITUTE(SUBSTITUTE(SUBSTITUTE(TRIM($W1298),"-",""),".",""),"/","")," ",""),8),7,2)),"")))</f>
        <v/>
      </c>
      <c r="Y1298" s="32">
        <f>IF($X1298="","",INT($X1298))</f>
        <v/>
      </c>
      <c r="Z1298" s="33">
        <f>IF(OR($Y1298="",$D$6=""),"",IF(INDEX($A:$U,ROW(),$D$6)="",0,IF(ISNUMBER(INDEX($A:$U,ROW(),$D$6)),INDEX($A:$U,ROW(),$D$6),IFERROR(--SUBSTITUTE(SUBSTITUTE(TRIM(INDEX($A:$U,ROW(),$D$6)),",",""),"원",""),0))))</f>
        <v/>
      </c>
      <c r="AA1298" s="31">
        <f>IF($Y1298="","",TRIM(INDEX($A:$U,ROW(),$E$6)&amp;IF($F$6="",""," "&amp;INDEX($A:$U,ROW(),$F$6))))</f>
        <v/>
      </c>
      <c r="AB1298" s="31">
        <f>IF($AA1298="","",SUBSTITUTE(SUBSTITUTE(SUBSTITUTE(SUBSTITUTE(SUBSTITUTE(SUBSTITUTE(SUBSTITUTE(SUBSTITUTE(SUBSTITUTE($AA1298," ",""),"　",""),"(주)",""),"（주）",""),"㈜",""),"주식회사",""),"(유)",""),"（유）",""),"유한회사",""))</f>
        <v/>
      </c>
      <c r="AC1298" s="31">
        <f>IF(OR($Y1298="",N($Z1298)&lt;=0,$AB1298=""),0,IFERROR(LOOKUP(2,1/((거래처별!$AC$8:$AC$307&lt;&gt;"")*ISNUMBER(SEARCH(거래처별!$AC$8:$AC$307,$AB1298))),거래처별!$A$8:$A$307),IFERROR(LOOKUP(2,1/((거래처별!$AD$8:$AD$307&lt;&gt;"")*ISNUMBER(SEARCH(거래처별!$AD$8:$AD$307,$AB1298))),거래처별!$A$8:$A$307),IFERROR(LOOKUP(2,1/((거래처별!$AE$8:$AE$307&lt;&gt;"")*ISNUMBER(SEARCH(거래처별!$AE$8:$AE$307,$AB1298))),거래처별!$A$8:$A$307),0))))</f>
        <v/>
      </c>
      <c r="AD1298" s="31">
        <f>IF(AND($Y1298&lt;&gt;"",N($Z1298)&gt;0,$AC1298=0),MAX($AD$7:$AD1297)+1,"")</f>
        <v/>
      </c>
      <c r="AE1298" s="31">
        <f>IF($Y1298="",0,$Y1298)</f>
        <v/>
      </c>
    </row>
    <row r="1299">
      <c r="W1299" s="31">
        <f>IF(OR($B$5="",$C$6="",ROW()&lt;$B$5),"",IF(INDEX($A:$U,ROW(),$C$6)="","",INDEX($A:$U,ROW(),$C$6)))</f>
        <v/>
      </c>
      <c r="X1299" s="32">
        <f>IF($W1299="","",IF(ISNUMBER($W1299),IF($W1299&gt;=10000000,IFERROR(DATE(INT($W1299/10000),MOD(INT($W1299/100),100),MOD($W1299,100)),""),INT($W1299)),IFERROR(DATE(--LEFT(LEFT(SUBSTITUTE(SUBSTITUTE(SUBSTITUTE(SUBSTITUTE(TRIM($W1299),"-",""),".",""),"/","")," ",""),8),4),--MID(LEFT(SUBSTITUTE(SUBSTITUTE(SUBSTITUTE(SUBSTITUTE(TRIM($W1299),"-",""),".",""),"/","")," ",""),8),5,2),--MID(LEFT(SUBSTITUTE(SUBSTITUTE(SUBSTITUTE(SUBSTITUTE(TRIM($W1299),"-",""),".",""),"/","")," ",""),8),7,2)),"")))</f>
        <v/>
      </c>
      <c r="Y1299" s="32">
        <f>IF($X1299="","",INT($X1299))</f>
        <v/>
      </c>
      <c r="Z1299" s="33">
        <f>IF(OR($Y1299="",$D$6=""),"",IF(INDEX($A:$U,ROW(),$D$6)="",0,IF(ISNUMBER(INDEX($A:$U,ROW(),$D$6)),INDEX($A:$U,ROW(),$D$6),IFERROR(--SUBSTITUTE(SUBSTITUTE(TRIM(INDEX($A:$U,ROW(),$D$6)),",",""),"원",""),0))))</f>
        <v/>
      </c>
      <c r="AA1299" s="31">
        <f>IF($Y1299="","",TRIM(INDEX($A:$U,ROW(),$E$6)&amp;IF($F$6="",""," "&amp;INDEX($A:$U,ROW(),$F$6))))</f>
        <v/>
      </c>
      <c r="AB1299" s="31">
        <f>IF($AA1299="","",SUBSTITUTE(SUBSTITUTE(SUBSTITUTE(SUBSTITUTE(SUBSTITUTE(SUBSTITUTE(SUBSTITUTE(SUBSTITUTE(SUBSTITUTE($AA1299," ",""),"　",""),"(주)",""),"（주）",""),"㈜",""),"주식회사",""),"(유)",""),"（유）",""),"유한회사",""))</f>
        <v/>
      </c>
      <c r="AC1299" s="31">
        <f>IF(OR($Y1299="",N($Z1299)&lt;=0,$AB1299=""),0,IFERROR(LOOKUP(2,1/((거래처별!$AC$8:$AC$307&lt;&gt;"")*ISNUMBER(SEARCH(거래처별!$AC$8:$AC$307,$AB1299))),거래처별!$A$8:$A$307),IFERROR(LOOKUP(2,1/((거래처별!$AD$8:$AD$307&lt;&gt;"")*ISNUMBER(SEARCH(거래처별!$AD$8:$AD$307,$AB1299))),거래처별!$A$8:$A$307),IFERROR(LOOKUP(2,1/((거래처별!$AE$8:$AE$307&lt;&gt;"")*ISNUMBER(SEARCH(거래처별!$AE$8:$AE$307,$AB1299))),거래처별!$A$8:$A$307),0))))</f>
        <v/>
      </c>
      <c r="AD1299" s="31">
        <f>IF(AND($Y1299&lt;&gt;"",N($Z1299)&gt;0,$AC1299=0),MAX($AD$7:$AD1298)+1,"")</f>
        <v/>
      </c>
      <c r="AE1299" s="31">
        <f>IF($Y1299="",0,$Y1299)</f>
        <v/>
      </c>
    </row>
    <row r="1300">
      <c r="W1300" s="31">
        <f>IF(OR($B$5="",$C$6="",ROW()&lt;$B$5),"",IF(INDEX($A:$U,ROW(),$C$6)="","",INDEX($A:$U,ROW(),$C$6)))</f>
        <v/>
      </c>
      <c r="X1300" s="32">
        <f>IF($W1300="","",IF(ISNUMBER($W1300),IF($W1300&gt;=10000000,IFERROR(DATE(INT($W1300/10000),MOD(INT($W1300/100),100),MOD($W1300,100)),""),INT($W1300)),IFERROR(DATE(--LEFT(LEFT(SUBSTITUTE(SUBSTITUTE(SUBSTITUTE(SUBSTITUTE(TRIM($W1300),"-",""),".",""),"/","")," ",""),8),4),--MID(LEFT(SUBSTITUTE(SUBSTITUTE(SUBSTITUTE(SUBSTITUTE(TRIM($W1300),"-",""),".",""),"/","")," ",""),8),5,2),--MID(LEFT(SUBSTITUTE(SUBSTITUTE(SUBSTITUTE(SUBSTITUTE(TRIM($W1300),"-",""),".",""),"/","")," ",""),8),7,2)),"")))</f>
        <v/>
      </c>
      <c r="Y1300" s="32">
        <f>IF($X1300="","",INT($X1300))</f>
        <v/>
      </c>
      <c r="Z1300" s="33">
        <f>IF(OR($Y1300="",$D$6=""),"",IF(INDEX($A:$U,ROW(),$D$6)="",0,IF(ISNUMBER(INDEX($A:$U,ROW(),$D$6)),INDEX($A:$U,ROW(),$D$6),IFERROR(--SUBSTITUTE(SUBSTITUTE(TRIM(INDEX($A:$U,ROW(),$D$6)),",",""),"원",""),0))))</f>
        <v/>
      </c>
      <c r="AA1300" s="31">
        <f>IF($Y1300="","",TRIM(INDEX($A:$U,ROW(),$E$6)&amp;IF($F$6="",""," "&amp;INDEX($A:$U,ROW(),$F$6))))</f>
        <v/>
      </c>
      <c r="AB1300" s="31">
        <f>IF($AA1300="","",SUBSTITUTE(SUBSTITUTE(SUBSTITUTE(SUBSTITUTE(SUBSTITUTE(SUBSTITUTE(SUBSTITUTE(SUBSTITUTE(SUBSTITUTE($AA1300," ",""),"　",""),"(주)",""),"（주）",""),"㈜",""),"주식회사",""),"(유)",""),"（유）",""),"유한회사",""))</f>
        <v/>
      </c>
      <c r="AC1300" s="31">
        <f>IF(OR($Y1300="",N($Z1300)&lt;=0,$AB1300=""),0,IFERROR(LOOKUP(2,1/((거래처별!$AC$8:$AC$307&lt;&gt;"")*ISNUMBER(SEARCH(거래처별!$AC$8:$AC$307,$AB1300))),거래처별!$A$8:$A$307),IFERROR(LOOKUP(2,1/((거래처별!$AD$8:$AD$307&lt;&gt;"")*ISNUMBER(SEARCH(거래처별!$AD$8:$AD$307,$AB1300))),거래처별!$A$8:$A$307),IFERROR(LOOKUP(2,1/((거래처별!$AE$8:$AE$307&lt;&gt;"")*ISNUMBER(SEARCH(거래처별!$AE$8:$AE$307,$AB1300))),거래처별!$A$8:$A$307),0))))</f>
        <v/>
      </c>
      <c r="AD1300" s="31">
        <f>IF(AND($Y1300&lt;&gt;"",N($Z1300)&gt;0,$AC1300=0),MAX($AD$7:$AD1299)+1,"")</f>
        <v/>
      </c>
      <c r="AE1300" s="31">
        <f>IF($Y1300="",0,$Y1300)</f>
        <v/>
      </c>
    </row>
    <row r="1301">
      <c r="W1301" s="31">
        <f>IF(OR($B$5="",$C$6="",ROW()&lt;$B$5),"",IF(INDEX($A:$U,ROW(),$C$6)="","",INDEX($A:$U,ROW(),$C$6)))</f>
        <v/>
      </c>
      <c r="X1301" s="32">
        <f>IF($W1301="","",IF(ISNUMBER($W1301),IF($W1301&gt;=10000000,IFERROR(DATE(INT($W1301/10000),MOD(INT($W1301/100),100),MOD($W1301,100)),""),INT($W1301)),IFERROR(DATE(--LEFT(LEFT(SUBSTITUTE(SUBSTITUTE(SUBSTITUTE(SUBSTITUTE(TRIM($W1301),"-",""),".",""),"/","")," ",""),8),4),--MID(LEFT(SUBSTITUTE(SUBSTITUTE(SUBSTITUTE(SUBSTITUTE(TRIM($W1301),"-",""),".",""),"/","")," ",""),8),5,2),--MID(LEFT(SUBSTITUTE(SUBSTITUTE(SUBSTITUTE(SUBSTITUTE(TRIM($W1301),"-",""),".",""),"/","")," ",""),8),7,2)),"")))</f>
        <v/>
      </c>
      <c r="Y1301" s="32">
        <f>IF($X1301="","",INT($X1301))</f>
        <v/>
      </c>
      <c r="Z1301" s="33">
        <f>IF(OR($Y1301="",$D$6=""),"",IF(INDEX($A:$U,ROW(),$D$6)="",0,IF(ISNUMBER(INDEX($A:$U,ROW(),$D$6)),INDEX($A:$U,ROW(),$D$6),IFERROR(--SUBSTITUTE(SUBSTITUTE(TRIM(INDEX($A:$U,ROW(),$D$6)),",",""),"원",""),0))))</f>
        <v/>
      </c>
      <c r="AA1301" s="31">
        <f>IF($Y1301="","",TRIM(INDEX($A:$U,ROW(),$E$6)&amp;IF($F$6="",""," "&amp;INDEX($A:$U,ROW(),$F$6))))</f>
        <v/>
      </c>
      <c r="AB1301" s="31">
        <f>IF($AA1301="","",SUBSTITUTE(SUBSTITUTE(SUBSTITUTE(SUBSTITUTE(SUBSTITUTE(SUBSTITUTE(SUBSTITUTE(SUBSTITUTE(SUBSTITUTE($AA1301," ",""),"　",""),"(주)",""),"（주）",""),"㈜",""),"주식회사",""),"(유)",""),"（유）",""),"유한회사",""))</f>
        <v/>
      </c>
      <c r="AC1301" s="31">
        <f>IF(OR($Y1301="",N($Z1301)&lt;=0,$AB1301=""),0,IFERROR(LOOKUP(2,1/((거래처별!$AC$8:$AC$307&lt;&gt;"")*ISNUMBER(SEARCH(거래처별!$AC$8:$AC$307,$AB1301))),거래처별!$A$8:$A$307),IFERROR(LOOKUP(2,1/((거래처별!$AD$8:$AD$307&lt;&gt;"")*ISNUMBER(SEARCH(거래처별!$AD$8:$AD$307,$AB1301))),거래처별!$A$8:$A$307),IFERROR(LOOKUP(2,1/((거래처별!$AE$8:$AE$307&lt;&gt;"")*ISNUMBER(SEARCH(거래처별!$AE$8:$AE$307,$AB1301))),거래처별!$A$8:$A$307),0))))</f>
        <v/>
      </c>
      <c r="AD1301" s="31">
        <f>IF(AND($Y1301&lt;&gt;"",N($Z1301)&gt;0,$AC1301=0),MAX($AD$7:$AD1300)+1,"")</f>
        <v/>
      </c>
      <c r="AE1301" s="31">
        <f>IF($Y1301="",0,$Y1301)</f>
        <v/>
      </c>
    </row>
    <row r="1302">
      <c r="W1302" s="31">
        <f>IF(OR($B$5="",$C$6="",ROW()&lt;$B$5),"",IF(INDEX($A:$U,ROW(),$C$6)="","",INDEX($A:$U,ROW(),$C$6)))</f>
        <v/>
      </c>
      <c r="X1302" s="32">
        <f>IF($W1302="","",IF(ISNUMBER($W1302),IF($W1302&gt;=10000000,IFERROR(DATE(INT($W1302/10000),MOD(INT($W1302/100),100),MOD($W1302,100)),""),INT($W1302)),IFERROR(DATE(--LEFT(LEFT(SUBSTITUTE(SUBSTITUTE(SUBSTITUTE(SUBSTITUTE(TRIM($W1302),"-",""),".",""),"/","")," ",""),8),4),--MID(LEFT(SUBSTITUTE(SUBSTITUTE(SUBSTITUTE(SUBSTITUTE(TRIM($W1302),"-",""),".",""),"/","")," ",""),8),5,2),--MID(LEFT(SUBSTITUTE(SUBSTITUTE(SUBSTITUTE(SUBSTITUTE(TRIM($W1302),"-",""),".",""),"/","")," ",""),8),7,2)),"")))</f>
        <v/>
      </c>
      <c r="Y1302" s="32">
        <f>IF($X1302="","",INT($X1302))</f>
        <v/>
      </c>
      <c r="Z1302" s="33">
        <f>IF(OR($Y1302="",$D$6=""),"",IF(INDEX($A:$U,ROW(),$D$6)="",0,IF(ISNUMBER(INDEX($A:$U,ROW(),$D$6)),INDEX($A:$U,ROW(),$D$6),IFERROR(--SUBSTITUTE(SUBSTITUTE(TRIM(INDEX($A:$U,ROW(),$D$6)),",",""),"원",""),0))))</f>
        <v/>
      </c>
      <c r="AA1302" s="31">
        <f>IF($Y1302="","",TRIM(INDEX($A:$U,ROW(),$E$6)&amp;IF($F$6="",""," "&amp;INDEX($A:$U,ROW(),$F$6))))</f>
        <v/>
      </c>
      <c r="AB1302" s="31">
        <f>IF($AA1302="","",SUBSTITUTE(SUBSTITUTE(SUBSTITUTE(SUBSTITUTE(SUBSTITUTE(SUBSTITUTE(SUBSTITUTE(SUBSTITUTE(SUBSTITUTE($AA1302," ",""),"　",""),"(주)",""),"（주）",""),"㈜",""),"주식회사",""),"(유)",""),"（유）",""),"유한회사",""))</f>
        <v/>
      </c>
      <c r="AC1302" s="31">
        <f>IF(OR($Y1302="",N($Z1302)&lt;=0,$AB1302=""),0,IFERROR(LOOKUP(2,1/((거래처별!$AC$8:$AC$307&lt;&gt;"")*ISNUMBER(SEARCH(거래처별!$AC$8:$AC$307,$AB1302))),거래처별!$A$8:$A$307),IFERROR(LOOKUP(2,1/((거래처별!$AD$8:$AD$307&lt;&gt;"")*ISNUMBER(SEARCH(거래처별!$AD$8:$AD$307,$AB1302))),거래처별!$A$8:$A$307),IFERROR(LOOKUP(2,1/((거래처별!$AE$8:$AE$307&lt;&gt;"")*ISNUMBER(SEARCH(거래처별!$AE$8:$AE$307,$AB1302))),거래처별!$A$8:$A$307),0))))</f>
        <v/>
      </c>
      <c r="AD1302" s="31">
        <f>IF(AND($Y1302&lt;&gt;"",N($Z1302)&gt;0,$AC1302=0),MAX($AD$7:$AD1301)+1,"")</f>
        <v/>
      </c>
      <c r="AE1302" s="31">
        <f>IF($Y1302="",0,$Y1302)</f>
        <v/>
      </c>
    </row>
    <row r="1303">
      <c r="W1303" s="31">
        <f>IF(OR($B$5="",$C$6="",ROW()&lt;$B$5),"",IF(INDEX($A:$U,ROW(),$C$6)="","",INDEX($A:$U,ROW(),$C$6)))</f>
        <v/>
      </c>
      <c r="X1303" s="32">
        <f>IF($W1303="","",IF(ISNUMBER($W1303),IF($W1303&gt;=10000000,IFERROR(DATE(INT($W1303/10000),MOD(INT($W1303/100),100),MOD($W1303,100)),""),INT($W1303)),IFERROR(DATE(--LEFT(LEFT(SUBSTITUTE(SUBSTITUTE(SUBSTITUTE(SUBSTITUTE(TRIM($W1303),"-",""),".",""),"/","")," ",""),8),4),--MID(LEFT(SUBSTITUTE(SUBSTITUTE(SUBSTITUTE(SUBSTITUTE(TRIM($W1303),"-",""),".",""),"/","")," ",""),8),5,2),--MID(LEFT(SUBSTITUTE(SUBSTITUTE(SUBSTITUTE(SUBSTITUTE(TRIM($W1303),"-",""),".",""),"/","")," ",""),8),7,2)),"")))</f>
        <v/>
      </c>
      <c r="Y1303" s="32">
        <f>IF($X1303="","",INT($X1303))</f>
        <v/>
      </c>
      <c r="Z1303" s="33">
        <f>IF(OR($Y1303="",$D$6=""),"",IF(INDEX($A:$U,ROW(),$D$6)="",0,IF(ISNUMBER(INDEX($A:$U,ROW(),$D$6)),INDEX($A:$U,ROW(),$D$6),IFERROR(--SUBSTITUTE(SUBSTITUTE(TRIM(INDEX($A:$U,ROW(),$D$6)),",",""),"원",""),0))))</f>
        <v/>
      </c>
      <c r="AA1303" s="31">
        <f>IF($Y1303="","",TRIM(INDEX($A:$U,ROW(),$E$6)&amp;IF($F$6="",""," "&amp;INDEX($A:$U,ROW(),$F$6))))</f>
        <v/>
      </c>
      <c r="AB1303" s="31">
        <f>IF($AA1303="","",SUBSTITUTE(SUBSTITUTE(SUBSTITUTE(SUBSTITUTE(SUBSTITUTE(SUBSTITUTE(SUBSTITUTE(SUBSTITUTE(SUBSTITUTE($AA1303," ",""),"　",""),"(주)",""),"（주）",""),"㈜",""),"주식회사",""),"(유)",""),"（유）",""),"유한회사",""))</f>
        <v/>
      </c>
      <c r="AC1303" s="31">
        <f>IF(OR($Y1303="",N($Z1303)&lt;=0,$AB1303=""),0,IFERROR(LOOKUP(2,1/((거래처별!$AC$8:$AC$307&lt;&gt;"")*ISNUMBER(SEARCH(거래처별!$AC$8:$AC$307,$AB1303))),거래처별!$A$8:$A$307),IFERROR(LOOKUP(2,1/((거래처별!$AD$8:$AD$307&lt;&gt;"")*ISNUMBER(SEARCH(거래처별!$AD$8:$AD$307,$AB1303))),거래처별!$A$8:$A$307),IFERROR(LOOKUP(2,1/((거래처별!$AE$8:$AE$307&lt;&gt;"")*ISNUMBER(SEARCH(거래처별!$AE$8:$AE$307,$AB1303))),거래처별!$A$8:$A$307),0))))</f>
        <v/>
      </c>
      <c r="AD1303" s="31">
        <f>IF(AND($Y1303&lt;&gt;"",N($Z1303)&gt;0,$AC1303=0),MAX($AD$7:$AD1302)+1,"")</f>
        <v/>
      </c>
      <c r="AE1303" s="31">
        <f>IF($Y1303="",0,$Y1303)</f>
        <v/>
      </c>
    </row>
    <row r="1304">
      <c r="W1304" s="31">
        <f>IF(OR($B$5="",$C$6="",ROW()&lt;$B$5),"",IF(INDEX($A:$U,ROW(),$C$6)="","",INDEX($A:$U,ROW(),$C$6)))</f>
        <v/>
      </c>
      <c r="X1304" s="32">
        <f>IF($W1304="","",IF(ISNUMBER($W1304),IF($W1304&gt;=10000000,IFERROR(DATE(INT($W1304/10000),MOD(INT($W1304/100),100),MOD($W1304,100)),""),INT($W1304)),IFERROR(DATE(--LEFT(LEFT(SUBSTITUTE(SUBSTITUTE(SUBSTITUTE(SUBSTITUTE(TRIM($W1304),"-",""),".",""),"/","")," ",""),8),4),--MID(LEFT(SUBSTITUTE(SUBSTITUTE(SUBSTITUTE(SUBSTITUTE(TRIM($W1304),"-",""),".",""),"/","")," ",""),8),5,2),--MID(LEFT(SUBSTITUTE(SUBSTITUTE(SUBSTITUTE(SUBSTITUTE(TRIM($W1304),"-",""),".",""),"/","")," ",""),8),7,2)),"")))</f>
        <v/>
      </c>
      <c r="Y1304" s="32">
        <f>IF($X1304="","",INT($X1304))</f>
        <v/>
      </c>
      <c r="Z1304" s="33">
        <f>IF(OR($Y1304="",$D$6=""),"",IF(INDEX($A:$U,ROW(),$D$6)="",0,IF(ISNUMBER(INDEX($A:$U,ROW(),$D$6)),INDEX($A:$U,ROW(),$D$6),IFERROR(--SUBSTITUTE(SUBSTITUTE(TRIM(INDEX($A:$U,ROW(),$D$6)),",",""),"원",""),0))))</f>
        <v/>
      </c>
      <c r="AA1304" s="31">
        <f>IF($Y1304="","",TRIM(INDEX($A:$U,ROW(),$E$6)&amp;IF($F$6="",""," "&amp;INDEX($A:$U,ROW(),$F$6))))</f>
        <v/>
      </c>
      <c r="AB1304" s="31">
        <f>IF($AA1304="","",SUBSTITUTE(SUBSTITUTE(SUBSTITUTE(SUBSTITUTE(SUBSTITUTE(SUBSTITUTE(SUBSTITUTE(SUBSTITUTE(SUBSTITUTE($AA1304," ",""),"　",""),"(주)",""),"（주）",""),"㈜",""),"주식회사",""),"(유)",""),"（유）",""),"유한회사",""))</f>
        <v/>
      </c>
      <c r="AC1304" s="31">
        <f>IF(OR($Y1304="",N($Z1304)&lt;=0,$AB1304=""),0,IFERROR(LOOKUP(2,1/((거래처별!$AC$8:$AC$307&lt;&gt;"")*ISNUMBER(SEARCH(거래처별!$AC$8:$AC$307,$AB1304))),거래처별!$A$8:$A$307),IFERROR(LOOKUP(2,1/((거래처별!$AD$8:$AD$307&lt;&gt;"")*ISNUMBER(SEARCH(거래처별!$AD$8:$AD$307,$AB1304))),거래처별!$A$8:$A$307),IFERROR(LOOKUP(2,1/((거래처별!$AE$8:$AE$307&lt;&gt;"")*ISNUMBER(SEARCH(거래처별!$AE$8:$AE$307,$AB1304))),거래처별!$A$8:$A$307),0))))</f>
        <v/>
      </c>
      <c r="AD1304" s="31">
        <f>IF(AND($Y1304&lt;&gt;"",N($Z1304)&gt;0,$AC1304=0),MAX($AD$7:$AD1303)+1,"")</f>
        <v/>
      </c>
      <c r="AE1304" s="31">
        <f>IF($Y1304="",0,$Y1304)</f>
        <v/>
      </c>
    </row>
    <row r="1305">
      <c r="W1305" s="31">
        <f>IF(OR($B$5="",$C$6="",ROW()&lt;$B$5),"",IF(INDEX($A:$U,ROW(),$C$6)="","",INDEX($A:$U,ROW(),$C$6)))</f>
        <v/>
      </c>
      <c r="X1305" s="32">
        <f>IF($W1305="","",IF(ISNUMBER($W1305),IF($W1305&gt;=10000000,IFERROR(DATE(INT($W1305/10000),MOD(INT($W1305/100),100),MOD($W1305,100)),""),INT($W1305)),IFERROR(DATE(--LEFT(LEFT(SUBSTITUTE(SUBSTITUTE(SUBSTITUTE(SUBSTITUTE(TRIM($W1305),"-",""),".",""),"/","")," ",""),8),4),--MID(LEFT(SUBSTITUTE(SUBSTITUTE(SUBSTITUTE(SUBSTITUTE(TRIM($W1305),"-",""),".",""),"/","")," ",""),8),5,2),--MID(LEFT(SUBSTITUTE(SUBSTITUTE(SUBSTITUTE(SUBSTITUTE(TRIM($W1305),"-",""),".",""),"/","")," ",""),8),7,2)),"")))</f>
        <v/>
      </c>
      <c r="Y1305" s="32">
        <f>IF($X1305="","",INT($X1305))</f>
        <v/>
      </c>
      <c r="Z1305" s="33">
        <f>IF(OR($Y1305="",$D$6=""),"",IF(INDEX($A:$U,ROW(),$D$6)="",0,IF(ISNUMBER(INDEX($A:$U,ROW(),$D$6)),INDEX($A:$U,ROW(),$D$6),IFERROR(--SUBSTITUTE(SUBSTITUTE(TRIM(INDEX($A:$U,ROW(),$D$6)),",",""),"원",""),0))))</f>
        <v/>
      </c>
      <c r="AA1305" s="31">
        <f>IF($Y1305="","",TRIM(INDEX($A:$U,ROW(),$E$6)&amp;IF($F$6="",""," "&amp;INDEX($A:$U,ROW(),$F$6))))</f>
        <v/>
      </c>
      <c r="AB1305" s="31">
        <f>IF($AA1305="","",SUBSTITUTE(SUBSTITUTE(SUBSTITUTE(SUBSTITUTE(SUBSTITUTE(SUBSTITUTE(SUBSTITUTE(SUBSTITUTE(SUBSTITUTE($AA1305," ",""),"　",""),"(주)",""),"（주）",""),"㈜",""),"주식회사",""),"(유)",""),"（유）",""),"유한회사",""))</f>
        <v/>
      </c>
      <c r="AC1305" s="31">
        <f>IF(OR($Y1305="",N($Z1305)&lt;=0,$AB1305=""),0,IFERROR(LOOKUP(2,1/((거래처별!$AC$8:$AC$307&lt;&gt;"")*ISNUMBER(SEARCH(거래처별!$AC$8:$AC$307,$AB1305))),거래처별!$A$8:$A$307),IFERROR(LOOKUP(2,1/((거래처별!$AD$8:$AD$307&lt;&gt;"")*ISNUMBER(SEARCH(거래처별!$AD$8:$AD$307,$AB1305))),거래처별!$A$8:$A$307),IFERROR(LOOKUP(2,1/((거래처별!$AE$8:$AE$307&lt;&gt;"")*ISNUMBER(SEARCH(거래처별!$AE$8:$AE$307,$AB1305))),거래처별!$A$8:$A$307),0))))</f>
        <v/>
      </c>
      <c r="AD1305" s="31">
        <f>IF(AND($Y1305&lt;&gt;"",N($Z1305)&gt;0,$AC1305=0),MAX($AD$7:$AD1304)+1,"")</f>
        <v/>
      </c>
      <c r="AE1305" s="31">
        <f>IF($Y1305="",0,$Y1305)</f>
        <v/>
      </c>
    </row>
    <row r="1306">
      <c r="W1306" s="31">
        <f>IF(OR($B$5="",$C$6="",ROW()&lt;$B$5),"",IF(INDEX($A:$U,ROW(),$C$6)="","",INDEX($A:$U,ROW(),$C$6)))</f>
        <v/>
      </c>
      <c r="X1306" s="32">
        <f>IF($W1306="","",IF(ISNUMBER($W1306),IF($W1306&gt;=10000000,IFERROR(DATE(INT($W1306/10000),MOD(INT($W1306/100),100),MOD($W1306,100)),""),INT($W1306)),IFERROR(DATE(--LEFT(LEFT(SUBSTITUTE(SUBSTITUTE(SUBSTITUTE(SUBSTITUTE(TRIM($W1306),"-",""),".",""),"/","")," ",""),8),4),--MID(LEFT(SUBSTITUTE(SUBSTITUTE(SUBSTITUTE(SUBSTITUTE(TRIM($W1306),"-",""),".",""),"/","")," ",""),8),5,2),--MID(LEFT(SUBSTITUTE(SUBSTITUTE(SUBSTITUTE(SUBSTITUTE(TRIM($W1306),"-",""),".",""),"/","")," ",""),8),7,2)),"")))</f>
        <v/>
      </c>
      <c r="Y1306" s="32">
        <f>IF($X1306="","",INT($X1306))</f>
        <v/>
      </c>
      <c r="Z1306" s="33">
        <f>IF(OR($Y1306="",$D$6=""),"",IF(INDEX($A:$U,ROW(),$D$6)="",0,IF(ISNUMBER(INDEX($A:$U,ROW(),$D$6)),INDEX($A:$U,ROW(),$D$6),IFERROR(--SUBSTITUTE(SUBSTITUTE(TRIM(INDEX($A:$U,ROW(),$D$6)),",",""),"원",""),0))))</f>
        <v/>
      </c>
      <c r="AA1306" s="31">
        <f>IF($Y1306="","",TRIM(INDEX($A:$U,ROW(),$E$6)&amp;IF($F$6="",""," "&amp;INDEX($A:$U,ROW(),$F$6))))</f>
        <v/>
      </c>
      <c r="AB1306" s="31">
        <f>IF($AA1306="","",SUBSTITUTE(SUBSTITUTE(SUBSTITUTE(SUBSTITUTE(SUBSTITUTE(SUBSTITUTE(SUBSTITUTE(SUBSTITUTE(SUBSTITUTE($AA1306," ",""),"　",""),"(주)",""),"（주）",""),"㈜",""),"주식회사",""),"(유)",""),"（유）",""),"유한회사",""))</f>
        <v/>
      </c>
      <c r="AC1306" s="31">
        <f>IF(OR($Y1306="",N($Z1306)&lt;=0,$AB1306=""),0,IFERROR(LOOKUP(2,1/((거래처별!$AC$8:$AC$307&lt;&gt;"")*ISNUMBER(SEARCH(거래처별!$AC$8:$AC$307,$AB1306))),거래처별!$A$8:$A$307),IFERROR(LOOKUP(2,1/((거래처별!$AD$8:$AD$307&lt;&gt;"")*ISNUMBER(SEARCH(거래처별!$AD$8:$AD$307,$AB1306))),거래처별!$A$8:$A$307),IFERROR(LOOKUP(2,1/((거래처별!$AE$8:$AE$307&lt;&gt;"")*ISNUMBER(SEARCH(거래처별!$AE$8:$AE$307,$AB1306))),거래처별!$A$8:$A$307),0))))</f>
        <v/>
      </c>
      <c r="AD1306" s="31">
        <f>IF(AND($Y1306&lt;&gt;"",N($Z1306)&gt;0,$AC1306=0),MAX($AD$7:$AD1305)+1,"")</f>
        <v/>
      </c>
      <c r="AE1306" s="31">
        <f>IF($Y1306="",0,$Y1306)</f>
        <v/>
      </c>
    </row>
    <row r="1307">
      <c r="W1307" s="31">
        <f>IF(OR($B$5="",$C$6="",ROW()&lt;$B$5),"",IF(INDEX($A:$U,ROW(),$C$6)="","",INDEX($A:$U,ROW(),$C$6)))</f>
        <v/>
      </c>
      <c r="X1307" s="32">
        <f>IF($W1307="","",IF(ISNUMBER($W1307),IF($W1307&gt;=10000000,IFERROR(DATE(INT($W1307/10000),MOD(INT($W1307/100),100),MOD($W1307,100)),""),INT($W1307)),IFERROR(DATE(--LEFT(LEFT(SUBSTITUTE(SUBSTITUTE(SUBSTITUTE(SUBSTITUTE(TRIM($W1307),"-",""),".",""),"/","")," ",""),8),4),--MID(LEFT(SUBSTITUTE(SUBSTITUTE(SUBSTITUTE(SUBSTITUTE(TRIM($W1307),"-",""),".",""),"/","")," ",""),8),5,2),--MID(LEFT(SUBSTITUTE(SUBSTITUTE(SUBSTITUTE(SUBSTITUTE(TRIM($W1307),"-",""),".",""),"/","")," ",""),8),7,2)),"")))</f>
        <v/>
      </c>
      <c r="Y1307" s="32">
        <f>IF($X1307="","",INT($X1307))</f>
        <v/>
      </c>
      <c r="Z1307" s="33">
        <f>IF(OR($Y1307="",$D$6=""),"",IF(INDEX($A:$U,ROW(),$D$6)="",0,IF(ISNUMBER(INDEX($A:$U,ROW(),$D$6)),INDEX($A:$U,ROW(),$D$6),IFERROR(--SUBSTITUTE(SUBSTITUTE(TRIM(INDEX($A:$U,ROW(),$D$6)),",",""),"원",""),0))))</f>
        <v/>
      </c>
      <c r="AA1307" s="31">
        <f>IF($Y1307="","",TRIM(INDEX($A:$U,ROW(),$E$6)&amp;IF($F$6="",""," "&amp;INDEX($A:$U,ROW(),$F$6))))</f>
        <v/>
      </c>
      <c r="AB1307" s="31">
        <f>IF($AA1307="","",SUBSTITUTE(SUBSTITUTE(SUBSTITUTE(SUBSTITUTE(SUBSTITUTE(SUBSTITUTE(SUBSTITUTE(SUBSTITUTE(SUBSTITUTE($AA1307," ",""),"　",""),"(주)",""),"（주）",""),"㈜",""),"주식회사",""),"(유)",""),"（유）",""),"유한회사",""))</f>
        <v/>
      </c>
      <c r="AC1307" s="31">
        <f>IF(OR($Y1307="",N($Z1307)&lt;=0,$AB1307=""),0,IFERROR(LOOKUP(2,1/((거래처별!$AC$8:$AC$307&lt;&gt;"")*ISNUMBER(SEARCH(거래처별!$AC$8:$AC$307,$AB1307))),거래처별!$A$8:$A$307),IFERROR(LOOKUP(2,1/((거래처별!$AD$8:$AD$307&lt;&gt;"")*ISNUMBER(SEARCH(거래처별!$AD$8:$AD$307,$AB1307))),거래처별!$A$8:$A$307),IFERROR(LOOKUP(2,1/((거래처별!$AE$8:$AE$307&lt;&gt;"")*ISNUMBER(SEARCH(거래처별!$AE$8:$AE$307,$AB1307))),거래처별!$A$8:$A$307),0))))</f>
        <v/>
      </c>
      <c r="AD1307" s="31">
        <f>IF(AND($Y1307&lt;&gt;"",N($Z1307)&gt;0,$AC1307=0),MAX($AD$7:$AD1306)+1,"")</f>
        <v/>
      </c>
      <c r="AE1307" s="31">
        <f>IF($Y1307="",0,$Y1307)</f>
        <v/>
      </c>
    </row>
    <row r="1308">
      <c r="W1308" s="31">
        <f>IF(OR($B$5="",$C$6="",ROW()&lt;$B$5),"",IF(INDEX($A:$U,ROW(),$C$6)="","",INDEX($A:$U,ROW(),$C$6)))</f>
        <v/>
      </c>
      <c r="X1308" s="32">
        <f>IF($W1308="","",IF(ISNUMBER($W1308),IF($W1308&gt;=10000000,IFERROR(DATE(INT($W1308/10000),MOD(INT($W1308/100),100),MOD($W1308,100)),""),INT($W1308)),IFERROR(DATE(--LEFT(LEFT(SUBSTITUTE(SUBSTITUTE(SUBSTITUTE(SUBSTITUTE(TRIM($W1308),"-",""),".",""),"/","")," ",""),8),4),--MID(LEFT(SUBSTITUTE(SUBSTITUTE(SUBSTITUTE(SUBSTITUTE(TRIM($W1308),"-",""),".",""),"/","")," ",""),8),5,2),--MID(LEFT(SUBSTITUTE(SUBSTITUTE(SUBSTITUTE(SUBSTITUTE(TRIM($W1308),"-",""),".",""),"/","")," ",""),8),7,2)),"")))</f>
        <v/>
      </c>
      <c r="Y1308" s="32">
        <f>IF($X1308="","",INT($X1308))</f>
        <v/>
      </c>
      <c r="Z1308" s="33">
        <f>IF(OR($Y1308="",$D$6=""),"",IF(INDEX($A:$U,ROW(),$D$6)="",0,IF(ISNUMBER(INDEX($A:$U,ROW(),$D$6)),INDEX($A:$U,ROW(),$D$6),IFERROR(--SUBSTITUTE(SUBSTITUTE(TRIM(INDEX($A:$U,ROW(),$D$6)),",",""),"원",""),0))))</f>
        <v/>
      </c>
      <c r="AA1308" s="31">
        <f>IF($Y1308="","",TRIM(INDEX($A:$U,ROW(),$E$6)&amp;IF($F$6="",""," "&amp;INDEX($A:$U,ROW(),$F$6))))</f>
        <v/>
      </c>
      <c r="AB1308" s="31">
        <f>IF($AA1308="","",SUBSTITUTE(SUBSTITUTE(SUBSTITUTE(SUBSTITUTE(SUBSTITUTE(SUBSTITUTE(SUBSTITUTE(SUBSTITUTE(SUBSTITUTE($AA1308," ",""),"　",""),"(주)",""),"（주）",""),"㈜",""),"주식회사",""),"(유)",""),"（유）",""),"유한회사",""))</f>
        <v/>
      </c>
      <c r="AC1308" s="31">
        <f>IF(OR($Y1308="",N($Z1308)&lt;=0,$AB1308=""),0,IFERROR(LOOKUP(2,1/((거래처별!$AC$8:$AC$307&lt;&gt;"")*ISNUMBER(SEARCH(거래처별!$AC$8:$AC$307,$AB1308))),거래처별!$A$8:$A$307),IFERROR(LOOKUP(2,1/((거래처별!$AD$8:$AD$307&lt;&gt;"")*ISNUMBER(SEARCH(거래처별!$AD$8:$AD$307,$AB1308))),거래처별!$A$8:$A$307),IFERROR(LOOKUP(2,1/((거래처별!$AE$8:$AE$307&lt;&gt;"")*ISNUMBER(SEARCH(거래처별!$AE$8:$AE$307,$AB1308))),거래처별!$A$8:$A$307),0))))</f>
        <v/>
      </c>
      <c r="AD1308" s="31">
        <f>IF(AND($Y1308&lt;&gt;"",N($Z1308)&gt;0,$AC1308=0),MAX($AD$7:$AD1307)+1,"")</f>
        <v/>
      </c>
      <c r="AE1308" s="31">
        <f>IF($Y1308="",0,$Y1308)</f>
        <v/>
      </c>
    </row>
    <row r="1309">
      <c r="W1309" s="31">
        <f>IF(OR($B$5="",$C$6="",ROW()&lt;$B$5),"",IF(INDEX($A:$U,ROW(),$C$6)="","",INDEX($A:$U,ROW(),$C$6)))</f>
        <v/>
      </c>
      <c r="X1309" s="32">
        <f>IF($W1309="","",IF(ISNUMBER($W1309),IF($W1309&gt;=10000000,IFERROR(DATE(INT($W1309/10000),MOD(INT($W1309/100),100),MOD($W1309,100)),""),INT($W1309)),IFERROR(DATE(--LEFT(LEFT(SUBSTITUTE(SUBSTITUTE(SUBSTITUTE(SUBSTITUTE(TRIM($W1309),"-",""),".",""),"/","")," ",""),8),4),--MID(LEFT(SUBSTITUTE(SUBSTITUTE(SUBSTITUTE(SUBSTITUTE(TRIM($W1309),"-",""),".",""),"/","")," ",""),8),5,2),--MID(LEFT(SUBSTITUTE(SUBSTITUTE(SUBSTITUTE(SUBSTITUTE(TRIM($W1309),"-",""),".",""),"/","")," ",""),8),7,2)),"")))</f>
        <v/>
      </c>
      <c r="Y1309" s="32">
        <f>IF($X1309="","",INT($X1309))</f>
        <v/>
      </c>
      <c r="Z1309" s="33">
        <f>IF(OR($Y1309="",$D$6=""),"",IF(INDEX($A:$U,ROW(),$D$6)="",0,IF(ISNUMBER(INDEX($A:$U,ROW(),$D$6)),INDEX($A:$U,ROW(),$D$6),IFERROR(--SUBSTITUTE(SUBSTITUTE(TRIM(INDEX($A:$U,ROW(),$D$6)),",",""),"원",""),0))))</f>
        <v/>
      </c>
      <c r="AA1309" s="31">
        <f>IF($Y1309="","",TRIM(INDEX($A:$U,ROW(),$E$6)&amp;IF($F$6="",""," "&amp;INDEX($A:$U,ROW(),$F$6))))</f>
        <v/>
      </c>
      <c r="AB1309" s="31">
        <f>IF($AA1309="","",SUBSTITUTE(SUBSTITUTE(SUBSTITUTE(SUBSTITUTE(SUBSTITUTE(SUBSTITUTE(SUBSTITUTE(SUBSTITUTE(SUBSTITUTE($AA1309," ",""),"　",""),"(주)",""),"（주）",""),"㈜",""),"주식회사",""),"(유)",""),"（유）",""),"유한회사",""))</f>
        <v/>
      </c>
      <c r="AC1309" s="31">
        <f>IF(OR($Y1309="",N($Z1309)&lt;=0,$AB1309=""),0,IFERROR(LOOKUP(2,1/((거래처별!$AC$8:$AC$307&lt;&gt;"")*ISNUMBER(SEARCH(거래처별!$AC$8:$AC$307,$AB1309))),거래처별!$A$8:$A$307),IFERROR(LOOKUP(2,1/((거래처별!$AD$8:$AD$307&lt;&gt;"")*ISNUMBER(SEARCH(거래처별!$AD$8:$AD$307,$AB1309))),거래처별!$A$8:$A$307),IFERROR(LOOKUP(2,1/((거래처별!$AE$8:$AE$307&lt;&gt;"")*ISNUMBER(SEARCH(거래처별!$AE$8:$AE$307,$AB1309))),거래처별!$A$8:$A$307),0))))</f>
        <v/>
      </c>
      <c r="AD1309" s="31">
        <f>IF(AND($Y1309&lt;&gt;"",N($Z1309)&gt;0,$AC1309=0),MAX($AD$7:$AD1308)+1,"")</f>
        <v/>
      </c>
      <c r="AE1309" s="31">
        <f>IF($Y1309="",0,$Y1309)</f>
        <v/>
      </c>
    </row>
    <row r="1310">
      <c r="W1310" s="31">
        <f>IF(OR($B$5="",$C$6="",ROW()&lt;$B$5),"",IF(INDEX($A:$U,ROW(),$C$6)="","",INDEX($A:$U,ROW(),$C$6)))</f>
        <v/>
      </c>
      <c r="X1310" s="32">
        <f>IF($W1310="","",IF(ISNUMBER($W1310),IF($W1310&gt;=10000000,IFERROR(DATE(INT($W1310/10000),MOD(INT($W1310/100),100),MOD($W1310,100)),""),INT($W1310)),IFERROR(DATE(--LEFT(LEFT(SUBSTITUTE(SUBSTITUTE(SUBSTITUTE(SUBSTITUTE(TRIM($W1310),"-",""),".",""),"/","")," ",""),8),4),--MID(LEFT(SUBSTITUTE(SUBSTITUTE(SUBSTITUTE(SUBSTITUTE(TRIM($W1310),"-",""),".",""),"/","")," ",""),8),5,2),--MID(LEFT(SUBSTITUTE(SUBSTITUTE(SUBSTITUTE(SUBSTITUTE(TRIM($W1310),"-",""),".",""),"/","")," ",""),8),7,2)),"")))</f>
        <v/>
      </c>
      <c r="Y1310" s="32">
        <f>IF($X1310="","",INT($X1310))</f>
        <v/>
      </c>
      <c r="Z1310" s="33">
        <f>IF(OR($Y1310="",$D$6=""),"",IF(INDEX($A:$U,ROW(),$D$6)="",0,IF(ISNUMBER(INDEX($A:$U,ROW(),$D$6)),INDEX($A:$U,ROW(),$D$6),IFERROR(--SUBSTITUTE(SUBSTITUTE(TRIM(INDEX($A:$U,ROW(),$D$6)),",",""),"원",""),0))))</f>
        <v/>
      </c>
      <c r="AA1310" s="31">
        <f>IF($Y1310="","",TRIM(INDEX($A:$U,ROW(),$E$6)&amp;IF($F$6="",""," "&amp;INDEX($A:$U,ROW(),$F$6))))</f>
        <v/>
      </c>
      <c r="AB1310" s="31">
        <f>IF($AA1310="","",SUBSTITUTE(SUBSTITUTE(SUBSTITUTE(SUBSTITUTE(SUBSTITUTE(SUBSTITUTE(SUBSTITUTE(SUBSTITUTE(SUBSTITUTE($AA1310," ",""),"　",""),"(주)",""),"（주）",""),"㈜",""),"주식회사",""),"(유)",""),"（유）",""),"유한회사",""))</f>
        <v/>
      </c>
      <c r="AC1310" s="31">
        <f>IF(OR($Y1310="",N($Z1310)&lt;=0,$AB1310=""),0,IFERROR(LOOKUP(2,1/((거래처별!$AC$8:$AC$307&lt;&gt;"")*ISNUMBER(SEARCH(거래처별!$AC$8:$AC$307,$AB1310))),거래처별!$A$8:$A$307),IFERROR(LOOKUP(2,1/((거래처별!$AD$8:$AD$307&lt;&gt;"")*ISNUMBER(SEARCH(거래처별!$AD$8:$AD$307,$AB1310))),거래처별!$A$8:$A$307),IFERROR(LOOKUP(2,1/((거래처별!$AE$8:$AE$307&lt;&gt;"")*ISNUMBER(SEARCH(거래처별!$AE$8:$AE$307,$AB1310))),거래처별!$A$8:$A$307),0))))</f>
        <v/>
      </c>
      <c r="AD1310" s="31">
        <f>IF(AND($Y1310&lt;&gt;"",N($Z1310)&gt;0,$AC1310=0),MAX($AD$7:$AD1309)+1,"")</f>
        <v/>
      </c>
      <c r="AE1310" s="31">
        <f>IF($Y1310="",0,$Y1310)</f>
        <v/>
      </c>
    </row>
    <row r="1311">
      <c r="W1311" s="31">
        <f>IF(OR($B$5="",$C$6="",ROW()&lt;$B$5),"",IF(INDEX($A:$U,ROW(),$C$6)="","",INDEX($A:$U,ROW(),$C$6)))</f>
        <v/>
      </c>
      <c r="X1311" s="32">
        <f>IF($W1311="","",IF(ISNUMBER($W1311),IF($W1311&gt;=10000000,IFERROR(DATE(INT($W1311/10000),MOD(INT($W1311/100),100),MOD($W1311,100)),""),INT($W1311)),IFERROR(DATE(--LEFT(LEFT(SUBSTITUTE(SUBSTITUTE(SUBSTITUTE(SUBSTITUTE(TRIM($W1311),"-",""),".",""),"/","")," ",""),8),4),--MID(LEFT(SUBSTITUTE(SUBSTITUTE(SUBSTITUTE(SUBSTITUTE(TRIM($W1311),"-",""),".",""),"/","")," ",""),8),5,2),--MID(LEFT(SUBSTITUTE(SUBSTITUTE(SUBSTITUTE(SUBSTITUTE(TRIM($W1311),"-",""),".",""),"/","")," ",""),8),7,2)),"")))</f>
        <v/>
      </c>
      <c r="Y1311" s="32">
        <f>IF($X1311="","",INT($X1311))</f>
        <v/>
      </c>
      <c r="Z1311" s="33">
        <f>IF(OR($Y1311="",$D$6=""),"",IF(INDEX($A:$U,ROW(),$D$6)="",0,IF(ISNUMBER(INDEX($A:$U,ROW(),$D$6)),INDEX($A:$U,ROW(),$D$6),IFERROR(--SUBSTITUTE(SUBSTITUTE(TRIM(INDEX($A:$U,ROW(),$D$6)),",",""),"원",""),0))))</f>
        <v/>
      </c>
      <c r="AA1311" s="31">
        <f>IF($Y1311="","",TRIM(INDEX($A:$U,ROW(),$E$6)&amp;IF($F$6="",""," "&amp;INDEX($A:$U,ROW(),$F$6))))</f>
        <v/>
      </c>
      <c r="AB1311" s="31">
        <f>IF($AA1311="","",SUBSTITUTE(SUBSTITUTE(SUBSTITUTE(SUBSTITUTE(SUBSTITUTE(SUBSTITUTE(SUBSTITUTE(SUBSTITUTE(SUBSTITUTE($AA1311," ",""),"　",""),"(주)",""),"（주）",""),"㈜",""),"주식회사",""),"(유)",""),"（유）",""),"유한회사",""))</f>
        <v/>
      </c>
      <c r="AC1311" s="31">
        <f>IF(OR($Y1311="",N($Z1311)&lt;=0,$AB1311=""),0,IFERROR(LOOKUP(2,1/((거래처별!$AC$8:$AC$307&lt;&gt;"")*ISNUMBER(SEARCH(거래처별!$AC$8:$AC$307,$AB1311))),거래처별!$A$8:$A$307),IFERROR(LOOKUP(2,1/((거래처별!$AD$8:$AD$307&lt;&gt;"")*ISNUMBER(SEARCH(거래처별!$AD$8:$AD$307,$AB1311))),거래처별!$A$8:$A$307),IFERROR(LOOKUP(2,1/((거래처별!$AE$8:$AE$307&lt;&gt;"")*ISNUMBER(SEARCH(거래처별!$AE$8:$AE$307,$AB1311))),거래처별!$A$8:$A$307),0))))</f>
        <v/>
      </c>
      <c r="AD1311" s="31">
        <f>IF(AND($Y1311&lt;&gt;"",N($Z1311)&gt;0,$AC1311=0),MAX($AD$7:$AD1310)+1,"")</f>
        <v/>
      </c>
      <c r="AE1311" s="31">
        <f>IF($Y1311="",0,$Y1311)</f>
        <v/>
      </c>
    </row>
    <row r="1312">
      <c r="W1312" s="31">
        <f>IF(OR($B$5="",$C$6="",ROW()&lt;$B$5),"",IF(INDEX($A:$U,ROW(),$C$6)="","",INDEX($A:$U,ROW(),$C$6)))</f>
        <v/>
      </c>
      <c r="X1312" s="32">
        <f>IF($W1312="","",IF(ISNUMBER($W1312),IF($W1312&gt;=10000000,IFERROR(DATE(INT($W1312/10000),MOD(INT($W1312/100),100),MOD($W1312,100)),""),INT($W1312)),IFERROR(DATE(--LEFT(LEFT(SUBSTITUTE(SUBSTITUTE(SUBSTITUTE(SUBSTITUTE(TRIM($W1312),"-",""),".",""),"/","")," ",""),8),4),--MID(LEFT(SUBSTITUTE(SUBSTITUTE(SUBSTITUTE(SUBSTITUTE(TRIM($W1312),"-",""),".",""),"/","")," ",""),8),5,2),--MID(LEFT(SUBSTITUTE(SUBSTITUTE(SUBSTITUTE(SUBSTITUTE(TRIM($W1312),"-",""),".",""),"/","")," ",""),8),7,2)),"")))</f>
        <v/>
      </c>
      <c r="Y1312" s="32">
        <f>IF($X1312="","",INT($X1312))</f>
        <v/>
      </c>
      <c r="Z1312" s="33">
        <f>IF(OR($Y1312="",$D$6=""),"",IF(INDEX($A:$U,ROW(),$D$6)="",0,IF(ISNUMBER(INDEX($A:$U,ROW(),$D$6)),INDEX($A:$U,ROW(),$D$6),IFERROR(--SUBSTITUTE(SUBSTITUTE(TRIM(INDEX($A:$U,ROW(),$D$6)),",",""),"원",""),0))))</f>
        <v/>
      </c>
      <c r="AA1312" s="31">
        <f>IF($Y1312="","",TRIM(INDEX($A:$U,ROW(),$E$6)&amp;IF($F$6="",""," "&amp;INDEX($A:$U,ROW(),$F$6))))</f>
        <v/>
      </c>
      <c r="AB1312" s="31">
        <f>IF($AA1312="","",SUBSTITUTE(SUBSTITUTE(SUBSTITUTE(SUBSTITUTE(SUBSTITUTE(SUBSTITUTE(SUBSTITUTE(SUBSTITUTE(SUBSTITUTE($AA1312," ",""),"　",""),"(주)",""),"（주）",""),"㈜",""),"주식회사",""),"(유)",""),"（유）",""),"유한회사",""))</f>
        <v/>
      </c>
      <c r="AC1312" s="31">
        <f>IF(OR($Y1312="",N($Z1312)&lt;=0,$AB1312=""),0,IFERROR(LOOKUP(2,1/((거래처별!$AC$8:$AC$307&lt;&gt;"")*ISNUMBER(SEARCH(거래처별!$AC$8:$AC$307,$AB1312))),거래처별!$A$8:$A$307),IFERROR(LOOKUP(2,1/((거래처별!$AD$8:$AD$307&lt;&gt;"")*ISNUMBER(SEARCH(거래처별!$AD$8:$AD$307,$AB1312))),거래처별!$A$8:$A$307),IFERROR(LOOKUP(2,1/((거래처별!$AE$8:$AE$307&lt;&gt;"")*ISNUMBER(SEARCH(거래처별!$AE$8:$AE$307,$AB1312))),거래처별!$A$8:$A$307),0))))</f>
        <v/>
      </c>
      <c r="AD1312" s="31">
        <f>IF(AND($Y1312&lt;&gt;"",N($Z1312)&gt;0,$AC1312=0),MAX($AD$7:$AD1311)+1,"")</f>
        <v/>
      </c>
      <c r="AE1312" s="31">
        <f>IF($Y1312="",0,$Y1312)</f>
        <v/>
      </c>
    </row>
    <row r="1313">
      <c r="W1313" s="31">
        <f>IF(OR($B$5="",$C$6="",ROW()&lt;$B$5),"",IF(INDEX($A:$U,ROW(),$C$6)="","",INDEX($A:$U,ROW(),$C$6)))</f>
        <v/>
      </c>
      <c r="X1313" s="32">
        <f>IF($W1313="","",IF(ISNUMBER($W1313),IF($W1313&gt;=10000000,IFERROR(DATE(INT($W1313/10000),MOD(INT($W1313/100),100),MOD($W1313,100)),""),INT($W1313)),IFERROR(DATE(--LEFT(LEFT(SUBSTITUTE(SUBSTITUTE(SUBSTITUTE(SUBSTITUTE(TRIM($W1313),"-",""),".",""),"/","")," ",""),8),4),--MID(LEFT(SUBSTITUTE(SUBSTITUTE(SUBSTITUTE(SUBSTITUTE(TRIM($W1313),"-",""),".",""),"/","")," ",""),8),5,2),--MID(LEFT(SUBSTITUTE(SUBSTITUTE(SUBSTITUTE(SUBSTITUTE(TRIM($W1313),"-",""),".",""),"/","")," ",""),8),7,2)),"")))</f>
        <v/>
      </c>
      <c r="Y1313" s="32">
        <f>IF($X1313="","",INT($X1313))</f>
        <v/>
      </c>
      <c r="Z1313" s="33">
        <f>IF(OR($Y1313="",$D$6=""),"",IF(INDEX($A:$U,ROW(),$D$6)="",0,IF(ISNUMBER(INDEX($A:$U,ROW(),$D$6)),INDEX($A:$U,ROW(),$D$6),IFERROR(--SUBSTITUTE(SUBSTITUTE(TRIM(INDEX($A:$U,ROW(),$D$6)),",",""),"원",""),0))))</f>
        <v/>
      </c>
      <c r="AA1313" s="31">
        <f>IF($Y1313="","",TRIM(INDEX($A:$U,ROW(),$E$6)&amp;IF($F$6="",""," "&amp;INDEX($A:$U,ROW(),$F$6))))</f>
        <v/>
      </c>
      <c r="AB1313" s="31">
        <f>IF($AA1313="","",SUBSTITUTE(SUBSTITUTE(SUBSTITUTE(SUBSTITUTE(SUBSTITUTE(SUBSTITUTE(SUBSTITUTE(SUBSTITUTE(SUBSTITUTE($AA1313," ",""),"　",""),"(주)",""),"（주）",""),"㈜",""),"주식회사",""),"(유)",""),"（유）",""),"유한회사",""))</f>
        <v/>
      </c>
      <c r="AC1313" s="31">
        <f>IF(OR($Y1313="",N($Z1313)&lt;=0,$AB1313=""),0,IFERROR(LOOKUP(2,1/((거래처별!$AC$8:$AC$307&lt;&gt;"")*ISNUMBER(SEARCH(거래처별!$AC$8:$AC$307,$AB1313))),거래처별!$A$8:$A$307),IFERROR(LOOKUP(2,1/((거래처별!$AD$8:$AD$307&lt;&gt;"")*ISNUMBER(SEARCH(거래처별!$AD$8:$AD$307,$AB1313))),거래처별!$A$8:$A$307),IFERROR(LOOKUP(2,1/((거래처별!$AE$8:$AE$307&lt;&gt;"")*ISNUMBER(SEARCH(거래처별!$AE$8:$AE$307,$AB1313))),거래처별!$A$8:$A$307),0))))</f>
        <v/>
      </c>
      <c r="AD1313" s="31">
        <f>IF(AND($Y1313&lt;&gt;"",N($Z1313)&gt;0,$AC1313=0),MAX($AD$7:$AD1312)+1,"")</f>
        <v/>
      </c>
      <c r="AE1313" s="31">
        <f>IF($Y1313="",0,$Y1313)</f>
        <v/>
      </c>
    </row>
    <row r="1314">
      <c r="W1314" s="31">
        <f>IF(OR($B$5="",$C$6="",ROW()&lt;$B$5),"",IF(INDEX($A:$U,ROW(),$C$6)="","",INDEX($A:$U,ROW(),$C$6)))</f>
        <v/>
      </c>
      <c r="X1314" s="32">
        <f>IF($W1314="","",IF(ISNUMBER($W1314),IF($W1314&gt;=10000000,IFERROR(DATE(INT($W1314/10000),MOD(INT($W1314/100),100),MOD($W1314,100)),""),INT($W1314)),IFERROR(DATE(--LEFT(LEFT(SUBSTITUTE(SUBSTITUTE(SUBSTITUTE(SUBSTITUTE(TRIM($W1314),"-",""),".",""),"/","")," ",""),8),4),--MID(LEFT(SUBSTITUTE(SUBSTITUTE(SUBSTITUTE(SUBSTITUTE(TRIM($W1314),"-",""),".",""),"/","")," ",""),8),5,2),--MID(LEFT(SUBSTITUTE(SUBSTITUTE(SUBSTITUTE(SUBSTITUTE(TRIM($W1314),"-",""),".",""),"/","")," ",""),8),7,2)),"")))</f>
        <v/>
      </c>
      <c r="Y1314" s="32">
        <f>IF($X1314="","",INT($X1314))</f>
        <v/>
      </c>
      <c r="Z1314" s="33">
        <f>IF(OR($Y1314="",$D$6=""),"",IF(INDEX($A:$U,ROW(),$D$6)="",0,IF(ISNUMBER(INDEX($A:$U,ROW(),$D$6)),INDEX($A:$U,ROW(),$D$6),IFERROR(--SUBSTITUTE(SUBSTITUTE(TRIM(INDEX($A:$U,ROW(),$D$6)),",",""),"원",""),0))))</f>
        <v/>
      </c>
      <c r="AA1314" s="31">
        <f>IF($Y1314="","",TRIM(INDEX($A:$U,ROW(),$E$6)&amp;IF($F$6="",""," "&amp;INDEX($A:$U,ROW(),$F$6))))</f>
        <v/>
      </c>
      <c r="AB1314" s="31">
        <f>IF($AA1314="","",SUBSTITUTE(SUBSTITUTE(SUBSTITUTE(SUBSTITUTE(SUBSTITUTE(SUBSTITUTE(SUBSTITUTE(SUBSTITUTE(SUBSTITUTE($AA1314," ",""),"　",""),"(주)",""),"（주）",""),"㈜",""),"주식회사",""),"(유)",""),"（유）",""),"유한회사",""))</f>
        <v/>
      </c>
      <c r="AC1314" s="31">
        <f>IF(OR($Y1314="",N($Z1314)&lt;=0,$AB1314=""),0,IFERROR(LOOKUP(2,1/((거래처별!$AC$8:$AC$307&lt;&gt;"")*ISNUMBER(SEARCH(거래처별!$AC$8:$AC$307,$AB1314))),거래처별!$A$8:$A$307),IFERROR(LOOKUP(2,1/((거래처별!$AD$8:$AD$307&lt;&gt;"")*ISNUMBER(SEARCH(거래처별!$AD$8:$AD$307,$AB1314))),거래처별!$A$8:$A$307),IFERROR(LOOKUP(2,1/((거래처별!$AE$8:$AE$307&lt;&gt;"")*ISNUMBER(SEARCH(거래처별!$AE$8:$AE$307,$AB1314))),거래처별!$A$8:$A$307),0))))</f>
        <v/>
      </c>
      <c r="AD1314" s="31">
        <f>IF(AND($Y1314&lt;&gt;"",N($Z1314)&gt;0,$AC1314=0),MAX($AD$7:$AD1313)+1,"")</f>
        <v/>
      </c>
      <c r="AE1314" s="31">
        <f>IF($Y1314="",0,$Y1314)</f>
        <v/>
      </c>
    </row>
    <row r="1315">
      <c r="W1315" s="31">
        <f>IF(OR($B$5="",$C$6="",ROW()&lt;$B$5),"",IF(INDEX($A:$U,ROW(),$C$6)="","",INDEX($A:$U,ROW(),$C$6)))</f>
        <v/>
      </c>
      <c r="X1315" s="32">
        <f>IF($W1315="","",IF(ISNUMBER($W1315),IF($W1315&gt;=10000000,IFERROR(DATE(INT($W1315/10000),MOD(INT($W1315/100),100),MOD($W1315,100)),""),INT($W1315)),IFERROR(DATE(--LEFT(LEFT(SUBSTITUTE(SUBSTITUTE(SUBSTITUTE(SUBSTITUTE(TRIM($W1315),"-",""),".",""),"/","")," ",""),8),4),--MID(LEFT(SUBSTITUTE(SUBSTITUTE(SUBSTITUTE(SUBSTITUTE(TRIM($W1315),"-",""),".",""),"/","")," ",""),8),5,2),--MID(LEFT(SUBSTITUTE(SUBSTITUTE(SUBSTITUTE(SUBSTITUTE(TRIM($W1315),"-",""),".",""),"/","")," ",""),8),7,2)),"")))</f>
        <v/>
      </c>
      <c r="Y1315" s="32">
        <f>IF($X1315="","",INT($X1315))</f>
        <v/>
      </c>
      <c r="Z1315" s="33">
        <f>IF(OR($Y1315="",$D$6=""),"",IF(INDEX($A:$U,ROW(),$D$6)="",0,IF(ISNUMBER(INDEX($A:$U,ROW(),$D$6)),INDEX($A:$U,ROW(),$D$6),IFERROR(--SUBSTITUTE(SUBSTITUTE(TRIM(INDEX($A:$U,ROW(),$D$6)),",",""),"원",""),0))))</f>
        <v/>
      </c>
      <c r="AA1315" s="31">
        <f>IF($Y1315="","",TRIM(INDEX($A:$U,ROW(),$E$6)&amp;IF($F$6="",""," "&amp;INDEX($A:$U,ROW(),$F$6))))</f>
        <v/>
      </c>
      <c r="AB1315" s="31">
        <f>IF($AA1315="","",SUBSTITUTE(SUBSTITUTE(SUBSTITUTE(SUBSTITUTE(SUBSTITUTE(SUBSTITUTE(SUBSTITUTE(SUBSTITUTE(SUBSTITUTE($AA1315," ",""),"　",""),"(주)",""),"（주）",""),"㈜",""),"주식회사",""),"(유)",""),"（유）",""),"유한회사",""))</f>
        <v/>
      </c>
      <c r="AC1315" s="31">
        <f>IF(OR($Y1315="",N($Z1315)&lt;=0,$AB1315=""),0,IFERROR(LOOKUP(2,1/((거래처별!$AC$8:$AC$307&lt;&gt;"")*ISNUMBER(SEARCH(거래처별!$AC$8:$AC$307,$AB1315))),거래처별!$A$8:$A$307),IFERROR(LOOKUP(2,1/((거래처별!$AD$8:$AD$307&lt;&gt;"")*ISNUMBER(SEARCH(거래처별!$AD$8:$AD$307,$AB1315))),거래처별!$A$8:$A$307),IFERROR(LOOKUP(2,1/((거래처별!$AE$8:$AE$307&lt;&gt;"")*ISNUMBER(SEARCH(거래처별!$AE$8:$AE$307,$AB1315))),거래처별!$A$8:$A$307),0))))</f>
        <v/>
      </c>
      <c r="AD1315" s="31">
        <f>IF(AND($Y1315&lt;&gt;"",N($Z1315)&gt;0,$AC1315=0),MAX($AD$7:$AD1314)+1,"")</f>
        <v/>
      </c>
      <c r="AE1315" s="31">
        <f>IF($Y1315="",0,$Y1315)</f>
        <v/>
      </c>
    </row>
    <row r="1316">
      <c r="W1316" s="31">
        <f>IF(OR($B$5="",$C$6="",ROW()&lt;$B$5),"",IF(INDEX($A:$U,ROW(),$C$6)="","",INDEX($A:$U,ROW(),$C$6)))</f>
        <v/>
      </c>
      <c r="X1316" s="32">
        <f>IF($W1316="","",IF(ISNUMBER($W1316),IF($W1316&gt;=10000000,IFERROR(DATE(INT($W1316/10000),MOD(INT($W1316/100),100),MOD($W1316,100)),""),INT($W1316)),IFERROR(DATE(--LEFT(LEFT(SUBSTITUTE(SUBSTITUTE(SUBSTITUTE(SUBSTITUTE(TRIM($W1316),"-",""),".",""),"/","")," ",""),8),4),--MID(LEFT(SUBSTITUTE(SUBSTITUTE(SUBSTITUTE(SUBSTITUTE(TRIM($W1316),"-",""),".",""),"/","")," ",""),8),5,2),--MID(LEFT(SUBSTITUTE(SUBSTITUTE(SUBSTITUTE(SUBSTITUTE(TRIM($W1316),"-",""),".",""),"/","")," ",""),8),7,2)),"")))</f>
        <v/>
      </c>
      <c r="Y1316" s="32">
        <f>IF($X1316="","",INT($X1316))</f>
        <v/>
      </c>
      <c r="Z1316" s="33">
        <f>IF(OR($Y1316="",$D$6=""),"",IF(INDEX($A:$U,ROW(),$D$6)="",0,IF(ISNUMBER(INDEX($A:$U,ROW(),$D$6)),INDEX($A:$U,ROW(),$D$6),IFERROR(--SUBSTITUTE(SUBSTITUTE(TRIM(INDEX($A:$U,ROW(),$D$6)),",",""),"원",""),0))))</f>
        <v/>
      </c>
      <c r="AA1316" s="31">
        <f>IF($Y1316="","",TRIM(INDEX($A:$U,ROW(),$E$6)&amp;IF($F$6="",""," "&amp;INDEX($A:$U,ROW(),$F$6))))</f>
        <v/>
      </c>
      <c r="AB1316" s="31">
        <f>IF($AA1316="","",SUBSTITUTE(SUBSTITUTE(SUBSTITUTE(SUBSTITUTE(SUBSTITUTE(SUBSTITUTE(SUBSTITUTE(SUBSTITUTE(SUBSTITUTE($AA1316," ",""),"　",""),"(주)",""),"（주）",""),"㈜",""),"주식회사",""),"(유)",""),"（유）",""),"유한회사",""))</f>
        <v/>
      </c>
      <c r="AC1316" s="31">
        <f>IF(OR($Y1316="",N($Z1316)&lt;=0,$AB1316=""),0,IFERROR(LOOKUP(2,1/((거래처별!$AC$8:$AC$307&lt;&gt;"")*ISNUMBER(SEARCH(거래처별!$AC$8:$AC$307,$AB1316))),거래처별!$A$8:$A$307),IFERROR(LOOKUP(2,1/((거래처별!$AD$8:$AD$307&lt;&gt;"")*ISNUMBER(SEARCH(거래처별!$AD$8:$AD$307,$AB1316))),거래처별!$A$8:$A$307),IFERROR(LOOKUP(2,1/((거래처별!$AE$8:$AE$307&lt;&gt;"")*ISNUMBER(SEARCH(거래처별!$AE$8:$AE$307,$AB1316))),거래처별!$A$8:$A$307),0))))</f>
        <v/>
      </c>
      <c r="AD1316" s="31">
        <f>IF(AND($Y1316&lt;&gt;"",N($Z1316)&gt;0,$AC1316=0),MAX($AD$7:$AD1315)+1,"")</f>
        <v/>
      </c>
      <c r="AE1316" s="31">
        <f>IF($Y1316="",0,$Y1316)</f>
        <v/>
      </c>
    </row>
    <row r="1317">
      <c r="W1317" s="31">
        <f>IF(OR($B$5="",$C$6="",ROW()&lt;$B$5),"",IF(INDEX($A:$U,ROW(),$C$6)="","",INDEX($A:$U,ROW(),$C$6)))</f>
        <v/>
      </c>
      <c r="X1317" s="32">
        <f>IF($W1317="","",IF(ISNUMBER($W1317),IF($W1317&gt;=10000000,IFERROR(DATE(INT($W1317/10000),MOD(INT($W1317/100),100),MOD($W1317,100)),""),INT($W1317)),IFERROR(DATE(--LEFT(LEFT(SUBSTITUTE(SUBSTITUTE(SUBSTITUTE(SUBSTITUTE(TRIM($W1317),"-",""),".",""),"/","")," ",""),8),4),--MID(LEFT(SUBSTITUTE(SUBSTITUTE(SUBSTITUTE(SUBSTITUTE(TRIM($W1317),"-",""),".",""),"/","")," ",""),8),5,2),--MID(LEFT(SUBSTITUTE(SUBSTITUTE(SUBSTITUTE(SUBSTITUTE(TRIM($W1317),"-",""),".",""),"/","")," ",""),8),7,2)),"")))</f>
        <v/>
      </c>
      <c r="Y1317" s="32">
        <f>IF($X1317="","",INT($X1317))</f>
        <v/>
      </c>
      <c r="Z1317" s="33">
        <f>IF(OR($Y1317="",$D$6=""),"",IF(INDEX($A:$U,ROW(),$D$6)="",0,IF(ISNUMBER(INDEX($A:$U,ROW(),$D$6)),INDEX($A:$U,ROW(),$D$6),IFERROR(--SUBSTITUTE(SUBSTITUTE(TRIM(INDEX($A:$U,ROW(),$D$6)),",",""),"원",""),0))))</f>
        <v/>
      </c>
      <c r="AA1317" s="31">
        <f>IF($Y1317="","",TRIM(INDEX($A:$U,ROW(),$E$6)&amp;IF($F$6="",""," "&amp;INDEX($A:$U,ROW(),$F$6))))</f>
        <v/>
      </c>
      <c r="AB1317" s="31">
        <f>IF($AA1317="","",SUBSTITUTE(SUBSTITUTE(SUBSTITUTE(SUBSTITUTE(SUBSTITUTE(SUBSTITUTE(SUBSTITUTE(SUBSTITUTE(SUBSTITUTE($AA1317," ",""),"　",""),"(주)",""),"（주）",""),"㈜",""),"주식회사",""),"(유)",""),"（유）",""),"유한회사",""))</f>
        <v/>
      </c>
      <c r="AC1317" s="31">
        <f>IF(OR($Y1317="",N($Z1317)&lt;=0,$AB1317=""),0,IFERROR(LOOKUP(2,1/((거래처별!$AC$8:$AC$307&lt;&gt;"")*ISNUMBER(SEARCH(거래처별!$AC$8:$AC$307,$AB1317))),거래처별!$A$8:$A$307),IFERROR(LOOKUP(2,1/((거래처별!$AD$8:$AD$307&lt;&gt;"")*ISNUMBER(SEARCH(거래처별!$AD$8:$AD$307,$AB1317))),거래처별!$A$8:$A$307),IFERROR(LOOKUP(2,1/((거래처별!$AE$8:$AE$307&lt;&gt;"")*ISNUMBER(SEARCH(거래처별!$AE$8:$AE$307,$AB1317))),거래처별!$A$8:$A$307),0))))</f>
        <v/>
      </c>
      <c r="AD1317" s="31">
        <f>IF(AND($Y1317&lt;&gt;"",N($Z1317)&gt;0,$AC1317=0),MAX($AD$7:$AD1316)+1,"")</f>
        <v/>
      </c>
      <c r="AE1317" s="31">
        <f>IF($Y1317="",0,$Y1317)</f>
        <v/>
      </c>
    </row>
    <row r="1318">
      <c r="W1318" s="31">
        <f>IF(OR($B$5="",$C$6="",ROW()&lt;$B$5),"",IF(INDEX($A:$U,ROW(),$C$6)="","",INDEX($A:$U,ROW(),$C$6)))</f>
        <v/>
      </c>
      <c r="X1318" s="32">
        <f>IF($W1318="","",IF(ISNUMBER($W1318),IF($W1318&gt;=10000000,IFERROR(DATE(INT($W1318/10000),MOD(INT($W1318/100),100),MOD($W1318,100)),""),INT($W1318)),IFERROR(DATE(--LEFT(LEFT(SUBSTITUTE(SUBSTITUTE(SUBSTITUTE(SUBSTITUTE(TRIM($W1318),"-",""),".",""),"/","")," ",""),8),4),--MID(LEFT(SUBSTITUTE(SUBSTITUTE(SUBSTITUTE(SUBSTITUTE(TRIM($W1318),"-",""),".",""),"/","")," ",""),8),5,2),--MID(LEFT(SUBSTITUTE(SUBSTITUTE(SUBSTITUTE(SUBSTITUTE(TRIM($W1318),"-",""),".",""),"/","")," ",""),8),7,2)),"")))</f>
        <v/>
      </c>
      <c r="Y1318" s="32">
        <f>IF($X1318="","",INT($X1318))</f>
        <v/>
      </c>
      <c r="Z1318" s="33">
        <f>IF(OR($Y1318="",$D$6=""),"",IF(INDEX($A:$U,ROW(),$D$6)="",0,IF(ISNUMBER(INDEX($A:$U,ROW(),$D$6)),INDEX($A:$U,ROW(),$D$6),IFERROR(--SUBSTITUTE(SUBSTITUTE(TRIM(INDEX($A:$U,ROW(),$D$6)),",",""),"원",""),0))))</f>
        <v/>
      </c>
      <c r="AA1318" s="31">
        <f>IF($Y1318="","",TRIM(INDEX($A:$U,ROW(),$E$6)&amp;IF($F$6="",""," "&amp;INDEX($A:$U,ROW(),$F$6))))</f>
        <v/>
      </c>
      <c r="AB1318" s="31">
        <f>IF($AA1318="","",SUBSTITUTE(SUBSTITUTE(SUBSTITUTE(SUBSTITUTE(SUBSTITUTE(SUBSTITUTE(SUBSTITUTE(SUBSTITUTE(SUBSTITUTE($AA1318," ",""),"　",""),"(주)",""),"（주）",""),"㈜",""),"주식회사",""),"(유)",""),"（유）",""),"유한회사",""))</f>
        <v/>
      </c>
      <c r="AC1318" s="31">
        <f>IF(OR($Y1318="",N($Z1318)&lt;=0,$AB1318=""),0,IFERROR(LOOKUP(2,1/((거래처별!$AC$8:$AC$307&lt;&gt;"")*ISNUMBER(SEARCH(거래처별!$AC$8:$AC$307,$AB1318))),거래처별!$A$8:$A$307),IFERROR(LOOKUP(2,1/((거래처별!$AD$8:$AD$307&lt;&gt;"")*ISNUMBER(SEARCH(거래처별!$AD$8:$AD$307,$AB1318))),거래처별!$A$8:$A$307),IFERROR(LOOKUP(2,1/((거래처별!$AE$8:$AE$307&lt;&gt;"")*ISNUMBER(SEARCH(거래처별!$AE$8:$AE$307,$AB1318))),거래처별!$A$8:$A$307),0))))</f>
        <v/>
      </c>
      <c r="AD1318" s="31">
        <f>IF(AND($Y1318&lt;&gt;"",N($Z1318)&gt;0,$AC1318=0),MAX($AD$7:$AD1317)+1,"")</f>
        <v/>
      </c>
      <c r="AE1318" s="31">
        <f>IF($Y1318="",0,$Y1318)</f>
        <v/>
      </c>
    </row>
    <row r="1319">
      <c r="W1319" s="31">
        <f>IF(OR($B$5="",$C$6="",ROW()&lt;$B$5),"",IF(INDEX($A:$U,ROW(),$C$6)="","",INDEX($A:$U,ROW(),$C$6)))</f>
        <v/>
      </c>
      <c r="X1319" s="32">
        <f>IF($W1319="","",IF(ISNUMBER($W1319),IF($W1319&gt;=10000000,IFERROR(DATE(INT($W1319/10000),MOD(INT($W1319/100),100),MOD($W1319,100)),""),INT($W1319)),IFERROR(DATE(--LEFT(LEFT(SUBSTITUTE(SUBSTITUTE(SUBSTITUTE(SUBSTITUTE(TRIM($W1319),"-",""),".",""),"/","")," ",""),8),4),--MID(LEFT(SUBSTITUTE(SUBSTITUTE(SUBSTITUTE(SUBSTITUTE(TRIM($W1319),"-",""),".",""),"/","")," ",""),8),5,2),--MID(LEFT(SUBSTITUTE(SUBSTITUTE(SUBSTITUTE(SUBSTITUTE(TRIM($W1319),"-",""),".",""),"/","")," ",""),8),7,2)),"")))</f>
        <v/>
      </c>
      <c r="Y1319" s="32">
        <f>IF($X1319="","",INT($X1319))</f>
        <v/>
      </c>
      <c r="Z1319" s="33">
        <f>IF(OR($Y1319="",$D$6=""),"",IF(INDEX($A:$U,ROW(),$D$6)="",0,IF(ISNUMBER(INDEX($A:$U,ROW(),$D$6)),INDEX($A:$U,ROW(),$D$6),IFERROR(--SUBSTITUTE(SUBSTITUTE(TRIM(INDEX($A:$U,ROW(),$D$6)),",",""),"원",""),0))))</f>
        <v/>
      </c>
      <c r="AA1319" s="31">
        <f>IF($Y1319="","",TRIM(INDEX($A:$U,ROW(),$E$6)&amp;IF($F$6="",""," "&amp;INDEX($A:$U,ROW(),$F$6))))</f>
        <v/>
      </c>
      <c r="AB1319" s="31">
        <f>IF($AA1319="","",SUBSTITUTE(SUBSTITUTE(SUBSTITUTE(SUBSTITUTE(SUBSTITUTE(SUBSTITUTE(SUBSTITUTE(SUBSTITUTE(SUBSTITUTE($AA1319," ",""),"　",""),"(주)",""),"（주）",""),"㈜",""),"주식회사",""),"(유)",""),"（유）",""),"유한회사",""))</f>
        <v/>
      </c>
      <c r="AC1319" s="31">
        <f>IF(OR($Y1319="",N($Z1319)&lt;=0,$AB1319=""),0,IFERROR(LOOKUP(2,1/((거래처별!$AC$8:$AC$307&lt;&gt;"")*ISNUMBER(SEARCH(거래처별!$AC$8:$AC$307,$AB1319))),거래처별!$A$8:$A$307),IFERROR(LOOKUP(2,1/((거래처별!$AD$8:$AD$307&lt;&gt;"")*ISNUMBER(SEARCH(거래처별!$AD$8:$AD$307,$AB1319))),거래처별!$A$8:$A$307),IFERROR(LOOKUP(2,1/((거래처별!$AE$8:$AE$307&lt;&gt;"")*ISNUMBER(SEARCH(거래처별!$AE$8:$AE$307,$AB1319))),거래처별!$A$8:$A$307),0))))</f>
        <v/>
      </c>
      <c r="AD1319" s="31">
        <f>IF(AND($Y1319&lt;&gt;"",N($Z1319)&gt;0,$AC1319=0),MAX($AD$7:$AD1318)+1,"")</f>
        <v/>
      </c>
      <c r="AE1319" s="31">
        <f>IF($Y1319="",0,$Y1319)</f>
        <v/>
      </c>
    </row>
    <row r="1320">
      <c r="W1320" s="31">
        <f>IF(OR($B$5="",$C$6="",ROW()&lt;$B$5),"",IF(INDEX($A:$U,ROW(),$C$6)="","",INDEX($A:$U,ROW(),$C$6)))</f>
        <v/>
      </c>
      <c r="X1320" s="32">
        <f>IF($W1320="","",IF(ISNUMBER($W1320),IF($W1320&gt;=10000000,IFERROR(DATE(INT($W1320/10000),MOD(INT($W1320/100),100),MOD($W1320,100)),""),INT($W1320)),IFERROR(DATE(--LEFT(LEFT(SUBSTITUTE(SUBSTITUTE(SUBSTITUTE(SUBSTITUTE(TRIM($W1320),"-",""),".",""),"/","")," ",""),8),4),--MID(LEFT(SUBSTITUTE(SUBSTITUTE(SUBSTITUTE(SUBSTITUTE(TRIM($W1320),"-",""),".",""),"/","")," ",""),8),5,2),--MID(LEFT(SUBSTITUTE(SUBSTITUTE(SUBSTITUTE(SUBSTITUTE(TRIM($W1320),"-",""),".",""),"/","")," ",""),8),7,2)),"")))</f>
        <v/>
      </c>
      <c r="Y1320" s="32">
        <f>IF($X1320="","",INT($X1320))</f>
        <v/>
      </c>
      <c r="Z1320" s="33">
        <f>IF(OR($Y1320="",$D$6=""),"",IF(INDEX($A:$U,ROW(),$D$6)="",0,IF(ISNUMBER(INDEX($A:$U,ROW(),$D$6)),INDEX($A:$U,ROW(),$D$6),IFERROR(--SUBSTITUTE(SUBSTITUTE(TRIM(INDEX($A:$U,ROW(),$D$6)),",",""),"원",""),0))))</f>
        <v/>
      </c>
      <c r="AA1320" s="31">
        <f>IF($Y1320="","",TRIM(INDEX($A:$U,ROW(),$E$6)&amp;IF($F$6="",""," "&amp;INDEX($A:$U,ROW(),$F$6))))</f>
        <v/>
      </c>
      <c r="AB1320" s="31">
        <f>IF($AA1320="","",SUBSTITUTE(SUBSTITUTE(SUBSTITUTE(SUBSTITUTE(SUBSTITUTE(SUBSTITUTE(SUBSTITUTE(SUBSTITUTE(SUBSTITUTE($AA1320," ",""),"　",""),"(주)",""),"（주）",""),"㈜",""),"주식회사",""),"(유)",""),"（유）",""),"유한회사",""))</f>
        <v/>
      </c>
      <c r="AC1320" s="31">
        <f>IF(OR($Y1320="",N($Z1320)&lt;=0,$AB1320=""),0,IFERROR(LOOKUP(2,1/((거래처별!$AC$8:$AC$307&lt;&gt;"")*ISNUMBER(SEARCH(거래처별!$AC$8:$AC$307,$AB1320))),거래처별!$A$8:$A$307),IFERROR(LOOKUP(2,1/((거래처별!$AD$8:$AD$307&lt;&gt;"")*ISNUMBER(SEARCH(거래처별!$AD$8:$AD$307,$AB1320))),거래처별!$A$8:$A$307),IFERROR(LOOKUP(2,1/((거래처별!$AE$8:$AE$307&lt;&gt;"")*ISNUMBER(SEARCH(거래처별!$AE$8:$AE$307,$AB1320))),거래처별!$A$8:$A$307),0))))</f>
        <v/>
      </c>
      <c r="AD1320" s="31">
        <f>IF(AND($Y1320&lt;&gt;"",N($Z1320)&gt;0,$AC1320=0),MAX($AD$7:$AD1319)+1,"")</f>
        <v/>
      </c>
      <c r="AE1320" s="31">
        <f>IF($Y1320="",0,$Y1320)</f>
        <v/>
      </c>
    </row>
    <row r="1321">
      <c r="W1321" s="31">
        <f>IF(OR($B$5="",$C$6="",ROW()&lt;$B$5),"",IF(INDEX($A:$U,ROW(),$C$6)="","",INDEX($A:$U,ROW(),$C$6)))</f>
        <v/>
      </c>
      <c r="X1321" s="32">
        <f>IF($W1321="","",IF(ISNUMBER($W1321),IF($W1321&gt;=10000000,IFERROR(DATE(INT($W1321/10000),MOD(INT($W1321/100),100),MOD($W1321,100)),""),INT($W1321)),IFERROR(DATE(--LEFT(LEFT(SUBSTITUTE(SUBSTITUTE(SUBSTITUTE(SUBSTITUTE(TRIM($W1321),"-",""),".",""),"/","")," ",""),8),4),--MID(LEFT(SUBSTITUTE(SUBSTITUTE(SUBSTITUTE(SUBSTITUTE(TRIM($W1321),"-",""),".",""),"/","")," ",""),8),5,2),--MID(LEFT(SUBSTITUTE(SUBSTITUTE(SUBSTITUTE(SUBSTITUTE(TRIM($W1321),"-",""),".",""),"/","")," ",""),8),7,2)),"")))</f>
        <v/>
      </c>
      <c r="Y1321" s="32">
        <f>IF($X1321="","",INT($X1321))</f>
        <v/>
      </c>
      <c r="Z1321" s="33">
        <f>IF(OR($Y1321="",$D$6=""),"",IF(INDEX($A:$U,ROW(),$D$6)="",0,IF(ISNUMBER(INDEX($A:$U,ROW(),$D$6)),INDEX($A:$U,ROW(),$D$6),IFERROR(--SUBSTITUTE(SUBSTITUTE(TRIM(INDEX($A:$U,ROW(),$D$6)),",",""),"원",""),0))))</f>
        <v/>
      </c>
      <c r="AA1321" s="31">
        <f>IF($Y1321="","",TRIM(INDEX($A:$U,ROW(),$E$6)&amp;IF($F$6="",""," "&amp;INDEX($A:$U,ROW(),$F$6))))</f>
        <v/>
      </c>
      <c r="AB1321" s="31">
        <f>IF($AA1321="","",SUBSTITUTE(SUBSTITUTE(SUBSTITUTE(SUBSTITUTE(SUBSTITUTE(SUBSTITUTE(SUBSTITUTE(SUBSTITUTE(SUBSTITUTE($AA1321," ",""),"　",""),"(주)",""),"（주）",""),"㈜",""),"주식회사",""),"(유)",""),"（유）",""),"유한회사",""))</f>
        <v/>
      </c>
      <c r="AC1321" s="31">
        <f>IF(OR($Y1321="",N($Z1321)&lt;=0,$AB1321=""),0,IFERROR(LOOKUP(2,1/((거래처별!$AC$8:$AC$307&lt;&gt;"")*ISNUMBER(SEARCH(거래처별!$AC$8:$AC$307,$AB1321))),거래처별!$A$8:$A$307),IFERROR(LOOKUP(2,1/((거래처별!$AD$8:$AD$307&lt;&gt;"")*ISNUMBER(SEARCH(거래처별!$AD$8:$AD$307,$AB1321))),거래처별!$A$8:$A$307),IFERROR(LOOKUP(2,1/((거래처별!$AE$8:$AE$307&lt;&gt;"")*ISNUMBER(SEARCH(거래처별!$AE$8:$AE$307,$AB1321))),거래처별!$A$8:$A$307),0))))</f>
        <v/>
      </c>
      <c r="AD1321" s="31">
        <f>IF(AND($Y1321&lt;&gt;"",N($Z1321)&gt;0,$AC1321=0),MAX($AD$7:$AD1320)+1,"")</f>
        <v/>
      </c>
      <c r="AE1321" s="31">
        <f>IF($Y1321="",0,$Y1321)</f>
        <v/>
      </c>
    </row>
    <row r="1322">
      <c r="W1322" s="31">
        <f>IF(OR($B$5="",$C$6="",ROW()&lt;$B$5),"",IF(INDEX($A:$U,ROW(),$C$6)="","",INDEX($A:$U,ROW(),$C$6)))</f>
        <v/>
      </c>
      <c r="X1322" s="32">
        <f>IF($W1322="","",IF(ISNUMBER($W1322),IF($W1322&gt;=10000000,IFERROR(DATE(INT($W1322/10000),MOD(INT($W1322/100),100),MOD($W1322,100)),""),INT($W1322)),IFERROR(DATE(--LEFT(LEFT(SUBSTITUTE(SUBSTITUTE(SUBSTITUTE(SUBSTITUTE(TRIM($W1322),"-",""),".",""),"/","")," ",""),8),4),--MID(LEFT(SUBSTITUTE(SUBSTITUTE(SUBSTITUTE(SUBSTITUTE(TRIM($W1322),"-",""),".",""),"/","")," ",""),8),5,2),--MID(LEFT(SUBSTITUTE(SUBSTITUTE(SUBSTITUTE(SUBSTITUTE(TRIM($W1322),"-",""),".",""),"/","")," ",""),8),7,2)),"")))</f>
        <v/>
      </c>
      <c r="Y1322" s="32">
        <f>IF($X1322="","",INT($X1322))</f>
        <v/>
      </c>
      <c r="Z1322" s="33">
        <f>IF(OR($Y1322="",$D$6=""),"",IF(INDEX($A:$U,ROW(),$D$6)="",0,IF(ISNUMBER(INDEX($A:$U,ROW(),$D$6)),INDEX($A:$U,ROW(),$D$6),IFERROR(--SUBSTITUTE(SUBSTITUTE(TRIM(INDEX($A:$U,ROW(),$D$6)),",",""),"원",""),0))))</f>
        <v/>
      </c>
      <c r="AA1322" s="31">
        <f>IF($Y1322="","",TRIM(INDEX($A:$U,ROW(),$E$6)&amp;IF($F$6="",""," "&amp;INDEX($A:$U,ROW(),$F$6))))</f>
        <v/>
      </c>
      <c r="AB1322" s="31">
        <f>IF($AA1322="","",SUBSTITUTE(SUBSTITUTE(SUBSTITUTE(SUBSTITUTE(SUBSTITUTE(SUBSTITUTE(SUBSTITUTE(SUBSTITUTE(SUBSTITUTE($AA1322," ",""),"　",""),"(주)",""),"（주）",""),"㈜",""),"주식회사",""),"(유)",""),"（유）",""),"유한회사",""))</f>
        <v/>
      </c>
      <c r="AC1322" s="31">
        <f>IF(OR($Y1322="",N($Z1322)&lt;=0,$AB1322=""),0,IFERROR(LOOKUP(2,1/((거래처별!$AC$8:$AC$307&lt;&gt;"")*ISNUMBER(SEARCH(거래처별!$AC$8:$AC$307,$AB1322))),거래처별!$A$8:$A$307),IFERROR(LOOKUP(2,1/((거래처별!$AD$8:$AD$307&lt;&gt;"")*ISNUMBER(SEARCH(거래처별!$AD$8:$AD$307,$AB1322))),거래처별!$A$8:$A$307),IFERROR(LOOKUP(2,1/((거래처별!$AE$8:$AE$307&lt;&gt;"")*ISNUMBER(SEARCH(거래처별!$AE$8:$AE$307,$AB1322))),거래처별!$A$8:$A$307),0))))</f>
        <v/>
      </c>
      <c r="AD1322" s="31">
        <f>IF(AND($Y1322&lt;&gt;"",N($Z1322)&gt;0,$AC1322=0),MAX($AD$7:$AD1321)+1,"")</f>
        <v/>
      </c>
      <c r="AE1322" s="31">
        <f>IF($Y1322="",0,$Y1322)</f>
        <v/>
      </c>
    </row>
    <row r="1323">
      <c r="W1323" s="31">
        <f>IF(OR($B$5="",$C$6="",ROW()&lt;$B$5),"",IF(INDEX($A:$U,ROW(),$C$6)="","",INDEX($A:$U,ROW(),$C$6)))</f>
        <v/>
      </c>
      <c r="X1323" s="32">
        <f>IF($W1323="","",IF(ISNUMBER($W1323),IF($W1323&gt;=10000000,IFERROR(DATE(INT($W1323/10000),MOD(INT($W1323/100),100),MOD($W1323,100)),""),INT($W1323)),IFERROR(DATE(--LEFT(LEFT(SUBSTITUTE(SUBSTITUTE(SUBSTITUTE(SUBSTITUTE(TRIM($W1323),"-",""),".",""),"/","")," ",""),8),4),--MID(LEFT(SUBSTITUTE(SUBSTITUTE(SUBSTITUTE(SUBSTITUTE(TRIM($W1323),"-",""),".",""),"/","")," ",""),8),5,2),--MID(LEFT(SUBSTITUTE(SUBSTITUTE(SUBSTITUTE(SUBSTITUTE(TRIM($W1323),"-",""),".",""),"/","")," ",""),8),7,2)),"")))</f>
        <v/>
      </c>
      <c r="Y1323" s="32">
        <f>IF($X1323="","",INT($X1323))</f>
        <v/>
      </c>
      <c r="Z1323" s="33">
        <f>IF(OR($Y1323="",$D$6=""),"",IF(INDEX($A:$U,ROW(),$D$6)="",0,IF(ISNUMBER(INDEX($A:$U,ROW(),$D$6)),INDEX($A:$U,ROW(),$D$6),IFERROR(--SUBSTITUTE(SUBSTITUTE(TRIM(INDEX($A:$U,ROW(),$D$6)),",",""),"원",""),0))))</f>
        <v/>
      </c>
      <c r="AA1323" s="31">
        <f>IF($Y1323="","",TRIM(INDEX($A:$U,ROW(),$E$6)&amp;IF($F$6="",""," "&amp;INDEX($A:$U,ROW(),$F$6))))</f>
        <v/>
      </c>
      <c r="AB1323" s="31">
        <f>IF($AA1323="","",SUBSTITUTE(SUBSTITUTE(SUBSTITUTE(SUBSTITUTE(SUBSTITUTE(SUBSTITUTE(SUBSTITUTE(SUBSTITUTE(SUBSTITUTE($AA1323," ",""),"　",""),"(주)",""),"（주）",""),"㈜",""),"주식회사",""),"(유)",""),"（유）",""),"유한회사",""))</f>
        <v/>
      </c>
      <c r="AC1323" s="31">
        <f>IF(OR($Y1323="",N($Z1323)&lt;=0,$AB1323=""),0,IFERROR(LOOKUP(2,1/((거래처별!$AC$8:$AC$307&lt;&gt;"")*ISNUMBER(SEARCH(거래처별!$AC$8:$AC$307,$AB1323))),거래처별!$A$8:$A$307),IFERROR(LOOKUP(2,1/((거래처별!$AD$8:$AD$307&lt;&gt;"")*ISNUMBER(SEARCH(거래처별!$AD$8:$AD$307,$AB1323))),거래처별!$A$8:$A$307),IFERROR(LOOKUP(2,1/((거래처별!$AE$8:$AE$307&lt;&gt;"")*ISNUMBER(SEARCH(거래처별!$AE$8:$AE$307,$AB1323))),거래처별!$A$8:$A$307),0))))</f>
        <v/>
      </c>
      <c r="AD1323" s="31">
        <f>IF(AND($Y1323&lt;&gt;"",N($Z1323)&gt;0,$AC1323=0),MAX($AD$7:$AD1322)+1,"")</f>
        <v/>
      </c>
      <c r="AE1323" s="31">
        <f>IF($Y1323="",0,$Y1323)</f>
        <v/>
      </c>
    </row>
    <row r="1324">
      <c r="W1324" s="31">
        <f>IF(OR($B$5="",$C$6="",ROW()&lt;$B$5),"",IF(INDEX($A:$U,ROW(),$C$6)="","",INDEX($A:$U,ROW(),$C$6)))</f>
        <v/>
      </c>
      <c r="X1324" s="32">
        <f>IF($W1324="","",IF(ISNUMBER($W1324),IF($W1324&gt;=10000000,IFERROR(DATE(INT($W1324/10000),MOD(INT($W1324/100),100),MOD($W1324,100)),""),INT($W1324)),IFERROR(DATE(--LEFT(LEFT(SUBSTITUTE(SUBSTITUTE(SUBSTITUTE(SUBSTITUTE(TRIM($W1324),"-",""),".",""),"/","")," ",""),8),4),--MID(LEFT(SUBSTITUTE(SUBSTITUTE(SUBSTITUTE(SUBSTITUTE(TRIM($W1324),"-",""),".",""),"/","")," ",""),8),5,2),--MID(LEFT(SUBSTITUTE(SUBSTITUTE(SUBSTITUTE(SUBSTITUTE(TRIM($W1324),"-",""),".",""),"/","")," ",""),8),7,2)),"")))</f>
        <v/>
      </c>
      <c r="Y1324" s="32">
        <f>IF($X1324="","",INT($X1324))</f>
        <v/>
      </c>
      <c r="Z1324" s="33">
        <f>IF(OR($Y1324="",$D$6=""),"",IF(INDEX($A:$U,ROW(),$D$6)="",0,IF(ISNUMBER(INDEX($A:$U,ROW(),$D$6)),INDEX($A:$U,ROW(),$D$6),IFERROR(--SUBSTITUTE(SUBSTITUTE(TRIM(INDEX($A:$U,ROW(),$D$6)),",",""),"원",""),0))))</f>
        <v/>
      </c>
      <c r="AA1324" s="31">
        <f>IF($Y1324="","",TRIM(INDEX($A:$U,ROW(),$E$6)&amp;IF($F$6="",""," "&amp;INDEX($A:$U,ROW(),$F$6))))</f>
        <v/>
      </c>
      <c r="AB1324" s="31">
        <f>IF($AA1324="","",SUBSTITUTE(SUBSTITUTE(SUBSTITUTE(SUBSTITUTE(SUBSTITUTE(SUBSTITUTE(SUBSTITUTE(SUBSTITUTE(SUBSTITUTE($AA1324," ",""),"　",""),"(주)",""),"（주）",""),"㈜",""),"주식회사",""),"(유)",""),"（유）",""),"유한회사",""))</f>
        <v/>
      </c>
      <c r="AC1324" s="31">
        <f>IF(OR($Y1324="",N($Z1324)&lt;=0,$AB1324=""),0,IFERROR(LOOKUP(2,1/((거래처별!$AC$8:$AC$307&lt;&gt;"")*ISNUMBER(SEARCH(거래처별!$AC$8:$AC$307,$AB1324))),거래처별!$A$8:$A$307),IFERROR(LOOKUP(2,1/((거래처별!$AD$8:$AD$307&lt;&gt;"")*ISNUMBER(SEARCH(거래처별!$AD$8:$AD$307,$AB1324))),거래처별!$A$8:$A$307),IFERROR(LOOKUP(2,1/((거래처별!$AE$8:$AE$307&lt;&gt;"")*ISNUMBER(SEARCH(거래처별!$AE$8:$AE$307,$AB1324))),거래처별!$A$8:$A$307),0))))</f>
        <v/>
      </c>
      <c r="AD1324" s="31">
        <f>IF(AND($Y1324&lt;&gt;"",N($Z1324)&gt;0,$AC1324=0),MAX($AD$7:$AD1323)+1,"")</f>
        <v/>
      </c>
      <c r="AE1324" s="31">
        <f>IF($Y1324="",0,$Y1324)</f>
        <v/>
      </c>
    </row>
    <row r="1325">
      <c r="W1325" s="31">
        <f>IF(OR($B$5="",$C$6="",ROW()&lt;$B$5),"",IF(INDEX($A:$U,ROW(),$C$6)="","",INDEX($A:$U,ROW(),$C$6)))</f>
        <v/>
      </c>
      <c r="X1325" s="32">
        <f>IF($W1325="","",IF(ISNUMBER($W1325),IF($W1325&gt;=10000000,IFERROR(DATE(INT($W1325/10000),MOD(INT($W1325/100),100),MOD($W1325,100)),""),INT($W1325)),IFERROR(DATE(--LEFT(LEFT(SUBSTITUTE(SUBSTITUTE(SUBSTITUTE(SUBSTITUTE(TRIM($W1325),"-",""),".",""),"/","")," ",""),8),4),--MID(LEFT(SUBSTITUTE(SUBSTITUTE(SUBSTITUTE(SUBSTITUTE(TRIM($W1325),"-",""),".",""),"/","")," ",""),8),5,2),--MID(LEFT(SUBSTITUTE(SUBSTITUTE(SUBSTITUTE(SUBSTITUTE(TRIM($W1325),"-",""),".",""),"/","")," ",""),8),7,2)),"")))</f>
        <v/>
      </c>
      <c r="Y1325" s="32">
        <f>IF($X1325="","",INT($X1325))</f>
        <v/>
      </c>
      <c r="Z1325" s="33">
        <f>IF(OR($Y1325="",$D$6=""),"",IF(INDEX($A:$U,ROW(),$D$6)="",0,IF(ISNUMBER(INDEX($A:$U,ROW(),$D$6)),INDEX($A:$U,ROW(),$D$6),IFERROR(--SUBSTITUTE(SUBSTITUTE(TRIM(INDEX($A:$U,ROW(),$D$6)),",",""),"원",""),0))))</f>
        <v/>
      </c>
      <c r="AA1325" s="31">
        <f>IF($Y1325="","",TRIM(INDEX($A:$U,ROW(),$E$6)&amp;IF($F$6="",""," "&amp;INDEX($A:$U,ROW(),$F$6))))</f>
        <v/>
      </c>
      <c r="AB1325" s="31">
        <f>IF($AA1325="","",SUBSTITUTE(SUBSTITUTE(SUBSTITUTE(SUBSTITUTE(SUBSTITUTE(SUBSTITUTE(SUBSTITUTE(SUBSTITUTE(SUBSTITUTE($AA1325," ",""),"　",""),"(주)",""),"（주）",""),"㈜",""),"주식회사",""),"(유)",""),"（유）",""),"유한회사",""))</f>
        <v/>
      </c>
      <c r="AC1325" s="31">
        <f>IF(OR($Y1325="",N($Z1325)&lt;=0,$AB1325=""),0,IFERROR(LOOKUP(2,1/((거래처별!$AC$8:$AC$307&lt;&gt;"")*ISNUMBER(SEARCH(거래처별!$AC$8:$AC$307,$AB1325))),거래처별!$A$8:$A$307),IFERROR(LOOKUP(2,1/((거래처별!$AD$8:$AD$307&lt;&gt;"")*ISNUMBER(SEARCH(거래처별!$AD$8:$AD$307,$AB1325))),거래처별!$A$8:$A$307),IFERROR(LOOKUP(2,1/((거래처별!$AE$8:$AE$307&lt;&gt;"")*ISNUMBER(SEARCH(거래처별!$AE$8:$AE$307,$AB1325))),거래처별!$A$8:$A$307),0))))</f>
        <v/>
      </c>
      <c r="AD1325" s="31">
        <f>IF(AND($Y1325&lt;&gt;"",N($Z1325)&gt;0,$AC1325=0),MAX($AD$7:$AD1324)+1,"")</f>
        <v/>
      </c>
      <c r="AE1325" s="31">
        <f>IF($Y1325="",0,$Y1325)</f>
        <v/>
      </c>
    </row>
    <row r="1326">
      <c r="W1326" s="31">
        <f>IF(OR($B$5="",$C$6="",ROW()&lt;$B$5),"",IF(INDEX($A:$U,ROW(),$C$6)="","",INDEX($A:$U,ROW(),$C$6)))</f>
        <v/>
      </c>
      <c r="X1326" s="32">
        <f>IF($W1326="","",IF(ISNUMBER($W1326),IF($W1326&gt;=10000000,IFERROR(DATE(INT($W1326/10000),MOD(INT($W1326/100),100),MOD($W1326,100)),""),INT($W1326)),IFERROR(DATE(--LEFT(LEFT(SUBSTITUTE(SUBSTITUTE(SUBSTITUTE(SUBSTITUTE(TRIM($W1326),"-",""),".",""),"/","")," ",""),8),4),--MID(LEFT(SUBSTITUTE(SUBSTITUTE(SUBSTITUTE(SUBSTITUTE(TRIM($W1326),"-",""),".",""),"/","")," ",""),8),5,2),--MID(LEFT(SUBSTITUTE(SUBSTITUTE(SUBSTITUTE(SUBSTITUTE(TRIM($W1326),"-",""),".",""),"/","")," ",""),8),7,2)),"")))</f>
        <v/>
      </c>
      <c r="Y1326" s="32">
        <f>IF($X1326="","",INT($X1326))</f>
        <v/>
      </c>
      <c r="Z1326" s="33">
        <f>IF(OR($Y1326="",$D$6=""),"",IF(INDEX($A:$U,ROW(),$D$6)="",0,IF(ISNUMBER(INDEX($A:$U,ROW(),$D$6)),INDEX($A:$U,ROW(),$D$6),IFERROR(--SUBSTITUTE(SUBSTITUTE(TRIM(INDEX($A:$U,ROW(),$D$6)),",",""),"원",""),0))))</f>
        <v/>
      </c>
      <c r="AA1326" s="31">
        <f>IF($Y1326="","",TRIM(INDEX($A:$U,ROW(),$E$6)&amp;IF($F$6="",""," "&amp;INDEX($A:$U,ROW(),$F$6))))</f>
        <v/>
      </c>
      <c r="AB1326" s="31">
        <f>IF($AA1326="","",SUBSTITUTE(SUBSTITUTE(SUBSTITUTE(SUBSTITUTE(SUBSTITUTE(SUBSTITUTE(SUBSTITUTE(SUBSTITUTE(SUBSTITUTE($AA1326," ",""),"　",""),"(주)",""),"（주）",""),"㈜",""),"주식회사",""),"(유)",""),"（유）",""),"유한회사",""))</f>
        <v/>
      </c>
      <c r="AC1326" s="31">
        <f>IF(OR($Y1326="",N($Z1326)&lt;=0,$AB1326=""),0,IFERROR(LOOKUP(2,1/((거래처별!$AC$8:$AC$307&lt;&gt;"")*ISNUMBER(SEARCH(거래처별!$AC$8:$AC$307,$AB1326))),거래처별!$A$8:$A$307),IFERROR(LOOKUP(2,1/((거래처별!$AD$8:$AD$307&lt;&gt;"")*ISNUMBER(SEARCH(거래처별!$AD$8:$AD$307,$AB1326))),거래처별!$A$8:$A$307),IFERROR(LOOKUP(2,1/((거래처별!$AE$8:$AE$307&lt;&gt;"")*ISNUMBER(SEARCH(거래처별!$AE$8:$AE$307,$AB1326))),거래처별!$A$8:$A$307),0))))</f>
        <v/>
      </c>
      <c r="AD1326" s="31">
        <f>IF(AND($Y1326&lt;&gt;"",N($Z1326)&gt;0,$AC1326=0),MAX($AD$7:$AD1325)+1,"")</f>
        <v/>
      </c>
      <c r="AE1326" s="31">
        <f>IF($Y1326="",0,$Y1326)</f>
        <v/>
      </c>
    </row>
    <row r="1327">
      <c r="W1327" s="31">
        <f>IF(OR($B$5="",$C$6="",ROW()&lt;$B$5),"",IF(INDEX($A:$U,ROW(),$C$6)="","",INDEX($A:$U,ROW(),$C$6)))</f>
        <v/>
      </c>
      <c r="X1327" s="32">
        <f>IF($W1327="","",IF(ISNUMBER($W1327),IF($W1327&gt;=10000000,IFERROR(DATE(INT($W1327/10000),MOD(INT($W1327/100),100),MOD($W1327,100)),""),INT($W1327)),IFERROR(DATE(--LEFT(LEFT(SUBSTITUTE(SUBSTITUTE(SUBSTITUTE(SUBSTITUTE(TRIM($W1327),"-",""),".",""),"/","")," ",""),8),4),--MID(LEFT(SUBSTITUTE(SUBSTITUTE(SUBSTITUTE(SUBSTITUTE(TRIM($W1327),"-",""),".",""),"/","")," ",""),8),5,2),--MID(LEFT(SUBSTITUTE(SUBSTITUTE(SUBSTITUTE(SUBSTITUTE(TRIM($W1327),"-",""),".",""),"/","")," ",""),8),7,2)),"")))</f>
        <v/>
      </c>
      <c r="Y1327" s="32">
        <f>IF($X1327="","",INT($X1327))</f>
        <v/>
      </c>
      <c r="Z1327" s="33">
        <f>IF(OR($Y1327="",$D$6=""),"",IF(INDEX($A:$U,ROW(),$D$6)="",0,IF(ISNUMBER(INDEX($A:$U,ROW(),$D$6)),INDEX($A:$U,ROW(),$D$6),IFERROR(--SUBSTITUTE(SUBSTITUTE(TRIM(INDEX($A:$U,ROW(),$D$6)),",",""),"원",""),0))))</f>
        <v/>
      </c>
      <c r="AA1327" s="31">
        <f>IF($Y1327="","",TRIM(INDEX($A:$U,ROW(),$E$6)&amp;IF($F$6="",""," "&amp;INDEX($A:$U,ROW(),$F$6))))</f>
        <v/>
      </c>
      <c r="AB1327" s="31">
        <f>IF($AA1327="","",SUBSTITUTE(SUBSTITUTE(SUBSTITUTE(SUBSTITUTE(SUBSTITUTE(SUBSTITUTE(SUBSTITUTE(SUBSTITUTE(SUBSTITUTE($AA1327," ",""),"　",""),"(주)",""),"（주）",""),"㈜",""),"주식회사",""),"(유)",""),"（유）",""),"유한회사",""))</f>
        <v/>
      </c>
      <c r="AC1327" s="31">
        <f>IF(OR($Y1327="",N($Z1327)&lt;=0,$AB1327=""),0,IFERROR(LOOKUP(2,1/((거래처별!$AC$8:$AC$307&lt;&gt;"")*ISNUMBER(SEARCH(거래처별!$AC$8:$AC$307,$AB1327))),거래처별!$A$8:$A$307),IFERROR(LOOKUP(2,1/((거래처별!$AD$8:$AD$307&lt;&gt;"")*ISNUMBER(SEARCH(거래처별!$AD$8:$AD$307,$AB1327))),거래처별!$A$8:$A$307),IFERROR(LOOKUP(2,1/((거래처별!$AE$8:$AE$307&lt;&gt;"")*ISNUMBER(SEARCH(거래처별!$AE$8:$AE$307,$AB1327))),거래처별!$A$8:$A$307),0))))</f>
        <v/>
      </c>
      <c r="AD1327" s="31">
        <f>IF(AND($Y1327&lt;&gt;"",N($Z1327)&gt;0,$AC1327=0),MAX($AD$7:$AD1326)+1,"")</f>
        <v/>
      </c>
      <c r="AE1327" s="31">
        <f>IF($Y1327="",0,$Y1327)</f>
        <v/>
      </c>
    </row>
    <row r="1328">
      <c r="W1328" s="31">
        <f>IF(OR($B$5="",$C$6="",ROW()&lt;$B$5),"",IF(INDEX($A:$U,ROW(),$C$6)="","",INDEX($A:$U,ROW(),$C$6)))</f>
        <v/>
      </c>
      <c r="X1328" s="32">
        <f>IF($W1328="","",IF(ISNUMBER($W1328),IF($W1328&gt;=10000000,IFERROR(DATE(INT($W1328/10000),MOD(INT($W1328/100),100),MOD($W1328,100)),""),INT($W1328)),IFERROR(DATE(--LEFT(LEFT(SUBSTITUTE(SUBSTITUTE(SUBSTITUTE(SUBSTITUTE(TRIM($W1328),"-",""),".",""),"/","")," ",""),8),4),--MID(LEFT(SUBSTITUTE(SUBSTITUTE(SUBSTITUTE(SUBSTITUTE(TRIM($W1328),"-",""),".",""),"/","")," ",""),8),5,2),--MID(LEFT(SUBSTITUTE(SUBSTITUTE(SUBSTITUTE(SUBSTITUTE(TRIM($W1328),"-",""),".",""),"/","")," ",""),8),7,2)),"")))</f>
        <v/>
      </c>
      <c r="Y1328" s="32">
        <f>IF($X1328="","",INT($X1328))</f>
        <v/>
      </c>
      <c r="Z1328" s="33">
        <f>IF(OR($Y1328="",$D$6=""),"",IF(INDEX($A:$U,ROW(),$D$6)="",0,IF(ISNUMBER(INDEX($A:$U,ROW(),$D$6)),INDEX($A:$U,ROW(),$D$6),IFERROR(--SUBSTITUTE(SUBSTITUTE(TRIM(INDEX($A:$U,ROW(),$D$6)),",",""),"원",""),0))))</f>
        <v/>
      </c>
      <c r="AA1328" s="31">
        <f>IF($Y1328="","",TRIM(INDEX($A:$U,ROW(),$E$6)&amp;IF($F$6="",""," "&amp;INDEX($A:$U,ROW(),$F$6))))</f>
        <v/>
      </c>
      <c r="AB1328" s="31">
        <f>IF($AA1328="","",SUBSTITUTE(SUBSTITUTE(SUBSTITUTE(SUBSTITUTE(SUBSTITUTE(SUBSTITUTE(SUBSTITUTE(SUBSTITUTE(SUBSTITUTE($AA1328," ",""),"　",""),"(주)",""),"（주）",""),"㈜",""),"주식회사",""),"(유)",""),"（유）",""),"유한회사",""))</f>
        <v/>
      </c>
      <c r="AC1328" s="31">
        <f>IF(OR($Y1328="",N($Z1328)&lt;=0,$AB1328=""),0,IFERROR(LOOKUP(2,1/((거래처별!$AC$8:$AC$307&lt;&gt;"")*ISNUMBER(SEARCH(거래처별!$AC$8:$AC$307,$AB1328))),거래처별!$A$8:$A$307),IFERROR(LOOKUP(2,1/((거래처별!$AD$8:$AD$307&lt;&gt;"")*ISNUMBER(SEARCH(거래처별!$AD$8:$AD$307,$AB1328))),거래처별!$A$8:$A$307),IFERROR(LOOKUP(2,1/((거래처별!$AE$8:$AE$307&lt;&gt;"")*ISNUMBER(SEARCH(거래처별!$AE$8:$AE$307,$AB1328))),거래처별!$A$8:$A$307),0))))</f>
        <v/>
      </c>
      <c r="AD1328" s="31">
        <f>IF(AND($Y1328&lt;&gt;"",N($Z1328)&gt;0,$AC1328=0),MAX($AD$7:$AD1327)+1,"")</f>
        <v/>
      </c>
      <c r="AE1328" s="31">
        <f>IF($Y1328="",0,$Y1328)</f>
        <v/>
      </c>
    </row>
    <row r="1329">
      <c r="W1329" s="31">
        <f>IF(OR($B$5="",$C$6="",ROW()&lt;$B$5),"",IF(INDEX($A:$U,ROW(),$C$6)="","",INDEX($A:$U,ROW(),$C$6)))</f>
        <v/>
      </c>
      <c r="X1329" s="32">
        <f>IF($W1329="","",IF(ISNUMBER($W1329),IF($W1329&gt;=10000000,IFERROR(DATE(INT($W1329/10000),MOD(INT($W1329/100),100),MOD($W1329,100)),""),INT($W1329)),IFERROR(DATE(--LEFT(LEFT(SUBSTITUTE(SUBSTITUTE(SUBSTITUTE(SUBSTITUTE(TRIM($W1329),"-",""),".",""),"/","")," ",""),8),4),--MID(LEFT(SUBSTITUTE(SUBSTITUTE(SUBSTITUTE(SUBSTITUTE(TRIM($W1329),"-",""),".",""),"/","")," ",""),8),5,2),--MID(LEFT(SUBSTITUTE(SUBSTITUTE(SUBSTITUTE(SUBSTITUTE(TRIM($W1329),"-",""),".",""),"/","")," ",""),8),7,2)),"")))</f>
        <v/>
      </c>
      <c r="Y1329" s="32">
        <f>IF($X1329="","",INT($X1329))</f>
        <v/>
      </c>
      <c r="Z1329" s="33">
        <f>IF(OR($Y1329="",$D$6=""),"",IF(INDEX($A:$U,ROW(),$D$6)="",0,IF(ISNUMBER(INDEX($A:$U,ROW(),$D$6)),INDEX($A:$U,ROW(),$D$6),IFERROR(--SUBSTITUTE(SUBSTITUTE(TRIM(INDEX($A:$U,ROW(),$D$6)),",",""),"원",""),0))))</f>
        <v/>
      </c>
      <c r="AA1329" s="31">
        <f>IF($Y1329="","",TRIM(INDEX($A:$U,ROW(),$E$6)&amp;IF($F$6="",""," "&amp;INDEX($A:$U,ROW(),$F$6))))</f>
        <v/>
      </c>
      <c r="AB1329" s="31">
        <f>IF($AA1329="","",SUBSTITUTE(SUBSTITUTE(SUBSTITUTE(SUBSTITUTE(SUBSTITUTE(SUBSTITUTE(SUBSTITUTE(SUBSTITUTE(SUBSTITUTE($AA1329," ",""),"　",""),"(주)",""),"（주）",""),"㈜",""),"주식회사",""),"(유)",""),"（유）",""),"유한회사",""))</f>
        <v/>
      </c>
      <c r="AC1329" s="31">
        <f>IF(OR($Y1329="",N($Z1329)&lt;=0,$AB1329=""),0,IFERROR(LOOKUP(2,1/((거래처별!$AC$8:$AC$307&lt;&gt;"")*ISNUMBER(SEARCH(거래처별!$AC$8:$AC$307,$AB1329))),거래처별!$A$8:$A$307),IFERROR(LOOKUP(2,1/((거래처별!$AD$8:$AD$307&lt;&gt;"")*ISNUMBER(SEARCH(거래처별!$AD$8:$AD$307,$AB1329))),거래처별!$A$8:$A$307),IFERROR(LOOKUP(2,1/((거래처별!$AE$8:$AE$307&lt;&gt;"")*ISNUMBER(SEARCH(거래처별!$AE$8:$AE$307,$AB1329))),거래처별!$A$8:$A$307),0))))</f>
        <v/>
      </c>
      <c r="AD1329" s="31">
        <f>IF(AND($Y1329&lt;&gt;"",N($Z1329)&gt;0,$AC1329=0),MAX($AD$7:$AD1328)+1,"")</f>
        <v/>
      </c>
      <c r="AE1329" s="31">
        <f>IF($Y1329="",0,$Y1329)</f>
        <v/>
      </c>
    </row>
    <row r="1330">
      <c r="W1330" s="31">
        <f>IF(OR($B$5="",$C$6="",ROW()&lt;$B$5),"",IF(INDEX($A:$U,ROW(),$C$6)="","",INDEX($A:$U,ROW(),$C$6)))</f>
        <v/>
      </c>
      <c r="X1330" s="32">
        <f>IF($W1330="","",IF(ISNUMBER($W1330),IF($W1330&gt;=10000000,IFERROR(DATE(INT($W1330/10000),MOD(INT($W1330/100),100),MOD($W1330,100)),""),INT($W1330)),IFERROR(DATE(--LEFT(LEFT(SUBSTITUTE(SUBSTITUTE(SUBSTITUTE(SUBSTITUTE(TRIM($W1330),"-",""),".",""),"/","")," ",""),8),4),--MID(LEFT(SUBSTITUTE(SUBSTITUTE(SUBSTITUTE(SUBSTITUTE(TRIM($W1330),"-",""),".",""),"/","")," ",""),8),5,2),--MID(LEFT(SUBSTITUTE(SUBSTITUTE(SUBSTITUTE(SUBSTITUTE(TRIM($W1330),"-",""),".",""),"/","")," ",""),8),7,2)),"")))</f>
        <v/>
      </c>
      <c r="Y1330" s="32">
        <f>IF($X1330="","",INT($X1330))</f>
        <v/>
      </c>
      <c r="Z1330" s="33">
        <f>IF(OR($Y1330="",$D$6=""),"",IF(INDEX($A:$U,ROW(),$D$6)="",0,IF(ISNUMBER(INDEX($A:$U,ROW(),$D$6)),INDEX($A:$U,ROW(),$D$6),IFERROR(--SUBSTITUTE(SUBSTITUTE(TRIM(INDEX($A:$U,ROW(),$D$6)),",",""),"원",""),0))))</f>
        <v/>
      </c>
      <c r="AA1330" s="31">
        <f>IF($Y1330="","",TRIM(INDEX($A:$U,ROW(),$E$6)&amp;IF($F$6="",""," "&amp;INDEX($A:$U,ROW(),$F$6))))</f>
        <v/>
      </c>
      <c r="AB1330" s="31">
        <f>IF($AA1330="","",SUBSTITUTE(SUBSTITUTE(SUBSTITUTE(SUBSTITUTE(SUBSTITUTE(SUBSTITUTE(SUBSTITUTE(SUBSTITUTE(SUBSTITUTE($AA1330," ",""),"　",""),"(주)",""),"（주）",""),"㈜",""),"주식회사",""),"(유)",""),"（유）",""),"유한회사",""))</f>
        <v/>
      </c>
      <c r="AC1330" s="31">
        <f>IF(OR($Y1330="",N($Z1330)&lt;=0,$AB1330=""),0,IFERROR(LOOKUP(2,1/((거래처별!$AC$8:$AC$307&lt;&gt;"")*ISNUMBER(SEARCH(거래처별!$AC$8:$AC$307,$AB1330))),거래처별!$A$8:$A$307),IFERROR(LOOKUP(2,1/((거래처별!$AD$8:$AD$307&lt;&gt;"")*ISNUMBER(SEARCH(거래처별!$AD$8:$AD$307,$AB1330))),거래처별!$A$8:$A$307),IFERROR(LOOKUP(2,1/((거래처별!$AE$8:$AE$307&lt;&gt;"")*ISNUMBER(SEARCH(거래처별!$AE$8:$AE$307,$AB1330))),거래처별!$A$8:$A$307),0))))</f>
        <v/>
      </c>
      <c r="AD1330" s="31">
        <f>IF(AND($Y1330&lt;&gt;"",N($Z1330)&gt;0,$AC1330=0),MAX($AD$7:$AD1329)+1,"")</f>
        <v/>
      </c>
      <c r="AE1330" s="31">
        <f>IF($Y1330="",0,$Y1330)</f>
        <v/>
      </c>
    </row>
    <row r="1331">
      <c r="W1331" s="31">
        <f>IF(OR($B$5="",$C$6="",ROW()&lt;$B$5),"",IF(INDEX($A:$U,ROW(),$C$6)="","",INDEX($A:$U,ROW(),$C$6)))</f>
        <v/>
      </c>
      <c r="X1331" s="32">
        <f>IF($W1331="","",IF(ISNUMBER($W1331),IF($W1331&gt;=10000000,IFERROR(DATE(INT($W1331/10000),MOD(INT($W1331/100),100),MOD($W1331,100)),""),INT($W1331)),IFERROR(DATE(--LEFT(LEFT(SUBSTITUTE(SUBSTITUTE(SUBSTITUTE(SUBSTITUTE(TRIM($W1331),"-",""),".",""),"/","")," ",""),8),4),--MID(LEFT(SUBSTITUTE(SUBSTITUTE(SUBSTITUTE(SUBSTITUTE(TRIM($W1331),"-",""),".",""),"/","")," ",""),8),5,2),--MID(LEFT(SUBSTITUTE(SUBSTITUTE(SUBSTITUTE(SUBSTITUTE(TRIM($W1331),"-",""),".",""),"/","")," ",""),8),7,2)),"")))</f>
        <v/>
      </c>
      <c r="Y1331" s="32">
        <f>IF($X1331="","",INT($X1331))</f>
        <v/>
      </c>
      <c r="Z1331" s="33">
        <f>IF(OR($Y1331="",$D$6=""),"",IF(INDEX($A:$U,ROW(),$D$6)="",0,IF(ISNUMBER(INDEX($A:$U,ROW(),$D$6)),INDEX($A:$U,ROW(),$D$6),IFERROR(--SUBSTITUTE(SUBSTITUTE(TRIM(INDEX($A:$U,ROW(),$D$6)),",",""),"원",""),0))))</f>
        <v/>
      </c>
      <c r="AA1331" s="31">
        <f>IF($Y1331="","",TRIM(INDEX($A:$U,ROW(),$E$6)&amp;IF($F$6="",""," "&amp;INDEX($A:$U,ROW(),$F$6))))</f>
        <v/>
      </c>
      <c r="AB1331" s="31">
        <f>IF($AA1331="","",SUBSTITUTE(SUBSTITUTE(SUBSTITUTE(SUBSTITUTE(SUBSTITUTE(SUBSTITUTE(SUBSTITUTE(SUBSTITUTE(SUBSTITUTE($AA1331," ",""),"　",""),"(주)",""),"（주）",""),"㈜",""),"주식회사",""),"(유)",""),"（유）",""),"유한회사",""))</f>
        <v/>
      </c>
      <c r="AC1331" s="31">
        <f>IF(OR($Y1331="",N($Z1331)&lt;=0,$AB1331=""),0,IFERROR(LOOKUP(2,1/((거래처별!$AC$8:$AC$307&lt;&gt;"")*ISNUMBER(SEARCH(거래처별!$AC$8:$AC$307,$AB1331))),거래처별!$A$8:$A$307),IFERROR(LOOKUP(2,1/((거래처별!$AD$8:$AD$307&lt;&gt;"")*ISNUMBER(SEARCH(거래처별!$AD$8:$AD$307,$AB1331))),거래처별!$A$8:$A$307),IFERROR(LOOKUP(2,1/((거래처별!$AE$8:$AE$307&lt;&gt;"")*ISNUMBER(SEARCH(거래처별!$AE$8:$AE$307,$AB1331))),거래처별!$A$8:$A$307),0))))</f>
        <v/>
      </c>
      <c r="AD1331" s="31">
        <f>IF(AND($Y1331&lt;&gt;"",N($Z1331)&gt;0,$AC1331=0),MAX($AD$7:$AD1330)+1,"")</f>
        <v/>
      </c>
      <c r="AE1331" s="31">
        <f>IF($Y1331="",0,$Y1331)</f>
        <v/>
      </c>
    </row>
    <row r="1332">
      <c r="W1332" s="31">
        <f>IF(OR($B$5="",$C$6="",ROW()&lt;$B$5),"",IF(INDEX($A:$U,ROW(),$C$6)="","",INDEX($A:$U,ROW(),$C$6)))</f>
        <v/>
      </c>
      <c r="X1332" s="32">
        <f>IF($W1332="","",IF(ISNUMBER($W1332),IF($W1332&gt;=10000000,IFERROR(DATE(INT($W1332/10000),MOD(INT($W1332/100),100),MOD($W1332,100)),""),INT($W1332)),IFERROR(DATE(--LEFT(LEFT(SUBSTITUTE(SUBSTITUTE(SUBSTITUTE(SUBSTITUTE(TRIM($W1332),"-",""),".",""),"/","")," ",""),8),4),--MID(LEFT(SUBSTITUTE(SUBSTITUTE(SUBSTITUTE(SUBSTITUTE(TRIM($W1332),"-",""),".",""),"/","")," ",""),8),5,2),--MID(LEFT(SUBSTITUTE(SUBSTITUTE(SUBSTITUTE(SUBSTITUTE(TRIM($W1332),"-",""),".",""),"/","")," ",""),8),7,2)),"")))</f>
        <v/>
      </c>
      <c r="Y1332" s="32">
        <f>IF($X1332="","",INT($X1332))</f>
        <v/>
      </c>
      <c r="Z1332" s="33">
        <f>IF(OR($Y1332="",$D$6=""),"",IF(INDEX($A:$U,ROW(),$D$6)="",0,IF(ISNUMBER(INDEX($A:$U,ROW(),$D$6)),INDEX($A:$U,ROW(),$D$6),IFERROR(--SUBSTITUTE(SUBSTITUTE(TRIM(INDEX($A:$U,ROW(),$D$6)),",",""),"원",""),0))))</f>
        <v/>
      </c>
      <c r="AA1332" s="31">
        <f>IF($Y1332="","",TRIM(INDEX($A:$U,ROW(),$E$6)&amp;IF($F$6="",""," "&amp;INDEX($A:$U,ROW(),$F$6))))</f>
        <v/>
      </c>
      <c r="AB1332" s="31">
        <f>IF($AA1332="","",SUBSTITUTE(SUBSTITUTE(SUBSTITUTE(SUBSTITUTE(SUBSTITUTE(SUBSTITUTE(SUBSTITUTE(SUBSTITUTE(SUBSTITUTE($AA1332," ",""),"　",""),"(주)",""),"（주）",""),"㈜",""),"주식회사",""),"(유)",""),"（유）",""),"유한회사",""))</f>
        <v/>
      </c>
      <c r="AC1332" s="31">
        <f>IF(OR($Y1332="",N($Z1332)&lt;=0,$AB1332=""),0,IFERROR(LOOKUP(2,1/((거래처별!$AC$8:$AC$307&lt;&gt;"")*ISNUMBER(SEARCH(거래처별!$AC$8:$AC$307,$AB1332))),거래처별!$A$8:$A$307),IFERROR(LOOKUP(2,1/((거래처별!$AD$8:$AD$307&lt;&gt;"")*ISNUMBER(SEARCH(거래처별!$AD$8:$AD$307,$AB1332))),거래처별!$A$8:$A$307),IFERROR(LOOKUP(2,1/((거래처별!$AE$8:$AE$307&lt;&gt;"")*ISNUMBER(SEARCH(거래처별!$AE$8:$AE$307,$AB1332))),거래처별!$A$8:$A$307),0))))</f>
        <v/>
      </c>
      <c r="AD1332" s="31">
        <f>IF(AND($Y1332&lt;&gt;"",N($Z1332)&gt;0,$AC1332=0),MAX($AD$7:$AD1331)+1,"")</f>
        <v/>
      </c>
      <c r="AE1332" s="31">
        <f>IF($Y1332="",0,$Y1332)</f>
        <v/>
      </c>
    </row>
    <row r="1333">
      <c r="W1333" s="31">
        <f>IF(OR($B$5="",$C$6="",ROW()&lt;$B$5),"",IF(INDEX($A:$U,ROW(),$C$6)="","",INDEX($A:$U,ROW(),$C$6)))</f>
        <v/>
      </c>
      <c r="X1333" s="32">
        <f>IF($W1333="","",IF(ISNUMBER($W1333),IF($W1333&gt;=10000000,IFERROR(DATE(INT($W1333/10000),MOD(INT($W1333/100),100),MOD($W1333,100)),""),INT($W1333)),IFERROR(DATE(--LEFT(LEFT(SUBSTITUTE(SUBSTITUTE(SUBSTITUTE(SUBSTITUTE(TRIM($W1333),"-",""),".",""),"/","")," ",""),8),4),--MID(LEFT(SUBSTITUTE(SUBSTITUTE(SUBSTITUTE(SUBSTITUTE(TRIM($W1333),"-",""),".",""),"/","")," ",""),8),5,2),--MID(LEFT(SUBSTITUTE(SUBSTITUTE(SUBSTITUTE(SUBSTITUTE(TRIM($W1333),"-",""),".",""),"/","")," ",""),8),7,2)),"")))</f>
        <v/>
      </c>
      <c r="Y1333" s="32">
        <f>IF($X1333="","",INT($X1333))</f>
        <v/>
      </c>
      <c r="Z1333" s="33">
        <f>IF(OR($Y1333="",$D$6=""),"",IF(INDEX($A:$U,ROW(),$D$6)="",0,IF(ISNUMBER(INDEX($A:$U,ROW(),$D$6)),INDEX($A:$U,ROW(),$D$6),IFERROR(--SUBSTITUTE(SUBSTITUTE(TRIM(INDEX($A:$U,ROW(),$D$6)),",",""),"원",""),0))))</f>
        <v/>
      </c>
      <c r="AA1333" s="31">
        <f>IF($Y1333="","",TRIM(INDEX($A:$U,ROW(),$E$6)&amp;IF($F$6="",""," "&amp;INDEX($A:$U,ROW(),$F$6))))</f>
        <v/>
      </c>
      <c r="AB1333" s="31">
        <f>IF($AA1333="","",SUBSTITUTE(SUBSTITUTE(SUBSTITUTE(SUBSTITUTE(SUBSTITUTE(SUBSTITUTE(SUBSTITUTE(SUBSTITUTE(SUBSTITUTE($AA1333," ",""),"　",""),"(주)",""),"（주）",""),"㈜",""),"주식회사",""),"(유)",""),"（유）",""),"유한회사",""))</f>
        <v/>
      </c>
      <c r="AC1333" s="31">
        <f>IF(OR($Y1333="",N($Z1333)&lt;=0,$AB1333=""),0,IFERROR(LOOKUP(2,1/((거래처별!$AC$8:$AC$307&lt;&gt;"")*ISNUMBER(SEARCH(거래처별!$AC$8:$AC$307,$AB1333))),거래처별!$A$8:$A$307),IFERROR(LOOKUP(2,1/((거래처별!$AD$8:$AD$307&lt;&gt;"")*ISNUMBER(SEARCH(거래처별!$AD$8:$AD$307,$AB1333))),거래처별!$A$8:$A$307),IFERROR(LOOKUP(2,1/((거래처별!$AE$8:$AE$307&lt;&gt;"")*ISNUMBER(SEARCH(거래처별!$AE$8:$AE$307,$AB1333))),거래처별!$A$8:$A$307),0))))</f>
        <v/>
      </c>
      <c r="AD1333" s="31">
        <f>IF(AND($Y1333&lt;&gt;"",N($Z1333)&gt;0,$AC1333=0),MAX($AD$7:$AD1332)+1,"")</f>
        <v/>
      </c>
      <c r="AE1333" s="31">
        <f>IF($Y1333="",0,$Y1333)</f>
        <v/>
      </c>
    </row>
    <row r="1334">
      <c r="W1334" s="31">
        <f>IF(OR($B$5="",$C$6="",ROW()&lt;$B$5),"",IF(INDEX($A:$U,ROW(),$C$6)="","",INDEX($A:$U,ROW(),$C$6)))</f>
        <v/>
      </c>
      <c r="X1334" s="32">
        <f>IF($W1334="","",IF(ISNUMBER($W1334),IF($W1334&gt;=10000000,IFERROR(DATE(INT($W1334/10000),MOD(INT($W1334/100),100),MOD($W1334,100)),""),INT($W1334)),IFERROR(DATE(--LEFT(LEFT(SUBSTITUTE(SUBSTITUTE(SUBSTITUTE(SUBSTITUTE(TRIM($W1334),"-",""),".",""),"/","")," ",""),8),4),--MID(LEFT(SUBSTITUTE(SUBSTITUTE(SUBSTITUTE(SUBSTITUTE(TRIM($W1334),"-",""),".",""),"/","")," ",""),8),5,2),--MID(LEFT(SUBSTITUTE(SUBSTITUTE(SUBSTITUTE(SUBSTITUTE(TRIM($W1334),"-",""),".",""),"/","")," ",""),8),7,2)),"")))</f>
        <v/>
      </c>
      <c r="Y1334" s="32">
        <f>IF($X1334="","",INT($X1334))</f>
        <v/>
      </c>
      <c r="Z1334" s="33">
        <f>IF(OR($Y1334="",$D$6=""),"",IF(INDEX($A:$U,ROW(),$D$6)="",0,IF(ISNUMBER(INDEX($A:$U,ROW(),$D$6)),INDEX($A:$U,ROW(),$D$6),IFERROR(--SUBSTITUTE(SUBSTITUTE(TRIM(INDEX($A:$U,ROW(),$D$6)),",",""),"원",""),0))))</f>
        <v/>
      </c>
      <c r="AA1334" s="31">
        <f>IF($Y1334="","",TRIM(INDEX($A:$U,ROW(),$E$6)&amp;IF($F$6="",""," "&amp;INDEX($A:$U,ROW(),$F$6))))</f>
        <v/>
      </c>
      <c r="AB1334" s="31">
        <f>IF($AA1334="","",SUBSTITUTE(SUBSTITUTE(SUBSTITUTE(SUBSTITUTE(SUBSTITUTE(SUBSTITUTE(SUBSTITUTE(SUBSTITUTE(SUBSTITUTE($AA1334," ",""),"　",""),"(주)",""),"（주）",""),"㈜",""),"주식회사",""),"(유)",""),"（유）",""),"유한회사",""))</f>
        <v/>
      </c>
      <c r="AC1334" s="31">
        <f>IF(OR($Y1334="",N($Z1334)&lt;=0,$AB1334=""),0,IFERROR(LOOKUP(2,1/((거래처별!$AC$8:$AC$307&lt;&gt;"")*ISNUMBER(SEARCH(거래처별!$AC$8:$AC$307,$AB1334))),거래처별!$A$8:$A$307),IFERROR(LOOKUP(2,1/((거래처별!$AD$8:$AD$307&lt;&gt;"")*ISNUMBER(SEARCH(거래처별!$AD$8:$AD$307,$AB1334))),거래처별!$A$8:$A$307),IFERROR(LOOKUP(2,1/((거래처별!$AE$8:$AE$307&lt;&gt;"")*ISNUMBER(SEARCH(거래처별!$AE$8:$AE$307,$AB1334))),거래처별!$A$8:$A$307),0))))</f>
        <v/>
      </c>
      <c r="AD1334" s="31">
        <f>IF(AND($Y1334&lt;&gt;"",N($Z1334)&gt;0,$AC1334=0),MAX($AD$7:$AD1333)+1,"")</f>
        <v/>
      </c>
      <c r="AE1334" s="31">
        <f>IF($Y1334="",0,$Y1334)</f>
        <v/>
      </c>
    </row>
    <row r="1335">
      <c r="W1335" s="31">
        <f>IF(OR($B$5="",$C$6="",ROW()&lt;$B$5),"",IF(INDEX($A:$U,ROW(),$C$6)="","",INDEX($A:$U,ROW(),$C$6)))</f>
        <v/>
      </c>
      <c r="X1335" s="32">
        <f>IF($W1335="","",IF(ISNUMBER($W1335),IF($W1335&gt;=10000000,IFERROR(DATE(INT($W1335/10000),MOD(INT($W1335/100),100),MOD($W1335,100)),""),INT($W1335)),IFERROR(DATE(--LEFT(LEFT(SUBSTITUTE(SUBSTITUTE(SUBSTITUTE(SUBSTITUTE(TRIM($W1335),"-",""),".",""),"/","")," ",""),8),4),--MID(LEFT(SUBSTITUTE(SUBSTITUTE(SUBSTITUTE(SUBSTITUTE(TRIM($W1335),"-",""),".",""),"/","")," ",""),8),5,2),--MID(LEFT(SUBSTITUTE(SUBSTITUTE(SUBSTITUTE(SUBSTITUTE(TRIM($W1335),"-",""),".",""),"/","")," ",""),8),7,2)),"")))</f>
        <v/>
      </c>
      <c r="Y1335" s="32">
        <f>IF($X1335="","",INT($X1335))</f>
        <v/>
      </c>
      <c r="Z1335" s="33">
        <f>IF(OR($Y1335="",$D$6=""),"",IF(INDEX($A:$U,ROW(),$D$6)="",0,IF(ISNUMBER(INDEX($A:$U,ROW(),$D$6)),INDEX($A:$U,ROW(),$D$6),IFERROR(--SUBSTITUTE(SUBSTITUTE(TRIM(INDEX($A:$U,ROW(),$D$6)),",",""),"원",""),0))))</f>
        <v/>
      </c>
      <c r="AA1335" s="31">
        <f>IF($Y1335="","",TRIM(INDEX($A:$U,ROW(),$E$6)&amp;IF($F$6="",""," "&amp;INDEX($A:$U,ROW(),$F$6))))</f>
        <v/>
      </c>
      <c r="AB1335" s="31">
        <f>IF($AA1335="","",SUBSTITUTE(SUBSTITUTE(SUBSTITUTE(SUBSTITUTE(SUBSTITUTE(SUBSTITUTE(SUBSTITUTE(SUBSTITUTE(SUBSTITUTE($AA1335," ",""),"　",""),"(주)",""),"（주）",""),"㈜",""),"주식회사",""),"(유)",""),"（유）",""),"유한회사",""))</f>
        <v/>
      </c>
      <c r="AC1335" s="31">
        <f>IF(OR($Y1335="",N($Z1335)&lt;=0,$AB1335=""),0,IFERROR(LOOKUP(2,1/((거래처별!$AC$8:$AC$307&lt;&gt;"")*ISNUMBER(SEARCH(거래처별!$AC$8:$AC$307,$AB1335))),거래처별!$A$8:$A$307),IFERROR(LOOKUP(2,1/((거래처별!$AD$8:$AD$307&lt;&gt;"")*ISNUMBER(SEARCH(거래처별!$AD$8:$AD$307,$AB1335))),거래처별!$A$8:$A$307),IFERROR(LOOKUP(2,1/((거래처별!$AE$8:$AE$307&lt;&gt;"")*ISNUMBER(SEARCH(거래처별!$AE$8:$AE$307,$AB1335))),거래처별!$A$8:$A$307),0))))</f>
        <v/>
      </c>
      <c r="AD1335" s="31">
        <f>IF(AND($Y1335&lt;&gt;"",N($Z1335)&gt;0,$AC1335=0),MAX($AD$7:$AD1334)+1,"")</f>
        <v/>
      </c>
      <c r="AE1335" s="31">
        <f>IF($Y1335="",0,$Y1335)</f>
        <v/>
      </c>
    </row>
    <row r="1336">
      <c r="W1336" s="31">
        <f>IF(OR($B$5="",$C$6="",ROW()&lt;$B$5),"",IF(INDEX($A:$U,ROW(),$C$6)="","",INDEX($A:$U,ROW(),$C$6)))</f>
        <v/>
      </c>
      <c r="X1336" s="32">
        <f>IF($W1336="","",IF(ISNUMBER($W1336),IF($W1336&gt;=10000000,IFERROR(DATE(INT($W1336/10000),MOD(INT($W1336/100),100),MOD($W1336,100)),""),INT($W1336)),IFERROR(DATE(--LEFT(LEFT(SUBSTITUTE(SUBSTITUTE(SUBSTITUTE(SUBSTITUTE(TRIM($W1336),"-",""),".",""),"/","")," ",""),8),4),--MID(LEFT(SUBSTITUTE(SUBSTITUTE(SUBSTITUTE(SUBSTITUTE(TRIM($W1336),"-",""),".",""),"/","")," ",""),8),5,2),--MID(LEFT(SUBSTITUTE(SUBSTITUTE(SUBSTITUTE(SUBSTITUTE(TRIM($W1336),"-",""),".",""),"/","")," ",""),8),7,2)),"")))</f>
        <v/>
      </c>
      <c r="Y1336" s="32">
        <f>IF($X1336="","",INT($X1336))</f>
        <v/>
      </c>
      <c r="Z1336" s="33">
        <f>IF(OR($Y1336="",$D$6=""),"",IF(INDEX($A:$U,ROW(),$D$6)="",0,IF(ISNUMBER(INDEX($A:$U,ROW(),$D$6)),INDEX($A:$U,ROW(),$D$6),IFERROR(--SUBSTITUTE(SUBSTITUTE(TRIM(INDEX($A:$U,ROW(),$D$6)),",",""),"원",""),0))))</f>
        <v/>
      </c>
      <c r="AA1336" s="31">
        <f>IF($Y1336="","",TRIM(INDEX($A:$U,ROW(),$E$6)&amp;IF($F$6="",""," "&amp;INDEX($A:$U,ROW(),$F$6))))</f>
        <v/>
      </c>
      <c r="AB1336" s="31">
        <f>IF($AA1336="","",SUBSTITUTE(SUBSTITUTE(SUBSTITUTE(SUBSTITUTE(SUBSTITUTE(SUBSTITUTE(SUBSTITUTE(SUBSTITUTE(SUBSTITUTE($AA1336," ",""),"　",""),"(주)",""),"（주）",""),"㈜",""),"주식회사",""),"(유)",""),"（유）",""),"유한회사",""))</f>
        <v/>
      </c>
      <c r="AC1336" s="31">
        <f>IF(OR($Y1336="",N($Z1336)&lt;=0,$AB1336=""),0,IFERROR(LOOKUP(2,1/((거래처별!$AC$8:$AC$307&lt;&gt;"")*ISNUMBER(SEARCH(거래처별!$AC$8:$AC$307,$AB1336))),거래처별!$A$8:$A$307),IFERROR(LOOKUP(2,1/((거래처별!$AD$8:$AD$307&lt;&gt;"")*ISNUMBER(SEARCH(거래처별!$AD$8:$AD$307,$AB1336))),거래처별!$A$8:$A$307),IFERROR(LOOKUP(2,1/((거래처별!$AE$8:$AE$307&lt;&gt;"")*ISNUMBER(SEARCH(거래처별!$AE$8:$AE$307,$AB1336))),거래처별!$A$8:$A$307),0))))</f>
        <v/>
      </c>
      <c r="AD1336" s="31">
        <f>IF(AND($Y1336&lt;&gt;"",N($Z1336)&gt;0,$AC1336=0),MAX($AD$7:$AD1335)+1,"")</f>
        <v/>
      </c>
      <c r="AE1336" s="31">
        <f>IF($Y1336="",0,$Y1336)</f>
        <v/>
      </c>
    </row>
    <row r="1337">
      <c r="W1337" s="31">
        <f>IF(OR($B$5="",$C$6="",ROW()&lt;$B$5),"",IF(INDEX($A:$U,ROW(),$C$6)="","",INDEX($A:$U,ROW(),$C$6)))</f>
        <v/>
      </c>
      <c r="X1337" s="32">
        <f>IF($W1337="","",IF(ISNUMBER($W1337),IF($W1337&gt;=10000000,IFERROR(DATE(INT($W1337/10000),MOD(INT($W1337/100),100),MOD($W1337,100)),""),INT($W1337)),IFERROR(DATE(--LEFT(LEFT(SUBSTITUTE(SUBSTITUTE(SUBSTITUTE(SUBSTITUTE(TRIM($W1337),"-",""),".",""),"/","")," ",""),8),4),--MID(LEFT(SUBSTITUTE(SUBSTITUTE(SUBSTITUTE(SUBSTITUTE(TRIM($W1337),"-",""),".",""),"/","")," ",""),8),5,2),--MID(LEFT(SUBSTITUTE(SUBSTITUTE(SUBSTITUTE(SUBSTITUTE(TRIM($W1337),"-",""),".",""),"/","")," ",""),8),7,2)),"")))</f>
        <v/>
      </c>
      <c r="Y1337" s="32">
        <f>IF($X1337="","",INT($X1337))</f>
        <v/>
      </c>
      <c r="Z1337" s="33">
        <f>IF(OR($Y1337="",$D$6=""),"",IF(INDEX($A:$U,ROW(),$D$6)="",0,IF(ISNUMBER(INDEX($A:$U,ROW(),$D$6)),INDEX($A:$U,ROW(),$D$6),IFERROR(--SUBSTITUTE(SUBSTITUTE(TRIM(INDEX($A:$U,ROW(),$D$6)),",",""),"원",""),0))))</f>
        <v/>
      </c>
      <c r="AA1337" s="31">
        <f>IF($Y1337="","",TRIM(INDEX($A:$U,ROW(),$E$6)&amp;IF($F$6="",""," "&amp;INDEX($A:$U,ROW(),$F$6))))</f>
        <v/>
      </c>
      <c r="AB1337" s="31">
        <f>IF($AA1337="","",SUBSTITUTE(SUBSTITUTE(SUBSTITUTE(SUBSTITUTE(SUBSTITUTE(SUBSTITUTE(SUBSTITUTE(SUBSTITUTE(SUBSTITUTE($AA1337," ",""),"　",""),"(주)",""),"（주）",""),"㈜",""),"주식회사",""),"(유)",""),"（유）",""),"유한회사",""))</f>
        <v/>
      </c>
      <c r="AC1337" s="31">
        <f>IF(OR($Y1337="",N($Z1337)&lt;=0,$AB1337=""),0,IFERROR(LOOKUP(2,1/((거래처별!$AC$8:$AC$307&lt;&gt;"")*ISNUMBER(SEARCH(거래처별!$AC$8:$AC$307,$AB1337))),거래처별!$A$8:$A$307),IFERROR(LOOKUP(2,1/((거래처별!$AD$8:$AD$307&lt;&gt;"")*ISNUMBER(SEARCH(거래처별!$AD$8:$AD$307,$AB1337))),거래처별!$A$8:$A$307),IFERROR(LOOKUP(2,1/((거래처별!$AE$8:$AE$307&lt;&gt;"")*ISNUMBER(SEARCH(거래처별!$AE$8:$AE$307,$AB1337))),거래처별!$A$8:$A$307),0))))</f>
        <v/>
      </c>
      <c r="AD1337" s="31">
        <f>IF(AND($Y1337&lt;&gt;"",N($Z1337)&gt;0,$AC1337=0),MAX($AD$7:$AD1336)+1,"")</f>
        <v/>
      </c>
      <c r="AE1337" s="31">
        <f>IF($Y1337="",0,$Y1337)</f>
        <v/>
      </c>
    </row>
    <row r="1338">
      <c r="W1338" s="31">
        <f>IF(OR($B$5="",$C$6="",ROW()&lt;$B$5),"",IF(INDEX($A:$U,ROW(),$C$6)="","",INDEX($A:$U,ROW(),$C$6)))</f>
        <v/>
      </c>
      <c r="X1338" s="32">
        <f>IF($W1338="","",IF(ISNUMBER($W1338),IF($W1338&gt;=10000000,IFERROR(DATE(INT($W1338/10000),MOD(INT($W1338/100),100),MOD($W1338,100)),""),INT($W1338)),IFERROR(DATE(--LEFT(LEFT(SUBSTITUTE(SUBSTITUTE(SUBSTITUTE(SUBSTITUTE(TRIM($W1338),"-",""),".",""),"/","")," ",""),8),4),--MID(LEFT(SUBSTITUTE(SUBSTITUTE(SUBSTITUTE(SUBSTITUTE(TRIM($W1338),"-",""),".",""),"/","")," ",""),8),5,2),--MID(LEFT(SUBSTITUTE(SUBSTITUTE(SUBSTITUTE(SUBSTITUTE(TRIM($W1338),"-",""),".",""),"/","")," ",""),8),7,2)),"")))</f>
        <v/>
      </c>
      <c r="Y1338" s="32">
        <f>IF($X1338="","",INT($X1338))</f>
        <v/>
      </c>
      <c r="Z1338" s="33">
        <f>IF(OR($Y1338="",$D$6=""),"",IF(INDEX($A:$U,ROW(),$D$6)="",0,IF(ISNUMBER(INDEX($A:$U,ROW(),$D$6)),INDEX($A:$U,ROW(),$D$6),IFERROR(--SUBSTITUTE(SUBSTITUTE(TRIM(INDEX($A:$U,ROW(),$D$6)),",",""),"원",""),0))))</f>
        <v/>
      </c>
      <c r="AA1338" s="31">
        <f>IF($Y1338="","",TRIM(INDEX($A:$U,ROW(),$E$6)&amp;IF($F$6="",""," "&amp;INDEX($A:$U,ROW(),$F$6))))</f>
        <v/>
      </c>
      <c r="AB1338" s="31">
        <f>IF($AA1338="","",SUBSTITUTE(SUBSTITUTE(SUBSTITUTE(SUBSTITUTE(SUBSTITUTE(SUBSTITUTE(SUBSTITUTE(SUBSTITUTE(SUBSTITUTE($AA1338," ",""),"　",""),"(주)",""),"（주）",""),"㈜",""),"주식회사",""),"(유)",""),"（유）",""),"유한회사",""))</f>
        <v/>
      </c>
      <c r="AC1338" s="31">
        <f>IF(OR($Y1338="",N($Z1338)&lt;=0,$AB1338=""),0,IFERROR(LOOKUP(2,1/((거래처별!$AC$8:$AC$307&lt;&gt;"")*ISNUMBER(SEARCH(거래처별!$AC$8:$AC$307,$AB1338))),거래처별!$A$8:$A$307),IFERROR(LOOKUP(2,1/((거래처별!$AD$8:$AD$307&lt;&gt;"")*ISNUMBER(SEARCH(거래처별!$AD$8:$AD$307,$AB1338))),거래처별!$A$8:$A$307),IFERROR(LOOKUP(2,1/((거래처별!$AE$8:$AE$307&lt;&gt;"")*ISNUMBER(SEARCH(거래처별!$AE$8:$AE$307,$AB1338))),거래처별!$A$8:$A$307),0))))</f>
        <v/>
      </c>
      <c r="AD1338" s="31">
        <f>IF(AND($Y1338&lt;&gt;"",N($Z1338)&gt;0,$AC1338=0),MAX($AD$7:$AD1337)+1,"")</f>
        <v/>
      </c>
      <c r="AE1338" s="31">
        <f>IF($Y1338="",0,$Y1338)</f>
        <v/>
      </c>
    </row>
    <row r="1339">
      <c r="W1339" s="31">
        <f>IF(OR($B$5="",$C$6="",ROW()&lt;$B$5),"",IF(INDEX($A:$U,ROW(),$C$6)="","",INDEX($A:$U,ROW(),$C$6)))</f>
        <v/>
      </c>
      <c r="X1339" s="32">
        <f>IF($W1339="","",IF(ISNUMBER($W1339),IF($W1339&gt;=10000000,IFERROR(DATE(INT($W1339/10000),MOD(INT($W1339/100),100),MOD($W1339,100)),""),INT($W1339)),IFERROR(DATE(--LEFT(LEFT(SUBSTITUTE(SUBSTITUTE(SUBSTITUTE(SUBSTITUTE(TRIM($W1339),"-",""),".",""),"/","")," ",""),8),4),--MID(LEFT(SUBSTITUTE(SUBSTITUTE(SUBSTITUTE(SUBSTITUTE(TRIM($W1339),"-",""),".",""),"/","")," ",""),8),5,2),--MID(LEFT(SUBSTITUTE(SUBSTITUTE(SUBSTITUTE(SUBSTITUTE(TRIM($W1339),"-",""),".",""),"/","")," ",""),8),7,2)),"")))</f>
        <v/>
      </c>
      <c r="Y1339" s="32">
        <f>IF($X1339="","",INT($X1339))</f>
        <v/>
      </c>
      <c r="Z1339" s="33">
        <f>IF(OR($Y1339="",$D$6=""),"",IF(INDEX($A:$U,ROW(),$D$6)="",0,IF(ISNUMBER(INDEX($A:$U,ROW(),$D$6)),INDEX($A:$U,ROW(),$D$6),IFERROR(--SUBSTITUTE(SUBSTITUTE(TRIM(INDEX($A:$U,ROW(),$D$6)),",",""),"원",""),0))))</f>
        <v/>
      </c>
      <c r="AA1339" s="31">
        <f>IF($Y1339="","",TRIM(INDEX($A:$U,ROW(),$E$6)&amp;IF($F$6="",""," "&amp;INDEX($A:$U,ROW(),$F$6))))</f>
        <v/>
      </c>
      <c r="AB1339" s="31">
        <f>IF($AA1339="","",SUBSTITUTE(SUBSTITUTE(SUBSTITUTE(SUBSTITUTE(SUBSTITUTE(SUBSTITUTE(SUBSTITUTE(SUBSTITUTE(SUBSTITUTE($AA1339," ",""),"　",""),"(주)",""),"（주）",""),"㈜",""),"주식회사",""),"(유)",""),"（유）",""),"유한회사",""))</f>
        <v/>
      </c>
      <c r="AC1339" s="31">
        <f>IF(OR($Y1339="",N($Z1339)&lt;=0,$AB1339=""),0,IFERROR(LOOKUP(2,1/((거래처별!$AC$8:$AC$307&lt;&gt;"")*ISNUMBER(SEARCH(거래처별!$AC$8:$AC$307,$AB1339))),거래처별!$A$8:$A$307),IFERROR(LOOKUP(2,1/((거래처별!$AD$8:$AD$307&lt;&gt;"")*ISNUMBER(SEARCH(거래처별!$AD$8:$AD$307,$AB1339))),거래처별!$A$8:$A$307),IFERROR(LOOKUP(2,1/((거래처별!$AE$8:$AE$307&lt;&gt;"")*ISNUMBER(SEARCH(거래처별!$AE$8:$AE$307,$AB1339))),거래처별!$A$8:$A$307),0))))</f>
        <v/>
      </c>
      <c r="AD1339" s="31">
        <f>IF(AND($Y1339&lt;&gt;"",N($Z1339)&gt;0,$AC1339=0),MAX($AD$7:$AD1338)+1,"")</f>
        <v/>
      </c>
      <c r="AE1339" s="31">
        <f>IF($Y1339="",0,$Y1339)</f>
        <v/>
      </c>
    </row>
    <row r="1340">
      <c r="W1340" s="31">
        <f>IF(OR($B$5="",$C$6="",ROW()&lt;$B$5),"",IF(INDEX($A:$U,ROW(),$C$6)="","",INDEX($A:$U,ROW(),$C$6)))</f>
        <v/>
      </c>
      <c r="X1340" s="32">
        <f>IF($W1340="","",IF(ISNUMBER($W1340),IF($W1340&gt;=10000000,IFERROR(DATE(INT($W1340/10000),MOD(INT($W1340/100),100),MOD($W1340,100)),""),INT($W1340)),IFERROR(DATE(--LEFT(LEFT(SUBSTITUTE(SUBSTITUTE(SUBSTITUTE(SUBSTITUTE(TRIM($W1340),"-",""),".",""),"/","")," ",""),8),4),--MID(LEFT(SUBSTITUTE(SUBSTITUTE(SUBSTITUTE(SUBSTITUTE(TRIM($W1340),"-",""),".",""),"/","")," ",""),8),5,2),--MID(LEFT(SUBSTITUTE(SUBSTITUTE(SUBSTITUTE(SUBSTITUTE(TRIM($W1340),"-",""),".",""),"/","")," ",""),8),7,2)),"")))</f>
        <v/>
      </c>
      <c r="Y1340" s="32">
        <f>IF($X1340="","",INT($X1340))</f>
        <v/>
      </c>
      <c r="Z1340" s="33">
        <f>IF(OR($Y1340="",$D$6=""),"",IF(INDEX($A:$U,ROW(),$D$6)="",0,IF(ISNUMBER(INDEX($A:$U,ROW(),$D$6)),INDEX($A:$U,ROW(),$D$6),IFERROR(--SUBSTITUTE(SUBSTITUTE(TRIM(INDEX($A:$U,ROW(),$D$6)),",",""),"원",""),0))))</f>
        <v/>
      </c>
      <c r="AA1340" s="31">
        <f>IF($Y1340="","",TRIM(INDEX($A:$U,ROW(),$E$6)&amp;IF($F$6="",""," "&amp;INDEX($A:$U,ROW(),$F$6))))</f>
        <v/>
      </c>
      <c r="AB1340" s="31">
        <f>IF($AA1340="","",SUBSTITUTE(SUBSTITUTE(SUBSTITUTE(SUBSTITUTE(SUBSTITUTE(SUBSTITUTE(SUBSTITUTE(SUBSTITUTE(SUBSTITUTE($AA1340," ",""),"　",""),"(주)",""),"（주）",""),"㈜",""),"주식회사",""),"(유)",""),"（유）",""),"유한회사",""))</f>
        <v/>
      </c>
      <c r="AC1340" s="31">
        <f>IF(OR($Y1340="",N($Z1340)&lt;=0,$AB1340=""),0,IFERROR(LOOKUP(2,1/((거래처별!$AC$8:$AC$307&lt;&gt;"")*ISNUMBER(SEARCH(거래처별!$AC$8:$AC$307,$AB1340))),거래처별!$A$8:$A$307),IFERROR(LOOKUP(2,1/((거래처별!$AD$8:$AD$307&lt;&gt;"")*ISNUMBER(SEARCH(거래처별!$AD$8:$AD$307,$AB1340))),거래처별!$A$8:$A$307),IFERROR(LOOKUP(2,1/((거래처별!$AE$8:$AE$307&lt;&gt;"")*ISNUMBER(SEARCH(거래처별!$AE$8:$AE$307,$AB1340))),거래처별!$A$8:$A$307),0))))</f>
        <v/>
      </c>
      <c r="AD1340" s="31">
        <f>IF(AND($Y1340&lt;&gt;"",N($Z1340)&gt;0,$AC1340=0),MAX($AD$7:$AD1339)+1,"")</f>
        <v/>
      </c>
      <c r="AE1340" s="31">
        <f>IF($Y1340="",0,$Y1340)</f>
        <v/>
      </c>
    </row>
    <row r="1341">
      <c r="W1341" s="31">
        <f>IF(OR($B$5="",$C$6="",ROW()&lt;$B$5),"",IF(INDEX($A:$U,ROW(),$C$6)="","",INDEX($A:$U,ROW(),$C$6)))</f>
        <v/>
      </c>
      <c r="X1341" s="32">
        <f>IF($W1341="","",IF(ISNUMBER($W1341),IF($W1341&gt;=10000000,IFERROR(DATE(INT($W1341/10000),MOD(INT($W1341/100),100),MOD($W1341,100)),""),INT($W1341)),IFERROR(DATE(--LEFT(LEFT(SUBSTITUTE(SUBSTITUTE(SUBSTITUTE(SUBSTITUTE(TRIM($W1341),"-",""),".",""),"/","")," ",""),8),4),--MID(LEFT(SUBSTITUTE(SUBSTITUTE(SUBSTITUTE(SUBSTITUTE(TRIM($W1341),"-",""),".",""),"/","")," ",""),8),5,2),--MID(LEFT(SUBSTITUTE(SUBSTITUTE(SUBSTITUTE(SUBSTITUTE(TRIM($W1341),"-",""),".",""),"/","")," ",""),8),7,2)),"")))</f>
        <v/>
      </c>
      <c r="Y1341" s="32">
        <f>IF($X1341="","",INT($X1341))</f>
        <v/>
      </c>
      <c r="Z1341" s="33">
        <f>IF(OR($Y1341="",$D$6=""),"",IF(INDEX($A:$U,ROW(),$D$6)="",0,IF(ISNUMBER(INDEX($A:$U,ROW(),$D$6)),INDEX($A:$U,ROW(),$D$6),IFERROR(--SUBSTITUTE(SUBSTITUTE(TRIM(INDEX($A:$U,ROW(),$D$6)),",",""),"원",""),0))))</f>
        <v/>
      </c>
      <c r="AA1341" s="31">
        <f>IF($Y1341="","",TRIM(INDEX($A:$U,ROW(),$E$6)&amp;IF($F$6="",""," "&amp;INDEX($A:$U,ROW(),$F$6))))</f>
        <v/>
      </c>
      <c r="AB1341" s="31">
        <f>IF($AA1341="","",SUBSTITUTE(SUBSTITUTE(SUBSTITUTE(SUBSTITUTE(SUBSTITUTE(SUBSTITUTE(SUBSTITUTE(SUBSTITUTE(SUBSTITUTE($AA1341," ",""),"　",""),"(주)",""),"（주）",""),"㈜",""),"주식회사",""),"(유)",""),"（유）",""),"유한회사",""))</f>
        <v/>
      </c>
      <c r="AC1341" s="31">
        <f>IF(OR($Y1341="",N($Z1341)&lt;=0,$AB1341=""),0,IFERROR(LOOKUP(2,1/((거래처별!$AC$8:$AC$307&lt;&gt;"")*ISNUMBER(SEARCH(거래처별!$AC$8:$AC$307,$AB1341))),거래처별!$A$8:$A$307),IFERROR(LOOKUP(2,1/((거래처별!$AD$8:$AD$307&lt;&gt;"")*ISNUMBER(SEARCH(거래처별!$AD$8:$AD$307,$AB1341))),거래처별!$A$8:$A$307),IFERROR(LOOKUP(2,1/((거래처별!$AE$8:$AE$307&lt;&gt;"")*ISNUMBER(SEARCH(거래처별!$AE$8:$AE$307,$AB1341))),거래처별!$A$8:$A$307),0))))</f>
        <v/>
      </c>
      <c r="AD1341" s="31">
        <f>IF(AND($Y1341&lt;&gt;"",N($Z1341)&gt;0,$AC1341=0),MAX($AD$7:$AD1340)+1,"")</f>
        <v/>
      </c>
      <c r="AE1341" s="31">
        <f>IF($Y1341="",0,$Y1341)</f>
        <v/>
      </c>
    </row>
    <row r="1342">
      <c r="W1342" s="31">
        <f>IF(OR($B$5="",$C$6="",ROW()&lt;$B$5),"",IF(INDEX($A:$U,ROW(),$C$6)="","",INDEX($A:$U,ROW(),$C$6)))</f>
        <v/>
      </c>
      <c r="X1342" s="32">
        <f>IF($W1342="","",IF(ISNUMBER($W1342),IF($W1342&gt;=10000000,IFERROR(DATE(INT($W1342/10000),MOD(INT($W1342/100),100),MOD($W1342,100)),""),INT($W1342)),IFERROR(DATE(--LEFT(LEFT(SUBSTITUTE(SUBSTITUTE(SUBSTITUTE(SUBSTITUTE(TRIM($W1342),"-",""),".",""),"/","")," ",""),8),4),--MID(LEFT(SUBSTITUTE(SUBSTITUTE(SUBSTITUTE(SUBSTITUTE(TRIM($W1342),"-",""),".",""),"/","")," ",""),8),5,2),--MID(LEFT(SUBSTITUTE(SUBSTITUTE(SUBSTITUTE(SUBSTITUTE(TRIM($W1342),"-",""),".",""),"/","")," ",""),8),7,2)),"")))</f>
        <v/>
      </c>
      <c r="Y1342" s="32">
        <f>IF($X1342="","",INT($X1342))</f>
        <v/>
      </c>
      <c r="Z1342" s="33">
        <f>IF(OR($Y1342="",$D$6=""),"",IF(INDEX($A:$U,ROW(),$D$6)="",0,IF(ISNUMBER(INDEX($A:$U,ROW(),$D$6)),INDEX($A:$U,ROW(),$D$6),IFERROR(--SUBSTITUTE(SUBSTITUTE(TRIM(INDEX($A:$U,ROW(),$D$6)),",",""),"원",""),0))))</f>
        <v/>
      </c>
      <c r="AA1342" s="31">
        <f>IF($Y1342="","",TRIM(INDEX($A:$U,ROW(),$E$6)&amp;IF($F$6="",""," "&amp;INDEX($A:$U,ROW(),$F$6))))</f>
        <v/>
      </c>
      <c r="AB1342" s="31">
        <f>IF($AA1342="","",SUBSTITUTE(SUBSTITUTE(SUBSTITUTE(SUBSTITUTE(SUBSTITUTE(SUBSTITUTE(SUBSTITUTE(SUBSTITUTE(SUBSTITUTE($AA1342," ",""),"　",""),"(주)",""),"（주）",""),"㈜",""),"주식회사",""),"(유)",""),"（유）",""),"유한회사",""))</f>
        <v/>
      </c>
      <c r="AC1342" s="31">
        <f>IF(OR($Y1342="",N($Z1342)&lt;=0,$AB1342=""),0,IFERROR(LOOKUP(2,1/((거래처별!$AC$8:$AC$307&lt;&gt;"")*ISNUMBER(SEARCH(거래처별!$AC$8:$AC$307,$AB1342))),거래처별!$A$8:$A$307),IFERROR(LOOKUP(2,1/((거래처별!$AD$8:$AD$307&lt;&gt;"")*ISNUMBER(SEARCH(거래처별!$AD$8:$AD$307,$AB1342))),거래처별!$A$8:$A$307),IFERROR(LOOKUP(2,1/((거래처별!$AE$8:$AE$307&lt;&gt;"")*ISNUMBER(SEARCH(거래처별!$AE$8:$AE$307,$AB1342))),거래처별!$A$8:$A$307),0))))</f>
        <v/>
      </c>
      <c r="AD1342" s="31">
        <f>IF(AND($Y1342&lt;&gt;"",N($Z1342)&gt;0,$AC1342=0),MAX($AD$7:$AD1341)+1,"")</f>
        <v/>
      </c>
      <c r="AE1342" s="31">
        <f>IF($Y1342="",0,$Y1342)</f>
        <v/>
      </c>
    </row>
    <row r="1343">
      <c r="W1343" s="31">
        <f>IF(OR($B$5="",$C$6="",ROW()&lt;$B$5),"",IF(INDEX($A:$U,ROW(),$C$6)="","",INDEX($A:$U,ROW(),$C$6)))</f>
        <v/>
      </c>
      <c r="X1343" s="32">
        <f>IF($W1343="","",IF(ISNUMBER($W1343),IF($W1343&gt;=10000000,IFERROR(DATE(INT($W1343/10000),MOD(INT($W1343/100),100),MOD($W1343,100)),""),INT($W1343)),IFERROR(DATE(--LEFT(LEFT(SUBSTITUTE(SUBSTITUTE(SUBSTITUTE(SUBSTITUTE(TRIM($W1343),"-",""),".",""),"/","")," ",""),8),4),--MID(LEFT(SUBSTITUTE(SUBSTITUTE(SUBSTITUTE(SUBSTITUTE(TRIM($W1343),"-",""),".",""),"/","")," ",""),8),5,2),--MID(LEFT(SUBSTITUTE(SUBSTITUTE(SUBSTITUTE(SUBSTITUTE(TRIM($W1343),"-",""),".",""),"/","")," ",""),8),7,2)),"")))</f>
        <v/>
      </c>
      <c r="Y1343" s="32">
        <f>IF($X1343="","",INT($X1343))</f>
        <v/>
      </c>
      <c r="Z1343" s="33">
        <f>IF(OR($Y1343="",$D$6=""),"",IF(INDEX($A:$U,ROW(),$D$6)="",0,IF(ISNUMBER(INDEX($A:$U,ROW(),$D$6)),INDEX($A:$U,ROW(),$D$6),IFERROR(--SUBSTITUTE(SUBSTITUTE(TRIM(INDEX($A:$U,ROW(),$D$6)),",",""),"원",""),0))))</f>
        <v/>
      </c>
      <c r="AA1343" s="31">
        <f>IF($Y1343="","",TRIM(INDEX($A:$U,ROW(),$E$6)&amp;IF($F$6="",""," "&amp;INDEX($A:$U,ROW(),$F$6))))</f>
        <v/>
      </c>
      <c r="AB1343" s="31">
        <f>IF($AA1343="","",SUBSTITUTE(SUBSTITUTE(SUBSTITUTE(SUBSTITUTE(SUBSTITUTE(SUBSTITUTE(SUBSTITUTE(SUBSTITUTE(SUBSTITUTE($AA1343," ",""),"　",""),"(주)",""),"（주）",""),"㈜",""),"주식회사",""),"(유)",""),"（유）",""),"유한회사",""))</f>
        <v/>
      </c>
      <c r="AC1343" s="31">
        <f>IF(OR($Y1343="",N($Z1343)&lt;=0,$AB1343=""),0,IFERROR(LOOKUP(2,1/((거래처별!$AC$8:$AC$307&lt;&gt;"")*ISNUMBER(SEARCH(거래처별!$AC$8:$AC$307,$AB1343))),거래처별!$A$8:$A$307),IFERROR(LOOKUP(2,1/((거래처별!$AD$8:$AD$307&lt;&gt;"")*ISNUMBER(SEARCH(거래처별!$AD$8:$AD$307,$AB1343))),거래처별!$A$8:$A$307),IFERROR(LOOKUP(2,1/((거래처별!$AE$8:$AE$307&lt;&gt;"")*ISNUMBER(SEARCH(거래처별!$AE$8:$AE$307,$AB1343))),거래처별!$A$8:$A$307),0))))</f>
        <v/>
      </c>
      <c r="AD1343" s="31">
        <f>IF(AND($Y1343&lt;&gt;"",N($Z1343)&gt;0,$AC1343=0),MAX($AD$7:$AD1342)+1,"")</f>
        <v/>
      </c>
      <c r="AE1343" s="31">
        <f>IF($Y1343="",0,$Y1343)</f>
        <v/>
      </c>
    </row>
    <row r="1344">
      <c r="W1344" s="31">
        <f>IF(OR($B$5="",$C$6="",ROW()&lt;$B$5),"",IF(INDEX($A:$U,ROW(),$C$6)="","",INDEX($A:$U,ROW(),$C$6)))</f>
        <v/>
      </c>
      <c r="X1344" s="32">
        <f>IF($W1344="","",IF(ISNUMBER($W1344),IF($W1344&gt;=10000000,IFERROR(DATE(INT($W1344/10000),MOD(INT($W1344/100),100),MOD($W1344,100)),""),INT($W1344)),IFERROR(DATE(--LEFT(LEFT(SUBSTITUTE(SUBSTITUTE(SUBSTITUTE(SUBSTITUTE(TRIM($W1344),"-",""),".",""),"/","")," ",""),8),4),--MID(LEFT(SUBSTITUTE(SUBSTITUTE(SUBSTITUTE(SUBSTITUTE(TRIM($W1344),"-",""),".",""),"/","")," ",""),8),5,2),--MID(LEFT(SUBSTITUTE(SUBSTITUTE(SUBSTITUTE(SUBSTITUTE(TRIM($W1344),"-",""),".",""),"/","")," ",""),8),7,2)),"")))</f>
        <v/>
      </c>
      <c r="Y1344" s="32">
        <f>IF($X1344="","",INT($X1344))</f>
        <v/>
      </c>
      <c r="Z1344" s="33">
        <f>IF(OR($Y1344="",$D$6=""),"",IF(INDEX($A:$U,ROW(),$D$6)="",0,IF(ISNUMBER(INDEX($A:$U,ROW(),$D$6)),INDEX($A:$U,ROW(),$D$6),IFERROR(--SUBSTITUTE(SUBSTITUTE(TRIM(INDEX($A:$U,ROW(),$D$6)),",",""),"원",""),0))))</f>
        <v/>
      </c>
      <c r="AA1344" s="31">
        <f>IF($Y1344="","",TRIM(INDEX($A:$U,ROW(),$E$6)&amp;IF($F$6="",""," "&amp;INDEX($A:$U,ROW(),$F$6))))</f>
        <v/>
      </c>
      <c r="AB1344" s="31">
        <f>IF($AA1344="","",SUBSTITUTE(SUBSTITUTE(SUBSTITUTE(SUBSTITUTE(SUBSTITUTE(SUBSTITUTE(SUBSTITUTE(SUBSTITUTE(SUBSTITUTE($AA1344," ",""),"　",""),"(주)",""),"（주）",""),"㈜",""),"주식회사",""),"(유)",""),"（유）",""),"유한회사",""))</f>
        <v/>
      </c>
      <c r="AC1344" s="31">
        <f>IF(OR($Y1344="",N($Z1344)&lt;=0,$AB1344=""),0,IFERROR(LOOKUP(2,1/((거래처별!$AC$8:$AC$307&lt;&gt;"")*ISNUMBER(SEARCH(거래처별!$AC$8:$AC$307,$AB1344))),거래처별!$A$8:$A$307),IFERROR(LOOKUP(2,1/((거래처별!$AD$8:$AD$307&lt;&gt;"")*ISNUMBER(SEARCH(거래처별!$AD$8:$AD$307,$AB1344))),거래처별!$A$8:$A$307),IFERROR(LOOKUP(2,1/((거래처별!$AE$8:$AE$307&lt;&gt;"")*ISNUMBER(SEARCH(거래처별!$AE$8:$AE$307,$AB1344))),거래처별!$A$8:$A$307),0))))</f>
        <v/>
      </c>
      <c r="AD1344" s="31">
        <f>IF(AND($Y1344&lt;&gt;"",N($Z1344)&gt;0,$AC1344=0),MAX($AD$7:$AD1343)+1,"")</f>
        <v/>
      </c>
      <c r="AE1344" s="31">
        <f>IF($Y1344="",0,$Y1344)</f>
        <v/>
      </c>
    </row>
    <row r="1345">
      <c r="W1345" s="31">
        <f>IF(OR($B$5="",$C$6="",ROW()&lt;$B$5),"",IF(INDEX($A:$U,ROW(),$C$6)="","",INDEX($A:$U,ROW(),$C$6)))</f>
        <v/>
      </c>
      <c r="X1345" s="32">
        <f>IF($W1345="","",IF(ISNUMBER($W1345),IF($W1345&gt;=10000000,IFERROR(DATE(INT($W1345/10000),MOD(INT($W1345/100),100),MOD($W1345,100)),""),INT($W1345)),IFERROR(DATE(--LEFT(LEFT(SUBSTITUTE(SUBSTITUTE(SUBSTITUTE(SUBSTITUTE(TRIM($W1345),"-",""),".",""),"/","")," ",""),8),4),--MID(LEFT(SUBSTITUTE(SUBSTITUTE(SUBSTITUTE(SUBSTITUTE(TRIM($W1345),"-",""),".",""),"/","")," ",""),8),5,2),--MID(LEFT(SUBSTITUTE(SUBSTITUTE(SUBSTITUTE(SUBSTITUTE(TRIM($W1345),"-",""),".",""),"/","")," ",""),8),7,2)),"")))</f>
        <v/>
      </c>
      <c r="Y1345" s="32">
        <f>IF($X1345="","",INT($X1345))</f>
        <v/>
      </c>
      <c r="Z1345" s="33">
        <f>IF(OR($Y1345="",$D$6=""),"",IF(INDEX($A:$U,ROW(),$D$6)="",0,IF(ISNUMBER(INDEX($A:$U,ROW(),$D$6)),INDEX($A:$U,ROW(),$D$6),IFERROR(--SUBSTITUTE(SUBSTITUTE(TRIM(INDEX($A:$U,ROW(),$D$6)),",",""),"원",""),0))))</f>
        <v/>
      </c>
      <c r="AA1345" s="31">
        <f>IF($Y1345="","",TRIM(INDEX($A:$U,ROW(),$E$6)&amp;IF($F$6="",""," "&amp;INDEX($A:$U,ROW(),$F$6))))</f>
        <v/>
      </c>
      <c r="AB1345" s="31">
        <f>IF($AA1345="","",SUBSTITUTE(SUBSTITUTE(SUBSTITUTE(SUBSTITUTE(SUBSTITUTE(SUBSTITUTE(SUBSTITUTE(SUBSTITUTE(SUBSTITUTE($AA1345," ",""),"　",""),"(주)",""),"（주）",""),"㈜",""),"주식회사",""),"(유)",""),"（유）",""),"유한회사",""))</f>
        <v/>
      </c>
      <c r="AC1345" s="31">
        <f>IF(OR($Y1345="",N($Z1345)&lt;=0,$AB1345=""),0,IFERROR(LOOKUP(2,1/((거래처별!$AC$8:$AC$307&lt;&gt;"")*ISNUMBER(SEARCH(거래처별!$AC$8:$AC$307,$AB1345))),거래처별!$A$8:$A$307),IFERROR(LOOKUP(2,1/((거래처별!$AD$8:$AD$307&lt;&gt;"")*ISNUMBER(SEARCH(거래처별!$AD$8:$AD$307,$AB1345))),거래처별!$A$8:$A$307),IFERROR(LOOKUP(2,1/((거래처별!$AE$8:$AE$307&lt;&gt;"")*ISNUMBER(SEARCH(거래처별!$AE$8:$AE$307,$AB1345))),거래처별!$A$8:$A$307),0))))</f>
        <v/>
      </c>
      <c r="AD1345" s="31">
        <f>IF(AND($Y1345&lt;&gt;"",N($Z1345)&gt;0,$AC1345=0),MAX($AD$7:$AD1344)+1,"")</f>
        <v/>
      </c>
      <c r="AE1345" s="31">
        <f>IF($Y1345="",0,$Y1345)</f>
        <v/>
      </c>
    </row>
    <row r="1346">
      <c r="W1346" s="31">
        <f>IF(OR($B$5="",$C$6="",ROW()&lt;$B$5),"",IF(INDEX($A:$U,ROW(),$C$6)="","",INDEX($A:$U,ROW(),$C$6)))</f>
        <v/>
      </c>
      <c r="X1346" s="32">
        <f>IF($W1346="","",IF(ISNUMBER($W1346),IF($W1346&gt;=10000000,IFERROR(DATE(INT($W1346/10000),MOD(INT($W1346/100),100),MOD($W1346,100)),""),INT($W1346)),IFERROR(DATE(--LEFT(LEFT(SUBSTITUTE(SUBSTITUTE(SUBSTITUTE(SUBSTITUTE(TRIM($W1346),"-",""),".",""),"/","")," ",""),8),4),--MID(LEFT(SUBSTITUTE(SUBSTITUTE(SUBSTITUTE(SUBSTITUTE(TRIM($W1346),"-",""),".",""),"/","")," ",""),8),5,2),--MID(LEFT(SUBSTITUTE(SUBSTITUTE(SUBSTITUTE(SUBSTITUTE(TRIM($W1346),"-",""),".",""),"/","")," ",""),8),7,2)),"")))</f>
        <v/>
      </c>
      <c r="Y1346" s="32">
        <f>IF($X1346="","",INT($X1346))</f>
        <v/>
      </c>
      <c r="Z1346" s="33">
        <f>IF(OR($Y1346="",$D$6=""),"",IF(INDEX($A:$U,ROW(),$D$6)="",0,IF(ISNUMBER(INDEX($A:$U,ROW(),$D$6)),INDEX($A:$U,ROW(),$D$6),IFERROR(--SUBSTITUTE(SUBSTITUTE(TRIM(INDEX($A:$U,ROW(),$D$6)),",",""),"원",""),0))))</f>
        <v/>
      </c>
      <c r="AA1346" s="31">
        <f>IF($Y1346="","",TRIM(INDEX($A:$U,ROW(),$E$6)&amp;IF($F$6="",""," "&amp;INDEX($A:$U,ROW(),$F$6))))</f>
        <v/>
      </c>
      <c r="AB1346" s="31">
        <f>IF($AA1346="","",SUBSTITUTE(SUBSTITUTE(SUBSTITUTE(SUBSTITUTE(SUBSTITUTE(SUBSTITUTE(SUBSTITUTE(SUBSTITUTE(SUBSTITUTE($AA1346," ",""),"　",""),"(주)",""),"（주）",""),"㈜",""),"주식회사",""),"(유)",""),"（유）",""),"유한회사",""))</f>
        <v/>
      </c>
      <c r="AC1346" s="31">
        <f>IF(OR($Y1346="",N($Z1346)&lt;=0,$AB1346=""),0,IFERROR(LOOKUP(2,1/((거래처별!$AC$8:$AC$307&lt;&gt;"")*ISNUMBER(SEARCH(거래처별!$AC$8:$AC$307,$AB1346))),거래처별!$A$8:$A$307),IFERROR(LOOKUP(2,1/((거래처별!$AD$8:$AD$307&lt;&gt;"")*ISNUMBER(SEARCH(거래처별!$AD$8:$AD$307,$AB1346))),거래처별!$A$8:$A$307),IFERROR(LOOKUP(2,1/((거래처별!$AE$8:$AE$307&lt;&gt;"")*ISNUMBER(SEARCH(거래처별!$AE$8:$AE$307,$AB1346))),거래처별!$A$8:$A$307),0))))</f>
        <v/>
      </c>
      <c r="AD1346" s="31">
        <f>IF(AND($Y1346&lt;&gt;"",N($Z1346)&gt;0,$AC1346=0),MAX($AD$7:$AD1345)+1,"")</f>
        <v/>
      </c>
      <c r="AE1346" s="31">
        <f>IF($Y1346="",0,$Y1346)</f>
        <v/>
      </c>
    </row>
    <row r="1347">
      <c r="W1347" s="31">
        <f>IF(OR($B$5="",$C$6="",ROW()&lt;$B$5),"",IF(INDEX($A:$U,ROW(),$C$6)="","",INDEX($A:$U,ROW(),$C$6)))</f>
        <v/>
      </c>
      <c r="X1347" s="32">
        <f>IF($W1347="","",IF(ISNUMBER($W1347),IF($W1347&gt;=10000000,IFERROR(DATE(INT($W1347/10000),MOD(INT($W1347/100),100),MOD($W1347,100)),""),INT($W1347)),IFERROR(DATE(--LEFT(LEFT(SUBSTITUTE(SUBSTITUTE(SUBSTITUTE(SUBSTITUTE(TRIM($W1347),"-",""),".",""),"/","")," ",""),8),4),--MID(LEFT(SUBSTITUTE(SUBSTITUTE(SUBSTITUTE(SUBSTITUTE(TRIM($W1347),"-",""),".",""),"/","")," ",""),8),5,2),--MID(LEFT(SUBSTITUTE(SUBSTITUTE(SUBSTITUTE(SUBSTITUTE(TRIM($W1347),"-",""),".",""),"/","")," ",""),8),7,2)),"")))</f>
        <v/>
      </c>
      <c r="Y1347" s="32">
        <f>IF($X1347="","",INT($X1347))</f>
        <v/>
      </c>
      <c r="Z1347" s="33">
        <f>IF(OR($Y1347="",$D$6=""),"",IF(INDEX($A:$U,ROW(),$D$6)="",0,IF(ISNUMBER(INDEX($A:$U,ROW(),$D$6)),INDEX($A:$U,ROW(),$D$6),IFERROR(--SUBSTITUTE(SUBSTITUTE(TRIM(INDEX($A:$U,ROW(),$D$6)),",",""),"원",""),0))))</f>
        <v/>
      </c>
      <c r="AA1347" s="31">
        <f>IF($Y1347="","",TRIM(INDEX($A:$U,ROW(),$E$6)&amp;IF($F$6="",""," "&amp;INDEX($A:$U,ROW(),$F$6))))</f>
        <v/>
      </c>
      <c r="AB1347" s="31">
        <f>IF($AA1347="","",SUBSTITUTE(SUBSTITUTE(SUBSTITUTE(SUBSTITUTE(SUBSTITUTE(SUBSTITUTE(SUBSTITUTE(SUBSTITUTE(SUBSTITUTE($AA1347," ",""),"　",""),"(주)",""),"（주）",""),"㈜",""),"주식회사",""),"(유)",""),"（유）",""),"유한회사",""))</f>
        <v/>
      </c>
      <c r="AC1347" s="31">
        <f>IF(OR($Y1347="",N($Z1347)&lt;=0,$AB1347=""),0,IFERROR(LOOKUP(2,1/((거래처별!$AC$8:$AC$307&lt;&gt;"")*ISNUMBER(SEARCH(거래처별!$AC$8:$AC$307,$AB1347))),거래처별!$A$8:$A$307),IFERROR(LOOKUP(2,1/((거래처별!$AD$8:$AD$307&lt;&gt;"")*ISNUMBER(SEARCH(거래처별!$AD$8:$AD$307,$AB1347))),거래처별!$A$8:$A$307),IFERROR(LOOKUP(2,1/((거래처별!$AE$8:$AE$307&lt;&gt;"")*ISNUMBER(SEARCH(거래처별!$AE$8:$AE$307,$AB1347))),거래처별!$A$8:$A$307),0))))</f>
        <v/>
      </c>
      <c r="AD1347" s="31">
        <f>IF(AND($Y1347&lt;&gt;"",N($Z1347)&gt;0,$AC1347=0),MAX($AD$7:$AD1346)+1,"")</f>
        <v/>
      </c>
      <c r="AE1347" s="31">
        <f>IF($Y1347="",0,$Y1347)</f>
        <v/>
      </c>
    </row>
    <row r="1348">
      <c r="W1348" s="31">
        <f>IF(OR($B$5="",$C$6="",ROW()&lt;$B$5),"",IF(INDEX($A:$U,ROW(),$C$6)="","",INDEX($A:$U,ROW(),$C$6)))</f>
        <v/>
      </c>
      <c r="X1348" s="32">
        <f>IF($W1348="","",IF(ISNUMBER($W1348),IF($W1348&gt;=10000000,IFERROR(DATE(INT($W1348/10000),MOD(INT($W1348/100),100),MOD($W1348,100)),""),INT($W1348)),IFERROR(DATE(--LEFT(LEFT(SUBSTITUTE(SUBSTITUTE(SUBSTITUTE(SUBSTITUTE(TRIM($W1348),"-",""),".",""),"/","")," ",""),8),4),--MID(LEFT(SUBSTITUTE(SUBSTITUTE(SUBSTITUTE(SUBSTITUTE(TRIM($W1348),"-",""),".",""),"/","")," ",""),8),5,2),--MID(LEFT(SUBSTITUTE(SUBSTITUTE(SUBSTITUTE(SUBSTITUTE(TRIM($W1348),"-",""),".",""),"/","")," ",""),8),7,2)),"")))</f>
        <v/>
      </c>
      <c r="Y1348" s="32">
        <f>IF($X1348="","",INT($X1348))</f>
        <v/>
      </c>
      <c r="Z1348" s="33">
        <f>IF(OR($Y1348="",$D$6=""),"",IF(INDEX($A:$U,ROW(),$D$6)="",0,IF(ISNUMBER(INDEX($A:$U,ROW(),$D$6)),INDEX($A:$U,ROW(),$D$6),IFERROR(--SUBSTITUTE(SUBSTITUTE(TRIM(INDEX($A:$U,ROW(),$D$6)),",",""),"원",""),0))))</f>
        <v/>
      </c>
      <c r="AA1348" s="31">
        <f>IF($Y1348="","",TRIM(INDEX($A:$U,ROW(),$E$6)&amp;IF($F$6="",""," "&amp;INDEX($A:$U,ROW(),$F$6))))</f>
        <v/>
      </c>
      <c r="AB1348" s="31">
        <f>IF($AA1348="","",SUBSTITUTE(SUBSTITUTE(SUBSTITUTE(SUBSTITUTE(SUBSTITUTE(SUBSTITUTE(SUBSTITUTE(SUBSTITUTE(SUBSTITUTE($AA1348," ",""),"　",""),"(주)",""),"（주）",""),"㈜",""),"주식회사",""),"(유)",""),"（유）",""),"유한회사",""))</f>
        <v/>
      </c>
      <c r="AC1348" s="31">
        <f>IF(OR($Y1348="",N($Z1348)&lt;=0,$AB1348=""),0,IFERROR(LOOKUP(2,1/((거래처별!$AC$8:$AC$307&lt;&gt;"")*ISNUMBER(SEARCH(거래처별!$AC$8:$AC$307,$AB1348))),거래처별!$A$8:$A$307),IFERROR(LOOKUP(2,1/((거래처별!$AD$8:$AD$307&lt;&gt;"")*ISNUMBER(SEARCH(거래처별!$AD$8:$AD$307,$AB1348))),거래처별!$A$8:$A$307),IFERROR(LOOKUP(2,1/((거래처별!$AE$8:$AE$307&lt;&gt;"")*ISNUMBER(SEARCH(거래처별!$AE$8:$AE$307,$AB1348))),거래처별!$A$8:$A$307),0))))</f>
        <v/>
      </c>
      <c r="AD1348" s="31">
        <f>IF(AND($Y1348&lt;&gt;"",N($Z1348)&gt;0,$AC1348=0),MAX($AD$7:$AD1347)+1,"")</f>
        <v/>
      </c>
      <c r="AE1348" s="31">
        <f>IF($Y1348="",0,$Y1348)</f>
        <v/>
      </c>
    </row>
    <row r="1349">
      <c r="W1349" s="31">
        <f>IF(OR($B$5="",$C$6="",ROW()&lt;$B$5),"",IF(INDEX($A:$U,ROW(),$C$6)="","",INDEX($A:$U,ROW(),$C$6)))</f>
        <v/>
      </c>
      <c r="X1349" s="32">
        <f>IF($W1349="","",IF(ISNUMBER($W1349),IF($W1349&gt;=10000000,IFERROR(DATE(INT($W1349/10000),MOD(INT($W1349/100),100),MOD($W1349,100)),""),INT($W1349)),IFERROR(DATE(--LEFT(LEFT(SUBSTITUTE(SUBSTITUTE(SUBSTITUTE(SUBSTITUTE(TRIM($W1349),"-",""),".",""),"/","")," ",""),8),4),--MID(LEFT(SUBSTITUTE(SUBSTITUTE(SUBSTITUTE(SUBSTITUTE(TRIM($W1349),"-",""),".",""),"/","")," ",""),8),5,2),--MID(LEFT(SUBSTITUTE(SUBSTITUTE(SUBSTITUTE(SUBSTITUTE(TRIM($W1349),"-",""),".",""),"/","")," ",""),8),7,2)),"")))</f>
        <v/>
      </c>
      <c r="Y1349" s="32">
        <f>IF($X1349="","",INT($X1349))</f>
        <v/>
      </c>
      <c r="Z1349" s="33">
        <f>IF(OR($Y1349="",$D$6=""),"",IF(INDEX($A:$U,ROW(),$D$6)="",0,IF(ISNUMBER(INDEX($A:$U,ROW(),$D$6)),INDEX($A:$U,ROW(),$D$6),IFERROR(--SUBSTITUTE(SUBSTITUTE(TRIM(INDEX($A:$U,ROW(),$D$6)),",",""),"원",""),0))))</f>
        <v/>
      </c>
      <c r="AA1349" s="31">
        <f>IF($Y1349="","",TRIM(INDEX($A:$U,ROW(),$E$6)&amp;IF($F$6="",""," "&amp;INDEX($A:$U,ROW(),$F$6))))</f>
        <v/>
      </c>
      <c r="AB1349" s="31">
        <f>IF($AA1349="","",SUBSTITUTE(SUBSTITUTE(SUBSTITUTE(SUBSTITUTE(SUBSTITUTE(SUBSTITUTE(SUBSTITUTE(SUBSTITUTE(SUBSTITUTE($AA1349," ",""),"　",""),"(주)",""),"（주）",""),"㈜",""),"주식회사",""),"(유)",""),"（유）",""),"유한회사",""))</f>
        <v/>
      </c>
      <c r="AC1349" s="31">
        <f>IF(OR($Y1349="",N($Z1349)&lt;=0,$AB1349=""),0,IFERROR(LOOKUP(2,1/((거래처별!$AC$8:$AC$307&lt;&gt;"")*ISNUMBER(SEARCH(거래처별!$AC$8:$AC$307,$AB1349))),거래처별!$A$8:$A$307),IFERROR(LOOKUP(2,1/((거래처별!$AD$8:$AD$307&lt;&gt;"")*ISNUMBER(SEARCH(거래처별!$AD$8:$AD$307,$AB1349))),거래처별!$A$8:$A$307),IFERROR(LOOKUP(2,1/((거래처별!$AE$8:$AE$307&lt;&gt;"")*ISNUMBER(SEARCH(거래처별!$AE$8:$AE$307,$AB1349))),거래처별!$A$8:$A$307),0))))</f>
        <v/>
      </c>
      <c r="AD1349" s="31">
        <f>IF(AND($Y1349&lt;&gt;"",N($Z1349)&gt;0,$AC1349=0),MAX($AD$7:$AD1348)+1,"")</f>
        <v/>
      </c>
      <c r="AE1349" s="31">
        <f>IF($Y1349="",0,$Y1349)</f>
        <v/>
      </c>
    </row>
    <row r="1350">
      <c r="W1350" s="31">
        <f>IF(OR($B$5="",$C$6="",ROW()&lt;$B$5),"",IF(INDEX($A:$U,ROW(),$C$6)="","",INDEX($A:$U,ROW(),$C$6)))</f>
        <v/>
      </c>
      <c r="X1350" s="32">
        <f>IF($W1350="","",IF(ISNUMBER($W1350),IF($W1350&gt;=10000000,IFERROR(DATE(INT($W1350/10000),MOD(INT($W1350/100),100),MOD($W1350,100)),""),INT($W1350)),IFERROR(DATE(--LEFT(LEFT(SUBSTITUTE(SUBSTITUTE(SUBSTITUTE(SUBSTITUTE(TRIM($W1350),"-",""),".",""),"/","")," ",""),8),4),--MID(LEFT(SUBSTITUTE(SUBSTITUTE(SUBSTITUTE(SUBSTITUTE(TRIM($W1350),"-",""),".",""),"/","")," ",""),8),5,2),--MID(LEFT(SUBSTITUTE(SUBSTITUTE(SUBSTITUTE(SUBSTITUTE(TRIM($W1350),"-",""),".",""),"/","")," ",""),8),7,2)),"")))</f>
        <v/>
      </c>
      <c r="Y1350" s="32">
        <f>IF($X1350="","",INT($X1350))</f>
        <v/>
      </c>
      <c r="Z1350" s="33">
        <f>IF(OR($Y1350="",$D$6=""),"",IF(INDEX($A:$U,ROW(),$D$6)="",0,IF(ISNUMBER(INDEX($A:$U,ROW(),$D$6)),INDEX($A:$U,ROW(),$D$6),IFERROR(--SUBSTITUTE(SUBSTITUTE(TRIM(INDEX($A:$U,ROW(),$D$6)),",",""),"원",""),0))))</f>
        <v/>
      </c>
      <c r="AA1350" s="31">
        <f>IF($Y1350="","",TRIM(INDEX($A:$U,ROW(),$E$6)&amp;IF($F$6="",""," "&amp;INDEX($A:$U,ROW(),$F$6))))</f>
        <v/>
      </c>
      <c r="AB1350" s="31">
        <f>IF($AA1350="","",SUBSTITUTE(SUBSTITUTE(SUBSTITUTE(SUBSTITUTE(SUBSTITUTE(SUBSTITUTE(SUBSTITUTE(SUBSTITUTE(SUBSTITUTE($AA1350," ",""),"　",""),"(주)",""),"（주）",""),"㈜",""),"주식회사",""),"(유)",""),"（유）",""),"유한회사",""))</f>
        <v/>
      </c>
      <c r="AC1350" s="31">
        <f>IF(OR($Y1350="",N($Z1350)&lt;=0,$AB1350=""),0,IFERROR(LOOKUP(2,1/((거래처별!$AC$8:$AC$307&lt;&gt;"")*ISNUMBER(SEARCH(거래처별!$AC$8:$AC$307,$AB1350))),거래처별!$A$8:$A$307),IFERROR(LOOKUP(2,1/((거래처별!$AD$8:$AD$307&lt;&gt;"")*ISNUMBER(SEARCH(거래처별!$AD$8:$AD$307,$AB1350))),거래처별!$A$8:$A$307),IFERROR(LOOKUP(2,1/((거래처별!$AE$8:$AE$307&lt;&gt;"")*ISNUMBER(SEARCH(거래처별!$AE$8:$AE$307,$AB1350))),거래처별!$A$8:$A$307),0))))</f>
        <v/>
      </c>
      <c r="AD1350" s="31">
        <f>IF(AND($Y1350&lt;&gt;"",N($Z1350)&gt;0,$AC1350=0),MAX($AD$7:$AD1349)+1,"")</f>
        <v/>
      </c>
      <c r="AE1350" s="31">
        <f>IF($Y1350="",0,$Y1350)</f>
        <v/>
      </c>
    </row>
    <row r="1351">
      <c r="W1351" s="31">
        <f>IF(OR($B$5="",$C$6="",ROW()&lt;$B$5),"",IF(INDEX($A:$U,ROW(),$C$6)="","",INDEX($A:$U,ROW(),$C$6)))</f>
        <v/>
      </c>
      <c r="X1351" s="32">
        <f>IF($W1351="","",IF(ISNUMBER($W1351),IF($W1351&gt;=10000000,IFERROR(DATE(INT($W1351/10000),MOD(INT($W1351/100),100),MOD($W1351,100)),""),INT($W1351)),IFERROR(DATE(--LEFT(LEFT(SUBSTITUTE(SUBSTITUTE(SUBSTITUTE(SUBSTITUTE(TRIM($W1351),"-",""),".",""),"/","")," ",""),8),4),--MID(LEFT(SUBSTITUTE(SUBSTITUTE(SUBSTITUTE(SUBSTITUTE(TRIM($W1351),"-",""),".",""),"/","")," ",""),8),5,2),--MID(LEFT(SUBSTITUTE(SUBSTITUTE(SUBSTITUTE(SUBSTITUTE(TRIM($W1351),"-",""),".",""),"/","")," ",""),8),7,2)),"")))</f>
        <v/>
      </c>
      <c r="Y1351" s="32">
        <f>IF($X1351="","",INT($X1351))</f>
        <v/>
      </c>
      <c r="Z1351" s="33">
        <f>IF(OR($Y1351="",$D$6=""),"",IF(INDEX($A:$U,ROW(),$D$6)="",0,IF(ISNUMBER(INDEX($A:$U,ROW(),$D$6)),INDEX($A:$U,ROW(),$D$6),IFERROR(--SUBSTITUTE(SUBSTITUTE(TRIM(INDEX($A:$U,ROW(),$D$6)),",",""),"원",""),0))))</f>
        <v/>
      </c>
      <c r="AA1351" s="31">
        <f>IF($Y1351="","",TRIM(INDEX($A:$U,ROW(),$E$6)&amp;IF($F$6="",""," "&amp;INDEX($A:$U,ROW(),$F$6))))</f>
        <v/>
      </c>
      <c r="AB1351" s="31">
        <f>IF($AA1351="","",SUBSTITUTE(SUBSTITUTE(SUBSTITUTE(SUBSTITUTE(SUBSTITUTE(SUBSTITUTE(SUBSTITUTE(SUBSTITUTE(SUBSTITUTE($AA1351," ",""),"　",""),"(주)",""),"（주）",""),"㈜",""),"주식회사",""),"(유)",""),"（유）",""),"유한회사",""))</f>
        <v/>
      </c>
      <c r="AC1351" s="31">
        <f>IF(OR($Y1351="",N($Z1351)&lt;=0,$AB1351=""),0,IFERROR(LOOKUP(2,1/((거래처별!$AC$8:$AC$307&lt;&gt;"")*ISNUMBER(SEARCH(거래처별!$AC$8:$AC$307,$AB1351))),거래처별!$A$8:$A$307),IFERROR(LOOKUP(2,1/((거래처별!$AD$8:$AD$307&lt;&gt;"")*ISNUMBER(SEARCH(거래처별!$AD$8:$AD$307,$AB1351))),거래처별!$A$8:$A$307),IFERROR(LOOKUP(2,1/((거래처별!$AE$8:$AE$307&lt;&gt;"")*ISNUMBER(SEARCH(거래처별!$AE$8:$AE$307,$AB1351))),거래처별!$A$8:$A$307),0))))</f>
        <v/>
      </c>
      <c r="AD1351" s="31">
        <f>IF(AND($Y1351&lt;&gt;"",N($Z1351)&gt;0,$AC1351=0),MAX($AD$7:$AD1350)+1,"")</f>
        <v/>
      </c>
      <c r="AE1351" s="31">
        <f>IF($Y1351="",0,$Y1351)</f>
        <v/>
      </c>
    </row>
    <row r="1352">
      <c r="W1352" s="31">
        <f>IF(OR($B$5="",$C$6="",ROW()&lt;$B$5),"",IF(INDEX($A:$U,ROW(),$C$6)="","",INDEX($A:$U,ROW(),$C$6)))</f>
        <v/>
      </c>
      <c r="X1352" s="32">
        <f>IF($W1352="","",IF(ISNUMBER($W1352),IF($W1352&gt;=10000000,IFERROR(DATE(INT($W1352/10000),MOD(INT($W1352/100),100),MOD($W1352,100)),""),INT($W1352)),IFERROR(DATE(--LEFT(LEFT(SUBSTITUTE(SUBSTITUTE(SUBSTITUTE(SUBSTITUTE(TRIM($W1352),"-",""),".",""),"/","")," ",""),8),4),--MID(LEFT(SUBSTITUTE(SUBSTITUTE(SUBSTITUTE(SUBSTITUTE(TRIM($W1352),"-",""),".",""),"/","")," ",""),8),5,2),--MID(LEFT(SUBSTITUTE(SUBSTITUTE(SUBSTITUTE(SUBSTITUTE(TRIM($W1352),"-",""),".",""),"/","")," ",""),8),7,2)),"")))</f>
        <v/>
      </c>
      <c r="Y1352" s="32">
        <f>IF($X1352="","",INT($X1352))</f>
        <v/>
      </c>
      <c r="Z1352" s="33">
        <f>IF(OR($Y1352="",$D$6=""),"",IF(INDEX($A:$U,ROW(),$D$6)="",0,IF(ISNUMBER(INDEX($A:$U,ROW(),$D$6)),INDEX($A:$U,ROW(),$D$6),IFERROR(--SUBSTITUTE(SUBSTITUTE(TRIM(INDEX($A:$U,ROW(),$D$6)),",",""),"원",""),0))))</f>
        <v/>
      </c>
      <c r="AA1352" s="31">
        <f>IF($Y1352="","",TRIM(INDEX($A:$U,ROW(),$E$6)&amp;IF($F$6="",""," "&amp;INDEX($A:$U,ROW(),$F$6))))</f>
        <v/>
      </c>
      <c r="AB1352" s="31">
        <f>IF($AA1352="","",SUBSTITUTE(SUBSTITUTE(SUBSTITUTE(SUBSTITUTE(SUBSTITUTE(SUBSTITUTE(SUBSTITUTE(SUBSTITUTE(SUBSTITUTE($AA1352," ",""),"　",""),"(주)",""),"（주）",""),"㈜",""),"주식회사",""),"(유)",""),"（유）",""),"유한회사",""))</f>
        <v/>
      </c>
      <c r="AC1352" s="31">
        <f>IF(OR($Y1352="",N($Z1352)&lt;=0,$AB1352=""),0,IFERROR(LOOKUP(2,1/((거래처별!$AC$8:$AC$307&lt;&gt;"")*ISNUMBER(SEARCH(거래처별!$AC$8:$AC$307,$AB1352))),거래처별!$A$8:$A$307),IFERROR(LOOKUP(2,1/((거래처별!$AD$8:$AD$307&lt;&gt;"")*ISNUMBER(SEARCH(거래처별!$AD$8:$AD$307,$AB1352))),거래처별!$A$8:$A$307),IFERROR(LOOKUP(2,1/((거래처별!$AE$8:$AE$307&lt;&gt;"")*ISNUMBER(SEARCH(거래처별!$AE$8:$AE$307,$AB1352))),거래처별!$A$8:$A$307),0))))</f>
        <v/>
      </c>
      <c r="AD1352" s="31">
        <f>IF(AND($Y1352&lt;&gt;"",N($Z1352)&gt;0,$AC1352=0),MAX($AD$7:$AD1351)+1,"")</f>
        <v/>
      </c>
      <c r="AE1352" s="31">
        <f>IF($Y1352="",0,$Y1352)</f>
        <v/>
      </c>
    </row>
    <row r="1353">
      <c r="W1353" s="31">
        <f>IF(OR($B$5="",$C$6="",ROW()&lt;$B$5),"",IF(INDEX($A:$U,ROW(),$C$6)="","",INDEX($A:$U,ROW(),$C$6)))</f>
        <v/>
      </c>
      <c r="X1353" s="32">
        <f>IF($W1353="","",IF(ISNUMBER($W1353),IF($W1353&gt;=10000000,IFERROR(DATE(INT($W1353/10000),MOD(INT($W1353/100),100),MOD($W1353,100)),""),INT($W1353)),IFERROR(DATE(--LEFT(LEFT(SUBSTITUTE(SUBSTITUTE(SUBSTITUTE(SUBSTITUTE(TRIM($W1353),"-",""),".",""),"/","")," ",""),8),4),--MID(LEFT(SUBSTITUTE(SUBSTITUTE(SUBSTITUTE(SUBSTITUTE(TRIM($W1353),"-",""),".",""),"/","")," ",""),8),5,2),--MID(LEFT(SUBSTITUTE(SUBSTITUTE(SUBSTITUTE(SUBSTITUTE(TRIM($W1353),"-",""),".",""),"/","")," ",""),8),7,2)),"")))</f>
        <v/>
      </c>
      <c r="Y1353" s="32">
        <f>IF($X1353="","",INT($X1353))</f>
        <v/>
      </c>
      <c r="Z1353" s="33">
        <f>IF(OR($Y1353="",$D$6=""),"",IF(INDEX($A:$U,ROW(),$D$6)="",0,IF(ISNUMBER(INDEX($A:$U,ROW(),$D$6)),INDEX($A:$U,ROW(),$D$6),IFERROR(--SUBSTITUTE(SUBSTITUTE(TRIM(INDEX($A:$U,ROW(),$D$6)),",",""),"원",""),0))))</f>
        <v/>
      </c>
      <c r="AA1353" s="31">
        <f>IF($Y1353="","",TRIM(INDEX($A:$U,ROW(),$E$6)&amp;IF($F$6="",""," "&amp;INDEX($A:$U,ROW(),$F$6))))</f>
        <v/>
      </c>
      <c r="AB1353" s="31">
        <f>IF($AA1353="","",SUBSTITUTE(SUBSTITUTE(SUBSTITUTE(SUBSTITUTE(SUBSTITUTE(SUBSTITUTE(SUBSTITUTE(SUBSTITUTE(SUBSTITUTE($AA1353," ",""),"　",""),"(주)",""),"（주）",""),"㈜",""),"주식회사",""),"(유)",""),"（유）",""),"유한회사",""))</f>
        <v/>
      </c>
      <c r="AC1353" s="31">
        <f>IF(OR($Y1353="",N($Z1353)&lt;=0,$AB1353=""),0,IFERROR(LOOKUP(2,1/((거래처별!$AC$8:$AC$307&lt;&gt;"")*ISNUMBER(SEARCH(거래처별!$AC$8:$AC$307,$AB1353))),거래처별!$A$8:$A$307),IFERROR(LOOKUP(2,1/((거래처별!$AD$8:$AD$307&lt;&gt;"")*ISNUMBER(SEARCH(거래처별!$AD$8:$AD$307,$AB1353))),거래처별!$A$8:$A$307),IFERROR(LOOKUP(2,1/((거래처별!$AE$8:$AE$307&lt;&gt;"")*ISNUMBER(SEARCH(거래처별!$AE$8:$AE$307,$AB1353))),거래처별!$A$8:$A$307),0))))</f>
        <v/>
      </c>
      <c r="AD1353" s="31">
        <f>IF(AND($Y1353&lt;&gt;"",N($Z1353)&gt;0,$AC1353=0),MAX($AD$7:$AD1352)+1,"")</f>
        <v/>
      </c>
      <c r="AE1353" s="31">
        <f>IF($Y1353="",0,$Y1353)</f>
        <v/>
      </c>
    </row>
    <row r="1354">
      <c r="W1354" s="31">
        <f>IF(OR($B$5="",$C$6="",ROW()&lt;$B$5),"",IF(INDEX($A:$U,ROW(),$C$6)="","",INDEX($A:$U,ROW(),$C$6)))</f>
        <v/>
      </c>
      <c r="X1354" s="32">
        <f>IF($W1354="","",IF(ISNUMBER($W1354),IF($W1354&gt;=10000000,IFERROR(DATE(INT($W1354/10000),MOD(INT($W1354/100),100),MOD($W1354,100)),""),INT($W1354)),IFERROR(DATE(--LEFT(LEFT(SUBSTITUTE(SUBSTITUTE(SUBSTITUTE(SUBSTITUTE(TRIM($W1354),"-",""),".",""),"/","")," ",""),8),4),--MID(LEFT(SUBSTITUTE(SUBSTITUTE(SUBSTITUTE(SUBSTITUTE(TRIM($W1354),"-",""),".",""),"/","")," ",""),8),5,2),--MID(LEFT(SUBSTITUTE(SUBSTITUTE(SUBSTITUTE(SUBSTITUTE(TRIM($W1354),"-",""),".",""),"/","")," ",""),8),7,2)),"")))</f>
        <v/>
      </c>
      <c r="Y1354" s="32">
        <f>IF($X1354="","",INT($X1354))</f>
        <v/>
      </c>
      <c r="Z1354" s="33">
        <f>IF(OR($Y1354="",$D$6=""),"",IF(INDEX($A:$U,ROW(),$D$6)="",0,IF(ISNUMBER(INDEX($A:$U,ROW(),$D$6)),INDEX($A:$U,ROW(),$D$6),IFERROR(--SUBSTITUTE(SUBSTITUTE(TRIM(INDEX($A:$U,ROW(),$D$6)),",",""),"원",""),0))))</f>
        <v/>
      </c>
      <c r="AA1354" s="31">
        <f>IF($Y1354="","",TRIM(INDEX($A:$U,ROW(),$E$6)&amp;IF($F$6="",""," "&amp;INDEX($A:$U,ROW(),$F$6))))</f>
        <v/>
      </c>
      <c r="AB1354" s="31">
        <f>IF($AA1354="","",SUBSTITUTE(SUBSTITUTE(SUBSTITUTE(SUBSTITUTE(SUBSTITUTE(SUBSTITUTE(SUBSTITUTE(SUBSTITUTE(SUBSTITUTE($AA1354," ",""),"　",""),"(주)",""),"（주）",""),"㈜",""),"주식회사",""),"(유)",""),"（유）",""),"유한회사",""))</f>
        <v/>
      </c>
      <c r="AC1354" s="31">
        <f>IF(OR($Y1354="",N($Z1354)&lt;=0,$AB1354=""),0,IFERROR(LOOKUP(2,1/((거래처별!$AC$8:$AC$307&lt;&gt;"")*ISNUMBER(SEARCH(거래처별!$AC$8:$AC$307,$AB1354))),거래처별!$A$8:$A$307),IFERROR(LOOKUP(2,1/((거래처별!$AD$8:$AD$307&lt;&gt;"")*ISNUMBER(SEARCH(거래처별!$AD$8:$AD$307,$AB1354))),거래처별!$A$8:$A$307),IFERROR(LOOKUP(2,1/((거래처별!$AE$8:$AE$307&lt;&gt;"")*ISNUMBER(SEARCH(거래처별!$AE$8:$AE$307,$AB1354))),거래처별!$A$8:$A$307),0))))</f>
        <v/>
      </c>
      <c r="AD1354" s="31">
        <f>IF(AND($Y1354&lt;&gt;"",N($Z1354)&gt;0,$AC1354=0),MAX($AD$7:$AD1353)+1,"")</f>
        <v/>
      </c>
      <c r="AE1354" s="31">
        <f>IF($Y1354="",0,$Y1354)</f>
        <v/>
      </c>
    </row>
    <row r="1355">
      <c r="W1355" s="31">
        <f>IF(OR($B$5="",$C$6="",ROW()&lt;$B$5),"",IF(INDEX($A:$U,ROW(),$C$6)="","",INDEX($A:$U,ROW(),$C$6)))</f>
        <v/>
      </c>
      <c r="X1355" s="32">
        <f>IF($W1355="","",IF(ISNUMBER($W1355),IF($W1355&gt;=10000000,IFERROR(DATE(INT($W1355/10000),MOD(INT($W1355/100),100),MOD($W1355,100)),""),INT($W1355)),IFERROR(DATE(--LEFT(LEFT(SUBSTITUTE(SUBSTITUTE(SUBSTITUTE(SUBSTITUTE(TRIM($W1355),"-",""),".",""),"/","")," ",""),8),4),--MID(LEFT(SUBSTITUTE(SUBSTITUTE(SUBSTITUTE(SUBSTITUTE(TRIM($W1355),"-",""),".",""),"/","")," ",""),8),5,2),--MID(LEFT(SUBSTITUTE(SUBSTITUTE(SUBSTITUTE(SUBSTITUTE(TRIM($W1355),"-",""),".",""),"/","")," ",""),8),7,2)),"")))</f>
        <v/>
      </c>
      <c r="Y1355" s="32">
        <f>IF($X1355="","",INT($X1355))</f>
        <v/>
      </c>
      <c r="Z1355" s="33">
        <f>IF(OR($Y1355="",$D$6=""),"",IF(INDEX($A:$U,ROW(),$D$6)="",0,IF(ISNUMBER(INDEX($A:$U,ROW(),$D$6)),INDEX($A:$U,ROW(),$D$6),IFERROR(--SUBSTITUTE(SUBSTITUTE(TRIM(INDEX($A:$U,ROW(),$D$6)),",",""),"원",""),0))))</f>
        <v/>
      </c>
      <c r="AA1355" s="31">
        <f>IF($Y1355="","",TRIM(INDEX($A:$U,ROW(),$E$6)&amp;IF($F$6="",""," "&amp;INDEX($A:$U,ROW(),$F$6))))</f>
        <v/>
      </c>
      <c r="AB1355" s="31">
        <f>IF($AA1355="","",SUBSTITUTE(SUBSTITUTE(SUBSTITUTE(SUBSTITUTE(SUBSTITUTE(SUBSTITUTE(SUBSTITUTE(SUBSTITUTE(SUBSTITUTE($AA1355," ",""),"　",""),"(주)",""),"（주）",""),"㈜",""),"주식회사",""),"(유)",""),"（유）",""),"유한회사",""))</f>
        <v/>
      </c>
      <c r="AC1355" s="31">
        <f>IF(OR($Y1355="",N($Z1355)&lt;=0,$AB1355=""),0,IFERROR(LOOKUP(2,1/((거래처별!$AC$8:$AC$307&lt;&gt;"")*ISNUMBER(SEARCH(거래처별!$AC$8:$AC$307,$AB1355))),거래처별!$A$8:$A$307),IFERROR(LOOKUP(2,1/((거래처별!$AD$8:$AD$307&lt;&gt;"")*ISNUMBER(SEARCH(거래처별!$AD$8:$AD$307,$AB1355))),거래처별!$A$8:$A$307),IFERROR(LOOKUP(2,1/((거래처별!$AE$8:$AE$307&lt;&gt;"")*ISNUMBER(SEARCH(거래처별!$AE$8:$AE$307,$AB1355))),거래처별!$A$8:$A$307),0))))</f>
        <v/>
      </c>
      <c r="AD1355" s="31">
        <f>IF(AND($Y1355&lt;&gt;"",N($Z1355)&gt;0,$AC1355=0),MAX($AD$7:$AD1354)+1,"")</f>
        <v/>
      </c>
      <c r="AE1355" s="31">
        <f>IF($Y1355="",0,$Y1355)</f>
        <v/>
      </c>
    </row>
    <row r="1356">
      <c r="W1356" s="31">
        <f>IF(OR($B$5="",$C$6="",ROW()&lt;$B$5),"",IF(INDEX($A:$U,ROW(),$C$6)="","",INDEX($A:$U,ROW(),$C$6)))</f>
        <v/>
      </c>
      <c r="X1356" s="32">
        <f>IF($W1356="","",IF(ISNUMBER($W1356),IF($W1356&gt;=10000000,IFERROR(DATE(INT($W1356/10000),MOD(INT($W1356/100),100),MOD($W1356,100)),""),INT($W1356)),IFERROR(DATE(--LEFT(LEFT(SUBSTITUTE(SUBSTITUTE(SUBSTITUTE(SUBSTITUTE(TRIM($W1356),"-",""),".",""),"/","")," ",""),8),4),--MID(LEFT(SUBSTITUTE(SUBSTITUTE(SUBSTITUTE(SUBSTITUTE(TRIM($W1356),"-",""),".",""),"/","")," ",""),8),5,2),--MID(LEFT(SUBSTITUTE(SUBSTITUTE(SUBSTITUTE(SUBSTITUTE(TRIM($W1356),"-",""),".",""),"/","")," ",""),8),7,2)),"")))</f>
        <v/>
      </c>
      <c r="Y1356" s="32">
        <f>IF($X1356="","",INT($X1356))</f>
        <v/>
      </c>
      <c r="Z1356" s="33">
        <f>IF(OR($Y1356="",$D$6=""),"",IF(INDEX($A:$U,ROW(),$D$6)="",0,IF(ISNUMBER(INDEX($A:$U,ROW(),$D$6)),INDEX($A:$U,ROW(),$D$6),IFERROR(--SUBSTITUTE(SUBSTITUTE(TRIM(INDEX($A:$U,ROW(),$D$6)),",",""),"원",""),0))))</f>
        <v/>
      </c>
      <c r="AA1356" s="31">
        <f>IF($Y1356="","",TRIM(INDEX($A:$U,ROW(),$E$6)&amp;IF($F$6="",""," "&amp;INDEX($A:$U,ROW(),$F$6))))</f>
        <v/>
      </c>
      <c r="AB1356" s="31">
        <f>IF($AA1356="","",SUBSTITUTE(SUBSTITUTE(SUBSTITUTE(SUBSTITUTE(SUBSTITUTE(SUBSTITUTE(SUBSTITUTE(SUBSTITUTE(SUBSTITUTE($AA1356," ",""),"　",""),"(주)",""),"（주）",""),"㈜",""),"주식회사",""),"(유)",""),"（유）",""),"유한회사",""))</f>
        <v/>
      </c>
      <c r="AC1356" s="31">
        <f>IF(OR($Y1356="",N($Z1356)&lt;=0,$AB1356=""),0,IFERROR(LOOKUP(2,1/((거래처별!$AC$8:$AC$307&lt;&gt;"")*ISNUMBER(SEARCH(거래처별!$AC$8:$AC$307,$AB1356))),거래처별!$A$8:$A$307),IFERROR(LOOKUP(2,1/((거래처별!$AD$8:$AD$307&lt;&gt;"")*ISNUMBER(SEARCH(거래처별!$AD$8:$AD$307,$AB1356))),거래처별!$A$8:$A$307),IFERROR(LOOKUP(2,1/((거래처별!$AE$8:$AE$307&lt;&gt;"")*ISNUMBER(SEARCH(거래처별!$AE$8:$AE$307,$AB1356))),거래처별!$A$8:$A$307),0))))</f>
        <v/>
      </c>
      <c r="AD1356" s="31">
        <f>IF(AND($Y1356&lt;&gt;"",N($Z1356)&gt;0,$AC1356=0),MAX($AD$7:$AD1355)+1,"")</f>
        <v/>
      </c>
      <c r="AE1356" s="31">
        <f>IF($Y1356="",0,$Y1356)</f>
        <v/>
      </c>
    </row>
    <row r="1357">
      <c r="W1357" s="31">
        <f>IF(OR($B$5="",$C$6="",ROW()&lt;$B$5),"",IF(INDEX($A:$U,ROW(),$C$6)="","",INDEX($A:$U,ROW(),$C$6)))</f>
        <v/>
      </c>
      <c r="X1357" s="32">
        <f>IF($W1357="","",IF(ISNUMBER($W1357),IF($W1357&gt;=10000000,IFERROR(DATE(INT($W1357/10000),MOD(INT($W1357/100),100),MOD($W1357,100)),""),INT($W1357)),IFERROR(DATE(--LEFT(LEFT(SUBSTITUTE(SUBSTITUTE(SUBSTITUTE(SUBSTITUTE(TRIM($W1357),"-",""),".",""),"/","")," ",""),8),4),--MID(LEFT(SUBSTITUTE(SUBSTITUTE(SUBSTITUTE(SUBSTITUTE(TRIM($W1357),"-",""),".",""),"/","")," ",""),8),5,2),--MID(LEFT(SUBSTITUTE(SUBSTITUTE(SUBSTITUTE(SUBSTITUTE(TRIM($W1357),"-",""),".",""),"/","")," ",""),8),7,2)),"")))</f>
        <v/>
      </c>
      <c r="Y1357" s="32">
        <f>IF($X1357="","",INT($X1357))</f>
        <v/>
      </c>
      <c r="Z1357" s="33">
        <f>IF(OR($Y1357="",$D$6=""),"",IF(INDEX($A:$U,ROW(),$D$6)="",0,IF(ISNUMBER(INDEX($A:$U,ROW(),$D$6)),INDEX($A:$U,ROW(),$D$6),IFERROR(--SUBSTITUTE(SUBSTITUTE(TRIM(INDEX($A:$U,ROW(),$D$6)),",",""),"원",""),0))))</f>
        <v/>
      </c>
      <c r="AA1357" s="31">
        <f>IF($Y1357="","",TRIM(INDEX($A:$U,ROW(),$E$6)&amp;IF($F$6="",""," "&amp;INDEX($A:$U,ROW(),$F$6))))</f>
        <v/>
      </c>
      <c r="AB1357" s="31">
        <f>IF($AA1357="","",SUBSTITUTE(SUBSTITUTE(SUBSTITUTE(SUBSTITUTE(SUBSTITUTE(SUBSTITUTE(SUBSTITUTE(SUBSTITUTE(SUBSTITUTE($AA1357," ",""),"　",""),"(주)",""),"（주）",""),"㈜",""),"주식회사",""),"(유)",""),"（유）",""),"유한회사",""))</f>
        <v/>
      </c>
      <c r="AC1357" s="31">
        <f>IF(OR($Y1357="",N($Z1357)&lt;=0,$AB1357=""),0,IFERROR(LOOKUP(2,1/((거래처별!$AC$8:$AC$307&lt;&gt;"")*ISNUMBER(SEARCH(거래처별!$AC$8:$AC$307,$AB1357))),거래처별!$A$8:$A$307),IFERROR(LOOKUP(2,1/((거래처별!$AD$8:$AD$307&lt;&gt;"")*ISNUMBER(SEARCH(거래처별!$AD$8:$AD$307,$AB1357))),거래처별!$A$8:$A$307),IFERROR(LOOKUP(2,1/((거래처별!$AE$8:$AE$307&lt;&gt;"")*ISNUMBER(SEARCH(거래처별!$AE$8:$AE$307,$AB1357))),거래처별!$A$8:$A$307),0))))</f>
        <v/>
      </c>
      <c r="AD1357" s="31">
        <f>IF(AND($Y1357&lt;&gt;"",N($Z1357)&gt;0,$AC1357=0),MAX($AD$7:$AD1356)+1,"")</f>
        <v/>
      </c>
      <c r="AE1357" s="31">
        <f>IF($Y1357="",0,$Y1357)</f>
        <v/>
      </c>
    </row>
    <row r="1358">
      <c r="W1358" s="31">
        <f>IF(OR($B$5="",$C$6="",ROW()&lt;$B$5),"",IF(INDEX($A:$U,ROW(),$C$6)="","",INDEX($A:$U,ROW(),$C$6)))</f>
        <v/>
      </c>
      <c r="X1358" s="32">
        <f>IF($W1358="","",IF(ISNUMBER($W1358),IF($W1358&gt;=10000000,IFERROR(DATE(INT($W1358/10000),MOD(INT($W1358/100),100),MOD($W1358,100)),""),INT($W1358)),IFERROR(DATE(--LEFT(LEFT(SUBSTITUTE(SUBSTITUTE(SUBSTITUTE(SUBSTITUTE(TRIM($W1358),"-",""),".",""),"/","")," ",""),8),4),--MID(LEFT(SUBSTITUTE(SUBSTITUTE(SUBSTITUTE(SUBSTITUTE(TRIM($W1358),"-",""),".",""),"/","")," ",""),8),5,2),--MID(LEFT(SUBSTITUTE(SUBSTITUTE(SUBSTITUTE(SUBSTITUTE(TRIM($W1358),"-",""),".",""),"/","")," ",""),8),7,2)),"")))</f>
        <v/>
      </c>
      <c r="Y1358" s="32">
        <f>IF($X1358="","",INT($X1358))</f>
        <v/>
      </c>
      <c r="Z1358" s="33">
        <f>IF(OR($Y1358="",$D$6=""),"",IF(INDEX($A:$U,ROW(),$D$6)="",0,IF(ISNUMBER(INDEX($A:$U,ROW(),$D$6)),INDEX($A:$U,ROW(),$D$6),IFERROR(--SUBSTITUTE(SUBSTITUTE(TRIM(INDEX($A:$U,ROW(),$D$6)),",",""),"원",""),0))))</f>
        <v/>
      </c>
      <c r="AA1358" s="31">
        <f>IF($Y1358="","",TRIM(INDEX($A:$U,ROW(),$E$6)&amp;IF($F$6="",""," "&amp;INDEX($A:$U,ROW(),$F$6))))</f>
        <v/>
      </c>
      <c r="AB1358" s="31">
        <f>IF($AA1358="","",SUBSTITUTE(SUBSTITUTE(SUBSTITUTE(SUBSTITUTE(SUBSTITUTE(SUBSTITUTE(SUBSTITUTE(SUBSTITUTE(SUBSTITUTE($AA1358," ",""),"　",""),"(주)",""),"（주）",""),"㈜",""),"주식회사",""),"(유)",""),"（유）",""),"유한회사",""))</f>
        <v/>
      </c>
      <c r="AC1358" s="31">
        <f>IF(OR($Y1358="",N($Z1358)&lt;=0,$AB1358=""),0,IFERROR(LOOKUP(2,1/((거래처별!$AC$8:$AC$307&lt;&gt;"")*ISNUMBER(SEARCH(거래처별!$AC$8:$AC$307,$AB1358))),거래처별!$A$8:$A$307),IFERROR(LOOKUP(2,1/((거래처별!$AD$8:$AD$307&lt;&gt;"")*ISNUMBER(SEARCH(거래처별!$AD$8:$AD$307,$AB1358))),거래처별!$A$8:$A$307),IFERROR(LOOKUP(2,1/((거래처별!$AE$8:$AE$307&lt;&gt;"")*ISNUMBER(SEARCH(거래처별!$AE$8:$AE$307,$AB1358))),거래처별!$A$8:$A$307),0))))</f>
        <v/>
      </c>
      <c r="AD1358" s="31">
        <f>IF(AND($Y1358&lt;&gt;"",N($Z1358)&gt;0,$AC1358=0),MAX($AD$7:$AD1357)+1,"")</f>
        <v/>
      </c>
      <c r="AE1358" s="31">
        <f>IF($Y1358="",0,$Y1358)</f>
        <v/>
      </c>
    </row>
    <row r="1359">
      <c r="W1359" s="31">
        <f>IF(OR($B$5="",$C$6="",ROW()&lt;$B$5),"",IF(INDEX($A:$U,ROW(),$C$6)="","",INDEX($A:$U,ROW(),$C$6)))</f>
        <v/>
      </c>
      <c r="X1359" s="32">
        <f>IF($W1359="","",IF(ISNUMBER($W1359),IF($W1359&gt;=10000000,IFERROR(DATE(INT($W1359/10000),MOD(INT($W1359/100),100),MOD($W1359,100)),""),INT($W1359)),IFERROR(DATE(--LEFT(LEFT(SUBSTITUTE(SUBSTITUTE(SUBSTITUTE(SUBSTITUTE(TRIM($W1359),"-",""),".",""),"/","")," ",""),8),4),--MID(LEFT(SUBSTITUTE(SUBSTITUTE(SUBSTITUTE(SUBSTITUTE(TRIM($W1359),"-",""),".",""),"/","")," ",""),8),5,2),--MID(LEFT(SUBSTITUTE(SUBSTITUTE(SUBSTITUTE(SUBSTITUTE(TRIM($W1359),"-",""),".",""),"/","")," ",""),8),7,2)),"")))</f>
        <v/>
      </c>
      <c r="Y1359" s="32">
        <f>IF($X1359="","",INT($X1359))</f>
        <v/>
      </c>
      <c r="Z1359" s="33">
        <f>IF(OR($Y1359="",$D$6=""),"",IF(INDEX($A:$U,ROW(),$D$6)="",0,IF(ISNUMBER(INDEX($A:$U,ROW(),$D$6)),INDEX($A:$U,ROW(),$D$6),IFERROR(--SUBSTITUTE(SUBSTITUTE(TRIM(INDEX($A:$U,ROW(),$D$6)),",",""),"원",""),0))))</f>
        <v/>
      </c>
      <c r="AA1359" s="31">
        <f>IF($Y1359="","",TRIM(INDEX($A:$U,ROW(),$E$6)&amp;IF($F$6="",""," "&amp;INDEX($A:$U,ROW(),$F$6))))</f>
        <v/>
      </c>
      <c r="AB1359" s="31">
        <f>IF($AA1359="","",SUBSTITUTE(SUBSTITUTE(SUBSTITUTE(SUBSTITUTE(SUBSTITUTE(SUBSTITUTE(SUBSTITUTE(SUBSTITUTE(SUBSTITUTE($AA1359," ",""),"　",""),"(주)",""),"（주）",""),"㈜",""),"주식회사",""),"(유)",""),"（유）",""),"유한회사",""))</f>
        <v/>
      </c>
      <c r="AC1359" s="31">
        <f>IF(OR($Y1359="",N($Z1359)&lt;=0,$AB1359=""),0,IFERROR(LOOKUP(2,1/((거래처별!$AC$8:$AC$307&lt;&gt;"")*ISNUMBER(SEARCH(거래처별!$AC$8:$AC$307,$AB1359))),거래처별!$A$8:$A$307),IFERROR(LOOKUP(2,1/((거래처별!$AD$8:$AD$307&lt;&gt;"")*ISNUMBER(SEARCH(거래처별!$AD$8:$AD$307,$AB1359))),거래처별!$A$8:$A$307),IFERROR(LOOKUP(2,1/((거래처별!$AE$8:$AE$307&lt;&gt;"")*ISNUMBER(SEARCH(거래처별!$AE$8:$AE$307,$AB1359))),거래처별!$A$8:$A$307),0))))</f>
        <v/>
      </c>
      <c r="AD1359" s="31">
        <f>IF(AND($Y1359&lt;&gt;"",N($Z1359)&gt;0,$AC1359=0),MAX($AD$7:$AD1358)+1,"")</f>
        <v/>
      </c>
      <c r="AE1359" s="31">
        <f>IF($Y1359="",0,$Y1359)</f>
        <v/>
      </c>
    </row>
    <row r="1360">
      <c r="W1360" s="31">
        <f>IF(OR($B$5="",$C$6="",ROW()&lt;$B$5),"",IF(INDEX($A:$U,ROW(),$C$6)="","",INDEX($A:$U,ROW(),$C$6)))</f>
        <v/>
      </c>
      <c r="X1360" s="32">
        <f>IF($W1360="","",IF(ISNUMBER($W1360),IF($W1360&gt;=10000000,IFERROR(DATE(INT($W1360/10000),MOD(INT($W1360/100),100),MOD($W1360,100)),""),INT($W1360)),IFERROR(DATE(--LEFT(LEFT(SUBSTITUTE(SUBSTITUTE(SUBSTITUTE(SUBSTITUTE(TRIM($W1360),"-",""),".",""),"/","")," ",""),8),4),--MID(LEFT(SUBSTITUTE(SUBSTITUTE(SUBSTITUTE(SUBSTITUTE(TRIM($W1360),"-",""),".",""),"/","")," ",""),8),5,2),--MID(LEFT(SUBSTITUTE(SUBSTITUTE(SUBSTITUTE(SUBSTITUTE(TRIM($W1360),"-",""),".",""),"/","")," ",""),8),7,2)),"")))</f>
        <v/>
      </c>
      <c r="Y1360" s="32">
        <f>IF($X1360="","",INT($X1360))</f>
        <v/>
      </c>
      <c r="Z1360" s="33">
        <f>IF(OR($Y1360="",$D$6=""),"",IF(INDEX($A:$U,ROW(),$D$6)="",0,IF(ISNUMBER(INDEX($A:$U,ROW(),$D$6)),INDEX($A:$U,ROW(),$D$6),IFERROR(--SUBSTITUTE(SUBSTITUTE(TRIM(INDEX($A:$U,ROW(),$D$6)),",",""),"원",""),0))))</f>
        <v/>
      </c>
      <c r="AA1360" s="31">
        <f>IF($Y1360="","",TRIM(INDEX($A:$U,ROW(),$E$6)&amp;IF($F$6="",""," "&amp;INDEX($A:$U,ROW(),$F$6))))</f>
        <v/>
      </c>
      <c r="AB1360" s="31">
        <f>IF($AA1360="","",SUBSTITUTE(SUBSTITUTE(SUBSTITUTE(SUBSTITUTE(SUBSTITUTE(SUBSTITUTE(SUBSTITUTE(SUBSTITUTE(SUBSTITUTE($AA1360," ",""),"　",""),"(주)",""),"（주）",""),"㈜",""),"주식회사",""),"(유)",""),"（유）",""),"유한회사",""))</f>
        <v/>
      </c>
      <c r="AC1360" s="31">
        <f>IF(OR($Y1360="",N($Z1360)&lt;=0,$AB1360=""),0,IFERROR(LOOKUP(2,1/((거래처별!$AC$8:$AC$307&lt;&gt;"")*ISNUMBER(SEARCH(거래처별!$AC$8:$AC$307,$AB1360))),거래처별!$A$8:$A$307),IFERROR(LOOKUP(2,1/((거래처별!$AD$8:$AD$307&lt;&gt;"")*ISNUMBER(SEARCH(거래처별!$AD$8:$AD$307,$AB1360))),거래처별!$A$8:$A$307),IFERROR(LOOKUP(2,1/((거래처별!$AE$8:$AE$307&lt;&gt;"")*ISNUMBER(SEARCH(거래처별!$AE$8:$AE$307,$AB1360))),거래처별!$A$8:$A$307),0))))</f>
        <v/>
      </c>
      <c r="AD1360" s="31">
        <f>IF(AND($Y1360&lt;&gt;"",N($Z1360)&gt;0,$AC1360=0),MAX($AD$7:$AD1359)+1,"")</f>
        <v/>
      </c>
      <c r="AE1360" s="31">
        <f>IF($Y1360="",0,$Y1360)</f>
        <v/>
      </c>
    </row>
    <row r="1361">
      <c r="W1361" s="31">
        <f>IF(OR($B$5="",$C$6="",ROW()&lt;$B$5),"",IF(INDEX($A:$U,ROW(),$C$6)="","",INDEX($A:$U,ROW(),$C$6)))</f>
        <v/>
      </c>
      <c r="X1361" s="32">
        <f>IF($W1361="","",IF(ISNUMBER($W1361),IF($W1361&gt;=10000000,IFERROR(DATE(INT($W1361/10000),MOD(INT($W1361/100),100),MOD($W1361,100)),""),INT($W1361)),IFERROR(DATE(--LEFT(LEFT(SUBSTITUTE(SUBSTITUTE(SUBSTITUTE(SUBSTITUTE(TRIM($W1361),"-",""),".",""),"/","")," ",""),8),4),--MID(LEFT(SUBSTITUTE(SUBSTITUTE(SUBSTITUTE(SUBSTITUTE(TRIM($W1361),"-",""),".",""),"/","")," ",""),8),5,2),--MID(LEFT(SUBSTITUTE(SUBSTITUTE(SUBSTITUTE(SUBSTITUTE(TRIM($W1361),"-",""),".",""),"/","")," ",""),8),7,2)),"")))</f>
        <v/>
      </c>
      <c r="Y1361" s="32">
        <f>IF($X1361="","",INT($X1361))</f>
        <v/>
      </c>
      <c r="Z1361" s="33">
        <f>IF(OR($Y1361="",$D$6=""),"",IF(INDEX($A:$U,ROW(),$D$6)="",0,IF(ISNUMBER(INDEX($A:$U,ROW(),$D$6)),INDEX($A:$U,ROW(),$D$6),IFERROR(--SUBSTITUTE(SUBSTITUTE(TRIM(INDEX($A:$U,ROW(),$D$6)),",",""),"원",""),0))))</f>
        <v/>
      </c>
      <c r="AA1361" s="31">
        <f>IF($Y1361="","",TRIM(INDEX($A:$U,ROW(),$E$6)&amp;IF($F$6="",""," "&amp;INDEX($A:$U,ROW(),$F$6))))</f>
        <v/>
      </c>
      <c r="AB1361" s="31">
        <f>IF($AA1361="","",SUBSTITUTE(SUBSTITUTE(SUBSTITUTE(SUBSTITUTE(SUBSTITUTE(SUBSTITUTE(SUBSTITUTE(SUBSTITUTE(SUBSTITUTE($AA1361," ",""),"　",""),"(주)",""),"（주）",""),"㈜",""),"주식회사",""),"(유)",""),"（유）",""),"유한회사",""))</f>
        <v/>
      </c>
      <c r="AC1361" s="31">
        <f>IF(OR($Y1361="",N($Z1361)&lt;=0,$AB1361=""),0,IFERROR(LOOKUP(2,1/((거래처별!$AC$8:$AC$307&lt;&gt;"")*ISNUMBER(SEARCH(거래처별!$AC$8:$AC$307,$AB1361))),거래처별!$A$8:$A$307),IFERROR(LOOKUP(2,1/((거래처별!$AD$8:$AD$307&lt;&gt;"")*ISNUMBER(SEARCH(거래처별!$AD$8:$AD$307,$AB1361))),거래처별!$A$8:$A$307),IFERROR(LOOKUP(2,1/((거래처별!$AE$8:$AE$307&lt;&gt;"")*ISNUMBER(SEARCH(거래처별!$AE$8:$AE$307,$AB1361))),거래처별!$A$8:$A$307),0))))</f>
        <v/>
      </c>
      <c r="AD1361" s="31">
        <f>IF(AND($Y1361&lt;&gt;"",N($Z1361)&gt;0,$AC1361=0),MAX($AD$7:$AD1360)+1,"")</f>
        <v/>
      </c>
      <c r="AE1361" s="31">
        <f>IF($Y1361="",0,$Y1361)</f>
        <v/>
      </c>
    </row>
    <row r="1362">
      <c r="W1362" s="31">
        <f>IF(OR($B$5="",$C$6="",ROW()&lt;$B$5),"",IF(INDEX($A:$U,ROW(),$C$6)="","",INDEX($A:$U,ROW(),$C$6)))</f>
        <v/>
      </c>
      <c r="X1362" s="32">
        <f>IF($W1362="","",IF(ISNUMBER($W1362),IF($W1362&gt;=10000000,IFERROR(DATE(INT($W1362/10000),MOD(INT($W1362/100),100),MOD($W1362,100)),""),INT($W1362)),IFERROR(DATE(--LEFT(LEFT(SUBSTITUTE(SUBSTITUTE(SUBSTITUTE(SUBSTITUTE(TRIM($W1362),"-",""),".",""),"/","")," ",""),8),4),--MID(LEFT(SUBSTITUTE(SUBSTITUTE(SUBSTITUTE(SUBSTITUTE(TRIM($W1362),"-",""),".",""),"/","")," ",""),8),5,2),--MID(LEFT(SUBSTITUTE(SUBSTITUTE(SUBSTITUTE(SUBSTITUTE(TRIM($W1362),"-",""),".",""),"/","")," ",""),8),7,2)),"")))</f>
        <v/>
      </c>
      <c r="Y1362" s="32">
        <f>IF($X1362="","",INT($X1362))</f>
        <v/>
      </c>
      <c r="Z1362" s="33">
        <f>IF(OR($Y1362="",$D$6=""),"",IF(INDEX($A:$U,ROW(),$D$6)="",0,IF(ISNUMBER(INDEX($A:$U,ROW(),$D$6)),INDEX($A:$U,ROW(),$D$6),IFERROR(--SUBSTITUTE(SUBSTITUTE(TRIM(INDEX($A:$U,ROW(),$D$6)),",",""),"원",""),0))))</f>
        <v/>
      </c>
      <c r="AA1362" s="31">
        <f>IF($Y1362="","",TRIM(INDEX($A:$U,ROW(),$E$6)&amp;IF($F$6="",""," "&amp;INDEX($A:$U,ROW(),$F$6))))</f>
        <v/>
      </c>
      <c r="AB1362" s="31">
        <f>IF($AA1362="","",SUBSTITUTE(SUBSTITUTE(SUBSTITUTE(SUBSTITUTE(SUBSTITUTE(SUBSTITUTE(SUBSTITUTE(SUBSTITUTE(SUBSTITUTE($AA1362," ",""),"　",""),"(주)",""),"（주）",""),"㈜",""),"주식회사",""),"(유)",""),"（유）",""),"유한회사",""))</f>
        <v/>
      </c>
      <c r="AC1362" s="31">
        <f>IF(OR($Y1362="",N($Z1362)&lt;=0,$AB1362=""),0,IFERROR(LOOKUP(2,1/((거래처별!$AC$8:$AC$307&lt;&gt;"")*ISNUMBER(SEARCH(거래처별!$AC$8:$AC$307,$AB1362))),거래처별!$A$8:$A$307),IFERROR(LOOKUP(2,1/((거래처별!$AD$8:$AD$307&lt;&gt;"")*ISNUMBER(SEARCH(거래처별!$AD$8:$AD$307,$AB1362))),거래처별!$A$8:$A$307),IFERROR(LOOKUP(2,1/((거래처별!$AE$8:$AE$307&lt;&gt;"")*ISNUMBER(SEARCH(거래처별!$AE$8:$AE$307,$AB1362))),거래처별!$A$8:$A$307),0))))</f>
        <v/>
      </c>
      <c r="AD1362" s="31">
        <f>IF(AND($Y1362&lt;&gt;"",N($Z1362)&gt;0,$AC1362=0),MAX($AD$7:$AD1361)+1,"")</f>
        <v/>
      </c>
      <c r="AE1362" s="31">
        <f>IF($Y1362="",0,$Y1362)</f>
        <v/>
      </c>
    </row>
    <row r="1363">
      <c r="W1363" s="31">
        <f>IF(OR($B$5="",$C$6="",ROW()&lt;$B$5),"",IF(INDEX($A:$U,ROW(),$C$6)="","",INDEX($A:$U,ROW(),$C$6)))</f>
        <v/>
      </c>
      <c r="X1363" s="32">
        <f>IF($W1363="","",IF(ISNUMBER($W1363),IF($W1363&gt;=10000000,IFERROR(DATE(INT($W1363/10000),MOD(INT($W1363/100),100),MOD($W1363,100)),""),INT($W1363)),IFERROR(DATE(--LEFT(LEFT(SUBSTITUTE(SUBSTITUTE(SUBSTITUTE(SUBSTITUTE(TRIM($W1363),"-",""),".",""),"/","")," ",""),8),4),--MID(LEFT(SUBSTITUTE(SUBSTITUTE(SUBSTITUTE(SUBSTITUTE(TRIM($W1363),"-",""),".",""),"/","")," ",""),8),5,2),--MID(LEFT(SUBSTITUTE(SUBSTITUTE(SUBSTITUTE(SUBSTITUTE(TRIM($W1363),"-",""),".",""),"/","")," ",""),8),7,2)),"")))</f>
        <v/>
      </c>
      <c r="Y1363" s="32">
        <f>IF($X1363="","",INT($X1363))</f>
        <v/>
      </c>
      <c r="Z1363" s="33">
        <f>IF(OR($Y1363="",$D$6=""),"",IF(INDEX($A:$U,ROW(),$D$6)="",0,IF(ISNUMBER(INDEX($A:$U,ROW(),$D$6)),INDEX($A:$U,ROW(),$D$6),IFERROR(--SUBSTITUTE(SUBSTITUTE(TRIM(INDEX($A:$U,ROW(),$D$6)),",",""),"원",""),0))))</f>
        <v/>
      </c>
      <c r="AA1363" s="31">
        <f>IF($Y1363="","",TRIM(INDEX($A:$U,ROW(),$E$6)&amp;IF($F$6="",""," "&amp;INDEX($A:$U,ROW(),$F$6))))</f>
        <v/>
      </c>
      <c r="AB1363" s="31">
        <f>IF($AA1363="","",SUBSTITUTE(SUBSTITUTE(SUBSTITUTE(SUBSTITUTE(SUBSTITUTE(SUBSTITUTE(SUBSTITUTE(SUBSTITUTE(SUBSTITUTE($AA1363," ",""),"　",""),"(주)",""),"（주）",""),"㈜",""),"주식회사",""),"(유)",""),"（유）",""),"유한회사",""))</f>
        <v/>
      </c>
      <c r="AC1363" s="31">
        <f>IF(OR($Y1363="",N($Z1363)&lt;=0,$AB1363=""),0,IFERROR(LOOKUP(2,1/((거래처별!$AC$8:$AC$307&lt;&gt;"")*ISNUMBER(SEARCH(거래처별!$AC$8:$AC$307,$AB1363))),거래처별!$A$8:$A$307),IFERROR(LOOKUP(2,1/((거래처별!$AD$8:$AD$307&lt;&gt;"")*ISNUMBER(SEARCH(거래처별!$AD$8:$AD$307,$AB1363))),거래처별!$A$8:$A$307),IFERROR(LOOKUP(2,1/((거래처별!$AE$8:$AE$307&lt;&gt;"")*ISNUMBER(SEARCH(거래처별!$AE$8:$AE$307,$AB1363))),거래처별!$A$8:$A$307),0))))</f>
        <v/>
      </c>
      <c r="AD1363" s="31">
        <f>IF(AND($Y1363&lt;&gt;"",N($Z1363)&gt;0,$AC1363=0),MAX($AD$7:$AD1362)+1,"")</f>
        <v/>
      </c>
      <c r="AE1363" s="31">
        <f>IF($Y1363="",0,$Y1363)</f>
        <v/>
      </c>
    </row>
    <row r="1364">
      <c r="W1364" s="31">
        <f>IF(OR($B$5="",$C$6="",ROW()&lt;$B$5),"",IF(INDEX($A:$U,ROW(),$C$6)="","",INDEX($A:$U,ROW(),$C$6)))</f>
        <v/>
      </c>
      <c r="X1364" s="32">
        <f>IF($W1364="","",IF(ISNUMBER($W1364),IF($W1364&gt;=10000000,IFERROR(DATE(INT($W1364/10000),MOD(INT($W1364/100),100),MOD($W1364,100)),""),INT($W1364)),IFERROR(DATE(--LEFT(LEFT(SUBSTITUTE(SUBSTITUTE(SUBSTITUTE(SUBSTITUTE(TRIM($W1364),"-",""),".",""),"/","")," ",""),8),4),--MID(LEFT(SUBSTITUTE(SUBSTITUTE(SUBSTITUTE(SUBSTITUTE(TRIM($W1364),"-",""),".",""),"/","")," ",""),8),5,2),--MID(LEFT(SUBSTITUTE(SUBSTITUTE(SUBSTITUTE(SUBSTITUTE(TRIM($W1364),"-",""),".",""),"/","")," ",""),8),7,2)),"")))</f>
        <v/>
      </c>
      <c r="Y1364" s="32">
        <f>IF($X1364="","",INT($X1364))</f>
        <v/>
      </c>
      <c r="Z1364" s="33">
        <f>IF(OR($Y1364="",$D$6=""),"",IF(INDEX($A:$U,ROW(),$D$6)="",0,IF(ISNUMBER(INDEX($A:$U,ROW(),$D$6)),INDEX($A:$U,ROW(),$D$6),IFERROR(--SUBSTITUTE(SUBSTITUTE(TRIM(INDEX($A:$U,ROW(),$D$6)),",",""),"원",""),0))))</f>
        <v/>
      </c>
      <c r="AA1364" s="31">
        <f>IF($Y1364="","",TRIM(INDEX($A:$U,ROW(),$E$6)&amp;IF($F$6="",""," "&amp;INDEX($A:$U,ROW(),$F$6))))</f>
        <v/>
      </c>
      <c r="AB1364" s="31">
        <f>IF($AA1364="","",SUBSTITUTE(SUBSTITUTE(SUBSTITUTE(SUBSTITUTE(SUBSTITUTE(SUBSTITUTE(SUBSTITUTE(SUBSTITUTE(SUBSTITUTE($AA1364," ",""),"　",""),"(주)",""),"（주）",""),"㈜",""),"주식회사",""),"(유)",""),"（유）",""),"유한회사",""))</f>
        <v/>
      </c>
      <c r="AC1364" s="31">
        <f>IF(OR($Y1364="",N($Z1364)&lt;=0,$AB1364=""),0,IFERROR(LOOKUP(2,1/((거래처별!$AC$8:$AC$307&lt;&gt;"")*ISNUMBER(SEARCH(거래처별!$AC$8:$AC$307,$AB1364))),거래처별!$A$8:$A$307),IFERROR(LOOKUP(2,1/((거래처별!$AD$8:$AD$307&lt;&gt;"")*ISNUMBER(SEARCH(거래처별!$AD$8:$AD$307,$AB1364))),거래처별!$A$8:$A$307),IFERROR(LOOKUP(2,1/((거래처별!$AE$8:$AE$307&lt;&gt;"")*ISNUMBER(SEARCH(거래처별!$AE$8:$AE$307,$AB1364))),거래처별!$A$8:$A$307),0))))</f>
        <v/>
      </c>
      <c r="AD1364" s="31">
        <f>IF(AND($Y1364&lt;&gt;"",N($Z1364)&gt;0,$AC1364=0),MAX($AD$7:$AD1363)+1,"")</f>
        <v/>
      </c>
      <c r="AE1364" s="31">
        <f>IF($Y1364="",0,$Y1364)</f>
        <v/>
      </c>
    </row>
    <row r="1365">
      <c r="W1365" s="31">
        <f>IF(OR($B$5="",$C$6="",ROW()&lt;$B$5),"",IF(INDEX($A:$U,ROW(),$C$6)="","",INDEX($A:$U,ROW(),$C$6)))</f>
        <v/>
      </c>
      <c r="X1365" s="32">
        <f>IF($W1365="","",IF(ISNUMBER($W1365),IF($W1365&gt;=10000000,IFERROR(DATE(INT($W1365/10000),MOD(INT($W1365/100),100),MOD($W1365,100)),""),INT($W1365)),IFERROR(DATE(--LEFT(LEFT(SUBSTITUTE(SUBSTITUTE(SUBSTITUTE(SUBSTITUTE(TRIM($W1365),"-",""),".",""),"/","")," ",""),8),4),--MID(LEFT(SUBSTITUTE(SUBSTITUTE(SUBSTITUTE(SUBSTITUTE(TRIM($W1365),"-",""),".",""),"/","")," ",""),8),5,2),--MID(LEFT(SUBSTITUTE(SUBSTITUTE(SUBSTITUTE(SUBSTITUTE(TRIM($W1365),"-",""),".",""),"/","")," ",""),8),7,2)),"")))</f>
        <v/>
      </c>
      <c r="Y1365" s="32">
        <f>IF($X1365="","",INT($X1365))</f>
        <v/>
      </c>
      <c r="Z1365" s="33">
        <f>IF(OR($Y1365="",$D$6=""),"",IF(INDEX($A:$U,ROW(),$D$6)="",0,IF(ISNUMBER(INDEX($A:$U,ROW(),$D$6)),INDEX($A:$U,ROW(),$D$6),IFERROR(--SUBSTITUTE(SUBSTITUTE(TRIM(INDEX($A:$U,ROW(),$D$6)),",",""),"원",""),0))))</f>
        <v/>
      </c>
      <c r="AA1365" s="31">
        <f>IF($Y1365="","",TRIM(INDEX($A:$U,ROW(),$E$6)&amp;IF($F$6="",""," "&amp;INDEX($A:$U,ROW(),$F$6))))</f>
        <v/>
      </c>
      <c r="AB1365" s="31">
        <f>IF($AA1365="","",SUBSTITUTE(SUBSTITUTE(SUBSTITUTE(SUBSTITUTE(SUBSTITUTE(SUBSTITUTE(SUBSTITUTE(SUBSTITUTE(SUBSTITUTE($AA1365," ",""),"　",""),"(주)",""),"（주）",""),"㈜",""),"주식회사",""),"(유)",""),"（유）",""),"유한회사",""))</f>
        <v/>
      </c>
      <c r="AC1365" s="31">
        <f>IF(OR($Y1365="",N($Z1365)&lt;=0,$AB1365=""),0,IFERROR(LOOKUP(2,1/((거래처별!$AC$8:$AC$307&lt;&gt;"")*ISNUMBER(SEARCH(거래처별!$AC$8:$AC$307,$AB1365))),거래처별!$A$8:$A$307),IFERROR(LOOKUP(2,1/((거래처별!$AD$8:$AD$307&lt;&gt;"")*ISNUMBER(SEARCH(거래처별!$AD$8:$AD$307,$AB1365))),거래처별!$A$8:$A$307),IFERROR(LOOKUP(2,1/((거래처별!$AE$8:$AE$307&lt;&gt;"")*ISNUMBER(SEARCH(거래처별!$AE$8:$AE$307,$AB1365))),거래처별!$A$8:$A$307),0))))</f>
        <v/>
      </c>
      <c r="AD1365" s="31">
        <f>IF(AND($Y1365&lt;&gt;"",N($Z1365)&gt;0,$AC1365=0),MAX($AD$7:$AD1364)+1,"")</f>
        <v/>
      </c>
      <c r="AE1365" s="31">
        <f>IF($Y1365="",0,$Y1365)</f>
        <v/>
      </c>
    </row>
    <row r="1366">
      <c r="W1366" s="31">
        <f>IF(OR($B$5="",$C$6="",ROW()&lt;$B$5),"",IF(INDEX($A:$U,ROW(),$C$6)="","",INDEX($A:$U,ROW(),$C$6)))</f>
        <v/>
      </c>
      <c r="X1366" s="32">
        <f>IF($W1366="","",IF(ISNUMBER($W1366),IF($W1366&gt;=10000000,IFERROR(DATE(INT($W1366/10000),MOD(INT($W1366/100),100),MOD($W1366,100)),""),INT($W1366)),IFERROR(DATE(--LEFT(LEFT(SUBSTITUTE(SUBSTITUTE(SUBSTITUTE(SUBSTITUTE(TRIM($W1366),"-",""),".",""),"/","")," ",""),8),4),--MID(LEFT(SUBSTITUTE(SUBSTITUTE(SUBSTITUTE(SUBSTITUTE(TRIM($W1366),"-",""),".",""),"/","")," ",""),8),5,2),--MID(LEFT(SUBSTITUTE(SUBSTITUTE(SUBSTITUTE(SUBSTITUTE(TRIM($W1366),"-",""),".",""),"/","")," ",""),8),7,2)),"")))</f>
        <v/>
      </c>
      <c r="Y1366" s="32">
        <f>IF($X1366="","",INT($X1366))</f>
        <v/>
      </c>
      <c r="Z1366" s="33">
        <f>IF(OR($Y1366="",$D$6=""),"",IF(INDEX($A:$U,ROW(),$D$6)="",0,IF(ISNUMBER(INDEX($A:$U,ROW(),$D$6)),INDEX($A:$U,ROW(),$D$6),IFERROR(--SUBSTITUTE(SUBSTITUTE(TRIM(INDEX($A:$U,ROW(),$D$6)),",",""),"원",""),0))))</f>
        <v/>
      </c>
      <c r="AA1366" s="31">
        <f>IF($Y1366="","",TRIM(INDEX($A:$U,ROW(),$E$6)&amp;IF($F$6="",""," "&amp;INDEX($A:$U,ROW(),$F$6))))</f>
        <v/>
      </c>
      <c r="AB1366" s="31">
        <f>IF($AA1366="","",SUBSTITUTE(SUBSTITUTE(SUBSTITUTE(SUBSTITUTE(SUBSTITUTE(SUBSTITUTE(SUBSTITUTE(SUBSTITUTE(SUBSTITUTE($AA1366," ",""),"　",""),"(주)",""),"（주）",""),"㈜",""),"주식회사",""),"(유)",""),"（유）",""),"유한회사",""))</f>
        <v/>
      </c>
      <c r="AC1366" s="31">
        <f>IF(OR($Y1366="",N($Z1366)&lt;=0,$AB1366=""),0,IFERROR(LOOKUP(2,1/((거래처별!$AC$8:$AC$307&lt;&gt;"")*ISNUMBER(SEARCH(거래처별!$AC$8:$AC$307,$AB1366))),거래처별!$A$8:$A$307),IFERROR(LOOKUP(2,1/((거래처별!$AD$8:$AD$307&lt;&gt;"")*ISNUMBER(SEARCH(거래처별!$AD$8:$AD$307,$AB1366))),거래처별!$A$8:$A$307),IFERROR(LOOKUP(2,1/((거래처별!$AE$8:$AE$307&lt;&gt;"")*ISNUMBER(SEARCH(거래처별!$AE$8:$AE$307,$AB1366))),거래처별!$A$8:$A$307),0))))</f>
        <v/>
      </c>
      <c r="AD1366" s="31">
        <f>IF(AND($Y1366&lt;&gt;"",N($Z1366)&gt;0,$AC1366=0),MAX($AD$7:$AD1365)+1,"")</f>
        <v/>
      </c>
      <c r="AE1366" s="31">
        <f>IF($Y1366="",0,$Y1366)</f>
        <v/>
      </c>
    </row>
    <row r="1367">
      <c r="W1367" s="31">
        <f>IF(OR($B$5="",$C$6="",ROW()&lt;$B$5),"",IF(INDEX($A:$U,ROW(),$C$6)="","",INDEX($A:$U,ROW(),$C$6)))</f>
        <v/>
      </c>
      <c r="X1367" s="32">
        <f>IF($W1367="","",IF(ISNUMBER($W1367),IF($W1367&gt;=10000000,IFERROR(DATE(INT($W1367/10000),MOD(INT($W1367/100),100),MOD($W1367,100)),""),INT($W1367)),IFERROR(DATE(--LEFT(LEFT(SUBSTITUTE(SUBSTITUTE(SUBSTITUTE(SUBSTITUTE(TRIM($W1367),"-",""),".",""),"/","")," ",""),8),4),--MID(LEFT(SUBSTITUTE(SUBSTITUTE(SUBSTITUTE(SUBSTITUTE(TRIM($W1367),"-",""),".",""),"/","")," ",""),8),5,2),--MID(LEFT(SUBSTITUTE(SUBSTITUTE(SUBSTITUTE(SUBSTITUTE(TRIM($W1367),"-",""),".",""),"/","")," ",""),8),7,2)),"")))</f>
        <v/>
      </c>
      <c r="Y1367" s="32">
        <f>IF($X1367="","",INT($X1367))</f>
        <v/>
      </c>
      <c r="Z1367" s="33">
        <f>IF(OR($Y1367="",$D$6=""),"",IF(INDEX($A:$U,ROW(),$D$6)="",0,IF(ISNUMBER(INDEX($A:$U,ROW(),$D$6)),INDEX($A:$U,ROW(),$D$6),IFERROR(--SUBSTITUTE(SUBSTITUTE(TRIM(INDEX($A:$U,ROW(),$D$6)),",",""),"원",""),0))))</f>
        <v/>
      </c>
      <c r="AA1367" s="31">
        <f>IF($Y1367="","",TRIM(INDEX($A:$U,ROW(),$E$6)&amp;IF($F$6="",""," "&amp;INDEX($A:$U,ROW(),$F$6))))</f>
        <v/>
      </c>
      <c r="AB1367" s="31">
        <f>IF($AA1367="","",SUBSTITUTE(SUBSTITUTE(SUBSTITUTE(SUBSTITUTE(SUBSTITUTE(SUBSTITUTE(SUBSTITUTE(SUBSTITUTE(SUBSTITUTE($AA1367," ",""),"　",""),"(주)",""),"（주）",""),"㈜",""),"주식회사",""),"(유)",""),"（유）",""),"유한회사",""))</f>
        <v/>
      </c>
      <c r="AC1367" s="31">
        <f>IF(OR($Y1367="",N($Z1367)&lt;=0,$AB1367=""),0,IFERROR(LOOKUP(2,1/((거래처별!$AC$8:$AC$307&lt;&gt;"")*ISNUMBER(SEARCH(거래처별!$AC$8:$AC$307,$AB1367))),거래처별!$A$8:$A$307),IFERROR(LOOKUP(2,1/((거래처별!$AD$8:$AD$307&lt;&gt;"")*ISNUMBER(SEARCH(거래처별!$AD$8:$AD$307,$AB1367))),거래처별!$A$8:$A$307),IFERROR(LOOKUP(2,1/((거래처별!$AE$8:$AE$307&lt;&gt;"")*ISNUMBER(SEARCH(거래처별!$AE$8:$AE$307,$AB1367))),거래처별!$A$8:$A$307),0))))</f>
        <v/>
      </c>
      <c r="AD1367" s="31">
        <f>IF(AND($Y1367&lt;&gt;"",N($Z1367)&gt;0,$AC1367=0),MAX($AD$7:$AD1366)+1,"")</f>
        <v/>
      </c>
      <c r="AE1367" s="31">
        <f>IF($Y1367="",0,$Y1367)</f>
        <v/>
      </c>
    </row>
    <row r="1368">
      <c r="W1368" s="31">
        <f>IF(OR($B$5="",$C$6="",ROW()&lt;$B$5),"",IF(INDEX($A:$U,ROW(),$C$6)="","",INDEX($A:$U,ROW(),$C$6)))</f>
        <v/>
      </c>
      <c r="X1368" s="32">
        <f>IF($W1368="","",IF(ISNUMBER($W1368),IF($W1368&gt;=10000000,IFERROR(DATE(INT($W1368/10000),MOD(INT($W1368/100),100),MOD($W1368,100)),""),INT($W1368)),IFERROR(DATE(--LEFT(LEFT(SUBSTITUTE(SUBSTITUTE(SUBSTITUTE(SUBSTITUTE(TRIM($W1368),"-",""),".",""),"/","")," ",""),8),4),--MID(LEFT(SUBSTITUTE(SUBSTITUTE(SUBSTITUTE(SUBSTITUTE(TRIM($W1368),"-",""),".",""),"/","")," ",""),8),5,2),--MID(LEFT(SUBSTITUTE(SUBSTITUTE(SUBSTITUTE(SUBSTITUTE(TRIM($W1368),"-",""),".",""),"/","")," ",""),8),7,2)),"")))</f>
        <v/>
      </c>
      <c r="Y1368" s="32">
        <f>IF($X1368="","",INT($X1368))</f>
        <v/>
      </c>
      <c r="Z1368" s="33">
        <f>IF(OR($Y1368="",$D$6=""),"",IF(INDEX($A:$U,ROW(),$D$6)="",0,IF(ISNUMBER(INDEX($A:$U,ROW(),$D$6)),INDEX($A:$U,ROW(),$D$6),IFERROR(--SUBSTITUTE(SUBSTITUTE(TRIM(INDEX($A:$U,ROW(),$D$6)),",",""),"원",""),0))))</f>
        <v/>
      </c>
      <c r="AA1368" s="31">
        <f>IF($Y1368="","",TRIM(INDEX($A:$U,ROW(),$E$6)&amp;IF($F$6="",""," "&amp;INDEX($A:$U,ROW(),$F$6))))</f>
        <v/>
      </c>
      <c r="AB1368" s="31">
        <f>IF($AA1368="","",SUBSTITUTE(SUBSTITUTE(SUBSTITUTE(SUBSTITUTE(SUBSTITUTE(SUBSTITUTE(SUBSTITUTE(SUBSTITUTE(SUBSTITUTE($AA1368," ",""),"　",""),"(주)",""),"（주）",""),"㈜",""),"주식회사",""),"(유)",""),"（유）",""),"유한회사",""))</f>
        <v/>
      </c>
      <c r="AC1368" s="31">
        <f>IF(OR($Y1368="",N($Z1368)&lt;=0,$AB1368=""),0,IFERROR(LOOKUP(2,1/((거래처별!$AC$8:$AC$307&lt;&gt;"")*ISNUMBER(SEARCH(거래처별!$AC$8:$AC$307,$AB1368))),거래처별!$A$8:$A$307),IFERROR(LOOKUP(2,1/((거래처별!$AD$8:$AD$307&lt;&gt;"")*ISNUMBER(SEARCH(거래처별!$AD$8:$AD$307,$AB1368))),거래처별!$A$8:$A$307),IFERROR(LOOKUP(2,1/((거래처별!$AE$8:$AE$307&lt;&gt;"")*ISNUMBER(SEARCH(거래처별!$AE$8:$AE$307,$AB1368))),거래처별!$A$8:$A$307),0))))</f>
        <v/>
      </c>
      <c r="AD1368" s="31">
        <f>IF(AND($Y1368&lt;&gt;"",N($Z1368)&gt;0,$AC1368=0),MAX($AD$7:$AD1367)+1,"")</f>
        <v/>
      </c>
      <c r="AE1368" s="31">
        <f>IF($Y1368="",0,$Y1368)</f>
        <v/>
      </c>
    </row>
    <row r="1369">
      <c r="W1369" s="31">
        <f>IF(OR($B$5="",$C$6="",ROW()&lt;$B$5),"",IF(INDEX($A:$U,ROW(),$C$6)="","",INDEX($A:$U,ROW(),$C$6)))</f>
        <v/>
      </c>
      <c r="X1369" s="32">
        <f>IF($W1369="","",IF(ISNUMBER($W1369),IF($W1369&gt;=10000000,IFERROR(DATE(INT($W1369/10000),MOD(INT($W1369/100),100),MOD($W1369,100)),""),INT($W1369)),IFERROR(DATE(--LEFT(LEFT(SUBSTITUTE(SUBSTITUTE(SUBSTITUTE(SUBSTITUTE(TRIM($W1369),"-",""),".",""),"/","")," ",""),8),4),--MID(LEFT(SUBSTITUTE(SUBSTITUTE(SUBSTITUTE(SUBSTITUTE(TRIM($W1369),"-",""),".",""),"/","")," ",""),8),5,2),--MID(LEFT(SUBSTITUTE(SUBSTITUTE(SUBSTITUTE(SUBSTITUTE(TRIM($W1369),"-",""),".",""),"/","")," ",""),8),7,2)),"")))</f>
        <v/>
      </c>
      <c r="Y1369" s="32">
        <f>IF($X1369="","",INT($X1369))</f>
        <v/>
      </c>
      <c r="Z1369" s="33">
        <f>IF(OR($Y1369="",$D$6=""),"",IF(INDEX($A:$U,ROW(),$D$6)="",0,IF(ISNUMBER(INDEX($A:$U,ROW(),$D$6)),INDEX($A:$U,ROW(),$D$6),IFERROR(--SUBSTITUTE(SUBSTITUTE(TRIM(INDEX($A:$U,ROW(),$D$6)),",",""),"원",""),0))))</f>
        <v/>
      </c>
      <c r="AA1369" s="31">
        <f>IF($Y1369="","",TRIM(INDEX($A:$U,ROW(),$E$6)&amp;IF($F$6="",""," "&amp;INDEX($A:$U,ROW(),$F$6))))</f>
        <v/>
      </c>
      <c r="AB1369" s="31">
        <f>IF($AA1369="","",SUBSTITUTE(SUBSTITUTE(SUBSTITUTE(SUBSTITUTE(SUBSTITUTE(SUBSTITUTE(SUBSTITUTE(SUBSTITUTE(SUBSTITUTE($AA1369," ",""),"　",""),"(주)",""),"（주）",""),"㈜",""),"주식회사",""),"(유)",""),"（유）",""),"유한회사",""))</f>
        <v/>
      </c>
      <c r="AC1369" s="31">
        <f>IF(OR($Y1369="",N($Z1369)&lt;=0,$AB1369=""),0,IFERROR(LOOKUP(2,1/((거래처별!$AC$8:$AC$307&lt;&gt;"")*ISNUMBER(SEARCH(거래처별!$AC$8:$AC$307,$AB1369))),거래처별!$A$8:$A$307),IFERROR(LOOKUP(2,1/((거래처별!$AD$8:$AD$307&lt;&gt;"")*ISNUMBER(SEARCH(거래처별!$AD$8:$AD$307,$AB1369))),거래처별!$A$8:$A$307),IFERROR(LOOKUP(2,1/((거래처별!$AE$8:$AE$307&lt;&gt;"")*ISNUMBER(SEARCH(거래처별!$AE$8:$AE$307,$AB1369))),거래처별!$A$8:$A$307),0))))</f>
        <v/>
      </c>
      <c r="AD1369" s="31">
        <f>IF(AND($Y1369&lt;&gt;"",N($Z1369)&gt;0,$AC1369=0),MAX($AD$7:$AD1368)+1,"")</f>
        <v/>
      </c>
      <c r="AE1369" s="31">
        <f>IF($Y1369="",0,$Y1369)</f>
        <v/>
      </c>
    </row>
    <row r="1370">
      <c r="W1370" s="31">
        <f>IF(OR($B$5="",$C$6="",ROW()&lt;$B$5),"",IF(INDEX($A:$U,ROW(),$C$6)="","",INDEX($A:$U,ROW(),$C$6)))</f>
        <v/>
      </c>
      <c r="X1370" s="32">
        <f>IF($W1370="","",IF(ISNUMBER($W1370),IF($W1370&gt;=10000000,IFERROR(DATE(INT($W1370/10000),MOD(INT($W1370/100),100),MOD($W1370,100)),""),INT($W1370)),IFERROR(DATE(--LEFT(LEFT(SUBSTITUTE(SUBSTITUTE(SUBSTITUTE(SUBSTITUTE(TRIM($W1370),"-",""),".",""),"/","")," ",""),8),4),--MID(LEFT(SUBSTITUTE(SUBSTITUTE(SUBSTITUTE(SUBSTITUTE(TRIM($W1370),"-",""),".",""),"/","")," ",""),8),5,2),--MID(LEFT(SUBSTITUTE(SUBSTITUTE(SUBSTITUTE(SUBSTITUTE(TRIM($W1370),"-",""),".",""),"/","")," ",""),8),7,2)),"")))</f>
        <v/>
      </c>
      <c r="Y1370" s="32">
        <f>IF($X1370="","",INT($X1370))</f>
        <v/>
      </c>
      <c r="Z1370" s="33">
        <f>IF(OR($Y1370="",$D$6=""),"",IF(INDEX($A:$U,ROW(),$D$6)="",0,IF(ISNUMBER(INDEX($A:$U,ROW(),$D$6)),INDEX($A:$U,ROW(),$D$6),IFERROR(--SUBSTITUTE(SUBSTITUTE(TRIM(INDEX($A:$U,ROW(),$D$6)),",",""),"원",""),0))))</f>
        <v/>
      </c>
      <c r="AA1370" s="31">
        <f>IF($Y1370="","",TRIM(INDEX($A:$U,ROW(),$E$6)&amp;IF($F$6="",""," "&amp;INDEX($A:$U,ROW(),$F$6))))</f>
        <v/>
      </c>
      <c r="AB1370" s="31">
        <f>IF($AA1370="","",SUBSTITUTE(SUBSTITUTE(SUBSTITUTE(SUBSTITUTE(SUBSTITUTE(SUBSTITUTE(SUBSTITUTE(SUBSTITUTE(SUBSTITUTE($AA1370," ",""),"　",""),"(주)",""),"（주）",""),"㈜",""),"주식회사",""),"(유)",""),"（유）",""),"유한회사",""))</f>
        <v/>
      </c>
      <c r="AC1370" s="31">
        <f>IF(OR($Y1370="",N($Z1370)&lt;=0,$AB1370=""),0,IFERROR(LOOKUP(2,1/((거래처별!$AC$8:$AC$307&lt;&gt;"")*ISNUMBER(SEARCH(거래처별!$AC$8:$AC$307,$AB1370))),거래처별!$A$8:$A$307),IFERROR(LOOKUP(2,1/((거래처별!$AD$8:$AD$307&lt;&gt;"")*ISNUMBER(SEARCH(거래처별!$AD$8:$AD$307,$AB1370))),거래처별!$A$8:$A$307),IFERROR(LOOKUP(2,1/((거래처별!$AE$8:$AE$307&lt;&gt;"")*ISNUMBER(SEARCH(거래처별!$AE$8:$AE$307,$AB1370))),거래처별!$A$8:$A$307),0))))</f>
        <v/>
      </c>
      <c r="AD1370" s="31">
        <f>IF(AND($Y1370&lt;&gt;"",N($Z1370)&gt;0,$AC1370=0),MAX($AD$7:$AD1369)+1,"")</f>
        <v/>
      </c>
      <c r="AE1370" s="31">
        <f>IF($Y1370="",0,$Y1370)</f>
        <v/>
      </c>
    </row>
    <row r="1371">
      <c r="W1371" s="31">
        <f>IF(OR($B$5="",$C$6="",ROW()&lt;$B$5),"",IF(INDEX($A:$U,ROW(),$C$6)="","",INDEX($A:$U,ROW(),$C$6)))</f>
        <v/>
      </c>
      <c r="X1371" s="32">
        <f>IF($W1371="","",IF(ISNUMBER($W1371),IF($W1371&gt;=10000000,IFERROR(DATE(INT($W1371/10000),MOD(INT($W1371/100),100),MOD($W1371,100)),""),INT($W1371)),IFERROR(DATE(--LEFT(LEFT(SUBSTITUTE(SUBSTITUTE(SUBSTITUTE(SUBSTITUTE(TRIM($W1371),"-",""),".",""),"/","")," ",""),8),4),--MID(LEFT(SUBSTITUTE(SUBSTITUTE(SUBSTITUTE(SUBSTITUTE(TRIM($W1371),"-",""),".",""),"/","")," ",""),8),5,2),--MID(LEFT(SUBSTITUTE(SUBSTITUTE(SUBSTITUTE(SUBSTITUTE(TRIM($W1371),"-",""),".",""),"/","")," ",""),8),7,2)),"")))</f>
        <v/>
      </c>
      <c r="Y1371" s="32">
        <f>IF($X1371="","",INT($X1371))</f>
        <v/>
      </c>
      <c r="Z1371" s="33">
        <f>IF(OR($Y1371="",$D$6=""),"",IF(INDEX($A:$U,ROW(),$D$6)="",0,IF(ISNUMBER(INDEX($A:$U,ROW(),$D$6)),INDEX($A:$U,ROW(),$D$6),IFERROR(--SUBSTITUTE(SUBSTITUTE(TRIM(INDEX($A:$U,ROW(),$D$6)),",",""),"원",""),0))))</f>
        <v/>
      </c>
      <c r="AA1371" s="31">
        <f>IF($Y1371="","",TRIM(INDEX($A:$U,ROW(),$E$6)&amp;IF($F$6="",""," "&amp;INDEX($A:$U,ROW(),$F$6))))</f>
        <v/>
      </c>
      <c r="AB1371" s="31">
        <f>IF($AA1371="","",SUBSTITUTE(SUBSTITUTE(SUBSTITUTE(SUBSTITUTE(SUBSTITUTE(SUBSTITUTE(SUBSTITUTE(SUBSTITUTE(SUBSTITUTE($AA1371," ",""),"　",""),"(주)",""),"（주）",""),"㈜",""),"주식회사",""),"(유)",""),"（유）",""),"유한회사",""))</f>
        <v/>
      </c>
      <c r="AC1371" s="31">
        <f>IF(OR($Y1371="",N($Z1371)&lt;=0,$AB1371=""),0,IFERROR(LOOKUP(2,1/((거래처별!$AC$8:$AC$307&lt;&gt;"")*ISNUMBER(SEARCH(거래처별!$AC$8:$AC$307,$AB1371))),거래처별!$A$8:$A$307),IFERROR(LOOKUP(2,1/((거래처별!$AD$8:$AD$307&lt;&gt;"")*ISNUMBER(SEARCH(거래처별!$AD$8:$AD$307,$AB1371))),거래처별!$A$8:$A$307),IFERROR(LOOKUP(2,1/((거래처별!$AE$8:$AE$307&lt;&gt;"")*ISNUMBER(SEARCH(거래처별!$AE$8:$AE$307,$AB1371))),거래처별!$A$8:$A$307),0))))</f>
        <v/>
      </c>
      <c r="AD1371" s="31">
        <f>IF(AND($Y1371&lt;&gt;"",N($Z1371)&gt;0,$AC1371=0),MAX($AD$7:$AD1370)+1,"")</f>
        <v/>
      </c>
      <c r="AE1371" s="31">
        <f>IF($Y1371="",0,$Y1371)</f>
        <v/>
      </c>
    </row>
    <row r="1372">
      <c r="W1372" s="31">
        <f>IF(OR($B$5="",$C$6="",ROW()&lt;$B$5),"",IF(INDEX($A:$U,ROW(),$C$6)="","",INDEX($A:$U,ROW(),$C$6)))</f>
        <v/>
      </c>
      <c r="X1372" s="32">
        <f>IF($W1372="","",IF(ISNUMBER($W1372),IF($W1372&gt;=10000000,IFERROR(DATE(INT($W1372/10000),MOD(INT($W1372/100),100),MOD($W1372,100)),""),INT($W1372)),IFERROR(DATE(--LEFT(LEFT(SUBSTITUTE(SUBSTITUTE(SUBSTITUTE(SUBSTITUTE(TRIM($W1372),"-",""),".",""),"/","")," ",""),8),4),--MID(LEFT(SUBSTITUTE(SUBSTITUTE(SUBSTITUTE(SUBSTITUTE(TRIM($W1372),"-",""),".",""),"/","")," ",""),8),5,2),--MID(LEFT(SUBSTITUTE(SUBSTITUTE(SUBSTITUTE(SUBSTITUTE(TRIM($W1372),"-",""),".",""),"/","")," ",""),8),7,2)),"")))</f>
        <v/>
      </c>
      <c r="Y1372" s="32">
        <f>IF($X1372="","",INT($X1372))</f>
        <v/>
      </c>
      <c r="Z1372" s="33">
        <f>IF(OR($Y1372="",$D$6=""),"",IF(INDEX($A:$U,ROW(),$D$6)="",0,IF(ISNUMBER(INDEX($A:$U,ROW(),$D$6)),INDEX($A:$U,ROW(),$D$6),IFERROR(--SUBSTITUTE(SUBSTITUTE(TRIM(INDEX($A:$U,ROW(),$D$6)),",",""),"원",""),0))))</f>
        <v/>
      </c>
      <c r="AA1372" s="31">
        <f>IF($Y1372="","",TRIM(INDEX($A:$U,ROW(),$E$6)&amp;IF($F$6="",""," "&amp;INDEX($A:$U,ROW(),$F$6))))</f>
        <v/>
      </c>
      <c r="AB1372" s="31">
        <f>IF($AA1372="","",SUBSTITUTE(SUBSTITUTE(SUBSTITUTE(SUBSTITUTE(SUBSTITUTE(SUBSTITUTE(SUBSTITUTE(SUBSTITUTE(SUBSTITUTE($AA1372," ",""),"　",""),"(주)",""),"（주）",""),"㈜",""),"주식회사",""),"(유)",""),"（유）",""),"유한회사",""))</f>
        <v/>
      </c>
      <c r="AC1372" s="31">
        <f>IF(OR($Y1372="",N($Z1372)&lt;=0,$AB1372=""),0,IFERROR(LOOKUP(2,1/((거래처별!$AC$8:$AC$307&lt;&gt;"")*ISNUMBER(SEARCH(거래처별!$AC$8:$AC$307,$AB1372))),거래처별!$A$8:$A$307),IFERROR(LOOKUP(2,1/((거래처별!$AD$8:$AD$307&lt;&gt;"")*ISNUMBER(SEARCH(거래처별!$AD$8:$AD$307,$AB1372))),거래처별!$A$8:$A$307),IFERROR(LOOKUP(2,1/((거래처별!$AE$8:$AE$307&lt;&gt;"")*ISNUMBER(SEARCH(거래처별!$AE$8:$AE$307,$AB1372))),거래처별!$A$8:$A$307),0))))</f>
        <v/>
      </c>
      <c r="AD1372" s="31">
        <f>IF(AND($Y1372&lt;&gt;"",N($Z1372)&gt;0,$AC1372=0),MAX($AD$7:$AD1371)+1,"")</f>
        <v/>
      </c>
      <c r="AE1372" s="31">
        <f>IF($Y1372="",0,$Y1372)</f>
        <v/>
      </c>
    </row>
    <row r="1373">
      <c r="W1373" s="31">
        <f>IF(OR($B$5="",$C$6="",ROW()&lt;$B$5),"",IF(INDEX($A:$U,ROW(),$C$6)="","",INDEX($A:$U,ROW(),$C$6)))</f>
        <v/>
      </c>
      <c r="X1373" s="32">
        <f>IF($W1373="","",IF(ISNUMBER($W1373),IF($W1373&gt;=10000000,IFERROR(DATE(INT($W1373/10000),MOD(INT($W1373/100),100),MOD($W1373,100)),""),INT($W1373)),IFERROR(DATE(--LEFT(LEFT(SUBSTITUTE(SUBSTITUTE(SUBSTITUTE(SUBSTITUTE(TRIM($W1373),"-",""),".",""),"/","")," ",""),8),4),--MID(LEFT(SUBSTITUTE(SUBSTITUTE(SUBSTITUTE(SUBSTITUTE(TRIM($W1373),"-",""),".",""),"/","")," ",""),8),5,2),--MID(LEFT(SUBSTITUTE(SUBSTITUTE(SUBSTITUTE(SUBSTITUTE(TRIM($W1373),"-",""),".",""),"/","")," ",""),8),7,2)),"")))</f>
        <v/>
      </c>
      <c r="Y1373" s="32">
        <f>IF($X1373="","",INT($X1373))</f>
        <v/>
      </c>
      <c r="Z1373" s="33">
        <f>IF(OR($Y1373="",$D$6=""),"",IF(INDEX($A:$U,ROW(),$D$6)="",0,IF(ISNUMBER(INDEX($A:$U,ROW(),$D$6)),INDEX($A:$U,ROW(),$D$6),IFERROR(--SUBSTITUTE(SUBSTITUTE(TRIM(INDEX($A:$U,ROW(),$D$6)),",",""),"원",""),0))))</f>
        <v/>
      </c>
      <c r="AA1373" s="31">
        <f>IF($Y1373="","",TRIM(INDEX($A:$U,ROW(),$E$6)&amp;IF($F$6="",""," "&amp;INDEX($A:$U,ROW(),$F$6))))</f>
        <v/>
      </c>
      <c r="AB1373" s="31">
        <f>IF($AA1373="","",SUBSTITUTE(SUBSTITUTE(SUBSTITUTE(SUBSTITUTE(SUBSTITUTE(SUBSTITUTE(SUBSTITUTE(SUBSTITUTE(SUBSTITUTE($AA1373," ",""),"　",""),"(주)",""),"（주）",""),"㈜",""),"주식회사",""),"(유)",""),"（유）",""),"유한회사",""))</f>
        <v/>
      </c>
      <c r="AC1373" s="31">
        <f>IF(OR($Y1373="",N($Z1373)&lt;=0,$AB1373=""),0,IFERROR(LOOKUP(2,1/((거래처별!$AC$8:$AC$307&lt;&gt;"")*ISNUMBER(SEARCH(거래처별!$AC$8:$AC$307,$AB1373))),거래처별!$A$8:$A$307),IFERROR(LOOKUP(2,1/((거래처별!$AD$8:$AD$307&lt;&gt;"")*ISNUMBER(SEARCH(거래처별!$AD$8:$AD$307,$AB1373))),거래처별!$A$8:$A$307),IFERROR(LOOKUP(2,1/((거래처별!$AE$8:$AE$307&lt;&gt;"")*ISNUMBER(SEARCH(거래처별!$AE$8:$AE$307,$AB1373))),거래처별!$A$8:$A$307),0))))</f>
        <v/>
      </c>
      <c r="AD1373" s="31">
        <f>IF(AND($Y1373&lt;&gt;"",N($Z1373)&gt;0,$AC1373=0),MAX($AD$7:$AD1372)+1,"")</f>
        <v/>
      </c>
      <c r="AE1373" s="31">
        <f>IF($Y1373="",0,$Y1373)</f>
        <v/>
      </c>
    </row>
    <row r="1374">
      <c r="W1374" s="31">
        <f>IF(OR($B$5="",$C$6="",ROW()&lt;$B$5),"",IF(INDEX($A:$U,ROW(),$C$6)="","",INDEX($A:$U,ROW(),$C$6)))</f>
        <v/>
      </c>
      <c r="X1374" s="32">
        <f>IF($W1374="","",IF(ISNUMBER($W1374),IF($W1374&gt;=10000000,IFERROR(DATE(INT($W1374/10000),MOD(INT($W1374/100),100),MOD($W1374,100)),""),INT($W1374)),IFERROR(DATE(--LEFT(LEFT(SUBSTITUTE(SUBSTITUTE(SUBSTITUTE(SUBSTITUTE(TRIM($W1374),"-",""),".",""),"/","")," ",""),8),4),--MID(LEFT(SUBSTITUTE(SUBSTITUTE(SUBSTITUTE(SUBSTITUTE(TRIM($W1374),"-",""),".",""),"/","")," ",""),8),5,2),--MID(LEFT(SUBSTITUTE(SUBSTITUTE(SUBSTITUTE(SUBSTITUTE(TRIM($W1374),"-",""),".",""),"/","")," ",""),8),7,2)),"")))</f>
        <v/>
      </c>
      <c r="Y1374" s="32">
        <f>IF($X1374="","",INT($X1374))</f>
        <v/>
      </c>
      <c r="Z1374" s="33">
        <f>IF(OR($Y1374="",$D$6=""),"",IF(INDEX($A:$U,ROW(),$D$6)="",0,IF(ISNUMBER(INDEX($A:$U,ROW(),$D$6)),INDEX($A:$U,ROW(),$D$6),IFERROR(--SUBSTITUTE(SUBSTITUTE(TRIM(INDEX($A:$U,ROW(),$D$6)),",",""),"원",""),0))))</f>
        <v/>
      </c>
      <c r="AA1374" s="31">
        <f>IF($Y1374="","",TRIM(INDEX($A:$U,ROW(),$E$6)&amp;IF($F$6="",""," "&amp;INDEX($A:$U,ROW(),$F$6))))</f>
        <v/>
      </c>
      <c r="AB1374" s="31">
        <f>IF($AA1374="","",SUBSTITUTE(SUBSTITUTE(SUBSTITUTE(SUBSTITUTE(SUBSTITUTE(SUBSTITUTE(SUBSTITUTE(SUBSTITUTE(SUBSTITUTE($AA1374," ",""),"　",""),"(주)",""),"（주）",""),"㈜",""),"주식회사",""),"(유)",""),"（유）",""),"유한회사",""))</f>
        <v/>
      </c>
      <c r="AC1374" s="31">
        <f>IF(OR($Y1374="",N($Z1374)&lt;=0,$AB1374=""),0,IFERROR(LOOKUP(2,1/((거래처별!$AC$8:$AC$307&lt;&gt;"")*ISNUMBER(SEARCH(거래처별!$AC$8:$AC$307,$AB1374))),거래처별!$A$8:$A$307),IFERROR(LOOKUP(2,1/((거래처별!$AD$8:$AD$307&lt;&gt;"")*ISNUMBER(SEARCH(거래처별!$AD$8:$AD$307,$AB1374))),거래처별!$A$8:$A$307),IFERROR(LOOKUP(2,1/((거래처별!$AE$8:$AE$307&lt;&gt;"")*ISNUMBER(SEARCH(거래처별!$AE$8:$AE$307,$AB1374))),거래처별!$A$8:$A$307),0))))</f>
        <v/>
      </c>
      <c r="AD1374" s="31">
        <f>IF(AND($Y1374&lt;&gt;"",N($Z1374)&gt;0,$AC1374=0),MAX($AD$7:$AD1373)+1,"")</f>
        <v/>
      </c>
      <c r="AE1374" s="31">
        <f>IF($Y1374="",0,$Y1374)</f>
        <v/>
      </c>
    </row>
    <row r="1375">
      <c r="W1375" s="31">
        <f>IF(OR($B$5="",$C$6="",ROW()&lt;$B$5),"",IF(INDEX($A:$U,ROW(),$C$6)="","",INDEX($A:$U,ROW(),$C$6)))</f>
        <v/>
      </c>
      <c r="X1375" s="32">
        <f>IF($W1375="","",IF(ISNUMBER($W1375),IF($W1375&gt;=10000000,IFERROR(DATE(INT($W1375/10000),MOD(INT($W1375/100),100),MOD($W1375,100)),""),INT($W1375)),IFERROR(DATE(--LEFT(LEFT(SUBSTITUTE(SUBSTITUTE(SUBSTITUTE(SUBSTITUTE(TRIM($W1375),"-",""),".",""),"/","")," ",""),8),4),--MID(LEFT(SUBSTITUTE(SUBSTITUTE(SUBSTITUTE(SUBSTITUTE(TRIM($W1375),"-",""),".",""),"/","")," ",""),8),5,2),--MID(LEFT(SUBSTITUTE(SUBSTITUTE(SUBSTITUTE(SUBSTITUTE(TRIM($W1375),"-",""),".",""),"/","")," ",""),8),7,2)),"")))</f>
        <v/>
      </c>
      <c r="Y1375" s="32">
        <f>IF($X1375="","",INT($X1375))</f>
        <v/>
      </c>
      <c r="Z1375" s="33">
        <f>IF(OR($Y1375="",$D$6=""),"",IF(INDEX($A:$U,ROW(),$D$6)="",0,IF(ISNUMBER(INDEX($A:$U,ROW(),$D$6)),INDEX($A:$U,ROW(),$D$6),IFERROR(--SUBSTITUTE(SUBSTITUTE(TRIM(INDEX($A:$U,ROW(),$D$6)),",",""),"원",""),0))))</f>
        <v/>
      </c>
      <c r="AA1375" s="31">
        <f>IF($Y1375="","",TRIM(INDEX($A:$U,ROW(),$E$6)&amp;IF($F$6="",""," "&amp;INDEX($A:$U,ROW(),$F$6))))</f>
        <v/>
      </c>
      <c r="AB1375" s="31">
        <f>IF($AA1375="","",SUBSTITUTE(SUBSTITUTE(SUBSTITUTE(SUBSTITUTE(SUBSTITUTE(SUBSTITUTE(SUBSTITUTE(SUBSTITUTE(SUBSTITUTE($AA1375," ",""),"　",""),"(주)",""),"（주）",""),"㈜",""),"주식회사",""),"(유)",""),"（유）",""),"유한회사",""))</f>
        <v/>
      </c>
      <c r="AC1375" s="31">
        <f>IF(OR($Y1375="",N($Z1375)&lt;=0,$AB1375=""),0,IFERROR(LOOKUP(2,1/((거래처별!$AC$8:$AC$307&lt;&gt;"")*ISNUMBER(SEARCH(거래처별!$AC$8:$AC$307,$AB1375))),거래처별!$A$8:$A$307),IFERROR(LOOKUP(2,1/((거래처별!$AD$8:$AD$307&lt;&gt;"")*ISNUMBER(SEARCH(거래처별!$AD$8:$AD$307,$AB1375))),거래처별!$A$8:$A$307),IFERROR(LOOKUP(2,1/((거래처별!$AE$8:$AE$307&lt;&gt;"")*ISNUMBER(SEARCH(거래처별!$AE$8:$AE$307,$AB1375))),거래처별!$A$8:$A$307),0))))</f>
        <v/>
      </c>
      <c r="AD1375" s="31">
        <f>IF(AND($Y1375&lt;&gt;"",N($Z1375)&gt;0,$AC1375=0),MAX($AD$7:$AD1374)+1,"")</f>
        <v/>
      </c>
      <c r="AE1375" s="31">
        <f>IF($Y1375="",0,$Y1375)</f>
        <v/>
      </c>
    </row>
    <row r="1376">
      <c r="W1376" s="31">
        <f>IF(OR($B$5="",$C$6="",ROW()&lt;$B$5),"",IF(INDEX($A:$U,ROW(),$C$6)="","",INDEX($A:$U,ROW(),$C$6)))</f>
        <v/>
      </c>
      <c r="X1376" s="32">
        <f>IF($W1376="","",IF(ISNUMBER($W1376),IF($W1376&gt;=10000000,IFERROR(DATE(INT($W1376/10000),MOD(INT($W1376/100),100),MOD($W1376,100)),""),INT($W1376)),IFERROR(DATE(--LEFT(LEFT(SUBSTITUTE(SUBSTITUTE(SUBSTITUTE(SUBSTITUTE(TRIM($W1376),"-",""),".",""),"/","")," ",""),8),4),--MID(LEFT(SUBSTITUTE(SUBSTITUTE(SUBSTITUTE(SUBSTITUTE(TRIM($W1376),"-",""),".",""),"/","")," ",""),8),5,2),--MID(LEFT(SUBSTITUTE(SUBSTITUTE(SUBSTITUTE(SUBSTITUTE(TRIM($W1376),"-",""),".",""),"/","")," ",""),8),7,2)),"")))</f>
        <v/>
      </c>
      <c r="Y1376" s="32">
        <f>IF($X1376="","",INT($X1376))</f>
        <v/>
      </c>
      <c r="Z1376" s="33">
        <f>IF(OR($Y1376="",$D$6=""),"",IF(INDEX($A:$U,ROW(),$D$6)="",0,IF(ISNUMBER(INDEX($A:$U,ROW(),$D$6)),INDEX($A:$U,ROW(),$D$6),IFERROR(--SUBSTITUTE(SUBSTITUTE(TRIM(INDEX($A:$U,ROW(),$D$6)),",",""),"원",""),0))))</f>
        <v/>
      </c>
      <c r="AA1376" s="31">
        <f>IF($Y1376="","",TRIM(INDEX($A:$U,ROW(),$E$6)&amp;IF($F$6="",""," "&amp;INDEX($A:$U,ROW(),$F$6))))</f>
        <v/>
      </c>
      <c r="AB1376" s="31">
        <f>IF($AA1376="","",SUBSTITUTE(SUBSTITUTE(SUBSTITUTE(SUBSTITUTE(SUBSTITUTE(SUBSTITUTE(SUBSTITUTE(SUBSTITUTE(SUBSTITUTE($AA1376," ",""),"　",""),"(주)",""),"（주）",""),"㈜",""),"주식회사",""),"(유)",""),"（유）",""),"유한회사",""))</f>
        <v/>
      </c>
      <c r="AC1376" s="31">
        <f>IF(OR($Y1376="",N($Z1376)&lt;=0,$AB1376=""),0,IFERROR(LOOKUP(2,1/((거래처별!$AC$8:$AC$307&lt;&gt;"")*ISNUMBER(SEARCH(거래처별!$AC$8:$AC$307,$AB1376))),거래처별!$A$8:$A$307),IFERROR(LOOKUP(2,1/((거래처별!$AD$8:$AD$307&lt;&gt;"")*ISNUMBER(SEARCH(거래처별!$AD$8:$AD$307,$AB1376))),거래처별!$A$8:$A$307),IFERROR(LOOKUP(2,1/((거래처별!$AE$8:$AE$307&lt;&gt;"")*ISNUMBER(SEARCH(거래처별!$AE$8:$AE$307,$AB1376))),거래처별!$A$8:$A$307),0))))</f>
        <v/>
      </c>
      <c r="AD1376" s="31">
        <f>IF(AND($Y1376&lt;&gt;"",N($Z1376)&gt;0,$AC1376=0),MAX($AD$7:$AD1375)+1,"")</f>
        <v/>
      </c>
      <c r="AE1376" s="31">
        <f>IF($Y1376="",0,$Y1376)</f>
        <v/>
      </c>
    </row>
    <row r="1377">
      <c r="W1377" s="31">
        <f>IF(OR($B$5="",$C$6="",ROW()&lt;$B$5),"",IF(INDEX($A:$U,ROW(),$C$6)="","",INDEX($A:$U,ROW(),$C$6)))</f>
        <v/>
      </c>
      <c r="X1377" s="32">
        <f>IF($W1377="","",IF(ISNUMBER($W1377),IF($W1377&gt;=10000000,IFERROR(DATE(INT($W1377/10000),MOD(INT($W1377/100),100),MOD($W1377,100)),""),INT($W1377)),IFERROR(DATE(--LEFT(LEFT(SUBSTITUTE(SUBSTITUTE(SUBSTITUTE(SUBSTITUTE(TRIM($W1377),"-",""),".",""),"/","")," ",""),8),4),--MID(LEFT(SUBSTITUTE(SUBSTITUTE(SUBSTITUTE(SUBSTITUTE(TRIM($W1377),"-",""),".",""),"/","")," ",""),8),5,2),--MID(LEFT(SUBSTITUTE(SUBSTITUTE(SUBSTITUTE(SUBSTITUTE(TRIM($W1377),"-",""),".",""),"/","")," ",""),8),7,2)),"")))</f>
        <v/>
      </c>
      <c r="Y1377" s="32">
        <f>IF($X1377="","",INT($X1377))</f>
        <v/>
      </c>
      <c r="Z1377" s="33">
        <f>IF(OR($Y1377="",$D$6=""),"",IF(INDEX($A:$U,ROW(),$D$6)="",0,IF(ISNUMBER(INDEX($A:$U,ROW(),$D$6)),INDEX($A:$U,ROW(),$D$6),IFERROR(--SUBSTITUTE(SUBSTITUTE(TRIM(INDEX($A:$U,ROW(),$D$6)),",",""),"원",""),0))))</f>
        <v/>
      </c>
      <c r="AA1377" s="31">
        <f>IF($Y1377="","",TRIM(INDEX($A:$U,ROW(),$E$6)&amp;IF($F$6="",""," "&amp;INDEX($A:$U,ROW(),$F$6))))</f>
        <v/>
      </c>
      <c r="AB1377" s="31">
        <f>IF($AA1377="","",SUBSTITUTE(SUBSTITUTE(SUBSTITUTE(SUBSTITUTE(SUBSTITUTE(SUBSTITUTE(SUBSTITUTE(SUBSTITUTE(SUBSTITUTE($AA1377," ",""),"　",""),"(주)",""),"（주）",""),"㈜",""),"주식회사",""),"(유)",""),"（유）",""),"유한회사",""))</f>
        <v/>
      </c>
      <c r="AC1377" s="31">
        <f>IF(OR($Y1377="",N($Z1377)&lt;=0,$AB1377=""),0,IFERROR(LOOKUP(2,1/((거래처별!$AC$8:$AC$307&lt;&gt;"")*ISNUMBER(SEARCH(거래처별!$AC$8:$AC$307,$AB1377))),거래처별!$A$8:$A$307),IFERROR(LOOKUP(2,1/((거래처별!$AD$8:$AD$307&lt;&gt;"")*ISNUMBER(SEARCH(거래처별!$AD$8:$AD$307,$AB1377))),거래처별!$A$8:$A$307),IFERROR(LOOKUP(2,1/((거래처별!$AE$8:$AE$307&lt;&gt;"")*ISNUMBER(SEARCH(거래처별!$AE$8:$AE$307,$AB1377))),거래처별!$A$8:$A$307),0))))</f>
        <v/>
      </c>
      <c r="AD1377" s="31">
        <f>IF(AND($Y1377&lt;&gt;"",N($Z1377)&gt;0,$AC1377=0),MAX($AD$7:$AD1376)+1,"")</f>
        <v/>
      </c>
      <c r="AE1377" s="31">
        <f>IF($Y1377="",0,$Y1377)</f>
        <v/>
      </c>
    </row>
    <row r="1378">
      <c r="W1378" s="31">
        <f>IF(OR($B$5="",$C$6="",ROW()&lt;$B$5),"",IF(INDEX($A:$U,ROW(),$C$6)="","",INDEX($A:$U,ROW(),$C$6)))</f>
        <v/>
      </c>
      <c r="X1378" s="32">
        <f>IF($W1378="","",IF(ISNUMBER($W1378),IF($W1378&gt;=10000000,IFERROR(DATE(INT($W1378/10000),MOD(INT($W1378/100),100),MOD($W1378,100)),""),INT($W1378)),IFERROR(DATE(--LEFT(LEFT(SUBSTITUTE(SUBSTITUTE(SUBSTITUTE(SUBSTITUTE(TRIM($W1378),"-",""),".",""),"/","")," ",""),8),4),--MID(LEFT(SUBSTITUTE(SUBSTITUTE(SUBSTITUTE(SUBSTITUTE(TRIM($W1378),"-",""),".",""),"/","")," ",""),8),5,2),--MID(LEFT(SUBSTITUTE(SUBSTITUTE(SUBSTITUTE(SUBSTITUTE(TRIM($W1378),"-",""),".",""),"/","")," ",""),8),7,2)),"")))</f>
        <v/>
      </c>
      <c r="Y1378" s="32">
        <f>IF($X1378="","",INT($X1378))</f>
        <v/>
      </c>
      <c r="Z1378" s="33">
        <f>IF(OR($Y1378="",$D$6=""),"",IF(INDEX($A:$U,ROW(),$D$6)="",0,IF(ISNUMBER(INDEX($A:$U,ROW(),$D$6)),INDEX($A:$U,ROW(),$D$6),IFERROR(--SUBSTITUTE(SUBSTITUTE(TRIM(INDEX($A:$U,ROW(),$D$6)),",",""),"원",""),0))))</f>
        <v/>
      </c>
      <c r="AA1378" s="31">
        <f>IF($Y1378="","",TRIM(INDEX($A:$U,ROW(),$E$6)&amp;IF($F$6="",""," "&amp;INDEX($A:$U,ROW(),$F$6))))</f>
        <v/>
      </c>
      <c r="AB1378" s="31">
        <f>IF($AA1378="","",SUBSTITUTE(SUBSTITUTE(SUBSTITUTE(SUBSTITUTE(SUBSTITUTE(SUBSTITUTE(SUBSTITUTE(SUBSTITUTE(SUBSTITUTE($AA1378," ",""),"　",""),"(주)",""),"（주）",""),"㈜",""),"주식회사",""),"(유)",""),"（유）",""),"유한회사",""))</f>
        <v/>
      </c>
      <c r="AC1378" s="31">
        <f>IF(OR($Y1378="",N($Z1378)&lt;=0,$AB1378=""),0,IFERROR(LOOKUP(2,1/((거래처별!$AC$8:$AC$307&lt;&gt;"")*ISNUMBER(SEARCH(거래처별!$AC$8:$AC$307,$AB1378))),거래처별!$A$8:$A$307),IFERROR(LOOKUP(2,1/((거래처별!$AD$8:$AD$307&lt;&gt;"")*ISNUMBER(SEARCH(거래처별!$AD$8:$AD$307,$AB1378))),거래처별!$A$8:$A$307),IFERROR(LOOKUP(2,1/((거래처별!$AE$8:$AE$307&lt;&gt;"")*ISNUMBER(SEARCH(거래처별!$AE$8:$AE$307,$AB1378))),거래처별!$A$8:$A$307),0))))</f>
        <v/>
      </c>
      <c r="AD1378" s="31">
        <f>IF(AND($Y1378&lt;&gt;"",N($Z1378)&gt;0,$AC1378=0),MAX($AD$7:$AD1377)+1,"")</f>
        <v/>
      </c>
      <c r="AE1378" s="31">
        <f>IF($Y1378="",0,$Y1378)</f>
        <v/>
      </c>
    </row>
    <row r="1379">
      <c r="W1379" s="31">
        <f>IF(OR($B$5="",$C$6="",ROW()&lt;$B$5),"",IF(INDEX($A:$U,ROW(),$C$6)="","",INDEX($A:$U,ROW(),$C$6)))</f>
        <v/>
      </c>
      <c r="X1379" s="32">
        <f>IF($W1379="","",IF(ISNUMBER($W1379),IF($W1379&gt;=10000000,IFERROR(DATE(INT($W1379/10000),MOD(INT($W1379/100),100),MOD($W1379,100)),""),INT($W1379)),IFERROR(DATE(--LEFT(LEFT(SUBSTITUTE(SUBSTITUTE(SUBSTITUTE(SUBSTITUTE(TRIM($W1379),"-",""),".",""),"/","")," ",""),8),4),--MID(LEFT(SUBSTITUTE(SUBSTITUTE(SUBSTITUTE(SUBSTITUTE(TRIM($W1379),"-",""),".",""),"/","")," ",""),8),5,2),--MID(LEFT(SUBSTITUTE(SUBSTITUTE(SUBSTITUTE(SUBSTITUTE(TRIM($W1379),"-",""),".",""),"/","")," ",""),8),7,2)),"")))</f>
        <v/>
      </c>
      <c r="Y1379" s="32">
        <f>IF($X1379="","",INT($X1379))</f>
        <v/>
      </c>
      <c r="Z1379" s="33">
        <f>IF(OR($Y1379="",$D$6=""),"",IF(INDEX($A:$U,ROW(),$D$6)="",0,IF(ISNUMBER(INDEX($A:$U,ROW(),$D$6)),INDEX($A:$U,ROW(),$D$6),IFERROR(--SUBSTITUTE(SUBSTITUTE(TRIM(INDEX($A:$U,ROW(),$D$6)),",",""),"원",""),0))))</f>
        <v/>
      </c>
      <c r="AA1379" s="31">
        <f>IF($Y1379="","",TRIM(INDEX($A:$U,ROW(),$E$6)&amp;IF($F$6="",""," "&amp;INDEX($A:$U,ROW(),$F$6))))</f>
        <v/>
      </c>
      <c r="AB1379" s="31">
        <f>IF($AA1379="","",SUBSTITUTE(SUBSTITUTE(SUBSTITUTE(SUBSTITUTE(SUBSTITUTE(SUBSTITUTE(SUBSTITUTE(SUBSTITUTE(SUBSTITUTE($AA1379," ",""),"　",""),"(주)",""),"（주）",""),"㈜",""),"주식회사",""),"(유)",""),"（유）",""),"유한회사",""))</f>
        <v/>
      </c>
      <c r="AC1379" s="31">
        <f>IF(OR($Y1379="",N($Z1379)&lt;=0,$AB1379=""),0,IFERROR(LOOKUP(2,1/((거래처별!$AC$8:$AC$307&lt;&gt;"")*ISNUMBER(SEARCH(거래처별!$AC$8:$AC$307,$AB1379))),거래처별!$A$8:$A$307),IFERROR(LOOKUP(2,1/((거래처별!$AD$8:$AD$307&lt;&gt;"")*ISNUMBER(SEARCH(거래처별!$AD$8:$AD$307,$AB1379))),거래처별!$A$8:$A$307),IFERROR(LOOKUP(2,1/((거래처별!$AE$8:$AE$307&lt;&gt;"")*ISNUMBER(SEARCH(거래처별!$AE$8:$AE$307,$AB1379))),거래처별!$A$8:$A$307),0))))</f>
        <v/>
      </c>
      <c r="AD1379" s="31">
        <f>IF(AND($Y1379&lt;&gt;"",N($Z1379)&gt;0,$AC1379=0),MAX($AD$7:$AD1378)+1,"")</f>
        <v/>
      </c>
      <c r="AE1379" s="31">
        <f>IF($Y1379="",0,$Y1379)</f>
        <v/>
      </c>
    </row>
    <row r="1380">
      <c r="W1380" s="31">
        <f>IF(OR($B$5="",$C$6="",ROW()&lt;$B$5),"",IF(INDEX($A:$U,ROW(),$C$6)="","",INDEX($A:$U,ROW(),$C$6)))</f>
        <v/>
      </c>
      <c r="X1380" s="32">
        <f>IF($W1380="","",IF(ISNUMBER($W1380),IF($W1380&gt;=10000000,IFERROR(DATE(INT($W1380/10000),MOD(INT($W1380/100),100),MOD($W1380,100)),""),INT($W1380)),IFERROR(DATE(--LEFT(LEFT(SUBSTITUTE(SUBSTITUTE(SUBSTITUTE(SUBSTITUTE(TRIM($W1380),"-",""),".",""),"/","")," ",""),8),4),--MID(LEFT(SUBSTITUTE(SUBSTITUTE(SUBSTITUTE(SUBSTITUTE(TRIM($W1380),"-",""),".",""),"/","")," ",""),8),5,2),--MID(LEFT(SUBSTITUTE(SUBSTITUTE(SUBSTITUTE(SUBSTITUTE(TRIM($W1380),"-",""),".",""),"/","")," ",""),8),7,2)),"")))</f>
        <v/>
      </c>
      <c r="Y1380" s="32">
        <f>IF($X1380="","",INT($X1380))</f>
        <v/>
      </c>
      <c r="Z1380" s="33">
        <f>IF(OR($Y1380="",$D$6=""),"",IF(INDEX($A:$U,ROW(),$D$6)="",0,IF(ISNUMBER(INDEX($A:$U,ROW(),$D$6)),INDEX($A:$U,ROW(),$D$6),IFERROR(--SUBSTITUTE(SUBSTITUTE(TRIM(INDEX($A:$U,ROW(),$D$6)),",",""),"원",""),0))))</f>
        <v/>
      </c>
      <c r="AA1380" s="31">
        <f>IF($Y1380="","",TRIM(INDEX($A:$U,ROW(),$E$6)&amp;IF($F$6="",""," "&amp;INDEX($A:$U,ROW(),$F$6))))</f>
        <v/>
      </c>
      <c r="AB1380" s="31">
        <f>IF($AA1380="","",SUBSTITUTE(SUBSTITUTE(SUBSTITUTE(SUBSTITUTE(SUBSTITUTE(SUBSTITUTE(SUBSTITUTE(SUBSTITUTE(SUBSTITUTE($AA1380," ",""),"　",""),"(주)",""),"（주）",""),"㈜",""),"주식회사",""),"(유)",""),"（유）",""),"유한회사",""))</f>
        <v/>
      </c>
      <c r="AC1380" s="31">
        <f>IF(OR($Y1380="",N($Z1380)&lt;=0,$AB1380=""),0,IFERROR(LOOKUP(2,1/((거래처별!$AC$8:$AC$307&lt;&gt;"")*ISNUMBER(SEARCH(거래처별!$AC$8:$AC$307,$AB1380))),거래처별!$A$8:$A$307),IFERROR(LOOKUP(2,1/((거래처별!$AD$8:$AD$307&lt;&gt;"")*ISNUMBER(SEARCH(거래처별!$AD$8:$AD$307,$AB1380))),거래처별!$A$8:$A$307),IFERROR(LOOKUP(2,1/((거래처별!$AE$8:$AE$307&lt;&gt;"")*ISNUMBER(SEARCH(거래처별!$AE$8:$AE$307,$AB1380))),거래처별!$A$8:$A$307),0))))</f>
        <v/>
      </c>
      <c r="AD1380" s="31">
        <f>IF(AND($Y1380&lt;&gt;"",N($Z1380)&gt;0,$AC1380=0),MAX($AD$7:$AD1379)+1,"")</f>
        <v/>
      </c>
      <c r="AE1380" s="31">
        <f>IF($Y1380="",0,$Y1380)</f>
        <v/>
      </c>
    </row>
    <row r="1381">
      <c r="W1381" s="31">
        <f>IF(OR($B$5="",$C$6="",ROW()&lt;$B$5),"",IF(INDEX($A:$U,ROW(),$C$6)="","",INDEX($A:$U,ROW(),$C$6)))</f>
        <v/>
      </c>
      <c r="X1381" s="32">
        <f>IF($W1381="","",IF(ISNUMBER($W1381),IF($W1381&gt;=10000000,IFERROR(DATE(INT($W1381/10000),MOD(INT($W1381/100),100),MOD($W1381,100)),""),INT($W1381)),IFERROR(DATE(--LEFT(LEFT(SUBSTITUTE(SUBSTITUTE(SUBSTITUTE(SUBSTITUTE(TRIM($W1381),"-",""),".",""),"/","")," ",""),8),4),--MID(LEFT(SUBSTITUTE(SUBSTITUTE(SUBSTITUTE(SUBSTITUTE(TRIM($W1381),"-",""),".",""),"/","")," ",""),8),5,2),--MID(LEFT(SUBSTITUTE(SUBSTITUTE(SUBSTITUTE(SUBSTITUTE(TRIM($W1381),"-",""),".",""),"/","")," ",""),8),7,2)),"")))</f>
        <v/>
      </c>
      <c r="Y1381" s="32">
        <f>IF($X1381="","",INT($X1381))</f>
        <v/>
      </c>
      <c r="Z1381" s="33">
        <f>IF(OR($Y1381="",$D$6=""),"",IF(INDEX($A:$U,ROW(),$D$6)="",0,IF(ISNUMBER(INDEX($A:$U,ROW(),$D$6)),INDEX($A:$U,ROW(),$D$6),IFERROR(--SUBSTITUTE(SUBSTITUTE(TRIM(INDEX($A:$U,ROW(),$D$6)),",",""),"원",""),0))))</f>
        <v/>
      </c>
      <c r="AA1381" s="31">
        <f>IF($Y1381="","",TRIM(INDEX($A:$U,ROW(),$E$6)&amp;IF($F$6="",""," "&amp;INDEX($A:$U,ROW(),$F$6))))</f>
        <v/>
      </c>
      <c r="AB1381" s="31">
        <f>IF($AA1381="","",SUBSTITUTE(SUBSTITUTE(SUBSTITUTE(SUBSTITUTE(SUBSTITUTE(SUBSTITUTE(SUBSTITUTE(SUBSTITUTE(SUBSTITUTE($AA1381," ",""),"　",""),"(주)",""),"（주）",""),"㈜",""),"주식회사",""),"(유)",""),"（유）",""),"유한회사",""))</f>
        <v/>
      </c>
      <c r="AC1381" s="31">
        <f>IF(OR($Y1381="",N($Z1381)&lt;=0,$AB1381=""),0,IFERROR(LOOKUP(2,1/((거래처별!$AC$8:$AC$307&lt;&gt;"")*ISNUMBER(SEARCH(거래처별!$AC$8:$AC$307,$AB1381))),거래처별!$A$8:$A$307),IFERROR(LOOKUP(2,1/((거래처별!$AD$8:$AD$307&lt;&gt;"")*ISNUMBER(SEARCH(거래처별!$AD$8:$AD$307,$AB1381))),거래처별!$A$8:$A$307),IFERROR(LOOKUP(2,1/((거래처별!$AE$8:$AE$307&lt;&gt;"")*ISNUMBER(SEARCH(거래처별!$AE$8:$AE$307,$AB1381))),거래처별!$A$8:$A$307),0))))</f>
        <v/>
      </c>
      <c r="AD1381" s="31">
        <f>IF(AND($Y1381&lt;&gt;"",N($Z1381)&gt;0,$AC1381=0),MAX($AD$7:$AD1380)+1,"")</f>
        <v/>
      </c>
      <c r="AE1381" s="31">
        <f>IF($Y1381="",0,$Y1381)</f>
        <v/>
      </c>
    </row>
    <row r="1382">
      <c r="W1382" s="31">
        <f>IF(OR($B$5="",$C$6="",ROW()&lt;$B$5),"",IF(INDEX($A:$U,ROW(),$C$6)="","",INDEX($A:$U,ROW(),$C$6)))</f>
        <v/>
      </c>
      <c r="X1382" s="32">
        <f>IF($W1382="","",IF(ISNUMBER($W1382),IF($W1382&gt;=10000000,IFERROR(DATE(INT($W1382/10000),MOD(INT($W1382/100),100),MOD($W1382,100)),""),INT($W1382)),IFERROR(DATE(--LEFT(LEFT(SUBSTITUTE(SUBSTITUTE(SUBSTITUTE(SUBSTITUTE(TRIM($W1382),"-",""),".",""),"/","")," ",""),8),4),--MID(LEFT(SUBSTITUTE(SUBSTITUTE(SUBSTITUTE(SUBSTITUTE(TRIM($W1382),"-",""),".",""),"/","")," ",""),8),5,2),--MID(LEFT(SUBSTITUTE(SUBSTITUTE(SUBSTITUTE(SUBSTITUTE(TRIM($W1382),"-",""),".",""),"/","")," ",""),8),7,2)),"")))</f>
        <v/>
      </c>
      <c r="Y1382" s="32">
        <f>IF($X1382="","",INT($X1382))</f>
        <v/>
      </c>
      <c r="Z1382" s="33">
        <f>IF(OR($Y1382="",$D$6=""),"",IF(INDEX($A:$U,ROW(),$D$6)="",0,IF(ISNUMBER(INDEX($A:$U,ROW(),$D$6)),INDEX($A:$U,ROW(),$D$6),IFERROR(--SUBSTITUTE(SUBSTITUTE(TRIM(INDEX($A:$U,ROW(),$D$6)),",",""),"원",""),0))))</f>
        <v/>
      </c>
      <c r="AA1382" s="31">
        <f>IF($Y1382="","",TRIM(INDEX($A:$U,ROW(),$E$6)&amp;IF($F$6="",""," "&amp;INDEX($A:$U,ROW(),$F$6))))</f>
        <v/>
      </c>
      <c r="AB1382" s="31">
        <f>IF($AA1382="","",SUBSTITUTE(SUBSTITUTE(SUBSTITUTE(SUBSTITUTE(SUBSTITUTE(SUBSTITUTE(SUBSTITUTE(SUBSTITUTE(SUBSTITUTE($AA1382," ",""),"　",""),"(주)",""),"（주）",""),"㈜",""),"주식회사",""),"(유)",""),"（유）",""),"유한회사",""))</f>
        <v/>
      </c>
      <c r="AC1382" s="31">
        <f>IF(OR($Y1382="",N($Z1382)&lt;=0,$AB1382=""),0,IFERROR(LOOKUP(2,1/((거래처별!$AC$8:$AC$307&lt;&gt;"")*ISNUMBER(SEARCH(거래처별!$AC$8:$AC$307,$AB1382))),거래처별!$A$8:$A$307),IFERROR(LOOKUP(2,1/((거래처별!$AD$8:$AD$307&lt;&gt;"")*ISNUMBER(SEARCH(거래처별!$AD$8:$AD$307,$AB1382))),거래처별!$A$8:$A$307),IFERROR(LOOKUP(2,1/((거래처별!$AE$8:$AE$307&lt;&gt;"")*ISNUMBER(SEARCH(거래처별!$AE$8:$AE$307,$AB1382))),거래처별!$A$8:$A$307),0))))</f>
        <v/>
      </c>
      <c r="AD1382" s="31">
        <f>IF(AND($Y1382&lt;&gt;"",N($Z1382)&gt;0,$AC1382=0),MAX($AD$7:$AD1381)+1,"")</f>
        <v/>
      </c>
      <c r="AE1382" s="31">
        <f>IF($Y1382="",0,$Y1382)</f>
        <v/>
      </c>
    </row>
    <row r="1383">
      <c r="W1383" s="31">
        <f>IF(OR($B$5="",$C$6="",ROW()&lt;$B$5),"",IF(INDEX($A:$U,ROW(),$C$6)="","",INDEX($A:$U,ROW(),$C$6)))</f>
        <v/>
      </c>
      <c r="X1383" s="32">
        <f>IF($W1383="","",IF(ISNUMBER($W1383),IF($W1383&gt;=10000000,IFERROR(DATE(INT($W1383/10000),MOD(INT($W1383/100),100),MOD($W1383,100)),""),INT($W1383)),IFERROR(DATE(--LEFT(LEFT(SUBSTITUTE(SUBSTITUTE(SUBSTITUTE(SUBSTITUTE(TRIM($W1383),"-",""),".",""),"/","")," ",""),8),4),--MID(LEFT(SUBSTITUTE(SUBSTITUTE(SUBSTITUTE(SUBSTITUTE(TRIM($W1383),"-",""),".",""),"/","")," ",""),8),5,2),--MID(LEFT(SUBSTITUTE(SUBSTITUTE(SUBSTITUTE(SUBSTITUTE(TRIM($W1383),"-",""),".",""),"/","")," ",""),8),7,2)),"")))</f>
        <v/>
      </c>
      <c r="Y1383" s="32">
        <f>IF($X1383="","",INT($X1383))</f>
        <v/>
      </c>
      <c r="Z1383" s="33">
        <f>IF(OR($Y1383="",$D$6=""),"",IF(INDEX($A:$U,ROW(),$D$6)="",0,IF(ISNUMBER(INDEX($A:$U,ROW(),$D$6)),INDEX($A:$U,ROW(),$D$6),IFERROR(--SUBSTITUTE(SUBSTITUTE(TRIM(INDEX($A:$U,ROW(),$D$6)),",",""),"원",""),0))))</f>
        <v/>
      </c>
      <c r="AA1383" s="31">
        <f>IF($Y1383="","",TRIM(INDEX($A:$U,ROW(),$E$6)&amp;IF($F$6="",""," "&amp;INDEX($A:$U,ROW(),$F$6))))</f>
        <v/>
      </c>
      <c r="AB1383" s="31">
        <f>IF($AA1383="","",SUBSTITUTE(SUBSTITUTE(SUBSTITUTE(SUBSTITUTE(SUBSTITUTE(SUBSTITUTE(SUBSTITUTE(SUBSTITUTE(SUBSTITUTE($AA1383," ",""),"　",""),"(주)",""),"（주）",""),"㈜",""),"주식회사",""),"(유)",""),"（유）",""),"유한회사",""))</f>
        <v/>
      </c>
      <c r="AC1383" s="31">
        <f>IF(OR($Y1383="",N($Z1383)&lt;=0,$AB1383=""),0,IFERROR(LOOKUP(2,1/((거래처별!$AC$8:$AC$307&lt;&gt;"")*ISNUMBER(SEARCH(거래처별!$AC$8:$AC$307,$AB1383))),거래처별!$A$8:$A$307),IFERROR(LOOKUP(2,1/((거래처별!$AD$8:$AD$307&lt;&gt;"")*ISNUMBER(SEARCH(거래처별!$AD$8:$AD$307,$AB1383))),거래처별!$A$8:$A$307),IFERROR(LOOKUP(2,1/((거래처별!$AE$8:$AE$307&lt;&gt;"")*ISNUMBER(SEARCH(거래처별!$AE$8:$AE$307,$AB1383))),거래처별!$A$8:$A$307),0))))</f>
        <v/>
      </c>
      <c r="AD1383" s="31">
        <f>IF(AND($Y1383&lt;&gt;"",N($Z1383)&gt;0,$AC1383=0),MAX($AD$7:$AD1382)+1,"")</f>
        <v/>
      </c>
      <c r="AE1383" s="31">
        <f>IF($Y1383="",0,$Y1383)</f>
        <v/>
      </c>
    </row>
    <row r="1384">
      <c r="W1384" s="31">
        <f>IF(OR($B$5="",$C$6="",ROW()&lt;$B$5),"",IF(INDEX($A:$U,ROW(),$C$6)="","",INDEX($A:$U,ROW(),$C$6)))</f>
        <v/>
      </c>
      <c r="X1384" s="32">
        <f>IF($W1384="","",IF(ISNUMBER($W1384),IF($W1384&gt;=10000000,IFERROR(DATE(INT($W1384/10000),MOD(INT($W1384/100),100),MOD($W1384,100)),""),INT($W1384)),IFERROR(DATE(--LEFT(LEFT(SUBSTITUTE(SUBSTITUTE(SUBSTITUTE(SUBSTITUTE(TRIM($W1384),"-",""),".",""),"/","")," ",""),8),4),--MID(LEFT(SUBSTITUTE(SUBSTITUTE(SUBSTITUTE(SUBSTITUTE(TRIM($W1384),"-",""),".",""),"/","")," ",""),8),5,2),--MID(LEFT(SUBSTITUTE(SUBSTITUTE(SUBSTITUTE(SUBSTITUTE(TRIM($W1384),"-",""),".",""),"/","")," ",""),8),7,2)),"")))</f>
        <v/>
      </c>
      <c r="Y1384" s="32">
        <f>IF($X1384="","",INT($X1384))</f>
        <v/>
      </c>
      <c r="Z1384" s="33">
        <f>IF(OR($Y1384="",$D$6=""),"",IF(INDEX($A:$U,ROW(),$D$6)="",0,IF(ISNUMBER(INDEX($A:$U,ROW(),$D$6)),INDEX($A:$U,ROW(),$D$6),IFERROR(--SUBSTITUTE(SUBSTITUTE(TRIM(INDEX($A:$U,ROW(),$D$6)),",",""),"원",""),0))))</f>
        <v/>
      </c>
      <c r="AA1384" s="31">
        <f>IF($Y1384="","",TRIM(INDEX($A:$U,ROW(),$E$6)&amp;IF($F$6="",""," "&amp;INDEX($A:$U,ROW(),$F$6))))</f>
        <v/>
      </c>
      <c r="AB1384" s="31">
        <f>IF($AA1384="","",SUBSTITUTE(SUBSTITUTE(SUBSTITUTE(SUBSTITUTE(SUBSTITUTE(SUBSTITUTE(SUBSTITUTE(SUBSTITUTE(SUBSTITUTE($AA1384," ",""),"　",""),"(주)",""),"（주）",""),"㈜",""),"주식회사",""),"(유)",""),"（유）",""),"유한회사",""))</f>
        <v/>
      </c>
      <c r="AC1384" s="31">
        <f>IF(OR($Y1384="",N($Z1384)&lt;=0,$AB1384=""),0,IFERROR(LOOKUP(2,1/((거래처별!$AC$8:$AC$307&lt;&gt;"")*ISNUMBER(SEARCH(거래처별!$AC$8:$AC$307,$AB1384))),거래처별!$A$8:$A$307),IFERROR(LOOKUP(2,1/((거래처별!$AD$8:$AD$307&lt;&gt;"")*ISNUMBER(SEARCH(거래처별!$AD$8:$AD$307,$AB1384))),거래처별!$A$8:$A$307),IFERROR(LOOKUP(2,1/((거래처별!$AE$8:$AE$307&lt;&gt;"")*ISNUMBER(SEARCH(거래처별!$AE$8:$AE$307,$AB1384))),거래처별!$A$8:$A$307),0))))</f>
        <v/>
      </c>
      <c r="AD1384" s="31">
        <f>IF(AND($Y1384&lt;&gt;"",N($Z1384)&gt;0,$AC1384=0),MAX($AD$7:$AD1383)+1,"")</f>
        <v/>
      </c>
      <c r="AE1384" s="31">
        <f>IF($Y1384="",0,$Y1384)</f>
        <v/>
      </c>
    </row>
    <row r="1385">
      <c r="W1385" s="31">
        <f>IF(OR($B$5="",$C$6="",ROW()&lt;$B$5),"",IF(INDEX($A:$U,ROW(),$C$6)="","",INDEX($A:$U,ROW(),$C$6)))</f>
        <v/>
      </c>
      <c r="X1385" s="32">
        <f>IF($W1385="","",IF(ISNUMBER($W1385),IF($W1385&gt;=10000000,IFERROR(DATE(INT($W1385/10000),MOD(INT($W1385/100),100),MOD($W1385,100)),""),INT($W1385)),IFERROR(DATE(--LEFT(LEFT(SUBSTITUTE(SUBSTITUTE(SUBSTITUTE(SUBSTITUTE(TRIM($W1385),"-",""),".",""),"/","")," ",""),8),4),--MID(LEFT(SUBSTITUTE(SUBSTITUTE(SUBSTITUTE(SUBSTITUTE(TRIM($W1385),"-",""),".",""),"/","")," ",""),8),5,2),--MID(LEFT(SUBSTITUTE(SUBSTITUTE(SUBSTITUTE(SUBSTITUTE(TRIM($W1385),"-",""),".",""),"/","")," ",""),8),7,2)),"")))</f>
        <v/>
      </c>
      <c r="Y1385" s="32">
        <f>IF($X1385="","",INT($X1385))</f>
        <v/>
      </c>
      <c r="Z1385" s="33">
        <f>IF(OR($Y1385="",$D$6=""),"",IF(INDEX($A:$U,ROW(),$D$6)="",0,IF(ISNUMBER(INDEX($A:$U,ROW(),$D$6)),INDEX($A:$U,ROW(),$D$6),IFERROR(--SUBSTITUTE(SUBSTITUTE(TRIM(INDEX($A:$U,ROW(),$D$6)),",",""),"원",""),0))))</f>
        <v/>
      </c>
      <c r="AA1385" s="31">
        <f>IF($Y1385="","",TRIM(INDEX($A:$U,ROW(),$E$6)&amp;IF($F$6="",""," "&amp;INDEX($A:$U,ROW(),$F$6))))</f>
        <v/>
      </c>
      <c r="AB1385" s="31">
        <f>IF($AA1385="","",SUBSTITUTE(SUBSTITUTE(SUBSTITUTE(SUBSTITUTE(SUBSTITUTE(SUBSTITUTE(SUBSTITUTE(SUBSTITUTE(SUBSTITUTE($AA1385," ",""),"　",""),"(주)",""),"（주）",""),"㈜",""),"주식회사",""),"(유)",""),"（유）",""),"유한회사",""))</f>
        <v/>
      </c>
      <c r="AC1385" s="31">
        <f>IF(OR($Y1385="",N($Z1385)&lt;=0,$AB1385=""),0,IFERROR(LOOKUP(2,1/((거래처별!$AC$8:$AC$307&lt;&gt;"")*ISNUMBER(SEARCH(거래처별!$AC$8:$AC$307,$AB1385))),거래처별!$A$8:$A$307),IFERROR(LOOKUP(2,1/((거래처별!$AD$8:$AD$307&lt;&gt;"")*ISNUMBER(SEARCH(거래처별!$AD$8:$AD$307,$AB1385))),거래처별!$A$8:$A$307),IFERROR(LOOKUP(2,1/((거래처별!$AE$8:$AE$307&lt;&gt;"")*ISNUMBER(SEARCH(거래처별!$AE$8:$AE$307,$AB1385))),거래처별!$A$8:$A$307),0))))</f>
        <v/>
      </c>
      <c r="AD1385" s="31">
        <f>IF(AND($Y1385&lt;&gt;"",N($Z1385)&gt;0,$AC1385=0),MAX($AD$7:$AD1384)+1,"")</f>
        <v/>
      </c>
      <c r="AE1385" s="31">
        <f>IF($Y1385="",0,$Y1385)</f>
        <v/>
      </c>
    </row>
    <row r="1386">
      <c r="W1386" s="31">
        <f>IF(OR($B$5="",$C$6="",ROW()&lt;$B$5),"",IF(INDEX($A:$U,ROW(),$C$6)="","",INDEX($A:$U,ROW(),$C$6)))</f>
        <v/>
      </c>
      <c r="X1386" s="32">
        <f>IF($W1386="","",IF(ISNUMBER($W1386),IF($W1386&gt;=10000000,IFERROR(DATE(INT($W1386/10000),MOD(INT($W1386/100),100),MOD($W1386,100)),""),INT($W1386)),IFERROR(DATE(--LEFT(LEFT(SUBSTITUTE(SUBSTITUTE(SUBSTITUTE(SUBSTITUTE(TRIM($W1386),"-",""),".",""),"/","")," ",""),8),4),--MID(LEFT(SUBSTITUTE(SUBSTITUTE(SUBSTITUTE(SUBSTITUTE(TRIM($W1386),"-",""),".",""),"/","")," ",""),8),5,2),--MID(LEFT(SUBSTITUTE(SUBSTITUTE(SUBSTITUTE(SUBSTITUTE(TRIM($W1386),"-",""),".",""),"/","")," ",""),8),7,2)),"")))</f>
        <v/>
      </c>
      <c r="Y1386" s="32">
        <f>IF($X1386="","",INT($X1386))</f>
        <v/>
      </c>
      <c r="Z1386" s="33">
        <f>IF(OR($Y1386="",$D$6=""),"",IF(INDEX($A:$U,ROW(),$D$6)="",0,IF(ISNUMBER(INDEX($A:$U,ROW(),$D$6)),INDEX($A:$U,ROW(),$D$6),IFERROR(--SUBSTITUTE(SUBSTITUTE(TRIM(INDEX($A:$U,ROW(),$D$6)),",",""),"원",""),0))))</f>
        <v/>
      </c>
      <c r="AA1386" s="31">
        <f>IF($Y1386="","",TRIM(INDEX($A:$U,ROW(),$E$6)&amp;IF($F$6="",""," "&amp;INDEX($A:$U,ROW(),$F$6))))</f>
        <v/>
      </c>
      <c r="AB1386" s="31">
        <f>IF($AA1386="","",SUBSTITUTE(SUBSTITUTE(SUBSTITUTE(SUBSTITUTE(SUBSTITUTE(SUBSTITUTE(SUBSTITUTE(SUBSTITUTE(SUBSTITUTE($AA1386," ",""),"　",""),"(주)",""),"（주）",""),"㈜",""),"주식회사",""),"(유)",""),"（유）",""),"유한회사",""))</f>
        <v/>
      </c>
      <c r="AC1386" s="31">
        <f>IF(OR($Y1386="",N($Z1386)&lt;=0,$AB1386=""),0,IFERROR(LOOKUP(2,1/((거래처별!$AC$8:$AC$307&lt;&gt;"")*ISNUMBER(SEARCH(거래처별!$AC$8:$AC$307,$AB1386))),거래처별!$A$8:$A$307),IFERROR(LOOKUP(2,1/((거래처별!$AD$8:$AD$307&lt;&gt;"")*ISNUMBER(SEARCH(거래처별!$AD$8:$AD$307,$AB1386))),거래처별!$A$8:$A$307),IFERROR(LOOKUP(2,1/((거래처별!$AE$8:$AE$307&lt;&gt;"")*ISNUMBER(SEARCH(거래처별!$AE$8:$AE$307,$AB1386))),거래처별!$A$8:$A$307),0))))</f>
        <v/>
      </c>
      <c r="AD1386" s="31">
        <f>IF(AND($Y1386&lt;&gt;"",N($Z1386)&gt;0,$AC1386=0),MAX($AD$7:$AD1385)+1,"")</f>
        <v/>
      </c>
      <c r="AE1386" s="31">
        <f>IF($Y1386="",0,$Y1386)</f>
        <v/>
      </c>
    </row>
    <row r="1387">
      <c r="W1387" s="31">
        <f>IF(OR($B$5="",$C$6="",ROW()&lt;$B$5),"",IF(INDEX($A:$U,ROW(),$C$6)="","",INDEX($A:$U,ROW(),$C$6)))</f>
        <v/>
      </c>
      <c r="X1387" s="32">
        <f>IF($W1387="","",IF(ISNUMBER($W1387),IF($W1387&gt;=10000000,IFERROR(DATE(INT($W1387/10000),MOD(INT($W1387/100),100),MOD($W1387,100)),""),INT($W1387)),IFERROR(DATE(--LEFT(LEFT(SUBSTITUTE(SUBSTITUTE(SUBSTITUTE(SUBSTITUTE(TRIM($W1387),"-",""),".",""),"/","")," ",""),8),4),--MID(LEFT(SUBSTITUTE(SUBSTITUTE(SUBSTITUTE(SUBSTITUTE(TRIM($W1387),"-",""),".",""),"/","")," ",""),8),5,2),--MID(LEFT(SUBSTITUTE(SUBSTITUTE(SUBSTITUTE(SUBSTITUTE(TRIM($W1387),"-",""),".",""),"/","")," ",""),8),7,2)),"")))</f>
        <v/>
      </c>
      <c r="Y1387" s="32">
        <f>IF($X1387="","",INT($X1387))</f>
        <v/>
      </c>
      <c r="Z1387" s="33">
        <f>IF(OR($Y1387="",$D$6=""),"",IF(INDEX($A:$U,ROW(),$D$6)="",0,IF(ISNUMBER(INDEX($A:$U,ROW(),$D$6)),INDEX($A:$U,ROW(),$D$6),IFERROR(--SUBSTITUTE(SUBSTITUTE(TRIM(INDEX($A:$U,ROW(),$D$6)),",",""),"원",""),0))))</f>
        <v/>
      </c>
      <c r="AA1387" s="31">
        <f>IF($Y1387="","",TRIM(INDEX($A:$U,ROW(),$E$6)&amp;IF($F$6="",""," "&amp;INDEX($A:$U,ROW(),$F$6))))</f>
        <v/>
      </c>
      <c r="AB1387" s="31">
        <f>IF($AA1387="","",SUBSTITUTE(SUBSTITUTE(SUBSTITUTE(SUBSTITUTE(SUBSTITUTE(SUBSTITUTE(SUBSTITUTE(SUBSTITUTE(SUBSTITUTE($AA1387," ",""),"　",""),"(주)",""),"（주）",""),"㈜",""),"주식회사",""),"(유)",""),"（유）",""),"유한회사",""))</f>
        <v/>
      </c>
      <c r="AC1387" s="31">
        <f>IF(OR($Y1387="",N($Z1387)&lt;=0,$AB1387=""),0,IFERROR(LOOKUP(2,1/((거래처별!$AC$8:$AC$307&lt;&gt;"")*ISNUMBER(SEARCH(거래처별!$AC$8:$AC$307,$AB1387))),거래처별!$A$8:$A$307),IFERROR(LOOKUP(2,1/((거래처별!$AD$8:$AD$307&lt;&gt;"")*ISNUMBER(SEARCH(거래처별!$AD$8:$AD$307,$AB1387))),거래처별!$A$8:$A$307),IFERROR(LOOKUP(2,1/((거래처별!$AE$8:$AE$307&lt;&gt;"")*ISNUMBER(SEARCH(거래처별!$AE$8:$AE$307,$AB1387))),거래처별!$A$8:$A$307),0))))</f>
        <v/>
      </c>
      <c r="AD1387" s="31">
        <f>IF(AND($Y1387&lt;&gt;"",N($Z1387)&gt;0,$AC1387=0),MAX($AD$7:$AD1386)+1,"")</f>
        <v/>
      </c>
      <c r="AE1387" s="31">
        <f>IF($Y1387="",0,$Y1387)</f>
        <v/>
      </c>
    </row>
    <row r="1388">
      <c r="W1388" s="31">
        <f>IF(OR($B$5="",$C$6="",ROW()&lt;$B$5),"",IF(INDEX($A:$U,ROW(),$C$6)="","",INDEX($A:$U,ROW(),$C$6)))</f>
        <v/>
      </c>
      <c r="X1388" s="32">
        <f>IF($W1388="","",IF(ISNUMBER($W1388),IF($W1388&gt;=10000000,IFERROR(DATE(INT($W1388/10000),MOD(INT($W1388/100),100),MOD($W1388,100)),""),INT($W1388)),IFERROR(DATE(--LEFT(LEFT(SUBSTITUTE(SUBSTITUTE(SUBSTITUTE(SUBSTITUTE(TRIM($W1388),"-",""),".",""),"/","")," ",""),8),4),--MID(LEFT(SUBSTITUTE(SUBSTITUTE(SUBSTITUTE(SUBSTITUTE(TRIM($W1388),"-",""),".",""),"/","")," ",""),8),5,2),--MID(LEFT(SUBSTITUTE(SUBSTITUTE(SUBSTITUTE(SUBSTITUTE(TRIM($W1388),"-",""),".",""),"/","")," ",""),8),7,2)),"")))</f>
        <v/>
      </c>
      <c r="Y1388" s="32">
        <f>IF($X1388="","",INT($X1388))</f>
        <v/>
      </c>
      <c r="Z1388" s="33">
        <f>IF(OR($Y1388="",$D$6=""),"",IF(INDEX($A:$U,ROW(),$D$6)="",0,IF(ISNUMBER(INDEX($A:$U,ROW(),$D$6)),INDEX($A:$U,ROW(),$D$6),IFERROR(--SUBSTITUTE(SUBSTITUTE(TRIM(INDEX($A:$U,ROW(),$D$6)),",",""),"원",""),0))))</f>
        <v/>
      </c>
      <c r="AA1388" s="31">
        <f>IF($Y1388="","",TRIM(INDEX($A:$U,ROW(),$E$6)&amp;IF($F$6="",""," "&amp;INDEX($A:$U,ROW(),$F$6))))</f>
        <v/>
      </c>
      <c r="AB1388" s="31">
        <f>IF($AA1388="","",SUBSTITUTE(SUBSTITUTE(SUBSTITUTE(SUBSTITUTE(SUBSTITUTE(SUBSTITUTE(SUBSTITUTE(SUBSTITUTE(SUBSTITUTE($AA1388," ",""),"　",""),"(주)",""),"（주）",""),"㈜",""),"주식회사",""),"(유)",""),"（유）",""),"유한회사",""))</f>
        <v/>
      </c>
      <c r="AC1388" s="31">
        <f>IF(OR($Y1388="",N($Z1388)&lt;=0,$AB1388=""),0,IFERROR(LOOKUP(2,1/((거래처별!$AC$8:$AC$307&lt;&gt;"")*ISNUMBER(SEARCH(거래처별!$AC$8:$AC$307,$AB1388))),거래처별!$A$8:$A$307),IFERROR(LOOKUP(2,1/((거래처별!$AD$8:$AD$307&lt;&gt;"")*ISNUMBER(SEARCH(거래처별!$AD$8:$AD$307,$AB1388))),거래처별!$A$8:$A$307),IFERROR(LOOKUP(2,1/((거래처별!$AE$8:$AE$307&lt;&gt;"")*ISNUMBER(SEARCH(거래처별!$AE$8:$AE$307,$AB1388))),거래처별!$A$8:$A$307),0))))</f>
        <v/>
      </c>
      <c r="AD1388" s="31">
        <f>IF(AND($Y1388&lt;&gt;"",N($Z1388)&gt;0,$AC1388=0),MAX($AD$7:$AD1387)+1,"")</f>
        <v/>
      </c>
      <c r="AE1388" s="31">
        <f>IF($Y1388="",0,$Y1388)</f>
        <v/>
      </c>
    </row>
    <row r="1389">
      <c r="W1389" s="31">
        <f>IF(OR($B$5="",$C$6="",ROW()&lt;$B$5),"",IF(INDEX($A:$U,ROW(),$C$6)="","",INDEX($A:$U,ROW(),$C$6)))</f>
        <v/>
      </c>
      <c r="X1389" s="32">
        <f>IF($W1389="","",IF(ISNUMBER($W1389),IF($W1389&gt;=10000000,IFERROR(DATE(INT($W1389/10000),MOD(INT($W1389/100),100),MOD($W1389,100)),""),INT($W1389)),IFERROR(DATE(--LEFT(LEFT(SUBSTITUTE(SUBSTITUTE(SUBSTITUTE(SUBSTITUTE(TRIM($W1389),"-",""),".",""),"/","")," ",""),8),4),--MID(LEFT(SUBSTITUTE(SUBSTITUTE(SUBSTITUTE(SUBSTITUTE(TRIM($W1389),"-",""),".",""),"/","")," ",""),8),5,2),--MID(LEFT(SUBSTITUTE(SUBSTITUTE(SUBSTITUTE(SUBSTITUTE(TRIM($W1389),"-",""),".",""),"/","")," ",""),8),7,2)),"")))</f>
        <v/>
      </c>
      <c r="Y1389" s="32">
        <f>IF($X1389="","",INT($X1389))</f>
        <v/>
      </c>
      <c r="Z1389" s="33">
        <f>IF(OR($Y1389="",$D$6=""),"",IF(INDEX($A:$U,ROW(),$D$6)="",0,IF(ISNUMBER(INDEX($A:$U,ROW(),$D$6)),INDEX($A:$U,ROW(),$D$6),IFERROR(--SUBSTITUTE(SUBSTITUTE(TRIM(INDEX($A:$U,ROW(),$D$6)),",",""),"원",""),0))))</f>
        <v/>
      </c>
      <c r="AA1389" s="31">
        <f>IF($Y1389="","",TRIM(INDEX($A:$U,ROW(),$E$6)&amp;IF($F$6="",""," "&amp;INDEX($A:$U,ROW(),$F$6))))</f>
        <v/>
      </c>
      <c r="AB1389" s="31">
        <f>IF($AA1389="","",SUBSTITUTE(SUBSTITUTE(SUBSTITUTE(SUBSTITUTE(SUBSTITUTE(SUBSTITUTE(SUBSTITUTE(SUBSTITUTE(SUBSTITUTE($AA1389," ",""),"　",""),"(주)",""),"（주）",""),"㈜",""),"주식회사",""),"(유)",""),"（유）",""),"유한회사",""))</f>
        <v/>
      </c>
      <c r="AC1389" s="31">
        <f>IF(OR($Y1389="",N($Z1389)&lt;=0,$AB1389=""),0,IFERROR(LOOKUP(2,1/((거래처별!$AC$8:$AC$307&lt;&gt;"")*ISNUMBER(SEARCH(거래처별!$AC$8:$AC$307,$AB1389))),거래처별!$A$8:$A$307),IFERROR(LOOKUP(2,1/((거래처별!$AD$8:$AD$307&lt;&gt;"")*ISNUMBER(SEARCH(거래처별!$AD$8:$AD$307,$AB1389))),거래처별!$A$8:$A$307),IFERROR(LOOKUP(2,1/((거래처별!$AE$8:$AE$307&lt;&gt;"")*ISNUMBER(SEARCH(거래처별!$AE$8:$AE$307,$AB1389))),거래처별!$A$8:$A$307),0))))</f>
        <v/>
      </c>
      <c r="AD1389" s="31">
        <f>IF(AND($Y1389&lt;&gt;"",N($Z1389)&gt;0,$AC1389=0),MAX($AD$7:$AD1388)+1,"")</f>
        <v/>
      </c>
      <c r="AE1389" s="31">
        <f>IF($Y1389="",0,$Y1389)</f>
        <v/>
      </c>
    </row>
    <row r="1390">
      <c r="W1390" s="31">
        <f>IF(OR($B$5="",$C$6="",ROW()&lt;$B$5),"",IF(INDEX($A:$U,ROW(),$C$6)="","",INDEX($A:$U,ROW(),$C$6)))</f>
        <v/>
      </c>
      <c r="X1390" s="32">
        <f>IF($W1390="","",IF(ISNUMBER($W1390),IF($W1390&gt;=10000000,IFERROR(DATE(INT($W1390/10000),MOD(INT($W1390/100),100),MOD($W1390,100)),""),INT($W1390)),IFERROR(DATE(--LEFT(LEFT(SUBSTITUTE(SUBSTITUTE(SUBSTITUTE(SUBSTITUTE(TRIM($W1390),"-",""),".",""),"/","")," ",""),8),4),--MID(LEFT(SUBSTITUTE(SUBSTITUTE(SUBSTITUTE(SUBSTITUTE(TRIM($W1390),"-",""),".",""),"/","")," ",""),8),5,2),--MID(LEFT(SUBSTITUTE(SUBSTITUTE(SUBSTITUTE(SUBSTITUTE(TRIM($W1390),"-",""),".",""),"/","")," ",""),8),7,2)),"")))</f>
        <v/>
      </c>
      <c r="Y1390" s="32">
        <f>IF($X1390="","",INT($X1390))</f>
        <v/>
      </c>
      <c r="Z1390" s="33">
        <f>IF(OR($Y1390="",$D$6=""),"",IF(INDEX($A:$U,ROW(),$D$6)="",0,IF(ISNUMBER(INDEX($A:$U,ROW(),$D$6)),INDEX($A:$U,ROW(),$D$6),IFERROR(--SUBSTITUTE(SUBSTITUTE(TRIM(INDEX($A:$U,ROW(),$D$6)),",",""),"원",""),0))))</f>
        <v/>
      </c>
      <c r="AA1390" s="31">
        <f>IF($Y1390="","",TRIM(INDEX($A:$U,ROW(),$E$6)&amp;IF($F$6="",""," "&amp;INDEX($A:$U,ROW(),$F$6))))</f>
        <v/>
      </c>
      <c r="AB1390" s="31">
        <f>IF($AA1390="","",SUBSTITUTE(SUBSTITUTE(SUBSTITUTE(SUBSTITUTE(SUBSTITUTE(SUBSTITUTE(SUBSTITUTE(SUBSTITUTE(SUBSTITUTE($AA1390," ",""),"　",""),"(주)",""),"（주）",""),"㈜",""),"주식회사",""),"(유)",""),"（유）",""),"유한회사",""))</f>
        <v/>
      </c>
      <c r="AC1390" s="31">
        <f>IF(OR($Y1390="",N($Z1390)&lt;=0,$AB1390=""),0,IFERROR(LOOKUP(2,1/((거래처별!$AC$8:$AC$307&lt;&gt;"")*ISNUMBER(SEARCH(거래처별!$AC$8:$AC$307,$AB1390))),거래처별!$A$8:$A$307),IFERROR(LOOKUP(2,1/((거래처별!$AD$8:$AD$307&lt;&gt;"")*ISNUMBER(SEARCH(거래처별!$AD$8:$AD$307,$AB1390))),거래처별!$A$8:$A$307),IFERROR(LOOKUP(2,1/((거래처별!$AE$8:$AE$307&lt;&gt;"")*ISNUMBER(SEARCH(거래처별!$AE$8:$AE$307,$AB1390))),거래처별!$A$8:$A$307),0))))</f>
        <v/>
      </c>
      <c r="AD1390" s="31">
        <f>IF(AND($Y1390&lt;&gt;"",N($Z1390)&gt;0,$AC1390=0),MAX($AD$7:$AD1389)+1,"")</f>
        <v/>
      </c>
      <c r="AE1390" s="31">
        <f>IF($Y1390="",0,$Y1390)</f>
        <v/>
      </c>
    </row>
    <row r="1391">
      <c r="W1391" s="31">
        <f>IF(OR($B$5="",$C$6="",ROW()&lt;$B$5),"",IF(INDEX($A:$U,ROW(),$C$6)="","",INDEX($A:$U,ROW(),$C$6)))</f>
        <v/>
      </c>
      <c r="X1391" s="32">
        <f>IF($W1391="","",IF(ISNUMBER($W1391),IF($W1391&gt;=10000000,IFERROR(DATE(INT($W1391/10000),MOD(INT($W1391/100),100),MOD($W1391,100)),""),INT($W1391)),IFERROR(DATE(--LEFT(LEFT(SUBSTITUTE(SUBSTITUTE(SUBSTITUTE(SUBSTITUTE(TRIM($W1391),"-",""),".",""),"/","")," ",""),8),4),--MID(LEFT(SUBSTITUTE(SUBSTITUTE(SUBSTITUTE(SUBSTITUTE(TRIM($W1391),"-",""),".",""),"/","")," ",""),8),5,2),--MID(LEFT(SUBSTITUTE(SUBSTITUTE(SUBSTITUTE(SUBSTITUTE(TRIM($W1391),"-",""),".",""),"/","")," ",""),8),7,2)),"")))</f>
        <v/>
      </c>
      <c r="Y1391" s="32">
        <f>IF($X1391="","",INT($X1391))</f>
        <v/>
      </c>
      <c r="Z1391" s="33">
        <f>IF(OR($Y1391="",$D$6=""),"",IF(INDEX($A:$U,ROW(),$D$6)="",0,IF(ISNUMBER(INDEX($A:$U,ROW(),$D$6)),INDEX($A:$U,ROW(),$D$6),IFERROR(--SUBSTITUTE(SUBSTITUTE(TRIM(INDEX($A:$U,ROW(),$D$6)),",",""),"원",""),0))))</f>
        <v/>
      </c>
      <c r="AA1391" s="31">
        <f>IF($Y1391="","",TRIM(INDEX($A:$U,ROW(),$E$6)&amp;IF($F$6="",""," "&amp;INDEX($A:$U,ROW(),$F$6))))</f>
        <v/>
      </c>
      <c r="AB1391" s="31">
        <f>IF($AA1391="","",SUBSTITUTE(SUBSTITUTE(SUBSTITUTE(SUBSTITUTE(SUBSTITUTE(SUBSTITUTE(SUBSTITUTE(SUBSTITUTE(SUBSTITUTE($AA1391," ",""),"　",""),"(주)",""),"（주）",""),"㈜",""),"주식회사",""),"(유)",""),"（유）",""),"유한회사",""))</f>
        <v/>
      </c>
      <c r="AC1391" s="31">
        <f>IF(OR($Y1391="",N($Z1391)&lt;=0,$AB1391=""),0,IFERROR(LOOKUP(2,1/((거래처별!$AC$8:$AC$307&lt;&gt;"")*ISNUMBER(SEARCH(거래처별!$AC$8:$AC$307,$AB1391))),거래처별!$A$8:$A$307),IFERROR(LOOKUP(2,1/((거래처별!$AD$8:$AD$307&lt;&gt;"")*ISNUMBER(SEARCH(거래처별!$AD$8:$AD$307,$AB1391))),거래처별!$A$8:$A$307),IFERROR(LOOKUP(2,1/((거래처별!$AE$8:$AE$307&lt;&gt;"")*ISNUMBER(SEARCH(거래처별!$AE$8:$AE$307,$AB1391))),거래처별!$A$8:$A$307),0))))</f>
        <v/>
      </c>
      <c r="AD1391" s="31">
        <f>IF(AND($Y1391&lt;&gt;"",N($Z1391)&gt;0,$AC1391=0),MAX($AD$7:$AD1390)+1,"")</f>
        <v/>
      </c>
      <c r="AE1391" s="31">
        <f>IF($Y1391="",0,$Y1391)</f>
        <v/>
      </c>
    </row>
    <row r="1392">
      <c r="W1392" s="31">
        <f>IF(OR($B$5="",$C$6="",ROW()&lt;$B$5),"",IF(INDEX($A:$U,ROW(),$C$6)="","",INDEX($A:$U,ROW(),$C$6)))</f>
        <v/>
      </c>
      <c r="X1392" s="32">
        <f>IF($W1392="","",IF(ISNUMBER($W1392),IF($W1392&gt;=10000000,IFERROR(DATE(INT($W1392/10000),MOD(INT($W1392/100),100),MOD($W1392,100)),""),INT($W1392)),IFERROR(DATE(--LEFT(LEFT(SUBSTITUTE(SUBSTITUTE(SUBSTITUTE(SUBSTITUTE(TRIM($W1392),"-",""),".",""),"/","")," ",""),8),4),--MID(LEFT(SUBSTITUTE(SUBSTITUTE(SUBSTITUTE(SUBSTITUTE(TRIM($W1392),"-",""),".",""),"/","")," ",""),8),5,2),--MID(LEFT(SUBSTITUTE(SUBSTITUTE(SUBSTITUTE(SUBSTITUTE(TRIM($W1392),"-",""),".",""),"/","")," ",""),8),7,2)),"")))</f>
        <v/>
      </c>
      <c r="Y1392" s="32">
        <f>IF($X1392="","",INT($X1392))</f>
        <v/>
      </c>
      <c r="Z1392" s="33">
        <f>IF(OR($Y1392="",$D$6=""),"",IF(INDEX($A:$U,ROW(),$D$6)="",0,IF(ISNUMBER(INDEX($A:$U,ROW(),$D$6)),INDEX($A:$U,ROW(),$D$6),IFERROR(--SUBSTITUTE(SUBSTITUTE(TRIM(INDEX($A:$U,ROW(),$D$6)),",",""),"원",""),0))))</f>
        <v/>
      </c>
      <c r="AA1392" s="31">
        <f>IF($Y1392="","",TRIM(INDEX($A:$U,ROW(),$E$6)&amp;IF($F$6="",""," "&amp;INDEX($A:$U,ROW(),$F$6))))</f>
        <v/>
      </c>
      <c r="AB1392" s="31">
        <f>IF($AA1392="","",SUBSTITUTE(SUBSTITUTE(SUBSTITUTE(SUBSTITUTE(SUBSTITUTE(SUBSTITUTE(SUBSTITUTE(SUBSTITUTE(SUBSTITUTE($AA1392," ",""),"　",""),"(주)",""),"（주）",""),"㈜",""),"주식회사",""),"(유)",""),"（유）",""),"유한회사",""))</f>
        <v/>
      </c>
      <c r="AC1392" s="31">
        <f>IF(OR($Y1392="",N($Z1392)&lt;=0,$AB1392=""),0,IFERROR(LOOKUP(2,1/((거래처별!$AC$8:$AC$307&lt;&gt;"")*ISNUMBER(SEARCH(거래처별!$AC$8:$AC$307,$AB1392))),거래처별!$A$8:$A$307),IFERROR(LOOKUP(2,1/((거래처별!$AD$8:$AD$307&lt;&gt;"")*ISNUMBER(SEARCH(거래처별!$AD$8:$AD$307,$AB1392))),거래처별!$A$8:$A$307),IFERROR(LOOKUP(2,1/((거래처별!$AE$8:$AE$307&lt;&gt;"")*ISNUMBER(SEARCH(거래처별!$AE$8:$AE$307,$AB1392))),거래처별!$A$8:$A$307),0))))</f>
        <v/>
      </c>
      <c r="AD1392" s="31">
        <f>IF(AND($Y1392&lt;&gt;"",N($Z1392)&gt;0,$AC1392=0),MAX($AD$7:$AD1391)+1,"")</f>
        <v/>
      </c>
      <c r="AE1392" s="31">
        <f>IF($Y1392="",0,$Y1392)</f>
        <v/>
      </c>
    </row>
    <row r="1393">
      <c r="W1393" s="31">
        <f>IF(OR($B$5="",$C$6="",ROW()&lt;$B$5),"",IF(INDEX($A:$U,ROW(),$C$6)="","",INDEX($A:$U,ROW(),$C$6)))</f>
        <v/>
      </c>
      <c r="X1393" s="32">
        <f>IF($W1393="","",IF(ISNUMBER($W1393),IF($W1393&gt;=10000000,IFERROR(DATE(INT($W1393/10000),MOD(INT($W1393/100),100),MOD($W1393,100)),""),INT($W1393)),IFERROR(DATE(--LEFT(LEFT(SUBSTITUTE(SUBSTITUTE(SUBSTITUTE(SUBSTITUTE(TRIM($W1393),"-",""),".",""),"/","")," ",""),8),4),--MID(LEFT(SUBSTITUTE(SUBSTITUTE(SUBSTITUTE(SUBSTITUTE(TRIM($W1393),"-",""),".",""),"/","")," ",""),8),5,2),--MID(LEFT(SUBSTITUTE(SUBSTITUTE(SUBSTITUTE(SUBSTITUTE(TRIM($W1393),"-",""),".",""),"/","")," ",""),8),7,2)),"")))</f>
        <v/>
      </c>
      <c r="Y1393" s="32">
        <f>IF($X1393="","",INT($X1393))</f>
        <v/>
      </c>
      <c r="Z1393" s="33">
        <f>IF(OR($Y1393="",$D$6=""),"",IF(INDEX($A:$U,ROW(),$D$6)="",0,IF(ISNUMBER(INDEX($A:$U,ROW(),$D$6)),INDEX($A:$U,ROW(),$D$6),IFERROR(--SUBSTITUTE(SUBSTITUTE(TRIM(INDEX($A:$U,ROW(),$D$6)),",",""),"원",""),0))))</f>
        <v/>
      </c>
      <c r="AA1393" s="31">
        <f>IF($Y1393="","",TRIM(INDEX($A:$U,ROW(),$E$6)&amp;IF($F$6="",""," "&amp;INDEX($A:$U,ROW(),$F$6))))</f>
        <v/>
      </c>
      <c r="AB1393" s="31">
        <f>IF($AA1393="","",SUBSTITUTE(SUBSTITUTE(SUBSTITUTE(SUBSTITUTE(SUBSTITUTE(SUBSTITUTE(SUBSTITUTE(SUBSTITUTE(SUBSTITUTE($AA1393," ",""),"　",""),"(주)",""),"（주）",""),"㈜",""),"주식회사",""),"(유)",""),"（유）",""),"유한회사",""))</f>
        <v/>
      </c>
      <c r="AC1393" s="31">
        <f>IF(OR($Y1393="",N($Z1393)&lt;=0,$AB1393=""),0,IFERROR(LOOKUP(2,1/((거래처별!$AC$8:$AC$307&lt;&gt;"")*ISNUMBER(SEARCH(거래처별!$AC$8:$AC$307,$AB1393))),거래처별!$A$8:$A$307),IFERROR(LOOKUP(2,1/((거래처별!$AD$8:$AD$307&lt;&gt;"")*ISNUMBER(SEARCH(거래처별!$AD$8:$AD$307,$AB1393))),거래처별!$A$8:$A$307),IFERROR(LOOKUP(2,1/((거래처별!$AE$8:$AE$307&lt;&gt;"")*ISNUMBER(SEARCH(거래처별!$AE$8:$AE$307,$AB1393))),거래처별!$A$8:$A$307),0))))</f>
        <v/>
      </c>
      <c r="AD1393" s="31">
        <f>IF(AND($Y1393&lt;&gt;"",N($Z1393)&gt;0,$AC1393=0),MAX($AD$7:$AD1392)+1,"")</f>
        <v/>
      </c>
      <c r="AE1393" s="31">
        <f>IF($Y1393="",0,$Y1393)</f>
        <v/>
      </c>
    </row>
    <row r="1394">
      <c r="W1394" s="31">
        <f>IF(OR($B$5="",$C$6="",ROW()&lt;$B$5),"",IF(INDEX($A:$U,ROW(),$C$6)="","",INDEX($A:$U,ROW(),$C$6)))</f>
        <v/>
      </c>
      <c r="X1394" s="32">
        <f>IF($W1394="","",IF(ISNUMBER($W1394),IF($W1394&gt;=10000000,IFERROR(DATE(INT($W1394/10000),MOD(INT($W1394/100),100),MOD($W1394,100)),""),INT($W1394)),IFERROR(DATE(--LEFT(LEFT(SUBSTITUTE(SUBSTITUTE(SUBSTITUTE(SUBSTITUTE(TRIM($W1394),"-",""),".",""),"/","")," ",""),8),4),--MID(LEFT(SUBSTITUTE(SUBSTITUTE(SUBSTITUTE(SUBSTITUTE(TRIM($W1394),"-",""),".",""),"/","")," ",""),8),5,2),--MID(LEFT(SUBSTITUTE(SUBSTITUTE(SUBSTITUTE(SUBSTITUTE(TRIM($W1394),"-",""),".",""),"/","")," ",""),8),7,2)),"")))</f>
        <v/>
      </c>
      <c r="Y1394" s="32">
        <f>IF($X1394="","",INT($X1394))</f>
        <v/>
      </c>
      <c r="Z1394" s="33">
        <f>IF(OR($Y1394="",$D$6=""),"",IF(INDEX($A:$U,ROW(),$D$6)="",0,IF(ISNUMBER(INDEX($A:$U,ROW(),$D$6)),INDEX($A:$U,ROW(),$D$6),IFERROR(--SUBSTITUTE(SUBSTITUTE(TRIM(INDEX($A:$U,ROW(),$D$6)),",",""),"원",""),0))))</f>
        <v/>
      </c>
      <c r="AA1394" s="31">
        <f>IF($Y1394="","",TRIM(INDEX($A:$U,ROW(),$E$6)&amp;IF($F$6="",""," "&amp;INDEX($A:$U,ROW(),$F$6))))</f>
        <v/>
      </c>
      <c r="AB1394" s="31">
        <f>IF($AA1394="","",SUBSTITUTE(SUBSTITUTE(SUBSTITUTE(SUBSTITUTE(SUBSTITUTE(SUBSTITUTE(SUBSTITUTE(SUBSTITUTE(SUBSTITUTE($AA1394," ",""),"　",""),"(주)",""),"（주）",""),"㈜",""),"주식회사",""),"(유)",""),"（유）",""),"유한회사",""))</f>
        <v/>
      </c>
      <c r="AC1394" s="31">
        <f>IF(OR($Y1394="",N($Z1394)&lt;=0,$AB1394=""),0,IFERROR(LOOKUP(2,1/((거래처별!$AC$8:$AC$307&lt;&gt;"")*ISNUMBER(SEARCH(거래처별!$AC$8:$AC$307,$AB1394))),거래처별!$A$8:$A$307),IFERROR(LOOKUP(2,1/((거래처별!$AD$8:$AD$307&lt;&gt;"")*ISNUMBER(SEARCH(거래처별!$AD$8:$AD$307,$AB1394))),거래처별!$A$8:$A$307),IFERROR(LOOKUP(2,1/((거래처별!$AE$8:$AE$307&lt;&gt;"")*ISNUMBER(SEARCH(거래처별!$AE$8:$AE$307,$AB1394))),거래처별!$A$8:$A$307),0))))</f>
        <v/>
      </c>
      <c r="AD1394" s="31">
        <f>IF(AND($Y1394&lt;&gt;"",N($Z1394)&gt;0,$AC1394=0),MAX($AD$7:$AD1393)+1,"")</f>
        <v/>
      </c>
      <c r="AE1394" s="31">
        <f>IF($Y1394="",0,$Y1394)</f>
        <v/>
      </c>
    </row>
    <row r="1395">
      <c r="W1395" s="31">
        <f>IF(OR($B$5="",$C$6="",ROW()&lt;$B$5),"",IF(INDEX($A:$U,ROW(),$C$6)="","",INDEX($A:$U,ROW(),$C$6)))</f>
        <v/>
      </c>
      <c r="X1395" s="32">
        <f>IF($W1395="","",IF(ISNUMBER($W1395),IF($W1395&gt;=10000000,IFERROR(DATE(INT($W1395/10000),MOD(INT($W1395/100),100),MOD($W1395,100)),""),INT($W1395)),IFERROR(DATE(--LEFT(LEFT(SUBSTITUTE(SUBSTITUTE(SUBSTITUTE(SUBSTITUTE(TRIM($W1395),"-",""),".",""),"/","")," ",""),8),4),--MID(LEFT(SUBSTITUTE(SUBSTITUTE(SUBSTITUTE(SUBSTITUTE(TRIM($W1395),"-",""),".",""),"/","")," ",""),8),5,2),--MID(LEFT(SUBSTITUTE(SUBSTITUTE(SUBSTITUTE(SUBSTITUTE(TRIM($W1395),"-",""),".",""),"/","")," ",""),8),7,2)),"")))</f>
        <v/>
      </c>
      <c r="Y1395" s="32">
        <f>IF($X1395="","",INT($X1395))</f>
        <v/>
      </c>
      <c r="Z1395" s="33">
        <f>IF(OR($Y1395="",$D$6=""),"",IF(INDEX($A:$U,ROW(),$D$6)="",0,IF(ISNUMBER(INDEX($A:$U,ROW(),$D$6)),INDEX($A:$U,ROW(),$D$6),IFERROR(--SUBSTITUTE(SUBSTITUTE(TRIM(INDEX($A:$U,ROW(),$D$6)),",",""),"원",""),0))))</f>
        <v/>
      </c>
      <c r="AA1395" s="31">
        <f>IF($Y1395="","",TRIM(INDEX($A:$U,ROW(),$E$6)&amp;IF($F$6="",""," "&amp;INDEX($A:$U,ROW(),$F$6))))</f>
        <v/>
      </c>
      <c r="AB1395" s="31">
        <f>IF($AA1395="","",SUBSTITUTE(SUBSTITUTE(SUBSTITUTE(SUBSTITUTE(SUBSTITUTE(SUBSTITUTE(SUBSTITUTE(SUBSTITUTE(SUBSTITUTE($AA1395," ",""),"　",""),"(주)",""),"（주）",""),"㈜",""),"주식회사",""),"(유)",""),"（유）",""),"유한회사",""))</f>
        <v/>
      </c>
      <c r="AC1395" s="31">
        <f>IF(OR($Y1395="",N($Z1395)&lt;=0,$AB1395=""),0,IFERROR(LOOKUP(2,1/((거래처별!$AC$8:$AC$307&lt;&gt;"")*ISNUMBER(SEARCH(거래처별!$AC$8:$AC$307,$AB1395))),거래처별!$A$8:$A$307),IFERROR(LOOKUP(2,1/((거래처별!$AD$8:$AD$307&lt;&gt;"")*ISNUMBER(SEARCH(거래처별!$AD$8:$AD$307,$AB1395))),거래처별!$A$8:$A$307),IFERROR(LOOKUP(2,1/((거래처별!$AE$8:$AE$307&lt;&gt;"")*ISNUMBER(SEARCH(거래처별!$AE$8:$AE$307,$AB1395))),거래처별!$A$8:$A$307),0))))</f>
        <v/>
      </c>
      <c r="AD1395" s="31">
        <f>IF(AND($Y1395&lt;&gt;"",N($Z1395)&gt;0,$AC1395=0),MAX($AD$7:$AD1394)+1,"")</f>
        <v/>
      </c>
      <c r="AE1395" s="31">
        <f>IF($Y1395="",0,$Y1395)</f>
        <v/>
      </c>
    </row>
    <row r="1396">
      <c r="W1396" s="31">
        <f>IF(OR($B$5="",$C$6="",ROW()&lt;$B$5),"",IF(INDEX($A:$U,ROW(),$C$6)="","",INDEX($A:$U,ROW(),$C$6)))</f>
        <v/>
      </c>
      <c r="X1396" s="32">
        <f>IF($W1396="","",IF(ISNUMBER($W1396),IF($W1396&gt;=10000000,IFERROR(DATE(INT($W1396/10000),MOD(INT($W1396/100),100),MOD($W1396,100)),""),INT($W1396)),IFERROR(DATE(--LEFT(LEFT(SUBSTITUTE(SUBSTITUTE(SUBSTITUTE(SUBSTITUTE(TRIM($W1396),"-",""),".",""),"/","")," ",""),8),4),--MID(LEFT(SUBSTITUTE(SUBSTITUTE(SUBSTITUTE(SUBSTITUTE(TRIM($W1396),"-",""),".",""),"/","")," ",""),8),5,2),--MID(LEFT(SUBSTITUTE(SUBSTITUTE(SUBSTITUTE(SUBSTITUTE(TRIM($W1396),"-",""),".",""),"/","")," ",""),8),7,2)),"")))</f>
        <v/>
      </c>
      <c r="Y1396" s="32">
        <f>IF($X1396="","",INT($X1396))</f>
        <v/>
      </c>
      <c r="Z1396" s="33">
        <f>IF(OR($Y1396="",$D$6=""),"",IF(INDEX($A:$U,ROW(),$D$6)="",0,IF(ISNUMBER(INDEX($A:$U,ROW(),$D$6)),INDEX($A:$U,ROW(),$D$6),IFERROR(--SUBSTITUTE(SUBSTITUTE(TRIM(INDEX($A:$U,ROW(),$D$6)),",",""),"원",""),0))))</f>
        <v/>
      </c>
      <c r="AA1396" s="31">
        <f>IF($Y1396="","",TRIM(INDEX($A:$U,ROW(),$E$6)&amp;IF($F$6="",""," "&amp;INDEX($A:$U,ROW(),$F$6))))</f>
        <v/>
      </c>
      <c r="AB1396" s="31">
        <f>IF($AA1396="","",SUBSTITUTE(SUBSTITUTE(SUBSTITUTE(SUBSTITUTE(SUBSTITUTE(SUBSTITUTE(SUBSTITUTE(SUBSTITUTE(SUBSTITUTE($AA1396," ",""),"　",""),"(주)",""),"（주）",""),"㈜",""),"주식회사",""),"(유)",""),"（유）",""),"유한회사",""))</f>
        <v/>
      </c>
      <c r="AC1396" s="31">
        <f>IF(OR($Y1396="",N($Z1396)&lt;=0,$AB1396=""),0,IFERROR(LOOKUP(2,1/((거래처별!$AC$8:$AC$307&lt;&gt;"")*ISNUMBER(SEARCH(거래처별!$AC$8:$AC$307,$AB1396))),거래처별!$A$8:$A$307),IFERROR(LOOKUP(2,1/((거래처별!$AD$8:$AD$307&lt;&gt;"")*ISNUMBER(SEARCH(거래처별!$AD$8:$AD$307,$AB1396))),거래처별!$A$8:$A$307),IFERROR(LOOKUP(2,1/((거래처별!$AE$8:$AE$307&lt;&gt;"")*ISNUMBER(SEARCH(거래처별!$AE$8:$AE$307,$AB1396))),거래처별!$A$8:$A$307),0))))</f>
        <v/>
      </c>
      <c r="AD1396" s="31">
        <f>IF(AND($Y1396&lt;&gt;"",N($Z1396)&gt;0,$AC1396=0),MAX($AD$7:$AD1395)+1,"")</f>
        <v/>
      </c>
      <c r="AE1396" s="31">
        <f>IF($Y1396="",0,$Y1396)</f>
        <v/>
      </c>
    </row>
    <row r="1397">
      <c r="W1397" s="31">
        <f>IF(OR($B$5="",$C$6="",ROW()&lt;$B$5),"",IF(INDEX($A:$U,ROW(),$C$6)="","",INDEX($A:$U,ROW(),$C$6)))</f>
        <v/>
      </c>
      <c r="X1397" s="32">
        <f>IF($W1397="","",IF(ISNUMBER($W1397),IF($W1397&gt;=10000000,IFERROR(DATE(INT($W1397/10000),MOD(INT($W1397/100),100),MOD($W1397,100)),""),INT($W1397)),IFERROR(DATE(--LEFT(LEFT(SUBSTITUTE(SUBSTITUTE(SUBSTITUTE(SUBSTITUTE(TRIM($W1397),"-",""),".",""),"/","")," ",""),8),4),--MID(LEFT(SUBSTITUTE(SUBSTITUTE(SUBSTITUTE(SUBSTITUTE(TRIM($W1397),"-",""),".",""),"/","")," ",""),8),5,2),--MID(LEFT(SUBSTITUTE(SUBSTITUTE(SUBSTITUTE(SUBSTITUTE(TRIM($W1397),"-",""),".",""),"/","")," ",""),8),7,2)),"")))</f>
        <v/>
      </c>
      <c r="Y1397" s="32">
        <f>IF($X1397="","",INT($X1397))</f>
        <v/>
      </c>
      <c r="Z1397" s="33">
        <f>IF(OR($Y1397="",$D$6=""),"",IF(INDEX($A:$U,ROW(),$D$6)="",0,IF(ISNUMBER(INDEX($A:$U,ROW(),$D$6)),INDEX($A:$U,ROW(),$D$6),IFERROR(--SUBSTITUTE(SUBSTITUTE(TRIM(INDEX($A:$U,ROW(),$D$6)),",",""),"원",""),0))))</f>
        <v/>
      </c>
      <c r="AA1397" s="31">
        <f>IF($Y1397="","",TRIM(INDEX($A:$U,ROW(),$E$6)&amp;IF($F$6="",""," "&amp;INDEX($A:$U,ROW(),$F$6))))</f>
        <v/>
      </c>
      <c r="AB1397" s="31">
        <f>IF($AA1397="","",SUBSTITUTE(SUBSTITUTE(SUBSTITUTE(SUBSTITUTE(SUBSTITUTE(SUBSTITUTE(SUBSTITUTE(SUBSTITUTE(SUBSTITUTE($AA1397," ",""),"　",""),"(주)",""),"（주）",""),"㈜",""),"주식회사",""),"(유)",""),"（유）",""),"유한회사",""))</f>
        <v/>
      </c>
      <c r="AC1397" s="31">
        <f>IF(OR($Y1397="",N($Z1397)&lt;=0,$AB1397=""),0,IFERROR(LOOKUP(2,1/((거래처별!$AC$8:$AC$307&lt;&gt;"")*ISNUMBER(SEARCH(거래처별!$AC$8:$AC$307,$AB1397))),거래처별!$A$8:$A$307),IFERROR(LOOKUP(2,1/((거래처별!$AD$8:$AD$307&lt;&gt;"")*ISNUMBER(SEARCH(거래처별!$AD$8:$AD$307,$AB1397))),거래처별!$A$8:$A$307),IFERROR(LOOKUP(2,1/((거래처별!$AE$8:$AE$307&lt;&gt;"")*ISNUMBER(SEARCH(거래처별!$AE$8:$AE$307,$AB1397))),거래처별!$A$8:$A$307),0))))</f>
        <v/>
      </c>
      <c r="AD1397" s="31">
        <f>IF(AND($Y1397&lt;&gt;"",N($Z1397)&gt;0,$AC1397=0),MAX($AD$7:$AD1396)+1,"")</f>
        <v/>
      </c>
      <c r="AE1397" s="31">
        <f>IF($Y1397="",0,$Y1397)</f>
        <v/>
      </c>
    </row>
    <row r="1398">
      <c r="W1398" s="31">
        <f>IF(OR($B$5="",$C$6="",ROW()&lt;$B$5),"",IF(INDEX($A:$U,ROW(),$C$6)="","",INDEX($A:$U,ROW(),$C$6)))</f>
        <v/>
      </c>
      <c r="X1398" s="32">
        <f>IF($W1398="","",IF(ISNUMBER($W1398),IF($W1398&gt;=10000000,IFERROR(DATE(INT($W1398/10000),MOD(INT($W1398/100),100),MOD($W1398,100)),""),INT($W1398)),IFERROR(DATE(--LEFT(LEFT(SUBSTITUTE(SUBSTITUTE(SUBSTITUTE(SUBSTITUTE(TRIM($W1398),"-",""),".",""),"/","")," ",""),8),4),--MID(LEFT(SUBSTITUTE(SUBSTITUTE(SUBSTITUTE(SUBSTITUTE(TRIM($W1398),"-",""),".",""),"/","")," ",""),8),5,2),--MID(LEFT(SUBSTITUTE(SUBSTITUTE(SUBSTITUTE(SUBSTITUTE(TRIM($W1398),"-",""),".",""),"/","")," ",""),8),7,2)),"")))</f>
        <v/>
      </c>
      <c r="Y1398" s="32">
        <f>IF($X1398="","",INT($X1398))</f>
        <v/>
      </c>
      <c r="Z1398" s="33">
        <f>IF(OR($Y1398="",$D$6=""),"",IF(INDEX($A:$U,ROW(),$D$6)="",0,IF(ISNUMBER(INDEX($A:$U,ROW(),$D$6)),INDEX($A:$U,ROW(),$D$6),IFERROR(--SUBSTITUTE(SUBSTITUTE(TRIM(INDEX($A:$U,ROW(),$D$6)),",",""),"원",""),0))))</f>
        <v/>
      </c>
      <c r="AA1398" s="31">
        <f>IF($Y1398="","",TRIM(INDEX($A:$U,ROW(),$E$6)&amp;IF($F$6="",""," "&amp;INDEX($A:$U,ROW(),$F$6))))</f>
        <v/>
      </c>
      <c r="AB1398" s="31">
        <f>IF($AA1398="","",SUBSTITUTE(SUBSTITUTE(SUBSTITUTE(SUBSTITUTE(SUBSTITUTE(SUBSTITUTE(SUBSTITUTE(SUBSTITUTE(SUBSTITUTE($AA1398," ",""),"　",""),"(주)",""),"（주）",""),"㈜",""),"주식회사",""),"(유)",""),"（유）",""),"유한회사",""))</f>
        <v/>
      </c>
      <c r="AC1398" s="31">
        <f>IF(OR($Y1398="",N($Z1398)&lt;=0,$AB1398=""),0,IFERROR(LOOKUP(2,1/((거래처별!$AC$8:$AC$307&lt;&gt;"")*ISNUMBER(SEARCH(거래처별!$AC$8:$AC$307,$AB1398))),거래처별!$A$8:$A$307),IFERROR(LOOKUP(2,1/((거래처별!$AD$8:$AD$307&lt;&gt;"")*ISNUMBER(SEARCH(거래처별!$AD$8:$AD$307,$AB1398))),거래처별!$A$8:$A$307),IFERROR(LOOKUP(2,1/((거래처별!$AE$8:$AE$307&lt;&gt;"")*ISNUMBER(SEARCH(거래처별!$AE$8:$AE$307,$AB1398))),거래처별!$A$8:$A$307),0))))</f>
        <v/>
      </c>
      <c r="AD1398" s="31">
        <f>IF(AND($Y1398&lt;&gt;"",N($Z1398)&gt;0,$AC1398=0),MAX($AD$7:$AD1397)+1,"")</f>
        <v/>
      </c>
      <c r="AE1398" s="31">
        <f>IF($Y1398="",0,$Y1398)</f>
        <v/>
      </c>
    </row>
    <row r="1399">
      <c r="W1399" s="31">
        <f>IF(OR($B$5="",$C$6="",ROW()&lt;$B$5),"",IF(INDEX($A:$U,ROW(),$C$6)="","",INDEX($A:$U,ROW(),$C$6)))</f>
        <v/>
      </c>
      <c r="X1399" s="32">
        <f>IF($W1399="","",IF(ISNUMBER($W1399),IF($W1399&gt;=10000000,IFERROR(DATE(INT($W1399/10000),MOD(INT($W1399/100),100),MOD($W1399,100)),""),INT($W1399)),IFERROR(DATE(--LEFT(LEFT(SUBSTITUTE(SUBSTITUTE(SUBSTITUTE(SUBSTITUTE(TRIM($W1399),"-",""),".",""),"/","")," ",""),8),4),--MID(LEFT(SUBSTITUTE(SUBSTITUTE(SUBSTITUTE(SUBSTITUTE(TRIM($W1399),"-",""),".",""),"/","")," ",""),8),5,2),--MID(LEFT(SUBSTITUTE(SUBSTITUTE(SUBSTITUTE(SUBSTITUTE(TRIM($W1399),"-",""),".",""),"/","")," ",""),8),7,2)),"")))</f>
        <v/>
      </c>
      <c r="Y1399" s="32">
        <f>IF($X1399="","",INT($X1399))</f>
        <v/>
      </c>
      <c r="Z1399" s="33">
        <f>IF(OR($Y1399="",$D$6=""),"",IF(INDEX($A:$U,ROW(),$D$6)="",0,IF(ISNUMBER(INDEX($A:$U,ROW(),$D$6)),INDEX($A:$U,ROW(),$D$6),IFERROR(--SUBSTITUTE(SUBSTITUTE(TRIM(INDEX($A:$U,ROW(),$D$6)),",",""),"원",""),0))))</f>
        <v/>
      </c>
      <c r="AA1399" s="31">
        <f>IF($Y1399="","",TRIM(INDEX($A:$U,ROW(),$E$6)&amp;IF($F$6="",""," "&amp;INDEX($A:$U,ROW(),$F$6))))</f>
        <v/>
      </c>
      <c r="AB1399" s="31">
        <f>IF($AA1399="","",SUBSTITUTE(SUBSTITUTE(SUBSTITUTE(SUBSTITUTE(SUBSTITUTE(SUBSTITUTE(SUBSTITUTE(SUBSTITUTE(SUBSTITUTE($AA1399," ",""),"　",""),"(주)",""),"（주）",""),"㈜",""),"주식회사",""),"(유)",""),"（유）",""),"유한회사",""))</f>
        <v/>
      </c>
      <c r="AC1399" s="31">
        <f>IF(OR($Y1399="",N($Z1399)&lt;=0,$AB1399=""),0,IFERROR(LOOKUP(2,1/((거래처별!$AC$8:$AC$307&lt;&gt;"")*ISNUMBER(SEARCH(거래처별!$AC$8:$AC$307,$AB1399))),거래처별!$A$8:$A$307),IFERROR(LOOKUP(2,1/((거래처별!$AD$8:$AD$307&lt;&gt;"")*ISNUMBER(SEARCH(거래처별!$AD$8:$AD$307,$AB1399))),거래처별!$A$8:$A$307),IFERROR(LOOKUP(2,1/((거래처별!$AE$8:$AE$307&lt;&gt;"")*ISNUMBER(SEARCH(거래처별!$AE$8:$AE$307,$AB1399))),거래처별!$A$8:$A$307),0))))</f>
        <v/>
      </c>
      <c r="AD1399" s="31">
        <f>IF(AND($Y1399&lt;&gt;"",N($Z1399)&gt;0,$AC1399=0),MAX($AD$7:$AD1398)+1,"")</f>
        <v/>
      </c>
      <c r="AE1399" s="31">
        <f>IF($Y1399="",0,$Y1399)</f>
        <v/>
      </c>
    </row>
    <row r="1400">
      <c r="W1400" s="31">
        <f>IF(OR($B$5="",$C$6="",ROW()&lt;$B$5),"",IF(INDEX($A:$U,ROW(),$C$6)="","",INDEX($A:$U,ROW(),$C$6)))</f>
        <v/>
      </c>
      <c r="X1400" s="32">
        <f>IF($W1400="","",IF(ISNUMBER($W1400),IF($W1400&gt;=10000000,IFERROR(DATE(INT($W1400/10000),MOD(INT($W1400/100),100),MOD($W1400,100)),""),INT($W1400)),IFERROR(DATE(--LEFT(LEFT(SUBSTITUTE(SUBSTITUTE(SUBSTITUTE(SUBSTITUTE(TRIM($W1400),"-",""),".",""),"/","")," ",""),8),4),--MID(LEFT(SUBSTITUTE(SUBSTITUTE(SUBSTITUTE(SUBSTITUTE(TRIM($W1400),"-",""),".",""),"/","")," ",""),8),5,2),--MID(LEFT(SUBSTITUTE(SUBSTITUTE(SUBSTITUTE(SUBSTITUTE(TRIM($W1400),"-",""),".",""),"/","")," ",""),8),7,2)),"")))</f>
        <v/>
      </c>
      <c r="Y1400" s="32">
        <f>IF($X1400="","",INT($X1400))</f>
        <v/>
      </c>
      <c r="Z1400" s="33">
        <f>IF(OR($Y1400="",$D$6=""),"",IF(INDEX($A:$U,ROW(),$D$6)="",0,IF(ISNUMBER(INDEX($A:$U,ROW(),$D$6)),INDEX($A:$U,ROW(),$D$6),IFERROR(--SUBSTITUTE(SUBSTITUTE(TRIM(INDEX($A:$U,ROW(),$D$6)),",",""),"원",""),0))))</f>
        <v/>
      </c>
      <c r="AA1400" s="31">
        <f>IF($Y1400="","",TRIM(INDEX($A:$U,ROW(),$E$6)&amp;IF($F$6="",""," "&amp;INDEX($A:$U,ROW(),$F$6))))</f>
        <v/>
      </c>
      <c r="AB1400" s="31">
        <f>IF($AA1400="","",SUBSTITUTE(SUBSTITUTE(SUBSTITUTE(SUBSTITUTE(SUBSTITUTE(SUBSTITUTE(SUBSTITUTE(SUBSTITUTE(SUBSTITUTE($AA1400," ",""),"　",""),"(주)",""),"（주）",""),"㈜",""),"주식회사",""),"(유)",""),"（유）",""),"유한회사",""))</f>
        <v/>
      </c>
      <c r="AC1400" s="31">
        <f>IF(OR($Y1400="",N($Z1400)&lt;=0,$AB1400=""),0,IFERROR(LOOKUP(2,1/((거래처별!$AC$8:$AC$307&lt;&gt;"")*ISNUMBER(SEARCH(거래처별!$AC$8:$AC$307,$AB1400))),거래처별!$A$8:$A$307),IFERROR(LOOKUP(2,1/((거래처별!$AD$8:$AD$307&lt;&gt;"")*ISNUMBER(SEARCH(거래처별!$AD$8:$AD$307,$AB1400))),거래처별!$A$8:$A$307),IFERROR(LOOKUP(2,1/((거래처별!$AE$8:$AE$307&lt;&gt;"")*ISNUMBER(SEARCH(거래처별!$AE$8:$AE$307,$AB1400))),거래처별!$A$8:$A$307),0))))</f>
        <v/>
      </c>
      <c r="AD1400" s="31">
        <f>IF(AND($Y1400&lt;&gt;"",N($Z1400)&gt;0,$AC1400=0),MAX($AD$7:$AD1399)+1,"")</f>
        <v/>
      </c>
      <c r="AE1400" s="31">
        <f>IF($Y1400="",0,$Y1400)</f>
        <v/>
      </c>
    </row>
    <row r="1401">
      <c r="W1401" s="31">
        <f>IF(OR($B$5="",$C$6="",ROW()&lt;$B$5),"",IF(INDEX($A:$U,ROW(),$C$6)="","",INDEX($A:$U,ROW(),$C$6)))</f>
        <v/>
      </c>
      <c r="X1401" s="32">
        <f>IF($W1401="","",IF(ISNUMBER($W1401),IF($W1401&gt;=10000000,IFERROR(DATE(INT($W1401/10000),MOD(INT($W1401/100),100),MOD($W1401,100)),""),INT($W1401)),IFERROR(DATE(--LEFT(LEFT(SUBSTITUTE(SUBSTITUTE(SUBSTITUTE(SUBSTITUTE(TRIM($W1401),"-",""),".",""),"/","")," ",""),8),4),--MID(LEFT(SUBSTITUTE(SUBSTITUTE(SUBSTITUTE(SUBSTITUTE(TRIM($W1401),"-",""),".",""),"/","")," ",""),8),5,2),--MID(LEFT(SUBSTITUTE(SUBSTITUTE(SUBSTITUTE(SUBSTITUTE(TRIM($W1401),"-",""),".",""),"/","")," ",""),8),7,2)),"")))</f>
        <v/>
      </c>
      <c r="Y1401" s="32">
        <f>IF($X1401="","",INT($X1401))</f>
        <v/>
      </c>
      <c r="Z1401" s="33">
        <f>IF(OR($Y1401="",$D$6=""),"",IF(INDEX($A:$U,ROW(),$D$6)="",0,IF(ISNUMBER(INDEX($A:$U,ROW(),$D$6)),INDEX($A:$U,ROW(),$D$6),IFERROR(--SUBSTITUTE(SUBSTITUTE(TRIM(INDEX($A:$U,ROW(),$D$6)),",",""),"원",""),0))))</f>
        <v/>
      </c>
      <c r="AA1401" s="31">
        <f>IF($Y1401="","",TRIM(INDEX($A:$U,ROW(),$E$6)&amp;IF($F$6="",""," "&amp;INDEX($A:$U,ROW(),$F$6))))</f>
        <v/>
      </c>
      <c r="AB1401" s="31">
        <f>IF($AA1401="","",SUBSTITUTE(SUBSTITUTE(SUBSTITUTE(SUBSTITUTE(SUBSTITUTE(SUBSTITUTE(SUBSTITUTE(SUBSTITUTE(SUBSTITUTE($AA1401," ",""),"　",""),"(주)",""),"（주）",""),"㈜",""),"주식회사",""),"(유)",""),"（유）",""),"유한회사",""))</f>
        <v/>
      </c>
      <c r="AC1401" s="31">
        <f>IF(OR($Y1401="",N($Z1401)&lt;=0,$AB1401=""),0,IFERROR(LOOKUP(2,1/((거래처별!$AC$8:$AC$307&lt;&gt;"")*ISNUMBER(SEARCH(거래처별!$AC$8:$AC$307,$AB1401))),거래처별!$A$8:$A$307),IFERROR(LOOKUP(2,1/((거래처별!$AD$8:$AD$307&lt;&gt;"")*ISNUMBER(SEARCH(거래처별!$AD$8:$AD$307,$AB1401))),거래처별!$A$8:$A$307),IFERROR(LOOKUP(2,1/((거래처별!$AE$8:$AE$307&lt;&gt;"")*ISNUMBER(SEARCH(거래처별!$AE$8:$AE$307,$AB1401))),거래처별!$A$8:$A$307),0))))</f>
        <v/>
      </c>
      <c r="AD1401" s="31">
        <f>IF(AND($Y1401&lt;&gt;"",N($Z1401)&gt;0,$AC1401=0),MAX($AD$7:$AD1400)+1,"")</f>
        <v/>
      </c>
      <c r="AE1401" s="31">
        <f>IF($Y1401="",0,$Y1401)</f>
        <v/>
      </c>
    </row>
    <row r="1402">
      <c r="W1402" s="31">
        <f>IF(OR($B$5="",$C$6="",ROW()&lt;$B$5),"",IF(INDEX($A:$U,ROW(),$C$6)="","",INDEX($A:$U,ROW(),$C$6)))</f>
        <v/>
      </c>
      <c r="X1402" s="32">
        <f>IF($W1402="","",IF(ISNUMBER($W1402),IF($W1402&gt;=10000000,IFERROR(DATE(INT($W1402/10000),MOD(INT($W1402/100),100),MOD($W1402,100)),""),INT($W1402)),IFERROR(DATE(--LEFT(LEFT(SUBSTITUTE(SUBSTITUTE(SUBSTITUTE(SUBSTITUTE(TRIM($W1402),"-",""),".",""),"/","")," ",""),8),4),--MID(LEFT(SUBSTITUTE(SUBSTITUTE(SUBSTITUTE(SUBSTITUTE(TRIM($W1402),"-",""),".",""),"/","")," ",""),8),5,2),--MID(LEFT(SUBSTITUTE(SUBSTITUTE(SUBSTITUTE(SUBSTITUTE(TRIM($W1402),"-",""),".",""),"/","")," ",""),8),7,2)),"")))</f>
        <v/>
      </c>
      <c r="Y1402" s="32">
        <f>IF($X1402="","",INT($X1402))</f>
        <v/>
      </c>
      <c r="Z1402" s="33">
        <f>IF(OR($Y1402="",$D$6=""),"",IF(INDEX($A:$U,ROW(),$D$6)="",0,IF(ISNUMBER(INDEX($A:$U,ROW(),$D$6)),INDEX($A:$U,ROW(),$D$6),IFERROR(--SUBSTITUTE(SUBSTITUTE(TRIM(INDEX($A:$U,ROW(),$D$6)),",",""),"원",""),0))))</f>
        <v/>
      </c>
      <c r="AA1402" s="31">
        <f>IF($Y1402="","",TRIM(INDEX($A:$U,ROW(),$E$6)&amp;IF($F$6="",""," "&amp;INDEX($A:$U,ROW(),$F$6))))</f>
        <v/>
      </c>
      <c r="AB1402" s="31">
        <f>IF($AA1402="","",SUBSTITUTE(SUBSTITUTE(SUBSTITUTE(SUBSTITUTE(SUBSTITUTE(SUBSTITUTE(SUBSTITUTE(SUBSTITUTE(SUBSTITUTE($AA1402," ",""),"　",""),"(주)",""),"（주）",""),"㈜",""),"주식회사",""),"(유)",""),"（유）",""),"유한회사",""))</f>
        <v/>
      </c>
      <c r="AC1402" s="31">
        <f>IF(OR($Y1402="",N($Z1402)&lt;=0,$AB1402=""),0,IFERROR(LOOKUP(2,1/((거래처별!$AC$8:$AC$307&lt;&gt;"")*ISNUMBER(SEARCH(거래처별!$AC$8:$AC$307,$AB1402))),거래처별!$A$8:$A$307),IFERROR(LOOKUP(2,1/((거래처별!$AD$8:$AD$307&lt;&gt;"")*ISNUMBER(SEARCH(거래처별!$AD$8:$AD$307,$AB1402))),거래처별!$A$8:$A$307),IFERROR(LOOKUP(2,1/((거래처별!$AE$8:$AE$307&lt;&gt;"")*ISNUMBER(SEARCH(거래처별!$AE$8:$AE$307,$AB1402))),거래처별!$A$8:$A$307),0))))</f>
        <v/>
      </c>
      <c r="AD1402" s="31">
        <f>IF(AND($Y1402&lt;&gt;"",N($Z1402)&gt;0,$AC1402=0),MAX($AD$7:$AD1401)+1,"")</f>
        <v/>
      </c>
      <c r="AE1402" s="31">
        <f>IF($Y1402="",0,$Y1402)</f>
        <v/>
      </c>
    </row>
    <row r="1403">
      <c r="W1403" s="31">
        <f>IF(OR($B$5="",$C$6="",ROW()&lt;$B$5),"",IF(INDEX($A:$U,ROW(),$C$6)="","",INDEX($A:$U,ROW(),$C$6)))</f>
        <v/>
      </c>
      <c r="X1403" s="32">
        <f>IF($W1403="","",IF(ISNUMBER($W1403),IF($W1403&gt;=10000000,IFERROR(DATE(INT($W1403/10000),MOD(INT($W1403/100),100),MOD($W1403,100)),""),INT($W1403)),IFERROR(DATE(--LEFT(LEFT(SUBSTITUTE(SUBSTITUTE(SUBSTITUTE(SUBSTITUTE(TRIM($W1403),"-",""),".",""),"/","")," ",""),8),4),--MID(LEFT(SUBSTITUTE(SUBSTITUTE(SUBSTITUTE(SUBSTITUTE(TRIM($W1403),"-",""),".",""),"/","")," ",""),8),5,2),--MID(LEFT(SUBSTITUTE(SUBSTITUTE(SUBSTITUTE(SUBSTITUTE(TRIM($W1403),"-",""),".",""),"/","")," ",""),8),7,2)),"")))</f>
        <v/>
      </c>
      <c r="Y1403" s="32">
        <f>IF($X1403="","",INT($X1403))</f>
        <v/>
      </c>
      <c r="Z1403" s="33">
        <f>IF(OR($Y1403="",$D$6=""),"",IF(INDEX($A:$U,ROW(),$D$6)="",0,IF(ISNUMBER(INDEX($A:$U,ROW(),$D$6)),INDEX($A:$U,ROW(),$D$6),IFERROR(--SUBSTITUTE(SUBSTITUTE(TRIM(INDEX($A:$U,ROW(),$D$6)),",",""),"원",""),0))))</f>
        <v/>
      </c>
      <c r="AA1403" s="31">
        <f>IF($Y1403="","",TRIM(INDEX($A:$U,ROW(),$E$6)&amp;IF($F$6="",""," "&amp;INDEX($A:$U,ROW(),$F$6))))</f>
        <v/>
      </c>
      <c r="AB1403" s="31">
        <f>IF($AA1403="","",SUBSTITUTE(SUBSTITUTE(SUBSTITUTE(SUBSTITUTE(SUBSTITUTE(SUBSTITUTE(SUBSTITUTE(SUBSTITUTE(SUBSTITUTE($AA1403," ",""),"　",""),"(주)",""),"（주）",""),"㈜",""),"주식회사",""),"(유)",""),"（유）",""),"유한회사",""))</f>
        <v/>
      </c>
      <c r="AC1403" s="31">
        <f>IF(OR($Y1403="",N($Z1403)&lt;=0,$AB1403=""),0,IFERROR(LOOKUP(2,1/((거래처별!$AC$8:$AC$307&lt;&gt;"")*ISNUMBER(SEARCH(거래처별!$AC$8:$AC$307,$AB1403))),거래처별!$A$8:$A$307),IFERROR(LOOKUP(2,1/((거래처별!$AD$8:$AD$307&lt;&gt;"")*ISNUMBER(SEARCH(거래처별!$AD$8:$AD$307,$AB1403))),거래처별!$A$8:$A$307),IFERROR(LOOKUP(2,1/((거래처별!$AE$8:$AE$307&lt;&gt;"")*ISNUMBER(SEARCH(거래처별!$AE$8:$AE$307,$AB1403))),거래처별!$A$8:$A$307),0))))</f>
        <v/>
      </c>
      <c r="AD1403" s="31">
        <f>IF(AND($Y1403&lt;&gt;"",N($Z1403)&gt;0,$AC1403=0),MAX($AD$7:$AD1402)+1,"")</f>
        <v/>
      </c>
      <c r="AE1403" s="31">
        <f>IF($Y1403="",0,$Y1403)</f>
        <v/>
      </c>
    </row>
    <row r="1404">
      <c r="W1404" s="31">
        <f>IF(OR($B$5="",$C$6="",ROW()&lt;$B$5),"",IF(INDEX($A:$U,ROW(),$C$6)="","",INDEX($A:$U,ROW(),$C$6)))</f>
        <v/>
      </c>
      <c r="X1404" s="32">
        <f>IF($W1404="","",IF(ISNUMBER($W1404),IF($W1404&gt;=10000000,IFERROR(DATE(INT($W1404/10000),MOD(INT($W1404/100),100),MOD($W1404,100)),""),INT($W1404)),IFERROR(DATE(--LEFT(LEFT(SUBSTITUTE(SUBSTITUTE(SUBSTITUTE(SUBSTITUTE(TRIM($W1404),"-",""),".",""),"/","")," ",""),8),4),--MID(LEFT(SUBSTITUTE(SUBSTITUTE(SUBSTITUTE(SUBSTITUTE(TRIM($W1404),"-",""),".",""),"/","")," ",""),8),5,2),--MID(LEFT(SUBSTITUTE(SUBSTITUTE(SUBSTITUTE(SUBSTITUTE(TRIM($W1404),"-",""),".",""),"/","")," ",""),8),7,2)),"")))</f>
        <v/>
      </c>
      <c r="Y1404" s="32">
        <f>IF($X1404="","",INT($X1404))</f>
        <v/>
      </c>
      <c r="Z1404" s="33">
        <f>IF(OR($Y1404="",$D$6=""),"",IF(INDEX($A:$U,ROW(),$D$6)="",0,IF(ISNUMBER(INDEX($A:$U,ROW(),$D$6)),INDEX($A:$U,ROW(),$D$6),IFERROR(--SUBSTITUTE(SUBSTITUTE(TRIM(INDEX($A:$U,ROW(),$D$6)),",",""),"원",""),0))))</f>
        <v/>
      </c>
      <c r="AA1404" s="31">
        <f>IF($Y1404="","",TRIM(INDEX($A:$U,ROW(),$E$6)&amp;IF($F$6="",""," "&amp;INDEX($A:$U,ROW(),$F$6))))</f>
        <v/>
      </c>
      <c r="AB1404" s="31">
        <f>IF($AA1404="","",SUBSTITUTE(SUBSTITUTE(SUBSTITUTE(SUBSTITUTE(SUBSTITUTE(SUBSTITUTE(SUBSTITUTE(SUBSTITUTE(SUBSTITUTE($AA1404," ",""),"　",""),"(주)",""),"（주）",""),"㈜",""),"주식회사",""),"(유)",""),"（유）",""),"유한회사",""))</f>
        <v/>
      </c>
      <c r="AC1404" s="31">
        <f>IF(OR($Y1404="",N($Z1404)&lt;=0,$AB1404=""),0,IFERROR(LOOKUP(2,1/((거래처별!$AC$8:$AC$307&lt;&gt;"")*ISNUMBER(SEARCH(거래처별!$AC$8:$AC$307,$AB1404))),거래처별!$A$8:$A$307),IFERROR(LOOKUP(2,1/((거래처별!$AD$8:$AD$307&lt;&gt;"")*ISNUMBER(SEARCH(거래처별!$AD$8:$AD$307,$AB1404))),거래처별!$A$8:$A$307),IFERROR(LOOKUP(2,1/((거래처별!$AE$8:$AE$307&lt;&gt;"")*ISNUMBER(SEARCH(거래처별!$AE$8:$AE$307,$AB1404))),거래처별!$A$8:$A$307),0))))</f>
        <v/>
      </c>
      <c r="AD1404" s="31">
        <f>IF(AND($Y1404&lt;&gt;"",N($Z1404)&gt;0,$AC1404=0),MAX($AD$7:$AD1403)+1,"")</f>
        <v/>
      </c>
      <c r="AE1404" s="31">
        <f>IF($Y1404="",0,$Y1404)</f>
        <v/>
      </c>
    </row>
    <row r="1405">
      <c r="W1405" s="31">
        <f>IF(OR($B$5="",$C$6="",ROW()&lt;$B$5),"",IF(INDEX($A:$U,ROW(),$C$6)="","",INDEX($A:$U,ROW(),$C$6)))</f>
        <v/>
      </c>
      <c r="X1405" s="32">
        <f>IF($W1405="","",IF(ISNUMBER($W1405),IF($W1405&gt;=10000000,IFERROR(DATE(INT($W1405/10000),MOD(INT($W1405/100),100),MOD($W1405,100)),""),INT($W1405)),IFERROR(DATE(--LEFT(LEFT(SUBSTITUTE(SUBSTITUTE(SUBSTITUTE(SUBSTITUTE(TRIM($W1405),"-",""),".",""),"/","")," ",""),8),4),--MID(LEFT(SUBSTITUTE(SUBSTITUTE(SUBSTITUTE(SUBSTITUTE(TRIM($W1405),"-",""),".",""),"/","")," ",""),8),5,2),--MID(LEFT(SUBSTITUTE(SUBSTITUTE(SUBSTITUTE(SUBSTITUTE(TRIM($W1405),"-",""),".",""),"/","")," ",""),8),7,2)),"")))</f>
        <v/>
      </c>
      <c r="Y1405" s="32">
        <f>IF($X1405="","",INT($X1405))</f>
        <v/>
      </c>
      <c r="Z1405" s="33">
        <f>IF(OR($Y1405="",$D$6=""),"",IF(INDEX($A:$U,ROW(),$D$6)="",0,IF(ISNUMBER(INDEX($A:$U,ROW(),$D$6)),INDEX($A:$U,ROW(),$D$6),IFERROR(--SUBSTITUTE(SUBSTITUTE(TRIM(INDEX($A:$U,ROW(),$D$6)),",",""),"원",""),0))))</f>
        <v/>
      </c>
      <c r="AA1405" s="31">
        <f>IF($Y1405="","",TRIM(INDEX($A:$U,ROW(),$E$6)&amp;IF($F$6="",""," "&amp;INDEX($A:$U,ROW(),$F$6))))</f>
        <v/>
      </c>
      <c r="AB1405" s="31">
        <f>IF($AA1405="","",SUBSTITUTE(SUBSTITUTE(SUBSTITUTE(SUBSTITUTE(SUBSTITUTE(SUBSTITUTE(SUBSTITUTE(SUBSTITUTE(SUBSTITUTE($AA1405," ",""),"　",""),"(주)",""),"（주）",""),"㈜",""),"주식회사",""),"(유)",""),"（유）",""),"유한회사",""))</f>
        <v/>
      </c>
      <c r="AC1405" s="31">
        <f>IF(OR($Y1405="",N($Z1405)&lt;=0,$AB1405=""),0,IFERROR(LOOKUP(2,1/((거래처별!$AC$8:$AC$307&lt;&gt;"")*ISNUMBER(SEARCH(거래처별!$AC$8:$AC$307,$AB1405))),거래처별!$A$8:$A$307),IFERROR(LOOKUP(2,1/((거래처별!$AD$8:$AD$307&lt;&gt;"")*ISNUMBER(SEARCH(거래처별!$AD$8:$AD$307,$AB1405))),거래처별!$A$8:$A$307),IFERROR(LOOKUP(2,1/((거래처별!$AE$8:$AE$307&lt;&gt;"")*ISNUMBER(SEARCH(거래처별!$AE$8:$AE$307,$AB1405))),거래처별!$A$8:$A$307),0))))</f>
        <v/>
      </c>
      <c r="AD1405" s="31">
        <f>IF(AND($Y1405&lt;&gt;"",N($Z1405)&gt;0,$AC1405=0),MAX($AD$7:$AD1404)+1,"")</f>
        <v/>
      </c>
      <c r="AE1405" s="31">
        <f>IF($Y1405="",0,$Y1405)</f>
        <v/>
      </c>
    </row>
    <row r="1406">
      <c r="W1406" s="31">
        <f>IF(OR($B$5="",$C$6="",ROW()&lt;$B$5),"",IF(INDEX($A:$U,ROW(),$C$6)="","",INDEX($A:$U,ROW(),$C$6)))</f>
        <v/>
      </c>
      <c r="X1406" s="32">
        <f>IF($W1406="","",IF(ISNUMBER($W1406),IF($W1406&gt;=10000000,IFERROR(DATE(INT($W1406/10000),MOD(INT($W1406/100),100),MOD($W1406,100)),""),INT($W1406)),IFERROR(DATE(--LEFT(LEFT(SUBSTITUTE(SUBSTITUTE(SUBSTITUTE(SUBSTITUTE(TRIM($W1406),"-",""),".",""),"/","")," ",""),8),4),--MID(LEFT(SUBSTITUTE(SUBSTITUTE(SUBSTITUTE(SUBSTITUTE(TRIM($W1406),"-",""),".",""),"/","")," ",""),8),5,2),--MID(LEFT(SUBSTITUTE(SUBSTITUTE(SUBSTITUTE(SUBSTITUTE(TRIM($W1406),"-",""),".",""),"/","")," ",""),8),7,2)),"")))</f>
        <v/>
      </c>
      <c r="Y1406" s="32">
        <f>IF($X1406="","",INT($X1406))</f>
        <v/>
      </c>
      <c r="Z1406" s="33">
        <f>IF(OR($Y1406="",$D$6=""),"",IF(INDEX($A:$U,ROW(),$D$6)="",0,IF(ISNUMBER(INDEX($A:$U,ROW(),$D$6)),INDEX($A:$U,ROW(),$D$6),IFERROR(--SUBSTITUTE(SUBSTITUTE(TRIM(INDEX($A:$U,ROW(),$D$6)),",",""),"원",""),0))))</f>
        <v/>
      </c>
      <c r="AA1406" s="31">
        <f>IF($Y1406="","",TRIM(INDEX($A:$U,ROW(),$E$6)&amp;IF($F$6="",""," "&amp;INDEX($A:$U,ROW(),$F$6))))</f>
        <v/>
      </c>
      <c r="AB1406" s="31">
        <f>IF($AA1406="","",SUBSTITUTE(SUBSTITUTE(SUBSTITUTE(SUBSTITUTE(SUBSTITUTE(SUBSTITUTE(SUBSTITUTE(SUBSTITUTE(SUBSTITUTE($AA1406," ",""),"　",""),"(주)",""),"（주）",""),"㈜",""),"주식회사",""),"(유)",""),"（유）",""),"유한회사",""))</f>
        <v/>
      </c>
      <c r="AC1406" s="31">
        <f>IF(OR($Y1406="",N($Z1406)&lt;=0,$AB1406=""),0,IFERROR(LOOKUP(2,1/((거래처별!$AC$8:$AC$307&lt;&gt;"")*ISNUMBER(SEARCH(거래처별!$AC$8:$AC$307,$AB1406))),거래처별!$A$8:$A$307),IFERROR(LOOKUP(2,1/((거래처별!$AD$8:$AD$307&lt;&gt;"")*ISNUMBER(SEARCH(거래처별!$AD$8:$AD$307,$AB1406))),거래처별!$A$8:$A$307),IFERROR(LOOKUP(2,1/((거래처별!$AE$8:$AE$307&lt;&gt;"")*ISNUMBER(SEARCH(거래처별!$AE$8:$AE$307,$AB1406))),거래처별!$A$8:$A$307),0))))</f>
        <v/>
      </c>
      <c r="AD1406" s="31">
        <f>IF(AND($Y1406&lt;&gt;"",N($Z1406)&gt;0,$AC1406=0),MAX($AD$7:$AD1405)+1,"")</f>
        <v/>
      </c>
      <c r="AE1406" s="31">
        <f>IF($Y1406="",0,$Y1406)</f>
        <v/>
      </c>
    </row>
    <row r="1407">
      <c r="W1407" s="31">
        <f>IF(OR($B$5="",$C$6="",ROW()&lt;$B$5),"",IF(INDEX($A:$U,ROW(),$C$6)="","",INDEX($A:$U,ROW(),$C$6)))</f>
        <v/>
      </c>
      <c r="X1407" s="32">
        <f>IF($W1407="","",IF(ISNUMBER($W1407),IF($W1407&gt;=10000000,IFERROR(DATE(INT($W1407/10000),MOD(INT($W1407/100),100),MOD($W1407,100)),""),INT($W1407)),IFERROR(DATE(--LEFT(LEFT(SUBSTITUTE(SUBSTITUTE(SUBSTITUTE(SUBSTITUTE(TRIM($W1407),"-",""),".",""),"/","")," ",""),8),4),--MID(LEFT(SUBSTITUTE(SUBSTITUTE(SUBSTITUTE(SUBSTITUTE(TRIM($W1407),"-",""),".",""),"/","")," ",""),8),5,2),--MID(LEFT(SUBSTITUTE(SUBSTITUTE(SUBSTITUTE(SUBSTITUTE(TRIM($W1407),"-",""),".",""),"/","")," ",""),8),7,2)),"")))</f>
        <v/>
      </c>
      <c r="Y1407" s="32">
        <f>IF($X1407="","",INT($X1407))</f>
        <v/>
      </c>
      <c r="Z1407" s="33">
        <f>IF(OR($Y1407="",$D$6=""),"",IF(INDEX($A:$U,ROW(),$D$6)="",0,IF(ISNUMBER(INDEX($A:$U,ROW(),$D$6)),INDEX($A:$U,ROW(),$D$6),IFERROR(--SUBSTITUTE(SUBSTITUTE(TRIM(INDEX($A:$U,ROW(),$D$6)),",",""),"원",""),0))))</f>
        <v/>
      </c>
      <c r="AA1407" s="31">
        <f>IF($Y1407="","",TRIM(INDEX($A:$U,ROW(),$E$6)&amp;IF($F$6="",""," "&amp;INDEX($A:$U,ROW(),$F$6))))</f>
        <v/>
      </c>
      <c r="AB1407" s="31">
        <f>IF($AA1407="","",SUBSTITUTE(SUBSTITUTE(SUBSTITUTE(SUBSTITUTE(SUBSTITUTE(SUBSTITUTE(SUBSTITUTE(SUBSTITUTE(SUBSTITUTE($AA1407," ",""),"　",""),"(주)",""),"（주）",""),"㈜",""),"주식회사",""),"(유)",""),"（유）",""),"유한회사",""))</f>
        <v/>
      </c>
      <c r="AC1407" s="31">
        <f>IF(OR($Y1407="",N($Z1407)&lt;=0,$AB1407=""),0,IFERROR(LOOKUP(2,1/((거래처별!$AC$8:$AC$307&lt;&gt;"")*ISNUMBER(SEARCH(거래처별!$AC$8:$AC$307,$AB1407))),거래처별!$A$8:$A$307),IFERROR(LOOKUP(2,1/((거래처별!$AD$8:$AD$307&lt;&gt;"")*ISNUMBER(SEARCH(거래처별!$AD$8:$AD$307,$AB1407))),거래처별!$A$8:$A$307),IFERROR(LOOKUP(2,1/((거래처별!$AE$8:$AE$307&lt;&gt;"")*ISNUMBER(SEARCH(거래처별!$AE$8:$AE$307,$AB1407))),거래처별!$A$8:$A$307),0))))</f>
        <v/>
      </c>
      <c r="AD1407" s="31">
        <f>IF(AND($Y1407&lt;&gt;"",N($Z1407)&gt;0,$AC1407=0),MAX($AD$7:$AD1406)+1,"")</f>
        <v/>
      </c>
      <c r="AE1407" s="31">
        <f>IF($Y1407="",0,$Y1407)</f>
        <v/>
      </c>
    </row>
    <row r="1408">
      <c r="W1408" s="31">
        <f>IF(OR($B$5="",$C$6="",ROW()&lt;$B$5),"",IF(INDEX($A:$U,ROW(),$C$6)="","",INDEX($A:$U,ROW(),$C$6)))</f>
        <v/>
      </c>
      <c r="X1408" s="32">
        <f>IF($W1408="","",IF(ISNUMBER($W1408),IF($W1408&gt;=10000000,IFERROR(DATE(INT($W1408/10000),MOD(INT($W1408/100),100),MOD($W1408,100)),""),INT($W1408)),IFERROR(DATE(--LEFT(LEFT(SUBSTITUTE(SUBSTITUTE(SUBSTITUTE(SUBSTITUTE(TRIM($W1408),"-",""),".",""),"/","")," ",""),8),4),--MID(LEFT(SUBSTITUTE(SUBSTITUTE(SUBSTITUTE(SUBSTITUTE(TRIM($W1408),"-",""),".",""),"/","")," ",""),8),5,2),--MID(LEFT(SUBSTITUTE(SUBSTITUTE(SUBSTITUTE(SUBSTITUTE(TRIM($W1408),"-",""),".",""),"/","")," ",""),8),7,2)),"")))</f>
        <v/>
      </c>
      <c r="Y1408" s="32">
        <f>IF($X1408="","",INT($X1408))</f>
        <v/>
      </c>
      <c r="Z1408" s="33">
        <f>IF(OR($Y1408="",$D$6=""),"",IF(INDEX($A:$U,ROW(),$D$6)="",0,IF(ISNUMBER(INDEX($A:$U,ROW(),$D$6)),INDEX($A:$U,ROW(),$D$6),IFERROR(--SUBSTITUTE(SUBSTITUTE(TRIM(INDEX($A:$U,ROW(),$D$6)),",",""),"원",""),0))))</f>
        <v/>
      </c>
      <c r="AA1408" s="31">
        <f>IF($Y1408="","",TRIM(INDEX($A:$U,ROW(),$E$6)&amp;IF($F$6="",""," "&amp;INDEX($A:$U,ROW(),$F$6))))</f>
        <v/>
      </c>
      <c r="AB1408" s="31">
        <f>IF($AA1408="","",SUBSTITUTE(SUBSTITUTE(SUBSTITUTE(SUBSTITUTE(SUBSTITUTE(SUBSTITUTE(SUBSTITUTE(SUBSTITUTE(SUBSTITUTE($AA1408," ",""),"　",""),"(주)",""),"（주）",""),"㈜",""),"주식회사",""),"(유)",""),"（유）",""),"유한회사",""))</f>
        <v/>
      </c>
      <c r="AC1408" s="31">
        <f>IF(OR($Y1408="",N($Z1408)&lt;=0,$AB1408=""),0,IFERROR(LOOKUP(2,1/((거래처별!$AC$8:$AC$307&lt;&gt;"")*ISNUMBER(SEARCH(거래처별!$AC$8:$AC$307,$AB1408))),거래처별!$A$8:$A$307),IFERROR(LOOKUP(2,1/((거래처별!$AD$8:$AD$307&lt;&gt;"")*ISNUMBER(SEARCH(거래처별!$AD$8:$AD$307,$AB1408))),거래처별!$A$8:$A$307),IFERROR(LOOKUP(2,1/((거래처별!$AE$8:$AE$307&lt;&gt;"")*ISNUMBER(SEARCH(거래처별!$AE$8:$AE$307,$AB1408))),거래처별!$A$8:$A$307),0))))</f>
        <v/>
      </c>
      <c r="AD1408" s="31">
        <f>IF(AND($Y1408&lt;&gt;"",N($Z1408)&gt;0,$AC1408=0),MAX($AD$7:$AD1407)+1,"")</f>
        <v/>
      </c>
      <c r="AE1408" s="31">
        <f>IF($Y1408="",0,$Y1408)</f>
        <v/>
      </c>
    </row>
    <row r="1409">
      <c r="W1409" s="31">
        <f>IF(OR($B$5="",$C$6="",ROW()&lt;$B$5),"",IF(INDEX($A:$U,ROW(),$C$6)="","",INDEX($A:$U,ROW(),$C$6)))</f>
        <v/>
      </c>
      <c r="X1409" s="32">
        <f>IF($W1409="","",IF(ISNUMBER($W1409),IF($W1409&gt;=10000000,IFERROR(DATE(INT($W1409/10000),MOD(INT($W1409/100),100),MOD($W1409,100)),""),INT($W1409)),IFERROR(DATE(--LEFT(LEFT(SUBSTITUTE(SUBSTITUTE(SUBSTITUTE(SUBSTITUTE(TRIM($W1409),"-",""),".",""),"/","")," ",""),8),4),--MID(LEFT(SUBSTITUTE(SUBSTITUTE(SUBSTITUTE(SUBSTITUTE(TRIM($W1409),"-",""),".",""),"/","")," ",""),8),5,2),--MID(LEFT(SUBSTITUTE(SUBSTITUTE(SUBSTITUTE(SUBSTITUTE(TRIM($W1409),"-",""),".",""),"/","")," ",""),8),7,2)),"")))</f>
        <v/>
      </c>
      <c r="Y1409" s="32">
        <f>IF($X1409="","",INT($X1409))</f>
        <v/>
      </c>
      <c r="Z1409" s="33">
        <f>IF(OR($Y1409="",$D$6=""),"",IF(INDEX($A:$U,ROW(),$D$6)="",0,IF(ISNUMBER(INDEX($A:$U,ROW(),$D$6)),INDEX($A:$U,ROW(),$D$6),IFERROR(--SUBSTITUTE(SUBSTITUTE(TRIM(INDEX($A:$U,ROW(),$D$6)),",",""),"원",""),0))))</f>
        <v/>
      </c>
      <c r="AA1409" s="31">
        <f>IF($Y1409="","",TRIM(INDEX($A:$U,ROW(),$E$6)&amp;IF($F$6="",""," "&amp;INDEX($A:$U,ROW(),$F$6))))</f>
        <v/>
      </c>
      <c r="AB1409" s="31">
        <f>IF($AA1409="","",SUBSTITUTE(SUBSTITUTE(SUBSTITUTE(SUBSTITUTE(SUBSTITUTE(SUBSTITUTE(SUBSTITUTE(SUBSTITUTE(SUBSTITUTE($AA1409," ",""),"　",""),"(주)",""),"（주）",""),"㈜",""),"주식회사",""),"(유)",""),"（유）",""),"유한회사",""))</f>
        <v/>
      </c>
      <c r="AC1409" s="31">
        <f>IF(OR($Y1409="",N($Z1409)&lt;=0,$AB1409=""),0,IFERROR(LOOKUP(2,1/((거래처별!$AC$8:$AC$307&lt;&gt;"")*ISNUMBER(SEARCH(거래처별!$AC$8:$AC$307,$AB1409))),거래처별!$A$8:$A$307),IFERROR(LOOKUP(2,1/((거래처별!$AD$8:$AD$307&lt;&gt;"")*ISNUMBER(SEARCH(거래처별!$AD$8:$AD$307,$AB1409))),거래처별!$A$8:$A$307),IFERROR(LOOKUP(2,1/((거래처별!$AE$8:$AE$307&lt;&gt;"")*ISNUMBER(SEARCH(거래처별!$AE$8:$AE$307,$AB1409))),거래처별!$A$8:$A$307),0))))</f>
        <v/>
      </c>
      <c r="AD1409" s="31">
        <f>IF(AND($Y1409&lt;&gt;"",N($Z1409)&gt;0,$AC1409=0),MAX($AD$7:$AD1408)+1,"")</f>
        <v/>
      </c>
      <c r="AE1409" s="31">
        <f>IF($Y1409="",0,$Y1409)</f>
        <v/>
      </c>
    </row>
    <row r="1410">
      <c r="W1410" s="31">
        <f>IF(OR($B$5="",$C$6="",ROW()&lt;$B$5),"",IF(INDEX($A:$U,ROW(),$C$6)="","",INDEX($A:$U,ROW(),$C$6)))</f>
        <v/>
      </c>
      <c r="X1410" s="32">
        <f>IF($W1410="","",IF(ISNUMBER($W1410),IF($W1410&gt;=10000000,IFERROR(DATE(INT($W1410/10000),MOD(INT($W1410/100),100),MOD($W1410,100)),""),INT($W1410)),IFERROR(DATE(--LEFT(LEFT(SUBSTITUTE(SUBSTITUTE(SUBSTITUTE(SUBSTITUTE(TRIM($W1410),"-",""),".",""),"/","")," ",""),8),4),--MID(LEFT(SUBSTITUTE(SUBSTITUTE(SUBSTITUTE(SUBSTITUTE(TRIM($W1410),"-",""),".",""),"/","")," ",""),8),5,2),--MID(LEFT(SUBSTITUTE(SUBSTITUTE(SUBSTITUTE(SUBSTITUTE(TRIM($W1410),"-",""),".",""),"/","")," ",""),8),7,2)),"")))</f>
        <v/>
      </c>
      <c r="Y1410" s="32">
        <f>IF($X1410="","",INT($X1410))</f>
        <v/>
      </c>
      <c r="Z1410" s="33">
        <f>IF(OR($Y1410="",$D$6=""),"",IF(INDEX($A:$U,ROW(),$D$6)="",0,IF(ISNUMBER(INDEX($A:$U,ROW(),$D$6)),INDEX($A:$U,ROW(),$D$6),IFERROR(--SUBSTITUTE(SUBSTITUTE(TRIM(INDEX($A:$U,ROW(),$D$6)),",",""),"원",""),0))))</f>
        <v/>
      </c>
      <c r="AA1410" s="31">
        <f>IF($Y1410="","",TRIM(INDEX($A:$U,ROW(),$E$6)&amp;IF($F$6="",""," "&amp;INDEX($A:$U,ROW(),$F$6))))</f>
        <v/>
      </c>
      <c r="AB1410" s="31">
        <f>IF($AA1410="","",SUBSTITUTE(SUBSTITUTE(SUBSTITUTE(SUBSTITUTE(SUBSTITUTE(SUBSTITUTE(SUBSTITUTE(SUBSTITUTE(SUBSTITUTE($AA1410," ",""),"　",""),"(주)",""),"（주）",""),"㈜",""),"주식회사",""),"(유)",""),"（유）",""),"유한회사",""))</f>
        <v/>
      </c>
      <c r="AC1410" s="31">
        <f>IF(OR($Y1410="",N($Z1410)&lt;=0,$AB1410=""),0,IFERROR(LOOKUP(2,1/((거래처별!$AC$8:$AC$307&lt;&gt;"")*ISNUMBER(SEARCH(거래처별!$AC$8:$AC$307,$AB1410))),거래처별!$A$8:$A$307),IFERROR(LOOKUP(2,1/((거래처별!$AD$8:$AD$307&lt;&gt;"")*ISNUMBER(SEARCH(거래처별!$AD$8:$AD$307,$AB1410))),거래처별!$A$8:$A$307),IFERROR(LOOKUP(2,1/((거래처별!$AE$8:$AE$307&lt;&gt;"")*ISNUMBER(SEARCH(거래처별!$AE$8:$AE$307,$AB1410))),거래처별!$A$8:$A$307),0))))</f>
        <v/>
      </c>
      <c r="AD1410" s="31">
        <f>IF(AND($Y1410&lt;&gt;"",N($Z1410)&gt;0,$AC1410=0),MAX($AD$7:$AD1409)+1,"")</f>
        <v/>
      </c>
      <c r="AE1410" s="31">
        <f>IF($Y1410="",0,$Y1410)</f>
        <v/>
      </c>
    </row>
    <row r="1411">
      <c r="W1411" s="31">
        <f>IF(OR($B$5="",$C$6="",ROW()&lt;$B$5),"",IF(INDEX($A:$U,ROW(),$C$6)="","",INDEX($A:$U,ROW(),$C$6)))</f>
        <v/>
      </c>
      <c r="X1411" s="32">
        <f>IF($W1411="","",IF(ISNUMBER($W1411),IF($W1411&gt;=10000000,IFERROR(DATE(INT($W1411/10000),MOD(INT($W1411/100),100),MOD($W1411,100)),""),INT($W1411)),IFERROR(DATE(--LEFT(LEFT(SUBSTITUTE(SUBSTITUTE(SUBSTITUTE(SUBSTITUTE(TRIM($W1411),"-",""),".",""),"/","")," ",""),8),4),--MID(LEFT(SUBSTITUTE(SUBSTITUTE(SUBSTITUTE(SUBSTITUTE(TRIM($W1411),"-",""),".",""),"/","")," ",""),8),5,2),--MID(LEFT(SUBSTITUTE(SUBSTITUTE(SUBSTITUTE(SUBSTITUTE(TRIM($W1411),"-",""),".",""),"/","")," ",""),8),7,2)),"")))</f>
        <v/>
      </c>
      <c r="Y1411" s="32">
        <f>IF($X1411="","",INT($X1411))</f>
        <v/>
      </c>
      <c r="Z1411" s="33">
        <f>IF(OR($Y1411="",$D$6=""),"",IF(INDEX($A:$U,ROW(),$D$6)="",0,IF(ISNUMBER(INDEX($A:$U,ROW(),$D$6)),INDEX($A:$U,ROW(),$D$6),IFERROR(--SUBSTITUTE(SUBSTITUTE(TRIM(INDEX($A:$U,ROW(),$D$6)),",",""),"원",""),0))))</f>
        <v/>
      </c>
      <c r="AA1411" s="31">
        <f>IF($Y1411="","",TRIM(INDEX($A:$U,ROW(),$E$6)&amp;IF($F$6="",""," "&amp;INDEX($A:$U,ROW(),$F$6))))</f>
        <v/>
      </c>
      <c r="AB1411" s="31">
        <f>IF($AA1411="","",SUBSTITUTE(SUBSTITUTE(SUBSTITUTE(SUBSTITUTE(SUBSTITUTE(SUBSTITUTE(SUBSTITUTE(SUBSTITUTE(SUBSTITUTE($AA1411," ",""),"　",""),"(주)",""),"（주）",""),"㈜",""),"주식회사",""),"(유)",""),"（유）",""),"유한회사",""))</f>
        <v/>
      </c>
      <c r="AC1411" s="31">
        <f>IF(OR($Y1411="",N($Z1411)&lt;=0,$AB1411=""),0,IFERROR(LOOKUP(2,1/((거래처별!$AC$8:$AC$307&lt;&gt;"")*ISNUMBER(SEARCH(거래처별!$AC$8:$AC$307,$AB1411))),거래처별!$A$8:$A$307),IFERROR(LOOKUP(2,1/((거래처별!$AD$8:$AD$307&lt;&gt;"")*ISNUMBER(SEARCH(거래처별!$AD$8:$AD$307,$AB1411))),거래처별!$A$8:$A$307),IFERROR(LOOKUP(2,1/((거래처별!$AE$8:$AE$307&lt;&gt;"")*ISNUMBER(SEARCH(거래처별!$AE$8:$AE$307,$AB1411))),거래처별!$A$8:$A$307),0))))</f>
        <v/>
      </c>
      <c r="AD1411" s="31">
        <f>IF(AND($Y1411&lt;&gt;"",N($Z1411)&gt;0,$AC1411=0),MAX($AD$7:$AD1410)+1,"")</f>
        <v/>
      </c>
      <c r="AE1411" s="31">
        <f>IF($Y1411="",0,$Y1411)</f>
        <v/>
      </c>
    </row>
    <row r="1412">
      <c r="W1412" s="31">
        <f>IF(OR($B$5="",$C$6="",ROW()&lt;$B$5),"",IF(INDEX($A:$U,ROW(),$C$6)="","",INDEX($A:$U,ROW(),$C$6)))</f>
        <v/>
      </c>
      <c r="X1412" s="32">
        <f>IF($W1412="","",IF(ISNUMBER($W1412),IF($W1412&gt;=10000000,IFERROR(DATE(INT($W1412/10000),MOD(INT($W1412/100),100),MOD($W1412,100)),""),INT($W1412)),IFERROR(DATE(--LEFT(LEFT(SUBSTITUTE(SUBSTITUTE(SUBSTITUTE(SUBSTITUTE(TRIM($W1412),"-",""),".",""),"/","")," ",""),8),4),--MID(LEFT(SUBSTITUTE(SUBSTITUTE(SUBSTITUTE(SUBSTITUTE(TRIM($W1412),"-",""),".",""),"/","")," ",""),8),5,2),--MID(LEFT(SUBSTITUTE(SUBSTITUTE(SUBSTITUTE(SUBSTITUTE(TRIM($W1412),"-",""),".",""),"/","")," ",""),8),7,2)),"")))</f>
        <v/>
      </c>
      <c r="Y1412" s="32">
        <f>IF($X1412="","",INT($X1412))</f>
        <v/>
      </c>
      <c r="Z1412" s="33">
        <f>IF(OR($Y1412="",$D$6=""),"",IF(INDEX($A:$U,ROW(),$D$6)="",0,IF(ISNUMBER(INDEX($A:$U,ROW(),$D$6)),INDEX($A:$U,ROW(),$D$6),IFERROR(--SUBSTITUTE(SUBSTITUTE(TRIM(INDEX($A:$U,ROW(),$D$6)),",",""),"원",""),0))))</f>
        <v/>
      </c>
      <c r="AA1412" s="31">
        <f>IF($Y1412="","",TRIM(INDEX($A:$U,ROW(),$E$6)&amp;IF($F$6="",""," "&amp;INDEX($A:$U,ROW(),$F$6))))</f>
        <v/>
      </c>
      <c r="AB1412" s="31">
        <f>IF($AA1412="","",SUBSTITUTE(SUBSTITUTE(SUBSTITUTE(SUBSTITUTE(SUBSTITUTE(SUBSTITUTE(SUBSTITUTE(SUBSTITUTE(SUBSTITUTE($AA1412," ",""),"　",""),"(주)",""),"（주）",""),"㈜",""),"주식회사",""),"(유)",""),"（유）",""),"유한회사",""))</f>
        <v/>
      </c>
      <c r="AC1412" s="31">
        <f>IF(OR($Y1412="",N($Z1412)&lt;=0,$AB1412=""),0,IFERROR(LOOKUP(2,1/((거래처별!$AC$8:$AC$307&lt;&gt;"")*ISNUMBER(SEARCH(거래처별!$AC$8:$AC$307,$AB1412))),거래처별!$A$8:$A$307),IFERROR(LOOKUP(2,1/((거래처별!$AD$8:$AD$307&lt;&gt;"")*ISNUMBER(SEARCH(거래처별!$AD$8:$AD$307,$AB1412))),거래처별!$A$8:$A$307),IFERROR(LOOKUP(2,1/((거래처별!$AE$8:$AE$307&lt;&gt;"")*ISNUMBER(SEARCH(거래처별!$AE$8:$AE$307,$AB1412))),거래처별!$A$8:$A$307),0))))</f>
        <v/>
      </c>
      <c r="AD1412" s="31">
        <f>IF(AND($Y1412&lt;&gt;"",N($Z1412)&gt;0,$AC1412=0),MAX($AD$7:$AD1411)+1,"")</f>
        <v/>
      </c>
      <c r="AE1412" s="31">
        <f>IF($Y1412="",0,$Y1412)</f>
        <v/>
      </c>
    </row>
    <row r="1413">
      <c r="W1413" s="31">
        <f>IF(OR($B$5="",$C$6="",ROW()&lt;$B$5),"",IF(INDEX($A:$U,ROW(),$C$6)="","",INDEX($A:$U,ROW(),$C$6)))</f>
        <v/>
      </c>
      <c r="X1413" s="32">
        <f>IF($W1413="","",IF(ISNUMBER($W1413),IF($W1413&gt;=10000000,IFERROR(DATE(INT($W1413/10000),MOD(INT($W1413/100),100),MOD($W1413,100)),""),INT($W1413)),IFERROR(DATE(--LEFT(LEFT(SUBSTITUTE(SUBSTITUTE(SUBSTITUTE(SUBSTITUTE(TRIM($W1413),"-",""),".",""),"/","")," ",""),8),4),--MID(LEFT(SUBSTITUTE(SUBSTITUTE(SUBSTITUTE(SUBSTITUTE(TRIM($W1413),"-",""),".",""),"/","")," ",""),8),5,2),--MID(LEFT(SUBSTITUTE(SUBSTITUTE(SUBSTITUTE(SUBSTITUTE(TRIM($W1413),"-",""),".",""),"/","")," ",""),8),7,2)),"")))</f>
        <v/>
      </c>
      <c r="Y1413" s="32">
        <f>IF($X1413="","",INT($X1413))</f>
        <v/>
      </c>
      <c r="Z1413" s="33">
        <f>IF(OR($Y1413="",$D$6=""),"",IF(INDEX($A:$U,ROW(),$D$6)="",0,IF(ISNUMBER(INDEX($A:$U,ROW(),$D$6)),INDEX($A:$U,ROW(),$D$6),IFERROR(--SUBSTITUTE(SUBSTITUTE(TRIM(INDEX($A:$U,ROW(),$D$6)),",",""),"원",""),0))))</f>
        <v/>
      </c>
      <c r="AA1413" s="31">
        <f>IF($Y1413="","",TRIM(INDEX($A:$U,ROW(),$E$6)&amp;IF($F$6="",""," "&amp;INDEX($A:$U,ROW(),$F$6))))</f>
        <v/>
      </c>
      <c r="AB1413" s="31">
        <f>IF($AA1413="","",SUBSTITUTE(SUBSTITUTE(SUBSTITUTE(SUBSTITUTE(SUBSTITUTE(SUBSTITUTE(SUBSTITUTE(SUBSTITUTE(SUBSTITUTE($AA1413," ",""),"　",""),"(주)",""),"（주）",""),"㈜",""),"주식회사",""),"(유)",""),"（유）",""),"유한회사",""))</f>
        <v/>
      </c>
      <c r="AC1413" s="31">
        <f>IF(OR($Y1413="",N($Z1413)&lt;=0,$AB1413=""),0,IFERROR(LOOKUP(2,1/((거래처별!$AC$8:$AC$307&lt;&gt;"")*ISNUMBER(SEARCH(거래처별!$AC$8:$AC$307,$AB1413))),거래처별!$A$8:$A$307),IFERROR(LOOKUP(2,1/((거래처별!$AD$8:$AD$307&lt;&gt;"")*ISNUMBER(SEARCH(거래처별!$AD$8:$AD$307,$AB1413))),거래처별!$A$8:$A$307),IFERROR(LOOKUP(2,1/((거래처별!$AE$8:$AE$307&lt;&gt;"")*ISNUMBER(SEARCH(거래처별!$AE$8:$AE$307,$AB1413))),거래처별!$A$8:$A$307),0))))</f>
        <v/>
      </c>
      <c r="AD1413" s="31">
        <f>IF(AND($Y1413&lt;&gt;"",N($Z1413)&gt;0,$AC1413=0),MAX($AD$7:$AD1412)+1,"")</f>
        <v/>
      </c>
      <c r="AE1413" s="31">
        <f>IF($Y1413="",0,$Y1413)</f>
        <v/>
      </c>
    </row>
    <row r="1414">
      <c r="W1414" s="31">
        <f>IF(OR($B$5="",$C$6="",ROW()&lt;$B$5),"",IF(INDEX($A:$U,ROW(),$C$6)="","",INDEX($A:$U,ROW(),$C$6)))</f>
        <v/>
      </c>
      <c r="X1414" s="32">
        <f>IF($W1414="","",IF(ISNUMBER($W1414),IF($W1414&gt;=10000000,IFERROR(DATE(INT($W1414/10000),MOD(INT($W1414/100),100),MOD($W1414,100)),""),INT($W1414)),IFERROR(DATE(--LEFT(LEFT(SUBSTITUTE(SUBSTITUTE(SUBSTITUTE(SUBSTITUTE(TRIM($W1414),"-",""),".",""),"/","")," ",""),8),4),--MID(LEFT(SUBSTITUTE(SUBSTITUTE(SUBSTITUTE(SUBSTITUTE(TRIM($W1414),"-",""),".",""),"/","")," ",""),8),5,2),--MID(LEFT(SUBSTITUTE(SUBSTITUTE(SUBSTITUTE(SUBSTITUTE(TRIM($W1414),"-",""),".",""),"/","")," ",""),8),7,2)),"")))</f>
        <v/>
      </c>
      <c r="Y1414" s="32">
        <f>IF($X1414="","",INT($X1414))</f>
        <v/>
      </c>
      <c r="Z1414" s="33">
        <f>IF(OR($Y1414="",$D$6=""),"",IF(INDEX($A:$U,ROW(),$D$6)="",0,IF(ISNUMBER(INDEX($A:$U,ROW(),$D$6)),INDEX($A:$U,ROW(),$D$6),IFERROR(--SUBSTITUTE(SUBSTITUTE(TRIM(INDEX($A:$U,ROW(),$D$6)),",",""),"원",""),0))))</f>
        <v/>
      </c>
      <c r="AA1414" s="31">
        <f>IF($Y1414="","",TRIM(INDEX($A:$U,ROW(),$E$6)&amp;IF($F$6="",""," "&amp;INDEX($A:$U,ROW(),$F$6))))</f>
        <v/>
      </c>
      <c r="AB1414" s="31">
        <f>IF($AA1414="","",SUBSTITUTE(SUBSTITUTE(SUBSTITUTE(SUBSTITUTE(SUBSTITUTE(SUBSTITUTE(SUBSTITUTE(SUBSTITUTE(SUBSTITUTE($AA1414," ",""),"　",""),"(주)",""),"（주）",""),"㈜",""),"주식회사",""),"(유)",""),"（유）",""),"유한회사",""))</f>
        <v/>
      </c>
      <c r="AC1414" s="31">
        <f>IF(OR($Y1414="",N($Z1414)&lt;=0,$AB1414=""),0,IFERROR(LOOKUP(2,1/((거래처별!$AC$8:$AC$307&lt;&gt;"")*ISNUMBER(SEARCH(거래처별!$AC$8:$AC$307,$AB1414))),거래처별!$A$8:$A$307),IFERROR(LOOKUP(2,1/((거래처별!$AD$8:$AD$307&lt;&gt;"")*ISNUMBER(SEARCH(거래처별!$AD$8:$AD$307,$AB1414))),거래처별!$A$8:$A$307),IFERROR(LOOKUP(2,1/((거래처별!$AE$8:$AE$307&lt;&gt;"")*ISNUMBER(SEARCH(거래처별!$AE$8:$AE$307,$AB1414))),거래처별!$A$8:$A$307),0))))</f>
        <v/>
      </c>
      <c r="AD1414" s="31">
        <f>IF(AND($Y1414&lt;&gt;"",N($Z1414)&gt;0,$AC1414=0),MAX($AD$7:$AD1413)+1,"")</f>
        <v/>
      </c>
      <c r="AE1414" s="31">
        <f>IF($Y1414="",0,$Y1414)</f>
        <v/>
      </c>
    </row>
    <row r="1415">
      <c r="W1415" s="31">
        <f>IF(OR($B$5="",$C$6="",ROW()&lt;$B$5),"",IF(INDEX($A:$U,ROW(),$C$6)="","",INDEX($A:$U,ROW(),$C$6)))</f>
        <v/>
      </c>
      <c r="X1415" s="32">
        <f>IF($W1415="","",IF(ISNUMBER($W1415),IF($W1415&gt;=10000000,IFERROR(DATE(INT($W1415/10000),MOD(INT($W1415/100),100),MOD($W1415,100)),""),INT($W1415)),IFERROR(DATE(--LEFT(LEFT(SUBSTITUTE(SUBSTITUTE(SUBSTITUTE(SUBSTITUTE(TRIM($W1415),"-",""),".",""),"/","")," ",""),8),4),--MID(LEFT(SUBSTITUTE(SUBSTITUTE(SUBSTITUTE(SUBSTITUTE(TRIM($W1415),"-",""),".",""),"/","")," ",""),8),5,2),--MID(LEFT(SUBSTITUTE(SUBSTITUTE(SUBSTITUTE(SUBSTITUTE(TRIM($W1415),"-",""),".",""),"/","")," ",""),8),7,2)),"")))</f>
        <v/>
      </c>
      <c r="Y1415" s="32">
        <f>IF($X1415="","",INT($X1415))</f>
        <v/>
      </c>
      <c r="Z1415" s="33">
        <f>IF(OR($Y1415="",$D$6=""),"",IF(INDEX($A:$U,ROW(),$D$6)="",0,IF(ISNUMBER(INDEX($A:$U,ROW(),$D$6)),INDEX($A:$U,ROW(),$D$6),IFERROR(--SUBSTITUTE(SUBSTITUTE(TRIM(INDEX($A:$U,ROW(),$D$6)),",",""),"원",""),0))))</f>
        <v/>
      </c>
      <c r="AA1415" s="31">
        <f>IF($Y1415="","",TRIM(INDEX($A:$U,ROW(),$E$6)&amp;IF($F$6="",""," "&amp;INDEX($A:$U,ROW(),$F$6))))</f>
        <v/>
      </c>
      <c r="AB1415" s="31">
        <f>IF($AA1415="","",SUBSTITUTE(SUBSTITUTE(SUBSTITUTE(SUBSTITUTE(SUBSTITUTE(SUBSTITUTE(SUBSTITUTE(SUBSTITUTE(SUBSTITUTE($AA1415," ",""),"　",""),"(주)",""),"（주）",""),"㈜",""),"주식회사",""),"(유)",""),"（유）",""),"유한회사",""))</f>
        <v/>
      </c>
      <c r="AC1415" s="31">
        <f>IF(OR($Y1415="",N($Z1415)&lt;=0,$AB1415=""),0,IFERROR(LOOKUP(2,1/((거래처별!$AC$8:$AC$307&lt;&gt;"")*ISNUMBER(SEARCH(거래처별!$AC$8:$AC$307,$AB1415))),거래처별!$A$8:$A$307),IFERROR(LOOKUP(2,1/((거래처별!$AD$8:$AD$307&lt;&gt;"")*ISNUMBER(SEARCH(거래처별!$AD$8:$AD$307,$AB1415))),거래처별!$A$8:$A$307),IFERROR(LOOKUP(2,1/((거래처별!$AE$8:$AE$307&lt;&gt;"")*ISNUMBER(SEARCH(거래처별!$AE$8:$AE$307,$AB1415))),거래처별!$A$8:$A$307),0))))</f>
        <v/>
      </c>
      <c r="AD1415" s="31">
        <f>IF(AND($Y1415&lt;&gt;"",N($Z1415)&gt;0,$AC1415=0),MAX($AD$7:$AD1414)+1,"")</f>
        <v/>
      </c>
      <c r="AE1415" s="31">
        <f>IF($Y1415="",0,$Y1415)</f>
        <v/>
      </c>
    </row>
    <row r="1416">
      <c r="W1416" s="31">
        <f>IF(OR($B$5="",$C$6="",ROW()&lt;$B$5),"",IF(INDEX($A:$U,ROW(),$C$6)="","",INDEX($A:$U,ROW(),$C$6)))</f>
        <v/>
      </c>
      <c r="X1416" s="32">
        <f>IF($W1416="","",IF(ISNUMBER($W1416),IF($W1416&gt;=10000000,IFERROR(DATE(INT($W1416/10000),MOD(INT($W1416/100),100),MOD($W1416,100)),""),INT($W1416)),IFERROR(DATE(--LEFT(LEFT(SUBSTITUTE(SUBSTITUTE(SUBSTITUTE(SUBSTITUTE(TRIM($W1416),"-",""),".",""),"/","")," ",""),8),4),--MID(LEFT(SUBSTITUTE(SUBSTITUTE(SUBSTITUTE(SUBSTITUTE(TRIM($W1416),"-",""),".",""),"/","")," ",""),8),5,2),--MID(LEFT(SUBSTITUTE(SUBSTITUTE(SUBSTITUTE(SUBSTITUTE(TRIM($W1416),"-",""),".",""),"/","")," ",""),8),7,2)),"")))</f>
        <v/>
      </c>
      <c r="Y1416" s="32">
        <f>IF($X1416="","",INT($X1416))</f>
        <v/>
      </c>
      <c r="Z1416" s="33">
        <f>IF(OR($Y1416="",$D$6=""),"",IF(INDEX($A:$U,ROW(),$D$6)="",0,IF(ISNUMBER(INDEX($A:$U,ROW(),$D$6)),INDEX($A:$U,ROW(),$D$6),IFERROR(--SUBSTITUTE(SUBSTITUTE(TRIM(INDEX($A:$U,ROW(),$D$6)),",",""),"원",""),0))))</f>
        <v/>
      </c>
      <c r="AA1416" s="31">
        <f>IF($Y1416="","",TRIM(INDEX($A:$U,ROW(),$E$6)&amp;IF($F$6="",""," "&amp;INDEX($A:$U,ROW(),$F$6))))</f>
        <v/>
      </c>
      <c r="AB1416" s="31">
        <f>IF($AA1416="","",SUBSTITUTE(SUBSTITUTE(SUBSTITUTE(SUBSTITUTE(SUBSTITUTE(SUBSTITUTE(SUBSTITUTE(SUBSTITUTE(SUBSTITUTE($AA1416," ",""),"　",""),"(주)",""),"（주）",""),"㈜",""),"주식회사",""),"(유)",""),"（유）",""),"유한회사",""))</f>
        <v/>
      </c>
      <c r="AC1416" s="31">
        <f>IF(OR($Y1416="",N($Z1416)&lt;=0,$AB1416=""),0,IFERROR(LOOKUP(2,1/((거래처별!$AC$8:$AC$307&lt;&gt;"")*ISNUMBER(SEARCH(거래처별!$AC$8:$AC$307,$AB1416))),거래처별!$A$8:$A$307),IFERROR(LOOKUP(2,1/((거래처별!$AD$8:$AD$307&lt;&gt;"")*ISNUMBER(SEARCH(거래처별!$AD$8:$AD$307,$AB1416))),거래처별!$A$8:$A$307),IFERROR(LOOKUP(2,1/((거래처별!$AE$8:$AE$307&lt;&gt;"")*ISNUMBER(SEARCH(거래처별!$AE$8:$AE$307,$AB1416))),거래처별!$A$8:$A$307),0))))</f>
        <v/>
      </c>
      <c r="AD1416" s="31">
        <f>IF(AND($Y1416&lt;&gt;"",N($Z1416)&gt;0,$AC1416=0),MAX($AD$7:$AD1415)+1,"")</f>
        <v/>
      </c>
      <c r="AE1416" s="31">
        <f>IF($Y1416="",0,$Y1416)</f>
        <v/>
      </c>
    </row>
    <row r="1417">
      <c r="W1417" s="31">
        <f>IF(OR($B$5="",$C$6="",ROW()&lt;$B$5),"",IF(INDEX($A:$U,ROW(),$C$6)="","",INDEX($A:$U,ROW(),$C$6)))</f>
        <v/>
      </c>
      <c r="X1417" s="32">
        <f>IF($W1417="","",IF(ISNUMBER($W1417),IF($W1417&gt;=10000000,IFERROR(DATE(INT($W1417/10000),MOD(INT($W1417/100),100),MOD($W1417,100)),""),INT($W1417)),IFERROR(DATE(--LEFT(LEFT(SUBSTITUTE(SUBSTITUTE(SUBSTITUTE(SUBSTITUTE(TRIM($W1417),"-",""),".",""),"/","")," ",""),8),4),--MID(LEFT(SUBSTITUTE(SUBSTITUTE(SUBSTITUTE(SUBSTITUTE(TRIM($W1417),"-",""),".",""),"/","")," ",""),8),5,2),--MID(LEFT(SUBSTITUTE(SUBSTITUTE(SUBSTITUTE(SUBSTITUTE(TRIM($W1417),"-",""),".",""),"/","")," ",""),8),7,2)),"")))</f>
        <v/>
      </c>
      <c r="Y1417" s="32">
        <f>IF($X1417="","",INT($X1417))</f>
        <v/>
      </c>
      <c r="Z1417" s="33">
        <f>IF(OR($Y1417="",$D$6=""),"",IF(INDEX($A:$U,ROW(),$D$6)="",0,IF(ISNUMBER(INDEX($A:$U,ROW(),$D$6)),INDEX($A:$U,ROW(),$D$6),IFERROR(--SUBSTITUTE(SUBSTITUTE(TRIM(INDEX($A:$U,ROW(),$D$6)),",",""),"원",""),0))))</f>
        <v/>
      </c>
      <c r="AA1417" s="31">
        <f>IF($Y1417="","",TRIM(INDEX($A:$U,ROW(),$E$6)&amp;IF($F$6="",""," "&amp;INDEX($A:$U,ROW(),$F$6))))</f>
        <v/>
      </c>
      <c r="AB1417" s="31">
        <f>IF($AA1417="","",SUBSTITUTE(SUBSTITUTE(SUBSTITUTE(SUBSTITUTE(SUBSTITUTE(SUBSTITUTE(SUBSTITUTE(SUBSTITUTE(SUBSTITUTE($AA1417," ",""),"　",""),"(주)",""),"（주）",""),"㈜",""),"주식회사",""),"(유)",""),"（유）",""),"유한회사",""))</f>
        <v/>
      </c>
      <c r="AC1417" s="31">
        <f>IF(OR($Y1417="",N($Z1417)&lt;=0,$AB1417=""),0,IFERROR(LOOKUP(2,1/((거래처별!$AC$8:$AC$307&lt;&gt;"")*ISNUMBER(SEARCH(거래처별!$AC$8:$AC$307,$AB1417))),거래처별!$A$8:$A$307),IFERROR(LOOKUP(2,1/((거래처별!$AD$8:$AD$307&lt;&gt;"")*ISNUMBER(SEARCH(거래처별!$AD$8:$AD$307,$AB1417))),거래처별!$A$8:$A$307),IFERROR(LOOKUP(2,1/((거래처별!$AE$8:$AE$307&lt;&gt;"")*ISNUMBER(SEARCH(거래처별!$AE$8:$AE$307,$AB1417))),거래처별!$A$8:$A$307),0))))</f>
        <v/>
      </c>
      <c r="AD1417" s="31">
        <f>IF(AND($Y1417&lt;&gt;"",N($Z1417)&gt;0,$AC1417=0),MAX($AD$7:$AD1416)+1,"")</f>
        <v/>
      </c>
      <c r="AE1417" s="31">
        <f>IF($Y1417="",0,$Y1417)</f>
        <v/>
      </c>
    </row>
    <row r="1418">
      <c r="W1418" s="31">
        <f>IF(OR($B$5="",$C$6="",ROW()&lt;$B$5),"",IF(INDEX($A:$U,ROW(),$C$6)="","",INDEX($A:$U,ROW(),$C$6)))</f>
        <v/>
      </c>
      <c r="X1418" s="32">
        <f>IF($W1418="","",IF(ISNUMBER($W1418),IF($W1418&gt;=10000000,IFERROR(DATE(INT($W1418/10000),MOD(INT($W1418/100),100),MOD($W1418,100)),""),INT($W1418)),IFERROR(DATE(--LEFT(LEFT(SUBSTITUTE(SUBSTITUTE(SUBSTITUTE(SUBSTITUTE(TRIM($W1418),"-",""),".",""),"/","")," ",""),8),4),--MID(LEFT(SUBSTITUTE(SUBSTITUTE(SUBSTITUTE(SUBSTITUTE(TRIM($W1418),"-",""),".",""),"/","")," ",""),8),5,2),--MID(LEFT(SUBSTITUTE(SUBSTITUTE(SUBSTITUTE(SUBSTITUTE(TRIM($W1418),"-",""),".",""),"/","")," ",""),8),7,2)),"")))</f>
        <v/>
      </c>
      <c r="Y1418" s="32">
        <f>IF($X1418="","",INT($X1418))</f>
        <v/>
      </c>
      <c r="Z1418" s="33">
        <f>IF(OR($Y1418="",$D$6=""),"",IF(INDEX($A:$U,ROW(),$D$6)="",0,IF(ISNUMBER(INDEX($A:$U,ROW(),$D$6)),INDEX($A:$U,ROW(),$D$6),IFERROR(--SUBSTITUTE(SUBSTITUTE(TRIM(INDEX($A:$U,ROW(),$D$6)),",",""),"원",""),0))))</f>
        <v/>
      </c>
      <c r="AA1418" s="31">
        <f>IF($Y1418="","",TRIM(INDEX($A:$U,ROW(),$E$6)&amp;IF($F$6="",""," "&amp;INDEX($A:$U,ROW(),$F$6))))</f>
        <v/>
      </c>
      <c r="AB1418" s="31">
        <f>IF($AA1418="","",SUBSTITUTE(SUBSTITUTE(SUBSTITUTE(SUBSTITUTE(SUBSTITUTE(SUBSTITUTE(SUBSTITUTE(SUBSTITUTE(SUBSTITUTE($AA1418," ",""),"　",""),"(주)",""),"（주）",""),"㈜",""),"주식회사",""),"(유)",""),"（유）",""),"유한회사",""))</f>
        <v/>
      </c>
      <c r="AC1418" s="31">
        <f>IF(OR($Y1418="",N($Z1418)&lt;=0,$AB1418=""),0,IFERROR(LOOKUP(2,1/((거래처별!$AC$8:$AC$307&lt;&gt;"")*ISNUMBER(SEARCH(거래처별!$AC$8:$AC$307,$AB1418))),거래처별!$A$8:$A$307),IFERROR(LOOKUP(2,1/((거래처별!$AD$8:$AD$307&lt;&gt;"")*ISNUMBER(SEARCH(거래처별!$AD$8:$AD$307,$AB1418))),거래처별!$A$8:$A$307),IFERROR(LOOKUP(2,1/((거래처별!$AE$8:$AE$307&lt;&gt;"")*ISNUMBER(SEARCH(거래처별!$AE$8:$AE$307,$AB1418))),거래처별!$A$8:$A$307),0))))</f>
        <v/>
      </c>
      <c r="AD1418" s="31">
        <f>IF(AND($Y1418&lt;&gt;"",N($Z1418)&gt;0,$AC1418=0),MAX($AD$7:$AD1417)+1,"")</f>
        <v/>
      </c>
      <c r="AE1418" s="31">
        <f>IF($Y1418="",0,$Y1418)</f>
        <v/>
      </c>
    </row>
    <row r="1419">
      <c r="W1419" s="31">
        <f>IF(OR($B$5="",$C$6="",ROW()&lt;$B$5),"",IF(INDEX($A:$U,ROW(),$C$6)="","",INDEX($A:$U,ROW(),$C$6)))</f>
        <v/>
      </c>
      <c r="X1419" s="32">
        <f>IF($W1419="","",IF(ISNUMBER($W1419),IF($W1419&gt;=10000000,IFERROR(DATE(INT($W1419/10000),MOD(INT($W1419/100),100),MOD($W1419,100)),""),INT($W1419)),IFERROR(DATE(--LEFT(LEFT(SUBSTITUTE(SUBSTITUTE(SUBSTITUTE(SUBSTITUTE(TRIM($W1419),"-",""),".",""),"/","")," ",""),8),4),--MID(LEFT(SUBSTITUTE(SUBSTITUTE(SUBSTITUTE(SUBSTITUTE(TRIM($W1419),"-",""),".",""),"/","")," ",""),8),5,2),--MID(LEFT(SUBSTITUTE(SUBSTITUTE(SUBSTITUTE(SUBSTITUTE(TRIM($W1419),"-",""),".",""),"/","")," ",""),8),7,2)),"")))</f>
        <v/>
      </c>
      <c r="Y1419" s="32">
        <f>IF($X1419="","",INT($X1419))</f>
        <v/>
      </c>
      <c r="Z1419" s="33">
        <f>IF(OR($Y1419="",$D$6=""),"",IF(INDEX($A:$U,ROW(),$D$6)="",0,IF(ISNUMBER(INDEX($A:$U,ROW(),$D$6)),INDEX($A:$U,ROW(),$D$6),IFERROR(--SUBSTITUTE(SUBSTITUTE(TRIM(INDEX($A:$U,ROW(),$D$6)),",",""),"원",""),0))))</f>
        <v/>
      </c>
      <c r="AA1419" s="31">
        <f>IF($Y1419="","",TRIM(INDEX($A:$U,ROW(),$E$6)&amp;IF($F$6="",""," "&amp;INDEX($A:$U,ROW(),$F$6))))</f>
        <v/>
      </c>
      <c r="AB1419" s="31">
        <f>IF($AA1419="","",SUBSTITUTE(SUBSTITUTE(SUBSTITUTE(SUBSTITUTE(SUBSTITUTE(SUBSTITUTE(SUBSTITUTE(SUBSTITUTE(SUBSTITUTE($AA1419," ",""),"　",""),"(주)",""),"（주）",""),"㈜",""),"주식회사",""),"(유)",""),"（유）",""),"유한회사",""))</f>
        <v/>
      </c>
      <c r="AC1419" s="31">
        <f>IF(OR($Y1419="",N($Z1419)&lt;=0,$AB1419=""),0,IFERROR(LOOKUP(2,1/((거래처별!$AC$8:$AC$307&lt;&gt;"")*ISNUMBER(SEARCH(거래처별!$AC$8:$AC$307,$AB1419))),거래처별!$A$8:$A$307),IFERROR(LOOKUP(2,1/((거래처별!$AD$8:$AD$307&lt;&gt;"")*ISNUMBER(SEARCH(거래처별!$AD$8:$AD$307,$AB1419))),거래처별!$A$8:$A$307),IFERROR(LOOKUP(2,1/((거래처별!$AE$8:$AE$307&lt;&gt;"")*ISNUMBER(SEARCH(거래처별!$AE$8:$AE$307,$AB1419))),거래처별!$A$8:$A$307),0))))</f>
        <v/>
      </c>
      <c r="AD1419" s="31">
        <f>IF(AND($Y1419&lt;&gt;"",N($Z1419)&gt;0,$AC1419=0),MAX($AD$7:$AD1418)+1,"")</f>
        <v/>
      </c>
      <c r="AE1419" s="31">
        <f>IF($Y1419="",0,$Y1419)</f>
        <v/>
      </c>
    </row>
    <row r="1420">
      <c r="W1420" s="31">
        <f>IF(OR($B$5="",$C$6="",ROW()&lt;$B$5),"",IF(INDEX($A:$U,ROW(),$C$6)="","",INDEX($A:$U,ROW(),$C$6)))</f>
        <v/>
      </c>
      <c r="X1420" s="32">
        <f>IF($W1420="","",IF(ISNUMBER($W1420),IF($W1420&gt;=10000000,IFERROR(DATE(INT($W1420/10000),MOD(INT($W1420/100),100),MOD($W1420,100)),""),INT($W1420)),IFERROR(DATE(--LEFT(LEFT(SUBSTITUTE(SUBSTITUTE(SUBSTITUTE(SUBSTITUTE(TRIM($W1420),"-",""),".",""),"/","")," ",""),8),4),--MID(LEFT(SUBSTITUTE(SUBSTITUTE(SUBSTITUTE(SUBSTITUTE(TRIM($W1420),"-",""),".",""),"/","")," ",""),8),5,2),--MID(LEFT(SUBSTITUTE(SUBSTITUTE(SUBSTITUTE(SUBSTITUTE(TRIM($W1420),"-",""),".",""),"/","")," ",""),8),7,2)),"")))</f>
        <v/>
      </c>
      <c r="Y1420" s="32">
        <f>IF($X1420="","",INT($X1420))</f>
        <v/>
      </c>
      <c r="Z1420" s="33">
        <f>IF(OR($Y1420="",$D$6=""),"",IF(INDEX($A:$U,ROW(),$D$6)="",0,IF(ISNUMBER(INDEX($A:$U,ROW(),$D$6)),INDEX($A:$U,ROW(),$D$6),IFERROR(--SUBSTITUTE(SUBSTITUTE(TRIM(INDEX($A:$U,ROW(),$D$6)),",",""),"원",""),0))))</f>
        <v/>
      </c>
      <c r="AA1420" s="31">
        <f>IF($Y1420="","",TRIM(INDEX($A:$U,ROW(),$E$6)&amp;IF($F$6="",""," "&amp;INDEX($A:$U,ROW(),$F$6))))</f>
        <v/>
      </c>
      <c r="AB1420" s="31">
        <f>IF($AA1420="","",SUBSTITUTE(SUBSTITUTE(SUBSTITUTE(SUBSTITUTE(SUBSTITUTE(SUBSTITUTE(SUBSTITUTE(SUBSTITUTE(SUBSTITUTE($AA1420," ",""),"　",""),"(주)",""),"（주）",""),"㈜",""),"주식회사",""),"(유)",""),"（유）",""),"유한회사",""))</f>
        <v/>
      </c>
      <c r="AC1420" s="31">
        <f>IF(OR($Y1420="",N($Z1420)&lt;=0,$AB1420=""),0,IFERROR(LOOKUP(2,1/((거래처별!$AC$8:$AC$307&lt;&gt;"")*ISNUMBER(SEARCH(거래처별!$AC$8:$AC$307,$AB1420))),거래처별!$A$8:$A$307),IFERROR(LOOKUP(2,1/((거래처별!$AD$8:$AD$307&lt;&gt;"")*ISNUMBER(SEARCH(거래처별!$AD$8:$AD$307,$AB1420))),거래처별!$A$8:$A$307),IFERROR(LOOKUP(2,1/((거래처별!$AE$8:$AE$307&lt;&gt;"")*ISNUMBER(SEARCH(거래처별!$AE$8:$AE$307,$AB1420))),거래처별!$A$8:$A$307),0))))</f>
        <v/>
      </c>
      <c r="AD1420" s="31">
        <f>IF(AND($Y1420&lt;&gt;"",N($Z1420)&gt;0,$AC1420=0),MAX($AD$7:$AD1419)+1,"")</f>
        <v/>
      </c>
      <c r="AE1420" s="31">
        <f>IF($Y1420="",0,$Y1420)</f>
        <v/>
      </c>
    </row>
    <row r="1421">
      <c r="W1421" s="31">
        <f>IF(OR($B$5="",$C$6="",ROW()&lt;$B$5),"",IF(INDEX($A:$U,ROW(),$C$6)="","",INDEX($A:$U,ROW(),$C$6)))</f>
        <v/>
      </c>
      <c r="X1421" s="32">
        <f>IF($W1421="","",IF(ISNUMBER($W1421),IF($W1421&gt;=10000000,IFERROR(DATE(INT($W1421/10000),MOD(INT($W1421/100),100),MOD($W1421,100)),""),INT($W1421)),IFERROR(DATE(--LEFT(LEFT(SUBSTITUTE(SUBSTITUTE(SUBSTITUTE(SUBSTITUTE(TRIM($W1421),"-",""),".",""),"/","")," ",""),8),4),--MID(LEFT(SUBSTITUTE(SUBSTITUTE(SUBSTITUTE(SUBSTITUTE(TRIM($W1421),"-",""),".",""),"/","")," ",""),8),5,2),--MID(LEFT(SUBSTITUTE(SUBSTITUTE(SUBSTITUTE(SUBSTITUTE(TRIM($W1421),"-",""),".",""),"/","")," ",""),8),7,2)),"")))</f>
        <v/>
      </c>
      <c r="Y1421" s="32">
        <f>IF($X1421="","",INT($X1421))</f>
        <v/>
      </c>
      <c r="Z1421" s="33">
        <f>IF(OR($Y1421="",$D$6=""),"",IF(INDEX($A:$U,ROW(),$D$6)="",0,IF(ISNUMBER(INDEX($A:$U,ROW(),$D$6)),INDEX($A:$U,ROW(),$D$6),IFERROR(--SUBSTITUTE(SUBSTITUTE(TRIM(INDEX($A:$U,ROW(),$D$6)),",",""),"원",""),0))))</f>
        <v/>
      </c>
      <c r="AA1421" s="31">
        <f>IF($Y1421="","",TRIM(INDEX($A:$U,ROW(),$E$6)&amp;IF($F$6="",""," "&amp;INDEX($A:$U,ROW(),$F$6))))</f>
        <v/>
      </c>
      <c r="AB1421" s="31">
        <f>IF($AA1421="","",SUBSTITUTE(SUBSTITUTE(SUBSTITUTE(SUBSTITUTE(SUBSTITUTE(SUBSTITUTE(SUBSTITUTE(SUBSTITUTE(SUBSTITUTE($AA1421," ",""),"　",""),"(주)",""),"（주）",""),"㈜",""),"주식회사",""),"(유)",""),"（유）",""),"유한회사",""))</f>
        <v/>
      </c>
      <c r="AC1421" s="31">
        <f>IF(OR($Y1421="",N($Z1421)&lt;=0,$AB1421=""),0,IFERROR(LOOKUP(2,1/((거래처별!$AC$8:$AC$307&lt;&gt;"")*ISNUMBER(SEARCH(거래처별!$AC$8:$AC$307,$AB1421))),거래처별!$A$8:$A$307),IFERROR(LOOKUP(2,1/((거래처별!$AD$8:$AD$307&lt;&gt;"")*ISNUMBER(SEARCH(거래처별!$AD$8:$AD$307,$AB1421))),거래처별!$A$8:$A$307),IFERROR(LOOKUP(2,1/((거래처별!$AE$8:$AE$307&lt;&gt;"")*ISNUMBER(SEARCH(거래처별!$AE$8:$AE$307,$AB1421))),거래처별!$A$8:$A$307),0))))</f>
        <v/>
      </c>
      <c r="AD1421" s="31">
        <f>IF(AND($Y1421&lt;&gt;"",N($Z1421)&gt;0,$AC1421=0),MAX($AD$7:$AD1420)+1,"")</f>
        <v/>
      </c>
      <c r="AE1421" s="31">
        <f>IF($Y1421="",0,$Y1421)</f>
        <v/>
      </c>
    </row>
    <row r="1422">
      <c r="W1422" s="31">
        <f>IF(OR($B$5="",$C$6="",ROW()&lt;$B$5),"",IF(INDEX($A:$U,ROW(),$C$6)="","",INDEX($A:$U,ROW(),$C$6)))</f>
        <v/>
      </c>
      <c r="X1422" s="32">
        <f>IF($W1422="","",IF(ISNUMBER($W1422),IF($W1422&gt;=10000000,IFERROR(DATE(INT($W1422/10000),MOD(INT($W1422/100),100),MOD($W1422,100)),""),INT($W1422)),IFERROR(DATE(--LEFT(LEFT(SUBSTITUTE(SUBSTITUTE(SUBSTITUTE(SUBSTITUTE(TRIM($W1422),"-",""),".",""),"/","")," ",""),8),4),--MID(LEFT(SUBSTITUTE(SUBSTITUTE(SUBSTITUTE(SUBSTITUTE(TRIM($W1422),"-",""),".",""),"/","")," ",""),8),5,2),--MID(LEFT(SUBSTITUTE(SUBSTITUTE(SUBSTITUTE(SUBSTITUTE(TRIM($W1422),"-",""),".",""),"/","")," ",""),8),7,2)),"")))</f>
        <v/>
      </c>
      <c r="Y1422" s="32">
        <f>IF($X1422="","",INT($X1422))</f>
        <v/>
      </c>
      <c r="Z1422" s="33">
        <f>IF(OR($Y1422="",$D$6=""),"",IF(INDEX($A:$U,ROW(),$D$6)="",0,IF(ISNUMBER(INDEX($A:$U,ROW(),$D$6)),INDEX($A:$U,ROW(),$D$6),IFERROR(--SUBSTITUTE(SUBSTITUTE(TRIM(INDEX($A:$U,ROW(),$D$6)),",",""),"원",""),0))))</f>
        <v/>
      </c>
      <c r="AA1422" s="31">
        <f>IF($Y1422="","",TRIM(INDEX($A:$U,ROW(),$E$6)&amp;IF($F$6="",""," "&amp;INDEX($A:$U,ROW(),$F$6))))</f>
        <v/>
      </c>
      <c r="AB1422" s="31">
        <f>IF($AA1422="","",SUBSTITUTE(SUBSTITUTE(SUBSTITUTE(SUBSTITUTE(SUBSTITUTE(SUBSTITUTE(SUBSTITUTE(SUBSTITUTE(SUBSTITUTE($AA1422," ",""),"　",""),"(주)",""),"（주）",""),"㈜",""),"주식회사",""),"(유)",""),"（유）",""),"유한회사",""))</f>
        <v/>
      </c>
      <c r="AC1422" s="31">
        <f>IF(OR($Y1422="",N($Z1422)&lt;=0,$AB1422=""),0,IFERROR(LOOKUP(2,1/((거래처별!$AC$8:$AC$307&lt;&gt;"")*ISNUMBER(SEARCH(거래처별!$AC$8:$AC$307,$AB1422))),거래처별!$A$8:$A$307),IFERROR(LOOKUP(2,1/((거래처별!$AD$8:$AD$307&lt;&gt;"")*ISNUMBER(SEARCH(거래처별!$AD$8:$AD$307,$AB1422))),거래처별!$A$8:$A$307),IFERROR(LOOKUP(2,1/((거래처별!$AE$8:$AE$307&lt;&gt;"")*ISNUMBER(SEARCH(거래처별!$AE$8:$AE$307,$AB1422))),거래처별!$A$8:$A$307),0))))</f>
        <v/>
      </c>
      <c r="AD1422" s="31">
        <f>IF(AND($Y1422&lt;&gt;"",N($Z1422)&gt;0,$AC1422=0),MAX($AD$7:$AD1421)+1,"")</f>
        <v/>
      </c>
      <c r="AE1422" s="31">
        <f>IF($Y1422="",0,$Y1422)</f>
        <v/>
      </c>
    </row>
    <row r="1423">
      <c r="W1423" s="31">
        <f>IF(OR($B$5="",$C$6="",ROW()&lt;$B$5),"",IF(INDEX($A:$U,ROW(),$C$6)="","",INDEX($A:$U,ROW(),$C$6)))</f>
        <v/>
      </c>
      <c r="X1423" s="32">
        <f>IF($W1423="","",IF(ISNUMBER($W1423),IF($W1423&gt;=10000000,IFERROR(DATE(INT($W1423/10000),MOD(INT($W1423/100),100),MOD($W1423,100)),""),INT($W1423)),IFERROR(DATE(--LEFT(LEFT(SUBSTITUTE(SUBSTITUTE(SUBSTITUTE(SUBSTITUTE(TRIM($W1423),"-",""),".",""),"/","")," ",""),8),4),--MID(LEFT(SUBSTITUTE(SUBSTITUTE(SUBSTITUTE(SUBSTITUTE(TRIM($W1423),"-",""),".",""),"/","")," ",""),8),5,2),--MID(LEFT(SUBSTITUTE(SUBSTITUTE(SUBSTITUTE(SUBSTITUTE(TRIM($W1423),"-",""),".",""),"/","")," ",""),8),7,2)),"")))</f>
        <v/>
      </c>
      <c r="Y1423" s="32">
        <f>IF($X1423="","",INT($X1423))</f>
        <v/>
      </c>
      <c r="Z1423" s="33">
        <f>IF(OR($Y1423="",$D$6=""),"",IF(INDEX($A:$U,ROW(),$D$6)="",0,IF(ISNUMBER(INDEX($A:$U,ROW(),$D$6)),INDEX($A:$U,ROW(),$D$6),IFERROR(--SUBSTITUTE(SUBSTITUTE(TRIM(INDEX($A:$U,ROW(),$D$6)),",",""),"원",""),0))))</f>
        <v/>
      </c>
      <c r="AA1423" s="31">
        <f>IF($Y1423="","",TRIM(INDEX($A:$U,ROW(),$E$6)&amp;IF($F$6="",""," "&amp;INDEX($A:$U,ROW(),$F$6))))</f>
        <v/>
      </c>
      <c r="AB1423" s="31">
        <f>IF($AA1423="","",SUBSTITUTE(SUBSTITUTE(SUBSTITUTE(SUBSTITUTE(SUBSTITUTE(SUBSTITUTE(SUBSTITUTE(SUBSTITUTE(SUBSTITUTE($AA1423," ",""),"　",""),"(주)",""),"（주）",""),"㈜",""),"주식회사",""),"(유)",""),"（유）",""),"유한회사",""))</f>
        <v/>
      </c>
      <c r="AC1423" s="31">
        <f>IF(OR($Y1423="",N($Z1423)&lt;=0,$AB1423=""),0,IFERROR(LOOKUP(2,1/((거래처별!$AC$8:$AC$307&lt;&gt;"")*ISNUMBER(SEARCH(거래처별!$AC$8:$AC$307,$AB1423))),거래처별!$A$8:$A$307),IFERROR(LOOKUP(2,1/((거래처별!$AD$8:$AD$307&lt;&gt;"")*ISNUMBER(SEARCH(거래처별!$AD$8:$AD$307,$AB1423))),거래처별!$A$8:$A$307),IFERROR(LOOKUP(2,1/((거래처별!$AE$8:$AE$307&lt;&gt;"")*ISNUMBER(SEARCH(거래처별!$AE$8:$AE$307,$AB1423))),거래처별!$A$8:$A$307),0))))</f>
        <v/>
      </c>
      <c r="AD1423" s="31">
        <f>IF(AND($Y1423&lt;&gt;"",N($Z1423)&gt;0,$AC1423=0),MAX($AD$7:$AD1422)+1,"")</f>
        <v/>
      </c>
      <c r="AE1423" s="31">
        <f>IF($Y1423="",0,$Y1423)</f>
        <v/>
      </c>
    </row>
    <row r="1424">
      <c r="W1424" s="31">
        <f>IF(OR($B$5="",$C$6="",ROW()&lt;$B$5),"",IF(INDEX($A:$U,ROW(),$C$6)="","",INDEX($A:$U,ROW(),$C$6)))</f>
        <v/>
      </c>
      <c r="X1424" s="32">
        <f>IF($W1424="","",IF(ISNUMBER($W1424),IF($W1424&gt;=10000000,IFERROR(DATE(INT($W1424/10000),MOD(INT($W1424/100),100),MOD($W1424,100)),""),INT($W1424)),IFERROR(DATE(--LEFT(LEFT(SUBSTITUTE(SUBSTITUTE(SUBSTITUTE(SUBSTITUTE(TRIM($W1424),"-",""),".",""),"/","")," ",""),8),4),--MID(LEFT(SUBSTITUTE(SUBSTITUTE(SUBSTITUTE(SUBSTITUTE(TRIM($W1424),"-",""),".",""),"/","")," ",""),8),5,2),--MID(LEFT(SUBSTITUTE(SUBSTITUTE(SUBSTITUTE(SUBSTITUTE(TRIM($W1424),"-",""),".",""),"/","")," ",""),8),7,2)),"")))</f>
        <v/>
      </c>
      <c r="Y1424" s="32">
        <f>IF($X1424="","",INT($X1424))</f>
        <v/>
      </c>
      <c r="Z1424" s="33">
        <f>IF(OR($Y1424="",$D$6=""),"",IF(INDEX($A:$U,ROW(),$D$6)="",0,IF(ISNUMBER(INDEX($A:$U,ROW(),$D$6)),INDEX($A:$U,ROW(),$D$6),IFERROR(--SUBSTITUTE(SUBSTITUTE(TRIM(INDEX($A:$U,ROW(),$D$6)),",",""),"원",""),0))))</f>
        <v/>
      </c>
      <c r="AA1424" s="31">
        <f>IF($Y1424="","",TRIM(INDEX($A:$U,ROW(),$E$6)&amp;IF($F$6="",""," "&amp;INDEX($A:$U,ROW(),$F$6))))</f>
        <v/>
      </c>
      <c r="AB1424" s="31">
        <f>IF($AA1424="","",SUBSTITUTE(SUBSTITUTE(SUBSTITUTE(SUBSTITUTE(SUBSTITUTE(SUBSTITUTE(SUBSTITUTE(SUBSTITUTE(SUBSTITUTE($AA1424," ",""),"　",""),"(주)",""),"（주）",""),"㈜",""),"주식회사",""),"(유)",""),"（유）",""),"유한회사",""))</f>
        <v/>
      </c>
      <c r="AC1424" s="31">
        <f>IF(OR($Y1424="",N($Z1424)&lt;=0,$AB1424=""),0,IFERROR(LOOKUP(2,1/((거래처별!$AC$8:$AC$307&lt;&gt;"")*ISNUMBER(SEARCH(거래처별!$AC$8:$AC$307,$AB1424))),거래처별!$A$8:$A$307),IFERROR(LOOKUP(2,1/((거래처별!$AD$8:$AD$307&lt;&gt;"")*ISNUMBER(SEARCH(거래처별!$AD$8:$AD$307,$AB1424))),거래처별!$A$8:$A$307),IFERROR(LOOKUP(2,1/((거래처별!$AE$8:$AE$307&lt;&gt;"")*ISNUMBER(SEARCH(거래처별!$AE$8:$AE$307,$AB1424))),거래처별!$A$8:$A$307),0))))</f>
        <v/>
      </c>
      <c r="AD1424" s="31">
        <f>IF(AND($Y1424&lt;&gt;"",N($Z1424)&gt;0,$AC1424=0),MAX($AD$7:$AD1423)+1,"")</f>
        <v/>
      </c>
      <c r="AE1424" s="31">
        <f>IF($Y1424="",0,$Y1424)</f>
        <v/>
      </c>
    </row>
    <row r="1425">
      <c r="W1425" s="31">
        <f>IF(OR($B$5="",$C$6="",ROW()&lt;$B$5),"",IF(INDEX($A:$U,ROW(),$C$6)="","",INDEX($A:$U,ROW(),$C$6)))</f>
        <v/>
      </c>
      <c r="X1425" s="32">
        <f>IF($W1425="","",IF(ISNUMBER($W1425),IF($W1425&gt;=10000000,IFERROR(DATE(INT($W1425/10000),MOD(INT($W1425/100),100),MOD($W1425,100)),""),INT($W1425)),IFERROR(DATE(--LEFT(LEFT(SUBSTITUTE(SUBSTITUTE(SUBSTITUTE(SUBSTITUTE(TRIM($W1425),"-",""),".",""),"/","")," ",""),8),4),--MID(LEFT(SUBSTITUTE(SUBSTITUTE(SUBSTITUTE(SUBSTITUTE(TRIM($W1425),"-",""),".",""),"/","")," ",""),8),5,2),--MID(LEFT(SUBSTITUTE(SUBSTITUTE(SUBSTITUTE(SUBSTITUTE(TRIM($W1425),"-",""),".",""),"/","")," ",""),8),7,2)),"")))</f>
        <v/>
      </c>
      <c r="Y1425" s="32">
        <f>IF($X1425="","",INT($X1425))</f>
        <v/>
      </c>
      <c r="Z1425" s="33">
        <f>IF(OR($Y1425="",$D$6=""),"",IF(INDEX($A:$U,ROW(),$D$6)="",0,IF(ISNUMBER(INDEX($A:$U,ROW(),$D$6)),INDEX($A:$U,ROW(),$D$6),IFERROR(--SUBSTITUTE(SUBSTITUTE(TRIM(INDEX($A:$U,ROW(),$D$6)),",",""),"원",""),0))))</f>
        <v/>
      </c>
      <c r="AA1425" s="31">
        <f>IF($Y1425="","",TRIM(INDEX($A:$U,ROW(),$E$6)&amp;IF($F$6="",""," "&amp;INDEX($A:$U,ROW(),$F$6))))</f>
        <v/>
      </c>
      <c r="AB1425" s="31">
        <f>IF($AA1425="","",SUBSTITUTE(SUBSTITUTE(SUBSTITUTE(SUBSTITUTE(SUBSTITUTE(SUBSTITUTE(SUBSTITUTE(SUBSTITUTE(SUBSTITUTE($AA1425," ",""),"　",""),"(주)",""),"（주）",""),"㈜",""),"주식회사",""),"(유)",""),"（유）",""),"유한회사",""))</f>
        <v/>
      </c>
      <c r="AC1425" s="31">
        <f>IF(OR($Y1425="",N($Z1425)&lt;=0,$AB1425=""),0,IFERROR(LOOKUP(2,1/((거래처별!$AC$8:$AC$307&lt;&gt;"")*ISNUMBER(SEARCH(거래처별!$AC$8:$AC$307,$AB1425))),거래처별!$A$8:$A$307),IFERROR(LOOKUP(2,1/((거래처별!$AD$8:$AD$307&lt;&gt;"")*ISNUMBER(SEARCH(거래처별!$AD$8:$AD$307,$AB1425))),거래처별!$A$8:$A$307),IFERROR(LOOKUP(2,1/((거래처별!$AE$8:$AE$307&lt;&gt;"")*ISNUMBER(SEARCH(거래처별!$AE$8:$AE$307,$AB1425))),거래처별!$A$8:$A$307),0))))</f>
        <v/>
      </c>
      <c r="AD1425" s="31">
        <f>IF(AND($Y1425&lt;&gt;"",N($Z1425)&gt;0,$AC1425=0),MAX($AD$7:$AD1424)+1,"")</f>
        <v/>
      </c>
      <c r="AE1425" s="31">
        <f>IF($Y1425="",0,$Y1425)</f>
        <v/>
      </c>
    </row>
    <row r="1426">
      <c r="W1426" s="31">
        <f>IF(OR($B$5="",$C$6="",ROW()&lt;$B$5),"",IF(INDEX($A:$U,ROW(),$C$6)="","",INDEX($A:$U,ROW(),$C$6)))</f>
        <v/>
      </c>
      <c r="X1426" s="32">
        <f>IF($W1426="","",IF(ISNUMBER($W1426),IF($W1426&gt;=10000000,IFERROR(DATE(INT($W1426/10000),MOD(INT($W1426/100),100),MOD($W1426,100)),""),INT($W1426)),IFERROR(DATE(--LEFT(LEFT(SUBSTITUTE(SUBSTITUTE(SUBSTITUTE(SUBSTITUTE(TRIM($W1426),"-",""),".",""),"/","")," ",""),8),4),--MID(LEFT(SUBSTITUTE(SUBSTITUTE(SUBSTITUTE(SUBSTITUTE(TRIM($W1426),"-",""),".",""),"/","")," ",""),8),5,2),--MID(LEFT(SUBSTITUTE(SUBSTITUTE(SUBSTITUTE(SUBSTITUTE(TRIM($W1426),"-",""),".",""),"/","")," ",""),8),7,2)),"")))</f>
        <v/>
      </c>
      <c r="Y1426" s="32">
        <f>IF($X1426="","",INT($X1426))</f>
        <v/>
      </c>
      <c r="Z1426" s="33">
        <f>IF(OR($Y1426="",$D$6=""),"",IF(INDEX($A:$U,ROW(),$D$6)="",0,IF(ISNUMBER(INDEX($A:$U,ROW(),$D$6)),INDEX($A:$U,ROW(),$D$6),IFERROR(--SUBSTITUTE(SUBSTITUTE(TRIM(INDEX($A:$U,ROW(),$D$6)),",",""),"원",""),0))))</f>
        <v/>
      </c>
      <c r="AA1426" s="31">
        <f>IF($Y1426="","",TRIM(INDEX($A:$U,ROW(),$E$6)&amp;IF($F$6="",""," "&amp;INDEX($A:$U,ROW(),$F$6))))</f>
        <v/>
      </c>
      <c r="AB1426" s="31">
        <f>IF($AA1426="","",SUBSTITUTE(SUBSTITUTE(SUBSTITUTE(SUBSTITUTE(SUBSTITUTE(SUBSTITUTE(SUBSTITUTE(SUBSTITUTE(SUBSTITUTE($AA1426," ",""),"　",""),"(주)",""),"（주）",""),"㈜",""),"주식회사",""),"(유)",""),"（유）",""),"유한회사",""))</f>
        <v/>
      </c>
      <c r="AC1426" s="31">
        <f>IF(OR($Y1426="",N($Z1426)&lt;=0,$AB1426=""),0,IFERROR(LOOKUP(2,1/((거래처별!$AC$8:$AC$307&lt;&gt;"")*ISNUMBER(SEARCH(거래처별!$AC$8:$AC$307,$AB1426))),거래처별!$A$8:$A$307),IFERROR(LOOKUP(2,1/((거래처별!$AD$8:$AD$307&lt;&gt;"")*ISNUMBER(SEARCH(거래처별!$AD$8:$AD$307,$AB1426))),거래처별!$A$8:$A$307),IFERROR(LOOKUP(2,1/((거래처별!$AE$8:$AE$307&lt;&gt;"")*ISNUMBER(SEARCH(거래처별!$AE$8:$AE$307,$AB1426))),거래처별!$A$8:$A$307),0))))</f>
        <v/>
      </c>
      <c r="AD1426" s="31">
        <f>IF(AND($Y1426&lt;&gt;"",N($Z1426)&gt;0,$AC1426=0),MAX($AD$7:$AD1425)+1,"")</f>
        <v/>
      </c>
      <c r="AE1426" s="31">
        <f>IF($Y1426="",0,$Y1426)</f>
        <v/>
      </c>
    </row>
    <row r="1427">
      <c r="W1427" s="31">
        <f>IF(OR($B$5="",$C$6="",ROW()&lt;$B$5),"",IF(INDEX($A:$U,ROW(),$C$6)="","",INDEX($A:$U,ROW(),$C$6)))</f>
        <v/>
      </c>
      <c r="X1427" s="32">
        <f>IF($W1427="","",IF(ISNUMBER($W1427),IF($W1427&gt;=10000000,IFERROR(DATE(INT($W1427/10000),MOD(INT($W1427/100),100),MOD($W1427,100)),""),INT($W1427)),IFERROR(DATE(--LEFT(LEFT(SUBSTITUTE(SUBSTITUTE(SUBSTITUTE(SUBSTITUTE(TRIM($W1427),"-",""),".",""),"/","")," ",""),8),4),--MID(LEFT(SUBSTITUTE(SUBSTITUTE(SUBSTITUTE(SUBSTITUTE(TRIM($W1427),"-",""),".",""),"/","")," ",""),8),5,2),--MID(LEFT(SUBSTITUTE(SUBSTITUTE(SUBSTITUTE(SUBSTITUTE(TRIM($W1427),"-",""),".",""),"/","")," ",""),8),7,2)),"")))</f>
        <v/>
      </c>
      <c r="Y1427" s="32">
        <f>IF($X1427="","",INT($X1427))</f>
        <v/>
      </c>
      <c r="Z1427" s="33">
        <f>IF(OR($Y1427="",$D$6=""),"",IF(INDEX($A:$U,ROW(),$D$6)="",0,IF(ISNUMBER(INDEX($A:$U,ROW(),$D$6)),INDEX($A:$U,ROW(),$D$6),IFERROR(--SUBSTITUTE(SUBSTITUTE(TRIM(INDEX($A:$U,ROW(),$D$6)),",",""),"원",""),0))))</f>
        <v/>
      </c>
      <c r="AA1427" s="31">
        <f>IF($Y1427="","",TRIM(INDEX($A:$U,ROW(),$E$6)&amp;IF($F$6="",""," "&amp;INDEX($A:$U,ROW(),$F$6))))</f>
        <v/>
      </c>
      <c r="AB1427" s="31">
        <f>IF($AA1427="","",SUBSTITUTE(SUBSTITUTE(SUBSTITUTE(SUBSTITUTE(SUBSTITUTE(SUBSTITUTE(SUBSTITUTE(SUBSTITUTE(SUBSTITUTE($AA1427," ",""),"　",""),"(주)",""),"（주）",""),"㈜",""),"주식회사",""),"(유)",""),"（유）",""),"유한회사",""))</f>
        <v/>
      </c>
      <c r="AC1427" s="31">
        <f>IF(OR($Y1427="",N($Z1427)&lt;=0,$AB1427=""),0,IFERROR(LOOKUP(2,1/((거래처별!$AC$8:$AC$307&lt;&gt;"")*ISNUMBER(SEARCH(거래처별!$AC$8:$AC$307,$AB1427))),거래처별!$A$8:$A$307),IFERROR(LOOKUP(2,1/((거래처별!$AD$8:$AD$307&lt;&gt;"")*ISNUMBER(SEARCH(거래처별!$AD$8:$AD$307,$AB1427))),거래처별!$A$8:$A$307),IFERROR(LOOKUP(2,1/((거래처별!$AE$8:$AE$307&lt;&gt;"")*ISNUMBER(SEARCH(거래처별!$AE$8:$AE$307,$AB1427))),거래처별!$A$8:$A$307),0))))</f>
        <v/>
      </c>
      <c r="AD1427" s="31">
        <f>IF(AND($Y1427&lt;&gt;"",N($Z1427)&gt;0,$AC1427=0),MAX($AD$7:$AD1426)+1,"")</f>
        <v/>
      </c>
      <c r="AE1427" s="31">
        <f>IF($Y1427="",0,$Y1427)</f>
        <v/>
      </c>
    </row>
    <row r="1428">
      <c r="W1428" s="31">
        <f>IF(OR($B$5="",$C$6="",ROW()&lt;$B$5),"",IF(INDEX($A:$U,ROW(),$C$6)="","",INDEX($A:$U,ROW(),$C$6)))</f>
        <v/>
      </c>
      <c r="X1428" s="32">
        <f>IF($W1428="","",IF(ISNUMBER($W1428),IF($W1428&gt;=10000000,IFERROR(DATE(INT($W1428/10000),MOD(INT($W1428/100),100),MOD($W1428,100)),""),INT($W1428)),IFERROR(DATE(--LEFT(LEFT(SUBSTITUTE(SUBSTITUTE(SUBSTITUTE(SUBSTITUTE(TRIM($W1428),"-",""),".",""),"/","")," ",""),8),4),--MID(LEFT(SUBSTITUTE(SUBSTITUTE(SUBSTITUTE(SUBSTITUTE(TRIM($W1428),"-",""),".",""),"/","")," ",""),8),5,2),--MID(LEFT(SUBSTITUTE(SUBSTITUTE(SUBSTITUTE(SUBSTITUTE(TRIM($W1428),"-",""),".",""),"/","")," ",""),8),7,2)),"")))</f>
        <v/>
      </c>
      <c r="Y1428" s="32">
        <f>IF($X1428="","",INT($X1428))</f>
        <v/>
      </c>
      <c r="Z1428" s="33">
        <f>IF(OR($Y1428="",$D$6=""),"",IF(INDEX($A:$U,ROW(),$D$6)="",0,IF(ISNUMBER(INDEX($A:$U,ROW(),$D$6)),INDEX($A:$U,ROW(),$D$6),IFERROR(--SUBSTITUTE(SUBSTITUTE(TRIM(INDEX($A:$U,ROW(),$D$6)),",",""),"원",""),0))))</f>
        <v/>
      </c>
      <c r="AA1428" s="31">
        <f>IF($Y1428="","",TRIM(INDEX($A:$U,ROW(),$E$6)&amp;IF($F$6="",""," "&amp;INDEX($A:$U,ROW(),$F$6))))</f>
        <v/>
      </c>
      <c r="AB1428" s="31">
        <f>IF($AA1428="","",SUBSTITUTE(SUBSTITUTE(SUBSTITUTE(SUBSTITUTE(SUBSTITUTE(SUBSTITUTE(SUBSTITUTE(SUBSTITUTE(SUBSTITUTE($AA1428," ",""),"　",""),"(주)",""),"（주）",""),"㈜",""),"주식회사",""),"(유)",""),"（유）",""),"유한회사",""))</f>
        <v/>
      </c>
      <c r="AC1428" s="31">
        <f>IF(OR($Y1428="",N($Z1428)&lt;=0,$AB1428=""),0,IFERROR(LOOKUP(2,1/((거래처별!$AC$8:$AC$307&lt;&gt;"")*ISNUMBER(SEARCH(거래처별!$AC$8:$AC$307,$AB1428))),거래처별!$A$8:$A$307),IFERROR(LOOKUP(2,1/((거래처별!$AD$8:$AD$307&lt;&gt;"")*ISNUMBER(SEARCH(거래처별!$AD$8:$AD$307,$AB1428))),거래처별!$A$8:$A$307),IFERROR(LOOKUP(2,1/((거래처별!$AE$8:$AE$307&lt;&gt;"")*ISNUMBER(SEARCH(거래처별!$AE$8:$AE$307,$AB1428))),거래처별!$A$8:$A$307),0))))</f>
        <v/>
      </c>
      <c r="AD1428" s="31">
        <f>IF(AND($Y1428&lt;&gt;"",N($Z1428)&gt;0,$AC1428=0),MAX($AD$7:$AD1427)+1,"")</f>
        <v/>
      </c>
      <c r="AE1428" s="31">
        <f>IF($Y1428="",0,$Y1428)</f>
        <v/>
      </c>
    </row>
    <row r="1429">
      <c r="W1429" s="31">
        <f>IF(OR($B$5="",$C$6="",ROW()&lt;$B$5),"",IF(INDEX($A:$U,ROW(),$C$6)="","",INDEX($A:$U,ROW(),$C$6)))</f>
        <v/>
      </c>
      <c r="X1429" s="32">
        <f>IF($W1429="","",IF(ISNUMBER($W1429),IF($W1429&gt;=10000000,IFERROR(DATE(INT($W1429/10000),MOD(INT($W1429/100),100),MOD($W1429,100)),""),INT($W1429)),IFERROR(DATE(--LEFT(LEFT(SUBSTITUTE(SUBSTITUTE(SUBSTITUTE(SUBSTITUTE(TRIM($W1429),"-",""),".",""),"/","")," ",""),8),4),--MID(LEFT(SUBSTITUTE(SUBSTITUTE(SUBSTITUTE(SUBSTITUTE(TRIM($W1429),"-",""),".",""),"/","")," ",""),8),5,2),--MID(LEFT(SUBSTITUTE(SUBSTITUTE(SUBSTITUTE(SUBSTITUTE(TRIM($W1429),"-",""),".",""),"/","")," ",""),8),7,2)),"")))</f>
        <v/>
      </c>
      <c r="Y1429" s="32">
        <f>IF($X1429="","",INT($X1429))</f>
        <v/>
      </c>
      <c r="Z1429" s="33">
        <f>IF(OR($Y1429="",$D$6=""),"",IF(INDEX($A:$U,ROW(),$D$6)="",0,IF(ISNUMBER(INDEX($A:$U,ROW(),$D$6)),INDEX($A:$U,ROW(),$D$6),IFERROR(--SUBSTITUTE(SUBSTITUTE(TRIM(INDEX($A:$U,ROW(),$D$6)),",",""),"원",""),0))))</f>
        <v/>
      </c>
      <c r="AA1429" s="31">
        <f>IF($Y1429="","",TRIM(INDEX($A:$U,ROW(),$E$6)&amp;IF($F$6="",""," "&amp;INDEX($A:$U,ROW(),$F$6))))</f>
        <v/>
      </c>
      <c r="AB1429" s="31">
        <f>IF($AA1429="","",SUBSTITUTE(SUBSTITUTE(SUBSTITUTE(SUBSTITUTE(SUBSTITUTE(SUBSTITUTE(SUBSTITUTE(SUBSTITUTE(SUBSTITUTE($AA1429," ",""),"　",""),"(주)",""),"（주）",""),"㈜",""),"주식회사",""),"(유)",""),"（유）",""),"유한회사",""))</f>
        <v/>
      </c>
      <c r="AC1429" s="31">
        <f>IF(OR($Y1429="",N($Z1429)&lt;=0,$AB1429=""),0,IFERROR(LOOKUP(2,1/((거래처별!$AC$8:$AC$307&lt;&gt;"")*ISNUMBER(SEARCH(거래처별!$AC$8:$AC$307,$AB1429))),거래처별!$A$8:$A$307),IFERROR(LOOKUP(2,1/((거래처별!$AD$8:$AD$307&lt;&gt;"")*ISNUMBER(SEARCH(거래처별!$AD$8:$AD$307,$AB1429))),거래처별!$A$8:$A$307),IFERROR(LOOKUP(2,1/((거래처별!$AE$8:$AE$307&lt;&gt;"")*ISNUMBER(SEARCH(거래처별!$AE$8:$AE$307,$AB1429))),거래처별!$A$8:$A$307),0))))</f>
        <v/>
      </c>
      <c r="AD1429" s="31">
        <f>IF(AND($Y1429&lt;&gt;"",N($Z1429)&gt;0,$AC1429=0),MAX($AD$7:$AD1428)+1,"")</f>
        <v/>
      </c>
      <c r="AE1429" s="31">
        <f>IF($Y1429="",0,$Y1429)</f>
        <v/>
      </c>
    </row>
    <row r="1430">
      <c r="W1430" s="31">
        <f>IF(OR($B$5="",$C$6="",ROW()&lt;$B$5),"",IF(INDEX($A:$U,ROW(),$C$6)="","",INDEX($A:$U,ROW(),$C$6)))</f>
        <v/>
      </c>
      <c r="X1430" s="32">
        <f>IF($W1430="","",IF(ISNUMBER($W1430),IF($W1430&gt;=10000000,IFERROR(DATE(INT($W1430/10000),MOD(INT($W1430/100),100),MOD($W1430,100)),""),INT($W1430)),IFERROR(DATE(--LEFT(LEFT(SUBSTITUTE(SUBSTITUTE(SUBSTITUTE(SUBSTITUTE(TRIM($W1430),"-",""),".",""),"/","")," ",""),8),4),--MID(LEFT(SUBSTITUTE(SUBSTITUTE(SUBSTITUTE(SUBSTITUTE(TRIM($W1430),"-",""),".",""),"/","")," ",""),8),5,2),--MID(LEFT(SUBSTITUTE(SUBSTITUTE(SUBSTITUTE(SUBSTITUTE(TRIM($W1430),"-",""),".",""),"/","")," ",""),8),7,2)),"")))</f>
        <v/>
      </c>
      <c r="Y1430" s="32">
        <f>IF($X1430="","",INT($X1430))</f>
        <v/>
      </c>
      <c r="Z1430" s="33">
        <f>IF(OR($Y1430="",$D$6=""),"",IF(INDEX($A:$U,ROW(),$D$6)="",0,IF(ISNUMBER(INDEX($A:$U,ROW(),$D$6)),INDEX($A:$U,ROW(),$D$6),IFERROR(--SUBSTITUTE(SUBSTITUTE(TRIM(INDEX($A:$U,ROW(),$D$6)),",",""),"원",""),0))))</f>
        <v/>
      </c>
      <c r="AA1430" s="31">
        <f>IF($Y1430="","",TRIM(INDEX($A:$U,ROW(),$E$6)&amp;IF($F$6="",""," "&amp;INDEX($A:$U,ROW(),$F$6))))</f>
        <v/>
      </c>
      <c r="AB1430" s="31">
        <f>IF($AA1430="","",SUBSTITUTE(SUBSTITUTE(SUBSTITUTE(SUBSTITUTE(SUBSTITUTE(SUBSTITUTE(SUBSTITUTE(SUBSTITUTE(SUBSTITUTE($AA1430," ",""),"　",""),"(주)",""),"（주）",""),"㈜",""),"주식회사",""),"(유)",""),"（유）",""),"유한회사",""))</f>
        <v/>
      </c>
      <c r="AC1430" s="31">
        <f>IF(OR($Y1430="",N($Z1430)&lt;=0,$AB1430=""),0,IFERROR(LOOKUP(2,1/((거래처별!$AC$8:$AC$307&lt;&gt;"")*ISNUMBER(SEARCH(거래처별!$AC$8:$AC$307,$AB1430))),거래처별!$A$8:$A$307),IFERROR(LOOKUP(2,1/((거래처별!$AD$8:$AD$307&lt;&gt;"")*ISNUMBER(SEARCH(거래처별!$AD$8:$AD$307,$AB1430))),거래처별!$A$8:$A$307),IFERROR(LOOKUP(2,1/((거래처별!$AE$8:$AE$307&lt;&gt;"")*ISNUMBER(SEARCH(거래처별!$AE$8:$AE$307,$AB1430))),거래처별!$A$8:$A$307),0))))</f>
        <v/>
      </c>
      <c r="AD1430" s="31">
        <f>IF(AND($Y1430&lt;&gt;"",N($Z1430)&gt;0,$AC1430=0),MAX($AD$7:$AD1429)+1,"")</f>
        <v/>
      </c>
      <c r="AE1430" s="31">
        <f>IF($Y1430="",0,$Y1430)</f>
        <v/>
      </c>
    </row>
    <row r="1431">
      <c r="W1431" s="31">
        <f>IF(OR($B$5="",$C$6="",ROW()&lt;$B$5),"",IF(INDEX($A:$U,ROW(),$C$6)="","",INDEX($A:$U,ROW(),$C$6)))</f>
        <v/>
      </c>
      <c r="X1431" s="32">
        <f>IF($W1431="","",IF(ISNUMBER($W1431),IF($W1431&gt;=10000000,IFERROR(DATE(INT($W1431/10000),MOD(INT($W1431/100),100),MOD($W1431,100)),""),INT($W1431)),IFERROR(DATE(--LEFT(LEFT(SUBSTITUTE(SUBSTITUTE(SUBSTITUTE(SUBSTITUTE(TRIM($W1431),"-",""),".",""),"/","")," ",""),8),4),--MID(LEFT(SUBSTITUTE(SUBSTITUTE(SUBSTITUTE(SUBSTITUTE(TRIM($W1431),"-",""),".",""),"/","")," ",""),8),5,2),--MID(LEFT(SUBSTITUTE(SUBSTITUTE(SUBSTITUTE(SUBSTITUTE(TRIM($W1431),"-",""),".",""),"/","")," ",""),8),7,2)),"")))</f>
        <v/>
      </c>
      <c r="Y1431" s="32">
        <f>IF($X1431="","",INT($X1431))</f>
        <v/>
      </c>
      <c r="Z1431" s="33">
        <f>IF(OR($Y1431="",$D$6=""),"",IF(INDEX($A:$U,ROW(),$D$6)="",0,IF(ISNUMBER(INDEX($A:$U,ROW(),$D$6)),INDEX($A:$U,ROW(),$D$6),IFERROR(--SUBSTITUTE(SUBSTITUTE(TRIM(INDEX($A:$U,ROW(),$D$6)),",",""),"원",""),0))))</f>
        <v/>
      </c>
      <c r="AA1431" s="31">
        <f>IF($Y1431="","",TRIM(INDEX($A:$U,ROW(),$E$6)&amp;IF($F$6="",""," "&amp;INDEX($A:$U,ROW(),$F$6))))</f>
        <v/>
      </c>
      <c r="AB1431" s="31">
        <f>IF($AA1431="","",SUBSTITUTE(SUBSTITUTE(SUBSTITUTE(SUBSTITUTE(SUBSTITUTE(SUBSTITUTE(SUBSTITUTE(SUBSTITUTE(SUBSTITUTE($AA1431," ",""),"　",""),"(주)",""),"（주）",""),"㈜",""),"주식회사",""),"(유)",""),"（유）",""),"유한회사",""))</f>
        <v/>
      </c>
      <c r="AC1431" s="31">
        <f>IF(OR($Y1431="",N($Z1431)&lt;=0,$AB1431=""),0,IFERROR(LOOKUP(2,1/((거래처별!$AC$8:$AC$307&lt;&gt;"")*ISNUMBER(SEARCH(거래처별!$AC$8:$AC$307,$AB1431))),거래처별!$A$8:$A$307),IFERROR(LOOKUP(2,1/((거래처별!$AD$8:$AD$307&lt;&gt;"")*ISNUMBER(SEARCH(거래처별!$AD$8:$AD$307,$AB1431))),거래처별!$A$8:$A$307),IFERROR(LOOKUP(2,1/((거래처별!$AE$8:$AE$307&lt;&gt;"")*ISNUMBER(SEARCH(거래처별!$AE$8:$AE$307,$AB1431))),거래처별!$A$8:$A$307),0))))</f>
        <v/>
      </c>
      <c r="AD1431" s="31">
        <f>IF(AND($Y1431&lt;&gt;"",N($Z1431)&gt;0,$AC1431=0),MAX($AD$7:$AD1430)+1,"")</f>
        <v/>
      </c>
      <c r="AE1431" s="31">
        <f>IF($Y1431="",0,$Y1431)</f>
        <v/>
      </c>
    </row>
    <row r="1432">
      <c r="W1432" s="31">
        <f>IF(OR($B$5="",$C$6="",ROW()&lt;$B$5),"",IF(INDEX($A:$U,ROW(),$C$6)="","",INDEX($A:$U,ROW(),$C$6)))</f>
        <v/>
      </c>
      <c r="X1432" s="32">
        <f>IF($W1432="","",IF(ISNUMBER($W1432),IF($W1432&gt;=10000000,IFERROR(DATE(INT($W1432/10000),MOD(INT($W1432/100),100),MOD($W1432,100)),""),INT($W1432)),IFERROR(DATE(--LEFT(LEFT(SUBSTITUTE(SUBSTITUTE(SUBSTITUTE(SUBSTITUTE(TRIM($W1432),"-",""),".",""),"/","")," ",""),8),4),--MID(LEFT(SUBSTITUTE(SUBSTITUTE(SUBSTITUTE(SUBSTITUTE(TRIM($W1432),"-",""),".",""),"/","")," ",""),8),5,2),--MID(LEFT(SUBSTITUTE(SUBSTITUTE(SUBSTITUTE(SUBSTITUTE(TRIM($W1432),"-",""),".",""),"/","")," ",""),8),7,2)),"")))</f>
        <v/>
      </c>
      <c r="Y1432" s="32">
        <f>IF($X1432="","",INT($X1432))</f>
        <v/>
      </c>
      <c r="Z1432" s="33">
        <f>IF(OR($Y1432="",$D$6=""),"",IF(INDEX($A:$U,ROW(),$D$6)="",0,IF(ISNUMBER(INDEX($A:$U,ROW(),$D$6)),INDEX($A:$U,ROW(),$D$6),IFERROR(--SUBSTITUTE(SUBSTITUTE(TRIM(INDEX($A:$U,ROW(),$D$6)),",",""),"원",""),0))))</f>
        <v/>
      </c>
      <c r="AA1432" s="31">
        <f>IF($Y1432="","",TRIM(INDEX($A:$U,ROW(),$E$6)&amp;IF($F$6="",""," "&amp;INDEX($A:$U,ROW(),$F$6))))</f>
        <v/>
      </c>
      <c r="AB1432" s="31">
        <f>IF($AA1432="","",SUBSTITUTE(SUBSTITUTE(SUBSTITUTE(SUBSTITUTE(SUBSTITUTE(SUBSTITUTE(SUBSTITUTE(SUBSTITUTE(SUBSTITUTE($AA1432," ",""),"　",""),"(주)",""),"（주）",""),"㈜",""),"주식회사",""),"(유)",""),"（유）",""),"유한회사",""))</f>
        <v/>
      </c>
      <c r="AC1432" s="31">
        <f>IF(OR($Y1432="",N($Z1432)&lt;=0,$AB1432=""),0,IFERROR(LOOKUP(2,1/((거래처별!$AC$8:$AC$307&lt;&gt;"")*ISNUMBER(SEARCH(거래처별!$AC$8:$AC$307,$AB1432))),거래처별!$A$8:$A$307),IFERROR(LOOKUP(2,1/((거래처별!$AD$8:$AD$307&lt;&gt;"")*ISNUMBER(SEARCH(거래처별!$AD$8:$AD$307,$AB1432))),거래처별!$A$8:$A$307),IFERROR(LOOKUP(2,1/((거래처별!$AE$8:$AE$307&lt;&gt;"")*ISNUMBER(SEARCH(거래처별!$AE$8:$AE$307,$AB1432))),거래처별!$A$8:$A$307),0))))</f>
        <v/>
      </c>
      <c r="AD1432" s="31">
        <f>IF(AND($Y1432&lt;&gt;"",N($Z1432)&gt;0,$AC1432=0),MAX($AD$7:$AD1431)+1,"")</f>
        <v/>
      </c>
      <c r="AE1432" s="31">
        <f>IF($Y1432="",0,$Y1432)</f>
        <v/>
      </c>
    </row>
    <row r="1433">
      <c r="W1433" s="31">
        <f>IF(OR($B$5="",$C$6="",ROW()&lt;$B$5),"",IF(INDEX($A:$U,ROW(),$C$6)="","",INDEX($A:$U,ROW(),$C$6)))</f>
        <v/>
      </c>
      <c r="X1433" s="32">
        <f>IF($W1433="","",IF(ISNUMBER($W1433),IF($W1433&gt;=10000000,IFERROR(DATE(INT($W1433/10000),MOD(INT($W1433/100),100),MOD($W1433,100)),""),INT($W1433)),IFERROR(DATE(--LEFT(LEFT(SUBSTITUTE(SUBSTITUTE(SUBSTITUTE(SUBSTITUTE(TRIM($W1433),"-",""),".",""),"/","")," ",""),8),4),--MID(LEFT(SUBSTITUTE(SUBSTITUTE(SUBSTITUTE(SUBSTITUTE(TRIM($W1433),"-",""),".",""),"/","")," ",""),8),5,2),--MID(LEFT(SUBSTITUTE(SUBSTITUTE(SUBSTITUTE(SUBSTITUTE(TRIM($W1433),"-",""),".",""),"/","")," ",""),8),7,2)),"")))</f>
        <v/>
      </c>
      <c r="Y1433" s="32">
        <f>IF($X1433="","",INT($X1433))</f>
        <v/>
      </c>
      <c r="Z1433" s="33">
        <f>IF(OR($Y1433="",$D$6=""),"",IF(INDEX($A:$U,ROW(),$D$6)="",0,IF(ISNUMBER(INDEX($A:$U,ROW(),$D$6)),INDEX($A:$U,ROW(),$D$6),IFERROR(--SUBSTITUTE(SUBSTITUTE(TRIM(INDEX($A:$U,ROW(),$D$6)),",",""),"원",""),0))))</f>
        <v/>
      </c>
      <c r="AA1433" s="31">
        <f>IF($Y1433="","",TRIM(INDEX($A:$U,ROW(),$E$6)&amp;IF($F$6="",""," "&amp;INDEX($A:$U,ROW(),$F$6))))</f>
        <v/>
      </c>
      <c r="AB1433" s="31">
        <f>IF($AA1433="","",SUBSTITUTE(SUBSTITUTE(SUBSTITUTE(SUBSTITUTE(SUBSTITUTE(SUBSTITUTE(SUBSTITUTE(SUBSTITUTE(SUBSTITUTE($AA1433," ",""),"　",""),"(주)",""),"（주）",""),"㈜",""),"주식회사",""),"(유)",""),"（유）",""),"유한회사",""))</f>
        <v/>
      </c>
      <c r="AC1433" s="31">
        <f>IF(OR($Y1433="",N($Z1433)&lt;=0,$AB1433=""),0,IFERROR(LOOKUP(2,1/((거래처별!$AC$8:$AC$307&lt;&gt;"")*ISNUMBER(SEARCH(거래처별!$AC$8:$AC$307,$AB1433))),거래처별!$A$8:$A$307),IFERROR(LOOKUP(2,1/((거래처별!$AD$8:$AD$307&lt;&gt;"")*ISNUMBER(SEARCH(거래처별!$AD$8:$AD$307,$AB1433))),거래처별!$A$8:$A$307),IFERROR(LOOKUP(2,1/((거래처별!$AE$8:$AE$307&lt;&gt;"")*ISNUMBER(SEARCH(거래처별!$AE$8:$AE$307,$AB1433))),거래처별!$A$8:$A$307),0))))</f>
        <v/>
      </c>
      <c r="AD1433" s="31">
        <f>IF(AND($Y1433&lt;&gt;"",N($Z1433)&gt;0,$AC1433=0),MAX($AD$7:$AD1432)+1,"")</f>
        <v/>
      </c>
      <c r="AE1433" s="31">
        <f>IF($Y1433="",0,$Y1433)</f>
        <v/>
      </c>
    </row>
    <row r="1434">
      <c r="W1434" s="31">
        <f>IF(OR($B$5="",$C$6="",ROW()&lt;$B$5),"",IF(INDEX($A:$U,ROW(),$C$6)="","",INDEX($A:$U,ROW(),$C$6)))</f>
        <v/>
      </c>
      <c r="X1434" s="32">
        <f>IF($W1434="","",IF(ISNUMBER($W1434),IF($W1434&gt;=10000000,IFERROR(DATE(INT($W1434/10000),MOD(INT($W1434/100),100),MOD($W1434,100)),""),INT($W1434)),IFERROR(DATE(--LEFT(LEFT(SUBSTITUTE(SUBSTITUTE(SUBSTITUTE(SUBSTITUTE(TRIM($W1434),"-",""),".",""),"/","")," ",""),8),4),--MID(LEFT(SUBSTITUTE(SUBSTITUTE(SUBSTITUTE(SUBSTITUTE(TRIM($W1434),"-",""),".",""),"/","")," ",""),8),5,2),--MID(LEFT(SUBSTITUTE(SUBSTITUTE(SUBSTITUTE(SUBSTITUTE(TRIM($W1434),"-",""),".",""),"/","")," ",""),8),7,2)),"")))</f>
        <v/>
      </c>
      <c r="Y1434" s="32">
        <f>IF($X1434="","",INT($X1434))</f>
        <v/>
      </c>
      <c r="Z1434" s="33">
        <f>IF(OR($Y1434="",$D$6=""),"",IF(INDEX($A:$U,ROW(),$D$6)="",0,IF(ISNUMBER(INDEX($A:$U,ROW(),$D$6)),INDEX($A:$U,ROW(),$D$6),IFERROR(--SUBSTITUTE(SUBSTITUTE(TRIM(INDEX($A:$U,ROW(),$D$6)),",",""),"원",""),0))))</f>
        <v/>
      </c>
      <c r="AA1434" s="31">
        <f>IF($Y1434="","",TRIM(INDEX($A:$U,ROW(),$E$6)&amp;IF($F$6="",""," "&amp;INDEX($A:$U,ROW(),$F$6))))</f>
        <v/>
      </c>
      <c r="AB1434" s="31">
        <f>IF($AA1434="","",SUBSTITUTE(SUBSTITUTE(SUBSTITUTE(SUBSTITUTE(SUBSTITUTE(SUBSTITUTE(SUBSTITUTE(SUBSTITUTE(SUBSTITUTE($AA1434," ",""),"　",""),"(주)",""),"（주）",""),"㈜",""),"주식회사",""),"(유)",""),"（유）",""),"유한회사",""))</f>
        <v/>
      </c>
      <c r="AC1434" s="31">
        <f>IF(OR($Y1434="",N($Z1434)&lt;=0,$AB1434=""),0,IFERROR(LOOKUP(2,1/((거래처별!$AC$8:$AC$307&lt;&gt;"")*ISNUMBER(SEARCH(거래처별!$AC$8:$AC$307,$AB1434))),거래처별!$A$8:$A$307),IFERROR(LOOKUP(2,1/((거래처별!$AD$8:$AD$307&lt;&gt;"")*ISNUMBER(SEARCH(거래처별!$AD$8:$AD$307,$AB1434))),거래처별!$A$8:$A$307),IFERROR(LOOKUP(2,1/((거래처별!$AE$8:$AE$307&lt;&gt;"")*ISNUMBER(SEARCH(거래처별!$AE$8:$AE$307,$AB1434))),거래처별!$A$8:$A$307),0))))</f>
        <v/>
      </c>
      <c r="AD1434" s="31">
        <f>IF(AND($Y1434&lt;&gt;"",N($Z1434)&gt;0,$AC1434=0),MAX($AD$7:$AD1433)+1,"")</f>
        <v/>
      </c>
      <c r="AE1434" s="31">
        <f>IF($Y1434="",0,$Y1434)</f>
        <v/>
      </c>
    </row>
    <row r="1435">
      <c r="W1435" s="31">
        <f>IF(OR($B$5="",$C$6="",ROW()&lt;$B$5),"",IF(INDEX($A:$U,ROW(),$C$6)="","",INDEX($A:$U,ROW(),$C$6)))</f>
        <v/>
      </c>
      <c r="X1435" s="32">
        <f>IF($W1435="","",IF(ISNUMBER($W1435),IF($W1435&gt;=10000000,IFERROR(DATE(INT($W1435/10000),MOD(INT($W1435/100),100),MOD($W1435,100)),""),INT($W1435)),IFERROR(DATE(--LEFT(LEFT(SUBSTITUTE(SUBSTITUTE(SUBSTITUTE(SUBSTITUTE(TRIM($W1435),"-",""),".",""),"/","")," ",""),8),4),--MID(LEFT(SUBSTITUTE(SUBSTITUTE(SUBSTITUTE(SUBSTITUTE(TRIM($W1435),"-",""),".",""),"/","")," ",""),8),5,2),--MID(LEFT(SUBSTITUTE(SUBSTITUTE(SUBSTITUTE(SUBSTITUTE(TRIM($W1435),"-",""),".",""),"/","")," ",""),8),7,2)),"")))</f>
        <v/>
      </c>
      <c r="Y1435" s="32">
        <f>IF($X1435="","",INT($X1435))</f>
        <v/>
      </c>
      <c r="Z1435" s="33">
        <f>IF(OR($Y1435="",$D$6=""),"",IF(INDEX($A:$U,ROW(),$D$6)="",0,IF(ISNUMBER(INDEX($A:$U,ROW(),$D$6)),INDEX($A:$U,ROW(),$D$6),IFERROR(--SUBSTITUTE(SUBSTITUTE(TRIM(INDEX($A:$U,ROW(),$D$6)),",",""),"원",""),0))))</f>
        <v/>
      </c>
      <c r="AA1435" s="31">
        <f>IF($Y1435="","",TRIM(INDEX($A:$U,ROW(),$E$6)&amp;IF($F$6="",""," "&amp;INDEX($A:$U,ROW(),$F$6))))</f>
        <v/>
      </c>
      <c r="AB1435" s="31">
        <f>IF($AA1435="","",SUBSTITUTE(SUBSTITUTE(SUBSTITUTE(SUBSTITUTE(SUBSTITUTE(SUBSTITUTE(SUBSTITUTE(SUBSTITUTE(SUBSTITUTE($AA1435," ",""),"　",""),"(주)",""),"（주）",""),"㈜",""),"주식회사",""),"(유)",""),"（유）",""),"유한회사",""))</f>
        <v/>
      </c>
      <c r="AC1435" s="31">
        <f>IF(OR($Y1435="",N($Z1435)&lt;=0,$AB1435=""),0,IFERROR(LOOKUP(2,1/((거래처별!$AC$8:$AC$307&lt;&gt;"")*ISNUMBER(SEARCH(거래처별!$AC$8:$AC$307,$AB1435))),거래처별!$A$8:$A$307),IFERROR(LOOKUP(2,1/((거래처별!$AD$8:$AD$307&lt;&gt;"")*ISNUMBER(SEARCH(거래처별!$AD$8:$AD$307,$AB1435))),거래처별!$A$8:$A$307),IFERROR(LOOKUP(2,1/((거래처별!$AE$8:$AE$307&lt;&gt;"")*ISNUMBER(SEARCH(거래처별!$AE$8:$AE$307,$AB1435))),거래처별!$A$8:$A$307),0))))</f>
        <v/>
      </c>
      <c r="AD1435" s="31">
        <f>IF(AND($Y1435&lt;&gt;"",N($Z1435)&gt;0,$AC1435=0),MAX($AD$7:$AD1434)+1,"")</f>
        <v/>
      </c>
      <c r="AE1435" s="31">
        <f>IF($Y1435="",0,$Y1435)</f>
        <v/>
      </c>
    </row>
    <row r="1436">
      <c r="W1436" s="31">
        <f>IF(OR($B$5="",$C$6="",ROW()&lt;$B$5),"",IF(INDEX($A:$U,ROW(),$C$6)="","",INDEX($A:$U,ROW(),$C$6)))</f>
        <v/>
      </c>
      <c r="X1436" s="32">
        <f>IF($W1436="","",IF(ISNUMBER($W1436),IF($W1436&gt;=10000000,IFERROR(DATE(INT($W1436/10000),MOD(INT($W1436/100),100),MOD($W1436,100)),""),INT($W1436)),IFERROR(DATE(--LEFT(LEFT(SUBSTITUTE(SUBSTITUTE(SUBSTITUTE(SUBSTITUTE(TRIM($W1436),"-",""),".",""),"/","")," ",""),8),4),--MID(LEFT(SUBSTITUTE(SUBSTITUTE(SUBSTITUTE(SUBSTITUTE(TRIM($W1436),"-",""),".",""),"/","")," ",""),8),5,2),--MID(LEFT(SUBSTITUTE(SUBSTITUTE(SUBSTITUTE(SUBSTITUTE(TRIM($W1436),"-",""),".",""),"/","")," ",""),8),7,2)),"")))</f>
        <v/>
      </c>
      <c r="Y1436" s="32">
        <f>IF($X1436="","",INT($X1436))</f>
        <v/>
      </c>
      <c r="Z1436" s="33">
        <f>IF(OR($Y1436="",$D$6=""),"",IF(INDEX($A:$U,ROW(),$D$6)="",0,IF(ISNUMBER(INDEX($A:$U,ROW(),$D$6)),INDEX($A:$U,ROW(),$D$6),IFERROR(--SUBSTITUTE(SUBSTITUTE(TRIM(INDEX($A:$U,ROW(),$D$6)),",",""),"원",""),0))))</f>
        <v/>
      </c>
      <c r="AA1436" s="31">
        <f>IF($Y1436="","",TRIM(INDEX($A:$U,ROW(),$E$6)&amp;IF($F$6="",""," "&amp;INDEX($A:$U,ROW(),$F$6))))</f>
        <v/>
      </c>
      <c r="AB1436" s="31">
        <f>IF($AA1436="","",SUBSTITUTE(SUBSTITUTE(SUBSTITUTE(SUBSTITUTE(SUBSTITUTE(SUBSTITUTE(SUBSTITUTE(SUBSTITUTE(SUBSTITUTE($AA1436," ",""),"　",""),"(주)",""),"（주）",""),"㈜",""),"주식회사",""),"(유)",""),"（유）",""),"유한회사",""))</f>
        <v/>
      </c>
      <c r="AC1436" s="31">
        <f>IF(OR($Y1436="",N($Z1436)&lt;=0,$AB1436=""),0,IFERROR(LOOKUP(2,1/((거래처별!$AC$8:$AC$307&lt;&gt;"")*ISNUMBER(SEARCH(거래처별!$AC$8:$AC$307,$AB1436))),거래처별!$A$8:$A$307),IFERROR(LOOKUP(2,1/((거래처별!$AD$8:$AD$307&lt;&gt;"")*ISNUMBER(SEARCH(거래처별!$AD$8:$AD$307,$AB1436))),거래처별!$A$8:$A$307),IFERROR(LOOKUP(2,1/((거래처별!$AE$8:$AE$307&lt;&gt;"")*ISNUMBER(SEARCH(거래처별!$AE$8:$AE$307,$AB1436))),거래처별!$A$8:$A$307),0))))</f>
        <v/>
      </c>
      <c r="AD1436" s="31">
        <f>IF(AND($Y1436&lt;&gt;"",N($Z1436)&gt;0,$AC1436=0),MAX($AD$7:$AD1435)+1,"")</f>
        <v/>
      </c>
      <c r="AE1436" s="31">
        <f>IF($Y1436="",0,$Y1436)</f>
        <v/>
      </c>
    </row>
    <row r="1437">
      <c r="W1437" s="31">
        <f>IF(OR($B$5="",$C$6="",ROW()&lt;$B$5),"",IF(INDEX($A:$U,ROW(),$C$6)="","",INDEX($A:$U,ROW(),$C$6)))</f>
        <v/>
      </c>
      <c r="X1437" s="32">
        <f>IF($W1437="","",IF(ISNUMBER($W1437),IF($W1437&gt;=10000000,IFERROR(DATE(INT($W1437/10000),MOD(INT($W1437/100),100),MOD($W1437,100)),""),INT($W1437)),IFERROR(DATE(--LEFT(LEFT(SUBSTITUTE(SUBSTITUTE(SUBSTITUTE(SUBSTITUTE(TRIM($W1437),"-",""),".",""),"/","")," ",""),8),4),--MID(LEFT(SUBSTITUTE(SUBSTITUTE(SUBSTITUTE(SUBSTITUTE(TRIM($W1437),"-",""),".",""),"/","")," ",""),8),5,2),--MID(LEFT(SUBSTITUTE(SUBSTITUTE(SUBSTITUTE(SUBSTITUTE(TRIM($W1437),"-",""),".",""),"/","")," ",""),8),7,2)),"")))</f>
        <v/>
      </c>
      <c r="Y1437" s="32">
        <f>IF($X1437="","",INT($X1437))</f>
        <v/>
      </c>
      <c r="Z1437" s="33">
        <f>IF(OR($Y1437="",$D$6=""),"",IF(INDEX($A:$U,ROW(),$D$6)="",0,IF(ISNUMBER(INDEX($A:$U,ROW(),$D$6)),INDEX($A:$U,ROW(),$D$6),IFERROR(--SUBSTITUTE(SUBSTITUTE(TRIM(INDEX($A:$U,ROW(),$D$6)),",",""),"원",""),0))))</f>
        <v/>
      </c>
      <c r="AA1437" s="31">
        <f>IF($Y1437="","",TRIM(INDEX($A:$U,ROW(),$E$6)&amp;IF($F$6="",""," "&amp;INDEX($A:$U,ROW(),$F$6))))</f>
        <v/>
      </c>
      <c r="AB1437" s="31">
        <f>IF($AA1437="","",SUBSTITUTE(SUBSTITUTE(SUBSTITUTE(SUBSTITUTE(SUBSTITUTE(SUBSTITUTE(SUBSTITUTE(SUBSTITUTE(SUBSTITUTE($AA1437," ",""),"　",""),"(주)",""),"（주）",""),"㈜",""),"주식회사",""),"(유)",""),"（유）",""),"유한회사",""))</f>
        <v/>
      </c>
      <c r="AC1437" s="31">
        <f>IF(OR($Y1437="",N($Z1437)&lt;=0,$AB1437=""),0,IFERROR(LOOKUP(2,1/((거래처별!$AC$8:$AC$307&lt;&gt;"")*ISNUMBER(SEARCH(거래처별!$AC$8:$AC$307,$AB1437))),거래처별!$A$8:$A$307),IFERROR(LOOKUP(2,1/((거래처별!$AD$8:$AD$307&lt;&gt;"")*ISNUMBER(SEARCH(거래처별!$AD$8:$AD$307,$AB1437))),거래처별!$A$8:$A$307),IFERROR(LOOKUP(2,1/((거래처별!$AE$8:$AE$307&lt;&gt;"")*ISNUMBER(SEARCH(거래처별!$AE$8:$AE$307,$AB1437))),거래처별!$A$8:$A$307),0))))</f>
        <v/>
      </c>
      <c r="AD1437" s="31">
        <f>IF(AND($Y1437&lt;&gt;"",N($Z1437)&gt;0,$AC1437=0),MAX($AD$7:$AD1436)+1,"")</f>
        <v/>
      </c>
      <c r="AE1437" s="31">
        <f>IF($Y1437="",0,$Y1437)</f>
        <v/>
      </c>
    </row>
    <row r="1438">
      <c r="W1438" s="31">
        <f>IF(OR($B$5="",$C$6="",ROW()&lt;$B$5),"",IF(INDEX($A:$U,ROW(),$C$6)="","",INDEX($A:$U,ROW(),$C$6)))</f>
        <v/>
      </c>
      <c r="X1438" s="32">
        <f>IF($W1438="","",IF(ISNUMBER($W1438),IF($W1438&gt;=10000000,IFERROR(DATE(INT($W1438/10000),MOD(INT($W1438/100),100),MOD($W1438,100)),""),INT($W1438)),IFERROR(DATE(--LEFT(LEFT(SUBSTITUTE(SUBSTITUTE(SUBSTITUTE(SUBSTITUTE(TRIM($W1438),"-",""),".",""),"/","")," ",""),8),4),--MID(LEFT(SUBSTITUTE(SUBSTITUTE(SUBSTITUTE(SUBSTITUTE(TRIM($W1438),"-",""),".",""),"/","")," ",""),8),5,2),--MID(LEFT(SUBSTITUTE(SUBSTITUTE(SUBSTITUTE(SUBSTITUTE(TRIM($W1438),"-",""),".",""),"/","")," ",""),8),7,2)),"")))</f>
        <v/>
      </c>
      <c r="Y1438" s="32">
        <f>IF($X1438="","",INT($X1438))</f>
        <v/>
      </c>
      <c r="Z1438" s="33">
        <f>IF(OR($Y1438="",$D$6=""),"",IF(INDEX($A:$U,ROW(),$D$6)="",0,IF(ISNUMBER(INDEX($A:$U,ROW(),$D$6)),INDEX($A:$U,ROW(),$D$6),IFERROR(--SUBSTITUTE(SUBSTITUTE(TRIM(INDEX($A:$U,ROW(),$D$6)),",",""),"원",""),0))))</f>
        <v/>
      </c>
      <c r="AA1438" s="31">
        <f>IF($Y1438="","",TRIM(INDEX($A:$U,ROW(),$E$6)&amp;IF($F$6="",""," "&amp;INDEX($A:$U,ROW(),$F$6))))</f>
        <v/>
      </c>
      <c r="AB1438" s="31">
        <f>IF($AA1438="","",SUBSTITUTE(SUBSTITUTE(SUBSTITUTE(SUBSTITUTE(SUBSTITUTE(SUBSTITUTE(SUBSTITUTE(SUBSTITUTE(SUBSTITUTE($AA1438," ",""),"　",""),"(주)",""),"（주）",""),"㈜",""),"주식회사",""),"(유)",""),"（유）",""),"유한회사",""))</f>
        <v/>
      </c>
      <c r="AC1438" s="31">
        <f>IF(OR($Y1438="",N($Z1438)&lt;=0,$AB1438=""),0,IFERROR(LOOKUP(2,1/((거래처별!$AC$8:$AC$307&lt;&gt;"")*ISNUMBER(SEARCH(거래처별!$AC$8:$AC$307,$AB1438))),거래처별!$A$8:$A$307),IFERROR(LOOKUP(2,1/((거래처별!$AD$8:$AD$307&lt;&gt;"")*ISNUMBER(SEARCH(거래처별!$AD$8:$AD$307,$AB1438))),거래처별!$A$8:$A$307),IFERROR(LOOKUP(2,1/((거래처별!$AE$8:$AE$307&lt;&gt;"")*ISNUMBER(SEARCH(거래처별!$AE$8:$AE$307,$AB1438))),거래처별!$A$8:$A$307),0))))</f>
        <v/>
      </c>
      <c r="AD1438" s="31">
        <f>IF(AND($Y1438&lt;&gt;"",N($Z1438)&gt;0,$AC1438=0),MAX($AD$7:$AD1437)+1,"")</f>
        <v/>
      </c>
      <c r="AE1438" s="31">
        <f>IF($Y1438="",0,$Y1438)</f>
        <v/>
      </c>
    </row>
    <row r="1439">
      <c r="W1439" s="31">
        <f>IF(OR($B$5="",$C$6="",ROW()&lt;$B$5),"",IF(INDEX($A:$U,ROW(),$C$6)="","",INDEX($A:$U,ROW(),$C$6)))</f>
        <v/>
      </c>
      <c r="X1439" s="32">
        <f>IF($W1439="","",IF(ISNUMBER($W1439),IF($W1439&gt;=10000000,IFERROR(DATE(INT($W1439/10000),MOD(INT($W1439/100),100),MOD($W1439,100)),""),INT($W1439)),IFERROR(DATE(--LEFT(LEFT(SUBSTITUTE(SUBSTITUTE(SUBSTITUTE(SUBSTITUTE(TRIM($W1439),"-",""),".",""),"/","")," ",""),8),4),--MID(LEFT(SUBSTITUTE(SUBSTITUTE(SUBSTITUTE(SUBSTITUTE(TRIM($W1439),"-",""),".",""),"/","")," ",""),8),5,2),--MID(LEFT(SUBSTITUTE(SUBSTITUTE(SUBSTITUTE(SUBSTITUTE(TRIM($W1439),"-",""),".",""),"/","")," ",""),8),7,2)),"")))</f>
        <v/>
      </c>
      <c r="Y1439" s="32">
        <f>IF($X1439="","",INT($X1439))</f>
        <v/>
      </c>
      <c r="Z1439" s="33">
        <f>IF(OR($Y1439="",$D$6=""),"",IF(INDEX($A:$U,ROW(),$D$6)="",0,IF(ISNUMBER(INDEX($A:$U,ROW(),$D$6)),INDEX($A:$U,ROW(),$D$6),IFERROR(--SUBSTITUTE(SUBSTITUTE(TRIM(INDEX($A:$U,ROW(),$D$6)),",",""),"원",""),0))))</f>
        <v/>
      </c>
      <c r="AA1439" s="31">
        <f>IF($Y1439="","",TRIM(INDEX($A:$U,ROW(),$E$6)&amp;IF($F$6="",""," "&amp;INDEX($A:$U,ROW(),$F$6))))</f>
        <v/>
      </c>
      <c r="AB1439" s="31">
        <f>IF($AA1439="","",SUBSTITUTE(SUBSTITUTE(SUBSTITUTE(SUBSTITUTE(SUBSTITUTE(SUBSTITUTE(SUBSTITUTE(SUBSTITUTE(SUBSTITUTE($AA1439," ",""),"　",""),"(주)",""),"（주）",""),"㈜",""),"주식회사",""),"(유)",""),"（유）",""),"유한회사",""))</f>
        <v/>
      </c>
      <c r="AC1439" s="31">
        <f>IF(OR($Y1439="",N($Z1439)&lt;=0,$AB1439=""),0,IFERROR(LOOKUP(2,1/((거래처별!$AC$8:$AC$307&lt;&gt;"")*ISNUMBER(SEARCH(거래처별!$AC$8:$AC$307,$AB1439))),거래처별!$A$8:$A$307),IFERROR(LOOKUP(2,1/((거래처별!$AD$8:$AD$307&lt;&gt;"")*ISNUMBER(SEARCH(거래처별!$AD$8:$AD$307,$AB1439))),거래처별!$A$8:$A$307),IFERROR(LOOKUP(2,1/((거래처별!$AE$8:$AE$307&lt;&gt;"")*ISNUMBER(SEARCH(거래처별!$AE$8:$AE$307,$AB1439))),거래처별!$A$8:$A$307),0))))</f>
        <v/>
      </c>
      <c r="AD1439" s="31">
        <f>IF(AND($Y1439&lt;&gt;"",N($Z1439)&gt;0,$AC1439=0),MAX($AD$7:$AD1438)+1,"")</f>
        <v/>
      </c>
      <c r="AE1439" s="31">
        <f>IF($Y1439="",0,$Y1439)</f>
        <v/>
      </c>
    </row>
    <row r="1440">
      <c r="W1440" s="31">
        <f>IF(OR($B$5="",$C$6="",ROW()&lt;$B$5),"",IF(INDEX($A:$U,ROW(),$C$6)="","",INDEX($A:$U,ROW(),$C$6)))</f>
        <v/>
      </c>
      <c r="X1440" s="32">
        <f>IF($W1440="","",IF(ISNUMBER($W1440),IF($W1440&gt;=10000000,IFERROR(DATE(INT($W1440/10000),MOD(INT($W1440/100),100),MOD($W1440,100)),""),INT($W1440)),IFERROR(DATE(--LEFT(LEFT(SUBSTITUTE(SUBSTITUTE(SUBSTITUTE(SUBSTITUTE(TRIM($W1440),"-",""),".",""),"/","")," ",""),8),4),--MID(LEFT(SUBSTITUTE(SUBSTITUTE(SUBSTITUTE(SUBSTITUTE(TRIM($W1440),"-",""),".",""),"/","")," ",""),8),5,2),--MID(LEFT(SUBSTITUTE(SUBSTITUTE(SUBSTITUTE(SUBSTITUTE(TRIM($W1440),"-",""),".",""),"/","")," ",""),8),7,2)),"")))</f>
        <v/>
      </c>
      <c r="Y1440" s="32">
        <f>IF($X1440="","",INT($X1440))</f>
        <v/>
      </c>
      <c r="Z1440" s="33">
        <f>IF(OR($Y1440="",$D$6=""),"",IF(INDEX($A:$U,ROW(),$D$6)="",0,IF(ISNUMBER(INDEX($A:$U,ROW(),$D$6)),INDEX($A:$U,ROW(),$D$6),IFERROR(--SUBSTITUTE(SUBSTITUTE(TRIM(INDEX($A:$U,ROW(),$D$6)),",",""),"원",""),0))))</f>
        <v/>
      </c>
      <c r="AA1440" s="31">
        <f>IF($Y1440="","",TRIM(INDEX($A:$U,ROW(),$E$6)&amp;IF($F$6="",""," "&amp;INDEX($A:$U,ROW(),$F$6))))</f>
        <v/>
      </c>
      <c r="AB1440" s="31">
        <f>IF($AA1440="","",SUBSTITUTE(SUBSTITUTE(SUBSTITUTE(SUBSTITUTE(SUBSTITUTE(SUBSTITUTE(SUBSTITUTE(SUBSTITUTE(SUBSTITUTE($AA1440," ",""),"　",""),"(주)",""),"（주）",""),"㈜",""),"주식회사",""),"(유)",""),"（유）",""),"유한회사",""))</f>
        <v/>
      </c>
      <c r="AC1440" s="31">
        <f>IF(OR($Y1440="",N($Z1440)&lt;=0,$AB1440=""),0,IFERROR(LOOKUP(2,1/((거래처별!$AC$8:$AC$307&lt;&gt;"")*ISNUMBER(SEARCH(거래처별!$AC$8:$AC$307,$AB1440))),거래처별!$A$8:$A$307),IFERROR(LOOKUP(2,1/((거래처별!$AD$8:$AD$307&lt;&gt;"")*ISNUMBER(SEARCH(거래처별!$AD$8:$AD$307,$AB1440))),거래처별!$A$8:$A$307),IFERROR(LOOKUP(2,1/((거래처별!$AE$8:$AE$307&lt;&gt;"")*ISNUMBER(SEARCH(거래처별!$AE$8:$AE$307,$AB1440))),거래처별!$A$8:$A$307),0))))</f>
        <v/>
      </c>
      <c r="AD1440" s="31">
        <f>IF(AND($Y1440&lt;&gt;"",N($Z1440)&gt;0,$AC1440=0),MAX($AD$7:$AD1439)+1,"")</f>
        <v/>
      </c>
      <c r="AE1440" s="31">
        <f>IF($Y1440="",0,$Y1440)</f>
        <v/>
      </c>
    </row>
    <row r="1441">
      <c r="W1441" s="31">
        <f>IF(OR($B$5="",$C$6="",ROW()&lt;$B$5),"",IF(INDEX($A:$U,ROW(),$C$6)="","",INDEX($A:$U,ROW(),$C$6)))</f>
        <v/>
      </c>
      <c r="X1441" s="32">
        <f>IF($W1441="","",IF(ISNUMBER($W1441),IF($W1441&gt;=10000000,IFERROR(DATE(INT($W1441/10000),MOD(INT($W1441/100),100),MOD($W1441,100)),""),INT($W1441)),IFERROR(DATE(--LEFT(LEFT(SUBSTITUTE(SUBSTITUTE(SUBSTITUTE(SUBSTITUTE(TRIM($W1441),"-",""),".",""),"/","")," ",""),8),4),--MID(LEFT(SUBSTITUTE(SUBSTITUTE(SUBSTITUTE(SUBSTITUTE(TRIM($W1441),"-",""),".",""),"/","")," ",""),8),5,2),--MID(LEFT(SUBSTITUTE(SUBSTITUTE(SUBSTITUTE(SUBSTITUTE(TRIM($W1441),"-",""),".",""),"/","")," ",""),8),7,2)),"")))</f>
        <v/>
      </c>
      <c r="Y1441" s="32">
        <f>IF($X1441="","",INT($X1441))</f>
        <v/>
      </c>
      <c r="Z1441" s="33">
        <f>IF(OR($Y1441="",$D$6=""),"",IF(INDEX($A:$U,ROW(),$D$6)="",0,IF(ISNUMBER(INDEX($A:$U,ROW(),$D$6)),INDEX($A:$U,ROW(),$D$6),IFERROR(--SUBSTITUTE(SUBSTITUTE(TRIM(INDEX($A:$U,ROW(),$D$6)),",",""),"원",""),0))))</f>
        <v/>
      </c>
      <c r="AA1441" s="31">
        <f>IF($Y1441="","",TRIM(INDEX($A:$U,ROW(),$E$6)&amp;IF($F$6="",""," "&amp;INDEX($A:$U,ROW(),$F$6))))</f>
        <v/>
      </c>
      <c r="AB1441" s="31">
        <f>IF($AA1441="","",SUBSTITUTE(SUBSTITUTE(SUBSTITUTE(SUBSTITUTE(SUBSTITUTE(SUBSTITUTE(SUBSTITUTE(SUBSTITUTE(SUBSTITUTE($AA1441," ",""),"　",""),"(주)",""),"（주）",""),"㈜",""),"주식회사",""),"(유)",""),"（유）",""),"유한회사",""))</f>
        <v/>
      </c>
      <c r="AC1441" s="31">
        <f>IF(OR($Y1441="",N($Z1441)&lt;=0,$AB1441=""),0,IFERROR(LOOKUP(2,1/((거래처별!$AC$8:$AC$307&lt;&gt;"")*ISNUMBER(SEARCH(거래처별!$AC$8:$AC$307,$AB1441))),거래처별!$A$8:$A$307),IFERROR(LOOKUP(2,1/((거래처별!$AD$8:$AD$307&lt;&gt;"")*ISNUMBER(SEARCH(거래처별!$AD$8:$AD$307,$AB1441))),거래처별!$A$8:$A$307),IFERROR(LOOKUP(2,1/((거래처별!$AE$8:$AE$307&lt;&gt;"")*ISNUMBER(SEARCH(거래처별!$AE$8:$AE$307,$AB1441))),거래처별!$A$8:$A$307),0))))</f>
        <v/>
      </c>
      <c r="AD1441" s="31">
        <f>IF(AND($Y1441&lt;&gt;"",N($Z1441)&gt;0,$AC1441=0),MAX($AD$7:$AD1440)+1,"")</f>
        <v/>
      </c>
      <c r="AE1441" s="31">
        <f>IF($Y1441="",0,$Y1441)</f>
        <v/>
      </c>
    </row>
    <row r="1442">
      <c r="W1442" s="31">
        <f>IF(OR($B$5="",$C$6="",ROW()&lt;$B$5),"",IF(INDEX($A:$U,ROW(),$C$6)="","",INDEX($A:$U,ROW(),$C$6)))</f>
        <v/>
      </c>
      <c r="X1442" s="32">
        <f>IF($W1442="","",IF(ISNUMBER($W1442),IF($W1442&gt;=10000000,IFERROR(DATE(INT($W1442/10000),MOD(INT($W1442/100),100),MOD($W1442,100)),""),INT($W1442)),IFERROR(DATE(--LEFT(LEFT(SUBSTITUTE(SUBSTITUTE(SUBSTITUTE(SUBSTITUTE(TRIM($W1442),"-",""),".",""),"/","")," ",""),8),4),--MID(LEFT(SUBSTITUTE(SUBSTITUTE(SUBSTITUTE(SUBSTITUTE(TRIM($W1442),"-",""),".",""),"/","")," ",""),8),5,2),--MID(LEFT(SUBSTITUTE(SUBSTITUTE(SUBSTITUTE(SUBSTITUTE(TRIM($W1442),"-",""),".",""),"/","")," ",""),8),7,2)),"")))</f>
        <v/>
      </c>
      <c r="Y1442" s="32">
        <f>IF($X1442="","",INT($X1442))</f>
        <v/>
      </c>
      <c r="Z1442" s="33">
        <f>IF(OR($Y1442="",$D$6=""),"",IF(INDEX($A:$U,ROW(),$D$6)="",0,IF(ISNUMBER(INDEX($A:$U,ROW(),$D$6)),INDEX($A:$U,ROW(),$D$6),IFERROR(--SUBSTITUTE(SUBSTITUTE(TRIM(INDEX($A:$U,ROW(),$D$6)),",",""),"원",""),0))))</f>
        <v/>
      </c>
      <c r="AA1442" s="31">
        <f>IF($Y1442="","",TRIM(INDEX($A:$U,ROW(),$E$6)&amp;IF($F$6="",""," "&amp;INDEX($A:$U,ROW(),$F$6))))</f>
        <v/>
      </c>
      <c r="AB1442" s="31">
        <f>IF($AA1442="","",SUBSTITUTE(SUBSTITUTE(SUBSTITUTE(SUBSTITUTE(SUBSTITUTE(SUBSTITUTE(SUBSTITUTE(SUBSTITUTE(SUBSTITUTE($AA1442," ",""),"　",""),"(주)",""),"（주）",""),"㈜",""),"주식회사",""),"(유)",""),"（유）",""),"유한회사",""))</f>
        <v/>
      </c>
      <c r="AC1442" s="31">
        <f>IF(OR($Y1442="",N($Z1442)&lt;=0,$AB1442=""),0,IFERROR(LOOKUP(2,1/((거래처별!$AC$8:$AC$307&lt;&gt;"")*ISNUMBER(SEARCH(거래처별!$AC$8:$AC$307,$AB1442))),거래처별!$A$8:$A$307),IFERROR(LOOKUP(2,1/((거래처별!$AD$8:$AD$307&lt;&gt;"")*ISNUMBER(SEARCH(거래처별!$AD$8:$AD$307,$AB1442))),거래처별!$A$8:$A$307),IFERROR(LOOKUP(2,1/((거래처별!$AE$8:$AE$307&lt;&gt;"")*ISNUMBER(SEARCH(거래처별!$AE$8:$AE$307,$AB1442))),거래처별!$A$8:$A$307),0))))</f>
        <v/>
      </c>
      <c r="AD1442" s="31">
        <f>IF(AND($Y1442&lt;&gt;"",N($Z1442)&gt;0,$AC1442=0),MAX($AD$7:$AD1441)+1,"")</f>
        <v/>
      </c>
      <c r="AE1442" s="31">
        <f>IF($Y1442="",0,$Y1442)</f>
        <v/>
      </c>
    </row>
    <row r="1443">
      <c r="W1443" s="31">
        <f>IF(OR($B$5="",$C$6="",ROW()&lt;$B$5),"",IF(INDEX($A:$U,ROW(),$C$6)="","",INDEX($A:$U,ROW(),$C$6)))</f>
        <v/>
      </c>
      <c r="X1443" s="32">
        <f>IF($W1443="","",IF(ISNUMBER($W1443),IF($W1443&gt;=10000000,IFERROR(DATE(INT($W1443/10000),MOD(INT($W1443/100),100),MOD($W1443,100)),""),INT($W1443)),IFERROR(DATE(--LEFT(LEFT(SUBSTITUTE(SUBSTITUTE(SUBSTITUTE(SUBSTITUTE(TRIM($W1443),"-",""),".",""),"/","")," ",""),8),4),--MID(LEFT(SUBSTITUTE(SUBSTITUTE(SUBSTITUTE(SUBSTITUTE(TRIM($W1443),"-",""),".",""),"/","")," ",""),8),5,2),--MID(LEFT(SUBSTITUTE(SUBSTITUTE(SUBSTITUTE(SUBSTITUTE(TRIM($W1443),"-",""),".",""),"/","")," ",""),8),7,2)),"")))</f>
        <v/>
      </c>
      <c r="Y1443" s="32">
        <f>IF($X1443="","",INT($X1443))</f>
        <v/>
      </c>
      <c r="Z1443" s="33">
        <f>IF(OR($Y1443="",$D$6=""),"",IF(INDEX($A:$U,ROW(),$D$6)="",0,IF(ISNUMBER(INDEX($A:$U,ROW(),$D$6)),INDEX($A:$U,ROW(),$D$6),IFERROR(--SUBSTITUTE(SUBSTITUTE(TRIM(INDEX($A:$U,ROW(),$D$6)),",",""),"원",""),0))))</f>
        <v/>
      </c>
      <c r="AA1443" s="31">
        <f>IF($Y1443="","",TRIM(INDEX($A:$U,ROW(),$E$6)&amp;IF($F$6="",""," "&amp;INDEX($A:$U,ROW(),$F$6))))</f>
        <v/>
      </c>
      <c r="AB1443" s="31">
        <f>IF($AA1443="","",SUBSTITUTE(SUBSTITUTE(SUBSTITUTE(SUBSTITUTE(SUBSTITUTE(SUBSTITUTE(SUBSTITUTE(SUBSTITUTE(SUBSTITUTE($AA1443," ",""),"　",""),"(주)",""),"（주）",""),"㈜",""),"주식회사",""),"(유)",""),"（유）",""),"유한회사",""))</f>
        <v/>
      </c>
      <c r="AC1443" s="31">
        <f>IF(OR($Y1443="",N($Z1443)&lt;=0,$AB1443=""),0,IFERROR(LOOKUP(2,1/((거래처별!$AC$8:$AC$307&lt;&gt;"")*ISNUMBER(SEARCH(거래처별!$AC$8:$AC$307,$AB1443))),거래처별!$A$8:$A$307),IFERROR(LOOKUP(2,1/((거래처별!$AD$8:$AD$307&lt;&gt;"")*ISNUMBER(SEARCH(거래처별!$AD$8:$AD$307,$AB1443))),거래처별!$A$8:$A$307),IFERROR(LOOKUP(2,1/((거래처별!$AE$8:$AE$307&lt;&gt;"")*ISNUMBER(SEARCH(거래처별!$AE$8:$AE$307,$AB1443))),거래처별!$A$8:$A$307),0))))</f>
        <v/>
      </c>
      <c r="AD1443" s="31">
        <f>IF(AND($Y1443&lt;&gt;"",N($Z1443)&gt;0,$AC1443=0),MAX($AD$7:$AD1442)+1,"")</f>
        <v/>
      </c>
      <c r="AE1443" s="31">
        <f>IF($Y1443="",0,$Y1443)</f>
        <v/>
      </c>
    </row>
    <row r="1444">
      <c r="W1444" s="31">
        <f>IF(OR($B$5="",$C$6="",ROW()&lt;$B$5),"",IF(INDEX($A:$U,ROW(),$C$6)="","",INDEX($A:$U,ROW(),$C$6)))</f>
        <v/>
      </c>
      <c r="X1444" s="32">
        <f>IF($W1444="","",IF(ISNUMBER($W1444),IF($W1444&gt;=10000000,IFERROR(DATE(INT($W1444/10000),MOD(INT($W1444/100),100),MOD($W1444,100)),""),INT($W1444)),IFERROR(DATE(--LEFT(LEFT(SUBSTITUTE(SUBSTITUTE(SUBSTITUTE(SUBSTITUTE(TRIM($W1444),"-",""),".",""),"/","")," ",""),8),4),--MID(LEFT(SUBSTITUTE(SUBSTITUTE(SUBSTITUTE(SUBSTITUTE(TRIM($W1444),"-",""),".",""),"/","")," ",""),8),5,2),--MID(LEFT(SUBSTITUTE(SUBSTITUTE(SUBSTITUTE(SUBSTITUTE(TRIM($W1444),"-",""),".",""),"/","")," ",""),8),7,2)),"")))</f>
        <v/>
      </c>
      <c r="Y1444" s="32">
        <f>IF($X1444="","",INT($X1444))</f>
        <v/>
      </c>
      <c r="Z1444" s="33">
        <f>IF(OR($Y1444="",$D$6=""),"",IF(INDEX($A:$U,ROW(),$D$6)="",0,IF(ISNUMBER(INDEX($A:$U,ROW(),$D$6)),INDEX($A:$U,ROW(),$D$6),IFERROR(--SUBSTITUTE(SUBSTITUTE(TRIM(INDEX($A:$U,ROW(),$D$6)),",",""),"원",""),0))))</f>
        <v/>
      </c>
      <c r="AA1444" s="31">
        <f>IF($Y1444="","",TRIM(INDEX($A:$U,ROW(),$E$6)&amp;IF($F$6="",""," "&amp;INDEX($A:$U,ROW(),$F$6))))</f>
        <v/>
      </c>
      <c r="AB1444" s="31">
        <f>IF($AA1444="","",SUBSTITUTE(SUBSTITUTE(SUBSTITUTE(SUBSTITUTE(SUBSTITUTE(SUBSTITUTE(SUBSTITUTE(SUBSTITUTE(SUBSTITUTE($AA1444," ",""),"　",""),"(주)",""),"（주）",""),"㈜",""),"주식회사",""),"(유)",""),"（유）",""),"유한회사",""))</f>
        <v/>
      </c>
      <c r="AC1444" s="31">
        <f>IF(OR($Y1444="",N($Z1444)&lt;=0,$AB1444=""),0,IFERROR(LOOKUP(2,1/((거래처별!$AC$8:$AC$307&lt;&gt;"")*ISNUMBER(SEARCH(거래처별!$AC$8:$AC$307,$AB1444))),거래처별!$A$8:$A$307),IFERROR(LOOKUP(2,1/((거래처별!$AD$8:$AD$307&lt;&gt;"")*ISNUMBER(SEARCH(거래처별!$AD$8:$AD$307,$AB1444))),거래처별!$A$8:$A$307),IFERROR(LOOKUP(2,1/((거래처별!$AE$8:$AE$307&lt;&gt;"")*ISNUMBER(SEARCH(거래처별!$AE$8:$AE$307,$AB1444))),거래처별!$A$8:$A$307),0))))</f>
        <v/>
      </c>
      <c r="AD1444" s="31">
        <f>IF(AND($Y1444&lt;&gt;"",N($Z1444)&gt;0,$AC1444=0),MAX($AD$7:$AD1443)+1,"")</f>
        <v/>
      </c>
      <c r="AE1444" s="31">
        <f>IF($Y1444="",0,$Y1444)</f>
        <v/>
      </c>
    </row>
    <row r="1445">
      <c r="W1445" s="31">
        <f>IF(OR($B$5="",$C$6="",ROW()&lt;$B$5),"",IF(INDEX($A:$U,ROW(),$C$6)="","",INDEX($A:$U,ROW(),$C$6)))</f>
        <v/>
      </c>
      <c r="X1445" s="32">
        <f>IF($W1445="","",IF(ISNUMBER($W1445),IF($W1445&gt;=10000000,IFERROR(DATE(INT($W1445/10000),MOD(INT($W1445/100),100),MOD($W1445,100)),""),INT($W1445)),IFERROR(DATE(--LEFT(LEFT(SUBSTITUTE(SUBSTITUTE(SUBSTITUTE(SUBSTITUTE(TRIM($W1445),"-",""),".",""),"/","")," ",""),8),4),--MID(LEFT(SUBSTITUTE(SUBSTITUTE(SUBSTITUTE(SUBSTITUTE(TRIM($W1445),"-",""),".",""),"/","")," ",""),8),5,2),--MID(LEFT(SUBSTITUTE(SUBSTITUTE(SUBSTITUTE(SUBSTITUTE(TRIM($W1445),"-",""),".",""),"/","")," ",""),8),7,2)),"")))</f>
        <v/>
      </c>
      <c r="Y1445" s="32">
        <f>IF($X1445="","",INT($X1445))</f>
        <v/>
      </c>
      <c r="Z1445" s="33">
        <f>IF(OR($Y1445="",$D$6=""),"",IF(INDEX($A:$U,ROW(),$D$6)="",0,IF(ISNUMBER(INDEX($A:$U,ROW(),$D$6)),INDEX($A:$U,ROW(),$D$6),IFERROR(--SUBSTITUTE(SUBSTITUTE(TRIM(INDEX($A:$U,ROW(),$D$6)),",",""),"원",""),0))))</f>
        <v/>
      </c>
      <c r="AA1445" s="31">
        <f>IF($Y1445="","",TRIM(INDEX($A:$U,ROW(),$E$6)&amp;IF($F$6="",""," "&amp;INDEX($A:$U,ROW(),$F$6))))</f>
        <v/>
      </c>
      <c r="AB1445" s="31">
        <f>IF($AA1445="","",SUBSTITUTE(SUBSTITUTE(SUBSTITUTE(SUBSTITUTE(SUBSTITUTE(SUBSTITUTE(SUBSTITUTE(SUBSTITUTE(SUBSTITUTE($AA1445," ",""),"　",""),"(주)",""),"（주）",""),"㈜",""),"주식회사",""),"(유)",""),"（유）",""),"유한회사",""))</f>
        <v/>
      </c>
      <c r="AC1445" s="31">
        <f>IF(OR($Y1445="",N($Z1445)&lt;=0,$AB1445=""),0,IFERROR(LOOKUP(2,1/((거래처별!$AC$8:$AC$307&lt;&gt;"")*ISNUMBER(SEARCH(거래처별!$AC$8:$AC$307,$AB1445))),거래처별!$A$8:$A$307),IFERROR(LOOKUP(2,1/((거래처별!$AD$8:$AD$307&lt;&gt;"")*ISNUMBER(SEARCH(거래처별!$AD$8:$AD$307,$AB1445))),거래처별!$A$8:$A$307),IFERROR(LOOKUP(2,1/((거래처별!$AE$8:$AE$307&lt;&gt;"")*ISNUMBER(SEARCH(거래처별!$AE$8:$AE$307,$AB1445))),거래처별!$A$8:$A$307),0))))</f>
        <v/>
      </c>
      <c r="AD1445" s="31">
        <f>IF(AND($Y1445&lt;&gt;"",N($Z1445)&gt;0,$AC1445=0),MAX($AD$7:$AD1444)+1,"")</f>
        <v/>
      </c>
      <c r="AE1445" s="31">
        <f>IF($Y1445="",0,$Y1445)</f>
        <v/>
      </c>
    </row>
    <row r="1446">
      <c r="W1446" s="31">
        <f>IF(OR($B$5="",$C$6="",ROW()&lt;$B$5),"",IF(INDEX($A:$U,ROW(),$C$6)="","",INDEX($A:$U,ROW(),$C$6)))</f>
        <v/>
      </c>
      <c r="X1446" s="32">
        <f>IF($W1446="","",IF(ISNUMBER($W1446),IF($W1446&gt;=10000000,IFERROR(DATE(INT($W1446/10000),MOD(INT($W1446/100),100),MOD($W1446,100)),""),INT($W1446)),IFERROR(DATE(--LEFT(LEFT(SUBSTITUTE(SUBSTITUTE(SUBSTITUTE(SUBSTITUTE(TRIM($W1446),"-",""),".",""),"/","")," ",""),8),4),--MID(LEFT(SUBSTITUTE(SUBSTITUTE(SUBSTITUTE(SUBSTITUTE(TRIM($W1446),"-",""),".",""),"/","")," ",""),8),5,2),--MID(LEFT(SUBSTITUTE(SUBSTITUTE(SUBSTITUTE(SUBSTITUTE(TRIM($W1446),"-",""),".",""),"/","")," ",""),8),7,2)),"")))</f>
        <v/>
      </c>
      <c r="Y1446" s="32">
        <f>IF($X1446="","",INT($X1446))</f>
        <v/>
      </c>
      <c r="Z1446" s="33">
        <f>IF(OR($Y1446="",$D$6=""),"",IF(INDEX($A:$U,ROW(),$D$6)="",0,IF(ISNUMBER(INDEX($A:$U,ROW(),$D$6)),INDEX($A:$U,ROW(),$D$6),IFERROR(--SUBSTITUTE(SUBSTITUTE(TRIM(INDEX($A:$U,ROW(),$D$6)),",",""),"원",""),0))))</f>
        <v/>
      </c>
      <c r="AA1446" s="31">
        <f>IF($Y1446="","",TRIM(INDEX($A:$U,ROW(),$E$6)&amp;IF($F$6="",""," "&amp;INDEX($A:$U,ROW(),$F$6))))</f>
        <v/>
      </c>
      <c r="AB1446" s="31">
        <f>IF($AA1446="","",SUBSTITUTE(SUBSTITUTE(SUBSTITUTE(SUBSTITUTE(SUBSTITUTE(SUBSTITUTE(SUBSTITUTE(SUBSTITUTE(SUBSTITUTE($AA1446," ",""),"　",""),"(주)",""),"（주）",""),"㈜",""),"주식회사",""),"(유)",""),"（유）",""),"유한회사",""))</f>
        <v/>
      </c>
      <c r="AC1446" s="31">
        <f>IF(OR($Y1446="",N($Z1446)&lt;=0,$AB1446=""),0,IFERROR(LOOKUP(2,1/((거래처별!$AC$8:$AC$307&lt;&gt;"")*ISNUMBER(SEARCH(거래처별!$AC$8:$AC$307,$AB1446))),거래처별!$A$8:$A$307),IFERROR(LOOKUP(2,1/((거래처별!$AD$8:$AD$307&lt;&gt;"")*ISNUMBER(SEARCH(거래처별!$AD$8:$AD$307,$AB1446))),거래처별!$A$8:$A$307),IFERROR(LOOKUP(2,1/((거래처별!$AE$8:$AE$307&lt;&gt;"")*ISNUMBER(SEARCH(거래처별!$AE$8:$AE$307,$AB1446))),거래처별!$A$8:$A$307),0))))</f>
        <v/>
      </c>
      <c r="AD1446" s="31">
        <f>IF(AND($Y1446&lt;&gt;"",N($Z1446)&gt;0,$AC1446=0),MAX($AD$7:$AD1445)+1,"")</f>
        <v/>
      </c>
      <c r="AE1446" s="31">
        <f>IF($Y1446="",0,$Y1446)</f>
        <v/>
      </c>
    </row>
    <row r="1447">
      <c r="W1447" s="31">
        <f>IF(OR($B$5="",$C$6="",ROW()&lt;$B$5),"",IF(INDEX($A:$U,ROW(),$C$6)="","",INDEX($A:$U,ROW(),$C$6)))</f>
        <v/>
      </c>
      <c r="X1447" s="32">
        <f>IF($W1447="","",IF(ISNUMBER($W1447),IF($W1447&gt;=10000000,IFERROR(DATE(INT($W1447/10000),MOD(INT($W1447/100),100),MOD($W1447,100)),""),INT($W1447)),IFERROR(DATE(--LEFT(LEFT(SUBSTITUTE(SUBSTITUTE(SUBSTITUTE(SUBSTITUTE(TRIM($W1447),"-",""),".",""),"/","")," ",""),8),4),--MID(LEFT(SUBSTITUTE(SUBSTITUTE(SUBSTITUTE(SUBSTITUTE(TRIM($W1447),"-",""),".",""),"/","")," ",""),8),5,2),--MID(LEFT(SUBSTITUTE(SUBSTITUTE(SUBSTITUTE(SUBSTITUTE(TRIM($W1447),"-",""),".",""),"/","")," ",""),8),7,2)),"")))</f>
        <v/>
      </c>
      <c r="Y1447" s="32">
        <f>IF($X1447="","",INT($X1447))</f>
        <v/>
      </c>
      <c r="Z1447" s="33">
        <f>IF(OR($Y1447="",$D$6=""),"",IF(INDEX($A:$U,ROW(),$D$6)="",0,IF(ISNUMBER(INDEX($A:$U,ROW(),$D$6)),INDEX($A:$U,ROW(),$D$6),IFERROR(--SUBSTITUTE(SUBSTITUTE(TRIM(INDEX($A:$U,ROW(),$D$6)),",",""),"원",""),0))))</f>
        <v/>
      </c>
      <c r="AA1447" s="31">
        <f>IF($Y1447="","",TRIM(INDEX($A:$U,ROW(),$E$6)&amp;IF($F$6="",""," "&amp;INDEX($A:$U,ROW(),$F$6))))</f>
        <v/>
      </c>
      <c r="AB1447" s="31">
        <f>IF($AA1447="","",SUBSTITUTE(SUBSTITUTE(SUBSTITUTE(SUBSTITUTE(SUBSTITUTE(SUBSTITUTE(SUBSTITUTE(SUBSTITUTE(SUBSTITUTE($AA1447," ",""),"　",""),"(주)",""),"（주）",""),"㈜",""),"주식회사",""),"(유)",""),"（유）",""),"유한회사",""))</f>
        <v/>
      </c>
      <c r="AC1447" s="31">
        <f>IF(OR($Y1447="",N($Z1447)&lt;=0,$AB1447=""),0,IFERROR(LOOKUP(2,1/((거래처별!$AC$8:$AC$307&lt;&gt;"")*ISNUMBER(SEARCH(거래처별!$AC$8:$AC$307,$AB1447))),거래처별!$A$8:$A$307),IFERROR(LOOKUP(2,1/((거래처별!$AD$8:$AD$307&lt;&gt;"")*ISNUMBER(SEARCH(거래처별!$AD$8:$AD$307,$AB1447))),거래처별!$A$8:$A$307),IFERROR(LOOKUP(2,1/((거래처별!$AE$8:$AE$307&lt;&gt;"")*ISNUMBER(SEARCH(거래처별!$AE$8:$AE$307,$AB1447))),거래처별!$A$8:$A$307),0))))</f>
        <v/>
      </c>
      <c r="AD1447" s="31">
        <f>IF(AND($Y1447&lt;&gt;"",N($Z1447)&gt;0,$AC1447=0),MAX($AD$7:$AD1446)+1,"")</f>
        <v/>
      </c>
      <c r="AE1447" s="31">
        <f>IF($Y1447="",0,$Y1447)</f>
        <v/>
      </c>
    </row>
    <row r="1448">
      <c r="W1448" s="31">
        <f>IF(OR($B$5="",$C$6="",ROW()&lt;$B$5),"",IF(INDEX($A:$U,ROW(),$C$6)="","",INDEX($A:$U,ROW(),$C$6)))</f>
        <v/>
      </c>
      <c r="X1448" s="32">
        <f>IF($W1448="","",IF(ISNUMBER($W1448),IF($W1448&gt;=10000000,IFERROR(DATE(INT($W1448/10000),MOD(INT($W1448/100),100),MOD($W1448,100)),""),INT($W1448)),IFERROR(DATE(--LEFT(LEFT(SUBSTITUTE(SUBSTITUTE(SUBSTITUTE(SUBSTITUTE(TRIM($W1448),"-",""),".",""),"/","")," ",""),8),4),--MID(LEFT(SUBSTITUTE(SUBSTITUTE(SUBSTITUTE(SUBSTITUTE(TRIM($W1448),"-",""),".",""),"/","")," ",""),8),5,2),--MID(LEFT(SUBSTITUTE(SUBSTITUTE(SUBSTITUTE(SUBSTITUTE(TRIM($W1448),"-",""),".",""),"/","")," ",""),8),7,2)),"")))</f>
        <v/>
      </c>
      <c r="Y1448" s="32">
        <f>IF($X1448="","",INT($X1448))</f>
        <v/>
      </c>
      <c r="Z1448" s="33">
        <f>IF(OR($Y1448="",$D$6=""),"",IF(INDEX($A:$U,ROW(),$D$6)="",0,IF(ISNUMBER(INDEX($A:$U,ROW(),$D$6)),INDEX($A:$U,ROW(),$D$6),IFERROR(--SUBSTITUTE(SUBSTITUTE(TRIM(INDEX($A:$U,ROW(),$D$6)),",",""),"원",""),0))))</f>
        <v/>
      </c>
      <c r="AA1448" s="31">
        <f>IF($Y1448="","",TRIM(INDEX($A:$U,ROW(),$E$6)&amp;IF($F$6="",""," "&amp;INDEX($A:$U,ROW(),$F$6))))</f>
        <v/>
      </c>
      <c r="AB1448" s="31">
        <f>IF($AA1448="","",SUBSTITUTE(SUBSTITUTE(SUBSTITUTE(SUBSTITUTE(SUBSTITUTE(SUBSTITUTE(SUBSTITUTE(SUBSTITUTE(SUBSTITUTE($AA1448," ",""),"　",""),"(주)",""),"（주）",""),"㈜",""),"주식회사",""),"(유)",""),"（유）",""),"유한회사",""))</f>
        <v/>
      </c>
      <c r="AC1448" s="31">
        <f>IF(OR($Y1448="",N($Z1448)&lt;=0,$AB1448=""),0,IFERROR(LOOKUP(2,1/((거래처별!$AC$8:$AC$307&lt;&gt;"")*ISNUMBER(SEARCH(거래처별!$AC$8:$AC$307,$AB1448))),거래처별!$A$8:$A$307),IFERROR(LOOKUP(2,1/((거래처별!$AD$8:$AD$307&lt;&gt;"")*ISNUMBER(SEARCH(거래처별!$AD$8:$AD$307,$AB1448))),거래처별!$A$8:$A$307),IFERROR(LOOKUP(2,1/((거래처별!$AE$8:$AE$307&lt;&gt;"")*ISNUMBER(SEARCH(거래처별!$AE$8:$AE$307,$AB1448))),거래처별!$A$8:$A$307),0))))</f>
        <v/>
      </c>
      <c r="AD1448" s="31">
        <f>IF(AND($Y1448&lt;&gt;"",N($Z1448)&gt;0,$AC1448=0),MAX($AD$7:$AD1447)+1,"")</f>
        <v/>
      </c>
      <c r="AE1448" s="31">
        <f>IF($Y1448="",0,$Y1448)</f>
        <v/>
      </c>
    </row>
    <row r="1449">
      <c r="W1449" s="31">
        <f>IF(OR($B$5="",$C$6="",ROW()&lt;$B$5),"",IF(INDEX($A:$U,ROW(),$C$6)="","",INDEX($A:$U,ROW(),$C$6)))</f>
        <v/>
      </c>
      <c r="X1449" s="32">
        <f>IF($W1449="","",IF(ISNUMBER($W1449),IF($W1449&gt;=10000000,IFERROR(DATE(INT($W1449/10000),MOD(INT($W1449/100),100),MOD($W1449,100)),""),INT($W1449)),IFERROR(DATE(--LEFT(LEFT(SUBSTITUTE(SUBSTITUTE(SUBSTITUTE(SUBSTITUTE(TRIM($W1449),"-",""),".",""),"/","")," ",""),8),4),--MID(LEFT(SUBSTITUTE(SUBSTITUTE(SUBSTITUTE(SUBSTITUTE(TRIM($W1449),"-",""),".",""),"/","")," ",""),8),5,2),--MID(LEFT(SUBSTITUTE(SUBSTITUTE(SUBSTITUTE(SUBSTITUTE(TRIM($W1449),"-",""),".",""),"/","")," ",""),8),7,2)),"")))</f>
        <v/>
      </c>
      <c r="Y1449" s="32">
        <f>IF($X1449="","",INT($X1449))</f>
        <v/>
      </c>
      <c r="Z1449" s="33">
        <f>IF(OR($Y1449="",$D$6=""),"",IF(INDEX($A:$U,ROW(),$D$6)="",0,IF(ISNUMBER(INDEX($A:$U,ROW(),$D$6)),INDEX($A:$U,ROW(),$D$6),IFERROR(--SUBSTITUTE(SUBSTITUTE(TRIM(INDEX($A:$U,ROW(),$D$6)),",",""),"원",""),0))))</f>
        <v/>
      </c>
      <c r="AA1449" s="31">
        <f>IF($Y1449="","",TRIM(INDEX($A:$U,ROW(),$E$6)&amp;IF($F$6="",""," "&amp;INDEX($A:$U,ROW(),$F$6))))</f>
        <v/>
      </c>
      <c r="AB1449" s="31">
        <f>IF($AA1449="","",SUBSTITUTE(SUBSTITUTE(SUBSTITUTE(SUBSTITUTE(SUBSTITUTE(SUBSTITUTE(SUBSTITUTE(SUBSTITUTE(SUBSTITUTE($AA1449," ",""),"　",""),"(주)",""),"（주）",""),"㈜",""),"주식회사",""),"(유)",""),"（유）",""),"유한회사",""))</f>
        <v/>
      </c>
      <c r="AC1449" s="31">
        <f>IF(OR($Y1449="",N($Z1449)&lt;=0,$AB1449=""),0,IFERROR(LOOKUP(2,1/((거래처별!$AC$8:$AC$307&lt;&gt;"")*ISNUMBER(SEARCH(거래처별!$AC$8:$AC$307,$AB1449))),거래처별!$A$8:$A$307),IFERROR(LOOKUP(2,1/((거래처별!$AD$8:$AD$307&lt;&gt;"")*ISNUMBER(SEARCH(거래처별!$AD$8:$AD$307,$AB1449))),거래처별!$A$8:$A$307),IFERROR(LOOKUP(2,1/((거래처별!$AE$8:$AE$307&lt;&gt;"")*ISNUMBER(SEARCH(거래처별!$AE$8:$AE$307,$AB1449))),거래처별!$A$8:$A$307),0))))</f>
        <v/>
      </c>
      <c r="AD1449" s="31">
        <f>IF(AND($Y1449&lt;&gt;"",N($Z1449)&gt;0,$AC1449=0),MAX($AD$7:$AD1448)+1,"")</f>
        <v/>
      </c>
      <c r="AE1449" s="31">
        <f>IF($Y1449="",0,$Y1449)</f>
        <v/>
      </c>
    </row>
    <row r="1450">
      <c r="W1450" s="31">
        <f>IF(OR($B$5="",$C$6="",ROW()&lt;$B$5),"",IF(INDEX($A:$U,ROW(),$C$6)="","",INDEX($A:$U,ROW(),$C$6)))</f>
        <v/>
      </c>
      <c r="X1450" s="32">
        <f>IF($W1450="","",IF(ISNUMBER($W1450),IF($W1450&gt;=10000000,IFERROR(DATE(INT($W1450/10000),MOD(INT($W1450/100),100),MOD($W1450,100)),""),INT($W1450)),IFERROR(DATE(--LEFT(LEFT(SUBSTITUTE(SUBSTITUTE(SUBSTITUTE(SUBSTITUTE(TRIM($W1450),"-",""),".",""),"/","")," ",""),8),4),--MID(LEFT(SUBSTITUTE(SUBSTITUTE(SUBSTITUTE(SUBSTITUTE(TRIM($W1450),"-",""),".",""),"/","")," ",""),8),5,2),--MID(LEFT(SUBSTITUTE(SUBSTITUTE(SUBSTITUTE(SUBSTITUTE(TRIM($W1450),"-",""),".",""),"/","")," ",""),8),7,2)),"")))</f>
        <v/>
      </c>
      <c r="Y1450" s="32">
        <f>IF($X1450="","",INT($X1450))</f>
        <v/>
      </c>
      <c r="Z1450" s="33">
        <f>IF(OR($Y1450="",$D$6=""),"",IF(INDEX($A:$U,ROW(),$D$6)="",0,IF(ISNUMBER(INDEX($A:$U,ROW(),$D$6)),INDEX($A:$U,ROW(),$D$6),IFERROR(--SUBSTITUTE(SUBSTITUTE(TRIM(INDEX($A:$U,ROW(),$D$6)),",",""),"원",""),0))))</f>
        <v/>
      </c>
      <c r="AA1450" s="31">
        <f>IF($Y1450="","",TRIM(INDEX($A:$U,ROW(),$E$6)&amp;IF($F$6="",""," "&amp;INDEX($A:$U,ROW(),$F$6))))</f>
        <v/>
      </c>
      <c r="AB1450" s="31">
        <f>IF($AA1450="","",SUBSTITUTE(SUBSTITUTE(SUBSTITUTE(SUBSTITUTE(SUBSTITUTE(SUBSTITUTE(SUBSTITUTE(SUBSTITUTE(SUBSTITUTE($AA1450," ",""),"　",""),"(주)",""),"（주）",""),"㈜",""),"주식회사",""),"(유)",""),"（유）",""),"유한회사",""))</f>
        <v/>
      </c>
      <c r="AC1450" s="31">
        <f>IF(OR($Y1450="",N($Z1450)&lt;=0,$AB1450=""),0,IFERROR(LOOKUP(2,1/((거래처별!$AC$8:$AC$307&lt;&gt;"")*ISNUMBER(SEARCH(거래처별!$AC$8:$AC$307,$AB1450))),거래처별!$A$8:$A$307),IFERROR(LOOKUP(2,1/((거래처별!$AD$8:$AD$307&lt;&gt;"")*ISNUMBER(SEARCH(거래처별!$AD$8:$AD$307,$AB1450))),거래처별!$A$8:$A$307),IFERROR(LOOKUP(2,1/((거래처별!$AE$8:$AE$307&lt;&gt;"")*ISNUMBER(SEARCH(거래처별!$AE$8:$AE$307,$AB1450))),거래처별!$A$8:$A$307),0))))</f>
        <v/>
      </c>
      <c r="AD1450" s="31">
        <f>IF(AND($Y1450&lt;&gt;"",N($Z1450)&gt;0,$AC1450=0),MAX($AD$7:$AD1449)+1,"")</f>
        <v/>
      </c>
      <c r="AE1450" s="31">
        <f>IF($Y1450="",0,$Y1450)</f>
        <v/>
      </c>
    </row>
    <row r="1451">
      <c r="W1451" s="31">
        <f>IF(OR($B$5="",$C$6="",ROW()&lt;$B$5),"",IF(INDEX($A:$U,ROW(),$C$6)="","",INDEX($A:$U,ROW(),$C$6)))</f>
        <v/>
      </c>
      <c r="X1451" s="32">
        <f>IF($W1451="","",IF(ISNUMBER($W1451),IF($W1451&gt;=10000000,IFERROR(DATE(INT($W1451/10000),MOD(INT($W1451/100),100),MOD($W1451,100)),""),INT($W1451)),IFERROR(DATE(--LEFT(LEFT(SUBSTITUTE(SUBSTITUTE(SUBSTITUTE(SUBSTITUTE(TRIM($W1451),"-",""),".",""),"/","")," ",""),8),4),--MID(LEFT(SUBSTITUTE(SUBSTITUTE(SUBSTITUTE(SUBSTITUTE(TRIM($W1451),"-",""),".",""),"/","")," ",""),8),5,2),--MID(LEFT(SUBSTITUTE(SUBSTITUTE(SUBSTITUTE(SUBSTITUTE(TRIM($W1451),"-",""),".",""),"/","")," ",""),8),7,2)),"")))</f>
        <v/>
      </c>
      <c r="Y1451" s="32">
        <f>IF($X1451="","",INT($X1451))</f>
        <v/>
      </c>
      <c r="Z1451" s="33">
        <f>IF(OR($Y1451="",$D$6=""),"",IF(INDEX($A:$U,ROW(),$D$6)="",0,IF(ISNUMBER(INDEX($A:$U,ROW(),$D$6)),INDEX($A:$U,ROW(),$D$6),IFERROR(--SUBSTITUTE(SUBSTITUTE(TRIM(INDEX($A:$U,ROW(),$D$6)),",",""),"원",""),0))))</f>
        <v/>
      </c>
      <c r="AA1451" s="31">
        <f>IF($Y1451="","",TRIM(INDEX($A:$U,ROW(),$E$6)&amp;IF($F$6="",""," "&amp;INDEX($A:$U,ROW(),$F$6))))</f>
        <v/>
      </c>
      <c r="AB1451" s="31">
        <f>IF($AA1451="","",SUBSTITUTE(SUBSTITUTE(SUBSTITUTE(SUBSTITUTE(SUBSTITUTE(SUBSTITUTE(SUBSTITUTE(SUBSTITUTE(SUBSTITUTE($AA1451," ",""),"　",""),"(주)",""),"（주）",""),"㈜",""),"주식회사",""),"(유)",""),"（유）",""),"유한회사",""))</f>
        <v/>
      </c>
      <c r="AC1451" s="31">
        <f>IF(OR($Y1451="",N($Z1451)&lt;=0,$AB1451=""),0,IFERROR(LOOKUP(2,1/((거래처별!$AC$8:$AC$307&lt;&gt;"")*ISNUMBER(SEARCH(거래처별!$AC$8:$AC$307,$AB1451))),거래처별!$A$8:$A$307),IFERROR(LOOKUP(2,1/((거래처별!$AD$8:$AD$307&lt;&gt;"")*ISNUMBER(SEARCH(거래처별!$AD$8:$AD$307,$AB1451))),거래처별!$A$8:$A$307),IFERROR(LOOKUP(2,1/((거래처별!$AE$8:$AE$307&lt;&gt;"")*ISNUMBER(SEARCH(거래처별!$AE$8:$AE$307,$AB1451))),거래처별!$A$8:$A$307),0))))</f>
        <v/>
      </c>
      <c r="AD1451" s="31">
        <f>IF(AND($Y1451&lt;&gt;"",N($Z1451)&gt;0,$AC1451=0),MAX($AD$7:$AD1450)+1,"")</f>
        <v/>
      </c>
      <c r="AE1451" s="31">
        <f>IF($Y1451="",0,$Y1451)</f>
        <v/>
      </c>
    </row>
    <row r="1452">
      <c r="W1452" s="31">
        <f>IF(OR($B$5="",$C$6="",ROW()&lt;$B$5),"",IF(INDEX($A:$U,ROW(),$C$6)="","",INDEX($A:$U,ROW(),$C$6)))</f>
        <v/>
      </c>
      <c r="X1452" s="32">
        <f>IF($W1452="","",IF(ISNUMBER($W1452),IF($W1452&gt;=10000000,IFERROR(DATE(INT($W1452/10000),MOD(INT($W1452/100),100),MOD($W1452,100)),""),INT($W1452)),IFERROR(DATE(--LEFT(LEFT(SUBSTITUTE(SUBSTITUTE(SUBSTITUTE(SUBSTITUTE(TRIM($W1452),"-",""),".",""),"/","")," ",""),8),4),--MID(LEFT(SUBSTITUTE(SUBSTITUTE(SUBSTITUTE(SUBSTITUTE(TRIM($W1452),"-",""),".",""),"/","")," ",""),8),5,2),--MID(LEFT(SUBSTITUTE(SUBSTITUTE(SUBSTITUTE(SUBSTITUTE(TRIM($W1452),"-",""),".",""),"/","")," ",""),8),7,2)),"")))</f>
        <v/>
      </c>
      <c r="Y1452" s="32">
        <f>IF($X1452="","",INT($X1452))</f>
        <v/>
      </c>
      <c r="Z1452" s="33">
        <f>IF(OR($Y1452="",$D$6=""),"",IF(INDEX($A:$U,ROW(),$D$6)="",0,IF(ISNUMBER(INDEX($A:$U,ROW(),$D$6)),INDEX($A:$U,ROW(),$D$6),IFERROR(--SUBSTITUTE(SUBSTITUTE(TRIM(INDEX($A:$U,ROW(),$D$6)),",",""),"원",""),0))))</f>
        <v/>
      </c>
      <c r="AA1452" s="31">
        <f>IF($Y1452="","",TRIM(INDEX($A:$U,ROW(),$E$6)&amp;IF($F$6="",""," "&amp;INDEX($A:$U,ROW(),$F$6))))</f>
        <v/>
      </c>
      <c r="AB1452" s="31">
        <f>IF($AA1452="","",SUBSTITUTE(SUBSTITUTE(SUBSTITUTE(SUBSTITUTE(SUBSTITUTE(SUBSTITUTE(SUBSTITUTE(SUBSTITUTE(SUBSTITUTE($AA1452," ",""),"　",""),"(주)",""),"（주）",""),"㈜",""),"주식회사",""),"(유)",""),"（유）",""),"유한회사",""))</f>
        <v/>
      </c>
      <c r="AC1452" s="31">
        <f>IF(OR($Y1452="",N($Z1452)&lt;=0,$AB1452=""),0,IFERROR(LOOKUP(2,1/((거래처별!$AC$8:$AC$307&lt;&gt;"")*ISNUMBER(SEARCH(거래처별!$AC$8:$AC$307,$AB1452))),거래처별!$A$8:$A$307),IFERROR(LOOKUP(2,1/((거래처별!$AD$8:$AD$307&lt;&gt;"")*ISNUMBER(SEARCH(거래처별!$AD$8:$AD$307,$AB1452))),거래처별!$A$8:$A$307),IFERROR(LOOKUP(2,1/((거래처별!$AE$8:$AE$307&lt;&gt;"")*ISNUMBER(SEARCH(거래처별!$AE$8:$AE$307,$AB1452))),거래처별!$A$8:$A$307),0))))</f>
        <v/>
      </c>
      <c r="AD1452" s="31">
        <f>IF(AND($Y1452&lt;&gt;"",N($Z1452)&gt;0,$AC1452=0),MAX($AD$7:$AD1451)+1,"")</f>
        <v/>
      </c>
      <c r="AE1452" s="31">
        <f>IF($Y1452="",0,$Y1452)</f>
        <v/>
      </c>
    </row>
    <row r="1453">
      <c r="W1453" s="31">
        <f>IF(OR($B$5="",$C$6="",ROW()&lt;$B$5),"",IF(INDEX($A:$U,ROW(),$C$6)="","",INDEX($A:$U,ROW(),$C$6)))</f>
        <v/>
      </c>
      <c r="X1453" s="32">
        <f>IF($W1453="","",IF(ISNUMBER($W1453),IF($W1453&gt;=10000000,IFERROR(DATE(INT($W1453/10000),MOD(INT($W1453/100),100),MOD($W1453,100)),""),INT($W1453)),IFERROR(DATE(--LEFT(LEFT(SUBSTITUTE(SUBSTITUTE(SUBSTITUTE(SUBSTITUTE(TRIM($W1453),"-",""),".",""),"/","")," ",""),8),4),--MID(LEFT(SUBSTITUTE(SUBSTITUTE(SUBSTITUTE(SUBSTITUTE(TRIM($W1453),"-",""),".",""),"/","")," ",""),8),5,2),--MID(LEFT(SUBSTITUTE(SUBSTITUTE(SUBSTITUTE(SUBSTITUTE(TRIM($W1453),"-",""),".",""),"/","")," ",""),8),7,2)),"")))</f>
        <v/>
      </c>
      <c r="Y1453" s="32">
        <f>IF($X1453="","",INT($X1453))</f>
        <v/>
      </c>
      <c r="Z1453" s="33">
        <f>IF(OR($Y1453="",$D$6=""),"",IF(INDEX($A:$U,ROW(),$D$6)="",0,IF(ISNUMBER(INDEX($A:$U,ROW(),$D$6)),INDEX($A:$U,ROW(),$D$6),IFERROR(--SUBSTITUTE(SUBSTITUTE(TRIM(INDEX($A:$U,ROW(),$D$6)),",",""),"원",""),0))))</f>
        <v/>
      </c>
      <c r="AA1453" s="31">
        <f>IF($Y1453="","",TRIM(INDEX($A:$U,ROW(),$E$6)&amp;IF($F$6="",""," "&amp;INDEX($A:$U,ROW(),$F$6))))</f>
        <v/>
      </c>
      <c r="AB1453" s="31">
        <f>IF($AA1453="","",SUBSTITUTE(SUBSTITUTE(SUBSTITUTE(SUBSTITUTE(SUBSTITUTE(SUBSTITUTE(SUBSTITUTE(SUBSTITUTE(SUBSTITUTE($AA1453," ",""),"　",""),"(주)",""),"（주）",""),"㈜",""),"주식회사",""),"(유)",""),"（유）",""),"유한회사",""))</f>
        <v/>
      </c>
      <c r="AC1453" s="31">
        <f>IF(OR($Y1453="",N($Z1453)&lt;=0,$AB1453=""),0,IFERROR(LOOKUP(2,1/((거래처별!$AC$8:$AC$307&lt;&gt;"")*ISNUMBER(SEARCH(거래처별!$AC$8:$AC$307,$AB1453))),거래처별!$A$8:$A$307),IFERROR(LOOKUP(2,1/((거래처별!$AD$8:$AD$307&lt;&gt;"")*ISNUMBER(SEARCH(거래처별!$AD$8:$AD$307,$AB1453))),거래처별!$A$8:$A$307),IFERROR(LOOKUP(2,1/((거래처별!$AE$8:$AE$307&lt;&gt;"")*ISNUMBER(SEARCH(거래처별!$AE$8:$AE$307,$AB1453))),거래처별!$A$8:$A$307),0))))</f>
        <v/>
      </c>
      <c r="AD1453" s="31">
        <f>IF(AND($Y1453&lt;&gt;"",N($Z1453)&gt;0,$AC1453=0),MAX($AD$7:$AD1452)+1,"")</f>
        <v/>
      </c>
      <c r="AE1453" s="31">
        <f>IF($Y1453="",0,$Y1453)</f>
        <v/>
      </c>
    </row>
    <row r="1454">
      <c r="W1454" s="31">
        <f>IF(OR($B$5="",$C$6="",ROW()&lt;$B$5),"",IF(INDEX($A:$U,ROW(),$C$6)="","",INDEX($A:$U,ROW(),$C$6)))</f>
        <v/>
      </c>
      <c r="X1454" s="32">
        <f>IF($W1454="","",IF(ISNUMBER($W1454),IF($W1454&gt;=10000000,IFERROR(DATE(INT($W1454/10000),MOD(INT($W1454/100),100),MOD($W1454,100)),""),INT($W1454)),IFERROR(DATE(--LEFT(LEFT(SUBSTITUTE(SUBSTITUTE(SUBSTITUTE(SUBSTITUTE(TRIM($W1454),"-",""),".",""),"/","")," ",""),8),4),--MID(LEFT(SUBSTITUTE(SUBSTITUTE(SUBSTITUTE(SUBSTITUTE(TRIM($W1454),"-",""),".",""),"/","")," ",""),8),5,2),--MID(LEFT(SUBSTITUTE(SUBSTITUTE(SUBSTITUTE(SUBSTITUTE(TRIM($W1454),"-",""),".",""),"/","")," ",""),8),7,2)),"")))</f>
        <v/>
      </c>
      <c r="Y1454" s="32">
        <f>IF($X1454="","",INT($X1454))</f>
        <v/>
      </c>
      <c r="Z1454" s="33">
        <f>IF(OR($Y1454="",$D$6=""),"",IF(INDEX($A:$U,ROW(),$D$6)="",0,IF(ISNUMBER(INDEX($A:$U,ROW(),$D$6)),INDEX($A:$U,ROW(),$D$6),IFERROR(--SUBSTITUTE(SUBSTITUTE(TRIM(INDEX($A:$U,ROW(),$D$6)),",",""),"원",""),0))))</f>
        <v/>
      </c>
      <c r="AA1454" s="31">
        <f>IF($Y1454="","",TRIM(INDEX($A:$U,ROW(),$E$6)&amp;IF($F$6="",""," "&amp;INDEX($A:$U,ROW(),$F$6))))</f>
        <v/>
      </c>
      <c r="AB1454" s="31">
        <f>IF($AA1454="","",SUBSTITUTE(SUBSTITUTE(SUBSTITUTE(SUBSTITUTE(SUBSTITUTE(SUBSTITUTE(SUBSTITUTE(SUBSTITUTE(SUBSTITUTE($AA1454," ",""),"　",""),"(주)",""),"（주）",""),"㈜",""),"주식회사",""),"(유)",""),"（유）",""),"유한회사",""))</f>
        <v/>
      </c>
      <c r="AC1454" s="31">
        <f>IF(OR($Y1454="",N($Z1454)&lt;=0,$AB1454=""),0,IFERROR(LOOKUP(2,1/((거래처별!$AC$8:$AC$307&lt;&gt;"")*ISNUMBER(SEARCH(거래처별!$AC$8:$AC$307,$AB1454))),거래처별!$A$8:$A$307),IFERROR(LOOKUP(2,1/((거래처별!$AD$8:$AD$307&lt;&gt;"")*ISNUMBER(SEARCH(거래처별!$AD$8:$AD$307,$AB1454))),거래처별!$A$8:$A$307),IFERROR(LOOKUP(2,1/((거래처별!$AE$8:$AE$307&lt;&gt;"")*ISNUMBER(SEARCH(거래처별!$AE$8:$AE$307,$AB1454))),거래처별!$A$8:$A$307),0))))</f>
        <v/>
      </c>
      <c r="AD1454" s="31">
        <f>IF(AND($Y1454&lt;&gt;"",N($Z1454)&gt;0,$AC1454=0),MAX($AD$7:$AD1453)+1,"")</f>
        <v/>
      </c>
      <c r="AE1454" s="31">
        <f>IF($Y1454="",0,$Y1454)</f>
        <v/>
      </c>
    </row>
    <row r="1455">
      <c r="W1455" s="31">
        <f>IF(OR($B$5="",$C$6="",ROW()&lt;$B$5),"",IF(INDEX($A:$U,ROW(),$C$6)="","",INDEX($A:$U,ROW(),$C$6)))</f>
        <v/>
      </c>
      <c r="X1455" s="32">
        <f>IF($W1455="","",IF(ISNUMBER($W1455),IF($W1455&gt;=10000000,IFERROR(DATE(INT($W1455/10000),MOD(INT($W1455/100),100),MOD($W1455,100)),""),INT($W1455)),IFERROR(DATE(--LEFT(LEFT(SUBSTITUTE(SUBSTITUTE(SUBSTITUTE(SUBSTITUTE(TRIM($W1455),"-",""),".",""),"/","")," ",""),8),4),--MID(LEFT(SUBSTITUTE(SUBSTITUTE(SUBSTITUTE(SUBSTITUTE(TRIM($W1455),"-",""),".",""),"/","")," ",""),8),5,2),--MID(LEFT(SUBSTITUTE(SUBSTITUTE(SUBSTITUTE(SUBSTITUTE(TRIM($W1455),"-",""),".",""),"/","")," ",""),8),7,2)),"")))</f>
        <v/>
      </c>
      <c r="Y1455" s="32">
        <f>IF($X1455="","",INT($X1455))</f>
        <v/>
      </c>
      <c r="Z1455" s="33">
        <f>IF(OR($Y1455="",$D$6=""),"",IF(INDEX($A:$U,ROW(),$D$6)="",0,IF(ISNUMBER(INDEX($A:$U,ROW(),$D$6)),INDEX($A:$U,ROW(),$D$6),IFERROR(--SUBSTITUTE(SUBSTITUTE(TRIM(INDEX($A:$U,ROW(),$D$6)),",",""),"원",""),0))))</f>
        <v/>
      </c>
      <c r="AA1455" s="31">
        <f>IF($Y1455="","",TRIM(INDEX($A:$U,ROW(),$E$6)&amp;IF($F$6="",""," "&amp;INDEX($A:$U,ROW(),$F$6))))</f>
        <v/>
      </c>
      <c r="AB1455" s="31">
        <f>IF($AA1455="","",SUBSTITUTE(SUBSTITUTE(SUBSTITUTE(SUBSTITUTE(SUBSTITUTE(SUBSTITUTE(SUBSTITUTE(SUBSTITUTE(SUBSTITUTE($AA1455," ",""),"　",""),"(주)",""),"（주）",""),"㈜",""),"주식회사",""),"(유)",""),"（유）",""),"유한회사",""))</f>
        <v/>
      </c>
      <c r="AC1455" s="31">
        <f>IF(OR($Y1455="",N($Z1455)&lt;=0,$AB1455=""),0,IFERROR(LOOKUP(2,1/((거래처별!$AC$8:$AC$307&lt;&gt;"")*ISNUMBER(SEARCH(거래처별!$AC$8:$AC$307,$AB1455))),거래처별!$A$8:$A$307),IFERROR(LOOKUP(2,1/((거래처별!$AD$8:$AD$307&lt;&gt;"")*ISNUMBER(SEARCH(거래처별!$AD$8:$AD$307,$AB1455))),거래처별!$A$8:$A$307),IFERROR(LOOKUP(2,1/((거래처별!$AE$8:$AE$307&lt;&gt;"")*ISNUMBER(SEARCH(거래처별!$AE$8:$AE$307,$AB1455))),거래처별!$A$8:$A$307),0))))</f>
        <v/>
      </c>
      <c r="AD1455" s="31">
        <f>IF(AND($Y1455&lt;&gt;"",N($Z1455)&gt;0,$AC1455=0),MAX($AD$7:$AD1454)+1,"")</f>
        <v/>
      </c>
      <c r="AE1455" s="31">
        <f>IF($Y1455="",0,$Y1455)</f>
        <v/>
      </c>
    </row>
    <row r="1456">
      <c r="W1456" s="31">
        <f>IF(OR($B$5="",$C$6="",ROW()&lt;$B$5),"",IF(INDEX($A:$U,ROW(),$C$6)="","",INDEX($A:$U,ROW(),$C$6)))</f>
        <v/>
      </c>
      <c r="X1456" s="32">
        <f>IF($W1456="","",IF(ISNUMBER($W1456),IF($W1456&gt;=10000000,IFERROR(DATE(INT($W1456/10000),MOD(INT($W1456/100),100),MOD($W1456,100)),""),INT($W1456)),IFERROR(DATE(--LEFT(LEFT(SUBSTITUTE(SUBSTITUTE(SUBSTITUTE(SUBSTITUTE(TRIM($W1456),"-",""),".",""),"/","")," ",""),8),4),--MID(LEFT(SUBSTITUTE(SUBSTITUTE(SUBSTITUTE(SUBSTITUTE(TRIM($W1456),"-",""),".",""),"/","")," ",""),8),5,2),--MID(LEFT(SUBSTITUTE(SUBSTITUTE(SUBSTITUTE(SUBSTITUTE(TRIM($W1456),"-",""),".",""),"/","")," ",""),8),7,2)),"")))</f>
        <v/>
      </c>
      <c r="Y1456" s="32">
        <f>IF($X1456="","",INT($X1456))</f>
        <v/>
      </c>
      <c r="Z1456" s="33">
        <f>IF(OR($Y1456="",$D$6=""),"",IF(INDEX($A:$U,ROW(),$D$6)="",0,IF(ISNUMBER(INDEX($A:$U,ROW(),$D$6)),INDEX($A:$U,ROW(),$D$6),IFERROR(--SUBSTITUTE(SUBSTITUTE(TRIM(INDEX($A:$U,ROW(),$D$6)),",",""),"원",""),0))))</f>
        <v/>
      </c>
      <c r="AA1456" s="31">
        <f>IF($Y1456="","",TRIM(INDEX($A:$U,ROW(),$E$6)&amp;IF($F$6="",""," "&amp;INDEX($A:$U,ROW(),$F$6))))</f>
        <v/>
      </c>
      <c r="AB1456" s="31">
        <f>IF($AA1456="","",SUBSTITUTE(SUBSTITUTE(SUBSTITUTE(SUBSTITUTE(SUBSTITUTE(SUBSTITUTE(SUBSTITUTE(SUBSTITUTE(SUBSTITUTE($AA1456," ",""),"　",""),"(주)",""),"（주）",""),"㈜",""),"주식회사",""),"(유)",""),"（유）",""),"유한회사",""))</f>
        <v/>
      </c>
      <c r="AC1456" s="31">
        <f>IF(OR($Y1456="",N($Z1456)&lt;=0,$AB1456=""),0,IFERROR(LOOKUP(2,1/((거래처별!$AC$8:$AC$307&lt;&gt;"")*ISNUMBER(SEARCH(거래처별!$AC$8:$AC$307,$AB1456))),거래처별!$A$8:$A$307),IFERROR(LOOKUP(2,1/((거래처별!$AD$8:$AD$307&lt;&gt;"")*ISNUMBER(SEARCH(거래처별!$AD$8:$AD$307,$AB1456))),거래처별!$A$8:$A$307),IFERROR(LOOKUP(2,1/((거래처별!$AE$8:$AE$307&lt;&gt;"")*ISNUMBER(SEARCH(거래처별!$AE$8:$AE$307,$AB1456))),거래처별!$A$8:$A$307),0))))</f>
        <v/>
      </c>
      <c r="AD1456" s="31">
        <f>IF(AND($Y1456&lt;&gt;"",N($Z1456)&gt;0,$AC1456=0),MAX($AD$7:$AD1455)+1,"")</f>
        <v/>
      </c>
      <c r="AE1456" s="31">
        <f>IF($Y1456="",0,$Y1456)</f>
        <v/>
      </c>
    </row>
    <row r="1457">
      <c r="W1457" s="31">
        <f>IF(OR($B$5="",$C$6="",ROW()&lt;$B$5),"",IF(INDEX($A:$U,ROW(),$C$6)="","",INDEX($A:$U,ROW(),$C$6)))</f>
        <v/>
      </c>
      <c r="X1457" s="32">
        <f>IF($W1457="","",IF(ISNUMBER($W1457),IF($W1457&gt;=10000000,IFERROR(DATE(INT($W1457/10000),MOD(INT($W1457/100),100),MOD($W1457,100)),""),INT($W1457)),IFERROR(DATE(--LEFT(LEFT(SUBSTITUTE(SUBSTITUTE(SUBSTITUTE(SUBSTITUTE(TRIM($W1457),"-",""),".",""),"/","")," ",""),8),4),--MID(LEFT(SUBSTITUTE(SUBSTITUTE(SUBSTITUTE(SUBSTITUTE(TRIM($W1457),"-",""),".",""),"/","")," ",""),8),5,2),--MID(LEFT(SUBSTITUTE(SUBSTITUTE(SUBSTITUTE(SUBSTITUTE(TRIM($W1457),"-",""),".",""),"/","")," ",""),8),7,2)),"")))</f>
        <v/>
      </c>
      <c r="Y1457" s="32">
        <f>IF($X1457="","",INT($X1457))</f>
        <v/>
      </c>
      <c r="Z1457" s="33">
        <f>IF(OR($Y1457="",$D$6=""),"",IF(INDEX($A:$U,ROW(),$D$6)="",0,IF(ISNUMBER(INDEX($A:$U,ROW(),$D$6)),INDEX($A:$U,ROW(),$D$6),IFERROR(--SUBSTITUTE(SUBSTITUTE(TRIM(INDEX($A:$U,ROW(),$D$6)),",",""),"원",""),0))))</f>
        <v/>
      </c>
      <c r="AA1457" s="31">
        <f>IF($Y1457="","",TRIM(INDEX($A:$U,ROW(),$E$6)&amp;IF($F$6="",""," "&amp;INDEX($A:$U,ROW(),$F$6))))</f>
        <v/>
      </c>
      <c r="AB1457" s="31">
        <f>IF($AA1457="","",SUBSTITUTE(SUBSTITUTE(SUBSTITUTE(SUBSTITUTE(SUBSTITUTE(SUBSTITUTE(SUBSTITUTE(SUBSTITUTE(SUBSTITUTE($AA1457," ",""),"　",""),"(주)",""),"（주）",""),"㈜",""),"주식회사",""),"(유)",""),"（유）",""),"유한회사",""))</f>
        <v/>
      </c>
      <c r="AC1457" s="31">
        <f>IF(OR($Y1457="",N($Z1457)&lt;=0,$AB1457=""),0,IFERROR(LOOKUP(2,1/((거래처별!$AC$8:$AC$307&lt;&gt;"")*ISNUMBER(SEARCH(거래처별!$AC$8:$AC$307,$AB1457))),거래처별!$A$8:$A$307),IFERROR(LOOKUP(2,1/((거래처별!$AD$8:$AD$307&lt;&gt;"")*ISNUMBER(SEARCH(거래처별!$AD$8:$AD$307,$AB1457))),거래처별!$A$8:$A$307),IFERROR(LOOKUP(2,1/((거래처별!$AE$8:$AE$307&lt;&gt;"")*ISNUMBER(SEARCH(거래처별!$AE$8:$AE$307,$AB1457))),거래처별!$A$8:$A$307),0))))</f>
        <v/>
      </c>
      <c r="AD1457" s="31">
        <f>IF(AND($Y1457&lt;&gt;"",N($Z1457)&gt;0,$AC1457=0),MAX($AD$7:$AD1456)+1,"")</f>
        <v/>
      </c>
      <c r="AE1457" s="31">
        <f>IF($Y1457="",0,$Y1457)</f>
        <v/>
      </c>
    </row>
    <row r="1458">
      <c r="W1458" s="31">
        <f>IF(OR($B$5="",$C$6="",ROW()&lt;$B$5),"",IF(INDEX($A:$U,ROW(),$C$6)="","",INDEX($A:$U,ROW(),$C$6)))</f>
        <v/>
      </c>
      <c r="X1458" s="32">
        <f>IF($W1458="","",IF(ISNUMBER($W1458),IF($W1458&gt;=10000000,IFERROR(DATE(INT($W1458/10000),MOD(INT($W1458/100),100),MOD($W1458,100)),""),INT($W1458)),IFERROR(DATE(--LEFT(LEFT(SUBSTITUTE(SUBSTITUTE(SUBSTITUTE(SUBSTITUTE(TRIM($W1458),"-",""),".",""),"/","")," ",""),8),4),--MID(LEFT(SUBSTITUTE(SUBSTITUTE(SUBSTITUTE(SUBSTITUTE(TRIM($W1458),"-",""),".",""),"/","")," ",""),8),5,2),--MID(LEFT(SUBSTITUTE(SUBSTITUTE(SUBSTITUTE(SUBSTITUTE(TRIM($W1458),"-",""),".",""),"/","")," ",""),8),7,2)),"")))</f>
        <v/>
      </c>
      <c r="Y1458" s="32">
        <f>IF($X1458="","",INT($X1458))</f>
        <v/>
      </c>
      <c r="Z1458" s="33">
        <f>IF(OR($Y1458="",$D$6=""),"",IF(INDEX($A:$U,ROW(),$D$6)="",0,IF(ISNUMBER(INDEX($A:$U,ROW(),$D$6)),INDEX($A:$U,ROW(),$D$6),IFERROR(--SUBSTITUTE(SUBSTITUTE(TRIM(INDEX($A:$U,ROW(),$D$6)),",",""),"원",""),0))))</f>
        <v/>
      </c>
      <c r="AA1458" s="31">
        <f>IF($Y1458="","",TRIM(INDEX($A:$U,ROW(),$E$6)&amp;IF($F$6="",""," "&amp;INDEX($A:$U,ROW(),$F$6))))</f>
        <v/>
      </c>
      <c r="AB1458" s="31">
        <f>IF($AA1458="","",SUBSTITUTE(SUBSTITUTE(SUBSTITUTE(SUBSTITUTE(SUBSTITUTE(SUBSTITUTE(SUBSTITUTE(SUBSTITUTE(SUBSTITUTE($AA1458," ",""),"　",""),"(주)",""),"（주）",""),"㈜",""),"주식회사",""),"(유)",""),"（유）",""),"유한회사",""))</f>
        <v/>
      </c>
      <c r="AC1458" s="31">
        <f>IF(OR($Y1458="",N($Z1458)&lt;=0,$AB1458=""),0,IFERROR(LOOKUP(2,1/((거래처별!$AC$8:$AC$307&lt;&gt;"")*ISNUMBER(SEARCH(거래처별!$AC$8:$AC$307,$AB1458))),거래처별!$A$8:$A$307),IFERROR(LOOKUP(2,1/((거래처별!$AD$8:$AD$307&lt;&gt;"")*ISNUMBER(SEARCH(거래처별!$AD$8:$AD$307,$AB1458))),거래처별!$A$8:$A$307),IFERROR(LOOKUP(2,1/((거래처별!$AE$8:$AE$307&lt;&gt;"")*ISNUMBER(SEARCH(거래처별!$AE$8:$AE$307,$AB1458))),거래처별!$A$8:$A$307),0))))</f>
        <v/>
      </c>
      <c r="AD1458" s="31">
        <f>IF(AND($Y1458&lt;&gt;"",N($Z1458)&gt;0,$AC1458=0),MAX($AD$7:$AD1457)+1,"")</f>
        <v/>
      </c>
      <c r="AE1458" s="31">
        <f>IF($Y1458="",0,$Y1458)</f>
        <v/>
      </c>
    </row>
    <row r="1459">
      <c r="W1459" s="31">
        <f>IF(OR($B$5="",$C$6="",ROW()&lt;$B$5),"",IF(INDEX($A:$U,ROW(),$C$6)="","",INDEX($A:$U,ROW(),$C$6)))</f>
        <v/>
      </c>
      <c r="X1459" s="32">
        <f>IF($W1459="","",IF(ISNUMBER($W1459),IF($W1459&gt;=10000000,IFERROR(DATE(INT($W1459/10000),MOD(INT($W1459/100),100),MOD($W1459,100)),""),INT($W1459)),IFERROR(DATE(--LEFT(LEFT(SUBSTITUTE(SUBSTITUTE(SUBSTITUTE(SUBSTITUTE(TRIM($W1459),"-",""),".",""),"/","")," ",""),8),4),--MID(LEFT(SUBSTITUTE(SUBSTITUTE(SUBSTITUTE(SUBSTITUTE(TRIM($W1459),"-",""),".",""),"/","")," ",""),8),5,2),--MID(LEFT(SUBSTITUTE(SUBSTITUTE(SUBSTITUTE(SUBSTITUTE(TRIM($W1459),"-",""),".",""),"/","")," ",""),8),7,2)),"")))</f>
        <v/>
      </c>
      <c r="Y1459" s="32">
        <f>IF($X1459="","",INT($X1459))</f>
        <v/>
      </c>
      <c r="Z1459" s="33">
        <f>IF(OR($Y1459="",$D$6=""),"",IF(INDEX($A:$U,ROW(),$D$6)="",0,IF(ISNUMBER(INDEX($A:$U,ROW(),$D$6)),INDEX($A:$U,ROW(),$D$6),IFERROR(--SUBSTITUTE(SUBSTITUTE(TRIM(INDEX($A:$U,ROW(),$D$6)),",",""),"원",""),0))))</f>
        <v/>
      </c>
      <c r="AA1459" s="31">
        <f>IF($Y1459="","",TRIM(INDEX($A:$U,ROW(),$E$6)&amp;IF($F$6="",""," "&amp;INDEX($A:$U,ROW(),$F$6))))</f>
        <v/>
      </c>
      <c r="AB1459" s="31">
        <f>IF($AA1459="","",SUBSTITUTE(SUBSTITUTE(SUBSTITUTE(SUBSTITUTE(SUBSTITUTE(SUBSTITUTE(SUBSTITUTE(SUBSTITUTE(SUBSTITUTE($AA1459," ",""),"　",""),"(주)",""),"（주）",""),"㈜",""),"주식회사",""),"(유)",""),"（유）",""),"유한회사",""))</f>
        <v/>
      </c>
      <c r="AC1459" s="31">
        <f>IF(OR($Y1459="",N($Z1459)&lt;=0,$AB1459=""),0,IFERROR(LOOKUP(2,1/((거래처별!$AC$8:$AC$307&lt;&gt;"")*ISNUMBER(SEARCH(거래처별!$AC$8:$AC$307,$AB1459))),거래처별!$A$8:$A$307),IFERROR(LOOKUP(2,1/((거래처별!$AD$8:$AD$307&lt;&gt;"")*ISNUMBER(SEARCH(거래처별!$AD$8:$AD$307,$AB1459))),거래처별!$A$8:$A$307),IFERROR(LOOKUP(2,1/((거래처별!$AE$8:$AE$307&lt;&gt;"")*ISNUMBER(SEARCH(거래처별!$AE$8:$AE$307,$AB1459))),거래처별!$A$8:$A$307),0))))</f>
        <v/>
      </c>
      <c r="AD1459" s="31">
        <f>IF(AND($Y1459&lt;&gt;"",N($Z1459)&gt;0,$AC1459=0),MAX($AD$7:$AD1458)+1,"")</f>
        <v/>
      </c>
      <c r="AE1459" s="31">
        <f>IF($Y1459="",0,$Y1459)</f>
        <v/>
      </c>
    </row>
    <row r="1460">
      <c r="W1460" s="31">
        <f>IF(OR($B$5="",$C$6="",ROW()&lt;$B$5),"",IF(INDEX($A:$U,ROW(),$C$6)="","",INDEX($A:$U,ROW(),$C$6)))</f>
        <v/>
      </c>
      <c r="X1460" s="32">
        <f>IF($W1460="","",IF(ISNUMBER($W1460),IF($W1460&gt;=10000000,IFERROR(DATE(INT($W1460/10000),MOD(INT($W1460/100),100),MOD($W1460,100)),""),INT($W1460)),IFERROR(DATE(--LEFT(LEFT(SUBSTITUTE(SUBSTITUTE(SUBSTITUTE(SUBSTITUTE(TRIM($W1460),"-",""),".",""),"/","")," ",""),8),4),--MID(LEFT(SUBSTITUTE(SUBSTITUTE(SUBSTITUTE(SUBSTITUTE(TRIM($W1460),"-",""),".",""),"/","")," ",""),8),5,2),--MID(LEFT(SUBSTITUTE(SUBSTITUTE(SUBSTITUTE(SUBSTITUTE(TRIM($W1460),"-",""),".",""),"/","")," ",""),8),7,2)),"")))</f>
        <v/>
      </c>
      <c r="Y1460" s="32">
        <f>IF($X1460="","",INT($X1460))</f>
        <v/>
      </c>
      <c r="Z1460" s="33">
        <f>IF(OR($Y1460="",$D$6=""),"",IF(INDEX($A:$U,ROW(),$D$6)="",0,IF(ISNUMBER(INDEX($A:$U,ROW(),$D$6)),INDEX($A:$U,ROW(),$D$6),IFERROR(--SUBSTITUTE(SUBSTITUTE(TRIM(INDEX($A:$U,ROW(),$D$6)),",",""),"원",""),0))))</f>
        <v/>
      </c>
      <c r="AA1460" s="31">
        <f>IF($Y1460="","",TRIM(INDEX($A:$U,ROW(),$E$6)&amp;IF($F$6="",""," "&amp;INDEX($A:$U,ROW(),$F$6))))</f>
        <v/>
      </c>
      <c r="AB1460" s="31">
        <f>IF($AA1460="","",SUBSTITUTE(SUBSTITUTE(SUBSTITUTE(SUBSTITUTE(SUBSTITUTE(SUBSTITUTE(SUBSTITUTE(SUBSTITUTE(SUBSTITUTE($AA1460," ",""),"　",""),"(주)",""),"（주）",""),"㈜",""),"주식회사",""),"(유)",""),"（유）",""),"유한회사",""))</f>
        <v/>
      </c>
      <c r="AC1460" s="31">
        <f>IF(OR($Y1460="",N($Z1460)&lt;=0,$AB1460=""),0,IFERROR(LOOKUP(2,1/((거래처별!$AC$8:$AC$307&lt;&gt;"")*ISNUMBER(SEARCH(거래처별!$AC$8:$AC$307,$AB1460))),거래처별!$A$8:$A$307),IFERROR(LOOKUP(2,1/((거래처별!$AD$8:$AD$307&lt;&gt;"")*ISNUMBER(SEARCH(거래처별!$AD$8:$AD$307,$AB1460))),거래처별!$A$8:$A$307),IFERROR(LOOKUP(2,1/((거래처별!$AE$8:$AE$307&lt;&gt;"")*ISNUMBER(SEARCH(거래처별!$AE$8:$AE$307,$AB1460))),거래처별!$A$8:$A$307),0))))</f>
        <v/>
      </c>
      <c r="AD1460" s="31">
        <f>IF(AND($Y1460&lt;&gt;"",N($Z1460)&gt;0,$AC1460=0),MAX($AD$7:$AD1459)+1,"")</f>
        <v/>
      </c>
      <c r="AE1460" s="31">
        <f>IF($Y1460="",0,$Y1460)</f>
        <v/>
      </c>
    </row>
    <row r="1461">
      <c r="W1461" s="31">
        <f>IF(OR($B$5="",$C$6="",ROW()&lt;$B$5),"",IF(INDEX($A:$U,ROW(),$C$6)="","",INDEX($A:$U,ROW(),$C$6)))</f>
        <v/>
      </c>
      <c r="X1461" s="32">
        <f>IF($W1461="","",IF(ISNUMBER($W1461),IF($W1461&gt;=10000000,IFERROR(DATE(INT($W1461/10000),MOD(INT($W1461/100),100),MOD($W1461,100)),""),INT($W1461)),IFERROR(DATE(--LEFT(LEFT(SUBSTITUTE(SUBSTITUTE(SUBSTITUTE(SUBSTITUTE(TRIM($W1461),"-",""),".",""),"/","")," ",""),8),4),--MID(LEFT(SUBSTITUTE(SUBSTITUTE(SUBSTITUTE(SUBSTITUTE(TRIM($W1461),"-",""),".",""),"/","")," ",""),8),5,2),--MID(LEFT(SUBSTITUTE(SUBSTITUTE(SUBSTITUTE(SUBSTITUTE(TRIM($W1461),"-",""),".",""),"/","")," ",""),8),7,2)),"")))</f>
        <v/>
      </c>
      <c r="Y1461" s="32">
        <f>IF($X1461="","",INT($X1461))</f>
        <v/>
      </c>
      <c r="Z1461" s="33">
        <f>IF(OR($Y1461="",$D$6=""),"",IF(INDEX($A:$U,ROW(),$D$6)="",0,IF(ISNUMBER(INDEX($A:$U,ROW(),$D$6)),INDEX($A:$U,ROW(),$D$6),IFERROR(--SUBSTITUTE(SUBSTITUTE(TRIM(INDEX($A:$U,ROW(),$D$6)),",",""),"원",""),0))))</f>
        <v/>
      </c>
      <c r="AA1461" s="31">
        <f>IF($Y1461="","",TRIM(INDEX($A:$U,ROW(),$E$6)&amp;IF($F$6="",""," "&amp;INDEX($A:$U,ROW(),$F$6))))</f>
        <v/>
      </c>
      <c r="AB1461" s="31">
        <f>IF($AA1461="","",SUBSTITUTE(SUBSTITUTE(SUBSTITUTE(SUBSTITUTE(SUBSTITUTE(SUBSTITUTE(SUBSTITUTE(SUBSTITUTE(SUBSTITUTE($AA1461," ",""),"　",""),"(주)",""),"（주）",""),"㈜",""),"주식회사",""),"(유)",""),"（유）",""),"유한회사",""))</f>
        <v/>
      </c>
      <c r="AC1461" s="31">
        <f>IF(OR($Y1461="",N($Z1461)&lt;=0,$AB1461=""),0,IFERROR(LOOKUP(2,1/((거래처별!$AC$8:$AC$307&lt;&gt;"")*ISNUMBER(SEARCH(거래처별!$AC$8:$AC$307,$AB1461))),거래처별!$A$8:$A$307),IFERROR(LOOKUP(2,1/((거래처별!$AD$8:$AD$307&lt;&gt;"")*ISNUMBER(SEARCH(거래처별!$AD$8:$AD$307,$AB1461))),거래처별!$A$8:$A$307),IFERROR(LOOKUP(2,1/((거래처별!$AE$8:$AE$307&lt;&gt;"")*ISNUMBER(SEARCH(거래처별!$AE$8:$AE$307,$AB1461))),거래처별!$A$8:$A$307),0))))</f>
        <v/>
      </c>
      <c r="AD1461" s="31">
        <f>IF(AND($Y1461&lt;&gt;"",N($Z1461)&gt;0,$AC1461=0),MAX($AD$7:$AD1460)+1,"")</f>
        <v/>
      </c>
      <c r="AE1461" s="31">
        <f>IF($Y1461="",0,$Y1461)</f>
        <v/>
      </c>
    </row>
    <row r="1462">
      <c r="W1462" s="31">
        <f>IF(OR($B$5="",$C$6="",ROW()&lt;$B$5),"",IF(INDEX($A:$U,ROW(),$C$6)="","",INDEX($A:$U,ROW(),$C$6)))</f>
        <v/>
      </c>
      <c r="X1462" s="32">
        <f>IF($W1462="","",IF(ISNUMBER($W1462),IF($W1462&gt;=10000000,IFERROR(DATE(INT($W1462/10000),MOD(INT($W1462/100),100),MOD($W1462,100)),""),INT($W1462)),IFERROR(DATE(--LEFT(LEFT(SUBSTITUTE(SUBSTITUTE(SUBSTITUTE(SUBSTITUTE(TRIM($W1462),"-",""),".",""),"/","")," ",""),8),4),--MID(LEFT(SUBSTITUTE(SUBSTITUTE(SUBSTITUTE(SUBSTITUTE(TRIM($W1462),"-",""),".",""),"/","")," ",""),8),5,2),--MID(LEFT(SUBSTITUTE(SUBSTITUTE(SUBSTITUTE(SUBSTITUTE(TRIM($W1462),"-",""),".",""),"/","")," ",""),8),7,2)),"")))</f>
        <v/>
      </c>
      <c r="Y1462" s="32">
        <f>IF($X1462="","",INT($X1462))</f>
        <v/>
      </c>
      <c r="Z1462" s="33">
        <f>IF(OR($Y1462="",$D$6=""),"",IF(INDEX($A:$U,ROW(),$D$6)="",0,IF(ISNUMBER(INDEX($A:$U,ROW(),$D$6)),INDEX($A:$U,ROW(),$D$6),IFERROR(--SUBSTITUTE(SUBSTITUTE(TRIM(INDEX($A:$U,ROW(),$D$6)),",",""),"원",""),0))))</f>
        <v/>
      </c>
      <c r="AA1462" s="31">
        <f>IF($Y1462="","",TRIM(INDEX($A:$U,ROW(),$E$6)&amp;IF($F$6="",""," "&amp;INDEX($A:$U,ROW(),$F$6))))</f>
        <v/>
      </c>
      <c r="AB1462" s="31">
        <f>IF($AA1462="","",SUBSTITUTE(SUBSTITUTE(SUBSTITUTE(SUBSTITUTE(SUBSTITUTE(SUBSTITUTE(SUBSTITUTE(SUBSTITUTE(SUBSTITUTE($AA1462," ",""),"　",""),"(주)",""),"（주）",""),"㈜",""),"주식회사",""),"(유)",""),"（유）",""),"유한회사",""))</f>
        <v/>
      </c>
      <c r="AC1462" s="31">
        <f>IF(OR($Y1462="",N($Z1462)&lt;=0,$AB1462=""),0,IFERROR(LOOKUP(2,1/((거래처별!$AC$8:$AC$307&lt;&gt;"")*ISNUMBER(SEARCH(거래처별!$AC$8:$AC$307,$AB1462))),거래처별!$A$8:$A$307),IFERROR(LOOKUP(2,1/((거래처별!$AD$8:$AD$307&lt;&gt;"")*ISNUMBER(SEARCH(거래처별!$AD$8:$AD$307,$AB1462))),거래처별!$A$8:$A$307),IFERROR(LOOKUP(2,1/((거래처별!$AE$8:$AE$307&lt;&gt;"")*ISNUMBER(SEARCH(거래처별!$AE$8:$AE$307,$AB1462))),거래처별!$A$8:$A$307),0))))</f>
        <v/>
      </c>
      <c r="AD1462" s="31">
        <f>IF(AND($Y1462&lt;&gt;"",N($Z1462)&gt;0,$AC1462=0),MAX($AD$7:$AD1461)+1,"")</f>
        <v/>
      </c>
      <c r="AE1462" s="31">
        <f>IF($Y1462="",0,$Y1462)</f>
        <v/>
      </c>
    </row>
    <row r="1463">
      <c r="W1463" s="31">
        <f>IF(OR($B$5="",$C$6="",ROW()&lt;$B$5),"",IF(INDEX($A:$U,ROW(),$C$6)="","",INDEX($A:$U,ROW(),$C$6)))</f>
        <v/>
      </c>
      <c r="X1463" s="32">
        <f>IF($W1463="","",IF(ISNUMBER($W1463),IF($W1463&gt;=10000000,IFERROR(DATE(INT($W1463/10000),MOD(INT($W1463/100),100),MOD($W1463,100)),""),INT($W1463)),IFERROR(DATE(--LEFT(LEFT(SUBSTITUTE(SUBSTITUTE(SUBSTITUTE(SUBSTITUTE(TRIM($W1463),"-",""),".",""),"/","")," ",""),8),4),--MID(LEFT(SUBSTITUTE(SUBSTITUTE(SUBSTITUTE(SUBSTITUTE(TRIM($W1463),"-",""),".",""),"/","")," ",""),8),5,2),--MID(LEFT(SUBSTITUTE(SUBSTITUTE(SUBSTITUTE(SUBSTITUTE(TRIM($W1463),"-",""),".",""),"/","")," ",""),8),7,2)),"")))</f>
        <v/>
      </c>
      <c r="Y1463" s="32">
        <f>IF($X1463="","",INT($X1463))</f>
        <v/>
      </c>
      <c r="Z1463" s="33">
        <f>IF(OR($Y1463="",$D$6=""),"",IF(INDEX($A:$U,ROW(),$D$6)="",0,IF(ISNUMBER(INDEX($A:$U,ROW(),$D$6)),INDEX($A:$U,ROW(),$D$6),IFERROR(--SUBSTITUTE(SUBSTITUTE(TRIM(INDEX($A:$U,ROW(),$D$6)),",",""),"원",""),0))))</f>
        <v/>
      </c>
      <c r="AA1463" s="31">
        <f>IF($Y1463="","",TRIM(INDEX($A:$U,ROW(),$E$6)&amp;IF($F$6="",""," "&amp;INDEX($A:$U,ROW(),$F$6))))</f>
        <v/>
      </c>
      <c r="AB1463" s="31">
        <f>IF($AA1463="","",SUBSTITUTE(SUBSTITUTE(SUBSTITUTE(SUBSTITUTE(SUBSTITUTE(SUBSTITUTE(SUBSTITUTE(SUBSTITUTE(SUBSTITUTE($AA1463," ",""),"　",""),"(주)",""),"（주）",""),"㈜",""),"주식회사",""),"(유)",""),"（유）",""),"유한회사",""))</f>
        <v/>
      </c>
      <c r="AC1463" s="31">
        <f>IF(OR($Y1463="",N($Z1463)&lt;=0,$AB1463=""),0,IFERROR(LOOKUP(2,1/((거래처별!$AC$8:$AC$307&lt;&gt;"")*ISNUMBER(SEARCH(거래처별!$AC$8:$AC$307,$AB1463))),거래처별!$A$8:$A$307),IFERROR(LOOKUP(2,1/((거래처별!$AD$8:$AD$307&lt;&gt;"")*ISNUMBER(SEARCH(거래처별!$AD$8:$AD$307,$AB1463))),거래처별!$A$8:$A$307),IFERROR(LOOKUP(2,1/((거래처별!$AE$8:$AE$307&lt;&gt;"")*ISNUMBER(SEARCH(거래처별!$AE$8:$AE$307,$AB1463))),거래처별!$A$8:$A$307),0))))</f>
        <v/>
      </c>
      <c r="AD1463" s="31">
        <f>IF(AND($Y1463&lt;&gt;"",N($Z1463)&gt;0,$AC1463=0),MAX($AD$7:$AD1462)+1,"")</f>
        <v/>
      </c>
      <c r="AE1463" s="31">
        <f>IF($Y1463="",0,$Y1463)</f>
        <v/>
      </c>
    </row>
    <row r="1464">
      <c r="W1464" s="31">
        <f>IF(OR($B$5="",$C$6="",ROW()&lt;$B$5),"",IF(INDEX($A:$U,ROW(),$C$6)="","",INDEX($A:$U,ROW(),$C$6)))</f>
        <v/>
      </c>
      <c r="X1464" s="32">
        <f>IF($W1464="","",IF(ISNUMBER($W1464),IF($W1464&gt;=10000000,IFERROR(DATE(INT($W1464/10000),MOD(INT($W1464/100),100),MOD($W1464,100)),""),INT($W1464)),IFERROR(DATE(--LEFT(LEFT(SUBSTITUTE(SUBSTITUTE(SUBSTITUTE(SUBSTITUTE(TRIM($W1464),"-",""),".",""),"/","")," ",""),8),4),--MID(LEFT(SUBSTITUTE(SUBSTITUTE(SUBSTITUTE(SUBSTITUTE(TRIM($W1464),"-",""),".",""),"/","")," ",""),8),5,2),--MID(LEFT(SUBSTITUTE(SUBSTITUTE(SUBSTITUTE(SUBSTITUTE(TRIM($W1464),"-",""),".",""),"/","")," ",""),8),7,2)),"")))</f>
        <v/>
      </c>
      <c r="Y1464" s="32">
        <f>IF($X1464="","",INT($X1464))</f>
        <v/>
      </c>
      <c r="Z1464" s="33">
        <f>IF(OR($Y1464="",$D$6=""),"",IF(INDEX($A:$U,ROW(),$D$6)="",0,IF(ISNUMBER(INDEX($A:$U,ROW(),$D$6)),INDEX($A:$U,ROW(),$D$6),IFERROR(--SUBSTITUTE(SUBSTITUTE(TRIM(INDEX($A:$U,ROW(),$D$6)),",",""),"원",""),0))))</f>
        <v/>
      </c>
      <c r="AA1464" s="31">
        <f>IF($Y1464="","",TRIM(INDEX($A:$U,ROW(),$E$6)&amp;IF($F$6="",""," "&amp;INDEX($A:$U,ROW(),$F$6))))</f>
        <v/>
      </c>
      <c r="AB1464" s="31">
        <f>IF($AA1464="","",SUBSTITUTE(SUBSTITUTE(SUBSTITUTE(SUBSTITUTE(SUBSTITUTE(SUBSTITUTE(SUBSTITUTE(SUBSTITUTE(SUBSTITUTE($AA1464," ",""),"　",""),"(주)",""),"（주）",""),"㈜",""),"주식회사",""),"(유)",""),"（유）",""),"유한회사",""))</f>
        <v/>
      </c>
      <c r="AC1464" s="31">
        <f>IF(OR($Y1464="",N($Z1464)&lt;=0,$AB1464=""),0,IFERROR(LOOKUP(2,1/((거래처별!$AC$8:$AC$307&lt;&gt;"")*ISNUMBER(SEARCH(거래처별!$AC$8:$AC$307,$AB1464))),거래처별!$A$8:$A$307),IFERROR(LOOKUP(2,1/((거래처별!$AD$8:$AD$307&lt;&gt;"")*ISNUMBER(SEARCH(거래처별!$AD$8:$AD$307,$AB1464))),거래처별!$A$8:$A$307),IFERROR(LOOKUP(2,1/((거래처별!$AE$8:$AE$307&lt;&gt;"")*ISNUMBER(SEARCH(거래처별!$AE$8:$AE$307,$AB1464))),거래처별!$A$8:$A$307),0))))</f>
        <v/>
      </c>
      <c r="AD1464" s="31">
        <f>IF(AND($Y1464&lt;&gt;"",N($Z1464)&gt;0,$AC1464=0),MAX($AD$7:$AD1463)+1,"")</f>
        <v/>
      </c>
      <c r="AE1464" s="31">
        <f>IF($Y1464="",0,$Y1464)</f>
        <v/>
      </c>
    </row>
    <row r="1465">
      <c r="W1465" s="31">
        <f>IF(OR($B$5="",$C$6="",ROW()&lt;$B$5),"",IF(INDEX($A:$U,ROW(),$C$6)="","",INDEX($A:$U,ROW(),$C$6)))</f>
        <v/>
      </c>
      <c r="X1465" s="32">
        <f>IF($W1465="","",IF(ISNUMBER($W1465),IF($W1465&gt;=10000000,IFERROR(DATE(INT($W1465/10000),MOD(INT($W1465/100),100),MOD($W1465,100)),""),INT($W1465)),IFERROR(DATE(--LEFT(LEFT(SUBSTITUTE(SUBSTITUTE(SUBSTITUTE(SUBSTITUTE(TRIM($W1465),"-",""),".",""),"/","")," ",""),8),4),--MID(LEFT(SUBSTITUTE(SUBSTITUTE(SUBSTITUTE(SUBSTITUTE(TRIM($W1465),"-",""),".",""),"/","")," ",""),8),5,2),--MID(LEFT(SUBSTITUTE(SUBSTITUTE(SUBSTITUTE(SUBSTITUTE(TRIM($W1465),"-",""),".",""),"/","")," ",""),8),7,2)),"")))</f>
        <v/>
      </c>
      <c r="Y1465" s="32">
        <f>IF($X1465="","",INT($X1465))</f>
        <v/>
      </c>
      <c r="Z1465" s="33">
        <f>IF(OR($Y1465="",$D$6=""),"",IF(INDEX($A:$U,ROW(),$D$6)="",0,IF(ISNUMBER(INDEX($A:$U,ROW(),$D$6)),INDEX($A:$U,ROW(),$D$6),IFERROR(--SUBSTITUTE(SUBSTITUTE(TRIM(INDEX($A:$U,ROW(),$D$6)),",",""),"원",""),0))))</f>
        <v/>
      </c>
      <c r="AA1465" s="31">
        <f>IF($Y1465="","",TRIM(INDEX($A:$U,ROW(),$E$6)&amp;IF($F$6="",""," "&amp;INDEX($A:$U,ROW(),$F$6))))</f>
        <v/>
      </c>
      <c r="AB1465" s="31">
        <f>IF($AA1465="","",SUBSTITUTE(SUBSTITUTE(SUBSTITUTE(SUBSTITUTE(SUBSTITUTE(SUBSTITUTE(SUBSTITUTE(SUBSTITUTE(SUBSTITUTE($AA1465," ",""),"　",""),"(주)",""),"（주）",""),"㈜",""),"주식회사",""),"(유)",""),"（유）",""),"유한회사",""))</f>
        <v/>
      </c>
      <c r="AC1465" s="31">
        <f>IF(OR($Y1465="",N($Z1465)&lt;=0,$AB1465=""),0,IFERROR(LOOKUP(2,1/((거래처별!$AC$8:$AC$307&lt;&gt;"")*ISNUMBER(SEARCH(거래처별!$AC$8:$AC$307,$AB1465))),거래처별!$A$8:$A$307),IFERROR(LOOKUP(2,1/((거래처별!$AD$8:$AD$307&lt;&gt;"")*ISNUMBER(SEARCH(거래처별!$AD$8:$AD$307,$AB1465))),거래처별!$A$8:$A$307),IFERROR(LOOKUP(2,1/((거래처별!$AE$8:$AE$307&lt;&gt;"")*ISNUMBER(SEARCH(거래처별!$AE$8:$AE$307,$AB1465))),거래처별!$A$8:$A$307),0))))</f>
        <v/>
      </c>
      <c r="AD1465" s="31">
        <f>IF(AND($Y1465&lt;&gt;"",N($Z1465)&gt;0,$AC1465=0),MAX($AD$7:$AD1464)+1,"")</f>
        <v/>
      </c>
      <c r="AE1465" s="31">
        <f>IF($Y1465="",0,$Y1465)</f>
        <v/>
      </c>
    </row>
    <row r="1466">
      <c r="W1466" s="31">
        <f>IF(OR($B$5="",$C$6="",ROW()&lt;$B$5),"",IF(INDEX($A:$U,ROW(),$C$6)="","",INDEX($A:$U,ROW(),$C$6)))</f>
        <v/>
      </c>
      <c r="X1466" s="32">
        <f>IF($W1466="","",IF(ISNUMBER($W1466),IF($W1466&gt;=10000000,IFERROR(DATE(INT($W1466/10000),MOD(INT($W1466/100),100),MOD($W1466,100)),""),INT($W1466)),IFERROR(DATE(--LEFT(LEFT(SUBSTITUTE(SUBSTITUTE(SUBSTITUTE(SUBSTITUTE(TRIM($W1466),"-",""),".",""),"/","")," ",""),8),4),--MID(LEFT(SUBSTITUTE(SUBSTITUTE(SUBSTITUTE(SUBSTITUTE(TRIM($W1466),"-",""),".",""),"/","")," ",""),8),5,2),--MID(LEFT(SUBSTITUTE(SUBSTITUTE(SUBSTITUTE(SUBSTITUTE(TRIM($W1466),"-",""),".",""),"/","")," ",""),8),7,2)),"")))</f>
        <v/>
      </c>
      <c r="Y1466" s="32">
        <f>IF($X1466="","",INT($X1466))</f>
        <v/>
      </c>
      <c r="Z1466" s="33">
        <f>IF(OR($Y1466="",$D$6=""),"",IF(INDEX($A:$U,ROW(),$D$6)="",0,IF(ISNUMBER(INDEX($A:$U,ROW(),$D$6)),INDEX($A:$U,ROW(),$D$6),IFERROR(--SUBSTITUTE(SUBSTITUTE(TRIM(INDEX($A:$U,ROW(),$D$6)),",",""),"원",""),0))))</f>
        <v/>
      </c>
      <c r="AA1466" s="31">
        <f>IF($Y1466="","",TRIM(INDEX($A:$U,ROW(),$E$6)&amp;IF($F$6="",""," "&amp;INDEX($A:$U,ROW(),$F$6))))</f>
        <v/>
      </c>
      <c r="AB1466" s="31">
        <f>IF($AA1466="","",SUBSTITUTE(SUBSTITUTE(SUBSTITUTE(SUBSTITUTE(SUBSTITUTE(SUBSTITUTE(SUBSTITUTE(SUBSTITUTE(SUBSTITUTE($AA1466," ",""),"　",""),"(주)",""),"（주）",""),"㈜",""),"주식회사",""),"(유)",""),"（유）",""),"유한회사",""))</f>
        <v/>
      </c>
      <c r="AC1466" s="31">
        <f>IF(OR($Y1466="",N($Z1466)&lt;=0,$AB1466=""),0,IFERROR(LOOKUP(2,1/((거래처별!$AC$8:$AC$307&lt;&gt;"")*ISNUMBER(SEARCH(거래처별!$AC$8:$AC$307,$AB1466))),거래처별!$A$8:$A$307),IFERROR(LOOKUP(2,1/((거래처별!$AD$8:$AD$307&lt;&gt;"")*ISNUMBER(SEARCH(거래처별!$AD$8:$AD$307,$AB1466))),거래처별!$A$8:$A$307),IFERROR(LOOKUP(2,1/((거래처별!$AE$8:$AE$307&lt;&gt;"")*ISNUMBER(SEARCH(거래처별!$AE$8:$AE$307,$AB1466))),거래처별!$A$8:$A$307),0))))</f>
        <v/>
      </c>
      <c r="AD1466" s="31">
        <f>IF(AND($Y1466&lt;&gt;"",N($Z1466)&gt;0,$AC1466=0),MAX($AD$7:$AD1465)+1,"")</f>
        <v/>
      </c>
      <c r="AE1466" s="31">
        <f>IF($Y1466="",0,$Y1466)</f>
        <v/>
      </c>
    </row>
    <row r="1467">
      <c r="W1467" s="31">
        <f>IF(OR($B$5="",$C$6="",ROW()&lt;$B$5),"",IF(INDEX($A:$U,ROW(),$C$6)="","",INDEX($A:$U,ROW(),$C$6)))</f>
        <v/>
      </c>
      <c r="X1467" s="32">
        <f>IF($W1467="","",IF(ISNUMBER($W1467),IF($W1467&gt;=10000000,IFERROR(DATE(INT($W1467/10000),MOD(INT($W1467/100),100),MOD($W1467,100)),""),INT($W1467)),IFERROR(DATE(--LEFT(LEFT(SUBSTITUTE(SUBSTITUTE(SUBSTITUTE(SUBSTITUTE(TRIM($W1467),"-",""),".",""),"/","")," ",""),8),4),--MID(LEFT(SUBSTITUTE(SUBSTITUTE(SUBSTITUTE(SUBSTITUTE(TRIM($W1467),"-",""),".",""),"/","")," ",""),8),5,2),--MID(LEFT(SUBSTITUTE(SUBSTITUTE(SUBSTITUTE(SUBSTITUTE(TRIM($W1467),"-",""),".",""),"/","")," ",""),8),7,2)),"")))</f>
        <v/>
      </c>
      <c r="Y1467" s="32">
        <f>IF($X1467="","",INT($X1467))</f>
        <v/>
      </c>
      <c r="Z1467" s="33">
        <f>IF(OR($Y1467="",$D$6=""),"",IF(INDEX($A:$U,ROW(),$D$6)="",0,IF(ISNUMBER(INDEX($A:$U,ROW(),$D$6)),INDEX($A:$U,ROW(),$D$6),IFERROR(--SUBSTITUTE(SUBSTITUTE(TRIM(INDEX($A:$U,ROW(),$D$6)),",",""),"원",""),0))))</f>
        <v/>
      </c>
      <c r="AA1467" s="31">
        <f>IF($Y1467="","",TRIM(INDEX($A:$U,ROW(),$E$6)&amp;IF($F$6="",""," "&amp;INDEX($A:$U,ROW(),$F$6))))</f>
        <v/>
      </c>
      <c r="AB1467" s="31">
        <f>IF($AA1467="","",SUBSTITUTE(SUBSTITUTE(SUBSTITUTE(SUBSTITUTE(SUBSTITUTE(SUBSTITUTE(SUBSTITUTE(SUBSTITUTE(SUBSTITUTE($AA1467," ",""),"　",""),"(주)",""),"（주）",""),"㈜",""),"주식회사",""),"(유)",""),"（유）",""),"유한회사",""))</f>
        <v/>
      </c>
      <c r="AC1467" s="31">
        <f>IF(OR($Y1467="",N($Z1467)&lt;=0,$AB1467=""),0,IFERROR(LOOKUP(2,1/((거래처별!$AC$8:$AC$307&lt;&gt;"")*ISNUMBER(SEARCH(거래처별!$AC$8:$AC$307,$AB1467))),거래처별!$A$8:$A$307),IFERROR(LOOKUP(2,1/((거래처별!$AD$8:$AD$307&lt;&gt;"")*ISNUMBER(SEARCH(거래처별!$AD$8:$AD$307,$AB1467))),거래처별!$A$8:$A$307),IFERROR(LOOKUP(2,1/((거래처별!$AE$8:$AE$307&lt;&gt;"")*ISNUMBER(SEARCH(거래처별!$AE$8:$AE$307,$AB1467))),거래처별!$A$8:$A$307),0))))</f>
        <v/>
      </c>
      <c r="AD1467" s="31">
        <f>IF(AND($Y1467&lt;&gt;"",N($Z1467)&gt;0,$AC1467=0),MAX($AD$7:$AD1466)+1,"")</f>
        <v/>
      </c>
      <c r="AE1467" s="31">
        <f>IF($Y1467="",0,$Y1467)</f>
        <v/>
      </c>
    </row>
    <row r="1468">
      <c r="W1468" s="31">
        <f>IF(OR($B$5="",$C$6="",ROW()&lt;$B$5),"",IF(INDEX($A:$U,ROW(),$C$6)="","",INDEX($A:$U,ROW(),$C$6)))</f>
        <v/>
      </c>
      <c r="X1468" s="32">
        <f>IF($W1468="","",IF(ISNUMBER($W1468),IF($W1468&gt;=10000000,IFERROR(DATE(INT($W1468/10000),MOD(INT($W1468/100),100),MOD($W1468,100)),""),INT($W1468)),IFERROR(DATE(--LEFT(LEFT(SUBSTITUTE(SUBSTITUTE(SUBSTITUTE(SUBSTITUTE(TRIM($W1468),"-",""),".",""),"/","")," ",""),8),4),--MID(LEFT(SUBSTITUTE(SUBSTITUTE(SUBSTITUTE(SUBSTITUTE(TRIM($W1468),"-",""),".",""),"/","")," ",""),8),5,2),--MID(LEFT(SUBSTITUTE(SUBSTITUTE(SUBSTITUTE(SUBSTITUTE(TRIM($W1468),"-",""),".",""),"/","")," ",""),8),7,2)),"")))</f>
        <v/>
      </c>
      <c r="Y1468" s="32">
        <f>IF($X1468="","",INT($X1468))</f>
        <v/>
      </c>
      <c r="Z1468" s="33">
        <f>IF(OR($Y1468="",$D$6=""),"",IF(INDEX($A:$U,ROW(),$D$6)="",0,IF(ISNUMBER(INDEX($A:$U,ROW(),$D$6)),INDEX($A:$U,ROW(),$D$6),IFERROR(--SUBSTITUTE(SUBSTITUTE(TRIM(INDEX($A:$U,ROW(),$D$6)),",",""),"원",""),0))))</f>
        <v/>
      </c>
      <c r="AA1468" s="31">
        <f>IF($Y1468="","",TRIM(INDEX($A:$U,ROW(),$E$6)&amp;IF($F$6="",""," "&amp;INDEX($A:$U,ROW(),$F$6))))</f>
        <v/>
      </c>
      <c r="AB1468" s="31">
        <f>IF($AA1468="","",SUBSTITUTE(SUBSTITUTE(SUBSTITUTE(SUBSTITUTE(SUBSTITUTE(SUBSTITUTE(SUBSTITUTE(SUBSTITUTE(SUBSTITUTE($AA1468," ",""),"　",""),"(주)",""),"（주）",""),"㈜",""),"주식회사",""),"(유)",""),"（유）",""),"유한회사",""))</f>
        <v/>
      </c>
      <c r="AC1468" s="31">
        <f>IF(OR($Y1468="",N($Z1468)&lt;=0,$AB1468=""),0,IFERROR(LOOKUP(2,1/((거래처별!$AC$8:$AC$307&lt;&gt;"")*ISNUMBER(SEARCH(거래처별!$AC$8:$AC$307,$AB1468))),거래처별!$A$8:$A$307),IFERROR(LOOKUP(2,1/((거래처별!$AD$8:$AD$307&lt;&gt;"")*ISNUMBER(SEARCH(거래처별!$AD$8:$AD$307,$AB1468))),거래처별!$A$8:$A$307),IFERROR(LOOKUP(2,1/((거래처별!$AE$8:$AE$307&lt;&gt;"")*ISNUMBER(SEARCH(거래처별!$AE$8:$AE$307,$AB1468))),거래처별!$A$8:$A$307),0))))</f>
        <v/>
      </c>
      <c r="AD1468" s="31">
        <f>IF(AND($Y1468&lt;&gt;"",N($Z1468)&gt;0,$AC1468=0),MAX($AD$7:$AD1467)+1,"")</f>
        <v/>
      </c>
      <c r="AE1468" s="31">
        <f>IF($Y1468="",0,$Y1468)</f>
        <v/>
      </c>
    </row>
    <row r="1469">
      <c r="W1469" s="31">
        <f>IF(OR($B$5="",$C$6="",ROW()&lt;$B$5),"",IF(INDEX($A:$U,ROW(),$C$6)="","",INDEX($A:$U,ROW(),$C$6)))</f>
        <v/>
      </c>
      <c r="X1469" s="32">
        <f>IF($W1469="","",IF(ISNUMBER($W1469),IF($W1469&gt;=10000000,IFERROR(DATE(INT($W1469/10000),MOD(INT($W1469/100),100),MOD($W1469,100)),""),INT($W1469)),IFERROR(DATE(--LEFT(LEFT(SUBSTITUTE(SUBSTITUTE(SUBSTITUTE(SUBSTITUTE(TRIM($W1469),"-",""),".",""),"/","")," ",""),8),4),--MID(LEFT(SUBSTITUTE(SUBSTITUTE(SUBSTITUTE(SUBSTITUTE(TRIM($W1469),"-",""),".",""),"/","")," ",""),8),5,2),--MID(LEFT(SUBSTITUTE(SUBSTITUTE(SUBSTITUTE(SUBSTITUTE(TRIM($W1469),"-",""),".",""),"/","")," ",""),8),7,2)),"")))</f>
        <v/>
      </c>
      <c r="Y1469" s="32">
        <f>IF($X1469="","",INT($X1469))</f>
        <v/>
      </c>
      <c r="Z1469" s="33">
        <f>IF(OR($Y1469="",$D$6=""),"",IF(INDEX($A:$U,ROW(),$D$6)="",0,IF(ISNUMBER(INDEX($A:$U,ROW(),$D$6)),INDEX($A:$U,ROW(),$D$6),IFERROR(--SUBSTITUTE(SUBSTITUTE(TRIM(INDEX($A:$U,ROW(),$D$6)),",",""),"원",""),0))))</f>
        <v/>
      </c>
      <c r="AA1469" s="31">
        <f>IF($Y1469="","",TRIM(INDEX($A:$U,ROW(),$E$6)&amp;IF($F$6="",""," "&amp;INDEX($A:$U,ROW(),$F$6))))</f>
        <v/>
      </c>
      <c r="AB1469" s="31">
        <f>IF($AA1469="","",SUBSTITUTE(SUBSTITUTE(SUBSTITUTE(SUBSTITUTE(SUBSTITUTE(SUBSTITUTE(SUBSTITUTE(SUBSTITUTE(SUBSTITUTE($AA1469," ",""),"　",""),"(주)",""),"（주）",""),"㈜",""),"주식회사",""),"(유)",""),"（유）",""),"유한회사",""))</f>
        <v/>
      </c>
      <c r="AC1469" s="31">
        <f>IF(OR($Y1469="",N($Z1469)&lt;=0,$AB1469=""),0,IFERROR(LOOKUP(2,1/((거래처별!$AC$8:$AC$307&lt;&gt;"")*ISNUMBER(SEARCH(거래처별!$AC$8:$AC$307,$AB1469))),거래처별!$A$8:$A$307),IFERROR(LOOKUP(2,1/((거래처별!$AD$8:$AD$307&lt;&gt;"")*ISNUMBER(SEARCH(거래처별!$AD$8:$AD$307,$AB1469))),거래처별!$A$8:$A$307),IFERROR(LOOKUP(2,1/((거래처별!$AE$8:$AE$307&lt;&gt;"")*ISNUMBER(SEARCH(거래처별!$AE$8:$AE$307,$AB1469))),거래처별!$A$8:$A$307),0))))</f>
        <v/>
      </c>
      <c r="AD1469" s="31">
        <f>IF(AND($Y1469&lt;&gt;"",N($Z1469)&gt;0,$AC1469=0),MAX($AD$7:$AD1468)+1,"")</f>
        <v/>
      </c>
      <c r="AE1469" s="31">
        <f>IF($Y1469="",0,$Y1469)</f>
        <v/>
      </c>
    </row>
    <row r="1470">
      <c r="W1470" s="31">
        <f>IF(OR($B$5="",$C$6="",ROW()&lt;$B$5),"",IF(INDEX($A:$U,ROW(),$C$6)="","",INDEX($A:$U,ROW(),$C$6)))</f>
        <v/>
      </c>
      <c r="X1470" s="32">
        <f>IF($W1470="","",IF(ISNUMBER($W1470),IF($W1470&gt;=10000000,IFERROR(DATE(INT($W1470/10000),MOD(INT($W1470/100),100),MOD($W1470,100)),""),INT($W1470)),IFERROR(DATE(--LEFT(LEFT(SUBSTITUTE(SUBSTITUTE(SUBSTITUTE(SUBSTITUTE(TRIM($W1470),"-",""),".",""),"/","")," ",""),8),4),--MID(LEFT(SUBSTITUTE(SUBSTITUTE(SUBSTITUTE(SUBSTITUTE(TRIM($W1470),"-",""),".",""),"/","")," ",""),8),5,2),--MID(LEFT(SUBSTITUTE(SUBSTITUTE(SUBSTITUTE(SUBSTITUTE(TRIM($W1470),"-",""),".",""),"/","")," ",""),8),7,2)),"")))</f>
        <v/>
      </c>
      <c r="Y1470" s="32">
        <f>IF($X1470="","",INT($X1470))</f>
        <v/>
      </c>
      <c r="Z1470" s="33">
        <f>IF(OR($Y1470="",$D$6=""),"",IF(INDEX($A:$U,ROW(),$D$6)="",0,IF(ISNUMBER(INDEX($A:$U,ROW(),$D$6)),INDEX($A:$U,ROW(),$D$6),IFERROR(--SUBSTITUTE(SUBSTITUTE(TRIM(INDEX($A:$U,ROW(),$D$6)),",",""),"원",""),0))))</f>
        <v/>
      </c>
      <c r="AA1470" s="31">
        <f>IF($Y1470="","",TRIM(INDEX($A:$U,ROW(),$E$6)&amp;IF($F$6="",""," "&amp;INDEX($A:$U,ROW(),$F$6))))</f>
        <v/>
      </c>
      <c r="AB1470" s="31">
        <f>IF($AA1470="","",SUBSTITUTE(SUBSTITUTE(SUBSTITUTE(SUBSTITUTE(SUBSTITUTE(SUBSTITUTE(SUBSTITUTE(SUBSTITUTE(SUBSTITUTE($AA1470," ",""),"　",""),"(주)",""),"（주）",""),"㈜",""),"주식회사",""),"(유)",""),"（유）",""),"유한회사",""))</f>
        <v/>
      </c>
      <c r="AC1470" s="31">
        <f>IF(OR($Y1470="",N($Z1470)&lt;=0,$AB1470=""),0,IFERROR(LOOKUP(2,1/((거래처별!$AC$8:$AC$307&lt;&gt;"")*ISNUMBER(SEARCH(거래처별!$AC$8:$AC$307,$AB1470))),거래처별!$A$8:$A$307),IFERROR(LOOKUP(2,1/((거래처별!$AD$8:$AD$307&lt;&gt;"")*ISNUMBER(SEARCH(거래처별!$AD$8:$AD$307,$AB1470))),거래처별!$A$8:$A$307),IFERROR(LOOKUP(2,1/((거래처별!$AE$8:$AE$307&lt;&gt;"")*ISNUMBER(SEARCH(거래처별!$AE$8:$AE$307,$AB1470))),거래처별!$A$8:$A$307),0))))</f>
        <v/>
      </c>
      <c r="AD1470" s="31">
        <f>IF(AND($Y1470&lt;&gt;"",N($Z1470)&gt;0,$AC1470=0),MAX($AD$7:$AD1469)+1,"")</f>
        <v/>
      </c>
      <c r="AE1470" s="31">
        <f>IF($Y1470="",0,$Y1470)</f>
        <v/>
      </c>
    </row>
    <row r="1471">
      <c r="W1471" s="31">
        <f>IF(OR($B$5="",$C$6="",ROW()&lt;$B$5),"",IF(INDEX($A:$U,ROW(),$C$6)="","",INDEX($A:$U,ROW(),$C$6)))</f>
        <v/>
      </c>
      <c r="X1471" s="32">
        <f>IF($W1471="","",IF(ISNUMBER($W1471),IF($W1471&gt;=10000000,IFERROR(DATE(INT($W1471/10000),MOD(INT($W1471/100),100),MOD($W1471,100)),""),INT($W1471)),IFERROR(DATE(--LEFT(LEFT(SUBSTITUTE(SUBSTITUTE(SUBSTITUTE(SUBSTITUTE(TRIM($W1471),"-",""),".",""),"/","")," ",""),8),4),--MID(LEFT(SUBSTITUTE(SUBSTITUTE(SUBSTITUTE(SUBSTITUTE(TRIM($W1471),"-",""),".",""),"/","")," ",""),8),5,2),--MID(LEFT(SUBSTITUTE(SUBSTITUTE(SUBSTITUTE(SUBSTITUTE(TRIM($W1471),"-",""),".",""),"/","")," ",""),8),7,2)),"")))</f>
        <v/>
      </c>
      <c r="Y1471" s="32">
        <f>IF($X1471="","",INT($X1471))</f>
        <v/>
      </c>
      <c r="Z1471" s="33">
        <f>IF(OR($Y1471="",$D$6=""),"",IF(INDEX($A:$U,ROW(),$D$6)="",0,IF(ISNUMBER(INDEX($A:$U,ROW(),$D$6)),INDEX($A:$U,ROW(),$D$6),IFERROR(--SUBSTITUTE(SUBSTITUTE(TRIM(INDEX($A:$U,ROW(),$D$6)),",",""),"원",""),0))))</f>
        <v/>
      </c>
      <c r="AA1471" s="31">
        <f>IF($Y1471="","",TRIM(INDEX($A:$U,ROW(),$E$6)&amp;IF($F$6="",""," "&amp;INDEX($A:$U,ROW(),$F$6))))</f>
        <v/>
      </c>
      <c r="AB1471" s="31">
        <f>IF($AA1471="","",SUBSTITUTE(SUBSTITUTE(SUBSTITUTE(SUBSTITUTE(SUBSTITUTE(SUBSTITUTE(SUBSTITUTE(SUBSTITUTE(SUBSTITUTE($AA1471," ",""),"　",""),"(주)",""),"（주）",""),"㈜",""),"주식회사",""),"(유)",""),"（유）",""),"유한회사",""))</f>
        <v/>
      </c>
      <c r="AC1471" s="31">
        <f>IF(OR($Y1471="",N($Z1471)&lt;=0,$AB1471=""),0,IFERROR(LOOKUP(2,1/((거래처별!$AC$8:$AC$307&lt;&gt;"")*ISNUMBER(SEARCH(거래처별!$AC$8:$AC$307,$AB1471))),거래처별!$A$8:$A$307),IFERROR(LOOKUP(2,1/((거래처별!$AD$8:$AD$307&lt;&gt;"")*ISNUMBER(SEARCH(거래처별!$AD$8:$AD$307,$AB1471))),거래처별!$A$8:$A$307),IFERROR(LOOKUP(2,1/((거래처별!$AE$8:$AE$307&lt;&gt;"")*ISNUMBER(SEARCH(거래처별!$AE$8:$AE$307,$AB1471))),거래처별!$A$8:$A$307),0))))</f>
        <v/>
      </c>
      <c r="AD1471" s="31">
        <f>IF(AND($Y1471&lt;&gt;"",N($Z1471)&gt;0,$AC1471=0),MAX($AD$7:$AD1470)+1,"")</f>
        <v/>
      </c>
      <c r="AE1471" s="31">
        <f>IF($Y1471="",0,$Y1471)</f>
        <v/>
      </c>
    </row>
    <row r="1472">
      <c r="W1472" s="31">
        <f>IF(OR($B$5="",$C$6="",ROW()&lt;$B$5),"",IF(INDEX($A:$U,ROW(),$C$6)="","",INDEX($A:$U,ROW(),$C$6)))</f>
        <v/>
      </c>
      <c r="X1472" s="32">
        <f>IF($W1472="","",IF(ISNUMBER($W1472),IF($W1472&gt;=10000000,IFERROR(DATE(INT($W1472/10000),MOD(INT($W1472/100),100),MOD($W1472,100)),""),INT($W1472)),IFERROR(DATE(--LEFT(LEFT(SUBSTITUTE(SUBSTITUTE(SUBSTITUTE(SUBSTITUTE(TRIM($W1472),"-",""),".",""),"/","")," ",""),8),4),--MID(LEFT(SUBSTITUTE(SUBSTITUTE(SUBSTITUTE(SUBSTITUTE(TRIM($W1472),"-",""),".",""),"/","")," ",""),8),5,2),--MID(LEFT(SUBSTITUTE(SUBSTITUTE(SUBSTITUTE(SUBSTITUTE(TRIM($W1472),"-",""),".",""),"/","")," ",""),8),7,2)),"")))</f>
        <v/>
      </c>
      <c r="Y1472" s="32">
        <f>IF($X1472="","",INT($X1472))</f>
        <v/>
      </c>
      <c r="Z1472" s="33">
        <f>IF(OR($Y1472="",$D$6=""),"",IF(INDEX($A:$U,ROW(),$D$6)="",0,IF(ISNUMBER(INDEX($A:$U,ROW(),$D$6)),INDEX($A:$U,ROW(),$D$6),IFERROR(--SUBSTITUTE(SUBSTITUTE(TRIM(INDEX($A:$U,ROW(),$D$6)),",",""),"원",""),0))))</f>
        <v/>
      </c>
      <c r="AA1472" s="31">
        <f>IF($Y1472="","",TRIM(INDEX($A:$U,ROW(),$E$6)&amp;IF($F$6="",""," "&amp;INDEX($A:$U,ROW(),$F$6))))</f>
        <v/>
      </c>
      <c r="AB1472" s="31">
        <f>IF($AA1472="","",SUBSTITUTE(SUBSTITUTE(SUBSTITUTE(SUBSTITUTE(SUBSTITUTE(SUBSTITUTE(SUBSTITUTE(SUBSTITUTE(SUBSTITUTE($AA1472," ",""),"　",""),"(주)",""),"（주）",""),"㈜",""),"주식회사",""),"(유)",""),"（유）",""),"유한회사",""))</f>
        <v/>
      </c>
      <c r="AC1472" s="31">
        <f>IF(OR($Y1472="",N($Z1472)&lt;=0,$AB1472=""),0,IFERROR(LOOKUP(2,1/((거래처별!$AC$8:$AC$307&lt;&gt;"")*ISNUMBER(SEARCH(거래처별!$AC$8:$AC$307,$AB1472))),거래처별!$A$8:$A$307),IFERROR(LOOKUP(2,1/((거래처별!$AD$8:$AD$307&lt;&gt;"")*ISNUMBER(SEARCH(거래처별!$AD$8:$AD$307,$AB1472))),거래처별!$A$8:$A$307),IFERROR(LOOKUP(2,1/((거래처별!$AE$8:$AE$307&lt;&gt;"")*ISNUMBER(SEARCH(거래처별!$AE$8:$AE$307,$AB1472))),거래처별!$A$8:$A$307),0))))</f>
        <v/>
      </c>
      <c r="AD1472" s="31">
        <f>IF(AND($Y1472&lt;&gt;"",N($Z1472)&gt;0,$AC1472=0),MAX($AD$7:$AD1471)+1,"")</f>
        <v/>
      </c>
      <c r="AE1472" s="31">
        <f>IF($Y1472="",0,$Y1472)</f>
        <v/>
      </c>
    </row>
    <row r="1473">
      <c r="W1473" s="31">
        <f>IF(OR($B$5="",$C$6="",ROW()&lt;$B$5),"",IF(INDEX($A:$U,ROW(),$C$6)="","",INDEX($A:$U,ROW(),$C$6)))</f>
        <v/>
      </c>
      <c r="X1473" s="32">
        <f>IF($W1473="","",IF(ISNUMBER($W1473),IF($W1473&gt;=10000000,IFERROR(DATE(INT($W1473/10000),MOD(INT($W1473/100),100),MOD($W1473,100)),""),INT($W1473)),IFERROR(DATE(--LEFT(LEFT(SUBSTITUTE(SUBSTITUTE(SUBSTITUTE(SUBSTITUTE(TRIM($W1473),"-",""),".",""),"/","")," ",""),8),4),--MID(LEFT(SUBSTITUTE(SUBSTITUTE(SUBSTITUTE(SUBSTITUTE(TRIM($W1473),"-",""),".",""),"/","")," ",""),8),5,2),--MID(LEFT(SUBSTITUTE(SUBSTITUTE(SUBSTITUTE(SUBSTITUTE(TRIM($W1473),"-",""),".",""),"/","")," ",""),8),7,2)),"")))</f>
        <v/>
      </c>
      <c r="Y1473" s="32">
        <f>IF($X1473="","",INT($X1473))</f>
        <v/>
      </c>
      <c r="Z1473" s="33">
        <f>IF(OR($Y1473="",$D$6=""),"",IF(INDEX($A:$U,ROW(),$D$6)="",0,IF(ISNUMBER(INDEX($A:$U,ROW(),$D$6)),INDEX($A:$U,ROW(),$D$6),IFERROR(--SUBSTITUTE(SUBSTITUTE(TRIM(INDEX($A:$U,ROW(),$D$6)),",",""),"원",""),0))))</f>
        <v/>
      </c>
      <c r="AA1473" s="31">
        <f>IF($Y1473="","",TRIM(INDEX($A:$U,ROW(),$E$6)&amp;IF($F$6="",""," "&amp;INDEX($A:$U,ROW(),$F$6))))</f>
        <v/>
      </c>
      <c r="AB1473" s="31">
        <f>IF($AA1473="","",SUBSTITUTE(SUBSTITUTE(SUBSTITUTE(SUBSTITUTE(SUBSTITUTE(SUBSTITUTE(SUBSTITUTE(SUBSTITUTE(SUBSTITUTE($AA1473," ",""),"　",""),"(주)",""),"（주）",""),"㈜",""),"주식회사",""),"(유)",""),"（유）",""),"유한회사",""))</f>
        <v/>
      </c>
      <c r="AC1473" s="31">
        <f>IF(OR($Y1473="",N($Z1473)&lt;=0,$AB1473=""),0,IFERROR(LOOKUP(2,1/((거래처별!$AC$8:$AC$307&lt;&gt;"")*ISNUMBER(SEARCH(거래처별!$AC$8:$AC$307,$AB1473))),거래처별!$A$8:$A$307),IFERROR(LOOKUP(2,1/((거래처별!$AD$8:$AD$307&lt;&gt;"")*ISNUMBER(SEARCH(거래처별!$AD$8:$AD$307,$AB1473))),거래처별!$A$8:$A$307),IFERROR(LOOKUP(2,1/((거래처별!$AE$8:$AE$307&lt;&gt;"")*ISNUMBER(SEARCH(거래처별!$AE$8:$AE$307,$AB1473))),거래처별!$A$8:$A$307),0))))</f>
        <v/>
      </c>
      <c r="AD1473" s="31">
        <f>IF(AND($Y1473&lt;&gt;"",N($Z1473)&gt;0,$AC1473=0),MAX($AD$7:$AD1472)+1,"")</f>
        <v/>
      </c>
      <c r="AE1473" s="31">
        <f>IF($Y1473="",0,$Y1473)</f>
        <v/>
      </c>
    </row>
    <row r="1474">
      <c r="W1474" s="31">
        <f>IF(OR($B$5="",$C$6="",ROW()&lt;$B$5),"",IF(INDEX($A:$U,ROW(),$C$6)="","",INDEX($A:$U,ROW(),$C$6)))</f>
        <v/>
      </c>
      <c r="X1474" s="32">
        <f>IF($W1474="","",IF(ISNUMBER($W1474),IF($W1474&gt;=10000000,IFERROR(DATE(INT($W1474/10000),MOD(INT($W1474/100),100),MOD($W1474,100)),""),INT($W1474)),IFERROR(DATE(--LEFT(LEFT(SUBSTITUTE(SUBSTITUTE(SUBSTITUTE(SUBSTITUTE(TRIM($W1474),"-",""),".",""),"/","")," ",""),8),4),--MID(LEFT(SUBSTITUTE(SUBSTITUTE(SUBSTITUTE(SUBSTITUTE(TRIM($W1474),"-",""),".",""),"/","")," ",""),8),5,2),--MID(LEFT(SUBSTITUTE(SUBSTITUTE(SUBSTITUTE(SUBSTITUTE(TRIM($W1474),"-",""),".",""),"/","")," ",""),8),7,2)),"")))</f>
        <v/>
      </c>
      <c r="Y1474" s="32">
        <f>IF($X1474="","",INT($X1474))</f>
        <v/>
      </c>
      <c r="Z1474" s="33">
        <f>IF(OR($Y1474="",$D$6=""),"",IF(INDEX($A:$U,ROW(),$D$6)="",0,IF(ISNUMBER(INDEX($A:$U,ROW(),$D$6)),INDEX($A:$U,ROW(),$D$6),IFERROR(--SUBSTITUTE(SUBSTITUTE(TRIM(INDEX($A:$U,ROW(),$D$6)),",",""),"원",""),0))))</f>
        <v/>
      </c>
      <c r="AA1474" s="31">
        <f>IF($Y1474="","",TRIM(INDEX($A:$U,ROW(),$E$6)&amp;IF($F$6="",""," "&amp;INDEX($A:$U,ROW(),$F$6))))</f>
        <v/>
      </c>
      <c r="AB1474" s="31">
        <f>IF($AA1474="","",SUBSTITUTE(SUBSTITUTE(SUBSTITUTE(SUBSTITUTE(SUBSTITUTE(SUBSTITUTE(SUBSTITUTE(SUBSTITUTE(SUBSTITUTE($AA1474," ",""),"　",""),"(주)",""),"（주）",""),"㈜",""),"주식회사",""),"(유)",""),"（유）",""),"유한회사",""))</f>
        <v/>
      </c>
      <c r="AC1474" s="31">
        <f>IF(OR($Y1474="",N($Z1474)&lt;=0,$AB1474=""),0,IFERROR(LOOKUP(2,1/((거래처별!$AC$8:$AC$307&lt;&gt;"")*ISNUMBER(SEARCH(거래처별!$AC$8:$AC$307,$AB1474))),거래처별!$A$8:$A$307),IFERROR(LOOKUP(2,1/((거래처별!$AD$8:$AD$307&lt;&gt;"")*ISNUMBER(SEARCH(거래처별!$AD$8:$AD$307,$AB1474))),거래처별!$A$8:$A$307),IFERROR(LOOKUP(2,1/((거래처별!$AE$8:$AE$307&lt;&gt;"")*ISNUMBER(SEARCH(거래처별!$AE$8:$AE$307,$AB1474))),거래처별!$A$8:$A$307),0))))</f>
        <v/>
      </c>
      <c r="AD1474" s="31">
        <f>IF(AND($Y1474&lt;&gt;"",N($Z1474)&gt;0,$AC1474=0),MAX($AD$7:$AD1473)+1,"")</f>
        <v/>
      </c>
      <c r="AE1474" s="31">
        <f>IF($Y1474="",0,$Y1474)</f>
        <v/>
      </c>
    </row>
    <row r="1475">
      <c r="W1475" s="31">
        <f>IF(OR($B$5="",$C$6="",ROW()&lt;$B$5),"",IF(INDEX($A:$U,ROW(),$C$6)="","",INDEX($A:$U,ROW(),$C$6)))</f>
        <v/>
      </c>
      <c r="X1475" s="32">
        <f>IF($W1475="","",IF(ISNUMBER($W1475),IF($W1475&gt;=10000000,IFERROR(DATE(INT($W1475/10000),MOD(INT($W1475/100),100),MOD($W1475,100)),""),INT($W1475)),IFERROR(DATE(--LEFT(LEFT(SUBSTITUTE(SUBSTITUTE(SUBSTITUTE(SUBSTITUTE(TRIM($W1475),"-",""),".",""),"/","")," ",""),8),4),--MID(LEFT(SUBSTITUTE(SUBSTITUTE(SUBSTITUTE(SUBSTITUTE(TRIM($W1475),"-",""),".",""),"/","")," ",""),8),5,2),--MID(LEFT(SUBSTITUTE(SUBSTITUTE(SUBSTITUTE(SUBSTITUTE(TRIM($W1475),"-",""),".",""),"/","")," ",""),8),7,2)),"")))</f>
        <v/>
      </c>
      <c r="Y1475" s="32">
        <f>IF($X1475="","",INT($X1475))</f>
        <v/>
      </c>
      <c r="Z1475" s="33">
        <f>IF(OR($Y1475="",$D$6=""),"",IF(INDEX($A:$U,ROW(),$D$6)="",0,IF(ISNUMBER(INDEX($A:$U,ROW(),$D$6)),INDEX($A:$U,ROW(),$D$6),IFERROR(--SUBSTITUTE(SUBSTITUTE(TRIM(INDEX($A:$U,ROW(),$D$6)),",",""),"원",""),0))))</f>
        <v/>
      </c>
      <c r="AA1475" s="31">
        <f>IF($Y1475="","",TRIM(INDEX($A:$U,ROW(),$E$6)&amp;IF($F$6="",""," "&amp;INDEX($A:$U,ROW(),$F$6))))</f>
        <v/>
      </c>
      <c r="AB1475" s="31">
        <f>IF($AA1475="","",SUBSTITUTE(SUBSTITUTE(SUBSTITUTE(SUBSTITUTE(SUBSTITUTE(SUBSTITUTE(SUBSTITUTE(SUBSTITUTE(SUBSTITUTE($AA1475," ",""),"　",""),"(주)",""),"（주）",""),"㈜",""),"주식회사",""),"(유)",""),"（유）",""),"유한회사",""))</f>
        <v/>
      </c>
      <c r="AC1475" s="31">
        <f>IF(OR($Y1475="",N($Z1475)&lt;=0,$AB1475=""),0,IFERROR(LOOKUP(2,1/((거래처별!$AC$8:$AC$307&lt;&gt;"")*ISNUMBER(SEARCH(거래처별!$AC$8:$AC$307,$AB1475))),거래처별!$A$8:$A$307),IFERROR(LOOKUP(2,1/((거래처별!$AD$8:$AD$307&lt;&gt;"")*ISNUMBER(SEARCH(거래처별!$AD$8:$AD$307,$AB1475))),거래처별!$A$8:$A$307),IFERROR(LOOKUP(2,1/((거래처별!$AE$8:$AE$307&lt;&gt;"")*ISNUMBER(SEARCH(거래처별!$AE$8:$AE$307,$AB1475))),거래처별!$A$8:$A$307),0))))</f>
        <v/>
      </c>
      <c r="AD1475" s="31">
        <f>IF(AND($Y1475&lt;&gt;"",N($Z1475)&gt;0,$AC1475=0),MAX($AD$7:$AD1474)+1,"")</f>
        <v/>
      </c>
      <c r="AE1475" s="31">
        <f>IF($Y1475="",0,$Y1475)</f>
        <v/>
      </c>
    </row>
    <row r="1476">
      <c r="W1476" s="31">
        <f>IF(OR($B$5="",$C$6="",ROW()&lt;$B$5),"",IF(INDEX($A:$U,ROW(),$C$6)="","",INDEX($A:$U,ROW(),$C$6)))</f>
        <v/>
      </c>
      <c r="X1476" s="32">
        <f>IF($W1476="","",IF(ISNUMBER($W1476),IF($W1476&gt;=10000000,IFERROR(DATE(INT($W1476/10000),MOD(INT($W1476/100),100),MOD($W1476,100)),""),INT($W1476)),IFERROR(DATE(--LEFT(LEFT(SUBSTITUTE(SUBSTITUTE(SUBSTITUTE(SUBSTITUTE(TRIM($W1476),"-",""),".",""),"/","")," ",""),8),4),--MID(LEFT(SUBSTITUTE(SUBSTITUTE(SUBSTITUTE(SUBSTITUTE(TRIM($W1476),"-",""),".",""),"/","")," ",""),8),5,2),--MID(LEFT(SUBSTITUTE(SUBSTITUTE(SUBSTITUTE(SUBSTITUTE(TRIM($W1476),"-",""),".",""),"/","")," ",""),8),7,2)),"")))</f>
        <v/>
      </c>
      <c r="Y1476" s="32">
        <f>IF($X1476="","",INT($X1476))</f>
        <v/>
      </c>
      <c r="Z1476" s="33">
        <f>IF(OR($Y1476="",$D$6=""),"",IF(INDEX($A:$U,ROW(),$D$6)="",0,IF(ISNUMBER(INDEX($A:$U,ROW(),$D$6)),INDEX($A:$U,ROW(),$D$6),IFERROR(--SUBSTITUTE(SUBSTITUTE(TRIM(INDEX($A:$U,ROW(),$D$6)),",",""),"원",""),0))))</f>
        <v/>
      </c>
      <c r="AA1476" s="31">
        <f>IF($Y1476="","",TRIM(INDEX($A:$U,ROW(),$E$6)&amp;IF($F$6="",""," "&amp;INDEX($A:$U,ROW(),$F$6))))</f>
        <v/>
      </c>
      <c r="AB1476" s="31">
        <f>IF($AA1476="","",SUBSTITUTE(SUBSTITUTE(SUBSTITUTE(SUBSTITUTE(SUBSTITUTE(SUBSTITUTE(SUBSTITUTE(SUBSTITUTE(SUBSTITUTE($AA1476," ",""),"　",""),"(주)",""),"（주）",""),"㈜",""),"주식회사",""),"(유)",""),"（유）",""),"유한회사",""))</f>
        <v/>
      </c>
      <c r="AC1476" s="31">
        <f>IF(OR($Y1476="",N($Z1476)&lt;=0,$AB1476=""),0,IFERROR(LOOKUP(2,1/((거래처별!$AC$8:$AC$307&lt;&gt;"")*ISNUMBER(SEARCH(거래처별!$AC$8:$AC$307,$AB1476))),거래처별!$A$8:$A$307),IFERROR(LOOKUP(2,1/((거래처별!$AD$8:$AD$307&lt;&gt;"")*ISNUMBER(SEARCH(거래처별!$AD$8:$AD$307,$AB1476))),거래처별!$A$8:$A$307),IFERROR(LOOKUP(2,1/((거래처별!$AE$8:$AE$307&lt;&gt;"")*ISNUMBER(SEARCH(거래처별!$AE$8:$AE$307,$AB1476))),거래처별!$A$8:$A$307),0))))</f>
        <v/>
      </c>
      <c r="AD1476" s="31">
        <f>IF(AND($Y1476&lt;&gt;"",N($Z1476)&gt;0,$AC1476=0),MAX($AD$7:$AD1475)+1,"")</f>
        <v/>
      </c>
      <c r="AE1476" s="31">
        <f>IF($Y1476="",0,$Y1476)</f>
        <v/>
      </c>
    </row>
    <row r="1477">
      <c r="W1477" s="31">
        <f>IF(OR($B$5="",$C$6="",ROW()&lt;$B$5),"",IF(INDEX($A:$U,ROW(),$C$6)="","",INDEX($A:$U,ROW(),$C$6)))</f>
        <v/>
      </c>
      <c r="X1477" s="32">
        <f>IF($W1477="","",IF(ISNUMBER($W1477),IF($W1477&gt;=10000000,IFERROR(DATE(INT($W1477/10000),MOD(INT($W1477/100),100),MOD($W1477,100)),""),INT($W1477)),IFERROR(DATE(--LEFT(LEFT(SUBSTITUTE(SUBSTITUTE(SUBSTITUTE(SUBSTITUTE(TRIM($W1477),"-",""),".",""),"/","")," ",""),8),4),--MID(LEFT(SUBSTITUTE(SUBSTITUTE(SUBSTITUTE(SUBSTITUTE(TRIM($W1477),"-",""),".",""),"/","")," ",""),8),5,2),--MID(LEFT(SUBSTITUTE(SUBSTITUTE(SUBSTITUTE(SUBSTITUTE(TRIM($W1477),"-",""),".",""),"/","")," ",""),8),7,2)),"")))</f>
        <v/>
      </c>
      <c r="Y1477" s="32">
        <f>IF($X1477="","",INT($X1477))</f>
        <v/>
      </c>
      <c r="Z1477" s="33">
        <f>IF(OR($Y1477="",$D$6=""),"",IF(INDEX($A:$U,ROW(),$D$6)="",0,IF(ISNUMBER(INDEX($A:$U,ROW(),$D$6)),INDEX($A:$U,ROW(),$D$6),IFERROR(--SUBSTITUTE(SUBSTITUTE(TRIM(INDEX($A:$U,ROW(),$D$6)),",",""),"원",""),0))))</f>
        <v/>
      </c>
      <c r="AA1477" s="31">
        <f>IF($Y1477="","",TRIM(INDEX($A:$U,ROW(),$E$6)&amp;IF($F$6="",""," "&amp;INDEX($A:$U,ROW(),$F$6))))</f>
        <v/>
      </c>
      <c r="AB1477" s="31">
        <f>IF($AA1477="","",SUBSTITUTE(SUBSTITUTE(SUBSTITUTE(SUBSTITUTE(SUBSTITUTE(SUBSTITUTE(SUBSTITUTE(SUBSTITUTE(SUBSTITUTE($AA1477," ",""),"　",""),"(주)",""),"（주）",""),"㈜",""),"주식회사",""),"(유)",""),"（유）",""),"유한회사",""))</f>
        <v/>
      </c>
      <c r="AC1477" s="31">
        <f>IF(OR($Y1477="",N($Z1477)&lt;=0,$AB1477=""),0,IFERROR(LOOKUP(2,1/((거래처별!$AC$8:$AC$307&lt;&gt;"")*ISNUMBER(SEARCH(거래처별!$AC$8:$AC$307,$AB1477))),거래처별!$A$8:$A$307),IFERROR(LOOKUP(2,1/((거래처별!$AD$8:$AD$307&lt;&gt;"")*ISNUMBER(SEARCH(거래처별!$AD$8:$AD$307,$AB1477))),거래처별!$A$8:$A$307),IFERROR(LOOKUP(2,1/((거래처별!$AE$8:$AE$307&lt;&gt;"")*ISNUMBER(SEARCH(거래처별!$AE$8:$AE$307,$AB1477))),거래처별!$A$8:$A$307),0))))</f>
        <v/>
      </c>
      <c r="AD1477" s="31">
        <f>IF(AND($Y1477&lt;&gt;"",N($Z1477)&gt;0,$AC1477=0),MAX($AD$7:$AD1476)+1,"")</f>
        <v/>
      </c>
      <c r="AE1477" s="31">
        <f>IF($Y1477="",0,$Y1477)</f>
        <v/>
      </c>
    </row>
    <row r="1478">
      <c r="W1478" s="31">
        <f>IF(OR($B$5="",$C$6="",ROW()&lt;$B$5),"",IF(INDEX($A:$U,ROW(),$C$6)="","",INDEX($A:$U,ROW(),$C$6)))</f>
        <v/>
      </c>
      <c r="X1478" s="32">
        <f>IF($W1478="","",IF(ISNUMBER($W1478),IF($W1478&gt;=10000000,IFERROR(DATE(INT($W1478/10000),MOD(INT($W1478/100),100),MOD($W1478,100)),""),INT($W1478)),IFERROR(DATE(--LEFT(LEFT(SUBSTITUTE(SUBSTITUTE(SUBSTITUTE(SUBSTITUTE(TRIM($W1478),"-",""),".",""),"/","")," ",""),8),4),--MID(LEFT(SUBSTITUTE(SUBSTITUTE(SUBSTITUTE(SUBSTITUTE(TRIM($W1478),"-",""),".",""),"/","")," ",""),8),5,2),--MID(LEFT(SUBSTITUTE(SUBSTITUTE(SUBSTITUTE(SUBSTITUTE(TRIM($W1478),"-",""),".",""),"/","")," ",""),8),7,2)),"")))</f>
        <v/>
      </c>
      <c r="Y1478" s="32">
        <f>IF($X1478="","",INT($X1478))</f>
        <v/>
      </c>
      <c r="Z1478" s="33">
        <f>IF(OR($Y1478="",$D$6=""),"",IF(INDEX($A:$U,ROW(),$D$6)="",0,IF(ISNUMBER(INDEX($A:$U,ROW(),$D$6)),INDEX($A:$U,ROW(),$D$6),IFERROR(--SUBSTITUTE(SUBSTITUTE(TRIM(INDEX($A:$U,ROW(),$D$6)),",",""),"원",""),0))))</f>
        <v/>
      </c>
      <c r="AA1478" s="31">
        <f>IF($Y1478="","",TRIM(INDEX($A:$U,ROW(),$E$6)&amp;IF($F$6="",""," "&amp;INDEX($A:$U,ROW(),$F$6))))</f>
        <v/>
      </c>
      <c r="AB1478" s="31">
        <f>IF($AA1478="","",SUBSTITUTE(SUBSTITUTE(SUBSTITUTE(SUBSTITUTE(SUBSTITUTE(SUBSTITUTE(SUBSTITUTE(SUBSTITUTE(SUBSTITUTE($AA1478," ",""),"　",""),"(주)",""),"（주）",""),"㈜",""),"주식회사",""),"(유)",""),"（유）",""),"유한회사",""))</f>
        <v/>
      </c>
      <c r="AC1478" s="31">
        <f>IF(OR($Y1478="",N($Z1478)&lt;=0,$AB1478=""),0,IFERROR(LOOKUP(2,1/((거래처별!$AC$8:$AC$307&lt;&gt;"")*ISNUMBER(SEARCH(거래처별!$AC$8:$AC$307,$AB1478))),거래처별!$A$8:$A$307),IFERROR(LOOKUP(2,1/((거래처별!$AD$8:$AD$307&lt;&gt;"")*ISNUMBER(SEARCH(거래처별!$AD$8:$AD$307,$AB1478))),거래처별!$A$8:$A$307),IFERROR(LOOKUP(2,1/((거래처별!$AE$8:$AE$307&lt;&gt;"")*ISNUMBER(SEARCH(거래처별!$AE$8:$AE$307,$AB1478))),거래처별!$A$8:$A$307),0))))</f>
        <v/>
      </c>
      <c r="AD1478" s="31">
        <f>IF(AND($Y1478&lt;&gt;"",N($Z1478)&gt;0,$AC1478=0),MAX($AD$7:$AD1477)+1,"")</f>
        <v/>
      </c>
      <c r="AE1478" s="31">
        <f>IF($Y1478="",0,$Y1478)</f>
        <v/>
      </c>
    </row>
    <row r="1479">
      <c r="W1479" s="31">
        <f>IF(OR($B$5="",$C$6="",ROW()&lt;$B$5),"",IF(INDEX($A:$U,ROW(),$C$6)="","",INDEX($A:$U,ROW(),$C$6)))</f>
        <v/>
      </c>
      <c r="X1479" s="32">
        <f>IF($W1479="","",IF(ISNUMBER($W1479),IF($W1479&gt;=10000000,IFERROR(DATE(INT($W1479/10000),MOD(INT($W1479/100),100),MOD($W1479,100)),""),INT($W1479)),IFERROR(DATE(--LEFT(LEFT(SUBSTITUTE(SUBSTITUTE(SUBSTITUTE(SUBSTITUTE(TRIM($W1479),"-",""),".",""),"/","")," ",""),8),4),--MID(LEFT(SUBSTITUTE(SUBSTITUTE(SUBSTITUTE(SUBSTITUTE(TRIM($W1479),"-",""),".",""),"/","")," ",""),8),5,2),--MID(LEFT(SUBSTITUTE(SUBSTITUTE(SUBSTITUTE(SUBSTITUTE(TRIM($W1479),"-",""),".",""),"/","")," ",""),8),7,2)),"")))</f>
        <v/>
      </c>
      <c r="Y1479" s="32">
        <f>IF($X1479="","",INT($X1479))</f>
        <v/>
      </c>
      <c r="Z1479" s="33">
        <f>IF(OR($Y1479="",$D$6=""),"",IF(INDEX($A:$U,ROW(),$D$6)="",0,IF(ISNUMBER(INDEX($A:$U,ROW(),$D$6)),INDEX($A:$U,ROW(),$D$6),IFERROR(--SUBSTITUTE(SUBSTITUTE(TRIM(INDEX($A:$U,ROW(),$D$6)),",",""),"원",""),0))))</f>
        <v/>
      </c>
      <c r="AA1479" s="31">
        <f>IF($Y1479="","",TRIM(INDEX($A:$U,ROW(),$E$6)&amp;IF($F$6="",""," "&amp;INDEX($A:$U,ROW(),$F$6))))</f>
        <v/>
      </c>
      <c r="AB1479" s="31">
        <f>IF($AA1479="","",SUBSTITUTE(SUBSTITUTE(SUBSTITUTE(SUBSTITUTE(SUBSTITUTE(SUBSTITUTE(SUBSTITUTE(SUBSTITUTE(SUBSTITUTE($AA1479," ",""),"　",""),"(주)",""),"（주）",""),"㈜",""),"주식회사",""),"(유)",""),"（유）",""),"유한회사",""))</f>
        <v/>
      </c>
      <c r="AC1479" s="31">
        <f>IF(OR($Y1479="",N($Z1479)&lt;=0,$AB1479=""),0,IFERROR(LOOKUP(2,1/((거래처별!$AC$8:$AC$307&lt;&gt;"")*ISNUMBER(SEARCH(거래처별!$AC$8:$AC$307,$AB1479))),거래처별!$A$8:$A$307),IFERROR(LOOKUP(2,1/((거래처별!$AD$8:$AD$307&lt;&gt;"")*ISNUMBER(SEARCH(거래처별!$AD$8:$AD$307,$AB1479))),거래처별!$A$8:$A$307),IFERROR(LOOKUP(2,1/((거래처별!$AE$8:$AE$307&lt;&gt;"")*ISNUMBER(SEARCH(거래처별!$AE$8:$AE$307,$AB1479))),거래처별!$A$8:$A$307),0))))</f>
        <v/>
      </c>
      <c r="AD1479" s="31">
        <f>IF(AND($Y1479&lt;&gt;"",N($Z1479)&gt;0,$AC1479=0),MAX($AD$7:$AD1478)+1,"")</f>
        <v/>
      </c>
      <c r="AE1479" s="31">
        <f>IF($Y1479="",0,$Y1479)</f>
        <v/>
      </c>
    </row>
    <row r="1480">
      <c r="W1480" s="31">
        <f>IF(OR($B$5="",$C$6="",ROW()&lt;$B$5),"",IF(INDEX($A:$U,ROW(),$C$6)="","",INDEX($A:$U,ROW(),$C$6)))</f>
        <v/>
      </c>
      <c r="X1480" s="32">
        <f>IF($W1480="","",IF(ISNUMBER($W1480),IF($W1480&gt;=10000000,IFERROR(DATE(INT($W1480/10000),MOD(INT($W1480/100),100),MOD($W1480,100)),""),INT($W1480)),IFERROR(DATE(--LEFT(LEFT(SUBSTITUTE(SUBSTITUTE(SUBSTITUTE(SUBSTITUTE(TRIM($W1480),"-",""),".",""),"/","")," ",""),8),4),--MID(LEFT(SUBSTITUTE(SUBSTITUTE(SUBSTITUTE(SUBSTITUTE(TRIM($W1480),"-",""),".",""),"/","")," ",""),8),5,2),--MID(LEFT(SUBSTITUTE(SUBSTITUTE(SUBSTITUTE(SUBSTITUTE(TRIM($W1480),"-",""),".",""),"/","")," ",""),8),7,2)),"")))</f>
        <v/>
      </c>
      <c r="Y1480" s="32">
        <f>IF($X1480="","",INT($X1480))</f>
        <v/>
      </c>
      <c r="Z1480" s="33">
        <f>IF(OR($Y1480="",$D$6=""),"",IF(INDEX($A:$U,ROW(),$D$6)="",0,IF(ISNUMBER(INDEX($A:$U,ROW(),$D$6)),INDEX($A:$U,ROW(),$D$6),IFERROR(--SUBSTITUTE(SUBSTITUTE(TRIM(INDEX($A:$U,ROW(),$D$6)),",",""),"원",""),0))))</f>
        <v/>
      </c>
      <c r="AA1480" s="31">
        <f>IF($Y1480="","",TRIM(INDEX($A:$U,ROW(),$E$6)&amp;IF($F$6="",""," "&amp;INDEX($A:$U,ROW(),$F$6))))</f>
        <v/>
      </c>
      <c r="AB1480" s="31">
        <f>IF($AA1480="","",SUBSTITUTE(SUBSTITUTE(SUBSTITUTE(SUBSTITUTE(SUBSTITUTE(SUBSTITUTE(SUBSTITUTE(SUBSTITUTE(SUBSTITUTE($AA1480," ",""),"　",""),"(주)",""),"（주）",""),"㈜",""),"주식회사",""),"(유)",""),"（유）",""),"유한회사",""))</f>
        <v/>
      </c>
      <c r="AC1480" s="31">
        <f>IF(OR($Y1480="",N($Z1480)&lt;=0,$AB1480=""),0,IFERROR(LOOKUP(2,1/((거래처별!$AC$8:$AC$307&lt;&gt;"")*ISNUMBER(SEARCH(거래처별!$AC$8:$AC$307,$AB1480))),거래처별!$A$8:$A$307),IFERROR(LOOKUP(2,1/((거래처별!$AD$8:$AD$307&lt;&gt;"")*ISNUMBER(SEARCH(거래처별!$AD$8:$AD$307,$AB1480))),거래처별!$A$8:$A$307),IFERROR(LOOKUP(2,1/((거래처별!$AE$8:$AE$307&lt;&gt;"")*ISNUMBER(SEARCH(거래처별!$AE$8:$AE$307,$AB1480))),거래처별!$A$8:$A$307),0))))</f>
        <v/>
      </c>
      <c r="AD1480" s="31">
        <f>IF(AND($Y1480&lt;&gt;"",N($Z1480)&gt;0,$AC1480=0),MAX($AD$7:$AD1479)+1,"")</f>
        <v/>
      </c>
      <c r="AE1480" s="31">
        <f>IF($Y1480="",0,$Y1480)</f>
        <v/>
      </c>
    </row>
    <row r="1481">
      <c r="W1481" s="31">
        <f>IF(OR($B$5="",$C$6="",ROW()&lt;$B$5),"",IF(INDEX($A:$U,ROW(),$C$6)="","",INDEX($A:$U,ROW(),$C$6)))</f>
        <v/>
      </c>
      <c r="X1481" s="32">
        <f>IF($W1481="","",IF(ISNUMBER($W1481),IF($W1481&gt;=10000000,IFERROR(DATE(INT($W1481/10000),MOD(INT($W1481/100),100),MOD($W1481,100)),""),INT($W1481)),IFERROR(DATE(--LEFT(LEFT(SUBSTITUTE(SUBSTITUTE(SUBSTITUTE(SUBSTITUTE(TRIM($W1481),"-",""),".",""),"/","")," ",""),8),4),--MID(LEFT(SUBSTITUTE(SUBSTITUTE(SUBSTITUTE(SUBSTITUTE(TRIM($W1481),"-",""),".",""),"/","")," ",""),8),5,2),--MID(LEFT(SUBSTITUTE(SUBSTITUTE(SUBSTITUTE(SUBSTITUTE(TRIM($W1481),"-",""),".",""),"/","")," ",""),8),7,2)),"")))</f>
        <v/>
      </c>
      <c r="Y1481" s="32">
        <f>IF($X1481="","",INT($X1481))</f>
        <v/>
      </c>
      <c r="Z1481" s="33">
        <f>IF(OR($Y1481="",$D$6=""),"",IF(INDEX($A:$U,ROW(),$D$6)="",0,IF(ISNUMBER(INDEX($A:$U,ROW(),$D$6)),INDEX($A:$U,ROW(),$D$6),IFERROR(--SUBSTITUTE(SUBSTITUTE(TRIM(INDEX($A:$U,ROW(),$D$6)),",",""),"원",""),0))))</f>
        <v/>
      </c>
      <c r="AA1481" s="31">
        <f>IF($Y1481="","",TRIM(INDEX($A:$U,ROW(),$E$6)&amp;IF($F$6="",""," "&amp;INDEX($A:$U,ROW(),$F$6))))</f>
        <v/>
      </c>
      <c r="AB1481" s="31">
        <f>IF($AA1481="","",SUBSTITUTE(SUBSTITUTE(SUBSTITUTE(SUBSTITUTE(SUBSTITUTE(SUBSTITUTE(SUBSTITUTE(SUBSTITUTE(SUBSTITUTE($AA1481," ",""),"　",""),"(주)",""),"（주）",""),"㈜",""),"주식회사",""),"(유)",""),"（유）",""),"유한회사",""))</f>
        <v/>
      </c>
      <c r="AC1481" s="31">
        <f>IF(OR($Y1481="",N($Z1481)&lt;=0,$AB1481=""),0,IFERROR(LOOKUP(2,1/((거래처별!$AC$8:$AC$307&lt;&gt;"")*ISNUMBER(SEARCH(거래처별!$AC$8:$AC$307,$AB1481))),거래처별!$A$8:$A$307),IFERROR(LOOKUP(2,1/((거래처별!$AD$8:$AD$307&lt;&gt;"")*ISNUMBER(SEARCH(거래처별!$AD$8:$AD$307,$AB1481))),거래처별!$A$8:$A$307),IFERROR(LOOKUP(2,1/((거래처별!$AE$8:$AE$307&lt;&gt;"")*ISNUMBER(SEARCH(거래처별!$AE$8:$AE$307,$AB1481))),거래처별!$A$8:$A$307),0))))</f>
        <v/>
      </c>
      <c r="AD1481" s="31">
        <f>IF(AND($Y1481&lt;&gt;"",N($Z1481)&gt;0,$AC1481=0),MAX($AD$7:$AD1480)+1,"")</f>
        <v/>
      </c>
      <c r="AE1481" s="31">
        <f>IF($Y1481="",0,$Y1481)</f>
        <v/>
      </c>
    </row>
    <row r="1482">
      <c r="W1482" s="31">
        <f>IF(OR($B$5="",$C$6="",ROW()&lt;$B$5),"",IF(INDEX($A:$U,ROW(),$C$6)="","",INDEX($A:$U,ROW(),$C$6)))</f>
        <v/>
      </c>
      <c r="X1482" s="32">
        <f>IF($W1482="","",IF(ISNUMBER($W1482),IF($W1482&gt;=10000000,IFERROR(DATE(INT($W1482/10000),MOD(INT($W1482/100),100),MOD($W1482,100)),""),INT($W1482)),IFERROR(DATE(--LEFT(LEFT(SUBSTITUTE(SUBSTITUTE(SUBSTITUTE(SUBSTITUTE(TRIM($W1482),"-",""),".",""),"/","")," ",""),8),4),--MID(LEFT(SUBSTITUTE(SUBSTITUTE(SUBSTITUTE(SUBSTITUTE(TRIM($W1482),"-",""),".",""),"/","")," ",""),8),5,2),--MID(LEFT(SUBSTITUTE(SUBSTITUTE(SUBSTITUTE(SUBSTITUTE(TRIM($W1482),"-",""),".",""),"/","")," ",""),8),7,2)),"")))</f>
        <v/>
      </c>
      <c r="Y1482" s="32">
        <f>IF($X1482="","",INT($X1482))</f>
        <v/>
      </c>
      <c r="Z1482" s="33">
        <f>IF(OR($Y1482="",$D$6=""),"",IF(INDEX($A:$U,ROW(),$D$6)="",0,IF(ISNUMBER(INDEX($A:$U,ROW(),$D$6)),INDEX($A:$U,ROW(),$D$6),IFERROR(--SUBSTITUTE(SUBSTITUTE(TRIM(INDEX($A:$U,ROW(),$D$6)),",",""),"원",""),0))))</f>
        <v/>
      </c>
      <c r="AA1482" s="31">
        <f>IF($Y1482="","",TRIM(INDEX($A:$U,ROW(),$E$6)&amp;IF($F$6="",""," "&amp;INDEX($A:$U,ROW(),$F$6))))</f>
        <v/>
      </c>
      <c r="AB1482" s="31">
        <f>IF($AA1482="","",SUBSTITUTE(SUBSTITUTE(SUBSTITUTE(SUBSTITUTE(SUBSTITUTE(SUBSTITUTE(SUBSTITUTE(SUBSTITUTE(SUBSTITUTE($AA1482," ",""),"　",""),"(주)",""),"（주）",""),"㈜",""),"주식회사",""),"(유)",""),"（유）",""),"유한회사",""))</f>
        <v/>
      </c>
      <c r="AC1482" s="31">
        <f>IF(OR($Y1482="",N($Z1482)&lt;=0,$AB1482=""),0,IFERROR(LOOKUP(2,1/((거래처별!$AC$8:$AC$307&lt;&gt;"")*ISNUMBER(SEARCH(거래처별!$AC$8:$AC$307,$AB1482))),거래처별!$A$8:$A$307),IFERROR(LOOKUP(2,1/((거래처별!$AD$8:$AD$307&lt;&gt;"")*ISNUMBER(SEARCH(거래처별!$AD$8:$AD$307,$AB1482))),거래처별!$A$8:$A$307),IFERROR(LOOKUP(2,1/((거래처별!$AE$8:$AE$307&lt;&gt;"")*ISNUMBER(SEARCH(거래처별!$AE$8:$AE$307,$AB1482))),거래처별!$A$8:$A$307),0))))</f>
        <v/>
      </c>
      <c r="AD1482" s="31">
        <f>IF(AND($Y1482&lt;&gt;"",N($Z1482)&gt;0,$AC1482=0),MAX($AD$7:$AD1481)+1,"")</f>
        <v/>
      </c>
      <c r="AE1482" s="31">
        <f>IF($Y1482="",0,$Y1482)</f>
        <v/>
      </c>
    </row>
    <row r="1483">
      <c r="W1483" s="31">
        <f>IF(OR($B$5="",$C$6="",ROW()&lt;$B$5),"",IF(INDEX($A:$U,ROW(),$C$6)="","",INDEX($A:$U,ROW(),$C$6)))</f>
        <v/>
      </c>
      <c r="X1483" s="32">
        <f>IF($W1483="","",IF(ISNUMBER($W1483),IF($W1483&gt;=10000000,IFERROR(DATE(INT($W1483/10000),MOD(INT($W1483/100),100),MOD($W1483,100)),""),INT($W1483)),IFERROR(DATE(--LEFT(LEFT(SUBSTITUTE(SUBSTITUTE(SUBSTITUTE(SUBSTITUTE(TRIM($W1483),"-",""),".",""),"/","")," ",""),8),4),--MID(LEFT(SUBSTITUTE(SUBSTITUTE(SUBSTITUTE(SUBSTITUTE(TRIM($W1483),"-",""),".",""),"/","")," ",""),8),5,2),--MID(LEFT(SUBSTITUTE(SUBSTITUTE(SUBSTITUTE(SUBSTITUTE(TRIM($W1483),"-",""),".",""),"/","")," ",""),8),7,2)),"")))</f>
        <v/>
      </c>
      <c r="Y1483" s="32">
        <f>IF($X1483="","",INT($X1483))</f>
        <v/>
      </c>
      <c r="Z1483" s="33">
        <f>IF(OR($Y1483="",$D$6=""),"",IF(INDEX($A:$U,ROW(),$D$6)="",0,IF(ISNUMBER(INDEX($A:$U,ROW(),$D$6)),INDEX($A:$U,ROW(),$D$6),IFERROR(--SUBSTITUTE(SUBSTITUTE(TRIM(INDEX($A:$U,ROW(),$D$6)),",",""),"원",""),0))))</f>
        <v/>
      </c>
      <c r="AA1483" s="31">
        <f>IF($Y1483="","",TRIM(INDEX($A:$U,ROW(),$E$6)&amp;IF($F$6="",""," "&amp;INDEX($A:$U,ROW(),$F$6))))</f>
        <v/>
      </c>
      <c r="AB1483" s="31">
        <f>IF($AA1483="","",SUBSTITUTE(SUBSTITUTE(SUBSTITUTE(SUBSTITUTE(SUBSTITUTE(SUBSTITUTE(SUBSTITUTE(SUBSTITUTE(SUBSTITUTE($AA1483," ",""),"　",""),"(주)",""),"（주）",""),"㈜",""),"주식회사",""),"(유)",""),"（유）",""),"유한회사",""))</f>
        <v/>
      </c>
      <c r="AC1483" s="31">
        <f>IF(OR($Y1483="",N($Z1483)&lt;=0,$AB1483=""),0,IFERROR(LOOKUP(2,1/((거래처별!$AC$8:$AC$307&lt;&gt;"")*ISNUMBER(SEARCH(거래처별!$AC$8:$AC$307,$AB1483))),거래처별!$A$8:$A$307),IFERROR(LOOKUP(2,1/((거래처별!$AD$8:$AD$307&lt;&gt;"")*ISNUMBER(SEARCH(거래처별!$AD$8:$AD$307,$AB1483))),거래처별!$A$8:$A$307),IFERROR(LOOKUP(2,1/((거래처별!$AE$8:$AE$307&lt;&gt;"")*ISNUMBER(SEARCH(거래처별!$AE$8:$AE$307,$AB1483))),거래처별!$A$8:$A$307),0))))</f>
        <v/>
      </c>
      <c r="AD1483" s="31">
        <f>IF(AND($Y1483&lt;&gt;"",N($Z1483)&gt;0,$AC1483=0),MAX($AD$7:$AD1482)+1,"")</f>
        <v/>
      </c>
      <c r="AE1483" s="31">
        <f>IF($Y1483="",0,$Y1483)</f>
        <v/>
      </c>
    </row>
    <row r="1484">
      <c r="W1484" s="31">
        <f>IF(OR($B$5="",$C$6="",ROW()&lt;$B$5),"",IF(INDEX($A:$U,ROW(),$C$6)="","",INDEX($A:$U,ROW(),$C$6)))</f>
        <v/>
      </c>
      <c r="X1484" s="32">
        <f>IF($W1484="","",IF(ISNUMBER($W1484),IF($W1484&gt;=10000000,IFERROR(DATE(INT($W1484/10000),MOD(INT($W1484/100),100),MOD($W1484,100)),""),INT($W1484)),IFERROR(DATE(--LEFT(LEFT(SUBSTITUTE(SUBSTITUTE(SUBSTITUTE(SUBSTITUTE(TRIM($W1484),"-",""),".",""),"/","")," ",""),8),4),--MID(LEFT(SUBSTITUTE(SUBSTITUTE(SUBSTITUTE(SUBSTITUTE(TRIM($W1484),"-",""),".",""),"/","")," ",""),8),5,2),--MID(LEFT(SUBSTITUTE(SUBSTITUTE(SUBSTITUTE(SUBSTITUTE(TRIM($W1484),"-",""),".",""),"/","")," ",""),8),7,2)),"")))</f>
        <v/>
      </c>
      <c r="Y1484" s="32">
        <f>IF($X1484="","",INT($X1484))</f>
        <v/>
      </c>
      <c r="Z1484" s="33">
        <f>IF(OR($Y1484="",$D$6=""),"",IF(INDEX($A:$U,ROW(),$D$6)="",0,IF(ISNUMBER(INDEX($A:$U,ROW(),$D$6)),INDEX($A:$U,ROW(),$D$6),IFERROR(--SUBSTITUTE(SUBSTITUTE(TRIM(INDEX($A:$U,ROW(),$D$6)),",",""),"원",""),0))))</f>
        <v/>
      </c>
      <c r="AA1484" s="31">
        <f>IF($Y1484="","",TRIM(INDEX($A:$U,ROW(),$E$6)&amp;IF($F$6="",""," "&amp;INDEX($A:$U,ROW(),$F$6))))</f>
        <v/>
      </c>
      <c r="AB1484" s="31">
        <f>IF($AA1484="","",SUBSTITUTE(SUBSTITUTE(SUBSTITUTE(SUBSTITUTE(SUBSTITUTE(SUBSTITUTE(SUBSTITUTE(SUBSTITUTE(SUBSTITUTE($AA1484," ",""),"　",""),"(주)",""),"（주）",""),"㈜",""),"주식회사",""),"(유)",""),"（유）",""),"유한회사",""))</f>
        <v/>
      </c>
      <c r="AC1484" s="31">
        <f>IF(OR($Y1484="",N($Z1484)&lt;=0,$AB1484=""),0,IFERROR(LOOKUP(2,1/((거래처별!$AC$8:$AC$307&lt;&gt;"")*ISNUMBER(SEARCH(거래처별!$AC$8:$AC$307,$AB1484))),거래처별!$A$8:$A$307),IFERROR(LOOKUP(2,1/((거래처별!$AD$8:$AD$307&lt;&gt;"")*ISNUMBER(SEARCH(거래처별!$AD$8:$AD$307,$AB1484))),거래처별!$A$8:$A$307),IFERROR(LOOKUP(2,1/((거래처별!$AE$8:$AE$307&lt;&gt;"")*ISNUMBER(SEARCH(거래처별!$AE$8:$AE$307,$AB1484))),거래처별!$A$8:$A$307),0))))</f>
        <v/>
      </c>
      <c r="AD1484" s="31">
        <f>IF(AND($Y1484&lt;&gt;"",N($Z1484)&gt;0,$AC1484=0),MAX($AD$7:$AD1483)+1,"")</f>
        <v/>
      </c>
      <c r="AE1484" s="31">
        <f>IF($Y1484="",0,$Y1484)</f>
        <v/>
      </c>
    </row>
    <row r="1485">
      <c r="W1485" s="31">
        <f>IF(OR($B$5="",$C$6="",ROW()&lt;$B$5),"",IF(INDEX($A:$U,ROW(),$C$6)="","",INDEX($A:$U,ROW(),$C$6)))</f>
        <v/>
      </c>
      <c r="X1485" s="32">
        <f>IF($W1485="","",IF(ISNUMBER($W1485),IF($W1485&gt;=10000000,IFERROR(DATE(INT($W1485/10000),MOD(INT($W1485/100),100),MOD($W1485,100)),""),INT($W1485)),IFERROR(DATE(--LEFT(LEFT(SUBSTITUTE(SUBSTITUTE(SUBSTITUTE(SUBSTITUTE(TRIM($W1485),"-",""),".",""),"/","")," ",""),8),4),--MID(LEFT(SUBSTITUTE(SUBSTITUTE(SUBSTITUTE(SUBSTITUTE(TRIM($W1485),"-",""),".",""),"/","")," ",""),8),5,2),--MID(LEFT(SUBSTITUTE(SUBSTITUTE(SUBSTITUTE(SUBSTITUTE(TRIM($W1485),"-",""),".",""),"/","")," ",""),8),7,2)),"")))</f>
        <v/>
      </c>
      <c r="Y1485" s="32">
        <f>IF($X1485="","",INT($X1485))</f>
        <v/>
      </c>
      <c r="Z1485" s="33">
        <f>IF(OR($Y1485="",$D$6=""),"",IF(INDEX($A:$U,ROW(),$D$6)="",0,IF(ISNUMBER(INDEX($A:$U,ROW(),$D$6)),INDEX($A:$U,ROW(),$D$6),IFERROR(--SUBSTITUTE(SUBSTITUTE(TRIM(INDEX($A:$U,ROW(),$D$6)),",",""),"원",""),0))))</f>
        <v/>
      </c>
      <c r="AA1485" s="31">
        <f>IF($Y1485="","",TRIM(INDEX($A:$U,ROW(),$E$6)&amp;IF($F$6="",""," "&amp;INDEX($A:$U,ROW(),$F$6))))</f>
        <v/>
      </c>
      <c r="AB1485" s="31">
        <f>IF($AA1485="","",SUBSTITUTE(SUBSTITUTE(SUBSTITUTE(SUBSTITUTE(SUBSTITUTE(SUBSTITUTE(SUBSTITUTE(SUBSTITUTE(SUBSTITUTE($AA1485," ",""),"　",""),"(주)",""),"（주）",""),"㈜",""),"주식회사",""),"(유)",""),"（유）",""),"유한회사",""))</f>
        <v/>
      </c>
      <c r="AC1485" s="31">
        <f>IF(OR($Y1485="",N($Z1485)&lt;=0,$AB1485=""),0,IFERROR(LOOKUP(2,1/((거래처별!$AC$8:$AC$307&lt;&gt;"")*ISNUMBER(SEARCH(거래처별!$AC$8:$AC$307,$AB1485))),거래처별!$A$8:$A$307),IFERROR(LOOKUP(2,1/((거래처별!$AD$8:$AD$307&lt;&gt;"")*ISNUMBER(SEARCH(거래처별!$AD$8:$AD$307,$AB1485))),거래처별!$A$8:$A$307),IFERROR(LOOKUP(2,1/((거래처별!$AE$8:$AE$307&lt;&gt;"")*ISNUMBER(SEARCH(거래처별!$AE$8:$AE$307,$AB1485))),거래처별!$A$8:$A$307),0))))</f>
        <v/>
      </c>
      <c r="AD1485" s="31">
        <f>IF(AND($Y1485&lt;&gt;"",N($Z1485)&gt;0,$AC1485=0),MAX($AD$7:$AD1484)+1,"")</f>
        <v/>
      </c>
      <c r="AE1485" s="31">
        <f>IF($Y1485="",0,$Y1485)</f>
        <v/>
      </c>
    </row>
    <row r="1486">
      <c r="W1486" s="31">
        <f>IF(OR($B$5="",$C$6="",ROW()&lt;$B$5),"",IF(INDEX($A:$U,ROW(),$C$6)="","",INDEX($A:$U,ROW(),$C$6)))</f>
        <v/>
      </c>
      <c r="X1486" s="32">
        <f>IF($W1486="","",IF(ISNUMBER($W1486),IF($W1486&gt;=10000000,IFERROR(DATE(INT($W1486/10000),MOD(INT($W1486/100),100),MOD($W1486,100)),""),INT($W1486)),IFERROR(DATE(--LEFT(LEFT(SUBSTITUTE(SUBSTITUTE(SUBSTITUTE(SUBSTITUTE(TRIM($W1486),"-",""),".",""),"/","")," ",""),8),4),--MID(LEFT(SUBSTITUTE(SUBSTITUTE(SUBSTITUTE(SUBSTITUTE(TRIM($W1486),"-",""),".",""),"/","")," ",""),8),5,2),--MID(LEFT(SUBSTITUTE(SUBSTITUTE(SUBSTITUTE(SUBSTITUTE(TRIM($W1486),"-",""),".",""),"/","")," ",""),8),7,2)),"")))</f>
        <v/>
      </c>
      <c r="Y1486" s="32">
        <f>IF($X1486="","",INT($X1486))</f>
        <v/>
      </c>
      <c r="Z1486" s="33">
        <f>IF(OR($Y1486="",$D$6=""),"",IF(INDEX($A:$U,ROW(),$D$6)="",0,IF(ISNUMBER(INDEX($A:$U,ROW(),$D$6)),INDEX($A:$U,ROW(),$D$6),IFERROR(--SUBSTITUTE(SUBSTITUTE(TRIM(INDEX($A:$U,ROW(),$D$6)),",",""),"원",""),0))))</f>
        <v/>
      </c>
      <c r="AA1486" s="31">
        <f>IF($Y1486="","",TRIM(INDEX($A:$U,ROW(),$E$6)&amp;IF($F$6="",""," "&amp;INDEX($A:$U,ROW(),$F$6))))</f>
        <v/>
      </c>
      <c r="AB1486" s="31">
        <f>IF($AA1486="","",SUBSTITUTE(SUBSTITUTE(SUBSTITUTE(SUBSTITUTE(SUBSTITUTE(SUBSTITUTE(SUBSTITUTE(SUBSTITUTE(SUBSTITUTE($AA1486," ",""),"　",""),"(주)",""),"（주）",""),"㈜",""),"주식회사",""),"(유)",""),"（유）",""),"유한회사",""))</f>
        <v/>
      </c>
      <c r="AC1486" s="31">
        <f>IF(OR($Y1486="",N($Z1486)&lt;=0,$AB1486=""),0,IFERROR(LOOKUP(2,1/((거래처별!$AC$8:$AC$307&lt;&gt;"")*ISNUMBER(SEARCH(거래처별!$AC$8:$AC$307,$AB1486))),거래처별!$A$8:$A$307),IFERROR(LOOKUP(2,1/((거래처별!$AD$8:$AD$307&lt;&gt;"")*ISNUMBER(SEARCH(거래처별!$AD$8:$AD$307,$AB1486))),거래처별!$A$8:$A$307),IFERROR(LOOKUP(2,1/((거래처별!$AE$8:$AE$307&lt;&gt;"")*ISNUMBER(SEARCH(거래처별!$AE$8:$AE$307,$AB1486))),거래처별!$A$8:$A$307),0))))</f>
        <v/>
      </c>
      <c r="AD1486" s="31">
        <f>IF(AND($Y1486&lt;&gt;"",N($Z1486)&gt;0,$AC1486=0),MAX($AD$7:$AD1485)+1,"")</f>
        <v/>
      </c>
      <c r="AE1486" s="31">
        <f>IF($Y1486="",0,$Y1486)</f>
        <v/>
      </c>
    </row>
    <row r="1487">
      <c r="W1487" s="31">
        <f>IF(OR($B$5="",$C$6="",ROW()&lt;$B$5),"",IF(INDEX($A:$U,ROW(),$C$6)="","",INDEX($A:$U,ROW(),$C$6)))</f>
        <v/>
      </c>
      <c r="X1487" s="32">
        <f>IF($W1487="","",IF(ISNUMBER($W1487),IF($W1487&gt;=10000000,IFERROR(DATE(INT($W1487/10000),MOD(INT($W1487/100),100),MOD($W1487,100)),""),INT($W1487)),IFERROR(DATE(--LEFT(LEFT(SUBSTITUTE(SUBSTITUTE(SUBSTITUTE(SUBSTITUTE(TRIM($W1487),"-",""),".",""),"/","")," ",""),8),4),--MID(LEFT(SUBSTITUTE(SUBSTITUTE(SUBSTITUTE(SUBSTITUTE(TRIM($W1487),"-",""),".",""),"/","")," ",""),8),5,2),--MID(LEFT(SUBSTITUTE(SUBSTITUTE(SUBSTITUTE(SUBSTITUTE(TRIM($W1487),"-",""),".",""),"/","")," ",""),8),7,2)),"")))</f>
        <v/>
      </c>
      <c r="Y1487" s="32">
        <f>IF($X1487="","",INT($X1487))</f>
        <v/>
      </c>
      <c r="Z1487" s="33">
        <f>IF(OR($Y1487="",$D$6=""),"",IF(INDEX($A:$U,ROW(),$D$6)="",0,IF(ISNUMBER(INDEX($A:$U,ROW(),$D$6)),INDEX($A:$U,ROW(),$D$6),IFERROR(--SUBSTITUTE(SUBSTITUTE(TRIM(INDEX($A:$U,ROW(),$D$6)),",",""),"원",""),0))))</f>
        <v/>
      </c>
      <c r="AA1487" s="31">
        <f>IF($Y1487="","",TRIM(INDEX($A:$U,ROW(),$E$6)&amp;IF($F$6="",""," "&amp;INDEX($A:$U,ROW(),$F$6))))</f>
        <v/>
      </c>
      <c r="AB1487" s="31">
        <f>IF($AA1487="","",SUBSTITUTE(SUBSTITUTE(SUBSTITUTE(SUBSTITUTE(SUBSTITUTE(SUBSTITUTE(SUBSTITUTE(SUBSTITUTE(SUBSTITUTE($AA1487," ",""),"　",""),"(주)",""),"（주）",""),"㈜",""),"주식회사",""),"(유)",""),"（유）",""),"유한회사",""))</f>
        <v/>
      </c>
      <c r="AC1487" s="31">
        <f>IF(OR($Y1487="",N($Z1487)&lt;=0,$AB1487=""),0,IFERROR(LOOKUP(2,1/((거래처별!$AC$8:$AC$307&lt;&gt;"")*ISNUMBER(SEARCH(거래처별!$AC$8:$AC$307,$AB1487))),거래처별!$A$8:$A$307),IFERROR(LOOKUP(2,1/((거래처별!$AD$8:$AD$307&lt;&gt;"")*ISNUMBER(SEARCH(거래처별!$AD$8:$AD$307,$AB1487))),거래처별!$A$8:$A$307),IFERROR(LOOKUP(2,1/((거래처별!$AE$8:$AE$307&lt;&gt;"")*ISNUMBER(SEARCH(거래처별!$AE$8:$AE$307,$AB1487))),거래처별!$A$8:$A$307),0))))</f>
        <v/>
      </c>
      <c r="AD1487" s="31">
        <f>IF(AND($Y1487&lt;&gt;"",N($Z1487)&gt;0,$AC1487=0),MAX($AD$7:$AD1486)+1,"")</f>
        <v/>
      </c>
      <c r="AE1487" s="31">
        <f>IF($Y1487="",0,$Y1487)</f>
        <v/>
      </c>
    </row>
    <row r="1488">
      <c r="W1488" s="31">
        <f>IF(OR($B$5="",$C$6="",ROW()&lt;$B$5),"",IF(INDEX($A:$U,ROW(),$C$6)="","",INDEX($A:$U,ROW(),$C$6)))</f>
        <v/>
      </c>
      <c r="X1488" s="32">
        <f>IF($W1488="","",IF(ISNUMBER($W1488),IF($W1488&gt;=10000000,IFERROR(DATE(INT($W1488/10000),MOD(INT($W1488/100),100),MOD($W1488,100)),""),INT($W1488)),IFERROR(DATE(--LEFT(LEFT(SUBSTITUTE(SUBSTITUTE(SUBSTITUTE(SUBSTITUTE(TRIM($W1488),"-",""),".",""),"/","")," ",""),8),4),--MID(LEFT(SUBSTITUTE(SUBSTITUTE(SUBSTITUTE(SUBSTITUTE(TRIM($W1488),"-",""),".",""),"/","")," ",""),8),5,2),--MID(LEFT(SUBSTITUTE(SUBSTITUTE(SUBSTITUTE(SUBSTITUTE(TRIM($W1488),"-",""),".",""),"/","")," ",""),8),7,2)),"")))</f>
        <v/>
      </c>
      <c r="Y1488" s="32">
        <f>IF($X1488="","",INT($X1488))</f>
        <v/>
      </c>
      <c r="Z1488" s="33">
        <f>IF(OR($Y1488="",$D$6=""),"",IF(INDEX($A:$U,ROW(),$D$6)="",0,IF(ISNUMBER(INDEX($A:$U,ROW(),$D$6)),INDEX($A:$U,ROW(),$D$6),IFERROR(--SUBSTITUTE(SUBSTITUTE(TRIM(INDEX($A:$U,ROW(),$D$6)),",",""),"원",""),0))))</f>
        <v/>
      </c>
      <c r="AA1488" s="31">
        <f>IF($Y1488="","",TRIM(INDEX($A:$U,ROW(),$E$6)&amp;IF($F$6="",""," "&amp;INDEX($A:$U,ROW(),$F$6))))</f>
        <v/>
      </c>
      <c r="AB1488" s="31">
        <f>IF($AA1488="","",SUBSTITUTE(SUBSTITUTE(SUBSTITUTE(SUBSTITUTE(SUBSTITUTE(SUBSTITUTE(SUBSTITUTE(SUBSTITUTE(SUBSTITUTE($AA1488," ",""),"　",""),"(주)",""),"（주）",""),"㈜",""),"주식회사",""),"(유)",""),"（유）",""),"유한회사",""))</f>
        <v/>
      </c>
      <c r="AC1488" s="31">
        <f>IF(OR($Y1488="",N($Z1488)&lt;=0,$AB1488=""),0,IFERROR(LOOKUP(2,1/((거래처별!$AC$8:$AC$307&lt;&gt;"")*ISNUMBER(SEARCH(거래처별!$AC$8:$AC$307,$AB1488))),거래처별!$A$8:$A$307),IFERROR(LOOKUP(2,1/((거래처별!$AD$8:$AD$307&lt;&gt;"")*ISNUMBER(SEARCH(거래처별!$AD$8:$AD$307,$AB1488))),거래처별!$A$8:$A$307),IFERROR(LOOKUP(2,1/((거래처별!$AE$8:$AE$307&lt;&gt;"")*ISNUMBER(SEARCH(거래처별!$AE$8:$AE$307,$AB1488))),거래처별!$A$8:$A$307),0))))</f>
        <v/>
      </c>
      <c r="AD1488" s="31">
        <f>IF(AND($Y1488&lt;&gt;"",N($Z1488)&gt;0,$AC1488=0),MAX($AD$7:$AD1487)+1,"")</f>
        <v/>
      </c>
      <c r="AE1488" s="31">
        <f>IF($Y1488="",0,$Y1488)</f>
        <v/>
      </c>
    </row>
    <row r="1489">
      <c r="W1489" s="31">
        <f>IF(OR($B$5="",$C$6="",ROW()&lt;$B$5),"",IF(INDEX($A:$U,ROW(),$C$6)="","",INDEX($A:$U,ROW(),$C$6)))</f>
        <v/>
      </c>
      <c r="X1489" s="32">
        <f>IF($W1489="","",IF(ISNUMBER($W1489),IF($W1489&gt;=10000000,IFERROR(DATE(INT($W1489/10000),MOD(INT($W1489/100),100),MOD($W1489,100)),""),INT($W1489)),IFERROR(DATE(--LEFT(LEFT(SUBSTITUTE(SUBSTITUTE(SUBSTITUTE(SUBSTITUTE(TRIM($W1489),"-",""),".",""),"/","")," ",""),8),4),--MID(LEFT(SUBSTITUTE(SUBSTITUTE(SUBSTITUTE(SUBSTITUTE(TRIM($W1489),"-",""),".",""),"/","")," ",""),8),5,2),--MID(LEFT(SUBSTITUTE(SUBSTITUTE(SUBSTITUTE(SUBSTITUTE(TRIM($W1489),"-",""),".",""),"/","")," ",""),8),7,2)),"")))</f>
        <v/>
      </c>
      <c r="Y1489" s="32">
        <f>IF($X1489="","",INT($X1489))</f>
        <v/>
      </c>
      <c r="Z1489" s="33">
        <f>IF(OR($Y1489="",$D$6=""),"",IF(INDEX($A:$U,ROW(),$D$6)="",0,IF(ISNUMBER(INDEX($A:$U,ROW(),$D$6)),INDEX($A:$U,ROW(),$D$6),IFERROR(--SUBSTITUTE(SUBSTITUTE(TRIM(INDEX($A:$U,ROW(),$D$6)),",",""),"원",""),0))))</f>
        <v/>
      </c>
      <c r="AA1489" s="31">
        <f>IF($Y1489="","",TRIM(INDEX($A:$U,ROW(),$E$6)&amp;IF($F$6="",""," "&amp;INDEX($A:$U,ROW(),$F$6))))</f>
        <v/>
      </c>
      <c r="AB1489" s="31">
        <f>IF($AA1489="","",SUBSTITUTE(SUBSTITUTE(SUBSTITUTE(SUBSTITUTE(SUBSTITUTE(SUBSTITUTE(SUBSTITUTE(SUBSTITUTE(SUBSTITUTE($AA1489," ",""),"　",""),"(주)",""),"（주）",""),"㈜",""),"주식회사",""),"(유)",""),"（유）",""),"유한회사",""))</f>
        <v/>
      </c>
      <c r="AC1489" s="31">
        <f>IF(OR($Y1489="",N($Z1489)&lt;=0,$AB1489=""),0,IFERROR(LOOKUP(2,1/((거래처별!$AC$8:$AC$307&lt;&gt;"")*ISNUMBER(SEARCH(거래처별!$AC$8:$AC$307,$AB1489))),거래처별!$A$8:$A$307),IFERROR(LOOKUP(2,1/((거래처별!$AD$8:$AD$307&lt;&gt;"")*ISNUMBER(SEARCH(거래처별!$AD$8:$AD$307,$AB1489))),거래처별!$A$8:$A$307),IFERROR(LOOKUP(2,1/((거래처별!$AE$8:$AE$307&lt;&gt;"")*ISNUMBER(SEARCH(거래처별!$AE$8:$AE$307,$AB1489))),거래처별!$A$8:$A$307),0))))</f>
        <v/>
      </c>
      <c r="AD1489" s="31">
        <f>IF(AND($Y1489&lt;&gt;"",N($Z1489)&gt;0,$AC1489=0),MAX($AD$7:$AD1488)+1,"")</f>
        <v/>
      </c>
      <c r="AE1489" s="31">
        <f>IF($Y1489="",0,$Y1489)</f>
        <v/>
      </c>
    </row>
    <row r="1490">
      <c r="W1490" s="31">
        <f>IF(OR($B$5="",$C$6="",ROW()&lt;$B$5),"",IF(INDEX($A:$U,ROW(),$C$6)="","",INDEX($A:$U,ROW(),$C$6)))</f>
        <v/>
      </c>
      <c r="X1490" s="32">
        <f>IF($W1490="","",IF(ISNUMBER($W1490),IF($W1490&gt;=10000000,IFERROR(DATE(INT($W1490/10000),MOD(INT($W1490/100),100),MOD($W1490,100)),""),INT($W1490)),IFERROR(DATE(--LEFT(LEFT(SUBSTITUTE(SUBSTITUTE(SUBSTITUTE(SUBSTITUTE(TRIM($W1490),"-",""),".",""),"/","")," ",""),8),4),--MID(LEFT(SUBSTITUTE(SUBSTITUTE(SUBSTITUTE(SUBSTITUTE(TRIM($W1490),"-",""),".",""),"/","")," ",""),8),5,2),--MID(LEFT(SUBSTITUTE(SUBSTITUTE(SUBSTITUTE(SUBSTITUTE(TRIM($W1490),"-",""),".",""),"/","")," ",""),8),7,2)),"")))</f>
        <v/>
      </c>
      <c r="Y1490" s="32">
        <f>IF($X1490="","",INT($X1490))</f>
        <v/>
      </c>
      <c r="Z1490" s="33">
        <f>IF(OR($Y1490="",$D$6=""),"",IF(INDEX($A:$U,ROW(),$D$6)="",0,IF(ISNUMBER(INDEX($A:$U,ROW(),$D$6)),INDEX($A:$U,ROW(),$D$6),IFERROR(--SUBSTITUTE(SUBSTITUTE(TRIM(INDEX($A:$U,ROW(),$D$6)),",",""),"원",""),0))))</f>
        <v/>
      </c>
      <c r="AA1490" s="31">
        <f>IF($Y1490="","",TRIM(INDEX($A:$U,ROW(),$E$6)&amp;IF($F$6="",""," "&amp;INDEX($A:$U,ROW(),$F$6))))</f>
        <v/>
      </c>
      <c r="AB1490" s="31">
        <f>IF($AA1490="","",SUBSTITUTE(SUBSTITUTE(SUBSTITUTE(SUBSTITUTE(SUBSTITUTE(SUBSTITUTE(SUBSTITUTE(SUBSTITUTE(SUBSTITUTE($AA1490," ",""),"　",""),"(주)",""),"（주）",""),"㈜",""),"주식회사",""),"(유)",""),"（유）",""),"유한회사",""))</f>
        <v/>
      </c>
      <c r="AC1490" s="31">
        <f>IF(OR($Y1490="",N($Z1490)&lt;=0,$AB1490=""),0,IFERROR(LOOKUP(2,1/((거래처별!$AC$8:$AC$307&lt;&gt;"")*ISNUMBER(SEARCH(거래처별!$AC$8:$AC$307,$AB1490))),거래처별!$A$8:$A$307),IFERROR(LOOKUP(2,1/((거래처별!$AD$8:$AD$307&lt;&gt;"")*ISNUMBER(SEARCH(거래처별!$AD$8:$AD$307,$AB1490))),거래처별!$A$8:$A$307),IFERROR(LOOKUP(2,1/((거래처별!$AE$8:$AE$307&lt;&gt;"")*ISNUMBER(SEARCH(거래처별!$AE$8:$AE$307,$AB1490))),거래처별!$A$8:$A$307),0))))</f>
        <v/>
      </c>
      <c r="AD1490" s="31">
        <f>IF(AND($Y1490&lt;&gt;"",N($Z1490)&gt;0,$AC1490=0),MAX($AD$7:$AD1489)+1,"")</f>
        <v/>
      </c>
      <c r="AE1490" s="31">
        <f>IF($Y1490="",0,$Y1490)</f>
        <v/>
      </c>
    </row>
    <row r="1491">
      <c r="W1491" s="31">
        <f>IF(OR($B$5="",$C$6="",ROW()&lt;$B$5),"",IF(INDEX($A:$U,ROW(),$C$6)="","",INDEX($A:$U,ROW(),$C$6)))</f>
        <v/>
      </c>
      <c r="X1491" s="32">
        <f>IF($W1491="","",IF(ISNUMBER($W1491),IF($W1491&gt;=10000000,IFERROR(DATE(INT($W1491/10000),MOD(INT($W1491/100),100),MOD($W1491,100)),""),INT($W1491)),IFERROR(DATE(--LEFT(LEFT(SUBSTITUTE(SUBSTITUTE(SUBSTITUTE(SUBSTITUTE(TRIM($W1491),"-",""),".",""),"/","")," ",""),8),4),--MID(LEFT(SUBSTITUTE(SUBSTITUTE(SUBSTITUTE(SUBSTITUTE(TRIM($W1491),"-",""),".",""),"/","")," ",""),8),5,2),--MID(LEFT(SUBSTITUTE(SUBSTITUTE(SUBSTITUTE(SUBSTITUTE(TRIM($W1491),"-",""),".",""),"/","")," ",""),8),7,2)),"")))</f>
        <v/>
      </c>
      <c r="Y1491" s="32">
        <f>IF($X1491="","",INT($X1491))</f>
        <v/>
      </c>
      <c r="Z1491" s="33">
        <f>IF(OR($Y1491="",$D$6=""),"",IF(INDEX($A:$U,ROW(),$D$6)="",0,IF(ISNUMBER(INDEX($A:$U,ROW(),$D$6)),INDEX($A:$U,ROW(),$D$6),IFERROR(--SUBSTITUTE(SUBSTITUTE(TRIM(INDEX($A:$U,ROW(),$D$6)),",",""),"원",""),0))))</f>
        <v/>
      </c>
      <c r="AA1491" s="31">
        <f>IF($Y1491="","",TRIM(INDEX($A:$U,ROW(),$E$6)&amp;IF($F$6="",""," "&amp;INDEX($A:$U,ROW(),$F$6))))</f>
        <v/>
      </c>
      <c r="AB1491" s="31">
        <f>IF($AA1491="","",SUBSTITUTE(SUBSTITUTE(SUBSTITUTE(SUBSTITUTE(SUBSTITUTE(SUBSTITUTE(SUBSTITUTE(SUBSTITUTE(SUBSTITUTE($AA1491," ",""),"　",""),"(주)",""),"（주）",""),"㈜",""),"주식회사",""),"(유)",""),"（유）",""),"유한회사",""))</f>
        <v/>
      </c>
      <c r="AC1491" s="31">
        <f>IF(OR($Y1491="",N($Z1491)&lt;=0,$AB1491=""),0,IFERROR(LOOKUP(2,1/((거래처별!$AC$8:$AC$307&lt;&gt;"")*ISNUMBER(SEARCH(거래처별!$AC$8:$AC$307,$AB1491))),거래처별!$A$8:$A$307),IFERROR(LOOKUP(2,1/((거래처별!$AD$8:$AD$307&lt;&gt;"")*ISNUMBER(SEARCH(거래처별!$AD$8:$AD$307,$AB1491))),거래처별!$A$8:$A$307),IFERROR(LOOKUP(2,1/((거래처별!$AE$8:$AE$307&lt;&gt;"")*ISNUMBER(SEARCH(거래처별!$AE$8:$AE$307,$AB1491))),거래처별!$A$8:$A$307),0))))</f>
        <v/>
      </c>
      <c r="AD1491" s="31">
        <f>IF(AND($Y1491&lt;&gt;"",N($Z1491)&gt;0,$AC1491=0),MAX($AD$7:$AD1490)+1,"")</f>
        <v/>
      </c>
      <c r="AE1491" s="31">
        <f>IF($Y1491="",0,$Y1491)</f>
        <v/>
      </c>
    </row>
    <row r="1492">
      <c r="W1492" s="31">
        <f>IF(OR($B$5="",$C$6="",ROW()&lt;$B$5),"",IF(INDEX($A:$U,ROW(),$C$6)="","",INDEX($A:$U,ROW(),$C$6)))</f>
        <v/>
      </c>
      <c r="X1492" s="32">
        <f>IF($W1492="","",IF(ISNUMBER($W1492),IF($W1492&gt;=10000000,IFERROR(DATE(INT($W1492/10000),MOD(INT($W1492/100),100),MOD($W1492,100)),""),INT($W1492)),IFERROR(DATE(--LEFT(LEFT(SUBSTITUTE(SUBSTITUTE(SUBSTITUTE(SUBSTITUTE(TRIM($W1492),"-",""),".",""),"/","")," ",""),8),4),--MID(LEFT(SUBSTITUTE(SUBSTITUTE(SUBSTITUTE(SUBSTITUTE(TRIM($W1492),"-",""),".",""),"/","")," ",""),8),5,2),--MID(LEFT(SUBSTITUTE(SUBSTITUTE(SUBSTITUTE(SUBSTITUTE(TRIM($W1492),"-",""),".",""),"/","")," ",""),8),7,2)),"")))</f>
        <v/>
      </c>
      <c r="Y1492" s="32">
        <f>IF($X1492="","",INT($X1492))</f>
        <v/>
      </c>
      <c r="Z1492" s="33">
        <f>IF(OR($Y1492="",$D$6=""),"",IF(INDEX($A:$U,ROW(),$D$6)="",0,IF(ISNUMBER(INDEX($A:$U,ROW(),$D$6)),INDEX($A:$U,ROW(),$D$6),IFERROR(--SUBSTITUTE(SUBSTITUTE(TRIM(INDEX($A:$U,ROW(),$D$6)),",",""),"원",""),0))))</f>
        <v/>
      </c>
      <c r="AA1492" s="31">
        <f>IF($Y1492="","",TRIM(INDEX($A:$U,ROW(),$E$6)&amp;IF($F$6="",""," "&amp;INDEX($A:$U,ROW(),$F$6))))</f>
        <v/>
      </c>
      <c r="AB1492" s="31">
        <f>IF($AA1492="","",SUBSTITUTE(SUBSTITUTE(SUBSTITUTE(SUBSTITUTE(SUBSTITUTE(SUBSTITUTE(SUBSTITUTE(SUBSTITUTE(SUBSTITUTE($AA1492," ",""),"　",""),"(주)",""),"（주）",""),"㈜",""),"주식회사",""),"(유)",""),"（유）",""),"유한회사",""))</f>
        <v/>
      </c>
      <c r="AC1492" s="31">
        <f>IF(OR($Y1492="",N($Z1492)&lt;=0,$AB1492=""),0,IFERROR(LOOKUP(2,1/((거래처별!$AC$8:$AC$307&lt;&gt;"")*ISNUMBER(SEARCH(거래처별!$AC$8:$AC$307,$AB1492))),거래처별!$A$8:$A$307),IFERROR(LOOKUP(2,1/((거래처별!$AD$8:$AD$307&lt;&gt;"")*ISNUMBER(SEARCH(거래처별!$AD$8:$AD$307,$AB1492))),거래처별!$A$8:$A$307),IFERROR(LOOKUP(2,1/((거래처별!$AE$8:$AE$307&lt;&gt;"")*ISNUMBER(SEARCH(거래처별!$AE$8:$AE$307,$AB1492))),거래처별!$A$8:$A$307),0))))</f>
        <v/>
      </c>
      <c r="AD1492" s="31">
        <f>IF(AND($Y1492&lt;&gt;"",N($Z1492)&gt;0,$AC1492=0),MAX($AD$7:$AD1491)+1,"")</f>
        <v/>
      </c>
      <c r="AE1492" s="31">
        <f>IF($Y1492="",0,$Y1492)</f>
        <v/>
      </c>
    </row>
    <row r="1493">
      <c r="W1493" s="31">
        <f>IF(OR($B$5="",$C$6="",ROW()&lt;$B$5),"",IF(INDEX($A:$U,ROW(),$C$6)="","",INDEX($A:$U,ROW(),$C$6)))</f>
        <v/>
      </c>
      <c r="X1493" s="32">
        <f>IF($W1493="","",IF(ISNUMBER($W1493),IF($W1493&gt;=10000000,IFERROR(DATE(INT($W1493/10000),MOD(INT($W1493/100),100),MOD($W1493,100)),""),INT($W1493)),IFERROR(DATE(--LEFT(LEFT(SUBSTITUTE(SUBSTITUTE(SUBSTITUTE(SUBSTITUTE(TRIM($W1493),"-",""),".",""),"/","")," ",""),8),4),--MID(LEFT(SUBSTITUTE(SUBSTITUTE(SUBSTITUTE(SUBSTITUTE(TRIM($W1493),"-",""),".",""),"/","")," ",""),8),5,2),--MID(LEFT(SUBSTITUTE(SUBSTITUTE(SUBSTITUTE(SUBSTITUTE(TRIM($W1493),"-",""),".",""),"/","")," ",""),8),7,2)),"")))</f>
        <v/>
      </c>
      <c r="Y1493" s="32">
        <f>IF($X1493="","",INT($X1493))</f>
        <v/>
      </c>
      <c r="Z1493" s="33">
        <f>IF(OR($Y1493="",$D$6=""),"",IF(INDEX($A:$U,ROW(),$D$6)="",0,IF(ISNUMBER(INDEX($A:$U,ROW(),$D$6)),INDEX($A:$U,ROW(),$D$6),IFERROR(--SUBSTITUTE(SUBSTITUTE(TRIM(INDEX($A:$U,ROW(),$D$6)),",",""),"원",""),0))))</f>
        <v/>
      </c>
      <c r="AA1493" s="31">
        <f>IF($Y1493="","",TRIM(INDEX($A:$U,ROW(),$E$6)&amp;IF($F$6="",""," "&amp;INDEX($A:$U,ROW(),$F$6))))</f>
        <v/>
      </c>
      <c r="AB1493" s="31">
        <f>IF($AA1493="","",SUBSTITUTE(SUBSTITUTE(SUBSTITUTE(SUBSTITUTE(SUBSTITUTE(SUBSTITUTE(SUBSTITUTE(SUBSTITUTE(SUBSTITUTE($AA1493," ",""),"　",""),"(주)",""),"（주）",""),"㈜",""),"주식회사",""),"(유)",""),"（유）",""),"유한회사",""))</f>
        <v/>
      </c>
      <c r="AC1493" s="31">
        <f>IF(OR($Y1493="",N($Z1493)&lt;=0,$AB1493=""),0,IFERROR(LOOKUP(2,1/((거래처별!$AC$8:$AC$307&lt;&gt;"")*ISNUMBER(SEARCH(거래처별!$AC$8:$AC$307,$AB1493))),거래처별!$A$8:$A$307),IFERROR(LOOKUP(2,1/((거래처별!$AD$8:$AD$307&lt;&gt;"")*ISNUMBER(SEARCH(거래처별!$AD$8:$AD$307,$AB1493))),거래처별!$A$8:$A$307),IFERROR(LOOKUP(2,1/((거래처별!$AE$8:$AE$307&lt;&gt;"")*ISNUMBER(SEARCH(거래처별!$AE$8:$AE$307,$AB1493))),거래처별!$A$8:$A$307),0))))</f>
        <v/>
      </c>
      <c r="AD1493" s="31">
        <f>IF(AND($Y1493&lt;&gt;"",N($Z1493)&gt;0,$AC1493=0),MAX($AD$7:$AD1492)+1,"")</f>
        <v/>
      </c>
      <c r="AE1493" s="31">
        <f>IF($Y1493="",0,$Y1493)</f>
        <v/>
      </c>
    </row>
    <row r="1494">
      <c r="W1494" s="31">
        <f>IF(OR($B$5="",$C$6="",ROW()&lt;$B$5),"",IF(INDEX($A:$U,ROW(),$C$6)="","",INDEX($A:$U,ROW(),$C$6)))</f>
        <v/>
      </c>
      <c r="X1494" s="32">
        <f>IF($W1494="","",IF(ISNUMBER($W1494),IF($W1494&gt;=10000000,IFERROR(DATE(INT($W1494/10000),MOD(INT($W1494/100),100),MOD($W1494,100)),""),INT($W1494)),IFERROR(DATE(--LEFT(LEFT(SUBSTITUTE(SUBSTITUTE(SUBSTITUTE(SUBSTITUTE(TRIM($W1494),"-",""),".",""),"/","")," ",""),8),4),--MID(LEFT(SUBSTITUTE(SUBSTITUTE(SUBSTITUTE(SUBSTITUTE(TRIM($W1494),"-",""),".",""),"/","")," ",""),8),5,2),--MID(LEFT(SUBSTITUTE(SUBSTITUTE(SUBSTITUTE(SUBSTITUTE(TRIM($W1494),"-",""),".",""),"/","")," ",""),8),7,2)),"")))</f>
        <v/>
      </c>
      <c r="Y1494" s="32">
        <f>IF($X1494="","",INT($X1494))</f>
        <v/>
      </c>
      <c r="Z1494" s="33">
        <f>IF(OR($Y1494="",$D$6=""),"",IF(INDEX($A:$U,ROW(),$D$6)="",0,IF(ISNUMBER(INDEX($A:$U,ROW(),$D$6)),INDEX($A:$U,ROW(),$D$6),IFERROR(--SUBSTITUTE(SUBSTITUTE(TRIM(INDEX($A:$U,ROW(),$D$6)),",",""),"원",""),0))))</f>
        <v/>
      </c>
      <c r="AA1494" s="31">
        <f>IF($Y1494="","",TRIM(INDEX($A:$U,ROW(),$E$6)&amp;IF($F$6="",""," "&amp;INDEX($A:$U,ROW(),$F$6))))</f>
        <v/>
      </c>
      <c r="AB1494" s="31">
        <f>IF($AA1494="","",SUBSTITUTE(SUBSTITUTE(SUBSTITUTE(SUBSTITUTE(SUBSTITUTE(SUBSTITUTE(SUBSTITUTE(SUBSTITUTE(SUBSTITUTE($AA1494," ",""),"　",""),"(주)",""),"（주）",""),"㈜",""),"주식회사",""),"(유)",""),"（유）",""),"유한회사",""))</f>
        <v/>
      </c>
      <c r="AC1494" s="31">
        <f>IF(OR($Y1494="",N($Z1494)&lt;=0,$AB1494=""),0,IFERROR(LOOKUP(2,1/((거래처별!$AC$8:$AC$307&lt;&gt;"")*ISNUMBER(SEARCH(거래처별!$AC$8:$AC$307,$AB1494))),거래처별!$A$8:$A$307),IFERROR(LOOKUP(2,1/((거래처별!$AD$8:$AD$307&lt;&gt;"")*ISNUMBER(SEARCH(거래처별!$AD$8:$AD$307,$AB1494))),거래처별!$A$8:$A$307),IFERROR(LOOKUP(2,1/((거래처별!$AE$8:$AE$307&lt;&gt;"")*ISNUMBER(SEARCH(거래처별!$AE$8:$AE$307,$AB1494))),거래처별!$A$8:$A$307),0))))</f>
        <v/>
      </c>
      <c r="AD1494" s="31">
        <f>IF(AND($Y1494&lt;&gt;"",N($Z1494)&gt;0,$AC1494=0),MAX($AD$7:$AD1493)+1,"")</f>
        <v/>
      </c>
      <c r="AE1494" s="31">
        <f>IF($Y1494="",0,$Y1494)</f>
        <v/>
      </c>
    </row>
    <row r="1495">
      <c r="W1495" s="31">
        <f>IF(OR($B$5="",$C$6="",ROW()&lt;$B$5),"",IF(INDEX($A:$U,ROW(),$C$6)="","",INDEX($A:$U,ROW(),$C$6)))</f>
        <v/>
      </c>
      <c r="X1495" s="32">
        <f>IF($W1495="","",IF(ISNUMBER($W1495),IF($W1495&gt;=10000000,IFERROR(DATE(INT($W1495/10000),MOD(INT($W1495/100),100),MOD($W1495,100)),""),INT($W1495)),IFERROR(DATE(--LEFT(LEFT(SUBSTITUTE(SUBSTITUTE(SUBSTITUTE(SUBSTITUTE(TRIM($W1495),"-",""),".",""),"/","")," ",""),8),4),--MID(LEFT(SUBSTITUTE(SUBSTITUTE(SUBSTITUTE(SUBSTITUTE(TRIM($W1495),"-",""),".",""),"/","")," ",""),8),5,2),--MID(LEFT(SUBSTITUTE(SUBSTITUTE(SUBSTITUTE(SUBSTITUTE(TRIM($W1495),"-",""),".",""),"/","")," ",""),8),7,2)),"")))</f>
        <v/>
      </c>
      <c r="Y1495" s="32">
        <f>IF($X1495="","",INT($X1495))</f>
        <v/>
      </c>
      <c r="Z1495" s="33">
        <f>IF(OR($Y1495="",$D$6=""),"",IF(INDEX($A:$U,ROW(),$D$6)="",0,IF(ISNUMBER(INDEX($A:$U,ROW(),$D$6)),INDEX($A:$U,ROW(),$D$6),IFERROR(--SUBSTITUTE(SUBSTITUTE(TRIM(INDEX($A:$U,ROW(),$D$6)),",",""),"원",""),0))))</f>
        <v/>
      </c>
      <c r="AA1495" s="31">
        <f>IF($Y1495="","",TRIM(INDEX($A:$U,ROW(),$E$6)&amp;IF($F$6="",""," "&amp;INDEX($A:$U,ROW(),$F$6))))</f>
        <v/>
      </c>
      <c r="AB1495" s="31">
        <f>IF($AA1495="","",SUBSTITUTE(SUBSTITUTE(SUBSTITUTE(SUBSTITUTE(SUBSTITUTE(SUBSTITUTE(SUBSTITUTE(SUBSTITUTE(SUBSTITUTE($AA1495," ",""),"　",""),"(주)",""),"（주）",""),"㈜",""),"주식회사",""),"(유)",""),"（유）",""),"유한회사",""))</f>
        <v/>
      </c>
      <c r="AC1495" s="31">
        <f>IF(OR($Y1495="",N($Z1495)&lt;=0,$AB1495=""),0,IFERROR(LOOKUP(2,1/((거래처별!$AC$8:$AC$307&lt;&gt;"")*ISNUMBER(SEARCH(거래처별!$AC$8:$AC$307,$AB1495))),거래처별!$A$8:$A$307),IFERROR(LOOKUP(2,1/((거래처별!$AD$8:$AD$307&lt;&gt;"")*ISNUMBER(SEARCH(거래처별!$AD$8:$AD$307,$AB1495))),거래처별!$A$8:$A$307),IFERROR(LOOKUP(2,1/((거래처별!$AE$8:$AE$307&lt;&gt;"")*ISNUMBER(SEARCH(거래처별!$AE$8:$AE$307,$AB1495))),거래처별!$A$8:$A$307),0))))</f>
        <v/>
      </c>
      <c r="AD1495" s="31">
        <f>IF(AND($Y1495&lt;&gt;"",N($Z1495)&gt;0,$AC1495=0),MAX($AD$7:$AD1494)+1,"")</f>
        <v/>
      </c>
      <c r="AE1495" s="31">
        <f>IF($Y1495="",0,$Y1495)</f>
        <v/>
      </c>
    </row>
    <row r="1496">
      <c r="W1496" s="31">
        <f>IF(OR($B$5="",$C$6="",ROW()&lt;$B$5),"",IF(INDEX($A:$U,ROW(),$C$6)="","",INDEX($A:$U,ROW(),$C$6)))</f>
        <v/>
      </c>
      <c r="X1496" s="32">
        <f>IF($W1496="","",IF(ISNUMBER($W1496),IF($W1496&gt;=10000000,IFERROR(DATE(INT($W1496/10000),MOD(INT($W1496/100),100),MOD($W1496,100)),""),INT($W1496)),IFERROR(DATE(--LEFT(LEFT(SUBSTITUTE(SUBSTITUTE(SUBSTITUTE(SUBSTITUTE(TRIM($W1496),"-",""),".",""),"/","")," ",""),8),4),--MID(LEFT(SUBSTITUTE(SUBSTITUTE(SUBSTITUTE(SUBSTITUTE(TRIM($W1496),"-",""),".",""),"/","")," ",""),8),5,2),--MID(LEFT(SUBSTITUTE(SUBSTITUTE(SUBSTITUTE(SUBSTITUTE(TRIM($W1496),"-",""),".",""),"/","")," ",""),8),7,2)),"")))</f>
        <v/>
      </c>
      <c r="Y1496" s="32">
        <f>IF($X1496="","",INT($X1496))</f>
        <v/>
      </c>
      <c r="Z1496" s="33">
        <f>IF(OR($Y1496="",$D$6=""),"",IF(INDEX($A:$U,ROW(),$D$6)="",0,IF(ISNUMBER(INDEX($A:$U,ROW(),$D$6)),INDEX($A:$U,ROW(),$D$6),IFERROR(--SUBSTITUTE(SUBSTITUTE(TRIM(INDEX($A:$U,ROW(),$D$6)),",",""),"원",""),0))))</f>
        <v/>
      </c>
      <c r="AA1496" s="31">
        <f>IF($Y1496="","",TRIM(INDEX($A:$U,ROW(),$E$6)&amp;IF($F$6="",""," "&amp;INDEX($A:$U,ROW(),$F$6))))</f>
        <v/>
      </c>
      <c r="AB1496" s="31">
        <f>IF($AA1496="","",SUBSTITUTE(SUBSTITUTE(SUBSTITUTE(SUBSTITUTE(SUBSTITUTE(SUBSTITUTE(SUBSTITUTE(SUBSTITUTE(SUBSTITUTE($AA1496," ",""),"　",""),"(주)",""),"（주）",""),"㈜",""),"주식회사",""),"(유)",""),"（유）",""),"유한회사",""))</f>
        <v/>
      </c>
      <c r="AC1496" s="31">
        <f>IF(OR($Y1496="",N($Z1496)&lt;=0,$AB1496=""),0,IFERROR(LOOKUP(2,1/((거래처별!$AC$8:$AC$307&lt;&gt;"")*ISNUMBER(SEARCH(거래처별!$AC$8:$AC$307,$AB1496))),거래처별!$A$8:$A$307),IFERROR(LOOKUP(2,1/((거래처별!$AD$8:$AD$307&lt;&gt;"")*ISNUMBER(SEARCH(거래처별!$AD$8:$AD$307,$AB1496))),거래처별!$A$8:$A$307),IFERROR(LOOKUP(2,1/((거래처별!$AE$8:$AE$307&lt;&gt;"")*ISNUMBER(SEARCH(거래처별!$AE$8:$AE$307,$AB1496))),거래처별!$A$8:$A$307),0))))</f>
        <v/>
      </c>
      <c r="AD1496" s="31">
        <f>IF(AND($Y1496&lt;&gt;"",N($Z1496)&gt;0,$AC1496=0),MAX($AD$7:$AD1495)+1,"")</f>
        <v/>
      </c>
      <c r="AE1496" s="31">
        <f>IF($Y1496="",0,$Y1496)</f>
        <v/>
      </c>
    </row>
    <row r="1497">
      <c r="W1497" s="31">
        <f>IF(OR($B$5="",$C$6="",ROW()&lt;$B$5),"",IF(INDEX($A:$U,ROW(),$C$6)="","",INDEX($A:$U,ROW(),$C$6)))</f>
        <v/>
      </c>
      <c r="X1497" s="32">
        <f>IF($W1497="","",IF(ISNUMBER($W1497),IF($W1497&gt;=10000000,IFERROR(DATE(INT($W1497/10000),MOD(INT($W1497/100),100),MOD($W1497,100)),""),INT($W1497)),IFERROR(DATE(--LEFT(LEFT(SUBSTITUTE(SUBSTITUTE(SUBSTITUTE(SUBSTITUTE(TRIM($W1497),"-",""),".",""),"/","")," ",""),8),4),--MID(LEFT(SUBSTITUTE(SUBSTITUTE(SUBSTITUTE(SUBSTITUTE(TRIM($W1497),"-",""),".",""),"/","")," ",""),8),5,2),--MID(LEFT(SUBSTITUTE(SUBSTITUTE(SUBSTITUTE(SUBSTITUTE(TRIM($W1497),"-",""),".",""),"/","")," ",""),8),7,2)),"")))</f>
        <v/>
      </c>
      <c r="Y1497" s="32">
        <f>IF($X1497="","",INT($X1497))</f>
        <v/>
      </c>
      <c r="Z1497" s="33">
        <f>IF(OR($Y1497="",$D$6=""),"",IF(INDEX($A:$U,ROW(),$D$6)="",0,IF(ISNUMBER(INDEX($A:$U,ROW(),$D$6)),INDEX($A:$U,ROW(),$D$6),IFERROR(--SUBSTITUTE(SUBSTITUTE(TRIM(INDEX($A:$U,ROW(),$D$6)),",",""),"원",""),0))))</f>
        <v/>
      </c>
      <c r="AA1497" s="31">
        <f>IF($Y1497="","",TRIM(INDEX($A:$U,ROW(),$E$6)&amp;IF($F$6="",""," "&amp;INDEX($A:$U,ROW(),$F$6))))</f>
        <v/>
      </c>
      <c r="AB1497" s="31">
        <f>IF($AA1497="","",SUBSTITUTE(SUBSTITUTE(SUBSTITUTE(SUBSTITUTE(SUBSTITUTE(SUBSTITUTE(SUBSTITUTE(SUBSTITUTE(SUBSTITUTE($AA1497," ",""),"　",""),"(주)",""),"（주）",""),"㈜",""),"주식회사",""),"(유)",""),"（유）",""),"유한회사",""))</f>
        <v/>
      </c>
      <c r="AC1497" s="31">
        <f>IF(OR($Y1497="",N($Z1497)&lt;=0,$AB1497=""),0,IFERROR(LOOKUP(2,1/((거래처별!$AC$8:$AC$307&lt;&gt;"")*ISNUMBER(SEARCH(거래처별!$AC$8:$AC$307,$AB1497))),거래처별!$A$8:$A$307),IFERROR(LOOKUP(2,1/((거래처별!$AD$8:$AD$307&lt;&gt;"")*ISNUMBER(SEARCH(거래처별!$AD$8:$AD$307,$AB1497))),거래처별!$A$8:$A$307),IFERROR(LOOKUP(2,1/((거래처별!$AE$8:$AE$307&lt;&gt;"")*ISNUMBER(SEARCH(거래처별!$AE$8:$AE$307,$AB1497))),거래처별!$A$8:$A$307),0))))</f>
        <v/>
      </c>
      <c r="AD1497" s="31">
        <f>IF(AND($Y1497&lt;&gt;"",N($Z1497)&gt;0,$AC1497=0),MAX($AD$7:$AD1496)+1,"")</f>
        <v/>
      </c>
      <c r="AE1497" s="31">
        <f>IF($Y1497="",0,$Y1497)</f>
        <v/>
      </c>
    </row>
    <row r="1498">
      <c r="W1498" s="31">
        <f>IF(OR($B$5="",$C$6="",ROW()&lt;$B$5),"",IF(INDEX($A:$U,ROW(),$C$6)="","",INDEX($A:$U,ROW(),$C$6)))</f>
        <v/>
      </c>
      <c r="X1498" s="32">
        <f>IF($W1498="","",IF(ISNUMBER($W1498),IF($W1498&gt;=10000000,IFERROR(DATE(INT($W1498/10000),MOD(INT($W1498/100),100),MOD($W1498,100)),""),INT($W1498)),IFERROR(DATE(--LEFT(LEFT(SUBSTITUTE(SUBSTITUTE(SUBSTITUTE(SUBSTITUTE(TRIM($W1498),"-",""),".",""),"/","")," ",""),8),4),--MID(LEFT(SUBSTITUTE(SUBSTITUTE(SUBSTITUTE(SUBSTITUTE(TRIM($W1498),"-",""),".",""),"/","")," ",""),8),5,2),--MID(LEFT(SUBSTITUTE(SUBSTITUTE(SUBSTITUTE(SUBSTITUTE(TRIM($W1498),"-",""),".",""),"/","")," ",""),8),7,2)),"")))</f>
        <v/>
      </c>
      <c r="Y1498" s="32">
        <f>IF($X1498="","",INT($X1498))</f>
        <v/>
      </c>
      <c r="Z1498" s="33">
        <f>IF(OR($Y1498="",$D$6=""),"",IF(INDEX($A:$U,ROW(),$D$6)="",0,IF(ISNUMBER(INDEX($A:$U,ROW(),$D$6)),INDEX($A:$U,ROW(),$D$6),IFERROR(--SUBSTITUTE(SUBSTITUTE(TRIM(INDEX($A:$U,ROW(),$D$6)),",",""),"원",""),0))))</f>
        <v/>
      </c>
      <c r="AA1498" s="31">
        <f>IF($Y1498="","",TRIM(INDEX($A:$U,ROW(),$E$6)&amp;IF($F$6="",""," "&amp;INDEX($A:$U,ROW(),$F$6))))</f>
        <v/>
      </c>
      <c r="AB1498" s="31">
        <f>IF($AA1498="","",SUBSTITUTE(SUBSTITUTE(SUBSTITUTE(SUBSTITUTE(SUBSTITUTE(SUBSTITUTE(SUBSTITUTE(SUBSTITUTE(SUBSTITUTE($AA1498," ",""),"　",""),"(주)",""),"（주）",""),"㈜",""),"주식회사",""),"(유)",""),"（유）",""),"유한회사",""))</f>
        <v/>
      </c>
      <c r="AC1498" s="31">
        <f>IF(OR($Y1498="",N($Z1498)&lt;=0,$AB1498=""),0,IFERROR(LOOKUP(2,1/((거래처별!$AC$8:$AC$307&lt;&gt;"")*ISNUMBER(SEARCH(거래처별!$AC$8:$AC$307,$AB1498))),거래처별!$A$8:$A$307),IFERROR(LOOKUP(2,1/((거래처별!$AD$8:$AD$307&lt;&gt;"")*ISNUMBER(SEARCH(거래처별!$AD$8:$AD$307,$AB1498))),거래처별!$A$8:$A$307),IFERROR(LOOKUP(2,1/((거래처별!$AE$8:$AE$307&lt;&gt;"")*ISNUMBER(SEARCH(거래처별!$AE$8:$AE$307,$AB1498))),거래처별!$A$8:$A$307),0))))</f>
        <v/>
      </c>
      <c r="AD1498" s="31">
        <f>IF(AND($Y1498&lt;&gt;"",N($Z1498)&gt;0,$AC1498=0),MAX($AD$7:$AD1497)+1,"")</f>
        <v/>
      </c>
      <c r="AE1498" s="31">
        <f>IF($Y1498="",0,$Y1498)</f>
        <v/>
      </c>
    </row>
    <row r="1499">
      <c r="W1499" s="31">
        <f>IF(OR($B$5="",$C$6="",ROW()&lt;$B$5),"",IF(INDEX($A:$U,ROW(),$C$6)="","",INDEX($A:$U,ROW(),$C$6)))</f>
        <v/>
      </c>
      <c r="X1499" s="32">
        <f>IF($W1499="","",IF(ISNUMBER($W1499),IF($W1499&gt;=10000000,IFERROR(DATE(INT($W1499/10000),MOD(INT($W1499/100),100),MOD($W1499,100)),""),INT($W1499)),IFERROR(DATE(--LEFT(LEFT(SUBSTITUTE(SUBSTITUTE(SUBSTITUTE(SUBSTITUTE(TRIM($W1499),"-",""),".",""),"/","")," ",""),8),4),--MID(LEFT(SUBSTITUTE(SUBSTITUTE(SUBSTITUTE(SUBSTITUTE(TRIM($W1499),"-",""),".",""),"/","")," ",""),8),5,2),--MID(LEFT(SUBSTITUTE(SUBSTITUTE(SUBSTITUTE(SUBSTITUTE(TRIM($W1499),"-",""),".",""),"/","")," ",""),8),7,2)),"")))</f>
        <v/>
      </c>
      <c r="Y1499" s="32">
        <f>IF($X1499="","",INT($X1499))</f>
        <v/>
      </c>
      <c r="Z1499" s="33">
        <f>IF(OR($Y1499="",$D$6=""),"",IF(INDEX($A:$U,ROW(),$D$6)="",0,IF(ISNUMBER(INDEX($A:$U,ROW(),$D$6)),INDEX($A:$U,ROW(),$D$6),IFERROR(--SUBSTITUTE(SUBSTITUTE(TRIM(INDEX($A:$U,ROW(),$D$6)),",",""),"원",""),0))))</f>
        <v/>
      </c>
      <c r="AA1499" s="31">
        <f>IF($Y1499="","",TRIM(INDEX($A:$U,ROW(),$E$6)&amp;IF($F$6="",""," "&amp;INDEX($A:$U,ROW(),$F$6))))</f>
        <v/>
      </c>
      <c r="AB1499" s="31">
        <f>IF($AA1499="","",SUBSTITUTE(SUBSTITUTE(SUBSTITUTE(SUBSTITUTE(SUBSTITUTE(SUBSTITUTE(SUBSTITUTE(SUBSTITUTE(SUBSTITUTE($AA1499," ",""),"　",""),"(주)",""),"（주）",""),"㈜",""),"주식회사",""),"(유)",""),"（유）",""),"유한회사",""))</f>
        <v/>
      </c>
      <c r="AC1499" s="31">
        <f>IF(OR($Y1499="",N($Z1499)&lt;=0,$AB1499=""),0,IFERROR(LOOKUP(2,1/((거래처별!$AC$8:$AC$307&lt;&gt;"")*ISNUMBER(SEARCH(거래처별!$AC$8:$AC$307,$AB1499))),거래처별!$A$8:$A$307),IFERROR(LOOKUP(2,1/((거래처별!$AD$8:$AD$307&lt;&gt;"")*ISNUMBER(SEARCH(거래처별!$AD$8:$AD$307,$AB1499))),거래처별!$A$8:$A$307),IFERROR(LOOKUP(2,1/((거래처별!$AE$8:$AE$307&lt;&gt;"")*ISNUMBER(SEARCH(거래처별!$AE$8:$AE$307,$AB1499))),거래처별!$A$8:$A$307),0))))</f>
        <v/>
      </c>
      <c r="AD1499" s="31">
        <f>IF(AND($Y1499&lt;&gt;"",N($Z1499)&gt;0,$AC1499=0),MAX($AD$7:$AD1498)+1,"")</f>
        <v/>
      </c>
      <c r="AE1499" s="31">
        <f>IF($Y1499="",0,$Y1499)</f>
        <v/>
      </c>
    </row>
    <row r="1500">
      <c r="W1500" s="31">
        <f>IF(OR($B$5="",$C$6="",ROW()&lt;$B$5),"",IF(INDEX($A:$U,ROW(),$C$6)="","",INDEX($A:$U,ROW(),$C$6)))</f>
        <v/>
      </c>
      <c r="X1500" s="32">
        <f>IF($W1500="","",IF(ISNUMBER($W1500),IF($W1500&gt;=10000000,IFERROR(DATE(INT($W1500/10000),MOD(INT($W1500/100),100),MOD($W1500,100)),""),INT($W1500)),IFERROR(DATE(--LEFT(LEFT(SUBSTITUTE(SUBSTITUTE(SUBSTITUTE(SUBSTITUTE(TRIM($W1500),"-",""),".",""),"/","")," ",""),8),4),--MID(LEFT(SUBSTITUTE(SUBSTITUTE(SUBSTITUTE(SUBSTITUTE(TRIM($W1500),"-",""),".",""),"/","")," ",""),8),5,2),--MID(LEFT(SUBSTITUTE(SUBSTITUTE(SUBSTITUTE(SUBSTITUTE(TRIM($W1500),"-",""),".",""),"/","")," ",""),8),7,2)),"")))</f>
        <v/>
      </c>
      <c r="Y1500" s="32">
        <f>IF($X1500="","",INT($X1500))</f>
        <v/>
      </c>
      <c r="Z1500" s="33">
        <f>IF(OR($Y1500="",$D$6=""),"",IF(INDEX($A:$U,ROW(),$D$6)="",0,IF(ISNUMBER(INDEX($A:$U,ROW(),$D$6)),INDEX($A:$U,ROW(),$D$6),IFERROR(--SUBSTITUTE(SUBSTITUTE(TRIM(INDEX($A:$U,ROW(),$D$6)),",",""),"원",""),0))))</f>
        <v/>
      </c>
      <c r="AA1500" s="31">
        <f>IF($Y1500="","",TRIM(INDEX($A:$U,ROW(),$E$6)&amp;IF($F$6="",""," "&amp;INDEX($A:$U,ROW(),$F$6))))</f>
        <v/>
      </c>
      <c r="AB1500" s="31">
        <f>IF($AA1500="","",SUBSTITUTE(SUBSTITUTE(SUBSTITUTE(SUBSTITUTE(SUBSTITUTE(SUBSTITUTE(SUBSTITUTE(SUBSTITUTE(SUBSTITUTE($AA1500," ",""),"　",""),"(주)",""),"（주）",""),"㈜",""),"주식회사",""),"(유)",""),"（유）",""),"유한회사",""))</f>
        <v/>
      </c>
      <c r="AC1500" s="31">
        <f>IF(OR($Y1500="",N($Z1500)&lt;=0,$AB1500=""),0,IFERROR(LOOKUP(2,1/((거래처별!$AC$8:$AC$307&lt;&gt;"")*ISNUMBER(SEARCH(거래처별!$AC$8:$AC$307,$AB1500))),거래처별!$A$8:$A$307),IFERROR(LOOKUP(2,1/((거래처별!$AD$8:$AD$307&lt;&gt;"")*ISNUMBER(SEARCH(거래처별!$AD$8:$AD$307,$AB1500))),거래처별!$A$8:$A$307),IFERROR(LOOKUP(2,1/((거래처별!$AE$8:$AE$307&lt;&gt;"")*ISNUMBER(SEARCH(거래처별!$AE$8:$AE$307,$AB1500))),거래처별!$A$8:$A$307),0))))</f>
        <v/>
      </c>
      <c r="AD1500" s="31">
        <f>IF(AND($Y1500&lt;&gt;"",N($Z1500)&gt;0,$AC1500=0),MAX($AD$7:$AD1499)+1,"")</f>
        <v/>
      </c>
      <c r="AE1500" s="31">
        <f>IF($Y1500="",0,$Y1500)</f>
        <v/>
      </c>
    </row>
    <row r="1501">
      <c r="W1501" s="31">
        <f>IF(OR($B$5="",$C$6="",ROW()&lt;$B$5),"",IF(INDEX($A:$U,ROW(),$C$6)="","",INDEX($A:$U,ROW(),$C$6)))</f>
        <v/>
      </c>
      <c r="X1501" s="32">
        <f>IF($W1501="","",IF(ISNUMBER($W1501),IF($W1501&gt;=10000000,IFERROR(DATE(INT($W1501/10000),MOD(INT($W1501/100),100),MOD($W1501,100)),""),INT($W1501)),IFERROR(DATE(--LEFT(LEFT(SUBSTITUTE(SUBSTITUTE(SUBSTITUTE(SUBSTITUTE(TRIM($W1501),"-",""),".",""),"/","")," ",""),8),4),--MID(LEFT(SUBSTITUTE(SUBSTITUTE(SUBSTITUTE(SUBSTITUTE(TRIM($W1501),"-",""),".",""),"/","")," ",""),8),5,2),--MID(LEFT(SUBSTITUTE(SUBSTITUTE(SUBSTITUTE(SUBSTITUTE(TRIM($W1501),"-",""),".",""),"/","")," ",""),8),7,2)),"")))</f>
        <v/>
      </c>
      <c r="Y1501" s="32">
        <f>IF($X1501="","",INT($X1501))</f>
        <v/>
      </c>
      <c r="Z1501" s="33">
        <f>IF(OR($Y1501="",$D$6=""),"",IF(INDEX($A:$U,ROW(),$D$6)="",0,IF(ISNUMBER(INDEX($A:$U,ROW(),$D$6)),INDEX($A:$U,ROW(),$D$6),IFERROR(--SUBSTITUTE(SUBSTITUTE(TRIM(INDEX($A:$U,ROW(),$D$6)),",",""),"원",""),0))))</f>
        <v/>
      </c>
      <c r="AA1501" s="31">
        <f>IF($Y1501="","",TRIM(INDEX($A:$U,ROW(),$E$6)&amp;IF($F$6="",""," "&amp;INDEX($A:$U,ROW(),$F$6))))</f>
        <v/>
      </c>
      <c r="AB1501" s="31">
        <f>IF($AA1501="","",SUBSTITUTE(SUBSTITUTE(SUBSTITUTE(SUBSTITUTE(SUBSTITUTE(SUBSTITUTE(SUBSTITUTE(SUBSTITUTE(SUBSTITUTE($AA1501," ",""),"　",""),"(주)",""),"（주）",""),"㈜",""),"주식회사",""),"(유)",""),"（유）",""),"유한회사",""))</f>
        <v/>
      </c>
      <c r="AC1501" s="31">
        <f>IF(OR($Y1501="",N($Z1501)&lt;=0,$AB1501=""),0,IFERROR(LOOKUP(2,1/((거래처별!$AC$8:$AC$307&lt;&gt;"")*ISNUMBER(SEARCH(거래처별!$AC$8:$AC$307,$AB1501))),거래처별!$A$8:$A$307),IFERROR(LOOKUP(2,1/((거래처별!$AD$8:$AD$307&lt;&gt;"")*ISNUMBER(SEARCH(거래처별!$AD$8:$AD$307,$AB1501))),거래처별!$A$8:$A$307),IFERROR(LOOKUP(2,1/((거래처별!$AE$8:$AE$307&lt;&gt;"")*ISNUMBER(SEARCH(거래처별!$AE$8:$AE$307,$AB1501))),거래처별!$A$8:$A$307),0))))</f>
        <v/>
      </c>
      <c r="AD1501" s="31">
        <f>IF(AND($Y1501&lt;&gt;"",N($Z1501)&gt;0,$AC1501=0),MAX($AD$7:$AD1500)+1,"")</f>
        <v/>
      </c>
      <c r="AE1501" s="31">
        <f>IF($Y1501="",0,$Y1501)</f>
        <v/>
      </c>
    </row>
    <row r="1502">
      <c r="W1502" s="31">
        <f>IF(OR($B$5="",$C$6="",ROW()&lt;$B$5),"",IF(INDEX($A:$U,ROW(),$C$6)="","",INDEX($A:$U,ROW(),$C$6)))</f>
        <v/>
      </c>
      <c r="X1502" s="32">
        <f>IF($W1502="","",IF(ISNUMBER($W1502),IF($W1502&gt;=10000000,IFERROR(DATE(INT($W1502/10000),MOD(INT($W1502/100),100),MOD($W1502,100)),""),INT($W1502)),IFERROR(DATE(--LEFT(LEFT(SUBSTITUTE(SUBSTITUTE(SUBSTITUTE(SUBSTITUTE(TRIM($W1502),"-",""),".",""),"/","")," ",""),8),4),--MID(LEFT(SUBSTITUTE(SUBSTITUTE(SUBSTITUTE(SUBSTITUTE(TRIM($W1502),"-",""),".",""),"/","")," ",""),8),5,2),--MID(LEFT(SUBSTITUTE(SUBSTITUTE(SUBSTITUTE(SUBSTITUTE(TRIM($W1502),"-",""),".",""),"/","")," ",""),8),7,2)),"")))</f>
        <v/>
      </c>
      <c r="Y1502" s="32">
        <f>IF($X1502="","",INT($X1502))</f>
        <v/>
      </c>
      <c r="Z1502" s="33">
        <f>IF(OR($Y1502="",$D$6=""),"",IF(INDEX($A:$U,ROW(),$D$6)="",0,IF(ISNUMBER(INDEX($A:$U,ROW(),$D$6)),INDEX($A:$U,ROW(),$D$6),IFERROR(--SUBSTITUTE(SUBSTITUTE(TRIM(INDEX($A:$U,ROW(),$D$6)),",",""),"원",""),0))))</f>
        <v/>
      </c>
      <c r="AA1502" s="31">
        <f>IF($Y1502="","",TRIM(INDEX($A:$U,ROW(),$E$6)&amp;IF($F$6="",""," "&amp;INDEX($A:$U,ROW(),$F$6))))</f>
        <v/>
      </c>
      <c r="AB1502" s="31">
        <f>IF($AA1502="","",SUBSTITUTE(SUBSTITUTE(SUBSTITUTE(SUBSTITUTE(SUBSTITUTE(SUBSTITUTE(SUBSTITUTE(SUBSTITUTE(SUBSTITUTE($AA1502," ",""),"　",""),"(주)",""),"（주）",""),"㈜",""),"주식회사",""),"(유)",""),"（유）",""),"유한회사",""))</f>
        <v/>
      </c>
      <c r="AC1502" s="31">
        <f>IF(OR($Y1502="",N($Z1502)&lt;=0,$AB1502=""),0,IFERROR(LOOKUP(2,1/((거래처별!$AC$8:$AC$307&lt;&gt;"")*ISNUMBER(SEARCH(거래처별!$AC$8:$AC$307,$AB1502))),거래처별!$A$8:$A$307),IFERROR(LOOKUP(2,1/((거래처별!$AD$8:$AD$307&lt;&gt;"")*ISNUMBER(SEARCH(거래처별!$AD$8:$AD$307,$AB1502))),거래처별!$A$8:$A$307),IFERROR(LOOKUP(2,1/((거래처별!$AE$8:$AE$307&lt;&gt;"")*ISNUMBER(SEARCH(거래처별!$AE$8:$AE$307,$AB1502))),거래처별!$A$8:$A$307),0))))</f>
        <v/>
      </c>
      <c r="AD1502" s="31">
        <f>IF(AND($Y1502&lt;&gt;"",N($Z1502)&gt;0,$AC1502=0),MAX($AD$7:$AD1501)+1,"")</f>
        <v/>
      </c>
      <c r="AE1502" s="31">
        <f>IF($Y1502="",0,$Y1502)</f>
        <v/>
      </c>
    </row>
    <row r="1503">
      <c r="W1503" s="31">
        <f>IF(OR($B$5="",$C$6="",ROW()&lt;$B$5),"",IF(INDEX($A:$U,ROW(),$C$6)="","",INDEX($A:$U,ROW(),$C$6)))</f>
        <v/>
      </c>
      <c r="X1503" s="32">
        <f>IF($W1503="","",IF(ISNUMBER($W1503),IF($W1503&gt;=10000000,IFERROR(DATE(INT($W1503/10000),MOD(INT($W1503/100),100),MOD($W1503,100)),""),INT($W1503)),IFERROR(DATE(--LEFT(LEFT(SUBSTITUTE(SUBSTITUTE(SUBSTITUTE(SUBSTITUTE(TRIM($W1503),"-",""),".",""),"/","")," ",""),8),4),--MID(LEFT(SUBSTITUTE(SUBSTITUTE(SUBSTITUTE(SUBSTITUTE(TRIM($W1503),"-",""),".",""),"/","")," ",""),8),5,2),--MID(LEFT(SUBSTITUTE(SUBSTITUTE(SUBSTITUTE(SUBSTITUTE(TRIM($W1503),"-",""),".",""),"/","")," ",""),8),7,2)),"")))</f>
        <v/>
      </c>
      <c r="Y1503" s="32">
        <f>IF($X1503="","",INT($X1503))</f>
        <v/>
      </c>
      <c r="Z1503" s="33">
        <f>IF(OR($Y1503="",$D$6=""),"",IF(INDEX($A:$U,ROW(),$D$6)="",0,IF(ISNUMBER(INDEX($A:$U,ROW(),$D$6)),INDEX($A:$U,ROW(),$D$6),IFERROR(--SUBSTITUTE(SUBSTITUTE(TRIM(INDEX($A:$U,ROW(),$D$6)),",",""),"원",""),0))))</f>
        <v/>
      </c>
      <c r="AA1503" s="31">
        <f>IF($Y1503="","",TRIM(INDEX($A:$U,ROW(),$E$6)&amp;IF($F$6="",""," "&amp;INDEX($A:$U,ROW(),$F$6))))</f>
        <v/>
      </c>
      <c r="AB1503" s="31">
        <f>IF($AA1503="","",SUBSTITUTE(SUBSTITUTE(SUBSTITUTE(SUBSTITUTE(SUBSTITUTE(SUBSTITUTE(SUBSTITUTE(SUBSTITUTE(SUBSTITUTE($AA1503," ",""),"　",""),"(주)",""),"（주）",""),"㈜",""),"주식회사",""),"(유)",""),"（유）",""),"유한회사",""))</f>
        <v/>
      </c>
      <c r="AC1503" s="31">
        <f>IF(OR($Y1503="",N($Z1503)&lt;=0,$AB1503=""),0,IFERROR(LOOKUP(2,1/((거래처별!$AC$8:$AC$307&lt;&gt;"")*ISNUMBER(SEARCH(거래처별!$AC$8:$AC$307,$AB1503))),거래처별!$A$8:$A$307),IFERROR(LOOKUP(2,1/((거래처별!$AD$8:$AD$307&lt;&gt;"")*ISNUMBER(SEARCH(거래처별!$AD$8:$AD$307,$AB1503))),거래처별!$A$8:$A$307),IFERROR(LOOKUP(2,1/((거래처별!$AE$8:$AE$307&lt;&gt;"")*ISNUMBER(SEARCH(거래처별!$AE$8:$AE$307,$AB1503))),거래처별!$A$8:$A$307),0))))</f>
        <v/>
      </c>
      <c r="AD1503" s="31">
        <f>IF(AND($Y1503&lt;&gt;"",N($Z1503)&gt;0,$AC1503=0),MAX($AD$7:$AD1502)+1,"")</f>
        <v/>
      </c>
      <c r="AE1503" s="31">
        <f>IF($Y1503="",0,$Y1503)</f>
        <v/>
      </c>
    </row>
    <row r="1504">
      <c r="W1504" s="31">
        <f>IF(OR($B$5="",$C$6="",ROW()&lt;$B$5),"",IF(INDEX($A:$U,ROW(),$C$6)="","",INDEX($A:$U,ROW(),$C$6)))</f>
        <v/>
      </c>
      <c r="X1504" s="32">
        <f>IF($W1504="","",IF(ISNUMBER($W1504),IF($W1504&gt;=10000000,IFERROR(DATE(INT($W1504/10000),MOD(INT($W1504/100),100),MOD($W1504,100)),""),INT($W1504)),IFERROR(DATE(--LEFT(LEFT(SUBSTITUTE(SUBSTITUTE(SUBSTITUTE(SUBSTITUTE(TRIM($W1504),"-",""),".",""),"/","")," ",""),8),4),--MID(LEFT(SUBSTITUTE(SUBSTITUTE(SUBSTITUTE(SUBSTITUTE(TRIM($W1504),"-",""),".",""),"/","")," ",""),8),5,2),--MID(LEFT(SUBSTITUTE(SUBSTITUTE(SUBSTITUTE(SUBSTITUTE(TRIM($W1504),"-",""),".",""),"/","")," ",""),8),7,2)),"")))</f>
        <v/>
      </c>
      <c r="Y1504" s="32">
        <f>IF($X1504="","",INT($X1504))</f>
        <v/>
      </c>
      <c r="Z1504" s="33">
        <f>IF(OR($Y1504="",$D$6=""),"",IF(INDEX($A:$U,ROW(),$D$6)="",0,IF(ISNUMBER(INDEX($A:$U,ROW(),$D$6)),INDEX($A:$U,ROW(),$D$6),IFERROR(--SUBSTITUTE(SUBSTITUTE(TRIM(INDEX($A:$U,ROW(),$D$6)),",",""),"원",""),0))))</f>
        <v/>
      </c>
      <c r="AA1504" s="31">
        <f>IF($Y1504="","",TRIM(INDEX($A:$U,ROW(),$E$6)&amp;IF($F$6="",""," "&amp;INDEX($A:$U,ROW(),$F$6))))</f>
        <v/>
      </c>
      <c r="AB1504" s="31">
        <f>IF($AA1504="","",SUBSTITUTE(SUBSTITUTE(SUBSTITUTE(SUBSTITUTE(SUBSTITUTE(SUBSTITUTE(SUBSTITUTE(SUBSTITUTE(SUBSTITUTE($AA1504," ",""),"　",""),"(주)",""),"（주）",""),"㈜",""),"주식회사",""),"(유)",""),"（유）",""),"유한회사",""))</f>
        <v/>
      </c>
      <c r="AC1504" s="31">
        <f>IF(OR($Y1504="",N($Z1504)&lt;=0,$AB1504=""),0,IFERROR(LOOKUP(2,1/((거래처별!$AC$8:$AC$307&lt;&gt;"")*ISNUMBER(SEARCH(거래처별!$AC$8:$AC$307,$AB1504))),거래처별!$A$8:$A$307),IFERROR(LOOKUP(2,1/((거래처별!$AD$8:$AD$307&lt;&gt;"")*ISNUMBER(SEARCH(거래처별!$AD$8:$AD$307,$AB1504))),거래처별!$A$8:$A$307),IFERROR(LOOKUP(2,1/((거래처별!$AE$8:$AE$307&lt;&gt;"")*ISNUMBER(SEARCH(거래처별!$AE$8:$AE$307,$AB1504))),거래처별!$A$8:$A$307),0))))</f>
        <v/>
      </c>
      <c r="AD1504" s="31">
        <f>IF(AND($Y1504&lt;&gt;"",N($Z1504)&gt;0,$AC1504=0),MAX($AD$7:$AD1503)+1,"")</f>
        <v/>
      </c>
      <c r="AE1504" s="31">
        <f>IF($Y1504="",0,$Y1504)</f>
        <v/>
      </c>
    </row>
    <row r="1505">
      <c r="W1505" s="31">
        <f>IF(OR($B$5="",$C$6="",ROW()&lt;$B$5),"",IF(INDEX($A:$U,ROW(),$C$6)="","",INDEX($A:$U,ROW(),$C$6)))</f>
        <v/>
      </c>
      <c r="X1505" s="32">
        <f>IF($W1505="","",IF(ISNUMBER($W1505),IF($W1505&gt;=10000000,IFERROR(DATE(INT($W1505/10000),MOD(INT($W1505/100),100),MOD($W1505,100)),""),INT($W1505)),IFERROR(DATE(--LEFT(LEFT(SUBSTITUTE(SUBSTITUTE(SUBSTITUTE(SUBSTITUTE(TRIM($W1505),"-",""),".",""),"/","")," ",""),8),4),--MID(LEFT(SUBSTITUTE(SUBSTITUTE(SUBSTITUTE(SUBSTITUTE(TRIM($W1505),"-",""),".",""),"/","")," ",""),8),5,2),--MID(LEFT(SUBSTITUTE(SUBSTITUTE(SUBSTITUTE(SUBSTITUTE(TRIM($W1505),"-",""),".",""),"/","")," ",""),8),7,2)),"")))</f>
        <v/>
      </c>
      <c r="Y1505" s="32">
        <f>IF($X1505="","",INT($X1505))</f>
        <v/>
      </c>
      <c r="Z1505" s="33">
        <f>IF(OR($Y1505="",$D$6=""),"",IF(INDEX($A:$U,ROW(),$D$6)="",0,IF(ISNUMBER(INDEX($A:$U,ROW(),$D$6)),INDEX($A:$U,ROW(),$D$6),IFERROR(--SUBSTITUTE(SUBSTITUTE(TRIM(INDEX($A:$U,ROW(),$D$6)),",",""),"원",""),0))))</f>
        <v/>
      </c>
      <c r="AA1505" s="31">
        <f>IF($Y1505="","",TRIM(INDEX($A:$U,ROW(),$E$6)&amp;IF($F$6="",""," "&amp;INDEX($A:$U,ROW(),$F$6))))</f>
        <v/>
      </c>
      <c r="AB1505" s="31">
        <f>IF($AA1505="","",SUBSTITUTE(SUBSTITUTE(SUBSTITUTE(SUBSTITUTE(SUBSTITUTE(SUBSTITUTE(SUBSTITUTE(SUBSTITUTE(SUBSTITUTE($AA1505," ",""),"　",""),"(주)",""),"（주）",""),"㈜",""),"주식회사",""),"(유)",""),"（유）",""),"유한회사",""))</f>
        <v/>
      </c>
      <c r="AC1505" s="31">
        <f>IF(OR($Y1505="",N($Z1505)&lt;=0,$AB1505=""),0,IFERROR(LOOKUP(2,1/((거래처별!$AC$8:$AC$307&lt;&gt;"")*ISNUMBER(SEARCH(거래처별!$AC$8:$AC$307,$AB1505))),거래처별!$A$8:$A$307),IFERROR(LOOKUP(2,1/((거래처별!$AD$8:$AD$307&lt;&gt;"")*ISNUMBER(SEARCH(거래처별!$AD$8:$AD$307,$AB1505))),거래처별!$A$8:$A$307),IFERROR(LOOKUP(2,1/((거래처별!$AE$8:$AE$307&lt;&gt;"")*ISNUMBER(SEARCH(거래처별!$AE$8:$AE$307,$AB1505))),거래처별!$A$8:$A$307),0))))</f>
        <v/>
      </c>
      <c r="AD1505" s="31">
        <f>IF(AND($Y1505&lt;&gt;"",N($Z1505)&gt;0,$AC1505=0),MAX($AD$7:$AD1504)+1,"")</f>
        <v/>
      </c>
      <c r="AE1505" s="31">
        <f>IF($Y1505="",0,$Y1505)</f>
        <v/>
      </c>
    </row>
    <row r="1506">
      <c r="W1506" s="31">
        <f>IF(OR($B$5="",$C$6="",ROW()&lt;$B$5),"",IF(INDEX($A:$U,ROW(),$C$6)="","",INDEX($A:$U,ROW(),$C$6)))</f>
        <v/>
      </c>
      <c r="X1506" s="32">
        <f>IF($W1506="","",IF(ISNUMBER($W1506),IF($W1506&gt;=10000000,IFERROR(DATE(INT($W1506/10000),MOD(INT($W1506/100),100),MOD($W1506,100)),""),INT($W1506)),IFERROR(DATE(--LEFT(LEFT(SUBSTITUTE(SUBSTITUTE(SUBSTITUTE(SUBSTITUTE(TRIM($W1506),"-",""),".",""),"/","")," ",""),8),4),--MID(LEFT(SUBSTITUTE(SUBSTITUTE(SUBSTITUTE(SUBSTITUTE(TRIM($W1506),"-",""),".",""),"/","")," ",""),8),5,2),--MID(LEFT(SUBSTITUTE(SUBSTITUTE(SUBSTITUTE(SUBSTITUTE(TRIM($W1506),"-",""),".",""),"/","")," ",""),8),7,2)),"")))</f>
        <v/>
      </c>
      <c r="Y1506" s="32">
        <f>IF($X1506="","",INT($X1506))</f>
        <v/>
      </c>
      <c r="Z1506" s="33">
        <f>IF(OR($Y1506="",$D$6=""),"",IF(INDEX($A:$U,ROW(),$D$6)="",0,IF(ISNUMBER(INDEX($A:$U,ROW(),$D$6)),INDEX($A:$U,ROW(),$D$6),IFERROR(--SUBSTITUTE(SUBSTITUTE(TRIM(INDEX($A:$U,ROW(),$D$6)),",",""),"원",""),0))))</f>
        <v/>
      </c>
      <c r="AA1506" s="31">
        <f>IF($Y1506="","",TRIM(INDEX($A:$U,ROW(),$E$6)&amp;IF($F$6="",""," "&amp;INDEX($A:$U,ROW(),$F$6))))</f>
        <v/>
      </c>
      <c r="AB1506" s="31">
        <f>IF($AA1506="","",SUBSTITUTE(SUBSTITUTE(SUBSTITUTE(SUBSTITUTE(SUBSTITUTE(SUBSTITUTE(SUBSTITUTE(SUBSTITUTE(SUBSTITUTE($AA1506," ",""),"　",""),"(주)",""),"（주）",""),"㈜",""),"주식회사",""),"(유)",""),"（유）",""),"유한회사",""))</f>
        <v/>
      </c>
      <c r="AC1506" s="31">
        <f>IF(OR($Y1506="",N($Z1506)&lt;=0,$AB1506=""),0,IFERROR(LOOKUP(2,1/((거래처별!$AC$8:$AC$307&lt;&gt;"")*ISNUMBER(SEARCH(거래처별!$AC$8:$AC$307,$AB1506))),거래처별!$A$8:$A$307),IFERROR(LOOKUP(2,1/((거래처별!$AD$8:$AD$307&lt;&gt;"")*ISNUMBER(SEARCH(거래처별!$AD$8:$AD$307,$AB1506))),거래처별!$A$8:$A$307),IFERROR(LOOKUP(2,1/((거래처별!$AE$8:$AE$307&lt;&gt;"")*ISNUMBER(SEARCH(거래처별!$AE$8:$AE$307,$AB1506))),거래처별!$A$8:$A$307),0))))</f>
        <v/>
      </c>
      <c r="AD1506" s="31">
        <f>IF(AND($Y1506&lt;&gt;"",N($Z1506)&gt;0,$AC1506=0),MAX($AD$7:$AD1505)+1,"")</f>
        <v/>
      </c>
      <c r="AE1506" s="31">
        <f>IF($Y1506="",0,$Y1506)</f>
        <v/>
      </c>
    </row>
    <row r="1507">
      <c r="W1507" s="31">
        <f>IF(OR($B$5="",$C$6="",ROW()&lt;$B$5),"",IF(INDEX($A:$U,ROW(),$C$6)="","",INDEX($A:$U,ROW(),$C$6)))</f>
        <v/>
      </c>
      <c r="X1507" s="32">
        <f>IF($W1507="","",IF(ISNUMBER($W1507),IF($W1507&gt;=10000000,IFERROR(DATE(INT($W1507/10000),MOD(INT($W1507/100),100),MOD($W1507,100)),""),INT($W1507)),IFERROR(DATE(--LEFT(LEFT(SUBSTITUTE(SUBSTITUTE(SUBSTITUTE(SUBSTITUTE(TRIM($W1507),"-",""),".",""),"/","")," ",""),8),4),--MID(LEFT(SUBSTITUTE(SUBSTITUTE(SUBSTITUTE(SUBSTITUTE(TRIM($W1507),"-",""),".",""),"/","")," ",""),8),5,2),--MID(LEFT(SUBSTITUTE(SUBSTITUTE(SUBSTITUTE(SUBSTITUTE(TRIM($W1507),"-",""),".",""),"/","")," ",""),8),7,2)),"")))</f>
        <v/>
      </c>
      <c r="Y1507" s="32">
        <f>IF($X1507="","",INT($X1507))</f>
        <v/>
      </c>
      <c r="Z1507" s="33">
        <f>IF(OR($Y1507="",$D$6=""),"",IF(INDEX($A:$U,ROW(),$D$6)="",0,IF(ISNUMBER(INDEX($A:$U,ROW(),$D$6)),INDEX($A:$U,ROW(),$D$6),IFERROR(--SUBSTITUTE(SUBSTITUTE(TRIM(INDEX($A:$U,ROW(),$D$6)),",",""),"원",""),0))))</f>
        <v/>
      </c>
      <c r="AA1507" s="31">
        <f>IF($Y1507="","",TRIM(INDEX($A:$U,ROW(),$E$6)&amp;IF($F$6="",""," "&amp;INDEX($A:$U,ROW(),$F$6))))</f>
        <v/>
      </c>
      <c r="AB1507" s="31">
        <f>IF($AA1507="","",SUBSTITUTE(SUBSTITUTE(SUBSTITUTE(SUBSTITUTE(SUBSTITUTE(SUBSTITUTE(SUBSTITUTE(SUBSTITUTE(SUBSTITUTE($AA1507," ",""),"　",""),"(주)",""),"（주）",""),"㈜",""),"주식회사",""),"(유)",""),"（유）",""),"유한회사",""))</f>
        <v/>
      </c>
      <c r="AC1507" s="31">
        <f>IF(OR($Y1507="",N($Z1507)&lt;=0,$AB1507=""),0,IFERROR(LOOKUP(2,1/((거래처별!$AC$8:$AC$307&lt;&gt;"")*ISNUMBER(SEARCH(거래처별!$AC$8:$AC$307,$AB1507))),거래처별!$A$8:$A$307),IFERROR(LOOKUP(2,1/((거래처별!$AD$8:$AD$307&lt;&gt;"")*ISNUMBER(SEARCH(거래처별!$AD$8:$AD$307,$AB1507))),거래처별!$A$8:$A$307),IFERROR(LOOKUP(2,1/((거래처별!$AE$8:$AE$307&lt;&gt;"")*ISNUMBER(SEARCH(거래처별!$AE$8:$AE$307,$AB1507))),거래처별!$A$8:$A$307),0))))</f>
        <v/>
      </c>
      <c r="AD1507" s="31">
        <f>IF(AND($Y1507&lt;&gt;"",N($Z1507)&gt;0,$AC1507=0),MAX($AD$7:$AD1506)+1,"")</f>
        <v/>
      </c>
      <c r="AE1507" s="31">
        <f>IF($Y1507="",0,$Y1507)</f>
        <v/>
      </c>
    </row>
    <row r="1508">
      <c r="W1508" s="31">
        <f>IF(OR($B$5="",$C$6="",ROW()&lt;$B$5),"",IF(INDEX($A:$U,ROW(),$C$6)="","",INDEX($A:$U,ROW(),$C$6)))</f>
        <v/>
      </c>
      <c r="X1508" s="32">
        <f>IF($W1508="","",IF(ISNUMBER($W1508),IF($W1508&gt;=10000000,IFERROR(DATE(INT($W1508/10000),MOD(INT($W1508/100),100),MOD($W1508,100)),""),INT($W1508)),IFERROR(DATE(--LEFT(LEFT(SUBSTITUTE(SUBSTITUTE(SUBSTITUTE(SUBSTITUTE(TRIM($W1508),"-",""),".",""),"/","")," ",""),8),4),--MID(LEFT(SUBSTITUTE(SUBSTITUTE(SUBSTITUTE(SUBSTITUTE(TRIM($W1508),"-",""),".",""),"/","")," ",""),8),5,2),--MID(LEFT(SUBSTITUTE(SUBSTITUTE(SUBSTITUTE(SUBSTITUTE(TRIM($W1508),"-",""),".",""),"/","")," ",""),8),7,2)),"")))</f>
        <v/>
      </c>
      <c r="Y1508" s="32">
        <f>IF($X1508="","",INT($X1508))</f>
        <v/>
      </c>
      <c r="Z1508" s="33">
        <f>IF(OR($Y1508="",$D$6=""),"",IF(INDEX($A:$U,ROW(),$D$6)="",0,IF(ISNUMBER(INDEX($A:$U,ROW(),$D$6)),INDEX($A:$U,ROW(),$D$6),IFERROR(--SUBSTITUTE(SUBSTITUTE(TRIM(INDEX($A:$U,ROW(),$D$6)),",",""),"원",""),0))))</f>
        <v/>
      </c>
      <c r="AA1508" s="31">
        <f>IF($Y1508="","",TRIM(INDEX($A:$U,ROW(),$E$6)&amp;IF($F$6="",""," "&amp;INDEX($A:$U,ROW(),$F$6))))</f>
        <v/>
      </c>
      <c r="AB1508" s="31">
        <f>IF($AA1508="","",SUBSTITUTE(SUBSTITUTE(SUBSTITUTE(SUBSTITUTE(SUBSTITUTE(SUBSTITUTE(SUBSTITUTE(SUBSTITUTE(SUBSTITUTE($AA1508," ",""),"　",""),"(주)",""),"（주）",""),"㈜",""),"주식회사",""),"(유)",""),"（유）",""),"유한회사",""))</f>
        <v/>
      </c>
      <c r="AC1508" s="31">
        <f>IF(OR($Y1508="",N($Z1508)&lt;=0,$AB1508=""),0,IFERROR(LOOKUP(2,1/((거래처별!$AC$8:$AC$307&lt;&gt;"")*ISNUMBER(SEARCH(거래처별!$AC$8:$AC$307,$AB1508))),거래처별!$A$8:$A$307),IFERROR(LOOKUP(2,1/((거래처별!$AD$8:$AD$307&lt;&gt;"")*ISNUMBER(SEARCH(거래처별!$AD$8:$AD$307,$AB1508))),거래처별!$A$8:$A$307),IFERROR(LOOKUP(2,1/((거래처별!$AE$8:$AE$307&lt;&gt;"")*ISNUMBER(SEARCH(거래처별!$AE$8:$AE$307,$AB1508))),거래처별!$A$8:$A$307),0))))</f>
        <v/>
      </c>
      <c r="AD1508" s="31">
        <f>IF(AND($Y1508&lt;&gt;"",N($Z1508)&gt;0,$AC1508=0),MAX($AD$7:$AD1507)+1,"")</f>
        <v/>
      </c>
      <c r="AE1508" s="31">
        <f>IF($Y1508="",0,$Y1508)</f>
        <v/>
      </c>
    </row>
    <row r="1509">
      <c r="W1509" s="31">
        <f>IF(OR($B$5="",$C$6="",ROW()&lt;$B$5),"",IF(INDEX($A:$U,ROW(),$C$6)="","",INDEX($A:$U,ROW(),$C$6)))</f>
        <v/>
      </c>
      <c r="X1509" s="32">
        <f>IF($W1509="","",IF(ISNUMBER($W1509),IF($W1509&gt;=10000000,IFERROR(DATE(INT($W1509/10000),MOD(INT($W1509/100),100),MOD($W1509,100)),""),INT($W1509)),IFERROR(DATE(--LEFT(LEFT(SUBSTITUTE(SUBSTITUTE(SUBSTITUTE(SUBSTITUTE(TRIM($W1509),"-",""),".",""),"/","")," ",""),8),4),--MID(LEFT(SUBSTITUTE(SUBSTITUTE(SUBSTITUTE(SUBSTITUTE(TRIM($W1509),"-",""),".",""),"/","")," ",""),8),5,2),--MID(LEFT(SUBSTITUTE(SUBSTITUTE(SUBSTITUTE(SUBSTITUTE(TRIM($W1509),"-",""),".",""),"/","")," ",""),8),7,2)),"")))</f>
        <v/>
      </c>
      <c r="Y1509" s="32">
        <f>IF($X1509="","",INT($X1509))</f>
        <v/>
      </c>
      <c r="Z1509" s="33">
        <f>IF(OR($Y1509="",$D$6=""),"",IF(INDEX($A:$U,ROW(),$D$6)="",0,IF(ISNUMBER(INDEX($A:$U,ROW(),$D$6)),INDEX($A:$U,ROW(),$D$6),IFERROR(--SUBSTITUTE(SUBSTITUTE(TRIM(INDEX($A:$U,ROW(),$D$6)),",",""),"원",""),0))))</f>
        <v/>
      </c>
      <c r="AA1509" s="31">
        <f>IF($Y1509="","",TRIM(INDEX($A:$U,ROW(),$E$6)&amp;IF($F$6="",""," "&amp;INDEX($A:$U,ROW(),$F$6))))</f>
        <v/>
      </c>
      <c r="AB1509" s="31">
        <f>IF($AA1509="","",SUBSTITUTE(SUBSTITUTE(SUBSTITUTE(SUBSTITUTE(SUBSTITUTE(SUBSTITUTE(SUBSTITUTE(SUBSTITUTE(SUBSTITUTE($AA1509," ",""),"　",""),"(주)",""),"（주）",""),"㈜",""),"주식회사",""),"(유)",""),"（유）",""),"유한회사",""))</f>
        <v/>
      </c>
      <c r="AC1509" s="31">
        <f>IF(OR($Y1509="",N($Z1509)&lt;=0,$AB1509=""),0,IFERROR(LOOKUP(2,1/((거래처별!$AC$8:$AC$307&lt;&gt;"")*ISNUMBER(SEARCH(거래처별!$AC$8:$AC$307,$AB1509))),거래처별!$A$8:$A$307),IFERROR(LOOKUP(2,1/((거래처별!$AD$8:$AD$307&lt;&gt;"")*ISNUMBER(SEARCH(거래처별!$AD$8:$AD$307,$AB1509))),거래처별!$A$8:$A$307),IFERROR(LOOKUP(2,1/((거래처별!$AE$8:$AE$307&lt;&gt;"")*ISNUMBER(SEARCH(거래처별!$AE$8:$AE$307,$AB1509))),거래처별!$A$8:$A$307),0))))</f>
        <v/>
      </c>
      <c r="AD1509" s="31">
        <f>IF(AND($Y1509&lt;&gt;"",N($Z1509)&gt;0,$AC1509=0),MAX($AD$7:$AD1508)+1,"")</f>
        <v/>
      </c>
      <c r="AE1509" s="31">
        <f>IF($Y1509="",0,$Y1509)</f>
        <v/>
      </c>
    </row>
    <row r="1510">
      <c r="W1510" s="31">
        <f>IF(OR($B$5="",$C$6="",ROW()&lt;$B$5),"",IF(INDEX($A:$U,ROW(),$C$6)="","",INDEX($A:$U,ROW(),$C$6)))</f>
        <v/>
      </c>
      <c r="X1510" s="32">
        <f>IF($W1510="","",IF(ISNUMBER($W1510),IF($W1510&gt;=10000000,IFERROR(DATE(INT($W1510/10000),MOD(INT($W1510/100),100),MOD($W1510,100)),""),INT($W1510)),IFERROR(DATE(--LEFT(LEFT(SUBSTITUTE(SUBSTITUTE(SUBSTITUTE(SUBSTITUTE(TRIM($W1510),"-",""),".",""),"/","")," ",""),8),4),--MID(LEFT(SUBSTITUTE(SUBSTITUTE(SUBSTITUTE(SUBSTITUTE(TRIM($W1510),"-",""),".",""),"/","")," ",""),8),5,2),--MID(LEFT(SUBSTITUTE(SUBSTITUTE(SUBSTITUTE(SUBSTITUTE(TRIM($W1510),"-",""),".",""),"/","")," ",""),8),7,2)),"")))</f>
        <v/>
      </c>
      <c r="Y1510" s="32">
        <f>IF($X1510="","",INT($X1510))</f>
        <v/>
      </c>
      <c r="Z1510" s="33">
        <f>IF(OR($Y1510="",$D$6=""),"",IF(INDEX($A:$U,ROW(),$D$6)="",0,IF(ISNUMBER(INDEX($A:$U,ROW(),$D$6)),INDEX($A:$U,ROW(),$D$6),IFERROR(--SUBSTITUTE(SUBSTITUTE(TRIM(INDEX($A:$U,ROW(),$D$6)),",",""),"원",""),0))))</f>
        <v/>
      </c>
      <c r="AA1510" s="31">
        <f>IF($Y1510="","",TRIM(INDEX($A:$U,ROW(),$E$6)&amp;IF($F$6="",""," "&amp;INDEX($A:$U,ROW(),$F$6))))</f>
        <v/>
      </c>
      <c r="AB1510" s="31">
        <f>IF($AA1510="","",SUBSTITUTE(SUBSTITUTE(SUBSTITUTE(SUBSTITUTE(SUBSTITUTE(SUBSTITUTE(SUBSTITUTE(SUBSTITUTE(SUBSTITUTE($AA1510," ",""),"　",""),"(주)",""),"（주）",""),"㈜",""),"주식회사",""),"(유)",""),"（유）",""),"유한회사",""))</f>
        <v/>
      </c>
      <c r="AC1510" s="31">
        <f>IF(OR($Y1510="",N($Z1510)&lt;=0,$AB1510=""),0,IFERROR(LOOKUP(2,1/((거래처별!$AC$8:$AC$307&lt;&gt;"")*ISNUMBER(SEARCH(거래처별!$AC$8:$AC$307,$AB1510))),거래처별!$A$8:$A$307),IFERROR(LOOKUP(2,1/((거래처별!$AD$8:$AD$307&lt;&gt;"")*ISNUMBER(SEARCH(거래처별!$AD$8:$AD$307,$AB1510))),거래처별!$A$8:$A$307),IFERROR(LOOKUP(2,1/((거래처별!$AE$8:$AE$307&lt;&gt;"")*ISNUMBER(SEARCH(거래처별!$AE$8:$AE$307,$AB1510))),거래처별!$A$8:$A$307),0))))</f>
        <v/>
      </c>
      <c r="AD1510" s="31">
        <f>IF(AND($Y1510&lt;&gt;"",N($Z1510)&gt;0,$AC1510=0),MAX($AD$7:$AD1509)+1,"")</f>
        <v/>
      </c>
      <c r="AE1510" s="31">
        <f>IF($Y1510="",0,$Y1510)</f>
        <v/>
      </c>
    </row>
    <row r="1511">
      <c r="W1511" s="31">
        <f>IF(OR($B$5="",$C$6="",ROW()&lt;$B$5),"",IF(INDEX($A:$U,ROW(),$C$6)="","",INDEX($A:$U,ROW(),$C$6)))</f>
        <v/>
      </c>
      <c r="X1511" s="32">
        <f>IF($W1511="","",IF(ISNUMBER($W1511),IF($W1511&gt;=10000000,IFERROR(DATE(INT($W1511/10000),MOD(INT($W1511/100),100),MOD($W1511,100)),""),INT($W1511)),IFERROR(DATE(--LEFT(LEFT(SUBSTITUTE(SUBSTITUTE(SUBSTITUTE(SUBSTITUTE(TRIM($W1511),"-",""),".",""),"/","")," ",""),8),4),--MID(LEFT(SUBSTITUTE(SUBSTITUTE(SUBSTITUTE(SUBSTITUTE(TRIM($W1511),"-",""),".",""),"/","")," ",""),8),5,2),--MID(LEFT(SUBSTITUTE(SUBSTITUTE(SUBSTITUTE(SUBSTITUTE(TRIM($W1511),"-",""),".",""),"/","")," ",""),8),7,2)),"")))</f>
        <v/>
      </c>
      <c r="Y1511" s="32">
        <f>IF($X1511="","",INT($X1511))</f>
        <v/>
      </c>
      <c r="Z1511" s="33">
        <f>IF(OR($Y1511="",$D$6=""),"",IF(INDEX($A:$U,ROW(),$D$6)="",0,IF(ISNUMBER(INDEX($A:$U,ROW(),$D$6)),INDEX($A:$U,ROW(),$D$6),IFERROR(--SUBSTITUTE(SUBSTITUTE(TRIM(INDEX($A:$U,ROW(),$D$6)),",",""),"원",""),0))))</f>
        <v/>
      </c>
      <c r="AA1511" s="31">
        <f>IF($Y1511="","",TRIM(INDEX($A:$U,ROW(),$E$6)&amp;IF($F$6="",""," "&amp;INDEX($A:$U,ROW(),$F$6))))</f>
        <v/>
      </c>
      <c r="AB1511" s="31">
        <f>IF($AA1511="","",SUBSTITUTE(SUBSTITUTE(SUBSTITUTE(SUBSTITUTE(SUBSTITUTE(SUBSTITUTE(SUBSTITUTE(SUBSTITUTE(SUBSTITUTE($AA1511," ",""),"　",""),"(주)",""),"（주）",""),"㈜",""),"주식회사",""),"(유)",""),"（유）",""),"유한회사",""))</f>
        <v/>
      </c>
      <c r="AC1511" s="31">
        <f>IF(OR($Y1511="",N($Z1511)&lt;=0,$AB1511=""),0,IFERROR(LOOKUP(2,1/((거래처별!$AC$8:$AC$307&lt;&gt;"")*ISNUMBER(SEARCH(거래처별!$AC$8:$AC$307,$AB1511))),거래처별!$A$8:$A$307),IFERROR(LOOKUP(2,1/((거래처별!$AD$8:$AD$307&lt;&gt;"")*ISNUMBER(SEARCH(거래처별!$AD$8:$AD$307,$AB1511))),거래처별!$A$8:$A$307),IFERROR(LOOKUP(2,1/((거래처별!$AE$8:$AE$307&lt;&gt;"")*ISNUMBER(SEARCH(거래처별!$AE$8:$AE$307,$AB1511))),거래처별!$A$8:$A$307),0))))</f>
        <v/>
      </c>
      <c r="AD1511" s="31">
        <f>IF(AND($Y1511&lt;&gt;"",N($Z1511)&gt;0,$AC1511=0),MAX($AD$7:$AD1510)+1,"")</f>
        <v/>
      </c>
      <c r="AE1511" s="31">
        <f>IF($Y1511="",0,$Y1511)</f>
        <v/>
      </c>
    </row>
    <row r="1512">
      <c r="W1512" s="31">
        <f>IF(OR($B$5="",$C$6="",ROW()&lt;$B$5),"",IF(INDEX($A:$U,ROW(),$C$6)="","",INDEX($A:$U,ROW(),$C$6)))</f>
        <v/>
      </c>
      <c r="X1512" s="32">
        <f>IF($W1512="","",IF(ISNUMBER($W1512),IF($W1512&gt;=10000000,IFERROR(DATE(INT($W1512/10000),MOD(INT($W1512/100),100),MOD($W1512,100)),""),INT($W1512)),IFERROR(DATE(--LEFT(LEFT(SUBSTITUTE(SUBSTITUTE(SUBSTITUTE(SUBSTITUTE(TRIM($W1512),"-",""),".",""),"/","")," ",""),8),4),--MID(LEFT(SUBSTITUTE(SUBSTITUTE(SUBSTITUTE(SUBSTITUTE(TRIM($W1512),"-",""),".",""),"/","")," ",""),8),5,2),--MID(LEFT(SUBSTITUTE(SUBSTITUTE(SUBSTITUTE(SUBSTITUTE(TRIM($W1512),"-",""),".",""),"/","")," ",""),8),7,2)),"")))</f>
        <v/>
      </c>
      <c r="Y1512" s="32">
        <f>IF($X1512="","",INT($X1512))</f>
        <v/>
      </c>
      <c r="Z1512" s="33">
        <f>IF(OR($Y1512="",$D$6=""),"",IF(INDEX($A:$U,ROW(),$D$6)="",0,IF(ISNUMBER(INDEX($A:$U,ROW(),$D$6)),INDEX($A:$U,ROW(),$D$6),IFERROR(--SUBSTITUTE(SUBSTITUTE(TRIM(INDEX($A:$U,ROW(),$D$6)),",",""),"원",""),0))))</f>
        <v/>
      </c>
      <c r="AA1512" s="31">
        <f>IF($Y1512="","",TRIM(INDEX($A:$U,ROW(),$E$6)&amp;IF($F$6="",""," "&amp;INDEX($A:$U,ROW(),$F$6))))</f>
        <v/>
      </c>
      <c r="AB1512" s="31">
        <f>IF($AA1512="","",SUBSTITUTE(SUBSTITUTE(SUBSTITUTE(SUBSTITUTE(SUBSTITUTE(SUBSTITUTE(SUBSTITUTE(SUBSTITUTE(SUBSTITUTE($AA1512," ",""),"　",""),"(주)",""),"（주）",""),"㈜",""),"주식회사",""),"(유)",""),"（유）",""),"유한회사",""))</f>
        <v/>
      </c>
      <c r="AC1512" s="31">
        <f>IF(OR($Y1512="",N($Z1512)&lt;=0,$AB1512=""),0,IFERROR(LOOKUP(2,1/((거래처별!$AC$8:$AC$307&lt;&gt;"")*ISNUMBER(SEARCH(거래처별!$AC$8:$AC$307,$AB1512))),거래처별!$A$8:$A$307),IFERROR(LOOKUP(2,1/((거래처별!$AD$8:$AD$307&lt;&gt;"")*ISNUMBER(SEARCH(거래처별!$AD$8:$AD$307,$AB1512))),거래처별!$A$8:$A$307),IFERROR(LOOKUP(2,1/((거래처별!$AE$8:$AE$307&lt;&gt;"")*ISNUMBER(SEARCH(거래처별!$AE$8:$AE$307,$AB1512))),거래처별!$A$8:$A$307),0))))</f>
        <v/>
      </c>
      <c r="AD1512" s="31">
        <f>IF(AND($Y1512&lt;&gt;"",N($Z1512)&gt;0,$AC1512=0),MAX($AD$7:$AD1511)+1,"")</f>
        <v/>
      </c>
      <c r="AE1512" s="31">
        <f>IF($Y1512="",0,$Y1512)</f>
        <v/>
      </c>
    </row>
    <row r="1513">
      <c r="W1513" s="31">
        <f>IF(OR($B$5="",$C$6="",ROW()&lt;$B$5),"",IF(INDEX($A:$U,ROW(),$C$6)="","",INDEX($A:$U,ROW(),$C$6)))</f>
        <v/>
      </c>
      <c r="X1513" s="32">
        <f>IF($W1513="","",IF(ISNUMBER($W1513),IF($W1513&gt;=10000000,IFERROR(DATE(INT($W1513/10000),MOD(INT($W1513/100),100),MOD($W1513,100)),""),INT($W1513)),IFERROR(DATE(--LEFT(LEFT(SUBSTITUTE(SUBSTITUTE(SUBSTITUTE(SUBSTITUTE(TRIM($W1513),"-",""),".",""),"/","")," ",""),8),4),--MID(LEFT(SUBSTITUTE(SUBSTITUTE(SUBSTITUTE(SUBSTITUTE(TRIM($W1513),"-",""),".",""),"/","")," ",""),8),5,2),--MID(LEFT(SUBSTITUTE(SUBSTITUTE(SUBSTITUTE(SUBSTITUTE(TRIM($W1513),"-",""),".",""),"/","")," ",""),8),7,2)),"")))</f>
        <v/>
      </c>
      <c r="Y1513" s="32">
        <f>IF($X1513="","",INT($X1513))</f>
        <v/>
      </c>
      <c r="Z1513" s="33">
        <f>IF(OR($Y1513="",$D$6=""),"",IF(INDEX($A:$U,ROW(),$D$6)="",0,IF(ISNUMBER(INDEX($A:$U,ROW(),$D$6)),INDEX($A:$U,ROW(),$D$6),IFERROR(--SUBSTITUTE(SUBSTITUTE(TRIM(INDEX($A:$U,ROW(),$D$6)),",",""),"원",""),0))))</f>
        <v/>
      </c>
      <c r="AA1513" s="31">
        <f>IF($Y1513="","",TRIM(INDEX($A:$U,ROW(),$E$6)&amp;IF($F$6="",""," "&amp;INDEX($A:$U,ROW(),$F$6))))</f>
        <v/>
      </c>
      <c r="AB1513" s="31">
        <f>IF($AA1513="","",SUBSTITUTE(SUBSTITUTE(SUBSTITUTE(SUBSTITUTE(SUBSTITUTE(SUBSTITUTE(SUBSTITUTE(SUBSTITUTE(SUBSTITUTE($AA1513," ",""),"　",""),"(주)",""),"（주）",""),"㈜",""),"주식회사",""),"(유)",""),"（유）",""),"유한회사",""))</f>
        <v/>
      </c>
      <c r="AC1513" s="31">
        <f>IF(OR($Y1513="",N($Z1513)&lt;=0,$AB1513=""),0,IFERROR(LOOKUP(2,1/((거래처별!$AC$8:$AC$307&lt;&gt;"")*ISNUMBER(SEARCH(거래처별!$AC$8:$AC$307,$AB1513))),거래처별!$A$8:$A$307),IFERROR(LOOKUP(2,1/((거래처별!$AD$8:$AD$307&lt;&gt;"")*ISNUMBER(SEARCH(거래처별!$AD$8:$AD$307,$AB1513))),거래처별!$A$8:$A$307),IFERROR(LOOKUP(2,1/((거래처별!$AE$8:$AE$307&lt;&gt;"")*ISNUMBER(SEARCH(거래처별!$AE$8:$AE$307,$AB1513))),거래처별!$A$8:$A$307),0))))</f>
        <v/>
      </c>
      <c r="AD1513" s="31">
        <f>IF(AND($Y1513&lt;&gt;"",N($Z1513)&gt;0,$AC1513=0),MAX($AD$7:$AD1512)+1,"")</f>
        <v/>
      </c>
      <c r="AE1513" s="31">
        <f>IF($Y1513="",0,$Y1513)</f>
        <v/>
      </c>
    </row>
    <row r="1514">
      <c r="W1514" s="31">
        <f>IF(OR($B$5="",$C$6="",ROW()&lt;$B$5),"",IF(INDEX($A:$U,ROW(),$C$6)="","",INDEX($A:$U,ROW(),$C$6)))</f>
        <v/>
      </c>
      <c r="X1514" s="32">
        <f>IF($W1514="","",IF(ISNUMBER($W1514),IF($W1514&gt;=10000000,IFERROR(DATE(INT($W1514/10000),MOD(INT($W1514/100),100),MOD($W1514,100)),""),INT($W1514)),IFERROR(DATE(--LEFT(LEFT(SUBSTITUTE(SUBSTITUTE(SUBSTITUTE(SUBSTITUTE(TRIM($W1514),"-",""),".",""),"/","")," ",""),8),4),--MID(LEFT(SUBSTITUTE(SUBSTITUTE(SUBSTITUTE(SUBSTITUTE(TRIM($W1514),"-",""),".",""),"/","")," ",""),8),5,2),--MID(LEFT(SUBSTITUTE(SUBSTITUTE(SUBSTITUTE(SUBSTITUTE(TRIM($W1514),"-",""),".",""),"/","")," ",""),8),7,2)),"")))</f>
        <v/>
      </c>
      <c r="Y1514" s="32">
        <f>IF($X1514="","",INT($X1514))</f>
        <v/>
      </c>
      <c r="Z1514" s="33">
        <f>IF(OR($Y1514="",$D$6=""),"",IF(INDEX($A:$U,ROW(),$D$6)="",0,IF(ISNUMBER(INDEX($A:$U,ROW(),$D$6)),INDEX($A:$U,ROW(),$D$6),IFERROR(--SUBSTITUTE(SUBSTITUTE(TRIM(INDEX($A:$U,ROW(),$D$6)),",",""),"원",""),0))))</f>
        <v/>
      </c>
      <c r="AA1514" s="31">
        <f>IF($Y1514="","",TRIM(INDEX($A:$U,ROW(),$E$6)&amp;IF($F$6="",""," "&amp;INDEX($A:$U,ROW(),$F$6))))</f>
        <v/>
      </c>
      <c r="AB1514" s="31">
        <f>IF($AA1514="","",SUBSTITUTE(SUBSTITUTE(SUBSTITUTE(SUBSTITUTE(SUBSTITUTE(SUBSTITUTE(SUBSTITUTE(SUBSTITUTE(SUBSTITUTE($AA1514," ",""),"　",""),"(주)",""),"（주）",""),"㈜",""),"주식회사",""),"(유)",""),"（유）",""),"유한회사",""))</f>
        <v/>
      </c>
      <c r="AC1514" s="31">
        <f>IF(OR($Y1514="",N($Z1514)&lt;=0,$AB1514=""),0,IFERROR(LOOKUP(2,1/((거래처별!$AC$8:$AC$307&lt;&gt;"")*ISNUMBER(SEARCH(거래처별!$AC$8:$AC$307,$AB1514))),거래처별!$A$8:$A$307),IFERROR(LOOKUP(2,1/((거래처별!$AD$8:$AD$307&lt;&gt;"")*ISNUMBER(SEARCH(거래처별!$AD$8:$AD$307,$AB1514))),거래처별!$A$8:$A$307),IFERROR(LOOKUP(2,1/((거래처별!$AE$8:$AE$307&lt;&gt;"")*ISNUMBER(SEARCH(거래처별!$AE$8:$AE$307,$AB1514))),거래처별!$A$8:$A$307),0))))</f>
        <v/>
      </c>
      <c r="AD1514" s="31">
        <f>IF(AND($Y1514&lt;&gt;"",N($Z1514)&gt;0,$AC1514=0),MAX($AD$7:$AD1513)+1,"")</f>
        <v/>
      </c>
      <c r="AE1514" s="31">
        <f>IF($Y1514="",0,$Y1514)</f>
        <v/>
      </c>
    </row>
    <row r="1515">
      <c r="W1515" s="31">
        <f>IF(OR($B$5="",$C$6="",ROW()&lt;$B$5),"",IF(INDEX($A:$U,ROW(),$C$6)="","",INDEX($A:$U,ROW(),$C$6)))</f>
        <v/>
      </c>
      <c r="X1515" s="32">
        <f>IF($W1515="","",IF(ISNUMBER($W1515),IF($W1515&gt;=10000000,IFERROR(DATE(INT($W1515/10000),MOD(INT($W1515/100),100),MOD($W1515,100)),""),INT($W1515)),IFERROR(DATE(--LEFT(LEFT(SUBSTITUTE(SUBSTITUTE(SUBSTITUTE(SUBSTITUTE(TRIM($W1515),"-",""),".",""),"/","")," ",""),8),4),--MID(LEFT(SUBSTITUTE(SUBSTITUTE(SUBSTITUTE(SUBSTITUTE(TRIM($W1515),"-",""),".",""),"/","")," ",""),8),5,2),--MID(LEFT(SUBSTITUTE(SUBSTITUTE(SUBSTITUTE(SUBSTITUTE(TRIM($W1515),"-",""),".",""),"/","")," ",""),8),7,2)),"")))</f>
        <v/>
      </c>
      <c r="Y1515" s="32">
        <f>IF($X1515="","",INT($X1515))</f>
        <v/>
      </c>
      <c r="Z1515" s="33">
        <f>IF(OR($Y1515="",$D$6=""),"",IF(INDEX($A:$U,ROW(),$D$6)="",0,IF(ISNUMBER(INDEX($A:$U,ROW(),$D$6)),INDEX($A:$U,ROW(),$D$6),IFERROR(--SUBSTITUTE(SUBSTITUTE(TRIM(INDEX($A:$U,ROW(),$D$6)),",",""),"원",""),0))))</f>
        <v/>
      </c>
      <c r="AA1515" s="31">
        <f>IF($Y1515="","",TRIM(INDEX($A:$U,ROW(),$E$6)&amp;IF($F$6="",""," "&amp;INDEX($A:$U,ROW(),$F$6))))</f>
        <v/>
      </c>
      <c r="AB1515" s="31">
        <f>IF($AA1515="","",SUBSTITUTE(SUBSTITUTE(SUBSTITUTE(SUBSTITUTE(SUBSTITUTE(SUBSTITUTE(SUBSTITUTE(SUBSTITUTE(SUBSTITUTE($AA1515," ",""),"　",""),"(주)",""),"（주）",""),"㈜",""),"주식회사",""),"(유)",""),"（유）",""),"유한회사",""))</f>
        <v/>
      </c>
      <c r="AC1515" s="31">
        <f>IF(OR($Y1515="",N($Z1515)&lt;=0,$AB1515=""),0,IFERROR(LOOKUP(2,1/((거래처별!$AC$8:$AC$307&lt;&gt;"")*ISNUMBER(SEARCH(거래처별!$AC$8:$AC$307,$AB1515))),거래처별!$A$8:$A$307),IFERROR(LOOKUP(2,1/((거래처별!$AD$8:$AD$307&lt;&gt;"")*ISNUMBER(SEARCH(거래처별!$AD$8:$AD$307,$AB1515))),거래처별!$A$8:$A$307),IFERROR(LOOKUP(2,1/((거래처별!$AE$8:$AE$307&lt;&gt;"")*ISNUMBER(SEARCH(거래처별!$AE$8:$AE$307,$AB1515))),거래처별!$A$8:$A$307),0))))</f>
        <v/>
      </c>
      <c r="AD1515" s="31">
        <f>IF(AND($Y1515&lt;&gt;"",N($Z1515)&gt;0,$AC1515=0),MAX($AD$7:$AD1514)+1,"")</f>
        <v/>
      </c>
      <c r="AE1515" s="31">
        <f>IF($Y1515="",0,$Y1515)</f>
        <v/>
      </c>
    </row>
    <row r="1516">
      <c r="W1516" s="31">
        <f>IF(OR($B$5="",$C$6="",ROW()&lt;$B$5),"",IF(INDEX($A:$U,ROW(),$C$6)="","",INDEX($A:$U,ROW(),$C$6)))</f>
        <v/>
      </c>
      <c r="X1516" s="32">
        <f>IF($W1516="","",IF(ISNUMBER($W1516),IF($W1516&gt;=10000000,IFERROR(DATE(INT($W1516/10000),MOD(INT($W1516/100),100),MOD($W1516,100)),""),INT($W1516)),IFERROR(DATE(--LEFT(LEFT(SUBSTITUTE(SUBSTITUTE(SUBSTITUTE(SUBSTITUTE(TRIM($W1516),"-",""),".",""),"/","")," ",""),8),4),--MID(LEFT(SUBSTITUTE(SUBSTITUTE(SUBSTITUTE(SUBSTITUTE(TRIM($W1516),"-",""),".",""),"/","")," ",""),8),5,2),--MID(LEFT(SUBSTITUTE(SUBSTITUTE(SUBSTITUTE(SUBSTITUTE(TRIM($W1516),"-",""),".",""),"/","")," ",""),8),7,2)),"")))</f>
        <v/>
      </c>
      <c r="Y1516" s="32">
        <f>IF($X1516="","",INT($X1516))</f>
        <v/>
      </c>
      <c r="Z1516" s="33">
        <f>IF(OR($Y1516="",$D$6=""),"",IF(INDEX($A:$U,ROW(),$D$6)="",0,IF(ISNUMBER(INDEX($A:$U,ROW(),$D$6)),INDEX($A:$U,ROW(),$D$6),IFERROR(--SUBSTITUTE(SUBSTITUTE(TRIM(INDEX($A:$U,ROW(),$D$6)),",",""),"원",""),0))))</f>
        <v/>
      </c>
      <c r="AA1516" s="31">
        <f>IF($Y1516="","",TRIM(INDEX($A:$U,ROW(),$E$6)&amp;IF($F$6="",""," "&amp;INDEX($A:$U,ROW(),$F$6))))</f>
        <v/>
      </c>
      <c r="AB1516" s="31">
        <f>IF($AA1516="","",SUBSTITUTE(SUBSTITUTE(SUBSTITUTE(SUBSTITUTE(SUBSTITUTE(SUBSTITUTE(SUBSTITUTE(SUBSTITUTE(SUBSTITUTE($AA1516," ",""),"　",""),"(주)",""),"（주）",""),"㈜",""),"주식회사",""),"(유)",""),"（유）",""),"유한회사",""))</f>
        <v/>
      </c>
      <c r="AC1516" s="31">
        <f>IF(OR($Y1516="",N($Z1516)&lt;=0,$AB1516=""),0,IFERROR(LOOKUP(2,1/((거래처별!$AC$8:$AC$307&lt;&gt;"")*ISNUMBER(SEARCH(거래처별!$AC$8:$AC$307,$AB1516))),거래처별!$A$8:$A$307),IFERROR(LOOKUP(2,1/((거래처별!$AD$8:$AD$307&lt;&gt;"")*ISNUMBER(SEARCH(거래처별!$AD$8:$AD$307,$AB1516))),거래처별!$A$8:$A$307),IFERROR(LOOKUP(2,1/((거래처별!$AE$8:$AE$307&lt;&gt;"")*ISNUMBER(SEARCH(거래처별!$AE$8:$AE$307,$AB1516))),거래처별!$A$8:$A$307),0))))</f>
        <v/>
      </c>
      <c r="AD1516" s="31">
        <f>IF(AND($Y1516&lt;&gt;"",N($Z1516)&gt;0,$AC1516=0),MAX($AD$7:$AD1515)+1,"")</f>
        <v/>
      </c>
      <c r="AE1516" s="31">
        <f>IF($Y1516="",0,$Y1516)</f>
        <v/>
      </c>
    </row>
    <row r="1517">
      <c r="W1517" s="31">
        <f>IF(OR($B$5="",$C$6="",ROW()&lt;$B$5),"",IF(INDEX($A:$U,ROW(),$C$6)="","",INDEX($A:$U,ROW(),$C$6)))</f>
        <v/>
      </c>
      <c r="X1517" s="32">
        <f>IF($W1517="","",IF(ISNUMBER($W1517),IF($W1517&gt;=10000000,IFERROR(DATE(INT($W1517/10000),MOD(INT($W1517/100),100),MOD($W1517,100)),""),INT($W1517)),IFERROR(DATE(--LEFT(LEFT(SUBSTITUTE(SUBSTITUTE(SUBSTITUTE(SUBSTITUTE(TRIM($W1517),"-",""),".",""),"/","")," ",""),8),4),--MID(LEFT(SUBSTITUTE(SUBSTITUTE(SUBSTITUTE(SUBSTITUTE(TRIM($W1517),"-",""),".",""),"/","")," ",""),8),5,2),--MID(LEFT(SUBSTITUTE(SUBSTITUTE(SUBSTITUTE(SUBSTITUTE(TRIM($W1517),"-",""),".",""),"/","")," ",""),8),7,2)),"")))</f>
        <v/>
      </c>
      <c r="Y1517" s="32">
        <f>IF($X1517="","",INT($X1517))</f>
        <v/>
      </c>
      <c r="Z1517" s="33">
        <f>IF(OR($Y1517="",$D$6=""),"",IF(INDEX($A:$U,ROW(),$D$6)="",0,IF(ISNUMBER(INDEX($A:$U,ROW(),$D$6)),INDEX($A:$U,ROW(),$D$6),IFERROR(--SUBSTITUTE(SUBSTITUTE(TRIM(INDEX($A:$U,ROW(),$D$6)),",",""),"원",""),0))))</f>
        <v/>
      </c>
      <c r="AA1517" s="31">
        <f>IF($Y1517="","",TRIM(INDEX($A:$U,ROW(),$E$6)&amp;IF($F$6="",""," "&amp;INDEX($A:$U,ROW(),$F$6))))</f>
        <v/>
      </c>
      <c r="AB1517" s="31">
        <f>IF($AA1517="","",SUBSTITUTE(SUBSTITUTE(SUBSTITUTE(SUBSTITUTE(SUBSTITUTE(SUBSTITUTE(SUBSTITUTE(SUBSTITUTE(SUBSTITUTE($AA1517," ",""),"　",""),"(주)",""),"（주）",""),"㈜",""),"주식회사",""),"(유)",""),"（유）",""),"유한회사",""))</f>
        <v/>
      </c>
      <c r="AC1517" s="31">
        <f>IF(OR($Y1517="",N($Z1517)&lt;=0,$AB1517=""),0,IFERROR(LOOKUP(2,1/((거래처별!$AC$8:$AC$307&lt;&gt;"")*ISNUMBER(SEARCH(거래처별!$AC$8:$AC$307,$AB1517))),거래처별!$A$8:$A$307),IFERROR(LOOKUP(2,1/((거래처별!$AD$8:$AD$307&lt;&gt;"")*ISNUMBER(SEARCH(거래처별!$AD$8:$AD$307,$AB1517))),거래처별!$A$8:$A$307),IFERROR(LOOKUP(2,1/((거래처별!$AE$8:$AE$307&lt;&gt;"")*ISNUMBER(SEARCH(거래처별!$AE$8:$AE$307,$AB1517))),거래처별!$A$8:$A$307),0))))</f>
        <v/>
      </c>
      <c r="AD1517" s="31">
        <f>IF(AND($Y1517&lt;&gt;"",N($Z1517)&gt;0,$AC1517=0),MAX($AD$7:$AD1516)+1,"")</f>
        <v/>
      </c>
      <c r="AE1517" s="31">
        <f>IF($Y1517="",0,$Y1517)</f>
        <v/>
      </c>
    </row>
    <row r="1518">
      <c r="W1518" s="31">
        <f>IF(OR($B$5="",$C$6="",ROW()&lt;$B$5),"",IF(INDEX($A:$U,ROW(),$C$6)="","",INDEX($A:$U,ROW(),$C$6)))</f>
        <v/>
      </c>
      <c r="X1518" s="32">
        <f>IF($W1518="","",IF(ISNUMBER($W1518),IF($W1518&gt;=10000000,IFERROR(DATE(INT($W1518/10000),MOD(INT($W1518/100),100),MOD($W1518,100)),""),INT($W1518)),IFERROR(DATE(--LEFT(LEFT(SUBSTITUTE(SUBSTITUTE(SUBSTITUTE(SUBSTITUTE(TRIM($W1518),"-",""),".",""),"/","")," ",""),8),4),--MID(LEFT(SUBSTITUTE(SUBSTITUTE(SUBSTITUTE(SUBSTITUTE(TRIM($W1518),"-",""),".",""),"/","")," ",""),8),5,2),--MID(LEFT(SUBSTITUTE(SUBSTITUTE(SUBSTITUTE(SUBSTITUTE(TRIM($W1518),"-",""),".",""),"/","")," ",""),8),7,2)),"")))</f>
        <v/>
      </c>
      <c r="Y1518" s="32">
        <f>IF($X1518="","",INT($X1518))</f>
        <v/>
      </c>
      <c r="Z1518" s="33">
        <f>IF(OR($Y1518="",$D$6=""),"",IF(INDEX($A:$U,ROW(),$D$6)="",0,IF(ISNUMBER(INDEX($A:$U,ROW(),$D$6)),INDEX($A:$U,ROW(),$D$6),IFERROR(--SUBSTITUTE(SUBSTITUTE(TRIM(INDEX($A:$U,ROW(),$D$6)),",",""),"원",""),0))))</f>
        <v/>
      </c>
      <c r="AA1518" s="31">
        <f>IF($Y1518="","",TRIM(INDEX($A:$U,ROW(),$E$6)&amp;IF($F$6="",""," "&amp;INDEX($A:$U,ROW(),$F$6))))</f>
        <v/>
      </c>
      <c r="AB1518" s="31">
        <f>IF($AA1518="","",SUBSTITUTE(SUBSTITUTE(SUBSTITUTE(SUBSTITUTE(SUBSTITUTE(SUBSTITUTE(SUBSTITUTE(SUBSTITUTE(SUBSTITUTE($AA1518," ",""),"　",""),"(주)",""),"（주）",""),"㈜",""),"주식회사",""),"(유)",""),"（유）",""),"유한회사",""))</f>
        <v/>
      </c>
      <c r="AC1518" s="31">
        <f>IF(OR($Y1518="",N($Z1518)&lt;=0,$AB1518=""),0,IFERROR(LOOKUP(2,1/((거래처별!$AC$8:$AC$307&lt;&gt;"")*ISNUMBER(SEARCH(거래처별!$AC$8:$AC$307,$AB1518))),거래처별!$A$8:$A$307),IFERROR(LOOKUP(2,1/((거래처별!$AD$8:$AD$307&lt;&gt;"")*ISNUMBER(SEARCH(거래처별!$AD$8:$AD$307,$AB1518))),거래처별!$A$8:$A$307),IFERROR(LOOKUP(2,1/((거래처별!$AE$8:$AE$307&lt;&gt;"")*ISNUMBER(SEARCH(거래처별!$AE$8:$AE$307,$AB1518))),거래처별!$A$8:$A$307),0))))</f>
        <v/>
      </c>
      <c r="AD1518" s="31">
        <f>IF(AND($Y1518&lt;&gt;"",N($Z1518)&gt;0,$AC1518=0),MAX($AD$7:$AD1517)+1,"")</f>
        <v/>
      </c>
      <c r="AE1518" s="31">
        <f>IF($Y1518="",0,$Y1518)</f>
        <v/>
      </c>
    </row>
    <row r="1519">
      <c r="W1519" s="31">
        <f>IF(OR($B$5="",$C$6="",ROW()&lt;$B$5),"",IF(INDEX($A:$U,ROW(),$C$6)="","",INDEX($A:$U,ROW(),$C$6)))</f>
        <v/>
      </c>
      <c r="X1519" s="32">
        <f>IF($W1519="","",IF(ISNUMBER($W1519),IF($W1519&gt;=10000000,IFERROR(DATE(INT($W1519/10000),MOD(INT($W1519/100),100),MOD($W1519,100)),""),INT($W1519)),IFERROR(DATE(--LEFT(LEFT(SUBSTITUTE(SUBSTITUTE(SUBSTITUTE(SUBSTITUTE(TRIM($W1519),"-",""),".",""),"/","")," ",""),8),4),--MID(LEFT(SUBSTITUTE(SUBSTITUTE(SUBSTITUTE(SUBSTITUTE(TRIM($W1519),"-",""),".",""),"/","")," ",""),8),5,2),--MID(LEFT(SUBSTITUTE(SUBSTITUTE(SUBSTITUTE(SUBSTITUTE(TRIM($W1519),"-",""),".",""),"/","")," ",""),8),7,2)),"")))</f>
        <v/>
      </c>
      <c r="Y1519" s="32">
        <f>IF($X1519="","",INT($X1519))</f>
        <v/>
      </c>
      <c r="Z1519" s="33">
        <f>IF(OR($Y1519="",$D$6=""),"",IF(INDEX($A:$U,ROW(),$D$6)="",0,IF(ISNUMBER(INDEX($A:$U,ROW(),$D$6)),INDEX($A:$U,ROW(),$D$6),IFERROR(--SUBSTITUTE(SUBSTITUTE(TRIM(INDEX($A:$U,ROW(),$D$6)),",",""),"원",""),0))))</f>
        <v/>
      </c>
      <c r="AA1519" s="31">
        <f>IF($Y1519="","",TRIM(INDEX($A:$U,ROW(),$E$6)&amp;IF($F$6="",""," "&amp;INDEX($A:$U,ROW(),$F$6))))</f>
        <v/>
      </c>
      <c r="AB1519" s="31">
        <f>IF($AA1519="","",SUBSTITUTE(SUBSTITUTE(SUBSTITUTE(SUBSTITUTE(SUBSTITUTE(SUBSTITUTE(SUBSTITUTE(SUBSTITUTE(SUBSTITUTE($AA1519," ",""),"　",""),"(주)",""),"（주）",""),"㈜",""),"주식회사",""),"(유)",""),"（유）",""),"유한회사",""))</f>
        <v/>
      </c>
      <c r="AC1519" s="31">
        <f>IF(OR($Y1519="",N($Z1519)&lt;=0,$AB1519=""),0,IFERROR(LOOKUP(2,1/((거래처별!$AC$8:$AC$307&lt;&gt;"")*ISNUMBER(SEARCH(거래처별!$AC$8:$AC$307,$AB1519))),거래처별!$A$8:$A$307),IFERROR(LOOKUP(2,1/((거래처별!$AD$8:$AD$307&lt;&gt;"")*ISNUMBER(SEARCH(거래처별!$AD$8:$AD$307,$AB1519))),거래처별!$A$8:$A$307),IFERROR(LOOKUP(2,1/((거래처별!$AE$8:$AE$307&lt;&gt;"")*ISNUMBER(SEARCH(거래처별!$AE$8:$AE$307,$AB1519))),거래처별!$A$8:$A$307),0))))</f>
        <v/>
      </c>
      <c r="AD1519" s="31">
        <f>IF(AND($Y1519&lt;&gt;"",N($Z1519)&gt;0,$AC1519=0),MAX($AD$7:$AD1518)+1,"")</f>
        <v/>
      </c>
      <c r="AE1519" s="31">
        <f>IF($Y1519="",0,$Y1519)</f>
        <v/>
      </c>
    </row>
    <row r="1520">
      <c r="W1520" s="31">
        <f>IF(OR($B$5="",$C$6="",ROW()&lt;$B$5),"",IF(INDEX($A:$U,ROW(),$C$6)="","",INDEX($A:$U,ROW(),$C$6)))</f>
        <v/>
      </c>
      <c r="X1520" s="32">
        <f>IF($W1520="","",IF(ISNUMBER($W1520),IF($W1520&gt;=10000000,IFERROR(DATE(INT($W1520/10000),MOD(INT($W1520/100),100),MOD($W1520,100)),""),INT($W1520)),IFERROR(DATE(--LEFT(LEFT(SUBSTITUTE(SUBSTITUTE(SUBSTITUTE(SUBSTITUTE(TRIM($W1520),"-",""),".",""),"/","")," ",""),8),4),--MID(LEFT(SUBSTITUTE(SUBSTITUTE(SUBSTITUTE(SUBSTITUTE(TRIM($W1520),"-",""),".",""),"/","")," ",""),8),5,2),--MID(LEFT(SUBSTITUTE(SUBSTITUTE(SUBSTITUTE(SUBSTITUTE(TRIM($W1520),"-",""),".",""),"/","")," ",""),8),7,2)),"")))</f>
        <v/>
      </c>
      <c r="Y1520" s="32">
        <f>IF($X1520="","",INT($X1520))</f>
        <v/>
      </c>
      <c r="Z1520" s="33">
        <f>IF(OR($Y1520="",$D$6=""),"",IF(INDEX($A:$U,ROW(),$D$6)="",0,IF(ISNUMBER(INDEX($A:$U,ROW(),$D$6)),INDEX($A:$U,ROW(),$D$6),IFERROR(--SUBSTITUTE(SUBSTITUTE(TRIM(INDEX($A:$U,ROW(),$D$6)),",",""),"원",""),0))))</f>
        <v/>
      </c>
      <c r="AA1520" s="31">
        <f>IF($Y1520="","",TRIM(INDEX($A:$U,ROW(),$E$6)&amp;IF($F$6="",""," "&amp;INDEX($A:$U,ROW(),$F$6))))</f>
        <v/>
      </c>
      <c r="AB1520" s="31">
        <f>IF($AA1520="","",SUBSTITUTE(SUBSTITUTE(SUBSTITUTE(SUBSTITUTE(SUBSTITUTE(SUBSTITUTE(SUBSTITUTE(SUBSTITUTE(SUBSTITUTE($AA1520," ",""),"　",""),"(주)",""),"（주）",""),"㈜",""),"주식회사",""),"(유)",""),"（유）",""),"유한회사",""))</f>
        <v/>
      </c>
      <c r="AC1520" s="31">
        <f>IF(OR($Y1520="",N($Z1520)&lt;=0,$AB1520=""),0,IFERROR(LOOKUP(2,1/((거래처별!$AC$8:$AC$307&lt;&gt;"")*ISNUMBER(SEARCH(거래처별!$AC$8:$AC$307,$AB1520))),거래처별!$A$8:$A$307),IFERROR(LOOKUP(2,1/((거래처별!$AD$8:$AD$307&lt;&gt;"")*ISNUMBER(SEARCH(거래처별!$AD$8:$AD$307,$AB1520))),거래처별!$A$8:$A$307),IFERROR(LOOKUP(2,1/((거래처별!$AE$8:$AE$307&lt;&gt;"")*ISNUMBER(SEARCH(거래처별!$AE$8:$AE$307,$AB1520))),거래처별!$A$8:$A$307),0))))</f>
        <v/>
      </c>
      <c r="AD1520" s="31">
        <f>IF(AND($Y1520&lt;&gt;"",N($Z1520)&gt;0,$AC1520=0),MAX($AD$7:$AD1519)+1,"")</f>
        <v/>
      </c>
      <c r="AE1520" s="31">
        <f>IF($Y1520="",0,$Y1520)</f>
        <v/>
      </c>
    </row>
    <row r="1521">
      <c r="W1521" s="31">
        <f>IF(OR($B$5="",$C$6="",ROW()&lt;$B$5),"",IF(INDEX($A:$U,ROW(),$C$6)="","",INDEX($A:$U,ROW(),$C$6)))</f>
        <v/>
      </c>
      <c r="X1521" s="32">
        <f>IF($W1521="","",IF(ISNUMBER($W1521),IF($W1521&gt;=10000000,IFERROR(DATE(INT($W1521/10000),MOD(INT($W1521/100),100),MOD($W1521,100)),""),INT($W1521)),IFERROR(DATE(--LEFT(LEFT(SUBSTITUTE(SUBSTITUTE(SUBSTITUTE(SUBSTITUTE(TRIM($W1521),"-",""),".",""),"/","")," ",""),8),4),--MID(LEFT(SUBSTITUTE(SUBSTITUTE(SUBSTITUTE(SUBSTITUTE(TRIM($W1521),"-",""),".",""),"/","")," ",""),8),5,2),--MID(LEFT(SUBSTITUTE(SUBSTITUTE(SUBSTITUTE(SUBSTITUTE(TRIM($W1521),"-",""),".",""),"/","")," ",""),8),7,2)),"")))</f>
        <v/>
      </c>
      <c r="Y1521" s="32">
        <f>IF($X1521="","",INT($X1521))</f>
        <v/>
      </c>
      <c r="Z1521" s="33">
        <f>IF(OR($Y1521="",$D$6=""),"",IF(INDEX($A:$U,ROW(),$D$6)="",0,IF(ISNUMBER(INDEX($A:$U,ROW(),$D$6)),INDEX($A:$U,ROW(),$D$6),IFERROR(--SUBSTITUTE(SUBSTITUTE(TRIM(INDEX($A:$U,ROW(),$D$6)),",",""),"원",""),0))))</f>
        <v/>
      </c>
      <c r="AA1521" s="31">
        <f>IF($Y1521="","",TRIM(INDEX($A:$U,ROW(),$E$6)&amp;IF($F$6="",""," "&amp;INDEX($A:$U,ROW(),$F$6))))</f>
        <v/>
      </c>
      <c r="AB1521" s="31">
        <f>IF($AA1521="","",SUBSTITUTE(SUBSTITUTE(SUBSTITUTE(SUBSTITUTE(SUBSTITUTE(SUBSTITUTE(SUBSTITUTE(SUBSTITUTE(SUBSTITUTE($AA1521," ",""),"　",""),"(주)",""),"（주）",""),"㈜",""),"주식회사",""),"(유)",""),"（유）",""),"유한회사",""))</f>
        <v/>
      </c>
      <c r="AC1521" s="31">
        <f>IF(OR($Y1521="",N($Z1521)&lt;=0,$AB1521=""),0,IFERROR(LOOKUP(2,1/((거래처별!$AC$8:$AC$307&lt;&gt;"")*ISNUMBER(SEARCH(거래처별!$AC$8:$AC$307,$AB1521))),거래처별!$A$8:$A$307),IFERROR(LOOKUP(2,1/((거래처별!$AD$8:$AD$307&lt;&gt;"")*ISNUMBER(SEARCH(거래처별!$AD$8:$AD$307,$AB1521))),거래처별!$A$8:$A$307),IFERROR(LOOKUP(2,1/((거래처별!$AE$8:$AE$307&lt;&gt;"")*ISNUMBER(SEARCH(거래처별!$AE$8:$AE$307,$AB1521))),거래처별!$A$8:$A$307),0))))</f>
        <v/>
      </c>
      <c r="AD1521" s="31">
        <f>IF(AND($Y1521&lt;&gt;"",N($Z1521)&gt;0,$AC1521=0),MAX($AD$7:$AD1520)+1,"")</f>
        <v/>
      </c>
      <c r="AE1521" s="31">
        <f>IF($Y1521="",0,$Y1521)</f>
        <v/>
      </c>
    </row>
    <row r="1522">
      <c r="W1522" s="31">
        <f>IF(OR($B$5="",$C$6="",ROW()&lt;$B$5),"",IF(INDEX($A:$U,ROW(),$C$6)="","",INDEX($A:$U,ROW(),$C$6)))</f>
        <v/>
      </c>
      <c r="X1522" s="32">
        <f>IF($W1522="","",IF(ISNUMBER($W1522),IF($W1522&gt;=10000000,IFERROR(DATE(INT($W1522/10000),MOD(INT($W1522/100),100),MOD($W1522,100)),""),INT($W1522)),IFERROR(DATE(--LEFT(LEFT(SUBSTITUTE(SUBSTITUTE(SUBSTITUTE(SUBSTITUTE(TRIM($W1522),"-",""),".",""),"/","")," ",""),8),4),--MID(LEFT(SUBSTITUTE(SUBSTITUTE(SUBSTITUTE(SUBSTITUTE(TRIM($W1522),"-",""),".",""),"/","")," ",""),8),5,2),--MID(LEFT(SUBSTITUTE(SUBSTITUTE(SUBSTITUTE(SUBSTITUTE(TRIM($W1522),"-",""),".",""),"/","")," ",""),8),7,2)),"")))</f>
        <v/>
      </c>
      <c r="Y1522" s="32">
        <f>IF($X1522="","",INT($X1522))</f>
        <v/>
      </c>
      <c r="Z1522" s="33">
        <f>IF(OR($Y1522="",$D$6=""),"",IF(INDEX($A:$U,ROW(),$D$6)="",0,IF(ISNUMBER(INDEX($A:$U,ROW(),$D$6)),INDEX($A:$U,ROW(),$D$6),IFERROR(--SUBSTITUTE(SUBSTITUTE(TRIM(INDEX($A:$U,ROW(),$D$6)),",",""),"원",""),0))))</f>
        <v/>
      </c>
      <c r="AA1522" s="31">
        <f>IF($Y1522="","",TRIM(INDEX($A:$U,ROW(),$E$6)&amp;IF($F$6="",""," "&amp;INDEX($A:$U,ROW(),$F$6))))</f>
        <v/>
      </c>
      <c r="AB1522" s="31">
        <f>IF($AA1522="","",SUBSTITUTE(SUBSTITUTE(SUBSTITUTE(SUBSTITUTE(SUBSTITUTE(SUBSTITUTE(SUBSTITUTE(SUBSTITUTE(SUBSTITUTE($AA1522," ",""),"　",""),"(주)",""),"（주）",""),"㈜",""),"주식회사",""),"(유)",""),"（유）",""),"유한회사",""))</f>
        <v/>
      </c>
      <c r="AC1522" s="31">
        <f>IF(OR($Y1522="",N($Z1522)&lt;=0,$AB1522=""),0,IFERROR(LOOKUP(2,1/((거래처별!$AC$8:$AC$307&lt;&gt;"")*ISNUMBER(SEARCH(거래처별!$AC$8:$AC$307,$AB1522))),거래처별!$A$8:$A$307),IFERROR(LOOKUP(2,1/((거래처별!$AD$8:$AD$307&lt;&gt;"")*ISNUMBER(SEARCH(거래처별!$AD$8:$AD$307,$AB1522))),거래처별!$A$8:$A$307),IFERROR(LOOKUP(2,1/((거래처별!$AE$8:$AE$307&lt;&gt;"")*ISNUMBER(SEARCH(거래처별!$AE$8:$AE$307,$AB1522))),거래처별!$A$8:$A$307),0))))</f>
        <v/>
      </c>
      <c r="AD1522" s="31">
        <f>IF(AND($Y1522&lt;&gt;"",N($Z1522)&gt;0,$AC1522=0),MAX($AD$7:$AD1521)+1,"")</f>
        <v/>
      </c>
      <c r="AE1522" s="31">
        <f>IF($Y1522="",0,$Y1522)</f>
        <v/>
      </c>
    </row>
    <row r="1523">
      <c r="W1523" s="31">
        <f>IF(OR($B$5="",$C$6="",ROW()&lt;$B$5),"",IF(INDEX($A:$U,ROW(),$C$6)="","",INDEX($A:$U,ROW(),$C$6)))</f>
        <v/>
      </c>
      <c r="X1523" s="32">
        <f>IF($W1523="","",IF(ISNUMBER($W1523),IF($W1523&gt;=10000000,IFERROR(DATE(INT($W1523/10000),MOD(INT($W1523/100),100),MOD($W1523,100)),""),INT($W1523)),IFERROR(DATE(--LEFT(LEFT(SUBSTITUTE(SUBSTITUTE(SUBSTITUTE(SUBSTITUTE(TRIM($W1523),"-",""),".",""),"/","")," ",""),8),4),--MID(LEFT(SUBSTITUTE(SUBSTITUTE(SUBSTITUTE(SUBSTITUTE(TRIM($W1523),"-",""),".",""),"/","")," ",""),8),5,2),--MID(LEFT(SUBSTITUTE(SUBSTITUTE(SUBSTITUTE(SUBSTITUTE(TRIM($W1523),"-",""),".",""),"/","")," ",""),8),7,2)),"")))</f>
        <v/>
      </c>
      <c r="Y1523" s="32">
        <f>IF($X1523="","",INT($X1523))</f>
        <v/>
      </c>
      <c r="Z1523" s="33">
        <f>IF(OR($Y1523="",$D$6=""),"",IF(INDEX($A:$U,ROW(),$D$6)="",0,IF(ISNUMBER(INDEX($A:$U,ROW(),$D$6)),INDEX($A:$U,ROW(),$D$6),IFERROR(--SUBSTITUTE(SUBSTITUTE(TRIM(INDEX($A:$U,ROW(),$D$6)),",",""),"원",""),0))))</f>
        <v/>
      </c>
      <c r="AA1523" s="31">
        <f>IF($Y1523="","",TRIM(INDEX($A:$U,ROW(),$E$6)&amp;IF($F$6="",""," "&amp;INDEX($A:$U,ROW(),$F$6))))</f>
        <v/>
      </c>
      <c r="AB1523" s="31">
        <f>IF($AA1523="","",SUBSTITUTE(SUBSTITUTE(SUBSTITUTE(SUBSTITUTE(SUBSTITUTE(SUBSTITUTE(SUBSTITUTE(SUBSTITUTE(SUBSTITUTE($AA1523," ",""),"　",""),"(주)",""),"（주）",""),"㈜",""),"주식회사",""),"(유)",""),"（유）",""),"유한회사",""))</f>
        <v/>
      </c>
      <c r="AC1523" s="31">
        <f>IF(OR($Y1523="",N($Z1523)&lt;=0,$AB1523=""),0,IFERROR(LOOKUP(2,1/((거래처별!$AC$8:$AC$307&lt;&gt;"")*ISNUMBER(SEARCH(거래처별!$AC$8:$AC$307,$AB1523))),거래처별!$A$8:$A$307),IFERROR(LOOKUP(2,1/((거래처별!$AD$8:$AD$307&lt;&gt;"")*ISNUMBER(SEARCH(거래처별!$AD$8:$AD$307,$AB1523))),거래처별!$A$8:$A$307),IFERROR(LOOKUP(2,1/((거래처별!$AE$8:$AE$307&lt;&gt;"")*ISNUMBER(SEARCH(거래처별!$AE$8:$AE$307,$AB1523))),거래처별!$A$8:$A$307),0))))</f>
        <v/>
      </c>
      <c r="AD1523" s="31">
        <f>IF(AND($Y1523&lt;&gt;"",N($Z1523)&gt;0,$AC1523=0),MAX($AD$7:$AD1522)+1,"")</f>
        <v/>
      </c>
      <c r="AE1523" s="31">
        <f>IF($Y1523="",0,$Y1523)</f>
        <v/>
      </c>
    </row>
    <row r="1524">
      <c r="W1524" s="31">
        <f>IF(OR($B$5="",$C$6="",ROW()&lt;$B$5),"",IF(INDEX($A:$U,ROW(),$C$6)="","",INDEX($A:$U,ROW(),$C$6)))</f>
        <v/>
      </c>
      <c r="X1524" s="32">
        <f>IF($W1524="","",IF(ISNUMBER($W1524),IF($W1524&gt;=10000000,IFERROR(DATE(INT($W1524/10000),MOD(INT($W1524/100),100),MOD($W1524,100)),""),INT($W1524)),IFERROR(DATE(--LEFT(LEFT(SUBSTITUTE(SUBSTITUTE(SUBSTITUTE(SUBSTITUTE(TRIM($W1524),"-",""),".",""),"/","")," ",""),8),4),--MID(LEFT(SUBSTITUTE(SUBSTITUTE(SUBSTITUTE(SUBSTITUTE(TRIM($W1524),"-",""),".",""),"/","")," ",""),8),5,2),--MID(LEFT(SUBSTITUTE(SUBSTITUTE(SUBSTITUTE(SUBSTITUTE(TRIM($W1524),"-",""),".",""),"/","")," ",""),8),7,2)),"")))</f>
        <v/>
      </c>
      <c r="Y1524" s="32">
        <f>IF($X1524="","",INT($X1524))</f>
        <v/>
      </c>
      <c r="Z1524" s="33">
        <f>IF(OR($Y1524="",$D$6=""),"",IF(INDEX($A:$U,ROW(),$D$6)="",0,IF(ISNUMBER(INDEX($A:$U,ROW(),$D$6)),INDEX($A:$U,ROW(),$D$6),IFERROR(--SUBSTITUTE(SUBSTITUTE(TRIM(INDEX($A:$U,ROW(),$D$6)),",",""),"원",""),0))))</f>
        <v/>
      </c>
      <c r="AA1524" s="31">
        <f>IF($Y1524="","",TRIM(INDEX($A:$U,ROW(),$E$6)&amp;IF($F$6="",""," "&amp;INDEX($A:$U,ROW(),$F$6))))</f>
        <v/>
      </c>
      <c r="AB1524" s="31">
        <f>IF($AA1524="","",SUBSTITUTE(SUBSTITUTE(SUBSTITUTE(SUBSTITUTE(SUBSTITUTE(SUBSTITUTE(SUBSTITUTE(SUBSTITUTE(SUBSTITUTE($AA1524," ",""),"　",""),"(주)",""),"（주）",""),"㈜",""),"주식회사",""),"(유)",""),"（유）",""),"유한회사",""))</f>
        <v/>
      </c>
      <c r="AC1524" s="31">
        <f>IF(OR($Y1524="",N($Z1524)&lt;=0,$AB1524=""),0,IFERROR(LOOKUP(2,1/((거래처별!$AC$8:$AC$307&lt;&gt;"")*ISNUMBER(SEARCH(거래처별!$AC$8:$AC$307,$AB1524))),거래처별!$A$8:$A$307),IFERROR(LOOKUP(2,1/((거래처별!$AD$8:$AD$307&lt;&gt;"")*ISNUMBER(SEARCH(거래처별!$AD$8:$AD$307,$AB1524))),거래처별!$A$8:$A$307),IFERROR(LOOKUP(2,1/((거래처별!$AE$8:$AE$307&lt;&gt;"")*ISNUMBER(SEARCH(거래처별!$AE$8:$AE$307,$AB1524))),거래처별!$A$8:$A$307),0))))</f>
        <v/>
      </c>
      <c r="AD1524" s="31">
        <f>IF(AND($Y1524&lt;&gt;"",N($Z1524)&gt;0,$AC1524=0),MAX($AD$7:$AD1523)+1,"")</f>
        <v/>
      </c>
      <c r="AE1524" s="31">
        <f>IF($Y1524="",0,$Y1524)</f>
        <v/>
      </c>
    </row>
    <row r="1525">
      <c r="W1525" s="31">
        <f>IF(OR($B$5="",$C$6="",ROW()&lt;$B$5),"",IF(INDEX($A:$U,ROW(),$C$6)="","",INDEX($A:$U,ROW(),$C$6)))</f>
        <v/>
      </c>
      <c r="X1525" s="32">
        <f>IF($W1525="","",IF(ISNUMBER($W1525),IF($W1525&gt;=10000000,IFERROR(DATE(INT($W1525/10000),MOD(INT($W1525/100),100),MOD($W1525,100)),""),INT($W1525)),IFERROR(DATE(--LEFT(LEFT(SUBSTITUTE(SUBSTITUTE(SUBSTITUTE(SUBSTITUTE(TRIM($W1525),"-",""),".",""),"/","")," ",""),8),4),--MID(LEFT(SUBSTITUTE(SUBSTITUTE(SUBSTITUTE(SUBSTITUTE(TRIM($W1525),"-",""),".",""),"/","")," ",""),8),5,2),--MID(LEFT(SUBSTITUTE(SUBSTITUTE(SUBSTITUTE(SUBSTITUTE(TRIM($W1525),"-",""),".",""),"/","")," ",""),8),7,2)),"")))</f>
        <v/>
      </c>
      <c r="Y1525" s="32">
        <f>IF($X1525="","",INT($X1525))</f>
        <v/>
      </c>
      <c r="Z1525" s="33">
        <f>IF(OR($Y1525="",$D$6=""),"",IF(INDEX($A:$U,ROW(),$D$6)="",0,IF(ISNUMBER(INDEX($A:$U,ROW(),$D$6)),INDEX($A:$U,ROW(),$D$6),IFERROR(--SUBSTITUTE(SUBSTITUTE(TRIM(INDEX($A:$U,ROW(),$D$6)),",",""),"원",""),0))))</f>
        <v/>
      </c>
      <c r="AA1525" s="31">
        <f>IF($Y1525="","",TRIM(INDEX($A:$U,ROW(),$E$6)&amp;IF($F$6="",""," "&amp;INDEX($A:$U,ROW(),$F$6))))</f>
        <v/>
      </c>
      <c r="AB1525" s="31">
        <f>IF($AA1525="","",SUBSTITUTE(SUBSTITUTE(SUBSTITUTE(SUBSTITUTE(SUBSTITUTE(SUBSTITUTE(SUBSTITUTE(SUBSTITUTE(SUBSTITUTE($AA1525," ",""),"　",""),"(주)",""),"（주）",""),"㈜",""),"주식회사",""),"(유)",""),"（유）",""),"유한회사",""))</f>
        <v/>
      </c>
      <c r="AC1525" s="31">
        <f>IF(OR($Y1525="",N($Z1525)&lt;=0,$AB1525=""),0,IFERROR(LOOKUP(2,1/((거래처별!$AC$8:$AC$307&lt;&gt;"")*ISNUMBER(SEARCH(거래처별!$AC$8:$AC$307,$AB1525))),거래처별!$A$8:$A$307),IFERROR(LOOKUP(2,1/((거래처별!$AD$8:$AD$307&lt;&gt;"")*ISNUMBER(SEARCH(거래처별!$AD$8:$AD$307,$AB1525))),거래처별!$A$8:$A$307),IFERROR(LOOKUP(2,1/((거래처별!$AE$8:$AE$307&lt;&gt;"")*ISNUMBER(SEARCH(거래처별!$AE$8:$AE$307,$AB1525))),거래처별!$A$8:$A$307),0))))</f>
        <v/>
      </c>
      <c r="AD1525" s="31">
        <f>IF(AND($Y1525&lt;&gt;"",N($Z1525)&gt;0,$AC1525=0),MAX($AD$7:$AD1524)+1,"")</f>
        <v/>
      </c>
      <c r="AE1525" s="31">
        <f>IF($Y1525="",0,$Y1525)</f>
        <v/>
      </c>
    </row>
    <row r="1526">
      <c r="W1526" s="31">
        <f>IF(OR($B$5="",$C$6="",ROW()&lt;$B$5),"",IF(INDEX($A:$U,ROW(),$C$6)="","",INDEX($A:$U,ROW(),$C$6)))</f>
        <v/>
      </c>
      <c r="X1526" s="32">
        <f>IF($W1526="","",IF(ISNUMBER($W1526),IF($W1526&gt;=10000000,IFERROR(DATE(INT($W1526/10000),MOD(INT($W1526/100),100),MOD($W1526,100)),""),INT($W1526)),IFERROR(DATE(--LEFT(LEFT(SUBSTITUTE(SUBSTITUTE(SUBSTITUTE(SUBSTITUTE(TRIM($W1526),"-",""),".",""),"/","")," ",""),8),4),--MID(LEFT(SUBSTITUTE(SUBSTITUTE(SUBSTITUTE(SUBSTITUTE(TRIM($W1526),"-",""),".",""),"/","")," ",""),8),5,2),--MID(LEFT(SUBSTITUTE(SUBSTITUTE(SUBSTITUTE(SUBSTITUTE(TRIM($W1526),"-",""),".",""),"/","")," ",""),8),7,2)),"")))</f>
        <v/>
      </c>
      <c r="Y1526" s="32">
        <f>IF($X1526="","",INT($X1526))</f>
        <v/>
      </c>
      <c r="Z1526" s="33">
        <f>IF(OR($Y1526="",$D$6=""),"",IF(INDEX($A:$U,ROW(),$D$6)="",0,IF(ISNUMBER(INDEX($A:$U,ROW(),$D$6)),INDEX($A:$U,ROW(),$D$6),IFERROR(--SUBSTITUTE(SUBSTITUTE(TRIM(INDEX($A:$U,ROW(),$D$6)),",",""),"원",""),0))))</f>
        <v/>
      </c>
      <c r="AA1526" s="31">
        <f>IF($Y1526="","",TRIM(INDEX($A:$U,ROW(),$E$6)&amp;IF($F$6="",""," "&amp;INDEX($A:$U,ROW(),$F$6))))</f>
        <v/>
      </c>
      <c r="AB1526" s="31">
        <f>IF($AA1526="","",SUBSTITUTE(SUBSTITUTE(SUBSTITUTE(SUBSTITUTE(SUBSTITUTE(SUBSTITUTE(SUBSTITUTE(SUBSTITUTE(SUBSTITUTE($AA1526," ",""),"　",""),"(주)",""),"（주）",""),"㈜",""),"주식회사",""),"(유)",""),"（유）",""),"유한회사",""))</f>
        <v/>
      </c>
      <c r="AC1526" s="31">
        <f>IF(OR($Y1526="",N($Z1526)&lt;=0,$AB1526=""),0,IFERROR(LOOKUP(2,1/((거래처별!$AC$8:$AC$307&lt;&gt;"")*ISNUMBER(SEARCH(거래처별!$AC$8:$AC$307,$AB1526))),거래처별!$A$8:$A$307),IFERROR(LOOKUP(2,1/((거래처별!$AD$8:$AD$307&lt;&gt;"")*ISNUMBER(SEARCH(거래처별!$AD$8:$AD$307,$AB1526))),거래처별!$A$8:$A$307),IFERROR(LOOKUP(2,1/((거래처별!$AE$8:$AE$307&lt;&gt;"")*ISNUMBER(SEARCH(거래처별!$AE$8:$AE$307,$AB1526))),거래처별!$A$8:$A$307),0))))</f>
        <v/>
      </c>
      <c r="AD1526" s="31">
        <f>IF(AND($Y1526&lt;&gt;"",N($Z1526)&gt;0,$AC1526=0),MAX($AD$7:$AD1525)+1,"")</f>
        <v/>
      </c>
      <c r="AE1526" s="31">
        <f>IF($Y1526="",0,$Y1526)</f>
        <v/>
      </c>
    </row>
    <row r="1527">
      <c r="W1527" s="31">
        <f>IF(OR($B$5="",$C$6="",ROW()&lt;$B$5),"",IF(INDEX($A:$U,ROW(),$C$6)="","",INDEX($A:$U,ROW(),$C$6)))</f>
        <v/>
      </c>
      <c r="X1527" s="32">
        <f>IF($W1527="","",IF(ISNUMBER($W1527),IF($W1527&gt;=10000000,IFERROR(DATE(INT($W1527/10000),MOD(INT($W1527/100),100),MOD($W1527,100)),""),INT($W1527)),IFERROR(DATE(--LEFT(LEFT(SUBSTITUTE(SUBSTITUTE(SUBSTITUTE(SUBSTITUTE(TRIM($W1527),"-",""),".",""),"/","")," ",""),8),4),--MID(LEFT(SUBSTITUTE(SUBSTITUTE(SUBSTITUTE(SUBSTITUTE(TRIM($W1527),"-",""),".",""),"/","")," ",""),8),5,2),--MID(LEFT(SUBSTITUTE(SUBSTITUTE(SUBSTITUTE(SUBSTITUTE(TRIM($W1527),"-",""),".",""),"/","")," ",""),8),7,2)),"")))</f>
        <v/>
      </c>
      <c r="Y1527" s="32">
        <f>IF($X1527="","",INT($X1527))</f>
        <v/>
      </c>
      <c r="Z1527" s="33">
        <f>IF(OR($Y1527="",$D$6=""),"",IF(INDEX($A:$U,ROW(),$D$6)="",0,IF(ISNUMBER(INDEX($A:$U,ROW(),$D$6)),INDEX($A:$U,ROW(),$D$6),IFERROR(--SUBSTITUTE(SUBSTITUTE(TRIM(INDEX($A:$U,ROW(),$D$6)),",",""),"원",""),0))))</f>
        <v/>
      </c>
      <c r="AA1527" s="31">
        <f>IF($Y1527="","",TRIM(INDEX($A:$U,ROW(),$E$6)&amp;IF($F$6="",""," "&amp;INDEX($A:$U,ROW(),$F$6))))</f>
        <v/>
      </c>
      <c r="AB1527" s="31">
        <f>IF($AA1527="","",SUBSTITUTE(SUBSTITUTE(SUBSTITUTE(SUBSTITUTE(SUBSTITUTE(SUBSTITUTE(SUBSTITUTE(SUBSTITUTE(SUBSTITUTE($AA1527," ",""),"　",""),"(주)",""),"（주）",""),"㈜",""),"주식회사",""),"(유)",""),"（유）",""),"유한회사",""))</f>
        <v/>
      </c>
      <c r="AC1527" s="31">
        <f>IF(OR($Y1527="",N($Z1527)&lt;=0,$AB1527=""),0,IFERROR(LOOKUP(2,1/((거래처별!$AC$8:$AC$307&lt;&gt;"")*ISNUMBER(SEARCH(거래처별!$AC$8:$AC$307,$AB1527))),거래처별!$A$8:$A$307),IFERROR(LOOKUP(2,1/((거래처별!$AD$8:$AD$307&lt;&gt;"")*ISNUMBER(SEARCH(거래처별!$AD$8:$AD$307,$AB1527))),거래처별!$A$8:$A$307),IFERROR(LOOKUP(2,1/((거래처별!$AE$8:$AE$307&lt;&gt;"")*ISNUMBER(SEARCH(거래처별!$AE$8:$AE$307,$AB1527))),거래처별!$A$8:$A$307),0))))</f>
        <v/>
      </c>
      <c r="AD1527" s="31">
        <f>IF(AND($Y1527&lt;&gt;"",N($Z1527)&gt;0,$AC1527=0),MAX($AD$7:$AD1526)+1,"")</f>
        <v/>
      </c>
      <c r="AE1527" s="31">
        <f>IF($Y1527="",0,$Y1527)</f>
        <v/>
      </c>
    </row>
    <row r="1528">
      <c r="W1528" s="31">
        <f>IF(OR($B$5="",$C$6="",ROW()&lt;$B$5),"",IF(INDEX($A:$U,ROW(),$C$6)="","",INDEX($A:$U,ROW(),$C$6)))</f>
        <v/>
      </c>
      <c r="X1528" s="32">
        <f>IF($W1528="","",IF(ISNUMBER($W1528),IF($W1528&gt;=10000000,IFERROR(DATE(INT($W1528/10000),MOD(INT($W1528/100),100),MOD($W1528,100)),""),INT($W1528)),IFERROR(DATE(--LEFT(LEFT(SUBSTITUTE(SUBSTITUTE(SUBSTITUTE(SUBSTITUTE(TRIM($W1528),"-",""),".",""),"/","")," ",""),8),4),--MID(LEFT(SUBSTITUTE(SUBSTITUTE(SUBSTITUTE(SUBSTITUTE(TRIM($W1528),"-",""),".",""),"/","")," ",""),8),5,2),--MID(LEFT(SUBSTITUTE(SUBSTITUTE(SUBSTITUTE(SUBSTITUTE(TRIM($W1528),"-",""),".",""),"/","")," ",""),8),7,2)),"")))</f>
        <v/>
      </c>
      <c r="Y1528" s="32">
        <f>IF($X1528="","",INT($X1528))</f>
        <v/>
      </c>
      <c r="Z1528" s="33">
        <f>IF(OR($Y1528="",$D$6=""),"",IF(INDEX($A:$U,ROW(),$D$6)="",0,IF(ISNUMBER(INDEX($A:$U,ROW(),$D$6)),INDEX($A:$U,ROW(),$D$6),IFERROR(--SUBSTITUTE(SUBSTITUTE(TRIM(INDEX($A:$U,ROW(),$D$6)),",",""),"원",""),0))))</f>
        <v/>
      </c>
      <c r="AA1528" s="31">
        <f>IF($Y1528="","",TRIM(INDEX($A:$U,ROW(),$E$6)&amp;IF($F$6="",""," "&amp;INDEX($A:$U,ROW(),$F$6))))</f>
        <v/>
      </c>
      <c r="AB1528" s="31">
        <f>IF($AA1528="","",SUBSTITUTE(SUBSTITUTE(SUBSTITUTE(SUBSTITUTE(SUBSTITUTE(SUBSTITUTE(SUBSTITUTE(SUBSTITUTE(SUBSTITUTE($AA1528," ",""),"　",""),"(주)",""),"（주）",""),"㈜",""),"주식회사",""),"(유)",""),"（유）",""),"유한회사",""))</f>
        <v/>
      </c>
      <c r="AC1528" s="31">
        <f>IF(OR($Y1528="",N($Z1528)&lt;=0,$AB1528=""),0,IFERROR(LOOKUP(2,1/((거래처별!$AC$8:$AC$307&lt;&gt;"")*ISNUMBER(SEARCH(거래처별!$AC$8:$AC$307,$AB1528))),거래처별!$A$8:$A$307),IFERROR(LOOKUP(2,1/((거래처별!$AD$8:$AD$307&lt;&gt;"")*ISNUMBER(SEARCH(거래처별!$AD$8:$AD$307,$AB1528))),거래처별!$A$8:$A$307),IFERROR(LOOKUP(2,1/((거래처별!$AE$8:$AE$307&lt;&gt;"")*ISNUMBER(SEARCH(거래처별!$AE$8:$AE$307,$AB1528))),거래처별!$A$8:$A$307),0))))</f>
        <v/>
      </c>
      <c r="AD1528" s="31">
        <f>IF(AND($Y1528&lt;&gt;"",N($Z1528)&gt;0,$AC1528=0),MAX($AD$7:$AD1527)+1,"")</f>
        <v/>
      </c>
      <c r="AE1528" s="31">
        <f>IF($Y1528="",0,$Y1528)</f>
        <v/>
      </c>
    </row>
    <row r="1529">
      <c r="W1529" s="31">
        <f>IF(OR($B$5="",$C$6="",ROW()&lt;$B$5),"",IF(INDEX($A:$U,ROW(),$C$6)="","",INDEX($A:$U,ROW(),$C$6)))</f>
        <v/>
      </c>
      <c r="X1529" s="32">
        <f>IF($W1529="","",IF(ISNUMBER($W1529),IF($W1529&gt;=10000000,IFERROR(DATE(INT($W1529/10000),MOD(INT($W1529/100),100),MOD($W1529,100)),""),INT($W1529)),IFERROR(DATE(--LEFT(LEFT(SUBSTITUTE(SUBSTITUTE(SUBSTITUTE(SUBSTITUTE(TRIM($W1529),"-",""),".",""),"/","")," ",""),8),4),--MID(LEFT(SUBSTITUTE(SUBSTITUTE(SUBSTITUTE(SUBSTITUTE(TRIM($W1529),"-",""),".",""),"/","")," ",""),8),5,2),--MID(LEFT(SUBSTITUTE(SUBSTITUTE(SUBSTITUTE(SUBSTITUTE(TRIM($W1529),"-",""),".",""),"/","")," ",""),8),7,2)),"")))</f>
        <v/>
      </c>
      <c r="Y1529" s="32">
        <f>IF($X1529="","",INT($X1529))</f>
        <v/>
      </c>
      <c r="Z1529" s="33">
        <f>IF(OR($Y1529="",$D$6=""),"",IF(INDEX($A:$U,ROW(),$D$6)="",0,IF(ISNUMBER(INDEX($A:$U,ROW(),$D$6)),INDEX($A:$U,ROW(),$D$6),IFERROR(--SUBSTITUTE(SUBSTITUTE(TRIM(INDEX($A:$U,ROW(),$D$6)),",",""),"원",""),0))))</f>
        <v/>
      </c>
      <c r="AA1529" s="31">
        <f>IF($Y1529="","",TRIM(INDEX($A:$U,ROW(),$E$6)&amp;IF($F$6="",""," "&amp;INDEX($A:$U,ROW(),$F$6))))</f>
        <v/>
      </c>
      <c r="AB1529" s="31">
        <f>IF($AA1529="","",SUBSTITUTE(SUBSTITUTE(SUBSTITUTE(SUBSTITUTE(SUBSTITUTE(SUBSTITUTE(SUBSTITUTE(SUBSTITUTE(SUBSTITUTE($AA1529," ",""),"　",""),"(주)",""),"（주）",""),"㈜",""),"주식회사",""),"(유)",""),"（유）",""),"유한회사",""))</f>
        <v/>
      </c>
      <c r="AC1529" s="31">
        <f>IF(OR($Y1529="",N($Z1529)&lt;=0,$AB1529=""),0,IFERROR(LOOKUP(2,1/((거래처별!$AC$8:$AC$307&lt;&gt;"")*ISNUMBER(SEARCH(거래처별!$AC$8:$AC$307,$AB1529))),거래처별!$A$8:$A$307),IFERROR(LOOKUP(2,1/((거래처별!$AD$8:$AD$307&lt;&gt;"")*ISNUMBER(SEARCH(거래처별!$AD$8:$AD$307,$AB1529))),거래처별!$A$8:$A$307),IFERROR(LOOKUP(2,1/((거래처별!$AE$8:$AE$307&lt;&gt;"")*ISNUMBER(SEARCH(거래처별!$AE$8:$AE$307,$AB1529))),거래처별!$A$8:$A$307),0))))</f>
        <v/>
      </c>
      <c r="AD1529" s="31">
        <f>IF(AND($Y1529&lt;&gt;"",N($Z1529)&gt;0,$AC1529=0),MAX($AD$7:$AD1528)+1,"")</f>
        <v/>
      </c>
      <c r="AE1529" s="31">
        <f>IF($Y1529="",0,$Y1529)</f>
        <v/>
      </c>
    </row>
    <row r="1530">
      <c r="W1530" s="31">
        <f>IF(OR($B$5="",$C$6="",ROW()&lt;$B$5),"",IF(INDEX($A:$U,ROW(),$C$6)="","",INDEX($A:$U,ROW(),$C$6)))</f>
        <v/>
      </c>
      <c r="X1530" s="32">
        <f>IF($W1530="","",IF(ISNUMBER($W1530),IF($W1530&gt;=10000000,IFERROR(DATE(INT($W1530/10000),MOD(INT($W1530/100),100),MOD($W1530,100)),""),INT($W1530)),IFERROR(DATE(--LEFT(LEFT(SUBSTITUTE(SUBSTITUTE(SUBSTITUTE(SUBSTITUTE(TRIM($W1530),"-",""),".",""),"/","")," ",""),8),4),--MID(LEFT(SUBSTITUTE(SUBSTITUTE(SUBSTITUTE(SUBSTITUTE(TRIM($W1530),"-",""),".",""),"/","")," ",""),8),5,2),--MID(LEFT(SUBSTITUTE(SUBSTITUTE(SUBSTITUTE(SUBSTITUTE(TRIM($W1530),"-",""),".",""),"/","")," ",""),8),7,2)),"")))</f>
        <v/>
      </c>
      <c r="Y1530" s="32">
        <f>IF($X1530="","",INT($X1530))</f>
        <v/>
      </c>
      <c r="Z1530" s="33">
        <f>IF(OR($Y1530="",$D$6=""),"",IF(INDEX($A:$U,ROW(),$D$6)="",0,IF(ISNUMBER(INDEX($A:$U,ROW(),$D$6)),INDEX($A:$U,ROW(),$D$6),IFERROR(--SUBSTITUTE(SUBSTITUTE(TRIM(INDEX($A:$U,ROW(),$D$6)),",",""),"원",""),0))))</f>
        <v/>
      </c>
      <c r="AA1530" s="31">
        <f>IF($Y1530="","",TRIM(INDEX($A:$U,ROW(),$E$6)&amp;IF($F$6="",""," "&amp;INDEX($A:$U,ROW(),$F$6))))</f>
        <v/>
      </c>
      <c r="AB1530" s="31">
        <f>IF($AA1530="","",SUBSTITUTE(SUBSTITUTE(SUBSTITUTE(SUBSTITUTE(SUBSTITUTE(SUBSTITUTE(SUBSTITUTE(SUBSTITUTE(SUBSTITUTE($AA1530," ",""),"　",""),"(주)",""),"（주）",""),"㈜",""),"주식회사",""),"(유)",""),"（유）",""),"유한회사",""))</f>
        <v/>
      </c>
      <c r="AC1530" s="31">
        <f>IF(OR($Y1530="",N($Z1530)&lt;=0,$AB1530=""),0,IFERROR(LOOKUP(2,1/((거래처별!$AC$8:$AC$307&lt;&gt;"")*ISNUMBER(SEARCH(거래처별!$AC$8:$AC$307,$AB1530))),거래처별!$A$8:$A$307),IFERROR(LOOKUP(2,1/((거래처별!$AD$8:$AD$307&lt;&gt;"")*ISNUMBER(SEARCH(거래처별!$AD$8:$AD$307,$AB1530))),거래처별!$A$8:$A$307),IFERROR(LOOKUP(2,1/((거래처별!$AE$8:$AE$307&lt;&gt;"")*ISNUMBER(SEARCH(거래처별!$AE$8:$AE$307,$AB1530))),거래처별!$A$8:$A$307),0))))</f>
        <v/>
      </c>
      <c r="AD1530" s="31">
        <f>IF(AND($Y1530&lt;&gt;"",N($Z1530)&gt;0,$AC1530=0),MAX($AD$7:$AD1529)+1,"")</f>
        <v/>
      </c>
      <c r="AE1530" s="31">
        <f>IF($Y1530="",0,$Y1530)</f>
        <v/>
      </c>
    </row>
    <row r="1531">
      <c r="W1531" s="31">
        <f>IF(OR($B$5="",$C$6="",ROW()&lt;$B$5),"",IF(INDEX($A:$U,ROW(),$C$6)="","",INDEX($A:$U,ROW(),$C$6)))</f>
        <v/>
      </c>
      <c r="X1531" s="32">
        <f>IF($W1531="","",IF(ISNUMBER($W1531),IF($W1531&gt;=10000000,IFERROR(DATE(INT($W1531/10000),MOD(INT($W1531/100),100),MOD($W1531,100)),""),INT($W1531)),IFERROR(DATE(--LEFT(LEFT(SUBSTITUTE(SUBSTITUTE(SUBSTITUTE(SUBSTITUTE(TRIM($W1531),"-",""),".",""),"/","")," ",""),8),4),--MID(LEFT(SUBSTITUTE(SUBSTITUTE(SUBSTITUTE(SUBSTITUTE(TRIM($W1531),"-",""),".",""),"/","")," ",""),8),5,2),--MID(LEFT(SUBSTITUTE(SUBSTITUTE(SUBSTITUTE(SUBSTITUTE(TRIM($W1531),"-",""),".",""),"/","")," ",""),8),7,2)),"")))</f>
        <v/>
      </c>
      <c r="Y1531" s="32">
        <f>IF($X1531="","",INT($X1531))</f>
        <v/>
      </c>
      <c r="Z1531" s="33">
        <f>IF(OR($Y1531="",$D$6=""),"",IF(INDEX($A:$U,ROW(),$D$6)="",0,IF(ISNUMBER(INDEX($A:$U,ROW(),$D$6)),INDEX($A:$U,ROW(),$D$6),IFERROR(--SUBSTITUTE(SUBSTITUTE(TRIM(INDEX($A:$U,ROW(),$D$6)),",",""),"원",""),0))))</f>
        <v/>
      </c>
      <c r="AA1531" s="31">
        <f>IF($Y1531="","",TRIM(INDEX($A:$U,ROW(),$E$6)&amp;IF($F$6="",""," "&amp;INDEX($A:$U,ROW(),$F$6))))</f>
        <v/>
      </c>
      <c r="AB1531" s="31">
        <f>IF($AA1531="","",SUBSTITUTE(SUBSTITUTE(SUBSTITUTE(SUBSTITUTE(SUBSTITUTE(SUBSTITUTE(SUBSTITUTE(SUBSTITUTE(SUBSTITUTE($AA1531," ",""),"　",""),"(주)",""),"（주）",""),"㈜",""),"주식회사",""),"(유)",""),"（유）",""),"유한회사",""))</f>
        <v/>
      </c>
      <c r="AC1531" s="31">
        <f>IF(OR($Y1531="",N($Z1531)&lt;=0,$AB1531=""),0,IFERROR(LOOKUP(2,1/((거래처별!$AC$8:$AC$307&lt;&gt;"")*ISNUMBER(SEARCH(거래처별!$AC$8:$AC$307,$AB1531))),거래처별!$A$8:$A$307),IFERROR(LOOKUP(2,1/((거래처별!$AD$8:$AD$307&lt;&gt;"")*ISNUMBER(SEARCH(거래처별!$AD$8:$AD$307,$AB1531))),거래처별!$A$8:$A$307),IFERROR(LOOKUP(2,1/((거래처별!$AE$8:$AE$307&lt;&gt;"")*ISNUMBER(SEARCH(거래처별!$AE$8:$AE$307,$AB1531))),거래처별!$A$8:$A$307),0))))</f>
        <v/>
      </c>
      <c r="AD1531" s="31">
        <f>IF(AND($Y1531&lt;&gt;"",N($Z1531)&gt;0,$AC1531=0),MAX($AD$7:$AD1530)+1,"")</f>
        <v/>
      </c>
      <c r="AE1531" s="31">
        <f>IF($Y1531="",0,$Y1531)</f>
        <v/>
      </c>
    </row>
    <row r="1532">
      <c r="W1532" s="31">
        <f>IF(OR($B$5="",$C$6="",ROW()&lt;$B$5),"",IF(INDEX($A:$U,ROW(),$C$6)="","",INDEX($A:$U,ROW(),$C$6)))</f>
        <v/>
      </c>
      <c r="X1532" s="32">
        <f>IF($W1532="","",IF(ISNUMBER($W1532),IF($W1532&gt;=10000000,IFERROR(DATE(INT($W1532/10000),MOD(INT($W1532/100),100),MOD($W1532,100)),""),INT($W1532)),IFERROR(DATE(--LEFT(LEFT(SUBSTITUTE(SUBSTITUTE(SUBSTITUTE(SUBSTITUTE(TRIM($W1532),"-",""),".",""),"/","")," ",""),8),4),--MID(LEFT(SUBSTITUTE(SUBSTITUTE(SUBSTITUTE(SUBSTITUTE(TRIM($W1532),"-",""),".",""),"/","")," ",""),8),5,2),--MID(LEFT(SUBSTITUTE(SUBSTITUTE(SUBSTITUTE(SUBSTITUTE(TRIM($W1532),"-",""),".",""),"/","")," ",""),8),7,2)),"")))</f>
        <v/>
      </c>
      <c r="Y1532" s="32">
        <f>IF($X1532="","",INT($X1532))</f>
        <v/>
      </c>
      <c r="Z1532" s="33">
        <f>IF(OR($Y1532="",$D$6=""),"",IF(INDEX($A:$U,ROW(),$D$6)="",0,IF(ISNUMBER(INDEX($A:$U,ROW(),$D$6)),INDEX($A:$U,ROW(),$D$6),IFERROR(--SUBSTITUTE(SUBSTITUTE(TRIM(INDEX($A:$U,ROW(),$D$6)),",",""),"원",""),0))))</f>
        <v/>
      </c>
      <c r="AA1532" s="31">
        <f>IF($Y1532="","",TRIM(INDEX($A:$U,ROW(),$E$6)&amp;IF($F$6="",""," "&amp;INDEX($A:$U,ROW(),$F$6))))</f>
        <v/>
      </c>
      <c r="AB1532" s="31">
        <f>IF($AA1532="","",SUBSTITUTE(SUBSTITUTE(SUBSTITUTE(SUBSTITUTE(SUBSTITUTE(SUBSTITUTE(SUBSTITUTE(SUBSTITUTE(SUBSTITUTE($AA1532," ",""),"　",""),"(주)",""),"（주）",""),"㈜",""),"주식회사",""),"(유)",""),"（유）",""),"유한회사",""))</f>
        <v/>
      </c>
      <c r="AC1532" s="31">
        <f>IF(OR($Y1532="",N($Z1532)&lt;=0,$AB1532=""),0,IFERROR(LOOKUP(2,1/((거래처별!$AC$8:$AC$307&lt;&gt;"")*ISNUMBER(SEARCH(거래처별!$AC$8:$AC$307,$AB1532))),거래처별!$A$8:$A$307),IFERROR(LOOKUP(2,1/((거래처별!$AD$8:$AD$307&lt;&gt;"")*ISNUMBER(SEARCH(거래처별!$AD$8:$AD$307,$AB1532))),거래처별!$A$8:$A$307),IFERROR(LOOKUP(2,1/((거래처별!$AE$8:$AE$307&lt;&gt;"")*ISNUMBER(SEARCH(거래처별!$AE$8:$AE$307,$AB1532))),거래처별!$A$8:$A$307),0))))</f>
        <v/>
      </c>
      <c r="AD1532" s="31">
        <f>IF(AND($Y1532&lt;&gt;"",N($Z1532)&gt;0,$AC1532=0),MAX($AD$7:$AD1531)+1,"")</f>
        <v/>
      </c>
      <c r="AE1532" s="31">
        <f>IF($Y1532="",0,$Y1532)</f>
        <v/>
      </c>
    </row>
    <row r="1533">
      <c r="W1533" s="31">
        <f>IF(OR($B$5="",$C$6="",ROW()&lt;$B$5),"",IF(INDEX($A:$U,ROW(),$C$6)="","",INDEX($A:$U,ROW(),$C$6)))</f>
        <v/>
      </c>
      <c r="X1533" s="32">
        <f>IF($W1533="","",IF(ISNUMBER($W1533),IF($W1533&gt;=10000000,IFERROR(DATE(INT($W1533/10000),MOD(INT($W1533/100),100),MOD($W1533,100)),""),INT($W1533)),IFERROR(DATE(--LEFT(LEFT(SUBSTITUTE(SUBSTITUTE(SUBSTITUTE(SUBSTITUTE(TRIM($W1533),"-",""),".",""),"/","")," ",""),8),4),--MID(LEFT(SUBSTITUTE(SUBSTITUTE(SUBSTITUTE(SUBSTITUTE(TRIM($W1533),"-",""),".",""),"/","")," ",""),8),5,2),--MID(LEFT(SUBSTITUTE(SUBSTITUTE(SUBSTITUTE(SUBSTITUTE(TRIM($W1533),"-",""),".",""),"/","")," ",""),8),7,2)),"")))</f>
        <v/>
      </c>
      <c r="Y1533" s="32">
        <f>IF($X1533="","",INT($X1533))</f>
        <v/>
      </c>
      <c r="Z1533" s="33">
        <f>IF(OR($Y1533="",$D$6=""),"",IF(INDEX($A:$U,ROW(),$D$6)="",0,IF(ISNUMBER(INDEX($A:$U,ROW(),$D$6)),INDEX($A:$U,ROW(),$D$6),IFERROR(--SUBSTITUTE(SUBSTITUTE(TRIM(INDEX($A:$U,ROW(),$D$6)),",",""),"원",""),0))))</f>
        <v/>
      </c>
      <c r="AA1533" s="31">
        <f>IF($Y1533="","",TRIM(INDEX($A:$U,ROW(),$E$6)&amp;IF($F$6="",""," "&amp;INDEX($A:$U,ROW(),$F$6))))</f>
        <v/>
      </c>
      <c r="AB1533" s="31">
        <f>IF($AA1533="","",SUBSTITUTE(SUBSTITUTE(SUBSTITUTE(SUBSTITUTE(SUBSTITUTE(SUBSTITUTE(SUBSTITUTE(SUBSTITUTE(SUBSTITUTE($AA1533," ",""),"　",""),"(주)",""),"（주）",""),"㈜",""),"주식회사",""),"(유)",""),"（유）",""),"유한회사",""))</f>
        <v/>
      </c>
      <c r="AC1533" s="31">
        <f>IF(OR($Y1533="",N($Z1533)&lt;=0,$AB1533=""),0,IFERROR(LOOKUP(2,1/((거래처별!$AC$8:$AC$307&lt;&gt;"")*ISNUMBER(SEARCH(거래처별!$AC$8:$AC$307,$AB1533))),거래처별!$A$8:$A$307),IFERROR(LOOKUP(2,1/((거래처별!$AD$8:$AD$307&lt;&gt;"")*ISNUMBER(SEARCH(거래처별!$AD$8:$AD$307,$AB1533))),거래처별!$A$8:$A$307),IFERROR(LOOKUP(2,1/((거래처별!$AE$8:$AE$307&lt;&gt;"")*ISNUMBER(SEARCH(거래처별!$AE$8:$AE$307,$AB1533))),거래처별!$A$8:$A$307),0))))</f>
        <v/>
      </c>
      <c r="AD1533" s="31">
        <f>IF(AND($Y1533&lt;&gt;"",N($Z1533)&gt;0,$AC1533=0),MAX($AD$7:$AD1532)+1,"")</f>
        <v/>
      </c>
      <c r="AE1533" s="31">
        <f>IF($Y1533="",0,$Y1533)</f>
        <v/>
      </c>
    </row>
    <row r="1534">
      <c r="W1534" s="31">
        <f>IF(OR($B$5="",$C$6="",ROW()&lt;$B$5),"",IF(INDEX($A:$U,ROW(),$C$6)="","",INDEX($A:$U,ROW(),$C$6)))</f>
        <v/>
      </c>
      <c r="X1534" s="32">
        <f>IF($W1534="","",IF(ISNUMBER($W1534),IF($W1534&gt;=10000000,IFERROR(DATE(INT($W1534/10000),MOD(INT($W1534/100),100),MOD($W1534,100)),""),INT($W1534)),IFERROR(DATE(--LEFT(LEFT(SUBSTITUTE(SUBSTITUTE(SUBSTITUTE(SUBSTITUTE(TRIM($W1534),"-",""),".",""),"/","")," ",""),8),4),--MID(LEFT(SUBSTITUTE(SUBSTITUTE(SUBSTITUTE(SUBSTITUTE(TRIM($W1534),"-",""),".",""),"/","")," ",""),8),5,2),--MID(LEFT(SUBSTITUTE(SUBSTITUTE(SUBSTITUTE(SUBSTITUTE(TRIM($W1534),"-",""),".",""),"/","")," ",""),8),7,2)),"")))</f>
        <v/>
      </c>
      <c r="Y1534" s="32">
        <f>IF($X1534="","",INT($X1534))</f>
        <v/>
      </c>
      <c r="Z1534" s="33">
        <f>IF(OR($Y1534="",$D$6=""),"",IF(INDEX($A:$U,ROW(),$D$6)="",0,IF(ISNUMBER(INDEX($A:$U,ROW(),$D$6)),INDEX($A:$U,ROW(),$D$6),IFERROR(--SUBSTITUTE(SUBSTITUTE(TRIM(INDEX($A:$U,ROW(),$D$6)),",",""),"원",""),0))))</f>
        <v/>
      </c>
      <c r="AA1534" s="31">
        <f>IF($Y1534="","",TRIM(INDEX($A:$U,ROW(),$E$6)&amp;IF($F$6="",""," "&amp;INDEX($A:$U,ROW(),$F$6))))</f>
        <v/>
      </c>
      <c r="AB1534" s="31">
        <f>IF($AA1534="","",SUBSTITUTE(SUBSTITUTE(SUBSTITUTE(SUBSTITUTE(SUBSTITUTE(SUBSTITUTE(SUBSTITUTE(SUBSTITUTE(SUBSTITUTE($AA1534," ",""),"　",""),"(주)",""),"（주）",""),"㈜",""),"주식회사",""),"(유)",""),"（유）",""),"유한회사",""))</f>
        <v/>
      </c>
      <c r="AC1534" s="31">
        <f>IF(OR($Y1534="",N($Z1534)&lt;=0,$AB1534=""),0,IFERROR(LOOKUP(2,1/((거래처별!$AC$8:$AC$307&lt;&gt;"")*ISNUMBER(SEARCH(거래처별!$AC$8:$AC$307,$AB1534))),거래처별!$A$8:$A$307),IFERROR(LOOKUP(2,1/((거래처별!$AD$8:$AD$307&lt;&gt;"")*ISNUMBER(SEARCH(거래처별!$AD$8:$AD$307,$AB1534))),거래처별!$A$8:$A$307),IFERROR(LOOKUP(2,1/((거래처별!$AE$8:$AE$307&lt;&gt;"")*ISNUMBER(SEARCH(거래처별!$AE$8:$AE$307,$AB1534))),거래처별!$A$8:$A$307),0))))</f>
        <v/>
      </c>
      <c r="AD1534" s="31">
        <f>IF(AND($Y1534&lt;&gt;"",N($Z1534)&gt;0,$AC1534=0),MAX($AD$7:$AD1533)+1,"")</f>
        <v/>
      </c>
      <c r="AE1534" s="31">
        <f>IF($Y1534="",0,$Y1534)</f>
        <v/>
      </c>
    </row>
    <row r="1535">
      <c r="W1535" s="31">
        <f>IF(OR($B$5="",$C$6="",ROW()&lt;$B$5),"",IF(INDEX($A:$U,ROW(),$C$6)="","",INDEX($A:$U,ROW(),$C$6)))</f>
        <v/>
      </c>
      <c r="X1535" s="32">
        <f>IF($W1535="","",IF(ISNUMBER($W1535),IF($W1535&gt;=10000000,IFERROR(DATE(INT($W1535/10000),MOD(INT($W1535/100),100),MOD($W1535,100)),""),INT($W1535)),IFERROR(DATE(--LEFT(LEFT(SUBSTITUTE(SUBSTITUTE(SUBSTITUTE(SUBSTITUTE(TRIM($W1535),"-",""),".",""),"/","")," ",""),8),4),--MID(LEFT(SUBSTITUTE(SUBSTITUTE(SUBSTITUTE(SUBSTITUTE(TRIM($W1535),"-",""),".",""),"/","")," ",""),8),5,2),--MID(LEFT(SUBSTITUTE(SUBSTITUTE(SUBSTITUTE(SUBSTITUTE(TRIM($W1535),"-",""),".",""),"/","")," ",""),8),7,2)),"")))</f>
        <v/>
      </c>
      <c r="Y1535" s="32">
        <f>IF($X1535="","",INT($X1535))</f>
        <v/>
      </c>
      <c r="Z1535" s="33">
        <f>IF(OR($Y1535="",$D$6=""),"",IF(INDEX($A:$U,ROW(),$D$6)="",0,IF(ISNUMBER(INDEX($A:$U,ROW(),$D$6)),INDEX($A:$U,ROW(),$D$6),IFERROR(--SUBSTITUTE(SUBSTITUTE(TRIM(INDEX($A:$U,ROW(),$D$6)),",",""),"원",""),0))))</f>
        <v/>
      </c>
      <c r="AA1535" s="31">
        <f>IF($Y1535="","",TRIM(INDEX($A:$U,ROW(),$E$6)&amp;IF($F$6="",""," "&amp;INDEX($A:$U,ROW(),$F$6))))</f>
        <v/>
      </c>
      <c r="AB1535" s="31">
        <f>IF($AA1535="","",SUBSTITUTE(SUBSTITUTE(SUBSTITUTE(SUBSTITUTE(SUBSTITUTE(SUBSTITUTE(SUBSTITUTE(SUBSTITUTE(SUBSTITUTE($AA1535," ",""),"　",""),"(주)",""),"（주）",""),"㈜",""),"주식회사",""),"(유)",""),"（유）",""),"유한회사",""))</f>
        <v/>
      </c>
      <c r="AC1535" s="31">
        <f>IF(OR($Y1535="",N($Z1535)&lt;=0,$AB1535=""),0,IFERROR(LOOKUP(2,1/((거래처별!$AC$8:$AC$307&lt;&gt;"")*ISNUMBER(SEARCH(거래처별!$AC$8:$AC$307,$AB1535))),거래처별!$A$8:$A$307),IFERROR(LOOKUP(2,1/((거래처별!$AD$8:$AD$307&lt;&gt;"")*ISNUMBER(SEARCH(거래처별!$AD$8:$AD$307,$AB1535))),거래처별!$A$8:$A$307),IFERROR(LOOKUP(2,1/((거래처별!$AE$8:$AE$307&lt;&gt;"")*ISNUMBER(SEARCH(거래처별!$AE$8:$AE$307,$AB1535))),거래처별!$A$8:$A$307),0))))</f>
        <v/>
      </c>
      <c r="AD1535" s="31">
        <f>IF(AND($Y1535&lt;&gt;"",N($Z1535)&gt;0,$AC1535=0),MAX($AD$7:$AD1534)+1,"")</f>
        <v/>
      </c>
      <c r="AE1535" s="31">
        <f>IF($Y1535="",0,$Y1535)</f>
        <v/>
      </c>
    </row>
    <row r="1536">
      <c r="W1536" s="31">
        <f>IF(OR($B$5="",$C$6="",ROW()&lt;$B$5),"",IF(INDEX($A:$U,ROW(),$C$6)="","",INDEX($A:$U,ROW(),$C$6)))</f>
        <v/>
      </c>
      <c r="X1536" s="32">
        <f>IF($W1536="","",IF(ISNUMBER($W1536),IF($W1536&gt;=10000000,IFERROR(DATE(INT($W1536/10000),MOD(INT($W1536/100),100),MOD($W1536,100)),""),INT($W1536)),IFERROR(DATE(--LEFT(LEFT(SUBSTITUTE(SUBSTITUTE(SUBSTITUTE(SUBSTITUTE(TRIM($W1536),"-",""),".",""),"/","")," ",""),8),4),--MID(LEFT(SUBSTITUTE(SUBSTITUTE(SUBSTITUTE(SUBSTITUTE(TRIM($W1536),"-",""),".",""),"/","")," ",""),8),5,2),--MID(LEFT(SUBSTITUTE(SUBSTITUTE(SUBSTITUTE(SUBSTITUTE(TRIM($W1536),"-",""),".",""),"/","")," ",""),8),7,2)),"")))</f>
        <v/>
      </c>
      <c r="Y1536" s="32">
        <f>IF($X1536="","",INT($X1536))</f>
        <v/>
      </c>
      <c r="Z1536" s="33">
        <f>IF(OR($Y1536="",$D$6=""),"",IF(INDEX($A:$U,ROW(),$D$6)="",0,IF(ISNUMBER(INDEX($A:$U,ROW(),$D$6)),INDEX($A:$U,ROW(),$D$6),IFERROR(--SUBSTITUTE(SUBSTITUTE(TRIM(INDEX($A:$U,ROW(),$D$6)),",",""),"원",""),0))))</f>
        <v/>
      </c>
      <c r="AA1536" s="31">
        <f>IF($Y1536="","",TRIM(INDEX($A:$U,ROW(),$E$6)&amp;IF($F$6="",""," "&amp;INDEX($A:$U,ROW(),$F$6))))</f>
        <v/>
      </c>
      <c r="AB1536" s="31">
        <f>IF($AA1536="","",SUBSTITUTE(SUBSTITUTE(SUBSTITUTE(SUBSTITUTE(SUBSTITUTE(SUBSTITUTE(SUBSTITUTE(SUBSTITUTE(SUBSTITUTE($AA1536," ",""),"　",""),"(주)",""),"（주）",""),"㈜",""),"주식회사",""),"(유)",""),"（유）",""),"유한회사",""))</f>
        <v/>
      </c>
      <c r="AC1536" s="31">
        <f>IF(OR($Y1536="",N($Z1536)&lt;=0,$AB1536=""),0,IFERROR(LOOKUP(2,1/((거래처별!$AC$8:$AC$307&lt;&gt;"")*ISNUMBER(SEARCH(거래처별!$AC$8:$AC$307,$AB1536))),거래처별!$A$8:$A$307),IFERROR(LOOKUP(2,1/((거래처별!$AD$8:$AD$307&lt;&gt;"")*ISNUMBER(SEARCH(거래처별!$AD$8:$AD$307,$AB1536))),거래처별!$A$8:$A$307),IFERROR(LOOKUP(2,1/((거래처별!$AE$8:$AE$307&lt;&gt;"")*ISNUMBER(SEARCH(거래처별!$AE$8:$AE$307,$AB1536))),거래처별!$A$8:$A$307),0))))</f>
        <v/>
      </c>
      <c r="AD1536" s="31">
        <f>IF(AND($Y1536&lt;&gt;"",N($Z1536)&gt;0,$AC1536=0),MAX($AD$7:$AD1535)+1,"")</f>
        <v/>
      </c>
      <c r="AE1536" s="31">
        <f>IF($Y1536="",0,$Y1536)</f>
        <v/>
      </c>
    </row>
    <row r="1537">
      <c r="W1537" s="31">
        <f>IF(OR($B$5="",$C$6="",ROW()&lt;$B$5),"",IF(INDEX($A:$U,ROW(),$C$6)="","",INDEX($A:$U,ROW(),$C$6)))</f>
        <v/>
      </c>
      <c r="X1537" s="32">
        <f>IF($W1537="","",IF(ISNUMBER($W1537),IF($W1537&gt;=10000000,IFERROR(DATE(INT($W1537/10000),MOD(INT($W1537/100),100),MOD($W1537,100)),""),INT($W1537)),IFERROR(DATE(--LEFT(LEFT(SUBSTITUTE(SUBSTITUTE(SUBSTITUTE(SUBSTITUTE(TRIM($W1537),"-",""),".",""),"/","")," ",""),8),4),--MID(LEFT(SUBSTITUTE(SUBSTITUTE(SUBSTITUTE(SUBSTITUTE(TRIM($W1537),"-",""),".",""),"/","")," ",""),8),5,2),--MID(LEFT(SUBSTITUTE(SUBSTITUTE(SUBSTITUTE(SUBSTITUTE(TRIM($W1537),"-",""),".",""),"/","")," ",""),8),7,2)),"")))</f>
        <v/>
      </c>
      <c r="Y1537" s="32">
        <f>IF($X1537="","",INT($X1537))</f>
        <v/>
      </c>
      <c r="Z1537" s="33">
        <f>IF(OR($Y1537="",$D$6=""),"",IF(INDEX($A:$U,ROW(),$D$6)="",0,IF(ISNUMBER(INDEX($A:$U,ROW(),$D$6)),INDEX($A:$U,ROW(),$D$6),IFERROR(--SUBSTITUTE(SUBSTITUTE(TRIM(INDEX($A:$U,ROW(),$D$6)),",",""),"원",""),0))))</f>
        <v/>
      </c>
      <c r="AA1537" s="31">
        <f>IF($Y1537="","",TRIM(INDEX($A:$U,ROW(),$E$6)&amp;IF($F$6="",""," "&amp;INDEX($A:$U,ROW(),$F$6))))</f>
        <v/>
      </c>
      <c r="AB1537" s="31">
        <f>IF($AA1537="","",SUBSTITUTE(SUBSTITUTE(SUBSTITUTE(SUBSTITUTE(SUBSTITUTE(SUBSTITUTE(SUBSTITUTE(SUBSTITUTE(SUBSTITUTE($AA1537," ",""),"　",""),"(주)",""),"（주）",""),"㈜",""),"주식회사",""),"(유)",""),"（유）",""),"유한회사",""))</f>
        <v/>
      </c>
      <c r="AC1537" s="31">
        <f>IF(OR($Y1537="",N($Z1537)&lt;=0,$AB1537=""),0,IFERROR(LOOKUP(2,1/((거래처별!$AC$8:$AC$307&lt;&gt;"")*ISNUMBER(SEARCH(거래처별!$AC$8:$AC$307,$AB1537))),거래처별!$A$8:$A$307),IFERROR(LOOKUP(2,1/((거래처별!$AD$8:$AD$307&lt;&gt;"")*ISNUMBER(SEARCH(거래처별!$AD$8:$AD$307,$AB1537))),거래처별!$A$8:$A$307),IFERROR(LOOKUP(2,1/((거래처별!$AE$8:$AE$307&lt;&gt;"")*ISNUMBER(SEARCH(거래처별!$AE$8:$AE$307,$AB1537))),거래처별!$A$8:$A$307),0))))</f>
        <v/>
      </c>
      <c r="AD1537" s="31">
        <f>IF(AND($Y1537&lt;&gt;"",N($Z1537)&gt;0,$AC1537=0),MAX($AD$7:$AD1536)+1,"")</f>
        <v/>
      </c>
      <c r="AE1537" s="31">
        <f>IF($Y1537="",0,$Y1537)</f>
        <v/>
      </c>
    </row>
    <row r="1538">
      <c r="W1538" s="31">
        <f>IF(OR($B$5="",$C$6="",ROW()&lt;$B$5),"",IF(INDEX($A:$U,ROW(),$C$6)="","",INDEX($A:$U,ROW(),$C$6)))</f>
        <v/>
      </c>
      <c r="X1538" s="32">
        <f>IF($W1538="","",IF(ISNUMBER($W1538),IF($W1538&gt;=10000000,IFERROR(DATE(INT($W1538/10000),MOD(INT($W1538/100),100),MOD($W1538,100)),""),INT($W1538)),IFERROR(DATE(--LEFT(LEFT(SUBSTITUTE(SUBSTITUTE(SUBSTITUTE(SUBSTITUTE(TRIM($W1538),"-",""),".",""),"/","")," ",""),8),4),--MID(LEFT(SUBSTITUTE(SUBSTITUTE(SUBSTITUTE(SUBSTITUTE(TRIM($W1538),"-",""),".",""),"/","")," ",""),8),5,2),--MID(LEFT(SUBSTITUTE(SUBSTITUTE(SUBSTITUTE(SUBSTITUTE(TRIM($W1538),"-",""),".",""),"/","")," ",""),8),7,2)),"")))</f>
        <v/>
      </c>
      <c r="Y1538" s="32">
        <f>IF($X1538="","",INT($X1538))</f>
        <v/>
      </c>
      <c r="Z1538" s="33">
        <f>IF(OR($Y1538="",$D$6=""),"",IF(INDEX($A:$U,ROW(),$D$6)="",0,IF(ISNUMBER(INDEX($A:$U,ROW(),$D$6)),INDEX($A:$U,ROW(),$D$6),IFERROR(--SUBSTITUTE(SUBSTITUTE(TRIM(INDEX($A:$U,ROW(),$D$6)),",",""),"원",""),0))))</f>
        <v/>
      </c>
      <c r="AA1538" s="31">
        <f>IF($Y1538="","",TRIM(INDEX($A:$U,ROW(),$E$6)&amp;IF($F$6="",""," "&amp;INDEX($A:$U,ROW(),$F$6))))</f>
        <v/>
      </c>
      <c r="AB1538" s="31">
        <f>IF($AA1538="","",SUBSTITUTE(SUBSTITUTE(SUBSTITUTE(SUBSTITUTE(SUBSTITUTE(SUBSTITUTE(SUBSTITUTE(SUBSTITUTE(SUBSTITUTE($AA1538," ",""),"　",""),"(주)",""),"（주）",""),"㈜",""),"주식회사",""),"(유)",""),"（유）",""),"유한회사",""))</f>
        <v/>
      </c>
      <c r="AC1538" s="31">
        <f>IF(OR($Y1538="",N($Z1538)&lt;=0,$AB1538=""),0,IFERROR(LOOKUP(2,1/((거래처별!$AC$8:$AC$307&lt;&gt;"")*ISNUMBER(SEARCH(거래처별!$AC$8:$AC$307,$AB1538))),거래처별!$A$8:$A$307),IFERROR(LOOKUP(2,1/((거래처별!$AD$8:$AD$307&lt;&gt;"")*ISNUMBER(SEARCH(거래처별!$AD$8:$AD$307,$AB1538))),거래처별!$A$8:$A$307),IFERROR(LOOKUP(2,1/((거래처별!$AE$8:$AE$307&lt;&gt;"")*ISNUMBER(SEARCH(거래처별!$AE$8:$AE$307,$AB1538))),거래처별!$A$8:$A$307),0))))</f>
        <v/>
      </c>
      <c r="AD1538" s="31">
        <f>IF(AND($Y1538&lt;&gt;"",N($Z1538)&gt;0,$AC1538=0),MAX($AD$7:$AD1537)+1,"")</f>
        <v/>
      </c>
      <c r="AE1538" s="31">
        <f>IF($Y1538="",0,$Y1538)</f>
        <v/>
      </c>
    </row>
    <row r="1539">
      <c r="W1539" s="31">
        <f>IF(OR($B$5="",$C$6="",ROW()&lt;$B$5),"",IF(INDEX($A:$U,ROW(),$C$6)="","",INDEX($A:$U,ROW(),$C$6)))</f>
        <v/>
      </c>
      <c r="X1539" s="32">
        <f>IF($W1539="","",IF(ISNUMBER($W1539),IF($W1539&gt;=10000000,IFERROR(DATE(INT($W1539/10000),MOD(INT($W1539/100),100),MOD($W1539,100)),""),INT($W1539)),IFERROR(DATE(--LEFT(LEFT(SUBSTITUTE(SUBSTITUTE(SUBSTITUTE(SUBSTITUTE(TRIM($W1539),"-",""),".",""),"/","")," ",""),8),4),--MID(LEFT(SUBSTITUTE(SUBSTITUTE(SUBSTITUTE(SUBSTITUTE(TRIM($W1539),"-",""),".",""),"/","")," ",""),8),5,2),--MID(LEFT(SUBSTITUTE(SUBSTITUTE(SUBSTITUTE(SUBSTITUTE(TRIM($W1539),"-",""),".",""),"/","")," ",""),8),7,2)),"")))</f>
        <v/>
      </c>
      <c r="Y1539" s="32">
        <f>IF($X1539="","",INT($X1539))</f>
        <v/>
      </c>
      <c r="Z1539" s="33">
        <f>IF(OR($Y1539="",$D$6=""),"",IF(INDEX($A:$U,ROW(),$D$6)="",0,IF(ISNUMBER(INDEX($A:$U,ROW(),$D$6)),INDEX($A:$U,ROW(),$D$6),IFERROR(--SUBSTITUTE(SUBSTITUTE(TRIM(INDEX($A:$U,ROW(),$D$6)),",",""),"원",""),0))))</f>
        <v/>
      </c>
      <c r="AA1539" s="31">
        <f>IF($Y1539="","",TRIM(INDEX($A:$U,ROW(),$E$6)&amp;IF($F$6="",""," "&amp;INDEX($A:$U,ROW(),$F$6))))</f>
        <v/>
      </c>
      <c r="AB1539" s="31">
        <f>IF($AA1539="","",SUBSTITUTE(SUBSTITUTE(SUBSTITUTE(SUBSTITUTE(SUBSTITUTE(SUBSTITUTE(SUBSTITUTE(SUBSTITUTE(SUBSTITUTE($AA1539," ",""),"　",""),"(주)",""),"（주）",""),"㈜",""),"주식회사",""),"(유)",""),"（유）",""),"유한회사",""))</f>
        <v/>
      </c>
      <c r="AC1539" s="31">
        <f>IF(OR($Y1539="",N($Z1539)&lt;=0,$AB1539=""),0,IFERROR(LOOKUP(2,1/((거래처별!$AC$8:$AC$307&lt;&gt;"")*ISNUMBER(SEARCH(거래처별!$AC$8:$AC$307,$AB1539))),거래처별!$A$8:$A$307),IFERROR(LOOKUP(2,1/((거래처별!$AD$8:$AD$307&lt;&gt;"")*ISNUMBER(SEARCH(거래처별!$AD$8:$AD$307,$AB1539))),거래처별!$A$8:$A$307),IFERROR(LOOKUP(2,1/((거래처별!$AE$8:$AE$307&lt;&gt;"")*ISNUMBER(SEARCH(거래처별!$AE$8:$AE$307,$AB1539))),거래처별!$A$8:$A$307),0))))</f>
        <v/>
      </c>
      <c r="AD1539" s="31">
        <f>IF(AND($Y1539&lt;&gt;"",N($Z1539)&gt;0,$AC1539=0),MAX($AD$7:$AD1538)+1,"")</f>
        <v/>
      </c>
      <c r="AE1539" s="31">
        <f>IF($Y1539="",0,$Y1539)</f>
        <v/>
      </c>
    </row>
    <row r="1540">
      <c r="W1540" s="31">
        <f>IF(OR($B$5="",$C$6="",ROW()&lt;$B$5),"",IF(INDEX($A:$U,ROW(),$C$6)="","",INDEX($A:$U,ROW(),$C$6)))</f>
        <v/>
      </c>
      <c r="X1540" s="32">
        <f>IF($W1540="","",IF(ISNUMBER($W1540),IF($W1540&gt;=10000000,IFERROR(DATE(INT($W1540/10000),MOD(INT($W1540/100),100),MOD($W1540,100)),""),INT($W1540)),IFERROR(DATE(--LEFT(LEFT(SUBSTITUTE(SUBSTITUTE(SUBSTITUTE(SUBSTITUTE(TRIM($W1540),"-",""),".",""),"/","")," ",""),8),4),--MID(LEFT(SUBSTITUTE(SUBSTITUTE(SUBSTITUTE(SUBSTITUTE(TRIM($W1540),"-",""),".",""),"/","")," ",""),8),5,2),--MID(LEFT(SUBSTITUTE(SUBSTITUTE(SUBSTITUTE(SUBSTITUTE(TRIM($W1540),"-",""),".",""),"/","")," ",""),8),7,2)),"")))</f>
        <v/>
      </c>
      <c r="Y1540" s="32">
        <f>IF($X1540="","",INT($X1540))</f>
        <v/>
      </c>
      <c r="Z1540" s="33">
        <f>IF(OR($Y1540="",$D$6=""),"",IF(INDEX($A:$U,ROW(),$D$6)="",0,IF(ISNUMBER(INDEX($A:$U,ROW(),$D$6)),INDEX($A:$U,ROW(),$D$6),IFERROR(--SUBSTITUTE(SUBSTITUTE(TRIM(INDEX($A:$U,ROW(),$D$6)),",",""),"원",""),0))))</f>
        <v/>
      </c>
      <c r="AA1540" s="31">
        <f>IF($Y1540="","",TRIM(INDEX($A:$U,ROW(),$E$6)&amp;IF($F$6="",""," "&amp;INDEX($A:$U,ROW(),$F$6))))</f>
        <v/>
      </c>
      <c r="AB1540" s="31">
        <f>IF($AA1540="","",SUBSTITUTE(SUBSTITUTE(SUBSTITUTE(SUBSTITUTE(SUBSTITUTE(SUBSTITUTE(SUBSTITUTE(SUBSTITUTE(SUBSTITUTE($AA1540," ",""),"　",""),"(주)",""),"（주）",""),"㈜",""),"주식회사",""),"(유)",""),"（유）",""),"유한회사",""))</f>
        <v/>
      </c>
      <c r="AC1540" s="31">
        <f>IF(OR($Y1540="",N($Z1540)&lt;=0,$AB1540=""),0,IFERROR(LOOKUP(2,1/((거래처별!$AC$8:$AC$307&lt;&gt;"")*ISNUMBER(SEARCH(거래처별!$AC$8:$AC$307,$AB1540))),거래처별!$A$8:$A$307),IFERROR(LOOKUP(2,1/((거래처별!$AD$8:$AD$307&lt;&gt;"")*ISNUMBER(SEARCH(거래처별!$AD$8:$AD$307,$AB1540))),거래처별!$A$8:$A$307),IFERROR(LOOKUP(2,1/((거래처별!$AE$8:$AE$307&lt;&gt;"")*ISNUMBER(SEARCH(거래처별!$AE$8:$AE$307,$AB1540))),거래처별!$A$8:$A$307),0))))</f>
        <v/>
      </c>
      <c r="AD1540" s="31">
        <f>IF(AND($Y1540&lt;&gt;"",N($Z1540)&gt;0,$AC1540=0),MAX($AD$7:$AD1539)+1,"")</f>
        <v/>
      </c>
      <c r="AE1540" s="31">
        <f>IF($Y1540="",0,$Y1540)</f>
        <v/>
      </c>
    </row>
    <row r="1541">
      <c r="W1541" s="31">
        <f>IF(OR($B$5="",$C$6="",ROW()&lt;$B$5),"",IF(INDEX($A:$U,ROW(),$C$6)="","",INDEX($A:$U,ROW(),$C$6)))</f>
        <v/>
      </c>
      <c r="X1541" s="32">
        <f>IF($W1541="","",IF(ISNUMBER($W1541),IF($W1541&gt;=10000000,IFERROR(DATE(INT($W1541/10000),MOD(INT($W1541/100),100),MOD($W1541,100)),""),INT($W1541)),IFERROR(DATE(--LEFT(LEFT(SUBSTITUTE(SUBSTITUTE(SUBSTITUTE(SUBSTITUTE(TRIM($W1541),"-",""),".",""),"/","")," ",""),8),4),--MID(LEFT(SUBSTITUTE(SUBSTITUTE(SUBSTITUTE(SUBSTITUTE(TRIM($W1541),"-",""),".",""),"/","")," ",""),8),5,2),--MID(LEFT(SUBSTITUTE(SUBSTITUTE(SUBSTITUTE(SUBSTITUTE(TRIM($W1541),"-",""),".",""),"/","")," ",""),8),7,2)),"")))</f>
        <v/>
      </c>
      <c r="Y1541" s="32">
        <f>IF($X1541="","",INT($X1541))</f>
        <v/>
      </c>
      <c r="Z1541" s="33">
        <f>IF(OR($Y1541="",$D$6=""),"",IF(INDEX($A:$U,ROW(),$D$6)="",0,IF(ISNUMBER(INDEX($A:$U,ROW(),$D$6)),INDEX($A:$U,ROW(),$D$6),IFERROR(--SUBSTITUTE(SUBSTITUTE(TRIM(INDEX($A:$U,ROW(),$D$6)),",",""),"원",""),0))))</f>
        <v/>
      </c>
      <c r="AA1541" s="31">
        <f>IF($Y1541="","",TRIM(INDEX($A:$U,ROW(),$E$6)&amp;IF($F$6="",""," "&amp;INDEX($A:$U,ROW(),$F$6))))</f>
        <v/>
      </c>
      <c r="AB1541" s="31">
        <f>IF($AA1541="","",SUBSTITUTE(SUBSTITUTE(SUBSTITUTE(SUBSTITUTE(SUBSTITUTE(SUBSTITUTE(SUBSTITUTE(SUBSTITUTE(SUBSTITUTE($AA1541," ",""),"　",""),"(주)",""),"（주）",""),"㈜",""),"주식회사",""),"(유)",""),"（유）",""),"유한회사",""))</f>
        <v/>
      </c>
      <c r="AC1541" s="31">
        <f>IF(OR($Y1541="",N($Z1541)&lt;=0,$AB1541=""),0,IFERROR(LOOKUP(2,1/((거래처별!$AC$8:$AC$307&lt;&gt;"")*ISNUMBER(SEARCH(거래처별!$AC$8:$AC$307,$AB1541))),거래처별!$A$8:$A$307),IFERROR(LOOKUP(2,1/((거래처별!$AD$8:$AD$307&lt;&gt;"")*ISNUMBER(SEARCH(거래처별!$AD$8:$AD$307,$AB1541))),거래처별!$A$8:$A$307),IFERROR(LOOKUP(2,1/((거래처별!$AE$8:$AE$307&lt;&gt;"")*ISNUMBER(SEARCH(거래처별!$AE$8:$AE$307,$AB1541))),거래처별!$A$8:$A$307),0))))</f>
        <v/>
      </c>
      <c r="AD1541" s="31">
        <f>IF(AND($Y1541&lt;&gt;"",N($Z1541)&gt;0,$AC1541=0),MAX($AD$7:$AD1540)+1,"")</f>
        <v/>
      </c>
      <c r="AE1541" s="31">
        <f>IF($Y1541="",0,$Y1541)</f>
        <v/>
      </c>
    </row>
    <row r="1542">
      <c r="W1542" s="31">
        <f>IF(OR($B$5="",$C$6="",ROW()&lt;$B$5),"",IF(INDEX($A:$U,ROW(),$C$6)="","",INDEX($A:$U,ROW(),$C$6)))</f>
        <v/>
      </c>
      <c r="X1542" s="32">
        <f>IF($W1542="","",IF(ISNUMBER($W1542),IF($W1542&gt;=10000000,IFERROR(DATE(INT($W1542/10000),MOD(INT($W1542/100),100),MOD($W1542,100)),""),INT($W1542)),IFERROR(DATE(--LEFT(LEFT(SUBSTITUTE(SUBSTITUTE(SUBSTITUTE(SUBSTITUTE(TRIM($W1542),"-",""),".",""),"/","")," ",""),8),4),--MID(LEFT(SUBSTITUTE(SUBSTITUTE(SUBSTITUTE(SUBSTITUTE(TRIM($W1542),"-",""),".",""),"/","")," ",""),8),5,2),--MID(LEFT(SUBSTITUTE(SUBSTITUTE(SUBSTITUTE(SUBSTITUTE(TRIM($W1542),"-",""),".",""),"/","")," ",""),8),7,2)),"")))</f>
        <v/>
      </c>
      <c r="Y1542" s="32">
        <f>IF($X1542="","",INT($X1542))</f>
        <v/>
      </c>
      <c r="Z1542" s="33">
        <f>IF(OR($Y1542="",$D$6=""),"",IF(INDEX($A:$U,ROW(),$D$6)="",0,IF(ISNUMBER(INDEX($A:$U,ROW(),$D$6)),INDEX($A:$U,ROW(),$D$6),IFERROR(--SUBSTITUTE(SUBSTITUTE(TRIM(INDEX($A:$U,ROW(),$D$6)),",",""),"원",""),0))))</f>
        <v/>
      </c>
      <c r="AA1542" s="31">
        <f>IF($Y1542="","",TRIM(INDEX($A:$U,ROW(),$E$6)&amp;IF($F$6="",""," "&amp;INDEX($A:$U,ROW(),$F$6))))</f>
        <v/>
      </c>
      <c r="AB1542" s="31">
        <f>IF($AA1542="","",SUBSTITUTE(SUBSTITUTE(SUBSTITUTE(SUBSTITUTE(SUBSTITUTE(SUBSTITUTE(SUBSTITUTE(SUBSTITUTE(SUBSTITUTE($AA1542," ",""),"　",""),"(주)",""),"（주）",""),"㈜",""),"주식회사",""),"(유)",""),"（유）",""),"유한회사",""))</f>
        <v/>
      </c>
      <c r="AC1542" s="31">
        <f>IF(OR($Y1542="",N($Z1542)&lt;=0,$AB1542=""),0,IFERROR(LOOKUP(2,1/((거래처별!$AC$8:$AC$307&lt;&gt;"")*ISNUMBER(SEARCH(거래처별!$AC$8:$AC$307,$AB1542))),거래처별!$A$8:$A$307),IFERROR(LOOKUP(2,1/((거래처별!$AD$8:$AD$307&lt;&gt;"")*ISNUMBER(SEARCH(거래처별!$AD$8:$AD$307,$AB1542))),거래처별!$A$8:$A$307),IFERROR(LOOKUP(2,1/((거래처별!$AE$8:$AE$307&lt;&gt;"")*ISNUMBER(SEARCH(거래처별!$AE$8:$AE$307,$AB1542))),거래처별!$A$8:$A$307),0))))</f>
        <v/>
      </c>
      <c r="AD1542" s="31">
        <f>IF(AND($Y1542&lt;&gt;"",N($Z1542)&gt;0,$AC1542=0),MAX($AD$7:$AD1541)+1,"")</f>
        <v/>
      </c>
      <c r="AE1542" s="31">
        <f>IF($Y1542="",0,$Y1542)</f>
        <v/>
      </c>
    </row>
    <row r="1543">
      <c r="W1543" s="31">
        <f>IF(OR($B$5="",$C$6="",ROW()&lt;$B$5),"",IF(INDEX($A:$U,ROW(),$C$6)="","",INDEX($A:$U,ROW(),$C$6)))</f>
        <v/>
      </c>
      <c r="X1543" s="32">
        <f>IF($W1543="","",IF(ISNUMBER($W1543),IF($W1543&gt;=10000000,IFERROR(DATE(INT($W1543/10000),MOD(INT($W1543/100),100),MOD($W1543,100)),""),INT($W1543)),IFERROR(DATE(--LEFT(LEFT(SUBSTITUTE(SUBSTITUTE(SUBSTITUTE(SUBSTITUTE(TRIM($W1543),"-",""),".",""),"/","")," ",""),8),4),--MID(LEFT(SUBSTITUTE(SUBSTITUTE(SUBSTITUTE(SUBSTITUTE(TRIM($W1543),"-",""),".",""),"/","")," ",""),8),5,2),--MID(LEFT(SUBSTITUTE(SUBSTITUTE(SUBSTITUTE(SUBSTITUTE(TRIM($W1543),"-",""),".",""),"/","")," ",""),8),7,2)),"")))</f>
        <v/>
      </c>
      <c r="Y1543" s="32">
        <f>IF($X1543="","",INT($X1543))</f>
        <v/>
      </c>
      <c r="Z1543" s="33">
        <f>IF(OR($Y1543="",$D$6=""),"",IF(INDEX($A:$U,ROW(),$D$6)="",0,IF(ISNUMBER(INDEX($A:$U,ROW(),$D$6)),INDEX($A:$U,ROW(),$D$6),IFERROR(--SUBSTITUTE(SUBSTITUTE(TRIM(INDEX($A:$U,ROW(),$D$6)),",",""),"원",""),0))))</f>
        <v/>
      </c>
      <c r="AA1543" s="31">
        <f>IF($Y1543="","",TRIM(INDEX($A:$U,ROW(),$E$6)&amp;IF($F$6="",""," "&amp;INDEX($A:$U,ROW(),$F$6))))</f>
        <v/>
      </c>
      <c r="AB1543" s="31">
        <f>IF($AA1543="","",SUBSTITUTE(SUBSTITUTE(SUBSTITUTE(SUBSTITUTE(SUBSTITUTE(SUBSTITUTE(SUBSTITUTE(SUBSTITUTE(SUBSTITUTE($AA1543," ",""),"　",""),"(주)",""),"（주）",""),"㈜",""),"주식회사",""),"(유)",""),"（유）",""),"유한회사",""))</f>
        <v/>
      </c>
      <c r="AC1543" s="31">
        <f>IF(OR($Y1543="",N($Z1543)&lt;=0,$AB1543=""),0,IFERROR(LOOKUP(2,1/((거래처별!$AC$8:$AC$307&lt;&gt;"")*ISNUMBER(SEARCH(거래처별!$AC$8:$AC$307,$AB1543))),거래처별!$A$8:$A$307),IFERROR(LOOKUP(2,1/((거래처별!$AD$8:$AD$307&lt;&gt;"")*ISNUMBER(SEARCH(거래처별!$AD$8:$AD$307,$AB1543))),거래처별!$A$8:$A$307),IFERROR(LOOKUP(2,1/((거래처별!$AE$8:$AE$307&lt;&gt;"")*ISNUMBER(SEARCH(거래처별!$AE$8:$AE$307,$AB1543))),거래처별!$A$8:$A$307),0))))</f>
        <v/>
      </c>
      <c r="AD1543" s="31">
        <f>IF(AND($Y1543&lt;&gt;"",N($Z1543)&gt;0,$AC1543=0),MAX($AD$7:$AD1542)+1,"")</f>
        <v/>
      </c>
      <c r="AE1543" s="31">
        <f>IF($Y1543="",0,$Y1543)</f>
        <v/>
      </c>
    </row>
    <row r="1544">
      <c r="W1544" s="31">
        <f>IF(OR($B$5="",$C$6="",ROW()&lt;$B$5),"",IF(INDEX($A:$U,ROW(),$C$6)="","",INDEX($A:$U,ROW(),$C$6)))</f>
        <v/>
      </c>
      <c r="X1544" s="32">
        <f>IF($W1544="","",IF(ISNUMBER($W1544),IF($W1544&gt;=10000000,IFERROR(DATE(INT($W1544/10000),MOD(INT($W1544/100),100),MOD($W1544,100)),""),INT($W1544)),IFERROR(DATE(--LEFT(LEFT(SUBSTITUTE(SUBSTITUTE(SUBSTITUTE(SUBSTITUTE(TRIM($W1544),"-",""),".",""),"/","")," ",""),8),4),--MID(LEFT(SUBSTITUTE(SUBSTITUTE(SUBSTITUTE(SUBSTITUTE(TRIM($W1544),"-",""),".",""),"/","")," ",""),8),5,2),--MID(LEFT(SUBSTITUTE(SUBSTITUTE(SUBSTITUTE(SUBSTITUTE(TRIM($W1544),"-",""),".",""),"/","")," ",""),8),7,2)),"")))</f>
        <v/>
      </c>
      <c r="Y1544" s="32">
        <f>IF($X1544="","",INT($X1544))</f>
        <v/>
      </c>
      <c r="Z1544" s="33">
        <f>IF(OR($Y1544="",$D$6=""),"",IF(INDEX($A:$U,ROW(),$D$6)="",0,IF(ISNUMBER(INDEX($A:$U,ROW(),$D$6)),INDEX($A:$U,ROW(),$D$6),IFERROR(--SUBSTITUTE(SUBSTITUTE(TRIM(INDEX($A:$U,ROW(),$D$6)),",",""),"원",""),0))))</f>
        <v/>
      </c>
      <c r="AA1544" s="31">
        <f>IF($Y1544="","",TRIM(INDEX($A:$U,ROW(),$E$6)&amp;IF($F$6="",""," "&amp;INDEX($A:$U,ROW(),$F$6))))</f>
        <v/>
      </c>
      <c r="AB1544" s="31">
        <f>IF($AA1544="","",SUBSTITUTE(SUBSTITUTE(SUBSTITUTE(SUBSTITUTE(SUBSTITUTE(SUBSTITUTE(SUBSTITUTE(SUBSTITUTE(SUBSTITUTE($AA1544," ",""),"　",""),"(주)",""),"（주）",""),"㈜",""),"주식회사",""),"(유)",""),"（유）",""),"유한회사",""))</f>
        <v/>
      </c>
      <c r="AC1544" s="31">
        <f>IF(OR($Y1544="",N($Z1544)&lt;=0,$AB1544=""),0,IFERROR(LOOKUP(2,1/((거래처별!$AC$8:$AC$307&lt;&gt;"")*ISNUMBER(SEARCH(거래처별!$AC$8:$AC$307,$AB1544))),거래처별!$A$8:$A$307),IFERROR(LOOKUP(2,1/((거래처별!$AD$8:$AD$307&lt;&gt;"")*ISNUMBER(SEARCH(거래처별!$AD$8:$AD$307,$AB1544))),거래처별!$A$8:$A$307),IFERROR(LOOKUP(2,1/((거래처별!$AE$8:$AE$307&lt;&gt;"")*ISNUMBER(SEARCH(거래처별!$AE$8:$AE$307,$AB1544))),거래처별!$A$8:$A$307),0))))</f>
        <v/>
      </c>
      <c r="AD1544" s="31">
        <f>IF(AND($Y1544&lt;&gt;"",N($Z1544)&gt;0,$AC1544=0),MAX($AD$7:$AD1543)+1,"")</f>
        <v/>
      </c>
      <c r="AE1544" s="31">
        <f>IF($Y1544="",0,$Y1544)</f>
        <v/>
      </c>
    </row>
    <row r="1545">
      <c r="W1545" s="31">
        <f>IF(OR($B$5="",$C$6="",ROW()&lt;$B$5),"",IF(INDEX($A:$U,ROW(),$C$6)="","",INDEX($A:$U,ROW(),$C$6)))</f>
        <v/>
      </c>
      <c r="X1545" s="32">
        <f>IF($W1545="","",IF(ISNUMBER($W1545),IF($W1545&gt;=10000000,IFERROR(DATE(INT($W1545/10000),MOD(INT($W1545/100),100),MOD($W1545,100)),""),INT($W1545)),IFERROR(DATE(--LEFT(LEFT(SUBSTITUTE(SUBSTITUTE(SUBSTITUTE(SUBSTITUTE(TRIM($W1545),"-",""),".",""),"/","")," ",""),8),4),--MID(LEFT(SUBSTITUTE(SUBSTITUTE(SUBSTITUTE(SUBSTITUTE(TRIM($W1545),"-",""),".",""),"/","")," ",""),8),5,2),--MID(LEFT(SUBSTITUTE(SUBSTITUTE(SUBSTITUTE(SUBSTITUTE(TRIM($W1545),"-",""),".",""),"/","")," ",""),8),7,2)),"")))</f>
        <v/>
      </c>
      <c r="Y1545" s="32">
        <f>IF($X1545="","",INT($X1545))</f>
        <v/>
      </c>
      <c r="Z1545" s="33">
        <f>IF(OR($Y1545="",$D$6=""),"",IF(INDEX($A:$U,ROW(),$D$6)="",0,IF(ISNUMBER(INDEX($A:$U,ROW(),$D$6)),INDEX($A:$U,ROW(),$D$6),IFERROR(--SUBSTITUTE(SUBSTITUTE(TRIM(INDEX($A:$U,ROW(),$D$6)),",",""),"원",""),0))))</f>
        <v/>
      </c>
      <c r="AA1545" s="31">
        <f>IF($Y1545="","",TRIM(INDEX($A:$U,ROW(),$E$6)&amp;IF($F$6="",""," "&amp;INDEX($A:$U,ROW(),$F$6))))</f>
        <v/>
      </c>
      <c r="AB1545" s="31">
        <f>IF($AA1545="","",SUBSTITUTE(SUBSTITUTE(SUBSTITUTE(SUBSTITUTE(SUBSTITUTE(SUBSTITUTE(SUBSTITUTE(SUBSTITUTE(SUBSTITUTE($AA1545," ",""),"　",""),"(주)",""),"（주）",""),"㈜",""),"주식회사",""),"(유)",""),"（유）",""),"유한회사",""))</f>
        <v/>
      </c>
      <c r="AC1545" s="31">
        <f>IF(OR($Y1545="",N($Z1545)&lt;=0,$AB1545=""),0,IFERROR(LOOKUP(2,1/((거래처별!$AC$8:$AC$307&lt;&gt;"")*ISNUMBER(SEARCH(거래처별!$AC$8:$AC$307,$AB1545))),거래처별!$A$8:$A$307),IFERROR(LOOKUP(2,1/((거래처별!$AD$8:$AD$307&lt;&gt;"")*ISNUMBER(SEARCH(거래처별!$AD$8:$AD$307,$AB1545))),거래처별!$A$8:$A$307),IFERROR(LOOKUP(2,1/((거래처별!$AE$8:$AE$307&lt;&gt;"")*ISNUMBER(SEARCH(거래처별!$AE$8:$AE$307,$AB1545))),거래처별!$A$8:$A$307),0))))</f>
        <v/>
      </c>
      <c r="AD1545" s="31">
        <f>IF(AND($Y1545&lt;&gt;"",N($Z1545)&gt;0,$AC1545=0),MAX($AD$7:$AD1544)+1,"")</f>
        <v/>
      </c>
      <c r="AE1545" s="31">
        <f>IF($Y1545="",0,$Y1545)</f>
        <v/>
      </c>
    </row>
    <row r="1546">
      <c r="W1546" s="31">
        <f>IF(OR($B$5="",$C$6="",ROW()&lt;$B$5),"",IF(INDEX($A:$U,ROW(),$C$6)="","",INDEX($A:$U,ROW(),$C$6)))</f>
        <v/>
      </c>
      <c r="X1546" s="32">
        <f>IF($W1546="","",IF(ISNUMBER($W1546),IF($W1546&gt;=10000000,IFERROR(DATE(INT($W1546/10000),MOD(INT($W1546/100),100),MOD($W1546,100)),""),INT($W1546)),IFERROR(DATE(--LEFT(LEFT(SUBSTITUTE(SUBSTITUTE(SUBSTITUTE(SUBSTITUTE(TRIM($W1546),"-",""),".",""),"/","")," ",""),8),4),--MID(LEFT(SUBSTITUTE(SUBSTITUTE(SUBSTITUTE(SUBSTITUTE(TRIM($W1546),"-",""),".",""),"/","")," ",""),8),5,2),--MID(LEFT(SUBSTITUTE(SUBSTITUTE(SUBSTITUTE(SUBSTITUTE(TRIM($W1546),"-",""),".",""),"/","")," ",""),8),7,2)),"")))</f>
        <v/>
      </c>
      <c r="Y1546" s="32">
        <f>IF($X1546="","",INT($X1546))</f>
        <v/>
      </c>
      <c r="Z1546" s="33">
        <f>IF(OR($Y1546="",$D$6=""),"",IF(INDEX($A:$U,ROW(),$D$6)="",0,IF(ISNUMBER(INDEX($A:$U,ROW(),$D$6)),INDEX($A:$U,ROW(),$D$6),IFERROR(--SUBSTITUTE(SUBSTITUTE(TRIM(INDEX($A:$U,ROW(),$D$6)),",",""),"원",""),0))))</f>
        <v/>
      </c>
      <c r="AA1546" s="31">
        <f>IF($Y1546="","",TRIM(INDEX($A:$U,ROW(),$E$6)&amp;IF($F$6="",""," "&amp;INDEX($A:$U,ROW(),$F$6))))</f>
        <v/>
      </c>
      <c r="AB1546" s="31">
        <f>IF($AA1546="","",SUBSTITUTE(SUBSTITUTE(SUBSTITUTE(SUBSTITUTE(SUBSTITUTE(SUBSTITUTE(SUBSTITUTE(SUBSTITUTE(SUBSTITUTE($AA1546," ",""),"　",""),"(주)",""),"（주）",""),"㈜",""),"주식회사",""),"(유)",""),"（유）",""),"유한회사",""))</f>
        <v/>
      </c>
      <c r="AC1546" s="31">
        <f>IF(OR($Y1546="",N($Z1546)&lt;=0,$AB1546=""),0,IFERROR(LOOKUP(2,1/((거래처별!$AC$8:$AC$307&lt;&gt;"")*ISNUMBER(SEARCH(거래처별!$AC$8:$AC$307,$AB1546))),거래처별!$A$8:$A$307),IFERROR(LOOKUP(2,1/((거래처별!$AD$8:$AD$307&lt;&gt;"")*ISNUMBER(SEARCH(거래처별!$AD$8:$AD$307,$AB1546))),거래처별!$A$8:$A$307),IFERROR(LOOKUP(2,1/((거래처별!$AE$8:$AE$307&lt;&gt;"")*ISNUMBER(SEARCH(거래처별!$AE$8:$AE$307,$AB1546))),거래처별!$A$8:$A$307),0))))</f>
        <v/>
      </c>
      <c r="AD1546" s="31">
        <f>IF(AND($Y1546&lt;&gt;"",N($Z1546)&gt;0,$AC1546=0),MAX($AD$7:$AD1545)+1,"")</f>
        <v/>
      </c>
      <c r="AE1546" s="31">
        <f>IF($Y1546="",0,$Y1546)</f>
        <v/>
      </c>
    </row>
    <row r="1547">
      <c r="W1547" s="31">
        <f>IF(OR($B$5="",$C$6="",ROW()&lt;$B$5),"",IF(INDEX($A:$U,ROW(),$C$6)="","",INDEX($A:$U,ROW(),$C$6)))</f>
        <v/>
      </c>
      <c r="X1547" s="32">
        <f>IF($W1547="","",IF(ISNUMBER($W1547),IF($W1547&gt;=10000000,IFERROR(DATE(INT($W1547/10000),MOD(INT($W1547/100),100),MOD($W1547,100)),""),INT($W1547)),IFERROR(DATE(--LEFT(LEFT(SUBSTITUTE(SUBSTITUTE(SUBSTITUTE(SUBSTITUTE(TRIM($W1547),"-",""),".",""),"/","")," ",""),8),4),--MID(LEFT(SUBSTITUTE(SUBSTITUTE(SUBSTITUTE(SUBSTITUTE(TRIM($W1547),"-",""),".",""),"/","")," ",""),8),5,2),--MID(LEFT(SUBSTITUTE(SUBSTITUTE(SUBSTITUTE(SUBSTITUTE(TRIM($W1547),"-",""),".",""),"/","")," ",""),8),7,2)),"")))</f>
        <v/>
      </c>
      <c r="Y1547" s="32">
        <f>IF($X1547="","",INT($X1547))</f>
        <v/>
      </c>
      <c r="Z1547" s="33">
        <f>IF(OR($Y1547="",$D$6=""),"",IF(INDEX($A:$U,ROW(),$D$6)="",0,IF(ISNUMBER(INDEX($A:$U,ROW(),$D$6)),INDEX($A:$U,ROW(),$D$6),IFERROR(--SUBSTITUTE(SUBSTITUTE(TRIM(INDEX($A:$U,ROW(),$D$6)),",",""),"원",""),0))))</f>
        <v/>
      </c>
      <c r="AA1547" s="31">
        <f>IF($Y1547="","",TRIM(INDEX($A:$U,ROW(),$E$6)&amp;IF($F$6="",""," "&amp;INDEX($A:$U,ROW(),$F$6))))</f>
        <v/>
      </c>
      <c r="AB1547" s="31">
        <f>IF($AA1547="","",SUBSTITUTE(SUBSTITUTE(SUBSTITUTE(SUBSTITUTE(SUBSTITUTE(SUBSTITUTE(SUBSTITUTE(SUBSTITUTE(SUBSTITUTE($AA1547," ",""),"　",""),"(주)",""),"（주）",""),"㈜",""),"주식회사",""),"(유)",""),"（유）",""),"유한회사",""))</f>
        <v/>
      </c>
      <c r="AC1547" s="31">
        <f>IF(OR($Y1547="",N($Z1547)&lt;=0,$AB1547=""),0,IFERROR(LOOKUP(2,1/((거래처별!$AC$8:$AC$307&lt;&gt;"")*ISNUMBER(SEARCH(거래처별!$AC$8:$AC$307,$AB1547))),거래처별!$A$8:$A$307),IFERROR(LOOKUP(2,1/((거래처별!$AD$8:$AD$307&lt;&gt;"")*ISNUMBER(SEARCH(거래처별!$AD$8:$AD$307,$AB1547))),거래처별!$A$8:$A$307),IFERROR(LOOKUP(2,1/((거래처별!$AE$8:$AE$307&lt;&gt;"")*ISNUMBER(SEARCH(거래처별!$AE$8:$AE$307,$AB1547))),거래처별!$A$8:$A$307),0))))</f>
        <v/>
      </c>
      <c r="AD1547" s="31">
        <f>IF(AND($Y1547&lt;&gt;"",N($Z1547)&gt;0,$AC1547=0),MAX($AD$7:$AD1546)+1,"")</f>
        <v/>
      </c>
      <c r="AE1547" s="31">
        <f>IF($Y1547="",0,$Y1547)</f>
        <v/>
      </c>
    </row>
    <row r="1548">
      <c r="W1548" s="31">
        <f>IF(OR($B$5="",$C$6="",ROW()&lt;$B$5),"",IF(INDEX($A:$U,ROW(),$C$6)="","",INDEX($A:$U,ROW(),$C$6)))</f>
        <v/>
      </c>
      <c r="X1548" s="32">
        <f>IF($W1548="","",IF(ISNUMBER($W1548),IF($W1548&gt;=10000000,IFERROR(DATE(INT($W1548/10000),MOD(INT($W1548/100),100),MOD($W1548,100)),""),INT($W1548)),IFERROR(DATE(--LEFT(LEFT(SUBSTITUTE(SUBSTITUTE(SUBSTITUTE(SUBSTITUTE(TRIM($W1548),"-",""),".",""),"/","")," ",""),8),4),--MID(LEFT(SUBSTITUTE(SUBSTITUTE(SUBSTITUTE(SUBSTITUTE(TRIM($W1548),"-",""),".",""),"/","")," ",""),8),5,2),--MID(LEFT(SUBSTITUTE(SUBSTITUTE(SUBSTITUTE(SUBSTITUTE(TRIM($W1548),"-",""),".",""),"/","")," ",""),8),7,2)),"")))</f>
        <v/>
      </c>
      <c r="Y1548" s="32">
        <f>IF($X1548="","",INT($X1548))</f>
        <v/>
      </c>
      <c r="Z1548" s="33">
        <f>IF(OR($Y1548="",$D$6=""),"",IF(INDEX($A:$U,ROW(),$D$6)="",0,IF(ISNUMBER(INDEX($A:$U,ROW(),$D$6)),INDEX($A:$U,ROW(),$D$6),IFERROR(--SUBSTITUTE(SUBSTITUTE(TRIM(INDEX($A:$U,ROW(),$D$6)),",",""),"원",""),0))))</f>
        <v/>
      </c>
      <c r="AA1548" s="31">
        <f>IF($Y1548="","",TRIM(INDEX($A:$U,ROW(),$E$6)&amp;IF($F$6="",""," "&amp;INDEX($A:$U,ROW(),$F$6))))</f>
        <v/>
      </c>
      <c r="AB1548" s="31">
        <f>IF($AA1548="","",SUBSTITUTE(SUBSTITUTE(SUBSTITUTE(SUBSTITUTE(SUBSTITUTE(SUBSTITUTE(SUBSTITUTE(SUBSTITUTE(SUBSTITUTE($AA1548," ",""),"　",""),"(주)",""),"（주）",""),"㈜",""),"주식회사",""),"(유)",""),"（유）",""),"유한회사",""))</f>
        <v/>
      </c>
      <c r="AC1548" s="31">
        <f>IF(OR($Y1548="",N($Z1548)&lt;=0,$AB1548=""),0,IFERROR(LOOKUP(2,1/((거래처별!$AC$8:$AC$307&lt;&gt;"")*ISNUMBER(SEARCH(거래처별!$AC$8:$AC$307,$AB1548))),거래처별!$A$8:$A$307),IFERROR(LOOKUP(2,1/((거래처별!$AD$8:$AD$307&lt;&gt;"")*ISNUMBER(SEARCH(거래처별!$AD$8:$AD$307,$AB1548))),거래처별!$A$8:$A$307),IFERROR(LOOKUP(2,1/((거래처별!$AE$8:$AE$307&lt;&gt;"")*ISNUMBER(SEARCH(거래처별!$AE$8:$AE$307,$AB1548))),거래처별!$A$8:$A$307),0))))</f>
        <v/>
      </c>
      <c r="AD1548" s="31">
        <f>IF(AND($Y1548&lt;&gt;"",N($Z1548)&gt;0,$AC1548=0),MAX($AD$7:$AD1547)+1,"")</f>
        <v/>
      </c>
      <c r="AE1548" s="31">
        <f>IF($Y1548="",0,$Y1548)</f>
        <v/>
      </c>
    </row>
    <row r="1549">
      <c r="W1549" s="31">
        <f>IF(OR($B$5="",$C$6="",ROW()&lt;$B$5),"",IF(INDEX($A:$U,ROW(),$C$6)="","",INDEX($A:$U,ROW(),$C$6)))</f>
        <v/>
      </c>
      <c r="X1549" s="32">
        <f>IF($W1549="","",IF(ISNUMBER($W1549),IF($W1549&gt;=10000000,IFERROR(DATE(INT($W1549/10000),MOD(INT($W1549/100),100),MOD($W1549,100)),""),INT($W1549)),IFERROR(DATE(--LEFT(LEFT(SUBSTITUTE(SUBSTITUTE(SUBSTITUTE(SUBSTITUTE(TRIM($W1549),"-",""),".",""),"/","")," ",""),8),4),--MID(LEFT(SUBSTITUTE(SUBSTITUTE(SUBSTITUTE(SUBSTITUTE(TRIM($W1549),"-",""),".",""),"/","")," ",""),8),5,2),--MID(LEFT(SUBSTITUTE(SUBSTITUTE(SUBSTITUTE(SUBSTITUTE(TRIM($W1549),"-",""),".",""),"/","")," ",""),8),7,2)),"")))</f>
        <v/>
      </c>
      <c r="Y1549" s="32">
        <f>IF($X1549="","",INT($X1549))</f>
        <v/>
      </c>
      <c r="Z1549" s="33">
        <f>IF(OR($Y1549="",$D$6=""),"",IF(INDEX($A:$U,ROW(),$D$6)="",0,IF(ISNUMBER(INDEX($A:$U,ROW(),$D$6)),INDEX($A:$U,ROW(),$D$6),IFERROR(--SUBSTITUTE(SUBSTITUTE(TRIM(INDEX($A:$U,ROW(),$D$6)),",",""),"원",""),0))))</f>
        <v/>
      </c>
      <c r="AA1549" s="31">
        <f>IF($Y1549="","",TRIM(INDEX($A:$U,ROW(),$E$6)&amp;IF($F$6="",""," "&amp;INDEX($A:$U,ROW(),$F$6))))</f>
        <v/>
      </c>
      <c r="AB1549" s="31">
        <f>IF($AA1549="","",SUBSTITUTE(SUBSTITUTE(SUBSTITUTE(SUBSTITUTE(SUBSTITUTE(SUBSTITUTE(SUBSTITUTE(SUBSTITUTE(SUBSTITUTE($AA1549," ",""),"　",""),"(주)",""),"（주）",""),"㈜",""),"주식회사",""),"(유)",""),"（유）",""),"유한회사",""))</f>
        <v/>
      </c>
      <c r="AC1549" s="31">
        <f>IF(OR($Y1549="",N($Z1549)&lt;=0,$AB1549=""),0,IFERROR(LOOKUP(2,1/((거래처별!$AC$8:$AC$307&lt;&gt;"")*ISNUMBER(SEARCH(거래처별!$AC$8:$AC$307,$AB1549))),거래처별!$A$8:$A$307),IFERROR(LOOKUP(2,1/((거래처별!$AD$8:$AD$307&lt;&gt;"")*ISNUMBER(SEARCH(거래처별!$AD$8:$AD$307,$AB1549))),거래처별!$A$8:$A$307),IFERROR(LOOKUP(2,1/((거래처별!$AE$8:$AE$307&lt;&gt;"")*ISNUMBER(SEARCH(거래처별!$AE$8:$AE$307,$AB1549))),거래처별!$A$8:$A$307),0))))</f>
        <v/>
      </c>
      <c r="AD1549" s="31">
        <f>IF(AND($Y1549&lt;&gt;"",N($Z1549)&gt;0,$AC1549=0),MAX($AD$7:$AD1548)+1,"")</f>
        <v/>
      </c>
      <c r="AE1549" s="31">
        <f>IF($Y1549="",0,$Y1549)</f>
        <v/>
      </c>
    </row>
    <row r="1550">
      <c r="W1550" s="31">
        <f>IF(OR($B$5="",$C$6="",ROW()&lt;$B$5),"",IF(INDEX($A:$U,ROW(),$C$6)="","",INDEX($A:$U,ROW(),$C$6)))</f>
        <v/>
      </c>
      <c r="X1550" s="32">
        <f>IF($W1550="","",IF(ISNUMBER($W1550),IF($W1550&gt;=10000000,IFERROR(DATE(INT($W1550/10000),MOD(INT($W1550/100),100),MOD($W1550,100)),""),INT($W1550)),IFERROR(DATE(--LEFT(LEFT(SUBSTITUTE(SUBSTITUTE(SUBSTITUTE(SUBSTITUTE(TRIM($W1550),"-",""),".",""),"/","")," ",""),8),4),--MID(LEFT(SUBSTITUTE(SUBSTITUTE(SUBSTITUTE(SUBSTITUTE(TRIM($W1550),"-",""),".",""),"/","")," ",""),8),5,2),--MID(LEFT(SUBSTITUTE(SUBSTITUTE(SUBSTITUTE(SUBSTITUTE(TRIM($W1550),"-",""),".",""),"/","")," ",""),8),7,2)),"")))</f>
        <v/>
      </c>
      <c r="Y1550" s="32">
        <f>IF($X1550="","",INT($X1550))</f>
        <v/>
      </c>
      <c r="Z1550" s="33">
        <f>IF(OR($Y1550="",$D$6=""),"",IF(INDEX($A:$U,ROW(),$D$6)="",0,IF(ISNUMBER(INDEX($A:$U,ROW(),$D$6)),INDEX($A:$U,ROW(),$D$6),IFERROR(--SUBSTITUTE(SUBSTITUTE(TRIM(INDEX($A:$U,ROW(),$D$6)),",",""),"원",""),0))))</f>
        <v/>
      </c>
      <c r="AA1550" s="31">
        <f>IF($Y1550="","",TRIM(INDEX($A:$U,ROW(),$E$6)&amp;IF($F$6="",""," "&amp;INDEX($A:$U,ROW(),$F$6))))</f>
        <v/>
      </c>
      <c r="AB1550" s="31">
        <f>IF($AA1550="","",SUBSTITUTE(SUBSTITUTE(SUBSTITUTE(SUBSTITUTE(SUBSTITUTE(SUBSTITUTE(SUBSTITUTE(SUBSTITUTE(SUBSTITUTE($AA1550," ",""),"　",""),"(주)",""),"（주）",""),"㈜",""),"주식회사",""),"(유)",""),"（유）",""),"유한회사",""))</f>
        <v/>
      </c>
      <c r="AC1550" s="31">
        <f>IF(OR($Y1550="",N($Z1550)&lt;=0,$AB1550=""),0,IFERROR(LOOKUP(2,1/((거래처별!$AC$8:$AC$307&lt;&gt;"")*ISNUMBER(SEARCH(거래처별!$AC$8:$AC$307,$AB1550))),거래처별!$A$8:$A$307),IFERROR(LOOKUP(2,1/((거래처별!$AD$8:$AD$307&lt;&gt;"")*ISNUMBER(SEARCH(거래처별!$AD$8:$AD$307,$AB1550))),거래처별!$A$8:$A$307),IFERROR(LOOKUP(2,1/((거래처별!$AE$8:$AE$307&lt;&gt;"")*ISNUMBER(SEARCH(거래처별!$AE$8:$AE$307,$AB1550))),거래처별!$A$8:$A$307),0))))</f>
        <v/>
      </c>
      <c r="AD1550" s="31">
        <f>IF(AND($Y1550&lt;&gt;"",N($Z1550)&gt;0,$AC1550=0),MAX($AD$7:$AD1549)+1,"")</f>
        <v/>
      </c>
      <c r="AE1550" s="31">
        <f>IF($Y1550="",0,$Y1550)</f>
        <v/>
      </c>
    </row>
    <row r="1551">
      <c r="W1551" s="31">
        <f>IF(OR($B$5="",$C$6="",ROW()&lt;$B$5),"",IF(INDEX($A:$U,ROW(),$C$6)="","",INDEX($A:$U,ROW(),$C$6)))</f>
        <v/>
      </c>
      <c r="X1551" s="32">
        <f>IF($W1551="","",IF(ISNUMBER($W1551),IF($W1551&gt;=10000000,IFERROR(DATE(INT($W1551/10000),MOD(INT($W1551/100),100),MOD($W1551,100)),""),INT($W1551)),IFERROR(DATE(--LEFT(LEFT(SUBSTITUTE(SUBSTITUTE(SUBSTITUTE(SUBSTITUTE(TRIM($W1551),"-",""),".",""),"/","")," ",""),8),4),--MID(LEFT(SUBSTITUTE(SUBSTITUTE(SUBSTITUTE(SUBSTITUTE(TRIM($W1551),"-",""),".",""),"/","")," ",""),8),5,2),--MID(LEFT(SUBSTITUTE(SUBSTITUTE(SUBSTITUTE(SUBSTITUTE(TRIM($W1551),"-",""),".",""),"/","")," ",""),8),7,2)),"")))</f>
        <v/>
      </c>
      <c r="Y1551" s="32">
        <f>IF($X1551="","",INT($X1551))</f>
        <v/>
      </c>
      <c r="Z1551" s="33">
        <f>IF(OR($Y1551="",$D$6=""),"",IF(INDEX($A:$U,ROW(),$D$6)="",0,IF(ISNUMBER(INDEX($A:$U,ROW(),$D$6)),INDEX($A:$U,ROW(),$D$6),IFERROR(--SUBSTITUTE(SUBSTITUTE(TRIM(INDEX($A:$U,ROW(),$D$6)),",",""),"원",""),0))))</f>
        <v/>
      </c>
      <c r="AA1551" s="31">
        <f>IF($Y1551="","",TRIM(INDEX($A:$U,ROW(),$E$6)&amp;IF($F$6="",""," "&amp;INDEX($A:$U,ROW(),$F$6))))</f>
        <v/>
      </c>
      <c r="AB1551" s="31">
        <f>IF($AA1551="","",SUBSTITUTE(SUBSTITUTE(SUBSTITUTE(SUBSTITUTE(SUBSTITUTE(SUBSTITUTE(SUBSTITUTE(SUBSTITUTE(SUBSTITUTE($AA1551," ",""),"　",""),"(주)",""),"（주）",""),"㈜",""),"주식회사",""),"(유)",""),"（유）",""),"유한회사",""))</f>
        <v/>
      </c>
      <c r="AC1551" s="31">
        <f>IF(OR($Y1551="",N($Z1551)&lt;=0,$AB1551=""),0,IFERROR(LOOKUP(2,1/((거래처별!$AC$8:$AC$307&lt;&gt;"")*ISNUMBER(SEARCH(거래처별!$AC$8:$AC$307,$AB1551))),거래처별!$A$8:$A$307),IFERROR(LOOKUP(2,1/((거래처별!$AD$8:$AD$307&lt;&gt;"")*ISNUMBER(SEARCH(거래처별!$AD$8:$AD$307,$AB1551))),거래처별!$A$8:$A$307),IFERROR(LOOKUP(2,1/((거래처별!$AE$8:$AE$307&lt;&gt;"")*ISNUMBER(SEARCH(거래처별!$AE$8:$AE$307,$AB1551))),거래처별!$A$8:$A$307),0))))</f>
        <v/>
      </c>
      <c r="AD1551" s="31">
        <f>IF(AND($Y1551&lt;&gt;"",N($Z1551)&gt;0,$AC1551=0),MAX($AD$7:$AD1550)+1,"")</f>
        <v/>
      </c>
      <c r="AE1551" s="31">
        <f>IF($Y1551="",0,$Y1551)</f>
        <v/>
      </c>
    </row>
    <row r="1552">
      <c r="W1552" s="31">
        <f>IF(OR($B$5="",$C$6="",ROW()&lt;$B$5),"",IF(INDEX($A:$U,ROW(),$C$6)="","",INDEX($A:$U,ROW(),$C$6)))</f>
        <v/>
      </c>
      <c r="X1552" s="32">
        <f>IF($W1552="","",IF(ISNUMBER($W1552),IF($W1552&gt;=10000000,IFERROR(DATE(INT($W1552/10000),MOD(INT($W1552/100),100),MOD($W1552,100)),""),INT($W1552)),IFERROR(DATE(--LEFT(LEFT(SUBSTITUTE(SUBSTITUTE(SUBSTITUTE(SUBSTITUTE(TRIM($W1552),"-",""),".",""),"/","")," ",""),8),4),--MID(LEFT(SUBSTITUTE(SUBSTITUTE(SUBSTITUTE(SUBSTITUTE(TRIM($W1552),"-",""),".",""),"/","")," ",""),8),5,2),--MID(LEFT(SUBSTITUTE(SUBSTITUTE(SUBSTITUTE(SUBSTITUTE(TRIM($W1552),"-",""),".",""),"/","")," ",""),8),7,2)),"")))</f>
        <v/>
      </c>
      <c r="Y1552" s="32">
        <f>IF($X1552="","",INT($X1552))</f>
        <v/>
      </c>
      <c r="Z1552" s="33">
        <f>IF(OR($Y1552="",$D$6=""),"",IF(INDEX($A:$U,ROW(),$D$6)="",0,IF(ISNUMBER(INDEX($A:$U,ROW(),$D$6)),INDEX($A:$U,ROW(),$D$6),IFERROR(--SUBSTITUTE(SUBSTITUTE(TRIM(INDEX($A:$U,ROW(),$D$6)),",",""),"원",""),0))))</f>
        <v/>
      </c>
      <c r="AA1552" s="31">
        <f>IF($Y1552="","",TRIM(INDEX($A:$U,ROW(),$E$6)&amp;IF($F$6="",""," "&amp;INDEX($A:$U,ROW(),$F$6))))</f>
        <v/>
      </c>
      <c r="AB1552" s="31">
        <f>IF($AA1552="","",SUBSTITUTE(SUBSTITUTE(SUBSTITUTE(SUBSTITUTE(SUBSTITUTE(SUBSTITUTE(SUBSTITUTE(SUBSTITUTE(SUBSTITUTE($AA1552," ",""),"　",""),"(주)",""),"（주）",""),"㈜",""),"주식회사",""),"(유)",""),"（유）",""),"유한회사",""))</f>
        <v/>
      </c>
      <c r="AC1552" s="31">
        <f>IF(OR($Y1552="",N($Z1552)&lt;=0,$AB1552=""),0,IFERROR(LOOKUP(2,1/((거래처별!$AC$8:$AC$307&lt;&gt;"")*ISNUMBER(SEARCH(거래처별!$AC$8:$AC$307,$AB1552))),거래처별!$A$8:$A$307),IFERROR(LOOKUP(2,1/((거래처별!$AD$8:$AD$307&lt;&gt;"")*ISNUMBER(SEARCH(거래처별!$AD$8:$AD$307,$AB1552))),거래처별!$A$8:$A$307),IFERROR(LOOKUP(2,1/((거래처별!$AE$8:$AE$307&lt;&gt;"")*ISNUMBER(SEARCH(거래처별!$AE$8:$AE$307,$AB1552))),거래처별!$A$8:$A$307),0))))</f>
        <v/>
      </c>
      <c r="AD1552" s="31">
        <f>IF(AND($Y1552&lt;&gt;"",N($Z1552)&gt;0,$AC1552=0),MAX($AD$7:$AD1551)+1,"")</f>
        <v/>
      </c>
      <c r="AE1552" s="31">
        <f>IF($Y1552="",0,$Y1552)</f>
        <v/>
      </c>
    </row>
    <row r="1553">
      <c r="W1553" s="31">
        <f>IF(OR($B$5="",$C$6="",ROW()&lt;$B$5),"",IF(INDEX($A:$U,ROW(),$C$6)="","",INDEX($A:$U,ROW(),$C$6)))</f>
        <v/>
      </c>
      <c r="X1553" s="32">
        <f>IF($W1553="","",IF(ISNUMBER($W1553),IF($W1553&gt;=10000000,IFERROR(DATE(INT($W1553/10000),MOD(INT($W1553/100),100),MOD($W1553,100)),""),INT($W1553)),IFERROR(DATE(--LEFT(LEFT(SUBSTITUTE(SUBSTITUTE(SUBSTITUTE(SUBSTITUTE(TRIM($W1553),"-",""),".",""),"/","")," ",""),8),4),--MID(LEFT(SUBSTITUTE(SUBSTITUTE(SUBSTITUTE(SUBSTITUTE(TRIM($W1553),"-",""),".",""),"/","")," ",""),8),5,2),--MID(LEFT(SUBSTITUTE(SUBSTITUTE(SUBSTITUTE(SUBSTITUTE(TRIM($W1553),"-",""),".",""),"/","")," ",""),8),7,2)),"")))</f>
        <v/>
      </c>
      <c r="Y1553" s="32">
        <f>IF($X1553="","",INT($X1553))</f>
        <v/>
      </c>
      <c r="Z1553" s="33">
        <f>IF(OR($Y1553="",$D$6=""),"",IF(INDEX($A:$U,ROW(),$D$6)="",0,IF(ISNUMBER(INDEX($A:$U,ROW(),$D$6)),INDEX($A:$U,ROW(),$D$6),IFERROR(--SUBSTITUTE(SUBSTITUTE(TRIM(INDEX($A:$U,ROW(),$D$6)),",",""),"원",""),0))))</f>
        <v/>
      </c>
      <c r="AA1553" s="31">
        <f>IF($Y1553="","",TRIM(INDEX($A:$U,ROW(),$E$6)&amp;IF($F$6="",""," "&amp;INDEX($A:$U,ROW(),$F$6))))</f>
        <v/>
      </c>
      <c r="AB1553" s="31">
        <f>IF($AA1553="","",SUBSTITUTE(SUBSTITUTE(SUBSTITUTE(SUBSTITUTE(SUBSTITUTE(SUBSTITUTE(SUBSTITUTE(SUBSTITUTE(SUBSTITUTE($AA1553," ",""),"　",""),"(주)",""),"（주）",""),"㈜",""),"주식회사",""),"(유)",""),"（유）",""),"유한회사",""))</f>
        <v/>
      </c>
      <c r="AC1553" s="31">
        <f>IF(OR($Y1553="",N($Z1553)&lt;=0,$AB1553=""),0,IFERROR(LOOKUP(2,1/((거래처별!$AC$8:$AC$307&lt;&gt;"")*ISNUMBER(SEARCH(거래처별!$AC$8:$AC$307,$AB1553))),거래처별!$A$8:$A$307),IFERROR(LOOKUP(2,1/((거래처별!$AD$8:$AD$307&lt;&gt;"")*ISNUMBER(SEARCH(거래처별!$AD$8:$AD$307,$AB1553))),거래처별!$A$8:$A$307),IFERROR(LOOKUP(2,1/((거래처별!$AE$8:$AE$307&lt;&gt;"")*ISNUMBER(SEARCH(거래처별!$AE$8:$AE$307,$AB1553))),거래처별!$A$8:$A$307),0))))</f>
        <v/>
      </c>
      <c r="AD1553" s="31">
        <f>IF(AND($Y1553&lt;&gt;"",N($Z1553)&gt;0,$AC1553=0),MAX($AD$7:$AD1552)+1,"")</f>
        <v/>
      </c>
      <c r="AE1553" s="31">
        <f>IF($Y1553="",0,$Y1553)</f>
        <v/>
      </c>
    </row>
    <row r="1554">
      <c r="W1554" s="31">
        <f>IF(OR($B$5="",$C$6="",ROW()&lt;$B$5),"",IF(INDEX($A:$U,ROW(),$C$6)="","",INDEX($A:$U,ROW(),$C$6)))</f>
        <v/>
      </c>
      <c r="X1554" s="32">
        <f>IF($W1554="","",IF(ISNUMBER($W1554),IF($W1554&gt;=10000000,IFERROR(DATE(INT($W1554/10000),MOD(INT($W1554/100),100),MOD($W1554,100)),""),INT($W1554)),IFERROR(DATE(--LEFT(LEFT(SUBSTITUTE(SUBSTITUTE(SUBSTITUTE(SUBSTITUTE(TRIM($W1554),"-",""),".",""),"/","")," ",""),8),4),--MID(LEFT(SUBSTITUTE(SUBSTITUTE(SUBSTITUTE(SUBSTITUTE(TRIM($W1554),"-",""),".",""),"/","")," ",""),8),5,2),--MID(LEFT(SUBSTITUTE(SUBSTITUTE(SUBSTITUTE(SUBSTITUTE(TRIM($W1554),"-",""),".",""),"/","")," ",""),8),7,2)),"")))</f>
        <v/>
      </c>
      <c r="Y1554" s="32">
        <f>IF($X1554="","",INT($X1554))</f>
        <v/>
      </c>
      <c r="Z1554" s="33">
        <f>IF(OR($Y1554="",$D$6=""),"",IF(INDEX($A:$U,ROW(),$D$6)="",0,IF(ISNUMBER(INDEX($A:$U,ROW(),$D$6)),INDEX($A:$U,ROW(),$D$6),IFERROR(--SUBSTITUTE(SUBSTITUTE(TRIM(INDEX($A:$U,ROW(),$D$6)),",",""),"원",""),0))))</f>
        <v/>
      </c>
      <c r="AA1554" s="31">
        <f>IF($Y1554="","",TRIM(INDEX($A:$U,ROW(),$E$6)&amp;IF($F$6="",""," "&amp;INDEX($A:$U,ROW(),$F$6))))</f>
        <v/>
      </c>
      <c r="AB1554" s="31">
        <f>IF($AA1554="","",SUBSTITUTE(SUBSTITUTE(SUBSTITUTE(SUBSTITUTE(SUBSTITUTE(SUBSTITUTE(SUBSTITUTE(SUBSTITUTE(SUBSTITUTE($AA1554," ",""),"　",""),"(주)",""),"（주）",""),"㈜",""),"주식회사",""),"(유)",""),"（유）",""),"유한회사",""))</f>
        <v/>
      </c>
      <c r="AC1554" s="31">
        <f>IF(OR($Y1554="",N($Z1554)&lt;=0,$AB1554=""),0,IFERROR(LOOKUP(2,1/((거래처별!$AC$8:$AC$307&lt;&gt;"")*ISNUMBER(SEARCH(거래처별!$AC$8:$AC$307,$AB1554))),거래처별!$A$8:$A$307),IFERROR(LOOKUP(2,1/((거래처별!$AD$8:$AD$307&lt;&gt;"")*ISNUMBER(SEARCH(거래처별!$AD$8:$AD$307,$AB1554))),거래처별!$A$8:$A$307),IFERROR(LOOKUP(2,1/((거래처별!$AE$8:$AE$307&lt;&gt;"")*ISNUMBER(SEARCH(거래처별!$AE$8:$AE$307,$AB1554))),거래처별!$A$8:$A$307),0))))</f>
        <v/>
      </c>
      <c r="AD1554" s="31">
        <f>IF(AND($Y1554&lt;&gt;"",N($Z1554)&gt;0,$AC1554=0),MAX($AD$7:$AD1553)+1,"")</f>
        <v/>
      </c>
      <c r="AE1554" s="31">
        <f>IF($Y1554="",0,$Y1554)</f>
        <v/>
      </c>
    </row>
    <row r="1555">
      <c r="W1555" s="31">
        <f>IF(OR($B$5="",$C$6="",ROW()&lt;$B$5),"",IF(INDEX($A:$U,ROW(),$C$6)="","",INDEX($A:$U,ROW(),$C$6)))</f>
        <v/>
      </c>
      <c r="X1555" s="32">
        <f>IF($W1555="","",IF(ISNUMBER($W1555),IF($W1555&gt;=10000000,IFERROR(DATE(INT($W1555/10000),MOD(INT($W1555/100),100),MOD($W1555,100)),""),INT($W1555)),IFERROR(DATE(--LEFT(LEFT(SUBSTITUTE(SUBSTITUTE(SUBSTITUTE(SUBSTITUTE(TRIM($W1555),"-",""),".",""),"/","")," ",""),8),4),--MID(LEFT(SUBSTITUTE(SUBSTITUTE(SUBSTITUTE(SUBSTITUTE(TRIM($W1555),"-",""),".",""),"/","")," ",""),8),5,2),--MID(LEFT(SUBSTITUTE(SUBSTITUTE(SUBSTITUTE(SUBSTITUTE(TRIM($W1555),"-",""),".",""),"/","")," ",""),8),7,2)),"")))</f>
        <v/>
      </c>
      <c r="Y1555" s="32">
        <f>IF($X1555="","",INT($X1555))</f>
        <v/>
      </c>
      <c r="Z1555" s="33">
        <f>IF(OR($Y1555="",$D$6=""),"",IF(INDEX($A:$U,ROW(),$D$6)="",0,IF(ISNUMBER(INDEX($A:$U,ROW(),$D$6)),INDEX($A:$U,ROW(),$D$6),IFERROR(--SUBSTITUTE(SUBSTITUTE(TRIM(INDEX($A:$U,ROW(),$D$6)),",",""),"원",""),0))))</f>
        <v/>
      </c>
      <c r="AA1555" s="31">
        <f>IF($Y1555="","",TRIM(INDEX($A:$U,ROW(),$E$6)&amp;IF($F$6="",""," "&amp;INDEX($A:$U,ROW(),$F$6))))</f>
        <v/>
      </c>
      <c r="AB1555" s="31">
        <f>IF($AA1555="","",SUBSTITUTE(SUBSTITUTE(SUBSTITUTE(SUBSTITUTE(SUBSTITUTE(SUBSTITUTE(SUBSTITUTE(SUBSTITUTE(SUBSTITUTE($AA1555," ",""),"　",""),"(주)",""),"（주）",""),"㈜",""),"주식회사",""),"(유)",""),"（유）",""),"유한회사",""))</f>
        <v/>
      </c>
      <c r="AC1555" s="31">
        <f>IF(OR($Y1555="",N($Z1555)&lt;=0,$AB1555=""),0,IFERROR(LOOKUP(2,1/((거래처별!$AC$8:$AC$307&lt;&gt;"")*ISNUMBER(SEARCH(거래처별!$AC$8:$AC$307,$AB1555))),거래처별!$A$8:$A$307),IFERROR(LOOKUP(2,1/((거래처별!$AD$8:$AD$307&lt;&gt;"")*ISNUMBER(SEARCH(거래처별!$AD$8:$AD$307,$AB1555))),거래처별!$A$8:$A$307),IFERROR(LOOKUP(2,1/((거래처별!$AE$8:$AE$307&lt;&gt;"")*ISNUMBER(SEARCH(거래처별!$AE$8:$AE$307,$AB1555))),거래처별!$A$8:$A$307),0))))</f>
        <v/>
      </c>
      <c r="AD1555" s="31">
        <f>IF(AND($Y1555&lt;&gt;"",N($Z1555)&gt;0,$AC1555=0),MAX($AD$7:$AD1554)+1,"")</f>
        <v/>
      </c>
      <c r="AE1555" s="31">
        <f>IF($Y1555="",0,$Y1555)</f>
        <v/>
      </c>
    </row>
    <row r="1556">
      <c r="W1556" s="31">
        <f>IF(OR($B$5="",$C$6="",ROW()&lt;$B$5),"",IF(INDEX($A:$U,ROW(),$C$6)="","",INDEX($A:$U,ROW(),$C$6)))</f>
        <v/>
      </c>
      <c r="X1556" s="32">
        <f>IF($W1556="","",IF(ISNUMBER($W1556),IF($W1556&gt;=10000000,IFERROR(DATE(INT($W1556/10000),MOD(INT($W1556/100),100),MOD($W1556,100)),""),INT($W1556)),IFERROR(DATE(--LEFT(LEFT(SUBSTITUTE(SUBSTITUTE(SUBSTITUTE(SUBSTITUTE(TRIM($W1556),"-",""),".",""),"/","")," ",""),8),4),--MID(LEFT(SUBSTITUTE(SUBSTITUTE(SUBSTITUTE(SUBSTITUTE(TRIM($W1556),"-",""),".",""),"/","")," ",""),8),5,2),--MID(LEFT(SUBSTITUTE(SUBSTITUTE(SUBSTITUTE(SUBSTITUTE(TRIM($W1556),"-",""),".",""),"/","")," ",""),8),7,2)),"")))</f>
        <v/>
      </c>
      <c r="Y1556" s="32">
        <f>IF($X1556="","",INT($X1556))</f>
        <v/>
      </c>
      <c r="Z1556" s="33">
        <f>IF(OR($Y1556="",$D$6=""),"",IF(INDEX($A:$U,ROW(),$D$6)="",0,IF(ISNUMBER(INDEX($A:$U,ROW(),$D$6)),INDEX($A:$U,ROW(),$D$6),IFERROR(--SUBSTITUTE(SUBSTITUTE(TRIM(INDEX($A:$U,ROW(),$D$6)),",",""),"원",""),0))))</f>
        <v/>
      </c>
      <c r="AA1556" s="31">
        <f>IF($Y1556="","",TRIM(INDEX($A:$U,ROW(),$E$6)&amp;IF($F$6="",""," "&amp;INDEX($A:$U,ROW(),$F$6))))</f>
        <v/>
      </c>
      <c r="AB1556" s="31">
        <f>IF($AA1556="","",SUBSTITUTE(SUBSTITUTE(SUBSTITUTE(SUBSTITUTE(SUBSTITUTE(SUBSTITUTE(SUBSTITUTE(SUBSTITUTE(SUBSTITUTE($AA1556," ",""),"　",""),"(주)",""),"（주）",""),"㈜",""),"주식회사",""),"(유)",""),"（유）",""),"유한회사",""))</f>
        <v/>
      </c>
      <c r="AC1556" s="31">
        <f>IF(OR($Y1556="",N($Z1556)&lt;=0,$AB1556=""),0,IFERROR(LOOKUP(2,1/((거래처별!$AC$8:$AC$307&lt;&gt;"")*ISNUMBER(SEARCH(거래처별!$AC$8:$AC$307,$AB1556))),거래처별!$A$8:$A$307),IFERROR(LOOKUP(2,1/((거래처별!$AD$8:$AD$307&lt;&gt;"")*ISNUMBER(SEARCH(거래처별!$AD$8:$AD$307,$AB1556))),거래처별!$A$8:$A$307),IFERROR(LOOKUP(2,1/((거래처별!$AE$8:$AE$307&lt;&gt;"")*ISNUMBER(SEARCH(거래처별!$AE$8:$AE$307,$AB1556))),거래처별!$A$8:$A$307),0))))</f>
        <v/>
      </c>
      <c r="AD1556" s="31">
        <f>IF(AND($Y1556&lt;&gt;"",N($Z1556)&gt;0,$AC1556=0),MAX($AD$7:$AD1555)+1,"")</f>
        <v/>
      </c>
      <c r="AE1556" s="31">
        <f>IF($Y1556="",0,$Y1556)</f>
        <v/>
      </c>
    </row>
    <row r="1557">
      <c r="W1557" s="31">
        <f>IF(OR($B$5="",$C$6="",ROW()&lt;$B$5),"",IF(INDEX($A:$U,ROW(),$C$6)="","",INDEX($A:$U,ROW(),$C$6)))</f>
        <v/>
      </c>
      <c r="X1557" s="32">
        <f>IF($W1557="","",IF(ISNUMBER($W1557),IF($W1557&gt;=10000000,IFERROR(DATE(INT($W1557/10000),MOD(INT($W1557/100),100),MOD($W1557,100)),""),INT($W1557)),IFERROR(DATE(--LEFT(LEFT(SUBSTITUTE(SUBSTITUTE(SUBSTITUTE(SUBSTITUTE(TRIM($W1557),"-",""),".",""),"/","")," ",""),8),4),--MID(LEFT(SUBSTITUTE(SUBSTITUTE(SUBSTITUTE(SUBSTITUTE(TRIM($W1557),"-",""),".",""),"/","")," ",""),8),5,2),--MID(LEFT(SUBSTITUTE(SUBSTITUTE(SUBSTITUTE(SUBSTITUTE(TRIM($W1557),"-",""),".",""),"/","")," ",""),8),7,2)),"")))</f>
        <v/>
      </c>
      <c r="Y1557" s="32">
        <f>IF($X1557="","",INT($X1557))</f>
        <v/>
      </c>
      <c r="Z1557" s="33">
        <f>IF(OR($Y1557="",$D$6=""),"",IF(INDEX($A:$U,ROW(),$D$6)="",0,IF(ISNUMBER(INDEX($A:$U,ROW(),$D$6)),INDEX($A:$U,ROW(),$D$6),IFERROR(--SUBSTITUTE(SUBSTITUTE(TRIM(INDEX($A:$U,ROW(),$D$6)),",",""),"원",""),0))))</f>
        <v/>
      </c>
      <c r="AA1557" s="31">
        <f>IF($Y1557="","",TRIM(INDEX($A:$U,ROW(),$E$6)&amp;IF($F$6="",""," "&amp;INDEX($A:$U,ROW(),$F$6))))</f>
        <v/>
      </c>
      <c r="AB1557" s="31">
        <f>IF($AA1557="","",SUBSTITUTE(SUBSTITUTE(SUBSTITUTE(SUBSTITUTE(SUBSTITUTE(SUBSTITUTE(SUBSTITUTE(SUBSTITUTE(SUBSTITUTE($AA1557," ",""),"　",""),"(주)",""),"（주）",""),"㈜",""),"주식회사",""),"(유)",""),"（유）",""),"유한회사",""))</f>
        <v/>
      </c>
      <c r="AC1557" s="31">
        <f>IF(OR($Y1557="",N($Z1557)&lt;=0,$AB1557=""),0,IFERROR(LOOKUP(2,1/((거래처별!$AC$8:$AC$307&lt;&gt;"")*ISNUMBER(SEARCH(거래처별!$AC$8:$AC$307,$AB1557))),거래처별!$A$8:$A$307),IFERROR(LOOKUP(2,1/((거래처별!$AD$8:$AD$307&lt;&gt;"")*ISNUMBER(SEARCH(거래처별!$AD$8:$AD$307,$AB1557))),거래처별!$A$8:$A$307),IFERROR(LOOKUP(2,1/((거래처별!$AE$8:$AE$307&lt;&gt;"")*ISNUMBER(SEARCH(거래처별!$AE$8:$AE$307,$AB1557))),거래처별!$A$8:$A$307),0))))</f>
        <v/>
      </c>
      <c r="AD1557" s="31">
        <f>IF(AND($Y1557&lt;&gt;"",N($Z1557)&gt;0,$AC1557=0),MAX($AD$7:$AD1556)+1,"")</f>
        <v/>
      </c>
      <c r="AE1557" s="31">
        <f>IF($Y1557="",0,$Y1557)</f>
        <v/>
      </c>
    </row>
    <row r="1558">
      <c r="W1558" s="31">
        <f>IF(OR($B$5="",$C$6="",ROW()&lt;$B$5),"",IF(INDEX($A:$U,ROW(),$C$6)="","",INDEX($A:$U,ROW(),$C$6)))</f>
        <v/>
      </c>
      <c r="X1558" s="32">
        <f>IF($W1558="","",IF(ISNUMBER($W1558),IF($W1558&gt;=10000000,IFERROR(DATE(INT($W1558/10000),MOD(INT($W1558/100),100),MOD($W1558,100)),""),INT($W1558)),IFERROR(DATE(--LEFT(LEFT(SUBSTITUTE(SUBSTITUTE(SUBSTITUTE(SUBSTITUTE(TRIM($W1558),"-",""),".",""),"/","")," ",""),8),4),--MID(LEFT(SUBSTITUTE(SUBSTITUTE(SUBSTITUTE(SUBSTITUTE(TRIM($W1558),"-",""),".",""),"/","")," ",""),8),5,2),--MID(LEFT(SUBSTITUTE(SUBSTITUTE(SUBSTITUTE(SUBSTITUTE(TRIM($W1558),"-",""),".",""),"/","")," ",""),8),7,2)),"")))</f>
        <v/>
      </c>
      <c r="Y1558" s="32">
        <f>IF($X1558="","",INT($X1558))</f>
        <v/>
      </c>
      <c r="Z1558" s="33">
        <f>IF(OR($Y1558="",$D$6=""),"",IF(INDEX($A:$U,ROW(),$D$6)="",0,IF(ISNUMBER(INDEX($A:$U,ROW(),$D$6)),INDEX($A:$U,ROW(),$D$6),IFERROR(--SUBSTITUTE(SUBSTITUTE(TRIM(INDEX($A:$U,ROW(),$D$6)),",",""),"원",""),0))))</f>
        <v/>
      </c>
      <c r="AA1558" s="31">
        <f>IF($Y1558="","",TRIM(INDEX($A:$U,ROW(),$E$6)&amp;IF($F$6="",""," "&amp;INDEX($A:$U,ROW(),$F$6))))</f>
        <v/>
      </c>
      <c r="AB1558" s="31">
        <f>IF($AA1558="","",SUBSTITUTE(SUBSTITUTE(SUBSTITUTE(SUBSTITUTE(SUBSTITUTE(SUBSTITUTE(SUBSTITUTE(SUBSTITUTE(SUBSTITUTE($AA1558," ",""),"　",""),"(주)",""),"（주）",""),"㈜",""),"주식회사",""),"(유)",""),"（유）",""),"유한회사",""))</f>
        <v/>
      </c>
      <c r="AC1558" s="31">
        <f>IF(OR($Y1558="",N($Z1558)&lt;=0,$AB1558=""),0,IFERROR(LOOKUP(2,1/((거래처별!$AC$8:$AC$307&lt;&gt;"")*ISNUMBER(SEARCH(거래처별!$AC$8:$AC$307,$AB1558))),거래처별!$A$8:$A$307),IFERROR(LOOKUP(2,1/((거래처별!$AD$8:$AD$307&lt;&gt;"")*ISNUMBER(SEARCH(거래처별!$AD$8:$AD$307,$AB1558))),거래처별!$A$8:$A$307),IFERROR(LOOKUP(2,1/((거래처별!$AE$8:$AE$307&lt;&gt;"")*ISNUMBER(SEARCH(거래처별!$AE$8:$AE$307,$AB1558))),거래처별!$A$8:$A$307),0))))</f>
        <v/>
      </c>
      <c r="AD1558" s="31">
        <f>IF(AND($Y1558&lt;&gt;"",N($Z1558)&gt;0,$AC1558=0),MAX($AD$7:$AD1557)+1,"")</f>
        <v/>
      </c>
      <c r="AE1558" s="31">
        <f>IF($Y1558="",0,$Y1558)</f>
        <v/>
      </c>
    </row>
    <row r="1559">
      <c r="W1559" s="31">
        <f>IF(OR($B$5="",$C$6="",ROW()&lt;$B$5),"",IF(INDEX($A:$U,ROW(),$C$6)="","",INDEX($A:$U,ROW(),$C$6)))</f>
        <v/>
      </c>
      <c r="X1559" s="32">
        <f>IF($W1559="","",IF(ISNUMBER($W1559),IF($W1559&gt;=10000000,IFERROR(DATE(INT($W1559/10000),MOD(INT($W1559/100),100),MOD($W1559,100)),""),INT($W1559)),IFERROR(DATE(--LEFT(LEFT(SUBSTITUTE(SUBSTITUTE(SUBSTITUTE(SUBSTITUTE(TRIM($W1559),"-",""),".",""),"/","")," ",""),8),4),--MID(LEFT(SUBSTITUTE(SUBSTITUTE(SUBSTITUTE(SUBSTITUTE(TRIM($W1559),"-",""),".",""),"/","")," ",""),8),5,2),--MID(LEFT(SUBSTITUTE(SUBSTITUTE(SUBSTITUTE(SUBSTITUTE(TRIM($W1559),"-",""),".",""),"/","")," ",""),8),7,2)),"")))</f>
        <v/>
      </c>
      <c r="Y1559" s="32">
        <f>IF($X1559="","",INT($X1559))</f>
        <v/>
      </c>
      <c r="Z1559" s="33">
        <f>IF(OR($Y1559="",$D$6=""),"",IF(INDEX($A:$U,ROW(),$D$6)="",0,IF(ISNUMBER(INDEX($A:$U,ROW(),$D$6)),INDEX($A:$U,ROW(),$D$6),IFERROR(--SUBSTITUTE(SUBSTITUTE(TRIM(INDEX($A:$U,ROW(),$D$6)),",",""),"원",""),0))))</f>
        <v/>
      </c>
      <c r="AA1559" s="31">
        <f>IF($Y1559="","",TRIM(INDEX($A:$U,ROW(),$E$6)&amp;IF($F$6="",""," "&amp;INDEX($A:$U,ROW(),$F$6))))</f>
        <v/>
      </c>
      <c r="AB1559" s="31">
        <f>IF($AA1559="","",SUBSTITUTE(SUBSTITUTE(SUBSTITUTE(SUBSTITUTE(SUBSTITUTE(SUBSTITUTE(SUBSTITUTE(SUBSTITUTE(SUBSTITUTE($AA1559," ",""),"　",""),"(주)",""),"（주）",""),"㈜",""),"주식회사",""),"(유)",""),"（유）",""),"유한회사",""))</f>
        <v/>
      </c>
      <c r="AC1559" s="31">
        <f>IF(OR($Y1559="",N($Z1559)&lt;=0,$AB1559=""),0,IFERROR(LOOKUP(2,1/((거래처별!$AC$8:$AC$307&lt;&gt;"")*ISNUMBER(SEARCH(거래처별!$AC$8:$AC$307,$AB1559))),거래처별!$A$8:$A$307),IFERROR(LOOKUP(2,1/((거래처별!$AD$8:$AD$307&lt;&gt;"")*ISNUMBER(SEARCH(거래처별!$AD$8:$AD$307,$AB1559))),거래처별!$A$8:$A$307),IFERROR(LOOKUP(2,1/((거래처별!$AE$8:$AE$307&lt;&gt;"")*ISNUMBER(SEARCH(거래처별!$AE$8:$AE$307,$AB1559))),거래처별!$A$8:$A$307),0))))</f>
        <v/>
      </c>
      <c r="AD1559" s="31">
        <f>IF(AND($Y1559&lt;&gt;"",N($Z1559)&gt;0,$AC1559=0),MAX($AD$7:$AD1558)+1,"")</f>
        <v/>
      </c>
      <c r="AE1559" s="31">
        <f>IF($Y1559="",0,$Y1559)</f>
        <v/>
      </c>
    </row>
    <row r="1560">
      <c r="W1560" s="31">
        <f>IF(OR($B$5="",$C$6="",ROW()&lt;$B$5),"",IF(INDEX($A:$U,ROW(),$C$6)="","",INDEX($A:$U,ROW(),$C$6)))</f>
        <v/>
      </c>
      <c r="X1560" s="32">
        <f>IF($W1560="","",IF(ISNUMBER($W1560),IF($W1560&gt;=10000000,IFERROR(DATE(INT($W1560/10000),MOD(INT($W1560/100),100),MOD($W1560,100)),""),INT($W1560)),IFERROR(DATE(--LEFT(LEFT(SUBSTITUTE(SUBSTITUTE(SUBSTITUTE(SUBSTITUTE(TRIM($W1560),"-",""),".",""),"/","")," ",""),8),4),--MID(LEFT(SUBSTITUTE(SUBSTITUTE(SUBSTITUTE(SUBSTITUTE(TRIM($W1560),"-",""),".",""),"/","")," ",""),8),5,2),--MID(LEFT(SUBSTITUTE(SUBSTITUTE(SUBSTITUTE(SUBSTITUTE(TRIM($W1560),"-",""),".",""),"/","")," ",""),8),7,2)),"")))</f>
        <v/>
      </c>
      <c r="Y1560" s="32">
        <f>IF($X1560="","",INT($X1560))</f>
        <v/>
      </c>
      <c r="Z1560" s="33">
        <f>IF(OR($Y1560="",$D$6=""),"",IF(INDEX($A:$U,ROW(),$D$6)="",0,IF(ISNUMBER(INDEX($A:$U,ROW(),$D$6)),INDEX($A:$U,ROW(),$D$6),IFERROR(--SUBSTITUTE(SUBSTITUTE(TRIM(INDEX($A:$U,ROW(),$D$6)),",",""),"원",""),0))))</f>
        <v/>
      </c>
      <c r="AA1560" s="31">
        <f>IF($Y1560="","",TRIM(INDEX($A:$U,ROW(),$E$6)&amp;IF($F$6="",""," "&amp;INDEX($A:$U,ROW(),$F$6))))</f>
        <v/>
      </c>
      <c r="AB1560" s="31">
        <f>IF($AA1560="","",SUBSTITUTE(SUBSTITUTE(SUBSTITUTE(SUBSTITUTE(SUBSTITUTE(SUBSTITUTE(SUBSTITUTE(SUBSTITUTE(SUBSTITUTE($AA1560," ",""),"　",""),"(주)",""),"（주）",""),"㈜",""),"주식회사",""),"(유)",""),"（유）",""),"유한회사",""))</f>
        <v/>
      </c>
      <c r="AC1560" s="31">
        <f>IF(OR($Y1560="",N($Z1560)&lt;=0,$AB1560=""),0,IFERROR(LOOKUP(2,1/((거래처별!$AC$8:$AC$307&lt;&gt;"")*ISNUMBER(SEARCH(거래처별!$AC$8:$AC$307,$AB1560))),거래처별!$A$8:$A$307),IFERROR(LOOKUP(2,1/((거래처별!$AD$8:$AD$307&lt;&gt;"")*ISNUMBER(SEARCH(거래처별!$AD$8:$AD$307,$AB1560))),거래처별!$A$8:$A$307),IFERROR(LOOKUP(2,1/((거래처별!$AE$8:$AE$307&lt;&gt;"")*ISNUMBER(SEARCH(거래처별!$AE$8:$AE$307,$AB1560))),거래처별!$A$8:$A$307),0))))</f>
        <v/>
      </c>
      <c r="AD1560" s="31">
        <f>IF(AND($Y1560&lt;&gt;"",N($Z1560)&gt;0,$AC1560=0),MAX($AD$7:$AD1559)+1,"")</f>
        <v/>
      </c>
      <c r="AE1560" s="31">
        <f>IF($Y1560="",0,$Y1560)</f>
        <v/>
      </c>
    </row>
    <row r="1561">
      <c r="W1561" s="31">
        <f>IF(OR($B$5="",$C$6="",ROW()&lt;$B$5),"",IF(INDEX($A:$U,ROW(),$C$6)="","",INDEX($A:$U,ROW(),$C$6)))</f>
        <v/>
      </c>
      <c r="X1561" s="32">
        <f>IF($W1561="","",IF(ISNUMBER($W1561),IF($W1561&gt;=10000000,IFERROR(DATE(INT($W1561/10000),MOD(INT($W1561/100),100),MOD($W1561,100)),""),INT($W1561)),IFERROR(DATE(--LEFT(LEFT(SUBSTITUTE(SUBSTITUTE(SUBSTITUTE(SUBSTITUTE(TRIM($W1561),"-",""),".",""),"/","")," ",""),8),4),--MID(LEFT(SUBSTITUTE(SUBSTITUTE(SUBSTITUTE(SUBSTITUTE(TRIM($W1561),"-",""),".",""),"/","")," ",""),8),5,2),--MID(LEFT(SUBSTITUTE(SUBSTITUTE(SUBSTITUTE(SUBSTITUTE(TRIM($W1561),"-",""),".",""),"/","")," ",""),8),7,2)),"")))</f>
        <v/>
      </c>
      <c r="Y1561" s="32">
        <f>IF($X1561="","",INT($X1561))</f>
        <v/>
      </c>
      <c r="Z1561" s="33">
        <f>IF(OR($Y1561="",$D$6=""),"",IF(INDEX($A:$U,ROW(),$D$6)="",0,IF(ISNUMBER(INDEX($A:$U,ROW(),$D$6)),INDEX($A:$U,ROW(),$D$6),IFERROR(--SUBSTITUTE(SUBSTITUTE(TRIM(INDEX($A:$U,ROW(),$D$6)),",",""),"원",""),0))))</f>
        <v/>
      </c>
      <c r="AA1561" s="31">
        <f>IF($Y1561="","",TRIM(INDEX($A:$U,ROW(),$E$6)&amp;IF($F$6="",""," "&amp;INDEX($A:$U,ROW(),$F$6))))</f>
        <v/>
      </c>
      <c r="AB1561" s="31">
        <f>IF($AA1561="","",SUBSTITUTE(SUBSTITUTE(SUBSTITUTE(SUBSTITUTE(SUBSTITUTE(SUBSTITUTE(SUBSTITUTE(SUBSTITUTE(SUBSTITUTE($AA1561," ",""),"　",""),"(주)",""),"（주）",""),"㈜",""),"주식회사",""),"(유)",""),"（유）",""),"유한회사",""))</f>
        <v/>
      </c>
      <c r="AC1561" s="31">
        <f>IF(OR($Y1561="",N($Z1561)&lt;=0,$AB1561=""),0,IFERROR(LOOKUP(2,1/((거래처별!$AC$8:$AC$307&lt;&gt;"")*ISNUMBER(SEARCH(거래처별!$AC$8:$AC$307,$AB1561))),거래처별!$A$8:$A$307),IFERROR(LOOKUP(2,1/((거래처별!$AD$8:$AD$307&lt;&gt;"")*ISNUMBER(SEARCH(거래처별!$AD$8:$AD$307,$AB1561))),거래처별!$A$8:$A$307),IFERROR(LOOKUP(2,1/((거래처별!$AE$8:$AE$307&lt;&gt;"")*ISNUMBER(SEARCH(거래처별!$AE$8:$AE$307,$AB1561))),거래처별!$A$8:$A$307),0))))</f>
        <v/>
      </c>
      <c r="AD1561" s="31">
        <f>IF(AND($Y1561&lt;&gt;"",N($Z1561)&gt;0,$AC1561=0),MAX($AD$7:$AD1560)+1,"")</f>
        <v/>
      </c>
      <c r="AE1561" s="31">
        <f>IF($Y1561="",0,$Y1561)</f>
        <v/>
      </c>
    </row>
    <row r="1562">
      <c r="W1562" s="31">
        <f>IF(OR($B$5="",$C$6="",ROW()&lt;$B$5),"",IF(INDEX($A:$U,ROW(),$C$6)="","",INDEX($A:$U,ROW(),$C$6)))</f>
        <v/>
      </c>
      <c r="X1562" s="32">
        <f>IF($W1562="","",IF(ISNUMBER($W1562),IF($W1562&gt;=10000000,IFERROR(DATE(INT($W1562/10000),MOD(INT($W1562/100),100),MOD($W1562,100)),""),INT($W1562)),IFERROR(DATE(--LEFT(LEFT(SUBSTITUTE(SUBSTITUTE(SUBSTITUTE(SUBSTITUTE(TRIM($W1562),"-",""),".",""),"/","")," ",""),8),4),--MID(LEFT(SUBSTITUTE(SUBSTITUTE(SUBSTITUTE(SUBSTITUTE(TRIM($W1562),"-",""),".",""),"/","")," ",""),8),5,2),--MID(LEFT(SUBSTITUTE(SUBSTITUTE(SUBSTITUTE(SUBSTITUTE(TRIM($W1562),"-",""),".",""),"/","")," ",""),8),7,2)),"")))</f>
        <v/>
      </c>
      <c r="Y1562" s="32">
        <f>IF($X1562="","",INT($X1562))</f>
        <v/>
      </c>
      <c r="Z1562" s="33">
        <f>IF(OR($Y1562="",$D$6=""),"",IF(INDEX($A:$U,ROW(),$D$6)="",0,IF(ISNUMBER(INDEX($A:$U,ROW(),$D$6)),INDEX($A:$U,ROW(),$D$6),IFERROR(--SUBSTITUTE(SUBSTITUTE(TRIM(INDEX($A:$U,ROW(),$D$6)),",",""),"원",""),0))))</f>
        <v/>
      </c>
      <c r="AA1562" s="31">
        <f>IF($Y1562="","",TRIM(INDEX($A:$U,ROW(),$E$6)&amp;IF($F$6="",""," "&amp;INDEX($A:$U,ROW(),$F$6))))</f>
        <v/>
      </c>
      <c r="AB1562" s="31">
        <f>IF($AA1562="","",SUBSTITUTE(SUBSTITUTE(SUBSTITUTE(SUBSTITUTE(SUBSTITUTE(SUBSTITUTE(SUBSTITUTE(SUBSTITUTE(SUBSTITUTE($AA1562," ",""),"　",""),"(주)",""),"（주）",""),"㈜",""),"주식회사",""),"(유)",""),"（유）",""),"유한회사",""))</f>
        <v/>
      </c>
      <c r="AC1562" s="31">
        <f>IF(OR($Y1562="",N($Z1562)&lt;=0,$AB1562=""),0,IFERROR(LOOKUP(2,1/((거래처별!$AC$8:$AC$307&lt;&gt;"")*ISNUMBER(SEARCH(거래처별!$AC$8:$AC$307,$AB1562))),거래처별!$A$8:$A$307),IFERROR(LOOKUP(2,1/((거래처별!$AD$8:$AD$307&lt;&gt;"")*ISNUMBER(SEARCH(거래처별!$AD$8:$AD$307,$AB1562))),거래처별!$A$8:$A$307),IFERROR(LOOKUP(2,1/((거래처별!$AE$8:$AE$307&lt;&gt;"")*ISNUMBER(SEARCH(거래처별!$AE$8:$AE$307,$AB1562))),거래처별!$A$8:$A$307),0))))</f>
        <v/>
      </c>
      <c r="AD1562" s="31">
        <f>IF(AND($Y1562&lt;&gt;"",N($Z1562)&gt;0,$AC1562=0),MAX($AD$7:$AD1561)+1,"")</f>
        <v/>
      </c>
      <c r="AE1562" s="31">
        <f>IF($Y1562="",0,$Y1562)</f>
        <v/>
      </c>
    </row>
    <row r="1563">
      <c r="W1563" s="31">
        <f>IF(OR($B$5="",$C$6="",ROW()&lt;$B$5),"",IF(INDEX($A:$U,ROW(),$C$6)="","",INDEX($A:$U,ROW(),$C$6)))</f>
        <v/>
      </c>
      <c r="X1563" s="32">
        <f>IF($W1563="","",IF(ISNUMBER($W1563),IF($W1563&gt;=10000000,IFERROR(DATE(INT($W1563/10000),MOD(INT($W1563/100),100),MOD($W1563,100)),""),INT($W1563)),IFERROR(DATE(--LEFT(LEFT(SUBSTITUTE(SUBSTITUTE(SUBSTITUTE(SUBSTITUTE(TRIM($W1563),"-",""),".",""),"/","")," ",""),8),4),--MID(LEFT(SUBSTITUTE(SUBSTITUTE(SUBSTITUTE(SUBSTITUTE(TRIM($W1563),"-",""),".",""),"/","")," ",""),8),5,2),--MID(LEFT(SUBSTITUTE(SUBSTITUTE(SUBSTITUTE(SUBSTITUTE(TRIM($W1563),"-",""),".",""),"/","")," ",""),8),7,2)),"")))</f>
        <v/>
      </c>
      <c r="Y1563" s="32">
        <f>IF($X1563="","",INT($X1563))</f>
        <v/>
      </c>
      <c r="Z1563" s="33">
        <f>IF(OR($Y1563="",$D$6=""),"",IF(INDEX($A:$U,ROW(),$D$6)="",0,IF(ISNUMBER(INDEX($A:$U,ROW(),$D$6)),INDEX($A:$U,ROW(),$D$6),IFERROR(--SUBSTITUTE(SUBSTITUTE(TRIM(INDEX($A:$U,ROW(),$D$6)),",",""),"원",""),0))))</f>
        <v/>
      </c>
      <c r="AA1563" s="31">
        <f>IF($Y1563="","",TRIM(INDEX($A:$U,ROW(),$E$6)&amp;IF($F$6="",""," "&amp;INDEX($A:$U,ROW(),$F$6))))</f>
        <v/>
      </c>
      <c r="AB1563" s="31">
        <f>IF($AA1563="","",SUBSTITUTE(SUBSTITUTE(SUBSTITUTE(SUBSTITUTE(SUBSTITUTE(SUBSTITUTE(SUBSTITUTE(SUBSTITUTE(SUBSTITUTE($AA1563," ",""),"　",""),"(주)",""),"（주）",""),"㈜",""),"주식회사",""),"(유)",""),"（유）",""),"유한회사",""))</f>
        <v/>
      </c>
      <c r="AC1563" s="31">
        <f>IF(OR($Y1563="",N($Z1563)&lt;=0,$AB1563=""),0,IFERROR(LOOKUP(2,1/((거래처별!$AC$8:$AC$307&lt;&gt;"")*ISNUMBER(SEARCH(거래처별!$AC$8:$AC$307,$AB1563))),거래처별!$A$8:$A$307),IFERROR(LOOKUP(2,1/((거래처별!$AD$8:$AD$307&lt;&gt;"")*ISNUMBER(SEARCH(거래처별!$AD$8:$AD$307,$AB1563))),거래처별!$A$8:$A$307),IFERROR(LOOKUP(2,1/((거래처별!$AE$8:$AE$307&lt;&gt;"")*ISNUMBER(SEARCH(거래처별!$AE$8:$AE$307,$AB1563))),거래처별!$A$8:$A$307),0))))</f>
        <v/>
      </c>
      <c r="AD1563" s="31">
        <f>IF(AND($Y1563&lt;&gt;"",N($Z1563)&gt;0,$AC1563=0),MAX($AD$7:$AD1562)+1,"")</f>
        <v/>
      </c>
      <c r="AE1563" s="31">
        <f>IF($Y1563="",0,$Y1563)</f>
        <v/>
      </c>
    </row>
    <row r="1564">
      <c r="W1564" s="31">
        <f>IF(OR($B$5="",$C$6="",ROW()&lt;$B$5),"",IF(INDEX($A:$U,ROW(),$C$6)="","",INDEX($A:$U,ROW(),$C$6)))</f>
        <v/>
      </c>
      <c r="X1564" s="32">
        <f>IF($W1564="","",IF(ISNUMBER($W1564),IF($W1564&gt;=10000000,IFERROR(DATE(INT($W1564/10000),MOD(INT($W1564/100),100),MOD($W1564,100)),""),INT($W1564)),IFERROR(DATE(--LEFT(LEFT(SUBSTITUTE(SUBSTITUTE(SUBSTITUTE(SUBSTITUTE(TRIM($W1564),"-",""),".",""),"/","")," ",""),8),4),--MID(LEFT(SUBSTITUTE(SUBSTITUTE(SUBSTITUTE(SUBSTITUTE(TRIM($W1564),"-",""),".",""),"/","")," ",""),8),5,2),--MID(LEFT(SUBSTITUTE(SUBSTITUTE(SUBSTITUTE(SUBSTITUTE(TRIM($W1564),"-",""),".",""),"/","")," ",""),8),7,2)),"")))</f>
        <v/>
      </c>
      <c r="Y1564" s="32">
        <f>IF($X1564="","",INT($X1564))</f>
        <v/>
      </c>
      <c r="Z1564" s="33">
        <f>IF(OR($Y1564="",$D$6=""),"",IF(INDEX($A:$U,ROW(),$D$6)="",0,IF(ISNUMBER(INDEX($A:$U,ROW(),$D$6)),INDEX($A:$U,ROW(),$D$6),IFERROR(--SUBSTITUTE(SUBSTITUTE(TRIM(INDEX($A:$U,ROW(),$D$6)),",",""),"원",""),0))))</f>
        <v/>
      </c>
      <c r="AA1564" s="31">
        <f>IF($Y1564="","",TRIM(INDEX($A:$U,ROW(),$E$6)&amp;IF($F$6="",""," "&amp;INDEX($A:$U,ROW(),$F$6))))</f>
        <v/>
      </c>
      <c r="AB1564" s="31">
        <f>IF($AA1564="","",SUBSTITUTE(SUBSTITUTE(SUBSTITUTE(SUBSTITUTE(SUBSTITUTE(SUBSTITUTE(SUBSTITUTE(SUBSTITUTE(SUBSTITUTE($AA1564," ",""),"　",""),"(주)",""),"（주）",""),"㈜",""),"주식회사",""),"(유)",""),"（유）",""),"유한회사",""))</f>
        <v/>
      </c>
      <c r="AC1564" s="31">
        <f>IF(OR($Y1564="",N($Z1564)&lt;=0,$AB1564=""),0,IFERROR(LOOKUP(2,1/((거래처별!$AC$8:$AC$307&lt;&gt;"")*ISNUMBER(SEARCH(거래처별!$AC$8:$AC$307,$AB1564))),거래처별!$A$8:$A$307),IFERROR(LOOKUP(2,1/((거래처별!$AD$8:$AD$307&lt;&gt;"")*ISNUMBER(SEARCH(거래처별!$AD$8:$AD$307,$AB1564))),거래처별!$A$8:$A$307),IFERROR(LOOKUP(2,1/((거래처별!$AE$8:$AE$307&lt;&gt;"")*ISNUMBER(SEARCH(거래처별!$AE$8:$AE$307,$AB1564))),거래처별!$A$8:$A$307),0))))</f>
        <v/>
      </c>
      <c r="AD1564" s="31">
        <f>IF(AND($Y1564&lt;&gt;"",N($Z1564)&gt;0,$AC1564=0),MAX($AD$7:$AD1563)+1,"")</f>
        <v/>
      </c>
      <c r="AE1564" s="31">
        <f>IF($Y1564="",0,$Y1564)</f>
        <v/>
      </c>
    </row>
    <row r="1565">
      <c r="W1565" s="31">
        <f>IF(OR($B$5="",$C$6="",ROW()&lt;$B$5),"",IF(INDEX($A:$U,ROW(),$C$6)="","",INDEX($A:$U,ROW(),$C$6)))</f>
        <v/>
      </c>
      <c r="X1565" s="32">
        <f>IF($W1565="","",IF(ISNUMBER($W1565),IF($W1565&gt;=10000000,IFERROR(DATE(INT($W1565/10000),MOD(INT($W1565/100),100),MOD($W1565,100)),""),INT($W1565)),IFERROR(DATE(--LEFT(LEFT(SUBSTITUTE(SUBSTITUTE(SUBSTITUTE(SUBSTITUTE(TRIM($W1565),"-",""),".",""),"/","")," ",""),8),4),--MID(LEFT(SUBSTITUTE(SUBSTITUTE(SUBSTITUTE(SUBSTITUTE(TRIM($W1565),"-",""),".",""),"/","")," ",""),8),5,2),--MID(LEFT(SUBSTITUTE(SUBSTITUTE(SUBSTITUTE(SUBSTITUTE(TRIM($W1565),"-",""),".",""),"/","")," ",""),8),7,2)),"")))</f>
        <v/>
      </c>
      <c r="Y1565" s="32">
        <f>IF($X1565="","",INT($X1565))</f>
        <v/>
      </c>
      <c r="Z1565" s="33">
        <f>IF(OR($Y1565="",$D$6=""),"",IF(INDEX($A:$U,ROW(),$D$6)="",0,IF(ISNUMBER(INDEX($A:$U,ROW(),$D$6)),INDEX($A:$U,ROW(),$D$6),IFERROR(--SUBSTITUTE(SUBSTITUTE(TRIM(INDEX($A:$U,ROW(),$D$6)),",",""),"원",""),0))))</f>
        <v/>
      </c>
      <c r="AA1565" s="31">
        <f>IF($Y1565="","",TRIM(INDEX($A:$U,ROW(),$E$6)&amp;IF($F$6="",""," "&amp;INDEX($A:$U,ROW(),$F$6))))</f>
        <v/>
      </c>
      <c r="AB1565" s="31">
        <f>IF($AA1565="","",SUBSTITUTE(SUBSTITUTE(SUBSTITUTE(SUBSTITUTE(SUBSTITUTE(SUBSTITUTE(SUBSTITUTE(SUBSTITUTE(SUBSTITUTE($AA1565," ",""),"　",""),"(주)",""),"（주）",""),"㈜",""),"주식회사",""),"(유)",""),"（유）",""),"유한회사",""))</f>
        <v/>
      </c>
      <c r="AC1565" s="31">
        <f>IF(OR($Y1565="",N($Z1565)&lt;=0,$AB1565=""),0,IFERROR(LOOKUP(2,1/((거래처별!$AC$8:$AC$307&lt;&gt;"")*ISNUMBER(SEARCH(거래처별!$AC$8:$AC$307,$AB1565))),거래처별!$A$8:$A$307),IFERROR(LOOKUP(2,1/((거래처별!$AD$8:$AD$307&lt;&gt;"")*ISNUMBER(SEARCH(거래처별!$AD$8:$AD$307,$AB1565))),거래처별!$A$8:$A$307),IFERROR(LOOKUP(2,1/((거래처별!$AE$8:$AE$307&lt;&gt;"")*ISNUMBER(SEARCH(거래처별!$AE$8:$AE$307,$AB1565))),거래처별!$A$8:$A$307),0))))</f>
        <v/>
      </c>
      <c r="AD1565" s="31">
        <f>IF(AND($Y1565&lt;&gt;"",N($Z1565)&gt;0,$AC1565=0),MAX($AD$7:$AD1564)+1,"")</f>
        <v/>
      </c>
      <c r="AE1565" s="31">
        <f>IF($Y1565="",0,$Y1565)</f>
        <v/>
      </c>
    </row>
    <row r="1566">
      <c r="W1566" s="31">
        <f>IF(OR($B$5="",$C$6="",ROW()&lt;$B$5),"",IF(INDEX($A:$U,ROW(),$C$6)="","",INDEX($A:$U,ROW(),$C$6)))</f>
        <v/>
      </c>
      <c r="X1566" s="32">
        <f>IF($W1566="","",IF(ISNUMBER($W1566),IF($W1566&gt;=10000000,IFERROR(DATE(INT($W1566/10000),MOD(INT($W1566/100),100),MOD($W1566,100)),""),INT($W1566)),IFERROR(DATE(--LEFT(LEFT(SUBSTITUTE(SUBSTITUTE(SUBSTITUTE(SUBSTITUTE(TRIM($W1566),"-",""),".",""),"/","")," ",""),8),4),--MID(LEFT(SUBSTITUTE(SUBSTITUTE(SUBSTITUTE(SUBSTITUTE(TRIM($W1566),"-",""),".",""),"/","")," ",""),8),5,2),--MID(LEFT(SUBSTITUTE(SUBSTITUTE(SUBSTITUTE(SUBSTITUTE(TRIM($W1566),"-",""),".",""),"/","")," ",""),8),7,2)),"")))</f>
        <v/>
      </c>
      <c r="Y1566" s="32">
        <f>IF($X1566="","",INT($X1566))</f>
        <v/>
      </c>
      <c r="Z1566" s="33">
        <f>IF(OR($Y1566="",$D$6=""),"",IF(INDEX($A:$U,ROW(),$D$6)="",0,IF(ISNUMBER(INDEX($A:$U,ROW(),$D$6)),INDEX($A:$U,ROW(),$D$6),IFERROR(--SUBSTITUTE(SUBSTITUTE(TRIM(INDEX($A:$U,ROW(),$D$6)),",",""),"원",""),0))))</f>
        <v/>
      </c>
      <c r="AA1566" s="31">
        <f>IF($Y1566="","",TRIM(INDEX($A:$U,ROW(),$E$6)&amp;IF($F$6="",""," "&amp;INDEX($A:$U,ROW(),$F$6))))</f>
        <v/>
      </c>
      <c r="AB1566" s="31">
        <f>IF($AA1566="","",SUBSTITUTE(SUBSTITUTE(SUBSTITUTE(SUBSTITUTE(SUBSTITUTE(SUBSTITUTE(SUBSTITUTE(SUBSTITUTE(SUBSTITUTE($AA1566," ",""),"　",""),"(주)",""),"（주）",""),"㈜",""),"주식회사",""),"(유)",""),"（유）",""),"유한회사",""))</f>
        <v/>
      </c>
      <c r="AC1566" s="31">
        <f>IF(OR($Y1566="",N($Z1566)&lt;=0,$AB1566=""),0,IFERROR(LOOKUP(2,1/((거래처별!$AC$8:$AC$307&lt;&gt;"")*ISNUMBER(SEARCH(거래처별!$AC$8:$AC$307,$AB1566))),거래처별!$A$8:$A$307),IFERROR(LOOKUP(2,1/((거래처별!$AD$8:$AD$307&lt;&gt;"")*ISNUMBER(SEARCH(거래처별!$AD$8:$AD$307,$AB1566))),거래처별!$A$8:$A$307),IFERROR(LOOKUP(2,1/((거래처별!$AE$8:$AE$307&lt;&gt;"")*ISNUMBER(SEARCH(거래처별!$AE$8:$AE$307,$AB1566))),거래처별!$A$8:$A$307),0))))</f>
        <v/>
      </c>
      <c r="AD1566" s="31">
        <f>IF(AND($Y1566&lt;&gt;"",N($Z1566)&gt;0,$AC1566=0),MAX($AD$7:$AD1565)+1,"")</f>
        <v/>
      </c>
      <c r="AE1566" s="31">
        <f>IF($Y1566="",0,$Y1566)</f>
        <v/>
      </c>
    </row>
    <row r="1567">
      <c r="W1567" s="31">
        <f>IF(OR($B$5="",$C$6="",ROW()&lt;$B$5),"",IF(INDEX($A:$U,ROW(),$C$6)="","",INDEX($A:$U,ROW(),$C$6)))</f>
        <v/>
      </c>
      <c r="X1567" s="32">
        <f>IF($W1567="","",IF(ISNUMBER($W1567),IF($W1567&gt;=10000000,IFERROR(DATE(INT($W1567/10000),MOD(INT($W1567/100),100),MOD($W1567,100)),""),INT($W1567)),IFERROR(DATE(--LEFT(LEFT(SUBSTITUTE(SUBSTITUTE(SUBSTITUTE(SUBSTITUTE(TRIM($W1567),"-",""),".",""),"/","")," ",""),8),4),--MID(LEFT(SUBSTITUTE(SUBSTITUTE(SUBSTITUTE(SUBSTITUTE(TRIM($W1567),"-",""),".",""),"/","")," ",""),8),5,2),--MID(LEFT(SUBSTITUTE(SUBSTITUTE(SUBSTITUTE(SUBSTITUTE(TRIM($W1567),"-",""),".",""),"/","")," ",""),8),7,2)),"")))</f>
        <v/>
      </c>
      <c r="Y1567" s="32">
        <f>IF($X1567="","",INT($X1567))</f>
        <v/>
      </c>
      <c r="Z1567" s="33">
        <f>IF(OR($Y1567="",$D$6=""),"",IF(INDEX($A:$U,ROW(),$D$6)="",0,IF(ISNUMBER(INDEX($A:$U,ROW(),$D$6)),INDEX($A:$U,ROW(),$D$6),IFERROR(--SUBSTITUTE(SUBSTITUTE(TRIM(INDEX($A:$U,ROW(),$D$6)),",",""),"원",""),0))))</f>
        <v/>
      </c>
      <c r="AA1567" s="31">
        <f>IF($Y1567="","",TRIM(INDEX($A:$U,ROW(),$E$6)&amp;IF($F$6="",""," "&amp;INDEX($A:$U,ROW(),$F$6))))</f>
        <v/>
      </c>
      <c r="AB1567" s="31">
        <f>IF($AA1567="","",SUBSTITUTE(SUBSTITUTE(SUBSTITUTE(SUBSTITUTE(SUBSTITUTE(SUBSTITUTE(SUBSTITUTE(SUBSTITUTE(SUBSTITUTE($AA1567," ",""),"　",""),"(주)",""),"（주）",""),"㈜",""),"주식회사",""),"(유)",""),"（유）",""),"유한회사",""))</f>
        <v/>
      </c>
      <c r="AC1567" s="31">
        <f>IF(OR($Y1567="",N($Z1567)&lt;=0,$AB1567=""),0,IFERROR(LOOKUP(2,1/((거래처별!$AC$8:$AC$307&lt;&gt;"")*ISNUMBER(SEARCH(거래처별!$AC$8:$AC$307,$AB1567))),거래처별!$A$8:$A$307),IFERROR(LOOKUP(2,1/((거래처별!$AD$8:$AD$307&lt;&gt;"")*ISNUMBER(SEARCH(거래처별!$AD$8:$AD$307,$AB1567))),거래처별!$A$8:$A$307),IFERROR(LOOKUP(2,1/((거래처별!$AE$8:$AE$307&lt;&gt;"")*ISNUMBER(SEARCH(거래처별!$AE$8:$AE$307,$AB1567))),거래처별!$A$8:$A$307),0))))</f>
        <v/>
      </c>
      <c r="AD1567" s="31">
        <f>IF(AND($Y1567&lt;&gt;"",N($Z1567)&gt;0,$AC1567=0),MAX($AD$7:$AD1566)+1,"")</f>
        <v/>
      </c>
      <c r="AE1567" s="31">
        <f>IF($Y1567="",0,$Y1567)</f>
        <v/>
      </c>
    </row>
    <row r="1568">
      <c r="W1568" s="31">
        <f>IF(OR($B$5="",$C$6="",ROW()&lt;$B$5),"",IF(INDEX($A:$U,ROW(),$C$6)="","",INDEX($A:$U,ROW(),$C$6)))</f>
        <v/>
      </c>
      <c r="X1568" s="32">
        <f>IF($W1568="","",IF(ISNUMBER($W1568),IF($W1568&gt;=10000000,IFERROR(DATE(INT($W1568/10000),MOD(INT($W1568/100),100),MOD($W1568,100)),""),INT($W1568)),IFERROR(DATE(--LEFT(LEFT(SUBSTITUTE(SUBSTITUTE(SUBSTITUTE(SUBSTITUTE(TRIM($W1568),"-",""),".",""),"/","")," ",""),8),4),--MID(LEFT(SUBSTITUTE(SUBSTITUTE(SUBSTITUTE(SUBSTITUTE(TRIM($W1568),"-",""),".",""),"/","")," ",""),8),5,2),--MID(LEFT(SUBSTITUTE(SUBSTITUTE(SUBSTITUTE(SUBSTITUTE(TRIM($W1568),"-",""),".",""),"/","")," ",""),8),7,2)),"")))</f>
        <v/>
      </c>
      <c r="Y1568" s="32">
        <f>IF($X1568="","",INT($X1568))</f>
        <v/>
      </c>
      <c r="Z1568" s="33">
        <f>IF(OR($Y1568="",$D$6=""),"",IF(INDEX($A:$U,ROW(),$D$6)="",0,IF(ISNUMBER(INDEX($A:$U,ROW(),$D$6)),INDEX($A:$U,ROW(),$D$6),IFERROR(--SUBSTITUTE(SUBSTITUTE(TRIM(INDEX($A:$U,ROW(),$D$6)),",",""),"원",""),0))))</f>
        <v/>
      </c>
      <c r="AA1568" s="31">
        <f>IF($Y1568="","",TRIM(INDEX($A:$U,ROW(),$E$6)&amp;IF($F$6="",""," "&amp;INDEX($A:$U,ROW(),$F$6))))</f>
        <v/>
      </c>
      <c r="AB1568" s="31">
        <f>IF($AA1568="","",SUBSTITUTE(SUBSTITUTE(SUBSTITUTE(SUBSTITUTE(SUBSTITUTE(SUBSTITUTE(SUBSTITUTE(SUBSTITUTE(SUBSTITUTE($AA1568," ",""),"　",""),"(주)",""),"（주）",""),"㈜",""),"주식회사",""),"(유)",""),"（유）",""),"유한회사",""))</f>
        <v/>
      </c>
      <c r="AC1568" s="31">
        <f>IF(OR($Y1568="",N($Z1568)&lt;=0,$AB1568=""),0,IFERROR(LOOKUP(2,1/((거래처별!$AC$8:$AC$307&lt;&gt;"")*ISNUMBER(SEARCH(거래처별!$AC$8:$AC$307,$AB1568))),거래처별!$A$8:$A$307),IFERROR(LOOKUP(2,1/((거래처별!$AD$8:$AD$307&lt;&gt;"")*ISNUMBER(SEARCH(거래처별!$AD$8:$AD$307,$AB1568))),거래처별!$A$8:$A$307),IFERROR(LOOKUP(2,1/((거래처별!$AE$8:$AE$307&lt;&gt;"")*ISNUMBER(SEARCH(거래처별!$AE$8:$AE$307,$AB1568))),거래처별!$A$8:$A$307),0))))</f>
        <v/>
      </c>
      <c r="AD1568" s="31">
        <f>IF(AND($Y1568&lt;&gt;"",N($Z1568)&gt;0,$AC1568=0),MAX($AD$7:$AD1567)+1,"")</f>
        <v/>
      </c>
      <c r="AE1568" s="31">
        <f>IF($Y1568="",0,$Y1568)</f>
        <v/>
      </c>
    </row>
    <row r="1569">
      <c r="W1569" s="31">
        <f>IF(OR($B$5="",$C$6="",ROW()&lt;$B$5),"",IF(INDEX($A:$U,ROW(),$C$6)="","",INDEX($A:$U,ROW(),$C$6)))</f>
        <v/>
      </c>
      <c r="X1569" s="32">
        <f>IF($W1569="","",IF(ISNUMBER($W1569),IF($W1569&gt;=10000000,IFERROR(DATE(INT($W1569/10000),MOD(INT($W1569/100),100),MOD($W1569,100)),""),INT($W1569)),IFERROR(DATE(--LEFT(LEFT(SUBSTITUTE(SUBSTITUTE(SUBSTITUTE(SUBSTITUTE(TRIM($W1569),"-",""),".",""),"/","")," ",""),8),4),--MID(LEFT(SUBSTITUTE(SUBSTITUTE(SUBSTITUTE(SUBSTITUTE(TRIM($W1569),"-",""),".",""),"/","")," ",""),8),5,2),--MID(LEFT(SUBSTITUTE(SUBSTITUTE(SUBSTITUTE(SUBSTITUTE(TRIM($W1569),"-",""),".",""),"/","")," ",""),8),7,2)),"")))</f>
        <v/>
      </c>
      <c r="Y1569" s="32">
        <f>IF($X1569="","",INT($X1569))</f>
        <v/>
      </c>
      <c r="Z1569" s="33">
        <f>IF(OR($Y1569="",$D$6=""),"",IF(INDEX($A:$U,ROW(),$D$6)="",0,IF(ISNUMBER(INDEX($A:$U,ROW(),$D$6)),INDEX($A:$U,ROW(),$D$6),IFERROR(--SUBSTITUTE(SUBSTITUTE(TRIM(INDEX($A:$U,ROW(),$D$6)),",",""),"원",""),0))))</f>
        <v/>
      </c>
      <c r="AA1569" s="31">
        <f>IF($Y1569="","",TRIM(INDEX($A:$U,ROW(),$E$6)&amp;IF($F$6="",""," "&amp;INDEX($A:$U,ROW(),$F$6))))</f>
        <v/>
      </c>
      <c r="AB1569" s="31">
        <f>IF($AA1569="","",SUBSTITUTE(SUBSTITUTE(SUBSTITUTE(SUBSTITUTE(SUBSTITUTE(SUBSTITUTE(SUBSTITUTE(SUBSTITUTE(SUBSTITUTE($AA1569," ",""),"　",""),"(주)",""),"（주）",""),"㈜",""),"주식회사",""),"(유)",""),"（유）",""),"유한회사",""))</f>
        <v/>
      </c>
      <c r="AC1569" s="31">
        <f>IF(OR($Y1569="",N($Z1569)&lt;=0,$AB1569=""),0,IFERROR(LOOKUP(2,1/((거래처별!$AC$8:$AC$307&lt;&gt;"")*ISNUMBER(SEARCH(거래처별!$AC$8:$AC$307,$AB1569))),거래처별!$A$8:$A$307),IFERROR(LOOKUP(2,1/((거래처별!$AD$8:$AD$307&lt;&gt;"")*ISNUMBER(SEARCH(거래처별!$AD$8:$AD$307,$AB1569))),거래처별!$A$8:$A$307),IFERROR(LOOKUP(2,1/((거래처별!$AE$8:$AE$307&lt;&gt;"")*ISNUMBER(SEARCH(거래처별!$AE$8:$AE$307,$AB1569))),거래처별!$A$8:$A$307),0))))</f>
        <v/>
      </c>
      <c r="AD1569" s="31">
        <f>IF(AND($Y1569&lt;&gt;"",N($Z1569)&gt;0,$AC1569=0),MAX($AD$7:$AD1568)+1,"")</f>
        <v/>
      </c>
      <c r="AE1569" s="31">
        <f>IF($Y1569="",0,$Y1569)</f>
        <v/>
      </c>
    </row>
    <row r="1570">
      <c r="W1570" s="31">
        <f>IF(OR($B$5="",$C$6="",ROW()&lt;$B$5),"",IF(INDEX($A:$U,ROW(),$C$6)="","",INDEX($A:$U,ROW(),$C$6)))</f>
        <v/>
      </c>
      <c r="X1570" s="32">
        <f>IF($W1570="","",IF(ISNUMBER($W1570),IF($W1570&gt;=10000000,IFERROR(DATE(INT($W1570/10000),MOD(INT($W1570/100),100),MOD($W1570,100)),""),INT($W1570)),IFERROR(DATE(--LEFT(LEFT(SUBSTITUTE(SUBSTITUTE(SUBSTITUTE(SUBSTITUTE(TRIM($W1570),"-",""),".",""),"/","")," ",""),8),4),--MID(LEFT(SUBSTITUTE(SUBSTITUTE(SUBSTITUTE(SUBSTITUTE(TRIM($W1570),"-",""),".",""),"/","")," ",""),8),5,2),--MID(LEFT(SUBSTITUTE(SUBSTITUTE(SUBSTITUTE(SUBSTITUTE(TRIM($W1570),"-",""),".",""),"/","")," ",""),8),7,2)),"")))</f>
        <v/>
      </c>
      <c r="Y1570" s="32">
        <f>IF($X1570="","",INT($X1570))</f>
        <v/>
      </c>
      <c r="Z1570" s="33">
        <f>IF(OR($Y1570="",$D$6=""),"",IF(INDEX($A:$U,ROW(),$D$6)="",0,IF(ISNUMBER(INDEX($A:$U,ROW(),$D$6)),INDEX($A:$U,ROW(),$D$6),IFERROR(--SUBSTITUTE(SUBSTITUTE(TRIM(INDEX($A:$U,ROW(),$D$6)),",",""),"원",""),0))))</f>
        <v/>
      </c>
      <c r="AA1570" s="31">
        <f>IF($Y1570="","",TRIM(INDEX($A:$U,ROW(),$E$6)&amp;IF($F$6="",""," "&amp;INDEX($A:$U,ROW(),$F$6))))</f>
        <v/>
      </c>
      <c r="AB1570" s="31">
        <f>IF($AA1570="","",SUBSTITUTE(SUBSTITUTE(SUBSTITUTE(SUBSTITUTE(SUBSTITUTE(SUBSTITUTE(SUBSTITUTE(SUBSTITUTE(SUBSTITUTE($AA1570," ",""),"　",""),"(주)",""),"（주）",""),"㈜",""),"주식회사",""),"(유)",""),"（유）",""),"유한회사",""))</f>
        <v/>
      </c>
      <c r="AC1570" s="31">
        <f>IF(OR($Y1570="",N($Z1570)&lt;=0,$AB1570=""),0,IFERROR(LOOKUP(2,1/((거래처별!$AC$8:$AC$307&lt;&gt;"")*ISNUMBER(SEARCH(거래처별!$AC$8:$AC$307,$AB1570))),거래처별!$A$8:$A$307),IFERROR(LOOKUP(2,1/((거래처별!$AD$8:$AD$307&lt;&gt;"")*ISNUMBER(SEARCH(거래처별!$AD$8:$AD$307,$AB1570))),거래처별!$A$8:$A$307),IFERROR(LOOKUP(2,1/((거래처별!$AE$8:$AE$307&lt;&gt;"")*ISNUMBER(SEARCH(거래처별!$AE$8:$AE$307,$AB1570))),거래처별!$A$8:$A$307),0))))</f>
        <v/>
      </c>
      <c r="AD1570" s="31">
        <f>IF(AND($Y1570&lt;&gt;"",N($Z1570)&gt;0,$AC1570=0),MAX($AD$7:$AD1569)+1,"")</f>
        <v/>
      </c>
      <c r="AE1570" s="31">
        <f>IF($Y1570="",0,$Y1570)</f>
        <v/>
      </c>
    </row>
    <row r="1571">
      <c r="W1571" s="31">
        <f>IF(OR($B$5="",$C$6="",ROW()&lt;$B$5),"",IF(INDEX($A:$U,ROW(),$C$6)="","",INDEX($A:$U,ROW(),$C$6)))</f>
        <v/>
      </c>
      <c r="X1571" s="32">
        <f>IF($W1571="","",IF(ISNUMBER($W1571),IF($W1571&gt;=10000000,IFERROR(DATE(INT($W1571/10000),MOD(INT($W1571/100),100),MOD($W1571,100)),""),INT($W1571)),IFERROR(DATE(--LEFT(LEFT(SUBSTITUTE(SUBSTITUTE(SUBSTITUTE(SUBSTITUTE(TRIM($W1571),"-",""),".",""),"/","")," ",""),8),4),--MID(LEFT(SUBSTITUTE(SUBSTITUTE(SUBSTITUTE(SUBSTITUTE(TRIM($W1571),"-",""),".",""),"/","")," ",""),8),5,2),--MID(LEFT(SUBSTITUTE(SUBSTITUTE(SUBSTITUTE(SUBSTITUTE(TRIM($W1571),"-",""),".",""),"/","")," ",""),8),7,2)),"")))</f>
        <v/>
      </c>
      <c r="Y1571" s="32">
        <f>IF($X1571="","",INT($X1571))</f>
        <v/>
      </c>
      <c r="Z1571" s="33">
        <f>IF(OR($Y1571="",$D$6=""),"",IF(INDEX($A:$U,ROW(),$D$6)="",0,IF(ISNUMBER(INDEX($A:$U,ROW(),$D$6)),INDEX($A:$U,ROW(),$D$6),IFERROR(--SUBSTITUTE(SUBSTITUTE(TRIM(INDEX($A:$U,ROW(),$D$6)),",",""),"원",""),0))))</f>
        <v/>
      </c>
      <c r="AA1571" s="31">
        <f>IF($Y1571="","",TRIM(INDEX($A:$U,ROW(),$E$6)&amp;IF($F$6="",""," "&amp;INDEX($A:$U,ROW(),$F$6))))</f>
        <v/>
      </c>
      <c r="AB1571" s="31">
        <f>IF($AA1571="","",SUBSTITUTE(SUBSTITUTE(SUBSTITUTE(SUBSTITUTE(SUBSTITUTE(SUBSTITUTE(SUBSTITUTE(SUBSTITUTE(SUBSTITUTE($AA1571," ",""),"　",""),"(주)",""),"（주）",""),"㈜",""),"주식회사",""),"(유)",""),"（유）",""),"유한회사",""))</f>
        <v/>
      </c>
      <c r="AC1571" s="31">
        <f>IF(OR($Y1571="",N($Z1571)&lt;=0,$AB1571=""),0,IFERROR(LOOKUP(2,1/((거래처별!$AC$8:$AC$307&lt;&gt;"")*ISNUMBER(SEARCH(거래처별!$AC$8:$AC$307,$AB1571))),거래처별!$A$8:$A$307),IFERROR(LOOKUP(2,1/((거래처별!$AD$8:$AD$307&lt;&gt;"")*ISNUMBER(SEARCH(거래처별!$AD$8:$AD$307,$AB1571))),거래처별!$A$8:$A$307),IFERROR(LOOKUP(2,1/((거래처별!$AE$8:$AE$307&lt;&gt;"")*ISNUMBER(SEARCH(거래처별!$AE$8:$AE$307,$AB1571))),거래처별!$A$8:$A$307),0))))</f>
        <v/>
      </c>
      <c r="AD1571" s="31">
        <f>IF(AND($Y1571&lt;&gt;"",N($Z1571)&gt;0,$AC1571=0),MAX($AD$7:$AD1570)+1,"")</f>
        <v/>
      </c>
      <c r="AE1571" s="31">
        <f>IF($Y1571="",0,$Y1571)</f>
        <v/>
      </c>
    </row>
    <row r="1572">
      <c r="W1572" s="31">
        <f>IF(OR($B$5="",$C$6="",ROW()&lt;$B$5),"",IF(INDEX($A:$U,ROW(),$C$6)="","",INDEX($A:$U,ROW(),$C$6)))</f>
        <v/>
      </c>
      <c r="X1572" s="32">
        <f>IF($W1572="","",IF(ISNUMBER($W1572),IF($W1572&gt;=10000000,IFERROR(DATE(INT($W1572/10000),MOD(INT($W1572/100),100),MOD($W1572,100)),""),INT($W1572)),IFERROR(DATE(--LEFT(LEFT(SUBSTITUTE(SUBSTITUTE(SUBSTITUTE(SUBSTITUTE(TRIM($W1572),"-",""),".",""),"/","")," ",""),8),4),--MID(LEFT(SUBSTITUTE(SUBSTITUTE(SUBSTITUTE(SUBSTITUTE(TRIM($W1572),"-",""),".",""),"/","")," ",""),8),5,2),--MID(LEFT(SUBSTITUTE(SUBSTITUTE(SUBSTITUTE(SUBSTITUTE(TRIM($W1572),"-",""),".",""),"/","")," ",""),8),7,2)),"")))</f>
        <v/>
      </c>
      <c r="Y1572" s="32">
        <f>IF($X1572="","",INT($X1572))</f>
        <v/>
      </c>
      <c r="Z1572" s="33">
        <f>IF(OR($Y1572="",$D$6=""),"",IF(INDEX($A:$U,ROW(),$D$6)="",0,IF(ISNUMBER(INDEX($A:$U,ROW(),$D$6)),INDEX($A:$U,ROW(),$D$6),IFERROR(--SUBSTITUTE(SUBSTITUTE(TRIM(INDEX($A:$U,ROW(),$D$6)),",",""),"원",""),0))))</f>
        <v/>
      </c>
      <c r="AA1572" s="31">
        <f>IF($Y1572="","",TRIM(INDEX($A:$U,ROW(),$E$6)&amp;IF($F$6="",""," "&amp;INDEX($A:$U,ROW(),$F$6))))</f>
        <v/>
      </c>
      <c r="AB1572" s="31">
        <f>IF($AA1572="","",SUBSTITUTE(SUBSTITUTE(SUBSTITUTE(SUBSTITUTE(SUBSTITUTE(SUBSTITUTE(SUBSTITUTE(SUBSTITUTE(SUBSTITUTE($AA1572," ",""),"　",""),"(주)",""),"（주）",""),"㈜",""),"주식회사",""),"(유)",""),"（유）",""),"유한회사",""))</f>
        <v/>
      </c>
      <c r="AC1572" s="31">
        <f>IF(OR($Y1572="",N($Z1572)&lt;=0,$AB1572=""),0,IFERROR(LOOKUP(2,1/((거래처별!$AC$8:$AC$307&lt;&gt;"")*ISNUMBER(SEARCH(거래처별!$AC$8:$AC$307,$AB1572))),거래처별!$A$8:$A$307),IFERROR(LOOKUP(2,1/((거래처별!$AD$8:$AD$307&lt;&gt;"")*ISNUMBER(SEARCH(거래처별!$AD$8:$AD$307,$AB1572))),거래처별!$A$8:$A$307),IFERROR(LOOKUP(2,1/((거래처별!$AE$8:$AE$307&lt;&gt;"")*ISNUMBER(SEARCH(거래처별!$AE$8:$AE$307,$AB1572))),거래처별!$A$8:$A$307),0))))</f>
        <v/>
      </c>
      <c r="AD1572" s="31">
        <f>IF(AND($Y1572&lt;&gt;"",N($Z1572)&gt;0,$AC1572=0),MAX($AD$7:$AD1571)+1,"")</f>
        <v/>
      </c>
      <c r="AE1572" s="31">
        <f>IF($Y1572="",0,$Y1572)</f>
        <v/>
      </c>
    </row>
    <row r="1573">
      <c r="W1573" s="31">
        <f>IF(OR($B$5="",$C$6="",ROW()&lt;$B$5),"",IF(INDEX($A:$U,ROW(),$C$6)="","",INDEX($A:$U,ROW(),$C$6)))</f>
        <v/>
      </c>
      <c r="X1573" s="32">
        <f>IF($W1573="","",IF(ISNUMBER($W1573),IF($W1573&gt;=10000000,IFERROR(DATE(INT($W1573/10000),MOD(INT($W1573/100),100),MOD($W1573,100)),""),INT($W1573)),IFERROR(DATE(--LEFT(LEFT(SUBSTITUTE(SUBSTITUTE(SUBSTITUTE(SUBSTITUTE(TRIM($W1573),"-",""),".",""),"/","")," ",""),8),4),--MID(LEFT(SUBSTITUTE(SUBSTITUTE(SUBSTITUTE(SUBSTITUTE(TRIM($W1573),"-",""),".",""),"/","")," ",""),8),5,2),--MID(LEFT(SUBSTITUTE(SUBSTITUTE(SUBSTITUTE(SUBSTITUTE(TRIM($W1573),"-",""),".",""),"/","")," ",""),8),7,2)),"")))</f>
        <v/>
      </c>
      <c r="Y1573" s="32">
        <f>IF($X1573="","",INT($X1573))</f>
        <v/>
      </c>
      <c r="Z1573" s="33">
        <f>IF(OR($Y1573="",$D$6=""),"",IF(INDEX($A:$U,ROW(),$D$6)="",0,IF(ISNUMBER(INDEX($A:$U,ROW(),$D$6)),INDEX($A:$U,ROW(),$D$6),IFERROR(--SUBSTITUTE(SUBSTITUTE(TRIM(INDEX($A:$U,ROW(),$D$6)),",",""),"원",""),0))))</f>
        <v/>
      </c>
      <c r="AA1573" s="31">
        <f>IF($Y1573="","",TRIM(INDEX($A:$U,ROW(),$E$6)&amp;IF($F$6="",""," "&amp;INDEX($A:$U,ROW(),$F$6))))</f>
        <v/>
      </c>
      <c r="AB1573" s="31">
        <f>IF($AA1573="","",SUBSTITUTE(SUBSTITUTE(SUBSTITUTE(SUBSTITUTE(SUBSTITUTE(SUBSTITUTE(SUBSTITUTE(SUBSTITUTE(SUBSTITUTE($AA1573," ",""),"　",""),"(주)",""),"（주）",""),"㈜",""),"주식회사",""),"(유)",""),"（유）",""),"유한회사",""))</f>
        <v/>
      </c>
      <c r="AC1573" s="31">
        <f>IF(OR($Y1573="",N($Z1573)&lt;=0,$AB1573=""),0,IFERROR(LOOKUP(2,1/((거래처별!$AC$8:$AC$307&lt;&gt;"")*ISNUMBER(SEARCH(거래처별!$AC$8:$AC$307,$AB1573))),거래처별!$A$8:$A$307),IFERROR(LOOKUP(2,1/((거래처별!$AD$8:$AD$307&lt;&gt;"")*ISNUMBER(SEARCH(거래처별!$AD$8:$AD$307,$AB1573))),거래처별!$A$8:$A$307),IFERROR(LOOKUP(2,1/((거래처별!$AE$8:$AE$307&lt;&gt;"")*ISNUMBER(SEARCH(거래처별!$AE$8:$AE$307,$AB1573))),거래처별!$A$8:$A$307),0))))</f>
        <v/>
      </c>
      <c r="AD1573" s="31">
        <f>IF(AND($Y1573&lt;&gt;"",N($Z1573)&gt;0,$AC1573=0),MAX($AD$7:$AD1572)+1,"")</f>
        <v/>
      </c>
      <c r="AE1573" s="31">
        <f>IF($Y1573="",0,$Y1573)</f>
        <v/>
      </c>
    </row>
    <row r="1574">
      <c r="W1574" s="31">
        <f>IF(OR($B$5="",$C$6="",ROW()&lt;$B$5),"",IF(INDEX($A:$U,ROW(),$C$6)="","",INDEX($A:$U,ROW(),$C$6)))</f>
        <v/>
      </c>
      <c r="X1574" s="32">
        <f>IF($W1574="","",IF(ISNUMBER($W1574),IF($W1574&gt;=10000000,IFERROR(DATE(INT($W1574/10000),MOD(INT($W1574/100),100),MOD($W1574,100)),""),INT($W1574)),IFERROR(DATE(--LEFT(LEFT(SUBSTITUTE(SUBSTITUTE(SUBSTITUTE(SUBSTITUTE(TRIM($W1574),"-",""),".",""),"/","")," ",""),8),4),--MID(LEFT(SUBSTITUTE(SUBSTITUTE(SUBSTITUTE(SUBSTITUTE(TRIM($W1574),"-",""),".",""),"/","")," ",""),8),5,2),--MID(LEFT(SUBSTITUTE(SUBSTITUTE(SUBSTITUTE(SUBSTITUTE(TRIM($W1574),"-",""),".",""),"/","")," ",""),8),7,2)),"")))</f>
        <v/>
      </c>
      <c r="Y1574" s="32">
        <f>IF($X1574="","",INT($X1574))</f>
        <v/>
      </c>
      <c r="Z1574" s="33">
        <f>IF(OR($Y1574="",$D$6=""),"",IF(INDEX($A:$U,ROW(),$D$6)="",0,IF(ISNUMBER(INDEX($A:$U,ROW(),$D$6)),INDEX($A:$U,ROW(),$D$6),IFERROR(--SUBSTITUTE(SUBSTITUTE(TRIM(INDEX($A:$U,ROW(),$D$6)),",",""),"원",""),0))))</f>
        <v/>
      </c>
      <c r="AA1574" s="31">
        <f>IF($Y1574="","",TRIM(INDEX($A:$U,ROW(),$E$6)&amp;IF($F$6="",""," "&amp;INDEX($A:$U,ROW(),$F$6))))</f>
        <v/>
      </c>
      <c r="AB1574" s="31">
        <f>IF($AA1574="","",SUBSTITUTE(SUBSTITUTE(SUBSTITUTE(SUBSTITUTE(SUBSTITUTE(SUBSTITUTE(SUBSTITUTE(SUBSTITUTE(SUBSTITUTE($AA1574," ",""),"　",""),"(주)",""),"（주）",""),"㈜",""),"주식회사",""),"(유)",""),"（유）",""),"유한회사",""))</f>
        <v/>
      </c>
      <c r="AC1574" s="31">
        <f>IF(OR($Y1574="",N($Z1574)&lt;=0,$AB1574=""),0,IFERROR(LOOKUP(2,1/((거래처별!$AC$8:$AC$307&lt;&gt;"")*ISNUMBER(SEARCH(거래처별!$AC$8:$AC$307,$AB1574))),거래처별!$A$8:$A$307),IFERROR(LOOKUP(2,1/((거래처별!$AD$8:$AD$307&lt;&gt;"")*ISNUMBER(SEARCH(거래처별!$AD$8:$AD$307,$AB1574))),거래처별!$A$8:$A$307),IFERROR(LOOKUP(2,1/((거래처별!$AE$8:$AE$307&lt;&gt;"")*ISNUMBER(SEARCH(거래처별!$AE$8:$AE$307,$AB1574))),거래처별!$A$8:$A$307),0))))</f>
        <v/>
      </c>
      <c r="AD1574" s="31">
        <f>IF(AND($Y1574&lt;&gt;"",N($Z1574)&gt;0,$AC1574=0),MAX($AD$7:$AD1573)+1,"")</f>
        <v/>
      </c>
      <c r="AE1574" s="31">
        <f>IF($Y1574="",0,$Y1574)</f>
        <v/>
      </c>
    </row>
    <row r="1575">
      <c r="W1575" s="31">
        <f>IF(OR($B$5="",$C$6="",ROW()&lt;$B$5),"",IF(INDEX($A:$U,ROW(),$C$6)="","",INDEX($A:$U,ROW(),$C$6)))</f>
        <v/>
      </c>
      <c r="X1575" s="32">
        <f>IF($W1575="","",IF(ISNUMBER($W1575),IF($W1575&gt;=10000000,IFERROR(DATE(INT($W1575/10000),MOD(INT($W1575/100),100),MOD($W1575,100)),""),INT($W1575)),IFERROR(DATE(--LEFT(LEFT(SUBSTITUTE(SUBSTITUTE(SUBSTITUTE(SUBSTITUTE(TRIM($W1575),"-",""),".",""),"/","")," ",""),8),4),--MID(LEFT(SUBSTITUTE(SUBSTITUTE(SUBSTITUTE(SUBSTITUTE(TRIM($W1575),"-",""),".",""),"/","")," ",""),8),5,2),--MID(LEFT(SUBSTITUTE(SUBSTITUTE(SUBSTITUTE(SUBSTITUTE(TRIM($W1575),"-",""),".",""),"/","")," ",""),8),7,2)),"")))</f>
        <v/>
      </c>
      <c r="Y1575" s="32">
        <f>IF($X1575="","",INT($X1575))</f>
        <v/>
      </c>
      <c r="Z1575" s="33">
        <f>IF(OR($Y1575="",$D$6=""),"",IF(INDEX($A:$U,ROW(),$D$6)="",0,IF(ISNUMBER(INDEX($A:$U,ROW(),$D$6)),INDEX($A:$U,ROW(),$D$6),IFERROR(--SUBSTITUTE(SUBSTITUTE(TRIM(INDEX($A:$U,ROW(),$D$6)),",",""),"원",""),0))))</f>
        <v/>
      </c>
      <c r="AA1575" s="31">
        <f>IF($Y1575="","",TRIM(INDEX($A:$U,ROW(),$E$6)&amp;IF($F$6="",""," "&amp;INDEX($A:$U,ROW(),$F$6))))</f>
        <v/>
      </c>
      <c r="AB1575" s="31">
        <f>IF($AA1575="","",SUBSTITUTE(SUBSTITUTE(SUBSTITUTE(SUBSTITUTE(SUBSTITUTE(SUBSTITUTE(SUBSTITUTE(SUBSTITUTE(SUBSTITUTE($AA1575," ",""),"　",""),"(주)",""),"（주）",""),"㈜",""),"주식회사",""),"(유)",""),"（유）",""),"유한회사",""))</f>
        <v/>
      </c>
      <c r="AC1575" s="31">
        <f>IF(OR($Y1575="",N($Z1575)&lt;=0,$AB1575=""),0,IFERROR(LOOKUP(2,1/((거래처별!$AC$8:$AC$307&lt;&gt;"")*ISNUMBER(SEARCH(거래처별!$AC$8:$AC$307,$AB1575))),거래처별!$A$8:$A$307),IFERROR(LOOKUP(2,1/((거래처별!$AD$8:$AD$307&lt;&gt;"")*ISNUMBER(SEARCH(거래처별!$AD$8:$AD$307,$AB1575))),거래처별!$A$8:$A$307),IFERROR(LOOKUP(2,1/((거래처별!$AE$8:$AE$307&lt;&gt;"")*ISNUMBER(SEARCH(거래처별!$AE$8:$AE$307,$AB1575))),거래처별!$A$8:$A$307),0))))</f>
        <v/>
      </c>
      <c r="AD1575" s="31">
        <f>IF(AND($Y1575&lt;&gt;"",N($Z1575)&gt;0,$AC1575=0),MAX($AD$7:$AD1574)+1,"")</f>
        <v/>
      </c>
      <c r="AE1575" s="31">
        <f>IF($Y1575="",0,$Y1575)</f>
        <v/>
      </c>
    </row>
    <row r="1576">
      <c r="W1576" s="31">
        <f>IF(OR($B$5="",$C$6="",ROW()&lt;$B$5),"",IF(INDEX($A:$U,ROW(),$C$6)="","",INDEX($A:$U,ROW(),$C$6)))</f>
        <v/>
      </c>
      <c r="X1576" s="32">
        <f>IF($W1576="","",IF(ISNUMBER($W1576),IF($W1576&gt;=10000000,IFERROR(DATE(INT($W1576/10000),MOD(INT($W1576/100),100),MOD($W1576,100)),""),INT($W1576)),IFERROR(DATE(--LEFT(LEFT(SUBSTITUTE(SUBSTITUTE(SUBSTITUTE(SUBSTITUTE(TRIM($W1576),"-",""),".",""),"/","")," ",""),8),4),--MID(LEFT(SUBSTITUTE(SUBSTITUTE(SUBSTITUTE(SUBSTITUTE(TRIM($W1576),"-",""),".",""),"/","")," ",""),8),5,2),--MID(LEFT(SUBSTITUTE(SUBSTITUTE(SUBSTITUTE(SUBSTITUTE(TRIM($W1576),"-",""),".",""),"/","")," ",""),8),7,2)),"")))</f>
        <v/>
      </c>
      <c r="Y1576" s="32">
        <f>IF($X1576="","",INT($X1576))</f>
        <v/>
      </c>
      <c r="Z1576" s="33">
        <f>IF(OR($Y1576="",$D$6=""),"",IF(INDEX($A:$U,ROW(),$D$6)="",0,IF(ISNUMBER(INDEX($A:$U,ROW(),$D$6)),INDEX($A:$U,ROW(),$D$6),IFERROR(--SUBSTITUTE(SUBSTITUTE(TRIM(INDEX($A:$U,ROW(),$D$6)),",",""),"원",""),0))))</f>
        <v/>
      </c>
      <c r="AA1576" s="31">
        <f>IF($Y1576="","",TRIM(INDEX($A:$U,ROW(),$E$6)&amp;IF($F$6="",""," "&amp;INDEX($A:$U,ROW(),$F$6))))</f>
        <v/>
      </c>
      <c r="AB1576" s="31">
        <f>IF($AA1576="","",SUBSTITUTE(SUBSTITUTE(SUBSTITUTE(SUBSTITUTE(SUBSTITUTE(SUBSTITUTE(SUBSTITUTE(SUBSTITUTE(SUBSTITUTE($AA1576," ",""),"　",""),"(주)",""),"（주）",""),"㈜",""),"주식회사",""),"(유)",""),"（유）",""),"유한회사",""))</f>
        <v/>
      </c>
      <c r="AC1576" s="31">
        <f>IF(OR($Y1576="",N($Z1576)&lt;=0,$AB1576=""),0,IFERROR(LOOKUP(2,1/((거래처별!$AC$8:$AC$307&lt;&gt;"")*ISNUMBER(SEARCH(거래처별!$AC$8:$AC$307,$AB1576))),거래처별!$A$8:$A$307),IFERROR(LOOKUP(2,1/((거래처별!$AD$8:$AD$307&lt;&gt;"")*ISNUMBER(SEARCH(거래처별!$AD$8:$AD$307,$AB1576))),거래처별!$A$8:$A$307),IFERROR(LOOKUP(2,1/((거래처별!$AE$8:$AE$307&lt;&gt;"")*ISNUMBER(SEARCH(거래처별!$AE$8:$AE$307,$AB1576))),거래처별!$A$8:$A$307),0))))</f>
        <v/>
      </c>
      <c r="AD1576" s="31">
        <f>IF(AND($Y1576&lt;&gt;"",N($Z1576)&gt;0,$AC1576=0),MAX($AD$7:$AD1575)+1,"")</f>
        <v/>
      </c>
      <c r="AE1576" s="31">
        <f>IF($Y1576="",0,$Y1576)</f>
        <v/>
      </c>
    </row>
    <row r="1577">
      <c r="W1577" s="31">
        <f>IF(OR($B$5="",$C$6="",ROW()&lt;$B$5),"",IF(INDEX($A:$U,ROW(),$C$6)="","",INDEX($A:$U,ROW(),$C$6)))</f>
        <v/>
      </c>
      <c r="X1577" s="32">
        <f>IF($W1577="","",IF(ISNUMBER($W1577),IF($W1577&gt;=10000000,IFERROR(DATE(INT($W1577/10000),MOD(INT($W1577/100),100),MOD($W1577,100)),""),INT($W1577)),IFERROR(DATE(--LEFT(LEFT(SUBSTITUTE(SUBSTITUTE(SUBSTITUTE(SUBSTITUTE(TRIM($W1577),"-",""),".",""),"/","")," ",""),8),4),--MID(LEFT(SUBSTITUTE(SUBSTITUTE(SUBSTITUTE(SUBSTITUTE(TRIM($W1577),"-",""),".",""),"/","")," ",""),8),5,2),--MID(LEFT(SUBSTITUTE(SUBSTITUTE(SUBSTITUTE(SUBSTITUTE(TRIM($W1577),"-",""),".",""),"/","")," ",""),8),7,2)),"")))</f>
        <v/>
      </c>
      <c r="Y1577" s="32">
        <f>IF($X1577="","",INT($X1577))</f>
        <v/>
      </c>
      <c r="Z1577" s="33">
        <f>IF(OR($Y1577="",$D$6=""),"",IF(INDEX($A:$U,ROW(),$D$6)="",0,IF(ISNUMBER(INDEX($A:$U,ROW(),$D$6)),INDEX($A:$U,ROW(),$D$6),IFERROR(--SUBSTITUTE(SUBSTITUTE(TRIM(INDEX($A:$U,ROW(),$D$6)),",",""),"원",""),0))))</f>
        <v/>
      </c>
      <c r="AA1577" s="31">
        <f>IF($Y1577="","",TRIM(INDEX($A:$U,ROW(),$E$6)&amp;IF($F$6="",""," "&amp;INDEX($A:$U,ROW(),$F$6))))</f>
        <v/>
      </c>
      <c r="AB1577" s="31">
        <f>IF($AA1577="","",SUBSTITUTE(SUBSTITUTE(SUBSTITUTE(SUBSTITUTE(SUBSTITUTE(SUBSTITUTE(SUBSTITUTE(SUBSTITUTE(SUBSTITUTE($AA1577," ",""),"　",""),"(주)",""),"（주）",""),"㈜",""),"주식회사",""),"(유)",""),"（유）",""),"유한회사",""))</f>
        <v/>
      </c>
      <c r="AC1577" s="31">
        <f>IF(OR($Y1577="",N($Z1577)&lt;=0,$AB1577=""),0,IFERROR(LOOKUP(2,1/((거래처별!$AC$8:$AC$307&lt;&gt;"")*ISNUMBER(SEARCH(거래처별!$AC$8:$AC$307,$AB1577))),거래처별!$A$8:$A$307),IFERROR(LOOKUP(2,1/((거래처별!$AD$8:$AD$307&lt;&gt;"")*ISNUMBER(SEARCH(거래처별!$AD$8:$AD$307,$AB1577))),거래처별!$A$8:$A$307),IFERROR(LOOKUP(2,1/((거래처별!$AE$8:$AE$307&lt;&gt;"")*ISNUMBER(SEARCH(거래처별!$AE$8:$AE$307,$AB1577))),거래처별!$A$8:$A$307),0))))</f>
        <v/>
      </c>
      <c r="AD1577" s="31">
        <f>IF(AND($Y1577&lt;&gt;"",N($Z1577)&gt;0,$AC1577=0),MAX($AD$7:$AD1576)+1,"")</f>
        <v/>
      </c>
      <c r="AE1577" s="31">
        <f>IF($Y1577="",0,$Y1577)</f>
        <v/>
      </c>
    </row>
    <row r="1578">
      <c r="W1578" s="31">
        <f>IF(OR($B$5="",$C$6="",ROW()&lt;$B$5),"",IF(INDEX($A:$U,ROW(),$C$6)="","",INDEX($A:$U,ROW(),$C$6)))</f>
        <v/>
      </c>
      <c r="X1578" s="32">
        <f>IF($W1578="","",IF(ISNUMBER($W1578),IF($W1578&gt;=10000000,IFERROR(DATE(INT($W1578/10000),MOD(INT($W1578/100),100),MOD($W1578,100)),""),INT($W1578)),IFERROR(DATE(--LEFT(LEFT(SUBSTITUTE(SUBSTITUTE(SUBSTITUTE(SUBSTITUTE(TRIM($W1578),"-",""),".",""),"/","")," ",""),8),4),--MID(LEFT(SUBSTITUTE(SUBSTITUTE(SUBSTITUTE(SUBSTITUTE(TRIM($W1578),"-",""),".",""),"/","")," ",""),8),5,2),--MID(LEFT(SUBSTITUTE(SUBSTITUTE(SUBSTITUTE(SUBSTITUTE(TRIM($W1578),"-",""),".",""),"/","")," ",""),8),7,2)),"")))</f>
        <v/>
      </c>
      <c r="Y1578" s="32">
        <f>IF($X1578="","",INT($X1578))</f>
        <v/>
      </c>
      <c r="Z1578" s="33">
        <f>IF(OR($Y1578="",$D$6=""),"",IF(INDEX($A:$U,ROW(),$D$6)="",0,IF(ISNUMBER(INDEX($A:$U,ROW(),$D$6)),INDEX($A:$U,ROW(),$D$6),IFERROR(--SUBSTITUTE(SUBSTITUTE(TRIM(INDEX($A:$U,ROW(),$D$6)),",",""),"원",""),0))))</f>
        <v/>
      </c>
      <c r="AA1578" s="31">
        <f>IF($Y1578="","",TRIM(INDEX($A:$U,ROW(),$E$6)&amp;IF($F$6="",""," "&amp;INDEX($A:$U,ROW(),$F$6))))</f>
        <v/>
      </c>
      <c r="AB1578" s="31">
        <f>IF($AA1578="","",SUBSTITUTE(SUBSTITUTE(SUBSTITUTE(SUBSTITUTE(SUBSTITUTE(SUBSTITUTE(SUBSTITUTE(SUBSTITUTE(SUBSTITUTE($AA1578," ",""),"　",""),"(주)",""),"（주）",""),"㈜",""),"주식회사",""),"(유)",""),"（유）",""),"유한회사",""))</f>
        <v/>
      </c>
      <c r="AC1578" s="31">
        <f>IF(OR($Y1578="",N($Z1578)&lt;=0,$AB1578=""),0,IFERROR(LOOKUP(2,1/((거래처별!$AC$8:$AC$307&lt;&gt;"")*ISNUMBER(SEARCH(거래처별!$AC$8:$AC$307,$AB1578))),거래처별!$A$8:$A$307),IFERROR(LOOKUP(2,1/((거래처별!$AD$8:$AD$307&lt;&gt;"")*ISNUMBER(SEARCH(거래처별!$AD$8:$AD$307,$AB1578))),거래처별!$A$8:$A$307),IFERROR(LOOKUP(2,1/((거래처별!$AE$8:$AE$307&lt;&gt;"")*ISNUMBER(SEARCH(거래처별!$AE$8:$AE$307,$AB1578))),거래처별!$A$8:$A$307),0))))</f>
        <v/>
      </c>
      <c r="AD1578" s="31">
        <f>IF(AND($Y1578&lt;&gt;"",N($Z1578)&gt;0,$AC1578=0),MAX($AD$7:$AD1577)+1,"")</f>
        <v/>
      </c>
      <c r="AE1578" s="31">
        <f>IF($Y1578="",0,$Y1578)</f>
        <v/>
      </c>
    </row>
    <row r="1579">
      <c r="W1579" s="31">
        <f>IF(OR($B$5="",$C$6="",ROW()&lt;$B$5),"",IF(INDEX($A:$U,ROW(),$C$6)="","",INDEX($A:$U,ROW(),$C$6)))</f>
        <v/>
      </c>
      <c r="X1579" s="32">
        <f>IF($W1579="","",IF(ISNUMBER($W1579),IF($W1579&gt;=10000000,IFERROR(DATE(INT($W1579/10000),MOD(INT($W1579/100),100),MOD($W1579,100)),""),INT($W1579)),IFERROR(DATE(--LEFT(LEFT(SUBSTITUTE(SUBSTITUTE(SUBSTITUTE(SUBSTITUTE(TRIM($W1579),"-",""),".",""),"/","")," ",""),8),4),--MID(LEFT(SUBSTITUTE(SUBSTITUTE(SUBSTITUTE(SUBSTITUTE(TRIM($W1579),"-",""),".",""),"/","")," ",""),8),5,2),--MID(LEFT(SUBSTITUTE(SUBSTITUTE(SUBSTITUTE(SUBSTITUTE(TRIM($W1579),"-",""),".",""),"/","")," ",""),8),7,2)),"")))</f>
        <v/>
      </c>
      <c r="Y1579" s="32">
        <f>IF($X1579="","",INT($X1579))</f>
        <v/>
      </c>
      <c r="Z1579" s="33">
        <f>IF(OR($Y1579="",$D$6=""),"",IF(INDEX($A:$U,ROW(),$D$6)="",0,IF(ISNUMBER(INDEX($A:$U,ROW(),$D$6)),INDEX($A:$U,ROW(),$D$6),IFERROR(--SUBSTITUTE(SUBSTITUTE(TRIM(INDEX($A:$U,ROW(),$D$6)),",",""),"원",""),0))))</f>
        <v/>
      </c>
      <c r="AA1579" s="31">
        <f>IF($Y1579="","",TRIM(INDEX($A:$U,ROW(),$E$6)&amp;IF($F$6="",""," "&amp;INDEX($A:$U,ROW(),$F$6))))</f>
        <v/>
      </c>
      <c r="AB1579" s="31">
        <f>IF($AA1579="","",SUBSTITUTE(SUBSTITUTE(SUBSTITUTE(SUBSTITUTE(SUBSTITUTE(SUBSTITUTE(SUBSTITUTE(SUBSTITUTE(SUBSTITUTE($AA1579," ",""),"　",""),"(주)",""),"（주）",""),"㈜",""),"주식회사",""),"(유)",""),"（유）",""),"유한회사",""))</f>
        <v/>
      </c>
      <c r="AC1579" s="31">
        <f>IF(OR($Y1579="",N($Z1579)&lt;=0,$AB1579=""),0,IFERROR(LOOKUP(2,1/((거래처별!$AC$8:$AC$307&lt;&gt;"")*ISNUMBER(SEARCH(거래처별!$AC$8:$AC$307,$AB1579))),거래처별!$A$8:$A$307),IFERROR(LOOKUP(2,1/((거래처별!$AD$8:$AD$307&lt;&gt;"")*ISNUMBER(SEARCH(거래처별!$AD$8:$AD$307,$AB1579))),거래처별!$A$8:$A$307),IFERROR(LOOKUP(2,1/((거래처별!$AE$8:$AE$307&lt;&gt;"")*ISNUMBER(SEARCH(거래처별!$AE$8:$AE$307,$AB1579))),거래처별!$A$8:$A$307),0))))</f>
        <v/>
      </c>
      <c r="AD1579" s="31">
        <f>IF(AND($Y1579&lt;&gt;"",N($Z1579)&gt;0,$AC1579=0),MAX($AD$7:$AD1578)+1,"")</f>
        <v/>
      </c>
      <c r="AE1579" s="31">
        <f>IF($Y1579="",0,$Y1579)</f>
        <v/>
      </c>
    </row>
    <row r="1580">
      <c r="W1580" s="31">
        <f>IF(OR($B$5="",$C$6="",ROW()&lt;$B$5),"",IF(INDEX($A:$U,ROW(),$C$6)="","",INDEX($A:$U,ROW(),$C$6)))</f>
        <v/>
      </c>
      <c r="X1580" s="32">
        <f>IF($W1580="","",IF(ISNUMBER($W1580),IF($W1580&gt;=10000000,IFERROR(DATE(INT($W1580/10000),MOD(INT($W1580/100),100),MOD($W1580,100)),""),INT($W1580)),IFERROR(DATE(--LEFT(LEFT(SUBSTITUTE(SUBSTITUTE(SUBSTITUTE(SUBSTITUTE(TRIM($W1580),"-",""),".",""),"/","")," ",""),8),4),--MID(LEFT(SUBSTITUTE(SUBSTITUTE(SUBSTITUTE(SUBSTITUTE(TRIM($W1580),"-",""),".",""),"/","")," ",""),8),5,2),--MID(LEFT(SUBSTITUTE(SUBSTITUTE(SUBSTITUTE(SUBSTITUTE(TRIM($W1580),"-",""),".",""),"/","")," ",""),8),7,2)),"")))</f>
        <v/>
      </c>
      <c r="Y1580" s="32">
        <f>IF($X1580="","",INT($X1580))</f>
        <v/>
      </c>
      <c r="Z1580" s="33">
        <f>IF(OR($Y1580="",$D$6=""),"",IF(INDEX($A:$U,ROW(),$D$6)="",0,IF(ISNUMBER(INDEX($A:$U,ROW(),$D$6)),INDEX($A:$U,ROW(),$D$6),IFERROR(--SUBSTITUTE(SUBSTITUTE(TRIM(INDEX($A:$U,ROW(),$D$6)),",",""),"원",""),0))))</f>
        <v/>
      </c>
      <c r="AA1580" s="31">
        <f>IF($Y1580="","",TRIM(INDEX($A:$U,ROW(),$E$6)&amp;IF($F$6="",""," "&amp;INDEX($A:$U,ROW(),$F$6))))</f>
        <v/>
      </c>
      <c r="AB1580" s="31">
        <f>IF($AA1580="","",SUBSTITUTE(SUBSTITUTE(SUBSTITUTE(SUBSTITUTE(SUBSTITUTE(SUBSTITUTE(SUBSTITUTE(SUBSTITUTE(SUBSTITUTE($AA1580," ",""),"　",""),"(주)",""),"（주）",""),"㈜",""),"주식회사",""),"(유)",""),"（유）",""),"유한회사",""))</f>
        <v/>
      </c>
      <c r="AC1580" s="31">
        <f>IF(OR($Y1580="",N($Z1580)&lt;=0,$AB1580=""),0,IFERROR(LOOKUP(2,1/((거래처별!$AC$8:$AC$307&lt;&gt;"")*ISNUMBER(SEARCH(거래처별!$AC$8:$AC$307,$AB1580))),거래처별!$A$8:$A$307),IFERROR(LOOKUP(2,1/((거래처별!$AD$8:$AD$307&lt;&gt;"")*ISNUMBER(SEARCH(거래처별!$AD$8:$AD$307,$AB1580))),거래처별!$A$8:$A$307),IFERROR(LOOKUP(2,1/((거래처별!$AE$8:$AE$307&lt;&gt;"")*ISNUMBER(SEARCH(거래처별!$AE$8:$AE$307,$AB1580))),거래처별!$A$8:$A$307),0))))</f>
        <v/>
      </c>
      <c r="AD1580" s="31">
        <f>IF(AND($Y1580&lt;&gt;"",N($Z1580)&gt;0,$AC1580=0),MAX($AD$7:$AD1579)+1,"")</f>
        <v/>
      </c>
      <c r="AE1580" s="31">
        <f>IF($Y1580="",0,$Y1580)</f>
        <v/>
      </c>
    </row>
    <row r="1581">
      <c r="W1581" s="31">
        <f>IF(OR($B$5="",$C$6="",ROW()&lt;$B$5),"",IF(INDEX($A:$U,ROW(),$C$6)="","",INDEX($A:$U,ROW(),$C$6)))</f>
        <v/>
      </c>
      <c r="X1581" s="32">
        <f>IF($W1581="","",IF(ISNUMBER($W1581),IF($W1581&gt;=10000000,IFERROR(DATE(INT($W1581/10000),MOD(INT($W1581/100),100),MOD($W1581,100)),""),INT($W1581)),IFERROR(DATE(--LEFT(LEFT(SUBSTITUTE(SUBSTITUTE(SUBSTITUTE(SUBSTITUTE(TRIM($W1581),"-",""),".",""),"/","")," ",""),8),4),--MID(LEFT(SUBSTITUTE(SUBSTITUTE(SUBSTITUTE(SUBSTITUTE(TRIM($W1581),"-",""),".",""),"/","")," ",""),8),5,2),--MID(LEFT(SUBSTITUTE(SUBSTITUTE(SUBSTITUTE(SUBSTITUTE(TRIM($W1581),"-",""),".",""),"/","")," ",""),8),7,2)),"")))</f>
        <v/>
      </c>
      <c r="Y1581" s="32">
        <f>IF($X1581="","",INT($X1581))</f>
        <v/>
      </c>
      <c r="Z1581" s="33">
        <f>IF(OR($Y1581="",$D$6=""),"",IF(INDEX($A:$U,ROW(),$D$6)="",0,IF(ISNUMBER(INDEX($A:$U,ROW(),$D$6)),INDEX($A:$U,ROW(),$D$6),IFERROR(--SUBSTITUTE(SUBSTITUTE(TRIM(INDEX($A:$U,ROW(),$D$6)),",",""),"원",""),0))))</f>
        <v/>
      </c>
      <c r="AA1581" s="31">
        <f>IF($Y1581="","",TRIM(INDEX($A:$U,ROW(),$E$6)&amp;IF($F$6="",""," "&amp;INDEX($A:$U,ROW(),$F$6))))</f>
        <v/>
      </c>
      <c r="AB1581" s="31">
        <f>IF($AA1581="","",SUBSTITUTE(SUBSTITUTE(SUBSTITUTE(SUBSTITUTE(SUBSTITUTE(SUBSTITUTE(SUBSTITUTE(SUBSTITUTE(SUBSTITUTE($AA1581," ",""),"　",""),"(주)",""),"（주）",""),"㈜",""),"주식회사",""),"(유)",""),"（유）",""),"유한회사",""))</f>
        <v/>
      </c>
      <c r="AC1581" s="31">
        <f>IF(OR($Y1581="",N($Z1581)&lt;=0,$AB1581=""),0,IFERROR(LOOKUP(2,1/((거래처별!$AC$8:$AC$307&lt;&gt;"")*ISNUMBER(SEARCH(거래처별!$AC$8:$AC$307,$AB1581))),거래처별!$A$8:$A$307),IFERROR(LOOKUP(2,1/((거래처별!$AD$8:$AD$307&lt;&gt;"")*ISNUMBER(SEARCH(거래처별!$AD$8:$AD$307,$AB1581))),거래처별!$A$8:$A$307),IFERROR(LOOKUP(2,1/((거래처별!$AE$8:$AE$307&lt;&gt;"")*ISNUMBER(SEARCH(거래처별!$AE$8:$AE$307,$AB1581))),거래처별!$A$8:$A$307),0))))</f>
        <v/>
      </c>
      <c r="AD1581" s="31">
        <f>IF(AND($Y1581&lt;&gt;"",N($Z1581)&gt;0,$AC1581=0),MAX($AD$7:$AD1580)+1,"")</f>
        <v/>
      </c>
      <c r="AE1581" s="31">
        <f>IF($Y1581="",0,$Y1581)</f>
        <v/>
      </c>
    </row>
    <row r="1582">
      <c r="W1582" s="31">
        <f>IF(OR($B$5="",$C$6="",ROW()&lt;$B$5),"",IF(INDEX($A:$U,ROW(),$C$6)="","",INDEX($A:$U,ROW(),$C$6)))</f>
        <v/>
      </c>
      <c r="X1582" s="32">
        <f>IF($W1582="","",IF(ISNUMBER($W1582),IF($W1582&gt;=10000000,IFERROR(DATE(INT($W1582/10000),MOD(INT($W1582/100),100),MOD($W1582,100)),""),INT($W1582)),IFERROR(DATE(--LEFT(LEFT(SUBSTITUTE(SUBSTITUTE(SUBSTITUTE(SUBSTITUTE(TRIM($W1582),"-",""),".",""),"/","")," ",""),8),4),--MID(LEFT(SUBSTITUTE(SUBSTITUTE(SUBSTITUTE(SUBSTITUTE(TRIM($W1582),"-",""),".",""),"/","")," ",""),8),5,2),--MID(LEFT(SUBSTITUTE(SUBSTITUTE(SUBSTITUTE(SUBSTITUTE(TRIM($W1582),"-",""),".",""),"/","")," ",""),8),7,2)),"")))</f>
        <v/>
      </c>
      <c r="Y1582" s="32">
        <f>IF($X1582="","",INT($X1582))</f>
        <v/>
      </c>
      <c r="Z1582" s="33">
        <f>IF(OR($Y1582="",$D$6=""),"",IF(INDEX($A:$U,ROW(),$D$6)="",0,IF(ISNUMBER(INDEX($A:$U,ROW(),$D$6)),INDEX($A:$U,ROW(),$D$6),IFERROR(--SUBSTITUTE(SUBSTITUTE(TRIM(INDEX($A:$U,ROW(),$D$6)),",",""),"원",""),0))))</f>
        <v/>
      </c>
      <c r="AA1582" s="31">
        <f>IF($Y1582="","",TRIM(INDEX($A:$U,ROW(),$E$6)&amp;IF($F$6="",""," "&amp;INDEX($A:$U,ROW(),$F$6))))</f>
        <v/>
      </c>
      <c r="AB1582" s="31">
        <f>IF($AA1582="","",SUBSTITUTE(SUBSTITUTE(SUBSTITUTE(SUBSTITUTE(SUBSTITUTE(SUBSTITUTE(SUBSTITUTE(SUBSTITUTE(SUBSTITUTE($AA1582," ",""),"　",""),"(주)",""),"（주）",""),"㈜",""),"주식회사",""),"(유)",""),"（유）",""),"유한회사",""))</f>
        <v/>
      </c>
      <c r="AC1582" s="31">
        <f>IF(OR($Y1582="",N($Z1582)&lt;=0,$AB1582=""),0,IFERROR(LOOKUP(2,1/((거래처별!$AC$8:$AC$307&lt;&gt;"")*ISNUMBER(SEARCH(거래처별!$AC$8:$AC$307,$AB1582))),거래처별!$A$8:$A$307),IFERROR(LOOKUP(2,1/((거래처별!$AD$8:$AD$307&lt;&gt;"")*ISNUMBER(SEARCH(거래처별!$AD$8:$AD$307,$AB1582))),거래처별!$A$8:$A$307),IFERROR(LOOKUP(2,1/((거래처별!$AE$8:$AE$307&lt;&gt;"")*ISNUMBER(SEARCH(거래처별!$AE$8:$AE$307,$AB1582))),거래처별!$A$8:$A$307),0))))</f>
        <v/>
      </c>
      <c r="AD1582" s="31">
        <f>IF(AND($Y1582&lt;&gt;"",N($Z1582)&gt;0,$AC1582=0),MAX($AD$7:$AD1581)+1,"")</f>
        <v/>
      </c>
      <c r="AE1582" s="31">
        <f>IF($Y1582="",0,$Y1582)</f>
        <v/>
      </c>
    </row>
    <row r="1583">
      <c r="W1583" s="31">
        <f>IF(OR($B$5="",$C$6="",ROW()&lt;$B$5),"",IF(INDEX($A:$U,ROW(),$C$6)="","",INDEX($A:$U,ROW(),$C$6)))</f>
        <v/>
      </c>
      <c r="X1583" s="32">
        <f>IF($W1583="","",IF(ISNUMBER($W1583),IF($W1583&gt;=10000000,IFERROR(DATE(INT($W1583/10000),MOD(INT($W1583/100),100),MOD($W1583,100)),""),INT($W1583)),IFERROR(DATE(--LEFT(LEFT(SUBSTITUTE(SUBSTITUTE(SUBSTITUTE(SUBSTITUTE(TRIM($W1583),"-",""),".",""),"/","")," ",""),8),4),--MID(LEFT(SUBSTITUTE(SUBSTITUTE(SUBSTITUTE(SUBSTITUTE(TRIM($W1583),"-",""),".",""),"/","")," ",""),8),5,2),--MID(LEFT(SUBSTITUTE(SUBSTITUTE(SUBSTITUTE(SUBSTITUTE(TRIM($W1583),"-",""),".",""),"/","")," ",""),8),7,2)),"")))</f>
        <v/>
      </c>
      <c r="Y1583" s="32">
        <f>IF($X1583="","",INT($X1583))</f>
        <v/>
      </c>
      <c r="Z1583" s="33">
        <f>IF(OR($Y1583="",$D$6=""),"",IF(INDEX($A:$U,ROW(),$D$6)="",0,IF(ISNUMBER(INDEX($A:$U,ROW(),$D$6)),INDEX($A:$U,ROW(),$D$6),IFERROR(--SUBSTITUTE(SUBSTITUTE(TRIM(INDEX($A:$U,ROW(),$D$6)),",",""),"원",""),0))))</f>
        <v/>
      </c>
      <c r="AA1583" s="31">
        <f>IF($Y1583="","",TRIM(INDEX($A:$U,ROW(),$E$6)&amp;IF($F$6="",""," "&amp;INDEX($A:$U,ROW(),$F$6))))</f>
        <v/>
      </c>
      <c r="AB1583" s="31">
        <f>IF($AA1583="","",SUBSTITUTE(SUBSTITUTE(SUBSTITUTE(SUBSTITUTE(SUBSTITUTE(SUBSTITUTE(SUBSTITUTE(SUBSTITUTE(SUBSTITUTE($AA1583," ",""),"　",""),"(주)",""),"（주）",""),"㈜",""),"주식회사",""),"(유)",""),"（유）",""),"유한회사",""))</f>
        <v/>
      </c>
      <c r="AC1583" s="31">
        <f>IF(OR($Y1583="",N($Z1583)&lt;=0,$AB1583=""),0,IFERROR(LOOKUP(2,1/((거래처별!$AC$8:$AC$307&lt;&gt;"")*ISNUMBER(SEARCH(거래처별!$AC$8:$AC$307,$AB1583))),거래처별!$A$8:$A$307),IFERROR(LOOKUP(2,1/((거래처별!$AD$8:$AD$307&lt;&gt;"")*ISNUMBER(SEARCH(거래처별!$AD$8:$AD$307,$AB1583))),거래처별!$A$8:$A$307),IFERROR(LOOKUP(2,1/((거래처별!$AE$8:$AE$307&lt;&gt;"")*ISNUMBER(SEARCH(거래처별!$AE$8:$AE$307,$AB1583))),거래처별!$A$8:$A$307),0))))</f>
        <v/>
      </c>
      <c r="AD1583" s="31">
        <f>IF(AND($Y1583&lt;&gt;"",N($Z1583)&gt;0,$AC1583=0),MAX($AD$7:$AD1582)+1,"")</f>
        <v/>
      </c>
      <c r="AE1583" s="31">
        <f>IF($Y1583="",0,$Y1583)</f>
        <v/>
      </c>
    </row>
    <row r="1584">
      <c r="W1584" s="31">
        <f>IF(OR($B$5="",$C$6="",ROW()&lt;$B$5),"",IF(INDEX($A:$U,ROW(),$C$6)="","",INDEX($A:$U,ROW(),$C$6)))</f>
        <v/>
      </c>
      <c r="X1584" s="32">
        <f>IF($W1584="","",IF(ISNUMBER($W1584),IF($W1584&gt;=10000000,IFERROR(DATE(INT($W1584/10000),MOD(INT($W1584/100),100),MOD($W1584,100)),""),INT($W1584)),IFERROR(DATE(--LEFT(LEFT(SUBSTITUTE(SUBSTITUTE(SUBSTITUTE(SUBSTITUTE(TRIM($W1584),"-",""),".",""),"/","")," ",""),8),4),--MID(LEFT(SUBSTITUTE(SUBSTITUTE(SUBSTITUTE(SUBSTITUTE(TRIM($W1584),"-",""),".",""),"/","")," ",""),8),5,2),--MID(LEFT(SUBSTITUTE(SUBSTITUTE(SUBSTITUTE(SUBSTITUTE(TRIM($W1584),"-",""),".",""),"/","")," ",""),8),7,2)),"")))</f>
        <v/>
      </c>
      <c r="Y1584" s="32">
        <f>IF($X1584="","",INT($X1584))</f>
        <v/>
      </c>
      <c r="Z1584" s="33">
        <f>IF(OR($Y1584="",$D$6=""),"",IF(INDEX($A:$U,ROW(),$D$6)="",0,IF(ISNUMBER(INDEX($A:$U,ROW(),$D$6)),INDEX($A:$U,ROW(),$D$6),IFERROR(--SUBSTITUTE(SUBSTITUTE(TRIM(INDEX($A:$U,ROW(),$D$6)),",",""),"원",""),0))))</f>
        <v/>
      </c>
      <c r="AA1584" s="31">
        <f>IF($Y1584="","",TRIM(INDEX($A:$U,ROW(),$E$6)&amp;IF($F$6="",""," "&amp;INDEX($A:$U,ROW(),$F$6))))</f>
        <v/>
      </c>
      <c r="AB1584" s="31">
        <f>IF($AA1584="","",SUBSTITUTE(SUBSTITUTE(SUBSTITUTE(SUBSTITUTE(SUBSTITUTE(SUBSTITUTE(SUBSTITUTE(SUBSTITUTE(SUBSTITUTE($AA1584," ",""),"　",""),"(주)",""),"（주）",""),"㈜",""),"주식회사",""),"(유)",""),"（유）",""),"유한회사",""))</f>
        <v/>
      </c>
      <c r="AC1584" s="31">
        <f>IF(OR($Y1584="",N($Z1584)&lt;=0,$AB1584=""),0,IFERROR(LOOKUP(2,1/((거래처별!$AC$8:$AC$307&lt;&gt;"")*ISNUMBER(SEARCH(거래처별!$AC$8:$AC$307,$AB1584))),거래처별!$A$8:$A$307),IFERROR(LOOKUP(2,1/((거래처별!$AD$8:$AD$307&lt;&gt;"")*ISNUMBER(SEARCH(거래처별!$AD$8:$AD$307,$AB1584))),거래처별!$A$8:$A$307),IFERROR(LOOKUP(2,1/((거래처별!$AE$8:$AE$307&lt;&gt;"")*ISNUMBER(SEARCH(거래처별!$AE$8:$AE$307,$AB1584))),거래처별!$A$8:$A$307),0))))</f>
        <v/>
      </c>
      <c r="AD1584" s="31">
        <f>IF(AND($Y1584&lt;&gt;"",N($Z1584)&gt;0,$AC1584=0),MAX($AD$7:$AD1583)+1,"")</f>
        <v/>
      </c>
      <c r="AE1584" s="31">
        <f>IF($Y1584="",0,$Y1584)</f>
        <v/>
      </c>
    </row>
    <row r="1585">
      <c r="W1585" s="31">
        <f>IF(OR($B$5="",$C$6="",ROW()&lt;$B$5),"",IF(INDEX($A:$U,ROW(),$C$6)="","",INDEX($A:$U,ROW(),$C$6)))</f>
        <v/>
      </c>
      <c r="X1585" s="32">
        <f>IF($W1585="","",IF(ISNUMBER($W1585),IF($W1585&gt;=10000000,IFERROR(DATE(INT($W1585/10000),MOD(INT($W1585/100),100),MOD($W1585,100)),""),INT($W1585)),IFERROR(DATE(--LEFT(LEFT(SUBSTITUTE(SUBSTITUTE(SUBSTITUTE(SUBSTITUTE(TRIM($W1585),"-",""),".",""),"/","")," ",""),8),4),--MID(LEFT(SUBSTITUTE(SUBSTITUTE(SUBSTITUTE(SUBSTITUTE(TRIM($W1585),"-",""),".",""),"/","")," ",""),8),5,2),--MID(LEFT(SUBSTITUTE(SUBSTITUTE(SUBSTITUTE(SUBSTITUTE(TRIM($W1585),"-",""),".",""),"/","")," ",""),8),7,2)),"")))</f>
        <v/>
      </c>
      <c r="Y1585" s="32">
        <f>IF($X1585="","",INT($X1585))</f>
        <v/>
      </c>
      <c r="Z1585" s="33">
        <f>IF(OR($Y1585="",$D$6=""),"",IF(INDEX($A:$U,ROW(),$D$6)="",0,IF(ISNUMBER(INDEX($A:$U,ROW(),$D$6)),INDEX($A:$U,ROW(),$D$6),IFERROR(--SUBSTITUTE(SUBSTITUTE(TRIM(INDEX($A:$U,ROW(),$D$6)),",",""),"원",""),0))))</f>
        <v/>
      </c>
      <c r="AA1585" s="31">
        <f>IF($Y1585="","",TRIM(INDEX($A:$U,ROW(),$E$6)&amp;IF($F$6="",""," "&amp;INDEX($A:$U,ROW(),$F$6))))</f>
        <v/>
      </c>
      <c r="AB1585" s="31">
        <f>IF($AA1585="","",SUBSTITUTE(SUBSTITUTE(SUBSTITUTE(SUBSTITUTE(SUBSTITUTE(SUBSTITUTE(SUBSTITUTE(SUBSTITUTE(SUBSTITUTE($AA1585," ",""),"　",""),"(주)",""),"（주）",""),"㈜",""),"주식회사",""),"(유)",""),"（유）",""),"유한회사",""))</f>
        <v/>
      </c>
      <c r="AC1585" s="31">
        <f>IF(OR($Y1585="",N($Z1585)&lt;=0,$AB1585=""),0,IFERROR(LOOKUP(2,1/((거래처별!$AC$8:$AC$307&lt;&gt;"")*ISNUMBER(SEARCH(거래처별!$AC$8:$AC$307,$AB1585))),거래처별!$A$8:$A$307),IFERROR(LOOKUP(2,1/((거래처별!$AD$8:$AD$307&lt;&gt;"")*ISNUMBER(SEARCH(거래처별!$AD$8:$AD$307,$AB1585))),거래처별!$A$8:$A$307),IFERROR(LOOKUP(2,1/((거래처별!$AE$8:$AE$307&lt;&gt;"")*ISNUMBER(SEARCH(거래처별!$AE$8:$AE$307,$AB1585))),거래처별!$A$8:$A$307),0))))</f>
        <v/>
      </c>
      <c r="AD1585" s="31">
        <f>IF(AND($Y1585&lt;&gt;"",N($Z1585)&gt;0,$AC1585=0),MAX($AD$7:$AD1584)+1,"")</f>
        <v/>
      </c>
      <c r="AE1585" s="31">
        <f>IF($Y1585="",0,$Y1585)</f>
        <v/>
      </c>
    </row>
    <row r="1586">
      <c r="W1586" s="31">
        <f>IF(OR($B$5="",$C$6="",ROW()&lt;$B$5),"",IF(INDEX($A:$U,ROW(),$C$6)="","",INDEX($A:$U,ROW(),$C$6)))</f>
        <v/>
      </c>
      <c r="X1586" s="32">
        <f>IF($W1586="","",IF(ISNUMBER($W1586),IF($W1586&gt;=10000000,IFERROR(DATE(INT($W1586/10000),MOD(INT($W1586/100),100),MOD($W1586,100)),""),INT($W1586)),IFERROR(DATE(--LEFT(LEFT(SUBSTITUTE(SUBSTITUTE(SUBSTITUTE(SUBSTITUTE(TRIM($W1586),"-",""),".",""),"/","")," ",""),8),4),--MID(LEFT(SUBSTITUTE(SUBSTITUTE(SUBSTITUTE(SUBSTITUTE(TRIM($W1586),"-",""),".",""),"/","")," ",""),8),5,2),--MID(LEFT(SUBSTITUTE(SUBSTITUTE(SUBSTITUTE(SUBSTITUTE(TRIM($W1586),"-",""),".",""),"/","")," ",""),8),7,2)),"")))</f>
        <v/>
      </c>
      <c r="Y1586" s="32">
        <f>IF($X1586="","",INT($X1586))</f>
        <v/>
      </c>
      <c r="Z1586" s="33">
        <f>IF(OR($Y1586="",$D$6=""),"",IF(INDEX($A:$U,ROW(),$D$6)="",0,IF(ISNUMBER(INDEX($A:$U,ROW(),$D$6)),INDEX($A:$U,ROW(),$D$6),IFERROR(--SUBSTITUTE(SUBSTITUTE(TRIM(INDEX($A:$U,ROW(),$D$6)),",",""),"원",""),0))))</f>
        <v/>
      </c>
      <c r="AA1586" s="31">
        <f>IF($Y1586="","",TRIM(INDEX($A:$U,ROW(),$E$6)&amp;IF($F$6="",""," "&amp;INDEX($A:$U,ROW(),$F$6))))</f>
        <v/>
      </c>
      <c r="AB1586" s="31">
        <f>IF($AA1586="","",SUBSTITUTE(SUBSTITUTE(SUBSTITUTE(SUBSTITUTE(SUBSTITUTE(SUBSTITUTE(SUBSTITUTE(SUBSTITUTE(SUBSTITUTE($AA1586," ",""),"　",""),"(주)",""),"（주）",""),"㈜",""),"주식회사",""),"(유)",""),"（유）",""),"유한회사",""))</f>
        <v/>
      </c>
      <c r="AC1586" s="31">
        <f>IF(OR($Y1586="",N($Z1586)&lt;=0,$AB1586=""),0,IFERROR(LOOKUP(2,1/((거래처별!$AC$8:$AC$307&lt;&gt;"")*ISNUMBER(SEARCH(거래처별!$AC$8:$AC$307,$AB1586))),거래처별!$A$8:$A$307),IFERROR(LOOKUP(2,1/((거래처별!$AD$8:$AD$307&lt;&gt;"")*ISNUMBER(SEARCH(거래처별!$AD$8:$AD$307,$AB1586))),거래처별!$A$8:$A$307),IFERROR(LOOKUP(2,1/((거래처별!$AE$8:$AE$307&lt;&gt;"")*ISNUMBER(SEARCH(거래처별!$AE$8:$AE$307,$AB1586))),거래처별!$A$8:$A$307),0))))</f>
        <v/>
      </c>
      <c r="AD1586" s="31">
        <f>IF(AND($Y1586&lt;&gt;"",N($Z1586)&gt;0,$AC1586=0),MAX($AD$7:$AD1585)+1,"")</f>
        <v/>
      </c>
      <c r="AE1586" s="31">
        <f>IF($Y1586="",0,$Y1586)</f>
        <v/>
      </c>
    </row>
    <row r="1587">
      <c r="W1587" s="31">
        <f>IF(OR($B$5="",$C$6="",ROW()&lt;$B$5),"",IF(INDEX($A:$U,ROW(),$C$6)="","",INDEX($A:$U,ROW(),$C$6)))</f>
        <v/>
      </c>
      <c r="X1587" s="32">
        <f>IF($W1587="","",IF(ISNUMBER($W1587),IF($W1587&gt;=10000000,IFERROR(DATE(INT($W1587/10000),MOD(INT($W1587/100),100),MOD($W1587,100)),""),INT($W1587)),IFERROR(DATE(--LEFT(LEFT(SUBSTITUTE(SUBSTITUTE(SUBSTITUTE(SUBSTITUTE(TRIM($W1587),"-",""),".",""),"/","")," ",""),8),4),--MID(LEFT(SUBSTITUTE(SUBSTITUTE(SUBSTITUTE(SUBSTITUTE(TRIM($W1587),"-",""),".",""),"/","")," ",""),8),5,2),--MID(LEFT(SUBSTITUTE(SUBSTITUTE(SUBSTITUTE(SUBSTITUTE(TRIM($W1587),"-",""),".",""),"/","")," ",""),8),7,2)),"")))</f>
        <v/>
      </c>
      <c r="Y1587" s="32">
        <f>IF($X1587="","",INT($X1587))</f>
        <v/>
      </c>
      <c r="Z1587" s="33">
        <f>IF(OR($Y1587="",$D$6=""),"",IF(INDEX($A:$U,ROW(),$D$6)="",0,IF(ISNUMBER(INDEX($A:$U,ROW(),$D$6)),INDEX($A:$U,ROW(),$D$6),IFERROR(--SUBSTITUTE(SUBSTITUTE(TRIM(INDEX($A:$U,ROW(),$D$6)),",",""),"원",""),0))))</f>
        <v/>
      </c>
      <c r="AA1587" s="31">
        <f>IF($Y1587="","",TRIM(INDEX($A:$U,ROW(),$E$6)&amp;IF($F$6="",""," "&amp;INDEX($A:$U,ROW(),$F$6))))</f>
        <v/>
      </c>
      <c r="AB1587" s="31">
        <f>IF($AA1587="","",SUBSTITUTE(SUBSTITUTE(SUBSTITUTE(SUBSTITUTE(SUBSTITUTE(SUBSTITUTE(SUBSTITUTE(SUBSTITUTE(SUBSTITUTE($AA1587," ",""),"　",""),"(주)",""),"（주）",""),"㈜",""),"주식회사",""),"(유)",""),"（유）",""),"유한회사",""))</f>
        <v/>
      </c>
      <c r="AC1587" s="31">
        <f>IF(OR($Y1587="",N($Z1587)&lt;=0,$AB1587=""),0,IFERROR(LOOKUP(2,1/((거래처별!$AC$8:$AC$307&lt;&gt;"")*ISNUMBER(SEARCH(거래처별!$AC$8:$AC$307,$AB1587))),거래처별!$A$8:$A$307),IFERROR(LOOKUP(2,1/((거래처별!$AD$8:$AD$307&lt;&gt;"")*ISNUMBER(SEARCH(거래처별!$AD$8:$AD$307,$AB1587))),거래처별!$A$8:$A$307),IFERROR(LOOKUP(2,1/((거래처별!$AE$8:$AE$307&lt;&gt;"")*ISNUMBER(SEARCH(거래처별!$AE$8:$AE$307,$AB1587))),거래처별!$A$8:$A$307),0))))</f>
        <v/>
      </c>
      <c r="AD1587" s="31">
        <f>IF(AND($Y1587&lt;&gt;"",N($Z1587)&gt;0,$AC1587=0),MAX($AD$7:$AD1586)+1,"")</f>
        <v/>
      </c>
      <c r="AE1587" s="31">
        <f>IF($Y1587="",0,$Y1587)</f>
        <v/>
      </c>
    </row>
    <row r="1588">
      <c r="W1588" s="31">
        <f>IF(OR($B$5="",$C$6="",ROW()&lt;$B$5),"",IF(INDEX($A:$U,ROW(),$C$6)="","",INDEX($A:$U,ROW(),$C$6)))</f>
        <v/>
      </c>
      <c r="X1588" s="32">
        <f>IF($W1588="","",IF(ISNUMBER($W1588),IF($W1588&gt;=10000000,IFERROR(DATE(INT($W1588/10000),MOD(INT($W1588/100),100),MOD($W1588,100)),""),INT($W1588)),IFERROR(DATE(--LEFT(LEFT(SUBSTITUTE(SUBSTITUTE(SUBSTITUTE(SUBSTITUTE(TRIM($W1588),"-",""),".",""),"/","")," ",""),8),4),--MID(LEFT(SUBSTITUTE(SUBSTITUTE(SUBSTITUTE(SUBSTITUTE(TRIM($W1588),"-",""),".",""),"/","")," ",""),8),5,2),--MID(LEFT(SUBSTITUTE(SUBSTITUTE(SUBSTITUTE(SUBSTITUTE(TRIM($W1588),"-",""),".",""),"/","")," ",""),8),7,2)),"")))</f>
        <v/>
      </c>
      <c r="Y1588" s="32">
        <f>IF($X1588="","",INT($X1588))</f>
        <v/>
      </c>
      <c r="Z1588" s="33">
        <f>IF(OR($Y1588="",$D$6=""),"",IF(INDEX($A:$U,ROW(),$D$6)="",0,IF(ISNUMBER(INDEX($A:$U,ROW(),$D$6)),INDEX($A:$U,ROW(),$D$6),IFERROR(--SUBSTITUTE(SUBSTITUTE(TRIM(INDEX($A:$U,ROW(),$D$6)),",",""),"원",""),0))))</f>
        <v/>
      </c>
      <c r="AA1588" s="31">
        <f>IF($Y1588="","",TRIM(INDEX($A:$U,ROW(),$E$6)&amp;IF($F$6="",""," "&amp;INDEX($A:$U,ROW(),$F$6))))</f>
        <v/>
      </c>
      <c r="AB1588" s="31">
        <f>IF($AA1588="","",SUBSTITUTE(SUBSTITUTE(SUBSTITUTE(SUBSTITUTE(SUBSTITUTE(SUBSTITUTE(SUBSTITUTE(SUBSTITUTE(SUBSTITUTE($AA1588," ",""),"　",""),"(주)",""),"（주）",""),"㈜",""),"주식회사",""),"(유)",""),"（유）",""),"유한회사",""))</f>
        <v/>
      </c>
      <c r="AC1588" s="31">
        <f>IF(OR($Y1588="",N($Z1588)&lt;=0,$AB1588=""),0,IFERROR(LOOKUP(2,1/((거래처별!$AC$8:$AC$307&lt;&gt;"")*ISNUMBER(SEARCH(거래처별!$AC$8:$AC$307,$AB1588))),거래처별!$A$8:$A$307),IFERROR(LOOKUP(2,1/((거래처별!$AD$8:$AD$307&lt;&gt;"")*ISNUMBER(SEARCH(거래처별!$AD$8:$AD$307,$AB1588))),거래처별!$A$8:$A$307),IFERROR(LOOKUP(2,1/((거래처별!$AE$8:$AE$307&lt;&gt;"")*ISNUMBER(SEARCH(거래처별!$AE$8:$AE$307,$AB1588))),거래처별!$A$8:$A$307),0))))</f>
        <v/>
      </c>
      <c r="AD1588" s="31">
        <f>IF(AND($Y1588&lt;&gt;"",N($Z1588)&gt;0,$AC1588=0),MAX($AD$7:$AD1587)+1,"")</f>
        <v/>
      </c>
      <c r="AE1588" s="31">
        <f>IF($Y1588="",0,$Y1588)</f>
        <v/>
      </c>
    </row>
    <row r="1589">
      <c r="W1589" s="31">
        <f>IF(OR($B$5="",$C$6="",ROW()&lt;$B$5),"",IF(INDEX($A:$U,ROW(),$C$6)="","",INDEX($A:$U,ROW(),$C$6)))</f>
        <v/>
      </c>
      <c r="X1589" s="32">
        <f>IF($W1589="","",IF(ISNUMBER($W1589),IF($W1589&gt;=10000000,IFERROR(DATE(INT($W1589/10000),MOD(INT($W1589/100),100),MOD($W1589,100)),""),INT($W1589)),IFERROR(DATE(--LEFT(LEFT(SUBSTITUTE(SUBSTITUTE(SUBSTITUTE(SUBSTITUTE(TRIM($W1589),"-",""),".",""),"/","")," ",""),8),4),--MID(LEFT(SUBSTITUTE(SUBSTITUTE(SUBSTITUTE(SUBSTITUTE(TRIM($W1589),"-",""),".",""),"/","")," ",""),8),5,2),--MID(LEFT(SUBSTITUTE(SUBSTITUTE(SUBSTITUTE(SUBSTITUTE(TRIM($W1589),"-",""),".",""),"/","")," ",""),8),7,2)),"")))</f>
        <v/>
      </c>
      <c r="Y1589" s="32">
        <f>IF($X1589="","",INT($X1589))</f>
        <v/>
      </c>
      <c r="Z1589" s="33">
        <f>IF(OR($Y1589="",$D$6=""),"",IF(INDEX($A:$U,ROW(),$D$6)="",0,IF(ISNUMBER(INDEX($A:$U,ROW(),$D$6)),INDEX($A:$U,ROW(),$D$6),IFERROR(--SUBSTITUTE(SUBSTITUTE(TRIM(INDEX($A:$U,ROW(),$D$6)),",",""),"원",""),0))))</f>
        <v/>
      </c>
      <c r="AA1589" s="31">
        <f>IF($Y1589="","",TRIM(INDEX($A:$U,ROW(),$E$6)&amp;IF($F$6="",""," "&amp;INDEX($A:$U,ROW(),$F$6))))</f>
        <v/>
      </c>
      <c r="AB1589" s="31">
        <f>IF($AA1589="","",SUBSTITUTE(SUBSTITUTE(SUBSTITUTE(SUBSTITUTE(SUBSTITUTE(SUBSTITUTE(SUBSTITUTE(SUBSTITUTE(SUBSTITUTE($AA1589," ",""),"　",""),"(주)",""),"（주）",""),"㈜",""),"주식회사",""),"(유)",""),"（유）",""),"유한회사",""))</f>
        <v/>
      </c>
      <c r="AC1589" s="31">
        <f>IF(OR($Y1589="",N($Z1589)&lt;=0,$AB1589=""),0,IFERROR(LOOKUP(2,1/((거래처별!$AC$8:$AC$307&lt;&gt;"")*ISNUMBER(SEARCH(거래처별!$AC$8:$AC$307,$AB1589))),거래처별!$A$8:$A$307),IFERROR(LOOKUP(2,1/((거래처별!$AD$8:$AD$307&lt;&gt;"")*ISNUMBER(SEARCH(거래처별!$AD$8:$AD$307,$AB1589))),거래처별!$A$8:$A$307),IFERROR(LOOKUP(2,1/((거래처별!$AE$8:$AE$307&lt;&gt;"")*ISNUMBER(SEARCH(거래처별!$AE$8:$AE$307,$AB1589))),거래처별!$A$8:$A$307),0))))</f>
        <v/>
      </c>
      <c r="AD1589" s="31">
        <f>IF(AND($Y1589&lt;&gt;"",N($Z1589)&gt;0,$AC1589=0),MAX($AD$7:$AD1588)+1,"")</f>
        <v/>
      </c>
      <c r="AE1589" s="31">
        <f>IF($Y1589="",0,$Y1589)</f>
        <v/>
      </c>
    </row>
    <row r="1590">
      <c r="W1590" s="31">
        <f>IF(OR($B$5="",$C$6="",ROW()&lt;$B$5),"",IF(INDEX($A:$U,ROW(),$C$6)="","",INDEX($A:$U,ROW(),$C$6)))</f>
        <v/>
      </c>
      <c r="X1590" s="32">
        <f>IF($W1590="","",IF(ISNUMBER($W1590),IF($W1590&gt;=10000000,IFERROR(DATE(INT($W1590/10000),MOD(INT($W1590/100),100),MOD($W1590,100)),""),INT($W1590)),IFERROR(DATE(--LEFT(LEFT(SUBSTITUTE(SUBSTITUTE(SUBSTITUTE(SUBSTITUTE(TRIM($W1590),"-",""),".",""),"/","")," ",""),8),4),--MID(LEFT(SUBSTITUTE(SUBSTITUTE(SUBSTITUTE(SUBSTITUTE(TRIM($W1590),"-",""),".",""),"/","")," ",""),8),5,2),--MID(LEFT(SUBSTITUTE(SUBSTITUTE(SUBSTITUTE(SUBSTITUTE(TRIM($W1590),"-",""),".",""),"/","")," ",""),8),7,2)),"")))</f>
        <v/>
      </c>
      <c r="Y1590" s="32">
        <f>IF($X1590="","",INT($X1590))</f>
        <v/>
      </c>
      <c r="Z1590" s="33">
        <f>IF(OR($Y1590="",$D$6=""),"",IF(INDEX($A:$U,ROW(),$D$6)="",0,IF(ISNUMBER(INDEX($A:$U,ROW(),$D$6)),INDEX($A:$U,ROW(),$D$6),IFERROR(--SUBSTITUTE(SUBSTITUTE(TRIM(INDEX($A:$U,ROW(),$D$6)),",",""),"원",""),0))))</f>
        <v/>
      </c>
      <c r="AA1590" s="31">
        <f>IF($Y1590="","",TRIM(INDEX($A:$U,ROW(),$E$6)&amp;IF($F$6="",""," "&amp;INDEX($A:$U,ROW(),$F$6))))</f>
        <v/>
      </c>
      <c r="AB1590" s="31">
        <f>IF($AA1590="","",SUBSTITUTE(SUBSTITUTE(SUBSTITUTE(SUBSTITUTE(SUBSTITUTE(SUBSTITUTE(SUBSTITUTE(SUBSTITUTE(SUBSTITUTE($AA1590," ",""),"　",""),"(주)",""),"（주）",""),"㈜",""),"주식회사",""),"(유)",""),"（유）",""),"유한회사",""))</f>
        <v/>
      </c>
      <c r="AC1590" s="31">
        <f>IF(OR($Y1590="",N($Z1590)&lt;=0,$AB1590=""),0,IFERROR(LOOKUP(2,1/((거래처별!$AC$8:$AC$307&lt;&gt;"")*ISNUMBER(SEARCH(거래처별!$AC$8:$AC$307,$AB1590))),거래처별!$A$8:$A$307),IFERROR(LOOKUP(2,1/((거래처별!$AD$8:$AD$307&lt;&gt;"")*ISNUMBER(SEARCH(거래처별!$AD$8:$AD$307,$AB1590))),거래처별!$A$8:$A$307),IFERROR(LOOKUP(2,1/((거래처별!$AE$8:$AE$307&lt;&gt;"")*ISNUMBER(SEARCH(거래처별!$AE$8:$AE$307,$AB1590))),거래처별!$A$8:$A$307),0))))</f>
        <v/>
      </c>
      <c r="AD1590" s="31">
        <f>IF(AND($Y1590&lt;&gt;"",N($Z1590)&gt;0,$AC1590=0),MAX($AD$7:$AD1589)+1,"")</f>
        <v/>
      </c>
      <c r="AE1590" s="31">
        <f>IF($Y1590="",0,$Y1590)</f>
        <v/>
      </c>
    </row>
    <row r="1591">
      <c r="W1591" s="31">
        <f>IF(OR($B$5="",$C$6="",ROW()&lt;$B$5),"",IF(INDEX($A:$U,ROW(),$C$6)="","",INDEX($A:$U,ROW(),$C$6)))</f>
        <v/>
      </c>
      <c r="X1591" s="32">
        <f>IF($W1591="","",IF(ISNUMBER($W1591),IF($W1591&gt;=10000000,IFERROR(DATE(INT($W1591/10000),MOD(INT($W1591/100),100),MOD($W1591,100)),""),INT($W1591)),IFERROR(DATE(--LEFT(LEFT(SUBSTITUTE(SUBSTITUTE(SUBSTITUTE(SUBSTITUTE(TRIM($W1591),"-",""),".",""),"/","")," ",""),8),4),--MID(LEFT(SUBSTITUTE(SUBSTITUTE(SUBSTITUTE(SUBSTITUTE(TRIM($W1591),"-",""),".",""),"/","")," ",""),8),5,2),--MID(LEFT(SUBSTITUTE(SUBSTITUTE(SUBSTITUTE(SUBSTITUTE(TRIM($W1591),"-",""),".",""),"/","")," ",""),8),7,2)),"")))</f>
        <v/>
      </c>
      <c r="Y1591" s="32">
        <f>IF($X1591="","",INT($X1591))</f>
        <v/>
      </c>
      <c r="Z1591" s="33">
        <f>IF(OR($Y1591="",$D$6=""),"",IF(INDEX($A:$U,ROW(),$D$6)="",0,IF(ISNUMBER(INDEX($A:$U,ROW(),$D$6)),INDEX($A:$U,ROW(),$D$6),IFERROR(--SUBSTITUTE(SUBSTITUTE(TRIM(INDEX($A:$U,ROW(),$D$6)),",",""),"원",""),0))))</f>
        <v/>
      </c>
      <c r="AA1591" s="31">
        <f>IF($Y1591="","",TRIM(INDEX($A:$U,ROW(),$E$6)&amp;IF($F$6="",""," "&amp;INDEX($A:$U,ROW(),$F$6))))</f>
        <v/>
      </c>
      <c r="AB1591" s="31">
        <f>IF($AA1591="","",SUBSTITUTE(SUBSTITUTE(SUBSTITUTE(SUBSTITUTE(SUBSTITUTE(SUBSTITUTE(SUBSTITUTE(SUBSTITUTE(SUBSTITUTE($AA1591," ",""),"　",""),"(주)",""),"（주）",""),"㈜",""),"주식회사",""),"(유)",""),"（유）",""),"유한회사",""))</f>
        <v/>
      </c>
      <c r="AC1591" s="31">
        <f>IF(OR($Y1591="",N($Z1591)&lt;=0,$AB1591=""),0,IFERROR(LOOKUP(2,1/((거래처별!$AC$8:$AC$307&lt;&gt;"")*ISNUMBER(SEARCH(거래처별!$AC$8:$AC$307,$AB1591))),거래처별!$A$8:$A$307),IFERROR(LOOKUP(2,1/((거래처별!$AD$8:$AD$307&lt;&gt;"")*ISNUMBER(SEARCH(거래처별!$AD$8:$AD$307,$AB1591))),거래처별!$A$8:$A$307),IFERROR(LOOKUP(2,1/((거래처별!$AE$8:$AE$307&lt;&gt;"")*ISNUMBER(SEARCH(거래처별!$AE$8:$AE$307,$AB1591))),거래처별!$A$8:$A$307),0))))</f>
        <v/>
      </c>
      <c r="AD1591" s="31">
        <f>IF(AND($Y1591&lt;&gt;"",N($Z1591)&gt;0,$AC1591=0),MAX($AD$7:$AD1590)+1,"")</f>
        <v/>
      </c>
      <c r="AE1591" s="31">
        <f>IF($Y1591="",0,$Y1591)</f>
        <v/>
      </c>
    </row>
    <row r="1592">
      <c r="W1592" s="31">
        <f>IF(OR($B$5="",$C$6="",ROW()&lt;$B$5),"",IF(INDEX($A:$U,ROW(),$C$6)="","",INDEX($A:$U,ROW(),$C$6)))</f>
        <v/>
      </c>
      <c r="X1592" s="32">
        <f>IF($W1592="","",IF(ISNUMBER($W1592),IF($W1592&gt;=10000000,IFERROR(DATE(INT($W1592/10000),MOD(INT($W1592/100),100),MOD($W1592,100)),""),INT($W1592)),IFERROR(DATE(--LEFT(LEFT(SUBSTITUTE(SUBSTITUTE(SUBSTITUTE(SUBSTITUTE(TRIM($W1592),"-",""),".",""),"/","")," ",""),8),4),--MID(LEFT(SUBSTITUTE(SUBSTITUTE(SUBSTITUTE(SUBSTITUTE(TRIM($W1592),"-",""),".",""),"/","")," ",""),8),5,2),--MID(LEFT(SUBSTITUTE(SUBSTITUTE(SUBSTITUTE(SUBSTITUTE(TRIM($W1592),"-",""),".",""),"/","")," ",""),8),7,2)),"")))</f>
        <v/>
      </c>
      <c r="Y1592" s="32">
        <f>IF($X1592="","",INT($X1592))</f>
        <v/>
      </c>
      <c r="Z1592" s="33">
        <f>IF(OR($Y1592="",$D$6=""),"",IF(INDEX($A:$U,ROW(),$D$6)="",0,IF(ISNUMBER(INDEX($A:$U,ROW(),$D$6)),INDEX($A:$U,ROW(),$D$6),IFERROR(--SUBSTITUTE(SUBSTITUTE(TRIM(INDEX($A:$U,ROW(),$D$6)),",",""),"원",""),0))))</f>
        <v/>
      </c>
      <c r="AA1592" s="31">
        <f>IF($Y1592="","",TRIM(INDEX($A:$U,ROW(),$E$6)&amp;IF($F$6="",""," "&amp;INDEX($A:$U,ROW(),$F$6))))</f>
        <v/>
      </c>
      <c r="AB1592" s="31">
        <f>IF($AA1592="","",SUBSTITUTE(SUBSTITUTE(SUBSTITUTE(SUBSTITUTE(SUBSTITUTE(SUBSTITUTE(SUBSTITUTE(SUBSTITUTE(SUBSTITUTE($AA1592," ",""),"　",""),"(주)",""),"（주）",""),"㈜",""),"주식회사",""),"(유)",""),"（유）",""),"유한회사",""))</f>
        <v/>
      </c>
      <c r="AC1592" s="31">
        <f>IF(OR($Y1592="",N($Z1592)&lt;=0,$AB1592=""),0,IFERROR(LOOKUP(2,1/((거래처별!$AC$8:$AC$307&lt;&gt;"")*ISNUMBER(SEARCH(거래처별!$AC$8:$AC$307,$AB1592))),거래처별!$A$8:$A$307),IFERROR(LOOKUP(2,1/((거래처별!$AD$8:$AD$307&lt;&gt;"")*ISNUMBER(SEARCH(거래처별!$AD$8:$AD$307,$AB1592))),거래처별!$A$8:$A$307),IFERROR(LOOKUP(2,1/((거래처별!$AE$8:$AE$307&lt;&gt;"")*ISNUMBER(SEARCH(거래처별!$AE$8:$AE$307,$AB1592))),거래처별!$A$8:$A$307),0))))</f>
        <v/>
      </c>
      <c r="AD1592" s="31">
        <f>IF(AND($Y1592&lt;&gt;"",N($Z1592)&gt;0,$AC1592=0),MAX($AD$7:$AD1591)+1,"")</f>
        <v/>
      </c>
      <c r="AE1592" s="31">
        <f>IF($Y1592="",0,$Y1592)</f>
        <v/>
      </c>
    </row>
    <row r="1593">
      <c r="W1593" s="31">
        <f>IF(OR($B$5="",$C$6="",ROW()&lt;$B$5),"",IF(INDEX($A:$U,ROW(),$C$6)="","",INDEX($A:$U,ROW(),$C$6)))</f>
        <v/>
      </c>
      <c r="X1593" s="32">
        <f>IF($W1593="","",IF(ISNUMBER($W1593),IF($W1593&gt;=10000000,IFERROR(DATE(INT($W1593/10000),MOD(INT($W1593/100),100),MOD($W1593,100)),""),INT($W1593)),IFERROR(DATE(--LEFT(LEFT(SUBSTITUTE(SUBSTITUTE(SUBSTITUTE(SUBSTITUTE(TRIM($W1593),"-",""),".",""),"/","")," ",""),8),4),--MID(LEFT(SUBSTITUTE(SUBSTITUTE(SUBSTITUTE(SUBSTITUTE(TRIM($W1593),"-",""),".",""),"/","")," ",""),8),5,2),--MID(LEFT(SUBSTITUTE(SUBSTITUTE(SUBSTITUTE(SUBSTITUTE(TRIM($W1593),"-",""),".",""),"/","")," ",""),8),7,2)),"")))</f>
        <v/>
      </c>
      <c r="Y1593" s="32">
        <f>IF($X1593="","",INT($X1593))</f>
        <v/>
      </c>
      <c r="Z1593" s="33">
        <f>IF(OR($Y1593="",$D$6=""),"",IF(INDEX($A:$U,ROW(),$D$6)="",0,IF(ISNUMBER(INDEX($A:$U,ROW(),$D$6)),INDEX($A:$U,ROW(),$D$6),IFERROR(--SUBSTITUTE(SUBSTITUTE(TRIM(INDEX($A:$U,ROW(),$D$6)),",",""),"원",""),0))))</f>
        <v/>
      </c>
      <c r="AA1593" s="31">
        <f>IF($Y1593="","",TRIM(INDEX($A:$U,ROW(),$E$6)&amp;IF($F$6="",""," "&amp;INDEX($A:$U,ROW(),$F$6))))</f>
        <v/>
      </c>
      <c r="AB1593" s="31">
        <f>IF($AA1593="","",SUBSTITUTE(SUBSTITUTE(SUBSTITUTE(SUBSTITUTE(SUBSTITUTE(SUBSTITUTE(SUBSTITUTE(SUBSTITUTE(SUBSTITUTE($AA1593," ",""),"　",""),"(주)",""),"（주）",""),"㈜",""),"주식회사",""),"(유)",""),"（유）",""),"유한회사",""))</f>
        <v/>
      </c>
      <c r="AC1593" s="31">
        <f>IF(OR($Y1593="",N($Z1593)&lt;=0,$AB1593=""),0,IFERROR(LOOKUP(2,1/((거래처별!$AC$8:$AC$307&lt;&gt;"")*ISNUMBER(SEARCH(거래처별!$AC$8:$AC$307,$AB1593))),거래처별!$A$8:$A$307),IFERROR(LOOKUP(2,1/((거래처별!$AD$8:$AD$307&lt;&gt;"")*ISNUMBER(SEARCH(거래처별!$AD$8:$AD$307,$AB1593))),거래처별!$A$8:$A$307),IFERROR(LOOKUP(2,1/((거래처별!$AE$8:$AE$307&lt;&gt;"")*ISNUMBER(SEARCH(거래처별!$AE$8:$AE$307,$AB1593))),거래처별!$A$8:$A$307),0))))</f>
        <v/>
      </c>
      <c r="AD1593" s="31">
        <f>IF(AND($Y1593&lt;&gt;"",N($Z1593)&gt;0,$AC1593=0),MAX($AD$7:$AD1592)+1,"")</f>
        <v/>
      </c>
      <c r="AE1593" s="31">
        <f>IF($Y1593="",0,$Y1593)</f>
        <v/>
      </c>
    </row>
    <row r="1594">
      <c r="W1594" s="31">
        <f>IF(OR($B$5="",$C$6="",ROW()&lt;$B$5),"",IF(INDEX($A:$U,ROW(),$C$6)="","",INDEX($A:$U,ROW(),$C$6)))</f>
        <v/>
      </c>
      <c r="X1594" s="32">
        <f>IF($W1594="","",IF(ISNUMBER($W1594),IF($W1594&gt;=10000000,IFERROR(DATE(INT($W1594/10000),MOD(INT($W1594/100),100),MOD($W1594,100)),""),INT($W1594)),IFERROR(DATE(--LEFT(LEFT(SUBSTITUTE(SUBSTITUTE(SUBSTITUTE(SUBSTITUTE(TRIM($W1594),"-",""),".",""),"/","")," ",""),8),4),--MID(LEFT(SUBSTITUTE(SUBSTITUTE(SUBSTITUTE(SUBSTITUTE(TRIM($W1594),"-",""),".",""),"/","")," ",""),8),5,2),--MID(LEFT(SUBSTITUTE(SUBSTITUTE(SUBSTITUTE(SUBSTITUTE(TRIM($W1594),"-",""),".",""),"/","")," ",""),8),7,2)),"")))</f>
        <v/>
      </c>
      <c r="Y1594" s="32">
        <f>IF($X1594="","",INT($X1594))</f>
        <v/>
      </c>
      <c r="Z1594" s="33">
        <f>IF(OR($Y1594="",$D$6=""),"",IF(INDEX($A:$U,ROW(),$D$6)="",0,IF(ISNUMBER(INDEX($A:$U,ROW(),$D$6)),INDEX($A:$U,ROW(),$D$6),IFERROR(--SUBSTITUTE(SUBSTITUTE(TRIM(INDEX($A:$U,ROW(),$D$6)),",",""),"원",""),0))))</f>
        <v/>
      </c>
      <c r="AA1594" s="31">
        <f>IF($Y1594="","",TRIM(INDEX($A:$U,ROW(),$E$6)&amp;IF($F$6="",""," "&amp;INDEX($A:$U,ROW(),$F$6))))</f>
        <v/>
      </c>
      <c r="AB1594" s="31">
        <f>IF($AA1594="","",SUBSTITUTE(SUBSTITUTE(SUBSTITUTE(SUBSTITUTE(SUBSTITUTE(SUBSTITUTE(SUBSTITUTE(SUBSTITUTE(SUBSTITUTE($AA1594," ",""),"　",""),"(주)",""),"（주）",""),"㈜",""),"주식회사",""),"(유)",""),"（유）",""),"유한회사",""))</f>
        <v/>
      </c>
      <c r="AC1594" s="31">
        <f>IF(OR($Y1594="",N($Z1594)&lt;=0,$AB1594=""),0,IFERROR(LOOKUP(2,1/((거래처별!$AC$8:$AC$307&lt;&gt;"")*ISNUMBER(SEARCH(거래처별!$AC$8:$AC$307,$AB1594))),거래처별!$A$8:$A$307),IFERROR(LOOKUP(2,1/((거래처별!$AD$8:$AD$307&lt;&gt;"")*ISNUMBER(SEARCH(거래처별!$AD$8:$AD$307,$AB1594))),거래처별!$A$8:$A$307),IFERROR(LOOKUP(2,1/((거래처별!$AE$8:$AE$307&lt;&gt;"")*ISNUMBER(SEARCH(거래처별!$AE$8:$AE$307,$AB1594))),거래처별!$A$8:$A$307),0))))</f>
        <v/>
      </c>
      <c r="AD1594" s="31">
        <f>IF(AND($Y1594&lt;&gt;"",N($Z1594)&gt;0,$AC1594=0),MAX($AD$7:$AD1593)+1,"")</f>
        <v/>
      </c>
      <c r="AE1594" s="31">
        <f>IF($Y1594="",0,$Y1594)</f>
        <v/>
      </c>
    </row>
    <row r="1595">
      <c r="W1595" s="31">
        <f>IF(OR($B$5="",$C$6="",ROW()&lt;$B$5),"",IF(INDEX($A:$U,ROW(),$C$6)="","",INDEX($A:$U,ROW(),$C$6)))</f>
        <v/>
      </c>
      <c r="X1595" s="32">
        <f>IF($W1595="","",IF(ISNUMBER($W1595),IF($W1595&gt;=10000000,IFERROR(DATE(INT($W1595/10000),MOD(INT($W1595/100),100),MOD($W1595,100)),""),INT($W1595)),IFERROR(DATE(--LEFT(LEFT(SUBSTITUTE(SUBSTITUTE(SUBSTITUTE(SUBSTITUTE(TRIM($W1595),"-",""),".",""),"/","")," ",""),8),4),--MID(LEFT(SUBSTITUTE(SUBSTITUTE(SUBSTITUTE(SUBSTITUTE(TRIM($W1595),"-",""),".",""),"/","")," ",""),8),5,2),--MID(LEFT(SUBSTITUTE(SUBSTITUTE(SUBSTITUTE(SUBSTITUTE(TRIM($W1595),"-",""),".",""),"/","")," ",""),8),7,2)),"")))</f>
        <v/>
      </c>
      <c r="Y1595" s="32">
        <f>IF($X1595="","",INT($X1595))</f>
        <v/>
      </c>
      <c r="Z1595" s="33">
        <f>IF(OR($Y1595="",$D$6=""),"",IF(INDEX($A:$U,ROW(),$D$6)="",0,IF(ISNUMBER(INDEX($A:$U,ROW(),$D$6)),INDEX($A:$U,ROW(),$D$6),IFERROR(--SUBSTITUTE(SUBSTITUTE(TRIM(INDEX($A:$U,ROW(),$D$6)),",",""),"원",""),0))))</f>
        <v/>
      </c>
      <c r="AA1595" s="31">
        <f>IF($Y1595="","",TRIM(INDEX($A:$U,ROW(),$E$6)&amp;IF($F$6="",""," "&amp;INDEX($A:$U,ROW(),$F$6))))</f>
        <v/>
      </c>
      <c r="AB1595" s="31">
        <f>IF($AA1595="","",SUBSTITUTE(SUBSTITUTE(SUBSTITUTE(SUBSTITUTE(SUBSTITUTE(SUBSTITUTE(SUBSTITUTE(SUBSTITUTE(SUBSTITUTE($AA1595," ",""),"　",""),"(주)",""),"（주）",""),"㈜",""),"주식회사",""),"(유)",""),"（유）",""),"유한회사",""))</f>
        <v/>
      </c>
      <c r="AC1595" s="31">
        <f>IF(OR($Y1595="",N($Z1595)&lt;=0,$AB1595=""),0,IFERROR(LOOKUP(2,1/((거래처별!$AC$8:$AC$307&lt;&gt;"")*ISNUMBER(SEARCH(거래처별!$AC$8:$AC$307,$AB1595))),거래처별!$A$8:$A$307),IFERROR(LOOKUP(2,1/((거래처별!$AD$8:$AD$307&lt;&gt;"")*ISNUMBER(SEARCH(거래처별!$AD$8:$AD$307,$AB1595))),거래처별!$A$8:$A$307),IFERROR(LOOKUP(2,1/((거래처별!$AE$8:$AE$307&lt;&gt;"")*ISNUMBER(SEARCH(거래처별!$AE$8:$AE$307,$AB1595))),거래처별!$A$8:$A$307),0))))</f>
        <v/>
      </c>
      <c r="AD1595" s="31">
        <f>IF(AND($Y1595&lt;&gt;"",N($Z1595)&gt;0,$AC1595=0),MAX($AD$7:$AD1594)+1,"")</f>
        <v/>
      </c>
      <c r="AE1595" s="31">
        <f>IF($Y1595="",0,$Y1595)</f>
        <v/>
      </c>
    </row>
    <row r="1596">
      <c r="W1596" s="31">
        <f>IF(OR($B$5="",$C$6="",ROW()&lt;$B$5),"",IF(INDEX($A:$U,ROW(),$C$6)="","",INDEX($A:$U,ROW(),$C$6)))</f>
        <v/>
      </c>
      <c r="X1596" s="32">
        <f>IF($W1596="","",IF(ISNUMBER($W1596),IF($W1596&gt;=10000000,IFERROR(DATE(INT($W1596/10000),MOD(INT($W1596/100),100),MOD($W1596,100)),""),INT($W1596)),IFERROR(DATE(--LEFT(LEFT(SUBSTITUTE(SUBSTITUTE(SUBSTITUTE(SUBSTITUTE(TRIM($W1596),"-",""),".",""),"/","")," ",""),8),4),--MID(LEFT(SUBSTITUTE(SUBSTITUTE(SUBSTITUTE(SUBSTITUTE(TRIM($W1596),"-",""),".",""),"/","")," ",""),8),5,2),--MID(LEFT(SUBSTITUTE(SUBSTITUTE(SUBSTITUTE(SUBSTITUTE(TRIM($W1596),"-",""),".",""),"/","")," ",""),8),7,2)),"")))</f>
        <v/>
      </c>
      <c r="Y1596" s="32">
        <f>IF($X1596="","",INT($X1596))</f>
        <v/>
      </c>
      <c r="Z1596" s="33">
        <f>IF(OR($Y1596="",$D$6=""),"",IF(INDEX($A:$U,ROW(),$D$6)="",0,IF(ISNUMBER(INDEX($A:$U,ROW(),$D$6)),INDEX($A:$U,ROW(),$D$6),IFERROR(--SUBSTITUTE(SUBSTITUTE(TRIM(INDEX($A:$U,ROW(),$D$6)),",",""),"원",""),0))))</f>
        <v/>
      </c>
      <c r="AA1596" s="31">
        <f>IF($Y1596="","",TRIM(INDEX($A:$U,ROW(),$E$6)&amp;IF($F$6="",""," "&amp;INDEX($A:$U,ROW(),$F$6))))</f>
        <v/>
      </c>
      <c r="AB1596" s="31">
        <f>IF($AA1596="","",SUBSTITUTE(SUBSTITUTE(SUBSTITUTE(SUBSTITUTE(SUBSTITUTE(SUBSTITUTE(SUBSTITUTE(SUBSTITUTE(SUBSTITUTE($AA1596," ",""),"　",""),"(주)",""),"（주）",""),"㈜",""),"주식회사",""),"(유)",""),"（유）",""),"유한회사",""))</f>
        <v/>
      </c>
      <c r="AC1596" s="31">
        <f>IF(OR($Y1596="",N($Z1596)&lt;=0,$AB1596=""),0,IFERROR(LOOKUP(2,1/((거래처별!$AC$8:$AC$307&lt;&gt;"")*ISNUMBER(SEARCH(거래처별!$AC$8:$AC$307,$AB1596))),거래처별!$A$8:$A$307),IFERROR(LOOKUP(2,1/((거래처별!$AD$8:$AD$307&lt;&gt;"")*ISNUMBER(SEARCH(거래처별!$AD$8:$AD$307,$AB1596))),거래처별!$A$8:$A$307),IFERROR(LOOKUP(2,1/((거래처별!$AE$8:$AE$307&lt;&gt;"")*ISNUMBER(SEARCH(거래처별!$AE$8:$AE$307,$AB1596))),거래처별!$A$8:$A$307),0))))</f>
        <v/>
      </c>
      <c r="AD1596" s="31">
        <f>IF(AND($Y1596&lt;&gt;"",N($Z1596)&gt;0,$AC1596=0),MAX($AD$7:$AD1595)+1,"")</f>
        <v/>
      </c>
      <c r="AE1596" s="31">
        <f>IF($Y1596="",0,$Y1596)</f>
        <v/>
      </c>
    </row>
    <row r="1597">
      <c r="W1597" s="31">
        <f>IF(OR($B$5="",$C$6="",ROW()&lt;$B$5),"",IF(INDEX($A:$U,ROW(),$C$6)="","",INDEX($A:$U,ROW(),$C$6)))</f>
        <v/>
      </c>
      <c r="X1597" s="32">
        <f>IF($W1597="","",IF(ISNUMBER($W1597),IF($W1597&gt;=10000000,IFERROR(DATE(INT($W1597/10000),MOD(INT($W1597/100),100),MOD($W1597,100)),""),INT($W1597)),IFERROR(DATE(--LEFT(LEFT(SUBSTITUTE(SUBSTITUTE(SUBSTITUTE(SUBSTITUTE(TRIM($W1597),"-",""),".",""),"/","")," ",""),8),4),--MID(LEFT(SUBSTITUTE(SUBSTITUTE(SUBSTITUTE(SUBSTITUTE(TRIM($W1597),"-",""),".",""),"/","")," ",""),8),5,2),--MID(LEFT(SUBSTITUTE(SUBSTITUTE(SUBSTITUTE(SUBSTITUTE(TRIM($W1597),"-",""),".",""),"/","")," ",""),8),7,2)),"")))</f>
        <v/>
      </c>
      <c r="Y1597" s="32">
        <f>IF($X1597="","",INT($X1597))</f>
        <v/>
      </c>
      <c r="Z1597" s="33">
        <f>IF(OR($Y1597="",$D$6=""),"",IF(INDEX($A:$U,ROW(),$D$6)="",0,IF(ISNUMBER(INDEX($A:$U,ROW(),$D$6)),INDEX($A:$U,ROW(),$D$6),IFERROR(--SUBSTITUTE(SUBSTITUTE(TRIM(INDEX($A:$U,ROW(),$D$6)),",",""),"원",""),0))))</f>
        <v/>
      </c>
      <c r="AA1597" s="31">
        <f>IF($Y1597="","",TRIM(INDEX($A:$U,ROW(),$E$6)&amp;IF($F$6="",""," "&amp;INDEX($A:$U,ROW(),$F$6))))</f>
        <v/>
      </c>
      <c r="AB1597" s="31">
        <f>IF($AA1597="","",SUBSTITUTE(SUBSTITUTE(SUBSTITUTE(SUBSTITUTE(SUBSTITUTE(SUBSTITUTE(SUBSTITUTE(SUBSTITUTE(SUBSTITUTE($AA1597," ",""),"　",""),"(주)",""),"（주）",""),"㈜",""),"주식회사",""),"(유)",""),"（유）",""),"유한회사",""))</f>
        <v/>
      </c>
      <c r="AC1597" s="31">
        <f>IF(OR($Y1597="",N($Z1597)&lt;=0,$AB1597=""),0,IFERROR(LOOKUP(2,1/((거래처별!$AC$8:$AC$307&lt;&gt;"")*ISNUMBER(SEARCH(거래처별!$AC$8:$AC$307,$AB1597))),거래처별!$A$8:$A$307),IFERROR(LOOKUP(2,1/((거래처별!$AD$8:$AD$307&lt;&gt;"")*ISNUMBER(SEARCH(거래처별!$AD$8:$AD$307,$AB1597))),거래처별!$A$8:$A$307),IFERROR(LOOKUP(2,1/((거래처별!$AE$8:$AE$307&lt;&gt;"")*ISNUMBER(SEARCH(거래처별!$AE$8:$AE$307,$AB1597))),거래처별!$A$8:$A$307),0))))</f>
        <v/>
      </c>
      <c r="AD1597" s="31">
        <f>IF(AND($Y1597&lt;&gt;"",N($Z1597)&gt;0,$AC1597=0),MAX($AD$7:$AD1596)+1,"")</f>
        <v/>
      </c>
      <c r="AE1597" s="31">
        <f>IF($Y1597="",0,$Y1597)</f>
        <v/>
      </c>
    </row>
    <row r="1598">
      <c r="W1598" s="31">
        <f>IF(OR($B$5="",$C$6="",ROW()&lt;$B$5),"",IF(INDEX($A:$U,ROW(),$C$6)="","",INDEX($A:$U,ROW(),$C$6)))</f>
        <v/>
      </c>
      <c r="X1598" s="32">
        <f>IF($W1598="","",IF(ISNUMBER($W1598),IF($W1598&gt;=10000000,IFERROR(DATE(INT($W1598/10000),MOD(INT($W1598/100),100),MOD($W1598,100)),""),INT($W1598)),IFERROR(DATE(--LEFT(LEFT(SUBSTITUTE(SUBSTITUTE(SUBSTITUTE(SUBSTITUTE(TRIM($W1598),"-",""),".",""),"/","")," ",""),8),4),--MID(LEFT(SUBSTITUTE(SUBSTITUTE(SUBSTITUTE(SUBSTITUTE(TRIM($W1598),"-",""),".",""),"/","")," ",""),8),5,2),--MID(LEFT(SUBSTITUTE(SUBSTITUTE(SUBSTITUTE(SUBSTITUTE(TRIM($W1598),"-",""),".",""),"/","")," ",""),8),7,2)),"")))</f>
        <v/>
      </c>
      <c r="Y1598" s="32">
        <f>IF($X1598="","",INT($X1598))</f>
        <v/>
      </c>
      <c r="Z1598" s="33">
        <f>IF(OR($Y1598="",$D$6=""),"",IF(INDEX($A:$U,ROW(),$D$6)="",0,IF(ISNUMBER(INDEX($A:$U,ROW(),$D$6)),INDEX($A:$U,ROW(),$D$6),IFERROR(--SUBSTITUTE(SUBSTITUTE(TRIM(INDEX($A:$U,ROW(),$D$6)),",",""),"원",""),0))))</f>
        <v/>
      </c>
      <c r="AA1598" s="31">
        <f>IF($Y1598="","",TRIM(INDEX($A:$U,ROW(),$E$6)&amp;IF($F$6="",""," "&amp;INDEX($A:$U,ROW(),$F$6))))</f>
        <v/>
      </c>
      <c r="AB1598" s="31">
        <f>IF($AA1598="","",SUBSTITUTE(SUBSTITUTE(SUBSTITUTE(SUBSTITUTE(SUBSTITUTE(SUBSTITUTE(SUBSTITUTE(SUBSTITUTE(SUBSTITUTE($AA1598," ",""),"　",""),"(주)",""),"（주）",""),"㈜",""),"주식회사",""),"(유)",""),"（유）",""),"유한회사",""))</f>
        <v/>
      </c>
      <c r="AC1598" s="31">
        <f>IF(OR($Y1598="",N($Z1598)&lt;=0,$AB1598=""),0,IFERROR(LOOKUP(2,1/((거래처별!$AC$8:$AC$307&lt;&gt;"")*ISNUMBER(SEARCH(거래처별!$AC$8:$AC$307,$AB1598))),거래처별!$A$8:$A$307),IFERROR(LOOKUP(2,1/((거래처별!$AD$8:$AD$307&lt;&gt;"")*ISNUMBER(SEARCH(거래처별!$AD$8:$AD$307,$AB1598))),거래처별!$A$8:$A$307),IFERROR(LOOKUP(2,1/((거래처별!$AE$8:$AE$307&lt;&gt;"")*ISNUMBER(SEARCH(거래처별!$AE$8:$AE$307,$AB1598))),거래처별!$A$8:$A$307),0))))</f>
        <v/>
      </c>
      <c r="AD1598" s="31">
        <f>IF(AND($Y1598&lt;&gt;"",N($Z1598)&gt;0,$AC1598=0),MAX($AD$7:$AD1597)+1,"")</f>
        <v/>
      </c>
      <c r="AE1598" s="31">
        <f>IF($Y1598="",0,$Y1598)</f>
        <v/>
      </c>
    </row>
    <row r="1599">
      <c r="W1599" s="31">
        <f>IF(OR($B$5="",$C$6="",ROW()&lt;$B$5),"",IF(INDEX($A:$U,ROW(),$C$6)="","",INDEX($A:$U,ROW(),$C$6)))</f>
        <v/>
      </c>
      <c r="X1599" s="32">
        <f>IF($W1599="","",IF(ISNUMBER($W1599),IF($W1599&gt;=10000000,IFERROR(DATE(INT($W1599/10000),MOD(INT($W1599/100),100),MOD($W1599,100)),""),INT($W1599)),IFERROR(DATE(--LEFT(LEFT(SUBSTITUTE(SUBSTITUTE(SUBSTITUTE(SUBSTITUTE(TRIM($W1599),"-",""),".",""),"/","")," ",""),8),4),--MID(LEFT(SUBSTITUTE(SUBSTITUTE(SUBSTITUTE(SUBSTITUTE(TRIM($W1599),"-",""),".",""),"/","")," ",""),8),5,2),--MID(LEFT(SUBSTITUTE(SUBSTITUTE(SUBSTITUTE(SUBSTITUTE(TRIM($W1599),"-",""),".",""),"/","")," ",""),8),7,2)),"")))</f>
        <v/>
      </c>
      <c r="Y1599" s="32">
        <f>IF($X1599="","",INT($X1599))</f>
        <v/>
      </c>
      <c r="Z1599" s="33">
        <f>IF(OR($Y1599="",$D$6=""),"",IF(INDEX($A:$U,ROW(),$D$6)="",0,IF(ISNUMBER(INDEX($A:$U,ROW(),$D$6)),INDEX($A:$U,ROW(),$D$6),IFERROR(--SUBSTITUTE(SUBSTITUTE(TRIM(INDEX($A:$U,ROW(),$D$6)),",",""),"원",""),0))))</f>
        <v/>
      </c>
      <c r="AA1599" s="31">
        <f>IF($Y1599="","",TRIM(INDEX($A:$U,ROW(),$E$6)&amp;IF($F$6="",""," "&amp;INDEX($A:$U,ROW(),$F$6))))</f>
        <v/>
      </c>
      <c r="AB1599" s="31">
        <f>IF($AA1599="","",SUBSTITUTE(SUBSTITUTE(SUBSTITUTE(SUBSTITUTE(SUBSTITUTE(SUBSTITUTE(SUBSTITUTE(SUBSTITUTE(SUBSTITUTE($AA1599," ",""),"　",""),"(주)",""),"（주）",""),"㈜",""),"주식회사",""),"(유)",""),"（유）",""),"유한회사",""))</f>
        <v/>
      </c>
      <c r="AC1599" s="31">
        <f>IF(OR($Y1599="",N($Z1599)&lt;=0,$AB1599=""),0,IFERROR(LOOKUP(2,1/((거래처별!$AC$8:$AC$307&lt;&gt;"")*ISNUMBER(SEARCH(거래처별!$AC$8:$AC$307,$AB1599))),거래처별!$A$8:$A$307),IFERROR(LOOKUP(2,1/((거래처별!$AD$8:$AD$307&lt;&gt;"")*ISNUMBER(SEARCH(거래처별!$AD$8:$AD$307,$AB1599))),거래처별!$A$8:$A$307),IFERROR(LOOKUP(2,1/((거래처별!$AE$8:$AE$307&lt;&gt;"")*ISNUMBER(SEARCH(거래처별!$AE$8:$AE$307,$AB1599))),거래처별!$A$8:$A$307),0))))</f>
        <v/>
      </c>
      <c r="AD1599" s="31">
        <f>IF(AND($Y1599&lt;&gt;"",N($Z1599)&gt;0,$AC1599=0),MAX($AD$7:$AD1598)+1,"")</f>
        <v/>
      </c>
      <c r="AE1599" s="31">
        <f>IF($Y1599="",0,$Y1599)</f>
        <v/>
      </c>
    </row>
    <row r="1600">
      <c r="W1600" s="31">
        <f>IF(OR($B$5="",$C$6="",ROW()&lt;$B$5),"",IF(INDEX($A:$U,ROW(),$C$6)="","",INDEX($A:$U,ROW(),$C$6)))</f>
        <v/>
      </c>
      <c r="X1600" s="32">
        <f>IF($W1600="","",IF(ISNUMBER($W1600),IF($W1600&gt;=10000000,IFERROR(DATE(INT($W1600/10000),MOD(INT($W1600/100),100),MOD($W1600,100)),""),INT($W1600)),IFERROR(DATE(--LEFT(LEFT(SUBSTITUTE(SUBSTITUTE(SUBSTITUTE(SUBSTITUTE(TRIM($W1600),"-",""),".",""),"/","")," ",""),8),4),--MID(LEFT(SUBSTITUTE(SUBSTITUTE(SUBSTITUTE(SUBSTITUTE(TRIM($W1600),"-",""),".",""),"/","")," ",""),8),5,2),--MID(LEFT(SUBSTITUTE(SUBSTITUTE(SUBSTITUTE(SUBSTITUTE(TRIM($W1600),"-",""),".",""),"/","")," ",""),8),7,2)),"")))</f>
        <v/>
      </c>
      <c r="Y1600" s="32">
        <f>IF($X1600="","",INT($X1600))</f>
        <v/>
      </c>
      <c r="Z1600" s="33">
        <f>IF(OR($Y1600="",$D$6=""),"",IF(INDEX($A:$U,ROW(),$D$6)="",0,IF(ISNUMBER(INDEX($A:$U,ROW(),$D$6)),INDEX($A:$U,ROW(),$D$6),IFERROR(--SUBSTITUTE(SUBSTITUTE(TRIM(INDEX($A:$U,ROW(),$D$6)),",",""),"원",""),0))))</f>
        <v/>
      </c>
      <c r="AA1600" s="31">
        <f>IF($Y1600="","",TRIM(INDEX($A:$U,ROW(),$E$6)&amp;IF($F$6="",""," "&amp;INDEX($A:$U,ROW(),$F$6))))</f>
        <v/>
      </c>
      <c r="AB1600" s="31">
        <f>IF($AA1600="","",SUBSTITUTE(SUBSTITUTE(SUBSTITUTE(SUBSTITUTE(SUBSTITUTE(SUBSTITUTE(SUBSTITUTE(SUBSTITUTE(SUBSTITUTE($AA1600," ",""),"　",""),"(주)",""),"（주）",""),"㈜",""),"주식회사",""),"(유)",""),"（유）",""),"유한회사",""))</f>
        <v/>
      </c>
      <c r="AC1600" s="31">
        <f>IF(OR($Y1600="",N($Z1600)&lt;=0,$AB1600=""),0,IFERROR(LOOKUP(2,1/((거래처별!$AC$8:$AC$307&lt;&gt;"")*ISNUMBER(SEARCH(거래처별!$AC$8:$AC$307,$AB1600))),거래처별!$A$8:$A$307),IFERROR(LOOKUP(2,1/((거래처별!$AD$8:$AD$307&lt;&gt;"")*ISNUMBER(SEARCH(거래처별!$AD$8:$AD$307,$AB1600))),거래처별!$A$8:$A$307),IFERROR(LOOKUP(2,1/((거래처별!$AE$8:$AE$307&lt;&gt;"")*ISNUMBER(SEARCH(거래처별!$AE$8:$AE$307,$AB1600))),거래처별!$A$8:$A$307),0))))</f>
        <v/>
      </c>
      <c r="AD1600" s="31">
        <f>IF(AND($Y1600&lt;&gt;"",N($Z1600)&gt;0,$AC1600=0),MAX($AD$7:$AD1599)+1,"")</f>
        <v/>
      </c>
      <c r="AE1600" s="31">
        <f>IF($Y1600="",0,$Y1600)</f>
        <v/>
      </c>
    </row>
    <row r="1601">
      <c r="W1601" s="31">
        <f>IF(OR($B$5="",$C$6="",ROW()&lt;$B$5),"",IF(INDEX($A:$U,ROW(),$C$6)="","",INDEX($A:$U,ROW(),$C$6)))</f>
        <v/>
      </c>
      <c r="X1601" s="32">
        <f>IF($W1601="","",IF(ISNUMBER($W1601),IF($W1601&gt;=10000000,IFERROR(DATE(INT($W1601/10000),MOD(INT($W1601/100),100),MOD($W1601,100)),""),INT($W1601)),IFERROR(DATE(--LEFT(LEFT(SUBSTITUTE(SUBSTITUTE(SUBSTITUTE(SUBSTITUTE(TRIM($W1601),"-",""),".",""),"/","")," ",""),8),4),--MID(LEFT(SUBSTITUTE(SUBSTITUTE(SUBSTITUTE(SUBSTITUTE(TRIM($W1601),"-",""),".",""),"/","")," ",""),8),5,2),--MID(LEFT(SUBSTITUTE(SUBSTITUTE(SUBSTITUTE(SUBSTITUTE(TRIM($W1601),"-",""),".",""),"/","")," ",""),8),7,2)),"")))</f>
        <v/>
      </c>
      <c r="Y1601" s="32">
        <f>IF($X1601="","",INT($X1601))</f>
        <v/>
      </c>
      <c r="Z1601" s="33">
        <f>IF(OR($Y1601="",$D$6=""),"",IF(INDEX($A:$U,ROW(),$D$6)="",0,IF(ISNUMBER(INDEX($A:$U,ROW(),$D$6)),INDEX($A:$U,ROW(),$D$6),IFERROR(--SUBSTITUTE(SUBSTITUTE(TRIM(INDEX($A:$U,ROW(),$D$6)),",",""),"원",""),0))))</f>
        <v/>
      </c>
      <c r="AA1601" s="31">
        <f>IF($Y1601="","",TRIM(INDEX($A:$U,ROW(),$E$6)&amp;IF($F$6="",""," "&amp;INDEX($A:$U,ROW(),$F$6))))</f>
        <v/>
      </c>
      <c r="AB1601" s="31">
        <f>IF($AA1601="","",SUBSTITUTE(SUBSTITUTE(SUBSTITUTE(SUBSTITUTE(SUBSTITUTE(SUBSTITUTE(SUBSTITUTE(SUBSTITUTE(SUBSTITUTE($AA1601," ",""),"　",""),"(주)",""),"（주）",""),"㈜",""),"주식회사",""),"(유)",""),"（유）",""),"유한회사",""))</f>
        <v/>
      </c>
      <c r="AC1601" s="31">
        <f>IF(OR($Y1601="",N($Z1601)&lt;=0,$AB1601=""),0,IFERROR(LOOKUP(2,1/((거래처별!$AC$8:$AC$307&lt;&gt;"")*ISNUMBER(SEARCH(거래처별!$AC$8:$AC$307,$AB1601))),거래처별!$A$8:$A$307),IFERROR(LOOKUP(2,1/((거래처별!$AD$8:$AD$307&lt;&gt;"")*ISNUMBER(SEARCH(거래처별!$AD$8:$AD$307,$AB1601))),거래처별!$A$8:$A$307),IFERROR(LOOKUP(2,1/((거래처별!$AE$8:$AE$307&lt;&gt;"")*ISNUMBER(SEARCH(거래처별!$AE$8:$AE$307,$AB1601))),거래처별!$A$8:$A$307),0))))</f>
        <v/>
      </c>
      <c r="AD1601" s="31">
        <f>IF(AND($Y1601&lt;&gt;"",N($Z1601)&gt;0,$AC1601=0),MAX($AD$7:$AD1600)+1,"")</f>
        <v/>
      </c>
      <c r="AE1601" s="31">
        <f>IF($Y1601="",0,$Y1601)</f>
        <v/>
      </c>
    </row>
    <row r="1602">
      <c r="W1602" s="31">
        <f>IF(OR($B$5="",$C$6="",ROW()&lt;$B$5),"",IF(INDEX($A:$U,ROW(),$C$6)="","",INDEX($A:$U,ROW(),$C$6)))</f>
        <v/>
      </c>
      <c r="X1602" s="32">
        <f>IF($W1602="","",IF(ISNUMBER($W1602),IF($W1602&gt;=10000000,IFERROR(DATE(INT($W1602/10000),MOD(INT($W1602/100),100),MOD($W1602,100)),""),INT($W1602)),IFERROR(DATE(--LEFT(LEFT(SUBSTITUTE(SUBSTITUTE(SUBSTITUTE(SUBSTITUTE(TRIM($W1602),"-",""),".",""),"/","")," ",""),8),4),--MID(LEFT(SUBSTITUTE(SUBSTITUTE(SUBSTITUTE(SUBSTITUTE(TRIM($W1602),"-",""),".",""),"/","")," ",""),8),5,2),--MID(LEFT(SUBSTITUTE(SUBSTITUTE(SUBSTITUTE(SUBSTITUTE(TRIM($W1602),"-",""),".",""),"/","")," ",""),8),7,2)),"")))</f>
        <v/>
      </c>
      <c r="Y1602" s="32">
        <f>IF($X1602="","",INT($X1602))</f>
        <v/>
      </c>
      <c r="Z1602" s="33">
        <f>IF(OR($Y1602="",$D$6=""),"",IF(INDEX($A:$U,ROW(),$D$6)="",0,IF(ISNUMBER(INDEX($A:$U,ROW(),$D$6)),INDEX($A:$U,ROW(),$D$6),IFERROR(--SUBSTITUTE(SUBSTITUTE(TRIM(INDEX($A:$U,ROW(),$D$6)),",",""),"원",""),0))))</f>
        <v/>
      </c>
      <c r="AA1602" s="31">
        <f>IF($Y1602="","",TRIM(INDEX($A:$U,ROW(),$E$6)&amp;IF($F$6="",""," "&amp;INDEX($A:$U,ROW(),$F$6))))</f>
        <v/>
      </c>
      <c r="AB1602" s="31">
        <f>IF($AA1602="","",SUBSTITUTE(SUBSTITUTE(SUBSTITUTE(SUBSTITUTE(SUBSTITUTE(SUBSTITUTE(SUBSTITUTE(SUBSTITUTE(SUBSTITUTE($AA1602," ",""),"　",""),"(주)",""),"（주）",""),"㈜",""),"주식회사",""),"(유)",""),"（유）",""),"유한회사",""))</f>
        <v/>
      </c>
      <c r="AC1602" s="31">
        <f>IF(OR($Y1602="",N($Z1602)&lt;=0,$AB1602=""),0,IFERROR(LOOKUP(2,1/((거래처별!$AC$8:$AC$307&lt;&gt;"")*ISNUMBER(SEARCH(거래처별!$AC$8:$AC$307,$AB1602))),거래처별!$A$8:$A$307),IFERROR(LOOKUP(2,1/((거래처별!$AD$8:$AD$307&lt;&gt;"")*ISNUMBER(SEARCH(거래처별!$AD$8:$AD$307,$AB1602))),거래처별!$A$8:$A$307),IFERROR(LOOKUP(2,1/((거래처별!$AE$8:$AE$307&lt;&gt;"")*ISNUMBER(SEARCH(거래처별!$AE$8:$AE$307,$AB1602))),거래처별!$A$8:$A$307),0))))</f>
        <v/>
      </c>
      <c r="AD1602" s="31">
        <f>IF(AND($Y1602&lt;&gt;"",N($Z1602)&gt;0,$AC1602=0),MAX($AD$7:$AD1601)+1,"")</f>
        <v/>
      </c>
      <c r="AE1602" s="31">
        <f>IF($Y1602="",0,$Y1602)</f>
        <v/>
      </c>
    </row>
    <row r="1603">
      <c r="W1603" s="31">
        <f>IF(OR($B$5="",$C$6="",ROW()&lt;$B$5),"",IF(INDEX($A:$U,ROW(),$C$6)="","",INDEX($A:$U,ROW(),$C$6)))</f>
        <v/>
      </c>
      <c r="X1603" s="32">
        <f>IF($W1603="","",IF(ISNUMBER($W1603),IF($W1603&gt;=10000000,IFERROR(DATE(INT($W1603/10000),MOD(INT($W1603/100),100),MOD($W1603,100)),""),INT($W1603)),IFERROR(DATE(--LEFT(LEFT(SUBSTITUTE(SUBSTITUTE(SUBSTITUTE(SUBSTITUTE(TRIM($W1603),"-",""),".",""),"/","")," ",""),8),4),--MID(LEFT(SUBSTITUTE(SUBSTITUTE(SUBSTITUTE(SUBSTITUTE(TRIM($W1603),"-",""),".",""),"/","")," ",""),8),5,2),--MID(LEFT(SUBSTITUTE(SUBSTITUTE(SUBSTITUTE(SUBSTITUTE(TRIM($W1603),"-",""),".",""),"/","")," ",""),8),7,2)),"")))</f>
        <v/>
      </c>
      <c r="Y1603" s="32">
        <f>IF($X1603="","",INT($X1603))</f>
        <v/>
      </c>
      <c r="Z1603" s="33">
        <f>IF(OR($Y1603="",$D$6=""),"",IF(INDEX($A:$U,ROW(),$D$6)="",0,IF(ISNUMBER(INDEX($A:$U,ROW(),$D$6)),INDEX($A:$U,ROW(),$D$6),IFERROR(--SUBSTITUTE(SUBSTITUTE(TRIM(INDEX($A:$U,ROW(),$D$6)),",",""),"원",""),0))))</f>
        <v/>
      </c>
      <c r="AA1603" s="31">
        <f>IF($Y1603="","",TRIM(INDEX($A:$U,ROW(),$E$6)&amp;IF($F$6="",""," "&amp;INDEX($A:$U,ROW(),$F$6))))</f>
        <v/>
      </c>
      <c r="AB1603" s="31">
        <f>IF($AA1603="","",SUBSTITUTE(SUBSTITUTE(SUBSTITUTE(SUBSTITUTE(SUBSTITUTE(SUBSTITUTE(SUBSTITUTE(SUBSTITUTE(SUBSTITUTE($AA1603," ",""),"　",""),"(주)",""),"（주）",""),"㈜",""),"주식회사",""),"(유)",""),"（유）",""),"유한회사",""))</f>
        <v/>
      </c>
      <c r="AC1603" s="31">
        <f>IF(OR($Y1603="",N($Z1603)&lt;=0,$AB1603=""),0,IFERROR(LOOKUP(2,1/((거래처별!$AC$8:$AC$307&lt;&gt;"")*ISNUMBER(SEARCH(거래처별!$AC$8:$AC$307,$AB1603))),거래처별!$A$8:$A$307),IFERROR(LOOKUP(2,1/((거래처별!$AD$8:$AD$307&lt;&gt;"")*ISNUMBER(SEARCH(거래처별!$AD$8:$AD$307,$AB1603))),거래처별!$A$8:$A$307),IFERROR(LOOKUP(2,1/((거래처별!$AE$8:$AE$307&lt;&gt;"")*ISNUMBER(SEARCH(거래처별!$AE$8:$AE$307,$AB1603))),거래처별!$A$8:$A$307),0))))</f>
        <v/>
      </c>
      <c r="AD1603" s="31">
        <f>IF(AND($Y1603&lt;&gt;"",N($Z1603)&gt;0,$AC1603=0),MAX($AD$7:$AD1602)+1,"")</f>
        <v/>
      </c>
      <c r="AE1603" s="31">
        <f>IF($Y1603="",0,$Y1603)</f>
        <v/>
      </c>
    </row>
    <row r="1604">
      <c r="W1604" s="31">
        <f>IF(OR($B$5="",$C$6="",ROW()&lt;$B$5),"",IF(INDEX($A:$U,ROW(),$C$6)="","",INDEX($A:$U,ROW(),$C$6)))</f>
        <v/>
      </c>
      <c r="X1604" s="32">
        <f>IF($W1604="","",IF(ISNUMBER($W1604),IF($W1604&gt;=10000000,IFERROR(DATE(INT($W1604/10000),MOD(INT($W1604/100),100),MOD($W1604,100)),""),INT($W1604)),IFERROR(DATE(--LEFT(LEFT(SUBSTITUTE(SUBSTITUTE(SUBSTITUTE(SUBSTITUTE(TRIM($W1604),"-",""),".",""),"/","")," ",""),8),4),--MID(LEFT(SUBSTITUTE(SUBSTITUTE(SUBSTITUTE(SUBSTITUTE(TRIM($W1604),"-",""),".",""),"/","")," ",""),8),5,2),--MID(LEFT(SUBSTITUTE(SUBSTITUTE(SUBSTITUTE(SUBSTITUTE(TRIM($W1604),"-",""),".",""),"/","")," ",""),8),7,2)),"")))</f>
        <v/>
      </c>
      <c r="Y1604" s="32">
        <f>IF($X1604="","",INT($X1604))</f>
        <v/>
      </c>
      <c r="Z1604" s="33">
        <f>IF(OR($Y1604="",$D$6=""),"",IF(INDEX($A:$U,ROW(),$D$6)="",0,IF(ISNUMBER(INDEX($A:$U,ROW(),$D$6)),INDEX($A:$U,ROW(),$D$6),IFERROR(--SUBSTITUTE(SUBSTITUTE(TRIM(INDEX($A:$U,ROW(),$D$6)),",",""),"원",""),0))))</f>
        <v/>
      </c>
      <c r="AA1604" s="31">
        <f>IF($Y1604="","",TRIM(INDEX($A:$U,ROW(),$E$6)&amp;IF($F$6="",""," "&amp;INDEX($A:$U,ROW(),$F$6))))</f>
        <v/>
      </c>
      <c r="AB1604" s="31">
        <f>IF($AA1604="","",SUBSTITUTE(SUBSTITUTE(SUBSTITUTE(SUBSTITUTE(SUBSTITUTE(SUBSTITUTE(SUBSTITUTE(SUBSTITUTE(SUBSTITUTE($AA1604," ",""),"　",""),"(주)",""),"（주）",""),"㈜",""),"주식회사",""),"(유)",""),"（유）",""),"유한회사",""))</f>
        <v/>
      </c>
      <c r="AC1604" s="31">
        <f>IF(OR($Y1604="",N($Z1604)&lt;=0,$AB1604=""),0,IFERROR(LOOKUP(2,1/((거래처별!$AC$8:$AC$307&lt;&gt;"")*ISNUMBER(SEARCH(거래처별!$AC$8:$AC$307,$AB1604))),거래처별!$A$8:$A$307),IFERROR(LOOKUP(2,1/((거래처별!$AD$8:$AD$307&lt;&gt;"")*ISNUMBER(SEARCH(거래처별!$AD$8:$AD$307,$AB1604))),거래처별!$A$8:$A$307),IFERROR(LOOKUP(2,1/((거래처별!$AE$8:$AE$307&lt;&gt;"")*ISNUMBER(SEARCH(거래처별!$AE$8:$AE$307,$AB1604))),거래처별!$A$8:$A$307),0))))</f>
        <v/>
      </c>
      <c r="AD1604" s="31">
        <f>IF(AND($Y1604&lt;&gt;"",N($Z1604)&gt;0,$AC1604=0),MAX($AD$7:$AD1603)+1,"")</f>
        <v/>
      </c>
      <c r="AE1604" s="31">
        <f>IF($Y1604="",0,$Y1604)</f>
        <v/>
      </c>
    </row>
    <row r="1605">
      <c r="W1605" s="31">
        <f>IF(OR($B$5="",$C$6="",ROW()&lt;$B$5),"",IF(INDEX($A:$U,ROW(),$C$6)="","",INDEX($A:$U,ROW(),$C$6)))</f>
        <v/>
      </c>
      <c r="X1605" s="32">
        <f>IF($W1605="","",IF(ISNUMBER($W1605),IF($W1605&gt;=10000000,IFERROR(DATE(INT($W1605/10000),MOD(INT($W1605/100),100),MOD($W1605,100)),""),INT($W1605)),IFERROR(DATE(--LEFT(LEFT(SUBSTITUTE(SUBSTITUTE(SUBSTITUTE(SUBSTITUTE(TRIM($W1605),"-",""),".",""),"/","")," ",""),8),4),--MID(LEFT(SUBSTITUTE(SUBSTITUTE(SUBSTITUTE(SUBSTITUTE(TRIM($W1605),"-",""),".",""),"/","")," ",""),8),5,2),--MID(LEFT(SUBSTITUTE(SUBSTITUTE(SUBSTITUTE(SUBSTITUTE(TRIM($W1605),"-",""),".",""),"/","")," ",""),8),7,2)),"")))</f>
        <v/>
      </c>
      <c r="Y1605" s="32">
        <f>IF($X1605="","",INT($X1605))</f>
        <v/>
      </c>
      <c r="Z1605" s="33">
        <f>IF(OR($Y1605="",$D$6=""),"",IF(INDEX($A:$U,ROW(),$D$6)="",0,IF(ISNUMBER(INDEX($A:$U,ROW(),$D$6)),INDEX($A:$U,ROW(),$D$6),IFERROR(--SUBSTITUTE(SUBSTITUTE(TRIM(INDEX($A:$U,ROW(),$D$6)),",",""),"원",""),0))))</f>
        <v/>
      </c>
      <c r="AA1605" s="31">
        <f>IF($Y1605="","",TRIM(INDEX($A:$U,ROW(),$E$6)&amp;IF($F$6="",""," "&amp;INDEX($A:$U,ROW(),$F$6))))</f>
        <v/>
      </c>
      <c r="AB1605" s="31">
        <f>IF($AA1605="","",SUBSTITUTE(SUBSTITUTE(SUBSTITUTE(SUBSTITUTE(SUBSTITUTE(SUBSTITUTE(SUBSTITUTE(SUBSTITUTE(SUBSTITUTE($AA1605," ",""),"　",""),"(주)",""),"（주）",""),"㈜",""),"주식회사",""),"(유)",""),"（유）",""),"유한회사",""))</f>
        <v/>
      </c>
      <c r="AC1605" s="31">
        <f>IF(OR($Y1605="",N($Z1605)&lt;=0,$AB1605=""),0,IFERROR(LOOKUP(2,1/((거래처별!$AC$8:$AC$307&lt;&gt;"")*ISNUMBER(SEARCH(거래처별!$AC$8:$AC$307,$AB1605))),거래처별!$A$8:$A$307),IFERROR(LOOKUP(2,1/((거래처별!$AD$8:$AD$307&lt;&gt;"")*ISNUMBER(SEARCH(거래처별!$AD$8:$AD$307,$AB1605))),거래처별!$A$8:$A$307),IFERROR(LOOKUP(2,1/((거래처별!$AE$8:$AE$307&lt;&gt;"")*ISNUMBER(SEARCH(거래처별!$AE$8:$AE$307,$AB1605))),거래처별!$A$8:$A$307),0))))</f>
        <v/>
      </c>
      <c r="AD1605" s="31">
        <f>IF(AND($Y1605&lt;&gt;"",N($Z1605)&gt;0,$AC1605=0),MAX($AD$7:$AD1604)+1,"")</f>
        <v/>
      </c>
      <c r="AE1605" s="31">
        <f>IF($Y1605="",0,$Y1605)</f>
        <v/>
      </c>
    </row>
    <row r="1606">
      <c r="W1606" s="31">
        <f>IF(OR($B$5="",$C$6="",ROW()&lt;$B$5),"",IF(INDEX($A:$U,ROW(),$C$6)="","",INDEX($A:$U,ROW(),$C$6)))</f>
        <v/>
      </c>
      <c r="X1606" s="32">
        <f>IF($W1606="","",IF(ISNUMBER($W1606),IF($W1606&gt;=10000000,IFERROR(DATE(INT($W1606/10000),MOD(INT($W1606/100),100),MOD($W1606,100)),""),INT($W1606)),IFERROR(DATE(--LEFT(LEFT(SUBSTITUTE(SUBSTITUTE(SUBSTITUTE(SUBSTITUTE(TRIM($W1606),"-",""),".",""),"/","")," ",""),8),4),--MID(LEFT(SUBSTITUTE(SUBSTITUTE(SUBSTITUTE(SUBSTITUTE(TRIM($W1606),"-",""),".",""),"/","")," ",""),8),5,2),--MID(LEFT(SUBSTITUTE(SUBSTITUTE(SUBSTITUTE(SUBSTITUTE(TRIM($W1606),"-",""),".",""),"/","")," ",""),8),7,2)),"")))</f>
        <v/>
      </c>
      <c r="Y1606" s="32">
        <f>IF($X1606="","",INT($X1606))</f>
        <v/>
      </c>
      <c r="Z1606" s="33">
        <f>IF(OR($Y1606="",$D$6=""),"",IF(INDEX($A:$U,ROW(),$D$6)="",0,IF(ISNUMBER(INDEX($A:$U,ROW(),$D$6)),INDEX($A:$U,ROW(),$D$6),IFERROR(--SUBSTITUTE(SUBSTITUTE(TRIM(INDEX($A:$U,ROW(),$D$6)),",",""),"원",""),0))))</f>
        <v/>
      </c>
      <c r="AA1606" s="31">
        <f>IF($Y1606="","",TRIM(INDEX($A:$U,ROW(),$E$6)&amp;IF($F$6="",""," "&amp;INDEX($A:$U,ROW(),$F$6))))</f>
        <v/>
      </c>
      <c r="AB1606" s="31">
        <f>IF($AA1606="","",SUBSTITUTE(SUBSTITUTE(SUBSTITUTE(SUBSTITUTE(SUBSTITUTE(SUBSTITUTE(SUBSTITUTE(SUBSTITUTE(SUBSTITUTE($AA1606," ",""),"　",""),"(주)",""),"（주）",""),"㈜",""),"주식회사",""),"(유)",""),"（유）",""),"유한회사",""))</f>
        <v/>
      </c>
      <c r="AC1606" s="31">
        <f>IF(OR($Y1606="",N($Z1606)&lt;=0,$AB1606=""),0,IFERROR(LOOKUP(2,1/((거래처별!$AC$8:$AC$307&lt;&gt;"")*ISNUMBER(SEARCH(거래처별!$AC$8:$AC$307,$AB1606))),거래처별!$A$8:$A$307),IFERROR(LOOKUP(2,1/((거래처별!$AD$8:$AD$307&lt;&gt;"")*ISNUMBER(SEARCH(거래처별!$AD$8:$AD$307,$AB1606))),거래처별!$A$8:$A$307),IFERROR(LOOKUP(2,1/((거래처별!$AE$8:$AE$307&lt;&gt;"")*ISNUMBER(SEARCH(거래처별!$AE$8:$AE$307,$AB1606))),거래처별!$A$8:$A$307),0))))</f>
        <v/>
      </c>
      <c r="AD1606" s="31">
        <f>IF(AND($Y1606&lt;&gt;"",N($Z1606)&gt;0,$AC1606=0),MAX($AD$7:$AD1605)+1,"")</f>
        <v/>
      </c>
      <c r="AE1606" s="31">
        <f>IF($Y1606="",0,$Y1606)</f>
        <v/>
      </c>
    </row>
    <row r="1607">
      <c r="W1607" s="31">
        <f>IF(OR($B$5="",$C$6="",ROW()&lt;$B$5),"",IF(INDEX($A:$U,ROW(),$C$6)="","",INDEX($A:$U,ROW(),$C$6)))</f>
        <v/>
      </c>
      <c r="X1607" s="32">
        <f>IF($W1607="","",IF(ISNUMBER($W1607),IF($W1607&gt;=10000000,IFERROR(DATE(INT($W1607/10000),MOD(INT($W1607/100),100),MOD($W1607,100)),""),INT($W1607)),IFERROR(DATE(--LEFT(LEFT(SUBSTITUTE(SUBSTITUTE(SUBSTITUTE(SUBSTITUTE(TRIM($W1607),"-",""),".",""),"/","")," ",""),8),4),--MID(LEFT(SUBSTITUTE(SUBSTITUTE(SUBSTITUTE(SUBSTITUTE(TRIM($W1607),"-",""),".",""),"/","")," ",""),8),5,2),--MID(LEFT(SUBSTITUTE(SUBSTITUTE(SUBSTITUTE(SUBSTITUTE(TRIM($W1607),"-",""),".",""),"/","")," ",""),8),7,2)),"")))</f>
        <v/>
      </c>
      <c r="Y1607" s="32">
        <f>IF($X1607="","",INT($X1607))</f>
        <v/>
      </c>
      <c r="Z1607" s="33">
        <f>IF(OR($Y1607="",$D$6=""),"",IF(INDEX($A:$U,ROW(),$D$6)="",0,IF(ISNUMBER(INDEX($A:$U,ROW(),$D$6)),INDEX($A:$U,ROW(),$D$6),IFERROR(--SUBSTITUTE(SUBSTITUTE(TRIM(INDEX($A:$U,ROW(),$D$6)),",",""),"원",""),0))))</f>
        <v/>
      </c>
      <c r="AA1607" s="31">
        <f>IF($Y1607="","",TRIM(INDEX($A:$U,ROW(),$E$6)&amp;IF($F$6="",""," "&amp;INDEX($A:$U,ROW(),$F$6))))</f>
        <v/>
      </c>
      <c r="AB1607" s="31">
        <f>IF($AA1607="","",SUBSTITUTE(SUBSTITUTE(SUBSTITUTE(SUBSTITUTE(SUBSTITUTE(SUBSTITUTE(SUBSTITUTE(SUBSTITUTE(SUBSTITUTE($AA1607," ",""),"　",""),"(주)",""),"（주）",""),"㈜",""),"주식회사",""),"(유)",""),"（유）",""),"유한회사",""))</f>
        <v/>
      </c>
      <c r="AC1607" s="31">
        <f>IF(OR($Y1607="",N($Z1607)&lt;=0,$AB1607=""),0,IFERROR(LOOKUP(2,1/((거래처별!$AC$8:$AC$307&lt;&gt;"")*ISNUMBER(SEARCH(거래처별!$AC$8:$AC$307,$AB1607))),거래처별!$A$8:$A$307),IFERROR(LOOKUP(2,1/((거래처별!$AD$8:$AD$307&lt;&gt;"")*ISNUMBER(SEARCH(거래처별!$AD$8:$AD$307,$AB1607))),거래처별!$A$8:$A$307),IFERROR(LOOKUP(2,1/((거래처별!$AE$8:$AE$307&lt;&gt;"")*ISNUMBER(SEARCH(거래처별!$AE$8:$AE$307,$AB1607))),거래처별!$A$8:$A$307),0))))</f>
        <v/>
      </c>
      <c r="AD1607" s="31">
        <f>IF(AND($Y1607&lt;&gt;"",N($Z1607)&gt;0,$AC1607=0),MAX($AD$7:$AD1606)+1,"")</f>
        <v/>
      </c>
      <c r="AE1607" s="31">
        <f>IF($Y1607="",0,$Y1607)</f>
        <v/>
      </c>
    </row>
    <row r="1608">
      <c r="W1608" s="31">
        <f>IF(OR($B$5="",$C$6="",ROW()&lt;$B$5),"",IF(INDEX($A:$U,ROW(),$C$6)="","",INDEX($A:$U,ROW(),$C$6)))</f>
        <v/>
      </c>
      <c r="X1608" s="32">
        <f>IF($W1608="","",IF(ISNUMBER($W1608),IF($W1608&gt;=10000000,IFERROR(DATE(INT($W1608/10000),MOD(INT($W1608/100),100),MOD($W1608,100)),""),INT($W1608)),IFERROR(DATE(--LEFT(LEFT(SUBSTITUTE(SUBSTITUTE(SUBSTITUTE(SUBSTITUTE(TRIM($W1608),"-",""),".",""),"/","")," ",""),8),4),--MID(LEFT(SUBSTITUTE(SUBSTITUTE(SUBSTITUTE(SUBSTITUTE(TRIM($W1608),"-",""),".",""),"/","")," ",""),8),5,2),--MID(LEFT(SUBSTITUTE(SUBSTITUTE(SUBSTITUTE(SUBSTITUTE(TRIM($W1608),"-",""),".",""),"/","")," ",""),8),7,2)),"")))</f>
        <v/>
      </c>
      <c r="Y1608" s="32">
        <f>IF($X1608="","",INT($X1608))</f>
        <v/>
      </c>
      <c r="Z1608" s="33">
        <f>IF(OR($Y1608="",$D$6=""),"",IF(INDEX($A:$U,ROW(),$D$6)="",0,IF(ISNUMBER(INDEX($A:$U,ROW(),$D$6)),INDEX($A:$U,ROW(),$D$6),IFERROR(--SUBSTITUTE(SUBSTITUTE(TRIM(INDEX($A:$U,ROW(),$D$6)),",",""),"원",""),0))))</f>
        <v/>
      </c>
      <c r="AA1608" s="31">
        <f>IF($Y1608="","",TRIM(INDEX($A:$U,ROW(),$E$6)&amp;IF($F$6="",""," "&amp;INDEX($A:$U,ROW(),$F$6))))</f>
        <v/>
      </c>
      <c r="AB1608" s="31">
        <f>IF($AA1608="","",SUBSTITUTE(SUBSTITUTE(SUBSTITUTE(SUBSTITUTE(SUBSTITUTE(SUBSTITUTE(SUBSTITUTE(SUBSTITUTE(SUBSTITUTE($AA1608," ",""),"　",""),"(주)",""),"（주）",""),"㈜",""),"주식회사",""),"(유)",""),"（유）",""),"유한회사",""))</f>
        <v/>
      </c>
      <c r="AC1608" s="31">
        <f>IF(OR($Y1608="",N($Z1608)&lt;=0,$AB1608=""),0,IFERROR(LOOKUP(2,1/((거래처별!$AC$8:$AC$307&lt;&gt;"")*ISNUMBER(SEARCH(거래처별!$AC$8:$AC$307,$AB1608))),거래처별!$A$8:$A$307),IFERROR(LOOKUP(2,1/((거래처별!$AD$8:$AD$307&lt;&gt;"")*ISNUMBER(SEARCH(거래처별!$AD$8:$AD$307,$AB1608))),거래처별!$A$8:$A$307),IFERROR(LOOKUP(2,1/((거래처별!$AE$8:$AE$307&lt;&gt;"")*ISNUMBER(SEARCH(거래처별!$AE$8:$AE$307,$AB1608))),거래처별!$A$8:$A$307),0))))</f>
        <v/>
      </c>
      <c r="AD1608" s="31">
        <f>IF(AND($Y1608&lt;&gt;"",N($Z1608)&gt;0,$AC1608=0),MAX($AD$7:$AD1607)+1,"")</f>
        <v/>
      </c>
      <c r="AE1608" s="31">
        <f>IF($Y1608="",0,$Y1608)</f>
        <v/>
      </c>
    </row>
    <row r="1609">
      <c r="W1609" s="31">
        <f>IF(OR($B$5="",$C$6="",ROW()&lt;$B$5),"",IF(INDEX($A:$U,ROW(),$C$6)="","",INDEX($A:$U,ROW(),$C$6)))</f>
        <v/>
      </c>
      <c r="X1609" s="32">
        <f>IF($W1609="","",IF(ISNUMBER($W1609),IF($W1609&gt;=10000000,IFERROR(DATE(INT($W1609/10000),MOD(INT($W1609/100),100),MOD($W1609,100)),""),INT($W1609)),IFERROR(DATE(--LEFT(LEFT(SUBSTITUTE(SUBSTITUTE(SUBSTITUTE(SUBSTITUTE(TRIM($W1609),"-",""),".",""),"/","")," ",""),8),4),--MID(LEFT(SUBSTITUTE(SUBSTITUTE(SUBSTITUTE(SUBSTITUTE(TRIM($W1609),"-",""),".",""),"/","")," ",""),8),5,2),--MID(LEFT(SUBSTITUTE(SUBSTITUTE(SUBSTITUTE(SUBSTITUTE(TRIM($W1609),"-",""),".",""),"/","")," ",""),8),7,2)),"")))</f>
        <v/>
      </c>
      <c r="Y1609" s="32">
        <f>IF($X1609="","",INT($X1609))</f>
        <v/>
      </c>
      <c r="Z1609" s="33">
        <f>IF(OR($Y1609="",$D$6=""),"",IF(INDEX($A:$U,ROW(),$D$6)="",0,IF(ISNUMBER(INDEX($A:$U,ROW(),$D$6)),INDEX($A:$U,ROW(),$D$6),IFERROR(--SUBSTITUTE(SUBSTITUTE(TRIM(INDEX($A:$U,ROW(),$D$6)),",",""),"원",""),0))))</f>
        <v/>
      </c>
      <c r="AA1609" s="31">
        <f>IF($Y1609="","",TRIM(INDEX($A:$U,ROW(),$E$6)&amp;IF($F$6="",""," "&amp;INDEX($A:$U,ROW(),$F$6))))</f>
        <v/>
      </c>
      <c r="AB1609" s="31">
        <f>IF($AA1609="","",SUBSTITUTE(SUBSTITUTE(SUBSTITUTE(SUBSTITUTE(SUBSTITUTE(SUBSTITUTE(SUBSTITUTE(SUBSTITUTE(SUBSTITUTE($AA1609," ",""),"　",""),"(주)",""),"（주）",""),"㈜",""),"주식회사",""),"(유)",""),"（유）",""),"유한회사",""))</f>
        <v/>
      </c>
      <c r="AC1609" s="31">
        <f>IF(OR($Y1609="",N($Z1609)&lt;=0,$AB1609=""),0,IFERROR(LOOKUP(2,1/((거래처별!$AC$8:$AC$307&lt;&gt;"")*ISNUMBER(SEARCH(거래처별!$AC$8:$AC$307,$AB1609))),거래처별!$A$8:$A$307),IFERROR(LOOKUP(2,1/((거래처별!$AD$8:$AD$307&lt;&gt;"")*ISNUMBER(SEARCH(거래처별!$AD$8:$AD$307,$AB1609))),거래처별!$A$8:$A$307),IFERROR(LOOKUP(2,1/((거래처별!$AE$8:$AE$307&lt;&gt;"")*ISNUMBER(SEARCH(거래처별!$AE$8:$AE$307,$AB1609))),거래처별!$A$8:$A$307),0))))</f>
        <v/>
      </c>
      <c r="AD1609" s="31">
        <f>IF(AND($Y1609&lt;&gt;"",N($Z1609)&gt;0,$AC1609=0),MAX($AD$7:$AD1608)+1,"")</f>
        <v/>
      </c>
      <c r="AE1609" s="31">
        <f>IF($Y1609="",0,$Y1609)</f>
        <v/>
      </c>
    </row>
    <row r="1610">
      <c r="W1610" s="31">
        <f>IF(OR($B$5="",$C$6="",ROW()&lt;$B$5),"",IF(INDEX($A:$U,ROW(),$C$6)="","",INDEX($A:$U,ROW(),$C$6)))</f>
        <v/>
      </c>
      <c r="X1610" s="32">
        <f>IF($W1610="","",IF(ISNUMBER($W1610),IF($W1610&gt;=10000000,IFERROR(DATE(INT($W1610/10000),MOD(INT($W1610/100),100),MOD($W1610,100)),""),INT($W1610)),IFERROR(DATE(--LEFT(LEFT(SUBSTITUTE(SUBSTITUTE(SUBSTITUTE(SUBSTITUTE(TRIM($W1610),"-",""),".",""),"/","")," ",""),8),4),--MID(LEFT(SUBSTITUTE(SUBSTITUTE(SUBSTITUTE(SUBSTITUTE(TRIM($W1610),"-",""),".",""),"/","")," ",""),8),5,2),--MID(LEFT(SUBSTITUTE(SUBSTITUTE(SUBSTITUTE(SUBSTITUTE(TRIM($W1610),"-",""),".",""),"/","")," ",""),8),7,2)),"")))</f>
        <v/>
      </c>
      <c r="Y1610" s="32">
        <f>IF($X1610="","",INT($X1610))</f>
        <v/>
      </c>
      <c r="Z1610" s="33">
        <f>IF(OR($Y1610="",$D$6=""),"",IF(INDEX($A:$U,ROW(),$D$6)="",0,IF(ISNUMBER(INDEX($A:$U,ROW(),$D$6)),INDEX($A:$U,ROW(),$D$6),IFERROR(--SUBSTITUTE(SUBSTITUTE(TRIM(INDEX($A:$U,ROW(),$D$6)),",",""),"원",""),0))))</f>
        <v/>
      </c>
      <c r="AA1610" s="31">
        <f>IF($Y1610="","",TRIM(INDEX($A:$U,ROW(),$E$6)&amp;IF($F$6="",""," "&amp;INDEX($A:$U,ROW(),$F$6))))</f>
        <v/>
      </c>
      <c r="AB1610" s="31">
        <f>IF($AA1610="","",SUBSTITUTE(SUBSTITUTE(SUBSTITUTE(SUBSTITUTE(SUBSTITUTE(SUBSTITUTE(SUBSTITUTE(SUBSTITUTE(SUBSTITUTE($AA1610," ",""),"　",""),"(주)",""),"（주）",""),"㈜",""),"주식회사",""),"(유)",""),"（유）",""),"유한회사",""))</f>
        <v/>
      </c>
      <c r="AC1610" s="31">
        <f>IF(OR($Y1610="",N($Z1610)&lt;=0,$AB1610=""),0,IFERROR(LOOKUP(2,1/((거래처별!$AC$8:$AC$307&lt;&gt;"")*ISNUMBER(SEARCH(거래처별!$AC$8:$AC$307,$AB1610))),거래처별!$A$8:$A$307),IFERROR(LOOKUP(2,1/((거래처별!$AD$8:$AD$307&lt;&gt;"")*ISNUMBER(SEARCH(거래처별!$AD$8:$AD$307,$AB1610))),거래처별!$A$8:$A$307),IFERROR(LOOKUP(2,1/((거래처별!$AE$8:$AE$307&lt;&gt;"")*ISNUMBER(SEARCH(거래처별!$AE$8:$AE$307,$AB1610))),거래처별!$A$8:$A$307),0))))</f>
        <v/>
      </c>
      <c r="AD1610" s="31">
        <f>IF(AND($Y1610&lt;&gt;"",N($Z1610)&gt;0,$AC1610=0),MAX($AD$7:$AD1609)+1,"")</f>
        <v/>
      </c>
      <c r="AE1610" s="31">
        <f>IF($Y1610="",0,$Y1610)</f>
        <v/>
      </c>
    </row>
    <row r="1611">
      <c r="W1611" s="31">
        <f>IF(OR($B$5="",$C$6="",ROW()&lt;$B$5),"",IF(INDEX($A:$U,ROW(),$C$6)="","",INDEX($A:$U,ROW(),$C$6)))</f>
        <v/>
      </c>
      <c r="X1611" s="32">
        <f>IF($W1611="","",IF(ISNUMBER($W1611),IF($W1611&gt;=10000000,IFERROR(DATE(INT($W1611/10000),MOD(INT($W1611/100),100),MOD($W1611,100)),""),INT($W1611)),IFERROR(DATE(--LEFT(LEFT(SUBSTITUTE(SUBSTITUTE(SUBSTITUTE(SUBSTITUTE(TRIM($W1611),"-",""),".",""),"/","")," ",""),8),4),--MID(LEFT(SUBSTITUTE(SUBSTITUTE(SUBSTITUTE(SUBSTITUTE(TRIM($W1611),"-",""),".",""),"/","")," ",""),8),5,2),--MID(LEFT(SUBSTITUTE(SUBSTITUTE(SUBSTITUTE(SUBSTITUTE(TRIM($W1611),"-",""),".",""),"/","")," ",""),8),7,2)),"")))</f>
        <v/>
      </c>
      <c r="Y1611" s="32">
        <f>IF($X1611="","",INT($X1611))</f>
        <v/>
      </c>
      <c r="Z1611" s="33">
        <f>IF(OR($Y1611="",$D$6=""),"",IF(INDEX($A:$U,ROW(),$D$6)="",0,IF(ISNUMBER(INDEX($A:$U,ROW(),$D$6)),INDEX($A:$U,ROW(),$D$6),IFERROR(--SUBSTITUTE(SUBSTITUTE(TRIM(INDEX($A:$U,ROW(),$D$6)),",",""),"원",""),0))))</f>
        <v/>
      </c>
      <c r="AA1611" s="31">
        <f>IF($Y1611="","",TRIM(INDEX($A:$U,ROW(),$E$6)&amp;IF($F$6="",""," "&amp;INDEX($A:$U,ROW(),$F$6))))</f>
        <v/>
      </c>
      <c r="AB1611" s="31">
        <f>IF($AA1611="","",SUBSTITUTE(SUBSTITUTE(SUBSTITUTE(SUBSTITUTE(SUBSTITUTE(SUBSTITUTE(SUBSTITUTE(SUBSTITUTE(SUBSTITUTE($AA1611," ",""),"　",""),"(주)",""),"（주）",""),"㈜",""),"주식회사",""),"(유)",""),"（유）",""),"유한회사",""))</f>
        <v/>
      </c>
      <c r="AC1611" s="31">
        <f>IF(OR($Y1611="",N($Z1611)&lt;=0,$AB1611=""),0,IFERROR(LOOKUP(2,1/((거래처별!$AC$8:$AC$307&lt;&gt;"")*ISNUMBER(SEARCH(거래처별!$AC$8:$AC$307,$AB1611))),거래처별!$A$8:$A$307),IFERROR(LOOKUP(2,1/((거래처별!$AD$8:$AD$307&lt;&gt;"")*ISNUMBER(SEARCH(거래처별!$AD$8:$AD$307,$AB1611))),거래처별!$A$8:$A$307),IFERROR(LOOKUP(2,1/((거래처별!$AE$8:$AE$307&lt;&gt;"")*ISNUMBER(SEARCH(거래처별!$AE$8:$AE$307,$AB1611))),거래처별!$A$8:$A$307),0))))</f>
        <v/>
      </c>
      <c r="AD1611" s="31">
        <f>IF(AND($Y1611&lt;&gt;"",N($Z1611)&gt;0,$AC1611=0),MAX($AD$7:$AD1610)+1,"")</f>
        <v/>
      </c>
      <c r="AE1611" s="31">
        <f>IF($Y1611="",0,$Y1611)</f>
        <v/>
      </c>
    </row>
    <row r="1612">
      <c r="W1612" s="31">
        <f>IF(OR($B$5="",$C$6="",ROW()&lt;$B$5),"",IF(INDEX($A:$U,ROW(),$C$6)="","",INDEX($A:$U,ROW(),$C$6)))</f>
        <v/>
      </c>
      <c r="X1612" s="32">
        <f>IF($W1612="","",IF(ISNUMBER($W1612),IF($W1612&gt;=10000000,IFERROR(DATE(INT($W1612/10000),MOD(INT($W1612/100),100),MOD($W1612,100)),""),INT($W1612)),IFERROR(DATE(--LEFT(LEFT(SUBSTITUTE(SUBSTITUTE(SUBSTITUTE(SUBSTITUTE(TRIM($W1612),"-",""),".",""),"/","")," ",""),8),4),--MID(LEFT(SUBSTITUTE(SUBSTITUTE(SUBSTITUTE(SUBSTITUTE(TRIM($W1612),"-",""),".",""),"/","")," ",""),8),5,2),--MID(LEFT(SUBSTITUTE(SUBSTITUTE(SUBSTITUTE(SUBSTITUTE(TRIM($W1612),"-",""),".",""),"/","")," ",""),8),7,2)),"")))</f>
        <v/>
      </c>
      <c r="Y1612" s="32">
        <f>IF($X1612="","",INT($X1612))</f>
        <v/>
      </c>
      <c r="Z1612" s="33">
        <f>IF(OR($Y1612="",$D$6=""),"",IF(INDEX($A:$U,ROW(),$D$6)="",0,IF(ISNUMBER(INDEX($A:$U,ROW(),$D$6)),INDEX($A:$U,ROW(),$D$6),IFERROR(--SUBSTITUTE(SUBSTITUTE(TRIM(INDEX($A:$U,ROW(),$D$6)),",",""),"원",""),0))))</f>
        <v/>
      </c>
      <c r="AA1612" s="31">
        <f>IF($Y1612="","",TRIM(INDEX($A:$U,ROW(),$E$6)&amp;IF($F$6="",""," "&amp;INDEX($A:$U,ROW(),$F$6))))</f>
        <v/>
      </c>
      <c r="AB1612" s="31">
        <f>IF($AA1612="","",SUBSTITUTE(SUBSTITUTE(SUBSTITUTE(SUBSTITUTE(SUBSTITUTE(SUBSTITUTE(SUBSTITUTE(SUBSTITUTE(SUBSTITUTE($AA1612," ",""),"　",""),"(주)",""),"（주）",""),"㈜",""),"주식회사",""),"(유)",""),"（유）",""),"유한회사",""))</f>
        <v/>
      </c>
      <c r="AC1612" s="31">
        <f>IF(OR($Y1612="",N($Z1612)&lt;=0,$AB1612=""),0,IFERROR(LOOKUP(2,1/((거래처별!$AC$8:$AC$307&lt;&gt;"")*ISNUMBER(SEARCH(거래처별!$AC$8:$AC$307,$AB1612))),거래처별!$A$8:$A$307),IFERROR(LOOKUP(2,1/((거래처별!$AD$8:$AD$307&lt;&gt;"")*ISNUMBER(SEARCH(거래처별!$AD$8:$AD$307,$AB1612))),거래처별!$A$8:$A$307),IFERROR(LOOKUP(2,1/((거래처별!$AE$8:$AE$307&lt;&gt;"")*ISNUMBER(SEARCH(거래처별!$AE$8:$AE$307,$AB1612))),거래처별!$A$8:$A$307),0))))</f>
        <v/>
      </c>
      <c r="AD1612" s="31">
        <f>IF(AND($Y1612&lt;&gt;"",N($Z1612)&gt;0,$AC1612=0),MAX($AD$7:$AD1611)+1,"")</f>
        <v/>
      </c>
      <c r="AE1612" s="31">
        <f>IF($Y1612="",0,$Y1612)</f>
        <v/>
      </c>
    </row>
    <row r="1613">
      <c r="W1613" s="31">
        <f>IF(OR($B$5="",$C$6="",ROW()&lt;$B$5),"",IF(INDEX($A:$U,ROW(),$C$6)="","",INDEX($A:$U,ROW(),$C$6)))</f>
        <v/>
      </c>
      <c r="X1613" s="32">
        <f>IF($W1613="","",IF(ISNUMBER($W1613),IF($W1613&gt;=10000000,IFERROR(DATE(INT($W1613/10000),MOD(INT($W1613/100),100),MOD($W1613,100)),""),INT($W1613)),IFERROR(DATE(--LEFT(LEFT(SUBSTITUTE(SUBSTITUTE(SUBSTITUTE(SUBSTITUTE(TRIM($W1613),"-",""),".",""),"/","")," ",""),8),4),--MID(LEFT(SUBSTITUTE(SUBSTITUTE(SUBSTITUTE(SUBSTITUTE(TRIM($W1613),"-",""),".",""),"/","")," ",""),8),5,2),--MID(LEFT(SUBSTITUTE(SUBSTITUTE(SUBSTITUTE(SUBSTITUTE(TRIM($W1613),"-",""),".",""),"/","")," ",""),8),7,2)),"")))</f>
        <v/>
      </c>
      <c r="Y1613" s="32">
        <f>IF($X1613="","",INT($X1613))</f>
        <v/>
      </c>
      <c r="Z1613" s="33">
        <f>IF(OR($Y1613="",$D$6=""),"",IF(INDEX($A:$U,ROW(),$D$6)="",0,IF(ISNUMBER(INDEX($A:$U,ROW(),$D$6)),INDEX($A:$U,ROW(),$D$6),IFERROR(--SUBSTITUTE(SUBSTITUTE(TRIM(INDEX($A:$U,ROW(),$D$6)),",",""),"원",""),0))))</f>
        <v/>
      </c>
      <c r="AA1613" s="31">
        <f>IF($Y1613="","",TRIM(INDEX($A:$U,ROW(),$E$6)&amp;IF($F$6="",""," "&amp;INDEX($A:$U,ROW(),$F$6))))</f>
        <v/>
      </c>
      <c r="AB1613" s="31">
        <f>IF($AA1613="","",SUBSTITUTE(SUBSTITUTE(SUBSTITUTE(SUBSTITUTE(SUBSTITUTE(SUBSTITUTE(SUBSTITUTE(SUBSTITUTE(SUBSTITUTE($AA1613," ",""),"　",""),"(주)",""),"（주）",""),"㈜",""),"주식회사",""),"(유)",""),"（유）",""),"유한회사",""))</f>
        <v/>
      </c>
      <c r="AC1613" s="31">
        <f>IF(OR($Y1613="",N($Z1613)&lt;=0,$AB1613=""),0,IFERROR(LOOKUP(2,1/((거래처별!$AC$8:$AC$307&lt;&gt;"")*ISNUMBER(SEARCH(거래처별!$AC$8:$AC$307,$AB1613))),거래처별!$A$8:$A$307),IFERROR(LOOKUP(2,1/((거래처별!$AD$8:$AD$307&lt;&gt;"")*ISNUMBER(SEARCH(거래처별!$AD$8:$AD$307,$AB1613))),거래처별!$A$8:$A$307),IFERROR(LOOKUP(2,1/((거래처별!$AE$8:$AE$307&lt;&gt;"")*ISNUMBER(SEARCH(거래처별!$AE$8:$AE$307,$AB1613))),거래처별!$A$8:$A$307),0))))</f>
        <v/>
      </c>
      <c r="AD1613" s="31">
        <f>IF(AND($Y1613&lt;&gt;"",N($Z1613)&gt;0,$AC1613=0),MAX($AD$7:$AD1612)+1,"")</f>
        <v/>
      </c>
      <c r="AE1613" s="31">
        <f>IF($Y1613="",0,$Y1613)</f>
        <v/>
      </c>
    </row>
    <row r="1614">
      <c r="W1614" s="31">
        <f>IF(OR($B$5="",$C$6="",ROW()&lt;$B$5),"",IF(INDEX($A:$U,ROW(),$C$6)="","",INDEX($A:$U,ROW(),$C$6)))</f>
        <v/>
      </c>
      <c r="X1614" s="32">
        <f>IF($W1614="","",IF(ISNUMBER($W1614),IF($W1614&gt;=10000000,IFERROR(DATE(INT($W1614/10000),MOD(INT($W1614/100),100),MOD($W1614,100)),""),INT($W1614)),IFERROR(DATE(--LEFT(LEFT(SUBSTITUTE(SUBSTITUTE(SUBSTITUTE(SUBSTITUTE(TRIM($W1614),"-",""),".",""),"/","")," ",""),8),4),--MID(LEFT(SUBSTITUTE(SUBSTITUTE(SUBSTITUTE(SUBSTITUTE(TRIM($W1614),"-",""),".",""),"/","")," ",""),8),5,2),--MID(LEFT(SUBSTITUTE(SUBSTITUTE(SUBSTITUTE(SUBSTITUTE(TRIM($W1614),"-",""),".",""),"/","")," ",""),8),7,2)),"")))</f>
        <v/>
      </c>
      <c r="Y1614" s="32">
        <f>IF($X1614="","",INT($X1614))</f>
        <v/>
      </c>
      <c r="Z1614" s="33">
        <f>IF(OR($Y1614="",$D$6=""),"",IF(INDEX($A:$U,ROW(),$D$6)="",0,IF(ISNUMBER(INDEX($A:$U,ROW(),$D$6)),INDEX($A:$U,ROW(),$D$6),IFERROR(--SUBSTITUTE(SUBSTITUTE(TRIM(INDEX($A:$U,ROW(),$D$6)),",",""),"원",""),0))))</f>
        <v/>
      </c>
      <c r="AA1614" s="31">
        <f>IF($Y1614="","",TRIM(INDEX($A:$U,ROW(),$E$6)&amp;IF($F$6="",""," "&amp;INDEX($A:$U,ROW(),$F$6))))</f>
        <v/>
      </c>
      <c r="AB1614" s="31">
        <f>IF($AA1614="","",SUBSTITUTE(SUBSTITUTE(SUBSTITUTE(SUBSTITUTE(SUBSTITUTE(SUBSTITUTE(SUBSTITUTE(SUBSTITUTE(SUBSTITUTE($AA1614," ",""),"　",""),"(주)",""),"（주）",""),"㈜",""),"주식회사",""),"(유)",""),"（유）",""),"유한회사",""))</f>
        <v/>
      </c>
      <c r="AC1614" s="31">
        <f>IF(OR($Y1614="",N($Z1614)&lt;=0,$AB1614=""),0,IFERROR(LOOKUP(2,1/((거래처별!$AC$8:$AC$307&lt;&gt;"")*ISNUMBER(SEARCH(거래처별!$AC$8:$AC$307,$AB1614))),거래처별!$A$8:$A$307),IFERROR(LOOKUP(2,1/((거래처별!$AD$8:$AD$307&lt;&gt;"")*ISNUMBER(SEARCH(거래처별!$AD$8:$AD$307,$AB1614))),거래처별!$A$8:$A$307),IFERROR(LOOKUP(2,1/((거래처별!$AE$8:$AE$307&lt;&gt;"")*ISNUMBER(SEARCH(거래처별!$AE$8:$AE$307,$AB1614))),거래처별!$A$8:$A$307),0))))</f>
        <v/>
      </c>
      <c r="AD1614" s="31">
        <f>IF(AND($Y1614&lt;&gt;"",N($Z1614)&gt;0,$AC1614=0),MAX($AD$7:$AD1613)+1,"")</f>
        <v/>
      </c>
      <c r="AE1614" s="31">
        <f>IF($Y1614="",0,$Y1614)</f>
        <v/>
      </c>
    </row>
    <row r="1615">
      <c r="W1615" s="31">
        <f>IF(OR($B$5="",$C$6="",ROW()&lt;$B$5),"",IF(INDEX($A:$U,ROW(),$C$6)="","",INDEX($A:$U,ROW(),$C$6)))</f>
        <v/>
      </c>
      <c r="X1615" s="32">
        <f>IF($W1615="","",IF(ISNUMBER($W1615),IF($W1615&gt;=10000000,IFERROR(DATE(INT($W1615/10000),MOD(INT($W1615/100),100),MOD($W1615,100)),""),INT($W1615)),IFERROR(DATE(--LEFT(LEFT(SUBSTITUTE(SUBSTITUTE(SUBSTITUTE(SUBSTITUTE(TRIM($W1615),"-",""),".",""),"/","")," ",""),8),4),--MID(LEFT(SUBSTITUTE(SUBSTITUTE(SUBSTITUTE(SUBSTITUTE(TRIM($W1615),"-",""),".",""),"/","")," ",""),8),5,2),--MID(LEFT(SUBSTITUTE(SUBSTITUTE(SUBSTITUTE(SUBSTITUTE(TRIM($W1615),"-",""),".",""),"/","")," ",""),8),7,2)),"")))</f>
        <v/>
      </c>
      <c r="Y1615" s="32">
        <f>IF($X1615="","",INT($X1615))</f>
        <v/>
      </c>
      <c r="Z1615" s="33">
        <f>IF(OR($Y1615="",$D$6=""),"",IF(INDEX($A:$U,ROW(),$D$6)="",0,IF(ISNUMBER(INDEX($A:$U,ROW(),$D$6)),INDEX($A:$U,ROW(),$D$6),IFERROR(--SUBSTITUTE(SUBSTITUTE(TRIM(INDEX($A:$U,ROW(),$D$6)),",",""),"원",""),0))))</f>
        <v/>
      </c>
      <c r="AA1615" s="31">
        <f>IF($Y1615="","",TRIM(INDEX($A:$U,ROW(),$E$6)&amp;IF($F$6="",""," "&amp;INDEX($A:$U,ROW(),$F$6))))</f>
        <v/>
      </c>
      <c r="AB1615" s="31">
        <f>IF($AA1615="","",SUBSTITUTE(SUBSTITUTE(SUBSTITUTE(SUBSTITUTE(SUBSTITUTE(SUBSTITUTE(SUBSTITUTE(SUBSTITUTE(SUBSTITUTE($AA1615," ",""),"　",""),"(주)",""),"（주）",""),"㈜",""),"주식회사",""),"(유)",""),"（유）",""),"유한회사",""))</f>
        <v/>
      </c>
      <c r="AC1615" s="31">
        <f>IF(OR($Y1615="",N($Z1615)&lt;=0,$AB1615=""),0,IFERROR(LOOKUP(2,1/((거래처별!$AC$8:$AC$307&lt;&gt;"")*ISNUMBER(SEARCH(거래처별!$AC$8:$AC$307,$AB1615))),거래처별!$A$8:$A$307),IFERROR(LOOKUP(2,1/((거래처별!$AD$8:$AD$307&lt;&gt;"")*ISNUMBER(SEARCH(거래처별!$AD$8:$AD$307,$AB1615))),거래처별!$A$8:$A$307),IFERROR(LOOKUP(2,1/((거래처별!$AE$8:$AE$307&lt;&gt;"")*ISNUMBER(SEARCH(거래처별!$AE$8:$AE$307,$AB1615))),거래처별!$A$8:$A$307),0))))</f>
        <v/>
      </c>
      <c r="AD1615" s="31">
        <f>IF(AND($Y1615&lt;&gt;"",N($Z1615)&gt;0,$AC1615=0),MAX($AD$7:$AD1614)+1,"")</f>
        <v/>
      </c>
      <c r="AE1615" s="31">
        <f>IF($Y1615="",0,$Y1615)</f>
        <v/>
      </c>
    </row>
    <row r="1616">
      <c r="W1616" s="31">
        <f>IF(OR($B$5="",$C$6="",ROW()&lt;$B$5),"",IF(INDEX($A:$U,ROW(),$C$6)="","",INDEX($A:$U,ROW(),$C$6)))</f>
        <v/>
      </c>
      <c r="X1616" s="32">
        <f>IF($W1616="","",IF(ISNUMBER($W1616),IF($W1616&gt;=10000000,IFERROR(DATE(INT($W1616/10000),MOD(INT($W1616/100),100),MOD($W1616,100)),""),INT($W1616)),IFERROR(DATE(--LEFT(LEFT(SUBSTITUTE(SUBSTITUTE(SUBSTITUTE(SUBSTITUTE(TRIM($W1616),"-",""),".",""),"/","")," ",""),8),4),--MID(LEFT(SUBSTITUTE(SUBSTITUTE(SUBSTITUTE(SUBSTITUTE(TRIM($W1616),"-",""),".",""),"/","")," ",""),8),5,2),--MID(LEFT(SUBSTITUTE(SUBSTITUTE(SUBSTITUTE(SUBSTITUTE(TRIM($W1616),"-",""),".",""),"/","")," ",""),8),7,2)),"")))</f>
        <v/>
      </c>
      <c r="Y1616" s="32">
        <f>IF($X1616="","",INT($X1616))</f>
        <v/>
      </c>
      <c r="Z1616" s="33">
        <f>IF(OR($Y1616="",$D$6=""),"",IF(INDEX($A:$U,ROW(),$D$6)="",0,IF(ISNUMBER(INDEX($A:$U,ROW(),$D$6)),INDEX($A:$U,ROW(),$D$6),IFERROR(--SUBSTITUTE(SUBSTITUTE(TRIM(INDEX($A:$U,ROW(),$D$6)),",",""),"원",""),0))))</f>
        <v/>
      </c>
      <c r="AA1616" s="31">
        <f>IF($Y1616="","",TRIM(INDEX($A:$U,ROW(),$E$6)&amp;IF($F$6="",""," "&amp;INDEX($A:$U,ROW(),$F$6))))</f>
        <v/>
      </c>
      <c r="AB1616" s="31">
        <f>IF($AA1616="","",SUBSTITUTE(SUBSTITUTE(SUBSTITUTE(SUBSTITUTE(SUBSTITUTE(SUBSTITUTE(SUBSTITUTE(SUBSTITUTE(SUBSTITUTE($AA1616," ",""),"　",""),"(주)",""),"（주）",""),"㈜",""),"주식회사",""),"(유)",""),"（유）",""),"유한회사",""))</f>
        <v/>
      </c>
      <c r="AC1616" s="31">
        <f>IF(OR($Y1616="",N($Z1616)&lt;=0,$AB1616=""),0,IFERROR(LOOKUP(2,1/((거래처별!$AC$8:$AC$307&lt;&gt;"")*ISNUMBER(SEARCH(거래처별!$AC$8:$AC$307,$AB1616))),거래처별!$A$8:$A$307),IFERROR(LOOKUP(2,1/((거래처별!$AD$8:$AD$307&lt;&gt;"")*ISNUMBER(SEARCH(거래처별!$AD$8:$AD$307,$AB1616))),거래처별!$A$8:$A$307),IFERROR(LOOKUP(2,1/((거래처별!$AE$8:$AE$307&lt;&gt;"")*ISNUMBER(SEARCH(거래처별!$AE$8:$AE$307,$AB1616))),거래처별!$A$8:$A$307),0))))</f>
        <v/>
      </c>
      <c r="AD1616" s="31">
        <f>IF(AND($Y1616&lt;&gt;"",N($Z1616)&gt;0,$AC1616=0),MAX($AD$7:$AD1615)+1,"")</f>
        <v/>
      </c>
      <c r="AE1616" s="31">
        <f>IF($Y1616="",0,$Y1616)</f>
        <v/>
      </c>
    </row>
    <row r="1617">
      <c r="W1617" s="31">
        <f>IF(OR($B$5="",$C$6="",ROW()&lt;$B$5),"",IF(INDEX($A:$U,ROW(),$C$6)="","",INDEX($A:$U,ROW(),$C$6)))</f>
        <v/>
      </c>
      <c r="X1617" s="32">
        <f>IF($W1617="","",IF(ISNUMBER($W1617),IF($W1617&gt;=10000000,IFERROR(DATE(INT($W1617/10000),MOD(INT($W1617/100),100),MOD($W1617,100)),""),INT($W1617)),IFERROR(DATE(--LEFT(LEFT(SUBSTITUTE(SUBSTITUTE(SUBSTITUTE(SUBSTITUTE(TRIM($W1617),"-",""),".",""),"/","")," ",""),8),4),--MID(LEFT(SUBSTITUTE(SUBSTITUTE(SUBSTITUTE(SUBSTITUTE(TRIM($W1617),"-",""),".",""),"/","")," ",""),8),5,2),--MID(LEFT(SUBSTITUTE(SUBSTITUTE(SUBSTITUTE(SUBSTITUTE(TRIM($W1617),"-",""),".",""),"/","")," ",""),8),7,2)),"")))</f>
        <v/>
      </c>
      <c r="Y1617" s="32">
        <f>IF($X1617="","",INT($X1617))</f>
        <v/>
      </c>
      <c r="Z1617" s="33">
        <f>IF(OR($Y1617="",$D$6=""),"",IF(INDEX($A:$U,ROW(),$D$6)="",0,IF(ISNUMBER(INDEX($A:$U,ROW(),$D$6)),INDEX($A:$U,ROW(),$D$6),IFERROR(--SUBSTITUTE(SUBSTITUTE(TRIM(INDEX($A:$U,ROW(),$D$6)),",",""),"원",""),0))))</f>
        <v/>
      </c>
      <c r="AA1617" s="31">
        <f>IF($Y1617="","",TRIM(INDEX($A:$U,ROW(),$E$6)&amp;IF($F$6="",""," "&amp;INDEX($A:$U,ROW(),$F$6))))</f>
        <v/>
      </c>
      <c r="AB1617" s="31">
        <f>IF($AA1617="","",SUBSTITUTE(SUBSTITUTE(SUBSTITUTE(SUBSTITUTE(SUBSTITUTE(SUBSTITUTE(SUBSTITUTE(SUBSTITUTE(SUBSTITUTE($AA1617," ",""),"　",""),"(주)",""),"（주）",""),"㈜",""),"주식회사",""),"(유)",""),"（유）",""),"유한회사",""))</f>
        <v/>
      </c>
      <c r="AC1617" s="31">
        <f>IF(OR($Y1617="",N($Z1617)&lt;=0,$AB1617=""),0,IFERROR(LOOKUP(2,1/((거래처별!$AC$8:$AC$307&lt;&gt;"")*ISNUMBER(SEARCH(거래처별!$AC$8:$AC$307,$AB1617))),거래처별!$A$8:$A$307),IFERROR(LOOKUP(2,1/((거래처별!$AD$8:$AD$307&lt;&gt;"")*ISNUMBER(SEARCH(거래처별!$AD$8:$AD$307,$AB1617))),거래처별!$A$8:$A$307),IFERROR(LOOKUP(2,1/((거래처별!$AE$8:$AE$307&lt;&gt;"")*ISNUMBER(SEARCH(거래처별!$AE$8:$AE$307,$AB1617))),거래처별!$A$8:$A$307),0))))</f>
        <v/>
      </c>
      <c r="AD1617" s="31">
        <f>IF(AND($Y1617&lt;&gt;"",N($Z1617)&gt;0,$AC1617=0),MAX($AD$7:$AD1616)+1,"")</f>
        <v/>
      </c>
      <c r="AE1617" s="31">
        <f>IF($Y1617="",0,$Y1617)</f>
        <v/>
      </c>
    </row>
    <row r="1618">
      <c r="W1618" s="31">
        <f>IF(OR($B$5="",$C$6="",ROW()&lt;$B$5),"",IF(INDEX($A:$U,ROW(),$C$6)="","",INDEX($A:$U,ROW(),$C$6)))</f>
        <v/>
      </c>
      <c r="X1618" s="32">
        <f>IF($W1618="","",IF(ISNUMBER($W1618),IF($W1618&gt;=10000000,IFERROR(DATE(INT($W1618/10000),MOD(INT($W1618/100),100),MOD($W1618,100)),""),INT($W1618)),IFERROR(DATE(--LEFT(LEFT(SUBSTITUTE(SUBSTITUTE(SUBSTITUTE(SUBSTITUTE(TRIM($W1618),"-",""),".",""),"/","")," ",""),8),4),--MID(LEFT(SUBSTITUTE(SUBSTITUTE(SUBSTITUTE(SUBSTITUTE(TRIM($W1618),"-",""),".",""),"/","")," ",""),8),5,2),--MID(LEFT(SUBSTITUTE(SUBSTITUTE(SUBSTITUTE(SUBSTITUTE(TRIM($W1618),"-",""),".",""),"/","")," ",""),8),7,2)),"")))</f>
        <v/>
      </c>
      <c r="Y1618" s="32">
        <f>IF($X1618="","",INT($X1618))</f>
        <v/>
      </c>
      <c r="Z1618" s="33">
        <f>IF(OR($Y1618="",$D$6=""),"",IF(INDEX($A:$U,ROW(),$D$6)="",0,IF(ISNUMBER(INDEX($A:$U,ROW(),$D$6)),INDEX($A:$U,ROW(),$D$6),IFERROR(--SUBSTITUTE(SUBSTITUTE(TRIM(INDEX($A:$U,ROW(),$D$6)),",",""),"원",""),0))))</f>
        <v/>
      </c>
      <c r="AA1618" s="31">
        <f>IF($Y1618="","",TRIM(INDEX($A:$U,ROW(),$E$6)&amp;IF($F$6="",""," "&amp;INDEX($A:$U,ROW(),$F$6))))</f>
        <v/>
      </c>
      <c r="AB1618" s="31">
        <f>IF($AA1618="","",SUBSTITUTE(SUBSTITUTE(SUBSTITUTE(SUBSTITUTE(SUBSTITUTE(SUBSTITUTE(SUBSTITUTE(SUBSTITUTE(SUBSTITUTE($AA1618," ",""),"　",""),"(주)",""),"（주）",""),"㈜",""),"주식회사",""),"(유)",""),"（유）",""),"유한회사",""))</f>
        <v/>
      </c>
      <c r="AC1618" s="31">
        <f>IF(OR($Y1618="",N($Z1618)&lt;=0,$AB1618=""),0,IFERROR(LOOKUP(2,1/((거래처별!$AC$8:$AC$307&lt;&gt;"")*ISNUMBER(SEARCH(거래처별!$AC$8:$AC$307,$AB1618))),거래처별!$A$8:$A$307),IFERROR(LOOKUP(2,1/((거래처별!$AD$8:$AD$307&lt;&gt;"")*ISNUMBER(SEARCH(거래처별!$AD$8:$AD$307,$AB1618))),거래처별!$A$8:$A$307),IFERROR(LOOKUP(2,1/((거래처별!$AE$8:$AE$307&lt;&gt;"")*ISNUMBER(SEARCH(거래처별!$AE$8:$AE$307,$AB1618))),거래처별!$A$8:$A$307),0))))</f>
        <v/>
      </c>
      <c r="AD1618" s="31">
        <f>IF(AND($Y1618&lt;&gt;"",N($Z1618)&gt;0,$AC1618=0),MAX($AD$7:$AD1617)+1,"")</f>
        <v/>
      </c>
      <c r="AE1618" s="31">
        <f>IF($Y1618="",0,$Y1618)</f>
        <v/>
      </c>
    </row>
    <row r="1619">
      <c r="W1619" s="31">
        <f>IF(OR($B$5="",$C$6="",ROW()&lt;$B$5),"",IF(INDEX($A:$U,ROW(),$C$6)="","",INDEX($A:$U,ROW(),$C$6)))</f>
        <v/>
      </c>
      <c r="X1619" s="32">
        <f>IF($W1619="","",IF(ISNUMBER($W1619),IF($W1619&gt;=10000000,IFERROR(DATE(INT($W1619/10000),MOD(INT($W1619/100),100),MOD($W1619,100)),""),INT($W1619)),IFERROR(DATE(--LEFT(LEFT(SUBSTITUTE(SUBSTITUTE(SUBSTITUTE(SUBSTITUTE(TRIM($W1619),"-",""),".",""),"/","")," ",""),8),4),--MID(LEFT(SUBSTITUTE(SUBSTITUTE(SUBSTITUTE(SUBSTITUTE(TRIM($W1619),"-",""),".",""),"/","")," ",""),8),5,2),--MID(LEFT(SUBSTITUTE(SUBSTITUTE(SUBSTITUTE(SUBSTITUTE(TRIM($W1619),"-",""),".",""),"/","")," ",""),8),7,2)),"")))</f>
        <v/>
      </c>
      <c r="Y1619" s="32">
        <f>IF($X1619="","",INT($X1619))</f>
        <v/>
      </c>
      <c r="Z1619" s="33">
        <f>IF(OR($Y1619="",$D$6=""),"",IF(INDEX($A:$U,ROW(),$D$6)="",0,IF(ISNUMBER(INDEX($A:$U,ROW(),$D$6)),INDEX($A:$U,ROW(),$D$6),IFERROR(--SUBSTITUTE(SUBSTITUTE(TRIM(INDEX($A:$U,ROW(),$D$6)),",",""),"원",""),0))))</f>
        <v/>
      </c>
      <c r="AA1619" s="31">
        <f>IF($Y1619="","",TRIM(INDEX($A:$U,ROW(),$E$6)&amp;IF($F$6="",""," "&amp;INDEX($A:$U,ROW(),$F$6))))</f>
        <v/>
      </c>
      <c r="AB1619" s="31">
        <f>IF($AA1619="","",SUBSTITUTE(SUBSTITUTE(SUBSTITUTE(SUBSTITUTE(SUBSTITUTE(SUBSTITUTE(SUBSTITUTE(SUBSTITUTE(SUBSTITUTE($AA1619," ",""),"　",""),"(주)",""),"（주）",""),"㈜",""),"주식회사",""),"(유)",""),"（유）",""),"유한회사",""))</f>
        <v/>
      </c>
      <c r="AC1619" s="31">
        <f>IF(OR($Y1619="",N($Z1619)&lt;=0,$AB1619=""),0,IFERROR(LOOKUP(2,1/((거래처별!$AC$8:$AC$307&lt;&gt;"")*ISNUMBER(SEARCH(거래처별!$AC$8:$AC$307,$AB1619))),거래처별!$A$8:$A$307),IFERROR(LOOKUP(2,1/((거래처별!$AD$8:$AD$307&lt;&gt;"")*ISNUMBER(SEARCH(거래처별!$AD$8:$AD$307,$AB1619))),거래처별!$A$8:$A$307),IFERROR(LOOKUP(2,1/((거래처별!$AE$8:$AE$307&lt;&gt;"")*ISNUMBER(SEARCH(거래처별!$AE$8:$AE$307,$AB1619))),거래처별!$A$8:$A$307),0))))</f>
        <v/>
      </c>
      <c r="AD1619" s="31">
        <f>IF(AND($Y1619&lt;&gt;"",N($Z1619)&gt;0,$AC1619=0),MAX($AD$7:$AD1618)+1,"")</f>
        <v/>
      </c>
      <c r="AE1619" s="31">
        <f>IF($Y1619="",0,$Y1619)</f>
        <v/>
      </c>
    </row>
    <row r="1620">
      <c r="W1620" s="31">
        <f>IF(OR($B$5="",$C$6="",ROW()&lt;$B$5),"",IF(INDEX($A:$U,ROW(),$C$6)="","",INDEX($A:$U,ROW(),$C$6)))</f>
        <v/>
      </c>
      <c r="X1620" s="32">
        <f>IF($W1620="","",IF(ISNUMBER($W1620),IF($W1620&gt;=10000000,IFERROR(DATE(INT($W1620/10000),MOD(INT($W1620/100),100),MOD($W1620,100)),""),INT($W1620)),IFERROR(DATE(--LEFT(LEFT(SUBSTITUTE(SUBSTITUTE(SUBSTITUTE(SUBSTITUTE(TRIM($W1620),"-",""),".",""),"/","")," ",""),8),4),--MID(LEFT(SUBSTITUTE(SUBSTITUTE(SUBSTITUTE(SUBSTITUTE(TRIM($W1620),"-",""),".",""),"/","")," ",""),8),5,2),--MID(LEFT(SUBSTITUTE(SUBSTITUTE(SUBSTITUTE(SUBSTITUTE(TRIM($W1620),"-",""),".",""),"/","")," ",""),8),7,2)),"")))</f>
        <v/>
      </c>
      <c r="Y1620" s="32">
        <f>IF($X1620="","",INT($X1620))</f>
        <v/>
      </c>
      <c r="Z1620" s="33">
        <f>IF(OR($Y1620="",$D$6=""),"",IF(INDEX($A:$U,ROW(),$D$6)="",0,IF(ISNUMBER(INDEX($A:$U,ROW(),$D$6)),INDEX($A:$U,ROW(),$D$6),IFERROR(--SUBSTITUTE(SUBSTITUTE(TRIM(INDEX($A:$U,ROW(),$D$6)),",",""),"원",""),0))))</f>
        <v/>
      </c>
      <c r="AA1620" s="31">
        <f>IF($Y1620="","",TRIM(INDEX($A:$U,ROW(),$E$6)&amp;IF($F$6="",""," "&amp;INDEX($A:$U,ROW(),$F$6))))</f>
        <v/>
      </c>
      <c r="AB1620" s="31">
        <f>IF($AA1620="","",SUBSTITUTE(SUBSTITUTE(SUBSTITUTE(SUBSTITUTE(SUBSTITUTE(SUBSTITUTE(SUBSTITUTE(SUBSTITUTE(SUBSTITUTE($AA1620," ",""),"　",""),"(주)",""),"（주）",""),"㈜",""),"주식회사",""),"(유)",""),"（유）",""),"유한회사",""))</f>
        <v/>
      </c>
      <c r="AC1620" s="31">
        <f>IF(OR($Y1620="",N($Z1620)&lt;=0,$AB1620=""),0,IFERROR(LOOKUP(2,1/((거래처별!$AC$8:$AC$307&lt;&gt;"")*ISNUMBER(SEARCH(거래처별!$AC$8:$AC$307,$AB1620))),거래처별!$A$8:$A$307),IFERROR(LOOKUP(2,1/((거래처별!$AD$8:$AD$307&lt;&gt;"")*ISNUMBER(SEARCH(거래처별!$AD$8:$AD$307,$AB1620))),거래처별!$A$8:$A$307),IFERROR(LOOKUP(2,1/((거래처별!$AE$8:$AE$307&lt;&gt;"")*ISNUMBER(SEARCH(거래처별!$AE$8:$AE$307,$AB1620))),거래처별!$A$8:$A$307),0))))</f>
        <v/>
      </c>
      <c r="AD1620" s="31">
        <f>IF(AND($Y1620&lt;&gt;"",N($Z1620)&gt;0,$AC1620=0),MAX($AD$7:$AD1619)+1,"")</f>
        <v/>
      </c>
      <c r="AE1620" s="31">
        <f>IF($Y1620="",0,$Y1620)</f>
        <v/>
      </c>
    </row>
    <row r="1621">
      <c r="W1621" s="31">
        <f>IF(OR($B$5="",$C$6="",ROW()&lt;$B$5),"",IF(INDEX($A:$U,ROW(),$C$6)="","",INDEX($A:$U,ROW(),$C$6)))</f>
        <v/>
      </c>
      <c r="X1621" s="32">
        <f>IF($W1621="","",IF(ISNUMBER($W1621),IF($W1621&gt;=10000000,IFERROR(DATE(INT($W1621/10000),MOD(INT($W1621/100),100),MOD($W1621,100)),""),INT($W1621)),IFERROR(DATE(--LEFT(LEFT(SUBSTITUTE(SUBSTITUTE(SUBSTITUTE(SUBSTITUTE(TRIM($W1621),"-",""),".",""),"/","")," ",""),8),4),--MID(LEFT(SUBSTITUTE(SUBSTITUTE(SUBSTITUTE(SUBSTITUTE(TRIM($W1621),"-",""),".",""),"/","")," ",""),8),5,2),--MID(LEFT(SUBSTITUTE(SUBSTITUTE(SUBSTITUTE(SUBSTITUTE(TRIM($W1621),"-",""),".",""),"/","")," ",""),8),7,2)),"")))</f>
        <v/>
      </c>
      <c r="Y1621" s="32">
        <f>IF($X1621="","",INT($X1621))</f>
        <v/>
      </c>
      <c r="Z1621" s="33">
        <f>IF(OR($Y1621="",$D$6=""),"",IF(INDEX($A:$U,ROW(),$D$6)="",0,IF(ISNUMBER(INDEX($A:$U,ROW(),$D$6)),INDEX($A:$U,ROW(),$D$6),IFERROR(--SUBSTITUTE(SUBSTITUTE(TRIM(INDEX($A:$U,ROW(),$D$6)),",",""),"원",""),0))))</f>
        <v/>
      </c>
      <c r="AA1621" s="31">
        <f>IF($Y1621="","",TRIM(INDEX($A:$U,ROW(),$E$6)&amp;IF($F$6="",""," "&amp;INDEX($A:$U,ROW(),$F$6))))</f>
        <v/>
      </c>
      <c r="AB1621" s="31">
        <f>IF($AA1621="","",SUBSTITUTE(SUBSTITUTE(SUBSTITUTE(SUBSTITUTE(SUBSTITUTE(SUBSTITUTE(SUBSTITUTE(SUBSTITUTE(SUBSTITUTE($AA1621," ",""),"　",""),"(주)",""),"（주）",""),"㈜",""),"주식회사",""),"(유)",""),"（유）",""),"유한회사",""))</f>
        <v/>
      </c>
      <c r="AC1621" s="31">
        <f>IF(OR($Y1621="",N($Z1621)&lt;=0,$AB1621=""),0,IFERROR(LOOKUP(2,1/((거래처별!$AC$8:$AC$307&lt;&gt;"")*ISNUMBER(SEARCH(거래처별!$AC$8:$AC$307,$AB1621))),거래처별!$A$8:$A$307),IFERROR(LOOKUP(2,1/((거래처별!$AD$8:$AD$307&lt;&gt;"")*ISNUMBER(SEARCH(거래처별!$AD$8:$AD$307,$AB1621))),거래처별!$A$8:$A$307),IFERROR(LOOKUP(2,1/((거래처별!$AE$8:$AE$307&lt;&gt;"")*ISNUMBER(SEARCH(거래처별!$AE$8:$AE$307,$AB1621))),거래처별!$A$8:$A$307),0))))</f>
        <v/>
      </c>
      <c r="AD1621" s="31">
        <f>IF(AND($Y1621&lt;&gt;"",N($Z1621)&gt;0,$AC1621=0),MAX($AD$7:$AD1620)+1,"")</f>
        <v/>
      </c>
      <c r="AE1621" s="31">
        <f>IF($Y1621="",0,$Y1621)</f>
        <v/>
      </c>
    </row>
    <row r="1622">
      <c r="W1622" s="31">
        <f>IF(OR($B$5="",$C$6="",ROW()&lt;$B$5),"",IF(INDEX($A:$U,ROW(),$C$6)="","",INDEX($A:$U,ROW(),$C$6)))</f>
        <v/>
      </c>
      <c r="X1622" s="32">
        <f>IF($W1622="","",IF(ISNUMBER($W1622),IF($W1622&gt;=10000000,IFERROR(DATE(INT($W1622/10000),MOD(INT($W1622/100),100),MOD($W1622,100)),""),INT($W1622)),IFERROR(DATE(--LEFT(LEFT(SUBSTITUTE(SUBSTITUTE(SUBSTITUTE(SUBSTITUTE(TRIM($W1622),"-",""),".",""),"/","")," ",""),8),4),--MID(LEFT(SUBSTITUTE(SUBSTITUTE(SUBSTITUTE(SUBSTITUTE(TRIM($W1622),"-",""),".",""),"/","")," ",""),8),5,2),--MID(LEFT(SUBSTITUTE(SUBSTITUTE(SUBSTITUTE(SUBSTITUTE(TRIM($W1622),"-",""),".",""),"/","")," ",""),8),7,2)),"")))</f>
        <v/>
      </c>
      <c r="Y1622" s="32">
        <f>IF($X1622="","",INT($X1622))</f>
        <v/>
      </c>
      <c r="Z1622" s="33">
        <f>IF(OR($Y1622="",$D$6=""),"",IF(INDEX($A:$U,ROW(),$D$6)="",0,IF(ISNUMBER(INDEX($A:$U,ROW(),$D$6)),INDEX($A:$U,ROW(),$D$6),IFERROR(--SUBSTITUTE(SUBSTITUTE(TRIM(INDEX($A:$U,ROW(),$D$6)),",",""),"원",""),0))))</f>
        <v/>
      </c>
      <c r="AA1622" s="31">
        <f>IF($Y1622="","",TRIM(INDEX($A:$U,ROW(),$E$6)&amp;IF($F$6="",""," "&amp;INDEX($A:$U,ROW(),$F$6))))</f>
        <v/>
      </c>
      <c r="AB1622" s="31">
        <f>IF($AA1622="","",SUBSTITUTE(SUBSTITUTE(SUBSTITUTE(SUBSTITUTE(SUBSTITUTE(SUBSTITUTE(SUBSTITUTE(SUBSTITUTE(SUBSTITUTE($AA1622," ",""),"　",""),"(주)",""),"（주）",""),"㈜",""),"주식회사",""),"(유)",""),"（유）",""),"유한회사",""))</f>
        <v/>
      </c>
      <c r="AC1622" s="31">
        <f>IF(OR($Y1622="",N($Z1622)&lt;=0,$AB1622=""),0,IFERROR(LOOKUP(2,1/((거래처별!$AC$8:$AC$307&lt;&gt;"")*ISNUMBER(SEARCH(거래처별!$AC$8:$AC$307,$AB1622))),거래처별!$A$8:$A$307),IFERROR(LOOKUP(2,1/((거래처별!$AD$8:$AD$307&lt;&gt;"")*ISNUMBER(SEARCH(거래처별!$AD$8:$AD$307,$AB1622))),거래처별!$A$8:$A$307),IFERROR(LOOKUP(2,1/((거래처별!$AE$8:$AE$307&lt;&gt;"")*ISNUMBER(SEARCH(거래처별!$AE$8:$AE$307,$AB1622))),거래처별!$A$8:$A$307),0))))</f>
        <v/>
      </c>
      <c r="AD1622" s="31">
        <f>IF(AND($Y1622&lt;&gt;"",N($Z1622)&gt;0,$AC1622=0),MAX($AD$7:$AD1621)+1,"")</f>
        <v/>
      </c>
      <c r="AE1622" s="31">
        <f>IF($Y1622="",0,$Y1622)</f>
        <v/>
      </c>
    </row>
    <row r="1623">
      <c r="W1623" s="31">
        <f>IF(OR($B$5="",$C$6="",ROW()&lt;$B$5),"",IF(INDEX($A:$U,ROW(),$C$6)="","",INDEX($A:$U,ROW(),$C$6)))</f>
        <v/>
      </c>
      <c r="X1623" s="32">
        <f>IF($W1623="","",IF(ISNUMBER($W1623),IF($W1623&gt;=10000000,IFERROR(DATE(INT($W1623/10000),MOD(INT($W1623/100),100),MOD($W1623,100)),""),INT($W1623)),IFERROR(DATE(--LEFT(LEFT(SUBSTITUTE(SUBSTITUTE(SUBSTITUTE(SUBSTITUTE(TRIM($W1623),"-",""),".",""),"/","")," ",""),8),4),--MID(LEFT(SUBSTITUTE(SUBSTITUTE(SUBSTITUTE(SUBSTITUTE(TRIM($W1623),"-",""),".",""),"/","")," ",""),8),5,2),--MID(LEFT(SUBSTITUTE(SUBSTITUTE(SUBSTITUTE(SUBSTITUTE(TRIM($W1623),"-",""),".",""),"/","")," ",""),8),7,2)),"")))</f>
        <v/>
      </c>
      <c r="Y1623" s="32">
        <f>IF($X1623="","",INT($X1623))</f>
        <v/>
      </c>
      <c r="Z1623" s="33">
        <f>IF(OR($Y1623="",$D$6=""),"",IF(INDEX($A:$U,ROW(),$D$6)="",0,IF(ISNUMBER(INDEX($A:$U,ROW(),$D$6)),INDEX($A:$U,ROW(),$D$6),IFERROR(--SUBSTITUTE(SUBSTITUTE(TRIM(INDEX($A:$U,ROW(),$D$6)),",",""),"원",""),0))))</f>
        <v/>
      </c>
      <c r="AA1623" s="31">
        <f>IF($Y1623="","",TRIM(INDEX($A:$U,ROW(),$E$6)&amp;IF($F$6="",""," "&amp;INDEX($A:$U,ROW(),$F$6))))</f>
        <v/>
      </c>
      <c r="AB1623" s="31">
        <f>IF($AA1623="","",SUBSTITUTE(SUBSTITUTE(SUBSTITUTE(SUBSTITUTE(SUBSTITUTE(SUBSTITUTE(SUBSTITUTE(SUBSTITUTE(SUBSTITUTE($AA1623," ",""),"　",""),"(주)",""),"（주）",""),"㈜",""),"주식회사",""),"(유)",""),"（유）",""),"유한회사",""))</f>
        <v/>
      </c>
      <c r="AC1623" s="31">
        <f>IF(OR($Y1623="",N($Z1623)&lt;=0,$AB1623=""),0,IFERROR(LOOKUP(2,1/((거래처별!$AC$8:$AC$307&lt;&gt;"")*ISNUMBER(SEARCH(거래처별!$AC$8:$AC$307,$AB1623))),거래처별!$A$8:$A$307),IFERROR(LOOKUP(2,1/((거래처별!$AD$8:$AD$307&lt;&gt;"")*ISNUMBER(SEARCH(거래처별!$AD$8:$AD$307,$AB1623))),거래처별!$A$8:$A$307),IFERROR(LOOKUP(2,1/((거래처별!$AE$8:$AE$307&lt;&gt;"")*ISNUMBER(SEARCH(거래처별!$AE$8:$AE$307,$AB1623))),거래처별!$A$8:$A$307),0))))</f>
        <v/>
      </c>
      <c r="AD1623" s="31">
        <f>IF(AND($Y1623&lt;&gt;"",N($Z1623)&gt;0,$AC1623=0),MAX($AD$7:$AD1622)+1,"")</f>
        <v/>
      </c>
      <c r="AE1623" s="31">
        <f>IF($Y1623="",0,$Y1623)</f>
        <v/>
      </c>
    </row>
    <row r="1624">
      <c r="W1624" s="31">
        <f>IF(OR($B$5="",$C$6="",ROW()&lt;$B$5),"",IF(INDEX($A:$U,ROW(),$C$6)="","",INDEX($A:$U,ROW(),$C$6)))</f>
        <v/>
      </c>
      <c r="X1624" s="32">
        <f>IF($W1624="","",IF(ISNUMBER($W1624),IF($W1624&gt;=10000000,IFERROR(DATE(INT($W1624/10000),MOD(INT($W1624/100),100),MOD($W1624,100)),""),INT($W1624)),IFERROR(DATE(--LEFT(LEFT(SUBSTITUTE(SUBSTITUTE(SUBSTITUTE(SUBSTITUTE(TRIM($W1624),"-",""),".",""),"/","")," ",""),8),4),--MID(LEFT(SUBSTITUTE(SUBSTITUTE(SUBSTITUTE(SUBSTITUTE(TRIM($W1624),"-",""),".",""),"/","")," ",""),8),5,2),--MID(LEFT(SUBSTITUTE(SUBSTITUTE(SUBSTITUTE(SUBSTITUTE(TRIM($W1624),"-",""),".",""),"/","")," ",""),8),7,2)),"")))</f>
        <v/>
      </c>
      <c r="Y1624" s="32">
        <f>IF($X1624="","",INT($X1624))</f>
        <v/>
      </c>
      <c r="Z1624" s="33">
        <f>IF(OR($Y1624="",$D$6=""),"",IF(INDEX($A:$U,ROW(),$D$6)="",0,IF(ISNUMBER(INDEX($A:$U,ROW(),$D$6)),INDEX($A:$U,ROW(),$D$6),IFERROR(--SUBSTITUTE(SUBSTITUTE(TRIM(INDEX($A:$U,ROW(),$D$6)),",",""),"원",""),0))))</f>
        <v/>
      </c>
      <c r="AA1624" s="31">
        <f>IF($Y1624="","",TRIM(INDEX($A:$U,ROW(),$E$6)&amp;IF($F$6="",""," "&amp;INDEX($A:$U,ROW(),$F$6))))</f>
        <v/>
      </c>
      <c r="AB1624" s="31">
        <f>IF($AA1624="","",SUBSTITUTE(SUBSTITUTE(SUBSTITUTE(SUBSTITUTE(SUBSTITUTE(SUBSTITUTE(SUBSTITUTE(SUBSTITUTE(SUBSTITUTE($AA1624," ",""),"　",""),"(주)",""),"（주）",""),"㈜",""),"주식회사",""),"(유)",""),"（유）",""),"유한회사",""))</f>
        <v/>
      </c>
      <c r="AC1624" s="31">
        <f>IF(OR($Y1624="",N($Z1624)&lt;=0,$AB1624=""),0,IFERROR(LOOKUP(2,1/((거래처별!$AC$8:$AC$307&lt;&gt;"")*ISNUMBER(SEARCH(거래처별!$AC$8:$AC$307,$AB1624))),거래처별!$A$8:$A$307),IFERROR(LOOKUP(2,1/((거래처별!$AD$8:$AD$307&lt;&gt;"")*ISNUMBER(SEARCH(거래처별!$AD$8:$AD$307,$AB1624))),거래처별!$A$8:$A$307),IFERROR(LOOKUP(2,1/((거래처별!$AE$8:$AE$307&lt;&gt;"")*ISNUMBER(SEARCH(거래처별!$AE$8:$AE$307,$AB1624))),거래처별!$A$8:$A$307),0))))</f>
        <v/>
      </c>
      <c r="AD1624" s="31">
        <f>IF(AND($Y1624&lt;&gt;"",N($Z1624)&gt;0,$AC1624=0),MAX($AD$7:$AD1623)+1,"")</f>
        <v/>
      </c>
      <c r="AE1624" s="31">
        <f>IF($Y1624="",0,$Y1624)</f>
        <v/>
      </c>
    </row>
    <row r="1625">
      <c r="W1625" s="31">
        <f>IF(OR($B$5="",$C$6="",ROW()&lt;$B$5),"",IF(INDEX($A:$U,ROW(),$C$6)="","",INDEX($A:$U,ROW(),$C$6)))</f>
        <v/>
      </c>
      <c r="X1625" s="32">
        <f>IF($W1625="","",IF(ISNUMBER($W1625),IF($W1625&gt;=10000000,IFERROR(DATE(INT($W1625/10000),MOD(INT($W1625/100),100),MOD($W1625,100)),""),INT($W1625)),IFERROR(DATE(--LEFT(LEFT(SUBSTITUTE(SUBSTITUTE(SUBSTITUTE(SUBSTITUTE(TRIM($W1625),"-",""),".",""),"/","")," ",""),8),4),--MID(LEFT(SUBSTITUTE(SUBSTITUTE(SUBSTITUTE(SUBSTITUTE(TRIM($W1625),"-",""),".",""),"/","")," ",""),8),5,2),--MID(LEFT(SUBSTITUTE(SUBSTITUTE(SUBSTITUTE(SUBSTITUTE(TRIM($W1625),"-",""),".",""),"/","")," ",""),8),7,2)),"")))</f>
        <v/>
      </c>
      <c r="Y1625" s="32">
        <f>IF($X1625="","",INT($X1625))</f>
        <v/>
      </c>
      <c r="Z1625" s="33">
        <f>IF(OR($Y1625="",$D$6=""),"",IF(INDEX($A:$U,ROW(),$D$6)="",0,IF(ISNUMBER(INDEX($A:$U,ROW(),$D$6)),INDEX($A:$U,ROW(),$D$6),IFERROR(--SUBSTITUTE(SUBSTITUTE(TRIM(INDEX($A:$U,ROW(),$D$6)),",",""),"원",""),0))))</f>
        <v/>
      </c>
      <c r="AA1625" s="31">
        <f>IF($Y1625="","",TRIM(INDEX($A:$U,ROW(),$E$6)&amp;IF($F$6="",""," "&amp;INDEX($A:$U,ROW(),$F$6))))</f>
        <v/>
      </c>
      <c r="AB1625" s="31">
        <f>IF($AA1625="","",SUBSTITUTE(SUBSTITUTE(SUBSTITUTE(SUBSTITUTE(SUBSTITUTE(SUBSTITUTE(SUBSTITUTE(SUBSTITUTE(SUBSTITUTE($AA1625," ",""),"　",""),"(주)",""),"（주）",""),"㈜",""),"주식회사",""),"(유)",""),"（유）",""),"유한회사",""))</f>
        <v/>
      </c>
      <c r="AC1625" s="31">
        <f>IF(OR($Y1625="",N($Z1625)&lt;=0,$AB1625=""),0,IFERROR(LOOKUP(2,1/((거래처별!$AC$8:$AC$307&lt;&gt;"")*ISNUMBER(SEARCH(거래처별!$AC$8:$AC$307,$AB1625))),거래처별!$A$8:$A$307),IFERROR(LOOKUP(2,1/((거래처별!$AD$8:$AD$307&lt;&gt;"")*ISNUMBER(SEARCH(거래처별!$AD$8:$AD$307,$AB1625))),거래처별!$A$8:$A$307),IFERROR(LOOKUP(2,1/((거래처별!$AE$8:$AE$307&lt;&gt;"")*ISNUMBER(SEARCH(거래처별!$AE$8:$AE$307,$AB1625))),거래처별!$A$8:$A$307),0))))</f>
        <v/>
      </c>
      <c r="AD1625" s="31">
        <f>IF(AND($Y1625&lt;&gt;"",N($Z1625)&gt;0,$AC1625=0),MAX($AD$7:$AD1624)+1,"")</f>
        <v/>
      </c>
      <c r="AE1625" s="31">
        <f>IF($Y1625="",0,$Y1625)</f>
        <v/>
      </c>
    </row>
    <row r="1626">
      <c r="W1626" s="31">
        <f>IF(OR($B$5="",$C$6="",ROW()&lt;$B$5),"",IF(INDEX($A:$U,ROW(),$C$6)="","",INDEX($A:$U,ROW(),$C$6)))</f>
        <v/>
      </c>
      <c r="X1626" s="32">
        <f>IF($W1626="","",IF(ISNUMBER($W1626),IF($W1626&gt;=10000000,IFERROR(DATE(INT($W1626/10000),MOD(INT($W1626/100),100),MOD($W1626,100)),""),INT($W1626)),IFERROR(DATE(--LEFT(LEFT(SUBSTITUTE(SUBSTITUTE(SUBSTITUTE(SUBSTITUTE(TRIM($W1626),"-",""),".",""),"/","")," ",""),8),4),--MID(LEFT(SUBSTITUTE(SUBSTITUTE(SUBSTITUTE(SUBSTITUTE(TRIM($W1626),"-",""),".",""),"/","")," ",""),8),5,2),--MID(LEFT(SUBSTITUTE(SUBSTITUTE(SUBSTITUTE(SUBSTITUTE(TRIM($W1626),"-",""),".",""),"/","")," ",""),8),7,2)),"")))</f>
        <v/>
      </c>
      <c r="Y1626" s="32">
        <f>IF($X1626="","",INT($X1626))</f>
        <v/>
      </c>
      <c r="Z1626" s="33">
        <f>IF(OR($Y1626="",$D$6=""),"",IF(INDEX($A:$U,ROW(),$D$6)="",0,IF(ISNUMBER(INDEX($A:$U,ROW(),$D$6)),INDEX($A:$U,ROW(),$D$6),IFERROR(--SUBSTITUTE(SUBSTITUTE(TRIM(INDEX($A:$U,ROW(),$D$6)),",",""),"원",""),0))))</f>
        <v/>
      </c>
      <c r="AA1626" s="31">
        <f>IF($Y1626="","",TRIM(INDEX($A:$U,ROW(),$E$6)&amp;IF($F$6="",""," "&amp;INDEX($A:$U,ROW(),$F$6))))</f>
        <v/>
      </c>
      <c r="AB1626" s="31">
        <f>IF($AA1626="","",SUBSTITUTE(SUBSTITUTE(SUBSTITUTE(SUBSTITUTE(SUBSTITUTE(SUBSTITUTE(SUBSTITUTE(SUBSTITUTE(SUBSTITUTE($AA1626," ",""),"　",""),"(주)",""),"（주）",""),"㈜",""),"주식회사",""),"(유)",""),"（유）",""),"유한회사",""))</f>
        <v/>
      </c>
      <c r="AC1626" s="31">
        <f>IF(OR($Y1626="",N($Z1626)&lt;=0,$AB1626=""),0,IFERROR(LOOKUP(2,1/((거래처별!$AC$8:$AC$307&lt;&gt;"")*ISNUMBER(SEARCH(거래처별!$AC$8:$AC$307,$AB1626))),거래처별!$A$8:$A$307),IFERROR(LOOKUP(2,1/((거래처별!$AD$8:$AD$307&lt;&gt;"")*ISNUMBER(SEARCH(거래처별!$AD$8:$AD$307,$AB1626))),거래처별!$A$8:$A$307),IFERROR(LOOKUP(2,1/((거래처별!$AE$8:$AE$307&lt;&gt;"")*ISNUMBER(SEARCH(거래처별!$AE$8:$AE$307,$AB1626))),거래처별!$A$8:$A$307),0))))</f>
        <v/>
      </c>
      <c r="AD1626" s="31">
        <f>IF(AND($Y1626&lt;&gt;"",N($Z1626)&gt;0,$AC1626=0),MAX($AD$7:$AD1625)+1,"")</f>
        <v/>
      </c>
      <c r="AE1626" s="31">
        <f>IF($Y1626="",0,$Y1626)</f>
        <v/>
      </c>
    </row>
    <row r="1627">
      <c r="W1627" s="31">
        <f>IF(OR($B$5="",$C$6="",ROW()&lt;$B$5),"",IF(INDEX($A:$U,ROW(),$C$6)="","",INDEX($A:$U,ROW(),$C$6)))</f>
        <v/>
      </c>
      <c r="X1627" s="32">
        <f>IF($W1627="","",IF(ISNUMBER($W1627),IF($W1627&gt;=10000000,IFERROR(DATE(INT($W1627/10000),MOD(INT($W1627/100),100),MOD($W1627,100)),""),INT($W1627)),IFERROR(DATE(--LEFT(LEFT(SUBSTITUTE(SUBSTITUTE(SUBSTITUTE(SUBSTITUTE(TRIM($W1627),"-",""),".",""),"/","")," ",""),8),4),--MID(LEFT(SUBSTITUTE(SUBSTITUTE(SUBSTITUTE(SUBSTITUTE(TRIM($W1627),"-",""),".",""),"/","")," ",""),8),5,2),--MID(LEFT(SUBSTITUTE(SUBSTITUTE(SUBSTITUTE(SUBSTITUTE(TRIM($W1627),"-",""),".",""),"/","")," ",""),8),7,2)),"")))</f>
        <v/>
      </c>
      <c r="Y1627" s="32">
        <f>IF($X1627="","",INT($X1627))</f>
        <v/>
      </c>
      <c r="Z1627" s="33">
        <f>IF(OR($Y1627="",$D$6=""),"",IF(INDEX($A:$U,ROW(),$D$6)="",0,IF(ISNUMBER(INDEX($A:$U,ROW(),$D$6)),INDEX($A:$U,ROW(),$D$6),IFERROR(--SUBSTITUTE(SUBSTITUTE(TRIM(INDEX($A:$U,ROW(),$D$6)),",",""),"원",""),0))))</f>
        <v/>
      </c>
      <c r="AA1627" s="31">
        <f>IF($Y1627="","",TRIM(INDEX($A:$U,ROW(),$E$6)&amp;IF($F$6="",""," "&amp;INDEX($A:$U,ROW(),$F$6))))</f>
        <v/>
      </c>
      <c r="AB1627" s="31">
        <f>IF($AA1627="","",SUBSTITUTE(SUBSTITUTE(SUBSTITUTE(SUBSTITUTE(SUBSTITUTE(SUBSTITUTE(SUBSTITUTE(SUBSTITUTE(SUBSTITUTE($AA1627," ",""),"　",""),"(주)",""),"（주）",""),"㈜",""),"주식회사",""),"(유)",""),"（유）",""),"유한회사",""))</f>
        <v/>
      </c>
      <c r="AC1627" s="31">
        <f>IF(OR($Y1627="",N($Z1627)&lt;=0,$AB1627=""),0,IFERROR(LOOKUP(2,1/((거래처별!$AC$8:$AC$307&lt;&gt;"")*ISNUMBER(SEARCH(거래처별!$AC$8:$AC$307,$AB1627))),거래처별!$A$8:$A$307),IFERROR(LOOKUP(2,1/((거래처별!$AD$8:$AD$307&lt;&gt;"")*ISNUMBER(SEARCH(거래처별!$AD$8:$AD$307,$AB1627))),거래처별!$A$8:$A$307),IFERROR(LOOKUP(2,1/((거래처별!$AE$8:$AE$307&lt;&gt;"")*ISNUMBER(SEARCH(거래처별!$AE$8:$AE$307,$AB1627))),거래처별!$A$8:$A$307),0))))</f>
        <v/>
      </c>
      <c r="AD1627" s="31">
        <f>IF(AND($Y1627&lt;&gt;"",N($Z1627)&gt;0,$AC1627=0),MAX($AD$7:$AD1626)+1,"")</f>
        <v/>
      </c>
      <c r="AE1627" s="31">
        <f>IF($Y1627="",0,$Y1627)</f>
        <v/>
      </c>
    </row>
    <row r="1628">
      <c r="W1628" s="31">
        <f>IF(OR($B$5="",$C$6="",ROW()&lt;$B$5),"",IF(INDEX($A:$U,ROW(),$C$6)="","",INDEX($A:$U,ROW(),$C$6)))</f>
        <v/>
      </c>
      <c r="X1628" s="32">
        <f>IF($W1628="","",IF(ISNUMBER($W1628),IF($W1628&gt;=10000000,IFERROR(DATE(INT($W1628/10000),MOD(INT($W1628/100),100),MOD($W1628,100)),""),INT($W1628)),IFERROR(DATE(--LEFT(LEFT(SUBSTITUTE(SUBSTITUTE(SUBSTITUTE(SUBSTITUTE(TRIM($W1628),"-",""),".",""),"/","")," ",""),8),4),--MID(LEFT(SUBSTITUTE(SUBSTITUTE(SUBSTITUTE(SUBSTITUTE(TRIM($W1628),"-",""),".",""),"/","")," ",""),8),5,2),--MID(LEFT(SUBSTITUTE(SUBSTITUTE(SUBSTITUTE(SUBSTITUTE(TRIM($W1628),"-",""),".",""),"/","")," ",""),8),7,2)),"")))</f>
        <v/>
      </c>
      <c r="Y1628" s="32">
        <f>IF($X1628="","",INT($X1628))</f>
        <v/>
      </c>
      <c r="Z1628" s="33">
        <f>IF(OR($Y1628="",$D$6=""),"",IF(INDEX($A:$U,ROW(),$D$6)="",0,IF(ISNUMBER(INDEX($A:$U,ROW(),$D$6)),INDEX($A:$U,ROW(),$D$6),IFERROR(--SUBSTITUTE(SUBSTITUTE(TRIM(INDEX($A:$U,ROW(),$D$6)),",",""),"원",""),0))))</f>
        <v/>
      </c>
      <c r="AA1628" s="31">
        <f>IF($Y1628="","",TRIM(INDEX($A:$U,ROW(),$E$6)&amp;IF($F$6="",""," "&amp;INDEX($A:$U,ROW(),$F$6))))</f>
        <v/>
      </c>
      <c r="AB1628" s="31">
        <f>IF($AA1628="","",SUBSTITUTE(SUBSTITUTE(SUBSTITUTE(SUBSTITUTE(SUBSTITUTE(SUBSTITUTE(SUBSTITUTE(SUBSTITUTE(SUBSTITUTE($AA1628," ",""),"　",""),"(주)",""),"（주）",""),"㈜",""),"주식회사",""),"(유)",""),"（유）",""),"유한회사",""))</f>
        <v/>
      </c>
      <c r="AC1628" s="31">
        <f>IF(OR($Y1628="",N($Z1628)&lt;=0,$AB1628=""),0,IFERROR(LOOKUP(2,1/((거래처별!$AC$8:$AC$307&lt;&gt;"")*ISNUMBER(SEARCH(거래처별!$AC$8:$AC$307,$AB1628))),거래처별!$A$8:$A$307),IFERROR(LOOKUP(2,1/((거래처별!$AD$8:$AD$307&lt;&gt;"")*ISNUMBER(SEARCH(거래처별!$AD$8:$AD$307,$AB1628))),거래처별!$A$8:$A$307),IFERROR(LOOKUP(2,1/((거래처별!$AE$8:$AE$307&lt;&gt;"")*ISNUMBER(SEARCH(거래처별!$AE$8:$AE$307,$AB1628))),거래처별!$A$8:$A$307),0))))</f>
        <v/>
      </c>
      <c r="AD1628" s="31">
        <f>IF(AND($Y1628&lt;&gt;"",N($Z1628)&gt;0,$AC1628=0),MAX($AD$7:$AD1627)+1,"")</f>
        <v/>
      </c>
      <c r="AE1628" s="31">
        <f>IF($Y1628="",0,$Y1628)</f>
        <v/>
      </c>
    </row>
    <row r="1629">
      <c r="W1629" s="31">
        <f>IF(OR($B$5="",$C$6="",ROW()&lt;$B$5),"",IF(INDEX($A:$U,ROW(),$C$6)="","",INDEX($A:$U,ROW(),$C$6)))</f>
        <v/>
      </c>
      <c r="X1629" s="32">
        <f>IF($W1629="","",IF(ISNUMBER($W1629),IF($W1629&gt;=10000000,IFERROR(DATE(INT($W1629/10000),MOD(INT($W1629/100),100),MOD($W1629,100)),""),INT($W1629)),IFERROR(DATE(--LEFT(LEFT(SUBSTITUTE(SUBSTITUTE(SUBSTITUTE(SUBSTITUTE(TRIM($W1629),"-",""),".",""),"/","")," ",""),8),4),--MID(LEFT(SUBSTITUTE(SUBSTITUTE(SUBSTITUTE(SUBSTITUTE(TRIM($W1629),"-",""),".",""),"/","")," ",""),8),5,2),--MID(LEFT(SUBSTITUTE(SUBSTITUTE(SUBSTITUTE(SUBSTITUTE(TRIM($W1629),"-",""),".",""),"/","")," ",""),8),7,2)),"")))</f>
        <v/>
      </c>
      <c r="Y1629" s="32">
        <f>IF($X1629="","",INT($X1629))</f>
        <v/>
      </c>
      <c r="Z1629" s="33">
        <f>IF(OR($Y1629="",$D$6=""),"",IF(INDEX($A:$U,ROW(),$D$6)="",0,IF(ISNUMBER(INDEX($A:$U,ROW(),$D$6)),INDEX($A:$U,ROW(),$D$6),IFERROR(--SUBSTITUTE(SUBSTITUTE(TRIM(INDEX($A:$U,ROW(),$D$6)),",",""),"원",""),0))))</f>
        <v/>
      </c>
      <c r="AA1629" s="31">
        <f>IF($Y1629="","",TRIM(INDEX($A:$U,ROW(),$E$6)&amp;IF($F$6="",""," "&amp;INDEX($A:$U,ROW(),$F$6))))</f>
        <v/>
      </c>
      <c r="AB1629" s="31">
        <f>IF($AA1629="","",SUBSTITUTE(SUBSTITUTE(SUBSTITUTE(SUBSTITUTE(SUBSTITUTE(SUBSTITUTE(SUBSTITUTE(SUBSTITUTE(SUBSTITUTE($AA1629," ",""),"　",""),"(주)",""),"（주）",""),"㈜",""),"주식회사",""),"(유)",""),"（유）",""),"유한회사",""))</f>
        <v/>
      </c>
      <c r="AC1629" s="31">
        <f>IF(OR($Y1629="",N($Z1629)&lt;=0,$AB1629=""),0,IFERROR(LOOKUP(2,1/((거래처별!$AC$8:$AC$307&lt;&gt;"")*ISNUMBER(SEARCH(거래처별!$AC$8:$AC$307,$AB1629))),거래처별!$A$8:$A$307),IFERROR(LOOKUP(2,1/((거래처별!$AD$8:$AD$307&lt;&gt;"")*ISNUMBER(SEARCH(거래처별!$AD$8:$AD$307,$AB1629))),거래처별!$A$8:$A$307),IFERROR(LOOKUP(2,1/((거래처별!$AE$8:$AE$307&lt;&gt;"")*ISNUMBER(SEARCH(거래처별!$AE$8:$AE$307,$AB1629))),거래처별!$A$8:$A$307),0))))</f>
        <v/>
      </c>
      <c r="AD1629" s="31">
        <f>IF(AND($Y1629&lt;&gt;"",N($Z1629)&gt;0,$AC1629=0),MAX($AD$7:$AD1628)+1,"")</f>
        <v/>
      </c>
      <c r="AE1629" s="31">
        <f>IF($Y1629="",0,$Y1629)</f>
        <v/>
      </c>
    </row>
    <row r="1630">
      <c r="W1630" s="31">
        <f>IF(OR($B$5="",$C$6="",ROW()&lt;$B$5),"",IF(INDEX($A:$U,ROW(),$C$6)="","",INDEX($A:$U,ROW(),$C$6)))</f>
        <v/>
      </c>
      <c r="X1630" s="32">
        <f>IF($W1630="","",IF(ISNUMBER($W1630),IF($W1630&gt;=10000000,IFERROR(DATE(INT($W1630/10000),MOD(INT($W1630/100),100),MOD($W1630,100)),""),INT($W1630)),IFERROR(DATE(--LEFT(LEFT(SUBSTITUTE(SUBSTITUTE(SUBSTITUTE(SUBSTITUTE(TRIM($W1630),"-",""),".",""),"/","")," ",""),8),4),--MID(LEFT(SUBSTITUTE(SUBSTITUTE(SUBSTITUTE(SUBSTITUTE(TRIM($W1630),"-",""),".",""),"/","")," ",""),8),5,2),--MID(LEFT(SUBSTITUTE(SUBSTITUTE(SUBSTITUTE(SUBSTITUTE(TRIM($W1630),"-",""),".",""),"/","")," ",""),8),7,2)),"")))</f>
        <v/>
      </c>
      <c r="Y1630" s="32">
        <f>IF($X1630="","",INT($X1630))</f>
        <v/>
      </c>
      <c r="Z1630" s="33">
        <f>IF(OR($Y1630="",$D$6=""),"",IF(INDEX($A:$U,ROW(),$D$6)="",0,IF(ISNUMBER(INDEX($A:$U,ROW(),$D$6)),INDEX($A:$U,ROW(),$D$6),IFERROR(--SUBSTITUTE(SUBSTITUTE(TRIM(INDEX($A:$U,ROW(),$D$6)),",",""),"원",""),0))))</f>
        <v/>
      </c>
      <c r="AA1630" s="31">
        <f>IF($Y1630="","",TRIM(INDEX($A:$U,ROW(),$E$6)&amp;IF($F$6="",""," "&amp;INDEX($A:$U,ROW(),$F$6))))</f>
        <v/>
      </c>
      <c r="AB1630" s="31">
        <f>IF($AA1630="","",SUBSTITUTE(SUBSTITUTE(SUBSTITUTE(SUBSTITUTE(SUBSTITUTE(SUBSTITUTE(SUBSTITUTE(SUBSTITUTE(SUBSTITUTE($AA1630," ",""),"　",""),"(주)",""),"（주）",""),"㈜",""),"주식회사",""),"(유)",""),"（유）",""),"유한회사",""))</f>
        <v/>
      </c>
      <c r="AC1630" s="31">
        <f>IF(OR($Y1630="",N($Z1630)&lt;=0,$AB1630=""),0,IFERROR(LOOKUP(2,1/((거래처별!$AC$8:$AC$307&lt;&gt;"")*ISNUMBER(SEARCH(거래처별!$AC$8:$AC$307,$AB1630))),거래처별!$A$8:$A$307),IFERROR(LOOKUP(2,1/((거래처별!$AD$8:$AD$307&lt;&gt;"")*ISNUMBER(SEARCH(거래처별!$AD$8:$AD$307,$AB1630))),거래처별!$A$8:$A$307),IFERROR(LOOKUP(2,1/((거래처별!$AE$8:$AE$307&lt;&gt;"")*ISNUMBER(SEARCH(거래처별!$AE$8:$AE$307,$AB1630))),거래처별!$A$8:$A$307),0))))</f>
        <v/>
      </c>
      <c r="AD1630" s="31">
        <f>IF(AND($Y1630&lt;&gt;"",N($Z1630)&gt;0,$AC1630=0),MAX($AD$7:$AD1629)+1,"")</f>
        <v/>
      </c>
      <c r="AE1630" s="31">
        <f>IF($Y1630="",0,$Y1630)</f>
        <v/>
      </c>
    </row>
    <row r="1631">
      <c r="W1631" s="31">
        <f>IF(OR($B$5="",$C$6="",ROW()&lt;$B$5),"",IF(INDEX($A:$U,ROW(),$C$6)="","",INDEX($A:$U,ROW(),$C$6)))</f>
        <v/>
      </c>
      <c r="X1631" s="32">
        <f>IF($W1631="","",IF(ISNUMBER($W1631),IF($W1631&gt;=10000000,IFERROR(DATE(INT($W1631/10000),MOD(INT($W1631/100),100),MOD($W1631,100)),""),INT($W1631)),IFERROR(DATE(--LEFT(LEFT(SUBSTITUTE(SUBSTITUTE(SUBSTITUTE(SUBSTITUTE(TRIM($W1631),"-",""),".",""),"/","")," ",""),8),4),--MID(LEFT(SUBSTITUTE(SUBSTITUTE(SUBSTITUTE(SUBSTITUTE(TRIM($W1631),"-",""),".",""),"/","")," ",""),8),5,2),--MID(LEFT(SUBSTITUTE(SUBSTITUTE(SUBSTITUTE(SUBSTITUTE(TRIM($W1631),"-",""),".",""),"/","")," ",""),8),7,2)),"")))</f>
        <v/>
      </c>
      <c r="Y1631" s="32">
        <f>IF($X1631="","",INT($X1631))</f>
        <v/>
      </c>
      <c r="Z1631" s="33">
        <f>IF(OR($Y1631="",$D$6=""),"",IF(INDEX($A:$U,ROW(),$D$6)="",0,IF(ISNUMBER(INDEX($A:$U,ROW(),$D$6)),INDEX($A:$U,ROW(),$D$6),IFERROR(--SUBSTITUTE(SUBSTITUTE(TRIM(INDEX($A:$U,ROW(),$D$6)),",",""),"원",""),0))))</f>
        <v/>
      </c>
      <c r="AA1631" s="31">
        <f>IF($Y1631="","",TRIM(INDEX($A:$U,ROW(),$E$6)&amp;IF($F$6="",""," "&amp;INDEX($A:$U,ROW(),$F$6))))</f>
        <v/>
      </c>
      <c r="AB1631" s="31">
        <f>IF($AA1631="","",SUBSTITUTE(SUBSTITUTE(SUBSTITUTE(SUBSTITUTE(SUBSTITUTE(SUBSTITUTE(SUBSTITUTE(SUBSTITUTE(SUBSTITUTE($AA1631," ",""),"　",""),"(주)",""),"（주）",""),"㈜",""),"주식회사",""),"(유)",""),"（유）",""),"유한회사",""))</f>
        <v/>
      </c>
      <c r="AC1631" s="31">
        <f>IF(OR($Y1631="",N($Z1631)&lt;=0,$AB1631=""),0,IFERROR(LOOKUP(2,1/((거래처별!$AC$8:$AC$307&lt;&gt;"")*ISNUMBER(SEARCH(거래처별!$AC$8:$AC$307,$AB1631))),거래처별!$A$8:$A$307),IFERROR(LOOKUP(2,1/((거래처별!$AD$8:$AD$307&lt;&gt;"")*ISNUMBER(SEARCH(거래처별!$AD$8:$AD$307,$AB1631))),거래처별!$A$8:$A$307),IFERROR(LOOKUP(2,1/((거래처별!$AE$8:$AE$307&lt;&gt;"")*ISNUMBER(SEARCH(거래처별!$AE$8:$AE$307,$AB1631))),거래처별!$A$8:$A$307),0))))</f>
        <v/>
      </c>
      <c r="AD1631" s="31">
        <f>IF(AND($Y1631&lt;&gt;"",N($Z1631)&gt;0,$AC1631=0),MAX($AD$7:$AD1630)+1,"")</f>
        <v/>
      </c>
      <c r="AE1631" s="31">
        <f>IF($Y1631="",0,$Y1631)</f>
        <v/>
      </c>
    </row>
    <row r="1632">
      <c r="W1632" s="31">
        <f>IF(OR($B$5="",$C$6="",ROW()&lt;$B$5),"",IF(INDEX($A:$U,ROW(),$C$6)="","",INDEX($A:$U,ROW(),$C$6)))</f>
        <v/>
      </c>
      <c r="X1632" s="32">
        <f>IF($W1632="","",IF(ISNUMBER($W1632),IF($W1632&gt;=10000000,IFERROR(DATE(INT($W1632/10000),MOD(INT($W1632/100),100),MOD($W1632,100)),""),INT($W1632)),IFERROR(DATE(--LEFT(LEFT(SUBSTITUTE(SUBSTITUTE(SUBSTITUTE(SUBSTITUTE(TRIM($W1632),"-",""),".",""),"/","")," ",""),8),4),--MID(LEFT(SUBSTITUTE(SUBSTITUTE(SUBSTITUTE(SUBSTITUTE(TRIM($W1632),"-",""),".",""),"/","")," ",""),8),5,2),--MID(LEFT(SUBSTITUTE(SUBSTITUTE(SUBSTITUTE(SUBSTITUTE(TRIM($W1632),"-",""),".",""),"/","")," ",""),8),7,2)),"")))</f>
        <v/>
      </c>
      <c r="Y1632" s="32">
        <f>IF($X1632="","",INT($X1632))</f>
        <v/>
      </c>
      <c r="Z1632" s="33">
        <f>IF(OR($Y1632="",$D$6=""),"",IF(INDEX($A:$U,ROW(),$D$6)="",0,IF(ISNUMBER(INDEX($A:$U,ROW(),$D$6)),INDEX($A:$U,ROW(),$D$6),IFERROR(--SUBSTITUTE(SUBSTITUTE(TRIM(INDEX($A:$U,ROW(),$D$6)),",",""),"원",""),0))))</f>
        <v/>
      </c>
      <c r="AA1632" s="31">
        <f>IF($Y1632="","",TRIM(INDEX($A:$U,ROW(),$E$6)&amp;IF($F$6="",""," "&amp;INDEX($A:$U,ROW(),$F$6))))</f>
        <v/>
      </c>
      <c r="AB1632" s="31">
        <f>IF($AA1632="","",SUBSTITUTE(SUBSTITUTE(SUBSTITUTE(SUBSTITUTE(SUBSTITUTE(SUBSTITUTE(SUBSTITUTE(SUBSTITUTE(SUBSTITUTE($AA1632," ",""),"　",""),"(주)",""),"（주）",""),"㈜",""),"주식회사",""),"(유)",""),"（유）",""),"유한회사",""))</f>
        <v/>
      </c>
      <c r="AC1632" s="31">
        <f>IF(OR($Y1632="",N($Z1632)&lt;=0,$AB1632=""),0,IFERROR(LOOKUP(2,1/((거래처별!$AC$8:$AC$307&lt;&gt;"")*ISNUMBER(SEARCH(거래처별!$AC$8:$AC$307,$AB1632))),거래처별!$A$8:$A$307),IFERROR(LOOKUP(2,1/((거래처별!$AD$8:$AD$307&lt;&gt;"")*ISNUMBER(SEARCH(거래처별!$AD$8:$AD$307,$AB1632))),거래처별!$A$8:$A$307),IFERROR(LOOKUP(2,1/((거래처별!$AE$8:$AE$307&lt;&gt;"")*ISNUMBER(SEARCH(거래처별!$AE$8:$AE$307,$AB1632))),거래처별!$A$8:$A$307),0))))</f>
        <v/>
      </c>
      <c r="AD1632" s="31">
        <f>IF(AND($Y1632&lt;&gt;"",N($Z1632)&gt;0,$AC1632=0),MAX($AD$7:$AD1631)+1,"")</f>
        <v/>
      </c>
      <c r="AE1632" s="31">
        <f>IF($Y1632="",0,$Y1632)</f>
        <v/>
      </c>
    </row>
    <row r="1633">
      <c r="W1633" s="31">
        <f>IF(OR($B$5="",$C$6="",ROW()&lt;$B$5),"",IF(INDEX($A:$U,ROW(),$C$6)="","",INDEX($A:$U,ROW(),$C$6)))</f>
        <v/>
      </c>
      <c r="X1633" s="32">
        <f>IF($W1633="","",IF(ISNUMBER($W1633),IF($W1633&gt;=10000000,IFERROR(DATE(INT($W1633/10000),MOD(INT($W1633/100),100),MOD($W1633,100)),""),INT($W1633)),IFERROR(DATE(--LEFT(LEFT(SUBSTITUTE(SUBSTITUTE(SUBSTITUTE(SUBSTITUTE(TRIM($W1633),"-",""),".",""),"/","")," ",""),8),4),--MID(LEFT(SUBSTITUTE(SUBSTITUTE(SUBSTITUTE(SUBSTITUTE(TRIM($W1633),"-",""),".",""),"/","")," ",""),8),5,2),--MID(LEFT(SUBSTITUTE(SUBSTITUTE(SUBSTITUTE(SUBSTITUTE(TRIM($W1633),"-",""),".",""),"/","")," ",""),8),7,2)),"")))</f>
        <v/>
      </c>
      <c r="Y1633" s="32">
        <f>IF($X1633="","",INT($X1633))</f>
        <v/>
      </c>
      <c r="Z1633" s="33">
        <f>IF(OR($Y1633="",$D$6=""),"",IF(INDEX($A:$U,ROW(),$D$6)="",0,IF(ISNUMBER(INDEX($A:$U,ROW(),$D$6)),INDEX($A:$U,ROW(),$D$6),IFERROR(--SUBSTITUTE(SUBSTITUTE(TRIM(INDEX($A:$U,ROW(),$D$6)),",",""),"원",""),0))))</f>
        <v/>
      </c>
      <c r="AA1633" s="31">
        <f>IF($Y1633="","",TRIM(INDEX($A:$U,ROW(),$E$6)&amp;IF($F$6="",""," "&amp;INDEX($A:$U,ROW(),$F$6))))</f>
        <v/>
      </c>
      <c r="AB1633" s="31">
        <f>IF($AA1633="","",SUBSTITUTE(SUBSTITUTE(SUBSTITUTE(SUBSTITUTE(SUBSTITUTE(SUBSTITUTE(SUBSTITUTE(SUBSTITUTE(SUBSTITUTE($AA1633," ",""),"　",""),"(주)",""),"（주）",""),"㈜",""),"주식회사",""),"(유)",""),"（유）",""),"유한회사",""))</f>
        <v/>
      </c>
      <c r="AC1633" s="31">
        <f>IF(OR($Y1633="",N($Z1633)&lt;=0,$AB1633=""),0,IFERROR(LOOKUP(2,1/((거래처별!$AC$8:$AC$307&lt;&gt;"")*ISNUMBER(SEARCH(거래처별!$AC$8:$AC$307,$AB1633))),거래처별!$A$8:$A$307),IFERROR(LOOKUP(2,1/((거래처별!$AD$8:$AD$307&lt;&gt;"")*ISNUMBER(SEARCH(거래처별!$AD$8:$AD$307,$AB1633))),거래처별!$A$8:$A$307),IFERROR(LOOKUP(2,1/((거래처별!$AE$8:$AE$307&lt;&gt;"")*ISNUMBER(SEARCH(거래처별!$AE$8:$AE$307,$AB1633))),거래처별!$A$8:$A$307),0))))</f>
        <v/>
      </c>
      <c r="AD1633" s="31">
        <f>IF(AND($Y1633&lt;&gt;"",N($Z1633)&gt;0,$AC1633=0),MAX($AD$7:$AD1632)+1,"")</f>
        <v/>
      </c>
      <c r="AE1633" s="31">
        <f>IF($Y1633="",0,$Y1633)</f>
        <v/>
      </c>
    </row>
    <row r="1634">
      <c r="W1634" s="31">
        <f>IF(OR($B$5="",$C$6="",ROW()&lt;$B$5),"",IF(INDEX($A:$U,ROW(),$C$6)="","",INDEX($A:$U,ROW(),$C$6)))</f>
        <v/>
      </c>
      <c r="X1634" s="32">
        <f>IF($W1634="","",IF(ISNUMBER($W1634),IF($W1634&gt;=10000000,IFERROR(DATE(INT($W1634/10000),MOD(INT($W1634/100),100),MOD($W1634,100)),""),INT($W1634)),IFERROR(DATE(--LEFT(LEFT(SUBSTITUTE(SUBSTITUTE(SUBSTITUTE(SUBSTITUTE(TRIM($W1634),"-",""),".",""),"/","")," ",""),8),4),--MID(LEFT(SUBSTITUTE(SUBSTITUTE(SUBSTITUTE(SUBSTITUTE(TRIM($W1634),"-",""),".",""),"/","")," ",""),8),5,2),--MID(LEFT(SUBSTITUTE(SUBSTITUTE(SUBSTITUTE(SUBSTITUTE(TRIM($W1634),"-",""),".",""),"/","")," ",""),8),7,2)),"")))</f>
        <v/>
      </c>
      <c r="Y1634" s="32">
        <f>IF($X1634="","",INT($X1634))</f>
        <v/>
      </c>
      <c r="Z1634" s="33">
        <f>IF(OR($Y1634="",$D$6=""),"",IF(INDEX($A:$U,ROW(),$D$6)="",0,IF(ISNUMBER(INDEX($A:$U,ROW(),$D$6)),INDEX($A:$U,ROW(),$D$6),IFERROR(--SUBSTITUTE(SUBSTITUTE(TRIM(INDEX($A:$U,ROW(),$D$6)),",",""),"원",""),0))))</f>
        <v/>
      </c>
      <c r="AA1634" s="31">
        <f>IF($Y1634="","",TRIM(INDEX($A:$U,ROW(),$E$6)&amp;IF($F$6="",""," "&amp;INDEX($A:$U,ROW(),$F$6))))</f>
        <v/>
      </c>
      <c r="AB1634" s="31">
        <f>IF($AA1634="","",SUBSTITUTE(SUBSTITUTE(SUBSTITUTE(SUBSTITUTE(SUBSTITUTE(SUBSTITUTE(SUBSTITUTE(SUBSTITUTE(SUBSTITUTE($AA1634," ",""),"　",""),"(주)",""),"（주）",""),"㈜",""),"주식회사",""),"(유)",""),"（유）",""),"유한회사",""))</f>
        <v/>
      </c>
      <c r="AC1634" s="31">
        <f>IF(OR($Y1634="",N($Z1634)&lt;=0,$AB1634=""),0,IFERROR(LOOKUP(2,1/((거래처별!$AC$8:$AC$307&lt;&gt;"")*ISNUMBER(SEARCH(거래처별!$AC$8:$AC$307,$AB1634))),거래처별!$A$8:$A$307),IFERROR(LOOKUP(2,1/((거래처별!$AD$8:$AD$307&lt;&gt;"")*ISNUMBER(SEARCH(거래처별!$AD$8:$AD$307,$AB1634))),거래처별!$A$8:$A$307),IFERROR(LOOKUP(2,1/((거래처별!$AE$8:$AE$307&lt;&gt;"")*ISNUMBER(SEARCH(거래처별!$AE$8:$AE$307,$AB1634))),거래처별!$A$8:$A$307),0))))</f>
        <v/>
      </c>
      <c r="AD1634" s="31">
        <f>IF(AND($Y1634&lt;&gt;"",N($Z1634)&gt;0,$AC1634=0),MAX($AD$7:$AD1633)+1,"")</f>
        <v/>
      </c>
      <c r="AE1634" s="31">
        <f>IF($Y1634="",0,$Y1634)</f>
        <v/>
      </c>
    </row>
    <row r="1635">
      <c r="W1635" s="31">
        <f>IF(OR($B$5="",$C$6="",ROW()&lt;$B$5),"",IF(INDEX($A:$U,ROW(),$C$6)="","",INDEX($A:$U,ROW(),$C$6)))</f>
        <v/>
      </c>
      <c r="X1635" s="32">
        <f>IF($W1635="","",IF(ISNUMBER($W1635),IF($W1635&gt;=10000000,IFERROR(DATE(INT($W1635/10000),MOD(INT($W1635/100),100),MOD($W1635,100)),""),INT($W1635)),IFERROR(DATE(--LEFT(LEFT(SUBSTITUTE(SUBSTITUTE(SUBSTITUTE(SUBSTITUTE(TRIM($W1635),"-",""),".",""),"/","")," ",""),8),4),--MID(LEFT(SUBSTITUTE(SUBSTITUTE(SUBSTITUTE(SUBSTITUTE(TRIM($W1635),"-",""),".",""),"/","")," ",""),8),5,2),--MID(LEFT(SUBSTITUTE(SUBSTITUTE(SUBSTITUTE(SUBSTITUTE(TRIM($W1635),"-",""),".",""),"/","")," ",""),8),7,2)),"")))</f>
        <v/>
      </c>
      <c r="Y1635" s="32">
        <f>IF($X1635="","",INT($X1635))</f>
        <v/>
      </c>
      <c r="Z1635" s="33">
        <f>IF(OR($Y1635="",$D$6=""),"",IF(INDEX($A:$U,ROW(),$D$6)="",0,IF(ISNUMBER(INDEX($A:$U,ROW(),$D$6)),INDEX($A:$U,ROW(),$D$6),IFERROR(--SUBSTITUTE(SUBSTITUTE(TRIM(INDEX($A:$U,ROW(),$D$6)),",",""),"원",""),0))))</f>
        <v/>
      </c>
      <c r="AA1635" s="31">
        <f>IF($Y1635="","",TRIM(INDEX($A:$U,ROW(),$E$6)&amp;IF($F$6="",""," "&amp;INDEX($A:$U,ROW(),$F$6))))</f>
        <v/>
      </c>
      <c r="AB1635" s="31">
        <f>IF($AA1635="","",SUBSTITUTE(SUBSTITUTE(SUBSTITUTE(SUBSTITUTE(SUBSTITUTE(SUBSTITUTE(SUBSTITUTE(SUBSTITUTE(SUBSTITUTE($AA1635," ",""),"　",""),"(주)",""),"（주）",""),"㈜",""),"주식회사",""),"(유)",""),"（유）",""),"유한회사",""))</f>
        <v/>
      </c>
      <c r="AC1635" s="31">
        <f>IF(OR($Y1635="",N($Z1635)&lt;=0,$AB1635=""),0,IFERROR(LOOKUP(2,1/((거래처별!$AC$8:$AC$307&lt;&gt;"")*ISNUMBER(SEARCH(거래처별!$AC$8:$AC$307,$AB1635))),거래처별!$A$8:$A$307),IFERROR(LOOKUP(2,1/((거래처별!$AD$8:$AD$307&lt;&gt;"")*ISNUMBER(SEARCH(거래처별!$AD$8:$AD$307,$AB1635))),거래처별!$A$8:$A$307),IFERROR(LOOKUP(2,1/((거래처별!$AE$8:$AE$307&lt;&gt;"")*ISNUMBER(SEARCH(거래처별!$AE$8:$AE$307,$AB1635))),거래처별!$A$8:$A$307),0))))</f>
        <v/>
      </c>
      <c r="AD1635" s="31">
        <f>IF(AND($Y1635&lt;&gt;"",N($Z1635)&gt;0,$AC1635=0),MAX($AD$7:$AD1634)+1,"")</f>
        <v/>
      </c>
      <c r="AE1635" s="31">
        <f>IF($Y1635="",0,$Y1635)</f>
        <v/>
      </c>
    </row>
    <row r="1636">
      <c r="W1636" s="31">
        <f>IF(OR($B$5="",$C$6="",ROW()&lt;$B$5),"",IF(INDEX($A:$U,ROW(),$C$6)="","",INDEX($A:$U,ROW(),$C$6)))</f>
        <v/>
      </c>
      <c r="X1636" s="32">
        <f>IF($W1636="","",IF(ISNUMBER($W1636),IF($W1636&gt;=10000000,IFERROR(DATE(INT($W1636/10000),MOD(INT($W1636/100),100),MOD($W1636,100)),""),INT($W1636)),IFERROR(DATE(--LEFT(LEFT(SUBSTITUTE(SUBSTITUTE(SUBSTITUTE(SUBSTITUTE(TRIM($W1636),"-",""),".",""),"/","")," ",""),8),4),--MID(LEFT(SUBSTITUTE(SUBSTITUTE(SUBSTITUTE(SUBSTITUTE(TRIM($W1636),"-",""),".",""),"/","")," ",""),8),5,2),--MID(LEFT(SUBSTITUTE(SUBSTITUTE(SUBSTITUTE(SUBSTITUTE(TRIM($W1636),"-",""),".",""),"/","")," ",""),8),7,2)),"")))</f>
        <v/>
      </c>
      <c r="Y1636" s="32">
        <f>IF($X1636="","",INT($X1636))</f>
        <v/>
      </c>
      <c r="Z1636" s="33">
        <f>IF(OR($Y1636="",$D$6=""),"",IF(INDEX($A:$U,ROW(),$D$6)="",0,IF(ISNUMBER(INDEX($A:$U,ROW(),$D$6)),INDEX($A:$U,ROW(),$D$6),IFERROR(--SUBSTITUTE(SUBSTITUTE(TRIM(INDEX($A:$U,ROW(),$D$6)),",",""),"원",""),0))))</f>
        <v/>
      </c>
      <c r="AA1636" s="31">
        <f>IF($Y1636="","",TRIM(INDEX($A:$U,ROW(),$E$6)&amp;IF($F$6="",""," "&amp;INDEX($A:$U,ROW(),$F$6))))</f>
        <v/>
      </c>
      <c r="AB1636" s="31">
        <f>IF($AA1636="","",SUBSTITUTE(SUBSTITUTE(SUBSTITUTE(SUBSTITUTE(SUBSTITUTE(SUBSTITUTE(SUBSTITUTE(SUBSTITUTE(SUBSTITUTE($AA1636," ",""),"　",""),"(주)",""),"（주）",""),"㈜",""),"주식회사",""),"(유)",""),"（유）",""),"유한회사",""))</f>
        <v/>
      </c>
      <c r="AC1636" s="31">
        <f>IF(OR($Y1636="",N($Z1636)&lt;=0,$AB1636=""),0,IFERROR(LOOKUP(2,1/((거래처별!$AC$8:$AC$307&lt;&gt;"")*ISNUMBER(SEARCH(거래처별!$AC$8:$AC$307,$AB1636))),거래처별!$A$8:$A$307),IFERROR(LOOKUP(2,1/((거래처별!$AD$8:$AD$307&lt;&gt;"")*ISNUMBER(SEARCH(거래처별!$AD$8:$AD$307,$AB1636))),거래처별!$A$8:$A$307),IFERROR(LOOKUP(2,1/((거래처별!$AE$8:$AE$307&lt;&gt;"")*ISNUMBER(SEARCH(거래처별!$AE$8:$AE$307,$AB1636))),거래처별!$A$8:$A$307),0))))</f>
        <v/>
      </c>
      <c r="AD1636" s="31">
        <f>IF(AND($Y1636&lt;&gt;"",N($Z1636)&gt;0,$AC1636=0),MAX($AD$7:$AD1635)+1,"")</f>
        <v/>
      </c>
      <c r="AE1636" s="31">
        <f>IF($Y1636="",0,$Y1636)</f>
        <v/>
      </c>
    </row>
    <row r="1637">
      <c r="W1637" s="31">
        <f>IF(OR($B$5="",$C$6="",ROW()&lt;$B$5),"",IF(INDEX($A:$U,ROW(),$C$6)="","",INDEX($A:$U,ROW(),$C$6)))</f>
        <v/>
      </c>
      <c r="X1637" s="32">
        <f>IF($W1637="","",IF(ISNUMBER($W1637),IF($W1637&gt;=10000000,IFERROR(DATE(INT($W1637/10000),MOD(INT($W1637/100),100),MOD($W1637,100)),""),INT($W1637)),IFERROR(DATE(--LEFT(LEFT(SUBSTITUTE(SUBSTITUTE(SUBSTITUTE(SUBSTITUTE(TRIM($W1637),"-",""),".",""),"/","")," ",""),8),4),--MID(LEFT(SUBSTITUTE(SUBSTITUTE(SUBSTITUTE(SUBSTITUTE(TRIM($W1637),"-",""),".",""),"/","")," ",""),8),5,2),--MID(LEFT(SUBSTITUTE(SUBSTITUTE(SUBSTITUTE(SUBSTITUTE(TRIM($W1637),"-",""),".",""),"/","")," ",""),8),7,2)),"")))</f>
        <v/>
      </c>
      <c r="Y1637" s="32">
        <f>IF($X1637="","",INT($X1637))</f>
        <v/>
      </c>
      <c r="Z1637" s="33">
        <f>IF(OR($Y1637="",$D$6=""),"",IF(INDEX($A:$U,ROW(),$D$6)="",0,IF(ISNUMBER(INDEX($A:$U,ROW(),$D$6)),INDEX($A:$U,ROW(),$D$6),IFERROR(--SUBSTITUTE(SUBSTITUTE(TRIM(INDEX($A:$U,ROW(),$D$6)),",",""),"원",""),0))))</f>
        <v/>
      </c>
      <c r="AA1637" s="31">
        <f>IF($Y1637="","",TRIM(INDEX($A:$U,ROW(),$E$6)&amp;IF($F$6="",""," "&amp;INDEX($A:$U,ROW(),$F$6))))</f>
        <v/>
      </c>
      <c r="AB1637" s="31">
        <f>IF($AA1637="","",SUBSTITUTE(SUBSTITUTE(SUBSTITUTE(SUBSTITUTE(SUBSTITUTE(SUBSTITUTE(SUBSTITUTE(SUBSTITUTE(SUBSTITUTE($AA1637," ",""),"　",""),"(주)",""),"（주）",""),"㈜",""),"주식회사",""),"(유)",""),"（유）",""),"유한회사",""))</f>
        <v/>
      </c>
      <c r="AC1637" s="31">
        <f>IF(OR($Y1637="",N($Z1637)&lt;=0,$AB1637=""),0,IFERROR(LOOKUP(2,1/((거래처별!$AC$8:$AC$307&lt;&gt;"")*ISNUMBER(SEARCH(거래처별!$AC$8:$AC$307,$AB1637))),거래처별!$A$8:$A$307),IFERROR(LOOKUP(2,1/((거래처별!$AD$8:$AD$307&lt;&gt;"")*ISNUMBER(SEARCH(거래처별!$AD$8:$AD$307,$AB1637))),거래처별!$A$8:$A$307),IFERROR(LOOKUP(2,1/((거래처별!$AE$8:$AE$307&lt;&gt;"")*ISNUMBER(SEARCH(거래처별!$AE$8:$AE$307,$AB1637))),거래처별!$A$8:$A$307),0))))</f>
        <v/>
      </c>
      <c r="AD1637" s="31">
        <f>IF(AND($Y1637&lt;&gt;"",N($Z1637)&gt;0,$AC1637=0),MAX($AD$7:$AD1636)+1,"")</f>
        <v/>
      </c>
      <c r="AE1637" s="31">
        <f>IF($Y1637="",0,$Y1637)</f>
        <v/>
      </c>
    </row>
    <row r="1638">
      <c r="W1638" s="31">
        <f>IF(OR($B$5="",$C$6="",ROW()&lt;$B$5),"",IF(INDEX($A:$U,ROW(),$C$6)="","",INDEX($A:$U,ROW(),$C$6)))</f>
        <v/>
      </c>
      <c r="X1638" s="32">
        <f>IF($W1638="","",IF(ISNUMBER($W1638),IF($W1638&gt;=10000000,IFERROR(DATE(INT($W1638/10000),MOD(INT($W1638/100),100),MOD($W1638,100)),""),INT($W1638)),IFERROR(DATE(--LEFT(LEFT(SUBSTITUTE(SUBSTITUTE(SUBSTITUTE(SUBSTITUTE(TRIM($W1638),"-",""),".",""),"/","")," ",""),8),4),--MID(LEFT(SUBSTITUTE(SUBSTITUTE(SUBSTITUTE(SUBSTITUTE(TRIM($W1638),"-",""),".",""),"/","")," ",""),8),5,2),--MID(LEFT(SUBSTITUTE(SUBSTITUTE(SUBSTITUTE(SUBSTITUTE(TRIM($W1638),"-",""),".",""),"/","")," ",""),8),7,2)),"")))</f>
        <v/>
      </c>
      <c r="Y1638" s="32">
        <f>IF($X1638="","",INT($X1638))</f>
        <v/>
      </c>
      <c r="Z1638" s="33">
        <f>IF(OR($Y1638="",$D$6=""),"",IF(INDEX($A:$U,ROW(),$D$6)="",0,IF(ISNUMBER(INDEX($A:$U,ROW(),$D$6)),INDEX($A:$U,ROW(),$D$6),IFERROR(--SUBSTITUTE(SUBSTITUTE(TRIM(INDEX($A:$U,ROW(),$D$6)),",",""),"원",""),0))))</f>
        <v/>
      </c>
      <c r="AA1638" s="31">
        <f>IF($Y1638="","",TRIM(INDEX($A:$U,ROW(),$E$6)&amp;IF($F$6="",""," "&amp;INDEX($A:$U,ROW(),$F$6))))</f>
        <v/>
      </c>
      <c r="AB1638" s="31">
        <f>IF($AA1638="","",SUBSTITUTE(SUBSTITUTE(SUBSTITUTE(SUBSTITUTE(SUBSTITUTE(SUBSTITUTE(SUBSTITUTE(SUBSTITUTE(SUBSTITUTE($AA1638," ",""),"　",""),"(주)",""),"（주）",""),"㈜",""),"주식회사",""),"(유)",""),"（유）",""),"유한회사",""))</f>
        <v/>
      </c>
      <c r="AC1638" s="31">
        <f>IF(OR($Y1638="",N($Z1638)&lt;=0,$AB1638=""),0,IFERROR(LOOKUP(2,1/((거래처별!$AC$8:$AC$307&lt;&gt;"")*ISNUMBER(SEARCH(거래처별!$AC$8:$AC$307,$AB1638))),거래처별!$A$8:$A$307),IFERROR(LOOKUP(2,1/((거래처별!$AD$8:$AD$307&lt;&gt;"")*ISNUMBER(SEARCH(거래처별!$AD$8:$AD$307,$AB1638))),거래처별!$A$8:$A$307),IFERROR(LOOKUP(2,1/((거래처별!$AE$8:$AE$307&lt;&gt;"")*ISNUMBER(SEARCH(거래처별!$AE$8:$AE$307,$AB1638))),거래처별!$A$8:$A$307),0))))</f>
        <v/>
      </c>
      <c r="AD1638" s="31">
        <f>IF(AND($Y1638&lt;&gt;"",N($Z1638)&gt;0,$AC1638=0),MAX($AD$7:$AD1637)+1,"")</f>
        <v/>
      </c>
      <c r="AE1638" s="31">
        <f>IF($Y1638="",0,$Y1638)</f>
        <v/>
      </c>
    </row>
    <row r="1639">
      <c r="W1639" s="31">
        <f>IF(OR($B$5="",$C$6="",ROW()&lt;$B$5),"",IF(INDEX($A:$U,ROW(),$C$6)="","",INDEX($A:$U,ROW(),$C$6)))</f>
        <v/>
      </c>
      <c r="X1639" s="32">
        <f>IF($W1639="","",IF(ISNUMBER($W1639),IF($W1639&gt;=10000000,IFERROR(DATE(INT($W1639/10000),MOD(INT($W1639/100),100),MOD($W1639,100)),""),INT($W1639)),IFERROR(DATE(--LEFT(LEFT(SUBSTITUTE(SUBSTITUTE(SUBSTITUTE(SUBSTITUTE(TRIM($W1639),"-",""),".",""),"/","")," ",""),8),4),--MID(LEFT(SUBSTITUTE(SUBSTITUTE(SUBSTITUTE(SUBSTITUTE(TRIM($W1639),"-",""),".",""),"/","")," ",""),8),5,2),--MID(LEFT(SUBSTITUTE(SUBSTITUTE(SUBSTITUTE(SUBSTITUTE(TRIM($W1639),"-",""),".",""),"/","")," ",""),8),7,2)),"")))</f>
        <v/>
      </c>
      <c r="Y1639" s="32">
        <f>IF($X1639="","",INT($X1639))</f>
        <v/>
      </c>
      <c r="Z1639" s="33">
        <f>IF(OR($Y1639="",$D$6=""),"",IF(INDEX($A:$U,ROW(),$D$6)="",0,IF(ISNUMBER(INDEX($A:$U,ROW(),$D$6)),INDEX($A:$U,ROW(),$D$6),IFERROR(--SUBSTITUTE(SUBSTITUTE(TRIM(INDEX($A:$U,ROW(),$D$6)),",",""),"원",""),0))))</f>
        <v/>
      </c>
      <c r="AA1639" s="31">
        <f>IF($Y1639="","",TRIM(INDEX($A:$U,ROW(),$E$6)&amp;IF($F$6="",""," "&amp;INDEX($A:$U,ROW(),$F$6))))</f>
        <v/>
      </c>
      <c r="AB1639" s="31">
        <f>IF($AA1639="","",SUBSTITUTE(SUBSTITUTE(SUBSTITUTE(SUBSTITUTE(SUBSTITUTE(SUBSTITUTE(SUBSTITUTE(SUBSTITUTE(SUBSTITUTE($AA1639," ",""),"　",""),"(주)",""),"（주）",""),"㈜",""),"주식회사",""),"(유)",""),"（유）",""),"유한회사",""))</f>
        <v/>
      </c>
      <c r="AC1639" s="31">
        <f>IF(OR($Y1639="",N($Z1639)&lt;=0,$AB1639=""),0,IFERROR(LOOKUP(2,1/((거래처별!$AC$8:$AC$307&lt;&gt;"")*ISNUMBER(SEARCH(거래처별!$AC$8:$AC$307,$AB1639))),거래처별!$A$8:$A$307),IFERROR(LOOKUP(2,1/((거래처별!$AD$8:$AD$307&lt;&gt;"")*ISNUMBER(SEARCH(거래처별!$AD$8:$AD$307,$AB1639))),거래처별!$A$8:$A$307),IFERROR(LOOKUP(2,1/((거래처별!$AE$8:$AE$307&lt;&gt;"")*ISNUMBER(SEARCH(거래처별!$AE$8:$AE$307,$AB1639))),거래처별!$A$8:$A$307),0))))</f>
        <v/>
      </c>
      <c r="AD1639" s="31">
        <f>IF(AND($Y1639&lt;&gt;"",N($Z1639)&gt;0,$AC1639=0),MAX($AD$7:$AD1638)+1,"")</f>
        <v/>
      </c>
      <c r="AE1639" s="31">
        <f>IF($Y1639="",0,$Y1639)</f>
        <v/>
      </c>
    </row>
    <row r="1640">
      <c r="W1640" s="31">
        <f>IF(OR($B$5="",$C$6="",ROW()&lt;$B$5),"",IF(INDEX($A:$U,ROW(),$C$6)="","",INDEX($A:$U,ROW(),$C$6)))</f>
        <v/>
      </c>
      <c r="X1640" s="32">
        <f>IF($W1640="","",IF(ISNUMBER($W1640),IF($W1640&gt;=10000000,IFERROR(DATE(INT($W1640/10000),MOD(INT($W1640/100),100),MOD($W1640,100)),""),INT($W1640)),IFERROR(DATE(--LEFT(LEFT(SUBSTITUTE(SUBSTITUTE(SUBSTITUTE(SUBSTITUTE(TRIM($W1640),"-",""),".",""),"/","")," ",""),8),4),--MID(LEFT(SUBSTITUTE(SUBSTITUTE(SUBSTITUTE(SUBSTITUTE(TRIM($W1640),"-",""),".",""),"/","")," ",""),8),5,2),--MID(LEFT(SUBSTITUTE(SUBSTITUTE(SUBSTITUTE(SUBSTITUTE(TRIM($W1640),"-",""),".",""),"/","")," ",""),8),7,2)),"")))</f>
        <v/>
      </c>
      <c r="Y1640" s="32">
        <f>IF($X1640="","",INT($X1640))</f>
        <v/>
      </c>
      <c r="Z1640" s="33">
        <f>IF(OR($Y1640="",$D$6=""),"",IF(INDEX($A:$U,ROW(),$D$6)="",0,IF(ISNUMBER(INDEX($A:$U,ROW(),$D$6)),INDEX($A:$U,ROW(),$D$6),IFERROR(--SUBSTITUTE(SUBSTITUTE(TRIM(INDEX($A:$U,ROW(),$D$6)),",",""),"원",""),0))))</f>
        <v/>
      </c>
      <c r="AA1640" s="31">
        <f>IF($Y1640="","",TRIM(INDEX($A:$U,ROW(),$E$6)&amp;IF($F$6="",""," "&amp;INDEX($A:$U,ROW(),$F$6))))</f>
        <v/>
      </c>
      <c r="AB1640" s="31">
        <f>IF($AA1640="","",SUBSTITUTE(SUBSTITUTE(SUBSTITUTE(SUBSTITUTE(SUBSTITUTE(SUBSTITUTE(SUBSTITUTE(SUBSTITUTE(SUBSTITUTE($AA1640," ",""),"　",""),"(주)",""),"（주）",""),"㈜",""),"주식회사",""),"(유)",""),"（유）",""),"유한회사",""))</f>
        <v/>
      </c>
      <c r="AC1640" s="31">
        <f>IF(OR($Y1640="",N($Z1640)&lt;=0,$AB1640=""),0,IFERROR(LOOKUP(2,1/((거래처별!$AC$8:$AC$307&lt;&gt;"")*ISNUMBER(SEARCH(거래처별!$AC$8:$AC$307,$AB1640))),거래처별!$A$8:$A$307),IFERROR(LOOKUP(2,1/((거래처별!$AD$8:$AD$307&lt;&gt;"")*ISNUMBER(SEARCH(거래처별!$AD$8:$AD$307,$AB1640))),거래처별!$A$8:$A$307),IFERROR(LOOKUP(2,1/((거래처별!$AE$8:$AE$307&lt;&gt;"")*ISNUMBER(SEARCH(거래처별!$AE$8:$AE$307,$AB1640))),거래처별!$A$8:$A$307),0))))</f>
        <v/>
      </c>
      <c r="AD1640" s="31">
        <f>IF(AND($Y1640&lt;&gt;"",N($Z1640)&gt;0,$AC1640=0),MAX($AD$7:$AD1639)+1,"")</f>
        <v/>
      </c>
      <c r="AE1640" s="31">
        <f>IF($Y1640="",0,$Y1640)</f>
        <v/>
      </c>
    </row>
    <row r="1641">
      <c r="W1641" s="31">
        <f>IF(OR($B$5="",$C$6="",ROW()&lt;$B$5),"",IF(INDEX($A:$U,ROW(),$C$6)="","",INDEX($A:$U,ROW(),$C$6)))</f>
        <v/>
      </c>
      <c r="X1641" s="32">
        <f>IF($W1641="","",IF(ISNUMBER($W1641),IF($W1641&gt;=10000000,IFERROR(DATE(INT($W1641/10000),MOD(INT($W1641/100),100),MOD($W1641,100)),""),INT($W1641)),IFERROR(DATE(--LEFT(LEFT(SUBSTITUTE(SUBSTITUTE(SUBSTITUTE(SUBSTITUTE(TRIM($W1641),"-",""),".",""),"/","")," ",""),8),4),--MID(LEFT(SUBSTITUTE(SUBSTITUTE(SUBSTITUTE(SUBSTITUTE(TRIM($W1641),"-",""),".",""),"/","")," ",""),8),5,2),--MID(LEFT(SUBSTITUTE(SUBSTITUTE(SUBSTITUTE(SUBSTITUTE(TRIM($W1641),"-",""),".",""),"/","")," ",""),8),7,2)),"")))</f>
        <v/>
      </c>
      <c r="Y1641" s="32">
        <f>IF($X1641="","",INT($X1641))</f>
        <v/>
      </c>
      <c r="Z1641" s="33">
        <f>IF(OR($Y1641="",$D$6=""),"",IF(INDEX($A:$U,ROW(),$D$6)="",0,IF(ISNUMBER(INDEX($A:$U,ROW(),$D$6)),INDEX($A:$U,ROW(),$D$6),IFERROR(--SUBSTITUTE(SUBSTITUTE(TRIM(INDEX($A:$U,ROW(),$D$6)),",",""),"원",""),0))))</f>
        <v/>
      </c>
      <c r="AA1641" s="31">
        <f>IF($Y1641="","",TRIM(INDEX($A:$U,ROW(),$E$6)&amp;IF($F$6="",""," "&amp;INDEX($A:$U,ROW(),$F$6))))</f>
        <v/>
      </c>
      <c r="AB1641" s="31">
        <f>IF($AA1641="","",SUBSTITUTE(SUBSTITUTE(SUBSTITUTE(SUBSTITUTE(SUBSTITUTE(SUBSTITUTE(SUBSTITUTE(SUBSTITUTE(SUBSTITUTE($AA1641," ",""),"　",""),"(주)",""),"（주）",""),"㈜",""),"주식회사",""),"(유)",""),"（유）",""),"유한회사",""))</f>
        <v/>
      </c>
      <c r="AC1641" s="31">
        <f>IF(OR($Y1641="",N($Z1641)&lt;=0,$AB1641=""),0,IFERROR(LOOKUP(2,1/((거래처별!$AC$8:$AC$307&lt;&gt;"")*ISNUMBER(SEARCH(거래처별!$AC$8:$AC$307,$AB1641))),거래처별!$A$8:$A$307),IFERROR(LOOKUP(2,1/((거래처별!$AD$8:$AD$307&lt;&gt;"")*ISNUMBER(SEARCH(거래처별!$AD$8:$AD$307,$AB1641))),거래처별!$A$8:$A$307),IFERROR(LOOKUP(2,1/((거래처별!$AE$8:$AE$307&lt;&gt;"")*ISNUMBER(SEARCH(거래처별!$AE$8:$AE$307,$AB1641))),거래처별!$A$8:$A$307),0))))</f>
        <v/>
      </c>
      <c r="AD1641" s="31">
        <f>IF(AND($Y1641&lt;&gt;"",N($Z1641)&gt;0,$AC1641=0),MAX($AD$7:$AD1640)+1,"")</f>
        <v/>
      </c>
      <c r="AE1641" s="31">
        <f>IF($Y1641="",0,$Y1641)</f>
        <v/>
      </c>
    </row>
    <row r="1642">
      <c r="W1642" s="31">
        <f>IF(OR($B$5="",$C$6="",ROW()&lt;$B$5),"",IF(INDEX($A:$U,ROW(),$C$6)="","",INDEX($A:$U,ROW(),$C$6)))</f>
        <v/>
      </c>
      <c r="X1642" s="32">
        <f>IF($W1642="","",IF(ISNUMBER($W1642),IF($W1642&gt;=10000000,IFERROR(DATE(INT($W1642/10000),MOD(INT($W1642/100),100),MOD($W1642,100)),""),INT($W1642)),IFERROR(DATE(--LEFT(LEFT(SUBSTITUTE(SUBSTITUTE(SUBSTITUTE(SUBSTITUTE(TRIM($W1642),"-",""),".",""),"/","")," ",""),8),4),--MID(LEFT(SUBSTITUTE(SUBSTITUTE(SUBSTITUTE(SUBSTITUTE(TRIM($W1642),"-",""),".",""),"/","")," ",""),8),5,2),--MID(LEFT(SUBSTITUTE(SUBSTITUTE(SUBSTITUTE(SUBSTITUTE(TRIM($W1642),"-",""),".",""),"/","")," ",""),8),7,2)),"")))</f>
        <v/>
      </c>
      <c r="Y1642" s="32">
        <f>IF($X1642="","",INT($X1642))</f>
        <v/>
      </c>
      <c r="Z1642" s="33">
        <f>IF(OR($Y1642="",$D$6=""),"",IF(INDEX($A:$U,ROW(),$D$6)="",0,IF(ISNUMBER(INDEX($A:$U,ROW(),$D$6)),INDEX($A:$U,ROW(),$D$6),IFERROR(--SUBSTITUTE(SUBSTITUTE(TRIM(INDEX($A:$U,ROW(),$D$6)),",",""),"원",""),0))))</f>
        <v/>
      </c>
      <c r="AA1642" s="31">
        <f>IF($Y1642="","",TRIM(INDEX($A:$U,ROW(),$E$6)&amp;IF($F$6="",""," "&amp;INDEX($A:$U,ROW(),$F$6))))</f>
        <v/>
      </c>
      <c r="AB1642" s="31">
        <f>IF($AA1642="","",SUBSTITUTE(SUBSTITUTE(SUBSTITUTE(SUBSTITUTE(SUBSTITUTE(SUBSTITUTE(SUBSTITUTE(SUBSTITUTE(SUBSTITUTE($AA1642," ",""),"　",""),"(주)",""),"（주）",""),"㈜",""),"주식회사",""),"(유)",""),"（유）",""),"유한회사",""))</f>
        <v/>
      </c>
      <c r="AC1642" s="31">
        <f>IF(OR($Y1642="",N($Z1642)&lt;=0,$AB1642=""),0,IFERROR(LOOKUP(2,1/((거래처별!$AC$8:$AC$307&lt;&gt;"")*ISNUMBER(SEARCH(거래처별!$AC$8:$AC$307,$AB1642))),거래처별!$A$8:$A$307),IFERROR(LOOKUP(2,1/((거래처별!$AD$8:$AD$307&lt;&gt;"")*ISNUMBER(SEARCH(거래처별!$AD$8:$AD$307,$AB1642))),거래처별!$A$8:$A$307),IFERROR(LOOKUP(2,1/((거래처별!$AE$8:$AE$307&lt;&gt;"")*ISNUMBER(SEARCH(거래처별!$AE$8:$AE$307,$AB1642))),거래처별!$A$8:$A$307),0))))</f>
        <v/>
      </c>
      <c r="AD1642" s="31">
        <f>IF(AND($Y1642&lt;&gt;"",N($Z1642)&gt;0,$AC1642=0),MAX($AD$7:$AD1641)+1,"")</f>
        <v/>
      </c>
      <c r="AE1642" s="31">
        <f>IF($Y1642="",0,$Y1642)</f>
        <v/>
      </c>
    </row>
    <row r="1643">
      <c r="W1643" s="31">
        <f>IF(OR($B$5="",$C$6="",ROW()&lt;$B$5),"",IF(INDEX($A:$U,ROW(),$C$6)="","",INDEX($A:$U,ROW(),$C$6)))</f>
        <v/>
      </c>
      <c r="X1643" s="32">
        <f>IF($W1643="","",IF(ISNUMBER($W1643),IF($W1643&gt;=10000000,IFERROR(DATE(INT($W1643/10000),MOD(INT($W1643/100),100),MOD($W1643,100)),""),INT($W1643)),IFERROR(DATE(--LEFT(LEFT(SUBSTITUTE(SUBSTITUTE(SUBSTITUTE(SUBSTITUTE(TRIM($W1643),"-",""),".",""),"/","")," ",""),8),4),--MID(LEFT(SUBSTITUTE(SUBSTITUTE(SUBSTITUTE(SUBSTITUTE(TRIM($W1643),"-",""),".",""),"/","")," ",""),8),5,2),--MID(LEFT(SUBSTITUTE(SUBSTITUTE(SUBSTITUTE(SUBSTITUTE(TRIM($W1643),"-",""),".",""),"/","")," ",""),8),7,2)),"")))</f>
        <v/>
      </c>
      <c r="Y1643" s="32">
        <f>IF($X1643="","",INT($X1643))</f>
        <v/>
      </c>
      <c r="Z1643" s="33">
        <f>IF(OR($Y1643="",$D$6=""),"",IF(INDEX($A:$U,ROW(),$D$6)="",0,IF(ISNUMBER(INDEX($A:$U,ROW(),$D$6)),INDEX($A:$U,ROW(),$D$6),IFERROR(--SUBSTITUTE(SUBSTITUTE(TRIM(INDEX($A:$U,ROW(),$D$6)),",",""),"원",""),0))))</f>
        <v/>
      </c>
      <c r="AA1643" s="31">
        <f>IF($Y1643="","",TRIM(INDEX($A:$U,ROW(),$E$6)&amp;IF($F$6="",""," "&amp;INDEX($A:$U,ROW(),$F$6))))</f>
        <v/>
      </c>
      <c r="AB1643" s="31">
        <f>IF($AA1643="","",SUBSTITUTE(SUBSTITUTE(SUBSTITUTE(SUBSTITUTE(SUBSTITUTE(SUBSTITUTE(SUBSTITUTE(SUBSTITUTE(SUBSTITUTE($AA1643," ",""),"　",""),"(주)",""),"（주）",""),"㈜",""),"주식회사",""),"(유)",""),"（유）",""),"유한회사",""))</f>
        <v/>
      </c>
      <c r="AC1643" s="31">
        <f>IF(OR($Y1643="",N($Z1643)&lt;=0,$AB1643=""),0,IFERROR(LOOKUP(2,1/((거래처별!$AC$8:$AC$307&lt;&gt;"")*ISNUMBER(SEARCH(거래처별!$AC$8:$AC$307,$AB1643))),거래처별!$A$8:$A$307),IFERROR(LOOKUP(2,1/((거래처별!$AD$8:$AD$307&lt;&gt;"")*ISNUMBER(SEARCH(거래처별!$AD$8:$AD$307,$AB1643))),거래처별!$A$8:$A$307),IFERROR(LOOKUP(2,1/((거래처별!$AE$8:$AE$307&lt;&gt;"")*ISNUMBER(SEARCH(거래처별!$AE$8:$AE$307,$AB1643))),거래처별!$A$8:$A$307),0))))</f>
        <v/>
      </c>
      <c r="AD1643" s="31">
        <f>IF(AND($Y1643&lt;&gt;"",N($Z1643)&gt;0,$AC1643=0),MAX($AD$7:$AD1642)+1,"")</f>
        <v/>
      </c>
      <c r="AE1643" s="31">
        <f>IF($Y1643="",0,$Y1643)</f>
        <v/>
      </c>
    </row>
    <row r="1644">
      <c r="W1644" s="31">
        <f>IF(OR($B$5="",$C$6="",ROW()&lt;$B$5),"",IF(INDEX($A:$U,ROW(),$C$6)="","",INDEX($A:$U,ROW(),$C$6)))</f>
        <v/>
      </c>
      <c r="X1644" s="32">
        <f>IF($W1644="","",IF(ISNUMBER($W1644),IF($W1644&gt;=10000000,IFERROR(DATE(INT($W1644/10000),MOD(INT($W1644/100),100),MOD($W1644,100)),""),INT($W1644)),IFERROR(DATE(--LEFT(LEFT(SUBSTITUTE(SUBSTITUTE(SUBSTITUTE(SUBSTITUTE(TRIM($W1644),"-",""),".",""),"/","")," ",""),8),4),--MID(LEFT(SUBSTITUTE(SUBSTITUTE(SUBSTITUTE(SUBSTITUTE(TRIM($W1644),"-",""),".",""),"/","")," ",""),8),5,2),--MID(LEFT(SUBSTITUTE(SUBSTITUTE(SUBSTITUTE(SUBSTITUTE(TRIM($W1644),"-",""),".",""),"/","")," ",""),8),7,2)),"")))</f>
        <v/>
      </c>
      <c r="Y1644" s="32">
        <f>IF($X1644="","",INT($X1644))</f>
        <v/>
      </c>
      <c r="Z1644" s="33">
        <f>IF(OR($Y1644="",$D$6=""),"",IF(INDEX($A:$U,ROW(),$D$6)="",0,IF(ISNUMBER(INDEX($A:$U,ROW(),$D$6)),INDEX($A:$U,ROW(),$D$6),IFERROR(--SUBSTITUTE(SUBSTITUTE(TRIM(INDEX($A:$U,ROW(),$D$6)),",",""),"원",""),0))))</f>
        <v/>
      </c>
      <c r="AA1644" s="31">
        <f>IF($Y1644="","",TRIM(INDEX($A:$U,ROW(),$E$6)&amp;IF($F$6="",""," "&amp;INDEX($A:$U,ROW(),$F$6))))</f>
        <v/>
      </c>
      <c r="AB1644" s="31">
        <f>IF($AA1644="","",SUBSTITUTE(SUBSTITUTE(SUBSTITUTE(SUBSTITUTE(SUBSTITUTE(SUBSTITUTE(SUBSTITUTE(SUBSTITUTE(SUBSTITUTE($AA1644," ",""),"　",""),"(주)",""),"（주）",""),"㈜",""),"주식회사",""),"(유)",""),"（유）",""),"유한회사",""))</f>
        <v/>
      </c>
      <c r="AC1644" s="31">
        <f>IF(OR($Y1644="",N($Z1644)&lt;=0,$AB1644=""),0,IFERROR(LOOKUP(2,1/((거래처별!$AC$8:$AC$307&lt;&gt;"")*ISNUMBER(SEARCH(거래처별!$AC$8:$AC$307,$AB1644))),거래처별!$A$8:$A$307),IFERROR(LOOKUP(2,1/((거래처별!$AD$8:$AD$307&lt;&gt;"")*ISNUMBER(SEARCH(거래처별!$AD$8:$AD$307,$AB1644))),거래처별!$A$8:$A$307),IFERROR(LOOKUP(2,1/((거래처별!$AE$8:$AE$307&lt;&gt;"")*ISNUMBER(SEARCH(거래처별!$AE$8:$AE$307,$AB1644))),거래처별!$A$8:$A$307),0))))</f>
        <v/>
      </c>
      <c r="AD1644" s="31">
        <f>IF(AND($Y1644&lt;&gt;"",N($Z1644)&gt;0,$AC1644=0),MAX($AD$7:$AD1643)+1,"")</f>
        <v/>
      </c>
      <c r="AE1644" s="31">
        <f>IF($Y1644="",0,$Y1644)</f>
        <v/>
      </c>
    </row>
    <row r="1645">
      <c r="W1645" s="31">
        <f>IF(OR($B$5="",$C$6="",ROW()&lt;$B$5),"",IF(INDEX($A:$U,ROW(),$C$6)="","",INDEX($A:$U,ROW(),$C$6)))</f>
        <v/>
      </c>
      <c r="X1645" s="32">
        <f>IF($W1645="","",IF(ISNUMBER($W1645),IF($W1645&gt;=10000000,IFERROR(DATE(INT($W1645/10000),MOD(INT($W1645/100),100),MOD($W1645,100)),""),INT($W1645)),IFERROR(DATE(--LEFT(LEFT(SUBSTITUTE(SUBSTITUTE(SUBSTITUTE(SUBSTITUTE(TRIM($W1645),"-",""),".",""),"/","")," ",""),8),4),--MID(LEFT(SUBSTITUTE(SUBSTITUTE(SUBSTITUTE(SUBSTITUTE(TRIM($W1645),"-",""),".",""),"/","")," ",""),8),5,2),--MID(LEFT(SUBSTITUTE(SUBSTITUTE(SUBSTITUTE(SUBSTITUTE(TRIM($W1645),"-",""),".",""),"/","")," ",""),8),7,2)),"")))</f>
        <v/>
      </c>
      <c r="Y1645" s="32">
        <f>IF($X1645="","",INT($X1645))</f>
        <v/>
      </c>
      <c r="Z1645" s="33">
        <f>IF(OR($Y1645="",$D$6=""),"",IF(INDEX($A:$U,ROW(),$D$6)="",0,IF(ISNUMBER(INDEX($A:$U,ROW(),$D$6)),INDEX($A:$U,ROW(),$D$6),IFERROR(--SUBSTITUTE(SUBSTITUTE(TRIM(INDEX($A:$U,ROW(),$D$6)),",",""),"원",""),0))))</f>
        <v/>
      </c>
      <c r="AA1645" s="31">
        <f>IF($Y1645="","",TRIM(INDEX($A:$U,ROW(),$E$6)&amp;IF($F$6="",""," "&amp;INDEX($A:$U,ROW(),$F$6))))</f>
        <v/>
      </c>
      <c r="AB1645" s="31">
        <f>IF($AA1645="","",SUBSTITUTE(SUBSTITUTE(SUBSTITUTE(SUBSTITUTE(SUBSTITUTE(SUBSTITUTE(SUBSTITUTE(SUBSTITUTE(SUBSTITUTE($AA1645," ",""),"　",""),"(주)",""),"（주）",""),"㈜",""),"주식회사",""),"(유)",""),"（유）",""),"유한회사",""))</f>
        <v/>
      </c>
      <c r="AC1645" s="31">
        <f>IF(OR($Y1645="",N($Z1645)&lt;=0,$AB1645=""),0,IFERROR(LOOKUP(2,1/((거래처별!$AC$8:$AC$307&lt;&gt;"")*ISNUMBER(SEARCH(거래처별!$AC$8:$AC$307,$AB1645))),거래처별!$A$8:$A$307),IFERROR(LOOKUP(2,1/((거래처별!$AD$8:$AD$307&lt;&gt;"")*ISNUMBER(SEARCH(거래처별!$AD$8:$AD$307,$AB1645))),거래처별!$A$8:$A$307),IFERROR(LOOKUP(2,1/((거래처별!$AE$8:$AE$307&lt;&gt;"")*ISNUMBER(SEARCH(거래처별!$AE$8:$AE$307,$AB1645))),거래처별!$A$8:$A$307),0))))</f>
        <v/>
      </c>
      <c r="AD1645" s="31">
        <f>IF(AND($Y1645&lt;&gt;"",N($Z1645)&gt;0,$AC1645=0),MAX($AD$7:$AD1644)+1,"")</f>
        <v/>
      </c>
      <c r="AE1645" s="31">
        <f>IF($Y1645="",0,$Y1645)</f>
        <v/>
      </c>
    </row>
    <row r="1646">
      <c r="W1646" s="31">
        <f>IF(OR($B$5="",$C$6="",ROW()&lt;$B$5),"",IF(INDEX($A:$U,ROW(),$C$6)="","",INDEX($A:$U,ROW(),$C$6)))</f>
        <v/>
      </c>
      <c r="X1646" s="32">
        <f>IF($W1646="","",IF(ISNUMBER($W1646),IF($W1646&gt;=10000000,IFERROR(DATE(INT($W1646/10000),MOD(INT($W1646/100),100),MOD($W1646,100)),""),INT($W1646)),IFERROR(DATE(--LEFT(LEFT(SUBSTITUTE(SUBSTITUTE(SUBSTITUTE(SUBSTITUTE(TRIM($W1646),"-",""),".",""),"/","")," ",""),8),4),--MID(LEFT(SUBSTITUTE(SUBSTITUTE(SUBSTITUTE(SUBSTITUTE(TRIM($W1646),"-",""),".",""),"/","")," ",""),8),5,2),--MID(LEFT(SUBSTITUTE(SUBSTITUTE(SUBSTITUTE(SUBSTITUTE(TRIM($W1646),"-",""),".",""),"/","")," ",""),8),7,2)),"")))</f>
        <v/>
      </c>
      <c r="Y1646" s="32">
        <f>IF($X1646="","",INT($X1646))</f>
        <v/>
      </c>
      <c r="Z1646" s="33">
        <f>IF(OR($Y1646="",$D$6=""),"",IF(INDEX($A:$U,ROW(),$D$6)="",0,IF(ISNUMBER(INDEX($A:$U,ROW(),$D$6)),INDEX($A:$U,ROW(),$D$6),IFERROR(--SUBSTITUTE(SUBSTITUTE(TRIM(INDEX($A:$U,ROW(),$D$6)),",",""),"원",""),0))))</f>
        <v/>
      </c>
      <c r="AA1646" s="31">
        <f>IF($Y1646="","",TRIM(INDEX($A:$U,ROW(),$E$6)&amp;IF($F$6="",""," "&amp;INDEX($A:$U,ROW(),$F$6))))</f>
        <v/>
      </c>
      <c r="AB1646" s="31">
        <f>IF($AA1646="","",SUBSTITUTE(SUBSTITUTE(SUBSTITUTE(SUBSTITUTE(SUBSTITUTE(SUBSTITUTE(SUBSTITUTE(SUBSTITUTE(SUBSTITUTE($AA1646," ",""),"　",""),"(주)",""),"（주）",""),"㈜",""),"주식회사",""),"(유)",""),"（유）",""),"유한회사",""))</f>
        <v/>
      </c>
      <c r="AC1646" s="31">
        <f>IF(OR($Y1646="",N($Z1646)&lt;=0,$AB1646=""),0,IFERROR(LOOKUP(2,1/((거래처별!$AC$8:$AC$307&lt;&gt;"")*ISNUMBER(SEARCH(거래처별!$AC$8:$AC$307,$AB1646))),거래처별!$A$8:$A$307),IFERROR(LOOKUP(2,1/((거래처별!$AD$8:$AD$307&lt;&gt;"")*ISNUMBER(SEARCH(거래처별!$AD$8:$AD$307,$AB1646))),거래처별!$A$8:$A$307),IFERROR(LOOKUP(2,1/((거래처별!$AE$8:$AE$307&lt;&gt;"")*ISNUMBER(SEARCH(거래처별!$AE$8:$AE$307,$AB1646))),거래처별!$A$8:$A$307),0))))</f>
        <v/>
      </c>
      <c r="AD1646" s="31">
        <f>IF(AND($Y1646&lt;&gt;"",N($Z1646)&gt;0,$AC1646=0),MAX($AD$7:$AD1645)+1,"")</f>
        <v/>
      </c>
      <c r="AE1646" s="31">
        <f>IF($Y1646="",0,$Y1646)</f>
        <v/>
      </c>
    </row>
    <row r="1647">
      <c r="W1647" s="31">
        <f>IF(OR($B$5="",$C$6="",ROW()&lt;$B$5),"",IF(INDEX($A:$U,ROW(),$C$6)="","",INDEX($A:$U,ROW(),$C$6)))</f>
        <v/>
      </c>
      <c r="X1647" s="32">
        <f>IF($W1647="","",IF(ISNUMBER($W1647),IF($W1647&gt;=10000000,IFERROR(DATE(INT($W1647/10000),MOD(INT($W1647/100),100),MOD($W1647,100)),""),INT($W1647)),IFERROR(DATE(--LEFT(LEFT(SUBSTITUTE(SUBSTITUTE(SUBSTITUTE(SUBSTITUTE(TRIM($W1647),"-",""),".",""),"/","")," ",""),8),4),--MID(LEFT(SUBSTITUTE(SUBSTITUTE(SUBSTITUTE(SUBSTITUTE(TRIM($W1647),"-",""),".",""),"/","")," ",""),8),5,2),--MID(LEFT(SUBSTITUTE(SUBSTITUTE(SUBSTITUTE(SUBSTITUTE(TRIM($W1647),"-",""),".",""),"/","")," ",""),8),7,2)),"")))</f>
        <v/>
      </c>
      <c r="Y1647" s="32">
        <f>IF($X1647="","",INT($X1647))</f>
        <v/>
      </c>
      <c r="Z1647" s="33">
        <f>IF(OR($Y1647="",$D$6=""),"",IF(INDEX($A:$U,ROW(),$D$6)="",0,IF(ISNUMBER(INDEX($A:$U,ROW(),$D$6)),INDEX($A:$U,ROW(),$D$6),IFERROR(--SUBSTITUTE(SUBSTITUTE(TRIM(INDEX($A:$U,ROW(),$D$6)),",",""),"원",""),0))))</f>
        <v/>
      </c>
      <c r="AA1647" s="31">
        <f>IF($Y1647="","",TRIM(INDEX($A:$U,ROW(),$E$6)&amp;IF($F$6="",""," "&amp;INDEX($A:$U,ROW(),$F$6))))</f>
        <v/>
      </c>
      <c r="AB1647" s="31">
        <f>IF($AA1647="","",SUBSTITUTE(SUBSTITUTE(SUBSTITUTE(SUBSTITUTE(SUBSTITUTE(SUBSTITUTE(SUBSTITUTE(SUBSTITUTE(SUBSTITUTE($AA1647," ",""),"　",""),"(주)",""),"（주）",""),"㈜",""),"주식회사",""),"(유)",""),"（유）",""),"유한회사",""))</f>
        <v/>
      </c>
      <c r="AC1647" s="31">
        <f>IF(OR($Y1647="",N($Z1647)&lt;=0,$AB1647=""),0,IFERROR(LOOKUP(2,1/((거래처별!$AC$8:$AC$307&lt;&gt;"")*ISNUMBER(SEARCH(거래처별!$AC$8:$AC$307,$AB1647))),거래처별!$A$8:$A$307),IFERROR(LOOKUP(2,1/((거래처별!$AD$8:$AD$307&lt;&gt;"")*ISNUMBER(SEARCH(거래처별!$AD$8:$AD$307,$AB1647))),거래처별!$A$8:$A$307),IFERROR(LOOKUP(2,1/((거래처별!$AE$8:$AE$307&lt;&gt;"")*ISNUMBER(SEARCH(거래처별!$AE$8:$AE$307,$AB1647))),거래처별!$A$8:$A$307),0))))</f>
        <v/>
      </c>
      <c r="AD1647" s="31">
        <f>IF(AND($Y1647&lt;&gt;"",N($Z1647)&gt;0,$AC1647=0),MAX($AD$7:$AD1646)+1,"")</f>
        <v/>
      </c>
      <c r="AE1647" s="31">
        <f>IF($Y1647="",0,$Y1647)</f>
        <v/>
      </c>
    </row>
    <row r="1648">
      <c r="W1648" s="31">
        <f>IF(OR($B$5="",$C$6="",ROW()&lt;$B$5),"",IF(INDEX($A:$U,ROW(),$C$6)="","",INDEX($A:$U,ROW(),$C$6)))</f>
        <v/>
      </c>
      <c r="X1648" s="32">
        <f>IF($W1648="","",IF(ISNUMBER($W1648),IF($W1648&gt;=10000000,IFERROR(DATE(INT($W1648/10000),MOD(INT($W1648/100),100),MOD($W1648,100)),""),INT($W1648)),IFERROR(DATE(--LEFT(LEFT(SUBSTITUTE(SUBSTITUTE(SUBSTITUTE(SUBSTITUTE(TRIM($W1648),"-",""),".",""),"/","")," ",""),8),4),--MID(LEFT(SUBSTITUTE(SUBSTITUTE(SUBSTITUTE(SUBSTITUTE(TRIM($W1648),"-",""),".",""),"/","")," ",""),8),5,2),--MID(LEFT(SUBSTITUTE(SUBSTITUTE(SUBSTITUTE(SUBSTITUTE(TRIM($W1648),"-",""),".",""),"/","")," ",""),8),7,2)),"")))</f>
        <v/>
      </c>
      <c r="Y1648" s="32">
        <f>IF($X1648="","",INT($X1648))</f>
        <v/>
      </c>
      <c r="Z1648" s="33">
        <f>IF(OR($Y1648="",$D$6=""),"",IF(INDEX($A:$U,ROW(),$D$6)="",0,IF(ISNUMBER(INDEX($A:$U,ROW(),$D$6)),INDEX($A:$U,ROW(),$D$6),IFERROR(--SUBSTITUTE(SUBSTITUTE(TRIM(INDEX($A:$U,ROW(),$D$6)),",",""),"원",""),0))))</f>
        <v/>
      </c>
      <c r="AA1648" s="31">
        <f>IF($Y1648="","",TRIM(INDEX($A:$U,ROW(),$E$6)&amp;IF($F$6="",""," "&amp;INDEX($A:$U,ROW(),$F$6))))</f>
        <v/>
      </c>
      <c r="AB1648" s="31">
        <f>IF($AA1648="","",SUBSTITUTE(SUBSTITUTE(SUBSTITUTE(SUBSTITUTE(SUBSTITUTE(SUBSTITUTE(SUBSTITUTE(SUBSTITUTE(SUBSTITUTE($AA1648," ",""),"　",""),"(주)",""),"（주）",""),"㈜",""),"주식회사",""),"(유)",""),"（유）",""),"유한회사",""))</f>
        <v/>
      </c>
      <c r="AC1648" s="31">
        <f>IF(OR($Y1648="",N($Z1648)&lt;=0,$AB1648=""),0,IFERROR(LOOKUP(2,1/((거래처별!$AC$8:$AC$307&lt;&gt;"")*ISNUMBER(SEARCH(거래처별!$AC$8:$AC$307,$AB1648))),거래처별!$A$8:$A$307),IFERROR(LOOKUP(2,1/((거래처별!$AD$8:$AD$307&lt;&gt;"")*ISNUMBER(SEARCH(거래처별!$AD$8:$AD$307,$AB1648))),거래처별!$A$8:$A$307),IFERROR(LOOKUP(2,1/((거래처별!$AE$8:$AE$307&lt;&gt;"")*ISNUMBER(SEARCH(거래처별!$AE$8:$AE$307,$AB1648))),거래처별!$A$8:$A$307),0))))</f>
        <v/>
      </c>
      <c r="AD1648" s="31">
        <f>IF(AND($Y1648&lt;&gt;"",N($Z1648)&gt;0,$AC1648=0),MAX($AD$7:$AD1647)+1,"")</f>
        <v/>
      </c>
      <c r="AE1648" s="31">
        <f>IF($Y1648="",0,$Y1648)</f>
        <v/>
      </c>
    </row>
    <row r="1649">
      <c r="W1649" s="31">
        <f>IF(OR($B$5="",$C$6="",ROW()&lt;$B$5),"",IF(INDEX($A:$U,ROW(),$C$6)="","",INDEX($A:$U,ROW(),$C$6)))</f>
        <v/>
      </c>
      <c r="X1649" s="32">
        <f>IF($W1649="","",IF(ISNUMBER($W1649),IF($W1649&gt;=10000000,IFERROR(DATE(INT($W1649/10000),MOD(INT($W1649/100),100),MOD($W1649,100)),""),INT($W1649)),IFERROR(DATE(--LEFT(LEFT(SUBSTITUTE(SUBSTITUTE(SUBSTITUTE(SUBSTITUTE(TRIM($W1649),"-",""),".",""),"/","")," ",""),8),4),--MID(LEFT(SUBSTITUTE(SUBSTITUTE(SUBSTITUTE(SUBSTITUTE(TRIM($W1649),"-",""),".",""),"/","")," ",""),8),5,2),--MID(LEFT(SUBSTITUTE(SUBSTITUTE(SUBSTITUTE(SUBSTITUTE(TRIM($W1649),"-",""),".",""),"/","")," ",""),8),7,2)),"")))</f>
        <v/>
      </c>
      <c r="Y1649" s="32">
        <f>IF($X1649="","",INT($X1649))</f>
        <v/>
      </c>
      <c r="Z1649" s="33">
        <f>IF(OR($Y1649="",$D$6=""),"",IF(INDEX($A:$U,ROW(),$D$6)="",0,IF(ISNUMBER(INDEX($A:$U,ROW(),$D$6)),INDEX($A:$U,ROW(),$D$6),IFERROR(--SUBSTITUTE(SUBSTITUTE(TRIM(INDEX($A:$U,ROW(),$D$6)),",",""),"원",""),0))))</f>
        <v/>
      </c>
      <c r="AA1649" s="31">
        <f>IF($Y1649="","",TRIM(INDEX($A:$U,ROW(),$E$6)&amp;IF($F$6="",""," "&amp;INDEX($A:$U,ROW(),$F$6))))</f>
        <v/>
      </c>
      <c r="AB1649" s="31">
        <f>IF($AA1649="","",SUBSTITUTE(SUBSTITUTE(SUBSTITUTE(SUBSTITUTE(SUBSTITUTE(SUBSTITUTE(SUBSTITUTE(SUBSTITUTE(SUBSTITUTE($AA1649," ",""),"　",""),"(주)",""),"（주）",""),"㈜",""),"주식회사",""),"(유)",""),"（유）",""),"유한회사",""))</f>
        <v/>
      </c>
      <c r="AC1649" s="31">
        <f>IF(OR($Y1649="",N($Z1649)&lt;=0,$AB1649=""),0,IFERROR(LOOKUP(2,1/((거래처별!$AC$8:$AC$307&lt;&gt;"")*ISNUMBER(SEARCH(거래처별!$AC$8:$AC$307,$AB1649))),거래처별!$A$8:$A$307),IFERROR(LOOKUP(2,1/((거래처별!$AD$8:$AD$307&lt;&gt;"")*ISNUMBER(SEARCH(거래처별!$AD$8:$AD$307,$AB1649))),거래처별!$A$8:$A$307),IFERROR(LOOKUP(2,1/((거래처별!$AE$8:$AE$307&lt;&gt;"")*ISNUMBER(SEARCH(거래처별!$AE$8:$AE$307,$AB1649))),거래처별!$A$8:$A$307),0))))</f>
        <v/>
      </c>
      <c r="AD1649" s="31">
        <f>IF(AND($Y1649&lt;&gt;"",N($Z1649)&gt;0,$AC1649=0),MAX($AD$7:$AD1648)+1,"")</f>
        <v/>
      </c>
      <c r="AE1649" s="31">
        <f>IF($Y1649="",0,$Y1649)</f>
        <v/>
      </c>
    </row>
    <row r="1650">
      <c r="W1650" s="31">
        <f>IF(OR($B$5="",$C$6="",ROW()&lt;$B$5),"",IF(INDEX($A:$U,ROW(),$C$6)="","",INDEX($A:$U,ROW(),$C$6)))</f>
        <v/>
      </c>
      <c r="X1650" s="32">
        <f>IF($W1650="","",IF(ISNUMBER($W1650),IF($W1650&gt;=10000000,IFERROR(DATE(INT($W1650/10000),MOD(INT($W1650/100),100),MOD($W1650,100)),""),INT($W1650)),IFERROR(DATE(--LEFT(LEFT(SUBSTITUTE(SUBSTITUTE(SUBSTITUTE(SUBSTITUTE(TRIM($W1650),"-",""),".",""),"/","")," ",""),8),4),--MID(LEFT(SUBSTITUTE(SUBSTITUTE(SUBSTITUTE(SUBSTITUTE(TRIM($W1650),"-",""),".",""),"/","")," ",""),8),5,2),--MID(LEFT(SUBSTITUTE(SUBSTITUTE(SUBSTITUTE(SUBSTITUTE(TRIM($W1650),"-",""),".",""),"/","")," ",""),8),7,2)),"")))</f>
        <v/>
      </c>
      <c r="Y1650" s="32">
        <f>IF($X1650="","",INT($X1650))</f>
        <v/>
      </c>
      <c r="Z1650" s="33">
        <f>IF(OR($Y1650="",$D$6=""),"",IF(INDEX($A:$U,ROW(),$D$6)="",0,IF(ISNUMBER(INDEX($A:$U,ROW(),$D$6)),INDEX($A:$U,ROW(),$D$6),IFERROR(--SUBSTITUTE(SUBSTITUTE(TRIM(INDEX($A:$U,ROW(),$D$6)),",",""),"원",""),0))))</f>
        <v/>
      </c>
      <c r="AA1650" s="31">
        <f>IF($Y1650="","",TRIM(INDEX($A:$U,ROW(),$E$6)&amp;IF($F$6="",""," "&amp;INDEX($A:$U,ROW(),$F$6))))</f>
        <v/>
      </c>
      <c r="AB1650" s="31">
        <f>IF($AA1650="","",SUBSTITUTE(SUBSTITUTE(SUBSTITUTE(SUBSTITUTE(SUBSTITUTE(SUBSTITUTE(SUBSTITUTE(SUBSTITUTE(SUBSTITUTE($AA1650," ",""),"　",""),"(주)",""),"（주）",""),"㈜",""),"주식회사",""),"(유)",""),"（유）",""),"유한회사",""))</f>
        <v/>
      </c>
      <c r="AC1650" s="31">
        <f>IF(OR($Y1650="",N($Z1650)&lt;=0,$AB1650=""),0,IFERROR(LOOKUP(2,1/((거래처별!$AC$8:$AC$307&lt;&gt;"")*ISNUMBER(SEARCH(거래처별!$AC$8:$AC$307,$AB1650))),거래처별!$A$8:$A$307),IFERROR(LOOKUP(2,1/((거래처별!$AD$8:$AD$307&lt;&gt;"")*ISNUMBER(SEARCH(거래처별!$AD$8:$AD$307,$AB1650))),거래처별!$A$8:$A$307),IFERROR(LOOKUP(2,1/((거래처별!$AE$8:$AE$307&lt;&gt;"")*ISNUMBER(SEARCH(거래처별!$AE$8:$AE$307,$AB1650))),거래처별!$A$8:$A$307),0))))</f>
        <v/>
      </c>
      <c r="AD1650" s="31">
        <f>IF(AND($Y1650&lt;&gt;"",N($Z1650)&gt;0,$AC1650=0),MAX($AD$7:$AD1649)+1,"")</f>
        <v/>
      </c>
      <c r="AE1650" s="31">
        <f>IF($Y1650="",0,$Y1650)</f>
        <v/>
      </c>
    </row>
    <row r="1651">
      <c r="W1651" s="31">
        <f>IF(OR($B$5="",$C$6="",ROW()&lt;$B$5),"",IF(INDEX($A:$U,ROW(),$C$6)="","",INDEX($A:$U,ROW(),$C$6)))</f>
        <v/>
      </c>
      <c r="X1651" s="32">
        <f>IF($W1651="","",IF(ISNUMBER($W1651),IF($W1651&gt;=10000000,IFERROR(DATE(INT($W1651/10000),MOD(INT($W1651/100),100),MOD($W1651,100)),""),INT($W1651)),IFERROR(DATE(--LEFT(LEFT(SUBSTITUTE(SUBSTITUTE(SUBSTITUTE(SUBSTITUTE(TRIM($W1651),"-",""),".",""),"/","")," ",""),8),4),--MID(LEFT(SUBSTITUTE(SUBSTITUTE(SUBSTITUTE(SUBSTITUTE(TRIM($W1651),"-",""),".",""),"/","")," ",""),8),5,2),--MID(LEFT(SUBSTITUTE(SUBSTITUTE(SUBSTITUTE(SUBSTITUTE(TRIM($W1651),"-",""),".",""),"/","")," ",""),8),7,2)),"")))</f>
        <v/>
      </c>
      <c r="Y1651" s="32">
        <f>IF($X1651="","",INT($X1651))</f>
        <v/>
      </c>
      <c r="Z1651" s="33">
        <f>IF(OR($Y1651="",$D$6=""),"",IF(INDEX($A:$U,ROW(),$D$6)="",0,IF(ISNUMBER(INDEX($A:$U,ROW(),$D$6)),INDEX($A:$U,ROW(),$D$6),IFERROR(--SUBSTITUTE(SUBSTITUTE(TRIM(INDEX($A:$U,ROW(),$D$6)),",",""),"원",""),0))))</f>
        <v/>
      </c>
      <c r="AA1651" s="31">
        <f>IF($Y1651="","",TRIM(INDEX($A:$U,ROW(),$E$6)&amp;IF($F$6="",""," "&amp;INDEX($A:$U,ROW(),$F$6))))</f>
        <v/>
      </c>
      <c r="AB1651" s="31">
        <f>IF($AA1651="","",SUBSTITUTE(SUBSTITUTE(SUBSTITUTE(SUBSTITUTE(SUBSTITUTE(SUBSTITUTE(SUBSTITUTE(SUBSTITUTE(SUBSTITUTE($AA1651," ",""),"　",""),"(주)",""),"（주）",""),"㈜",""),"주식회사",""),"(유)",""),"（유）",""),"유한회사",""))</f>
        <v/>
      </c>
      <c r="AC1651" s="31">
        <f>IF(OR($Y1651="",N($Z1651)&lt;=0,$AB1651=""),0,IFERROR(LOOKUP(2,1/((거래처별!$AC$8:$AC$307&lt;&gt;"")*ISNUMBER(SEARCH(거래처별!$AC$8:$AC$307,$AB1651))),거래처별!$A$8:$A$307),IFERROR(LOOKUP(2,1/((거래처별!$AD$8:$AD$307&lt;&gt;"")*ISNUMBER(SEARCH(거래처별!$AD$8:$AD$307,$AB1651))),거래처별!$A$8:$A$307),IFERROR(LOOKUP(2,1/((거래처별!$AE$8:$AE$307&lt;&gt;"")*ISNUMBER(SEARCH(거래처별!$AE$8:$AE$307,$AB1651))),거래처별!$A$8:$A$307),0))))</f>
        <v/>
      </c>
      <c r="AD1651" s="31">
        <f>IF(AND($Y1651&lt;&gt;"",N($Z1651)&gt;0,$AC1651=0),MAX($AD$7:$AD1650)+1,"")</f>
        <v/>
      </c>
      <c r="AE1651" s="31">
        <f>IF($Y1651="",0,$Y1651)</f>
        <v/>
      </c>
    </row>
    <row r="1652">
      <c r="W1652" s="31">
        <f>IF(OR($B$5="",$C$6="",ROW()&lt;$B$5),"",IF(INDEX($A:$U,ROW(),$C$6)="","",INDEX($A:$U,ROW(),$C$6)))</f>
        <v/>
      </c>
      <c r="X1652" s="32">
        <f>IF($W1652="","",IF(ISNUMBER($W1652),IF($W1652&gt;=10000000,IFERROR(DATE(INT($W1652/10000),MOD(INT($W1652/100),100),MOD($W1652,100)),""),INT($W1652)),IFERROR(DATE(--LEFT(LEFT(SUBSTITUTE(SUBSTITUTE(SUBSTITUTE(SUBSTITUTE(TRIM($W1652),"-",""),".",""),"/","")," ",""),8),4),--MID(LEFT(SUBSTITUTE(SUBSTITUTE(SUBSTITUTE(SUBSTITUTE(TRIM($W1652),"-",""),".",""),"/","")," ",""),8),5,2),--MID(LEFT(SUBSTITUTE(SUBSTITUTE(SUBSTITUTE(SUBSTITUTE(TRIM($W1652),"-",""),".",""),"/","")," ",""),8),7,2)),"")))</f>
        <v/>
      </c>
      <c r="Y1652" s="32">
        <f>IF($X1652="","",INT($X1652))</f>
        <v/>
      </c>
      <c r="Z1652" s="33">
        <f>IF(OR($Y1652="",$D$6=""),"",IF(INDEX($A:$U,ROW(),$D$6)="",0,IF(ISNUMBER(INDEX($A:$U,ROW(),$D$6)),INDEX($A:$U,ROW(),$D$6),IFERROR(--SUBSTITUTE(SUBSTITUTE(TRIM(INDEX($A:$U,ROW(),$D$6)),",",""),"원",""),0))))</f>
        <v/>
      </c>
      <c r="AA1652" s="31">
        <f>IF($Y1652="","",TRIM(INDEX($A:$U,ROW(),$E$6)&amp;IF($F$6="",""," "&amp;INDEX($A:$U,ROW(),$F$6))))</f>
        <v/>
      </c>
      <c r="AB1652" s="31">
        <f>IF($AA1652="","",SUBSTITUTE(SUBSTITUTE(SUBSTITUTE(SUBSTITUTE(SUBSTITUTE(SUBSTITUTE(SUBSTITUTE(SUBSTITUTE(SUBSTITUTE($AA1652," ",""),"　",""),"(주)",""),"（주）",""),"㈜",""),"주식회사",""),"(유)",""),"（유）",""),"유한회사",""))</f>
        <v/>
      </c>
      <c r="AC1652" s="31">
        <f>IF(OR($Y1652="",N($Z1652)&lt;=0,$AB1652=""),0,IFERROR(LOOKUP(2,1/((거래처별!$AC$8:$AC$307&lt;&gt;"")*ISNUMBER(SEARCH(거래처별!$AC$8:$AC$307,$AB1652))),거래처별!$A$8:$A$307),IFERROR(LOOKUP(2,1/((거래처별!$AD$8:$AD$307&lt;&gt;"")*ISNUMBER(SEARCH(거래처별!$AD$8:$AD$307,$AB1652))),거래처별!$A$8:$A$307),IFERROR(LOOKUP(2,1/((거래처별!$AE$8:$AE$307&lt;&gt;"")*ISNUMBER(SEARCH(거래처별!$AE$8:$AE$307,$AB1652))),거래처별!$A$8:$A$307),0))))</f>
        <v/>
      </c>
      <c r="AD1652" s="31">
        <f>IF(AND($Y1652&lt;&gt;"",N($Z1652)&gt;0,$AC1652=0),MAX($AD$7:$AD1651)+1,"")</f>
        <v/>
      </c>
      <c r="AE1652" s="31">
        <f>IF($Y1652="",0,$Y1652)</f>
        <v/>
      </c>
    </row>
    <row r="1653">
      <c r="W1653" s="31">
        <f>IF(OR($B$5="",$C$6="",ROW()&lt;$B$5),"",IF(INDEX($A:$U,ROW(),$C$6)="","",INDEX($A:$U,ROW(),$C$6)))</f>
        <v/>
      </c>
      <c r="X1653" s="32">
        <f>IF($W1653="","",IF(ISNUMBER($W1653),IF($W1653&gt;=10000000,IFERROR(DATE(INT($W1653/10000),MOD(INT($W1653/100),100),MOD($W1653,100)),""),INT($W1653)),IFERROR(DATE(--LEFT(LEFT(SUBSTITUTE(SUBSTITUTE(SUBSTITUTE(SUBSTITUTE(TRIM($W1653),"-",""),".",""),"/","")," ",""),8),4),--MID(LEFT(SUBSTITUTE(SUBSTITUTE(SUBSTITUTE(SUBSTITUTE(TRIM($W1653),"-",""),".",""),"/","")," ",""),8),5,2),--MID(LEFT(SUBSTITUTE(SUBSTITUTE(SUBSTITUTE(SUBSTITUTE(TRIM($W1653),"-",""),".",""),"/","")," ",""),8),7,2)),"")))</f>
        <v/>
      </c>
      <c r="Y1653" s="32">
        <f>IF($X1653="","",INT($X1653))</f>
        <v/>
      </c>
      <c r="Z1653" s="33">
        <f>IF(OR($Y1653="",$D$6=""),"",IF(INDEX($A:$U,ROW(),$D$6)="",0,IF(ISNUMBER(INDEX($A:$U,ROW(),$D$6)),INDEX($A:$U,ROW(),$D$6),IFERROR(--SUBSTITUTE(SUBSTITUTE(TRIM(INDEX($A:$U,ROW(),$D$6)),",",""),"원",""),0))))</f>
        <v/>
      </c>
      <c r="AA1653" s="31">
        <f>IF($Y1653="","",TRIM(INDEX($A:$U,ROW(),$E$6)&amp;IF($F$6="",""," "&amp;INDEX($A:$U,ROW(),$F$6))))</f>
        <v/>
      </c>
      <c r="AB1653" s="31">
        <f>IF($AA1653="","",SUBSTITUTE(SUBSTITUTE(SUBSTITUTE(SUBSTITUTE(SUBSTITUTE(SUBSTITUTE(SUBSTITUTE(SUBSTITUTE(SUBSTITUTE($AA1653," ",""),"　",""),"(주)",""),"（주）",""),"㈜",""),"주식회사",""),"(유)",""),"（유）",""),"유한회사",""))</f>
        <v/>
      </c>
      <c r="AC1653" s="31">
        <f>IF(OR($Y1653="",N($Z1653)&lt;=0,$AB1653=""),0,IFERROR(LOOKUP(2,1/((거래처별!$AC$8:$AC$307&lt;&gt;"")*ISNUMBER(SEARCH(거래처별!$AC$8:$AC$307,$AB1653))),거래처별!$A$8:$A$307),IFERROR(LOOKUP(2,1/((거래처별!$AD$8:$AD$307&lt;&gt;"")*ISNUMBER(SEARCH(거래처별!$AD$8:$AD$307,$AB1653))),거래처별!$A$8:$A$307),IFERROR(LOOKUP(2,1/((거래처별!$AE$8:$AE$307&lt;&gt;"")*ISNUMBER(SEARCH(거래처별!$AE$8:$AE$307,$AB1653))),거래처별!$A$8:$A$307),0))))</f>
        <v/>
      </c>
      <c r="AD1653" s="31">
        <f>IF(AND($Y1653&lt;&gt;"",N($Z1653)&gt;0,$AC1653=0),MAX($AD$7:$AD1652)+1,"")</f>
        <v/>
      </c>
      <c r="AE1653" s="31">
        <f>IF($Y1653="",0,$Y1653)</f>
        <v/>
      </c>
    </row>
    <row r="1654">
      <c r="W1654" s="31">
        <f>IF(OR($B$5="",$C$6="",ROW()&lt;$B$5),"",IF(INDEX($A:$U,ROW(),$C$6)="","",INDEX($A:$U,ROW(),$C$6)))</f>
        <v/>
      </c>
      <c r="X1654" s="32">
        <f>IF($W1654="","",IF(ISNUMBER($W1654),IF($W1654&gt;=10000000,IFERROR(DATE(INT($W1654/10000),MOD(INT($W1654/100),100),MOD($W1654,100)),""),INT($W1654)),IFERROR(DATE(--LEFT(LEFT(SUBSTITUTE(SUBSTITUTE(SUBSTITUTE(SUBSTITUTE(TRIM($W1654),"-",""),".",""),"/","")," ",""),8),4),--MID(LEFT(SUBSTITUTE(SUBSTITUTE(SUBSTITUTE(SUBSTITUTE(TRIM($W1654),"-",""),".",""),"/","")," ",""),8),5,2),--MID(LEFT(SUBSTITUTE(SUBSTITUTE(SUBSTITUTE(SUBSTITUTE(TRIM($W1654),"-",""),".",""),"/","")," ",""),8),7,2)),"")))</f>
        <v/>
      </c>
      <c r="Y1654" s="32">
        <f>IF($X1654="","",INT($X1654))</f>
        <v/>
      </c>
      <c r="Z1654" s="33">
        <f>IF(OR($Y1654="",$D$6=""),"",IF(INDEX($A:$U,ROW(),$D$6)="",0,IF(ISNUMBER(INDEX($A:$U,ROW(),$D$6)),INDEX($A:$U,ROW(),$D$6),IFERROR(--SUBSTITUTE(SUBSTITUTE(TRIM(INDEX($A:$U,ROW(),$D$6)),",",""),"원",""),0))))</f>
        <v/>
      </c>
      <c r="AA1654" s="31">
        <f>IF($Y1654="","",TRIM(INDEX($A:$U,ROW(),$E$6)&amp;IF($F$6="",""," "&amp;INDEX($A:$U,ROW(),$F$6))))</f>
        <v/>
      </c>
      <c r="AB1654" s="31">
        <f>IF($AA1654="","",SUBSTITUTE(SUBSTITUTE(SUBSTITUTE(SUBSTITUTE(SUBSTITUTE(SUBSTITUTE(SUBSTITUTE(SUBSTITUTE(SUBSTITUTE($AA1654," ",""),"　",""),"(주)",""),"（주）",""),"㈜",""),"주식회사",""),"(유)",""),"（유）",""),"유한회사",""))</f>
        <v/>
      </c>
      <c r="AC1654" s="31">
        <f>IF(OR($Y1654="",N($Z1654)&lt;=0,$AB1654=""),0,IFERROR(LOOKUP(2,1/((거래처별!$AC$8:$AC$307&lt;&gt;"")*ISNUMBER(SEARCH(거래처별!$AC$8:$AC$307,$AB1654))),거래처별!$A$8:$A$307),IFERROR(LOOKUP(2,1/((거래처별!$AD$8:$AD$307&lt;&gt;"")*ISNUMBER(SEARCH(거래처별!$AD$8:$AD$307,$AB1654))),거래처별!$A$8:$A$307),IFERROR(LOOKUP(2,1/((거래처별!$AE$8:$AE$307&lt;&gt;"")*ISNUMBER(SEARCH(거래처별!$AE$8:$AE$307,$AB1654))),거래처별!$A$8:$A$307),0))))</f>
        <v/>
      </c>
      <c r="AD1654" s="31">
        <f>IF(AND($Y1654&lt;&gt;"",N($Z1654)&gt;0,$AC1654=0),MAX($AD$7:$AD1653)+1,"")</f>
        <v/>
      </c>
      <c r="AE1654" s="31">
        <f>IF($Y1654="",0,$Y1654)</f>
        <v/>
      </c>
    </row>
    <row r="1655">
      <c r="W1655" s="31">
        <f>IF(OR($B$5="",$C$6="",ROW()&lt;$B$5),"",IF(INDEX($A:$U,ROW(),$C$6)="","",INDEX($A:$U,ROW(),$C$6)))</f>
        <v/>
      </c>
      <c r="X1655" s="32">
        <f>IF($W1655="","",IF(ISNUMBER($W1655),IF($W1655&gt;=10000000,IFERROR(DATE(INT($W1655/10000),MOD(INT($W1655/100),100),MOD($W1655,100)),""),INT($W1655)),IFERROR(DATE(--LEFT(LEFT(SUBSTITUTE(SUBSTITUTE(SUBSTITUTE(SUBSTITUTE(TRIM($W1655),"-",""),".",""),"/","")," ",""),8),4),--MID(LEFT(SUBSTITUTE(SUBSTITUTE(SUBSTITUTE(SUBSTITUTE(TRIM($W1655),"-",""),".",""),"/","")," ",""),8),5,2),--MID(LEFT(SUBSTITUTE(SUBSTITUTE(SUBSTITUTE(SUBSTITUTE(TRIM($W1655),"-",""),".",""),"/","")," ",""),8),7,2)),"")))</f>
        <v/>
      </c>
      <c r="Y1655" s="32">
        <f>IF($X1655="","",INT($X1655))</f>
        <v/>
      </c>
      <c r="Z1655" s="33">
        <f>IF(OR($Y1655="",$D$6=""),"",IF(INDEX($A:$U,ROW(),$D$6)="",0,IF(ISNUMBER(INDEX($A:$U,ROW(),$D$6)),INDEX($A:$U,ROW(),$D$6),IFERROR(--SUBSTITUTE(SUBSTITUTE(TRIM(INDEX($A:$U,ROW(),$D$6)),",",""),"원",""),0))))</f>
        <v/>
      </c>
      <c r="AA1655" s="31">
        <f>IF($Y1655="","",TRIM(INDEX($A:$U,ROW(),$E$6)&amp;IF($F$6="",""," "&amp;INDEX($A:$U,ROW(),$F$6))))</f>
        <v/>
      </c>
      <c r="AB1655" s="31">
        <f>IF($AA1655="","",SUBSTITUTE(SUBSTITUTE(SUBSTITUTE(SUBSTITUTE(SUBSTITUTE(SUBSTITUTE(SUBSTITUTE(SUBSTITUTE(SUBSTITUTE($AA1655," ",""),"　",""),"(주)",""),"（주）",""),"㈜",""),"주식회사",""),"(유)",""),"（유）",""),"유한회사",""))</f>
        <v/>
      </c>
      <c r="AC1655" s="31">
        <f>IF(OR($Y1655="",N($Z1655)&lt;=0,$AB1655=""),0,IFERROR(LOOKUP(2,1/((거래처별!$AC$8:$AC$307&lt;&gt;"")*ISNUMBER(SEARCH(거래처별!$AC$8:$AC$307,$AB1655))),거래처별!$A$8:$A$307),IFERROR(LOOKUP(2,1/((거래처별!$AD$8:$AD$307&lt;&gt;"")*ISNUMBER(SEARCH(거래처별!$AD$8:$AD$307,$AB1655))),거래처별!$A$8:$A$307),IFERROR(LOOKUP(2,1/((거래처별!$AE$8:$AE$307&lt;&gt;"")*ISNUMBER(SEARCH(거래처별!$AE$8:$AE$307,$AB1655))),거래처별!$A$8:$A$307),0))))</f>
        <v/>
      </c>
      <c r="AD1655" s="31">
        <f>IF(AND($Y1655&lt;&gt;"",N($Z1655)&gt;0,$AC1655=0),MAX($AD$7:$AD1654)+1,"")</f>
        <v/>
      </c>
      <c r="AE1655" s="31">
        <f>IF($Y1655="",0,$Y1655)</f>
        <v/>
      </c>
    </row>
    <row r="1656">
      <c r="W1656" s="31">
        <f>IF(OR($B$5="",$C$6="",ROW()&lt;$B$5),"",IF(INDEX($A:$U,ROW(),$C$6)="","",INDEX($A:$U,ROW(),$C$6)))</f>
        <v/>
      </c>
      <c r="X1656" s="32">
        <f>IF($W1656="","",IF(ISNUMBER($W1656),IF($W1656&gt;=10000000,IFERROR(DATE(INT($W1656/10000),MOD(INT($W1656/100),100),MOD($W1656,100)),""),INT($W1656)),IFERROR(DATE(--LEFT(LEFT(SUBSTITUTE(SUBSTITUTE(SUBSTITUTE(SUBSTITUTE(TRIM($W1656),"-",""),".",""),"/","")," ",""),8),4),--MID(LEFT(SUBSTITUTE(SUBSTITUTE(SUBSTITUTE(SUBSTITUTE(TRIM($W1656),"-",""),".",""),"/","")," ",""),8),5,2),--MID(LEFT(SUBSTITUTE(SUBSTITUTE(SUBSTITUTE(SUBSTITUTE(TRIM($W1656),"-",""),".",""),"/","")," ",""),8),7,2)),"")))</f>
        <v/>
      </c>
      <c r="Y1656" s="32">
        <f>IF($X1656="","",INT($X1656))</f>
        <v/>
      </c>
      <c r="Z1656" s="33">
        <f>IF(OR($Y1656="",$D$6=""),"",IF(INDEX($A:$U,ROW(),$D$6)="",0,IF(ISNUMBER(INDEX($A:$U,ROW(),$D$6)),INDEX($A:$U,ROW(),$D$6),IFERROR(--SUBSTITUTE(SUBSTITUTE(TRIM(INDEX($A:$U,ROW(),$D$6)),",",""),"원",""),0))))</f>
        <v/>
      </c>
      <c r="AA1656" s="31">
        <f>IF($Y1656="","",TRIM(INDEX($A:$U,ROW(),$E$6)&amp;IF($F$6="",""," "&amp;INDEX($A:$U,ROW(),$F$6))))</f>
        <v/>
      </c>
      <c r="AB1656" s="31">
        <f>IF($AA1656="","",SUBSTITUTE(SUBSTITUTE(SUBSTITUTE(SUBSTITUTE(SUBSTITUTE(SUBSTITUTE(SUBSTITUTE(SUBSTITUTE(SUBSTITUTE($AA1656," ",""),"　",""),"(주)",""),"（주）",""),"㈜",""),"주식회사",""),"(유)",""),"（유）",""),"유한회사",""))</f>
        <v/>
      </c>
      <c r="AC1656" s="31">
        <f>IF(OR($Y1656="",N($Z1656)&lt;=0,$AB1656=""),0,IFERROR(LOOKUP(2,1/((거래처별!$AC$8:$AC$307&lt;&gt;"")*ISNUMBER(SEARCH(거래처별!$AC$8:$AC$307,$AB1656))),거래처별!$A$8:$A$307),IFERROR(LOOKUP(2,1/((거래처별!$AD$8:$AD$307&lt;&gt;"")*ISNUMBER(SEARCH(거래처별!$AD$8:$AD$307,$AB1656))),거래처별!$A$8:$A$307),IFERROR(LOOKUP(2,1/((거래처별!$AE$8:$AE$307&lt;&gt;"")*ISNUMBER(SEARCH(거래처별!$AE$8:$AE$307,$AB1656))),거래처별!$A$8:$A$307),0))))</f>
        <v/>
      </c>
      <c r="AD1656" s="31">
        <f>IF(AND($Y1656&lt;&gt;"",N($Z1656)&gt;0,$AC1656=0),MAX($AD$7:$AD1655)+1,"")</f>
        <v/>
      </c>
      <c r="AE1656" s="31">
        <f>IF($Y1656="",0,$Y1656)</f>
        <v/>
      </c>
    </row>
    <row r="1657">
      <c r="W1657" s="31">
        <f>IF(OR($B$5="",$C$6="",ROW()&lt;$B$5),"",IF(INDEX($A:$U,ROW(),$C$6)="","",INDEX($A:$U,ROW(),$C$6)))</f>
        <v/>
      </c>
      <c r="X1657" s="32">
        <f>IF($W1657="","",IF(ISNUMBER($W1657),IF($W1657&gt;=10000000,IFERROR(DATE(INT($W1657/10000),MOD(INT($W1657/100),100),MOD($W1657,100)),""),INT($W1657)),IFERROR(DATE(--LEFT(LEFT(SUBSTITUTE(SUBSTITUTE(SUBSTITUTE(SUBSTITUTE(TRIM($W1657),"-",""),".",""),"/","")," ",""),8),4),--MID(LEFT(SUBSTITUTE(SUBSTITUTE(SUBSTITUTE(SUBSTITUTE(TRIM($W1657),"-",""),".",""),"/","")," ",""),8),5,2),--MID(LEFT(SUBSTITUTE(SUBSTITUTE(SUBSTITUTE(SUBSTITUTE(TRIM($W1657),"-",""),".",""),"/","")," ",""),8),7,2)),"")))</f>
        <v/>
      </c>
      <c r="Y1657" s="32">
        <f>IF($X1657="","",INT($X1657))</f>
        <v/>
      </c>
      <c r="Z1657" s="33">
        <f>IF(OR($Y1657="",$D$6=""),"",IF(INDEX($A:$U,ROW(),$D$6)="",0,IF(ISNUMBER(INDEX($A:$U,ROW(),$D$6)),INDEX($A:$U,ROW(),$D$6),IFERROR(--SUBSTITUTE(SUBSTITUTE(TRIM(INDEX($A:$U,ROW(),$D$6)),",",""),"원",""),0))))</f>
        <v/>
      </c>
      <c r="AA1657" s="31">
        <f>IF($Y1657="","",TRIM(INDEX($A:$U,ROW(),$E$6)&amp;IF($F$6="",""," "&amp;INDEX($A:$U,ROW(),$F$6))))</f>
        <v/>
      </c>
      <c r="AB1657" s="31">
        <f>IF($AA1657="","",SUBSTITUTE(SUBSTITUTE(SUBSTITUTE(SUBSTITUTE(SUBSTITUTE(SUBSTITUTE(SUBSTITUTE(SUBSTITUTE(SUBSTITUTE($AA1657," ",""),"　",""),"(주)",""),"（주）",""),"㈜",""),"주식회사",""),"(유)",""),"（유）",""),"유한회사",""))</f>
        <v/>
      </c>
      <c r="AC1657" s="31">
        <f>IF(OR($Y1657="",N($Z1657)&lt;=0,$AB1657=""),0,IFERROR(LOOKUP(2,1/((거래처별!$AC$8:$AC$307&lt;&gt;"")*ISNUMBER(SEARCH(거래처별!$AC$8:$AC$307,$AB1657))),거래처별!$A$8:$A$307),IFERROR(LOOKUP(2,1/((거래처별!$AD$8:$AD$307&lt;&gt;"")*ISNUMBER(SEARCH(거래처별!$AD$8:$AD$307,$AB1657))),거래처별!$A$8:$A$307),IFERROR(LOOKUP(2,1/((거래처별!$AE$8:$AE$307&lt;&gt;"")*ISNUMBER(SEARCH(거래처별!$AE$8:$AE$307,$AB1657))),거래처별!$A$8:$A$307),0))))</f>
        <v/>
      </c>
      <c r="AD1657" s="31">
        <f>IF(AND($Y1657&lt;&gt;"",N($Z1657)&gt;0,$AC1657=0),MAX($AD$7:$AD1656)+1,"")</f>
        <v/>
      </c>
      <c r="AE1657" s="31">
        <f>IF($Y1657="",0,$Y1657)</f>
        <v/>
      </c>
    </row>
    <row r="1658">
      <c r="W1658" s="31">
        <f>IF(OR($B$5="",$C$6="",ROW()&lt;$B$5),"",IF(INDEX($A:$U,ROW(),$C$6)="","",INDEX($A:$U,ROW(),$C$6)))</f>
        <v/>
      </c>
      <c r="X1658" s="32">
        <f>IF($W1658="","",IF(ISNUMBER($W1658),IF($W1658&gt;=10000000,IFERROR(DATE(INT($W1658/10000),MOD(INT($W1658/100),100),MOD($W1658,100)),""),INT($W1658)),IFERROR(DATE(--LEFT(LEFT(SUBSTITUTE(SUBSTITUTE(SUBSTITUTE(SUBSTITUTE(TRIM($W1658),"-",""),".",""),"/","")," ",""),8),4),--MID(LEFT(SUBSTITUTE(SUBSTITUTE(SUBSTITUTE(SUBSTITUTE(TRIM($W1658),"-",""),".",""),"/","")," ",""),8),5,2),--MID(LEFT(SUBSTITUTE(SUBSTITUTE(SUBSTITUTE(SUBSTITUTE(TRIM($W1658),"-",""),".",""),"/","")," ",""),8),7,2)),"")))</f>
        <v/>
      </c>
      <c r="Y1658" s="32">
        <f>IF($X1658="","",INT($X1658))</f>
        <v/>
      </c>
      <c r="Z1658" s="33">
        <f>IF(OR($Y1658="",$D$6=""),"",IF(INDEX($A:$U,ROW(),$D$6)="",0,IF(ISNUMBER(INDEX($A:$U,ROW(),$D$6)),INDEX($A:$U,ROW(),$D$6),IFERROR(--SUBSTITUTE(SUBSTITUTE(TRIM(INDEX($A:$U,ROW(),$D$6)),",",""),"원",""),0))))</f>
        <v/>
      </c>
      <c r="AA1658" s="31">
        <f>IF($Y1658="","",TRIM(INDEX($A:$U,ROW(),$E$6)&amp;IF($F$6="",""," "&amp;INDEX($A:$U,ROW(),$F$6))))</f>
        <v/>
      </c>
      <c r="AB1658" s="31">
        <f>IF($AA1658="","",SUBSTITUTE(SUBSTITUTE(SUBSTITUTE(SUBSTITUTE(SUBSTITUTE(SUBSTITUTE(SUBSTITUTE(SUBSTITUTE(SUBSTITUTE($AA1658," ",""),"　",""),"(주)",""),"（주）",""),"㈜",""),"주식회사",""),"(유)",""),"（유）",""),"유한회사",""))</f>
        <v/>
      </c>
      <c r="AC1658" s="31">
        <f>IF(OR($Y1658="",N($Z1658)&lt;=0,$AB1658=""),0,IFERROR(LOOKUP(2,1/((거래처별!$AC$8:$AC$307&lt;&gt;"")*ISNUMBER(SEARCH(거래처별!$AC$8:$AC$307,$AB1658))),거래처별!$A$8:$A$307),IFERROR(LOOKUP(2,1/((거래처별!$AD$8:$AD$307&lt;&gt;"")*ISNUMBER(SEARCH(거래처별!$AD$8:$AD$307,$AB1658))),거래처별!$A$8:$A$307),IFERROR(LOOKUP(2,1/((거래처별!$AE$8:$AE$307&lt;&gt;"")*ISNUMBER(SEARCH(거래처별!$AE$8:$AE$307,$AB1658))),거래처별!$A$8:$A$307),0))))</f>
        <v/>
      </c>
      <c r="AD1658" s="31">
        <f>IF(AND($Y1658&lt;&gt;"",N($Z1658)&gt;0,$AC1658=0),MAX($AD$7:$AD1657)+1,"")</f>
        <v/>
      </c>
      <c r="AE1658" s="31">
        <f>IF($Y1658="",0,$Y1658)</f>
        <v/>
      </c>
    </row>
    <row r="1659">
      <c r="W1659" s="31">
        <f>IF(OR($B$5="",$C$6="",ROW()&lt;$B$5),"",IF(INDEX($A:$U,ROW(),$C$6)="","",INDEX($A:$U,ROW(),$C$6)))</f>
        <v/>
      </c>
      <c r="X1659" s="32">
        <f>IF($W1659="","",IF(ISNUMBER($W1659),IF($W1659&gt;=10000000,IFERROR(DATE(INT($W1659/10000),MOD(INT($W1659/100),100),MOD($W1659,100)),""),INT($W1659)),IFERROR(DATE(--LEFT(LEFT(SUBSTITUTE(SUBSTITUTE(SUBSTITUTE(SUBSTITUTE(TRIM($W1659),"-",""),".",""),"/","")," ",""),8),4),--MID(LEFT(SUBSTITUTE(SUBSTITUTE(SUBSTITUTE(SUBSTITUTE(TRIM($W1659),"-",""),".",""),"/","")," ",""),8),5,2),--MID(LEFT(SUBSTITUTE(SUBSTITUTE(SUBSTITUTE(SUBSTITUTE(TRIM($W1659),"-",""),".",""),"/","")," ",""),8),7,2)),"")))</f>
        <v/>
      </c>
      <c r="Y1659" s="32">
        <f>IF($X1659="","",INT($X1659))</f>
        <v/>
      </c>
      <c r="Z1659" s="33">
        <f>IF(OR($Y1659="",$D$6=""),"",IF(INDEX($A:$U,ROW(),$D$6)="",0,IF(ISNUMBER(INDEX($A:$U,ROW(),$D$6)),INDEX($A:$U,ROW(),$D$6),IFERROR(--SUBSTITUTE(SUBSTITUTE(TRIM(INDEX($A:$U,ROW(),$D$6)),",",""),"원",""),0))))</f>
        <v/>
      </c>
      <c r="AA1659" s="31">
        <f>IF($Y1659="","",TRIM(INDEX($A:$U,ROW(),$E$6)&amp;IF($F$6="",""," "&amp;INDEX($A:$U,ROW(),$F$6))))</f>
        <v/>
      </c>
      <c r="AB1659" s="31">
        <f>IF($AA1659="","",SUBSTITUTE(SUBSTITUTE(SUBSTITUTE(SUBSTITUTE(SUBSTITUTE(SUBSTITUTE(SUBSTITUTE(SUBSTITUTE(SUBSTITUTE($AA1659," ",""),"　",""),"(주)",""),"（주）",""),"㈜",""),"주식회사",""),"(유)",""),"（유）",""),"유한회사",""))</f>
        <v/>
      </c>
      <c r="AC1659" s="31">
        <f>IF(OR($Y1659="",N($Z1659)&lt;=0,$AB1659=""),0,IFERROR(LOOKUP(2,1/((거래처별!$AC$8:$AC$307&lt;&gt;"")*ISNUMBER(SEARCH(거래처별!$AC$8:$AC$307,$AB1659))),거래처별!$A$8:$A$307),IFERROR(LOOKUP(2,1/((거래처별!$AD$8:$AD$307&lt;&gt;"")*ISNUMBER(SEARCH(거래처별!$AD$8:$AD$307,$AB1659))),거래처별!$A$8:$A$307),IFERROR(LOOKUP(2,1/((거래처별!$AE$8:$AE$307&lt;&gt;"")*ISNUMBER(SEARCH(거래처별!$AE$8:$AE$307,$AB1659))),거래처별!$A$8:$A$307),0))))</f>
        <v/>
      </c>
      <c r="AD1659" s="31">
        <f>IF(AND($Y1659&lt;&gt;"",N($Z1659)&gt;0,$AC1659=0),MAX($AD$7:$AD1658)+1,"")</f>
        <v/>
      </c>
      <c r="AE1659" s="31">
        <f>IF($Y1659="",0,$Y1659)</f>
        <v/>
      </c>
    </row>
    <row r="1660">
      <c r="W1660" s="31">
        <f>IF(OR($B$5="",$C$6="",ROW()&lt;$B$5),"",IF(INDEX($A:$U,ROW(),$C$6)="","",INDEX($A:$U,ROW(),$C$6)))</f>
        <v/>
      </c>
      <c r="X1660" s="32">
        <f>IF($W1660="","",IF(ISNUMBER($W1660),IF($W1660&gt;=10000000,IFERROR(DATE(INT($W1660/10000),MOD(INT($W1660/100),100),MOD($W1660,100)),""),INT($W1660)),IFERROR(DATE(--LEFT(LEFT(SUBSTITUTE(SUBSTITUTE(SUBSTITUTE(SUBSTITUTE(TRIM($W1660),"-",""),".",""),"/","")," ",""),8),4),--MID(LEFT(SUBSTITUTE(SUBSTITUTE(SUBSTITUTE(SUBSTITUTE(TRIM($W1660),"-",""),".",""),"/","")," ",""),8),5,2),--MID(LEFT(SUBSTITUTE(SUBSTITUTE(SUBSTITUTE(SUBSTITUTE(TRIM($W1660),"-",""),".",""),"/","")," ",""),8),7,2)),"")))</f>
        <v/>
      </c>
      <c r="Y1660" s="32">
        <f>IF($X1660="","",INT($X1660))</f>
        <v/>
      </c>
      <c r="Z1660" s="33">
        <f>IF(OR($Y1660="",$D$6=""),"",IF(INDEX($A:$U,ROW(),$D$6)="",0,IF(ISNUMBER(INDEX($A:$U,ROW(),$D$6)),INDEX($A:$U,ROW(),$D$6),IFERROR(--SUBSTITUTE(SUBSTITUTE(TRIM(INDEX($A:$U,ROW(),$D$6)),",",""),"원",""),0))))</f>
        <v/>
      </c>
      <c r="AA1660" s="31">
        <f>IF($Y1660="","",TRIM(INDEX($A:$U,ROW(),$E$6)&amp;IF($F$6="",""," "&amp;INDEX($A:$U,ROW(),$F$6))))</f>
        <v/>
      </c>
      <c r="AB1660" s="31">
        <f>IF($AA1660="","",SUBSTITUTE(SUBSTITUTE(SUBSTITUTE(SUBSTITUTE(SUBSTITUTE(SUBSTITUTE(SUBSTITUTE(SUBSTITUTE(SUBSTITUTE($AA1660," ",""),"　",""),"(주)",""),"（주）",""),"㈜",""),"주식회사",""),"(유)",""),"（유）",""),"유한회사",""))</f>
        <v/>
      </c>
      <c r="AC1660" s="31">
        <f>IF(OR($Y1660="",N($Z1660)&lt;=0,$AB1660=""),0,IFERROR(LOOKUP(2,1/((거래처별!$AC$8:$AC$307&lt;&gt;"")*ISNUMBER(SEARCH(거래처별!$AC$8:$AC$307,$AB1660))),거래처별!$A$8:$A$307),IFERROR(LOOKUP(2,1/((거래처별!$AD$8:$AD$307&lt;&gt;"")*ISNUMBER(SEARCH(거래처별!$AD$8:$AD$307,$AB1660))),거래처별!$A$8:$A$307),IFERROR(LOOKUP(2,1/((거래처별!$AE$8:$AE$307&lt;&gt;"")*ISNUMBER(SEARCH(거래처별!$AE$8:$AE$307,$AB1660))),거래처별!$A$8:$A$307),0))))</f>
        <v/>
      </c>
      <c r="AD1660" s="31">
        <f>IF(AND($Y1660&lt;&gt;"",N($Z1660)&gt;0,$AC1660=0),MAX($AD$7:$AD1659)+1,"")</f>
        <v/>
      </c>
      <c r="AE1660" s="31">
        <f>IF($Y1660="",0,$Y1660)</f>
        <v/>
      </c>
    </row>
    <row r="1661">
      <c r="W1661" s="31">
        <f>IF(OR($B$5="",$C$6="",ROW()&lt;$B$5),"",IF(INDEX($A:$U,ROW(),$C$6)="","",INDEX($A:$U,ROW(),$C$6)))</f>
        <v/>
      </c>
      <c r="X1661" s="32">
        <f>IF($W1661="","",IF(ISNUMBER($W1661),IF($W1661&gt;=10000000,IFERROR(DATE(INT($W1661/10000),MOD(INT($W1661/100),100),MOD($W1661,100)),""),INT($W1661)),IFERROR(DATE(--LEFT(LEFT(SUBSTITUTE(SUBSTITUTE(SUBSTITUTE(SUBSTITUTE(TRIM($W1661),"-",""),".",""),"/","")," ",""),8),4),--MID(LEFT(SUBSTITUTE(SUBSTITUTE(SUBSTITUTE(SUBSTITUTE(TRIM($W1661),"-",""),".",""),"/","")," ",""),8),5,2),--MID(LEFT(SUBSTITUTE(SUBSTITUTE(SUBSTITUTE(SUBSTITUTE(TRIM($W1661),"-",""),".",""),"/","")," ",""),8),7,2)),"")))</f>
        <v/>
      </c>
      <c r="Y1661" s="32">
        <f>IF($X1661="","",INT($X1661))</f>
        <v/>
      </c>
      <c r="Z1661" s="33">
        <f>IF(OR($Y1661="",$D$6=""),"",IF(INDEX($A:$U,ROW(),$D$6)="",0,IF(ISNUMBER(INDEX($A:$U,ROW(),$D$6)),INDEX($A:$U,ROW(),$D$6),IFERROR(--SUBSTITUTE(SUBSTITUTE(TRIM(INDEX($A:$U,ROW(),$D$6)),",",""),"원",""),0))))</f>
        <v/>
      </c>
      <c r="AA1661" s="31">
        <f>IF($Y1661="","",TRIM(INDEX($A:$U,ROW(),$E$6)&amp;IF($F$6="",""," "&amp;INDEX($A:$U,ROW(),$F$6))))</f>
        <v/>
      </c>
      <c r="AB1661" s="31">
        <f>IF($AA1661="","",SUBSTITUTE(SUBSTITUTE(SUBSTITUTE(SUBSTITUTE(SUBSTITUTE(SUBSTITUTE(SUBSTITUTE(SUBSTITUTE(SUBSTITUTE($AA1661," ",""),"　",""),"(주)",""),"（주）",""),"㈜",""),"주식회사",""),"(유)",""),"（유）",""),"유한회사",""))</f>
        <v/>
      </c>
      <c r="AC1661" s="31">
        <f>IF(OR($Y1661="",N($Z1661)&lt;=0,$AB1661=""),0,IFERROR(LOOKUP(2,1/((거래처별!$AC$8:$AC$307&lt;&gt;"")*ISNUMBER(SEARCH(거래처별!$AC$8:$AC$307,$AB1661))),거래처별!$A$8:$A$307),IFERROR(LOOKUP(2,1/((거래처별!$AD$8:$AD$307&lt;&gt;"")*ISNUMBER(SEARCH(거래처별!$AD$8:$AD$307,$AB1661))),거래처별!$A$8:$A$307),IFERROR(LOOKUP(2,1/((거래처별!$AE$8:$AE$307&lt;&gt;"")*ISNUMBER(SEARCH(거래처별!$AE$8:$AE$307,$AB1661))),거래처별!$A$8:$A$307),0))))</f>
        <v/>
      </c>
      <c r="AD1661" s="31">
        <f>IF(AND($Y1661&lt;&gt;"",N($Z1661)&gt;0,$AC1661=0),MAX($AD$7:$AD1660)+1,"")</f>
        <v/>
      </c>
      <c r="AE1661" s="31">
        <f>IF($Y1661="",0,$Y1661)</f>
        <v/>
      </c>
    </row>
    <row r="1662">
      <c r="W1662" s="31">
        <f>IF(OR($B$5="",$C$6="",ROW()&lt;$B$5),"",IF(INDEX($A:$U,ROW(),$C$6)="","",INDEX($A:$U,ROW(),$C$6)))</f>
        <v/>
      </c>
      <c r="X1662" s="32">
        <f>IF($W1662="","",IF(ISNUMBER($W1662),IF($W1662&gt;=10000000,IFERROR(DATE(INT($W1662/10000),MOD(INT($W1662/100),100),MOD($W1662,100)),""),INT($W1662)),IFERROR(DATE(--LEFT(LEFT(SUBSTITUTE(SUBSTITUTE(SUBSTITUTE(SUBSTITUTE(TRIM($W1662),"-",""),".",""),"/","")," ",""),8),4),--MID(LEFT(SUBSTITUTE(SUBSTITUTE(SUBSTITUTE(SUBSTITUTE(TRIM($W1662),"-",""),".",""),"/","")," ",""),8),5,2),--MID(LEFT(SUBSTITUTE(SUBSTITUTE(SUBSTITUTE(SUBSTITUTE(TRIM($W1662),"-",""),".",""),"/","")," ",""),8),7,2)),"")))</f>
        <v/>
      </c>
      <c r="Y1662" s="32">
        <f>IF($X1662="","",INT($X1662))</f>
        <v/>
      </c>
      <c r="Z1662" s="33">
        <f>IF(OR($Y1662="",$D$6=""),"",IF(INDEX($A:$U,ROW(),$D$6)="",0,IF(ISNUMBER(INDEX($A:$U,ROW(),$D$6)),INDEX($A:$U,ROW(),$D$6),IFERROR(--SUBSTITUTE(SUBSTITUTE(TRIM(INDEX($A:$U,ROW(),$D$6)),",",""),"원",""),0))))</f>
        <v/>
      </c>
      <c r="AA1662" s="31">
        <f>IF($Y1662="","",TRIM(INDEX($A:$U,ROW(),$E$6)&amp;IF($F$6="",""," "&amp;INDEX($A:$U,ROW(),$F$6))))</f>
        <v/>
      </c>
      <c r="AB1662" s="31">
        <f>IF($AA1662="","",SUBSTITUTE(SUBSTITUTE(SUBSTITUTE(SUBSTITUTE(SUBSTITUTE(SUBSTITUTE(SUBSTITUTE(SUBSTITUTE(SUBSTITUTE($AA1662," ",""),"　",""),"(주)",""),"（주）",""),"㈜",""),"주식회사",""),"(유)",""),"（유）",""),"유한회사",""))</f>
        <v/>
      </c>
      <c r="AC1662" s="31">
        <f>IF(OR($Y1662="",N($Z1662)&lt;=0,$AB1662=""),0,IFERROR(LOOKUP(2,1/((거래처별!$AC$8:$AC$307&lt;&gt;"")*ISNUMBER(SEARCH(거래처별!$AC$8:$AC$307,$AB1662))),거래처별!$A$8:$A$307),IFERROR(LOOKUP(2,1/((거래처별!$AD$8:$AD$307&lt;&gt;"")*ISNUMBER(SEARCH(거래처별!$AD$8:$AD$307,$AB1662))),거래처별!$A$8:$A$307),IFERROR(LOOKUP(2,1/((거래처별!$AE$8:$AE$307&lt;&gt;"")*ISNUMBER(SEARCH(거래처별!$AE$8:$AE$307,$AB1662))),거래처별!$A$8:$A$307),0))))</f>
        <v/>
      </c>
      <c r="AD1662" s="31">
        <f>IF(AND($Y1662&lt;&gt;"",N($Z1662)&gt;0,$AC1662=0),MAX($AD$7:$AD1661)+1,"")</f>
        <v/>
      </c>
      <c r="AE1662" s="31">
        <f>IF($Y1662="",0,$Y1662)</f>
        <v/>
      </c>
    </row>
    <row r="1663">
      <c r="W1663" s="31">
        <f>IF(OR($B$5="",$C$6="",ROW()&lt;$B$5),"",IF(INDEX($A:$U,ROW(),$C$6)="","",INDEX($A:$U,ROW(),$C$6)))</f>
        <v/>
      </c>
      <c r="X1663" s="32">
        <f>IF($W1663="","",IF(ISNUMBER($W1663),IF($W1663&gt;=10000000,IFERROR(DATE(INT($W1663/10000),MOD(INT($W1663/100),100),MOD($W1663,100)),""),INT($W1663)),IFERROR(DATE(--LEFT(LEFT(SUBSTITUTE(SUBSTITUTE(SUBSTITUTE(SUBSTITUTE(TRIM($W1663),"-",""),".",""),"/","")," ",""),8),4),--MID(LEFT(SUBSTITUTE(SUBSTITUTE(SUBSTITUTE(SUBSTITUTE(TRIM($W1663),"-",""),".",""),"/","")," ",""),8),5,2),--MID(LEFT(SUBSTITUTE(SUBSTITUTE(SUBSTITUTE(SUBSTITUTE(TRIM($W1663),"-",""),".",""),"/","")," ",""),8),7,2)),"")))</f>
        <v/>
      </c>
      <c r="Y1663" s="32">
        <f>IF($X1663="","",INT($X1663))</f>
        <v/>
      </c>
      <c r="Z1663" s="33">
        <f>IF(OR($Y1663="",$D$6=""),"",IF(INDEX($A:$U,ROW(),$D$6)="",0,IF(ISNUMBER(INDEX($A:$U,ROW(),$D$6)),INDEX($A:$U,ROW(),$D$6),IFERROR(--SUBSTITUTE(SUBSTITUTE(TRIM(INDEX($A:$U,ROW(),$D$6)),",",""),"원",""),0))))</f>
        <v/>
      </c>
      <c r="AA1663" s="31">
        <f>IF($Y1663="","",TRIM(INDEX($A:$U,ROW(),$E$6)&amp;IF($F$6="",""," "&amp;INDEX($A:$U,ROW(),$F$6))))</f>
        <v/>
      </c>
      <c r="AB1663" s="31">
        <f>IF($AA1663="","",SUBSTITUTE(SUBSTITUTE(SUBSTITUTE(SUBSTITUTE(SUBSTITUTE(SUBSTITUTE(SUBSTITUTE(SUBSTITUTE(SUBSTITUTE($AA1663," ",""),"　",""),"(주)",""),"（주）",""),"㈜",""),"주식회사",""),"(유)",""),"（유）",""),"유한회사",""))</f>
        <v/>
      </c>
      <c r="AC1663" s="31">
        <f>IF(OR($Y1663="",N($Z1663)&lt;=0,$AB1663=""),0,IFERROR(LOOKUP(2,1/((거래처별!$AC$8:$AC$307&lt;&gt;"")*ISNUMBER(SEARCH(거래처별!$AC$8:$AC$307,$AB1663))),거래처별!$A$8:$A$307),IFERROR(LOOKUP(2,1/((거래처별!$AD$8:$AD$307&lt;&gt;"")*ISNUMBER(SEARCH(거래처별!$AD$8:$AD$307,$AB1663))),거래처별!$A$8:$A$307),IFERROR(LOOKUP(2,1/((거래처별!$AE$8:$AE$307&lt;&gt;"")*ISNUMBER(SEARCH(거래처별!$AE$8:$AE$307,$AB1663))),거래처별!$A$8:$A$307),0))))</f>
        <v/>
      </c>
      <c r="AD1663" s="31">
        <f>IF(AND($Y1663&lt;&gt;"",N($Z1663)&gt;0,$AC1663=0),MAX($AD$7:$AD1662)+1,"")</f>
        <v/>
      </c>
      <c r="AE1663" s="31">
        <f>IF($Y1663="",0,$Y1663)</f>
        <v/>
      </c>
    </row>
    <row r="1664">
      <c r="W1664" s="31">
        <f>IF(OR($B$5="",$C$6="",ROW()&lt;$B$5),"",IF(INDEX($A:$U,ROW(),$C$6)="","",INDEX($A:$U,ROW(),$C$6)))</f>
        <v/>
      </c>
      <c r="X1664" s="32">
        <f>IF($W1664="","",IF(ISNUMBER($W1664),IF($W1664&gt;=10000000,IFERROR(DATE(INT($W1664/10000),MOD(INT($W1664/100),100),MOD($W1664,100)),""),INT($W1664)),IFERROR(DATE(--LEFT(LEFT(SUBSTITUTE(SUBSTITUTE(SUBSTITUTE(SUBSTITUTE(TRIM($W1664),"-",""),".",""),"/","")," ",""),8),4),--MID(LEFT(SUBSTITUTE(SUBSTITUTE(SUBSTITUTE(SUBSTITUTE(TRIM($W1664),"-",""),".",""),"/","")," ",""),8),5,2),--MID(LEFT(SUBSTITUTE(SUBSTITUTE(SUBSTITUTE(SUBSTITUTE(TRIM($W1664),"-",""),".",""),"/","")," ",""),8),7,2)),"")))</f>
        <v/>
      </c>
      <c r="Y1664" s="32">
        <f>IF($X1664="","",INT($X1664))</f>
        <v/>
      </c>
      <c r="Z1664" s="33">
        <f>IF(OR($Y1664="",$D$6=""),"",IF(INDEX($A:$U,ROW(),$D$6)="",0,IF(ISNUMBER(INDEX($A:$U,ROW(),$D$6)),INDEX($A:$U,ROW(),$D$6),IFERROR(--SUBSTITUTE(SUBSTITUTE(TRIM(INDEX($A:$U,ROW(),$D$6)),",",""),"원",""),0))))</f>
        <v/>
      </c>
      <c r="AA1664" s="31">
        <f>IF($Y1664="","",TRIM(INDEX($A:$U,ROW(),$E$6)&amp;IF($F$6="",""," "&amp;INDEX($A:$U,ROW(),$F$6))))</f>
        <v/>
      </c>
      <c r="AB1664" s="31">
        <f>IF($AA1664="","",SUBSTITUTE(SUBSTITUTE(SUBSTITUTE(SUBSTITUTE(SUBSTITUTE(SUBSTITUTE(SUBSTITUTE(SUBSTITUTE(SUBSTITUTE($AA1664," ",""),"　",""),"(주)",""),"（주）",""),"㈜",""),"주식회사",""),"(유)",""),"（유）",""),"유한회사",""))</f>
        <v/>
      </c>
      <c r="AC1664" s="31">
        <f>IF(OR($Y1664="",N($Z1664)&lt;=0,$AB1664=""),0,IFERROR(LOOKUP(2,1/((거래처별!$AC$8:$AC$307&lt;&gt;"")*ISNUMBER(SEARCH(거래처별!$AC$8:$AC$307,$AB1664))),거래처별!$A$8:$A$307),IFERROR(LOOKUP(2,1/((거래처별!$AD$8:$AD$307&lt;&gt;"")*ISNUMBER(SEARCH(거래처별!$AD$8:$AD$307,$AB1664))),거래처별!$A$8:$A$307),IFERROR(LOOKUP(2,1/((거래처별!$AE$8:$AE$307&lt;&gt;"")*ISNUMBER(SEARCH(거래처별!$AE$8:$AE$307,$AB1664))),거래처별!$A$8:$A$307),0))))</f>
        <v/>
      </c>
      <c r="AD1664" s="31">
        <f>IF(AND($Y1664&lt;&gt;"",N($Z1664)&gt;0,$AC1664=0),MAX($AD$7:$AD1663)+1,"")</f>
        <v/>
      </c>
      <c r="AE1664" s="31">
        <f>IF($Y1664="",0,$Y1664)</f>
        <v/>
      </c>
    </row>
    <row r="1665">
      <c r="W1665" s="31">
        <f>IF(OR($B$5="",$C$6="",ROW()&lt;$B$5),"",IF(INDEX($A:$U,ROW(),$C$6)="","",INDEX($A:$U,ROW(),$C$6)))</f>
        <v/>
      </c>
      <c r="X1665" s="32">
        <f>IF($W1665="","",IF(ISNUMBER($W1665),IF($W1665&gt;=10000000,IFERROR(DATE(INT($W1665/10000),MOD(INT($W1665/100),100),MOD($W1665,100)),""),INT($W1665)),IFERROR(DATE(--LEFT(LEFT(SUBSTITUTE(SUBSTITUTE(SUBSTITUTE(SUBSTITUTE(TRIM($W1665),"-",""),".",""),"/","")," ",""),8),4),--MID(LEFT(SUBSTITUTE(SUBSTITUTE(SUBSTITUTE(SUBSTITUTE(TRIM($W1665),"-",""),".",""),"/","")," ",""),8),5,2),--MID(LEFT(SUBSTITUTE(SUBSTITUTE(SUBSTITUTE(SUBSTITUTE(TRIM($W1665),"-",""),".",""),"/","")," ",""),8),7,2)),"")))</f>
        <v/>
      </c>
      <c r="Y1665" s="32">
        <f>IF($X1665="","",INT($X1665))</f>
        <v/>
      </c>
      <c r="Z1665" s="33">
        <f>IF(OR($Y1665="",$D$6=""),"",IF(INDEX($A:$U,ROW(),$D$6)="",0,IF(ISNUMBER(INDEX($A:$U,ROW(),$D$6)),INDEX($A:$U,ROW(),$D$6),IFERROR(--SUBSTITUTE(SUBSTITUTE(TRIM(INDEX($A:$U,ROW(),$D$6)),",",""),"원",""),0))))</f>
        <v/>
      </c>
      <c r="AA1665" s="31">
        <f>IF($Y1665="","",TRIM(INDEX($A:$U,ROW(),$E$6)&amp;IF($F$6="",""," "&amp;INDEX($A:$U,ROW(),$F$6))))</f>
        <v/>
      </c>
      <c r="AB1665" s="31">
        <f>IF($AA1665="","",SUBSTITUTE(SUBSTITUTE(SUBSTITUTE(SUBSTITUTE(SUBSTITUTE(SUBSTITUTE(SUBSTITUTE(SUBSTITUTE(SUBSTITUTE($AA1665," ",""),"　",""),"(주)",""),"（주）",""),"㈜",""),"주식회사",""),"(유)",""),"（유）",""),"유한회사",""))</f>
        <v/>
      </c>
      <c r="AC1665" s="31">
        <f>IF(OR($Y1665="",N($Z1665)&lt;=0,$AB1665=""),0,IFERROR(LOOKUP(2,1/((거래처별!$AC$8:$AC$307&lt;&gt;"")*ISNUMBER(SEARCH(거래처별!$AC$8:$AC$307,$AB1665))),거래처별!$A$8:$A$307),IFERROR(LOOKUP(2,1/((거래처별!$AD$8:$AD$307&lt;&gt;"")*ISNUMBER(SEARCH(거래처별!$AD$8:$AD$307,$AB1665))),거래처별!$A$8:$A$307),IFERROR(LOOKUP(2,1/((거래처별!$AE$8:$AE$307&lt;&gt;"")*ISNUMBER(SEARCH(거래처별!$AE$8:$AE$307,$AB1665))),거래처별!$A$8:$A$307),0))))</f>
        <v/>
      </c>
      <c r="AD1665" s="31">
        <f>IF(AND($Y1665&lt;&gt;"",N($Z1665)&gt;0,$AC1665=0),MAX($AD$7:$AD1664)+1,"")</f>
        <v/>
      </c>
      <c r="AE1665" s="31">
        <f>IF($Y1665="",0,$Y1665)</f>
        <v/>
      </c>
    </row>
    <row r="1666">
      <c r="W1666" s="31">
        <f>IF(OR($B$5="",$C$6="",ROW()&lt;$B$5),"",IF(INDEX($A:$U,ROW(),$C$6)="","",INDEX($A:$U,ROW(),$C$6)))</f>
        <v/>
      </c>
      <c r="X1666" s="32">
        <f>IF($W1666="","",IF(ISNUMBER($W1666),IF($W1666&gt;=10000000,IFERROR(DATE(INT($W1666/10000),MOD(INT($W1666/100),100),MOD($W1666,100)),""),INT($W1666)),IFERROR(DATE(--LEFT(LEFT(SUBSTITUTE(SUBSTITUTE(SUBSTITUTE(SUBSTITUTE(TRIM($W1666),"-",""),".",""),"/","")," ",""),8),4),--MID(LEFT(SUBSTITUTE(SUBSTITUTE(SUBSTITUTE(SUBSTITUTE(TRIM($W1666),"-",""),".",""),"/","")," ",""),8),5,2),--MID(LEFT(SUBSTITUTE(SUBSTITUTE(SUBSTITUTE(SUBSTITUTE(TRIM($W1666),"-",""),".",""),"/","")," ",""),8),7,2)),"")))</f>
        <v/>
      </c>
      <c r="Y1666" s="32">
        <f>IF($X1666="","",INT($X1666))</f>
        <v/>
      </c>
      <c r="Z1666" s="33">
        <f>IF(OR($Y1666="",$D$6=""),"",IF(INDEX($A:$U,ROW(),$D$6)="",0,IF(ISNUMBER(INDEX($A:$U,ROW(),$D$6)),INDEX($A:$U,ROW(),$D$6),IFERROR(--SUBSTITUTE(SUBSTITUTE(TRIM(INDEX($A:$U,ROW(),$D$6)),",",""),"원",""),0))))</f>
        <v/>
      </c>
      <c r="AA1666" s="31">
        <f>IF($Y1666="","",TRIM(INDEX($A:$U,ROW(),$E$6)&amp;IF($F$6="",""," "&amp;INDEX($A:$U,ROW(),$F$6))))</f>
        <v/>
      </c>
      <c r="AB1666" s="31">
        <f>IF($AA1666="","",SUBSTITUTE(SUBSTITUTE(SUBSTITUTE(SUBSTITUTE(SUBSTITUTE(SUBSTITUTE(SUBSTITUTE(SUBSTITUTE(SUBSTITUTE($AA1666," ",""),"　",""),"(주)",""),"（주）",""),"㈜",""),"주식회사",""),"(유)",""),"（유）",""),"유한회사",""))</f>
        <v/>
      </c>
      <c r="AC1666" s="31">
        <f>IF(OR($Y1666="",N($Z1666)&lt;=0,$AB1666=""),0,IFERROR(LOOKUP(2,1/((거래처별!$AC$8:$AC$307&lt;&gt;"")*ISNUMBER(SEARCH(거래처별!$AC$8:$AC$307,$AB1666))),거래처별!$A$8:$A$307),IFERROR(LOOKUP(2,1/((거래처별!$AD$8:$AD$307&lt;&gt;"")*ISNUMBER(SEARCH(거래처별!$AD$8:$AD$307,$AB1666))),거래처별!$A$8:$A$307),IFERROR(LOOKUP(2,1/((거래처별!$AE$8:$AE$307&lt;&gt;"")*ISNUMBER(SEARCH(거래처별!$AE$8:$AE$307,$AB1666))),거래처별!$A$8:$A$307),0))))</f>
        <v/>
      </c>
      <c r="AD1666" s="31">
        <f>IF(AND($Y1666&lt;&gt;"",N($Z1666)&gt;0,$AC1666=0),MAX($AD$7:$AD1665)+1,"")</f>
        <v/>
      </c>
      <c r="AE1666" s="31">
        <f>IF($Y1666="",0,$Y1666)</f>
        <v/>
      </c>
    </row>
    <row r="1667">
      <c r="W1667" s="31">
        <f>IF(OR($B$5="",$C$6="",ROW()&lt;$B$5),"",IF(INDEX($A:$U,ROW(),$C$6)="","",INDEX($A:$U,ROW(),$C$6)))</f>
        <v/>
      </c>
      <c r="X1667" s="32">
        <f>IF($W1667="","",IF(ISNUMBER($W1667),IF($W1667&gt;=10000000,IFERROR(DATE(INT($W1667/10000),MOD(INT($W1667/100),100),MOD($W1667,100)),""),INT($W1667)),IFERROR(DATE(--LEFT(LEFT(SUBSTITUTE(SUBSTITUTE(SUBSTITUTE(SUBSTITUTE(TRIM($W1667),"-",""),".",""),"/","")," ",""),8),4),--MID(LEFT(SUBSTITUTE(SUBSTITUTE(SUBSTITUTE(SUBSTITUTE(TRIM($W1667),"-",""),".",""),"/","")," ",""),8),5,2),--MID(LEFT(SUBSTITUTE(SUBSTITUTE(SUBSTITUTE(SUBSTITUTE(TRIM($W1667),"-",""),".",""),"/","")," ",""),8),7,2)),"")))</f>
        <v/>
      </c>
      <c r="Y1667" s="32">
        <f>IF($X1667="","",INT($X1667))</f>
        <v/>
      </c>
      <c r="Z1667" s="33">
        <f>IF(OR($Y1667="",$D$6=""),"",IF(INDEX($A:$U,ROW(),$D$6)="",0,IF(ISNUMBER(INDEX($A:$U,ROW(),$D$6)),INDEX($A:$U,ROW(),$D$6),IFERROR(--SUBSTITUTE(SUBSTITUTE(TRIM(INDEX($A:$U,ROW(),$D$6)),",",""),"원",""),0))))</f>
        <v/>
      </c>
      <c r="AA1667" s="31">
        <f>IF($Y1667="","",TRIM(INDEX($A:$U,ROW(),$E$6)&amp;IF($F$6="",""," "&amp;INDEX($A:$U,ROW(),$F$6))))</f>
        <v/>
      </c>
      <c r="AB1667" s="31">
        <f>IF($AA1667="","",SUBSTITUTE(SUBSTITUTE(SUBSTITUTE(SUBSTITUTE(SUBSTITUTE(SUBSTITUTE(SUBSTITUTE(SUBSTITUTE(SUBSTITUTE($AA1667," ",""),"　",""),"(주)",""),"（주）",""),"㈜",""),"주식회사",""),"(유)",""),"（유）",""),"유한회사",""))</f>
        <v/>
      </c>
      <c r="AC1667" s="31">
        <f>IF(OR($Y1667="",N($Z1667)&lt;=0,$AB1667=""),0,IFERROR(LOOKUP(2,1/((거래처별!$AC$8:$AC$307&lt;&gt;"")*ISNUMBER(SEARCH(거래처별!$AC$8:$AC$307,$AB1667))),거래처별!$A$8:$A$307),IFERROR(LOOKUP(2,1/((거래처별!$AD$8:$AD$307&lt;&gt;"")*ISNUMBER(SEARCH(거래처별!$AD$8:$AD$307,$AB1667))),거래처별!$A$8:$A$307),IFERROR(LOOKUP(2,1/((거래처별!$AE$8:$AE$307&lt;&gt;"")*ISNUMBER(SEARCH(거래처별!$AE$8:$AE$307,$AB1667))),거래처별!$A$8:$A$307),0))))</f>
        <v/>
      </c>
      <c r="AD1667" s="31">
        <f>IF(AND($Y1667&lt;&gt;"",N($Z1667)&gt;0,$AC1667=0),MAX($AD$7:$AD1666)+1,"")</f>
        <v/>
      </c>
      <c r="AE1667" s="31">
        <f>IF($Y1667="",0,$Y1667)</f>
        <v/>
      </c>
    </row>
    <row r="1668">
      <c r="W1668" s="31">
        <f>IF(OR($B$5="",$C$6="",ROW()&lt;$B$5),"",IF(INDEX($A:$U,ROW(),$C$6)="","",INDEX($A:$U,ROW(),$C$6)))</f>
        <v/>
      </c>
      <c r="X1668" s="32">
        <f>IF($W1668="","",IF(ISNUMBER($W1668),IF($W1668&gt;=10000000,IFERROR(DATE(INT($W1668/10000),MOD(INT($W1668/100),100),MOD($W1668,100)),""),INT($W1668)),IFERROR(DATE(--LEFT(LEFT(SUBSTITUTE(SUBSTITUTE(SUBSTITUTE(SUBSTITUTE(TRIM($W1668),"-",""),".",""),"/","")," ",""),8),4),--MID(LEFT(SUBSTITUTE(SUBSTITUTE(SUBSTITUTE(SUBSTITUTE(TRIM($W1668),"-",""),".",""),"/","")," ",""),8),5,2),--MID(LEFT(SUBSTITUTE(SUBSTITUTE(SUBSTITUTE(SUBSTITUTE(TRIM($W1668),"-",""),".",""),"/","")," ",""),8),7,2)),"")))</f>
        <v/>
      </c>
      <c r="Y1668" s="32">
        <f>IF($X1668="","",INT($X1668))</f>
        <v/>
      </c>
      <c r="Z1668" s="33">
        <f>IF(OR($Y1668="",$D$6=""),"",IF(INDEX($A:$U,ROW(),$D$6)="",0,IF(ISNUMBER(INDEX($A:$U,ROW(),$D$6)),INDEX($A:$U,ROW(),$D$6),IFERROR(--SUBSTITUTE(SUBSTITUTE(TRIM(INDEX($A:$U,ROW(),$D$6)),",",""),"원",""),0))))</f>
        <v/>
      </c>
      <c r="AA1668" s="31">
        <f>IF($Y1668="","",TRIM(INDEX($A:$U,ROW(),$E$6)&amp;IF($F$6="",""," "&amp;INDEX($A:$U,ROW(),$F$6))))</f>
        <v/>
      </c>
      <c r="AB1668" s="31">
        <f>IF($AA1668="","",SUBSTITUTE(SUBSTITUTE(SUBSTITUTE(SUBSTITUTE(SUBSTITUTE(SUBSTITUTE(SUBSTITUTE(SUBSTITUTE(SUBSTITUTE($AA1668," ",""),"　",""),"(주)",""),"（주）",""),"㈜",""),"주식회사",""),"(유)",""),"（유）",""),"유한회사",""))</f>
        <v/>
      </c>
      <c r="AC1668" s="31">
        <f>IF(OR($Y1668="",N($Z1668)&lt;=0,$AB1668=""),0,IFERROR(LOOKUP(2,1/((거래처별!$AC$8:$AC$307&lt;&gt;"")*ISNUMBER(SEARCH(거래처별!$AC$8:$AC$307,$AB1668))),거래처별!$A$8:$A$307),IFERROR(LOOKUP(2,1/((거래처별!$AD$8:$AD$307&lt;&gt;"")*ISNUMBER(SEARCH(거래처별!$AD$8:$AD$307,$AB1668))),거래처별!$A$8:$A$307),IFERROR(LOOKUP(2,1/((거래처별!$AE$8:$AE$307&lt;&gt;"")*ISNUMBER(SEARCH(거래처별!$AE$8:$AE$307,$AB1668))),거래처별!$A$8:$A$307),0))))</f>
        <v/>
      </c>
      <c r="AD1668" s="31">
        <f>IF(AND($Y1668&lt;&gt;"",N($Z1668)&gt;0,$AC1668=0),MAX($AD$7:$AD1667)+1,"")</f>
        <v/>
      </c>
      <c r="AE1668" s="31">
        <f>IF($Y1668="",0,$Y1668)</f>
        <v/>
      </c>
    </row>
    <row r="1669">
      <c r="W1669" s="31">
        <f>IF(OR($B$5="",$C$6="",ROW()&lt;$B$5),"",IF(INDEX($A:$U,ROW(),$C$6)="","",INDEX($A:$U,ROW(),$C$6)))</f>
        <v/>
      </c>
      <c r="X1669" s="32">
        <f>IF($W1669="","",IF(ISNUMBER($W1669),IF($W1669&gt;=10000000,IFERROR(DATE(INT($W1669/10000),MOD(INT($W1669/100),100),MOD($W1669,100)),""),INT($W1669)),IFERROR(DATE(--LEFT(LEFT(SUBSTITUTE(SUBSTITUTE(SUBSTITUTE(SUBSTITUTE(TRIM($W1669),"-",""),".",""),"/","")," ",""),8),4),--MID(LEFT(SUBSTITUTE(SUBSTITUTE(SUBSTITUTE(SUBSTITUTE(TRIM($W1669),"-",""),".",""),"/","")," ",""),8),5,2),--MID(LEFT(SUBSTITUTE(SUBSTITUTE(SUBSTITUTE(SUBSTITUTE(TRIM($W1669),"-",""),".",""),"/","")," ",""),8),7,2)),"")))</f>
        <v/>
      </c>
      <c r="Y1669" s="32">
        <f>IF($X1669="","",INT($X1669))</f>
        <v/>
      </c>
      <c r="Z1669" s="33">
        <f>IF(OR($Y1669="",$D$6=""),"",IF(INDEX($A:$U,ROW(),$D$6)="",0,IF(ISNUMBER(INDEX($A:$U,ROW(),$D$6)),INDEX($A:$U,ROW(),$D$6),IFERROR(--SUBSTITUTE(SUBSTITUTE(TRIM(INDEX($A:$U,ROW(),$D$6)),",",""),"원",""),0))))</f>
        <v/>
      </c>
      <c r="AA1669" s="31">
        <f>IF($Y1669="","",TRIM(INDEX($A:$U,ROW(),$E$6)&amp;IF($F$6="",""," "&amp;INDEX($A:$U,ROW(),$F$6))))</f>
        <v/>
      </c>
      <c r="AB1669" s="31">
        <f>IF($AA1669="","",SUBSTITUTE(SUBSTITUTE(SUBSTITUTE(SUBSTITUTE(SUBSTITUTE(SUBSTITUTE(SUBSTITUTE(SUBSTITUTE(SUBSTITUTE($AA1669," ",""),"　",""),"(주)",""),"（주）",""),"㈜",""),"주식회사",""),"(유)",""),"（유）",""),"유한회사",""))</f>
        <v/>
      </c>
      <c r="AC1669" s="31">
        <f>IF(OR($Y1669="",N($Z1669)&lt;=0,$AB1669=""),0,IFERROR(LOOKUP(2,1/((거래처별!$AC$8:$AC$307&lt;&gt;"")*ISNUMBER(SEARCH(거래처별!$AC$8:$AC$307,$AB1669))),거래처별!$A$8:$A$307),IFERROR(LOOKUP(2,1/((거래처별!$AD$8:$AD$307&lt;&gt;"")*ISNUMBER(SEARCH(거래처별!$AD$8:$AD$307,$AB1669))),거래처별!$A$8:$A$307),IFERROR(LOOKUP(2,1/((거래처별!$AE$8:$AE$307&lt;&gt;"")*ISNUMBER(SEARCH(거래처별!$AE$8:$AE$307,$AB1669))),거래처별!$A$8:$A$307),0))))</f>
        <v/>
      </c>
      <c r="AD1669" s="31">
        <f>IF(AND($Y1669&lt;&gt;"",N($Z1669)&gt;0,$AC1669=0),MAX($AD$7:$AD1668)+1,"")</f>
        <v/>
      </c>
      <c r="AE1669" s="31">
        <f>IF($Y1669="",0,$Y1669)</f>
        <v/>
      </c>
    </row>
    <row r="1670">
      <c r="W1670" s="31">
        <f>IF(OR($B$5="",$C$6="",ROW()&lt;$B$5),"",IF(INDEX($A:$U,ROW(),$C$6)="","",INDEX($A:$U,ROW(),$C$6)))</f>
        <v/>
      </c>
      <c r="X1670" s="32">
        <f>IF($W1670="","",IF(ISNUMBER($W1670),IF($W1670&gt;=10000000,IFERROR(DATE(INT($W1670/10000),MOD(INT($W1670/100),100),MOD($W1670,100)),""),INT($W1670)),IFERROR(DATE(--LEFT(LEFT(SUBSTITUTE(SUBSTITUTE(SUBSTITUTE(SUBSTITUTE(TRIM($W1670),"-",""),".",""),"/","")," ",""),8),4),--MID(LEFT(SUBSTITUTE(SUBSTITUTE(SUBSTITUTE(SUBSTITUTE(TRIM($W1670),"-",""),".",""),"/","")," ",""),8),5,2),--MID(LEFT(SUBSTITUTE(SUBSTITUTE(SUBSTITUTE(SUBSTITUTE(TRIM($W1670),"-",""),".",""),"/","")," ",""),8),7,2)),"")))</f>
        <v/>
      </c>
      <c r="Y1670" s="32">
        <f>IF($X1670="","",INT($X1670))</f>
        <v/>
      </c>
      <c r="Z1670" s="33">
        <f>IF(OR($Y1670="",$D$6=""),"",IF(INDEX($A:$U,ROW(),$D$6)="",0,IF(ISNUMBER(INDEX($A:$U,ROW(),$D$6)),INDEX($A:$U,ROW(),$D$6),IFERROR(--SUBSTITUTE(SUBSTITUTE(TRIM(INDEX($A:$U,ROW(),$D$6)),",",""),"원",""),0))))</f>
        <v/>
      </c>
      <c r="AA1670" s="31">
        <f>IF($Y1670="","",TRIM(INDEX($A:$U,ROW(),$E$6)&amp;IF($F$6="",""," "&amp;INDEX($A:$U,ROW(),$F$6))))</f>
        <v/>
      </c>
      <c r="AB1670" s="31">
        <f>IF($AA1670="","",SUBSTITUTE(SUBSTITUTE(SUBSTITUTE(SUBSTITUTE(SUBSTITUTE(SUBSTITUTE(SUBSTITUTE(SUBSTITUTE(SUBSTITUTE($AA1670," ",""),"　",""),"(주)",""),"（주）",""),"㈜",""),"주식회사",""),"(유)",""),"（유）",""),"유한회사",""))</f>
        <v/>
      </c>
      <c r="AC1670" s="31">
        <f>IF(OR($Y1670="",N($Z1670)&lt;=0,$AB1670=""),0,IFERROR(LOOKUP(2,1/((거래처별!$AC$8:$AC$307&lt;&gt;"")*ISNUMBER(SEARCH(거래처별!$AC$8:$AC$307,$AB1670))),거래처별!$A$8:$A$307),IFERROR(LOOKUP(2,1/((거래처별!$AD$8:$AD$307&lt;&gt;"")*ISNUMBER(SEARCH(거래처별!$AD$8:$AD$307,$AB1670))),거래처별!$A$8:$A$307),IFERROR(LOOKUP(2,1/((거래처별!$AE$8:$AE$307&lt;&gt;"")*ISNUMBER(SEARCH(거래처별!$AE$8:$AE$307,$AB1670))),거래처별!$A$8:$A$307),0))))</f>
        <v/>
      </c>
      <c r="AD1670" s="31">
        <f>IF(AND($Y1670&lt;&gt;"",N($Z1670)&gt;0,$AC1670=0),MAX($AD$7:$AD1669)+1,"")</f>
        <v/>
      </c>
      <c r="AE1670" s="31">
        <f>IF($Y1670="",0,$Y1670)</f>
        <v/>
      </c>
    </row>
    <row r="1671">
      <c r="W1671" s="31">
        <f>IF(OR($B$5="",$C$6="",ROW()&lt;$B$5),"",IF(INDEX($A:$U,ROW(),$C$6)="","",INDEX($A:$U,ROW(),$C$6)))</f>
        <v/>
      </c>
      <c r="X1671" s="32">
        <f>IF($W1671="","",IF(ISNUMBER($W1671),IF($W1671&gt;=10000000,IFERROR(DATE(INT($W1671/10000),MOD(INT($W1671/100),100),MOD($W1671,100)),""),INT($W1671)),IFERROR(DATE(--LEFT(LEFT(SUBSTITUTE(SUBSTITUTE(SUBSTITUTE(SUBSTITUTE(TRIM($W1671),"-",""),".",""),"/","")," ",""),8),4),--MID(LEFT(SUBSTITUTE(SUBSTITUTE(SUBSTITUTE(SUBSTITUTE(TRIM($W1671),"-",""),".",""),"/","")," ",""),8),5,2),--MID(LEFT(SUBSTITUTE(SUBSTITUTE(SUBSTITUTE(SUBSTITUTE(TRIM($W1671),"-",""),".",""),"/","")," ",""),8),7,2)),"")))</f>
        <v/>
      </c>
      <c r="Y1671" s="32">
        <f>IF($X1671="","",INT($X1671))</f>
        <v/>
      </c>
      <c r="Z1671" s="33">
        <f>IF(OR($Y1671="",$D$6=""),"",IF(INDEX($A:$U,ROW(),$D$6)="",0,IF(ISNUMBER(INDEX($A:$U,ROW(),$D$6)),INDEX($A:$U,ROW(),$D$6),IFERROR(--SUBSTITUTE(SUBSTITUTE(TRIM(INDEX($A:$U,ROW(),$D$6)),",",""),"원",""),0))))</f>
        <v/>
      </c>
      <c r="AA1671" s="31">
        <f>IF($Y1671="","",TRIM(INDEX($A:$U,ROW(),$E$6)&amp;IF($F$6="",""," "&amp;INDEX($A:$U,ROW(),$F$6))))</f>
        <v/>
      </c>
      <c r="AB1671" s="31">
        <f>IF($AA1671="","",SUBSTITUTE(SUBSTITUTE(SUBSTITUTE(SUBSTITUTE(SUBSTITUTE(SUBSTITUTE(SUBSTITUTE(SUBSTITUTE(SUBSTITUTE($AA1671," ",""),"　",""),"(주)",""),"（주）",""),"㈜",""),"주식회사",""),"(유)",""),"（유）",""),"유한회사",""))</f>
        <v/>
      </c>
      <c r="AC1671" s="31">
        <f>IF(OR($Y1671="",N($Z1671)&lt;=0,$AB1671=""),0,IFERROR(LOOKUP(2,1/((거래처별!$AC$8:$AC$307&lt;&gt;"")*ISNUMBER(SEARCH(거래처별!$AC$8:$AC$307,$AB1671))),거래처별!$A$8:$A$307),IFERROR(LOOKUP(2,1/((거래처별!$AD$8:$AD$307&lt;&gt;"")*ISNUMBER(SEARCH(거래처별!$AD$8:$AD$307,$AB1671))),거래처별!$A$8:$A$307),IFERROR(LOOKUP(2,1/((거래처별!$AE$8:$AE$307&lt;&gt;"")*ISNUMBER(SEARCH(거래처별!$AE$8:$AE$307,$AB1671))),거래처별!$A$8:$A$307),0))))</f>
        <v/>
      </c>
      <c r="AD1671" s="31">
        <f>IF(AND($Y1671&lt;&gt;"",N($Z1671)&gt;0,$AC1671=0),MAX($AD$7:$AD1670)+1,"")</f>
        <v/>
      </c>
      <c r="AE1671" s="31">
        <f>IF($Y1671="",0,$Y1671)</f>
        <v/>
      </c>
    </row>
    <row r="1672">
      <c r="W1672" s="31">
        <f>IF(OR($B$5="",$C$6="",ROW()&lt;$B$5),"",IF(INDEX($A:$U,ROW(),$C$6)="","",INDEX($A:$U,ROW(),$C$6)))</f>
        <v/>
      </c>
      <c r="X1672" s="32">
        <f>IF($W1672="","",IF(ISNUMBER($W1672),IF($W1672&gt;=10000000,IFERROR(DATE(INT($W1672/10000),MOD(INT($W1672/100),100),MOD($W1672,100)),""),INT($W1672)),IFERROR(DATE(--LEFT(LEFT(SUBSTITUTE(SUBSTITUTE(SUBSTITUTE(SUBSTITUTE(TRIM($W1672),"-",""),".",""),"/","")," ",""),8),4),--MID(LEFT(SUBSTITUTE(SUBSTITUTE(SUBSTITUTE(SUBSTITUTE(TRIM($W1672),"-",""),".",""),"/","")," ",""),8),5,2),--MID(LEFT(SUBSTITUTE(SUBSTITUTE(SUBSTITUTE(SUBSTITUTE(TRIM($W1672),"-",""),".",""),"/","")," ",""),8),7,2)),"")))</f>
        <v/>
      </c>
      <c r="Y1672" s="32">
        <f>IF($X1672="","",INT($X1672))</f>
        <v/>
      </c>
      <c r="Z1672" s="33">
        <f>IF(OR($Y1672="",$D$6=""),"",IF(INDEX($A:$U,ROW(),$D$6)="",0,IF(ISNUMBER(INDEX($A:$U,ROW(),$D$6)),INDEX($A:$U,ROW(),$D$6),IFERROR(--SUBSTITUTE(SUBSTITUTE(TRIM(INDEX($A:$U,ROW(),$D$6)),",",""),"원",""),0))))</f>
        <v/>
      </c>
      <c r="AA1672" s="31">
        <f>IF($Y1672="","",TRIM(INDEX($A:$U,ROW(),$E$6)&amp;IF($F$6="",""," "&amp;INDEX($A:$U,ROW(),$F$6))))</f>
        <v/>
      </c>
      <c r="AB1672" s="31">
        <f>IF($AA1672="","",SUBSTITUTE(SUBSTITUTE(SUBSTITUTE(SUBSTITUTE(SUBSTITUTE(SUBSTITUTE(SUBSTITUTE(SUBSTITUTE(SUBSTITUTE($AA1672," ",""),"　",""),"(주)",""),"（주）",""),"㈜",""),"주식회사",""),"(유)",""),"（유）",""),"유한회사",""))</f>
        <v/>
      </c>
      <c r="AC1672" s="31">
        <f>IF(OR($Y1672="",N($Z1672)&lt;=0,$AB1672=""),0,IFERROR(LOOKUP(2,1/((거래처별!$AC$8:$AC$307&lt;&gt;"")*ISNUMBER(SEARCH(거래처별!$AC$8:$AC$307,$AB1672))),거래처별!$A$8:$A$307),IFERROR(LOOKUP(2,1/((거래처별!$AD$8:$AD$307&lt;&gt;"")*ISNUMBER(SEARCH(거래처별!$AD$8:$AD$307,$AB1672))),거래처별!$A$8:$A$307),IFERROR(LOOKUP(2,1/((거래처별!$AE$8:$AE$307&lt;&gt;"")*ISNUMBER(SEARCH(거래처별!$AE$8:$AE$307,$AB1672))),거래처별!$A$8:$A$307),0))))</f>
        <v/>
      </c>
      <c r="AD1672" s="31">
        <f>IF(AND($Y1672&lt;&gt;"",N($Z1672)&gt;0,$AC1672=0),MAX($AD$7:$AD1671)+1,"")</f>
        <v/>
      </c>
      <c r="AE1672" s="31">
        <f>IF($Y1672="",0,$Y1672)</f>
        <v/>
      </c>
    </row>
    <row r="1673">
      <c r="W1673" s="31">
        <f>IF(OR($B$5="",$C$6="",ROW()&lt;$B$5),"",IF(INDEX($A:$U,ROW(),$C$6)="","",INDEX($A:$U,ROW(),$C$6)))</f>
        <v/>
      </c>
      <c r="X1673" s="32">
        <f>IF($W1673="","",IF(ISNUMBER($W1673),IF($W1673&gt;=10000000,IFERROR(DATE(INT($W1673/10000),MOD(INT($W1673/100),100),MOD($W1673,100)),""),INT($W1673)),IFERROR(DATE(--LEFT(LEFT(SUBSTITUTE(SUBSTITUTE(SUBSTITUTE(SUBSTITUTE(TRIM($W1673),"-",""),".",""),"/","")," ",""),8),4),--MID(LEFT(SUBSTITUTE(SUBSTITUTE(SUBSTITUTE(SUBSTITUTE(TRIM($W1673),"-",""),".",""),"/","")," ",""),8),5,2),--MID(LEFT(SUBSTITUTE(SUBSTITUTE(SUBSTITUTE(SUBSTITUTE(TRIM($W1673),"-",""),".",""),"/","")," ",""),8),7,2)),"")))</f>
        <v/>
      </c>
      <c r="Y1673" s="32">
        <f>IF($X1673="","",INT($X1673))</f>
        <v/>
      </c>
      <c r="Z1673" s="33">
        <f>IF(OR($Y1673="",$D$6=""),"",IF(INDEX($A:$U,ROW(),$D$6)="",0,IF(ISNUMBER(INDEX($A:$U,ROW(),$D$6)),INDEX($A:$U,ROW(),$D$6),IFERROR(--SUBSTITUTE(SUBSTITUTE(TRIM(INDEX($A:$U,ROW(),$D$6)),",",""),"원",""),0))))</f>
        <v/>
      </c>
      <c r="AA1673" s="31">
        <f>IF($Y1673="","",TRIM(INDEX($A:$U,ROW(),$E$6)&amp;IF($F$6="",""," "&amp;INDEX($A:$U,ROW(),$F$6))))</f>
        <v/>
      </c>
      <c r="AB1673" s="31">
        <f>IF($AA1673="","",SUBSTITUTE(SUBSTITUTE(SUBSTITUTE(SUBSTITUTE(SUBSTITUTE(SUBSTITUTE(SUBSTITUTE(SUBSTITUTE(SUBSTITUTE($AA1673," ",""),"　",""),"(주)",""),"（주）",""),"㈜",""),"주식회사",""),"(유)",""),"（유）",""),"유한회사",""))</f>
        <v/>
      </c>
      <c r="AC1673" s="31">
        <f>IF(OR($Y1673="",N($Z1673)&lt;=0,$AB1673=""),0,IFERROR(LOOKUP(2,1/((거래처별!$AC$8:$AC$307&lt;&gt;"")*ISNUMBER(SEARCH(거래처별!$AC$8:$AC$307,$AB1673))),거래처별!$A$8:$A$307),IFERROR(LOOKUP(2,1/((거래처별!$AD$8:$AD$307&lt;&gt;"")*ISNUMBER(SEARCH(거래처별!$AD$8:$AD$307,$AB1673))),거래처별!$A$8:$A$307),IFERROR(LOOKUP(2,1/((거래처별!$AE$8:$AE$307&lt;&gt;"")*ISNUMBER(SEARCH(거래처별!$AE$8:$AE$307,$AB1673))),거래처별!$A$8:$A$307),0))))</f>
        <v/>
      </c>
      <c r="AD1673" s="31">
        <f>IF(AND($Y1673&lt;&gt;"",N($Z1673)&gt;0,$AC1673=0),MAX($AD$7:$AD1672)+1,"")</f>
        <v/>
      </c>
      <c r="AE1673" s="31">
        <f>IF($Y1673="",0,$Y1673)</f>
        <v/>
      </c>
    </row>
    <row r="1674">
      <c r="W1674" s="31">
        <f>IF(OR($B$5="",$C$6="",ROW()&lt;$B$5),"",IF(INDEX($A:$U,ROW(),$C$6)="","",INDEX($A:$U,ROW(),$C$6)))</f>
        <v/>
      </c>
      <c r="X1674" s="32">
        <f>IF($W1674="","",IF(ISNUMBER($W1674),IF($W1674&gt;=10000000,IFERROR(DATE(INT($W1674/10000),MOD(INT($W1674/100),100),MOD($W1674,100)),""),INT($W1674)),IFERROR(DATE(--LEFT(LEFT(SUBSTITUTE(SUBSTITUTE(SUBSTITUTE(SUBSTITUTE(TRIM($W1674),"-",""),".",""),"/","")," ",""),8),4),--MID(LEFT(SUBSTITUTE(SUBSTITUTE(SUBSTITUTE(SUBSTITUTE(TRIM($W1674),"-",""),".",""),"/","")," ",""),8),5,2),--MID(LEFT(SUBSTITUTE(SUBSTITUTE(SUBSTITUTE(SUBSTITUTE(TRIM($W1674),"-",""),".",""),"/","")," ",""),8),7,2)),"")))</f>
        <v/>
      </c>
      <c r="Y1674" s="32">
        <f>IF($X1674="","",INT($X1674))</f>
        <v/>
      </c>
      <c r="Z1674" s="33">
        <f>IF(OR($Y1674="",$D$6=""),"",IF(INDEX($A:$U,ROW(),$D$6)="",0,IF(ISNUMBER(INDEX($A:$U,ROW(),$D$6)),INDEX($A:$U,ROW(),$D$6),IFERROR(--SUBSTITUTE(SUBSTITUTE(TRIM(INDEX($A:$U,ROW(),$D$6)),",",""),"원",""),0))))</f>
        <v/>
      </c>
      <c r="AA1674" s="31">
        <f>IF($Y1674="","",TRIM(INDEX($A:$U,ROW(),$E$6)&amp;IF($F$6="",""," "&amp;INDEX($A:$U,ROW(),$F$6))))</f>
        <v/>
      </c>
      <c r="AB1674" s="31">
        <f>IF($AA1674="","",SUBSTITUTE(SUBSTITUTE(SUBSTITUTE(SUBSTITUTE(SUBSTITUTE(SUBSTITUTE(SUBSTITUTE(SUBSTITUTE(SUBSTITUTE($AA1674," ",""),"　",""),"(주)",""),"（주）",""),"㈜",""),"주식회사",""),"(유)",""),"（유）",""),"유한회사",""))</f>
        <v/>
      </c>
      <c r="AC1674" s="31">
        <f>IF(OR($Y1674="",N($Z1674)&lt;=0,$AB1674=""),0,IFERROR(LOOKUP(2,1/((거래처별!$AC$8:$AC$307&lt;&gt;"")*ISNUMBER(SEARCH(거래처별!$AC$8:$AC$307,$AB1674))),거래처별!$A$8:$A$307),IFERROR(LOOKUP(2,1/((거래처별!$AD$8:$AD$307&lt;&gt;"")*ISNUMBER(SEARCH(거래처별!$AD$8:$AD$307,$AB1674))),거래처별!$A$8:$A$307),IFERROR(LOOKUP(2,1/((거래처별!$AE$8:$AE$307&lt;&gt;"")*ISNUMBER(SEARCH(거래처별!$AE$8:$AE$307,$AB1674))),거래처별!$A$8:$A$307),0))))</f>
        <v/>
      </c>
      <c r="AD1674" s="31">
        <f>IF(AND($Y1674&lt;&gt;"",N($Z1674)&gt;0,$AC1674=0),MAX($AD$7:$AD1673)+1,"")</f>
        <v/>
      </c>
      <c r="AE1674" s="31">
        <f>IF($Y1674="",0,$Y1674)</f>
        <v/>
      </c>
    </row>
    <row r="1675">
      <c r="W1675" s="31">
        <f>IF(OR($B$5="",$C$6="",ROW()&lt;$B$5),"",IF(INDEX($A:$U,ROW(),$C$6)="","",INDEX($A:$U,ROW(),$C$6)))</f>
        <v/>
      </c>
      <c r="X1675" s="32">
        <f>IF($W1675="","",IF(ISNUMBER($W1675),IF($W1675&gt;=10000000,IFERROR(DATE(INT($W1675/10000),MOD(INT($W1675/100),100),MOD($W1675,100)),""),INT($W1675)),IFERROR(DATE(--LEFT(LEFT(SUBSTITUTE(SUBSTITUTE(SUBSTITUTE(SUBSTITUTE(TRIM($W1675),"-",""),".",""),"/","")," ",""),8),4),--MID(LEFT(SUBSTITUTE(SUBSTITUTE(SUBSTITUTE(SUBSTITUTE(TRIM($W1675),"-",""),".",""),"/","")," ",""),8),5,2),--MID(LEFT(SUBSTITUTE(SUBSTITUTE(SUBSTITUTE(SUBSTITUTE(TRIM($W1675),"-",""),".",""),"/","")," ",""),8),7,2)),"")))</f>
        <v/>
      </c>
      <c r="Y1675" s="32">
        <f>IF($X1675="","",INT($X1675))</f>
        <v/>
      </c>
      <c r="Z1675" s="33">
        <f>IF(OR($Y1675="",$D$6=""),"",IF(INDEX($A:$U,ROW(),$D$6)="",0,IF(ISNUMBER(INDEX($A:$U,ROW(),$D$6)),INDEX($A:$U,ROW(),$D$6),IFERROR(--SUBSTITUTE(SUBSTITUTE(TRIM(INDEX($A:$U,ROW(),$D$6)),",",""),"원",""),0))))</f>
        <v/>
      </c>
      <c r="AA1675" s="31">
        <f>IF($Y1675="","",TRIM(INDEX($A:$U,ROW(),$E$6)&amp;IF($F$6="",""," "&amp;INDEX($A:$U,ROW(),$F$6))))</f>
        <v/>
      </c>
      <c r="AB1675" s="31">
        <f>IF($AA1675="","",SUBSTITUTE(SUBSTITUTE(SUBSTITUTE(SUBSTITUTE(SUBSTITUTE(SUBSTITUTE(SUBSTITUTE(SUBSTITUTE(SUBSTITUTE($AA1675," ",""),"　",""),"(주)",""),"（주）",""),"㈜",""),"주식회사",""),"(유)",""),"（유）",""),"유한회사",""))</f>
        <v/>
      </c>
      <c r="AC1675" s="31">
        <f>IF(OR($Y1675="",N($Z1675)&lt;=0,$AB1675=""),0,IFERROR(LOOKUP(2,1/((거래처별!$AC$8:$AC$307&lt;&gt;"")*ISNUMBER(SEARCH(거래처별!$AC$8:$AC$307,$AB1675))),거래처별!$A$8:$A$307),IFERROR(LOOKUP(2,1/((거래처별!$AD$8:$AD$307&lt;&gt;"")*ISNUMBER(SEARCH(거래처별!$AD$8:$AD$307,$AB1675))),거래처별!$A$8:$A$307),IFERROR(LOOKUP(2,1/((거래처별!$AE$8:$AE$307&lt;&gt;"")*ISNUMBER(SEARCH(거래처별!$AE$8:$AE$307,$AB1675))),거래처별!$A$8:$A$307),0))))</f>
        <v/>
      </c>
      <c r="AD1675" s="31">
        <f>IF(AND($Y1675&lt;&gt;"",N($Z1675)&gt;0,$AC1675=0),MAX($AD$7:$AD1674)+1,"")</f>
        <v/>
      </c>
      <c r="AE1675" s="31">
        <f>IF($Y1675="",0,$Y1675)</f>
        <v/>
      </c>
    </row>
    <row r="1676">
      <c r="W1676" s="31">
        <f>IF(OR($B$5="",$C$6="",ROW()&lt;$B$5),"",IF(INDEX($A:$U,ROW(),$C$6)="","",INDEX($A:$U,ROW(),$C$6)))</f>
        <v/>
      </c>
      <c r="X1676" s="32">
        <f>IF($W1676="","",IF(ISNUMBER($W1676),IF($W1676&gt;=10000000,IFERROR(DATE(INT($W1676/10000),MOD(INT($W1676/100),100),MOD($W1676,100)),""),INT($W1676)),IFERROR(DATE(--LEFT(LEFT(SUBSTITUTE(SUBSTITUTE(SUBSTITUTE(SUBSTITUTE(TRIM($W1676),"-",""),".",""),"/","")," ",""),8),4),--MID(LEFT(SUBSTITUTE(SUBSTITUTE(SUBSTITUTE(SUBSTITUTE(TRIM($W1676),"-",""),".",""),"/","")," ",""),8),5,2),--MID(LEFT(SUBSTITUTE(SUBSTITUTE(SUBSTITUTE(SUBSTITUTE(TRIM($W1676),"-",""),".",""),"/","")," ",""),8),7,2)),"")))</f>
        <v/>
      </c>
      <c r="Y1676" s="32">
        <f>IF($X1676="","",INT($X1676))</f>
        <v/>
      </c>
      <c r="Z1676" s="33">
        <f>IF(OR($Y1676="",$D$6=""),"",IF(INDEX($A:$U,ROW(),$D$6)="",0,IF(ISNUMBER(INDEX($A:$U,ROW(),$D$6)),INDEX($A:$U,ROW(),$D$6),IFERROR(--SUBSTITUTE(SUBSTITUTE(TRIM(INDEX($A:$U,ROW(),$D$6)),",",""),"원",""),0))))</f>
        <v/>
      </c>
      <c r="AA1676" s="31">
        <f>IF($Y1676="","",TRIM(INDEX($A:$U,ROW(),$E$6)&amp;IF($F$6="",""," "&amp;INDEX($A:$U,ROW(),$F$6))))</f>
        <v/>
      </c>
      <c r="AB1676" s="31">
        <f>IF($AA1676="","",SUBSTITUTE(SUBSTITUTE(SUBSTITUTE(SUBSTITUTE(SUBSTITUTE(SUBSTITUTE(SUBSTITUTE(SUBSTITUTE(SUBSTITUTE($AA1676," ",""),"　",""),"(주)",""),"（주）",""),"㈜",""),"주식회사",""),"(유)",""),"（유）",""),"유한회사",""))</f>
        <v/>
      </c>
      <c r="AC1676" s="31">
        <f>IF(OR($Y1676="",N($Z1676)&lt;=0,$AB1676=""),0,IFERROR(LOOKUP(2,1/((거래처별!$AC$8:$AC$307&lt;&gt;"")*ISNUMBER(SEARCH(거래처별!$AC$8:$AC$307,$AB1676))),거래처별!$A$8:$A$307),IFERROR(LOOKUP(2,1/((거래처별!$AD$8:$AD$307&lt;&gt;"")*ISNUMBER(SEARCH(거래처별!$AD$8:$AD$307,$AB1676))),거래처별!$A$8:$A$307),IFERROR(LOOKUP(2,1/((거래처별!$AE$8:$AE$307&lt;&gt;"")*ISNUMBER(SEARCH(거래처별!$AE$8:$AE$307,$AB1676))),거래처별!$A$8:$A$307),0))))</f>
        <v/>
      </c>
      <c r="AD1676" s="31">
        <f>IF(AND($Y1676&lt;&gt;"",N($Z1676)&gt;0,$AC1676=0),MAX($AD$7:$AD1675)+1,"")</f>
        <v/>
      </c>
      <c r="AE1676" s="31">
        <f>IF($Y1676="",0,$Y1676)</f>
        <v/>
      </c>
    </row>
    <row r="1677">
      <c r="W1677" s="31">
        <f>IF(OR($B$5="",$C$6="",ROW()&lt;$B$5),"",IF(INDEX($A:$U,ROW(),$C$6)="","",INDEX($A:$U,ROW(),$C$6)))</f>
        <v/>
      </c>
      <c r="X1677" s="32">
        <f>IF($W1677="","",IF(ISNUMBER($W1677),IF($W1677&gt;=10000000,IFERROR(DATE(INT($W1677/10000),MOD(INT($W1677/100),100),MOD($W1677,100)),""),INT($W1677)),IFERROR(DATE(--LEFT(LEFT(SUBSTITUTE(SUBSTITUTE(SUBSTITUTE(SUBSTITUTE(TRIM($W1677),"-",""),".",""),"/","")," ",""),8),4),--MID(LEFT(SUBSTITUTE(SUBSTITUTE(SUBSTITUTE(SUBSTITUTE(TRIM($W1677),"-",""),".",""),"/","")," ",""),8),5,2),--MID(LEFT(SUBSTITUTE(SUBSTITUTE(SUBSTITUTE(SUBSTITUTE(TRIM($W1677),"-",""),".",""),"/","")," ",""),8),7,2)),"")))</f>
        <v/>
      </c>
      <c r="Y1677" s="32">
        <f>IF($X1677="","",INT($X1677))</f>
        <v/>
      </c>
      <c r="Z1677" s="33">
        <f>IF(OR($Y1677="",$D$6=""),"",IF(INDEX($A:$U,ROW(),$D$6)="",0,IF(ISNUMBER(INDEX($A:$U,ROW(),$D$6)),INDEX($A:$U,ROW(),$D$6),IFERROR(--SUBSTITUTE(SUBSTITUTE(TRIM(INDEX($A:$U,ROW(),$D$6)),",",""),"원",""),0))))</f>
        <v/>
      </c>
      <c r="AA1677" s="31">
        <f>IF($Y1677="","",TRIM(INDEX($A:$U,ROW(),$E$6)&amp;IF($F$6="",""," "&amp;INDEX($A:$U,ROW(),$F$6))))</f>
        <v/>
      </c>
      <c r="AB1677" s="31">
        <f>IF($AA1677="","",SUBSTITUTE(SUBSTITUTE(SUBSTITUTE(SUBSTITUTE(SUBSTITUTE(SUBSTITUTE(SUBSTITUTE(SUBSTITUTE(SUBSTITUTE($AA1677," ",""),"　",""),"(주)",""),"（주）",""),"㈜",""),"주식회사",""),"(유)",""),"（유）",""),"유한회사",""))</f>
        <v/>
      </c>
      <c r="AC1677" s="31">
        <f>IF(OR($Y1677="",N($Z1677)&lt;=0,$AB1677=""),0,IFERROR(LOOKUP(2,1/((거래처별!$AC$8:$AC$307&lt;&gt;"")*ISNUMBER(SEARCH(거래처별!$AC$8:$AC$307,$AB1677))),거래처별!$A$8:$A$307),IFERROR(LOOKUP(2,1/((거래처별!$AD$8:$AD$307&lt;&gt;"")*ISNUMBER(SEARCH(거래처별!$AD$8:$AD$307,$AB1677))),거래처별!$A$8:$A$307),IFERROR(LOOKUP(2,1/((거래처별!$AE$8:$AE$307&lt;&gt;"")*ISNUMBER(SEARCH(거래처별!$AE$8:$AE$307,$AB1677))),거래처별!$A$8:$A$307),0))))</f>
        <v/>
      </c>
      <c r="AD1677" s="31">
        <f>IF(AND($Y1677&lt;&gt;"",N($Z1677)&gt;0,$AC1677=0),MAX($AD$7:$AD1676)+1,"")</f>
        <v/>
      </c>
      <c r="AE1677" s="31">
        <f>IF($Y1677="",0,$Y1677)</f>
        <v/>
      </c>
    </row>
    <row r="1678">
      <c r="W1678" s="31">
        <f>IF(OR($B$5="",$C$6="",ROW()&lt;$B$5),"",IF(INDEX($A:$U,ROW(),$C$6)="","",INDEX($A:$U,ROW(),$C$6)))</f>
        <v/>
      </c>
      <c r="X1678" s="32">
        <f>IF($W1678="","",IF(ISNUMBER($W1678),IF($W1678&gt;=10000000,IFERROR(DATE(INT($W1678/10000),MOD(INT($W1678/100),100),MOD($W1678,100)),""),INT($W1678)),IFERROR(DATE(--LEFT(LEFT(SUBSTITUTE(SUBSTITUTE(SUBSTITUTE(SUBSTITUTE(TRIM($W1678),"-",""),".",""),"/","")," ",""),8),4),--MID(LEFT(SUBSTITUTE(SUBSTITUTE(SUBSTITUTE(SUBSTITUTE(TRIM($W1678),"-",""),".",""),"/","")," ",""),8),5,2),--MID(LEFT(SUBSTITUTE(SUBSTITUTE(SUBSTITUTE(SUBSTITUTE(TRIM($W1678),"-",""),".",""),"/","")," ",""),8),7,2)),"")))</f>
        <v/>
      </c>
      <c r="Y1678" s="32">
        <f>IF($X1678="","",INT($X1678))</f>
        <v/>
      </c>
      <c r="Z1678" s="33">
        <f>IF(OR($Y1678="",$D$6=""),"",IF(INDEX($A:$U,ROW(),$D$6)="",0,IF(ISNUMBER(INDEX($A:$U,ROW(),$D$6)),INDEX($A:$U,ROW(),$D$6),IFERROR(--SUBSTITUTE(SUBSTITUTE(TRIM(INDEX($A:$U,ROW(),$D$6)),",",""),"원",""),0))))</f>
        <v/>
      </c>
      <c r="AA1678" s="31">
        <f>IF($Y1678="","",TRIM(INDEX($A:$U,ROW(),$E$6)&amp;IF($F$6="",""," "&amp;INDEX($A:$U,ROW(),$F$6))))</f>
        <v/>
      </c>
      <c r="AB1678" s="31">
        <f>IF($AA1678="","",SUBSTITUTE(SUBSTITUTE(SUBSTITUTE(SUBSTITUTE(SUBSTITUTE(SUBSTITUTE(SUBSTITUTE(SUBSTITUTE(SUBSTITUTE($AA1678," ",""),"　",""),"(주)",""),"（주）",""),"㈜",""),"주식회사",""),"(유)",""),"（유）",""),"유한회사",""))</f>
        <v/>
      </c>
      <c r="AC1678" s="31">
        <f>IF(OR($Y1678="",N($Z1678)&lt;=0,$AB1678=""),0,IFERROR(LOOKUP(2,1/((거래처별!$AC$8:$AC$307&lt;&gt;"")*ISNUMBER(SEARCH(거래처별!$AC$8:$AC$307,$AB1678))),거래처별!$A$8:$A$307),IFERROR(LOOKUP(2,1/((거래처별!$AD$8:$AD$307&lt;&gt;"")*ISNUMBER(SEARCH(거래처별!$AD$8:$AD$307,$AB1678))),거래처별!$A$8:$A$307),IFERROR(LOOKUP(2,1/((거래처별!$AE$8:$AE$307&lt;&gt;"")*ISNUMBER(SEARCH(거래처별!$AE$8:$AE$307,$AB1678))),거래처별!$A$8:$A$307),0))))</f>
        <v/>
      </c>
      <c r="AD1678" s="31">
        <f>IF(AND($Y1678&lt;&gt;"",N($Z1678)&gt;0,$AC1678=0),MAX($AD$7:$AD1677)+1,"")</f>
        <v/>
      </c>
      <c r="AE1678" s="31">
        <f>IF($Y1678="",0,$Y1678)</f>
        <v/>
      </c>
    </row>
    <row r="1679">
      <c r="W1679" s="31">
        <f>IF(OR($B$5="",$C$6="",ROW()&lt;$B$5),"",IF(INDEX($A:$U,ROW(),$C$6)="","",INDEX($A:$U,ROW(),$C$6)))</f>
        <v/>
      </c>
      <c r="X1679" s="32">
        <f>IF($W1679="","",IF(ISNUMBER($W1679),IF($W1679&gt;=10000000,IFERROR(DATE(INT($W1679/10000),MOD(INT($W1679/100),100),MOD($W1679,100)),""),INT($W1679)),IFERROR(DATE(--LEFT(LEFT(SUBSTITUTE(SUBSTITUTE(SUBSTITUTE(SUBSTITUTE(TRIM($W1679),"-",""),".",""),"/","")," ",""),8),4),--MID(LEFT(SUBSTITUTE(SUBSTITUTE(SUBSTITUTE(SUBSTITUTE(TRIM($W1679),"-",""),".",""),"/","")," ",""),8),5,2),--MID(LEFT(SUBSTITUTE(SUBSTITUTE(SUBSTITUTE(SUBSTITUTE(TRIM($W1679),"-",""),".",""),"/","")," ",""),8),7,2)),"")))</f>
        <v/>
      </c>
      <c r="Y1679" s="32">
        <f>IF($X1679="","",INT($X1679))</f>
        <v/>
      </c>
      <c r="Z1679" s="33">
        <f>IF(OR($Y1679="",$D$6=""),"",IF(INDEX($A:$U,ROW(),$D$6)="",0,IF(ISNUMBER(INDEX($A:$U,ROW(),$D$6)),INDEX($A:$U,ROW(),$D$6),IFERROR(--SUBSTITUTE(SUBSTITUTE(TRIM(INDEX($A:$U,ROW(),$D$6)),",",""),"원",""),0))))</f>
        <v/>
      </c>
      <c r="AA1679" s="31">
        <f>IF($Y1679="","",TRIM(INDEX($A:$U,ROW(),$E$6)&amp;IF($F$6="",""," "&amp;INDEX($A:$U,ROW(),$F$6))))</f>
        <v/>
      </c>
      <c r="AB1679" s="31">
        <f>IF($AA1679="","",SUBSTITUTE(SUBSTITUTE(SUBSTITUTE(SUBSTITUTE(SUBSTITUTE(SUBSTITUTE(SUBSTITUTE(SUBSTITUTE(SUBSTITUTE($AA1679," ",""),"　",""),"(주)",""),"（주）",""),"㈜",""),"주식회사",""),"(유)",""),"（유）",""),"유한회사",""))</f>
        <v/>
      </c>
      <c r="AC1679" s="31">
        <f>IF(OR($Y1679="",N($Z1679)&lt;=0,$AB1679=""),0,IFERROR(LOOKUP(2,1/((거래처별!$AC$8:$AC$307&lt;&gt;"")*ISNUMBER(SEARCH(거래처별!$AC$8:$AC$307,$AB1679))),거래처별!$A$8:$A$307),IFERROR(LOOKUP(2,1/((거래처별!$AD$8:$AD$307&lt;&gt;"")*ISNUMBER(SEARCH(거래처별!$AD$8:$AD$307,$AB1679))),거래처별!$A$8:$A$307),IFERROR(LOOKUP(2,1/((거래처별!$AE$8:$AE$307&lt;&gt;"")*ISNUMBER(SEARCH(거래처별!$AE$8:$AE$307,$AB1679))),거래처별!$A$8:$A$307),0))))</f>
        <v/>
      </c>
      <c r="AD1679" s="31">
        <f>IF(AND($Y1679&lt;&gt;"",N($Z1679)&gt;0,$AC1679=0),MAX($AD$7:$AD1678)+1,"")</f>
        <v/>
      </c>
      <c r="AE1679" s="31">
        <f>IF($Y1679="",0,$Y1679)</f>
        <v/>
      </c>
    </row>
    <row r="1680">
      <c r="W1680" s="31">
        <f>IF(OR($B$5="",$C$6="",ROW()&lt;$B$5),"",IF(INDEX($A:$U,ROW(),$C$6)="","",INDEX($A:$U,ROW(),$C$6)))</f>
        <v/>
      </c>
      <c r="X1680" s="32">
        <f>IF($W1680="","",IF(ISNUMBER($W1680),IF($W1680&gt;=10000000,IFERROR(DATE(INT($W1680/10000),MOD(INT($W1680/100),100),MOD($W1680,100)),""),INT($W1680)),IFERROR(DATE(--LEFT(LEFT(SUBSTITUTE(SUBSTITUTE(SUBSTITUTE(SUBSTITUTE(TRIM($W1680),"-",""),".",""),"/","")," ",""),8),4),--MID(LEFT(SUBSTITUTE(SUBSTITUTE(SUBSTITUTE(SUBSTITUTE(TRIM($W1680),"-",""),".",""),"/","")," ",""),8),5,2),--MID(LEFT(SUBSTITUTE(SUBSTITUTE(SUBSTITUTE(SUBSTITUTE(TRIM($W1680),"-",""),".",""),"/","")," ",""),8),7,2)),"")))</f>
        <v/>
      </c>
      <c r="Y1680" s="32">
        <f>IF($X1680="","",INT($X1680))</f>
        <v/>
      </c>
      <c r="Z1680" s="33">
        <f>IF(OR($Y1680="",$D$6=""),"",IF(INDEX($A:$U,ROW(),$D$6)="",0,IF(ISNUMBER(INDEX($A:$U,ROW(),$D$6)),INDEX($A:$U,ROW(),$D$6),IFERROR(--SUBSTITUTE(SUBSTITUTE(TRIM(INDEX($A:$U,ROW(),$D$6)),",",""),"원",""),0))))</f>
        <v/>
      </c>
      <c r="AA1680" s="31">
        <f>IF($Y1680="","",TRIM(INDEX($A:$U,ROW(),$E$6)&amp;IF($F$6="",""," "&amp;INDEX($A:$U,ROW(),$F$6))))</f>
        <v/>
      </c>
      <c r="AB1680" s="31">
        <f>IF($AA1680="","",SUBSTITUTE(SUBSTITUTE(SUBSTITUTE(SUBSTITUTE(SUBSTITUTE(SUBSTITUTE(SUBSTITUTE(SUBSTITUTE(SUBSTITUTE($AA1680," ",""),"　",""),"(주)",""),"（주）",""),"㈜",""),"주식회사",""),"(유)",""),"（유）",""),"유한회사",""))</f>
        <v/>
      </c>
      <c r="AC1680" s="31">
        <f>IF(OR($Y1680="",N($Z1680)&lt;=0,$AB1680=""),0,IFERROR(LOOKUP(2,1/((거래처별!$AC$8:$AC$307&lt;&gt;"")*ISNUMBER(SEARCH(거래처별!$AC$8:$AC$307,$AB1680))),거래처별!$A$8:$A$307),IFERROR(LOOKUP(2,1/((거래처별!$AD$8:$AD$307&lt;&gt;"")*ISNUMBER(SEARCH(거래처별!$AD$8:$AD$307,$AB1680))),거래처별!$A$8:$A$307),IFERROR(LOOKUP(2,1/((거래처별!$AE$8:$AE$307&lt;&gt;"")*ISNUMBER(SEARCH(거래처별!$AE$8:$AE$307,$AB1680))),거래처별!$A$8:$A$307),0))))</f>
        <v/>
      </c>
      <c r="AD1680" s="31">
        <f>IF(AND($Y1680&lt;&gt;"",N($Z1680)&gt;0,$AC1680=0),MAX($AD$7:$AD1679)+1,"")</f>
        <v/>
      </c>
      <c r="AE1680" s="31">
        <f>IF($Y1680="",0,$Y1680)</f>
        <v/>
      </c>
    </row>
    <row r="1681">
      <c r="W1681" s="31">
        <f>IF(OR($B$5="",$C$6="",ROW()&lt;$B$5),"",IF(INDEX($A:$U,ROW(),$C$6)="","",INDEX($A:$U,ROW(),$C$6)))</f>
        <v/>
      </c>
      <c r="X1681" s="32">
        <f>IF($W1681="","",IF(ISNUMBER($W1681),IF($W1681&gt;=10000000,IFERROR(DATE(INT($W1681/10000),MOD(INT($W1681/100),100),MOD($W1681,100)),""),INT($W1681)),IFERROR(DATE(--LEFT(LEFT(SUBSTITUTE(SUBSTITUTE(SUBSTITUTE(SUBSTITUTE(TRIM($W1681),"-",""),".",""),"/","")," ",""),8),4),--MID(LEFT(SUBSTITUTE(SUBSTITUTE(SUBSTITUTE(SUBSTITUTE(TRIM($W1681),"-",""),".",""),"/","")," ",""),8),5,2),--MID(LEFT(SUBSTITUTE(SUBSTITUTE(SUBSTITUTE(SUBSTITUTE(TRIM($W1681),"-",""),".",""),"/","")," ",""),8),7,2)),"")))</f>
        <v/>
      </c>
      <c r="Y1681" s="32">
        <f>IF($X1681="","",INT($X1681))</f>
        <v/>
      </c>
      <c r="Z1681" s="33">
        <f>IF(OR($Y1681="",$D$6=""),"",IF(INDEX($A:$U,ROW(),$D$6)="",0,IF(ISNUMBER(INDEX($A:$U,ROW(),$D$6)),INDEX($A:$U,ROW(),$D$6),IFERROR(--SUBSTITUTE(SUBSTITUTE(TRIM(INDEX($A:$U,ROW(),$D$6)),",",""),"원",""),0))))</f>
        <v/>
      </c>
      <c r="AA1681" s="31">
        <f>IF($Y1681="","",TRIM(INDEX($A:$U,ROW(),$E$6)&amp;IF($F$6="",""," "&amp;INDEX($A:$U,ROW(),$F$6))))</f>
        <v/>
      </c>
      <c r="AB1681" s="31">
        <f>IF($AA1681="","",SUBSTITUTE(SUBSTITUTE(SUBSTITUTE(SUBSTITUTE(SUBSTITUTE(SUBSTITUTE(SUBSTITUTE(SUBSTITUTE(SUBSTITUTE($AA1681," ",""),"　",""),"(주)",""),"（주）",""),"㈜",""),"주식회사",""),"(유)",""),"（유）",""),"유한회사",""))</f>
        <v/>
      </c>
      <c r="AC1681" s="31">
        <f>IF(OR($Y1681="",N($Z1681)&lt;=0,$AB1681=""),0,IFERROR(LOOKUP(2,1/((거래처별!$AC$8:$AC$307&lt;&gt;"")*ISNUMBER(SEARCH(거래처별!$AC$8:$AC$307,$AB1681))),거래처별!$A$8:$A$307),IFERROR(LOOKUP(2,1/((거래처별!$AD$8:$AD$307&lt;&gt;"")*ISNUMBER(SEARCH(거래처별!$AD$8:$AD$307,$AB1681))),거래처별!$A$8:$A$307),IFERROR(LOOKUP(2,1/((거래처별!$AE$8:$AE$307&lt;&gt;"")*ISNUMBER(SEARCH(거래처별!$AE$8:$AE$307,$AB1681))),거래처별!$A$8:$A$307),0))))</f>
        <v/>
      </c>
      <c r="AD1681" s="31">
        <f>IF(AND($Y1681&lt;&gt;"",N($Z1681)&gt;0,$AC1681=0),MAX($AD$7:$AD1680)+1,"")</f>
        <v/>
      </c>
      <c r="AE1681" s="31">
        <f>IF($Y1681="",0,$Y1681)</f>
        <v/>
      </c>
    </row>
    <row r="1682">
      <c r="W1682" s="31">
        <f>IF(OR($B$5="",$C$6="",ROW()&lt;$B$5),"",IF(INDEX($A:$U,ROW(),$C$6)="","",INDEX($A:$U,ROW(),$C$6)))</f>
        <v/>
      </c>
      <c r="X1682" s="32">
        <f>IF($W1682="","",IF(ISNUMBER($W1682),IF($W1682&gt;=10000000,IFERROR(DATE(INT($W1682/10000),MOD(INT($W1682/100),100),MOD($W1682,100)),""),INT($W1682)),IFERROR(DATE(--LEFT(LEFT(SUBSTITUTE(SUBSTITUTE(SUBSTITUTE(SUBSTITUTE(TRIM($W1682),"-",""),".",""),"/","")," ",""),8),4),--MID(LEFT(SUBSTITUTE(SUBSTITUTE(SUBSTITUTE(SUBSTITUTE(TRIM($W1682),"-",""),".",""),"/","")," ",""),8),5,2),--MID(LEFT(SUBSTITUTE(SUBSTITUTE(SUBSTITUTE(SUBSTITUTE(TRIM($W1682),"-",""),".",""),"/","")," ",""),8),7,2)),"")))</f>
        <v/>
      </c>
      <c r="Y1682" s="32">
        <f>IF($X1682="","",INT($X1682))</f>
        <v/>
      </c>
      <c r="Z1682" s="33">
        <f>IF(OR($Y1682="",$D$6=""),"",IF(INDEX($A:$U,ROW(),$D$6)="",0,IF(ISNUMBER(INDEX($A:$U,ROW(),$D$6)),INDEX($A:$U,ROW(),$D$6),IFERROR(--SUBSTITUTE(SUBSTITUTE(TRIM(INDEX($A:$U,ROW(),$D$6)),",",""),"원",""),0))))</f>
        <v/>
      </c>
      <c r="AA1682" s="31">
        <f>IF($Y1682="","",TRIM(INDEX($A:$U,ROW(),$E$6)&amp;IF($F$6="",""," "&amp;INDEX($A:$U,ROW(),$F$6))))</f>
        <v/>
      </c>
      <c r="AB1682" s="31">
        <f>IF($AA1682="","",SUBSTITUTE(SUBSTITUTE(SUBSTITUTE(SUBSTITUTE(SUBSTITUTE(SUBSTITUTE(SUBSTITUTE(SUBSTITUTE(SUBSTITUTE($AA1682," ",""),"　",""),"(주)",""),"（주）",""),"㈜",""),"주식회사",""),"(유)",""),"（유）",""),"유한회사",""))</f>
        <v/>
      </c>
      <c r="AC1682" s="31">
        <f>IF(OR($Y1682="",N($Z1682)&lt;=0,$AB1682=""),0,IFERROR(LOOKUP(2,1/((거래처별!$AC$8:$AC$307&lt;&gt;"")*ISNUMBER(SEARCH(거래처별!$AC$8:$AC$307,$AB1682))),거래처별!$A$8:$A$307),IFERROR(LOOKUP(2,1/((거래처별!$AD$8:$AD$307&lt;&gt;"")*ISNUMBER(SEARCH(거래처별!$AD$8:$AD$307,$AB1682))),거래처별!$A$8:$A$307),IFERROR(LOOKUP(2,1/((거래처별!$AE$8:$AE$307&lt;&gt;"")*ISNUMBER(SEARCH(거래처별!$AE$8:$AE$307,$AB1682))),거래처별!$A$8:$A$307),0))))</f>
        <v/>
      </c>
      <c r="AD1682" s="31">
        <f>IF(AND($Y1682&lt;&gt;"",N($Z1682)&gt;0,$AC1682=0),MAX($AD$7:$AD1681)+1,"")</f>
        <v/>
      </c>
      <c r="AE1682" s="31">
        <f>IF($Y1682="",0,$Y1682)</f>
        <v/>
      </c>
    </row>
    <row r="1683">
      <c r="W1683" s="31">
        <f>IF(OR($B$5="",$C$6="",ROW()&lt;$B$5),"",IF(INDEX($A:$U,ROW(),$C$6)="","",INDEX($A:$U,ROW(),$C$6)))</f>
        <v/>
      </c>
      <c r="X1683" s="32">
        <f>IF($W1683="","",IF(ISNUMBER($W1683),IF($W1683&gt;=10000000,IFERROR(DATE(INT($W1683/10000),MOD(INT($W1683/100),100),MOD($W1683,100)),""),INT($W1683)),IFERROR(DATE(--LEFT(LEFT(SUBSTITUTE(SUBSTITUTE(SUBSTITUTE(SUBSTITUTE(TRIM($W1683),"-",""),".",""),"/","")," ",""),8),4),--MID(LEFT(SUBSTITUTE(SUBSTITUTE(SUBSTITUTE(SUBSTITUTE(TRIM($W1683),"-",""),".",""),"/","")," ",""),8),5,2),--MID(LEFT(SUBSTITUTE(SUBSTITUTE(SUBSTITUTE(SUBSTITUTE(TRIM($W1683),"-",""),".",""),"/","")," ",""),8),7,2)),"")))</f>
        <v/>
      </c>
      <c r="Y1683" s="32">
        <f>IF($X1683="","",INT($X1683))</f>
        <v/>
      </c>
      <c r="Z1683" s="33">
        <f>IF(OR($Y1683="",$D$6=""),"",IF(INDEX($A:$U,ROW(),$D$6)="",0,IF(ISNUMBER(INDEX($A:$U,ROW(),$D$6)),INDEX($A:$U,ROW(),$D$6),IFERROR(--SUBSTITUTE(SUBSTITUTE(TRIM(INDEX($A:$U,ROW(),$D$6)),",",""),"원",""),0))))</f>
        <v/>
      </c>
      <c r="AA1683" s="31">
        <f>IF($Y1683="","",TRIM(INDEX($A:$U,ROW(),$E$6)&amp;IF($F$6="",""," "&amp;INDEX($A:$U,ROW(),$F$6))))</f>
        <v/>
      </c>
      <c r="AB1683" s="31">
        <f>IF($AA1683="","",SUBSTITUTE(SUBSTITUTE(SUBSTITUTE(SUBSTITUTE(SUBSTITUTE(SUBSTITUTE(SUBSTITUTE(SUBSTITUTE(SUBSTITUTE($AA1683," ",""),"　",""),"(주)",""),"（주）",""),"㈜",""),"주식회사",""),"(유)",""),"（유）",""),"유한회사",""))</f>
        <v/>
      </c>
      <c r="AC1683" s="31">
        <f>IF(OR($Y1683="",N($Z1683)&lt;=0,$AB1683=""),0,IFERROR(LOOKUP(2,1/((거래처별!$AC$8:$AC$307&lt;&gt;"")*ISNUMBER(SEARCH(거래처별!$AC$8:$AC$307,$AB1683))),거래처별!$A$8:$A$307),IFERROR(LOOKUP(2,1/((거래처별!$AD$8:$AD$307&lt;&gt;"")*ISNUMBER(SEARCH(거래처별!$AD$8:$AD$307,$AB1683))),거래처별!$A$8:$A$307),IFERROR(LOOKUP(2,1/((거래처별!$AE$8:$AE$307&lt;&gt;"")*ISNUMBER(SEARCH(거래처별!$AE$8:$AE$307,$AB1683))),거래처별!$A$8:$A$307),0))))</f>
        <v/>
      </c>
      <c r="AD1683" s="31">
        <f>IF(AND($Y1683&lt;&gt;"",N($Z1683)&gt;0,$AC1683=0),MAX($AD$7:$AD1682)+1,"")</f>
        <v/>
      </c>
      <c r="AE1683" s="31">
        <f>IF($Y1683="",0,$Y1683)</f>
        <v/>
      </c>
    </row>
    <row r="1684">
      <c r="W1684" s="31">
        <f>IF(OR($B$5="",$C$6="",ROW()&lt;$B$5),"",IF(INDEX($A:$U,ROW(),$C$6)="","",INDEX($A:$U,ROW(),$C$6)))</f>
        <v/>
      </c>
      <c r="X1684" s="32">
        <f>IF($W1684="","",IF(ISNUMBER($W1684),IF($W1684&gt;=10000000,IFERROR(DATE(INT($W1684/10000),MOD(INT($W1684/100),100),MOD($W1684,100)),""),INT($W1684)),IFERROR(DATE(--LEFT(LEFT(SUBSTITUTE(SUBSTITUTE(SUBSTITUTE(SUBSTITUTE(TRIM($W1684),"-",""),".",""),"/","")," ",""),8),4),--MID(LEFT(SUBSTITUTE(SUBSTITUTE(SUBSTITUTE(SUBSTITUTE(TRIM($W1684),"-",""),".",""),"/","")," ",""),8),5,2),--MID(LEFT(SUBSTITUTE(SUBSTITUTE(SUBSTITUTE(SUBSTITUTE(TRIM($W1684),"-",""),".",""),"/","")," ",""),8),7,2)),"")))</f>
        <v/>
      </c>
      <c r="Y1684" s="32">
        <f>IF($X1684="","",INT($X1684))</f>
        <v/>
      </c>
      <c r="Z1684" s="33">
        <f>IF(OR($Y1684="",$D$6=""),"",IF(INDEX($A:$U,ROW(),$D$6)="",0,IF(ISNUMBER(INDEX($A:$U,ROW(),$D$6)),INDEX($A:$U,ROW(),$D$6),IFERROR(--SUBSTITUTE(SUBSTITUTE(TRIM(INDEX($A:$U,ROW(),$D$6)),",",""),"원",""),0))))</f>
        <v/>
      </c>
      <c r="AA1684" s="31">
        <f>IF($Y1684="","",TRIM(INDEX($A:$U,ROW(),$E$6)&amp;IF($F$6="",""," "&amp;INDEX($A:$U,ROW(),$F$6))))</f>
        <v/>
      </c>
      <c r="AB1684" s="31">
        <f>IF($AA1684="","",SUBSTITUTE(SUBSTITUTE(SUBSTITUTE(SUBSTITUTE(SUBSTITUTE(SUBSTITUTE(SUBSTITUTE(SUBSTITUTE(SUBSTITUTE($AA1684," ",""),"　",""),"(주)",""),"（주）",""),"㈜",""),"주식회사",""),"(유)",""),"（유）",""),"유한회사",""))</f>
        <v/>
      </c>
      <c r="AC1684" s="31">
        <f>IF(OR($Y1684="",N($Z1684)&lt;=0,$AB1684=""),0,IFERROR(LOOKUP(2,1/((거래처별!$AC$8:$AC$307&lt;&gt;"")*ISNUMBER(SEARCH(거래처별!$AC$8:$AC$307,$AB1684))),거래처별!$A$8:$A$307),IFERROR(LOOKUP(2,1/((거래처별!$AD$8:$AD$307&lt;&gt;"")*ISNUMBER(SEARCH(거래처별!$AD$8:$AD$307,$AB1684))),거래처별!$A$8:$A$307),IFERROR(LOOKUP(2,1/((거래처별!$AE$8:$AE$307&lt;&gt;"")*ISNUMBER(SEARCH(거래처별!$AE$8:$AE$307,$AB1684))),거래처별!$A$8:$A$307),0))))</f>
        <v/>
      </c>
      <c r="AD1684" s="31">
        <f>IF(AND($Y1684&lt;&gt;"",N($Z1684)&gt;0,$AC1684=0),MAX($AD$7:$AD1683)+1,"")</f>
        <v/>
      </c>
      <c r="AE1684" s="31">
        <f>IF($Y1684="",0,$Y1684)</f>
        <v/>
      </c>
    </row>
    <row r="1685">
      <c r="W1685" s="31">
        <f>IF(OR($B$5="",$C$6="",ROW()&lt;$B$5),"",IF(INDEX($A:$U,ROW(),$C$6)="","",INDEX($A:$U,ROW(),$C$6)))</f>
        <v/>
      </c>
      <c r="X1685" s="32">
        <f>IF($W1685="","",IF(ISNUMBER($W1685),IF($W1685&gt;=10000000,IFERROR(DATE(INT($W1685/10000),MOD(INT($W1685/100),100),MOD($W1685,100)),""),INT($W1685)),IFERROR(DATE(--LEFT(LEFT(SUBSTITUTE(SUBSTITUTE(SUBSTITUTE(SUBSTITUTE(TRIM($W1685),"-",""),".",""),"/","")," ",""),8),4),--MID(LEFT(SUBSTITUTE(SUBSTITUTE(SUBSTITUTE(SUBSTITUTE(TRIM($W1685),"-",""),".",""),"/","")," ",""),8),5,2),--MID(LEFT(SUBSTITUTE(SUBSTITUTE(SUBSTITUTE(SUBSTITUTE(TRIM($W1685),"-",""),".",""),"/","")," ",""),8),7,2)),"")))</f>
        <v/>
      </c>
      <c r="Y1685" s="32">
        <f>IF($X1685="","",INT($X1685))</f>
        <v/>
      </c>
      <c r="Z1685" s="33">
        <f>IF(OR($Y1685="",$D$6=""),"",IF(INDEX($A:$U,ROW(),$D$6)="",0,IF(ISNUMBER(INDEX($A:$U,ROW(),$D$6)),INDEX($A:$U,ROW(),$D$6),IFERROR(--SUBSTITUTE(SUBSTITUTE(TRIM(INDEX($A:$U,ROW(),$D$6)),",",""),"원",""),0))))</f>
        <v/>
      </c>
      <c r="AA1685" s="31">
        <f>IF($Y1685="","",TRIM(INDEX($A:$U,ROW(),$E$6)&amp;IF($F$6="",""," "&amp;INDEX($A:$U,ROW(),$F$6))))</f>
        <v/>
      </c>
      <c r="AB1685" s="31">
        <f>IF($AA1685="","",SUBSTITUTE(SUBSTITUTE(SUBSTITUTE(SUBSTITUTE(SUBSTITUTE(SUBSTITUTE(SUBSTITUTE(SUBSTITUTE(SUBSTITUTE($AA1685," ",""),"　",""),"(주)",""),"（주）",""),"㈜",""),"주식회사",""),"(유)",""),"（유）",""),"유한회사",""))</f>
        <v/>
      </c>
      <c r="AC1685" s="31">
        <f>IF(OR($Y1685="",N($Z1685)&lt;=0,$AB1685=""),0,IFERROR(LOOKUP(2,1/((거래처별!$AC$8:$AC$307&lt;&gt;"")*ISNUMBER(SEARCH(거래처별!$AC$8:$AC$307,$AB1685))),거래처별!$A$8:$A$307),IFERROR(LOOKUP(2,1/((거래처별!$AD$8:$AD$307&lt;&gt;"")*ISNUMBER(SEARCH(거래처별!$AD$8:$AD$307,$AB1685))),거래처별!$A$8:$A$307),IFERROR(LOOKUP(2,1/((거래처별!$AE$8:$AE$307&lt;&gt;"")*ISNUMBER(SEARCH(거래처별!$AE$8:$AE$307,$AB1685))),거래처별!$A$8:$A$307),0))))</f>
        <v/>
      </c>
      <c r="AD1685" s="31">
        <f>IF(AND($Y1685&lt;&gt;"",N($Z1685)&gt;0,$AC1685=0),MAX($AD$7:$AD1684)+1,"")</f>
        <v/>
      </c>
      <c r="AE1685" s="31">
        <f>IF($Y1685="",0,$Y1685)</f>
        <v/>
      </c>
    </row>
    <row r="1686">
      <c r="W1686" s="31">
        <f>IF(OR($B$5="",$C$6="",ROW()&lt;$B$5),"",IF(INDEX($A:$U,ROW(),$C$6)="","",INDEX($A:$U,ROW(),$C$6)))</f>
        <v/>
      </c>
      <c r="X1686" s="32">
        <f>IF($W1686="","",IF(ISNUMBER($W1686),IF($W1686&gt;=10000000,IFERROR(DATE(INT($W1686/10000),MOD(INT($W1686/100),100),MOD($W1686,100)),""),INT($W1686)),IFERROR(DATE(--LEFT(LEFT(SUBSTITUTE(SUBSTITUTE(SUBSTITUTE(SUBSTITUTE(TRIM($W1686),"-",""),".",""),"/","")," ",""),8),4),--MID(LEFT(SUBSTITUTE(SUBSTITUTE(SUBSTITUTE(SUBSTITUTE(TRIM($W1686),"-",""),".",""),"/","")," ",""),8),5,2),--MID(LEFT(SUBSTITUTE(SUBSTITUTE(SUBSTITUTE(SUBSTITUTE(TRIM($W1686),"-",""),".",""),"/","")," ",""),8),7,2)),"")))</f>
        <v/>
      </c>
      <c r="Y1686" s="32">
        <f>IF($X1686="","",INT($X1686))</f>
        <v/>
      </c>
      <c r="Z1686" s="33">
        <f>IF(OR($Y1686="",$D$6=""),"",IF(INDEX($A:$U,ROW(),$D$6)="",0,IF(ISNUMBER(INDEX($A:$U,ROW(),$D$6)),INDEX($A:$U,ROW(),$D$6),IFERROR(--SUBSTITUTE(SUBSTITUTE(TRIM(INDEX($A:$U,ROW(),$D$6)),",",""),"원",""),0))))</f>
        <v/>
      </c>
      <c r="AA1686" s="31">
        <f>IF($Y1686="","",TRIM(INDEX($A:$U,ROW(),$E$6)&amp;IF($F$6="",""," "&amp;INDEX($A:$U,ROW(),$F$6))))</f>
        <v/>
      </c>
      <c r="AB1686" s="31">
        <f>IF($AA1686="","",SUBSTITUTE(SUBSTITUTE(SUBSTITUTE(SUBSTITUTE(SUBSTITUTE(SUBSTITUTE(SUBSTITUTE(SUBSTITUTE(SUBSTITUTE($AA1686," ",""),"　",""),"(주)",""),"（주）",""),"㈜",""),"주식회사",""),"(유)",""),"（유）",""),"유한회사",""))</f>
        <v/>
      </c>
      <c r="AC1686" s="31">
        <f>IF(OR($Y1686="",N($Z1686)&lt;=0,$AB1686=""),0,IFERROR(LOOKUP(2,1/((거래처별!$AC$8:$AC$307&lt;&gt;"")*ISNUMBER(SEARCH(거래처별!$AC$8:$AC$307,$AB1686))),거래처별!$A$8:$A$307),IFERROR(LOOKUP(2,1/((거래처별!$AD$8:$AD$307&lt;&gt;"")*ISNUMBER(SEARCH(거래처별!$AD$8:$AD$307,$AB1686))),거래처별!$A$8:$A$307),IFERROR(LOOKUP(2,1/((거래처별!$AE$8:$AE$307&lt;&gt;"")*ISNUMBER(SEARCH(거래처별!$AE$8:$AE$307,$AB1686))),거래처별!$A$8:$A$307),0))))</f>
        <v/>
      </c>
      <c r="AD1686" s="31">
        <f>IF(AND($Y1686&lt;&gt;"",N($Z1686)&gt;0,$AC1686=0),MAX($AD$7:$AD1685)+1,"")</f>
        <v/>
      </c>
      <c r="AE1686" s="31">
        <f>IF($Y1686="",0,$Y1686)</f>
        <v/>
      </c>
    </row>
    <row r="1687">
      <c r="W1687" s="31">
        <f>IF(OR($B$5="",$C$6="",ROW()&lt;$B$5),"",IF(INDEX($A:$U,ROW(),$C$6)="","",INDEX($A:$U,ROW(),$C$6)))</f>
        <v/>
      </c>
      <c r="X1687" s="32">
        <f>IF($W1687="","",IF(ISNUMBER($W1687),IF($W1687&gt;=10000000,IFERROR(DATE(INT($W1687/10000),MOD(INT($W1687/100),100),MOD($W1687,100)),""),INT($W1687)),IFERROR(DATE(--LEFT(LEFT(SUBSTITUTE(SUBSTITUTE(SUBSTITUTE(SUBSTITUTE(TRIM($W1687),"-",""),".",""),"/","")," ",""),8),4),--MID(LEFT(SUBSTITUTE(SUBSTITUTE(SUBSTITUTE(SUBSTITUTE(TRIM($W1687),"-",""),".",""),"/","")," ",""),8),5,2),--MID(LEFT(SUBSTITUTE(SUBSTITUTE(SUBSTITUTE(SUBSTITUTE(TRIM($W1687),"-",""),".",""),"/","")," ",""),8),7,2)),"")))</f>
        <v/>
      </c>
      <c r="Y1687" s="32">
        <f>IF($X1687="","",INT($X1687))</f>
        <v/>
      </c>
      <c r="Z1687" s="33">
        <f>IF(OR($Y1687="",$D$6=""),"",IF(INDEX($A:$U,ROW(),$D$6)="",0,IF(ISNUMBER(INDEX($A:$U,ROW(),$D$6)),INDEX($A:$U,ROW(),$D$6),IFERROR(--SUBSTITUTE(SUBSTITUTE(TRIM(INDEX($A:$U,ROW(),$D$6)),",",""),"원",""),0))))</f>
        <v/>
      </c>
      <c r="AA1687" s="31">
        <f>IF($Y1687="","",TRIM(INDEX($A:$U,ROW(),$E$6)&amp;IF($F$6="",""," "&amp;INDEX($A:$U,ROW(),$F$6))))</f>
        <v/>
      </c>
      <c r="AB1687" s="31">
        <f>IF($AA1687="","",SUBSTITUTE(SUBSTITUTE(SUBSTITUTE(SUBSTITUTE(SUBSTITUTE(SUBSTITUTE(SUBSTITUTE(SUBSTITUTE(SUBSTITUTE($AA1687," ",""),"　",""),"(주)",""),"（주）",""),"㈜",""),"주식회사",""),"(유)",""),"（유）",""),"유한회사",""))</f>
        <v/>
      </c>
      <c r="AC1687" s="31">
        <f>IF(OR($Y1687="",N($Z1687)&lt;=0,$AB1687=""),0,IFERROR(LOOKUP(2,1/((거래처별!$AC$8:$AC$307&lt;&gt;"")*ISNUMBER(SEARCH(거래처별!$AC$8:$AC$307,$AB1687))),거래처별!$A$8:$A$307),IFERROR(LOOKUP(2,1/((거래처별!$AD$8:$AD$307&lt;&gt;"")*ISNUMBER(SEARCH(거래처별!$AD$8:$AD$307,$AB1687))),거래처별!$A$8:$A$307),IFERROR(LOOKUP(2,1/((거래처별!$AE$8:$AE$307&lt;&gt;"")*ISNUMBER(SEARCH(거래처별!$AE$8:$AE$307,$AB1687))),거래처별!$A$8:$A$307),0))))</f>
        <v/>
      </c>
      <c r="AD1687" s="31">
        <f>IF(AND($Y1687&lt;&gt;"",N($Z1687)&gt;0,$AC1687=0),MAX($AD$7:$AD1686)+1,"")</f>
        <v/>
      </c>
      <c r="AE1687" s="31">
        <f>IF($Y1687="",0,$Y1687)</f>
        <v/>
      </c>
    </row>
    <row r="1688">
      <c r="W1688" s="31">
        <f>IF(OR($B$5="",$C$6="",ROW()&lt;$B$5),"",IF(INDEX($A:$U,ROW(),$C$6)="","",INDEX($A:$U,ROW(),$C$6)))</f>
        <v/>
      </c>
      <c r="X1688" s="32">
        <f>IF($W1688="","",IF(ISNUMBER($W1688),IF($W1688&gt;=10000000,IFERROR(DATE(INT($W1688/10000),MOD(INT($W1688/100),100),MOD($W1688,100)),""),INT($W1688)),IFERROR(DATE(--LEFT(LEFT(SUBSTITUTE(SUBSTITUTE(SUBSTITUTE(SUBSTITUTE(TRIM($W1688),"-",""),".",""),"/","")," ",""),8),4),--MID(LEFT(SUBSTITUTE(SUBSTITUTE(SUBSTITUTE(SUBSTITUTE(TRIM($W1688),"-",""),".",""),"/","")," ",""),8),5,2),--MID(LEFT(SUBSTITUTE(SUBSTITUTE(SUBSTITUTE(SUBSTITUTE(TRIM($W1688),"-",""),".",""),"/","")," ",""),8),7,2)),"")))</f>
        <v/>
      </c>
      <c r="Y1688" s="32">
        <f>IF($X1688="","",INT($X1688))</f>
        <v/>
      </c>
      <c r="Z1688" s="33">
        <f>IF(OR($Y1688="",$D$6=""),"",IF(INDEX($A:$U,ROW(),$D$6)="",0,IF(ISNUMBER(INDEX($A:$U,ROW(),$D$6)),INDEX($A:$U,ROW(),$D$6),IFERROR(--SUBSTITUTE(SUBSTITUTE(TRIM(INDEX($A:$U,ROW(),$D$6)),",",""),"원",""),0))))</f>
        <v/>
      </c>
      <c r="AA1688" s="31">
        <f>IF($Y1688="","",TRIM(INDEX($A:$U,ROW(),$E$6)&amp;IF($F$6="",""," "&amp;INDEX($A:$U,ROW(),$F$6))))</f>
        <v/>
      </c>
      <c r="AB1688" s="31">
        <f>IF($AA1688="","",SUBSTITUTE(SUBSTITUTE(SUBSTITUTE(SUBSTITUTE(SUBSTITUTE(SUBSTITUTE(SUBSTITUTE(SUBSTITUTE(SUBSTITUTE($AA1688," ",""),"　",""),"(주)",""),"（주）",""),"㈜",""),"주식회사",""),"(유)",""),"（유）",""),"유한회사",""))</f>
        <v/>
      </c>
      <c r="AC1688" s="31">
        <f>IF(OR($Y1688="",N($Z1688)&lt;=0,$AB1688=""),0,IFERROR(LOOKUP(2,1/((거래처별!$AC$8:$AC$307&lt;&gt;"")*ISNUMBER(SEARCH(거래처별!$AC$8:$AC$307,$AB1688))),거래처별!$A$8:$A$307),IFERROR(LOOKUP(2,1/((거래처별!$AD$8:$AD$307&lt;&gt;"")*ISNUMBER(SEARCH(거래처별!$AD$8:$AD$307,$AB1688))),거래처별!$A$8:$A$307),IFERROR(LOOKUP(2,1/((거래처별!$AE$8:$AE$307&lt;&gt;"")*ISNUMBER(SEARCH(거래처별!$AE$8:$AE$307,$AB1688))),거래처별!$A$8:$A$307),0))))</f>
        <v/>
      </c>
      <c r="AD1688" s="31">
        <f>IF(AND($Y1688&lt;&gt;"",N($Z1688)&gt;0,$AC1688=0),MAX($AD$7:$AD1687)+1,"")</f>
        <v/>
      </c>
      <c r="AE1688" s="31">
        <f>IF($Y1688="",0,$Y1688)</f>
        <v/>
      </c>
    </row>
    <row r="1689">
      <c r="W1689" s="31">
        <f>IF(OR($B$5="",$C$6="",ROW()&lt;$B$5),"",IF(INDEX($A:$U,ROW(),$C$6)="","",INDEX($A:$U,ROW(),$C$6)))</f>
        <v/>
      </c>
      <c r="X1689" s="32">
        <f>IF($W1689="","",IF(ISNUMBER($W1689),IF($W1689&gt;=10000000,IFERROR(DATE(INT($W1689/10000),MOD(INT($W1689/100),100),MOD($W1689,100)),""),INT($W1689)),IFERROR(DATE(--LEFT(LEFT(SUBSTITUTE(SUBSTITUTE(SUBSTITUTE(SUBSTITUTE(TRIM($W1689),"-",""),".",""),"/","")," ",""),8),4),--MID(LEFT(SUBSTITUTE(SUBSTITUTE(SUBSTITUTE(SUBSTITUTE(TRIM($W1689),"-",""),".",""),"/","")," ",""),8),5,2),--MID(LEFT(SUBSTITUTE(SUBSTITUTE(SUBSTITUTE(SUBSTITUTE(TRIM($W1689),"-",""),".",""),"/","")," ",""),8),7,2)),"")))</f>
        <v/>
      </c>
      <c r="Y1689" s="32">
        <f>IF($X1689="","",INT($X1689))</f>
        <v/>
      </c>
      <c r="Z1689" s="33">
        <f>IF(OR($Y1689="",$D$6=""),"",IF(INDEX($A:$U,ROW(),$D$6)="",0,IF(ISNUMBER(INDEX($A:$U,ROW(),$D$6)),INDEX($A:$U,ROW(),$D$6),IFERROR(--SUBSTITUTE(SUBSTITUTE(TRIM(INDEX($A:$U,ROW(),$D$6)),",",""),"원",""),0))))</f>
        <v/>
      </c>
      <c r="AA1689" s="31">
        <f>IF($Y1689="","",TRIM(INDEX($A:$U,ROW(),$E$6)&amp;IF($F$6="",""," "&amp;INDEX($A:$U,ROW(),$F$6))))</f>
        <v/>
      </c>
      <c r="AB1689" s="31">
        <f>IF($AA1689="","",SUBSTITUTE(SUBSTITUTE(SUBSTITUTE(SUBSTITUTE(SUBSTITUTE(SUBSTITUTE(SUBSTITUTE(SUBSTITUTE(SUBSTITUTE($AA1689," ",""),"　",""),"(주)",""),"（주）",""),"㈜",""),"주식회사",""),"(유)",""),"（유）",""),"유한회사",""))</f>
        <v/>
      </c>
      <c r="AC1689" s="31">
        <f>IF(OR($Y1689="",N($Z1689)&lt;=0,$AB1689=""),0,IFERROR(LOOKUP(2,1/((거래처별!$AC$8:$AC$307&lt;&gt;"")*ISNUMBER(SEARCH(거래처별!$AC$8:$AC$307,$AB1689))),거래처별!$A$8:$A$307),IFERROR(LOOKUP(2,1/((거래처별!$AD$8:$AD$307&lt;&gt;"")*ISNUMBER(SEARCH(거래처별!$AD$8:$AD$307,$AB1689))),거래처별!$A$8:$A$307),IFERROR(LOOKUP(2,1/((거래처별!$AE$8:$AE$307&lt;&gt;"")*ISNUMBER(SEARCH(거래처별!$AE$8:$AE$307,$AB1689))),거래처별!$A$8:$A$307),0))))</f>
        <v/>
      </c>
      <c r="AD1689" s="31">
        <f>IF(AND($Y1689&lt;&gt;"",N($Z1689)&gt;0,$AC1689=0),MAX($AD$7:$AD1688)+1,"")</f>
        <v/>
      </c>
      <c r="AE1689" s="31">
        <f>IF($Y1689="",0,$Y1689)</f>
        <v/>
      </c>
    </row>
    <row r="1690">
      <c r="W1690" s="31">
        <f>IF(OR($B$5="",$C$6="",ROW()&lt;$B$5),"",IF(INDEX($A:$U,ROW(),$C$6)="","",INDEX($A:$U,ROW(),$C$6)))</f>
        <v/>
      </c>
      <c r="X1690" s="32">
        <f>IF($W1690="","",IF(ISNUMBER($W1690),IF($W1690&gt;=10000000,IFERROR(DATE(INT($W1690/10000),MOD(INT($W1690/100),100),MOD($W1690,100)),""),INT($W1690)),IFERROR(DATE(--LEFT(LEFT(SUBSTITUTE(SUBSTITUTE(SUBSTITUTE(SUBSTITUTE(TRIM($W1690),"-",""),".",""),"/","")," ",""),8),4),--MID(LEFT(SUBSTITUTE(SUBSTITUTE(SUBSTITUTE(SUBSTITUTE(TRIM($W1690),"-",""),".",""),"/","")," ",""),8),5,2),--MID(LEFT(SUBSTITUTE(SUBSTITUTE(SUBSTITUTE(SUBSTITUTE(TRIM($W1690),"-",""),".",""),"/","")," ",""),8),7,2)),"")))</f>
        <v/>
      </c>
      <c r="Y1690" s="32">
        <f>IF($X1690="","",INT($X1690))</f>
        <v/>
      </c>
      <c r="Z1690" s="33">
        <f>IF(OR($Y1690="",$D$6=""),"",IF(INDEX($A:$U,ROW(),$D$6)="",0,IF(ISNUMBER(INDEX($A:$U,ROW(),$D$6)),INDEX($A:$U,ROW(),$D$6),IFERROR(--SUBSTITUTE(SUBSTITUTE(TRIM(INDEX($A:$U,ROW(),$D$6)),",",""),"원",""),0))))</f>
        <v/>
      </c>
      <c r="AA1690" s="31">
        <f>IF($Y1690="","",TRIM(INDEX($A:$U,ROW(),$E$6)&amp;IF($F$6="",""," "&amp;INDEX($A:$U,ROW(),$F$6))))</f>
        <v/>
      </c>
      <c r="AB1690" s="31">
        <f>IF($AA1690="","",SUBSTITUTE(SUBSTITUTE(SUBSTITUTE(SUBSTITUTE(SUBSTITUTE(SUBSTITUTE(SUBSTITUTE(SUBSTITUTE(SUBSTITUTE($AA1690," ",""),"　",""),"(주)",""),"（주）",""),"㈜",""),"주식회사",""),"(유)",""),"（유）",""),"유한회사",""))</f>
        <v/>
      </c>
      <c r="AC1690" s="31">
        <f>IF(OR($Y1690="",N($Z1690)&lt;=0,$AB1690=""),0,IFERROR(LOOKUP(2,1/((거래처별!$AC$8:$AC$307&lt;&gt;"")*ISNUMBER(SEARCH(거래처별!$AC$8:$AC$307,$AB1690))),거래처별!$A$8:$A$307),IFERROR(LOOKUP(2,1/((거래처별!$AD$8:$AD$307&lt;&gt;"")*ISNUMBER(SEARCH(거래처별!$AD$8:$AD$307,$AB1690))),거래처별!$A$8:$A$307),IFERROR(LOOKUP(2,1/((거래처별!$AE$8:$AE$307&lt;&gt;"")*ISNUMBER(SEARCH(거래처별!$AE$8:$AE$307,$AB1690))),거래처별!$A$8:$A$307),0))))</f>
        <v/>
      </c>
      <c r="AD1690" s="31">
        <f>IF(AND($Y1690&lt;&gt;"",N($Z1690)&gt;0,$AC1690=0),MAX($AD$7:$AD1689)+1,"")</f>
        <v/>
      </c>
      <c r="AE1690" s="31">
        <f>IF($Y1690="",0,$Y1690)</f>
        <v/>
      </c>
    </row>
    <row r="1691">
      <c r="W1691" s="31">
        <f>IF(OR($B$5="",$C$6="",ROW()&lt;$B$5),"",IF(INDEX($A:$U,ROW(),$C$6)="","",INDEX($A:$U,ROW(),$C$6)))</f>
        <v/>
      </c>
      <c r="X1691" s="32">
        <f>IF($W1691="","",IF(ISNUMBER($W1691),IF($W1691&gt;=10000000,IFERROR(DATE(INT($W1691/10000),MOD(INT($W1691/100),100),MOD($W1691,100)),""),INT($W1691)),IFERROR(DATE(--LEFT(LEFT(SUBSTITUTE(SUBSTITUTE(SUBSTITUTE(SUBSTITUTE(TRIM($W1691),"-",""),".",""),"/","")," ",""),8),4),--MID(LEFT(SUBSTITUTE(SUBSTITUTE(SUBSTITUTE(SUBSTITUTE(TRIM($W1691),"-",""),".",""),"/","")," ",""),8),5,2),--MID(LEFT(SUBSTITUTE(SUBSTITUTE(SUBSTITUTE(SUBSTITUTE(TRIM($W1691),"-",""),".",""),"/","")," ",""),8),7,2)),"")))</f>
        <v/>
      </c>
      <c r="Y1691" s="32">
        <f>IF($X1691="","",INT($X1691))</f>
        <v/>
      </c>
      <c r="Z1691" s="33">
        <f>IF(OR($Y1691="",$D$6=""),"",IF(INDEX($A:$U,ROW(),$D$6)="",0,IF(ISNUMBER(INDEX($A:$U,ROW(),$D$6)),INDEX($A:$U,ROW(),$D$6),IFERROR(--SUBSTITUTE(SUBSTITUTE(TRIM(INDEX($A:$U,ROW(),$D$6)),",",""),"원",""),0))))</f>
        <v/>
      </c>
      <c r="AA1691" s="31">
        <f>IF($Y1691="","",TRIM(INDEX($A:$U,ROW(),$E$6)&amp;IF($F$6="",""," "&amp;INDEX($A:$U,ROW(),$F$6))))</f>
        <v/>
      </c>
      <c r="AB1691" s="31">
        <f>IF($AA1691="","",SUBSTITUTE(SUBSTITUTE(SUBSTITUTE(SUBSTITUTE(SUBSTITUTE(SUBSTITUTE(SUBSTITUTE(SUBSTITUTE(SUBSTITUTE($AA1691," ",""),"　",""),"(주)",""),"（주）",""),"㈜",""),"주식회사",""),"(유)",""),"（유）",""),"유한회사",""))</f>
        <v/>
      </c>
      <c r="AC1691" s="31">
        <f>IF(OR($Y1691="",N($Z1691)&lt;=0,$AB1691=""),0,IFERROR(LOOKUP(2,1/((거래처별!$AC$8:$AC$307&lt;&gt;"")*ISNUMBER(SEARCH(거래처별!$AC$8:$AC$307,$AB1691))),거래처별!$A$8:$A$307),IFERROR(LOOKUP(2,1/((거래처별!$AD$8:$AD$307&lt;&gt;"")*ISNUMBER(SEARCH(거래처별!$AD$8:$AD$307,$AB1691))),거래처별!$A$8:$A$307),IFERROR(LOOKUP(2,1/((거래처별!$AE$8:$AE$307&lt;&gt;"")*ISNUMBER(SEARCH(거래처별!$AE$8:$AE$307,$AB1691))),거래처별!$A$8:$A$307),0))))</f>
        <v/>
      </c>
      <c r="AD1691" s="31">
        <f>IF(AND($Y1691&lt;&gt;"",N($Z1691)&gt;0,$AC1691=0),MAX($AD$7:$AD1690)+1,"")</f>
        <v/>
      </c>
      <c r="AE1691" s="31">
        <f>IF($Y1691="",0,$Y1691)</f>
        <v/>
      </c>
    </row>
    <row r="1692">
      <c r="W1692" s="31">
        <f>IF(OR($B$5="",$C$6="",ROW()&lt;$B$5),"",IF(INDEX($A:$U,ROW(),$C$6)="","",INDEX($A:$U,ROW(),$C$6)))</f>
        <v/>
      </c>
      <c r="X1692" s="32">
        <f>IF($W1692="","",IF(ISNUMBER($W1692),IF($W1692&gt;=10000000,IFERROR(DATE(INT($W1692/10000),MOD(INT($W1692/100),100),MOD($W1692,100)),""),INT($W1692)),IFERROR(DATE(--LEFT(LEFT(SUBSTITUTE(SUBSTITUTE(SUBSTITUTE(SUBSTITUTE(TRIM($W1692),"-",""),".",""),"/","")," ",""),8),4),--MID(LEFT(SUBSTITUTE(SUBSTITUTE(SUBSTITUTE(SUBSTITUTE(TRIM($W1692),"-",""),".",""),"/","")," ",""),8),5,2),--MID(LEFT(SUBSTITUTE(SUBSTITUTE(SUBSTITUTE(SUBSTITUTE(TRIM($W1692),"-",""),".",""),"/","")," ",""),8),7,2)),"")))</f>
        <v/>
      </c>
      <c r="Y1692" s="32">
        <f>IF($X1692="","",INT($X1692))</f>
        <v/>
      </c>
      <c r="Z1692" s="33">
        <f>IF(OR($Y1692="",$D$6=""),"",IF(INDEX($A:$U,ROW(),$D$6)="",0,IF(ISNUMBER(INDEX($A:$U,ROW(),$D$6)),INDEX($A:$U,ROW(),$D$6),IFERROR(--SUBSTITUTE(SUBSTITUTE(TRIM(INDEX($A:$U,ROW(),$D$6)),",",""),"원",""),0))))</f>
        <v/>
      </c>
      <c r="AA1692" s="31">
        <f>IF($Y1692="","",TRIM(INDEX($A:$U,ROW(),$E$6)&amp;IF($F$6="",""," "&amp;INDEX($A:$U,ROW(),$F$6))))</f>
        <v/>
      </c>
      <c r="AB1692" s="31">
        <f>IF($AA1692="","",SUBSTITUTE(SUBSTITUTE(SUBSTITUTE(SUBSTITUTE(SUBSTITUTE(SUBSTITUTE(SUBSTITUTE(SUBSTITUTE(SUBSTITUTE($AA1692," ",""),"　",""),"(주)",""),"（주）",""),"㈜",""),"주식회사",""),"(유)",""),"（유）",""),"유한회사",""))</f>
        <v/>
      </c>
      <c r="AC1692" s="31">
        <f>IF(OR($Y1692="",N($Z1692)&lt;=0,$AB1692=""),0,IFERROR(LOOKUP(2,1/((거래처별!$AC$8:$AC$307&lt;&gt;"")*ISNUMBER(SEARCH(거래처별!$AC$8:$AC$307,$AB1692))),거래처별!$A$8:$A$307),IFERROR(LOOKUP(2,1/((거래처별!$AD$8:$AD$307&lt;&gt;"")*ISNUMBER(SEARCH(거래처별!$AD$8:$AD$307,$AB1692))),거래처별!$A$8:$A$307),IFERROR(LOOKUP(2,1/((거래처별!$AE$8:$AE$307&lt;&gt;"")*ISNUMBER(SEARCH(거래처별!$AE$8:$AE$307,$AB1692))),거래처별!$A$8:$A$307),0))))</f>
        <v/>
      </c>
      <c r="AD1692" s="31">
        <f>IF(AND($Y1692&lt;&gt;"",N($Z1692)&gt;0,$AC1692=0),MAX($AD$7:$AD1691)+1,"")</f>
        <v/>
      </c>
      <c r="AE1692" s="31">
        <f>IF($Y1692="",0,$Y1692)</f>
        <v/>
      </c>
    </row>
    <row r="1693">
      <c r="W1693" s="31">
        <f>IF(OR($B$5="",$C$6="",ROW()&lt;$B$5),"",IF(INDEX($A:$U,ROW(),$C$6)="","",INDEX($A:$U,ROW(),$C$6)))</f>
        <v/>
      </c>
      <c r="X1693" s="32">
        <f>IF($W1693="","",IF(ISNUMBER($W1693),IF($W1693&gt;=10000000,IFERROR(DATE(INT($W1693/10000),MOD(INT($W1693/100),100),MOD($W1693,100)),""),INT($W1693)),IFERROR(DATE(--LEFT(LEFT(SUBSTITUTE(SUBSTITUTE(SUBSTITUTE(SUBSTITUTE(TRIM($W1693),"-",""),".",""),"/","")," ",""),8),4),--MID(LEFT(SUBSTITUTE(SUBSTITUTE(SUBSTITUTE(SUBSTITUTE(TRIM($W1693),"-",""),".",""),"/","")," ",""),8),5,2),--MID(LEFT(SUBSTITUTE(SUBSTITUTE(SUBSTITUTE(SUBSTITUTE(TRIM($W1693),"-",""),".",""),"/","")," ",""),8),7,2)),"")))</f>
        <v/>
      </c>
      <c r="Y1693" s="32">
        <f>IF($X1693="","",INT($X1693))</f>
        <v/>
      </c>
      <c r="Z1693" s="33">
        <f>IF(OR($Y1693="",$D$6=""),"",IF(INDEX($A:$U,ROW(),$D$6)="",0,IF(ISNUMBER(INDEX($A:$U,ROW(),$D$6)),INDEX($A:$U,ROW(),$D$6),IFERROR(--SUBSTITUTE(SUBSTITUTE(TRIM(INDEX($A:$U,ROW(),$D$6)),",",""),"원",""),0))))</f>
        <v/>
      </c>
      <c r="AA1693" s="31">
        <f>IF($Y1693="","",TRIM(INDEX($A:$U,ROW(),$E$6)&amp;IF($F$6="",""," "&amp;INDEX($A:$U,ROW(),$F$6))))</f>
        <v/>
      </c>
      <c r="AB1693" s="31">
        <f>IF($AA1693="","",SUBSTITUTE(SUBSTITUTE(SUBSTITUTE(SUBSTITUTE(SUBSTITUTE(SUBSTITUTE(SUBSTITUTE(SUBSTITUTE(SUBSTITUTE($AA1693," ",""),"　",""),"(주)",""),"（주）",""),"㈜",""),"주식회사",""),"(유)",""),"（유）",""),"유한회사",""))</f>
        <v/>
      </c>
      <c r="AC1693" s="31">
        <f>IF(OR($Y1693="",N($Z1693)&lt;=0,$AB1693=""),0,IFERROR(LOOKUP(2,1/((거래처별!$AC$8:$AC$307&lt;&gt;"")*ISNUMBER(SEARCH(거래처별!$AC$8:$AC$307,$AB1693))),거래처별!$A$8:$A$307),IFERROR(LOOKUP(2,1/((거래처별!$AD$8:$AD$307&lt;&gt;"")*ISNUMBER(SEARCH(거래처별!$AD$8:$AD$307,$AB1693))),거래처별!$A$8:$A$307),IFERROR(LOOKUP(2,1/((거래처별!$AE$8:$AE$307&lt;&gt;"")*ISNUMBER(SEARCH(거래처별!$AE$8:$AE$307,$AB1693))),거래처별!$A$8:$A$307),0))))</f>
        <v/>
      </c>
      <c r="AD1693" s="31">
        <f>IF(AND($Y1693&lt;&gt;"",N($Z1693)&gt;0,$AC1693=0),MAX($AD$7:$AD1692)+1,"")</f>
        <v/>
      </c>
      <c r="AE1693" s="31">
        <f>IF($Y1693="",0,$Y1693)</f>
        <v/>
      </c>
    </row>
    <row r="1694">
      <c r="W1694" s="31">
        <f>IF(OR($B$5="",$C$6="",ROW()&lt;$B$5),"",IF(INDEX($A:$U,ROW(),$C$6)="","",INDEX($A:$U,ROW(),$C$6)))</f>
        <v/>
      </c>
      <c r="X1694" s="32">
        <f>IF($W1694="","",IF(ISNUMBER($W1694),IF($W1694&gt;=10000000,IFERROR(DATE(INT($W1694/10000),MOD(INT($W1694/100),100),MOD($W1694,100)),""),INT($W1694)),IFERROR(DATE(--LEFT(LEFT(SUBSTITUTE(SUBSTITUTE(SUBSTITUTE(SUBSTITUTE(TRIM($W1694),"-",""),".",""),"/","")," ",""),8),4),--MID(LEFT(SUBSTITUTE(SUBSTITUTE(SUBSTITUTE(SUBSTITUTE(TRIM($W1694),"-",""),".",""),"/","")," ",""),8),5,2),--MID(LEFT(SUBSTITUTE(SUBSTITUTE(SUBSTITUTE(SUBSTITUTE(TRIM($W1694),"-",""),".",""),"/","")," ",""),8),7,2)),"")))</f>
        <v/>
      </c>
      <c r="Y1694" s="32">
        <f>IF($X1694="","",INT($X1694))</f>
        <v/>
      </c>
      <c r="Z1694" s="33">
        <f>IF(OR($Y1694="",$D$6=""),"",IF(INDEX($A:$U,ROW(),$D$6)="",0,IF(ISNUMBER(INDEX($A:$U,ROW(),$D$6)),INDEX($A:$U,ROW(),$D$6),IFERROR(--SUBSTITUTE(SUBSTITUTE(TRIM(INDEX($A:$U,ROW(),$D$6)),",",""),"원",""),0))))</f>
        <v/>
      </c>
      <c r="AA1694" s="31">
        <f>IF($Y1694="","",TRIM(INDEX($A:$U,ROW(),$E$6)&amp;IF($F$6="",""," "&amp;INDEX($A:$U,ROW(),$F$6))))</f>
        <v/>
      </c>
      <c r="AB1694" s="31">
        <f>IF($AA1694="","",SUBSTITUTE(SUBSTITUTE(SUBSTITUTE(SUBSTITUTE(SUBSTITUTE(SUBSTITUTE(SUBSTITUTE(SUBSTITUTE(SUBSTITUTE($AA1694," ",""),"　",""),"(주)",""),"（주）",""),"㈜",""),"주식회사",""),"(유)",""),"（유）",""),"유한회사",""))</f>
        <v/>
      </c>
      <c r="AC1694" s="31">
        <f>IF(OR($Y1694="",N($Z1694)&lt;=0,$AB1694=""),0,IFERROR(LOOKUP(2,1/((거래처별!$AC$8:$AC$307&lt;&gt;"")*ISNUMBER(SEARCH(거래처별!$AC$8:$AC$307,$AB1694))),거래처별!$A$8:$A$307),IFERROR(LOOKUP(2,1/((거래처별!$AD$8:$AD$307&lt;&gt;"")*ISNUMBER(SEARCH(거래처별!$AD$8:$AD$307,$AB1694))),거래처별!$A$8:$A$307),IFERROR(LOOKUP(2,1/((거래처별!$AE$8:$AE$307&lt;&gt;"")*ISNUMBER(SEARCH(거래처별!$AE$8:$AE$307,$AB1694))),거래처별!$A$8:$A$307),0))))</f>
        <v/>
      </c>
      <c r="AD1694" s="31">
        <f>IF(AND($Y1694&lt;&gt;"",N($Z1694)&gt;0,$AC1694=0),MAX($AD$7:$AD1693)+1,"")</f>
        <v/>
      </c>
      <c r="AE1694" s="31">
        <f>IF($Y1694="",0,$Y1694)</f>
        <v/>
      </c>
    </row>
    <row r="1695">
      <c r="W1695" s="31">
        <f>IF(OR($B$5="",$C$6="",ROW()&lt;$B$5),"",IF(INDEX($A:$U,ROW(),$C$6)="","",INDEX($A:$U,ROW(),$C$6)))</f>
        <v/>
      </c>
      <c r="X1695" s="32">
        <f>IF($W1695="","",IF(ISNUMBER($W1695),IF($W1695&gt;=10000000,IFERROR(DATE(INT($W1695/10000),MOD(INT($W1695/100),100),MOD($W1695,100)),""),INT($W1695)),IFERROR(DATE(--LEFT(LEFT(SUBSTITUTE(SUBSTITUTE(SUBSTITUTE(SUBSTITUTE(TRIM($W1695),"-",""),".",""),"/","")," ",""),8),4),--MID(LEFT(SUBSTITUTE(SUBSTITUTE(SUBSTITUTE(SUBSTITUTE(TRIM($W1695),"-",""),".",""),"/","")," ",""),8),5,2),--MID(LEFT(SUBSTITUTE(SUBSTITUTE(SUBSTITUTE(SUBSTITUTE(TRIM($W1695),"-",""),".",""),"/","")," ",""),8),7,2)),"")))</f>
        <v/>
      </c>
      <c r="Y1695" s="32">
        <f>IF($X1695="","",INT($X1695))</f>
        <v/>
      </c>
      <c r="Z1695" s="33">
        <f>IF(OR($Y1695="",$D$6=""),"",IF(INDEX($A:$U,ROW(),$D$6)="",0,IF(ISNUMBER(INDEX($A:$U,ROW(),$D$6)),INDEX($A:$U,ROW(),$D$6),IFERROR(--SUBSTITUTE(SUBSTITUTE(TRIM(INDEX($A:$U,ROW(),$D$6)),",",""),"원",""),0))))</f>
        <v/>
      </c>
      <c r="AA1695" s="31">
        <f>IF($Y1695="","",TRIM(INDEX($A:$U,ROW(),$E$6)&amp;IF($F$6="",""," "&amp;INDEX($A:$U,ROW(),$F$6))))</f>
        <v/>
      </c>
      <c r="AB1695" s="31">
        <f>IF($AA1695="","",SUBSTITUTE(SUBSTITUTE(SUBSTITUTE(SUBSTITUTE(SUBSTITUTE(SUBSTITUTE(SUBSTITUTE(SUBSTITUTE(SUBSTITUTE($AA1695," ",""),"　",""),"(주)",""),"（주）",""),"㈜",""),"주식회사",""),"(유)",""),"（유）",""),"유한회사",""))</f>
        <v/>
      </c>
      <c r="AC1695" s="31">
        <f>IF(OR($Y1695="",N($Z1695)&lt;=0,$AB1695=""),0,IFERROR(LOOKUP(2,1/((거래처별!$AC$8:$AC$307&lt;&gt;"")*ISNUMBER(SEARCH(거래처별!$AC$8:$AC$307,$AB1695))),거래처별!$A$8:$A$307),IFERROR(LOOKUP(2,1/((거래처별!$AD$8:$AD$307&lt;&gt;"")*ISNUMBER(SEARCH(거래처별!$AD$8:$AD$307,$AB1695))),거래처별!$A$8:$A$307),IFERROR(LOOKUP(2,1/((거래처별!$AE$8:$AE$307&lt;&gt;"")*ISNUMBER(SEARCH(거래처별!$AE$8:$AE$307,$AB1695))),거래처별!$A$8:$A$307),0))))</f>
        <v/>
      </c>
      <c r="AD1695" s="31">
        <f>IF(AND($Y1695&lt;&gt;"",N($Z1695)&gt;0,$AC1695=0),MAX($AD$7:$AD1694)+1,"")</f>
        <v/>
      </c>
      <c r="AE1695" s="31">
        <f>IF($Y1695="",0,$Y1695)</f>
        <v/>
      </c>
    </row>
    <row r="1696">
      <c r="W1696" s="31">
        <f>IF(OR($B$5="",$C$6="",ROW()&lt;$B$5),"",IF(INDEX($A:$U,ROW(),$C$6)="","",INDEX($A:$U,ROW(),$C$6)))</f>
        <v/>
      </c>
      <c r="X1696" s="32">
        <f>IF($W1696="","",IF(ISNUMBER($W1696),IF($W1696&gt;=10000000,IFERROR(DATE(INT($W1696/10000),MOD(INT($W1696/100),100),MOD($W1696,100)),""),INT($W1696)),IFERROR(DATE(--LEFT(LEFT(SUBSTITUTE(SUBSTITUTE(SUBSTITUTE(SUBSTITUTE(TRIM($W1696),"-",""),".",""),"/","")," ",""),8),4),--MID(LEFT(SUBSTITUTE(SUBSTITUTE(SUBSTITUTE(SUBSTITUTE(TRIM($W1696),"-",""),".",""),"/","")," ",""),8),5,2),--MID(LEFT(SUBSTITUTE(SUBSTITUTE(SUBSTITUTE(SUBSTITUTE(TRIM($W1696),"-",""),".",""),"/","")," ",""),8),7,2)),"")))</f>
        <v/>
      </c>
      <c r="Y1696" s="32">
        <f>IF($X1696="","",INT($X1696))</f>
        <v/>
      </c>
      <c r="Z1696" s="33">
        <f>IF(OR($Y1696="",$D$6=""),"",IF(INDEX($A:$U,ROW(),$D$6)="",0,IF(ISNUMBER(INDEX($A:$U,ROW(),$D$6)),INDEX($A:$U,ROW(),$D$6),IFERROR(--SUBSTITUTE(SUBSTITUTE(TRIM(INDEX($A:$U,ROW(),$D$6)),",",""),"원",""),0))))</f>
        <v/>
      </c>
      <c r="AA1696" s="31">
        <f>IF($Y1696="","",TRIM(INDEX($A:$U,ROW(),$E$6)&amp;IF($F$6="",""," "&amp;INDEX($A:$U,ROW(),$F$6))))</f>
        <v/>
      </c>
      <c r="AB1696" s="31">
        <f>IF($AA1696="","",SUBSTITUTE(SUBSTITUTE(SUBSTITUTE(SUBSTITUTE(SUBSTITUTE(SUBSTITUTE(SUBSTITUTE(SUBSTITUTE(SUBSTITUTE($AA1696," ",""),"　",""),"(주)",""),"（주）",""),"㈜",""),"주식회사",""),"(유)",""),"（유）",""),"유한회사",""))</f>
        <v/>
      </c>
      <c r="AC1696" s="31">
        <f>IF(OR($Y1696="",N($Z1696)&lt;=0,$AB1696=""),0,IFERROR(LOOKUP(2,1/((거래처별!$AC$8:$AC$307&lt;&gt;"")*ISNUMBER(SEARCH(거래처별!$AC$8:$AC$307,$AB1696))),거래처별!$A$8:$A$307),IFERROR(LOOKUP(2,1/((거래처별!$AD$8:$AD$307&lt;&gt;"")*ISNUMBER(SEARCH(거래처별!$AD$8:$AD$307,$AB1696))),거래처별!$A$8:$A$307),IFERROR(LOOKUP(2,1/((거래처별!$AE$8:$AE$307&lt;&gt;"")*ISNUMBER(SEARCH(거래처별!$AE$8:$AE$307,$AB1696))),거래처별!$A$8:$A$307),0))))</f>
        <v/>
      </c>
      <c r="AD1696" s="31">
        <f>IF(AND($Y1696&lt;&gt;"",N($Z1696)&gt;0,$AC1696=0),MAX($AD$7:$AD1695)+1,"")</f>
        <v/>
      </c>
      <c r="AE1696" s="31">
        <f>IF($Y1696="",0,$Y1696)</f>
        <v/>
      </c>
    </row>
    <row r="1697">
      <c r="W1697" s="31">
        <f>IF(OR($B$5="",$C$6="",ROW()&lt;$B$5),"",IF(INDEX($A:$U,ROW(),$C$6)="","",INDEX($A:$U,ROW(),$C$6)))</f>
        <v/>
      </c>
      <c r="X1697" s="32">
        <f>IF($W1697="","",IF(ISNUMBER($W1697),IF($W1697&gt;=10000000,IFERROR(DATE(INT($W1697/10000),MOD(INT($W1697/100),100),MOD($W1697,100)),""),INT($W1697)),IFERROR(DATE(--LEFT(LEFT(SUBSTITUTE(SUBSTITUTE(SUBSTITUTE(SUBSTITUTE(TRIM($W1697),"-",""),".",""),"/","")," ",""),8),4),--MID(LEFT(SUBSTITUTE(SUBSTITUTE(SUBSTITUTE(SUBSTITUTE(TRIM($W1697),"-",""),".",""),"/","")," ",""),8),5,2),--MID(LEFT(SUBSTITUTE(SUBSTITUTE(SUBSTITUTE(SUBSTITUTE(TRIM($W1697),"-",""),".",""),"/","")," ",""),8),7,2)),"")))</f>
        <v/>
      </c>
      <c r="Y1697" s="32">
        <f>IF($X1697="","",INT($X1697))</f>
        <v/>
      </c>
      <c r="Z1697" s="33">
        <f>IF(OR($Y1697="",$D$6=""),"",IF(INDEX($A:$U,ROW(),$D$6)="",0,IF(ISNUMBER(INDEX($A:$U,ROW(),$D$6)),INDEX($A:$U,ROW(),$D$6),IFERROR(--SUBSTITUTE(SUBSTITUTE(TRIM(INDEX($A:$U,ROW(),$D$6)),",",""),"원",""),0))))</f>
        <v/>
      </c>
      <c r="AA1697" s="31">
        <f>IF($Y1697="","",TRIM(INDEX($A:$U,ROW(),$E$6)&amp;IF($F$6="",""," "&amp;INDEX($A:$U,ROW(),$F$6))))</f>
        <v/>
      </c>
      <c r="AB1697" s="31">
        <f>IF($AA1697="","",SUBSTITUTE(SUBSTITUTE(SUBSTITUTE(SUBSTITUTE(SUBSTITUTE(SUBSTITUTE(SUBSTITUTE(SUBSTITUTE(SUBSTITUTE($AA1697," ",""),"　",""),"(주)",""),"（주）",""),"㈜",""),"주식회사",""),"(유)",""),"（유）",""),"유한회사",""))</f>
        <v/>
      </c>
      <c r="AC1697" s="31">
        <f>IF(OR($Y1697="",N($Z1697)&lt;=0,$AB1697=""),0,IFERROR(LOOKUP(2,1/((거래처별!$AC$8:$AC$307&lt;&gt;"")*ISNUMBER(SEARCH(거래처별!$AC$8:$AC$307,$AB1697))),거래처별!$A$8:$A$307),IFERROR(LOOKUP(2,1/((거래처별!$AD$8:$AD$307&lt;&gt;"")*ISNUMBER(SEARCH(거래처별!$AD$8:$AD$307,$AB1697))),거래처별!$A$8:$A$307),IFERROR(LOOKUP(2,1/((거래처별!$AE$8:$AE$307&lt;&gt;"")*ISNUMBER(SEARCH(거래처별!$AE$8:$AE$307,$AB1697))),거래처별!$A$8:$A$307),0))))</f>
        <v/>
      </c>
      <c r="AD1697" s="31">
        <f>IF(AND($Y1697&lt;&gt;"",N($Z1697)&gt;0,$AC1697=0),MAX($AD$7:$AD1696)+1,"")</f>
        <v/>
      </c>
      <c r="AE1697" s="31">
        <f>IF($Y1697="",0,$Y1697)</f>
        <v/>
      </c>
    </row>
    <row r="1698">
      <c r="W1698" s="31">
        <f>IF(OR($B$5="",$C$6="",ROW()&lt;$B$5),"",IF(INDEX($A:$U,ROW(),$C$6)="","",INDEX($A:$U,ROW(),$C$6)))</f>
        <v/>
      </c>
      <c r="X1698" s="32">
        <f>IF($W1698="","",IF(ISNUMBER($W1698),IF($W1698&gt;=10000000,IFERROR(DATE(INT($W1698/10000),MOD(INT($W1698/100),100),MOD($W1698,100)),""),INT($W1698)),IFERROR(DATE(--LEFT(LEFT(SUBSTITUTE(SUBSTITUTE(SUBSTITUTE(SUBSTITUTE(TRIM($W1698),"-",""),".",""),"/","")," ",""),8),4),--MID(LEFT(SUBSTITUTE(SUBSTITUTE(SUBSTITUTE(SUBSTITUTE(TRIM($W1698),"-",""),".",""),"/","")," ",""),8),5,2),--MID(LEFT(SUBSTITUTE(SUBSTITUTE(SUBSTITUTE(SUBSTITUTE(TRIM($W1698),"-",""),".",""),"/","")," ",""),8),7,2)),"")))</f>
        <v/>
      </c>
      <c r="Y1698" s="32">
        <f>IF($X1698="","",INT($X1698))</f>
        <v/>
      </c>
      <c r="Z1698" s="33">
        <f>IF(OR($Y1698="",$D$6=""),"",IF(INDEX($A:$U,ROW(),$D$6)="",0,IF(ISNUMBER(INDEX($A:$U,ROW(),$D$6)),INDEX($A:$U,ROW(),$D$6),IFERROR(--SUBSTITUTE(SUBSTITUTE(TRIM(INDEX($A:$U,ROW(),$D$6)),",",""),"원",""),0))))</f>
        <v/>
      </c>
      <c r="AA1698" s="31">
        <f>IF($Y1698="","",TRIM(INDEX($A:$U,ROW(),$E$6)&amp;IF($F$6="",""," "&amp;INDEX($A:$U,ROW(),$F$6))))</f>
        <v/>
      </c>
      <c r="AB1698" s="31">
        <f>IF($AA1698="","",SUBSTITUTE(SUBSTITUTE(SUBSTITUTE(SUBSTITUTE(SUBSTITUTE(SUBSTITUTE(SUBSTITUTE(SUBSTITUTE(SUBSTITUTE($AA1698," ",""),"　",""),"(주)",""),"（주）",""),"㈜",""),"주식회사",""),"(유)",""),"（유）",""),"유한회사",""))</f>
        <v/>
      </c>
      <c r="AC1698" s="31">
        <f>IF(OR($Y1698="",N($Z1698)&lt;=0,$AB1698=""),0,IFERROR(LOOKUP(2,1/((거래처별!$AC$8:$AC$307&lt;&gt;"")*ISNUMBER(SEARCH(거래처별!$AC$8:$AC$307,$AB1698))),거래처별!$A$8:$A$307),IFERROR(LOOKUP(2,1/((거래처별!$AD$8:$AD$307&lt;&gt;"")*ISNUMBER(SEARCH(거래처별!$AD$8:$AD$307,$AB1698))),거래처별!$A$8:$A$307),IFERROR(LOOKUP(2,1/((거래처별!$AE$8:$AE$307&lt;&gt;"")*ISNUMBER(SEARCH(거래처별!$AE$8:$AE$307,$AB1698))),거래처별!$A$8:$A$307),0))))</f>
        <v/>
      </c>
      <c r="AD1698" s="31">
        <f>IF(AND($Y1698&lt;&gt;"",N($Z1698)&gt;0,$AC1698=0),MAX($AD$7:$AD1697)+1,"")</f>
        <v/>
      </c>
      <c r="AE1698" s="31">
        <f>IF($Y1698="",0,$Y1698)</f>
        <v/>
      </c>
    </row>
    <row r="1699">
      <c r="W1699" s="31">
        <f>IF(OR($B$5="",$C$6="",ROW()&lt;$B$5),"",IF(INDEX($A:$U,ROW(),$C$6)="","",INDEX($A:$U,ROW(),$C$6)))</f>
        <v/>
      </c>
      <c r="X1699" s="32">
        <f>IF($W1699="","",IF(ISNUMBER($W1699),IF($W1699&gt;=10000000,IFERROR(DATE(INT($W1699/10000),MOD(INT($W1699/100),100),MOD($W1699,100)),""),INT($W1699)),IFERROR(DATE(--LEFT(LEFT(SUBSTITUTE(SUBSTITUTE(SUBSTITUTE(SUBSTITUTE(TRIM($W1699),"-",""),".",""),"/","")," ",""),8),4),--MID(LEFT(SUBSTITUTE(SUBSTITUTE(SUBSTITUTE(SUBSTITUTE(TRIM($W1699),"-",""),".",""),"/","")," ",""),8),5,2),--MID(LEFT(SUBSTITUTE(SUBSTITUTE(SUBSTITUTE(SUBSTITUTE(TRIM($W1699),"-",""),".",""),"/","")," ",""),8),7,2)),"")))</f>
        <v/>
      </c>
      <c r="Y1699" s="32">
        <f>IF($X1699="","",INT($X1699))</f>
        <v/>
      </c>
      <c r="Z1699" s="33">
        <f>IF(OR($Y1699="",$D$6=""),"",IF(INDEX($A:$U,ROW(),$D$6)="",0,IF(ISNUMBER(INDEX($A:$U,ROW(),$D$6)),INDEX($A:$U,ROW(),$D$6),IFERROR(--SUBSTITUTE(SUBSTITUTE(TRIM(INDEX($A:$U,ROW(),$D$6)),",",""),"원",""),0))))</f>
        <v/>
      </c>
      <c r="AA1699" s="31">
        <f>IF($Y1699="","",TRIM(INDEX($A:$U,ROW(),$E$6)&amp;IF($F$6="",""," "&amp;INDEX($A:$U,ROW(),$F$6))))</f>
        <v/>
      </c>
      <c r="AB1699" s="31">
        <f>IF($AA1699="","",SUBSTITUTE(SUBSTITUTE(SUBSTITUTE(SUBSTITUTE(SUBSTITUTE(SUBSTITUTE(SUBSTITUTE(SUBSTITUTE(SUBSTITUTE($AA1699," ",""),"　",""),"(주)",""),"（주）",""),"㈜",""),"주식회사",""),"(유)",""),"（유）",""),"유한회사",""))</f>
        <v/>
      </c>
      <c r="AC1699" s="31">
        <f>IF(OR($Y1699="",N($Z1699)&lt;=0,$AB1699=""),0,IFERROR(LOOKUP(2,1/((거래처별!$AC$8:$AC$307&lt;&gt;"")*ISNUMBER(SEARCH(거래처별!$AC$8:$AC$307,$AB1699))),거래처별!$A$8:$A$307),IFERROR(LOOKUP(2,1/((거래처별!$AD$8:$AD$307&lt;&gt;"")*ISNUMBER(SEARCH(거래처별!$AD$8:$AD$307,$AB1699))),거래처별!$A$8:$A$307),IFERROR(LOOKUP(2,1/((거래처별!$AE$8:$AE$307&lt;&gt;"")*ISNUMBER(SEARCH(거래처별!$AE$8:$AE$307,$AB1699))),거래처별!$A$8:$A$307),0))))</f>
        <v/>
      </c>
      <c r="AD1699" s="31">
        <f>IF(AND($Y1699&lt;&gt;"",N($Z1699)&gt;0,$AC1699=0),MAX($AD$7:$AD1698)+1,"")</f>
        <v/>
      </c>
      <c r="AE1699" s="31">
        <f>IF($Y1699="",0,$Y1699)</f>
        <v/>
      </c>
    </row>
    <row r="1700">
      <c r="W1700" s="31">
        <f>IF(OR($B$5="",$C$6="",ROW()&lt;$B$5),"",IF(INDEX($A:$U,ROW(),$C$6)="","",INDEX($A:$U,ROW(),$C$6)))</f>
        <v/>
      </c>
      <c r="X1700" s="32">
        <f>IF($W1700="","",IF(ISNUMBER($W1700),IF($W1700&gt;=10000000,IFERROR(DATE(INT($W1700/10000),MOD(INT($W1700/100),100),MOD($W1700,100)),""),INT($W1700)),IFERROR(DATE(--LEFT(LEFT(SUBSTITUTE(SUBSTITUTE(SUBSTITUTE(SUBSTITUTE(TRIM($W1700),"-",""),".",""),"/","")," ",""),8),4),--MID(LEFT(SUBSTITUTE(SUBSTITUTE(SUBSTITUTE(SUBSTITUTE(TRIM($W1700),"-",""),".",""),"/","")," ",""),8),5,2),--MID(LEFT(SUBSTITUTE(SUBSTITUTE(SUBSTITUTE(SUBSTITUTE(TRIM($W1700),"-",""),".",""),"/","")," ",""),8),7,2)),"")))</f>
        <v/>
      </c>
      <c r="Y1700" s="32">
        <f>IF($X1700="","",INT($X1700))</f>
        <v/>
      </c>
      <c r="Z1700" s="33">
        <f>IF(OR($Y1700="",$D$6=""),"",IF(INDEX($A:$U,ROW(),$D$6)="",0,IF(ISNUMBER(INDEX($A:$U,ROW(),$D$6)),INDEX($A:$U,ROW(),$D$6),IFERROR(--SUBSTITUTE(SUBSTITUTE(TRIM(INDEX($A:$U,ROW(),$D$6)),",",""),"원",""),0))))</f>
        <v/>
      </c>
      <c r="AA1700" s="31">
        <f>IF($Y1700="","",TRIM(INDEX($A:$U,ROW(),$E$6)&amp;IF($F$6="",""," "&amp;INDEX($A:$U,ROW(),$F$6))))</f>
        <v/>
      </c>
      <c r="AB1700" s="31">
        <f>IF($AA1700="","",SUBSTITUTE(SUBSTITUTE(SUBSTITUTE(SUBSTITUTE(SUBSTITUTE(SUBSTITUTE(SUBSTITUTE(SUBSTITUTE(SUBSTITUTE($AA1700," ",""),"　",""),"(주)",""),"（주）",""),"㈜",""),"주식회사",""),"(유)",""),"（유）",""),"유한회사",""))</f>
        <v/>
      </c>
      <c r="AC1700" s="31">
        <f>IF(OR($Y1700="",N($Z1700)&lt;=0,$AB1700=""),0,IFERROR(LOOKUP(2,1/((거래처별!$AC$8:$AC$307&lt;&gt;"")*ISNUMBER(SEARCH(거래처별!$AC$8:$AC$307,$AB1700))),거래처별!$A$8:$A$307),IFERROR(LOOKUP(2,1/((거래처별!$AD$8:$AD$307&lt;&gt;"")*ISNUMBER(SEARCH(거래처별!$AD$8:$AD$307,$AB1700))),거래처별!$A$8:$A$307),IFERROR(LOOKUP(2,1/((거래처별!$AE$8:$AE$307&lt;&gt;"")*ISNUMBER(SEARCH(거래처별!$AE$8:$AE$307,$AB1700))),거래처별!$A$8:$A$307),0))))</f>
        <v/>
      </c>
      <c r="AD1700" s="31">
        <f>IF(AND($Y1700&lt;&gt;"",N($Z1700)&gt;0,$AC1700=0),MAX($AD$7:$AD1699)+1,"")</f>
        <v/>
      </c>
      <c r="AE1700" s="31">
        <f>IF($Y1700="",0,$Y1700)</f>
        <v/>
      </c>
    </row>
    <row r="1701">
      <c r="W1701" s="31">
        <f>IF(OR($B$5="",$C$6="",ROW()&lt;$B$5),"",IF(INDEX($A:$U,ROW(),$C$6)="","",INDEX($A:$U,ROW(),$C$6)))</f>
        <v/>
      </c>
      <c r="X1701" s="32">
        <f>IF($W1701="","",IF(ISNUMBER($W1701),IF($W1701&gt;=10000000,IFERROR(DATE(INT($W1701/10000),MOD(INT($W1701/100),100),MOD($W1701,100)),""),INT($W1701)),IFERROR(DATE(--LEFT(LEFT(SUBSTITUTE(SUBSTITUTE(SUBSTITUTE(SUBSTITUTE(TRIM($W1701),"-",""),".",""),"/","")," ",""),8),4),--MID(LEFT(SUBSTITUTE(SUBSTITUTE(SUBSTITUTE(SUBSTITUTE(TRIM($W1701),"-",""),".",""),"/","")," ",""),8),5,2),--MID(LEFT(SUBSTITUTE(SUBSTITUTE(SUBSTITUTE(SUBSTITUTE(TRIM($W1701),"-",""),".",""),"/","")," ",""),8),7,2)),"")))</f>
        <v/>
      </c>
      <c r="Y1701" s="32">
        <f>IF($X1701="","",INT($X1701))</f>
        <v/>
      </c>
      <c r="Z1701" s="33">
        <f>IF(OR($Y1701="",$D$6=""),"",IF(INDEX($A:$U,ROW(),$D$6)="",0,IF(ISNUMBER(INDEX($A:$U,ROW(),$D$6)),INDEX($A:$U,ROW(),$D$6),IFERROR(--SUBSTITUTE(SUBSTITUTE(TRIM(INDEX($A:$U,ROW(),$D$6)),",",""),"원",""),0))))</f>
        <v/>
      </c>
      <c r="AA1701" s="31">
        <f>IF($Y1701="","",TRIM(INDEX($A:$U,ROW(),$E$6)&amp;IF($F$6="",""," "&amp;INDEX($A:$U,ROW(),$F$6))))</f>
        <v/>
      </c>
      <c r="AB1701" s="31">
        <f>IF($AA1701="","",SUBSTITUTE(SUBSTITUTE(SUBSTITUTE(SUBSTITUTE(SUBSTITUTE(SUBSTITUTE(SUBSTITUTE(SUBSTITUTE(SUBSTITUTE($AA1701," ",""),"　",""),"(주)",""),"（주）",""),"㈜",""),"주식회사",""),"(유)",""),"（유）",""),"유한회사",""))</f>
        <v/>
      </c>
      <c r="AC1701" s="31">
        <f>IF(OR($Y1701="",N($Z1701)&lt;=0,$AB1701=""),0,IFERROR(LOOKUP(2,1/((거래처별!$AC$8:$AC$307&lt;&gt;"")*ISNUMBER(SEARCH(거래처별!$AC$8:$AC$307,$AB1701))),거래처별!$A$8:$A$307),IFERROR(LOOKUP(2,1/((거래처별!$AD$8:$AD$307&lt;&gt;"")*ISNUMBER(SEARCH(거래처별!$AD$8:$AD$307,$AB1701))),거래처별!$A$8:$A$307),IFERROR(LOOKUP(2,1/((거래처별!$AE$8:$AE$307&lt;&gt;"")*ISNUMBER(SEARCH(거래처별!$AE$8:$AE$307,$AB1701))),거래처별!$A$8:$A$307),0))))</f>
        <v/>
      </c>
      <c r="AD1701" s="31">
        <f>IF(AND($Y1701&lt;&gt;"",N($Z1701)&gt;0,$AC1701=0),MAX($AD$7:$AD1700)+1,"")</f>
        <v/>
      </c>
      <c r="AE1701" s="31">
        <f>IF($Y1701="",0,$Y1701)</f>
        <v/>
      </c>
    </row>
    <row r="1702">
      <c r="W1702" s="31">
        <f>IF(OR($B$5="",$C$6="",ROW()&lt;$B$5),"",IF(INDEX($A:$U,ROW(),$C$6)="","",INDEX($A:$U,ROW(),$C$6)))</f>
        <v/>
      </c>
      <c r="X1702" s="32">
        <f>IF($W1702="","",IF(ISNUMBER($W1702),IF($W1702&gt;=10000000,IFERROR(DATE(INT($W1702/10000),MOD(INT($W1702/100),100),MOD($W1702,100)),""),INT($W1702)),IFERROR(DATE(--LEFT(LEFT(SUBSTITUTE(SUBSTITUTE(SUBSTITUTE(SUBSTITUTE(TRIM($W1702),"-",""),".",""),"/","")," ",""),8),4),--MID(LEFT(SUBSTITUTE(SUBSTITUTE(SUBSTITUTE(SUBSTITUTE(TRIM($W1702),"-",""),".",""),"/","")," ",""),8),5,2),--MID(LEFT(SUBSTITUTE(SUBSTITUTE(SUBSTITUTE(SUBSTITUTE(TRIM($W1702),"-",""),".",""),"/","")," ",""),8),7,2)),"")))</f>
        <v/>
      </c>
      <c r="Y1702" s="32">
        <f>IF($X1702="","",INT($X1702))</f>
        <v/>
      </c>
      <c r="Z1702" s="33">
        <f>IF(OR($Y1702="",$D$6=""),"",IF(INDEX($A:$U,ROW(),$D$6)="",0,IF(ISNUMBER(INDEX($A:$U,ROW(),$D$6)),INDEX($A:$U,ROW(),$D$6),IFERROR(--SUBSTITUTE(SUBSTITUTE(TRIM(INDEX($A:$U,ROW(),$D$6)),",",""),"원",""),0))))</f>
        <v/>
      </c>
      <c r="AA1702" s="31">
        <f>IF($Y1702="","",TRIM(INDEX($A:$U,ROW(),$E$6)&amp;IF($F$6="",""," "&amp;INDEX($A:$U,ROW(),$F$6))))</f>
        <v/>
      </c>
      <c r="AB1702" s="31">
        <f>IF($AA1702="","",SUBSTITUTE(SUBSTITUTE(SUBSTITUTE(SUBSTITUTE(SUBSTITUTE(SUBSTITUTE(SUBSTITUTE(SUBSTITUTE(SUBSTITUTE($AA1702," ",""),"　",""),"(주)",""),"（주）",""),"㈜",""),"주식회사",""),"(유)",""),"（유）",""),"유한회사",""))</f>
        <v/>
      </c>
      <c r="AC1702" s="31">
        <f>IF(OR($Y1702="",N($Z1702)&lt;=0,$AB1702=""),0,IFERROR(LOOKUP(2,1/((거래처별!$AC$8:$AC$307&lt;&gt;"")*ISNUMBER(SEARCH(거래처별!$AC$8:$AC$307,$AB1702))),거래처별!$A$8:$A$307),IFERROR(LOOKUP(2,1/((거래처별!$AD$8:$AD$307&lt;&gt;"")*ISNUMBER(SEARCH(거래처별!$AD$8:$AD$307,$AB1702))),거래처별!$A$8:$A$307),IFERROR(LOOKUP(2,1/((거래처별!$AE$8:$AE$307&lt;&gt;"")*ISNUMBER(SEARCH(거래처별!$AE$8:$AE$307,$AB1702))),거래처별!$A$8:$A$307),0))))</f>
        <v/>
      </c>
      <c r="AD1702" s="31">
        <f>IF(AND($Y1702&lt;&gt;"",N($Z1702)&gt;0,$AC1702=0),MAX($AD$7:$AD1701)+1,"")</f>
        <v/>
      </c>
      <c r="AE1702" s="31">
        <f>IF($Y1702="",0,$Y1702)</f>
        <v/>
      </c>
    </row>
    <row r="1703">
      <c r="W1703" s="31">
        <f>IF(OR($B$5="",$C$6="",ROW()&lt;$B$5),"",IF(INDEX($A:$U,ROW(),$C$6)="","",INDEX($A:$U,ROW(),$C$6)))</f>
        <v/>
      </c>
      <c r="X1703" s="32">
        <f>IF($W1703="","",IF(ISNUMBER($W1703),IF($W1703&gt;=10000000,IFERROR(DATE(INT($W1703/10000),MOD(INT($W1703/100),100),MOD($W1703,100)),""),INT($W1703)),IFERROR(DATE(--LEFT(LEFT(SUBSTITUTE(SUBSTITUTE(SUBSTITUTE(SUBSTITUTE(TRIM($W1703),"-",""),".",""),"/","")," ",""),8),4),--MID(LEFT(SUBSTITUTE(SUBSTITUTE(SUBSTITUTE(SUBSTITUTE(TRIM($W1703),"-",""),".",""),"/","")," ",""),8),5,2),--MID(LEFT(SUBSTITUTE(SUBSTITUTE(SUBSTITUTE(SUBSTITUTE(TRIM($W1703),"-",""),".",""),"/","")," ",""),8),7,2)),"")))</f>
        <v/>
      </c>
      <c r="Y1703" s="32">
        <f>IF($X1703="","",INT($X1703))</f>
        <v/>
      </c>
      <c r="Z1703" s="33">
        <f>IF(OR($Y1703="",$D$6=""),"",IF(INDEX($A:$U,ROW(),$D$6)="",0,IF(ISNUMBER(INDEX($A:$U,ROW(),$D$6)),INDEX($A:$U,ROW(),$D$6),IFERROR(--SUBSTITUTE(SUBSTITUTE(TRIM(INDEX($A:$U,ROW(),$D$6)),",",""),"원",""),0))))</f>
        <v/>
      </c>
      <c r="AA1703" s="31">
        <f>IF($Y1703="","",TRIM(INDEX($A:$U,ROW(),$E$6)&amp;IF($F$6="",""," "&amp;INDEX($A:$U,ROW(),$F$6))))</f>
        <v/>
      </c>
      <c r="AB1703" s="31">
        <f>IF($AA1703="","",SUBSTITUTE(SUBSTITUTE(SUBSTITUTE(SUBSTITUTE(SUBSTITUTE(SUBSTITUTE(SUBSTITUTE(SUBSTITUTE(SUBSTITUTE($AA1703," ",""),"　",""),"(주)",""),"（주）",""),"㈜",""),"주식회사",""),"(유)",""),"（유）",""),"유한회사",""))</f>
        <v/>
      </c>
      <c r="AC1703" s="31">
        <f>IF(OR($Y1703="",N($Z1703)&lt;=0,$AB1703=""),0,IFERROR(LOOKUP(2,1/((거래처별!$AC$8:$AC$307&lt;&gt;"")*ISNUMBER(SEARCH(거래처별!$AC$8:$AC$307,$AB1703))),거래처별!$A$8:$A$307),IFERROR(LOOKUP(2,1/((거래처별!$AD$8:$AD$307&lt;&gt;"")*ISNUMBER(SEARCH(거래처별!$AD$8:$AD$307,$AB1703))),거래처별!$A$8:$A$307),IFERROR(LOOKUP(2,1/((거래처별!$AE$8:$AE$307&lt;&gt;"")*ISNUMBER(SEARCH(거래처별!$AE$8:$AE$307,$AB1703))),거래처별!$A$8:$A$307),0))))</f>
        <v/>
      </c>
      <c r="AD1703" s="31">
        <f>IF(AND($Y1703&lt;&gt;"",N($Z1703)&gt;0,$AC1703=0),MAX($AD$7:$AD1702)+1,"")</f>
        <v/>
      </c>
      <c r="AE1703" s="31">
        <f>IF($Y1703="",0,$Y1703)</f>
        <v/>
      </c>
    </row>
    <row r="1704">
      <c r="W1704" s="31">
        <f>IF(OR($B$5="",$C$6="",ROW()&lt;$B$5),"",IF(INDEX($A:$U,ROW(),$C$6)="","",INDEX($A:$U,ROW(),$C$6)))</f>
        <v/>
      </c>
      <c r="X1704" s="32">
        <f>IF($W1704="","",IF(ISNUMBER($W1704),IF($W1704&gt;=10000000,IFERROR(DATE(INT($W1704/10000),MOD(INT($W1704/100),100),MOD($W1704,100)),""),INT($W1704)),IFERROR(DATE(--LEFT(LEFT(SUBSTITUTE(SUBSTITUTE(SUBSTITUTE(SUBSTITUTE(TRIM($W1704),"-",""),".",""),"/","")," ",""),8),4),--MID(LEFT(SUBSTITUTE(SUBSTITUTE(SUBSTITUTE(SUBSTITUTE(TRIM($W1704),"-",""),".",""),"/","")," ",""),8),5,2),--MID(LEFT(SUBSTITUTE(SUBSTITUTE(SUBSTITUTE(SUBSTITUTE(TRIM($W1704),"-",""),".",""),"/","")," ",""),8),7,2)),"")))</f>
        <v/>
      </c>
      <c r="Y1704" s="32">
        <f>IF($X1704="","",INT($X1704))</f>
        <v/>
      </c>
      <c r="Z1704" s="33">
        <f>IF(OR($Y1704="",$D$6=""),"",IF(INDEX($A:$U,ROW(),$D$6)="",0,IF(ISNUMBER(INDEX($A:$U,ROW(),$D$6)),INDEX($A:$U,ROW(),$D$6),IFERROR(--SUBSTITUTE(SUBSTITUTE(TRIM(INDEX($A:$U,ROW(),$D$6)),",",""),"원",""),0))))</f>
        <v/>
      </c>
      <c r="AA1704" s="31">
        <f>IF($Y1704="","",TRIM(INDEX($A:$U,ROW(),$E$6)&amp;IF($F$6="",""," "&amp;INDEX($A:$U,ROW(),$F$6))))</f>
        <v/>
      </c>
      <c r="AB1704" s="31">
        <f>IF($AA1704="","",SUBSTITUTE(SUBSTITUTE(SUBSTITUTE(SUBSTITUTE(SUBSTITUTE(SUBSTITUTE(SUBSTITUTE(SUBSTITUTE(SUBSTITUTE($AA1704," ",""),"　",""),"(주)",""),"（주）",""),"㈜",""),"주식회사",""),"(유)",""),"（유）",""),"유한회사",""))</f>
        <v/>
      </c>
      <c r="AC1704" s="31">
        <f>IF(OR($Y1704="",N($Z1704)&lt;=0,$AB1704=""),0,IFERROR(LOOKUP(2,1/((거래처별!$AC$8:$AC$307&lt;&gt;"")*ISNUMBER(SEARCH(거래처별!$AC$8:$AC$307,$AB1704))),거래처별!$A$8:$A$307),IFERROR(LOOKUP(2,1/((거래처별!$AD$8:$AD$307&lt;&gt;"")*ISNUMBER(SEARCH(거래처별!$AD$8:$AD$307,$AB1704))),거래처별!$A$8:$A$307),IFERROR(LOOKUP(2,1/((거래처별!$AE$8:$AE$307&lt;&gt;"")*ISNUMBER(SEARCH(거래처별!$AE$8:$AE$307,$AB1704))),거래처별!$A$8:$A$307),0))))</f>
        <v/>
      </c>
      <c r="AD1704" s="31">
        <f>IF(AND($Y1704&lt;&gt;"",N($Z1704)&gt;0,$AC1704=0),MAX($AD$7:$AD1703)+1,"")</f>
        <v/>
      </c>
      <c r="AE1704" s="31">
        <f>IF($Y1704="",0,$Y1704)</f>
        <v/>
      </c>
    </row>
    <row r="1705">
      <c r="W1705" s="31">
        <f>IF(OR($B$5="",$C$6="",ROW()&lt;$B$5),"",IF(INDEX($A:$U,ROW(),$C$6)="","",INDEX($A:$U,ROW(),$C$6)))</f>
        <v/>
      </c>
      <c r="X1705" s="32">
        <f>IF($W1705="","",IF(ISNUMBER($W1705),IF($W1705&gt;=10000000,IFERROR(DATE(INT($W1705/10000),MOD(INT($W1705/100),100),MOD($W1705,100)),""),INT($W1705)),IFERROR(DATE(--LEFT(LEFT(SUBSTITUTE(SUBSTITUTE(SUBSTITUTE(SUBSTITUTE(TRIM($W1705),"-",""),".",""),"/","")," ",""),8),4),--MID(LEFT(SUBSTITUTE(SUBSTITUTE(SUBSTITUTE(SUBSTITUTE(TRIM($W1705),"-",""),".",""),"/","")," ",""),8),5,2),--MID(LEFT(SUBSTITUTE(SUBSTITUTE(SUBSTITUTE(SUBSTITUTE(TRIM($W1705),"-",""),".",""),"/","")," ",""),8),7,2)),"")))</f>
        <v/>
      </c>
      <c r="Y1705" s="32">
        <f>IF($X1705="","",INT($X1705))</f>
        <v/>
      </c>
      <c r="Z1705" s="33">
        <f>IF(OR($Y1705="",$D$6=""),"",IF(INDEX($A:$U,ROW(),$D$6)="",0,IF(ISNUMBER(INDEX($A:$U,ROW(),$D$6)),INDEX($A:$U,ROW(),$D$6),IFERROR(--SUBSTITUTE(SUBSTITUTE(TRIM(INDEX($A:$U,ROW(),$D$6)),",",""),"원",""),0))))</f>
        <v/>
      </c>
      <c r="AA1705" s="31">
        <f>IF($Y1705="","",TRIM(INDEX($A:$U,ROW(),$E$6)&amp;IF($F$6="",""," "&amp;INDEX($A:$U,ROW(),$F$6))))</f>
        <v/>
      </c>
      <c r="AB1705" s="31">
        <f>IF($AA1705="","",SUBSTITUTE(SUBSTITUTE(SUBSTITUTE(SUBSTITUTE(SUBSTITUTE(SUBSTITUTE(SUBSTITUTE(SUBSTITUTE(SUBSTITUTE($AA1705," ",""),"　",""),"(주)",""),"（주）",""),"㈜",""),"주식회사",""),"(유)",""),"（유）",""),"유한회사",""))</f>
        <v/>
      </c>
      <c r="AC1705" s="31">
        <f>IF(OR($Y1705="",N($Z1705)&lt;=0,$AB1705=""),0,IFERROR(LOOKUP(2,1/((거래처별!$AC$8:$AC$307&lt;&gt;"")*ISNUMBER(SEARCH(거래처별!$AC$8:$AC$307,$AB1705))),거래처별!$A$8:$A$307),IFERROR(LOOKUP(2,1/((거래처별!$AD$8:$AD$307&lt;&gt;"")*ISNUMBER(SEARCH(거래처별!$AD$8:$AD$307,$AB1705))),거래처별!$A$8:$A$307),IFERROR(LOOKUP(2,1/((거래처별!$AE$8:$AE$307&lt;&gt;"")*ISNUMBER(SEARCH(거래처별!$AE$8:$AE$307,$AB1705))),거래처별!$A$8:$A$307),0))))</f>
        <v/>
      </c>
      <c r="AD1705" s="31">
        <f>IF(AND($Y1705&lt;&gt;"",N($Z1705)&gt;0,$AC1705=0),MAX($AD$7:$AD1704)+1,"")</f>
        <v/>
      </c>
      <c r="AE1705" s="31">
        <f>IF($Y1705="",0,$Y1705)</f>
        <v/>
      </c>
    </row>
    <row r="1706">
      <c r="W1706" s="31">
        <f>IF(OR($B$5="",$C$6="",ROW()&lt;$B$5),"",IF(INDEX($A:$U,ROW(),$C$6)="","",INDEX($A:$U,ROW(),$C$6)))</f>
        <v/>
      </c>
      <c r="X1706" s="32">
        <f>IF($W1706="","",IF(ISNUMBER($W1706),IF($W1706&gt;=10000000,IFERROR(DATE(INT($W1706/10000),MOD(INT($W1706/100),100),MOD($W1706,100)),""),INT($W1706)),IFERROR(DATE(--LEFT(LEFT(SUBSTITUTE(SUBSTITUTE(SUBSTITUTE(SUBSTITUTE(TRIM($W1706),"-",""),".",""),"/","")," ",""),8),4),--MID(LEFT(SUBSTITUTE(SUBSTITUTE(SUBSTITUTE(SUBSTITUTE(TRIM($W1706),"-",""),".",""),"/","")," ",""),8),5,2),--MID(LEFT(SUBSTITUTE(SUBSTITUTE(SUBSTITUTE(SUBSTITUTE(TRIM($W1706),"-",""),".",""),"/","")," ",""),8),7,2)),"")))</f>
        <v/>
      </c>
      <c r="Y1706" s="32">
        <f>IF($X1706="","",INT($X1706))</f>
        <v/>
      </c>
      <c r="Z1706" s="33">
        <f>IF(OR($Y1706="",$D$6=""),"",IF(INDEX($A:$U,ROW(),$D$6)="",0,IF(ISNUMBER(INDEX($A:$U,ROW(),$D$6)),INDEX($A:$U,ROW(),$D$6),IFERROR(--SUBSTITUTE(SUBSTITUTE(TRIM(INDEX($A:$U,ROW(),$D$6)),",",""),"원",""),0))))</f>
        <v/>
      </c>
      <c r="AA1706" s="31">
        <f>IF($Y1706="","",TRIM(INDEX($A:$U,ROW(),$E$6)&amp;IF($F$6="",""," "&amp;INDEX($A:$U,ROW(),$F$6))))</f>
        <v/>
      </c>
      <c r="AB1706" s="31">
        <f>IF($AA1706="","",SUBSTITUTE(SUBSTITUTE(SUBSTITUTE(SUBSTITUTE(SUBSTITUTE(SUBSTITUTE(SUBSTITUTE(SUBSTITUTE(SUBSTITUTE($AA1706," ",""),"　",""),"(주)",""),"（주）",""),"㈜",""),"주식회사",""),"(유)",""),"（유）",""),"유한회사",""))</f>
        <v/>
      </c>
      <c r="AC1706" s="31">
        <f>IF(OR($Y1706="",N($Z1706)&lt;=0,$AB1706=""),0,IFERROR(LOOKUP(2,1/((거래처별!$AC$8:$AC$307&lt;&gt;"")*ISNUMBER(SEARCH(거래처별!$AC$8:$AC$307,$AB1706))),거래처별!$A$8:$A$307),IFERROR(LOOKUP(2,1/((거래처별!$AD$8:$AD$307&lt;&gt;"")*ISNUMBER(SEARCH(거래처별!$AD$8:$AD$307,$AB1706))),거래처별!$A$8:$A$307),IFERROR(LOOKUP(2,1/((거래처별!$AE$8:$AE$307&lt;&gt;"")*ISNUMBER(SEARCH(거래처별!$AE$8:$AE$307,$AB1706))),거래처별!$A$8:$A$307),0))))</f>
        <v/>
      </c>
      <c r="AD1706" s="31">
        <f>IF(AND($Y1706&lt;&gt;"",N($Z1706)&gt;0,$AC1706=0),MAX($AD$7:$AD1705)+1,"")</f>
        <v/>
      </c>
      <c r="AE1706" s="31">
        <f>IF($Y1706="",0,$Y1706)</f>
        <v/>
      </c>
    </row>
    <row r="1707">
      <c r="W1707" s="31">
        <f>IF(OR($B$5="",$C$6="",ROW()&lt;$B$5),"",IF(INDEX($A:$U,ROW(),$C$6)="","",INDEX($A:$U,ROW(),$C$6)))</f>
        <v/>
      </c>
      <c r="X1707" s="32">
        <f>IF($W1707="","",IF(ISNUMBER($W1707),IF($W1707&gt;=10000000,IFERROR(DATE(INT($W1707/10000),MOD(INT($W1707/100),100),MOD($W1707,100)),""),INT($W1707)),IFERROR(DATE(--LEFT(LEFT(SUBSTITUTE(SUBSTITUTE(SUBSTITUTE(SUBSTITUTE(TRIM($W1707),"-",""),".",""),"/","")," ",""),8),4),--MID(LEFT(SUBSTITUTE(SUBSTITUTE(SUBSTITUTE(SUBSTITUTE(TRIM($W1707),"-",""),".",""),"/","")," ",""),8),5,2),--MID(LEFT(SUBSTITUTE(SUBSTITUTE(SUBSTITUTE(SUBSTITUTE(TRIM($W1707),"-",""),".",""),"/","")," ",""),8),7,2)),"")))</f>
        <v/>
      </c>
      <c r="Y1707" s="32">
        <f>IF($X1707="","",INT($X1707))</f>
        <v/>
      </c>
      <c r="Z1707" s="33">
        <f>IF(OR($Y1707="",$D$6=""),"",IF(INDEX($A:$U,ROW(),$D$6)="",0,IF(ISNUMBER(INDEX($A:$U,ROW(),$D$6)),INDEX($A:$U,ROW(),$D$6),IFERROR(--SUBSTITUTE(SUBSTITUTE(TRIM(INDEX($A:$U,ROW(),$D$6)),",",""),"원",""),0))))</f>
        <v/>
      </c>
      <c r="AA1707" s="31">
        <f>IF($Y1707="","",TRIM(INDEX($A:$U,ROW(),$E$6)&amp;IF($F$6="",""," "&amp;INDEX($A:$U,ROW(),$F$6))))</f>
        <v/>
      </c>
      <c r="AB1707" s="31">
        <f>IF($AA1707="","",SUBSTITUTE(SUBSTITUTE(SUBSTITUTE(SUBSTITUTE(SUBSTITUTE(SUBSTITUTE(SUBSTITUTE(SUBSTITUTE(SUBSTITUTE($AA1707," ",""),"　",""),"(주)",""),"（주）",""),"㈜",""),"주식회사",""),"(유)",""),"（유）",""),"유한회사",""))</f>
        <v/>
      </c>
      <c r="AC1707" s="31">
        <f>IF(OR($Y1707="",N($Z1707)&lt;=0,$AB1707=""),0,IFERROR(LOOKUP(2,1/((거래처별!$AC$8:$AC$307&lt;&gt;"")*ISNUMBER(SEARCH(거래처별!$AC$8:$AC$307,$AB1707))),거래처별!$A$8:$A$307),IFERROR(LOOKUP(2,1/((거래처별!$AD$8:$AD$307&lt;&gt;"")*ISNUMBER(SEARCH(거래처별!$AD$8:$AD$307,$AB1707))),거래처별!$A$8:$A$307),IFERROR(LOOKUP(2,1/((거래처별!$AE$8:$AE$307&lt;&gt;"")*ISNUMBER(SEARCH(거래처별!$AE$8:$AE$307,$AB1707))),거래처별!$A$8:$A$307),0))))</f>
        <v/>
      </c>
      <c r="AD1707" s="31">
        <f>IF(AND($Y1707&lt;&gt;"",N($Z1707)&gt;0,$AC1707=0),MAX($AD$7:$AD1706)+1,"")</f>
        <v/>
      </c>
      <c r="AE1707" s="31">
        <f>IF($Y1707="",0,$Y1707)</f>
        <v/>
      </c>
    </row>
    <row r="1708">
      <c r="W1708" s="31">
        <f>IF(OR($B$5="",$C$6="",ROW()&lt;$B$5),"",IF(INDEX($A:$U,ROW(),$C$6)="","",INDEX($A:$U,ROW(),$C$6)))</f>
        <v/>
      </c>
      <c r="X1708" s="32">
        <f>IF($W1708="","",IF(ISNUMBER($W1708),IF($W1708&gt;=10000000,IFERROR(DATE(INT($W1708/10000),MOD(INT($W1708/100),100),MOD($W1708,100)),""),INT($W1708)),IFERROR(DATE(--LEFT(LEFT(SUBSTITUTE(SUBSTITUTE(SUBSTITUTE(SUBSTITUTE(TRIM($W1708),"-",""),".",""),"/","")," ",""),8),4),--MID(LEFT(SUBSTITUTE(SUBSTITUTE(SUBSTITUTE(SUBSTITUTE(TRIM($W1708),"-",""),".",""),"/","")," ",""),8),5,2),--MID(LEFT(SUBSTITUTE(SUBSTITUTE(SUBSTITUTE(SUBSTITUTE(TRIM($W1708),"-",""),".",""),"/","")," ",""),8),7,2)),"")))</f>
        <v/>
      </c>
      <c r="Y1708" s="32">
        <f>IF($X1708="","",INT($X1708))</f>
        <v/>
      </c>
      <c r="Z1708" s="33">
        <f>IF(OR($Y1708="",$D$6=""),"",IF(INDEX($A:$U,ROW(),$D$6)="",0,IF(ISNUMBER(INDEX($A:$U,ROW(),$D$6)),INDEX($A:$U,ROW(),$D$6),IFERROR(--SUBSTITUTE(SUBSTITUTE(TRIM(INDEX($A:$U,ROW(),$D$6)),",",""),"원",""),0))))</f>
        <v/>
      </c>
      <c r="AA1708" s="31">
        <f>IF($Y1708="","",TRIM(INDEX($A:$U,ROW(),$E$6)&amp;IF($F$6="",""," "&amp;INDEX($A:$U,ROW(),$F$6))))</f>
        <v/>
      </c>
      <c r="AB1708" s="31">
        <f>IF($AA1708="","",SUBSTITUTE(SUBSTITUTE(SUBSTITUTE(SUBSTITUTE(SUBSTITUTE(SUBSTITUTE(SUBSTITUTE(SUBSTITUTE(SUBSTITUTE($AA1708," ",""),"　",""),"(주)",""),"（주）",""),"㈜",""),"주식회사",""),"(유)",""),"（유）",""),"유한회사",""))</f>
        <v/>
      </c>
      <c r="AC1708" s="31">
        <f>IF(OR($Y1708="",N($Z1708)&lt;=0,$AB1708=""),0,IFERROR(LOOKUP(2,1/((거래처별!$AC$8:$AC$307&lt;&gt;"")*ISNUMBER(SEARCH(거래처별!$AC$8:$AC$307,$AB1708))),거래처별!$A$8:$A$307),IFERROR(LOOKUP(2,1/((거래처별!$AD$8:$AD$307&lt;&gt;"")*ISNUMBER(SEARCH(거래처별!$AD$8:$AD$307,$AB1708))),거래처별!$A$8:$A$307),IFERROR(LOOKUP(2,1/((거래처별!$AE$8:$AE$307&lt;&gt;"")*ISNUMBER(SEARCH(거래처별!$AE$8:$AE$307,$AB1708))),거래처별!$A$8:$A$307),0))))</f>
        <v/>
      </c>
      <c r="AD1708" s="31">
        <f>IF(AND($Y1708&lt;&gt;"",N($Z1708)&gt;0,$AC1708=0),MAX($AD$7:$AD1707)+1,"")</f>
        <v/>
      </c>
      <c r="AE1708" s="31">
        <f>IF($Y1708="",0,$Y1708)</f>
        <v/>
      </c>
    </row>
    <row r="1709">
      <c r="W1709" s="31">
        <f>IF(OR($B$5="",$C$6="",ROW()&lt;$B$5),"",IF(INDEX($A:$U,ROW(),$C$6)="","",INDEX($A:$U,ROW(),$C$6)))</f>
        <v/>
      </c>
      <c r="X1709" s="32">
        <f>IF($W1709="","",IF(ISNUMBER($W1709),IF($W1709&gt;=10000000,IFERROR(DATE(INT($W1709/10000),MOD(INT($W1709/100),100),MOD($W1709,100)),""),INT($W1709)),IFERROR(DATE(--LEFT(LEFT(SUBSTITUTE(SUBSTITUTE(SUBSTITUTE(SUBSTITUTE(TRIM($W1709),"-",""),".",""),"/","")," ",""),8),4),--MID(LEFT(SUBSTITUTE(SUBSTITUTE(SUBSTITUTE(SUBSTITUTE(TRIM($W1709),"-",""),".",""),"/","")," ",""),8),5,2),--MID(LEFT(SUBSTITUTE(SUBSTITUTE(SUBSTITUTE(SUBSTITUTE(TRIM($W1709),"-",""),".",""),"/","")," ",""),8),7,2)),"")))</f>
        <v/>
      </c>
      <c r="Y1709" s="32">
        <f>IF($X1709="","",INT($X1709))</f>
        <v/>
      </c>
      <c r="Z1709" s="33">
        <f>IF(OR($Y1709="",$D$6=""),"",IF(INDEX($A:$U,ROW(),$D$6)="",0,IF(ISNUMBER(INDEX($A:$U,ROW(),$D$6)),INDEX($A:$U,ROW(),$D$6),IFERROR(--SUBSTITUTE(SUBSTITUTE(TRIM(INDEX($A:$U,ROW(),$D$6)),",",""),"원",""),0))))</f>
        <v/>
      </c>
      <c r="AA1709" s="31">
        <f>IF($Y1709="","",TRIM(INDEX($A:$U,ROW(),$E$6)&amp;IF($F$6="",""," "&amp;INDEX($A:$U,ROW(),$F$6))))</f>
        <v/>
      </c>
      <c r="AB1709" s="31">
        <f>IF($AA1709="","",SUBSTITUTE(SUBSTITUTE(SUBSTITUTE(SUBSTITUTE(SUBSTITUTE(SUBSTITUTE(SUBSTITUTE(SUBSTITUTE(SUBSTITUTE($AA1709," ",""),"　",""),"(주)",""),"（주）",""),"㈜",""),"주식회사",""),"(유)",""),"（유）",""),"유한회사",""))</f>
        <v/>
      </c>
      <c r="AC1709" s="31">
        <f>IF(OR($Y1709="",N($Z1709)&lt;=0,$AB1709=""),0,IFERROR(LOOKUP(2,1/((거래처별!$AC$8:$AC$307&lt;&gt;"")*ISNUMBER(SEARCH(거래처별!$AC$8:$AC$307,$AB1709))),거래처별!$A$8:$A$307),IFERROR(LOOKUP(2,1/((거래처별!$AD$8:$AD$307&lt;&gt;"")*ISNUMBER(SEARCH(거래처별!$AD$8:$AD$307,$AB1709))),거래처별!$A$8:$A$307),IFERROR(LOOKUP(2,1/((거래처별!$AE$8:$AE$307&lt;&gt;"")*ISNUMBER(SEARCH(거래처별!$AE$8:$AE$307,$AB1709))),거래처별!$A$8:$A$307),0))))</f>
        <v/>
      </c>
      <c r="AD1709" s="31">
        <f>IF(AND($Y1709&lt;&gt;"",N($Z1709)&gt;0,$AC1709=0),MAX($AD$7:$AD1708)+1,"")</f>
        <v/>
      </c>
      <c r="AE1709" s="31">
        <f>IF($Y1709="",0,$Y1709)</f>
        <v/>
      </c>
    </row>
    <row r="1710">
      <c r="W1710" s="31">
        <f>IF(OR($B$5="",$C$6="",ROW()&lt;$B$5),"",IF(INDEX($A:$U,ROW(),$C$6)="","",INDEX($A:$U,ROW(),$C$6)))</f>
        <v/>
      </c>
      <c r="X1710" s="32">
        <f>IF($W1710="","",IF(ISNUMBER($W1710),IF($W1710&gt;=10000000,IFERROR(DATE(INT($W1710/10000),MOD(INT($W1710/100),100),MOD($W1710,100)),""),INT($W1710)),IFERROR(DATE(--LEFT(LEFT(SUBSTITUTE(SUBSTITUTE(SUBSTITUTE(SUBSTITUTE(TRIM($W1710),"-",""),".",""),"/","")," ",""),8),4),--MID(LEFT(SUBSTITUTE(SUBSTITUTE(SUBSTITUTE(SUBSTITUTE(TRIM($W1710),"-",""),".",""),"/","")," ",""),8),5,2),--MID(LEFT(SUBSTITUTE(SUBSTITUTE(SUBSTITUTE(SUBSTITUTE(TRIM($W1710),"-",""),".",""),"/","")," ",""),8),7,2)),"")))</f>
        <v/>
      </c>
      <c r="Y1710" s="32">
        <f>IF($X1710="","",INT($X1710))</f>
        <v/>
      </c>
      <c r="Z1710" s="33">
        <f>IF(OR($Y1710="",$D$6=""),"",IF(INDEX($A:$U,ROW(),$D$6)="",0,IF(ISNUMBER(INDEX($A:$U,ROW(),$D$6)),INDEX($A:$U,ROW(),$D$6),IFERROR(--SUBSTITUTE(SUBSTITUTE(TRIM(INDEX($A:$U,ROW(),$D$6)),",",""),"원",""),0))))</f>
        <v/>
      </c>
      <c r="AA1710" s="31">
        <f>IF($Y1710="","",TRIM(INDEX($A:$U,ROW(),$E$6)&amp;IF($F$6="",""," "&amp;INDEX($A:$U,ROW(),$F$6))))</f>
        <v/>
      </c>
      <c r="AB1710" s="31">
        <f>IF($AA1710="","",SUBSTITUTE(SUBSTITUTE(SUBSTITUTE(SUBSTITUTE(SUBSTITUTE(SUBSTITUTE(SUBSTITUTE(SUBSTITUTE(SUBSTITUTE($AA1710," ",""),"　",""),"(주)",""),"（주）",""),"㈜",""),"주식회사",""),"(유)",""),"（유）",""),"유한회사",""))</f>
        <v/>
      </c>
      <c r="AC1710" s="31">
        <f>IF(OR($Y1710="",N($Z1710)&lt;=0,$AB1710=""),0,IFERROR(LOOKUP(2,1/((거래처별!$AC$8:$AC$307&lt;&gt;"")*ISNUMBER(SEARCH(거래처별!$AC$8:$AC$307,$AB1710))),거래처별!$A$8:$A$307),IFERROR(LOOKUP(2,1/((거래처별!$AD$8:$AD$307&lt;&gt;"")*ISNUMBER(SEARCH(거래처별!$AD$8:$AD$307,$AB1710))),거래처별!$A$8:$A$307),IFERROR(LOOKUP(2,1/((거래처별!$AE$8:$AE$307&lt;&gt;"")*ISNUMBER(SEARCH(거래처별!$AE$8:$AE$307,$AB1710))),거래처별!$A$8:$A$307),0))))</f>
        <v/>
      </c>
      <c r="AD1710" s="31">
        <f>IF(AND($Y1710&lt;&gt;"",N($Z1710)&gt;0,$AC1710=0),MAX($AD$7:$AD1709)+1,"")</f>
        <v/>
      </c>
      <c r="AE1710" s="31">
        <f>IF($Y1710="",0,$Y1710)</f>
        <v/>
      </c>
    </row>
    <row r="1711">
      <c r="W1711" s="31">
        <f>IF(OR($B$5="",$C$6="",ROW()&lt;$B$5),"",IF(INDEX($A:$U,ROW(),$C$6)="","",INDEX($A:$U,ROW(),$C$6)))</f>
        <v/>
      </c>
      <c r="X1711" s="32">
        <f>IF($W1711="","",IF(ISNUMBER($W1711),IF($W1711&gt;=10000000,IFERROR(DATE(INT($W1711/10000),MOD(INT($W1711/100),100),MOD($W1711,100)),""),INT($W1711)),IFERROR(DATE(--LEFT(LEFT(SUBSTITUTE(SUBSTITUTE(SUBSTITUTE(SUBSTITUTE(TRIM($W1711),"-",""),".",""),"/","")," ",""),8),4),--MID(LEFT(SUBSTITUTE(SUBSTITUTE(SUBSTITUTE(SUBSTITUTE(TRIM($W1711),"-",""),".",""),"/","")," ",""),8),5,2),--MID(LEFT(SUBSTITUTE(SUBSTITUTE(SUBSTITUTE(SUBSTITUTE(TRIM($W1711),"-",""),".",""),"/","")," ",""),8),7,2)),"")))</f>
        <v/>
      </c>
      <c r="Y1711" s="32">
        <f>IF($X1711="","",INT($X1711))</f>
        <v/>
      </c>
      <c r="Z1711" s="33">
        <f>IF(OR($Y1711="",$D$6=""),"",IF(INDEX($A:$U,ROW(),$D$6)="",0,IF(ISNUMBER(INDEX($A:$U,ROW(),$D$6)),INDEX($A:$U,ROW(),$D$6),IFERROR(--SUBSTITUTE(SUBSTITUTE(TRIM(INDEX($A:$U,ROW(),$D$6)),",",""),"원",""),0))))</f>
        <v/>
      </c>
      <c r="AA1711" s="31">
        <f>IF($Y1711="","",TRIM(INDEX($A:$U,ROW(),$E$6)&amp;IF($F$6="",""," "&amp;INDEX($A:$U,ROW(),$F$6))))</f>
        <v/>
      </c>
      <c r="AB1711" s="31">
        <f>IF($AA1711="","",SUBSTITUTE(SUBSTITUTE(SUBSTITUTE(SUBSTITUTE(SUBSTITUTE(SUBSTITUTE(SUBSTITUTE(SUBSTITUTE(SUBSTITUTE($AA1711," ",""),"　",""),"(주)",""),"（주）",""),"㈜",""),"주식회사",""),"(유)",""),"（유）",""),"유한회사",""))</f>
        <v/>
      </c>
      <c r="AC1711" s="31">
        <f>IF(OR($Y1711="",N($Z1711)&lt;=0,$AB1711=""),0,IFERROR(LOOKUP(2,1/((거래처별!$AC$8:$AC$307&lt;&gt;"")*ISNUMBER(SEARCH(거래처별!$AC$8:$AC$307,$AB1711))),거래처별!$A$8:$A$307),IFERROR(LOOKUP(2,1/((거래처별!$AD$8:$AD$307&lt;&gt;"")*ISNUMBER(SEARCH(거래처별!$AD$8:$AD$307,$AB1711))),거래처별!$A$8:$A$307),IFERROR(LOOKUP(2,1/((거래처별!$AE$8:$AE$307&lt;&gt;"")*ISNUMBER(SEARCH(거래처별!$AE$8:$AE$307,$AB1711))),거래처별!$A$8:$A$307),0))))</f>
        <v/>
      </c>
      <c r="AD1711" s="31">
        <f>IF(AND($Y1711&lt;&gt;"",N($Z1711)&gt;0,$AC1711=0),MAX($AD$7:$AD1710)+1,"")</f>
        <v/>
      </c>
      <c r="AE1711" s="31">
        <f>IF($Y1711="",0,$Y1711)</f>
        <v/>
      </c>
    </row>
    <row r="1712">
      <c r="W1712" s="31">
        <f>IF(OR($B$5="",$C$6="",ROW()&lt;$B$5),"",IF(INDEX($A:$U,ROW(),$C$6)="","",INDEX($A:$U,ROW(),$C$6)))</f>
        <v/>
      </c>
      <c r="X1712" s="32">
        <f>IF($W1712="","",IF(ISNUMBER($W1712),IF($W1712&gt;=10000000,IFERROR(DATE(INT($W1712/10000),MOD(INT($W1712/100),100),MOD($W1712,100)),""),INT($W1712)),IFERROR(DATE(--LEFT(LEFT(SUBSTITUTE(SUBSTITUTE(SUBSTITUTE(SUBSTITUTE(TRIM($W1712),"-",""),".",""),"/","")," ",""),8),4),--MID(LEFT(SUBSTITUTE(SUBSTITUTE(SUBSTITUTE(SUBSTITUTE(TRIM($W1712),"-",""),".",""),"/","")," ",""),8),5,2),--MID(LEFT(SUBSTITUTE(SUBSTITUTE(SUBSTITUTE(SUBSTITUTE(TRIM($W1712),"-",""),".",""),"/","")," ",""),8),7,2)),"")))</f>
        <v/>
      </c>
      <c r="Y1712" s="32">
        <f>IF($X1712="","",INT($X1712))</f>
        <v/>
      </c>
      <c r="Z1712" s="33">
        <f>IF(OR($Y1712="",$D$6=""),"",IF(INDEX($A:$U,ROW(),$D$6)="",0,IF(ISNUMBER(INDEX($A:$U,ROW(),$D$6)),INDEX($A:$U,ROW(),$D$6),IFERROR(--SUBSTITUTE(SUBSTITUTE(TRIM(INDEX($A:$U,ROW(),$D$6)),",",""),"원",""),0))))</f>
        <v/>
      </c>
      <c r="AA1712" s="31">
        <f>IF($Y1712="","",TRIM(INDEX($A:$U,ROW(),$E$6)&amp;IF($F$6="",""," "&amp;INDEX($A:$U,ROW(),$F$6))))</f>
        <v/>
      </c>
      <c r="AB1712" s="31">
        <f>IF($AA1712="","",SUBSTITUTE(SUBSTITUTE(SUBSTITUTE(SUBSTITUTE(SUBSTITUTE(SUBSTITUTE(SUBSTITUTE(SUBSTITUTE(SUBSTITUTE($AA1712," ",""),"　",""),"(주)",""),"（주）",""),"㈜",""),"주식회사",""),"(유)",""),"（유）",""),"유한회사",""))</f>
        <v/>
      </c>
      <c r="AC1712" s="31">
        <f>IF(OR($Y1712="",N($Z1712)&lt;=0,$AB1712=""),0,IFERROR(LOOKUP(2,1/((거래처별!$AC$8:$AC$307&lt;&gt;"")*ISNUMBER(SEARCH(거래처별!$AC$8:$AC$307,$AB1712))),거래처별!$A$8:$A$307),IFERROR(LOOKUP(2,1/((거래처별!$AD$8:$AD$307&lt;&gt;"")*ISNUMBER(SEARCH(거래처별!$AD$8:$AD$307,$AB1712))),거래처별!$A$8:$A$307),IFERROR(LOOKUP(2,1/((거래처별!$AE$8:$AE$307&lt;&gt;"")*ISNUMBER(SEARCH(거래처별!$AE$8:$AE$307,$AB1712))),거래처별!$A$8:$A$307),0))))</f>
        <v/>
      </c>
      <c r="AD1712" s="31">
        <f>IF(AND($Y1712&lt;&gt;"",N($Z1712)&gt;0,$AC1712=0),MAX($AD$7:$AD1711)+1,"")</f>
        <v/>
      </c>
      <c r="AE1712" s="31">
        <f>IF($Y1712="",0,$Y1712)</f>
        <v/>
      </c>
    </row>
    <row r="1713">
      <c r="W1713" s="31">
        <f>IF(OR($B$5="",$C$6="",ROW()&lt;$B$5),"",IF(INDEX($A:$U,ROW(),$C$6)="","",INDEX($A:$U,ROW(),$C$6)))</f>
        <v/>
      </c>
      <c r="X1713" s="32">
        <f>IF($W1713="","",IF(ISNUMBER($W1713),IF($W1713&gt;=10000000,IFERROR(DATE(INT($W1713/10000),MOD(INT($W1713/100),100),MOD($W1713,100)),""),INT($W1713)),IFERROR(DATE(--LEFT(LEFT(SUBSTITUTE(SUBSTITUTE(SUBSTITUTE(SUBSTITUTE(TRIM($W1713),"-",""),".",""),"/","")," ",""),8),4),--MID(LEFT(SUBSTITUTE(SUBSTITUTE(SUBSTITUTE(SUBSTITUTE(TRIM($W1713),"-",""),".",""),"/","")," ",""),8),5,2),--MID(LEFT(SUBSTITUTE(SUBSTITUTE(SUBSTITUTE(SUBSTITUTE(TRIM($W1713),"-",""),".",""),"/","")," ",""),8),7,2)),"")))</f>
        <v/>
      </c>
      <c r="Y1713" s="32">
        <f>IF($X1713="","",INT($X1713))</f>
        <v/>
      </c>
      <c r="Z1713" s="33">
        <f>IF(OR($Y1713="",$D$6=""),"",IF(INDEX($A:$U,ROW(),$D$6)="",0,IF(ISNUMBER(INDEX($A:$U,ROW(),$D$6)),INDEX($A:$U,ROW(),$D$6),IFERROR(--SUBSTITUTE(SUBSTITUTE(TRIM(INDEX($A:$U,ROW(),$D$6)),",",""),"원",""),0))))</f>
        <v/>
      </c>
      <c r="AA1713" s="31">
        <f>IF($Y1713="","",TRIM(INDEX($A:$U,ROW(),$E$6)&amp;IF($F$6="",""," "&amp;INDEX($A:$U,ROW(),$F$6))))</f>
        <v/>
      </c>
      <c r="AB1713" s="31">
        <f>IF($AA1713="","",SUBSTITUTE(SUBSTITUTE(SUBSTITUTE(SUBSTITUTE(SUBSTITUTE(SUBSTITUTE(SUBSTITUTE(SUBSTITUTE(SUBSTITUTE($AA1713," ",""),"　",""),"(주)",""),"（주）",""),"㈜",""),"주식회사",""),"(유)",""),"（유）",""),"유한회사",""))</f>
        <v/>
      </c>
      <c r="AC1713" s="31">
        <f>IF(OR($Y1713="",N($Z1713)&lt;=0,$AB1713=""),0,IFERROR(LOOKUP(2,1/((거래처별!$AC$8:$AC$307&lt;&gt;"")*ISNUMBER(SEARCH(거래처별!$AC$8:$AC$307,$AB1713))),거래처별!$A$8:$A$307),IFERROR(LOOKUP(2,1/((거래처별!$AD$8:$AD$307&lt;&gt;"")*ISNUMBER(SEARCH(거래처별!$AD$8:$AD$307,$AB1713))),거래처별!$A$8:$A$307),IFERROR(LOOKUP(2,1/((거래처별!$AE$8:$AE$307&lt;&gt;"")*ISNUMBER(SEARCH(거래처별!$AE$8:$AE$307,$AB1713))),거래처별!$A$8:$A$307),0))))</f>
        <v/>
      </c>
      <c r="AD1713" s="31">
        <f>IF(AND($Y1713&lt;&gt;"",N($Z1713)&gt;0,$AC1713=0),MAX($AD$7:$AD1712)+1,"")</f>
        <v/>
      </c>
      <c r="AE1713" s="31">
        <f>IF($Y1713="",0,$Y1713)</f>
        <v/>
      </c>
    </row>
    <row r="1714">
      <c r="W1714" s="31">
        <f>IF(OR($B$5="",$C$6="",ROW()&lt;$B$5),"",IF(INDEX($A:$U,ROW(),$C$6)="","",INDEX($A:$U,ROW(),$C$6)))</f>
        <v/>
      </c>
      <c r="X1714" s="32">
        <f>IF($W1714="","",IF(ISNUMBER($W1714),IF($W1714&gt;=10000000,IFERROR(DATE(INT($W1714/10000),MOD(INT($W1714/100),100),MOD($W1714,100)),""),INT($W1714)),IFERROR(DATE(--LEFT(LEFT(SUBSTITUTE(SUBSTITUTE(SUBSTITUTE(SUBSTITUTE(TRIM($W1714),"-",""),".",""),"/","")," ",""),8),4),--MID(LEFT(SUBSTITUTE(SUBSTITUTE(SUBSTITUTE(SUBSTITUTE(TRIM($W1714),"-",""),".",""),"/","")," ",""),8),5,2),--MID(LEFT(SUBSTITUTE(SUBSTITUTE(SUBSTITUTE(SUBSTITUTE(TRIM($W1714),"-",""),".",""),"/","")," ",""),8),7,2)),"")))</f>
        <v/>
      </c>
      <c r="Y1714" s="32">
        <f>IF($X1714="","",INT($X1714))</f>
        <v/>
      </c>
      <c r="Z1714" s="33">
        <f>IF(OR($Y1714="",$D$6=""),"",IF(INDEX($A:$U,ROW(),$D$6)="",0,IF(ISNUMBER(INDEX($A:$U,ROW(),$D$6)),INDEX($A:$U,ROW(),$D$6),IFERROR(--SUBSTITUTE(SUBSTITUTE(TRIM(INDEX($A:$U,ROW(),$D$6)),",",""),"원",""),0))))</f>
        <v/>
      </c>
      <c r="AA1714" s="31">
        <f>IF($Y1714="","",TRIM(INDEX($A:$U,ROW(),$E$6)&amp;IF($F$6="",""," "&amp;INDEX($A:$U,ROW(),$F$6))))</f>
        <v/>
      </c>
      <c r="AB1714" s="31">
        <f>IF($AA1714="","",SUBSTITUTE(SUBSTITUTE(SUBSTITUTE(SUBSTITUTE(SUBSTITUTE(SUBSTITUTE(SUBSTITUTE(SUBSTITUTE(SUBSTITUTE($AA1714," ",""),"　",""),"(주)",""),"（주）",""),"㈜",""),"주식회사",""),"(유)",""),"（유）",""),"유한회사",""))</f>
        <v/>
      </c>
      <c r="AC1714" s="31">
        <f>IF(OR($Y1714="",N($Z1714)&lt;=0,$AB1714=""),0,IFERROR(LOOKUP(2,1/((거래처별!$AC$8:$AC$307&lt;&gt;"")*ISNUMBER(SEARCH(거래처별!$AC$8:$AC$307,$AB1714))),거래처별!$A$8:$A$307),IFERROR(LOOKUP(2,1/((거래처별!$AD$8:$AD$307&lt;&gt;"")*ISNUMBER(SEARCH(거래처별!$AD$8:$AD$307,$AB1714))),거래처별!$A$8:$A$307),IFERROR(LOOKUP(2,1/((거래처별!$AE$8:$AE$307&lt;&gt;"")*ISNUMBER(SEARCH(거래처별!$AE$8:$AE$307,$AB1714))),거래처별!$A$8:$A$307),0))))</f>
        <v/>
      </c>
      <c r="AD1714" s="31">
        <f>IF(AND($Y1714&lt;&gt;"",N($Z1714)&gt;0,$AC1714=0),MAX($AD$7:$AD1713)+1,"")</f>
        <v/>
      </c>
      <c r="AE1714" s="31">
        <f>IF($Y1714="",0,$Y1714)</f>
        <v/>
      </c>
    </row>
    <row r="1715">
      <c r="W1715" s="31">
        <f>IF(OR($B$5="",$C$6="",ROW()&lt;$B$5),"",IF(INDEX($A:$U,ROW(),$C$6)="","",INDEX($A:$U,ROW(),$C$6)))</f>
        <v/>
      </c>
      <c r="X1715" s="32">
        <f>IF($W1715="","",IF(ISNUMBER($W1715),IF($W1715&gt;=10000000,IFERROR(DATE(INT($W1715/10000),MOD(INT($W1715/100),100),MOD($W1715,100)),""),INT($W1715)),IFERROR(DATE(--LEFT(LEFT(SUBSTITUTE(SUBSTITUTE(SUBSTITUTE(SUBSTITUTE(TRIM($W1715),"-",""),".",""),"/","")," ",""),8),4),--MID(LEFT(SUBSTITUTE(SUBSTITUTE(SUBSTITUTE(SUBSTITUTE(TRIM($W1715),"-",""),".",""),"/","")," ",""),8),5,2),--MID(LEFT(SUBSTITUTE(SUBSTITUTE(SUBSTITUTE(SUBSTITUTE(TRIM($W1715),"-",""),".",""),"/","")," ",""),8),7,2)),"")))</f>
        <v/>
      </c>
      <c r="Y1715" s="32">
        <f>IF($X1715="","",INT($X1715))</f>
        <v/>
      </c>
      <c r="Z1715" s="33">
        <f>IF(OR($Y1715="",$D$6=""),"",IF(INDEX($A:$U,ROW(),$D$6)="",0,IF(ISNUMBER(INDEX($A:$U,ROW(),$D$6)),INDEX($A:$U,ROW(),$D$6),IFERROR(--SUBSTITUTE(SUBSTITUTE(TRIM(INDEX($A:$U,ROW(),$D$6)),",",""),"원",""),0))))</f>
        <v/>
      </c>
      <c r="AA1715" s="31">
        <f>IF($Y1715="","",TRIM(INDEX($A:$U,ROW(),$E$6)&amp;IF($F$6="",""," "&amp;INDEX($A:$U,ROW(),$F$6))))</f>
        <v/>
      </c>
      <c r="AB1715" s="31">
        <f>IF($AA1715="","",SUBSTITUTE(SUBSTITUTE(SUBSTITUTE(SUBSTITUTE(SUBSTITUTE(SUBSTITUTE(SUBSTITUTE(SUBSTITUTE(SUBSTITUTE($AA1715," ",""),"　",""),"(주)",""),"（주）",""),"㈜",""),"주식회사",""),"(유)",""),"（유）",""),"유한회사",""))</f>
        <v/>
      </c>
      <c r="AC1715" s="31">
        <f>IF(OR($Y1715="",N($Z1715)&lt;=0,$AB1715=""),0,IFERROR(LOOKUP(2,1/((거래처별!$AC$8:$AC$307&lt;&gt;"")*ISNUMBER(SEARCH(거래처별!$AC$8:$AC$307,$AB1715))),거래처별!$A$8:$A$307),IFERROR(LOOKUP(2,1/((거래처별!$AD$8:$AD$307&lt;&gt;"")*ISNUMBER(SEARCH(거래처별!$AD$8:$AD$307,$AB1715))),거래처별!$A$8:$A$307),IFERROR(LOOKUP(2,1/((거래처별!$AE$8:$AE$307&lt;&gt;"")*ISNUMBER(SEARCH(거래처별!$AE$8:$AE$307,$AB1715))),거래처별!$A$8:$A$307),0))))</f>
        <v/>
      </c>
      <c r="AD1715" s="31">
        <f>IF(AND($Y1715&lt;&gt;"",N($Z1715)&gt;0,$AC1715=0),MAX($AD$7:$AD1714)+1,"")</f>
        <v/>
      </c>
      <c r="AE1715" s="31">
        <f>IF($Y1715="",0,$Y1715)</f>
        <v/>
      </c>
    </row>
    <row r="1716">
      <c r="W1716" s="31">
        <f>IF(OR($B$5="",$C$6="",ROW()&lt;$B$5),"",IF(INDEX($A:$U,ROW(),$C$6)="","",INDEX($A:$U,ROW(),$C$6)))</f>
        <v/>
      </c>
      <c r="X1716" s="32">
        <f>IF($W1716="","",IF(ISNUMBER($W1716),IF($W1716&gt;=10000000,IFERROR(DATE(INT($W1716/10000),MOD(INT($W1716/100),100),MOD($W1716,100)),""),INT($W1716)),IFERROR(DATE(--LEFT(LEFT(SUBSTITUTE(SUBSTITUTE(SUBSTITUTE(SUBSTITUTE(TRIM($W1716),"-",""),".",""),"/","")," ",""),8),4),--MID(LEFT(SUBSTITUTE(SUBSTITUTE(SUBSTITUTE(SUBSTITUTE(TRIM($W1716),"-",""),".",""),"/","")," ",""),8),5,2),--MID(LEFT(SUBSTITUTE(SUBSTITUTE(SUBSTITUTE(SUBSTITUTE(TRIM($W1716),"-",""),".",""),"/","")," ",""),8),7,2)),"")))</f>
        <v/>
      </c>
      <c r="Y1716" s="32">
        <f>IF($X1716="","",INT($X1716))</f>
        <v/>
      </c>
      <c r="Z1716" s="33">
        <f>IF(OR($Y1716="",$D$6=""),"",IF(INDEX($A:$U,ROW(),$D$6)="",0,IF(ISNUMBER(INDEX($A:$U,ROW(),$D$6)),INDEX($A:$U,ROW(),$D$6),IFERROR(--SUBSTITUTE(SUBSTITUTE(TRIM(INDEX($A:$U,ROW(),$D$6)),",",""),"원",""),0))))</f>
        <v/>
      </c>
      <c r="AA1716" s="31">
        <f>IF($Y1716="","",TRIM(INDEX($A:$U,ROW(),$E$6)&amp;IF($F$6="",""," "&amp;INDEX($A:$U,ROW(),$F$6))))</f>
        <v/>
      </c>
      <c r="AB1716" s="31">
        <f>IF($AA1716="","",SUBSTITUTE(SUBSTITUTE(SUBSTITUTE(SUBSTITUTE(SUBSTITUTE(SUBSTITUTE(SUBSTITUTE(SUBSTITUTE(SUBSTITUTE($AA1716," ",""),"　",""),"(주)",""),"（주）",""),"㈜",""),"주식회사",""),"(유)",""),"（유）",""),"유한회사",""))</f>
        <v/>
      </c>
      <c r="AC1716" s="31">
        <f>IF(OR($Y1716="",N($Z1716)&lt;=0,$AB1716=""),0,IFERROR(LOOKUP(2,1/((거래처별!$AC$8:$AC$307&lt;&gt;"")*ISNUMBER(SEARCH(거래처별!$AC$8:$AC$307,$AB1716))),거래처별!$A$8:$A$307),IFERROR(LOOKUP(2,1/((거래처별!$AD$8:$AD$307&lt;&gt;"")*ISNUMBER(SEARCH(거래처별!$AD$8:$AD$307,$AB1716))),거래처별!$A$8:$A$307),IFERROR(LOOKUP(2,1/((거래처별!$AE$8:$AE$307&lt;&gt;"")*ISNUMBER(SEARCH(거래처별!$AE$8:$AE$307,$AB1716))),거래처별!$A$8:$A$307),0))))</f>
        <v/>
      </c>
      <c r="AD1716" s="31">
        <f>IF(AND($Y1716&lt;&gt;"",N($Z1716)&gt;0,$AC1716=0),MAX($AD$7:$AD1715)+1,"")</f>
        <v/>
      </c>
      <c r="AE1716" s="31">
        <f>IF($Y1716="",0,$Y1716)</f>
        <v/>
      </c>
    </row>
    <row r="1717">
      <c r="W1717" s="31">
        <f>IF(OR($B$5="",$C$6="",ROW()&lt;$B$5),"",IF(INDEX($A:$U,ROW(),$C$6)="","",INDEX($A:$U,ROW(),$C$6)))</f>
        <v/>
      </c>
      <c r="X1717" s="32">
        <f>IF($W1717="","",IF(ISNUMBER($W1717),IF($W1717&gt;=10000000,IFERROR(DATE(INT($W1717/10000),MOD(INT($W1717/100),100),MOD($W1717,100)),""),INT($W1717)),IFERROR(DATE(--LEFT(LEFT(SUBSTITUTE(SUBSTITUTE(SUBSTITUTE(SUBSTITUTE(TRIM($W1717),"-",""),".",""),"/","")," ",""),8),4),--MID(LEFT(SUBSTITUTE(SUBSTITUTE(SUBSTITUTE(SUBSTITUTE(TRIM($W1717),"-",""),".",""),"/","")," ",""),8),5,2),--MID(LEFT(SUBSTITUTE(SUBSTITUTE(SUBSTITUTE(SUBSTITUTE(TRIM($W1717),"-",""),".",""),"/","")," ",""),8),7,2)),"")))</f>
        <v/>
      </c>
      <c r="Y1717" s="32">
        <f>IF($X1717="","",INT($X1717))</f>
        <v/>
      </c>
      <c r="Z1717" s="33">
        <f>IF(OR($Y1717="",$D$6=""),"",IF(INDEX($A:$U,ROW(),$D$6)="",0,IF(ISNUMBER(INDEX($A:$U,ROW(),$D$6)),INDEX($A:$U,ROW(),$D$6),IFERROR(--SUBSTITUTE(SUBSTITUTE(TRIM(INDEX($A:$U,ROW(),$D$6)),",",""),"원",""),0))))</f>
        <v/>
      </c>
      <c r="AA1717" s="31">
        <f>IF($Y1717="","",TRIM(INDEX($A:$U,ROW(),$E$6)&amp;IF($F$6="",""," "&amp;INDEX($A:$U,ROW(),$F$6))))</f>
        <v/>
      </c>
      <c r="AB1717" s="31">
        <f>IF($AA1717="","",SUBSTITUTE(SUBSTITUTE(SUBSTITUTE(SUBSTITUTE(SUBSTITUTE(SUBSTITUTE(SUBSTITUTE(SUBSTITUTE(SUBSTITUTE($AA1717," ",""),"　",""),"(주)",""),"（주）",""),"㈜",""),"주식회사",""),"(유)",""),"（유）",""),"유한회사",""))</f>
        <v/>
      </c>
      <c r="AC1717" s="31">
        <f>IF(OR($Y1717="",N($Z1717)&lt;=0,$AB1717=""),0,IFERROR(LOOKUP(2,1/((거래처별!$AC$8:$AC$307&lt;&gt;"")*ISNUMBER(SEARCH(거래처별!$AC$8:$AC$307,$AB1717))),거래처별!$A$8:$A$307),IFERROR(LOOKUP(2,1/((거래처별!$AD$8:$AD$307&lt;&gt;"")*ISNUMBER(SEARCH(거래처별!$AD$8:$AD$307,$AB1717))),거래처별!$A$8:$A$307),IFERROR(LOOKUP(2,1/((거래처별!$AE$8:$AE$307&lt;&gt;"")*ISNUMBER(SEARCH(거래처별!$AE$8:$AE$307,$AB1717))),거래처별!$A$8:$A$307),0))))</f>
        <v/>
      </c>
      <c r="AD1717" s="31">
        <f>IF(AND($Y1717&lt;&gt;"",N($Z1717)&gt;0,$AC1717=0),MAX($AD$7:$AD1716)+1,"")</f>
        <v/>
      </c>
      <c r="AE1717" s="31">
        <f>IF($Y1717="",0,$Y1717)</f>
        <v/>
      </c>
    </row>
    <row r="1718">
      <c r="W1718" s="31">
        <f>IF(OR($B$5="",$C$6="",ROW()&lt;$B$5),"",IF(INDEX($A:$U,ROW(),$C$6)="","",INDEX($A:$U,ROW(),$C$6)))</f>
        <v/>
      </c>
      <c r="X1718" s="32">
        <f>IF($W1718="","",IF(ISNUMBER($W1718),IF($W1718&gt;=10000000,IFERROR(DATE(INT($W1718/10000),MOD(INT($W1718/100),100),MOD($W1718,100)),""),INT($W1718)),IFERROR(DATE(--LEFT(LEFT(SUBSTITUTE(SUBSTITUTE(SUBSTITUTE(SUBSTITUTE(TRIM($W1718),"-",""),".",""),"/","")," ",""),8),4),--MID(LEFT(SUBSTITUTE(SUBSTITUTE(SUBSTITUTE(SUBSTITUTE(TRIM($W1718),"-",""),".",""),"/","")," ",""),8),5,2),--MID(LEFT(SUBSTITUTE(SUBSTITUTE(SUBSTITUTE(SUBSTITUTE(TRIM($W1718),"-",""),".",""),"/","")," ",""),8),7,2)),"")))</f>
        <v/>
      </c>
      <c r="Y1718" s="32">
        <f>IF($X1718="","",INT($X1718))</f>
        <v/>
      </c>
      <c r="Z1718" s="33">
        <f>IF(OR($Y1718="",$D$6=""),"",IF(INDEX($A:$U,ROW(),$D$6)="",0,IF(ISNUMBER(INDEX($A:$U,ROW(),$D$6)),INDEX($A:$U,ROW(),$D$6),IFERROR(--SUBSTITUTE(SUBSTITUTE(TRIM(INDEX($A:$U,ROW(),$D$6)),",",""),"원",""),0))))</f>
        <v/>
      </c>
      <c r="AA1718" s="31">
        <f>IF($Y1718="","",TRIM(INDEX($A:$U,ROW(),$E$6)&amp;IF($F$6="",""," "&amp;INDEX($A:$U,ROW(),$F$6))))</f>
        <v/>
      </c>
      <c r="AB1718" s="31">
        <f>IF($AA1718="","",SUBSTITUTE(SUBSTITUTE(SUBSTITUTE(SUBSTITUTE(SUBSTITUTE(SUBSTITUTE(SUBSTITUTE(SUBSTITUTE(SUBSTITUTE($AA1718," ",""),"　",""),"(주)",""),"（주）",""),"㈜",""),"주식회사",""),"(유)",""),"（유）",""),"유한회사",""))</f>
        <v/>
      </c>
      <c r="AC1718" s="31">
        <f>IF(OR($Y1718="",N($Z1718)&lt;=0,$AB1718=""),0,IFERROR(LOOKUP(2,1/((거래처별!$AC$8:$AC$307&lt;&gt;"")*ISNUMBER(SEARCH(거래처별!$AC$8:$AC$307,$AB1718))),거래처별!$A$8:$A$307),IFERROR(LOOKUP(2,1/((거래처별!$AD$8:$AD$307&lt;&gt;"")*ISNUMBER(SEARCH(거래처별!$AD$8:$AD$307,$AB1718))),거래처별!$A$8:$A$307),IFERROR(LOOKUP(2,1/((거래처별!$AE$8:$AE$307&lt;&gt;"")*ISNUMBER(SEARCH(거래처별!$AE$8:$AE$307,$AB1718))),거래처별!$A$8:$A$307),0))))</f>
        <v/>
      </c>
      <c r="AD1718" s="31">
        <f>IF(AND($Y1718&lt;&gt;"",N($Z1718)&gt;0,$AC1718=0),MAX($AD$7:$AD1717)+1,"")</f>
        <v/>
      </c>
      <c r="AE1718" s="31">
        <f>IF($Y1718="",0,$Y1718)</f>
        <v/>
      </c>
    </row>
    <row r="1719">
      <c r="W1719" s="31">
        <f>IF(OR($B$5="",$C$6="",ROW()&lt;$B$5),"",IF(INDEX($A:$U,ROW(),$C$6)="","",INDEX($A:$U,ROW(),$C$6)))</f>
        <v/>
      </c>
      <c r="X1719" s="32">
        <f>IF($W1719="","",IF(ISNUMBER($W1719),IF($W1719&gt;=10000000,IFERROR(DATE(INT($W1719/10000),MOD(INT($W1719/100),100),MOD($W1719,100)),""),INT($W1719)),IFERROR(DATE(--LEFT(LEFT(SUBSTITUTE(SUBSTITUTE(SUBSTITUTE(SUBSTITUTE(TRIM($W1719),"-",""),".",""),"/","")," ",""),8),4),--MID(LEFT(SUBSTITUTE(SUBSTITUTE(SUBSTITUTE(SUBSTITUTE(TRIM($W1719),"-",""),".",""),"/","")," ",""),8),5,2),--MID(LEFT(SUBSTITUTE(SUBSTITUTE(SUBSTITUTE(SUBSTITUTE(TRIM($W1719),"-",""),".",""),"/","")," ",""),8),7,2)),"")))</f>
        <v/>
      </c>
      <c r="Y1719" s="32">
        <f>IF($X1719="","",INT($X1719))</f>
        <v/>
      </c>
      <c r="Z1719" s="33">
        <f>IF(OR($Y1719="",$D$6=""),"",IF(INDEX($A:$U,ROW(),$D$6)="",0,IF(ISNUMBER(INDEX($A:$U,ROW(),$D$6)),INDEX($A:$U,ROW(),$D$6),IFERROR(--SUBSTITUTE(SUBSTITUTE(TRIM(INDEX($A:$U,ROW(),$D$6)),",",""),"원",""),0))))</f>
        <v/>
      </c>
      <c r="AA1719" s="31">
        <f>IF($Y1719="","",TRIM(INDEX($A:$U,ROW(),$E$6)&amp;IF($F$6="",""," "&amp;INDEX($A:$U,ROW(),$F$6))))</f>
        <v/>
      </c>
      <c r="AB1719" s="31">
        <f>IF($AA1719="","",SUBSTITUTE(SUBSTITUTE(SUBSTITUTE(SUBSTITUTE(SUBSTITUTE(SUBSTITUTE(SUBSTITUTE(SUBSTITUTE(SUBSTITUTE($AA1719," ",""),"　",""),"(주)",""),"（주）",""),"㈜",""),"주식회사",""),"(유)",""),"（유）",""),"유한회사",""))</f>
        <v/>
      </c>
      <c r="AC1719" s="31">
        <f>IF(OR($Y1719="",N($Z1719)&lt;=0,$AB1719=""),0,IFERROR(LOOKUP(2,1/((거래처별!$AC$8:$AC$307&lt;&gt;"")*ISNUMBER(SEARCH(거래처별!$AC$8:$AC$307,$AB1719))),거래처별!$A$8:$A$307),IFERROR(LOOKUP(2,1/((거래처별!$AD$8:$AD$307&lt;&gt;"")*ISNUMBER(SEARCH(거래처별!$AD$8:$AD$307,$AB1719))),거래처별!$A$8:$A$307),IFERROR(LOOKUP(2,1/((거래처별!$AE$8:$AE$307&lt;&gt;"")*ISNUMBER(SEARCH(거래처별!$AE$8:$AE$307,$AB1719))),거래처별!$A$8:$A$307),0))))</f>
        <v/>
      </c>
      <c r="AD1719" s="31">
        <f>IF(AND($Y1719&lt;&gt;"",N($Z1719)&gt;0,$AC1719=0),MAX($AD$7:$AD1718)+1,"")</f>
        <v/>
      </c>
      <c r="AE1719" s="31">
        <f>IF($Y1719="",0,$Y1719)</f>
        <v/>
      </c>
    </row>
    <row r="1720">
      <c r="W1720" s="31">
        <f>IF(OR($B$5="",$C$6="",ROW()&lt;$B$5),"",IF(INDEX($A:$U,ROW(),$C$6)="","",INDEX($A:$U,ROW(),$C$6)))</f>
        <v/>
      </c>
      <c r="X1720" s="32">
        <f>IF($W1720="","",IF(ISNUMBER($W1720),IF($W1720&gt;=10000000,IFERROR(DATE(INT($W1720/10000),MOD(INT($W1720/100),100),MOD($W1720,100)),""),INT($W1720)),IFERROR(DATE(--LEFT(LEFT(SUBSTITUTE(SUBSTITUTE(SUBSTITUTE(SUBSTITUTE(TRIM($W1720),"-",""),".",""),"/","")," ",""),8),4),--MID(LEFT(SUBSTITUTE(SUBSTITUTE(SUBSTITUTE(SUBSTITUTE(TRIM($W1720),"-",""),".",""),"/","")," ",""),8),5,2),--MID(LEFT(SUBSTITUTE(SUBSTITUTE(SUBSTITUTE(SUBSTITUTE(TRIM($W1720),"-",""),".",""),"/","")," ",""),8),7,2)),"")))</f>
        <v/>
      </c>
      <c r="Y1720" s="32">
        <f>IF($X1720="","",INT($X1720))</f>
        <v/>
      </c>
      <c r="Z1720" s="33">
        <f>IF(OR($Y1720="",$D$6=""),"",IF(INDEX($A:$U,ROW(),$D$6)="",0,IF(ISNUMBER(INDEX($A:$U,ROW(),$D$6)),INDEX($A:$U,ROW(),$D$6),IFERROR(--SUBSTITUTE(SUBSTITUTE(TRIM(INDEX($A:$U,ROW(),$D$6)),",",""),"원",""),0))))</f>
        <v/>
      </c>
      <c r="AA1720" s="31">
        <f>IF($Y1720="","",TRIM(INDEX($A:$U,ROW(),$E$6)&amp;IF($F$6="",""," "&amp;INDEX($A:$U,ROW(),$F$6))))</f>
        <v/>
      </c>
      <c r="AB1720" s="31">
        <f>IF($AA1720="","",SUBSTITUTE(SUBSTITUTE(SUBSTITUTE(SUBSTITUTE(SUBSTITUTE(SUBSTITUTE(SUBSTITUTE(SUBSTITUTE(SUBSTITUTE($AA1720," ",""),"　",""),"(주)",""),"（주）",""),"㈜",""),"주식회사",""),"(유)",""),"（유）",""),"유한회사",""))</f>
        <v/>
      </c>
      <c r="AC1720" s="31">
        <f>IF(OR($Y1720="",N($Z1720)&lt;=0,$AB1720=""),0,IFERROR(LOOKUP(2,1/((거래처별!$AC$8:$AC$307&lt;&gt;"")*ISNUMBER(SEARCH(거래처별!$AC$8:$AC$307,$AB1720))),거래처별!$A$8:$A$307),IFERROR(LOOKUP(2,1/((거래처별!$AD$8:$AD$307&lt;&gt;"")*ISNUMBER(SEARCH(거래처별!$AD$8:$AD$307,$AB1720))),거래처별!$A$8:$A$307),IFERROR(LOOKUP(2,1/((거래처별!$AE$8:$AE$307&lt;&gt;"")*ISNUMBER(SEARCH(거래처별!$AE$8:$AE$307,$AB1720))),거래처별!$A$8:$A$307),0))))</f>
        <v/>
      </c>
      <c r="AD1720" s="31">
        <f>IF(AND($Y1720&lt;&gt;"",N($Z1720)&gt;0,$AC1720=0),MAX($AD$7:$AD1719)+1,"")</f>
        <v/>
      </c>
      <c r="AE1720" s="31">
        <f>IF($Y1720="",0,$Y1720)</f>
        <v/>
      </c>
    </row>
    <row r="1721">
      <c r="W1721" s="31">
        <f>IF(OR($B$5="",$C$6="",ROW()&lt;$B$5),"",IF(INDEX($A:$U,ROW(),$C$6)="","",INDEX($A:$U,ROW(),$C$6)))</f>
        <v/>
      </c>
      <c r="X1721" s="32">
        <f>IF($W1721="","",IF(ISNUMBER($W1721),IF($W1721&gt;=10000000,IFERROR(DATE(INT($W1721/10000),MOD(INT($W1721/100),100),MOD($W1721,100)),""),INT($W1721)),IFERROR(DATE(--LEFT(LEFT(SUBSTITUTE(SUBSTITUTE(SUBSTITUTE(SUBSTITUTE(TRIM($W1721),"-",""),".",""),"/","")," ",""),8),4),--MID(LEFT(SUBSTITUTE(SUBSTITUTE(SUBSTITUTE(SUBSTITUTE(TRIM($W1721),"-",""),".",""),"/","")," ",""),8),5,2),--MID(LEFT(SUBSTITUTE(SUBSTITUTE(SUBSTITUTE(SUBSTITUTE(TRIM($W1721),"-",""),".",""),"/","")," ",""),8),7,2)),"")))</f>
        <v/>
      </c>
      <c r="Y1721" s="32">
        <f>IF($X1721="","",INT($X1721))</f>
        <v/>
      </c>
      <c r="Z1721" s="33">
        <f>IF(OR($Y1721="",$D$6=""),"",IF(INDEX($A:$U,ROW(),$D$6)="",0,IF(ISNUMBER(INDEX($A:$U,ROW(),$D$6)),INDEX($A:$U,ROW(),$D$6),IFERROR(--SUBSTITUTE(SUBSTITUTE(TRIM(INDEX($A:$U,ROW(),$D$6)),",",""),"원",""),0))))</f>
        <v/>
      </c>
      <c r="AA1721" s="31">
        <f>IF($Y1721="","",TRIM(INDEX($A:$U,ROW(),$E$6)&amp;IF($F$6="",""," "&amp;INDEX($A:$U,ROW(),$F$6))))</f>
        <v/>
      </c>
      <c r="AB1721" s="31">
        <f>IF($AA1721="","",SUBSTITUTE(SUBSTITUTE(SUBSTITUTE(SUBSTITUTE(SUBSTITUTE(SUBSTITUTE(SUBSTITUTE(SUBSTITUTE(SUBSTITUTE($AA1721," ",""),"　",""),"(주)",""),"（주）",""),"㈜",""),"주식회사",""),"(유)",""),"（유）",""),"유한회사",""))</f>
        <v/>
      </c>
      <c r="AC1721" s="31">
        <f>IF(OR($Y1721="",N($Z1721)&lt;=0,$AB1721=""),0,IFERROR(LOOKUP(2,1/((거래처별!$AC$8:$AC$307&lt;&gt;"")*ISNUMBER(SEARCH(거래처별!$AC$8:$AC$307,$AB1721))),거래처별!$A$8:$A$307),IFERROR(LOOKUP(2,1/((거래처별!$AD$8:$AD$307&lt;&gt;"")*ISNUMBER(SEARCH(거래처별!$AD$8:$AD$307,$AB1721))),거래처별!$A$8:$A$307),IFERROR(LOOKUP(2,1/((거래처별!$AE$8:$AE$307&lt;&gt;"")*ISNUMBER(SEARCH(거래처별!$AE$8:$AE$307,$AB1721))),거래처별!$A$8:$A$307),0))))</f>
        <v/>
      </c>
      <c r="AD1721" s="31">
        <f>IF(AND($Y1721&lt;&gt;"",N($Z1721)&gt;0,$AC1721=0),MAX($AD$7:$AD1720)+1,"")</f>
        <v/>
      </c>
      <c r="AE1721" s="31">
        <f>IF($Y1721="",0,$Y1721)</f>
        <v/>
      </c>
    </row>
    <row r="1722">
      <c r="W1722" s="31">
        <f>IF(OR($B$5="",$C$6="",ROW()&lt;$B$5),"",IF(INDEX($A:$U,ROW(),$C$6)="","",INDEX($A:$U,ROW(),$C$6)))</f>
        <v/>
      </c>
      <c r="X1722" s="32">
        <f>IF($W1722="","",IF(ISNUMBER($W1722),IF($W1722&gt;=10000000,IFERROR(DATE(INT($W1722/10000),MOD(INT($W1722/100),100),MOD($W1722,100)),""),INT($W1722)),IFERROR(DATE(--LEFT(LEFT(SUBSTITUTE(SUBSTITUTE(SUBSTITUTE(SUBSTITUTE(TRIM($W1722),"-",""),".",""),"/","")," ",""),8),4),--MID(LEFT(SUBSTITUTE(SUBSTITUTE(SUBSTITUTE(SUBSTITUTE(TRIM($W1722),"-",""),".",""),"/","")," ",""),8),5,2),--MID(LEFT(SUBSTITUTE(SUBSTITUTE(SUBSTITUTE(SUBSTITUTE(TRIM($W1722),"-",""),".",""),"/","")," ",""),8),7,2)),"")))</f>
        <v/>
      </c>
      <c r="Y1722" s="32">
        <f>IF($X1722="","",INT($X1722))</f>
        <v/>
      </c>
      <c r="Z1722" s="33">
        <f>IF(OR($Y1722="",$D$6=""),"",IF(INDEX($A:$U,ROW(),$D$6)="",0,IF(ISNUMBER(INDEX($A:$U,ROW(),$D$6)),INDEX($A:$U,ROW(),$D$6),IFERROR(--SUBSTITUTE(SUBSTITUTE(TRIM(INDEX($A:$U,ROW(),$D$6)),",",""),"원",""),0))))</f>
        <v/>
      </c>
      <c r="AA1722" s="31">
        <f>IF($Y1722="","",TRIM(INDEX($A:$U,ROW(),$E$6)&amp;IF($F$6="",""," "&amp;INDEX($A:$U,ROW(),$F$6))))</f>
        <v/>
      </c>
      <c r="AB1722" s="31">
        <f>IF($AA1722="","",SUBSTITUTE(SUBSTITUTE(SUBSTITUTE(SUBSTITUTE(SUBSTITUTE(SUBSTITUTE(SUBSTITUTE(SUBSTITUTE(SUBSTITUTE($AA1722," ",""),"　",""),"(주)",""),"（주）",""),"㈜",""),"주식회사",""),"(유)",""),"（유）",""),"유한회사",""))</f>
        <v/>
      </c>
      <c r="AC1722" s="31">
        <f>IF(OR($Y1722="",N($Z1722)&lt;=0,$AB1722=""),0,IFERROR(LOOKUP(2,1/((거래처별!$AC$8:$AC$307&lt;&gt;"")*ISNUMBER(SEARCH(거래처별!$AC$8:$AC$307,$AB1722))),거래처별!$A$8:$A$307),IFERROR(LOOKUP(2,1/((거래처별!$AD$8:$AD$307&lt;&gt;"")*ISNUMBER(SEARCH(거래처별!$AD$8:$AD$307,$AB1722))),거래처별!$A$8:$A$307),IFERROR(LOOKUP(2,1/((거래처별!$AE$8:$AE$307&lt;&gt;"")*ISNUMBER(SEARCH(거래처별!$AE$8:$AE$307,$AB1722))),거래처별!$A$8:$A$307),0))))</f>
        <v/>
      </c>
      <c r="AD1722" s="31">
        <f>IF(AND($Y1722&lt;&gt;"",N($Z1722)&gt;0,$AC1722=0),MAX($AD$7:$AD1721)+1,"")</f>
        <v/>
      </c>
      <c r="AE1722" s="31">
        <f>IF($Y1722="",0,$Y1722)</f>
        <v/>
      </c>
    </row>
    <row r="1723">
      <c r="W1723" s="31">
        <f>IF(OR($B$5="",$C$6="",ROW()&lt;$B$5),"",IF(INDEX($A:$U,ROW(),$C$6)="","",INDEX($A:$U,ROW(),$C$6)))</f>
        <v/>
      </c>
      <c r="X1723" s="32">
        <f>IF($W1723="","",IF(ISNUMBER($W1723),IF($W1723&gt;=10000000,IFERROR(DATE(INT($W1723/10000),MOD(INT($W1723/100),100),MOD($W1723,100)),""),INT($W1723)),IFERROR(DATE(--LEFT(LEFT(SUBSTITUTE(SUBSTITUTE(SUBSTITUTE(SUBSTITUTE(TRIM($W1723),"-",""),".",""),"/","")," ",""),8),4),--MID(LEFT(SUBSTITUTE(SUBSTITUTE(SUBSTITUTE(SUBSTITUTE(TRIM($W1723),"-",""),".",""),"/","")," ",""),8),5,2),--MID(LEFT(SUBSTITUTE(SUBSTITUTE(SUBSTITUTE(SUBSTITUTE(TRIM($W1723),"-",""),".",""),"/","")," ",""),8),7,2)),"")))</f>
        <v/>
      </c>
      <c r="Y1723" s="32">
        <f>IF($X1723="","",INT($X1723))</f>
        <v/>
      </c>
      <c r="Z1723" s="33">
        <f>IF(OR($Y1723="",$D$6=""),"",IF(INDEX($A:$U,ROW(),$D$6)="",0,IF(ISNUMBER(INDEX($A:$U,ROW(),$D$6)),INDEX($A:$U,ROW(),$D$6),IFERROR(--SUBSTITUTE(SUBSTITUTE(TRIM(INDEX($A:$U,ROW(),$D$6)),",",""),"원",""),0))))</f>
        <v/>
      </c>
      <c r="AA1723" s="31">
        <f>IF($Y1723="","",TRIM(INDEX($A:$U,ROW(),$E$6)&amp;IF($F$6="",""," "&amp;INDEX($A:$U,ROW(),$F$6))))</f>
        <v/>
      </c>
      <c r="AB1723" s="31">
        <f>IF($AA1723="","",SUBSTITUTE(SUBSTITUTE(SUBSTITUTE(SUBSTITUTE(SUBSTITUTE(SUBSTITUTE(SUBSTITUTE(SUBSTITUTE(SUBSTITUTE($AA1723," ",""),"　",""),"(주)",""),"（주）",""),"㈜",""),"주식회사",""),"(유)",""),"（유）",""),"유한회사",""))</f>
        <v/>
      </c>
      <c r="AC1723" s="31">
        <f>IF(OR($Y1723="",N($Z1723)&lt;=0,$AB1723=""),0,IFERROR(LOOKUP(2,1/((거래처별!$AC$8:$AC$307&lt;&gt;"")*ISNUMBER(SEARCH(거래처별!$AC$8:$AC$307,$AB1723))),거래처별!$A$8:$A$307),IFERROR(LOOKUP(2,1/((거래처별!$AD$8:$AD$307&lt;&gt;"")*ISNUMBER(SEARCH(거래처별!$AD$8:$AD$307,$AB1723))),거래처별!$A$8:$A$307),IFERROR(LOOKUP(2,1/((거래처별!$AE$8:$AE$307&lt;&gt;"")*ISNUMBER(SEARCH(거래처별!$AE$8:$AE$307,$AB1723))),거래처별!$A$8:$A$307),0))))</f>
        <v/>
      </c>
      <c r="AD1723" s="31">
        <f>IF(AND($Y1723&lt;&gt;"",N($Z1723)&gt;0,$AC1723=0),MAX($AD$7:$AD1722)+1,"")</f>
        <v/>
      </c>
      <c r="AE1723" s="31">
        <f>IF($Y1723="",0,$Y1723)</f>
        <v/>
      </c>
    </row>
    <row r="1724">
      <c r="W1724" s="31">
        <f>IF(OR($B$5="",$C$6="",ROW()&lt;$B$5),"",IF(INDEX($A:$U,ROW(),$C$6)="","",INDEX($A:$U,ROW(),$C$6)))</f>
        <v/>
      </c>
      <c r="X1724" s="32">
        <f>IF($W1724="","",IF(ISNUMBER($W1724),IF($W1724&gt;=10000000,IFERROR(DATE(INT($W1724/10000),MOD(INT($W1724/100),100),MOD($W1724,100)),""),INT($W1724)),IFERROR(DATE(--LEFT(LEFT(SUBSTITUTE(SUBSTITUTE(SUBSTITUTE(SUBSTITUTE(TRIM($W1724),"-",""),".",""),"/","")," ",""),8),4),--MID(LEFT(SUBSTITUTE(SUBSTITUTE(SUBSTITUTE(SUBSTITUTE(TRIM($W1724),"-",""),".",""),"/","")," ",""),8),5,2),--MID(LEFT(SUBSTITUTE(SUBSTITUTE(SUBSTITUTE(SUBSTITUTE(TRIM($W1724),"-",""),".",""),"/","")," ",""),8),7,2)),"")))</f>
        <v/>
      </c>
      <c r="Y1724" s="32">
        <f>IF($X1724="","",INT($X1724))</f>
        <v/>
      </c>
      <c r="Z1724" s="33">
        <f>IF(OR($Y1724="",$D$6=""),"",IF(INDEX($A:$U,ROW(),$D$6)="",0,IF(ISNUMBER(INDEX($A:$U,ROW(),$D$6)),INDEX($A:$U,ROW(),$D$6),IFERROR(--SUBSTITUTE(SUBSTITUTE(TRIM(INDEX($A:$U,ROW(),$D$6)),",",""),"원",""),0))))</f>
        <v/>
      </c>
      <c r="AA1724" s="31">
        <f>IF($Y1724="","",TRIM(INDEX($A:$U,ROW(),$E$6)&amp;IF($F$6="",""," "&amp;INDEX($A:$U,ROW(),$F$6))))</f>
        <v/>
      </c>
      <c r="AB1724" s="31">
        <f>IF($AA1724="","",SUBSTITUTE(SUBSTITUTE(SUBSTITUTE(SUBSTITUTE(SUBSTITUTE(SUBSTITUTE(SUBSTITUTE(SUBSTITUTE(SUBSTITUTE($AA1724," ",""),"　",""),"(주)",""),"（주）",""),"㈜",""),"주식회사",""),"(유)",""),"（유）",""),"유한회사",""))</f>
        <v/>
      </c>
      <c r="AC1724" s="31">
        <f>IF(OR($Y1724="",N($Z1724)&lt;=0,$AB1724=""),0,IFERROR(LOOKUP(2,1/((거래처별!$AC$8:$AC$307&lt;&gt;"")*ISNUMBER(SEARCH(거래처별!$AC$8:$AC$307,$AB1724))),거래처별!$A$8:$A$307),IFERROR(LOOKUP(2,1/((거래처별!$AD$8:$AD$307&lt;&gt;"")*ISNUMBER(SEARCH(거래처별!$AD$8:$AD$307,$AB1724))),거래처별!$A$8:$A$307),IFERROR(LOOKUP(2,1/((거래처별!$AE$8:$AE$307&lt;&gt;"")*ISNUMBER(SEARCH(거래처별!$AE$8:$AE$307,$AB1724))),거래처별!$A$8:$A$307),0))))</f>
        <v/>
      </c>
      <c r="AD1724" s="31">
        <f>IF(AND($Y1724&lt;&gt;"",N($Z1724)&gt;0,$AC1724=0),MAX($AD$7:$AD1723)+1,"")</f>
        <v/>
      </c>
      <c r="AE1724" s="31">
        <f>IF($Y1724="",0,$Y1724)</f>
        <v/>
      </c>
    </row>
    <row r="1725">
      <c r="W1725" s="31">
        <f>IF(OR($B$5="",$C$6="",ROW()&lt;$B$5),"",IF(INDEX($A:$U,ROW(),$C$6)="","",INDEX($A:$U,ROW(),$C$6)))</f>
        <v/>
      </c>
      <c r="X1725" s="32">
        <f>IF($W1725="","",IF(ISNUMBER($W1725),IF($W1725&gt;=10000000,IFERROR(DATE(INT($W1725/10000),MOD(INT($W1725/100),100),MOD($W1725,100)),""),INT($W1725)),IFERROR(DATE(--LEFT(LEFT(SUBSTITUTE(SUBSTITUTE(SUBSTITUTE(SUBSTITUTE(TRIM($W1725),"-",""),".",""),"/","")," ",""),8),4),--MID(LEFT(SUBSTITUTE(SUBSTITUTE(SUBSTITUTE(SUBSTITUTE(TRIM($W1725),"-",""),".",""),"/","")," ",""),8),5,2),--MID(LEFT(SUBSTITUTE(SUBSTITUTE(SUBSTITUTE(SUBSTITUTE(TRIM($W1725),"-",""),".",""),"/","")," ",""),8),7,2)),"")))</f>
        <v/>
      </c>
      <c r="Y1725" s="32">
        <f>IF($X1725="","",INT($X1725))</f>
        <v/>
      </c>
      <c r="Z1725" s="33">
        <f>IF(OR($Y1725="",$D$6=""),"",IF(INDEX($A:$U,ROW(),$D$6)="",0,IF(ISNUMBER(INDEX($A:$U,ROW(),$D$6)),INDEX($A:$U,ROW(),$D$6),IFERROR(--SUBSTITUTE(SUBSTITUTE(TRIM(INDEX($A:$U,ROW(),$D$6)),",",""),"원",""),0))))</f>
        <v/>
      </c>
      <c r="AA1725" s="31">
        <f>IF($Y1725="","",TRIM(INDEX($A:$U,ROW(),$E$6)&amp;IF($F$6="",""," "&amp;INDEX($A:$U,ROW(),$F$6))))</f>
        <v/>
      </c>
      <c r="AB1725" s="31">
        <f>IF($AA1725="","",SUBSTITUTE(SUBSTITUTE(SUBSTITUTE(SUBSTITUTE(SUBSTITUTE(SUBSTITUTE(SUBSTITUTE(SUBSTITUTE(SUBSTITUTE($AA1725," ",""),"　",""),"(주)",""),"（주）",""),"㈜",""),"주식회사",""),"(유)",""),"（유）",""),"유한회사",""))</f>
        <v/>
      </c>
      <c r="AC1725" s="31">
        <f>IF(OR($Y1725="",N($Z1725)&lt;=0,$AB1725=""),0,IFERROR(LOOKUP(2,1/((거래처별!$AC$8:$AC$307&lt;&gt;"")*ISNUMBER(SEARCH(거래처별!$AC$8:$AC$307,$AB1725))),거래처별!$A$8:$A$307),IFERROR(LOOKUP(2,1/((거래처별!$AD$8:$AD$307&lt;&gt;"")*ISNUMBER(SEARCH(거래처별!$AD$8:$AD$307,$AB1725))),거래처별!$A$8:$A$307),IFERROR(LOOKUP(2,1/((거래처별!$AE$8:$AE$307&lt;&gt;"")*ISNUMBER(SEARCH(거래처별!$AE$8:$AE$307,$AB1725))),거래처별!$A$8:$A$307),0))))</f>
        <v/>
      </c>
      <c r="AD1725" s="31">
        <f>IF(AND($Y1725&lt;&gt;"",N($Z1725)&gt;0,$AC1725=0),MAX($AD$7:$AD1724)+1,"")</f>
        <v/>
      </c>
      <c r="AE1725" s="31">
        <f>IF($Y1725="",0,$Y1725)</f>
        <v/>
      </c>
    </row>
    <row r="1726">
      <c r="W1726" s="31">
        <f>IF(OR($B$5="",$C$6="",ROW()&lt;$B$5),"",IF(INDEX($A:$U,ROW(),$C$6)="","",INDEX($A:$U,ROW(),$C$6)))</f>
        <v/>
      </c>
      <c r="X1726" s="32">
        <f>IF($W1726="","",IF(ISNUMBER($W1726),IF($W1726&gt;=10000000,IFERROR(DATE(INT($W1726/10000),MOD(INT($W1726/100),100),MOD($W1726,100)),""),INT($W1726)),IFERROR(DATE(--LEFT(LEFT(SUBSTITUTE(SUBSTITUTE(SUBSTITUTE(SUBSTITUTE(TRIM($W1726),"-",""),".",""),"/","")," ",""),8),4),--MID(LEFT(SUBSTITUTE(SUBSTITUTE(SUBSTITUTE(SUBSTITUTE(TRIM($W1726),"-",""),".",""),"/","")," ",""),8),5,2),--MID(LEFT(SUBSTITUTE(SUBSTITUTE(SUBSTITUTE(SUBSTITUTE(TRIM($W1726),"-",""),".",""),"/","")," ",""),8),7,2)),"")))</f>
        <v/>
      </c>
      <c r="Y1726" s="32">
        <f>IF($X1726="","",INT($X1726))</f>
        <v/>
      </c>
      <c r="Z1726" s="33">
        <f>IF(OR($Y1726="",$D$6=""),"",IF(INDEX($A:$U,ROW(),$D$6)="",0,IF(ISNUMBER(INDEX($A:$U,ROW(),$D$6)),INDEX($A:$U,ROW(),$D$6),IFERROR(--SUBSTITUTE(SUBSTITUTE(TRIM(INDEX($A:$U,ROW(),$D$6)),",",""),"원",""),0))))</f>
        <v/>
      </c>
      <c r="AA1726" s="31">
        <f>IF($Y1726="","",TRIM(INDEX($A:$U,ROW(),$E$6)&amp;IF($F$6="",""," "&amp;INDEX($A:$U,ROW(),$F$6))))</f>
        <v/>
      </c>
      <c r="AB1726" s="31">
        <f>IF($AA1726="","",SUBSTITUTE(SUBSTITUTE(SUBSTITUTE(SUBSTITUTE(SUBSTITUTE(SUBSTITUTE(SUBSTITUTE(SUBSTITUTE(SUBSTITUTE($AA1726," ",""),"　",""),"(주)",""),"（주）",""),"㈜",""),"주식회사",""),"(유)",""),"（유）",""),"유한회사",""))</f>
        <v/>
      </c>
      <c r="AC1726" s="31">
        <f>IF(OR($Y1726="",N($Z1726)&lt;=0,$AB1726=""),0,IFERROR(LOOKUP(2,1/((거래처별!$AC$8:$AC$307&lt;&gt;"")*ISNUMBER(SEARCH(거래처별!$AC$8:$AC$307,$AB1726))),거래처별!$A$8:$A$307),IFERROR(LOOKUP(2,1/((거래처별!$AD$8:$AD$307&lt;&gt;"")*ISNUMBER(SEARCH(거래처별!$AD$8:$AD$307,$AB1726))),거래처별!$A$8:$A$307),IFERROR(LOOKUP(2,1/((거래처별!$AE$8:$AE$307&lt;&gt;"")*ISNUMBER(SEARCH(거래처별!$AE$8:$AE$307,$AB1726))),거래처별!$A$8:$A$307),0))))</f>
        <v/>
      </c>
      <c r="AD1726" s="31">
        <f>IF(AND($Y1726&lt;&gt;"",N($Z1726)&gt;0,$AC1726=0),MAX($AD$7:$AD1725)+1,"")</f>
        <v/>
      </c>
      <c r="AE1726" s="31">
        <f>IF($Y1726="",0,$Y1726)</f>
        <v/>
      </c>
    </row>
    <row r="1727">
      <c r="W1727" s="31">
        <f>IF(OR($B$5="",$C$6="",ROW()&lt;$B$5),"",IF(INDEX($A:$U,ROW(),$C$6)="","",INDEX($A:$U,ROW(),$C$6)))</f>
        <v/>
      </c>
      <c r="X1727" s="32">
        <f>IF($W1727="","",IF(ISNUMBER($W1727),IF($W1727&gt;=10000000,IFERROR(DATE(INT($W1727/10000),MOD(INT($W1727/100),100),MOD($W1727,100)),""),INT($W1727)),IFERROR(DATE(--LEFT(LEFT(SUBSTITUTE(SUBSTITUTE(SUBSTITUTE(SUBSTITUTE(TRIM($W1727),"-",""),".",""),"/","")," ",""),8),4),--MID(LEFT(SUBSTITUTE(SUBSTITUTE(SUBSTITUTE(SUBSTITUTE(TRIM($W1727),"-",""),".",""),"/","")," ",""),8),5,2),--MID(LEFT(SUBSTITUTE(SUBSTITUTE(SUBSTITUTE(SUBSTITUTE(TRIM($W1727),"-",""),".",""),"/","")," ",""),8),7,2)),"")))</f>
        <v/>
      </c>
      <c r="Y1727" s="32">
        <f>IF($X1727="","",INT($X1727))</f>
        <v/>
      </c>
      <c r="Z1727" s="33">
        <f>IF(OR($Y1727="",$D$6=""),"",IF(INDEX($A:$U,ROW(),$D$6)="",0,IF(ISNUMBER(INDEX($A:$U,ROW(),$D$6)),INDEX($A:$U,ROW(),$D$6),IFERROR(--SUBSTITUTE(SUBSTITUTE(TRIM(INDEX($A:$U,ROW(),$D$6)),",",""),"원",""),0))))</f>
        <v/>
      </c>
      <c r="AA1727" s="31">
        <f>IF($Y1727="","",TRIM(INDEX($A:$U,ROW(),$E$6)&amp;IF($F$6="",""," "&amp;INDEX($A:$U,ROW(),$F$6))))</f>
        <v/>
      </c>
      <c r="AB1727" s="31">
        <f>IF($AA1727="","",SUBSTITUTE(SUBSTITUTE(SUBSTITUTE(SUBSTITUTE(SUBSTITUTE(SUBSTITUTE(SUBSTITUTE(SUBSTITUTE(SUBSTITUTE($AA1727," ",""),"　",""),"(주)",""),"（주）",""),"㈜",""),"주식회사",""),"(유)",""),"（유）",""),"유한회사",""))</f>
        <v/>
      </c>
      <c r="AC1727" s="31">
        <f>IF(OR($Y1727="",N($Z1727)&lt;=0,$AB1727=""),0,IFERROR(LOOKUP(2,1/((거래처별!$AC$8:$AC$307&lt;&gt;"")*ISNUMBER(SEARCH(거래처별!$AC$8:$AC$307,$AB1727))),거래처별!$A$8:$A$307),IFERROR(LOOKUP(2,1/((거래처별!$AD$8:$AD$307&lt;&gt;"")*ISNUMBER(SEARCH(거래처별!$AD$8:$AD$307,$AB1727))),거래처별!$A$8:$A$307),IFERROR(LOOKUP(2,1/((거래처별!$AE$8:$AE$307&lt;&gt;"")*ISNUMBER(SEARCH(거래처별!$AE$8:$AE$307,$AB1727))),거래처별!$A$8:$A$307),0))))</f>
        <v/>
      </c>
      <c r="AD1727" s="31">
        <f>IF(AND($Y1727&lt;&gt;"",N($Z1727)&gt;0,$AC1727=0),MAX($AD$7:$AD1726)+1,"")</f>
        <v/>
      </c>
      <c r="AE1727" s="31">
        <f>IF($Y1727="",0,$Y1727)</f>
        <v/>
      </c>
    </row>
    <row r="1728">
      <c r="W1728" s="31">
        <f>IF(OR($B$5="",$C$6="",ROW()&lt;$B$5),"",IF(INDEX($A:$U,ROW(),$C$6)="","",INDEX($A:$U,ROW(),$C$6)))</f>
        <v/>
      </c>
      <c r="X1728" s="32">
        <f>IF($W1728="","",IF(ISNUMBER($W1728),IF($W1728&gt;=10000000,IFERROR(DATE(INT($W1728/10000),MOD(INT($W1728/100),100),MOD($W1728,100)),""),INT($W1728)),IFERROR(DATE(--LEFT(LEFT(SUBSTITUTE(SUBSTITUTE(SUBSTITUTE(SUBSTITUTE(TRIM($W1728),"-",""),".",""),"/","")," ",""),8),4),--MID(LEFT(SUBSTITUTE(SUBSTITUTE(SUBSTITUTE(SUBSTITUTE(TRIM($W1728),"-",""),".",""),"/","")," ",""),8),5,2),--MID(LEFT(SUBSTITUTE(SUBSTITUTE(SUBSTITUTE(SUBSTITUTE(TRIM($W1728),"-",""),".",""),"/","")," ",""),8),7,2)),"")))</f>
        <v/>
      </c>
      <c r="Y1728" s="32">
        <f>IF($X1728="","",INT($X1728))</f>
        <v/>
      </c>
      <c r="Z1728" s="33">
        <f>IF(OR($Y1728="",$D$6=""),"",IF(INDEX($A:$U,ROW(),$D$6)="",0,IF(ISNUMBER(INDEX($A:$U,ROW(),$D$6)),INDEX($A:$U,ROW(),$D$6),IFERROR(--SUBSTITUTE(SUBSTITUTE(TRIM(INDEX($A:$U,ROW(),$D$6)),",",""),"원",""),0))))</f>
        <v/>
      </c>
      <c r="AA1728" s="31">
        <f>IF($Y1728="","",TRIM(INDEX($A:$U,ROW(),$E$6)&amp;IF($F$6="",""," "&amp;INDEX($A:$U,ROW(),$F$6))))</f>
        <v/>
      </c>
      <c r="AB1728" s="31">
        <f>IF($AA1728="","",SUBSTITUTE(SUBSTITUTE(SUBSTITUTE(SUBSTITUTE(SUBSTITUTE(SUBSTITUTE(SUBSTITUTE(SUBSTITUTE(SUBSTITUTE($AA1728," ",""),"　",""),"(주)",""),"（주）",""),"㈜",""),"주식회사",""),"(유)",""),"（유）",""),"유한회사",""))</f>
        <v/>
      </c>
      <c r="AC1728" s="31">
        <f>IF(OR($Y1728="",N($Z1728)&lt;=0,$AB1728=""),0,IFERROR(LOOKUP(2,1/((거래처별!$AC$8:$AC$307&lt;&gt;"")*ISNUMBER(SEARCH(거래처별!$AC$8:$AC$307,$AB1728))),거래처별!$A$8:$A$307),IFERROR(LOOKUP(2,1/((거래처별!$AD$8:$AD$307&lt;&gt;"")*ISNUMBER(SEARCH(거래처별!$AD$8:$AD$307,$AB1728))),거래처별!$A$8:$A$307),IFERROR(LOOKUP(2,1/((거래처별!$AE$8:$AE$307&lt;&gt;"")*ISNUMBER(SEARCH(거래처별!$AE$8:$AE$307,$AB1728))),거래처별!$A$8:$A$307),0))))</f>
        <v/>
      </c>
      <c r="AD1728" s="31">
        <f>IF(AND($Y1728&lt;&gt;"",N($Z1728)&gt;0,$AC1728=0),MAX($AD$7:$AD1727)+1,"")</f>
        <v/>
      </c>
      <c r="AE1728" s="31">
        <f>IF($Y1728="",0,$Y1728)</f>
        <v/>
      </c>
    </row>
    <row r="1729">
      <c r="W1729" s="31">
        <f>IF(OR($B$5="",$C$6="",ROW()&lt;$B$5),"",IF(INDEX($A:$U,ROW(),$C$6)="","",INDEX($A:$U,ROW(),$C$6)))</f>
        <v/>
      </c>
      <c r="X1729" s="32">
        <f>IF($W1729="","",IF(ISNUMBER($W1729),IF($W1729&gt;=10000000,IFERROR(DATE(INT($W1729/10000),MOD(INT($W1729/100),100),MOD($W1729,100)),""),INT($W1729)),IFERROR(DATE(--LEFT(LEFT(SUBSTITUTE(SUBSTITUTE(SUBSTITUTE(SUBSTITUTE(TRIM($W1729),"-",""),".",""),"/","")," ",""),8),4),--MID(LEFT(SUBSTITUTE(SUBSTITUTE(SUBSTITUTE(SUBSTITUTE(TRIM($W1729),"-",""),".",""),"/","")," ",""),8),5,2),--MID(LEFT(SUBSTITUTE(SUBSTITUTE(SUBSTITUTE(SUBSTITUTE(TRIM($W1729),"-",""),".",""),"/","")," ",""),8),7,2)),"")))</f>
        <v/>
      </c>
      <c r="Y1729" s="32">
        <f>IF($X1729="","",INT($X1729))</f>
        <v/>
      </c>
      <c r="Z1729" s="33">
        <f>IF(OR($Y1729="",$D$6=""),"",IF(INDEX($A:$U,ROW(),$D$6)="",0,IF(ISNUMBER(INDEX($A:$U,ROW(),$D$6)),INDEX($A:$U,ROW(),$D$6),IFERROR(--SUBSTITUTE(SUBSTITUTE(TRIM(INDEX($A:$U,ROW(),$D$6)),",",""),"원",""),0))))</f>
        <v/>
      </c>
      <c r="AA1729" s="31">
        <f>IF($Y1729="","",TRIM(INDEX($A:$U,ROW(),$E$6)&amp;IF($F$6="",""," "&amp;INDEX($A:$U,ROW(),$F$6))))</f>
        <v/>
      </c>
      <c r="AB1729" s="31">
        <f>IF($AA1729="","",SUBSTITUTE(SUBSTITUTE(SUBSTITUTE(SUBSTITUTE(SUBSTITUTE(SUBSTITUTE(SUBSTITUTE(SUBSTITUTE(SUBSTITUTE($AA1729," ",""),"　",""),"(주)",""),"（주）",""),"㈜",""),"주식회사",""),"(유)",""),"（유）",""),"유한회사",""))</f>
        <v/>
      </c>
      <c r="AC1729" s="31">
        <f>IF(OR($Y1729="",N($Z1729)&lt;=0,$AB1729=""),0,IFERROR(LOOKUP(2,1/((거래처별!$AC$8:$AC$307&lt;&gt;"")*ISNUMBER(SEARCH(거래처별!$AC$8:$AC$307,$AB1729))),거래처별!$A$8:$A$307),IFERROR(LOOKUP(2,1/((거래처별!$AD$8:$AD$307&lt;&gt;"")*ISNUMBER(SEARCH(거래처별!$AD$8:$AD$307,$AB1729))),거래처별!$A$8:$A$307),IFERROR(LOOKUP(2,1/((거래처별!$AE$8:$AE$307&lt;&gt;"")*ISNUMBER(SEARCH(거래처별!$AE$8:$AE$307,$AB1729))),거래처별!$A$8:$A$307),0))))</f>
        <v/>
      </c>
      <c r="AD1729" s="31">
        <f>IF(AND($Y1729&lt;&gt;"",N($Z1729)&gt;0,$AC1729=0),MAX($AD$7:$AD1728)+1,"")</f>
        <v/>
      </c>
      <c r="AE1729" s="31">
        <f>IF($Y1729="",0,$Y1729)</f>
        <v/>
      </c>
    </row>
    <row r="1730">
      <c r="W1730" s="31">
        <f>IF(OR($B$5="",$C$6="",ROW()&lt;$B$5),"",IF(INDEX($A:$U,ROW(),$C$6)="","",INDEX($A:$U,ROW(),$C$6)))</f>
        <v/>
      </c>
      <c r="X1730" s="32">
        <f>IF($W1730="","",IF(ISNUMBER($W1730),IF($W1730&gt;=10000000,IFERROR(DATE(INT($W1730/10000),MOD(INT($W1730/100),100),MOD($W1730,100)),""),INT($W1730)),IFERROR(DATE(--LEFT(LEFT(SUBSTITUTE(SUBSTITUTE(SUBSTITUTE(SUBSTITUTE(TRIM($W1730),"-",""),".",""),"/","")," ",""),8),4),--MID(LEFT(SUBSTITUTE(SUBSTITUTE(SUBSTITUTE(SUBSTITUTE(TRIM($W1730),"-",""),".",""),"/","")," ",""),8),5,2),--MID(LEFT(SUBSTITUTE(SUBSTITUTE(SUBSTITUTE(SUBSTITUTE(TRIM($W1730),"-",""),".",""),"/","")," ",""),8),7,2)),"")))</f>
        <v/>
      </c>
      <c r="Y1730" s="32">
        <f>IF($X1730="","",INT($X1730))</f>
        <v/>
      </c>
      <c r="Z1730" s="33">
        <f>IF(OR($Y1730="",$D$6=""),"",IF(INDEX($A:$U,ROW(),$D$6)="",0,IF(ISNUMBER(INDEX($A:$U,ROW(),$D$6)),INDEX($A:$U,ROW(),$D$6),IFERROR(--SUBSTITUTE(SUBSTITUTE(TRIM(INDEX($A:$U,ROW(),$D$6)),",",""),"원",""),0))))</f>
        <v/>
      </c>
      <c r="AA1730" s="31">
        <f>IF($Y1730="","",TRIM(INDEX($A:$U,ROW(),$E$6)&amp;IF($F$6="",""," "&amp;INDEX($A:$U,ROW(),$F$6))))</f>
        <v/>
      </c>
      <c r="AB1730" s="31">
        <f>IF($AA1730="","",SUBSTITUTE(SUBSTITUTE(SUBSTITUTE(SUBSTITUTE(SUBSTITUTE(SUBSTITUTE(SUBSTITUTE(SUBSTITUTE(SUBSTITUTE($AA1730," ",""),"　",""),"(주)",""),"（주）",""),"㈜",""),"주식회사",""),"(유)",""),"（유）",""),"유한회사",""))</f>
        <v/>
      </c>
      <c r="AC1730" s="31">
        <f>IF(OR($Y1730="",N($Z1730)&lt;=0,$AB1730=""),0,IFERROR(LOOKUP(2,1/((거래처별!$AC$8:$AC$307&lt;&gt;"")*ISNUMBER(SEARCH(거래처별!$AC$8:$AC$307,$AB1730))),거래처별!$A$8:$A$307),IFERROR(LOOKUP(2,1/((거래처별!$AD$8:$AD$307&lt;&gt;"")*ISNUMBER(SEARCH(거래처별!$AD$8:$AD$307,$AB1730))),거래처별!$A$8:$A$307),IFERROR(LOOKUP(2,1/((거래처별!$AE$8:$AE$307&lt;&gt;"")*ISNUMBER(SEARCH(거래처별!$AE$8:$AE$307,$AB1730))),거래처별!$A$8:$A$307),0))))</f>
        <v/>
      </c>
      <c r="AD1730" s="31">
        <f>IF(AND($Y1730&lt;&gt;"",N($Z1730)&gt;0,$AC1730=0),MAX($AD$7:$AD1729)+1,"")</f>
        <v/>
      </c>
      <c r="AE1730" s="31">
        <f>IF($Y1730="",0,$Y1730)</f>
        <v/>
      </c>
    </row>
    <row r="1731">
      <c r="W1731" s="31">
        <f>IF(OR($B$5="",$C$6="",ROW()&lt;$B$5),"",IF(INDEX($A:$U,ROW(),$C$6)="","",INDEX($A:$U,ROW(),$C$6)))</f>
        <v/>
      </c>
      <c r="X1731" s="32">
        <f>IF($W1731="","",IF(ISNUMBER($W1731),IF($W1731&gt;=10000000,IFERROR(DATE(INT($W1731/10000),MOD(INT($W1731/100),100),MOD($W1731,100)),""),INT($W1731)),IFERROR(DATE(--LEFT(LEFT(SUBSTITUTE(SUBSTITUTE(SUBSTITUTE(SUBSTITUTE(TRIM($W1731),"-",""),".",""),"/","")," ",""),8),4),--MID(LEFT(SUBSTITUTE(SUBSTITUTE(SUBSTITUTE(SUBSTITUTE(TRIM($W1731),"-",""),".",""),"/","")," ",""),8),5,2),--MID(LEFT(SUBSTITUTE(SUBSTITUTE(SUBSTITUTE(SUBSTITUTE(TRIM($W1731),"-",""),".",""),"/","")," ",""),8),7,2)),"")))</f>
        <v/>
      </c>
      <c r="Y1731" s="32">
        <f>IF($X1731="","",INT($X1731))</f>
        <v/>
      </c>
      <c r="Z1731" s="33">
        <f>IF(OR($Y1731="",$D$6=""),"",IF(INDEX($A:$U,ROW(),$D$6)="",0,IF(ISNUMBER(INDEX($A:$U,ROW(),$D$6)),INDEX($A:$U,ROW(),$D$6),IFERROR(--SUBSTITUTE(SUBSTITUTE(TRIM(INDEX($A:$U,ROW(),$D$6)),",",""),"원",""),0))))</f>
        <v/>
      </c>
      <c r="AA1731" s="31">
        <f>IF($Y1731="","",TRIM(INDEX($A:$U,ROW(),$E$6)&amp;IF($F$6="",""," "&amp;INDEX($A:$U,ROW(),$F$6))))</f>
        <v/>
      </c>
      <c r="AB1731" s="31">
        <f>IF($AA1731="","",SUBSTITUTE(SUBSTITUTE(SUBSTITUTE(SUBSTITUTE(SUBSTITUTE(SUBSTITUTE(SUBSTITUTE(SUBSTITUTE(SUBSTITUTE($AA1731," ",""),"　",""),"(주)",""),"（주）",""),"㈜",""),"주식회사",""),"(유)",""),"（유）",""),"유한회사",""))</f>
        <v/>
      </c>
      <c r="AC1731" s="31">
        <f>IF(OR($Y1731="",N($Z1731)&lt;=0,$AB1731=""),0,IFERROR(LOOKUP(2,1/((거래처별!$AC$8:$AC$307&lt;&gt;"")*ISNUMBER(SEARCH(거래처별!$AC$8:$AC$307,$AB1731))),거래처별!$A$8:$A$307),IFERROR(LOOKUP(2,1/((거래처별!$AD$8:$AD$307&lt;&gt;"")*ISNUMBER(SEARCH(거래처별!$AD$8:$AD$307,$AB1731))),거래처별!$A$8:$A$307),IFERROR(LOOKUP(2,1/((거래처별!$AE$8:$AE$307&lt;&gt;"")*ISNUMBER(SEARCH(거래처별!$AE$8:$AE$307,$AB1731))),거래처별!$A$8:$A$307),0))))</f>
        <v/>
      </c>
      <c r="AD1731" s="31">
        <f>IF(AND($Y1731&lt;&gt;"",N($Z1731)&gt;0,$AC1731=0),MAX($AD$7:$AD1730)+1,"")</f>
        <v/>
      </c>
      <c r="AE1731" s="31">
        <f>IF($Y1731="",0,$Y1731)</f>
        <v/>
      </c>
    </row>
    <row r="1732">
      <c r="W1732" s="31">
        <f>IF(OR($B$5="",$C$6="",ROW()&lt;$B$5),"",IF(INDEX($A:$U,ROW(),$C$6)="","",INDEX($A:$U,ROW(),$C$6)))</f>
        <v/>
      </c>
      <c r="X1732" s="32">
        <f>IF($W1732="","",IF(ISNUMBER($W1732),IF($W1732&gt;=10000000,IFERROR(DATE(INT($W1732/10000),MOD(INT($W1732/100),100),MOD($W1732,100)),""),INT($W1732)),IFERROR(DATE(--LEFT(LEFT(SUBSTITUTE(SUBSTITUTE(SUBSTITUTE(SUBSTITUTE(TRIM($W1732),"-",""),".",""),"/","")," ",""),8),4),--MID(LEFT(SUBSTITUTE(SUBSTITUTE(SUBSTITUTE(SUBSTITUTE(TRIM($W1732),"-",""),".",""),"/","")," ",""),8),5,2),--MID(LEFT(SUBSTITUTE(SUBSTITUTE(SUBSTITUTE(SUBSTITUTE(TRIM($W1732),"-",""),".",""),"/","")," ",""),8),7,2)),"")))</f>
        <v/>
      </c>
      <c r="Y1732" s="32">
        <f>IF($X1732="","",INT($X1732))</f>
        <v/>
      </c>
      <c r="Z1732" s="33">
        <f>IF(OR($Y1732="",$D$6=""),"",IF(INDEX($A:$U,ROW(),$D$6)="",0,IF(ISNUMBER(INDEX($A:$U,ROW(),$D$6)),INDEX($A:$U,ROW(),$D$6),IFERROR(--SUBSTITUTE(SUBSTITUTE(TRIM(INDEX($A:$U,ROW(),$D$6)),",",""),"원",""),0))))</f>
        <v/>
      </c>
      <c r="AA1732" s="31">
        <f>IF($Y1732="","",TRIM(INDEX($A:$U,ROW(),$E$6)&amp;IF($F$6="",""," "&amp;INDEX($A:$U,ROW(),$F$6))))</f>
        <v/>
      </c>
      <c r="AB1732" s="31">
        <f>IF($AA1732="","",SUBSTITUTE(SUBSTITUTE(SUBSTITUTE(SUBSTITUTE(SUBSTITUTE(SUBSTITUTE(SUBSTITUTE(SUBSTITUTE(SUBSTITUTE($AA1732," ",""),"　",""),"(주)",""),"（주）",""),"㈜",""),"주식회사",""),"(유)",""),"（유）",""),"유한회사",""))</f>
        <v/>
      </c>
      <c r="AC1732" s="31">
        <f>IF(OR($Y1732="",N($Z1732)&lt;=0,$AB1732=""),0,IFERROR(LOOKUP(2,1/((거래처별!$AC$8:$AC$307&lt;&gt;"")*ISNUMBER(SEARCH(거래처별!$AC$8:$AC$307,$AB1732))),거래처별!$A$8:$A$307),IFERROR(LOOKUP(2,1/((거래처별!$AD$8:$AD$307&lt;&gt;"")*ISNUMBER(SEARCH(거래처별!$AD$8:$AD$307,$AB1732))),거래처별!$A$8:$A$307),IFERROR(LOOKUP(2,1/((거래처별!$AE$8:$AE$307&lt;&gt;"")*ISNUMBER(SEARCH(거래처별!$AE$8:$AE$307,$AB1732))),거래처별!$A$8:$A$307),0))))</f>
        <v/>
      </c>
      <c r="AD1732" s="31">
        <f>IF(AND($Y1732&lt;&gt;"",N($Z1732)&gt;0,$AC1732=0),MAX($AD$7:$AD1731)+1,"")</f>
        <v/>
      </c>
      <c r="AE1732" s="31">
        <f>IF($Y1732="",0,$Y1732)</f>
        <v/>
      </c>
    </row>
    <row r="1733">
      <c r="W1733" s="31">
        <f>IF(OR($B$5="",$C$6="",ROW()&lt;$B$5),"",IF(INDEX($A:$U,ROW(),$C$6)="","",INDEX($A:$U,ROW(),$C$6)))</f>
        <v/>
      </c>
      <c r="X1733" s="32">
        <f>IF($W1733="","",IF(ISNUMBER($W1733),IF($W1733&gt;=10000000,IFERROR(DATE(INT($W1733/10000),MOD(INT($W1733/100),100),MOD($W1733,100)),""),INT($W1733)),IFERROR(DATE(--LEFT(LEFT(SUBSTITUTE(SUBSTITUTE(SUBSTITUTE(SUBSTITUTE(TRIM($W1733),"-",""),".",""),"/","")," ",""),8),4),--MID(LEFT(SUBSTITUTE(SUBSTITUTE(SUBSTITUTE(SUBSTITUTE(TRIM($W1733),"-",""),".",""),"/","")," ",""),8),5,2),--MID(LEFT(SUBSTITUTE(SUBSTITUTE(SUBSTITUTE(SUBSTITUTE(TRIM($W1733),"-",""),".",""),"/","")," ",""),8),7,2)),"")))</f>
        <v/>
      </c>
      <c r="Y1733" s="32">
        <f>IF($X1733="","",INT($X1733))</f>
        <v/>
      </c>
      <c r="Z1733" s="33">
        <f>IF(OR($Y1733="",$D$6=""),"",IF(INDEX($A:$U,ROW(),$D$6)="",0,IF(ISNUMBER(INDEX($A:$U,ROW(),$D$6)),INDEX($A:$U,ROW(),$D$6),IFERROR(--SUBSTITUTE(SUBSTITUTE(TRIM(INDEX($A:$U,ROW(),$D$6)),",",""),"원",""),0))))</f>
        <v/>
      </c>
      <c r="AA1733" s="31">
        <f>IF($Y1733="","",TRIM(INDEX($A:$U,ROW(),$E$6)&amp;IF($F$6="",""," "&amp;INDEX($A:$U,ROW(),$F$6))))</f>
        <v/>
      </c>
      <c r="AB1733" s="31">
        <f>IF($AA1733="","",SUBSTITUTE(SUBSTITUTE(SUBSTITUTE(SUBSTITUTE(SUBSTITUTE(SUBSTITUTE(SUBSTITUTE(SUBSTITUTE(SUBSTITUTE($AA1733," ",""),"　",""),"(주)",""),"（주）",""),"㈜",""),"주식회사",""),"(유)",""),"（유）",""),"유한회사",""))</f>
        <v/>
      </c>
      <c r="AC1733" s="31">
        <f>IF(OR($Y1733="",N($Z1733)&lt;=0,$AB1733=""),0,IFERROR(LOOKUP(2,1/((거래처별!$AC$8:$AC$307&lt;&gt;"")*ISNUMBER(SEARCH(거래처별!$AC$8:$AC$307,$AB1733))),거래처별!$A$8:$A$307),IFERROR(LOOKUP(2,1/((거래처별!$AD$8:$AD$307&lt;&gt;"")*ISNUMBER(SEARCH(거래처별!$AD$8:$AD$307,$AB1733))),거래처별!$A$8:$A$307),IFERROR(LOOKUP(2,1/((거래처별!$AE$8:$AE$307&lt;&gt;"")*ISNUMBER(SEARCH(거래처별!$AE$8:$AE$307,$AB1733))),거래처별!$A$8:$A$307),0))))</f>
        <v/>
      </c>
      <c r="AD1733" s="31">
        <f>IF(AND($Y1733&lt;&gt;"",N($Z1733)&gt;0,$AC1733=0),MAX($AD$7:$AD1732)+1,"")</f>
        <v/>
      </c>
      <c r="AE1733" s="31">
        <f>IF($Y1733="",0,$Y1733)</f>
        <v/>
      </c>
    </row>
    <row r="1734">
      <c r="W1734" s="31">
        <f>IF(OR($B$5="",$C$6="",ROW()&lt;$B$5),"",IF(INDEX($A:$U,ROW(),$C$6)="","",INDEX($A:$U,ROW(),$C$6)))</f>
        <v/>
      </c>
      <c r="X1734" s="32">
        <f>IF($W1734="","",IF(ISNUMBER($W1734),IF($W1734&gt;=10000000,IFERROR(DATE(INT($W1734/10000),MOD(INT($W1734/100),100),MOD($W1734,100)),""),INT($W1734)),IFERROR(DATE(--LEFT(LEFT(SUBSTITUTE(SUBSTITUTE(SUBSTITUTE(SUBSTITUTE(TRIM($W1734),"-",""),".",""),"/","")," ",""),8),4),--MID(LEFT(SUBSTITUTE(SUBSTITUTE(SUBSTITUTE(SUBSTITUTE(TRIM($W1734),"-",""),".",""),"/","")," ",""),8),5,2),--MID(LEFT(SUBSTITUTE(SUBSTITUTE(SUBSTITUTE(SUBSTITUTE(TRIM($W1734),"-",""),".",""),"/","")," ",""),8),7,2)),"")))</f>
        <v/>
      </c>
      <c r="Y1734" s="32">
        <f>IF($X1734="","",INT($X1734))</f>
        <v/>
      </c>
      <c r="Z1734" s="33">
        <f>IF(OR($Y1734="",$D$6=""),"",IF(INDEX($A:$U,ROW(),$D$6)="",0,IF(ISNUMBER(INDEX($A:$U,ROW(),$D$6)),INDEX($A:$U,ROW(),$D$6),IFERROR(--SUBSTITUTE(SUBSTITUTE(TRIM(INDEX($A:$U,ROW(),$D$6)),",",""),"원",""),0))))</f>
        <v/>
      </c>
      <c r="AA1734" s="31">
        <f>IF($Y1734="","",TRIM(INDEX($A:$U,ROW(),$E$6)&amp;IF($F$6="",""," "&amp;INDEX($A:$U,ROW(),$F$6))))</f>
        <v/>
      </c>
      <c r="AB1734" s="31">
        <f>IF($AA1734="","",SUBSTITUTE(SUBSTITUTE(SUBSTITUTE(SUBSTITUTE(SUBSTITUTE(SUBSTITUTE(SUBSTITUTE(SUBSTITUTE(SUBSTITUTE($AA1734," ",""),"　",""),"(주)",""),"（주）",""),"㈜",""),"주식회사",""),"(유)",""),"（유）",""),"유한회사",""))</f>
        <v/>
      </c>
      <c r="AC1734" s="31">
        <f>IF(OR($Y1734="",N($Z1734)&lt;=0,$AB1734=""),0,IFERROR(LOOKUP(2,1/((거래처별!$AC$8:$AC$307&lt;&gt;"")*ISNUMBER(SEARCH(거래처별!$AC$8:$AC$307,$AB1734))),거래처별!$A$8:$A$307),IFERROR(LOOKUP(2,1/((거래처별!$AD$8:$AD$307&lt;&gt;"")*ISNUMBER(SEARCH(거래처별!$AD$8:$AD$307,$AB1734))),거래처별!$A$8:$A$307),IFERROR(LOOKUP(2,1/((거래처별!$AE$8:$AE$307&lt;&gt;"")*ISNUMBER(SEARCH(거래처별!$AE$8:$AE$307,$AB1734))),거래처별!$A$8:$A$307),0))))</f>
        <v/>
      </c>
      <c r="AD1734" s="31">
        <f>IF(AND($Y1734&lt;&gt;"",N($Z1734)&gt;0,$AC1734=0),MAX($AD$7:$AD1733)+1,"")</f>
        <v/>
      </c>
      <c r="AE1734" s="31">
        <f>IF($Y1734="",0,$Y1734)</f>
        <v/>
      </c>
    </row>
    <row r="1735">
      <c r="W1735" s="31">
        <f>IF(OR($B$5="",$C$6="",ROW()&lt;$B$5),"",IF(INDEX($A:$U,ROW(),$C$6)="","",INDEX($A:$U,ROW(),$C$6)))</f>
        <v/>
      </c>
      <c r="X1735" s="32">
        <f>IF($W1735="","",IF(ISNUMBER($W1735),IF($W1735&gt;=10000000,IFERROR(DATE(INT($W1735/10000),MOD(INT($W1735/100),100),MOD($W1735,100)),""),INT($W1735)),IFERROR(DATE(--LEFT(LEFT(SUBSTITUTE(SUBSTITUTE(SUBSTITUTE(SUBSTITUTE(TRIM($W1735),"-",""),".",""),"/","")," ",""),8),4),--MID(LEFT(SUBSTITUTE(SUBSTITUTE(SUBSTITUTE(SUBSTITUTE(TRIM($W1735),"-",""),".",""),"/","")," ",""),8),5,2),--MID(LEFT(SUBSTITUTE(SUBSTITUTE(SUBSTITUTE(SUBSTITUTE(TRIM($W1735),"-",""),".",""),"/","")," ",""),8),7,2)),"")))</f>
        <v/>
      </c>
      <c r="Y1735" s="32">
        <f>IF($X1735="","",INT($X1735))</f>
        <v/>
      </c>
      <c r="Z1735" s="33">
        <f>IF(OR($Y1735="",$D$6=""),"",IF(INDEX($A:$U,ROW(),$D$6)="",0,IF(ISNUMBER(INDEX($A:$U,ROW(),$D$6)),INDEX($A:$U,ROW(),$D$6),IFERROR(--SUBSTITUTE(SUBSTITUTE(TRIM(INDEX($A:$U,ROW(),$D$6)),",",""),"원",""),0))))</f>
        <v/>
      </c>
      <c r="AA1735" s="31">
        <f>IF($Y1735="","",TRIM(INDEX($A:$U,ROW(),$E$6)&amp;IF($F$6="",""," "&amp;INDEX($A:$U,ROW(),$F$6))))</f>
        <v/>
      </c>
      <c r="AB1735" s="31">
        <f>IF($AA1735="","",SUBSTITUTE(SUBSTITUTE(SUBSTITUTE(SUBSTITUTE(SUBSTITUTE(SUBSTITUTE(SUBSTITUTE(SUBSTITUTE(SUBSTITUTE($AA1735," ",""),"　",""),"(주)",""),"（주）",""),"㈜",""),"주식회사",""),"(유)",""),"（유）",""),"유한회사",""))</f>
        <v/>
      </c>
      <c r="AC1735" s="31">
        <f>IF(OR($Y1735="",N($Z1735)&lt;=0,$AB1735=""),0,IFERROR(LOOKUP(2,1/((거래처별!$AC$8:$AC$307&lt;&gt;"")*ISNUMBER(SEARCH(거래처별!$AC$8:$AC$307,$AB1735))),거래처별!$A$8:$A$307),IFERROR(LOOKUP(2,1/((거래처별!$AD$8:$AD$307&lt;&gt;"")*ISNUMBER(SEARCH(거래처별!$AD$8:$AD$307,$AB1735))),거래처별!$A$8:$A$307),IFERROR(LOOKUP(2,1/((거래처별!$AE$8:$AE$307&lt;&gt;"")*ISNUMBER(SEARCH(거래처별!$AE$8:$AE$307,$AB1735))),거래처별!$A$8:$A$307),0))))</f>
        <v/>
      </c>
      <c r="AD1735" s="31">
        <f>IF(AND($Y1735&lt;&gt;"",N($Z1735)&gt;0,$AC1735=0),MAX($AD$7:$AD1734)+1,"")</f>
        <v/>
      </c>
      <c r="AE1735" s="31">
        <f>IF($Y1735="",0,$Y1735)</f>
        <v/>
      </c>
    </row>
    <row r="1736">
      <c r="W1736" s="31">
        <f>IF(OR($B$5="",$C$6="",ROW()&lt;$B$5),"",IF(INDEX($A:$U,ROW(),$C$6)="","",INDEX($A:$U,ROW(),$C$6)))</f>
        <v/>
      </c>
      <c r="X1736" s="32">
        <f>IF($W1736="","",IF(ISNUMBER($W1736),IF($W1736&gt;=10000000,IFERROR(DATE(INT($W1736/10000),MOD(INT($W1736/100),100),MOD($W1736,100)),""),INT($W1736)),IFERROR(DATE(--LEFT(LEFT(SUBSTITUTE(SUBSTITUTE(SUBSTITUTE(SUBSTITUTE(TRIM($W1736),"-",""),".",""),"/","")," ",""),8),4),--MID(LEFT(SUBSTITUTE(SUBSTITUTE(SUBSTITUTE(SUBSTITUTE(TRIM($W1736),"-",""),".",""),"/","")," ",""),8),5,2),--MID(LEFT(SUBSTITUTE(SUBSTITUTE(SUBSTITUTE(SUBSTITUTE(TRIM($W1736),"-",""),".",""),"/","")," ",""),8),7,2)),"")))</f>
        <v/>
      </c>
      <c r="Y1736" s="32">
        <f>IF($X1736="","",INT($X1736))</f>
        <v/>
      </c>
      <c r="Z1736" s="33">
        <f>IF(OR($Y1736="",$D$6=""),"",IF(INDEX($A:$U,ROW(),$D$6)="",0,IF(ISNUMBER(INDEX($A:$U,ROW(),$D$6)),INDEX($A:$U,ROW(),$D$6),IFERROR(--SUBSTITUTE(SUBSTITUTE(TRIM(INDEX($A:$U,ROW(),$D$6)),",",""),"원",""),0))))</f>
        <v/>
      </c>
      <c r="AA1736" s="31">
        <f>IF($Y1736="","",TRIM(INDEX($A:$U,ROW(),$E$6)&amp;IF($F$6="",""," "&amp;INDEX($A:$U,ROW(),$F$6))))</f>
        <v/>
      </c>
      <c r="AB1736" s="31">
        <f>IF($AA1736="","",SUBSTITUTE(SUBSTITUTE(SUBSTITUTE(SUBSTITUTE(SUBSTITUTE(SUBSTITUTE(SUBSTITUTE(SUBSTITUTE(SUBSTITUTE($AA1736," ",""),"　",""),"(주)",""),"（주）",""),"㈜",""),"주식회사",""),"(유)",""),"（유）",""),"유한회사",""))</f>
        <v/>
      </c>
      <c r="AC1736" s="31">
        <f>IF(OR($Y1736="",N($Z1736)&lt;=0,$AB1736=""),0,IFERROR(LOOKUP(2,1/((거래처별!$AC$8:$AC$307&lt;&gt;"")*ISNUMBER(SEARCH(거래처별!$AC$8:$AC$307,$AB1736))),거래처별!$A$8:$A$307),IFERROR(LOOKUP(2,1/((거래처별!$AD$8:$AD$307&lt;&gt;"")*ISNUMBER(SEARCH(거래처별!$AD$8:$AD$307,$AB1736))),거래처별!$A$8:$A$307),IFERROR(LOOKUP(2,1/((거래처별!$AE$8:$AE$307&lt;&gt;"")*ISNUMBER(SEARCH(거래처별!$AE$8:$AE$307,$AB1736))),거래처별!$A$8:$A$307),0))))</f>
        <v/>
      </c>
      <c r="AD1736" s="31">
        <f>IF(AND($Y1736&lt;&gt;"",N($Z1736)&gt;0,$AC1736=0),MAX($AD$7:$AD1735)+1,"")</f>
        <v/>
      </c>
      <c r="AE1736" s="31">
        <f>IF($Y1736="",0,$Y1736)</f>
        <v/>
      </c>
    </row>
    <row r="1737">
      <c r="W1737" s="31">
        <f>IF(OR($B$5="",$C$6="",ROW()&lt;$B$5),"",IF(INDEX($A:$U,ROW(),$C$6)="","",INDEX($A:$U,ROW(),$C$6)))</f>
        <v/>
      </c>
      <c r="X1737" s="32">
        <f>IF($W1737="","",IF(ISNUMBER($W1737),IF($W1737&gt;=10000000,IFERROR(DATE(INT($W1737/10000),MOD(INT($W1737/100),100),MOD($W1737,100)),""),INT($W1737)),IFERROR(DATE(--LEFT(LEFT(SUBSTITUTE(SUBSTITUTE(SUBSTITUTE(SUBSTITUTE(TRIM($W1737),"-",""),".",""),"/","")," ",""),8),4),--MID(LEFT(SUBSTITUTE(SUBSTITUTE(SUBSTITUTE(SUBSTITUTE(TRIM($W1737),"-",""),".",""),"/","")," ",""),8),5,2),--MID(LEFT(SUBSTITUTE(SUBSTITUTE(SUBSTITUTE(SUBSTITUTE(TRIM($W1737),"-",""),".",""),"/","")," ",""),8),7,2)),"")))</f>
        <v/>
      </c>
      <c r="Y1737" s="32">
        <f>IF($X1737="","",INT($X1737))</f>
        <v/>
      </c>
      <c r="Z1737" s="33">
        <f>IF(OR($Y1737="",$D$6=""),"",IF(INDEX($A:$U,ROW(),$D$6)="",0,IF(ISNUMBER(INDEX($A:$U,ROW(),$D$6)),INDEX($A:$U,ROW(),$D$6),IFERROR(--SUBSTITUTE(SUBSTITUTE(TRIM(INDEX($A:$U,ROW(),$D$6)),",",""),"원",""),0))))</f>
        <v/>
      </c>
      <c r="AA1737" s="31">
        <f>IF($Y1737="","",TRIM(INDEX($A:$U,ROW(),$E$6)&amp;IF($F$6="",""," "&amp;INDEX($A:$U,ROW(),$F$6))))</f>
        <v/>
      </c>
      <c r="AB1737" s="31">
        <f>IF($AA1737="","",SUBSTITUTE(SUBSTITUTE(SUBSTITUTE(SUBSTITUTE(SUBSTITUTE(SUBSTITUTE(SUBSTITUTE(SUBSTITUTE(SUBSTITUTE($AA1737," ",""),"　",""),"(주)",""),"（주）",""),"㈜",""),"주식회사",""),"(유)",""),"（유）",""),"유한회사",""))</f>
        <v/>
      </c>
      <c r="AC1737" s="31">
        <f>IF(OR($Y1737="",N($Z1737)&lt;=0,$AB1737=""),0,IFERROR(LOOKUP(2,1/((거래처별!$AC$8:$AC$307&lt;&gt;"")*ISNUMBER(SEARCH(거래처별!$AC$8:$AC$307,$AB1737))),거래처별!$A$8:$A$307),IFERROR(LOOKUP(2,1/((거래처별!$AD$8:$AD$307&lt;&gt;"")*ISNUMBER(SEARCH(거래처별!$AD$8:$AD$307,$AB1737))),거래처별!$A$8:$A$307),IFERROR(LOOKUP(2,1/((거래처별!$AE$8:$AE$307&lt;&gt;"")*ISNUMBER(SEARCH(거래처별!$AE$8:$AE$307,$AB1737))),거래처별!$A$8:$A$307),0))))</f>
        <v/>
      </c>
      <c r="AD1737" s="31">
        <f>IF(AND($Y1737&lt;&gt;"",N($Z1737)&gt;0,$AC1737=0),MAX($AD$7:$AD1736)+1,"")</f>
        <v/>
      </c>
      <c r="AE1737" s="31">
        <f>IF($Y1737="",0,$Y1737)</f>
        <v/>
      </c>
    </row>
    <row r="1738">
      <c r="W1738" s="31">
        <f>IF(OR($B$5="",$C$6="",ROW()&lt;$B$5),"",IF(INDEX($A:$U,ROW(),$C$6)="","",INDEX($A:$U,ROW(),$C$6)))</f>
        <v/>
      </c>
      <c r="X1738" s="32">
        <f>IF($W1738="","",IF(ISNUMBER($W1738),IF($W1738&gt;=10000000,IFERROR(DATE(INT($W1738/10000),MOD(INT($W1738/100),100),MOD($W1738,100)),""),INT($W1738)),IFERROR(DATE(--LEFT(LEFT(SUBSTITUTE(SUBSTITUTE(SUBSTITUTE(SUBSTITUTE(TRIM($W1738),"-",""),".",""),"/","")," ",""),8),4),--MID(LEFT(SUBSTITUTE(SUBSTITUTE(SUBSTITUTE(SUBSTITUTE(TRIM($W1738),"-",""),".",""),"/","")," ",""),8),5,2),--MID(LEFT(SUBSTITUTE(SUBSTITUTE(SUBSTITUTE(SUBSTITUTE(TRIM($W1738),"-",""),".",""),"/","")," ",""),8),7,2)),"")))</f>
        <v/>
      </c>
      <c r="Y1738" s="32">
        <f>IF($X1738="","",INT($X1738))</f>
        <v/>
      </c>
      <c r="Z1738" s="33">
        <f>IF(OR($Y1738="",$D$6=""),"",IF(INDEX($A:$U,ROW(),$D$6)="",0,IF(ISNUMBER(INDEX($A:$U,ROW(),$D$6)),INDEX($A:$U,ROW(),$D$6),IFERROR(--SUBSTITUTE(SUBSTITUTE(TRIM(INDEX($A:$U,ROW(),$D$6)),",",""),"원",""),0))))</f>
        <v/>
      </c>
      <c r="AA1738" s="31">
        <f>IF($Y1738="","",TRIM(INDEX($A:$U,ROW(),$E$6)&amp;IF($F$6="",""," "&amp;INDEX($A:$U,ROW(),$F$6))))</f>
        <v/>
      </c>
      <c r="AB1738" s="31">
        <f>IF($AA1738="","",SUBSTITUTE(SUBSTITUTE(SUBSTITUTE(SUBSTITUTE(SUBSTITUTE(SUBSTITUTE(SUBSTITUTE(SUBSTITUTE(SUBSTITUTE($AA1738," ",""),"　",""),"(주)",""),"（주）",""),"㈜",""),"주식회사",""),"(유)",""),"（유）",""),"유한회사",""))</f>
        <v/>
      </c>
      <c r="AC1738" s="31">
        <f>IF(OR($Y1738="",N($Z1738)&lt;=0,$AB1738=""),0,IFERROR(LOOKUP(2,1/((거래처별!$AC$8:$AC$307&lt;&gt;"")*ISNUMBER(SEARCH(거래처별!$AC$8:$AC$307,$AB1738))),거래처별!$A$8:$A$307),IFERROR(LOOKUP(2,1/((거래처별!$AD$8:$AD$307&lt;&gt;"")*ISNUMBER(SEARCH(거래처별!$AD$8:$AD$307,$AB1738))),거래처별!$A$8:$A$307),IFERROR(LOOKUP(2,1/((거래처별!$AE$8:$AE$307&lt;&gt;"")*ISNUMBER(SEARCH(거래처별!$AE$8:$AE$307,$AB1738))),거래처별!$A$8:$A$307),0))))</f>
        <v/>
      </c>
      <c r="AD1738" s="31">
        <f>IF(AND($Y1738&lt;&gt;"",N($Z1738)&gt;0,$AC1738=0),MAX($AD$7:$AD1737)+1,"")</f>
        <v/>
      </c>
      <c r="AE1738" s="31">
        <f>IF($Y1738="",0,$Y1738)</f>
        <v/>
      </c>
    </row>
    <row r="1739">
      <c r="W1739" s="31">
        <f>IF(OR($B$5="",$C$6="",ROW()&lt;$B$5),"",IF(INDEX($A:$U,ROW(),$C$6)="","",INDEX($A:$U,ROW(),$C$6)))</f>
        <v/>
      </c>
      <c r="X1739" s="32">
        <f>IF($W1739="","",IF(ISNUMBER($W1739),IF($W1739&gt;=10000000,IFERROR(DATE(INT($W1739/10000),MOD(INT($W1739/100),100),MOD($W1739,100)),""),INT($W1739)),IFERROR(DATE(--LEFT(LEFT(SUBSTITUTE(SUBSTITUTE(SUBSTITUTE(SUBSTITUTE(TRIM($W1739),"-",""),".",""),"/","")," ",""),8),4),--MID(LEFT(SUBSTITUTE(SUBSTITUTE(SUBSTITUTE(SUBSTITUTE(TRIM($W1739),"-",""),".",""),"/","")," ",""),8),5,2),--MID(LEFT(SUBSTITUTE(SUBSTITUTE(SUBSTITUTE(SUBSTITUTE(TRIM($W1739),"-",""),".",""),"/","")," ",""),8),7,2)),"")))</f>
        <v/>
      </c>
      <c r="Y1739" s="32">
        <f>IF($X1739="","",INT($X1739))</f>
        <v/>
      </c>
      <c r="Z1739" s="33">
        <f>IF(OR($Y1739="",$D$6=""),"",IF(INDEX($A:$U,ROW(),$D$6)="",0,IF(ISNUMBER(INDEX($A:$U,ROW(),$D$6)),INDEX($A:$U,ROW(),$D$6),IFERROR(--SUBSTITUTE(SUBSTITUTE(TRIM(INDEX($A:$U,ROW(),$D$6)),",",""),"원",""),0))))</f>
        <v/>
      </c>
      <c r="AA1739" s="31">
        <f>IF($Y1739="","",TRIM(INDEX($A:$U,ROW(),$E$6)&amp;IF($F$6="",""," "&amp;INDEX($A:$U,ROW(),$F$6))))</f>
        <v/>
      </c>
      <c r="AB1739" s="31">
        <f>IF($AA1739="","",SUBSTITUTE(SUBSTITUTE(SUBSTITUTE(SUBSTITUTE(SUBSTITUTE(SUBSTITUTE(SUBSTITUTE(SUBSTITUTE(SUBSTITUTE($AA1739," ",""),"　",""),"(주)",""),"（주）",""),"㈜",""),"주식회사",""),"(유)",""),"（유）",""),"유한회사",""))</f>
        <v/>
      </c>
      <c r="AC1739" s="31">
        <f>IF(OR($Y1739="",N($Z1739)&lt;=0,$AB1739=""),0,IFERROR(LOOKUP(2,1/((거래처별!$AC$8:$AC$307&lt;&gt;"")*ISNUMBER(SEARCH(거래처별!$AC$8:$AC$307,$AB1739))),거래처별!$A$8:$A$307),IFERROR(LOOKUP(2,1/((거래처별!$AD$8:$AD$307&lt;&gt;"")*ISNUMBER(SEARCH(거래처별!$AD$8:$AD$307,$AB1739))),거래처별!$A$8:$A$307),IFERROR(LOOKUP(2,1/((거래처별!$AE$8:$AE$307&lt;&gt;"")*ISNUMBER(SEARCH(거래처별!$AE$8:$AE$307,$AB1739))),거래처별!$A$8:$A$307),0))))</f>
        <v/>
      </c>
      <c r="AD1739" s="31">
        <f>IF(AND($Y1739&lt;&gt;"",N($Z1739)&gt;0,$AC1739=0),MAX($AD$7:$AD1738)+1,"")</f>
        <v/>
      </c>
      <c r="AE1739" s="31">
        <f>IF($Y1739="",0,$Y1739)</f>
        <v/>
      </c>
    </row>
    <row r="1740">
      <c r="W1740" s="31">
        <f>IF(OR($B$5="",$C$6="",ROW()&lt;$B$5),"",IF(INDEX($A:$U,ROW(),$C$6)="","",INDEX($A:$U,ROW(),$C$6)))</f>
        <v/>
      </c>
      <c r="X1740" s="32">
        <f>IF($W1740="","",IF(ISNUMBER($W1740),IF($W1740&gt;=10000000,IFERROR(DATE(INT($W1740/10000),MOD(INT($W1740/100),100),MOD($W1740,100)),""),INT($W1740)),IFERROR(DATE(--LEFT(LEFT(SUBSTITUTE(SUBSTITUTE(SUBSTITUTE(SUBSTITUTE(TRIM($W1740),"-",""),".",""),"/","")," ",""),8),4),--MID(LEFT(SUBSTITUTE(SUBSTITUTE(SUBSTITUTE(SUBSTITUTE(TRIM($W1740),"-",""),".",""),"/","")," ",""),8),5,2),--MID(LEFT(SUBSTITUTE(SUBSTITUTE(SUBSTITUTE(SUBSTITUTE(TRIM($W1740),"-",""),".",""),"/","")," ",""),8),7,2)),"")))</f>
        <v/>
      </c>
      <c r="Y1740" s="32">
        <f>IF($X1740="","",INT($X1740))</f>
        <v/>
      </c>
      <c r="Z1740" s="33">
        <f>IF(OR($Y1740="",$D$6=""),"",IF(INDEX($A:$U,ROW(),$D$6)="",0,IF(ISNUMBER(INDEX($A:$U,ROW(),$D$6)),INDEX($A:$U,ROW(),$D$6),IFERROR(--SUBSTITUTE(SUBSTITUTE(TRIM(INDEX($A:$U,ROW(),$D$6)),",",""),"원",""),0))))</f>
        <v/>
      </c>
      <c r="AA1740" s="31">
        <f>IF($Y1740="","",TRIM(INDEX($A:$U,ROW(),$E$6)&amp;IF($F$6="",""," "&amp;INDEX($A:$U,ROW(),$F$6))))</f>
        <v/>
      </c>
      <c r="AB1740" s="31">
        <f>IF($AA1740="","",SUBSTITUTE(SUBSTITUTE(SUBSTITUTE(SUBSTITUTE(SUBSTITUTE(SUBSTITUTE(SUBSTITUTE(SUBSTITUTE(SUBSTITUTE($AA1740," ",""),"　",""),"(주)",""),"（주）",""),"㈜",""),"주식회사",""),"(유)",""),"（유）",""),"유한회사",""))</f>
        <v/>
      </c>
      <c r="AC1740" s="31">
        <f>IF(OR($Y1740="",N($Z1740)&lt;=0,$AB1740=""),0,IFERROR(LOOKUP(2,1/((거래처별!$AC$8:$AC$307&lt;&gt;"")*ISNUMBER(SEARCH(거래처별!$AC$8:$AC$307,$AB1740))),거래처별!$A$8:$A$307),IFERROR(LOOKUP(2,1/((거래처별!$AD$8:$AD$307&lt;&gt;"")*ISNUMBER(SEARCH(거래처별!$AD$8:$AD$307,$AB1740))),거래처별!$A$8:$A$307),IFERROR(LOOKUP(2,1/((거래처별!$AE$8:$AE$307&lt;&gt;"")*ISNUMBER(SEARCH(거래처별!$AE$8:$AE$307,$AB1740))),거래처별!$A$8:$A$307),0))))</f>
        <v/>
      </c>
      <c r="AD1740" s="31">
        <f>IF(AND($Y1740&lt;&gt;"",N($Z1740)&gt;0,$AC1740=0),MAX($AD$7:$AD1739)+1,"")</f>
        <v/>
      </c>
      <c r="AE1740" s="31">
        <f>IF($Y1740="",0,$Y1740)</f>
        <v/>
      </c>
    </row>
    <row r="1741">
      <c r="W1741" s="31">
        <f>IF(OR($B$5="",$C$6="",ROW()&lt;$B$5),"",IF(INDEX($A:$U,ROW(),$C$6)="","",INDEX($A:$U,ROW(),$C$6)))</f>
        <v/>
      </c>
      <c r="X1741" s="32">
        <f>IF($W1741="","",IF(ISNUMBER($W1741),IF($W1741&gt;=10000000,IFERROR(DATE(INT($W1741/10000),MOD(INT($W1741/100),100),MOD($W1741,100)),""),INT($W1741)),IFERROR(DATE(--LEFT(LEFT(SUBSTITUTE(SUBSTITUTE(SUBSTITUTE(SUBSTITUTE(TRIM($W1741),"-",""),".",""),"/","")," ",""),8),4),--MID(LEFT(SUBSTITUTE(SUBSTITUTE(SUBSTITUTE(SUBSTITUTE(TRIM($W1741),"-",""),".",""),"/","")," ",""),8),5,2),--MID(LEFT(SUBSTITUTE(SUBSTITUTE(SUBSTITUTE(SUBSTITUTE(TRIM($W1741),"-",""),".",""),"/","")," ",""),8),7,2)),"")))</f>
        <v/>
      </c>
      <c r="Y1741" s="32">
        <f>IF($X1741="","",INT($X1741))</f>
        <v/>
      </c>
      <c r="Z1741" s="33">
        <f>IF(OR($Y1741="",$D$6=""),"",IF(INDEX($A:$U,ROW(),$D$6)="",0,IF(ISNUMBER(INDEX($A:$U,ROW(),$D$6)),INDEX($A:$U,ROW(),$D$6),IFERROR(--SUBSTITUTE(SUBSTITUTE(TRIM(INDEX($A:$U,ROW(),$D$6)),",",""),"원",""),0))))</f>
        <v/>
      </c>
      <c r="AA1741" s="31">
        <f>IF($Y1741="","",TRIM(INDEX($A:$U,ROW(),$E$6)&amp;IF($F$6="",""," "&amp;INDEX($A:$U,ROW(),$F$6))))</f>
        <v/>
      </c>
      <c r="AB1741" s="31">
        <f>IF($AA1741="","",SUBSTITUTE(SUBSTITUTE(SUBSTITUTE(SUBSTITUTE(SUBSTITUTE(SUBSTITUTE(SUBSTITUTE(SUBSTITUTE(SUBSTITUTE($AA1741," ",""),"　",""),"(주)",""),"（주）",""),"㈜",""),"주식회사",""),"(유)",""),"（유）",""),"유한회사",""))</f>
        <v/>
      </c>
      <c r="AC1741" s="31">
        <f>IF(OR($Y1741="",N($Z1741)&lt;=0,$AB1741=""),0,IFERROR(LOOKUP(2,1/((거래처별!$AC$8:$AC$307&lt;&gt;"")*ISNUMBER(SEARCH(거래처별!$AC$8:$AC$307,$AB1741))),거래처별!$A$8:$A$307),IFERROR(LOOKUP(2,1/((거래처별!$AD$8:$AD$307&lt;&gt;"")*ISNUMBER(SEARCH(거래처별!$AD$8:$AD$307,$AB1741))),거래처별!$A$8:$A$307),IFERROR(LOOKUP(2,1/((거래처별!$AE$8:$AE$307&lt;&gt;"")*ISNUMBER(SEARCH(거래처별!$AE$8:$AE$307,$AB1741))),거래처별!$A$8:$A$307),0))))</f>
        <v/>
      </c>
      <c r="AD1741" s="31">
        <f>IF(AND($Y1741&lt;&gt;"",N($Z1741)&gt;0,$AC1741=0),MAX($AD$7:$AD1740)+1,"")</f>
        <v/>
      </c>
      <c r="AE1741" s="31">
        <f>IF($Y1741="",0,$Y1741)</f>
        <v/>
      </c>
    </row>
    <row r="1742">
      <c r="W1742" s="31">
        <f>IF(OR($B$5="",$C$6="",ROW()&lt;$B$5),"",IF(INDEX($A:$U,ROW(),$C$6)="","",INDEX($A:$U,ROW(),$C$6)))</f>
        <v/>
      </c>
      <c r="X1742" s="32">
        <f>IF($W1742="","",IF(ISNUMBER($W1742),IF($W1742&gt;=10000000,IFERROR(DATE(INT($W1742/10000),MOD(INT($W1742/100),100),MOD($W1742,100)),""),INT($W1742)),IFERROR(DATE(--LEFT(LEFT(SUBSTITUTE(SUBSTITUTE(SUBSTITUTE(SUBSTITUTE(TRIM($W1742),"-",""),".",""),"/","")," ",""),8),4),--MID(LEFT(SUBSTITUTE(SUBSTITUTE(SUBSTITUTE(SUBSTITUTE(TRIM($W1742),"-",""),".",""),"/","")," ",""),8),5,2),--MID(LEFT(SUBSTITUTE(SUBSTITUTE(SUBSTITUTE(SUBSTITUTE(TRIM($W1742),"-",""),".",""),"/","")," ",""),8),7,2)),"")))</f>
        <v/>
      </c>
      <c r="Y1742" s="32">
        <f>IF($X1742="","",INT($X1742))</f>
        <v/>
      </c>
      <c r="Z1742" s="33">
        <f>IF(OR($Y1742="",$D$6=""),"",IF(INDEX($A:$U,ROW(),$D$6)="",0,IF(ISNUMBER(INDEX($A:$U,ROW(),$D$6)),INDEX($A:$U,ROW(),$D$6),IFERROR(--SUBSTITUTE(SUBSTITUTE(TRIM(INDEX($A:$U,ROW(),$D$6)),",",""),"원",""),0))))</f>
        <v/>
      </c>
      <c r="AA1742" s="31">
        <f>IF($Y1742="","",TRIM(INDEX($A:$U,ROW(),$E$6)&amp;IF($F$6="",""," "&amp;INDEX($A:$U,ROW(),$F$6))))</f>
        <v/>
      </c>
      <c r="AB1742" s="31">
        <f>IF($AA1742="","",SUBSTITUTE(SUBSTITUTE(SUBSTITUTE(SUBSTITUTE(SUBSTITUTE(SUBSTITUTE(SUBSTITUTE(SUBSTITUTE(SUBSTITUTE($AA1742," ",""),"　",""),"(주)",""),"（주）",""),"㈜",""),"주식회사",""),"(유)",""),"（유）",""),"유한회사",""))</f>
        <v/>
      </c>
      <c r="AC1742" s="31">
        <f>IF(OR($Y1742="",N($Z1742)&lt;=0,$AB1742=""),0,IFERROR(LOOKUP(2,1/((거래처별!$AC$8:$AC$307&lt;&gt;"")*ISNUMBER(SEARCH(거래처별!$AC$8:$AC$307,$AB1742))),거래처별!$A$8:$A$307),IFERROR(LOOKUP(2,1/((거래처별!$AD$8:$AD$307&lt;&gt;"")*ISNUMBER(SEARCH(거래처별!$AD$8:$AD$307,$AB1742))),거래처별!$A$8:$A$307),IFERROR(LOOKUP(2,1/((거래처별!$AE$8:$AE$307&lt;&gt;"")*ISNUMBER(SEARCH(거래처별!$AE$8:$AE$307,$AB1742))),거래처별!$A$8:$A$307),0))))</f>
        <v/>
      </c>
      <c r="AD1742" s="31">
        <f>IF(AND($Y1742&lt;&gt;"",N($Z1742)&gt;0,$AC1742=0),MAX($AD$7:$AD1741)+1,"")</f>
        <v/>
      </c>
      <c r="AE1742" s="31">
        <f>IF($Y1742="",0,$Y1742)</f>
        <v/>
      </c>
    </row>
    <row r="1743">
      <c r="W1743" s="31">
        <f>IF(OR($B$5="",$C$6="",ROW()&lt;$B$5),"",IF(INDEX($A:$U,ROW(),$C$6)="","",INDEX($A:$U,ROW(),$C$6)))</f>
        <v/>
      </c>
      <c r="X1743" s="32">
        <f>IF($W1743="","",IF(ISNUMBER($W1743),IF($W1743&gt;=10000000,IFERROR(DATE(INT($W1743/10000),MOD(INT($W1743/100),100),MOD($W1743,100)),""),INT($W1743)),IFERROR(DATE(--LEFT(LEFT(SUBSTITUTE(SUBSTITUTE(SUBSTITUTE(SUBSTITUTE(TRIM($W1743),"-",""),".",""),"/","")," ",""),8),4),--MID(LEFT(SUBSTITUTE(SUBSTITUTE(SUBSTITUTE(SUBSTITUTE(TRIM($W1743),"-",""),".",""),"/","")," ",""),8),5,2),--MID(LEFT(SUBSTITUTE(SUBSTITUTE(SUBSTITUTE(SUBSTITUTE(TRIM($W1743),"-",""),".",""),"/","")," ",""),8),7,2)),"")))</f>
        <v/>
      </c>
      <c r="Y1743" s="32">
        <f>IF($X1743="","",INT($X1743))</f>
        <v/>
      </c>
      <c r="Z1743" s="33">
        <f>IF(OR($Y1743="",$D$6=""),"",IF(INDEX($A:$U,ROW(),$D$6)="",0,IF(ISNUMBER(INDEX($A:$U,ROW(),$D$6)),INDEX($A:$U,ROW(),$D$6),IFERROR(--SUBSTITUTE(SUBSTITUTE(TRIM(INDEX($A:$U,ROW(),$D$6)),",",""),"원",""),0))))</f>
        <v/>
      </c>
      <c r="AA1743" s="31">
        <f>IF($Y1743="","",TRIM(INDEX($A:$U,ROW(),$E$6)&amp;IF($F$6="",""," "&amp;INDEX($A:$U,ROW(),$F$6))))</f>
        <v/>
      </c>
      <c r="AB1743" s="31">
        <f>IF($AA1743="","",SUBSTITUTE(SUBSTITUTE(SUBSTITUTE(SUBSTITUTE(SUBSTITUTE(SUBSTITUTE(SUBSTITUTE(SUBSTITUTE(SUBSTITUTE($AA1743," ",""),"　",""),"(주)",""),"（주）",""),"㈜",""),"주식회사",""),"(유)",""),"（유）",""),"유한회사",""))</f>
        <v/>
      </c>
      <c r="AC1743" s="31">
        <f>IF(OR($Y1743="",N($Z1743)&lt;=0,$AB1743=""),0,IFERROR(LOOKUP(2,1/((거래처별!$AC$8:$AC$307&lt;&gt;"")*ISNUMBER(SEARCH(거래처별!$AC$8:$AC$307,$AB1743))),거래처별!$A$8:$A$307),IFERROR(LOOKUP(2,1/((거래처별!$AD$8:$AD$307&lt;&gt;"")*ISNUMBER(SEARCH(거래처별!$AD$8:$AD$307,$AB1743))),거래처별!$A$8:$A$307),IFERROR(LOOKUP(2,1/((거래처별!$AE$8:$AE$307&lt;&gt;"")*ISNUMBER(SEARCH(거래처별!$AE$8:$AE$307,$AB1743))),거래처별!$A$8:$A$307),0))))</f>
        <v/>
      </c>
      <c r="AD1743" s="31">
        <f>IF(AND($Y1743&lt;&gt;"",N($Z1743)&gt;0,$AC1743=0),MAX($AD$7:$AD1742)+1,"")</f>
        <v/>
      </c>
      <c r="AE1743" s="31">
        <f>IF($Y1743="",0,$Y1743)</f>
        <v/>
      </c>
    </row>
    <row r="1744">
      <c r="W1744" s="31">
        <f>IF(OR($B$5="",$C$6="",ROW()&lt;$B$5),"",IF(INDEX($A:$U,ROW(),$C$6)="","",INDEX($A:$U,ROW(),$C$6)))</f>
        <v/>
      </c>
      <c r="X1744" s="32">
        <f>IF($W1744="","",IF(ISNUMBER($W1744),IF($W1744&gt;=10000000,IFERROR(DATE(INT($W1744/10000),MOD(INT($W1744/100),100),MOD($W1744,100)),""),INT($W1744)),IFERROR(DATE(--LEFT(LEFT(SUBSTITUTE(SUBSTITUTE(SUBSTITUTE(SUBSTITUTE(TRIM($W1744),"-",""),".",""),"/","")," ",""),8),4),--MID(LEFT(SUBSTITUTE(SUBSTITUTE(SUBSTITUTE(SUBSTITUTE(TRIM($W1744),"-",""),".",""),"/","")," ",""),8),5,2),--MID(LEFT(SUBSTITUTE(SUBSTITUTE(SUBSTITUTE(SUBSTITUTE(TRIM($W1744),"-",""),".",""),"/","")," ",""),8),7,2)),"")))</f>
        <v/>
      </c>
      <c r="Y1744" s="32">
        <f>IF($X1744="","",INT($X1744))</f>
        <v/>
      </c>
      <c r="Z1744" s="33">
        <f>IF(OR($Y1744="",$D$6=""),"",IF(INDEX($A:$U,ROW(),$D$6)="",0,IF(ISNUMBER(INDEX($A:$U,ROW(),$D$6)),INDEX($A:$U,ROW(),$D$6),IFERROR(--SUBSTITUTE(SUBSTITUTE(TRIM(INDEX($A:$U,ROW(),$D$6)),",",""),"원",""),0))))</f>
        <v/>
      </c>
      <c r="AA1744" s="31">
        <f>IF($Y1744="","",TRIM(INDEX($A:$U,ROW(),$E$6)&amp;IF($F$6="",""," "&amp;INDEX($A:$U,ROW(),$F$6))))</f>
        <v/>
      </c>
      <c r="AB1744" s="31">
        <f>IF($AA1744="","",SUBSTITUTE(SUBSTITUTE(SUBSTITUTE(SUBSTITUTE(SUBSTITUTE(SUBSTITUTE(SUBSTITUTE(SUBSTITUTE(SUBSTITUTE($AA1744," ",""),"　",""),"(주)",""),"（주）",""),"㈜",""),"주식회사",""),"(유)",""),"（유）",""),"유한회사",""))</f>
        <v/>
      </c>
      <c r="AC1744" s="31">
        <f>IF(OR($Y1744="",N($Z1744)&lt;=0,$AB1744=""),0,IFERROR(LOOKUP(2,1/((거래처별!$AC$8:$AC$307&lt;&gt;"")*ISNUMBER(SEARCH(거래처별!$AC$8:$AC$307,$AB1744))),거래처별!$A$8:$A$307),IFERROR(LOOKUP(2,1/((거래처별!$AD$8:$AD$307&lt;&gt;"")*ISNUMBER(SEARCH(거래처별!$AD$8:$AD$307,$AB1744))),거래처별!$A$8:$A$307),IFERROR(LOOKUP(2,1/((거래처별!$AE$8:$AE$307&lt;&gt;"")*ISNUMBER(SEARCH(거래처별!$AE$8:$AE$307,$AB1744))),거래처별!$A$8:$A$307),0))))</f>
        <v/>
      </c>
      <c r="AD1744" s="31">
        <f>IF(AND($Y1744&lt;&gt;"",N($Z1744)&gt;0,$AC1744=0),MAX($AD$7:$AD1743)+1,"")</f>
        <v/>
      </c>
      <c r="AE1744" s="31">
        <f>IF($Y1744="",0,$Y1744)</f>
        <v/>
      </c>
    </row>
    <row r="1745">
      <c r="W1745" s="31">
        <f>IF(OR($B$5="",$C$6="",ROW()&lt;$B$5),"",IF(INDEX($A:$U,ROW(),$C$6)="","",INDEX($A:$U,ROW(),$C$6)))</f>
        <v/>
      </c>
      <c r="X1745" s="32">
        <f>IF($W1745="","",IF(ISNUMBER($W1745),IF($W1745&gt;=10000000,IFERROR(DATE(INT($W1745/10000),MOD(INT($W1745/100),100),MOD($W1745,100)),""),INT($W1745)),IFERROR(DATE(--LEFT(LEFT(SUBSTITUTE(SUBSTITUTE(SUBSTITUTE(SUBSTITUTE(TRIM($W1745),"-",""),".",""),"/","")," ",""),8),4),--MID(LEFT(SUBSTITUTE(SUBSTITUTE(SUBSTITUTE(SUBSTITUTE(TRIM($W1745),"-",""),".",""),"/","")," ",""),8),5,2),--MID(LEFT(SUBSTITUTE(SUBSTITUTE(SUBSTITUTE(SUBSTITUTE(TRIM($W1745),"-",""),".",""),"/","")," ",""),8),7,2)),"")))</f>
        <v/>
      </c>
      <c r="Y1745" s="32">
        <f>IF($X1745="","",INT($X1745))</f>
        <v/>
      </c>
      <c r="Z1745" s="33">
        <f>IF(OR($Y1745="",$D$6=""),"",IF(INDEX($A:$U,ROW(),$D$6)="",0,IF(ISNUMBER(INDEX($A:$U,ROW(),$D$6)),INDEX($A:$U,ROW(),$D$6),IFERROR(--SUBSTITUTE(SUBSTITUTE(TRIM(INDEX($A:$U,ROW(),$D$6)),",",""),"원",""),0))))</f>
        <v/>
      </c>
      <c r="AA1745" s="31">
        <f>IF($Y1745="","",TRIM(INDEX($A:$U,ROW(),$E$6)&amp;IF($F$6="",""," "&amp;INDEX($A:$U,ROW(),$F$6))))</f>
        <v/>
      </c>
      <c r="AB1745" s="31">
        <f>IF($AA1745="","",SUBSTITUTE(SUBSTITUTE(SUBSTITUTE(SUBSTITUTE(SUBSTITUTE(SUBSTITUTE(SUBSTITUTE(SUBSTITUTE(SUBSTITUTE($AA1745," ",""),"　",""),"(주)",""),"（주）",""),"㈜",""),"주식회사",""),"(유)",""),"（유）",""),"유한회사",""))</f>
        <v/>
      </c>
      <c r="AC1745" s="31">
        <f>IF(OR($Y1745="",N($Z1745)&lt;=0,$AB1745=""),0,IFERROR(LOOKUP(2,1/((거래처별!$AC$8:$AC$307&lt;&gt;"")*ISNUMBER(SEARCH(거래처별!$AC$8:$AC$307,$AB1745))),거래처별!$A$8:$A$307),IFERROR(LOOKUP(2,1/((거래처별!$AD$8:$AD$307&lt;&gt;"")*ISNUMBER(SEARCH(거래처별!$AD$8:$AD$307,$AB1745))),거래처별!$A$8:$A$307),IFERROR(LOOKUP(2,1/((거래처별!$AE$8:$AE$307&lt;&gt;"")*ISNUMBER(SEARCH(거래처별!$AE$8:$AE$307,$AB1745))),거래처별!$A$8:$A$307),0))))</f>
        <v/>
      </c>
      <c r="AD1745" s="31">
        <f>IF(AND($Y1745&lt;&gt;"",N($Z1745)&gt;0,$AC1745=0),MAX($AD$7:$AD1744)+1,"")</f>
        <v/>
      </c>
      <c r="AE1745" s="31">
        <f>IF($Y1745="",0,$Y1745)</f>
        <v/>
      </c>
    </row>
    <row r="1746">
      <c r="W1746" s="31">
        <f>IF(OR($B$5="",$C$6="",ROW()&lt;$B$5),"",IF(INDEX($A:$U,ROW(),$C$6)="","",INDEX($A:$U,ROW(),$C$6)))</f>
        <v/>
      </c>
      <c r="X1746" s="32">
        <f>IF($W1746="","",IF(ISNUMBER($W1746),IF($W1746&gt;=10000000,IFERROR(DATE(INT($W1746/10000),MOD(INT($W1746/100),100),MOD($W1746,100)),""),INT($W1746)),IFERROR(DATE(--LEFT(LEFT(SUBSTITUTE(SUBSTITUTE(SUBSTITUTE(SUBSTITUTE(TRIM($W1746),"-",""),".",""),"/","")," ",""),8),4),--MID(LEFT(SUBSTITUTE(SUBSTITUTE(SUBSTITUTE(SUBSTITUTE(TRIM($W1746),"-",""),".",""),"/","")," ",""),8),5,2),--MID(LEFT(SUBSTITUTE(SUBSTITUTE(SUBSTITUTE(SUBSTITUTE(TRIM($W1746),"-",""),".",""),"/","")," ",""),8),7,2)),"")))</f>
        <v/>
      </c>
      <c r="Y1746" s="32">
        <f>IF($X1746="","",INT($X1746))</f>
        <v/>
      </c>
      <c r="Z1746" s="33">
        <f>IF(OR($Y1746="",$D$6=""),"",IF(INDEX($A:$U,ROW(),$D$6)="",0,IF(ISNUMBER(INDEX($A:$U,ROW(),$D$6)),INDEX($A:$U,ROW(),$D$6),IFERROR(--SUBSTITUTE(SUBSTITUTE(TRIM(INDEX($A:$U,ROW(),$D$6)),",",""),"원",""),0))))</f>
        <v/>
      </c>
      <c r="AA1746" s="31">
        <f>IF($Y1746="","",TRIM(INDEX($A:$U,ROW(),$E$6)&amp;IF($F$6="",""," "&amp;INDEX($A:$U,ROW(),$F$6))))</f>
        <v/>
      </c>
      <c r="AB1746" s="31">
        <f>IF($AA1746="","",SUBSTITUTE(SUBSTITUTE(SUBSTITUTE(SUBSTITUTE(SUBSTITUTE(SUBSTITUTE(SUBSTITUTE(SUBSTITUTE(SUBSTITUTE($AA1746," ",""),"　",""),"(주)",""),"（주）",""),"㈜",""),"주식회사",""),"(유)",""),"（유）",""),"유한회사",""))</f>
        <v/>
      </c>
      <c r="AC1746" s="31">
        <f>IF(OR($Y1746="",N($Z1746)&lt;=0,$AB1746=""),0,IFERROR(LOOKUP(2,1/((거래처별!$AC$8:$AC$307&lt;&gt;"")*ISNUMBER(SEARCH(거래처별!$AC$8:$AC$307,$AB1746))),거래처별!$A$8:$A$307),IFERROR(LOOKUP(2,1/((거래처별!$AD$8:$AD$307&lt;&gt;"")*ISNUMBER(SEARCH(거래처별!$AD$8:$AD$307,$AB1746))),거래처별!$A$8:$A$307),IFERROR(LOOKUP(2,1/((거래처별!$AE$8:$AE$307&lt;&gt;"")*ISNUMBER(SEARCH(거래처별!$AE$8:$AE$307,$AB1746))),거래처별!$A$8:$A$307),0))))</f>
        <v/>
      </c>
      <c r="AD1746" s="31">
        <f>IF(AND($Y1746&lt;&gt;"",N($Z1746)&gt;0,$AC1746=0),MAX($AD$7:$AD1745)+1,"")</f>
        <v/>
      </c>
      <c r="AE1746" s="31">
        <f>IF($Y1746="",0,$Y1746)</f>
        <v/>
      </c>
    </row>
    <row r="1747">
      <c r="W1747" s="31">
        <f>IF(OR($B$5="",$C$6="",ROW()&lt;$B$5),"",IF(INDEX($A:$U,ROW(),$C$6)="","",INDEX($A:$U,ROW(),$C$6)))</f>
        <v/>
      </c>
      <c r="X1747" s="32">
        <f>IF($W1747="","",IF(ISNUMBER($W1747),IF($W1747&gt;=10000000,IFERROR(DATE(INT($W1747/10000),MOD(INT($W1747/100),100),MOD($W1747,100)),""),INT($W1747)),IFERROR(DATE(--LEFT(LEFT(SUBSTITUTE(SUBSTITUTE(SUBSTITUTE(SUBSTITUTE(TRIM($W1747),"-",""),".",""),"/","")," ",""),8),4),--MID(LEFT(SUBSTITUTE(SUBSTITUTE(SUBSTITUTE(SUBSTITUTE(TRIM($W1747),"-",""),".",""),"/","")," ",""),8),5,2),--MID(LEFT(SUBSTITUTE(SUBSTITUTE(SUBSTITUTE(SUBSTITUTE(TRIM($W1747),"-",""),".",""),"/","")," ",""),8),7,2)),"")))</f>
        <v/>
      </c>
      <c r="Y1747" s="32">
        <f>IF($X1747="","",INT($X1747))</f>
        <v/>
      </c>
      <c r="Z1747" s="33">
        <f>IF(OR($Y1747="",$D$6=""),"",IF(INDEX($A:$U,ROW(),$D$6)="",0,IF(ISNUMBER(INDEX($A:$U,ROW(),$D$6)),INDEX($A:$U,ROW(),$D$6),IFERROR(--SUBSTITUTE(SUBSTITUTE(TRIM(INDEX($A:$U,ROW(),$D$6)),",",""),"원",""),0))))</f>
        <v/>
      </c>
      <c r="AA1747" s="31">
        <f>IF($Y1747="","",TRIM(INDEX($A:$U,ROW(),$E$6)&amp;IF($F$6="",""," "&amp;INDEX($A:$U,ROW(),$F$6))))</f>
        <v/>
      </c>
      <c r="AB1747" s="31">
        <f>IF($AA1747="","",SUBSTITUTE(SUBSTITUTE(SUBSTITUTE(SUBSTITUTE(SUBSTITUTE(SUBSTITUTE(SUBSTITUTE(SUBSTITUTE(SUBSTITUTE($AA1747," ",""),"　",""),"(주)",""),"（주）",""),"㈜",""),"주식회사",""),"(유)",""),"（유）",""),"유한회사",""))</f>
        <v/>
      </c>
      <c r="AC1747" s="31">
        <f>IF(OR($Y1747="",N($Z1747)&lt;=0,$AB1747=""),0,IFERROR(LOOKUP(2,1/((거래처별!$AC$8:$AC$307&lt;&gt;"")*ISNUMBER(SEARCH(거래처별!$AC$8:$AC$307,$AB1747))),거래처별!$A$8:$A$307),IFERROR(LOOKUP(2,1/((거래처별!$AD$8:$AD$307&lt;&gt;"")*ISNUMBER(SEARCH(거래처별!$AD$8:$AD$307,$AB1747))),거래처별!$A$8:$A$307),IFERROR(LOOKUP(2,1/((거래처별!$AE$8:$AE$307&lt;&gt;"")*ISNUMBER(SEARCH(거래처별!$AE$8:$AE$307,$AB1747))),거래처별!$A$8:$A$307),0))))</f>
        <v/>
      </c>
      <c r="AD1747" s="31">
        <f>IF(AND($Y1747&lt;&gt;"",N($Z1747)&gt;0,$AC1747=0),MAX($AD$7:$AD1746)+1,"")</f>
        <v/>
      </c>
      <c r="AE1747" s="31">
        <f>IF($Y1747="",0,$Y1747)</f>
        <v/>
      </c>
    </row>
    <row r="1748">
      <c r="W1748" s="31">
        <f>IF(OR($B$5="",$C$6="",ROW()&lt;$B$5),"",IF(INDEX($A:$U,ROW(),$C$6)="","",INDEX($A:$U,ROW(),$C$6)))</f>
        <v/>
      </c>
      <c r="X1748" s="32">
        <f>IF($W1748="","",IF(ISNUMBER($W1748),IF($W1748&gt;=10000000,IFERROR(DATE(INT($W1748/10000),MOD(INT($W1748/100),100),MOD($W1748,100)),""),INT($W1748)),IFERROR(DATE(--LEFT(LEFT(SUBSTITUTE(SUBSTITUTE(SUBSTITUTE(SUBSTITUTE(TRIM($W1748),"-",""),".",""),"/","")," ",""),8),4),--MID(LEFT(SUBSTITUTE(SUBSTITUTE(SUBSTITUTE(SUBSTITUTE(TRIM($W1748),"-",""),".",""),"/","")," ",""),8),5,2),--MID(LEFT(SUBSTITUTE(SUBSTITUTE(SUBSTITUTE(SUBSTITUTE(TRIM($W1748),"-",""),".",""),"/","")," ",""),8),7,2)),"")))</f>
        <v/>
      </c>
      <c r="Y1748" s="32">
        <f>IF($X1748="","",INT($X1748))</f>
        <v/>
      </c>
      <c r="Z1748" s="33">
        <f>IF(OR($Y1748="",$D$6=""),"",IF(INDEX($A:$U,ROW(),$D$6)="",0,IF(ISNUMBER(INDEX($A:$U,ROW(),$D$6)),INDEX($A:$U,ROW(),$D$6),IFERROR(--SUBSTITUTE(SUBSTITUTE(TRIM(INDEX($A:$U,ROW(),$D$6)),",",""),"원",""),0))))</f>
        <v/>
      </c>
      <c r="AA1748" s="31">
        <f>IF($Y1748="","",TRIM(INDEX($A:$U,ROW(),$E$6)&amp;IF($F$6="",""," "&amp;INDEX($A:$U,ROW(),$F$6))))</f>
        <v/>
      </c>
      <c r="AB1748" s="31">
        <f>IF($AA1748="","",SUBSTITUTE(SUBSTITUTE(SUBSTITUTE(SUBSTITUTE(SUBSTITUTE(SUBSTITUTE(SUBSTITUTE(SUBSTITUTE(SUBSTITUTE($AA1748," ",""),"　",""),"(주)",""),"（주）",""),"㈜",""),"주식회사",""),"(유)",""),"（유）",""),"유한회사",""))</f>
        <v/>
      </c>
      <c r="AC1748" s="31">
        <f>IF(OR($Y1748="",N($Z1748)&lt;=0,$AB1748=""),0,IFERROR(LOOKUP(2,1/((거래처별!$AC$8:$AC$307&lt;&gt;"")*ISNUMBER(SEARCH(거래처별!$AC$8:$AC$307,$AB1748))),거래처별!$A$8:$A$307),IFERROR(LOOKUP(2,1/((거래처별!$AD$8:$AD$307&lt;&gt;"")*ISNUMBER(SEARCH(거래처별!$AD$8:$AD$307,$AB1748))),거래처별!$A$8:$A$307),IFERROR(LOOKUP(2,1/((거래처별!$AE$8:$AE$307&lt;&gt;"")*ISNUMBER(SEARCH(거래처별!$AE$8:$AE$307,$AB1748))),거래처별!$A$8:$A$307),0))))</f>
        <v/>
      </c>
      <c r="AD1748" s="31">
        <f>IF(AND($Y1748&lt;&gt;"",N($Z1748)&gt;0,$AC1748=0),MAX($AD$7:$AD1747)+1,"")</f>
        <v/>
      </c>
      <c r="AE1748" s="31">
        <f>IF($Y1748="",0,$Y1748)</f>
        <v/>
      </c>
    </row>
    <row r="1749">
      <c r="W1749" s="31">
        <f>IF(OR($B$5="",$C$6="",ROW()&lt;$B$5),"",IF(INDEX($A:$U,ROW(),$C$6)="","",INDEX($A:$U,ROW(),$C$6)))</f>
        <v/>
      </c>
      <c r="X1749" s="32">
        <f>IF($W1749="","",IF(ISNUMBER($W1749),IF($W1749&gt;=10000000,IFERROR(DATE(INT($W1749/10000),MOD(INT($W1749/100),100),MOD($W1749,100)),""),INT($W1749)),IFERROR(DATE(--LEFT(LEFT(SUBSTITUTE(SUBSTITUTE(SUBSTITUTE(SUBSTITUTE(TRIM($W1749),"-",""),".",""),"/","")," ",""),8),4),--MID(LEFT(SUBSTITUTE(SUBSTITUTE(SUBSTITUTE(SUBSTITUTE(TRIM($W1749),"-",""),".",""),"/","")," ",""),8),5,2),--MID(LEFT(SUBSTITUTE(SUBSTITUTE(SUBSTITUTE(SUBSTITUTE(TRIM($W1749),"-",""),".",""),"/","")," ",""),8),7,2)),"")))</f>
        <v/>
      </c>
      <c r="Y1749" s="32">
        <f>IF($X1749="","",INT($X1749))</f>
        <v/>
      </c>
      <c r="Z1749" s="33">
        <f>IF(OR($Y1749="",$D$6=""),"",IF(INDEX($A:$U,ROW(),$D$6)="",0,IF(ISNUMBER(INDEX($A:$U,ROW(),$D$6)),INDEX($A:$U,ROW(),$D$6),IFERROR(--SUBSTITUTE(SUBSTITUTE(TRIM(INDEX($A:$U,ROW(),$D$6)),",",""),"원",""),0))))</f>
        <v/>
      </c>
      <c r="AA1749" s="31">
        <f>IF($Y1749="","",TRIM(INDEX($A:$U,ROW(),$E$6)&amp;IF($F$6="",""," "&amp;INDEX($A:$U,ROW(),$F$6))))</f>
        <v/>
      </c>
      <c r="AB1749" s="31">
        <f>IF($AA1749="","",SUBSTITUTE(SUBSTITUTE(SUBSTITUTE(SUBSTITUTE(SUBSTITUTE(SUBSTITUTE(SUBSTITUTE(SUBSTITUTE(SUBSTITUTE($AA1749," ",""),"　",""),"(주)",""),"（주）",""),"㈜",""),"주식회사",""),"(유)",""),"（유）",""),"유한회사",""))</f>
        <v/>
      </c>
      <c r="AC1749" s="31">
        <f>IF(OR($Y1749="",N($Z1749)&lt;=0,$AB1749=""),0,IFERROR(LOOKUP(2,1/((거래처별!$AC$8:$AC$307&lt;&gt;"")*ISNUMBER(SEARCH(거래처별!$AC$8:$AC$307,$AB1749))),거래처별!$A$8:$A$307),IFERROR(LOOKUP(2,1/((거래처별!$AD$8:$AD$307&lt;&gt;"")*ISNUMBER(SEARCH(거래처별!$AD$8:$AD$307,$AB1749))),거래처별!$A$8:$A$307),IFERROR(LOOKUP(2,1/((거래처별!$AE$8:$AE$307&lt;&gt;"")*ISNUMBER(SEARCH(거래처별!$AE$8:$AE$307,$AB1749))),거래처별!$A$8:$A$307),0))))</f>
        <v/>
      </c>
      <c r="AD1749" s="31">
        <f>IF(AND($Y1749&lt;&gt;"",N($Z1749)&gt;0,$AC1749=0),MAX($AD$7:$AD1748)+1,"")</f>
        <v/>
      </c>
      <c r="AE1749" s="31">
        <f>IF($Y1749="",0,$Y1749)</f>
        <v/>
      </c>
    </row>
    <row r="1750">
      <c r="W1750" s="31">
        <f>IF(OR($B$5="",$C$6="",ROW()&lt;$B$5),"",IF(INDEX($A:$U,ROW(),$C$6)="","",INDEX($A:$U,ROW(),$C$6)))</f>
        <v/>
      </c>
      <c r="X1750" s="32">
        <f>IF($W1750="","",IF(ISNUMBER($W1750),IF($W1750&gt;=10000000,IFERROR(DATE(INT($W1750/10000),MOD(INT($W1750/100),100),MOD($W1750,100)),""),INT($W1750)),IFERROR(DATE(--LEFT(LEFT(SUBSTITUTE(SUBSTITUTE(SUBSTITUTE(SUBSTITUTE(TRIM($W1750),"-",""),".",""),"/","")," ",""),8),4),--MID(LEFT(SUBSTITUTE(SUBSTITUTE(SUBSTITUTE(SUBSTITUTE(TRIM($W1750),"-",""),".",""),"/","")," ",""),8),5,2),--MID(LEFT(SUBSTITUTE(SUBSTITUTE(SUBSTITUTE(SUBSTITUTE(TRIM($W1750),"-",""),".",""),"/","")," ",""),8),7,2)),"")))</f>
        <v/>
      </c>
      <c r="Y1750" s="32">
        <f>IF($X1750="","",INT($X1750))</f>
        <v/>
      </c>
      <c r="Z1750" s="33">
        <f>IF(OR($Y1750="",$D$6=""),"",IF(INDEX($A:$U,ROW(),$D$6)="",0,IF(ISNUMBER(INDEX($A:$U,ROW(),$D$6)),INDEX($A:$U,ROW(),$D$6),IFERROR(--SUBSTITUTE(SUBSTITUTE(TRIM(INDEX($A:$U,ROW(),$D$6)),",",""),"원",""),0))))</f>
        <v/>
      </c>
      <c r="AA1750" s="31">
        <f>IF($Y1750="","",TRIM(INDEX($A:$U,ROW(),$E$6)&amp;IF($F$6="",""," "&amp;INDEX($A:$U,ROW(),$F$6))))</f>
        <v/>
      </c>
      <c r="AB1750" s="31">
        <f>IF($AA1750="","",SUBSTITUTE(SUBSTITUTE(SUBSTITUTE(SUBSTITUTE(SUBSTITUTE(SUBSTITUTE(SUBSTITUTE(SUBSTITUTE(SUBSTITUTE($AA1750," ",""),"　",""),"(주)",""),"（주）",""),"㈜",""),"주식회사",""),"(유)",""),"（유）",""),"유한회사",""))</f>
        <v/>
      </c>
      <c r="AC1750" s="31">
        <f>IF(OR($Y1750="",N($Z1750)&lt;=0,$AB1750=""),0,IFERROR(LOOKUP(2,1/((거래처별!$AC$8:$AC$307&lt;&gt;"")*ISNUMBER(SEARCH(거래처별!$AC$8:$AC$307,$AB1750))),거래처별!$A$8:$A$307),IFERROR(LOOKUP(2,1/((거래처별!$AD$8:$AD$307&lt;&gt;"")*ISNUMBER(SEARCH(거래처별!$AD$8:$AD$307,$AB1750))),거래처별!$A$8:$A$307),IFERROR(LOOKUP(2,1/((거래처별!$AE$8:$AE$307&lt;&gt;"")*ISNUMBER(SEARCH(거래처별!$AE$8:$AE$307,$AB1750))),거래처별!$A$8:$A$307),0))))</f>
        <v/>
      </c>
      <c r="AD1750" s="31">
        <f>IF(AND($Y1750&lt;&gt;"",N($Z1750)&gt;0,$AC1750=0),MAX($AD$7:$AD1749)+1,"")</f>
        <v/>
      </c>
      <c r="AE1750" s="31">
        <f>IF($Y1750="",0,$Y1750)</f>
        <v/>
      </c>
    </row>
    <row r="1751">
      <c r="W1751" s="31">
        <f>IF(OR($B$5="",$C$6="",ROW()&lt;$B$5),"",IF(INDEX($A:$U,ROW(),$C$6)="","",INDEX($A:$U,ROW(),$C$6)))</f>
        <v/>
      </c>
      <c r="X1751" s="32">
        <f>IF($W1751="","",IF(ISNUMBER($W1751),IF($W1751&gt;=10000000,IFERROR(DATE(INT($W1751/10000),MOD(INT($W1751/100),100),MOD($W1751,100)),""),INT($W1751)),IFERROR(DATE(--LEFT(LEFT(SUBSTITUTE(SUBSTITUTE(SUBSTITUTE(SUBSTITUTE(TRIM($W1751),"-",""),".",""),"/","")," ",""),8),4),--MID(LEFT(SUBSTITUTE(SUBSTITUTE(SUBSTITUTE(SUBSTITUTE(TRIM($W1751),"-",""),".",""),"/","")," ",""),8),5,2),--MID(LEFT(SUBSTITUTE(SUBSTITUTE(SUBSTITUTE(SUBSTITUTE(TRIM($W1751),"-",""),".",""),"/","")," ",""),8),7,2)),"")))</f>
        <v/>
      </c>
      <c r="Y1751" s="32">
        <f>IF($X1751="","",INT($X1751))</f>
        <v/>
      </c>
      <c r="Z1751" s="33">
        <f>IF(OR($Y1751="",$D$6=""),"",IF(INDEX($A:$U,ROW(),$D$6)="",0,IF(ISNUMBER(INDEX($A:$U,ROW(),$D$6)),INDEX($A:$U,ROW(),$D$6),IFERROR(--SUBSTITUTE(SUBSTITUTE(TRIM(INDEX($A:$U,ROW(),$D$6)),",",""),"원",""),0))))</f>
        <v/>
      </c>
      <c r="AA1751" s="31">
        <f>IF($Y1751="","",TRIM(INDEX($A:$U,ROW(),$E$6)&amp;IF($F$6="",""," "&amp;INDEX($A:$U,ROW(),$F$6))))</f>
        <v/>
      </c>
      <c r="AB1751" s="31">
        <f>IF($AA1751="","",SUBSTITUTE(SUBSTITUTE(SUBSTITUTE(SUBSTITUTE(SUBSTITUTE(SUBSTITUTE(SUBSTITUTE(SUBSTITUTE(SUBSTITUTE($AA1751," ",""),"　",""),"(주)",""),"（주）",""),"㈜",""),"주식회사",""),"(유)",""),"（유）",""),"유한회사",""))</f>
        <v/>
      </c>
      <c r="AC1751" s="31">
        <f>IF(OR($Y1751="",N($Z1751)&lt;=0,$AB1751=""),0,IFERROR(LOOKUP(2,1/((거래처별!$AC$8:$AC$307&lt;&gt;"")*ISNUMBER(SEARCH(거래처별!$AC$8:$AC$307,$AB1751))),거래처별!$A$8:$A$307),IFERROR(LOOKUP(2,1/((거래처별!$AD$8:$AD$307&lt;&gt;"")*ISNUMBER(SEARCH(거래처별!$AD$8:$AD$307,$AB1751))),거래처별!$A$8:$A$307),IFERROR(LOOKUP(2,1/((거래처별!$AE$8:$AE$307&lt;&gt;"")*ISNUMBER(SEARCH(거래처별!$AE$8:$AE$307,$AB1751))),거래처별!$A$8:$A$307),0))))</f>
        <v/>
      </c>
      <c r="AD1751" s="31">
        <f>IF(AND($Y1751&lt;&gt;"",N($Z1751)&gt;0,$AC1751=0),MAX($AD$7:$AD1750)+1,"")</f>
        <v/>
      </c>
      <c r="AE1751" s="31">
        <f>IF($Y1751="",0,$Y1751)</f>
        <v/>
      </c>
    </row>
    <row r="1752">
      <c r="W1752" s="31">
        <f>IF(OR($B$5="",$C$6="",ROW()&lt;$B$5),"",IF(INDEX($A:$U,ROW(),$C$6)="","",INDEX($A:$U,ROW(),$C$6)))</f>
        <v/>
      </c>
      <c r="X1752" s="32">
        <f>IF($W1752="","",IF(ISNUMBER($W1752),IF($W1752&gt;=10000000,IFERROR(DATE(INT($W1752/10000),MOD(INT($W1752/100),100),MOD($W1752,100)),""),INT($W1752)),IFERROR(DATE(--LEFT(LEFT(SUBSTITUTE(SUBSTITUTE(SUBSTITUTE(SUBSTITUTE(TRIM($W1752),"-",""),".",""),"/","")," ",""),8),4),--MID(LEFT(SUBSTITUTE(SUBSTITUTE(SUBSTITUTE(SUBSTITUTE(TRIM($W1752),"-",""),".",""),"/","")," ",""),8),5,2),--MID(LEFT(SUBSTITUTE(SUBSTITUTE(SUBSTITUTE(SUBSTITUTE(TRIM($W1752),"-",""),".",""),"/","")," ",""),8),7,2)),"")))</f>
        <v/>
      </c>
      <c r="Y1752" s="32">
        <f>IF($X1752="","",INT($X1752))</f>
        <v/>
      </c>
      <c r="Z1752" s="33">
        <f>IF(OR($Y1752="",$D$6=""),"",IF(INDEX($A:$U,ROW(),$D$6)="",0,IF(ISNUMBER(INDEX($A:$U,ROW(),$D$6)),INDEX($A:$U,ROW(),$D$6),IFERROR(--SUBSTITUTE(SUBSTITUTE(TRIM(INDEX($A:$U,ROW(),$D$6)),",",""),"원",""),0))))</f>
        <v/>
      </c>
      <c r="AA1752" s="31">
        <f>IF($Y1752="","",TRIM(INDEX($A:$U,ROW(),$E$6)&amp;IF($F$6="",""," "&amp;INDEX($A:$U,ROW(),$F$6))))</f>
        <v/>
      </c>
      <c r="AB1752" s="31">
        <f>IF($AA1752="","",SUBSTITUTE(SUBSTITUTE(SUBSTITUTE(SUBSTITUTE(SUBSTITUTE(SUBSTITUTE(SUBSTITUTE(SUBSTITUTE(SUBSTITUTE($AA1752," ",""),"　",""),"(주)",""),"（주）",""),"㈜",""),"주식회사",""),"(유)",""),"（유）",""),"유한회사",""))</f>
        <v/>
      </c>
      <c r="AC1752" s="31">
        <f>IF(OR($Y1752="",N($Z1752)&lt;=0,$AB1752=""),0,IFERROR(LOOKUP(2,1/((거래처별!$AC$8:$AC$307&lt;&gt;"")*ISNUMBER(SEARCH(거래처별!$AC$8:$AC$307,$AB1752))),거래처별!$A$8:$A$307),IFERROR(LOOKUP(2,1/((거래처별!$AD$8:$AD$307&lt;&gt;"")*ISNUMBER(SEARCH(거래처별!$AD$8:$AD$307,$AB1752))),거래처별!$A$8:$A$307),IFERROR(LOOKUP(2,1/((거래처별!$AE$8:$AE$307&lt;&gt;"")*ISNUMBER(SEARCH(거래처별!$AE$8:$AE$307,$AB1752))),거래처별!$A$8:$A$307),0))))</f>
        <v/>
      </c>
      <c r="AD1752" s="31">
        <f>IF(AND($Y1752&lt;&gt;"",N($Z1752)&gt;0,$AC1752=0),MAX($AD$7:$AD1751)+1,"")</f>
        <v/>
      </c>
      <c r="AE1752" s="31">
        <f>IF($Y1752="",0,$Y1752)</f>
        <v/>
      </c>
    </row>
    <row r="1753">
      <c r="W1753" s="31">
        <f>IF(OR($B$5="",$C$6="",ROW()&lt;$B$5),"",IF(INDEX($A:$U,ROW(),$C$6)="","",INDEX($A:$U,ROW(),$C$6)))</f>
        <v/>
      </c>
      <c r="X1753" s="32">
        <f>IF($W1753="","",IF(ISNUMBER($W1753),IF($W1753&gt;=10000000,IFERROR(DATE(INT($W1753/10000),MOD(INT($W1753/100),100),MOD($W1753,100)),""),INT($W1753)),IFERROR(DATE(--LEFT(LEFT(SUBSTITUTE(SUBSTITUTE(SUBSTITUTE(SUBSTITUTE(TRIM($W1753),"-",""),".",""),"/","")," ",""),8),4),--MID(LEFT(SUBSTITUTE(SUBSTITUTE(SUBSTITUTE(SUBSTITUTE(TRIM($W1753),"-",""),".",""),"/","")," ",""),8),5,2),--MID(LEFT(SUBSTITUTE(SUBSTITUTE(SUBSTITUTE(SUBSTITUTE(TRIM($W1753),"-",""),".",""),"/","")," ",""),8),7,2)),"")))</f>
        <v/>
      </c>
      <c r="Y1753" s="32">
        <f>IF($X1753="","",INT($X1753))</f>
        <v/>
      </c>
      <c r="Z1753" s="33">
        <f>IF(OR($Y1753="",$D$6=""),"",IF(INDEX($A:$U,ROW(),$D$6)="",0,IF(ISNUMBER(INDEX($A:$U,ROW(),$D$6)),INDEX($A:$U,ROW(),$D$6),IFERROR(--SUBSTITUTE(SUBSTITUTE(TRIM(INDEX($A:$U,ROW(),$D$6)),",",""),"원",""),0))))</f>
        <v/>
      </c>
      <c r="AA1753" s="31">
        <f>IF($Y1753="","",TRIM(INDEX($A:$U,ROW(),$E$6)&amp;IF($F$6="",""," "&amp;INDEX($A:$U,ROW(),$F$6))))</f>
        <v/>
      </c>
      <c r="AB1753" s="31">
        <f>IF($AA1753="","",SUBSTITUTE(SUBSTITUTE(SUBSTITUTE(SUBSTITUTE(SUBSTITUTE(SUBSTITUTE(SUBSTITUTE(SUBSTITUTE(SUBSTITUTE($AA1753," ",""),"　",""),"(주)",""),"（주）",""),"㈜",""),"주식회사",""),"(유)",""),"（유）",""),"유한회사",""))</f>
        <v/>
      </c>
      <c r="AC1753" s="31">
        <f>IF(OR($Y1753="",N($Z1753)&lt;=0,$AB1753=""),0,IFERROR(LOOKUP(2,1/((거래처별!$AC$8:$AC$307&lt;&gt;"")*ISNUMBER(SEARCH(거래처별!$AC$8:$AC$307,$AB1753))),거래처별!$A$8:$A$307),IFERROR(LOOKUP(2,1/((거래처별!$AD$8:$AD$307&lt;&gt;"")*ISNUMBER(SEARCH(거래처별!$AD$8:$AD$307,$AB1753))),거래처별!$A$8:$A$307),IFERROR(LOOKUP(2,1/((거래처별!$AE$8:$AE$307&lt;&gt;"")*ISNUMBER(SEARCH(거래처별!$AE$8:$AE$307,$AB1753))),거래처별!$A$8:$A$307),0))))</f>
        <v/>
      </c>
      <c r="AD1753" s="31">
        <f>IF(AND($Y1753&lt;&gt;"",N($Z1753)&gt;0,$AC1753=0),MAX($AD$7:$AD1752)+1,"")</f>
        <v/>
      </c>
      <c r="AE1753" s="31">
        <f>IF($Y1753="",0,$Y1753)</f>
        <v/>
      </c>
    </row>
    <row r="1754">
      <c r="W1754" s="31">
        <f>IF(OR($B$5="",$C$6="",ROW()&lt;$B$5),"",IF(INDEX($A:$U,ROW(),$C$6)="","",INDEX($A:$U,ROW(),$C$6)))</f>
        <v/>
      </c>
      <c r="X1754" s="32">
        <f>IF($W1754="","",IF(ISNUMBER($W1754),IF($W1754&gt;=10000000,IFERROR(DATE(INT($W1754/10000),MOD(INT($W1754/100),100),MOD($W1754,100)),""),INT($W1754)),IFERROR(DATE(--LEFT(LEFT(SUBSTITUTE(SUBSTITUTE(SUBSTITUTE(SUBSTITUTE(TRIM($W1754),"-",""),".",""),"/","")," ",""),8),4),--MID(LEFT(SUBSTITUTE(SUBSTITUTE(SUBSTITUTE(SUBSTITUTE(TRIM($W1754),"-",""),".",""),"/","")," ",""),8),5,2),--MID(LEFT(SUBSTITUTE(SUBSTITUTE(SUBSTITUTE(SUBSTITUTE(TRIM($W1754),"-",""),".",""),"/","")," ",""),8),7,2)),"")))</f>
        <v/>
      </c>
      <c r="Y1754" s="32">
        <f>IF($X1754="","",INT($X1754))</f>
        <v/>
      </c>
      <c r="Z1754" s="33">
        <f>IF(OR($Y1754="",$D$6=""),"",IF(INDEX($A:$U,ROW(),$D$6)="",0,IF(ISNUMBER(INDEX($A:$U,ROW(),$D$6)),INDEX($A:$U,ROW(),$D$6),IFERROR(--SUBSTITUTE(SUBSTITUTE(TRIM(INDEX($A:$U,ROW(),$D$6)),",",""),"원",""),0))))</f>
        <v/>
      </c>
      <c r="AA1754" s="31">
        <f>IF($Y1754="","",TRIM(INDEX($A:$U,ROW(),$E$6)&amp;IF($F$6="",""," "&amp;INDEX($A:$U,ROW(),$F$6))))</f>
        <v/>
      </c>
      <c r="AB1754" s="31">
        <f>IF($AA1754="","",SUBSTITUTE(SUBSTITUTE(SUBSTITUTE(SUBSTITUTE(SUBSTITUTE(SUBSTITUTE(SUBSTITUTE(SUBSTITUTE(SUBSTITUTE($AA1754," ",""),"　",""),"(주)",""),"（주）",""),"㈜",""),"주식회사",""),"(유)",""),"（유）",""),"유한회사",""))</f>
        <v/>
      </c>
      <c r="AC1754" s="31">
        <f>IF(OR($Y1754="",N($Z1754)&lt;=0,$AB1754=""),0,IFERROR(LOOKUP(2,1/((거래처별!$AC$8:$AC$307&lt;&gt;"")*ISNUMBER(SEARCH(거래처별!$AC$8:$AC$307,$AB1754))),거래처별!$A$8:$A$307),IFERROR(LOOKUP(2,1/((거래처별!$AD$8:$AD$307&lt;&gt;"")*ISNUMBER(SEARCH(거래처별!$AD$8:$AD$307,$AB1754))),거래처별!$A$8:$A$307),IFERROR(LOOKUP(2,1/((거래처별!$AE$8:$AE$307&lt;&gt;"")*ISNUMBER(SEARCH(거래처별!$AE$8:$AE$307,$AB1754))),거래처별!$A$8:$A$307),0))))</f>
        <v/>
      </c>
      <c r="AD1754" s="31">
        <f>IF(AND($Y1754&lt;&gt;"",N($Z1754)&gt;0,$AC1754=0),MAX($AD$7:$AD1753)+1,"")</f>
        <v/>
      </c>
      <c r="AE1754" s="31">
        <f>IF($Y1754="",0,$Y1754)</f>
        <v/>
      </c>
    </row>
    <row r="1755">
      <c r="W1755" s="31">
        <f>IF(OR($B$5="",$C$6="",ROW()&lt;$B$5),"",IF(INDEX($A:$U,ROW(),$C$6)="","",INDEX($A:$U,ROW(),$C$6)))</f>
        <v/>
      </c>
      <c r="X1755" s="32">
        <f>IF($W1755="","",IF(ISNUMBER($W1755),IF($W1755&gt;=10000000,IFERROR(DATE(INT($W1755/10000),MOD(INT($W1755/100),100),MOD($W1755,100)),""),INT($W1755)),IFERROR(DATE(--LEFT(LEFT(SUBSTITUTE(SUBSTITUTE(SUBSTITUTE(SUBSTITUTE(TRIM($W1755),"-",""),".",""),"/","")," ",""),8),4),--MID(LEFT(SUBSTITUTE(SUBSTITUTE(SUBSTITUTE(SUBSTITUTE(TRIM($W1755),"-",""),".",""),"/","")," ",""),8),5,2),--MID(LEFT(SUBSTITUTE(SUBSTITUTE(SUBSTITUTE(SUBSTITUTE(TRIM($W1755),"-",""),".",""),"/","")," ",""),8),7,2)),"")))</f>
        <v/>
      </c>
      <c r="Y1755" s="32">
        <f>IF($X1755="","",INT($X1755))</f>
        <v/>
      </c>
      <c r="Z1755" s="33">
        <f>IF(OR($Y1755="",$D$6=""),"",IF(INDEX($A:$U,ROW(),$D$6)="",0,IF(ISNUMBER(INDEX($A:$U,ROW(),$D$6)),INDEX($A:$U,ROW(),$D$6),IFERROR(--SUBSTITUTE(SUBSTITUTE(TRIM(INDEX($A:$U,ROW(),$D$6)),",",""),"원",""),0))))</f>
        <v/>
      </c>
      <c r="AA1755" s="31">
        <f>IF($Y1755="","",TRIM(INDEX($A:$U,ROW(),$E$6)&amp;IF($F$6="",""," "&amp;INDEX($A:$U,ROW(),$F$6))))</f>
        <v/>
      </c>
      <c r="AB1755" s="31">
        <f>IF($AA1755="","",SUBSTITUTE(SUBSTITUTE(SUBSTITUTE(SUBSTITUTE(SUBSTITUTE(SUBSTITUTE(SUBSTITUTE(SUBSTITUTE(SUBSTITUTE($AA1755," ",""),"　",""),"(주)",""),"（주）",""),"㈜",""),"주식회사",""),"(유)",""),"（유）",""),"유한회사",""))</f>
        <v/>
      </c>
      <c r="AC1755" s="31">
        <f>IF(OR($Y1755="",N($Z1755)&lt;=0,$AB1755=""),0,IFERROR(LOOKUP(2,1/((거래처별!$AC$8:$AC$307&lt;&gt;"")*ISNUMBER(SEARCH(거래처별!$AC$8:$AC$307,$AB1755))),거래처별!$A$8:$A$307),IFERROR(LOOKUP(2,1/((거래처별!$AD$8:$AD$307&lt;&gt;"")*ISNUMBER(SEARCH(거래처별!$AD$8:$AD$307,$AB1755))),거래처별!$A$8:$A$307),IFERROR(LOOKUP(2,1/((거래처별!$AE$8:$AE$307&lt;&gt;"")*ISNUMBER(SEARCH(거래처별!$AE$8:$AE$307,$AB1755))),거래처별!$A$8:$A$307),0))))</f>
        <v/>
      </c>
      <c r="AD1755" s="31">
        <f>IF(AND($Y1755&lt;&gt;"",N($Z1755)&gt;0,$AC1755=0),MAX($AD$7:$AD1754)+1,"")</f>
        <v/>
      </c>
      <c r="AE1755" s="31">
        <f>IF($Y1755="",0,$Y1755)</f>
        <v/>
      </c>
    </row>
    <row r="1756">
      <c r="W1756" s="31">
        <f>IF(OR($B$5="",$C$6="",ROW()&lt;$B$5),"",IF(INDEX($A:$U,ROW(),$C$6)="","",INDEX($A:$U,ROW(),$C$6)))</f>
        <v/>
      </c>
      <c r="X1756" s="32">
        <f>IF($W1756="","",IF(ISNUMBER($W1756),IF($W1756&gt;=10000000,IFERROR(DATE(INT($W1756/10000),MOD(INT($W1756/100),100),MOD($W1756,100)),""),INT($W1756)),IFERROR(DATE(--LEFT(LEFT(SUBSTITUTE(SUBSTITUTE(SUBSTITUTE(SUBSTITUTE(TRIM($W1756),"-",""),".",""),"/","")," ",""),8),4),--MID(LEFT(SUBSTITUTE(SUBSTITUTE(SUBSTITUTE(SUBSTITUTE(TRIM($W1756),"-",""),".",""),"/","")," ",""),8),5,2),--MID(LEFT(SUBSTITUTE(SUBSTITUTE(SUBSTITUTE(SUBSTITUTE(TRIM($W1756),"-",""),".",""),"/","")," ",""),8),7,2)),"")))</f>
        <v/>
      </c>
      <c r="Y1756" s="32">
        <f>IF($X1756="","",INT($X1756))</f>
        <v/>
      </c>
      <c r="Z1756" s="33">
        <f>IF(OR($Y1756="",$D$6=""),"",IF(INDEX($A:$U,ROW(),$D$6)="",0,IF(ISNUMBER(INDEX($A:$U,ROW(),$D$6)),INDEX($A:$U,ROW(),$D$6),IFERROR(--SUBSTITUTE(SUBSTITUTE(TRIM(INDEX($A:$U,ROW(),$D$6)),",",""),"원",""),0))))</f>
        <v/>
      </c>
      <c r="AA1756" s="31">
        <f>IF($Y1756="","",TRIM(INDEX($A:$U,ROW(),$E$6)&amp;IF($F$6="",""," "&amp;INDEX($A:$U,ROW(),$F$6))))</f>
        <v/>
      </c>
      <c r="AB1756" s="31">
        <f>IF($AA1756="","",SUBSTITUTE(SUBSTITUTE(SUBSTITUTE(SUBSTITUTE(SUBSTITUTE(SUBSTITUTE(SUBSTITUTE(SUBSTITUTE(SUBSTITUTE($AA1756," ",""),"　",""),"(주)",""),"（주）",""),"㈜",""),"주식회사",""),"(유)",""),"（유）",""),"유한회사",""))</f>
        <v/>
      </c>
      <c r="AC1756" s="31">
        <f>IF(OR($Y1756="",N($Z1756)&lt;=0,$AB1756=""),0,IFERROR(LOOKUP(2,1/((거래처별!$AC$8:$AC$307&lt;&gt;"")*ISNUMBER(SEARCH(거래처별!$AC$8:$AC$307,$AB1756))),거래처별!$A$8:$A$307),IFERROR(LOOKUP(2,1/((거래처별!$AD$8:$AD$307&lt;&gt;"")*ISNUMBER(SEARCH(거래처별!$AD$8:$AD$307,$AB1756))),거래처별!$A$8:$A$307),IFERROR(LOOKUP(2,1/((거래처별!$AE$8:$AE$307&lt;&gt;"")*ISNUMBER(SEARCH(거래처별!$AE$8:$AE$307,$AB1756))),거래처별!$A$8:$A$307),0))))</f>
        <v/>
      </c>
      <c r="AD1756" s="31">
        <f>IF(AND($Y1756&lt;&gt;"",N($Z1756)&gt;0,$AC1756=0),MAX($AD$7:$AD1755)+1,"")</f>
        <v/>
      </c>
      <c r="AE1756" s="31">
        <f>IF($Y1756="",0,$Y1756)</f>
        <v/>
      </c>
    </row>
    <row r="1757">
      <c r="W1757" s="31">
        <f>IF(OR($B$5="",$C$6="",ROW()&lt;$B$5),"",IF(INDEX($A:$U,ROW(),$C$6)="","",INDEX($A:$U,ROW(),$C$6)))</f>
        <v/>
      </c>
      <c r="X1757" s="32">
        <f>IF($W1757="","",IF(ISNUMBER($W1757),IF($W1757&gt;=10000000,IFERROR(DATE(INT($W1757/10000),MOD(INT($W1757/100),100),MOD($W1757,100)),""),INT($W1757)),IFERROR(DATE(--LEFT(LEFT(SUBSTITUTE(SUBSTITUTE(SUBSTITUTE(SUBSTITUTE(TRIM($W1757),"-",""),".",""),"/","")," ",""),8),4),--MID(LEFT(SUBSTITUTE(SUBSTITUTE(SUBSTITUTE(SUBSTITUTE(TRIM($W1757),"-",""),".",""),"/","")," ",""),8),5,2),--MID(LEFT(SUBSTITUTE(SUBSTITUTE(SUBSTITUTE(SUBSTITUTE(TRIM($W1757),"-",""),".",""),"/","")," ",""),8),7,2)),"")))</f>
        <v/>
      </c>
      <c r="Y1757" s="32">
        <f>IF($X1757="","",INT($X1757))</f>
        <v/>
      </c>
      <c r="Z1757" s="33">
        <f>IF(OR($Y1757="",$D$6=""),"",IF(INDEX($A:$U,ROW(),$D$6)="",0,IF(ISNUMBER(INDEX($A:$U,ROW(),$D$6)),INDEX($A:$U,ROW(),$D$6),IFERROR(--SUBSTITUTE(SUBSTITUTE(TRIM(INDEX($A:$U,ROW(),$D$6)),",",""),"원",""),0))))</f>
        <v/>
      </c>
      <c r="AA1757" s="31">
        <f>IF($Y1757="","",TRIM(INDEX($A:$U,ROW(),$E$6)&amp;IF($F$6="",""," "&amp;INDEX($A:$U,ROW(),$F$6))))</f>
        <v/>
      </c>
      <c r="AB1757" s="31">
        <f>IF($AA1757="","",SUBSTITUTE(SUBSTITUTE(SUBSTITUTE(SUBSTITUTE(SUBSTITUTE(SUBSTITUTE(SUBSTITUTE(SUBSTITUTE(SUBSTITUTE($AA1757," ",""),"　",""),"(주)",""),"（주）",""),"㈜",""),"주식회사",""),"(유)",""),"（유）",""),"유한회사",""))</f>
        <v/>
      </c>
      <c r="AC1757" s="31">
        <f>IF(OR($Y1757="",N($Z1757)&lt;=0,$AB1757=""),0,IFERROR(LOOKUP(2,1/((거래처별!$AC$8:$AC$307&lt;&gt;"")*ISNUMBER(SEARCH(거래처별!$AC$8:$AC$307,$AB1757))),거래처별!$A$8:$A$307),IFERROR(LOOKUP(2,1/((거래처별!$AD$8:$AD$307&lt;&gt;"")*ISNUMBER(SEARCH(거래처별!$AD$8:$AD$307,$AB1757))),거래처별!$A$8:$A$307),IFERROR(LOOKUP(2,1/((거래처별!$AE$8:$AE$307&lt;&gt;"")*ISNUMBER(SEARCH(거래처별!$AE$8:$AE$307,$AB1757))),거래처별!$A$8:$A$307),0))))</f>
        <v/>
      </c>
      <c r="AD1757" s="31">
        <f>IF(AND($Y1757&lt;&gt;"",N($Z1757)&gt;0,$AC1757=0),MAX($AD$7:$AD1756)+1,"")</f>
        <v/>
      </c>
      <c r="AE1757" s="31">
        <f>IF($Y1757="",0,$Y1757)</f>
        <v/>
      </c>
    </row>
    <row r="1758">
      <c r="W1758" s="31">
        <f>IF(OR($B$5="",$C$6="",ROW()&lt;$B$5),"",IF(INDEX($A:$U,ROW(),$C$6)="","",INDEX($A:$U,ROW(),$C$6)))</f>
        <v/>
      </c>
      <c r="X1758" s="32">
        <f>IF($W1758="","",IF(ISNUMBER($W1758),IF($W1758&gt;=10000000,IFERROR(DATE(INT($W1758/10000),MOD(INT($W1758/100),100),MOD($W1758,100)),""),INT($W1758)),IFERROR(DATE(--LEFT(LEFT(SUBSTITUTE(SUBSTITUTE(SUBSTITUTE(SUBSTITUTE(TRIM($W1758),"-",""),".",""),"/","")," ",""),8),4),--MID(LEFT(SUBSTITUTE(SUBSTITUTE(SUBSTITUTE(SUBSTITUTE(TRIM($W1758),"-",""),".",""),"/","")," ",""),8),5,2),--MID(LEFT(SUBSTITUTE(SUBSTITUTE(SUBSTITUTE(SUBSTITUTE(TRIM($W1758),"-",""),".",""),"/","")," ",""),8),7,2)),"")))</f>
        <v/>
      </c>
      <c r="Y1758" s="32">
        <f>IF($X1758="","",INT($X1758))</f>
        <v/>
      </c>
      <c r="Z1758" s="33">
        <f>IF(OR($Y1758="",$D$6=""),"",IF(INDEX($A:$U,ROW(),$D$6)="",0,IF(ISNUMBER(INDEX($A:$U,ROW(),$D$6)),INDEX($A:$U,ROW(),$D$6),IFERROR(--SUBSTITUTE(SUBSTITUTE(TRIM(INDEX($A:$U,ROW(),$D$6)),",",""),"원",""),0))))</f>
        <v/>
      </c>
      <c r="AA1758" s="31">
        <f>IF($Y1758="","",TRIM(INDEX($A:$U,ROW(),$E$6)&amp;IF($F$6="",""," "&amp;INDEX($A:$U,ROW(),$F$6))))</f>
        <v/>
      </c>
      <c r="AB1758" s="31">
        <f>IF($AA1758="","",SUBSTITUTE(SUBSTITUTE(SUBSTITUTE(SUBSTITUTE(SUBSTITUTE(SUBSTITUTE(SUBSTITUTE(SUBSTITUTE(SUBSTITUTE($AA1758," ",""),"　",""),"(주)",""),"（주）",""),"㈜",""),"주식회사",""),"(유)",""),"（유）",""),"유한회사",""))</f>
        <v/>
      </c>
      <c r="AC1758" s="31">
        <f>IF(OR($Y1758="",N($Z1758)&lt;=0,$AB1758=""),0,IFERROR(LOOKUP(2,1/((거래처별!$AC$8:$AC$307&lt;&gt;"")*ISNUMBER(SEARCH(거래처별!$AC$8:$AC$307,$AB1758))),거래처별!$A$8:$A$307),IFERROR(LOOKUP(2,1/((거래처별!$AD$8:$AD$307&lt;&gt;"")*ISNUMBER(SEARCH(거래처별!$AD$8:$AD$307,$AB1758))),거래처별!$A$8:$A$307),IFERROR(LOOKUP(2,1/((거래처별!$AE$8:$AE$307&lt;&gt;"")*ISNUMBER(SEARCH(거래처별!$AE$8:$AE$307,$AB1758))),거래처별!$A$8:$A$307),0))))</f>
        <v/>
      </c>
      <c r="AD1758" s="31">
        <f>IF(AND($Y1758&lt;&gt;"",N($Z1758)&gt;0,$AC1758=0),MAX($AD$7:$AD1757)+1,"")</f>
        <v/>
      </c>
      <c r="AE1758" s="31">
        <f>IF($Y1758="",0,$Y1758)</f>
        <v/>
      </c>
    </row>
    <row r="1759">
      <c r="W1759" s="31">
        <f>IF(OR($B$5="",$C$6="",ROW()&lt;$B$5),"",IF(INDEX($A:$U,ROW(),$C$6)="","",INDEX($A:$U,ROW(),$C$6)))</f>
        <v/>
      </c>
      <c r="X1759" s="32">
        <f>IF($W1759="","",IF(ISNUMBER($W1759),IF($W1759&gt;=10000000,IFERROR(DATE(INT($W1759/10000),MOD(INT($W1759/100),100),MOD($W1759,100)),""),INT($W1759)),IFERROR(DATE(--LEFT(LEFT(SUBSTITUTE(SUBSTITUTE(SUBSTITUTE(SUBSTITUTE(TRIM($W1759),"-",""),".",""),"/","")," ",""),8),4),--MID(LEFT(SUBSTITUTE(SUBSTITUTE(SUBSTITUTE(SUBSTITUTE(TRIM($W1759),"-",""),".",""),"/","")," ",""),8),5,2),--MID(LEFT(SUBSTITUTE(SUBSTITUTE(SUBSTITUTE(SUBSTITUTE(TRIM($W1759),"-",""),".",""),"/","")," ",""),8),7,2)),"")))</f>
        <v/>
      </c>
      <c r="Y1759" s="32">
        <f>IF($X1759="","",INT($X1759))</f>
        <v/>
      </c>
      <c r="Z1759" s="33">
        <f>IF(OR($Y1759="",$D$6=""),"",IF(INDEX($A:$U,ROW(),$D$6)="",0,IF(ISNUMBER(INDEX($A:$U,ROW(),$D$6)),INDEX($A:$U,ROW(),$D$6),IFERROR(--SUBSTITUTE(SUBSTITUTE(TRIM(INDEX($A:$U,ROW(),$D$6)),",",""),"원",""),0))))</f>
        <v/>
      </c>
      <c r="AA1759" s="31">
        <f>IF($Y1759="","",TRIM(INDEX($A:$U,ROW(),$E$6)&amp;IF($F$6="",""," "&amp;INDEX($A:$U,ROW(),$F$6))))</f>
        <v/>
      </c>
      <c r="AB1759" s="31">
        <f>IF($AA1759="","",SUBSTITUTE(SUBSTITUTE(SUBSTITUTE(SUBSTITUTE(SUBSTITUTE(SUBSTITUTE(SUBSTITUTE(SUBSTITUTE(SUBSTITUTE($AA1759," ",""),"　",""),"(주)",""),"（주）",""),"㈜",""),"주식회사",""),"(유)",""),"（유）",""),"유한회사",""))</f>
        <v/>
      </c>
      <c r="AC1759" s="31">
        <f>IF(OR($Y1759="",N($Z1759)&lt;=0,$AB1759=""),0,IFERROR(LOOKUP(2,1/((거래처별!$AC$8:$AC$307&lt;&gt;"")*ISNUMBER(SEARCH(거래처별!$AC$8:$AC$307,$AB1759))),거래처별!$A$8:$A$307),IFERROR(LOOKUP(2,1/((거래처별!$AD$8:$AD$307&lt;&gt;"")*ISNUMBER(SEARCH(거래처별!$AD$8:$AD$307,$AB1759))),거래처별!$A$8:$A$307),IFERROR(LOOKUP(2,1/((거래처별!$AE$8:$AE$307&lt;&gt;"")*ISNUMBER(SEARCH(거래처별!$AE$8:$AE$307,$AB1759))),거래처별!$A$8:$A$307),0))))</f>
        <v/>
      </c>
      <c r="AD1759" s="31">
        <f>IF(AND($Y1759&lt;&gt;"",N($Z1759)&gt;0,$AC1759=0),MAX($AD$7:$AD1758)+1,"")</f>
        <v/>
      </c>
      <c r="AE1759" s="31">
        <f>IF($Y1759="",0,$Y1759)</f>
        <v/>
      </c>
    </row>
    <row r="1760">
      <c r="W1760" s="31">
        <f>IF(OR($B$5="",$C$6="",ROW()&lt;$B$5),"",IF(INDEX($A:$U,ROW(),$C$6)="","",INDEX($A:$U,ROW(),$C$6)))</f>
        <v/>
      </c>
      <c r="X1760" s="32">
        <f>IF($W1760="","",IF(ISNUMBER($W1760),IF($W1760&gt;=10000000,IFERROR(DATE(INT($W1760/10000),MOD(INT($W1760/100),100),MOD($W1760,100)),""),INT($W1760)),IFERROR(DATE(--LEFT(LEFT(SUBSTITUTE(SUBSTITUTE(SUBSTITUTE(SUBSTITUTE(TRIM($W1760),"-",""),".",""),"/","")," ",""),8),4),--MID(LEFT(SUBSTITUTE(SUBSTITUTE(SUBSTITUTE(SUBSTITUTE(TRIM($W1760),"-",""),".",""),"/","")," ",""),8),5,2),--MID(LEFT(SUBSTITUTE(SUBSTITUTE(SUBSTITUTE(SUBSTITUTE(TRIM($W1760),"-",""),".",""),"/","")," ",""),8),7,2)),"")))</f>
        <v/>
      </c>
      <c r="Y1760" s="32">
        <f>IF($X1760="","",INT($X1760))</f>
        <v/>
      </c>
      <c r="Z1760" s="33">
        <f>IF(OR($Y1760="",$D$6=""),"",IF(INDEX($A:$U,ROW(),$D$6)="",0,IF(ISNUMBER(INDEX($A:$U,ROW(),$D$6)),INDEX($A:$U,ROW(),$D$6),IFERROR(--SUBSTITUTE(SUBSTITUTE(TRIM(INDEX($A:$U,ROW(),$D$6)),",",""),"원",""),0))))</f>
        <v/>
      </c>
      <c r="AA1760" s="31">
        <f>IF($Y1760="","",TRIM(INDEX($A:$U,ROW(),$E$6)&amp;IF($F$6="",""," "&amp;INDEX($A:$U,ROW(),$F$6))))</f>
        <v/>
      </c>
      <c r="AB1760" s="31">
        <f>IF($AA1760="","",SUBSTITUTE(SUBSTITUTE(SUBSTITUTE(SUBSTITUTE(SUBSTITUTE(SUBSTITUTE(SUBSTITUTE(SUBSTITUTE(SUBSTITUTE($AA1760," ",""),"　",""),"(주)",""),"（주）",""),"㈜",""),"주식회사",""),"(유)",""),"（유）",""),"유한회사",""))</f>
        <v/>
      </c>
      <c r="AC1760" s="31">
        <f>IF(OR($Y1760="",N($Z1760)&lt;=0,$AB1760=""),0,IFERROR(LOOKUP(2,1/((거래처별!$AC$8:$AC$307&lt;&gt;"")*ISNUMBER(SEARCH(거래처별!$AC$8:$AC$307,$AB1760))),거래처별!$A$8:$A$307),IFERROR(LOOKUP(2,1/((거래처별!$AD$8:$AD$307&lt;&gt;"")*ISNUMBER(SEARCH(거래처별!$AD$8:$AD$307,$AB1760))),거래처별!$A$8:$A$307),IFERROR(LOOKUP(2,1/((거래처별!$AE$8:$AE$307&lt;&gt;"")*ISNUMBER(SEARCH(거래처별!$AE$8:$AE$307,$AB1760))),거래처별!$A$8:$A$307),0))))</f>
        <v/>
      </c>
      <c r="AD1760" s="31">
        <f>IF(AND($Y1760&lt;&gt;"",N($Z1760)&gt;0,$AC1760=0),MAX($AD$7:$AD1759)+1,"")</f>
        <v/>
      </c>
      <c r="AE1760" s="31">
        <f>IF($Y1760="",0,$Y1760)</f>
        <v/>
      </c>
    </row>
    <row r="1761">
      <c r="W1761" s="31">
        <f>IF(OR($B$5="",$C$6="",ROW()&lt;$B$5),"",IF(INDEX($A:$U,ROW(),$C$6)="","",INDEX($A:$U,ROW(),$C$6)))</f>
        <v/>
      </c>
      <c r="X1761" s="32">
        <f>IF($W1761="","",IF(ISNUMBER($W1761),IF($W1761&gt;=10000000,IFERROR(DATE(INT($W1761/10000),MOD(INT($W1761/100),100),MOD($W1761,100)),""),INT($W1761)),IFERROR(DATE(--LEFT(LEFT(SUBSTITUTE(SUBSTITUTE(SUBSTITUTE(SUBSTITUTE(TRIM($W1761),"-",""),".",""),"/","")," ",""),8),4),--MID(LEFT(SUBSTITUTE(SUBSTITUTE(SUBSTITUTE(SUBSTITUTE(TRIM($W1761),"-",""),".",""),"/","")," ",""),8),5,2),--MID(LEFT(SUBSTITUTE(SUBSTITUTE(SUBSTITUTE(SUBSTITUTE(TRIM($W1761),"-",""),".",""),"/","")," ",""),8),7,2)),"")))</f>
        <v/>
      </c>
      <c r="Y1761" s="32">
        <f>IF($X1761="","",INT($X1761))</f>
        <v/>
      </c>
      <c r="Z1761" s="33">
        <f>IF(OR($Y1761="",$D$6=""),"",IF(INDEX($A:$U,ROW(),$D$6)="",0,IF(ISNUMBER(INDEX($A:$U,ROW(),$D$6)),INDEX($A:$U,ROW(),$D$6),IFERROR(--SUBSTITUTE(SUBSTITUTE(TRIM(INDEX($A:$U,ROW(),$D$6)),",",""),"원",""),0))))</f>
        <v/>
      </c>
      <c r="AA1761" s="31">
        <f>IF($Y1761="","",TRIM(INDEX($A:$U,ROW(),$E$6)&amp;IF($F$6="",""," "&amp;INDEX($A:$U,ROW(),$F$6))))</f>
        <v/>
      </c>
      <c r="AB1761" s="31">
        <f>IF($AA1761="","",SUBSTITUTE(SUBSTITUTE(SUBSTITUTE(SUBSTITUTE(SUBSTITUTE(SUBSTITUTE(SUBSTITUTE(SUBSTITUTE(SUBSTITUTE($AA1761," ",""),"　",""),"(주)",""),"（주）",""),"㈜",""),"주식회사",""),"(유)",""),"（유）",""),"유한회사",""))</f>
        <v/>
      </c>
      <c r="AC1761" s="31">
        <f>IF(OR($Y1761="",N($Z1761)&lt;=0,$AB1761=""),0,IFERROR(LOOKUP(2,1/((거래처별!$AC$8:$AC$307&lt;&gt;"")*ISNUMBER(SEARCH(거래처별!$AC$8:$AC$307,$AB1761))),거래처별!$A$8:$A$307),IFERROR(LOOKUP(2,1/((거래처별!$AD$8:$AD$307&lt;&gt;"")*ISNUMBER(SEARCH(거래처별!$AD$8:$AD$307,$AB1761))),거래처별!$A$8:$A$307),IFERROR(LOOKUP(2,1/((거래처별!$AE$8:$AE$307&lt;&gt;"")*ISNUMBER(SEARCH(거래처별!$AE$8:$AE$307,$AB1761))),거래처별!$A$8:$A$307),0))))</f>
        <v/>
      </c>
      <c r="AD1761" s="31">
        <f>IF(AND($Y1761&lt;&gt;"",N($Z1761)&gt;0,$AC1761=0),MAX($AD$7:$AD1760)+1,"")</f>
        <v/>
      </c>
      <c r="AE1761" s="31">
        <f>IF($Y1761="",0,$Y1761)</f>
        <v/>
      </c>
    </row>
    <row r="1762">
      <c r="W1762" s="31">
        <f>IF(OR($B$5="",$C$6="",ROW()&lt;$B$5),"",IF(INDEX($A:$U,ROW(),$C$6)="","",INDEX($A:$U,ROW(),$C$6)))</f>
        <v/>
      </c>
      <c r="X1762" s="32">
        <f>IF($W1762="","",IF(ISNUMBER($W1762),IF($W1762&gt;=10000000,IFERROR(DATE(INT($W1762/10000),MOD(INT($W1762/100),100),MOD($W1762,100)),""),INT($W1762)),IFERROR(DATE(--LEFT(LEFT(SUBSTITUTE(SUBSTITUTE(SUBSTITUTE(SUBSTITUTE(TRIM($W1762),"-",""),".",""),"/","")," ",""),8),4),--MID(LEFT(SUBSTITUTE(SUBSTITUTE(SUBSTITUTE(SUBSTITUTE(TRIM($W1762),"-",""),".",""),"/","")," ",""),8),5,2),--MID(LEFT(SUBSTITUTE(SUBSTITUTE(SUBSTITUTE(SUBSTITUTE(TRIM($W1762),"-",""),".",""),"/","")," ",""),8),7,2)),"")))</f>
        <v/>
      </c>
      <c r="Y1762" s="32">
        <f>IF($X1762="","",INT($X1762))</f>
        <v/>
      </c>
      <c r="Z1762" s="33">
        <f>IF(OR($Y1762="",$D$6=""),"",IF(INDEX($A:$U,ROW(),$D$6)="",0,IF(ISNUMBER(INDEX($A:$U,ROW(),$D$6)),INDEX($A:$U,ROW(),$D$6),IFERROR(--SUBSTITUTE(SUBSTITUTE(TRIM(INDEX($A:$U,ROW(),$D$6)),",",""),"원",""),0))))</f>
        <v/>
      </c>
      <c r="AA1762" s="31">
        <f>IF($Y1762="","",TRIM(INDEX($A:$U,ROW(),$E$6)&amp;IF($F$6="",""," "&amp;INDEX($A:$U,ROW(),$F$6))))</f>
        <v/>
      </c>
      <c r="AB1762" s="31">
        <f>IF($AA1762="","",SUBSTITUTE(SUBSTITUTE(SUBSTITUTE(SUBSTITUTE(SUBSTITUTE(SUBSTITUTE(SUBSTITUTE(SUBSTITUTE(SUBSTITUTE($AA1762," ",""),"　",""),"(주)",""),"（주）",""),"㈜",""),"주식회사",""),"(유)",""),"（유）",""),"유한회사",""))</f>
        <v/>
      </c>
      <c r="AC1762" s="31">
        <f>IF(OR($Y1762="",N($Z1762)&lt;=0,$AB1762=""),0,IFERROR(LOOKUP(2,1/((거래처별!$AC$8:$AC$307&lt;&gt;"")*ISNUMBER(SEARCH(거래처별!$AC$8:$AC$307,$AB1762))),거래처별!$A$8:$A$307),IFERROR(LOOKUP(2,1/((거래처별!$AD$8:$AD$307&lt;&gt;"")*ISNUMBER(SEARCH(거래처별!$AD$8:$AD$307,$AB1762))),거래처별!$A$8:$A$307),IFERROR(LOOKUP(2,1/((거래처별!$AE$8:$AE$307&lt;&gt;"")*ISNUMBER(SEARCH(거래처별!$AE$8:$AE$307,$AB1762))),거래처별!$A$8:$A$307),0))))</f>
        <v/>
      </c>
      <c r="AD1762" s="31">
        <f>IF(AND($Y1762&lt;&gt;"",N($Z1762)&gt;0,$AC1762=0),MAX($AD$7:$AD1761)+1,"")</f>
        <v/>
      </c>
      <c r="AE1762" s="31">
        <f>IF($Y1762="",0,$Y1762)</f>
        <v/>
      </c>
    </row>
    <row r="1763">
      <c r="W1763" s="31">
        <f>IF(OR($B$5="",$C$6="",ROW()&lt;$B$5),"",IF(INDEX($A:$U,ROW(),$C$6)="","",INDEX($A:$U,ROW(),$C$6)))</f>
        <v/>
      </c>
      <c r="X1763" s="32">
        <f>IF($W1763="","",IF(ISNUMBER($W1763),IF($W1763&gt;=10000000,IFERROR(DATE(INT($W1763/10000),MOD(INT($W1763/100),100),MOD($W1763,100)),""),INT($W1763)),IFERROR(DATE(--LEFT(LEFT(SUBSTITUTE(SUBSTITUTE(SUBSTITUTE(SUBSTITUTE(TRIM($W1763),"-",""),".",""),"/","")," ",""),8),4),--MID(LEFT(SUBSTITUTE(SUBSTITUTE(SUBSTITUTE(SUBSTITUTE(TRIM($W1763),"-",""),".",""),"/","")," ",""),8),5,2),--MID(LEFT(SUBSTITUTE(SUBSTITUTE(SUBSTITUTE(SUBSTITUTE(TRIM($W1763),"-",""),".",""),"/","")," ",""),8),7,2)),"")))</f>
        <v/>
      </c>
      <c r="Y1763" s="32">
        <f>IF($X1763="","",INT($X1763))</f>
        <v/>
      </c>
      <c r="Z1763" s="33">
        <f>IF(OR($Y1763="",$D$6=""),"",IF(INDEX($A:$U,ROW(),$D$6)="",0,IF(ISNUMBER(INDEX($A:$U,ROW(),$D$6)),INDEX($A:$U,ROW(),$D$6),IFERROR(--SUBSTITUTE(SUBSTITUTE(TRIM(INDEX($A:$U,ROW(),$D$6)),",",""),"원",""),0))))</f>
        <v/>
      </c>
      <c r="AA1763" s="31">
        <f>IF($Y1763="","",TRIM(INDEX($A:$U,ROW(),$E$6)&amp;IF($F$6="",""," "&amp;INDEX($A:$U,ROW(),$F$6))))</f>
        <v/>
      </c>
      <c r="AB1763" s="31">
        <f>IF($AA1763="","",SUBSTITUTE(SUBSTITUTE(SUBSTITUTE(SUBSTITUTE(SUBSTITUTE(SUBSTITUTE(SUBSTITUTE(SUBSTITUTE(SUBSTITUTE($AA1763," ",""),"　",""),"(주)",""),"（주）",""),"㈜",""),"주식회사",""),"(유)",""),"（유）",""),"유한회사",""))</f>
        <v/>
      </c>
      <c r="AC1763" s="31">
        <f>IF(OR($Y1763="",N($Z1763)&lt;=0,$AB1763=""),0,IFERROR(LOOKUP(2,1/((거래처별!$AC$8:$AC$307&lt;&gt;"")*ISNUMBER(SEARCH(거래처별!$AC$8:$AC$307,$AB1763))),거래처별!$A$8:$A$307),IFERROR(LOOKUP(2,1/((거래처별!$AD$8:$AD$307&lt;&gt;"")*ISNUMBER(SEARCH(거래처별!$AD$8:$AD$307,$AB1763))),거래처별!$A$8:$A$307),IFERROR(LOOKUP(2,1/((거래처별!$AE$8:$AE$307&lt;&gt;"")*ISNUMBER(SEARCH(거래처별!$AE$8:$AE$307,$AB1763))),거래처별!$A$8:$A$307),0))))</f>
        <v/>
      </c>
      <c r="AD1763" s="31">
        <f>IF(AND($Y1763&lt;&gt;"",N($Z1763)&gt;0,$AC1763=0),MAX($AD$7:$AD1762)+1,"")</f>
        <v/>
      </c>
      <c r="AE1763" s="31">
        <f>IF($Y1763="",0,$Y1763)</f>
        <v/>
      </c>
    </row>
    <row r="1764">
      <c r="W1764" s="31">
        <f>IF(OR($B$5="",$C$6="",ROW()&lt;$B$5),"",IF(INDEX($A:$U,ROW(),$C$6)="","",INDEX($A:$U,ROW(),$C$6)))</f>
        <v/>
      </c>
      <c r="X1764" s="32">
        <f>IF($W1764="","",IF(ISNUMBER($W1764),IF($W1764&gt;=10000000,IFERROR(DATE(INT($W1764/10000),MOD(INT($W1764/100),100),MOD($W1764,100)),""),INT($W1764)),IFERROR(DATE(--LEFT(LEFT(SUBSTITUTE(SUBSTITUTE(SUBSTITUTE(SUBSTITUTE(TRIM($W1764),"-",""),".",""),"/","")," ",""),8),4),--MID(LEFT(SUBSTITUTE(SUBSTITUTE(SUBSTITUTE(SUBSTITUTE(TRIM($W1764),"-",""),".",""),"/","")," ",""),8),5,2),--MID(LEFT(SUBSTITUTE(SUBSTITUTE(SUBSTITUTE(SUBSTITUTE(TRIM($W1764),"-",""),".",""),"/","")," ",""),8),7,2)),"")))</f>
        <v/>
      </c>
      <c r="Y1764" s="32">
        <f>IF($X1764="","",INT($X1764))</f>
        <v/>
      </c>
      <c r="Z1764" s="33">
        <f>IF(OR($Y1764="",$D$6=""),"",IF(INDEX($A:$U,ROW(),$D$6)="",0,IF(ISNUMBER(INDEX($A:$U,ROW(),$D$6)),INDEX($A:$U,ROW(),$D$6),IFERROR(--SUBSTITUTE(SUBSTITUTE(TRIM(INDEX($A:$U,ROW(),$D$6)),",",""),"원",""),0))))</f>
        <v/>
      </c>
      <c r="AA1764" s="31">
        <f>IF($Y1764="","",TRIM(INDEX($A:$U,ROW(),$E$6)&amp;IF($F$6="",""," "&amp;INDEX($A:$U,ROW(),$F$6))))</f>
        <v/>
      </c>
      <c r="AB1764" s="31">
        <f>IF($AA1764="","",SUBSTITUTE(SUBSTITUTE(SUBSTITUTE(SUBSTITUTE(SUBSTITUTE(SUBSTITUTE(SUBSTITUTE(SUBSTITUTE(SUBSTITUTE($AA1764," ",""),"　",""),"(주)",""),"（주）",""),"㈜",""),"주식회사",""),"(유)",""),"（유）",""),"유한회사",""))</f>
        <v/>
      </c>
      <c r="AC1764" s="31">
        <f>IF(OR($Y1764="",N($Z1764)&lt;=0,$AB1764=""),0,IFERROR(LOOKUP(2,1/((거래처별!$AC$8:$AC$307&lt;&gt;"")*ISNUMBER(SEARCH(거래처별!$AC$8:$AC$307,$AB1764))),거래처별!$A$8:$A$307),IFERROR(LOOKUP(2,1/((거래처별!$AD$8:$AD$307&lt;&gt;"")*ISNUMBER(SEARCH(거래처별!$AD$8:$AD$307,$AB1764))),거래처별!$A$8:$A$307),IFERROR(LOOKUP(2,1/((거래처별!$AE$8:$AE$307&lt;&gt;"")*ISNUMBER(SEARCH(거래처별!$AE$8:$AE$307,$AB1764))),거래처별!$A$8:$A$307),0))))</f>
        <v/>
      </c>
      <c r="AD1764" s="31">
        <f>IF(AND($Y1764&lt;&gt;"",N($Z1764)&gt;0,$AC1764=0),MAX($AD$7:$AD1763)+1,"")</f>
        <v/>
      </c>
      <c r="AE1764" s="31">
        <f>IF($Y1764="",0,$Y1764)</f>
        <v/>
      </c>
    </row>
    <row r="1765">
      <c r="W1765" s="31">
        <f>IF(OR($B$5="",$C$6="",ROW()&lt;$B$5),"",IF(INDEX($A:$U,ROW(),$C$6)="","",INDEX($A:$U,ROW(),$C$6)))</f>
        <v/>
      </c>
      <c r="X1765" s="32">
        <f>IF($W1765="","",IF(ISNUMBER($W1765),IF($W1765&gt;=10000000,IFERROR(DATE(INT($W1765/10000),MOD(INT($W1765/100),100),MOD($W1765,100)),""),INT($W1765)),IFERROR(DATE(--LEFT(LEFT(SUBSTITUTE(SUBSTITUTE(SUBSTITUTE(SUBSTITUTE(TRIM($W1765),"-",""),".",""),"/","")," ",""),8),4),--MID(LEFT(SUBSTITUTE(SUBSTITUTE(SUBSTITUTE(SUBSTITUTE(TRIM($W1765),"-",""),".",""),"/","")," ",""),8),5,2),--MID(LEFT(SUBSTITUTE(SUBSTITUTE(SUBSTITUTE(SUBSTITUTE(TRIM($W1765),"-",""),".",""),"/","")," ",""),8),7,2)),"")))</f>
        <v/>
      </c>
      <c r="Y1765" s="32">
        <f>IF($X1765="","",INT($X1765))</f>
        <v/>
      </c>
      <c r="Z1765" s="33">
        <f>IF(OR($Y1765="",$D$6=""),"",IF(INDEX($A:$U,ROW(),$D$6)="",0,IF(ISNUMBER(INDEX($A:$U,ROW(),$D$6)),INDEX($A:$U,ROW(),$D$6),IFERROR(--SUBSTITUTE(SUBSTITUTE(TRIM(INDEX($A:$U,ROW(),$D$6)),",",""),"원",""),0))))</f>
        <v/>
      </c>
      <c r="AA1765" s="31">
        <f>IF($Y1765="","",TRIM(INDEX($A:$U,ROW(),$E$6)&amp;IF($F$6="",""," "&amp;INDEX($A:$U,ROW(),$F$6))))</f>
        <v/>
      </c>
      <c r="AB1765" s="31">
        <f>IF($AA1765="","",SUBSTITUTE(SUBSTITUTE(SUBSTITUTE(SUBSTITUTE(SUBSTITUTE(SUBSTITUTE(SUBSTITUTE(SUBSTITUTE(SUBSTITUTE($AA1765," ",""),"　",""),"(주)",""),"（주）",""),"㈜",""),"주식회사",""),"(유)",""),"（유）",""),"유한회사",""))</f>
        <v/>
      </c>
      <c r="AC1765" s="31">
        <f>IF(OR($Y1765="",N($Z1765)&lt;=0,$AB1765=""),0,IFERROR(LOOKUP(2,1/((거래처별!$AC$8:$AC$307&lt;&gt;"")*ISNUMBER(SEARCH(거래처별!$AC$8:$AC$307,$AB1765))),거래처별!$A$8:$A$307),IFERROR(LOOKUP(2,1/((거래처별!$AD$8:$AD$307&lt;&gt;"")*ISNUMBER(SEARCH(거래처별!$AD$8:$AD$307,$AB1765))),거래처별!$A$8:$A$307),IFERROR(LOOKUP(2,1/((거래처별!$AE$8:$AE$307&lt;&gt;"")*ISNUMBER(SEARCH(거래처별!$AE$8:$AE$307,$AB1765))),거래처별!$A$8:$A$307),0))))</f>
        <v/>
      </c>
      <c r="AD1765" s="31">
        <f>IF(AND($Y1765&lt;&gt;"",N($Z1765)&gt;0,$AC1765=0),MAX($AD$7:$AD1764)+1,"")</f>
        <v/>
      </c>
      <c r="AE1765" s="31">
        <f>IF($Y1765="",0,$Y1765)</f>
        <v/>
      </c>
    </row>
    <row r="1766">
      <c r="W1766" s="31">
        <f>IF(OR($B$5="",$C$6="",ROW()&lt;$B$5),"",IF(INDEX($A:$U,ROW(),$C$6)="","",INDEX($A:$U,ROW(),$C$6)))</f>
        <v/>
      </c>
      <c r="X1766" s="32">
        <f>IF($W1766="","",IF(ISNUMBER($W1766),IF($W1766&gt;=10000000,IFERROR(DATE(INT($W1766/10000),MOD(INT($W1766/100),100),MOD($W1766,100)),""),INT($W1766)),IFERROR(DATE(--LEFT(LEFT(SUBSTITUTE(SUBSTITUTE(SUBSTITUTE(SUBSTITUTE(TRIM($W1766),"-",""),".",""),"/","")," ",""),8),4),--MID(LEFT(SUBSTITUTE(SUBSTITUTE(SUBSTITUTE(SUBSTITUTE(TRIM($W1766),"-",""),".",""),"/","")," ",""),8),5,2),--MID(LEFT(SUBSTITUTE(SUBSTITUTE(SUBSTITUTE(SUBSTITUTE(TRIM($W1766),"-",""),".",""),"/","")," ",""),8),7,2)),"")))</f>
        <v/>
      </c>
      <c r="Y1766" s="32">
        <f>IF($X1766="","",INT($X1766))</f>
        <v/>
      </c>
      <c r="Z1766" s="33">
        <f>IF(OR($Y1766="",$D$6=""),"",IF(INDEX($A:$U,ROW(),$D$6)="",0,IF(ISNUMBER(INDEX($A:$U,ROW(),$D$6)),INDEX($A:$U,ROW(),$D$6),IFERROR(--SUBSTITUTE(SUBSTITUTE(TRIM(INDEX($A:$U,ROW(),$D$6)),",",""),"원",""),0))))</f>
        <v/>
      </c>
      <c r="AA1766" s="31">
        <f>IF($Y1766="","",TRIM(INDEX($A:$U,ROW(),$E$6)&amp;IF($F$6="",""," "&amp;INDEX($A:$U,ROW(),$F$6))))</f>
        <v/>
      </c>
      <c r="AB1766" s="31">
        <f>IF($AA1766="","",SUBSTITUTE(SUBSTITUTE(SUBSTITUTE(SUBSTITUTE(SUBSTITUTE(SUBSTITUTE(SUBSTITUTE(SUBSTITUTE(SUBSTITUTE($AA1766," ",""),"　",""),"(주)",""),"（주）",""),"㈜",""),"주식회사",""),"(유)",""),"（유）",""),"유한회사",""))</f>
        <v/>
      </c>
      <c r="AC1766" s="31">
        <f>IF(OR($Y1766="",N($Z1766)&lt;=0,$AB1766=""),0,IFERROR(LOOKUP(2,1/((거래처별!$AC$8:$AC$307&lt;&gt;"")*ISNUMBER(SEARCH(거래처별!$AC$8:$AC$307,$AB1766))),거래처별!$A$8:$A$307),IFERROR(LOOKUP(2,1/((거래처별!$AD$8:$AD$307&lt;&gt;"")*ISNUMBER(SEARCH(거래처별!$AD$8:$AD$307,$AB1766))),거래처별!$A$8:$A$307),IFERROR(LOOKUP(2,1/((거래처별!$AE$8:$AE$307&lt;&gt;"")*ISNUMBER(SEARCH(거래처별!$AE$8:$AE$307,$AB1766))),거래처별!$A$8:$A$307),0))))</f>
        <v/>
      </c>
      <c r="AD1766" s="31">
        <f>IF(AND($Y1766&lt;&gt;"",N($Z1766)&gt;0,$AC1766=0),MAX($AD$7:$AD1765)+1,"")</f>
        <v/>
      </c>
      <c r="AE1766" s="31">
        <f>IF($Y1766="",0,$Y1766)</f>
        <v/>
      </c>
    </row>
    <row r="1767">
      <c r="W1767" s="31">
        <f>IF(OR($B$5="",$C$6="",ROW()&lt;$B$5),"",IF(INDEX($A:$U,ROW(),$C$6)="","",INDEX($A:$U,ROW(),$C$6)))</f>
        <v/>
      </c>
      <c r="X1767" s="32">
        <f>IF($W1767="","",IF(ISNUMBER($W1767),IF($W1767&gt;=10000000,IFERROR(DATE(INT($W1767/10000),MOD(INT($W1767/100),100),MOD($W1767,100)),""),INT($W1767)),IFERROR(DATE(--LEFT(LEFT(SUBSTITUTE(SUBSTITUTE(SUBSTITUTE(SUBSTITUTE(TRIM($W1767),"-",""),".",""),"/","")," ",""),8),4),--MID(LEFT(SUBSTITUTE(SUBSTITUTE(SUBSTITUTE(SUBSTITUTE(TRIM($W1767),"-",""),".",""),"/","")," ",""),8),5,2),--MID(LEFT(SUBSTITUTE(SUBSTITUTE(SUBSTITUTE(SUBSTITUTE(TRIM($W1767),"-",""),".",""),"/","")," ",""),8),7,2)),"")))</f>
        <v/>
      </c>
      <c r="Y1767" s="32">
        <f>IF($X1767="","",INT($X1767))</f>
        <v/>
      </c>
      <c r="Z1767" s="33">
        <f>IF(OR($Y1767="",$D$6=""),"",IF(INDEX($A:$U,ROW(),$D$6)="",0,IF(ISNUMBER(INDEX($A:$U,ROW(),$D$6)),INDEX($A:$U,ROW(),$D$6),IFERROR(--SUBSTITUTE(SUBSTITUTE(TRIM(INDEX($A:$U,ROW(),$D$6)),",",""),"원",""),0))))</f>
        <v/>
      </c>
      <c r="AA1767" s="31">
        <f>IF($Y1767="","",TRIM(INDEX($A:$U,ROW(),$E$6)&amp;IF($F$6="",""," "&amp;INDEX($A:$U,ROW(),$F$6))))</f>
        <v/>
      </c>
      <c r="AB1767" s="31">
        <f>IF($AA1767="","",SUBSTITUTE(SUBSTITUTE(SUBSTITUTE(SUBSTITUTE(SUBSTITUTE(SUBSTITUTE(SUBSTITUTE(SUBSTITUTE(SUBSTITUTE($AA1767," ",""),"　",""),"(주)",""),"（주）",""),"㈜",""),"주식회사",""),"(유)",""),"（유）",""),"유한회사",""))</f>
        <v/>
      </c>
      <c r="AC1767" s="31">
        <f>IF(OR($Y1767="",N($Z1767)&lt;=0,$AB1767=""),0,IFERROR(LOOKUP(2,1/((거래처별!$AC$8:$AC$307&lt;&gt;"")*ISNUMBER(SEARCH(거래처별!$AC$8:$AC$307,$AB1767))),거래처별!$A$8:$A$307),IFERROR(LOOKUP(2,1/((거래처별!$AD$8:$AD$307&lt;&gt;"")*ISNUMBER(SEARCH(거래처별!$AD$8:$AD$307,$AB1767))),거래처별!$A$8:$A$307),IFERROR(LOOKUP(2,1/((거래처별!$AE$8:$AE$307&lt;&gt;"")*ISNUMBER(SEARCH(거래처별!$AE$8:$AE$307,$AB1767))),거래처별!$A$8:$A$307),0))))</f>
        <v/>
      </c>
      <c r="AD1767" s="31">
        <f>IF(AND($Y1767&lt;&gt;"",N($Z1767)&gt;0,$AC1767=0),MAX($AD$7:$AD1766)+1,"")</f>
        <v/>
      </c>
      <c r="AE1767" s="31">
        <f>IF($Y1767="",0,$Y1767)</f>
        <v/>
      </c>
    </row>
    <row r="1768">
      <c r="W1768" s="31">
        <f>IF(OR($B$5="",$C$6="",ROW()&lt;$B$5),"",IF(INDEX($A:$U,ROW(),$C$6)="","",INDEX($A:$U,ROW(),$C$6)))</f>
        <v/>
      </c>
      <c r="X1768" s="32">
        <f>IF($W1768="","",IF(ISNUMBER($W1768),IF($W1768&gt;=10000000,IFERROR(DATE(INT($W1768/10000),MOD(INT($W1768/100),100),MOD($W1768,100)),""),INT($W1768)),IFERROR(DATE(--LEFT(LEFT(SUBSTITUTE(SUBSTITUTE(SUBSTITUTE(SUBSTITUTE(TRIM($W1768),"-",""),".",""),"/","")," ",""),8),4),--MID(LEFT(SUBSTITUTE(SUBSTITUTE(SUBSTITUTE(SUBSTITUTE(TRIM($W1768),"-",""),".",""),"/","")," ",""),8),5,2),--MID(LEFT(SUBSTITUTE(SUBSTITUTE(SUBSTITUTE(SUBSTITUTE(TRIM($W1768),"-",""),".",""),"/","")," ",""),8),7,2)),"")))</f>
        <v/>
      </c>
      <c r="Y1768" s="32">
        <f>IF($X1768="","",INT($X1768))</f>
        <v/>
      </c>
      <c r="Z1768" s="33">
        <f>IF(OR($Y1768="",$D$6=""),"",IF(INDEX($A:$U,ROW(),$D$6)="",0,IF(ISNUMBER(INDEX($A:$U,ROW(),$D$6)),INDEX($A:$U,ROW(),$D$6),IFERROR(--SUBSTITUTE(SUBSTITUTE(TRIM(INDEX($A:$U,ROW(),$D$6)),",",""),"원",""),0))))</f>
        <v/>
      </c>
      <c r="AA1768" s="31">
        <f>IF($Y1768="","",TRIM(INDEX($A:$U,ROW(),$E$6)&amp;IF($F$6="",""," "&amp;INDEX($A:$U,ROW(),$F$6))))</f>
        <v/>
      </c>
      <c r="AB1768" s="31">
        <f>IF($AA1768="","",SUBSTITUTE(SUBSTITUTE(SUBSTITUTE(SUBSTITUTE(SUBSTITUTE(SUBSTITUTE(SUBSTITUTE(SUBSTITUTE(SUBSTITUTE($AA1768," ",""),"　",""),"(주)",""),"（주）",""),"㈜",""),"주식회사",""),"(유)",""),"（유）",""),"유한회사",""))</f>
        <v/>
      </c>
      <c r="AC1768" s="31">
        <f>IF(OR($Y1768="",N($Z1768)&lt;=0,$AB1768=""),0,IFERROR(LOOKUP(2,1/((거래처별!$AC$8:$AC$307&lt;&gt;"")*ISNUMBER(SEARCH(거래처별!$AC$8:$AC$307,$AB1768))),거래처별!$A$8:$A$307),IFERROR(LOOKUP(2,1/((거래처별!$AD$8:$AD$307&lt;&gt;"")*ISNUMBER(SEARCH(거래처별!$AD$8:$AD$307,$AB1768))),거래처별!$A$8:$A$307),IFERROR(LOOKUP(2,1/((거래처별!$AE$8:$AE$307&lt;&gt;"")*ISNUMBER(SEARCH(거래처별!$AE$8:$AE$307,$AB1768))),거래처별!$A$8:$A$307),0))))</f>
        <v/>
      </c>
      <c r="AD1768" s="31">
        <f>IF(AND($Y1768&lt;&gt;"",N($Z1768)&gt;0,$AC1768=0),MAX($AD$7:$AD1767)+1,"")</f>
        <v/>
      </c>
      <c r="AE1768" s="31">
        <f>IF($Y1768="",0,$Y1768)</f>
        <v/>
      </c>
    </row>
    <row r="1769">
      <c r="W1769" s="31">
        <f>IF(OR($B$5="",$C$6="",ROW()&lt;$B$5),"",IF(INDEX($A:$U,ROW(),$C$6)="","",INDEX($A:$U,ROW(),$C$6)))</f>
        <v/>
      </c>
      <c r="X1769" s="32">
        <f>IF($W1769="","",IF(ISNUMBER($W1769),IF($W1769&gt;=10000000,IFERROR(DATE(INT($W1769/10000),MOD(INT($W1769/100),100),MOD($W1769,100)),""),INT($W1769)),IFERROR(DATE(--LEFT(LEFT(SUBSTITUTE(SUBSTITUTE(SUBSTITUTE(SUBSTITUTE(TRIM($W1769),"-",""),".",""),"/","")," ",""),8),4),--MID(LEFT(SUBSTITUTE(SUBSTITUTE(SUBSTITUTE(SUBSTITUTE(TRIM($W1769),"-",""),".",""),"/","")," ",""),8),5,2),--MID(LEFT(SUBSTITUTE(SUBSTITUTE(SUBSTITUTE(SUBSTITUTE(TRIM($W1769),"-",""),".",""),"/","")," ",""),8),7,2)),"")))</f>
        <v/>
      </c>
      <c r="Y1769" s="32">
        <f>IF($X1769="","",INT($X1769))</f>
        <v/>
      </c>
      <c r="Z1769" s="33">
        <f>IF(OR($Y1769="",$D$6=""),"",IF(INDEX($A:$U,ROW(),$D$6)="",0,IF(ISNUMBER(INDEX($A:$U,ROW(),$D$6)),INDEX($A:$U,ROW(),$D$6),IFERROR(--SUBSTITUTE(SUBSTITUTE(TRIM(INDEX($A:$U,ROW(),$D$6)),",",""),"원",""),0))))</f>
        <v/>
      </c>
      <c r="AA1769" s="31">
        <f>IF($Y1769="","",TRIM(INDEX($A:$U,ROW(),$E$6)&amp;IF($F$6="",""," "&amp;INDEX($A:$U,ROW(),$F$6))))</f>
        <v/>
      </c>
      <c r="AB1769" s="31">
        <f>IF($AA1769="","",SUBSTITUTE(SUBSTITUTE(SUBSTITUTE(SUBSTITUTE(SUBSTITUTE(SUBSTITUTE(SUBSTITUTE(SUBSTITUTE(SUBSTITUTE($AA1769," ",""),"　",""),"(주)",""),"（주）",""),"㈜",""),"주식회사",""),"(유)",""),"（유）",""),"유한회사",""))</f>
        <v/>
      </c>
      <c r="AC1769" s="31">
        <f>IF(OR($Y1769="",N($Z1769)&lt;=0,$AB1769=""),0,IFERROR(LOOKUP(2,1/((거래처별!$AC$8:$AC$307&lt;&gt;"")*ISNUMBER(SEARCH(거래처별!$AC$8:$AC$307,$AB1769))),거래처별!$A$8:$A$307),IFERROR(LOOKUP(2,1/((거래처별!$AD$8:$AD$307&lt;&gt;"")*ISNUMBER(SEARCH(거래처별!$AD$8:$AD$307,$AB1769))),거래처별!$A$8:$A$307),IFERROR(LOOKUP(2,1/((거래처별!$AE$8:$AE$307&lt;&gt;"")*ISNUMBER(SEARCH(거래처별!$AE$8:$AE$307,$AB1769))),거래처별!$A$8:$A$307),0))))</f>
        <v/>
      </c>
      <c r="AD1769" s="31">
        <f>IF(AND($Y1769&lt;&gt;"",N($Z1769)&gt;0,$AC1769=0),MAX($AD$7:$AD1768)+1,"")</f>
        <v/>
      </c>
      <c r="AE1769" s="31">
        <f>IF($Y1769="",0,$Y1769)</f>
        <v/>
      </c>
    </row>
    <row r="1770">
      <c r="W1770" s="31">
        <f>IF(OR($B$5="",$C$6="",ROW()&lt;$B$5),"",IF(INDEX($A:$U,ROW(),$C$6)="","",INDEX($A:$U,ROW(),$C$6)))</f>
        <v/>
      </c>
      <c r="X1770" s="32">
        <f>IF($W1770="","",IF(ISNUMBER($W1770),IF($W1770&gt;=10000000,IFERROR(DATE(INT($W1770/10000),MOD(INT($W1770/100),100),MOD($W1770,100)),""),INT($W1770)),IFERROR(DATE(--LEFT(LEFT(SUBSTITUTE(SUBSTITUTE(SUBSTITUTE(SUBSTITUTE(TRIM($W1770),"-",""),".",""),"/","")," ",""),8),4),--MID(LEFT(SUBSTITUTE(SUBSTITUTE(SUBSTITUTE(SUBSTITUTE(TRIM($W1770),"-",""),".",""),"/","")," ",""),8),5,2),--MID(LEFT(SUBSTITUTE(SUBSTITUTE(SUBSTITUTE(SUBSTITUTE(TRIM($W1770),"-",""),".",""),"/","")," ",""),8),7,2)),"")))</f>
        <v/>
      </c>
      <c r="Y1770" s="32">
        <f>IF($X1770="","",INT($X1770))</f>
        <v/>
      </c>
      <c r="Z1770" s="33">
        <f>IF(OR($Y1770="",$D$6=""),"",IF(INDEX($A:$U,ROW(),$D$6)="",0,IF(ISNUMBER(INDEX($A:$U,ROW(),$D$6)),INDEX($A:$U,ROW(),$D$6),IFERROR(--SUBSTITUTE(SUBSTITUTE(TRIM(INDEX($A:$U,ROW(),$D$6)),",",""),"원",""),0))))</f>
        <v/>
      </c>
      <c r="AA1770" s="31">
        <f>IF($Y1770="","",TRIM(INDEX($A:$U,ROW(),$E$6)&amp;IF($F$6="",""," "&amp;INDEX($A:$U,ROW(),$F$6))))</f>
        <v/>
      </c>
      <c r="AB1770" s="31">
        <f>IF($AA1770="","",SUBSTITUTE(SUBSTITUTE(SUBSTITUTE(SUBSTITUTE(SUBSTITUTE(SUBSTITUTE(SUBSTITUTE(SUBSTITUTE(SUBSTITUTE($AA1770," ",""),"　",""),"(주)",""),"（주）",""),"㈜",""),"주식회사",""),"(유)",""),"（유）",""),"유한회사",""))</f>
        <v/>
      </c>
      <c r="AC1770" s="31">
        <f>IF(OR($Y1770="",N($Z1770)&lt;=0,$AB1770=""),0,IFERROR(LOOKUP(2,1/((거래처별!$AC$8:$AC$307&lt;&gt;"")*ISNUMBER(SEARCH(거래처별!$AC$8:$AC$307,$AB1770))),거래처별!$A$8:$A$307),IFERROR(LOOKUP(2,1/((거래처별!$AD$8:$AD$307&lt;&gt;"")*ISNUMBER(SEARCH(거래처별!$AD$8:$AD$307,$AB1770))),거래처별!$A$8:$A$307),IFERROR(LOOKUP(2,1/((거래처별!$AE$8:$AE$307&lt;&gt;"")*ISNUMBER(SEARCH(거래처별!$AE$8:$AE$307,$AB1770))),거래처별!$A$8:$A$307),0))))</f>
        <v/>
      </c>
      <c r="AD1770" s="31">
        <f>IF(AND($Y1770&lt;&gt;"",N($Z1770)&gt;0,$AC1770=0),MAX($AD$7:$AD1769)+1,"")</f>
        <v/>
      </c>
      <c r="AE1770" s="31">
        <f>IF($Y1770="",0,$Y1770)</f>
        <v/>
      </c>
    </row>
    <row r="1771">
      <c r="W1771" s="31">
        <f>IF(OR($B$5="",$C$6="",ROW()&lt;$B$5),"",IF(INDEX($A:$U,ROW(),$C$6)="","",INDEX($A:$U,ROW(),$C$6)))</f>
        <v/>
      </c>
      <c r="X1771" s="32">
        <f>IF($W1771="","",IF(ISNUMBER($W1771),IF($W1771&gt;=10000000,IFERROR(DATE(INT($W1771/10000),MOD(INT($W1771/100),100),MOD($W1771,100)),""),INT($W1771)),IFERROR(DATE(--LEFT(LEFT(SUBSTITUTE(SUBSTITUTE(SUBSTITUTE(SUBSTITUTE(TRIM($W1771),"-",""),".",""),"/","")," ",""),8),4),--MID(LEFT(SUBSTITUTE(SUBSTITUTE(SUBSTITUTE(SUBSTITUTE(TRIM($W1771),"-",""),".",""),"/","")," ",""),8),5,2),--MID(LEFT(SUBSTITUTE(SUBSTITUTE(SUBSTITUTE(SUBSTITUTE(TRIM($W1771),"-",""),".",""),"/","")," ",""),8),7,2)),"")))</f>
        <v/>
      </c>
      <c r="Y1771" s="32">
        <f>IF($X1771="","",INT($X1771))</f>
        <v/>
      </c>
      <c r="Z1771" s="33">
        <f>IF(OR($Y1771="",$D$6=""),"",IF(INDEX($A:$U,ROW(),$D$6)="",0,IF(ISNUMBER(INDEX($A:$U,ROW(),$D$6)),INDEX($A:$U,ROW(),$D$6),IFERROR(--SUBSTITUTE(SUBSTITUTE(TRIM(INDEX($A:$U,ROW(),$D$6)),",",""),"원",""),0))))</f>
        <v/>
      </c>
      <c r="AA1771" s="31">
        <f>IF($Y1771="","",TRIM(INDEX($A:$U,ROW(),$E$6)&amp;IF($F$6="",""," "&amp;INDEX($A:$U,ROW(),$F$6))))</f>
        <v/>
      </c>
      <c r="AB1771" s="31">
        <f>IF($AA1771="","",SUBSTITUTE(SUBSTITUTE(SUBSTITUTE(SUBSTITUTE(SUBSTITUTE(SUBSTITUTE(SUBSTITUTE(SUBSTITUTE(SUBSTITUTE($AA1771," ",""),"　",""),"(주)",""),"（주）",""),"㈜",""),"주식회사",""),"(유)",""),"（유）",""),"유한회사",""))</f>
        <v/>
      </c>
      <c r="AC1771" s="31">
        <f>IF(OR($Y1771="",N($Z1771)&lt;=0,$AB1771=""),0,IFERROR(LOOKUP(2,1/((거래처별!$AC$8:$AC$307&lt;&gt;"")*ISNUMBER(SEARCH(거래처별!$AC$8:$AC$307,$AB1771))),거래처별!$A$8:$A$307),IFERROR(LOOKUP(2,1/((거래처별!$AD$8:$AD$307&lt;&gt;"")*ISNUMBER(SEARCH(거래처별!$AD$8:$AD$307,$AB1771))),거래처별!$A$8:$A$307),IFERROR(LOOKUP(2,1/((거래처별!$AE$8:$AE$307&lt;&gt;"")*ISNUMBER(SEARCH(거래처별!$AE$8:$AE$307,$AB1771))),거래처별!$A$8:$A$307),0))))</f>
        <v/>
      </c>
      <c r="AD1771" s="31">
        <f>IF(AND($Y1771&lt;&gt;"",N($Z1771)&gt;0,$AC1771=0),MAX($AD$7:$AD1770)+1,"")</f>
        <v/>
      </c>
      <c r="AE1771" s="31">
        <f>IF($Y1771="",0,$Y1771)</f>
        <v/>
      </c>
    </row>
    <row r="1772">
      <c r="W1772" s="31">
        <f>IF(OR($B$5="",$C$6="",ROW()&lt;$B$5),"",IF(INDEX($A:$U,ROW(),$C$6)="","",INDEX($A:$U,ROW(),$C$6)))</f>
        <v/>
      </c>
      <c r="X1772" s="32">
        <f>IF($W1772="","",IF(ISNUMBER($W1772),IF($W1772&gt;=10000000,IFERROR(DATE(INT($W1772/10000),MOD(INT($W1772/100),100),MOD($W1772,100)),""),INT($W1772)),IFERROR(DATE(--LEFT(LEFT(SUBSTITUTE(SUBSTITUTE(SUBSTITUTE(SUBSTITUTE(TRIM($W1772),"-",""),".",""),"/","")," ",""),8),4),--MID(LEFT(SUBSTITUTE(SUBSTITUTE(SUBSTITUTE(SUBSTITUTE(TRIM($W1772),"-",""),".",""),"/","")," ",""),8),5,2),--MID(LEFT(SUBSTITUTE(SUBSTITUTE(SUBSTITUTE(SUBSTITUTE(TRIM($W1772),"-",""),".",""),"/","")," ",""),8),7,2)),"")))</f>
        <v/>
      </c>
      <c r="Y1772" s="32">
        <f>IF($X1772="","",INT($X1772))</f>
        <v/>
      </c>
      <c r="Z1772" s="33">
        <f>IF(OR($Y1772="",$D$6=""),"",IF(INDEX($A:$U,ROW(),$D$6)="",0,IF(ISNUMBER(INDEX($A:$U,ROW(),$D$6)),INDEX($A:$U,ROW(),$D$6),IFERROR(--SUBSTITUTE(SUBSTITUTE(TRIM(INDEX($A:$U,ROW(),$D$6)),",",""),"원",""),0))))</f>
        <v/>
      </c>
      <c r="AA1772" s="31">
        <f>IF($Y1772="","",TRIM(INDEX($A:$U,ROW(),$E$6)&amp;IF($F$6="",""," "&amp;INDEX($A:$U,ROW(),$F$6))))</f>
        <v/>
      </c>
      <c r="AB1772" s="31">
        <f>IF($AA1772="","",SUBSTITUTE(SUBSTITUTE(SUBSTITUTE(SUBSTITUTE(SUBSTITUTE(SUBSTITUTE(SUBSTITUTE(SUBSTITUTE(SUBSTITUTE($AA1772," ",""),"　",""),"(주)",""),"（주）",""),"㈜",""),"주식회사",""),"(유)",""),"（유）",""),"유한회사",""))</f>
        <v/>
      </c>
      <c r="AC1772" s="31">
        <f>IF(OR($Y1772="",N($Z1772)&lt;=0,$AB1772=""),0,IFERROR(LOOKUP(2,1/((거래처별!$AC$8:$AC$307&lt;&gt;"")*ISNUMBER(SEARCH(거래처별!$AC$8:$AC$307,$AB1772))),거래처별!$A$8:$A$307),IFERROR(LOOKUP(2,1/((거래처별!$AD$8:$AD$307&lt;&gt;"")*ISNUMBER(SEARCH(거래처별!$AD$8:$AD$307,$AB1772))),거래처별!$A$8:$A$307),IFERROR(LOOKUP(2,1/((거래처별!$AE$8:$AE$307&lt;&gt;"")*ISNUMBER(SEARCH(거래처별!$AE$8:$AE$307,$AB1772))),거래처별!$A$8:$A$307),0))))</f>
        <v/>
      </c>
      <c r="AD1772" s="31">
        <f>IF(AND($Y1772&lt;&gt;"",N($Z1772)&gt;0,$AC1772=0),MAX($AD$7:$AD1771)+1,"")</f>
        <v/>
      </c>
      <c r="AE1772" s="31">
        <f>IF($Y1772="",0,$Y1772)</f>
        <v/>
      </c>
    </row>
    <row r="1773">
      <c r="W1773" s="31">
        <f>IF(OR($B$5="",$C$6="",ROW()&lt;$B$5),"",IF(INDEX($A:$U,ROW(),$C$6)="","",INDEX($A:$U,ROW(),$C$6)))</f>
        <v/>
      </c>
      <c r="X1773" s="32">
        <f>IF($W1773="","",IF(ISNUMBER($W1773),IF($W1773&gt;=10000000,IFERROR(DATE(INT($W1773/10000),MOD(INT($W1773/100),100),MOD($W1773,100)),""),INT($W1773)),IFERROR(DATE(--LEFT(LEFT(SUBSTITUTE(SUBSTITUTE(SUBSTITUTE(SUBSTITUTE(TRIM($W1773),"-",""),".",""),"/","")," ",""),8),4),--MID(LEFT(SUBSTITUTE(SUBSTITUTE(SUBSTITUTE(SUBSTITUTE(TRIM($W1773),"-",""),".",""),"/","")," ",""),8),5,2),--MID(LEFT(SUBSTITUTE(SUBSTITUTE(SUBSTITUTE(SUBSTITUTE(TRIM($W1773),"-",""),".",""),"/","")," ",""),8),7,2)),"")))</f>
        <v/>
      </c>
      <c r="Y1773" s="32">
        <f>IF($X1773="","",INT($X1773))</f>
        <v/>
      </c>
      <c r="Z1773" s="33">
        <f>IF(OR($Y1773="",$D$6=""),"",IF(INDEX($A:$U,ROW(),$D$6)="",0,IF(ISNUMBER(INDEX($A:$U,ROW(),$D$6)),INDEX($A:$U,ROW(),$D$6),IFERROR(--SUBSTITUTE(SUBSTITUTE(TRIM(INDEX($A:$U,ROW(),$D$6)),",",""),"원",""),0))))</f>
        <v/>
      </c>
      <c r="AA1773" s="31">
        <f>IF($Y1773="","",TRIM(INDEX($A:$U,ROW(),$E$6)&amp;IF($F$6="",""," "&amp;INDEX($A:$U,ROW(),$F$6))))</f>
        <v/>
      </c>
      <c r="AB1773" s="31">
        <f>IF($AA1773="","",SUBSTITUTE(SUBSTITUTE(SUBSTITUTE(SUBSTITUTE(SUBSTITUTE(SUBSTITUTE(SUBSTITUTE(SUBSTITUTE(SUBSTITUTE($AA1773," ",""),"　",""),"(주)",""),"（주）",""),"㈜",""),"주식회사",""),"(유)",""),"（유）",""),"유한회사",""))</f>
        <v/>
      </c>
      <c r="AC1773" s="31">
        <f>IF(OR($Y1773="",N($Z1773)&lt;=0,$AB1773=""),0,IFERROR(LOOKUP(2,1/((거래처별!$AC$8:$AC$307&lt;&gt;"")*ISNUMBER(SEARCH(거래처별!$AC$8:$AC$307,$AB1773))),거래처별!$A$8:$A$307),IFERROR(LOOKUP(2,1/((거래처별!$AD$8:$AD$307&lt;&gt;"")*ISNUMBER(SEARCH(거래처별!$AD$8:$AD$307,$AB1773))),거래처별!$A$8:$A$307),IFERROR(LOOKUP(2,1/((거래처별!$AE$8:$AE$307&lt;&gt;"")*ISNUMBER(SEARCH(거래처별!$AE$8:$AE$307,$AB1773))),거래처별!$A$8:$A$307),0))))</f>
        <v/>
      </c>
      <c r="AD1773" s="31">
        <f>IF(AND($Y1773&lt;&gt;"",N($Z1773)&gt;0,$AC1773=0),MAX($AD$7:$AD1772)+1,"")</f>
        <v/>
      </c>
      <c r="AE1773" s="31">
        <f>IF($Y1773="",0,$Y1773)</f>
        <v/>
      </c>
    </row>
    <row r="1774">
      <c r="W1774" s="31">
        <f>IF(OR($B$5="",$C$6="",ROW()&lt;$B$5),"",IF(INDEX($A:$U,ROW(),$C$6)="","",INDEX($A:$U,ROW(),$C$6)))</f>
        <v/>
      </c>
      <c r="X1774" s="32">
        <f>IF($W1774="","",IF(ISNUMBER($W1774),IF($W1774&gt;=10000000,IFERROR(DATE(INT($W1774/10000),MOD(INT($W1774/100),100),MOD($W1774,100)),""),INT($W1774)),IFERROR(DATE(--LEFT(LEFT(SUBSTITUTE(SUBSTITUTE(SUBSTITUTE(SUBSTITUTE(TRIM($W1774),"-",""),".",""),"/","")," ",""),8),4),--MID(LEFT(SUBSTITUTE(SUBSTITUTE(SUBSTITUTE(SUBSTITUTE(TRIM($W1774),"-",""),".",""),"/","")," ",""),8),5,2),--MID(LEFT(SUBSTITUTE(SUBSTITUTE(SUBSTITUTE(SUBSTITUTE(TRIM($W1774),"-",""),".",""),"/","")," ",""),8),7,2)),"")))</f>
        <v/>
      </c>
      <c r="Y1774" s="32">
        <f>IF($X1774="","",INT($X1774))</f>
        <v/>
      </c>
      <c r="Z1774" s="33">
        <f>IF(OR($Y1774="",$D$6=""),"",IF(INDEX($A:$U,ROW(),$D$6)="",0,IF(ISNUMBER(INDEX($A:$U,ROW(),$D$6)),INDEX($A:$U,ROW(),$D$6),IFERROR(--SUBSTITUTE(SUBSTITUTE(TRIM(INDEX($A:$U,ROW(),$D$6)),",",""),"원",""),0))))</f>
        <v/>
      </c>
      <c r="AA1774" s="31">
        <f>IF($Y1774="","",TRIM(INDEX($A:$U,ROW(),$E$6)&amp;IF($F$6="",""," "&amp;INDEX($A:$U,ROW(),$F$6))))</f>
        <v/>
      </c>
      <c r="AB1774" s="31">
        <f>IF($AA1774="","",SUBSTITUTE(SUBSTITUTE(SUBSTITUTE(SUBSTITUTE(SUBSTITUTE(SUBSTITUTE(SUBSTITUTE(SUBSTITUTE(SUBSTITUTE($AA1774," ",""),"　",""),"(주)",""),"（주）",""),"㈜",""),"주식회사",""),"(유)",""),"（유）",""),"유한회사",""))</f>
        <v/>
      </c>
      <c r="AC1774" s="31">
        <f>IF(OR($Y1774="",N($Z1774)&lt;=0,$AB1774=""),0,IFERROR(LOOKUP(2,1/((거래처별!$AC$8:$AC$307&lt;&gt;"")*ISNUMBER(SEARCH(거래처별!$AC$8:$AC$307,$AB1774))),거래처별!$A$8:$A$307),IFERROR(LOOKUP(2,1/((거래처별!$AD$8:$AD$307&lt;&gt;"")*ISNUMBER(SEARCH(거래처별!$AD$8:$AD$307,$AB1774))),거래처별!$A$8:$A$307),IFERROR(LOOKUP(2,1/((거래처별!$AE$8:$AE$307&lt;&gt;"")*ISNUMBER(SEARCH(거래처별!$AE$8:$AE$307,$AB1774))),거래처별!$A$8:$A$307),0))))</f>
        <v/>
      </c>
      <c r="AD1774" s="31">
        <f>IF(AND($Y1774&lt;&gt;"",N($Z1774)&gt;0,$AC1774=0),MAX($AD$7:$AD1773)+1,"")</f>
        <v/>
      </c>
      <c r="AE1774" s="31">
        <f>IF($Y1774="",0,$Y1774)</f>
        <v/>
      </c>
    </row>
    <row r="1775">
      <c r="W1775" s="31">
        <f>IF(OR($B$5="",$C$6="",ROW()&lt;$B$5),"",IF(INDEX($A:$U,ROW(),$C$6)="","",INDEX($A:$U,ROW(),$C$6)))</f>
        <v/>
      </c>
      <c r="X1775" s="32">
        <f>IF($W1775="","",IF(ISNUMBER($W1775),IF($W1775&gt;=10000000,IFERROR(DATE(INT($W1775/10000),MOD(INT($W1775/100),100),MOD($W1775,100)),""),INT($W1775)),IFERROR(DATE(--LEFT(LEFT(SUBSTITUTE(SUBSTITUTE(SUBSTITUTE(SUBSTITUTE(TRIM($W1775),"-",""),".",""),"/","")," ",""),8),4),--MID(LEFT(SUBSTITUTE(SUBSTITUTE(SUBSTITUTE(SUBSTITUTE(TRIM($W1775),"-",""),".",""),"/","")," ",""),8),5,2),--MID(LEFT(SUBSTITUTE(SUBSTITUTE(SUBSTITUTE(SUBSTITUTE(TRIM($W1775),"-",""),".",""),"/","")," ",""),8),7,2)),"")))</f>
        <v/>
      </c>
      <c r="Y1775" s="32">
        <f>IF($X1775="","",INT($X1775))</f>
        <v/>
      </c>
      <c r="Z1775" s="33">
        <f>IF(OR($Y1775="",$D$6=""),"",IF(INDEX($A:$U,ROW(),$D$6)="",0,IF(ISNUMBER(INDEX($A:$U,ROW(),$D$6)),INDEX($A:$U,ROW(),$D$6),IFERROR(--SUBSTITUTE(SUBSTITUTE(TRIM(INDEX($A:$U,ROW(),$D$6)),",",""),"원",""),0))))</f>
        <v/>
      </c>
      <c r="AA1775" s="31">
        <f>IF($Y1775="","",TRIM(INDEX($A:$U,ROW(),$E$6)&amp;IF($F$6="",""," "&amp;INDEX($A:$U,ROW(),$F$6))))</f>
        <v/>
      </c>
      <c r="AB1775" s="31">
        <f>IF($AA1775="","",SUBSTITUTE(SUBSTITUTE(SUBSTITUTE(SUBSTITUTE(SUBSTITUTE(SUBSTITUTE(SUBSTITUTE(SUBSTITUTE(SUBSTITUTE($AA1775," ",""),"　",""),"(주)",""),"（주）",""),"㈜",""),"주식회사",""),"(유)",""),"（유）",""),"유한회사",""))</f>
        <v/>
      </c>
      <c r="AC1775" s="31">
        <f>IF(OR($Y1775="",N($Z1775)&lt;=0,$AB1775=""),0,IFERROR(LOOKUP(2,1/((거래처별!$AC$8:$AC$307&lt;&gt;"")*ISNUMBER(SEARCH(거래처별!$AC$8:$AC$307,$AB1775))),거래처별!$A$8:$A$307),IFERROR(LOOKUP(2,1/((거래처별!$AD$8:$AD$307&lt;&gt;"")*ISNUMBER(SEARCH(거래처별!$AD$8:$AD$307,$AB1775))),거래처별!$A$8:$A$307),IFERROR(LOOKUP(2,1/((거래처별!$AE$8:$AE$307&lt;&gt;"")*ISNUMBER(SEARCH(거래처별!$AE$8:$AE$307,$AB1775))),거래처별!$A$8:$A$307),0))))</f>
        <v/>
      </c>
      <c r="AD1775" s="31">
        <f>IF(AND($Y1775&lt;&gt;"",N($Z1775)&gt;0,$AC1775=0),MAX($AD$7:$AD1774)+1,"")</f>
        <v/>
      </c>
      <c r="AE1775" s="31">
        <f>IF($Y1775="",0,$Y1775)</f>
        <v/>
      </c>
    </row>
    <row r="1776">
      <c r="W1776" s="31">
        <f>IF(OR($B$5="",$C$6="",ROW()&lt;$B$5),"",IF(INDEX($A:$U,ROW(),$C$6)="","",INDEX($A:$U,ROW(),$C$6)))</f>
        <v/>
      </c>
      <c r="X1776" s="32">
        <f>IF($W1776="","",IF(ISNUMBER($W1776),IF($W1776&gt;=10000000,IFERROR(DATE(INT($W1776/10000),MOD(INT($W1776/100),100),MOD($W1776,100)),""),INT($W1776)),IFERROR(DATE(--LEFT(LEFT(SUBSTITUTE(SUBSTITUTE(SUBSTITUTE(SUBSTITUTE(TRIM($W1776),"-",""),".",""),"/","")," ",""),8),4),--MID(LEFT(SUBSTITUTE(SUBSTITUTE(SUBSTITUTE(SUBSTITUTE(TRIM($W1776),"-",""),".",""),"/","")," ",""),8),5,2),--MID(LEFT(SUBSTITUTE(SUBSTITUTE(SUBSTITUTE(SUBSTITUTE(TRIM($W1776),"-",""),".",""),"/","")," ",""),8),7,2)),"")))</f>
        <v/>
      </c>
      <c r="Y1776" s="32">
        <f>IF($X1776="","",INT($X1776))</f>
        <v/>
      </c>
      <c r="Z1776" s="33">
        <f>IF(OR($Y1776="",$D$6=""),"",IF(INDEX($A:$U,ROW(),$D$6)="",0,IF(ISNUMBER(INDEX($A:$U,ROW(),$D$6)),INDEX($A:$U,ROW(),$D$6),IFERROR(--SUBSTITUTE(SUBSTITUTE(TRIM(INDEX($A:$U,ROW(),$D$6)),",",""),"원",""),0))))</f>
        <v/>
      </c>
      <c r="AA1776" s="31">
        <f>IF($Y1776="","",TRIM(INDEX($A:$U,ROW(),$E$6)&amp;IF($F$6="",""," "&amp;INDEX($A:$U,ROW(),$F$6))))</f>
        <v/>
      </c>
      <c r="AB1776" s="31">
        <f>IF($AA1776="","",SUBSTITUTE(SUBSTITUTE(SUBSTITUTE(SUBSTITUTE(SUBSTITUTE(SUBSTITUTE(SUBSTITUTE(SUBSTITUTE(SUBSTITUTE($AA1776," ",""),"　",""),"(주)",""),"（주）",""),"㈜",""),"주식회사",""),"(유)",""),"（유）",""),"유한회사",""))</f>
        <v/>
      </c>
      <c r="AC1776" s="31">
        <f>IF(OR($Y1776="",N($Z1776)&lt;=0,$AB1776=""),0,IFERROR(LOOKUP(2,1/((거래처별!$AC$8:$AC$307&lt;&gt;"")*ISNUMBER(SEARCH(거래처별!$AC$8:$AC$307,$AB1776))),거래처별!$A$8:$A$307),IFERROR(LOOKUP(2,1/((거래처별!$AD$8:$AD$307&lt;&gt;"")*ISNUMBER(SEARCH(거래처별!$AD$8:$AD$307,$AB1776))),거래처별!$A$8:$A$307),IFERROR(LOOKUP(2,1/((거래처별!$AE$8:$AE$307&lt;&gt;"")*ISNUMBER(SEARCH(거래처별!$AE$8:$AE$307,$AB1776))),거래처별!$A$8:$A$307),0))))</f>
        <v/>
      </c>
      <c r="AD1776" s="31">
        <f>IF(AND($Y1776&lt;&gt;"",N($Z1776)&gt;0,$AC1776=0),MAX($AD$7:$AD1775)+1,"")</f>
        <v/>
      </c>
      <c r="AE1776" s="31">
        <f>IF($Y1776="",0,$Y1776)</f>
        <v/>
      </c>
    </row>
    <row r="1777">
      <c r="W1777" s="31">
        <f>IF(OR($B$5="",$C$6="",ROW()&lt;$B$5),"",IF(INDEX($A:$U,ROW(),$C$6)="","",INDEX($A:$U,ROW(),$C$6)))</f>
        <v/>
      </c>
      <c r="X1777" s="32">
        <f>IF($W1777="","",IF(ISNUMBER($W1777),IF($W1777&gt;=10000000,IFERROR(DATE(INT($W1777/10000),MOD(INT($W1777/100),100),MOD($W1777,100)),""),INT($W1777)),IFERROR(DATE(--LEFT(LEFT(SUBSTITUTE(SUBSTITUTE(SUBSTITUTE(SUBSTITUTE(TRIM($W1777),"-",""),".",""),"/","")," ",""),8),4),--MID(LEFT(SUBSTITUTE(SUBSTITUTE(SUBSTITUTE(SUBSTITUTE(TRIM($W1777),"-",""),".",""),"/","")," ",""),8),5,2),--MID(LEFT(SUBSTITUTE(SUBSTITUTE(SUBSTITUTE(SUBSTITUTE(TRIM($W1777),"-",""),".",""),"/","")," ",""),8),7,2)),"")))</f>
        <v/>
      </c>
      <c r="Y1777" s="32">
        <f>IF($X1777="","",INT($X1777))</f>
        <v/>
      </c>
      <c r="Z1777" s="33">
        <f>IF(OR($Y1777="",$D$6=""),"",IF(INDEX($A:$U,ROW(),$D$6)="",0,IF(ISNUMBER(INDEX($A:$U,ROW(),$D$6)),INDEX($A:$U,ROW(),$D$6),IFERROR(--SUBSTITUTE(SUBSTITUTE(TRIM(INDEX($A:$U,ROW(),$D$6)),",",""),"원",""),0))))</f>
        <v/>
      </c>
      <c r="AA1777" s="31">
        <f>IF($Y1777="","",TRIM(INDEX($A:$U,ROW(),$E$6)&amp;IF($F$6="",""," "&amp;INDEX($A:$U,ROW(),$F$6))))</f>
        <v/>
      </c>
      <c r="AB1777" s="31">
        <f>IF($AA1777="","",SUBSTITUTE(SUBSTITUTE(SUBSTITUTE(SUBSTITUTE(SUBSTITUTE(SUBSTITUTE(SUBSTITUTE(SUBSTITUTE(SUBSTITUTE($AA1777," ",""),"　",""),"(주)",""),"（주）",""),"㈜",""),"주식회사",""),"(유)",""),"（유）",""),"유한회사",""))</f>
        <v/>
      </c>
      <c r="AC1777" s="31">
        <f>IF(OR($Y1777="",N($Z1777)&lt;=0,$AB1777=""),0,IFERROR(LOOKUP(2,1/((거래처별!$AC$8:$AC$307&lt;&gt;"")*ISNUMBER(SEARCH(거래처별!$AC$8:$AC$307,$AB1777))),거래처별!$A$8:$A$307),IFERROR(LOOKUP(2,1/((거래처별!$AD$8:$AD$307&lt;&gt;"")*ISNUMBER(SEARCH(거래처별!$AD$8:$AD$307,$AB1777))),거래처별!$A$8:$A$307),IFERROR(LOOKUP(2,1/((거래처별!$AE$8:$AE$307&lt;&gt;"")*ISNUMBER(SEARCH(거래처별!$AE$8:$AE$307,$AB1777))),거래처별!$A$8:$A$307),0))))</f>
        <v/>
      </c>
      <c r="AD1777" s="31">
        <f>IF(AND($Y1777&lt;&gt;"",N($Z1777)&gt;0,$AC1777=0),MAX($AD$7:$AD1776)+1,"")</f>
        <v/>
      </c>
      <c r="AE1777" s="31">
        <f>IF($Y1777="",0,$Y1777)</f>
        <v/>
      </c>
    </row>
    <row r="1778">
      <c r="W1778" s="31">
        <f>IF(OR($B$5="",$C$6="",ROW()&lt;$B$5),"",IF(INDEX($A:$U,ROW(),$C$6)="","",INDEX($A:$U,ROW(),$C$6)))</f>
        <v/>
      </c>
      <c r="X1778" s="32">
        <f>IF($W1778="","",IF(ISNUMBER($W1778),IF($W1778&gt;=10000000,IFERROR(DATE(INT($W1778/10000),MOD(INT($W1778/100),100),MOD($W1778,100)),""),INT($W1778)),IFERROR(DATE(--LEFT(LEFT(SUBSTITUTE(SUBSTITUTE(SUBSTITUTE(SUBSTITUTE(TRIM($W1778),"-",""),".",""),"/","")," ",""),8),4),--MID(LEFT(SUBSTITUTE(SUBSTITUTE(SUBSTITUTE(SUBSTITUTE(TRIM($W1778),"-",""),".",""),"/","")," ",""),8),5,2),--MID(LEFT(SUBSTITUTE(SUBSTITUTE(SUBSTITUTE(SUBSTITUTE(TRIM($W1778),"-",""),".",""),"/","")," ",""),8),7,2)),"")))</f>
        <v/>
      </c>
      <c r="Y1778" s="32">
        <f>IF($X1778="","",INT($X1778))</f>
        <v/>
      </c>
      <c r="Z1778" s="33">
        <f>IF(OR($Y1778="",$D$6=""),"",IF(INDEX($A:$U,ROW(),$D$6)="",0,IF(ISNUMBER(INDEX($A:$U,ROW(),$D$6)),INDEX($A:$U,ROW(),$D$6),IFERROR(--SUBSTITUTE(SUBSTITUTE(TRIM(INDEX($A:$U,ROW(),$D$6)),",",""),"원",""),0))))</f>
        <v/>
      </c>
      <c r="AA1778" s="31">
        <f>IF($Y1778="","",TRIM(INDEX($A:$U,ROW(),$E$6)&amp;IF($F$6="",""," "&amp;INDEX($A:$U,ROW(),$F$6))))</f>
        <v/>
      </c>
      <c r="AB1778" s="31">
        <f>IF($AA1778="","",SUBSTITUTE(SUBSTITUTE(SUBSTITUTE(SUBSTITUTE(SUBSTITUTE(SUBSTITUTE(SUBSTITUTE(SUBSTITUTE(SUBSTITUTE($AA1778," ",""),"　",""),"(주)",""),"（주）",""),"㈜",""),"주식회사",""),"(유)",""),"（유）",""),"유한회사",""))</f>
        <v/>
      </c>
      <c r="AC1778" s="31">
        <f>IF(OR($Y1778="",N($Z1778)&lt;=0,$AB1778=""),0,IFERROR(LOOKUP(2,1/((거래처별!$AC$8:$AC$307&lt;&gt;"")*ISNUMBER(SEARCH(거래처별!$AC$8:$AC$307,$AB1778))),거래처별!$A$8:$A$307),IFERROR(LOOKUP(2,1/((거래처별!$AD$8:$AD$307&lt;&gt;"")*ISNUMBER(SEARCH(거래처별!$AD$8:$AD$307,$AB1778))),거래처별!$A$8:$A$307),IFERROR(LOOKUP(2,1/((거래처별!$AE$8:$AE$307&lt;&gt;"")*ISNUMBER(SEARCH(거래처별!$AE$8:$AE$307,$AB1778))),거래처별!$A$8:$A$307),0))))</f>
        <v/>
      </c>
      <c r="AD1778" s="31">
        <f>IF(AND($Y1778&lt;&gt;"",N($Z1778)&gt;0,$AC1778=0),MAX($AD$7:$AD1777)+1,"")</f>
        <v/>
      </c>
      <c r="AE1778" s="31">
        <f>IF($Y1778="",0,$Y1778)</f>
        <v/>
      </c>
    </row>
    <row r="1779">
      <c r="W1779" s="31">
        <f>IF(OR($B$5="",$C$6="",ROW()&lt;$B$5),"",IF(INDEX($A:$U,ROW(),$C$6)="","",INDEX($A:$U,ROW(),$C$6)))</f>
        <v/>
      </c>
      <c r="X1779" s="32">
        <f>IF($W1779="","",IF(ISNUMBER($W1779),IF($W1779&gt;=10000000,IFERROR(DATE(INT($W1779/10000),MOD(INT($W1779/100),100),MOD($W1779,100)),""),INT($W1779)),IFERROR(DATE(--LEFT(LEFT(SUBSTITUTE(SUBSTITUTE(SUBSTITUTE(SUBSTITUTE(TRIM($W1779),"-",""),".",""),"/","")," ",""),8),4),--MID(LEFT(SUBSTITUTE(SUBSTITUTE(SUBSTITUTE(SUBSTITUTE(TRIM($W1779),"-",""),".",""),"/","")," ",""),8),5,2),--MID(LEFT(SUBSTITUTE(SUBSTITUTE(SUBSTITUTE(SUBSTITUTE(TRIM($W1779),"-",""),".",""),"/","")," ",""),8),7,2)),"")))</f>
        <v/>
      </c>
      <c r="Y1779" s="32">
        <f>IF($X1779="","",INT($X1779))</f>
        <v/>
      </c>
      <c r="Z1779" s="33">
        <f>IF(OR($Y1779="",$D$6=""),"",IF(INDEX($A:$U,ROW(),$D$6)="",0,IF(ISNUMBER(INDEX($A:$U,ROW(),$D$6)),INDEX($A:$U,ROW(),$D$6),IFERROR(--SUBSTITUTE(SUBSTITUTE(TRIM(INDEX($A:$U,ROW(),$D$6)),",",""),"원",""),0))))</f>
        <v/>
      </c>
      <c r="AA1779" s="31">
        <f>IF($Y1779="","",TRIM(INDEX($A:$U,ROW(),$E$6)&amp;IF($F$6="",""," "&amp;INDEX($A:$U,ROW(),$F$6))))</f>
        <v/>
      </c>
      <c r="AB1779" s="31">
        <f>IF($AA1779="","",SUBSTITUTE(SUBSTITUTE(SUBSTITUTE(SUBSTITUTE(SUBSTITUTE(SUBSTITUTE(SUBSTITUTE(SUBSTITUTE(SUBSTITUTE($AA1779," ",""),"　",""),"(주)",""),"（주）",""),"㈜",""),"주식회사",""),"(유)",""),"（유）",""),"유한회사",""))</f>
        <v/>
      </c>
      <c r="AC1779" s="31">
        <f>IF(OR($Y1779="",N($Z1779)&lt;=0,$AB1779=""),0,IFERROR(LOOKUP(2,1/((거래처별!$AC$8:$AC$307&lt;&gt;"")*ISNUMBER(SEARCH(거래처별!$AC$8:$AC$307,$AB1779))),거래처별!$A$8:$A$307),IFERROR(LOOKUP(2,1/((거래처별!$AD$8:$AD$307&lt;&gt;"")*ISNUMBER(SEARCH(거래처별!$AD$8:$AD$307,$AB1779))),거래처별!$A$8:$A$307),IFERROR(LOOKUP(2,1/((거래처별!$AE$8:$AE$307&lt;&gt;"")*ISNUMBER(SEARCH(거래처별!$AE$8:$AE$307,$AB1779))),거래처별!$A$8:$A$307),0))))</f>
        <v/>
      </c>
      <c r="AD1779" s="31">
        <f>IF(AND($Y1779&lt;&gt;"",N($Z1779)&gt;0,$AC1779=0),MAX($AD$7:$AD1778)+1,"")</f>
        <v/>
      </c>
      <c r="AE1779" s="31">
        <f>IF($Y1779="",0,$Y1779)</f>
        <v/>
      </c>
    </row>
    <row r="1780">
      <c r="W1780" s="31">
        <f>IF(OR($B$5="",$C$6="",ROW()&lt;$B$5),"",IF(INDEX($A:$U,ROW(),$C$6)="","",INDEX($A:$U,ROW(),$C$6)))</f>
        <v/>
      </c>
      <c r="X1780" s="32">
        <f>IF($W1780="","",IF(ISNUMBER($W1780),IF($W1780&gt;=10000000,IFERROR(DATE(INT($W1780/10000),MOD(INT($W1780/100),100),MOD($W1780,100)),""),INT($W1780)),IFERROR(DATE(--LEFT(LEFT(SUBSTITUTE(SUBSTITUTE(SUBSTITUTE(SUBSTITUTE(TRIM($W1780),"-",""),".",""),"/","")," ",""),8),4),--MID(LEFT(SUBSTITUTE(SUBSTITUTE(SUBSTITUTE(SUBSTITUTE(TRIM($W1780),"-",""),".",""),"/","")," ",""),8),5,2),--MID(LEFT(SUBSTITUTE(SUBSTITUTE(SUBSTITUTE(SUBSTITUTE(TRIM($W1780),"-",""),".",""),"/","")," ",""),8),7,2)),"")))</f>
        <v/>
      </c>
      <c r="Y1780" s="32">
        <f>IF($X1780="","",INT($X1780))</f>
        <v/>
      </c>
      <c r="Z1780" s="33">
        <f>IF(OR($Y1780="",$D$6=""),"",IF(INDEX($A:$U,ROW(),$D$6)="",0,IF(ISNUMBER(INDEX($A:$U,ROW(),$D$6)),INDEX($A:$U,ROW(),$D$6),IFERROR(--SUBSTITUTE(SUBSTITUTE(TRIM(INDEX($A:$U,ROW(),$D$6)),",",""),"원",""),0))))</f>
        <v/>
      </c>
      <c r="AA1780" s="31">
        <f>IF($Y1780="","",TRIM(INDEX($A:$U,ROW(),$E$6)&amp;IF($F$6="",""," "&amp;INDEX($A:$U,ROW(),$F$6))))</f>
        <v/>
      </c>
      <c r="AB1780" s="31">
        <f>IF($AA1780="","",SUBSTITUTE(SUBSTITUTE(SUBSTITUTE(SUBSTITUTE(SUBSTITUTE(SUBSTITUTE(SUBSTITUTE(SUBSTITUTE(SUBSTITUTE($AA1780," ",""),"　",""),"(주)",""),"（주）",""),"㈜",""),"주식회사",""),"(유)",""),"（유）",""),"유한회사",""))</f>
        <v/>
      </c>
      <c r="AC1780" s="31">
        <f>IF(OR($Y1780="",N($Z1780)&lt;=0,$AB1780=""),0,IFERROR(LOOKUP(2,1/((거래처별!$AC$8:$AC$307&lt;&gt;"")*ISNUMBER(SEARCH(거래처별!$AC$8:$AC$307,$AB1780))),거래처별!$A$8:$A$307),IFERROR(LOOKUP(2,1/((거래처별!$AD$8:$AD$307&lt;&gt;"")*ISNUMBER(SEARCH(거래처별!$AD$8:$AD$307,$AB1780))),거래처별!$A$8:$A$307),IFERROR(LOOKUP(2,1/((거래처별!$AE$8:$AE$307&lt;&gt;"")*ISNUMBER(SEARCH(거래처별!$AE$8:$AE$307,$AB1780))),거래처별!$A$8:$A$307),0))))</f>
        <v/>
      </c>
      <c r="AD1780" s="31">
        <f>IF(AND($Y1780&lt;&gt;"",N($Z1780)&gt;0,$AC1780=0),MAX($AD$7:$AD1779)+1,"")</f>
        <v/>
      </c>
      <c r="AE1780" s="31">
        <f>IF($Y1780="",0,$Y1780)</f>
        <v/>
      </c>
    </row>
    <row r="1781">
      <c r="W1781" s="31">
        <f>IF(OR($B$5="",$C$6="",ROW()&lt;$B$5),"",IF(INDEX($A:$U,ROW(),$C$6)="","",INDEX($A:$U,ROW(),$C$6)))</f>
        <v/>
      </c>
      <c r="X1781" s="32">
        <f>IF($W1781="","",IF(ISNUMBER($W1781),IF($W1781&gt;=10000000,IFERROR(DATE(INT($W1781/10000),MOD(INT($W1781/100),100),MOD($W1781,100)),""),INT($W1781)),IFERROR(DATE(--LEFT(LEFT(SUBSTITUTE(SUBSTITUTE(SUBSTITUTE(SUBSTITUTE(TRIM($W1781),"-",""),".",""),"/","")," ",""),8),4),--MID(LEFT(SUBSTITUTE(SUBSTITUTE(SUBSTITUTE(SUBSTITUTE(TRIM($W1781),"-",""),".",""),"/","")," ",""),8),5,2),--MID(LEFT(SUBSTITUTE(SUBSTITUTE(SUBSTITUTE(SUBSTITUTE(TRIM($W1781),"-",""),".",""),"/","")," ",""),8),7,2)),"")))</f>
        <v/>
      </c>
      <c r="Y1781" s="32">
        <f>IF($X1781="","",INT($X1781))</f>
        <v/>
      </c>
      <c r="Z1781" s="33">
        <f>IF(OR($Y1781="",$D$6=""),"",IF(INDEX($A:$U,ROW(),$D$6)="",0,IF(ISNUMBER(INDEX($A:$U,ROW(),$D$6)),INDEX($A:$U,ROW(),$D$6),IFERROR(--SUBSTITUTE(SUBSTITUTE(TRIM(INDEX($A:$U,ROW(),$D$6)),",",""),"원",""),0))))</f>
        <v/>
      </c>
      <c r="AA1781" s="31">
        <f>IF($Y1781="","",TRIM(INDEX($A:$U,ROW(),$E$6)&amp;IF($F$6="",""," "&amp;INDEX($A:$U,ROW(),$F$6))))</f>
        <v/>
      </c>
      <c r="AB1781" s="31">
        <f>IF($AA1781="","",SUBSTITUTE(SUBSTITUTE(SUBSTITUTE(SUBSTITUTE(SUBSTITUTE(SUBSTITUTE(SUBSTITUTE(SUBSTITUTE(SUBSTITUTE($AA1781," ",""),"　",""),"(주)",""),"（주）",""),"㈜",""),"주식회사",""),"(유)",""),"（유）",""),"유한회사",""))</f>
        <v/>
      </c>
      <c r="AC1781" s="31">
        <f>IF(OR($Y1781="",N($Z1781)&lt;=0,$AB1781=""),0,IFERROR(LOOKUP(2,1/((거래처별!$AC$8:$AC$307&lt;&gt;"")*ISNUMBER(SEARCH(거래처별!$AC$8:$AC$307,$AB1781))),거래처별!$A$8:$A$307),IFERROR(LOOKUP(2,1/((거래처별!$AD$8:$AD$307&lt;&gt;"")*ISNUMBER(SEARCH(거래처별!$AD$8:$AD$307,$AB1781))),거래처별!$A$8:$A$307),IFERROR(LOOKUP(2,1/((거래처별!$AE$8:$AE$307&lt;&gt;"")*ISNUMBER(SEARCH(거래처별!$AE$8:$AE$307,$AB1781))),거래처별!$A$8:$A$307),0))))</f>
        <v/>
      </c>
      <c r="AD1781" s="31">
        <f>IF(AND($Y1781&lt;&gt;"",N($Z1781)&gt;0,$AC1781=0),MAX($AD$7:$AD1780)+1,"")</f>
        <v/>
      </c>
      <c r="AE1781" s="31">
        <f>IF($Y1781="",0,$Y1781)</f>
        <v/>
      </c>
    </row>
    <row r="1782">
      <c r="W1782" s="31">
        <f>IF(OR($B$5="",$C$6="",ROW()&lt;$B$5),"",IF(INDEX($A:$U,ROW(),$C$6)="","",INDEX($A:$U,ROW(),$C$6)))</f>
        <v/>
      </c>
      <c r="X1782" s="32">
        <f>IF($W1782="","",IF(ISNUMBER($W1782),IF($W1782&gt;=10000000,IFERROR(DATE(INT($W1782/10000),MOD(INT($W1782/100),100),MOD($W1782,100)),""),INT($W1782)),IFERROR(DATE(--LEFT(LEFT(SUBSTITUTE(SUBSTITUTE(SUBSTITUTE(SUBSTITUTE(TRIM($W1782),"-",""),".",""),"/","")," ",""),8),4),--MID(LEFT(SUBSTITUTE(SUBSTITUTE(SUBSTITUTE(SUBSTITUTE(TRIM($W1782),"-",""),".",""),"/","")," ",""),8),5,2),--MID(LEFT(SUBSTITUTE(SUBSTITUTE(SUBSTITUTE(SUBSTITUTE(TRIM($W1782),"-",""),".",""),"/","")," ",""),8),7,2)),"")))</f>
        <v/>
      </c>
      <c r="Y1782" s="32">
        <f>IF($X1782="","",INT($X1782))</f>
        <v/>
      </c>
      <c r="Z1782" s="33">
        <f>IF(OR($Y1782="",$D$6=""),"",IF(INDEX($A:$U,ROW(),$D$6)="",0,IF(ISNUMBER(INDEX($A:$U,ROW(),$D$6)),INDEX($A:$U,ROW(),$D$6),IFERROR(--SUBSTITUTE(SUBSTITUTE(TRIM(INDEX($A:$U,ROW(),$D$6)),",",""),"원",""),0))))</f>
        <v/>
      </c>
      <c r="AA1782" s="31">
        <f>IF($Y1782="","",TRIM(INDEX($A:$U,ROW(),$E$6)&amp;IF($F$6="",""," "&amp;INDEX($A:$U,ROW(),$F$6))))</f>
        <v/>
      </c>
      <c r="AB1782" s="31">
        <f>IF($AA1782="","",SUBSTITUTE(SUBSTITUTE(SUBSTITUTE(SUBSTITUTE(SUBSTITUTE(SUBSTITUTE(SUBSTITUTE(SUBSTITUTE(SUBSTITUTE($AA1782," ",""),"　",""),"(주)",""),"（주）",""),"㈜",""),"주식회사",""),"(유)",""),"（유）",""),"유한회사",""))</f>
        <v/>
      </c>
      <c r="AC1782" s="31">
        <f>IF(OR($Y1782="",N($Z1782)&lt;=0,$AB1782=""),0,IFERROR(LOOKUP(2,1/((거래처별!$AC$8:$AC$307&lt;&gt;"")*ISNUMBER(SEARCH(거래처별!$AC$8:$AC$307,$AB1782))),거래처별!$A$8:$A$307),IFERROR(LOOKUP(2,1/((거래처별!$AD$8:$AD$307&lt;&gt;"")*ISNUMBER(SEARCH(거래처별!$AD$8:$AD$307,$AB1782))),거래처별!$A$8:$A$307),IFERROR(LOOKUP(2,1/((거래처별!$AE$8:$AE$307&lt;&gt;"")*ISNUMBER(SEARCH(거래처별!$AE$8:$AE$307,$AB1782))),거래처별!$A$8:$A$307),0))))</f>
        <v/>
      </c>
      <c r="AD1782" s="31">
        <f>IF(AND($Y1782&lt;&gt;"",N($Z1782)&gt;0,$AC1782=0),MAX($AD$7:$AD1781)+1,"")</f>
        <v/>
      </c>
      <c r="AE1782" s="31">
        <f>IF($Y1782="",0,$Y1782)</f>
        <v/>
      </c>
    </row>
    <row r="1783">
      <c r="W1783" s="31">
        <f>IF(OR($B$5="",$C$6="",ROW()&lt;$B$5),"",IF(INDEX($A:$U,ROW(),$C$6)="","",INDEX($A:$U,ROW(),$C$6)))</f>
        <v/>
      </c>
      <c r="X1783" s="32">
        <f>IF($W1783="","",IF(ISNUMBER($W1783),IF($W1783&gt;=10000000,IFERROR(DATE(INT($W1783/10000),MOD(INT($W1783/100),100),MOD($W1783,100)),""),INT($W1783)),IFERROR(DATE(--LEFT(LEFT(SUBSTITUTE(SUBSTITUTE(SUBSTITUTE(SUBSTITUTE(TRIM($W1783),"-",""),".",""),"/","")," ",""),8),4),--MID(LEFT(SUBSTITUTE(SUBSTITUTE(SUBSTITUTE(SUBSTITUTE(TRIM($W1783),"-",""),".",""),"/","")," ",""),8),5,2),--MID(LEFT(SUBSTITUTE(SUBSTITUTE(SUBSTITUTE(SUBSTITUTE(TRIM($W1783),"-",""),".",""),"/","")," ",""),8),7,2)),"")))</f>
        <v/>
      </c>
      <c r="Y1783" s="32">
        <f>IF($X1783="","",INT($X1783))</f>
        <v/>
      </c>
      <c r="Z1783" s="33">
        <f>IF(OR($Y1783="",$D$6=""),"",IF(INDEX($A:$U,ROW(),$D$6)="",0,IF(ISNUMBER(INDEX($A:$U,ROW(),$D$6)),INDEX($A:$U,ROW(),$D$6),IFERROR(--SUBSTITUTE(SUBSTITUTE(TRIM(INDEX($A:$U,ROW(),$D$6)),",",""),"원",""),0))))</f>
        <v/>
      </c>
      <c r="AA1783" s="31">
        <f>IF($Y1783="","",TRIM(INDEX($A:$U,ROW(),$E$6)&amp;IF($F$6="",""," "&amp;INDEX($A:$U,ROW(),$F$6))))</f>
        <v/>
      </c>
      <c r="AB1783" s="31">
        <f>IF($AA1783="","",SUBSTITUTE(SUBSTITUTE(SUBSTITUTE(SUBSTITUTE(SUBSTITUTE(SUBSTITUTE(SUBSTITUTE(SUBSTITUTE(SUBSTITUTE($AA1783," ",""),"　",""),"(주)",""),"（주）",""),"㈜",""),"주식회사",""),"(유)",""),"（유）",""),"유한회사",""))</f>
        <v/>
      </c>
      <c r="AC1783" s="31">
        <f>IF(OR($Y1783="",N($Z1783)&lt;=0,$AB1783=""),0,IFERROR(LOOKUP(2,1/((거래처별!$AC$8:$AC$307&lt;&gt;"")*ISNUMBER(SEARCH(거래처별!$AC$8:$AC$307,$AB1783))),거래처별!$A$8:$A$307),IFERROR(LOOKUP(2,1/((거래처별!$AD$8:$AD$307&lt;&gt;"")*ISNUMBER(SEARCH(거래처별!$AD$8:$AD$307,$AB1783))),거래처별!$A$8:$A$307),IFERROR(LOOKUP(2,1/((거래처별!$AE$8:$AE$307&lt;&gt;"")*ISNUMBER(SEARCH(거래처별!$AE$8:$AE$307,$AB1783))),거래처별!$A$8:$A$307),0))))</f>
        <v/>
      </c>
      <c r="AD1783" s="31">
        <f>IF(AND($Y1783&lt;&gt;"",N($Z1783)&gt;0,$AC1783=0),MAX($AD$7:$AD1782)+1,"")</f>
        <v/>
      </c>
      <c r="AE1783" s="31">
        <f>IF($Y1783="",0,$Y1783)</f>
        <v/>
      </c>
    </row>
    <row r="1784">
      <c r="W1784" s="31">
        <f>IF(OR($B$5="",$C$6="",ROW()&lt;$B$5),"",IF(INDEX($A:$U,ROW(),$C$6)="","",INDEX($A:$U,ROW(),$C$6)))</f>
        <v/>
      </c>
      <c r="X1784" s="32">
        <f>IF($W1784="","",IF(ISNUMBER($W1784),IF($W1784&gt;=10000000,IFERROR(DATE(INT($W1784/10000),MOD(INT($W1784/100),100),MOD($W1784,100)),""),INT($W1784)),IFERROR(DATE(--LEFT(LEFT(SUBSTITUTE(SUBSTITUTE(SUBSTITUTE(SUBSTITUTE(TRIM($W1784),"-",""),".",""),"/","")," ",""),8),4),--MID(LEFT(SUBSTITUTE(SUBSTITUTE(SUBSTITUTE(SUBSTITUTE(TRIM($W1784),"-",""),".",""),"/","")," ",""),8),5,2),--MID(LEFT(SUBSTITUTE(SUBSTITUTE(SUBSTITUTE(SUBSTITUTE(TRIM($W1784),"-",""),".",""),"/","")," ",""),8),7,2)),"")))</f>
        <v/>
      </c>
      <c r="Y1784" s="32">
        <f>IF($X1784="","",INT($X1784))</f>
        <v/>
      </c>
      <c r="Z1784" s="33">
        <f>IF(OR($Y1784="",$D$6=""),"",IF(INDEX($A:$U,ROW(),$D$6)="",0,IF(ISNUMBER(INDEX($A:$U,ROW(),$D$6)),INDEX($A:$U,ROW(),$D$6),IFERROR(--SUBSTITUTE(SUBSTITUTE(TRIM(INDEX($A:$U,ROW(),$D$6)),",",""),"원",""),0))))</f>
        <v/>
      </c>
      <c r="AA1784" s="31">
        <f>IF($Y1784="","",TRIM(INDEX($A:$U,ROW(),$E$6)&amp;IF($F$6="",""," "&amp;INDEX($A:$U,ROW(),$F$6))))</f>
        <v/>
      </c>
      <c r="AB1784" s="31">
        <f>IF($AA1784="","",SUBSTITUTE(SUBSTITUTE(SUBSTITUTE(SUBSTITUTE(SUBSTITUTE(SUBSTITUTE(SUBSTITUTE(SUBSTITUTE(SUBSTITUTE($AA1784," ",""),"　",""),"(주)",""),"（주）",""),"㈜",""),"주식회사",""),"(유)",""),"（유）",""),"유한회사",""))</f>
        <v/>
      </c>
      <c r="AC1784" s="31">
        <f>IF(OR($Y1784="",N($Z1784)&lt;=0,$AB1784=""),0,IFERROR(LOOKUP(2,1/((거래처별!$AC$8:$AC$307&lt;&gt;"")*ISNUMBER(SEARCH(거래처별!$AC$8:$AC$307,$AB1784))),거래처별!$A$8:$A$307),IFERROR(LOOKUP(2,1/((거래처별!$AD$8:$AD$307&lt;&gt;"")*ISNUMBER(SEARCH(거래처별!$AD$8:$AD$307,$AB1784))),거래처별!$A$8:$A$307),IFERROR(LOOKUP(2,1/((거래처별!$AE$8:$AE$307&lt;&gt;"")*ISNUMBER(SEARCH(거래처별!$AE$8:$AE$307,$AB1784))),거래처별!$A$8:$A$307),0))))</f>
        <v/>
      </c>
      <c r="AD1784" s="31">
        <f>IF(AND($Y1784&lt;&gt;"",N($Z1784)&gt;0,$AC1784=0),MAX($AD$7:$AD1783)+1,"")</f>
        <v/>
      </c>
      <c r="AE1784" s="31">
        <f>IF($Y1784="",0,$Y1784)</f>
        <v/>
      </c>
    </row>
    <row r="1785">
      <c r="W1785" s="31">
        <f>IF(OR($B$5="",$C$6="",ROW()&lt;$B$5),"",IF(INDEX($A:$U,ROW(),$C$6)="","",INDEX($A:$U,ROW(),$C$6)))</f>
        <v/>
      </c>
      <c r="X1785" s="32">
        <f>IF($W1785="","",IF(ISNUMBER($W1785),IF($W1785&gt;=10000000,IFERROR(DATE(INT($W1785/10000),MOD(INT($W1785/100),100),MOD($W1785,100)),""),INT($W1785)),IFERROR(DATE(--LEFT(LEFT(SUBSTITUTE(SUBSTITUTE(SUBSTITUTE(SUBSTITUTE(TRIM($W1785),"-",""),".",""),"/","")," ",""),8),4),--MID(LEFT(SUBSTITUTE(SUBSTITUTE(SUBSTITUTE(SUBSTITUTE(TRIM($W1785),"-",""),".",""),"/","")," ",""),8),5,2),--MID(LEFT(SUBSTITUTE(SUBSTITUTE(SUBSTITUTE(SUBSTITUTE(TRIM($W1785),"-",""),".",""),"/","")," ",""),8),7,2)),"")))</f>
        <v/>
      </c>
      <c r="Y1785" s="32">
        <f>IF($X1785="","",INT($X1785))</f>
        <v/>
      </c>
      <c r="Z1785" s="33">
        <f>IF(OR($Y1785="",$D$6=""),"",IF(INDEX($A:$U,ROW(),$D$6)="",0,IF(ISNUMBER(INDEX($A:$U,ROW(),$D$6)),INDEX($A:$U,ROW(),$D$6),IFERROR(--SUBSTITUTE(SUBSTITUTE(TRIM(INDEX($A:$U,ROW(),$D$6)),",",""),"원",""),0))))</f>
        <v/>
      </c>
      <c r="AA1785" s="31">
        <f>IF($Y1785="","",TRIM(INDEX($A:$U,ROW(),$E$6)&amp;IF($F$6="",""," "&amp;INDEX($A:$U,ROW(),$F$6))))</f>
        <v/>
      </c>
      <c r="AB1785" s="31">
        <f>IF($AA1785="","",SUBSTITUTE(SUBSTITUTE(SUBSTITUTE(SUBSTITUTE(SUBSTITUTE(SUBSTITUTE(SUBSTITUTE(SUBSTITUTE(SUBSTITUTE($AA1785," ",""),"　",""),"(주)",""),"（주）",""),"㈜",""),"주식회사",""),"(유)",""),"（유）",""),"유한회사",""))</f>
        <v/>
      </c>
      <c r="AC1785" s="31">
        <f>IF(OR($Y1785="",N($Z1785)&lt;=0,$AB1785=""),0,IFERROR(LOOKUP(2,1/((거래처별!$AC$8:$AC$307&lt;&gt;"")*ISNUMBER(SEARCH(거래처별!$AC$8:$AC$307,$AB1785))),거래처별!$A$8:$A$307),IFERROR(LOOKUP(2,1/((거래처별!$AD$8:$AD$307&lt;&gt;"")*ISNUMBER(SEARCH(거래처별!$AD$8:$AD$307,$AB1785))),거래처별!$A$8:$A$307),IFERROR(LOOKUP(2,1/((거래처별!$AE$8:$AE$307&lt;&gt;"")*ISNUMBER(SEARCH(거래처별!$AE$8:$AE$307,$AB1785))),거래처별!$A$8:$A$307),0))))</f>
        <v/>
      </c>
      <c r="AD1785" s="31">
        <f>IF(AND($Y1785&lt;&gt;"",N($Z1785)&gt;0,$AC1785=0),MAX($AD$7:$AD1784)+1,"")</f>
        <v/>
      </c>
      <c r="AE1785" s="31">
        <f>IF($Y1785="",0,$Y1785)</f>
        <v/>
      </c>
    </row>
    <row r="1786">
      <c r="W1786" s="31">
        <f>IF(OR($B$5="",$C$6="",ROW()&lt;$B$5),"",IF(INDEX($A:$U,ROW(),$C$6)="","",INDEX($A:$U,ROW(),$C$6)))</f>
        <v/>
      </c>
      <c r="X1786" s="32">
        <f>IF($W1786="","",IF(ISNUMBER($W1786),IF($W1786&gt;=10000000,IFERROR(DATE(INT($W1786/10000),MOD(INT($W1786/100),100),MOD($W1786,100)),""),INT($W1786)),IFERROR(DATE(--LEFT(LEFT(SUBSTITUTE(SUBSTITUTE(SUBSTITUTE(SUBSTITUTE(TRIM($W1786),"-",""),".",""),"/","")," ",""),8),4),--MID(LEFT(SUBSTITUTE(SUBSTITUTE(SUBSTITUTE(SUBSTITUTE(TRIM($W1786),"-",""),".",""),"/","")," ",""),8),5,2),--MID(LEFT(SUBSTITUTE(SUBSTITUTE(SUBSTITUTE(SUBSTITUTE(TRIM($W1786),"-",""),".",""),"/","")," ",""),8),7,2)),"")))</f>
        <v/>
      </c>
      <c r="Y1786" s="32">
        <f>IF($X1786="","",INT($X1786))</f>
        <v/>
      </c>
      <c r="Z1786" s="33">
        <f>IF(OR($Y1786="",$D$6=""),"",IF(INDEX($A:$U,ROW(),$D$6)="",0,IF(ISNUMBER(INDEX($A:$U,ROW(),$D$6)),INDEX($A:$U,ROW(),$D$6),IFERROR(--SUBSTITUTE(SUBSTITUTE(TRIM(INDEX($A:$U,ROW(),$D$6)),",",""),"원",""),0))))</f>
        <v/>
      </c>
      <c r="AA1786" s="31">
        <f>IF($Y1786="","",TRIM(INDEX($A:$U,ROW(),$E$6)&amp;IF($F$6="",""," "&amp;INDEX($A:$U,ROW(),$F$6))))</f>
        <v/>
      </c>
      <c r="AB1786" s="31">
        <f>IF($AA1786="","",SUBSTITUTE(SUBSTITUTE(SUBSTITUTE(SUBSTITUTE(SUBSTITUTE(SUBSTITUTE(SUBSTITUTE(SUBSTITUTE(SUBSTITUTE($AA1786," ",""),"　",""),"(주)",""),"（주）",""),"㈜",""),"주식회사",""),"(유)",""),"（유）",""),"유한회사",""))</f>
        <v/>
      </c>
      <c r="AC1786" s="31">
        <f>IF(OR($Y1786="",N($Z1786)&lt;=0,$AB1786=""),0,IFERROR(LOOKUP(2,1/((거래처별!$AC$8:$AC$307&lt;&gt;"")*ISNUMBER(SEARCH(거래처별!$AC$8:$AC$307,$AB1786))),거래처별!$A$8:$A$307),IFERROR(LOOKUP(2,1/((거래처별!$AD$8:$AD$307&lt;&gt;"")*ISNUMBER(SEARCH(거래처별!$AD$8:$AD$307,$AB1786))),거래처별!$A$8:$A$307),IFERROR(LOOKUP(2,1/((거래처별!$AE$8:$AE$307&lt;&gt;"")*ISNUMBER(SEARCH(거래처별!$AE$8:$AE$307,$AB1786))),거래처별!$A$8:$A$307),0))))</f>
        <v/>
      </c>
      <c r="AD1786" s="31">
        <f>IF(AND($Y1786&lt;&gt;"",N($Z1786)&gt;0,$AC1786=0),MAX($AD$7:$AD1785)+1,"")</f>
        <v/>
      </c>
      <c r="AE1786" s="31">
        <f>IF($Y1786="",0,$Y1786)</f>
        <v/>
      </c>
    </row>
    <row r="1787">
      <c r="W1787" s="31">
        <f>IF(OR($B$5="",$C$6="",ROW()&lt;$B$5),"",IF(INDEX($A:$U,ROW(),$C$6)="","",INDEX($A:$U,ROW(),$C$6)))</f>
        <v/>
      </c>
      <c r="X1787" s="32">
        <f>IF($W1787="","",IF(ISNUMBER($W1787),IF($W1787&gt;=10000000,IFERROR(DATE(INT($W1787/10000),MOD(INT($W1787/100),100),MOD($W1787,100)),""),INT($W1787)),IFERROR(DATE(--LEFT(LEFT(SUBSTITUTE(SUBSTITUTE(SUBSTITUTE(SUBSTITUTE(TRIM($W1787),"-",""),".",""),"/","")," ",""),8),4),--MID(LEFT(SUBSTITUTE(SUBSTITUTE(SUBSTITUTE(SUBSTITUTE(TRIM($W1787),"-",""),".",""),"/","")," ",""),8),5,2),--MID(LEFT(SUBSTITUTE(SUBSTITUTE(SUBSTITUTE(SUBSTITUTE(TRIM($W1787),"-",""),".",""),"/","")," ",""),8),7,2)),"")))</f>
        <v/>
      </c>
      <c r="Y1787" s="32">
        <f>IF($X1787="","",INT($X1787))</f>
        <v/>
      </c>
      <c r="Z1787" s="33">
        <f>IF(OR($Y1787="",$D$6=""),"",IF(INDEX($A:$U,ROW(),$D$6)="",0,IF(ISNUMBER(INDEX($A:$U,ROW(),$D$6)),INDEX($A:$U,ROW(),$D$6),IFERROR(--SUBSTITUTE(SUBSTITUTE(TRIM(INDEX($A:$U,ROW(),$D$6)),",",""),"원",""),0))))</f>
        <v/>
      </c>
      <c r="AA1787" s="31">
        <f>IF($Y1787="","",TRIM(INDEX($A:$U,ROW(),$E$6)&amp;IF($F$6="",""," "&amp;INDEX($A:$U,ROW(),$F$6))))</f>
        <v/>
      </c>
      <c r="AB1787" s="31">
        <f>IF($AA1787="","",SUBSTITUTE(SUBSTITUTE(SUBSTITUTE(SUBSTITUTE(SUBSTITUTE(SUBSTITUTE(SUBSTITUTE(SUBSTITUTE(SUBSTITUTE($AA1787," ",""),"　",""),"(주)",""),"（주）",""),"㈜",""),"주식회사",""),"(유)",""),"（유）",""),"유한회사",""))</f>
        <v/>
      </c>
      <c r="AC1787" s="31">
        <f>IF(OR($Y1787="",N($Z1787)&lt;=0,$AB1787=""),0,IFERROR(LOOKUP(2,1/((거래처별!$AC$8:$AC$307&lt;&gt;"")*ISNUMBER(SEARCH(거래처별!$AC$8:$AC$307,$AB1787))),거래처별!$A$8:$A$307),IFERROR(LOOKUP(2,1/((거래처별!$AD$8:$AD$307&lt;&gt;"")*ISNUMBER(SEARCH(거래처별!$AD$8:$AD$307,$AB1787))),거래처별!$A$8:$A$307),IFERROR(LOOKUP(2,1/((거래처별!$AE$8:$AE$307&lt;&gt;"")*ISNUMBER(SEARCH(거래처별!$AE$8:$AE$307,$AB1787))),거래처별!$A$8:$A$307),0))))</f>
        <v/>
      </c>
      <c r="AD1787" s="31">
        <f>IF(AND($Y1787&lt;&gt;"",N($Z1787)&gt;0,$AC1787=0),MAX($AD$7:$AD1786)+1,"")</f>
        <v/>
      </c>
      <c r="AE1787" s="31">
        <f>IF($Y1787="",0,$Y1787)</f>
        <v/>
      </c>
    </row>
    <row r="1788">
      <c r="W1788" s="31">
        <f>IF(OR($B$5="",$C$6="",ROW()&lt;$B$5),"",IF(INDEX($A:$U,ROW(),$C$6)="","",INDEX($A:$U,ROW(),$C$6)))</f>
        <v/>
      </c>
      <c r="X1788" s="32">
        <f>IF($W1788="","",IF(ISNUMBER($W1788),IF($W1788&gt;=10000000,IFERROR(DATE(INT($W1788/10000),MOD(INT($W1788/100),100),MOD($W1788,100)),""),INT($W1788)),IFERROR(DATE(--LEFT(LEFT(SUBSTITUTE(SUBSTITUTE(SUBSTITUTE(SUBSTITUTE(TRIM($W1788),"-",""),".",""),"/","")," ",""),8),4),--MID(LEFT(SUBSTITUTE(SUBSTITUTE(SUBSTITUTE(SUBSTITUTE(TRIM($W1788),"-",""),".",""),"/","")," ",""),8),5,2),--MID(LEFT(SUBSTITUTE(SUBSTITUTE(SUBSTITUTE(SUBSTITUTE(TRIM($W1788),"-",""),".",""),"/","")," ",""),8),7,2)),"")))</f>
        <v/>
      </c>
      <c r="Y1788" s="32">
        <f>IF($X1788="","",INT($X1788))</f>
        <v/>
      </c>
      <c r="Z1788" s="33">
        <f>IF(OR($Y1788="",$D$6=""),"",IF(INDEX($A:$U,ROW(),$D$6)="",0,IF(ISNUMBER(INDEX($A:$U,ROW(),$D$6)),INDEX($A:$U,ROW(),$D$6),IFERROR(--SUBSTITUTE(SUBSTITUTE(TRIM(INDEX($A:$U,ROW(),$D$6)),",",""),"원",""),0))))</f>
        <v/>
      </c>
      <c r="AA1788" s="31">
        <f>IF($Y1788="","",TRIM(INDEX($A:$U,ROW(),$E$6)&amp;IF($F$6="",""," "&amp;INDEX($A:$U,ROW(),$F$6))))</f>
        <v/>
      </c>
      <c r="AB1788" s="31">
        <f>IF($AA1788="","",SUBSTITUTE(SUBSTITUTE(SUBSTITUTE(SUBSTITUTE(SUBSTITUTE(SUBSTITUTE(SUBSTITUTE(SUBSTITUTE(SUBSTITUTE($AA1788," ",""),"　",""),"(주)",""),"（주）",""),"㈜",""),"주식회사",""),"(유)",""),"（유）",""),"유한회사",""))</f>
        <v/>
      </c>
      <c r="AC1788" s="31">
        <f>IF(OR($Y1788="",N($Z1788)&lt;=0,$AB1788=""),0,IFERROR(LOOKUP(2,1/((거래처별!$AC$8:$AC$307&lt;&gt;"")*ISNUMBER(SEARCH(거래처별!$AC$8:$AC$307,$AB1788))),거래처별!$A$8:$A$307),IFERROR(LOOKUP(2,1/((거래처별!$AD$8:$AD$307&lt;&gt;"")*ISNUMBER(SEARCH(거래처별!$AD$8:$AD$307,$AB1788))),거래처별!$A$8:$A$307),IFERROR(LOOKUP(2,1/((거래처별!$AE$8:$AE$307&lt;&gt;"")*ISNUMBER(SEARCH(거래처별!$AE$8:$AE$307,$AB1788))),거래처별!$A$8:$A$307),0))))</f>
        <v/>
      </c>
      <c r="AD1788" s="31">
        <f>IF(AND($Y1788&lt;&gt;"",N($Z1788)&gt;0,$AC1788=0),MAX($AD$7:$AD1787)+1,"")</f>
        <v/>
      </c>
      <c r="AE1788" s="31">
        <f>IF($Y1788="",0,$Y1788)</f>
        <v/>
      </c>
    </row>
    <row r="1789">
      <c r="W1789" s="31">
        <f>IF(OR($B$5="",$C$6="",ROW()&lt;$B$5),"",IF(INDEX($A:$U,ROW(),$C$6)="","",INDEX($A:$U,ROW(),$C$6)))</f>
        <v/>
      </c>
      <c r="X1789" s="32">
        <f>IF($W1789="","",IF(ISNUMBER($W1789),IF($W1789&gt;=10000000,IFERROR(DATE(INT($W1789/10000),MOD(INT($W1789/100),100),MOD($W1789,100)),""),INT($W1789)),IFERROR(DATE(--LEFT(LEFT(SUBSTITUTE(SUBSTITUTE(SUBSTITUTE(SUBSTITUTE(TRIM($W1789),"-",""),".",""),"/","")," ",""),8),4),--MID(LEFT(SUBSTITUTE(SUBSTITUTE(SUBSTITUTE(SUBSTITUTE(TRIM($W1789),"-",""),".",""),"/","")," ",""),8),5,2),--MID(LEFT(SUBSTITUTE(SUBSTITUTE(SUBSTITUTE(SUBSTITUTE(TRIM($W1789),"-",""),".",""),"/","")," ",""),8),7,2)),"")))</f>
        <v/>
      </c>
      <c r="Y1789" s="32">
        <f>IF($X1789="","",INT($X1789))</f>
        <v/>
      </c>
      <c r="Z1789" s="33">
        <f>IF(OR($Y1789="",$D$6=""),"",IF(INDEX($A:$U,ROW(),$D$6)="",0,IF(ISNUMBER(INDEX($A:$U,ROW(),$D$6)),INDEX($A:$U,ROW(),$D$6),IFERROR(--SUBSTITUTE(SUBSTITUTE(TRIM(INDEX($A:$U,ROW(),$D$6)),",",""),"원",""),0))))</f>
        <v/>
      </c>
      <c r="AA1789" s="31">
        <f>IF($Y1789="","",TRIM(INDEX($A:$U,ROW(),$E$6)&amp;IF($F$6="",""," "&amp;INDEX($A:$U,ROW(),$F$6))))</f>
        <v/>
      </c>
      <c r="AB1789" s="31">
        <f>IF($AA1789="","",SUBSTITUTE(SUBSTITUTE(SUBSTITUTE(SUBSTITUTE(SUBSTITUTE(SUBSTITUTE(SUBSTITUTE(SUBSTITUTE(SUBSTITUTE($AA1789," ",""),"　",""),"(주)",""),"（주）",""),"㈜",""),"주식회사",""),"(유)",""),"（유）",""),"유한회사",""))</f>
        <v/>
      </c>
      <c r="AC1789" s="31">
        <f>IF(OR($Y1789="",N($Z1789)&lt;=0,$AB1789=""),0,IFERROR(LOOKUP(2,1/((거래처별!$AC$8:$AC$307&lt;&gt;"")*ISNUMBER(SEARCH(거래처별!$AC$8:$AC$307,$AB1789))),거래처별!$A$8:$A$307),IFERROR(LOOKUP(2,1/((거래처별!$AD$8:$AD$307&lt;&gt;"")*ISNUMBER(SEARCH(거래처별!$AD$8:$AD$307,$AB1789))),거래처별!$A$8:$A$307),IFERROR(LOOKUP(2,1/((거래처별!$AE$8:$AE$307&lt;&gt;"")*ISNUMBER(SEARCH(거래처별!$AE$8:$AE$307,$AB1789))),거래처별!$A$8:$A$307),0))))</f>
        <v/>
      </c>
      <c r="AD1789" s="31">
        <f>IF(AND($Y1789&lt;&gt;"",N($Z1789)&gt;0,$AC1789=0),MAX($AD$7:$AD1788)+1,"")</f>
        <v/>
      </c>
      <c r="AE1789" s="31">
        <f>IF($Y1789="",0,$Y1789)</f>
        <v/>
      </c>
    </row>
    <row r="1790">
      <c r="W1790" s="31">
        <f>IF(OR($B$5="",$C$6="",ROW()&lt;$B$5),"",IF(INDEX($A:$U,ROW(),$C$6)="","",INDEX($A:$U,ROW(),$C$6)))</f>
        <v/>
      </c>
      <c r="X1790" s="32">
        <f>IF($W1790="","",IF(ISNUMBER($W1790),IF($W1790&gt;=10000000,IFERROR(DATE(INT($W1790/10000),MOD(INT($W1790/100),100),MOD($W1790,100)),""),INT($W1790)),IFERROR(DATE(--LEFT(LEFT(SUBSTITUTE(SUBSTITUTE(SUBSTITUTE(SUBSTITUTE(TRIM($W1790),"-",""),".",""),"/","")," ",""),8),4),--MID(LEFT(SUBSTITUTE(SUBSTITUTE(SUBSTITUTE(SUBSTITUTE(TRIM($W1790),"-",""),".",""),"/","")," ",""),8),5,2),--MID(LEFT(SUBSTITUTE(SUBSTITUTE(SUBSTITUTE(SUBSTITUTE(TRIM($W1790),"-",""),".",""),"/","")," ",""),8),7,2)),"")))</f>
        <v/>
      </c>
      <c r="Y1790" s="32">
        <f>IF($X1790="","",INT($X1790))</f>
        <v/>
      </c>
      <c r="Z1790" s="33">
        <f>IF(OR($Y1790="",$D$6=""),"",IF(INDEX($A:$U,ROW(),$D$6)="",0,IF(ISNUMBER(INDEX($A:$U,ROW(),$D$6)),INDEX($A:$U,ROW(),$D$6),IFERROR(--SUBSTITUTE(SUBSTITUTE(TRIM(INDEX($A:$U,ROW(),$D$6)),",",""),"원",""),0))))</f>
        <v/>
      </c>
      <c r="AA1790" s="31">
        <f>IF($Y1790="","",TRIM(INDEX($A:$U,ROW(),$E$6)&amp;IF($F$6="",""," "&amp;INDEX($A:$U,ROW(),$F$6))))</f>
        <v/>
      </c>
      <c r="AB1790" s="31">
        <f>IF($AA1790="","",SUBSTITUTE(SUBSTITUTE(SUBSTITUTE(SUBSTITUTE(SUBSTITUTE(SUBSTITUTE(SUBSTITUTE(SUBSTITUTE(SUBSTITUTE($AA1790," ",""),"　",""),"(주)",""),"（주）",""),"㈜",""),"주식회사",""),"(유)",""),"（유）",""),"유한회사",""))</f>
        <v/>
      </c>
      <c r="AC1790" s="31">
        <f>IF(OR($Y1790="",N($Z1790)&lt;=0,$AB1790=""),0,IFERROR(LOOKUP(2,1/((거래처별!$AC$8:$AC$307&lt;&gt;"")*ISNUMBER(SEARCH(거래처별!$AC$8:$AC$307,$AB1790))),거래처별!$A$8:$A$307),IFERROR(LOOKUP(2,1/((거래처별!$AD$8:$AD$307&lt;&gt;"")*ISNUMBER(SEARCH(거래처별!$AD$8:$AD$307,$AB1790))),거래처별!$A$8:$A$307),IFERROR(LOOKUP(2,1/((거래처별!$AE$8:$AE$307&lt;&gt;"")*ISNUMBER(SEARCH(거래처별!$AE$8:$AE$307,$AB1790))),거래처별!$A$8:$A$307),0))))</f>
        <v/>
      </c>
      <c r="AD1790" s="31">
        <f>IF(AND($Y1790&lt;&gt;"",N($Z1790)&gt;0,$AC1790=0),MAX($AD$7:$AD1789)+1,"")</f>
        <v/>
      </c>
      <c r="AE1790" s="31">
        <f>IF($Y1790="",0,$Y1790)</f>
        <v/>
      </c>
    </row>
    <row r="1791">
      <c r="W1791" s="31">
        <f>IF(OR($B$5="",$C$6="",ROW()&lt;$B$5),"",IF(INDEX($A:$U,ROW(),$C$6)="","",INDEX($A:$U,ROW(),$C$6)))</f>
        <v/>
      </c>
      <c r="X1791" s="32">
        <f>IF($W1791="","",IF(ISNUMBER($W1791),IF($W1791&gt;=10000000,IFERROR(DATE(INT($W1791/10000),MOD(INT($W1791/100),100),MOD($W1791,100)),""),INT($W1791)),IFERROR(DATE(--LEFT(LEFT(SUBSTITUTE(SUBSTITUTE(SUBSTITUTE(SUBSTITUTE(TRIM($W1791),"-",""),".",""),"/","")," ",""),8),4),--MID(LEFT(SUBSTITUTE(SUBSTITUTE(SUBSTITUTE(SUBSTITUTE(TRIM($W1791),"-",""),".",""),"/","")," ",""),8),5,2),--MID(LEFT(SUBSTITUTE(SUBSTITUTE(SUBSTITUTE(SUBSTITUTE(TRIM($W1791),"-",""),".",""),"/","")," ",""),8),7,2)),"")))</f>
        <v/>
      </c>
      <c r="Y1791" s="32">
        <f>IF($X1791="","",INT($X1791))</f>
        <v/>
      </c>
      <c r="Z1791" s="33">
        <f>IF(OR($Y1791="",$D$6=""),"",IF(INDEX($A:$U,ROW(),$D$6)="",0,IF(ISNUMBER(INDEX($A:$U,ROW(),$D$6)),INDEX($A:$U,ROW(),$D$6),IFERROR(--SUBSTITUTE(SUBSTITUTE(TRIM(INDEX($A:$U,ROW(),$D$6)),",",""),"원",""),0))))</f>
        <v/>
      </c>
      <c r="AA1791" s="31">
        <f>IF($Y1791="","",TRIM(INDEX($A:$U,ROW(),$E$6)&amp;IF($F$6="",""," "&amp;INDEX($A:$U,ROW(),$F$6))))</f>
        <v/>
      </c>
      <c r="AB1791" s="31">
        <f>IF($AA1791="","",SUBSTITUTE(SUBSTITUTE(SUBSTITUTE(SUBSTITUTE(SUBSTITUTE(SUBSTITUTE(SUBSTITUTE(SUBSTITUTE(SUBSTITUTE($AA1791," ",""),"　",""),"(주)",""),"（주）",""),"㈜",""),"주식회사",""),"(유)",""),"（유）",""),"유한회사",""))</f>
        <v/>
      </c>
      <c r="AC1791" s="31">
        <f>IF(OR($Y1791="",N($Z1791)&lt;=0,$AB1791=""),0,IFERROR(LOOKUP(2,1/((거래처별!$AC$8:$AC$307&lt;&gt;"")*ISNUMBER(SEARCH(거래처별!$AC$8:$AC$307,$AB1791))),거래처별!$A$8:$A$307),IFERROR(LOOKUP(2,1/((거래처별!$AD$8:$AD$307&lt;&gt;"")*ISNUMBER(SEARCH(거래처별!$AD$8:$AD$307,$AB1791))),거래처별!$A$8:$A$307),IFERROR(LOOKUP(2,1/((거래처별!$AE$8:$AE$307&lt;&gt;"")*ISNUMBER(SEARCH(거래처별!$AE$8:$AE$307,$AB1791))),거래처별!$A$8:$A$307),0))))</f>
        <v/>
      </c>
      <c r="AD1791" s="31">
        <f>IF(AND($Y1791&lt;&gt;"",N($Z1791)&gt;0,$AC1791=0),MAX($AD$7:$AD1790)+1,"")</f>
        <v/>
      </c>
      <c r="AE1791" s="31">
        <f>IF($Y1791="",0,$Y1791)</f>
        <v/>
      </c>
    </row>
    <row r="1792">
      <c r="W1792" s="31">
        <f>IF(OR($B$5="",$C$6="",ROW()&lt;$B$5),"",IF(INDEX($A:$U,ROW(),$C$6)="","",INDEX($A:$U,ROW(),$C$6)))</f>
        <v/>
      </c>
      <c r="X1792" s="32">
        <f>IF($W1792="","",IF(ISNUMBER($W1792),IF($W1792&gt;=10000000,IFERROR(DATE(INT($W1792/10000),MOD(INT($W1792/100),100),MOD($W1792,100)),""),INT($W1792)),IFERROR(DATE(--LEFT(LEFT(SUBSTITUTE(SUBSTITUTE(SUBSTITUTE(SUBSTITUTE(TRIM($W1792),"-",""),".",""),"/","")," ",""),8),4),--MID(LEFT(SUBSTITUTE(SUBSTITUTE(SUBSTITUTE(SUBSTITUTE(TRIM($W1792),"-",""),".",""),"/","")," ",""),8),5,2),--MID(LEFT(SUBSTITUTE(SUBSTITUTE(SUBSTITUTE(SUBSTITUTE(TRIM($W1792),"-",""),".",""),"/","")," ",""),8),7,2)),"")))</f>
        <v/>
      </c>
      <c r="Y1792" s="32">
        <f>IF($X1792="","",INT($X1792))</f>
        <v/>
      </c>
      <c r="Z1792" s="33">
        <f>IF(OR($Y1792="",$D$6=""),"",IF(INDEX($A:$U,ROW(),$D$6)="",0,IF(ISNUMBER(INDEX($A:$U,ROW(),$D$6)),INDEX($A:$U,ROW(),$D$6),IFERROR(--SUBSTITUTE(SUBSTITUTE(TRIM(INDEX($A:$U,ROW(),$D$6)),",",""),"원",""),0))))</f>
        <v/>
      </c>
      <c r="AA1792" s="31">
        <f>IF($Y1792="","",TRIM(INDEX($A:$U,ROW(),$E$6)&amp;IF($F$6="",""," "&amp;INDEX($A:$U,ROW(),$F$6))))</f>
        <v/>
      </c>
      <c r="AB1792" s="31">
        <f>IF($AA1792="","",SUBSTITUTE(SUBSTITUTE(SUBSTITUTE(SUBSTITUTE(SUBSTITUTE(SUBSTITUTE(SUBSTITUTE(SUBSTITUTE(SUBSTITUTE($AA1792," ",""),"　",""),"(주)",""),"（주）",""),"㈜",""),"주식회사",""),"(유)",""),"（유）",""),"유한회사",""))</f>
        <v/>
      </c>
      <c r="AC1792" s="31">
        <f>IF(OR($Y1792="",N($Z1792)&lt;=0,$AB1792=""),0,IFERROR(LOOKUP(2,1/((거래처별!$AC$8:$AC$307&lt;&gt;"")*ISNUMBER(SEARCH(거래처별!$AC$8:$AC$307,$AB1792))),거래처별!$A$8:$A$307),IFERROR(LOOKUP(2,1/((거래처별!$AD$8:$AD$307&lt;&gt;"")*ISNUMBER(SEARCH(거래처별!$AD$8:$AD$307,$AB1792))),거래처별!$A$8:$A$307),IFERROR(LOOKUP(2,1/((거래처별!$AE$8:$AE$307&lt;&gt;"")*ISNUMBER(SEARCH(거래처별!$AE$8:$AE$307,$AB1792))),거래처별!$A$8:$A$307),0))))</f>
        <v/>
      </c>
      <c r="AD1792" s="31">
        <f>IF(AND($Y1792&lt;&gt;"",N($Z1792)&gt;0,$AC1792=0),MAX($AD$7:$AD1791)+1,"")</f>
        <v/>
      </c>
      <c r="AE1792" s="31">
        <f>IF($Y1792="",0,$Y1792)</f>
        <v/>
      </c>
    </row>
    <row r="1793">
      <c r="W1793" s="31">
        <f>IF(OR($B$5="",$C$6="",ROW()&lt;$B$5),"",IF(INDEX($A:$U,ROW(),$C$6)="","",INDEX($A:$U,ROW(),$C$6)))</f>
        <v/>
      </c>
      <c r="X1793" s="32">
        <f>IF($W1793="","",IF(ISNUMBER($W1793),IF($W1793&gt;=10000000,IFERROR(DATE(INT($W1793/10000),MOD(INT($W1793/100),100),MOD($W1793,100)),""),INT($W1793)),IFERROR(DATE(--LEFT(LEFT(SUBSTITUTE(SUBSTITUTE(SUBSTITUTE(SUBSTITUTE(TRIM($W1793),"-",""),".",""),"/","")," ",""),8),4),--MID(LEFT(SUBSTITUTE(SUBSTITUTE(SUBSTITUTE(SUBSTITUTE(TRIM($W1793),"-",""),".",""),"/","")," ",""),8),5,2),--MID(LEFT(SUBSTITUTE(SUBSTITUTE(SUBSTITUTE(SUBSTITUTE(TRIM($W1793),"-",""),".",""),"/","")," ",""),8),7,2)),"")))</f>
        <v/>
      </c>
      <c r="Y1793" s="32">
        <f>IF($X1793="","",INT($X1793))</f>
        <v/>
      </c>
      <c r="Z1793" s="33">
        <f>IF(OR($Y1793="",$D$6=""),"",IF(INDEX($A:$U,ROW(),$D$6)="",0,IF(ISNUMBER(INDEX($A:$U,ROW(),$D$6)),INDEX($A:$U,ROW(),$D$6),IFERROR(--SUBSTITUTE(SUBSTITUTE(TRIM(INDEX($A:$U,ROW(),$D$6)),",",""),"원",""),0))))</f>
        <v/>
      </c>
      <c r="AA1793" s="31">
        <f>IF($Y1793="","",TRIM(INDEX($A:$U,ROW(),$E$6)&amp;IF($F$6="",""," "&amp;INDEX($A:$U,ROW(),$F$6))))</f>
        <v/>
      </c>
      <c r="AB1793" s="31">
        <f>IF($AA1793="","",SUBSTITUTE(SUBSTITUTE(SUBSTITUTE(SUBSTITUTE(SUBSTITUTE(SUBSTITUTE(SUBSTITUTE(SUBSTITUTE(SUBSTITUTE($AA1793," ",""),"　",""),"(주)",""),"（주）",""),"㈜",""),"주식회사",""),"(유)",""),"（유）",""),"유한회사",""))</f>
        <v/>
      </c>
      <c r="AC1793" s="31">
        <f>IF(OR($Y1793="",N($Z1793)&lt;=0,$AB1793=""),0,IFERROR(LOOKUP(2,1/((거래처별!$AC$8:$AC$307&lt;&gt;"")*ISNUMBER(SEARCH(거래처별!$AC$8:$AC$307,$AB1793))),거래처별!$A$8:$A$307),IFERROR(LOOKUP(2,1/((거래처별!$AD$8:$AD$307&lt;&gt;"")*ISNUMBER(SEARCH(거래처별!$AD$8:$AD$307,$AB1793))),거래처별!$A$8:$A$307),IFERROR(LOOKUP(2,1/((거래처별!$AE$8:$AE$307&lt;&gt;"")*ISNUMBER(SEARCH(거래처별!$AE$8:$AE$307,$AB1793))),거래처별!$A$8:$A$307),0))))</f>
        <v/>
      </c>
      <c r="AD1793" s="31">
        <f>IF(AND($Y1793&lt;&gt;"",N($Z1793)&gt;0,$AC1793=0),MAX($AD$7:$AD1792)+1,"")</f>
        <v/>
      </c>
      <c r="AE1793" s="31">
        <f>IF($Y1793="",0,$Y1793)</f>
        <v/>
      </c>
    </row>
    <row r="1794">
      <c r="W1794" s="31">
        <f>IF(OR($B$5="",$C$6="",ROW()&lt;$B$5),"",IF(INDEX($A:$U,ROW(),$C$6)="","",INDEX($A:$U,ROW(),$C$6)))</f>
        <v/>
      </c>
      <c r="X1794" s="32">
        <f>IF($W1794="","",IF(ISNUMBER($W1794),IF($W1794&gt;=10000000,IFERROR(DATE(INT($W1794/10000),MOD(INT($W1794/100),100),MOD($W1794,100)),""),INT($W1794)),IFERROR(DATE(--LEFT(LEFT(SUBSTITUTE(SUBSTITUTE(SUBSTITUTE(SUBSTITUTE(TRIM($W1794),"-",""),".",""),"/","")," ",""),8),4),--MID(LEFT(SUBSTITUTE(SUBSTITUTE(SUBSTITUTE(SUBSTITUTE(TRIM($W1794),"-",""),".",""),"/","")," ",""),8),5,2),--MID(LEFT(SUBSTITUTE(SUBSTITUTE(SUBSTITUTE(SUBSTITUTE(TRIM($W1794),"-",""),".",""),"/","")," ",""),8),7,2)),"")))</f>
        <v/>
      </c>
      <c r="Y1794" s="32">
        <f>IF($X1794="","",INT($X1794))</f>
        <v/>
      </c>
      <c r="Z1794" s="33">
        <f>IF(OR($Y1794="",$D$6=""),"",IF(INDEX($A:$U,ROW(),$D$6)="",0,IF(ISNUMBER(INDEX($A:$U,ROW(),$D$6)),INDEX($A:$U,ROW(),$D$6),IFERROR(--SUBSTITUTE(SUBSTITUTE(TRIM(INDEX($A:$U,ROW(),$D$6)),",",""),"원",""),0))))</f>
        <v/>
      </c>
      <c r="AA1794" s="31">
        <f>IF($Y1794="","",TRIM(INDEX($A:$U,ROW(),$E$6)&amp;IF($F$6="",""," "&amp;INDEX($A:$U,ROW(),$F$6))))</f>
        <v/>
      </c>
      <c r="AB1794" s="31">
        <f>IF($AA1794="","",SUBSTITUTE(SUBSTITUTE(SUBSTITUTE(SUBSTITUTE(SUBSTITUTE(SUBSTITUTE(SUBSTITUTE(SUBSTITUTE(SUBSTITUTE($AA1794," ",""),"　",""),"(주)",""),"（주）",""),"㈜",""),"주식회사",""),"(유)",""),"（유）",""),"유한회사",""))</f>
        <v/>
      </c>
      <c r="AC1794" s="31">
        <f>IF(OR($Y1794="",N($Z1794)&lt;=0,$AB1794=""),0,IFERROR(LOOKUP(2,1/((거래처별!$AC$8:$AC$307&lt;&gt;"")*ISNUMBER(SEARCH(거래처별!$AC$8:$AC$307,$AB1794))),거래처별!$A$8:$A$307),IFERROR(LOOKUP(2,1/((거래처별!$AD$8:$AD$307&lt;&gt;"")*ISNUMBER(SEARCH(거래처별!$AD$8:$AD$307,$AB1794))),거래처별!$A$8:$A$307),IFERROR(LOOKUP(2,1/((거래처별!$AE$8:$AE$307&lt;&gt;"")*ISNUMBER(SEARCH(거래처별!$AE$8:$AE$307,$AB1794))),거래처별!$A$8:$A$307),0))))</f>
        <v/>
      </c>
      <c r="AD1794" s="31">
        <f>IF(AND($Y1794&lt;&gt;"",N($Z1794)&gt;0,$AC1794=0),MAX($AD$7:$AD1793)+1,"")</f>
        <v/>
      </c>
      <c r="AE1794" s="31">
        <f>IF($Y1794="",0,$Y1794)</f>
        <v/>
      </c>
    </row>
    <row r="1795">
      <c r="W1795" s="31">
        <f>IF(OR($B$5="",$C$6="",ROW()&lt;$B$5),"",IF(INDEX($A:$U,ROW(),$C$6)="","",INDEX($A:$U,ROW(),$C$6)))</f>
        <v/>
      </c>
      <c r="X1795" s="32">
        <f>IF($W1795="","",IF(ISNUMBER($W1795),IF($W1795&gt;=10000000,IFERROR(DATE(INT($W1795/10000),MOD(INT($W1795/100),100),MOD($W1795,100)),""),INT($W1795)),IFERROR(DATE(--LEFT(LEFT(SUBSTITUTE(SUBSTITUTE(SUBSTITUTE(SUBSTITUTE(TRIM($W1795),"-",""),".",""),"/","")," ",""),8),4),--MID(LEFT(SUBSTITUTE(SUBSTITUTE(SUBSTITUTE(SUBSTITUTE(TRIM($W1795),"-",""),".",""),"/","")," ",""),8),5,2),--MID(LEFT(SUBSTITUTE(SUBSTITUTE(SUBSTITUTE(SUBSTITUTE(TRIM($W1795),"-",""),".",""),"/","")," ",""),8),7,2)),"")))</f>
        <v/>
      </c>
      <c r="Y1795" s="32">
        <f>IF($X1795="","",INT($X1795))</f>
        <v/>
      </c>
      <c r="Z1795" s="33">
        <f>IF(OR($Y1795="",$D$6=""),"",IF(INDEX($A:$U,ROW(),$D$6)="",0,IF(ISNUMBER(INDEX($A:$U,ROW(),$D$6)),INDEX($A:$U,ROW(),$D$6),IFERROR(--SUBSTITUTE(SUBSTITUTE(TRIM(INDEX($A:$U,ROW(),$D$6)),",",""),"원",""),0))))</f>
        <v/>
      </c>
      <c r="AA1795" s="31">
        <f>IF($Y1795="","",TRIM(INDEX($A:$U,ROW(),$E$6)&amp;IF($F$6="",""," "&amp;INDEX($A:$U,ROW(),$F$6))))</f>
        <v/>
      </c>
      <c r="AB1795" s="31">
        <f>IF($AA1795="","",SUBSTITUTE(SUBSTITUTE(SUBSTITUTE(SUBSTITUTE(SUBSTITUTE(SUBSTITUTE(SUBSTITUTE(SUBSTITUTE(SUBSTITUTE($AA1795," ",""),"　",""),"(주)",""),"（주）",""),"㈜",""),"주식회사",""),"(유)",""),"（유）",""),"유한회사",""))</f>
        <v/>
      </c>
      <c r="AC1795" s="31">
        <f>IF(OR($Y1795="",N($Z1795)&lt;=0,$AB1795=""),0,IFERROR(LOOKUP(2,1/((거래처별!$AC$8:$AC$307&lt;&gt;"")*ISNUMBER(SEARCH(거래처별!$AC$8:$AC$307,$AB1795))),거래처별!$A$8:$A$307),IFERROR(LOOKUP(2,1/((거래처별!$AD$8:$AD$307&lt;&gt;"")*ISNUMBER(SEARCH(거래처별!$AD$8:$AD$307,$AB1795))),거래처별!$A$8:$A$307),IFERROR(LOOKUP(2,1/((거래처별!$AE$8:$AE$307&lt;&gt;"")*ISNUMBER(SEARCH(거래처별!$AE$8:$AE$307,$AB1795))),거래처별!$A$8:$A$307),0))))</f>
        <v/>
      </c>
      <c r="AD1795" s="31">
        <f>IF(AND($Y1795&lt;&gt;"",N($Z1795)&gt;0,$AC1795=0),MAX($AD$7:$AD1794)+1,"")</f>
        <v/>
      </c>
      <c r="AE1795" s="31">
        <f>IF($Y1795="",0,$Y1795)</f>
        <v/>
      </c>
    </row>
    <row r="1796">
      <c r="W1796" s="31">
        <f>IF(OR($B$5="",$C$6="",ROW()&lt;$B$5),"",IF(INDEX($A:$U,ROW(),$C$6)="","",INDEX($A:$U,ROW(),$C$6)))</f>
        <v/>
      </c>
      <c r="X1796" s="32">
        <f>IF($W1796="","",IF(ISNUMBER($W1796),IF($W1796&gt;=10000000,IFERROR(DATE(INT($W1796/10000),MOD(INT($W1796/100),100),MOD($W1796,100)),""),INT($W1796)),IFERROR(DATE(--LEFT(LEFT(SUBSTITUTE(SUBSTITUTE(SUBSTITUTE(SUBSTITUTE(TRIM($W1796),"-",""),".",""),"/","")," ",""),8),4),--MID(LEFT(SUBSTITUTE(SUBSTITUTE(SUBSTITUTE(SUBSTITUTE(TRIM($W1796),"-",""),".",""),"/","")," ",""),8),5,2),--MID(LEFT(SUBSTITUTE(SUBSTITUTE(SUBSTITUTE(SUBSTITUTE(TRIM($W1796),"-",""),".",""),"/","")," ",""),8),7,2)),"")))</f>
        <v/>
      </c>
      <c r="Y1796" s="32">
        <f>IF($X1796="","",INT($X1796))</f>
        <v/>
      </c>
      <c r="Z1796" s="33">
        <f>IF(OR($Y1796="",$D$6=""),"",IF(INDEX($A:$U,ROW(),$D$6)="",0,IF(ISNUMBER(INDEX($A:$U,ROW(),$D$6)),INDEX($A:$U,ROW(),$D$6),IFERROR(--SUBSTITUTE(SUBSTITUTE(TRIM(INDEX($A:$U,ROW(),$D$6)),",",""),"원",""),0))))</f>
        <v/>
      </c>
      <c r="AA1796" s="31">
        <f>IF($Y1796="","",TRIM(INDEX($A:$U,ROW(),$E$6)&amp;IF($F$6="",""," "&amp;INDEX($A:$U,ROW(),$F$6))))</f>
        <v/>
      </c>
      <c r="AB1796" s="31">
        <f>IF($AA1796="","",SUBSTITUTE(SUBSTITUTE(SUBSTITUTE(SUBSTITUTE(SUBSTITUTE(SUBSTITUTE(SUBSTITUTE(SUBSTITUTE(SUBSTITUTE($AA1796," ",""),"　",""),"(주)",""),"（주）",""),"㈜",""),"주식회사",""),"(유)",""),"（유）",""),"유한회사",""))</f>
        <v/>
      </c>
      <c r="AC1796" s="31">
        <f>IF(OR($Y1796="",N($Z1796)&lt;=0,$AB1796=""),0,IFERROR(LOOKUP(2,1/((거래처별!$AC$8:$AC$307&lt;&gt;"")*ISNUMBER(SEARCH(거래처별!$AC$8:$AC$307,$AB1796))),거래처별!$A$8:$A$307),IFERROR(LOOKUP(2,1/((거래처별!$AD$8:$AD$307&lt;&gt;"")*ISNUMBER(SEARCH(거래처별!$AD$8:$AD$307,$AB1796))),거래처별!$A$8:$A$307),IFERROR(LOOKUP(2,1/((거래처별!$AE$8:$AE$307&lt;&gt;"")*ISNUMBER(SEARCH(거래처별!$AE$8:$AE$307,$AB1796))),거래처별!$A$8:$A$307),0))))</f>
        <v/>
      </c>
      <c r="AD1796" s="31">
        <f>IF(AND($Y1796&lt;&gt;"",N($Z1796)&gt;0,$AC1796=0),MAX($AD$7:$AD1795)+1,"")</f>
        <v/>
      </c>
      <c r="AE1796" s="31">
        <f>IF($Y1796="",0,$Y1796)</f>
        <v/>
      </c>
    </row>
    <row r="1797">
      <c r="W1797" s="31">
        <f>IF(OR($B$5="",$C$6="",ROW()&lt;$B$5),"",IF(INDEX($A:$U,ROW(),$C$6)="","",INDEX($A:$U,ROW(),$C$6)))</f>
        <v/>
      </c>
      <c r="X1797" s="32">
        <f>IF($W1797="","",IF(ISNUMBER($W1797),IF($W1797&gt;=10000000,IFERROR(DATE(INT($W1797/10000),MOD(INT($W1797/100),100),MOD($W1797,100)),""),INT($W1797)),IFERROR(DATE(--LEFT(LEFT(SUBSTITUTE(SUBSTITUTE(SUBSTITUTE(SUBSTITUTE(TRIM($W1797),"-",""),".",""),"/","")," ",""),8),4),--MID(LEFT(SUBSTITUTE(SUBSTITUTE(SUBSTITUTE(SUBSTITUTE(TRIM($W1797),"-",""),".",""),"/","")," ",""),8),5,2),--MID(LEFT(SUBSTITUTE(SUBSTITUTE(SUBSTITUTE(SUBSTITUTE(TRIM($W1797),"-",""),".",""),"/","")," ",""),8),7,2)),"")))</f>
        <v/>
      </c>
      <c r="Y1797" s="32">
        <f>IF($X1797="","",INT($X1797))</f>
        <v/>
      </c>
      <c r="Z1797" s="33">
        <f>IF(OR($Y1797="",$D$6=""),"",IF(INDEX($A:$U,ROW(),$D$6)="",0,IF(ISNUMBER(INDEX($A:$U,ROW(),$D$6)),INDEX($A:$U,ROW(),$D$6),IFERROR(--SUBSTITUTE(SUBSTITUTE(TRIM(INDEX($A:$U,ROW(),$D$6)),",",""),"원",""),0))))</f>
        <v/>
      </c>
      <c r="AA1797" s="31">
        <f>IF($Y1797="","",TRIM(INDEX($A:$U,ROW(),$E$6)&amp;IF($F$6="",""," "&amp;INDEX($A:$U,ROW(),$F$6))))</f>
        <v/>
      </c>
      <c r="AB1797" s="31">
        <f>IF($AA1797="","",SUBSTITUTE(SUBSTITUTE(SUBSTITUTE(SUBSTITUTE(SUBSTITUTE(SUBSTITUTE(SUBSTITUTE(SUBSTITUTE(SUBSTITUTE($AA1797," ",""),"　",""),"(주)",""),"（주）",""),"㈜",""),"주식회사",""),"(유)",""),"（유）",""),"유한회사",""))</f>
        <v/>
      </c>
      <c r="AC1797" s="31">
        <f>IF(OR($Y1797="",N($Z1797)&lt;=0,$AB1797=""),0,IFERROR(LOOKUP(2,1/((거래처별!$AC$8:$AC$307&lt;&gt;"")*ISNUMBER(SEARCH(거래처별!$AC$8:$AC$307,$AB1797))),거래처별!$A$8:$A$307),IFERROR(LOOKUP(2,1/((거래처별!$AD$8:$AD$307&lt;&gt;"")*ISNUMBER(SEARCH(거래처별!$AD$8:$AD$307,$AB1797))),거래처별!$A$8:$A$307),IFERROR(LOOKUP(2,1/((거래처별!$AE$8:$AE$307&lt;&gt;"")*ISNUMBER(SEARCH(거래처별!$AE$8:$AE$307,$AB1797))),거래처별!$A$8:$A$307),0))))</f>
        <v/>
      </c>
      <c r="AD1797" s="31">
        <f>IF(AND($Y1797&lt;&gt;"",N($Z1797)&gt;0,$AC1797=0),MAX($AD$7:$AD1796)+1,"")</f>
        <v/>
      </c>
      <c r="AE1797" s="31">
        <f>IF($Y1797="",0,$Y1797)</f>
        <v/>
      </c>
    </row>
    <row r="1798">
      <c r="W1798" s="31">
        <f>IF(OR($B$5="",$C$6="",ROW()&lt;$B$5),"",IF(INDEX($A:$U,ROW(),$C$6)="","",INDEX($A:$U,ROW(),$C$6)))</f>
        <v/>
      </c>
      <c r="X1798" s="32">
        <f>IF($W1798="","",IF(ISNUMBER($W1798),IF($W1798&gt;=10000000,IFERROR(DATE(INT($W1798/10000),MOD(INT($W1798/100),100),MOD($W1798,100)),""),INT($W1798)),IFERROR(DATE(--LEFT(LEFT(SUBSTITUTE(SUBSTITUTE(SUBSTITUTE(SUBSTITUTE(TRIM($W1798),"-",""),".",""),"/","")," ",""),8),4),--MID(LEFT(SUBSTITUTE(SUBSTITUTE(SUBSTITUTE(SUBSTITUTE(TRIM($W1798),"-",""),".",""),"/","")," ",""),8),5,2),--MID(LEFT(SUBSTITUTE(SUBSTITUTE(SUBSTITUTE(SUBSTITUTE(TRIM($W1798),"-",""),".",""),"/","")," ",""),8),7,2)),"")))</f>
        <v/>
      </c>
      <c r="Y1798" s="32">
        <f>IF($X1798="","",INT($X1798))</f>
        <v/>
      </c>
      <c r="Z1798" s="33">
        <f>IF(OR($Y1798="",$D$6=""),"",IF(INDEX($A:$U,ROW(),$D$6)="",0,IF(ISNUMBER(INDEX($A:$U,ROW(),$D$6)),INDEX($A:$U,ROW(),$D$6),IFERROR(--SUBSTITUTE(SUBSTITUTE(TRIM(INDEX($A:$U,ROW(),$D$6)),",",""),"원",""),0))))</f>
        <v/>
      </c>
      <c r="AA1798" s="31">
        <f>IF($Y1798="","",TRIM(INDEX($A:$U,ROW(),$E$6)&amp;IF($F$6="",""," "&amp;INDEX($A:$U,ROW(),$F$6))))</f>
        <v/>
      </c>
      <c r="AB1798" s="31">
        <f>IF($AA1798="","",SUBSTITUTE(SUBSTITUTE(SUBSTITUTE(SUBSTITUTE(SUBSTITUTE(SUBSTITUTE(SUBSTITUTE(SUBSTITUTE(SUBSTITUTE($AA1798," ",""),"　",""),"(주)",""),"（주）",""),"㈜",""),"주식회사",""),"(유)",""),"（유）",""),"유한회사",""))</f>
        <v/>
      </c>
      <c r="AC1798" s="31">
        <f>IF(OR($Y1798="",N($Z1798)&lt;=0,$AB1798=""),0,IFERROR(LOOKUP(2,1/((거래처별!$AC$8:$AC$307&lt;&gt;"")*ISNUMBER(SEARCH(거래처별!$AC$8:$AC$307,$AB1798))),거래처별!$A$8:$A$307),IFERROR(LOOKUP(2,1/((거래처별!$AD$8:$AD$307&lt;&gt;"")*ISNUMBER(SEARCH(거래처별!$AD$8:$AD$307,$AB1798))),거래처별!$A$8:$A$307),IFERROR(LOOKUP(2,1/((거래처별!$AE$8:$AE$307&lt;&gt;"")*ISNUMBER(SEARCH(거래처별!$AE$8:$AE$307,$AB1798))),거래처별!$A$8:$A$307),0))))</f>
        <v/>
      </c>
      <c r="AD1798" s="31">
        <f>IF(AND($Y1798&lt;&gt;"",N($Z1798)&gt;0,$AC1798=0),MAX($AD$7:$AD1797)+1,"")</f>
        <v/>
      </c>
      <c r="AE1798" s="31">
        <f>IF($Y1798="",0,$Y1798)</f>
        <v/>
      </c>
    </row>
    <row r="1799">
      <c r="W1799" s="31">
        <f>IF(OR($B$5="",$C$6="",ROW()&lt;$B$5),"",IF(INDEX($A:$U,ROW(),$C$6)="","",INDEX($A:$U,ROW(),$C$6)))</f>
        <v/>
      </c>
      <c r="X1799" s="32">
        <f>IF($W1799="","",IF(ISNUMBER($W1799),IF($W1799&gt;=10000000,IFERROR(DATE(INT($W1799/10000),MOD(INT($W1799/100),100),MOD($W1799,100)),""),INT($W1799)),IFERROR(DATE(--LEFT(LEFT(SUBSTITUTE(SUBSTITUTE(SUBSTITUTE(SUBSTITUTE(TRIM($W1799),"-",""),".",""),"/","")," ",""),8),4),--MID(LEFT(SUBSTITUTE(SUBSTITUTE(SUBSTITUTE(SUBSTITUTE(TRIM($W1799),"-",""),".",""),"/","")," ",""),8),5,2),--MID(LEFT(SUBSTITUTE(SUBSTITUTE(SUBSTITUTE(SUBSTITUTE(TRIM($W1799),"-",""),".",""),"/","")," ",""),8),7,2)),"")))</f>
        <v/>
      </c>
      <c r="Y1799" s="32">
        <f>IF($X1799="","",INT($X1799))</f>
        <v/>
      </c>
      <c r="Z1799" s="33">
        <f>IF(OR($Y1799="",$D$6=""),"",IF(INDEX($A:$U,ROW(),$D$6)="",0,IF(ISNUMBER(INDEX($A:$U,ROW(),$D$6)),INDEX($A:$U,ROW(),$D$6),IFERROR(--SUBSTITUTE(SUBSTITUTE(TRIM(INDEX($A:$U,ROW(),$D$6)),",",""),"원",""),0))))</f>
        <v/>
      </c>
      <c r="AA1799" s="31">
        <f>IF($Y1799="","",TRIM(INDEX($A:$U,ROW(),$E$6)&amp;IF($F$6="",""," "&amp;INDEX($A:$U,ROW(),$F$6))))</f>
        <v/>
      </c>
      <c r="AB1799" s="31">
        <f>IF($AA1799="","",SUBSTITUTE(SUBSTITUTE(SUBSTITUTE(SUBSTITUTE(SUBSTITUTE(SUBSTITUTE(SUBSTITUTE(SUBSTITUTE(SUBSTITUTE($AA1799," ",""),"　",""),"(주)",""),"（주）",""),"㈜",""),"주식회사",""),"(유)",""),"（유）",""),"유한회사",""))</f>
        <v/>
      </c>
      <c r="AC1799" s="31">
        <f>IF(OR($Y1799="",N($Z1799)&lt;=0,$AB1799=""),0,IFERROR(LOOKUP(2,1/((거래처별!$AC$8:$AC$307&lt;&gt;"")*ISNUMBER(SEARCH(거래처별!$AC$8:$AC$307,$AB1799))),거래처별!$A$8:$A$307),IFERROR(LOOKUP(2,1/((거래처별!$AD$8:$AD$307&lt;&gt;"")*ISNUMBER(SEARCH(거래처별!$AD$8:$AD$307,$AB1799))),거래처별!$A$8:$A$307),IFERROR(LOOKUP(2,1/((거래처별!$AE$8:$AE$307&lt;&gt;"")*ISNUMBER(SEARCH(거래처별!$AE$8:$AE$307,$AB1799))),거래처별!$A$8:$A$307),0))))</f>
        <v/>
      </c>
      <c r="AD1799" s="31">
        <f>IF(AND($Y1799&lt;&gt;"",N($Z1799)&gt;0,$AC1799=0),MAX($AD$7:$AD1798)+1,"")</f>
        <v/>
      </c>
      <c r="AE1799" s="31">
        <f>IF($Y1799="",0,$Y1799)</f>
        <v/>
      </c>
    </row>
    <row r="1800">
      <c r="W1800" s="31">
        <f>IF(OR($B$5="",$C$6="",ROW()&lt;$B$5),"",IF(INDEX($A:$U,ROW(),$C$6)="","",INDEX($A:$U,ROW(),$C$6)))</f>
        <v/>
      </c>
      <c r="X1800" s="32">
        <f>IF($W1800="","",IF(ISNUMBER($W1800),IF($W1800&gt;=10000000,IFERROR(DATE(INT($W1800/10000),MOD(INT($W1800/100),100),MOD($W1800,100)),""),INT($W1800)),IFERROR(DATE(--LEFT(LEFT(SUBSTITUTE(SUBSTITUTE(SUBSTITUTE(SUBSTITUTE(TRIM($W1800),"-",""),".",""),"/","")," ",""),8),4),--MID(LEFT(SUBSTITUTE(SUBSTITUTE(SUBSTITUTE(SUBSTITUTE(TRIM($W1800),"-",""),".",""),"/","")," ",""),8),5,2),--MID(LEFT(SUBSTITUTE(SUBSTITUTE(SUBSTITUTE(SUBSTITUTE(TRIM($W1800),"-",""),".",""),"/","")," ",""),8),7,2)),"")))</f>
        <v/>
      </c>
      <c r="Y1800" s="32">
        <f>IF($X1800="","",INT($X1800))</f>
        <v/>
      </c>
      <c r="Z1800" s="33">
        <f>IF(OR($Y1800="",$D$6=""),"",IF(INDEX($A:$U,ROW(),$D$6)="",0,IF(ISNUMBER(INDEX($A:$U,ROW(),$D$6)),INDEX($A:$U,ROW(),$D$6),IFERROR(--SUBSTITUTE(SUBSTITUTE(TRIM(INDEX($A:$U,ROW(),$D$6)),",",""),"원",""),0))))</f>
        <v/>
      </c>
      <c r="AA1800" s="31">
        <f>IF($Y1800="","",TRIM(INDEX($A:$U,ROW(),$E$6)&amp;IF($F$6="",""," "&amp;INDEX($A:$U,ROW(),$F$6))))</f>
        <v/>
      </c>
      <c r="AB1800" s="31">
        <f>IF($AA1800="","",SUBSTITUTE(SUBSTITUTE(SUBSTITUTE(SUBSTITUTE(SUBSTITUTE(SUBSTITUTE(SUBSTITUTE(SUBSTITUTE(SUBSTITUTE($AA1800," ",""),"　",""),"(주)",""),"（주）",""),"㈜",""),"주식회사",""),"(유)",""),"（유）",""),"유한회사",""))</f>
        <v/>
      </c>
      <c r="AC1800" s="31">
        <f>IF(OR($Y1800="",N($Z1800)&lt;=0,$AB1800=""),0,IFERROR(LOOKUP(2,1/((거래처별!$AC$8:$AC$307&lt;&gt;"")*ISNUMBER(SEARCH(거래처별!$AC$8:$AC$307,$AB1800))),거래처별!$A$8:$A$307),IFERROR(LOOKUP(2,1/((거래처별!$AD$8:$AD$307&lt;&gt;"")*ISNUMBER(SEARCH(거래처별!$AD$8:$AD$307,$AB1800))),거래처별!$A$8:$A$307),IFERROR(LOOKUP(2,1/((거래처별!$AE$8:$AE$307&lt;&gt;"")*ISNUMBER(SEARCH(거래처별!$AE$8:$AE$307,$AB1800))),거래처별!$A$8:$A$307),0))))</f>
        <v/>
      </c>
      <c r="AD1800" s="31">
        <f>IF(AND($Y1800&lt;&gt;"",N($Z1800)&gt;0,$AC1800=0),MAX($AD$7:$AD1799)+1,"")</f>
        <v/>
      </c>
      <c r="AE1800" s="31">
        <f>IF($Y1800="",0,$Y1800)</f>
        <v/>
      </c>
    </row>
    <row r="1801">
      <c r="W1801" s="31">
        <f>IF(OR($B$5="",$C$6="",ROW()&lt;$B$5),"",IF(INDEX($A:$U,ROW(),$C$6)="","",INDEX($A:$U,ROW(),$C$6)))</f>
        <v/>
      </c>
      <c r="X1801" s="32">
        <f>IF($W1801="","",IF(ISNUMBER($W1801),IF($W1801&gt;=10000000,IFERROR(DATE(INT($W1801/10000),MOD(INT($W1801/100),100),MOD($W1801,100)),""),INT($W1801)),IFERROR(DATE(--LEFT(LEFT(SUBSTITUTE(SUBSTITUTE(SUBSTITUTE(SUBSTITUTE(TRIM($W1801),"-",""),".",""),"/","")," ",""),8),4),--MID(LEFT(SUBSTITUTE(SUBSTITUTE(SUBSTITUTE(SUBSTITUTE(TRIM($W1801),"-",""),".",""),"/","")," ",""),8),5,2),--MID(LEFT(SUBSTITUTE(SUBSTITUTE(SUBSTITUTE(SUBSTITUTE(TRIM($W1801),"-",""),".",""),"/","")," ",""),8),7,2)),"")))</f>
        <v/>
      </c>
      <c r="Y1801" s="32">
        <f>IF($X1801="","",INT($X1801))</f>
        <v/>
      </c>
      <c r="Z1801" s="33">
        <f>IF(OR($Y1801="",$D$6=""),"",IF(INDEX($A:$U,ROW(),$D$6)="",0,IF(ISNUMBER(INDEX($A:$U,ROW(),$D$6)),INDEX($A:$U,ROW(),$D$6),IFERROR(--SUBSTITUTE(SUBSTITUTE(TRIM(INDEX($A:$U,ROW(),$D$6)),",",""),"원",""),0))))</f>
        <v/>
      </c>
      <c r="AA1801" s="31">
        <f>IF($Y1801="","",TRIM(INDEX($A:$U,ROW(),$E$6)&amp;IF($F$6="",""," "&amp;INDEX($A:$U,ROW(),$F$6))))</f>
        <v/>
      </c>
      <c r="AB1801" s="31">
        <f>IF($AA1801="","",SUBSTITUTE(SUBSTITUTE(SUBSTITUTE(SUBSTITUTE(SUBSTITUTE(SUBSTITUTE(SUBSTITUTE(SUBSTITUTE(SUBSTITUTE($AA1801," ",""),"　",""),"(주)",""),"（주）",""),"㈜",""),"주식회사",""),"(유)",""),"（유）",""),"유한회사",""))</f>
        <v/>
      </c>
      <c r="AC1801" s="31">
        <f>IF(OR($Y1801="",N($Z1801)&lt;=0,$AB1801=""),0,IFERROR(LOOKUP(2,1/((거래처별!$AC$8:$AC$307&lt;&gt;"")*ISNUMBER(SEARCH(거래처별!$AC$8:$AC$307,$AB1801))),거래처별!$A$8:$A$307),IFERROR(LOOKUP(2,1/((거래처별!$AD$8:$AD$307&lt;&gt;"")*ISNUMBER(SEARCH(거래처별!$AD$8:$AD$307,$AB1801))),거래처별!$A$8:$A$307),IFERROR(LOOKUP(2,1/((거래처별!$AE$8:$AE$307&lt;&gt;"")*ISNUMBER(SEARCH(거래처별!$AE$8:$AE$307,$AB1801))),거래처별!$A$8:$A$307),0))))</f>
        <v/>
      </c>
      <c r="AD1801" s="31">
        <f>IF(AND($Y1801&lt;&gt;"",N($Z1801)&gt;0,$AC1801=0),MAX($AD$7:$AD1800)+1,"")</f>
        <v/>
      </c>
      <c r="AE1801" s="31">
        <f>IF($Y1801="",0,$Y1801)</f>
        <v/>
      </c>
    </row>
    <row r="1802">
      <c r="W1802" s="31">
        <f>IF(OR($B$5="",$C$6="",ROW()&lt;$B$5),"",IF(INDEX($A:$U,ROW(),$C$6)="","",INDEX($A:$U,ROW(),$C$6)))</f>
        <v/>
      </c>
      <c r="X1802" s="32">
        <f>IF($W1802="","",IF(ISNUMBER($W1802),IF($W1802&gt;=10000000,IFERROR(DATE(INT($W1802/10000),MOD(INT($W1802/100),100),MOD($W1802,100)),""),INT($W1802)),IFERROR(DATE(--LEFT(LEFT(SUBSTITUTE(SUBSTITUTE(SUBSTITUTE(SUBSTITUTE(TRIM($W1802),"-",""),".",""),"/","")," ",""),8),4),--MID(LEFT(SUBSTITUTE(SUBSTITUTE(SUBSTITUTE(SUBSTITUTE(TRIM($W1802),"-",""),".",""),"/","")," ",""),8),5,2),--MID(LEFT(SUBSTITUTE(SUBSTITUTE(SUBSTITUTE(SUBSTITUTE(TRIM($W1802),"-",""),".",""),"/","")," ",""),8),7,2)),"")))</f>
        <v/>
      </c>
      <c r="Y1802" s="32">
        <f>IF($X1802="","",INT($X1802))</f>
        <v/>
      </c>
      <c r="Z1802" s="33">
        <f>IF(OR($Y1802="",$D$6=""),"",IF(INDEX($A:$U,ROW(),$D$6)="",0,IF(ISNUMBER(INDEX($A:$U,ROW(),$D$6)),INDEX($A:$U,ROW(),$D$6),IFERROR(--SUBSTITUTE(SUBSTITUTE(TRIM(INDEX($A:$U,ROW(),$D$6)),",",""),"원",""),0))))</f>
        <v/>
      </c>
      <c r="AA1802" s="31">
        <f>IF($Y1802="","",TRIM(INDEX($A:$U,ROW(),$E$6)&amp;IF($F$6="",""," "&amp;INDEX($A:$U,ROW(),$F$6))))</f>
        <v/>
      </c>
      <c r="AB1802" s="31">
        <f>IF($AA1802="","",SUBSTITUTE(SUBSTITUTE(SUBSTITUTE(SUBSTITUTE(SUBSTITUTE(SUBSTITUTE(SUBSTITUTE(SUBSTITUTE(SUBSTITUTE($AA1802," ",""),"　",""),"(주)",""),"（주）",""),"㈜",""),"주식회사",""),"(유)",""),"（유）",""),"유한회사",""))</f>
        <v/>
      </c>
      <c r="AC1802" s="31">
        <f>IF(OR($Y1802="",N($Z1802)&lt;=0,$AB1802=""),0,IFERROR(LOOKUP(2,1/((거래처별!$AC$8:$AC$307&lt;&gt;"")*ISNUMBER(SEARCH(거래처별!$AC$8:$AC$307,$AB1802))),거래처별!$A$8:$A$307),IFERROR(LOOKUP(2,1/((거래처별!$AD$8:$AD$307&lt;&gt;"")*ISNUMBER(SEARCH(거래처별!$AD$8:$AD$307,$AB1802))),거래처별!$A$8:$A$307),IFERROR(LOOKUP(2,1/((거래처별!$AE$8:$AE$307&lt;&gt;"")*ISNUMBER(SEARCH(거래처별!$AE$8:$AE$307,$AB1802))),거래처별!$A$8:$A$307),0))))</f>
        <v/>
      </c>
      <c r="AD1802" s="31">
        <f>IF(AND($Y1802&lt;&gt;"",N($Z1802)&gt;0,$AC1802=0),MAX($AD$7:$AD1801)+1,"")</f>
        <v/>
      </c>
      <c r="AE1802" s="31">
        <f>IF($Y1802="",0,$Y1802)</f>
        <v/>
      </c>
    </row>
    <row r="1803">
      <c r="W1803" s="31">
        <f>IF(OR($B$5="",$C$6="",ROW()&lt;$B$5),"",IF(INDEX($A:$U,ROW(),$C$6)="","",INDEX($A:$U,ROW(),$C$6)))</f>
        <v/>
      </c>
      <c r="X1803" s="32">
        <f>IF($W1803="","",IF(ISNUMBER($W1803),IF($W1803&gt;=10000000,IFERROR(DATE(INT($W1803/10000),MOD(INT($W1803/100),100),MOD($W1803,100)),""),INT($W1803)),IFERROR(DATE(--LEFT(LEFT(SUBSTITUTE(SUBSTITUTE(SUBSTITUTE(SUBSTITUTE(TRIM($W1803),"-",""),".",""),"/","")," ",""),8),4),--MID(LEFT(SUBSTITUTE(SUBSTITUTE(SUBSTITUTE(SUBSTITUTE(TRIM($W1803),"-",""),".",""),"/","")," ",""),8),5,2),--MID(LEFT(SUBSTITUTE(SUBSTITUTE(SUBSTITUTE(SUBSTITUTE(TRIM($W1803),"-",""),".",""),"/","")," ",""),8),7,2)),"")))</f>
        <v/>
      </c>
      <c r="Y1803" s="32">
        <f>IF($X1803="","",INT($X1803))</f>
        <v/>
      </c>
      <c r="Z1803" s="33">
        <f>IF(OR($Y1803="",$D$6=""),"",IF(INDEX($A:$U,ROW(),$D$6)="",0,IF(ISNUMBER(INDEX($A:$U,ROW(),$D$6)),INDEX($A:$U,ROW(),$D$6),IFERROR(--SUBSTITUTE(SUBSTITUTE(TRIM(INDEX($A:$U,ROW(),$D$6)),",",""),"원",""),0))))</f>
        <v/>
      </c>
      <c r="AA1803" s="31">
        <f>IF($Y1803="","",TRIM(INDEX($A:$U,ROW(),$E$6)&amp;IF($F$6="",""," "&amp;INDEX($A:$U,ROW(),$F$6))))</f>
        <v/>
      </c>
      <c r="AB1803" s="31">
        <f>IF($AA1803="","",SUBSTITUTE(SUBSTITUTE(SUBSTITUTE(SUBSTITUTE(SUBSTITUTE(SUBSTITUTE(SUBSTITUTE(SUBSTITUTE(SUBSTITUTE($AA1803," ",""),"　",""),"(주)",""),"（주）",""),"㈜",""),"주식회사",""),"(유)",""),"（유）",""),"유한회사",""))</f>
        <v/>
      </c>
      <c r="AC1803" s="31">
        <f>IF(OR($Y1803="",N($Z1803)&lt;=0,$AB1803=""),0,IFERROR(LOOKUP(2,1/((거래처별!$AC$8:$AC$307&lt;&gt;"")*ISNUMBER(SEARCH(거래처별!$AC$8:$AC$307,$AB1803))),거래처별!$A$8:$A$307),IFERROR(LOOKUP(2,1/((거래처별!$AD$8:$AD$307&lt;&gt;"")*ISNUMBER(SEARCH(거래처별!$AD$8:$AD$307,$AB1803))),거래처별!$A$8:$A$307),IFERROR(LOOKUP(2,1/((거래처별!$AE$8:$AE$307&lt;&gt;"")*ISNUMBER(SEARCH(거래처별!$AE$8:$AE$307,$AB1803))),거래처별!$A$8:$A$307),0))))</f>
        <v/>
      </c>
      <c r="AD1803" s="31">
        <f>IF(AND($Y1803&lt;&gt;"",N($Z1803)&gt;0,$AC1803=0),MAX($AD$7:$AD1802)+1,"")</f>
        <v/>
      </c>
      <c r="AE1803" s="31">
        <f>IF($Y1803="",0,$Y1803)</f>
        <v/>
      </c>
    </row>
    <row r="1804">
      <c r="W1804" s="31">
        <f>IF(OR($B$5="",$C$6="",ROW()&lt;$B$5),"",IF(INDEX($A:$U,ROW(),$C$6)="","",INDEX($A:$U,ROW(),$C$6)))</f>
        <v/>
      </c>
      <c r="X1804" s="32">
        <f>IF($W1804="","",IF(ISNUMBER($W1804),IF($W1804&gt;=10000000,IFERROR(DATE(INT($W1804/10000),MOD(INT($W1804/100),100),MOD($W1804,100)),""),INT($W1804)),IFERROR(DATE(--LEFT(LEFT(SUBSTITUTE(SUBSTITUTE(SUBSTITUTE(SUBSTITUTE(TRIM($W1804),"-",""),".",""),"/","")," ",""),8),4),--MID(LEFT(SUBSTITUTE(SUBSTITUTE(SUBSTITUTE(SUBSTITUTE(TRIM($W1804),"-",""),".",""),"/","")," ",""),8),5,2),--MID(LEFT(SUBSTITUTE(SUBSTITUTE(SUBSTITUTE(SUBSTITUTE(TRIM($W1804),"-",""),".",""),"/","")," ",""),8),7,2)),"")))</f>
        <v/>
      </c>
      <c r="Y1804" s="32">
        <f>IF($X1804="","",INT($X1804))</f>
        <v/>
      </c>
      <c r="Z1804" s="33">
        <f>IF(OR($Y1804="",$D$6=""),"",IF(INDEX($A:$U,ROW(),$D$6)="",0,IF(ISNUMBER(INDEX($A:$U,ROW(),$D$6)),INDEX($A:$U,ROW(),$D$6),IFERROR(--SUBSTITUTE(SUBSTITUTE(TRIM(INDEX($A:$U,ROW(),$D$6)),",",""),"원",""),0))))</f>
        <v/>
      </c>
      <c r="AA1804" s="31">
        <f>IF($Y1804="","",TRIM(INDEX($A:$U,ROW(),$E$6)&amp;IF($F$6="",""," "&amp;INDEX($A:$U,ROW(),$F$6))))</f>
        <v/>
      </c>
      <c r="AB1804" s="31">
        <f>IF($AA1804="","",SUBSTITUTE(SUBSTITUTE(SUBSTITUTE(SUBSTITUTE(SUBSTITUTE(SUBSTITUTE(SUBSTITUTE(SUBSTITUTE(SUBSTITUTE($AA1804," ",""),"　",""),"(주)",""),"（주）",""),"㈜",""),"주식회사",""),"(유)",""),"（유）",""),"유한회사",""))</f>
        <v/>
      </c>
      <c r="AC1804" s="31">
        <f>IF(OR($Y1804="",N($Z1804)&lt;=0,$AB1804=""),0,IFERROR(LOOKUP(2,1/((거래처별!$AC$8:$AC$307&lt;&gt;"")*ISNUMBER(SEARCH(거래처별!$AC$8:$AC$307,$AB1804))),거래처별!$A$8:$A$307),IFERROR(LOOKUP(2,1/((거래처별!$AD$8:$AD$307&lt;&gt;"")*ISNUMBER(SEARCH(거래처별!$AD$8:$AD$307,$AB1804))),거래처별!$A$8:$A$307),IFERROR(LOOKUP(2,1/((거래처별!$AE$8:$AE$307&lt;&gt;"")*ISNUMBER(SEARCH(거래처별!$AE$8:$AE$307,$AB1804))),거래처별!$A$8:$A$307),0))))</f>
        <v/>
      </c>
      <c r="AD1804" s="31">
        <f>IF(AND($Y1804&lt;&gt;"",N($Z1804)&gt;0,$AC1804=0),MAX($AD$7:$AD1803)+1,"")</f>
        <v/>
      </c>
      <c r="AE1804" s="31">
        <f>IF($Y1804="",0,$Y1804)</f>
        <v/>
      </c>
    </row>
    <row r="1805">
      <c r="W1805" s="31">
        <f>IF(OR($B$5="",$C$6="",ROW()&lt;$B$5),"",IF(INDEX($A:$U,ROW(),$C$6)="","",INDEX($A:$U,ROW(),$C$6)))</f>
        <v/>
      </c>
      <c r="X1805" s="32">
        <f>IF($W1805="","",IF(ISNUMBER($W1805),IF($W1805&gt;=10000000,IFERROR(DATE(INT($W1805/10000),MOD(INT($W1805/100),100),MOD($W1805,100)),""),INT($W1805)),IFERROR(DATE(--LEFT(LEFT(SUBSTITUTE(SUBSTITUTE(SUBSTITUTE(SUBSTITUTE(TRIM($W1805),"-",""),".",""),"/","")," ",""),8),4),--MID(LEFT(SUBSTITUTE(SUBSTITUTE(SUBSTITUTE(SUBSTITUTE(TRIM($W1805),"-",""),".",""),"/","")," ",""),8),5,2),--MID(LEFT(SUBSTITUTE(SUBSTITUTE(SUBSTITUTE(SUBSTITUTE(TRIM($W1805),"-",""),".",""),"/","")," ",""),8),7,2)),"")))</f>
        <v/>
      </c>
      <c r="Y1805" s="32">
        <f>IF($X1805="","",INT($X1805))</f>
        <v/>
      </c>
      <c r="Z1805" s="33">
        <f>IF(OR($Y1805="",$D$6=""),"",IF(INDEX($A:$U,ROW(),$D$6)="",0,IF(ISNUMBER(INDEX($A:$U,ROW(),$D$6)),INDEX($A:$U,ROW(),$D$6),IFERROR(--SUBSTITUTE(SUBSTITUTE(TRIM(INDEX($A:$U,ROW(),$D$6)),",",""),"원",""),0))))</f>
        <v/>
      </c>
      <c r="AA1805" s="31">
        <f>IF($Y1805="","",TRIM(INDEX($A:$U,ROW(),$E$6)&amp;IF($F$6="",""," "&amp;INDEX($A:$U,ROW(),$F$6))))</f>
        <v/>
      </c>
      <c r="AB1805" s="31">
        <f>IF($AA1805="","",SUBSTITUTE(SUBSTITUTE(SUBSTITUTE(SUBSTITUTE(SUBSTITUTE(SUBSTITUTE(SUBSTITUTE(SUBSTITUTE(SUBSTITUTE($AA1805," ",""),"　",""),"(주)",""),"（주）",""),"㈜",""),"주식회사",""),"(유)",""),"（유）",""),"유한회사",""))</f>
        <v/>
      </c>
      <c r="AC1805" s="31">
        <f>IF(OR($Y1805="",N($Z1805)&lt;=0,$AB1805=""),0,IFERROR(LOOKUP(2,1/((거래처별!$AC$8:$AC$307&lt;&gt;"")*ISNUMBER(SEARCH(거래처별!$AC$8:$AC$307,$AB1805))),거래처별!$A$8:$A$307),IFERROR(LOOKUP(2,1/((거래처별!$AD$8:$AD$307&lt;&gt;"")*ISNUMBER(SEARCH(거래처별!$AD$8:$AD$307,$AB1805))),거래처별!$A$8:$A$307),IFERROR(LOOKUP(2,1/((거래처별!$AE$8:$AE$307&lt;&gt;"")*ISNUMBER(SEARCH(거래처별!$AE$8:$AE$307,$AB1805))),거래처별!$A$8:$A$307),0))))</f>
        <v/>
      </c>
      <c r="AD1805" s="31">
        <f>IF(AND($Y1805&lt;&gt;"",N($Z1805)&gt;0,$AC1805=0),MAX($AD$7:$AD1804)+1,"")</f>
        <v/>
      </c>
      <c r="AE1805" s="31">
        <f>IF($Y1805="",0,$Y1805)</f>
        <v/>
      </c>
    </row>
    <row r="1806">
      <c r="W1806" s="31">
        <f>IF(OR($B$5="",$C$6="",ROW()&lt;$B$5),"",IF(INDEX($A:$U,ROW(),$C$6)="","",INDEX($A:$U,ROW(),$C$6)))</f>
        <v/>
      </c>
      <c r="X1806" s="32">
        <f>IF($W1806="","",IF(ISNUMBER($W1806),IF($W1806&gt;=10000000,IFERROR(DATE(INT($W1806/10000),MOD(INT($W1806/100),100),MOD($W1806,100)),""),INT($W1806)),IFERROR(DATE(--LEFT(LEFT(SUBSTITUTE(SUBSTITUTE(SUBSTITUTE(SUBSTITUTE(TRIM($W1806),"-",""),".",""),"/","")," ",""),8),4),--MID(LEFT(SUBSTITUTE(SUBSTITUTE(SUBSTITUTE(SUBSTITUTE(TRIM($W1806),"-",""),".",""),"/","")," ",""),8),5,2),--MID(LEFT(SUBSTITUTE(SUBSTITUTE(SUBSTITUTE(SUBSTITUTE(TRIM($W1806),"-",""),".",""),"/","")," ",""),8),7,2)),"")))</f>
        <v/>
      </c>
      <c r="Y1806" s="32">
        <f>IF($X1806="","",INT($X1806))</f>
        <v/>
      </c>
      <c r="Z1806" s="33">
        <f>IF(OR($Y1806="",$D$6=""),"",IF(INDEX($A:$U,ROW(),$D$6)="",0,IF(ISNUMBER(INDEX($A:$U,ROW(),$D$6)),INDEX($A:$U,ROW(),$D$6),IFERROR(--SUBSTITUTE(SUBSTITUTE(TRIM(INDEX($A:$U,ROW(),$D$6)),",",""),"원",""),0))))</f>
        <v/>
      </c>
      <c r="AA1806" s="31">
        <f>IF($Y1806="","",TRIM(INDEX($A:$U,ROW(),$E$6)&amp;IF($F$6="",""," "&amp;INDEX($A:$U,ROW(),$F$6))))</f>
        <v/>
      </c>
      <c r="AB1806" s="31">
        <f>IF($AA1806="","",SUBSTITUTE(SUBSTITUTE(SUBSTITUTE(SUBSTITUTE(SUBSTITUTE(SUBSTITUTE(SUBSTITUTE(SUBSTITUTE(SUBSTITUTE($AA1806," ",""),"　",""),"(주)",""),"（주）",""),"㈜",""),"주식회사",""),"(유)",""),"（유）",""),"유한회사",""))</f>
        <v/>
      </c>
      <c r="AC1806" s="31">
        <f>IF(OR($Y1806="",N($Z1806)&lt;=0,$AB1806=""),0,IFERROR(LOOKUP(2,1/((거래처별!$AC$8:$AC$307&lt;&gt;"")*ISNUMBER(SEARCH(거래처별!$AC$8:$AC$307,$AB1806))),거래처별!$A$8:$A$307),IFERROR(LOOKUP(2,1/((거래처별!$AD$8:$AD$307&lt;&gt;"")*ISNUMBER(SEARCH(거래처별!$AD$8:$AD$307,$AB1806))),거래처별!$A$8:$A$307),IFERROR(LOOKUP(2,1/((거래처별!$AE$8:$AE$307&lt;&gt;"")*ISNUMBER(SEARCH(거래처별!$AE$8:$AE$307,$AB1806))),거래처별!$A$8:$A$307),0))))</f>
        <v/>
      </c>
      <c r="AD1806" s="31">
        <f>IF(AND($Y1806&lt;&gt;"",N($Z1806)&gt;0,$AC1806=0),MAX($AD$7:$AD1805)+1,"")</f>
        <v/>
      </c>
      <c r="AE1806" s="31">
        <f>IF($Y1806="",0,$Y1806)</f>
        <v/>
      </c>
    </row>
    <row r="1807">
      <c r="W1807" s="31">
        <f>IF(OR($B$5="",$C$6="",ROW()&lt;$B$5),"",IF(INDEX($A:$U,ROW(),$C$6)="","",INDEX($A:$U,ROW(),$C$6)))</f>
        <v/>
      </c>
      <c r="X1807" s="32">
        <f>IF($W1807="","",IF(ISNUMBER($W1807),IF($W1807&gt;=10000000,IFERROR(DATE(INT($W1807/10000),MOD(INT($W1807/100),100),MOD($W1807,100)),""),INT($W1807)),IFERROR(DATE(--LEFT(LEFT(SUBSTITUTE(SUBSTITUTE(SUBSTITUTE(SUBSTITUTE(TRIM($W1807),"-",""),".",""),"/","")," ",""),8),4),--MID(LEFT(SUBSTITUTE(SUBSTITUTE(SUBSTITUTE(SUBSTITUTE(TRIM($W1807),"-",""),".",""),"/","")," ",""),8),5,2),--MID(LEFT(SUBSTITUTE(SUBSTITUTE(SUBSTITUTE(SUBSTITUTE(TRIM($W1807),"-",""),".",""),"/","")," ",""),8),7,2)),"")))</f>
        <v/>
      </c>
      <c r="Y1807" s="32">
        <f>IF($X1807="","",INT($X1807))</f>
        <v/>
      </c>
      <c r="Z1807" s="33">
        <f>IF(OR($Y1807="",$D$6=""),"",IF(INDEX($A:$U,ROW(),$D$6)="",0,IF(ISNUMBER(INDEX($A:$U,ROW(),$D$6)),INDEX($A:$U,ROW(),$D$6),IFERROR(--SUBSTITUTE(SUBSTITUTE(TRIM(INDEX($A:$U,ROW(),$D$6)),",",""),"원",""),0))))</f>
        <v/>
      </c>
      <c r="AA1807" s="31">
        <f>IF($Y1807="","",TRIM(INDEX($A:$U,ROW(),$E$6)&amp;IF($F$6="",""," "&amp;INDEX($A:$U,ROW(),$F$6))))</f>
        <v/>
      </c>
      <c r="AB1807" s="31">
        <f>IF($AA1807="","",SUBSTITUTE(SUBSTITUTE(SUBSTITUTE(SUBSTITUTE(SUBSTITUTE(SUBSTITUTE(SUBSTITUTE(SUBSTITUTE(SUBSTITUTE($AA1807," ",""),"　",""),"(주)",""),"（주）",""),"㈜",""),"주식회사",""),"(유)",""),"（유）",""),"유한회사",""))</f>
        <v/>
      </c>
      <c r="AC1807" s="31">
        <f>IF(OR($Y1807="",N($Z1807)&lt;=0,$AB1807=""),0,IFERROR(LOOKUP(2,1/((거래처별!$AC$8:$AC$307&lt;&gt;"")*ISNUMBER(SEARCH(거래처별!$AC$8:$AC$307,$AB1807))),거래처별!$A$8:$A$307),IFERROR(LOOKUP(2,1/((거래처별!$AD$8:$AD$307&lt;&gt;"")*ISNUMBER(SEARCH(거래처별!$AD$8:$AD$307,$AB1807))),거래처별!$A$8:$A$307),IFERROR(LOOKUP(2,1/((거래처별!$AE$8:$AE$307&lt;&gt;"")*ISNUMBER(SEARCH(거래처별!$AE$8:$AE$307,$AB1807))),거래처별!$A$8:$A$307),0))))</f>
        <v/>
      </c>
      <c r="AD1807" s="31">
        <f>IF(AND($Y1807&lt;&gt;"",N($Z1807)&gt;0,$AC1807=0),MAX($AD$7:$AD1806)+1,"")</f>
        <v/>
      </c>
      <c r="AE1807" s="31">
        <f>IF($Y1807="",0,$Y1807)</f>
        <v/>
      </c>
    </row>
    <row r="1808">
      <c r="W1808" s="31">
        <f>IF(OR($B$5="",$C$6="",ROW()&lt;$B$5),"",IF(INDEX($A:$U,ROW(),$C$6)="","",INDEX($A:$U,ROW(),$C$6)))</f>
        <v/>
      </c>
      <c r="X1808" s="32">
        <f>IF($W1808="","",IF(ISNUMBER($W1808),IF($W1808&gt;=10000000,IFERROR(DATE(INT($W1808/10000),MOD(INT($W1808/100),100),MOD($W1808,100)),""),INT($W1808)),IFERROR(DATE(--LEFT(LEFT(SUBSTITUTE(SUBSTITUTE(SUBSTITUTE(SUBSTITUTE(TRIM($W1808),"-",""),".",""),"/","")," ",""),8),4),--MID(LEFT(SUBSTITUTE(SUBSTITUTE(SUBSTITUTE(SUBSTITUTE(TRIM($W1808),"-",""),".",""),"/","")," ",""),8),5,2),--MID(LEFT(SUBSTITUTE(SUBSTITUTE(SUBSTITUTE(SUBSTITUTE(TRIM($W1808),"-",""),".",""),"/","")," ",""),8),7,2)),"")))</f>
        <v/>
      </c>
      <c r="Y1808" s="32">
        <f>IF($X1808="","",INT($X1808))</f>
        <v/>
      </c>
      <c r="Z1808" s="33">
        <f>IF(OR($Y1808="",$D$6=""),"",IF(INDEX($A:$U,ROW(),$D$6)="",0,IF(ISNUMBER(INDEX($A:$U,ROW(),$D$6)),INDEX($A:$U,ROW(),$D$6),IFERROR(--SUBSTITUTE(SUBSTITUTE(TRIM(INDEX($A:$U,ROW(),$D$6)),",",""),"원",""),0))))</f>
        <v/>
      </c>
      <c r="AA1808" s="31">
        <f>IF($Y1808="","",TRIM(INDEX($A:$U,ROW(),$E$6)&amp;IF($F$6="",""," "&amp;INDEX($A:$U,ROW(),$F$6))))</f>
        <v/>
      </c>
      <c r="AB1808" s="31">
        <f>IF($AA1808="","",SUBSTITUTE(SUBSTITUTE(SUBSTITUTE(SUBSTITUTE(SUBSTITUTE(SUBSTITUTE(SUBSTITUTE(SUBSTITUTE(SUBSTITUTE($AA1808," ",""),"　",""),"(주)",""),"（주）",""),"㈜",""),"주식회사",""),"(유)",""),"（유）",""),"유한회사",""))</f>
        <v/>
      </c>
      <c r="AC1808" s="31">
        <f>IF(OR($Y1808="",N($Z1808)&lt;=0,$AB1808=""),0,IFERROR(LOOKUP(2,1/((거래처별!$AC$8:$AC$307&lt;&gt;"")*ISNUMBER(SEARCH(거래처별!$AC$8:$AC$307,$AB1808))),거래처별!$A$8:$A$307),IFERROR(LOOKUP(2,1/((거래처별!$AD$8:$AD$307&lt;&gt;"")*ISNUMBER(SEARCH(거래처별!$AD$8:$AD$307,$AB1808))),거래처별!$A$8:$A$307),IFERROR(LOOKUP(2,1/((거래처별!$AE$8:$AE$307&lt;&gt;"")*ISNUMBER(SEARCH(거래처별!$AE$8:$AE$307,$AB1808))),거래처별!$A$8:$A$307),0))))</f>
        <v/>
      </c>
      <c r="AD1808" s="31">
        <f>IF(AND($Y1808&lt;&gt;"",N($Z1808)&gt;0,$AC1808=0),MAX($AD$7:$AD1807)+1,"")</f>
        <v/>
      </c>
      <c r="AE1808" s="31">
        <f>IF($Y1808="",0,$Y1808)</f>
        <v/>
      </c>
    </row>
    <row r="1809">
      <c r="W1809" s="31">
        <f>IF(OR($B$5="",$C$6="",ROW()&lt;$B$5),"",IF(INDEX($A:$U,ROW(),$C$6)="","",INDEX($A:$U,ROW(),$C$6)))</f>
        <v/>
      </c>
      <c r="X1809" s="32">
        <f>IF($W1809="","",IF(ISNUMBER($W1809),IF($W1809&gt;=10000000,IFERROR(DATE(INT($W1809/10000),MOD(INT($W1809/100),100),MOD($W1809,100)),""),INT($W1809)),IFERROR(DATE(--LEFT(LEFT(SUBSTITUTE(SUBSTITUTE(SUBSTITUTE(SUBSTITUTE(TRIM($W1809),"-",""),".",""),"/","")," ",""),8),4),--MID(LEFT(SUBSTITUTE(SUBSTITUTE(SUBSTITUTE(SUBSTITUTE(TRIM($W1809),"-",""),".",""),"/","")," ",""),8),5,2),--MID(LEFT(SUBSTITUTE(SUBSTITUTE(SUBSTITUTE(SUBSTITUTE(TRIM($W1809),"-",""),".",""),"/","")," ",""),8),7,2)),"")))</f>
        <v/>
      </c>
      <c r="Y1809" s="32">
        <f>IF($X1809="","",INT($X1809))</f>
        <v/>
      </c>
      <c r="Z1809" s="33">
        <f>IF(OR($Y1809="",$D$6=""),"",IF(INDEX($A:$U,ROW(),$D$6)="",0,IF(ISNUMBER(INDEX($A:$U,ROW(),$D$6)),INDEX($A:$U,ROW(),$D$6),IFERROR(--SUBSTITUTE(SUBSTITUTE(TRIM(INDEX($A:$U,ROW(),$D$6)),",",""),"원",""),0))))</f>
        <v/>
      </c>
      <c r="AA1809" s="31">
        <f>IF($Y1809="","",TRIM(INDEX($A:$U,ROW(),$E$6)&amp;IF($F$6="",""," "&amp;INDEX($A:$U,ROW(),$F$6))))</f>
        <v/>
      </c>
      <c r="AB1809" s="31">
        <f>IF($AA1809="","",SUBSTITUTE(SUBSTITUTE(SUBSTITUTE(SUBSTITUTE(SUBSTITUTE(SUBSTITUTE(SUBSTITUTE(SUBSTITUTE(SUBSTITUTE($AA1809," ",""),"　",""),"(주)",""),"（주）",""),"㈜",""),"주식회사",""),"(유)",""),"（유）",""),"유한회사",""))</f>
        <v/>
      </c>
      <c r="AC1809" s="31">
        <f>IF(OR($Y1809="",N($Z1809)&lt;=0,$AB1809=""),0,IFERROR(LOOKUP(2,1/((거래처별!$AC$8:$AC$307&lt;&gt;"")*ISNUMBER(SEARCH(거래처별!$AC$8:$AC$307,$AB1809))),거래처별!$A$8:$A$307),IFERROR(LOOKUP(2,1/((거래처별!$AD$8:$AD$307&lt;&gt;"")*ISNUMBER(SEARCH(거래처별!$AD$8:$AD$307,$AB1809))),거래처별!$A$8:$A$307),IFERROR(LOOKUP(2,1/((거래처별!$AE$8:$AE$307&lt;&gt;"")*ISNUMBER(SEARCH(거래처별!$AE$8:$AE$307,$AB1809))),거래처별!$A$8:$A$307),0))))</f>
        <v/>
      </c>
      <c r="AD1809" s="31">
        <f>IF(AND($Y1809&lt;&gt;"",N($Z1809)&gt;0,$AC1809=0),MAX($AD$7:$AD1808)+1,"")</f>
        <v/>
      </c>
      <c r="AE1809" s="31">
        <f>IF($Y1809="",0,$Y1809)</f>
        <v/>
      </c>
    </row>
    <row r="1810">
      <c r="W1810" s="31">
        <f>IF(OR($B$5="",$C$6="",ROW()&lt;$B$5),"",IF(INDEX($A:$U,ROW(),$C$6)="","",INDEX($A:$U,ROW(),$C$6)))</f>
        <v/>
      </c>
      <c r="X1810" s="32">
        <f>IF($W1810="","",IF(ISNUMBER($W1810),IF($W1810&gt;=10000000,IFERROR(DATE(INT($W1810/10000),MOD(INT($W1810/100),100),MOD($W1810,100)),""),INT($W1810)),IFERROR(DATE(--LEFT(LEFT(SUBSTITUTE(SUBSTITUTE(SUBSTITUTE(SUBSTITUTE(TRIM($W1810),"-",""),".",""),"/","")," ",""),8),4),--MID(LEFT(SUBSTITUTE(SUBSTITUTE(SUBSTITUTE(SUBSTITUTE(TRIM($W1810),"-",""),".",""),"/","")," ",""),8),5,2),--MID(LEFT(SUBSTITUTE(SUBSTITUTE(SUBSTITUTE(SUBSTITUTE(TRIM($W1810),"-",""),".",""),"/","")," ",""),8),7,2)),"")))</f>
        <v/>
      </c>
      <c r="Y1810" s="32">
        <f>IF($X1810="","",INT($X1810))</f>
        <v/>
      </c>
      <c r="Z1810" s="33">
        <f>IF(OR($Y1810="",$D$6=""),"",IF(INDEX($A:$U,ROW(),$D$6)="",0,IF(ISNUMBER(INDEX($A:$U,ROW(),$D$6)),INDEX($A:$U,ROW(),$D$6),IFERROR(--SUBSTITUTE(SUBSTITUTE(TRIM(INDEX($A:$U,ROW(),$D$6)),",",""),"원",""),0))))</f>
        <v/>
      </c>
      <c r="AA1810" s="31">
        <f>IF($Y1810="","",TRIM(INDEX($A:$U,ROW(),$E$6)&amp;IF($F$6="",""," "&amp;INDEX($A:$U,ROW(),$F$6))))</f>
        <v/>
      </c>
      <c r="AB1810" s="31">
        <f>IF($AA1810="","",SUBSTITUTE(SUBSTITUTE(SUBSTITUTE(SUBSTITUTE(SUBSTITUTE(SUBSTITUTE(SUBSTITUTE(SUBSTITUTE(SUBSTITUTE($AA1810," ",""),"　",""),"(주)",""),"（주）",""),"㈜",""),"주식회사",""),"(유)",""),"（유）",""),"유한회사",""))</f>
        <v/>
      </c>
      <c r="AC1810" s="31">
        <f>IF(OR($Y1810="",N($Z1810)&lt;=0,$AB1810=""),0,IFERROR(LOOKUP(2,1/((거래처별!$AC$8:$AC$307&lt;&gt;"")*ISNUMBER(SEARCH(거래처별!$AC$8:$AC$307,$AB1810))),거래처별!$A$8:$A$307),IFERROR(LOOKUP(2,1/((거래처별!$AD$8:$AD$307&lt;&gt;"")*ISNUMBER(SEARCH(거래처별!$AD$8:$AD$307,$AB1810))),거래처별!$A$8:$A$307),IFERROR(LOOKUP(2,1/((거래처별!$AE$8:$AE$307&lt;&gt;"")*ISNUMBER(SEARCH(거래처별!$AE$8:$AE$307,$AB1810))),거래처별!$A$8:$A$307),0))))</f>
        <v/>
      </c>
      <c r="AD1810" s="31">
        <f>IF(AND($Y1810&lt;&gt;"",N($Z1810)&gt;0,$AC1810=0),MAX($AD$7:$AD1809)+1,"")</f>
        <v/>
      </c>
      <c r="AE1810" s="31">
        <f>IF($Y1810="",0,$Y1810)</f>
        <v/>
      </c>
    </row>
    <row r="1811">
      <c r="W1811" s="31">
        <f>IF(OR($B$5="",$C$6="",ROW()&lt;$B$5),"",IF(INDEX($A:$U,ROW(),$C$6)="","",INDEX($A:$U,ROW(),$C$6)))</f>
        <v/>
      </c>
      <c r="X1811" s="32">
        <f>IF($W1811="","",IF(ISNUMBER($W1811),IF($W1811&gt;=10000000,IFERROR(DATE(INT($W1811/10000),MOD(INT($W1811/100),100),MOD($W1811,100)),""),INT($W1811)),IFERROR(DATE(--LEFT(LEFT(SUBSTITUTE(SUBSTITUTE(SUBSTITUTE(SUBSTITUTE(TRIM($W1811),"-",""),".",""),"/","")," ",""),8),4),--MID(LEFT(SUBSTITUTE(SUBSTITUTE(SUBSTITUTE(SUBSTITUTE(TRIM($W1811),"-",""),".",""),"/","")," ",""),8),5,2),--MID(LEFT(SUBSTITUTE(SUBSTITUTE(SUBSTITUTE(SUBSTITUTE(TRIM($W1811),"-",""),".",""),"/","")," ",""),8),7,2)),"")))</f>
        <v/>
      </c>
      <c r="Y1811" s="32">
        <f>IF($X1811="","",INT($X1811))</f>
        <v/>
      </c>
      <c r="Z1811" s="33">
        <f>IF(OR($Y1811="",$D$6=""),"",IF(INDEX($A:$U,ROW(),$D$6)="",0,IF(ISNUMBER(INDEX($A:$U,ROW(),$D$6)),INDEX($A:$U,ROW(),$D$6),IFERROR(--SUBSTITUTE(SUBSTITUTE(TRIM(INDEX($A:$U,ROW(),$D$6)),",",""),"원",""),0))))</f>
        <v/>
      </c>
      <c r="AA1811" s="31">
        <f>IF($Y1811="","",TRIM(INDEX($A:$U,ROW(),$E$6)&amp;IF($F$6="",""," "&amp;INDEX($A:$U,ROW(),$F$6))))</f>
        <v/>
      </c>
      <c r="AB1811" s="31">
        <f>IF($AA1811="","",SUBSTITUTE(SUBSTITUTE(SUBSTITUTE(SUBSTITUTE(SUBSTITUTE(SUBSTITUTE(SUBSTITUTE(SUBSTITUTE(SUBSTITUTE($AA1811," ",""),"　",""),"(주)",""),"（주）",""),"㈜",""),"주식회사",""),"(유)",""),"（유）",""),"유한회사",""))</f>
        <v/>
      </c>
      <c r="AC1811" s="31">
        <f>IF(OR($Y1811="",N($Z1811)&lt;=0,$AB1811=""),0,IFERROR(LOOKUP(2,1/((거래처별!$AC$8:$AC$307&lt;&gt;"")*ISNUMBER(SEARCH(거래처별!$AC$8:$AC$307,$AB1811))),거래처별!$A$8:$A$307),IFERROR(LOOKUP(2,1/((거래처별!$AD$8:$AD$307&lt;&gt;"")*ISNUMBER(SEARCH(거래처별!$AD$8:$AD$307,$AB1811))),거래처별!$A$8:$A$307),IFERROR(LOOKUP(2,1/((거래처별!$AE$8:$AE$307&lt;&gt;"")*ISNUMBER(SEARCH(거래처별!$AE$8:$AE$307,$AB1811))),거래처별!$A$8:$A$307),0))))</f>
        <v/>
      </c>
      <c r="AD1811" s="31">
        <f>IF(AND($Y1811&lt;&gt;"",N($Z1811)&gt;0,$AC1811=0),MAX($AD$7:$AD1810)+1,"")</f>
        <v/>
      </c>
      <c r="AE1811" s="31">
        <f>IF($Y1811="",0,$Y1811)</f>
        <v/>
      </c>
    </row>
    <row r="1812">
      <c r="W1812" s="31">
        <f>IF(OR($B$5="",$C$6="",ROW()&lt;$B$5),"",IF(INDEX($A:$U,ROW(),$C$6)="","",INDEX($A:$U,ROW(),$C$6)))</f>
        <v/>
      </c>
      <c r="X1812" s="32">
        <f>IF($W1812="","",IF(ISNUMBER($W1812),IF($W1812&gt;=10000000,IFERROR(DATE(INT($W1812/10000),MOD(INT($W1812/100),100),MOD($W1812,100)),""),INT($W1812)),IFERROR(DATE(--LEFT(LEFT(SUBSTITUTE(SUBSTITUTE(SUBSTITUTE(SUBSTITUTE(TRIM($W1812),"-",""),".",""),"/","")," ",""),8),4),--MID(LEFT(SUBSTITUTE(SUBSTITUTE(SUBSTITUTE(SUBSTITUTE(TRIM($W1812),"-",""),".",""),"/","")," ",""),8),5,2),--MID(LEFT(SUBSTITUTE(SUBSTITUTE(SUBSTITUTE(SUBSTITUTE(TRIM($W1812),"-",""),".",""),"/","")," ",""),8),7,2)),"")))</f>
        <v/>
      </c>
      <c r="Y1812" s="32">
        <f>IF($X1812="","",INT($X1812))</f>
        <v/>
      </c>
      <c r="Z1812" s="33">
        <f>IF(OR($Y1812="",$D$6=""),"",IF(INDEX($A:$U,ROW(),$D$6)="",0,IF(ISNUMBER(INDEX($A:$U,ROW(),$D$6)),INDEX($A:$U,ROW(),$D$6),IFERROR(--SUBSTITUTE(SUBSTITUTE(TRIM(INDEX($A:$U,ROW(),$D$6)),",",""),"원",""),0))))</f>
        <v/>
      </c>
      <c r="AA1812" s="31">
        <f>IF($Y1812="","",TRIM(INDEX($A:$U,ROW(),$E$6)&amp;IF($F$6="",""," "&amp;INDEX($A:$U,ROW(),$F$6))))</f>
        <v/>
      </c>
      <c r="AB1812" s="31">
        <f>IF($AA1812="","",SUBSTITUTE(SUBSTITUTE(SUBSTITUTE(SUBSTITUTE(SUBSTITUTE(SUBSTITUTE(SUBSTITUTE(SUBSTITUTE(SUBSTITUTE($AA1812," ",""),"　",""),"(주)",""),"（주）",""),"㈜",""),"주식회사",""),"(유)",""),"（유）",""),"유한회사",""))</f>
        <v/>
      </c>
      <c r="AC1812" s="31">
        <f>IF(OR($Y1812="",N($Z1812)&lt;=0,$AB1812=""),0,IFERROR(LOOKUP(2,1/((거래처별!$AC$8:$AC$307&lt;&gt;"")*ISNUMBER(SEARCH(거래처별!$AC$8:$AC$307,$AB1812))),거래처별!$A$8:$A$307),IFERROR(LOOKUP(2,1/((거래처별!$AD$8:$AD$307&lt;&gt;"")*ISNUMBER(SEARCH(거래처별!$AD$8:$AD$307,$AB1812))),거래처별!$A$8:$A$307),IFERROR(LOOKUP(2,1/((거래처별!$AE$8:$AE$307&lt;&gt;"")*ISNUMBER(SEARCH(거래처별!$AE$8:$AE$307,$AB1812))),거래처별!$A$8:$A$307),0))))</f>
        <v/>
      </c>
      <c r="AD1812" s="31">
        <f>IF(AND($Y1812&lt;&gt;"",N($Z1812)&gt;0,$AC1812=0),MAX($AD$7:$AD1811)+1,"")</f>
        <v/>
      </c>
      <c r="AE1812" s="31">
        <f>IF($Y1812="",0,$Y1812)</f>
        <v/>
      </c>
    </row>
    <row r="1813">
      <c r="W1813" s="31">
        <f>IF(OR($B$5="",$C$6="",ROW()&lt;$B$5),"",IF(INDEX($A:$U,ROW(),$C$6)="","",INDEX($A:$U,ROW(),$C$6)))</f>
        <v/>
      </c>
      <c r="X1813" s="32">
        <f>IF($W1813="","",IF(ISNUMBER($W1813),IF($W1813&gt;=10000000,IFERROR(DATE(INT($W1813/10000),MOD(INT($W1813/100),100),MOD($W1813,100)),""),INT($W1813)),IFERROR(DATE(--LEFT(LEFT(SUBSTITUTE(SUBSTITUTE(SUBSTITUTE(SUBSTITUTE(TRIM($W1813),"-",""),".",""),"/","")," ",""),8),4),--MID(LEFT(SUBSTITUTE(SUBSTITUTE(SUBSTITUTE(SUBSTITUTE(TRIM($W1813),"-",""),".",""),"/","")," ",""),8),5,2),--MID(LEFT(SUBSTITUTE(SUBSTITUTE(SUBSTITUTE(SUBSTITUTE(TRIM($W1813),"-",""),".",""),"/","")," ",""),8),7,2)),"")))</f>
        <v/>
      </c>
      <c r="Y1813" s="32">
        <f>IF($X1813="","",INT($X1813))</f>
        <v/>
      </c>
      <c r="Z1813" s="33">
        <f>IF(OR($Y1813="",$D$6=""),"",IF(INDEX($A:$U,ROW(),$D$6)="",0,IF(ISNUMBER(INDEX($A:$U,ROW(),$D$6)),INDEX($A:$U,ROW(),$D$6),IFERROR(--SUBSTITUTE(SUBSTITUTE(TRIM(INDEX($A:$U,ROW(),$D$6)),",",""),"원",""),0))))</f>
        <v/>
      </c>
      <c r="AA1813" s="31">
        <f>IF($Y1813="","",TRIM(INDEX($A:$U,ROW(),$E$6)&amp;IF($F$6="",""," "&amp;INDEX($A:$U,ROW(),$F$6))))</f>
        <v/>
      </c>
      <c r="AB1813" s="31">
        <f>IF($AA1813="","",SUBSTITUTE(SUBSTITUTE(SUBSTITUTE(SUBSTITUTE(SUBSTITUTE(SUBSTITUTE(SUBSTITUTE(SUBSTITUTE(SUBSTITUTE($AA1813," ",""),"　",""),"(주)",""),"（주）",""),"㈜",""),"주식회사",""),"(유)",""),"（유）",""),"유한회사",""))</f>
        <v/>
      </c>
      <c r="AC1813" s="31">
        <f>IF(OR($Y1813="",N($Z1813)&lt;=0,$AB1813=""),0,IFERROR(LOOKUP(2,1/((거래처별!$AC$8:$AC$307&lt;&gt;"")*ISNUMBER(SEARCH(거래처별!$AC$8:$AC$307,$AB1813))),거래처별!$A$8:$A$307),IFERROR(LOOKUP(2,1/((거래처별!$AD$8:$AD$307&lt;&gt;"")*ISNUMBER(SEARCH(거래처별!$AD$8:$AD$307,$AB1813))),거래처별!$A$8:$A$307),IFERROR(LOOKUP(2,1/((거래처별!$AE$8:$AE$307&lt;&gt;"")*ISNUMBER(SEARCH(거래처별!$AE$8:$AE$307,$AB1813))),거래처별!$A$8:$A$307),0))))</f>
        <v/>
      </c>
      <c r="AD1813" s="31">
        <f>IF(AND($Y1813&lt;&gt;"",N($Z1813)&gt;0,$AC1813=0),MAX($AD$7:$AD1812)+1,"")</f>
        <v/>
      </c>
      <c r="AE1813" s="31">
        <f>IF($Y1813="",0,$Y1813)</f>
        <v/>
      </c>
    </row>
    <row r="1814">
      <c r="W1814" s="31">
        <f>IF(OR($B$5="",$C$6="",ROW()&lt;$B$5),"",IF(INDEX($A:$U,ROW(),$C$6)="","",INDEX($A:$U,ROW(),$C$6)))</f>
        <v/>
      </c>
      <c r="X1814" s="32">
        <f>IF($W1814="","",IF(ISNUMBER($W1814),IF($W1814&gt;=10000000,IFERROR(DATE(INT($W1814/10000),MOD(INT($W1814/100),100),MOD($W1814,100)),""),INT($W1814)),IFERROR(DATE(--LEFT(LEFT(SUBSTITUTE(SUBSTITUTE(SUBSTITUTE(SUBSTITUTE(TRIM($W1814),"-",""),".",""),"/","")," ",""),8),4),--MID(LEFT(SUBSTITUTE(SUBSTITUTE(SUBSTITUTE(SUBSTITUTE(TRIM($W1814),"-",""),".",""),"/","")," ",""),8),5,2),--MID(LEFT(SUBSTITUTE(SUBSTITUTE(SUBSTITUTE(SUBSTITUTE(TRIM($W1814),"-",""),".",""),"/","")," ",""),8),7,2)),"")))</f>
        <v/>
      </c>
      <c r="Y1814" s="32">
        <f>IF($X1814="","",INT($X1814))</f>
        <v/>
      </c>
      <c r="Z1814" s="33">
        <f>IF(OR($Y1814="",$D$6=""),"",IF(INDEX($A:$U,ROW(),$D$6)="",0,IF(ISNUMBER(INDEX($A:$U,ROW(),$D$6)),INDEX($A:$U,ROW(),$D$6),IFERROR(--SUBSTITUTE(SUBSTITUTE(TRIM(INDEX($A:$U,ROW(),$D$6)),",",""),"원",""),0))))</f>
        <v/>
      </c>
      <c r="AA1814" s="31">
        <f>IF($Y1814="","",TRIM(INDEX($A:$U,ROW(),$E$6)&amp;IF($F$6="",""," "&amp;INDEX($A:$U,ROW(),$F$6))))</f>
        <v/>
      </c>
      <c r="AB1814" s="31">
        <f>IF($AA1814="","",SUBSTITUTE(SUBSTITUTE(SUBSTITUTE(SUBSTITUTE(SUBSTITUTE(SUBSTITUTE(SUBSTITUTE(SUBSTITUTE(SUBSTITUTE($AA1814," ",""),"　",""),"(주)",""),"（주）",""),"㈜",""),"주식회사",""),"(유)",""),"（유）",""),"유한회사",""))</f>
        <v/>
      </c>
      <c r="AC1814" s="31">
        <f>IF(OR($Y1814="",N($Z1814)&lt;=0,$AB1814=""),0,IFERROR(LOOKUP(2,1/((거래처별!$AC$8:$AC$307&lt;&gt;"")*ISNUMBER(SEARCH(거래처별!$AC$8:$AC$307,$AB1814))),거래처별!$A$8:$A$307),IFERROR(LOOKUP(2,1/((거래처별!$AD$8:$AD$307&lt;&gt;"")*ISNUMBER(SEARCH(거래처별!$AD$8:$AD$307,$AB1814))),거래처별!$A$8:$A$307),IFERROR(LOOKUP(2,1/((거래처별!$AE$8:$AE$307&lt;&gt;"")*ISNUMBER(SEARCH(거래처별!$AE$8:$AE$307,$AB1814))),거래처별!$A$8:$A$307),0))))</f>
        <v/>
      </c>
      <c r="AD1814" s="31">
        <f>IF(AND($Y1814&lt;&gt;"",N($Z1814)&gt;0,$AC1814=0),MAX($AD$7:$AD1813)+1,"")</f>
        <v/>
      </c>
      <c r="AE1814" s="31">
        <f>IF($Y1814="",0,$Y1814)</f>
        <v/>
      </c>
    </row>
    <row r="1815">
      <c r="W1815" s="31">
        <f>IF(OR($B$5="",$C$6="",ROW()&lt;$B$5),"",IF(INDEX($A:$U,ROW(),$C$6)="","",INDEX($A:$U,ROW(),$C$6)))</f>
        <v/>
      </c>
      <c r="X1815" s="32">
        <f>IF($W1815="","",IF(ISNUMBER($W1815),IF($W1815&gt;=10000000,IFERROR(DATE(INT($W1815/10000),MOD(INT($W1815/100),100),MOD($W1815,100)),""),INT($W1815)),IFERROR(DATE(--LEFT(LEFT(SUBSTITUTE(SUBSTITUTE(SUBSTITUTE(SUBSTITUTE(TRIM($W1815),"-",""),".",""),"/","")," ",""),8),4),--MID(LEFT(SUBSTITUTE(SUBSTITUTE(SUBSTITUTE(SUBSTITUTE(TRIM($W1815),"-",""),".",""),"/","")," ",""),8),5,2),--MID(LEFT(SUBSTITUTE(SUBSTITUTE(SUBSTITUTE(SUBSTITUTE(TRIM($W1815),"-",""),".",""),"/","")," ",""),8),7,2)),"")))</f>
        <v/>
      </c>
      <c r="Y1815" s="32">
        <f>IF($X1815="","",INT($X1815))</f>
        <v/>
      </c>
      <c r="Z1815" s="33">
        <f>IF(OR($Y1815="",$D$6=""),"",IF(INDEX($A:$U,ROW(),$D$6)="",0,IF(ISNUMBER(INDEX($A:$U,ROW(),$D$6)),INDEX($A:$U,ROW(),$D$6),IFERROR(--SUBSTITUTE(SUBSTITUTE(TRIM(INDEX($A:$U,ROW(),$D$6)),",",""),"원",""),0))))</f>
        <v/>
      </c>
      <c r="AA1815" s="31">
        <f>IF($Y1815="","",TRIM(INDEX($A:$U,ROW(),$E$6)&amp;IF($F$6="",""," "&amp;INDEX($A:$U,ROW(),$F$6))))</f>
        <v/>
      </c>
      <c r="AB1815" s="31">
        <f>IF($AA1815="","",SUBSTITUTE(SUBSTITUTE(SUBSTITUTE(SUBSTITUTE(SUBSTITUTE(SUBSTITUTE(SUBSTITUTE(SUBSTITUTE(SUBSTITUTE($AA1815," ",""),"　",""),"(주)",""),"（주）",""),"㈜",""),"주식회사",""),"(유)",""),"（유）",""),"유한회사",""))</f>
        <v/>
      </c>
      <c r="AC1815" s="31">
        <f>IF(OR($Y1815="",N($Z1815)&lt;=0,$AB1815=""),0,IFERROR(LOOKUP(2,1/((거래처별!$AC$8:$AC$307&lt;&gt;"")*ISNUMBER(SEARCH(거래처별!$AC$8:$AC$307,$AB1815))),거래처별!$A$8:$A$307),IFERROR(LOOKUP(2,1/((거래처별!$AD$8:$AD$307&lt;&gt;"")*ISNUMBER(SEARCH(거래처별!$AD$8:$AD$307,$AB1815))),거래처별!$A$8:$A$307),IFERROR(LOOKUP(2,1/((거래처별!$AE$8:$AE$307&lt;&gt;"")*ISNUMBER(SEARCH(거래처별!$AE$8:$AE$307,$AB1815))),거래처별!$A$8:$A$307),0))))</f>
        <v/>
      </c>
      <c r="AD1815" s="31">
        <f>IF(AND($Y1815&lt;&gt;"",N($Z1815)&gt;0,$AC1815=0),MAX($AD$7:$AD1814)+1,"")</f>
        <v/>
      </c>
      <c r="AE1815" s="31">
        <f>IF($Y1815="",0,$Y1815)</f>
        <v/>
      </c>
    </row>
    <row r="1816">
      <c r="W1816" s="31">
        <f>IF(OR($B$5="",$C$6="",ROW()&lt;$B$5),"",IF(INDEX($A:$U,ROW(),$C$6)="","",INDEX($A:$U,ROW(),$C$6)))</f>
        <v/>
      </c>
      <c r="X1816" s="32">
        <f>IF($W1816="","",IF(ISNUMBER($W1816),IF($W1816&gt;=10000000,IFERROR(DATE(INT($W1816/10000),MOD(INT($W1816/100),100),MOD($W1816,100)),""),INT($W1816)),IFERROR(DATE(--LEFT(LEFT(SUBSTITUTE(SUBSTITUTE(SUBSTITUTE(SUBSTITUTE(TRIM($W1816),"-",""),".",""),"/","")," ",""),8),4),--MID(LEFT(SUBSTITUTE(SUBSTITUTE(SUBSTITUTE(SUBSTITUTE(TRIM($W1816),"-",""),".",""),"/","")," ",""),8),5,2),--MID(LEFT(SUBSTITUTE(SUBSTITUTE(SUBSTITUTE(SUBSTITUTE(TRIM($W1816),"-",""),".",""),"/","")," ",""),8),7,2)),"")))</f>
        <v/>
      </c>
      <c r="Y1816" s="32">
        <f>IF($X1816="","",INT($X1816))</f>
        <v/>
      </c>
      <c r="Z1816" s="33">
        <f>IF(OR($Y1816="",$D$6=""),"",IF(INDEX($A:$U,ROW(),$D$6)="",0,IF(ISNUMBER(INDEX($A:$U,ROW(),$D$6)),INDEX($A:$U,ROW(),$D$6),IFERROR(--SUBSTITUTE(SUBSTITUTE(TRIM(INDEX($A:$U,ROW(),$D$6)),",",""),"원",""),0))))</f>
        <v/>
      </c>
      <c r="AA1816" s="31">
        <f>IF($Y1816="","",TRIM(INDEX($A:$U,ROW(),$E$6)&amp;IF($F$6="",""," "&amp;INDEX($A:$U,ROW(),$F$6))))</f>
        <v/>
      </c>
      <c r="AB1816" s="31">
        <f>IF($AA1816="","",SUBSTITUTE(SUBSTITUTE(SUBSTITUTE(SUBSTITUTE(SUBSTITUTE(SUBSTITUTE(SUBSTITUTE(SUBSTITUTE(SUBSTITUTE($AA1816," ",""),"　",""),"(주)",""),"（주）",""),"㈜",""),"주식회사",""),"(유)",""),"（유）",""),"유한회사",""))</f>
        <v/>
      </c>
      <c r="AC1816" s="31">
        <f>IF(OR($Y1816="",N($Z1816)&lt;=0,$AB1816=""),0,IFERROR(LOOKUP(2,1/((거래처별!$AC$8:$AC$307&lt;&gt;"")*ISNUMBER(SEARCH(거래처별!$AC$8:$AC$307,$AB1816))),거래처별!$A$8:$A$307),IFERROR(LOOKUP(2,1/((거래처별!$AD$8:$AD$307&lt;&gt;"")*ISNUMBER(SEARCH(거래처별!$AD$8:$AD$307,$AB1816))),거래처별!$A$8:$A$307),IFERROR(LOOKUP(2,1/((거래처별!$AE$8:$AE$307&lt;&gt;"")*ISNUMBER(SEARCH(거래처별!$AE$8:$AE$307,$AB1816))),거래처별!$A$8:$A$307),0))))</f>
        <v/>
      </c>
      <c r="AD1816" s="31">
        <f>IF(AND($Y1816&lt;&gt;"",N($Z1816)&gt;0,$AC1816=0),MAX($AD$7:$AD1815)+1,"")</f>
        <v/>
      </c>
      <c r="AE1816" s="31">
        <f>IF($Y1816="",0,$Y1816)</f>
        <v/>
      </c>
    </row>
    <row r="1817">
      <c r="W1817" s="31">
        <f>IF(OR($B$5="",$C$6="",ROW()&lt;$B$5),"",IF(INDEX($A:$U,ROW(),$C$6)="","",INDEX($A:$U,ROW(),$C$6)))</f>
        <v/>
      </c>
      <c r="X1817" s="32">
        <f>IF($W1817="","",IF(ISNUMBER($W1817),IF($W1817&gt;=10000000,IFERROR(DATE(INT($W1817/10000),MOD(INT($W1817/100),100),MOD($W1817,100)),""),INT($W1817)),IFERROR(DATE(--LEFT(LEFT(SUBSTITUTE(SUBSTITUTE(SUBSTITUTE(SUBSTITUTE(TRIM($W1817),"-",""),".",""),"/","")," ",""),8),4),--MID(LEFT(SUBSTITUTE(SUBSTITUTE(SUBSTITUTE(SUBSTITUTE(TRIM($W1817),"-",""),".",""),"/","")," ",""),8),5,2),--MID(LEFT(SUBSTITUTE(SUBSTITUTE(SUBSTITUTE(SUBSTITUTE(TRIM($W1817),"-",""),".",""),"/","")," ",""),8),7,2)),"")))</f>
        <v/>
      </c>
      <c r="Y1817" s="32">
        <f>IF($X1817="","",INT($X1817))</f>
        <v/>
      </c>
      <c r="Z1817" s="33">
        <f>IF(OR($Y1817="",$D$6=""),"",IF(INDEX($A:$U,ROW(),$D$6)="",0,IF(ISNUMBER(INDEX($A:$U,ROW(),$D$6)),INDEX($A:$U,ROW(),$D$6),IFERROR(--SUBSTITUTE(SUBSTITUTE(TRIM(INDEX($A:$U,ROW(),$D$6)),",",""),"원",""),0))))</f>
        <v/>
      </c>
      <c r="AA1817" s="31">
        <f>IF($Y1817="","",TRIM(INDEX($A:$U,ROW(),$E$6)&amp;IF($F$6="",""," "&amp;INDEX($A:$U,ROW(),$F$6))))</f>
        <v/>
      </c>
      <c r="AB1817" s="31">
        <f>IF($AA1817="","",SUBSTITUTE(SUBSTITUTE(SUBSTITUTE(SUBSTITUTE(SUBSTITUTE(SUBSTITUTE(SUBSTITUTE(SUBSTITUTE(SUBSTITUTE($AA1817," ",""),"　",""),"(주)",""),"（주）",""),"㈜",""),"주식회사",""),"(유)",""),"（유）",""),"유한회사",""))</f>
        <v/>
      </c>
      <c r="AC1817" s="31">
        <f>IF(OR($Y1817="",N($Z1817)&lt;=0,$AB1817=""),0,IFERROR(LOOKUP(2,1/((거래처별!$AC$8:$AC$307&lt;&gt;"")*ISNUMBER(SEARCH(거래처별!$AC$8:$AC$307,$AB1817))),거래처별!$A$8:$A$307),IFERROR(LOOKUP(2,1/((거래처별!$AD$8:$AD$307&lt;&gt;"")*ISNUMBER(SEARCH(거래처별!$AD$8:$AD$307,$AB1817))),거래처별!$A$8:$A$307),IFERROR(LOOKUP(2,1/((거래처별!$AE$8:$AE$307&lt;&gt;"")*ISNUMBER(SEARCH(거래처별!$AE$8:$AE$307,$AB1817))),거래처별!$A$8:$A$307),0))))</f>
        <v/>
      </c>
      <c r="AD1817" s="31">
        <f>IF(AND($Y1817&lt;&gt;"",N($Z1817)&gt;0,$AC1817=0),MAX($AD$7:$AD1816)+1,"")</f>
        <v/>
      </c>
      <c r="AE1817" s="31">
        <f>IF($Y1817="",0,$Y1817)</f>
        <v/>
      </c>
    </row>
    <row r="1818">
      <c r="W1818" s="31">
        <f>IF(OR($B$5="",$C$6="",ROW()&lt;$B$5),"",IF(INDEX($A:$U,ROW(),$C$6)="","",INDEX($A:$U,ROW(),$C$6)))</f>
        <v/>
      </c>
      <c r="X1818" s="32">
        <f>IF($W1818="","",IF(ISNUMBER($W1818),IF($W1818&gt;=10000000,IFERROR(DATE(INT($W1818/10000),MOD(INT($W1818/100),100),MOD($W1818,100)),""),INT($W1818)),IFERROR(DATE(--LEFT(LEFT(SUBSTITUTE(SUBSTITUTE(SUBSTITUTE(SUBSTITUTE(TRIM($W1818),"-",""),".",""),"/","")," ",""),8),4),--MID(LEFT(SUBSTITUTE(SUBSTITUTE(SUBSTITUTE(SUBSTITUTE(TRIM($W1818),"-",""),".",""),"/","")," ",""),8),5,2),--MID(LEFT(SUBSTITUTE(SUBSTITUTE(SUBSTITUTE(SUBSTITUTE(TRIM($W1818),"-",""),".",""),"/","")," ",""),8),7,2)),"")))</f>
        <v/>
      </c>
      <c r="Y1818" s="32">
        <f>IF($X1818="","",INT($X1818))</f>
        <v/>
      </c>
      <c r="Z1818" s="33">
        <f>IF(OR($Y1818="",$D$6=""),"",IF(INDEX($A:$U,ROW(),$D$6)="",0,IF(ISNUMBER(INDEX($A:$U,ROW(),$D$6)),INDEX($A:$U,ROW(),$D$6),IFERROR(--SUBSTITUTE(SUBSTITUTE(TRIM(INDEX($A:$U,ROW(),$D$6)),",",""),"원",""),0))))</f>
        <v/>
      </c>
      <c r="AA1818" s="31">
        <f>IF($Y1818="","",TRIM(INDEX($A:$U,ROW(),$E$6)&amp;IF($F$6="",""," "&amp;INDEX($A:$U,ROW(),$F$6))))</f>
        <v/>
      </c>
      <c r="AB1818" s="31">
        <f>IF($AA1818="","",SUBSTITUTE(SUBSTITUTE(SUBSTITUTE(SUBSTITUTE(SUBSTITUTE(SUBSTITUTE(SUBSTITUTE(SUBSTITUTE(SUBSTITUTE($AA1818," ",""),"　",""),"(주)",""),"（주）",""),"㈜",""),"주식회사",""),"(유)",""),"（유）",""),"유한회사",""))</f>
        <v/>
      </c>
      <c r="AC1818" s="31">
        <f>IF(OR($Y1818="",N($Z1818)&lt;=0,$AB1818=""),0,IFERROR(LOOKUP(2,1/((거래처별!$AC$8:$AC$307&lt;&gt;"")*ISNUMBER(SEARCH(거래처별!$AC$8:$AC$307,$AB1818))),거래처별!$A$8:$A$307),IFERROR(LOOKUP(2,1/((거래처별!$AD$8:$AD$307&lt;&gt;"")*ISNUMBER(SEARCH(거래처별!$AD$8:$AD$307,$AB1818))),거래처별!$A$8:$A$307),IFERROR(LOOKUP(2,1/((거래처별!$AE$8:$AE$307&lt;&gt;"")*ISNUMBER(SEARCH(거래처별!$AE$8:$AE$307,$AB1818))),거래처별!$A$8:$A$307),0))))</f>
        <v/>
      </c>
      <c r="AD1818" s="31">
        <f>IF(AND($Y1818&lt;&gt;"",N($Z1818)&gt;0,$AC1818=0),MAX($AD$7:$AD1817)+1,"")</f>
        <v/>
      </c>
      <c r="AE1818" s="31">
        <f>IF($Y1818="",0,$Y1818)</f>
        <v/>
      </c>
    </row>
    <row r="1819">
      <c r="W1819" s="31">
        <f>IF(OR($B$5="",$C$6="",ROW()&lt;$B$5),"",IF(INDEX($A:$U,ROW(),$C$6)="","",INDEX($A:$U,ROW(),$C$6)))</f>
        <v/>
      </c>
      <c r="X1819" s="32">
        <f>IF($W1819="","",IF(ISNUMBER($W1819),IF($W1819&gt;=10000000,IFERROR(DATE(INT($W1819/10000),MOD(INT($W1819/100),100),MOD($W1819,100)),""),INT($W1819)),IFERROR(DATE(--LEFT(LEFT(SUBSTITUTE(SUBSTITUTE(SUBSTITUTE(SUBSTITUTE(TRIM($W1819),"-",""),".",""),"/","")," ",""),8),4),--MID(LEFT(SUBSTITUTE(SUBSTITUTE(SUBSTITUTE(SUBSTITUTE(TRIM($W1819),"-",""),".",""),"/","")," ",""),8),5,2),--MID(LEFT(SUBSTITUTE(SUBSTITUTE(SUBSTITUTE(SUBSTITUTE(TRIM($W1819),"-",""),".",""),"/","")," ",""),8),7,2)),"")))</f>
        <v/>
      </c>
      <c r="Y1819" s="32">
        <f>IF($X1819="","",INT($X1819))</f>
        <v/>
      </c>
      <c r="Z1819" s="33">
        <f>IF(OR($Y1819="",$D$6=""),"",IF(INDEX($A:$U,ROW(),$D$6)="",0,IF(ISNUMBER(INDEX($A:$U,ROW(),$D$6)),INDEX($A:$U,ROW(),$D$6),IFERROR(--SUBSTITUTE(SUBSTITUTE(TRIM(INDEX($A:$U,ROW(),$D$6)),",",""),"원",""),0))))</f>
        <v/>
      </c>
      <c r="AA1819" s="31">
        <f>IF($Y1819="","",TRIM(INDEX($A:$U,ROW(),$E$6)&amp;IF($F$6="",""," "&amp;INDEX($A:$U,ROW(),$F$6))))</f>
        <v/>
      </c>
      <c r="AB1819" s="31">
        <f>IF($AA1819="","",SUBSTITUTE(SUBSTITUTE(SUBSTITUTE(SUBSTITUTE(SUBSTITUTE(SUBSTITUTE(SUBSTITUTE(SUBSTITUTE(SUBSTITUTE($AA1819," ",""),"　",""),"(주)",""),"（주）",""),"㈜",""),"주식회사",""),"(유)",""),"（유）",""),"유한회사",""))</f>
        <v/>
      </c>
      <c r="AC1819" s="31">
        <f>IF(OR($Y1819="",N($Z1819)&lt;=0,$AB1819=""),0,IFERROR(LOOKUP(2,1/((거래처별!$AC$8:$AC$307&lt;&gt;"")*ISNUMBER(SEARCH(거래처별!$AC$8:$AC$307,$AB1819))),거래처별!$A$8:$A$307),IFERROR(LOOKUP(2,1/((거래처별!$AD$8:$AD$307&lt;&gt;"")*ISNUMBER(SEARCH(거래처별!$AD$8:$AD$307,$AB1819))),거래처별!$A$8:$A$307),IFERROR(LOOKUP(2,1/((거래처별!$AE$8:$AE$307&lt;&gt;"")*ISNUMBER(SEARCH(거래처별!$AE$8:$AE$307,$AB1819))),거래처별!$A$8:$A$307),0))))</f>
        <v/>
      </c>
      <c r="AD1819" s="31">
        <f>IF(AND($Y1819&lt;&gt;"",N($Z1819)&gt;0,$AC1819=0),MAX($AD$7:$AD1818)+1,"")</f>
        <v/>
      </c>
      <c r="AE1819" s="31">
        <f>IF($Y1819="",0,$Y1819)</f>
        <v/>
      </c>
    </row>
    <row r="1820">
      <c r="W1820" s="31">
        <f>IF(OR($B$5="",$C$6="",ROW()&lt;$B$5),"",IF(INDEX($A:$U,ROW(),$C$6)="","",INDEX($A:$U,ROW(),$C$6)))</f>
        <v/>
      </c>
      <c r="X1820" s="32">
        <f>IF($W1820="","",IF(ISNUMBER($W1820),IF($W1820&gt;=10000000,IFERROR(DATE(INT($W1820/10000),MOD(INT($W1820/100),100),MOD($W1820,100)),""),INT($W1820)),IFERROR(DATE(--LEFT(LEFT(SUBSTITUTE(SUBSTITUTE(SUBSTITUTE(SUBSTITUTE(TRIM($W1820),"-",""),".",""),"/","")," ",""),8),4),--MID(LEFT(SUBSTITUTE(SUBSTITUTE(SUBSTITUTE(SUBSTITUTE(TRIM($W1820),"-",""),".",""),"/","")," ",""),8),5,2),--MID(LEFT(SUBSTITUTE(SUBSTITUTE(SUBSTITUTE(SUBSTITUTE(TRIM($W1820),"-",""),".",""),"/","")," ",""),8),7,2)),"")))</f>
        <v/>
      </c>
      <c r="Y1820" s="32">
        <f>IF($X1820="","",INT($X1820))</f>
        <v/>
      </c>
      <c r="Z1820" s="33">
        <f>IF(OR($Y1820="",$D$6=""),"",IF(INDEX($A:$U,ROW(),$D$6)="",0,IF(ISNUMBER(INDEX($A:$U,ROW(),$D$6)),INDEX($A:$U,ROW(),$D$6),IFERROR(--SUBSTITUTE(SUBSTITUTE(TRIM(INDEX($A:$U,ROW(),$D$6)),",",""),"원",""),0))))</f>
        <v/>
      </c>
      <c r="AA1820" s="31">
        <f>IF($Y1820="","",TRIM(INDEX($A:$U,ROW(),$E$6)&amp;IF($F$6="",""," "&amp;INDEX($A:$U,ROW(),$F$6))))</f>
        <v/>
      </c>
      <c r="AB1820" s="31">
        <f>IF($AA1820="","",SUBSTITUTE(SUBSTITUTE(SUBSTITUTE(SUBSTITUTE(SUBSTITUTE(SUBSTITUTE(SUBSTITUTE(SUBSTITUTE(SUBSTITUTE($AA1820," ",""),"　",""),"(주)",""),"（주）",""),"㈜",""),"주식회사",""),"(유)",""),"（유）",""),"유한회사",""))</f>
        <v/>
      </c>
      <c r="AC1820" s="31">
        <f>IF(OR($Y1820="",N($Z1820)&lt;=0,$AB1820=""),0,IFERROR(LOOKUP(2,1/((거래처별!$AC$8:$AC$307&lt;&gt;"")*ISNUMBER(SEARCH(거래처별!$AC$8:$AC$307,$AB1820))),거래처별!$A$8:$A$307),IFERROR(LOOKUP(2,1/((거래처별!$AD$8:$AD$307&lt;&gt;"")*ISNUMBER(SEARCH(거래처별!$AD$8:$AD$307,$AB1820))),거래처별!$A$8:$A$307),IFERROR(LOOKUP(2,1/((거래처별!$AE$8:$AE$307&lt;&gt;"")*ISNUMBER(SEARCH(거래처별!$AE$8:$AE$307,$AB1820))),거래처별!$A$8:$A$307),0))))</f>
        <v/>
      </c>
      <c r="AD1820" s="31">
        <f>IF(AND($Y1820&lt;&gt;"",N($Z1820)&gt;0,$AC1820=0),MAX($AD$7:$AD1819)+1,"")</f>
        <v/>
      </c>
      <c r="AE1820" s="31">
        <f>IF($Y1820="",0,$Y1820)</f>
        <v/>
      </c>
    </row>
    <row r="1821">
      <c r="W1821" s="31">
        <f>IF(OR($B$5="",$C$6="",ROW()&lt;$B$5),"",IF(INDEX($A:$U,ROW(),$C$6)="","",INDEX($A:$U,ROW(),$C$6)))</f>
        <v/>
      </c>
      <c r="X1821" s="32">
        <f>IF($W1821="","",IF(ISNUMBER($W1821),IF($W1821&gt;=10000000,IFERROR(DATE(INT($W1821/10000),MOD(INT($W1821/100),100),MOD($W1821,100)),""),INT($W1821)),IFERROR(DATE(--LEFT(LEFT(SUBSTITUTE(SUBSTITUTE(SUBSTITUTE(SUBSTITUTE(TRIM($W1821),"-",""),".",""),"/","")," ",""),8),4),--MID(LEFT(SUBSTITUTE(SUBSTITUTE(SUBSTITUTE(SUBSTITUTE(TRIM($W1821),"-",""),".",""),"/","")," ",""),8),5,2),--MID(LEFT(SUBSTITUTE(SUBSTITUTE(SUBSTITUTE(SUBSTITUTE(TRIM($W1821),"-",""),".",""),"/","")," ",""),8),7,2)),"")))</f>
        <v/>
      </c>
      <c r="Y1821" s="32">
        <f>IF($X1821="","",INT($X1821))</f>
        <v/>
      </c>
      <c r="Z1821" s="33">
        <f>IF(OR($Y1821="",$D$6=""),"",IF(INDEX($A:$U,ROW(),$D$6)="",0,IF(ISNUMBER(INDEX($A:$U,ROW(),$D$6)),INDEX($A:$U,ROW(),$D$6),IFERROR(--SUBSTITUTE(SUBSTITUTE(TRIM(INDEX($A:$U,ROW(),$D$6)),",",""),"원",""),0))))</f>
        <v/>
      </c>
      <c r="AA1821" s="31">
        <f>IF($Y1821="","",TRIM(INDEX($A:$U,ROW(),$E$6)&amp;IF($F$6="",""," "&amp;INDEX($A:$U,ROW(),$F$6))))</f>
        <v/>
      </c>
      <c r="AB1821" s="31">
        <f>IF($AA1821="","",SUBSTITUTE(SUBSTITUTE(SUBSTITUTE(SUBSTITUTE(SUBSTITUTE(SUBSTITUTE(SUBSTITUTE(SUBSTITUTE(SUBSTITUTE($AA1821," ",""),"　",""),"(주)",""),"（주）",""),"㈜",""),"주식회사",""),"(유)",""),"（유）",""),"유한회사",""))</f>
        <v/>
      </c>
      <c r="AC1821" s="31">
        <f>IF(OR($Y1821="",N($Z1821)&lt;=0,$AB1821=""),0,IFERROR(LOOKUP(2,1/((거래처별!$AC$8:$AC$307&lt;&gt;"")*ISNUMBER(SEARCH(거래처별!$AC$8:$AC$307,$AB1821))),거래처별!$A$8:$A$307),IFERROR(LOOKUP(2,1/((거래처별!$AD$8:$AD$307&lt;&gt;"")*ISNUMBER(SEARCH(거래처별!$AD$8:$AD$307,$AB1821))),거래처별!$A$8:$A$307),IFERROR(LOOKUP(2,1/((거래처별!$AE$8:$AE$307&lt;&gt;"")*ISNUMBER(SEARCH(거래처별!$AE$8:$AE$307,$AB1821))),거래처별!$A$8:$A$307),0))))</f>
        <v/>
      </c>
      <c r="AD1821" s="31">
        <f>IF(AND($Y1821&lt;&gt;"",N($Z1821)&gt;0,$AC1821=0),MAX($AD$7:$AD1820)+1,"")</f>
        <v/>
      </c>
      <c r="AE1821" s="31">
        <f>IF($Y1821="",0,$Y1821)</f>
        <v/>
      </c>
    </row>
    <row r="1822">
      <c r="W1822" s="31">
        <f>IF(OR($B$5="",$C$6="",ROW()&lt;$B$5),"",IF(INDEX($A:$U,ROW(),$C$6)="","",INDEX($A:$U,ROW(),$C$6)))</f>
        <v/>
      </c>
      <c r="X1822" s="32">
        <f>IF($W1822="","",IF(ISNUMBER($W1822),IF($W1822&gt;=10000000,IFERROR(DATE(INT($W1822/10000),MOD(INT($W1822/100),100),MOD($W1822,100)),""),INT($W1822)),IFERROR(DATE(--LEFT(LEFT(SUBSTITUTE(SUBSTITUTE(SUBSTITUTE(SUBSTITUTE(TRIM($W1822),"-",""),".",""),"/","")," ",""),8),4),--MID(LEFT(SUBSTITUTE(SUBSTITUTE(SUBSTITUTE(SUBSTITUTE(TRIM($W1822),"-",""),".",""),"/","")," ",""),8),5,2),--MID(LEFT(SUBSTITUTE(SUBSTITUTE(SUBSTITUTE(SUBSTITUTE(TRIM($W1822),"-",""),".",""),"/","")," ",""),8),7,2)),"")))</f>
        <v/>
      </c>
      <c r="Y1822" s="32">
        <f>IF($X1822="","",INT($X1822))</f>
        <v/>
      </c>
      <c r="Z1822" s="33">
        <f>IF(OR($Y1822="",$D$6=""),"",IF(INDEX($A:$U,ROW(),$D$6)="",0,IF(ISNUMBER(INDEX($A:$U,ROW(),$D$6)),INDEX($A:$U,ROW(),$D$6),IFERROR(--SUBSTITUTE(SUBSTITUTE(TRIM(INDEX($A:$U,ROW(),$D$6)),",",""),"원",""),0))))</f>
        <v/>
      </c>
      <c r="AA1822" s="31">
        <f>IF($Y1822="","",TRIM(INDEX($A:$U,ROW(),$E$6)&amp;IF($F$6="",""," "&amp;INDEX($A:$U,ROW(),$F$6))))</f>
        <v/>
      </c>
      <c r="AB1822" s="31">
        <f>IF($AA1822="","",SUBSTITUTE(SUBSTITUTE(SUBSTITUTE(SUBSTITUTE(SUBSTITUTE(SUBSTITUTE(SUBSTITUTE(SUBSTITUTE(SUBSTITUTE($AA1822," ",""),"　",""),"(주)",""),"（주）",""),"㈜",""),"주식회사",""),"(유)",""),"（유）",""),"유한회사",""))</f>
        <v/>
      </c>
      <c r="AC1822" s="31">
        <f>IF(OR($Y1822="",N($Z1822)&lt;=0,$AB1822=""),0,IFERROR(LOOKUP(2,1/((거래처별!$AC$8:$AC$307&lt;&gt;"")*ISNUMBER(SEARCH(거래처별!$AC$8:$AC$307,$AB1822))),거래처별!$A$8:$A$307),IFERROR(LOOKUP(2,1/((거래처별!$AD$8:$AD$307&lt;&gt;"")*ISNUMBER(SEARCH(거래처별!$AD$8:$AD$307,$AB1822))),거래처별!$A$8:$A$307),IFERROR(LOOKUP(2,1/((거래처별!$AE$8:$AE$307&lt;&gt;"")*ISNUMBER(SEARCH(거래처별!$AE$8:$AE$307,$AB1822))),거래처별!$A$8:$A$307),0))))</f>
        <v/>
      </c>
      <c r="AD1822" s="31">
        <f>IF(AND($Y1822&lt;&gt;"",N($Z1822)&gt;0,$AC1822=0),MAX($AD$7:$AD1821)+1,"")</f>
        <v/>
      </c>
      <c r="AE1822" s="31">
        <f>IF($Y1822="",0,$Y1822)</f>
        <v/>
      </c>
    </row>
    <row r="1823">
      <c r="W1823" s="31">
        <f>IF(OR($B$5="",$C$6="",ROW()&lt;$B$5),"",IF(INDEX($A:$U,ROW(),$C$6)="","",INDEX($A:$U,ROW(),$C$6)))</f>
        <v/>
      </c>
      <c r="X1823" s="32">
        <f>IF($W1823="","",IF(ISNUMBER($W1823),IF($W1823&gt;=10000000,IFERROR(DATE(INT($W1823/10000),MOD(INT($W1823/100),100),MOD($W1823,100)),""),INT($W1823)),IFERROR(DATE(--LEFT(LEFT(SUBSTITUTE(SUBSTITUTE(SUBSTITUTE(SUBSTITUTE(TRIM($W1823),"-",""),".",""),"/","")," ",""),8),4),--MID(LEFT(SUBSTITUTE(SUBSTITUTE(SUBSTITUTE(SUBSTITUTE(TRIM($W1823),"-",""),".",""),"/","")," ",""),8),5,2),--MID(LEFT(SUBSTITUTE(SUBSTITUTE(SUBSTITUTE(SUBSTITUTE(TRIM($W1823),"-",""),".",""),"/","")," ",""),8),7,2)),"")))</f>
        <v/>
      </c>
      <c r="Y1823" s="32">
        <f>IF($X1823="","",INT($X1823))</f>
        <v/>
      </c>
      <c r="Z1823" s="33">
        <f>IF(OR($Y1823="",$D$6=""),"",IF(INDEX($A:$U,ROW(),$D$6)="",0,IF(ISNUMBER(INDEX($A:$U,ROW(),$D$6)),INDEX($A:$U,ROW(),$D$6),IFERROR(--SUBSTITUTE(SUBSTITUTE(TRIM(INDEX($A:$U,ROW(),$D$6)),",",""),"원",""),0))))</f>
        <v/>
      </c>
      <c r="AA1823" s="31">
        <f>IF($Y1823="","",TRIM(INDEX($A:$U,ROW(),$E$6)&amp;IF($F$6="",""," "&amp;INDEX($A:$U,ROW(),$F$6))))</f>
        <v/>
      </c>
      <c r="AB1823" s="31">
        <f>IF($AA1823="","",SUBSTITUTE(SUBSTITUTE(SUBSTITUTE(SUBSTITUTE(SUBSTITUTE(SUBSTITUTE(SUBSTITUTE(SUBSTITUTE(SUBSTITUTE($AA1823," ",""),"　",""),"(주)",""),"（주）",""),"㈜",""),"주식회사",""),"(유)",""),"（유）",""),"유한회사",""))</f>
        <v/>
      </c>
      <c r="AC1823" s="31">
        <f>IF(OR($Y1823="",N($Z1823)&lt;=0,$AB1823=""),0,IFERROR(LOOKUP(2,1/((거래처별!$AC$8:$AC$307&lt;&gt;"")*ISNUMBER(SEARCH(거래처별!$AC$8:$AC$307,$AB1823))),거래처별!$A$8:$A$307),IFERROR(LOOKUP(2,1/((거래처별!$AD$8:$AD$307&lt;&gt;"")*ISNUMBER(SEARCH(거래처별!$AD$8:$AD$307,$AB1823))),거래처별!$A$8:$A$307),IFERROR(LOOKUP(2,1/((거래처별!$AE$8:$AE$307&lt;&gt;"")*ISNUMBER(SEARCH(거래처별!$AE$8:$AE$307,$AB1823))),거래처별!$A$8:$A$307),0))))</f>
        <v/>
      </c>
      <c r="AD1823" s="31">
        <f>IF(AND($Y1823&lt;&gt;"",N($Z1823)&gt;0,$AC1823=0),MAX($AD$7:$AD1822)+1,"")</f>
        <v/>
      </c>
      <c r="AE1823" s="31">
        <f>IF($Y1823="",0,$Y1823)</f>
        <v/>
      </c>
    </row>
    <row r="1824">
      <c r="W1824" s="31">
        <f>IF(OR($B$5="",$C$6="",ROW()&lt;$B$5),"",IF(INDEX($A:$U,ROW(),$C$6)="","",INDEX($A:$U,ROW(),$C$6)))</f>
        <v/>
      </c>
      <c r="X1824" s="32">
        <f>IF($W1824="","",IF(ISNUMBER($W1824),IF($W1824&gt;=10000000,IFERROR(DATE(INT($W1824/10000),MOD(INT($W1824/100),100),MOD($W1824,100)),""),INT($W1824)),IFERROR(DATE(--LEFT(LEFT(SUBSTITUTE(SUBSTITUTE(SUBSTITUTE(SUBSTITUTE(TRIM($W1824),"-",""),".",""),"/","")," ",""),8),4),--MID(LEFT(SUBSTITUTE(SUBSTITUTE(SUBSTITUTE(SUBSTITUTE(TRIM($W1824),"-",""),".",""),"/","")," ",""),8),5,2),--MID(LEFT(SUBSTITUTE(SUBSTITUTE(SUBSTITUTE(SUBSTITUTE(TRIM($W1824),"-",""),".",""),"/","")," ",""),8),7,2)),"")))</f>
        <v/>
      </c>
      <c r="Y1824" s="32">
        <f>IF($X1824="","",INT($X1824))</f>
        <v/>
      </c>
      <c r="Z1824" s="33">
        <f>IF(OR($Y1824="",$D$6=""),"",IF(INDEX($A:$U,ROW(),$D$6)="",0,IF(ISNUMBER(INDEX($A:$U,ROW(),$D$6)),INDEX($A:$U,ROW(),$D$6),IFERROR(--SUBSTITUTE(SUBSTITUTE(TRIM(INDEX($A:$U,ROW(),$D$6)),",",""),"원",""),0))))</f>
        <v/>
      </c>
      <c r="AA1824" s="31">
        <f>IF($Y1824="","",TRIM(INDEX($A:$U,ROW(),$E$6)&amp;IF($F$6="",""," "&amp;INDEX($A:$U,ROW(),$F$6))))</f>
        <v/>
      </c>
      <c r="AB1824" s="31">
        <f>IF($AA1824="","",SUBSTITUTE(SUBSTITUTE(SUBSTITUTE(SUBSTITUTE(SUBSTITUTE(SUBSTITUTE(SUBSTITUTE(SUBSTITUTE(SUBSTITUTE($AA1824," ",""),"　",""),"(주)",""),"（주）",""),"㈜",""),"주식회사",""),"(유)",""),"（유）",""),"유한회사",""))</f>
        <v/>
      </c>
      <c r="AC1824" s="31">
        <f>IF(OR($Y1824="",N($Z1824)&lt;=0,$AB1824=""),0,IFERROR(LOOKUP(2,1/((거래처별!$AC$8:$AC$307&lt;&gt;"")*ISNUMBER(SEARCH(거래처별!$AC$8:$AC$307,$AB1824))),거래처별!$A$8:$A$307),IFERROR(LOOKUP(2,1/((거래처별!$AD$8:$AD$307&lt;&gt;"")*ISNUMBER(SEARCH(거래처별!$AD$8:$AD$307,$AB1824))),거래처별!$A$8:$A$307),IFERROR(LOOKUP(2,1/((거래처별!$AE$8:$AE$307&lt;&gt;"")*ISNUMBER(SEARCH(거래처별!$AE$8:$AE$307,$AB1824))),거래처별!$A$8:$A$307),0))))</f>
        <v/>
      </c>
      <c r="AD1824" s="31">
        <f>IF(AND($Y1824&lt;&gt;"",N($Z1824)&gt;0,$AC1824=0),MAX($AD$7:$AD1823)+1,"")</f>
        <v/>
      </c>
      <c r="AE1824" s="31">
        <f>IF($Y1824="",0,$Y1824)</f>
        <v/>
      </c>
    </row>
    <row r="1825">
      <c r="W1825" s="31">
        <f>IF(OR($B$5="",$C$6="",ROW()&lt;$B$5),"",IF(INDEX($A:$U,ROW(),$C$6)="","",INDEX($A:$U,ROW(),$C$6)))</f>
        <v/>
      </c>
      <c r="X1825" s="32">
        <f>IF($W1825="","",IF(ISNUMBER($W1825),IF($W1825&gt;=10000000,IFERROR(DATE(INT($W1825/10000),MOD(INT($W1825/100),100),MOD($W1825,100)),""),INT($W1825)),IFERROR(DATE(--LEFT(LEFT(SUBSTITUTE(SUBSTITUTE(SUBSTITUTE(SUBSTITUTE(TRIM($W1825),"-",""),".",""),"/","")," ",""),8),4),--MID(LEFT(SUBSTITUTE(SUBSTITUTE(SUBSTITUTE(SUBSTITUTE(TRIM($W1825),"-",""),".",""),"/","")," ",""),8),5,2),--MID(LEFT(SUBSTITUTE(SUBSTITUTE(SUBSTITUTE(SUBSTITUTE(TRIM($W1825),"-",""),".",""),"/","")," ",""),8),7,2)),"")))</f>
        <v/>
      </c>
      <c r="Y1825" s="32">
        <f>IF($X1825="","",INT($X1825))</f>
        <v/>
      </c>
      <c r="Z1825" s="33">
        <f>IF(OR($Y1825="",$D$6=""),"",IF(INDEX($A:$U,ROW(),$D$6)="",0,IF(ISNUMBER(INDEX($A:$U,ROW(),$D$6)),INDEX($A:$U,ROW(),$D$6),IFERROR(--SUBSTITUTE(SUBSTITUTE(TRIM(INDEX($A:$U,ROW(),$D$6)),",",""),"원",""),0))))</f>
        <v/>
      </c>
      <c r="AA1825" s="31">
        <f>IF($Y1825="","",TRIM(INDEX($A:$U,ROW(),$E$6)&amp;IF($F$6="",""," "&amp;INDEX($A:$U,ROW(),$F$6))))</f>
        <v/>
      </c>
      <c r="AB1825" s="31">
        <f>IF($AA1825="","",SUBSTITUTE(SUBSTITUTE(SUBSTITUTE(SUBSTITUTE(SUBSTITUTE(SUBSTITUTE(SUBSTITUTE(SUBSTITUTE(SUBSTITUTE($AA1825," ",""),"　",""),"(주)",""),"（주）",""),"㈜",""),"주식회사",""),"(유)",""),"（유）",""),"유한회사",""))</f>
        <v/>
      </c>
      <c r="AC1825" s="31">
        <f>IF(OR($Y1825="",N($Z1825)&lt;=0,$AB1825=""),0,IFERROR(LOOKUP(2,1/((거래처별!$AC$8:$AC$307&lt;&gt;"")*ISNUMBER(SEARCH(거래처별!$AC$8:$AC$307,$AB1825))),거래처별!$A$8:$A$307),IFERROR(LOOKUP(2,1/((거래처별!$AD$8:$AD$307&lt;&gt;"")*ISNUMBER(SEARCH(거래처별!$AD$8:$AD$307,$AB1825))),거래처별!$A$8:$A$307),IFERROR(LOOKUP(2,1/((거래처별!$AE$8:$AE$307&lt;&gt;"")*ISNUMBER(SEARCH(거래처별!$AE$8:$AE$307,$AB1825))),거래처별!$A$8:$A$307),0))))</f>
        <v/>
      </c>
      <c r="AD1825" s="31">
        <f>IF(AND($Y1825&lt;&gt;"",N($Z1825)&gt;0,$AC1825=0),MAX($AD$7:$AD1824)+1,"")</f>
        <v/>
      </c>
      <c r="AE1825" s="31">
        <f>IF($Y1825="",0,$Y1825)</f>
        <v/>
      </c>
    </row>
    <row r="1826">
      <c r="W1826" s="31">
        <f>IF(OR($B$5="",$C$6="",ROW()&lt;$B$5),"",IF(INDEX($A:$U,ROW(),$C$6)="","",INDEX($A:$U,ROW(),$C$6)))</f>
        <v/>
      </c>
      <c r="X1826" s="32">
        <f>IF($W1826="","",IF(ISNUMBER($W1826),IF($W1826&gt;=10000000,IFERROR(DATE(INT($W1826/10000),MOD(INT($W1826/100),100),MOD($W1826,100)),""),INT($W1826)),IFERROR(DATE(--LEFT(LEFT(SUBSTITUTE(SUBSTITUTE(SUBSTITUTE(SUBSTITUTE(TRIM($W1826),"-",""),".",""),"/","")," ",""),8),4),--MID(LEFT(SUBSTITUTE(SUBSTITUTE(SUBSTITUTE(SUBSTITUTE(TRIM($W1826),"-",""),".",""),"/","")," ",""),8),5,2),--MID(LEFT(SUBSTITUTE(SUBSTITUTE(SUBSTITUTE(SUBSTITUTE(TRIM($W1826),"-",""),".",""),"/","")," ",""),8),7,2)),"")))</f>
        <v/>
      </c>
      <c r="Y1826" s="32">
        <f>IF($X1826="","",INT($X1826))</f>
        <v/>
      </c>
      <c r="Z1826" s="33">
        <f>IF(OR($Y1826="",$D$6=""),"",IF(INDEX($A:$U,ROW(),$D$6)="",0,IF(ISNUMBER(INDEX($A:$U,ROW(),$D$6)),INDEX($A:$U,ROW(),$D$6),IFERROR(--SUBSTITUTE(SUBSTITUTE(TRIM(INDEX($A:$U,ROW(),$D$6)),",",""),"원",""),0))))</f>
        <v/>
      </c>
      <c r="AA1826" s="31">
        <f>IF($Y1826="","",TRIM(INDEX($A:$U,ROW(),$E$6)&amp;IF($F$6="",""," "&amp;INDEX($A:$U,ROW(),$F$6))))</f>
        <v/>
      </c>
      <c r="AB1826" s="31">
        <f>IF($AA1826="","",SUBSTITUTE(SUBSTITUTE(SUBSTITUTE(SUBSTITUTE(SUBSTITUTE(SUBSTITUTE(SUBSTITUTE(SUBSTITUTE(SUBSTITUTE($AA1826," ",""),"　",""),"(주)",""),"（주）",""),"㈜",""),"주식회사",""),"(유)",""),"（유）",""),"유한회사",""))</f>
        <v/>
      </c>
      <c r="AC1826" s="31">
        <f>IF(OR($Y1826="",N($Z1826)&lt;=0,$AB1826=""),0,IFERROR(LOOKUP(2,1/((거래처별!$AC$8:$AC$307&lt;&gt;"")*ISNUMBER(SEARCH(거래처별!$AC$8:$AC$307,$AB1826))),거래처별!$A$8:$A$307),IFERROR(LOOKUP(2,1/((거래처별!$AD$8:$AD$307&lt;&gt;"")*ISNUMBER(SEARCH(거래처별!$AD$8:$AD$307,$AB1826))),거래처별!$A$8:$A$307),IFERROR(LOOKUP(2,1/((거래처별!$AE$8:$AE$307&lt;&gt;"")*ISNUMBER(SEARCH(거래처별!$AE$8:$AE$307,$AB1826))),거래처별!$A$8:$A$307),0))))</f>
        <v/>
      </c>
      <c r="AD1826" s="31">
        <f>IF(AND($Y1826&lt;&gt;"",N($Z1826)&gt;0,$AC1826=0),MAX($AD$7:$AD1825)+1,"")</f>
        <v/>
      </c>
      <c r="AE1826" s="31">
        <f>IF($Y1826="",0,$Y1826)</f>
        <v/>
      </c>
    </row>
    <row r="1827">
      <c r="W1827" s="31">
        <f>IF(OR($B$5="",$C$6="",ROW()&lt;$B$5),"",IF(INDEX($A:$U,ROW(),$C$6)="","",INDEX($A:$U,ROW(),$C$6)))</f>
        <v/>
      </c>
      <c r="X1827" s="32">
        <f>IF($W1827="","",IF(ISNUMBER($W1827),IF($W1827&gt;=10000000,IFERROR(DATE(INT($W1827/10000),MOD(INT($W1827/100),100),MOD($W1827,100)),""),INT($W1827)),IFERROR(DATE(--LEFT(LEFT(SUBSTITUTE(SUBSTITUTE(SUBSTITUTE(SUBSTITUTE(TRIM($W1827),"-",""),".",""),"/","")," ",""),8),4),--MID(LEFT(SUBSTITUTE(SUBSTITUTE(SUBSTITUTE(SUBSTITUTE(TRIM($W1827),"-",""),".",""),"/","")," ",""),8),5,2),--MID(LEFT(SUBSTITUTE(SUBSTITUTE(SUBSTITUTE(SUBSTITUTE(TRIM($W1827),"-",""),".",""),"/","")," ",""),8),7,2)),"")))</f>
        <v/>
      </c>
      <c r="Y1827" s="32">
        <f>IF($X1827="","",INT($X1827))</f>
        <v/>
      </c>
      <c r="Z1827" s="33">
        <f>IF(OR($Y1827="",$D$6=""),"",IF(INDEX($A:$U,ROW(),$D$6)="",0,IF(ISNUMBER(INDEX($A:$U,ROW(),$D$6)),INDEX($A:$U,ROW(),$D$6),IFERROR(--SUBSTITUTE(SUBSTITUTE(TRIM(INDEX($A:$U,ROW(),$D$6)),",",""),"원",""),0))))</f>
        <v/>
      </c>
      <c r="AA1827" s="31">
        <f>IF($Y1827="","",TRIM(INDEX($A:$U,ROW(),$E$6)&amp;IF($F$6="",""," "&amp;INDEX($A:$U,ROW(),$F$6))))</f>
        <v/>
      </c>
      <c r="AB1827" s="31">
        <f>IF($AA1827="","",SUBSTITUTE(SUBSTITUTE(SUBSTITUTE(SUBSTITUTE(SUBSTITUTE(SUBSTITUTE(SUBSTITUTE(SUBSTITUTE(SUBSTITUTE($AA1827," ",""),"　",""),"(주)",""),"（주）",""),"㈜",""),"주식회사",""),"(유)",""),"（유）",""),"유한회사",""))</f>
        <v/>
      </c>
      <c r="AC1827" s="31">
        <f>IF(OR($Y1827="",N($Z1827)&lt;=0,$AB1827=""),0,IFERROR(LOOKUP(2,1/((거래처별!$AC$8:$AC$307&lt;&gt;"")*ISNUMBER(SEARCH(거래처별!$AC$8:$AC$307,$AB1827))),거래처별!$A$8:$A$307),IFERROR(LOOKUP(2,1/((거래처별!$AD$8:$AD$307&lt;&gt;"")*ISNUMBER(SEARCH(거래처별!$AD$8:$AD$307,$AB1827))),거래처별!$A$8:$A$307),IFERROR(LOOKUP(2,1/((거래처별!$AE$8:$AE$307&lt;&gt;"")*ISNUMBER(SEARCH(거래처별!$AE$8:$AE$307,$AB1827))),거래처별!$A$8:$A$307),0))))</f>
        <v/>
      </c>
      <c r="AD1827" s="31">
        <f>IF(AND($Y1827&lt;&gt;"",N($Z1827)&gt;0,$AC1827=0),MAX($AD$7:$AD1826)+1,"")</f>
        <v/>
      </c>
      <c r="AE1827" s="31">
        <f>IF($Y1827="",0,$Y1827)</f>
        <v/>
      </c>
    </row>
    <row r="1828">
      <c r="W1828" s="31">
        <f>IF(OR($B$5="",$C$6="",ROW()&lt;$B$5),"",IF(INDEX($A:$U,ROW(),$C$6)="","",INDEX($A:$U,ROW(),$C$6)))</f>
        <v/>
      </c>
      <c r="X1828" s="32">
        <f>IF($W1828="","",IF(ISNUMBER($W1828),IF($W1828&gt;=10000000,IFERROR(DATE(INT($W1828/10000),MOD(INT($W1828/100),100),MOD($W1828,100)),""),INT($W1828)),IFERROR(DATE(--LEFT(LEFT(SUBSTITUTE(SUBSTITUTE(SUBSTITUTE(SUBSTITUTE(TRIM($W1828),"-",""),".",""),"/","")," ",""),8),4),--MID(LEFT(SUBSTITUTE(SUBSTITUTE(SUBSTITUTE(SUBSTITUTE(TRIM($W1828),"-",""),".",""),"/","")," ",""),8),5,2),--MID(LEFT(SUBSTITUTE(SUBSTITUTE(SUBSTITUTE(SUBSTITUTE(TRIM($W1828),"-",""),".",""),"/","")," ",""),8),7,2)),"")))</f>
        <v/>
      </c>
      <c r="Y1828" s="32">
        <f>IF($X1828="","",INT($X1828))</f>
        <v/>
      </c>
      <c r="Z1828" s="33">
        <f>IF(OR($Y1828="",$D$6=""),"",IF(INDEX($A:$U,ROW(),$D$6)="",0,IF(ISNUMBER(INDEX($A:$U,ROW(),$D$6)),INDEX($A:$U,ROW(),$D$6),IFERROR(--SUBSTITUTE(SUBSTITUTE(TRIM(INDEX($A:$U,ROW(),$D$6)),",",""),"원",""),0))))</f>
        <v/>
      </c>
      <c r="AA1828" s="31">
        <f>IF($Y1828="","",TRIM(INDEX($A:$U,ROW(),$E$6)&amp;IF($F$6="",""," "&amp;INDEX($A:$U,ROW(),$F$6))))</f>
        <v/>
      </c>
      <c r="AB1828" s="31">
        <f>IF($AA1828="","",SUBSTITUTE(SUBSTITUTE(SUBSTITUTE(SUBSTITUTE(SUBSTITUTE(SUBSTITUTE(SUBSTITUTE(SUBSTITUTE(SUBSTITUTE($AA1828," ",""),"　",""),"(주)",""),"（주）",""),"㈜",""),"주식회사",""),"(유)",""),"（유）",""),"유한회사",""))</f>
        <v/>
      </c>
      <c r="AC1828" s="31">
        <f>IF(OR($Y1828="",N($Z1828)&lt;=0,$AB1828=""),0,IFERROR(LOOKUP(2,1/((거래처별!$AC$8:$AC$307&lt;&gt;"")*ISNUMBER(SEARCH(거래처별!$AC$8:$AC$307,$AB1828))),거래처별!$A$8:$A$307),IFERROR(LOOKUP(2,1/((거래처별!$AD$8:$AD$307&lt;&gt;"")*ISNUMBER(SEARCH(거래처별!$AD$8:$AD$307,$AB1828))),거래처별!$A$8:$A$307),IFERROR(LOOKUP(2,1/((거래처별!$AE$8:$AE$307&lt;&gt;"")*ISNUMBER(SEARCH(거래처별!$AE$8:$AE$307,$AB1828))),거래처별!$A$8:$A$307),0))))</f>
        <v/>
      </c>
      <c r="AD1828" s="31">
        <f>IF(AND($Y1828&lt;&gt;"",N($Z1828)&gt;0,$AC1828=0),MAX($AD$7:$AD1827)+1,"")</f>
        <v/>
      </c>
      <c r="AE1828" s="31">
        <f>IF($Y1828="",0,$Y1828)</f>
        <v/>
      </c>
    </row>
    <row r="1829">
      <c r="W1829" s="31">
        <f>IF(OR($B$5="",$C$6="",ROW()&lt;$B$5),"",IF(INDEX($A:$U,ROW(),$C$6)="","",INDEX($A:$U,ROW(),$C$6)))</f>
        <v/>
      </c>
      <c r="X1829" s="32">
        <f>IF($W1829="","",IF(ISNUMBER($W1829),IF($W1829&gt;=10000000,IFERROR(DATE(INT($W1829/10000),MOD(INT($W1829/100),100),MOD($W1829,100)),""),INT($W1829)),IFERROR(DATE(--LEFT(LEFT(SUBSTITUTE(SUBSTITUTE(SUBSTITUTE(SUBSTITUTE(TRIM($W1829),"-",""),".",""),"/","")," ",""),8),4),--MID(LEFT(SUBSTITUTE(SUBSTITUTE(SUBSTITUTE(SUBSTITUTE(TRIM($W1829),"-",""),".",""),"/","")," ",""),8),5,2),--MID(LEFT(SUBSTITUTE(SUBSTITUTE(SUBSTITUTE(SUBSTITUTE(TRIM($W1829),"-",""),".",""),"/","")," ",""),8),7,2)),"")))</f>
        <v/>
      </c>
      <c r="Y1829" s="32">
        <f>IF($X1829="","",INT($X1829))</f>
        <v/>
      </c>
      <c r="Z1829" s="33">
        <f>IF(OR($Y1829="",$D$6=""),"",IF(INDEX($A:$U,ROW(),$D$6)="",0,IF(ISNUMBER(INDEX($A:$U,ROW(),$D$6)),INDEX($A:$U,ROW(),$D$6),IFERROR(--SUBSTITUTE(SUBSTITUTE(TRIM(INDEX($A:$U,ROW(),$D$6)),",",""),"원",""),0))))</f>
        <v/>
      </c>
      <c r="AA1829" s="31">
        <f>IF($Y1829="","",TRIM(INDEX($A:$U,ROW(),$E$6)&amp;IF($F$6="",""," "&amp;INDEX($A:$U,ROW(),$F$6))))</f>
        <v/>
      </c>
      <c r="AB1829" s="31">
        <f>IF($AA1829="","",SUBSTITUTE(SUBSTITUTE(SUBSTITUTE(SUBSTITUTE(SUBSTITUTE(SUBSTITUTE(SUBSTITUTE(SUBSTITUTE(SUBSTITUTE($AA1829," ",""),"　",""),"(주)",""),"（주）",""),"㈜",""),"주식회사",""),"(유)",""),"（유）",""),"유한회사",""))</f>
        <v/>
      </c>
      <c r="AC1829" s="31">
        <f>IF(OR($Y1829="",N($Z1829)&lt;=0,$AB1829=""),0,IFERROR(LOOKUP(2,1/((거래처별!$AC$8:$AC$307&lt;&gt;"")*ISNUMBER(SEARCH(거래처별!$AC$8:$AC$307,$AB1829))),거래처별!$A$8:$A$307),IFERROR(LOOKUP(2,1/((거래처별!$AD$8:$AD$307&lt;&gt;"")*ISNUMBER(SEARCH(거래처별!$AD$8:$AD$307,$AB1829))),거래처별!$A$8:$A$307),IFERROR(LOOKUP(2,1/((거래처별!$AE$8:$AE$307&lt;&gt;"")*ISNUMBER(SEARCH(거래처별!$AE$8:$AE$307,$AB1829))),거래처별!$A$8:$A$307),0))))</f>
        <v/>
      </c>
      <c r="AD1829" s="31">
        <f>IF(AND($Y1829&lt;&gt;"",N($Z1829)&gt;0,$AC1829=0),MAX($AD$7:$AD1828)+1,"")</f>
        <v/>
      </c>
      <c r="AE1829" s="31">
        <f>IF($Y1829="",0,$Y1829)</f>
        <v/>
      </c>
    </row>
    <row r="1830">
      <c r="W1830" s="31">
        <f>IF(OR($B$5="",$C$6="",ROW()&lt;$B$5),"",IF(INDEX($A:$U,ROW(),$C$6)="","",INDEX($A:$U,ROW(),$C$6)))</f>
        <v/>
      </c>
      <c r="X1830" s="32">
        <f>IF($W1830="","",IF(ISNUMBER($W1830),IF($W1830&gt;=10000000,IFERROR(DATE(INT($W1830/10000),MOD(INT($W1830/100),100),MOD($W1830,100)),""),INT($W1830)),IFERROR(DATE(--LEFT(LEFT(SUBSTITUTE(SUBSTITUTE(SUBSTITUTE(SUBSTITUTE(TRIM($W1830),"-",""),".",""),"/","")," ",""),8),4),--MID(LEFT(SUBSTITUTE(SUBSTITUTE(SUBSTITUTE(SUBSTITUTE(TRIM($W1830),"-",""),".",""),"/","")," ",""),8),5,2),--MID(LEFT(SUBSTITUTE(SUBSTITUTE(SUBSTITUTE(SUBSTITUTE(TRIM($W1830),"-",""),".",""),"/","")," ",""),8),7,2)),"")))</f>
        <v/>
      </c>
      <c r="Y1830" s="32">
        <f>IF($X1830="","",INT($X1830))</f>
        <v/>
      </c>
      <c r="Z1830" s="33">
        <f>IF(OR($Y1830="",$D$6=""),"",IF(INDEX($A:$U,ROW(),$D$6)="",0,IF(ISNUMBER(INDEX($A:$U,ROW(),$D$6)),INDEX($A:$U,ROW(),$D$6),IFERROR(--SUBSTITUTE(SUBSTITUTE(TRIM(INDEX($A:$U,ROW(),$D$6)),",",""),"원",""),0))))</f>
        <v/>
      </c>
      <c r="AA1830" s="31">
        <f>IF($Y1830="","",TRIM(INDEX($A:$U,ROW(),$E$6)&amp;IF($F$6="",""," "&amp;INDEX($A:$U,ROW(),$F$6))))</f>
        <v/>
      </c>
      <c r="AB1830" s="31">
        <f>IF($AA1830="","",SUBSTITUTE(SUBSTITUTE(SUBSTITUTE(SUBSTITUTE(SUBSTITUTE(SUBSTITUTE(SUBSTITUTE(SUBSTITUTE(SUBSTITUTE($AA1830," ",""),"　",""),"(주)",""),"（주）",""),"㈜",""),"주식회사",""),"(유)",""),"（유）",""),"유한회사",""))</f>
        <v/>
      </c>
      <c r="AC1830" s="31">
        <f>IF(OR($Y1830="",N($Z1830)&lt;=0,$AB1830=""),0,IFERROR(LOOKUP(2,1/((거래처별!$AC$8:$AC$307&lt;&gt;"")*ISNUMBER(SEARCH(거래처별!$AC$8:$AC$307,$AB1830))),거래처별!$A$8:$A$307),IFERROR(LOOKUP(2,1/((거래처별!$AD$8:$AD$307&lt;&gt;"")*ISNUMBER(SEARCH(거래처별!$AD$8:$AD$307,$AB1830))),거래처별!$A$8:$A$307),IFERROR(LOOKUP(2,1/((거래처별!$AE$8:$AE$307&lt;&gt;"")*ISNUMBER(SEARCH(거래처별!$AE$8:$AE$307,$AB1830))),거래처별!$A$8:$A$307),0))))</f>
        <v/>
      </c>
      <c r="AD1830" s="31">
        <f>IF(AND($Y1830&lt;&gt;"",N($Z1830)&gt;0,$AC1830=0),MAX($AD$7:$AD1829)+1,"")</f>
        <v/>
      </c>
      <c r="AE1830" s="31">
        <f>IF($Y1830="",0,$Y1830)</f>
        <v/>
      </c>
    </row>
    <row r="1831">
      <c r="W1831" s="31">
        <f>IF(OR($B$5="",$C$6="",ROW()&lt;$B$5),"",IF(INDEX($A:$U,ROW(),$C$6)="","",INDEX($A:$U,ROW(),$C$6)))</f>
        <v/>
      </c>
      <c r="X1831" s="32">
        <f>IF($W1831="","",IF(ISNUMBER($W1831),IF($W1831&gt;=10000000,IFERROR(DATE(INT($W1831/10000),MOD(INT($W1831/100),100),MOD($W1831,100)),""),INT($W1831)),IFERROR(DATE(--LEFT(LEFT(SUBSTITUTE(SUBSTITUTE(SUBSTITUTE(SUBSTITUTE(TRIM($W1831),"-",""),".",""),"/","")," ",""),8),4),--MID(LEFT(SUBSTITUTE(SUBSTITUTE(SUBSTITUTE(SUBSTITUTE(TRIM($W1831),"-",""),".",""),"/","")," ",""),8),5,2),--MID(LEFT(SUBSTITUTE(SUBSTITUTE(SUBSTITUTE(SUBSTITUTE(TRIM($W1831),"-",""),".",""),"/","")," ",""),8),7,2)),"")))</f>
        <v/>
      </c>
      <c r="Y1831" s="32">
        <f>IF($X1831="","",INT($X1831))</f>
        <v/>
      </c>
      <c r="Z1831" s="33">
        <f>IF(OR($Y1831="",$D$6=""),"",IF(INDEX($A:$U,ROW(),$D$6)="",0,IF(ISNUMBER(INDEX($A:$U,ROW(),$D$6)),INDEX($A:$U,ROW(),$D$6),IFERROR(--SUBSTITUTE(SUBSTITUTE(TRIM(INDEX($A:$U,ROW(),$D$6)),",",""),"원",""),0))))</f>
        <v/>
      </c>
      <c r="AA1831" s="31">
        <f>IF($Y1831="","",TRIM(INDEX($A:$U,ROW(),$E$6)&amp;IF($F$6="",""," "&amp;INDEX($A:$U,ROW(),$F$6))))</f>
        <v/>
      </c>
      <c r="AB1831" s="31">
        <f>IF($AA1831="","",SUBSTITUTE(SUBSTITUTE(SUBSTITUTE(SUBSTITUTE(SUBSTITUTE(SUBSTITUTE(SUBSTITUTE(SUBSTITUTE(SUBSTITUTE($AA1831," ",""),"　",""),"(주)",""),"（주）",""),"㈜",""),"주식회사",""),"(유)",""),"（유）",""),"유한회사",""))</f>
        <v/>
      </c>
      <c r="AC1831" s="31">
        <f>IF(OR($Y1831="",N($Z1831)&lt;=0,$AB1831=""),0,IFERROR(LOOKUP(2,1/((거래처별!$AC$8:$AC$307&lt;&gt;"")*ISNUMBER(SEARCH(거래처별!$AC$8:$AC$307,$AB1831))),거래처별!$A$8:$A$307),IFERROR(LOOKUP(2,1/((거래처별!$AD$8:$AD$307&lt;&gt;"")*ISNUMBER(SEARCH(거래처별!$AD$8:$AD$307,$AB1831))),거래처별!$A$8:$A$307),IFERROR(LOOKUP(2,1/((거래처별!$AE$8:$AE$307&lt;&gt;"")*ISNUMBER(SEARCH(거래처별!$AE$8:$AE$307,$AB1831))),거래처별!$A$8:$A$307),0))))</f>
        <v/>
      </c>
      <c r="AD1831" s="31">
        <f>IF(AND($Y1831&lt;&gt;"",N($Z1831)&gt;0,$AC1831=0),MAX($AD$7:$AD1830)+1,"")</f>
        <v/>
      </c>
      <c r="AE1831" s="31">
        <f>IF($Y1831="",0,$Y1831)</f>
        <v/>
      </c>
    </row>
    <row r="1832">
      <c r="W1832" s="31">
        <f>IF(OR($B$5="",$C$6="",ROW()&lt;$B$5),"",IF(INDEX($A:$U,ROW(),$C$6)="","",INDEX($A:$U,ROW(),$C$6)))</f>
        <v/>
      </c>
      <c r="X1832" s="32">
        <f>IF($W1832="","",IF(ISNUMBER($W1832),IF($W1832&gt;=10000000,IFERROR(DATE(INT($W1832/10000),MOD(INT($W1832/100),100),MOD($W1832,100)),""),INT($W1832)),IFERROR(DATE(--LEFT(LEFT(SUBSTITUTE(SUBSTITUTE(SUBSTITUTE(SUBSTITUTE(TRIM($W1832),"-",""),".",""),"/","")," ",""),8),4),--MID(LEFT(SUBSTITUTE(SUBSTITUTE(SUBSTITUTE(SUBSTITUTE(TRIM($W1832),"-",""),".",""),"/","")," ",""),8),5,2),--MID(LEFT(SUBSTITUTE(SUBSTITUTE(SUBSTITUTE(SUBSTITUTE(TRIM($W1832),"-",""),".",""),"/","")," ",""),8),7,2)),"")))</f>
        <v/>
      </c>
      <c r="Y1832" s="32">
        <f>IF($X1832="","",INT($X1832))</f>
        <v/>
      </c>
      <c r="Z1832" s="33">
        <f>IF(OR($Y1832="",$D$6=""),"",IF(INDEX($A:$U,ROW(),$D$6)="",0,IF(ISNUMBER(INDEX($A:$U,ROW(),$D$6)),INDEX($A:$U,ROW(),$D$6),IFERROR(--SUBSTITUTE(SUBSTITUTE(TRIM(INDEX($A:$U,ROW(),$D$6)),",",""),"원",""),0))))</f>
        <v/>
      </c>
      <c r="AA1832" s="31">
        <f>IF($Y1832="","",TRIM(INDEX($A:$U,ROW(),$E$6)&amp;IF($F$6="",""," "&amp;INDEX($A:$U,ROW(),$F$6))))</f>
        <v/>
      </c>
      <c r="AB1832" s="31">
        <f>IF($AA1832="","",SUBSTITUTE(SUBSTITUTE(SUBSTITUTE(SUBSTITUTE(SUBSTITUTE(SUBSTITUTE(SUBSTITUTE(SUBSTITUTE(SUBSTITUTE($AA1832," ",""),"　",""),"(주)",""),"（주）",""),"㈜",""),"주식회사",""),"(유)",""),"（유）",""),"유한회사",""))</f>
        <v/>
      </c>
      <c r="AC1832" s="31">
        <f>IF(OR($Y1832="",N($Z1832)&lt;=0,$AB1832=""),0,IFERROR(LOOKUP(2,1/((거래처별!$AC$8:$AC$307&lt;&gt;"")*ISNUMBER(SEARCH(거래처별!$AC$8:$AC$307,$AB1832))),거래처별!$A$8:$A$307),IFERROR(LOOKUP(2,1/((거래처별!$AD$8:$AD$307&lt;&gt;"")*ISNUMBER(SEARCH(거래처별!$AD$8:$AD$307,$AB1832))),거래처별!$A$8:$A$307),IFERROR(LOOKUP(2,1/((거래처별!$AE$8:$AE$307&lt;&gt;"")*ISNUMBER(SEARCH(거래처별!$AE$8:$AE$307,$AB1832))),거래처별!$A$8:$A$307),0))))</f>
        <v/>
      </c>
      <c r="AD1832" s="31">
        <f>IF(AND($Y1832&lt;&gt;"",N($Z1832)&gt;0,$AC1832=0),MAX($AD$7:$AD1831)+1,"")</f>
        <v/>
      </c>
      <c r="AE1832" s="31">
        <f>IF($Y1832="",0,$Y1832)</f>
        <v/>
      </c>
    </row>
    <row r="1833">
      <c r="W1833" s="31">
        <f>IF(OR($B$5="",$C$6="",ROW()&lt;$B$5),"",IF(INDEX($A:$U,ROW(),$C$6)="","",INDEX($A:$U,ROW(),$C$6)))</f>
        <v/>
      </c>
      <c r="X1833" s="32">
        <f>IF($W1833="","",IF(ISNUMBER($W1833),IF($W1833&gt;=10000000,IFERROR(DATE(INT($W1833/10000),MOD(INT($W1833/100),100),MOD($W1833,100)),""),INT($W1833)),IFERROR(DATE(--LEFT(LEFT(SUBSTITUTE(SUBSTITUTE(SUBSTITUTE(SUBSTITUTE(TRIM($W1833),"-",""),".",""),"/","")," ",""),8),4),--MID(LEFT(SUBSTITUTE(SUBSTITUTE(SUBSTITUTE(SUBSTITUTE(TRIM($W1833),"-",""),".",""),"/","")," ",""),8),5,2),--MID(LEFT(SUBSTITUTE(SUBSTITUTE(SUBSTITUTE(SUBSTITUTE(TRIM($W1833),"-",""),".",""),"/","")," ",""),8),7,2)),"")))</f>
        <v/>
      </c>
      <c r="Y1833" s="32">
        <f>IF($X1833="","",INT($X1833))</f>
        <v/>
      </c>
      <c r="Z1833" s="33">
        <f>IF(OR($Y1833="",$D$6=""),"",IF(INDEX($A:$U,ROW(),$D$6)="",0,IF(ISNUMBER(INDEX($A:$U,ROW(),$D$6)),INDEX($A:$U,ROW(),$D$6),IFERROR(--SUBSTITUTE(SUBSTITUTE(TRIM(INDEX($A:$U,ROW(),$D$6)),",",""),"원",""),0))))</f>
        <v/>
      </c>
      <c r="AA1833" s="31">
        <f>IF($Y1833="","",TRIM(INDEX($A:$U,ROW(),$E$6)&amp;IF($F$6="",""," "&amp;INDEX($A:$U,ROW(),$F$6))))</f>
        <v/>
      </c>
      <c r="AB1833" s="31">
        <f>IF($AA1833="","",SUBSTITUTE(SUBSTITUTE(SUBSTITUTE(SUBSTITUTE(SUBSTITUTE(SUBSTITUTE(SUBSTITUTE(SUBSTITUTE(SUBSTITUTE($AA1833," ",""),"　",""),"(주)",""),"（주）",""),"㈜",""),"주식회사",""),"(유)",""),"（유）",""),"유한회사",""))</f>
        <v/>
      </c>
      <c r="AC1833" s="31">
        <f>IF(OR($Y1833="",N($Z1833)&lt;=0,$AB1833=""),0,IFERROR(LOOKUP(2,1/((거래처별!$AC$8:$AC$307&lt;&gt;"")*ISNUMBER(SEARCH(거래처별!$AC$8:$AC$307,$AB1833))),거래처별!$A$8:$A$307),IFERROR(LOOKUP(2,1/((거래처별!$AD$8:$AD$307&lt;&gt;"")*ISNUMBER(SEARCH(거래처별!$AD$8:$AD$307,$AB1833))),거래처별!$A$8:$A$307),IFERROR(LOOKUP(2,1/((거래처별!$AE$8:$AE$307&lt;&gt;"")*ISNUMBER(SEARCH(거래처별!$AE$8:$AE$307,$AB1833))),거래처별!$A$8:$A$307),0))))</f>
        <v/>
      </c>
      <c r="AD1833" s="31">
        <f>IF(AND($Y1833&lt;&gt;"",N($Z1833)&gt;0,$AC1833=0),MAX($AD$7:$AD1832)+1,"")</f>
        <v/>
      </c>
      <c r="AE1833" s="31">
        <f>IF($Y1833="",0,$Y1833)</f>
        <v/>
      </c>
    </row>
    <row r="1834">
      <c r="W1834" s="31">
        <f>IF(OR($B$5="",$C$6="",ROW()&lt;$B$5),"",IF(INDEX($A:$U,ROW(),$C$6)="","",INDEX($A:$U,ROW(),$C$6)))</f>
        <v/>
      </c>
      <c r="X1834" s="32">
        <f>IF($W1834="","",IF(ISNUMBER($W1834),IF($W1834&gt;=10000000,IFERROR(DATE(INT($W1834/10000),MOD(INT($W1834/100),100),MOD($W1834,100)),""),INT($W1834)),IFERROR(DATE(--LEFT(LEFT(SUBSTITUTE(SUBSTITUTE(SUBSTITUTE(SUBSTITUTE(TRIM($W1834),"-",""),".",""),"/","")," ",""),8),4),--MID(LEFT(SUBSTITUTE(SUBSTITUTE(SUBSTITUTE(SUBSTITUTE(TRIM($W1834),"-",""),".",""),"/","")," ",""),8),5,2),--MID(LEFT(SUBSTITUTE(SUBSTITUTE(SUBSTITUTE(SUBSTITUTE(TRIM($W1834),"-",""),".",""),"/","")," ",""),8),7,2)),"")))</f>
        <v/>
      </c>
      <c r="Y1834" s="32">
        <f>IF($X1834="","",INT($X1834))</f>
        <v/>
      </c>
      <c r="Z1834" s="33">
        <f>IF(OR($Y1834="",$D$6=""),"",IF(INDEX($A:$U,ROW(),$D$6)="",0,IF(ISNUMBER(INDEX($A:$U,ROW(),$D$6)),INDEX($A:$U,ROW(),$D$6),IFERROR(--SUBSTITUTE(SUBSTITUTE(TRIM(INDEX($A:$U,ROW(),$D$6)),",",""),"원",""),0))))</f>
        <v/>
      </c>
      <c r="AA1834" s="31">
        <f>IF($Y1834="","",TRIM(INDEX($A:$U,ROW(),$E$6)&amp;IF($F$6="",""," "&amp;INDEX($A:$U,ROW(),$F$6))))</f>
        <v/>
      </c>
      <c r="AB1834" s="31">
        <f>IF($AA1834="","",SUBSTITUTE(SUBSTITUTE(SUBSTITUTE(SUBSTITUTE(SUBSTITUTE(SUBSTITUTE(SUBSTITUTE(SUBSTITUTE(SUBSTITUTE($AA1834," ",""),"　",""),"(주)",""),"（주）",""),"㈜",""),"주식회사",""),"(유)",""),"（유）",""),"유한회사",""))</f>
        <v/>
      </c>
      <c r="AC1834" s="31">
        <f>IF(OR($Y1834="",N($Z1834)&lt;=0,$AB1834=""),0,IFERROR(LOOKUP(2,1/((거래처별!$AC$8:$AC$307&lt;&gt;"")*ISNUMBER(SEARCH(거래처별!$AC$8:$AC$307,$AB1834))),거래처별!$A$8:$A$307),IFERROR(LOOKUP(2,1/((거래처별!$AD$8:$AD$307&lt;&gt;"")*ISNUMBER(SEARCH(거래처별!$AD$8:$AD$307,$AB1834))),거래처별!$A$8:$A$307),IFERROR(LOOKUP(2,1/((거래처별!$AE$8:$AE$307&lt;&gt;"")*ISNUMBER(SEARCH(거래처별!$AE$8:$AE$307,$AB1834))),거래처별!$A$8:$A$307),0))))</f>
        <v/>
      </c>
      <c r="AD1834" s="31">
        <f>IF(AND($Y1834&lt;&gt;"",N($Z1834)&gt;0,$AC1834=0),MAX($AD$7:$AD1833)+1,"")</f>
        <v/>
      </c>
      <c r="AE1834" s="31">
        <f>IF($Y1834="",0,$Y1834)</f>
        <v/>
      </c>
    </row>
    <row r="1835">
      <c r="W1835" s="31">
        <f>IF(OR($B$5="",$C$6="",ROW()&lt;$B$5),"",IF(INDEX($A:$U,ROW(),$C$6)="","",INDEX($A:$U,ROW(),$C$6)))</f>
        <v/>
      </c>
      <c r="X1835" s="32">
        <f>IF($W1835="","",IF(ISNUMBER($W1835),IF($W1835&gt;=10000000,IFERROR(DATE(INT($W1835/10000),MOD(INT($W1835/100),100),MOD($W1835,100)),""),INT($W1835)),IFERROR(DATE(--LEFT(LEFT(SUBSTITUTE(SUBSTITUTE(SUBSTITUTE(SUBSTITUTE(TRIM($W1835),"-",""),".",""),"/","")," ",""),8),4),--MID(LEFT(SUBSTITUTE(SUBSTITUTE(SUBSTITUTE(SUBSTITUTE(TRIM($W1835),"-",""),".",""),"/","")," ",""),8),5,2),--MID(LEFT(SUBSTITUTE(SUBSTITUTE(SUBSTITUTE(SUBSTITUTE(TRIM($W1835),"-",""),".",""),"/","")," ",""),8),7,2)),"")))</f>
        <v/>
      </c>
      <c r="Y1835" s="32">
        <f>IF($X1835="","",INT($X1835))</f>
        <v/>
      </c>
      <c r="Z1835" s="33">
        <f>IF(OR($Y1835="",$D$6=""),"",IF(INDEX($A:$U,ROW(),$D$6)="",0,IF(ISNUMBER(INDEX($A:$U,ROW(),$D$6)),INDEX($A:$U,ROW(),$D$6),IFERROR(--SUBSTITUTE(SUBSTITUTE(TRIM(INDEX($A:$U,ROW(),$D$6)),",",""),"원",""),0))))</f>
        <v/>
      </c>
      <c r="AA1835" s="31">
        <f>IF($Y1835="","",TRIM(INDEX($A:$U,ROW(),$E$6)&amp;IF($F$6="",""," "&amp;INDEX($A:$U,ROW(),$F$6))))</f>
        <v/>
      </c>
      <c r="AB1835" s="31">
        <f>IF($AA1835="","",SUBSTITUTE(SUBSTITUTE(SUBSTITUTE(SUBSTITUTE(SUBSTITUTE(SUBSTITUTE(SUBSTITUTE(SUBSTITUTE(SUBSTITUTE($AA1835," ",""),"　",""),"(주)",""),"（주）",""),"㈜",""),"주식회사",""),"(유)",""),"（유）",""),"유한회사",""))</f>
        <v/>
      </c>
      <c r="AC1835" s="31">
        <f>IF(OR($Y1835="",N($Z1835)&lt;=0,$AB1835=""),0,IFERROR(LOOKUP(2,1/((거래처별!$AC$8:$AC$307&lt;&gt;"")*ISNUMBER(SEARCH(거래처별!$AC$8:$AC$307,$AB1835))),거래처별!$A$8:$A$307),IFERROR(LOOKUP(2,1/((거래처별!$AD$8:$AD$307&lt;&gt;"")*ISNUMBER(SEARCH(거래처별!$AD$8:$AD$307,$AB1835))),거래처별!$A$8:$A$307),IFERROR(LOOKUP(2,1/((거래처별!$AE$8:$AE$307&lt;&gt;"")*ISNUMBER(SEARCH(거래처별!$AE$8:$AE$307,$AB1835))),거래처별!$A$8:$A$307),0))))</f>
        <v/>
      </c>
      <c r="AD1835" s="31">
        <f>IF(AND($Y1835&lt;&gt;"",N($Z1835)&gt;0,$AC1835=0),MAX($AD$7:$AD1834)+1,"")</f>
        <v/>
      </c>
      <c r="AE1835" s="31">
        <f>IF($Y1835="",0,$Y1835)</f>
        <v/>
      </c>
    </row>
    <row r="1836">
      <c r="W1836" s="31">
        <f>IF(OR($B$5="",$C$6="",ROW()&lt;$B$5),"",IF(INDEX($A:$U,ROW(),$C$6)="","",INDEX($A:$U,ROW(),$C$6)))</f>
        <v/>
      </c>
      <c r="X1836" s="32">
        <f>IF($W1836="","",IF(ISNUMBER($W1836),IF($W1836&gt;=10000000,IFERROR(DATE(INT($W1836/10000),MOD(INT($W1836/100),100),MOD($W1836,100)),""),INT($W1836)),IFERROR(DATE(--LEFT(LEFT(SUBSTITUTE(SUBSTITUTE(SUBSTITUTE(SUBSTITUTE(TRIM($W1836),"-",""),".",""),"/","")," ",""),8),4),--MID(LEFT(SUBSTITUTE(SUBSTITUTE(SUBSTITUTE(SUBSTITUTE(TRIM($W1836),"-",""),".",""),"/","")," ",""),8),5,2),--MID(LEFT(SUBSTITUTE(SUBSTITUTE(SUBSTITUTE(SUBSTITUTE(TRIM($W1836),"-",""),".",""),"/","")," ",""),8),7,2)),"")))</f>
        <v/>
      </c>
      <c r="Y1836" s="32">
        <f>IF($X1836="","",INT($X1836))</f>
        <v/>
      </c>
      <c r="Z1836" s="33">
        <f>IF(OR($Y1836="",$D$6=""),"",IF(INDEX($A:$U,ROW(),$D$6)="",0,IF(ISNUMBER(INDEX($A:$U,ROW(),$D$6)),INDEX($A:$U,ROW(),$D$6),IFERROR(--SUBSTITUTE(SUBSTITUTE(TRIM(INDEX($A:$U,ROW(),$D$6)),",",""),"원",""),0))))</f>
        <v/>
      </c>
      <c r="AA1836" s="31">
        <f>IF($Y1836="","",TRIM(INDEX($A:$U,ROW(),$E$6)&amp;IF($F$6="",""," "&amp;INDEX($A:$U,ROW(),$F$6))))</f>
        <v/>
      </c>
      <c r="AB1836" s="31">
        <f>IF($AA1836="","",SUBSTITUTE(SUBSTITUTE(SUBSTITUTE(SUBSTITUTE(SUBSTITUTE(SUBSTITUTE(SUBSTITUTE(SUBSTITUTE(SUBSTITUTE($AA1836," ",""),"　",""),"(주)",""),"（주）",""),"㈜",""),"주식회사",""),"(유)",""),"（유）",""),"유한회사",""))</f>
        <v/>
      </c>
      <c r="AC1836" s="31">
        <f>IF(OR($Y1836="",N($Z1836)&lt;=0,$AB1836=""),0,IFERROR(LOOKUP(2,1/((거래처별!$AC$8:$AC$307&lt;&gt;"")*ISNUMBER(SEARCH(거래처별!$AC$8:$AC$307,$AB1836))),거래처별!$A$8:$A$307),IFERROR(LOOKUP(2,1/((거래처별!$AD$8:$AD$307&lt;&gt;"")*ISNUMBER(SEARCH(거래처별!$AD$8:$AD$307,$AB1836))),거래처별!$A$8:$A$307),IFERROR(LOOKUP(2,1/((거래처별!$AE$8:$AE$307&lt;&gt;"")*ISNUMBER(SEARCH(거래처별!$AE$8:$AE$307,$AB1836))),거래처별!$A$8:$A$307),0))))</f>
        <v/>
      </c>
      <c r="AD1836" s="31">
        <f>IF(AND($Y1836&lt;&gt;"",N($Z1836)&gt;0,$AC1836=0),MAX($AD$7:$AD1835)+1,"")</f>
        <v/>
      </c>
      <c r="AE1836" s="31">
        <f>IF($Y1836="",0,$Y1836)</f>
        <v/>
      </c>
    </row>
    <row r="1837">
      <c r="W1837" s="31">
        <f>IF(OR($B$5="",$C$6="",ROW()&lt;$B$5),"",IF(INDEX($A:$U,ROW(),$C$6)="","",INDEX($A:$U,ROW(),$C$6)))</f>
        <v/>
      </c>
      <c r="X1837" s="32">
        <f>IF($W1837="","",IF(ISNUMBER($W1837),IF($W1837&gt;=10000000,IFERROR(DATE(INT($W1837/10000),MOD(INT($W1837/100),100),MOD($W1837,100)),""),INT($W1837)),IFERROR(DATE(--LEFT(LEFT(SUBSTITUTE(SUBSTITUTE(SUBSTITUTE(SUBSTITUTE(TRIM($W1837),"-",""),".",""),"/","")," ",""),8),4),--MID(LEFT(SUBSTITUTE(SUBSTITUTE(SUBSTITUTE(SUBSTITUTE(TRIM($W1837),"-",""),".",""),"/","")," ",""),8),5,2),--MID(LEFT(SUBSTITUTE(SUBSTITUTE(SUBSTITUTE(SUBSTITUTE(TRIM($W1837),"-",""),".",""),"/","")," ",""),8),7,2)),"")))</f>
        <v/>
      </c>
      <c r="Y1837" s="32">
        <f>IF($X1837="","",INT($X1837))</f>
        <v/>
      </c>
      <c r="Z1837" s="33">
        <f>IF(OR($Y1837="",$D$6=""),"",IF(INDEX($A:$U,ROW(),$D$6)="",0,IF(ISNUMBER(INDEX($A:$U,ROW(),$D$6)),INDEX($A:$U,ROW(),$D$6),IFERROR(--SUBSTITUTE(SUBSTITUTE(TRIM(INDEX($A:$U,ROW(),$D$6)),",",""),"원",""),0))))</f>
        <v/>
      </c>
      <c r="AA1837" s="31">
        <f>IF($Y1837="","",TRIM(INDEX($A:$U,ROW(),$E$6)&amp;IF($F$6="",""," "&amp;INDEX($A:$U,ROW(),$F$6))))</f>
        <v/>
      </c>
      <c r="AB1837" s="31">
        <f>IF($AA1837="","",SUBSTITUTE(SUBSTITUTE(SUBSTITUTE(SUBSTITUTE(SUBSTITUTE(SUBSTITUTE(SUBSTITUTE(SUBSTITUTE(SUBSTITUTE($AA1837," ",""),"　",""),"(주)",""),"（주）",""),"㈜",""),"주식회사",""),"(유)",""),"（유）",""),"유한회사",""))</f>
        <v/>
      </c>
      <c r="AC1837" s="31">
        <f>IF(OR($Y1837="",N($Z1837)&lt;=0,$AB1837=""),0,IFERROR(LOOKUP(2,1/((거래처별!$AC$8:$AC$307&lt;&gt;"")*ISNUMBER(SEARCH(거래처별!$AC$8:$AC$307,$AB1837))),거래처별!$A$8:$A$307),IFERROR(LOOKUP(2,1/((거래처별!$AD$8:$AD$307&lt;&gt;"")*ISNUMBER(SEARCH(거래처별!$AD$8:$AD$307,$AB1837))),거래처별!$A$8:$A$307),IFERROR(LOOKUP(2,1/((거래처별!$AE$8:$AE$307&lt;&gt;"")*ISNUMBER(SEARCH(거래처별!$AE$8:$AE$307,$AB1837))),거래처별!$A$8:$A$307),0))))</f>
        <v/>
      </c>
      <c r="AD1837" s="31">
        <f>IF(AND($Y1837&lt;&gt;"",N($Z1837)&gt;0,$AC1837=0),MAX($AD$7:$AD1836)+1,"")</f>
        <v/>
      </c>
      <c r="AE1837" s="31">
        <f>IF($Y1837="",0,$Y1837)</f>
        <v/>
      </c>
    </row>
    <row r="1838">
      <c r="W1838" s="31">
        <f>IF(OR($B$5="",$C$6="",ROW()&lt;$B$5),"",IF(INDEX($A:$U,ROW(),$C$6)="","",INDEX($A:$U,ROW(),$C$6)))</f>
        <v/>
      </c>
      <c r="X1838" s="32">
        <f>IF($W1838="","",IF(ISNUMBER($W1838),IF($W1838&gt;=10000000,IFERROR(DATE(INT($W1838/10000),MOD(INT($W1838/100),100),MOD($W1838,100)),""),INT($W1838)),IFERROR(DATE(--LEFT(LEFT(SUBSTITUTE(SUBSTITUTE(SUBSTITUTE(SUBSTITUTE(TRIM($W1838),"-",""),".",""),"/","")," ",""),8),4),--MID(LEFT(SUBSTITUTE(SUBSTITUTE(SUBSTITUTE(SUBSTITUTE(TRIM($W1838),"-",""),".",""),"/","")," ",""),8),5,2),--MID(LEFT(SUBSTITUTE(SUBSTITUTE(SUBSTITUTE(SUBSTITUTE(TRIM($W1838),"-",""),".",""),"/","")," ",""),8),7,2)),"")))</f>
        <v/>
      </c>
      <c r="Y1838" s="32">
        <f>IF($X1838="","",INT($X1838))</f>
        <v/>
      </c>
      <c r="Z1838" s="33">
        <f>IF(OR($Y1838="",$D$6=""),"",IF(INDEX($A:$U,ROW(),$D$6)="",0,IF(ISNUMBER(INDEX($A:$U,ROW(),$D$6)),INDEX($A:$U,ROW(),$D$6),IFERROR(--SUBSTITUTE(SUBSTITUTE(TRIM(INDEX($A:$U,ROW(),$D$6)),",",""),"원",""),0))))</f>
        <v/>
      </c>
      <c r="AA1838" s="31">
        <f>IF($Y1838="","",TRIM(INDEX($A:$U,ROW(),$E$6)&amp;IF($F$6="",""," "&amp;INDEX($A:$U,ROW(),$F$6))))</f>
        <v/>
      </c>
      <c r="AB1838" s="31">
        <f>IF($AA1838="","",SUBSTITUTE(SUBSTITUTE(SUBSTITUTE(SUBSTITUTE(SUBSTITUTE(SUBSTITUTE(SUBSTITUTE(SUBSTITUTE(SUBSTITUTE($AA1838," ",""),"　",""),"(주)",""),"（주）",""),"㈜",""),"주식회사",""),"(유)",""),"（유）",""),"유한회사",""))</f>
        <v/>
      </c>
      <c r="AC1838" s="31">
        <f>IF(OR($Y1838="",N($Z1838)&lt;=0,$AB1838=""),0,IFERROR(LOOKUP(2,1/((거래처별!$AC$8:$AC$307&lt;&gt;"")*ISNUMBER(SEARCH(거래처별!$AC$8:$AC$307,$AB1838))),거래처별!$A$8:$A$307),IFERROR(LOOKUP(2,1/((거래처별!$AD$8:$AD$307&lt;&gt;"")*ISNUMBER(SEARCH(거래처별!$AD$8:$AD$307,$AB1838))),거래처별!$A$8:$A$307),IFERROR(LOOKUP(2,1/((거래처별!$AE$8:$AE$307&lt;&gt;"")*ISNUMBER(SEARCH(거래처별!$AE$8:$AE$307,$AB1838))),거래처별!$A$8:$A$307),0))))</f>
        <v/>
      </c>
      <c r="AD1838" s="31">
        <f>IF(AND($Y1838&lt;&gt;"",N($Z1838)&gt;0,$AC1838=0),MAX($AD$7:$AD1837)+1,"")</f>
        <v/>
      </c>
      <c r="AE1838" s="31">
        <f>IF($Y1838="",0,$Y1838)</f>
        <v/>
      </c>
    </row>
    <row r="1839">
      <c r="W1839" s="31">
        <f>IF(OR($B$5="",$C$6="",ROW()&lt;$B$5),"",IF(INDEX($A:$U,ROW(),$C$6)="","",INDEX($A:$U,ROW(),$C$6)))</f>
        <v/>
      </c>
      <c r="X1839" s="32">
        <f>IF($W1839="","",IF(ISNUMBER($W1839),IF($W1839&gt;=10000000,IFERROR(DATE(INT($W1839/10000),MOD(INT($W1839/100),100),MOD($W1839,100)),""),INT($W1839)),IFERROR(DATE(--LEFT(LEFT(SUBSTITUTE(SUBSTITUTE(SUBSTITUTE(SUBSTITUTE(TRIM($W1839),"-",""),".",""),"/","")," ",""),8),4),--MID(LEFT(SUBSTITUTE(SUBSTITUTE(SUBSTITUTE(SUBSTITUTE(TRIM($W1839),"-",""),".",""),"/","")," ",""),8),5,2),--MID(LEFT(SUBSTITUTE(SUBSTITUTE(SUBSTITUTE(SUBSTITUTE(TRIM($W1839),"-",""),".",""),"/","")," ",""),8),7,2)),"")))</f>
        <v/>
      </c>
      <c r="Y1839" s="32">
        <f>IF($X1839="","",INT($X1839))</f>
        <v/>
      </c>
      <c r="Z1839" s="33">
        <f>IF(OR($Y1839="",$D$6=""),"",IF(INDEX($A:$U,ROW(),$D$6)="",0,IF(ISNUMBER(INDEX($A:$U,ROW(),$D$6)),INDEX($A:$U,ROW(),$D$6),IFERROR(--SUBSTITUTE(SUBSTITUTE(TRIM(INDEX($A:$U,ROW(),$D$6)),",",""),"원",""),0))))</f>
        <v/>
      </c>
      <c r="AA1839" s="31">
        <f>IF($Y1839="","",TRIM(INDEX($A:$U,ROW(),$E$6)&amp;IF($F$6="",""," "&amp;INDEX($A:$U,ROW(),$F$6))))</f>
        <v/>
      </c>
      <c r="AB1839" s="31">
        <f>IF($AA1839="","",SUBSTITUTE(SUBSTITUTE(SUBSTITUTE(SUBSTITUTE(SUBSTITUTE(SUBSTITUTE(SUBSTITUTE(SUBSTITUTE(SUBSTITUTE($AA1839," ",""),"　",""),"(주)",""),"（주）",""),"㈜",""),"주식회사",""),"(유)",""),"（유）",""),"유한회사",""))</f>
        <v/>
      </c>
      <c r="AC1839" s="31">
        <f>IF(OR($Y1839="",N($Z1839)&lt;=0,$AB1839=""),0,IFERROR(LOOKUP(2,1/((거래처별!$AC$8:$AC$307&lt;&gt;"")*ISNUMBER(SEARCH(거래처별!$AC$8:$AC$307,$AB1839))),거래처별!$A$8:$A$307),IFERROR(LOOKUP(2,1/((거래처별!$AD$8:$AD$307&lt;&gt;"")*ISNUMBER(SEARCH(거래처별!$AD$8:$AD$307,$AB1839))),거래처별!$A$8:$A$307),IFERROR(LOOKUP(2,1/((거래처별!$AE$8:$AE$307&lt;&gt;"")*ISNUMBER(SEARCH(거래처별!$AE$8:$AE$307,$AB1839))),거래처별!$A$8:$A$307),0))))</f>
        <v/>
      </c>
      <c r="AD1839" s="31">
        <f>IF(AND($Y1839&lt;&gt;"",N($Z1839)&gt;0,$AC1839=0),MAX($AD$7:$AD1838)+1,"")</f>
        <v/>
      </c>
      <c r="AE1839" s="31">
        <f>IF($Y1839="",0,$Y1839)</f>
        <v/>
      </c>
    </row>
    <row r="1840">
      <c r="W1840" s="31">
        <f>IF(OR($B$5="",$C$6="",ROW()&lt;$B$5),"",IF(INDEX($A:$U,ROW(),$C$6)="","",INDEX($A:$U,ROW(),$C$6)))</f>
        <v/>
      </c>
      <c r="X1840" s="32">
        <f>IF($W1840="","",IF(ISNUMBER($W1840),IF($W1840&gt;=10000000,IFERROR(DATE(INT($W1840/10000),MOD(INT($W1840/100),100),MOD($W1840,100)),""),INT($W1840)),IFERROR(DATE(--LEFT(LEFT(SUBSTITUTE(SUBSTITUTE(SUBSTITUTE(SUBSTITUTE(TRIM($W1840),"-",""),".",""),"/","")," ",""),8),4),--MID(LEFT(SUBSTITUTE(SUBSTITUTE(SUBSTITUTE(SUBSTITUTE(TRIM($W1840),"-",""),".",""),"/","")," ",""),8),5,2),--MID(LEFT(SUBSTITUTE(SUBSTITUTE(SUBSTITUTE(SUBSTITUTE(TRIM($W1840),"-",""),".",""),"/","")," ",""),8),7,2)),"")))</f>
        <v/>
      </c>
      <c r="Y1840" s="32">
        <f>IF($X1840="","",INT($X1840))</f>
        <v/>
      </c>
      <c r="Z1840" s="33">
        <f>IF(OR($Y1840="",$D$6=""),"",IF(INDEX($A:$U,ROW(),$D$6)="",0,IF(ISNUMBER(INDEX($A:$U,ROW(),$D$6)),INDEX($A:$U,ROW(),$D$6),IFERROR(--SUBSTITUTE(SUBSTITUTE(TRIM(INDEX($A:$U,ROW(),$D$6)),",",""),"원",""),0))))</f>
        <v/>
      </c>
      <c r="AA1840" s="31">
        <f>IF($Y1840="","",TRIM(INDEX($A:$U,ROW(),$E$6)&amp;IF($F$6="",""," "&amp;INDEX($A:$U,ROW(),$F$6))))</f>
        <v/>
      </c>
      <c r="AB1840" s="31">
        <f>IF($AA1840="","",SUBSTITUTE(SUBSTITUTE(SUBSTITUTE(SUBSTITUTE(SUBSTITUTE(SUBSTITUTE(SUBSTITUTE(SUBSTITUTE(SUBSTITUTE($AA1840," ",""),"　",""),"(주)",""),"（주）",""),"㈜",""),"주식회사",""),"(유)",""),"（유）",""),"유한회사",""))</f>
        <v/>
      </c>
      <c r="AC1840" s="31">
        <f>IF(OR($Y1840="",N($Z1840)&lt;=0,$AB1840=""),0,IFERROR(LOOKUP(2,1/((거래처별!$AC$8:$AC$307&lt;&gt;"")*ISNUMBER(SEARCH(거래처별!$AC$8:$AC$307,$AB1840))),거래처별!$A$8:$A$307),IFERROR(LOOKUP(2,1/((거래처별!$AD$8:$AD$307&lt;&gt;"")*ISNUMBER(SEARCH(거래처별!$AD$8:$AD$307,$AB1840))),거래처별!$A$8:$A$307),IFERROR(LOOKUP(2,1/((거래처별!$AE$8:$AE$307&lt;&gt;"")*ISNUMBER(SEARCH(거래처별!$AE$8:$AE$307,$AB1840))),거래처별!$A$8:$A$307),0))))</f>
        <v/>
      </c>
      <c r="AD1840" s="31">
        <f>IF(AND($Y1840&lt;&gt;"",N($Z1840)&gt;0,$AC1840=0),MAX($AD$7:$AD1839)+1,"")</f>
        <v/>
      </c>
      <c r="AE1840" s="31">
        <f>IF($Y1840="",0,$Y1840)</f>
        <v/>
      </c>
    </row>
    <row r="1841">
      <c r="W1841" s="31">
        <f>IF(OR($B$5="",$C$6="",ROW()&lt;$B$5),"",IF(INDEX($A:$U,ROW(),$C$6)="","",INDEX($A:$U,ROW(),$C$6)))</f>
        <v/>
      </c>
      <c r="X1841" s="32">
        <f>IF($W1841="","",IF(ISNUMBER($W1841),IF($W1841&gt;=10000000,IFERROR(DATE(INT($W1841/10000),MOD(INT($W1841/100),100),MOD($W1841,100)),""),INT($W1841)),IFERROR(DATE(--LEFT(LEFT(SUBSTITUTE(SUBSTITUTE(SUBSTITUTE(SUBSTITUTE(TRIM($W1841),"-",""),".",""),"/","")," ",""),8),4),--MID(LEFT(SUBSTITUTE(SUBSTITUTE(SUBSTITUTE(SUBSTITUTE(TRIM($W1841),"-",""),".",""),"/","")," ",""),8),5,2),--MID(LEFT(SUBSTITUTE(SUBSTITUTE(SUBSTITUTE(SUBSTITUTE(TRIM($W1841),"-",""),".",""),"/","")," ",""),8),7,2)),"")))</f>
        <v/>
      </c>
      <c r="Y1841" s="32">
        <f>IF($X1841="","",INT($X1841))</f>
        <v/>
      </c>
      <c r="Z1841" s="33">
        <f>IF(OR($Y1841="",$D$6=""),"",IF(INDEX($A:$U,ROW(),$D$6)="",0,IF(ISNUMBER(INDEX($A:$U,ROW(),$D$6)),INDEX($A:$U,ROW(),$D$6),IFERROR(--SUBSTITUTE(SUBSTITUTE(TRIM(INDEX($A:$U,ROW(),$D$6)),",",""),"원",""),0))))</f>
        <v/>
      </c>
      <c r="AA1841" s="31">
        <f>IF($Y1841="","",TRIM(INDEX($A:$U,ROW(),$E$6)&amp;IF($F$6="",""," "&amp;INDEX($A:$U,ROW(),$F$6))))</f>
        <v/>
      </c>
      <c r="AB1841" s="31">
        <f>IF($AA1841="","",SUBSTITUTE(SUBSTITUTE(SUBSTITUTE(SUBSTITUTE(SUBSTITUTE(SUBSTITUTE(SUBSTITUTE(SUBSTITUTE(SUBSTITUTE($AA1841," ",""),"　",""),"(주)",""),"（주）",""),"㈜",""),"주식회사",""),"(유)",""),"（유）",""),"유한회사",""))</f>
        <v/>
      </c>
      <c r="AC1841" s="31">
        <f>IF(OR($Y1841="",N($Z1841)&lt;=0,$AB1841=""),0,IFERROR(LOOKUP(2,1/((거래처별!$AC$8:$AC$307&lt;&gt;"")*ISNUMBER(SEARCH(거래처별!$AC$8:$AC$307,$AB1841))),거래처별!$A$8:$A$307),IFERROR(LOOKUP(2,1/((거래처별!$AD$8:$AD$307&lt;&gt;"")*ISNUMBER(SEARCH(거래처별!$AD$8:$AD$307,$AB1841))),거래처별!$A$8:$A$307),IFERROR(LOOKUP(2,1/((거래처별!$AE$8:$AE$307&lt;&gt;"")*ISNUMBER(SEARCH(거래처별!$AE$8:$AE$307,$AB1841))),거래처별!$A$8:$A$307),0))))</f>
        <v/>
      </c>
      <c r="AD1841" s="31">
        <f>IF(AND($Y1841&lt;&gt;"",N($Z1841)&gt;0,$AC1841=0),MAX($AD$7:$AD1840)+1,"")</f>
        <v/>
      </c>
      <c r="AE1841" s="31">
        <f>IF($Y1841="",0,$Y1841)</f>
        <v/>
      </c>
    </row>
    <row r="1842">
      <c r="W1842" s="31">
        <f>IF(OR($B$5="",$C$6="",ROW()&lt;$B$5),"",IF(INDEX($A:$U,ROW(),$C$6)="","",INDEX($A:$U,ROW(),$C$6)))</f>
        <v/>
      </c>
      <c r="X1842" s="32">
        <f>IF($W1842="","",IF(ISNUMBER($W1842),IF($W1842&gt;=10000000,IFERROR(DATE(INT($W1842/10000),MOD(INT($W1842/100),100),MOD($W1842,100)),""),INT($W1842)),IFERROR(DATE(--LEFT(LEFT(SUBSTITUTE(SUBSTITUTE(SUBSTITUTE(SUBSTITUTE(TRIM($W1842),"-",""),".",""),"/","")," ",""),8),4),--MID(LEFT(SUBSTITUTE(SUBSTITUTE(SUBSTITUTE(SUBSTITUTE(TRIM($W1842),"-",""),".",""),"/","")," ",""),8),5,2),--MID(LEFT(SUBSTITUTE(SUBSTITUTE(SUBSTITUTE(SUBSTITUTE(TRIM($W1842),"-",""),".",""),"/","")," ",""),8),7,2)),"")))</f>
        <v/>
      </c>
      <c r="Y1842" s="32">
        <f>IF($X1842="","",INT($X1842))</f>
        <v/>
      </c>
      <c r="Z1842" s="33">
        <f>IF(OR($Y1842="",$D$6=""),"",IF(INDEX($A:$U,ROW(),$D$6)="",0,IF(ISNUMBER(INDEX($A:$U,ROW(),$D$6)),INDEX($A:$U,ROW(),$D$6),IFERROR(--SUBSTITUTE(SUBSTITUTE(TRIM(INDEX($A:$U,ROW(),$D$6)),",",""),"원",""),0))))</f>
        <v/>
      </c>
      <c r="AA1842" s="31">
        <f>IF($Y1842="","",TRIM(INDEX($A:$U,ROW(),$E$6)&amp;IF($F$6="",""," "&amp;INDEX($A:$U,ROW(),$F$6))))</f>
        <v/>
      </c>
      <c r="AB1842" s="31">
        <f>IF($AA1842="","",SUBSTITUTE(SUBSTITUTE(SUBSTITUTE(SUBSTITUTE(SUBSTITUTE(SUBSTITUTE(SUBSTITUTE(SUBSTITUTE(SUBSTITUTE($AA1842," ",""),"　",""),"(주)",""),"（주）",""),"㈜",""),"주식회사",""),"(유)",""),"（유）",""),"유한회사",""))</f>
        <v/>
      </c>
      <c r="AC1842" s="31">
        <f>IF(OR($Y1842="",N($Z1842)&lt;=0,$AB1842=""),0,IFERROR(LOOKUP(2,1/((거래처별!$AC$8:$AC$307&lt;&gt;"")*ISNUMBER(SEARCH(거래처별!$AC$8:$AC$307,$AB1842))),거래처별!$A$8:$A$307),IFERROR(LOOKUP(2,1/((거래처별!$AD$8:$AD$307&lt;&gt;"")*ISNUMBER(SEARCH(거래처별!$AD$8:$AD$307,$AB1842))),거래처별!$A$8:$A$307),IFERROR(LOOKUP(2,1/((거래처별!$AE$8:$AE$307&lt;&gt;"")*ISNUMBER(SEARCH(거래처별!$AE$8:$AE$307,$AB1842))),거래처별!$A$8:$A$307),0))))</f>
        <v/>
      </c>
      <c r="AD1842" s="31">
        <f>IF(AND($Y1842&lt;&gt;"",N($Z1842)&gt;0,$AC1842=0),MAX($AD$7:$AD1841)+1,"")</f>
        <v/>
      </c>
      <c r="AE1842" s="31">
        <f>IF($Y1842="",0,$Y1842)</f>
        <v/>
      </c>
    </row>
    <row r="1843">
      <c r="W1843" s="31">
        <f>IF(OR($B$5="",$C$6="",ROW()&lt;$B$5),"",IF(INDEX($A:$U,ROW(),$C$6)="","",INDEX($A:$U,ROW(),$C$6)))</f>
        <v/>
      </c>
      <c r="X1843" s="32">
        <f>IF($W1843="","",IF(ISNUMBER($W1843),IF($W1843&gt;=10000000,IFERROR(DATE(INT($W1843/10000),MOD(INT($W1843/100),100),MOD($W1843,100)),""),INT($W1843)),IFERROR(DATE(--LEFT(LEFT(SUBSTITUTE(SUBSTITUTE(SUBSTITUTE(SUBSTITUTE(TRIM($W1843),"-",""),".",""),"/","")," ",""),8),4),--MID(LEFT(SUBSTITUTE(SUBSTITUTE(SUBSTITUTE(SUBSTITUTE(TRIM($W1843),"-",""),".",""),"/","")," ",""),8),5,2),--MID(LEFT(SUBSTITUTE(SUBSTITUTE(SUBSTITUTE(SUBSTITUTE(TRIM($W1843),"-",""),".",""),"/","")," ",""),8),7,2)),"")))</f>
        <v/>
      </c>
      <c r="Y1843" s="32">
        <f>IF($X1843="","",INT($X1843))</f>
        <v/>
      </c>
      <c r="Z1843" s="33">
        <f>IF(OR($Y1843="",$D$6=""),"",IF(INDEX($A:$U,ROW(),$D$6)="",0,IF(ISNUMBER(INDEX($A:$U,ROW(),$D$6)),INDEX($A:$U,ROW(),$D$6),IFERROR(--SUBSTITUTE(SUBSTITUTE(TRIM(INDEX($A:$U,ROW(),$D$6)),",",""),"원",""),0))))</f>
        <v/>
      </c>
      <c r="AA1843" s="31">
        <f>IF($Y1843="","",TRIM(INDEX($A:$U,ROW(),$E$6)&amp;IF($F$6="",""," "&amp;INDEX($A:$U,ROW(),$F$6))))</f>
        <v/>
      </c>
      <c r="AB1843" s="31">
        <f>IF($AA1843="","",SUBSTITUTE(SUBSTITUTE(SUBSTITUTE(SUBSTITUTE(SUBSTITUTE(SUBSTITUTE(SUBSTITUTE(SUBSTITUTE(SUBSTITUTE($AA1843," ",""),"　",""),"(주)",""),"（주）",""),"㈜",""),"주식회사",""),"(유)",""),"（유）",""),"유한회사",""))</f>
        <v/>
      </c>
      <c r="AC1843" s="31">
        <f>IF(OR($Y1843="",N($Z1843)&lt;=0,$AB1843=""),0,IFERROR(LOOKUP(2,1/((거래처별!$AC$8:$AC$307&lt;&gt;"")*ISNUMBER(SEARCH(거래처별!$AC$8:$AC$307,$AB1843))),거래처별!$A$8:$A$307),IFERROR(LOOKUP(2,1/((거래처별!$AD$8:$AD$307&lt;&gt;"")*ISNUMBER(SEARCH(거래처별!$AD$8:$AD$307,$AB1843))),거래처별!$A$8:$A$307),IFERROR(LOOKUP(2,1/((거래처별!$AE$8:$AE$307&lt;&gt;"")*ISNUMBER(SEARCH(거래처별!$AE$8:$AE$307,$AB1843))),거래처별!$A$8:$A$307),0))))</f>
        <v/>
      </c>
      <c r="AD1843" s="31">
        <f>IF(AND($Y1843&lt;&gt;"",N($Z1843)&gt;0,$AC1843=0),MAX($AD$7:$AD1842)+1,"")</f>
        <v/>
      </c>
      <c r="AE1843" s="31">
        <f>IF($Y1843="",0,$Y1843)</f>
        <v/>
      </c>
    </row>
    <row r="1844">
      <c r="W1844" s="31">
        <f>IF(OR($B$5="",$C$6="",ROW()&lt;$B$5),"",IF(INDEX($A:$U,ROW(),$C$6)="","",INDEX($A:$U,ROW(),$C$6)))</f>
        <v/>
      </c>
      <c r="X1844" s="32">
        <f>IF($W1844="","",IF(ISNUMBER($W1844),IF($W1844&gt;=10000000,IFERROR(DATE(INT($W1844/10000),MOD(INT($W1844/100),100),MOD($W1844,100)),""),INT($W1844)),IFERROR(DATE(--LEFT(LEFT(SUBSTITUTE(SUBSTITUTE(SUBSTITUTE(SUBSTITUTE(TRIM($W1844),"-",""),".",""),"/","")," ",""),8),4),--MID(LEFT(SUBSTITUTE(SUBSTITUTE(SUBSTITUTE(SUBSTITUTE(TRIM($W1844),"-",""),".",""),"/","")," ",""),8),5,2),--MID(LEFT(SUBSTITUTE(SUBSTITUTE(SUBSTITUTE(SUBSTITUTE(TRIM($W1844),"-",""),".",""),"/","")," ",""),8),7,2)),"")))</f>
        <v/>
      </c>
      <c r="Y1844" s="32">
        <f>IF($X1844="","",INT($X1844))</f>
        <v/>
      </c>
      <c r="Z1844" s="33">
        <f>IF(OR($Y1844="",$D$6=""),"",IF(INDEX($A:$U,ROW(),$D$6)="",0,IF(ISNUMBER(INDEX($A:$U,ROW(),$D$6)),INDEX($A:$U,ROW(),$D$6),IFERROR(--SUBSTITUTE(SUBSTITUTE(TRIM(INDEX($A:$U,ROW(),$D$6)),",",""),"원",""),0))))</f>
        <v/>
      </c>
      <c r="AA1844" s="31">
        <f>IF($Y1844="","",TRIM(INDEX($A:$U,ROW(),$E$6)&amp;IF($F$6="",""," "&amp;INDEX($A:$U,ROW(),$F$6))))</f>
        <v/>
      </c>
      <c r="AB1844" s="31">
        <f>IF($AA1844="","",SUBSTITUTE(SUBSTITUTE(SUBSTITUTE(SUBSTITUTE(SUBSTITUTE(SUBSTITUTE(SUBSTITUTE(SUBSTITUTE(SUBSTITUTE($AA1844," ",""),"　",""),"(주)",""),"（주）",""),"㈜",""),"주식회사",""),"(유)",""),"（유）",""),"유한회사",""))</f>
        <v/>
      </c>
      <c r="AC1844" s="31">
        <f>IF(OR($Y1844="",N($Z1844)&lt;=0,$AB1844=""),0,IFERROR(LOOKUP(2,1/((거래처별!$AC$8:$AC$307&lt;&gt;"")*ISNUMBER(SEARCH(거래처별!$AC$8:$AC$307,$AB1844))),거래처별!$A$8:$A$307),IFERROR(LOOKUP(2,1/((거래처별!$AD$8:$AD$307&lt;&gt;"")*ISNUMBER(SEARCH(거래처별!$AD$8:$AD$307,$AB1844))),거래처별!$A$8:$A$307),IFERROR(LOOKUP(2,1/((거래처별!$AE$8:$AE$307&lt;&gt;"")*ISNUMBER(SEARCH(거래처별!$AE$8:$AE$307,$AB1844))),거래처별!$A$8:$A$307),0))))</f>
        <v/>
      </c>
      <c r="AD1844" s="31">
        <f>IF(AND($Y1844&lt;&gt;"",N($Z1844)&gt;0,$AC1844=0),MAX($AD$7:$AD1843)+1,"")</f>
        <v/>
      </c>
      <c r="AE1844" s="31">
        <f>IF($Y1844="",0,$Y1844)</f>
        <v/>
      </c>
    </row>
    <row r="1845">
      <c r="W1845" s="31">
        <f>IF(OR($B$5="",$C$6="",ROW()&lt;$B$5),"",IF(INDEX($A:$U,ROW(),$C$6)="","",INDEX($A:$U,ROW(),$C$6)))</f>
        <v/>
      </c>
      <c r="X1845" s="32">
        <f>IF($W1845="","",IF(ISNUMBER($W1845),IF($W1845&gt;=10000000,IFERROR(DATE(INT($W1845/10000),MOD(INT($W1845/100),100),MOD($W1845,100)),""),INT($W1845)),IFERROR(DATE(--LEFT(LEFT(SUBSTITUTE(SUBSTITUTE(SUBSTITUTE(SUBSTITUTE(TRIM($W1845),"-",""),".",""),"/","")," ",""),8),4),--MID(LEFT(SUBSTITUTE(SUBSTITUTE(SUBSTITUTE(SUBSTITUTE(TRIM($W1845),"-",""),".",""),"/","")," ",""),8),5,2),--MID(LEFT(SUBSTITUTE(SUBSTITUTE(SUBSTITUTE(SUBSTITUTE(TRIM($W1845),"-",""),".",""),"/","")," ",""),8),7,2)),"")))</f>
        <v/>
      </c>
      <c r="Y1845" s="32">
        <f>IF($X1845="","",INT($X1845))</f>
        <v/>
      </c>
      <c r="Z1845" s="33">
        <f>IF(OR($Y1845="",$D$6=""),"",IF(INDEX($A:$U,ROW(),$D$6)="",0,IF(ISNUMBER(INDEX($A:$U,ROW(),$D$6)),INDEX($A:$U,ROW(),$D$6),IFERROR(--SUBSTITUTE(SUBSTITUTE(TRIM(INDEX($A:$U,ROW(),$D$6)),",",""),"원",""),0))))</f>
        <v/>
      </c>
      <c r="AA1845" s="31">
        <f>IF($Y1845="","",TRIM(INDEX($A:$U,ROW(),$E$6)&amp;IF($F$6="",""," "&amp;INDEX($A:$U,ROW(),$F$6))))</f>
        <v/>
      </c>
      <c r="AB1845" s="31">
        <f>IF($AA1845="","",SUBSTITUTE(SUBSTITUTE(SUBSTITUTE(SUBSTITUTE(SUBSTITUTE(SUBSTITUTE(SUBSTITUTE(SUBSTITUTE(SUBSTITUTE($AA1845," ",""),"　",""),"(주)",""),"（주）",""),"㈜",""),"주식회사",""),"(유)",""),"（유）",""),"유한회사",""))</f>
        <v/>
      </c>
      <c r="AC1845" s="31">
        <f>IF(OR($Y1845="",N($Z1845)&lt;=0,$AB1845=""),0,IFERROR(LOOKUP(2,1/((거래처별!$AC$8:$AC$307&lt;&gt;"")*ISNUMBER(SEARCH(거래처별!$AC$8:$AC$307,$AB1845))),거래처별!$A$8:$A$307),IFERROR(LOOKUP(2,1/((거래처별!$AD$8:$AD$307&lt;&gt;"")*ISNUMBER(SEARCH(거래처별!$AD$8:$AD$307,$AB1845))),거래처별!$A$8:$A$307),IFERROR(LOOKUP(2,1/((거래처별!$AE$8:$AE$307&lt;&gt;"")*ISNUMBER(SEARCH(거래처별!$AE$8:$AE$307,$AB1845))),거래처별!$A$8:$A$307),0))))</f>
        <v/>
      </c>
      <c r="AD1845" s="31">
        <f>IF(AND($Y1845&lt;&gt;"",N($Z1845)&gt;0,$AC1845=0),MAX($AD$7:$AD1844)+1,"")</f>
        <v/>
      </c>
      <c r="AE1845" s="31">
        <f>IF($Y1845="",0,$Y1845)</f>
        <v/>
      </c>
    </row>
    <row r="1846">
      <c r="W1846" s="31">
        <f>IF(OR($B$5="",$C$6="",ROW()&lt;$B$5),"",IF(INDEX($A:$U,ROW(),$C$6)="","",INDEX($A:$U,ROW(),$C$6)))</f>
        <v/>
      </c>
      <c r="X1846" s="32">
        <f>IF($W1846="","",IF(ISNUMBER($W1846),IF($W1846&gt;=10000000,IFERROR(DATE(INT($W1846/10000),MOD(INT($W1846/100),100),MOD($W1846,100)),""),INT($W1846)),IFERROR(DATE(--LEFT(LEFT(SUBSTITUTE(SUBSTITUTE(SUBSTITUTE(SUBSTITUTE(TRIM($W1846),"-",""),".",""),"/","")," ",""),8),4),--MID(LEFT(SUBSTITUTE(SUBSTITUTE(SUBSTITUTE(SUBSTITUTE(TRIM($W1846),"-",""),".",""),"/","")," ",""),8),5,2),--MID(LEFT(SUBSTITUTE(SUBSTITUTE(SUBSTITUTE(SUBSTITUTE(TRIM($W1846),"-",""),".",""),"/","")," ",""),8),7,2)),"")))</f>
        <v/>
      </c>
      <c r="Y1846" s="32">
        <f>IF($X1846="","",INT($X1846))</f>
        <v/>
      </c>
      <c r="Z1846" s="33">
        <f>IF(OR($Y1846="",$D$6=""),"",IF(INDEX($A:$U,ROW(),$D$6)="",0,IF(ISNUMBER(INDEX($A:$U,ROW(),$D$6)),INDEX($A:$U,ROW(),$D$6),IFERROR(--SUBSTITUTE(SUBSTITUTE(TRIM(INDEX($A:$U,ROW(),$D$6)),",",""),"원",""),0))))</f>
        <v/>
      </c>
      <c r="AA1846" s="31">
        <f>IF($Y1846="","",TRIM(INDEX($A:$U,ROW(),$E$6)&amp;IF($F$6="",""," "&amp;INDEX($A:$U,ROW(),$F$6))))</f>
        <v/>
      </c>
      <c r="AB1846" s="31">
        <f>IF($AA1846="","",SUBSTITUTE(SUBSTITUTE(SUBSTITUTE(SUBSTITUTE(SUBSTITUTE(SUBSTITUTE(SUBSTITUTE(SUBSTITUTE(SUBSTITUTE($AA1846," ",""),"　",""),"(주)",""),"（주）",""),"㈜",""),"주식회사",""),"(유)",""),"（유）",""),"유한회사",""))</f>
        <v/>
      </c>
      <c r="AC1846" s="31">
        <f>IF(OR($Y1846="",N($Z1846)&lt;=0,$AB1846=""),0,IFERROR(LOOKUP(2,1/((거래처별!$AC$8:$AC$307&lt;&gt;"")*ISNUMBER(SEARCH(거래처별!$AC$8:$AC$307,$AB1846))),거래처별!$A$8:$A$307),IFERROR(LOOKUP(2,1/((거래처별!$AD$8:$AD$307&lt;&gt;"")*ISNUMBER(SEARCH(거래처별!$AD$8:$AD$307,$AB1846))),거래처별!$A$8:$A$307),IFERROR(LOOKUP(2,1/((거래처별!$AE$8:$AE$307&lt;&gt;"")*ISNUMBER(SEARCH(거래처별!$AE$8:$AE$307,$AB1846))),거래처별!$A$8:$A$307),0))))</f>
        <v/>
      </c>
      <c r="AD1846" s="31">
        <f>IF(AND($Y1846&lt;&gt;"",N($Z1846)&gt;0,$AC1846=0),MAX($AD$7:$AD1845)+1,"")</f>
        <v/>
      </c>
      <c r="AE1846" s="31">
        <f>IF($Y1846="",0,$Y1846)</f>
        <v/>
      </c>
    </row>
    <row r="1847">
      <c r="W1847" s="31">
        <f>IF(OR($B$5="",$C$6="",ROW()&lt;$B$5),"",IF(INDEX($A:$U,ROW(),$C$6)="","",INDEX($A:$U,ROW(),$C$6)))</f>
        <v/>
      </c>
      <c r="X1847" s="32">
        <f>IF($W1847="","",IF(ISNUMBER($W1847),IF($W1847&gt;=10000000,IFERROR(DATE(INT($W1847/10000),MOD(INT($W1847/100),100),MOD($W1847,100)),""),INT($W1847)),IFERROR(DATE(--LEFT(LEFT(SUBSTITUTE(SUBSTITUTE(SUBSTITUTE(SUBSTITUTE(TRIM($W1847),"-",""),".",""),"/","")," ",""),8),4),--MID(LEFT(SUBSTITUTE(SUBSTITUTE(SUBSTITUTE(SUBSTITUTE(TRIM($W1847),"-",""),".",""),"/","")," ",""),8),5,2),--MID(LEFT(SUBSTITUTE(SUBSTITUTE(SUBSTITUTE(SUBSTITUTE(TRIM($W1847),"-",""),".",""),"/","")," ",""),8),7,2)),"")))</f>
        <v/>
      </c>
      <c r="Y1847" s="32">
        <f>IF($X1847="","",INT($X1847))</f>
        <v/>
      </c>
      <c r="Z1847" s="33">
        <f>IF(OR($Y1847="",$D$6=""),"",IF(INDEX($A:$U,ROW(),$D$6)="",0,IF(ISNUMBER(INDEX($A:$U,ROW(),$D$6)),INDEX($A:$U,ROW(),$D$6),IFERROR(--SUBSTITUTE(SUBSTITUTE(TRIM(INDEX($A:$U,ROW(),$D$6)),",",""),"원",""),0))))</f>
        <v/>
      </c>
      <c r="AA1847" s="31">
        <f>IF($Y1847="","",TRIM(INDEX($A:$U,ROW(),$E$6)&amp;IF($F$6="",""," "&amp;INDEX($A:$U,ROW(),$F$6))))</f>
        <v/>
      </c>
      <c r="AB1847" s="31">
        <f>IF($AA1847="","",SUBSTITUTE(SUBSTITUTE(SUBSTITUTE(SUBSTITUTE(SUBSTITUTE(SUBSTITUTE(SUBSTITUTE(SUBSTITUTE(SUBSTITUTE($AA1847," ",""),"　",""),"(주)",""),"（주）",""),"㈜",""),"주식회사",""),"(유)",""),"（유）",""),"유한회사",""))</f>
        <v/>
      </c>
      <c r="AC1847" s="31">
        <f>IF(OR($Y1847="",N($Z1847)&lt;=0,$AB1847=""),0,IFERROR(LOOKUP(2,1/((거래처별!$AC$8:$AC$307&lt;&gt;"")*ISNUMBER(SEARCH(거래처별!$AC$8:$AC$307,$AB1847))),거래처별!$A$8:$A$307),IFERROR(LOOKUP(2,1/((거래처별!$AD$8:$AD$307&lt;&gt;"")*ISNUMBER(SEARCH(거래처별!$AD$8:$AD$307,$AB1847))),거래처별!$A$8:$A$307),IFERROR(LOOKUP(2,1/((거래처별!$AE$8:$AE$307&lt;&gt;"")*ISNUMBER(SEARCH(거래처별!$AE$8:$AE$307,$AB1847))),거래처별!$A$8:$A$307),0))))</f>
        <v/>
      </c>
      <c r="AD1847" s="31">
        <f>IF(AND($Y1847&lt;&gt;"",N($Z1847)&gt;0,$AC1847=0),MAX($AD$7:$AD1846)+1,"")</f>
        <v/>
      </c>
      <c r="AE1847" s="31">
        <f>IF($Y1847="",0,$Y1847)</f>
        <v/>
      </c>
    </row>
    <row r="1848">
      <c r="W1848" s="31">
        <f>IF(OR($B$5="",$C$6="",ROW()&lt;$B$5),"",IF(INDEX($A:$U,ROW(),$C$6)="","",INDEX($A:$U,ROW(),$C$6)))</f>
        <v/>
      </c>
      <c r="X1848" s="32">
        <f>IF($W1848="","",IF(ISNUMBER($W1848),IF($W1848&gt;=10000000,IFERROR(DATE(INT($W1848/10000),MOD(INT($W1848/100),100),MOD($W1848,100)),""),INT($W1848)),IFERROR(DATE(--LEFT(LEFT(SUBSTITUTE(SUBSTITUTE(SUBSTITUTE(SUBSTITUTE(TRIM($W1848),"-",""),".",""),"/","")," ",""),8),4),--MID(LEFT(SUBSTITUTE(SUBSTITUTE(SUBSTITUTE(SUBSTITUTE(TRIM($W1848),"-",""),".",""),"/","")," ",""),8),5,2),--MID(LEFT(SUBSTITUTE(SUBSTITUTE(SUBSTITUTE(SUBSTITUTE(TRIM($W1848),"-",""),".",""),"/","")," ",""),8),7,2)),"")))</f>
        <v/>
      </c>
      <c r="Y1848" s="32">
        <f>IF($X1848="","",INT($X1848))</f>
        <v/>
      </c>
      <c r="Z1848" s="33">
        <f>IF(OR($Y1848="",$D$6=""),"",IF(INDEX($A:$U,ROW(),$D$6)="",0,IF(ISNUMBER(INDEX($A:$U,ROW(),$D$6)),INDEX($A:$U,ROW(),$D$6),IFERROR(--SUBSTITUTE(SUBSTITUTE(TRIM(INDEX($A:$U,ROW(),$D$6)),",",""),"원",""),0))))</f>
        <v/>
      </c>
      <c r="AA1848" s="31">
        <f>IF($Y1848="","",TRIM(INDEX($A:$U,ROW(),$E$6)&amp;IF($F$6="",""," "&amp;INDEX($A:$U,ROW(),$F$6))))</f>
        <v/>
      </c>
      <c r="AB1848" s="31">
        <f>IF($AA1848="","",SUBSTITUTE(SUBSTITUTE(SUBSTITUTE(SUBSTITUTE(SUBSTITUTE(SUBSTITUTE(SUBSTITUTE(SUBSTITUTE(SUBSTITUTE($AA1848," ",""),"　",""),"(주)",""),"（주）",""),"㈜",""),"주식회사",""),"(유)",""),"（유）",""),"유한회사",""))</f>
        <v/>
      </c>
      <c r="AC1848" s="31">
        <f>IF(OR($Y1848="",N($Z1848)&lt;=0,$AB1848=""),0,IFERROR(LOOKUP(2,1/((거래처별!$AC$8:$AC$307&lt;&gt;"")*ISNUMBER(SEARCH(거래처별!$AC$8:$AC$307,$AB1848))),거래처별!$A$8:$A$307),IFERROR(LOOKUP(2,1/((거래처별!$AD$8:$AD$307&lt;&gt;"")*ISNUMBER(SEARCH(거래처별!$AD$8:$AD$307,$AB1848))),거래처별!$A$8:$A$307),IFERROR(LOOKUP(2,1/((거래처별!$AE$8:$AE$307&lt;&gt;"")*ISNUMBER(SEARCH(거래처별!$AE$8:$AE$307,$AB1848))),거래처별!$A$8:$A$307),0))))</f>
        <v/>
      </c>
      <c r="AD1848" s="31">
        <f>IF(AND($Y1848&lt;&gt;"",N($Z1848)&gt;0,$AC1848=0),MAX($AD$7:$AD1847)+1,"")</f>
        <v/>
      </c>
      <c r="AE1848" s="31">
        <f>IF($Y1848="",0,$Y1848)</f>
        <v/>
      </c>
    </row>
    <row r="1849">
      <c r="W1849" s="31">
        <f>IF(OR($B$5="",$C$6="",ROW()&lt;$B$5),"",IF(INDEX($A:$U,ROW(),$C$6)="","",INDEX($A:$U,ROW(),$C$6)))</f>
        <v/>
      </c>
      <c r="X1849" s="32">
        <f>IF($W1849="","",IF(ISNUMBER($W1849),IF($W1849&gt;=10000000,IFERROR(DATE(INT($W1849/10000),MOD(INT($W1849/100),100),MOD($W1849,100)),""),INT($W1849)),IFERROR(DATE(--LEFT(LEFT(SUBSTITUTE(SUBSTITUTE(SUBSTITUTE(SUBSTITUTE(TRIM($W1849),"-",""),".",""),"/","")," ",""),8),4),--MID(LEFT(SUBSTITUTE(SUBSTITUTE(SUBSTITUTE(SUBSTITUTE(TRIM($W1849),"-",""),".",""),"/","")," ",""),8),5,2),--MID(LEFT(SUBSTITUTE(SUBSTITUTE(SUBSTITUTE(SUBSTITUTE(TRIM($W1849),"-",""),".",""),"/","")," ",""),8),7,2)),"")))</f>
        <v/>
      </c>
      <c r="Y1849" s="32">
        <f>IF($X1849="","",INT($X1849))</f>
        <v/>
      </c>
      <c r="Z1849" s="33">
        <f>IF(OR($Y1849="",$D$6=""),"",IF(INDEX($A:$U,ROW(),$D$6)="",0,IF(ISNUMBER(INDEX($A:$U,ROW(),$D$6)),INDEX($A:$U,ROW(),$D$6),IFERROR(--SUBSTITUTE(SUBSTITUTE(TRIM(INDEX($A:$U,ROW(),$D$6)),",",""),"원",""),0))))</f>
        <v/>
      </c>
      <c r="AA1849" s="31">
        <f>IF($Y1849="","",TRIM(INDEX($A:$U,ROW(),$E$6)&amp;IF($F$6="",""," "&amp;INDEX($A:$U,ROW(),$F$6))))</f>
        <v/>
      </c>
      <c r="AB1849" s="31">
        <f>IF($AA1849="","",SUBSTITUTE(SUBSTITUTE(SUBSTITUTE(SUBSTITUTE(SUBSTITUTE(SUBSTITUTE(SUBSTITUTE(SUBSTITUTE(SUBSTITUTE($AA1849," ",""),"　",""),"(주)",""),"（주）",""),"㈜",""),"주식회사",""),"(유)",""),"（유）",""),"유한회사",""))</f>
        <v/>
      </c>
      <c r="AC1849" s="31">
        <f>IF(OR($Y1849="",N($Z1849)&lt;=0,$AB1849=""),0,IFERROR(LOOKUP(2,1/((거래처별!$AC$8:$AC$307&lt;&gt;"")*ISNUMBER(SEARCH(거래처별!$AC$8:$AC$307,$AB1849))),거래처별!$A$8:$A$307),IFERROR(LOOKUP(2,1/((거래처별!$AD$8:$AD$307&lt;&gt;"")*ISNUMBER(SEARCH(거래처별!$AD$8:$AD$307,$AB1849))),거래처별!$A$8:$A$307),IFERROR(LOOKUP(2,1/((거래처별!$AE$8:$AE$307&lt;&gt;"")*ISNUMBER(SEARCH(거래처별!$AE$8:$AE$307,$AB1849))),거래처별!$A$8:$A$307),0))))</f>
        <v/>
      </c>
      <c r="AD1849" s="31">
        <f>IF(AND($Y1849&lt;&gt;"",N($Z1849)&gt;0,$AC1849=0),MAX($AD$7:$AD1848)+1,"")</f>
        <v/>
      </c>
      <c r="AE1849" s="31">
        <f>IF($Y1849="",0,$Y1849)</f>
        <v/>
      </c>
    </row>
    <row r="1850">
      <c r="W1850" s="31">
        <f>IF(OR($B$5="",$C$6="",ROW()&lt;$B$5),"",IF(INDEX($A:$U,ROW(),$C$6)="","",INDEX($A:$U,ROW(),$C$6)))</f>
        <v/>
      </c>
      <c r="X1850" s="32">
        <f>IF($W1850="","",IF(ISNUMBER($W1850),IF($W1850&gt;=10000000,IFERROR(DATE(INT($W1850/10000),MOD(INT($W1850/100),100),MOD($W1850,100)),""),INT($W1850)),IFERROR(DATE(--LEFT(LEFT(SUBSTITUTE(SUBSTITUTE(SUBSTITUTE(SUBSTITUTE(TRIM($W1850),"-",""),".",""),"/","")," ",""),8),4),--MID(LEFT(SUBSTITUTE(SUBSTITUTE(SUBSTITUTE(SUBSTITUTE(TRIM($W1850),"-",""),".",""),"/","")," ",""),8),5,2),--MID(LEFT(SUBSTITUTE(SUBSTITUTE(SUBSTITUTE(SUBSTITUTE(TRIM($W1850),"-",""),".",""),"/","")," ",""),8),7,2)),"")))</f>
        <v/>
      </c>
      <c r="Y1850" s="32">
        <f>IF($X1850="","",INT($X1850))</f>
        <v/>
      </c>
      <c r="Z1850" s="33">
        <f>IF(OR($Y1850="",$D$6=""),"",IF(INDEX($A:$U,ROW(),$D$6)="",0,IF(ISNUMBER(INDEX($A:$U,ROW(),$D$6)),INDEX($A:$U,ROW(),$D$6),IFERROR(--SUBSTITUTE(SUBSTITUTE(TRIM(INDEX($A:$U,ROW(),$D$6)),",",""),"원",""),0))))</f>
        <v/>
      </c>
      <c r="AA1850" s="31">
        <f>IF($Y1850="","",TRIM(INDEX($A:$U,ROW(),$E$6)&amp;IF($F$6="",""," "&amp;INDEX($A:$U,ROW(),$F$6))))</f>
        <v/>
      </c>
      <c r="AB1850" s="31">
        <f>IF($AA1850="","",SUBSTITUTE(SUBSTITUTE(SUBSTITUTE(SUBSTITUTE(SUBSTITUTE(SUBSTITUTE(SUBSTITUTE(SUBSTITUTE(SUBSTITUTE($AA1850," ",""),"　",""),"(주)",""),"（주）",""),"㈜",""),"주식회사",""),"(유)",""),"（유）",""),"유한회사",""))</f>
        <v/>
      </c>
      <c r="AC1850" s="31">
        <f>IF(OR($Y1850="",N($Z1850)&lt;=0,$AB1850=""),0,IFERROR(LOOKUP(2,1/((거래처별!$AC$8:$AC$307&lt;&gt;"")*ISNUMBER(SEARCH(거래처별!$AC$8:$AC$307,$AB1850))),거래처별!$A$8:$A$307),IFERROR(LOOKUP(2,1/((거래처별!$AD$8:$AD$307&lt;&gt;"")*ISNUMBER(SEARCH(거래처별!$AD$8:$AD$307,$AB1850))),거래처별!$A$8:$A$307),IFERROR(LOOKUP(2,1/((거래처별!$AE$8:$AE$307&lt;&gt;"")*ISNUMBER(SEARCH(거래처별!$AE$8:$AE$307,$AB1850))),거래처별!$A$8:$A$307),0))))</f>
        <v/>
      </c>
      <c r="AD1850" s="31">
        <f>IF(AND($Y1850&lt;&gt;"",N($Z1850)&gt;0,$AC1850=0),MAX($AD$7:$AD1849)+1,"")</f>
        <v/>
      </c>
      <c r="AE1850" s="31">
        <f>IF($Y1850="",0,$Y1850)</f>
        <v/>
      </c>
    </row>
    <row r="1851">
      <c r="W1851" s="31">
        <f>IF(OR($B$5="",$C$6="",ROW()&lt;$B$5),"",IF(INDEX($A:$U,ROW(),$C$6)="","",INDEX($A:$U,ROW(),$C$6)))</f>
        <v/>
      </c>
      <c r="X1851" s="32">
        <f>IF($W1851="","",IF(ISNUMBER($W1851),IF($W1851&gt;=10000000,IFERROR(DATE(INT($W1851/10000),MOD(INT($W1851/100),100),MOD($W1851,100)),""),INT($W1851)),IFERROR(DATE(--LEFT(LEFT(SUBSTITUTE(SUBSTITUTE(SUBSTITUTE(SUBSTITUTE(TRIM($W1851),"-",""),".",""),"/","")," ",""),8),4),--MID(LEFT(SUBSTITUTE(SUBSTITUTE(SUBSTITUTE(SUBSTITUTE(TRIM($W1851),"-",""),".",""),"/","")," ",""),8),5,2),--MID(LEFT(SUBSTITUTE(SUBSTITUTE(SUBSTITUTE(SUBSTITUTE(TRIM($W1851),"-",""),".",""),"/","")," ",""),8),7,2)),"")))</f>
        <v/>
      </c>
      <c r="Y1851" s="32">
        <f>IF($X1851="","",INT($X1851))</f>
        <v/>
      </c>
      <c r="Z1851" s="33">
        <f>IF(OR($Y1851="",$D$6=""),"",IF(INDEX($A:$U,ROW(),$D$6)="",0,IF(ISNUMBER(INDEX($A:$U,ROW(),$D$6)),INDEX($A:$U,ROW(),$D$6),IFERROR(--SUBSTITUTE(SUBSTITUTE(TRIM(INDEX($A:$U,ROW(),$D$6)),",",""),"원",""),0))))</f>
        <v/>
      </c>
      <c r="AA1851" s="31">
        <f>IF($Y1851="","",TRIM(INDEX($A:$U,ROW(),$E$6)&amp;IF($F$6="",""," "&amp;INDEX($A:$U,ROW(),$F$6))))</f>
        <v/>
      </c>
      <c r="AB1851" s="31">
        <f>IF($AA1851="","",SUBSTITUTE(SUBSTITUTE(SUBSTITUTE(SUBSTITUTE(SUBSTITUTE(SUBSTITUTE(SUBSTITUTE(SUBSTITUTE(SUBSTITUTE($AA1851," ",""),"　",""),"(주)",""),"（주）",""),"㈜",""),"주식회사",""),"(유)",""),"（유）",""),"유한회사",""))</f>
        <v/>
      </c>
      <c r="AC1851" s="31">
        <f>IF(OR($Y1851="",N($Z1851)&lt;=0,$AB1851=""),0,IFERROR(LOOKUP(2,1/((거래처별!$AC$8:$AC$307&lt;&gt;"")*ISNUMBER(SEARCH(거래처별!$AC$8:$AC$307,$AB1851))),거래처별!$A$8:$A$307),IFERROR(LOOKUP(2,1/((거래처별!$AD$8:$AD$307&lt;&gt;"")*ISNUMBER(SEARCH(거래처별!$AD$8:$AD$307,$AB1851))),거래처별!$A$8:$A$307),IFERROR(LOOKUP(2,1/((거래처별!$AE$8:$AE$307&lt;&gt;"")*ISNUMBER(SEARCH(거래처별!$AE$8:$AE$307,$AB1851))),거래처별!$A$8:$A$307),0))))</f>
        <v/>
      </c>
      <c r="AD1851" s="31">
        <f>IF(AND($Y1851&lt;&gt;"",N($Z1851)&gt;0,$AC1851=0),MAX($AD$7:$AD1850)+1,"")</f>
        <v/>
      </c>
      <c r="AE1851" s="31">
        <f>IF($Y1851="",0,$Y1851)</f>
        <v/>
      </c>
    </row>
    <row r="1852">
      <c r="W1852" s="31">
        <f>IF(OR($B$5="",$C$6="",ROW()&lt;$B$5),"",IF(INDEX($A:$U,ROW(),$C$6)="","",INDEX($A:$U,ROW(),$C$6)))</f>
        <v/>
      </c>
      <c r="X1852" s="32">
        <f>IF($W1852="","",IF(ISNUMBER($W1852),IF($W1852&gt;=10000000,IFERROR(DATE(INT($W1852/10000),MOD(INT($W1852/100),100),MOD($W1852,100)),""),INT($W1852)),IFERROR(DATE(--LEFT(LEFT(SUBSTITUTE(SUBSTITUTE(SUBSTITUTE(SUBSTITUTE(TRIM($W1852),"-",""),".",""),"/","")," ",""),8),4),--MID(LEFT(SUBSTITUTE(SUBSTITUTE(SUBSTITUTE(SUBSTITUTE(TRIM($W1852),"-",""),".",""),"/","")," ",""),8),5,2),--MID(LEFT(SUBSTITUTE(SUBSTITUTE(SUBSTITUTE(SUBSTITUTE(TRIM($W1852),"-",""),".",""),"/","")," ",""),8),7,2)),"")))</f>
        <v/>
      </c>
      <c r="Y1852" s="32">
        <f>IF($X1852="","",INT($X1852))</f>
        <v/>
      </c>
      <c r="Z1852" s="33">
        <f>IF(OR($Y1852="",$D$6=""),"",IF(INDEX($A:$U,ROW(),$D$6)="",0,IF(ISNUMBER(INDEX($A:$U,ROW(),$D$6)),INDEX($A:$U,ROW(),$D$6),IFERROR(--SUBSTITUTE(SUBSTITUTE(TRIM(INDEX($A:$U,ROW(),$D$6)),",",""),"원",""),0))))</f>
        <v/>
      </c>
      <c r="AA1852" s="31">
        <f>IF($Y1852="","",TRIM(INDEX($A:$U,ROW(),$E$6)&amp;IF($F$6="",""," "&amp;INDEX($A:$U,ROW(),$F$6))))</f>
        <v/>
      </c>
      <c r="AB1852" s="31">
        <f>IF($AA1852="","",SUBSTITUTE(SUBSTITUTE(SUBSTITUTE(SUBSTITUTE(SUBSTITUTE(SUBSTITUTE(SUBSTITUTE(SUBSTITUTE(SUBSTITUTE($AA1852," ",""),"　",""),"(주)",""),"（주）",""),"㈜",""),"주식회사",""),"(유)",""),"（유）",""),"유한회사",""))</f>
        <v/>
      </c>
      <c r="AC1852" s="31">
        <f>IF(OR($Y1852="",N($Z1852)&lt;=0,$AB1852=""),0,IFERROR(LOOKUP(2,1/((거래처별!$AC$8:$AC$307&lt;&gt;"")*ISNUMBER(SEARCH(거래처별!$AC$8:$AC$307,$AB1852))),거래처별!$A$8:$A$307),IFERROR(LOOKUP(2,1/((거래처별!$AD$8:$AD$307&lt;&gt;"")*ISNUMBER(SEARCH(거래처별!$AD$8:$AD$307,$AB1852))),거래처별!$A$8:$A$307),IFERROR(LOOKUP(2,1/((거래처별!$AE$8:$AE$307&lt;&gt;"")*ISNUMBER(SEARCH(거래처별!$AE$8:$AE$307,$AB1852))),거래처별!$A$8:$A$307),0))))</f>
        <v/>
      </c>
      <c r="AD1852" s="31">
        <f>IF(AND($Y1852&lt;&gt;"",N($Z1852)&gt;0,$AC1852=0),MAX($AD$7:$AD1851)+1,"")</f>
        <v/>
      </c>
      <c r="AE1852" s="31">
        <f>IF($Y1852="",0,$Y1852)</f>
        <v/>
      </c>
    </row>
    <row r="1853">
      <c r="W1853" s="31">
        <f>IF(OR($B$5="",$C$6="",ROW()&lt;$B$5),"",IF(INDEX($A:$U,ROW(),$C$6)="","",INDEX($A:$U,ROW(),$C$6)))</f>
        <v/>
      </c>
      <c r="X1853" s="32">
        <f>IF($W1853="","",IF(ISNUMBER($W1853),IF($W1853&gt;=10000000,IFERROR(DATE(INT($W1853/10000),MOD(INT($W1853/100),100),MOD($W1853,100)),""),INT($W1853)),IFERROR(DATE(--LEFT(LEFT(SUBSTITUTE(SUBSTITUTE(SUBSTITUTE(SUBSTITUTE(TRIM($W1853),"-",""),".",""),"/","")," ",""),8),4),--MID(LEFT(SUBSTITUTE(SUBSTITUTE(SUBSTITUTE(SUBSTITUTE(TRIM($W1853),"-",""),".",""),"/","")," ",""),8),5,2),--MID(LEFT(SUBSTITUTE(SUBSTITUTE(SUBSTITUTE(SUBSTITUTE(TRIM($W1853),"-",""),".",""),"/","")," ",""),8),7,2)),"")))</f>
        <v/>
      </c>
      <c r="Y1853" s="32">
        <f>IF($X1853="","",INT($X1853))</f>
        <v/>
      </c>
      <c r="Z1853" s="33">
        <f>IF(OR($Y1853="",$D$6=""),"",IF(INDEX($A:$U,ROW(),$D$6)="",0,IF(ISNUMBER(INDEX($A:$U,ROW(),$D$6)),INDEX($A:$U,ROW(),$D$6),IFERROR(--SUBSTITUTE(SUBSTITUTE(TRIM(INDEX($A:$U,ROW(),$D$6)),",",""),"원",""),0))))</f>
        <v/>
      </c>
      <c r="AA1853" s="31">
        <f>IF($Y1853="","",TRIM(INDEX($A:$U,ROW(),$E$6)&amp;IF($F$6="",""," "&amp;INDEX($A:$U,ROW(),$F$6))))</f>
        <v/>
      </c>
      <c r="AB1853" s="31">
        <f>IF($AA1853="","",SUBSTITUTE(SUBSTITUTE(SUBSTITUTE(SUBSTITUTE(SUBSTITUTE(SUBSTITUTE(SUBSTITUTE(SUBSTITUTE(SUBSTITUTE($AA1853," ",""),"　",""),"(주)",""),"（주）",""),"㈜",""),"주식회사",""),"(유)",""),"（유）",""),"유한회사",""))</f>
        <v/>
      </c>
      <c r="AC1853" s="31">
        <f>IF(OR($Y1853="",N($Z1853)&lt;=0,$AB1853=""),0,IFERROR(LOOKUP(2,1/((거래처별!$AC$8:$AC$307&lt;&gt;"")*ISNUMBER(SEARCH(거래처별!$AC$8:$AC$307,$AB1853))),거래처별!$A$8:$A$307),IFERROR(LOOKUP(2,1/((거래처별!$AD$8:$AD$307&lt;&gt;"")*ISNUMBER(SEARCH(거래처별!$AD$8:$AD$307,$AB1853))),거래처별!$A$8:$A$307),IFERROR(LOOKUP(2,1/((거래처별!$AE$8:$AE$307&lt;&gt;"")*ISNUMBER(SEARCH(거래처별!$AE$8:$AE$307,$AB1853))),거래처별!$A$8:$A$307),0))))</f>
        <v/>
      </c>
      <c r="AD1853" s="31">
        <f>IF(AND($Y1853&lt;&gt;"",N($Z1853)&gt;0,$AC1853=0),MAX($AD$7:$AD1852)+1,"")</f>
        <v/>
      </c>
      <c r="AE1853" s="31">
        <f>IF($Y1853="",0,$Y1853)</f>
        <v/>
      </c>
    </row>
    <row r="1854">
      <c r="W1854" s="31">
        <f>IF(OR($B$5="",$C$6="",ROW()&lt;$B$5),"",IF(INDEX($A:$U,ROW(),$C$6)="","",INDEX($A:$U,ROW(),$C$6)))</f>
        <v/>
      </c>
      <c r="X1854" s="32">
        <f>IF($W1854="","",IF(ISNUMBER($W1854),IF($W1854&gt;=10000000,IFERROR(DATE(INT($W1854/10000),MOD(INT($W1854/100),100),MOD($W1854,100)),""),INT($W1854)),IFERROR(DATE(--LEFT(LEFT(SUBSTITUTE(SUBSTITUTE(SUBSTITUTE(SUBSTITUTE(TRIM($W1854),"-",""),".",""),"/","")," ",""),8),4),--MID(LEFT(SUBSTITUTE(SUBSTITUTE(SUBSTITUTE(SUBSTITUTE(TRIM($W1854),"-",""),".",""),"/","")," ",""),8),5,2),--MID(LEFT(SUBSTITUTE(SUBSTITUTE(SUBSTITUTE(SUBSTITUTE(TRIM($W1854),"-",""),".",""),"/","")," ",""),8),7,2)),"")))</f>
        <v/>
      </c>
      <c r="Y1854" s="32">
        <f>IF($X1854="","",INT($X1854))</f>
        <v/>
      </c>
      <c r="Z1854" s="33">
        <f>IF(OR($Y1854="",$D$6=""),"",IF(INDEX($A:$U,ROW(),$D$6)="",0,IF(ISNUMBER(INDEX($A:$U,ROW(),$D$6)),INDEX($A:$U,ROW(),$D$6),IFERROR(--SUBSTITUTE(SUBSTITUTE(TRIM(INDEX($A:$U,ROW(),$D$6)),",",""),"원",""),0))))</f>
        <v/>
      </c>
      <c r="AA1854" s="31">
        <f>IF($Y1854="","",TRIM(INDEX($A:$U,ROW(),$E$6)&amp;IF($F$6="",""," "&amp;INDEX($A:$U,ROW(),$F$6))))</f>
        <v/>
      </c>
      <c r="AB1854" s="31">
        <f>IF($AA1854="","",SUBSTITUTE(SUBSTITUTE(SUBSTITUTE(SUBSTITUTE(SUBSTITUTE(SUBSTITUTE(SUBSTITUTE(SUBSTITUTE(SUBSTITUTE($AA1854," ",""),"　",""),"(주)",""),"（주）",""),"㈜",""),"주식회사",""),"(유)",""),"（유）",""),"유한회사",""))</f>
        <v/>
      </c>
      <c r="AC1854" s="31">
        <f>IF(OR($Y1854="",N($Z1854)&lt;=0,$AB1854=""),0,IFERROR(LOOKUP(2,1/((거래처별!$AC$8:$AC$307&lt;&gt;"")*ISNUMBER(SEARCH(거래처별!$AC$8:$AC$307,$AB1854))),거래처별!$A$8:$A$307),IFERROR(LOOKUP(2,1/((거래처별!$AD$8:$AD$307&lt;&gt;"")*ISNUMBER(SEARCH(거래처별!$AD$8:$AD$307,$AB1854))),거래처별!$A$8:$A$307),IFERROR(LOOKUP(2,1/((거래처별!$AE$8:$AE$307&lt;&gt;"")*ISNUMBER(SEARCH(거래처별!$AE$8:$AE$307,$AB1854))),거래처별!$A$8:$A$307),0))))</f>
        <v/>
      </c>
      <c r="AD1854" s="31">
        <f>IF(AND($Y1854&lt;&gt;"",N($Z1854)&gt;0,$AC1854=0),MAX($AD$7:$AD1853)+1,"")</f>
        <v/>
      </c>
      <c r="AE1854" s="31">
        <f>IF($Y1854="",0,$Y1854)</f>
        <v/>
      </c>
    </row>
    <row r="1855">
      <c r="W1855" s="31">
        <f>IF(OR($B$5="",$C$6="",ROW()&lt;$B$5),"",IF(INDEX($A:$U,ROW(),$C$6)="","",INDEX($A:$U,ROW(),$C$6)))</f>
        <v/>
      </c>
      <c r="X1855" s="32">
        <f>IF($W1855="","",IF(ISNUMBER($W1855),IF($W1855&gt;=10000000,IFERROR(DATE(INT($W1855/10000),MOD(INT($W1855/100),100),MOD($W1855,100)),""),INT($W1855)),IFERROR(DATE(--LEFT(LEFT(SUBSTITUTE(SUBSTITUTE(SUBSTITUTE(SUBSTITUTE(TRIM($W1855),"-",""),".",""),"/","")," ",""),8),4),--MID(LEFT(SUBSTITUTE(SUBSTITUTE(SUBSTITUTE(SUBSTITUTE(TRIM($W1855),"-",""),".",""),"/","")," ",""),8),5,2),--MID(LEFT(SUBSTITUTE(SUBSTITUTE(SUBSTITUTE(SUBSTITUTE(TRIM($W1855),"-",""),".",""),"/","")," ",""),8),7,2)),"")))</f>
        <v/>
      </c>
      <c r="Y1855" s="32">
        <f>IF($X1855="","",INT($X1855))</f>
        <v/>
      </c>
      <c r="Z1855" s="33">
        <f>IF(OR($Y1855="",$D$6=""),"",IF(INDEX($A:$U,ROW(),$D$6)="",0,IF(ISNUMBER(INDEX($A:$U,ROW(),$D$6)),INDEX($A:$U,ROW(),$D$6),IFERROR(--SUBSTITUTE(SUBSTITUTE(TRIM(INDEX($A:$U,ROW(),$D$6)),",",""),"원",""),0))))</f>
        <v/>
      </c>
      <c r="AA1855" s="31">
        <f>IF($Y1855="","",TRIM(INDEX($A:$U,ROW(),$E$6)&amp;IF($F$6="",""," "&amp;INDEX($A:$U,ROW(),$F$6))))</f>
        <v/>
      </c>
      <c r="AB1855" s="31">
        <f>IF($AA1855="","",SUBSTITUTE(SUBSTITUTE(SUBSTITUTE(SUBSTITUTE(SUBSTITUTE(SUBSTITUTE(SUBSTITUTE(SUBSTITUTE(SUBSTITUTE($AA1855," ",""),"　",""),"(주)",""),"（주）",""),"㈜",""),"주식회사",""),"(유)",""),"（유）",""),"유한회사",""))</f>
        <v/>
      </c>
      <c r="AC1855" s="31">
        <f>IF(OR($Y1855="",N($Z1855)&lt;=0,$AB1855=""),0,IFERROR(LOOKUP(2,1/((거래처별!$AC$8:$AC$307&lt;&gt;"")*ISNUMBER(SEARCH(거래처별!$AC$8:$AC$307,$AB1855))),거래처별!$A$8:$A$307),IFERROR(LOOKUP(2,1/((거래처별!$AD$8:$AD$307&lt;&gt;"")*ISNUMBER(SEARCH(거래처별!$AD$8:$AD$307,$AB1855))),거래처별!$A$8:$A$307),IFERROR(LOOKUP(2,1/((거래처별!$AE$8:$AE$307&lt;&gt;"")*ISNUMBER(SEARCH(거래처별!$AE$8:$AE$307,$AB1855))),거래처별!$A$8:$A$307),0))))</f>
        <v/>
      </c>
      <c r="AD1855" s="31">
        <f>IF(AND($Y1855&lt;&gt;"",N($Z1855)&gt;0,$AC1855=0),MAX($AD$7:$AD1854)+1,"")</f>
        <v/>
      </c>
      <c r="AE1855" s="31">
        <f>IF($Y1855="",0,$Y1855)</f>
        <v/>
      </c>
    </row>
    <row r="1856">
      <c r="W1856" s="31">
        <f>IF(OR($B$5="",$C$6="",ROW()&lt;$B$5),"",IF(INDEX($A:$U,ROW(),$C$6)="","",INDEX($A:$U,ROW(),$C$6)))</f>
        <v/>
      </c>
      <c r="X1856" s="32">
        <f>IF($W1856="","",IF(ISNUMBER($W1856),IF($W1856&gt;=10000000,IFERROR(DATE(INT($W1856/10000),MOD(INT($W1856/100),100),MOD($W1856,100)),""),INT($W1856)),IFERROR(DATE(--LEFT(LEFT(SUBSTITUTE(SUBSTITUTE(SUBSTITUTE(SUBSTITUTE(TRIM($W1856),"-",""),".",""),"/","")," ",""),8),4),--MID(LEFT(SUBSTITUTE(SUBSTITUTE(SUBSTITUTE(SUBSTITUTE(TRIM($W1856),"-",""),".",""),"/","")," ",""),8),5,2),--MID(LEFT(SUBSTITUTE(SUBSTITUTE(SUBSTITUTE(SUBSTITUTE(TRIM($W1856),"-",""),".",""),"/","")," ",""),8),7,2)),"")))</f>
        <v/>
      </c>
      <c r="Y1856" s="32">
        <f>IF($X1856="","",INT($X1856))</f>
        <v/>
      </c>
      <c r="Z1856" s="33">
        <f>IF(OR($Y1856="",$D$6=""),"",IF(INDEX($A:$U,ROW(),$D$6)="",0,IF(ISNUMBER(INDEX($A:$U,ROW(),$D$6)),INDEX($A:$U,ROW(),$D$6),IFERROR(--SUBSTITUTE(SUBSTITUTE(TRIM(INDEX($A:$U,ROW(),$D$6)),",",""),"원",""),0))))</f>
        <v/>
      </c>
      <c r="AA1856" s="31">
        <f>IF($Y1856="","",TRIM(INDEX($A:$U,ROW(),$E$6)&amp;IF($F$6="",""," "&amp;INDEX($A:$U,ROW(),$F$6))))</f>
        <v/>
      </c>
      <c r="AB1856" s="31">
        <f>IF($AA1856="","",SUBSTITUTE(SUBSTITUTE(SUBSTITUTE(SUBSTITUTE(SUBSTITUTE(SUBSTITUTE(SUBSTITUTE(SUBSTITUTE(SUBSTITUTE($AA1856," ",""),"　",""),"(주)",""),"（주）",""),"㈜",""),"주식회사",""),"(유)",""),"（유）",""),"유한회사",""))</f>
        <v/>
      </c>
      <c r="AC1856" s="31">
        <f>IF(OR($Y1856="",N($Z1856)&lt;=0,$AB1856=""),0,IFERROR(LOOKUP(2,1/((거래처별!$AC$8:$AC$307&lt;&gt;"")*ISNUMBER(SEARCH(거래처별!$AC$8:$AC$307,$AB1856))),거래처별!$A$8:$A$307),IFERROR(LOOKUP(2,1/((거래처별!$AD$8:$AD$307&lt;&gt;"")*ISNUMBER(SEARCH(거래처별!$AD$8:$AD$307,$AB1856))),거래처별!$A$8:$A$307),IFERROR(LOOKUP(2,1/((거래처별!$AE$8:$AE$307&lt;&gt;"")*ISNUMBER(SEARCH(거래처별!$AE$8:$AE$307,$AB1856))),거래처별!$A$8:$A$307),0))))</f>
        <v/>
      </c>
      <c r="AD1856" s="31">
        <f>IF(AND($Y1856&lt;&gt;"",N($Z1856)&gt;0,$AC1856=0),MAX($AD$7:$AD1855)+1,"")</f>
        <v/>
      </c>
      <c r="AE1856" s="31">
        <f>IF($Y1856="",0,$Y1856)</f>
        <v/>
      </c>
    </row>
    <row r="1857">
      <c r="W1857" s="31">
        <f>IF(OR($B$5="",$C$6="",ROW()&lt;$B$5),"",IF(INDEX($A:$U,ROW(),$C$6)="","",INDEX($A:$U,ROW(),$C$6)))</f>
        <v/>
      </c>
      <c r="X1857" s="32">
        <f>IF($W1857="","",IF(ISNUMBER($W1857),IF($W1857&gt;=10000000,IFERROR(DATE(INT($W1857/10000),MOD(INT($W1857/100),100),MOD($W1857,100)),""),INT($W1857)),IFERROR(DATE(--LEFT(LEFT(SUBSTITUTE(SUBSTITUTE(SUBSTITUTE(SUBSTITUTE(TRIM($W1857),"-",""),".",""),"/","")," ",""),8),4),--MID(LEFT(SUBSTITUTE(SUBSTITUTE(SUBSTITUTE(SUBSTITUTE(TRIM($W1857),"-",""),".",""),"/","")," ",""),8),5,2),--MID(LEFT(SUBSTITUTE(SUBSTITUTE(SUBSTITUTE(SUBSTITUTE(TRIM($W1857),"-",""),".",""),"/","")," ",""),8),7,2)),"")))</f>
        <v/>
      </c>
      <c r="Y1857" s="32">
        <f>IF($X1857="","",INT($X1857))</f>
        <v/>
      </c>
      <c r="Z1857" s="33">
        <f>IF(OR($Y1857="",$D$6=""),"",IF(INDEX($A:$U,ROW(),$D$6)="",0,IF(ISNUMBER(INDEX($A:$U,ROW(),$D$6)),INDEX($A:$U,ROW(),$D$6),IFERROR(--SUBSTITUTE(SUBSTITUTE(TRIM(INDEX($A:$U,ROW(),$D$6)),",",""),"원",""),0))))</f>
        <v/>
      </c>
      <c r="AA1857" s="31">
        <f>IF($Y1857="","",TRIM(INDEX($A:$U,ROW(),$E$6)&amp;IF($F$6="",""," "&amp;INDEX($A:$U,ROW(),$F$6))))</f>
        <v/>
      </c>
      <c r="AB1857" s="31">
        <f>IF($AA1857="","",SUBSTITUTE(SUBSTITUTE(SUBSTITUTE(SUBSTITUTE(SUBSTITUTE(SUBSTITUTE(SUBSTITUTE(SUBSTITUTE(SUBSTITUTE($AA1857," ",""),"　",""),"(주)",""),"（주）",""),"㈜",""),"주식회사",""),"(유)",""),"（유）",""),"유한회사",""))</f>
        <v/>
      </c>
      <c r="AC1857" s="31">
        <f>IF(OR($Y1857="",N($Z1857)&lt;=0,$AB1857=""),0,IFERROR(LOOKUP(2,1/((거래처별!$AC$8:$AC$307&lt;&gt;"")*ISNUMBER(SEARCH(거래처별!$AC$8:$AC$307,$AB1857))),거래처별!$A$8:$A$307),IFERROR(LOOKUP(2,1/((거래처별!$AD$8:$AD$307&lt;&gt;"")*ISNUMBER(SEARCH(거래처별!$AD$8:$AD$307,$AB1857))),거래처별!$A$8:$A$307),IFERROR(LOOKUP(2,1/((거래처별!$AE$8:$AE$307&lt;&gt;"")*ISNUMBER(SEARCH(거래처별!$AE$8:$AE$307,$AB1857))),거래처별!$A$8:$A$307),0))))</f>
        <v/>
      </c>
      <c r="AD1857" s="31">
        <f>IF(AND($Y1857&lt;&gt;"",N($Z1857)&gt;0,$AC1857=0),MAX($AD$7:$AD1856)+1,"")</f>
        <v/>
      </c>
      <c r="AE1857" s="31">
        <f>IF($Y1857="",0,$Y1857)</f>
        <v/>
      </c>
    </row>
    <row r="1858">
      <c r="W1858" s="31">
        <f>IF(OR($B$5="",$C$6="",ROW()&lt;$B$5),"",IF(INDEX($A:$U,ROW(),$C$6)="","",INDEX($A:$U,ROW(),$C$6)))</f>
        <v/>
      </c>
      <c r="X1858" s="32">
        <f>IF($W1858="","",IF(ISNUMBER($W1858),IF($W1858&gt;=10000000,IFERROR(DATE(INT($W1858/10000),MOD(INT($W1858/100),100),MOD($W1858,100)),""),INT($W1858)),IFERROR(DATE(--LEFT(LEFT(SUBSTITUTE(SUBSTITUTE(SUBSTITUTE(SUBSTITUTE(TRIM($W1858),"-",""),".",""),"/","")," ",""),8),4),--MID(LEFT(SUBSTITUTE(SUBSTITUTE(SUBSTITUTE(SUBSTITUTE(TRIM($W1858),"-",""),".",""),"/","")," ",""),8),5,2),--MID(LEFT(SUBSTITUTE(SUBSTITUTE(SUBSTITUTE(SUBSTITUTE(TRIM($W1858),"-",""),".",""),"/","")," ",""),8),7,2)),"")))</f>
        <v/>
      </c>
      <c r="Y1858" s="32">
        <f>IF($X1858="","",INT($X1858))</f>
        <v/>
      </c>
      <c r="Z1858" s="33">
        <f>IF(OR($Y1858="",$D$6=""),"",IF(INDEX($A:$U,ROW(),$D$6)="",0,IF(ISNUMBER(INDEX($A:$U,ROW(),$D$6)),INDEX($A:$U,ROW(),$D$6),IFERROR(--SUBSTITUTE(SUBSTITUTE(TRIM(INDEX($A:$U,ROW(),$D$6)),",",""),"원",""),0))))</f>
        <v/>
      </c>
      <c r="AA1858" s="31">
        <f>IF($Y1858="","",TRIM(INDEX($A:$U,ROW(),$E$6)&amp;IF($F$6="",""," "&amp;INDEX($A:$U,ROW(),$F$6))))</f>
        <v/>
      </c>
      <c r="AB1858" s="31">
        <f>IF($AA1858="","",SUBSTITUTE(SUBSTITUTE(SUBSTITUTE(SUBSTITUTE(SUBSTITUTE(SUBSTITUTE(SUBSTITUTE(SUBSTITUTE(SUBSTITUTE($AA1858," ",""),"　",""),"(주)",""),"（주）",""),"㈜",""),"주식회사",""),"(유)",""),"（유）",""),"유한회사",""))</f>
        <v/>
      </c>
      <c r="AC1858" s="31">
        <f>IF(OR($Y1858="",N($Z1858)&lt;=0,$AB1858=""),0,IFERROR(LOOKUP(2,1/((거래처별!$AC$8:$AC$307&lt;&gt;"")*ISNUMBER(SEARCH(거래처별!$AC$8:$AC$307,$AB1858))),거래처별!$A$8:$A$307),IFERROR(LOOKUP(2,1/((거래처별!$AD$8:$AD$307&lt;&gt;"")*ISNUMBER(SEARCH(거래처별!$AD$8:$AD$307,$AB1858))),거래처별!$A$8:$A$307),IFERROR(LOOKUP(2,1/((거래처별!$AE$8:$AE$307&lt;&gt;"")*ISNUMBER(SEARCH(거래처별!$AE$8:$AE$307,$AB1858))),거래처별!$A$8:$A$307),0))))</f>
        <v/>
      </c>
      <c r="AD1858" s="31">
        <f>IF(AND($Y1858&lt;&gt;"",N($Z1858)&gt;0,$AC1858=0),MAX($AD$7:$AD1857)+1,"")</f>
        <v/>
      </c>
      <c r="AE1858" s="31">
        <f>IF($Y1858="",0,$Y1858)</f>
        <v/>
      </c>
    </row>
    <row r="1859">
      <c r="W1859" s="31">
        <f>IF(OR($B$5="",$C$6="",ROW()&lt;$B$5),"",IF(INDEX($A:$U,ROW(),$C$6)="","",INDEX($A:$U,ROW(),$C$6)))</f>
        <v/>
      </c>
      <c r="X1859" s="32">
        <f>IF($W1859="","",IF(ISNUMBER($W1859),IF($W1859&gt;=10000000,IFERROR(DATE(INT($W1859/10000),MOD(INT($W1859/100),100),MOD($W1859,100)),""),INT($W1859)),IFERROR(DATE(--LEFT(LEFT(SUBSTITUTE(SUBSTITUTE(SUBSTITUTE(SUBSTITUTE(TRIM($W1859),"-",""),".",""),"/","")," ",""),8),4),--MID(LEFT(SUBSTITUTE(SUBSTITUTE(SUBSTITUTE(SUBSTITUTE(TRIM($W1859),"-",""),".",""),"/","")," ",""),8),5,2),--MID(LEFT(SUBSTITUTE(SUBSTITUTE(SUBSTITUTE(SUBSTITUTE(TRIM($W1859),"-",""),".",""),"/","")," ",""),8),7,2)),"")))</f>
        <v/>
      </c>
      <c r="Y1859" s="32">
        <f>IF($X1859="","",INT($X1859))</f>
        <v/>
      </c>
      <c r="Z1859" s="33">
        <f>IF(OR($Y1859="",$D$6=""),"",IF(INDEX($A:$U,ROW(),$D$6)="",0,IF(ISNUMBER(INDEX($A:$U,ROW(),$D$6)),INDEX($A:$U,ROW(),$D$6),IFERROR(--SUBSTITUTE(SUBSTITUTE(TRIM(INDEX($A:$U,ROW(),$D$6)),",",""),"원",""),0))))</f>
        <v/>
      </c>
      <c r="AA1859" s="31">
        <f>IF($Y1859="","",TRIM(INDEX($A:$U,ROW(),$E$6)&amp;IF($F$6="",""," "&amp;INDEX($A:$U,ROW(),$F$6))))</f>
        <v/>
      </c>
      <c r="AB1859" s="31">
        <f>IF($AA1859="","",SUBSTITUTE(SUBSTITUTE(SUBSTITUTE(SUBSTITUTE(SUBSTITUTE(SUBSTITUTE(SUBSTITUTE(SUBSTITUTE(SUBSTITUTE($AA1859," ",""),"　",""),"(주)",""),"（주）",""),"㈜",""),"주식회사",""),"(유)",""),"（유）",""),"유한회사",""))</f>
        <v/>
      </c>
      <c r="AC1859" s="31">
        <f>IF(OR($Y1859="",N($Z1859)&lt;=0,$AB1859=""),0,IFERROR(LOOKUP(2,1/((거래처별!$AC$8:$AC$307&lt;&gt;"")*ISNUMBER(SEARCH(거래처별!$AC$8:$AC$307,$AB1859))),거래처별!$A$8:$A$307),IFERROR(LOOKUP(2,1/((거래처별!$AD$8:$AD$307&lt;&gt;"")*ISNUMBER(SEARCH(거래처별!$AD$8:$AD$307,$AB1859))),거래처별!$A$8:$A$307),IFERROR(LOOKUP(2,1/((거래처별!$AE$8:$AE$307&lt;&gt;"")*ISNUMBER(SEARCH(거래처별!$AE$8:$AE$307,$AB1859))),거래처별!$A$8:$A$307),0))))</f>
        <v/>
      </c>
      <c r="AD1859" s="31">
        <f>IF(AND($Y1859&lt;&gt;"",N($Z1859)&gt;0,$AC1859=0),MAX($AD$7:$AD1858)+1,"")</f>
        <v/>
      </c>
      <c r="AE1859" s="31">
        <f>IF($Y1859="",0,$Y1859)</f>
        <v/>
      </c>
    </row>
    <row r="1860">
      <c r="W1860" s="31">
        <f>IF(OR($B$5="",$C$6="",ROW()&lt;$B$5),"",IF(INDEX($A:$U,ROW(),$C$6)="","",INDEX($A:$U,ROW(),$C$6)))</f>
        <v/>
      </c>
      <c r="X1860" s="32">
        <f>IF($W1860="","",IF(ISNUMBER($W1860),IF($W1860&gt;=10000000,IFERROR(DATE(INT($W1860/10000),MOD(INT($W1860/100),100),MOD($W1860,100)),""),INT($W1860)),IFERROR(DATE(--LEFT(LEFT(SUBSTITUTE(SUBSTITUTE(SUBSTITUTE(SUBSTITUTE(TRIM($W1860),"-",""),".",""),"/","")," ",""),8),4),--MID(LEFT(SUBSTITUTE(SUBSTITUTE(SUBSTITUTE(SUBSTITUTE(TRIM($W1860),"-",""),".",""),"/","")," ",""),8),5,2),--MID(LEFT(SUBSTITUTE(SUBSTITUTE(SUBSTITUTE(SUBSTITUTE(TRIM($W1860),"-",""),".",""),"/","")," ",""),8),7,2)),"")))</f>
        <v/>
      </c>
      <c r="Y1860" s="32">
        <f>IF($X1860="","",INT($X1860))</f>
        <v/>
      </c>
      <c r="Z1860" s="33">
        <f>IF(OR($Y1860="",$D$6=""),"",IF(INDEX($A:$U,ROW(),$D$6)="",0,IF(ISNUMBER(INDEX($A:$U,ROW(),$D$6)),INDEX($A:$U,ROW(),$D$6),IFERROR(--SUBSTITUTE(SUBSTITUTE(TRIM(INDEX($A:$U,ROW(),$D$6)),",",""),"원",""),0))))</f>
        <v/>
      </c>
      <c r="AA1860" s="31">
        <f>IF($Y1860="","",TRIM(INDEX($A:$U,ROW(),$E$6)&amp;IF($F$6="",""," "&amp;INDEX($A:$U,ROW(),$F$6))))</f>
        <v/>
      </c>
      <c r="AB1860" s="31">
        <f>IF($AA1860="","",SUBSTITUTE(SUBSTITUTE(SUBSTITUTE(SUBSTITUTE(SUBSTITUTE(SUBSTITUTE(SUBSTITUTE(SUBSTITUTE(SUBSTITUTE($AA1860," ",""),"　",""),"(주)",""),"（주）",""),"㈜",""),"주식회사",""),"(유)",""),"（유）",""),"유한회사",""))</f>
        <v/>
      </c>
      <c r="AC1860" s="31">
        <f>IF(OR($Y1860="",N($Z1860)&lt;=0,$AB1860=""),0,IFERROR(LOOKUP(2,1/((거래처별!$AC$8:$AC$307&lt;&gt;"")*ISNUMBER(SEARCH(거래처별!$AC$8:$AC$307,$AB1860))),거래처별!$A$8:$A$307),IFERROR(LOOKUP(2,1/((거래처별!$AD$8:$AD$307&lt;&gt;"")*ISNUMBER(SEARCH(거래처별!$AD$8:$AD$307,$AB1860))),거래처별!$A$8:$A$307),IFERROR(LOOKUP(2,1/((거래처별!$AE$8:$AE$307&lt;&gt;"")*ISNUMBER(SEARCH(거래처별!$AE$8:$AE$307,$AB1860))),거래처별!$A$8:$A$307),0))))</f>
        <v/>
      </c>
      <c r="AD1860" s="31">
        <f>IF(AND($Y1860&lt;&gt;"",N($Z1860)&gt;0,$AC1860=0),MAX($AD$7:$AD1859)+1,"")</f>
        <v/>
      </c>
      <c r="AE1860" s="31">
        <f>IF($Y1860="",0,$Y1860)</f>
        <v/>
      </c>
    </row>
    <row r="1861">
      <c r="W1861" s="31">
        <f>IF(OR($B$5="",$C$6="",ROW()&lt;$B$5),"",IF(INDEX($A:$U,ROW(),$C$6)="","",INDEX($A:$U,ROW(),$C$6)))</f>
        <v/>
      </c>
      <c r="X1861" s="32">
        <f>IF($W1861="","",IF(ISNUMBER($W1861),IF($W1861&gt;=10000000,IFERROR(DATE(INT($W1861/10000),MOD(INT($W1861/100),100),MOD($W1861,100)),""),INT($W1861)),IFERROR(DATE(--LEFT(LEFT(SUBSTITUTE(SUBSTITUTE(SUBSTITUTE(SUBSTITUTE(TRIM($W1861),"-",""),".",""),"/","")," ",""),8),4),--MID(LEFT(SUBSTITUTE(SUBSTITUTE(SUBSTITUTE(SUBSTITUTE(TRIM($W1861),"-",""),".",""),"/","")," ",""),8),5,2),--MID(LEFT(SUBSTITUTE(SUBSTITUTE(SUBSTITUTE(SUBSTITUTE(TRIM($W1861),"-",""),".",""),"/","")," ",""),8),7,2)),"")))</f>
        <v/>
      </c>
      <c r="Y1861" s="32">
        <f>IF($X1861="","",INT($X1861))</f>
        <v/>
      </c>
      <c r="Z1861" s="33">
        <f>IF(OR($Y1861="",$D$6=""),"",IF(INDEX($A:$U,ROW(),$D$6)="",0,IF(ISNUMBER(INDEX($A:$U,ROW(),$D$6)),INDEX($A:$U,ROW(),$D$6),IFERROR(--SUBSTITUTE(SUBSTITUTE(TRIM(INDEX($A:$U,ROW(),$D$6)),",",""),"원",""),0))))</f>
        <v/>
      </c>
      <c r="AA1861" s="31">
        <f>IF($Y1861="","",TRIM(INDEX($A:$U,ROW(),$E$6)&amp;IF($F$6="",""," "&amp;INDEX($A:$U,ROW(),$F$6))))</f>
        <v/>
      </c>
      <c r="AB1861" s="31">
        <f>IF($AA1861="","",SUBSTITUTE(SUBSTITUTE(SUBSTITUTE(SUBSTITUTE(SUBSTITUTE(SUBSTITUTE(SUBSTITUTE(SUBSTITUTE(SUBSTITUTE($AA1861," ",""),"　",""),"(주)",""),"（주）",""),"㈜",""),"주식회사",""),"(유)",""),"（유）",""),"유한회사",""))</f>
        <v/>
      </c>
      <c r="AC1861" s="31">
        <f>IF(OR($Y1861="",N($Z1861)&lt;=0,$AB1861=""),0,IFERROR(LOOKUP(2,1/((거래처별!$AC$8:$AC$307&lt;&gt;"")*ISNUMBER(SEARCH(거래처별!$AC$8:$AC$307,$AB1861))),거래처별!$A$8:$A$307),IFERROR(LOOKUP(2,1/((거래처별!$AD$8:$AD$307&lt;&gt;"")*ISNUMBER(SEARCH(거래처별!$AD$8:$AD$307,$AB1861))),거래처별!$A$8:$A$307),IFERROR(LOOKUP(2,1/((거래처별!$AE$8:$AE$307&lt;&gt;"")*ISNUMBER(SEARCH(거래처별!$AE$8:$AE$307,$AB1861))),거래처별!$A$8:$A$307),0))))</f>
        <v/>
      </c>
      <c r="AD1861" s="31">
        <f>IF(AND($Y1861&lt;&gt;"",N($Z1861)&gt;0,$AC1861=0),MAX($AD$7:$AD1860)+1,"")</f>
        <v/>
      </c>
      <c r="AE1861" s="31">
        <f>IF($Y1861="",0,$Y1861)</f>
        <v/>
      </c>
    </row>
    <row r="1862">
      <c r="W1862" s="31">
        <f>IF(OR($B$5="",$C$6="",ROW()&lt;$B$5),"",IF(INDEX($A:$U,ROW(),$C$6)="","",INDEX($A:$U,ROW(),$C$6)))</f>
        <v/>
      </c>
      <c r="X1862" s="32">
        <f>IF($W1862="","",IF(ISNUMBER($W1862),IF($W1862&gt;=10000000,IFERROR(DATE(INT($W1862/10000),MOD(INT($W1862/100),100),MOD($W1862,100)),""),INT($W1862)),IFERROR(DATE(--LEFT(LEFT(SUBSTITUTE(SUBSTITUTE(SUBSTITUTE(SUBSTITUTE(TRIM($W1862),"-",""),".",""),"/","")," ",""),8),4),--MID(LEFT(SUBSTITUTE(SUBSTITUTE(SUBSTITUTE(SUBSTITUTE(TRIM($W1862),"-",""),".",""),"/","")," ",""),8),5,2),--MID(LEFT(SUBSTITUTE(SUBSTITUTE(SUBSTITUTE(SUBSTITUTE(TRIM($W1862),"-",""),".",""),"/","")," ",""),8),7,2)),"")))</f>
        <v/>
      </c>
      <c r="Y1862" s="32">
        <f>IF($X1862="","",INT($X1862))</f>
        <v/>
      </c>
      <c r="Z1862" s="33">
        <f>IF(OR($Y1862="",$D$6=""),"",IF(INDEX($A:$U,ROW(),$D$6)="",0,IF(ISNUMBER(INDEX($A:$U,ROW(),$D$6)),INDEX($A:$U,ROW(),$D$6),IFERROR(--SUBSTITUTE(SUBSTITUTE(TRIM(INDEX($A:$U,ROW(),$D$6)),",",""),"원",""),0))))</f>
        <v/>
      </c>
      <c r="AA1862" s="31">
        <f>IF($Y1862="","",TRIM(INDEX($A:$U,ROW(),$E$6)&amp;IF($F$6="",""," "&amp;INDEX($A:$U,ROW(),$F$6))))</f>
        <v/>
      </c>
      <c r="AB1862" s="31">
        <f>IF($AA1862="","",SUBSTITUTE(SUBSTITUTE(SUBSTITUTE(SUBSTITUTE(SUBSTITUTE(SUBSTITUTE(SUBSTITUTE(SUBSTITUTE(SUBSTITUTE($AA1862," ",""),"　",""),"(주)",""),"（주）",""),"㈜",""),"주식회사",""),"(유)",""),"（유）",""),"유한회사",""))</f>
        <v/>
      </c>
      <c r="AC1862" s="31">
        <f>IF(OR($Y1862="",N($Z1862)&lt;=0,$AB1862=""),0,IFERROR(LOOKUP(2,1/((거래처별!$AC$8:$AC$307&lt;&gt;"")*ISNUMBER(SEARCH(거래처별!$AC$8:$AC$307,$AB1862))),거래처별!$A$8:$A$307),IFERROR(LOOKUP(2,1/((거래처별!$AD$8:$AD$307&lt;&gt;"")*ISNUMBER(SEARCH(거래처별!$AD$8:$AD$307,$AB1862))),거래처별!$A$8:$A$307),IFERROR(LOOKUP(2,1/((거래처별!$AE$8:$AE$307&lt;&gt;"")*ISNUMBER(SEARCH(거래처별!$AE$8:$AE$307,$AB1862))),거래처별!$A$8:$A$307),0))))</f>
        <v/>
      </c>
      <c r="AD1862" s="31">
        <f>IF(AND($Y1862&lt;&gt;"",N($Z1862)&gt;0,$AC1862=0),MAX($AD$7:$AD1861)+1,"")</f>
        <v/>
      </c>
      <c r="AE1862" s="31">
        <f>IF($Y1862="",0,$Y1862)</f>
        <v/>
      </c>
    </row>
    <row r="1863">
      <c r="W1863" s="31">
        <f>IF(OR($B$5="",$C$6="",ROW()&lt;$B$5),"",IF(INDEX($A:$U,ROW(),$C$6)="","",INDEX($A:$U,ROW(),$C$6)))</f>
        <v/>
      </c>
      <c r="X1863" s="32">
        <f>IF($W1863="","",IF(ISNUMBER($W1863),IF($W1863&gt;=10000000,IFERROR(DATE(INT($W1863/10000),MOD(INT($W1863/100),100),MOD($W1863,100)),""),INT($W1863)),IFERROR(DATE(--LEFT(LEFT(SUBSTITUTE(SUBSTITUTE(SUBSTITUTE(SUBSTITUTE(TRIM($W1863),"-",""),".",""),"/","")," ",""),8),4),--MID(LEFT(SUBSTITUTE(SUBSTITUTE(SUBSTITUTE(SUBSTITUTE(TRIM($W1863),"-",""),".",""),"/","")," ",""),8),5,2),--MID(LEFT(SUBSTITUTE(SUBSTITUTE(SUBSTITUTE(SUBSTITUTE(TRIM($W1863),"-",""),".",""),"/","")," ",""),8),7,2)),"")))</f>
        <v/>
      </c>
      <c r="Y1863" s="32">
        <f>IF($X1863="","",INT($X1863))</f>
        <v/>
      </c>
      <c r="Z1863" s="33">
        <f>IF(OR($Y1863="",$D$6=""),"",IF(INDEX($A:$U,ROW(),$D$6)="",0,IF(ISNUMBER(INDEX($A:$U,ROW(),$D$6)),INDEX($A:$U,ROW(),$D$6),IFERROR(--SUBSTITUTE(SUBSTITUTE(TRIM(INDEX($A:$U,ROW(),$D$6)),",",""),"원",""),0))))</f>
        <v/>
      </c>
      <c r="AA1863" s="31">
        <f>IF($Y1863="","",TRIM(INDEX($A:$U,ROW(),$E$6)&amp;IF($F$6="",""," "&amp;INDEX($A:$U,ROW(),$F$6))))</f>
        <v/>
      </c>
      <c r="AB1863" s="31">
        <f>IF($AA1863="","",SUBSTITUTE(SUBSTITUTE(SUBSTITUTE(SUBSTITUTE(SUBSTITUTE(SUBSTITUTE(SUBSTITUTE(SUBSTITUTE(SUBSTITUTE($AA1863," ",""),"　",""),"(주)",""),"（주）",""),"㈜",""),"주식회사",""),"(유)",""),"（유）",""),"유한회사",""))</f>
        <v/>
      </c>
      <c r="AC1863" s="31">
        <f>IF(OR($Y1863="",N($Z1863)&lt;=0,$AB1863=""),0,IFERROR(LOOKUP(2,1/((거래처별!$AC$8:$AC$307&lt;&gt;"")*ISNUMBER(SEARCH(거래처별!$AC$8:$AC$307,$AB1863))),거래처별!$A$8:$A$307),IFERROR(LOOKUP(2,1/((거래처별!$AD$8:$AD$307&lt;&gt;"")*ISNUMBER(SEARCH(거래처별!$AD$8:$AD$307,$AB1863))),거래처별!$A$8:$A$307),IFERROR(LOOKUP(2,1/((거래처별!$AE$8:$AE$307&lt;&gt;"")*ISNUMBER(SEARCH(거래처별!$AE$8:$AE$307,$AB1863))),거래처별!$A$8:$A$307),0))))</f>
        <v/>
      </c>
      <c r="AD1863" s="31">
        <f>IF(AND($Y1863&lt;&gt;"",N($Z1863)&gt;0,$AC1863=0),MAX($AD$7:$AD1862)+1,"")</f>
        <v/>
      </c>
      <c r="AE1863" s="31">
        <f>IF($Y1863="",0,$Y1863)</f>
        <v/>
      </c>
    </row>
    <row r="1864">
      <c r="W1864" s="31">
        <f>IF(OR($B$5="",$C$6="",ROW()&lt;$B$5),"",IF(INDEX($A:$U,ROW(),$C$6)="","",INDEX($A:$U,ROW(),$C$6)))</f>
        <v/>
      </c>
      <c r="X1864" s="32">
        <f>IF($W1864="","",IF(ISNUMBER($W1864),IF($W1864&gt;=10000000,IFERROR(DATE(INT($W1864/10000),MOD(INT($W1864/100),100),MOD($W1864,100)),""),INT($W1864)),IFERROR(DATE(--LEFT(LEFT(SUBSTITUTE(SUBSTITUTE(SUBSTITUTE(SUBSTITUTE(TRIM($W1864),"-",""),".",""),"/","")," ",""),8),4),--MID(LEFT(SUBSTITUTE(SUBSTITUTE(SUBSTITUTE(SUBSTITUTE(TRIM($W1864),"-",""),".",""),"/","")," ",""),8),5,2),--MID(LEFT(SUBSTITUTE(SUBSTITUTE(SUBSTITUTE(SUBSTITUTE(TRIM($W1864),"-",""),".",""),"/","")," ",""),8),7,2)),"")))</f>
        <v/>
      </c>
      <c r="Y1864" s="32">
        <f>IF($X1864="","",INT($X1864))</f>
        <v/>
      </c>
      <c r="Z1864" s="33">
        <f>IF(OR($Y1864="",$D$6=""),"",IF(INDEX($A:$U,ROW(),$D$6)="",0,IF(ISNUMBER(INDEX($A:$U,ROW(),$D$6)),INDEX($A:$U,ROW(),$D$6),IFERROR(--SUBSTITUTE(SUBSTITUTE(TRIM(INDEX($A:$U,ROW(),$D$6)),",",""),"원",""),0))))</f>
        <v/>
      </c>
      <c r="AA1864" s="31">
        <f>IF($Y1864="","",TRIM(INDEX($A:$U,ROW(),$E$6)&amp;IF($F$6="",""," "&amp;INDEX($A:$U,ROW(),$F$6))))</f>
        <v/>
      </c>
      <c r="AB1864" s="31">
        <f>IF($AA1864="","",SUBSTITUTE(SUBSTITUTE(SUBSTITUTE(SUBSTITUTE(SUBSTITUTE(SUBSTITUTE(SUBSTITUTE(SUBSTITUTE(SUBSTITUTE($AA1864," ",""),"　",""),"(주)",""),"（주）",""),"㈜",""),"주식회사",""),"(유)",""),"（유）",""),"유한회사",""))</f>
        <v/>
      </c>
      <c r="AC1864" s="31">
        <f>IF(OR($Y1864="",N($Z1864)&lt;=0,$AB1864=""),0,IFERROR(LOOKUP(2,1/((거래처별!$AC$8:$AC$307&lt;&gt;"")*ISNUMBER(SEARCH(거래처별!$AC$8:$AC$307,$AB1864))),거래처별!$A$8:$A$307),IFERROR(LOOKUP(2,1/((거래처별!$AD$8:$AD$307&lt;&gt;"")*ISNUMBER(SEARCH(거래처별!$AD$8:$AD$307,$AB1864))),거래처별!$A$8:$A$307),IFERROR(LOOKUP(2,1/((거래처별!$AE$8:$AE$307&lt;&gt;"")*ISNUMBER(SEARCH(거래처별!$AE$8:$AE$307,$AB1864))),거래처별!$A$8:$A$307),0))))</f>
        <v/>
      </c>
      <c r="AD1864" s="31">
        <f>IF(AND($Y1864&lt;&gt;"",N($Z1864)&gt;0,$AC1864=0),MAX($AD$7:$AD1863)+1,"")</f>
        <v/>
      </c>
      <c r="AE1864" s="31">
        <f>IF($Y1864="",0,$Y1864)</f>
        <v/>
      </c>
    </row>
    <row r="1865">
      <c r="W1865" s="31">
        <f>IF(OR($B$5="",$C$6="",ROW()&lt;$B$5),"",IF(INDEX($A:$U,ROW(),$C$6)="","",INDEX($A:$U,ROW(),$C$6)))</f>
        <v/>
      </c>
      <c r="X1865" s="32">
        <f>IF($W1865="","",IF(ISNUMBER($W1865),IF($W1865&gt;=10000000,IFERROR(DATE(INT($W1865/10000),MOD(INT($W1865/100),100),MOD($W1865,100)),""),INT($W1865)),IFERROR(DATE(--LEFT(LEFT(SUBSTITUTE(SUBSTITUTE(SUBSTITUTE(SUBSTITUTE(TRIM($W1865),"-",""),".",""),"/","")," ",""),8),4),--MID(LEFT(SUBSTITUTE(SUBSTITUTE(SUBSTITUTE(SUBSTITUTE(TRIM($W1865),"-",""),".",""),"/","")," ",""),8),5,2),--MID(LEFT(SUBSTITUTE(SUBSTITUTE(SUBSTITUTE(SUBSTITUTE(TRIM($W1865),"-",""),".",""),"/","")," ",""),8),7,2)),"")))</f>
        <v/>
      </c>
      <c r="Y1865" s="32">
        <f>IF($X1865="","",INT($X1865))</f>
        <v/>
      </c>
      <c r="Z1865" s="33">
        <f>IF(OR($Y1865="",$D$6=""),"",IF(INDEX($A:$U,ROW(),$D$6)="",0,IF(ISNUMBER(INDEX($A:$U,ROW(),$D$6)),INDEX($A:$U,ROW(),$D$6),IFERROR(--SUBSTITUTE(SUBSTITUTE(TRIM(INDEX($A:$U,ROW(),$D$6)),",",""),"원",""),0))))</f>
        <v/>
      </c>
      <c r="AA1865" s="31">
        <f>IF($Y1865="","",TRIM(INDEX($A:$U,ROW(),$E$6)&amp;IF($F$6="",""," "&amp;INDEX($A:$U,ROW(),$F$6))))</f>
        <v/>
      </c>
      <c r="AB1865" s="31">
        <f>IF($AA1865="","",SUBSTITUTE(SUBSTITUTE(SUBSTITUTE(SUBSTITUTE(SUBSTITUTE(SUBSTITUTE(SUBSTITUTE(SUBSTITUTE(SUBSTITUTE($AA1865," ",""),"　",""),"(주)",""),"（주）",""),"㈜",""),"주식회사",""),"(유)",""),"（유）",""),"유한회사",""))</f>
        <v/>
      </c>
      <c r="AC1865" s="31">
        <f>IF(OR($Y1865="",N($Z1865)&lt;=0,$AB1865=""),0,IFERROR(LOOKUP(2,1/((거래처별!$AC$8:$AC$307&lt;&gt;"")*ISNUMBER(SEARCH(거래처별!$AC$8:$AC$307,$AB1865))),거래처별!$A$8:$A$307),IFERROR(LOOKUP(2,1/((거래처별!$AD$8:$AD$307&lt;&gt;"")*ISNUMBER(SEARCH(거래처별!$AD$8:$AD$307,$AB1865))),거래처별!$A$8:$A$307),IFERROR(LOOKUP(2,1/((거래처별!$AE$8:$AE$307&lt;&gt;"")*ISNUMBER(SEARCH(거래처별!$AE$8:$AE$307,$AB1865))),거래처별!$A$8:$A$307),0))))</f>
        <v/>
      </c>
      <c r="AD1865" s="31">
        <f>IF(AND($Y1865&lt;&gt;"",N($Z1865)&gt;0,$AC1865=0),MAX($AD$7:$AD1864)+1,"")</f>
        <v/>
      </c>
      <c r="AE1865" s="31">
        <f>IF($Y1865="",0,$Y1865)</f>
        <v/>
      </c>
    </row>
    <row r="1866">
      <c r="W1866" s="31">
        <f>IF(OR($B$5="",$C$6="",ROW()&lt;$B$5),"",IF(INDEX($A:$U,ROW(),$C$6)="","",INDEX($A:$U,ROW(),$C$6)))</f>
        <v/>
      </c>
      <c r="X1866" s="32">
        <f>IF($W1866="","",IF(ISNUMBER($W1866),IF($W1866&gt;=10000000,IFERROR(DATE(INT($W1866/10000),MOD(INT($W1866/100),100),MOD($W1866,100)),""),INT($W1866)),IFERROR(DATE(--LEFT(LEFT(SUBSTITUTE(SUBSTITUTE(SUBSTITUTE(SUBSTITUTE(TRIM($W1866),"-",""),".",""),"/","")," ",""),8),4),--MID(LEFT(SUBSTITUTE(SUBSTITUTE(SUBSTITUTE(SUBSTITUTE(TRIM($W1866),"-",""),".",""),"/","")," ",""),8),5,2),--MID(LEFT(SUBSTITUTE(SUBSTITUTE(SUBSTITUTE(SUBSTITUTE(TRIM($W1866),"-",""),".",""),"/","")," ",""),8),7,2)),"")))</f>
        <v/>
      </c>
      <c r="Y1866" s="32">
        <f>IF($X1866="","",INT($X1866))</f>
        <v/>
      </c>
      <c r="Z1866" s="33">
        <f>IF(OR($Y1866="",$D$6=""),"",IF(INDEX($A:$U,ROW(),$D$6)="",0,IF(ISNUMBER(INDEX($A:$U,ROW(),$D$6)),INDEX($A:$U,ROW(),$D$6),IFERROR(--SUBSTITUTE(SUBSTITUTE(TRIM(INDEX($A:$U,ROW(),$D$6)),",",""),"원",""),0))))</f>
        <v/>
      </c>
      <c r="AA1866" s="31">
        <f>IF($Y1866="","",TRIM(INDEX($A:$U,ROW(),$E$6)&amp;IF($F$6="",""," "&amp;INDEX($A:$U,ROW(),$F$6))))</f>
        <v/>
      </c>
      <c r="AB1866" s="31">
        <f>IF($AA1866="","",SUBSTITUTE(SUBSTITUTE(SUBSTITUTE(SUBSTITUTE(SUBSTITUTE(SUBSTITUTE(SUBSTITUTE(SUBSTITUTE(SUBSTITUTE($AA1866," ",""),"　",""),"(주)",""),"（주）",""),"㈜",""),"주식회사",""),"(유)",""),"（유）",""),"유한회사",""))</f>
        <v/>
      </c>
      <c r="AC1866" s="31">
        <f>IF(OR($Y1866="",N($Z1866)&lt;=0,$AB1866=""),0,IFERROR(LOOKUP(2,1/((거래처별!$AC$8:$AC$307&lt;&gt;"")*ISNUMBER(SEARCH(거래처별!$AC$8:$AC$307,$AB1866))),거래처별!$A$8:$A$307),IFERROR(LOOKUP(2,1/((거래처별!$AD$8:$AD$307&lt;&gt;"")*ISNUMBER(SEARCH(거래처별!$AD$8:$AD$307,$AB1866))),거래처별!$A$8:$A$307),IFERROR(LOOKUP(2,1/((거래처별!$AE$8:$AE$307&lt;&gt;"")*ISNUMBER(SEARCH(거래처별!$AE$8:$AE$307,$AB1866))),거래처별!$A$8:$A$307),0))))</f>
        <v/>
      </c>
      <c r="AD1866" s="31">
        <f>IF(AND($Y1866&lt;&gt;"",N($Z1866)&gt;0,$AC1866=0),MAX($AD$7:$AD1865)+1,"")</f>
        <v/>
      </c>
      <c r="AE1866" s="31">
        <f>IF($Y1866="",0,$Y1866)</f>
        <v/>
      </c>
    </row>
    <row r="1867">
      <c r="W1867" s="31">
        <f>IF(OR($B$5="",$C$6="",ROW()&lt;$B$5),"",IF(INDEX($A:$U,ROW(),$C$6)="","",INDEX($A:$U,ROW(),$C$6)))</f>
        <v/>
      </c>
      <c r="X1867" s="32">
        <f>IF($W1867="","",IF(ISNUMBER($W1867),IF($W1867&gt;=10000000,IFERROR(DATE(INT($W1867/10000),MOD(INT($W1867/100),100),MOD($W1867,100)),""),INT($W1867)),IFERROR(DATE(--LEFT(LEFT(SUBSTITUTE(SUBSTITUTE(SUBSTITUTE(SUBSTITUTE(TRIM($W1867),"-",""),".",""),"/","")," ",""),8),4),--MID(LEFT(SUBSTITUTE(SUBSTITUTE(SUBSTITUTE(SUBSTITUTE(TRIM($W1867),"-",""),".",""),"/","")," ",""),8),5,2),--MID(LEFT(SUBSTITUTE(SUBSTITUTE(SUBSTITUTE(SUBSTITUTE(TRIM($W1867),"-",""),".",""),"/","")," ",""),8),7,2)),"")))</f>
        <v/>
      </c>
      <c r="Y1867" s="32">
        <f>IF($X1867="","",INT($X1867))</f>
        <v/>
      </c>
      <c r="Z1867" s="33">
        <f>IF(OR($Y1867="",$D$6=""),"",IF(INDEX($A:$U,ROW(),$D$6)="",0,IF(ISNUMBER(INDEX($A:$U,ROW(),$D$6)),INDEX($A:$U,ROW(),$D$6),IFERROR(--SUBSTITUTE(SUBSTITUTE(TRIM(INDEX($A:$U,ROW(),$D$6)),",",""),"원",""),0))))</f>
        <v/>
      </c>
      <c r="AA1867" s="31">
        <f>IF($Y1867="","",TRIM(INDEX($A:$U,ROW(),$E$6)&amp;IF($F$6="",""," "&amp;INDEX($A:$U,ROW(),$F$6))))</f>
        <v/>
      </c>
      <c r="AB1867" s="31">
        <f>IF($AA1867="","",SUBSTITUTE(SUBSTITUTE(SUBSTITUTE(SUBSTITUTE(SUBSTITUTE(SUBSTITUTE(SUBSTITUTE(SUBSTITUTE(SUBSTITUTE($AA1867," ",""),"　",""),"(주)",""),"（주）",""),"㈜",""),"주식회사",""),"(유)",""),"（유）",""),"유한회사",""))</f>
        <v/>
      </c>
      <c r="AC1867" s="31">
        <f>IF(OR($Y1867="",N($Z1867)&lt;=0,$AB1867=""),0,IFERROR(LOOKUP(2,1/((거래처별!$AC$8:$AC$307&lt;&gt;"")*ISNUMBER(SEARCH(거래처별!$AC$8:$AC$307,$AB1867))),거래처별!$A$8:$A$307),IFERROR(LOOKUP(2,1/((거래처별!$AD$8:$AD$307&lt;&gt;"")*ISNUMBER(SEARCH(거래처별!$AD$8:$AD$307,$AB1867))),거래처별!$A$8:$A$307),IFERROR(LOOKUP(2,1/((거래처별!$AE$8:$AE$307&lt;&gt;"")*ISNUMBER(SEARCH(거래처별!$AE$8:$AE$307,$AB1867))),거래처별!$A$8:$A$307),0))))</f>
        <v/>
      </c>
      <c r="AD1867" s="31">
        <f>IF(AND($Y1867&lt;&gt;"",N($Z1867)&gt;0,$AC1867=0),MAX($AD$7:$AD1866)+1,"")</f>
        <v/>
      </c>
      <c r="AE1867" s="31">
        <f>IF($Y1867="",0,$Y1867)</f>
        <v/>
      </c>
    </row>
    <row r="1868">
      <c r="W1868" s="31">
        <f>IF(OR($B$5="",$C$6="",ROW()&lt;$B$5),"",IF(INDEX($A:$U,ROW(),$C$6)="","",INDEX($A:$U,ROW(),$C$6)))</f>
        <v/>
      </c>
      <c r="X1868" s="32">
        <f>IF($W1868="","",IF(ISNUMBER($W1868),IF($W1868&gt;=10000000,IFERROR(DATE(INT($W1868/10000),MOD(INT($W1868/100),100),MOD($W1868,100)),""),INT($W1868)),IFERROR(DATE(--LEFT(LEFT(SUBSTITUTE(SUBSTITUTE(SUBSTITUTE(SUBSTITUTE(TRIM($W1868),"-",""),".",""),"/","")," ",""),8),4),--MID(LEFT(SUBSTITUTE(SUBSTITUTE(SUBSTITUTE(SUBSTITUTE(TRIM($W1868),"-",""),".",""),"/","")," ",""),8),5,2),--MID(LEFT(SUBSTITUTE(SUBSTITUTE(SUBSTITUTE(SUBSTITUTE(TRIM($W1868),"-",""),".",""),"/","")," ",""),8),7,2)),"")))</f>
        <v/>
      </c>
      <c r="Y1868" s="32">
        <f>IF($X1868="","",INT($X1868))</f>
        <v/>
      </c>
      <c r="Z1868" s="33">
        <f>IF(OR($Y1868="",$D$6=""),"",IF(INDEX($A:$U,ROW(),$D$6)="",0,IF(ISNUMBER(INDEX($A:$U,ROW(),$D$6)),INDEX($A:$U,ROW(),$D$6),IFERROR(--SUBSTITUTE(SUBSTITUTE(TRIM(INDEX($A:$U,ROW(),$D$6)),",",""),"원",""),0))))</f>
        <v/>
      </c>
      <c r="AA1868" s="31">
        <f>IF($Y1868="","",TRIM(INDEX($A:$U,ROW(),$E$6)&amp;IF($F$6="",""," "&amp;INDEX($A:$U,ROW(),$F$6))))</f>
        <v/>
      </c>
      <c r="AB1868" s="31">
        <f>IF($AA1868="","",SUBSTITUTE(SUBSTITUTE(SUBSTITUTE(SUBSTITUTE(SUBSTITUTE(SUBSTITUTE(SUBSTITUTE(SUBSTITUTE(SUBSTITUTE($AA1868," ",""),"　",""),"(주)",""),"（주）",""),"㈜",""),"주식회사",""),"(유)",""),"（유）",""),"유한회사",""))</f>
        <v/>
      </c>
      <c r="AC1868" s="31">
        <f>IF(OR($Y1868="",N($Z1868)&lt;=0,$AB1868=""),0,IFERROR(LOOKUP(2,1/((거래처별!$AC$8:$AC$307&lt;&gt;"")*ISNUMBER(SEARCH(거래처별!$AC$8:$AC$307,$AB1868))),거래처별!$A$8:$A$307),IFERROR(LOOKUP(2,1/((거래처별!$AD$8:$AD$307&lt;&gt;"")*ISNUMBER(SEARCH(거래처별!$AD$8:$AD$307,$AB1868))),거래처별!$A$8:$A$307),IFERROR(LOOKUP(2,1/((거래처별!$AE$8:$AE$307&lt;&gt;"")*ISNUMBER(SEARCH(거래처별!$AE$8:$AE$307,$AB1868))),거래처별!$A$8:$A$307),0))))</f>
        <v/>
      </c>
      <c r="AD1868" s="31">
        <f>IF(AND($Y1868&lt;&gt;"",N($Z1868)&gt;0,$AC1868=0),MAX($AD$7:$AD1867)+1,"")</f>
        <v/>
      </c>
      <c r="AE1868" s="31">
        <f>IF($Y1868="",0,$Y1868)</f>
        <v/>
      </c>
    </row>
    <row r="1869">
      <c r="W1869" s="31">
        <f>IF(OR($B$5="",$C$6="",ROW()&lt;$B$5),"",IF(INDEX($A:$U,ROW(),$C$6)="","",INDEX($A:$U,ROW(),$C$6)))</f>
        <v/>
      </c>
      <c r="X1869" s="32">
        <f>IF($W1869="","",IF(ISNUMBER($W1869),IF($W1869&gt;=10000000,IFERROR(DATE(INT($W1869/10000),MOD(INT($W1869/100),100),MOD($W1869,100)),""),INT($W1869)),IFERROR(DATE(--LEFT(LEFT(SUBSTITUTE(SUBSTITUTE(SUBSTITUTE(SUBSTITUTE(TRIM($W1869),"-",""),".",""),"/","")," ",""),8),4),--MID(LEFT(SUBSTITUTE(SUBSTITUTE(SUBSTITUTE(SUBSTITUTE(TRIM($W1869),"-",""),".",""),"/","")," ",""),8),5,2),--MID(LEFT(SUBSTITUTE(SUBSTITUTE(SUBSTITUTE(SUBSTITUTE(TRIM($W1869),"-",""),".",""),"/","")," ",""),8),7,2)),"")))</f>
        <v/>
      </c>
      <c r="Y1869" s="32">
        <f>IF($X1869="","",INT($X1869))</f>
        <v/>
      </c>
      <c r="Z1869" s="33">
        <f>IF(OR($Y1869="",$D$6=""),"",IF(INDEX($A:$U,ROW(),$D$6)="",0,IF(ISNUMBER(INDEX($A:$U,ROW(),$D$6)),INDEX($A:$U,ROW(),$D$6),IFERROR(--SUBSTITUTE(SUBSTITUTE(TRIM(INDEX($A:$U,ROW(),$D$6)),",",""),"원",""),0))))</f>
        <v/>
      </c>
      <c r="AA1869" s="31">
        <f>IF($Y1869="","",TRIM(INDEX($A:$U,ROW(),$E$6)&amp;IF($F$6="",""," "&amp;INDEX($A:$U,ROW(),$F$6))))</f>
        <v/>
      </c>
      <c r="AB1869" s="31">
        <f>IF($AA1869="","",SUBSTITUTE(SUBSTITUTE(SUBSTITUTE(SUBSTITUTE(SUBSTITUTE(SUBSTITUTE(SUBSTITUTE(SUBSTITUTE(SUBSTITUTE($AA1869," ",""),"　",""),"(주)",""),"（주）",""),"㈜",""),"주식회사",""),"(유)",""),"（유）",""),"유한회사",""))</f>
        <v/>
      </c>
      <c r="AC1869" s="31">
        <f>IF(OR($Y1869="",N($Z1869)&lt;=0,$AB1869=""),0,IFERROR(LOOKUP(2,1/((거래처별!$AC$8:$AC$307&lt;&gt;"")*ISNUMBER(SEARCH(거래처별!$AC$8:$AC$307,$AB1869))),거래처별!$A$8:$A$307),IFERROR(LOOKUP(2,1/((거래처별!$AD$8:$AD$307&lt;&gt;"")*ISNUMBER(SEARCH(거래처별!$AD$8:$AD$307,$AB1869))),거래처별!$A$8:$A$307),IFERROR(LOOKUP(2,1/((거래처별!$AE$8:$AE$307&lt;&gt;"")*ISNUMBER(SEARCH(거래처별!$AE$8:$AE$307,$AB1869))),거래처별!$A$8:$A$307),0))))</f>
        <v/>
      </c>
      <c r="AD1869" s="31">
        <f>IF(AND($Y1869&lt;&gt;"",N($Z1869)&gt;0,$AC1869=0),MAX($AD$7:$AD1868)+1,"")</f>
        <v/>
      </c>
      <c r="AE1869" s="31">
        <f>IF($Y1869="",0,$Y1869)</f>
        <v/>
      </c>
    </row>
    <row r="1870">
      <c r="W1870" s="31">
        <f>IF(OR($B$5="",$C$6="",ROW()&lt;$B$5),"",IF(INDEX($A:$U,ROW(),$C$6)="","",INDEX($A:$U,ROW(),$C$6)))</f>
        <v/>
      </c>
      <c r="X1870" s="32">
        <f>IF($W1870="","",IF(ISNUMBER($W1870),IF($W1870&gt;=10000000,IFERROR(DATE(INT($W1870/10000),MOD(INT($W1870/100),100),MOD($W1870,100)),""),INT($W1870)),IFERROR(DATE(--LEFT(LEFT(SUBSTITUTE(SUBSTITUTE(SUBSTITUTE(SUBSTITUTE(TRIM($W1870),"-",""),".",""),"/","")," ",""),8),4),--MID(LEFT(SUBSTITUTE(SUBSTITUTE(SUBSTITUTE(SUBSTITUTE(TRIM($W1870),"-",""),".",""),"/","")," ",""),8),5,2),--MID(LEFT(SUBSTITUTE(SUBSTITUTE(SUBSTITUTE(SUBSTITUTE(TRIM($W1870),"-",""),".",""),"/","")," ",""),8),7,2)),"")))</f>
        <v/>
      </c>
      <c r="Y1870" s="32">
        <f>IF($X1870="","",INT($X1870))</f>
        <v/>
      </c>
      <c r="Z1870" s="33">
        <f>IF(OR($Y1870="",$D$6=""),"",IF(INDEX($A:$U,ROW(),$D$6)="",0,IF(ISNUMBER(INDEX($A:$U,ROW(),$D$6)),INDEX($A:$U,ROW(),$D$6),IFERROR(--SUBSTITUTE(SUBSTITUTE(TRIM(INDEX($A:$U,ROW(),$D$6)),",",""),"원",""),0))))</f>
        <v/>
      </c>
      <c r="AA1870" s="31">
        <f>IF($Y1870="","",TRIM(INDEX($A:$U,ROW(),$E$6)&amp;IF($F$6="",""," "&amp;INDEX($A:$U,ROW(),$F$6))))</f>
        <v/>
      </c>
      <c r="AB1870" s="31">
        <f>IF($AA1870="","",SUBSTITUTE(SUBSTITUTE(SUBSTITUTE(SUBSTITUTE(SUBSTITUTE(SUBSTITUTE(SUBSTITUTE(SUBSTITUTE(SUBSTITUTE($AA1870," ",""),"　",""),"(주)",""),"（주）",""),"㈜",""),"주식회사",""),"(유)",""),"（유）",""),"유한회사",""))</f>
        <v/>
      </c>
      <c r="AC1870" s="31">
        <f>IF(OR($Y1870="",N($Z1870)&lt;=0,$AB1870=""),0,IFERROR(LOOKUP(2,1/((거래처별!$AC$8:$AC$307&lt;&gt;"")*ISNUMBER(SEARCH(거래처별!$AC$8:$AC$307,$AB1870))),거래처별!$A$8:$A$307),IFERROR(LOOKUP(2,1/((거래처별!$AD$8:$AD$307&lt;&gt;"")*ISNUMBER(SEARCH(거래처별!$AD$8:$AD$307,$AB1870))),거래처별!$A$8:$A$307),IFERROR(LOOKUP(2,1/((거래처별!$AE$8:$AE$307&lt;&gt;"")*ISNUMBER(SEARCH(거래처별!$AE$8:$AE$307,$AB1870))),거래처별!$A$8:$A$307),0))))</f>
        <v/>
      </c>
      <c r="AD1870" s="31">
        <f>IF(AND($Y1870&lt;&gt;"",N($Z1870)&gt;0,$AC1870=0),MAX($AD$7:$AD1869)+1,"")</f>
        <v/>
      </c>
      <c r="AE1870" s="31">
        <f>IF($Y1870="",0,$Y1870)</f>
        <v/>
      </c>
    </row>
    <row r="1871">
      <c r="W1871" s="31">
        <f>IF(OR($B$5="",$C$6="",ROW()&lt;$B$5),"",IF(INDEX($A:$U,ROW(),$C$6)="","",INDEX($A:$U,ROW(),$C$6)))</f>
        <v/>
      </c>
      <c r="X1871" s="32">
        <f>IF($W1871="","",IF(ISNUMBER($W1871),IF($W1871&gt;=10000000,IFERROR(DATE(INT($W1871/10000),MOD(INT($W1871/100),100),MOD($W1871,100)),""),INT($W1871)),IFERROR(DATE(--LEFT(LEFT(SUBSTITUTE(SUBSTITUTE(SUBSTITUTE(SUBSTITUTE(TRIM($W1871),"-",""),".",""),"/","")," ",""),8),4),--MID(LEFT(SUBSTITUTE(SUBSTITUTE(SUBSTITUTE(SUBSTITUTE(TRIM($W1871),"-",""),".",""),"/","")," ",""),8),5,2),--MID(LEFT(SUBSTITUTE(SUBSTITUTE(SUBSTITUTE(SUBSTITUTE(TRIM($W1871),"-",""),".",""),"/","")," ",""),8),7,2)),"")))</f>
        <v/>
      </c>
      <c r="Y1871" s="32">
        <f>IF($X1871="","",INT($X1871))</f>
        <v/>
      </c>
      <c r="Z1871" s="33">
        <f>IF(OR($Y1871="",$D$6=""),"",IF(INDEX($A:$U,ROW(),$D$6)="",0,IF(ISNUMBER(INDEX($A:$U,ROW(),$D$6)),INDEX($A:$U,ROW(),$D$6),IFERROR(--SUBSTITUTE(SUBSTITUTE(TRIM(INDEX($A:$U,ROW(),$D$6)),",",""),"원",""),0))))</f>
        <v/>
      </c>
      <c r="AA1871" s="31">
        <f>IF($Y1871="","",TRIM(INDEX($A:$U,ROW(),$E$6)&amp;IF($F$6="",""," "&amp;INDEX($A:$U,ROW(),$F$6))))</f>
        <v/>
      </c>
      <c r="AB1871" s="31">
        <f>IF($AA1871="","",SUBSTITUTE(SUBSTITUTE(SUBSTITUTE(SUBSTITUTE(SUBSTITUTE(SUBSTITUTE(SUBSTITUTE(SUBSTITUTE(SUBSTITUTE($AA1871," ",""),"　",""),"(주)",""),"（주）",""),"㈜",""),"주식회사",""),"(유)",""),"（유）",""),"유한회사",""))</f>
        <v/>
      </c>
      <c r="AC1871" s="31">
        <f>IF(OR($Y1871="",N($Z1871)&lt;=0,$AB1871=""),0,IFERROR(LOOKUP(2,1/((거래처별!$AC$8:$AC$307&lt;&gt;"")*ISNUMBER(SEARCH(거래처별!$AC$8:$AC$307,$AB1871))),거래처별!$A$8:$A$307),IFERROR(LOOKUP(2,1/((거래처별!$AD$8:$AD$307&lt;&gt;"")*ISNUMBER(SEARCH(거래처별!$AD$8:$AD$307,$AB1871))),거래처별!$A$8:$A$307),IFERROR(LOOKUP(2,1/((거래처별!$AE$8:$AE$307&lt;&gt;"")*ISNUMBER(SEARCH(거래처별!$AE$8:$AE$307,$AB1871))),거래처별!$A$8:$A$307),0))))</f>
        <v/>
      </c>
      <c r="AD1871" s="31">
        <f>IF(AND($Y1871&lt;&gt;"",N($Z1871)&gt;0,$AC1871=0),MAX($AD$7:$AD1870)+1,"")</f>
        <v/>
      </c>
      <c r="AE1871" s="31">
        <f>IF($Y1871="",0,$Y1871)</f>
        <v/>
      </c>
    </row>
    <row r="1872">
      <c r="W1872" s="31">
        <f>IF(OR($B$5="",$C$6="",ROW()&lt;$B$5),"",IF(INDEX($A:$U,ROW(),$C$6)="","",INDEX($A:$U,ROW(),$C$6)))</f>
        <v/>
      </c>
      <c r="X1872" s="32">
        <f>IF($W1872="","",IF(ISNUMBER($W1872),IF($W1872&gt;=10000000,IFERROR(DATE(INT($W1872/10000),MOD(INT($W1872/100),100),MOD($W1872,100)),""),INT($W1872)),IFERROR(DATE(--LEFT(LEFT(SUBSTITUTE(SUBSTITUTE(SUBSTITUTE(SUBSTITUTE(TRIM($W1872),"-",""),".",""),"/","")," ",""),8),4),--MID(LEFT(SUBSTITUTE(SUBSTITUTE(SUBSTITUTE(SUBSTITUTE(TRIM($W1872),"-",""),".",""),"/","")," ",""),8),5,2),--MID(LEFT(SUBSTITUTE(SUBSTITUTE(SUBSTITUTE(SUBSTITUTE(TRIM($W1872),"-",""),".",""),"/","")," ",""),8),7,2)),"")))</f>
        <v/>
      </c>
      <c r="Y1872" s="32">
        <f>IF($X1872="","",INT($X1872))</f>
        <v/>
      </c>
      <c r="Z1872" s="33">
        <f>IF(OR($Y1872="",$D$6=""),"",IF(INDEX($A:$U,ROW(),$D$6)="",0,IF(ISNUMBER(INDEX($A:$U,ROW(),$D$6)),INDEX($A:$U,ROW(),$D$6),IFERROR(--SUBSTITUTE(SUBSTITUTE(TRIM(INDEX($A:$U,ROW(),$D$6)),",",""),"원",""),0))))</f>
        <v/>
      </c>
      <c r="AA1872" s="31">
        <f>IF($Y1872="","",TRIM(INDEX($A:$U,ROW(),$E$6)&amp;IF($F$6="",""," "&amp;INDEX($A:$U,ROW(),$F$6))))</f>
        <v/>
      </c>
      <c r="AB1872" s="31">
        <f>IF($AA1872="","",SUBSTITUTE(SUBSTITUTE(SUBSTITUTE(SUBSTITUTE(SUBSTITUTE(SUBSTITUTE(SUBSTITUTE(SUBSTITUTE(SUBSTITUTE($AA1872," ",""),"　",""),"(주)",""),"（주）",""),"㈜",""),"주식회사",""),"(유)",""),"（유）",""),"유한회사",""))</f>
        <v/>
      </c>
      <c r="AC1872" s="31">
        <f>IF(OR($Y1872="",N($Z1872)&lt;=0,$AB1872=""),0,IFERROR(LOOKUP(2,1/((거래처별!$AC$8:$AC$307&lt;&gt;"")*ISNUMBER(SEARCH(거래처별!$AC$8:$AC$307,$AB1872))),거래처별!$A$8:$A$307),IFERROR(LOOKUP(2,1/((거래처별!$AD$8:$AD$307&lt;&gt;"")*ISNUMBER(SEARCH(거래처별!$AD$8:$AD$307,$AB1872))),거래처별!$A$8:$A$307),IFERROR(LOOKUP(2,1/((거래처별!$AE$8:$AE$307&lt;&gt;"")*ISNUMBER(SEARCH(거래처별!$AE$8:$AE$307,$AB1872))),거래처별!$A$8:$A$307),0))))</f>
        <v/>
      </c>
      <c r="AD1872" s="31">
        <f>IF(AND($Y1872&lt;&gt;"",N($Z1872)&gt;0,$AC1872=0),MAX($AD$7:$AD1871)+1,"")</f>
        <v/>
      </c>
      <c r="AE1872" s="31">
        <f>IF($Y1872="",0,$Y1872)</f>
        <v/>
      </c>
    </row>
    <row r="1873">
      <c r="W1873" s="31">
        <f>IF(OR($B$5="",$C$6="",ROW()&lt;$B$5),"",IF(INDEX($A:$U,ROW(),$C$6)="","",INDEX($A:$U,ROW(),$C$6)))</f>
        <v/>
      </c>
      <c r="X1873" s="32">
        <f>IF($W1873="","",IF(ISNUMBER($W1873),IF($W1873&gt;=10000000,IFERROR(DATE(INT($W1873/10000),MOD(INT($W1873/100),100),MOD($W1873,100)),""),INT($W1873)),IFERROR(DATE(--LEFT(LEFT(SUBSTITUTE(SUBSTITUTE(SUBSTITUTE(SUBSTITUTE(TRIM($W1873),"-",""),".",""),"/","")," ",""),8),4),--MID(LEFT(SUBSTITUTE(SUBSTITUTE(SUBSTITUTE(SUBSTITUTE(TRIM($W1873),"-",""),".",""),"/","")," ",""),8),5,2),--MID(LEFT(SUBSTITUTE(SUBSTITUTE(SUBSTITUTE(SUBSTITUTE(TRIM($W1873),"-",""),".",""),"/","")," ",""),8),7,2)),"")))</f>
        <v/>
      </c>
      <c r="Y1873" s="32">
        <f>IF($X1873="","",INT($X1873))</f>
        <v/>
      </c>
      <c r="Z1873" s="33">
        <f>IF(OR($Y1873="",$D$6=""),"",IF(INDEX($A:$U,ROW(),$D$6)="",0,IF(ISNUMBER(INDEX($A:$U,ROW(),$D$6)),INDEX($A:$U,ROW(),$D$6),IFERROR(--SUBSTITUTE(SUBSTITUTE(TRIM(INDEX($A:$U,ROW(),$D$6)),",",""),"원",""),0))))</f>
        <v/>
      </c>
      <c r="AA1873" s="31">
        <f>IF($Y1873="","",TRIM(INDEX($A:$U,ROW(),$E$6)&amp;IF($F$6="",""," "&amp;INDEX($A:$U,ROW(),$F$6))))</f>
        <v/>
      </c>
      <c r="AB1873" s="31">
        <f>IF($AA1873="","",SUBSTITUTE(SUBSTITUTE(SUBSTITUTE(SUBSTITUTE(SUBSTITUTE(SUBSTITUTE(SUBSTITUTE(SUBSTITUTE(SUBSTITUTE($AA1873," ",""),"　",""),"(주)",""),"（주）",""),"㈜",""),"주식회사",""),"(유)",""),"（유）",""),"유한회사",""))</f>
        <v/>
      </c>
      <c r="AC1873" s="31">
        <f>IF(OR($Y1873="",N($Z1873)&lt;=0,$AB1873=""),0,IFERROR(LOOKUP(2,1/((거래처별!$AC$8:$AC$307&lt;&gt;"")*ISNUMBER(SEARCH(거래처별!$AC$8:$AC$307,$AB1873))),거래처별!$A$8:$A$307),IFERROR(LOOKUP(2,1/((거래처별!$AD$8:$AD$307&lt;&gt;"")*ISNUMBER(SEARCH(거래처별!$AD$8:$AD$307,$AB1873))),거래처별!$A$8:$A$307),IFERROR(LOOKUP(2,1/((거래처별!$AE$8:$AE$307&lt;&gt;"")*ISNUMBER(SEARCH(거래처별!$AE$8:$AE$307,$AB1873))),거래처별!$A$8:$A$307),0))))</f>
        <v/>
      </c>
      <c r="AD1873" s="31">
        <f>IF(AND($Y1873&lt;&gt;"",N($Z1873)&gt;0,$AC1873=0),MAX($AD$7:$AD1872)+1,"")</f>
        <v/>
      </c>
      <c r="AE1873" s="31">
        <f>IF($Y1873="",0,$Y1873)</f>
        <v/>
      </c>
    </row>
    <row r="1874">
      <c r="W1874" s="31">
        <f>IF(OR($B$5="",$C$6="",ROW()&lt;$B$5),"",IF(INDEX($A:$U,ROW(),$C$6)="","",INDEX($A:$U,ROW(),$C$6)))</f>
        <v/>
      </c>
      <c r="X1874" s="32">
        <f>IF($W1874="","",IF(ISNUMBER($W1874),IF($W1874&gt;=10000000,IFERROR(DATE(INT($W1874/10000),MOD(INT($W1874/100),100),MOD($W1874,100)),""),INT($W1874)),IFERROR(DATE(--LEFT(LEFT(SUBSTITUTE(SUBSTITUTE(SUBSTITUTE(SUBSTITUTE(TRIM($W1874),"-",""),".",""),"/","")," ",""),8),4),--MID(LEFT(SUBSTITUTE(SUBSTITUTE(SUBSTITUTE(SUBSTITUTE(TRIM($W1874),"-",""),".",""),"/","")," ",""),8),5,2),--MID(LEFT(SUBSTITUTE(SUBSTITUTE(SUBSTITUTE(SUBSTITUTE(TRIM($W1874),"-",""),".",""),"/","")," ",""),8),7,2)),"")))</f>
        <v/>
      </c>
      <c r="Y1874" s="32">
        <f>IF($X1874="","",INT($X1874))</f>
        <v/>
      </c>
      <c r="Z1874" s="33">
        <f>IF(OR($Y1874="",$D$6=""),"",IF(INDEX($A:$U,ROW(),$D$6)="",0,IF(ISNUMBER(INDEX($A:$U,ROW(),$D$6)),INDEX($A:$U,ROW(),$D$6),IFERROR(--SUBSTITUTE(SUBSTITUTE(TRIM(INDEX($A:$U,ROW(),$D$6)),",",""),"원",""),0))))</f>
        <v/>
      </c>
      <c r="AA1874" s="31">
        <f>IF($Y1874="","",TRIM(INDEX($A:$U,ROW(),$E$6)&amp;IF($F$6="",""," "&amp;INDEX($A:$U,ROW(),$F$6))))</f>
        <v/>
      </c>
      <c r="AB1874" s="31">
        <f>IF($AA1874="","",SUBSTITUTE(SUBSTITUTE(SUBSTITUTE(SUBSTITUTE(SUBSTITUTE(SUBSTITUTE(SUBSTITUTE(SUBSTITUTE(SUBSTITUTE($AA1874," ",""),"　",""),"(주)",""),"（주）",""),"㈜",""),"주식회사",""),"(유)",""),"（유）",""),"유한회사",""))</f>
        <v/>
      </c>
      <c r="AC1874" s="31">
        <f>IF(OR($Y1874="",N($Z1874)&lt;=0,$AB1874=""),0,IFERROR(LOOKUP(2,1/((거래처별!$AC$8:$AC$307&lt;&gt;"")*ISNUMBER(SEARCH(거래처별!$AC$8:$AC$307,$AB1874))),거래처별!$A$8:$A$307),IFERROR(LOOKUP(2,1/((거래처별!$AD$8:$AD$307&lt;&gt;"")*ISNUMBER(SEARCH(거래처별!$AD$8:$AD$307,$AB1874))),거래처별!$A$8:$A$307),IFERROR(LOOKUP(2,1/((거래처별!$AE$8:$AE$307&lt;&gt;"")*ISNUMBER(SEARCH(거래처별!$AE$8:$AE$307,$AB1874))),거래처별!$A$8:$A$307),0))))</f>
        <v/>
      </c>
      <c r="AD1874" s="31">
        <f>IF(AND($Y1874&lt;&gt;"",N($Z1874)&gt;0,$AC1874=0),MAX($AD$7:$AD1873)+1,"")</f>
        <v/>
      </c>
      <c r="AE1874" s="31">
        <f>IF($Y1874="",0,$Y1874)</f>
        <v/>
      </c>
    </row>
    <row r="1875">
      <c r="W1875" s="31">
        <f>IF(OR($B$5="",$C$6="",ROW()&lt;$B$5),"",IF(INDEX($A:$U,ROW(),$C$6)="","",INDEX($A:$U,ROW(),$C$6)))</f>
        <v/>
      </c>
      <c r="X1875" s="32">
        <f>IF($W1875="","",IF(ISNUMBER($W1875),IF($W1875&gt;=10000000,IFERROR(DATE(INT($W1875/10000),MOD(INT($W1875/100),100),MOD($W1875,100)),""),INT($W1875)),IFERROR(DATE(--LEFT(LEFT(SUBSTITUTE(SUBSTITUTE(SUBSTITUTE(SUBSTITUTE(TRIM($W1875),"-",""),".",""),"/","")," ",""),8),4),--MID(LEFT(SUBSTITUTE(SUBSTITUTE(SUBSTITUTE(SUBSTITUTE(TRIM($W1875),"-",""),".",""),"/","")," ",""),8),5,2),--MID(LEFT(SUBSTITUTE(SUBSTITUTE(SUBSTITUTE(SUBSTITUTE(TRIM($W1875),"-",""),".",""),"/","")," ",""),8),7,2)),"")))</f>
        <v/>
      </c>
      <c r="Y1875" s="32">
        <f>IF($X1875="","",INT($X1875))</f>
        <v/>
      </c>
      <c r="Z1875" s="33">
        <f>IF(OR($Y1875="",$D$6=""),"",IF(INDEX($A:$U,ROW(),$D$6)="",0,IF(ISNUMBER(INDEX($A:$U,ROW(),$D$6)),INDEX($A:$U,ROW(),$D$6),IFERROR(--SUBSTITUTE(SUBSTITUTE(TRIM(INDEX($A:$U,ROW(),$D$6)),",",""),"원",""),0))))</f>
        <v/>
      </c>
      <c r="AA1875" s="31">
        <f>IF($Y1875="","",TRIM(INDEX($A:$U,ROW(),$E$6)&amp;IF($F$6="",""," "&amp;INDEX($A:$U,ROW(),$F$6))))</f>
        <v/>
      </c>
      <c r="AB1875" s="31">
        <f>IF($AA1875="","",SUBSTITUTE(SUBSTITUTE(SUBSTITUTE(SUBSTITUTE(SUBSTITUTE(SUBSTITUTE(SUBSTITUTE(SUBSTITUTE(SUBSTITUTE($AA1875," ",""),"　",""),"(주)",""),"（주）",""),"㈜",""),"주식회사",""),"(유)",""),"（유）",""),"유한회사",""))</f>
        <v/>
      </c>
      <c r="AC1875" s="31">
        <f>IF(OR($Y1875="",N($Z1875)&lt;=0,$AB1875=""),0,IFERROR(LOOKUP(2,1/((거래처별!$AC$8:$AC$307&lt;&gt;"")*ISNUMBER(SEARCH(거래처별!$AC$8:$AC$307,$AB1875))),거래처별!$A$8:$A$307),IFERROR(LOOKUP(2,1/((거래처별!$AD$8:$AD$307&lt;&gt;"")*ISNUMBER(SEARCH(거래처별!$AD$8:$AD$307,$AB1875))),거래처별!$A$8:$A$307),IFERROR(LOOKUP(2,1/((거래처별!$AE$8:$AE$307&lt;&gt;"")*ISNUMBER(SEARCH(거래처별!$AE$8:$AE$307,$AB1875))),거래처별!$A$8:$A$307),0))))</f>
        <v/>
      </c>
      <c r="AD1875" s="31">
        <f>IF(AND($Y1875&lt;&gt;"",N($Z1875)&gt;0,$AC1875=0),MAX($AD$7:$AD1874)+1,"")</f>
        <v/>
      </c>
      <c r="AE1875" s="31">
        <f>IF($Y1875="",0,$Y1875)</f>
        <v/>
      </c>
    </row>
    <row r="1876">
      <c r="W1876" s="31">
        <f>IF(OR($B$5="",$C$6="",ROW()&lt;$B$5),"",IF(INDEX($A:$U,ROW(),$C$6)="","",INDEX($A:$U,ROW(),$C$6)))</f>
        <v/>
      </c>
      <c r="X1876" s="32">
        <f>IF($W1876="","",IF(ISNUMBER($W1876),IF($W1876&gt;=10000000,IFERROR(DATE(INT($W1876/10000),MOD(INT($W1876/100),100),MOD($W1876,100)),""),INT($W1876)),IFERROR(DATE(--LEFT(LEFT(SUBSTITUTE(SUBSTITUTE(SUBSTITUTE(SUBSTITUTE(TRIM($W1876),"-",""),".",""),"/","")," ",""),8),4),--MID(LEFT(SUBSTITUTE(SUBSTITUTE(SUBSTITUTE(SUBSTITUTE(TRIM($W1876),"-",""),".",""),"/","")," ",""),8),5,2),--MID(LEFT(SUBSTITUTE(SUBSTITUTE(SUBSTITUTE(SUBSTITUTE(TRIM($W1876),"-",""),".",""),"/","")," ",""),8),7,2)),"")))</f>
        <v/>
      </c>
      <c r="Y1876" s="32">
        <f>IF($X1876="","",INT($X1876))</f>
        <v/>
      </c>
      <c r="Z1876" s="33">
        <f>IF(OR($Y1876="",$D$6=""),"",IF(INDEX($A:$U,ROW(),$D$6)="",0,IF(ISNUMBER(INDEX($A:$U,ROW(),$D$6)),INDEX($A:$U,ROW(),$D$6),IFERROR(--SUBSTITUTE(SUBSTITUTE(TRIM(INDEX($A:$U,ROW(),$D$6)),",",""),"원",""),0))))</f>
        <v/>
      </c>
      <c r="AA1876" s="31">
        <f>IF($Y1876="","",TRIM(INDEX($A:$U,ROW(),$E$6)&amp;IF($F$6="",""," "&amp;INDEX($A:$U,ROW(),$F$6))))</f>
        <v/>
      </c>
      <c r="AB1876" s="31">
        <f>IF($AA1876="","",SUBSTITUTE(SUBSTITUTE(SUBSTITUTE(SUBSTITUTE(SUBSTITUTE(SUBSTITUTE(SUBSTITUTE(SUBSTITUTE(SUBSTITUTE($AA1876," ",""),"　",""),"(주)",""),"（주）",""),"㈜",""),"주식회사",""),"(유)",""),"（유）",""),"유한회사",""))</f>
        <v/>
      </c>
      <c r="AC1876" s="31">
        <f>IF(OR($Y1876="",N($Z1876)&lt;=0,$AB1876=""),0,IFERROR(LOOKUP(2,1/((거래처별!$AC$8:$AC$307&lt;&gt;"")*ISNUMBER(SEARCH(거래처별!$AC$8:$AC$307,$AB1876))),거래처별!$A$8:$A$307),IFERROR(LOOKUP(2,1/((거래처별!$AD$8:$AD$307&lt;&gt;"")*ISNUMBER(SEARCH(거래처별!$AD$8:$AD$307,$AB1876))),거래처별!$A$8:$A$307),IFERROR(LOOKUP(2,1/((거래처별!$AE$8:$AE$307&lt;&gt;"")*ISNUMBER(SEARCH(거래처별!$AE$8:$AE$307,$AB1876))),거래처별!$A$8:$A$307),0))))</f>
        <v/>
      </c>
      <c r="AD1876" s="31">
        <f>IF(AND($Y1876&lt;&gt;"",N($Z1876)&gt;0,$AC1876=0),MAX($AD$7:$AD1875)+1,"")</f>
        <v/>
      </c>
      <c r="AE1876" s="31">
        <f>IF($Y1876="",0,$Y1876)</f>
        <v/>
      </c>
    </row>
    <row r="1877">
      <c r="W1877" s="31">
        <f>IF(OR($B$5="",$C$6="",ROW()&lt;$B$5),"",IF(INDEX($A:$U,ROW(),$C$6)="","",INDEX($A:$U,ROW(),$C$6)))</f>
        <v/>
      </c>
      <c r="X1877" s="32">
        <f>IF($W1877="","",IF(ISNUMBER($W1877),IF($W1877&gt;=10000000,IFERROR(DATE(INT($W1877/10000),MOD(INT($W1877/100),100),MOD($W1877,100)),""),INT($W1877)),IFERROR(DATE(--LEFT(LEFT(SUBSTITUTE(SUBSTITUTE(SUBSTITUTE(SUBSTITUTE(TRIM($W1877),"-",""),".",""),"/","")," ",""),8),4),--MID(LEFT(SUBSTITUTE(SUBSTITUTE(SUBSTITUTE(SUBSTITUTE(TRIM($W1877),"-",""),".",""),"/","")," ",""),8),5,2),--MID(LEFT(SUBSTITUTE(SUBSTITUTE(SUBSTITUTE(SUBSTITUTE(TRIM($W1877),"-",""),".",""),"/","")," ",""),8),7,2)),"")))</f>
        <v/>
      </c>
      <c r="Y1877" s="32">
        <f>IF($X1877="","",INT($X1877))</f>
        <v/>
      </c>
      <c r="Z1877" s="33">
        <f>IF(OR($Y1877="",$D$6=""),"",IF(INDEX($A:$U,ROW(),$D$6)="",0,IF(ISNUMBER(INDEX($A:$U,ROW(),$D$6)),INDEX($A:$U,ROW(),$D$6),IFERROR(--SUBSTITUTE(SUBSTITUTE(TRIM(INDEX($A:$U,ROW(),$D$6)),",",""),"원",""),0))))</f>
        <v/>
      </c>
      <c r="AA1877" s="31">
        <f>IF($Y1877="","",TRIM(INDEX($A:$U,ROW(),$E$6)&amp;IF($F$6="",""," "&amp;INDEX($A:$U,ROW(),$F$6))))</f>
        <v/>
      </c>
      <c r="AB1877" s="31">
        <f>IF($AA1877="","",SUBSTITUTE(SUBSTITUTE(SUBSTITUTE(SUBSTITUTE(SUBSTITUTE(SUBSTITUTE(SUBSTITUTE(SUBSTITUTE(SUBSTITUTE($AA1877," ",""),"　",""),"(주)",""),"（주）",""),"㈜",""),"주식회사",""),"(유)",""),"（유）",""),"유한회사",""))</f>
        <v/>
      </c>
      <c r="AC1877" s="31">
        <f>IF(OR($Y1877="",N($Z1877)&lt;=0,$AB1877=""),0,IFERROR(LOOKUP(2,1/((거래처별!$AC$8:$AC$307&lt;&gt;"")*ISNUMBER(SEARCH(거래처별!$AC$8:$AC$307,$AB1877))),거래처별!$A$8:$A$307),IFERROR(LOOKUP(2,1/((거래처별!$AD$8:$AD$307&lt;&gt;"")*ISNUMBER(SEARCH(거래처별!$AD$8:$AD$307,$AB1877))),거래처별!$A$8:$A$307),IFERROR(LOOKUP(2,1/((거래처별!$AE$8:$AE$307&lt;&gt;"")*ISNUMBER(SEARCH(거래처별!$AE$8:$AE$307,$AB1877))),거래처별!$A$8:$A$307),0))))</f>
        <v/>
      </c>
      <c r="AD1877" s="31">
        <f>IF(AND($Y1877&lt;&gt;"",N($Z1877)&gt;0,$AC1877=0),MAX($AD$7:$AD1876)+1,"")</f>
        <v/>
      </c>
      <c r="AE1877" s="31">
        <f>IF($Y1877="",0,$Y1877)</f>
        <v/>
      </c>
    </row>
    <row r="1878">
      <c r="W1878" s="31">
        <f>IF(OR($B$5="",$C$6="",ROW()&lt;$B$5),"",IF(INDEX($A:$U,ROW(),$C$6)="","",INDEX($A:$U,ROW(),$C$6)))</f>
        <v/>
      </c>
      <c r="X1878" s="32">
        <f>IF($W1878="","",IF(ISNUMBER($W1878),IF($W1878&gt;=10000000,IFERROR(DATE(INT($W1878/10000),MOD(INT($W1878/100),100),MOD($W1878,100)),""),INT($W1878)),IFERROR(DATE(--LEFT(LEFT(SUBSTITUTE(SUBSTITUTE(SUBSTITUTE(SUBSTITUTE(TRIM($W1878),"-",""),".",""),"/","")," ",""),8),4),--MID(LEFT(SUBSTITUTE(SUBSTITUTE(SUBSTITUTE(SUBSTITUTE(TRIM($W1878),"-",""),".",""),"/","")," ",""),8),5,2),--MID(LEFT(SUBSTITUTE(SUBSTITUTE(SUBSTITUTE(SUBSTITUTE(TRIM($W1878),"-",""),".",""),"/","")," ",""),8),7,2)),"")))</f>
        <v/>
      </c>
      <c r="Y1878" s="32">
        <f>IF($X1878="","",INT($X1878))</f>
        <v/>
      </c>
      <c r="Z1878" s="33">
        <f>IF(OR($Y1878="",$D$6=""),"",IF(INDEX($A:$U,ROW(),$D$6)="",0,IF(ISNUMBER(INDEX($A:$U,ROW(),$D$6)),INDEX($A:$U,ROW(),$D$6),IFERROR(--SUBSTITUTE(SUBSTITUTE(TRIM(INDEX($A:$U,ROW(),$D$6)),",",""),"원",""),0))))</f>
        <v/>
      </c>
      <c r="AA1878" s="31">
        <f>IF($Y1878="","",TRIM(INDEX($A:$U,ROW(),$E$6)&amp;IF($F$6="",""," "&amp;INDEX($A:$U,ROW(),$F$6))))</f>
        <v/>
      </c>
      <c r="AB1878" s="31">
        <f>IF($AA1878="","",SUBSTITUTE(SUBSTITUTE(SUBSTITUTE(SUBSTITUTE(SUBSTITUTE(SUBSTITUTE(SUBSTITUTE(SUBSTITUTE(SUBSTITUTE($AA1878," ",""),"　",""),"(주)",""),"（주）",""),"㈜",""),"주식회사",""),"(유)",""),"（유）",""),"유한회사",""))</f>
        <v/>
      </c>
      <c r="AC1878" s="31">
        <f>IF(OR($Y1878="",N($Z1878)&lt;=0,$AB1878=""),0,IFERROR(LOOKUP(2,1/((거래처별!$AC$8:$AC$307&lt;&gt;"")*ISNUMBER(SEARCH(거래처별!$AC$8:$AC$307,$AB1878))),거래처별!$A$8:$A$307),IFERROR(LOOKUP(2,1/((거래처별!$AD$8:$AD$307&lt;&gt;"")*ISNUMBER(SEARCH(거래처별!$AD$8:$AD$307,$AB1878))),거래처별!$A$8:$A$307),IFERROR(LOOKUP(2,1/((거래처별!$AE$8:$AE$307&lt;&gt;"")*ISNUMBER(SEARCH(거래처별!$AE$8:$AE$307,$AB1878))),거래처별!$A$8:$A$307),0))))</f>
        <v/>
      </c>
      <c r="AD1878" s="31">
        <f>IF(AND($Y1878&lt;&gt;"",N($Z1878)&gt;0,$AC1878=0),MAX($AD$7:$AD1877)+1,"")</f>
        <v/>
      </c>
      <c r="AE1878" s="31">
        <f>IF($Y1878="",0,$Y1878)</f>
        <v/>
      </c>
    </row>
    <row r="1879">
      <c r="W1879" s="31">
        <f>IF(OR($B$5="",$C$6="",ROW()&lt;$B$5),"",IF(INDEX($A:$U,ROW(),$C$6)="","",INDEX($A:$U,ROW(),$C$6)))</f>
        <v/>
      </c>
      <c r="X1879" s="32">
        <f>IF($W1879="","",IF(ISNUMBER($W1879),IF($W1879&gt;=10000000,IFERROR(DATE(INT($W1879/10000),MOD(INT($W1879/100),100),MOD($W1879,100)),""),INT($W1879)),IFERROR(DATE(--LEFT(LEFT(SUBSTITUTE(SUBSTITUTE(SUBSTITUTE(SUBSTITUTE(TRIM($W1879),"-",""),".",""),"/","")," ",""),8),4),--MID(LEFT(SUBSTITUTE(SUBSTITUTE(SUBSTITUTE(SUBSTITUTE(TRIM($W1879),"-",""),".",""),"/","")," ",""),8),5,2),--MID(LEFT(SUBSTITUTE(SUBSTITUTE(SUBSTITUTE(SUBSTITUTE(TRIM($W1879),"-",""),".",""),"/","")," ",""),8),7,2)),"")))</f>
        <v/>
      </c>
      <c r="Y1879" s="32">
        <f>IF($X1879="","",INT($X1879))</f>
        <v/>
      </c>
      <c r="Z1879" s="33">
        <f>IF(OR($Y1879="",$D$6=""),"",IF(INDEX($A:$U,ROW(),$D$6)="",0,IF(ISNUMBER(INDEX($A:$U,ROW(),$D$6)),INDEX($A:$U,ROW(),$D$6),IFERROR(--SUBSTITUTE(SUBSTITUTE(TRIM(INDEX($A:$U,ROW(),$D$6)),",",""),"원",""),0))))</f>
        <v/>
      </c>
      <c r="AA1879" s="31">
        <f>IF($Y1879="","",TRIM(INDEX($A:$U,ROW(),$E$6)&amp;IF($F$6="",""," "&amp;INDEX($A:$U,ROW(),$F$6))))</f>
        <v/>
      </c>
      <c r="AB1879" s="31">
        <f>IF($AA1879="","",SUBSTITUTE(SUBSTITUTE(SUBSTITUTE(SUBSTITUTE(SUBSTITUTE(SUBSTITUTE(SUBSTITUTE(SUBSTITUTE(SUBSTITUTE($AA1879," ",""),"　",""),"(주)",""),"（주）",""),"㈜",""),"주식회사",""),"(유)",""),"（유）",""),"유한회사",""))</f>
        <v/>
      </c>
      <c r="AC1879" s="31">
        <f>IF(OR($Y1879="",N($Z1879)&lt;=0,$AB1879=""),0,IFERROR(LOOKUP(2,1/((거래처별!$AC$8:$AC$307&lt;&gt;"")*ISNUMBER(SEARCH(거래처별!$AC$8:$AC$307,$AB1879))),거래처별!$A$8:$A$307),IFERROR(LOOKUP(2,1/((거래처별!$AD$8:$AD$307&lt;&gt;"")*ISNUMBER(SEARCH(거래처별!$AD$8:$AD$307,$AB1879))),거래처별!$A$8:$A$307),IFERROR(LOOKUP(2,1/((거래처별!$AE$8:$AE$307&lt;&gt;"")*ISNUMBER(SEARCH(거래처별!$AE$8:$AE$307,$AB1879))),거래처별!$A$8:$A$307),0))))</f>
        <v/>
      </c>
      <c r="AD1879" s="31">
        <f>IF(AND($Y1879&lt;&gt;"",N($Z1879)&gt;0,$AC1879=0),MAX($AD$7:$AD1878)+1,"")</f>
        <v/>
      </c>
      <c r="AE1879" s="31">
        <f>IF($Y1879="",0,$Y1879)</f>
        <v/>
      </c>
    </row>
    <row r="1880">
      <c r="W1880" s="31">
        <f>IF(OR($B$5="",$C$6="",ROW()&lt;$B$5),"",IF(INDEX($A:$U,ROW(),$C$6)="","",INDEX($A:$U,ROW(),$C$6)))</f>
        <v/>
      </c>
      <c r="X1880" s="32">
        <f>IF($W1880="","",IF(ISNUMBER($W1880),IF($W1880&gt;=10000000,IFERROR(DATE(INT($W1880/10000),MOD(INT($W1880/100),100),MOD($W1880,100)),""),INT($W1880)),IFERROR(DATE(--LEFT(LEFT(SUBSTITUTE(SUBSTITUTE(SUBSTITUTE(SUBSTITUTE(TRIM($W1880),"-",""),".",""),"/","")," ",""),8),4),--MID(LEFT(SUBSTITUTE(SUBSTITUTE(SUBSTITUTE(SUBSTITUTE(TRIM($W1880),"-",""),".",""),"/","")," ",""),8),5,2),--MID(LEFT(SUBSTITUTE(SUBSTITUTE(SUBSTITUTE(SUBSTITUTE(TRIM($W1880),"-",""),".",""),"/","")," ",""),8),7,2)),"")))</f>
        <v/>
      </c>
      <c r="Y1880" s="32">
        <f>IF($X1880="","",INT($X1880))</f>
        <v/>
      </c>
      <c r="Z1880" s="33">
        <f>IF(OR($Y1880="",$D$6=""),"",IF(INDEX($A:$U,ROW(),$D$6)="",0,IF(ISNUMBER(INDEX($A:$U,ROW(),$D$6)),INDEX($A:$U,ROW(),$D$6),IFERROR(--SUBSTITUTE(SUBSTITUTE(TRIM(INDEX($A:$U,ROW(),$D$6)),",",""),"원",""),0))))</f>
        <v/>
      </c>
      <c r="AA1880" s="31">
        <f>IF($Y1880="","",TRIM(INDEX($A:$U,ROW(),$E$6)&amp;IF($F$6="",""," "&amp;INDEX($A:$U,ROW(),$F$6))))</f>
        <v/>
      </c>
      <c r="AB1880" s="31">
        <f>IF($AA1880="","",SUBSTITUTE(SUBSTITUTE(SUBSTITUTE(SUBSTITUTE(SUBSTITUTE(SUBSTITUTE(SUBSTITUTE(SUBSTITUTE(SUBSTITUTE($AA1880," ",""),"　",""),"(주)",""),"（주）",""),"㈜",""),"주식회사",""),"(유)",""),"（유）",""),"유한회사",""))</f>
        <v/>
      </c>
      <c r="AC1880" s="31">
        <f>IF(OR($Y1880="",N($Z1880)&lt;=0,$AB1880=""),0,IFERROR(LOOKUP(2,1/((거래처별!$AC$8:$AC$307&lt;&gt;"")*ISNUMBER(SEARCH(거래처별!$AC$8:$AC$307,$AB1880))),거래처별!$A$8:$A$307),IFERROR(LOOKUP(2,1/((거래처별!$AD$8:$AD$307&lt;&gt;"")*ISNUMBER(SEARCH(거래처별!$AD$8:$AD$307,$AB1880))),거래처별!$A$8:$A$307),IFERROR(LOOKUP(2,1/((거래처별!$AE$8:$AE$307&lt;&gt;"")*ISNUMBER(SEARCH(거래처별!$AE$8:$AE$307,$AB1880))),거래처별!$A$8:$A$307),0))))</f>
        <v/>
      </c>
      <c r="AD1880" s="31">
        <f>IF(AND($Y1880&lt;&gt;"",N($Z1880)&gt;0,$AC1880=0),MAX($AD$7:$AD1879)+1,"")</f>
        <v/>
      </c>
      <c r="AE1880" s="31">
        <f>IF($Y1880="",0,$Y1880)</f>
        <v/>
      </c>
    </row>
    <row r="1881">
      <c r="W1881" s="31">
        <f>IF(OR($B$5="",$C$6="",ROW()&lt;$B$5),"",IF(INDEX($A:$U,ROW(),$C$6)="","",INDEX($A:$U,ROW(),$C$6)))</f>
        <v/>
      </c>
      <c r="X1881" s="32">
        <f>IF($W1881="","",IF(ISNUMBER($W1881),IF($W1881&gt;=10000000,IFERROR(DATE(INT($W1881/10000),MOD(INT($W1881/100),100),MOD($W1881,100)),""),INT($W1881)),IFERROR(DATE(--LEFT(LEFT(SUBSTITUTE(SUBSTITUTE(SUBSTITUTE(SUBSTITUTE(TRIM($W1881),"-",""),".",""),"/","")," ",""),8),4),--MID(LEFT(SUBSTITUTE(SUBSTITUTE(SUBSTITUTE(SUBSTITUTE(TRIM($W1881),"-",""),".",""),"/","")," ",""),8),5,2),--MID(LEFT(SUBSTITUTE(SUBSTITUTE(SUBSTITUTE(SUBSTITUTE(TRIM($W1881),"-",""),".",""),"/","")," ",""),8),7,2)),"")))</f>
        <v/>
      </c>
      <c r="Y1881" s="32">
        <f>IF($X1881="","",INT($X1881))</f>
        <v/>
      </c>
      <c r="Z1881" s="33">
        <f>IF(OR($Y1881="",$D$6=""),"",IF(INDEX($A:$U,ROW(),$D$6)="",0,IF(ISNUMBER(INDEX($A:$U,ROW(),$D$6)),INDEX($A:$U,ROW(),$D$6),IFERROR(--SUBSTITUTE(SUBSTITUTE(TRIM(INDEX($A:$U,ROW(),$D$6)),",",""),"원",""),0))))</f>
        <v/>
      </c>
      <c r="AA1881" s="31">
        <f>IF($Y1881="","",TRIM(INDEX($A:$U,ROW(),$E$6)&amp;IF($F$6="",""," "&amp;INDEX($A:$U,ROW(),$F$6))))</f>
        <v/>
      </c>
      <c r="AB1881" s="31">
        <f>IF($AA1881="","",SUBSTITUTE(SUBSTITUTE(SUBSTITUTE(SUBSTITUTE(SUBSTITUTE(SUBSTITUTE(SUBSTITUTE(SUBSTITUTE(SUBSTITUTE($AA1881," ",""),"　",""),"(주)",""),"（주）",""),"㈜",""),"주식회사",""),"(유)",""),"（유）",""),"유한회사",""))</f>
        <v/>
      </c>
      <c r="AC1881" s="31">
        <f>IF(OR($Y1881="",N($Z1881)&lt;=0,$AB1881=""),0,IFERROR(LOOKUP(2,1/((거래처별!$AC$8:$AC$307&lt;&gt;"")*ISNUMBER(SEARCH(거래처별!$AC$8:$AC$307,$AB1881))),거래처별!$A$8:$A$307),IFERROR(LOOKUP(2,1/((거래처별!$AD$8:$AD$307&lt;&gt;"")*ISNUMBER(SEARCH(거래처별!$AD$8:$AD$307,$AB1881))),거래처별!$A$8:$A$307),IFERROR(LOOKUP(2,1/((거래처별!$AE$8:$AE$307&lt;&gt;"")*ISNUMBER(SEARCH(거래처별!$AE$8:$AE$307,$AB1881))),거래처별!$A$8:$A$307),0))))</f>
        <v/>
      </c>
      <c r="AD1881" s="31">
        <f>IF(AND($Y1881&lt;&gt;"",N($Z1881)&gt;0,$AC1881=0),MAX($AD$7:$AD1880)+1,"")</f>
        <v/>
      </c>
      <c r="AE1881" s="31">
        <f>IF($Y1881="",0,$Y1881)</f>
        <v/>
      </c>
    </row>
    <row r="1882">
      <c r="W1882" s="31">
        <f>IF(OR($B$5="",$C$6="",ROW()&lt;$B$5),"",IF(INDEX($A:$U,ROW(),$C$6)="","",INDEX($A:$U,ROW(),$C$6)))</f>
        <v/>
      </c>
      <c r="X1882" s="32">
        <f>IF($W1882="","",IF(ISNUMBER($W1882),IF($W1882&gt;=10000000,IFERROR(DATE(INT($W1882/10000),MOD(INT($W1882/100),100),MOD($W1882,100)),""),INT($W1882)),IFERROR(DATE(--LEFT(LEFT(SUBSTITUTE(SUBSTITUTE(SUBSTITUTE(SUBSTITUTE(TRIM($W1882),"-",""),".",""),"/","")," ",""),8),4),--MID(LEFT(SUBSTITUTE(SUBSTITUTE(SUBSTITUTE(SUBSTITUTE(TRIM($W1882),"-",""),".",""),"/","")," ",""),8),5,2),--MID(LEFT(SUBSTITUTE(SUBSTITUTE(SUBSTITUTE(SUBSTITUTE(TRIM($W1882),"-",""),".",""),"/","")," ",""),8),7,2)),"")))</f>
        <v/>
      </c>
      <c r="Y1882" s="32">
        <f>IF($X1882="","",INT($X1882))</f>
        <v/>
      </c>
      <c r="Z1882" s="33">
        <f>IF(OR($Y1882="",$D$6=""),"",IF(INDEX($A:$U,ROW(),$D$6)="",0,IF(ISNUMBER(INDEX($A:$U,ROW(),$D$6)),INDEX($A:$U,ROW(),$D$6),IFERROR(--SUBSTITUTE(SUBSTITUTE(TRIM(INDEX($A:$U,ROW(),$D$6)),",",""),"원",""),0))))</f>
        <v/>
      </c>
      <c r="AA1882" s="31">
        <f>IF($Y1882="","",TRIM(INDEX($A:$U,ROW(),$E$6)&amp;IF($F$6="",""," "&amp;INDEX($A:$U,ROW(),$F$6))))</f>
        <v/>
      </c>
      <c r="AB1882" s="31">
        <f>IF($AA1882="","",SUBSTITUTE(SUBSTITUTE(SUBSTITUTE(SUBSTITUTE(SUBSTITUTE(SUBSTITUTE(SUBSTITUTE(SUBSTITUTE(SUBSTITUTE($AA1882," ",""),"　",""),"(주)",""),"（주）",""),"㈜",""),"주식회사",""),"(유)",""),"（유）",""),"유한회사",""))</f>
        <v/>
      </c>
      <c r="AC1882" s="31">
        <f>IF(OR($Y1882="",N($Z1882)&lt;=0,$AB1882=""),0,IFERROR(LOOKUP(2,1/((거래처별!$AC$8:$AC$307&lt;&gt;"")*ISNUMBER(SEARCH(거래처별!$AC$8:$AC$307,$AB1882))),거래처별!$A$8:$A$307),IFERROR(LOOKUP(2,1/((거래처별!$AD$8:$AD$307&lt;&gt;"")*ISNUMBER(SEARCH(거래처별!$AD$8:$AD$307,$AB1882))),거래처별!$A$8:$A$307),IFERROR(LOOKUP(2,1/((거래처별!$AE$8:$AE$307&lt;&gt;"")*ISNUMBER(SEARCH(거래처별!$AE$8:$AE$307,$AB1882))),거래처별!$A$8:$A$307),0))))</f>
        <v/>
      </c>
      <c r="AD1882" s="31">
        <f>IF(AND($Y1882&lt;&gt;"",N($Z1882)&gt;0,$AC1882=0),MAX($AD$7:$AD1881)+1,"")</f>
        <v/>
      </c>
      <c r="AE1882" s="31">
        <f>IF($Y1882="",0,$Y1882)</f>
        <v/>
      </c>
    </row>
    <row r="1883">
      <c r="W1883" s="31">
        <f>IF(OR($B$5="",$C$6="",ROW()&lt;$B$5),"",IF(INDEX($A:$U,ROW(),$C$6)="","",INDEX($A:$U,ROW(),$C$6)))</f>
        <v/>
      </c>
      <c r="X1883" s="32">
        <f>IF($W1883="","",IF(ISNUMBER($W1883),IF($W1883&gt;=10000000,IFERROR(DATE(INT($W1883/10000),MOD(INT($W1883/100),100),MOD($W1883,100)),""),INT($W1883)),IFERROR(DATE(--LEFT(LEFT(SUBSTITUTE(SUBSTITUTE(SUBSTITUTE(SUBSTITUTE(TRIM($W1883),"-",""),".",""),"/","")," ",""),8),4),--MID(LEFT(SUBSTITUTE(SUBSTITUTE(SUBSTITUTE(SUBSTITUTE(TRIM($W1883),"-",""),".",""),"/","")," ",""),8),5,2),--MID(LEFT(SUBSTITUTE(SUBSTITUTE(SUBSTITUTE(SUBSTITUTE(TRIM($W1883),"-",""),".",""),"/","")," ",""),8),7,2)),"")))</f>
        <v/>
      </c>
      <c r="Y1883" s="32">
        <f>IF($X1883="","",INT($X1883))</f>
        <v/>
      </c>
      <c r="Z1883" s="33">
        <f>IF(OR($Y1883="",$D$6=""),"",IF(INDEX($A:$U,ROW(),$D$6)="",0,IF(ISNUMBER(INDEX($A:$U,ROW(),$D$6)),INDEX($A:$U,ROW(),$D$6),IFERROR(--SUBSTITUTE(SUBSTITUTE(TRIM(INDEX($A:$U,ROW(),$D$6)),",",""),"원",""),0))))</f>
        <v/>
      </c>
      <c r="AA1883" s="31">
        <f>IF($Y1883="","",TRIM(INDEX($A:$U,ROW(),$E$6)&amp;IF($F$6="",""," "&amp;INDEX($A:$U,ROW(),$F$6))))</f>
        <v/>
      </c>
      <c r="AB1883" s="31">
        <f>IF($AA1883="","",SUBSTITUTE(SUBSTITUTE(SUBSTITUTE(SUBSTITUTE(SUBSTITUTE(SUBSTITUTE(SUBSTITUTE(SUBSTITUTE(SUBSTITUTE($AA1883," ",""),"　",""),"(주)",""),"（주）",""),"㈜",""),"주식회사",""),"(유)",""),"（유）",""),"유한회사",""))</f>
        <v/>
      </c>
      <c r="AC1883" s="31">
        <f>IF(OR($Y1883="",N($Z1883)&lt;=0,$AB1883=""),0,IFERROR(LOOKUP(2,1/((거래처별!$AC$8:$AC$307&lt;&gt;"")*ISNUMBER(SEARCH(거래처별!$AC$8:$AC$307,$AB1883))),거래처별!$A$8:$A$307),IFERROR(LOOKUP(2,1/((거래처별!$AD$8:$AD$307&lt;&gt;"")*ISNUMBER(SEARCH(거래처별!$AD$8:$AD$307,$AB1883))),거래처별!$A$8:$A$307),IFERROR(LOOKUP(2,1/((거래처별!$AE$8:$AE$307&lt;&gt;"")*ISNUMBER(SEARCH(거래처별!$AE$8:$AE$307,$AB1883))),거래처별!$A$8:$A$307),0))))</f>
        <v/>
      </c>
      <c r="AD1883" s="31">
        <f>IF(AND($Y1883&lt;&gt;"",N($Z1883)&gt;0,$AC1883=0),MAX($AD$7:$AD1882)+1,"")</f>
        <v/>
      </c>
      <c r="AE1883" s="31">
        <f>IF($Y1883="",0,$Y1883)</f>
        <v/>
      </c>
    </row>
    <row r="1884">
      <c r="W1884" s="31">
        <f>IF(OR($B$5="",$C$6="",ROW()&lt;$B$5),"",IF(INDEX($A:$U,ROW(),$C$6)="","",INDEX($A:$U,ROW(),$C$6)))</f>
        <v/>
      </c>
      <c r="X1884" s="32">
        <f>IF($W1884="","",IF(ISNUMBER($W1884),IF($W1884&gt;=10000000,IFERROR(DATE(INT($W1884/10000),MOD(INT($W1884/100),100),MOD($W1884,100)),""),INT($W1884)),IFERROR(DATE(--LEFT(LEFT(SUBSTITUTE(SUBSTITUTE(SUBSTITUTE(SUBSTITUTE(TRIM($W1884),"-",""),".",""),"/","")," ",""),8),4),--MID(LEFT(SUBSTITUTE(SUBSTITUTE(SUBSTITUTE(SUBSTITUTE(TRIM($W1884),"-",""),".",""),"/","")," ",""),8),5,2),--MID(LEFT(SUBSTITUTE(SUBSTITUTE(SUBSTITUTE(SUBSTITUTE(TRIM($W1884),"-",""),".",""),"/","")," ",""),8),7,2)),"")))</f>
        <v/>
      </c>
      <c r="Y1884" s="32">
        <f>IF($X1884="","",INT($X1884))</f>
        <v/>
      </c>
      <c r="Z1884" s="33">
        <f>IF(OR($Y1884="",$D$6=""),"",IF(INDEX($A:$U,ROW(),$D$6)="",0,IF(ISNUMBER(INDEX($A:$U,ROW(),$D$6)),INDEX($A:$U,ROW(),$D$6),IFERROR(--SUBSTITUTE(SUBSTITUTE(TRIM(INDEX($A:$U,ROW(),$D$6)),",",""),"원",""),0))))</f>
        <v/>
      </c>
      <c r="AA1884" s="31">
        <f>IF($Y1884="","",TRIM(INDEX($A:$U,ROW(),$E$6)&amp;IF($F$6="",""," "&amp;INDEX($A:$U,ROW(),$F$6))))</f>
        <v/>
      </c>
      <c r="AB1884" s="31">
        <f>IF($AA1884="","",SUBSTITUTE(SUBSTITUTE(SUBSTITUTE(SUBSTITUTE(SUBSTITUTE(SUBSTITUTE(SUBSTITUTE(SUBSTITUTE(SUBSTITUTE($AA1884," ",""),"　",""),"(주)",""),"（주）",""),"㈜",""),"주식회사",""),"(유)",""),"（유）",""),"유한회사",""))</f>
        <v/>
      </c>
      <c r="AC1884" s="31">
        <f>IF(OR($Y1884="",N($Z1884)&lt;=0,$AB1884=""),0,IFERROR(LOOKUP(2,1/((거래처별!$AC$8:$AC$307&lt;&gt;"")*ISNUMBER(SEARCH(거래처별!$AC$8:$AC$307,$AB1884))),거래처별!$A$8:$A$307),IFERROR(LOOKUP(2,1/((거래처별!$AD$8:$AD$307&lt;&gt;"")*ISNUMBER(SEARCH(거래처별!$AD$8:$AD$307,$AB1884))),거래처별!$A$8:$A$307),IFERROR(LOOKUP(2,1/((거래처별!$AE$8:$AE$307&lt;&gt;"")*ISNUMBER(SEARCH(거래처별!$AE$8:$AE$307,$AB1884))),거래처별!$A$8:$A$307),0))))</f>
        <v/>
      </c>
      <c r="AD1884" s="31">
        <f>IF(AND($Y1884&lt;&gt;"",N($Z1884)&gt;0,$AC1884=0),MAX($AD$7:$AD1883)+1,"")</f>
        <v/>
      </c>
      <c r="AE1884" s="31">
        <f>IF($Y1884="",0,$Y1884)</f>
        <v/>
      </c>
    </row>
    <row r="1885">
      <c r="W1885" s="31">
        <f>IF(OR($B$5="",$C$6="",ROW()&lt;$B$5),"",IF(INDEX($A:$U,ROW(),$C$6)="","",INDEX($A:$U,ROW(),$C$6)))</f>
        <v/>
      </c>
      <c r="X1885" s="32">
        <f>IF($W1885="","",IF(ISNUMBER($W1885),IF($W1885&gt;=10000000,IFERROR(DATE(INT($W1885/10000),MOD(INT($W1885/100),100),MOD($W1885,100)),""),INT($W1885)),IFERROR(DATE(--LEFT(LEFT(SUBSTITUTE(SUBSTITUTE(SUBSTITUTE(SUBSTITUTE(TRIM($W1885),"-",""),".",""),"/","")," ",""),8),4),--MID(LEFT(SUBSTITUTE(SUBSTITUTE(SUBSTITUTE(SUBSTITUTE(TRIM($W1885),"-",""),".",""),"/","")," ",""),8),5,2),--MID(LEFT(SUBSTITUTE(SUBSTITUTE(SUBSTITUTE(SUBSTITUTE(TRIM($W1885),"-",""),".",""),"/","")," ",""),8),7,2)),"")))</f>
        <v/>
      </c>
      <c r="Y1885" s="32">
        <f>IF($X1885="","",INT($X1885))</f>
        <v/>
      </c>
      <c r="Z1885" s="33">
        <f>IF(OR($Y1885="",$D$6=""),"",IF(INDEX($A:$U,ROW(),$D$6)="",0,IF(ISNUMBER(INDEX($A:$U,ROW(),$D$6)),INDEX($A:$U,ROW(),$D$6),IFERROR(--SUBSTITUTE(SUBSTITUTE(TRIM(INDEX($A:$U,ROW(),$D$6)),",",""),"원",""),0))))</f>
        <v/>
      </c>
      <c r="AA1885" s="31">
        <f>IF($Y1885="","",TRIM(INDEX($A:$U,ROW(),$E$6)&amp;IF($F$6="",""," "&amp;INDEX($A:$U,ROW(),$F$6))))</f>
        <v/>
      </c>
      <c r="AB1885" s="31">
        <f>IF($AA1885="","",SUBSTITUTE(SUBSTITUTE(SUBSTITUTE(SUBSTITUTE(SUBSTITUTE(SUBSTITUTE(SUBSTITUTE(SUBSTITUTE(SUBSTITUTE($AA1885," ",""),"　",""),"(주)",""),"（주）",""),"㈜",""),"주식회사",""),"(유)",""),"（유）",""),"유한회사",""))</f>
        <v/>
      </c>
      <c r="AC1885" s="31">
        <f>IF(OR($Y1885="",N($Z1885)&lt;=0,$AB1885=""),0,IFERROR(LOOKUP(2,1/((거래처별!$AC$8:$AC$307&lt;&gt;"")*ISNUMBER(SEARCH(거래처별!$AC$8:$AC$307,$AB1885))),거래처별!$A$8:$A$307),IFERROR(LOOKUP(2,1/((거래처별!$AD$8:$AD$307&lt;&gt;"")*ISNUMBER(SEARCH(거래처별!$AD$8:$AD$307,$AB1885))),거래처별!$A$8:$A$307),IFERROR(LOOKUP(2,1/((거래처별!$AE$8:$AE$307&lt;&gt;"")*ISNUMBER(SEARCH(거래처별!$AE$8:$AE$307,$AB1885))),거래처별!$A$8:$A$307),0))))</f>
        <v/>
      </c>
      <c r="AD1885" s="31">
        <f>IF(AND($Y1885&lt;&gt;"",N($Z1885)&gt;0,$AC1885=0),MAX($AD$7:$AD1884)+1,"")</f>
        <v/>
      </c>
      <c r="AE1885" s="31">
        <f>IF($Y1885="",0,$Y1885)</f>
        <v/>
      </c>
    </row>
    <row r="1886">
      <c r="W1886" s="31">
        <f>IF(OR($B$5="",$C$6="",ROW()&lt;$B$5),"",IF(INDEX($A:$U,ROW(),$C$6)="","",INDEX($A:$U,ROW(),$C$6)))</f>
        <v/>
      </c>
      <c r="X1886" s="32">
        <f>IF($W1886="","",IF(ISNUMBER($W1886),IF($W1886&gt;=10000000,IFERROR(DATE(INT($W1886/10000),MOD(INT($W1886/100),100),MOD($W1886,100)),""),INT($W1886)),IFERROR(DATE(--LEFT(LEFT(SUBSTITUTE(SUBSTITUTE(SUBSTITUTE(SUBSTITUTE(TRIM($W1886),"-",""),".",""),"/","")," ",""),8),4),--MID(LEFT(SUBSTITUTE(SUBSTITUTE(SUBSTITUTE(SUBSTITUTE(TRIM($W1886),"-",""),".",""),"/","")," ",""),8),5,2),--MID(LEFT(SUBSTITUTE(SUBSTITUTE(SUBSTITUTE(SUBSTITUTE(TRIM($W1886),"-",""),".",""),"/","")," ",""),8),7,2)),"")))</f>
        <v/>
      </c>
      <c r="Y1886" s="32">
        <f>IF($X1886="","",INT($X1886))</f>
        <v/>
      </c>
      <c r="Z1886" s="33">
        <f>IF(OR($Y1886="",$D$6=""),"",IF(INDEX($A:$U,ROW(),$D$6)="",0,IF(ISNUMBER(INDEX($A:$U,ROW(),$D$6)),INDEX($A:$U,ROW(),$D$6),IFERROR(--SUBSTITUTE(SUBSTITUTE(TRIM(INDEX($A:$U,ROW(),$D$6)),",",""),"원",""),0))))</f>
        <v/>
      </c>
      <c r="AA1886" s="31">
        <f>IF($Y1886="","",TRIM(INDEX($A:$U,ROW(),$E$6)&amp;IF($F$6="",""," "&amp;INDEX($A:$U,ROW(),$F$6))))</f>
        <v/>
      </c>
      <c r="AB1886" s="31">
        <f>IF($AA1886="","",SUBSTITUTE(SUBSTITUTE(SUBSTITUTE(SUBSTITUTE(SUBSTITUTE(SUBSTITUTE(SUBSTITUTE(SUBSTITUTE(SUBSTITUTE($AA1886," ",""),"　",""),"(주)",""),"（주）",""),"㈜",""),"주식회사",""),"(유)",""),"（유）",""),"유한회사",""))</f>
        <v/>
      </c>
      <c r="AC1886" s="31">
        <f>IF(OR($Y1886="",N($Z1886)&lt;=0,$AB1886=""),0,IFERROR(LOOKUP(2,1/((거래처별!$AC$8:$AC$307&lt;&gt;"")*ISNUMBER(SEARCH(거래처별!$AC$8:$AC$307,$AB1886))),거래처별!$A$8:$A$307),IFERROR(LOOKUP(2,1/((거래처별!$AD$8:$AD$307&lt;&gt;"")*ISNUMBER(SEARCH(거래처별!$AD$8:$AD$307,$AB1886))),거래처별!$A$8:$A$307),IFERROR(LOOKUP(2,1/((거래처별!$AE$8:$AE$307&lt;&gt;"")*ISNUMBER(SEARCH(거래처별!$AE$8:$AE$307,$AB1886))),거래처별!$A$8:$A$307),0))))</f>
        <v/>
      </c>
      <c r="AD1886" s="31">
        <f>IF(AND($Y1886&lt;&gt;"",N($Z1886)&gt;0,$AC1886=0),MAX($AD$7:$AD1885)+1,"")</f>
        <v/>
      </c>
      <c r="AE1886" s="31">
        <f>IF($Y1886="",0,$Y1886)</f>
        <v/>
      </c>
    </row>
    <row r="1887">
      <c r="W1887" s="31">
        <f>IF(OR($B$5="",$C$6="",ROW()&lt;$B$5),"",IF(INDEX($A:$U,ROW(),$C$6)="","",INDEX($A:$U,ROW(),$C$6)))</f>
        <v/>
      </c>
      <c r="X1887" s="32">
        <f>IF($W1887="","",IF(ISNUMBER($W1887),IF($W1887&gt;=10000000,IFERROR(DATE(INT($W1887/10000),MOD(INT($W1887/100),100),MOD($W1887,100)),""),INT($W1887)),IFERROR(DATE(--LEFT(LEFT(SUBSTITUTE(SUBSTITUTE(SUBSTITUTE(SUBSTITUTE(TRIM($W1887),"-",""),".",""),"/","")," ",""),8),4),--MID(LEFT(SUBSTITUTE(SUBSTITUTE(SUBSTITUTE(SUBSTITUTE(TRIM($W1887),"-",""),".",""),"/","")," ",""),8),5,2),--MID(LEFT(SUBSTITUTE(SUBSTITUTE(SUBSTITUTE(SUBSTITUTE(TRIM($W1887),"-",""),".",""),"/","")," ",""),8),7,2)),"")))</f>
        <v/>
      </c>
      <c r="Y1887" s="32">
        <f>IF($X1887="","",INT($X1887))</f>
        <v/>
      </c>
      <c r="Z1887" s="33">
        <f>IF(OR($Y1887="",$D$6=""),"",IF(INDEX($A:$U,ROW(),$D$6)="",0,IF(ISNUMBER(INDEX($A:$U,ROW(),$D$6)),INDEX($A:$U,ROW(),$D$6),IFERROR(--SUBSTITUTE(SUBSTITUTE(TRIM(INDEX($A:$U,ROW(),$D$6)),",",""),"원",""),0))))</f>
        <v/>
      </c>
      <c r="AA1887" s="31">
        <f>IF($Y1887="","",TRIM(INDEX($A:$U,ROW(),$E$6)&amp;IF($F$6="",""," "&amp;INDEX($A:$U,ROW(),$F$6))))</f>
        <v/>
      </c>
      <c r="AB1887" s="31">
        <f>IF($AA1887="","",SUBSTITUTE(SUBSTITUTE(SUBSTITUTE(SUBSTITUTE(SUBSTITUTE(SUBSTITUTE(SUBSTITUTE(SUBSTITUTE(SUBSTITUTE($AA1887," ",""),"　",""),"(주)",""),"（주）",""),"㈜",""),"주식회사",""),"(유)",""),"（유）",""),"유한회사",""))</f>
        <v/>
      </c>
      <c r="AC1887" s="31">
        <f>IF(OR($Y1887="",N($Z1887)&lt;=0,$AB1887=""),0,IFERROR(LOOKUP(2,1/((거래처별!$AC$8:$AC$307&lt;&gt;"")*ISNUMBER(SEARCH(거래처별!$AC$8:$AC$307,$AB1887))),거래처별!$A$8:$A$307),IFERROR(LOOKUP(2,1/((거래처별!$AD$8:$AD$307&lt;&gt;"")*ISNUMBER(SEARCH(거래처별!$AD$8:$AD$307,$AB1887))),거래처별!$A$8:$A$307),IFERROR(LOOKUP(2,1/((거래처별!$AE$8:$AE$307&lt;&gt;"")*ISNUMBER(SEARCH(거래처별!$AE$8:$AE$307,$AB1887))),거래처별!$A$8:$A$307),0))))</f>
        <v/>
      </c>
      <c r="AD1887" s="31">
        <f>IF(AND($Y1887&lt;&gt;"",N($Z1887)&gt;0,$AC1887=0),MAX($AD$7:$AD1886)+1,"")</f>
        <v/>
      </c>
      <c r="AE1887" s="31">
        <f>IF($Y1887="",0,$Y1887)</f>
        <v/>
      </c>
    </row>
    <row r="1888">
      <c r="W1888" s="31">
        <f>IF(OR($B$5="",$C$6="",ROW()&lt;$B$5),"",IF(INDEX($A:$U,ROW(),$C$6)="","",INDEX($A:$U,ROW(),$C$6)))</f>
        <v/>
      </c>
      <c r="X1888" s="32">
        <f>IF($W1888="","",IF(ISNUMBER($W1888),IF($W1888&gt;=10000000,IFERROR(DATE(INT($W1888/10000),MOD(INT($W1888/100),100),MOD($W1888,100)),""),INT($W1888)),IFERROR(DATE(--LEFT(LEFT(SUBSTITUTE(SUBSTITUTE(SUBSTITUTE(SUBSTITUTE(TRIM($W1888),"-",""),".",""),"/","")," ",""),8),4),--MID(LEFT(SUBSTITUTE(SUBSTITUTE(SUBSTITUTE(SUBSTITUTE(TRIM($W1888),"-",""),".",""),"/","")," ",""),8),5,2),--MID(LEFT(SUBSTITUTE(SUBSTITUTE(SUBSTITUTE(SUBSTITUTE(TRIM($W1888),"-",""),".",""),"/","")," ",""),8),7,2)),"")))</f>
        <v/>
      </c>
      <c r="Y1888" s="32">
        <f>IF($X1888="","",INT($X1888))</f>
        <v/>
      </c>
      <c r="Z1888" s="33">
        <f>IF(OR($Y1888="",$D$6=""),"",IF(INDEX($A:$U,ROW(),$D$6)="",0,IF(ISNUMBER(INDEX($A:$U,ROW(),$D$6)),INDEX($A:$U,ROW(),$D$6),IFERROR(--SUBSTITUTE(SUBSTITUTE(TRIM(INDEX($A:$U,ROW(),$D$6)),",",""),"원",""),0))))</f>
        <v/>
      </c>
      <c r="AA1888" s="31">
        <f>IF($Y1888="","",TRIM(INDEX($A:$U,ROW(),$E$6)&amp;IF($F$6="",""," "&amp;INDEX($A:$U,ROW(),$F$6))))</f>
        <v/>
      </c>
      <c r="AB1888" s="31">
        <f>IF($AA1888="","",SUBSTITUTE(SUBSTITUTE(SUBSTITUTE(SUBSTITUTE(SUBSTITUTE(SUBSTITUTE(SUBSTITUTE(SUBSTITUTE(SUBSTITUTE($AA1888," ",""),"　",""),"(주)",""),"（주）",""),"㈜",""),"주식회사",""),"(유)",""),"（유）",""),"유한회사",""))</f>
        <v/>
      </c>
      <c r="AC1888" s="31">
        <f>IF(OR($Y1888="",N($Z1888)&lt;=0,$AB1888=""),0,IFERROR(LOOKUP(2,1/((거래처별!$AC$8:$AC$307&lt;&gt;"")*ISNUMBER(SEARCH(거래처별!$AC$8:$AC$307,$AB1888))),거래처별!$A$8:$A$307),IFERROR(LOOKUP(2,1/((거래처별!$AD$8:$AD$307&lt;&gt;"")*ISNUMBER(SEARCH(거래처별!$AD$8:$AD$307,$AB1888))),거래처별!$A$8:$A$307),IFERROR(LOOKUP(2,1/((거래처별!$AE$8:$AE$307&lt;&gt;"")*ISNUMBER(SEARCH(거래처별!$AE$8:$AE$307,$AB1888))),거래처별!$A$8:$A$307),0))))</f>
        <v/>
      </c>
      <c r="AD1888" s="31">
        <f>IF(AND($Y1888&lt;&gt;"",N($Z1888)&gt;0,$AC1888=0),MAX($AD$7:$AD1887)+1,"")</f>
        <v/>
      </c>
      <c r="AE1888" s="31">
        <f>IF($Y1888="",0,$Y1888)</f>
        <v/>
      </c>
    </row>
    <row r="1889">
      <c r="W1889" s="31">
        <f>IF(OR($B$5="",$C$6="",ROW()&lt;$B$5),"",IF(INDEX($A:$U,ROW(),$C$6)="","",INDEX($A:$U,ROW(),$C$6)))</f>
        <v/>
      </c>
      <c r="X1889" s="32">
        <f>IF($W1889="","",IF(ISNUMBER($W1889),IF($W1889&gt;=10000000,IFERROR(DATE(INT($W1889/10000),MOD(INT($W1889/100),100),MOD($W1889,100)),""),INT($W1889)),IFERROR(DATE(--LEFT(LEFT(SUBSTITUTE(SUBSTITUTE(SUBSTITUTE(SUBSTITUTE(TRIM($W1889),"-",""),".",""),"/","")," ",""),8),4),--MID(LEFT(SUBSTITUTE(SUBSTITUTE(SUBSTITUTE(SUBSTITUTE(TRIM($W1889),"-",""),".",""),"/","")," ",""),8),5,2),--MID(LEFT(SUBSTITUTE(SUBSTITUTE(SUBSTITUTE(SUBSTITUTE(TRIM($W1889),"-",""),".",""),"/","")," ",""),8),7,2)),"")))</f>
        <v/>
      </c>
      <c r="Y1889" s="32">
        <f>IF($X1889="","",INT($X1889))</f>
        <v/>
      </c>
      <c r="Z1889" s="33">
        <f>IF(OR($Y1889="",$D$6=""),"",IF(INDEX($A:$U,ROW(),$D$6)="",0,IF(ISNUMBER(INDEX($A:$U,ROW(),$D$6)),INDEX($A:$U,ROW(),$D$6),IFERROR(--SUBSTITUTE(SUBSTITUTE(TRIM(INDEX($A:$U,ROW(),$D$6)),",",""),"원",""),0))))</f>
        <v/>
      </c>
      <c r="AA1889" s="31">
        <f>IF($Y1889="","",TRIM(INDEX($A:$U,ROW(),$E$6)&amp;IF($F$6="",""," "&amp;INDEX($A:$U,ROW(),$F$6))))</f>
        <v/>
      </c>
      <c r="AB1889" s="31">
        <f>IF($AA1889="","",SUBSTITUTE(SUBSTITUTE(SUBSTITUTE(SUBSTITUTE(SUBSTITUTE(SUBSTITUTE(SUBSTITUTE(SUBSTITUTE(SUBSTITUTE($AA1889," ",""),"　",""),"(주)",""),"（주）",""),"㈜",""),"주식회사",""),"(유)",""),"（유）",""),"유한회사",""))</f>
        <v/>
      </c>
      <c r="AC1889" s="31">
        <f>IF(OR($Y1889="",N($Z1889)&lt;=0,$AB1889=""),0,IFERROR(LOOKUP(2,1/((거래처별!$AC$8:$AC$307&lt;&gt;"")*ISNUMBER(SEARCH(거래처별!$AC$8:$AC$307,$AB1889))),거래처별!$A$8:$A$307),IFERROR(LOOKUP(2,1/((거래처별!$AD$8:$AD$307&lt;&gt;"")*ISNUMBER(SEARCH(거래처별!$AD$8:$AD$307,$AB1889))),거래처별!$A$8:$A$307),IFERROR(LOOKUP(2,1/((거래처별!$AE$8:$AE$307&lt;&gt;"")*ISNUMBER(SEARCH(거래처별!$AE$8:$AE$307,$AB1889))),거래처별!$A$8:$A$307),0))))</f>
        <v/>
      </c>
      <c r="AD1889" s="31">
        <f>IF(AND($Y1889&lt;&gt;"",N($Z1889)&gt;0,$AC1889=0),MAX($AD$7:$AD1888)+1,"")</f>
        <v/>
      </c>
      <c r="AE1889" s="31">
        <f>IF($Y1889="",0,$Y1889)</f>
        <v/>
      </c>
    </row>
    <row r="1890">
      <c r="W1890" s="31">
        <f>IF(OR($B$5="",$C$6="",ROW()&lt;$B$5),"",IF(INDEX($A:$U,ROW(),$C$6)="","",INDEX($A:$U,ROW(),$C$6)))</f>
        <v/>
      </c>
      <c r="X1890" s="32">
        <f>IF($W1890="","",IF(ISNUMBER($W1890),IF($W1890&gt;=10000000,IFERROR(DATE(INT($W1890/10000),MOD(INT($W1890/100),100),MOD($W1890,100)),""),INT($W1890)),IFERROR(DATE(--LEFT(LEFT(SUBSTITUTE(SUBSTITUTE(SUBSTITUTE(SUBSTITUTE(TRIM($W1890),"-",""),".",""),"/","")," ",""),8),4),--MID(LEFT(SUBSTITUTE(SUBSTITUTE(SUBSTITUTE(SUBSTITUTE(TRIM($W1890),"-",""),".",""),"/","")," ",""),8),5,2),--MID(LEFT(SUBSTITUTE(SUBSTITUTE(SUBSTITUTE(SUBSTITUTE(TRIM($W1890),"-",""),".",""),"/","")," ",""),8),7,2)),"")))</f>
        <v/>
      </c>
      <c r="Y1890" s="32">
        <f>IF($X1890="","",INT($X1890))</f>
        <v/>
      </c>
      <c r="Z1890" s="33">
        <f>IF(OR($Y1890="",$D$6=""),"",IF(INDEX($A:$U,ROW(),$D$6)="",0,IF(ISNUMBER(INDEX($A:$U,ROW(),$D$6)),INDEX($A:$U,ROW(),$D$6),IFERROR(--SUBSTITUTE(SUBSTITUTE(TRIM(INDEX($A:$U,ROW(),$D$6)),",",""),"원",""),0))))</f>
        <v/>
      </c>
      <c r="AA1890" s="31">
        <f>IF($Y1890="","",TRIM(INDEX($A:$U,ROW(),$E$6)&amp;IF($F$6="",""," "&amp;INDEX($A:$U,ROW(),$F$6))))</f>
        <v/>
      </c>
      <c r="AB1890" s="31">
        <f>IF($AA1890="","",SUBSTITUTE(SUBSTITUTE(SUBSTITUTE(SUBSTITUTE(SUBSTITUTE(SUBSTITUTE(SUBSTITUTE(SUBSTITUTE(SUBSTITUTE($AA1890," ",""),"　",""),"(주)",""),"（주）",""),"㈜",""),"주식회사",""),"(유)",""),"（유）",""),"유한회사",""))</f>
        <v/>
      </c>
      <c r="AC1890" s="31">
        <f>IF(OR($Y1890="",N($Z1890)&lt;=0,$AB1890=""),0,IFERROR(LOOKUP(2,1/((거래처별!$AC$8:$AC$307&lt;&gt;"")*ISNUMBER(SEARCH(거래처별!$AC$8:$AC$307,$AB1890))),거래처별!$A$8:$A$307),IFERROR(LOOKUP(2,1/((거래처별!$AD$8:$AD$307&lt;&gt;"")*ISNUMBER(SEARCH(거래처별!$AD$8:$AD$307,$AB1890))),거래처별!$A$8:$A$307),IFERROR(LOOKUP(2,1/((거래처별!$AE$8:$AE$307&lt;&gt;"")*ISNUMBER(SEARCH(거래처별!$AE$8:$AE$307,$AB1890))),거래처별!$A$8:$A$307),0))))</f>
        <v/>
      </c>
      <c r="AD1890" s="31">
        <f>IF(AND($Y1890&lt;&gt;"",N($Z1890)&gt;0,$AC1890=0),MAX($AD$7:$AD1889)+1,"")</f>
        <v/>
      </c>
      <c r="AE1890" s="31">
        <f>IF($Y1890="",0,$Y1890)</f>
        <v/>
      </c>
    </row>
    <row r="1891">
      <c r="W1891" s="31">
        <f>IF(OR($B$5="",$C$6="",ROW()&lt;$B$5),"",IF(INDEX($A:$U,ROW(),$C$6)="","",INDEX($A:$U,ROW(),$C$6)))</f>
        <v/>
      </c>
      <c r="X1891" s="32">
        <f>IF($W1891="","",IF(ISNUMBER($W1891),IF($W1891&gt;=10000000,IFERROR(DATE(INT($W1891/10000),MOD(INT($W1891/100),100),MOD($W1891,100)),""),INT($W1891)),IFERROR(DATE(--LEFT(LEFT(SUBSTITUTE(SUBSTITUTE(SUBSTITUTE(SUBSTITUTE(TRIM($W1891),"-",""),".",""),"/","")," ",""),8),4),--MID(LEFT(SUBSTITUTE(SUBSTITUTE(SUBSTITUTE(SUBSTITUTE(TRIM($W1891),"-",""),".",""),"/","")," ",""),8),5,2),--MID(LEFT(SUBSTITUTE(SUBSTITUTE(SUBSTITUTE(SUBSTITUTE(TRIM($W1891),"-",""),".",""),"/","")," ",""),8),7,2)),"")))</f>
        <v/>
      </c>
      <c r="Y1891" s="32">
        <f>IF($X1891="","",INT($X1891))</f>
        <v/>
      </c>
      <c r="Z1891" s="33">
        <f>IF(OR($Y1891="",$D$6=""),"",IF(INDEX($A:$U,ROW(),$D$6)="",0,IF(ISNUMBER(INDEX($A:$U,ROW(),$D$6)),INDEX($A:$U,ROW(),$D$6),IFERROR(--SUBSTITUTE(SUBSTITUTE(TRIM(INDEX($A:$U,ROW(),$D$6)),",",""),"원",""),0))))</f>
        <v/>
      </c>
      <c r="AA1891" s="31">
        <f>IF($Y1891="","",TRIM(INDEX($A:$U,ROW(),$E$6)&amp;IF($F$6="",""," "&amp;INDEX($A:$U,ROW(),$F$6))))</f>
        <v/>
      </c>
      <c r="AB1891" s="31">
        <f>IF($AA1891="","",SUBSTITUTE(SUBSTITUTE(SUBSTITUTE(SUBSTITUTE(SUBSTITUTE(SUBSTITUTE(SUBSTITUTE(SUBSTITUTE(SUBSTITUTE($AA1891," ",""),"　",""),"(주)",""),"（주）",""),"㈜",""),"주식회사",""),"(유)",""),"（유）",""),"유한회사",""))</f>
        <v/>
      </c>
      <c r="AC1891" s="31">
        <f>IF(OR($Y1891="",N($Z1891)&lt;=0,$AB1891=""),0,IFERROR(LOOKUP(2,1/((거래처별!$AC$8:$AC$307&lt;&gt;"")*ISNUMBER(SEARCH(거래처별!$AC$8:$AC$307,$AB1891))),거래처별!$A$8:$A$307),IFERROR(LOOKUP(2,1/((거래처별!$AD$8:$AD$307&lt;&gt;"")*ISNUMBER(SEARCH(거래처별!$AD$8:$AD$307,$AB1891))),거래처별!$A$8:$A$307),IFERROR(LOOKUP(2,1/((거래처별!$AE$8:$AE$307&lt;&gt;"")*ISNUMBER(SEARCH(거래처별!$AE$8:$AE$307,$AB1891))),거래처별!$A$8:$A$307),0))))</f>
        <v/>
      </c>
      <c r="AD1891" s="31">
        <f>IF(AND($Y1891&lt;&gt;"",N($Z1891)&gt;0,$AC1891=0),MAX($AD$7:$AD1890)+1,"")</f>
        <v/>
      </c>
      <c r="AE1891" s="31">
        <f>IF($Y1891="",0,$Y1891)</f>
        <v/>
      </c>
    </row>
    <row r="1892">
      <c r="W1892" s="31">
        <f>IF(OR($B$5="",$C$6="",ROW()&lt;$B$5),"",IF(INDEX($A:$U,ROW(),$C$6)="","",INDEX($A:$U,ROW(),$C$6)))</f>
        <v/>
      </c>
      <c r="X1892" s="32">
        <f>IF($W1892="","",IF(ISNUMBER($W1892),IF($W1892&gt;=10000000,IFERROR(DATE(INT($W1892/10000),MOD(INT($W1892/100),100),MOD($W1892,100)),""),INT($W1892)),IFERROR(DATE(--LEFT(LEFT(SUBSTITUTE(SUBSTITUTE(SUBSTITUTE(SUBSTITUTE(TRIM($W1892),"-",""),".",""),"/","")," ",""),8),4),--MID(LEFT(SUBSTITUTE(SUBSTITUTE(SUBSTITUTE(SUBSTITUTE(TRIM($W1892),"-",""),".",""),"/","")," ",""),8),5,2),--MID(LEFT(SUBSTITUTE(SUBSTITUTE(SUBSTITUTE(SUBSTITUTE(TRIM($W1892),"-",""),".",""),"/","")," ",""),8),7,2)),"")))</f>
        <v/>
      </c>
      <c r="Y1892" s="32">
        <f>IF($X1892="","",INT($X1892))</f>
        <v/>
      </c>
      <c r="Z1892" s="33">
        <f>IF(OR($Y1892="",$D$6=""),"",IF(INDEX($A:$U,ROW(),$D$6)="",0,IF(ISNUMBER(INDEX($A:$U,ROW(),$D$6)),INDEX($A:$U,ROW(),$D$6),IFERROR(--SUBSTITUTE(SUBSTITUTE(TRIM(INDEX($A:$U,ROW(),$D$6)),",",""),"원",""),0))))</f>
        <v/>
      </c>
      <c r="AA1892" s="31">
        <f>IF($Y1892="","",TRIM(INDEX($A:$U,ROW(),$E$6)&amp;IF($F$6="",""," "&amp;INDEX($A:$U,ROW(),$F$6))))</f>
        <v/>
      </c>
      <c r="AB1892" s="31">
        <f>IF($AA1892="","",SUBSTITUTE(SUBSTITUTE(SUBSTITUTE(SUBSTITUTE(SUBSTITUTE(SUBSTITUTE(SUBSTITUTE(SUBSTITUTE(SUBSTITUTE($AA1892," ",""),"　",""),"(주)",""),"（주）",""),"㈜",""),"주식회사",""),"(유)",""),"（유）",""),"유한회사",""))</f>
        <v/>
      </c>
      <c r="AC1892" s="31">
        <f>IF(OR($Y1892="",N($Z1892)&lt;=0,$AB1892=""),0,IFERROR(LOOKUP(2,1/((거래처별!$AC$8:$AC$307&lt;&gt;"")*ISNUMBER(SEARCH(거래처별!$AC$8:$AC$307,$AB1892))),거래처별!$A$8:$A$307),IFERROR(LOOKUP(2,1/((거래처별!$AD$8:$AD$307&lt;&gt;"")*ISNUMBER(SEARCH(거래처별!$AD$8:$AD$307,$AB1892))),거래처별!$A$8:$A$307),IFERROR(LOOKUP(2,1/((거래처별!$AE$8:$AE$307&lt;&gt;"")*ISNUMBER(SEARCH(거래처별!$AE$8:$AE$307,$AB1892))),거래처별!$A$8:$A$307),0))))</f>
        <v/>
      </c>
      <c r="AD1892" s="31">
        <f>IF(AND($Y1892&lt;&gt;"",N($Z1892)&gt;0,$AC1892=0),MAX($AD$7:$AD1891)+1,"")</f>
        <v/>
      </c>
      <c r="AE1892" s="31">
        <f>IF($Y1892="",0,$Y1892)</f>
        <v/>
      </c>
    </row>
    <row r="1893">
      <c r="W1893" s="31">
        <f>IF(OR($B$5="",$C$6="",ROW()&lt;$B$5),"",IF(INDEX($A:$U,ROW(),$C$6)="","",INDEX($A:$U,ROW(),$C$6)))</f>
        <v/>
      </c>
      <c r="X1893" s="32">
        <f>IF($W1893="","",IF(ISNUMBER($W1893),IF($W1893&gt;=10000000,IFERROR(DATE(INT($W1893/10000),MOD(INT($W1893/100),100),MOD($W1893,100)),""),INT($W1893)),IFERROR(DATE(--LEFT(LEFT(SUBSTITUTE(SUBSTITUTE(SUBSTITUTE(SUBSTITUTE(TRIM($W1893),"-",""),".",""),"/","")," ",""),8),4),--MID(LEFT(SUBSTITUTE(SUBSTITUTE(SUBSTITUTE(SUBSTITUTE(TRIM($W1893),"-",""),".",""),"/","")," ",""),8),5,2),--MID(LEFT(SUBSTITUTE(SUBSTITUTE(SUBSTITUTE(SUBSTITUTE(TRIM($W1893),"-",""),".",""),"/","")," ",""),8),7,2)),"")))</f>
        <v/>
      </c>
      <c r="Y1893" s="32">
        <f>IF($X1893="","",INT($X1893))</f>
        <v/>
      </c>
      <c r="Z1893" s="33">
        <f>IF(OR($Y1893="",$D$6=""),"",IF(INDEX($A:$U,ROW(),$D$6)="",0,IF(ISNUMBER(INDEX($A:$U,ROW(),$D$6)),INDEX($A:$U,ROW(),$D$6),IFERROR(--SUBSTITUTE(SUBSTITUTE(TRIM(INDEX($A:$U,ROW(),$D$6)),",",""),"원",""),0))))</f>
        <v/>
      </c>
      <c r="AA1893" s="31">
        <f>IF($Y1893="","",TRIM(INDEX($A:$U,ROW(),$E$6)&amp;IF($F$6="",""," "&amp;INDEX($A:$U,ROW(),$F$6))))</f>
        <v/>
      </c>
      <c r="AB1893" s="31">
        <f>IF($AA1893="","",SUBSTITUTE(SUBSTITUTE(SUBSTITUTE(SUBSTITUTE(SUBSTITUTE(SUBSTITUTE(SUBSTITUTE(SUBSTITUTE(SUBSTITUTE($AA1893," ",""),"　",""),"(주)",""),"（주）",""),"㈜",""),"주식회사",""),"(유)",""),"（유）",""),"유한회사",""))</f>
        <v/>
      </c>
      <c r="AC1893" s="31">
        <f>IF(OR($Y1893="",N($Z1893)&lt;=0,$AB1893=""),0,IFERROR(LOOKUP(2,1/((거래처별!$AC$8:$AC$307&lt;&gt;"")*ISNUMBER(SEARCH(거래처별!$AC$8:$AC$307,$AB1893))),거래처별!$A$8:$A$307),IFERROR(LOOKUP(2,1/((거래처별!$AD$8:$AD$307&lt;&gt;"")*ISNUMBER(SEARCH(거래처별!$AD$8:$AD$307,$AB1893))),거래처별!$A$8:$A$307),IFERROR(LOOKUP(2,1/((거래처별!$AE$8:$AE$307&lt;&gt;"")*ISNUMBER(SEARCH(거래처별!$AE$8:$AE$307,$AB1893))),거래처별!$A$8:$A$307),0))))</f>
        <v/>
      </c>
      <c r="AD1893" s="31">
        <f>IF(AND($Y1893&lt;&gt;"",N($Z1893)&gt;0,$AC1893=0),MAX($AD$7:$AD1892)+1,"")</f>
        <v/>
      </c>
      <c r="AE1893" s="31">
        <f>IF($Y1893="",0,$Y1893)</f>
        <v/>
      </c>
    </row>
    <row r="1894">
      <c r="W1894" s="31">
        <f>IF(OR($B$5="",$C$6="",ROW()&lt;$B$5),"",IF(INDEX($A:$U,ROW(),$C$6)="","",INDEX($A:$U,ROW(),$C$6)))</f>
        <v/>
      </c>
      <c r="X1894" s="32">
        <f>IF($W1894="","",IF(ISNUMBER($W1894),IF($W1894&gt;=10000000,IFERROR(DATE(INT($W1894/10000),MOD(INT($W1894/100),100),MOD($W1894,100)),""),INT($W1894)),IFERROR(DATE(--LEFT(LEFT(SUBSTITUTE(SUBSTITUTE(SUBSTITUTE(SUBSTITUTE(TRIM($W1894),"-",""),".",""),"/","")," ",""),8),4),--MID(LEFT(SUBSTITUTE(SUBSTITUTE(SUBSTITUTE(SUBSTITUTE(TRIM($W1894),"-",""),".",""),"/","")," ",""),8),5,2),--MID(LEFT(SUBSTITUTE(SUBSTITUTE(SUBSTITUTE(SUBSTITUTE(TRIM($W1894),"-",""),".",""),"/","")," ",""),8),7,2)),"")))</f>
        <v/>
      </c>
      <c r="Y1894" s="32">
        <f>IF($X1894="","",INT($X1894))</f>
        <v/>
      </c>
      <c r="Z1894" s="33">
        <f>IF(OR($Y1894="",$D$6=""),"",IF(INDEX($A:$U,ROW(),$D$6)="",0,IF(ISNUMBER(INDEX($A:$U,ROW(),$D$6)),INDEX($A:$U,ROW(),$D$6),IFERROR(--SUBSTITUTE(SUBSTITUTE(TRIM(INDEX($A:$U,ROW(),$D$6)),",",""),"원",""),0))))</f>
        <v/>
      </c>
      <c r="AA1894" s="31">
        <f>IF($Y1894="","",TRIM(INDEX($A:$U,ROW(),$E$6)&amp;IF($F$6="",""," "&amp;INDEX($A:$U,ROW(),$F$6))))</f>
        <v/>
      </c>
      <c r="AB1894" s="31">
        <f>IF($AA1894="","",SUBSTITUTE(SUBSTITUTE(SUBSTITUTE(SUBSTITUTE(SUBSTITUTE(SUBSTITUTE(SUBSTITUTE(SUBSTITUTE(SUBSTITUTE($AA1894," ",""),"　",""),"(주)",""),"（주）",""),"㈜",""),"주식회사",""),"(유)",""),"（유）",""),"유한회사",""))</f>
        <v/>
      </c>
      <c r="AC1894" s="31">
        <f>IF(OR($Y1894="",N($Z1894)&lt;=0,$AB1894=""),0,IFERROR(LOOKUP(2,1/((거래처별!$AC$8:$AC$307&lt;&gt;"")*ISNUMBER(SEARCH(거래처별!$AC$8:$AC$307,$AB1894))),거래처별!$A$8:$A$307),IFERROR(LOOKUP(2,1/((거래처별!$AD$8:$AD$307&lt;&gt;"")*ISNUMBER(SEARCH(거래처별!$AD$8:$AD$307,$AB1894))),거래처별!$A$8:$A$307),IFERROR(LOOKUP(2,1/((거래처별!$AE$8:$AE$307&lt;&gt;"")*ISNUMBER(SEARCH(거래처별!$AE$8:$AE$307,$AB1894))),거래처별!$A$8:$A$307),0))))</f>
        <v/>
      </c>
      <c r="AD1894" s="31">
        <f>IF(AND($Y1894&lt;&gt;"",N($Z1894)&gt;0,$AC1894=0),MAX($AD$7:$AD1893)+1,"")</f>
        <v/>
      </c>
      <c r="AE1894" s="31">
        <f>IF($Y1894="",0,$Y1894)</f>
        <v/>
      </c>
    </row>
    <row r="1895">
      <c r="W1895" s="31">
        <f>IF(OR($B$5="",$C$6="",ROW()&lt;$B$5),"",IF(INDEX($A:$U,ROW(),$C$6)="","",INDEX($A:$U,ROW(),$C$6)))</f>
        <v/>
      </c>
      <c r="X1895" s="32">
        <f>IF($W1895="","",IF(ISNUMBER($W1895),IF($W1895&gt;=10000000,IFERROR(DATE(INT($W1895/10000),MOD(INT($W1895/100),100),MOD($W1895,100)),""),INT($W1895)),IFERROR(DATE(--LEFT(LEFT(SUBSTITUTE(SUBSTITUTE(SUBSTITUTE(SUBSTITUTE(TRIM($W1895),"-",""),".",""),"/","")," ",""),8),4),--MID(LEFT(SUBSTITUTE(SUBSTITUTE(SUBSTITUTE(SUBSTITUTE(TRIM($W1895),"-",""),".",""),"/","")," ",""),8),5,2),--MID(LEFT(SUBSTITUTE(SUBSTITUTE(SUBSTITUTE(SUBSTITUTE(TRIM($W1895),"-",""),".",""),"/","")," ",""),8),7,2)),"")))</f>
        <v/>
      </c>
      <c r="Y1895" s="32">
        <f>IF($X1895="","",INT($X1895))</f>
        <v/>
      </c>
      <c r="Z1895" s="33">
        <f>IF(OR($Y1895="",$D$6=""),"",IF(INDEX($A:$U,ROW(),$D$6)="",0,IF(ISNUMBER(INDEX($A:$U,ROW(),$D$6)),INDEX($A:$U,ROW(),$D$6),IFERROR(--SUBSTITUTE(SUBSTITUTE(TRIM(INDEX($A:$U,ROW(),$D$6)),",",""),"원",""),0))))</f>
        <v/>
      </c>
      <c r="AA1895" s="31">
        <f>IF($Y1895="","",TRIM(INDEX($A:$U,ROW(),$E$6)&amp;IF($F$6="",""," "&amp;INDEX($A:$U,ROW(),$F$6))))</f>
        <v/>
      </c>
      <c r="AB1895" s="31">
        <f>IF($AA1895="","",SUBSTITUTE(SUBSTITUTE(SUBSTITUTE(SUBSTITUTE(SUBSTITUTE(SUBSTITUTE(SUBSTITUTE(SUBSTITUTE(SUBSTITUTE($AA1895," ",""),"　",""),"(주)",""),"（주）",""),"㈜",""),"주식회사",""),"(유)",""),"（유）",""),"유한회사",""))</f>
        <v/>
      </c>
      <c r="AC1895" s="31">
        <f>IF(OR($Y1895="",N($Z1895)&lt;=0,$AB1895=""),0,IFERROR(LOOKUP(2,1/((거래처별!$AC$8:$AC$307&lt;&gt;"")*ISNUMBER(SEARCH(거래처별!$AC$8:$AC$307,$AB1895))),거래처별!$A$8:$A$307),IFERROR(LOOKUP(2,1/((거래처별!$AD$8:$AD$307&lt;&gt;"")*ISNUMBER(SEARCH(거래처별!$AD$8:$AD$307,$AB1895))),거래처별!$A$8:$A$307),IFERROR(LOOKUP(2,1/((거래처별!$AE$8:$AE$307&lt;&gt;"")*ISNUMBER(SEARCH(거래처별!$AE$8:$AE$307,$AB1895))),거래처별!$A$8:$A$307),0))))</f>
        <v/>
      </c>
      <c r="AD1895" s="31">
        <f>IF(AND($Y1895&lt;&gt;"",N($Z1895)&gt;0,$AC1895=0),MAX($AD$7:$AD1894)+1,"")</f>
        <v/>
      </c>
      <c r="AE1895" s="31">
        <f>IF($Y1895="",0,$Y1895)</f>
        <v/>
      </c>
    </row>
    <row r="1896">
      <c r="W1896" s="31">
        <f>IF(OR($B$5="",$C$6="",ROW()&lt;$B$5),"",IF(INDEX($A:$U,ROW(),$C$6)="","",INDEX($A:$U,ROW(),$C$6)))</f>
        <v/>
      </c>
      <c r="X1896" s="32">
        <f>IF($W1896="","",IF(ISNUMBER($W1896),IF($W1896&gt;=10000000,IFERROR(DATE(INT($W1896/10000),MOD(INT($W1896/100),100),MOD($W1896,100)),""),INT($W1896)),IFERROR(DATE(--LEFT(LEFT(SUBSTITUTE(SUBSTITUTE(SUBSTITUTE(SUBSTITUTE(TRIM($W1896),"-",""),".",""),"/","")," ",""),8),4),--MID(LEFT(SUBSTITUTE(SUBSTITUTE(SUBSTITUTE(SUBSTITUTE(TRIM($W1896),"-",""),".",""),"/","")," ",""),8),5,2),--MID(LEFT(SUBSTITUTE(SUBSTITUTE(SUBSTITUTE(SUBSTITUTE(TRIM($W1896),"-",""),".",""),"/","")," ",""),8),7,2)),"")))</f>
        <v/>
      </c>
      <c r="Y1896" s="32">
        <f>IF($X1896="","",INT($X1896))</f>
        <v/>
      </c>
      <c r="Z1896" s="33">
        <f>IF(OR($Y1896="",$D$6=""),"",IF(INDEX($A:$U,ROW(),$D$6)="",0,IF(ISNUMBER(INDEX($A:$U,ROW(),$D$6)),INDEX($A:$U,ROW(),$D$6),IFERROR(--SUBSTITUTE(SUBSTITUTE(TRIM(INDEX($A:$U,ROW(),$D$6)),",",""),"원",""),0))))</f>
        <v/>
      </c>
      <c r="AA1896" s="31">
        <f>IF($Y1896="","",TRIM(INDEX($A:$U,ROW(),$E$6)&amp;IF($F$6="",""," "&amp;INDEX($A:$U,ROW(),$F$6))))</f>
        <v/>
      </c>
      <c r="AB1896" s="31">
        <f>IF($AA1896="","",SUBSTITUTE(SUBSTITUTE(SUBSTITUTE(SUBSTITUTE(SUBSTITUTE(SUBSTITUTE(SUBSTITUTE(SUBSTITUTE(SUBSTITUTE($AA1896," ",""),"　",""),"(주)",""),"（주）",""),"㈜",""),"주식회사",""),"(유)",""),"（유）",""),"유한회사",""))</f>
        <v/>
      </c>
      <c r="AC1896" s="31">
        <f>IF(OR($Y1896="",N($Z1896)&lt;=0,$AB1896=""),0,IFERROR(LOOKUP(2,1/((거래처별!$AC$8:$AC$307&lt;&gt;"")*ISNUMBER(SEARCH(거래처별!$AC$8:$AC$307,$AB1896))),거래처별!$A$8:$A$307),IFERROR(LOOKUP(2,1/((거래처별!$AD$8:$AD$307&lt;&gt;"")*ISNUMBER(SEARCH(거래처별!$AD$8:$AD$307,$AB1896))),거래처별!$A$8:$A$307),IFERROR(LOOKUP(2,1/((거래처별!$AE$8:$AE$307&lt;&gt;"")*ISNUMBER(SEARCH(거래처별!$AE$8:$AE$307,$AB1896))),거래처별!$A$8:$A$307),0))))</f>
        <v/>
      </c>
      <c r="AD1896" s="31">
        <f>IF(AND($Y1896&lt;&gt;"",N($Z1896)&gt;0,$AC1896=0),MAX($AD$7:$AD1895)+1,"")</f>
        <v/>
      </c>
      <c r="AE1896" s="31">
        <f>IF($Y1896="",0,$Y1896)</f>
        <v/>
      </c>
    </row>
    <row r="1897">
      <c r="W1897" s="31">
        <f>IF(OR($B$5="",$C$6="",ROW()&lt;$B$5),"",IF(INDEX($A:$U,ROW(),$C$6)="","",INDEX($A:$U,ROW(),$C$6)))</f>
        <v/>
      </c>
      <c r="X1897" s="32">
        <f>IF($W1897="","",IF(ISNUMBER($W1897),IF($W1897&gt;=10000000,IFERROR(DATE(INT($W1897/10000),MOD(INT($W1897/100),100),MOD($W1897,100)),""),INT($W1897)),IFERROR(DATE(--LEFT(LEFT(SUBSTITUTE(SUBSTITUTE(SUBSTITUTE(SUBSTITUTE(TRIM($W1897),"-",""),".",""),"/","")," ",""),8),4),--MID(LEFT(SUBSTITUTE(SUBSTITUTE(SUBSTITUTE(SUBSTITUTE(TRIM($W1897),"-",""),".",""),"/","")," ",""),8),5,2),--MID(LEFT(SUBSTITUTE(SUBSTITUTE(SUBSTITUTE(SUBSTITUTE(TRIM($W1897),"-",""),".",""),"/","")," ",""),8),7,2)),"")))</f>
        <v/>
      </c>
      <c r="Y1897" s="32">
        <f>IF($X1897="","",INT($X1897))</f>
        <v/>
      </c>
      <c r="Z1897" s="33">
        <f>IF(OR($Y1897="",$D$6=""),"",IF(INDEX($A:$U,ROW(),$D$6)="",0,IF(ISNUMBER(INDEX($A:$U,ROW(),$D$6)),INDEX($A:$U,ROW(),$D$6),IFERROR(--SUBSTITUTE(SUBSTITUTE(TRIM(INDEX($A:$U,ROW(),$D$6)),",",""),"원",""),0))))</f>
        <v/>
      </c>
      <c r="AA1897" s="31">
        <f>IF($Y1897="","",TRIM(INDEX($A:$U,ROW(),$E$6)&amp;IF($F$6="",""," "&amp;INDEX($A:$U,ROW(),$F$6))))</f>
        <v/>
      </c>
      <c r="AB1897" s="31">
        <f>IF($AA1897="","",SUBSTITUTE(SUBSTITUTE(SUBSTITUTE(SUBSTITUTE(SUBSTITUTE(SUBSTITUTE(SUBSTITUTE(SUBSTITUTE(SUBSTITUTE($AA1897," ",""),"　",""),"(주)",""),"（주）",""),"㈜",""),"주식회사",""),"(유)",""),"（유）",""),"유한회사",""))</f>
        <v/>
      </c>
      <c r="AC1897" s="31">
        <f>IF(OR($Y1897="",N($Z1897)&lt;=0,$AB1897=""),0,IFERROR(LOOKUP(2,1/((거래처별!$AC$8:$AC$307&lt;&gt;"")*ISNUMBER(SEARCH(거래처별!$AC$8:$AC$307,$AB1897))),거래처별!$A$8:$A$307),IFERROR(LOOKUP(2,1/((거래처별!$AD$8:$AD$307&lt;&gt;"")*ISNUMBER(SEARCH(거래처별!$AD$8:$AD$307,$AB1897))),거래처별!$A$8:$A$307),IFERROR(LOOKUP(2,1/((거래처별!$AE$8:$AE$307&lt;&gt;"")*ISNUMBER(SEARCH(거래처별!$AE$8:$AE$307,$AB1897))),거래처별!$A$8:$A$307),0))))</f>
        <v/>
      </c>
      <c r="AD1897" s="31">
        <f>IF(AND($Y1897&lt;&gt;"",N($Z1897)&gt;0,$AC1897=0),MAX($AD$7:$AD1896)+1,"")</f>
        <v/>
      </c>
      <c r="AE1897" s="31">
        <f>IF($Y1897="",0,$Y1897)</f>
        <v/>
      </c>
    </row>
    <row r="1898">
      <c r="W1898" s="31">
        <f>IF(OR($B$5="",$C$6="",ROW()&lt;$B$5),"",IF(INDEX($A:$U,ROW(),$C$6)="","",INDEX($A:$U,ROW(),$C$6)))</f>
        <v/>
      </c>
      <c r="X1898" s="32">
        <f>IF($W1898="","",IF(ISNUMBER($W1898),IF($W1898&gt;=10000000,IFERROR(DATE(INT($W1898/10000),MOD(INT($W1898/100),100),MOD($W1898,100)),""),INT($W1898)),IFERROR(DATE(--LEFT(LEFT(SUBSTITUTE(SUBSTITUTE(SUBSTITUTE(SUBSTITUTE(TRIM($W1898),"-",""),".",""),"/","")," ",""),8),4),--MID(LEFT(SUBSTITUTE(SUBSTITUTE(SUBSTITUTE(SUBSTITUTE(TRIM($W1898),"-",""),".",""),"/","")," ",""),8),5,2),--MID(LEFT(SUBSTITUTE(SUBSTITUTE(SUBSTITUTE(SUBSTITUTE(TRIM($W1898),"-",""),".",""),"/","")," ",""),8),7,2)),"")))</f>
        <v/>
      </c>
      <c r="Y1898" s="32">
        <f>IF($X1898="","",INT($X1898))</f>
        <v/>
      </c>
      <c r="Z1898" s="33">
        <f>IF(OR($Y1898="",$D$6=""),"",IF(INDEX($A:$U,ROW(),$D$6)="",0,IF(ISNUMBER(INDEX($A:$U,ROW(),$D$6)),INDEX($A:$U,ROW(),$D$6),IFERROR(--SUBSTITUTE(SUBSTITUTE(TRIM(INDEX($A:$U,ROW(),$D$6)),",",""),"원",""),0))))</f>
        <v/>
      </c>
      <c r="AA1898" s="31">
        <f>IF($Y1898="","",TRIM(INDEX($A:$U,ROW(),$E$6)&amp;IF($F$6="",""," "&amp;INDEX($A:$U,ROW(),$F$6))))</f>
        <v/>
      </c>
      <c r="AB1898" s="31">
        <f>IF($AA1898="","",SUBSTITUTE(SUBSTITUTE(SUBSTITUTE(SUBSTITUTE(SUBSTITUTE(SUBSTITUTE(SUBSTITUTE(SUBSTITUTE(SUBSTITUTE($AA1898," ",""),"　",""),"(주)",""),"（주）",""),"㈜",""),"주식회사",""),"(유)",""),"（유）",""),"유한회사",""))</f>
        <v/>
      </c>
      <c r="AC1898" s="31">
        <f>IF(OR($Y1898="",N($Z1898)&lt;=0,$AB1898=""),0,IFERROR(LOOKUP(2,1/((거래처별!$AC$8:$AC$307&lt;&gt;"")*ISNUMBER(SEARCH(거래처별!$AC$8:$AC$307,$AB1898))),거래처별!$A$8:$A$307),IFERROR(LOOKUP(2,1/((거래처별!$AD$8:$AD$307&lt;&gt;"")*ISNUMBER(SEARCH(거래처별!$AD$8:$AD$307,$AB1898))),거래처별!$A$8:$A$307),IFERROR(LOOKUP(2,1/((거래처별!$AE$8:$AE$307&lt;&gt;"")*ISNUMBER(SEARCH(거래처별!$AE$8:$AE$307,$AB1898))),거래처별!$A$8:$A$307),0))))</f>
        <v/>
      </c>
      <c r="AD1898" s="31">
        <f>IF(AND($Y1898&lt;&gt;"",N($Z1898)&gt;0,$AC1898=0),MAX($AD$7:$AD1897)+1,"")</f>
        <v/>
      </c>
      <c r="AE1898" s="31">
        <f>IF($Y1898="",0,$Y1898)</f>
        <v/>
      </c>
    </row>
    <row r="1899">
      <c r="W1899" s="31">
        <f>IF(OR($B$5="",$C$6="",ROW()&lt;$B$5),"",IF(INDEX($A:$U,ROW(),$C$6)="","",INDEX($A:$U,ROW(),$C$6)))</f>
        <v/>
      </c>
      <c r="X1899" s="32">
        <f>IF($W1899="","",IF(ISNUMBER($W1899),IF($W1899&gt;=10000000,IFERROR(DATE(INT($W1899/10000),MOD(INT($W1899/100),100),MOD($W1899,100)),""),INT($W1899)),IFERROR(DATE(--LEFT(LEFT(SUBSTITUTE(SUBSTITUTE(SUBSTITUTE(SUBSTITUTE(TRIM($W1899),"-",""),".",""),"/","")," ",""),8),4),--MID(LEFT(SUBSTITUTE(SUBSTITUTE(SUBSTITUTE(SUBSTITUTE(TRIM($W1899),"-",""),".",""),"/","")," ",""),8),5,2),--MID(LEFT(SUBSTITUTE(SUBSTITUTE(SUBSTITUTE(SUBSTITUTE(TRIM($W1899),"-",""),".",""),"/","")," ",""),8),7,2)),"")))</f>
        <v/>
      </c>
      <c r="Y1899" s="32">
        <f>IF($X1899="","",INT($X1899))</f>
        <v/>
      </c>
      <c r="Z1899" s="33">
        <f>IF(OR($Y1899="",$D$6=""),"",IF(INDEX($A:$U,ROW(),$D$6)="",0,IF(ISNUMBER(INDEX($A:$U,ROW(),$D$6)),INDEX($A:$U,ROW(),$D$6),IFERROR(--SUBSTITUTE(SUBSTITUTE(TRIM(INDEX($A:$U,ROW(),$D$6)),",",""),"원",""),0))))</f>
        <v/>
      </c>
      <c r="AA1899" s="31">
        <f>IF($Y1899="","",TRIM(INDEX($A:$U,ROW(),$E$6)&amp;IF($F$6="",""," "&amp;INDEX($A:$U,ROW(),$F$6))))</f>
        <v/>
      </c>
      <c r="AB1899" s="31">
        <f>IF($AA1899="","",SUBSTITUTE(SUBSTITUTE(SUBSTITUTE(SUBSTITUTE(SUBSTITUTE(SUBSTITUTE(SUBSTITUTE(SUBSTITUTE(SUBSTITUTE($AA1899," ",""),"　",""),"(주)",""),"（주）",""),"㈜",""),"주식회사",""),"(유)",""),"（유）",""),"유한회사",""))</f>
        <v/>
      </c>
      <c r="AC1899" s="31">
        <f>IF(OR($Y1899="",N($Z1899)&lt;=0,$AB1899=""),0,IFERROR(LOOKUP(2,1/((거래처별!$AC$8:$AC$307&lt;&gt;"")*ISNUMBER(SEARCH(거래처별!$AC$8:$AC$307,$AB1899))),거래처별!$A$8:$A$307),IFERROR(LOOKUP(2,1/((거래처별!$AD$8:$AD$307&lt;&gt;"")*ISNUMBER(SEARCH(거래처별!$AD$8:$AD$307,$AB1899))),거래처별!$A$8:$A$307),IFERROR(LOOKUP(2,1/((거래처별!$AE$8:$AE$307&lt;&gt;"")*ISNUMBER(SEARCH(거래처별!$AE$8:$AE$307,$AB1899))),거래처별!$A$8:$A$307),0))))</f>
        <v/>
      </c>
      <c r="AD1899" s="31">
        <f>IF(AND($Y1899&lt;&gt;"",N($Z1899)&gt;0,$AC1899=0),MAX($AD$7:$AD1898)+1,"")</f>
        <v/>
      </c>
      <c r="AE1899" s="31">
        <f>IF($Y1899="",0,$Y1899)</f>
        <v/>
      </c>
    </row>
    <row r="1900">
      <c r="W1900" s="31">
        <f>IF(OR($B$5="",$C$6="",ROW()&lt;$B$5),"",IF(INDEX($A:$U,ROW(),$C$6)="","",INDEX($A:$U,ROW(),$C$6)))</f>
        <v/>
      </c>
      <c r="X1900" s="32">
        <f>IF($W1900="","",IF(ISNUMBER($W1900),IF($W1900&gt;=10000000,IFERROR(DATE(INT($W1900/10000),MOD(INT($W1900/100),100),MOD($W1900,100)),""),INT($W1900)),IFERROR(DATE(--LEFT(LEFT(SUBSTITUTE(SUBSTITUTE(SUBSTITUTE(SUBSTITUTE(TRIM($W1900),"-",""),".",""),"/","")," ",""),8),4),--MID(LEFT(SUBSTITUTE(SUBSTITUTE(SUBSTITUTE(SUBSTITUTE(TRIM($W1900),"-",""),".",""),"/","")," ",""),8),5,2),--MID(LEFT(SUBSTITUTE(SUBSTITUTE(SUBSTITUTE(SUBSTITUTE(TRIM($W1900),"-",""),".",""),"/","")," ",""),8),7,2)),"")))</f>
        <v/>
      </c>
      <c r="Y1900" s="32">
        <f>IF($X1900="","",INT($X1900))</f>
        <v/>
      </c>
      <c r="Z1900" s="33">
        <f>IF(OR($Y1900="",$D$6=""),"",IF(INDEX($A:$U,ROW(),$D$6)="",0,IF(ISNUMBER(INDEX($A:$U,ROW(),$D$6)),INDEX($A:$U,ROW(),$D$6),IFERROR(--SUBSTITUTE(SUBSTITUTE(TRIM(INDEX($A:$U,ROW(),$D$6)),",",""),"원",""),0))))</f>
        <v/>
      </c>
      <c r="AA1900" s="31">
        <f>IF($Y1900="","",TRIM(INDEX($A:$U,ROW(),$E$6)&amp;IF($F$6="",""," "&amp;INDEX($A:$U,ROW(),$F$6))))</f>
        <v/>
      </c>
      <c r="AB1900" s="31">
        <f>IF($AA1900="","",SUBSTITUTE(SUBSTITUTE(SUBSTITUTE(SUBSTITUTE(SUBSTITUTE(SUBSTITUTE(SUBSTITUTE(SUBSTITUTE(SUBSTITUTE($AA1900," ",""),"　",""),"(주)",""),"（주）",""),"㈜",""),"주식회사",""),"(유)",""),"（유）",""),"유한회사",""))</f>
        <v/>
      </c>
      <c r="AC1900" s="31">
        <f>IF(OR($Y1900="",N($Z1900)&lt;=0,$AB1900=""),0,IFERROR(LOOKUP(2,1/((거래처별!$AC$8:$AC$307&lt;&gt;"")*ISNUMBER(SEARCH(거래처별!$AC$8:$AC$307,$AB1900))),거래처별!$A$8:$A$307),IFERROR(LOOKUP(2,1/((거래처별!$AD$8:$AD$307&lt;&gt;"")*ISNUMBER(SEARCH(거래처별!$AD$8:$AD$307,$AB1900))),거래처별!$A$8:$A$307),IFERROR(LOOKUP(2,1/((거래처별!$AE$8:$AE$307&lt;&gt;"")*ISNUMBER(SEARCH(거래처별!$AE$8:$AE$307,$AB1900))),거래처별!$A$8:$A$307),0))))</f>
        <v/>
      </c>
      <c r="AD1900" s="31">
        <f>IF(AND($Y1900&lt;&gt;"",N($Z1900)&gt;0,$AC1900=0),MAX($AD$7:$AD1899)+1,"")</f>
        <v/>
      </c>
      <c r="AE1900" s="31">
        <f>IF($Y1900="",0,$Y1900)</f>
        <v/>
      </c>
    </row>
    <row r="1901">
      <c r="W1901" s="31">
        <f>IF(OR($B$5="",$C$6="",ROW()&lt;$B$5),"",IF(INDEX($A:$U,ROW(),$C$6)="","",INDEX($A:$U,ROW(),$C$6)))</f>
        <v/>
      </c>
      <c r="X1901" s="32">
        <f>IF($W1901="","",IF(ISNUMBER($W1901),IF($W1901&gt;=10000000,IFERROR(DATE(INT($W1901/10000),MOD(INT($W1901/100),100),MOD($W1901,100)),""),INT($W1901)),IFERROR(DATE(--LEFT(LEFT(SUBSTITUTE(SUBSTITUTE(SUBSTITUTE(SUBSTITUTE(TRIM($W1901),"-",""),".",""),"/","")," ",""),8),4),--MID(LEFT(SUBSTITUTE(SUBSTITUTE(SUBSTITUTE(SUBSTITUTE(TRIM($W1901),"-",""),".",""),"/","")," ",""),8),5,2),--MID(LEFT(SUBSTITUTE(SUBSTITUTE(SUBSTITUTE(SUBSTITUTE(TRIM($W1901),"-",""),".",""),"/","")," ",""),8),7,2)),"")))</f>
        <v/>
      </c>
      <c r="Y1901" s="32">
        <f>IF($X1901="","",INT($X1901))</f>
        <v/>
      </c>
      <c r="Z1901" s="33">
        <f>IF(OR($Y1901="",$D$6=""),"",IF(INDEX($A:$U,ROW(),$D$6)="",0,IF(ISNUMBER(INDEX($A:$U,ROW(),$D$6)),INDEX($A:$U,ROW(),$D$6),IFERROR(--SUBSTITUTE(SUBSTITUTE(TRIM(INDEX($A:$U,ROW(),$D$6)),",",""),"원",""),0))))</f>
        <v/>
      </c>
      <c r="AA1901" s="31">
        <f>IF($Y1901="","",TRIM(INDEX($A:$U,ROW(),$E$6)&amp;IF($F$6="",""," "&amp;INDEX($A:$U,ROW(),$F$6))))</f>
        <v/>
      </c>
      <c r="AB1901" s="31">
        <f>IF($AA1901="","",SUBSTITUTE(SUBSTITUTE(SUBSTITUTE(SUBSTITUTE(SUBSTITUTE(SUBSTITUTE(SUBSTITUTE(SUBSTITUTE(SUBSTITUTE($AA1901," ",""),"　",""),"(주)",""),"（주）",""),"㈜",""),"주식회사",""),"(유)",""),"（유）",""),"유한회사",""))</f>
        <v/>
      </c>
      <c r="AC1901" s="31">
        <f>IF(OR($Y1901="",N($Z1901)&lt;=0,$AB1901=""),0,IFERROR(LOOKUP(2,1/((거래처별!$AC$8:$AC$307&lt;&gt;"")*ISNUMBER(SEARCH(거래처별!$AC$8:$AC$307,$AB1901))),거래처별!$A$8:$A$307),IFERROR(LOOKUP(2,1/((거래처별!$AD$8:$AD$307&lt;&gt;"")*ISNUMBER(SEARCH(거래처별!$AD$8:$AD$307,$AB1901))),거래처별!$A$8:$A$307),IFERROR(LOOKUP(2,1/((거래처별!$AE$8:$AE$307&lt;&gt;"")*ISNUMBER(SEARCH(거래처별!$AE$8:$AE$307,$AB1901))),거래처별!$A$8:$A$307),0))))</f>
        <v/>
      </c>
      <c r="AD1901" s="31">
        <f>IF(AND($Y1901&lt;&gt;"",N($Z1901)&gt;0,$AC1901=0),MAX($AD$7:$AD1900)+1,"")</f>
        <v/>
      </c>
      <c r="AE1901" s="31">
        <f>IF($Y1901="",0,$Y1901)</f>
        <v/>
      </c>
    </row>
    <row r="1902">
      <c r="W1902" s="31">
        <f>IF(OR($B$5="",$C$6="",ROW()&lt;$B$5),"",IF(INDEX($A:$U,ROW(),$C$6)="","",INDEX($A:$U,ROW(),$C$6)))</f>
        <v/>
      </c>
      <c r="X1902" s="32">
        <f>IF($W1902="","",IF(ISNUMBER($W1902),IF($W1902&gt;=10000000,IFERROR(DATE(INT($W1902/10000),MOD(INT($W1902/100),100),MOD($W1902,100)),""),INT($W1902)),IFERROR(DATE(--LEFT(LEFT(SUBSTITUTE(SUBSTITUTE(SUBSTITUTE(SUBSTITUTE(TRIM($W1902),"-",""),".",""),"/","")," ",""),8),4),--MID(LEFT(SUBSTITUTE(SUBSTITUTE(SUBSTITUTE(SUBSTITUTE(TRIM($W1902),"-",""),".",""),"/","")," ",""),8),5,2),--MID(LEFT(SUBSTITUTE(SUBSTITUTE(SUBSTITUTE(SUBSTITUTE(TRIM($W1902),"-",""),".",""),"/","")," ",""),8),7,2)),"")))</f>
        <v/>
      </c>
      <c r="Y1902" s="32">
        <f>IF($X1902="","",INT($X1902))</f>
        <v/>
      </c>
      <c r="Z1902" s="33">
        <f>IF(OR($Y1902="",$D$6=""),"",IF(INDEX($A:$U,ROW(),$D$6)="",0,IF(ISNUMBER(INDEX($A:$U,ROW(),$D$6)),INDEX($A:$U,ROW(),$D$6),IFERROR(--SUBSTITUTE(SUBSTITUTE(TRIM(INDEX($A:$U,ROW(),$D$6)),",",""),"원",""),0))))</f>
        <v/>
      </c>
      <c r="AA1902" s="31">
        <f>IF($Y1902="","",TRIM(INDEX($A:$U,ROW(),$E$6)&amp;IF($F$6="",""," "&amp;INDEX($A:$U,ROW(),$F$6))))</f>
        <v/>
      </c>
      <c r="AB1902" s="31">
        <f>IF($AA1902="","",SUBSTITUTE(SUBSTITUTE(SUBSTITUTE(SUBSTITUTE(SUBSTITUTE(SUBSTITUTE(SUBSTITUTE(SUBSTITUTE(SUBSTITUTE($AA1902," ",""),"　",""),"(주)",""),"（주）",""),"㈜",""),"주식회사",""),"(유)",""),"（유）",""),"유한회사",""))</f>
        <v/>
      </c>
      <c r="AC1902" s="31">
        <f>IF(OR($Y1902="",N($Z1902)&lt;=0,$AB1902=""),0,IFERROR(LOOKUP(2,1/((거래처별!$AC$8:$AC$307&lt;&gt;"")*ISNUMBER(SEARCH(거래처별!$AC$8:$AC$307,$AB1902))),거래처별!$A$8:$A$307),IFERROR(LOOKUP(2,1/((거래처별!$AD$8:$AD$307&lt;&gt;"")*ISNUMBER(SEARCH(거래처별!$AD$8:$AD$307,$AB1902))),거래처별!$A$8:$A$307),IFERROR(LOOKUP(2,1/((거래처별!$AE$8:$AE$307&lt;&gt;"")*ISNUMBER(SEARCH(거래처별!$AE$8:$AE$307,$AB1902))),거래처별!$A$8:$A$307),0))))</f>
        <v/>
      </c>
      <c r="AD1902" s="31">
        <f>IF(AND($Y1902&lt;&gt;"",N($Z1902)&gt;0,$AC1902=0),MAX($AD$7:$AD1901)+1,"")</f>
        <v/>
      </c>
      <c r="AE1902" s="31">
        <f>IF($Y1902="",0,$Y1902)</f>
        <v/>
      </c>
    </row>
    <row r="1903">
      <c r="W1903" s="31">
        <f>IF(OR($B$5="",$C$6="",ROW()&lt;$B$5),"",IF(INDEX($A:$U,ROW(),$C$6)="","",INDEX($A:$U,ROW(),$C$6)))</f>
        <v/>
      </c>
      <c r="X1903" s="32">
        <f>IF($W1903="","",IF(ISNUMBER($W1903),IF($W1903&gt;=10000000,IFERROR(DATE(INT($W1903/10000),MOD(INT($W1903/100),100),MOD($W1903,100)),""),INT($W1903)),IFERROR(DATE(--LEFT(LEFT(SUBSTITUTE(SUBSTITUTE(SUBSTITUTE(SUBSTITUTE(TRIM($W1903),"-",""),".",""),"/","")," ",""),8),4),--MID(LEFT(SUBSTITUTE(SUBSTITUTE(SUBSTITUTE(SUBSTITUTE(TRIM($W1903),"-",""),".",""),"/","")," ",""),8),5,2),--MID(LEFT(SUBSTITUTE(SUBSTITUTE(SUBSTITUTE(SUBSTITUTE(TRIM($W1903),"-",""),".",""),"/","")," ",""),8),7,2)),"")))</f>
        <v/>
      </c>
      <c r="Y1903" s="32">
        <f>IF($X1903="","",INT($X1903))</f>
        <v/>
      </c>
      <c r="Z1903" s="33">
        <f>IF(OR($Y1903="",$D$6=""),"",IF(INDEX($A:$U,ROW(),$D$6)="",0,IF(ISNUMBER(INDEX($A:$U,ROW(),$D$6)),INDEX($A:$U,ROW(),$D$6),IFERROR(--SUBSTITUTE(SUBSTITUTE(TRIM(INDEX($A:$U,ROW(),$D$6)),",",""),"원",""),0))))</f>
        <v/>
      </c>
      <c r="AA1903" s="31">
        <f>IF($Y1903="","",TRIM(INDEX($A:$U,ROW(),$E$6)&amp;IF($F$6="",""," "&amp;INDEX($A:$U,ROW(),$F$6))))</f>
        <v/>
      </c>
      <c r="AB1903" s="31">
        <f>IF($AA1903="","",SUBSTITUTE(SUBSTITUTE(SUBSTITUTE(SUBSTITUTE(SUBSTITUTE(SUBSTITUTE(SUBSTITUTE(SUBSTITUTE(SUBSTITUTE($AA1903," ",""),"　",""),"(주)",""),"（주）",""),"㈜",""),"주식회사",""),"(유)",""),"（유）",""),"유한회사",""))</f>
        <v/>
      </c>
      <c r="AC1903" s="31">
        <f>IF(OR($Y1903="",N($Z1903)&lt;=0,$AB1903=""),0,IFERROR(LOOKUP(2,1/((거래처별!$AC$8:$AC$307&lt;&gt;"")*ISNUMBER(SEARCH(거래처별!$AC$8:$AC$307,$AB1903))),거래처별!$A$8:$A$307),IFERROR(LOOKUP(2,1/((거래처별!$AD$8:$AD$307&lt;&gt;"")*ISNUMBER(SEARCH(거래처별!$AD$8:$AD$307,$AB1903))),거래처별!$A$8:$A$307),IFERROR(LOOKUP(2,1/((거래처별!$AE$8:$AE$307&lt;&gt;"")*ISNUMBER(SEARCH(거래처별!$AE$8:$AE$307,$AB1903))),거래처별!$A$8:$A$307),0))))</f>
        <v/>
      </c>
      <c r="AD1903" s="31">
        <f>IF(AND($Y1903&lt;&gt;"",N($Z1903)&gt;0,$AC1903=0),MAX($AD$7:$AD1902)+1,"")</f>
        <v/>
      </c>
      <c r="AE1903" s="31">
        <f>IF($Y1903="",0,$Y1903)</f>
        <v/>
      </c>
    </row>
    <row r="1904">
      <c r="W1904" s="31">
        <f>IF(OR($B$5="",$C$6="",ROW()&lt;$B$5),"",IF(INDEX($A:$U,ROW(),$C$6)="","",INDEX($A:$U,ROW(),$C$6)))</f>
        <v/>
      </c>
      <c r="X1904" s="32">
        <f>IF($W1904="","",IF(ISNUMBER($W1904),IF($W1904&gt;=10000000,IFERROR(DATE(INT($W1904/10000),MOD(INT($W1904/100),100),MOD($W1904,100)),""),INT($W1904)),IFERROR(DATE(--LEFT(LEFT(SUBSTITUTE(SUBSTITUTE(SUBSTITUTE(SUBSTITUTE(TRIM($W1904),"-",""),".",""),"/","")," ",""),8),4),--MID(LEFT(SUBSTITUTE(SUBSTITUTE(SUBSTITUTE(SUBSTITUTE(TRIM($W1904),"-",""),".",""),"/","")," ",""),8),5,2),--MID(LEFT(SUBSTITUTE(SUBSTITUTE(SUBSTITUTE(SUBSTITUTE(TRIM($W1904),"-",""),".",""),"/","")," ",""),8),7,2)),"")))</f>
        <v/>
      </c>
      <c r="Y1904" s="32">
        <f>IF($X1904="","",INT($X1904))</f>
        <v/>
      </c>
      <c r="Z1904" s="33">
        <f>IF(OR($Y1904="",$D$6=""),"",IF(INDEX($A:$U,ROW(),$D$6)="",0,IF(ISNUMBER(INDEX($A:$U,ROW(),$D$6)),INDEX($A:$U,ROW(),$D$6),IFERROR(--SUBSTITUTE(SUBSTITUTE(TRIM(INDEX($A:$U,ROW(),$D$6)),",",""),"원",""),0))))</f>
        <v/>
      </c>
      <c r="AA1904" s="31">
        <f>IF($Y1904="","",TRIM(INDEX($A:$U,ROW(),$E$6)&amp;IF($F$6="",""," "&amp;INDEX($A:$U,ROW(),$F$6))))</f>
        <v/>
      </c>
      <c r="AB1904" s="31">
        <f>IF($AA1904="","",SUBSTITUTE(SUBSTITUTE(SUBSTITUTE(SUBSTITUTE(SUBSTITUTE(SUBSTITUTE(SUBSTITUTE(SUBSTITUTE(SUBSTITUTE($AA1904," ",""),"　",""),"(주)",""),"（주）",""),"㈜",""),"주식회사",""),"(유)",""),"（유）",""),"유한회사",""))</f>
        <v/>
      </c>
      <c r="AC1904" s="31">
        <f>IF(OR($Y1904="",N($Z1904)&lt;=0,$AB1904=""),0,IFERROR(LOOKUP(2,1/((거래처별!$AC$8:$AC$307&lt;&gt;"")*ISNUMBER(SEARCH(거래처별!$AC$8:$AC$307,$AB1904))),거래처별!$A$8:$A$307),IFERROR(LOOKUP(2,1/((거래처별!$AD$8:$AD$307&lt;&gt;"")*ISNUMBER(SEARCH(거래처별!$AD$8:$AD$307,$AB1904))),거래처별!$A$8:$A$307),IFERROR(LOOKUP(2,1/((거래처별!$AE$8:$AE$307&lt;&gt;"")*ISNUMBER(SEARCH(거래처별!$AE$8:$AE$307,$AB1904))),거래처별!$A$8:$A$307),0))))</f>
        <v/>
      </c>
      <c r="AD1904" s="31">
        <f>IF(AND($Y1904&lt;&gt;"",N($Z1904)&gt;0,$AC1904=0),MAX($AD$7:$AD1903)+1,"")</f>
        <v/>
      </c>
      <c r="AE1904" s="31">
        <f>IF($Y1904="",0,$Y1904)</f>
        <v/>
      </c>
    </row>
    <row r="1905">
      <c r="W1905" s="31">
        <f>IF(OR($B$5="",$C$6="",ROW()&lt;$B$5),"",IF(INDEX($A:$U,ROW(),$C$6)="","",INDEX($A:$U,ROW(),$C$6)))</f>
        <v/>
      </c>
      <c r="X1905" s="32">
        <f>IF($W1905="","",IF(ISNUMBER($W1905),IF($W1905&gt;=10000000,IFERROR(DATE(INT($W1905/10000),MOD(INT($W1905/100),100),MOD($W1905,100)),""),INT($W1905)),IFERROR(DATE(--LEFT(LEFT(SUBSTITUTE(SUBSTITUTE(SUBSTITUTE(SUBSTITUTE(TRIM($W1905),"-",""),".",""),"/","")," ",""),8),4),--MID(LEFT(SUBSTITUTE(SUBSTITUTE(SUBSTITUTE(SUBSTITUTE(TRIM($W1905),"-",""),".",""),"/","")," ",""),8),5,2),--MID(LEFT(SUBSTITUTE(SUBSTITUTE(SUBSTITUTE(SUBSTITUTE(TRIM($W1905),"-",""),".",""),"/","")," ",""),8),7,2)),"")))</f>
        <v/>
      </c>
      <c r="Y1905" s="32">
        <f>IF($X1905="","",INT($X1905))</f>
        <v/>
      </c>
      <c r="Z1905" s="33">
        <f>IF(OR($Y1905="",$D$6=""),"",IF(INDEX($A:$U,ROW(),$D$6)="",0,IF(ISNUMBER(INDEX($A:$U,ROW(),$D$6)),INDEX($A:$U,ROW(),$D$6),IFERROR(--SUBSTITUTE(SUBSTITUTE(TRIM(INDEX($A:$U,ROW(),$D$6)),",",""),"원",""),0))))</f>
        <v/>
      </c>
      <c r="AA1905" s="31">
        <f>IF($Y1905="","",TRIM(INDEX($A:$U,ROW(),$E$6)&amp;IF($F$6="",""," "&amp;INDEX($A:$U,ROW(),$F$6))))</f>
        <v/>
      </c>
      <c r="AB1905" s="31">
        <f>IF($AA1905="","",SUBSTITUTE(SUBSTITUTE(SUBSTITUTE(SUBSTITUTE(SUBSTITUTE(SUBSTITUTE(SUBSTITUTE(SUBSTITUTE(SUBSTITUTE($AA1905," ",""),"　",""),"(주)",""),"（주）",""),"㈜",""),"주식회사",""),"(유)",""),"（유）",""),"유한회사",""))</f>
        <v/>
      </c>
      <c r="AC1905" s="31">
        <f>IF(OR($Y1905="",N($Z1905)&lt;=0,$AB1905=""),0,IFERROR(LOOKUP(2,1/((거래처별!$AC$8:$AC$307&lt;&gt;"")*ISNUMBER(SEARCH(거래처별!$AC$8:$AC$307,$AB1905))),거래처별!$A$8:$A$307),IFERROR(LOOKUP(2,1/((거래처별!$AD$8:$AD$307&lt;&gt;"")*ISNUMBER(SEARCH(거래처별!$AD$8:$AD$307,$AB1905))),거래처별!$A$8:$A$307),IFERROR(LOOKUP(2,1/((거래처별!$AE$8:$AE$307&lt;&gt;"")*ISNUMBER(SEARCH(거래처별!$AE$8:$AE$307,$AB1905))),거래처별!$A$8:$A$307),0))))</f>
        <v/>
      </c>
      <c r="AD1905" s="31">
        <f>IF(AND($Y1905&lt;&gt;"",N($Z1905)&gt;0,$AC1905=0),MAX($AD$7:$AD1904)+1,"")</f>
        <v/>
      </c>
      <c r="AE1905" s="31">
        <f>IF($Y1905="",0,$Y1905)</f>
        <v/>
      </c>
    </row>
    <row r="1906">
      <c r="W1906" s="31">
        <f>IF(OR($B$5="",$C$6="",ROW()&lt;$B$5),"",IF(INDEX($A:$U,ROW(),$C$6)="","",INDEX($A:$U,ROW(),$C$6)))</f>
        <v/>
      </c>
      <c r="X1906" s="32">
        <f>IF($W1906="","",IF(ISNUMBER($W1906),IF($W1906&gt;=10000000,IFERROR(DATE(INT($W1906/10000),MOD(INT($W1906/100),100),MOD($W1906,100)),""),INT($W1906)),IFERROR(DATE(--LEFT(LEFT(SUBSTITUTE(SUBSTITUTE(SUBSTITUTE(SUBSTITUTE(TRIM($W1906),"-",""),".",""),"/","")," ",""),8),4),--MID(LEFT(SUBSTITUTE(SUBSTITUTE(SUBSTITUTE(SUBSTITUTE(TRIM($W1906),"-",""),".",""),"/","")," ",""),8),5,2),--MID(LEFT(SUBSTITUTE(SUBSTITUTE(SUBSTITUTE(SUBSTITUTE(TRIM($W1906),"-",""),".",""),"/","")," ",""),8),7,2)),"")))</f>
        <v/>
      </c>
      <c r="Y1906" s="32">
        <f>IF($X1906="","",INT($X1906))</f>
        <v/>
      </c>
      <c r="Z1906" s="33">
        <f>IF(OR($Y1906="",$D$6=""),"",IF(INDEX($A:$U,ROW(),$D$6)="",0,IF(ISNUMBER(INDEX($A:$U,ROW(),$D$6)),INDEX($A:$U,ROW(),$D$6),IFERROR(--SUBSTITUTE(SUBSTITUTE(TRIM(INDEX($A:$U,ROW(),$D$6)),",",""),"원",""),0))))</f>
        <v/>
      </c>
      <c r="AA1906" s="31">
        <f>IF($Y1906="","",TRIM(INDEX($A:$U,ROW(),$E$6)&amp;IF($F$6="",""," "&amp;INDEX($A:$U,ROW(),$F$6))))</f>
        <v/>
      </c>
      <c r="AB1906" s="31">
        <f>IF($AA1906="","",SUBSTITUTE(SUBSTITUTE(SUBSTITUTE(SUBSTITUTE(SUBSTITUTE(SUBSTITUTE(SUBSTITUTE(SUBSTITUTE(SUBSTITUTE($AA1906," ",""),"　",""),"(주)",""),"（주）",""),"㈜",""),"주식회사",""),"(유)",""),"（유）",""),"유한회사",""))</f>
        <v/>
      </c>
      <c r="AC1906" s="31">
        <f>IF(OR($Y1906="",N($Z1906)&lt;=0,$AB1906=""),0,IFERROR(LOOKUP(2,1/((거래처별!$AC$8:$AC$307&lt;&gt;"")*ISNUMBER(SEARCH(거래처별!$AC$8:$AC$307,$AB1906))),거래처별!$A$8:$A$307),IFERROR(LOOKUP(2,1/((거래처별!$AD$8:$AD$307&lt;&gt;"")*ISNUMBER(SEARCH(거래처별!$AD$8:$AD$307,$AB1906))),거래처별!$A$8:$A$307),IFERROR(LOOKUP(2,1/((거래처별!$AE$8:$AE$307&lt;&gt;"")*ISNUMBER(SEARCH(거래처별!$AE$8:$AE$307,$AB1906))),거래처별!$A$8:$A$307),0))))</f>
        <v/>
      </c>
      <c r="AD1906" s="31">
        <f>IF(AND($Y1906&lt;&gt;"",N($Z1906)&gt;0,$AC1906=0),MAX($AD$7:$AD1905)+1,"")</f>
        <v/>
      </c>
      <c r="AE1906" s="31">
        <f>IF($Y1906="",0,$Y1906)</f>
        <v/>
      </c>
    </row>
    <row r="1907">
      <c r="W1907" s="31">
        <f>IF(OR($B$5="",$C$6="",ROW()&lt;$B$5),"",IF(INDEX($A:$U,ROW(),$C$6)="","",INDEX($A:$U,ROW(),$C$6)))</f>
        <v/>
      </c>
      <c r="X1907" s="32">
        <f>IF($W1907="","",IF(ISNUMBER($W1907),IF($W1907&gt;=10000000,IFERROR(DATE(INT($W1907/10000),MOD(INT($W1907/100),100),MOD($W1907,100)),""),INT($W1907)),IFERROR(DATE(--LEFT(LEFT(SUBSTITUTE(SUBSTITUTE(SUBSTITUTE(SUBSTITUTE(TRIM($W1907),"-",""),".",""),"/","")," ",""),8),4),--MID(LEFT(SUBSTITUTE(SUBSTITUTE(SUBSTITUTE(SUBSTITUTE(TRIM($W1907),"-",""),".",""),"/","")," ",""),8),5,2),--MID(LEFT(SUBSTITUTE(SUBSTITUTE(SUBSTITUTE(SUBSTITUTE(TRIM($W1907),"-",""),".",""),"/","")," ",""),8),7,2)),"")))</f>
        <v/>
      </c>
      <c r="Y1907" s="32">
        <f>IF($X1907="","",INT($X1907))</f>
        <v/>
      </c>
      <c r="Z1907" s="33">
        <f>IF(OR($Y1907="",$D$6=""),"",IF(INDEX($A:$U,ROW(),$D$6)="",0,IF(ISNUMBER(INDEX($A:$U,ROW(),$D$6)),INDEX($A:$U,ROW(),$D$6),IFERROR(--SUBSTITUTE(SUBSTITUTE(TRIM(INDEX($A:$U,ROW(),$D$6)),",",""),"원",""),0))))</f>
        <v/>
      </c>
      <c r="AA1907" s="31">
        <f>IF($Y1907="","",TRIM(INDEX($A:$U,ROW(),$E$6)&amp;IF($F$6="",""," "&amp;INDEX($A:$U,ROW(),$F$6))))</f>
        <v/>
      </c>
      <c r="AB1907" s="31">
        <f>IF($AA1907="","",SUBSTITUTE(SUBSTITUTE(SUBSTITUTE(SUBSTITUTE(SUBSTITUTE(SUBSTITUTE(SUBSTITUTE(SUBSTITUTE(SUBSTITUTE($AA1907," ",""),"　",""),"(주)",""),"（주）",""),"㈜",""),"주식회사",""),"(유)",""),"（유）",""),"유한회사",""))</f>
        <v/>
      </c>
      <c r="AC1907" s="31">
        <f>IF(OR($Y1907="",N($Z1907)&lt;=0,$AB1907=""),0,IFERROR(LOOKUP(2,1/((거래처별!$AC$8:$AC$307&lt;&gt;"")*ISNUMBER(SEARCH(거래처별!$AC$8:$AC$307,$AB1907))),거래처별!$A$8:$A$307),IFERROR(LOOKUP(2,1/((거래처별!$AD$8:$AD$307&lt;&gt;"")*ISNUMBER(SEARCH(거래처별!$AD$8:$AD$307,$AB1907))),거래처별!$A$8:$A$307),IFERROR(LOOKUP(2,1/((거래처별!$AE$8:$AE$307&lt;&gt;"")*ISNUMBER(SEARCH(거래처별!$AE$8:$AE$307,$AB1907))),거래처별!$A$8:$A$307),0))))</f>
        <v/>
      </c>
      <c r="AD1907" s="31">
        <f>IF(AND($Y1907&lt;&gt;"",N($Z1907)&gt;0,$AC1907=0),MAX($AD$7:$AD1906)+1,"")</f>
        <v/>
      </c>
      <c r="AE1907" s="31">
        <f>IF($Y1907="",0,$Y1907)</f>
        <v/>
      </c>
    </row>
    <row r="1908">
      <c r="W1908" s="31">
        <f>IF(OR($B$5="",$C$6="",ROW()&lt;$B$5),"",IF(INDEX($A:$U,ROW(),$C$6)="","",INDEX($A:$U,ROW(),$C$6)))</f>
        <v/>
      </c>
      <c r="X1908" s="32">
        <f>IF($W1908="","",IF(ISNUMBER($W1908),IF($W1908&gt;=10000000,IFERROR(DATE(INT($W1908/10000),MOD(INT($W1908/100),100),MOD($W1908,100)),""),INT($W1908)),IFERROR(DATE(--LEFT(LEFT(SUBSTITUTE(SUBSTITUTE(SUBSTITUTE(SUBSTITUTE(TRIM($W1908),"-",""),".",""),"/","")," ",""),8),4),--MID(LEFT(SUBSTITUTE(SUBSTITUTE(SUBSTITUTE(SUBSTITUTE(TRIM($W1908),"-",""),".",""),"/","")," ",""),8),5,2),--MID(LEFT(SUBSTITUTE(SUBSTITUTE(SUBSTITUTE(SUBSTITUTE(TRIM($W1908),"-",""),".",""),"/","")," ",""),8),7,2)),"")))</f>
        <v/>
      </c>
      <c r="Y1908" s="32">
        <f>IF($X1908="","",INT($X1908))</f>
        <v/>
      </c>
      <c r="Z1908" s="33">
        <f>IF(OR($Y1908="",$D$6=""),"",IF(INDEX($A:$U,ROW(),$D$6)="",0,IF(ISNUMBER(INDEX($A:$U,ROW(),$D$6)),INDEX($A:$U,ROW(),$D$6),IFERROR(--SUBSTITUTE(SUBSTITUTE(TRIM(INDEX($A:$U,ROW(),$D$6)),",",""),"원",""),0))))</f>
        <v/>
      </c>
      <c r="AA1908" s="31">
        <f>IF($Y1908="","",TRIM(INDEX($A:$U,ROW(),$E$6)&amp;IF($F$6="",""," "&amp;INDEX($A:$U,ROW(),$F$6))))</f>
        <v/>
      </c>
      <c r="AB1908" s="31">
        <f>IF($AA1908="","",SUBSTITUTE(SUBSTITUTE(SUBSTITUTE(SUBSTITUTE(SUBSTITUTE(SUBSTITUTE(SUBSTITUTE(SUBSTITUTE(SUBSTITUTE($AA1908," ",""),"　",""),"(주)",""),"（주）",""),"㈜",""),"주식회사",""),"(유)",""),"（유）",""),"유한회사",""))</f>
        <v/>
      </c>
      <c r="AC1908" s="31">
        <f>IF(OR($Y1908="",N($Z1908)&lt;=0,$AB1908=""),0,IFERROR(LOOKUP(2,1/((거래처별!$AC$8:$AC$307&lt;&gt;"")*ISNUMBER(SEARCH(거래처별!$AC$8:$AC$307,$AB1908))),거래처별!$A$8:$A$307),IFERROR(LOOKUP(2,1/((거래처별!$AD$8:$AD$307&lt;&gt;"")*ISNUMBER(SEARCH(거래처별!$AD$8:$AD$307,$AB1908))),거래처별!$A$8:$A$307),IFERROR(LOOKUP(2,1/((거래처별!$AE$8:$AE$307&lt;&gt;"")*ISNUMBER(SEARCH(거래처별!$AE$8:$AE$307,$AB1908))),거래처별!$A$8:$A$307),0))))</f>
        <v/>
      </c>
      <c r="AD1908" s="31">
        <f>IF(AND($Y1908&lt;&gt;"",N($Z1908)&gt;0,$AC1908=0),MAX($AD$7:$AD1907)+1,"")</f>
        <v/>
      </c>
      <c r="AE1908" s="31">
        <f>IF($Y1908="",0,$Y1908)</f>
        <v/>
      </c>
    </row>
    <row r="1909">
      <c r="W1909" s="31">
        <f>IF(OR($B$5="",$C$6="",ROW()&lt;$B$5),"",IF(INDEX($A:$U,ROW(),$C$6)="","",INDEX($A:$U,ROW(),$C$6)))</f>
        <v/>
      </c>
      <c r="X1909" s="32">
        <f>IF($W1909="","",IF(ISNUMBER($W1909),IF($W1909&gt;=10000000,IFERROR(DATE(INT($W1909/10000),MOD(INT($W1909/100),100),MOD($W1909,100)),""),INT($W1909)),IFERROR(DATE(--LEFT(LEFT(SUBSTITUTE(SUBSTITUTE(SUBSTITUTE(SUBSTITUTE(TRIM($W1909),"-",""),".",""),"/","")," ",""),8),4),--MID(LEFT(SUBSTITUTE(SUBSTITUTE(SUBSTITUTE(SUBSTITUTE(TRIM($W1909),"-",""),".",""),"/","")," ",""),8),5,2),--MID(LEFT(SUBSTITUTE(SUBSTITUTE(SUBSTITUTE(SUBSTITUTE(TRIM($W1909),"-",""),".",""),"/","")," ",""),8),7,2)),"")))</f>
        <v/>
      </c>
      <c r="Y1909" s="32">
        <f>IF($X1909="","",INT($X1909))</f>
        <v/>
      </c>
      <c r="Z1909" s="33">
        <f>IF(OR($Y1909="",$D$6=""),"",IF(INDEX($A:$U,ROW(),$D$6)="",0,IF(ISNUMBER(INDEX($A:$U,ROW(),$D$6)),INDEX($A:$U,ROW(),$D$6),IFERROR(--SUBSTITUTE(SUBSTITUTE(TRIM(INDEX($A:$U,ROW(),$D$6)),",",""),"원",""),0))))</f>
        <v/>
      </c>
      <c r="AA1909" s="31">
        <f>IF($Y1909="","",TRIM(INDEX($A:$U,ROW(),$E$6)&amp;IF($F$6="",""," "&amp;INDEX($A:$U,ROW(),$F$6))))</f>
        <v/>
      </c>
      <c r="AB1909" s="31">
        <f>IF($AA1909="","",SUBSTITUTE(SUBSTITUTE(SUBSTITUTE(SUBSTITUTE(SUBSTITUTE(SUBSTITUTE(SUBSTITUTE(SUBSTITUTE(SUBSTITUTE($AA1909," ",""),"　",""),"(주)",""),"（주）",""),"㈜",""),"주식회사",""),"(유)",""),"（유）",""),"유한회사",""))</f>
        <v/>
      </c>
      <c r="AC1909" s="31">
        <f>IF(OR($Y1909="",N($Z1909)&lt;=0,$AB1909=""),0,IFERROR(LOOKUP(2,1/((거래처별!$AC$8:$AC$307&lt;&gt;"")*ISNUMBER(SEARCH(거래처별!$AC$8:$AC$307,$AB1909))),거래처별!$A$8:$A$307),IFERROR(LOOKUP(2,1/((거래처별!$AD$8:$AD$307&lt;&gt;"")*ISNUMBER(SEARCH(거래처별!$AD$8:$AD$307,$AB1909))),거래처별!$A$8:$A$307),IFERROR(LOOKUP(2,1/((거래처별!$AE$8:$AE$307&lt;&gt;"")*ISNUMBER(SEARCH(거래처별!$AE$8:$AE$307,$AB1909))),거래처별!$A$8:$A$307),0))))</f>
        <v/>
      </c>
      <c r="AD1909" s="31">
        <f>IF(AND($Y1909&lt;&gt;"",N($Z1909)&gt;0,$AC1909=0),MAX($AD$7:$AD1908)+1,"")</f>
        <v/>
      </c>
      <c r="AE1909" s="31">
        <f>IF($Y1909="",0,$Y1909)</f>
        <v/>
      </c>
    </row>
    <row r="1910">
      <c r="W1910" s="31">
        <f>IF(OR($B$5="",$C$6="",ROW()&lt;$B$5),"",IF(INDEX($A:$U,ROW(),$C$6)="","",INDEX($A:$U,ROW(),$C$6)))</f>
        <v/>
      </c>
      <c r="X1910" s="32">
        <f>IF($W1910="","",IF(ISNUMBER($W1910),IF($W1910&gt;=10000000,IFERROR(DATE(INT($W1910/10000),MOD(INT($W1910/100),100),MOD($W1910,100)),""),INT($W1910)),IFERROR(DATE(--LEFT(LEFT(SUBSTITUTE(SUBSTITUTE(SUBSTITUTE(SUBSTITUTE(TRIM($W1910),"-",""),".",""),"/","")," ",""),8),4),--MID(LEFT(SUBSTITUTE(SUBSTITUTE(SUBSTITUTE(SUBSTITUTE(TRIM($W1910),"-",""),".",""),"/","")," ",""),8),5,2),--MID(LEFT(SUBSTITUTE(SUBSTITUTE(SUBSTITUTE(SUBSTITUTE(TRIM($W1910),"-",""),".",""),"/","")," ",""),8),7,2)),"")))</f>
        <v/>
      </c>
      <c r="Y1910" s="32">
        <f>IF($X1910="","",INT($X1910))</f>
        <v/>
      </c>
      <c r="Z1910" s="33">
        <f>IF(OR($Y1910="",$D$6=""),"",IF(INDEX($A:$U,ROW(),$D$6)="",0,IF(ISNUMBER(INDEX($A:$U,ROW(),$D$6)),INDEX($A:$U,ROW(),$D$6),IFERROR(--SUBSTITUTE(SUBSTITUTE(TRIM(INDEX($A:$U,ROW(),$D$6)),",",""),"원",""),0))))</f>
        <v/>
      </c>
      <c r="AA1910" s="31">
        <f>IF($Y1910="","",TRIM(INDEX($A:$U,ROW(),$E$6)&amp;IF($F$6="",""," "&amp;INDEX($A:$U,ROW(),$F$6))))</f>
        <v/>
      </c>
      <c r="AB1910" s="31">
        <f>IF($AA1910="","",SUBSTITUTE(SUBSTITUTE(SUBSTITUTE(SUBSTITUTE(SUBSTITUTE(SUBSTITUTE(SUBSTITUTE(SUBSTITUTE(SUBSTITUTE($AA1910," ",""),"　",""),"(주)",""),"（주）",""),"㈜",""),"주식회사",""),"(유)",""),"（유）",""),"유한회사",""))</f>
        <v/>
      </c>
      <c r="AC1910" s="31">
        <f>IF(OR($Y1910="",N($Z1910)&lt;=0,$AB1910=""),0,IFERROR(LOOKUP(2,1/((거래처별!$AC$8:$AC$307&lt;&gt;"")*ISNUMBER(SEARCH(거래처별!$AC$8:$AC$307,$AB1910))),거래처별!$A$8:$A$307),IFERROR(LOOKUP(2,1/((거래처별!$AD$8:$AD$307&lt;&gt;"")*ISNUMBER(SEARCH(거래처별!$AD$8:$AD$307,$AB1910))),거래처별!$A$8:$A$307),IFERROR(LOOKUP(2,1/((거래처별!$AE$8:$AE$307&lt;&gt;"")*ISNUMBER(SEARCH(거래처별!$AE$8:$AE$307,$AB1910))),거래처별!$A$8:$A$307),0))))</f>
        <v/>
      </c>
      <c r="AD1910" s="31">
        <f>IF(AND($Y1910&lt;&gt;"",N($Z1910)&gt;0,$AC1910=0),MAX($AD$7:$AD1909)+1,"")</f>
        <v/>
      </c>
      <c r="AE1910" s="31">
        <f>IF($Y1910="",0,$Y1910)</f>
        <v/>
      </c>
    </row>
    <row r="1911">
      <c r="W1911" s="31">
        <f>IF(OR($B$5="",$C$6="",ROW()&lt;$B$5),"",IF(INDEX($A:$U,ROW(),$C$6)="","",INDEX($A:$U,ROW(),$C$6)))</f>
        <v/>
      </c>
      <c r="X1911" s="32">
        <f>IF($W1911="","",IF(ISNUMBER($W1911),IF($W1911&gt;=10000000,IFERROR(DATE(INT($W1911/10000),MOD(INT($W1911/100),100),MOD($W1911,100)),""),INT($W1911)),IFERROR(DATE(--LEFT(LEFT(SUBSTITUTE(SUBSTITUTE(SUBSTITUTE(SUBSTITUTE(TRIM($W1911),"-",""),".",""),"/","")," ",""),8),4),--MID(LEFT(SUBSTITUTE(SUBSTITUTE(SUBSTITUTE(SUBSTITUTE(TRIM($W1911),"-",""),".",""),"/","")," ",""),8),5,2),--MID(LEFT(SUBSTITUTE(SUBSTITUTE(SUBSTITUTE(SUBSTITUTE(TRIM($W1911),"-",""),".",""),"/","")," ",""),8),7,2)),"")))</f>
        <v/>
      </c>
      <c r="Y1911" s="32">
        <f>IF($X1911="","",INT($X1911))</f>
        <v/>
      </c>
      <c r="Z1911" s="33">
        <f>IF(OR($Y1911="",$D$6=""),"",IF(INDEX($A:$U,ROW(),$D$6)="",0,IF(ISNUMBER(INDEX($A:$U,ROW(),$D$6)),INDEX($A:$U,ROW(),$D$6),IFERROR(--SUBSTITUTE(SUBSTITUTE(TRIM(INDEX($A:$U,ROW(),$D$6)),",",""),"원",""),0))))</f>
        <v/>
      </c>
      <c r="AA1911" s="31">
        <f>IF($Y1911="","",TRIM(INDEX($A:$U,ROW(),$E$6)&amp;IF($F$6="",""," "&amp;INDEX($A:$U,ROW(),$F$6))))</f>
        <v/>
      </c>
      <c r="AB1911" s="31">
        <f>IF($AA1911="","",SUBSTITUTE(SUBSTITUTE(SUBSTITUTE(SUBSTITUTE(SUBSTITUTE(SUBSTITUTE(SUBSTITUTE(SUBSTITUTE(SUBSTITUTE($AA1911," ",""),"　",""),"(주)",""),"（주）",""),"㈜",""),"주식회사",""),"(유)",""),"（유）",""),"유한회사",""))</f>
        <v/>
      </c>
      <c r="AC1911" s="31">
        <f>IF(OR($Y1911="",N($Z1911)&lt;=0,$AB1911=""),0,IFERROR(LOOKUP(2,1/((거래처별!$AC$8:$AC$307&lt;&gt;"")*ISNUMBER(SEARCH(거래처별!$AC$8:$AC$307,$AB1911))),거래처별!$A$8:$A$307),IFERROR(LOOKUP(2,1/((거래처별!$AD$8:$AD$307&lt;&gt;"")*ISNUMBER(SEARCH(거래처별!$AD$8:$AD$307,$AB1911))),거래처별!$A$8:$A$307),IFERROR(LOOKUP(2,1/((거래처별!$AE$8:$AE$307&lt;&gt;"")*ISNUMBER(SEARCH(거래처별!$AE$8:$AE$307,$AB1911))),거래처별!$A$8:$A$307),0))))</f>
        <v/>
      </c>
      <c r="AD1911" s="31">
        <f>IF(AND($Y1911&lt;&gt;"",N($Z1911)&gt;0,$AC1911=0),MAX($AD$7:$AD1910)+1,"")</f>
        <v/>
      </c>
      <c r="AE1911" s="31">
        <f>IF($Y1911="",0,$Y1911)</f>
        <v/>
      </c>
    </row>
    <row r="1912">
      <c r="W1912" s="31">
        <f>IF(OR($B$5="",$C$6="",ROW()&lt;$B$5),"",IF(INDEX($A:$U,ROW(),$C$6)="","",INDEX($A:$U,ROW(),$C$6)))</f>
        <v/>
      </c>
      <c r="X1912" s="32">
        <f>IF($W1912="","",IF(ISNUMBER($W1912),IF($W1912&gt;=10000000,IFERROR(DATE(INT($W1912/10000),MOD(INT($W1912/100),100),MOD($W1912,100)),""),INT($W1912)),IFERROR(DATE(--LEFT(LEFT(SUBSTITUTE(SUBSTITUTE(SUBSTITUTE(SUBSTITUTE(TRIM($W1912),"-",""),".",""),"/","")," ",""),8),4),--MID(LEFT(SUBSTITUTE(SUBSTITUTE(SUBSTITUTE(SUBSTITUTE(TRIM($W1912),"-",""),".",""),"/","")," ",""),8),5,2),--MID(LEFT(SUBSTITUTE(SUBSTITUTE(SUBSTITUTE(SUBSTITUTE(TRIM($W1912),"-",""),".",""),"/","")," ",""),8),7,2)),"")))</f>
        <v/>
      </c>
      <c r="Y1912" s="32">
        <f>IF($X1912="","",INT($X1912))</f>
        <v/>
      </c>
      <c r="Z1912" s="33">
        <f>IF(OR($Y1912="",$D$6=""),"",IF(INDEX($A:$U,ROW(),$D$6)="",0,IF(ISNUMBER(INDEX($A:$U,ROW(),$D$6)),INDEX($A:$U,ROW(),$D$6),IFERROR(--SUBSTITUTE(SUBSTITUTE(TRIM(INDEX($A:$U,ROW(),$D$6)),",",""),"원",""),0))))</f>
        <v/>
      </c>
      <c r="AA1912" s="31">
        <f>IF($Y1912="","",TRIM(INDEX($A:$U,ROW(),$E$6)&amp;IF($F$6="",""," "&amp;INDEX($A:$U,ROW(),$F$6))))</f>
        <v/>
      </c>
      <c r="AB1912" s="31">
        <f>IF($AA1912="","",SUBSTITUTE(SUBSTITUTE(SUBSTITUTE(SUBSTITUTE(SUBSTITUTE(SUBSTITUTE(SUBSTITUTE(SUBSTITUTE(SUBSTITUTE($AA1912," ",""),"　",""),"(주)",""),"（주）",""),"㈜",""),"주식회사",""),"(유)",""),"（유）",""),"유한회사",""))</f>
        <v/>
      </c>
      <c r="AC1912" s="31">
        <f>IF(OR($Y1912="",N($Z1912)&lt;=0,$AB1912=""),0,IFERROR(LOOKUP(2,1/((거래처별!$AC$8:$AC$307&lt;&gt;"")*ISNUMBER(SEARCH(거래처별!$AC$8:$AC$307,$AB1912))),거래처별!$A$8:$A$307),IFERROR(LOOKUP(2,1/((거래처별!$AD$8:$AD$307&lt;&gt;"")*ISNUMBER(SEARCH(거래처별!$AD$8:$AD$307,$AB1912))),거래처별!$A$8:$A$307),IFERROR(LOOKUP(2,1/((거래처별!$AE$8:$AE$307&lt;&gt;"")*ISNUMBER(SEARCH(거래처별!$AE$8:$AE$307,$AB1912))),거래처별!$A$8:$A$307),0))))</f>
        <v/>
      </c>
      <c r="AD1912" s="31">
        <f>IF(AND($Y1912&lt;&gt;"",N($Z1912)&gt;0,$AC1912=0),MAX($AD$7:$AD1911)+1,"")</f>
        <v/>
      </c>
      <c r="AE1912" s="31">
        <f>IF($Y1912="",0,$Y1912)</f>
        <v/>
      </c>
    </row>
    <row r="1913">
      <c r="W1913" s="31">
        <f>IF(OR($B$5="",$C$6="",ROW()&lt;$B$5),"",IF(INDEX($A:$U,ROW(),$C$6)="","",INDEX($A:$U,ROW(),$C$6)))</f>
        <v/>
      </c>
      <c r="X1913" s="32">
        <f>IF($W1913="","",IF(ISNUMBER($W1913),IF($W1913&gt;=10000000,IFERROR(DATE(INT($W1913/10000),MOD(INT($W1913/100),100),MOD($W1913,100)),""),INT($W1913)),IFERROR(DATE(--LEFT(LEFT(SUBSTITUTE(SUBSTITUTE(SUBSTITUTE(SUBSTITUTE(TRIM($W1913),"-",""),".",""),"/","")," ",""),8),4),--MID(LEFT(SUBSTITUTE(SUBSTITUTE(SUBSTITUTE(SUBSTITUTE(TRIM($W1913),"-",""),".",""),"/","")," ",""),8),5,2),--MID(LEFT(SUBSTITUTE(SUBSTITUTE(SUBSTITUTE(SUBSTITUTE(TRIM($W1913),"-",""),".",""),"/","")," ",""),8),7,2)),"")))</f>
        <v/>
      </c>
      <c r="Y1913" s="32">
        <f>IF($X1913="","",INT($X1913))</f>
        <v/>
      </c>
      <c r="Z1913" s="33">
        <f>IF(OR($Y1913="",$D$6=""),"",IF(INDEX($A:$U,ROW(),$D$6)="",0,IF(ISNUMBER(INDEX($A:$U,ROW(),$D$6)),INDEX($A:$U,ROW(),$D$6),IFERROR(--SUBSTITUTE(SUBSTITUTE(TRIM(INDEX($A:$U,ROW(),$D$6)),",",""),"원",""),0))))</f>
        <v/>
      </c>
      <c r="AA1913" s="31">
        <f>IF($Y1913="","",TRIM(INDEX($A:$U,ROW(),$E$6)&amp;IF($F$6="",""," "&amp;INDEX($A:$U,ROW(),$F$6))))</f>
        <v/>
      </c>
      <c r="AB1913" s="31">
        <f>IF($AA1913="","",SUBSTITUTE(SUBSTITUTE(SUBSTITUTE(SUBSTITUTE(SUBSTITUTE(SUBSTITUTE(SUBSTITUTE(SUBSTITUTE(SUBSTITUTE($AA1913," ",""),"　",""),"(주)",""),"（주）",""),"㈜",""),"주식회사",""),"(유)",""),"（유）",""),"유한회사",""))</f>
        <v/>
      </c>
      <c r="AC1913" s="31">
        <f>IF(OR($Y1913="",N($Z1913)&lt;=0,$AB1913=""),0,IFERROR(LOOKUP(2,1/((거래처별!$AC$8:$AC$307&lt;&gt;"")*ISNUMBER(SEARCH(거래처별!$AC$8:$AC$307,$AB1913))),거래처별!$A$8:$A$307),IFERROR(LOOKUP(2,1/((거래처별!$AD$8:$AD$307&lt;&gt;"")*ISNUMBER(SEARCH(거래처별!$AD$8:$AD$307,$AB1913))),거래처별!$A$8:$A$307),IFERROR(LOOKUP(2,1/((거래처별!$AE$8:$AE$307&lt;&gt;"")*ISNUMBER(SEARCH(거래처별!$AE$8:$AE$307,$AB1913))),거래처별!$A$8:$A$307),0))))</f>
        <v/>
      </c>
      <c r="AD1913" s="31">
        <f>IF(AND($Y1913&lt;&gt;"",N($Z1913)&gt;0,$AC1913=0),MAX($AD$7:$AD1912)+1,"")</f>
        <v/>
      </c>
      <c r="AE1913" s="31">
        <f>IF($Y1913="",0,$Y1913)</f>
        <v/>
      </c>
    </row>
    <row r="1914">
      <c r="W1914" s="31">
        <f>IF(OR($B$5="",$C$6="",ROW()&lt;$B$5),"",IF(INDEX($A:$U,ROW(),$C$6)="","",INDEX($A:$U,ROW(),$C$6)))</f>
        <v/>
      </c>
      <c r="X1914" s="32">
        <f>IF($W1914="","",IF(ISNUMBER($W1914),IF($W1914&gt;=10000000,IFERROR(DATE(INT($W1914/10000),MOD(INT($W1914/100),100),MOD($W1914,100)),""),INT($W1914)),IFERROR(DATE(--LEFT(LEFT(SUBSTITUTE(SUBSTITUTE(SUBSTITUTE(SUBSTITUTE(TRIM($W1914),"-",""),".",""),"/","")," ",""),8),4),--MID(LEFT(SUBSTITUTE(SUBSTITUTE(SUBSTITUTE(SUBSTITUTE(TRIM($W1914),"-",""),".",""),"/","")," ",""),8),5,2),--MID(LEFT(SUBSTITUTE(SUBSTITUTE(SUBSTITUTE(SUBSTITUTE(TRIM($W1914),"-",""),".",""),"/","")," ",""),8),7,2)),"")))</f>
        <v/>
      </c>
      <c r="Y1914" s="32">
        <f>IF($X1914="","",INT($X1914))</f>
        <v/>
      </c>
      <c r="Z1914" s="33">
        <f>IF(OR($Y1914="",$D$6=""),"",IF(INDEX($A:$U,ROW(),$D$6)="",0,IF(ISNUMBER(INDEX($A:$U,ROW(),$D$6)),INDEX($A:$U,ROW(),$D$6),IFERROR(--SUBSTITUTE(SUBSTITUTE(TRIM(INDEX($A:$U,ROW(),$D$6)),",",""),"원",""),0))))</f>
        <v/>
      </c>
      <c r="AA1914" s="31">
        <f>IF($Y1914="","",TRIM(INDEX($A:$U,ROW(),$E$6)&amp;IF($F$6="",""," "&amp;INDEX($A:$U,ROW(),$F$6))))</f>
        <v/>
      </c>
      <c r="AB1914" s="31">
        <f>IF($AA1914="","",SUBSTITUTE(SUBSTITUTE(SUBSTITUTE(SUBSTITUTE(SUBSTITUTE(SUBSTITUTE(SUBSTITUTE(SUBSTITUTE(SUBSTITUTE($AA1914," ",""),"　",""),"(주)",""),"（주）",""),"㈜",""),"주식회사",""),"(유)",""),"（유）",""),"유한회사",""))</f>
        <v/>
      </c>
      <c r="AC1914" s="31">
        <f>IF(OR($Y1914="",N($Z1914)&lt;=0,$AB1914=""),0,IFERROR(LOOKUP(2,1/((거래처별!$AC$8:$AC$307&lt;&gt;"")*ISNUMBER(SEARCH(거래처별!$AC$8:$AC$307,$AB1914))),거래처별!$A$8:$A$307),IFERROR(LOOKUP(2,1/((거래처별!$AD$8:$AD$307&lt;&gt;"")*ISNUMBER(SEARCH(거래처별!$AD$8:$AD$307,$AB1914))),거래처별!$A$8:$A$307),IFERROR(LOOKUP(2,1/((거래처별!$AE$8:$AE$307&lt;&gt;"")*ISNUMBER(SEARCH(거래처별!$AE$8:$AE$307,$AB1914))),거래처별!$A$8:$A$307),0))))</f>
        <v/>
      </c>
      <c r="AD1914" s="31">
        <f>IF(AND($Y1914&lt;&gt;"",N($Z1914)&gt;0,$AC1914=0),MAX($AD$7:$AD1913)+1,"")</f>
        <v/>
      </c>
      <c r="AE1914" s="31">
        <f>IF($Y1914="",0,$Y1914)</f>
        <v/>
      </c>
    </row>
    <row r="1915">
      <c r="W1915" s="31">
        <f>IF(OR($B$5="",$C$6="",ROW()&lt;$B$5),"",IF(INDEX($A:$U,ROW(),$C$6)="","",INDEX($A:$U,ROW(),$C$6)))</f>
        <v/>
      </c>
      <c r="X1915" s="32">
        <f>IF($W1915="","",IF(ISNUMBER($W1915),IF($W1915&gt;=10000000,IFERROR(DATE(INT($W1915/10000),MOD(INT($W1915/100),100),MOD($W1915,100)),""),INT($W1915)),IFERROR(DATE(--LEFT(LEFT(SUBSTITUTE(SUBSTITUTE(SUBSTITUTE(SUBSTITUTE(TRIM($W1915),"-",""),".",""),"/","")," ",""),8),4),--MID(LEFT(SUBSTITUTE(SUBSTITUTE(SUBSTITUTE(SUBSTITUTE(TRIM($W1915),"-",""),".",""),"/","")," ",""),8),5,2),--MID(LEFT(SUBSTITUTE(SUBSTITUTE(SUBSTITUTE(SUBSTITUTE(TRIM($W1915),"-",""),".",""),"/","")," ",""),8),7,2)),"")))</f>
        <v/>
      </c>
      <c r="Y1915" s="32">
        <f>IF($X1915="","",INT($X1915))</f>
        <v/>
      </c>
      <c r="Z1915" s="33">
        <f>IF(OR($Y1915="",$D$6=""),"",IF(INDEX($A:$U,ROW(),$D$6)="",0,IF(ISNUMBER(INDEX($A:$U,ROW(),$D$6)),INDEX($A:$U,ROW(),$D$6),IFERROR(--SUBSTITUTE(SUBSTITUTE(TRIM(INDEX($A:$U,ROW(),$D$6)),",",""),"원",""),0))))</f>
        <v/>
      </c>
      <c r="AA1915" s="31">
        <f>IF($Y1915="","",TRIM(INDEX($A:$U,ROW(),$E$6)&amp;IF($F$6="",""," "&amp;INDEX($A:$U,ROW(),$F$6))))</f>
        <v/>
      </c>
      <c r="AB1915" s="31">
        <f>IF($AA1915="","",SUBSTITUTE(SUBSTITUTE(SUBSTITUTE(SUBSTITUTE(SUBSTITUTE(SUBSTITUTE(SUBSTITUTE(SUBSTITUTE(SUBSTITUTE($AA1915," ",""),"　",""),"(주)",""),"（주）",""),"㈜",""),"주식회사",""),"(유)",""),"（유）",""),"유한회사",""))</f>
        <v/>
      </c>
      <c r="AC1915" s="31">
        <f>IF(OR($Y1915="",N($Z1915)&lt;=0,$AB1915=""),0,IFERROR(LOOKUP(2,1/((거래처별!$AC$8:$AC$307&lt;&gt;"")*ISNUMBER(SEARCH(거래처별!$AC$8:$AC$307,$AB1915))),거래처별!$A$8:$A$307),IFERROR(LOOKUP(2,1/((거래처별!$AD$8:$AD$307&lt;&gt;"")*ISNUMBER(SEARCH(거래처별!$AD$8:$AD$307,$AB1915))),거래처별!$A$8:$A$307),IFERROR(LOOKUP(2,1/((거래처별!$AE$8:$AE$307&lt;&gt;"")*ISNUMBER(SEARCH(거래처별!$AE$8:$AE$307,$AB1915))),거래처별!$A$8:$A$307),0))))</f>
        <v/>
      </c>
      <c r="AD1915" s="31">
        <f>IF(AND($Y1915&lt;&gt;"",N($Z1915)&gt;0,$AC1915=0),MAX($AD$7:$AD1914)+1,"")</f>
        <v/>
      </c>
      <c r="AE1915" s="31">
        <f>IF($Y1915="",0,$Y1915)</f>
        <v/>
      </c>
    </row>
    <row r="1916">
      <c r="W1916" s="31">
        <f>IF(OR($B$5="",$C$6="",ROW()&lt;$B$5),"",IF(INDEX($A:$U,ROW(),$C$6)="","",INDEX($A:$U,ROW(),$C$6)))</f>
        <v/>
      </c>
      <c r="X1916" s="32">
        <f>IF($W1916="","",IF(ISNUMBER($W1916),IF($W1916&gt;=10000000,IFERROR(DATE(INT($W1916/10000),MOD(INT($W1916/100),100),MOD($W1916,100)),""),INT($W1916)),IFERROR(DATE(--LEFT(LEFT(SUBSTITUTE(SUBSTITUTE(SUBSTITUTE(SUBSTITUTE(TRIM($W1916),"-",""),".",""),"/","")," ",""),8),4),--MID(LEFT(SUBSTITUTE(SUBSTITUTE(SUBSTITUTE(SUBSTITUTE(TRIM($W1916),"-",""),".",""),"/","")," ",""),8),5,2),--MID(LEFT(SUBSTITUTE(SUBSTITUTE(SUBSTITUTE(SUBSTITUTE(TRIM($W1916),"-",""),".",""),"/","")," ",""),8),7,2)),"")))</f>
        <v/>
      </c>
      <c r="Y1916" s="32">
        <f>IF($X1916="","",INT($X1916))</f>
        <v/>
      </c>
      <c r="Z1916" s="33">
        <f>IF(OR($Y1916="",$D$6=""),"",IF(INDEX($A:$U,ROW(),$D$6)="",0,IF(ISNUMBER(INDEX($A:$U,ROW(),$D$6)),INDEX($A:$U,ROW(),$D$6),IFERROR(--SUBSTITUTE(SUBSTITUTE(TRIM(INDEX($A:$U,ROW(),$D$6)),",",""),"원",""),0))))</f>
        <v/>
      </c>
      <c r="AA1916" s="31">
        <f>IF($Y1916="","",TRIM(INDEX($A:$U,ROW(),$E$6)&amp;IF($F$6="",""," "&amp;INDEX($A:$U,ROW(),$F$6))))</f>
        <v/>
      </c>
      <c r="AB1916" s="31">
        <f>IF($AA1916="","",SUBSTITUTE(SUBSTITUTE(SUBSTITUTE(SUBSTITUTE(SUBSTITUTE(SUBSTITUTE(SUBSTITUTE(SUBSTITUTE(SUBSTITUTE($AA1916," ",""),"　",""),"(주)",""),"（주）",""),"㈜",""),"주식회사",""),"(유)",""),"（유）",""),"유한회사",""))</f>
        <v/>
      </c>
      <c r="AC1916" s="31">
        <f>IF(OR($Y1916="",N($Z1916)&lt;=0,$AB1916=""),0,IFERROR(LOOKUP(2,1/((거래처별!$AC$8:$AC$307&lt;&gt;"")*ISNUMBER(SEARCH(거래처별!$AC$8:$AC$307,$AB1916))),거래처별!$A$8:$A$307),IFERROR(LOOKUP(2,1/((거래처별!$AD$8:$AD$307&lt;&gt;"")*ISNUMBER(SEARCH(거래처별!$AD$8:$AD$307,$AB1916))),거래처별!$A$8:$A$307),IFERROR(LOOKUP(2,1/((거래처별!$AE$8:$AE$307&lt;&gt;"")*ISNUMBER(SEARCH(거래처별!$AE$8:$AE$307,$AB1916))),거래처별!$A$8:$A$307),0))))</f>
        <v/>
      </c>
      <c r="AD1916" s="31">
        <f>IF(AND($Y1916&lt;&gt;"",N($Z1916)&gt;0,$AC1916=0),MAX($AD$7:$AD1915)+1,"")</f>
        <v/>
      </c>
      <c r="AE1916" s="31">
        <f>IF($Y1916="",0,$Y1916)</f>
        <v/>
      </c>
    </row>
    <row r="1917">
      <c r="W1917" s="31">
        <f>IF(OR($B$5="",$C$6="",ROW()&lt;$B$5),"",IF(INDEX($A:$U,ROW(),$C$6)="","",INDEX($A:$U,ROW(),$C$6)))</f>
        <v/>
      </c>
      <c r="X1917" s="32">
        <f>IF($W1917="","",IF(ISNUMBER($W1917),IF($W1917&gt;=10000000,IFERROR(DATE(INT($W1917/10000),MOD(INT($W1917/100),100),MOD($W1917,100)),""),INT($W1917)),IFERROR(DATE(--LEFT(LEFT(SUBSTITUTE(SUBSTITUTE(SUBSTITUTE(SUBSTITUTE(TRIM($W1917),"-",""),".",""),"/","")," ",""),8),4),--MID(LEFT(SUBSTITUTE(SUBSTITUTE(SUBSTITUTE(SUBSTITUTE(TRIM($W1917),"-",""),".",""),"/","")," ",""),8),5,2),--MID(LEFT(SUBSTITUTE(SUBSTITUTE(SUBSTITUTE(SUBSTITUTE(TRIM($W1917),"-",""),".",""),"/","")," ",""),8),7,2)),"")))</f>
        <v/>
      </c>
      <c r="Y1917" s="32">
        <f>IF($X1917="","",INT($X1917))</f>
        <v/>
      </c>
      <c r="Z1917" s="33">
        <f>IF(OR($Y1917="",$D$6=""),"",IF(INDEX($A:$U,ROW(),$D$6)="",0,IF(ISNUMBER(INDEX($A:$U,ROW(),$D$6)),INDEX($A:$U,ROW(),$D$6),IFERROR(--SUBSTITUTE(SUBSTITUTE(TRIM(INDEX($A:$U,ROW(),$D$6)),",",""),"원",""),0))))</f>
        <v/>
      </c>
      <c r="AA1917" s="31">
        <f>IF($Y1917="","",TRIM(INDEX($A:$U,ROW(),$E$6)&amp;IF($F$6="",""," "&amp;INDEX($A:$U,ROW(),$F$6))))</f>
        <v/>
      </c>
      <c r="AB1917" s="31">
        <f>IF($AA1917="","",SUBSTITUTE(SUBSTITUTE(SUBSTITUTE(SUBSTITUTE(SUBSTITUTE(SUBSTITUTE(SUBSTITUTE(SUBSTITUTE(SUBSTITUTE($AA1917," ",""),"　",""),"(주)",""),"（주）",""),"㈜",""),"주식회사",""),"(유)",""),"（유）",""),"유한회사",""))</f>
        <v/>
      </c>
      <c r="AC1917" s="31">
        <f>IF(OR($Y1917="",N($Z1917)&lt;=0,$AB1917=""),0,IFERROR(LOOKUP(2,1/((거래처별!$AC$8:$AC$307&lt;&gt;"")*ISNUMBER(SEARCH(거래처별!$AC$8:$AC$307,$AB1917))),거래처별!$A$8:$A$307),IFERROR(LOOKUP(2,1/((거래처별!$AD$8:$AD$307&lt;&gt;"")*ISNUMBER(SEARCH(거래처별!$AD$8:$AD$307,$AB1917))),거래처별!$A$8:$A$307),IFERROR(LOOKUP(2,1/((거래처별!$AE$8:$AE$307&lt;&gt;"")*ISNUMBER(SEARCH(거래처별!$AE$8:$AE$307,$AB1917))),거래처별!$A$8:$A$307),0))))</f>
        <v/>
      </c>
      <c r="AD1917" s="31">
        <f>IF(AND($Y1917&lt;&gt;"",N($Z1917)&gt;0,$AC1917=0),MAX($AD$7:$AD1916)+1,"")</f>
        <v/>
      </c>
      <c r="AE1917" s="31">
        <f>IF($Y1917="",0,$Y1917)</f>
        <v/>
      </c>
    </row>
    <row r="1918">
      <c r="W1918" s="31">
        <f>IF(OR($B$5="",$C$6="",ROW()&lt;$B$5),"",IF(INDEX($A:$U,ROW(),$C$6)="","",INDEX($A:$U,ROW(),$C$6)))</f>
        <v/>
      </c>
      <c r="X1918" s="32">
        <f>IF($W1918="","",IF(ISNUMBER($W1918),IF($W1918&gt;=10000000,IFERROR(DATE(INT($W1918/10000),MOD(INT($W1918/100),100),MOD($W1918,100)),""),INT($W1918)),IFERROR(DATE(--LEFT(LEFT(SUBSTITUTE(SUBSTITUTE(SUBSTITUTE(SUBSTITUTE(TRIM($W1918),"-",""),".",""),"/","")," ",""),8),4),--MID(LEFT(SUBSTITUTE(SUBSTITUTE(SUBSTITUTE(SUBSTITUTE(TRIM($W1918),"-",""),".",""),"/","")," ",""),8),5,2),--MID(LEFT(SUBSTITUTE(SUBSTITUTE(SUBSTITUTE(SUBSTITUTE(TRIM($W1918),"-",""),".",""),"/","")," ",""),8),7,2)),"")))</f>
        <v/>
      </c>
      <c r="Y1918" s="32">
        <f>IF($X1918="","",INT($X1918))</f>
        <v/>
      </c>
      <c r="Z1918" s="33">
        <f>IF(OR($Y1918="",$D$6=""),"",IF(INDEX($A:$U,ROW(),$D$6)="",0,IF(ISNUMBER(INDEX($A:$U,ROW(),$D$6)),INDEX($A:$U,ROW(),$D$6),IFERROR(--SUBSTITUTE(SUBSTITUTE(TRIM(INDEX($A:$U,ROW(),$D$6)),",",""),"원",""),0))))</f>
        <v/>
      </c>
      <c r="AA1918" s="31">
        <f>IF($Y1918="","",TRIM(INDEX($A:$U,ROW(),$E$6)&amp;IF($F$6="",""," "&amp;INDEX($A:$U,ROW(),$F$6))))</f>
        <v/>
      </c>
      <c r="AB1918" s="31">
        <f>IF($AA1918="","",SUBSTITUTE(SUBSTITUTE(SUBSTITUTE(SUBSTITUTE(SUBSTITUTE(SUBSTITUTE(SUBSTITUTE(SUBSTITUTE(SUBSTITUTE($AA1918," ",""),"　",""),"(주)",""),"（주）",""),"㈜",""),"주식회사",""),"(유)",""),"（유）",""),"유한회사",""))</f>
        <v/>
      </c>
      <c r="AC1918" s="31">
        <f>IF(OR($Y1918="",N($Z1918)&lt;=0,$AB1918=""),0,IFERROR(LOOKUP(2,1/((거래처별!$AC$8:$AC$307&lt;&gt;"")*ISNUMBER(SEARCH(거래처별!$AC$8:$AC$307,$AB1918))),거래처별!$A$8:$A$307),IFERROR(LOOKUP(2,1/((거래처별!$AD$8:$AD$307&lt;&gt;"")*ISNUMBER(SEARCH(거래처별!$AD$8:$AD$307,$AB1918))),거래처별!$A$8:$A$307),IFERROR(LOOKUP(2,1/((거래처별!$AE$8:$AE$307&lt;&gt;"")*ISNUMBER(SEARCH(거래처별!$AE$8:$AE$307,$AB1918))),거래처별!$A$8:$A$307),0))))</f>
        <v/>
      </c>
      <c r="AD1918" s="31">
        <f>IF(AND($Y1918&lt;&gt;"",N($Z1918)&gt;0,$AC1918=0),MAX($AD$7:$AD1917)+1,"")</f>
        <v/>
      </c>
      <c r="AE1918" s="31">
        <f>IF($Y1918="",0,$Y1918)</f>
        <v/>
      </c>
    </row>
    <row r="1919">
      <c r="W1919" s="31">
        <f>IF(OR($B$5="",$C$6="",ROW()&lt;$B$5),"",IF(INDEX($A:$U,ROW(),$C$6)="","",INDEX($A:$U,ROW(),$C$6)))</f>
        <v/>
      </c>
      <c r="X1919" s="32">
        <f>IF($W1919="","",IF(ISNUMBER($W1919),IF($W1919&gt;=10000000,IFERROR(DATE(INT($W1919/10000),MOD(INT($W1919/100),100),MOD($W1919,100)),""),INT($W1919)),IFERROR(DATE(--LEFT(LEFT(SUBSTITUTE(SUBSTITUTE(SUBSTITUTE(SUBSTITUTE(TRIM($W1919),"-",""),".",""),"/","")," ",""),8),4),--MID(LEFT(SUBSTITUTE(SUBSTITUTE(SUBSTITUTE(SUBSTITUTE(TRIM($W1919),"-",""),".",""),"/","")," ",""),8),5,2),--MID(LEFT(SUBSTITUTE(SUBSTITUTE(SUBSTITUTE(SUBSTITUTE(TRIM($W1919),"-",""),".",""),"/","")," ",""),8),7,2)),"")))</f>
        <v/>
      </c>
      <c r="Y1919" s="32">
        <f>IF($X1919="","",INT($X1919))</f>
        <v/>
      </c>
      <c r="Z1919" s="33">
        <f>IF(OR($Y1919="",$D$6=""),"",IF(INDEX($A:$U,ROW(),$D$6)="",0,IF(ISNUMBER(INDEX($A:$U,ROW(),$D$6)),INDEX($A:$U,ROW(),$D$6),IFERROR(--SUBSTITUTE(SUBSTITUTE(TRIM(INDEX($A:$U,ROW(),$D$6)),",",""),"원",""),0))))</f>
        <v/>
      </c>
      <c r="AA1919" s="31">
        <f>IF($Y1919="","",TRIM(INDEX($A:$U,ROW(),$E$6)&amp;IF($F$6="",""," "&amp;INDEX($A:$U,ROW(),$F$6))))</f>
        <v/>
      </c>
      <c r="AB1919" s="31">
        <f>IF($AA1919="","",SUBSTITUTE(SUBSTITUTE(SUBSTITUTE(SUBSTITUTE(SUBSTITUTE(SUBSTITUTE(SUBSTITUTE(SUBSTITUTE(SUBSTITUTE($AA1919," ",""),"　",""),"(주)",""),"（주）",""),"㈜",""),"주식회사",""),"(유)",""),"（유）",""),"유한회사",""))</f>
        <v/>
      </c>
      <c r="AC1919" s="31">
        <f>IF(OR($Y1919="",N($Z1919)&lt;=0,$AB1919=""),0,IFERROR(LOOKUP(2,1/((거래처별!$AC$8:$AC$307&lt;&gt;"")*ISNUMBER(SEARCH(거래처별!$AC$8:$AC$307,$AB1919))),거래처별!$A$8:$A$307),IFERROR(LOOKUP(2,1/((거래처별!$AD$8:$AD$307&lt;&gt;"")*ISNUMBER(SEARCH(거래처별!$AD$8:$AD$307,$AB1919))),거래처별!$A$8:$A$307),IFERROR(LOOKUP(2,1/((거래처별!$AE$8:$AE$307&lt;&gt;"")*ISNUMBER(SEARCH(거래처별!$AE$8:$AE$307,$AB1919))),거래처별!$A$8:$A$307),0))))</f>
        <v/>
      </c>
      <c r="AD1919" s="31">
        <f>IF(AND($Y1919&lt;&gt;"",N($Z1919)&gt;0,$AC1919=0),MAX($AD$7:$AD1918)+1,"")</f>
        <v/>
      </c>
      <c r="AE1919" s="31">
        <f>IF($Y1919="",0,$Y1919)</f>
        <v/>
      </c>
    </row>
    <row r="1920">
      <c r="W1920" s="31">
        <f>IF(OR($B$5="",$C$6="",ROW()&lt;$B$5),"",IF(INDEX($A:$U,ROW(),$C$6)="","",INDEX($A:$U,ROW(),$C$6)))</f>
        <v/>
      </c>
      <c r="X1920" s="32">
        <f>IF($W1920="","",IF(ISNUMBER($W1920),IF($W1920&gt;=10000000,IFERROR(DATE(INT($W1920/10000),MOD(INT($W1920/100),100),MOD($W1920,100)),""),INT($W1920)),IFERROR(DATE(--LEFT(LEFT(SUBSTITUTE(SUBSTITUTE(SUBSTITUTE(SUBSTITUTE(TRIM($W1920),"-",""),".",""),"/","")," ",""),8),4),--MID(LEFT(SUBSTITUTE(SUBSTITUTE(SUBSTITUTE(SUBSTITUTE(TRIM($W1920),"-",""),".",""),"/","")," ",""),8),5,2),--MID(LEFT(SUBSTITUTE(SUBSTITUTE(SUBSTITUTE(SUBSTITUTE(TRIM($W1920),"-",""),".",""),"/","")," ",""),8),7,2)),"")))</f>
        <v/>
      </c>
      <c r="Y1920" s="32">
        <f>IF($X1920="","",INT($X1920))</f>
        <v/>
      </c>
      <c r="Z1920" s="33">
        <f>IF(OR($Y1920="",$D$6=""),"",IF(INDEX($A:$U,ROW(),$D$6)="",0,IF(ISNUMBER(INDEX($A:$U,ROW(),$D$6)),INDEX($A:$U,ROW(),$D$6),IFERROR(--SUBSTITUTE(SUBSTITUTE(TRIM(INDEX($A:$U,ROW(),$D$6)),",",""),"원",""),0))))</f>
        <v/>
      </c>
      <c r="AA1920" s="31">
        <f>IF($Y1920="","",TRIM(INDEX($A:$U,ROW(),$E$6)&amp;IF($F$6="",""," "&amp;INDEX($A:$U,ROW(),$F$6))))</f>
        <v/>
      </c>
      <c r="AB1920" s="31">
        <f>IF($AA1920="","",SUBSTITUTE(SUBSTITUTE(SUBSTITUTE(SUBSTITUTE(SUBSTITUTE(SUBSTITUTE(SUBSTITUTE(SUBSTITUTE(SUBSTITUTE($AA1920," ",""),"　",""),"(주)",""),"（주）",""),"㈜",""),"주식회사",""),"(유)",""),"（유）",""),"유한회사",""))</f>
        <v/>
      </c>
      <c r="AC1920" s="31">
        <f>IF(OR($Y1920="",N($Z1920)&lt;=0,$AB1920=""),0,IFERROR(LOOKUP(2,1/((거래처별!$AC$8:$AC$307&lt;&gt;"")*ISNUMBER(SEARCH(거래처별!$AC$8:$AC$307,$AB1920))),거래처별!$A$8:$A$307),IFERROR(LOOKUP(2,1/((거래처별!$AD$8:$AD$307&lt;&gt;"")*ISNUMBER(SEARCH(거래처별!$AD$8:$AD$307,$AB1920))),거래처별!$A$8:$A$307),IFERROR(LOOKUP(2,1/((거래처별!$AE$8:$AE$307&lt;&gt;"")*ISNUMBER(SEARCH(거래처별!$AE$8:$AE$307,$AB1920))),거래처별!$A$8:$A$307),0))))</f>
        <v/>
      </c>
      <c r="AD1920" s="31">
        <f>IF(AND($Y1920&lt;&gt;"",N($Z1920)&gt;0,$AC1920=0),MAX($AD$7:$AD1919)+1,"")</f>
        <v/>
      </c>
      <c r="AE1920" s="31">
        <f>IF($Y1920="",0,$Y1920)</f>
        <v/>
      </c>
    </row>
    <row r="1921">
      <c r="W1921" s="31">
        <f>IF(OR($B$5="",$C$6="",ROW()&lt;$B$5),"",IF(INDEX($A:$U,ROW(),$C$6)="","",INDEX($A:$U,ROW(),$C$6)))</f>
        <v/>
      </c>
      <c r="X1921" s="32">
        <f>IF($W1921="","",IF(ISNUMBER($W1921),IF($W1921&gt;=10000000,IFERROR(DATE(INT($W1921/10000),MOD(INT($W1921/100),100),MOD($W1921,100)),""),INT($W1921)),IFERROR(DATE(--LEFT(LEFT(SUBSTITUTE(SUBSTITUTE(SUBSTITUTE(SUBSTITUTE(TRIM($W1921),"-",""),".",""),"/","")," ",""),8),4),--MID(LEFT(SUBSTITUTE(SUBSTITUTE(SUBSTITUTE(SUBSTITUTE(TRIM($W1921),"-",""),".",""),"/","")," ",""),8),5,2),--MID(LEFT(SUBSTITUTE(SUBSTITUTE(SUBSTITUTE(SUBSTITUTE(TRIM($W1921),"-",""),".",""),"/","")," ",""),8),7,2)),"")))</f>
        <v/>
      </c>
      <c r="Y1921" s="32">
        <f>IF($X1921="","",INT($X1921))</f>
        <v/>
      </c>
      <c r="Z1921" s="33">
        <f>IF(OR($Y1921="",$D$6=""),"",IF(INDEX($A:$U,ROW(),$D$6)="",0,IF(ISNUMBER(INDEX($A:$U,ROW(),$D$6)),INDEX($A:$U,ROW(),$D$6),IFERROR(--SUBSTITUTE(SUBSTITUTE(TRIM(INDEX($A:$U,ROW(),$D$6)),",",""),"원",""),0))))</f>
        <v/>
      </c>
      <c r="AA1921" s="31">
        <f>IF($Y1921="","",TRIM(INDEX($A:$U,ROW(),$E$6)&amp;IF($F$6="",""," "&amp;INDEX($A:$U,ROW(),$F$6))))</f>
        <v/>
      </c>
      <c r="AB1921" s="31">
        <f>IF($AA1921="","",SUBSTITUTE(SUBSTITUTE(SUBSTITUTE(SUBSTITUTE(SUBSTITUTE(SUBSTITUTE(SUBSTITUTE(SUBSTITUTE(SUBSTITUTE($AA1921," ",""),"　",""),"(주)",""),"（주）",""),"㈜",""),"주식회사",""),"(유)",""),"（유）",""),"유한회사",""))</f>
        <v/>
      </c>
      <c r="AC1921" s="31">
        <f>IF(OR($Y1921="",N($Z1921)&lt;=0,$AB1921=""),0,IFERROR(LOOKUP(2,1/((거래처별!$AC$8:$AC$307&lt;&gt;"")*ISNUMBER(SEARCH(거래처별!$AC$8:$AC$307,$AB1921))),거래처별!$A$8:$A$307),IFERROR(LOOKUP(2,1/((거래처별!$AD$8:$AD$307&lt;&gt;"")*ISNUMBER(SEARCH(거래처별!$AD$8:$AD$307,$AB1921))),거래처별!$A$8:$A$307),IFERROR(LOOKUP(2,1/((거래처별!$AE$8:$AE$307&lt;&gt;"")*ISNUMBER(SEARCH(거래처별!$AE$8:$AE$307,$AB1921))),거래처별!$A$8:$A$307),0))))</f>
        <v/>
      </c>
      <c r="AD1921" s="31">
        <f>IF(AND($Y1921&lt;&gt;"",N($Z1921)&gt;0,$AC1921=0),MAX($AD$7:$AD1920)+1,"")</f>
        <v/>
      </c>
      <c r="AE1921" s="31">
        <f>IF($Y1921="",0,$Y1921)</f>
        <v/>
      </c>
    </row>
    <row r="1922">
      <c r="W1922" s="31">
        <f>IF(OR($B$5="",$C$6="",ROW()&lt;$B$5),"",IF(INDEX($A:$U,ROW(),$C$6)="","",INDEX($A:$U,ROW(),$C$6)))</f>
        <v/>
      </c>
      <c r="X1922" s="32">
        <f>IF($W1922="","",IF(ISNUMBER($W1922),IF($W1922&gt;=10000000,IFERROR(DATE(INT($W1922/10000),MOD(INT($W1922/100),100),MOD($W1922,100)),""),INT($W1922)),IFERROR(DATE(--LEFT(LEFT(SUBSTITUTE(SUBSTITUTE(SUBSTITUTE(SUBSTITUTE(TRIM($W1922),"-",""),".",""),"/","")," ",""),8),4),--MID(LEFT(SUBSTITUTE(SUBSTITUTE(SUBSTITUTE(SUBSTITUTE(TRIM($W1922),"-",""),".",""),"/","")," ",""),8),5,2),--MID(LEFT(SUBSTITUTE(SUBSTITUTE(SUBSTITUTE(SUBSTITUTE(TRIM($W1922),"-",""),".",""),"/","")," ",""),8),7,2)),"")))</f>
        <v/>
      </c>
      <c r="Y1922" s="32">
        <f>IF($X1922="","",INT($X1922))</f>
        <v/>
      </c>
      <c r="Z1922" s="33">
        <f>IF(OR($Y1922="",$D$6=""),"",IF(INDEX($A:$U,ROW(),$D$6)="",0,IF(ISNUMBER(INDEX($A:$U,ROW(),$D$6)),INDEX($A:$U,ROW(),$D$6),IFERROR(--SUBSTITUTE(SUBSTITUTE(TRIM(INDEX($A:$U,ROW(),$D$6)),",",""),"원",""),0))))</f>
        <v/>
      </c>
      <c r="AA1922" s="31">
        <f>IF($Y1922="","",TRIM(INDEX($A:$U,ROW(),$E$6)&amp;IF($F$6="",""," "&amp;INDEX($A:$U,ROW(),$F$6))))</f>
        <v/>
      </c>
      <c r="AB1922" s="31">
        <f>IF($AA1922="","",SUBSTITUTE(SUBSTITUTE(SUBSTITUTE(SUBSTITUTE(SUBSTITUTE(SUBSTITUTE(SUBSTITUTE(SUBSTITUTE(SUBSTITUTE($AA1922," ",""),"　",""),"(주)",""),"（주）",""),"㈜",""),"주식회사",""),"(유)",""),"（유）",""),"유한회사",""))</f>
        <v/>
      </c>
      <c r="AC1922" s="31">
        <f>IF(OR($Y1922="",N($Z1922)&lt;=0,$AB1922=""),0,IFERROR(LOOKUP(2,1/((거래처별!$AC$8:$AC$307&lt;&gt;"")*ISNUMBER(SEARCH(거래처별!$AC$8:$AC$307,$AB1922))),거래처별!$A$8:$A$307),IFERROR(LOOKUP(2,1/((거래처별!$AD$8:$AD$307&lt;&gt;"")*ISNUMBER(SEARCH(거래처별!$AD$8:$AD$307,$AB1922))),거래처별!$A$8:$A$307),IFERROR(LOOKUP(2,1/((거래처별!$AE$8:$AE$307&lt;&gt;"")*ISNUMBER(SEARCH(거래처별!$AE$8:$AE$307,$AB1922))),거래처별!$A$8:$A$307),0))))</f>
        <v/>
      </c>
      <c r="AD1922" s="31">
        <f>IF(AND($Y1922&lt;&gt;"",N($Z1922)&gt;0,$AC1922=0),MAX($AD$7:$AD1921)+1,"")</f>
        <v/>
      </c>
      <c r="AE1922" s="31">
        <f>IF($Y1922="",0,$Y1922)</f>
        <v/>
      </c>
    </row>
    <row r="1923">
      <c r="W1923" s="31">
        <f>IF(OR($B$5="",$C$6="",ROW()&lt;$B$5),"",IF(INDEX($A:$U,ROW(),$C$6)="","",INDEX($A:$U,ROW(),$C$6)))</f>
        <v/>
      </c>
      <c r="X1923" s="32">
        <f>IF($W1923="","",IF(ISNUMBER($W1923),IF($W1923&gt;=10000000,IFERROR(DATE(INT($W1923/10000),MOD(INT($W1923/100),100),MOD($W1923,100)),""),INT($W1923)),IFERROR(DATE(--LEFT(LEFT(SUBSTITUTE(SUBSTITUTE(SUBSTITUTE(SUBSTITUTE(TRIM($W1923),"-",""),".",""),"/","")," ",""),8),4),--MID(LEFT(SUBSTITUTE(SUBSTITUTE(SUBSTITUTE(SUBSTITUTE(TRIM($W1923),"-",""),".",""),"/","")," ",""),8),5,2),--MID(LEFT(SUBSTITUTE(SUBSTITUTE(SUBSTITUTE(SUBSTITUTE(TRIM($W1923),"-",""),".",""),"/","")," ",""),8),7,2)),"")))</f>
        <v/>
      </c>
      <c r="Y1923" s="32">
        <f>IF($X1923="","",INT($X1923))</f>
        <v/>
      </c>
      <c r="Z1923" s="33">
        <f>IF(OR($Y1923="",$D$6=""),"",IF(INDEX($A:$U,ROW(),$D$6)="",0,IF(ISNUMBER(INDEX($A:$U,ROW(),$D$6)),INDEX($A:$U,ROW(),$D$6),IFERROR(--SUBSTITUTE(SUBSTITUTE(TRIM(INDEX($A:$U,ROW(),$D$6)),",",""),"원",""),0))))</f>
        <v/>
      </c>
      <c r="AA1923" s="31">
        <f>IF($Y1923="","",TRIM(INDEX($A:$U,ROW(),$E$6)&amp;IF($F$6="",""," "&amp;INDEX($A:$U,ROW(),$F$6))))</f>
        <v/>
      </c>
      <c r="AB1923" s="31">
        <f>IF($AA1923="","",SUBSTITUTE(SUBSTITUTE(SUBSTITUTE(SUBSTITUTE(SUBSTITUTE(SUBSTITUTE(SUBSTITUTE(SUBSTITUTE(SUBSTITUTE($AA1923," ",""),"　",""),"(주)",""),"（주）",""),"㈜",""),"주식회사",""),"(유)",""),"（유）",""),"유한회사",""))</f>
        <v/>
      </c>
      <c r="AC1923" s="31">
        <f>IF(OR($Y1923="",N($Z1923)&lt;=0,$AB1923=""),0,IFERROR(LOOKUP(2,1/((거래처별!$AC$8:$AC$307&lt;&gt;"")*ISNUMBER(SEARCH(거래처별!$AC$8:$AC$307,$AB1923))),거래처별!$A$8:$A$307),IFERROR(LOOKUP(2,1/((거래처별!$AD$8:$AD$307&lt;&gt;"")*ISNUMBER(SEARCH(거래처별!$AD$8:$AD$307,$AB1923))),거래처별!$A$8:$A$307),IFERROR(LOOKUP(2,1/((거래처별!$AE$8:$AE$307&lt;&gt;"")*ISNUMBER(SEARCH(거래처별!$AE$8:$AE$307,$AB1923))),거래처별!$A$8:$A$307),0))))</f>
        <v/>
      </c>
      <c r="AD1923" s="31">
        <f>IF(AND($Y1923&lt;&gt;"",N($Z1923)&gt;0,$AC1923=0),MAX($AD$7:$AD1922)+1,"")</f>
        <v/>
      </c>
      <c r="AE1923" s="31">
        <f>IF($Y1923="",0,$Y1923)</f>
        <v/>
      </c>
    </row>
    <row r="1924">
      <c r="W1924" s="31">
        <f>IF(OR($B$5="",$C$6="",ROW()&lt;$B$5),"",IF(INDEX($A:$U,ROW(),$C$6)="","",INDEX($A:$U,ROW(),$C$6)))</f>
        <v/>
      </c>
      <c r="X1924" s="32">
        <f>IF($W1924="","",IF(ISNUMBER($W1924),IF($W1924&gt;=10000000,IFERROR(DATE(INT($W1924/10000),MOD(INT($W1924/100),100),MOD($W1924,100)),""),INT($W1924)),IFERROR(DATE(--LEFT(LEFT(SUBSTITUTE(SUBSTITUTE(SUBSTITUTE(SUBSTITUTE(TRIM($W1924),"-",""),".",""),"/","")," ",""),8),4),--MID(LEFT(SUBSTITUTE(SUBSTITUTE(SUBSTITUTE(SUBSTITUTE(TRIM($W1924),"-",""),".",""),"/","")," ",""),8),5,2),--MID(LEFT(SUBSTITUTE(SUBSTITUTE(SUBSTITUTE(SUBSTITUTE(TRIM($W1924),"-",""),".",""),"/","")," ",""),8),7,2)),"")))</f>
        <v/>
      </c>
      <c r="Y1924" s="32">
        <f>IF($X1924="","",INT($X1924))</f>
        <v/>
      </c>
      <c r="Z1924" s="33">
        <f>IF(OR($Y1924="",$D$6=""),"",IF(INDEX($A:$U,ROW(),$D$6)="",0,IF(ISNUMBER(INDEX($A:$U,ROW(),$D$6)),INDEX($A:$U,ROW(),$D$6),IFERROR(--SUBSTITUTE(SUBSTITUTE(TRIM(INDEX($A:$U,ROW(),$D$6)),",",""),"원",""),0))))</f>
        <v/>
      </c>
      <c r="AA1924" s="31">
        <f>IF($Y1924="","",TRIM(INDEX($A:$U,ROW(),$E$6)&amp;IF($F$6="",""," "&amp;INDEX($A:$U,ROW(),$F$6))))</f>
        <v/>
      </c>
      <c r="AB1924" s="31">
        <f>IF($AA1924="","",SUBSTITUTE(SUBSTITUTE(SUBSTITUTE(SUBSTITUTE(SUBSTITUTE(SUBSTITUTE(SUBSTITUTE(SUBSTITUTE(SUBSTITUTE($AA1924," ",""),"　",""),"(주)",""),"（주）",""),"㈜",""),"주식회사",""),"(유)",""),"（유）",""),"유한회사",""))</f>
        <v/>
      </c>
      <c r="AC1924" s="31">
        <f>IF(OR($Y1924="",N($Z1924)&lt;=0,$AB1924=""),0,IFERROR(LOOKUP(2,1/((거래처별!$AC$8:$AC$307&lt;&gt;"")*ISNUMBER(SEARCH(거래처별!$AC$8:$AC$307,$AB1924))),거래처별!$A$8:$A$307),IFERROR(LOOKUP(2,1/((거래처별!$AD$8:$AD$307&lt;&gt;"")*ISNUMBER(SEARCH(거래처별!$AD$8:$AD$307,$AB1924))),거래처별!$A$8:$A$307),IFERROR(LOOKUP(2,1/((거래처별!$AE$8:$AE$307&lt;&gt;"")*ISNUMBER(SEARCH(거래처별!$AE$8:$AE$307,$AB1924))),거래처별!$A$8:$A$307),0))))</f>
        <v/>
      </c>
      <c r="AD1924" s="31">
        <f>IF(AND($Y1924&lt;&gt;"",N($Z1924)&gt;0,$AC1924=0),MAX($AD$7:$AD1923)+1,"")</f>
        <v/>
      </c>
      <c r="AE1924" s="31">
        <f>IF($Y1924="",0,$Y1924)</f>
        <v/>
      </c>
    </row>
    <row r="1925">
      <c r="W1925" s="31">
        <f>IF(OR($B$5="",$C$6="",ROW()&lt;$B$5),"",IF(INDEX($A:$U,ROW(),$C$6)="","",INDEX($A:$U,ROW(),$C$6)))</f>
        <v/>
      </c>
      <c r="X1925" s="32">
        <f>IF($W1925="","",IF(ISNUMBER($W1925),IF($W1925&gt;=10000000,IFERROR(DATE(INT($W1925/10000),MOD(INT($W1925/100),100),MOD($W1925,100)),""),INT($W1925)),IFERROR(DATE(--LEFT(LEFT(SUBSTITUTE(SUBSTITUTE(SUBSTITUTE(SUBSTITUTE(TRIM($W1925),"-",""),".",""),"/","")," ",""),8),4),--MID(LEFT(SUBSTITUTE(SUBSTITUTE(SUBSTITUTE(SUBSTITUTE(TRIM($W1925),"-",""),".",""),"/","")," ",""),8),5,2),--MID(LEFT(SUBSTITUTE(SUBSTITUTE(SUBSTITUTE(SUBSTITUTE(TRIM($W1925),"-",""),".",""),"/","")," ",""),8),7,2)),"")))</f>
        <v/>
      </c>
      <c r="Y1925" s="32">
        <f>IF($X1925="","",INT($X1925))</f>
        <v/>
      </c>
      <c r="Z1925" s="33">
        <f>IF(OR($Y1925="",$D$6=""),"",IF(INDEX($A:$U,ROW(),$D$6)="",0,IF(ISNUMBER(INDEX($A:$U,ROW(),$D$6)),INDEX($A:$U,ROW(),$D$6),IFERROR(--SUBSTITUTE(SUBSTITUTE(TRIM(INDEX($A:$U,ROW(),$D$6)),",",""),"원",""),0))))</f>
        <v/>
      </c>
      <c r="AA1925" s="31">
        <f>IF($Y1925="","",TRIM(INDEX($A:$U,ROW(),$E$6)&amp;IF($F$6="",""," "&amp;INDEX($A:$U,ROW(),$F$6))))</f>
        <v/>
      </c>
      <c r="AB1925" s="31">
        <f>IF($AA1925="","",SUBSTITUTE(SUBSTITUTE(SUBSTITUTE(SUBSTITUTE(SUBSTITUTE(SUBSTITUTE(SUBSTITUTE(SUBSTITUTE(SUBSTITUTE($AA1925," ",""),"　",""),"(주)",""),"（주）",""),"㈜",""),"주식회사",""),"(유)",""),"（유）",""),"유한회사",""))</f>
        <v/>
      </c>
      <c r="AC1925" s="31">
        <f>IF(OR($Y1925="",N($Z1925)&lt;=0,$AB1925=""),0,IFERROR(LOOKUP(2,1/((거래처별!$AC$8:$AC$307&lt;&gt;"")*ISNUMBER(SEARCH(거래처별!$AC$8:$AC$307,$AB1925))),거래처별!$A$8:$A$307),IFERROR(LOOKUP(2,1/((거래처별!$AD$8:$AD$307&lt;&gt;"")*ISNUMBER(SEARCH(거래처별!$AD$8:$AD$307,$AB1925))),거래처별!$A$8:$A$307),IFERROR(LOOKUP(2,1/((거래처별!$AE$8:$AE$307&lt;&gt;"")*ISNUMBER(SEARCH(거래처별!$AE$8:$AE$307,$AB1925))),거래처별!$A$8:$A$307),0))))</f>
        <v/>
      </c>
      <c r="AD1925" s="31">
        <f>IF(AND($Y1925&lt;&gt;"",N($Z1925)&gt;0,$AC1925=0),MAX($AD$7:$AD1924)+1,"")</f>
        <v/>
      </c>
      <c r="AE1925" s="31">
        <f>IF($Y1925="",0,$Y1925)</f>
        <v/>
      </c>
    </row>
    <row r="1926">
      <c r="W1926" s="31">
        <f>IF(OR($B$5="",$C$6="",ROW()&lt;$B$5),"",IF(INDEX($A:$U,ROW(),$C$6)="","",INDEX($A:$U,ROW(),$C$6)))</f>
        <v/>
      </c>
      <c r="X1926" s="32">
        <f>IF($W1926="","",IF(ISNUMBER($W1926),IF($W1926&gt;=10000000,IFERROR(DATE(INT($W1926/10000),MOD(INT($W1926/100),100),MOD($W1926,100)),""),INT($W1926)),IFERROR(DATE(--LEFT(LEFT(SUBSTITUTE(SUBSTITUTE(SUBSTITUTE(SUBSTITUTE(TRIM($W1926),"-",""),".",""),"/","")," ",""),8),4),--MID(LEFT(SUBSTITUTE(SUBSTITUTE(SUBSTITUTE(SUBSTITUTE(TRIM($W1926),"-",""),".",""),"/","")," ",""),8),5,2),--MID(LEFT(SUBSTITUTE(SUBSTITUTE(SUBSTITUTE(SUBSTITUTE(TRIM($W1926),"-",""),".",""),"/","")," ",""),8),7,2)),"")))</f>
        <v/>
      </c>
      <c r="Y1926" s="32">
        <f>IF($X1926="","",INT($X1926))</f>
        <v/>
      </c>
      <c r="Z1926" s="33">
        <f>IF(OR($Y1926="",$D$6=""),"",IF(INDEX($A:$U,ROW(),$D$6)="",0,IF(ISNUMBER(INDEX($A:$U,ROW(),$D$6)),INDEX($A:$U,ROW(),$D$6),IFERROR(--SUBSTITUTE(SUBSTITUTE(TRIM(INDEX($A:$U,ROW(),$D$6)),",",""),"원",""),0))))</f>
        <v/>
      </c>
      <c r="AA1926" s="31">
        <f>IF($Y1926="","",TRIM(INDEX($A:$U,ROW(),$E$6)&amp;IF($F$6="",""," "&amp;INDEX($A:$U,ROW(),$F$6))))</f>
        <v/>
      </c>
      <c r="AB1926" s="31">
        <f>IF($AA1926="","",SUBSTITUTE(SUBSTITUTE(SUBSTITUTE(SUBSTITUTE(SUBSTITUTE(SUBSTITUTE(SUBSTITUTE(SUBSTITUTE(SUBSTITUTE($AA1926," ",""),"　",""),"(주)",""),"（주）",""),"㈜",""),"주식회사",""),"(유)",""),"（유）",""),"유한회사",""))</f>
        <v/>
      </c>
      <c r="AC1926" s="31">
        <f>IF(OR($Y1926="",N($Z1926)&lt;=0,$AB1926=""),0,IFERROR(LOOKUP(2,1/((거래처별!$AC$8:$AC$307&lt;&gt;"")*ISNUMBER(SEARCH(거래처별!$AC$8:$AC$307,$AB1926))),거래처별!$A$8:$A$307),IFERROR(LOOKUP(2,1/((거래처별!$AD$8:$AD$307&lt;&gt;"")*ISNUMBER(SEARCH(거래처별!$AD$8:$AD$307,$AB1926))),거래처별!$A$8:$A$307),IFERROR(LOOKUP(2,1/((거래처별!$AE$8:$AE$307&lt;&gt;"")*ISNUMBER(SEARCH(거래처별!$AE$8:$AE$307,$AB1926))),거래처별!$A$8:$A$307),0))))</f>
        <v/>
      </c>
      <c r="AD1926" s="31">
        <f>IF(AND($Y1926&lt;&gt;"",N($Z1926)&gt;0,$AC1926=0),MAX($AD$7:$AD1925)+1,"")</f>
        <v/>
      </c>
      <c r="AE1926" s="31">
        <f>IF($Y1926="",0,$Y1926)</f>
        <v/>
      </c>
    </row>
    <row r="1927">
      <c r="W1927" s="31">
        <f>IF(OR($B$5="",$C$6="",ROW()&lt;$B$5),"",IF(INDEX($A:$U,ROW(),$C$6)="","",INDEX($A:$U,ROW(),$C$6)))</f>
        <v/>
      </c>
      <c r="X1927" s="32">
        <f>IF($W1927="","",IF(ISNUMBER($W1927),IF($W1927&gt;=10000000,IFERROR(DATE(INT($W1927/10000),MOD(INT($W1927/100),100),MOD($W1927,100)),""),INT($W1927)),IFERROR(DATE(--LEFT(LEFT(SUBSTITUTE(SUBSTITUTE(SUBSTITUTE(SUBSTITUTE(TRIM($W1927),"-",""),".",""),"/","")," ",""),8),4),--MID(LEFT(SUBSTITUTE(SUBSTITUTE(SUBSTITUTE(SUBSTITUTE(TRIM($W1927),"-",""),".",""),"/","")," ",""),8),5,2),--MID(LEFT(SUBSTITUTE(SUBSTITUTE(SUBSTITUTE(SUBSTITUTE(TRIM($W1927),"-",""),".",""),"/","")," ",""),8),7,2)),"")))</f>
        <v/>
      </c>
      <c r="Y1927" s="32">
        <f>IF($X1927="","",INT($X1927))</f>
        <v/>
      </c>
      <c r="Z1927" s="33">
        <f>IF(OR($Y1927="",$D$6=""),"",IF(INDEX($A:$U,ROW(),$D$6)="",0,IF(ISNUMBER(INDEX($A:$U,ROW(),$D$6)),INDEX($A:$U,ROW(),$D$6),IFERROR(--SUBSTITUTE(SUBSTITUTE(TRIM(INDEX($A:$U,ROW(),$D$6)),",",""),"원",""),0))))</f>
        <v/>
      </c>
      <c r="AA1927" s="31">
        <f>IF($Y1927="","",TRIM(INDEX($A:$U,ROW(),$E$6)&amp;IF($F$6="",""," "&amp;INDEX($A:$U,ROW(),$F$6))))</f>
        <v/>
      </c>
      <c r="AB1927" s="31">
        <f>IF($AA1927="","",SUBSTITUTE(SUBSTITUTE(SUBSTITUTE(SUBSTITUTE(SUBSTITUTE(SUBSTITUTE(SUBSTITUTE(SUBSTITUTE(SUBSTITUTE($AA1927," ",""),"　",""),"(주)",""),"（주）",""),"㈜",""),"주식회사",""),"(유)",""),"（유）",""),"유한회사",""))</f>
        <v/>
      </c>
      <c r="AC1927" s="31">
        <f>IF(OR($Y1927="",N($Z1927)&lt;=0,$AB1927=""),0,IFERROR(LOOKUP(2,1/((거래처별!$AC$8:$AC$307&lt;&gt;"")*ISNUMBER(SEARCH(거래처별!$AC$8:$AC$307,$AB1927))),거래처별!$A$8:$A$307),IFERROR(LOOKUP(2,1/((거래처별!$AD$8:$AD$307&lt;&gt;"")*ISNUMBER(SEARCH(거래처별!$AD$8:$AD$307,$AB1927))),거래처별!$A$8:$A$307),IFERROR(LOOKUP(2,1/((거래처별!$AE$8:$AE$307&lt;&gt;"")*ISNUMBER(SEARCH(거래처별!$AE$8:$AE$307,$AB1927))),거래처별!$A$8:$A$307),0))))</f>
        <v/>
      </c>
      <c r="AD1927" s="31">
        <f>IF(AND($Y1927&lt;&gt;"",N($Z1927)&gt;0,$AC1927=0),MAX($AD$7:$AD1926)+1,"")</f>
        <v/>
      </c>
      <c r="AE1927" s="31">
        <f>IF($Y1927="",0,$Y1927)</f>
        <v/>
      </c>
    </row>
    <row r="1928">
      <c r="W1928" s="31">
        <f>IF(OR($B$5="",$C$6="",ROW()&lt;$B$5),"",IF(INDEX($A:$U,ROW(),$C$6)="","",INDEX($A:$U,ROW(),$C$6)))</f>
        <v/>
      </c>
      <c r="X1928" s="32">
        <f>IF($W1928="","",IF(ISNUMBER($W1928),IF($W1928&gt;=10000000,IFERROR(DATE(INT($W1928/10000),MOD(INT($W1928/100),100),MOD($W1928,100)),""),INT($W1928)),IFERROR(DATE(--LEFT(LEFT(SUBSTITUTE(SUBSTITUTE(SUBSTITUTE(SUBSTITUTE(TRIM($W1928),"-",""),".",""),"/","")," ",""),8),4),--MID(LEFT(SUBSTITUTE(SUBSTITUTE(SUBSTITUTE(SUBSTITUTE(TRIM($W1928),"-",""),".",""),"/","")," ",""),8),5,2),--MID(LEFT(SUBSTITUTE(SUBSTITUTE(SUBSTITUTE(SUBSTITUTE(TRIM($W1928),"-",""),".",""),"/","")," ",""),8),7,2)),"")))</f>
        <v/>
      </c>
      <c r="Y1928" s="32">
        <f>IF($X1928="","",INT($X1928))</f>
        <v/>
      </c>
      <c r="Z1928" s="33">
        <f>IF(OR($Y1928="",$D$6=""),"",IF(INDEX($A:$U,ROW(),$D$6)="",0,IF(ISNUMBER(INDEX($A:$U,ROW(),$D$6)),INDEX($A:$U,ROW(),$D$6),IFERROR(--SUBSTITUTE(SUBSTITUTE(TRIM(INDEX($A:$U,ROW(),$D$6)),",",""),"원",""),0))))</f>
        <v/>
      </c>
      <c r="AA1928" s="31">
        <f>IF($Y1928="","",TRIM(INDEX($A:$U,ROW(),$E$6)&amp;IF($F$6="",""," "&amp;INDEX($A:$U,ROW(),$F$6))))</f>
        <v/>
      </c>
      <c r="AB1928" s="31">
        <f>IF($AA1928="","",SUBSTITUTE(SUBSTITUTE(SUBSTITUTE(SUBSTITUTE(SUBSTITUTE(SUBSTITUTE(SUBSTITUTE(SUBSTITUTE(SUBSTITUTE($AA1928," ",""),"　",""),"(주)",""),"（주）",""),"㈜",""),"주식회사",""),"(유)",""),"（유）",""),"유한회사",""))</f>
        <v/>
      </c>
      <c r="AC1928" s="31">
        <f>IF(OR($Y1928="",N($Z1928)&lt;=0,$AB1928=""),0,IFERROR(LOOKUP(2,1/((거래처별!$AC$8:$AC$307&lt;&gt;"")*ISNUMBER(SEARCH(거래처별!$AC$8:$AC$307,$AB1928))),거래처별!$A$8:$A$307),IFERROR(LOOKUP(2,1/((거래처별!$AD$8:$AD$307&lt;&gt;"")*ISNUMBER(SEARCH(거래처별!$AD$8:$AD$307,$AB1928))),거래처별!$A$8:$A$307),IFERROR(LOOKUP(2,1/((거래처별!$AE$8:$AE$307&lt;&gt;"")*ISNUMBER(SEARCH(거래처별!$AE$8:$AE$307,$AB1928))),거래처별!$A$8:$A$307),0))))</f>
        <v/>
      </c>
      <c r="AD1928" s="31">
        <f>IF(AND($Y1928&lt;&gt;"",N($Z1928)&gt;0,$AC1928=0),MAX($AD$7:$AD1927)+1,"")</f>
        <v/>
      </c>
      <c r="AE1928" s="31">
        <f>IF($Y1928="",0,$Y1928)</f>
        <v/>
      </c>
    </row>
    <row r="1929">
      <c r="W1929" s="31">
        <f>IF(OR($B$5="",$C$6="",ROW()&lt;$B$5),"",IF(INDEX($A:$U,ROW(),$C$6)="","",INDEX($A:$U,ROW(),$C$6)))</f>
        <v/>
      </c>
      <c r="X1929" s="32">
        <f>IF($W1929="","",IF(ISNUMBER($W1929),IF($W1929&gt;=10000000,IFERROR(DATE(INT($W1929/10000),MOD(INT($W1929/100),100),MOD($W1929,100)),""),INT($W1929)),IFERROR(DATE(--LEFT(LEFT(SUBSTITUTE(SUBSTITUTE(SUBSTITUTE(SUBSTITUTE(TRIM($W1929),"-",""),".",""),"/","")," ",""),8),4),--MID(LEFT(SUBSTITUTE(SUBSTITUTE(SUBSTITUTE(SUBSTITUTE(TRIM($W1929),"-",""),".",""),"/","")," ",""),8),5,2),--MID(LEFT(SUBSTITUTE(SUBSTITUTE(SUBSTITUTE(SUBSTITUTE(TRIM($W1929),"-",""),".",""),"/","")," ",""),8),7,2)),"")))</f>
        <v/>
      </c>
      <c r="Y1929" s="32">
        <f>IF($X1929="","",INT($X1929))</f>
        <v/>
      </c>
      <c r="Z1929" s="33">
        <f>IF(OR($Y1929="",$D$6=""),"",IF(INDEX($A:$U,ROW(),$D$6)="",0,IF(ISNUMBER(INDEX($A:$U,ROW(),$D$6)),INDEX($A:$U,ROW(),$D$6),IFERROR(--SUBSTITUTE(SUBSTITUTE(TRIM(INDEX($A:$U,ROW(),$D$6)),",",""),"원",""),0))))</f>
        <v/>
      </c>
      <c r="AA1929" s="31">
        <f>IF($Y1929="","",TRIM(INDEX($A:$U,ROW(),$E$6)&amp;IF($F$6="",""," "&amp;INDEX($A:$U,ROW(),$F$6))))</f>
        <v/>
      </c>
      <c r="AB1929" s="31">
        <f>IF($AA1929="","",SUBSTITUTE(SUBSTITUTE(SUBSTITUTE(SUBSTITUTE(SUBSTITUTE(SUBSTITUTE(SUBSTITUTE(SUBSTITUTE(SUBSTITUTE($AA1929," ",""),"　",""),"(주)",""),"（주）",""),"㈜",""),"주식회사",""),"(유)",""),"（유）",""),"유한회사",""))</f>
        <v/>
      </c>
      <c r="AC1929" s="31">
        <f>IF(OR($Y1929="",N($Z1929)&lt;=0,$AB1929=""),0,IFERROR(LOOKUP(2,1/((거래처별!$AC$8:$AC$307&lt;&gt;"")*ISNUMBER(SEARCH(거래처별!$AC$8:$AC$307,$AB1929))),거래처별!$A$8:$A$307),IFERROR(LOOKUP(2,1/((거래처별!$AD$8:$AD$307&lt;&gt;"")*ISNUMBER(SEARCH(거래처별!$AD$8:$AD$307,$AB1929))),거래처별!$A$8:$A$307),IFERROR(LOOKUP(2,1/((거래처별!$AE$8:$AE$307&lt;&gt;"")*ISNUMBER(SEARCH(거래처별!$AE$8:$AE$307,$AB1929))),거래처별!$A$8:$A$307),0))))</f>
        <v/>
      </c>
      <c r="AD1929" s="31">
        <f>IF(AND($Y1929&lt;&gt;"",N($Z1929)&gt;0,$AC1929=0),MAX($AD$7:$AD1928)+1,"")</f>
        <v/>
      </c>
      <c r="AE1929" s="31">
        <f>IF($Y1929="",0,$Y1929)</f>
        <v/>
      </c>
    </row>
    <row r="1930">
      <c r="W1930" s="31">
        <f>IF(OR($B$5="",$C$6="",ROW()&lt;$B$5),"",IF(INDEX($A:$U,ROW(),$C$6)="","",INDEX($A:$U,ROW(),$C$6)))</f>
        <v/>
      </c>
      <c r="X1930" s="32">
        <f>IF($W1930="","",IF(ISNUMBER($W1930),IF($W1930&gt;=10000000,IFERROR(DATE(INT($W1930/10000),MOD(INT($W1930/100),100),MOD($W1930,100)),""),INT($W1930)),IFERROR(DATE(--LEFT(LEFT(SUBSTITUTE(SUBSTITUTE(SUBSTITUTE(SUBSTITUTE(TRIM($W1930),"-",""),".",""),"/","")," ",""),8),4),--MID(LEFT(SUBSTITUTE(SUBSTITUTE(SUBSTITUTE(SUBSTITUTE(TRIM($W1930),"-",""),".",""),"/","")," ",""),8),5,2),--MID(LEFT(SUBSTITUTE(SUBSTITUTE(SUBSTITUTE(SUBSTITUTE(TRIM($W1930),"-",""),".",""),"/","")," ",""),8),7,2)),"")))</f>
        <v/>
      </c>
      <c r="Y1930" s="32">
        <f>IF($X1930="","",INT($X1930))</f>
        <v/>
      </c>
      <c r="Z1930" s="33">
        <f>IF(OR($Y1930="",$D$6=""),"",IF(INDEX($A:$U,ROW(),$D$6)="",0,IF(ISNUMBER(INDEX($A:$U,ROW(),$D$6)),INDEX($A:$U,ROW(),$D$6),IFERROR(--SUBSTITUTE(SUBSTITUTE(TRIM(INDEX($A:$U,ROW(),$D$6)),",",""),"원",""),0))))</f>
        <v/>
      </c>
      <c r="AA1930" s="31">
        <f>IF($Y1930="","",TRIM(INDEX($A:$U,ROW(),$E$6)&amp;IF($F$6="",""," "&amp;INDEX($A:$U,ROW(),$F$6))))</f>
        <v/>
      </c>
      <c r="AB1930" s="31">
        <f>IF($AA1930="","",SUBSTITUTE(SUBSTITUTE(SUBSTITUTE(SUBSTITUTE(SUBSTITUTE(SUBSTITUTE(SUBSTITUTE(SUBSTITUTE(SUBSTITUTE($AA1930," ",""),"　",""),"(주)",""),"（주）",""),"㈜",""),"주식회사",""),"(유)",""),"（유）",""),"유한회사",""))</f>
        <v/>
      </c>
      <c r="AC1930" s="31">
        <f>IF(OR($Y1930="",N($Z1930)&lt;=0,$AB1930=""),0,IFERROR(LOOKUP(2,1/((거래처별!$AC$8:$AC$307&lt;&gt;"")*ISNUMBER(SEARCH(거래처별!$AC$8:$AC$307,$AB1930))),거래처별!$A$8:$A$307),IFERROR(LOOKUP(2,1/((거래처별!$AD$8:$AD$307&lt;&gt;"")*ISNUMBER(SEARCH(거래처별!$AD$8:$AD$307,$AB1930))),거래처별!$A$8:$A$307),IFERROR(LOOKUP(2,1/((거래처별!$AE$8:$AE$307&lt;&gt;"")*ISNUMBER(SEARCH(거래처별!$AE$8:$AE$307,$AB1930))),거래처별!$A$8:$A$307),0))))</f>
        <v/>
      </c>
      <c r="AD1930" s="31">
        <f>IF(AND($Y1930&lt;&gt;"",N($Z1930)&gt;0,$AC1930=0),MAX($AD$7:$AD1929)+1,"")</f>
        <v/>
      </c>
      <c r="AE1930" s="31">
        <f>IF($Y1930="",0,$Y1930)</f>
        <v/>
      </c>
    </row>
    <row r="1931">
      <c r="W1931" s="31">
        <f>IF(OR($B$5="",$C$6="",ROW()&lt;$B$5),"",IF(INDEX($A:$U,ROW(),$C$6)="","",INDEX($A:$U,ROW(),$C$6)))</f>
        <v/>
      </c>
      <c r="X1931" s="32">
        <f>IF($W1931="","",IF(ISNUMBER($W1931),IF($W1931&gt;=10000000,IFERROR(DATE(INT($W1931/10000),MOD(INT($W1931/100),100),MOD($W1931,100)),""),INT($W1931)),IFERROR(DATE(--LEFT(LEFT(SUBSTITUTE(SUBSTITUTE(SUBSTITUTE(SUBSTITUTE(TRIM($W1931),"-",""),".",""),"/","")," ",""),8),4),--MID(LEFT(SUBSTITUTE(SUBSTITUTE(SUBSTITUTE(SUBSTITUTE(TRIM($W1931),"-",""),".",""),"/","")," ",""),8),5,2),--MID(LEFT(SUBSTITUTE(SUBSTITUTE(SUBSTITUTE(SUBSTITUTE(TRIM($W1931),"-",""),".",""),"/","")," ",""),8),7,2)),"")))</f>
        <v/>
      </c>
      <c r="Y1931" s="32">
        <f>IF($X1931="","",INT($X1931))</f>
        <v/>
      </c>
      <c r="Z1931" s="33">
        <f>IF(OR($Y1931="",$D$6=""),"",IF(INDEX($A:$U,ROW(),$D$6)="",0,IF(ISNUMBER(INDEX($A:$U,ROW(),$D$6)),INDEX($A:$U,ROW(),$D$6),IFERROR(--SUBSTITUTE(SUBSTITUTE(TRIM(INDEX($A:$U,ROW(),$D$6)),",",""),"원",""),0))))</f>
        <v/>
      </c>
      <c r="AA1931" s="31">
        <f>IF($Y1931="","",TRIM(INDEX($A:$U,ROW(),$E$6)&amp;IF($F$6="",""," "&amp;INDEX($A:$U,ROW(),$F$6))))</f>
        <v/>
      </c>
      <c r="AB1931" s="31">
        <f>IF($AA1931="","",SUBSTITUTE(SUBSTITUTE(SUBSTITUTE(SUBSTITUTE(SUBSTITUTE(SUBSTITUTE(SUBSTITUTE(SUBSTITUTE(SUBSTITUTE($AA1931," ",""),"　",""),"(주)",""),"（주）",""),"㈜",""),"주식회사",""),"(유)",""),"（유）",""),"유한회사",""))</f>
        <v/>
      </c>
      <c r="AC1931" s="31">
        <f>IF(OR($Y1931="",N($Z1931)&lt;=0,$AB1931=""),0,IFERROR(LOOKUP(2,1/((거래처별!$AC$8:$AC$307&lt;&gt;"")*ISNUMBER(SEARCH(거래처별!$AC$8:$AC$307,$AB1931))),거래처별!$A$8:$A$307),IFERROR(LOOKUP(2,1/((거래처별!$AD$8:$AD$307&lt;&gt;"")*ISNUMBER(SEARCH(거래처별!$AD$8:$AD$307,$AB1931))),거래처별!$A$8:$A$307),IFERROR(LOOKUP(2,1/((거래처별!$AE$8:$AE$307&lt;&gt;"")*ISNUMBER(SEARCH(거래처별!$AE$8:$AE$307,$AB1931))),거래처별!$A$8:$A$307),0))))</f>
        <v/>
      </c>
      <c r="AD1931" s="31">
        <f>IF(AND($Y1931&lt;&gt;"",N($Z1931)&gt;0,$AC1931=0),MAX($AD$7:$AD1930)+1,"")</f>
        <v/>
      </c>
      <c r="AE1931" s="31">
        <f>IF($Y1931="",0,$Y1931)</f>
        <v/>
      </c>
    </row>
    <row r="1932">
      <c r="W1932" s="31">
        <f>IF(OR($B$5="",$C$6="",ROW()&lt;$B$5),"",IF(INDEX($A:$U,ROW(),$C$6)="","",INDEX($A:$U,ROW(),$C$6)))</f>
        <v/>
      </c>
      <c r="X1932" s="32">
        <f>IF($W1932="","",IF(ISNUMBER($W1932),IF($W1932&gt;=10000000,IFERROR(DATE(INT($W1932/10000),MOD(INT($W1932/100),100),MOD($W1932,100)),""),INT($W1932)),IFERROR(DATE(--LEFT(LEFT(SUBSTITUTE(SUBSTITUTE(SUBSTITUTE(SUBSTITUTE(TRIM($W1932),"-",""),".",""),"/","")," ",""),8),4),--MID(LEFT(SUBSTITUTE(SUBSTITUTE(SUBSTITUTE(SUBSTITUTE(TRIM($W1932),"-",""),".",""),"/","")," ",""),8),5,2),--MID(LEFT(SUBSTITUTE(SUBSTITUTE(SUBSTITUTE(SUBSTITUTE(TRIM($W1932),"-",""),".",""),"/","")," ",""),8),7,2)),"")))</f>
        <v/>
      </c>
      <c r="Y1932" s="32">
        <f>IF($X1932="","",INT($X1932))</f>
        <v/>
      </c>
      <c r="Z1932" s="33">
        <f>IF(OR($Y1932="",$D$6=""),"",IF(INDEX($A:$U,ROW(),$D$6)="",0,IF(ISNUMBER(INDEX($A:$U,ROW(),$D$6)),INDEX($A:$U,ROW(),$D$6),IFERROR(--SUBSTITUTE(SUBSTITUTE(TRIM(INDEX($A:$U,ROW(),$D$6)),",",""),"원",""),0))))</f>
        <v/>
      </c>
      <c r="AA1932" s="31">
        <f>IF($Y1932="","",TRIM(INDEX($A:$U,ROW(),$E$6)&amp;IF($F$6="",""," "&amp;INDEX($A:$U,ROW(),$F$6))))</f>
        <v/>
      </c>
      <c r="AB1932" s="31">
        <f>IF($AA1932="","",SUBSTITUTE(SUBSTITUTE(SUBSTITUTE(SUBSTITUTE(SUBSTITUTE(SUBSTITUTE(SUBSTITUTE(SUBSTITUTE(SUBSTITUTE($AA1932," ",""),"　",""),"(주)",""),"（주）",""),"㈜",""),"주식회사",""),"(유)",""),"（유）",""),"유한회사",""))</f>
        <v/>
      </c>
      <c r="AC1932" s="31">
        <f>IF(OR($Y1932="",N($Z1932)&lt;=0,$AB1932=""),0,IFERROR(LOOKUP(2,1/((거래처별!$AC$8:$AC$307&lt;&gt;"")*ISNUMBER(SEARCH(거래처별!$AC$8:$AC$307,$AB1932))),거래처별!$A$8:$A$307),IFERROR(LOOKUP(2,1/((거래처별!$AD$8:$AD$307&lt;&gt;"")*ISNUMBER(SEARCH(거래처별!$AD$8:$AD$307,$AB1932))),거래처별!$A$8:$A$307),IFERROR(LOOKUP(2,1/((거래처별!$AE$8:$AE$307&lt;&gt;"")*ISNUMBER(SEARCH(거래처별!$AE$8:$AE$307,$AB1932))),거래처별!$A$8:$A$307),0))))</f>
        <v/>
      </c>
      <c r="AD1932" s="31">
        <f>IF(AND($Y1932&lt;&gt;"",N($Z1932)&gt;0,$AC1932=0),MAX($AD$7:$AD1931)+1,"")</f>
        <v/>
      </c>
      <c r="AE1932" s="31">
        <f>IF($Y1932="",0,$Y1932)</f>
        <v/>
      </c>
    </row>
    <row r="1933">
      <c r="W1933" s="31">
        <f>IF(OR($B$5="",$C$6="",ROW()&lt;$B$5),"",IF(INDEX($A:$U,ROW(),$C$6)="","",INDEX($A:$U,ROW(),$C$6)))</f>
        <v/>
      </c>
      <c r="X1933" s="32">
        <f>IF($W1933="","",IF(ISNUMBER($W1933),IF($W1933&gt;=10000000,IFERROR(DATE(INT($W1933/10000),MOD(INT($W1933/100),100),MOD($W1933,100)),""),INT($W1933)),IFERROR(DATE(--LEFT(LEFT(SUBSTITUTE(SUBSTITUTE(SUBSTITUTE(SUBSTITUTE(TRIM($W1933),"-",""),".",""),"/","")," ",""),8),4),--MID(LEFT(SUBSTITUTE(SUBSTITUTE(SUBSTITUTE(SUBSTITUTE(TRIM($W1933),"-",""),".",""),"/","")," ",""),8),5,2),--MID(LEFT(SUBSTITUTE(SUBSTITUTE(SUBSTITUTE(SUBSTITUTE(TRIM($W1933),"-",""),".",""),"/","")," ",""),8),7,2)),"")))</f>
        <v/>
      </c>
      <c r="Y1933" s="32">
        <f>IF($X1933="","",INT($X1933))</f>
        <v/>
      </c>
      <c r="Z1933" s="33">
        <f>IF(OR($Y1933="",$D$6=""),"",IF(INDEX($A:$U,ROW(),$D$6)="",0,IF(ISNUMBER(INDEX($A:$U,ROW(),$D$6)),INDEX($A:$U,ROW(),$D$6),IFERROR(--SUBSTITUTE(SUBSTITUTE(TRIM(INDEX($A:$U,ROW(),$D$6)),",",""),"원",""),0))))</f>
        <v/>
      </c>
      <c r="AA1933" s="31">
        <f>IF($Y1933="","",TRIM(INDEX($A:$U,ROW(),$E$6)&amp;IF($F$6="",""," "&amp;INDEX($A:$U,ROW(),$F$6))))</f>
        <v/>
      </c>
      <c r="AB1933" s="31">
        <f>IF($AA1933="","",SUBSTITUTE(SUBSTITUTE(SUBSTITUTE(SUBSTITUTE(SUBSTITUTE(SUBSTITUTE(SUBSTITUTE(SUBSTITUTE(SUBSTITUTE($AA1933," ",""),"　",""),"(주)",""),"（주）",""),"㈜",""),"주식회사",""),"(유)",""),"（유）",""),"유한회사",""))</f>
        <v/>
      </c>
      <c r="AC1933" s="31">
        <f>IF(OR($Y1933="",N($Z1933)&lt;=0,$AB1933=""),0,IFERROR(LOOKUP(2,1/((거래처별!$AC$8:$AC$307&lt;&gt;"")*ISNUMBER(SEARCH(거래처별!$AC$8:$AC$307,$AB1933))),거래처별!$A$8:$A$307),IFERROR(LOOKUP(2,1/((거래처별!$AD$8:$AD$307&lt;&gt;"")*ISNUMBER(SEARCH(거래처별!$AD$8:$AD$307,$AB1933))),거래처별!$A$8:$A$307),IFERROR(LOOKUP(2,1/((거래처별!$AE$8:$AE$307&lt;&gt;"")*ISNUMBER(SEARCH(거래처별!$AE$8:$AE$307,$AB1933))),거래처별!$A$8:$A$307),0))))</f>
        <v/>
      </c>
      <c r="AD1933" s="31">
        <f>IF(AND($Y1933&lt;&gt;"",N($Z1933)&gt;0,$AC1933=0),MAX($AD$7:$AD1932)+1,"")</f>
        <v/>
      </c>
      <c r="AE1933" s="31">
        <f>IF($Y1933="",0,$Y1933)</f>
        <v/>
      </c>
    </row>
    <row r="1934">
      <c r="W1934" s="31">
        <f>IF(OR($B$5="",$C$6="",ROW()&lt;$B$5),"",IF(INDEX($A:$U,ROW(),$C$6)="","",INDEX($A:$U,ROW(),$C$6)))</f>
        <v/>
      </c>
      <c r="X1934" s="32">
        <f>IF($W1934="","",IF(ISNUMBER($W1934),IF($W1934&gt;=10000000,IFERROR(DATE(INT($W1934/10000),MOD(INT($W1934/100),100),MOD($W1934,100)),""),INT($W1934)),IFERROR(DATE(--LEFT(LEFT(SUBSTITUTE(SUBSTITUTE(SUBSTITUTE(SUBSTITUTE(TRIM($W1934),"-",""),".",""),"/","")," ",""),8),4),--MID(LEFT(SUBSTITUTE(SUBSTITUTE(SUBSTITUTE(SUBSTITUTE(TRIM($W1934),"-",""),".",""),"/","")," ",""),8),5,2),--MID(LEFT(SUBSTITUTE(SUBSTITUTE(SUBSTITUTE(SUBSTITUTE(TRIM($W1934),"-",""),".",""),"/","")," ",""),8),7,2)),"")))</f>
        <v/>
      </c>
      <c r="Y1934" s="32">
        <f>IF($X1934="","",INT($X1934))</f>
        <v/>
      </c>
      <c r="Z1934" s="33">
        <f>IF(OR($Y1934="",$D$6=""),"",IF(INDEX($A:$U,ROW(),$D$6)="",0,IF(ISNUMBER(INDEX($A:$U,ROW(),$D$6)),INDEX($A:$U,ROW(),$D$6),IFERROR(--SUBSTITUTE(SUBSTITUTE(TRIM(INDEX($A:$U,ROW(),$D$6)),",",""),"원",""),0))))</f>
        <v/>
      </c>
      <c r="AA1934" s="31">
        <f>IF($Y1934="","",TRIM(INDEX($A:$U,ROW(),$E$6)&amp;IF($F$6="",""," "&amp;INDEX($A:$U,ROW(),$F$6))))</f>
        <v/>
      </c>
      <c r="AB1934" s="31">
        <f>IF($AA1934="","",SUBSTITUTE(SUBSTITUTE(SUBSTITUTE(SUBSTITUTE(SUBSTITUTE(SUBSTITUTE(SUBSTITUTE(SUBSTITUTE(SUBSTITUTE($AA1934," ",""),"　",""),"(주)",""),"（주）",""),"㈜",""),"주식회사",""),"(유)",""),"（유）",""),"유한회사",""))</f>
        <v/>
      </c>
      <c r="AC1934" s="31">
        <f>IF(OR($Y1934="",N($Z1934)&lt;=0,$AB1934=""),0,IFERROR(LOOKUP(2,1/((거래처별!$AC$8:$AC$307&lt;&gt;"")*ISNUMBER(SEARCH(거래처별!$AC$8:$AC$307,$AB1934))),거래처별!$A$8:$A$307),IFERROR(LOOKUP(2,1/((거래처별!$AD$8:$AD$307&lt;&gt;"")*ISNUMBER(SEARCH(거래처별!$AD$8:$AD$307,$AB1934))),거래처별!$A$8:$A$307),IFERROR(LOOKUP(2,1/((거래처별!$AE$8:$AE$307&lt;&gt;"")*ISNUMBER(SEARCH(거래처별!$AE$8:$AE$307,$AB1934))),거래처별!$A$8:$A$307),0))))</f>
        <v/>
      </c>
      <c r="AD1934" s="31">
        <f>IF(AND($Y1934&lt;&gt;"",N($Z1934)&gt;0,$AC1934=0),MAX($AD$7:$AD1933)+1,"")</f>
        <v/>
      </c>
      <c r="AE1934" s="31">
        <f>IF($Y1934="",0,$Y1934)</f>
        <v/>
      </c>
    </row>
    <row r="1935">
      <c r="W1935" s="31">
        <f>IF(OR($B$5="",$C$6="",ROW()&lt;$B$5),"",IF(INDEX($A:$U,ROW(),$C$6)="","",INDEX($A:$U,ROW(),$C$6)))</f>
        <v/>
      </c>
      <c r="X1935" s="32">
        <f>IF($W1935="","",IF(ISNUMBER($W1935),IF($W1935&gt;=10000000,IFERROR(DATE(INT($W1935/10000),MOD(INT($W1935/100),100),MOD($W1935,100)),""),INT($W1935)),IFERROR(DATE(--LEFT(LEFT(SUBSTITUTE(SUBSTITUTE(SUBSTITUTE(SUBSTITUTE(TRIM($W1935),"-",""),".",""),"/","")," ",""),8),4),--MID(LEFT(SUBSTITUTE(SUBSTITUTE(SUBSTITUTE(SUBSTITUTE(TRIM($W1935),"-",""),".",""),"/","")," ",""),8),5,2),--MID(LEFT(SUBSTITUTE(SUBSTITUTE(SUBSTITUTE(SUBSTITUTE(TRIM($W1935),"-",""),".",""),"/","")," ",""),8),7,2)),"")))</f>
        <v/>
      </c>
      <c r="Y1935" s="32">
        <f>IF($X1935="","",INT($X1935))</f>
        <v/>
      </c>
      <c r="Z1935" s="33">
        <f>IF(OR($Y1935="",$D$6=""),"",IF(INDEX($A:$U,ROW(),$D$6)="",0,IF(ISNUMBER(INDEX($A:$U,ROW(),$D$6)),INDEX($A:$U,ROW(),$D$6),IFERROR(--SUBSTITUTE(SUBSTITUTE(TRIM(INDEX($A:$U,ROW(),$D$6)),",",""),"원",""),0))))</f>
        <v/>
      </c>
      <c r="AA1935" s="31">
        <f>IF($Y1935="","",TRIM(INDEX($A:$U,ROW(),$E$6)&amp;IF($F$6="",""," "&amp;INDEX($A:$U,ROW(),$F$6))))</f>
        <v/>
      </c>
      <c r="AB1935" s="31">
        <f>IF($AA1935="","",SUBSTITUTE(SUBSTITUTE(SUBSTITUTE(SUBSTITUTE(SUBSTITUTE(SUBSTITUTE(SUBSTITUTE(SUBSTITUTE(SUBSTITUTE($AA1935," ",""),"　",""),"(주)",""),"（주）",""),"㈜",""),"주식회사",""),"(유)",""),"（유）",""),"유한회사",""))</f>
        <v/>
      </c>
      <c r="AC1935" s="31">
        <f>IF(OR($Y1935="",N($Z1935)&lt;=0,$AB1935=""),0,IFERROR(LOOKUP(2,1/((거래처별!$AC$8:$AC$307&lt;&gt;"")*ISNUMBER(SEARCH(거래처별!$AC$8:$AC$307,$AB1935))),거래처별!$A$8:$A$307),IFERROR(LOOKUP(2,1/((거래처별!$AD$8:$AD$307&lt;&gt;"")*ISNUMBER(SEARCH(거래처별!$AD$8:$AD$307,$AB1935))),거래처별!$A$8:$A$307),IFERROR(LOOKUP(2,1/((거래처별!$AE$8:$AE$307&lt;&gt;"")*ISNUMBER(SEARCH(거래처별!$AE$8:$AE$307,$AB1935))),거래처별!$A$8:$A$307),0))))</f>
        <v/>
      </c>
      <c r="AD1935" s="31">
        <f>IF(AND($Y1935&lt;&gt;"",N($Z1935)&gt;0,$AC1935=0),MAX($AD$7:$AD1934)+1,"")</f>
        <v/>
      </c>
      <c r="AE1935" s="31">
        <f>IF($Y1935="",0,$Y1935)</f>
        <v/>
      </c>
    </row>
    <row r="1936">
      <c r="W1936" s="31">
        <f>IF(OR($B$5="",$C$6="",ROW()&lt;$B$5),"",IF(INDEX($A:$U,ROW(),$C$6)="","",INDEX($A:$U,ROW(),$C$6)))</f>
        <v/>
      </c>
      <c r="X1936" s="32">
        <f>IF($W1936="","",IF(ISNUMBER($W1936),IF($W1936&gt;=10000000,IFERROR(DATE(INT($W1936/10000),MOD(INT($W1936/100),100),MOD($W1936,100)),""),INT($W1936)),IFERROR(DATE(--LEFT(LEFT(SUBSTITUTE(SUBSTITUTE(SUBSTITUTE(SUBSTITUTE(TRIM($W1936),"-",""),".",""),"/","")," ",""),8),4),--MID(LEFT(SUBSTITUTE(SUBSTITUTE(SUBSTITUTE(SUBSTITUTE(TRIM($W1936),"-",""),".",""),"/","")," ",""),8),5,2),--MID(LEFT(SUBSTITUTE(SUBSTITUTE(SUBSTITUTE(SUBSTITUTE(TRIM($W1936),"-",""),".",""),"/","")," ",""),8),7,2)),"")))</f>
        <v/>
      </c>
      <c r="Y1936" s="32">
        <f>IF($X1936="","",INT($X1936))</f>
        <v/>
      </c>
      <c r="Z1936" s="33">
        <f>IF(OR($Y1936="",$D$6=""),"",IF(INDEX($A:$U,ROW(),$D$6)="",0,IF(ISNUMBER(INDEX($A:$U,ROW(),$D$6)),INDEX($A:$U,ROW(),$D$6),IFERROR(--SUBSTITUTE(SUBSTITUTE(TRIM(INDEX($A:$U,ROW(),$D$6)),",",""),"원",""),0))))</f>
        <v/>
      </c>
      <c r="AA1936" s="31">
        <f>IF($Y1936="","",TRIM(INDEX($A:$U,ROW(),$E$6)&amp;IF($F$6="",""," "&amp;INDEX($A:$U,ROW(),$F$6))))</f>
        <v/>
      </c>
      <c r="AB1936" s="31">
        <f>IF($AA1936="","",SUBSTITUTE(SUBSTITUTE(SUBSTITUTE(SUBSTITUTE(SUBSTITUTE(SUBSTITUTE(SUBSTITUTE(SUBSTITUTE(SUBSTITUTE($AA1936," ",""),"　",""),"(주)",""),"（주）",""),"㈜",""),"주식회사",""),"(유)",""),"（유）",""),"유한회사",""))</f>
        <v/>
      </c>
      <c r="AC1936" s="31">
        <f>IF(OR($Y1936="",N($Z1936)&lt;=0,$AB1936=""),0,IFERROR(LOOKUP(2,1/((거래처별!$AC$8:$AC$307&lt;&gt;"")*ISNUMBER(SEARCH(거래처별!$AC$8:$AC$307,$AB1936))),거래처별!$A$8:$A$307),IFERROR(LOOKUP(2,1/((거래처별!$AD$8:$AD$307&lt;&gt;"")*ISNUMBER(SEARCH(거래처별!$AD$8:$AD$307,$AB1936))),거래처별!$A$8:$A$307),IFERROR(LOOKUP(2,1/((거래처별!$AE$8:$AE$307&lt;&gt;"")*ISNUMBER(SEARCH(거래처별!$AE$8:$AE$307,$AB1936))),거래처별!$A$8:$A$307),0))))</f>
        <v/>
      </c>
      <c r="AD1936" s="31">
        <f>IF(AND($Y1936&lt;&gt;"",N($Z1936)&gt;0,$AC1936=0),MAX($AD$7:$AD1935)+1,"")</f>
        <v/>
      </c>
      <c r="AE1936" s="31">
        <f>IF($Y1936="",0,$Y1936)</f>
        <v/>
      </c>
    </row>
    <row r="1937">
      <c r="W1937" s="31">
        <f>IF(OR($B$5="",$C$6="",ROW()&lt;$B$5),"",IF(INDEX($A:$U,ROW(),$C$6)="","",INDEX($A:$U,ROW(),$C$6)))</f>
        <v/>
      </c>
      <c r="X1937" s="32">
        <f>IF($W1937="","",IF(ISNUMBER($W1937),IF($W1937&gt;=10000000,IFERROR(DATE(INT($W1937/10000),MOD(INT($W1937/100),100),MOD($W1937,100)),""),INT($W1937)),IFERROR(DATE(--LEFT(LEFT(SUBSTITUTE(SUBSTITUTE(SUBSTITUTE(SUBSTITUTE(TRIM($W1937),"-",""),".",""),"/","")," ",""),8),4),--MID(LEFT(SUBSTITUTE(SUBSTITUTE(SUBSTITUTE(SUBSTITUTE(TRIM($W1937),"-",""),".",""),"/","")," ",""),8),5,2),--MID(LEFT(SUBSTITUTE(SUBSTITUTE(SUBSTITUTE(SUBSTITUTE(TRIM($W1937),"-",""),".",""),"/","")," ",""),8),7,2)),"")))</f>
        <v/>
      </c>
      <c r="Y1937" s="32">
        <f>IF($X1937="","",INT($X1937))</f>
        <v/>
      </c>
      <c r="Z1937" s="33">
        <f>IF(OR($Y1937="",$D$6=""),"",IF(INDEX($A:$U,ROW(),$D$6)="",0,IF(ISNUMBER(INDEX($A:$U,ROW(),$D$6)),INDEX($A:$U,ROW(),$D$6),IFERROR(--SUBSTITUTE(SUBSTITUTE(TRIM(INDEX($A:$U,ROW(),$D$6)),",",""),"원",""),0))))</f>
        <v/>
      </c>
      <c r="AA1937" s="31">
        <f>IF($Y1937="","",TRIM(INDEX($A:$U,ROW(),$E$6)&amp;IF($F$6="",""," "&amp;INDEX($A:$U,ROW(),$F$6))))</f>
        <v/>
      </c>
      <c r="AB1937" s="31">
        <f>IF($AA1937="","",SUBSTITUTE(SUBSTITUTE(SUBSTITUTE(SUBSTITUTE(SUBSTITUTE(SUBSTITUTE(SUBSTITUTE(SUBSTITUTE(SUBSTITUTE($AA1937," ",""),"　",""),"(주)",""),"（주）",""),"㈜",""),"주식회사",""),"(유)",""),"（유）",""),"유한회사",""))</f>
        <v/>
      </c>
      <c r="AC1937" s="31">
        <f>IF(OR($Y1937="",N($Z1937)&lt;=0,$AB1937=""),0,IFERROR(LOOKUP(2,1/((거래처별!$AC$8:$AC$307&lt;&gt;"")*ISNUMBER(SEARCH(거래처별!$AC$8:$AC$307,$AB1937))),거래처별!$A$8:$A$307),IFERROR(LOOKUP(2,1/((거래처별!$AD$8:$AD$307&lt;&gt;"")*ISNUMBER(SEARCH(거래처별!$AD$8:$AD$307,$AB1937))),거래처별!$A$8:$A$307),IFERROR(LOOKUP(2,1/((거래처별!$AE$8:$AE$307&lt;&gt;"")*ISNUMBER(SEARCH(거래처별!$AE$8:$AE$307,$AB1937))),거래처별!$A$8:$A$307),0))))</f>
        <v/>
      </c>
      <c r="AD1937" s="31">
        <f>IF(AND($Y1937&lt;&gt;"",N($Z1937)&gt;0,$AC1937=0),MAX($AD$7:$AD1936)+1,"")</f>
        <v/>
      </c>
      <c r="AE1937" s="31">
        <f>IF($Y1937="",0,$Y1937)</f>
        <v/>
      </c>
    </row>
    <row r="1938">
      <c r="W1938" s="31">
        <f>IF(OR($B$5="",$C$6="",ROW()&lt;$B$5),"",IF(INDEX($A:$U,ROW(),$C$6)="","",INDEX($A:$U,ROW(),$C$6)))</f>
        <v/>
      </c>
      <c r="X1938" s="32">
        <f>IF($W1938="","",IF(ISNUMBER($W1938),IF($W1938&gt;=10000000,IFERROR(DATE(INT($W1938/10000),MOD(INT($W1938/100),100),MOD($W1938,100)),""),INT($W1938)),IFERROR(DATE(--LEFT(LEFT(SUBSTITUTE(SUBSTITUTE(SUBSTITUTE(SUBSTITUTE(TRIM($W1938),"-",""),".",""),"/","")," ",""),8),4),--MID(LEFT(SUBSTITUTE(SUBSTITUTE(SUBSTITUTE(SUBSTITUTE(TRIM($W1938),"-",""),".",""),"/","")," ",""),8),5,2),--MID(LEFT(SUBSTITUTE(SUBSTITUTE(SUBSTITUTE(SUBSTITUTE(TRIM($W1938),"-",""),".",""),"/","")," ",""),8),7,2)),"")))</f>
        <v/>
      </c>
      <c r="Y1938" s="32">
        <f>IF($X1938="","",INT($X1938))</f>
        <v/>
      </c>
      <c r="Z1938" s="33">
        <f>IF(OR($Y1938="",$D$6=""),"",IF(INDEX($A:$U,ROW(),$D$6)="",0,IF(ISNUMBER(INDEX($A:$U,ROW(),$D$6)),INDEX($A:$U,ROW(),$D$6),IFERROR(--SUBSTITUTE(SUBSTITUTE(TRIM(INDEX($A:$U,ROW(),$D$6)),",",""),"원",""),0))))</f>
        <v/>
      </c>
      <c r="AA1938" s="31">
        <f>IF($Y1938="","",TRIM(INDEX($A:$U,ROW(),$E$6)&amp;IF($F$6="",""," "&amp;INDEX($A:$U,ROW(),$F$6))))</f>
        <v/>
      </c>
      <c r="AB1938" s="31">
        <f>IF($AA1938="","",SUBSTITUTE(SUBSTITUTE(SUBSTITUTE(SUBSTITUTE(SUBSTITUTE(SUBSTITUTE(SUBSTITUTE(SUBSTITUTE(SUBSTITUTE($AA1938," ",""),"　",""),"(주)",""),"（주）",""),"㈜",""),"주식회사",""),"(유)",""),"（유）",""),"유한회사",""))</f>
        <v/>
      </c>
      <c r="AC1938" s="31">
        <f>IF(OR($Y1938="",N($Z1938)&lt;=0,$AB1938=""),0,IFERROR(LOOKUP(2,1/((거래처별!$AC$8:$AC$307&lt;&gt;"")*ISNUMBER(SEARCH(거래처별!$AC$8:$AC$307,$AB1938))),거래처별!$A$8:$A$307),IFERROR(LOOKUP(2,1/((거래처별!$AD$8:$AD$307&lt;&gt;"")*ISNUMBER(SEARCH(거래처별!$AD$8:$AD$307,$AB1938))),거래처별!$A$8:$A$307),IFERROR(LOOKUP(2,1/((거래처별!$AE$8:$AE$307&lt;&gt;"")*ISNUMBER(SEARCH(거래처별!$AE$8:$AE$307,$AB1938))),거래처별!$A$8:$A$307),0))))</f>
        <v/>
      </c>
      <c r="AD1938" s="31">
        <f>IF(AND($Y1938&lt;&gt;"",N($Z1938)&gt;0,$AC1938=0),MAX($AD$7:$AD1937)+1,"")</f>
        <v/>
      </c>
      <c r="AE1938" s="31">
        <f>IF($Y1938="",0,$Y1938)</f>
        <v/>
      </c>
    </row>
    <row r="1939">
      <c r="W1939" s="31">
        <f>IF(OR($B$5="",$C$6="",ROW()&lt;$B$5),"",IF(INDEX($A:$U,ROW(),$C$6)="","",INDEX($A:$U,ROW(),$C$6)))</f>
        <v/>
      </c>
      <c r="X1939" s="32">
        <f>IF($W1939="","",IF(ISNUMBER($W1939),IF($W1939&gt;=10000000,IFERROR(DATE(INT($W1939/10000),MOD(INT($W1939/100),100),MOD($W1939,100)),""),INT($W1939)),IFERROR(DATE(--LEFT(LEFT(SUBSTITUTE(SUBSTITUTE(SUBSTITUTE(SUBSTITUTE(TRIM($W1939),"-",""),".",""),"/","")," ",""),8),4),--MID(LEFT(SUBSTITUTE(SUBSTITUTE(SUBSTITUTE(SUBSTITUTE(TRIM($W1939),"-",""),".",""),"/","")," ",""),8),5,2),--MID(LEFT(SUBSTITUTE(SUBSTITUTE(SUBSTITUTE(SUBSTITUTE(TRIM($W1939),"-",""),".",""),"/","")," ",""),8),7,2)),"")))</f>
        <v/>
      </c>
      <c r="Y1939" s="32">
        <f>IF($X1939="","",INT($X1939))</f>
        <v/>
      </c>
      <c r="Z1939" s="33">
        <f>IF(OR($Y1939="",$D$6=""),"",IF(INDEX($A:$U,ROW(),$D$6)="",0,IF(ISNUMBER(INDEX($A:$U,ROW(),$D$6)),INDEX($A:$U,ROW(),$D$6),IFERROR(--SUBSTITUTE(SUBSTITUTE(TRIM(INDEX($A:$U,ROW(),$D$6)),",",""),"원",""),0))))</f>
        <v/>
      </c>
      <c r="AA1939" s="31">
        <f>IF($Y1939="","",TRIM(INDEX($A:$U,ROW(),$E$6)&amp;IF($F$6="",""," "&amp;INDEX($A:$U,ROW(),$F$6))))</f>
        <v/>
      </c>
      <c r="AB1939" s="31">
        <f>IF($AA1939="","",SUBSTITUTE(SUBSTITUTE(SUBSTITUTE(SUBSTITUTE(SUBSTITUTE(SUBSTITUTE(SUBSTITUTE(SUBSTITUTE(SUBSTITUTE($AA1939," ",""),"　",""),"(주)",""),"（주）",""),"㈜",""),"주식회사",""),"(유)",""),"（유）",""),"유한회사",""))</f>
        <v/>
      </c>
      <c r="AC1939" s="31">
        <f>IF(OR($Y1939="",N($Z1939)&lt;=0,$AB1939=""),0,IFERROR(LOOKUP(2,1/((거래처별!$AC$8:$AC$307&lt;&gt;"")*ISNUMBER(SEARCH(거래처별!$AC$8:$AC$307,$AB1939))),거래처별!$A$8:$A$307),IFERROR(LOOKUP(2,1/((거래처별!$AD$8:$AD$307&lt;&gt;"")*ISNUMBER(SEARCH(거래처별!$AD$8:$AD$307,$AB1939))),거래처별!$A$8:$A$307),IFERROR(LOOKUP(2,1/((거래처별!$AE$8:$AE$307&lt;&gt;"")*ISNUMBER(SEARCH(거래처별!$AE$8:$AE$307,$AB1939))),거래처별!$A$8:$A$307),0))))</f>
        <v/>
      </c>
      <c r="AD1939" s="31">
        <f>IF(AND($Y1939&lt;&gt;"",N($Z1939)&gt;0,$AC1939=0),MAX($AD$7:$AD1938)+1,"")</f>
        <v/>
      </c>
      <c r="AE1939" s="31">
        <f>IF($Y1939="",0,$Y1939)</f>
        <v/>
      </c>
    </row>
    <row r="1940">
      <c r="W1940" s="31">
        <f>IF(OR($B$5="",$C$6="",ROW()&lt;$B$5),"",IF(INDEX($A:$U,ROW(),$C$6)="","",INDEX($A:$U,ROW(),$C$6)))</f>
        <v/>
      </c>
      <c r="X1940" s="32">
        <f>IF($W1940="","",IF(ISNUMBER($W1940),IF($W1940&gt;=10000000,IFERROR(DATE(INT($W1940/10000),MOD(INT($W1940/100),100),MOD($W1940,100)),""),INT($W1940)),IFERROR(DATE(--LEFT(LEFT(SUBSTITUTE(SUBSTITUTE(SUBSTITUTE(SUBSTITUTE(TRIM($W1940),"-",""),".",""),"/","")," ",""),8),4),--MID(LEFT(SUBSTITUTE(SUBSTITUTE(SUBSTITUTE(SUBSTITUTE(TRIM($W1940),"-",""),".",""),"/","")," ",""),8),5,2),--MID(LEFT(SUBSTITUTE(SUBSTITUTE(SUBSTITUTE(SUBSTITUTE(TRIM($W1940),"-",""),".",""),"/","")," ",""),8),7,2)),"")))</f>
        <v/>
      </c>
      <c r="Y1940" s="32">
        <f>IF($X1940="","",INT($X1940))</f>
        <v/>
      </c>
      <c r="Z1940" s="33">
        <f>IF(OR($Y1940="",$D$6=""),"",IF(INDEX($A:$U,ROW(),$D$6)="",0,IF(ISNUMBER(INDEX($A:$U,ROW(),$D$6)),INDEX($A:$U,ROW(),$D$6),IFERROR(--SUBSTITUTE(SUBSTITUTE(TRIM(INDEX($A:$U,ROW(),$D$6)),",",""),"원",""),0))))</f>
        <v/>
      </c>
      <c r="AA1940" s="31">
        <f>IF($Y1940="","",TRIM(INDEX($A:$U,ROW(),$E$6)&amp;IF($F$6="",""," "&amp;INDEX($A:$U,ROW(),$F$6))))</f>
        <v/>
      </c>
      <c r="AB1940" s="31">
        <f>IF($AA1940="","",SUBSTITUTE(SUBSTITUTE(SUBSTITUTE(SUBSTITUTE(SUBSTITUTE(SUBSTITUTE(SUBSTITUTE(SUBSTITUTE(SUBSTITUTE($AA1940," ",""),"　",""),"(주)",""),"（주）",""),"㈜",""),"주식회사",""),"(유)",""),"（유）",""),"유한회사",""))</f>
        <v/>
      </c>
      <c r="AC1940" s="31">
        <f>IF(OR($Y1940="",N($Z1940)&lt;=0,$AB1940=""),0,IFERROR(LOOKUP(2,1/((거래처별!$AC$8:$AC$307&lt;&gt;"")*ISNUMBER(SEARCH(거래처별!$AC$8:$AC$307,$AB1940))),거래처별!$A$8:$A$307),IFERROR(LOOKUP(2,1/((거래처별!$AD$8:$AD$307&lt;&gt;"")*ISNUMBER(SEARCH(거래처별!$AD$8:$AD$307,$AB1940))),거래처별!$A$8:$A$307),IFERROR(LOOKUP(2,1/((거래처별!$AE$8:$AE$307&lt;&gt;"")*ISNUMBER(SEARCH(거래처별!$AE$8:$AE$307,$AB1940))),거래처별!$A$8:$A$307),0))))</f>
        <v/>
      </c>
      <c r="AD1940" s="31">
        <f>IF(AND($Y1940&lt;&gt;"",N($Z1940)&gt;0,$AC1940=0),MAX($AD$7:$AD1939)+1,"")</f>
        <v/>
      </c>
      <c r="AE1940" s="31">
        <f>IF($Y1940="",0,$Y1940)</f>
        <v/>
      </c>
    </row>
    <row r="1941">
      <c r="W1941" s="31">
        <f>IF(OR($B$5="",$C$6="",ROW()&lt;$B$5),"",IF(INDEX($A:$U,ROW(),$C$6)="","",INDEX($A:$U,ROW(),$C$6)))</f>
        <v/>
      </c>
      <c r="X1941" s="32">
        <f>IF($W1941="","",IF(ISNUMBER($W1941),IF($W1941&gt;=10000000,IFERROR(DATE(INT($W1941/10000),MOD(INT($W1941/100),100),MOD($W1941,100)),""),INT($W1941)),IFERROR(DATE(--LEFT(LEFT(SUBSTITUTE(SUBSTITUTE(SUBSTITUTE(SUBSTITUTE(TRIM($W1941),"-",""),".",""),"/","")," ",""),8),4),--MID(LEFT(SUBSTITUTE(SUBSTITUTE(SUBSTITUTE(SUBSTITUTE(TRIM($W1941),"-",""),".",""),"/","")," ",""),8),5,2),--MID(LEFT(SUBSTITUTE(SUBSTITUTE(SUBSTITUTE(SUBSTITUTE(TRIM($W1941),"-",""),".",""),"/","")," ",""),8),7,2)),"")))</f>
        <v/>
      </c>
      <c r="Y1941" s="32">
        <f>IF($X1941="","",INT($X1941))</f>
        <v/>
      </c>
      <c r="Z1941" s="33">
        <f>IF(OR($Y1941="",$D$6=""),"",IF(INDEX($A:$U,ROW(),$D$6)="",0,IF(ISNUMBER(INDEX($A:$U,ROW(),$D$6)),INDEX($A:$U,ROW(),$D$6),IFERROR(--SUBSTITUTE(SUBSTITUTE(TRIM(INDEX($A:$U,ROW(),$D$6)),",",""),"원",""),0))))</f>
        <v/>
      </c>
      <c r="AA1941" s="31">
        <f>IF($Y1941="","",TRIM(INDEX($A:$U,ROW(),$E$6)&amp;IF($F$6="",""," "&amp;INDEX($A:$U,ROW(),$F$6))))</f>
        <v/>
      </c>
      <c r="AB1941" s="31">
        <f>IF($AA1941="","",SUBSTITUTE(SUBSTITUTE(SUBSTITUTE(SUBSTITUTE(SUBSTITUTE(SUBSTITUTE(SUBSTITUTE(SUBSTITUTE(SUBSTITUTE($AA1941," ",""),"　",""),"(주)",""),"（주）",""),"㈜",""),"주식회사",""),"(유)",""),"（유）",""),"유한회사",""))</f>
        <v/>
      </c>
      <c r="AC1941" s="31">
        <f>IF(OR($Y1941="",N($Z1941)&lt;=0,$AB1941=""),0,IFERROR(LOOKUP(2,1/((거래처별!$AC$8:$AC$307&lt;&gt;"")*ISNUMBER(SEARCH(거래처별!$AC$8:$AC$307,$AB1941))),거래처별!$A$8:$A$307),IFERROR(LOOKUP(2,1/((거래처별!$AD$8:$AD$307&lt;&gt;"")*ISNUMBER(SEARCH(거래처별!$AD$8:$AD$307,$AB1941))),거래처별!$A$8:$A$307),IFERROR(LOOKUP(2,1/((거래처별!$AE$8:$AE$307&lt;&gt;"")*ISNUMBER(SEARCH(거래처별!$AE$8:$AE$307,$AB1941))),거래처별!$A$8:$A$307),0))))</f>
        <v/>
      </c>
      <c r="AD1941" s="31">
        <f>IF(AND($Y1941&lt;&gt;"",N($Z1941)&gt;0,$AC1941=0),MAX($AD$7:$AD1940)+1,"")</f>
        <v/>
      </c>
      <c r="AE1941" s="31">
        <f>IF($Y1941="",0,$Y1941)</f>
        <v/>
      </c>
    </row>
    <row r="1942">
      <c r="W1942" s="31">
        <f>IF(OR($B$5="",$C$6="",ROW()&lt;$B$5),"",IF(INDEX($A:$U,ROW(),$C$6)="","",INDEX($A:$U,ROW(),$C$6)))</f>
        <v/>
      </c>
      <c r="X1942" s="32">
        <f>IF($W1942="","",IF(ISNUMBER($W1942),IF($W1942&gt;=10000000,IFERROR(DATE(INT($W1942/10000),MOD(INT($W1942/100),100),MOD($W1942,100)),""),INT($W1942)),IFERROR(DATE(--LEFT(LEFT(SUBSTITUTE(SUBSTITUTE(SUBSTITUTE(SUBSTITUTE(TRIM($W1942),"-",""),".",""),"/","")," ",""),8),4),--MID(LEFT(SUBSTITUTE(SUBSTITUTE(SUBSTITUTE(SUBSTITUTE(TRIM($W1942),"-",""),".",""),"/","")," ",""),8),5,2),--MID(LEFT(SUBSTITUTE(SUBSTITUTE(SUBSTITUTE(SUBSTITUTE(TRIM($W1942),"-",""),".",""),"/","")," ",""),8),7,2)),"")))</f>
        <v/>
      </c>
      <c r="Y1942" s="32">
        <f>IF($X1942="","",INT($X1942))</f>
        <v/>
      </c>
      <c r="Z1942" s="33">
        <f>IF(OR($Y1942="",$D$6=""),"",IF(INDEX($A:$U,ROW(),$D$6)="",0,IF(ISNUMBER(INDEX($A:$U,ROW(),$D$6)),INDEX($A:$U,ROW(),$D$6),IFERROR(--SUBSTITUTE(SUBSTITUTE(TRIM(INDEX($A:$U,ROW(),$D$6)),",",""),"원",""),0))))</f>
        <v/>
      </c>
      <c r="AA1942" s="31">
        <f>IF($Y1942="","",TRIM(INDEX($A:$U,ROW(),$E$6)&amp;IF($F$6="",""," "&amp;INDEX($A:$U,ROW(),$F$6))))</f>
        <v/>
      </c>
      <c r="AB1942" s="31">
        <f>IF($AA1942="","",SUBSTITUTE(SUBSTITUTE(SUBSTITUTE(SUBSTITUTE(SUBSTITUTE(SUBSTITUTE(SUBSTITUTE(SUBSTITUTE(SUBSTITUTE($AA1942," ",""),"　",""),"(주)",""),"（주）",""),"㈜",""),"주식회사",""),"(유)",""),"（유）",""),"유한회사",""))</f>
        <v/>
      </c>
      <c r="AC1942" s="31">
        <f>IF(OR($Y1942="",N($Z1942)&lt;=0,$AB1942=""),0,IFERROR(LOOKUP(2,1/((거래처별!$AC$8:$AC$307&lt;&gt;"")*ISNUMBER(SEARCH(거래처별!$AC$8:$AC$307,$AB1942))),거래처별!$A$8:$A$307),IFERROR(LOOKUP(2,1/((거래처별!$AD$8:$AD$307&lt;&gt;"")*ISNUMBER(SEARCH(거래처별!$AD$8:$AD$307,$AB1942))),거래처별!$A$8:$A$307),IFERROR(LOOKUP(2,1/((거래처별!$AE$8:$AE$307&lt;&gt;"")*ISNUMBER(SEARCH(거래처별!$AE$8:$AE$307,$AB1942))),거래처별!$A$8:$A$307),0))))</f>
        <v/>
      </c>
      <c r="AD1942" s="31">
        <f>IF(AND($Y1942&lt;&gt;"",N($Z1942)&gt;0,$AC1942=0),MAX($AD$7:$AD1941)+1,"")</f>
        <v/>
      </c>
      <c r="AE1942" s="31">
        <f>IF($Y1942="",0,$Y1942)</f>
        <v/>
      </c>
    </row>
    <row r="1943">
      <c r="W1943" s="31">
        <f>IF(OR($B$5="",$C$6="",ROW()&lt;$B$5),"",IF(INDEX($A:$U,ROW(),$C$6)="","",INDEX($A:$U,ROW(),$C$6)))</f>
        <v/>
      </c>
      <c r="X1943" s="32">
        <f>IF($W1943="","",IF(ISNUMBER($W1943),IF($W1943&gt;=10000000,IFERROR(DATE(INT($W1943/10000),MOD(INT($W1943/100),100),MOD($W1943,100)),""),INT($W1943)),IFERROR(DATE(--LEFT(LEFT(SUBSTITUTE(SUBSTITUTE(SUBSTITUTE(SUBSTITUTE(TRIM($W1943),"-",""),".",""),"/","")," ",""),8),4),--MID(LEFT(SUBSTITUTE(SUBSTITUTE(SUBSTITUTE(SUBSTITUTE(TRIM($W1943),"-",""),".",""),"/","")," ",""),8),5,2),--MID(LEFT(SUBSTITUTE(SUBSTITUTE(SUBSTITUTE(SUBSTITUTE(TRIM($W1943),"-",""),".",""),"/","")," ",""),8),7,2)),"")))</f>
        <v/>
      </c>
      <c r="Y1943" s="32">
        <f>IF($X1943="","",INT($X1943))</f>
        <v/>
      </c>
      <c r="Z1943" s="33">
        <f>IF(OR($Y1943="",$D$6=""),"",IF(INDEX($A:$U,ROW(),$D$6)="",0,IF(ISNUMBER(INDEX($A:$U,ROW(),$D$6)),INDEX($A:$U,ROW(),$D$6),IFERROR(--SUBSTITUTE(SUBSTITUTE(TRIM(INDEX($A:$U,ROW(),$D$6)),",",""),"원",""),0))))</f>
        <v/>
      </c>
      <c r="AA1943" s="31">
        <f>IF($Y1943="","",TRIM(INDEX($A:$U,ROW(),$E$6)&amp;IF($F$6="",""," "&amp;INDEX($A:$U,ROW(),$F$6))))</f>
        <v/>
      </c>
      <c r="AB1943" s="31">
        <f>IF($AA1943="","",SUBSTITUTE(SUBSTITUTE(SUBSTITUTE(SUBSTITUTE(SUBSTITUTE(SUBSTITUTE(SUBSTITUTE(SUBSTITUTE(SUBSTITUTE($AA1943," ",""),"　",""),"(주)",""),"（주）",""),"㈜",""),"주식회사",""),"(유)",""),"（유）",""),"유한회사",""))</f>
        <v/>
      </c>
      <c r="AC1943" s="31">
        <f>IF(OR($Y1943="",N($Z1943)&lt;=0,$AB1943=""),0,IFERROR(LOOKUP(2,1/((거래처별!$AC$8:$AC$307&lt;&gt;"")*ISNUMBER(SEARCH(거래처별!$AC$8:$AC$307,$AB1943))),거래처별!$A$8:$A$307),IFERROR(LOOKUP(2,1/((거래처별!$AD$8:$AD$307&lt;&gt;"")*ISNUMBER(SEARCH(거래처별!$AD$8:$AD$307,$AB1943))),거래처별!$A$8:$A$307),IFERROR(LOOKUP(2,1/((거래처별!$AE$8:$AE$307&lt;&gt;"")*ISNUMBER(SEARCH(거래처별!$AE$8:$AE$307,$AB1943))),거래처별!$A$8:$A$307),0))))</f>
        <v/>
      </c>
      <c r="AD1943" s="31">
        <f>IF(AND($Y1943&lt;&gt;"",N($Z1943)&gt;0,$AC1943=0),MAX($AD$7:$AD1942)+1,"")</f>
        <v/>
      </c>
      <c r="AE1943" s="31">
        <f>IF($Y1943="",0,$Y1943)</f>
        <v/>
      </c>
    </row>
    <row r="1944">
      <c r="W1944" s="31">
        <f>IF(OR($B$5="",$C$6="",ROW()&lt;$B$5),"",IF(INDEX($A:$U,ROW(),$C$6)="","",INDEX($A:$U,ROW(),$C$6)))</f>
        <v/>
      </c>
      <c r="X1944" s="32">
        <f>IF($W1944="","",IF(ISNUMBER($W1944),IF($W1944&gt;=10000000,IFERROR(DATE(INT($W1944/10000),MOD(INT($W1944/100),100),MOD($W1944,100)),""),INT($W1944)),IFERROR(DATE(--LEFT(LEFT(SUBSTITUTE(SUBSTITUTE(SUBSTITUTE(SUBSTITUTE(TRIM($W1944),"-",""),".",""),"/","")," ",""),8),4),--MID(LEFT(SUBSTITUTE(SUBSTITUTE(SUBSTITUTE(SUBSTITUTE(TRIM($W1944),"-",""),".",""),"/","")," ",""),8),5,2),--MID(LEFT(SUBSTITUTE(SUBSTITUTE(SUBSTITUTE(SUBSTITUTE(TRIM($W1944),"-",""),".",""),"/","")," ",""),8),7,2)),"")))</f>
        <v/>
      </c>
      <c r="Y1944" s="32">
        <f>IF($X1944="","",INT($X1944))</f>
        <v/>
      </c>
      <c r="Z1944" s="33">
        <f>IF(OR($Y1944="",$D$6=""),"",IF(INDEX($A:$U,ROW(),$D$6)="",0,IF(ISNUMBER(INDEX($A:$U,ROW(),$D$6)),INDEX($A:$U,ROW(),$D$6),IFERROR(--SUBSTITUTE(SUBSTITUTE(TRIM(INDEX($A:$U,ROW(),$D$6)),",",""),"원",""),0))))</f>
        <v/>
      </c>
      <c r="AA1944" s="31">
        <f>IF($Y1944="","",TRIM(INDEX($A:$U,ROW(),$E$6)&amp;IF($F$6="",""," "&amp;INDEX($A:$U,ROW(),$F$6))))</f>
        <v/>
      </c>
      <c r="AB1944" s="31">
        <f>IF($AA1944="","",SUBSTITUTE(SUBSTITUTE(SUBSTITUTE(SUBSTITUTE(SUBSTITUTE(SUBSTITUTE(SUBSTITUTE(SUBSTITUTE(SUBSTITUTE($AA1944," ",""),"　",""),"(주)",""),"（주）",""),"㈜",""),"주식회사",""),"(유)",""),"（유）",""),"유한회사",""))</f>
        <v/>
      </c>
      <c r="AC1944" s="31">
        <f>IF(OR($Y1944="",N($Z1944)&lt;=0,$AB1944=""),0,IFERROR(LOOKUP(2,1/((거래처별!$AC$8:$AC$307&lt;&gt;"")*ISNUMBER(SEARCH(거래처별!$AC$8:$AC$307,$AB1944))),거래처별!$A$8:$A$307),IFERROR(LOOKUP(2,1/((거래처별!$AD$8:$AD$307&lt;&gt;"")*ISNUMBER(SEARCH(거래처별!$AD$8:$AD$307,$AB1944))),거래처별!$A$8:$A$307),IFERROR(LOOKUP(2,1/((거래처별!$AE$8:$AE$307&lt;&gt;"")*ISNUMBER(SEARCH(거래처별!$AE$8:$AE$307,$AB1944))),거래처별!$A$8:$A$307),0))))</f>
        <v/>
      </c>
      <c r="AD1944" s="31">
        <f>IF(AND($Y1944&lt;&gt;"",N($Z1944)&gt;0,$AC1944=0),MAX($AD$7:$AD1943)+1,"")</f>
        <v/>
      </c>
      <c r="AE1944" s="31">
        <f>IF($Y1944="",0,$Y1944)</f>
        <v/>
      </c>
    </row>
    <row r="1945">
      <c r="W1945" s="31">
        <f>IF(OR($B$5="",$C$6="",ROW()&lt;$B$5),"",IF(INDEX($A:$U,ROW(),$C$6)="","",INDEX($A:$U,ROW(),$C$6)))</f>
        <v/>
      </c>
      <c r="X1945" s="32">
        <f>IF($W1945="","",IF(ISNUMBER($W1945),IF($W1945&gt;=10000000,IFERROR(DATE(INT($W1945/10000),MOD(INT($W1945/100),100),MOD($W1945,100)),""),INT($W1945)),IFERROR(DATE(--LEFT(LEFT(SUBSTITUTE(SUBSTITUTE(SUBSTITUTE(SUBSTITUTE(TRIM($W1945),"-",""),".",""),"/","")," ",""),8),4),--MID(LEFT(SUBSTITUTE(SUBSTITUTE(SUBSTITUTE(SUBSTITUTE(TRIM($W1945),"-",""),".",""),"/","")," ",""),8),5,2),--MID(LEFT(SUBSTITUTE(SUBSTITUTE(SUBSTITUTE(SUBSTITUTE(TRIM($W1945),"-",""),".",""),"/","")," ",""),8),7,2)),"")))</f>
        <v/>
      </c>
      <c r="Y1945" s="32">
        <f>IF($X1945="","",INT($X1945))</f>
        <v/>
      </c>
      <c r="Z1945" s="33">
        <f>IF(OR($Y1945="",$D$6=""),"",IF(INDEX($A:$U,ROW(),$D$6)="",0,IF(ISNUMBER(INDEX($A:$U,ROW(),$D$6)),INDEX($A:$U,ROW(),$D$6),IFERROR(--SUBSTITUTE(SUBSTITUTE(TRIM(INDEX($A:$U,ROW(),$D$6)),",",""),"원",""),0))))</f>
        <v/>
      </c>
      <c r="AA1945" s="31">
        <f>IF($Y1945="","",TRIM(INDEX($A:$U,ROW(),$E$6)&amp;IF($F$6="",""," "&amp;INDEX($A:$U,ROW(),$F$6))))</f>
        <v/>
      </c>
      <c r="AB1945" s="31">
        <f>IF($AA1945="","",SUBSTITUTE(SUBSTITUTE(SUBSTITUTE(SUBSTITUTE(SUBSTITUTE(SUBSTITUTE(SUBSTITUTE(SUBSTITUTE(SUBSTITUTE($AA1945," ",""),"　",""),"(주)",""),"（주）",""),"㈜",""),"주식회사",""),"(유)",""),"（유）",""),"유한회사",""))</f>
        <v/>
      </c>
      <c r="AC1945" s="31">
        <f>IF(OR($Y1945="",N($Z1945)&lt;=0,$AB1945=""),0,IFERROR(LOOKUP(2,1/((거래처별!$AC$8:$AC$307&lt;&gt;"")*ISNUMBER(SEARCH(거래처별!$AC$8:$AC$307,$AB1945))),거래처별!$A$8:$A$307),IFERROR(LOOKUP(2,1/((거래처별!$AD$8:$AD$307&lt;&gt;"")*ISNUMBER(SEARCH(거래처별!$AD$8:$AD$307,$AB1945))),거래처별!$A$8:$A$307),IFERROR(LOOKUP(2,1/((거래처별!$AE$8:$AE$307&lt;&gt;"")*ISNUMBER(SEARCH(거래처별!$AE$8:$AE$307,$AB1945))),거래처별!$A$8:$A$307),0))))</f>
        <v/>
      </c>
      <c r="AD1945" s="31">
        <f>IF(AND($Y1945&lt;&gt;"",N($Z1945)&gt;0,$AC1945=0),MAX($AD$7:$AD1944)+1,"")</f>
        <v/>
      </c>
      <c r="AE1945" s="31">
        <f>IF($Y1945="",0,$Y1945)</f>
        <v/>
      </c>
    </row>
    <row r="1946">
      <c r="W1946" s="31">
        <f>IF(OR($B$5="",$C$6="",ROW()&lt;$B$5),"",IF(INDEX($A:$U,ROW(),$C$6)="","",INDEX($A:$U,ROW(),$C$6)))</f>
        <v/>
      </c>
      <c r="X1946" s="32">
        <f>IF($W1946="","",IF(ISNUMBER($W1946),IF($W1946&gt;=10000000,IFERROR(DATE(INT($W1946/10000),MOD(INT($W1946/100),100),MOD($W1946,100)),""),INT($W1946)),IFERROR(DATE(--LEFT(LEFT(SUBSTITUTE(SUBSTITUTE(SUBSTITUTE(SUBSTITUTE(TRIM($W1946),"-",""),".",""),"/","")," ",""),8),4),--MID(LEFT(SUBSTITUTE(SUBSTITUTE(SUBSTITUTE(SUBSTITUTE(TRIM($W1946),"-",""),".",""),"/","")," ",""),8),5,2),--MID(LEFT(SUBSTITUTE(SUBSTITUTE(SUBSTITUTE(SUBSTITUTE(TRIM($W1946),"-",""),".",""),"/","")," ",""),8),7,2)),"")))</f>
        <v/>
      </c>
      <c r="Y1946" s="32">
        <f>IF($X1946="","",INT($X1946))</f>
        <v/>
      </c>
      <c r="Z1946" s="33">
        <f>IF(OR($Y1946="",$D$6=""),"",IF(INDEX($A:$U,ROW(),$D$6)="",0,IF(ISNUMBER(INDEX($A:$U,ROW(),$D$6)),INDEX($A:$U,ROW(),$D$6),IFERROR(--SUBSTITUTE(SUBSTITUTE(TRIM(INDEX($A:$U,ROW(),$D$6)),",",""),"원",""),0))))</f>
        <v/>
      </c>
      <c r="AA1946" s="31">
        <f>IF($Y1946="","",TRIM(INDEX($A:$U,ROW(),$E$6)&amp;IF($F$6="",""," "&amp;INDEX($A:$U,ROW(),$F$6))))</f>
        <v/>
      </c>
      <c r="AB1946" s="31">
        <f>IF($AA1946="","",SUBSTITUTE(SUBSTITUTE(SUBSTITUTE(SUBSTITUTE(SUBSTITUTE(SUBSTITUTE(SUBSTITUTE(SUBSTITUTE(SUBSTITUTE($AA1946," ",""),"　",""),"(주)",""),"（주）",""),"㈜",""),"주식회사",""),"(유)",""),"（유）",""),"유한회사",""))</f>
        <v/>
      </c>
      <c r="AC1946" s="31">
        <f>IF(OR($Y1946="",N($Z1946)&lt;=0,$AB1946=""),0,IFERROR(LOOKUP(2,1/((거래처별!$AC$8:$AC$307&lt;&gt;"")*ISNUMBER(SEARCH(거래처별!$AC$8:$AC$307,$AB1946))),거래처별!$A$8:$A$307),IFERROR(LOOKUP(2,1/((거래처별!$AD$8:$AD$307&lt;&gt;"")*ISNUMBER(SEARCH(거래처별!$AD$8:$AD$307,$AB1946))),거래처별!$A$8:$A$307),IFERROR(LOOKUP(2,1/((거래처별!$AE$8:$AE$307&lt;&gt;"")*ISNUMBER(SEARCH(거래처별!$AE$8:$AE$307,$AB1946))),거래처별!$A$8:$A$307),0))))</f>
        <v/>
      </c>
      <c r="AD1946" s="31">
        <f>IF(AND($Y1946&lt;&gt;"",N($Z1946)&gt;0,$AC1946=0),MAX($AD$7:$AD1945)+1,"")</f>
        <v/>
      </c>
      <c r="AE1946" s="31">
        <f>IF($Y1946="",0,$Y1946)</f>
        <v/>
      </c>
    </row>
    <row r="1947">
      <c r="W1947" s="31">
        <f>IF(OR($B$5="",$C$6="",ROW()&lt;$B$5),"",IF(INDEX($A:$U,ROW(),$C$6)="","",INDEX($A:$U,ROW(),$C$6)))</f>
        <v/>
      </c>
      <c r="X1947" s="32">
        <f>IF($W1947="","",IF(ISNUMBER($W1947),IF($W1947&gt;=10000000,IFERROR(DATE(INT($W1947/10000),MOD(INT($W1947/100),100),MOD($W1947,100)),""),INT($W1947)),IFERROR(DATE(--LEFT(LEFT(SUBSTITUTE(SUBSTITUTE(SUBSTITUTE(SUBSTITUTE(TRIM($W1947),"-",""),".",""),"/","")," ",""),8),4),--MID(LEFT(SUBSTITUTE(SUBSTITUTE(SUBSTITUTE(SUBSTITUTE(TRIM($W1947),"-",""),".",""),"/","")," ",""),8),5,2),--MID(LEFT(SUBSTITUTE(SUBSTITUTE(SUBSTITUTE(SUBSTITUTE(TRIM($W1947),"-",""),".",""),"/","")," ",""),8),7,2)),"")))</f>
        <v/>
      </c>
      <c r="Y1947" s="32">
        <f>IF($X1947="","",INT($X1947))</f>
        <v/>
      </c>
      <c r="Z1947" s="33">
        <f>IF(OR($Y1947="",$D$6=""),"",IF(INDEX($A:$U,ROW(),$D$6)="",0,IF(ISNUMBER(INDEX($A:$U,ROW(),$D$6)),INDEX($A:$U,ROW(),$D$6),IFERROR(--SUBSTITUTE(SUBSTITUTE(TRIM(INDEX($A:$U,ROW(),$D$6)),",",""),"원",""),0))))</f>
        <v/>
      </c>
      <c r="AA1947" s="31">
        <f>IF($Y1947="","",TRIM(INDEX($A:$U,ROW(),$E$6)&amp;IF($F$6="",""," "&amp;INDEX($A:$U,ROW(),$F$6))))</f>
        <v/>
      </c>
      <c r="AB1947" s="31">
        <f>IF($AA1947="","",SUBSTITUTE(SUBSTITUTE(SUBSTITUTE(SUBSTITUTE(SUBSTITUTE(SUBSTITUTE(SUBSTITUTE(SUBSTITUTE(SUBSTITUTE($AA1947," ",""),"　",""),"(주)",""),"（주）",""),"㈜",""),"주식회사",""),"(유)",""),"（유）",""),"유한회사",""))</f>
        <v/>
      </c>
      <c r="AC1947" s="31">
        <f>IF(OR($Y1947="",N($Z1947)&lt;=0,$AB1947=""),0,IFERROR(LOOKUP(2,1/((거래처별!$AC$8:$AC$307&lt;&gt;"")*ISNUMBER(SEARCH(거래처별!$AC$8:$AC$307,$AB1947))),거래처별!$A$8:$A$307),IFERROR(LOOKUP(2,1/((거래처별!$AD$8:$AD$307&lt;&gt;"")*ISNUMBER(SEARCH(거래처별!$AD$8:$AD$307,$AB1947))),거래처별!$A$8:$A$307),IFERROR(LOOKUP(2,1/((거래처별!$AE$8:$AE$307&lt;&gt;"")*ISNUMBER(SEARCH(거래처별!$AE$8:$AE$307,$AB1947))),거래처별!$A$8:$A$307),0))))</f>
        <v/>
      </c>
      <c r="AD1947" s="31">
        <f>IF(AND($Y1947&lt;&gt;"",N($Z1947)&gt;0,$AC1947=0),MAX($AD$7:$AD1946)+1,"")</f>
        <v/>
      </c>
      <c r="AE1947" s="31">
        <f>IF($Y1947="",0,$Y1947)</f>
        <v/>
      </c>
    </row>
    <row r="1948">
      <c r="W1948" s="31">
        <f>IF(OR($B$5="",$C$6="",ROW()&lt;$B$5),"",IF(INDEX($A:$U,ROW(),$C$6)="","",INDEX($A:$U,ROW(),$C$6)))</f>
        <v/>
      </c>
      <c r="X1948" s="32">
        <f>IF($W1948="","",IF(ISNUMBER($W1948),IF($W1948&gt;=10000000,IFERROR(DATE(INT($W1948/10000),MOD(INT($W1948/100),100),MOD($W1948,100)),""),INT($W1948)),IFERROR(DATE(--LEFT(LEFT(SUBSTITUTE(SUBSTITUTE(SUBSTITUTE(SUBSTITUTE(TRIM($W1948),"-",""),".",""),"/","")," ",""),8),4),--MID(LEFT(SUBSTITUTE(SUBSTITUTE(SUBSTITUTE(SUBSTITUTE(TRIM($W1948),"-",""),".",""),"/","")," ",""),8),5,2),--MID(LEFT(SUBSTITUTE(SUBSTITUTE(SUBSTITUTE(SUBSTITUTE(TRIM($W1948),"-",""),".",""),"/","")," ",""),8),7,2)),"")))</f>
        <v/>
      </c>
      <c r="Y1948" s="32">
        <f>IF($X1948="","",INT($X1948))</f>
        <v/>
      </c>
      <c r="Z1948" s="33">
        <f>IF(OR($Y1948="",$D$6=""),"",IF(INDEX($A:$U,ROW(),$D$6)="",0,IF(ISNUMBER(INDEX($A:$U,ROW(),$D$6)),INDEX($A:$U,ROW(),$D$6),IFERROR(--SUBSTITUTE(SUBSTITUTE(TRIM(INDEX($A:$U,ROW(),$D$6)),",",""),"원",""),0))))</f>
        <v/>
      </c>
      <c r="AA1948" s="31">
        <f>IF($Y1948="","",TRIM(INDEX($A:$U,ROW(),$E$6)&amp;IF($F$6="",""," "&amp;INDEX($A:$U,ROW(),$F$6))))</f>
        <v/>
      </c>
      <c r="AB1948" s="31">
        <f>IF($AA1948="","",SUBSTITUTE(SUBSTITUTE(SUBSTITUTE(SUBSTITUTE(SUBSTITUTE(SUBSTITUTE(SUBSTITUTE(SUBSTITUTE(SUBSTITUTE($AA1948," ",""),"　",""),"(주)",""),"（주）",""),"㈜",""),"주식회사",""),"(유)",""),"（유）",""),"유한회사",""))</f>
        <v/>
      </c>
      <c r="AC1948" s="31">
        <f>IF(OR($Y1948="",N($Z1948)&lt;=0,$AB1948=""),0,IFERROR(LOOKUP(2,1/((거래처별!$AC$8:$AC$307&lt;&gt;"")*ISNUMBER(SEARCH(거래처별!$AC$8:$AC$307,$AB1948))),거래처별!$A$8:$A$307),IFERROR(LOOKUP(2,1/((거래처별!$AD$8:$AD$307&lt;&gt;"")*ISNUMBER(SEARCH(거래처별!$AD$8:$AD$307,$AB1948))),거래처별!$A$8:$A$307),IFERROR(LOOKUP(2,1/((거래처별!$AE$8:$AE$307&lt;&gt;"")*ISNUMBER(SEARCH(거래처별!$AE$8:$AE$307,$AB1948))),거래처별!$A$8:$A$307),0))))</f>
        <v/>
      </c>
      <c r="AD1948" s="31">
        <f>IF(AND($Y1948&lt;&gt;"",N($Z1948)&gt;0,$AC1948=0),MAX($AD$7:$AD1947)+1,"")</f>
        <v/>
      </c>
      <c r="AE1948" s="31">
        <f>IF($Y1948="",0,$Y1948)</f>
        <v/>
      </c>
    </row>
    <row r="1949">
      <c r="W1949" s="31">
        <f>IF(OR($B$5="",$C$6="",ROW()&lt;$B$5),"",IF(INDEX($A:$U,ROW(),$C$6)="","",INDEX($A:$U,ROW(),$C$6)))</f>
        <v/>
      </c>
      <c r="X1949" s="32">
        <f>IF($W1949="","",IF(ISNUMBER($W1949),IF($W1949&gt;=10000000,IFERROR(DATE(INT($W1949/10000),MOD(INT($W1949/100),100),MOD($W1949,100)),""),INT($W1949)),IFERROR(DATE(--LEFT(LEFT(SUBSTITUTE(SUBSTITUTE(SUBSTITUTE(SUBSTITUTE(TRIM($W1949),"-",""),".",""),"/","")," ",""),8),4),--MID(LEFT(SUBSTITUTE(SUBSTITUTE(SUBSTITUTE(SUBSTITUTE(TRIM($W1949),"-",""),".",""),"/","")," ",""),8),5,2),--MID(LEFT(SUBSTITUTE(SUBSTITUTE(SUBSTITUTE(SUBSTITUTE(TRIM($W1949),"-",""),".",""),"/","")," ",""),8),7,2)),"")))</f>
        <v/>
      </c>
      <c r="Y1949" s="32">
        <f>IF($X1949="","",INT($X1949))</f>
        <v/>
      </c>
      <c r="Z1949" s="33">
        <f>IF(OR($Y1949="",$D$6=""),"",IF(INDEX($A:$U,ROW(),$D$6)="",0,IF(ISNUMBER(INDEX($A:$U,ROW(),$D$6)),INDEX($A:$U,ROW(),$D$6),IFERROR(--SUBSTITUTE(SUBSTITUTE(TRIM(INDEX($A:$U,ROW(),$D$6)),",",""),"원",""),0))))</f>
        <v/>
      </c>
      <c r="AA1949" s="31">
        <f>IF($Y1949="","",TRIM(INDEX($A:$U,ROW(),$E$6)&amp;IF($F$6="",""," "&amp;INDEX($A:$U,ROW(),$F$6))))</f>
        <v/>
      </c>
      <c r="AB1949" s="31">
        <f>IF($AA1949="","",SUBSTITUTE(SUBSTITUTE(SUBSTITUTE(SUBSTITUTE(SUBSTITUTE(SUBSTITUTE(SUBSTITUTE(SUBSTITUTE(SUBSTITUTE($AA1949," ",""),"　",""),"(주)",""),"（주）",""),"㈜",""),"주식회사",""),"(유)",""),"（유）",""),"유한회사",""))</f>
        <v/>
      </c>
      <c r="AC1949" s="31">
        <f>IF(OR($Y1949="",N($Z1949)&lt;=0,$AB1949=""),0,IFERROR(LOOKUP(2,1/((거래처별!$AC$8:$AC$307&lt;&gt;"")*ISNUMBER(SEARCH(거래처별!$AC$8:$AC$307,$AB1949))),거래처별!$A$8:$A$307),IFERROR(LOOKUP(2,1/((거래처별!$AD$8:$AD$307&lt;&gt;"")*ISNUMBER(SEARCH(거래처별!$AD$8:$AD$307,$AB1949))),거래처별!$A$8:$A$307),IFERROR(LOOKUP(2,1/((거래처별!$AE$8:$AE$307&lt;&gt;"")*ISNUMBER(SEARCH(거래처별!$AE$8:$AE$307,$AB1949))),거래처별!$A$8:$A$307),0))))</f>
        <v/>
      </c>
      <c r="AD1949" s="31">
        <f>IF(AND($Y1949&lt;&gt;"",N($Z1949)&gt;0,$AC1949=0),MAX($AD$7:$AD1948)+1,"")</f>
        <v/>
      </c>
      <c r="AE1949" s="31">
        <f>IF($Y1949="",0,$Y1949)</f>
        <v/>
      </c>
    </row>
    <row r="1950">
      <c r="W1950" s="31">
        <f>IF(OR($B$5="",$C$6="",ROW()&lt;$B$5),"",IF(INDEX($A:$U,ROW(),$C$6)="","",INDEX($A:$U,ROW(),$C$6)))</f>
        <v/>
      </c>
      <c r="X1950" s="32">
        <f>IF($W1950="","",IF(ISNUMBER($W1950),IF($W1950&gt;=10000000,IFERROR(DATE(INT($W1950/10000),MOD(INT($W1950/100),100),MOD($W1950,100)),""),INT($W1950)),IFERROR(DATE(--LEFT(LEFT(SUBSTITUTE(SUBSTITUTE(SUBSTITUTE(SUBSTITUTE(TRIM($W1950),"-",""),".",""),"/","")," ",""),8),4),--MID(LEFT(SUBSTITUTE(SUBSTITUTE(SUBSTITUTE(SUBSTITUTE(TRIM($W1950),"-",""),".",""),"/","")," ",""),8),5,2),--MID(LEFT(SUBSTITUTE(SUBSTITUTE(SUBSTITUTE(SUBSTITUTE(TRIM($W1950),"-",""),".",""),"/","")," ",""),8),7,2)),"")))</f>
        <v/>
      </c>
      <c r="Y1950" s="32">
        <f>IF($X1950="","",INT($X1950))</f>
        <v/>
      </c>
      <c r="Z1950" s="33">
        <f>IF(OR($Y1950="",$D$6=""),"",IF(INDEX($A:$U,ROW(),$D$6)="",0,IF(ISNUMBER(INDEX($A:$U,ROW(),$D$6)),INDEX($A:$U,ROW(),$D$6),IFERROR(--SUBSTITUTE(SUBSTITUTE(TRIM(INDEX($A:$U,ROW(),$D$6)),",",""),"원",""),0))))</f>
        <v/>
      </c>
      <c r="AA1950" s="31">
        <f>IF($Y1950="","",TRIM(INDEX($A:$U,ROW(),$E$6)&amp;IF($F$6="",""," "&amp;INDEX($A:$U,ROW(),$F$6))))</f>
        <v/>
      </c>
      <c r="AB1950" s="31">
        <f>IF($AA1950="","",SUBSTITUTE(SUBSTITUTE(SUBSTITUTE(SUBSTITUTE(SUBSTITUTE(SUBSTITUTE(SUBSTITUTE(SUBSTITUTE(SUBSTITUTE($AA1950," ",""),"　",""),"(주)",""),"（주）",""),"㈜",""),"주식회사",""),"(유)",""),"（유）",""),"유한회사",""))</f>
        <v/>
      </c>
      <c r="AC1950" s="31">
        <f>IF(OR($Y1950="",N($Z1950)&lt;=0,$AB1950=""),0,IFERROR(LOOKUP(2,1/((거래처별!$AC$8:$AC$307&lt;&gt;"")*ISNUMBER(SEARCH(거래처별!$AC$8:$AC$307,$AB1950))),거래처별!$A$8:$A$307),IFERROR(LOOKUP(2,1/((거래처별!$AD$8:$AD$307&lt;&gt;"")*ISNUMBER(SEARCH(거래처별!$AD$8:$AD$307,$AB1950))),거래처별!$A$8:$A$307),IFERROR(LOOKUP(2,1/((거래처별!$AE$8:$AE$307&lt;&gt;"")*ISNUMBER(SEARCH(거래처별!$AE$8:$AE$307,$AB1950))),거래처별!$A$8:$A$307),0))))</f>
        <v/>
      </c>
      <c r="AD1950" s="31">
        <f>IF(AND($Y1950&lt;&gt;"",N($Z1950)&gt;0,$AC1950=0),MAX($AD$7:$AD1949)+1,"")</f>
        <v/>
      </c>
      <c r="AE1950" s="31">
        <f>IF($Y1950="",0,$Y1950)</f>
        <v/>
      </c>
    </row>
    <row r="1951">
      <c r="W1951" s="31">
        <f>IF(OR($B$5="",$C$6="",ROW()&lt;$B$5),"",IF(INDEX($A:$U,ROW(),$C$6)="","",INDEX($A:$U,ROW(),$C$6)))</f>
        <v/>
      </c>
      <c r="X1951" s="32">
        <f>IF($W1951="","",IF(ISNUMBER($W1951),IF($W1951&gt;=10000000,IFERROR(DATE(INT($W1951/10000),MOD(INT($W1951/100),100),MOD($W1951,100)),""),INT($W1951)),IFERROR(DATE(--LEFT(LEFT(SUBSTITUTE(SUBSTITUTE(SUBSTITUTE(SUBSTITUTE(TRIM($W1951),"-",""),".",""),"/","")," ",""),8),4),--MID(LEFT(SUBSTITUTE(SUBSTITUTE(SUBSTITUTE(SUBSTITUTE(TRIM($W1951),"-",""),".",""),"/","")," ",""),8),5,2),--MID(LEFT(SUBSTITUTE(SUBSTITUTE(SUBSTITUTE(SUBSTITUTE(TRIM($W1951),"-",""),".",""),"/","")," ",""),8),7,2)),"")))</f>
        <v/>
      </c>
      <c r="Y1951" s="32">
        <f>IF($X1951="","",INT($X1951))</f>
        <v/>
      </c>
      <c r="Z1951" s="33">
        <f>IF(OR($Y1951="",$D$6=""),"",IF(INDEX($A:$U,ROW(),$D$6)="",0,IF(ISNUMBER(INDEX($A:$U,ROW(),$D$6)),INDEX($A:$U,ROW(),$D$6),IFERROR(--SUBSTITUTE(SUBSTITUTE(TRIM(INDEX($A:$U,ROW(),$D$6)),",",""),"원",""),0))))</f>
        <v/>
      </c>
      <c r="AA1951" s="31">
        <f>IF($Y1951="","",TRIM(INDEX($A:$U,ROW(),$E$6)&amp;IF($F$6="",""," "&amp;INDEX($A:$U,ROW(),$F$6))))</f>
        <v/>
      </c>
      <c r="AB1951" s="31">
        <f>IF($AA1951="","",SUBSTITUTE(SUBSTITUTE(SUBSTITUTE(SUBSTITUTE(SUBSTITUTE(SUBSTITUTE(SUBSTITUTE(SUBSTITUTE(SUBSTITUTE($AA1951," ",""),"　",""),"(주)",""),"（주）",""),"㈜",""),"주식회사",""),"(유)",""),"（유）",""),"유한회사",""))</f>
        <v/>
      </c>
      <c r="AC1951" s="31">
        <f>IF(OR($Y1951="",N($Z1951)&lt;=0,$AB1951=""),0,IFERROR(LOOKUP(2,1/((거래처별!$AC$8:$AC$307&lt;&gt;"")*ISNUMBER(SEARCH(거래처별!$AC$8:$AC$307,$AB1951))),거래처별!$A$8:$A$307),IFERROR(LOOKUP(2,1/((거래처별!$AD$8:$AD$307&lt;&gt;"")*ISNUMBER(SEARCH(거래처별!$AD$8:$AD$307,$AB1951))),거래처별!$A$8:$A$307),IFERROR(LOOKUP(2,1/((거래처별!$AE$8:$AE$307&lt;&gt;"")*ISNUMBER(SEARCH(거래처별!$AE$8:$AE$307,$AB1951))),거래처별!$A$8:$A$307),0))))</f>
        <v/>
      </c>
      <c r="AD1951" s="31">
        <f>IF(AND($Y1951&lt;&gt;"",N($Z1951)&gt;0,$AC1951=0),MAX($AD$7:$AD1950)+1,"")</f>
        <v/>
      </c>
      <c r="AE1951" s="31">
        <f>IF($Y1951="",0,$Y1951)</f>
        <v/>
      </c>
    </row>
    <row r="1952">
      <c r="W1952" s="31">
        <f>IF(OR($B$5="",$C$6="",ROW()&lt;$B$5),"",IF(INDEX($A:$U,ROW(),$C$6)="","",INDEX($A:$U,ROW(),$C$6)))</f>
        <v/>
      </c>
      <c r="X1952" s="32">
        <f>IF($W1952="","",IF(ISNUMBER($W1952),IF($W1952&gt;=10000000,IFERROR(DATE(INT($W1952/10000),MOD(INT($W1952/100),100),MOD($W1952,100)),""),INT($W1952)),IFERROR(DATE(--LEFT(LEFT(SUBSTITUTE(SUBSTITUTE(SUBSTITUTE(SUBSTITUTE(TRIM($W1952),"-",""),".",""),"/","")," ",""),8),4),--MID(LEFT(SUBSTITUTE(SUBSTITUTE(SUBSTITUTE(SUBSTITUTE(TRIM($W1952),"-",""),".",""),"/","")," ",""),8),5,2),--MID(LEFT(SUBSTITUTE(SUBSTITUTE(SUBSTITUTE(SUBSTITUTE(TRIM($W1952),"-",""),".",""),"/","")," ",""),8),7,2)),"")))</f>
        <v/>
      </c>
      <c r="Y1952" s="32">
        <f>IF($X1952="","",INT($X1952))</f>
        <v/>
      </c>
      <c r="Z1952" s="33">
        <f>IF(OR($Y1952="",$D$6=""),"",IF(INDEX($A:$U,ROW(),$D$6)="",0,IF(ISNUMBER(INDEX($A:$U,ROW(),$D$6)),INDEX($A:$U,ROW(),$D$6),IFERROR(--SUBSTITUTE(SUBSTITUTE(TRIM(INDEX($A:$U,ROW(),$D$6)),",",""),"원",""),0))))</f>
        <v/>
      </c>
      <c r="AA1952" s="31">
        <f>IF($Y1952="","",TRIM(INDEX($A:$U,ROW(),$E$6)&amp;IF($F$6="",""," "&amp;INDEX($A:$U,ROW(),$F$6))))</f>
        <v/>
      </c>
      <c r="AB1952" s="31">
        <f>IF($AA1952="","",SUBSTITUTE(SUBSTITUTE(SUBSTITUTE(SUBSTITUTE(SUBSTITUTE(SUBSTITUTE(SUBSTITUTE(SUBSTITUTE(SUBSTITUTE($AA1952," ",""),"　",""),"(주)",""),"（주）",""),"㈜",""),"주식회사",""),"(유)",""),"（유）",""),"유한회사",""))</f>
        <v/>
      </c>
      <c r="AC1952" s="31">
        <f>IF(OR($Y1952="",N($Z1952)&lt;=0,$AB1952=""),0,IFERROR(LOOKUP(2,1/((거래처별!$AC$8:$AC$307&lt;&gt;"")*ISNUMBER(SEARCH(거래처별!$AC$8:$AC$307,$AB1952))),거래처별!$A$8:$A$307),IFERROR(LOOKUP(2,1/((거래처별!$AD$8:$AD$307&lt;&gt;"")*ISNUMBER(SEARCH(거래처별!$AD$8:$AD$307,$AB1952))),거래처별!$A$8:$A$307),IFERROR(LOOKUP(2,1/((거래처별!$AE$8:$AE$307&lt;&gt;"")*ISNUMBER(SEARCH(거래처별!$AE$8:$AE$307,$AB1952))),거래처별!$A$8:$A$307),0))))</f>
        <v/>
      </c>
      <c r="AD1952" s="31">
        <f>IF(AND($Y1952&lt;&gt;"",N($Z1952)&gt;0,$AC1952=0),MAX($AD$7:$AD1951)+1,"")</f>
        <v/>
      </c>
      <c r="AE1952" s="31">
        <f>IF($Y1952="",0,$Y1952)</f>
        <v/>
      </c>
    </row>
    <row r="1953">
      <c r="W1953" s="31">
        <f>IF(OR($B$5="",$C$6="",ROW()&lt;$B$5),"",IF(INDEX($A:$U,ROW(),$C$6)="","",INDEX($A:$U,ROW(),$C$6)))</f>
        <v/>
      </c>
      <c r="X1953" s="32">
        <f>IF($W1953="","",IF(ISNUMBER($W1953),IF($W1953&gt;=10000000,IFERROR(DATE(INT($W1953/10000),MOD(INT($W1953/100),100),MOD($W1953,100)),""),INT($W1953)),IFERROR(DATE(--LEFT(LEFT(SUBSTITUTE(SUBSTITUTE(SUBSTITUTE(SUBSTITUTE(TRIM($W1953),"-",""),".",""),"/","")," ",""),8),4),--MID(LEFT(SUBSTITUTE(SUBSTITUTE(SUBSTITUTE(SUBSTITUTE(TRIM($W1953),"-",""),".",""),"/","")," ",""),8),5,2),--MID(LEFT(SUBSTITUTE(SUBSTITUTE(SUBSTITUTE(SUBSTITUTE(TRIM($W1953),"-",""),".",""),"/","")," ",""),8),7,2)),"")))</f>
        <v/>
      </c>
      <c r="Y1953" s="32">
        <f>IF($X1953="","",INT($X1953))</f>
        <v/>
      </c>
      <c r="Z1953" s="33">
        <f>IF(OR($Y1953="",$D$6=""),"",IF(INDEX($A:$U,ROW(),$D$6)="",0,IF(ISNUMBER(INDEX($A:$U,ROW(),$D$6)),INDEX($A:$U,ROW(),$D$6),IFERROR(--SUBSTITUTE(SUBSTITUTE(TRIM(INDEX($A:$U,ROW(),$D$6)),",",""),"원",""),0))))</f>
        <v/>
      </c>
      <c r="AA1953" s="31">
        <f>IF($Y1953="","",TRIM(INDEX($A:$U,ROW(),$E$6)&amp;IF($F$6="",""," "&amp;INDEX($A:$U,ROW(),$F$6))))</f>
        <v/>
      </c>
      <c r="AB1953" s="31">
        <f>IF($AA1953="","",SUBSTITUTE(SUBSTITUTE(SUBSTITUTE(SUBSTITUTE(SUBSTITUTE(SUBSTITUTE(SUBSTITUTE(SUBSTITUTE(SUBSTITUTE($AA1953," ",""),"　",""),"(주)",""),"（주）",""),"㈜",""),"주식회사",""),"(유)",""),"（유）",""),"유한회사",""))</f>
        <v/>
      </c>
      <c r="AC1953" s="31">
        <f>IF(OR($Y1953="",N($Z1953)&lt;=0,$AB1953=""),0,IFERROR(LOOKUP(2,1/((거래처별!$AC$8:$AC$307&lt;&gt;"")*ISNUMBER(SEARCH(거래처별!$AC$8:$AC$307,$AB1953))),거래처별!$A$8:$A$307),IFERROR(LOOKUP(2,1/((거래처별!$AD$8:$AD$307&lt;&gt;"")*ISNUMBER(SEARCH(거래처별!$AD$8:$AD$307,$AB1953))),거래처별!$A$8:$A$307),IFERROR(LOOKUP(2,1/((거래처별!$AE$8:$AE$307&lt;&gt;"")*ISNUMBER(SEARCH(거래처별!$AE$8:$AE$307,$AB1953))),거래처별!$A$8:$A$307),0))))</f>
        <v/>
      </c>
      <c r="AD1953" s="31">
        <f>IF(AND($Y1953&lt;&gt;"",N($Z1953)&gt;0,$AC1953=0),MAX($AD$7:$AD1952)+1,"")</f>
        <v/>
      </c>
      <c r="AE1953" s="31">
        <f>IF($Y1953="",0,$Y1953)</f>
        <v/>
      </c>
    </row>
    <row r="1954">
      <c r="W1954" s="31">
        <f>IF(OR($B$5="",$C$6="",ROW()&lt;$B$5),"",IF(INDEX($A:$U,ROW(),$C$6)="","",INDEX($A:$U,ROW(),$C$6)))</f>
        <v/>
      </c>
      <c r="X1954" s="32">
        <f>IF($W1954="","",IF(ISNUMBER($W1954),IF($W1954&gt;=10000000,IFERROR(DATE(INT($W1954/10000),MOD(INT($W1954/100),100),MOD($W1954,100)),""),INT($W1954)),IFERROR(DATE(--LEFT(LEFT(SUBSTITUTE(SUBSTITUTE(SUBSTITUTE(SUBSTITUTE(TRIM($W1954),"-",""),".",""),"/","")," ",""),8),4),--MID(LEFT(SUBSTITUTE(SUBSTITUTE(SUBSTITUTE(SUBSTITUTE(TRIM($W1954),"-",""),".",""),"/","")," ",""),8),5,2),--MID(LEFT(SUBSTITUTE(SUBSTITUTE(SUBSTITUTE(SUBSTITUTE(TRIM($W1954),"-",""),".",""),"/","")," ",""),8),7,2)),"")))</f>
        <v/>
      </c>
      <c r="Y1954" s="32">
        <f>IF($X1954="","",INT($X1954))</f>
        <v/>
      </c>
      <c r="Z1954" s="33">
        <f>IF(OR($Y1954="",$D$6=""),"",IF(INDEX($A:$U,ROW(),$D$6)="",0,IF(ISNUMBER(INDEX($A:$U,ROW(),$D$6)),INDEX($A:$U,ROW(),$D$6),IFERROR(--SUBSTITUTE(SUBSTITUTE(TRIM(INDEX($A:$U,ROW(),$D$6)),",",""),"원",""),0))))</f>
        <v/>
      </c>
      <c r="AA1954" s="31">
        <f>IF($Y1954="","",TRIM(INDEX($A:$U,ROW(),$E$6)&amp;IF($F$6="",""," "&amp;INDEX($A:$U,ROW(),$F$6))))</f>
        <v/>
      </c>
      <c r="AB1954" s="31">
        <f>IF($AA1954="","",SUBSTITUTE(SUBSTITUTE(SUBSTITUTE(SUBSTITUTE(SUBSTITUTE(SUBSTITUTE(SUBSTITUTE(SUBSTITUTE(SUBSTITUTE($AA1954," ",""),"　",""),"(주)",""),"（주）",""),"㈜",""),"주식회사",""),"(유)",""),"（유）",""),"유한회사",""))</f>
        <v/>
      </c>
      <c r="AC1954" s="31">
        <f>IF(OR($Y1954="",N($Z1954)&lt;=0,$AB1954=""),0,IFERROR(LOOKUP(2,1/((거래처별!$AC$8:$AC$307&lt;&gt;"")*ISNUMBER(SEARCH(거래처별!$AC$8:$AC$307,$AB1954))),거래처별!$A$8:$A$307),IFERROR(LOOKUP(2,1/((거래처별!$AD$8:$AD$307&lt;&gt;"")*ISNUMBER(SEARCH(거래처별!$AD$8:$AD$307,$AB1954))),거래처별!$A$8:$A$307),IFERROR(LOOKUP(2,1/((거래처별!$AE$8:$AE$307&lt;&gt;"")*ISNUMBER(SEARCH(거래처별!$AE$8:$AE$307,$AB1954))),거래처별!$A$8:$A$307),0))))</f>
        <v/>
      </c>
      <c r="AD1954" s="31">
        <f>IF(AND($Y1954&lt;&gt;"",N($Z1954)&gt;0,$AC1954=0),MAX($AD$7:$AD1953)+1,"")</f>
        <v/>
      </c>
      <c r="AE1954" s="31">
        <f>IF($Y1954="",0,$Y1954)</f>
        <v/>
      </c>
    </row>
    <row r="1955">
      <c r="W1955" s="31">
        <f>IF(OR($B$5="",$C$6="",ROW()&lt;$B$5),"",IF(INDEX($A:$U,ROW(),$C$6)="","",INDEX($A:$U,ROW(),$C$6)))</f>
        <v/>
      </c>
      <c r="X1955" s="32">
        <f>IF($W1955="","",IF(ISNUMBER($W1955),IF($W1955&gt;=10000000,IFERROR(DATE(INT($W1955/10000),MOD(INT($W1955/100),100),MOD($W1955,100)),""),INT($W1955)),IFERROR(DATE(--LEFT(LEFT(SUBSTITUTE(SUBSTITUTE(SUBSTITUTE(SUBSTITUTE(TRIM($W1955),"-",""),".",""),"/","")," ",""),8),4),--MID(LEFT(SUBSTITUTE(SUBSTITUTE(SUBSTITUTE(SUBSTITUTE(TRIM($W1955),"-",""),".",""),"/","")," ",""),8),5,2),--MID(LEFT(SUBSTITUTE(SUBSTITUTE(SUBSTITUTE(SUBSTITUTE(TRIM($W1955),"-",""),".",""),"/","")," ",""),8),7,2)),"")))</f>
        <v/>
      </c>
      <c r="Y1955" s="32">
        <f>IF($X1955="","",INT($X1955))</f>
        <v/>
      </c>
      <c r="Z1955" s="33">
        <f>IF(OR($Y1955="",$D$6=""),"",IF(INDEX($A:$U,ROW(),$D$6)="",0,IF(ISNUMBER(INDEX($A:$U,ROW(),$D$6)),INDEX($A:$U,ROW(),$D$6),IFERROR(--SUBSTITUTE(SUBSTITUTE(TRIM(INDEX($A:$U,ROW(),$D$6)),",",""),"원",""),0))))</f>
        <v/>
      </c>
      <c r="AA1955" s="31">
        <f>IF($Y1955="","",TRIM(INDEX($A:$U,ROW(),$E$6)&amp;IF($F$6="",""," "&amp;INDEX($A:$U,ROW(),$F$6))))</f>
        <v/>
      </c>
      <c r="AB1955" s="31">
        <f>IF($AA1955="","",SUBSTITUTE(SUBSTITUTE(SUBSTITUTE(SUBSTITUTE(SUBSTITUTE(SUBSTITUTE(SUBSTITUTE(SUBSTITUTE(SUBSTITUTE($AA1955," ",""),"　",""),"(주)",""),"（주）",""),"㈜",""),"주식회사",""),"(유)",""),"（유）",""),"유한회사",""))</f>
        <v/>
      </c>
      <c r="AC1955" s="31">
        <f>IF(OR($Y1955="",N($Z1955)&lt;=0,$AB1955=""),0,IFERROR(LOOKUP(2,1/((거래처별!$AC$8:$AC$307&lt;&gt;"")*ISNUMBER(SEARCH(거래처별!$AC$8:$AC$307,$AB1955))),거래처별!$A$8:$A$307),IFERROR(LOOKUP(2,1/((거래처별!$AD$8:$AD$307&lt;&gt;"")*ISNUMBER(SEARCH(거래처별!$AD$8:$AD$307,$AB1955))),거래처별!$A$8:$A$307),IFERROR(LOOKUP(2,1/((거래처별!$AE$8:$AE$307&lt;&gt;"")*ISNUMBER(SEARCH(거래처별!$AE$8:$AE$307,$AB1955))),거래처별!$A$8:$A$307),0))))</f>
        <v/>
      </c>
      <c r="AD1955" s="31">
        <f>IF(AND($Y1955&lt;&gt;"",N($Z1955)&gt;0,$AC1955=0),MAX($AD$7:$AD1954)+1,"")</f>
        <v/>
      </c>
      <c r="AE1955" s="31">
        <f>IF($Y1955="",0,$Y1955)</f>
        <v/>
      </c>
    </row>
    <row r="1956">
      <c r="W1956" s="31">
        <f>IF(OR($B$5="",$C$6="",ROW()&lt;$B$5),"",IF(INDEX($A:$U,ROW(),$C$6)="","",INDEX($A:$U,ROW(),$C$6)))</f>
        <v/>
      </c>
      <c r="X1956" s="32">
        <f>IF($W1956="","",IF(ISNUMBER($W1956),IF($W1956&gt;=10000000,IFERROR(DATE(INT($W1956/10000),MOD(INT($W1956/100),100),MOD($W1956,100)),""),INT($W1956)),IFERROR(DATE(--LEFT(LEFT(SUBSTITUTE(SUBSTITUTE(SUBSTITUTE(SUBSTITUTE(TRIM($W1956),"-",""),".",""),"/","")," ",""),8),4),--MID(LEFT(SUBSTITUTE(SUBSTITUTE(SUBSTITUTE(SUBSTITUTE(TRIM($W1956),"-",""),".",""),"/","")," ",""),8),5,2),--MID(LEFT(SUBSTITUTE(SUBSTITUTE(SUBSTITUTE(SUBSTITUTE(TRIM($W1956),"-",""),".",""),"/","")," ",""),8),7,2)),"")))</f>
        <v/>
      </c>
      <c r="Y1956" s="32">
        <f>IF($X1956="","",INT($X1956))</f>
        <v/>
      </c>
      <c r="Z1956" s="33">
        <f>IF(OR($Y1956="",$D$6=""),"",IF(INDEX($A:$U,ROW(),$D$6)="",0,IF(ISNUMBER(INDEX($A:$U,ROW(),$D$6)),INDEX($A:$U,ROW(),$D$6),IFERROR(--SUBSTITUTE(SUBSTITUTE(TRIM(INDEX($A:$U,ROW(),$D$6)),",",""),"원",""),0))))</f>
        <v/>
      </c>
      <c r="AA1956" s="31">
        <f>IF($Y1956="","",TRIM(INDEX($A:$U,ROW(),$E$6)&amp;IF($F$6="",""," "&amp;INDEX($A:$U,ROW(),$F$6))))</f>
        <v/>
      </c>
      <c r="AB1956" s="31">
        <f>IF($AA1956="","",SUBSTITUTE(SUBSTITUTE(SUBSTITUTE(SUBSTITUTE(SUBSTITUTE(SUBSTITUTE(SUBSTITUTE(SUBSTITUTE(SUBSTITUTE($AA1956," ",""),"　",""),"(주)",""),"（주）",""),"㈜",""),"주식회사",""),"(유)",""),"（유）",""),"유한회사",""))</f>
        <v/>
      </c>
      <c r="AC1956" s="31">
        <f>IF(OR($Y1956="",N($Z1956)&lt;=0,$AB1956=""),0,IFERROR(LOOKUP(2,1/((거래처별!$AC$8:$AC$307&lt;&gt;"")*ISNUMBER(SEARCH(거래처별!$AC$8:$AC$307,$AB1956))),거래처별!$A$8:$A$307),IFERROR(LOOKUP(2,1/((거래처별!$AD$8:$AD$307&lt;&gt;"")*ISNUMBER(SEARCH(거래처별!$AD$8:$AD$307,$AB1956))),거래처별!$A$8:$A$307),IFERROR(LOOKUP(2,1/((거래처별!$AE$8:$AE$307&lt;&gt;"")*ISNUMBER(SEARCH(거래처별!$AE$8:$AE$307,$AB1956))),거래처별!$A$8:$A$307),0))))</f>
        <v/>
      </c>
      <c r="AD1956" s="31">
        <f>IF(AND($Y1956&lt;&gt;"",N($Z1956)&gt;0,$AC1956=0),MAX($AD$7:$AD1955)+1,"")</f>
        <v/>
      </c>
      <c r="AE1956" s="31">
        <f>IF($Y1956="",0,$Y1956)</f>
        <v/>
      </c>
    </row>
    <row r="1957">
      <c r="W1957" s="31">
        <f>IF(OR($B$5="",$C$6="",ROW()&lt;$B$5),"",IF(INDEX($A:$U,ROW(),$C$6)="","",INDEX($A:$U,ROW(),$C$6)))</f>
        <v/>
      </c>
      <c r="X1957" s="32">
        <f>IF($W1957="","",IF(ISNUMBER($W1957),IF($W1957&gt;=10000000,IFERROR(DATE(INT($W1957/10000),MOD(INT($W1957/100),100),MOD($W1957,100)),""),INT($W1957)),IFERROR(DATE(--LEFT(LEFT(SUBSTITUTE(SUBSTITUTE(SUBSTITUTE(SUBSTITUTE(TRIM($W1957),"-",""),".",""),"/","")," ",""),8),4),--MID(LEFT(SUBSTITUTE(SUBSTITUTE(SUBSTITUTE(SUBSTITUTE(TRIM($W1957),"-",""),".",""),"/","")," ",""),8),5,2),--MID(LEFT(SUBSTITUTE(SUBSTITUTE(SUBSTITUTE(SUBSTITUTE(TRIM($W1957),"-",""),".",""),"/","")," ",""),8),7,2)),"")))</f>
        <v/>
      </c>
      <c r="Y1957" s="32">
        <f>IF($X1957="","",INT($X1957))</f>
        <v/>
      </c>
      <c r="Z1957" s="33">
        <f>IF(OR($Y1957="",$D$6=""),"",IF(INDEX($A:$U,ROW(),$D$6)="",0,IF(ISNUMBER(INDEX($A:$U,ROW(),$D$6)),INDEX($A:$U,ROW(),$D$6),IFERROR(--SUBSTITUTE(SUBSTITUTE(TRIM(INDEX($A:$U,ROW(),$D$6)),",",""),"원",""),0))))</f>
        <v/>
      </c>
      <c r="AA1957" s="31">
        <f>IF($Y1957="","",TRIM(INDEX($A:$U,ROW(),$E$6)&amp;IF($F$6="",""," "&amp;INDEX($A:$U,ROW(),$F$6))))</f>
        <v/>
      </c>
      <c r="AB1957" s="31">
        <f>IF($AA1957="","",SUBSTITUTE(SUBSTITUTE(SUBSTITUTE(SUBSTITUTE(SUBSTITUTE(SUBSTITUTE(SUBSTITUTE(SUBSTITUTE(SUBSTITUTE($AA1957," ",""),"　",""),"(주)",""),"（주）",""),"㈜",""),"주식회사",""),"(유)",""),"（유）",""),"유한회사",""))</f>
        <v/>
      </c>
      <c r="AC1957" s="31">
        <f>IF(OR($Y1957="",N($Z1957)&lt;=0,$AB1957=""),0,IFERROR(LOOKUP(2,1/((거래처별!$AC$8:$AC$307&lt;&gt;"")*ISNUMBER(SEARCH(거래처별!$AC$8:$AC$307,$AB1957))),거래처별!$A$8:$A$307),IFERROR(LOOKUP(2,1/((거래처별!$AD$8:$AD$307&lt;&gt;"")*ISNUMBER(SEARCH(거래처별!$AD$8:$AD$307,$AB1957))),거래처별!$A$8:$A$307),IFERROR(LOOKUP(2,1/((거래처별!$AE$8:$AE$307&lt;&gt;"")*ISNUMBER(SEARCH(거래처별!$AE$8:$AE$307,$AB1957))),거래처별!$A$8:$A$307),0))))</f>
        <v/>
      </c>
      <c r="AD1957" s="31">
        <f>IF(AND($Y1957&lt;&gt;"",N($Z1957)&gt;0,$AC1957=0),MAX($AD$7:$AD1956)+1,"")</f>
        <v/>
      </c>
      <c r="AE1957" s="31">
        <f>IF($Y1957="",0,$Y1957)</f>
        <v/>
      </c>
    </row>
    <row r="1958">
      <c r="W1958" s="31">
        <f>IF(OR($B$5="",$C$6="",ROW()&lt;$B$5),"",IF(INDEX($A:$U,ROW(),$C$6)="","",INDEX($A:$U,ROW(),$C$6)))</f>
        <v/>
      </c>
      <c r="X1958" s="32">
        <f>IF($W1958="","",IF(ISNUMBER($W1958),IF($W1958&gt;=10000000,IFERROR(DATE(INT($W1958/10000),MOD(INT($W1958/100),100),MOD($W1958,100)),""),INT($W1958)),IFERROR(DATE(--LEFT(LEFT(SUBSTITUTE(SUBSTITUTE(SUBSTITUTE(SUBSTITUTE(TRIM($W1958),"-",""),".",""),"/","")," ",""),8),4),--MID(LEFT(SUBSTITUTE(SUBSTITUTE(SUBSTITUTE(SUBSTITUTE(TRIM($W1958),"-",""),".",""),"/","")," ",""),8),5,2),--MID(LEFT(SUBSTITUTE(SUBSTITUTE(SUBSTITUTE(SUBSTITUTE(TRIM($W1958),"-",""),".",""),"/","")," ",""),8),7,2)),"")))</f>
        <v/>
      </c>
      <c r="Y1958" s="32">
        <f>IF($X1958="","",INT($X1958))</f>
        <v/>
      </c>
      <c r="Z1958" s="33">
        <f>IF(OR($Y1958="",$D$6=""),"",IF(INDEX($A:$U,ROW(),$D$6)="",0,IF(ISNUMBER(INDEX($A:$U,ROW(),$D$6)),INDEX($A:$U,ROW(),$D$6),IFERROR(--SUBSTITUTE(SUBSTITUTE(TRIM(INDEX($A:$U,ROW(),$D$6)),",",""),"원",""),0))))</f>
        <v/>
      </c>
      <c r="AA1958" s="31">
        <f>IF($Y1958="","",TRIM(INDEX($A:$U,ROW(),$E$6)&amp;IF($F$6="",""," "&amp;INDEX($A:$U,ROW(),$F$6))))</f>
        <v/>
      </c>
      <c r="AB1958" s="31">
        <f>IF($AA1958="","",SUBSTITUTE(SUBSTITUTE(SUBSTITUTE(SUBSTITUTE(SUBSTITUTE(SUBSTITUTE(SUBSTITUTE(SUBSTITUTE(SUBSTITUTE($AA1958," ",""),"　",""),"(주)",""),"（주）",""),"㈜",""),"주식회사",""),"(유)",""),"（유）",""),"유한회사",""))</f>
        <v/>
      </c>
      <c r="AC1958" s="31">
        <f>IF(OR($Y1958="",N($Z1958)&lt;=0,$AB1958=""),0,IFERROR(LOOKUP(2,1/((거래처별!$AC$8:$AC$307&lt;&gt;"")*ISNUMBER(SEARCH(거래처별!$AC$8:$AC$307,$AB1958))),거래처별!$A$8:$A$307),IFERROR(LOOKUP(2,1/((거래처별!$AD$8:$AD$307&lt;&gt;"")*ISNUMBER(SEARCH(거래처별!$AD$8:$AD$307,$AB1958))),거래처별!$A$8:$A$307),IFERROR(LOOKUP(2,1/((거래처별!$AE$8:$AE$307&lt;&gt;"")*ISNUMBER(SEARCH(거래처별!$AE$8:$AE$307,$AB1958))),거래처별!$A$8:$A$307),0))))</f>
        <v/>
      </c>
      <c r="AD1958" s="31">
        <f>IF(AND($Y1958&lt;&gt;"",N($Z1958)&gt;0,$AC1958=0),MAX($AD$7:$AD1957)+1,"")</f>
        <v/>
      </c>
      <c r="AE1958" s="31">
        <f>IF($Y1958="",0,$Y1958)</f>
        <v/>
      </c>
    </row>
    <row r="1959">
      <c r="W1959" s="31">
        <f>IF(OR($B$5="",$C$6="",ROW()&lt;$B$5),"",IF(INDEX($A:$U,ROW(),$C$6)="","",INDEX($A:$U,ROW(),$C$6)))</f>
        <v/>
      </c>
      <c r="X1959" s="32">
        <f>IF($W1959="","",IF(ISNUMBER($W1959),IF($W1959&gt;=10000000,IFERROR(DATE(INT($W1959/10000),MOD(INT($W1959/100),100),MOD($W1959,100)),""),INT($W1959)),IFERROR(DATE(--LEFT(LEFT(SUBSTITUTE(SUBSTITUTE(SUBSTITUTE(SUBSTITUTE(TRIM($W1959),"-",""),".",""),"/","")," ",""),8),4),--MID(LEFT(SUBSTITUTE(SUBSTITUTE(SUBSTITUTE(SUBSTITUTE(TRIM($W1959),"-",""),".",""),"/","")," ",""),8),5,2),--MID(LEFT(SUBSTITUTE(SUBSTITUTE(SUBSTITUTE(SUBSTITUTE(TRIM($W1959),"-",""),".",""),"/","")," ",""),8),7,2)),"")))</f>
        <v/>
      </c>
      <c r="Y1959" s="32">
        <f>IF($X1959="","",INT($X1959))</f>
        <v/>
      </c>
      <c r="Z1959" s="33">
        <f>IF(OR($Y1959="",$D$6=""),"",IF(INDEX($A:$U,ROW(),$D$6)="",0,IF(ISNUMBER(INDEX($A:$U,ROW(),$D$6)),INDEX($A:$U,ROW(),$D$6),IFERROR(--SUBSTITUTE(SUBSTITUTE(TRIM(INDEX($A:$U,ROW(),$D$6)),",",""),"원",""),0))))</f>
        <v/>
      </c>
      <c r="AA1959" s="31">
        <f>IF($Y1959="","",TRIM(INDEX($A:$U,ROW(),$E$6)&amp;IF($F$6="",""," "&amp;INDEX($A:$U,ROW(),$F$6))))</f>
        <v/>
      </c>
      <c r="AB1959" s="31">
        <f>IF($AA1959="","",SUBSTITUTE(SUBSTITUTE(SUBSTITUTE(SUBSTITUTE(SUBSTITUTE(SUBSTITUTE(SUBSTITUTE(SUBSTITUTE(SUBSTITUTE($AA1959," ",""),"　",""),"(주)",""),"（주）",""),"㈜",""),"주식회사",""),"(유)",""),"（유）",""),"유한회사",""))</f>
        <v/>
      </c>
      <c r="AC1959" s="31">
        <f>IF(OR($Y1959="",N($Z1959)&lt;=0,$AB1959=""),0,IFERROR(LOOKUP(2,1/((거래처별!$AC$8:$AC$307&lt;&gt;"")*ISNUMBER(SEARCH(거래처별!$AC$8:$AC$307,$AB1959))),거래처별!$A$8:$A$307),IFERROR(LOOKUP(2,1/((거래처별!$AD$8:$AD$307&lt;&gt;"")*ISNUMBER(SEARCH(거래처별!$AD$8:$AD$307,$AB1959))),거래처별!$A$8:$A$307),IFERROR(LOOKUP(2,1/((거래처별!$AE$8:$AE$307&lt;&gt;"")*ISNUMBER(SEARCH(거래처별!$AE$8:$AE$307,$AB1959))),거래처별!$A$8:$A$307),0))))</f>
        <v/>
      </c>
      <c r="AD1959" s="31">
        <f>IF(AND($Y1959&lt;&gt;"",N($Z1959)&gt;0,$AC1959=0),MAX($AD$7:$AD1958)+1,"")</f>
        <v/>
      </c>
      <c r="AE1959" s="31">
        <f>IF($Y1959="",0,$Y1959)</f>
        <v/>
      </c>
    </row>
    <row r="1960">
      <c r="W1960" s="31">
        <f>IF(OR($B$5="",$C$6="",ROW()&lt;$B$5),"",IF(INDEX($A:$U,ROW(),$C$6)="","",INDEX($A:$U,ROW(),$C$6)))</f>
        <v/>
      </c>
      <c r="X1960" s="32">
        <f>IF($W1960="","",IF(ISNUMBER($W1960),IF($W1960&gt;=10000000,IFERROR(DATE(INT($W1960/10000),MOD(INT($W1960/100),100),MOD($W1960,100)),""),INT($W1960)),IFERROR(DATE(--LEFT(LEFT(SUBSTITUTE(SUBSTITUTE(SUBSTITUTE(SUBSTITUTE(TRIM($W1960),"-",""),".",""),"/","")," ",""),8),4),--MID(LEFT(SUBSTITUTE(SUBSTITUTE(SUBSTITUTE(SUBSTITUTE(TRIM($W1960),"-",""),".",""),"/","")," ",""),8),5,2),--MID(LEFT(SUBSTITUTE(SUBSTITUTE(SUBSTITUTE(SUBSTITUTE(TRIM($W1960),"-",""),".",""),"/","")," ",""),8),7,2)),"")))</f>
        <v/>
      </c>
      <c r="Y1960" s="32">
        <f>IF($X1960="","",INT($X1960))</f>
        <v/>
      </c>
      <c r="Z1960" s="33">
        <f>IF(OR($Y1960="",$D$6=""),"",IF(INDEX($A:$U,ROW(),$D$6)="",0,IF(ISNUMBER(INDEX($A:$U,ROW(),$D$6)),INDEX($A:$U,ROW(),$D$6),IFERROR(--SUBSTITUTE(SUBSTITUTE(TRIM(INDEX($A:$U,ROW(),$D$6)),",",""),"원",""),0))))</f>
        <v/>
      </c>
      <c r="AA1960" s="31">
        <f>IF($Y1960="","",TRIM(INDEX($A:$U,ROW(),$E$6)&amp;IF($F$6="",""," "&amp;INDEX($A:$U,ROW(),$F$6))))</f>
        <v/>
      </c>
      <c r="AB1960" s="31">
        <f>IF($AA1960="","",SUBSTITUTE(SUBSTITUTE(SUBSTITUTE(SUBSTITUTE(SUBSTITUTE(SUBSTITUTE(SUBSTITUTE(SUBSTITUTE(SUBSTITUTE($AA1960," ",""),"　",""),"(주)",""),"（주）",""),"㈜",""),"주식회사",""),"(유)",""),"（유）",""),"유한회사",""))</f>
        <v/>
      </c>
      <c r="AC1960" s="31">
        <f>IF(OR($Y1960="",N($Z1960)&lt;=0,$AB1960=""),0,IFERROR(LOOKUP(2,1/((거래처별!$AC$8:$AC$307&lt;&gt;"")*ISNUMBER(SEARCH(거래처별!$AC$8:$AC$307,$AB1960))),거래처별!$A$8:$A$307),IFERROR(LOOKUP(2,1/((거래처별!$AD$8:$AD$307&lt;&gt;"")*ISNUMBER(SEARCH(거래처별!$AD$8:$AD$307,$AB1960))),거래처별!$A$8:$A$307),IFERROR(LOOKUP(2,1/((거래처별!$AE$8:$AE$307&lt;&gt;"")*ISNUMBER(SEARCH(거래처별!$AE$8:$AE$307,$AB1960))),거래처별!$A$8:$A$307),0))))</f>
        <v/>
      </c>
      <c r="AD1960" s="31">
        <f>IF(AND($Y1960&lt;&gt;"",N($Z1960)&gt;0,$AC1960=0),MAX($AD$7:$AD1959)+1,"")</f>
        <v/>
      </c>
      <c r="AE1960" s="31">
        <f>IF($Y1960="",0,$Y1960)</f>
        <v/>
      </c>
    </row>
    <row r="1961">
      <c r="W1961" s="31">
        <f>IF(OR($B$5="",$C$6="",ROW()&lt;$B$5),"",IF(INDEX($A:$U,ROW(),$C$6)="","",INDEX($A:$U,ROW(),$C$6)))</f>
        <v/>
      </c>
      <c r="X1961" s="32">
        <f>IF($W1961="","",IF(ISNUMBER($W1961),IF($W1961&gt;=10000000,IFERROR(DATE(INT($W1961/10000),MOD(INT($W1961/100),100),MOD($W1961,100)),""),INT($W1961)),IFERROR(DATE(--LEFT(LEFT(SUBSTITUTE(SUBSTITUTE(SUBSTITUTE(SUBSTITUTE(TRIM($W1961),"-",""),".",""),"/","")," ",""),8),4),--MID(LEFT(SUBSTITUTE(SUBSTITUTE(SUBSTITUTE(SUBSTITUTE(TRIM($W1961),"-",""),".",""),"/","")," ",""),8),5,2),--MID(LEFT(SUBSTITUTE(SUBSTITUTE(SUBSTITUTE(SUBSTITUTE(TRIM($W1961),"-",""),".",""),"/","")," ",""),8),7,2)),"")))</f>
        <v/>
      </c>
      <c r="Y1961" s="32">
        <f>IF($X1961="","",INT($X1961))</f>
        <v/>
      </c>
      <c r="Z1961" s="33">
        <f>IF(OR($Y1961="",$D$6=""),"",IF(INDEX($A:$U,ROW(),$D$6)="",0,IF(ISNUMBER(INDEX($A:$U,ROW(),$D$6)),INDEX($A:$U,ROW(),$D$6),IFERROR(--SUBSTITUTE(SUBSTITUTE(TRIM(INDEX($A:$U,ROW(),$D$6)),",",""),"원",""),0))))</f>
        <v/>
      </c>
      <c r="AA1961" s="31">
        <f>IF($Y1961="","",TRIM(INDEX($A:$U,ROW(),$E$6)&amp;IF($F$6="",""," "&amp;INDEX($A:$U,ROW(),$F$6))))</f>
        <v/>
      </c>
      <c r="AB1961" s="31">
        <f>IF($AA1961="","",SUBSTITUTE(SUBSTITUTE(SUBSTITUTE(SUBSTITUTE(SUBSTITUTE(SUBSTITUTE(SUBSTITUTE(SUBSTITUTE(SUBSTITUTE($AA1961," ",""),"　",""),"(주)",""),"（주）",""),"㈜",""),"주식회사",""),"(유)",""),"（유）",""),"유한회사",""))</f>
        <v/>
      </c>
      <c r="AC1961" s="31">
        <f>IF(OR($Y1961="",N($Z1961)&lt;=0,$AB1961=""),0,IFERROR(LOOKUP(2,1/((거래처별!$AC$8:$AC$307&lt;&gt;"")*ISNUMBER(SEARCH(거래처별!$AC$8:$AC$307,$AB1961))),거래처별!$A$8:$A$307),IFERROR(LOOKUP(2,1/((거래처별!$AD$8:$AD$307&lt;&gt;"")*ISNUMBER(SEARCH(거래처별!$AD$8:$AD$307,$AB1961))),거래처별!$A$8:$A$307),IFERROR(LOOKUP(2,1/((거래처별!$AE$8:$AE$307&lt;&gt;"")*ISNUMBER(SEARCH(거래처별!$AE$8:$AE$307,$AB1961))),거래처별!$A$8:$A$307),0))))</f>
        <v/>
      </c>
      <c r="AD1961" s="31">
        <f>IF(AND($Y1961&lt;&gt;"",N($Z1961)&gt;0,$AC1961=0),MAX($AD$7:$AD1960)+1,"")</f>
        <v/>
      </c>
      <c r="AE1961" s="31">
        <f>IF($Y1961="",0,$Y1961)</f>
        <v/>
      </c>
    </row>
    <row r="1962">
      <c r="W1962" s="31">
        <f>IF(OR($B$5="",$C$6="",ROW()&lt;$B$5),"",IF(INDEX($A:$U,ROW(),$C$6)="","",INDEX($A:$U,ROW(),$C$6)))</f>
        <v/>
      </c>
      <c r="X1962" s="32">
        <f>IF($W1962="","",IF(ISNUMBER($W1962),IF($W1962&gt;=10000000,IFERROR(DATE(INT($W1962/10000),MOD(INT($W1962/100),100),MOD($W1962,100)),""),INT($W1962)),IFERROR(DATE(--LEFT(LEFT(SUBSTITUTE(SUBSTITUTE(SUBSTITUTE(SUBSTITUTE(TRIM($W1962),"-",""),".",""),"/","")," ",""),8),4),--MID(LEFT(SUBSTITUTE(SUBSTITUTE(SUBSTITUTE(SUBSTITUTE(TRIM($W1962),"-",""),".",""),"/","")," ",""),8),5,2),--MID(LEFT(SUBSTITUTE(SUBSTITUTE(SUBSTITUTE(SUBSTITUTE(TRIM($W1962),"-",""),".",""),"/","")," ",""),8),7,2)),"")))</f>
        <v/>
      </c>
      <c r="Y1962" s="32">
        <f>IF($X1962="","",INT($X1962))</f>
        <v/>
      </c>
      <c r="Z1962" s="33">
        <f>IF(OR($Y1962="",$D$6=""),"",IF(INDEX($A:$U,ROW(),$D$6)="",0,IF(ISNUMBER(INDEX($A:$U,ROW(),$D$6)),INDEX($A:$U,ROW(),$D$6),IFERROR(--SUBSTITUTE(SUBSTITUTE(TRIM(INDEX($A:$U,ROW(),$D$6)),",",""),"원",""),0))))</f>
        <v/>
      </c>
      <c r="AA1962" s="31">
        <f>IF($Y1962="","",TRIM(INDEX($A:$U,ROW(),$E$6)&amp;IF($F$6="",""," "&amp;INDEX($A:$U,ROW(),$F$6))))</f>
        <v/>
      </c>
      <c r="AB1962" s="31">
        <f>IF($AA1962="","",SUBSTITUTE(SUBSTITUTE(SUBSTITUTE(SUBSTITUTE(SUBSTITUTE(SUBSTITUTE(SUBSTITUTE(SUBSTITUTE(SUBSTITUTE($AA1962," ",""),"　",""),"(주)",""),"（주）",""),"㈜",""),"주식회사",""),"(유)",""),"（유）",""),"유한회사",""))</f>
        <v/>
      </c>
      <c r="AC1962" s="31">
        <f>IF(OR($Y1962="",N($Z1962)&lt;=0,$AB1962=""),0,IFERROR(LOOKUP(2,1/((거래처별!$AC$8:$AC$307&lt;&gt;"")*ISNUMBER(SEARCH(거래처별!$AC$8:$AC$307,$AB1962))),거래처별!$A$8:$A$307),IFERROR(LOOKUP(2,1/((거래처별!$AD$8:$AD$307&lt;&gt;"")*ISNUMBER(SEARCH(거래처별!$AD$8:$AD$307,$AB1962))),거래처별!$A$8:$A$307),IFERROR(LOOKUP(2,1/((거래처별!$AE$8:$AE$307&lt;&gt;"")*ISNUMBER(SEARCH(거래처별!$AE$8:$AE$307,$AB1962))),거래처별!$A$8:$A$307),0))))</f>
        <v/>
      </c>
      <c r="AD1962" s="31">
        <f>IF(AND($Y1962&lt;&gt;"",N($Z1962)&gt;0,$AC1962=0),MAX($AD$7:$AD1961)+1,"")</f>
        <v/>
      </c>
      <c r="AE1962" s="31">
        <f>IF($Y1962="",0,$Y1962)</f>
        <v/>
      </c>
    </row>
    <row r="1963">
      <c r="W1963" s="31">
        <f>IF(OR($B$5="",$C$6="",ROW()&lt;$B$5),"",IF(INDEX($A:$U,ROW(),$C$6)="","",INDEX($A:$U,ROW(),$C$6)))</f>
        <v/>
      </c>
      <c r="X1963" s="32">
        <f>IF($W1963="","",IF(ISNUMBER($W1963),IF($W1963&gt;=10000000,IFERROR(DATE(INT($W1963/10000),MOD(INT($W1963/100),100),MOD($W1963,100)),""),INT($W1963)),IFERROR(DATE(--LEFT(LEFT(SUBSTITUTE(SUBSTITUTE(SUBSTITUTE(SUBSTITUTE(TRIM($W1963),"-",""),".",""),"/","")," ",""),8),4),--MID(LEFT(SUBSTITUTE(SUBSTITUTE(SUBSTITUTE(SUBSTITUTE(TRIM($W1963),"-",""),".",""),"/","")," ",""),8),5,2),--MID(LEFT(SUBSTITUTE(SUBSTITUTE(SUBSTITUTE(SUBSTITUTE(TRIM($W1963),"-",""),".",""),"/","")," ",""),8),7,2)),"")))</f>
        <v/>
      </c>
      <c r="Y1963" s="32">
        <f>IF($X1963="","",INT($X1963))</f>
        <v/>
      </c>
      <c r="Z1963" s="33">
        <f>IF(OR($Y1963="",$D$6=""),"",IF(INDEX($A:$U,ROW(),$D$6)="",0,IF(ISNUMBER(INDEX($A:$U,ROW(),$D$6)),INDEX($A:$U,ROW(),$D$6),IFERROR(--SUBSTITUTE(SUBSTITUTE(TRIM(INDEX($A:$U,ROW(),$D$6)),",",""),"원",""),0))))</f>
        <v/>
      </c>
      <c r="AA1963" s="31">
        <f>IF($Y1963="","",TRIM(INDEX($A:$U,ROW(),$E$6)&amp;IF($F$6="",""," "&amp;INDEX($A:$U,ROW(),$F$6))))</f>
        <v/>
      </c>
      <c r="AB1963" s="31">
        <f>IF($AA1963="","",SUBSTITUTE(SUBSTITUTE(SUBSTITUTE(SUBSTITUTE(SUBSTITUTE(SUBSTITUTE(SUBSTITUTE(SUBSTITUTE(SUBSTITUTE($AA1963," ",""),"　",""),"(주)",""),"（주）",""),"㈜",""),"주식회사",""),"(유)",""),"（유）",""),"유한회사",""))</f>
        <v/>
      </c>
      <c r="AC1963" s="31">
        <f>IF(OR($Y1963="",N($Z1963)&lt;=0,$AB1963=""),0,IFERROR(LOOKUP(2,1/((거래처별!$AC$8:$AC$307&lt;&gt;"")*ISNUMBER(SEARCH(거래처별!$AC$8:$AC$307,$AB1963))),거래처별!$A$8:$A$307),IFERROR(LOOKUP(2,1/((거래처별!$AD$8:$AD$307&lt;&gt;"")*ISNUMBER(SEARCH(거래처별!$AD$8:$AD$307,$AB1963))),거래처별!$A$8:$A$307),IFERROR(LOOKUP(2,1/((거래처별!$AE$8:$AE$307&lt;&gt;"")*ISNUMBER(SEARCH(거래처별!$AE$8:$AE$307,$AB1963))),거래처별!$A$8:$A$307),0))))</f>
        <v/>
      </c>
      <c r="AD1963" s="31">
        <f>IF(AND($Y1963&lt;&gt;"",N($Z1963)&gt;0,$AC1963=0),MAX($AD$7:$AD1962)+1,"")</f>
        <v/>
      </c>
      <c r="AE1963" s="31">
        <f>IF($Y1963="",0,$Y1963)</f>
        <v/>
      </c>
    </row>
    <row r="1964">
      <c r="W1964" s="31">
        <f>IF(OR($B$5="",$C$6="",ROW()&lt;$B$5),"",IF(INDEX($A:$U,ROW(),$C$6)="","",INDEX($A:$U,ROW(),$C$6)))</f>
        <v/>
      </c>
      <c r="X1964" s="32">
        <f>IF($W1964="","",IF(ISNUMBER($W1964),IF($W1964&gt;=10000000,IFERROR(DATE(INT($W1964/10000),MOD(INT($W1964/100),100),MOD($W1964,100)),""),INT($W1964)),IFERROR(DATE(--LEFT(LEFT(SUBSTITUTE(SUBSTITUTE(SUBSTITUTE(SUBSTITUTE(TRIM($W1964),"-",""),".",""),"/","")," ",""),8),4),--MID(LEFT(SUBSTITUTE(SUBSTITUTE(SUBSTITUTE(SUBSTITUTE(TRIM($W1964),"-",""),".",""),"/","")," ",""),8),5,2),--MID(LEFT(SUBSTITUTE(SUBSTITUTE(SUBSTITUTE(SUBSTITUTE(TRIM($W1964),"-",""),".",""),"/","")," ",""),8),7,2)),"")))</f>
        <v/>
      </c>
      <c r="Y1964" s="32">
        <f>IF($X1964="","",INT($X1964))</f>
        <v/>
      </c>
      <c r="Z1964" s="33">
        <f>IF(OR($Y1964="",$D$6=""),"",IF(INDEX($A:$U,ROW(),$D$6)="",0,IF(ISNUMBER(INDEX($A:$U,ROW(),$D$6)),INDEX($A:$U,ROW(),$D$6),IFERROR(--SUBSTITUTE(SUBSTITUTE(TRIM(INDEX($A:$U,ROW(),$D$6)),",",""),"원",""),0))))</f>
        <v/>
      </c>
      <c r="AA1964" s="31">
        <f>IF($Y1964="","",TRIM(INDEX($A:$U,ROW(),$E$6)&amp;IF($F$6="",""," "&amp;INDEX($A:$U,ROW(),$F$6))))</f>
        <v/>
      </c>
      <c r="AB1964" s="31">
        <f>IF($AA1964="","",SUBSTITUTE(SUBSTITUTE(SUBSTITUTE(SUBSTITUTE(SUBSTITUTE(SUBSTITUTE(SUBSTITUTE(SUBSTITUTE(SUBSTITUTE($AA1964," ",""),"　",""),"(주)",""),"（주）",""),"㈜",""),"주식회사",""),"(유)",""),"（유）",""),"유한회사",""))</f>
        <v/>
      </c>
      <c r="AC1964" s="31">
        <f>IF(OR($Y1964="",N($Z1964)&lt;=0,$AB1964=""),0,IFERROR(LOOKUP(2,1/((거래처별!$AC$8:$AC$307&lt;&gt;"")*ISNUMBER(SEARCH(거래처별!$AC$8:$AC$307,$AB1964))),거래처별!$A$8:$A$307),IFERROR(LOOKUP(2,1/((거래처별!$AD$8:$AD$307&lt;&gt;"")*ISNUMBER(SEARCH(거래처별!$AD$8:$AD$307,$AB1964))),거래처별!$A$8:$A$307),IFERROR(LOOKUP(2,1/((거래처별!$AE$8:$AE$307&lt;&gt;"")*ISNUMBER(SEARCH(거래처별!$AE$8:$AE$307,$AB1964))),거래처별!$A$8:$A$307),0))))</f>
        <v/>
      </c>
      <c r="AD1964" s="31">
        <f>IF(AND($Y1964&lt;&gt;"",N($Z1964)&gt;0,$AC1964=0),MAX($AD$7:$AD1963)+1,"")</f>
        <v/>
      </c>
      <c r="AE1964" s="31">
        <f>IF($Y1964="",0,$Y1964)</f>
        <v/>
      </c>
    </row>
    <row r="1965">
      <c r="W1965" s="31">
        <f>IF(OR($B$5="",$C$6="",ROW()&lt;$B$5),"",IF(INDEX($A:$U,ROW(),$C$6)="","",INDEX($A:$U,ROW(),$C$6)))</f>
        <v/>
      </c>
      <c r="X1965" s="32">
        <f>IF($W1965="","",IF(ISNUMBER($W1965),IF($W1965&gt;=10000000,IFERROR(DATE(INT($W1965/10000),MOD(INT($W1965/100),100),MOD($W1965,100)),""),INT($W1965)),IFERROR(DATE(--LEFT(LEFT(SUBSTITUTE(SUBSTITUTE(SUBSTITUTE(SUBSTITUTE(TRIM($W1965),"-",""),".",""),"/","")," ",""),8),4),--MID(LEFT(SUBSTITUTE(SUBSTITUTE(SUBSTITUTE(SUBSTITUTE(TRIM($W1965),"-",""),".",""),"/","")," ",""),8),5,2),--MID(LEFT(SUBSTITUTE(SUBSTITUTE(SUBSTITUTE(SUBSTITUTE(TRIM($W1965),"-",""),".",""),"/","")," ",""),8),7,2)),"")))</f>
        <v/>
      </c>
      <c r="Y1965" s="32">
        <f>IF($X1965="","",INT($X1965))</f>
        <v/>
      </c>
      <c r="Z1965" s="33">
        <f>IF(OR($Y1965="",$D$6=""),"",IF(INDEX($A:$U,ROW(),$D$6)="",0,IF(ISNUMBER(INDEX($A:$U,ROW(),$D$6)),INDEX($A:$U,ROW(),$D$6),IFERROR(--SUBSTITUTE(SUBSTITUTE(TRIM(INDEX($A:$U,ROW(),$D$6)),",",""),"원",""),0))))</f>
        <v/>
      </c>
      <c r="AA1965" s="31">
        <f>IF($Y1965="","",TRIM(INDEX($A:$U,ROW(),$E$6)&amp;IF($F$6="",""," "&amp;INDEX($A:$U,ROW(),$F$6))))</f>
        <v/>
      </c>
      <c r="AB1965" s="31">
        <f>IF($AA1965="","",SUBSTITUTE(SUBSTITUTE(SUBSTITUTE(SUBSTITUTE(SUBSTITUTE(SUBSTITUTE(SUBSTITUTE(SUBSTITUTE(SUBSTITUTE($AA1965," ",""),"　",""),"(주)",""),"（주）",""),"㈜",""),"주식회사",""),"(유)",""),"（유）",""),"유한회사",""))</f>
        <v/>
      </c>
      <c r="AC1965" s="31">
        <f>IF(OR($Y1965="",N($Z1965)&lt;=0,$AB1965=""),0,IFERROR(LOOKUP(2,1/((거래처별!$AC$8:$AC$307&lt;&gt;"")*ISNUMBER(SEARCH(거래처별!$AC$8:$AC$307,$AB1965))),거래처별!$A$8:$A$307),IFERROR(LOOKUP(2,1/((거래처별!$AD$8:$AD$307&lt;&gt;"")*ISNUMBER(SEARCH(거래처별!$AD$8:$AD$307,$AB1965))),거래처별!$A$8:$A$307),IFERROR(LOOKUP(2,1/((거래처별!$AE$8:$AE$307&lt;&gt;"")*ISNUMBER(SEARCH(거래처별!$AE$8:$AE$307,$AB1965))),거래처별!$A$8:$A$307),0))))</f>
        <v/>
      </c>
      <c r="AD1965" s="31">
        <f>IF(AND($Y1965&lt;&gt;"",N($Z1965)&gt;0,$AC1965=0),MAX($AD$7:$AD1964)+1,"")</f>
        <v/>
      </c>
      <c r="AE1965" s="31">
        <f>IF($Y1965="",0,$Y1965)</f>
        <v/>
      </c>
    </row>
    <row r="1966">
      <c r="W1966" s="31">
        <f>IF(OR($B$5="",$C$6="",ROW()&lt;$B$5),"",IF(INDEX($A:$U,ROW(),$C$6)="","",INDEX($A:$U,ROW(),$C$6)))</f>
        <v/>
      </c>
      <c r="X1966" s="32">
        <f>IF($W1966="","",IF(ISNUMBER($W1966),IF($W1966&gt;=10000000,IFERROR(DATE(INT($W1966/10000),MOD(INT($W1966/100),100),MOD($W1966,100)),""),INT($W1966)),IFERROR(DATE(--LEFT(LEFT(SUBSTITUTE(SUBSTITUTE(SUBSTITUTE(SUBSTITUTE(TRIM($W1966),"-",""),".",""),"/","")," ",""),8),4),--MID(LEFT(SUBSTITUTE(SUBSTITUTE(SUBSTITUTE(SUBSTITUTE(TRIM($W1966),"-",""),".",""),"/","")," ",""),8),5,2),--MID(LEFT(SUBSTITUTE(SUBSTITUTE(SUBSTITUTE(SUBSTITUTE(TRIM($W1966),"-",""),".",""),"/","")," ",""),8),7,2)),"")))</f>
        <v/>
      </c>
      <c r="Y1966" s="32">
        <f>IF($X1966="","",INT($X1966))</f>
        <v/>
      </c>
      <c r="Z1966" s="33">
        <f>IF(OR($Y1966="",$D$6=""),"",IF(INDEX($A:$U,ROW(),$D$6)="",0,IF(ISNUMBER(INDEX($A:$U,ROW(),$D$6)),INDEX($A:$U,ROW(),$D$6),IFERROR(--SUBSTITUTE(SUBSTITUTE(TRIM(INDEX($A:$U,ROW(),$D$6)),",",""),"원",""),0))))</f>
        <v/>
      </c>
      <c r="AA1966" s="31">
        <f>IF($Y1966="","",TRIM(INDEX($A:$U,ROW(),$E$6)&amp;IF($F$6="",""," "&amp;INDEX($A:$U,ROW(),$F$6))))</f>
        <v/>
      </c>
      <c r="AB1966" s="31">
        <f>IF($AA1966="","",SUBSTITUTE(SUBSTITUTE(SUBSTITUTE(SUBSTITUTE(SUBSTITUTE(SUBSTITUTE(SUBSTITUTE(SUBSTITUTE(SUBSTITUTE($AA1966," ",""),"　",""),"(주)",""),"（주）",""),"㈜",""),"주식회사",""),"(유)",""),"（유）",""),"유한회사",""))</f>
        <v/>
      </c>
      <c r="AC1966" s="31">
        <f>IF(OR($Y1966="",N($Z1966)&lt;=0,$AB1966=""),0,IFERROR(LOOKUP(2,1/((거래처별!$AC$8:$AC$307&lt;&gt;"")*ISNUMBER(SEARCH(거래처별!$AC$8:$AC$307,$AB1966))),거래처별!$A$8:$A$307),IFERROR(LOOKUP(2,1/((거래처별!$AD$8:$AD$307&lt;&gt;"")*ISNUMBER(SEARCH(거래처별!$AD$8:$AD$307,$AB1966))),거래처별!$A$8:$A$307),IFERROR(LOOKUP(2,1/((거래처별!$AE$8:$AE$307&lt;&gt;"")*ISNUMBER(SEARCH(거래처별!$AE$8:$AE$307,$AB1966))),거래처별!$A$8:$A$307),0))))</f>
        <v/>
      </c>
      <c r="AD1966" s="31">
        <f>IF(AND($Y1966&lt;&gt;"",N($Z1966)&gt;0,$AC1966=0),MAX($AD$7:$AD1965)+1,"")</f>
        <v/>
      </c>
      <c r="AE1966" s="31">
        <f>IF($Y1966="",0,$Y1966)</f>
        <v/>
      </c>
    </row>
    <row r="1967">
      <c r="W1967" s="31">
        <f>IF(OR($B$5="",$C$6="",ROW()&lt;$B$5),"",IF(INDEX($A:$U,ROW(),$C$6)="","",INDEX($A:$U,ROW(),$C$6)))</f>
        <v/>
      </c>
      <c r="X1967" s="32">
        <f>IF($W1967="","",IF(ISNUMBER($W1967),IF($W1967&gt;=10000000,IFERROR(DATE(INT($W1967/10000),MOD(INT($W1967/100),100),MOD($W1967,100)),""),INT($W1967)),IFERROR(DATE(--LEFT(LEFT(SUBSTITUTE(SUBSTITUTE(SUBSTITUTE(SUBSTITUTE(TRIM($W1967),"-",""),".",""),"/","")," ",""),8),4),--MID(LEFT(SUBSTITUTE(SUBSTITUTE(SUBSTITUTE(SUBSTITUTE(TRIM($W1967),"-",""),".",""),"/","")," ",""),8),5,2),--MID(LEFT(SUBSTITUTE(SUBSTITUTE(SUBSTITUTE(SUBSTITUTE(TRIM($W1967),"-",""),".",""),"/","")," ",""),8),7,2)),"")))</f>
        <v/>
      </c>
      <c r="Y1967" s="32">
        <f>IF($X1967="","",INT($X1967))</f>
        <v/>
      </c>
      <c r="Z1967" s="33">
        <f>IF(OR($Y1967="",$D$6=""),"",IF(INDEX($A:$U,ROW(),$D$6)="",0,IF(ISNUMBER(INDEX($A:$U,ROW(),$D$6)),INDEX($A:$U,ROW(),$D$6),IFERROR(--SUBSTITUTE(SUBSTITUTE(TRIM(INDEX($A:$U,ROW(),$D$6)),",",""),"원",""),0))))</f>
        <v/>
      </c>
      <c r="AA1967" s="31">
        <f>IF($Y1967="","",TRIM(INDEX($A:$U,ROW(),$E$6)&amp;IF($F$6="",""," "&amp;INDEX($A:$U,ROW(),$F$6))))</f>
        <v/>
      </c>
      <c r="AB1967" s="31">
        <f>IF($AA1967="","",SUBSTITUTE(SUBSTITUTE(SUBSTITUTE(SUBSTITUTE(SUBSTITUTE(SUBSTITUTE(SUBSTITUTE(SUBSTITUTE(SUBSTITUTE($AA1967," ",""),"　",""),"(주)",""),"（주）",""),"㈜",""),"주식회사",""),"(유)",""),"（유）",""),"유한회사",""))</f>
        <v/>
      </c>
      <c r="AC1967" s="31">
        <f>IF(OR($Y1967="",N($Z1967)&lt;=0,$AB1967=""),0,IFERROR(LOOKUP(2,1/((거래처별!$AC$8:$AC$307&lt;&gt;"")*ISNUMBER(SEARCH(거래처별!$AC$8:$AC$307,$AB1967))),거래처별!$A$8:$A$307),IFERROR(LOOKUP(2,1/((거래처별!$AD$8:$AD$307&lt;&gt;"")*ISNUMBER(SEARCH(거래처별!$AD$8:$AD$307,$AB1967))),거래처별!$A$8:$A$307),IFERROR(LOOKUP(2,1/((거래처별!$AE$8:$AE$307&lt;&gt;"")*ISNUMBER(SEARCH(거래처별!$AE$8:$AE$307,$AB1967))),거래처별!$A$8:$A$307),0))))</f>
        <v/>
      </c>
      <c r="AD1967" s="31">
        <f>IF(AND($Y1967&lt;&gt;"",N($Z1967)&gt;0,$AC1967=0),MAX($AD$7:$AD1966)+1,"")</f>
        <v/>
      </c>
      <c r="AE1967" s="31">
        <f>IF($Y1967="",0,$Y1967)</f>
        <v/>
      </c>
    </row>
    <row r="1968">
      <c r="W1968" s="31">
        <f>IF(OR($B$5="",$C$6="",ROW()&lt;$B$5),"",IF(INDEX($A:$U,ROW(),$C$6)="","",INDEX($A:$U,ROW(),$C$6)))</f>
        <v/>
      </c>
      <c r="X1968" s="32">
        <f>IF($W1968="","",IF(ISNUMBER($W1968),IF($W1968&gt;=10000000,IFERROR(DATE(INT($W1968/10000),MOD(INT($W1968/100),100),MOD($W1968,100)),""),INT($W1968)),IFERROR(DATE(--LEFT(LEFT(SUBSTITUTE(SUBSTITUTE(SUBSTITUTE(SUBSTITUTE(TRIM($W1968),"-",""),".",""),"/","")," ",""),8),4),--MID(LEFT(SUBSTITUTE(SUBSTITUTE(SUBSTITUTE(SUBSTITUTE(TRIM($W1968),"-",""),".",""),"/","")," ",""),8),5,2),--MID(LEFT(SUBSTITUTE(SUBSTITUTE(SUBSTITUTE(SUBSTITUTE(TRIM($W1968),"-",""),".",""),"/","")," ",""),8),7,2)),"")))</f>
        <v/>
      </c>
      <c r="Y1968" s="32">
        <f>IF($X1968="","",INT($X1968))</f>
        <v/>
      </c>
      <c r="Z1968" s="33">
        <f>IF(OR($Y1968="",$D$6=""),"",IF(INDEX($A:$U,ROW(),$D$6)="",0,IF(ISNUMBER(INDEX($A:$U,ROW(),$D$6)),INDEX($A:$U,ROW(),$D$6),IFERROR(--SUBSTITUTE(SUBSTITUTE(TRIM(INDEX($A:$U,ROW(),$D$6)),",",""),"원",""),0))))</f>
        <v/>
      </c>
      <c r="AA1968" s="31">
        <f>IF($Y1968="","",TRIM(INDEX($A:$U,ROW(),$E$6)&amp;IF($F$6="",""," "&amp;INDEX($A:$U,ROW(),$F$6))))</f>
        <v/>
      </c>
      <c r="AB1968" s="31">
        <f>IF($AA1968="","",SUBSTITUTE(SUBSTITUTE(SUBSTITUTE(SUBSTITUTE(SUBSTITUTE(SUBSTITUTE(SUBSTITUTE(SUBSTITUTE(SUBSTITUTE($AA1968," ",""),"　",""),"(주)",""),"（주）",""),"㈜",""),"주식회사",""),"(유)",""),"（유）",""),"유한회사",""))</f>
        <v/>
      </c>
      <c r="AC1968" s="31">
        <f>IF(OR($Y1968="",N($Z1968)&lt;=0,$AB1968=""),0,IFERROR(LOOKUP(2,1/((거래처별!$AC$8:$AC$307&lt;&gt;"")*ISNUMBER(SEARCH(거래처별!$AC$8:$AC$307,$AB1968))),거래처별!$A$8:$A$307),IFERROR(LOOKUP(2,1/((거래처별!$AD$8:$AD$307&lt;&gt;"")*ISNUMBER(SEARCH(거래처별!$AD$8:$AD$307,$AB1968))),거래처별!$A$8:$A$307),IFERROR(LOOKUP(2,1/((거래처별!$AE$8:$AE$307&lt;&gt;"")*ISNUMBER(SEARCH(거래처별!$AE$8:$AE$307,$AB1968))),거래처별!$A$8:$A$307),0))))</f>
        <v/>
      </c>
      <c r="AD1968" s="31">
        <f>IF(AND($Y1968&lt;&gt;"",N($Z1968)&gt;0,$AC1968=0),MAX($AD$7:$AD1967)+1,"")</f>
        <v/>
      </c>
      <c r="AE1968" s="31">
        <f>IF($Y1968="",0,$Y1968)</f>
        <v/>
      </c>
    </row>
    <row r="1969">
      <c r="W1969" s="31">
        <f>IF(OR($B$5="",$C$6="",ROW()&lt;$B$5),"",IF(INDEX($A:$U,ROW(),$C$6)="","",INDEX($A:$U,ROW(),$C$6)))</f>
        <v/>
      </c>
      <c r="X1969" s="32">
        <f>IF($W1969="","",IF(ISNUMBER($W1969),IF($W1969&gt;=10000000,IFERROR(DATE(INT($W1969/10000),MOD(INT($W1969/100),100),MOD($W1969,100)),""),INT($W1969)),IFERROR(DATE(--LEFT(LEFT(SUBSTITUTE(SUBSTITUTE(SUBSTITUTE(SUBSTITUTE(TRIM($W1969),"-",""),".",""),"/","")," ",""),8),4),--MID(LEFT(SUBSTITUTE(SUBSTITUTE(SUBSTITUTE(SUBSTITUTE(TRIM($W1969),"-",""),".",""),"/","")," ",""),8),5,2),--MID(LEFT(SUBSTITUTE(SUBSTITUTE(SUBSTITUTE(SUBSTITUTE(TRIM($W1969),"-",""),".",""),"/","")," ",""),8),7,2)),"")))</f>
        <v/>
      </c>
      <c r="Y1969" s="32">
        <f>IF($X1969="","",INT($X1969))</f>
        <v/>
      </c>
      <c r="Z1969" s="33">
        <f>IF(OR($Y1969="",$D$6=""),"",IF(INDEX($A:$U,ROW(),$D$6)="",0,IF(ISNUMBER(INDEX($A:$U,ROW(),$D$6)),INDEX($A:$U,ROW(),$D$6),IFERROR(--SUBSTITUTE(SUBSTITUTE(TRIM(INDEX($A:$U,ROW(),$D$6)),",",""),"원",""),0))))</f>
        <v/>
      </c>
      <c r="AA1969" s="31">
        <f>IF($Y1969="","",TRIM(INDEX($A:$U,ROW(),$E$6)&amp;IF($F$6="",""," "&amp;INDEX($A:$U,ROW(),$F$6))))</f>
        <v/>
      </c>
      <c r="AB1969" s="31">
        <f>IF($AA1969="","",SUBSTITUTE(SUBSTITUTE(SUBSTITUTE(SUBSTITUTE(SUBSTITUTE(SUBSTITUTE(SUBSTITUTE(SUBSTITUTE(SUBSTITUTE($AA1969," ",""),"　",""),"(주)",""),"（주）",""),"㈜",""),"주식회사",""),"(유)",""),"（유）",""),"유한회사",""))</f>
        <v/>
      </c>
      <c r="AC1969" s="31">
        <f>IF(OR($Y1969="",N($Z1969)&lt;=0,$AB1969=""),0,IFERROR(LOOKUP(2,1/((거래처별!$AC$8:$AC$307&lt;&gt;"")*ISNUMBER(SEARCH(거래처별!$AC$8:$AC$307,$AB1969))),거래처별!$A$8:$A$307),IFERROR(LOOKUP(2,1/((거래처별!$AD$8:$AD$307&lt;&gt;"")*ISNUMBER(SEARCH(거래처별!$AD$8:$AD$307,$AB1969))),거래처별!$A$8:$A$307),IFERROR(LOOKUP(2,1/((거래처별!$AE$8:$AE$307&lt;&gt;"")*ISNUMBER(SEARCH(거래처별!$AE$8:$AE$307,$AB1969))),거래처별!$A$8:$A$307),0))))</f>
        <v/>
      </c>
      <c r="AD1969" s="31">
        <f>IF(AND($Y1969&lt;&gt;"",N($Z1969)&gt;0,$AC1969=0),MAX($AD$7:$AD1968)+1,"")</f>
        <v/>
      </c>
      <c r="AE1969" s="31">
        <f>IF($Y1969="",0,$Y1969)</f>
        <v/>
      </c>
    </row>
    <row r="1970">
      <c r="W1970" s="31">
        <f>IF(OR($B$5="",$C$6="",ROW()&lt;$B$5),"",IF(INDEX($A:$U,ROW(),$C$6)="","",INDEX($A:$U,ROW(),$C$6)))</f>
        <v/>
      </c>
      <c r="X1970" s="32">
        <f>IF($W1970="","",IF(ISNUMBER($W1970),IF($W1970&gt;=10000000,IFERROR(DATE(INT($W1970/10000),MOD(INT($W1970/100),100),MOD($W1970,100)),""),INT($W1970)),IFERROR(DATE(--LEFT(LEFT(SUBSTITUTE(SUBSTITUTE(SUBSTITUTE(SUBSTITUTE(TRIM($W1970),"-",""),".",""),"/","")," ",""),8),4),--MID(LEFT(SUBSTITUTE(SUBSTITUTE(SUBSTITUTE(SUBSTITUTE(TRIM($W1970),"-",""),".",""),"/","")," ",""),8),5,2),--MID(LEFT(SUBSTITUTE(SUBSTITUTE(SUBSTITUTE(SUBSTITUTE(TRIM($W1970),"-",""),".",""),"/","")," ",""),8),7,2)),"")))</f>
        <v/>
      </c>
      <c r="Y1970" s="32">
        <f>IF($X1970="","",INT($X1970))</f>
        <v/>
      </c>
      <c r="Z1970" s="33">
        <f>IF(OR($Y1970="",$D$6=""),"",IF(INDEX($A:$U,ROW(),$D$6)="",0,IF(ISNUMBER(INDEX($A:$U,ROW(),$D$6)),INDEX($A:$U,ROW(),$D$6),IFERROR(--SUBSTITUTE(SUBSTITUTE(TRIM(INDEX($A:$U,ROW(),$D$6)),",",""),"원",""),0))))</f>
        <v/>
      </c>
      <c r="AA1970" s="31">
        <f>IF($Y1970="","",TRIM(INDEX($A:$U,ROW(),$E$6)&amp;IF($F$6="",""," "&amp;INDEX($A:$U,ROW(),$F$6))))</f>
        <v/>
      </c>
      <c r="AB1970" s="31">
        <f>IF($AA1970="","",SUBSTITUTE(SUBSTITUTE(SUBSTITUTE(SUBSTITUTE(SUBSTITUTE(SUBSTITUTE(SUBSTITUTE(SUBSTITUTE(SUBSTITUTE($AA1970," ",""),"　",""),"(주)",""),"（주）",""),"㈜",""),"주식회사",""),"(유)",""),"（유）",""),"유한회사",""))</f>
        <v/>
      </c>
      <c r="AC1970" s="31">
        <f>IF(OR($Y1970="",N($Z1970)&lt;=0,$AB1970=""),0,IFERROR(LOOKUP(2,1/((거래처별!$AC$8:$AC$307&lt;&gt;"")*ISNUMBER(SEARCH(거래처별!$AC$8:$AC$307,$AB1970))),거래처별!$A$8:$A$307),IFERROR(LOOKUP(2,1/((거래처별!$AD$8:$AD$307&lt;&gt;"")*ISNUMBER(SEARCH(거래처별!$AD$8:$AD$307,$AB1970))),거래처별!$A$8:$A$307),IFERROR(LOOKUP(2,1/((거래처별!$AE$8:$AE$307&lt;&gt;"")*ISNUMBER(SEARCH(거래처별!$AE$8:$AE$307,$AB1970))),거래처별!$A$8:$A$307),0))))</f>
        <v/>
      </c>
      <c r="AD1970" s="31">
        <f>IF(AND($Y1970&lt;&gt;"",N($Z1970)&gt;0,$AC1970=0),MAX($AD$7:$AD1969)+1,"")</f>
        <v/>
      </c>
      <c r="AE1970" s="31">
        <f>IF($Y1970="",0,$Y1970)</f>
        <v/>
      </c>
    </row>
    <row r="1971">
      <c r="W1971" s="31">
        <f>IF(OR($B$5="",$C$6="",ROW()&lt;$B$5),"",IF(INDEX($A:$U,ROW(),$C$6)="","",INDEX($A:$U,ROW(),$C$6)))</f>
        <v/>
      </c>
      <c r="X1971" s="32">
        <f>IF($W1971="","",IF(ISNUMBER($W1971),IF($W1971&gt;=10000000,IFERROR(DATE(INT($W1971/10000),MOD(INT($W1971/100),100),MOD($W1971,100)),""),INT($W1971)),IFERROR(DATE(--LEFT(LEFT(SUBSTITUTE(SUBSTITUTE(SUBSTITUTE(SUBSTITUTE(TRIM($W1971),"-",""),".",""),"/","")," ",""),8),4),--MID(LEFT(SUBSTITUTE(SUBSTITUTE(SUBSTITUTE(SUBSTITUTE(TRIM($W1971),"-",""),".",""),"/","")," ",""),8),5,2),--MID(LEFT(SUBSTITUTE(SUBSTITUTE(SUBSTITUTE(SUBSTITUTE(TRIM($W1971),"-",""),".",""),"/","")," ",""),8),7,2)),"")))</f>
        <v/>
      </c>
      <c r="Y1971" s="32">
        <f>IF($X1971="","",INT($X1971))</f>
        <v/>
      </c>
      <c r="Z1971" s="33">
        <f>IF(OR($Y1971="",$D$6=""),"",IF(INDEX($A:$U,ROW(),$D$6)="",0,IF(ISNUMBER(INDEX($A:$U,ROW(),$D$6)),INDEX($A:$U,ROW(),$D$6),IFERROR(--SUBSTITUTE(SUBSTITUTE(TRIM(INDEX($A:$U,ROW(),$D$6)),",",""),"원",""),0))))</f>
        <v/>
      </c>
      <c r="AA1971" s="31">
        <f>IF($Y1971="","",TRIM(INDEX($A:$U,ROW(),$E$6)&amp;IF($F$6="",""," "&amp;INDEX($A:$U,ROW(),$F$6))))</f>
        <v/>
      </c>
      <c r="AB1971" s="31">
        <f>IF($AA1971="","",SUBSTITUTE(SUBSTITUTE(SUBSTITUTE(SUBSTITUTE(SUBSTITUTE(SUBSTITUTE(SUBSTITUTE(SUBSTITUTE(SUBSTITUTE($AA1971," ",""),"　",""),"(주)",""),"（주）",""),"㈜",""),"주식회사",""),"(유)",""),"（유）",""),"유한회사",""))</f>
        <v/>
      </c>
      <c r="AC1971" s="31">
        <f>IF(OR($Y1971="",N($Z1971)&lt;=0,$AB1971=""),0,IFERROR(LOOKUP(2,1/((거래처별!$AC$8:$AC$307&lt;&gt;"")*ISNUMBER(SEARCH(거래처별!$AC$8:$AC$307,$AB1971))),거래처별!$A$8:$A$307),IFERROR(LOOKUP(2,1/((거래처별!$AD$8:$AD$307&lt;&gt;"")*ISNUMBER(SEARCH(거래처별!$AD$8:$AD$307,$AB1971))),거래처별!$A$8:$A$307),IFERROR(LOOKUP(2,1/((거래처별!$AE$8:$AE$307&lt;&gt;"")*ISNUMBER(SEARCH(거래처별!$AE$8:$AE$307,$AB1971))),거래처별!$A$8:$A$307),0))))</f>
        <v/>
      </c>
      <c r="AD1971" s="31">
        <f>IF(AND($Y1971&lt;&gt;"",N($Z1971)&gt;0,$AC1971=0),MAX($AD$7:$AD1970)+1,"")</f>
        <v/>
      </c>
      <c r="AE1971" s="31">
        <f>IF($Y1971="",0,$Y1971)</f>
        <v/>
      </c>
    </row>
    <row r="1972">
      <c r="W1972" s="31">
        <f>IF(OR($B$5="",$C$6="",ROW()&lt;$B$5),"",IF(INDEX($A:$U,ROW(),$C$6)="","",INDEX($A:$U,ROW(),$C$6)))</f>
        <v/>
      </c>
      <c r="X1972" s="32">
        <f>IF($W1972="","",IF(ISNUMBER($W1972),IF($W1972&gt;=10000000,IFERROR(DATE(INT($W1972/10000),MOD(INT($W1972/100),100),MOD($W1972,100)),""),INT($W1972)),IFERROR(DATE(--LEFT(LEFT(SUBSTITUTE(SUBSTITUTE(SUBSTITUTE(SUBSTITUTE(TRIM($W1972),"-",""),".",""),"/","")," ",""),8),4),--MID(LEFT(SUBSTITUTE(SUBSTITUTE(SUBSTITUTE(SUBSTITUTE(TRIM($W1972),"-",""),".",""),"/","")," ",""),8),5,2),--MID(LEFT(SUBSTITUTE(SUBSTITUTE(SUBSTITUTE(SUBSTITUTE(TRIM($W1972),"-",""),".",""),"/","")," ",""),8),7,2)),"")))</f>
        <v/>
      </c>
      <c r="Y1972" s="32">
        <f>IF($X1972="","",INT($X1972))</f>
        <v/>
      </c>
      <c r="Z1972" s="33">
        <f>IF(OR($Y1972="",$D$6=""),"",IF(INDEX($A:$U,ROW(),$D$6)="",0,IF(ISNUMBER(INDEX($A:$U,ROW(),$D$6)),INDEX($A:$U,ROW(),$D$6),IFERROR(--SUBSTITUTE(SUBSTITUTE(TRIM(INDEX($A:$U,ROW(),$D$6)),",",""),"원",""),0))))</f>
        <v/>
      </c>
      <c r="AA1972" s="31">
        <f>IF($Y1972="","",TRIM(INDEX($A:$U,ROW(),$E$6)&amp;IF($F$6="",""," "&amp;INDEX($A:$U,ROW(),$F$6))))</f>
        <v/>
      </c>
      <c r="AB1972" s="31">
        <f>IF($AA1972="","",SUBSTITUTE(SUBSTITUTE(SUBSTITUTE(SUBSTITUTE(SUBSTITUTE(SUBSTITUTE(SUBSTITUTE(SUBSTITUTE(SUBSTITUTE($AA1972," ",""),"　",""),"(주)",""),"（주）",""),"㈜",""),"주식회사",""),"(유)",""),"（유）",""),"유한회사",""))</f>
        <v/>
      </c>
      <c r="AC1972" s="31">
        <f>IF(OR($Y1972="",N($Z1972)&lt;=0,$AB1972=""),0,IFERROR(LOOKUP(2,1/((거래처별!$AC$8:$AC$307&lt;&gt;"")*ISNUMBER(SEARCH(거래처별!$AC$8:$AC$307,$AB1972))),거래처별!$A$8:$A$307),IFERROR(LOOKUP(2,1/((거래처별!$AD$8:$AD$307&lt;&gt;"")*ISNUMBER(SEARCH(거래처별!$AD$8:$AD$307,$AB1972))),거래처별!$A$8:$A$307),IFERROR(LOOKUP(2,1/((거래처별!$AE$8:$AE$307&lt;&gt;"")*ISNUMBER(SEARCH(거래처별!$AE$8:$AE$307,$AB1972))),거래처별!$A$8:$A$307),0))))</f>
        <v/>
      </c>
      <c r="AD1972" s="31">
        <f>IF(AND($Y1972&lt;&gt;"",N($Z1972)&gt;0,$AC1972=0),MAX($AD$7:$AD1971)+1,"")</f>
        <v/>
      </c>
      <c r="AE1972" s="31">
        <f>IF($Y1972="",0,$Y1972)</f>
        <v/>
      </c>
    </row>
    <row r="1973">
      <c r="W1973" s="31">
        <f>IF(OR($B$5="",$C$6="",ROW()&lt;$B$5),"",IF(INDEX($A:$U,ROW(),$C$6)="","",INDEX($A:$U,ROW(),$C$6)))</f>
        <v/>
      </c>
      <c r="X1973" s="32">
        <f>IF($W1973="","",IF(ISNUMBER($W1973),IF($W1973&gt;=10000000,IFERROR(DATE(INT($W1973/10000),MOD(INT($W1973/100),100),MOD($W1973,100)),""),INT($W1973)),IFERROR(DATE(--LEFT(LEFT(SUBSTITUTE(SUBSTITUTE(SUBSTITUTE(SUBSTITUTE(TRIM($W1973),"-",""),".",""),"/","")," ",""),8),4),--MID(LEFT(SUBSTITUTE(SUBSTITUTE(SUBSTITUTE(SUBSTITUTE(TRIM($W1973),"-",""),".",""),"/","")," ",""),8),5,2),--MID(LEFT(SUBSTITUTE(SUBSTITUTE(SUBSTITUTE(SUBSTITUTE(TRIM($W1973),"-",""),".",""),"/","")," ",""),8),7,2)),"")))</f>
        <v/>
      </c>
      <c r="Y1973" s="32">
        <f>IF($X1973="","",INT($X1973))</f>
        <v/>
      </c>
      <c r="Z1973" s="33">
        <f>IF(OR($Y1973="",$D$6=""),"",IF(INDEX($A:$U,ROW(),$D$6)="",0,IF(ISNUMBER(INDEX($A:$U,ROW(),$D$6)),INDEX($A:$U,ROW(),$D$6),IFERROR(--SUBSTITUTE(SUBSTITUTE(TRIM(INDEX($A:$U,ROW(),$D$6)),",",""),"원",""),0))))</f>
        <v/>
      </c>
      <c r="AA1973" s="31">
        <f>IF($Y1973="","",TRIM(INDEX($A:$U,ROW(),$E$6)&amp;IF($F$6="",""," "&amp;INDEX($A:$U,ROW(),$F$6))))</f>
        <v/>
      </c>
      <c r="AB1973" s="31">
        <f>IF($AA1973="","",SUBSTITUTE(SUBSTITUTE(SUBSTITUTE(SUBSTITUTE(SUBSTITUTE(SUBSTITUTE(SUBSTITUTE(SUBSTITUTE(SUBSTITUTE($AA1973," ",""),"　",""),"(주)",""),"（주）",""),"㈜",""),"주식회사",""),"(유)",""),"（유）",""),"유한회사",""))</f>
        <v/>
      </c>
      <c r="AC1973" s="31">
        <f>IF(OR($Y1973="",N($Z1973)&lt;=0,$AB1973=""),0,IFERROR(LOOKUP(2,1/((거래처별!$AC$8:$AC$307&lt;&gt;"")*ISNUMBER(SEARCH(거래처별!$AC$8:$AC$307,$AB1973))),거래처별!$A$8:$A$307),IFERROR(LOOKUP(2,1/((거래처별!$AD$8:$AD$307&lt;&gt;"")*ISNUMBER(SEARCH(거래처별!$AD$8:$AD$307,$AB1973))),거래처별!$A$8:$A$307),IFERROR(LOOKUP(2,1/((거래처별!$AE$8:$AE$307&lt;&gt;"")*ISNUMBER(SEARCH(거래처별!$AE$8:$AE$307,$AB1973))),거래처별!$A$8:$A$307),0))))</f>
        <v/>
      </c>
      <c r="AD1973" s="31">
        <f>IF(AND($Y1973&lt;&gt;"",N($Z1973)&gt;0,$AC1973=0),MAX($AD$7:$AD1972)+1,"")</f>
        <v/>
      </c>
      <c r="AE1973" s="31">
        <f>IF($Y1973="",0,$Y1973)</f>
        <v/>
      </c>
    </row>
    <row r="1974">
      <c r="W1974" s="31">
        <f>IF(OR($B$5="",$C$6="",ROW()&lt;$B$5),"",IF(INDEX($A:$U,ROW(),$C$6)="","",INDEX($A:$U,ROW(),$C$6)))</f>
        <v/>
      </c>
      <c r="X1974" s="32">
        <f>IF($W1974="","",IF(ISNUMBER($W1974),IF($W1974&gt;=10000000,IFERROR(DATE(INT($W1974/10000),MOD(INT($W1974/100),100),MOD($W1974,100)),""),INT($W1974)),IFERROR(DATE(--LEFT(LEFT(SUBSTITUTE(SUBSTITUTE(SUBSTITUTE(SUBSTITUTE(TRIM($W1974),"-",""),".",""),"/","")," ",""),8),4),--MID(LEFT(SUBSTITUTE(SUBSTITUTE(SUBSTITUTE(SUBSTITUTE(TRIM($W1974),"-",""),".",""),"/","")," ",""),8),5,2),--MID(LEFT(SUBSTITUTE(SUBSTITUTE(SUBSTITUTE(SUBSTITUTE(TRIM($W1974),"-",""),".",""),"/","")," ",""),8),7,2)),"")))</f>
        <v/>
      </c>
      <c r="Y1974" s="32">
        <f>IF($X1974="","",INT($X1974))</f>
        <v/>
      </c>
      <c r="Z1974" s="33">
        <f>IF(OR($Y1974="",$D$6=""),"",IF(INDEX($A:$U,ROW(),$D$6)="",0,IF(ISNUMBER(INDEX($A:$U,ROW(),$D$6)),INDEX($A:$U,ROW(),$D$6),IFERROR(--SUBSTITUTE(SUBSTITUTE(TRIM(INDEX($A:$U,ROW(),$D$6)),",",""),"원",""),0))))</f>
        <v/>
      </c>
      <c r="AA1974" s="31">
        <f>IF($Y1974="","",TRIM(INDEX($A:$U,ROW(),$E$6)&amp;IF($F$6="",""," "&amp;INDEX($A:$U,ROW(),$F$6))))</f>
        <v/>
      </c>
      <c r="AB1974" s="31">
        <f>IF($AA1974="","",SUBSTITUTE(SUBSTITUTE(SUBSTITUTE(SUBSTITUTE(SUBSTITUTE(SUBSTITUTE(SUBSTITUTE(SUBSTITUTE(SUBSTITUTE($AA1974," ",""),"　",""),"(주)",""),"（주）",""),"㈜",""),"주식회사",""),"(유)",""),"（유）",""),"유한회사",""))</f>
        <v/>
      </c>
      <c r="AC1974" s="31">
        <f>IF(OR($Y1974="",N($Z1974)&lt;=0,$AB1974=""),0,IFERROR(LOOKUP(2,1/((거래처별!$AC$8:$AC$307&lt;&gt;"")*ISNUMBER(SEARCH(거래처별!$AC$8:$AC$307,$AB1974))),거래처별!$A$8:$A$307),IFERROR(LOOKUP(2,1/((거래처별!$AD$8:$AD$307&lt;&gt;"")*ISNUMBER(SEARCH(거래처별!$AD$8:$AD$307,$AB1974))),거래처별!$A$8:$A$307),IFERROR(LOOKUP(2,1/((거래처별!$AE$8:$AE$307&lt;&gt;"")*ISNUMBER(SEARCH(거래처별!$AE$8:$AE$307,$AB1974))),거래처별!$A$8:$A$307),0))))</f>
        <v/>
      </c>
      <c r="AD1974" s="31">
        <f>IF(AND($Y1974&lt;&gt;"",N($Z1974)&gt;0,$AC1974=0),MAX($AD$7:$AD1973)+1,"")</f>
        <v/>
      </c>
      <c r="AE1974" s="31">
        <f>IF($Y1974="",0,$Y1974)</f>
        <v/>
      </c>
    </row>
    <row r="1975">
      <c r="W1975" s="31">
        <f>IF(OR($B$5="",$C$6="",ROW()&lt;$B$5),"",IF(INDEX($A:$U,ROW(),$C$6)="","",INDEX($A:$U,ROW(),$C$6)))</f>
        <v/>
      </c>
      <c r="X1975" s="32">
        <f>IF($W1975="","",IF(ISNUMBER($W1975),IF($W1975&gt;=10000000,IFERROR(DATE(INT($W1975/10000),MOD(INT($W1975/100),100),MOD($W1975,100)),""),INT($W1975)),IFERROR(DATE(--LEFT(LEFT(SUBSTITUTE(SUBSTITUTE(SUBSTITUTE(SUBSTITUTE(TRIM($W1975),"-",""),".",""),"/","")," ",""),8),4),--MID(LEFT(SUBSTITUTE(SUBSTITUTE(SUBSTITUTE(SUBSTITUTE(TRIM($W1975),"-",""),".",""),"/","")," ",""),8),5,2),--MID(LEFT(SUBSTITUTE(SUBSTITUTE(SUBSTITUTE(SUBSTITUTE(TRIM($W1975),"-",""),".",""),"/","")," ",""),8),7,2)),"")))</f>
        <v/>
      </c>
      <c r="Y1975" s="32">
        <f>IF($X1975="","",INT($X1975))</f>
        <v/>
      </c>
      <c r="Z1975" s="33">
        <f>IF(OR($Y1975="",$D$6=""),"",IF(INDEX($A:$U,ROW(),$D$6)="",0,IF(ISNUMBER(INDEX($A:$U,ROW(),$D$6)),INDEX($A:$U,ROW(),$D$6),IFERROR(--SUBSTITUTE(SUBSTITUTE(TRIM(INDEX($A:$U,ROW(),$D$6)),",",""),"원",""),0))))</f>
        <v/>
      </c>
      <c r="AA1975" s="31">
        <f>IF($Y1975="","",TRIM(INDEX($A:$U,ROW(),$E$6)&amp;IF($F$6="",""," "&amp;INDEX($A:$U,ROW(),$F$6))))</f>
        <v/>
      </c>
      <c r="AB1975" s="31">
        <f>IF($AA1975="","",SUBSTITUTE(SUBSTITUTE(SUBSTITUTE(SUBSTITUTE(SUBSTITUTE(SUBSTITUTE(SUBSTITUTE(SUBSTITUTE(SUBSTITUTE($AA1975," ",""),"　",""),"(주)",""),"（주）",""),"㈜",""),"주식회사",""),"(유)",""),"（유）",""),"유한회사",""))</f>
        <v/>
      </c>
      <c r="AC1975" s="31">
        <f>IF(OR($Y1975="",N($Z1975)&lt;=0,$AB1975=""),0,IFERROR(LOOKUP(2,1/((거래처별!$AC$8:$AC$307&lt;&gt;"")*ISNUMBER(SEARCH(거래처별!$AC$8:$AC$307,$AB1975))),거래처별!$A$8:$A$307),IFERROR(LOOKUP(2,1/((거래처별!$AD$8:$AD$307&lt;&gt;"")*ISNUMBER(SEARCH(거래처별!$AD$8:$AD$307,$AB1975))),거래처별!$A$8:$A$307),IFERROR(LOOKUP(2,1/((거래처별!$AE$8:$AE$307&lt;&gt;"")*ISNUMBER(SEARCH(거래처별!$AE$8:$AE$307,$AB1975))),거래처별!$A$8:$A$307),0))))</f>
        <v/>
      </c>
      <c r="AD1975" s="31">
        <f>IF(AND($Y1975&lt;&gt;"",N($Z1975)&gt;0,$AC1975=0),MAX($AD$7:$AD1974)+1,"")</f>
        <v/>
      </c>
      <c r="AE1975" s="31">
        <f>IF($Y1975="",0,$Y1975)</f>
        <v/>
      </c>
    </row>
    <row r="1976">
      <c r="W1976" s="31">
        <f>IF(OR($B$5="",$C$6="",ROW()&lt;$B$5),"",IF(INDEX($A:$U,ROW(),$C$6)="","",INDEX($A:$U,ROW(),$C$6)))</f>
        <v/>
      </c>
      <c r="X1976" s="32">
        <f>IF($W1976="","",IF(ISNUMBER($W1976),IF($W1976&gt;=10000000,IFERROR(DATE(INT($W1976/10000),MOD(INT($W1976/100),100),MOD($W1976,100)),""),INT($W1976)),IFERROR(DATE(--LEFT(LEFT(SUBSTITUTE(SUBSTITUTE(SUBSTITUTE(SUBSTITUTE(TRIM($W1976),"-",""),".",""),"/","")," ",""),8),4),--MID(LEFT(SUBSTITUTE(SUBSTITUTE(SUBSTITUTE(SUBSTITUTE(TRIM($W1976),"-",""),".",""),"/","")," ",""),8),5,2),--MID(LEFT(SUBSTITUTE(SUBSTITUTE(SUBSTITUTE(SUBSTITUTE(TRIM($W1976),"-",""),".",""),"/","")," ",""),8),7,2)),"")))</f>
        <v/>
      </c>
      <c r="Y1976" s="32">
        <f>IF($X1976="","",INT($X1976))</f>
        <v/>
      </c>
      <c r="Z1976" s="33">
        <f>IF(OR($Y1976="",$D$6=""),"",IF(INDEX($A:$U,ROW(),$D$6)="",0,IF(ISNUMBER(INDEX($A:$U,ROW(),$D$6)),INDEX($A:$U,ROW(),$D$6),IFERROR(--SUBSTITUTE(SUBSTITUTE(TRIM(INDEX($A:$U,ROW(),$D$6)),",",""),"원",""),0))))</f>
        <v/>
      </c>
      <c r="AA1976" s="31">
        <f>IF($Y1976="","",TRIM(INDEX($A:$U,ROW(),$E$6)&amp;IF($F$6="",""," "&amp;INDEX($A:$U,ROW(),$F$6))))</f>
        <v/>
      </c>
      <c r="AB1976" s="31">
        <f>IF($AA1976="","",SUBSTITUTE(SUBSTITUTE(SUBSTITUTE(SUBSTITUTE(SUBSTITUTE(SUBSTITUTE(SUBSTITUTE(SUBSTITUTE(SUBSTITUTE($AA1976," ",""),"　",""),"(주)",""),"（주）",""),"㈜",""),"주식회사",""),"(유)",""),"（유）",""),"유한회사",""))</f>
        <v/>
      </c>
      <c r="AC1976" s="31">
        <f>IF(OR($Y1976="",N($Z1976)&lt;=0,$AB1976=""),0,IFERROR(LOOKUP(2,1/((거래처별!$AC$8:$AC$307&lt;&gt;"")*ISNUMBER(SEARCH(거래처별!$AC$8:$AC$307,$AB1976))),거래처별!$A$8:$A$307),IFERROR(LOOKUP(2,1/((거래처별!$AD$8:$AD$307&lt;&gt;"")*ISNUMBER(SEARCH(거래처별!$AD$8:$AD$307,$AB1976))),거래처별!$A$8:$A$307),IFERROR(LOOKUP(2,1/((거래처별!$AE$8:$AE$307&lt;&gt;"")*ISNUMBER(SEARCH(거래처별!$AE$8:$AE$307,$AB1976))),거래처별!$A$8:$A$307),0))))</f>
        <v/>
      </c>
      <c r="AD1976" s="31">
        <f>IF(AND($Y1976&lt;&gt;"",N($Z1976)&gt;0,$AC1976=0),MAX($AD$7:$AD1975)+1,"")</f>
        <v/>
      </c>
      <c r="AE1976" s="31">
        <f>IF($Y1976="",0,$Y1976)</f>
        <v/>
      </c>
    </row>
    <row r="1977">
      <c r="W1977" s="31">
        <f>IF(OR($B$5="",$C$6="",ROW()&lt;$B$5),"",IF(INDEX($A:$U,ROW(),$C$6)="","",INDEX($A:$U,ROW(),$C$6)))</f>
        <v/>
      </c>
      <c r="X1977" s="32">
        <f>IF($W1977="","",IF(ISNUMBER($W1977),IF($W1977&gt;=10000000,IFERROR(DATE(INT($W1977/10000),MOD(INT($W1977/100),100),MOD($W1977,100)),""),INT($W1977)),IFERROR(DATE(--LEFT(LEFT(SUBSTITUTE(SUBSTITUTE(SUBSTITUTE(SUBSTITUTE(TRIM($W1977),"-",""),".",""),"/","")," ",""),8),4),--MID(LEFT(SUBSTITUTE(SUBSTITUTE(SUBSTITUTE(SUBSTITUTE(TRIM($W1977),"-",""),".",""),"/","")," ",""),8),5,2),--MID(LEFT(SUBSTITUTE(SUBSTITUTE(SUBSTITUTE(SUBSTITUTE(TRIM($W1977),"-",""),".",""),"/","")," ",""),8),7,2)),"")))</f>
        <v/>
      </c>
      <c r="Y1977" s="32">
        <f>IF($X1977="","",INT($X1977))</f>
        <v/>
      </c>
      <c r="Z1977" s="33">
        <f>IF(OR($Y1977="",$D$6=""),"",IF(INDEX($A:$U,ROW(),$D$6)="",0,IF(ISNUMBER(INDEX($A:$U,ROW(),$D$6)),INDEX($A:$U,ROW(),$D$6),IFERROR(--SUBSTITUTE(SUBSTITUTE(TRIM(INDEX($A:$U,ROW(),$D$6)),",",""),"원",""),0))))</f>
        <v/>
      </c>
      <c r="AA1977" s="31">
        <f>IF($Y1977="","",TRIM(INDEX($A:$U,ROW(),$E$6)&amp;IF($F$6="",""," "&amp;INDEX($A:$U,ROW(),$F$6))))</f>
        <v/>
      </c>
      <c r="AB1977" s="31">
        <f>IF($AA1977="","",SUBSTITUTE(SUBSTITUTE(SUBSTITUTE(SUBSTITUTE(SUBSTITUTE(SUBSTITUTE(SUBSTITUTE(SUBSTITUTE(SUBSTITUTE($AA1977," ",""),"　",""),"(주)",""),"（주）",""),"㈜",""),"주식회사",""),"(유)",""),"（유）",""),"유한회사",""))</f>
        <v/>
      </c>
      <c r="AC1977" s="31">
        <f>IF(OR($Y1977="",N($Z1977)&lt;=0,$AB1977=""),0,IFERROR(LOOKUP(2,1/((거래처별!$AC$8:$AC$307&lt;&gt;"")*ISNUMBER(SEARCH(거래처별!$AC$8:$AC$307,$AB1977))),거래처별!$A$8:$A$307),IFERROR(LOOKUP(2,1/((거래처별!$AD$8:$AD$307&lt;&gt;"")*ISNUMBER(SEARCH(거래처별!$AD$8:$AD$307,$AB1977))),거래처별!$A$8:$A$307),IFERROR(LOOKUP(2,1/((거래처별!$AE$8:$AE$307&lt;&gt;"")*ISNUMBER(SEARCH(거래처별!$AE$8:$AE$307,$AB1977))),거래처별!$A$8:$A$307),0))))</f>
        <v/>
      </c>
      <c r="AD1977" s="31">
        <f>IF(AND($Y1977&lt;&gt;"",N($Z1977)&gt;0,$AC1977=0),MAX($AD$7:$AD1976)+1,"")</f>
        <v/>
      </c>
      <c r="AE1977" s="31">
        <f>IF($Y1977="",0,$Y1977)</f>
        <v/>
      </c>
    </row>
    <row r="1978">
      <c r="W1978" s="31">
        <f>IF(OR($B$5="",$C$6="",ROW()&lt;$B$5),"",IF(INDEX($A:$U,ROW(),$C$6)="","",INDEX($A:$U,ROW(),$C$6)))</f>
        <v/>
      </c>
      <c r="X1978" s="32">
        <f>IF($W1978="","",IF(ISNUMBER($W1978),IF($W1978&gt;=10000000,IFERROR(DATE(INT($W1978/10000),MOD(INT($W1978/100),100),MOD($W1978,100)),""),INT($W1978)),IFERROR(DATE(--LEFT(LEFT(SUBSTITUTE(SUBSTITUTE(SUBSTITUTE(SUBSTITUTE(TRIM($W1978),"-",""),".",""),"/","")," ",""),8),4),--MID(LEFT(SUBSTITUTE(SUBSTITUTE(SUBSTITUTE(SUBSTITUTE(TRIM($W1978),"-",""),".",""),"/","")," ",""),8),5,2),--MID(LEFT(SUBSTITUTE(SUBSTITUTE(SUBSTITUTE(SUBSTITUTE(TRIM($W1978),"-",""),".",""),"/","")," ",""),8),7,2)),"")))</f>
        <v/>
      </c>
      <c r="Y1978" s="32">
        <f>IF($X1978="","",INT($X1978))</f>
        <v/>
      </c>
      <c r="Z1978" s="33">
        <f>IF(OR($Y1978="",$D$6=""),"",IF(INDEX($A:$U,ROW(),$D$6)="",0,IF(ISNUMBER(INDEX($A:$U,ROW(),$D$6)),INDEX($A:$U,ROW(),$D$6),IFERROR(--SUBSTITUTE(SUBSTITUTE(TRIM(INDEX($A:$U,ROW(),$D$6)),",",""),"원",""),0))))</f>
        <v/>
      </c>
      <c r="AA1978" s="31">
        <f>IF($Y1978="","",TRIM(INDEX($A:$U,ROW(),$E$6)&amp;IF($F$6="",""," "&amp;INDEX($A:$U,ROW(),$F$6))))</f>
        <v/>
      </c>
      <c r="AB1978" s="31">
        <f>IF($AA1978="","",SUBSTITUTE(SUBSTITUTE(SUBSTITUTE(SUBSTITUTE(SUBSTITUTE(SUBSTITUTE(SUBSTITUTE(SUBSTITUTE(SUBSTITUTE($AA1978," ",""),"　",""),"(주)",""),"（주）",""),"㈜",""),"주식회사",""),"(유)",""),"（유）",""),"유한회사",""))</f>
        <v/>
      </c>
      <c r="AC1978" s="31">
        <f>IF(OR($Y1978="",N($Z1978)&lt;=0,$AB1978=""),0,IFERROR(LOOKUP(2,1/((거래처별!$AC$8:$AC$307&lt;&gt;"")*ISNUMBER(SEARCH(거래처별!$AC$8:$AC$307,$AB1978))),거래처별!$A$8:$A$307),IFERROR(LOOKUP(2,1/((거래처별!$AD$8:$AD$307&lt;&gt;"")*ISNUMBER(SEARCH(거래처별!$AD$8:$AD$307,$AB1978))),거래처별!$A$8:$A$307),IFERROR(LOOKUP(2,1/((거래처별!$AE$8:$AE$307&lt;&gt;"")*ISNUMBER(SEARCH(거래처별!$AE$8:$AE$307,$AB1978))),거래처별!$A$8:$A$307),0))))</f>
        <v/>
      </c>
      <c r="AD1978" s="31">
        <f>IF(AND($Y1978&lt;&gt;"",N($Z1978)&gt;0,$AC1978=0),MAX($AD$7:$AD1977)+1,"")</f>
        <v/>
      </c>
      <c r="AE1978" s="31">
        <f>IF($Y1978="",0,$Y1978)</f>
        <v/>
      </c>
    </row>
    <row r="1979">
      <c r="W1979" s="31">
        <f>IF(OR($B$5="",$C$6="",ROW()&lt;$B$5),"",IF(INDEX($A:$U,ROW(),$C$6)="","",INDEX($A:$U,ROW(),$C$6)))</f>
        <v/>
      </c>
      <c r="X1979" s="32">
        <f>IF($W1979="","",IF(ISNUMBER($W1979),IF($W1979&gt;=10000000,IFERROR(DATE(INT($W1979/10000),MOD(INT($W1979/100),100),MOD($W1979,100)),""),INT($W1979)),IFERROR(DATE(--LEFT(LEFT(SUBSTITUTE(SUBSTITUTE(SUBSTITUTE(SUBSTITUTE(TRIM($W1979),"-",""),".",""),"/","")," ",""),8),4),--MID(LEFT(SUBSTITUTE(SUBSTITUTE(SUBSTITUTE(SUBSTITUTE(TRIM($W1979),"-",""),".",""),"/","")," ",""),8),5,2),--MID(LEFT(SUBSTITUTE(SUBSTITUTE(SUBSTITUTE(SUBSTITUTE(TRIM($W1979),"-",""),".",""),"/","")," ",""),8),7,2)),"")))</f>
        <v/>
      </c>
      <c r="Y1979" s="32">
        <f>IF($X1979="","",INT($X1979))</f>
        <v/>
      </c>
      <c r="Z1979" s="33">
        <f>IF(OR($Y1979="",$D$6=""),"",IF(INDEX($A:$U,ROW(),$D$6)="",0,IF(ISNUMBER(INDEX($A:$U,ROW(),$D$6)),INDEX($A:$U,ROW(),$D$6),IFERROR(--SUBSTITUTE(SUBSTITUTE(TRIM(INDEX($A:$U,ROW(),$D$6)),",",""),"원",""),0))))</f>
        <v/>
      </c>
      <c r="AA1979" s="31">
        <f>IF($Y1979="","",TRIM(INDEX($A:$U,ROW(),$E$6)&amp;IF($F$6="",""," "&amp;INDEX($A:$U,ROW(),$F$6))))</f>
        <v/>
      </c>
      <c r="AB1979" s="31">
        <f>IF($AA1979="","",SUBSTITUTE(SUBSTITUTE(SUBSTITUTE(SUBSTITUTE(SUBSTITUTE(SUBSTITUTE(SUBSTITUTE(SUBSTITUTE(SUBSTITUTE($AA1979," ",""),"　",""),"(주)",""),"（주）",""),"㈜",""),"주식회사",""),"(유)",""),"（유）",""),"유한회사",""))</f>
        <v/>
      </c>
      <c r="AC1979" s="31">
        <f>IF(OR($Y1979="",N($Z1979)&lt;=0,$AB1979=""),0,IFERROR(LOOKUP(2,1/((거래처별!$AC$8:$AC$307&lt;&gt;"")*ISNUMBER(SEARCH(거래처별!$AC$8:$AC$307,$AB1979))),거래처별!$A$8:$A$307),IFERROR(LOOKUP(2,1/((거래처별!$AD$8:$AD$307&lt;&gt;"")*ISNUMBER(SEARCH(거래처별!$AD$8:$AD$307,$AB1979))),거래처별!$A$8:$A$307),IFERROR(LOOKUP(2,1/((거래처별!$AE$8:$AE$307&lt;&gt;"")*ISNUMBER(SEARCH(거래처별!$AE$8:$AE$307,$AB1979))),거래처별!$A$8:$A$307),0))))</f>
        <v/>
      </c>
      <c r="AD1979" s="31">
        <f>IF(AND($Y1979&lt;&gt;"",N($Z1979)&gt;0,$AC1979=0),MAX($AD$7:$AD1978)+1,"")</f>
        <v/>
      </c>
      <c r="AE1979" s="31">
        <f>IF($Y1979="",0,$Y1979)</f>
        <v/>
      </c>
    </row>
    <row r="1980">
      <c r="W1980" s="31">
        <f>IF(OR($B$5="",$C$6="",ROW()&lt;$B$5),"",IF(INDEX($A:$U,ROW(),$C$6)="","",INDEX($A:$U,ROW(),$C$6)))</f>
        <v/>
      </c>
      <c r="X1980" s="32">
        <f>IF($W1980="","",IF(ISNUMBER($W1980),IF($W1980&gt;=10000000,IFERROR(DATE(INT($W1980/10000),MOD(INT($W1980/100),100),MOD($W1980,100)),""),INT($W1980)),IFERROR(DATE(--LEFT(LEFT(SUBSTITUTE(SUBSTITUTE(SUBSTITUTE(SUBSTITUTE(TRIM($W1980),"-",""),".",""),"/","")," ",""),8),4),--MID(LEFT(SUBSTITUTE(SUBSTITUTE(SUBSTITUTE(SUBSTITUTE(TRIM($W1980),"-",""),".",""),"/","")," ",""),8),5,2),--MID(LEFT(SUBSTITUTE(SUBSTITUTE(SUBSTITUTE(SUBSTITUTE(TRIM($W1980),"-",""),".",""),"/","")," ",""),8),7,2)),"")))</f>
        <v/>
      </c>
      <c r="Y1980" s="32">
        <f>IF($X1980="","",INT($X1980))</f>
        <v/>
      </c>
      <c r="Z1980" s="33">
        <f>IF(OR($Y1980="",$D$6=""),"",IF(INDEX($A:$U,ROW(),$D$6)="",0,IF(ISNUMBER(INDEX($A:$U,ROW(),$D$6)),INDEX($A:$U,ROW(),$D$6),IFERROR(--SUBSTITUTE(SUBSTITUTE(TRIM(INDEX($A:$U,ROW(),$D$6)),",",""),"원",""),0))))</f>
        <v/>
      </c>
      <c r="AA1980" s="31">
        <f>IF($Y1980="","",TRIM(INDEX($A:$U,ROW(),$E$6)&amp;IF($F$6="",""," "&amp;INDEX($A:$U,ROW(),$F$6))))</f>
        <v/>
      </c>
      <c r="AB1980" s="31">
        <f>IF($AA1980="","",SUBSTITUTE(SUBSTITUTE(SUBSTITUTE(SUBSTITUTE(SUBSTITUTE(SUBSTITUTE(SUBSTITUTE(SUBSTITUTE(SUBSTITUTE($AA1980," ",""),"　",""),"(주)",""),"（주）",""),"㈜",""),"주식회사",""),"(유)",""),"（유）",""),"유한회사",""))</f>
        <v/>
      </c>
      <c r="AC1980" s="31">
        <f>IF(OR($Y1980="",N($Z1980)&lt;=0,$AB1980=""),0,IFERROR(LOOKUP(2,1/((거래처별!$AC$8:$AC$307&lt;&gt;"")*ISNUMBER(SEARCH(거래처별!$AC$8:$AC$307,$AB1980))),거래처별!$A$8:$A$307),IFERROR(LOOKUP(2,1/((거래처별!$AD$8:$AD$307&lt;&gt;"")*ISNUMBER(SEARCH(거래처별!$AD$8:$AD$307,$AB1980))),거래처별!$A$8:$A$307),IFERROR(LOOKUP(2,1/((거래처별!$AE$8:$AE$307&lt;&gt;"")*ISNUMBER(SEARCH(거래처별!$AE$8:$AE$307,$AB1980))),거래처별!$A$8:$A$307),0))))</f>
        <v/>
      </c>
      <c r="AD1980" s="31">
        <f>IF(AND($Y1980&lt;&gt;"",N($Z1980)&gt;0,$AC1980=0),MAX($AD$7:$AD1979)+1,"")</f>
        <v/>
      </c>
      <c r="AE1980" s="31">
        <f>IF($Y1980="",0,$Y1980)</f>
        <v/>
      </c>
    </row>
    <row r="1981">
      <c r="W1981" s="31">
        <f>IF(OR($B$5="",$C$6="",ROW()&lt;$B$5),"",IF(INDEX($A:$U,ROW(),$C$6)="","",INDEX($A:$U,ROW(),$C$6)))</f>
        <v/>
      </c>
      <c r="X1981" s="32">
        <f>IF($W1981="","",IF(ISNUMBER($W1981),IF($W1981&gt;=10000000,IFERROR(DATE(INT($W1981/10000),MOD(INT($W1981/100),100),MOD($W1981,100)),""),INT($W1981)),IFERROR(DATE(--LEFT(LEFT(SUBSTITUTE(SUBSTITUTE(SUBSTITUTE(SUBSTITUTE(TRIM($W1981),"-",""),".",""),"/","")," ",""),8),4),--MID(LEFT(SUBSTITUTE(SUBSTITUTE(SUBSTITUTE(SUBSTITUTE(TRIM($W1981),"-",""),".",""),"/","")," ",""),8),5,2),--MID(LEFT(SUBSTITUTE(SUBSTITUTE(SUBSTITUTE(SUBSTITUTE(TRIM($W1981),"-",""),".",""),"/","")," ",""),8),7,2)),"")))</f>
        <v/>
      </c>
      <c r="Y1981" s="32">
        <f>IF($X1981="","",INT($X1981))</f>
        <v/>
      </c>
      <c r="Z1981" s="33">
        <f>IF(OR($Y1981="",$D$6=""),"",IF(INDEX($A:$U,ROW(),$D$6)="",0,IF(ISNUMBER(INDEX($A:$U,ROW(),$D$6)),INDEX($A:$U,ROW(),$D$6),IFERROR(--SUBSTITUTE(SUBSTITUTE(TRIM(INDEX($A:$U,ROW(),$D$6)),",",""),"원",""),0))))</f>
        <v/>
      </c>
      <c r="AA1981" s="31">
        <f>IF($Y1981="","",TRIM(INDEX($A:$U,ROW(),$E$6)&amp;IF($F$6="",""," "&amp;INDEX($A:$U,ROW(),$F$6))))</f>
        <v/>
      </c>
      <c r="AB1981" s="31">
        <f>IF($AA1981="","",SUBSTITUTE(SUBSTITUTE(SUBSTITUTE(SUBSTITUTE(SUBSTITUTE(SUBSTITUTE(SUBSTITUTE(SUBSTITUTE(SUBSTITUTE($AA1981," ",""),"　",""),"(주)",""),"（주）",""),"㈜",""),"주식회사",""),"(유)",""),"（유）",""),"유한회사",""))</f>
        <v/>
      </c>
      <c r="AC1981" s="31">
        <f>IF(OR($Y1981="",N($Z1981)&lt;=0,$AB1981=""),0,IFERROR(LOOKUP(2,1/((거래처별!$AC$8:$AC$307&lt;&gt;"")*ISNUMBER(SEARCH(거래처별!$AC$8:$AC$307,$AB1981))),거래처별!$A$8:$A$307),IFERROR(LOOKUP(2,1/((거래처별!$AD$8:$AD$307&lt;&gt;"")*ISNUMBER(SEARCH(거래처별!$AD$8:$AD$307,$AB1981))),거래처별!$A$8:$A$307),IFERROR(LOOKUP(2,1/((거래처별!$AE$8:$AE$307&lt;&gt;"")*ISNUMBER(SEARCH(거래처별!$AE$8:$AE$307,$AB1981))),거래처별!$A$8:$A$307),0))))</f>
        <v/>
      </c>
      <c r="AD1981" s="31">
        <f>IF(AND($Y1981&lt;&gt;"",N($Z1981)&gt;0,$AC1981=0),MAX($AD$7:$AD1980)+1,"")</f>
        <v/>
      </c>
      <c r="AE1981" s="31">
        <f>IF($Y1981="",0,$Y1981)</f>
        <v/>
      </c>
    </row>
    <row r="1982">
      <c r="W1982" s="31">
        <f>IF(OR($B$5="",$C$6="",ROW()&lt;$B$5),"",IF(INDEX($A:$U,ROW(),$C$6)="","",INDEX($A:$U,ROW(),$C$6)))</f>
        <v/>
      </c>
      <c r="X1982" s="32">
        <f>IF($W1982="","",IF(ISNUMBER($W1982),IF($W1982&gt;=10000000,IFERROR(DATE(INT($W1982/10000),MOD(INT($W1982/100),100),MOD($W1982,100)),""),INT($W1982)),IFERROR(DATE(--LEFT(LEFT(SUBSTITUTE(SUBSTITUTE(SUBSTITUTE(SUBSTITUTE(TRIM($W1982),"-",""),".",""),"/","")," ",""),8),4),--MID(LEFT(SUBSTITUTE(SUBSTITUTE(SUBSTITUTE(SUBSTITUTE(TRIM($W1982),"-",""),".",""),"/","")," ",""),8),5,2),--MID(LEFT(SUBSTITUTE(SUBSTITUTE(SUBSTITUTE(SUBSTITUTE(TRIM($W1982),"-",""),".",""),"/","")," ",""),8),7,2)),"")))</f>
        <v/>
      </c>
      <c r="Y1982" s="32">
        <f>IF($X1982="","",INT($X1982))</f>
        <v/>
      </c>
      <c r="Z1982" s="33">
        <f>IF(OR($Y1982="",$D$6=""),"",IF(INDEX($A:$U,ROW(),$D$6)="",0,IF(ISNUMBER(INDEX($A:$U,ROW(),$D$6)),INDEX($A:$U,ROW(),$D$6),IFERROR(--SUBSTITUTE(SUBSTITUTE(TRIM(INDEX($A:$U,ROW(),$D$6)),",",""),"원",""),0))))</f>
        <v/>
      </c>
      <c r="AA1982" s="31">
        <f>IF($Y1982="","",TRIM(INDEX($A:$U,ROW(),$E$6)&amp;IF($F$6="",""," "&amp;INDEX($A:$U,ROW(),$F$6))))</f>
        <v/>
      </c>
      <c r="AB1982" s="31">
        <f>IF($AA1982="","",SUBSTITUTE(SUBSTITUTE(SUBSTITUTE(SUBSTITUTE(SUBSTITUTE(SUBSTITUTE(SUBSTITUTE(SUBSTITUTE(SUBSTITUTE($AA1982," ",""),"　",""),"(주)",""),"（주）",""),"㈜",""),"주식회사",""),"(유)",""),"（유）",""),"유한회사",""))</f>
        <v/>
      </c>
      <c r="AC1982" s="31">
        <f>IF(OR($Y1982="",N($Z1982)&lt;=0,$AB1982=""),0,IFERROR(LOOKUP(2,1/((거래처별!$AC$8:$AC$307&lt;&gt;"")*ISNUMBER(SEARCH(거래처별!$AC$8:$AC$307,$AB1982))),거래처별!$A$8:$A$307),IFERROR(LOOKUP(2,1/((거래처별!$AD$8:$AD$307&lt;&gt;"")*ISNUMBER(SEARCH(거래처별!$AD$8:$AD$307,$AB1982))),거래처별!$A$8:$A$307),IFERROR(LOOKUP(2,1/((거래처별!$AE$8:$AE$307&lt;&gt;"")*ISNUMBER(SEARCH(거래처별!$AE$8:$AE$307,$AB1982))),거래처별!$A$8:$A$307),0))))</f>
        <v/>
      </c>
      <c r="AD1982" s="31">
        <f>IF(AND($Y1982&lt;&gt;"",N($Z1982)&gt;0,$AC1982=0),MAX($AD$7:$AD1981)+1,"")</f>
        <v/>
      </c>
      <c r="AE1982" s="31">
        <f>IF($Y1982="",0,$Y1982)</f>
        <v/>
      </c>
    </row>
    <row r="1983">
      <c r="W1983" s="31">
        <f>IF(OR($B$5="",$C$6="",ROW()&lt;$B$5),"",IF(INDEX($A:$U,ROW(),$C$6)="","",INDEX($A:$U,ROW(),$C$6)))</f>
        <v/>
      </c>
      <c r="X1983" s="32">
        <f>IF($W1983="","",IF(ISNUMBER($W1983),IF($W1983&gt;=10000000,IFERROR(DATE(INT($W1983/10000),MOD(INT($W1983/100),100),MOD($W1983,100)),""),INT($W1983)),IFERROR(DATE(--LEFT(LEFT(SUBSTITUTE(SUBSTITUTE(SUBSTITUTE(SUBSTITUTE(TRIM($W1983),"-",""),".",""),"/","")," ",""),8),4),--MID(LEFT(SUBSTITUTE(SUBSTITUTE(SUBSTITUTE(SUBSTITUTE(TRIM($W1983),"-",""),".",""),"/","")," ",""),8),5,2),--MID(LEFT(SUBSTITUTE(SUBSTITUTE(SUBSTITUTE(SUBSTITUTE(TRIM($W1983),"-",""),".",""),"/","")," ",""),8),7,2)),"")))</f>
        <v/>
      </c>
      <c r="Y1983" s="32">
        <f>IF($X1983="","",INT($X1983))</f>
        <v/>
      </c>
      <c r="Z1983" s="33">
        <f>IF(OR($Y1983="",$D$6=""),"",IF(INDEX($A:$U,ROW(),$D$6)="",0,IF(ISNUMBER(INDEX($A:$U,ROW(),$D$6)),INDEX($A:$U,ROW(),$D$6),IFERROR(--SUBSTITUTE(SUBSTITUTE(TRIM(INDEX($A:$U,ROW(),$D$6)),",",""),"원",""),0))))</f>
        <v/>
      </c>
      <c r="AA1983" s="31">
        <f>IF($Y1983="","",TRIM(INDEX($A:$U,ROW(),$E$6)&amp;IF($F$6="",""," "&amp;INDEX($A:$U,ROW(),$F$6))))</f>
        <v/>
      </c>
      <c r="AB1983" s="31">
        <f>IF($AA1983="","",SUBSTITUTE(SUBSTITUTE(SUBSTITUTE(SUBSTITUTE(SUBSTITUTE(SUBSTITUTE(SUBSTITUTE(SUBSTITUTE(SUBSTITUTE($AA1983," ",""),"　",""),"(주)",""),"（주）",""),"㈜",""),"주식회사",""),"(유)",""),"（유）",""),"유한회사",""))</f>
        <v/>
      </c>
      <c r="AC1983" s="31">
        <f>IF(OR($Y1983="",N($Z1983)&lt;=0,$AB1983=""),0,IFERROR(LOOKUP(2,1/((거래처별!$AC$8:$AC$307&lt;&gt;"")*ISNUMBER(SEARCH(거래처별!$AC$8:$AC$307,$AB1983))),거래처별!$A$8:$A$307),IFERROR(LOOKUP(2,1/((거래처별!$AD$8:$AD$307&lt;&gt;"")*ISNUMBER(SEARCH(거래처별!$AD$8:$AD$307,$AB1983))),거래처별!$A$8:$A$307),IFERROR(LOOKUP(2,1/((거래처별!$AE$8:$AE$307&lt;&gt;"")*ISNUMBER(SEARCH(거래처별!$AE$8:$AE$307,$AB1983))),거래처별!$A$8:$A$307),0))))</f>
        <v/>
      </c>
      <c r="AD1983" s="31">
        <f>IF(AND($Y1983&lt;&gt;"",N($Z1983)&gt;0,$AC1983=0),MAX($AD$7:$AD1982)+1,"")</f>
        <v/>
      </c>
      <c r="AE1983" s="31">
        <f>IF($Y1983="",0,$Y1983)</f>
        <v/>
      </c>
    </row>
    <row r="1984">
      <c r="W1984" s="31">
        <f>IF(OR($B$5="",$C$6="",ROW()&lt;$B$5),"",IF(INDEX($A:$U,ROW(),$C$6)="","",INDEX($A:$U,ROW(),$C$6)))</f>
        <v/>
      </c>
      <c r="X1984" s="32">
        <f>IF($W1984="","",IF(ISNUMBER($W1984),IF($W1984&gt;=10000000,IFERROR(DATE(INT($W1984/10000),MOD(INT($W1984/100),100),MOD($W1984,100)),""),INT($W1984)),IFERROR(DATE(--LEFT(LEFT(SUBSTITUTE(SUBSTITUTE(SUBSTITUTE(SUBSTITUTE(TRIM($W1984),"-",""),".",""),"/","")," ",""),8),4),--MID(LEFT(SUBSTITUTE(SUBSTITUTE(SUBSTITUTE(SUBSTITUTE(TRIM($W1984),"-",""),".",""),"/","")," ",""),8),5,2),--MID(LEFT(SUBSTITUTE(SUBSTITUTE(SUBSTITUTE(SUBSTITUTE(TRIM($W1984),"-",""),".",""),"/","")," ",""),8),7,2)),"")))</f>
        <v/>
      </c>
      <c r="Y1984" s="32">
        <f>IF($X1984="","",INT($X1984))</f>
        <v/>
      </c>
      <c r="Z1984" s="33">
        <f>IF(OR($Y1984="",$D$6=""),"",IF(INDEX($A:$U,ROW(),$D$6)="",0,IF(ISNUMBER(INDEX($A:$U,ROW(),$D$6)),INDEX($A:$U,ROW(),$D$6),IFERROR(--SUBSTITUTE(SUBSTITUTE(TRIM(INDEX($A:$U,ROW(),$D$6)),",",""),"원",""),0))))</f>
        <v/>
      </c>
      <c r="AA1984" s="31">
        <f>IF($Y1984="","",TRIM(INDEX($A:$U,ROW(),$E$6)&amp;IF($F$6="",""," "&amp;INDEX($A:$U,ROW(),$F$6))))</f>
        <v/>
      </c>
      <c r="AB1984" s="31">
        <f>IF($AA1984="","",SUBSTITUTE(SUBSTITUTE(SUBSTITUTE(SUBSTITUTE(SUBSTITUTE(SUBSTITUTE(SUBSTITUTE(SUBSTITUTE(SUBSTITUTE($AA1984," ",""),"　",""),"(주)",""),"（주）",""),"㈜",""),"주식회사",""),"(유)",""),"（유）",""),"유한회사",""))</f>
        <v/>
      </c>
      <c r="AC1984" s="31">
        <f>IF(OR($Y1984="",N($Z1984)&lt;=0,$AB1984=""),0,IFERROR(LOOKUP(2,1/((거래처별!$AC$8:$AC$307&lt;&gt;"")*ISNUMBER(SEARCH(거래처별!$AC$8:$AC$307,$AB1984))),거래처별!$A$8:$A$307),IFERROR(LOOKUP(2,1/((거래처별!$AD$8:$AD$307&lt;&gt;"")*ISNUMBER(SEARCH(거래처별!$AD$8:$AD$307,$AB1984))),거래처별!$A$8:$A$307),IFERROR(LOOKUP(2,1/((거래처별!$AE$8:$AE$307&lt;&gt;"")*ISNUMBER(SEARCH(거래처별!$AE$8:$AE$307,$AB1984))),거래처별!$A$8:$A$307),0))))</f>
        <v/>
      </c>
      <c r="AD1984" s="31">
        <f>IF(AND($Y1984&lt;&gt;"",N($Z1984)&gt;0,$AC1984=0),MAX($AD$7:$AD1983)+1,"")</f>
        <v/>
      </c>
      <c r="AE1984" s="31">
        <f>IF($Y1984="",0,$Y1984)</f>
        <v/>
      </c>
    </row>
    <row r="1985">
      <c r="W1985" s="31">
        <f>IF(OR($B$5="",$C$6="",ROW()&lt;$B$5),"",IF(INDEX($A:$U,ROW(),$C$6)="","",INDEX($A:$U,ROW(),$C$6)))</f>
        <v/>
      </c>
      <c r="X1985" s="32">
        <f>IF($W1985="","",IF(ISNUMBER($W1985),IF($W1985&gt;=10000000,IFERROR(DATE(INT($W1985/10000),MOD(INT($W1985/100),100),MOD($W1985,100)),""),INT($W1985)),IFERROR(DATE(--LEFT(LEFT(SUBSTITUTE(SUBSTITUTE(SUBSTITUTE(SUBSTITUTE(TRIM($W1985),"-",""),".",""),"/","")," ",""),8),4),--MID(LEFT(SUBSTITUTE(SUBSTITUTE(SUBSTITUTE(SUBSTITUTE(TRIM($W1985),"-",""),".",""),"/","")," ",""),8),5,2),--MID(LEFT(SUBSTITUTE(SUBSTITUTE(SUBSTITUTE(SUBSTITUTE(TRIM($W1985),"-",""),".",""),"/","")," ",""),8),7,2)),"")))</f>
        <v/>
      </c>
      <c r="Y1985" s="32">
        <f>IF($X1985="","",INT($X1985))</f>
        <v/>
      </c>
      <c r="Z1985" s="33">
        <f>IF(OR($Y1985="",$D$6=""),"",IF(INDEX($A:$U,ROW(),$D$6)="",0,IF(ISNUMBER(INDEX($A:$U,ROW(),$D$6)),INDEX($A:$U,ROW(),$D$6),IFERROR(--SUBSTITUTE(SUBSTITUTE(TRIM(INDEX($A:$U,ROW(),$D$6)),",",""),"원",""),0))))</f>
        <v/>
      </c>
      <c r="AA1985" s="31">
        <f>IF($Y1985="","",TRIM(INDEX($A:$U,ROW(),$E$6)&amp;IF($F$6="",""," "&amp;INDEX($A:$U,ROW(),$F$6))))</f>
        <v/>
      </c>
      <c r="AB1985" s="31">
        <f>IF($AA1985="","",SUBSTITUTE(SUBSTITUTE(SUBSTITUTE(SUBSTITUTE(SUBSTITUTE(SUBSTITUTE(SUBSTITUTE(SUBSTITUTE(SUBSTITUTE($AA1985," ",""),"　",""),"(주)",""),"（주）",""),"㈜",""),"주식회사",""),"(유)",""),"（유）",""),"유한회사",""))</f>
        <v/>
      </c>
      <c r="AC1985" s="31">
        <f>IF(OR($Y1985="",N($Z1985)&lt;=0,$AB1985=""),0,IFERROR(LOOKUP(2,1/((거래처별!$AC$8:$AC$307&lt;&gt;"")*ISNUMBER(SEARCH(거래처별!$AC$8:$AC$307,$AB1985))),거래처별!$A$8:$A$307),IFERROR(LOOKUP(2,1/((거래처별!$AD$8:$AD$307&lt;&gt;"")*ISNUMBER(SEARCH(거래처별!$AD$8:$AD$307,$AB1985))),거래처별!$A$8:$A$307),IFERROR(LOOKUP(2,1/((거래처별!$AE$8:$AE$307&lt;&gt;"")*ISNUMBER(SEARCH(거래처별!$AE$8:$AE$307,$AB1985))),거래처별!$A$8:$A$307),0))))</f>
        <v/>
      </c>
      <c r="AD1985" s="31">
        <f>IF(AND($Y1985&lt;&gt;"",N($Z1985)&gt;0,$AC1985=0),MAX($AD$7:$AD1984)+1,"")</f>
        <v/>
      </c>
      <c r="AE1985" s="31">
        <f>IF($Y1985="",0,$Y1985)</f>
        <v/>
      </c>
    </row>
    <row r="1986">
      <c r="W1986" s="31">
        <f>IF(OR($B$5="",$C$6="",ROW()&lt;$B$5),"",IF(INDEX($A:$U,ROW(),$C$6)="","",INDEX($A:$U,ROW(),$C$6)))</f>
        <v/>
      </c>
      <c r="X1986" s="32">
        <f>IF($W1986="","",IF(ISNUMBER($W1986),IF($W1986&gt;=10000000,IFERROR(DATE(INT($W1986/10000),MOD(INT($W1986/100),100),MOD($W1986,100)),""),INT($W1986)),IFERROR(DATE(--LEFT(LEFT(SUBSTITUTE(SUBSTITUTE(SUBSTITUTE(SUBSTITUTE(TRIM($W1986),"-",""),".",""),"/","")," ",""),8),4),--MID(LEFT(SUBSTITUTE(SUBSTITUTE(SUBSTITUTE(SUBSTITUTE(TRIM($W1986),"-",""),".",""),"/","")," ",""),8),5,2),--MID(LEFT(SUBSTITUTE(SUBSTITUTE(SUBSTITUTE(SUBSTITUTE(TRIM($W1986),"-",""),".",""),"/","")," ",""),8),7,2)),"")))</f>
        <v/>
      </c>
      <c r="Y1986" s="32">
        <f>IF($X1986="","",INT($X1986))</f>
        <v/>
      </c>
      <c r="Z1986" s="33">
        <f>IF(OR($Y1986="",$D$6=""),"",IF(INDEX($A:$U,ROW(),$D$6)="",0,IF(ISNUMBER(INDEX($A:$U,ROW(),$D$6)),INDEX($A:$U,ROW(),$D$6),IFERROR(--SUBSTITUTE(SUBSTITUTE(TRIM(INDEX($A:$U,ROW(),$D$6)),",",""),"원",""),0))))</f>
        <v/>
      </c>
      <c r="AA1986" s="31">
        <f>IF($Y1986="","",TRIM(INDEX($A:$U,ROW(),$E$6)&amp;IF($F$6="",""," "&amp;INDEX($A:$U,ROW(),$F$6))))</f>
        <v/>
      </c>
      <c r="AB1986" s="31">
        <f>IF($AA1986="","",SUBSTITUTE(SUBSTITUTE(SUBSTITUTE(SUBSTITUTE(SUBSTITUTE(SUBSTITUTE(SUBSTITUTE(SUBSTITUTE(SUBSTITUTE($AA1986," ",""),"　",""),"(주)",""),"（주）",""),"㈜",""),"주식회사",""),"(유)",""),"（유）",""),"유한회사",""))</f>
        <v/>
      </c>
      <c r="AC1986" s="31">
        <f>IF(OR($Y1986="",N($Z1986)&lt;=0,$AB1986=""),0,IFERROR(LOOKUP(2,1/((거래처별!$AC$8:$AC$307&lt;&gt;"")*ISNUMBER(SEARCH(거래처별!$AC$8:$AC$307,$AB1986))),거래처별!$A$8:$A$307),IFERROR(LOOKUP(2,1/((거래처별!$AD$8:$AD$307&lt;&gt;"")*ISNUMBER(SEARCH(거래처별!$AD$8:$AD$307,$AB1986))),거래처별!$A$8:$A$307),IFERROR(LOOKUP(2,1/((거래처별!$AE$8:$AE$307&lt;&gt;"")*ISNUMBER(SEARCH(거래처별!$AE$8:$AE$307,$AB1986))),거래처별!$A$8:$A$307),0))))</f>
        <v/>
      </c>
      <c r="AD1986" s="31">
        <f>IF(AND($Y1986&lt;&gt;"",N($Z1986)&gt;0,$AC1986=0),MAX($AD$7:$AD1985)+1,"")</f>
        <v/>
      </c>
      <c r="AE1986" s="31">
        <f>IF($Y1986="",0,$Y1986)</f>
        <v/>
      </c>
    </row>
    <row r="1987">
      <c r="W1987" s="31">
        <f>IF(OR($B$5="",$C$6="",ROW()&lt;$B$5),"",IF(INDEX($A:$U,ROW(),$C$6)="","",INDEX($A:$U,ROW(),$C$6)))</f>
        <v/>
      </c>
      <c r="X1987" s="32">
        <f>IF($W1987="","",IF(ISNUMBER($W1987),IF($W1987&gt;=10000000,IFERROR(DATE(INT($W1987/10000),MOD(INT($W1987/100),100),MOD($W1987,100)),""),INT($W1987)),IFERROR(DATE(--LEFT(LEFT(SUBSTITUTE(SUBSTITUTE(SUBSTITUTE(SUBSTITUTE(TRIM($W1987),"-",""),".",""),"/","")," ",""),8),4),--MID(LEFT(SUBSTITUTE(SUBSTITUTE(SUBSTITUTE(SUBSTITUTE(TRIM($W1987),"-",""),".",""),"/","")," ",""),8),5,2),--MID(LEFT(SUBSTITUTE(SUBSTITUTE(SUBSTITUTE(SUBSTITUTE(TRIM($W1987),"-",""),".",""),"/","")," ",""),8),7,2)),"")))</f>
        <v/>
      </c>
      <c r="Y1987" s="32">
        <f>IF($X1987="","",INT($X1987))</f>
        <v/>
      </c>
      <c r="Z1987" s="33">
        <f>IF(OR($Y1987="",$D$6=""),"",IF(INDEX($A:$U,ROW(),$D$6)="",0,IF(ISNUMBER(INDEX($A:$U,ROW(),$D$6)),INDEX($A:$U,ROW(),$D$6),IFERROR(--SUBSTITUTE(SUBSTITUTE(TRIM(INDEX($A:$U,ROW(),$D$6)),",",""),"원",""),0))))</f>
        <v/>
      </c>
      <c r="AA1987" s="31">
        <f>IF($Y1987="","",TRIM(INDEX($A:$U,ROW(),$E$6)&amp;IF($F$6="",""," "&amp;INDEX($A:$U,ROW(),$F$6))))</f>
        <v/>
      </c>
      <c r="AB1987" s="31">
        <f>IF($AA1987="","",SUBSTITUTE(SUBSTITUTE(SUBSTITUTE(SUBSTITUTE(SUBSTITUTE(SUBSTITUTE(SUBSTITUTE(SUBSTITUTE(SUBSTITUTE($AA1987," ",""),"　",""),"(주)",""),"（주）",""),"㈜",""),"주식회사",""),"(유)",""),"（유）",""),"유한회사",""))</f>
        <v/>
      </c>
      <c r="AC1987" s="31">
        <f>IF(OR($Y1987="",N($Z1987)&lt;=0,$AB1987=""),0,IFERROR(LOOKUP(2,1/((거래처별!$AC$8:$AC$307&lt;&gt;"")*ISNUMBER(SEARCH(거래처별!$AC$8:$AC$307,$AB1987))),거래처별!$A$8:$A$307),IFERROR(LOOKUP(2,1/((거래처별!$AD$8:$AD$307&lt;&gt;"")*ISNUMBER(SEARCH(거래처별!$AD$8:$AD$307,$AB1987))),거래처별!$A$8:$A$307),IFERROR(LOOKUP(2,1/((거래처별!$AE$8:$AE$307&lt;&gt;"")*ISNUMBER(SEARCH(거래처별!$AE$8:$AE$307,$AB1987))),거래처별!$A$8:$A$307),0))))</f>
        <v/>
      </c>
      <c r="AD1987" s="31">
        <f>IF(AND($Y1987&lt;&gt;"",N($Z1987)&gt;0,$AC1987=0),MAX($AD$7:$AD1986)+1,"")</f>
        <v/>
      </c>
      <c r="AE1987" s="31">
        <f>IF($Y1987="",0,$Y1987)</f>
        <v/>
      </c>
    </row>
    <row r="1988">
      <c r="W1988" s="31">
        <f>IF(OR($B$5="",$C$6="",ROW()&lt;$B$5),"",IF(INDEX($A:$U,ROW(),$C$6)="","",INDEX($A:$U,ROW(),$C$6)))</f>
        <v/>
      </c>
      <c r="X1988" s="32">
        <f>IF($W1988="","",IF(ISNUMBER($W1988),IF($W1988&gt;=10000000,IFERROR(DATE(INT($W1988/10000),MOD(INT($W1988/100),100),MOD($W1988,100)),""),INT($W1988)),IFERROR(DATE(--LEFT(LEFT(SUBSTITUTE(SUBSTITUTE(SUBSTITUTE(SUBSTITUTE(TRIM($W1988),"-",""),".",""),"/","")," ",""),8),4),--MID(LEFT(SUBSTITUTE(SUBSTITUTE(SUBSTITUTE(SUBSTITUTE(TRIM($W1988),"-",""),".",""),"/","")," ",""),8),5,2),--MID(LEFT(SUBSTITUTE(SUBSTITUTE(SUBSTITUTE(SUBSTITUTE(TRIM($W1988),"-",""),".",""),"/","")," ",""),8),7,2)),"")))</f>
        <v/>
      </c>
      <c r="Y1988" s="32">
        <f>IF($X1988="","",INT($X1988))</f>
        <v/>
      </c>
      <c r="Z1988" s="33">
        <f>IF(OR($Y1988="",$D$6=""),"",IF(INDEX($A:$U,ROW(),$D$6)="",0,IF(ISNUMBER(INDEX($A:$U,ROW(),$D$6)),INDEX($A:$U,ROW(),$D$6),IFERROR(--SUBSTITUTE(SUBSTITUTE(TRIM(INDEX($A:$U,ROW(),$D$6)),",",""),"원",""),0))))</f>
        <v/>
      </c>
      <c r="AA1988" s="31">
        <f>IF($Y1988="","",TRIM(INDEX($A:$U,ROW(),$E$6)&amp;IF($F$6="",""," "&amp;INDEX($A:$U,ROW(),$F$6))))</f>
        <v/>
      </c>
      <c r="AB1988" s="31">
        <f>IF($AA1988="","",SUBSTITUTE(SUBSTITUTE(SUBSTITUTE(SUBSTITUTE(SUBSTITUTE(SUBSTITUTE(SUBSTITUTE(SUBSTITUTE(SUBSTITUTE($AA1988," ",""),"　",""),"(주)",""),"（주）",""),"㈜",""),"주식회사",""),"(유)",""),"（유）",""),"유한회사",""))</f>
        <v/>
      </c>
      <c r="AC1988" s="31">
        <f>IF(OR($Y1988="",N($Z1988)&lt;=0,$AB1988=""),0,IFERROR(LOOKUP(2,1/((거래처별!$AC$8:$AC$307&lt;&gt;"")*ISNUMBER(SEARCH(거래처별!$AC$8:$AC$307,$AB1988))),거래처별!$A$8:$A$307),IFERROR(LOOKUP(2,1/((거래처별!$AD$8:$AD$307&lt;&gt;"")*ISNUMBER(SEARCH(거래처별!$AD$8:$AD$307,$AB1988))),거래처별!$A$8:$A$307),IFERROR(LOOKUP(2,1/((거래처별!$AE$8:$AE$307&lt;&gt;"")*ISNUMBER(SEARCH(거래처별!$AE$8:$AE$307,$AB1988))),거래처별!$A$8:$A$307),0))))</f>
        <v/>
      </c>
      <c r="AD1988" s="31">
        <f>IF(AND($Y1988&lt;&gt;"",N($Z1988)&gt;0,$AC1988=0),MAX($AD$7:$AD1987)+1,"")</f>
        <v/>
      </c>
      <c r="AE1988" s="31">
        <f>IF($Y1988="",0,$Y1988)</f>
        <v/>
      </c>
    </row>
    <row r="1989">
      <c r="W1989" s="31">
        <f>IF(OR($B$5="",$C$6="",ROW()&lt;$B$5),"",IF(INDEX($A:$U,ROW(),$C$6)="","",INDEX($A:$U,ROW(),$C$6)))</f>
        <v/>
      </c>
      <c r="X1989" s="32">
        <f>IF($W1989="","",IF(ISNUMBER($W1989),IF($W1989&gt;=10000000,IFERROR(DATE(INT($W1989/10000),MOD(INT($W1989/100),100),MOD($W1989,100)),""),INT($W1989)),IFERROR(DATE(--LEFT(LEFT(SUBSTITUTE(SUBSTITUTE(SUBSTITUTE(SUBSTITUTE(TRIM($W1989),"-",""),".",""),"/","")," ",""),8),4),--MID(LEFT(SUBSTITUTE(SUBSTITUTE(SUBSTITUTE(SUBSTITUTE(TRIM($W1989),"-",""),".",""),"/","")," ",""),8),5,2),--MID(LEFT(SUBSTITUTE(SUBSTITUTE(SUBSTITUTE(SUBSTITUTE(TRIM($W1989),"-",""),".",""),"/","")," ",""),8),7,2)),"")))</f>
        <v/>
      </c>
      <c r="Y1989" s="32">
        <f>IF($X1989="","",INT($X1989))</f>
        <v/>
      </c>
      <c r="Z1989" s="33">
        <f>IF(OR($Y1989="",$D$6=""),"",IF(INDEX($A:$U,ROW(),$D$6)="",0,IF(ISNUMBER(INDEX($A:$U,ROW(),$D$6)),INDEX($A:$U,ROW(),$D$6),IFERROR(--SUBSTITUTE(SUBSTITUTE(TRIM(INDEX($A:$U,ROW(),$D$6)),",",""),"원",""),0))))</f>
        <v/>
      </c>
      <c r="AA1989" s="31">
        <f>IF($Y1989="","",TRIM(INDEX($A:$U,ROW(),$E$6)&amp;IF($F$6="",""," "&amp;INDEX($A:$U,ROW(),$F$6))))</f>
        <v/>
      </c>
      <c r="AB1989" s="31">
        <f>IF($AA1989="","",SUBSTITUTE(SUBSTITUTE(SUBSTITUTE(SUBSTITUTE(SUBSTITUTE(SUBSTITUTE(SUBSTITUTE(SUBSTITUTE(SUBSTITUTE($AA1989," ",""),"　",""),"(주)",""),"（주）",""),"㈜",""),"주식회사",""),"(유)",""),"（유）",""),"유한회사",""))</f>
        <v/>
      </c>
      <c r="AC1989" s="31">
        <f>IF(OR($Y1989="",N($Z1989)&lt;=0,$AB1989=""),0,IFERROR(LOOKUP(2,1/((거래처별!$AC$8:$AC$307&lt;&gt;"")*ISNUMBER(SEARCH(거래처별!$AC$8:$AC$307,$AB1989))),거래처별!$A$8:$A$307),IFERROR(LOOKUP(2,1/((거래처별!$AD$8:$AD$307&lt;&gt;"")*ISNUMBER(SEARCH(거래처별!$AD$8:$AD$307,$AB1989))),거래처별!$A$8:$A$307),IFERROR(LOOKUP(2,1/((거래처별!$AE$8:$AE$307&lt;&gt;"")*ISNUMBER(SEARCH(거래처별!$AE$8:$AE$307,$AB1989))),거래처별!$A$8:$A$307),0))))</f>
        <v/>
      </c>
      <c r="AD1989" s="31">
        <f>IF(AND($Y1989&lt;&gt;"",N($Z1989)&gt;0,$AC1989=0),MAX($AD$7:$AD1988)+1,"")</f>
        <v/>
      </c>
      <c r="AE1989" s="31">
        <f>IF($Y1989="",0,$Y1989)</f>
        <v/>
      </c>
    </row>
    <row r="1990">
      <c r="W1990" s="31">
        <f>IF(OR($B$5="",$C$6="",ROW()&lt;$B$5),"",IF(INDEX($A:$U,ROW(),$C$6)="","",INDEX($A:$U,ROW(),$C$6)))</f>
        <v/>
      </c>
      <c r="X1990" s="32">
        <f>IF($W1990="","",IF(ISNUMBER($W1990),IF($W1990&gt;=10000000,IFERROR(DATE(INT($W1990/10000),MOD(INT($W1990/100),100),MOD($W1990,100)),""),INT($W1990)),IFERROR(DATE(--LEFT(LEFT(SUBSTITUTE(SUBSTITUTE(SUBSTITUTE(SUBSTITUTE(TRIM($W1990),"-",""),".",""),"/","")," ",""),8),4),--MID(LEFT(SUBSTITUTE(SUBSTITUTE(SUBSTITUTE(SUBSTITUTE(TRIM($W1990),"-",""),".",""),"/","")," ",""),8),5,2),--MID(LEFT(SUBSTITUTE(SUBSTITUTE(SUBSTITUTE(SUBSTITUTE(TRIM($W1990),"-",""),".",""),"/","")," ",""),8),7,2)),"")))</f>
        <v/>
      </c>
      <c r="Y1990" s="32">
        <f>IF($X1990="","",INT($X1990))</f>
        <v/>
      </c>
      <c r="Z1990" s="33">
        <f>IF(OR($Y1990="",$D$6=""),"",IF(INDEX($A:$U,ROW(),$D$6)="",0,IF(ISNUMBER(INDEX($A:$U,ROW(),$D$6)),INDEX($A:$U,ROW(),$D$6),IFERROR(--SUBSTITUTE(SUBSTITUTE(TRIM(INDEX($A:$U,ROW(),$D$6)),",",""),"원",""),0))))</f>
        <v/>
      </c>
      <c r="AA1990" s="31">
        <f>IF($Y1990="","",TRIM(INDEX($A:$U,ROW(),$E$6)&amp;IF($F$6="",""," "&amp;INDEX($A:$U,ROW(),$F$6))))</f>
        <v/>
      </c>
      <c r="AB1990" s="31">
        <f>IF($AA1990="","",SUBSTITUTE(SUBSTITUTE(SUBSTITUTE(SUBSTITUTE(SUBSTITUTE(SUBSTITUTE(SUBSTITUTE(SUBSTITUTE(SUBSTITUTE($AA1990," ",""),"　",""),"(주)",""),"（주）",""),"㈜",""),"주식회사",""),"(유)",""),"（유）",""),"유한회사",""))</f>
        <v/>
      </c>
      <c r="AC1990" s="31">
        <f>IF(OR($Y1990="",N($Z1990)&lt;=0,$AB1990=""),0,IFERROR(LOOKUP(2,1/((거래처별!$AC$8:$AC$307&lt;&gt;"")*ISNUMBER(SEARCH(거래처별!$AC$8:$AC$307,$AB1990))),거래처별!$A$8:$A$307),IFERROR(LOOKUP(2,1/((거래처별!$AD$8:$AD$307&lt;&gt;"")*ISNUMBER(SEARCH(거래처별!$AD$8:$AD$307,$AB1990))),거래처별!$A$8:$A$307),IFERROR(LOOKUP(2,1/((거래처별!$AE$8:$AE$307&lt;&gt;"")*ISNUMBER(SEARCH(거래처별!$AE$8:$AE$307,$AB1990))),거래처별!$A$8:$A$307),0))))</f>
        <v/>
      </c>
      <c r="AD1990" s="31">
        <f>IF(AND($Y1990&lt;&gt;"",N($Z1990)&gt;0,$AC1990=0),MAX($AD$7:$AD1989)+1,"")</f>
        <v/>
      </c>
      <c r="AE1990" s="31">
        <f>IF($Y1990="",0,$Y1990)</f>
        <v/>
      </c>
    </row>
    <row r="1991">
      <c r="W1991" s="31">
        <f>IF(OR($B$5="",$C$6="",ROW()&lt;$B$5),"",IF(INDEX($A:$U,ROW(),$C$6)="","",INDEX($A:$U,ROW(),$C$6)))</f>
        <v/>
      </c>
      <c r="X1991" s="32">
        <f>IF($W1991="","",IF(ISNUMBER($W1991),IF($W1991&gt;=10000000,IFERROR(DATE(INT($W1991/10000),MOD(INT($W1991/100),100),MOD($W1991,100)),""),INT($W1991)),IFERROR(DATE(--LEFT(LEFT(SUBSTITUTE(SUBSTITUTE(SUBSTITUTE(SUBSTITUTE(TRIM($W1991),"-",""),".",""),"/","")," ",""),8),4),--MID(LEFT(SUBSTITUTE(SUBSTITUTE(SUBSTITUTE(SUBSTITUTE(TRIM($W1991),"-",""),".",""),"/","")," ",""),8),5,2),--MID(LEFT(SUBSTITUTE(SUBSTITUTE(SUBSTITUTE(SUBSTITUTE(TRIM($W1991),"-",""),".",""),"/","")," ",""),8),7,2)),"")))</f>
        <v/>
      </c>
      <c r="Y1991" s="32">
        <f>IF($X1991="","",INT($X1991))</f>
        <v/>
      </c>
      <c r="Z1991" s="33">
        <f>IF(OR($Y1991="",$D$6=""),"",IF(INDEX($A:$U,ROW(),$D$6)="",0,IF(ISNUMBER(INDEX($A:$U,ROW(),$D$6)),INDEX($A:$U,ROW(),$D$6),IFERROR(--SUBSTITUTE(SUBSTITUTE(TRIM(INDEX($A:$U,ROW(),$D$6)),",",""),"원",""),0))))</f>
        <v/>
      </c>
      <c r="AA1991" s="31">
        <f>IF($Y1991="","",TRIM(INDEX($A:$U,ROW(),$E$6)&amp;IF($F$6="",""," "&amp;INDEX($A:$U,ROW(),$F$6))))</f>
        <v/>
      </c>
      <c r="AB1991" s="31">
        <f>IF($AA1991="","",SUBSTITUTE(SUBSTITUTE(SUBSTITUTE(SUBSTITUTE(SUBSTITUTE(SUBSTITUTE(SUBSTITUTE(SUBSTITUTE(SUBSTITUTE($AA1991," ",""),"　",""),"(주)",""),"（주）",""),"㈜",""),"주식회사",""),"(유)",""),"（유）",""),"유한회사",""))</f>
        <v/>
      </c>
      <c r="AC1991" s="31">
        <f>IF(OR($Y1991="",N($Z1991)&lt;=0,$AB1991=""),0,IFERROR(LOOKUP(2,1/((거래처별!$AC$8:$AC$307&lt;&gt;"")*ISNUMBER(SEARCH(거래처별!$AC$8:$AC$307,$AB1991))),거래처별!$A$8:$A$307),IFERROR(LOOKUP(2,1/((거래처별!$AD$8:$AD$307&lt;&gt;"")*ISNUMBER(SEARCH(거래처별!$AD$8:$AD$307,$AB1991))),거래처별!$A$8:$A$307),IFERROR(LOOKUP(2,1/((거래처별!$AE$8:$AE$307&lt;&gt;"")*ISNUMBER(SEARCH(거래처별!$AE$8:$AE$307,$AB1991))),거래처별!$A$8:$A$307),0))))</f>
        <v/>
      </c>
      <c r="AD1991" s="31">
        <f>IF(AND($Y1991&lt;&gt;"",N($Z1991)&gt;0,$AC1991=0),MAX($AD$7:$AD1990)+1,"")</f>
        <v/>
      </c>
      <c r="AE1991" s="31">
        <f>IF($Y1991="",0,$Y1991)</f>
        <v/>
      </c>
    </row>
    <row r="1992">
      <c r="W1992" s="31">
        <f>IF(OR($B$5="",$C$6="",ROW()&lt;$B$5),"",IF(INDEX($A:$U,ROW(),$C$6)="","",INDEX($A:$U,ROW(),$C$6)))</f>
        <v/>
      </c>
      <c r="X1992" s="32">
        <f>IF($W1992="","",IF(ISNUMBER($W1992),IF($W1992&gt;=10000000,IFERROR(DATE(INT($W1992/10000),MOD(INT($W1992/100),100),MOD($W1992,100)),""),INT($W1992)),IFERROR(DATE(--LEFT(LEFT(SUBSTITUTE(SUBSTITUTE(SUBSTITUTE(SUBSTITUTE(TRIM($W1992),"-",""),".",""),"/","")," ",""),8),4),--MID(LEFT(SUBSTITUTE(SUBSTITUTE(SUBSTITUTE(SUBSTITUTE(TRIM($W1992),"-",""),".",""),"/","")," ",""),8),5,2),--MID(LEFT(SUBSTITUTE(SUBSTITUTE(SUBSTITUTE(SUBSTITUTE(TRIM($W1992),"-",""),".",""),"/","")," ",""),8),7,2)),"")))</f>
        <v/>
      </c>
      <c r="Y1992" s="32">
        <f>IF($X1992="","",INT($X1992))</f>
        <v/>
      </c>
      <c r="Z1992" s="33">
        <f>IF(OR($Y1992="",$D$6=""),"",IF(INDEX($A:$U,ROW(),$D$6)="",0,IF(ISNUMBER(INDEX($A:$U,ROW(),$D$6)),INDEX($A:$U,ROW(),$D$6),IFERROR(--SUBSTITUTE(SUBSTITUTE(TRIM(INDEX($A:$U,ROW(),$D$6)),",",""),"원",""),0))))</f>
        <v/>
      </c>
      <c r="AA1992" s="31">
        <f>IF($Y1992="","",TRIM(INDEX($A:$U,ROW(),$E$6)&amp;IF($F$6="",""," "&amp;INDEX($A:$U,ROW(),$F$6))))</f>
        <v/>
      </c>
      <c r="AB1992" s="31">
        <f>IF($AA1992="","",SUBSTITUTE(SUBSTITUTE(SUBSTITUTE(SUBSTITUTE(SUBSTITUTE(SUBSTITUTE(SUBSTITUTE(SUBSTITUTE(SUBSTITUTE($AA1992," ",""),"　",""),"(주)",""),"（주）",""),"㈜",""),"주식회사",""),"(유)",""),"（유）",""),"유한회사",""))</f>
        <v/>
      </c>
      <c r="AC1992" s="31">
        <f>IF(OR($Y1992="",N($Z1992)&lt;=0,$AB1992=""),0,IFERROR(LOOKUP(2,1/((거래처별!$AC$8:$AC$307&lt;&gt;"")*ISNUMBER(SEARCH(거래처별!$AC$8:$AC$307,$AB1992))),거래처별!$A$8:$A$307),IFERROR(LOOKUP(2,1/((거래처별!$AD$8:$AD$307&lt;&gt;"")*ISNUMBER(SEARCH(거래처별!$AD$8:$AD$307,$AB1992))),거래처별!$A$8:$A$307),IFERROR(LOOKUP(2,1/((거래처별!$AE$8:$AE$307&lt;&gt;"")*ISNUMBER(SEARCH(거래처별!$AE$8:$AE$307,$AB1992))),거래처별!$A$8:$A$307),0))))</f>
        <v/>
      </c>
      <c r="AD1992" s="31">
        <f>IF(AND($Y1992&lt;&gt;"",N($Z1992)&gt;0,$AC1992=0),MAX($AD$7:$AD1991)+1,"")</f>
        <v/>
      </c>
      <c r="AE1992" s="31">
        <f>IF($Y1992="",0,$Y1992)</f>
        <v/>
      </c>
    </row>
    <row r="1993">
      <c r="W1993" s="31">
        <f>IF(OR($B$5="",$C$6="",ROW()&lt;$B$5),"",IF(INDEX($A:$U,ROW(),$C$6)="","",INDEX($A:$U,ROW(),$C$6)))</f>
        <v/>
      </c>
      <c r="X1993" s="32">
        <f>IF($W1993="","",IF(ISNUMBER($W1993),IF($W1993&gt;=10000000,IFERROR(DATE(INT($W1993/10000),MOD(INT($W1993/100),100),MOD($W1993,100)),""),INT($W1993)),IFERROR(DATE(--LEFT(LEFT(SUBSTITUTE(SUBSTITUTE(SUBSTITUTE(SUBSTITUTE(TRIM($W1993),"-",""),".",""),"/","")," ",""),8),4),--MID(LEFT(SUBSTITUTE(SUBSTITUTE(SUBSTITUTE(SUBSTITUTE(TRIM($W1993),"-",""),".",""),"/","")," ",""),8),5,2),--MID(LEFT(SUBSTITUTE(SUBSTITUTE(SUBSTITUTE(SUBSTITUTE(TRIM($W1993),"-",""),".",""),"/","")," ",""),8),7,2)),"")))</f>
        <v/>
      </c>
      <c r="Y1993" s="32">
        <f>IF($X1993="","",INT($X1993))</f>
        <v/>
      </c>
      <c r="Z1993" s="33">
        <f>IF(OR($Y1993="",$D$6=""),"",IF(INDEX($A:$U,ROW(),$D$6)="",0,IF(ISNUMBER(INDEX($A:$U,ROW(),$D$6)),INDEX($A:$U,ROW(),$D$6),IFERROR(--SUBSTITUTE(SUBSTITUTE(TRIM(INDEX($A:$U,ROW(),$D$6)),",",""),"원",""),0))))</f>
        <v/>
      </c>
      <c r="AA1993" s="31">
        <f>IF($Y1993="","",TRIM(INDEX($A:$U,ROW(),$E$6)&amp;IF($F$6="",""," "&amp;INDEX($A:$U,ROW(),$F$6))))</f>
        <v/>
      </c>
      <c r="AB1993" s="31">
        <f>IF($AA1993="","",SUBSTITUTE(SUBSTITUTE(SUBSTITUTE(SUBSTITUTE(SUBSTITUTE(SUBSTITUTE(SUBSTITUTE(SUBSTITUTE(SUBSTITUTE($AA1993," ",""),"　",""),"(주)",""),"（주）",""),"㈜",""),"주식회사",""),"(유)",""),"（유）",""),"유한회사",""))</f>
        <v/>
      </c>
      <c r="AC1993" s="31">
        <f>IF(OR($Y1993="",N($Z1993)&lt;=0,$AB1993=""),0,IFERROR(LOOKUP(2,1/((거래처별!$AC$8:$AC$307&lt;&gt;"")*ISNUMBER(SEARCH(거래처별!$AC$8:$AC$307,$AB1993))),거래처별!$A$8:$A$307),IFERROR(LOOKUP(2,1/((거래처별!$AD$8:$AD$307&lt;&gt;"")*ISNUMBER(SEARCH(거래처별!$AD$8:$AD$307,$AB1993))),거래처별!$A$8:$A$307),IFERROR(LOOKUP(2,1/((거래처별!$AE$8:$AE$307&lt;&gt;"")*ISNUMBER(SEARCH(거래처별!$AE$8:$AE$307,$AB1993))),거래처별!$A$8:$A$307),0))))</f>
        <v/>
      </c>
      <c r="AD1993" s="31">
        <f>IF(AND($Y1993&lt;&gt;"",N($Z1993)&gt;0,$AC1993=0),MAX($AD$7:$AD1992)+1,"")</f>
        <v/>
      </c>
      <c r="AE1993" s="31">
        <f>IF($Y1993="",0,$Y1993)</f>
        <v/>
      </c>
    </row>
    <row r="1994">
      <c r="W1994" s="31">
        <f>IF(OR($B$5="",$C$6="",ROW()&lt;$B$5),"",IF(INDEX($A:$U,ROW(),$C$6)="","",INDEX($A:$U,ROW(),$C$6)))</f>
        <v/>
      </c>
      <c r="X1994" s="32">
        <f>IF($W1994="","",IF(ISNUMBER($W1994),IF($W1994&gt;=10000000,IFERROR(DATE(INT($W1994/10000),MOD(INT($W1994/100),100),MOD($W1994,100)),""),INT($W1994)),IFERROR(DATE(--LEFT(LEFT(SUBSTITUTE(SUBSTITUTE(SUBSTITUTE(SUBSTITUTE(TRIM($W1994),"-",""),".",""),"/","")," ",""),8),4),--MID(LEFT(SUBSTITUTE(SUBSTITUTE(SUBSTITUTE(SUBSTITUTE(TRIM($W1994),"-",""),".",""),"/","")," ",""),8),5,2),--MID(LEFT(SUBSTITUTE(SUBSTITUTE(SUBSTITUTE(SUBSTITUTE(TRIM($W1994),"-",""),".",""),"/","")," ",""),8),7,2)),"")))</f>
        <v/>
      </c>
      <c r="Y1994" s="32">
        <f>IF($X1994="","",INT($X1994))</f>
        <v/>
      </c>
      <c r="Z1994" s="33">
        <f>IF(OR($Y1994="",$D$6=""),"",IF(INDEX($A:$U,ROW(),$D$6)="",0,IF(ISNUMBER(INDEX($A:$U,ROW(),$D$6)),INDEX($A:$U,ROW(),$D$6),IFERROR(--SUBSTITUTE(SUBSTITUTE(TRIM(INDEX($A:$U,ROW(),$D$6)),",",""),"원",""),0))))</f>
        <v/>
      </c>
      <c r="AA1994" s="31">
        <f>IF($Y1994="","",TRIM(INDEX($A:$U,ROW(),$E$6)&amp;IF($F$6="",""," "&amp;INDEX($A:$U,ROW(),$F$6))))</f>
        <v/>
      </c>
      <c r="AB1994" s="31">
        <f>IF($AA1994="","",SUBSTITUTE(SUBSTITUTE(SUBSTITUTE(SUBSTITUTE(SUBSTITUTE(SUBSTITUTE(SUBSTITUTE(SUBSTITUTE(SUBSTITUTE($AA1994," ",""),"　",""),"(주)",""),"（주）",""),"㈜",""),"주식회사",""),"(유)",""),"（유）",""),"유한회사",""))</f>
        <v/>
      </c>
      <c r="AC1994" s="31">
        <f>IF(OR($Y1994="",N($Z1994)&lt;=0,$AB1994=""),0,IFERROR(LOOKUP(2,1/((거래처별!$AC$8:$AC$307&lt;&gt;"")*ISNUMBER(SEARCH(거래처별!$AC$8:$AC$307,$AB1994))),거래처별!$A$8:$A$307),IFERROR(LOOKUP(2,1/((거래처별!$AD$8:$AD$307&lt;&gt;"")*ISNUMBER(SEARCH(거래처별!$AD$8:$AD$307,$AB1994))),거래처별!$A$8:$A$307),IFERROR(LOOKUP(2,1/((거래처별!$AE$8:$AE$307&lt;&gt;"")*ISNUMBER(SEARCH(거래처별!$AE$8:$AE$307,$AB1994))),거래처별!$A$8:$A$307),0))))</f>
        <v/>
      </c>
      <c r="AD1994" s="31">
        <f>IF(AND($Y1994&lt;&gt;"",N($Z1994)&gt;0,$AC1994=0),MAX($AD$7:$AD1993)+1,"")</f>
        <v/>
      </c>
      <c r="AE1994" s="31">
        <f>IF($Y1994="",0,$Y1994)</f>
        <v/>
      </c>
    </row>
    <row r="1995">
      <c r="W1995" s="31">
        <f>IF(OR($B$5="",$C$6="",ROW()&lt;$B$5),"",IF(INDEX($A:$U,ROW(),$C$6)="","",INDEX($A:$U,ROW(),$C$6)))</f>
        <v/>
      </c>
      <c r="X1995" s="32">
        <f>IF($W1995="","",IF(ISNUMBER($W1995),IF($W1995&gt;=10000000,IFERROR(DATE(INT($W1995/10000),MOD(INT($W1995/100),100),MOD($W1995,100)),""),INT($W1995)),IFERROR(DATE(--LEFT(LEFT(SUBSTITUTE(SUBSTITUTE(SUBSTITUTE(SUBSTITUTE(TRIM($W1995),"-",""),".",""),"/","")," ",""),8),4),--MID(LEFT(SUBSTITUTE(SUBSTITUTE(SUBSTITUTE(SUBSTITUTE(TRIM($W1995),"-",""),".",""),"/","")," ",""),8),5,2),--MID(LEFT(SUBSTITUTE(SUBSTITUTE(SUBSTITUTE(SUBSTITUTE(TRIM($W1995),"-",""),".",""),"/","")," ",""),8),7,2)),"")))</f>
        <v/>
      </c>
      <c r="Y1995" s="32">
        <f>IF($X1995="","",INT($X1995))</f>
        <v/>
      </c>
      <c r="Z1995" s="33">
        <f>IF(OR($Y1995="",$D$6=""),"",IF(INDEX($A:$U,ROW(),$D$6)="",0,IF(ISNUMBER(INDEX($A:$U,ROW(),$D$6)),INDEX($A:$U,ROW(),$D$6),IFERROR(--SUBSTITUTE(SUBSTITUTE(TRIM(INDEX($A:$U,ROW(),$D$6)),",",""),"원",""),0))))</f>
        <v/>
      </c>
      <c r="AA1995" s="31">
        <f>IF($Y1995="","",TRIM(INDEX($A:$U,ROW(),$E$6)&amp;IF($F$6="",""," "&amp;INDEX($A:$U,ROW(),$F$6))))</f>
        <v/>
      </c>
      <c r="AB1995" s="31">
        <f>IF($AA1995="","",SUBSTITUTE(SUBSTITUTE(SUBSTITUTE(SUBSTITUTE(SUBSTITUTE(SUBSTITUTE(SUBSTITUTE(SUBSTITUTE(SUBSTITUTE($AA1995," ",""),"　",""),"(주)",""),"（주）",""),"㈜",""),"주식회사",""),"(유)",""),"（유）",""),"유한회사",""))</f>
        <v/>
      </c>
      <c r="AC1995" s="31">
        <f>IF(OR($Y1995="",N($Z1995)&lt;=0,$AB1995=""),0,IFERROR(LOOKUP(2,1/((거래처별!$AC$8:$AC$307&lt;&gt;"")*ISNUMBER(SEARCH(거래처별!$AC$8:$AC$307,$AB1995))),거래처별!$A$8:$A$307),IFERROR(LOOKUP(2,1/((거래처별!$AD$8:$AD$307&lt;&gt;"")*ISNUMBER(SEARCH(거래처별!$AD$8:$AD$307,$AB1995))),거래처별!$A$8:$A$307),IFERROR(LOOKUP(2,1/((거래처별!$AE$8:$AE$307&lt;&gt;"")*ISNUMBER(SEARCH(거래처별!$AE$8:$AE$307,$AB1995))),거래처별!$A$8:$A$307),0))))</f>
        <v/>
      </c>
      <c r="AD1995" s="31">
        <f>IF(AND($Y1995&lt;&gt;"",N($Z1995)&gt;0,$AC1995=0),MAX($AD$7:$AD1994)+1,"")</f>
        <v/>
      </c>
      <c r="AE1995" s="31">
        <f>IF($Y1995="",0,$Y1995)</f>
        <v/>
      </c>
    </row>
    <row r="1996">
      <c r="W1996" s="31">
        <f>IF(OR($B$5="",$C$6="",ROW()&lt;$B$5),"",IF(INDEX($A:$U,ROW(),$C$6)="","",INDEX($A:$U,ROW(),$C$6)))</f>
        <v/>
      </c>
      <c r="X1996" s="32">
        <f>IF($W1996="","",IF(ISNUMBER($W1996),IF($W1996&gt;=10000000,IFERROR(DATE(INT($W1996/10000),MOD(INT($W1996/100),100),MOD($W1996,100)),""),INT($W1996)),IFERROR(DATE(--LEFT(LEFT(SUBSTITUTE(SUBSTITUTE(SUBSTITUTE(SUBSTITUTE(TRIM($W1996),"-",""),".",""),"/","")," ",""),8),4),--MID(LEFT(SUBSTITUTE(SUBSTITUTE(SUBSTITUTE(SUBSTITUTE(TRIM($W1996),"-",""),".",""),"/","")," ",""),8),5,2),--MID(LEFT(SUBSTITUTE(SUBSTITUTE(SUBSTITUTE(SUBSTITUTE(TRIM($W1996),"-",""),".",""),"/","")," ",""),8),7,2)),"")))</f>
        <v/>
      </c>
      <c r="Y1996" s="32">
        <f>IF($X1996="","",INT($X1996))</f>
        <v/>
      </c>
      <c r="Z1996" s="33">
        <f>IF(OR($Y1996="",$D$6=""),"",IF(INDEX($A:$U,ROW(),$D$6)="",0,IF(ISNUMBER(INDEX($A:$U,ROW(),$D$6)),INDEX($A:$U,ROW(),$D$6),IFERROR(--SUBSTITUTE(SUBSTITUTE(TRIM(INDEX($A:$U,ROW(),$D$6)),",",""),"원",""),0))))</f>
        <v/>
      </c>
      <c r="AA1996" s="31">
        <f>IF($Y1996="","",TRIM(INDEX($A:$U,ROW(),$E$6)&amp;IF($F$6="",""," "&amp;INDEX($A:$U,ROW(),$F$6))))</f>
        <v/>
      </c>
      <c r="AB1996" s="31">
        <f>IF($AA1996="","",SUBSTITUTE(SUBSTITUTE(SUBSTITUTE(SUBSTITUTE(SUBSTITUTE(SUBSTITUTE(SUBSTITUTE(SUBSTITUTE(SUBSTITUTE($AA1996," ",""),"　",""),"(주)",""),"（주）",""),"㈜",""),"주식회사",""),"(유)",""),"（유）",""),"유한회사",""))</f>
        <v/>
      </c>
      <c r="AC1996" s="31">
        <f>IF(OR($Y1996="",N($Z1996)&lt;=0,$AB1996=""),0,IFERROR(LOOKUP(2,1/((거래처별!$AC$8:$AC$307&lt;&gt;"")*ISNUMBER(SEARCH(거래처별!$AC$8:$AC$307,$AB1996))),거래처별!$A$8:$A$307),IFERROR(LOOKUP(2,1/((거래처별!$AD$8:$AD$307&lt;&gt;"")*ISNUMBER(SEARCH(거래처별!$AD$8:$AD$307,$AB1996))),거래처별!$A$8:$A$307),IFERROR(LOOKUP(2,1/((거래처별!$AE$8:$AE$307&lt;&gt;"")*ISNUMBER(SEARCH(거래처별!$AE$8:$AE$307,$AB1996))),거래처별!$A$8:$A$307),0))))</f>
        <v/>
      </c>
      <c r="AD1996" s="31">
        <f>IF(AND($Y1996&lt;&gt;"",N($Z1996)&gt;0,$AC1996=0),MAX($AD$7:$AD1995)+1,"")</f>
        <v/>
      </c>
      <c r="AE1996" s="31">
        <f>IF($Y1996="",0,$Y1996)</f>
        <v/>
      </c>
    </row>
    <row r="1997">
      <c r="W1997" s="31">
        <f>IF(OR($B$5="",$C$6="",ROW()&lt;$B$5),"",IF(INDEX($A:$U,ROW(),$C$6)="","",INDEX($A:$U,ROW(),$C$6)))</f>
        <v/>
      </c>
      <c r="X1997" s="32">
        <f>IF($W1997="","",IF(ISNUMBER($W1997),IF($W1997&gt;=10000000,IFERROR(DATE(INT($W1997/10000),MOD(INT($W1997/100),100),MOD($W1997,100)),""),INT($W1997)),IFERROR(DATE(--LEFT(LEFT(SUBSTITUTE(SUBSTITUTE(SUBSTITUTE(SUBSTITUTE(TRIM($W1997),"-",""),".",""),"/","")," ",""),8),4),--MID(LEFT(SUBSTITUTE(SUBSTITUTE(SUBSTITUTE(SUBSTITUTE(TRIM($W1997),"-",""),".",""),"/","")," ",""),8),5,2),--MID(LEFT(SUBSTITUTE(SUBSTITUTE(SUBSTITUTE(SUBSTITUTE(TRIM($W1997),"-",""),".",""),"/","")," ",""),8),7,2)),"")))</f>
        <v/>
      </c>
      <c r="Y1997" s="32">
        <f>IF($X1997="","",INT($X1997))</f>
        <v/>
      </c>
      <c r="Z1997" s="33">
        <f>IF(OR($Y1997="",$D$6=""),"",IF(INDEX($A:$U,ROW(),$D$6)="",0,IF(ISNUMBER(INDEX($A:$U,ROW(),$D$6)),INDEX($A:$U,ROW(),$D$6),IFERROR(--SUBSTITUTE(SUBSTITUTE(TRIM(INDEX($A:$U,ROW(),$D$6)),",",""),"원",""),0))))</f>
        <v/>
      </c>
      <c r="AA1997" s="31">
        <f>IF($Y1997="","",TRIM(INDEX($A:$U,ROW(),$E$6)&amp;IF($F$6="",""," "&amp;INDEX($A:$U,ROW(),$F$6))))</f>
        <v/>
      </c>
      <c r="AB1997" s="31">
        <f>IF($AA1997="","",SUBSTITUTE(SUBSTITUTE(SUBSTITUTE(SUBSTITUTE(SUBSTITUTE(SUBSTITUTE(SUBSTITUTE(SUBSTITUTE(SUBSTITUTE($AA1997," ",""),"　",""),"(주)",""),"（주）",""),"㈜",""),"주식회사",""),"(유)",""),"（유）",""),"유한회사",""))</f>
        <v/>
      </c>
      <c r="AC1997" s="31">
        <f>IF(OR($Y1997="",N($Z1997)&lt;=0,$AB1997=""),0,IFERROR(LOOKUP(2,1/((거래처별!$AC$8:$AC$307&lt;&gt;"")*ISNUMBER(SEARCH(거래처별!$AC$8:$AC$307,$AB1997))),거래처별!$A$8:$A$307),IFERROR(LOOKUP(2,1/((거래처별!$AD$8:$AD$307&lt;&gt;"")*ISNUMBER(SEARCH(거래처별!$AD$8:$AD$307,$AB1997))),거래처별!$A$8:$A$307),IFERROR(LOOKUP(2,1/((거래처별!$AE$8:$AE$307&lt;&gt;"")*ISNUMBER(SEARCH(거래처별!$AE$8:$AE$307,$AB1997))),거래처별!$A$8:$A$307),0))))</f>
        <v/>
      </c>
      <c r="AD1997" s="31">
        <f>IF(AND($Y1997&lt;&gt;"",N($Z1997)&gt;0,$AC1997=0),MAX($AD$7:$AD1996)+1,"")</f>
        <v/>
      </c>
      <c r="AE1997" s="31">
        <f>IF($Y1997="",0,$Y1997)</f>
        <v/>
      </c>
    </row>
    <row r="1998">
      <c r="W1998" s="31">
        <f>IF(OR($B$5="",$C$6="",ROW()&lt;$B$5),"",IF(INDEX($A:$U,ROW(),$C$6)="","",INDEX($A:$U,ROW(),$C$6)))</f>
        <v/>
      </c>
      <c r="X1998" s="32">
        <f>IF($W1998="","",IF(ISNUMBER($W1998),IF($W1998&gt;=10000000,IFERROR(DATE(INT($W1998/10000),MOD(INT($W1998/100),100),MOD($W1998,100)),""),INT($W1998)),IFERROR(DATE(--LEFT(LEFT(SUBSTITUTE(SUBSTITUTE(SUBSTITUTE(SUBSTITUTE(TRIM($W1998),"-",""),".",""),"/","")," ",""),8),4),--MID(LEFT(SUBSTITUTE(SUBSTITUTE(SUBSTITUTE(SUBSTITUTE(TRIM($W1998),"-",""),".",""),"/","")," ",""),8),5,2),--MID(LEFT(SUBSTITUTE(SUBSTITUTE(SUBSTITUTE(SUBSTITUTE(TRIM($W1998),"-",""),".",""),"/","")," ",""),8),7,2)),"")))</f>
        <v/>
      </c>
      <c r="Y1998" s="32">
        <f>IF($X1998="","",INT($X1998))</f>
        <v/>
      </c>
      <c r="Z1998" s="33">
        <f>IF(OR($Y1998="",$D$6=""),"",IF(INDEX($A:$U,ROW(),$D$6)="",0,IF(ISNUMBER(INDEX($A:$U,ROW(),$D$6)),INDEX($A:$U,ROW(),$D$6),IFERROR(--SUBSTITUTE(SUBSTITUTE(TRIM(INDEX($A:$U,ROW(),$D$6)),",",""),"원",""),0))))</f>
        <v/>
      </c>
      <c r="AA1998" s="31">
        <f>IF($Y1998="","",TRIM(INDEX($A:$U,ROW(),$E$6)&amp;IF($F$6="",""," "&amp;INDEX($A:$U,ROW(),$F$6))))</f>
        <v/>
      </c>
      <c r="AB1998" s="31">
        <f>IF($AA1998="","",SUBSTITUTE(SUBSTITUTE(SUBSTITUTE(SUBSTITUTE(SUBSTITUTE(SUBSTITUTE(SUBSTITUTE(SUBSTITUTE(SUBSTITUTE($AA1998," ",""),"　",""),"(주)",""),"（주）",""),"㈜",""),"주식회사",""),"(유)",""),"（유）",""),"유한회사",""))</f>
        <v/>
      </c>
      <c r="AC1998" s="31">
        <f>IF(OR($Y1998="",N($Z1998)&lt;=0,$AB1998=""),0,IFERROR(LOOKUP(2,1/((거래처별!$AC$8:$AC$307&lt;&gt;"")*ISNUMBER(SEARCH(거래처별!$AC$8:$AC$307,$AB1998))),거래처별!$A$8:$A$307),IFERROR(LOOKUP(2,1/((거래처별!$AD$8:$AD$307&lt;&gt;"")*ISNUMBER(SEARCH(거래처별!$AD$8:$AD$307,$AB1998))),거래처별!$A$8:$A$307),IFERROR(LOOKUP(2,1/((거래처별!$AE$8:$AE$307&lt;&gt;"")*ISNUMBER(SEARCH(거래처별!$AE$8:$AE$307,$AB1998))),거래처별!$A$8:$A$307),0))))</f>
        <v/>
      </c>
      <c r="AD1998" s="31">
        <f>IF(AND($Y1998&lt;&gt;"",N($Z1998)&gt;0,$AC1998=0),MAX($AD$7:$AD1997)+1,"")</f>
        <v/>
      </c>
      <c r="AE1998" s="31">
        <f>IF($Y1998="",0,$Y1998)</f>
        <v/>
      </c>
    </row>
    <row r="1999">
      <c r="W1999" s="31">
        <f>IF(OR($B$5="",$C$6="",ROW()&lt;$B$5),"",IF(INDEX($A:$U,ROW(),$C$6)="","",INDEX($A:$U,ROW(),$C$6)))</f>
        <v/>
      </c>
      <c r="X1999" s="32">
        <f>IF($W1999="","",IF(ISNUMBER($W1999),IF($W1999&gt;=10000000,IFERROR(DATE(INT($W1999/10000),MOD(INT($W1999/100),100),MOD($W1999,100)),""),INT($W1999)),IFERROR(DATE(--LEFT(LEFT(SUBSTITUTE(SUBSTITUTE(SUBSTITUTE(SUBSTITUTE(TRIM($W1999),"-",""),".",""),"/","")," ",""),8),4),--MID(LEFT(SUBSTITUTE(SUBSTITUTE(SUBSTITUTE(SUBSTITUTE(TRIM($W1999),"-",""),".",""),"/","")," ",""),8),5,2),--MID(LEFT(SUBSTITUTE(SUBSTITUTE(SUBSTITUTE(SUBSTITUTE(TRIM($W1999),"-",""),".",""),"/","")," ",""),8),7,2)),"")))</f>
        <v/>
      </c>
      <c r="Y1999" s="32">
        <f>IF($X1999="","",INT($X1999))</f>
        <v/>
      </c>
      <c r="Z1999" s="33">
        <f>IF(OR($Y1999="",$D$6=""),"",IF(INDEX($A:$U,ROW(),$D$6)="",0,IF(ISNUMBER(INDEX($A:$U,ROW(),$D$6)),INDEX($A:$U,ROW(),$D$6),IFERROR(--SUBSTITUTE(SUBSTITUTE(TRIM(INDEX($A:$U,ROW(),$D$6)),",",""),"원",""),0))))</f>
        <v/>
      </c>
      <c r="AA1999" s="31">
        <f>IF($Y1999="","",TRIM(INDEX($A:$U,ROW(),$E$6)&amp;IF($F$6="",""," "&amp;INDEX($A:$U,ROW(),$F$6))))</f>
        <v/>
      </c>
      <c r="AB1999" s="31">
        <f>IF($AA1999="","",SUBSTITUTE(SUBSTITUTE(SUBSTITUTE(SUBSTITUTE(SUBSTITUTE(SUBSTITUTE(SUBSTITUTE(SUBSTITUTE(SUBSTITUTE($AA1999," ",""),"　",""),"(주)",""),"（주）",""),"㈜",""),"주식회사",""),"(유)",""),"（유）",""),"유한회사",""))</f>
        <v/>
      </c>
      <c r="AC1999" s="31">
        <f>IF(OR($Y1999="",N($Z1999)&lt;=0,$AB1999=""),0,IFERROR(LOOKUP(2,1/((거래처별!$AC$8:$AC$307&lt;&gt;"")*ISNUMBER(SEARCH(거래처별!$AC$8:$AC$307,$AB1999))),거래처별!$A$8:$A$307),IFERROR(LOOKUP(2,1/((거래처별!$AD$8:$AD$307&lt;&gt;"")*ISNUMBER(SEARCH(거래처별!$AD$8:$AD$307,$AB1999))),거래처별!$A$8:$A$307),IFERROR(LOOKUP(2,1/((거래처별!$AE$8:$AE$307&lt;&gt;"")*ISNUMBER(SEARCH(거래처별!$AE$8:$AE$307,$AB1999))),거래처별!$A$8:$A$307),0))))</f>
        <v/>
      </c>
      <c r="AD1999" s="31">
        <f>IF(AND($Y1999&lt;&gt;"",N($Z1999)&gt;0,$AC1999=0),MAX($AD$7:$AD1998)+1,"")</f>
        <v/>
      </c>
      <c r="AE1999" s="31">
        <f>IF($Y1999="",0,$Y1999)</f>
        <v/>
      </c>
    </row>
    <row r="2000">
      <c r="W2000" s="31">
        <f>IF(OR($B$5="",$C$6="",ROW()&lt;$B$5),"",IF(INDEX($A:$U,ROW(),$C$6)="","",INDEX($A:$U,ROW(),$C$6)))</f>
        <v/>
      </c>
      <c r="X2000" s="32">
        <f>IF($W2000="","",IF(ISNUMBER($W2000),IF($W2000&gt;=10000000,IFERROR(DATE(INT($W2000/10000),MOD(INT($W2000/100),100),MOD($W2000,100)),""),INT($W2000)),IFERROR(DATE(--LEFT(LEFT(SUBSTITUTE(SUBSTITUTE(SUBSTITUTE(SUBSTITUTE(TRIM($W2000),"-",""),".",""),"/","")," ",""),8),4),--MID(LEFT(SUBSTITUTE(SUBSTITUTE(SUBSTITUTE(SUBSTITUTE(TRIM($W2000),"-",""),".",""),"/","")," ",""),8),5,2),--MID(LEFT(SUBSTITUTE(SUBSTITUTE(SUBSTITUTE(SUBSTITUTE(TRIM($W2000),"-",""),".",""),"/","")," ",""),8),7,2)),"")))</f>
        <v/>
      </c>
      <c r="Y2000" s="32">
        <f>IF($X2000="","",INT($X2000))</f>
        <v/>
      </c>
      <c r="Z2000" s="33">
        <f>IF(OR($Y2000="",$D$6=""),"",IF(INDEX($A:$U,ROW(),$D$6)="",0,IF(ISNUMBER(INDEX($A:$U,ROW(),$D$6)),INDEX($A:$U,ROW(),$D$6),IFERROR(--SUBSTITUTE(SUBSTITUTE(TRIM(INDEX($A:$U,ROW(),$D$6)),",",""),"원",""),0))))</f>
        <v/>
      </c>
      <c r="AA2000" s="31">
        <f>IF($Y2000="","",TRIM(INDEX($A:$U,ROW(),$E$6)&amp;IF($F$6="",""," "&amp;INDEX($A:$U,ROW(),$F$6))))</f>
        <v/>
      </c>
      <c r="AB2000" s="31">
        <f>IF($AA2000="","",SUBSTITUTE(SUBSTITUTE(SUBSTITUTE(SUBSTITUTE(SUBSTITUTE(SUBSTITUTE(SUBSTITUTE(SUBSTITUTE(SUBSTITUTE($AA2000," ",""),"　",""),"(주)",""),"（주）",""),"㈜",""),"주식회사",""),"(유)",""),"（유）",""),"유한회사",""))</f>
        <v/>
      </c>
      <c r="AC2000" s="31">
        <f>IF(OR($Y2000="",N($Z2000)&lt;=0,$AB2000=""),0,IFERROR(LOOKUP(2,1/((거래처별!$AC$8:$AC$307&lt;&gt;"")*ISNUMBER(SEARCH(거래처별!$AC$8:$AC$307,$AB2000))),거래처별!$A$8:$A$307),IFERROR(LOOKUP(2,1/((거래처별!$AD$8:$AD$307&lt;&gt;"")*ISNUMBER(SEARCH(거래처별!$AD$8:$AD$307,$AB2000))),거래처별!$A$8:$A$307),IFERROR(LOOKUP(2,1/((거래처별!$AE$8:$AE$307&lt;&gt;"")*ISNUMBER(SEARCH(거래처별!$AE$8:$AE$307,$AB2000))),거래처별!$A$8:$A$307),0))))</f>
        <v/>
      </c>
      <c r="AD2000" s="31">
        <f>IF(AND($Y2000&lt;&gt;"",N($Z2000)&gt;0,$AC2000=0),MAX($AD$7:$AD1999)+1,"")</f>
        <v/>
      </c>
      <c r="AE2000" s="31">
        <f>IF($Y2000="",0,$Y2000)</f>
        <v/>
      </c>
    </row>
    <row r="2001">
      <c r="W2001" s="31">
        <f>IF(OR($B$5="",$C$6="",ROW()&lt;$B$5),"",IF(INDEX($A:$U,ROW(),$C$6)="","",INDEX($A:$U,ROW(),$C$6)))</f>
        <v/>
      </c>
      <c r="X2001" s="32">
        <f>IF($W2001="","",IF(ISNUMBER($W2001),IF($W2001&gt;=10000000,IFERROR(DATE(INT($W2001/10000),MOD(INT($W2001/100),100),MOD($W2001,100)),""),INT($W2001)),IFERROR(DATE(--LEFT(LEFT(SUBSTITUTE(SUBSTITUTE(SUBSTITUTE(SUBSTITUTE(TRIM($W2001),"-",""),".",""),"/","")," ",""),8),4),--MID(LEFT(SUBSTITUTE(SUBSTITUTE(SUBSTITUTE(SUBSTITUTE(TRIM($W2001),"-",""),".",""),"/","")," ",""),8),5,2),--MID(LEFT(SUBSTITUTE(SUBSTITUTE(SUBSTITUTE(SUBSTITUTE(TRIM($W2001),"-",""),".",""),"/","")," ",""),8),7,2)),"")))</f>
        <v/>
      </c>
      <c r="Y2001" s="32">
        <f>IF($X2001="","",INT($X2001))</f>
        <v/>
      </c>
      <c r="Z2001" s="33">
        <f>IF(OR($Y2001="",$D$6=""),"",IF(INDEX($A:$U,ROW(),$D$6)="",0,IF(ISNUMBER(INDEX($A:$U,ROW(),$D$6)),INDEX($A:$U,ROW(),$D$6),IFERROR(--SUBSTITUTE(SUBSTITUTE(TRIM(INDEX($A:$U,ROW(),$D$6)),",",""),"원",""),0))))</f>
        <v/>
      </c>
      <c r="AA2001" s="31">
        <f>IF($Y2001="","",TRIM(INDEX($A:$U,ROW(),$E$6)&amp;IF($F$6="",""," "&amp;INDEX($A:$U,ROW(),$F$6))))</f>
        <v/>
      </c>
      <c r="AB2001" s="31">
        <f>IF($AA2001="","",SUBSTITUTE(SUBSTITUTE(SUBSTITUTE(SUBSTITUTE(SUBSTITUTE(SUBSTITUTE(SUBSTITUTE(SUBSTITUTE(SUBSTITUTE($AA2001," ",""),"　",""),"(주)",""),"（주）",""),"㈜",""),"주식회사",""),"(유)",""),"（유）",""),"유한회사",""))</f>
        <v/>
      </c>
      <c r="AC2001" s="31">
        <f>IF(OR($Y2001="",N($Z2001)&lt;=0,$AB2001=""),0,IFERROR(LOOKUP(2,1/((거래처별!$AC$8:$AC$307&lt;&gt;"")*ISNUMBER(SEARCH(거래처별!$AC$8:$AC$307,$AB2001))),거래처별!$A$8:$A$307),IFERROR(LOOKUP(2,1/((거래처별!$AD$8:$AD$307&lt;&gt;"")*ISNUMBER(SEARCH(거래처별!$AD$8:$AD$307,$AB2001))),거래처별!$A$8:$A$307),IFERROR(LOOKUP(2,1/((거래처별!$AE$8:$AE$307&lt;&gt;"")*ISNUMBER(SEARCH(거래처별!$AE$8:$AE$307,$AB2001))),거래처별!$A$8:$A$307),0))))</f>
        <v/>
      </c>
      <c r="AD2001" s="31">
        <f>IF(AND($Y2001&lt;&gt;"",N($Z2001)&gt;0,$AC2001=0),MAX($AD$7:$AD2000)+1,"")</f>
        <v/>
      </c>
      <c r="AE2001" s="31">
        <f>IF($Y2001="",0,$Y2001)</f>
        <v/>
      </c>
    </row>
    <row r="2002">
      <c r="W2002" s="31">
        <f>IF(OR($B$5="",$C$6="",ROW()&lt;$B$5),"",IF(INDEX($A:$U,ROW(),$C$6)="","",INDEX($A:$U,ROW(),$C$6)))</f>
        <v/>
      </c>
      <c r="X2002" s="32">
        <f>IF($W2002="","",IF(ISNUMBER($W2002),IF($W2002&gt;=10000000,IFERROR(DATE(INT($W2002/10000),MOD(INT($W2002/100),100),MOD($W2002,100)),""),INT($W2002)),IFERROR(DATE(--LEFT(LEFT(SUBSTITUTE(SUBSTITUTE(SUBSTITUTE(SUBSTITUTE(TRIM($W2002),"-",""),".",""),"/","")," ",""),8),4),--MID(LEFT(SUBSTITUTE(SUBSTITUTE(SUBSTITUTE(SUBSTITUTE(TRIM($W2002),"-",""),".",""),"/","")," ",""),8),5,2),--MID(LEFT(SUBSTITUTE(SUBSTITUTE(SUBSTITUTE(SUBSTITUTE(TRIM($W2002),"-",""),".",""),"/","")," ",""),8),7,2)),"")))</f>
        <v/>
      </c>
      <c r="Y2002" s="32">
        <f>IF($X2002="","",INT($X2002))</f>
        <v/>
      </c>
      <c r="Z2002" s="33">
        <f>IF(OR($Y2002="",$D$6=""),"",IF(INDEX($A:$U,ROW(),$D$6)="",0,IF(ISNUMBER(INDEX($A:$U,ROW(),$D$6)),INDEX($A:$U,ROW(),$D$6),IFERROR(--SUBSTITUTE(SUBSTITUTE(TRIM(INDEX($A:$U,ROW(),$D$6)),",",""),"원",""),0))))</f>
        <v/>
      </c>
      <c r="AA2002" s="31">
        <f>IF($Y2002="","",TRIM(INDEX($A:$U,ROW(),$E$6)&amp;IF($F$6="",""," "&amp;INDEX($A:$U,ROW(),$F$6))))</f>
        <v/>
      </c>
      <c r="AB2002" s="31">
        <f>IF($AA2002="","",SUBSTITUTE(SUBSTITUTE(SUBSTITUTE(SUBSTITUTE(SUBSTITUTE(SUBSTITUTE(SUBSTITUTE(SUBSTITUTE(SUBSTITUTE($AA2002," ",""),"　",""),"(주)",""),"（주）",""),"㈜",""),"주식회사",""),"(유)",""),"（유）",""),"유한회사",""))</f>
        <v/>
      </c>
      <c r="AC2002" s="31">
        <f>IF(OR($Y2002="",N($Z2002)&lt;=0,$AB2002=""),0,IFERROR(LOOKUP(2,1/((거래처별!$AC$8:$AC$307&lt;&gt;"")*ISNUMBER(SEARCH(거래처별!$AC$8:$AC$307,$AB2002))),거래처별!$A$8:$A$307),IFERROR(LOOKUP(2,1/((거래처별!$AD$8:$AD$307&lt;&gt;"")*ISNUMBER(SEARCH(거래처별!$AD$8:$AD$307,$AB2002))),거래처별!$A$8:$A$307),IFERROR(LOOKUP(2,1/((거래처별!$AE$8:$AE$307&lt;&gt;"")*ISNUMBER(SEARCH(거래처별!$AE$8:$AE$307,$AB2002))),거래처별!$A$8:$A$307),0))))</f>
        <v/>
      </c>
      <c r="AD2002" s="31">
        <f>IF(AND($Y2002&lt;&gt;"",N($Z2002)&gt;0,$AC2002=0),MAX($AD$7:$AD2001)+1,"")</f>
        <v/>
      </c>
      <c r="AE2002" s="31">
        <f>IF($Y2002="",0,$Y2002)</f>
        <v/>
      </c>
    </row>
    <row r="2003">
      <c r="W2003" s="31">
        <f>IF(OR($B$5="",$C$6="",ROW()&lt;$B$5),"",IF(INDEX($A:$U,ROW(),$C$6)="","",INDEX($A:$U,ROW(),$C$6)))</f>
        <v/>
      </c>
      <c r="X2003" s="32">
        <f>IF($W2003="","",IF(ISNUMBER($W2003),IF($W2003&gt;=10000000,IFERROR(DATE(INT($W2003/10000),MOD(INT($W2003/100),100),MOD($W2003,100)),""),INT($W2003)),IFERROR(DATE(--LEFT(LEFT(SUBSTITUTE(SUBSTITUTE(SUBSTITUTE(SUBSTITUTE(TRIM($W2003),"-",""),".",""),"/","")," ",""),8),4),--MID(LEFT(SUBSTITUTE(SUBSTITUTE(SUBSTITUTE(SUBSTITUTE(TRIM($W2003),"-",""),".",""),"/","")," ",""),8),5,2),--MID(LEFT(SUBSTITUTE(SUBSTITUTE(SUBSTITUTE(SUBSTITUTE(TRIM($W2003),"-",""),".",""),"/","")," ",""),8),7,2)),"")))</f>
        <v/>
      </c>
      <c r="Y2003" s="32">
        <f>IF($X2003="","",INT($X2003))</f>
        <v/>
      </c>
      <c r="Z2003" s="33">
        <f>IF(OR($Y2003="",$D$6=""),"",IF(INDEX($A:$U,ROW(),$D$6)="",0,IF(ISNUMBER(INDEX($A:$U,ROW(),$D$6)),INDEX($A:$U,ROW(),$D$6),IFERROR(--SUBSTITUTE(SUBSTITUTE(TRIM(INDEX($A:$U,ROW(),$D$6)),",",""),"원",""),0))))</f>
        <v/>
      </c>
      <c r="AA2003" s="31">
        <f>IF($Y2003="","",TRIM(INDEX($A:$U,ROW(),$E$6)&amp;IF($F$6="",""," "&amp;INDEX($A:$U,ROW(),$F$6))))</f>
        <v/>
      </c>
      <c r="AB2003" s="31">
        <f>IF($AA2003="","",SUBSTITUTE(SUBSTITUTE(SUBSTITUTE(SUBSTITUTE(SUBSTITUTE(SUBSTITUTE(SUBSTITUTE(SUBSTITUTE(SUBSTITUTE($AA2003," ",""),"　",""),"(주)",""),"（주）",""),"㈜",""),"주식회사",""),"(유)",""),"（유）",""),"유한회사",""))</f>
        <v/>
      </c>
      <c r="AC2003" s="31">
        <f>IF(OR($Y2003="",N($Z2003)&lt;=0,$AB2003=""),0,IFERROR(LOOKUP(2,1/((거래처별!$AC$8:$AC$307&lt;&gt;"")*ISNUMBER(SEARCH(거래처별!$AC$8:$AC$307,$AB2003))),거래처별!$A$8:$A$307),IFERROR(LOOKUP(2,1/((거래처별!$AD$8:$AD$307&lt;&gt;"")*ISNUMBER(SEARCH(거래처별!$AD$8:$AD$307,$AB2003))),거래처별!$A$8:$A$307),IFERROR(LOOKUP(2,1/((거래처별!$AE$8:$AE$307&lt;&gt;"")*ISNUMBER(SEARCH(거래처별!$AE$8:$AE$307,$AB2003))),거래처별!$A$8:$A$307),0))))</f>
        <v/>
      </c>
      <c r="AD2003" s="31">
        <f>IF(AND($Y2003&lt;&gt;"",N($Z2003)&gt;0,$AC2003=0),MAX($AD$7:$AD2002)+1,"")</f>
        <v/>
      </c>
      <c r="AE2003" s="31">
        <f>IF($Y2003="",0,$Y2003)</f>
        <v/>
      </c>
    </row>
    <row r="2004">
      <c r="W2004" s="31">
        <f>IF(OR($B$5="",$C$6="",ROW()&lt;$B$5),"",IF(INDEX($A:$U,ROW(),$C$6)="","",INDEX($A:$U,ROW(),$C$6)))</f>
        <v/>
      </c>
      <c r="X2004" s="32">
        <f>IF($W2004="","",IF(ISNUMBER($W2004),IF($W2004&gt;=10000000,IFERROR(DATE(INT($W2004/10000),MOD(INT($W2004/100),100),MOD($W2004,100)),""),INT($W2004)),IFERROR(DATE(--LEFT(LEFT(SUBSTITUTE(SUBSTITUTE(SUBSTITUTE(SUBSTITUTE(TRIM($W2004),"-",""),".",""),"/","")," ",""),8),4),--MID(LEFT(SUBSTITUTE(SUBSTITUTE(SUBSTITUTE(SUBSTITUTE(TRIM($W2004),"-",""),".",""),"/","")," ",""),8),5,2),--MID(LEFT(SUBSTITUTE(SUBSTITUTE(SUBSTITUTE(SUBSTITUTE(TRIM($W2004),"-",""),".",""),"/","")," ",""),8),7,2)),"")))</f>
        <v/>
      </c>
      <c r="Y2004" s="32">
        <f>IF($X2004="","",INT($X2004))</f>
        <v/>
      </c>
      <c r="Z2004" s="33">
        <f>IF(OR($Y2004="",$D$6=""),"",IF(INDEX($A:$U,ROW(),$D$6)="",0,IF(ISNUMBER(INDEX($A:$U,ROW(),$D$6)),INDEX($A:$U,ROW(),$D$6),IFERROR(--SUBSTITUTE(SUBSTITUTE(TRIM(INDEX($A:$U,ROW(),$D$6)),",",""),"원",""),0))))</f>
        <v/>
      </c>
      <c r="AA2004" s="31">
        <f>IF($Y2004="","",TRIM(INDEX($A:$U,ROW(),$E$6)&amp;IF($F$6="",""," "&amp;INDEX($A:$U,ROW(),$F$6))))</f>
        <v/>
      </c>
      <c r="AB2004" s="31">
        <f>IF($AA2004="","",SUBSTITUTE(SUBSTITUTE(SUBSTITUTE(SUBSTITUTE(SUBSTITUTE(SUBSTITUTE(SUBSTITUTE(SUBSTITUTE(SUBSTITUTE($AA2004," ",""),"　",""),"(주)",""),"（주）",""),"㈜",""),"주식회사",""),"(유)",""),"（유）",""),"유한회사",""))</f>
        <v/>
      </c>
      <c r="AC2004" s="31">
        <f>IF(OR($Y2004="",N($Z2004)&lt;=0,$AB2004=""),0,IFERROR(LOOKUP(2,1/((거래처별!$AC$8:$AC$307&lt;&gt;"")*ISNUMBER(SEARCH(거래처별!$AC$8:$AC$307,$AB2004))),거래처별!$A$8:$A$307),IFERROR(LOOKUP(2,1/((거래처별!$AD$8:$AD$307&lt;&gt;"")*ISNUMBER(SEARCH(거래처별!$AD$8:$AD$307,$AB2004))),거래처별!$A$8:$A$307),IFERROR(LOOKUP(2,1/((거래처별!$AE$8:$AE$307&lt;&gt;"")*ISNUMBER(SEARCH(거래처별!$AE$8:$AE$307,$AB2004))),거래처별!$A$8:$A$307),0))))</f>
        <v/>
      </c>
      <c r="AD2004" s="31">
        <f>IF(AND($Y2004&lt;&gt;"",N($Z2004)&gt;0,$AC2004=0),MAX($AD$7:$AD2003)+1,"")</f>
        <v/>
      </c>
      <c r="AE2004" s="31">
        <f>IF($Y2004="",0,$Y2004)</f>
        <v/>
      </c>
    </row>
    <row r="2005">
      <c r="W2005" s="31">
        <f>IF(OR($B$5="",$C$6="",ROW()&lt;$B$5),"",IF(INDEX($A:$U,ROW(),$C$6)="","",INDEX($A:$U,ROW(),$C$6)))</f>
        <v/>
      </c>
      <c r="X2005" s="32">
        <f>IF($W2005="","",IF(ISNUMBER($W2005),IF($W2005&gt;=10000000,IFERROR(DATE(INT($W2005/10000),MOD(INT($W2005/100),100),MOD($W2005,100)),""),INT($W2005)),IFERROR(DATE(--LEFT(LEFT(SUBSTITUTE(SUBSTITUTE(SUBSTITUTE(SUBSTITUTE(TRIM($W2005),"-",""),".",""),"/","")," ",""),8),4),--MID(LEFT(SUBSTITUTE(SUBSTITUTE(SUBSTITUTE(SUBSTITUTE(TRIM($W2005),"-",""),".",""),"/","")," ",""),8),5,2),--MID(LEFT(SUBSTITUTE(SUBSTITUTE(SUBSTITUTE(SUBSTITUTE(TRIM($W2005),"-",""),".",""),"/","")," ",""),8),7,2)),"")))</f>
        <v/>
      </c>
      <c r="Y2005" s="32">
        <f>IF($X2005="","",INT($X2005))</f>
        <v/>
      </c>
      <c r="Z2005" s="33">
        <f>IF(OR($Y2005="",$D$6=""),"",IF(INDEX($A:$U,ROW(),$D$6)="",0,IF(ISNUMBER(INDEX($A:$U,ROW(),$D$6)),INDEX($A:$U,ROW(),$D$6),IFERROR(--SUBSTITUTE(SUBSTITUTE(TRIM(INDEX($A:$U,ROW(),$D$6)),",",""),"원",""),0))))</f>
        <v/>
      </c>
      <c r="AA2005" s="31">
        <f>IF($Y2005="","",TRIM(INDEX($A:$U,ROW(),$E$6)&amp;IF($F$6="",""," "&amp;INDEX($A:$U,ROW(),$F$6))))</f>
        <v/>
      </c>
      <c r="AB2005" s="31">
        <f>IF($AA2005="","",SUBSTITUTE(SUBSTITUTE(SUBSTITUTE(SUBSTITUTE(SUBSTITUTE(SUBSTITUTE(SUBSTITUTE(SUBSTITUTE(SUBSTITUTE($AA2005," ",""),"　",""),"(주)",""),"（주）",""),"㈜",""),"주식회사",""),"(유)",""),"（유）",""),"유한회사",""))</f>
        <v/>
      </c>
      <c r="AC2005" s="31">
        <f>IF(OR($Y2005="",N($Z2005)&lt;=0,$AB2005=""),0,IFERROR(LOOKUP(2,1/((거래처별!$AC$8:$AC$307&lt;&gt;"")*ISNUMBER(SEARCH(거래처별!$AC$8:$AC$307,$AB2005))),거래처별!$A$8:$A$307),IFERROR(LOOKUP(2,1/((거래처별!$AD$8:$AD$307&lt;&gt;"")*ISNUMBER(SEARCH(거래처별!$AD$8:$AD$307,$AB2005))),거래처별!$A$8:$A$307),IFERROR(LOOKUP(2,1/((거래처별!$AE$8:$AE$307&lt;&gt;"")*ISNUMBER(SEARCH(거래처별!$AE$8:$AE$307,$AB2005))),거래처별!$A$8:$A$307),0))))</f>
        <v/>
      </c>
      <c r="AD2005" s="31">
        <f>IF(AND($Y2005&lt;&gt;"",N($Z2005)&gt;0,$AC2005=0),MAX($AD$7:$AD2004)+1,"")</f>
        <v/>
      </c>
      <c r="AE2005" s="31">
        <f>IF($Y2005="",0,$Y2005)</f>
        <v/>
      </c>
    </row>
    <row r="2006">
      <c r="W2006" s="31">
        <f>IF(OR($B$5="",$C$6="",ROW()&lt;$B$5),"",IF(INDEX($A:$U,ROW(),$C$6)="","",INDEX($A:$U,ROW(),$C$6)))</f>
        <v/>
      </c>
      <c r="X2006" s="32">
        <f>IF($W2006="","",IF(ISNUMBER($W2006),IF($W2006&gt;=10000000,IFERROR(DATE(INT($W2006/10000),MOD(INT($W2006/100),100),MOD($W2006,100)),""),INT($W2006)),IFERROR(DATE(--LEFT(LEFT(SUBSTITUTE(SUBSTITUTE(SUBSTITUTE(SUBSTITUTE(TRIM($W2006),"-",""),".",""),"/","")," ",""),8),4),--MID(LEFT(SUBSTITUTE(SUBSTITUTE(SUBSTITUTE(SUBSTITUTE(TRIM($W2006),"-",""),".",""),"/","")," ",""),8),5,2),--MID(LEFT(SUBSTITUTE(SUBSTITUTE(SUBSTITUTE(SUBSTITUTE(TRIM($W2006),"-",""),".",""),"/","")," ",""),8),7,2)),"")))</f>
        <v/>
      </c>
      <c r="Y2006" s="32">
        <f>IF($X2006="","",INT($X2006))</f>
        <v/>
      </c>
      <c r="Z2006" s="33">
        <f>IF(OR($Y2006="",$D$6=""),"",IF(INDEX($A:$U,ROW(),$D$6)="",0,IF(ISNUMBER(INDEX($A:$U,ROW(),$D$6)),INDEX($A:$U,ROW(),$D$6),IFERROR(--SUBSTITUTE(SUBSTITUTE(TRIM(INDEX($A:$U,ROW(),$D$6)),",",""),"원",""),0))))</f>
        <v/>
      </c>
      <c r="AA2006" s="31">
        <f>IF($Y2006="","",TRIM(INDEX($A:$U,ROW(),$E$6)&amp;IF($F$6="",""," "&amp;INDEX($A:$U,ROW(),$F$6))))</f>
        <v/>
      </c>
      <c r="AB2006" s="31">
        <f>IF($AA2006="","",SUBSTITUTE(SUBSTITUTE(SUBSTITUTE(SUBSTITUTE(SUBSTITUTE(SUBSTITUTE(SUBSTITUTE(SUBSTITUTE(SUBSTITUTE($AA2006," ",""),"　",""),"(주)",""),"（주）",""),"㈜",""),"주식회사",""),"(유)",""),"（유）",""),"유한회사",""))</f>
        <v/>
      </c>
      <c r="AC2006" s="31">
        <f>IF(OR($Y2006="",N($Z2006)&lt;=0,$AB2006=""),0,IFERROR(LOOKUP(2,1/((거래처별!$AC$8:$AC$307&lt;&gt;"")*ISNUMBER(SEARCH(거래처별!$AC$8:$AC$307,$AB2006))),거래처별!$A$8:$A$307),IFERROR(LOOKUP(2,1/((거래처별!$AD$8:$AD$307&lt;&gt;"")*ISNUMBER(SEARCH(거래처별!$AD$8:$AD$307,$AB2006))),거래처별!$A$8:$A$307),IFERROR(LOOKUP(2,1/((거래처별!$AE$8:$AE$307&lt;&gt;"")*ISNUMBER(SEARCH(거래처별!$AE$8:$AE$307,$AB2006))),거래처별!$A$8:$A$307),0))))</f>
        <v/>
      </c>
      <c r="AD2006" s="31">
        <f>IF(AND($Y2006&lt;&gt;"",N($Z2006)&gt;0,$AC2006=0),MAX($AD$7:$AD2005)+1,"")</f>
        <v/>
      </c>
      <c r="AE2006" s="31">
        <f>IF($Y2006="",0,$Y2006)</f>
        <v/>
      </c>
    </row>
    <row r="2007">
      <c r="W2007" s="31">
        <f>IF(OR($B$5="",$C$6="",ROW()&lt;$B$5),"",IF(INDEX($A:$U,ROW(),$C$6)="","",INDEX($A:$U,ROW(),$C$6)))</f>
        <v/>
      </c>
      <c r="X2007" s="32">
        <f>IF($W2007="","",IF(ISNUMBER($W2007),IF($W2007&gt;=10000000,IFERROR(DATE(INT($W2007/10000),MOD(INT($W2007/100),100),MOD($W2007,100)),""),INT($W2007)),IFERROR(DATE(--LEFT(LEFT(SUBSTITUTE(SUBSTITUTE(SUBSTITUTE(SUBSTITUTE(TRIM($W2007),"-",""),".",""),"/","")," ",""),8),4),--MID(LEFT(SUBSTITUTE(SUBSTITUTE(SUBSTITUTE(SUBSTITUTE(TRIM($W2007),"-",""),".",""),"/","")," ",""),8),5,2),--MID(LEFT(SUBSTITUTE(SUBSTITUTE(SUBSTITUTE(SUBSTITUTE(TRIM($W2007),"-",""),".",""),"/","")," ",""),8),7,2)),"")))</f>
        <v/>
      </c>
      <c r="Y2007" s="32">
        <f>IF($X2007="","",INT($X2007))</f>
        <v/>
      </c>
      <c r="Z2007" s="33">
        <f>IF(OR($Y2007="",$D$6=""),"",IF(INDEX($A:$U,ROW(),$D$6)="",0,IF(ISNUMBER(INDEX($A:$U,ROW(),$D$6)),INDEX($A:$U,ROW(),$D$6),IFERROR(--SUBSTITUTE(SUBSTITUTE(TRIM(INDEX($A:$U,ROW(),$D$6)),",",""),"원",""),0))))</f>
        <v/>
      </c>
      <c r="AA2007" s="31">
        <f>IF($Y2007="","",TRIM(INDEX($A:$U,ROW(),$E$6)&amp;IF($F$6="",""," "&amp;INDEX($A:$U,ROW(),$F$6))))</f>
        <v/>
      </c>
      <c r="AB2007" s="31">
        <f>IF($AA2007="","",SUBSTITUTE(SUBSTITUTE(SUBSTITUTE(SUBSTITUTE(SUBSTITUTE(SUBSTITUTE(SUBSTITUTE(SUBSTITUTE(SUBSTITUTE($AA2007," ",""),"　",""),"(주)",""),"（주）",""),"㈜",""),"주식회사",""),"(유)",""),"（유）",""),"유한회사",""))</f>
        <v/>
      </c>
      <c r="AC2007" s="31">
        <f>IF(OR($Y2007="",N($Z2007)&lt;=0,$AB2007=""),0,IFERROR(LOOKUP(2,1/((거래처별!$AC$8:$AC$307&lt;&gt;"")*ISNUMBER(SEARCH(거래처별!$AC$8:$AC$307,$AB2007))),거래처별!$A$8:$A$307),IFERROR(LOOKUP(2,1/((거래처별!$AD$8:$AD$307&lt;&gt;"")*ISNUMBER(SEARCH(거래처별!$AD$8:$AD$307,$AB2007))),거래처별!$A$8:$A$307),IFERROR(LOOKUP(2,1/((거래처별!$AE$8:$AE$307&lt;&gt;"")*ISNUMBER(SEARCH(거래처별!$AE$8:$AE$307,$AB2007))),거래처별!$A$8:$A$307),0))))</f>
        <v/>
      </c>
      <c r="AD2007" s="31">
        <f>IF(AND($Y2007&lt;&gt;"",N($Z2007)&gt;0,$AC2007=0),MAX($AD$7:$AD2006)+1,"")</f>
        <v/>
      </c>
      <c r="AE2007" s="31">
        <f>IF($Y2007="",0,$Y2007)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6" customWidth="1" min="4" max="4"/>
    <col width="16" customWidth="1" min="5" max="5"/>
    <col width="12" customWidth="1" min="6" max="6"/>
    <col width="34" customWidth="1" min="7" max="7"/>
    <col width="2" customWidth="1" min="8" max="8"/>
    <col width="16" customWidth="1" min="9" max="9"/>
    <col width="14" customWidth="1" min="10" max="10"/>
    <col width="14" customWidth="1" min="11" max="11"/>
  </cols>
  <sheetData>
    <row r="1">
      <c r="A1" s="11" t="inlineStr">
        <is>
          <t>거래처설정 — 필요한 거래처만 적는 곳 (선택)</t>
        </is>
      </c>
    </row>
    <row r="2">
      <c r="A2" s="12" t="inlineStr">
        <is>
          <t>✍ 직접 입력: 입금자명이 거래처 이름과 다를 때(별칭), 이전 달에서 넘어온 미수금(기초), 연락 상황을 적습니다. 모든 거래처를 적을 필요는 없고 필요한 곳만 적으세요.</t>
        </is>
      </c>
    </row>
    <row r="3">
      <c r="A3" s="2" t="inlineStr">
        <is>
          <t>거래처 찾는 법: [거래처별] 시트에서 사업자번호를 복사해 A열에 붙여넣기(하이픈 있어도 됨). 사업자번호가 없는 거래처는 상호를 그대로 적으세요. 별칭에는 은행 입금 내용에 찍히는 이름(예: 대표자 이름)을 적습니다.</t>
        </is>
      </c>
    </row>
    <row r="4">
      <c r="A4" s="2" t="inlineStr">
        <is>
          <t>한 번 적어 두면 세금계산서·입금을 새로 붙여넣어도 그대로 유지됩니다. 가상 예시는 지우고 쓰세요 (7행 아래 노란 칸 선택 → Delete).</t>
        </is>
      </c>
    </row>
    <row r="7" ht="30" customHeight="1">
      <c r="A7" s="25" t="inlineStr">
        <is>
          <t>사업자번호 (없으면 상호)</t>
        </is>
      </c>
      <c r="B7" s="25" t="inlineStr">
        <is>
          <t>거래처 (참고용 메모)</t>
        </is>
      </c>
      <c r="C7" s="25" t="inlineStr">
        <is>
          <t>입금자명 별칭 1</t>
        </is>
      </c>
      <c r="D7" s="25" t="inlineStr">
        <is>
          <t>입금자명 별칭 2</t>
        </is>
      </c>
      <c r="E7" s="25" t="inlineStr">
        <is>
          <t>기초 미수금(원)
(이월 잔액)</t>
        </is>
      </c>
      <c r="F7" s="25" t="inlineStr">
        <is>
          <t>조치 상태</t>
        </is>
      </c>
      <c r="G7" s="25" t="inlineStr">
        <is>
          <t>메모</t>
        </is>
      </c>
      <c r="I7" s="26" t="inlineStr">
        <is>
          <t>키(자동)</t>
        </is>
      </c>
      <c r="J7" s="26" t="inlineStr">
        <is>
          <t>별칭1 정리(자동)</t>
        </is>
      </c>
      <c r="K7" s="26" t="inlineStr">
        <is>
          <t>별칭2 정리(자동)</t>
        </is>
      </c>
    </row>
    <row r="8">
      <c r="A8" s="35" t="inlineStr">
        <is>
          <t>999-81-10004</t>
        </is>
      </c>
      <c r="B8" s="35" t="inlineStr">
        <is>
          <t>(주)다온산업</t>
        </is>
      </c>
      <c r="C8" s="35" t="inlineStr">
        <is>
          <t>김다온</t>
        </is>
      </c>
      <c r="D8" s="35" t="n"/>
      <c r="E8" s="36" t="n"/>
      <c r="F8" s="35" t="inlineStr">
        <is>
          <t>연락함</t>
        </is>
      </c>
      <c r="G8" s="35" t="inlineStr">
        <is>
          <t>대표 개인 계좌로 입금하는 거래처</t>
        </is>
      </c>
      <c r="I8" s="31">
        <f>IF(TRIM($A8&amp;"")="","",IF(ISNUMBER(--SUBSTITUTE(SUBSTITUTE(TRIM($A8&amp;""),"-","")," ","")),SUBSTITUTE(SUBSTITUTE(TRIM($A8&amp;""),"-","")," ",""),"N:"&amp;TRIM($A8&amp;"")))</f>
        <v/>
      </c>
      <c r="J8" s="31">
        <f>IF(LEN(SUBSTITUTE(SUBSTITUTE(SUBSTITUTE(SUBSTITUTE(SUBSTITUTE(SUBSTITUTE(SUBSTITUTE(SUBSTITUTE(SUBSTITUTE($C8&amp;""," ",""),"　",""),"(주)",""),"（주）",""),"㈜",""),"주식회사",""),"(유)",""),"（유）",""),"유한회사",""))&lt;2,"",SUBSTITUTE(SUBSTITUTE(SUBSTITUTE(SUBSTITUTE(SUBSTITUTE(SUBSTITUTE(SUBSTITUTE(SUBSTITUTE(SUBSTITUTE($C8&amp;""," ",""),"　",""),"(주)",""),"（주）",""),"㈜",""),"주식회사",""),"(유)",""),"（유）",""),"유한회사",""))</f>
        <v/>
      </c>
      <c r="K8" s="31">
        <f>IF(LEN(SUBSTITUTE(SUBSTITUTE(SUBSTITUTE(SUBSTITUTE(SUBSTITUTE(SUBSTITUTE(SUBSTITUTE(SUBSTITUTE(SUBSTITUTE($D8&amp;""," ",""),"　",""),"(주)",""),"（주）",""),"㈜",""),"주식회사",""),"(유)",""),"（유）",""),"유한회사",""))&lt;2,"",SUBSTITUTE(SUBSTITUTE(SUBSTITUTE(SUBSTITUTE(SUBSTITUTE(SUBSTITUTE(SUBSTITUTE(SUBSTITUTE(SUBSTITUTE($D8&amp;""," ",""),"　",""),"(주)",""),"（주）",""),"㈜",""),"주식회사",""),"(유)",""),"（유）",""),"유한회사",""))</f>
        <v/>
      </c>
    </row>
    <row r="9">
      <c r="A9" s="35" t="inlineStr">
        <is>
          <t>999-81-10007</t>
        </is>
      </c>
      <c r="B9" s="35" t="inlineStr">
        <is>
          <t>한결건설(주)</t>
        </is>
      </c>
      <c r="C9" s="35" t="n"/>
      <c r="D9" s="35" t="n"/>
      <c r="E9" s="36" t="n">
        <v>500000</v>
      </c>
      <c r="F9" s="35" t="inlineStr">
        <is>
          <t>입금약속</t>
        </is>
      </c>
      <c r="G9" s="35" t="inlineStr">
        <is>
          <t>10/30 입금 약속 (가상)</t>
        </is>
      </c>
      <c r="I9" s="31">
        <f>IF(TRIM($A9&amp;"")="","",IF(ISNUMBER(--SUBSTITUTE(SUBSTITUTE(TRIM($A9&amp;""),"-","")," ","")),SUBSTITUTE(SUBSTITUTE(TRIM($A9&amp;""),"-","")," ",""),"N:"&amp;TRIM($A9&amp;"")))</f>
        <v/>
      </c>
      <c r="J9" s="31">
        <f>IF(LEN(SUBSTITUTE(SUBSTITUTE(SUBSTITUTE(SUBSTITUTE(SUBSTITUTE(SUBSTITUTE(SUBSTITUTE(SUBSTITUTE(SUBSTITUTE($C9&amp;""," ",""),"　",""),"(주)",""),"（주）",""),"㈜",""),"주식회사",""),"(유)",""),"（유）",""),"유한회사",""))&lt;2,"",SUBSTITUTE(SUBSTITUTE(SUBSTITUTE(SUBSTITUTE(SUBSTITUTE(SUBSTITUTE(SUBSTITUTE(SUBSTITUTE(SUBSTITUTE($C9&amp;""," ",""),"　",""),"(주)",""),"（주）",""),"㈜",""),"주식회사",""),"(유)",""),"（유）",""),"유한회사",""))</f>
        <v/>
      </c>
      <c r="K9" s="31">
        <f>IF(LEN(SUBSTITUTE(SUBSTITUTE(SUBSTITUTE(SUBSTITUTE(SUBSTITUTE(SUBSTITUTE(SUBSTITUTE(SUBSTITUTE(SUBSTITUTE($D9&amp;""," ",""),"　",""),"(주)",""),"（주）",""),"㈜",""),"주식회사",""),"(유)",""),"（유）",""),"유한회사",""))&lt;2,"",SUBSTITUTE(SUBSTITUTE(SUBSTITUTE(SUBSTITUTE(SUBSTITUTE(SUBSTITUTE(SUBSTITUTE(SUBSTITUTE(SUBSTITUTE($D9&amp;""," ",""),"　",""),"(주)",""),"（주）",""),"㈜",""),"주식회사",""),"(유)",""),"（유）",""),"유한회사",""))</f>
        <v/>
      </c>
    </row>
    <row r="10">
      <c r="A10" s="35" t="inlineStr">
        <is>
          <t>999-81-10008</t>
        </is>
      </c>
      <c r="B10" s="35" t="inlineStr">
        <is>
          <t>소나무상사</t>
        </is>
      </c>
      <c r="C10" s="35" t="n"/>
      <c r="D10" s="35" t="n"/>
      <c r="E10" s="36" t="n"/>
      <c r="F10" s="35" t="n"/>
      <c r="G10" s="35" t="n"/>
      <c r="I10" s="31">
        <f>IF(TRIM($A10&amp;"")="","",IF(ISNUMBER(--SUBSTITUTE(SUBSTITUTE(TRIM($A10&amp;""),"-","")," ","")),SUBSTITUTE(SUBSTITUTE(TRIM($A10&amp;""),"-","")," ",""),"N:"&amp;TRIM($A10&amp;"")))</f>
        <v/>
      </c>
      <c r="J10" s="31">
        <f>IF(LEN(SUBSTITUTE(SUBSTITUTE(SUBSTITUTE(SUBSTITUTE(SUBSTITUTE(SUBSTITUTE(SUBSTITUTE(SUBSTITUTE(SUBSTITUTE($C10&amp;""," ",""),"　",""),"(주)",""),"（주）",""),"㈜",""),"주식회사",""),"(유)",""),"（유）",""),"유한회사",""))&lt;2,"",SUBSTITUTE(SUBSTITUTE(SUBSTITUTE(SUBSTITUTE(SUBSTITUTE(SUBSTITUTE(SUBSTITUTE(SUBSTITUTE(SUBSTITUTE($C10&amp;""," ",""),"　",""),"(주)",""),"（주）",""),"㈜",""),"주식회사",""),"(유)",""),"（유）",""),"유한회사",""))</f>
        <v/>
      </c>
      <c r="K10" s="31">
        <f>IF(LEN(SUBSTITUTE(SUBSTITUTE(SUBSTITUTE(SUBSTITUTE(SUBSTITUTE(SUBSTITUTE(SUBSTITUTE(SUBSTITUTE(SUBSTITUTE($D10&amp;""," ",""),"　",""),"(주)",""),"（주）",""),"㈜",""),"주식회사",""),"(유)",""),"（유）",""),"유한회사",""))&lt;2,"",SUBSTITUTE(SUBSTITUTE(SUBSTITUTE(SUBSTITUTE(SUBSTITUTE(SUBSTITUTE(SUBSTITUTE(SUBSTITUTE(SUBSTITUTE($D10&amp;""," ",""),"　",""),"(주)",""),"（주）",""),"㈜",""),"주식회사",""),"(유)",""),"（유）",""),"유한회사",""))</f>
        <v/>
      </c>
    </row>
    <row r="11">
      <c r="A11" s="35" t="n"/>
      <c r="B11" s="35" t="n"/>
      <c r="C11" s="35" t="n"/>
      <c r="D11" s="35" t="n"/>
      <c r="E11" s="36" t="n"/>
      <c r="F11" s="35" t="n"/>
      <c r="G11" s="35" t="n"/>
      <c r="I11" s="31">
        <f>IF(TRIM($A11&amp;"")="","",IF(ISNUMBER(--SUBSTITUTE(SUBSTITUTE(TRIM($A11&amp;""),"-","")," ","")),SUBSTITUTE(SUBSTITUTE(TRIM($A11&amp;""),"-","")," ",""),"N:"&amp;TRIM($A11&amp;"")))</f>
        <v/>
      </c>
      <c r="J11" s="31">
        <f>IF(LEN(SUBSTITUTE(SUBSTITUTE(SUBSTITUTE(SUBSTITUTE(SUBSTITUTE(SUBSTITUTE(SUBSTITUTE(SUBSTITUTE(SUBSTITUTE($C11&amp;""," ",""),"　",""),"(주)",""),"（주）",""),"㈜",""),"주식회사",""),"(유)",""),"（유）",""),"유한회사",""))&lt;2,"",SUBSTITUTE(SUBSTITUTE(SUBSTITUTE(SUBSTITUTE(SUBSTITUTE(SUBSTITUTE(SUBSTITUTE(SUBSTITUTE(SUBSTITUTE($C11&amp;""," ",""),"　",""),"(주)",""),"（주）",""),"㈜",""),"주식회사",""),"(유)",""),"（유）",""),"유한회사",""))</f>
        <v/>
      </c>
      <c r="K11" s="31">
        <f>IF(LEN(SUBSTITUTE(SUBSTITUTE(SUBSTITUTE(SUBSTITUTE(SUBSTITUTE(SUBSTITUTE(SUBSTITUTE(SUBSTITUTE(SUBSTITUTE($D11&amp;""," ",""),"　",""),"(주)",""),"（주）",""),"㈜",""),"주식회사",""),"(유)",""),"（유）",""),"유한회사",""))&lt;2,"",SUBSTITUTE(SUBSTITUTE(SUBSTITUTE(SUBSTITUTE(SUBSTITUTE(SUBSTITUTE(SUBSTITUTE(SUBSTITUTE(SUBSTITUTE($D11&amp;""," ",""),"　",""),"(주)",""),"（주）",""),"㈜",""),"주식회사",""),"(유)",""),"（유）",""),"유한회사",""))</f>
        <v/>
      </c>
    </row>
    <row r="12">
      <c r="A12" s="35" t="n"/>
      <c r="B12" s="35" t="n"/>
      <c r="C12" s="35" t="n"/>
      <c r="D12" s="35" t="n"/>
      <c r="E12" s="36" t="n"/>
      <c r="F12" s="35" t="n"/>
      <c r="G12" s="35" t="n"/>
      <c r="I12" s="31">
        <f>IF(TRIM($A12&amp;"")="","",IF(ISNUMBER(--SUBSTITUTE(SUBSTITUTE(TRIM($A12&amp;""),"-","")," ","")),SUBSTITUTE(SUBSTITUTE(TRIM($A12&amp;""),"-","")," ",""),"N:"&amp;TRIM($A12&amp;"")))</f>
        <v/>
      </c>
      <c r="J12" s="31">
        <f>IF(LEN(SUBSTITUTE(SUBSTITUTE(SUBSTITUTE(SUBSTITUTE(SUBSTITUTE(SUBSTITUTE(SUBSTITUTE(SUBSTITUTE(SUBSTITUTE($C12&amp;""," ",""),"　",""),"(주)",""),"（주）",""),"㈜",""),"주식회사",""),"(유)",""),"（유）",""),"유한회사",""))&lt;2,"",SUBSTITUTE(SUBSTITUTE(SUBSTITUTE(SUBSTITUTE(SUBSTITUTE(SUBSTITUTE(SUBSTITUTE(SUBSTITUTE(SUBSTITUTE($C12&amp;""," ",""),"　",""),"(주)",""),"（주）",""),"㈜",""),"주식회사",""),"(유)",""),"（유）",""),"유한회사",""))</f>
        <v/>
      </c>
      <c r="K12" s="31">
        <f>IF(LEN(SUBSTITUTE(SUBSTITUTE(SUBSTITUTE(SUBSTITUTE(SUBSTITUTE(SUBSTITUTE(SUBSTITUTE(SUBSTITUTE(SUBSTITUTE($D12&amp;""," ",""),"　",""),"(주)",""),"（주）",""),"㈜",""),"주식회사",""),"(유)",""),"（유）",""),"유한회사",""))&lt;2,"",SUBSTITUTE(SUBSTITUTE(SUBSTITUTE(SUBSTITUTE(SUBSTITUTE(SUBSTITUTE(SUBSTITUTE(SUBSTITUTE(SUBSTITUTE($D12&amp;""," ",""),"　",""),"(주)",""),"（주）",""),"㈜",""),"주식회사",""),"(유)",""),"（유）",""),"유한회사",""))</f>
        <v/>
      </c>
    </row>
    <row r="13">
      <c r="A13" s="35" t="n"/>
      <c r="B13" s="35" t="n"/>
      <c r="C13" s="35" t="n"/>
      <c r="D13" s="35" t="n"/>
      <c r="E13" s="36" t="n"/>
      <c r="F13" s="35" t="n"/>
      <c r="G13" s="35" t="n"/>
      <c r="I13" s="31">
        <f>IF(TRIM($A13&amp;"")="","",IF(ISNUMBER(--SUBSTITUTE(SUBSTITUTE(TRIM($A13&amp;""),"-","")," ","")),SUBSTITUTE(SUBSTITUTE(TRIM($A13&amp;""),"-","")," ",""),"N:"&amp;TRIM($A13&amp;"")))</f>
        <v/>
      </c>
      <c r="J13" s="31">
        <f>IF(LEN(SUBSTITUTE(SUBSTITUTE(SUBSTITUTE(SUBSTITUTE(SUBSTITUTE(SUBSTITUTE(SUBSTITUTE(SUBSTITUTE(SUBSTITUTE($C13&amp;""," ",""),"　",""),"(주)",""),"（주）",""),"㈜",""),"주식회사",""),"(유)",""),"（유）",""),"유한회사",""))&lt;2,"",SUBSTITUTE(SUBSTITUTE(SUBSTITUTE(SUBSTITUTE(SUBSTITUTE(SUBSTITUTE(SUBSTITUTE(SUBSTITUTE(SUBSTITUTE($C13&amp;""," ",""),"　",""),"(주)",""),"（주）",""),"㈜",""),"주식회사",""),"(유)",""),"（유）",""),"유한회사",""))</f>
        <v/>
      </c>
      <c r="K13" s="31">
        <f>IF(LEN(SUBSTITUTE(SUBSTITUTE(SUBSTITUTE(SUBSTITUTE(SUBSTITUTE(SUBSTITUTE(SUBSTITUTE(SUBSTITUTE(SUBSTITUTE($D13&amp;""," ",""),"　",""),"(주)",""),"（주）",""),"㈜",""),"주식회사",""),"(유)",""),"（유）",""),"유한회사",""))&lt;2,"",SUBSTITUTE(SUBSTITUTE(SUBSTITUTE(SUBSTITUTE(SUBSTITUTE(SUBSTITUTE(SUBSTITUTE(SUBSTITUTE(SUBSTITUTE($D13&amp;""," ",""),"　",""),"(주)",""),"（주）",""),"㈜",""),"주식회사",""),"(유)",""),"（유）",""),"유한회사",""))</f>
        <v/>
      </c>
    </row>
    <row r="14">
      <c r="A14" s="35" t="n"/>
      <c r="B14" s="35" t="n"/>
      <c r="C14" s="35" t="n"/>
      <c r="D14" s="35" t="n"/>
      <c r="E14" s="36" t="n"/>
      <c r="F14" s="35" t="n"/>
      <c r="G14" s="35" t="n"/>
      <c r="I14" s="31">
        <f>IF(TRIM($A14&amp;"")="","",IF(ISNUMBER(--SUBSTITUTE(SUBSTITUTE(TRIM($A14&amp;""),"-","")," ","")),SUBSTITUTE(SUBSTITUTE(TRIM($A14&amp;""),"-","")," ",""),"N:"&amp;TRIM($A14&amp;"")))</f>
        <v/>
      </c>
      <c r="J14" s="31">
        <f>IF(LEN(SUBSTITUTE(SUBSTITUTE(SUBSTITUTE(SUBSTITUTE(SUBSTITUTE(SUBSTITUTE(SUBSTITUTE(SUBSTITUTE(SUBSTITUTE($C14&amp;""," ",""),"　",""),"(주)",""),"（주）",""),"㈜",""),"주식회사",""),"(유)",""),"（유）",""),"유한회사",""))&lt;2,"",SUBSTITUTE(SUBSTITUTE(SUBSTITUTE(SUBSTITUTE(SUBSTITUTE(SUBSTITUTE(SUBSTITUTE(SUBSTITUTE(SUBSTITUTE($C14&amp;""," ",""),"　",""),"(주)",""),"（주）",""),"㈜",""),"주식회사",""),"(유)",""),"（유）",""),"유한회사",""))</f>
        <v/>
      </c>
      <c r="K14" s="31">
        <f>IF(LEN(SUBSTITUTE(SUBSTITUTE(SUBSTITUTE(SUBSTITUTE(SUBSTITUTE(SUBSTITUTE(SUBSTITUTE(SUBSTITUTE(SUBSTITUTE($D14&amp;""," ",""),"　",""),"(주)",""),"（주）",""),"㈜",""),"주식회사",""),"(유)",""),"（유）",""),"유한회사",""))&lt;2,"",SUBSTITUTE(SUBSTITUTE(SUBSTITUTE(SUBSTITUTE(SUBSTITUTE(SUBSTITUTE(SUBSTITUTE(SUBSTITUTE(SUBSTITUTE($D14&amp;""," ",""),"　",""),"(주)",""),"（주）",""),"㈜",""),"주식회사",""),"(유)",""),"（유）",""),"유한회사",""))</f>
        <v/>
      </c>
    </row>
    <row r="15">
      <c r="A15" s="35" t="n"/>
      <c r="B15" s="35" t="n"/>
      <c r="C15" s="35" t="n"/>
      <c r="D15" s="35" t="n"/>
      <c r="E15" s="36" t="n"/>
      <c r="F15" s="35" t="n"/>
      <c r="G15" s="35" t="n"/>
      <c r="I15" s="31">
        <f>IF(TRIM($A15&amp;"")="","",IF(ISNUMBER(--SUBSTITUTE(SUBSTITUTE(TRIM($A15&amp;""),"-","")," ","")),SUBSTITUTE(SUBSTITUTE(TRIM($A15&amp;""),"-","")," ",""),"N:"&amp;TRIM($A15&amp;"")))</f>
        <v/>
      </c>
      <c r="J15" s="31">
        <f>IF(LEN(SUBSTITUTE(SUBSTITUTE(SUBSTITUTE(SUBSTITUTE(SUBSTITUTE(SUBSTITUTE(SUBSTITUTE(SUBSTITUTE(SUBSTITUTE($C15&amp;""," ",""),"　",""),"(주)",""),"（주）",""),"㈜",""),"주식회사",""),"(유)",""),"（유）",""),"유한회사",""))&lt;2,"",SUBSTITUTE(SUBSTITUTE(SUBSTITUTE(SUBSTITUTE(SUBSTITUTE(SUBSTITUTE(SUBSTITUTE(SUBSTITUTE(SUBSTITUTE($C15&amp;""," ",""),"　",""),"(주)",""),"（주）",""),"㈜",""),"주식회사",""),"(유)",""),"（유）",""),"유한회사",""))</f>
        <v/>
      </c>
      <c r="K15" s="31">
        <f>IF(LEN(SUBSTITUTE(SUBSTITUTE(SUBSTITUTE(SUBSTITUTE(SUBSTITUTE(SUBSTITUTE(SUBSTITUTE(SUBSTITUTE(SUBSTITUTE($D15&amp;""," ",""),"　",""),"(주)",""),"（주）",""),"㈜",""),"주식회사",""),"(유)",""),"（유）",""),"유한회사",""))&lt;2,"",SUBSTITUTE(SUBSTITUTE(SUBSTITUTE(SUBSTITUTE(SUBSTITUTE(SUBSTITUTE(SUBSTITUTE(SUBSTITUTE(SUBSTITUTE($D15&amp;""," ",""),"　",""),"(주)",""),"（주）",""),"㈜",""),"주식회사",""),"(유)",""),"（유）",""),"유한회사",""))</f>
        <v/>
      </c>
    </row>
    <row r="16">
      <c r="A16" s="35" t="n"/>
      <c r="B16" s="35" t="n"/>
      <c r="C16" s="35" t="n"/>
      <c r="D16" s="35" t="n"/>
      <c r="E16" s="36" t="n"/>
      <c r="F16" s="35" t="n"/>
      <c r="G16" s="35" t="n"/>
      <c r="I16" s="31">
        <f>IF(TRIM($A16&amp;"")="","",IF(ISNUMBER(--SUBSTITUTE(SUBSTITUTE(TRIM($A16&amp;""),"-","")," ","")),SUBSTITUTE(SUBSTITUTE(TRIM($A16&amp;""),"-","")," ",""),"N:"&amp;TRIM($A16&amp;"")))</f>
        <v/>
      </c>
      <c r="J16" s="31">
        <f>IF(LEN(SUBSTITUTE(SUBSTITUTE(SUBSTITUTE(SUBSTITUTE(SUBSTITUTE(SUBSTITUTE(SUBSTITUTE(SUBSTITUTE(SUBSTITUTE($C16&amp;""," ",""),"　",""),"(주)",""),"（주）",""),"㈜",""),"주식회사",""),"(유)",""),"（유）",""),"유한회사",""))&lt;2,"",SUBSTITUTE(SUBSTITUTE(SUBSTITUTE(SUBSTITUTE(SUBSTITUTE(SUBSTITUTE(SUBSTITUTE(SUBSTITUTE(SUBSTITUTE($C16&amp;""," ",""),"　",""),"(주)",""),"（주）",""),"㈜",""),"주식회사",""),"(유)",""),"（유）",""),"유한회사",""))</f>
        <v/>
      </c>
      <c r="K16" s="31">
        <f>IF(LEN(SUBSTITUTE(SUBSTITUTE(SUBSTITUTE(SUBSTITUTE(SUBSTITUTE(SUBSTITUTE(SUBSTITUTE(SUBSTITUTE(SUBSTITUTE($D16&amp;""," ",""),"　",""),"(주)",""),"（주）",""),"㈜",""),"주식회사",""),"(유)",""),"（유）",""),"유한회사",""))&lt;2,"",SUBSTITUTE(SUBSTITUTE(SUBSTITUTE(SUBSTITUTE(SUBSTITUTE(SUBSTITUTE(SUBSTITUTE(SUBSTITUTE(SUBSTITUTE($D16&amp;""," ",""),"　",""),"(주)",""),"（주）",""),"㈜",""),"주식회사",""),"(유)",""),"（유）",""),"유한회사",""))</f>
        <v/>
      </c>
    </row>
    <row r="17">
      <c r="A17" s="35" t="n"/>
      <c r="B17" s="35" t="n"/>
      <c r="C17" s="35" t="n"/>
      <c r="D17" s="35" t="n"/>
      <c r="E17" s="36" t="n"/>
      <c r="F17" s="35" t="n"/>
      <c r="G17" s="35" t="n"/>
      <c r="I17" s="31">
        <f>IF(TRIM($A17&amp;"")="","",IF(ISNUMBER(--SUBSTITUTE(SUBSTITUTE(TRIM($A17&amp;""),"-","")," ","")),SUBSTITUTE(SUBSTITUTE(TRIM($A17&amp;""),"-","")," ",""),"N:"&amp;TRIM($A17&amp;"")))</f>
        <v/>
      </c>
      <c r="J17" s="31">
        <f>IF(LEN(SUBSTITUTE(SUBSTITUTE(SUBSTITUTE(SUBSTITUTE(SUBSTITUTE(SUBSTITUTE(SUBSTITUTE(SUBSTITUTE(SUBSTITUTE($C17&amp;""," ",""),"　",""),"(주)",""),"（주）",""),"㈜",""),"주식회사",""),"(유)",""),"（유）",""),"유한회사",""))&lt;2,"",SUBSTITUTE(SUBSTITUTE(SUBSTITUTE(SUBSTITUTE(SUBSTITUTE(SUBSTITUTE(SUBSTITUTE(SUBSTITUTE(SUBSTITUTE($C17&amp;""," ",""),"　",""),"(주)",""),"（주）",""),"㈜",""),"주식회사",""),"(유)",""),"（유）",""),"유한회사",""))</f>
        <v/>
      </c>
      <c r="K17" s="31">
        <f>IF(LEN(SUBSTITUTE(SUBSTITUTE(SUBSTITUTE(SUBSTITUTE(SUBSTITUTE(SUBSTITUTE(SUBSTITUTE(SUBSTITUTE(SUBSTITUTE($D17&amp;""," ",""),"　",""),"(주)",""),"（주）",""),"㈜",""),"주식회사",""),"(유)",""),"（유）",""),"유한회사",""))&lt;2,"",SUBSTITUTE(SUBSTITUTE(SUBSTITUTE(SUBSTITUTE(SUBSTITUTE(SUBSTITUTE(SUBSTITUTE(SUBSTITUTE(SUBSTITUTE($D17&amp;""," ",""),"　",""),"(주)",""),"（주）",""),"㈜",""),"주식회사",""),"(유)",""),"（유）",""),"유한회사",""))</f>
        <v/>
      </c>
    </row>
    <row r="18">
      <c r="A18" s="35" t="n"/>
      <c r="B18" s="35" t="n"/>
      <c r="C18" s="35" t="n"/>
      <c r="D18" s="35" t="n"/>
      <c r="E18" s="36" t="n"/>
      <c r="F18" s="35" t="n"/>
      <c r="G18" s="35" t="n"/>
      <c r="I18" s="31">
        <f>IF(TRIM($A18&amp;"")="","",IF(ISNUMBER(--SUBSTITUTE(SUBSTITUTE(TRIM($A18&amp;""),"-","")," ","")),SUBSTITUTE(SUBSTITUTE(TRIM($A18&amp;""),"-","")," ",""),"N:"&amp;TRIM($A18&amp;"")))</f>
        <v/>
      </c>
      <c r="J18" s="31">
        <f>IF(LEN(SUBSTITUTE(SUBSTITUTE(SUBSTITUTE(SUBSTITUTE(SUBSTITUTE(SUBSTITUTE(SUBSTITUTE(SUBSTITUTE(SUBSTITUTE($C18&amp;""," ",""),"　",""),"(주)",""),"（주）",""),"㈜",""),"주식회사",""),"(유)",""),"（유）",""),"유한회사",""))&lt;2,"",SUBSTITUTE(SUBSTITUTE(SUBSTITUTE(SUBSTITUTE(SUBSTITUTE(SUBSTITUTE(SUBSTITUTE(SUBSTITUTE(SUBSTITUTE($C18&amp;""," ",""),"　",""),"(주)",""),"（주）",""),"㈜",""),"주식회사",""),"(유)",""),"（유）",""),"유한회사",""))</f>
        <v/>
      </c>
      <c r="K18" s="31">
        <f>IF(LEN(SUBSTITUTE(SUBSTITUTE(SUBSTITUTE(SUBSTITUTE(SUBSTITUTE(SUBSTITUTE(SUBSTITUTE(SUBSTITUTE(SUBSTITUTE($D18&amp;""," ",""),"　",""),"(주)",""),"（주）",""),"㈜",""),"주식회사",""),"(유)",""),"（유）",""),"유한회사",""))&lt;2,"",SUBSTITUTE(SUBSTITUTE(SUBSTITUTE(SUBSTITUTE(SUBSTITUTE(SUBSTITUTE(SUBSTITUTE(SUBSTITUTE(SUBSTITUTE($D18&amp;""," ",""),"　",""),"(주)",""),"（주）",""),"㈜",""),"주식회사",""),"(유)",""),"（유）",""),"유한회사",""))</f>
        <v/>
      </c>
    </row>
    <row r="19">
      <c r="A19" s="35" t="n"/>
      <c r="B19" s="35" t="n"/>
      <c r="C19" s="35" t="n"/>
      <c r="D19" s="35" t="n"/>
      <c r="E19" s="36" t="n"/>
      <c r="F19" s="35" t="n"/>
      <c r="G19" s="35" t="n"/>
      <c r="I19" s="31">
        <f>IF(TRIM($A19&amp;"")="","",IF(ISNUMBER(--SUBSTITUTE(SUBSTITUTE(TRIM($A19&amp;""),"-","")," ","")),SUBSTITUTE(SUBSTITUTE(TRIM($A19&amp;""),"-","")," ",""),"N:"&amp;TRIM($A19&amp;"")))</f>
        <v/>
      </c>
      <c r="J19" s="31">
        <f>IF(LEN(SUBSTITUTE(SUBSTITUTE(SUBSTITUTE(SUBSTITUTE(SUBSTITUTE(SUBSTITUTE(SUBSTITUTE(SUBSTITUTE(SUBSTITUTE($C19&amp;""," ",""),"　",""),"(주)",""),"（주）",""),"㈜",""),"주식회사",""),"(유)",""),"（유）",""),"유한회사",""))&lt;2,"",SUBSTITUTE(SUBSTITUTE(SUBSTITUTE(SUBSTITUTE(SUBSTITUTE(SUBSTITUTE(SUBSTITUTE(SUBSTITUTE(SUBSTITUTE($C19&amp;""," ",""),"　",""),"(주)",""),"（주）",""),"㈜",""),"주식회사",""),"(유)",""),"（유）",""),"유한회사",""))</f>
        <v/>
      </c>
      <c r="K19" s="31">
        <f>IF(LEN(SUBSTITUTE(SUBSTITUTE(SUBSTITUTE(SUBSTITUTE(SUBSTITUTE(SUBSTITUTE(SUBSTITUTE(SUBSTITUTE(SUBSTITUTE($D19&amp;""," ",""),"　",""),"(주)",""),"（주）",""),"㈜",""),"주식회사",""),"(유)",""),"（유）",""),"유한회사",""))&lt;2,"",SUBSTITUTE(SUBSTITUTE(SUBSTITUTE(SUBSTITUTE(SUBSTITUTE(SUBSTITUTE(SUBSTITUTE(SUBSTITUTE(SUBSTITUTE($D19&amp;""," ",""),"　",""),"(주)",""),"（주）",""),"㈜",""),"주식회사",""),"(유)",""),"（유）",""),"유한회사",""))</f>
        <v/>
      </c>
    </row>
    <row r="20">
      <c r="A20" s="35" t="n"/>
      <c r="B20" s="35" t="n"/>
      <c r="C20" s="35" t="n"/>
      <c r="D20" s="35" t="n"/>
      <c r="E20" s="36" t="n"/>
      <c r="F20" s="35" t="n"/>
      <c r="G20" s="35" t="n"/>
      <c r="I20" s="31">
        <f>IF(TRIM($A20&amp;"")="","",IF(ISNUMBER(--SUBSTITUTE(SUBSTITUTE(TRIM($A20&amp;""),"-","")," ","")),SUBSTITUTE(SUBSTITUTE(TRIM($A20&amp;""),"-","")," ",""),"N:"&amp;TRIM($A20&amp;"")))</f>
        <v/>
      </c>
      <c r="J20" s="31">
        <f>IF(LEN(SUBSTITUTE(SUBSTITUTE(SUBSTITUTE(SUBSTITUTE(SUBSTITUTE(SUBSTITUTE(SUBSTITUTE(SUBSTITUTE(SUBSTITUTE($C20&amp;""," ",""),"　",""),"(주)",""),"（주）",""),"㈜",""),"주식회사",""),"(유)",""),"（유）",""),"유한회사",""))&lt;2,"",SUBSTITUTE(SUBSTITUTE(SUBSTITUTE(SUBSTITUTE(SUBSTITUTE(SUBSTITUTE(SUBSTITUTE(SUBSTITUTE(SUBSTITUTE($C20&amp;""," ",""),"　",""),"(주)",""),"（주）",""),"㈜",""),"주식회사",""),"(유)",""),"（유）",""),"유한회사",""))</f>
        <v/>
      </c>
      <c r="K20" s="31">
        <f>IF(LEN(SUBSTITUTE(SUBSTITUTE(SUBSTITUTE(SUBSTITUTE(SUBSTITUTE(SUBSTITUTE(SUBSTITUTE(SUBSTITUTE(SUBSTITUTE($D20&amp;""," ",""),"　",""),"(주)",""),"（주）",""),"㈜",""),"주식회사",""),"(유)",""),"（유）",""),"유한회사",""))&lt;2,"",SUBSTITUTE(SUBSTITUTE(SUBSTITUTE(SUBSTITUTE(SUBSTITUTE(SUBSTITUTE(SUBSTITUTE(SUBSTITUTE(SUBSTITUTE($D20&amp;""," ",""),"　",""),"(주)",""),"（주）",""),"㈜",""),"주식회사",""),"(유)",""),"（유）",""),"유한회사",""))</f>
        <v/>
      </c>
    </row>
    <row r="21">
      <c r="A21" s="35" t="n"/>
      <c r="B21" s="35" t="n"/>
      <c r="C21" s="35" t="n"/>
      <c r="D21" s="35" t="n"/>
      <c r="E21" s="36" t="n"/>
      <c r="F21" s="35" t="n"/>
      <c r="G21" s="35" t="n"/>
      <c r="I21" s="31">
        <f>IF(TRIM($A21&amp;"")="","",IF(ISNUMBER(--SUBSTITUTE(SUBSTITUTE(TRIM($A21&amp;""),"-","")," ","")),SUBSTITUTE(SUBSTITUTE(TRIM($A21&amp;""),"-","")," ",""),"N:"&amp;TRIM($A21&amp;"")))</f>
        <v/>
      </c>
      <c r="J21" s="31">
        <f>IF(LEN(SUBSTITUTE(SUBSTITUTE(SUBSTITUTE(SUBSTITUTE(SUBSTITUTE(SUBSTITUTE(SUBSTITUTE(SUBSTITUTE(SUBSTITUTE($C21&amp;""," ",""),"　",""),"(주)",""),"（주）",""),"㈜",""),"주식회사",""),"(유)",""),"（유）",""),"유한회사",""))&lt;2,"",SUBSTITUTE(SUBSTITUTE(SUBSTITUTE(SUBSTITUTE(SUBSTITUTE(SUBSTITUTE(SUBSTITUTE(SUBSTITUTE(SUBSTITUTE($C21&amp;""," ",""),"　",""),"(주)",""),"（주）",""),"㈜",""),"주식회사",""),"(유)",""),"（유）",""),"유한회사",""))</f>
        <v/>
      </c>
      <c r="K21" s="31">
        <f>IF(LEN(SUBSTITUTE(SUBSTITUTE(SUBSTITUTE(SUBSTITUTE(SUBSTITUTE(SUBSTITUTE(SUBSTITUTE(SUBSTITUTE(SUBSTITUTE($D21&amp;""," ",""),"　",""),"(주)",""),"（주）",""),"㈜",""),"주식회사",""),"(유)",""),"（유）",""),"유한회사",""))&lt;2,"",SUBSTITUTE(SUBSTITUTE(SUBSTITUTE(SUBSTITUTE(SUBSTITUTE(SUBSTITUTE(SUBSTITUTE(SUBSTITUTE(SUBSTITUTE($D21&amp;""," ",""),"　",""),"(주)",""),"（주）",""),"㈜",""),"주식회사",""),"(유)",""),"（유）",""),"유한회사",""))</f>
        <v/>
      </c>
    </row>
    <row r="22">
      <c r="A22" s="35" t="n"/>
      <c r="B22" s="35" t="n"/>
      <c r="C22" s="35" t="n"/>
      <c r="D22" s="35" t="n"/>
      <c r="E22" s="36" t="n"/>
      <c r="F22" s="35" t="n"/>
      <c r="G22" s="35" t="n"/>
      <c r="I22" s="31">
        <f>IF(TRIM($A22&amp;"")="","",IF(ISNUMBER(--SUBSTITUTE(SUBSTITUTE(TRIM($A22&amp;""),"-","")," ","")),SUBSTITUTE(SUBSTITUTE(TRIM($A22&amp;""),"-","")," ",""),"N:"&amp;TRIM($A22&amp;"")))</f>
        <v/>
      </c>
      <c r="J22" s="31">
        <f>IF(LEN(SUBSTITUTE(SUBSTITUTE(SUBSTITUTE(SUBSTITUTE(SUBSTITUTE(SUBSTITUTE(SUBSTITUTE(SUBSTITUTE(SUBSTITUTE($C22&amp;""," ",""),"　",""),"(주)",""),"（주）",""),"㈜",""),"주식회사",""),"(유)",""),"（유）",""),"유한회사",""))&lt;2,"",SUBSTITUTE(SUBSTITUTE(SUBSTITUTE(SUBSTITUTE(SUBSTITUTE(SUBSTITUTE(SUBSTITUTE(SUBSTITUTE(SUBSTITUTE($C22&amp;""," ",""),"　",""),"(주)",""),"（주）",""),"㈜",""),"주식회사",""),"(유)",""),"（유）",""),"유한회사",""))</f>
        <v/>
      </c>
      <c r="K22" s="31">
        <f>IF(LEN(SUBSTITUTE(SUBSTITUTE(SUBSTITUTE(SUBSTITUTE(SUBSTITUTE(SUBSTITUTE(SUBSTITUTE(SUBSTITUTE(SUBSTITUTE($D22&amp;""," ",""),"　",""),"(주)",""),"（주）",""),"㈜",""),"주식회사",""),"(유)",""),"（유）",""),"유한회사",""))&lt;2,"",SUBSTITUTE(SUBSTITUTE(SUBSTITUTE(SUBSTITUTE(SUBSTITUTE(SUBSTITUTE(SUBSTITUTE(SUBSTITUTE(SUBSTITUTE($D22&amp;""," ",""),"　",""),"(주)",""),"（주）",""),"㈜",""),"주식회사",""),"(유)",""),"（유）",""),"유한회사",""))</f>
        <v/>
      </c>
    </row>
    <row r="23">
      <c r="A23" s="35" t="n"/>
      <c r="B23" s="35" t="n"/>
      <c r="C23" s="35" t="n"/>
      <c r="D23" s="35" t="n"/>
      <c r="E23" s="36" t="n"/>
      <c r="F23" s="35" t="n"/>
      <c r="G23" s="35" t="n"/>
      <c r="I23" s="31">
        <f>IF(TRIM($A23&amp;"")="","",IF(ISNUMBER(--SUBSTITUTE(SUBSTITUTE(TRIM($A23&amp;""),"-","")," ","")),SUBSTITUTE(SUBSTITUTE(TRIM($A23&amp;""),"-","")," ",""),"N:"&amp;TRIM($A23&amp;"")))</f>
        <v/>
      </c>
      <c r="J23" s="31">
        <f>IF(LEN(SUBSTITUTE(SUBSTITUTE(SUBSTITUTE(SUBSTITUTE(SUBSTITUTE(SUBSTITUTE(SUBSTITUTE(SUBSTITUTE(SUBSTITUTE($C23&amp;""," ",""),"　",""),"(주)",""),"（주）",""),"㈜",""),"주식회사",""),"(유)",""),"（유）",""),"유한회사",""))&lt;2,"",SUBSTITUTE(SUBSTITUTE(SUBSTITUTE(SUBSTITUTE(SUBSTITUTE(SUBSTITUTE(SUBSTITUTE(SUBSTITUTE(SUBSTITUTE($C23&amp;""," ",""),"　",""),"(주)",""),"（주）",""),"㈜",""),"주식회사",""),"(유)",""),"（유）",""),"유한회사",""))</f>
        <v/>
      </c>
      <c r="K23" s="31">
        <f>IF(LEN(SUBSTITUTE(SUBSTITUTE(SUBSTITUTE(SUBSTITUTE(SUBSTITUTE(SUBSTITUTE(SUBSTITUTE(SUBSTITUTE(SUBSTITUTE($D23&amp;""," ",""),"　",""),"(주)",""),"（주）",""),"㈜",""),"주식회사",""),"(유)",""),"（유）",""),"유한회사",""))&lt;2,"",SUBSTITUTE(SUBSTITUTE(SUBSTITUTE(SUBSTITUTE(SUBSTITUTE(SUBSTITUTE(SUBSTITUTE(SUBSTITUTE(SUBSTITUTE($D23&amp;""," ",""),"　",""),"(주)",""),"（주）",""),"㈜",""),"주식회사",""),"(유)",""),"（유）",""),"유한회사",""))</f>
        <v/>
      </c>
    </row>
    <row r="24">
      <c r="A24" s="35" t="n"/>
      <c r="B24" s="35" t="n"/>
      <c r="C24" s="35" t="n"/>
      <c r="D24" s="35" t="n"/>
      <c r="E24" s="36" t="n"/>
      <c r="F24" s="35" t="n"/>
      <c r="G24" s="35" t="n"/>
      <c r="I24" s="31">
        <f>IF(TRIM($A24&amp;"")="","",IF(ISNUMBER(--SUBSTITUTE(SUBSTITUTE(TRIM($A24&amp;""),"-","")," ","")),SUBSTITUTE(SUBSTITUTE(TRIM($A24&amp;""),"-","")," ",""),"N:"&amp;TRIM($A24&amp;"")))</f>
        <v/>
      </c>
      <c r="J24" s="31">
        <f>IF(LEN(SUBSTITUTE(SUBSTITUTE(SUBSTITUTE(SUBSTITUTE(SUBSTITUTE(SUBSTITUTE(SUBSTITUTE(SUBSTITUTE(SUBSTITUTE($C24&amp;""," ",""),"　",""),"(주)",""),"（주）",""),"㈜",""),"주식회사",""),"(유)",""),"（유）",""),"유한회사",""))&lt;2,"",SUBSTITUTE(SUBSTITUTE(SUBSTITUTE(SUBSTITUTE(SUBSTITUTE(SUBSTITUTE(SUBSTITUTE(SUBSTITUTE(SUBSTITUTE($C24&amp;""," ",""),"　",""),"(주)",""),"（주）",""),"㈜",""),"주식회사",""),"(유)",""),"（유）",""),"유한회사",""))</f>
        <v/>
      </c>
      <c r="K24" s="31">
        <f>IF(LEN(SUBSTITUTE(SUBSTITUTE(SUBSTITUTE(SUBSTITUTE(SUBSTITUTE(SUBSTITUTE(SUBSTITUTE(SUBSTITUTE(SUBSTITUTE($D24&amp;""," ",""),"　",""),"(주)",""),"（주）",""),"㈜",""),"주식회사",""),"(유)",""),"（유）",""),"유한회사",""))&lt;2,"",SUBSTITUTE(SUBSTITUTE(SUBSTITUTE(SUBSTITUTE(SUBSTITUTE(SUBSTITUTE(SUBSTITUTE(SUBSTITUTE(SUBSTITUTE($D24&amp;""," ",""),"　",""),"(주)",""),"（주）",""),"㈜",""),"주식회사",""),"(유)",""),"（유）",""),"유한회사",""))</f>
        <v/>
      </c>
    </row>
    <row r="25">
      <c r="A25" s="35" t="n"/>
      <c r="B25" s="35" t="n"/>
      <c r="C25" s="35" t="n"/>
      <c r="D25" s="35" t="n"/>
      <c r="E25" s="36" t="n"/>
      <c r="F25" s="35" t="n"/>
      <c r="G25" s="35" t="n"/>
      <c r="I25" s="31">
        <f>IF(TRIM($A25&amp;"")="","",IF(ISNUMBER(--SUBSTITUTE(SUBSTITUTE(TRIM($A25&amp;""),"-","")," ","")),SUBSTITUTE(SUBSTITUTE(TRIM($A25&amp;""),"-","")," ",""),"N:"&amp;TRIM($A25&amp;"")))</f>
        <v/>
      </c>
      <c r="J25" s="31">
        <f>IF(LEN(SUBSTITUTE(SUBSTITUTE(SUBSTITUTE(SUBSTITUTE(SUBSTITUTE(SUBSTITUTE(SUBSTITUTE(SUBSTITUTE(SUBSTITUTE($C25&amp;""," ",""),"　",""),"(주)",""),"（주）",""),"㈜",""),"주식회사",""),"(유)",""),"（유）",""),"유한회사",""))&lt;2,"",SUBSTITUTE(SUBSTITUTE(SUBSTITUTE(SUBSTITUTE(SUBSTITUTE(SUBSTITUTE(SUBSTITUTE(SUBSTITUTE(SUBSTITUTE($C25&amp;""," ",""),"　",""),"(주)",""),"（주）",""),"㈜",""),"주식회사",""),"(유)",""),"（유）",""),"유한회사",""))</f>
        <v/>
      </c>
      <c r="K25" s="31">
        <f>IF(LEN(SUBSTITUTE(SUBSTITUTE(SUBSTITUTE(SUBSTITUTE(SUBSTITUTE(SUBSTITUTE(SUBSTITUTE(SUBSTITUTE(SUBSTITUTE($D25&amp;""," ",""),"　",""),"(주)",""),"（주）",""),"㈜",""),"주식회사",""),"(유)",""),"（유）",""),"유한회사",""))&lt;2,"",SUBSTITUTE(SUBSTITUTE(SUBSTITUTE(SUBSTITUTE(SUBSTITUTE(SUBSTITUTE(SUBSTITUTE(SUBSTITUTE(SUBSTITUTE($D25&amp;""," ",""),"　",""),"(주)",""),"（주）",""),"㈜",""),"주식회사",""),"(유)",""),"（유）",""),"유한회사",""))</f>
        <v/>
      </c>
    </row>
    <row r="26">
      <c r="A26" s="35" t="n"/>
      <c r="B26" s="35" t="n"/>
      <c r="C26" s="35" t="n"/>
      <c r="D26" s="35" t="n"/>
      <c r="E26" s="36" t="n"/>
      <c r="F26" s="35" t="n"/>
      <c r="G26" s="35" t="n"/>
      <c r="I26" s="31">
        <f>IF(TRIM($A26&amp;"")="","",IF(ISNUMBER(--SUBSTITUTE(SUBSTITUTE(TRIM($A26&amp;""),"-","")," ","")),SUBSTITUTE(SUBSTITUTE(TRIM($A26&amp;""),"-","")," ",""),"N:"&amp;TRIM($A26&amp;"")))</f>
        <v/>
      </c>
      <c r="J26" s="31">
        <f>IF(LEN(SUBSTITUTE(SUBSTITUTE(SUBSTITUTE(SUBSTITUTE(SUBSTITUTE(SUBSTITUTE(SUBSTITUTE(SUBSTITUTE(SUBSTITUTE($C26&amp;""," ",""),"　",""),"(주)",""),"（주）",""),"㈜",""),"주식회사",""),"(유)",""),"（유）",""),"유한회사",""))&lt;2,"",SUBSTITUTE(SUBSTITUTE(SUBSTITUTE(SUBSTITUTE(SUBSTITUTE(SUBSTITUTE(SUBSTITUTE(SUBSTITUTE(SUBSTITUTE($C26&amp;""," ",""),"　",""),"(주)",""),"（주）",""),"㈜",""),"주식회사",""),"(유)",""),"（유）",""),"유한회사",""))</f>
        <v/>
      </c>
      <c r="K26" s="31">
        <f>IF(LEN(SUBSTITUTE(SUBSTITUTE(SUBSTITUTE(SUBSTITUTE(SUBSTITUTE(SUBSTITUTE(SUBSTITUTE(SUBSTITUTE(SUBSTITUTE($D26&amp;""," ",""),"　",""),"(주)",""),"（주）",""),"㈜",""),"주식회사",""),"(유)",""),"（유）",""),"유한회사",""))&lt;2,"",SUBSTITUTE(SUBSTITUTE(SUBSTITUTE(SUBSTITUTE(SUBSTITUTE(SUBSTITUTE(SUBSTITUTE(SUBSTITUTE(SUBSTITUTE($D26&amp;""," ",""),"　",""),"(주)",""),"（주）",""),"㈜",""),"주식회사",""),"(유)",""),"（유）",""),"유한회사",""))</f>
        <v/>
      </c>
    </row>
    <row r="27">
      <c r="A27" s="35" t="n"/>
      <c r="B27" s="35" t="n"/>
      <c r="C27" s="35" t="n"/>
      <c r="D27" s="35" t="n"/>
      <c r="E27" s="36" t="n"/>
      <c r="F27" s="35" t="n"/>
      <c r="G27" s="35" t="n"/>
      <c r="I27" s="31">
        <f>IF(TRIM($A27&amp;"")="","",IF(ISNUMBER(--SUBSTITUTE(SUBSTITUTE(TRIM($A27&amp;""),"-","")," ","")),SUBSTITUTE(SUBSTITUTE(TRIM($A27&amp;""),"-","")," ",""),"N:"&amp;TRIM($A27&amp;"")))</f>
        <v/>
      </c>
      <c r="J27" s="31">
        <f>IF(LEN(SUBSTITUTE(SUBSTITUTE(SUBSTITUTE(SUBSTITUTE(SUBSTITUTE(SUBSTITUTE(SUBSTITUTE(SUBSTITUTE(SUBSTITUTE($C27&amp;""," ",""),"　",""),"(주)",""),"（주）",""),"㈜",""),"주식회사",""),"(유)",""),"（유）",""),"유한회사",""))&lt;2,"",SUBSTITUTE(SUBSTITUTE(SUBSTITUTE(SUBSTITUTE(SUBSTITUTE(SUBSTITUTE(SUBSTITUTE(SUBSTITUTE(SUBSTITUTE($C27&amp;""," ",""),"　",""),"(주)",""),"（주）",""),"㈜",""),"주식회사",""),"(유)",""),"（유）",""),"유한회사",""))</f>
        <v/>
      </c>
      <c r="K27" s="31">
        <f>IF(LEN(SUBSTITUTE(SUBSTITUTE(SUBSTITUTE(SUBSTITUTE(SUBSTITUTE(SUBSTITUTE(SUBSTITUTE(SUBSTITUTE(SUBSTITUTE($D27&amp;""," ",""),"　",""),"(주)",""),"（주）",""),"㈜",""),"주식회사",""),"(유)",""),"（유）",""),"유한회사",""))&lt;2,"",SUBSTITUTE(SUBSTITUTE(SUBSTITUTE(SUBSTITUTE(SUBSTITUTE(SUBSTITUTE(SUBSTITUTE(SUBSTITUTE(SUBSTITUTE($D27&amp;""," ",""),"　",""),"(주)",""),"（주）",""),"㈜",""),"주식회사",""),"(유)",""),"（유）",""),"유한회사",""))</f>
        <v/>
      </c>
    </row>
    <row r="28">
      <c r="A28" s="35" t="n"/>
      <c r="B28" s="35" t="n"/>
      <c r="C28" s="35" t="n"/>
      <c r="D28" s="35" t="n"/>
      <c r="E28" s="36" t="n"/>
      <c r="F28" s="35" t="n"/>
      <c r="G28" s="35" t="n"/>
      <c r="I28" s="31">
        <f>IF(TRIM($A28&amp;"")="","",IF(ISNUMBER(--SUBSTITUTE(SUBSTITUTE(TRIM($A28&amp;""),"-","")," ","")),SUBSTITUTE(SUBSTITUTE(TRIM($A28&amp;""),"-","")," ",""),"N:"&amp;TRIM($A28&amp;"")))</f>
        <v/>
      </c>
      <c r="J28" s="31">
        <f>IF(LEN(SUBSTITUTE(SUBSTITUTE(SUBSTITUTE(SUBSTITUTE(SUBSTITUTE(SUBSTITUTE(SUBSTITUTE(SUBSTITUTE(SUBSTITUTE($C28&amp;""," ",""),"　",""),"(주)",""),"（주）",""),"㈜",""),"주식회사",""),"(유)",""),"（유）",""),"유한회사",""))&lt;2,"",SUBSTITUTE(SUBSTITUTE(SUBSTITUTE(SUBSTITUTE(SUBSTITUTE(SUBSTITUTE(SUBSTITUTE(SUBSTITUTE(SUBSTITUTE($C28&amp;""," ",""),"　",""),"(주)",""),"（주）",""),"㈜",""),"주식회사",""),"(유)",""),"（유）",""),"유한회사",""))</f>
        <v/>
      </c>
      <c r="K28" s="31">
        <f>IF(LEN(SUBSTITUTE(SUBSTITUTE(SUBSTITUTE(SUBSTITUTE(SUBSTITUTE(SUBSTITUTE(SUBSTITUTE(SUBSTITUTE(SUBSTITUTE($D28&amp;""," ",""),"　",""),"(주)",""),"（주）",""),"㈜",""),"주식회사",""),"(유)",""),"（유）",""),"유한회사",""))&lt;2,"",SUBSTITUTE(SUBSTITUTE(SUBSTITUTE(SUBSTITUTE(SUBSTITUTE(SUBSTITUTE(SUBSTITUTE(SUBSTITUTE(SUBSTITUTE($D28&amp;""," ",""),"　",""),"(주)",""),"（주）",""),"㈜",""),"주식회사",""),"(유)",""),"（유）",""),"유한회사",""))</f>
        <v/>
      </c>
    </row>
    <row r="29">
      <c r="A29" s="35" t="n"/>
      <c r="B29" s="35" t="n"/>
      <c r="C29" s="35" t="n"/>
      <c r="D29" s="35" t="n"/>
      <c r="E29" s="36" t="n"/>
      <c r="F29" s="35" t="n"/>
      <c r="G29" s="35" t="n"/>
      <c r="I29" s="31">
        <f>IF(TRIM($A29&amp;"")="","",IF(ISNUMBER(--SUBSTITUTE(SUBSTITUTE(TRIM($A29&amp;""),"-","")," ","")),SUBSTITUTE(SUBSTITUTE(TRIM($A29&amp;""),"-","")," ",""),"N:"&amp;TRIM($A29&amp;"")))</f>
        <v/>
      </c>
      <c r="J29" s="31">
        <f>IF(LEN(SUBSTITUTE(SUBSTITUTE(SUBSTITUTE(SUBSTITUTE(SUBSTITUTE(SUBSTITUTE(SUBSTITUTE(SUBSTITUTE(SUBSTITUTE($C29&amp;""," ",""),"　",""),"(주)",""),"（주）",""),"㈜",""),"주식회사",""),"(유)",""),"（유）",""),"유한회사",""))&lt;2,"",SUBSTITUTE(SUBSTITUTE(SUBSTITUTE(SUBSTITUTE(SUBSTITUTE(SUBSTITUTE(SUBSTITUTE(SUBSTITUTE(SUBSTITUTE($C29&amp;""," ",""),"　",""),"(주)",""),"（주）",""),"㈜",""),"주식회사",""),"(유)",""),"（유）",""),"유한회사",""))</f>
        <v/>
      </c>
      <c r="K29" s="31">
        <f>IF(LEN(SUBSTITUTE(SUBSTITUTE(SUBSTITUTE(SUBSTITUTE(SUBSTITUTE(SUBSTITUTE(SUBSTITUTE(SUBSTITUTE(SUBSTITUTE($D29&amp;""," ",""),"　",""),"(주)",""),"（주）",""),"㈜",""),"주식회사",""),"(유)",""),"（유）",""),"유한회사",""))&lt;2,"",SUBSTITUTE(SUBSTITUTE(SUBSTITUTE(SUBSTITUTE(SUBSTITUTE(SUBSTITUTE(SUBSTITUTE(SUBSTITUTE(SUBSTITUTE($D29&amp;""," ",""),"　",""),"(주)",""),"（주）",""),"㈜",""),"주식회사",""),"(유)",""),"（유）",""),"유한회사",""))</f>
        <v/>
      </c>
    </row>
    <row r="30">
      <c r="A30" s="35" t="n"/>
      <c r="B30" s="35" t="n"/>
      <c r="C30" s="35" t="n"/>
      <c r="D30" s="35" t="n"/>
      <c r="E30" s="36" t="n"/>
      <c r="F30" s="35" t="n"/>
      <c r="G30" s="35" t="n"/>
      <c r="I30" s="31">
        <f>IF(TRIM($A30&amp;"")="","",IF(ISNUMBER(--SUBSTITUTE(SUBSTITUTE(TRIM($A30&amp;""),"-","")," ","")),SUBSTITUTE(SUBSTITUTE(TRIM($A30&amp;""),"-","")," ",""),"N:"&amp;TRIM($A30&amp;"")))</f>
        <v/>
      </c>
      <c r="J30" s="31">
        <f>IF(LEN(SUBSTITUTE(SUBSTITUTE(SUBSTITUTE(SUBSTITUTE(SUBSTITUTE(SUBSTITUTE(SUBSTITUTE(SUBSTITUTE(SUBSTITUTE($C30&amp;""," ",""),"　",""),"(주)",""),"（주）",""),"㈜",""),"주식회사",""),"(유)",""),"（유）",""),"유한회사",""))&lt;2,"",SUBSTITUTE(SUBSTITUTE(SUBSTITUTE(SUBSTITUTE(SUBSTITUTE(SUBSTITUTE(SUBSTITUTE(SUBSTITUTE(SUBSTITUTE($C30&amp;""," ",""),"　",""),"(주)",""),"（주）",""),"㈜",""),"주식회사",""),"(유)",""),"（유）",""),"유한회사",""))</f>
        <v/>
      </c>
      <c r="K30" s="31">
        <f>IF(LEN(SUBSTITUTE(SUBSTITUTE(SUBSTITUTE(SUBSTITUTE(SUBSTITUTE(SUBSTITUTE(SUBSTITUTE(SUBSTITUTE(SUBSTITUTE($D30&amp;""," ",""),"　",""),"(주)",""),"（주）",""),"㈜",""),"주식회사",""),"(유)",""),"（유）",""),"유한회사",""))&lt;2,"",SUBSTITUTE(SUBSTITUTE(SUBSTITUTE(SUBSTITUTE(SUBSTITUTE(SUBSTITUTE(SUBSTITUTE(SUBSTITUTE(SUBSTITUTE($D30&amp;""," ",""),"　",""),"(주)",""),"（주）",""),"㈜",""),"주식회사",""),"(유)",""),"（유）",""),"유한회사",""))</f>
        <v/>
      </c>
    </row>
    <row r="31">
      <c r="A31" s="35" t="n"/>
      <c r="B31" s="35" t="n"/>
      <c r="C31" s="35" t="n"/>
      <c r="D31" s="35" t="n"/>
      <c r="E31" s="36" t="n"/>
      <c r="F31" s="35" t="n"/>
      <c r="G31" s="35" t="n"/>
      <c r="I31" s="31">
        <f>IF(TRIM($A31&amp;"")="","",IF(ISNUMBER(--SUBSTITUTE(SUBSTITUTE(TRIM($A31&amp;""),"-","")," ","")),SUBSTITUTE(SUBSTITUTE(TRIM($A31&amp;""),"-","")," ",""),"N:"&amp;TRIM($A31&amp;"")))</f>
        <v/>
      </c>
      <c r="J31" s="31">
        <f>IF(LEN(SUBSTITUTE(SUBSTITUTE(SUBSTITUTE(SUBSTITUTE(SUBSTITUTE(SUBSTITUTE(SUBSTITUTE(SUBSTITUTE(SUBSTITUTE($C31&amp;""," ",""),"　",""),"(주)",""),"（주）",""),"㈜",""),"주식회사",""),"(유)",""),"（유）",""),"유한회사",""))&lt;2,"",SUBSTITUTE(SUBSTITUTE(SUBSTITUTE(SUBSTITUTE(SUBSTITUTE(SUBSTITUTE(SUBSTITUTE(SUBSTITUTE(SUBSTITUTE($C31&amp;""," ",""),"　",""),"(주)",""),"（주）",""),"㈜",""),"주식회사",""),"(유)",""),"（유）",""),"유한회사",""))</f>
        <v/>
      </c>
      <c r="K31" s="31">
        <f>IF(LEN(SUBSTITUTE(SUBSTITUTE(SUBSTITUTE(SUBSTITUTE(SUBSTITUTE(SUBSTITUTE(SUBSTITUTE(SUBSTITUTE(SUBSTITUTE($D31&amp;""," ",""),"　",""),"(주)",""),"（주）",""),"㈜",""),"주식회사",""),"(유)",""),"（유）",""),"유한회사",""))&lt;2,"",SUBSTITUTE(SUBSTITUTE(SUBSTITUTE(SUBSTITUTE(SUBSTITUTE(SUBSTITUTE(SUBSTITUTE(SUBSTITUTE(SUBSTITUTE($D31&amp;""," ",""),"　",""),"(주)",""),"（주）",""),"㈜",""),"주식회사",""),"(유)",""),"（유）",""),"유한회사",""))</f>
        <v/>
      </c>
    </row>
    <row r="32">
      <c r="A32" s="35" t="n"/>
      <c r="B32" s="35" t="n"/>
      <c r="C32" s="35" t="n"/>
      <c r="D32" s="35" t="n"/>
      <c r="E32" s="36" t="n"/>
      <c r="F32" s="35" t="n"/>
      <c r="G32" s="35" t="n"/>
      <c r="I32" s="31">
        <f>IF(TRIM($A32&amp;"")="","",IF(ISNUMBER(--SUBSTITUTE(SUBSTITUTE(TRIM($A32&amp;""),"-","")," ","")),SUBSTITUTE(SUBSTITUTE(TRIM($A32&amp;""),"-","")," ",""),"N:"&amp;TRIM($A32&amp;"")))</f>
        <v/>
      </c>
      <c r="J32" s="31">
        <f>IF(LEN(SUBSTITUTE(SUBSTITUTE(SUBSTITUTE(SUBSTITUTE(SUBSTITUTE(SUBSTITUTE(SUBSTITUTE(SUBSTITUTE(SUBSTITUTE($C32&amp;""," ",""),"　",""),"(주)",""),"（주）",""),"㈜",""),"주식회사",""),"(유)",""),"（유）",""),"유한회사",""))&lt;2,"",SUBSTITUTE(SUBSTITUTE(SUBSTITUTE(SUBSTITUTE(SUBSTITUTE(SUBSTITUTE(SUBSTITUTE(SUBSTITUTE(SUBSTITUTE($C32&amp;""," ",""),"　",""),"(주)",""),"（주）",""),"㈜",""),"주식회사",""),"(유)",""),"（유）",""),"유한회사",""))</f>
        <v/>
      </c>
      <c r="K32" s="31">
        <f>IF(LEN(SUBSTITUTE(SUBSTITUTE(SUBSTITUTE(SUBSTITUTE(SUBSTITUTE(SUBSTITUTE(SUBSTITUTE(SUBSTITUTE(SUBSTITUTE($D32&amp;""," ",""),"　",""),"(주)",""),"（주）",""),"㈜",""),"주식회사",""),"(유)",""),"（유）",""),"유한회사",""))&lt;2,"",SUBSTITUTE(SUBSTITUTE(SUBSTITUTE(SUBSTITUTE(SUBSTITUTE(SUBSTITUTE(SUBSTITUTE(SUBSTITUTE(SUBSTITUTE($D32&amp;""," ",""),"　",""),"(주)",""),"（주）",""),"㈜",""),"주식회사",""),"(유)",""),"（유）",""),"유한회사",""))</f>
        <v/>
      </c>
    </row>
    <row r="33">
      <c r="A33" s="35" t="n"/>
      <c r="B33" s="35" t="n"/>
      <c r="C33" s="35" t="n"/>
      <c r="D33" s="35" t="n"/>
      <c r="E33" s="36" t="n"/>
      <c r="F33" s="35" t="n"/>
      <c r="G33" s="35" t="n"/>
      <c r="I33" s="31">
        <f>IF(TRIM($A33&amp;"")="","",IF(ISNUMBER(--SUBSTITUTE(SUBSTITUTE(TRIM($A33&amp;""),"-","")," ","")),SUBSTITUTE(SUBSTITUTE(TRIM($A33&amp;""),"-","")," ",""),"N:"&amp;TRIM($A33&amp;"")))</f>
        <v/>
      </c>
      <c r="J33" s="31">
        <f>IF(LEN(SUBSTITUTE(SUBSTITUTE(SUBSTITUTE(SUBSTITUTE(SUBSTITUTE(SUBSTITUTE(SUBSTITUTE(SUBSTITUTE(SUBSTITUTE($C33&amp;""," ",""),"　",""),"(주)",""),"（주）",""),"㈜",""),"주식회사",""),"(유)",""),"（유）",""),"유한회사",""))&lt;2,"",SUBSTITUTE(SUBSTITUTE(SUBSTITUTE(SUBSTITUTE(SUBSTITUTE(SUBSTITUTE(SUBSTITUTE(SUBSTITUTE(SUBSTITUTE($C33&amp;""," ",""),"　",""),"(주)",""),"（주）",""),"㈜",""),"주식회사",""),"(유)",""),"（유）",""),"유한회사",""))</f>
        <v/>
      </c>
      <c r="K33" s="31">
        <f>IF(LEN(SUBSTITUTE(SUBSTITUTE(SUBSTITUTE(SUBSTITUTE(SUBSTITUTE(SUBSTITUTE(SUBSTITUTE(SUBSTITUTE(SUBSTITUTE($D33&amp;""," ",""),"　",""),"(주)",""),"（주）",""),"㈜",""),"주식회사",""),"(유)",""),"（유）",""),"유한회사",""))&lt;2,"",SUBSTITUTE(SUBSTITUTE(SUBSTITUTE(SUBSTITUTE(SUBSTITUTE(SUBSTITUTE(SUBSTITUTE(SUBSTITUTE(SUBSTITUTE($D33&amp;""," ",""),"　",""),"(주)",""),"（주）",""),"㈜",""),"주식회사",""),"(유)",""),"（유）",""),"유한회사",""))</f>
        <v/>
      </c>
    </row>
    <row r="34">
      <c r="A34" s="35" t="n"/>
      <c r="B34" s="35" t="n"/>
      <c r="C34" s="35" t="n"/>
      <c r="D34" s="35" t="n"/>
      <c r="E34" s="36" t="n"/>
      <c r="F34" s="35" t="n"/>
      <c r="G34" s="35" t="n"/>
      <c r="I34" s="31">
        <f>IF(TRIM($A34&amp;"")="","",IF(ISNUMBER(--SUBSTITUTE(SUBSTITUTE(TRIM($A34&amp;""),"-","")," ","")),SUBSTITUTE(SUBSTITUTE(TRIM($A34&amp;""),"-","")," ",""),"N:"&amp;TRIM($A34&amp;"")))</f>
        <v/>
      </c>
      <c r="J34" s="31">
        <f>IF(LEN(SUBSTITUTE(SUBSTITUTE(SUBSTITUTE(SUBSTITUTE(SUBSTITUTE(SUBSTITUTE(SUBSTITUTE(SUBSTITUTE(SUBSTITUTE($C34&amp;""," ",""),"　",""),"(주)",""),"（주）",""),"㈜",""),"주식회사",""),"(유)",""),"（유）",""),"유한회사",""))&lt;2,"",SUBSTITUTE(SUBSTITUTE(SUBSTITUTE(SUBSTITUTE(SUBSTITUTE(SUBSTITUTE(SUBSTITUTE(SUBSTITUTE(SUBSTITUTE($C34&amp;""," ",""),"　",""),"(주)",""),"（주）",""),"㈜",""),"주식회사",""),"(유)",""),"（유）",""),"유한회사",""))</f>
        <v/>
      </c>
      <c r="K34" s="31">
        <f>IF(LEN(SUBSTITUTE(SUBSTITUTE(SUBSTITUTE(SUBSTITUTE(SUBSTITUTE(SUBSTITUTE(SUBSTITUTE(SUBSTITUTE(SUBSTITUTE($D34&amp;""," ",""),"　",""),"(주)",""),"（주）",""),"㈜",""),"주식회사",""),"(유)",""),"（유）",""),"유한회사",""))&lt;2,"",SUBSTITUTE(SUBSTITUTE(SUBSTITUTE(SUBSTITUTE(SUBSTITUTE(SUBSTITUTE(SUBSTITUTE(SUBSTITUTE(SUBSTITUTE($D34&amp;""," ",""),"　",""),"(주)",""),"（주）",""),"㈜",""),"주식회사",""),"(유)",""),"（유）",""),"유한회사",""))</f>
        <v/>
      </c>
    </row>
    <row r="35">
      <c r="A35" s="35" t="n"/>
      <c r="B35" s="35" t="n"/>
      <c r="C35" s="35" t="n"/>
      <c r="D35" s="35" t="n"/>
      <c r="E35" s="36" t="n"/>
      <c r="F35" s="35" t="n"/>
      <c r="G35" s="35" t="n"/>
      <c r="I35" s="31">
        <f>IF(TRIM($A35&amp;"")="","",IF(ISNUMBER(--SUBSTITUTE(SUBSTITUTE(TRIM($A35&amp;""),"-","")," ","")),SUBSTITUTE(SUBSTITUTE(TRIM($A35&amp;""),"-","")," ",""),"N:"&amp;TRIM($A35&amp;"")))</f>
        <v/>
      </c>
      <c r="J35" s="31">
        <f>IF(LEN(SUBSTITUTE(SUBSTITUTE(SUBSTITUTE(SUBSTITUTE(SUBSTITUTE(SUBSTITUTE(SUBSTITUTE(SUBSTITUTE(SUBSTITUTE($C35&amp;""," ",""),"　",""),"(주)",""),"（주）",""),"㈜",""),"주식회사",""),"(유)",""),"（유）",""),"유한회사",""))&lt;2,"",SUBSTITUTE(SUBSTITUTE(SUBSTITUTE(SUBSTITUTE(SUBSTITUTE(SUBSTITUTE(SUBSTITUTE(SUBSTITUTE(SUBSTITUTE($C35&amp;""," ",""),"　",""),"(주)",""),"（주）",""),"㈜",""),"주식회사",""),"(유)",""),"（유）",""),"유한회사",""))</f>
        <v/>
      </c>
      <c r="K35" s="31">
        <f>IF(LEN(SUBSTITUTE(SUBSTITUTE(SUBSTITUTE(SUBSTITUTE(SUBSTITUTE(SUBSTITUTE(SUBSTITUTE(SUBSTITUTE(SUBSTITUTE($D35&amp;""," ",""),"　",""),"(주)",""),"（주）",""),"㈜",""),"주식회사",""),"(유)",""),"（유）",""),"유한회사",""))&lt;2,"",SUBSTITUTE(SUBSTITUTE(SUBSTITUTE(SUBSTITUTE(SUBSTITUTE(SUBSTITUTE(SUBSTITUTE(SUBSTITUTE(SUBSTITUTE($D35&amp;""," ",""),"　",""),"(주)",""),"（주）",""),"㈜",""),"주식회사",""),"(유)",""),"（유）",""),"유한회사",""))</f>
        <v/>
      </c>
    </row>
    <row r="36">
      <c r="A36" s="35" t="n"/>
      <c r="B36" s="35" t="n"/>
      <c r="C36" s="35" t="n"/>
      <c r="D36" s="35" t="n"/>
      <c r="E36" s="36" t="n"/>
      <c r="F36" s="35" t="n"/>
      <c r="G36" s="35" t="n"/>
      <c r="I36" s="31">
        <f>IF(TRIM($A36&amp;"")="","",IF(ISNUMBER(--SUBSTITUTE(SUBSTITUTE(TRIM($A36&amp;""),"-","")," ","")),SUBSTITUTE(SUBSTITUTE(TRIM($A36&amp;""),"-","")," ",""),"N:"&amp;TRIM($A36&amp;"")))</f>
        <v/>
      </c>
      <c r="J36" s="31">
        <f>IF(LEN(SUBSTITUTE(SUBSTITUTE(SUBSTITUTE(SUBSTITUTE(SUBSTITUTE(SUBSTITUTE(SUBSTITUTE(SUBSTITUTE(SUBSTITUTE($C36&amp;""," ",""),"　",""),"(주)",""),"（주）",""),"㈜",""),"주식회사",""),"(유)",""),"（유）",""),"유한회사",""))&lt;2,"",SUBSTITUTE(SUBSTITUTE(SUBSTITUTE(SUBSTITUTE(SUBSTITUTE(SUBSTITUTE(SUBSTITUTE(SUBSTITUTE(SUBSTITUTE($C36&amp;""," ",""),"　",""),"(주)",""),"（주）",""),"㈜",""),"주식회사",""),"(유)",""),"（유）",""),"유한회사",""))</f>
        <v/>
      </c>
      <c r="K36" s="31">
        <f>IF(LEN(SUBSTITUTE(SUBSTITUTE(SUBSTITUTE(SUBSTITUTE(SUBSTITUTE(SUBSTITUTE(SUBSTITUTE(SUBSTITUTE(SUBSTITUTE($D36&amp;""," ",""),"　",""),"(주)",""),"（주）",""),"㈜",""),"주식회사",""),"(유)",""),"（유）",""),"유한회사",""))&lt;2,"",SUBSTITUTE(SUBSTITUTE(SUBSTITUTE(SUBSTITUTE(SUBSTITUTE(SUBSTITUTE(SUBSTITUTE(SUBSTITUTE(SUBSTITUTE($D36&amp;""," ",""),"　",""),"(주)",""),"（주）",""),"㈜",""),"주식회사",""),"(유)",""),"（유）",""),"유한회사",""))</f>
        <v/>
      </c>
    </row>
    <row r="37">
      <c r="A37" s="35" t="n"/>
      <c r="B37" s="35" t="n"/>
      <c r="C37" s="35" t="n"/>
      <c r="D37" s="35" t="n"/>
      <c r="E37" s="36" t="n"/>
      <c r="F37" s="35" t="n"/>
      <c r="G37" s="35" t="n"/>
      <c r="I37" s="31">
        <f>IF(TRIM($A37&amp;"")="","",IF(ISNUMBER(--SUBSTITUTE(SUBSTITUTE(TRIM($A37&amp;""),"-","")," ","")),SUBSTITUTE(SUBSTITUTE(TRIM($A37&amp;""),"-","")," ",""),"N:"&amp;TRIM($A37&amp;"")))</f>
        <v/>
      </c>
      <c r="J37" s="31">
        <f>IF(LEN(SUBSTITUTE(SUBSTITUTE(SUBSTITUTE(SUBSTITUTE(SUBSTITUTE(SUBSTITUTE(SUBSTITUTE(SUBSTITUTE(SUBSTITUTE($C37&amp;""," ",""),"　",""),"(주)",""),"（주）",""),"㈜",""),"주식회사",""),"(유)",""),"（유）",""),"유한회사",""))&lt;2,"",SUBSTITUTE(SUBSTITUTE(SUBSTITUTE(SUBSTITUTE(SUBSTITUTE(SUBSTITUTE(SUBSTITUTE(SUBSTITUTE(SUBSTITUTE($C37&amp;""," ",""),"　",""),"(주)",""),"（주）",""),"㈜",""),"주식회사",""),"(유)",""),"（유）",""),"유한회사",""))</f>
        <v/>
      </c>
      <c r="K37" s="31">
        <f>IF(LEN(SUBSTITUTE(SUBSTITUTE(SUBSTITUTE(SUBSTITUTE(SUBSTITUTE(SUBSTITUTE(SUBSTITUTE(SUBSTITUTE(SUBSTITUTE($D37&amp;""," ",""),"　",""),"(주)",""),"（주）",""),"㈜",""),"주식회사",""),"(유)",""),"（유）",""),"유한회사",""))&lt;2,"",SUBSTITUTE(SUBSTITUTE(SUBSTITUTE(SUBSTITUTE(SUBSTITUTE(SUBSTITUTE(SUBSTITUTE(SUBSTITUTE(SUBSTITUTE($D37&amp;""," ",""),"　",""),"(주)",""),"（주）",""),"㈜",""),"주식회사",""),"(유)",""),"（유）",""),"유한회사",""))</f>
        <v/>
      </c>
    </row>
    <row r="38">
      <c r="A38" s="35" t="n"/>
      <c r="B38" s="35" t="n"/>
      <c r="C38" s="35" t="n"/>
      <c r="D38" s="35" t="n"/>
      <c r="E38" s="36" t="n"/>
      <c r="F38" s="35" t="n"/>
      <c r="G38" s="35" t="n"/>
      <c r="I38" s="31">
        <f>IF(TRIM($A38&amp;"")="","",IF(ISNUMBER(--SUBSTITUTE(SUBSTITUTE(TRIM($A38&amp;""),"-","")," ","")),SUBSTITUTE(SUBSTITUTE(TRIM($A38&amp;""),"-","")," ",""),"N:"&amp;TRIM($A38&amp;"")))</f>
        <v/>
      </c>
      <c r="J38" s="31">
        <f>IF(LEN(SUBSTITUTE(SUBSTITUTE(SUBSTITUTE(SUBSTITUTE(SUBSTITUTE(SUBSTITUTE(SUBSTITUTE(SUBSTITUTE(SUBSTITUTE($C38&amp;""," ",""),"　",""),"(주)",""),"（주）",""),"㈜",""),"주식회사",""),"(유)",""),"（유）",""),"유한회사",""))&lt;2,"",SUBSTITUTE(SUBSTITUTE(SUBSTITUTE(SUBSTITUTE(SUBSTITUTE(SUBSTITUTE(SUBSTITUTE(SUBSTITUTE(SUBSTITUTE($C38&amp;""," ",""),"　",""),"(주)",""),"（주）",""),"㈜",""),"주식회사",""),"(유)",""),"（유）",""),"유한회사",""))</f>
        <v/>
      </c>
      <c r="K38" s="31">
        <f>IF(LEN(SUBSTITUTE(SUBSTITUTE(SUBSTITUTE(SUBSTITUTE(SUBSTITUTE(SUBSTITUTE(SUBSTITUTE(SUBSTITUTE(SUBSTITUTE($D38&amp;""," ",""),"　",""),"(주)",""),"（주）",""),"㈜",""),"주식회사",""),"(유)",""),"（유）",""),"유한회사",""))&lt;2,"",SUBSTITUTE(SUBSTITUTE(SUBSTITUTE(SUBSTITUTE(SUBSTITUTE(SUBSTITUTE(SUBSTITUTE(SUBSTITUTE(SUBSTITUTE($D38&amp;""," ",""),"　",""),"(주)",""),"（주）",""),"㈜",""),"주식회사",""),"(유)",""),"（유）",""),"유한회사",""))</f>
        <v/>
      </c>
    </row>
    <row r="39">
      <c r="A39" s="35" t="n"/>
      <c r="B39" s="35" t="n"/>
      <c r="C39" s="35" t="n"/>
      <c r="D39" s="35" t="n"/>
      <c r="E39" s="36" t="n"/>
      <c r="F39" s="35" t="n"/>
      <c r="G39" s="35" t="n"/>
      <c r="I39" s="31">
        <f>IF(TRIM($A39&amp;"")="","",IF(ISNUMBER(--SUBSTITUTE(SUBSTITUTE(TRIM($A39&amp;""),"-","")," ","")),SUBSTITUTE(SUBSTITUTE(TRIM($A39&amp;""),"-","")," ",""),"N:"&amp;TRIM($A39&amp;"")))</f>
        <v/>
      </c>
      <c r="J39" s="31">
        <f>IF(LEN(SUBSTITUTE(SUBSTITUTE(SUBSTITUTE(SUBSTITUTE(SUBSTITUTE(SUBSTITUTE(SUBSTITUTE(SUBSTITUTE(SUBSTITUTE($C39&amp;""," ",""),"　",""),"(주)",""),"（주）",""),"㈜",""),"주식회사",""),"(유)",""),"（유）",""),"유한회사",""))&lt;2,"",SUBSTITUTE(SUBSTITUTE(SUBSTITUTE(SUBSTITUTE(SUBSTITUTE(SUBSTITUTE(SUBSTITUTE(SUBSTITUTE(SUBSTITUTE($C39&amp;""," ",""),"　",""),"(주)",""),"（주）",""),"㈜",""),"주식회사",""),"(유)",""),"（유）",""),"유한회사",""))</f>
        <v/>
      </c>
      <c r="K39" s="31">
        <f>IF(LEN(SUBSTITUTE(SUBSTITUTE(SUBSTITUTE(SUBSTITUTE(SUBSTITUTE(SUBSTITUTE(SUBSTITUTE(SUBSTITUTE(SUBSTITUTE($D39&amp;""," ",""),"　",""),"(주)",""),"（주）",""),"㈜",""),"주식회사",""),"(유)",""),"（유）",""),"유한회사",""))&lt;2,"",SUBSTITUTE(SUBSTITUTE(SUBSTITUTE(SUBSTITUTE(SUBSTITUTE(SUBSTITUTE(SUBSTITUTE(SUBSTITUTE(SUBSTITUTE($D39&amp;""," ",""),"　",""),"(주)",""),"（주）",""),"㈜",""),"주식회사",""),"(유)",""),"（유）",""),"유한회사",""))</f>
        <v/>
      </c>
    </row>
    <row r="40">
      <c r="A40" s="35" t="n"/>
      <c r="B40" s="35" t="n"/>
      <c r="C40" s="35" t="n"/>
      <c r="D40" s="35" t="n"/>
      <c r="E40" s="36" t="n"/>
      <c r="F40" s="35" t="n"/>
      <c r="G40" s="35" t="n"/>
      <c r="I40" s="31">
        <f>IF(TRIM($A40&amp;"")="","",IF(ISNUMBER(--SUBSTITUTE(SUBSTITUTE(TRIM($A40&amp;""),"-","")," ","")),SUBSTITUTE(SUBSTITUTE(TRIM($A40&amp;""),"-","")," ",""),"N:"&amp;TRIM($A40&amp;"")))</f>
        <v/>
      </c>
      <c r="J40" s="31">
        <f>IF(LEN(SUBSTITUTE(SUBSTITUTE(SUBSTITUTE(SUBSTITUTE(SUBSTITUTE(SUBSTITUTE(SUBSTITUTE(SUBSTITUTE(SUBSTITUTE($C40&amp;""," ",""),"　",""),"(주)",""),"（주）",""),"㈜",""),"주식회사",""),"(유)",""),"（유）",""),"유한회사",""))&lt;2,"",SUBSTITUTE(SUBSTITUTE(SUBSTITUTE(SUBSTITUTE(SUBSTITUTE(SUBSTITUTE(SUBSTITUTE(SUBSTITUTE(SUBSTITUTE($C40&amp;""," ",""),"　",""),"(주)",""),"（주）",""),"㈜",""),"주식회사",""),"(유)",""),"（유）",""),"유한회사",""))</f>
        <v/>
      </c>
      <c r="K40" s="31">
        <f>IF(LEN(SUBSTITUTE(SUBSTITUTE(SUBSTITUTE(SUBSTITUTE(SUBSTITUTE(SUBSTITUTE(SUBSTITUTE(SUBSTITUTE(SUBSTITUTE($D40&amp;""," ",""),"　",""),"(주)",""),"（주）",""),"㈜",""),"주식회사",""),"(유)",""),"（유）",""),"유한회사",""))&lt;2,"",SUBSTITUTE(SUBSTITUTE(SUBSTITUTE(SUBSTITUTE(SUBSTITUTE(SUBSTITUTE(SUBSTITUTE(SUBSTITUTE(SUBSTITUTE($D40&amp;""," ",""),"　",""),"(주)",""),"（주）",""),"㈜",""),"주식회사",""),"(유)",""),"（유）",""),"유한회사",""))</f>
        <v/>
      </c>
    </row>
    <row r="41">
      <c r="A41" s="35" t="n"/>
      <c r="B41" s="35" t="n"/>
      <c r="C41" s="35" t="n"/>
      <c r="D41" s="35" t="n"/>
      <c r="E41" s="36" t="n"/>
      <c r="F41" s="35" t="n"/>
      <c r="G41" s="35" t="n"/>
      <c r="I41" s="31">
        <f>IF(TRIM($A41&amp;"")="","",IF(ISNUMBER(--SUBSTITUTE(SUBSTITUTE(TRIM($A41&amp;""),"-","")," ","")),SUBSTITUTE(SUBSTITUTE(TRIM($A41&amp;""),"-","")," ",""),"N:"&amp;TRIM($A41&amp;"")))</f>
        <v/>
      </c>
      <c r="J41" s="31">
        <f>IF(LEN(SUBSTITUTE(SUBSTITUTE(SUBSTITUTE(SUBSTITUTE(SUBSTITUTE(SUBSTITUTE(SUBSTITUTE(SUBSTITUTE(SUBSTITUTE($C41&amp;""," ",""),"　",""),"(주)",""),"（주）",""),"㈜",""),"주식회사",""),"(유)",""),"（유）",""),"유한회사",""))&lt;2,"",SUBSTITUTE(SUBSTITUTE(SUBSTITUTE(SUBSTITUTE(SUBSTITUTE(SUBSTITUTE(SUBSTITUTE(SUBSTITUTE(SUBSTITUTE($C41&amp;""," ",""),"　",""),"(주)",""),"（주）",""),"㈜",""),"주식회사",""),"(유)",""),"（유）",""),"유한회사",""))</f>
        <v/>
      </c>
      <c r="K41" s="31">
        <f>IF(LEN(SUBSTITUTE(SUBSTITUTE(SUBSTITUTE(SUBSTITUTE(SUBSTITUTE(SUBSTITUTE(SUBSTITUTE(SUBSTITUTE(SUBSTITUTE($D41&amp;""," ",""),"　",""),"(주)",""),"（주）",""),"㈜",""),"주식회사",""),"(유)",""),"（유）",""),"유한회사",""))&lt;2,"",SUBSTITUTE(SUBSTITUTE(SUBSTITUTE(SUBSTITUTE(SUBSTITUTE(SUBSTITUTE(SUBSTITUTE(SUBSTITUTE(SUBSTITUTE($D41&amp;""," ",""),"　",""),"(주)",""),"（주）",""),"㈜",""),"주식회사",""),"(유)",""),"（유）",""),"유한회사",""))</f>
        <v/>
      </c>
    </row>
    <row r="42">
      <c r="A42" s="35" t="n"/>
      <c r="B42" s="35" t="n"/>
      <c r="C42" s="35" t="n"/>
      <c r="D42" s="35" t="n"/>
      <c r="E42" s="36" t="n"/>
      <c r="F42" s="35" t="n"/>
      <c r="G42" s="35" t="n"/>
      <c r="I42" s="31">
        <f>IF(TRIM($A42&amp;"")="","",IF(ISNUMBER(--SUBSTITUTE(SUBSTITUTE(TRIM($A42&amp;""),"-","")," ","")),SUBSTITUTE(SUBSTITUTE(TRIM($A42&amp;""),"-","")," ",""),"N:"&amp;TRIM($A42&amp;"")))</f>
        <v/>
      </c>
      <c r="J42" s="31">
        <f>IF(LEN(SUBSTITUTE(SUBSTITUTE(SUBSTITUTE(SUBSTITUTE(SUBSTITUTE(SUBSTITUTE(SUBSTITUTE(SUBSTITUTE(SUBSTITUTE($C42&amp;""," ",""),"　",""),"(주)",""),"（주）",""),"㈜",""),"주식회사",""),"(유)",""),"（유）",""),"유한회사",""))&lt;2,"",SUBSTITUTE(SUBSTITUTE(SUBSTITUTE(SUBSTITUTE(SUBSTITUTE(SUBSTITUTE(SUBSTITUTE(SUBSTITUTE(SUBSTITUTE($C42&amp;""," ",""),"　",""),"(주)",""),"（주）",""),"㈜",""),"주식회사",""),"(유)",""),"（유）",""),"유한회사",""))</f>
        <v/>
      </c>
      <c r="K42" s="31">
        <f>IF(LEN(SUBSTITUTE(SUBSTITUTE(SUBSTITUTE(SUBSTITUTE(SUBSTITUTE(SUBSTITUTE(SUBSTITUTE(SUBSTITUTE(SUBSTITUTE($D42&amp;""," ",""),"　",""),"(주)",""),"（주）",""),"㈜",""),"주식회사",""),"(유)",""),"（유）",""),"유한회사",""))&lt;2,"",SUBSTITUTE(SUBSTITUTE(SUBSTITUTE(SUBSTITUTE(SUBSTITUTE(SUBSTITUTE(SUBSTITUTE(SUBSTITUTE(SUBSTITUTE($D42&amp;""," ",""),"　",""),"(주)",""),"（주）",""),"㈜",""),"주식회사",""),"(유)",""),"（유）",""),"유한회사",""))</f>
        <v/>
      </c>
    </row>
    <row r="43">
      <c r="A43" s="35" t="n"/>
      <c r="B43" s="35" t="n"/>
      <c r="C43" s="35" t="n"/>
      <c r="D43" s="35" t="n"/>
      <c r="E43" s="36" t="n"/>
      <c r="F43" s="35" t="n"/>
      <c r="G43" s="35" t="n"/>
      <c r="I43" s="31">
        <f>IF(TRIM($A43&amp;"")="","",IF(ISNUMBER(--SUBSTITUTE(SUBSTITUTE(TRIM($A43&amp;""),"-","")," ","")),SUBSTITUTE(SUBSTITUTE(TRIM($A43&amp;""),"-","")," ",""),"N:"&amp;TRIM($A43&amp;"")))</f>
        <v/>
      </c>
      <c r="J43" s="31">
        <f>IF(LEN(SUBSTITUTE(SUBSTITUTE(SUBSTITUTE(SUBSTITUTE(SUBSTITUTE(SUBSTITUTE(SUBSTITUTE(SUBSTITUTE(SUBSTITUTE($C43&amp;""," ",""),"　",""),"(주)",""),"（주）",""),"㈜",""),"주식회사",""),"(유)",""),"（유）",""),"유한회사",""))&lt;2,"",SUBSTITUTE(SUBSTITUTE(SUBSTITUTE(SUBSTITUTE(SUBSTITUTE(SUBSTITUTE(SUBSTITUTE(SUBSTITUTE(SUBSTITUTE($C43&amp;""," ",""),"　",""),"(주)",""),"（주）",""),"㈜",""),"주식회사",""),"(유)",""),"（유）",""),"유한회사",""))</f>
        <v/>
      </c>
      <c r="K43" s="31">
        <f>IF(LEN(SUBSTITUTE(SUBSTITUTE(SUBSTITUTE(SUBSTITUTE(SUBSTITUTE(SUBSTITUTE(SUBSTITUTE(SUBSTITUTE(SUBSTITUTE($D43&amp;""," ",""),"　",""),"(주)",""),"（주）",""),"㈜",""),"주식회사",""),"(유)",""),"（유）",""),"유한회사",""))&lt;2,"",SUBSTITUTE(SUBSTITUTE(SUBSTITUTE(SUBSTITUTE(SUBSTITUTE(SUBSTITUTE(SUBSTITUTE(SUBSTITUTE(SUBSTITUTE($D43&amp;""," ",""),"　",""),"(주)",""),"（주）",""),"㈜",""),"주식회사",""),"(유)",""),"（유）",""),"유한회사",""))</f>
        <v/>
      </c>
    </row>
    <row r="44">
      <c r="A44" s="35" t="n"/>
      <c r="B44" s="35" t="n"/>
      <c r="C44" s="35" t="n"/>
      <c r="D44" s="35" t="n"/>
      <c r="E44" s="36" t="n"/>
      <c r="F44" s="35" t="n"/>
      <c r="G44" s="35" t="n"/>
      <c r="I44" s="31">
        <f>IF(TRIM($A44&amp;"")="","",IF(ISNUMBER(--SUBSTITUTE(SUBSTITUTE(TRIM($A44&amp;""),"-","")," ","")),SUBSTITUTE(SUBSTITUTE(TRIM($A44&amp;""),"-","")," ",""),"N:"&amp;TRIM($A44&amp;"")))</f>
        <v/>
      </c>
      <c r="J44" s="31">
        <f>IF(LEN(SUBSTITUTE(SUBSTITUTE(SUBSTITUTE(SUBSTITUTE(SUBSTITUTE(SUBSTITUTE(SUBSTITUTE(SUBSTITUTE(SUBSTITUTE($C44&amp;""," ",""),"　",""),"(주)",""),"（주）",""),"㈜",""),"주식회사",""),"(유)",""),"（유）",""),"유한회사",""))&lt;2,"",SUBSTITUTE(SUBSTITUTE(SUBSTITUTE(SUBSTITUTE(SUBSTITUTE(SUBSTITUTE(SUBSTITUTE(SUBSTITUTE(SUBSTITUTE($C44&amp;""," ",""),"　",""),"(주)",""),"（주）",""),"㈜",""),"주식회사",""),"(유)",""),"（유）",""),"유한회사",""))</f>
        <v/>
      </c>
      <c r="K44" s="31">
        <f>IF(LEN(SUBSTITUTE(SUBSTITUTE(SUBSTITUTE(SUBSTITUTE(SUBSTITUTE(SUBSTITUTE(SUBSTITUTE(SUBSTITUTE(SUBSTITUTE($D44&amp;""," ",""),"　",""),"(주)",""),"（주）",""),"㈜",""),"주식회사",""),"(유)",""),"（유）",""),"유한회사",""))&lt;2,"",SUBSTITUTE(SUBSTITUTE(SUBSTITUTE(SUBSTITUTE(SUBSTITUTE(SUBSTITUTE(SUBSTITUTE(SUBSTITUTE(SUBSTITUTE($D44&amp;""," ",""),"　",""),"(주)",""),"（주）",""),"㈜",""),"주식회사",""),"(유)",""),"（유）",""),"유한회사",""))</f>
        <v/>
      </c>
    </row>
    <row r="45">
      <c r="A45" s="35" t="n"/>
      <c r="B45" s="35" t="n"/>
      <c r="C45" s="35" t="n"/>
      <c r="D45" s="35" t="n"/>
      <c r="E45" s="36" t="n"/>
      <c r="F45" s="35" t="n"/>
      <c r="G45" s="35" t="n"/>
      <c r="I45" s="31">
        <f>IF(TRIM($A45&amp;"")="","",IF(ISNUMBER(--SUBSTITUTE(SUBSTITUTE(TRIM($A45&amp;""),"-","")," ","")),SUBSTITUTE(SUBSTITUTE(TRIM($A45&amp;""),"-","")," ",""),"N:"&amp;TRIM($A45&amp;"")))</f>
        <v/>
      </c>
      <c r="J45" s="31">
        <f>IF(LEN(SUBSTITUTE(SUBSTITUTE(SUBSTITUTE(SUBSTITUTE(SUBSTITUTE(SUBSTITUTE(SUBSTITUTE(SUBSTITUTE(SUBSTITUTE($C45&amp;""," ",""),"　",""),"(주)",""),"（주）",""),"㈜",""),"주식회사",""),"(유)",""),"（유）",""),"유한회사",""))&lt;2,"",SUBSTITUTE(SUBSTITUTE(SUBSTITUTE(SUBSTITUTE(SUBSTITUTE(SUBSTITUTE(SUBSTITUTE(SUBSTITUTE(SUBSTITUTE($C45&amp;""," ",""),"　",""),"(주)",""),"（주）",""),"㈜",""),"주식회사",""),"(유)",""),"（유）",""),"유한회사",""))</f>
        <v/>
      </c>
      <c r="K45" s="31">
        <f>IF(LEN(SUBSTITUTE(SUBSTITUTE(SUBSTITUTE(SUBSTITUTE(SUBSTITUTE(SUBSTITUTE(SUBSTITUTE(SUBSTITUTE(SUBSTITUTE($D45&amp;""," ",""),"　",""),"(주)",""),"（주）",""),"㈜",""),"주식회사",""),"(유)",""),"（유）",""),"유한회사",""))&lt;2,"",SUBSTITUTE(SUBSTITUTE(SUBSTITUTE(SUBSTITUTE(SUBSTITUTE(SUBSTITUTE(SUBSTITUTE(SUBSTITUTE(SUBSTITUTE($D45&amp;""," ",""),"　",""),"(주)",""),"（주）",""),"㈜",""),"주식회사",""),"(유)",""),"（유）",""),"유한회사",""))</f>
        <v/>
      </c>
    </row>
    <row r="46">
      <c r="A46" s="35" t="n"/>
      <c r="B46" s="35" t="n"/>
      <c r="C46" s="35" t="n"/>
      <c r="D46" s="35" t="n"/>
      <c r="E46" s="36" t="n"/>
      <c r="F46" s="35" t="n"/>
      <c r="G46" s="35" t="n"/>
      <c r="I46" s="31">
        <f>IF(TRIM($A46&amp;"")="","",IF(ISNUMBER(--SUBSTITUTE(SUBSTITUTE(TRIM($A46&amp;""),"-","")," ","")),SUBSTITUTE(SUBSTITUTE(TRIM($A46&amp;""),"-","")," ",""),"N:"&amp;TRIM($A46&amp;"")))</f>
        <v/>
      </c>
      <c r="J46" s="31">
        <f>IF(LEN(SUBSTITUTE(SUBSTITUTE(SUBSTITUTE(SUBSTITUTE(SUBSTITUTE(SUBSTITUTE(SUBSTITUTE(SUBSTITUTE(SUBSTITUTE($C46&amp;""," ",""),"　",""),"(주)",""),"（주）",""),"㈜",""),"주식회사",""),"(유)",""),"（유）",""),"유한회사",""))&lt;2,"",SUBSTITUTE(SUBSTITUTE(SUBSTITUTE(SUBSTITUTE(SUBSTITUTE(SUBSTITUTE(SUBSTITUTE(SUBSTITUTE(SUBSTITUTE($C46&amp;""," ",""),"　",""),"(주)",""),"（주）",""),"㈜",""),"주식회사",""),"(유)",""),"（유）",""),"유한회사",""))</f>
        <v/>
      </c>
      <c r="K46" s="31">
        <f>IF(LEN(SUBSTITUTE(SUBSTITUTE(SUBSTITUTE(SUBSTITUTE(SUBSTITUTE(SUBSTITUTE(SUBSTITUTE(SUBSTITUTE(SUBSTITUTE($D46&amp;""," ",""),"　",""),"(주)",""),"（주）",""),"㈜",""),"주식회사",""),"(유)",""),"（유）",""),"유한회사",""))&lt;2,"",SUBSTITUTE(SUBSTITUTE(SUBSTITUTE(SUBSTITUTE(SUBSTITUTE(SUBSTITUTE(SUBSTITUTE(SUBSTITUTE(SUBSTITUTE($D46&amp;""," ",""),"　",""),"(주)",""),"（주）",""),"㈜",""),"주식회사",""),"(유)",""),"（유）",""),"유한회사",""))</f>
        <v/>
      </c>
    </row>
    <row r="47">
      <c r="A47" s="35" t="n"/>
      <c r="B47" s="35" t="n"/>
      <c r="C47" s="35" t="n"/>
      <c r="D47" s="35" t="n"/>
      <c r="E47" s="36" t="n"/>
      <c r="F47" s="35" t="n"/>
      <c r="G47" s="35" t="n"/>
      <c r="I47" s="31">
        <f>IF(TRIM($A47&amp;"")="","",IF(ISNUMBER(--SUBSTITUTE(SUBSTITUTE(TRIM($A47&amp;""),"-","")," ","")),SUBSTITUTE(SUBSTITUTE(TRIM($A47&amp;""),"-","")," ",""),"N:"&amp;TRIM($A47&amp;"")))</f>
        <v/>
      </c>
      <c r="J47" s="31">
        <f>IF(LEN(SUBSTITUTE(SUBSTITUTE(SUBSTITUTE(SUBSTITUTE(SUBSTITUTE(SUBSTITUTE(SUBSTITUTE(SUBSTITUTE(SUBSTITUTE($C47&amp;""," ",""),"　",""),"(주)",""),"（주）",""),"㈜",""),"주식회사",""),"(유)",""),"（유）",""),"유한회사",""))&lt;2,"",SUBSTITUTE(SUBSTITUTE(SUBSTITUTE(SUBSTITUTE(SUBSTITUTE(SUBSTITUTE(SUBSTITUTE(SUBSTITUTE(SUBSTITUTE($C47&amp;""," ",""),"　",""),"(주)",""),"（주）",""),"㈜",""),"주식회사",""),"(유)",""),"（유）",""),"유한회사",""))</f>
        <v/>
      </c>
      <c r="K47" s="31">
        <f>IF(LEN(SUBSTITUTE(SUBSTITUTE(SUBSTITUTE(SUBSTITUTE(SUBSTITUTE(SUBSTITUTE(SUBSTITUTE(SUBSTITUTE(SUBSTITUTE($D47&amp;""," ",""),"　",""),"(주)",""),"（주）",""),"㈜",""),"주식회사",""),"(유)",""),"（유）",""),"유한회사",""))&lt;2,"",SUBSTITUTE(SUBSTITUTE(SUBSTITUTE(SUBSTITUTE(SUBSTITUTE(SUBSTITUTE(SUBSTITUTE(SUBSTITUTE(SUBSTITUTE($D47&amp;""," ",""),"　",""),"(주)",""),"（주）",""),"㈜",""),"주식회사",""),"(유)",""),"（유）",""),"유한회사",""))</f>
        <v/>
      </c>
    </row>
    <row r="48">
      <c r="A48" s="35" t="n"/>
      <c r="B48" s="35" t="n"/>
      <c r="C48" s="35" t="n"/>
      <c r="D48" s="35" t="n"/>
      <c r="E48" s="36" t="n"/>
      <c r="F48" s="35" t="n"/>
      <c r="G48" s="35" t="n"/>
      <c r="I48" s="31">
        <f>IF(TRIM($A48&amp;"")="","",IF(ISNUMBER(--SUBSTITUTE(SUBSTITUTE(TRIM($A48&amp;""),"-","")," ","")),SUBSTITUTE(SUBSTITUTE(TRIM($A48&amp;""),"-","")," ",""),"N:"&amp;TRIM($A48&amp;"")))</f>
        <v/>
      </c>
      <c r="J48" s="31">
        <f>IF(LEN(SUBSTITUTE(SUBSTITUTE(SUBSTITUTE(SUBSTITUTE(SUBSTITUTE(SUBSTITUTE(SUBSTITUTE(SUBSTITUTE(SUBSTITUTE($C48&amp;""," ",""),"　",""),"(주)",""),"（주）",""),"㈜",""),"주식회사",""),"(유)",""),"（유）",""),"유한회사",""))&lt;2,"",SUBSTITUTE(SUBSTITUTE(SUBSTITUTE(SUBSTITUTE(SUBSTITUTE(SUBSTITUTE(SUBSTITUTE(SUBSTITUTE(SUBSTITUTE($C48&amp;""," ",""),"　",""),"(주)",""),"（주）",""),"㈜",""),"주식회사",""),"(유)",""),"（유）",""),"유한회사",""))</f>
        <v/>
      </c>
      <c r="K48" s="31">
        <f>IF(LEN(SUBSTITUTE(SUBSTITUTE(SUBSTITUTE(SUBSTITUTE(SUBSTITUTE(SUBSTITUTE(SUBSTITUTE(SUBSTITUTE(SUBSTITUTE($D48&amp;""," ",""),"　",""),"(주)",""),"（주）",""),"㈜",""),"주식회사",""),"(유)",""),"（유）",""),"유한회사",""))&lt;2,"",SUBSTITUTE(SUBSTITUTE(SUBSTITUTE(SUBSTITUTE(SUBSTITUTE(SUBSTITUTE(SUBSTITUTE(SUBSTITUTE(SUBSTITUTE($D48&amp;""," ",""),"　",""),"(주)",""),"（주）",""),"㈜",""),"주식회사",""),"(유)",""),"（유）",""),"유한회사",""))</f>
        <v/>
      </c>
    </row>
    <row r="49">
      <c r="A49" s="35" t="n"/>
      <c r="B49" s="35" t="n"/>
      <c r="C49" s="35" t="n"/>
      <c r="D49" s="35" t="n"/>
      <c r="E49" s="36" t="n"/>
      <c r="F49" s="35" t="n"/>
      <c r="G49" s="35" t="n"/>
      <c r="I49" s="31">
        <f>IF(TRIM($A49&amp;"")="","",IF(ISNUMBER(--SUBSTITUTE(SUBSTITUTE(TRIM($A49&amp;""),"-","")," ","")),SUBSTITUTE(SUBSTITUTE(TRIM($A49&amp;""),"-","")," ",""),"N:"&amp;TRIM($A49&amp;"")))</f>
        <v/>
      </c>
      <c r="J49" s="31">
        <f>IF(LEN(SUBSTITUTE(SUBSTITUTE(SUBSTITUTE(SUBSTITUTE(SUBSTITUTE(SUBSTITUTE(SUBSTITUTE(SUBSTITUTE(SUBSTITUTE($C49&amp;""," ",""),"　",""),"(주)",""),"（주）",""),"㈜",""),"주식회사",""),"(유)",""),"（유）",""),"유한회사",""))&lt;2,"",SUBSTITUTE(SUBSTITUTE(SUBSTITUTE(SUBSTITUTE(SUBSTITUTE(SUBSTITUTE(SUBSTITUTE(SUBSTITUTE(SUBSTITUTE($C49&amp;""," ",""),"　",""),"(주)",""),"（주）",""),"㈜",""),"주식회사",""),"(유)",""),"（유）",""),"유한회사",""))</f>
        <v/>
      </c>
      <c r="K49" s="31">
        <f>IF(LEN(SUBSTITUTE(SUBSTITUTE(SUBSTITUTE(SUBSTITUTE(SUBSTITUTE(SUBSTITUTE(SUBSTITUTE(SUBSTITUTE(SUBSTITUTE($D49&amp;""," ",""),"　",""),"(주)",""),"（주）",""),"㈜",""),"주식회사",""),"(유)",""),"（유）",""),"유한회사",""))&lt;2,"",SUBSTITUTE(SUBSTITUTE(SUBSTITUTE(SUBSTITUTE(SUBSTITUTE(SUBSTITUTE(SUBSTITUTE(SUBSTITUTE(SUBSTITUTE($D49&amp;""," ",""),"　",""),"(주)",""),"（주）",""),"㈜",""),"주식회사",""),"(유)",""),"（유）",""),"유한회사",""))</f>
        <v/>
      </c>
    </row>
    <row r="50">
      <c r="A50" s="35" t="n"/>
      <c r="B50" s="35" t="n"/>
      <c r="C50" s="35" t="n"/>
      <c r="D50" s="35" t="n"/>
      <c r="E50" s="36" t="n"/>
      <c r="F50" s="35" t="n"/>
      <c r="G50" s="35" t="n"/>
      <c r="I50" s="31">
        <f>IF(TRIM($A50&amp;"")="","",IF(ISNUMBER(--SUBSTITUTE(SUBSTITUTE(TRIM($A50&amp;""),"-","")," ","")),SUBSTITUTE(SUBSTITUTE(TRIM($A50&amp;""),"-","")," ",""),"N:"&amp;TRIM($A50&amp;"")))</f>
        <v/>
      </c>
      <c r="J50" s="31">
        <f>IF(LEN(SUBSTITUTE(SUBSTITUTE(SUBSTITUTE(SUBSTITUTE(SUBSTITUTE(SUBSTITUTE(SUBSTITUTE(SUBSTITUTE(SUBSTITUTE($C50&amp;""," ",""),"　",""),"(주)",""),"（주）",""),"㈜",""),"주식회사",""),"(유)",""),"（유）",""),"유한회사",""))&lt;2,"",SUBSTITUTE(SUBSTITUTE(SUBSTITUTE(SUBSTITUTE(SUBSTITUTE(SUBSTITUTE(SUBSTITUTE(SUBSTITUTE(SUBSTITUTE($C50&amp;""," ",""),"　",""),"(주)",""),"（주）",""),"㈜",""),"주식회사",""),"(유)",""),"（유）",""),"유한회사",""))</f>
        <v/>
      </c>
      <c r="K50" s="31">
        <f>IF(LEN(SUBSTITUTE(SUBSTITUTE(SUBSTITUTE(SUBSTITUTE(SUBSTITUTE(SUBSTITUTE(SUBSTITUTE(SUBSTITUTE(SUBSTITUTE($D50&amp;""," ",""),"　",""),"(주)",""),"（주）",""),"㈜",""),"주식회사",""),"(유)",""),"（유）",""),"유한회사",""))&lt;2,"",SUBSTITUTE(SUBSTITUTE(SUBSTITUTE(SUBSTITUTE(SUBSTITUTE(SUBSTITUTE(SUBSTITUTE(SUBSTITUTE(SUBSTITUTE($D50&amp;""," ",""),"　",""),"(주)",""),"（주）",""),"㈜",""),"주식회사",""),"(유)",""),"（유）",""),"유한회사",""))</f>
        <v/>
      </c>
    </row>
    <row r="51">
      <c r="A51" s="35" t="n"/>
      <c r="B51" s="35" t="n"/>
      <c r="C51" s="35" t="n"/>
      <c r="D51" s="35" t="n"/>
      <c r="E51" s="36" t="n"/>
      <c r="F51" s="35" t="n"/>
      <c r="G51" s="35" t="n"/>
      <c r="I51" s="31">
        <f>IF(TRIM($A51&amp;"")="","",IF(ISNUMBER(--SUBSTITUTE(SUBSTITUTE(TRIM($A51&amp;""),"-","")," ","")),SUBSTITUTE(SUBSTITUTE(TRIM($A51&amp;""),"-","")," ",""),"N:"&amp;TRIM($A51&amp;"")))</f>
        <v/>
      </c>
      <c r="J51" s="31">
        <f>IF(LEN(SUBSTITUTE(SUBSTITUTE(SUBSTITUTE(SUBSTITUTE(SUBSTITUTE(SUBSTITUTE(SUBSTITUTE(SUBSTITUTE(SUBSTITUTE($C51&amp;""," ",""),"　",""),"(주)",""),"（주）",""),"㈜",""),"주식회사",""),"(유)",""),"（유）",""),"유한회사",""))&lt;2,"",SUBSTITUTE(SUBSTITUTE(SUBSTITUTE(SUBSTITUTE(SUBSTITUTE(SUBSTITUTE(SUBSTITUTE(SUBSTITUTE(SUBSTITUTE($C51&amp;""," ",""),"　",""),"(주)",""),"（주）",""),"㈜",""),"주식회사",""),"(유)",""),"（유）",""),"유한회사",""))</f>
        <v/>
      </c>
      <c r="K51" s="31">
        <f>IF(LEN(SUBSTITUTE(SUBSTITUTE(SUBSTITUTE(SUBSTITUTE(SUBSTITUTE(SUBSTITUTE(SUBSTITUTE(SUBSTITUTE(SUBSTITUTE($D51&amp;""," ",""),"　",""),"(주)",""),"（주）",""),"㈜",""),"주식회사",""),"(유)",""),"（유）",""),"유한회사",""))&lt;2,"",SUBSTITUTE(SUBSTITUTE(SUBSTITUTE(SUBSTITUTE(SUBSTITUTE(SUBSTITUTE(SUBSTITUTE(SUBSTITUTE(SUBSTITUTE($D51&amp;""," ",""),"　",""),"(주)",""),"（주）",""),"㈜",""),"주식회사",""),"(유)",""),"（유）",""),"유한회사",""))</f>
        <v/>
      </c>
    </row>
    <row r="52">
      <c r="A52" s="35" t="n"/>
      <c r="B52" s="35" t="n"/>
      <c r="C52" s="35" t="n"/>
      <c r="D52" s="35" t="n"/>
      <c r="E52" s="36" t="n"/>
      <c r="F52" s="35" t="n"/>
      <c r="G52" s="35" t="n"/>
      <c r="I52" s="31">
        <f>IF(TRIM($A52&amp;"")="","",IF(ISNUMBER(--SUBSTITUTE(SUBSTITUTE(TRIM($A52&amp;""),"-","")," ","")),SUBSTITUTE(SUBSTITUTE(TRIM($A52&amp;""),"-","")," ",""),"N:"&amp;TRIM($A52&amp;"")))</f>
        <v/>
      </c>
      <c r="J52" s="31">
        <f>IF(LEN(SUBSTITUTE(SUBSTITUTE(SUBSTITUTE(SUBSTITUTE(SUBSTITUTE(SUBSTITUTE(SUBSTITUTE(SUBSTITUTE(SUBSTITUTE($C52&amp;""," ",""),"　",""),"(주)",""),"（주）",""),"㈜",""),"주식회사",""),"(유)",""),"（유）",""),"유한회사",""))&lt;2,"",SUBSTITUTE(SUBSTITUTE(SUBSTITUTE(SUBSTITUTE(SUBSTITUTE(SUBSTITUTE(SUBSTITUTE(SUBSTITUTE(SUBSTITUTE($C52&amp;""," ",""),"　",""),"(주)",""),"（주）",""),"㈜",""),"주식회사",""),"(유)",""),"（유）",""),"유한회사",""))</f>
        <v/>
      </c>
      <c r="K52" s="31">
        <f>IF(LEN(SUBSTITUTE(SUBSTITUTE(SUBSTITUTE(SUBSTITUTE(SUBSTITUTE(SUBSTITUTE(SUBSTITUTE(SUBSTITUTE(SUBSTITUTE($D52&amp;""," ",""),"　",""),"(주)",""),"（주）",""),"㈜",""),"주식회사",""),"(유)",""),"（유）",""),"유한회사",""))&lt;2,"",SUBSTITUTE(SUBSTITUTE(SUBSTITUTE(SUBSTITUTE(SUBSTITUTE(SUBSTITUTE(SUBSTITUTE(SUBSTITUTE(SUBSTITUTE($D52&amp;""," ",""),"　",""),"(주)",""),"（주）",""),"㈜",""),"주식회사",""),"(유)",""),"（유）",""),"유한회사",""))</f>
        <v/>
      </c>
    </row>
    <row r="53">
      <c r="A53" s="35" t="n"/>
      <c r="B53" s="35" t="n"/>
      <c r="C53" s="35" t="n"/>
      <c r="D53" s="35" t="n"/>
      <c r="E53" s="36" t="n"/>
      <c r="F53" s="35" t="n"/>
      <c r="G53" s="35" t="n"/>
      <c r="I53" s="31">
        <f>IF(TRIM($A53&amp;"")="","",IF(ISNUMBER(--SUBSTITUTE(SUBSTITUTE(TRIM($A53&amp;""),"-","")," ","")),SUBSTITUTE(SUBSTITUTE(TRIM($A53&amp;""),"-","")," ",""),"N:"&amp;TRIM($A53&amp;"")))</f>
        <v/>
      </c>
      <c r="J53" s="31">
        <f>IF(LEN(SUBSTITUTE(SUBSTITUTE(SUBSTITUTE(SUBSTITUTE(SUBSTITUTE(SUBSTITUTE(SUBSTITUTE(SUBSTITUTE(SUBSTITUTE($C53&amp;""," ",""),"　",""),"(주)",""),"（주）",""),"㈜",""),"주식회사",""),"(유)",""),"（유）",""),"유한회사",""))&lt;2,"",SUBSTITUTE(SUBSTITUTE(SUBSTITUTE(SUBSTITUTE(SUBSTITUTE(SUBSTITUTE(SUBSTITUTE(SUBSTITUTE(SUBSTITUTE($C53&amp;""," ",""),"　",""),"(주)",""),"（주）",""),"㈜",""),"주식회사",""),"(유)",""),"（유）",""),"유한회사",""))</f>
        <v/>
      </c>
      <c r="K53" s="31">
        <f>IF(LEN(SUBSTITUTE(SUBSTITUTE(SUBSTITUTE(SUBSTITUTE(SUBSTITUTE(SUBSTITUTE(SUBSTITUTE(SUBSTITUTE(SUBSTITUTE($D53&amp;""," ",""),"　",""),"(주)",""),"（주）",""),"㈜",""),"주식회사",""),"(유)",""),"（유）",""),"유한회사",""))&lt;2,"",SUBSTITUTE(SUBSTITUTE(SUBSTITUTE(SUBSTITUTE(SUBSTITUTE(SUBSTITUTE(SUBSTITUTE(SUBSTITUTE(SUBSTITUTE($D53&amp;""," ",""),"　",""),"(주)",""),"（주）",""),"㈜",""),"주식회사",""),"(유)",""),"（유）",""),"유한회사",""))</f>
        <v/>
      </c>
    </row>
    <row r="54">
      <c r="A54" s="35" t="n"/>
      <c r="B54" s="35" t="n"/>
      <c r="C54" s="35" t="n"/>
      <c r="D54" s="35" t="n"/>
      <c r="E54" s="36" t="n"/>
      <c r="F54" s="35" t="n"/>
      <c r="G54" s="35" t="n"/>
      <c r="I54" s="31">
        <f>IF(TRIM($A54&amp;"")="","",IF(ISNUMBER(--SUBSTITUTE(SUBSTITUTE(TRIM($A54&amp;""),"-","")," ","")),SUBSTITUTE(SUBSTITUTE(TRIM($A54&amp;""),"-","")," ",""),"N:"&amp;TRIM($A54&amp;"")))</f>
        <v/>
      </c>
      <c r="J54" s="31">
        <f>IF(LEN(SUBSTITUTE(SUBSTITUTE(SUBSTITUTE(SUBSTITUTE(SUBSTITUTE(SUBSTITUTE(SUBSTITUTE(SUBSTITUTE(SUBSTITUTE($C54&amp;""," ",""),"　",""),"(주)",""),"（주）",""),"㈜",""),"주식회사",""),"(유)",""),"（유）",""),"유한회사",""))&lt;2,"",SUBSTITUTE(SUBSTITUTE(SUBSTITUTE(SUBSTITUTE(SUBSTITUTE(SUBSTITUTE(SUBSTITUTE(SUBSTITUTE(SUBSTITUTE($C54&amp;""," ",""),"　",""),"(주)",""),"（주）",""),"㈜",""),"주식회사",""),"(유)",""),"（유）",""),"유한회사",""))</f>
        <v/>
      </c>
      <c r="K54" s="31">
        <f>IF(LEN(SUBSTITUTE(SUBSTITUTE(SUBSTITUTE(SUBSTITUTE(SUBSTITUTE(SUBSTITUTE(SUBSTITUTE(SUBSTITUTE(SUBSTITUTE($D54&amp;""," ",""),"　",""),"(주)",""),"（주）",""),"㈜",""),"주식회사",""),"(유)",""),"（유）",""),"유한회사",""))&lt;2,"",SUBSTITUTE(SUBSTITUTE(SUBSTITUTE(SUBSTITUTE(SUBSTITUTE(SUBSTITUTE(SUBSTITUTE(SUBSTITUTE(SUBSTITUTE($D54&amp;""," ",""),"　",""),"(주)",""),"（주）",""),"㈜",""),"주식회사",""),"(유)",""),"（유）",""),"유한회사",""))</f>
        <v/>
      </c>
    </row>
    <row r="55">
      <c r="A55" s="35" t="n"/>
      <c r="B55" s="35" t="n"/>
      <c r="C55" s="35" t="n"/>
      <c r="D55" s="35" t="n"/>
      <c r="E55" s="36" t="n"/>
      <c r="F55" s="35" t="n"/>
      <c r="G55" s="35" t="n"/>
      <c r="I55" s="31">
        <f>IF(TRIM($A55&amp;"")="","",IF(ISNUMBER(--SUBSTITUTE(SUBSTITUTE(TRIM($A55&amp;""),"-","")," ","")),SUBSTITUTE(SUBSTITUTE(TRIM($A55&amp;""),"-","")," ",""),"N:"&amp;TRIM($A55&amp;"")))</f>
        <v/>
      </c>
      <c r="J55" s="31">
        <f>IF(LEN(SUBSTITUTE(SUBSTITUTE(SUBSTITUTE(SUBSTITUTE(SUBSTITUTE(SUBSTITUTE(SUBSTITUTE(SUBSTITUTE(SUBSTITUTE($C55&amp;""," ",""),"　",""),"(주)",""),"（주）",""),"㈜",""),"주식회사",""),"(유)",""),"（유）",""),"유한회사",""))&lt;2,"",SUBSTITUTE(SUBSTITUTE(SUBSTITUTE(SUBSTITUTE(SUBSTITUTE(SUBSTITUTE(SUBSTITUTE(SUBSTITUTE(SUBSTITUTE($C55&amp;""," ",""),"　",""),"(주)",""),"（주）",""),"㈜",""),"주식회사",""),"(유)",""),"（유）",""),"유한회사",""))</f>
        <v/>
      </c>
      <c r="K55" s="31">
        <f>IF(LEN(SUBSTITUTE(SUBSTITUTE(SUBSTITUTE(SUBSTITUTE(SUBSTITUTE(SUBSTITUTE(SUBSTITUTE(SUBSTITUTE(SUBSTITUTE($D55&amp;""," ",""),"　",""),"(주)",""),"（주）",""),"㈜",""),"주식회사",""),"(유)",""),"（유）",""),"유한회사",""))&lt;2,"",SUBSTITUTE(SUBSTITUTE(SUBSTITUTE(SUBSTITUTE(SUBSTITUTE(SUBSTITUTE(SUBSTITUTE(SUBSTITUTE(SUBSTITUTE($D55&amp;""," ",""),"　",""),"(주)",""),"（주）",""),"㈜",""),"주식회사",""),"(유)",""),"（유）",""),"유한회사",""))</f>
        <v/>
      </c>
    </row>
    <row r="56">
      <c r="A56" s="35" t="n"/>
      <c r="B56" s="35" t="n"/>
      <c r="C56" s="35" t="n"/>
      <c r="D56" s="35" t="n"/>
      <c r="E56" s="36" t="n"/>
      <c r="F56" s="35" t="n"/>
      <c r="G56" s="35" t="n"/>
      <c r="I56" s="31">
        <f>IF(TRIM($A56&amp;"")="","",IF(ISNUMBER(--SUBSTITUTE(SUBSTITUTE(TRIM($A56&amp;""),"-","")," ","")),SUBSTITUTE(SUBSTITUTE(TRIM($A56&amp;""),"-","")," ",""),"N:"&amp;TRIM($A56&amp;"")))</f>
        <v/>
      </c>
      <c r="J56" s="31">
        <f>IF(LEN(SUBSTITUTE(SUBSTITUTE(SUBSTITUTE(SUBSTITUTE(SUBSTITUTE(SUBSTITUTE(SUBSTITUTE(SUBSTITUTE(SUBSTITUTE($C56&amp;""," ",""),"　",""),"(주)",""),"（주）",""),"㈜",""),"주식회사",""),"(유)",""),"（유）",""),"유한회사",""))&lt;2,"",SUBSTITUTE(SUBSTITUTE(SUBSTITUTE(SUBSTITUTE(SUBSTITUTE(SUBSTITUTE(SUBSTITUTE(SUBSTITUTE(SUBSTITUTE($C56&amp;""," ",""),"　",""),"(주)",""),"（주）",""),"㈜",""),"주식회사",""),"(유)",""),"（유）",""),"유한회사",""))</f>
        <v/>
      </c>
      <c r="K56" s="31">
        <f>IF(LEN(SUBSTITUTE(SUBSTITUTE(SUBSTITUTE(SUBSTITUTE(SUBSTITUTE(SUBSTITUTE(SUBSTITUTE(SUBSTITUTE(SUBSTITUTE($D56&amp;""," ",""),"　",""),"(주)",""),"（주）",""),"㈜",""),"주식회사",""),"(유)",""),"（유）",""),"유한회사",""))&lt;2,"",SUBSTITUTE(SUBSTITUTE(SUBSTITUTE(SUBSTITUTE(SUBSTITUTE(SUBSTITUTE(SUBSTITUTE(SUBSTITUTE(SUBSTITUTE($D56&amp;""," ",""),"　",""),"(주)",""),"（주）",""),"㈜",""),"주식회사",""),"(유)",""),"（유）",""),"유한회사",""))</f>
        <v/>
      </c>
    </row>
    <row r="57">
      <c r="A57" s="35" t="n"/>
      <c r="B57" s="35" t="n"/>
      <c r="C57" s="35" t="n"/>
      <c r="D57" s="35" t="n"/>
      <c r="E57" s="36" t="n"/>
      <c r="F57" s="35" t="n"/>
      <c r="G57" s="35" t="n"/>
      <c r="I57" s="31">
        <f>IF(TRIM($A57&amp;"")="","",IF(ISNUMBER(--SUBSTITUTE(SUBSTITUTE(TRIM($A57&amp;""),"-","")," ","")),SUBSTITUTE(SUBSTITUTE(TRIM($A57&amp;""),"-","")," ",""),"N:"&amp;TRIM($A57&amp;"")))</f>
        <v/>
      </c>
      <c r="J57" s="31">
        <f>IF(LEN(SUBSTITUTE(SUBSTITUTE(SUBSTITUTE(SUBSTITUTE(SUBSTITUTE(SUBSTITUTE(SUBSTITUTE(SUBSTITUTE(SUBSTITUTE($C57&amp;""," ",""),"　",""),"(주)",""),"（주）",""),"㈜",""),"주식회사",""),"(유)",""),"（유）",""),"유한회사",""))&lt;2,"",SUBSTITUTE(SUBSTITUTE(SUBSTITUTE(SUBSTITUTE(SUBSTITUTE(SUBSTITUTE(SUBSTITUTE(SUBSTITUTE(SUBSTITUTE($C57&amp;""," ",""),"　",""),"(주)",""),"（주）",""),"㈜",""),"주식회사",""),"(유)",""),"（유）",""),"유한회사",""))</f>
        <v/>
      </c>
      <c r="K57" s="31">
        <f>IF(LEN(SUBSTITUTE(SUBSTITUTE(SUBSTITUTE(SUBSTITUTE(SUBSTITUTE(SUBSTITUTE(SUBSTITUTE(SUBSTITUTE(SUBSTITUTE($D57&amp;""," ",""),"　",""),"(주)",""),"（주）",""),"㈜",""),"주식회사",""),"(유)",""),"（유）",""),"유한회사",""))&lt;2,"",SUBSTITUTE(SUBSTITUTE(SUBSTITUTE(SUBSTITUTE(SUBSTITUTE(SUBSTITUTE(SUBSTITUTE(SUBSTITUTE(SUBSTITUTE($D57&amp;""," ",""),"　",""),"(주)",""),"（주）",""),"㈜",""),"주식회사",""),"(유)",""),"（유）",""),"유한회사",""))</f>
        <v/>
      </c>
    </row>
    <row r="58">
      <c r="A58" s="35" t="n"/>
      <c r="B58" s="35" t="n"/>
      <c r="C58" s="35" t="n"/>
      <c r="D58" s="35" t="n"/>
      <c r="E58" s="36" t="n"/>
      <c r="F58" s="35" t="n"/>
      <c r="G58" s="35" t="n"/>
      <c r="I58" s="31">
        <f>IF(TRIM($A58&amp;"")="","",IF(ISNUMBER(--SUBSTITUTE(SUBSTITUTE(TRIM($A58&amp;""),"-","")," ","")),SUBSTITUTE(SUBSTITUTE(TRIM($A58&amp;""),"-","")," ",""),"N:"&amp;TRIM($A58&amp;"")))</f>
        <v/>
      </c>
      <c r="J58" s="31">
        <f>IF(LEN(SUBSTITUTE(SUBSTITUTE(SUBSTITUTE(SUBSTITUTE(SUBSTITUTE(SUBSTITUTE(SUBSTITUTE(SUBSTITUTE(SUBSTITUTE($C58&amp;""," ",""),"　",""),"(주)",""),"（주）",""),"㈜",""),"주식회사",""),"(유)",""),"（유）",""),"유한회사",""))&lt;2,"",SUBSTITUTE(SUBSTITUTE(SUBSTITUTE(SUBSTITUTE(SUBSTITUTE(SUBSTITUTE(SUBSTITUTE(SUBSTITUTE(SUBSTITUTE($C58&amp;""," ",""),"　",""),"(주)",""),"（주）",""),"㈜",""),"주식회사",""),"(유)",""),"（유）",""),"유한회사",""))</f>
        <v/>
      </c>
      <c r="K58" s="31">
        <f>IF(LEN(SUBSTITUTE(SUBSTITUTE(SUBSTITUTE(SUBSTITUTE(SUBSTITUTE(SUBSTITUTE(SUBSTITUTE(SUBSTITUTE(SUBSTITUTE($D58&amp;""," ",""),"　",""),"(주)",""),"（주）",""),"㈜",""),"주식회사",""),"(유)",""),"（유）",""),"유한회사",""))&lt;2,"",SUBSTITUTE(SUBSTITUTE(SUBSTITUTE(SUBSTITUTE(SUBSTITUTE(SUBSTITUTE(SUBSTITUTE(SUBSTITUTE(SUBSTITUTE($D58&amp;""," ",""),"　",""),"(주)",""),"（주）",""),"㈜",""),"주식회사",""),"(유)",""),"（유）",""),"유한회사",""))</f>
        <v/>
      </c>
    </row>
    <row r="59">
      <c r="A59" s="35" t="n"/>
      <c r="B59" s="35" t="n"/>
      <c r="C59" s="35" t="n"/>
      <c r="D59" s="35" t="n"/>
      <c r="E59" s="36" t="n"/>
      <c r="F59" s="35" t="n"/>
      <c r="G59" s="35" t="n"/>
      <c r="I59" s="31">
        <f>IF(TRIM($A59&amp;"")="","",IF(ISNUMBER(--SUBSTITUTE(SUBSTITUTE(TRIM($A59&amp;""),"-","")," ","")),SUBSTITUTE(SUBSTITUTE(TRIM($A59&amp;""),"-","")," ",""),"N:"&amp;TRIM($A59&amp;"")))</f>
        <v/>
      </c>
      <c r="J59" s="31">
        <f>IF(LEN(SUBSTITUTE(SUBSTITUTE(SUBSTITUTE(SUBSTITUTE(SUBSTITUTE(SUBSTITUTE(SUBSTITUTE(SUBSTITUTE(SUBSTITUTE($C59&amp;""," ",""),"　",""),"(주)",""),"（주）",""),"㈜",""),"주식회사",""),"(유)",""),"（유）",""),"유한회사",""))&lt;2,"",SUBSTITUTE(SUBSTITUTE(SUBSTITUTE(SUBSTITUTE(SUBSTITUTE(SUBSTITUTE(SUBSTITUTE(SUBSTITUTE(SUBSTITUTE($C59&amp;""," ",""),"　",""),"(주)",""),"（주）",""),"㈜",""),"주식회사",""),"(유)",""),"（유）",""),"유한회사",""))</f>
        <v/>
      </c>
      <c r="K59" s="31">
        <f>IF(LEN(SUBSTITUTE(SUBSTITUTE(SUBSTITUTE(SUBSTITUTE(SUBSTITUTE(SUBSTITUTE(SUBSTITUTE(SUBSTITUTE(SUBSTITUTE($D59&amp;""," ",""),"　",""),"(주)",""),"（주）",""),"㈜",""),"주식회사",""),"(유)",""),"（유）",""),"유한회사",""))&lt;2,"",SUBSTITUTE(SUBSTITUTE(SUBSTITUTE(SUBSTITUTE(SUBSTITUTE(SUBSTITUTE(SUBSTITUTE(SUBSTITUTE(SUBSTITUTE($D59&amp;""," ",""),"　",""),"(주)",""),"（주）",""),"㈜",""),"주식회사",""),"(유)",""),"（유）",""),"유한회사",""))</f>
        <v/>
      </c>
    </row>
    <row r="60">
      <c r="A60" s="35" t="n"/>
      <c r="B60" s="35" t="n"/>
      <c r="C60" s="35" t="n"/>
      <c r="D60" s="35" t="n"/>
      <c r="E60" s="36" t="n"/>
      <c r="F60" s="35" t="n"/>
      <c r="G60" s="35" t="n"/>
      <c r="I60" s="31">
        <f>IF(TRIM($A60&amp;"")="","",IF(ISNUMBER(--SUBSTITUTE(SUBSTITUTE(TRIM($A60&amp;""),"-","")," ","")),SUBSTITUTE(SUBSTITUTE(TRIM($A60&amp;""),"-","")," ",""),"N:"&amp;TRIM($A60&amp;"")))</f>
        <v/>
      </c>
      <c r="J60" s="31">
        <f>IF(LEN(SUBSTITUTE(SUBSTITUTE(SUBSTITUTE(SUBSTITUTE(SUBSTITUTE(SUBSTITUTE(SUBSTITUTE(SUBSTITUTE(SUBSTITUTE($C60&amp;""," ",""),"　",""),"(주)",""),"（주）",""),"㈜",""),"주식회사",""),"(유)",""),"（유）",""),"유한회사",""))&lt;2,"",SUBSTITUTE(SUBSTITUTE(SUBSTITUTE(SUBSTITUTE(SUBSTITUTE(SUBSTITUTE(SUBSTITUTE(SUBSTITUTE(SUBSTITUTE($C60&amp;""," ",""),"　",""),"(주)",""),"（주）",""),"㈜",""),"주식회사",""),"(유)",""),"（유）",""),"유한회사",""))</f>
        <v/>
      </c>
      <c r="K60" s="31">
        <f>IF(LEN(SUBSTITUTE(SUBSTITUTE(SUBSTITUTE(SUBSTITUTE(SUBSTITUTE(SUBSTITUTE(SUBSTITUTE(SUBSTITUTE(SUBSTITUTE($D60&amp;""," ",""),"　",""),"(주)",""),"（주）",""),"㈜",""),"주식회사",""),"(유)",""),"（유）",""),"유한회사",""))&lt;2,"",SUBSTITUTE(SUBSTITUTE(SUBSTITUTE(SUBSTITUTE(SUBSTITUTE(SUBSTITUTE(SUBSTITUTE(SUBSTITUTE(SUBSTITUTE($D60&amp;""," ",""),"　",""),"(주)",""),"（주）",""),"㈜",""),"주식회사",""),"(유)",""),"（유）",""),"유한회사",""))</f>
        <v/>
      </c>
    </row>
    <row r="61">
      <c r="A61" s="35" t="n"/>
      <c r="B61" s="35" t="n"/>
      <c r="C61" s="35" t="n"/>
      <c r="D61" s="35" t="n"/>
      <c r="E61" s="36" t="n"/>
      <c r="F61" s="35" t="n"/>
      <c r="G61" s="35" t="n"/>
      <c r="I61" s="31">
        <f>IF(TRIM($A61&amp;"")="","",IF(ISNUMBER(--SUBSTITUTE(SUBSTITUTE(TRIM($A61&amp;""),"-","")," ","")),SUBSTITUTE(SUBSTITUTE(TRIM($A61&amp;""),"-","")," ",""),"N:"&amp;TRIM($A61&amp;"")))</f>
        <v/>
      </c>
      <c r="J61" s="31">
        <f>IF(LEN(SUBSTITUTE(SUBSTITUTE(SUBSTITUTE(SUBSTITUTE(SUBSTITUTE(SUBSTITUTE(SUBSTITUTE(SUBSTITUTE(SUBSTITUTE($C61&amp;""," ",""),"　",""),"(주)",""),"（주）",""),"㈜",""),"주식회사",""),"(유)",""),"（유）",""),"유한회사",""))&lt;2,"",SUBSTITUTE(SUBSTITUTE(SUBSTITUTE(SUBSTITUTE(SUBSTITUTE(SUBSTITUTE(SUBSTITUTE(SUBSTITUTE(SUBSTITUTE($C61&amp;""," ",""),"　",""),"(주)",""),"（주）",""),"㈜",""),"주식회사",""),"(유)",""),"（유）",""),"유한회사",""))</f>
        <v/>
      </c>
      <c r="K61" s="31">
        <f>IF(LEN(SUBSTITUTE(SUBSTITUTE(SUBSTITUTE(SUBSTITUTE(SUBSTITUTE(SUBSTITUTE(SUBSTITUTE(SUBSTITUTE(SUBSTITUTE($D61&amp;""," ",""),"　",""),"(주)",""),"（주）",""),"㈜",""),"주식회사",""),"(유)",""),"（유）",""),"유한회사",""))&lt;2,"",SUBSTITUTE(SUBSTITUTE(SUBSTITUTE(SUBSTITUTE(SUBSTITUTE(SUBSTITUTE(SUBSTITUTE(SUBSTITUTE(SUBSTITUTE($D61&amp;""," ",""),"　",""),"(주)",""),"（주）",""),"㈜",""),"주식회사",""),"(유)",""),"（유）",""),"유한회사",""))</f>
        <v/>
      </c>
    </row>
    <row r="62">
      <c r="A62" s="35" t="n"/>
      <c r="B62" s="35" t="n"/>
      <c r="C62" s="35" t="n"/>
      <c r="D62" s="35" t="n"/>
      <c r="E62" s="36" t="n"/>
      <c r="F62" s="35" t="n"/>
      <c r="G62" s="35" t="n"/>
      <c r="I62" s="31">
        <f>IF(TRIM($A62&amp;"")="","",IF(ISNUMBER(--SUBSTITUTE(SUBSTITUTE(TRIM($A62&amp;""),"-","")," ","")),SUBSTITUTE(SUBSTITUTE(TRIM($A62&amp;""),"-","")," ",""),"N:"&amp;TRIM($A62&amp;"")))</f>
        <v/>
      </c>
      <c r="J62" s="31">
        <f>IF(LEN(SUBSTITUTE(SUBSTITUTE(SUBSTITUTE(SUBSTITUTE(SUBSTITUTE(SUBSTITUTE(SUBSTITUTE(SUBSTITUTE(SUBSTITUTE($C62&amp;""," ",""),"　",""),"(주)",""),"（주）",""),"㈜",""),"주식회사",""),"(유)",""),"（유）",""),"유한회사",""))&lt;2,"",SUBSTITUTE(SUBSTITUTE(SUBSTITUTE(SUBSTITUTE(SUBSTITUTE(SUBSTITUTE(SUBSTITUTE(SUBSTITUTE(SUBSTITUTE($C62&amp;""," ",""),"　",""),"(주)",""),"（주）",""),"㈜",""),"주식회사",""),"(유)",""),"（유）",""),"유한회사",""))</f>
        <v/>
      </c>
      <c r="K62" s="31">
        <f>IF(LEN(SUBSTITUTE(SUBSTITUTE(SUBSTITUTE(SUBSTITUTE(SUBSTITUTE(SUBSTITUTE(SUBSTITUTE(SUBSTITUTE(SUBSTITUTE($D62&amp;""," ",""),"　",""),"(주)",""),"（주）",""),"㈜",""),"주식회사",""),"(유)",""),"（유）",""),"유한회사",""))&lt;2,"",SUBSTITUTE(SUBSTITUTE(SUBSTITUTE(SUBSTITUTE(SUBSTITUTE(SUBSTITUTE(SUBSTITUTE(SUBSTITUTE(SUBSTITUTE($D62&amp;""," ",""),"　",""),"(주)",""),"（주）",""),"㈜",""),"주식회사",""),"(유)",""),"（유）",""),"유한회사",""))</f>
        <v/>
      </c>
    </row>
    <row r="63">
      <c r="A63" s="35" t="n"/>
      <c r="B63" s="35" t="n"/>
      <c r="C63" s="35" t="n"/>
      <c r="D63" s="35" t="n"/>
      <c r="E63" s="36" t="n"/>
      <c r="F63" s="35" t="n"/>
      <c r="G63" s="35" t="n"/>
      <c r="I63" s="31">
        <f>IF(TRIM($A63&amp;"")="","",IF(ISNUMBER(--SUBSTITUTE(SUBSTITUTE(TRIM($A63&amp;""),"-","")," ","")),SUBSTITUTE(SUBSTITUTE(TRIM($A63&amp;""),"-","")," ",""),"N:"&amp;TRIM($A63&amp;"")))</f>
        <v/>
      </c>
      <c r="J63" s="31">
        <f>IF(LEN(SUBSTITUTE(SUBSTITUTE(SUBSTITUTE(SUBSTITUTE(SUBSTITUTE(SUBSTITUTE(SUBSTITUTE(SUBSTITUTE(SUBSTITUTE($C63&amp;""," ",""),"　",""),"(주)",""),"（주）",""),"㈜",""),"주식회사",""),"(유)",""),"（유）",""),"유한회사",""))&lt;2,"",SUBSTITUTE(SUBSTITUTE(SUBSTITUTE(SUBSTITUTE(SUBSTITUTE(SUBSTITUTE(SUBSTITUTE(SUBSTITUTE(SUBSTITUTE($C63&amp;""," ",""),"　",""),"(주)",""),"（주）",""),"㈜",""),"주식회사",""),"(유)",""),"（유）",""),"유한회사",""))</f>
        <v/>
      </c>
      <c r="K63" s="31">
        <f>IF(LEN(SUBSTITUTE(SUBSTITUTE(SUBSTITUTE(SUBSTITUTE(SUBSTITUTE(SUBSTITUTE(SUBSTITUTE(SUBSTITUTE(SUBSTITUTE($D63&amp;""," ",""),"　",""),"(주)",""),"（주）",""),"㈜",""),"주식회사",""),"(유)",""),"（유）",""),"유한회사",""))&lt;2,"",SUBSTITUTE(SUBSTITUTE(SUBSTITUTE(SUBSTITUTE(SUBSTITUTE(SUBSTITUTE(SUBSTITUTE(SUBSTITUTE(SUBSTITUTE($D63&amp;""," ",""),"　",""),"(주)",""),"（주）",""),"㈜",""),"주식회사",""),"(유)",""),"（유）",""),"유한회사",""))</f>
        <v/>
      </c>
    </row>
    <row r="64">
      <c r="A64" s="35" t="n"/>
      <c r="B64" s="35" t="n"/>
      <c r="C64" s="35" t="n"/>
      <c r="D64" s="35" t="n"/>
      <c r="E64" s="36" t="n"/>
      <c r="F64" s="35" t="n"/>
      <c r="G64" s="35" t="n"/>
      <c r="I64" s="31">
        <f>IF(TRIM($A64&amp;"")="","",IF(ISNUMBER(--SUBSTITUTE(SUBSTITUTE(TRIM($A64&amp;""),"-","")," ","")),SUBSTITUTE(SUBSTITUTE(TRIM($A64&amp;""),"-","")," ",""),"N:"&amp;TRIM($A64&amp;"")))</f>
        <v/>
      </c>
      <c r="J64" s="31">
        <f>IF(LEN(SUBSTITUTE(SUBSTITUTE(SUBSTITUTE(SUBSTITUTE(SUBSTITUTE(SUBSTITUTE(SUBSTITUTE(SUBSTITUTE(SUBSTITUTE($C64&amp;""," ",""),"　",""),"(주)",""),"（주）",""),"㈜",""),"주식회사",""),"(유)",""),"（유）",""),"유한회사",""))&lt;2,"",SUBSTITUTE(SUBSTITUTE(SUBSTITUTE(SUBSTITUTE(SUBSTITUTE(SUBSTITUTE(SUBSTITUTE(SUBSTITUTE(SUBSTITUTE($C64&amp;""," ",""),"　",""),"(주)",""),"（주）",""),"㈜",""),"주식회사",""),"(유)",""),"（유）",""),"유한회사",""))</f>
        <v/>
      </c>
      <c r="K64" s="31">
        <f>IF(LEN(SUBSTITUTE(SUBSTITUTE(SUBSTITUTE(SUBSTITUTE(SUBSTITUTE(SUBSTITUTE(SUBSTITUTE(SUBSTITUTE(SUBSTITUTE($D64&amp;""," ",""),"　",""),"(주)",""),"（주）",""),"㈜",""),"주식회사",""),"(유)",""),"（유）",""),"유한회사",""))&lt;2,"",SUBSTITUTE(SUBSTITUTE(SUBSTITUTE(SUBSTITUTE(SUBSTITUTE(SUBSTITUTE(SUBSTITUTE(SUBSTITUTE(SUBSTITUTE($D64&amp;""," ",""),"　",""),"(주)",""),"（주）",""),"㈜",""),"주식회사",""),"(유)",""),"（유）",""),"유한회사",""))</f>
        <v/>
      </c>
    </row>
    <row r="65">
      <c r="A65" s="35" t="n"/>
      <c r="B65" s="35" t="n"/>
      <c r="C65" s="35" t="n"/>
      <c r="D65" s="35" t="n"/>
      <c r="E65" s="36" t="n"/>
      <c r="F65" s="35" t="n"/>
      <c r="G65" s="35" t="n"/>
      <c r="I65" s="31">
        <f>IF(TRIM($A65&amp;"")="","",IF(ISNUMBER(--SUBSTITUTE(SUBSTITUTE(TRIM($A65&amp;""),"-","")," ","")),SUBSTITUTE(SUBSTITUTE(TRIM($A65&amp;""),"-","")," ",""),"N:"&amp;TRIM($A65&amp;"")))</f>
        <v/>
      </c>
      <c r="J65" s="31">
        <f>IF(LEN(SUBSTITUTE(SUBSTITUTE(SUBSTITUTE(SUBSTITUTE(SUBSTITUTE(SUBSTITUTE(SUBSTITUTE(SUBSTITUTE(SUBSTITUTE($C65&amp;""," ",""),"　",""),"(주)",""),"（주）",""),"㈜",""),"주식회사",""),"(유)",""),"（유）",""),"유한회사",""))&lt;2,"",SUBSTITUTE(SUBSTITUTE(SUBSTITUTE(SUBSTITUTE(SUBSTITUTE(SUBSTITUTE(SUBSTITUTE(SUBSTITUTE(SUBSTITUTE($C65&amp;""," ",""),"　",""),"(주)",""),"（주）",""),"㈜",""),"주식회사",""),"(유)",""),"（유）",""),"유한회사",""))</f>
        <v/>
      </c>
      <c r="K65" s="31">
        <f>IF(LEN(SUBSTITUTE(SUBSTITUTE(SUBSTITUTE(SUBSTITUTE(SUBSTITUTE(SUBSTITUTE(SUBSTITUTE(SUBSTITUTE(SUBSTITUTE($D65&amp;""," ",""),"　",""),"(주)",""),"（주）",""),"㈜",""),"주식회사",""),"(유)",""),"（유）",""),"유한회사",""))&lt;2,"",SUBSTITUTE(SUBSTITUTE(SUBSTITUTE(SUBSTITUTE(SUBSTITUTE(SUBSTITUTE(SUBSTITUTE(SUBSTITUTE(SUBSTITUTE($D65&amp;""," ",""),"　",""),"(주)",""),"（주）",""),"㈜",""),"주식회사",""),"(유)",""),"（유）",""),"유한회사",""))</f>
        <v/>
      </c>
    </row>
    <row r="66">
      <c r="A66" s="35" t="n"/>
      <c r="B66" s="35" t="n"/>
      <c r="C66" s="35" t="n"/>
      <c r="D66" s="35" t="n"/>
      <c r="E66" s="36" t="n"/>
      <c r="F66" s="35" t="n"/>
      <c r="G66" s="35" t="n"/>
      <c r="I66" s="31">
        <f>IF(TRIM($A66&amp;"")="","",IF(ISNUMBER(--SUBSTITUTE(SUBSTITUTE(TRIM($A66&amp;""),"-","")," ","")),SUBSTITUTE(SUBSTITUTE(TRIM($A66&amp;""),"-","")," ",""),"N:"&amp;TRIM($A66&amp;"")))</f>
        <v/>
      </c>
      <c r="J66" s="31">
        <f>IF(LEN(SUBSTITUTE(SUBSTITUTE(SUBSTITUTE(SUBSTITUTE(SUBSTITUTE(SUBSTITUTE(SUBSTITUTE(SUBSTITUTE(SUBSTITUTE($C66&amp;""," ",""),"　",""),"(주)",""),"（주）",""),"㈜",""),"주식회사",""),"(유)",""),"（유）",""),"유한회사",""))&lt;2,"",SUBSTITUTE(SUBSTITUTE(SUBSTITUTE(SUBSTITUTE(SUBSTITUTE(SUBSTITUTE(SUBSTITUTE(SUBSTITUTE(SUBSTITUTE($C66&amp;""," ",""),"　",""),"(주)",""),"（주）",""),"㈜",""),"주식회사",""),"(유)",""),"（유）",""),"유한회사",""))</f>
        <v/>
      </c>
      <c r="K66" s="31">
        <f>IF(LEN(SUBSTITUTE(SUBSTITUTE(SUBSTITUTE(SUBSTITUTE(SUBSTITUTE(SUBSTITUTE(SUBSTITUTE(SUBSTITUTE(SUBSTITUTE($D66&amp;""," ",""),"　",""),"(주)",""),"（주）",""),"㈜",""),"주식회사",""),"(유)",""),"（유）",""),"유한회사",""))&lt;2,"",SUBSTITUTE(SUBSTITUTE(SUBSTITUTE(SUBSTITUTE(SUBSTITUTE(SUBSTITUTE(SUBSTITUTE(SUBSTITUTE(SUBSTITUTE($D66&amp;""," ",""),"　",""),"(주)",""),"（주）",""),"㈜",""),"주식회사",""),"(유)",""),"（유）",""),"유한회사",""))</f>
        <v/>
      </c>
    </row>
    <row r="67">
      <c r="A67" s="35" t="n"/>
      <c r="B67" s="35" t="n"/>
      <c r="C67" s="35" t="n"/>
      <c r="D67" s="35" t="n"/>
      <c r="E67" s="36" t="n"/>
      <c r="F67" s="35" t="n"/>
      <c r="G67" s="35" t="n"/>
      <c r="I67" s="31">
        <f>IF(TRIM($A67&amp;"")="","",IF(ISNUMBER(--SUBSTITUTE(SUBSTITUTE(TRIM($A67&amp;""),"-","")," ","")),SUBSTITUTE(SUBSTITUTE(TRIM($A67&amp;""),"-","")," ",""),"N:"&amp;TRIM($A67&amp;"")))</f>
        <v/>
      </c>
      <c r="J67" s="31">
        <f>IF(LEN(SUBSTITUTE(SUBSTITUTE(SUBSTITUTE(SUBSTITUTE(SUBSTITUTE(SUBSTITUTE(SUBSTITUTE(SUBSTITUTE(SUBSTITUTE($C67&amp;""," ",""),"　",""),"(주)",""),"（주）",""),"㈜",""),"주식회사",""),"(유)",""),"（유）",""),"유한회사",""))&lt;2,"",SUBSTITUTE(SUBSTITUTE(SUBSTITUTE(SUBSTITUTE(SUBSTITUTE(SUBSTITUTE(SUBSTITUTE(SUBSTITUTE(SUBSTITUTE($C67&amp;""," ",""),"　",""),"(주)",""),"（주）",""),"㈜",""),"주식회사",""),"(유)",""),"（유）",""),"유한회사",""))</f>
        <v/>
      </c>
      <c r="K67" s="31">
        <f>IF(LEN(SUBSTITUTE(SUBSTITUTE(SUBSTITUTE(SUBSTITUTE(SUBSTITUTE(SUBSTITUTE(SUBSTITUTE(SUBSTITUTE(SUBSTITUTE($D67&amp;""," ",""),"　",""),"(주)",""),"（주）",""),"㈜",""),"주식회사",""),"(유)",""),"（유）",""),"유한회사",""))&lt;2,"",SUBSTITUTE(SUBSTITUTE(SUBSTITUTE(SUBSTITUTE(SUBSTITUTE(SUBSTITUTE(SUBSTITUTE(SUBSTITUTE(SUBSTITUTE($D67&amp;""," ",""),"　",""),"(주)",""),"（주）",""),"㈜",""),"주식회사",""),"(유)",""),"（유）",""),"유한회사",""))</f>
        <v/>
      </c>
    </row>
    <row r="68">
      <c r="A68" s="35" t="n"/>
      <c r="B68" s="35" t="n"/>
      <c r="C68" s="35" t="n"/>
      <c r="D68" s="35" t="n"/>
      <c r="E68" s="36" t="n"/>
      <c r="F68" s="35" t="n"/>
      <c r="G68" s="35" t="n"/>
      <c r="I68" s="31">
        <f>IF(TRIM($A68&amp;"")="","",IF(ISNUMBER(--SUBSTITUTE(SUBSTITUTE(TRIM($A68&amp;""),"-","")," ","")),SUBSTITUTE(SUBSTITUTE(TRIM($A68&amp;""),"-","")," ",""),"N:"&amp;TRIM($A68&amp;"")))</f>
        <v/>
      </c>
      <c r="J68" s="31">
        <f>IF(LEN(SUBSTITUTE(SUBSTITUTE(SUBSTITUTE(SUBSTITUTE(SUBSTITUTE(SUBSTITUTE(SUBSTITUTE(SUBSTITUTE(SUBSTITUTE($C68&amp;""," ",""),"　",""),"(주)",""),"（주）",""),"㈜",""),"주식회사",""),"(유)",""),"（유）",""),"유한회사",""))&lt;2,"",SUBSTITUTE(SUBSTITUTE(SUBSTITUTE(SUBSTITUTE(SUBSTITUTE(SUBSTITUTE(SUBSTITUTE(SUBSTITUTE(SUBSTITUTE($C68&amp;""," ",""),"　",""),"(주)",""),"（주）",""),"㈜",""),"주식회사",""),"(유)",""),"（유）",""),"유한회사",""))</f>
        <v/>
      </c>
      <c r="K68" s="31">
        <f>IF(LEN(SUBSTITUTE(SUBSTITUTE(SUBSTITUTE(SUBSTITUTE(SUBSTITUTE(SUBSTITUTE(SUBSTITUTE(SUBSTITUTE(SUBSTITUTE($D68&amp;""," ",""),"　",""),"(주)",""),"（주）",""),"㈜",""),"주식회사",""),"(유)",""),"（유）",""),"유한회사",""))&lt;2,"",SUBSTITUTE(SUBSTITUTE(SUBSTITUTE(SUBSTITUTE(SUBSTITUTE(SUBSTITUTE(SUBSTITUTE(SUBSTITUTE(SUBSTITUTE($D68&amp;""," ",""),"　",""),"(주)",""),"（주）",""),"㈜",""),"주식회사",""),"(유)",""),"（유）",""),"유한회사",""))</f>
        <v/>
      </c>
    </row>
    <row r="69">
      <c r="A69" s="35" t="n"/>
      <c r="B69" s="35" t="n"/>
      <c r="C69" s="35" t="n"/>
      <c r="D69" s="35" t="n"/>
      <c r="E69" s="36" t="n"/>
      <c r="F69" s="35" t="n"/>
      <c r="G69" s="35" t="n"/>
      <c r="I69" s="31">
        <f>IF(TRIM($A69&amp;"")="","",IF(ISNUMBER(--SUBSTITUTE(SUBSTITUTE(TRIM($A69&amp;""),"-","")," ","")),SUBSTITUTE(SUBSTITUTE(TRIM($A69&amp;""),"-","")," ",""),"N:"&amp;TRIM($A69&amp;"")))</f>
        <v/>
      </c>
      <c r="J69" s="31">
        <f>IF(LEN(SUBSTITUTE(SUBSTITUTE(SUBSTITUTE(SUBSTITUTE(SUBSTITUTE(SUBSTITUTE(SUBSTITUTE(SUBSTITUTE(SUBSTITUTE($C69&amp;""," ",""),"　",""),"(주)",""),"（주）",""),"㈜",""),"주식회사",""),"(유)",""),"（유）",""),"유한회사",""))&lt;2,"",SUBSTITUTE(SUBSTITUTE(SUBSTITUTE(SUBSTITUTE(SUBSTITUTE(SUBSTITUTE(SUBSTITUTE(SUBSTITUTE(SUBSTITUTE($C69&amp;""," ",""),"　",""),"(주)",""),"（주）",""),"㈜",""),"주식회사",""),"(유)",""),"（유）",""),"유한회사",""))</f>
        <v/>
      </c>
      <c r="K69" s="31">
        <f>IF(LEN(SUBSTITUTE(SUBSTITUTE(SUBSTITUTE(SUBSTITUTE(SUBSTITUTE(SUBSTITUTE(SUBSTITUTE(SUBSTITUTE(SUBSTITUTE($D69&amp;""," ",""),"　",""),"(주)",""),"（주）",""),"㈜",""),"주식회사",""),"(유)",""),"（유）",""),"유한회사",""))&lt;2,"",SUBSTITUTE(SUBSTITUTE(SUBSTITUTE(SUBSTITUTE(SUBSTITUTE(SUBSTITUTE(SUBSTITUTE(SUBSTITUTE(SUBSTITUTE($D69&amp;""," ",""),"　",""),"(주)",""),"（주）",""),"㈜",""),"주식회사",""),"(유)",""),"（유）",""),"유한회사",""))</f>
        <v/>
      </c>
    </row>
    <row r="70">
      <c r="A70" s="35" t="n"/>
      <c r="B70" s="35" t="n"/>
      <c r="C70" s="35" t="n"/>
      <c r="D70" s="35" t="n"/>
      <c r="E70" s="36" t="n"/>
      <c r="F70" s="35" t="n"/>
      <c r="G70" s="35" t="n"/>
      <c r="I70" s="31">
        <f>IF(TRIM($A70&amp;"")="","",IF(ISNUMBER(--SUBSTITUTE(SUBSTITUTE(TRIM($A70&amp;""),"-","")," ","")),SUBSTITUTE(SUBSTITUTE(TRIM($A70&amp;""),"-","")," ",""),"N:"&amp;TRIM($A70&amp;"")))</f>
        <v/>
      </c>
      <c r="J70" s="31">
        <f>IF(LEN(SUBSTITUTE(SUBSTITUTE(SUBSTITUTE(SUBSTITUTE(SUBSTITUTE(SUBSTITUTE(SUBSTITUTE(SUBSTITUTE(SUBSTITUTE($C70&amp;""," ",""),"　",""),"(주)",""),"（주）",""),"㈜",""),"주식회사",""),"(유)",""),"（유）",""),"유한회사",""))&lt;2,"",SUBSTITUTE(SUBSTITUTE(SUBSTITUTE(SUBSTITUTE(SUBSTITUTE(SUBSTITUTE(SUBSTITUTE(SUBSTITUTE(SUBSTITUTE($C70&amp;""," ",""),"　",""),"(주)",""),"（주）",""),"㈜",""),"주식회사",""),"(유)",""),"（유）",""),"유한회사",""))</f>
        <v/>
      </c>
      <c r="K70" s="31">
        <f>IF(LEN(SUBSTITUTE(SUBSTITUTE(SUBSTITUTE(SUBSTITUTE(SUBSTITUTE(SUBSTITUTE(SUBSTITUTE(SUBSTITUTE(SUBSTITUTE($D70&amp;""," ",""),"　",""),"(주)",""),"（주）",""),"㈜",""),"주식회사",""),"(유)",""),"（유）",""),"유한회사",""))&lt;2,"",SUBSTITUTE(SUBSTITUTE(SUBSTITUTE(SUBSTITUTE(SUBSTITUTE(SUBSTITUTE(SUBSTITUTE(SUBSTITUTE(SUBSTITUTE($D70&amp;""," ",""),"　",""),"(주)",""),"（주）",""),"㈜",""),"주식회사",""),"(유)",""),"（유）",""),"유한회사",""))</f>
        <v/>
      </c>
    </row>
    <row r="71">
      <c r="A71" s="35" t="n"/>
      <c r="B71" s="35" t="n"/>
      <c r="C71" s="35" t="n"/>
      <c r="D71" s="35" t="n"/>
      <c r="E71" s="36" t="n"/>
      <c r="F71" s="35" t="n"/>
      <c r="G71" s="35" t="n"/>
      <c r="I71" s="31">
        <f>IF(TRIM($A71&amp;"")="","",IF(ISNUMBER(--SUBSTITUTE(SUBSTITUTE(TRIM($A71&amp;""),"-","")," ","")),SUBSTITUTE(SUBSTITUTE(TRIM($A71&amp;""),"-","")," ",""),"N:"&amp;TRIM($A71&amp;"")))</f>
        <v/>
      </c>
      <c r="J71" s="31">
        <f>IF(LEN(SUBSTITUTE(SUBSTITUTE(SUBSTITUTE(SUBSTITUTE(SUBSTITUTE(SUBSTITUTE(SUBSTITUTE(SUBSTITUTE(SUBSTITUTE($C71&amp;""," ",""),"　",""),"(주)",""),"（주）",""),"㈜",""),"주식회사",""),"(유)",""),"（유）",""),"유한회사",""))&lt;2,"",SUBSTITUTE(SUBSTITUTE(SUBSTITUTE(SUBSTITUTE(SUBSTITUTE(SUBSTITUTE(SUBSTITUTE(SUBSTITUTE(SUBSTITUTE($C71&amp;""," ",""),"　",""),"(주)",""),"（주）",""),"㈜",""),"주식회사",""),"(유)",""),"（유）",""),"유한회사",""))</f>
        <v/>
      </c>
      <c r="K71" s="31">
        <f>IF(LEN(SUBSTITUTE(SUBSTITUTE(SUBSTITUTE(SUBSTITUTE(SUBSTITUTE(SUBSTITUTE(SUBSTITUTE(SUBSTITUTE(SUBSTITUTE($D71&amp;""," ",""),"　",""),"(주)",""),"（주）",""),"㈜",""),"주식회사",""),"(유)",""),"（유）",""),"유한회사",""))&lt;2,"",SUBSTITUTE(SUBSTITUTE(SUBSTITUTE(SUBSTITUTE(SUBSTITUTE(SUBSTITUTE(SUBSTITUTE(SUBSTITUTE(SUBSTITUTE($D71&amp;""," ",""),"　",""),"(주)",""),"（주）",""),"㈜",""),"주식회사",""),"(유)",""),"（유）",""),"유한회사",""))</f>
        <v/>
      </c>
    </row>
    <row r="72">
      <c r="A72" s="35" t="n"/>
      <c r="B72" s="35" t="n"/>
      <c r="C72" s="35" t="n"/>
      <c r="D72" s="35" t="n"/>
      <c r="E72" s="36" t="n"/>
      <c r="F72" s="35" t="n"/>
      <c r="G72" s="35" t="n"/>
      <c r="I72" s="31">
        <f>IF(TRIM($A72&amp;"")="","",IF(ISNUMBER(--SUBSTITUTE(SUBSTITUTE(TRIM($A72&amp;""),"-","")," ","")),SUBSTITUTE(SUBSTITUTE(TRIM($A72&amp;""),"-","")," ",""),"N:"&amp;TRIM($A72&amp;"")))</f>
        <v/>
      </c>
      <c r="J72" s="31">
        <f>IF(LEN(SUBSTITUTE(SUBSTITUTE(SUBSTITUTE(SUBSTITUTE(SUBSTITUTE(SUBSTITUTE(SUBSTITUTE(SUBSTITUTE(SUBSTITUTE($C72&amp;""," ",""),"　",""),"(주)",""),"（주）",""),"㈜",""),"주식회사",""),"(유)",""),"（유）",""),"유한회사",""))&lt;2,"",SUBSTITUTE(SUBSTITUTE(SUBSTITUTE(SUBSTITUTE(SUBSTITUTE(SUBSTITUTE(SUBSTITUTE(SUBSTITUTE(SUBSTITUTE($C72&amp;""," ",""),"　",""),"(주)",""),"（주）",""),"㈜",""),"주식회사",""),"(유)",""),"（유）",""),"유한회사",""))</f>
        <v/>
      </c>
      <c r="K72" s="31">
        <f>IF(LEN(SUBSTITUTE(SUBSTITUTE(SUBSTITUTE(SUBSTITUTE(SUBSTITUTE(SUBSTITUTE(SUBSTITUTE(SUBSTITUTE(SUBSTITUTE($D72&amp;""," ",""),"　",""),"(주)",""),"（주）",""),"㈜",""),"주식회사",""),"(유)",""),"（유）",""),"유한회사",""))&lt;2,"",SUBSTITUTE(SUBSTITUTE(SUBSTITUTE(SUBSTITUTE(SUBSTITUTE(SUBSTITUTE(SUBSTITUTE(SUBSTITUTE(SUBSTITUTE($D72&amp;""," ",""),"　",""),"(주)",""),"（주）",""),"㈜",""),"주식회사",""),"(유)",""),"（유）",""),"유한회사",""))</f>
        <v/>
      </c>
    </row>
    <row r="73">
      <c r="A73" s="35" t="n"/>
      <c r="B73" s="35" t="n"/>
      <c r="C73" s="35" t="n"/>
      <c r="D73" s="35" t="n"/>
      <c r="E73" s="36" t="n"/>
      <c r="F73" s="35" t="n"/>
      <c r="G73" s="35" t="n"/>
      <c r="I73" s="31">
        <f>IF(TRIM($A73&amp;"")="","",IF(ISNUMBER(--SUBSTITUTE(SUBSTITUTE(TRIM($A73&amp;""),"-","")," ","")),SUBSTITUTE(SUBSTITUTE(TRIM($A73&amp;""),"-","")," ",""),"N:"&amp;TRIM($A73&amp;"")))</f>
        <v/>
      </c>
      <c r="J73" s="31">
        <f>IF(LEN(SUBSTITUTE(SUBSTITUTE(SUBSTITUTE(SUBSTITUTE(SUBSTITUTE(SUBSTITUTE(SUBSTITUTE(SUBSTITUTE(SUBSTITUTE($C73&amp;""," ",""),"　",""),"(주)",""),"（주）",""),"㈜",""),"주식회사",""),"(유)",""),"（유）",""),"유한회사",""))&lt;2,"",SUBSTITUTE(SUBSTITUTE(SUBSTITUTE(SUBSTITUTE(SUBSTITUTE(SUBSTITUTE(SUBSTITUTE(SUBSTITUTE(SUBSTITUTE($C73&amp;""," ",""),"　",""),"(주)",""),"（주）",""),"㈜",""),"주식회사",""),"(유)",""),"（유）",""),"유한회사",""))</f>
        <v/>
      </c>
      <c r="K73" s="31">
        <f>IF(LEN(SUBSTITUTE(SUBSTITUTE(SUBSTITUTE(SUBSTITUTE(SUBSTITUTE(SUBSTITUTE(SUBSTITUTE(SUBSTITUTE(SUBSTITUTE($D73&amp;""," ",""),"　",""),"(주)",""),"（주）",""),"㈜",""),"주식회사",""),"(유)",""),"（유）",""),"유한회사",""))&lt;2,"",SUBSTITUTE(SUBSTITUTE(SUBSTITUTE(SUBSTITUTE(SUBSTITUTE(SUBSTITUTE(SUBSTITUTE(SUBSTITUTE(SUBSTITUTE($D73&amp;""," ",""),"　",""),"(주)",""),"（주）",""),"㈜",""),"주식회사",""),"(유)",""),"（유）",""),"유한회사",""))</f>
        <v/>
      </c>
    </row>
    <row r="74">
      <c r="A74" s="35" t="n"/>
      <c r="B74" s="35" t="n"/>
      <c r="C74" s="35" t="n"/>
      <c r="D74" s="35" t="n"/>
      <c r="E74" s="36" t="n"/>
      <c r="F74" s="35" t="n"/>
      <c r="G74" s="35" t="n"/>
      <c r="I74" s="31">
        <f>IF(TRIM($A74&amp;"")="","",IF(ISNUMBER(--SUBSTITUTE(SUBSTITUTE(TRIM($A74&amp;""),"-","")," ","")),SUBSTITUTE(SUBSTITUTE(TRIM($A74&amp;""),"-","")," ",""),"N:"&amp;TRIM($A74&amp;"")))</f>
        <v/>
      </c>
      <c r="J74" s="31">
        <f>IF(LEN(SUBSTITUTE(SUBSTITUTE(SUBSTITUTE(SUBSTITUTE(SUBSTITUTE(SUBSTITUTE(SUBSTITUTE(SUBSTITUTE(SUBSTITUTE($C74&amp;""," ",""),"　",""),"(주)",""),"（주）",""),"㈜",""),"주식회사",""),"(유)",""),"（유）",""),"유한회사",""))&lt;2,"",SUBSTITUTE(SUBSTITUTE(SUBSTITUTE(SUBSTITUTE(SUBSTITUTE(SUBSTITUTE(SUBSTITUTE(SUBSTITUTE(SUBSTITUTE($C74&amp;""," ",""),"　",""),"(주)",""),"（주）",""),"㈜",""),"주식회사",""),"(유)",""),"（유）",""),"유한회사",""))</f>
        <v/>
      </c>
      <c r="K74" s="31">
        <f>IF(LEN(SUBSTITUTE(SUBSTITUTE(SUBSTITUTE(SUBSTITUTE(SUBSTITUTE(SUBSTITUTE(SUBSTITUTE(SUBSTITUTE(SUBSTITUTE($D74&amp;""," ",""),"　",""),"(주)",""),"（주）",""),"㈜",""),"주식회사",""),"(유)",""),"（유）",""),"유한회사",""))&lt;2,"",SUBSTITUTE(SUBSTITUTE(SUBSTITUTE(SUBSTITUTE(SUBSTITUTE(SUBSTITUTE(SUBSTITUTE(SUBSTITUTE(SUBSTITUTE($D74&amp;""," ",""),"　",""),"(주)",""),"（주）",""),"㈜",""),"주식회사",""),"(유)",""),"（유）",""),"유한회사",""))</f>
        <v/>
      </c>
    </row>
    <row r="75">
      <c r="A75" s="35" t="n"/>
      <c r="B75" s="35" t="n"/>
      <c r="C75" s="35" t="n"/>
      <c r="D75" s="35" t="n"/>
      <c r="E75" s="36" t="n"/>
      <c r="F75" s="35" t="n"/>
      <c r="G75" s="35" t="n"/>
      <c r="I75" s="31">
        <f>IF(TRIM($A75&amp;"")="","",IF(ISNUMBER(--SUBSTITUTE(SUBSTITUTE(TRIM($A75&amp;""),"-","")," ","")),SUBSTITUTE(SUBSTITUTE(TRIM($A75&amp;""),"-","")," ",""),"N:"&amp;TRIM($A75&amp;"")))</f>
        <v/>
      </c>
      <c r="J75" s="31">
        <f>IF(LEN(SUBSTITUTE(SUBSTITUTE(SUBSTITUTE(SUBSTITUTE(SUBSTITUTE(SUBSTITUTE(SUBSTITUTE(SUBSTITUTE(SUBSTITUTE($C75&amp;""," ",""),"　",""),"(주)",""),"（주）",""),"㈜",""),"주식회사",""),"(유)",""),"（유）",""),"유한회사",""))&lt;2,"",SUBSTITUTE(SUBSTITUTE(SUBSTITUTE(SUBSTITUTE(SUBSTITUTE(SUBSTITUTE(SUBSTITUTE(SUBSTITUTE(SUBSTITUTE($C75&amp;""," ",""),"　",""),"(주)",""),"（주）",""),"㈜",""),"주식회사",""),"(유)",""),"（유）",""),"유한회사",""))</f>
        <v/>
      </c>
      <c r="K75" s="31">
        <f>IF(LEN(SUBSTITUTE(SUBSTITUTE(SUBSTITUTE(SUBSTITUTE(SUBSTITUTE(SUBSTITUTE(SUBSTITUTE(SUBSTITUTE(SUBSTITUTE($D75&amp;""," ",""),"　",""),"(주)",""),"（주）",""),"㈜",""),"주식회사",""),"(유)",""),"（유）",""),"유한회사",""))&lt;2,"",SUBSTITUTE(SUBSTITUTE(SUBSTITUTE(SUBSTITUTE(SUBSTITUTE(SUBSTITUTE(SUBSTITUTE(SUBSTITUTE(SUBSTITUTE($D75&amp;""," ",""),"　",""),"(주)",""),"（주）",""),"㈜",""),"주식회사",""),"(유)",""),"（유）",""),"유한회사",""))</f>
        <v/>
      </c>
    </row>
    <row r="76">
      <c r="A76" s="35" t="n"/>
      <c r="B76" s="35" t="n"/>
      <c r="C76" s="35" t="n"/>
      <c r="D76" s="35" t="n"/>
      <c r="E76" s="36" t="n"/>
      <c r="F76" s="35" t="n"/>
      <c r="G76" s="35" t="n"/>
      <c r="I76" s="31">
        <f>IF(TRIM($A76&amp;"")="","",IF(ISNUMBER(--SUBSTITUTE(SUBSTITUTE(TRIM($A76&amp;""),"-","")," ","")),SUBSTITUTE(SUBSTITUTE(TRIM($A76&amp;""),"-","")," ",""),"N:"&amp;TRIM($A76&amp;"")))</f>
        <v/>
      </c>
      <c r="J76" s="31">
        <f>IF(LEN(SUBSTITUTE(SUBSTITUTE(SUBSTITUTE(SUBSTITUTE(SUBSTITUTE(SUBSTITUTE(SUBSTITUTE(SUBSTITUTE(SUBSTITUTE($C76&amp;""," ",""),"　",""),"(주)",""),"（주）",""),"㈜",""),"주식회사",""),"(유)",""),"（유）",""),"유한회사",""))&lt;2,"",SUBSTITUTE(SUBSTITUTE(SUBSTITUTE(SUBSTITUTE(SUBSTITUTE(SUBSTITUTE(SUBSTITUTE(SUBSTITUTE(SUBSTITUTE($C76&amp;""," ",""),"　",""),"(주)",""),"（주）",""),"㈜",""),"주식회사",""),"(유)",""),"（유）",""),"유한회사",""))</f>
        <v/>
      </c>
      <c r="K76" s="31">
        <f>IF(LEN(SUBSTITUTE(SUBSTITUTE(SUBSTITUTE(SUBSTITUTE(SUBSTITUTE(SUBSTITUTE(SUBSTITUTE(SUBSTITUTE(SUBSTITUTE($D76&amp;""," ",""),"　",""),"(주)",""),"（주）",""),"㈜",""),"주식회사",""),"(유)",""),"（유）",""),"유한회사",""))&lt;2,"",SUBSTITUTE(SUBSTITUTE(SUBSTITUTE(SUBSTITUTE(SUBSTITUTE(SUBSTITUTE(SUBSTITUTE(SUBSTITUTE(SUBSTITUTE($D76&amp;""," ",""),"　",""),"(주)",""),"（주）",""),"㈜",""),"주식회사",""),"(유)",""),"（유）",""),"유한회사",""))</f>
        <v/>
      </c>
    </row>
    <row r="77">
      <c r="A77" s="35" t="n"/>
      <c r="B77" s="35" t="n"/>
      <c r="C77" s="35" t="n"/>
      <c r="D77" s="35" t="n"/>
      <c r="E77" s="36" t="n"/>
      <c r="F77" s="35" t="n"/>
      <c r="G77" s="35" t="n"/>
      <c r="I77" s="31">
        <f>IF(TRIM($A77&amp;"")="","",IF(ISNUMBER(--SUBSTITUTE(SUBSTITUTE(TRIM($A77&amp;""),"-","")," ","")),SUBSTITUTE(SUBSTITUTE(TRIM($A77&amp;""),"-","")," ",""),"N:"&amp;TRIM($A77&amp;"")))</f>
        <v/>
      </c>
      <c r="J77" s="31">
        <f>IF(LEN(SUBSTITUTE(SUBSTITUTE(SUBSTITUTE(SUBSTITUTE(SUBSTITUTE(SUBSTITUTE(SUBSTITUTE(SUBSTITUTE(SUBSTITUTE($C77&amp;""," ",""),"　",""),"(주)",""),"（주）",""),"㈜",""),"주식회사",""),"(유)",""),"（유）",""),"유한회사",""))&lt;2,"",SUBSTITUTE(SUBSTITUTE(SUBSTITUTE(SUBSTITUTE(SUBSTITUTE(SUBSTITUTE(SUBSTITUTE(SUBSTITUTE(SUBSTITUTE($C77&amp;""," ",""),"　",""),"(주)",""),"（주）",""),"㈜",""),"주식회사",""),"(유)",""),"（유）",""),"유한회사",""))</f>
        <v/>
      </c>
      <c r="K77" s="31">
        <f>IF(LEN(SUBSTITUTE(SUBSTITUTE(SUBSTITUTE(SUBSTITUTE(SUBSTITUTE(SUBSTITUTE(SUBSTITUTE(SUBSTITUTE(SUBSTITUTE($D77&amp;""," ",""),"　",""),"(주)",""),"（주）",""),"㈜",""),"주식회사",""),"(유)",""),"（유）",""),"유한회사",""))&lt;2,"",SUBSTITUTE(SUBSTITUTE(SUBSTITUTE(SUBSTITUTE(SUBSTITUTE(SUBSTITUTE(SUBSTITUTE(SUBSTITUTE(SUBSTITUTE($D77&amp;""," ",""),"　",""),"(주)",""),"（주）",""),"㈜",""),"주식회사",""),"(유)",""),"（유）",""),"유한회사",""))</f>
        <v/>
      </c>
    </row>
    <row r="78">
      <c r="A78" s="35" t="n"/>
      <c r="B78" s="35" t="n"/>
      <c r="C78" s="35" t="n"/>
      <c r="D78" s="35" t="n"/>
      <c r="E78" s="36" t="n"/>
      <c r="F78" s="35" t="n"/>
      <c r="G78" s="35" t="n"/>
      <c r="I78" s="31">
        <f>IF(TRIM($A78&amp;"")="","",IF(ISNUMBER(--SUBSTITUTE(SUBSTITUTE(TRIM($A78&amp;""),"-","")," ","")),SUBSTITUTE(SUBSTITUTE(TRIM($A78&amp;""),"-","")," ",""),"N:"&amp;TRIM($A78&amp;"")))</f>
        <v/>
      </c>
      <c r="J78" s="31">
        <f>IF(LEN(SUBSTITUTE(SUBSTITUTE(SUBSTITUTE(SUBSTITUTE(SUBSTITUTE(SUBSTITUTE(SUBSTITUTE(SUBSTITUTE(SUBSTITUTE($C78&amp;""," ",""),"　",""),"(주)",""),"（주）",""),"㈜",""),"주식회사",""),"(유)",""),"（유）",""),"유한회사",""))&lt;2,"",SUBSTITUTE(SUBSTITUTE(SUBSTITUTE(SUBSTITUTE(SUBSTITUTE(SUBSTITUTE(SUBSTITUTE(SUBSTITUTE(SUBSTITUTE($C78&amp;""," ",""),"　",""),"(주)",""),"（주）",""),"㈜",""),"주식회사",""),"(유)",""),"（유）",""),"유한회사",""))</f>
        <v/>
      </c>
      <c r="K78" s="31">
        <f>IF(LEN(SUBSTITUTE(SUBSTITUTE(SUBSTITUTE(SUBSTITUTE(SUBSTITUTE(SUBSTITUTE(SUBSTITUTE(SUBSTITUTE(SUBSTITUTE($D78&amp;""," ",""),"　",""),"(주)",""),"（주）",""),"㈜",""),"주식회사",""),"(유)",""),"（유）",""),"유한회사",""))&lt;2,"",SUBSTITUTE(SUBSTITUTE(SUBSTITUTE(SUBSTITUTE(SUBSTITUTE(SUBSTITUTE(SUBSTITUTE(SUBSTITUTE(SUBSTITUTE($D78&amp;""," ",""),"　",""),"(주)",""),"（주）",""),"㈜",""),"주식회사",""),"(유)",""),"（유）",""),"유한회사",""))</f>
        <v/>
      </c>
    </row>
    <row r="79">
      <c r="A79" s="35" t="n"/>
      <c r="B79" s="35" t="n"/>
      <c r="C79" s="35" t="n"/>
      <c r="D79" s="35" t="n"/>
      <c r="E79" s="36" t="n"/>
      <c r="F79" s="35" t="n"/>
      <c r="G79" s="35" t="n"/>
      <c r="I79" s="31">
        <f>IF(TRIM($A79&amp;"")="","",IF(ISNUMBER(--SUBSTITUTE(SUBSTITUTE(TRIM($A79&amp;""),"-","")," ","")),SUBSTITUTE(SUBSTITUTE(TRIM($A79&amp;""),"-","")," ",""),"N:"&amp;TRIM($A79&amp;"")))</f>
        <v/>
      </c>
      <c r="J79" s="31">
        <f>IF(LEN(SUBSTITUTE(SUBSTITUTE(SUBSTITUTE(SUBSTITUTE(SUBSTITUTE(SUBSTITUTE(SUBSTITUTE(SUBSTITUTE(SUBSTITUTE($C79&amp;""," ",""),"　",""),"(주)",""),"（주）",""),"㈜",""),"주식회사",""),"(유)",""),"（유）",""),"유한회사",""))&lt;2,"",SUBSTITUTE(SUBSTITUTE(SUBSTITUTE(SUBSTITUTE(SUBSTITUTE(SUBSTITUTE(SUBSTITUTE(SUBSTITUTE(SUBSTITUTE($C79&amp;""," ",""),"　",""),"(주)",""),"（주）",""),"㈜",""),"주식회사",""),"(유)",""),"（유）",""),"유한회사",""))</f>
        <v/>
      </c>
      <c r="K79" s="31">
        <f>IF(LEN(SUBSTITUTE(SUBSTITUTE(SUBSTITUTE(SUBSTITUTE(SUBSTITUTE(SUBSTITUTE(SUBSTITUTE(SUBSTITUTE(SUBSTITUTE($D79&amp;""," ",""),"　",""),"(주)",""),"（주）",""),"㈜",""),"주식회사",""),"(유)",""),"（유）",""),"유한회사",""))&lt;2,"",SUBSTITUTE(SUBSTITUTE(SUBSTITUTE(SUBSTITUTE(SUBSTITUTE(SUBSTITUTE(SUBSTITUTE(SUBSTITUTE(SUBSTITUTE($D79&amp;""," ",""),"　",""),"(주)",""),"（주）",""),"㈜",""),"주식회사",""),"(유)",""),"（유）",""),"유한회사",""))</f>
        <v/>
      </c>
    </row>
    <row r="80">
      <c r="A80" s="35" t="n"/>
      <c r="B80" s="35" t="n"/>
      <c r="C80" s="35" t="n"/>
      <c r="D80" s="35" t="n"/>
      <c r="E80" s="36" t="n"/>
      <c r="F80" s="35" t="n"/>
      <c r="G80" s="35" t="n"/>
      <c r="I80" s="31">
        <f>IF(TRIM($A80&amp;"")="","",IF(ISNUMBER(--SUBSTITUTE(SUBSTITUTE(TRIM($A80&amp;""),"-","")," ","")),SUBSTITUTE(SUBSTITUTE(TRIM($A80&amp;""),"-","")," ",""),"N:"&amp;TRIM($A80&amp;"")))</f>
        <v/>
      </c>
      <c r="J80" s="31">
        <f>IF(LEN(SUBSTITUTE(SUBSTITUTE(SUBSTITUTE(SUBSTITUTE(SUBSTITUTE(SUBSTITUTE(SUBSTITUTE(SUBSTITUTE(SUBSTITUTE($C80&amp;""," ",""),"　",""),"(주)",""),"（주）",""),"㈜",""),"주식회사",""),"(유)",""),"（유）",""),"유한회사",""))&lt;2,"",SUBSTITUTE(SUBSTITUTE(SUBSTITUTE(SUBSTITUTE(SUBSTITUTE(SUBSTITUTE(SUBSTITUTE(SUBSTITUTE(SUBSTITUTE($C80&amp;""," ",""),"　",""),"(주)",""),"（주）",""),"㈜",""),"주식회사",""),"(유)",""),"（유）",""),"유한회사",""))</f>
        <v/>
      </c>
      <c r="K80" s="31">
        <f>IF(LEN(SUBSTITUTE(SUBSTITUTE(SUBSTITUTE(SUBSTITUTE(SUBSTITUTE(SUBSTITUTE(SUBSTITUTE(SUBSTITUTE(SUBSTITUTE($D80&amp;""," ",""),"　",""),"(주)",""),"（주）",""),"㈜",""),"주식회사",""),"(유)",""),"（유）",""),"유한회사",""))&lt;2,"",SUBSTITUTE(SUBSTITUTE(SUBSTITUTE(SUBSTITUTE(SUBSTITUTE(SUBSTITUTE(SUBSTITUTE(SUBSTITUTE(SUBSTITUTE($D80&amp;""," ",""),"　",""),"(주)",""),"（주）",""),"㈜",""),"주식회사",""),"(유)",""),"（유）",""),"유한회사",""))</f>
        <v/>
      </c>
    </row>
    <row r="81">
      <c r="A81" s="35" t="n"/>
      <c r="B81" s="35" t="n"/>
      <c r="C81" s="35" t="n"/>
      <c r="D81" s="35" t="n"/>
      <c r="E81" s="36" t="n"/>
      <c r="F81" s="35" t="n"/>
      <c r="G81" s="35" t="n"/>
      <c r="I81" s="31">
        <f>IF(TRIM($A81&amp;"")="","",IF(ISNUMBER(--SUBSTITUTE(SUBSTITUTE(TRIM($A81&amp;""),"-","")," ","")),SUBSTITUTE(SUBSTITUTE(TRIM($A81&amp;""),"-","")," ",""),"N:"&amp;TRIM($A81&amp;"")))</f>
        <v/>
      </c>
      <c r="J81" s="31">
        <f>IF(LEN(SUBSTITUTE(SUBSTITUTE(SUBSTITUTE(SUBSTITUTE(SUBSTITUTE(SUBSTITUTE(SUBSTITUTE(SUBSTITUTE(SUBSTITUTE($C81&amp;""," ",""),"　",""),"(주)",""),"（주）",""),"㈜",""),"주식회사",""),"(유)",""),"（유）",""),"유한회사",""))&lt;2,"",SUBSTITUTE(SUBSTITUTE(SUBSTITUTE(SUBSTITUTE(SUBSTITUTE(SUBSTITUTE(SUBSTITUTE(SUBSTITUTE(SUBSTITUTE($C81&amp;""," ",""),"　",""),"(주)",""),"（주）",""),"㈜",""),"주식회사",""),"(유)",""),"（유）",""),"유한회사",""))</f>
        <v/>
      </c>
      <c r="K81" s="31">
        <f>IF(LEN(SUBSTITUTE(SUBSTITUTE(SUBSTITUTE(SUBSTITUTE(SUBSTITUTE(SUBSTITUTE(SUBSTITUTE(SUBSTITUTE(SUBSTITUTE($D81&amp;""," ",""),"　",""),"(주)",""),"（주）",""),"㈜",""),"주식회사",""),"(유)",""),"（유）",""),"유한회사",""))&lt;2,"",SUBSTITUTE(SUBSTITUTE(SUBSTITUTE(SUBSTITUTE(SUBSTITUTE(SUBSTITUTE(SUBSTITUTE(SUBSTITUTE(SUBSTITUTE($D81&amp;""," ",""),"　",""),"(주)",""),"（주）",""),"㈜",""),"주식회사",""),"(유)",""),"（유）",""),"유한회사",""))</f>
        <v/>
      </c>
    </row>
    <row r="82">
      <c r="A82" s="35" t="n"/>
      <c r="B82" s="35" t="n"/>
      <c r="C82" s="35" t="n"/>
      <c r="D82" s="35" t="n"/>
      <c r="E82" s="36" t="n"/>
      <c r="F82" s="35" t="n"/>
      <c r="G82" s="35" t="n"/>
      <c r="I82" s="31">
        <f>IF(TRIM($A82&amp;"")="","",IF(ISNUMBER(--SUBSTITUTE(SUBSTITUTE(TRIM($A82&amp;""),"-","")," ","")),SUBSTITUTE(SUBSTITUTE(TRIM($A82&amp;""),"-","")," ",""),"N:"&amp;TRIM($A82&amp;"")))</f>
        <v/>
      </c>
      <c r="J82" s="31">
        <f>IF(LEN(SUBSTITUTE(SUBSTITUTE(SUBSTITUTE(SUBSTITUTE(SUBSTITUTE(SUBSTITUTE(SUBSTITUTE(SUBSTITUTE(SUBSTITUTE($C82&amp;""," ",""),"　",""),"(주)",""),"（주）",""),"㈜",""),"주식회사",""),"(유)",""),"（유）",""),"유한회사",""))&lt;2,"",SUBSTITUTE(SUBSTITUTE(SUBSTITUTE(SUBSTITUTE(SUBSTITUTE(SUBSTITUTE(SUBSTITUTE(SUBSTITUTE(SUBSTITUTE($C82&amp;""," ",""),"　",""),"(주)",""),"（주）",""),"㈜",""),"주식회사",""),"(유)",""),"（유）",""),"유한회사",""))</f>
        <v/>
      </c>
      <c r="K82" s="31">
        <f>IF(LEN(SUBSTITUTE(SUBSTITUTE(SUBSTITUTE(SUBSTITUTE(SUBSTITUTE(SUBSTITUTE(SUBSTITUTE(SUBSTITUTE(SUBSTITUTE($D82&amp;""," ",""),"　",""),"(주)",""),"（주）",""),"㈜",""),"주식회사",""),"(유)",""),"（유）",""),"유한회사",""))&lt;2,"",SUBSTITUTE(SUBSTITUTE(SUBSTITUTE(SUBSTITUTE(SUBSTITUTE(SUBSTITUTE(SUBSTITUTE(SUBSTITUTE(SUBSTITUTE($D82&amp;""," ",""),"　",""),"(주)",""),"（주）",""),"㈜",""),"주식회사",""),"(유)",""),"（유）",""),"유한회사",""))</f>
        <v/>
      </c>
    </row>
    <row r="83">
      <c r="A83" s="35" t="n"/>
      <c r="B83" s="35" t="n"/>
      <c r="C83" s="35" t="n"/>
      <c r="D83" s="35" t="n"/>
      <c r="E83" s="36" t="n"/>
      <c r="F83" s="35" t="n"/>
      <c r="G83" s="35" t="n"/>
      <c r="I83" s="31">
        <f>IF(TRIM($A83&amp;"")="","",IF(ISNUMBER(--SUBSTITUTE(SUBSTITUTE(TRIM($A83&amp;""),"-","")," ","")),SUBSTITUTE(SUBSTITUTE(TRIM($A83&amp;""),"-","")," ",""),"N:"&amp;TRIM($A83&amp;"")))</f>
        <v/>
      </c>
      <c r="J83" s="31">
        <f>IF(LEN(SUBSTITUTE(SUBSTITUTE(SUBSTITUTE(SUBSTITUTE(SUBSTITUTE(SUBSTITUTE(SUBSTITUTE(SUBSTITUTE(SUBSTITUTE($C83&amp;""," ",""),"　",""),"(주)",""),"（주）",""),"㈜",""),"주식회사",""),"(유)",""),"（유）",""),"유한회사",""))&lt;2,"",SUBSTITUTE(SUBSTITUTE(SUBSTITUTE(SUBSTITUTE(SUBSTITUTE(SUBSTITUTE(SUBSTITUTE(SUBSTITUTE(SUBSTITUTE($C83&amp;""," ",""),"　",""),"(주)",""),"（주）",""),"㈜",""),"주식회사",""),"(유)",""),"（유）",""),"유한회사",""))</f>
        <v/>
      </c>
      <c r="K83" s="31">
        <f>IF(LEN(SUBSTITUTE(SUBSTITUTE(SUBSTITUTE(SUBSTITUTE(SUBSTITUTE(SUBSTITUTE(SUBSTITUTE(SUBSTITUTE(SUBSTITUTE($D83&amp;""," ",""),"　",""),"(주)",""),"（주）",""),"㈜",""),"주식회사",""),"(유)",""),"（유）",""),"유한회사",""))&lt;2,"",SUBSTITUTE(SUBSTITUTE(SUBSTITUTE(SUBSTITUTE(SUBSTITUTE(SUBSTITUTE(SUBSTITUTE(SUBSTITUTE(SUBSTITUTE($D83&amp;""," ",""),"　",""),"(주)",""),"（주）",""),"㈜",""),"주식회사",""),"(유)",""),"（유）",""),"유한회사",""))</f>
        <v/>
      </c>
    </row>
    <row r="84">
      <c r="A84" s="35" t="n"/>
      <c r="B84" s="35" t="n"/>
      <c r="C84" s="35" t="n"/>
      <c r="D84" s="35" t="n"/>
      <c r="E84" s="36" t="n"/>
      <c r="F84" s="35" t="n"/>
      <c r="G84" s="35" t="n"/>
      <c r="I84" s="31">
        <f>IF(TRIM($A84&amp;"")="","",IF(ISNUMBER(--SUBSTITUTE(SUBSTITUTE(TRIM($A84&amp;""),"-","")," ","")),SUBSTITUTE(SUBSTITUTE(TRIM($A84&amp;""),"-","")," ",""),"N:"&amp;TRIM($A84&amp;"")))</f>
        <v/>
      </c>
      <c r="J84" s="31">
        <f>IF(LEN(SUBSTITUTE(SUBSTITUTE(SUBSTITUTE(SUBSTITUTE(SUBSTITUTE(SUBSTITUTE(SUBSTITUTE(SUBSTITUTE(SUBSTITUTE($C84&amp;""," ",""),"　",""),"(주)",""),"（주）",""),"㈜",""),"주식회사",""),"(유)",""),"（유）",""),"유한회사",""))&lt;2,"",SUBSTITUTE(SUBSTITUTE(SUBSTITUTE(SUBSTITUTE(SUBSTITUTE(SUBSTITUTE(SUBSTITUTE(SUBSTITUTE(SUBSTITUTE($C84&amp;""," ",""),"　",""),"(주)",""),"（주）",""),"㈜",""),"주식회사",""),"(유)",""),"（유）",""),"유한회사",""))</f>
        <v/>
      </c>
      <c r="K84" s="31">
        <f>IF(LEN(SUBSTITUTE(SUBSTITUTE(SUBSTITUTE(SUBSTITUTE(SUBSTITUTE(SUBSTITUTE(SUBSTITUTE(SUBSTITUTE(SUBSTITUTE($D84&amp;""," ",""),"　",""),"(주)",""),"（주）",""),"㈜",""),"주식회사",""),"(유)",""),"（유）",""),"유한회사",""))&lt;2,"",SUBSTITUTE(SUBSTITUTE(SUBSTITUTE(SUBSTITUTE(SUBSTITUTE(SUBSTITUTE(SUBSTITUTE(SUBSTITUTE(SUBSTITUTE($D84&amp;""," ",""),"　",""),"(주)",""),"（주）",""),"㈜",""),"주식회사",""),"(유)",""),"（유）",""),"유한회사",""))</f>
        <v/>
      </c>
    </row>
    <row r="85">
      <c r="A85" s="35" t="n"/>
      <c r="B85" s="35" t="n"/>
      <c r="C85" s="35" t="n"/>
      <c r="D85" s="35" t="n"/>
      <c r="E85" s="36" t="n"/>
      <c r="F85" s="35" t="n"/>
      <c r="G85" s="35" t="n"/>
      <c r="I85" s="31">
        <f>IF(TRIM($A85&amp;"")="","",IF(ISNUMBER(--SUBSTITUTE(SUBSTITUTE(TRIM($A85&amp;""),"-","")," ","")),SUBSTITUTE(SUBSTITUTE(TRIM($A85&amp;""),"-","")," ",""),"N:"&amp;TRIM($A85&amp;"")))</f>
        <v/>
      </c>
      <c r="J85" s="31">
        <f>IF(LEN(SUBSTITUTE(SUBSTITUTE(SUBSTITUTE(SUBSTITUTE(SUBSTITUTE(SUBSTITUTE(SUBSTITUTE(SUBSTITUTE(SUBSTITUTE($C85&amp;""," ",""),"　",""),"(주)",""),"（주）",""),"㈜",""),"주식회사",""),"(유)",""),"（유）",""),"유한회사",""))&lt;2,"",SUBSTITUTE(SUBSTITUTE(SUBSTITUTE(SUBSTITUTE(SUBSTITUTE(SUBSTITUTE(SUBSTITUTE(SUBSTITUTE(SUBSTITUTE($C85&amp;""," ",""),"　",""),"(주)",""),"（주）",""),"㈜",""),"주식회사",""),"(유)",""),"（유）",""),"유한회사",""))</f>
        <v/>
      </c>
      <c r="K85" s="31">
        <f>IF(LEN(SUBSTITUTE(SUBSTITUTE(SUBSTITUTE(SUBSTITUTE(SUBSTITUTE(SUBSTITUTE(SUBSTITUTE(SUBSTITUTE(SUBSTITUTE($D85&amp;""," ",""),"　",""),"(주)",""),"（주）",""),"㈜",""),"주식회사",""),"(유)",""),"（유）",""),"유한회사",""))&lt;2,"",SUBSTITUTE(SUBSTITUTE(SUBSTITUTE(SUBSTITUTE(SUBSTITUTE(SUBSTITUTE(SUBSTITUTE(SUBSTITUTE(SUBSTITUTE($D85&amp;""," ",""),"　",""),"(주)",""),"（주）",""),"㈜",""),"주식회사",""),"(유)",""),"（유）",""),"유한회사",""))</f>
        <v/>
      </c>
    </row>
    <row r="86">
      <c r="A86" s="35" t="n"/>
      <c r="B86" s="35" t="n"/>
      <c r="C86" s="35" t="n"/>
      <c r="D86" s="35" t="n"/>
      <c r="E86" s="36" t="n"/>
      <c r="F86" s="35" t="n"/>
      <c r="G86" s="35" t="n"/>
      <c r="I86" s="31">
        <f>IF(TRIM($A86&amp;"")="","",IF(ISNUMBER(--SUBSTITUTE(SUBSTITUTE(TRIM($A86&amp;""),"-","")," ","")),SUBSTITUTE(SUBSTITUTE(TRIM($A86&amp;""),"-","")," ",""),"N:"&amp;TRIM($A86&amp;"")))</f>
        <v/>
      </c>
      <c r="J86" s="31">
        <f>IF(LEN(SUBSTITUTE(SUBSTITUTE(SUBSTITUTE(SUBSTITUTE(SUBSTITUTE(SUBSTITUTE(SUBSTITUTE(SUBSTITUTE(SUBSTITUTE($C86&amp;""," ",""),"　",""),"(주)",""),"（주）",""),"㈜",""),"주식회사",""),"(유)",""),"（유）",""),"유한회사",""))&lt;2,"",SUBSTITUTE(SUBSTITUTE(SUBSTITUTE(SUBSTITUTE(SUBSTITUTE(SUBSTITUTE(SUBSTITUTE(SUBSTITUTE(SUBSTITUTE($C86&amp;""," ",""),"　",""),"(주)",""),"（주）",""),"㈜",""),"주식회사",""),"(유)",""),"（유）",""),"유한회사",""))</f>
        <v/>
      </c>
      <c r="K86" s="31">
        <f>IF(LEN(SUBSTITUTE(SUBSTITUTE(SUBSTITUTE(SUBSTITUTE(SUBSTITUTE(SUBSTITUTE(SUBSTITUTE(SUBSTITUTE(SUBSTITUTE($D86&amp;""," ",""),"　",""),"(주)",""),"（주）",""),"㈜",""),"주식회사",""),"(유)",""),"（유）",""),"유한회사",""))&lt;2,"",SUBSTITUTE(SUBSTITUTE(SUBSTITUTE(SUBSTITUTE(SUBSTITUTE(SUBSTITUTE(SUBSTITUTE(SUBSTITUTE(SUBSTITUTE($D86&amp;""," ",""),"　",""),"(주)",""),"（주）",""),"㈜",""),"주식회사",""),"(유)",""),"（유）",""),"유한회사",""))</f>
        <v/>
      </c>
    </row>
    <row r="87">
      <c r="A87" s="35" t="n"/>
      <c r="B87" s="35" t="n"/>
      <c r="C87" s="35" t="n"/>
      <c r="D87" s="35" t="n"/>
      <c r="E87" s="36" t="n"/>
      <c r="F87" s="35" t="n"/>
      <c r="G87" s="35" t="n"/>
      <c r="I87" s="31">
        <f>IF(TRIM($A87&amp;"")="","",IF(ISNUMBER(--SUBSTITUTE(SUBSTITUTE(TRIM($A87&amp;""),"-","")," ","")),SUBSTITUTE(SUBSTITUTE(TRIM($A87&amp;""),"-","")," ",""),"N:"&amp;TRIM($A87&amp;"")))</f>
        <v/>
      </c>
      <c r="J87" s="31">
        <f>IF(LEN(SUBSTITUTE(SUBSTITUTE(SUBSTITUTE(SUBSTITUTE(SUBSTITUTE(SUBSTITUTE(SUBSTITUTE(SUBSTITUTE(SUBSTITUTE($C87&amp;""," ",""),"　",""),"(주)",""),"（주）",""),"㈜",""),"주식회사",""),"(유)",""),"（유）",""),"유한회사",""))&lt;2,"",SUBSTITUTE(SUBSTITUTE(SUBSTITUTE(SUBSTITUTE(SUBSTITUTE(SUBSTITUTE(SUBSTITUTE(SUBSTITUTE(SUBSTITUTE($C87&amp;""," ",""),"　",""),"(주)",""),"（주）",""),"㈜",""),"주식회사",""),"(유)",""),"（유）",""),"유한회사",""))</f>
        <v/>
      </c>
      <c r="K87" s="31">
        <f>IF(LEN(SUBSTITUTE(SUBSTITUTE(SUBSTITUTE(SUBSTITUTE(SUBSTITUTE(SUBSTITUTE(SUBSTITUTE(SUBSTITUTE(SUBSTITUTE($D87&amp;""," ",""),"　",""),"(주)",""),"（주）",""),"㈜",""),"주식회사",""),"(유)",""),"（유）",""),"유한회사",""))&lt;2,"",SUBSTITUTE(SUBSTITUTE(SUBSTITUTE(SUBSTITUTE(SUBSTITUTE(SUBSTITUTE(SUBSTITUTE(SUBSTITUTE(SUBSTITUTE($D87&amp;""," ",""),"　",""),"(주)",""),"（주）",""),"㈜",""),"주식회사",""),"(유)",""),"（유）",""),"유한회사",""))</f>
        <v/>
      </c>
    </row>
    <row r="88">
      <c r="A88" s="35" t="n"/>
      <c r="B88" s="35" t="n"/>
      <c r="C88" s="35" t="n"/>
      <c r="D88" s="35" t="n"/>
      <c r="E88" s="36" t="n"/>
      <c r="F88" s="35" t="n"/>
      <c r="G88" s="35" t="n"/>
      <c r="I88" s="31">
        <f>IF(TRIM($A88&amp;"")="","",IF(ISNUMBER(--SUBSTITUTE(SUBSTITUTE(TRIM($A88&amp;""),"-","")," ","")),SUBSTITUTE(SUBSTITUTE(TRIM($A88&amp;""),"-","")," ",""),"N:"&amp;TRIM($A88&amp;"")))</f>
        <v/>
      </c>
      <c r="J88" s="31">
        <f>IF(LEN(SUBSTITUTE(SUBSTITUTE(SUBSTITUTE(SUBSTITUTE(SUBSTITUTE(SUBSTITUTE(SUBSTITUTE(SUBSTITUTE(SUBSTITUTE($C88&amp;""," ",""),"　",""),"(주)",""),"（주）",""),"㈜",""),"주식회사",""),"(유)",""),"（유）",""),"유한회사",""))&lt;2,"",SUBSTITUTE(SUBSTITUTE(SUBSTITUTE(SUBSTITUTE(SUBSTITUTE(SUBSTITUTE(SUBSTITUTE(SUBSTITUTE(SUBSTITUTE($C88&amp;""," ",""),"　",""),"(주)",""),"（주）",""),"㈜",""),"주식회사",""),"(유)",""),"（유）",""),"유한회사",""))</f>
        <v/>
      </c>
      <c r="K88" s="31">
        <f>IF(LEN(SUBSTITUTE(SUBSTITUTE(SUBSTITUTE(SUBSTITUTE(SUBSTITUTE(SUBSTITUTE(SUBSTITUTE(SUBSTITUTE(SUBSTITUTE($D88&amp;""," ",""),"　",""),"(주)",""),"（주）",""),"㈜",""),"주식회사",""),"(유)",""),"（유）",""),"유한회사",""))&lt;2,"",SUBSTITUTE(SUBSTITUTE(SUBSTITUTE(SUBSTITUTE(SUBSTITUTE(SUBSTITUTE(SUBSTITUTE(SUBSTITUTE(SUBSTITUTE($D88&amp;""," ",""),"　",""),"(주)",""),"（주）",""),"㈜",""),"주식회사",""),"(유)",""),"（유）",""),"유한회사",""))</f>
        <v/>
      </c>
    </row>
    <row r="89">
      <c r="A89" s="35" t="n"/>
      <c r="B89" s="35" t="n"/>
      <c r="C89" s="35" t="n"/>
      <c r="D89" s="35" t="n"/>
      <c r="E89" s="36" t="n"/>
      <c r="F89" s="35" t="n"/>
      <c r="G89" s="35" t="n"/>
      <c r="I89" s="31">
        <f>IF(TRIM($A89&amp;"")="","",IF(ISNUMBER(--SUBSTITUTE(SUBSTITUTE(TRIM($A89&amp;""),"-","")," ","")),SUBSTITUTE(SUBSTITUTE(TRIM($A89&amp;""),"-","")," ",""),"N:"&amp;TRIM($A89&amp;"")))</f>
        <v/>
      </c>
      <c r="J89" s="31">
        <f>IF(LEN(SUBSTITUTE(SUBSTITUTE(SUBSTITUTE(SUBSTITUTE(SUBSTITUTE(SUBSTITUTE(SUBSTITUTE(SUBSTITUTE(SUBSTITUTE($C89&amp;""," ",""),"　",""),"(주)",""),"（주）",""),"㈜",""),"주식회사",""),"(유)",""),"（유）",""),"유한회사",""))&lt;2,"",SUBSTITUTE(SUBSTITUTE(SUBSTITUTE(SUBSTITUTE(SUBSTITUTE(SUBSTITUTE(SUBSTITUTE(SUBSTITUTE(SUBSTITUTE($C89&amp;""," ",""),"　",""),"(주)",""),"（주）",""),"㈜",""),"주식회사",""),"(유)",""),"（유）",""),"유한회사",""))</f>
        <v/>
      </c>
      <c r="K89" s="31">
        <f>IF(LEN(SUBSTITUTE(SUBSTITUTE(SUBSTITUTE(SUBSTITUTE(SUBSTITUTE(SUBSTITUTE(SUBSTITUTE(SUBSTITUTE(SUBSTITUTE($D89&amp;""," ",""),"　",""),"(주)",""),"（주）",""),"㈜",""),"주식회사",""),"(유)",""),"（유）",""),"유한회사",""))&lt;2,"",SUBSTITUTE(SUBSTITUTE(SUBSTITUTE(SUBSTITUTE(SUBSTITUTE(SUBSTITUTE(SUBSTITUTE(SUBSTITUTE(SUBSTITUTE($D89&amp;""," ",""),"　",""),"(주)",""),"（주）",""),"㈜",""),"주식회사",""),"(유)",""),"（유）",""),"유한회사",""))</f>
        <v/>
      </c>
    </row>
    <row r="90">
      <c r="A90" s="35" t="n"/>
      <c r="B90" s="35" t="n"/>
      <c r="C90" s="35" t="n"/>
      <c r="D90" s="35" t="n"/>
      <c r="E90" s="36" t="n"/>
      <c r="F90" s="35" t="n"/>
      <c r="G90" s="35" t="n"/>
      <c r="I90" s="31">
        <f>IF(TRIM($A90&amp;"")="","",IF(ISNUMBER(--SUBSTITUTE(SUBSTITUTE(TRIM($A90&amp;""),"-","")," ","")),SUBSTITUTE(SUBSTITUTE(TRIM($A90&amp;""),"-","")," ",""),"N:"&amp;TRIM($A90&amp;"")))</f>
        <v/>
      </c>
      <c r="J90" s="31">
        <f>IF(LEN(SUBSTITUTE(SUBSTITUTE(SUBSTITUTE(SUBSTITUTE(SUBSTITUTE(SUBSTITUTE(SUBSTITUTE(SUBSTITUTE(SUBSTITUTE($C90&amp;""," ",""),"　",""),"(주)",""),"（주）",""),"㈜",""),"주식회사",""),"(유)",""),"（유）",""),"유한회사",""))&lt;2,"",SUBSTITUTE(SUBSTITUTE(SUBSTITUTE(SUBSTITUTE(SUBSTITUTE(SUBSTITUTE(SUBSTITUTE(SUBSTITUTE(SUBSTITUTE($C90&amp;""," ",""),"　",""),"(주)",""),"（주）",""),"㈜",""),"주식회사",""),"(유)",""),"（유）",""),"유한회사",""))</f>
        <v/>
      </c>
      <c r="K90" s="31">
        <f>IF(LEN(SUBSTITUTE(SUBSTITUTE(SUBSTITUTE(SUBSTITUTE(SUBSTITUTE(SUBSTITUTE(SUBSTITUTE(SUBSTITUTE(SUBSTITUTE($D90&amp;""," ",""),"　",""),"(주)",""),"（주）",""),"㈜",""),"주식회사",""),"(유)",""),"（유）",""),"유한회사",""))&lt;2,"",SUBSTITUTE(SUBSTITUTE(SUBSTITUTE(SUBSTITUTE(SUBSTITUTE(SUBSTITUTE(SUBSTITUTE(SUBSTITUTE(SUBSTITUTE($D90&amp;""," ",""),"　",""),"(주)",""),"（주）",""),"㈜",""),"주식회사",""),"(유)",""),"（유）",""),"유한회사",""))</f>
        <v/>
      </c>
    </row>
    <row r="91">
      <c r="A91" s="35" t="n"/>
      <c r="B91" s="35" t="n"/>
      <c r="C91" s="35" t="n"/>
      <c r="D91" s="35" t="n"/>
      <c r="E91" s="36" t="n"/>
      <c r="F91" s="35" t="n"/>
      <c r="G91" s="35" t="n"/>
      <c r="I91" s="31">
        <f>IF(TRIM($A91&amp;"")="","",IF(ISNUMBER(--SUBSTITUTE(SUBSTITUTE(TRIM($A91&amp;""),"-","")," ","")),SUBSTITUTE(SUBSTITUTE(TRIM($A91&amp;""),"-","")," ",""),"N:"&amp;TRIM($A91&amp;"")))</f>
        <v/>
      </c>
      <c r="J91" s="31">
        <f>IF(LEN(SUBSTITUTE(SUBSTITUTE(SUBSTITUTE(SUBSTITUTE(SUBSTITUTE(SUBSTITUTE(SUBSTITUTE(SUBSTITUTE(SUBSTITUTE($C91&amp;""," ",""),"　",""),"(주)",""),"（주）",""),"㈜",""),"주식회사",""),"(유)",""),"（유）",""),"유한회사",""))&lt;2,"",SUBSTITUTE(SUBSTITUTE(SUBSTITUTE(SUBSTITUTE(SUBSTITUTE(SUBSTITUTE(SUBSTITUTE(SUBSTITUTE(SUBSTITUTE($C91&amp;""," ",""),"　",""),"(주)",""),"（주）",""),"㈜",""),"주식회사",""),"(유)",""),"（유）",""),"유한회사",""))</f>
        <v/>
      </c>
      <c r="K91" s="31">
        <f>IF(LEN(SUBSTITUTE(SUBSTITUTE(SUBSTITUTE(SUBSTITUTE(SUBSTITUTE(SUBSTITUTE(SUBSTITUTE(SUBSTITUTE(SUBSTITUTE($D91&amp;""," ",""),"　",""),"(주)",""),"（주）",""),"㈜",""),"주식회사",""),"(유)",""),"（유）",""),"유한회사",""))&lt;2,"",SUBSTITUTE(SUBSTITUTE(SUBSTITUTE(SUBSTITUTE(SUBSTITUTE(SUBSTITUTE(SUBSTITUTE(SUBSTITUTE(SUBSTITUTE($D91&amp;""," ",""),"　",""),"(주)",""),"（주）",""),"㈜",""),"주식회사",""),"(유)",""),"（유）",""),"유한회사",""))</f>
        <v/>
      </c>
    </row>
    <row r="92">
      <c r="A92" s="35" t="n"/>
      <c r="B92" s="35" t="n"/>
      <c r="C92" s="35" t="n"/>
      <c r="D92" s="35" t="n"/>
      <c r="E92" s="36" t="n"/>
      <c r="F92" s="35" t="n"/>
      <c r="G92" s="35" t="n"/>
      <c r="I92" s="31">
        <f>IF(TRIM($A92&amp;"")="","",IF(ISNUMBER(--SUBSTITUTE(SUBSTITUTE(TRIM($A92&amp;""),"-","")," ","")),SUBSTITUTE(SUBSTITUTE(TRIM($A92&amp;""),"-","")," ",""),"N:"&amp;TRIM($A92&amp;"")))</f>
        <v/>
      </c>
      <c r="J92" s="31">
        <f>IF(LEN(SUBSTITUTE(SUBSTITUTE(SUBSTITUTE(SUBSTITUTE(SUBSTITUTE(SUBSTITUTE(SUBSTITUTE(SUBSTITUTE(SUBSTITUTE($C92&amp;""," ",""),"　",""),"(주)",""),"（주）",""),"㈜",""),"주식회사",""),"(유)",""),"（유）",""),"유한회사",""))&lt;2,"",SUBSTITUTE(SUBSTITUTE(SUBSTITUTE(SUBSTITUTE(SUBSTITUTE(SUBSTITUTE(SUBSTITUTE(SUBSTITUTE(SUBSTITUTE($C92&amp;""," ",""),"　",""),"(주)",""),"（주）",""),"㈜",""),"주식회사",""),"(유)",""),"（유）",""),"유한회사",""))</f>
        <v/>
      </c>
      <c r="K92" s="31">
        <f>IF(LEN(SUBSTITUTE(SUBSTITUTE(SUBSTITUTE(SUBSTITUTE(SUBSTITUTE(SUBSTITUTE(SUBSTITUTE(SUBSTITUTE(SUBSTITUTE($D92&amp;""," ",""),"　",""),"(주)",""),"（주）",""),"㈜",""),"주식회사",""),"(유)",""),"（유）",""),"유한회사",""))&lt;2,"",SUBSTITUTE(SUBSTITUTE(SUBSTITUTE(SUBSTITUTE(SUBSTITUTE(SUBSTITUTE(SUBSTITUTE(SUBSTITUTE(SUBSTITUTE($D92&amp;""," ",""),"　",""),"(주)",""),"（주）",""),"㈜",""),"주식회사",""),"(유)",""),"（유）",""),"유한회사",""))</f>
        <v/>
      </c>
    </row>
    <row r="93">
      <c r="A93" s="35" t="n"/>
      <c r="B93" s="35" t="n"/>
      <c r="C93" s="35" t="n"/>
      <c r="D93" s="35" t="n"/>
      <c r="E93" s="36" t="n"/>
      <c r="F93" s="35" t="n"/>
      <c r="G93" s="35" t="n"/>
      <c r="I93" s="31">
        <f>IF(TRIM($A93&amp;"")="","",IF(ISNUMBER(--SUBSTITUTE(SUBSTITUTE(TRIM($A93&amp;""),"-","")," ","")),SUBSTITUTE(SUBSTITUTE(TRIM($A93&amp;""),"-","")," ",""),"N:"&amp;TRIM($A93&amp;"")))</f>
        <v/>
      </c>
      <c r="J93" s="31">
        <f>IF(LEN(SUBSTITUTE(SUBSTITUTE(SUBSTITUTE(SUBSTITUTE(SUBSTITUTE(SUBSTITUTE(SUBSTITUTE(SUBSTITUTE(SUBSTITUTE($C93&amp;""," ",""),"　",""),"(주)",""),"（주）",""),"㈜",""),"주식회사",""),"(유)",""),"（유）",""),"유한회사",""))&lt;2,"",SUBSTITUTE(SUBSTITUTE(SUBSTITUTE(SUBSTITUTE(SUBSTITUTE(SUBSTITUTE(SUBSTITUTE(SUBSTITUTE(SUBSTITUTE($C93&amp;""," ",""),"　",""),"(주)",""),"（주）",""),"㈜",""),"주식회사",""),"(유)",""),"（유）",""),"유한회사",""))</f>
        <v/>
      </c>
      <c r="K93" s="31">
        <f>IF(LEN(SUBSTITUTE(SUBSTITUTE(SUBSTITUTE(SUBSTITUTE(SUBSTITUTE(SUBSTITUTE(SUBSTITUTE(SUBSTITUTE(SUBSTITUTE($D93&amp;""," ",""),"　",""),"(주)",""),"（주）",""),"㈜",""),"주식회사",""),"(유)",""),"（유）",""),"유한회사",""))&lt;2,"",SUBSTITUTE(SUBSTITUTE(SUBSTITUTE(SUBSTITUTE(SUBSTITUTE(SUBSTITUTE(SUBSTITUTE(SUBSTITUTE(SUBSTITUTE($D93&amp;""," ",""),"　",""),"(주)",""),"（주）",""),"㈜",""),"주식회사",""),"(유)",""),"（유）",""),"유한회사",""))</f>
        <v/>
      </c>
    </row>
    <row r="94">
      <c r="A94" s="35" t="n"/>
      <c r="B94" s="35" t="n"/>
      <c r="C94" s="35" t="n"/>
      <c r="D94" s="35" t="n"/>
      <c r="E94" s="36" t="n"/>
      <c r="F94" s="35" t="n"/>
      <c r="G94" s="35" t="n"/>
      <c r="I94" s="31">
        <f>IF(TRIM($A94&amp;"")="","",IF(ISNUMBER(--SUBSTITUTE(SUBSTITUTE(TRIM($A94&amp;""),"-","")," ","")),SUBSTITUTE(SUBSTITUTE(TRIM($A94&amp;""),"-","")," ",""),"N:"&amp;TRIM($A94&amp;"")))</f>
        <v/>
      </c>
      <c r="J94" s="31">
        <f>IF(LEN(SUBSTITUTE(SUBSTITUTE(SUBSTITUTE(SUBSTITUTE(SUBSTITUTE(SUBSTITUTE(SUBSTITUTE(SUBSTITUTE(SUBSTITUTE($C94&amp;""," ",""),"　",""),"(주)",""),"（주）",""),"㈜",""),"주식회사",""),"(유)",""),"（유）",""),"유한회사",""))&lt;2,"",SUBSTITUTE(SUBSTITUTE(SUBSTITUTE(SUBSTITUTE(SUBSTITUTE(SUBSTITUTE(SUBSTITUTE(SUBSTITUTE(SUBSTITUTE($C94&amp;""," ",""),"　",""),"(주)",""),"（주）",""),"㈜",""),"주식회사",""),"(유)",""),"（유）",""),"유한회사",""))</f>
        <v/>
      </c>
      <c r="K94" s="31">
        <f>IF(LEN(SUBSTITUTE(SUBSTITUTE(SUBSTITUTE(SUBSTITUTE(SUBSTITUTE(SUBSTITUTE(SUBSTITUTE(SUBSTITUTE(SUBSTITUTE($D94&amp;""," ",""),"　",""),"(주)",""),"（주）",""),"㈜",""),"주식회사",""),"(유)",""),"（유）",""),"유한회사",""))&lt;2,"",SUBSTITUTE(SUBSTITUTE(SUBSTITUTE(SUBSTITUTE(SUBSTITUTE(SUBSTITUTE(SUBSTITUTE(SUBSTITUTE(SUBSTITUTE($D94&amp;""," ",""),"　",""),"(주)",""),"（주）",""),"㈜",""),"주식회사",""),"(유)",""),"（유）",""),"유한회사",""))</f>
        <v/>
      </c>
    </row>
    <row r="95">
      <c r="A95" s="35" t="n"/>
      <c r="B95" s="35" t="n"/>
      <c r="C95" s="35" t="n"/>
      <c r="D95" s="35" t="n"/>
      <c r="E95" s="36" t="n"/>
      <c r="F95" s="35" t="n"/>
      <c r="G95" s="35" t="n"/>
      <c r="I95" s="31">
        <f>IF(TRIM($A95&amp;"")="","",IF(ISNUMBER(--SUBSTITUTE(SUBSTITUTE(TRIM($A95&amp;""),"-","")," ","")),SUBSTITUTE(SUBSTITUTE(TRIM($A95&amp;""),"-","")," ",""),"N:"&amp;TRIM($A95&amp;"")))</f>
        <v/>
      </c>
      <c r="J95" s="31">
        <f>IF(LEN(SUBSTITUTE(SUBSTITUTE(SUBSTITUTE(SUBSTITUTE(SUBSTITUTE(SUBSTITUTE(SUBSTITUTE(SUBSTITUTE(SUBSTITUTE($C95&amp;""," ",""),"　",""),"(주)",""),"（주）",""),"㈜",""),"주식회사",""),"(유)",""),"（유）",""),"유한회사",""))&lt;2,"",SUBSTITUTE(SUBSTITUTE(SUBSTITUTE(SUBSTITUTE(SUBSTITUTE(SUBSTITUTE(SUBSTITUTE(SUBSTITUTE(SUBSTITUTE($C95&amp;""," ",""),"　",""),"(주)",""),"（주）",""),"㈜",""),"주식회사",""),"(유)",""),"（유）",""),"유한회사",""))</f>
        <v/>
      </c>
      <c r="K95" s="31">
        <f>IF(LEN(SUBSTITUTE(SUBSTITUTE(SUBSTITUTE(SUBSTITUTE(SUBSTITUTE(SUBSTITUTE(SUBSTITUTE(SUBSTITUTE(SUBSTITUTE($D95&amp;""," ",""),"　",""),"(주)",""),"（주）",""),"㈜",""),"주식회사",""),"(유)",""),"（유）",""),"유한회사",""))&lt;2,"",SUBSTITUTE(SUBSTITUTE(SUBSTITUTE(SUBSTITUTE(SUBSTITUTE(SUBSTITUTE(SUBSTITUTE(SUBSTITUTE(SUBSTITUTE($D95&amp;""," ",""),"　",""),"(주)",""),"（주）",""),"㈜",""),"주식회사",""),"(유)",""),"（유）",""),"유한회사",""))</f>
        <v/>
      </c>
    </row>
    <row r="96">
      <c r="A96" s="35" t="n"/>
      <c r="B96" s="35" t="n"/>
      <c r="C96" s="35" t="n"/>
      <c r="D96" s="35" t="n"/>
      <c r="E96" s="36" t="n"/>
      <c r="F96" s="35" t="n"/>
      <c r="G96" s="35" t="n"/>
      <c r="I96" s="31">
        <f>IF(TRIM($A96&amp;"")="","",IF(ISNUMBER(--SUBSTITUTE(SUBSTITUTE(TRIM($A96&amp;""),"-","")," ","")),SUBSTITUTE(SUBSTITUTE(TRIM($A96&amp;""),"-","")," ",""),"N:"&amp;TRIM($A96&amp;"")))</f>
        <v/>
      </c>
      <c r="J96" s="31">
        <f>IF(LEN(SUBSTITUTE(SUBSTITUTE(SUBSTITUTE(SUBSTITUTE(SUBSTITUTE(SUBSTITUTE(SUBSTITUTE(SUBSTITUTE(SUBSTITUTE($C96&amp;""," ",""),"　",""),"(주)",""),"（주）",""),"㈜",""),"주식회사",""),"(유)",""),"（유）",""),"유한회사",""))&lt;2,"",SUBSTITUTE(SUBSTITUTE(SUBSTITUTE(SUBSTITUTE(SUBSTITUTE(SUBSTITUTE(SUBSTITUTE(SUBSTITUTE(SUBSTITUTE($C96&amp;""," ",""),"　",""),"(주)",""),"（주）",""),"㈜",""),"주식회사",""),"(유)",""),"（유）",""),"유한회사",""))</f>
        <v/>
      </c>
      <c r="K96" s="31">
        <f>IF(LEN(SUBSTITUTE(SUBSTITUTE(SUBSTITUTE(SUBSTITUTE(SUBSTITUTE(SUBSTITUTE(SUBSTITUTE(SUBSTITUTE(SUBSTITUTE($D96&amp;""," ",""),"　",""),"(주)",""),"（주）",""),"㈜",""),"주식회사",""),"(유)",""),"（유）",""),"유한회사",""))&lt;2,"",SUBSTITUTE(SUBSTITUTE(SUBSTITUTE(SUBSTITUTE(SUBSTITUTE(SUBSTITUTE(SUBSTITUTE(SUBSTITUTE(SUBSTITUTE($D96&amp;""," ",""),"　",""),"(주)",""),"（주）",""),"㈜",""),"주식회사",""),"(유)",""),"（유）",""),"유한회사",""))</f>
        <v/>
      </c>
    </row>
    <row r="97">
      <c r="A97" s="35" t="n"/>
      <c r="B97" s="35" t="n"/>
      <c r="C97" s="35" t="n"/>
      <c r="D97" s="35" t="n"/>
      <c r="E97" s="36" t="n"/>
      <c r="F97" s="35" t="n"/>
      <c r="G97" s="35" t="n"/>
      <c r="I97" s="31">
        <f>IF(TRIM($A97&amp;"")="","",IF(ISNUMBER(--SUBSTITUTE(SUBSTITUTE(TRIM($A97&amp;""),"-","")," ","")),SUBSTITUTE(SUBSTITUTE(TRIM($A97&amp;""),"-","")," ",""),"N:"&amp;TRIM($A97&amp;"")))</f>
        <v/>
      </c>
      <c r="J97" s="31">
        <f>IF(LEN(SUBSTITUTE(SUBSTITUTE(SUBSTITUTE(SUBSTITUTE(SUBSTITUTE(SUBSTITUTE(SUBSTITUTE(SUBSTITUTE(SUBSTITUTE($C97&amp;""," ",""),"　",""),"(주)",""),"（주）",""),"㈜",""),"주식회사",""),"(유)",""),"（유）",""),"유한회사",""))&lt;2,"",SUBSTITUTE(SUBSTITUTE(SUBSTITUTE(SUBSTITUTE(SUBSTITUTE(SUBSTITUTE(SUBSTITUTE(SUBSTITUTE(SUBSTITUTE($C97&amp;""," ",""),"　",""),"(주)",""),"（주）",""),"㈜",""),"주식회사",""),"(유)",""),"（유）",""),"유한회사",""))</f>
        <v/>
      </c>
      <c r="K97" s="31">
        <f>IF(LEN(SUBSTITUTE(SUBSTITUTE(SUBSTITUTE(SUBSTITUTE(SUBSTITUTE(SUBSTITUTE(SUBSTITUTE(SUBSTITUTE(SUBSTITUTE($D97&amp;""," ",""),"　",""),"(주)",""),"（주）",""),"㈜",""),"주식회사",""),"(유)",""),"（유）",""),"유한회사",""))&lt;2,"",SUBSTITUTE(SUBSTITUTE(SUBSTITUTE(SUBSTITUTE(SUBSTITUTE(SUBSTITUTE(SUBSTITUTE(SUBSTITUTE(SUBSTITUTE($D97&amp;""," ",""),"　",""),"(주)",""),"（주）",""),"㈜",""),"주식회사",""),"(유)",""),"（유）",""),"유한회사",""))</f>
        <v/>
      </c>
    </row>
    <row r="98">
      <c r="A98" s="35" t="n"/>
      <c r="B98" s="35" t="n"/>
      <c r="C98" s="35" t="n"/>
      <c r="D98" s="35" t="n"/>
      <c r="E98" s="36" t="n"/>
      <c r="F98" s="35" t="n"/>
      <c r="G98" s="35" t="n"/>
      <c r="I98" s="31">
        <f>IF(TRIM($A98&amp;"")="","",IF(ISNUMBER(--SUBSTITUTE(SUBSTITUTE(TRIM($A98&amp;""),"-","")," ","")),SUBSTITUTE(SUBSTITUTE(TRIM($A98&amp;""),"-","")," ",""),"N:"&amp;TRIM($A98&amp;"")))</f>
        <v/>
      </c>
      <c r="J98" s="31">
        <f>IF(LEN(SUBSTITUTE(SUBSTITUTE(SUBSTITUTE(SUBSTITUTE(SUBSTITUTE(SUBSTITUTE(SUBSTITUTE(SUBSTITUTE(SUBSTITUTE($C98&amp;""," ",""),"　",""),"(주)",""),"（주）",""),"㈜",""),"주식회사",""),"(유)",""),"（유）",""),"유한회사",""))&lt;2,"",SUBSTITUTE(SUBSTITUTE(SUBSTITUTE(SUBSTITUTE(SUBSTITUTE(SUBSTITUTE(SUBSTITUTE(SUBSTITUTE(SUBSTITUTE($C98&amp;""," ",""),"　",""),"(주)",""),"（주）",""),"㈜",""),"주식회사",""),"(유)",""),"（유）",""),"유한회사",""))</f>
        <v/>
      </c>
      <c r="K98" s="31">
        <f>IF(LEN(SUBSTITUTE(SUBSTITUTE(SUBSTITUTE(SUBSTITUTE(SUBSTITUTE(SUBSTITUTE(SUBSTITUTE(SUBSTITUTE(SUBSTITUTE($D98&amp;""," ",""),"　",""),"(주)",""),"（주）",""),"㈜",""),"주식회사",""),"(유)",""),"（유）",""),"유한회사",""))&lt;2,"",SUBSTITUTE(SUBSTITUTE(SUBSTITUTE(SUBSTITUTE(SUBSTITUTE(SUBSTITUTE(SUBSTITUTE(SUBSTITUTE(SUBSTITUTE($D98&amp;""," ",""),"　",""),"(주)",""),"（주）",""),"㈜",""),"주식회사",""),"(유)",""),"（유）",""),"유한회사",""))</f>
        <v/>
      </c>
    </row>
    <row r="99">
      <c r="A99" s="35" t="n"/>
      <c r="B99" s="35" t="n"/>
      <c r="C99" s="35" t="n"/>
      <c r="D99" s="35" t="n"/>
      <c r="E99" s="36" t="n"/>
      <c r="F99" s="35" t="n"/>
      <c r="G99" s="35" t="n"/>
      <c r="I99" s="31">
        <f>IF(TRIM($A99&amp;"")="","",IF(ISNUMBER(--SUBSTITUTE(SUBSTITUTE(TRIM($A99&amp;""),"-","")," ","")),SUBSTITUTE(SUBSTITUTE(TRIM($A99&amp;""),"-","")," ",""),"N:"&amp;TRIM($A99&amp;"")))</f>
        <v/>
      </c>
      <c r="J99" s="31">
        <f>IF(LEN(SUBSTITUTE(SUBSTITUTE(SUBSTITUTE(SUBSTITUTE(SUBSTITUTE(SUBSTITUTE(SUBSTITUTE(SUBSTITUTE(SUBSTITUTE($C99&amp;""," ",""),"　",""),"(주)",""),"（주）",""),"㈜",""),"주식회사",""),"(유)",""),"（유）",""),"유한회사",""))&lt;2,"",SUBSTITUTE(SUBSTITUTE(SUBSTITUTE(SUBSTITUTE(SUBSTITUTE(SUBSTITUTE(SUBSTITUTE(SUBSTITUTE(SUBSTITUTE($C99&amp;""," ",""),"　",""),"(주)",""),"（주）",""),"㈜",""),"주식회사",""),"(유)",""),"（유）",""),"유한회사",""))</f>
        <v/>
      </c>
      <c r="K99" s="31">
        <f>IF(LEN(SUBSTITUTE(SUBSTITUTE(SUBSTITUTE(SUBSTITUTE(SUBSTITUTE(SUBSTITUTE(SUBSTITUTE(SUBSTITUTE(SUBSTITUTE($D99&amp;""," ",""),"　",""),"(주)",""),"（주）",""),"㈜",""),"주식회사",""),"(유)",""),"（유）",""),"유한회사",""))&lt;2,"",SUBSTITUTE(SUBSTITUTE(SUBSTITUTE(SUBSTITUTE(SUBSTITUTE(SUBSTITUTE(SUBSTITUTE(SUBSTITUTE(SUBSTITUTE($D99&amp;""," ",""),"　",""),"(주)",""),"（주）",""),"㈜",""),"주식회사",""),"(유)",""),"（유）",""),"유한회사",""))</f>
        <v/>
      </c>
    </row>
    <row r="100">
      <c r="A100" s="35" t="n"/>
      <c r="B100" s="35" t="n"/>
      <c r="C100" s="35" t="n"/>
      <c r="D100" s="35" t="n"/>
      <c r="E100" s="36" t="n"/>
      <c r="F100" s="35" t="n"/>
      <c r="G100" s="35" t="n"/>
      <c r="I100" s="31">
        <f>IF(TRIM($A100&amp;"")="","",IF(ISNUMBER(--SUBSTITUTE(SUBSTITUTE(TRIM($A100&amp;""),"-","")," ","")),SUBSTITUTE(SUBSTITUTE(TRIM($A100&amp;""),"-","")," ",""),"N:"&amp;TRIM($A100&amp;"")))</f>
        <v/>
      </c>
      <c r="J100" s="31">
        <f>IF(LEN(SUBSTITUTE(SUBSTITUTE(SUBSTITUTE(SUBSTITUTE(SUBSTITUTE(SUBSTITUTE(SUBSTITUTE(SUBSTITUTE(SUBSTITUTE($C100&amp;""," ",""),"　",""),"(주)",""),"（주）",""),"㈜",""),"주식회사",""),"(유)",""),"（유）",""),"유한회사",""))&lt;2,"",SUBSTITUTE(SUBSTITUTE(SUBSTITUTE(SUBSTITUTE(SUBSTITUTE(SUBSTITUTE(SUBSTITUTE(SUBSTITUTE(SUBSTITUTE($C100&amp;""," ",""),"　",""),"(주)",""),"（주）",""),"㈜",""),"주식회사",""),"(유)",""),"（유）",""),"유한회사",""))</f>
        <v/>
      </c>
      <c r="K100" s="31">
        <f>IF(LEN(SUBSTITUTE(SUBSTITUTE(SUBSTITUTE(SUBSTITUTE(SUBSTITUTE(SUBSTITUTE(SUBSTITUTE(SUBSTITUTE(SUBSTITUTE($D100&amp;""," ",""),"　",""),"(주)",""),"（주）",""),"㈜",""),"주식회사",""),"(유)",""),"（유）",""),"유한회사",""))&lt;2,"",SUBSTITUTE(SUBSTITUTE(SUBSTITUTE(SUBSTITUTE(SUBSTITUTE(SUBSTITUTE(SUBSTITUTE(SUBSTITUTE(SUBSTITUTE($D100&amp;""," ",""),"　",""),"(주)",""),"（주）",""),"㈜",""),"주식회사",""),"(유)",""),"（유）",""),"유한회사",""))</f>
        <v/>
      </c>
    </row>
    <row r="101">
      <c r="A101" s="35" t="n"/>
      <c r="B101" s="35" t="n"/>
      <c r="C101" s="35" t="n"/>
      <c r="D101" s="35" t="n"/>
      <c r="E101" s="36" t="n"/>
      <c r="F101" s="35" t="n"/>
      <c r="G101" s="35" t="n"/>
      <c r="I101" s="31">
        <f>IF(TRIM($A101&amp;"")="","",IF(ISNUMBER(--SUBSTITUTE(SUBSTITUTE(TRIM($A101&amp;""),"-","")," ","")),SUBSTITUTE(SUBSTITUTE(TRIM($A101&amp;""),"-","")," ",""),"N:"&amp;TRIM($A101&amp;"")))</f>
        <v/>
      </c>
      <c r="J101" s="31">
        <f>IF(LEN(SUBSTITUTE(SUBSTITUTE(SUBSTITUTE(SUBSTITUTE(SUBSTITUTE(SUBSTITUTE(SUBSTITUTE(SUBSTITUTE(SUBSTITUTE($C101&amp;""," ",""),"　",""),"(주)",""),"（주）",""),"㈜",""),"주식회사",""),"(유)",""),"（유）",""),"유한회사",""))&lt;2,"",SUBSTITUTE(SUBSTITUTE(SUBSTITUTE(SUBSTITUTE(SUBSTITUTE(SUBSTITUTE(SUBSTITUTE(SUBSTITUTE(SUBSTITUTE($C101&amp;""," ",""),"　",""),"(주)",""),"（주）",""),"㈜",""),"주식회사",""),"(유)",""),"（유）",""),"유한회사",""))</f>
        <v/>
      </c>
      <c r="K101" s="31">
        <f>IF(LEN(SUBSTITUTE(SUBSTITUTE(SUBSTITUTE(SUBSTITUTE(SUBSTITUTE(SUBSTITUTE(SUBSTITUTE(SUBSTITUTE(SUBSTITUTE($D101&amp;""," ",""),"　",""),"(주)",""),"（주）",""),"㈜",""),"주식회사",""),"(유)",""),"（유）",""),"유한회사",""))&lt;2,"",SUBSTITUTE(SUBSTITUTE(SUBSTITUTE(SUBSTITUTE(SUBSTITUTE(SUBSTITUTE(SUBSTITUTE(SUBSTITUTE(SUBSTITUTE($D101&amp;""," ",""),"　",""),"(주)",""),"（주）",""),"㈜",""),"주식회사",""),"(유)",""),"（유）",""),"유한회사",""))</f>
        <v/>
      </c>
    </row>
    <row r="102">
      <c r="A102" s="35" t="n"/>
      <c r="B102" s="35" t="n"/>
      <c r="C102" s="35" t="n"/>
      <c r="D102" s="35" t="n"/>
      <c r="E102" s="36" t="n"/>
      <c r="F102" s="35" t="n"/>
      <c r="G102" s="35" t="n"/>
      <c r="I102" s="31">
        <f>IF(TRIM($A102&amp;"")="","",IF(ISNUMBER(--SUBSTITUTE(SUBSTITUTE(TRIM($A102&amp;""),"-","")," ","")),SUBSTITUTE(SUBSTITUTE(TRIM($A102&amp;""),"-","")," ",""),"N:"&amp;TRIM($A102&amp;"")))</f>
        <v/>
      </c>
      <c r="J102" s="31">
        <f>IF(LEN(SUBSTITUTE(SUBSTITUTE(SUBSTITUTE(SUBSTITUTE(SUBSTITUTE(SUBSTITUTE(SUBSTITUTE(SUBSTITUTE(SUBSTITUTE($C102&amp;""," ",""),"　",""),"(주)",""),"（주）",""),"㈜",""),"주식회사",""),"(유)",""),"（유）",""),"유한회사",""))&lt;2,"",SUBSTITUTE(SUBSTITUTE(SUBSTITUTE(SUBSTITUTE(SUBSTITUTE(SUBSTITUTE(SUBSTITUTE(SUBSTITUTE(SUBSTITUTE($C102&amp;""," ",""),"　",""),"(주)",""),"（주）",""),"㈜",""),"주식회사",""),"(유)",""),"（유）",""),"유한회사",""))</f>
        <v/>
      </c>
      <c r="K102" s="31">
        <f>IF(LEN(SUBSTITUTE(SUBSTITUTE(SUBSTITUTE(SUBSTITUTE(SUBSTITUTE(SUBSTITUTE(SUBSTITUTE(SUBSTITUTE(SUBSTITUTE($D102&amp;""," ",""),"　",""),"(주)",""),"（주）",""),"㈜",""),"주식회사",""),"(유)",""),"（유）",""),"유한회사",""))&lt;2,"",SUBSTITUTE(SUBSTITUTE(SUBSTITUTE(SUBSTITUTE(SUBSTITUTE(SUBSTITUTE(SUBSTITUTE(SUBSTITUTE(SUBSTITUTE($D102&amp;""," ",""),"　",""),"(주)",""),"（주）",""),"㈜",""),"주식회사",""),"(유)",""),"（유）",""),"유한회사",""))</f>
        <v/>
      </c>
    </row>
    <row r="103">
      <c r="A103" s="35" t="n"/>
      <c r="B103" s="35" t="n"/>
      <c r="C103" s="35" t="n"/>
      <c r="D103" s="35" t="n"/>
      <c r="E103" s="36" t="n"/>
      <c r="F103" s="35" t="n"/>
      <c r="G103" s="35" t="n"/>
      <c r="I103" s="31">
        <f>IF(TRIM($A103&amp;"")="","",IF(ISNUMBER(--SUBSTITUTE(SUBSTITUTE(TRIM($A103&amp;""),"-","")," ","")),SUBSTITUTE(SUBSTITUTE(TRIM($A103&amp;""),"-","")," ",""),"N:"&amp;TRIM($A103&amp;"")))</f>
        <v/>
      </c>
      <c r="J103" s="31">
        <f>IF(LEN(SUBSTITUTE(SUBSTITUTE(SUBSTITUTE(SUBSTITUTE(SUBSTITUTE(SUBSTITUTE(SUBSTITUTE(SUBSTITUTE(SUBSTITUTE($C103&amp;""," ",""),"　",""),"(주)",""),"（주）",""),"㈜",""),"주식회사",""),"(유)",""),"（유）",""),"유한회사",""))&lt;2,"",SUBSTITUTE(SUBSTITUTE(SUBSTITUTE(SUBSTITUTE(SUBSTITUTE(SUBSTITUTE(SUBSTITUTE(SUBSTITUTE(SUBSTITUTE($C103&amp;""," ",""),"　",""),"(주)",""),"（주）",""),"㈜",""),"주식회사",""),"(유)",""),"（유）",""),"유한회사",""))</f>
        <v/>
      </c>
      <c r="K103" s="31">
        <f>IF(LEN(SUBSTITUTE(SUBSTITUTE(SUBSTITUTE(SUBSTITUTE(SUBSTITUTE(SUBSTITUTE(SUBSTITUTE(SUBSTITUTE(SUBSTITUTE($D103&amp;""," ",""),"　",""),"(주)",""),"（주）",""),"㈜",""),"주식회사",""),"(유)",""),"（유）",""),"유한회사",""))&lt;2,"",SUBSTITUTE(SUBSTITUTE(SUBSTITUTE(SUBSTITUTE(SUBSTITUTE(SUBSTITUTE(SUBSTITUTE(SUBSTITUTE(SUBSTITUTE($D103&amp;""," ",""),"　",""),"(주)",""),"（주）",""),"㈜",""),"주식회사",""),"(유)",""),"（유）",""),"유한회사",""))</f>
        <v/>
      </c>
    </row>
    <row r="104">
      <c r="A104" s="35" t="n"/>
      <c r="B104" s="35" t="n"/>
      <c r="C104" s="35" t="n"/>
      <c r="D104" s="35" t="n"/>
      <c r="E104" s="36" t="n"/>
      <c r="F104" s="35" t="n"/>
      <c r="G104" s="35" t="n"/>
      <c r="I104" s="31">
        <f>IF(TRIM($A104&amp;"")="","",IF(ISNUMBER(--SUBSTITUTE(SUBSTITUTE(TRIM($A104&amp;""),"-","")," ","")),SUBSTITUTE(SUBSTITUTE(TRIM($A104&amp;""),"-","")," ",""),"N:"&amp;TRIM($A104&amp;"")))</f>
        <v/>
      </c>
      <c r="J104" s="31">
        <f>IF(LEN(SUBSTITUTE(SUBSTITUTE(SUBSTITUTE(SUBSTITUTE(SUBSTITUTE(SUBSTITUTE(SUBSTITUTE(SUBSTITUTE(SUBSTITUTE($C104&amp;""," ",""),"　",""),"(주)",""),"（주）",""),"㈜",""),"주식회사",""),"(유)",""),"（유）",""),"유한회사",""))&lt;2,"",SUBSTITUTE(SUBSTITUTE(SUBSTITUTE(SUBSTITUTE(SUBSTITUTE(SUBSTITUTE(SUBSTITUTE(SUBSTITUTE(SUBSTITUTE($C104&amp;""," ",""),"　",""),"(주)",""),"（주）",""),"㈜",""),"주식회사",""),"(유)",""),"（유）",""),"유한회사",""))</f>
        <v/>
      </c>
      <c r="K104" s="31">
        <f>IF(LEN(SUBSTITUTE(SUBSTITUTE(SUBSTITUTE(SUBSTITUTE(SUBSTITUTE(SUBSTITUTE(SUBSTITUTE(SUBSTITUTE(SUBSTITUTE($D104&amp;""," ",""),"　",""),"(주)",""),"（주）",""),"㈜",""),"주식회사",""),"(유)",""),"（유）",""),"유한회사",""))&lt;2,"",SUBSTITUTE(SUBSTITUTE(SUBSTITUTE(SUBSTITUTE(SUBSTITUTE(SUBSTITUTE(SUBSTITUTE(SUBSTITUTE(SUBSTITUTE($D104&amp;""," ",""),"　",""),"(주)",""),"（주）",""),"㈜",""),"주식회사",""),"(유)",""),"（유）",""),"유한회사",""))</f>
        <v/>
      </c>
    </row>
    <row r="105">
      <c r="A105" s="35" t="n"/>
      <c r="B105" s="35" t="n"/>
      <c r="C105" s="35" t="n"/>
      <c r="D105" s="35" t="n"/>
      <c r="E105" s="36" t="n"/>
      <c r="F105" s="35" t="n"/>
      <c r="G105" s="35" t="n"/>
      <c r="I105" s="31">
        <f>IF(TRIM($A105&amp;"")="","",IF(ISNUMBER(--SUBSTITUTE(SUBSTITUTE(TRIM($A105&amp;""),"-","")," ","")),SUBSTITUTE(SUBSTITUTE(TRIM($A105&amp;""),"-","")," ",""),"N:"&amp;TRIM($A105&amp;"")))</f>
        <v/>
      </c>
      <c r="J105" s="31">
        <f>IF(LEN(SUBSTITUTE(SUBSTITUTE(SUBSTITUTE(SUBSTITUTE(SUBSTITUTE(SUBSTITUTE(SUBSTITUTE(SUBSTITUTE(SUBSTITUTE($C105&amp;""," ",""),"　",""),"(주)",""),"（주）",""),"㈜",""),"주식회사",""),"(유)",""),"（유）",""),"유한회사",""))&lt;2,"",SUBSTITUTE(SUBSTITUTE(SUBSTITUTE(SUBSTITUTE(SUBSTITUTE(SUBSTITUTE(SUBSTITUTE(SUBSTITUTE(SUBSTITUTE($C105&amp;""," ",""),"　",""),"(주)",""),"（주）",""),"㈜",""),"주식회사",""),"(유)",""),"（유）",""),"유한회사",""))</f>
        <v/>
      </c>
      <c r="K105" s="31">
        <f>IF(LEN(SUBSTITUTE(SUBSTITUTE(SUBSTITUTE(SUBSTITUTE(SUBSTITUTE(SUBSTITUTE(SUBSTITUTE(SUBSTITUTE(SUBSTITUTE($D105&amp;""," ",""),"　",""),"(주)",""),"（주）",""),"㈜",""),"주식회사",""),"(유)",""),"（유）",""),"유한회사",""))&lt;2,"",SUBSTITUTE(SUBSTITUTE(SUBSTITUTE(SUBSTITUTE(SUBSTITUTE(SUBSTITUTE(SUBSTITUTE(SUBSTITUTE(SUBSTITUTE($D105&amp;""," ",""),"　",""),"(주)",""),"（주）",""),"㈜",""),"주식회사",""),"(유)",""),"（유）",""),"유한회사",""))</f>
        <v/>
      </c>
    </row>
    <row r="106">
      <c r="A106" s="35" t="n"/>
      <c r="B106" s="35" t="n"/>
      <c r="C106" s="35" t="n"/>
      <c r="D106" s="35" t="n"/>
      <c r="E106" s="36" t="n"/>
      <c r="F106" s="35" t="n"/>
      <c r="G106" s="35" t="n"/>
      <c r="I106" s="31">
        <f>IF(TRIM($A106&amp;"")="","",IF(ISNUMBER(--SUBSTITUTE(SUBSTITUTE(TRIM($A106&amp;""),"-","")," ","")),SUBSTITUTE(SUBSTITUTE(TRIM($A106&amp;""),"-","")," ",""),"N:"&amp;TRIM($A106&amp;"")))</f>
        <v/>
      </c>
      <c r="J106" s="31">
        <f>IF(LEN(SUBSTITUTE(SUBSTITUTE(SUBSTITUTE(SUBSTITUTE(SUBSTITUTE(SUBSTITUTE(SUBSTITUTE(SUBSTITUTE(SUBSTITUTE($C106&amp;""," ",""),"　",""),"(주)",""),"（주）",""),"㈜",""),"주식회사",""),"(유)",""),"（유）",""),"유한회사",""))&lt;2,"",SUBSTITUTE(SUBSTITUTE(SUBSTITUTE(SUBSTITUTE(SUBSTITUTE(SUBSTITUTE(SUBSTITUTE(SUBSTITUTE(SUBSTITUTE($C106&amp;""," ",""),"　",""),"(주)",""),"（주）",""),"㈜",""),"주식회사",""),"(유)",""),"（유）",""),"유한회사",""))</f>
        <v/>
      </c>
      <c r="K106" s="31">
        <f>IF(LEN(SUBSTITUTE(SUBSTITUTE(SUBSTITUTE(SUBSTITUTE(SUBSTITUTE(SUBSTITUTE(SUBSTITUTE(SUBSTITUTE(SUBSTITUTE($D106&amp;""," ",""),"　",""),"(주)",""),"（주）",""),"㈜",""),"주식회사",""),"(유)",""),"（유）",""),"유한회사",""))&lt;2,"",SUBSTITUTE(SUBSTITUTE(SUBSTITUTE(SUBSTITUTE(SUBSTITUTE(SUBSTITUTE(SUBSTITUTE(SUBSTITUTE(SUBSTITUTE($D106&amp;""," ",""),"　",""),"(주)",""),"（주）",""),"㈜",""),"주식회사",""),"(유)",""),"（유）",""),"유한회사",""))</f>
        <v/>
      </c>
    </row>
    <row r="107">
      <c r="A107" s="35" t="n"/>
      <c r="B107" s="35" t="n"/>
      <c r="C107" s="35" t="n"/>
      <c r="D107" s="35" t="n"/>
      <c r="E107" s="36" t="n"/>
      <c r="F107" s="35" t="n"/>
      <c r="G107" s="35" t="n"/>
      <c r="I107" s="31">
        <f>IF(TRIM($A107&amp;"")="","",IF(ISNUMBER(--SUBSTITUTE(SUBSTITUTE(TRIM($A107&amp;""),"-","")," ","")),SUBSTITUTE(SUBSTITUTE(TRIM($A107&amp;""),"-","")," ",""),"N:"&amp;TRIM($A107&amp;"")))</f>
        <v/>
      </c>
      <c r="J107" s="31">
        <f>IF(LEN(SUBSTITUTE(SUBSTITUTE(SUBSTITUTE(SUBSTITUTE(SUBSTITUTE(SUBSTITUTE(SUBSTITUTE(SUBSTITUTE(SUBSTITUTE($C107&amp;""," ",""),"　",""),"(주)",""),"（주）",""),"㈜",""),"주식회사",""),"(유)",""),"（유）",""),"유한회사",""))&lt;2,"",SUBSTITUTE(SUBSTITUTE(SUBSTITUTE(SUBSTITUTE(SUBSTITUTE(SUBSTITUTE(SUBSTITUTE(SUBSTITUTE(SUBSTITUTE($C107&amp;""," ",""),"　",""),"(주)",""),"（주）",""),"㈜",""),"주식회사",""),"(유)",""),"（유）",""),"유한회사",""))</f>
        <v/>
      </c>
      <c r="K107" s="31">
        <f>IF(LEN(SUBSTITUTE(SUBSTITUTE(SUBSTITUTE(SUBSTITUTE(SUBSTITUTE(SUBSTITUTE(SUBSTITUTE(SUBSTITUTE(SUBSTITUTE($D107&amp;""," ",""),"　",""),"(주)",""),"（주）",""),"㈜",""),"주식회사",""),"(유)",""),"（유）",""),"유한회사",""))&lt;2,"",SUBSTITUTE(SUBSTITUTE(SUBSTITUTE(SUBSTITUTE(SUBSTITUTE(SUBSTITUTE(SUBSTITUTE(SUBSTITUTE(SUBSTITUTE($D107&amp;""," ",""),"　",""),"(주)",""),"（주）",""),"㈜",""),"주식회사",""),"(유)",""),"（유）",""),"유한회사",""))</f>
        <v/>
      </c>
    </row>
    <row r="108">
      <c r="A108" s="35" t="n"/>
      <c r="B108" s="35" t="n"/>
      <c r="C108" s="35" t="n"/>
      <c r="D108" s="35" t="n"/>
      <c r="E108" s="36" t="n"/>
      <c r="F108" s="35" t="n"/>
      <c r="G108" s="35" t="n"/>
      <c r="I108" s="31">
        <f>IF(TRIM($A108&amp;"")="","",IF(ISNUMBER(--SUBSTITUTE(SUBSTITUTE(TRIM($A108&amp;""),"-","")," ","")),SUBSTITUTE(SUBSTITUTE(TRIM($A108&amp;""),"-","")," ",""),"N:"&amp;TRIM($A108&amp;"")))</f>
        <v/>
      </c>
      <c r="J108" s="31">
        <f>IF(LEN(SUBSTITUTE(SUBSTITUTE(SUBSTITUTE(SUBSTITUTE(SUBSTITUTE(SUBSTITUTE(SUBSTITUTE(SUBSTITUTE(SUBSTITUTE($C108&amp;""," ",""),"　",""),"(주)",""),"（주）",""),"㈜",""),"주식회사",""),"(유)",""),"（유）",""),"유한회사",""))&lt;2,"",SUBSTITUTE(SUBSTITUTE(SUBSTITUTE(SUBSTITUTE(SUBSTITUTE(SUBSTITUTE(SUBSTITUTE(SUBSTITUTE(SUBSTITUTE($C108&amp;""," ",""),"　",""),"(주)",""),"（주）",""),"㈜",""),"주식회사",""),"(유)",""),"（유）",""),"유한회사",""))</f>
        <v/>
      </c>
      <c r="K108" s="31">
        <f>IF(LEN(SUBSTITUTE(SUBSTITUTE(SUBSTITUTE(SUBSTITUTE(SUBSTITUTE(SUBSTITUTE(SUBSTITUTE(SUBSTITUTE(SUBSTITUTE($D108&amp;""," ",""),"　",""),"(주)",""),"（주）",""),"㈜",""),"주식회사",""),"(유)",""),"（유）",""),"유한회사",""))&lt;2,"",SUBSTITUTE(SUBSTITUTE(SUBSTITUTE(SUBSTITUTE(SUBSTITUTE(SUBSTITUTE(SUBSTITUTE(SUBSTITUTE(SUBSTITUTE($D108&amp;""," ",""),"　",""),"(주)",""),"（주）",""),"㈜",""),"주식회사",""),"(유)",""),"（유）",""),"유한회사",""))</f>
        <v/>
      </c>
    </row>
    <row r="109">
      <c r="A109" s="35" t="n"/>
      <c r="B109" s="35" t="n"/>
      <c r="C109" s="35" t="n"/>
      <c r="D109" s="35" t="n"/>
      <c r="E109" s="36" t="n"/>
      <c r="F109" s="35" t="n"/>
      <c r="G109" s="35" t="n"/>
      <c r="I109" s="31">
        <f>IF(TRIM($A109&amp;"")="","",IF(ISNUMBER(--SUBSTITUTE(SUBSTITUTE(TRIM($A109&amp;""),"-","")," ","")),SUBSTITUTE(SUBSTITUTE(TRIM($A109&amp;""),"-","")," ",""),"N:"&amp;TRIM($A109&amp;"")))</f>
        <v/>
      </c>
      <c r="J109" s="31">
        <f>IF(LEN(SUBSTITUTE(SUBSTITUTE(SUBSTITUTE(SUBSTITUTE(SUBSTITUTE(SUBSTITUTE(SUBSTITUTE(SUBSTITUTE(SUBSTITUTE($C109&amp;""," ",""),"　",""),"(주)",""),"（주）",""),"㈜",""),"주식회사",""),"(유)",""),"（유）",""),"유한회사",""))&lt;2,"",SUBSTITUTE(SUBSTITUTE(SUBSTITUTE(SUBSTITUTE(SUBSTITUTE(SUBSTITUTE(SUBSTITUTE(SUBSTITUTE(SUBSTITUTE($C109&amp;""," ",""),"　",""),"(주)",""),"（주）",""),"㈜",""),"주식회사",""),"(유)",""),"（유）",""),"유한회사",""))</f>
        <v/>
      </c>
      <c r="K109" s="31">
        <f>IF(LEN(SUBSTITUTE(SUBSTITUTE(SUBSTITUTE(SUBSTITUTE(SUBSTITUTE(SUBSTITUTE(SUBSTITUTE(SUBSTITUTE(SUBSTITUTE($D109&amp;""," ",""),"　",""),"(주)",""),"（주）",""),"㈜",""),"주식회사",""),"(유)",""),"（유）",""),"유한회사",""))&lt;2,"",SUBSTITUTE(SUBSTITUTE(SUBSTITUTE(SUBSTITUTE(SUBSTITUTE(SUBSTITUTE(SUBSTITUTE(SUBSTITUTE(SUBSTITUTE($D109&amp;""," ",""),"　",""),"(주)",""),"（주）",""),"㈜",""),"주식회사",""),"(유)",""),"（유）",""),"유한회사",""))</f>
        <v/>
      </c>
    </row>
    <row r="110">
      <c r="A110" s="35" t="n"/>
      <c r="B110" s="35" t="n"/>
      <c r="C110" s="35" t="n"/>
      <c r="D110" s="35" t="n"/>
      <c r="E110" s="36" t="n"/>
      <c r="F110" s="35" t="n"/>
      <c r="G110" s="35" t="n"/>
      <c r="I110" s="31">
        <f>IF(TRIM($A110&amp;"")="","",IF(ISNUMBER(--SUBSTITUTE(SUBSTITUTE(TRIM($A110&amp;""),"-","")," ","")),SUBSTITUTE(SUBSTITUTE(TRIM($A110&amp;""),"-","")," ",""),"N:"&amp;TRIM($A110&amp;"")))</f>
        <v/>
      </c>
      <c r="J110" s="31">
        <f>IF(LEN(SUBSTITUTE(SUBSTITUTE(SUBSTITUTE(SUBSTITUTE(SUBSTITUTE(SUBSTITUTE(SUBSTITUTE(SUBSTITUTE(SUBSTITUTE($C110&amp;""," ",""),"　",""),"(주)",""),"（주）",""),"㈜",""),"주식회사",""),"(유)",""),"（유）",""),"유한회사",""))&lt;2,"",SUBSTITUTE(SUBSTITUTE(SUBSTITUTE(SUBSTITUTE(SUBSTITUTE(SUBSTITUTE(SUBSTITUTE(SUBSTITUTE(SUBSTITUTE($C110&amp;""," ",""),"　",""),"(주)",""),"（주）",""),"㈜",""),"주식회사",""),"(유)",""),"（유）",""),"유한회사",""))</f>
        <v/>
      </c>
      <c r="K110" s="31">
        <f>IF(LEN(SUBSTITUTE(SUBSTITUTE(SUBSTITUTE(SUBSTITUTE(SUBSTITUTE(SUBSTITUTE(SUBSTITUTE(SUBSTITUTE(SUBSTITUTE($D110&amp;""," ",""),"　",""),"(주)",""),"（주）",""),"㈜",""),"주식회사",""),"(유)",""),"（유）",""),"유한회사",""))&lt;2,"",SUBSTITUTE(SUBSTITUTE(SUBSTITUTE(SUBSTITUTE(SUBSTITUTE(SUBSTITUTE(SUBSTITUTE(SUBSTITUTE(SUBSTITUTE($D110&amp;""," ",""),"　",""),"(주)",""),"（주）",""),"㈜",""),"주식회사",""),"(유)",""),"（유）",""),"유한회사",""))</f>
        <v/>
      </c>
    </row>
    <row r="111">
      <c r="A111" s="35" t="n"/>
      <c r="B111" s="35" t="n"/>
      <c r="C111" s="35" t="n"/>
      <c r="D111" s="35" t="n"/>
      <c r="E111" s="36" t="n"/>
      <c r="F111" s="35" t="n"/>
      <c r="G111" s="35" t="n"/>
      <c r="I111" s="31">
        <f>IF(TRIM($A111&amp;"")="","",IF(ISNUMBER(--SUBSTITUTE(SUBSTITUTE(TRIM($A111&amp;""),"-","")," ","")),SUBSTITUTE(SUBSTITUTE(TRIM($A111&amp;""),"-","")," ",""),"N:"&amp;TRIM($A111&amp;"")))</f>
        <v/>
      </c>
      <c r="J111" s="31">
        <f>IF(LEN(SUBSTITUTE(SUBSTITUTE(SUBSTITUTE(SUBSTITUTE(SUBSTITUTE(SUBSTITUTE(SUBSTITUTE(SUBSTITUTE(SUBSTITUTE($C111&amp;""," ",""),"　",""),"(주)",""),"（주）",""),"㈜",""),"주식회사",""),"(유)",""),"（유）",""),"유한회사",""))&lt;2,"",SUBSTITUTE(SUBSTITUTE(SUBSTITUTE(SUBSTITUTE(SUBSTITUTE(SUBSTITUTE(SUBSTITUTE(SUBSTITUTE(SUBSTITUTE($C111&amp;""," ",""),"　",""),"(주)",""),"（주）",""),"㈜",""),"주식회사",""),"(유)",""),"（유）",""),"유한회사",""))</f>
        <v/>
      </c>
      <c r="K111" s="31">
        <f>IF(LEN(SUBSTITUTE(SUBSTITUTE(SUBSTITUTE(SUBSTITUTE(SUBSTITUTE(SUBSTITUTE(SUBSTITUTE(SUBSTITUTE(SUBSTITUTE($D111&amp;""," ",""),"　",""),"(주)",""),"（주）",""),"㈜",""),"주식회사",""),"(유)",""),"（유）",""),"유한회사",""))&lt;2,"",SUBSTITUTE(SUBSTITUTE(SUBSTITUTE(SUBSTITUTE(SUBSTITUTE(SUBSTITUTE(SUBSTITUTE(SUBSTITUTE(SUBSTITUTE($D111&amp;""," ",""),"　",""),"(주)",""),"（주）",""),"㈜",""),"주식회사",""),"(유)",""),"（유）",""),"유한회사",""))</f>
        <v/>
      </c>
    </row>
    <row r="112">
      <c r="A112" s="35" t="n"/>
      <c r="B112" s="35" t="n"/>
      <c r="C112" s="35" t="n"/>
      <c r="D112" s="35" t="n"/>
      <c r="E112" s="36" t="n"/>
      <c r="F112" s="35" t="n"/>
      <c r="G112" s="35" t="n"/>
      <c r="I112" s="31">
        <f>IF(TRIM($A112&amp;"")="","",IF(ISNUMBER(--SUBSTITUTE(SUBSTITUTE(TRIM($A112&amp;""),"-","")," ","")),SUBSTITUTE(SUBSTITUTE(TRIM($A112&amp;""),"-","")," ",""),"N:"&amp;TRIM($A112&amp;"")))</f>
        <v/>
      </c>
      <c r="J112" s="31">
        <f>IF(LEN(SUBSTITUTE(SUBSTITUTE(SUBSTITUTE(SUBSTITUTE(SUBSTITUTE(SUBSTITUTE(SUBSTITUTE(SUBSTITUTE(SUBSTITUTE($C112&amp;""," ",""),"　",""),"(주)",""),"（주）",""),"㈜",""),"주식회사",""),"(유)",""),"（유）",""),"유한회사",""))&lt;2,"",SUBSTITUTE(SUBSTITUTE(SUBSTITUTE(SUBSTITUTE(SUBSTITUTE(SUBSTITUTE(SUBSTITUTE(SUBSTITUTE(SUBSTITUTE($C112&amp;""," ",""),"　",""),"(주)",""),"（주）",""),"㈜",""),"주식회사",""),"(유)",""),"（유）",""),"유한회사",""))</f>
        <v/>
      </c>
      <c r="K112" s="31">
        <f>IF(LEN(SUBSTITUTE(SUBSTITUTE(SUBSTITUTE(SUBSTITUTE(SUBSTITUTE(SUBSTITUTE(SUBSTITUTE(SUBSTITUTE(SUBSTITUTE($D112&amp;""," ",""),"　",""),"(주)",""),"（주）",""),"㈜",""),"주식회사",""),"(유)",""),"（유）",""),"유한회사",""))&lt;2,"",SUBSTITUTE(SUBSTITUTE(SUBSTITUTE(SUBSTITUTE(SUBSTITUTE(SUBSTITUTE(SUBSTITUTE(SUBSTITUTE(SUBSTITUTE($D112&amp;""," ",""),"　",""),"(주)",""),"（주）",""),"㈜",""),"주식회사",""),"(유)",""),"（유）",""),"유한회사",""))</f>
        <v/>
      </c>
    </row>
    <row r="113">
      <c r="A113" s="35" t="n"/>
      <c r="B113" s="35" t="n"/>
      <c r="C113" s="35" t="n"/>
      <c r="D113" s="35" t="n"/>
      <c r="E113" s="36" t="n"/>
      <c r="F113" s="35" t="n"/>
      <c r="G113" s="35" t="n"/>
      <c r="I113" s="31">
        <f>IF(TRIM($A113&amp;"")="","",IF(ISNUMBER(--SUBSTITUTE(SUBSTITUTE(TRIM($A113&amp;""),"-","")," ","")),SUBSTITUTE(SUBSTITUTE(TRIM($A113&amp;""),"-","")," ",""),"N:"&amp;TRIM($A113&amp;"")))</f>
        <v/>
      </c>
      <c r="J113" s="31">
        <f>IF(LEN(SUBSTITUTE(SUBSTITUTE(SUBSTITUTE(SUBSTITUTE(SUBSTITUTE(SUBSTITUTE(SUBSTITUTE(SUBSTITUTE(SUBSTITUTE($C113&amp;""," ",""),"　",""),"(주)",""),"（주）",""),"㈜",""),"주식회사",""),"(유)",""),"（유）",""),"유한회사",""))&lt;2,"",SUBSTITUTE(SUBSTITUTE(SUBSTITUTE(SUBSTITUTE(SUBSTITUTE(SUBSTITUTE(SUBSTITUTE(SUBSTITUTE(SUBSTITUTE($C113&amp;""," ",""),"　",""),"(주)",""),"（주）",""),"㈜",""),"주식회사",""),"(유)",""),"（유）",""),"유한회사",""))</f>
        <v/>
      </c>
      <c r="K113" s="31">
        <f>IF(LEN(SUBSTITUTE(SUBSTITUTE(SUBSTITUTE(SUBSTITUTE(SUBSTITUTE(SUBSTITUTE(SUBSTITUTE(SUBSTITUTE(SUBSTITUTE($D113&amp;""," ",""),"　",""),"(주)",""),"（주）",""),"㈜",""),"주식회사",""),"(유)",""),"（유）",""),"유한회사",""))&lt;2,"",SUBSTITUTE(SUBSTITUTE(SUBSTITUTE(SUBSTITUTE(SUBSTITUTE(SUBSTITUTE(SUBSTITUTE(SUBSTITUTE(SUBSTITUTE($D113&amp;""," ",""),"　",""),"(주)",""),"（주）",""),"㈜",""),"주식회사",""),"(유)",""),"（유）",""),"유한회사",""))</f>
        <v/>
      </c>
    </row>
    <row r="114">
      <c r="A114" s="35" t="n"/>
      <c r="B114" s="35" t="n"/>
      <c r="C114" s="35" t="n"/>
      <c r="D114" s="35" t="n"/>
      <c r="E114" s="36" t="n"/>
      <c r="F114" s="35" t="n"/>
      <c r="G114" s="35" t="n"/>
      <c r="I114" s="31">
        <f>IF(TRIM($A114&amp;"")="","",IF(ISNUMBER(--SUBSTITUTE(SUBSTITUTE(TRIM($A114&amp;""),"-","")," ","")),SUBSTITUTE(SUBSTITUTE(TRIM($A114&amp;""),"-","")," ",""),"N:"&amp;TRIM($A114&amp;"")))</f>
        <v/>
      </c>
      <c r="J114" s="31">
        <f>IF(LEN(SUBSTITUTE(SUBSTITUTE(SUBSTITUTE(SUBSTITUTE(SUBSTITUTE(SUBSTITUTE(SUBSTITUTE(SUBSTITUTE(SUBSTITUTE($C114&amp;""," ",""),"　",""),"(주)",""),"（주）",""),"㈜",""),"주식회사",""),"(유)",""),"（유）",""),"유한회사",""))&lt;2,"",SUBSTITUTE(SUBSTITUTE(SUBSTITUTE(SUBSTITUTE(SUBSTITUTE(SUBSTITUTE(SUBSTITUTE(SUBSTITUTE(SUBSTITUTE($C114&amp;""," ",""),"　",""),"(주)",""),"（주）",""),"㈜",""),"주식회사",""),"(유)",""),"（유）",""),"유한회사",""))</f>
        <v/>
      </c>
      <c r="K114" s="31">
        <f>IF(LEN(SUBSTITUTE(SUBSTITUTE(SUBSTITUTE(SUBSTITUTE(SUBSTITUTE(SUBSTITUTE(SUBSTITUTE(SUBSTITUTE(SUBSTITUTE($D114&amp;""," ",""),"　",""),"(주)",""),"（주）",""),"㈜",""),"주식회사",""),"(유)",""),"（유）",""),"유한회사",""))&lt;2,"",SUBSTITUTE(SUBSTITUTE(SUBSTITUTE(SUBSTITUTE(SUBSTITUTE(SUBSTITUTE(SUBSTITUTE(SUBSTITUTE(SUBSTITUTE($D114&amp;""," ",""),"　",""),"(주)",""),"（주）",""),"㈜",""),"주식회사",""),"(유)",""),"（유）",""),"유한회사",""))</f>
        <v/>
      </c>
    </row>
    <row r="115">
      <c r="A115" s="35" t="n"/>
      <c r="B115" s="35" t="n"/>
      <c r="C115" s="35" t="n"/>
      <c r="D115" s="35" t="n"/>
      <c r="E115" s="36" t="n"/>
      <c r="F115" s="35" t="n"/>
      <c r="G115" s="35" t="n"/>
      <c r="I115" s="31">
        <f>IF(TRIM($A115&amp;"")="","",IF(ISNUMBER(--SUBSTITUTE(SUBSTITUTE(TRIM($A115&amp;""),"-","")," ","")),SUBSTITUTE(SUBSTITUTE(TRIM($A115&amp;""),"-","")," ",""),"N:"&amp;TRIM($A115&amp;"")))</f>
        <v/>
      </c>
      <c r="J115" s="31">
        <f>IF(LEN(SUBSTITUTE(SUBSTITUTE(SUBSTITUTE(SUBSTITUTE(SUBSTITUTE(SUBSTITUTE(SUBSTITUTE(SUBSTITUTE(SUBSTITUTE($C115&amp;""," ",""),"　",""),"(주)",""),"（주）",""),"㈜",""),"주식회사",""),"(유)",""),"（유）",""),"유한회사",""))&lt;2,"",SUBSTITUTE(SUBSTITUTE(SUBSTITUTE(SUBSTITUTE(SUBSTITUTE(SUBSTITUTE(SUBSTITUTE(SUBSTITUTE(SUBSTITUTE($C115&amp;""," ",""),"　",""),"(주)",""),"（주）",""),"㈜",""),"주식회사",""),"(유)",""),"（유）",""),"유한회사",""))</f>
        <v/>
      </c>
      <c r="K115" s="31">
        <f>IF(LEN(SUBSTITUTE(SUBSTITUTE(SUBSTITUTE(SUBSTITUTE(SUBSTITUTE(SUBSTITUTE(SUBSTITUTE(SUBSTITUTE(SUBSTITUTE($D115&amp;""," ",""),"　",""),"(주)",""),"（주）",""),"㈜",""),"주식회사",""),"(유)",""),"（유）",""),"유한회사",""))&lt;2,"",SUBSTITUTE(SUBSTITUTE(SUBSTITUTE(SUBSTITUTE(SUBSTITUTE(SUBSTITUTE(SUBSTITUTE(SUBSTITUTE(SUBSTITUTE($D115&amp;""," ",""),"　",""),"(주)",""),"（주）",""),"㈜",""),"주식회사",""),"(유)",""),"（유）",""),"유한회사",""))</f>
        <v/>
      </c>
    </row>
    <row r="116">
      <c r="A116" s="35" t="n"/>
      <c r="B116" s="35" t="n"/>
      <c r="C116" s="35" t="n"/>
      <c r="D116" s="35" t="n"/>
      <c r="E116" s="36" t="n"/>
      <c r="F116" s="35" t="n"/>
      <c r="G116" s="35" t="n"/>
      <c r="I116" s="31">
        <f>IF(TRIM($A116&amp;"")="","",IF(ISNUMBER(--SUBSTITUTE(SUBSTITUTE(TRIM($A116&amp;""),"-","")," ","")),SUBSTITUTE(SUBSTITUTE(TRIM($A116&amp;""),"-","")," ",""),"N:"&amp;TRIM($A116&amp;"")))</f>
        <v/>
      </c>
      <c r="J116" s="31">
        <f>IF(LEN(SUBSTITUTE(SUBSTITUTE(SUBSTITUTE(SUBSTITUTE(SUBSTITUTE(SUBSTITUTE(SUBSTITUTE(SUBSTITUTE(SUBSTITUTE($C116&amp;""," ",""),"　",""),"(주)",""),"（주）",""),"㈜",""),"주식회사",""),"(유)",""),"（유）",""),"유한회사",""))&lt;2,"",SUBSTITUTE(SUBSTITUTE(SUBSTITUTE(SUBSTITUTE(SUBSTITUTE(SUBSTITUTE(SUBSTITUTE(SUBSTITUTE(SUBSTITUTE($C116&amp;""," ",""),"　",""),"(주)",""),"（주）",""),"㈜",""),"주식회사",""),"(유)",""),"（유）",""),"유한회사",""))</f>
        <v/>
      </c>
      <c r="K116" s="31">
        <f>IF(LEN(SUBSTITUTE(SUBSTITUTE(SUBSTITUTE(SUBSTITUTE(SUBSTITUTE(SUBSTITUTE(SUBSTITUTE(SUBSTITUTE(SUBSTITUTE($D116&amp;""," ",""),"　",""),"(주)",""),"（주）",""),"㈜",""),"주식회사",""),"(유)",""),"（유）",""),"유한회사",""))&lt;2,"",SUBSTITUTE(SUBSTITUTE(SUBSTITUTE(SUBSTITUTE(SUBSTITUTE(SUBSTITUTE(SUBSTITUTE(SUBSTITUTE(SUBSTITUTE($D116&amp;""," ",""),"　",""),"(주)",""),"（주）",""),"㈜",""),"주식회사",""),"(유)",""),"（유）",""),"유한회사",""))</f>
        <v/>
      </c>
    </row>
    <row r="117">
      <c r="A117" s="35" t="n"/>
      <c r="B117" s="35" t="n"/>
      <c r="C117" s="35" t="n"/>
      <c r="D117" s="35" t="n"/>
      <c r="E117" s="36" t="n"/>
      <c r="F117" s="35" t="n"/>
      <c r="G117" s="35" t="n"/>
      <c r="I117" s="31">
        <f>IF(TRIM($A117&amp;"")="","",IF(ISNUMBER(--SUBSTITUTE(SUBSTITUTE(TRIM($A117&amp;""),"-","")," ","")),SUBSTITUTE(SUBSTITUTE(TRIM($A117&amp;""),"-","")," ",""),"N:"&amp;TRIM($A117&amp;"")))</f>
        <v/>
      </c>
      <c r="J117" s="31">
        <f>IF(LEN(SUBSTITUTE(SUBSTITUTE(SUBSTITUTE(SUBSTITUTE(SUBSTITUTE(SUBSTITUTE(SUBSTITUTE(SUBSTITUTE(SUBSTITUTE($C117&amp;""," ",""),"　",""),"(주)",""),"（주）",""),"㈜",""),"주식회사",""),"(유)",""),"（유）",""),"유한회사",""))&lt;2,"",SUBSTITUTE(SUBSTITUTE(SUBSTITUTE(SUBSTITUTE(SUBSTITUTE(SUBSTITUTE(SUBSTITUTE(SUBSTITUTE(SUBSTITUTE($C117&amp;""," ",""),"　",""),"(주)",""),"（주）",""),"㈜",""),"주식회사",""),"(유)",""),"（유）",""),"유한회사",""))</f>
        <v/>
      </c>
      <c r="K117" s="31">
        <f>IF(LEN(SUBSTITUTE(SUBSTITUTE(SUBSTITUTE(SUBSTITUTE(SUBSTITUTE(SUBSTITUTE(SUBSTITUTE(SUBSTITUTE(SUBSTITUTE($D117&amp;""," ",""),"　",""),"(주)",""),"（주）",""),"㈜",""),"주식회사",""),"(유)",""),"（유）",""),"유한회사",""))&lt;2,"",SUBSTITUTE(SUBSTITUTE(SUBSTITUTE(SUBSTITUTE(SUBSTITUTE(SUBSTITUTE(SUBSTITUTE(SUBSTITUTE(SUBSTITUTE($D117&amp;""," ",""),"　",""),"(주)",""),"（주）",""),"㈜",""),"주식회사",""),"(유)",""),"（유）",""),"유한회사",""))</f>
        <v/>
      </c>
    </row>
    <row r="118">
      <c r="A118" s="35" t="n"/>
      <c r="B118" s="35" t="n"/>
      <c r="C118" s="35" t="n"/>
      <c r="D118" s="35" t="n"/>
      <c r="E118" s="36" t="n"/>
      <c r="F118" s="35" t="n"/>
      <c r="G118" s="35" t="n"/>
      <c r="I118" s="31">
        <f>IF(TRIM($A118&amp;"")="","",IF(ISNUMBER(--SUBSTITUTE(SUBSTITUTE(TRIM($A118&amp;""),"-","")," ","")),SUBSTITUTE(SUBSTITUTE(TRIM($A118&amp;""),"-","")," ",""),"N:"&amp;TRIM($A118&amp;"")))</f>
        <v/>
      </c>
      <c r="J118" s="31">
        <f>IF(LEN(SUBSTITUTE(SUBSTITUTE(SUBSTITUTE(SUBSTITUTE(SUBSTITUTE(SUBSTITUTE(SUBSTITUTE(SUBSTITUTE(SUBSTITUTE($C118&amp;""," ",""),"　",""),"(주)",""),"（주）",""),"㈜",""),"주식회사",""),"(유)",""),"（유）",""),"유한회사",""))&lt;2,"",SUBSTITUTE(SUBSTITUTE(SUBSTITUTE(SUBSTITUTE(SUBSTITUTE(SUBSTITUTE(SUBSTITUTE(SUBSTITUTE(SUBSTITUTE($C118&amp;""," ",""),"　",""),"(주)",""),"（주）",""),"㈜",""),"주식회사",""),"(유)",""),"（유）",""),"유한회사",""))</f>
        <v/>
      </c>
      <c r="K118" s="31">
        <f>IF(LEN(SUBSTITUTE(SUBSTITUTE(SUBSTITUTE(SUBSTITUTE(SUBSTITUTE(SUBSTITUTE(SUBSTITUTE(SUBSTITUTE(SUBSTITUTE($D118&amp;""," ",""),"　",""),"(주)",""),"（주）",""),"㈜",""),"주식회사",""),"(유)",""),"（유）",""),"유한회사",""))&lt;2,"",SUBSTITUTE(SUBSTITUTE(SUBSTITUTE(SUBSTITUTE(SUBSTITUTE(SUBSTITUTE(SUBSTITUTE(SUBSTITUTE(SUBSTITUTE($D118&amp;""," ",""),"　",""),"(주)",""),"（주）",""),"㈜",""),"주식회사",""),"(유)",""),"（유）",""),"유한회사",""))</f>
        <v/>
      </c>
    </row>
    <row r="119">
      <c r="A119" s="35" t="n"/>
      <c r="B119" s="35" t="n"/>
      <c r="C119" s="35" t="n"/>
      <c r="D119" s="35" t="n"/>
      <c r="E119" s="36" t="n"/>
      <c r="F119" s="35" t="n"/>
      <c r="G119" s="35" t="n"/>
      <c r="I119" s="31">
        <f>IF(TRIM($A119&amp;"")="","",IF(ISNUMBER(--SUBSTITUTE(SUBSTITUTE(TRIM($A119&amp;""),"-","")," ","")),SUBSTITUTE(SUBSTITUTE(TRIM($A119&amp;""),"-","")," ",""),"N:"&amp;TRIM($A119&amp;"")))</f>
        <v/>
      </c>
      <c r="J119" s="31">
        <f>IF(LEN(SUBSTITUTE(SUBSTITUTE(SUBSTITUTE(SUBSTITUTE(SUBSTITUTE(SUBSTITUTE(SUBSTITUTE(SUBSTITUTE(SUBSTITUTE($C119&amp;""," ",""),"　",""),"(주)",""),"（주）",""),"㈜",""),"주식회사",""),"(유)",""),"（유）",""),"유한회사",""))&lt;2,"",SUBSTITUTE(SUBSTITUTE(SUBSTITUTE(SUBSTITUTE(SUBSTITUTE(SUBSTITUTE(SUBSTITUTE(SUBSTITUTE(SUBSTITUTE($C119&amp;""," ",""),"　",""),"(주)",""),"（주）",""),"㈜",""),"주식회사",""),"(유)",""),"（유）",""),"유한회사",""))</f>
        <v/>
      </c>
      <c r="K119" s="31">
        <f>IF(LEN(SUBSTITUTE(SUBSTITUTE(SUBSTITUTE(SUBSTITUTE(SUBSTITUTE(SUBSTITUTE(SUBSTITUTE(SUBSTITUTE(SUBSTITUTE($D119&amp;""," ",""),"　",""),"(주)",""),"（주）",""),"㈜",""),"주식회사",""),"(유)",""),"（유）",""),"유한회사",""))&lt;2,"",SUBSTITUTE(SUBSTITUTE(SUBSTITUTE(SUBSTITUTE(SUBSTITUTE(SUBSTITUTE(SUBSTITUTE(SUBSTITUTE(SUBSTITUTE($D119&amp;""," ",""),"　",""),"(주)",""),"（주）",""),"㈜",""),"주식회사",""),"(유)",""),"（유）",""),"유한회사",""))</f>
        <v/>
      </c>
    </row>
    <row r="120">
      <c r="A120" s="35" t="n"/>
      <c r="B120" s="35" t="n"/>
      <c r="C120" s="35" t="n"/>
      <c r="D120" s="35" t="n"/>
      <c r="E120" s="36" t="n"/>
      <c r="F120" s="35" t="n"/>
      <c r="G120" s="35" t="n"/>
      <c r="I120" s="31">
        <f>IF(TRIM($A120&amp;"")="","",IF(ISNUMBER(--SUBSTITUTE(SUBSTITUTE(TRIM($A120&amp;""),"-","")," ","")),SUBSTITUTE(SUBSTITUTE(TRIM($A120&amp;""),"-","")," ",""),"N:"&amp;TRIM($A120&amp;"")))</f>
        <v/>
      </c>
      <c r="J120" s="31">
        <f>IF(LEN(SUBSTITUTE(SUBSTITUTE(SUBSTITUTE(SUBSTITUTE(SUBSTITUTE(SUBSTITUTE(SUBSTITUTE(SUBSTITUTE(SUBSTITUTE($C120&amp;""," ",""),"　",""),"(주)",""),"（주）",""),"㈜",""),"주식회사",""),"(유)",""),"（유）",""),"유한회사",""))&lt;2,"",SUBSTITUTE(SUBSTITUTE(SUBSTITUTE(SUBSTITUTE(SUBSTITUTE(SUBSTITUTE(SUBSTITUTE(SUBSTITUTE(SUBSTITUTE($C120&amp;""," ",""),"　",""),"(주)",""),"（주）",""),"㈜",""),"주식회사",""),"(유)",""),"（유）",""),"유한회사",""))</f>
        <v/>
      </c>
      <c r="K120" s="31">
        <f>IF(LEN(SUBSTITUTE(SUBSTITUTE(SUBSTITUTE(SUBSTITUTE(SUBSTITUTE(SUBSTITUTE(SUBSTITUTE(SUBSTITUTE(SUBSTITUTE($D120&amp;""," ",""),"　",""),"(주)",""),"（주）",""),"㈜",""),"주식회사",""),"(유)",""),"（유）",""),"유한회사",""))&lt;2,"",SUBSTITUTE(SUBSTITUTE(SUBSTITUTE(SUBSTITUTE(SUBSTITUTE(SUBSTITUTE(SUBSTITUTE(SUBSTITUTE(SUBSTITUTE($D120&amp;""," ",""),"　",""),"(주)",""),"（주）",""),"㈜",""),"주식회사",""),"(유)",""),"（유）",""),"유한회사",""))</f>
        <v/>
      </c>
    </row>
    <row r="121">
      <c r="A121" s="35" t="n"/>
      <c r="B121" s="35" t="n"/>
      <c r="C121" s="35" t="n"/>
      <c r="D121" s="35" t="n"/>
      <c r="E121" s="36" t="n"/>
      <c r="F121" s="35" t="n"/>
      <c r="G121" s="35" t="n"/>
      <c r="I121" s="31">
        <f>IF(TRIM($A121&amp;"")="","",IF(ISNUMBER(--SUBSTITUTE(SUBSTITUTE(TRIM($A121&amp;""),"-","")," ","")),SUBSTITUTE(SUBSTITUTE(TRIM($A121&amp;""),"-","")," ",""),"N:"&amp;TRIM($A121&amp;"")))</f>
        <v/>
      </c>
      <c r="J121" s="31">
        <f>IF(LEN(SUBSTITUTE(SUBSTITUTE(SUBSTITUTE(SUBSTITUTE(SUBSTITUTE(SUBSTITUTE(SUBSTITUTE(SUBSTITUTE(SUBSTITUTE($C121&amp;""," ",""),"　",""),"(주)",""),"（주）",""),"㈜",""),"주식회사",""),"(유)",""),"（유）",""),"유한회사",""))&lt;2,"",SUBSTITUTE(SUBSTITUTE(SUBSTITUTE(SUBSTITUTE(SUBSTITUTE(SUBSTITUTE(SUBSTITUTE(SUBSTITUTE(SUBSTITUTE($C121&amp;""," ",""),"　",""),"(주)",""),"（주）",""),"㈜",""),"주식회사",""),"(유)",""),"（유）",""),"유한회사",""))</f>
        <v/>
      </c>
      <c r="K121" s="31">
        <f>IF(LEN(SUBSTITUTE(SUBSTITUTE(SUBSTITUTE(SUBSTITUTE(SUBSTITUTE(SUBSTITUTE(SUBSTITUTE(SUBSTITUTE(SUBSTITUTE($D121&amp;""," ",""),"　",""),"(주)",""),"（주）",""),"㈜",""),"주식회사",""),"(유)",""),"（유）",""),"유한회사",""))&lt;2,"",SUBSTITUTE(SUBSTITUTE(SUBSTITUTE(SUBSTITUTE(SUBSTITUTE(SUBSTITUTE(SUBSTITUTE(SUBSTITUTE(SUBSTITUTE($D121&amp;""," ",""),"　",""),"(주)",""),"（주）",""),"㈜",""),"주식회사",""),"(유)",""),"（유）",""),"유한회사",""))</f>
        <v/>
      </c>
    </row>
    <row r="122">
      <c r="A122" s="35" t="n"/>
      <c r="B122" s="35" t="n"/>
      <c r="C122" s="35" t="n"/>
      <c r="D122" s="35" t="n"/>
      <c r="E122" s="36" t="n"/>
      <c r="F122" s="35" t="n"/>
      <c r="G122" s="35" t="n"/>
      <c r="I122" s="31">
        <f>IF(TRIM($A122&amp;"")="","",IF(ISNUMBER(--SUBSTITUTE(SUBSTITUTE(TRIM($A122&amp;""),"-","")," ","")),SUBSTITUTE(SUBSTITUTE(TRIM($A122&amp;""),"-","")," ",""),"N:"&amp;TRIM($A122&amp;"")))</f>
        <v/>
      </c>
      <c r="J122" s="31">
        <f>IF(LEN(SUBSTITUTE(SUBSTITUTE(SUBSTITUTE(SUBSTITUTE(SUBSTITUTE(SUBSTITUTE(SUBSTITUTE(SUBSTITUTE(SUBSTITUTE($C122&amp;""," ",""),"　",""),"(주)",""),"（주）",""),"㈜",""),"주식회사",""),"(유)",""),"（유）",""),"유한회사",""))&lt;2,"",SUBSTITUTE(SUBSTITUTE(SUBSTITUTE(SUBSTITUTE(SUBSTITUTE(SUBSTITUTE(SUBSTITUTE(SUBSTITUTE(SUBSTITUTE($C122&amp;""," ",""),"　",""),"(주)",""),"（주）",""),"㈜",""),"주식회사",""),"(유)",""),"（유）",""),"유한회사",""))</f>
        <v/>
      </c>
      <c r="K122" s="31">
        <f>IF(LEN(SUBSTITUTE(SUBSTITUTE(SUBSTITUTE(SUBSTITUTE(SUBSTITUTE(SUBSTITUTE(SUBSTITUTE(SUBSTITUTE(SUBSTITUTE($D122&amp;""," ",""),"　",""),"(주)",""),"（주）",""),"㈜",""),"주식회사",""),"(유)",""),"（유）",""),"유한회사",""))&lt;2,"",SUBSTITUTE(SUBSTITUTE(SUBSTITUTE(SUBSTITUTE(SUBSTITUTE(SUBSTITUTE(SUBSTITUTE(SUBSTITUTE(SUBSTITUTE($D122&amp;""," ",""),"　",""),"(주)",""),"（주）",""),"㈜",""),"주식회사",""),"(유)",""),"（유）",""),"유한회사",""))</f>
        <v/>
      </c>
    </row>
    <row r="123">
      <c r="A123" s="35" t="n"/>
      <c r="B123" s="35" t="n"/>
      <c r="C123" s="35" t="n"/>
      <c r="D123" s="35" t="n"/>
      <c r="E123" s="36" t="n"/>
      <c r="F123" s="35" t="n"/>
      <c r="G123" s="35" t="n"/>
      <c r="I123" s="31">
        <f>IF(TRIM($A123&amp;"")="","",IF(ISNUMBER(--SUBSTITUTE(SUBSTITUTE(TRIM($A123&amp;""),"-","")," ","")),SUBSTITUTE(SUBSTITUTE(TRIM($A123&amp;""),"-","")," ",""),"N:"&amp;TRIM($A123&amp;"")))</f>
        <v/>
      </c>
      <c r="J123" s="31">
        <f>IF(LEN(SUBSTITUTE(SUBSTITUTE(SUBSTITUTE(SUBSTITUTE(SUBSTITUTE(SUBSTITUTE(SUBSTITUTE(SUBSTITUTE(SUBSTITUTE($C123&amp;""," ",""),"　",""),"(주)",""),"（주）",""),"㈜",""),"주식회사",""),"(유)",""),"（유）",""),"유한회사",""))&lt;2,"",SUBSTITUTE(SUBSTITUTE(SUBSTITUTE(SUBSTITUTE(SUBSTITUTE(SUBSTITUTE(SUBSTITUTE(SUBSTITUTE(SUBSTITUTE($C123&amp;""," ",""),"　",""),"(주)",""),"（주）",""),"㈜",""),"주식회사",""),"(유)",""),"（유）",""),"유한회사",""))</f>
        <v/>
      </c>
      <c r="K123" s="31">
        <f>IF(LEN(SUBSTITUTE(SUBSTITUTE(SUBSTITUTE(SUBSTITUTE(SUBSTITUTE(SUBSTITUTE(SUBSTITUTE(SUBSTITUTE(SUBSTITUTE($D123&amp;""," ",""),"　",""),"(주)",""),"（주）",""),"㈜",""),"주식회사",""),"(유)",""),"（유）",""),"유한회사",""))&lt;2,"",SUBSTITUTE(SUBSTITUTE(SUBSTITUTE(SUBSTITUTE(SUBSTITUTE(SUBSTITUTE(SUBSTITUTE(SUBSTITUTE(SUBSTITUTE($D123&amp;""," ",""),"　",""),"(주)",""),"（주）",""),"㈜",""),"주식회사",""),"(유)",""),"（유）",""),"유한회사",""))</f>
        <v/>
      </c>
    </row>
    <row r="124">
      <c r="A124" s="35" t="n"/>
      <c r="B124" s="35" t="n"/>
      <c r="C124" s="35" t="n"/>
      <c r="D124" s="35" t="n"/>
      <c r="E124" s="36" t="n"/>
      <c r="F124" s="35" t="n"/>
      <c r="G124" s="35" t="n"/>
      <c r="I124" s="31">
        <f>IF(TRIM($A124&amp;"")="","",IF(ISNUMBER(--SUBSTITUTE(SUBSTITUTE(TRIM($A124&amp;""),"-","")," ","")),SUBSTITUTE(SUBSTITUTE(TRIM($A124&amp;""),"-","")," ",""),"N:"&amp;TRIM($A124&amp;"")))</f>
        <v/>
      </c>
      <c r="J124" s="31">
        <f>IF(LEN(SUBSTITUTE(SUBSTITUTE(SUBSTITUTE(SUBSTITUTE(SUBSTITUTE(SUBSTITUTE(SUBSTITUTE(SUBSTITUTE(SUBSTITUTE($C124&amp;""," ",""),"　",""),"(주)",""),"（주）",""),"㈜",""),"주식회사",""),"(유)",""),"（유）",""),"유한회사",""))&lt;2,"",SUBSTITUTE(SUBSTITUTE(SUBSTITUTE(SUBSTITUTE(SUBSTITUTE(SUBSTITUTE(SUBSTITUTE(SUBSTITUTE(SUBSTITUTE($C124&amp;""," ",""),"　",""),"(주)",""),"（주）",""),"㈜",""),"주식회사",""),"(유)",""),"（유）",""),"유한회사",""))</f>
        <v/>
      </c>
      <c r="K124" s="31">
        <f>IF(LEN(SUBSTITUTE(SUBSTITUTE(SUBSTITUTE(SUBSTITUTE(SUBSTITUTE(SUBSTITUTE(SUBSTITUTE(SUBSTITUTE(SUBSTITUTE($D124&amp;""," ",""),"　",""),"(주)",""),"（주）",""),"㈜",""),"주식회사",""),"(유)",""),"（유）",""),"유한회사",""))&lt;2,"",SUBSTITUTE(SUBSTITUTE(SUBSTITUTE(SUBSTITUTE(SUBSTITUTE(SUBSTITUTE(SUBSTITUTE(SUBSTITUTE(SUBSTITUTE($D124&amp;""," ",""),"　",""),"(주)",""),"（주）",""),"㈜",""),"주식회사",""),"(유)",""),"（유）",""),"유한회사",""))</f>
        <v/>
      </c>
    </row>
    <row r="125">
      <c r="A125" s="35" t="n"/>
      <c r="B125" s="35" t="n"/>
      <c r="C125" s="35" t="n"/>
      <c r="D125" s="35" t="n"/>
      <c r="E125" s="36" t="n"/>
      <c r="F125" s="35" t="n"/>
      <c r="G125" s="35" t="n"/>
      <c r="I125" s="31">
        <f>IF(TRIM($A125&amp;"")="","",IF(ISNUMBER(--SUBSTITUTE(SUBSTITUTE(TRIM($A125&amp;""),"-","")," ","")),SUBSTITUTE(SUBSTITUTE(TRIM($A125&amp;""),"-","")," ",""),"N:"&amp;TRIM($A125&amp;"")))</f>
        <v/>
      </c>
      <c r="J125" s="31">
        <f>IF(LEN(SUBSTITUTE(SUBSTITUTE(SUBSTITUTE(SUBSTITUTE(SUBSTITUTE(SUBSTITUTE(SUBSTITUTE(SUBSTITUTE(SUBSTITUTE($C125&amp;""," ",""),"　",""),"(주)",""),"（주）",""),"㈜",""),"주식회사",""),"(유)",""),"（유）",""),"유한회사",""))&lt;2,"",SUBSTITUTE(SUBSTITUTE(SUBSTITUTE(SUBSTITUTE(SUBSTITUTE(SUBSTITUTE(SUBSTITUTE(SUBSTITUTE(SUBSTITUTE($C125&amp;""," ",""),"　",""),"(주)",""),"（주）",""),"㈜",""),"주식회사",""),"(유)",""),"（유）",""),"유한회사",""))</f>
        <v/>
      </c>
      <c r="K125" s="31">
        <f>IF(LEN(SUBSTITUTE(SUBSTITUTE(SUBSTITUTE(SUBSTITUTE(SUBSTITUTE(SUBSTITUTE(SUBSTITUTE(SUBSTITUTE(SUBSTITUTE($D125&amp;""," ",""),"　",""),"(주)",""),"（주）",""),"㈜",""),"주식회사",""),"(유)",""),"（유）",""),"유한회사",""))&lt;2,"",SUBSTITUTE(SUBSTITUTE(SUBSTITUTE(SUBSTITUTE(SUBSTITUTE(SUBSTITUTE(SUBSTITUTE(SUBSTITUTE(SUBSTITUTE($D125&amp;""," ",""),"　",""),"(주)",""),"（주）",""),"㈜",""),"주식회사",""),"(유)",""),"（유）",""),"유한회사",""))</f>
        <v/>
      </c>
    </row>
    <row r="126">
      <c r="A126" s="35" t="n"/>
      <c r="B126" s="35" t="n"/>
      <c r="C126" s="35" t="n"/>
      <c r="D126" s="35" t="n"/>
      <c r="E126" s="36" t="n"/>
      <c r="F126" s="35" t="n"/>
      <c r="G126" s="35" t="n"/>
      <c r="I126" s="31">
        <f>IF(TRIM($A126&amp;"")="","",IF(ISNUMBER(--SUBSTITUTE(SUBSTITUTE(TRIM($A126&amp;""),"-","")," ","")),SUBSTITUTE(SUBSTITUTE(TRIM($A126&amp;""),"-","")," ",""),"N:"&amp;TRIM($A126&amp;"")))</f>
        <v/>
      </c>
      <c r="J126" s="31">
        <f>IF(LEN(SUBSTITUTE(SUBSTITUTE(SUBSTITUTE(SUBSTITUTE(SUBSTITUTE(SUBSTITUTE(SUBSTITUTE(SUBSTITUTE(SUBSTITUTE($C126&amp;""," ",""),"　",""),"(주)",""),"（주）",""),"㈜",""),"주식회사",""),"(유)",""),"（유）",""),"유한회사",""))&lt;2,"",SUBSTITUTE(SUBSTITUTE(SUBSTITUTE(SUBSTITUTE(SUBSTITUTE(SUBSTITUTE(SUBSTITUTE(SUBSTITUTE(SUBSTITUTE($C126&amp;""," ",""),"　",""),"(주)",""),"（주）",""),"㈜",""),"주식회사",""),"(유)",""),"（유）",""),"유한회사",""))</f>
        <v/>
      </c>
      <c r="K126" s="31">
        <f>IF(LEN(SUBSTITUTE(SUBSTITUTE(SUBSTITUTE(SUBSTITUTE(SUBSTITUTE(SUBSTITUTE(SUBSTITUTE(SUBSTITUTE(SUBSTITUTE($D126&amp;""," ",""),"　",""),"(주)",""),"（주）",""),"㈜",""),"주식회사",""),"(유)",""),"（유）",""),"유한회사",""))&lt;2,"",SUBSTITUTE(SUBSTITUTE(SUBSTITUTE(SUBSTITUTE(SUBSTITUTE(SUBSTITUTE(SUBSTITUTE(SUBSTITUTE(SUBSTITUTE($D126&amp;""," ",""),"　",""),"(주)",""),"（주）",""),"㈜",""),"주식회사",""),"(유)",""),"（유）",""),"유한회사",""))</f>
        <v/>
      </c>
    </row>
    <row r="127">
      <c r="A127" s="35" t="n"/>
      <c r="B127" s="35" t="n"/>
      <c r="C127" s="35" t="n"/>
      <c r="D127" s="35" t="n"/>
      <c r="E127" s="36" t="n"/>
      <c r="F127" s="35" t="n"/>
      <c r="G127" s="35" t="n"/>
      <c r="I127" s="31">
        <f>IF(TRIM($A127&amp;"")="","",IF(ISNUMBER(--SUBSTITUTE(SUBSTITUTE(TRIM($A127&amp;""),"-","")," ","")),SUBSTITUTE(SUBSTITUTE(TRIM($A127&amp;""),"-","")," ",""),"N:"&amp;TRIM($A127&amp;"")))</f>
        <v/>
      </c>
      <c r="J127" s="31">
        <f>IF(LEN(SUBSTITUTE(SUBSTITUTE(SUBSTITUTE(SUBSTITUTE(SUBSTITUTE(SUBSTITUTE(SUBSTITUTE(SUBSTITUTE(SUBSTITUTE($C127&amp;""," ",""),"　",""),"(주)",""),"（주）",""),"㈜",""),"주식회사",""),"(유)",""),"（유）",""),"유한회사",""))&lt;2,"",SUBSTITUTE(SUBSTITUTE(SUBSTITUTE(SUBSTITUTE(SUBSTITUTE(SUBSTITUTE(SUBSTITUTE(SUBSTITUTE(SUBSTITUTE($C127&amp;""," ",""),"　",""),"(주)",""),"（주）",""),"㈜",""),"주식회사",""),"(유)",""),"（유）",""),"유한회사",""))</f>
        <v/>
      </c>
      <c r="K127" s="31">
        <f>IF(LEN(SUBSTITUTE(SUBSTITUTE(SUBSTITUTE(SUBSTITUTE(SUBSTITUTE(SUBSTITUTE(SUBSTITUTE(SUBSTITUTE(SUBSTITUTE($D127&amp;""," ",""),"　",""),"(주)",""),"（주）",""),"㈜",""),"주식회사",""),"(유)",""),"（유）",""),"유한회사",""))&lt;2,"",SUBSTITUTE(SUBSTITUTE(SUBSTITUTE(SUBSTITUTE(SUBSTITUTE(SUBSTITUTE(SUBSTITUTE(SUBSTITUTE(SUBSTITUTE($D127&amp;""," ",""),"　",""),"(주)",""),"（주）",""),"㈜",""),"주식회사",""),"(유)",""),"（유）",""),"유한회사",""))</f>
        <v/>
      </c>
    </row>
    <row r="128">
      <c r="A128" s="35" t="n"/>
      <c r="B128" s="35" t="n"/>
      <c r="C128" s="35" t="n"/>
      <c r="D128" s="35" t="n"/>
      <c r="E128" s="36" t="n"/>
      <c r="F128" s="35" t="n"/>
      <c r="G128" s="35" t="n"/>
      <c r="I128" s="31">
        <f>IF(TRIM($A128&amp;"")="","",IF(ISNUMBER(--SUBSTITUTE(SUBSTITUTE(TRIM($A128&amp;""),"-","")," ","")),SUBSTITUTE(SUBSTITUTE(TRIM($A128&amp;""),"-","")," ",""),"N:"&amp;TRIM($A128&amp;"")))</f>
        <v/>
      </c>
      <c r="J128" s="31">
        <f>IF(LEN(SUBSTITUTE(SUBSTITUTE(SUBSTITUTE(SUBSTITUTE(SUBSTITUTE(SUBSTITUTE(SUBSTITUTE(SUBSTITUTE(SUBSTITUTE($C128&amp;""," ",""),"　",""),"(주)",""),"（주）",""),"㈜",""),"주식회사",""),"(유)",""),"（유）",""),"유한회사",""))&lt;2,"",SUBSTITUTE(SUBSTITUTE(SUBSTITUTE(SUBSTITUTE(SUBSTITUTE(SUBSTITUTE(SUBSTITUTE(SUBSTITUTE(SUBSTITUTE($C128&amp;""," ",""),"　",""),"(주)",""),"（주）",""),"㈜",""),"주식회사",""),"(유)",""),"（유）",""),"유한회사",""))</f>
        <v/>
      </c>
      <c r="K128" s="31">
        <f>IF(LEN(SUBSTITUTE(SUBSTITUTE(SUBSTITUTE(SUBSTITUTE(SUBSTITUTE(SUBSTITUTE(SUBSTITUTE(SUBSTITUTE(SUBSTITUTE($D128&amp;""," ",""),"　",""),"(주)",""),"（주）",""),"㈜",""),"주식회사",""),"(유)",""),"（유）",""),"유한회사",""))&lt;2,"",SUBSTITUTE(SUBSTITUTE(SUBSTITUTE(SUBSTITUTE(SUBSTITUTE(SUBSTITUTE(SUBSTITUTE(SUBSTITUTE(SUBSTITUTE($D128&amp;""," ",""),"　",""),"(주)",""),"（주）",""),"㈜",""),"주식회사",""),"(유)",""),"（유）",""),"유한회사",""))</f>
        <v/>
      </c>
    </row>
    <row r="129">
      <c r="A129" s="35" t="n"/>
      <c r="B129" s="35" t="n"/>
      <c r="C129" s="35" t="n"/>
      <c r="D129" s="35" t="n"/>
      <c r="E129" s="36" t="n"/>
      <c r="F129" s="35" t="n"/>
      <c r="G129" s="35" t="n"/>
      <c r="I129" s="31">
        <f>IF(TRIM($A129&amp;"")="","",IF(ISNUMBER(--SUBSTITUTE(SUBSTITUTE(TRIM($A129&amp;""),"-","")," ","")),SUBSTITUTE(SUBSTITUTE(TRIM($A129&amp;""),"-","")," ",""),"N:"&amp;TRIM($A129&amp;"")))</f>
        <v/>
      </c>
      <c r="J129" s="31">
        <f>IF(LEN(SUBSTITUTE(SUBSTITUTE(SUBSTITUTE(SUBSTITUTE(SUBSTITUTE(SUBSTITUTE(SUBSTITUTE(SUBSTITUTE(SUBSTITUTE($C129&amp;""," ",""),"　",""),"(주)",""),"（주）",""),"㈜",""),"주식회사",""),"(유)",""),"（유）",""),"유한회사",""))&lt;2,"",SUBSTITUTE(SUBSTITUTE(SUBSTITUTE(SUBSTITUTE(SUBSTITUTE(SUBSTITUTE(SUBSTITUTE(SUBSTITUTE(SUBSTITUTE($C129&amp;""," ",""),"　",""),"(주)",""),"（주）",""),"㈜",""),"주식회사",""),"(유)",""),"（유）",""),"유한회사",""))</f>
        <v/>
      </c>
      <c r="K129" s="31">
        <f>IF(LEN(SUBSTITUTE(SUBSTITUTE(SUBSTITUTE(SUBSTITUTE(SUBSTITUTE(SUBSTITUTE(SUBSTITUTE(SUBSTITUTE(SUBSTITUTE($D129&amp;""," ",""),"　",""),"(주)",""),"（주）",""),"㈜",""),"주식회사",""),"(유)",""),"（유）",""),"유한회사",""))&lt;2,"",SUBSTITUTE(SUBSTITUTE(SUBSTITUTE(SUBSTITUTE(SUBSTITUTE(SUBSTITUTE(SUBSTITUTE(SUBSTITUTE(SUBSTITUTE($D129&amp;""," ",""),"　",""),"(주)",""),"（주）",""),"㈜",""),"주식회사",""),"(유)",""),"（유）",""),"유한회사",""))</f>
        <v/>
      </c>
    </row>
    <row r="130">
      <c r="A130" s="35" t="n"/>
      <c r="B130" s="35" t="n"/>
      <c r="C130" s="35" t="n"/>
      <c r="D130" s="35" t="n"/>
      <c r="E130" s="36" t="n"/>
      <c r="F130" s="35" t="n"/>
      <c r="G130" s="35" t="n"/>
      <c r="I130" s="31">
        <f>IF(TRIM($A130&amp;"")="","",IF(ISNUMBER(--SUBSTITUTE(SUBSTITUTE(TRIM($A130&amp;""),"-","")," ","")),SUBSTITUTE(SUBSTITUTE(TRIM($A130&amp;""),"-","")," ",""),"N:"&amp;TRIM($A130&amp;"")))</f>
        <v/>
      </c>
      <c r="J130" s="31">
        <f>IF(LEN(SUBSTITUTE(SUBSTITUTE(SUBSTITUTE(SUBSTITUTE(SUBSTITUTE(SUBSTITUTE(SUBSTITUTE(SUBSTITUTE(SUBSTITUTE($C130&amp;""," ",""),"　",""),"(주)",""),"（주）",""),"㈜",""),"주식회사",""),"(유)",""),"（유）",""),"유한회사",""))&lt;2,"",SUBSTITUTE(SUBSTITUTE(SUBSTITUTE(SUBSTITUTE(SUBSTITUTE(SUBSTITUTE(SUBSTITUTE(SUBSTITUTE(SUBSTITUTE($C130&amp;""," ",""),"　",""),"(주)",""),"（주）",""),"㈜",""),"주식회사",""),"(유)",""),"（유）",""),"유한회사",""))</f>
        <v/>
      </c>
      <c r="K130" s="31">
        <f>IF(LEN(SUBSTITUTE(SUBSTITUTE(SUBSTITUTE(SUBSTITUTE(SUBSTITUTE(SUBSTITUTE(SUBSTITUTE(SUBSTITUTE(SUBSTITUTE($D130&amp;""," ",""),"　",""),"(주)",""),"（주）",""),"㈜",""),"주식회사",""),"(유)",""),"（유）",""),"유한회사",""))&lt;2,"",SUBSTITUTE(SUBSTITUTE(SUBSTITUTE(SUBSTITUTE(SUBSTITUTE(SUBSTITUTE(SUBSTITUTE(SUBSTITUTE(SUBSTITUTE($D130&amp;""," ",""),"　",""),"(주)",""),"（주）",""),"㈜",""),"주식회사",""),"(유)",""),"（유）",""),"유한회사",""))</f>
        <v/>
      </c>
    </row>
    <row r="131">
      <c r="A131" s="35" t="n"/>
      <c r="B131" s="35" t="n"/>
      <c r="C131" s="35" t="n"/>
      <c r="D131" s="35" t="n"/>
      <c r="E131" s="36" t="n"/>
      <c r="F131" s="35" t="n"/>
      <c r="G131" s="35" t="n"/>
      <c r="I131" s="31">
        <f>IF(TRIM($A131&amp;"")="","",IF(ISNUMBER(--SUBSTITUTE(SUBSTITUTE(TRIM($A131&amp;""),"-","")," ","")),SUBSTITUTE(SUBSTITUTE(TRIM($A131&amp;""),"-","")," ",""),"N:"&amp;TRIM($A131&amp;"")))</f>
        <v/>
      </c>
      <c r="J131" s="31">
        <f>IF(LEN(SUBSTITUTE(SUBSTITUTE(SUBSTITUTE(SUBSTITUTE(SUBSTITUTE(SUBSTITUTE(SUBSTITUTE(SUBSTITUTE(SUBSTITUTE($C131&amp;""," ",""),"　",""),"(주)",""),"（주）",""),"㈜",""),"주식회사",""),"(유)",""),"（유）",""),"유한회사",""))&lt;2,"",SUBSTITUTE(SUBSTITUTE(SUBSTITUTE(SUBSTITUTE(SUBSTITUTE(SUBSTITUTE(SUBSTITUTE(SUBSTITUTE(SUBSTITUTE($C131&amp;""," ",""),"　",""),"(주)",""),"（주）",""),"㈜",""),"주식회사",""),"(유)",""),"（유）",""),"유한회사",""))</f>
        <v/>
      </c>
      <c r="K131" s="31">
        <f>IF(LEN(SUBSTITUTE(SUBSTITUTE(SUBSTITUTE(SUBSTITUTE(SUBSTITUTE(SUBSTITUTE(SUBSTITUTE(SUBSTITUTE(SUBSTITUTE($D131&amp;""," ",""),"　",""),"(주)",""),"（주）",""),"㈜",""),"주식회사",""),"(유)",""),"（유）",""),"유한회사",""))&lt;2,"",SUBSTITUTE(SUBSTITUTE(SUBSTITUTE(SUBSTITUTE(SUBSTITUTE(SUBSTITUTE(SUBSTITUTE(SUBSTITUTE(SUBSTITUTE($D131&amp;""," ",""),"　",""),"(주)",""),"（주）",""),"㈜",""),"주식회사",""),"(유)",""),"（유）",""),"유한회사",""))</f>
        <v/>
      </c>
    </row>
    <row r="132">
      <c r="A132" s="35" t="n"/>
      <c r="B132" s="35" t="n"/>
      <c r="C132" s="35" t="n"/>
      <c r="D132" s="35" t="n"/>
      <c r="E132" s="36" t="n"/>
      <c r="F132" s="35" t="n"/>
      <c r="G132" s="35" t="n"/>
      <c r="I132" s="31">
        <f>IF(TRIM($A132&amp;"")="","",IF(ISNUMBER(--SUBSTITUTE(SUBSTITUTE(TRIM($A132&amp;""),"-","")," ","")),SUBSTITUTE(SUBSTITUTE(TRIM($A132&amp;""),"-","")," ",""),"N:"&amp;TRIM($A132&amp;"")))</f>
        <v/>
      </c>
      <c r="J132" s="31">
        <f>IF(LEN(SUBSTITUTE(SUBSTITUTE(SUBSTITUTE(SUBSTITUTE(SUBSTITUTE(SUBSTITUTE(SUBSTITUTE(SUBSTITUTE(SUBSTITUTE($C132&amp;""," ",""),"　",""),"(주)",""),"（주）",""),"㈜",""),"주식회사",""),"(유)",""),"（유）",""),"유한회사",""))&lt;2,"",SUBSTITUTE(SUBSTITUTE(SUBSTITUTE(SUBSTITUTE(SUBSTITUTE(SUBSTITUTE(SUBSTITUTE(SUBSTITUTE(SUBSTITUTE($C132&amp;""," ",""),"　",""),"(주)",""),"（주）",""),"㈜",""),"주식회사",""),"(유)",""),"（유）",""),"유한회사",""))</f>
        <v/>
      </c>
      <c r="K132" s="31">
        <f>IF(LEN(SUBSTITUTE(SUBSTITUTE(SUBSTITUTE(SUBSTITUTE(SUBSTITUTE(SUBSTITUTE(SUBSTITUTE(SUBSTITUTE(SUBSTITUTE($D132&amp;""," ",""),"　",""),"(주)",""),"（주）",""),"㈜",""),"주식회사",""),"(유)",""),"（유）",""),"유한회사",""))&lt;2,"",SUBSTITUTE(SUBSTITUTE(SUBSTITUTE(SUBSTITUTE(SUBSTITUTE(SUBSTITUTE(SUBSTITUTE(SUBSTITUTE(SUBSTITUTE($D132&amp;""," ",""),"　",""),"(주)",""),"（주）",""),"㈜",""),"주식회사",""),"(유)",""),"（유）",""),"유한회사",""))</f>
        <v/>
      </c>
    </row>
    <row r="133">
      <c r="A133" s="35" t="n"/>
      <c r="B133" s="35" t="n"/>
      <c r="C133" s="35" t="n"/>
      <c r="D133" s="35" t="n"/>
      <c r="E133" s="36" t="n"/>
      <c r="F133" s="35" t="n"/>
      <c r="G133" s="35" t="n"/>
      <c r="I133" s="31">
        <f>IF(TRIM($A133&amp;"")="","",IF(ISNUMBER(--SUBSTITUTE(SUBSTITUTE(TRIM($A133&amp;""),"-","")," ","")),SUBSTITUTE(SUBSTITUTE(TRIM($A133&amp;""),"-","")," ",""),"N:"&amp;TRIM($A133&amp;"")))</f>
        <v/>
      </c>
      <c r="J133" s="31">
        <f>IF(LEN(SUBSTITUTE(SUBSTITUTE(SUBSTITUTE(SUBSTITUTE(SUBSTITUTE(SUBSTITUTE(SUBSTITUTE(SUBSTITUTE(SUBSTITUTE($C133&amp;""," ",""),"　",""),"(주)",""),"（주）",""),"㈜",""),"주식회사",""),"(유)",""),"（유）",""),"유한회사",""))&lt;2,"",SUBSTITUTE(SUBSTITUTE(SUBSTITUTE(SUBSTITUTE(SUBSTITUTE(SUBSTITUTE(SUBSTITUTE(SUBSTITUTE(SUBSTITUTE($C133&amp;""," ",""),"　",""),"(주)",""),"（주）",""),"㈜",""),"주식회사",""),"(유)",""),"（유）",""),"유한회사",""))</f>
        <v/>
      </c>
      <c r="K133" s="31">
        <f>IF(LEN(SUBSTITUTE(SUBSTITUTE(SUBSTITUTE(SUBSTITUTE(SUBSTITUTE(SUBSTITUTE(SUBSTITUTE(SUBSTITUTE(SUBSTITUTE($D133&amp;""," ",""),"　",""),"(주)",""),"（주）",""),"㈜",""),"주식회사",""),"(유)",""),"（유）",""),"유한회사",""))&lt;2,"",SUBSTITUTE(SUBSTITUTE(SUBSTITUTE(SUBSTITUTE(SUBSTITUTE(SUBSTITUTE(SUBSTITUTE(SUBSTITUTE(SUBSTITUTE($D133&amp;""," ",""),"　",""),"(주)",""),"（주）",""),"㈜",""),"주식회사",""),"(유)",""),"（유）",""),"유한회사",""))</f>
        <v/>
      </c>
    </row>
    <row r="134">
      <c r="A134" s="35" t="n"/>
      <c r="B134" s="35" t="n"/>
      <c r="C134" s="35" t="n"/>
      <c r="D134" s="35" t="n"/>
      <c r="E134" s="36" t="n"/>
      <c r="F134" s="35" t="n"/>
      <c r="G134" s="35" t="n"/>
      <c r="I134" s="31">
        <f>IF(TRIM($A134&amp;"")="","",IF(ISNUMBER(--SUBSTITUTE(SUBSTITUTE(TRIM($A134&amp;""),"-","")," ","")),SUBSTITUTE(SUBSTITUTE(TRIM($A134&amp;""),"-","")," ",""),"N:"&amp;TRIM($A134&amp;"")))</f>
        <v/>
      </c>
      <c r="J134" s="31">
        <f>IF(LEN(SUBSTITUTE(SUBSTITUTE(SUBSTITUTE(SUBSTITUTE(SUBSTITUTE(SUBSTITUTE(SUBSTITUTE(SUBSTITUTE(SUBSTITUTE($C134&amp;""," ",""),"　",""),"(주)",""),"（주）",""),"㈜",""),"주식회사",""),"(유)",""),"（유）",""),"유한회사",""))&lt;2,"",SUBSTITUTE(SUBSTITUTE(SUBSTITUTE(SUBSTITUTE(SUBSTITUTE(SUBSTITUTE(SUBSTITUTE(SUBSTITUTE(SUBSTITUTE($C134&amp;""," ",""),"　",""),"(주)",""),"（주）",""),"㈜",""),"주식회사",""),"(유)",""),"（유）",""),"유한회사",""))</f>
        <v/>
      </c>
      <c r="K134" s="31">
        <f>IF(LEN(SUBSTITUTE(SUBSTITUTE(SUBSTITUTE(SUBSTITUTE(SUBSTITUTE(SUBSTITUTE(SUBSTITUTE(SUBSTITUTE(SUBSTITUTE($D134&amp;""," ",""),"　",""),"(주)",""),"（주）",""),"㈜",""),"주식회사",""),"(유)",""),"（유）",""),"유한회사",""))&lt;2,"",SUBSTITUTE(SUBSTITUTE(SUBSTITUTE(SUBSTITUTE(SUBSTITUTE(SUBSTITUTE(SUBSTITUTE(SUBSTITUTE(SUBSTITUTE($D134&amp;""," ",""),"　",""),"(주)",""),"（주）",""),"㈜",""),"주식회사",""),"(유)",""),"（유）",""),"유한회사",""))</f>
        <v/>
      </c>
    </row>
    <row r="135">
      <c r="A135" s="35" t="n"/>
      <c r="B135" s="35" t="n"/>
      <c r="C135" s="35" t="n"/>
      <c r="D135" s="35" t="n"/>
      <c r="E135" s="36" t="n"/>
      <c r="F135" s="35" t="n"/>
      <c r="G135" s="35" t="n"/>
      <c r="I135" s="31">
        <f>IF(TRIM($A135&amp;"")="","",IF(ISNUMBER(--SUBSTITUTE(SUBSTITUTE(TRIM($A135&amp;""),"-","")," ","")),SUBSTITUTE(SUBSTITUTE(TRIM($A135&amp;""),"-","")," ",""),"N:"&amp;TRIM($A135&amp;"")))</f>
        <v/>
      </c>
      <c r="J135" s="31">
        <f>IF(LEN(SUBSTITUTE(SUBSTITUTE(SUBSTITUTE(SUBSTITUTE(SUBSTITUTE(SUBSTITUTE(SUBSTITUTE(SUBSTITUTE(SUBSTITUTE($C135&amp;""," ",""),"　",""),"(주)",""),"（주）",""),"㈜",""),"주식회사",""),"(유)",""),"（유）",""),"유한회사",""))&lt;2,"",SUBSTITUTE(SUBSTITUTE(SUBSTITUTE(SUBSTITUTE(SUBSTITUTE(SUBSTITUTE(SUBSTITUTE(SUBSTITUTE(SUBSTITUTE($C135&amp;""," ",""),"　",""),"(주)",""),"（주）",""),"㈜",""),"주식회사",""),"(유)",""),"（유）",""),"유한회사",""))</f>
        <v/>
      </c>
      <c r="K135" s="31">
        <f>IF(LEN(SUBSTITUTE(SUBSTITUTE(SUBSTITUTE(SUBSTITUTE(SUBSTITUTE(SUBSTITUTE(SUBSTITUTE(SUBSTITUTE(SUBSTITUTE($D135&amp;""," ",""),"　",""),"(주)",""),"（주）",""),"㈜",""),"주식회사",""),"(유)",""),"（유）",""),"유한회사",""))&lt;2,"",SUBSTITUTE(SUBSTITUTE(SUBSTITUTE(SUBSTITUTE(SUBSTITUTE(SUBSTITUTE(SUBSTITUTE(SUBSTITUTE(SUBSTITUTE($D135&amp;""," ",""),"　",""),"(주)",""),"（주）",""),"㈜",""),"주식회사",""),"(유)",""),"（유）",""),"유한회사",""))</f>
        <v/>
      </c>
    </row>
    <row r="136">
      <c r="A136" s="35" t="n"/>
      <c r="B136" s="35" t="n"/>
      <c r="C136" s="35" t="n"/>
      <c r="D136" s="35" t="n"/>
      <c r="E136" s="36" t="n"/>
      <c r="F136" s="35" t="n"/>
      <c r="G136" s="35" t="n"/>
      <c r="I136" s="31">
        <f>IF(TRIM($A136&amp;"")="","",IF(ISNUMBER(--SUBSTITUTE(SUBSTITUTE(TRIM($A136&amp;""),"-","")," ","")),SUBSTITUTE(SUBSTITUTE(TRIM($A136&amp;""),"-","")," ",""),"N:"&amp;TRIM($A136&amp;"")))</f>
        <v/>
      </c>
      <c r="J136" s="31">
        <f>IF(LEN(SUBSTITUTE(SUBSTITUTE(SUBSTITUTE(SUBSTITUTE(SUBSTITUTE(SUBSTITUTE(SUBSTITUTE(SUBSTITUTE(SUBSTITUTE($C136&amp;""," ",""),"　",""),"(주)",""),"（주）",""),"㈜",""),"주식회사",""),"(유)",""),"（유）",""),"유한회사",""))&lt;2,"",SUBSTITUTE(SUBSTITUTE(SUBSTITUTE(SUBSTITUTE(SUBSTITUTE(SUBSTITUTE(SUBSTITUTE(SUBSTITUTE(SUBSTITUTE($C136&amp;""," ",""),"　",""),"(주)",""),"（주）",""),"㈜",""),"주식회사",""),"(유)",""),"（유）",""),"유한회사",""))</f>
        <v/>
      </c>
      <c r="K136" s="31">
        <f>IF(LEN(SUBSTITUTE(SUBSTITUTE(SUBSTITUTE(SUBSTITUTE(SUBSTITUTE(SUBSTITUTE(SUBSTITUTE(SUBSTITUTE(SUBSTITUTE($D136&amp;""," ",""),"　",""),"(주)",""),"（주）",""),"㈜",""),"주식회사",""),"(유)",""),"（유）",""),"유한회사",""))&lt;2,"",SUBSTITUTE(SUBSTITUTE(SUBSTITUTE(SUBSTITUTE(SUBSTITUTE(SUBSTITUTE(SUBSTITUTE(SUBSTITUTE(SUBSTITUTE($D136&amp;""," ",""),"　",""),"(주)",""),"（주）",""),"㈜",""),"주식회사",""),"(유)",""),"（유）",""),"유한회사",""))</f>
        <v/>
      </c>
    </row>
    <row r="137">
      <c r="A137" s="35" t="n"/>
      <c r="B137" s="35" t="n"/>
      <c r="C137" s="35" t="n"/>
      <c r="D137" s="35" t="n"/>
      <c r="E137" s="36" t="n"/>
      <c r="F137" s="35" t="n"/>
      <c r="G137" s="35" t="n"/>
      <c r="I137" s="31">
        <f>IF(TRIM($A137&amp;"")="","",IF(ISNUMBER(--SUBSTITUTE(SUBSTITUTE(TRIM($A137&amp;""),"-","")," ","")),SUBSTITUTE(SUBSTITUTE(TRIM($A137&amp;""),"-","")," ",""),"N:"&amp;TRIM($A137&amp;"")))</f>
        <v/>
      </c>
      <c r="J137" s="31">
        <f>IF(LEN(SUBSTITUTE(SUBSTITUTE(SUBSTITUTE(SUBSTITUTE(SUBSTITUTE(SUBSTITUTE(SUBSTITUTE(SUBSTITUTE(SUBSTITUTE($C137&amp;""," ",""),"　",""),"(주)",""),"（주）",""),"㈜",""),"주식회사",""),"(유)",""),"（유）",""),"유한회사",""))&lt;2,"",SUBSTITUTE(SUBSTITUTE(SUBSTITUTE(SUBSTITUTE(SUBSTITUTE(SUBSTITUTE(SUBSTITUTE(SUBSTITUTE(SUBSTITUTE($C137&amp;""," ",""),"　",""),"(주)",""),"（주）",""),"㈜",""),"주식회사",""),"(유)",""),"（유）",""),"유한회사",""))</f>
        <v/>
      </c>
      <c r="K137" s="31">
        <f>IF(LEN(SUBSTITUTE(SUBSTITUTE(SUBSTITUTE(SUBSTITUTE(SUBSTITUTE(SUBSTITUTE(SUBSTITUTE(SUBSTITUTE(SUBSTITUTE($D137&amp;""," ",""),"　",""),"(주)",""),"（주）",""),"㈜",""),"주식회사",""),"(유)",""),"（유）",""),"유한회사",""))&lt;2,"",SUBSTITUTE(SUBSTITUTE(SUBSTITUTE(SUBSTITUTE(SUBSTITUTE(SUBSTITUTE(SUBSTITUTE(SUBSTITUTE(SUBSTITUTE($D137&amp;""," ",""),"　",""),"(주)",""),"（주）",""),"㈜",""),"주식회사",""),"(유)",""),"（유）",""),"유한회사",""))</f>
        <v/>
      </c>
    </row>
    <row r="138">
      <c r="A138" s="35" t="n"/>
      <c r="B138" s="35" t="n"/>
      <c r="C138" s="35" t="n"/>
      <c r="D138" s="35" t="n"/>
      <c r="E138" s="36" t="n"/>
      <c r="F138" s="35" t="n"/>
      <c r="G138" s="35" t="n"/>
      <c r="I138" s="31">
        <f>IF(TRIM($A138&amp;"")="","",IF(ISNUMBER(--SUBSTITUTE(SUBSTITUTE(TRIM($A138&amp;""),"-","")," ","")),SUBSTITUTE(SUBSTITUTE(TRIM($A138&amp;""),"-","")," ",""),"N:"&amp;TRIM($A138&amp;"")))</f>
        <v/>
      </c>
      <c r="J138" s="31">
        <f>IF(LEN(SUBSTITUTE(SUBSTITUTE(SUBSTITUTE(SUBSTITUTE(SUBSTITUTE(SUBSTITUTE(SUBSTITUTE(SUBSTITUTE(SUBSTITUTE($C138&amp;""," ",""),"　",""),"(주)",""),"（주）",""),"㈜",""),"주식회사",""),"(유)",""),"（유）",""),"유한회사",""))&lt;2,"",SUBSTITUTE(SUBSTITUTE(SUBSTITUTE(SUBSTITUTE(SUBSTITUTE(SUBSTITUTE(SUBSTITUTE(SUBSTITUTE(SUBSTITUTE($C138&amp;""," ",""),"　",""),"(주)",""),"（주）",""),"㈜",""),"주식회사",""),"(유)",""),"（유）",""),"유한회사",""))</f>
        <v/>
      </c>
      <c r="K138" s="31">
        <f>IF(LEN(SUBSTITUTE(SUBSTITUTE(SUBSTITUTE(SUBSTITUTE(SUBSTITUTE(SUBSTITUTE(SUBSTITUTE(SUBSTITUTE(SUBSTITUTE($D138&amp;""," ",""),"　",""),"(주)",""),"（주）",""),"㈜",""),"주식회사",""),"(유)",""),"（유）",""),"유한회사",""))&lt;2,"",SUBSTITUTE(SUBSTITUTE(SUBSTITUTE(SUBSTITUTE(SUBSTITUTE(SUBSTITUTE(SUBSTITUTE(SUBSTITUTE(SUBSTITUTE($D138&amp;""," ",""),"　",""),"(주)",""),"（주）",""),"㈜",""),"주식회사",""),"(유)",""),"（유）",""),"유한회사",""))</f>
        <v/>
      </c>
    </row>
    <row r="139">
      <c r="A139" s="35" t="n"/>
      <c r="B139" s="35" t="n"/>
      <c r="C139" s="35" t="n"/>
      <c r="D139" s="35" t="n"/>
      <c r="E139" s="36" t="n"/>
      <c r="F139" s="35" t="n"/>
      <c r="G139" s="35" t="n"/>
      <c r="I139" s="31">
        <f>IF(TRIM($A139&amp;"")="","",IF(ISNUMBER(--SUBSTITUTE(SUBSTITUTE(TRIM($A139&amp;""),"-","")," ","")),SUBSTITUTE(SUBSTITUTE(TRIM($A139&amp;""),"-","")," ",""),"N:"&amp;TRIM($A139&amp;"")))</f>
        <v/>
      </c>
      <c r="J139" s="31">
        <f>IF(LEN(SUBSTITUTE(SUBSTITUTE(SUBSTITUTE(SUBSTITUTE(SUBSTITUTE(SUBSTITUTE(SUBSTITUTE(SUBSTITUTE(SUBSTITUTE($C139&amp;""," ",""),"　",""),"(주)",""),"（주）",""),"㈜",""),"주식회사",""),"(유)",""),"（유）",""),"유한회사",""))&lt;2,"",SUBSTITUTE(SUBSTITUTE(SUBSTITUTE(SUBSTITUTE(SUBSTITUTE(SUBSTITUTE(SUBSTITUTE(SUBSTITUTE(SUBSTITUTE($C139&amp;""," ",""),"　",""),"(주)",""),"（주）",""),"㈜",""),"주식회사",""),"(유)",""),"（유）",""),"유한회사",""))</f>
        <v/>
      </c>
      <c r="K139" s="31">
        <f>IF(LEN(SUBSTITUTE(SUBSTITUTE(SUBSTITUTE(SUBSTITUTE(SUBSTITUTE(SUBSTITUTE(SUBSTITUTE(SUBSTITUTE(SUBSTITUTE($D139&amp;""," ",""),"　",""),"(주)",""),"（주）",""),"㈜",""),"주식회사",""),"(유)",""),"（유）",""),"유한회사",""))&lt;2,"",SUBSTITUTE(SUBSTITUTE(SUBSTITUTE(SUBSTITUTE(SUBSTITUTE(SUBSTITUTE(SUBSTITUTE(SUBSTITUTE(SUBSTITUTE($D139&amp;""," ",""),"　",""),"(주)",""),"（주）",""),"㈜",""),"주식회사",""),"(유)",""),"（유）",""),"유한회사",""))</f>
        <v/>
      </c>
    </row>
    <row r="140">
      <c r="A140" s="35" t="n"/>
      <c r="B140" s="35" t="n"/>
      <c r="C140" s="35" t="n"/>
      <c r="D140" s="35" t="n"/>
      <c r="E140" s="36" t="n"/>
      <c r="F140" s="35" t="n"/>
      <c r="G140" s="35" t="n"/>
      <c r="I140" s="31">
        <f>IF(TRIM($A140&amp;"")="","",IF(ISNUMBER(--SUBSTITUTE(SUBSTITUTE(TRIM($A140&amp;""),"-","")," ","")),SUBSTITUTE(SUBSTITUTE(TRIM($A140&amp;""),"-","")," ",""),"N:"&amp;TRIM($A140&amp;"")))</f>
        <v/>
      </c>
      <c r="J140" s="31">
        <f>IF(LEN(SUBSTITUTE(SUBSTITUTE(SUBSTITUTE(SUBSTITUTE(SUBSTITUTE(SUBSTITUTE(SUBSTITUTE(SUBSTITUTE(SUBSTITUTE($C140&amp;""," ",""),"　",""),"(주)",""),"（주）",""),"㈜",""),"주식회사",""),"(유)",""),"（유）",""),"유한회사",""))&lt;2,"",SUBSTITUTE(SUBSTITUTE(SUBSTITUTE(SUBSTITUTE(SUBSTITUTE(SUBSTITUTE(SUBSTITUTE(SUBSTITUTE(SUBSTITUTE($C140&amp;""," ",""),"　",""),"(주)",""),"（주）",""),"㈜",""),"주식회사",""),"(유)",""),"（유）",""),"유한회사",""))</f>
        <v/>
      </c>
      <c r="K140" s="31">
        <f>IF(LEN(SUBSTITUTE(SUBSTITUTE(SUBSTITUTE(SUBSTITUTE(SUBSTITUTE(SUBSTITUTE(SUBSTITUTE(SUBSTITUTE(SUBSTITUTE($D140&amp;""," ",""),"　",""),"(주)",""),"（주）",""),"㈜",""),"주식회사",""),"(유)",""),"（유）",""),"유한회사",""))&lt;2,"",SUBSTITUTE(SUBSTITUTE(SUBSTITUTE(SUBSTITUTE(SUBSTITUTE(SUBSTITUTE(SUBSTITUTE(SUBSTITUTE(SUBSTITUTE($D140&amp;""," ",""),"　",""),"(주)",""),"（주）",""),"㈜",""),"주식회사",""),"(유)",""),"（유）",""),"유한회사",""))</f>
        <v/>
      </c>
    </row>
    <row r="141">
      <c r="A141" s="35" t="n"/>
      <c r="B141" s="35" t="n"/>
      <c r="C141" s="35" t="n"/>
      <c r="D141" s="35" t="n"/>
      <c r="E141" s="36" t="n"/>
      <c r="F141" s="35" t="n"/>
      <c r="G141" s="35" t="n"/>
      <c r="I141" s="31">
        <f>IF(TRIM($A141&amp;"")="","",IF(ISNUMBER(--SUBSTITUTE(SUBSTITUTE(TRIM($A141&amp;""),"-","")," ","")),SUBSTITUTE(SUBSTITUTE(TRIM($A141&amp;""),"-","")," ",""),"N:"&amp;TRIM($A141&amp;"")))</f>
        <v/>
      </c>
      <c r="J141" s="31">
        <f>IF(LEN(SUBSTITUTE(SUBSTITUTE(SUBSTITUTE(SUBSTITUTE(SUBSTITUTE(SUBSTITUTE(SUBSTITUTE(SUBSTITUTE(SUBSTITUTE($C141&amp;""," ",""),"　",""),"(주)",""),"（주）",""),"㈜",""),"주식회사",""),"(유)",""),"（유）",""),"유한회사",""))&lt;2,"",SUBSTITUTE(SUBSTITUTE(SUBSTITUTE(SUBSTITUTE(SUBSTITUTE(SUBSTITUTE(SUBSTITUTE(SUBSTITUTE(SUBSTITUTE($C141&amp;""," ",""),"　",""),"(주)",""),"（주）",""),"㈜",""),"주식회사",""),"(유)",""),"（유）",""),"유한회사",""))</f>
        <v/>
      </c>
      <c r="K141" s="31">
        <f>IF(LEN(SUBSTITUTE(SUBSTITUTE(SUBSTITUTE(SUBSTITUTE(SUBSTITUTE(SUBSTITUTE(SUBSTITUTE(SUBSTITUTE(SUBSTITUTE($D141&amp;""," ",""),"　",""),"(주)",""),"（주）",""),"㈜",""),"주식회사",""),"(유)",""),"（유）",""),"유한회사",""))&lt;2,"",SUBSTITUTE(SUBSTITUTE(SUBSTITUTE(SUBSTITUTE(SUBSTITUTE(SUBSTITUTE(SUBSTITUTE(SUBSTITUTE(SUBSTITUTE($D141&amp;""," ",""),"　",""),"(주)",""),"（주）",""),"㈜",""),"주식회사",""),"(유)",""),"（유）",""),"유한회사",""))</f>
        <v/>
      </c>
    </row>
    <row r="142">
      <c r="A142" s="35" t="n"/>
      <c r="B142" s="35" t="n"/>
      <c r="C142" s="35" t="n"/>
      <c r="D142" s="35" t="n"/>
      <c r="E142" s="36" t="n"/>
      <c r="F142" s="35" t="n"/>
      <c r="G142" s="35" t="n"/>
      <c r="I142" s="31">
        <f>IF(TRIM($A142&amp;"")="","",IF(ISNUMBER(--SUBSTITUTE(SUBSTITUTE(TRIM($A142&amp;""),"-","")," ","")),SUBSTITUTE(SUBSTITUTE(TRIM($A142&amp;""),"-","")," ",""),"N:"&amp;TRIM($A142&amp;"")))</f>
        <v/>
      </c>
      <c r="J142" s="31">
        <f>IF(LEN(SUBSTITUTE(SUBSTITUTE(SUBSTITUTE(SUBSTITUTE(SUBSTITUTE(SUBSTITUTE(SUBSTITUTE(SUBSTITUTE(SUBSTITUTE($C142&amp;""," ",""),"　",""),"(주)",""),"（주）",""),"㈜",""),"주식회사",""),"(유)",""),"（유）",""),"유한회사",""))&lt;2,"",SUBSTITUTE(SUBSTITUTE(SUBSTITUTE(SUBSTITUTE(SUBSTITUTE(SUBSTITUTE(SUBSTITUTE(SUBSTITUTE(SUBSTITUTE($C142&amp;""," ",""),"　",""),"(주)",""),"（주）",""),"㈜",""),"주식회사",""),"(유)",""),"（유）",""),"유한회사",""))</f>
        <v/>
      </c>
      <c r="K142" s="31">
        <f>IF(LEN(SUBSTITUTE(SUBSTITUTE(SUBSTITUTE(SUBSTITUTE(SUBSTITUTE(SUBSTITUTE(SUBSTITUTE(SUBSTITUTE(SUBSTITUTE($D142&amp;""," ",""),"　",""),"(주)",""),"（주）",""),"㈜",""),"주식회사",""),"(유)",""),"（유）",""),"유한회사",""))&lt;2,"",SUBSTITUTE(SUBSTITUTE(SUBSTITUTE(SUBSTITUTE(SUBSTITUTE(SUBSTITUTE(SUBSTITUTE(SUBSTITUTE(SUBSTITUTE($D142&amp;""," ",""),"　",""),"(주)",""),"（주）",""),"㈜",""),"주식회사",""),"(유)",""),"（유）",""),"유한회사",""))</f>
        <v/>
      </c>
    </row>
    <row r="143">
      <c r="A143" s="35" t="n"/>
      <c r="B143" s="35" t="n"/>
      <c r="C143" s="35" t="n"/>
      <c r="D143" s="35" t="n"/>
      <c r="E143" s="36" t="n"/>
      <c r="F143" s="35" t="n"/>
      <c r="G143" s="35" t="n"/>
      <c r="I143" s="31">
        <f>IF(TRIM($A143&amp;"")="","",IF(ISNUMBER(--SUBSTITUTE(SUBSTITUTE(TRIM($A143&amp;""),"-","")," ","")),SUBSTITUTE(SUBSTITUTE(TRIM($A143&amp;""),"-","")," ",""),"N:"&amp;TRIM($A143&amp;"")))</f>
        <v/>
      </c>
      <c r="J143" s="31">
        <f>IF(LEN(SUBSTITUTE(SUBSTITUTE(SUBSTITUTE(SUBSTITUTE(SUBSTITUTE(SUBSTITUTE(SUBSTITUTE(SUBSTITUTE(SUBSTITUTE($C143&amp;""," ",""),"　",""),"(주)",""),"（주）",""),"㈜",""),"주식회사",""),"(유)",""),"（유）",""),"유한회사",""))&lt;2,"",SUBSTITUTE(SUBSTITUTE(SUBSTITUTE(SUBSTITUTE(SUBSTITUTE(SUBSTITUTE(SUBSTITUTE(SUBSTITUTE(SUBSTITUTE($C143&amp;""," ",""),"　",""),"(주)",""),"（주）",""),"㈜",""),"주식회사",""),"(유)",""),"（유）",""),"유한회사",""))</f>
        <v/>
      </c>
      <c r="K143" s="31">
        <f>IF(LEN(SUBSTITUTE(SUBSTITUTE(SUBSTITUTE(SUBSTITUTE(SUBSTITUTE(SUBSTITUTE(SUBSTITUTE(SUBSTITUTE(SUBSTITUTE($D143&amp;""," ",""),"　",""),"(주)",""),"（주）",""),"㈜",""),"주식회사",""),"(유)",""),"（유）",""),"유한회사",""))&lt;2,"",SUBSTITUTE(SUBSTITUTE(SUBSTITUTE(SUBSTITUTE(SUBSTITUTE(SUBSTITUTE(SUBSTITUTE(SUBSTITUTE(SUBSTITUTE($D143&amp;""," ",""),"　",""),"(주)",""),"（주）",""),"㈜",""),"주식회사",""),"(유)",""),"（유）",""),"유한회사",""))</f>
        <v/>
      </c>
    </row>
    <row r="144">
      <c r="A144" s="35" t="n"/>
      <c r="B144" s="35" t="n"/>
      <c r="C144" s="35" t="n"/>
      <c r="D144" s="35" t="n"/>
      <c r="E144" s="36" t="n"/>
      <c r="F144" s="35" t="n"/>
      <c r="G144" s="35" t="n"/>
      <c r="I144" s="31">
        <f>IF(TRIM($A144&amp;"")="","",IF(ISNUMBER(--SUBSTITUTE(SUBSTITUTE(TRIM($A144&amp;""),"-","")," ","")),SUBSTITUTE(SUBSTITUTE(TRIM($A144&amp;""),"-","")," ",""),"N:"&amp;TRIM($A144&amp;"")))</f>
        <v/>
      </c>
      <c r="J144" s="31">
        <f>IF(LEN(SUBSTITUTE(SUBSTITUTE(SUBSTITUTE(SUBSTITUTE(SUBSTITUTE(SUBSTITUTE(SUBSTITUTE(SUBSTITUTE(SUBSTITUTE($C144&amp;""," ",""),"　",""),"(주)",""),"（주）",""),"㈜",""),"주식회사",""),"(유)",""),"（유）",""),"유한회사",""))&lt;2,"",SUBSTITUTE(SUBSTITUTE(SUBSTITUTE(SUBSTITUTE(SUBSTITUTE(SUBSTITUTE(SUBSTITUTE(SUBSTITUTE(SUBSTITUTE($C144&amp;""," ",""),"　",""),"(주)",""),"（주）",""),"㈜",""),"주식회사",""),"(유)",""),"（유）",""),"유한회사",""))</f>
        <v/>
      </c>
      <c r="K144" s="31">
        <f>IF(LEN(SUBSTITUTE(SUBSTITUTE(SUBSTITUTE(SUBSTITUTE(SUBSTITUTE(SUBSTITUTE(SUBSTITUTE(SUBSTITUTE(SUBSTITUTE($D144&amp;""," ",""),"　",""),"(주)",""),"（주）",""),"㈜",""),"주식회사",""),"(유)",""),"（유）",""),"유한회사",""))&lt;2,"",SUBSTITUTE(SUBSTITUTE(SUBSTITUTE(SUBSTITUTE(SUBSTITUTE(SUBSTITUTE(SUBSTITUTE(SUBSTITUTE(SUBSTITUTE($D144&amp;""," ",""),"　",""),"(주)",""),"（주）",""),"㈜",""),"주식회사",""),"(유)",""),"（유）",""),"유한회사",""))</f>
        <v/>
      </c>
    </row>
    <row r="145">
      <c r="A145" s="35" t="n"/>
      <c r="B145" s="35" t="n"/>
      <c r="C145" s="35" t="n"/>
      <c r="D145" s="35" t="n"/>
      <c r="E145" s="36" t="n"/>
      <c r="F145" s="35" t="n"/>
      <c r="G145" s="35" t="n"/>
      <c r="I145" s="31">
        <f>IF(TRIM($A145&amp;"")="","",IF(ISNUMBER(--SUBSTITUTE(SUBSTITUTE(TRIM($A145&amp;""),"-","")," ","")),SUBSTITUTE(SUBSTITUTE(TRIM($A145&amp;""),"-","")," ",""),"N:"&amp;TRIM($A145&amp;"")))</f>
        <v/>
      </c>
      <c r="J145" s="31">
        <f>IF(LEN(SUBSTITUTE(SUBSTITUTE(SUBSTITUTE(SUBSTITUTE(SUBSTITUTE(SUBSTITUTE(SUBSTITUTE(SUBSTITUTE(SUBSTITUTE($C145&amp;""," ",""),"　",""),"(주)",""),"（주）",""),"㈜",""),"주식회사",""),"(유)",""),"（유）",""),"유한회사",""))&lt;2,"",SUBSTITUTE(SUBSTITUTE(SUBSTITUTE(SUBSTITUTE(SUBSTITUTE(SUBSTITUTE(SUBSTITUTE(SUBSTITUTE(SUBSTITUTE($C145&amp;""," ",""),"　",""),"(주)",""),"（주）",""),"㈜",""),"주식회사",""),"(유)",""),"（유）",""),"유한회사",""))</f>
        <v/>
      </c>
      <c r="K145" s="31">
        <f>IF(LEN(SUBSTITUTE(SUBSTITUTE(SUBSTITUTE(SUBSTITUTE(SUBSTITUTE(SUBSTITUTE(SUBSTITUTE(SUBSTITUTE(SUBSTITUTE($D145&amp;""," ",""),"　",""),"(주)",""),"（주）",""),"㈜",""),"주식회사",""),"(유)",""),"（유）",""),"유한회사",""))&lt;2,"",SUBSTITUTE(SUBSTITUTE(SUBSTITUTE(SUBSTITUTE(SUBSTITUTE(SUBSTITUTE(SUBSTITUTE(SUBSTITUTE(SUBSTITUTE($D145&amp;""," ",""),"　",""),"(주)",""),"（주）",""),"㈜",""),"주식회사",""),"(유)",""),"（유）",""),"유한회사",""))</f>
        <v/>
      </c>
    </row>
    <row r="146">
      <c r="A146" s="35" t="n"/>
      <c r="B146" s="35" t="n"/>
      <c r="C146" s="35" t="n"/>
      <c r="D146" s="35" t="n"/>
      <c r="E146" s="36" t="n"/>
      <c r="F146" s="35" t="n"/>
      <c r="G146" s="35" t="n"/>
      <c r="I146" s="31">
        <f>IF(TRIM($A146&amp;"")="","",IF(ISNUMBER(--SUBSTITUTE(SUBSTITUTE(TRIM($A146&amp;""),"-","")," ","")),SUBSTITUTE(SUBSTITUTE(TRIM($A146&amp;""),"-","")," ",""),"N:"&amp;TRIM($A146&amp;"")))</f>
        <v/>
      </c>
      <c r="J146" s="31">
        <f>IF(LEN(SUBSTITUTE(SUBSTITUTE(SUBSTITUTE(SUBSTITUTE(SUBSTITUTE(SUBSTITUTE(SUBSTITUTE(SUBSTITUTE(SUBSTITUTE($C146&amp;""," ",""),"　",""),"(주)",""),"（주）",""),"㈜",""),"주식회사",""),"(유)",""),"（유）",""),"유한회사",""))&lt;2,"",SUBSTITUTE(SUBSTITUTE(SUBSTITUTE(SUBSTITUTE(SUBSTITUTE(SUBSTITUTE(SUBSTITUTE(SUBSTITUTE(SUBSTITUTE($C146&amp;""," ",""),"　",""),"(주)",""),"（주）",""),"㈜",""),"주식회사",""),"(유)",""),"（유）",""),"유한회사",""))</f>
        <v/>
      </c>
      <c r="K146" s="31">
        <f>IF(LEN(SUBSTITUTE(SUBSTITUTE(SUBSTITUTE(SUBSTITUTE(SUBSTITUTE(SUBSTITUTE(SUBSTITUTE(SUBSTITUTE(SUBSTITUTE($D146&amp;""," ",""),"　",""),"(주)",""),"（주）",""),"㈜",""),"주식회사",""),"(유)",""),"（유）",""),"유한회사",""))&lt;2,"",SUBSTITUTE(SUBSTITUTE(SUBSTITUTE(SUBSTITUTE(SUBSTITUTE(SUBSTITUTE(SUBSTITUTE(SUBSTITUTE(SUBSTITUTE($D146&amp;""," ",""),"　",""),"(주)",""),"（주）",""),"㈜",""),"주식회사",""),"(유)",""),"（유）",""),"유한회사",""))</f>
        <v/>
      </c>
    </row>
    <row r="147">
      <c r="A147" s="35" t="n"/>
      <c r="B147" s="35" t="n"/>
      <c r="C147" s="35" t="n"/>
      <c r="D147" s="35" t="n"/>
      <c r="E147" s="36" t="n"/>
      <c r="F147" s="35" t="n"/>
      <c r="G147" s="35" t="n"/>
      <c r="I147" s="31">
        <f>IF(TRIM($A147&amp;"")="","",IF(ISNUMBER(--SUBSTITUTE(SUBSTITUTE(TRIM($A147&amp;""),"-","")," ","")),SUBSTITUTE(SUBSTITUTE(TRIM($A147&amp;""),"-","")," ",""),"N:"&amp;TRIM($A147&amp;"")))</f>
        <v/>
      </c>
      <c r="J147" s="31">
        <f>IF(LEN(SUBSTITUTE(SUBSTITUTE(SUBSTITUTE(SUBSTITUTE(SUBSTITUTE(SUBSTITUTE(SUBSTITUTE(SUBSTITUTE(SUBSTITUTE($C147&amp;""," ",""),"　",""),"(주)",""),"（주）",""),"㈜",""),"주식회사",""),"(유)",""),"（유）",""),"유한회사",""))&lt;2,"",SUBSTITUTE(SUBSTITUTE(SUBSTITUTE(SUBSTITUTE(SUBSTITUTE(SUBSTITUTE(SUBSTITUTE(SUBSTITUTE(SUBSTITUTE($C147&amp;""," ",""),"　",""),"(주)",""),"（주）",""),"㈜",""),"주식회사",""),"(유)",""),"（유）",""),"유한회사",""))</f>
        <v/>
      </c>
      <c r="K147" s="31">
        <f>IF(LEN(SUBSTITUTE(SUBSTITUTE(SUBSTITUTE(SUBSTITUTE(SUBSTITUTE(SUBSTITUTE(SUBSTITUTE(SUBSTITUTE(SUBSTITUTE($D147&amp;""," ",""),"　",""),"(주)",""),"（주）",""),"㈜",""),"주식회사",""),"(유)",""),"（유）",""),"유한회사",""))&lt;2,"",SUBSTITUTE(SUBSTITUTE(SUBSTITUTE(SUBSTITUTE(SUBSTITUTE(SUBSTITUTE(SUBSTITUTE(SUBSTITUTE(SUBSTITUTE($D147&amp;""," ",""),"　",""),"(주)",""),"（주）",""),"㈜",""),"주식회사",""),"(유)",""),"（유）",""),"유한회사",""))</f>
        <v/>
      </c>
    </row>
    <row r="148">
      <c r="A148" s="35" t="n"/>
      <c r="B148" s="35" t="n"/>
      <c r="C148" s="35" t="n"/>
      <c r="D148" s="35" t="n"/>
      <c r="E148" s="36" t="n"/>
      <c r="F148" s="35" t="n"/>
      <c r="G148" s="35" t="n"/>
      <c r="I148" s="31">
        <f>IF(TRIM($A148&amp;"")="","",IF(ISNUMBER(--SUBSTITUTE(SUBSTITUTE(TRIM($A148&amp;""),"-","")," ","")),SUBSTITUTE(SUBSTITUTE(TRIM($A148&amp;""),"-","")," ",""),"N:"&amp;TRIM($A148&amp;"")))</f>
        <v/>
      </c>
      <c r="J148" s="31">
        <f>IF(LEN(SUBSTITUTE(SUBSTITUTE(SUBSTITUTE(SUBSTITUTE(SUBSTITUTE(SUBSTITUTE(SUBSTITUTE(SUBSTITUTE(SUBSTITUTE($C148&amp;""," ",""),"　",""),"(주)",""),"（주）",""),"㈜",""),"주식회사",""),"(유)",""),"（유）",""),"유한회사",""))&lt;2,"",SUBSTITUTE(SUBSTITUTE(SUBSTITUTE(SUBSTITUTE(SUBSTITUTE(SUBSTITUTE(SUBSTITUTE(SUBSTITUTE(SUBSTITUTE($C148&amp;""," ",""),"　",""),"(주)",""),"（주）",""),"㈜",""),"주식회사",""),"(유)",""),"（유）",""),"유한회사",""))</f>
        <v/>
      </c>
      <c r="K148" s="31">
        <f>IF(LEN(SUBSTITUTE(SUBSTITUTE(SUBSTITUTE(SUBSTITUTE(SUBSTITUTE(SUBSTITUTE(SUBSTITUTE(SUBSTITUTE(SUBSTITUTE($D148&amp;""," ",""),"　",""),"(주)",""),"（주）",""),"㈜",""),"주식회사",""),"(유)",""),"（유）",""),"유한회사",""))&lt;2,"",SUBSTITUTE(SUBSTITUTE(SUBSTITUTE(SUBSTITUTE(SUBSTITUTE(SUBSTITUTE(SUBSTITUTE(SUBSTITUTE(SUBSTITUTE($D148&amp;""," ",""),"　",""),"(주)",""),"（주）",""),"㈜",""),"주식회사",""),"(유)",""),"（유）",""),"유한회사",""))</f>
        <v/>
      </c>
    </row>
    <row r="149">
      <c r="A149" s="35" t="n"/>
      <c r="B149" s="35" t="n"/>
      <c r="C149" s="35" t="n"/>
      <c r="D149" s="35" t="n"/>
      <c r="E149" s="36" t="n"/>
      <c r="F149" s="35" t="n"/>
      <c r="G149" s="35" t="n"/>
      <c r="I149" s="31">
        <f>IF(TRIM($A149&amp;"")="","",IF(ISNUMBER(--SUBSTITUTE(SUBSTITUTE(TRIM($A149&amp;""),"-","")," ","")),SUBSTITUTE(SUBSTITUTE(TRIM($A149&amp;""),"-","")," ",""),"N:"&amp;TRIM($A149&amp;"")))</f>
        <v/>
      </c>
      <c r="J149" s="31">
        <f>IF(LEN(SUBSTITUTE(SUBSTITUTE(SUBSTITUTE(SUBSTITUTE(SUBSTITUTE(SUBSTITUTE(SUBSTITUTE(SUBSTITUTE(SUBSTITUTE($C149&amp;""," ",""),"　",""),"(주)",""),"（주）",""),"㈜",""),"주식회사",""),"(유)",""),"（유）",""),"유한회사",""))&lt;2,"",SUBSTITUTE(SUBSTITUTE(SUBSTITUTE(SUBSTITUTE(SUBSTITUTE(SUBSTITUTE(SUBSTITUTE(SUBSTITUTE(SUBSTITUTE($C149&amp;""," ",""),"　",""),"(주)",""),"（주）",""),"㈜",""),"주식회사",""),"(유)",""),"（유）",""),"유한회사",""))</f>
        <v/>
      </c>
      <c r="K149" s="31">
        <f>IF(LEN(SUBSTITUTE(SUBSTITUTE(SUBSTITUTE(SUBSTITUTE(SUBSTITUTE(SUBSTITUTE(SUBSTITUTE(SUBSTITUTE(SUBSTITUTE($D149&amp;""," ",""),"　",""),"(주)",""),"（주）",""),"㈜",""),"주식회사",""),"(유)",""),"（유）",""),"유한회사",""))&lt;2,"",SUBSTITUTE(SUBSTITUTE(SUBSTITUTE(SUBSTITUTE(SUBSTITUTE(SUBSTITUTE(SUBSTITUTE(SUBSTITUTE(SUBSTITUTE($D149&amp;""," ",""),"　",""),"(주)",""),"（주）",""),"㈜",""),"주식회사",""),"(유)",""),"（유）",""),"유한회사",""))</f>
        <v/>
      </c>
    </row>
    <row r="150">
      <c r="A150" s="35" t="n"/>
      <c r="B150" s="35" t="n"/>
      <c r="C150" s="35" t="n"/>
      <c r="D150" s="35" t="n"/>
      <c r="E150" s="36" t="n"/>
      <c r="F150" s="35" t="n"/>
      <c r="G150" s="35" t="n"/>
      <c r="I150" s="31">
        <f>IF(TRIM($A150&amp;"")="","",IF(ISNUMBER(--SUBSTITUTE(SUBSTITUTE(TRIM($A150&amp;""),"-","")," ","")),SUBSTITUTE(SUBSTITUTE(TRIM($A150&amp;""),"-","")," ",""),"N:"&amp;TRIM($A150&amp;"")))</f>
        <v/>
      </c>
      <c r="J150" s="31">
        <f>IF(LEN(SUBSTITUTE(SUBSTITUTE(SUBSTITUTE(SUBSTITUTE(SUBSTITUTE(SUBSTITUTE(SUBSTITUTE(SUBSTITUTE(SUBSTITUTE($C150&amp;""," ",""),"　",""),"(주)",""),"（주）",""),"㈜",""),"주식회사",""),"(유)",""),"（유）",""),"유한회사",""))&lt;2,"",SUBSTITUTE(SUBSTITUTE(SUBSTITUTE(SUBSTITUTE(SUBSTITUTE(SUBSTITUTE(SUBSTITUTE(SUBSTITUTE(SUBSTITUTE($C150&amp;""," ",""),"　",""),"(주)",""),"（주）",""),"㈜",""),"주식회사",""),"(유)",""),"（유）",""),"유한회사",""))</f>
        <v/>
      </c>
      <c r="K150" s="31">
        <f>IF(LEN(SUBSTITUTE(SUBSTITUTE(SUBSTITUTE(SUBSTITUTE(SUBSTITUTE(SUBSTITUTE(SUBSTITUTE(SUBSTITUTE(SUBSTITUTE($D150&amp;""," ",""),"　",""),"(주)",""),"（주）",""),"㈜",""),"주식회사",""),"(유)",""),"（유）",""),"유한회사",""))&lt;2,"",SUBSTITUTE(SUBSTITUTE(SUBSTITUTE(SUBSTITUTE(SUBSTITUTE(SUBSTITUTE(SUBSTITUTE(SUBSTITUTE(SUBSTITUTE($D150&amp;""," ",""),"　",""),"(주)",""),"（주）",""),"㈜",""),"주식회사",""),"(유)",""),"（유）",""),"유한회사",""))</f>
        <v/>
      </c>
    </row>
    <row r="151">
      <c r="A151" s="35" t="n"/>
      <c r="B151" s="35" t="n"/>
      <c r="C151" s="35" t="n"/>
      <c r="D151" s="35" t="n"/>
      <c r="E151" s="36" t="n"/>
      <c r="F151" s="35" t="n"/>
      <c r="G151" s="35" t="n"/>
      <c r="I151" s="31">
        <f>IF(TRIM($A151&amp;"")="","",IF(ISNUMBER(--SUBSTITUTE(SUBSTITUTE(TRIM($A151&amp;""),"-","")," ","")),SUBSTITUTE(SUBSTITUTE(TRIM($A151&amp;""),"-","")," ",""),"N:"&amp;TRIM($A151&amp;"")))</f>
        <v/>
      </c>
      <c r="J151" s="31">
        <f>IF(LEN(SUBSTITUTE(SUBSTITUTE(SUBSTITUTE(SUBSTITUTE(SUBSTITUTE(SUBSTITUTE(SUBSTITUTE(SUBSTITUTE(SUBSTITUTE($C151&amp;""," ",""),"　",""),"(주)",""),"（주）",""),"㈜",""),"주식회사",""),"(유)",""),"（유）",""),"유한회사",""))&lt;2,"",SUBSTITUTE(SUBSTITUTE(SUBSTITUTE(SUBSTITUTE(SUBSTITUTE(SUBSTITUTE(SUBSTITUTE(SUBSTITUTE(SUBSTITUTE($C151&amp;""," ",""),"　",""),"(주)",""),"（주）",""),"㈜",""),"주식회사",""),"(유)",""),"（유）",""),"유한회사",""))</f>
        <v/>
      </c>
      <c r="K151" s="31">
        <f>IF(LEN(SUBSTITUTE(SUBSTITUTE(SUBSTITUTE(SUBSTITUTE(SUBSTITUTE(SUBSTITUTE(SUBSTITUTE(SUBSTITUTE(SUBSTITUTE($D151&amp;""," ",""),"　",""),"(주)",""),"（주）",""),"㈜",""),"주식회사",""),"(유)",""),"（유）",""),"유한회사",""))&lt;2,"",SUBSTITUTE(SUBSTITUTE(SUBSTITUTE(SUBSTITUTE(SUBSTITUTE(SUBSTITUTE(SUBSTITUTE(SUBSTITUTE(SUBSTITUTE($D151&amp;""," ",""),"　",""),"(주)",""),"（주）",""),"㈜",""),"주식회사",""),"(유)",""),"（유）",""),"유한회사",""))</f>
        <v/>
      </c>
    </row>
    <row r="152">
      <c r="A152" s="35" t="n"/>
      <c r="B152" s="35" t="n"/>
      <c r="C152" s="35" t="n"/>
      <c r="D152" s="35" t="n"/>
      <c r="E152" s="36" t="n"/>
      <c r="F152" s="35" t="n"/>
      <c r="G152" s="35" t="n"/>
      <c r="I152" s="31">
        <f>IF(TRIM($A152&amp;"")="","",IF(ISNUMBER(--SUBSTITUTE(SUBSTITUTE(TRIM($A152&amp;""),"-","")," ","")),SUBSTITUTE(SUBSTITUTE(TRIM($A152&amp;""),"-","")," ",""),"N:"&amp;TRIM($A152&amp;"")))</f>
        <v/>
      </c>
      <c r="J152" s="31">
        <f>IF(LEN(SUBSTITUTE(SUBSTITUTE(SUBSTITUTE(SUBSTITUTE(SUBSTITUTE(SUBSTITUTE(SUBSTITUTE(SUBSTITUTE(SUBSTITUTE($C152&amp;""," ",""),"　",""),"(주)",""),"（주）",""),"㈜",""),"주식회사",""),"(유)",""),"（유）",""),"유한회사",""))&lt;2,"",SUBSTITUTE(SUBSTITUTE(SUBSTITUTE(SUBSTITUTE(SUBSTITUTE(SUBSTITUTE(SUBSTITUTE(SUBSTITUTE(SUBSTITUTE($C152&amp;""," ",""),"　",""),"(주)",""),"（주）",""),"㈜",""),"주식회사",""),"(유)",""),"（유）",""),"유한회사",""))</f>
        <v/>
      </c>
      <c r="K152" s="31">
        <f>IF(LEN(SUBSTITUTE(SUBSTITUTE(SUBSTITUTE(SUBSTITUTE(SUBSTITUTE(SUBSTITUTE(SUBSTITUTE(SUBSTITUTE(SUBSTITUTE($D152&amp;""," ",""),"　",""),"(주)",""),"（주）",""),"㈜",""),"주식회사",""),"(유)",""),"（유）",""),"유한회사",""))&lt;2,"",SUBSTITUTE(SUBSTITUTE(SUBSTITUTE(SUBSTITUTE(SUBSTITUTE(SUBSTITUTE(SUBSTITUTE(SUBSTITUTE(SUBSTITUTE($D152&amp;""," ",""),"　",""),"(주)",""),"（주）",""),"㈜",""),"주식회사",""),"(유)",""),"（유）",""),"유한회사",""))</f>
        <v/>
      </c>
    </row>
    <row r="153">
      <c r="A153" s="35" t="n"/>
      <c r="B153" s="35" t="n"/>
      <c r="C153" s="35" t="n"/>
      <c r="D153" s="35" t="n"/>
      <c r="E153" s="36" t="n"/>
      <c r="F153" s="35" t="n"/>
      <c r="G153" s="35" t="n"/>
      <c r="I153" s="31">
        <f>IF(TRIM($A153&amp;"")="","",IF(ISNUMBER(--SUBSTITUTE(SUBSTITUTE(TRIM($A153&amp;""),"-","")," ","")),SUBSTITUTE(SUBSTITUTE(TRIM($A153&amp;""),"-","")," ",""),"N:"&amp;TRIM($A153&amp;"")))</f>
        <v/>
      </c>
      <c r="J153" s="31">
        <f>IF(LEN(SUBSTITUTE(SUBSTITUTE(SUBSTITUTE(SUBSTITUTE(SUBSTITUTE(SUBSTITUTE(SUBSTITUTE(SUBSTITUTE(SUBSTITUTE($C153&amp;""," ",""),"　",""),"(주)",""),"（주）",""),"㈜",""),"주식회사",""),"(유)",""),"（유）",""),"유한회사",""))&lt;2,"",SUBSTITUTE(SUBSTITUTE(SUBSTITUTE(SUBSTITUTE(SUBSTITUTE(SUBSTITUTE(SUBSTITUTE(SUBSTITUTE(SUBSTITUTE($C153&amp;""," ",""),"　",""),"(주)",""),"（주）",""),"㈜",""),"주식회사",""),"(유)",""),"（유）",""),"유한회사",""))</f>
        <v/>
      </c>
      <c r="K153" s="31">
        <f>IF(LEN(SUBSTITUTE(SUBSTITUTE(SUBSTITUTE(SUBSTITUTE(SUBSTITUTE(SUBSTITUTE(SUBSTITUTE(SUBSTITUTE(SUBSTITUTE($D153&amp;""," ",""),"　",""),"(주)",""),"（주）",""),"㈜",""),"주식회사",""),"(유)",""),"（유）",""),"유한회사",""))&lt;2,"",SUBSTITUTE(SUBSTITUTE(SUBSTITUTE(SUBSTITUTE(SUBSTITUTE(SUBSTITUTE(SUBSTITUTE(SUBSTITUTE(SUBSTITUTE($D153&amp;""," ",""),"　",""),"(주)",""),"（주）",""),"㈜",""),"주식회사",""),"(유)",""),"（유）",""),"유한회사",""))</f>
        <v/>
      </c>
    </row>
    <row r="154">
      <c r="A154" s="35" t="n"/>
      <c r="B154" s="35" t="n"/>
      <c r="C154" s="35" t="n"/>
      <c r="D154" s="35" t="n"/>
      <c r="E154" s="36" t="n"/>
      <c r="F154" s="35" t="n"/>
      <c r="G154" s="35" t="n"/>
      <c r="I154" s="31">
        <f>IF(TRIM($A154&amp;"")="","",IF(ISNUMBER(--SUBSTITUTE(SUBSTITUTE(TRIM($A154&amp;""),"-","")," ","")),SUBSTITUTE(SUBSTITUTE(TRIM($A154&amp;""),"-","")," ",""),"N:"&amp;TRIM($A154&amp;"")))</f>
        <v/>
      </c>
      <c r="J154" s="31">
        <f>IF(LEN(SUBSTITUTE(SUBSTITUTE(SUBSTITUTE(SUBSTITUTE(SUBSTITUTE(SUBSTITUTE(SUBSTITUTE(SUBSTITUTE(SUBSTITUTE($C154&amp;""," ",""),"　",""),"(주)",""),"（주）",""),"㈜",""),"주식회사",""),"(유)",""),"（유）",""),"유한회사",""))&lt;2,"",SUBSTITUTE(SUBSTITUTE(SUBSTITUTE(SUBSTITUTE(SUBSTITUTE(SUBSTITUTE(SUBSTITUTE(SUBSTITUTE(SUBSTITUTE($C154&amp;""," ",""),"　",""),"(주)",""),"（주）",""),"㈜",""),"주식회사",""),"(유)",""),"（유）",""),"유한회사",""))</f>
        <v/>
      </c>
      <c r="K154" s="31">
        <f>IF(LEN(SUBSTITUTE(SUBSTITUTE(SUBSTITUTE(SUBSTITUTE(SUBSTITUTE(SUBSTITUTE(SUBSTITUTE(SUBSTITUTE(SUBSTITUTE($D154&amp;""," ",""),"　",""),"(주)",""),"（주）",""),"㈜",""),"주식회사",""),"(유)",""),"（유）",""),"유한회사",""))&lt;2,"",SUBSTITUTE(SUBSTITUTE(SUBSTITUTE(SUBSTITUTE(SUBSTITUTE(SUBSTITUTE(SUBSTITUTE(SUBSTITUTE(SUBSTITUTE($D154&amp;""," ",""),"　",""),"(주)",""),"（주）",""),"㈜",""),"주식회사",""),"(유)",""),"（유）",""),"유한회사",""))</f>
        <v/>
      </c>
    </row>
    <row r="155">
      <c r="A155" s="35" t="n"/>
      <c r="B155" s="35" t="n"/>
      <c r="C155" s="35" t="n"/>
      <c r="D155" s="35" t="n"/>
      <c r="E155" s="36" t="n"/>
      <c r="F155" s="35" t="n"/>
      <c r="G155" s="35" t="n"/>
      <c r="I155" s="31">
        <f>IF(TRIM($A155&amp;"")="","",IF(ISNUMBER(--SUBSTITUTE(SUBSTITUTE(TRIM($A155&amp;""),"-","")," ","")),SUBSTITUTE(SUBSTITUTE(TRIM($A155&amp;""),"-","")," ",""),"N:"&amp;TRIM($A155&amp;"")))</f>
        <v/>
      </c>
      <c r="J155" s="31">
        <f>IF(LEN(SUBSTITUTE(SUBSTITUTE(SUBSTITUTE(SUBSTITUTE(SUBSTITUTE(SUBSTITUTE(SUBSTITUTE(SUBSTITUTE(SUBSTITUTE($C155&amp;""," ",""),"　",""),"(주)",""),"（주）",""),"㈜",""),"주식회사",""),"(유)",""),"（유）",""),"유한회사",""))&lt;2,"",SUBSTITUTE(SUBSTITUTE(SUBSTITUTE(SUBSTITUTE(SUBSTITUTE(SUBSTITUTE(SUBSTITUTE(SUBSTITUTE(SUBSTITUTE($C155&amp;""," ",""),"　",""),"(주)",""),"（주）",""),"㈜",""),"주식회사",""),"(유)",""),"（유）",""),"유한회사",""))</f>
        <v/>
      </c>
      <c r="K155" s="31">
        <f>IF(LEN(SUBSTITUTE(SUBSTITUTE(SUBSTITUTE(SUBSTITUTE(SUBSTITUTE(SUBSTITUTE(SUBSTITUTE(SUBSTITUTE(SUBSTITUTE($D155&amp;""," ",""),"　",""),"(주)",""),"（주）",""),"㈜",""),"주식회사",""),"(유)",""),"（유）",""),"유한회사",""))&lt;2,"",SUBSTITUTE(SUBSTITUTE(SUBSTITUTE(SUBSTITUTE(SUBSTITUTE(SUBSTITUTE(SUBSTITUTE(SUBSTITUTE(SUBSTITUTE($D155&amp;""," ",""),"　",""),"(주)",""),"（주）",""),"㈜",""),"주식회사",""),"(유)",""),"（유）",""),"유한회사",""))</f>
        <v/>
      </c>
    </row>
    <row r="156">
      <c r="A156" s="35" t="n"/>
      <c r="B156" s="35" t="n"/>
      <c r="C156" s="35" t="n"/>
      <c r="D156" s="35" t="n"/>
      <c r="E156" s="36" t="n"/>
      <c r="F156" s="35" t="n"/>
      <c r="G156" s="35" t="n"/>
      <c r="I156" s="31">
        <f>IF(TRIM($A156&amp;"")="","",IF(ISNUMBER(--SUBSTITUTE(SUBSTITUTE(TRIM($A156&amp;""),"-","")," ","")),SUBSTITUTE(SUBSTITUTE(TRIM($A156&amp;""),"-","")," ",""),"N:"&amp;TRIM($A156&amp;"")))</f>
        <v/>
      </c>
      <c r="J156" s="31">
        <f>IF(LEN(SUBSTITUTE(SUBSTITUTE(SUBSTITUTE(SUBSTITUTE(SUBSTITUTE(SUBSTITUTE(SUBSTITUTE(SUBSTITUTE(SUBSTITUTE($C156&amp;""," ",""),"　",""),"(주)",""),"（주）",""),"㈜",""),"주식회사",""),"(유)",""),"（유）",""),"유한회사",""))&lt;2,"",SUBSTITUTE(SUBSTITUTE(SUBSTITUTE(SUBSTITUTE(SUBSTITUTE(SUBSTITUTE(SUBSTITUTE(SUBSTITUTE(SUBSTITUTE($C156&amp;""," ",""),"　",""),"(주)",""),"（주）",""),"㈜",""),"주식회사",""),"(유)",""),"（유）",""),"유한회사",""))</f>
        <v/>
      </c>
      <c r="K156" s="31">
        <f>IF(LEN(SUBSTITUTE(SUBSTITUTE(SUBSTITUTE(SUBSTITUTE(SUBSTITUTE(SUBSTITUTE(SUBSTITUTE(SUBSTITUTE(SUBSTITUTE($D156&amp;""," ",""),"　",""),"(주)",""),"（주）",""),"㈜",""),"주식회사",""),"(유)",""),"（유）",""),"유한회사",""))&lt;2,"",SUBSTITUTE(SUBSTITUTE(SUBSTITUTE(SUBSTITUTE(SUBSTITUTE(SUBSTITUTE(SUBSTITUTE(SUBSTITUTE(SUBSTITUTE($D156&amp;""," ",""),"　",""),"(주)",""),"（주）",""),"㈜",""),"주식회사",""),"(유)",""),"（유）",""),"유한회사",""))</f>
        <v/>
      </c>
    </row>
    <row r="157">
      <c r="A157" s="35" t="n"/>
      <c r="B157" s="35" t="n"/>
      <c r="C157" s="35" t="n"/>
      <c r="D157" s="35" t="n"/>
      <c r="E157" s="36" t="n"/>
      <c r="F157" s="35" t="n"/>
      <c r="G157" s="35" t="n"/>
      <c r="I157" s="31">
        <f>IF(TRIM($A157&amp;"")="","",IF(ISNUMBER(--SUBSTITUTE(SUBSTITUTE(TRIM($A157&amp;""),"-","")," ","")),SUBSTITUTE(SUBSTITUTE(TRIM($A157&amp;""),"-","")," ",""),"N:"&amp;TRIM($A157&amp;"")))</f>
        <v/>
      </c>
      <c r="J157" s="31">
        <f>IF(LEN(SUBSTITUTE(SUBSTITUTE(SUBSTITUTE(SUBSTITUTE(SUBSTITUTE(SUBSTITUTE(SUBSTITUTE(SUBSTITUTE(SUBSTITUTE($C157&amp;""," ",""),"　",""),"(주)",""),"（주）",""),"㈜",""),"주식회사",""),"(유)",""),"（유）",""),"유한회사",""))&lt;2,"",SUBSTITUTE(SUBSTITUTE(SUBSTITUTE(SUBSTITUTE(SUBSTITUTE(SUBSTITUTE(SUBSTITUTE(SUBSTITUTE(SUBSTITUTE($C157&amp;""," ",""),"　",""),"(주)",""),"（주）",""),"㈜",""),"주식회사",""),"(유)",""),"（유）",""),"유한회사",""))</f>
        <v/>
      </c>
      <c r="K157" s="31">
        <f>IF(LEN(SUBSTITUTE(SUBSTITUTE(SUBSTITUTE(SUBSTITUTE(SUBSTITUTE(SUBSTITUTE(SUBSTITUTE(SUBSTITUTE(SUBSTITUTE($D157&amp;""," ",""),"　",""),"(주)",""),"（주）",""),"㈜",""),"주식회사",""),"(유)",""),"（유）",""),"유한회사",""))&lt;2,"",SUBSTITUTE(SUBSTITUTE(SUBSTITUTE(SUBSTITUTE(SUBSTITUTE(SUBSTITUTE(SUBSTITUTE(SUBSTITUTE(SUBSTITUTE($D157&amp;""," ",""),"　",""),"(주)",""),"（주）",""),"㈜",""),"주식회사",""),"(유)",""),"（유）",""),"유한회사",""))</f>
        <v/>
      </c>
    </row>
    <row r="158">
      <c r="A158" s="35" t="n"/>
      <c r="B158" s="35" t="n"/>
      <c r="C158" s="35" t="n"/>
      <c r="D158" s="35" t="n"/>
      <c r="E158" s="36" t="n"/>
      <c r="F158" s="35" t="n"/>
      <c r="G158" s="35" t="n"/>
      <c r="I158" s="31">
        <f>IF(TRIM($A158&amp;"")="","",IF(ISNUMBER(--SUBSTITUTE(SUBSTITUTE(TRIM($A158&amp;""),"-","")," ","")),SUBSTITUTE(SUBSTITUTE(TRIM($A158&amp;""),"-","")," ",""),"N:"&amp;TRIM($A158&amp;"")))</f>
        <v/>
      </c>
      <c r="J158" s="31">
        <f>IF(LEN(SUBSTITUTE(SUBSTITUTE(SUBSTITUTE(SUBSTITUTE(SUBSTITUTE(SUBSTITUTE(SUBSTITUTE(SUBSTITUTE(SUBSTITUTE($C158&amp;""," ",""),"　",""),"(주)",""),"（주）",""),"㈜",""),"주식회사",""),"(유)",""),"（유）",""),"유한회사",""))&lt;2,"",SUBSTITUTE(SUBSTITUTE(SUBSTITUTE(SUBSTITUTE(SUBSTITUTE(SUBSTITUTE(SUBSTITUTE(SUBSTITUTE(SUBSTITUTE($C158&amp;""," ",""),"　",""),"(주)",""),"（주）",""),"㈜",""),"주식회사",""),"(유)",""),"（유）",""),"유한회사",""))</f>
        <v/>
      </c>
      <c r="K158" s="31">
        <f>IF(LEN(SUBSTITUTE(SUBSTITUTE(SUBSTITUTE(SUBSTITUTE(SUBSTITUTE(SUBSTITUTE(SUBSTITUTE(SUBSTITUTE(SUBSTITUTE($D158&amp;""," ",""),"　",""),"(주)",""),"（주）",""),"㈜",""),"주식회사",""),"(유)",""),"（유）",""),"유한회사",""))&lt;2,"",SUBSTITUTE(SUBSTITUTE(SUBSTITUTE(SUBSTITUTE(SUBSTITUTE(SUBSTITUTE(SUBSTITUTE(SUBSTITUTE(SUBSTITUTE($D158&amp;""," ",""),"　",""),"(주)",""),"（주）",""),"㈜",""),"주식회사",""),"(유)",""),"（유）",""),"유한회사",""))</f>
        <v/>
      </c>
    </row>
    <row r="159">
      <c r="A159" s="35" t="n"/>
      <c r="B159" s="35" t="n"/>
      <c r="C159" s="35" t="n"/>
      <c r="D159" s="35" t="n"/>
      <c r="E159" s="36" t="n"/>
      <c r="F159" s="35" t="n"/>
      <c r="G159" s="35" t="n"/>
      <c r="I159" s="31">
        <f>IF(TRIM($A159&amp;"")="","",IF(ISNUMBER(--SUBSTITUTE(SUBSTITUTE(TRIM($A159&amp;""),"-","")," ","")),SUBSTITUTE(SUBSTITUTE(TRIM($A159&amp;""),"-","")," ",""),"N:"&amp;TRIM($A159&amp;"")))</f>
        <v/>
      </c>
      <c r="J159" s="31">
        <f>IF(LEN(SUBSTITUTE(SUBSTITUTE(SUBSTITUTE(SUBSTITUTE(SUBSTITUTE(SUBSTITUTE(SUBSTITUTE(SUBSTITUTE(SUBSTITUTE($C159&amp;""," ",""),"　",""),"(주)",""),"（주）",""),"㈜",""),"주식회사",""),"(유)",""),"（유）",""),"유한회사",""))&lt;2,"",SUBSTITUTE(SUBSTITUTE(SUBSTITUTE(SUBSTITUTE(SUBSTITUTE(SUBSTITUTE(SUBSTITUTE(SUBSTITUTE(SUBSTITUTE($C159&amp;""," ",""),"　",""),"(주)",""),"（주）",""),"㈜",""),"주식회사",""),"(유)",""),"（유）",""),"유한회사",""))</f>
        <v/>
      </c>
      <c r="K159" s="31">
        <f>IF(LEN(SUBSTITUTE(SUBSTITUTE(SUBSTITUTE(SUBSTITUTE(SUBSTITUTE(SUBSTITUTE(SUBSTITUTE(SUBSTITUTE(SUBSTITUTE($D159&amp;""," ",""),"　",""),"(주)",""),"（주）",""),"㈜",""),"주식회사",""),"(유)",""),"（유）",""),"유한회사",""))&lt;2,"",SUBSTITUTE(SUBSTITUTE(SUBSTITUTE(SUBSTITUTE(SUBSTITUTE(SUBSTITUTE(SUBSTITUTE(SUBSTITUTE(SUBSTITUTE($D159&amp;""," ",""),"　",""),"(주)",""),"（주）",""),"㈜",""),"주식회사",""),"(유)",""),"（유）",""),"유한회사",""))</f>
        <v/>
      </c>
    </row>
    <row r="160">
      <c r="A160" s="35" t="n"/>
      <c r="B160" s="35" t="n"/>
      <c r="C160" s="35" t="n"/>
      <c r="D160" s="35" t="n"/>
      <c r="E160" s="36" t="n"/>
      <c r="F160" s="35" t="n"/>
      <c r="G160" s="35" t="n"/>
      <c r="I160" s="31">
        <f>IF(TRIM($A160&amp;"")="","",IF(ISNUMBER(--SUBSTITUTE(SUBSTITUTE(TRIM($A160&amp;""),"-","")," ","")),SUBSTITUTE(SUBSTITUTE(TRIM($A160&amp;""),"-","")," ",""),"N:"&amp;TRIM($A160&amp;"")))</f>
        <v/>
      </c>
      <c r="J160" s="31">
        <f>IF(LEN(SUBSTITUTE(SUBSTITUTE(SUBSTITUTE(SUBSTITUTE(SUBSTITUTE(SUBSTITUTE(SUBSTITUTE(SUBSTITUTE(SUBSTITUTE($C160&amp;""," ",""),"　",""),"(주)",""),"（주）",""),"㈜",""),"주식회사",""),"(유)",""),"（유）",""),"유한회사",""))&lt;2,"",SUBSTITUTE(SUBSTITUTE(SUBSTITUTE(SUBSTITUTE(SUBSTITUTE(SUBSTITUTE(SUBSTITUTE(SUBSTITUTE(SUBSTITUTE($C160&amp;""," ",""),"　",""),"(주)",""),"（주）",""),"㈜",""),"주식회사",""),"(유)",""),"（유）",""),"유한회사",""))</f>
        <v/>
      </c>
      <c r="K160" s="31">
        <f>IF(LEN(SUBSTITUTE(SUBSTITUTE(SUBSTITUTE(SUBSTITUTE(SUBSTITUTE(SUBSTITUTE(SUBSTITUTE(SUBSTITUTE(SUBSTITUTE($D160&amp;""," ",""),"　",""),"(주)",""),"（주）",""),"㈜",""),"주식회사",""),"(유)",""),"（유）",""),"유한회사",""))&lt;2,"",SUBSTITUTE(SUBSTITUTE(SUBSTITUTE(SUBSTITUTE(SUBSTITUTE(SUBSTITUTE(SUBSTITUTE(SUBSTITUTE(SUBSTITUTE($D160&amp;""," ",""),"　",""),"(주)",""),"（주）",""),"㈜",""),"주식회사",""),"(유)",""),"（유）",""),"유한회사",""))</f>
        <v/>
      </c>
    </row>
    <row r="161">
      <c r="A161" s="35" t="n"/>
      <c r="B161" s="35" t="n"/>
      <c r="C161" s="35" t="n"/>
      <c r="D161" s="35" t="n"/>
      <c r="E161" s="36" t="n"/>
      <c r="F161" s="35" t="n"/>
      <c r="G161" s="35" t="n"/>
      <c r="I161" s="31">
        <f>IF(TRIM($A161&amp;"")="","",IF(ISNUMBER(--SUBSTITUTE(SUBSTITUTE(TRIM($A161&amp;""),"-","")," ","")),SUBSTITUTE(SUBSTITUTE(TRIM($A161&amp;""),"-","")," ",""),"N:"&amp;TRIM($A161&amp;"")))</f>
        <v/>
      </c>
      <c r="J161" s="31">
        <f>IF(LEN(SUBSTITUTE(SUBSTITUTE(SUBSTITUTE(SUBSTITUTE(SUBSTITUTE(SUBSTITUTE(SUBSTITUTE(SUBSTITUTE(SUBSTITUTE($C161&amp;""," ",""),"　",""),"(주)",""),"（주）",""),"㈜",""),"주식회사",""),"(유)",""),"（유）",""),"유한회사",""))&lt;2,"",SUBSTITUTE(SUBSTITUTE(SUBSTITUTE(SUBSTITUTE(SUBSTITUTE(SUBSTITUTE(SUBSTITUTE(SUBSTITUTE(SUBSTITUTE($C161&amp;""," ",""),"　",""),"(주)",""),"（주）",""),"㈜",""),"주식회사",""),"(유)",""),"（유）",""),"유한회사",""))</f>
        <v/>
      </c>
      <c r="K161" s="31">
        <f>IF(LEN(SUBSTITUTE(SUBSTITUTE(SUBSTITUTE(SUBSTITUTE(SUBSTITUTE(SUBSTITUTE(SUBSTITUTE(SUBSTITUTE(SUBSTITUTE($D161&amp;""," ",""),"　",""),"(주)",""),"（주）",""),"㈜",""),"주식회사",""),"(유)",""),"（유）",""),"유한회사",""))&lt;2,"",SUBSTITUTE(SUBSTITUTE(SUBSTITUTE(SUBSTITUTE(SUBSTITUTE(SUBSTITUTE(SUBSTITUTE(SUBSTITUTE(SUBSTITUTE($D161&amp;""," ",""),"　",""),"(주)",""),"（주）",""),"㈜",""),"주식회사",""),"(유)",""),"（유）",""),"유한회사",""))</f>
        <v/>
      </c>
    </row>
    <row r="162">
      <c r="A162" s="35" t="n"/>
      <c r="B162" s="35" t="n"/>
      <c r="C162" s="35" t="n"/>
      <c r="D162" s="35" t="n"/>
      <c r="E162" s="36" t="n"/>
      <c r="F162" s="35" t="n"/>
      <c r="G162" s="35" t="n"/>
      <c r="I162" s="31">
        <f>IF(TRIM($A162&amp;"")="","",IF(ISNUMBER(--SUBSTITUTE(SUBSTITUTE(TRIM($A162&amp;""),"-","")," ","")),SUBSTITUTE(SUBSTITUTE(TRIM($A162&amp;""),"-","")," ",""),"N:"&amp;TRIM($A162&amp;"")))</f>
        <v/>
      </c>
      <c r="J162" s="31">
        <f>IF(LEN(SUBSTITUTE(SUBSTITUTE(SUBSTITUTE(SUBSTITUTE(SUBSTITUTE(SUBSTITUTE(SUBSTITUTE(SUBSTITUTE(SUBSTITUTE($C162&amp;""," ",""),"　",""),"(주)",""),"（주）",""),"㈜",""),"주식회사",""),"(유)",""),"（유）",""),"유한회사",""))&lt;2,"",SUBSTITUTE(SUBSTITUTE(SUBSTITUTE(SUBSTITUTE(SUBSTITUTE(SUBSTITUTE(SUBSTITUTE(SUBSTITUTE(SUBSTITUTE($C162&amp;""," ",""),"　",""),"(주)",""),"（주）",""),"㈜",""),"주식회사",""),"(유)",""),"（유）",""),"유한회사",""))</f>
        <v/>
      </c>
      <c r="K162" s="31">
        <f>IF(LEN(SUBSTITUTE(SUBSTITUTE(SUBSTITUTE(SUBSTITUTE(SUBSTITUTE(SUBSTITUTE(SUBSTITUTE(SUBSTITUTE(SUBSTITUTE($D162&amp;""," ",""),"　",""),"(주)",""),"（주）",""),"㈜",""),"주식회사",""),"(유)",""),"（유）",""),"유한회사",""))&lt;2,"",SUBSTITUTE(SUBSTITUTE(SUBSTITUTE(SUBSTITUTE(SUBSTITUTE(SUBSTITUTE(SUBSTITUTE(SUBSTITUTE(SUBSTITUTE($D162&amp;""," ",""),"　",""),"(주)",""),"（주）",""),"㈜",""),"주식회사",""),"(유)",""),"（유）",""),"유한회사",""))</f>
        <v/>
      </c>
    </row>
    <row r="163">
      <c r="A163" s="35" t="n"/>
      <c r="B163" s="35" t="n"/>
      <c r="C163" s="35" t="n"/>
      <c r="D163" s="35" t="n"/>
      <c r="E163" s="36" t="n"/>
      <c r="F163" s="35" t="n"/>
      <c r="G163" s="35" t="n"/>
      <c r="I163" s="31">
        <f>IF(TRIM($A163&amp;"")="","",IF(ISNUMBER(--SUBSTITUTE(SUBSTITUTE(TRIM($A163&amp;""),"-","")," ","")),SUBSTITUTE(SUBSTITUTE(TRIM($A163&amp;""),"-","")," ",""),"N:"&amp;TRIM($A163&amp;"")))</f>
        <v/>
      </c>
      <c r="J163" s="31">
        <f>IF(LEN(SUBSTITUTE(SUBSTITUTE(SUBSTITUTE(SUBSTITUTE(SUBSTITUTE(SUBSTITUTE(SUBSTITUTE(SUBSTITUTE(SUBSTITUTE($C163&amp;""," ",""),"　",""),"(주)",""),"（주）",""),"㈜",""),"주식회사",""),"(유)",""),"（유）",""),"유한회사",""))&lt;2,"",SUBSTITUTE(SUBSTITUTE(SUBSTITUTE(SUBSTITUTE(SUBSTITUTE(SUBSTITUTE(SUBSTITUTE(SUBSTITUTE(SUBSTITUTE($C163&amp;""," ",""),"　",""),"(주)",""),"（주）",""),"㈜",""),"주식회사",""),"(유)",""),"（유）",""),"유한회사",""))</f>
        <v/>
      </c>
      <c r="K163" s="31">
        <f>IF(LEN(SUBSTITUTE(SUBSTITUTE(SUBSTITUTE(SUBSTITUTE(SUBSTITUTE(SUBSTITUTE(SUBSTITUTE(SUBSTITUTE(SUBSTITUTE($D163&amp;""," ",""),"　",""),"(주)",""),"（주）",""),"㈜",""),"주식회사",""),"(유)",""),"（유）",""),"유한회사",""))&lt;2,"",SUBSTITUTE(SUBSTITUTE(SUBSTITUTE(SUBSTITUTE(SUBSTITUTE(SUBSTITUTE(SUBSTITUTE(SUBSTITUTE(SUBSTITUTE($D163&amp;""," ",""),"　",""),"(주)",""),"（주）",""),"㈜",""),"주식회사",""),"(유)",""),"（유）",""),"유한회사",""))</f>
        <v/>
      </c>
    </row>
    <row r="164">
      <c r="A164" s="35" t="n"/>
      <c r="B164" s="35" t="n"/>
      <c r="C164" s="35" t="n"/>
      <c r="D164" s="35" t="n"/>
      <c r="E164" s="36" t="n"/>
      <c r="F164" s="35" t="n"/>
      <c r="G164" s="35" t="n"/>
      <c r="I164" s="31">
        <f>IF(TRIM($A164&amp;"")="","",IF(ISNUMBER(--SUBSTITUTE(SUBSTITUTE(TRIM($A164&amp;""),"-","")," ","")),SUBSTITUTE(SUBSTITUTE(TRIM($A164&amp;""),"-","")," ",""),"N:"&amp;TRIM($A164&amp;"")))</f>
        <v/>
      </c>
      <c r="J164" s="31">
        <f>IF(LEN(SUBSTITUTE(SUBSTITUTE(SUBSTITUTE(SUBSTITUTE(SUBSTITUTE(SUBSTITUTE(SUBSTITUTE(SUBSTITUTE(SUBSTITUTE($C164&amp;""," ",""),"　",""),"(주)",""),"（주）",""),"㈜",""),"주식회사",""),"(유)",""),"（유）",""),"유한회사",""))&lt;2,"",SUBSTITUTE(SUBSTITUTE(SUBSTITUTE(SUBSTITUTE(SUBSTITUTE(SUBSTITUTE(SUBSTITUTE(SUBSTITUTE(SUBSTITUTE($C164&amp;""," ",""),"　",""),"(주)",""),"（주）",""),"㈜",""),"주식회사",""),"(유)",""),"（유）",""),"유한회사",""))</f>
        <v/>
      </c>
      <c r="K164" s="31">
        <f>IF(LEN(SUBSTITUTE(SUBSTITUTE(SUBSTITUTE(SUBSTITUTE(SUBSTITUTE(SUBSTITUTE(SUBSTITUTE(SUBSTITUTE(SUBSTITUTE($D164&amp;""," ",""),"　",""),"(주)",""),"（주）",""),"㈜",""),"주식회사",""),"(유)",""),"（유）",""),"유한회사",""))&lt;2,"",SUBSTITUTE(SUBSTITUTE(SUBSTITUTE(SUBSTITUTE(SUBSTITUTE(SUBSTITUTE(SUBSTITUTE(SUBSTITUTE(SUBSTITUTE($D164&amp;""," ",""),"　",""),"(주)",""),"（주）",""),"㈜",""),"주식회사",""),"(유)",""),"（유）",""),"유한회사",""))</f>
        <v/>
      </c>
    </row>
    <row r="165">
      <c r="A165" s="35" t="n"/>
      <c r="B165" s="35" t="n"/>
      <c r="C165" s="35" t="n"/>
      <c r="D165" s="35" t="n"/>
      <c r="E165" s="36" t="n"/>
      <c r="F165" s="35" t="n"/>
      <c r="G165" s="35" t="n"/>
      <c r="I165" s="31">
        <f>IF(TRIM($A165&amp;"")="","",IF(ISNUMBER(--SUBSTITUTE(SUBSTITUTE(TRIM($A165&amp;""),"-","")," ","")),SUBSTITUTE(SUBSTITUTE(TRIM($A165&amp;""),"-","")," ",""),"N:"&amp;TRIM($A165&amp;"")))</f>
        <v/>
      </c>
      <c r="J165" s="31">
        <f>IF(LEN(SUBSTITUTE(SUBSTITUTE(SUBSTITUTE(SUBSTITUTE(SUBSTITUTE(SUBSTITUTE(SUBSTITUTE(SUBSTITUTE(SUBSTITUTE($C165&amp;""," ",""),"　",""),"(주)",""),"（주）",""),"㈜",""),"주식회사",""),"(유)",""),"（유）",""),"유한회사",""))&lt;2,"",SUBSTITUTE(SUBSTITUTE(SUBSTITUTE(SUBSTITUTE(SUBSTITUTE(SUBSTITUTE(SUBSTITUTE(SUBSTITUTE(SUBSTITUTE($C165&amp;""," ",""),"　",""),"(주)",""),"（주）",""),"㈜",""),"주식회사",""),"(유)",""),"（유）",""),"유한회사",""))</f>
        <v/>
      </c>
      <c r="K165" s="31">
        <f>IF(LEN(SUBSTITUTE(SUBSTITUTE(SUBSTITUTE(SUBSTITUTE(SUBSTITUTE(SUBSTITUTE(SUBSTITUTE(SUBSTITUTE(SUBSTITUTE($D165&amp;""," ",""),"　",""),"(주)",""),"（주）",""),"㈜",""),"주식회사",""),"(유)",""),"（유）",""),"유한회사",""))&lt;2,"",SUBSTITUTE(SUBSTITUTE(SUBSTITUTE(SUBSTITUTE(SUBSTITUTE(SUBSTITUTE(SUBSTITUTE(SUBSTITUTE(SUBSTITUTE($D165&amp;""," ",""),"　",""),"(주)",""),"（주）",""),"㈜",""),"주식회사",""),"(유)",""),"（유）",""),"유한회사",""))</f>
        <v/>
      </c>
    </row>
    <row r="166">
      <c r="A166" s="35" t="n"/>
      <c r="B166" s="35" t="n"/>
      <c r="C166" s="35" t="n"/>
      <c r="D166" s="35" t="n"/>
      <c r="E166" s="36" t="n"/>
      <c r="F166" s="35" t="n"/>
      <c r="G166" s="35" t="n"/>
      <c r="I166" s="31">
        <f>IF(TRIM($A166&amp;"")="","",IF(ISNUMBER(--SUBSTITUTE(SUBSTITUTE(TRIM($A166&amp;""),"-","")," ","")),SUBSTITUTE(SUBSTITUTE(TRIM($A166&amp;""),"-","")," ",""),"N:"&amp;TRIM($A166&amp;"")))</f>
        <v/>
      </c>
      <c r="J166" s="31">
        <f>IF(LEN(SUBSTITUTE(SUBSTITUTE(SUBSTITUTE(SUBSTITUTE(SUBSTITUTE(SUBSTITUTE(SUBSTITUTE(SUBSTITUTE(SUBSTITUTE($C166&amp;""," ",""),"　",""),"(주)",""),"（주）",""),"㈜",""),"주식회사",""),"(유)",""),"（유）",""),"유한회사",""))&lt;2,"",SUBSTITUTE(SUBSTITUTE(SUBSTITUTE(SUBSTITUTE(SUBSTITUTE(SUBSTITUTE(SUBSTITUTE(SUBSTITUTE(SUBSTITUTE($C166&amp;""," ",""),"　",""),"(주)",""),"（주）",""),"㈜",""),"주식회사",""),"(유)",""),"（유）",""),"유한회사",""))</f>
        <v/>
      </c>
      <c r="K166" s="31">
        <f>IF(LEN(SUBSTITUTE(SUBSTITUTE(SUBSTITUTE(SUBSTITUTE(SUBSTITUTE(SUBSTITUTE(SUBSTITUTE(SUBSTITUTE(SUBSTITUTE($D166&amp;""," ",""),"　",""),"(주)",""),"（주）",""),"㈜",""),"주식회사",""),"(유)",""),"（유）",""),"유한회사",""))&lt;2,"",SUBSTITUTE(SUBSTITUTE(SUBSTITUTE(SUBSTITUTE(SUBSTITUTE(SUBSTITUTE(SUBSTITUTE(SUBSTITUTE(SUBSTITUTE($D166&amp;""," ",""),"　",""),"(주)",""),"（주）",""),"㈜",""),"주식회사",""),"(유)",""),"（유）",""),"유한회사",""))</f>
        <v/>
      </c>
    </row>
    <row r="167">
      <c r="A167" s="35" t="n"/>
      <c r="B167" s="35" t="n"/>
      <c r="C167" s="35" t="n"/>
      <c r="D167" s="35" t="n"/>
      <c r="E167" s="36" t="n"/>
      <c r="F167" s="35" t="n"/>
      <c r="G167" s="35" t="n"/>
      <c r="I167" s="31">
        <f>IF(TRIM($A167&amp;"")="","",IF(ISNUMBER(--SUBSTITUTE(SUBSTITUTE(TRIM($A167&amp;""),"-","")," ","")),SUBSTITUTE(SUBSTITUTE(TRIM($A167&amp;""),"-","")," ",""),"N:"&amp;TRIM($A167&amp;"")))</f>
        <v/>
      </c>
      <c r="J167" s="31">
        <f>IF(LEN(SUBSTITUTE(SUBSTITUTE(SUBSTITUTE(SUBSTITUTE(SUBSTITUTE(SUBSTITUTE(SUBSTITUTE(SUBSTITUTE(SUBSTITUTE($C167&amp;""," ",""),"　",""),"(주)",""),"（주）",""),"㈜",""),"주식회사",""),"(유)",""),"（유）",""),"유한회사",""))&lt;2,"",SUBSTITUTE(SUBSTITUTE(SUBSTITUTE(SUBSTITUTE(SUBSTITUTE(SUBSTITUTE(SUBSTITUTE(SUBSTITUTE(SUBSTITUTE($C167&amp;""," ",""),"　",""),"(주)",""),"（주）",""),"㈜",""),"주식회사",""),"(유)",""),"（유）",""),"유한회사",""))</f>
        <v/>
      </c>
      <c r="K167" s="31">
        <f>IF(LEN(SUBSTITUTE(SUBSTITUTE(SUBSTITUTE(SUBSTITUTE(SUBSTITUTE(SUBSTITUTE(SUBSTITUTE(SUBSTITUTE(SUBSTITUTE($D167&amp;""," ",""),"　",""),"(주)",""),"（주）",""),"㈜",""),"주식회사",""),"(유)",""),"（유）",""),"유한회사",""))&lt;2,"",SUBSTITUTE(SUBSTITUTE(SUBSTITUTE(SUBSTITUTE(SUBSTITUTE(SUBSTITUTE(SUBSTITUTE(SUBSTITUTE(SUBSTITUTE($D167&amp;""," ",""),"　",""),"(주)",""),"（주）",""),"㈜",""),"주식회사",""),"(유)",""),"（유）",""),"유한회사",""))</f>
        <v/>
      </c>
    </row>
    <row r="168">
      <c r="A168" s="35" t="n"/>
      <c r="B168" s="35" t="n"/>
      <c r="C168" s="35" t="n"/>
      <c r="D168" s="35" t="n"/>
      <c r="E168" s="36" t="n"/>
      <c r="F168" s="35" t="n"/>
      <c r="G168" s="35" t="n"/>
      <c r="I168" s="31">
        <f>IF(TRIM($A168&amp;"")="","",IF(ISNUMBER(--SUBSTITUTE(SUBSTITUTE(TRIM($A168&amp;""),"-","")," ","")),SUBSTITUTE(SUBSTITUTE(TRIM($A168&amp;""),"-","")," ",""),"N:"&amp;TRIM($A168&amp;"")))</f>
        <v/>
      </c>
      <c r="J168" s="31">
        <f>IF(LEN(SUBSTITUTE(SUBSTITUTE(SUBSTITUTE(SUBSTITUTE(SUBSTITUTE(SUBSTITUTE(SUBSTITUTE(SUBSTITUTE(SUBSTITUTE($C168&amp;""," ",""),"　",""),"(주)",""),"（주）",""),"㈜",""),"주식회사",""),"(유)",""),"（유）",""),"유한회사",""))&lt;2,"",SUBSTITUTE(SUBSTITUTE(SUBSTITUTE(SUBSTITUTE(SUBSTITUTE(SUBSTITUTE(SUBSTITUTE(SUBSTITUTE(SUBSTITUTE($C168&amp;""," ",""),"　",""),"(주)",""),"（주）",""),"㈜",""),"주식회사",""),"(유)",""),"（유）",""),"유한회사",""))</f>
        <v/>
      </c>
      <c r="K168" s="31">
        <f>IF(LEN(SUBSTITUTE(SUBSTITUTE(SUBSTITUTE(SUBSTITUTE(SUBSTITUTE(SUBSTITUTE(SUBSTITUTE(SUBSTITUTE(SUBSTITUTE($D168&amp;""," ",""),"　",""),"(주)",""),"（주）",""),"㈜",""),"주식회사",""),"(유)",""),"（유）",""),"유한회사",""))&lt;2,"",SUBSTITUTE(SUBSTITUTE(SUBSTITUTE(SUBSTITUTE(SUBSTITUTE(SUBSTITUTE(SUBSTITUTE(SUBSTITUTE(SUBSTITUTE($D168&amp;""," ",""),"　",""),"(주)",""),"（주）",""),"㈜",""),"주식회사",""),"(유)",""),"（유）",""),"유한회사",""))</f>
        <v/>
      </c>
    </row>
    <row r="169">
      <c r="A169" s="35" t="n"/>
      <c r="B169" s="35" t="n"/>
      <c r="C169" s="35" t="n"/>
      <c r="D169" s="35" t="n"/>
      <c r="E169" s="36" t="n"/>
      <c r="F169" s="35" t="n"/>
      <c r="G169" s="35" t="n"/>
      <c r="I169" s="31">
        <f>IF(TRIM($A169&amp;"")="","",IF(ISNUMBER(--SUBSTITUTE(SUBSTITUTE(TRIM($A169&amp;""),"-","")," ","")),SUBSTITUTE(SUBSTITUTE(TRIM($A169&amp;""),"-","")," ",""),"N:"&amp;TRIM($A169&amp;"")))</f>
        <v/>
      </c>
      <c r="J169" s="31">
        <f>IF(LEN(SUBSTITUTE(SUBSTITUTE(SUBSTITUTE(SUBSTITUTE(SUBSTITUTE(SUBSTITUTE(SUBSTITUTE(SUBSTITUTE(SUBSTITUTE($C169&amp;""," ",""),"　",""),"(주)",""),"（주）",""),"㈜",""),"주식회사",""),"(유)",""),"（유）",""),"유한회사",""))&lt;2,"",SUBSTITUTE(SUBSTITUTE(SUBSTITUTE(SUBSTITUTE(SUBSTITUTE(SUBSTITUTE(SUBSTITUTE(SUBSTITUTE(SUBSTITUTE($C169&amp;""," ",""),"　",""),"(주)",""),"（주）",""),"㈜",""),"주식회사",""),"(유)",""),"（유）",""),"유한회사",""))</f>
        <v/>
      </c>
      <c r="K169" s="31">
        <f>IF(LEN(SUBSTITUTE(SUBSTITUTE(SUBSTITUTE(SUBSTITUTE(SUBSTITUTE(SUBSTITUTE(SUBSTITUTE(SUBSTITUTE(SUBSTITUTE($D169&amp;""," ",""),"　",""),"(주)",""),"（주）",""),"㈜",""),"주식회사",""),"(유)",""),"（유）",""),"유한회사",""))&lt;2,"",SUBSTITUTE(SUBSTITUTE(SUBSTITUTE(SUBSTITUTE(SUBSTITUTE(SUBSTITUTE(SUBSTITUTE(SUBSTITUTE(SUBSTITUTE($D169&amp;""," ",""),"　",""),"(주)",""),"（주）",""),"㈜",""),"주식회사",""),"(유)",""),"（유）",""),"유한회사",""))</f>
        <v/>
      </c>
    </row>
    <row r="170">
      <c r="A170" s="35" t="n"/>
      <c r="B170" s="35" t="n"/>
      <c r="C170" s="35" t="n"/>
      <c r="D170" s="35" t="n"/>
      <c r="E170" s="36" t="n"/>
      <c r="F170" s="35" t="n"/>
      <c r="G170" s="35" t="n"/>
      <c r="I170" s="31">
        <f>IF(TRIM($A170&amp;"")="","",IF(ISNUMBER(--SUBSTITUTE(SUBSTITUTE(TRIM($A170&amp;""),"-","")," ","")),SUBSTITUTE(SUBSTITUTE(TRIM($A170&amp;""),"-","")," ",""),"N:"&amp;TRIM($A170&amp;"")))</f>
        <v/>
      </c>
      <c r="J170" s="31">
        <f>IF(LEN(SUBSTITUTE(SUBSTITUTE(SUBSTITUTE(SUBSTITUTE(SUBSTITUTE(SUBSTITUTE(SUBSTITUTE(SUBSTITUTE(SUBSTITUTE($C170&amp;""," ",""),"　",""),"(주)",""),"（주）",""),"㈜",""),"주식회사",""),"(유)",""),"（유）",""),"유한회사",""))&lt;2,"",SUBSTITUTE(SUBSTITUTE(SUBSTITUTE(SUBSTITUTE(SUBSTITUTE(SUBSTITUTE(SUBSTITUTE(SUBSTITUTE(SUBSTITUTE($C170&amp;""," ",""),"　",""),"(주)",""),"（주）",""),"㈜",""),"주식회사",""),"(유)",""),"（유）",""),"유한회사",""))</f>
        <v/>
      </c>
      <c r="K170" s="31">
        <f>IF(LEN(SUBSTITUTE(SUBSTITUTE(SUBSTITUTE(SUBSTITUTE(SUBSTITUTE(SUBSTITUTE(SUBSTITUTE(SUBSTITUTE(SUBSTITUTE($D170&amp;""," ",""),"　",""),"(주)",""),"（주）",""),"㈜",""),"주식회사",""),"(유)",""),"（유）",""),"유한회사",""))&lt;2,"",SUBSTITUTE(SUBSTITUTE(SUBSTITUTE(SUBSTITUTE(SUBSTITUTE(SUBSTITUTE(SUBSTITUTE(SUBSTITUTE(SUBSTITUTE($D170&amp;""," ",""),"　",""),"(주)",""),"（주）",""),"㈜",""),"주식회사",""),"(유)",""),"（유）",""),"유한회사",""))</f>
        <v/>
      </c>
    </row>
    <row r="171">
      <c r="A171" s="35" t="n"/>
      <c r="B171" s="35" t="n"/>
      <c r="C171" s="35" t="n"/>
      <c r="D171" s="35" t="n"/>
      <c r="E171" s="36" t="n"/>
      <c r="F171" s="35" t="n"/>
      <c r="G171" s="35" t="n"/>
      <c r="I171" s="31">
        <f>IF(TRIM($A171&amp;"")="","",IF(ISNUMBER(--SUBSTITUTE(SUBSTITUTE(TRIM($A171&amp;""),"-","")," ","")),SUBSTITUTE(SUBSTITUTE(TRIM($A171&amp;""),"-","")," ",""),"N:"&amp;TRIM($A171&amp;"")))</f>
        <v/>
      </c>
      <c r="J171" s="31">
        <f>IF(LEN(SUBSTITUTE(SUBSTITUTE(SUBSTITUTE(SUBSTITUTE(SUBSTITUTE(SUBSTITUTE(SUBSTITUTE(SUBSTITUTE(SUBSTITUTE($C171&amp;""," ",""),"　",""),"(주)",""),"（주）",""),"㈜",""),"주식회사",""),"(유)",""),"（유）",""),"유한회사",""))&lt;2,"",SUBSTITUTE(SUBSTITUTE(SUBSTITUTE(SUBSTITUTE(SUBSTITUTE(SUBSTITUTE(SUBSTITUTE(SUBSTITUTE(SUBSTITUTE($C171&amp;""," ",""),"　",""),"(주)",""),"（주）",""),"㈜",""),"주식회사",""),"(유)",""),"（유）",""),"유한회사",""))</f>
        <v/>
      </c>
      <c r="K171" s="31">
        <f>IF(LEN(SUBSTITUTE(SUBSTITUTE(SUBSTITUTE(SUBSTITUTE(SUBSTITUTE(SUBSTITUTE(SUBSTITUTE(SUBSTITUTE(SUBSTITUTE($D171&amp;""," ",""),"　",""),"(주)",""),"（주）",""),"㈜",""),"주식회사",""),"(유)",""),"（유）",""),"유한회사",""))&lt;2,"",SUBSTITUTE(SUBSTITUTE(SUBSTITUTE(SUBSTITUTE(SUBSTITUTE(SUBSTITUTE(SUBSTITUTE(SUBSTITUTE(SUBSTITUTE($D171&amp;""," ",""),"　",""),"(주)",""),"（주）",""),"㈜",""),"주식회사",""),"(유)",""),"（유）",""),"유한회사",""))</f>
        <v/>
      </c>
    </row>
    <row r="172">
      <c r="A172" s="35" t="n"/>
      <c r="B172" s="35" t="n"/>
      <c r="C172" s="35" t="n"/>
      <c r="D172" s="35" t="n"/>
      <c r="E172" s="36" t="n"/>
      <c r="F172" s="35" t="n"/>
      <c r="G172" s="35" t="n"/>
      <c r="I172" s="31">
        <f>IF(TRIM($A172&amp;"")="","",IF(ISNUMBER(--SUBSTITUTE(SUBSTITUTE(TRIM($A172&amp;""),"-","")," ","")),SUBSTITUTE(SUBSTITUTE(TRIM($A172&amp;""),"-","")," ",""),"N:"&amp;TRIM($A172&amp;"")))</f>
        <v/>
      </c>
      <c r="J172" s="31">
        <f>IF(LEN(SUBSTITUTE(SUBSTITUTE(SUBSTITUTE(SUBSTITUTE(SUBSTITUTE(SUBSTITUTE(SUBSTITUTE(SUBSTITUTE(SUBSTITUTE($C172&amp;""," ",""),"　",""),"(주)",""),"（주）",""),"㈜",""),"주식회사",""),"(유)",""),"（유）",""),"유한회사",""))&lt;2,"",SUBSTITUTE(SUBSTITUTE(SUBSTITUTE(SUBSTITUTE(SUBSTITUTE(SUBSTITUTE(SUBSTITUTE(SUBSTITUTE(SUBSTITUTE($C172&amp;""," ",""),"　",""),"(주)",""),"（주）",""),"㈜",""),"주식회사",""),"(유)",""),"（유）",""),"유한회사",""))</f>
        <v/>
      </c>
      <c r="K172" s="31">
        <f>IF(LEN(SUBSTITUTE(SUBSTITUTE(SUBSTITUTE(SUBSTITUTE(SUBSTITUTE(SUBSTITUTE(SUBSTITUTE(SUBSTITUTE(SUBSTITUTE($D172&amp;""," ",""),"　",""),"(주)",""),"（주）",""),"㈜",""),"주식회사",""),"(유)",""),"（유）",""),"유한회사",""))&lt;2,"",SUBSTITUTE(SUBSTITUTE(SUBSTITUTE(SUBSTITUTE(SUBSTITUTE(SUBSTITUTE(SUBSTITUTE(SUBSTITUTE(SUBSTITUTE($D172&amp;""," ",""),"　",""),"(주)",""),"（주）",""),"㈜",""),"주식회사",""),"(유)",""),"（유）",""),"유한회사",""))</f>
        <v/>
      </c>
    </row>
    <row r="173">
      <c r="A173" s="35" t="n"/>
      <c r="B173" s="35" t="n"/>
      <c r="C173" s="35" t="n"/>
      <c r="D173" s="35" t="n"/>
      <c r="E173" s="36" t="n"/>
      <c r="F173" s="35" t="n"/>
      <c r="G173" s="35" t="n"/>
      <c r="I173" s="31">
        <f>IF(TRIM($A173&amp;"")="","",IF(ISNUMBER(--SUBSTITUTE(SUBSTITUTE(TRIM($A173&amp;""),"-","")," ","")),SUBSTITUTE(SUBSTITUTE(TRIM($A173&amp;""),"-","")," ",""),"N:"&amp;TRIM($A173&amp;"")))</f>
        <v/>
      </c>
      <c r="J173" s="31">
        <f>IF(LEN(SUBSTITUTE(SUBSTITUTE(SUBSTITUTE(SUBSTITUTE(SUBSTITUTE(SUBSTITUTE(SUBSTITUTE(SUBSTITUTE(SUBSTITUTE($C173&amp;""," ",""),"　",""),"(주)",""),"（주）",""),"㈜",""),"주식회사",""),"(유)",""),"（유）",""),"유한회사",""))&lt;2,"",SUBSTITUTE(SUBSTITUTE(SUBSTITUTE(SUBSTITUTE(SUBSTITUTE(SUBSTITUTE(SUBSTITUTE(SUBSTITUTE(SUBSTITUTE($C173&amp;""," ",""),"　",""),"(주)",""),"（주）",""),"㈜",""),"주식회사",""),"(유)",""),"（유）",""),"유한회사",""))</f>
        <v/>
      </c>
      <c r="K173" s="31">
        <f>IF(LEN(SUBSTITUTE(SUBSTITUTE(SUBSTITUTE(SUBSTITUTE(SUBSTITUTE(SUBSTITUTE(SUBSTITUTE(SUBSTITUTE(SUBSTITUTE($D173&amp;""," ",""),"　",""),"(주)",""),"（주）",""),"㈜",""),"주식회사",""),"(유)",""),"（유）",""),"유한회사",""))&lt;2,"",SUBSTITUTE(SUBSTITUTE(SUBSTITUTE(SUBSTITUTE(SUBSTITUTE(SUBSTITUTE(SUBSTITUTE(SUBSTITUTE(SUBSTITUTE($D173&amp;""," ",""),"　",""),"(주)",""),"（주）",""),"㈜",""),"주식회사",""),"(유)",""),"（유）",""),"유한회사",""))</f>
        <v/>
      </c>
    </row>
    <row r="174">
      <c r="A174" s="35" t="n"/>
      <c r="B174" s="35" t="n"/>
      <c r="C174" s="35" t="n"/>
      <c r="D174" s="35" t="n"/>
      <c r="E174" s="36" t="n"/>
      <c r="F174" s="35" t="n"/>
      <c r="G174" s="35" t="n"/>
      <c r="I174" s="31">
        <f>IF(TRIM($A174&amp;"")="","",IF(ISNUMBER(--SUBSTITUTE(SUBSTITUTE(TRIM($A174&amp;""),"-","")," ","")),SUBSTITUTE(SUBSTITUTE(TRIM($A174&amp;""),"-","")," ",""),"N:"&amp;TRIM($A174&amp;"")))</f>
        <v/>
      </c>
      <c r="J174" s="31">
        <f>IF(LEN(SUBSTITUTE(SUBSTITUTE(SUBSTITUTE(SUBSTITUTE(SUBSTITUTE(SUBSTITUTE(SUBSTITUTE(SUBSTITUTE(SUBSTITUTE($C174&amp;""," ",""),"　",""),"(주)",""),"（주）",""),"㈜",""),"주식회사",""),"(유)",""),"（유）",""),"유한회사",""))&lt;2,"",SUBSTITUTE(SUBSTITUTE(SUBSTITUTE(SUBSTITUTE(SUBSTITUTE(SUBSTITUTE(SUBSTITUTE(SUBSTITUTE(SUBSTITUTE($C174&amp;""," ",""),"　",""),"(주)",""),"（주）",""),"㈜",""),"주식회사",""),"(유)",""),"（유）",""),"유한회사",""))</f>
        <v/>
      </c>
      <c r="K174" s="31">
        <f>IF(LEN(SUBSTITUTE(SUBSTITUTE(SUBSTITUTE(SUBSTITUTE(SUBSTITUTE(SUBSTITUTE(SUBSTITUTE(SUBSTITUTE(SUBSTITUTE($D174&amp;""," ",""),"　",""),"(주)",""),"（주）",""),"㈜",""),"주식회사",""),"(유)",""),"（유）",""),"유한회사",""))&lt;2,"",SUBSTITUTE(SUBSTITUTE(SUBSTITUTE(SUBSTITUTE(SUBSTITUTE(SUBSTITUTE(SUBSTITUTE(SUBSTITUTE(SUBSTITUTE($D174&amp;""," ",""),"　",""),"(주)",""),"（주）",""),"㈜",""),"주식회사",""),"(유)",""),"（유）",""),"유한회사",""))</f>
        <v/>
      </c>
    </row>
    <row r="175">
      <c r="A175" s="35" t="n"/>
      <c r="B175" s="35" t="n"/>
      <c r="C175" s="35" t="n"/>
      <c r="D175" s="35" t="n"/>
      <c r="E175" s="36" t="n"/>
      <c r="F175" s="35" t="n"/>
      <c r="G175" s="35" t="n"/>
      <c r="I175" s="31">
        <f>IF(TRIM($A175&amp;"")="","",IF(ISNUMBER(--SUBSTITUTE(SUBSTITUTE(TRIM($A175&amp;""),"-","")," ","")),SUBSTITUTE(SUBSTITUTE(TRIM($A175&amp;""),"-","")," ",""),"N:"&amp;TRIM($A175&amp;"")))</f>
        <v/>
      </c>
      <c r="J175" s="31">
        <f>IF(LEN(SUBSTITUTE(SUBSTITUTE(SUBSTITUTE(SUBSTITUTE(SUBSTITUTE(SUBSTITUTE(SUBSTITUTE(SUBSTITUTE(SUBSTITUTE($C175&amp;""," ",""),"　",""),"(주)",""),"（주）",""),"㈜",""),"주식회사",""),"(유)",""),"（유）",""),"유한회사",""))&lt;2,"",SUBSTITUTE(SUBSTITUTE(SUBSTITUTE(SUBSTITUTE(SUBSTITUTE(SUBSTITUTE(SUBSTITUTE(SUBSTITUTE(SUBSTITUTE($C175&amp;""," ",""),"　",""),"(주)",""),"（주）",""),"㈜",""),"주식회사",""),"(유)",""),"（유）",""),"유한회사",""))</f>
        <v/>
      </c>
      <c r="K175" s="31">
        <f>IF(LEN(SUBSTITUTE(SUBSTITUTE(SUBSTITUTE(SUBSTITUTE(SUBSTITUTE(SUBSTITUTE(SUBSTITUTE(SUBSTITUTE(SUBSTITUTE($D175&amp;""," ",""),"　",""),"(주)",""),"（주）",""),"㈜",""),"주식회사",""),"(유)",""),"（유）",""),"유한회사",""))&lt;2,"",SUBSTITUTE(SUBSTITUTE(SUBSTITUTE(SUBSTITUTE(SUBSTITUTE(SUBSTITUTE(SUBSTITUTE(SUBSTITUTE(SUBSTITUTE($D175&amp;""," ",""),"　",""),"(주)",""),"（주）",""),"㈜",""),"주식회사",""),"(유)",""),"（유）",""),"유한회사",""))</f>
        <v/>
      </c>
    </row>
    <row r="176">
      <c r="A176" s="35" t="n"/>
      <c r="B176" s="35" t="n"/>
      <c r="C176" s="35" t="n"/>
      <c r="D176" s="35" t="n"/>
      <c r="E176" s="36" t="n"/>
      <c r="F176" s="35" t="n"/>
      <c r="G176" s="35" t="n"/>
      <c r="I176" s="31">
        <f>IF(TRIM($A176&amp;"")="","",IF(ISNUMBER(--SUBSTITUTE(SUBSTITUTE(TRIM($A176&amp;""),"-","")," ","")),SUBSTITUTE(SUBSTITUTE(TRIM($A176&amp;""),"-","")," ",""),"N:"&amp;TRIM($A176&amp;"")))</f>
        <v/>
      </c>
      <c r="J176" s="31">
        <f>IF(LEN(SUBSTITUTE(SUBSTITUTE(SUBSTITUTE(SUBSTITUTE(SUBSTITUTE(SUBSTITUTE(SUBSTITUTE(SUBSTITUTE(SUBSTITUTE($C176&amp;""," ",""),"　",""),"(주)",""),"（주）",""),"㈜",""),"주식회사",""),"(유)",""),"（유）",""),"유한회사",""))&lt;2,"",SUBSTITUTE(SUBSTITUTE(SUBSTITUTE(SUBSTITUTE(SUBSTITUTE(SUBSTITUTE(SUBSTITUTE(SUBSTITUTE(SUBSTITUTE($C176&amp;""," ",""),"　",""),"(주)",""),"（주）",""),"㈜",""),"주식회사",""),"(유)",""),"（유）",""),"유한회사",""))</f>
        <v/>
      </c>
      <c r="K176" s="31">
        <f>IF(LEN(SUBSTITUTE(SUBSTITUTE(SUBSTITUTE(SUBSTITUTE(SUBSTITUTE(SUBSTITUTE(SUBSTITUTE(SUBSTITUTE(SUBSTITUTE($D176&amp;""," ",""),"　",""),"(주)",""),"（주）",""),"㈜",""),"주식회사",""),"(유)",""),"（유）",""),"유한회사",""))&lt;2,"",SUBSTITUTE(SUBSTITUTE(SUBSTITUTE(SUBSTITUTE(SUBSTITUTE(SUBSTITUTE(SUBSTITUTE(SUBSTITUTE(SUBSTITUTE($D176&amp;""," ",""),"　",""),"(주)",""),"（주）",""),"㈜",""),"주식회사",""),"(유)",""),"（유）",""),"유한회사",""))</f>
        <v/>
      </c>
    </row>
    <row r="177">
      <c r="A177" s="35" t="n"/>
      <c r="B177" s="35" t="n"/>
      <c r="C177" s="35" t="n"/>
      <c r="D177" s="35" t="n"/>
      <c r="E177" s="36" t="n"/>
      <c r="F177" s="35" t="n"/>
      <c r="G177" s="35" t="n"/>
      <c r="I177" s="31">
        <f>IF(TRIM($A177&amp;"")="","",IF(ISNUMBER(--SUBSTITUTE(SUBSTITUTE(TRIM($A177&amp;""),"-","")," ","")),SUBSTITUTE(SUBSTITUTE(TRIM($A177&amp;""),"-","")," ",""),"N:"&amp;TRIM($A177&amp;"")))</f>
        <v/>
      </c>
      <c r="J177" s="31">
        <f>IF(LEN(SUBSTITUTE(SUBSTITUTE(SUBSTITUTE(SUBSTITUTE(SUBSTITUTE(SUBSTITUTE(SUBSTITUTE(SUBSTITUTE(SUBSTITUTE($C177&amp;""," ",""),"　",""),"(주)",""),"（주）",""),"㈜",""),"주식회사",""),"(유)",""),"（유）",""),"유한회사",""))&lt;2,"",SUBSTITUTE(SUBSTITUTE(SUBSTITUTE(SUBSTITUTE(SUBSTITUTE(SUBSTITUTE(SUBSTITUTE(SUBSTITUTE(SUBSTITUTE($C177&amp;""," ",""),"　",""),"(주)",""),"（주）",""),"㈜",""),"주식회사",""),"(유)",""),"（유）",""),"유한회사",""))</f>
        <v/>
      </c>
      <c r="K177" s="31">
        <f>IF(LEN(SUBSTITUTE(SUBSTITUTE(SUBSTITUTE(SUBSTITUTE(SUBSTITUTE(SUBSTITUTE(SUBSTITUTE(SUBSTITUTE(SUBSTITUTE($D177&amp;""," ",""),"　",""),"(주)",""),"（주）",""),"㈜",""),"주식회사",""),"(유)",""),"（유）",""),"유한회사",""))&lt;2,"",SUBSTITUTE(SUBSTITUTE(SUBSTITUTE(SUBSTITUTE(SUBSTITUTE(SUBSTITUTE(SUBSTITUTE(SUBSTITUTE(SUBSTITUTE($D177&amp;""," ",""),"　",""),"(주)",""),"（주）",""),"㈜",""),"주식회사",""),"(유)",""),"（유）",""),"유한회사",""))</f>
        <v/>
      </c>
    </row>
    <row r="178">
      <c r="A178" s="35" t="n"/>
      <c r="B178" s="35" t="n"/>
      <c r="C178" s="35" t="n"/>
      <c r="D178" s="35" t="n"/>
      <c r="E178" s="36" t="n"/>
      <c r="F178" s="35" t="n"/>
      <c r="G178" s="35" t="n"/>
      <c r="I178" s="31">
        <f>IF(TRIM($A178&amp;"")="","",IF(ISNUMBER(--SUBSTITUTE(SUBSTITUTE(TRIM($A178&amp;""),"-","")," ","")),SUBSTITUTE(SUBSTITUTE(TRIM($A178&amp;""),"-","")," ",""),"N:"&amp;TRIM($A178&amp;"")))</f>
        <v/>
      </c>
      <c r="J178" s="31">
        <f>IF(LEN(SUBSTITUTE(SUBSTITUTE(SUBSTITUTE(SUBSTITUTE(SUBSTITUTE(SUBSTITUTE(SUBSTITUTE(SUBSTITUTE(SUBSTITUTE($C178&amp;""," ",""),"　",""),"(주)",""),"（주）",""),"㈜",""),"주식회사",""),"(유)",""),"（유）",""),"유한회사",""))&lt;2,"",SUBSTITUTE(SUBSTITUTE(SUBSTITUTE(SUBSTITUTE(SUBSTITUTE(SUBSTITUTE(SUBSTITUTE(SUBSTITUTE(SUBSTITUTE($C178&amp;""," ",""),"　",""),"(주)",""),"（주）",""),"㈜",""),"주식회사",""),"(유)",""),"（유）",""),"유한회사",""))</f>
        <v/>
      </c>
      <c r="K178" s="31">
        <f>IF(LEN(SUBSTITUTE(SUBSTITUTE(SUBSTITUTE(SUBSTITUTE(SUBSTITUTE(SUBSTITUTE(SUBSTITUTE(SUBSTITUTE(SUBSTITUTE($D178&amp;""," ",""),"　",""),"(주)",""),"（주）",""),"㈜",""),"주식회사",""),"(유)",""),"（유）",""),"유한회사",""))&lt;2,"",SUBSTITUTE(SUBSTITUTE(SUBSTITUTE(SUBSTITUTE(SUBSTITUTE(SUBSTITUTE(SUBSTITUTE(SUBSTITUTE(SUBSTITUTE($D178&amp;""," ",""),"　",""),"(주)",""),"（주）",""),"㈜",""),"주식회사",""),"(유)",""),"（유）",""),"유한회사",""))</f>
        <v/>
      </c>
    </row>
    <row r="179">
      <c r="A179" s="35" t="n"/>
      <c r="B179" s="35" t="n"/>
      <c r="C179" s="35" t="n"/>
      <c r="D179" s="35" t="n"/>
      <c r="E179" s="36" t="n"/>
      <c r="F179" s="35" t="n"/>
      <c r="G179" s="35" t="n"/>
      <c r="I179" s="31">
        <f>IF(TRIM($A179&amp;"")="","",IF(ISNUMBER(--SUBSTITUTE(SUBSTITUTE(TRIM($A179&amp;""),"-","")," ","")),SUBSTITUTE(SUBSTITUTE(TRIM($A179&amp;""),"-","")," ",""),"N:"&amp;TRIM($A179&amp;"")))</f>
        <v/>
      </c>
      <c r="J179" s="31">
        <f>IF(LEN(SUBSTITUTE(SUBSTITUTE(SUBSTITUTE(SUBSTITUTE(SUBSTITUTE(SUBSTITUTE(SUBSTITUTE(SUBSTITUTE(SUBSTITUTE($C179&amp;""," ",""),"　",""),"(주)",""),"（주）",""),"㈜",""),"주식회사",""),"(유)",""),"（유）",""),"유한회사",""))&lt;2,"",SUBSTITUTE(SUBSTITUTE(SUBSTITUTE(SUBSTITUTE(SUBSTITUTE(SUBSTITUTE(SUBSTITUTE(SUBSTITUTE(SUBSTITUTE($C179&amp;""," ",""),"　",""),"(주)",""),"（주）",""),"㈜",""),"주식회사",""),"(유)",""),"（유）",""),"유한회사",""))</f>
        <v/>
      </c>
      <c r="K179" s="31">
        <f>IF(LEN(SUBSTITUTE(SUBSTITUTE(SUBSTITUTE(SUBSTITUTE(SUBSTITUTE(SUBSTITUTE(SUBSTITUTE(SUBSTITUTE(SUBSTITUTE($D179&amp;""," ",""),"　",""),"(주)",""),"（주）",""),"㈜",""),"주식회사",""),"(유)",""),"（유）",""),"유한회사",""))&lt;2,"",SUBSTITUTE(SUBSTITUTE(SUBSTITUTE(SUBSTITUTE(SUBSTITUTE(SUBSTITUTE(SUBSTITUTE(SUBSTITUTE(SUBSTITUTE($D179&amp;""," ",""),"　",""),"(주)",""),"（주）",""),"㈜",""),"주식회사",""),"(유)",""),"（유）",""),"유한회사",""))</f>
        <v/>
      </c>
    </row>
    <row r="180">
      <c r="A180" s="35" t="n"/>
      <c r="B180" s="35" t="n"/>
      <c r="C180" s="35" t="n"/>
      <c r="D180" s="35" t="n"/>
      <c r="E180" s="36" t="n"/>
      <c r="F180" s="35" t="n"/>
      <c r="G180" s="35" t="n"/>
      <c r="I180" s="31">
        <f>IF(TRIM($A180&amp;"")="","",IF(ISNUMBER(--SUBSTITUTE(SUBSTITUTE(TRIM($A180&amp;""),"-","")," ","")),SUBSTITUTE(SUBSTITUTE(TRIM($A180&amp;""),"-","")," ",""),"N:"&amp;TRIM($A180&amp;"")))</f>
        <v/>
      </c>
      <c r="J180" s="31">
        <f>IF(LEN(SUBSTITUTE(SUBSTITUTE(SUBSTITUTE(SUBSTITUTE(SUBSTITUTE(SUBSTITUTE(SUBSTITUTE(SUBSTITUTE(SUBSTITUTE($C180&amp;""," ",""),"　",""),"(주)",""),"（주）",""),"㈜",""),"주식회사",""),"(유)",""),"（유）",""),"유한회사",""))&lt;2,"",SUBSTITUTE(SUBSTITUTE(SUBSTITUTE(SUBSTITUTE(SUBSTITUTE(SUBSTITUTE(SUBSTITUTE(SUBSTITUTE(SUBSTITUTE($C180&amp;""," ",""),"　",""),"(주)",""),"（주）",""),"㈜",""),"주식회사",""),"(유)",""),"（유）",""),"유한회사",""))</f>
        <v/>
      </c>
      <c r="K180" s="31">
        <f>IF(LEN(SUBSTITUTE(SUBSTITUTE(SUBSTITUTE(SUBSTITUTE(SUBSTITUTE(SUBSTITUTE(SUBSTITUTE(SUBSTITUTE(SUBSTITUTE($D180&amp;""," ",""),"　",""),"(주)",""),"（주）",""),"㈜",""),"주식회사",""),"(유)",""),"（유）",""),"유한회사",""))&lt;2,"",SUBSTITUTE(SUBSTITUTE(SUBSTITUTE(SUBSTITUTE(SUBSTITUTE(SUBSTITUTE(SUBSTITUTE(SUBSTITUTE(SUBSTITUTE($D180&amp;""," ",""),"　",""),"(주)",""),"（주）",""),"㈜",""),"주식회사",""),"(유)",""),"（유）",""),"유한회사",""))</f>
        <v/>
      </c>
    </row>
    <row r="181">
      <c r="A181" s="35" t="n"/>
      <c r="B181" s="35" t="n"/>
      <c r="C181" s="35" t="n"/>
      <c r="D181" s="35" t="n"/>
      <c r="E181" s="36" t="n"/>
      <c r="F181" s="35" t="n"/>
      <c r="G181" s="35" t="n"/>
      <c r="I181" s="31">
        <f>IF(TRIM($A181&amp;"")="","",IF(ISNUMBER(--SUBSTITUTE(SUBSTITUTE(TRIM($A181&amp;""),"-","")," ","")),SUBSTITUTE(SUBSTITUTE(TRIM($A181&amp;""),"-","")," ",""),"N:"&amp;TRIM($A181&amp;"")))</f>
        <v/>
      </c>
      <c r="J181" s="31">
        <f>IF(LEN(SUBSTITUTE(SUBSTITUTE(SUBSTITUTE(SUBSTITUTE(SUBSTITUTE(SUBSTITUTE(SUBSTITUTE(SUBSTITUTE(SUBSTITUTE($C181&amp;""," ",""),"　",""),"(주)",""),"（주）",""),"㈜",""),"주식회사",""),"(유)",""),"（유）",""),"유한회사",""))&lt;2,"",SUBSTITUTE(SUBSTITUTE(SUBSTITUTE(SUBSTITUTE(SUBSTITUTE(SUBSTITUTE(SUBSTITUTE(SUBSTITUTE(SUBSTITUTE($C181&amp;""," ",""),"　",""),"(주)",""),"（주）",""),"㈜",""),"주식회사",""),"(유)",""),"（유）",""),"유한회사",""))</f>
        <v/>
      </c>
      <c r="K181" s="31">
        <f>IF(LEN(SUBSTITUTE(SUBSTITUTE(SUBSTITUTE(SUBSTITUTE(SUBSTITUTE(SUBSTITUTE(SUBSTITUTE(SUBSTITUTE(SUBSTITUTE($D181&amp;""," ",""),"　",""),"(주)",""),"（주）",""),"㈜",""),"주식회사",""),"(유)",""),"（유）",""),"유한회사",""))&lt;2,"",SUBSTITUTE(SUBSTITUTE(SUBSTITUTE(SUBSTITUTE(SUBSTITUTE(SUBSTITUTE(SUBSTITUTE(SUBSTITUTE(SUBSTITUTE($D181&amp;""," ",""),"　",""),"(주)",""),"（주）",""),"㈜",""),"주식회사",""),"(유)",""),"（유）",""),"유한회사",""))</f>
        <v/>
      </c>
    </row>
    <row r="182">
      <c r="A182" s="35" t="n"/>
      <c r="B182" s="35" t="n"/>
      <c r="C182" s="35" t="n"/>
      <c r="D182" s="35" t="n"/>
      <c r="E182" s="36" t="n"/>
      <c r="F182" s="35" t="n"/>
      <c r="G182" s="35" t="n"/>
      <c r="I182" s="31">
        <f>IF(TRIM($A182&amp;"")="","",IF(ISNUMBER(--SUBSTITUTE(SUBSTITUTE(TRIM($A182&amp;""),"-","")," ","")),SUBSTITUTE(SUBSTITUTE(TRIM($A182&amp;""),"-","")," ",""),"N:"&amp;TRIM($A182&amp;"")))</f>
        <v/>
      </c>
      <c r="J182" s="31">
        <f>IF(LEN(SUBSTITUTE(SUBSTITUTE(SUBSTITUTE(SUBSTITUTE(SUBSTITUTE(SUBSTITUTE(SUBSTITUTE(SUBSTITUTE(SUBSTITUTE($C182&amp;""," ",""),"　",""),"(주)",""),"（주）",""),"㈜",""),"주식회사",""),"(유)",""),"（유）",""),"유한회사",""))&lt;2,"",SUBSTITUTE(SUBSTITUTE(SUBSTITUTE(SUBSTITUTE(SUBSTITUTE(SUBSTITUTE(SUBSTITUTE(SUBSTITUTE(SUBSTITUTE($C182&amp;""," ",""),"　",""),"(주)",""),"（주）",""),"㈜",""),"주식회사",""),"(유)",""),"（유）",""),"유한회사",""))</f>
        <v/>
      </c>
      <c r="K182" s="31">
        <f>IF(LEN(SUBSTITUTE(SUBSTITUTE(SUBSTITUTE(SUBSTITUTE(SUBSTITUTE(SUBSTITUTE(SUBSTITUTE(SUBSTITUTE(SUBSTITUTE($D182&amp;""," ",""),"　",""),"(주)",""),"（주）",""),"㈜",""),"주식회사",""),"(유)",""),"（유）",""),"유한회사",""))&lt;2,"",SUBSTITUTE(SUBSTITUTE(SUBSTITUTE(SUBSTITUTE(SUBSTITUTE(SUBSTITUTE(SUBSTITUTE(SUBSTITUTE(SUBSTITUTE($D182&amp;""," ",""),"　",""),"(주)",""),"（주）",""),"㈜",""),"주식회사",""),"(유)",""),"（유）",""),"유한회사",""))</f>
        <v/>
      </c>
    </row>
    <row r="183">
      <c r="A183" s="35" t="n"/>
      <c r="B183" s="35" t="n"/>
      <c r="C183" s="35" t="n"/>
      <c r="D183" s="35" t="n"/>
      <c r="E183" s="36" t="n"/>
      <c r="F183" s="35" t="n"/>
      <c r="G183" s="35" t="n"/>
      <c r="I183" s="31">
        <f>IF(TRIM($A183&amp;"")="","",IF(ISNUMBER(--SUBSTITUTE(SUBSTITUTE(TRIM($A183&amp;""),"-","")," ","")),SUBSTITUTE(SUBSTITUTE(TRIM($A183&amp;""),"-","")," ",""),"N:"&amp;TRIM($A183&amp;"")))</f>
        <v/>
      </c>
      <c r="J183" s="31">
        <f>IF(LEN(SUBSTITUTE(SUBSTITUTE(SUBSTITUTE(SUBSTITUTE(SUBSTITUTE(SUBSTITUTE(SUBSTITUTE(SUBSTITUTE(SUBSTITUTE($C183&amp;""," ",""),"　",""),"(주)",""),"（주）",""),"㈜",""),"주식회사",""),"(유)",""),"（유）",""),"유한회사",""))&lt;2,"",SUBSTITUTE(SUBSTITUTE(SUBSTITUTE(SUBSTITUTE(SUBSTITUTE(SUBSTITUTE(SUBSTITUTE(SUBSTITUTE(SUBSTITUTE($C183&amp;""," ",""),"　",""),"(주)",""),"（주）",""),"㈜",""),"주식회사",""),"(유)",""),"（유）",""),"유한회사",""))</f>
        <v/>
      </c>
      <c r="K183" s="31">
        <f>IF(LEN(SUBSTITUTE(SUBSTITUTE(SUBSTITUTE(SUBSTITUTE(SUBSTITUTE(SUBSTITUTE(SUBSTITUTE(SUBSTITUTE(SUBSTITUTE($D183&amp;""," ",""),"　",""),"(주)",""),"（주）",""),"㈜",""),"주식회사",""),"(유)",""),"（유）",""),"유한회사",""))&lt;2,"",SUBSTITUTE(SUBSTITUTE(SUBSTITUTE(SUBSTITUTE(SUBSTITUTE(SUBSTITUTE(SUBSTITUTE(SUBSTITUTE(SUBSTITUTE($D183&amp;""," ",""),"　",""),"(주)",""),"（주）",""),"㈜",""),"주식회사",""),"(유)",""),"（유）",""),"유한회사",""))</f>
        <v/>
      </c>
    </row>
    <row r="184">
      <c r="A184" s="35" t="n"/>
      <c r="B184" s="35" t="n"/>
      <c r="C184" s="35" t="n"/>
      <c r="D184" s="35" t="n"/>
      <c r="E184" s="36" t="n"/>
      <c r="F184" s="35" t="n"/>
      <c r="G184" s="35" t="n"/>
      <c r="I184" s="31">
        <f>IF(TRIM($A184&amp;"")="","",IF(ISNUMBER(--SUBSTITUTE(SUBSTITUTE(TRIM($A184&amp;""),"-","")," ","")),SUBSTITUTE(SUBSTITUTE(TRIM($A184&amp;""),"-","")," ",""),"N:"&amp;TRIM($A184&amp;"")))</f>
        <v/>
      </c>
      <c r="J184" s="31">
        <f>IF(LEN(SUBSTITUTE(SUBSTITUTE(SUBSTITUTE(SUBSTITUTE(SUBSTITUTE(SUBSTITUTE(SUBSTITUTE(SUBSTITUTE(SUBSTITUTE($C184&amp;""," ",""),"　",""),"(주)",""),"（주）",""),"㈜",""),"주식회사",""),"(유)",""),"（유）",""),"유한회사",""))&lt;2,"",SUBSTITUTE(SUBSTITUTE(SUBSTITUTE(SUBSTITUTE(SUBSTITUTE(SUBSTITUTE(SUBSTITUTE(SUBSTITUTE(SUBSTITUTE($C184&amp;""," ",""),"　",""),"(주)",""),"（주）",""),"㈜",""),"주식회사",""),"(유)",""),"（유）",""),"유한회사",""))</f>
        <v/>
      </c>
      <c r="K184" s="31">
        <f>IF(LEN(SUBSTITUTE(SUBSTITUTE(SUBSTITUTE(SUBSTITUTE(SUBSTITUTE(SUBSTITUTE(SUBSTITUTE(SUBSTITUTE(SUBSTITUTE($D184&amp;""," ",""),"　",""),"(주)",""),"（주）",""),"㈜",""),"주식회사",""),"(유)",""),"（유）",""),"유한회사",""))&lt;2,"",SUBSTITUTE(SUBSTITUTE(SUBSTITUTE(SUBSTITUTE(SUBSTITUTE(SUBSTITUTE(SUBSTITUTE(SUBSTITUTE(SUBSTITUTE($D184&amp;""," ",""),"　",""),"(주)",""),"（주）",""),"㈜",""),"주식회사",""),"(유)",""),"（유）",""),"유한회사",""))</f>
        <v/>
      </c>
    </row>
    <row r="185">
      <c r="A185" s="35" t="n"/>
      <c r="B185" s="35" t="n"/>
      <c r="C185" s="35" t="n"/>
      <c r="D185" s="35" t="n"/>
      <c r="E185" s="36" t="n"/>
      <c r="F185" s="35" t="n"/>
      <c r="G185" s="35" t="n"/>
      <c r="I185" s="31">
        <f>IF(TRIM($A185&amp;"")="","",IF(ISNUMBER(--SUBSTITUTE(SUBSTITUTE(TRIM($A185&amp;""),"-","")," ","")),SUBSTITUTE(SUBSTITUTE(TRIM($A185&amp;""),"-","")," ",""),"N:"&amp;TRIM($A185&amp;"")))</f>
        <v/>
      </c>
      <c r="J185" s="31">
        <f>IF(LEN(SUBSTITUTE(SUBSTITUTE(SUBSTITUTE(SUBSTITUTE(SUBSTITUTE(SUBSTITUTE(SUBSTITUTE(SUBSTITUTE(SUBSTITUTE($C185&amp;""," ",""),"　",""),"(주)",""),"（주）",""),"㈜",""),"주식회사",""),"(유)",""),"（유）",""),"유한회사",""))&lt;2,"",SUBSTITUTE(SUBSTITUTE(SUBSTITUTE(SUBSTITUTE(SUBSTITUTE(SUBSTITUTE(SUBSTITUTE(SUBSTITUTE(SUBSTITUTE($C185&amp;""," ",""),"　",""),"(주)",""),"（주）",""),"㈜",""),"주식회사",""),"(유)",""),"（유）",""),"유한회사",""))</f>
        <v/>
      </c>
      <c r="K185" s="31">
        <f>IF(LEN(SUBSTITUTE(SUBSTITUTE(SUBSTITUTE(SUBSTITUTE(SUBSTITUTE(SUBSTITUTE(SUBSTITUTE(SUBSTITUTE(SUBSTITUTE($D185&amp;""," ",""),"　",""),"(주)",""),"（주）",""),"㈜",""),"주식회사",""),"(유)",""),"（유）",""),"유한회사",""))&lt;2,"",SUBSTITUTE(SUBSTITUTE(SUBSTITUTE(SUBSTITUTE(SUBSTITUTE(SUBSTITUTE(SUBSTITUTE(SUBSTITUTE(SUBSTITUTE($D185&amp;""," ",""),"　",""),"(주)",""),"（주）",""),"㈜",""),"주식회사",""),"(유)",""),"（유）",""),"유한회사",""))</f>
        <v/>
      </c>
    </row>
    <row r="186">
      <c r="A186" s="35" t="n"/>
      <c r="B186" s="35" t="n"/>
      <c r="C186" s="35" t="n"/>
      <c r="D186" s="35" t="n"/>
      <c r="E186" s="36" t="n"/>
      <c r="F186" s="35" t="n"/>
      <c r="G186" s="35" t="n"/>
      <c r="I186" s="31">
        <f>IF(TRIM($A186&amp;"")="","",IF(ISNUMBER(--SUBSTITUTE(SUBSTITUTE(TRIM($A186&amp;""),"-","")," ","")),SUBSTITUTE(SUBSTITUTE(TRIM($A186&amp;""),"-","")," ",""),"N:"&amp;TRIM($A186&amp;"")))</f>
        <v/>
      </c>
      <c r="J186" s="31">
        <f>IF(LEN(SUBSTITUTE(SUBSTITUTE(SUBSTITUTE(SUBSTITUTE(SUBSTITUTE(SUBSTITUTE(SUBSTITUTE(SUBSTITUTE(SUBSTITUTE($C186&amp;""," ",""),"　",""),"(주)",""),"（주）",""),"㈜",""),"주식회사",""),"(유)",""),"（유）",""),"유한회사",""))&lt;2,"",SUBSTITUTE(SUBSTITUTE(SUBSTITUTE(SUBSTITUTE(SUBSTITUTE(SUBSTITUTE(SUBSTITUTE(SUBSTITUTE(SUBSTITUTE($C186&amp;""," ",""),"　",""),"(주)",""),"（주）",""),"㈜",""),"주식회사",""),"(유)",""),"（유）",""),"유한회사",""))</f>
        <v/>
      </c>
      <c r="K186" s="31">
        <f>IF(LEN(SUBSTITUTE(SUBSTITUTE(SUBSTITUTE(SUBSTITUTE(SUBSTITUTE(SUBSTITUTE(SUBSTITUTE(SUBSTITUTE(SUBSTITUTE($D186&amp;""," ",""),"　",""),"(주)",""),"（주）",""),"㈜",""),"주식회사",""),"(유)",""),"（유）",""),"유한회사",""))&lt;2,"",SUBSTITUTE(SUBSTITUTE(SUBSTITUTE(SUBSTITUTE(SUBSTITUTE(SUBSTITUTE(SUBSTITUTE(SUBSTITUTE(SUBSTITUTE($D186&amp;""," ",""),"　",""),"(주)",""),"（주）",""),"㈜",""),"주식회사",""),"(유)",""),"（유）",""),"유한회사",""))</f>
        <v/>
      </c>
    </row>
    <row r="187">
      <c r="A187" s="35" t="n"/>
      <c r="B187" s="35" t="n"/>
      <c r="C187" s="35" t="n"/>
      <c r="D187" s="35" t="n"/>
      <c r="E187" s="36" t="n"/>
      <c r="F187" s="35" t="n"/>
      <c r="G187" s="35" t="n"/>
      <c r="I187" s="31">
        <f>IF(TRIM($A187&amp;"")="","",IF(ISNUMBER(--SUBSTITUTE(SUBSTITUTE(TRIM($A187&amp;""),"-","")," ","")),SUBSTITUTE(SUBSTITUTE(TRIM($A187&amp;""),"-","")," ",""),"N:"&amp;TRIM($A187&amp;"")))</f>
        <v/>
      </c>
      <c r="J187" s="31">
        <f>IF(LEN(SUBSTITUTE(SUBSTITUTE(SUBSTITUTE(SUBSTITUTE(SUBSTITUTE(SUBSTITUTE(SUBSTITUTE(SUBSTITUTE(SUBSTITUTE($C187&amp;""," ",""),"　",""),"(주)",""),"（주）",""),"㈜",""),"주식회사",""),"(유)",""),"（유）",""),"유한회사",""))&lt;2,"",SUBSTITUTE(SUBSTITUTE(SUBSTITUTE(SUBSTITUTE(SUBSTITUTE(SUBSTITUTE(SUBSTITUTE(SUBSTITUTE(SUBSTITUTE($C187&amp;""," ",""),"　",""),"(주)",""),"（주）",""),"㈜",""),"주식회사",""),"(유)",""),"（유）",""),"유한회사",""))</f>
        <v/>
      </c>
      <c r="K187" s="31">
        <f>IF(LEN(SUBSTITUTE(SUBSTITUTE(SUBSTITUTE(SUBSTITUTE(SUBSTITUTE(SUBSTITUTE(SUBSTITUTE(SUBSTITUTE(SUBSTITUTE($D187&amp;""," ",""),"　",""),"(주)",""),"（주）",""),"㈜",""),"주식회사",""),"(유)",""),"（유）",""),"유한회사",""))&lt;2,"",SUBSTITUTE(SUBSTITUTE(SUBSTITUTE(SUBSTITUTE(SUBSTITUTE(SUBSTITUTE(SUBSTITUTE(SUBSTITUTE(SUBSTITUTE($D187&amp;""," ",""),"　",""),"(주)",""),"（주）",""),"㈜",""),"주식회사",""),"(유)",""),"（유）",""),"유한회사",""))</f>
        <v/>
      </c>
    </row>
    <row r="188">
      <c r="A188" s="35" t="n"/>
      <c r="B188" s="35" t="n"/>
      <c r="C188" s="35" t="n"/>
      <c r="D188" s="35" t="n"/>
      <c r="E188" s="36" t="n"/>
      <c r="F188" s="35" t="n"/>
      <c r="G188" s="35" t="n"/>
      <c r="I188" s="31">
        <f>IF(TRIM($A188&amp;"")="","",IF(ISNUMBER(--SUBSTITUTE(SUBSTITUTE(TRIM($A188&amp;""),"-","")," ","")),SUBSTITUTE(SUBSTITUTE(TRIM($A188&amp;""),"-","")," ",""),"N:"&amp;TRIM($A188&amp;"")))</f>
        <v/>
      </c>
      <c r="J188" s="31">
        <f>IF(LEN(SUBSTITUTE(SUBSTITUTE(SUBSTITUTE(SUBSTITUTE(SUBSTITUTE(SUBSTITUTE(SUBSTITUTE(SUBSTITUTE(SUBSTITUTE($C188&amp;""," ",""),"　",""),"(주)",""),"（주）",""),"㈜",""),"주식회사",""),"(유)",""),"（유）",""),"유한회사",""))&lt;2,"",SUBSTITUTE(SUBSTITUTE(SUBSTITUTE(SUBSTITUTE(SUBSTITUTE(SUBSTITUTE(SUBSTITUTE(SUBSTITUTE(SUBSTITUTE($C188&amp;""," ",""),"　",""),"(주)",""),"（주）",""),"㈜",""),"주식회사",""),"(유)",""),"（유）",""),"유한회사",""))</f>
        <v/>
      </c>
      <c r="K188" s="31">
        <f>IF(LEN(SUBSTITUTE(SUBSTITUTE(SUBSTITUTE(SUBSTITUTE(SUBSTITUTE(SUBSTITUTE(SUBSTITUTE(SUBSTITUTE(SUBSTITUTE($D188&amp;""," ",""),"　",""),"(주)",""),"（주）",""),"㈜",""),"주식회사",""),"(유)",""),"（유）",""),"유한회사",""))&lt;2,"",SUBSTITUTE(SUBSTITUTE(SUBSTITUTE(SUBSTITUTE(SUBSTITUTE(SUBSTITUTE(SUBSTITUTE(SUBSTITUTE(SUBSTITUTE($D188&amp;""," ",""),"　",""),"(주)",""),"（주）",""),"㈜",""),"주식회사",""),"(유)",""),"（유）",""),"유한회사",""))</f>
        <v/>
      </c>
    </row>
    <row r="189">
      <c r="A189" s="35" t="n"/>
      <c r="B189" s="35" t="n"/>
      <c r="C189" s="35" t="n"/>
      <c r="D189" s="35" t="n"/>
      <c r="E189" s="36" t="n"/>
      <c r="F189" s="35" t="n"/>
      <c r="G189" s="35" t="n"/>
      <c r="I189" s="31">
        <f>IF(TRIM($A189&amp;"")="","",IF(ISNUMBER(--SUBSTITUTE(SUBSTITUTE(TRIM($A189&amp;""),"-","")," ","")),SUBSTITUTE(SUBSTITUTE(TRIM($A189&amp;""),"-","")," ",""),"N:"&amp;TRIM($A189&amp;"")))</f>
        <v/>
      </c>
      <c r="J189" s="31">
        <f>IF(LEN(SUBSTITUTE(SUBSTITUTE(SUBSTITUTE(SUBSTITUTE(SUBSTITUTE(SUBSTITUTE(SUBSTITUTE(SUBSTITUTE(SUBSTITUTE($C189&amp;""," ",""),"　",""),"(주)",""),"（주）",""),"㈜",""),"주식회사",""),"(유)",""),"（유）",""),"유한회사",""))&lt;2,"",SUBSTITUTE(SUBSTITUTE(SUBSTITUTE(SUBSTITUTE(SUBSTITUTE(SUBSTITUTE(SUBSTITUTE(SUBSTITUTE(SUBSTITUTE($C189&amp;""," ",""),"　",""),"(주)",""),"（주）",""),"㈜",""),"주식회사",""),"(유)",""),"（유）",""),"유한회사",""))</f>
        <v/>
      </c>
      <c r="K189" s="31">
        <f>IF(LEN(SUBSTITUTE(SUBSTITUTE(SUBSTITUTE(SUBSTITUTE(SUBSTITUTE(SUBSTITUTE(SUBSTITUTE(SUBSTITUTE(SUBSTITUTE($D189&amp;""," ",""),"　",""),"(주)",""),"（주）",""),"㈜",""),"주식회사",""),"(유)",""),"（유）",""),"유한회사",""))&lt;2,"",SUBSTITUTE(SUBSTITUTE(SUBSTITUTE(SUBSTITUTE(SUBSTITUTE(SUBSTITUTE(SUBSTITUTE(SUBSTITUTE(SUBSTITUTE($D189&amp;""," ",""),"　",""),"(주)",""),"（주）",""),"㈜",""),"주식회사",""),"(유)",""),"（유）",""),"유한회사",""))</f>
        <v/>
      </c>
    </row>
    <row r="190">
      <c r="A190" s="35" t="n"/>
      <c r="B190" s="35" t="n"/>
      <c r="C190" s="35" t="n"/>
      <c r="D190" s="35" t="n"/>
      <c r="E190" s="36" t="n"/>
      <c r="F190" s="35" t="n"/>
      <c r="G190" s="35" t="n"/>
      <c r="I190" s="31">
        <f>IF(TRIM($A190&amp;"")="","",IF(ISNUMBER(--SUBSTITUTE(SUBSTITUTE(TRIM($A190&amp;""),"-","")," ","")),SUBSTITUTE(SUBSTITUTE(TRIM($A190&amp;""),"-","")," ",""),"N:"&amp;TRIM($A190&amp;"")))</f>
        <v/>
      </c>
      <c r="J190" s="31">
        <f>IF(LEN(SUBSTITUTE(SUBSTITUTE(SUBSTITUTE(SUBSTITUTE(SUBSTITUTE(SUBSTITUTE(SUBSTITUTE(SUBSTITUTE(SUBSTITUTE($C190&amp;""," ",""),"　",""),"(주)",""),"（주）",""),"㈜",""),"주식회사",""),"(유)",""),"（유）",""),"유한회사",""))&lt;2,"",SUBSTITUTE(SUBSTITUTE(SUBSTITUTE(SUBSTITUTE(SUBSTITUTE(SUBSTITUTE(SUBSTITUTE(SUBSTITUTE(SUBSTITUTE($C190&amp;""," ",""),"　",""),"(주)",""),"（주）",""),"㈜",""),"주식회사",""),"(유)",""),"（유）",""),"유한회사",""))</f>
        <v/>
      </c>
      <c r="K190" s="31">
        <f>IF(LEN(SUBSTITUTE(SUBSTITUTE(SUBSTITUTE(SUBSTITUTE(SUBSTITUTE(SUBSTITUTE(SUBSTITUTE(SUBSTITUTE(SUBSTITUTE($D190&amp;""," ",""),"　",""),"(주)",""),"（주）",""),"㈜",""),"주식회사",""),"(유)",""),"（유）",""),"유한회사",""))&lt;2,"",SUBSTITUTE(SUBSTITUTE(SUBSTITUTE(SUBSTITUTE(SUBSTITUTE(SUBSTITUTE(SUBSTITUTE(SUBSTITUTE(SUBSTITUTE($D190&amp;""," ",""),"　",""),"(주)",""),"（주）",""),"㈜",""),"주식회사",""),"(유)",""),"（유）",""),"유한회사",""))</f>
        <v/>
      </c>
    </row>
    <row r="191">
      <c r="A191" s="35" t="n"/>
      <c r="B191" s="35" t="n"/>
      <c r="C191" s="35" t="n"/>
      <c r="D191" s="35" t="n"/>
      <c r="E191" s="36" t="n"/>
      <c r="F191" s="35" t="n"/>
      <c r="G191" s="35" t="n"/>
      <c r="I191" s="31">
        <f>IF(TRIM($A191&amp;"")="","",IF(ISNUMBER(--SUBSTITUTE(SUBSTITUTE(TRIM($A191&amp;""),"-","")," ","")),SUBSTITUTE(SUBSTITUTE(TRIM($A191&amp;""),"-","")," ",""),"N:"&amp;TRIM($A191&amp;"")))</f>
        <v/>
      </c>
      <c r="J191" s="31">
        <f>IF(LEN(SUBSTITUTE(SUBSTITUTE(SUBSTITUTE(SUBSTITUTE(SUBSTITUTE(SUBSTITUTE(SUBSTITUTE(SUBSTITUTE(SUBSTITUTE($C191&amp;""," ",""),"　",""),"(주)",""),"（주）",""),"㈜",""),"주식회사",""),"(유)",""),"（유）",""),"유한회사",""))&lt;2,"",SUBSTITUTE(SUBSTITUTE(SUBSTITUTE(SUBSTITUTE(SUBSTITUTE(SUBSTITUTE(SUBSTITUTE(SUBSTITUTE(SUBSTITUTE($C191&amp;""," ",""),"　",""),"(주)",""),"（주）",""),"㈜",""),"주식회사",""),"(유)",""),"（유）",""),"유한회사",""))</f>
        <v/>
      </c>
      <c r="K191" s="31">
        <f>IF(LEN(SUBSTITUTE(SUBSTITUTE(SUBSTITUTE(SUBSTITUTE(SUBSTITUTE(SUBSTITUTE(SUBSTITUTE(SUBSTITUTE(SUBSTITUTE($D191&amp;""," ",""),"　",""),"(주)",""),"（주）",""),"㈜",""),"주식회사",""),"(유)",""),"（유）",""),"유한회사",""))&lt;2,"",SUBSTITUTE(SUBSTITUTE(SUBSTITUTE(SUBSTITUTE(SUBSTITUTE(SUBSTITUTE(SUBSTITUTE(SUBSTITUTE(SUBSTITUTE($D191&amp;""," ",""),"　",""),"(주)",""),"（주）",""),"㈜",""),"주식회사",""),"(유)",""),"（유）",""),"유한회사",""))</f>
        <v/>
      </c>
    </row>
    <row r="192">
      <c r="A192" s="35" t="n"/>
      <c r="B192" s="35" t="n"/>
      <c r="C192" s="35" t="n"/>
      <c r="D192" s="35" t="n"/>
      <c r="E192" s="36" t="n"/>
      <c r="F192" s="35" t="n"/>
      <c r="G192" s="35" t="n"/>
      <c r="I192" s="31">
        <f>IF(TRIM($A192&amp;"")="","",IF(ISNUMBER(--SUBSTITUTE(SUBSTITUTE(TRIM($A192&amp;""),"-","")," ","")),SUBSTITUTE(SUBSTITUTE(TRIM($A192&amp;""),"-","")," ",""),"N:"&amp;TRIM($A192&amp;"")))</f>
        <v/>
      </c>
      <c r="J192" s="31">
        <f>IF(LEN(SUBSTITUTE(SUBSTITUTE(SUBSTITUTE(SUBSTITUTE(SUBSTITUTE(SUBSTITUTE(SUBSTITUTE(SUBSTITUTE(SUBSTITUTE($C192&amp;""," ",""),"　",""),"(주)",""),"（주）",""),"㈜",""),"주식회사",""),"(유)",""),"（유）",""),"유한회사",""))&lt;2,"",SUBSTITUTE(SUBSTITUTE(SUBSTITUTE(SUBSTITUTE(SUBSTITUTE(SUBSTITUTE(SUBSTITUTE(SUBSTITUTE(SUBSTITUTE($C192&amp;""," ",""),"　",""),"(주)",""),"（주）",""),"㈜",""),"주식회사",""),"(유)",""),"（유）",""),"유한회사",""))</f>
        <v/>
      </c>
      <c r="K192" s="31">
        <f>IF(LEN(SUBSTITUTE(SUBSTITUTE(SUBSTITUTE(SUBSTITUTE(SUBSTITUTE(SUBSTITUTE(SUBSTITUTE(SUBSTITUTE(SUBSTITUTE($D192&amp;""," ",""),"　",""),"(주)",""),"（주）",""),"㈜",""),"주식회사",""),"(유)",""),"（유）",""),"유한회사",""))&lt;2,"",SUBSTITUTE(SUBSTITUTE(SUBSTITUTE(SUBSTITUTE(SUBSTITUTE(SUBSTITUTE(SUBSTITUTE(SUBSTITUTE(SUBSTITUTE($D192&amp;""," ",""),"　",""),"(주)",""),"（주）",""),"㈜",""),"주식회사",""),"(유)",""),"（유）",""),"유한회사",""))</f>
        <v/>
      </c>
    </row>
    <row r="193">
      <c r="A193" s="35" t="n"/>
      <c r="B193" s="35" t="n"/>
      <c r="C193" s="35" t="n"/>
      <c r="D193" s="35" t="n"/>
      <c r="E193" s="36" t="n"/>
      <c r="F193" s="35" t="n"/>
      <c r="G193" s="35" t="n"/>
      <c r="I193" s="31">
        <f>IF(TRIM($A193&amp;"")="","",IF(ISNUMBER(--SUBSTITUTE(SUBSTITUTE(TRIM($A193&amp;""),"-","")," ","")),SUBSTITUTE(SUBSTITUTE(TRIM($A193&amp;""),"-","")," ",""),"N:"&amp;TRIM($A193&amp;"")))</f>
        <v/>
      </c>
      <c r="J193" s="31">
        <f>IF(LEN(SUBSTITUTE(SUBSTITUTE(SUBSTITUTE(SUBSTITUTE(SUBSTITUTE(SUBSTITUTE(SUBSTITUTE(SUBSTITUTE(SUBSTITUTE($C193&amp;""," ",""),"　",""),"(주)",""),"（주）",""),"㈜",""),"주식회사",""),"(유)",""),"（유）",""),"유한회사",""))&lt;2,"",SUBSTITUTE(SUBSTITUTE(SUBSTITUTE(SUBSTITUTE(SUBSTITUTE(SUBSTITUTE(SUBSTITUTE(SUBSTITUTE(SUBSTITUTE($C193&amp;""," ",""),"　",""),"(주)",""),"（주）",""),"㈜",""),"주식회사",""),"(유)",""),"（유）",""),"유한회사",""))</f>
        <v/>
      </c>
      <c r="K193" s="31">
        <f>IF(LEN(SUBSTITUTE(SUBSTITUTE(SUBSTITUTE(SUBSTITUTE(SUBSTITUTE(SUBSTITUTE(SUBSTITUTE(SUBSTITUTE(SUBSTITUTE($D193&amp;""," ",""),"　",""),"(주)",""),"（주）",""),"㈜",""),"주식회사",""),"(유)",""),"（유）",""),"유한회사",""))&lt;2,"",SUBSTITUTE(SUBSTITUTE(SUBSTITUTE(SUBSTITUTE(SUBSTITUTE(SUBSTITUTE(SUBSTITUTE(SUBSTITUTE(SUBSTITUTE($D193&amp;""," ",""),"　",""),"(주)",""),"（주）",""),"㈜",""),"주식회사",""),"(유)",""),"（유）",""),"유한회사",""))</f>
        <v/>
      </c>
    </row>
    <row r="194">
      <c r="A194" s="35" t="n"/>
      <c r="B194" s="35" t="n"/>
      <c r="C194" s="35" t="n"/>
      <c r="D194" s="35" t="n"/>
      <c r="E194" s="36" t="n"/>
      <c r="F194" s="35" t="n"/>
      <c r="G194" s="35" t="n"/>
      <c r="I194" s="31">
        <f>IF(TRIM($A194&amp;"")="","",IF(ISNUMBER(--SUBSTITUTE(SUBSTITUTE(TRIM($A194&amp;""),"-","")," ","")),SUBSTITUTE(SUBSTITUTE(TRIM($A194&amp;""),"-","")," ",""),"N:"&amp;TRIM($A194&amp;"")))</f>
        <v/>
      </c>
      <c r="J194" s="31">
        <f>IF(LEN(SUBSTITUTE(SUBSTITUTE(SUBSTITUTE(SUBSTITUTE(SUBSTITUTE(SUBSTITUTE(SUBSTITUTE(SUBSTITUTE(SUBSTITUTE($C194&amp;""," ",""),"　",""),"(주)",""),"（주）",""),"㈜",""),"주식회사",""),"(유)",""),"（유）",""),"유한회사",""))&lt;2,"",SUBSTITUTE(SUBSTITUTE(SUBSTITUTE(SUBSTITUTE(SUBSTITUTE(SUBSTITUTE(SUBSTITUTE(SUBSTITUTE(SUBSTITUTE($C194&amp;""," ",""),"　",""),"(주)",""),"（주）",""),"㈜",""),"주식회사",""),"(유)",""),"（유）",""),"유한회사",""))</f>
        <v/>
      </c>
      <c r="K194" s="31">
        <f>IF(LEN(SUBSTITUTE(SUBSTITUTE(SUBSTITUTE(SUBSTITUTE(SUBSTITUTE(SUBSTITUTE(SUBSTITUTE(SUBSTITUTE(SUBSTITUTE($D194&amp;""," ",""),"　",""),"(주)",""),"（주）",""),"㈜",""),"주식회사",""),"(유)",""),"（유）",""),"유한회사",""))&lt;2,"",SUBSTITUTE(SUBSTITUTE(SUBSTITUTE(SUBSTITUTE(SUBSTITUTE(SUBSTITUTE(SUBSTITUTE(SUBSTITUTE(SUBSTITUTE($D194&amp;""," ",""),"　",""),"(주)",""),"（주）",""),"㈜",""),"주식회사",""),"(유)",""),"（유）",""),"유한회사",""))</f>
        <v/>
      </c>
    </row>
    <row r="195">
      <c r="A195" s="35" t="n"/>
      <c r="B195" s="35" t="n"/>
      <c r="C195" s="35" t="n"/>
      <c r="D195" s="35" t="n"/>
      <c r="E195" s="36" t="n"/>
      <c r="F195" s="35" t="n"/>
      <c r="G195" s="35" t="n"/>
      <c r="I195" s="31">
        <f>IF(TRIM($A195&amp;"")="","",IF(ISNUMBER(--SUBSTITUTE(SUBSTITUTE(TRIM($A195&amp;""),"-","")," ","")),SUBSTITUTE(SUBSTITUTE(TRIM($A195&amp;""),"-","")," ",""),"N:"&amp;TRIM($A195&amp;"")))</f>
        <v/>
      </c>
      <c r="J195" s="31">
        <f>IF(LEN(SUBSTITUTE(SUBSTITUTE(SUBSTITUTE(SUBSTITUTE(SUBSTITUTE(SUBSTITUTE(SUBSTITUTE(SUBSTITUTE(SUBSTITUTE($C195&amp;""," ",""),"　",""),"(주)",""),"（주）",""),"㈜",""),"주식회사",""),"(유)",""),"（유）",""),"유한회사",""))&lt;2,"",SUBSTITUTE(SUBSTITUTE(SUBSTITUTE(SUBSTITUTE(SUBSTITUTE(SUBSTITUTE(SUBSTITUTE(SUBSTITUTE(SUBSTITUTE($C195&amp;""," ",""),"　",""),"(주)",""),"（주）",""),"㈜",""),"주식회사",""),"(유)",""),"（유）",""),"유한회사",""))</f>
        <v/>
      </c>
      <c r="K195" s="31">
        <f>IF(LEN(SUBSTITUTE(SUBSTITUTE(SUBSTITUTE(SUBSTITUTE(SUBSTITUTE(SUBSTITUTE(SUBSTITUTE(SUBSTITUTE(SUBSTITUTE($D195&amp;""," ",""),"　",""),"(주)",""),"（주）",""),"㈜",""),"주식회사",""),"(유)",""),"（유）",""),"유한회사",""))&lt;2,"",SUBSTITUTE(SUBSTITUTE(SUBSTITUTE(SUBSTITUTE(SUBSTITUTE(SUBSTITUTE(SUBSTITUTE(SUBSTITUTE(SUBSTITUTE($D195&amp;""," ",""),"　",""),"(주)",""),"（주）",""),"㈜",""),"주식회사",""),"(유)",""),"（유）",""),"유한회사",""))</f>
        <v/>
      </c>
    </row>
    <row r="196">
      <c r="A196" s="35" t="n"/>
      <c r="B196" s="35" t="n"/>
      <c r="C196" s="35" t="n"/>
      <c r="D196" s="35" t="n"/>
      <c r="E196" s="36" t="n"/>
      <c r="F196" s="35" t="n"/>
      <c r="G196" s="35" t="n"/>
      <c r="I196" s="31">
        <f>IF(TRIM($A196&amp;"")="","",IF(ISNUMBER(--SUBSTITUTE(SUBSTITUTE(TRIM($A196&amp;""),"-","")," ","")),SUBSTITUTE(SUBSTITUTE(TRIM($A196&amp;""),"-","")," ",""),"N:"&amp;TRIM($A196&amp;"")))</f>
        <v/>
      </c>
      <c r="J196" s="31">
        <f>IF(LEN(SUBSTITUTE(SUBSTITUTE(SUBSTITUTE(SUBSTITUTE(SUBSTITUTE(SUBSTITUTE(SUBSTITUTE(SUBSTITUTE(SUBSTITUTE($C196&amp;""," ",""),"　",""),"(주)",""),"（주）",""),"㈜",""),"주식회사",""),"(유)",""),"（유）",""),"유한회사",""))&lt;2,"",SUBSTITUTE(SUBSTITUTE(SUBSTITUTE(SUBSTITUTE(SUBSTITUTE(SUBSTITUTE(SUBSTITUTE(SUBSTITUTE(SUBSTITUTE($C196&amp;""," ",""),"　",""),"(주)",""),"（주）",""),"㈜",""),"주식회사",""),"(유)",""),"（유）",""),"유한회사",""))</f>
        <v/>
      </c>
      <c r="K196" s="31">
        <f>IF(LEN(SUBSTITUTE(SUBSTITUTE(SUBSTITUTE(SUBSTITUTE(SUBSTITUTE(SUBSTITUTE(SUBSTITUTE(SUBSTITUTE(SUBSTITUTE($D196&amp;""," ",""),"　",""),"(주)",""),"（주）",""),"㈜",""),"주식회사",""),"(유)",""),"（유）",""),"유한회사",""))&lt;2,"",SUBSTITUTE(SUBSTITUTE(SUBSTITUTE(SUBSTITUTE(SUBSTITUTE(SUBSTITUTE(SUBSTITUTE(SUBSTITUTE(SUBSTITUTE($D196&amp;""," ",""),"　",""),"(주)",""),"（주）",""),"㈜",""),"주식회사",""),"(유)",""),"（유）",""),"유한회사",""))</f>
        <v/>
      </c>
    </row>
    <row r="197">
      <c r="A197" s="35" t="n"/>
      <c r="B197" s="35" t="n"/>
      <c r="C197" s="35" t="n"/>
      <c r="D197" s="35" t="n"/>
      <c r="E197" s="36" t="n"/>
      <c r="F197" s="35" t="n"/>
      <c r="G197" s="35" t="n"/>
      <c r="I197" s="31">
        <f>IF(TRIM($A197&amp;"")="","",IF(ISNUMBER(--SUBSTITUTE(SUBSTITUTE(TRIM($A197&amp;""),"-","")," ","")),SUBSTITUTE(SUBSTITUTE(TRIM($A197&amp;""),"-","")," ",""),"N:"&amp;TRIM($A197&amp;"")))</f>
        <v/>
      </c>
      <c r="J197" s="31">
        <f>IF(LEN(SUBSTITUTE(SUBSTITUTE(SUBSTITUTE(SUBSTITUTE(SUBSTITUTE(SUBSTITUTE(SUBSTITUTE(SUBSTITUTE(SUBSTITUTE($C197&amp;""," ",""),"　",""),"(주)",""),"（주）",""),"㈜",""),"주식회사",""),"(유)",""),"（유）",""),"유한회사",""))&lt;2,"",SUBSTITUTE(SUBSTITUTE(SUBSTITUTE(SUBSTITUTE(SUBSTITUTE(SUBSTITUTE(SUBSTITUTE(SUBSTITUTE(SUBSTITUTE($C197&amp;""," ",""),"　",""),"(주)",""),"（주）",""),"㈜",""),"주식회사",""),"(유)",""),"（유）",""),"유한회사",""))</f>
        <v/>
      </c>
      <c r="K197" s="31">
        <f>IF(LEN(SUBSTITUTE(SUBSTITUTE(SUBSTITUTE(SUBSTITUTE(SUBSTITUTE(SUBSTITUTE(SUBSTITUTE(SUBSTITUTE(SUBSTITUTE($D197&amp;""," ",""),"　",""),"(주)",""),"（주）",""),"㈜",""),"주식회사",""),"(유)",""),"（유）",""),"유한회사",""))&lt;2,"",SUBSTITUTE(SUBSTITUTE(SUBSTITUTE(SUBSTITUTE(SUBSTITUTE(SUBSTITUTE(SUBSTITUTE(SUBSTITUTE(SUBSTITUTE($D197&amp;""," ",""),"　",""),"(주)",""),"（주）",""),"㈜",""),"주식회사",""),"(유)",""),"（유）",""),"유한회사",""))</f>
        <v/>
      </c>
    </row>
    <row r="198">
      <c r="A198" s="35" t="n"/>
      <c r="B198" s="35" t="n"/>
      <c r="C198" s="35" t="n"/>
      <c r="D198" s="35" t="n"/>
      <c r="E198" s="36" t="n"/>
      <c r="F198" s="35" t="n"/>
      <c r="G198" s="35" t="n"/>
      <c r="I198" s="31">
        <f>IF(TRIM($A198&amp;"")="","",IF(ISNUMBER(--SUBSTITUTE(SUBSTITUTE(TRIM($A198&amp;""),"-","")," ","")),SUBSTITUTE(SUBSTITUTE(TRIM($A198&amp;""),"-","")," ",""),"N:"&amp;TRIM($A198&amp;"")))</f>
        <v/>
      </c>
      <c r="J198" s="31">
        <f>IF(LEN(SUBSTITUTE(SUBSTITUTE(SUBSTITUTE(SUBSTITUTE(SUBSTITUTE(SUBSTITUTE(SUBSTITUTE(SUBSTITUTE(SUBSTITUTE($C198&amp;""," ",""),"　",""),"(주)",""),"（주）",""),"㈜",""),"주식회사",""),"(유)",""),"（유）",""),"유한회사",""))&lt;2,"",SUBSTITUTE(SUBSTITUTE(SUBSTITUTE(SUBSTITUTE(SUBSTITUTE(SUBSTITUTE(SUBSTITUTE(SUBSTITUTE(SUBSTITUTE($C198&amp;""," ",""),"　",""),"(주)",""),"（주）",""),"㈜",""),"주식회사",""),"(유)",""),"（유）",""),"유한회사",""))</f>
        <v/>
      </c>
      <c r="K198" s="31">
        <f>IF(LEN(SUBSTITUTE(SUBSTITUTE(SUBSTITUTE(SUBSTITUTE(SUBSTITUTE(SUBSTITUTE(SUBSTITUTE(SUBSTITUTE(SUBSTITUTE($D198&amp;""," ",""),"　",""),"(주)",""),"（주）",""),"㈜",""),"주식회사",""),"(유)",""),"（유）",""),"유한회사",""))&lt;2,"",SUBSTITUTE(SUBSTITUTE(SUBSTITUTE(SUBSTITUTE(SUBSTITUTE(SUBSTITUTE(SUBSTITUTE(SUBSTITUTE(SUBSTITUTE($D198&amp;""," ",""),"　",""),"(주)",""),"（주）",""),"㈜",""),"주식회사",""),"(유)",""),"（유）",""),"유한회사",""))</f>
        <v/>
      </c>
    </row>
    <row r="199">
      <c r="A199" s="35" t="n"/>
      <c r="B199" s="35" t="n"/>
      <c r="C199" s="35" t="n"/>
      <c r="D199" s="35" t="n"/>
      <c r="E199" s="36" t="n"/>
      <c r="F199" s="35" t="n"/>
      <c r="G199" s="35" t="n"/>
      <c r="I199" s="31">
        <f>IF(TRIM($A199&amp;"")="","",IF(ISNUMBER(--SUBSTITUTE(SUBSTITUTE(TRIM($A199&amp;""),"-","")," ","")),SUBSTITUTE(SUBSTITUTE(TRIM($A199&amp;""),"-","")," ",""),"N:"&amp;TRIM($A199&amp;"")))</f>
        <v/>
      </c>
      <c r="J199" s="31">
        <f>IF(LEN(SUBSTITUTE(SUBSTITUTE(SUBSTITUTE(SUBSTITUTE(SUBSTITUTE(SUBSTITUTE(SUBSTITUTE(SUBSTITUTE(SUBSTITUTE($C199&amp;""," ",""),"　",""),"(주)",""),"（주）",""),"㈜",""),"주식회사",""),"(유)",""),"（유）",""),"유한회사",""))&lt;2,"",SUBSTITUTE(SUBSTITUTE(SUBSTITUTE(SUBSTITUTE(SUBSTITUTE(SUBSTITUTE(SUBSTITUTE(SUBSTITUTE(SUBSTITUTE($C199&amp;""," ",""),"　",""),"(주)",""),"（주）",""),"㈜",""),"주식회사",""),"(유)",""),"（유）",""),"유한회사",""))</f>
        <v/>
      </c>
      <c r="K199" s="31">
        <f>IF(LEN(SUBSTITUTE(SUBSTITUTE(SUBSTITUTE(SUBSTITUTE(SUBSTITUTE(SUBSTITUTE(SUBSTITUTE(SUBSTITUTE(SUBSTITUTE($D199&amp;""," ",""),"　",""),"(주)",""),"（주）",""),"㈜",""),"주식회사",""),"(유)",""),"（유）",""),"유한회사",""))&lt;2,"",SUBSTITUTE(SUBSTITUTE(SUBSTITUTE(SUBSTITUTE(SUBSTITUTE(SUBSTITUTE(SUBSTITUTE(SUBSTITUTE(SUBSTITUTE($D199&amp;""," ",""),"　",""),"(주)",""),"（주）",""),"㈜",""),"주식회사",""),"(유)",""),"（유）",""),"유한회사",""))</f>
        <v/>
      </c>
    </row>
    <row r="200">
      <c r="A200" s="35" t="n"/>
      <c r="B200" s="35" t="n"/>
      <c r="C200" s="35" t="n"/>
      <c r="D200" s="35" t="n"/>
      <c r="E200" s="36" t="n"/>
      <c r="F200" s="35" t="n"/>
      <c r="G200" s="35" t="n"/>
      <c r="I200" s="31">
        <f>IF(TRIM($A200&amp;"")="","",IF(ISNUMBER(--SUBSTITUTE(SUBSTITUTE(TRIM($A200&amp;""),"-","")," ","")),SUBSTITUTE(SUBSTITUTE(TRIM($A200&amp;""),"-","")," ",""),"N:"&amp;TRIM($A200&amp;"")))</f>
        <v/>
      </c>
      <c r="J200" s="31">
        <f>IF(LEN(SUBSTITUTE(SUBSTITUTE(SUBSTITUTE(SUBSTITUTE(SUBSTITUTE(SUBSTITUTE(SUBSTITUTE(SUBSTITUTE(SUBSTITUTE($C200&amp;""," ",""),"　",""),"(주)",""),"（주）",""),"㈜",""),"주식회사",""),"(유)",""),"（유）",""),"유한회사",""))&lt;2,"",SUBSTITUTE(SUBSTITUTE(SUBSTITUTE(SUBSTITUTE(SUBSTITUTE(SUBSTITUTE(SUBSTITUTE(SUBSTITUTE(SUBSTITUTE($C200&amp;""," ",""),"　",""),"(주)",""),"（주）",""),"㈜",""),"주식회사",""),"(유)",""),"（유）",""),"유한회사",""))</f>
        <v/>
      </c>
      <c r="K200" s="31">
        <f>IF(LEN(SUBSTITUTE(SUBSTITUTE(SUBSTITUTE(SUBSTITUTE(SUBSTITUTE(SUBSTITUTE(SUBSTITUTE(SUBSTITUTE(SUBSTITUTE($D200&amp;""," ",""),"　",""),"(주)",""),"（주）",""),"㈜",""),"주식회사",""),"(유)",""),"（유）",""),"유한회사",""))&lt;2,"",SUBSTITUTE(SUBSTITUTE(SUBSTITUTE(SUBSTITUTE(SUBSTITUTE(SUBSTITUTE(SUBSTITUTE(SUBSTITUTE(SUBSTITUTE($D200&amp;""," ",""),"　",""),"(주)",""),"（주）",""),"㈜",""),"주식회사",""),"(유)",""),"（유）",""),"유한회사",""))</f>
        <v/>
      </c>
    </row>
    <row r="201">
      <c r="A201" s="35" t="n"/>
      <c r="B201" s="35" t="n"/>
      <c r="C201" s="35" t="n"/>
      <c r="D201" s="35" t="n"/>
      <c r="E201" s="36" t="n"/>
      <c r="F201" s="35" t="n"/>
      <c r="G201" s="35" t="n"/>
      <c r="I201" s="31">
        <f>IF(TRIM($A201&amp;"")="","",IF(ISNUMBER(--SUBSTITUTE(SUBSTITUTE(TRIM($A201&amp;""),"-","")," ","")),SUBSTITUTE(SUBSTITUTE(TRIM($A201&amp;""),"-","")," ",""),"N:"&amp;TRIM($A201&amp;"")))</f>
        <v/>
      </c>
      <c r="J201" s="31">
        <f>IF(LEN(SUBSTITUTE(SUBSTITUTE(SUBSTITUTE(SUBSTITUTE(SUBSTITUTE(SUBSTITUTE(SUBSTITUTE(SUBSTITUTE(SUBSTITUTE($C201&amp;""," ",""),"　",""),"(주)",""),"（주）",""),"㈜",""),"주식회사",""),"(유)",""),"（유）",""),"유한회사",""))&lt;2,"",SUBSTITUTE(SUBSTITUTE(SUBSTITUTE(SUBSTITUTE(SUBSTITUTE(SUBSTITUTE(SUBSTITUTE(SUBSTITUTE(SUBSTITUTE($C201&amp;""," ",""),"　",""),"(주)",""),"（주）",""),"㈜",""),"주식회사",""),"(유)",""),"（유）",""),"유한회사",""))</f>
        <v/>
      </c>
      <c r="K201" s="31">
        <f>IF(LEN(SUBSTITUTE(SUBSTITUTE(SUBSTITUTE(SUBSTITUTE(SUBSTITUTE(SUBSTITUTE(SUBSTITUTE(SUBSTITUTE(SUBSTITUTE($D201&amp;""," ",""),"　",""),"(주)",""),"（주）",""),"㈜",""),"주식회사",""),"(유)",""),"（유）",""),"유한회사",""))&lt;2,"",SUBSTITUTE(SUBSTITUTE(SUBSTITUTE(SUBSTITUTE(SUBSTITUTE(SUBSTITUTE(SUBSTITUTE(SUBSTITUTE(SUBSTITUTE($D201&amp;""," ",""),"　",""),"(주)",""),"（주）",""),"㈜",""),"주식회사",""),"(유)",""),"（유）",""),"유한회사",""))</f>
        <v/>
      </c>
    </row>
    <row r="202">
      <c r="A202" s="35" t="n"/>
      <c r="B202" s="35" t="n"/>
      <c r="C202" s="35" t="n"/>
      <c r="D202" s="35" t="n"/>
      <c r="E202" s="36" t="n"/>
      <c r="F202" s="35" t="n"/>
      <c r="G202" s="35" t="n"/>
      <c r="I202" s="31">
        <f>IF(TRIM($A202&amp;"")="","",IF(ISNUMBER(--SUBSTITUTE(SUBSTITUTE(TRIM($A202&amp;""),"-","")," ","")),SUBSTITUTE(SUBSTITUTE(TRIM($A202&amp;""),"-","")," ",""),"N:"&amp;TRIM($A202&amp;"")))</f>
        <v/>
      </c>
      <c r="J202" s="31">
        <f>IF(LEN(SUBSTITUTE(SUBSTITUTE(SUBSTITUTE(SUBSTITUTE(SUBSTITUTE(SUBSTITUTE(SUBSTITUTE(SUBSTITUTE(SUBSTITUTE($C202&amp;""," ",""),"　",""),"(주)",""),"（주）",""),"㈜",""),"주식회사",""),"(유)",""),"（유）",""),"유한회사",""))&lt;2,"",SUBSTITUTE(SUBSTITUTE(SUBSTITUTE(SUBSTITUTE(SUBSTITUTE(SUBSTITUTE(SUBSTITUTE(SUBSTITUTE(SUBSTITUTE($C202&amp;""," ",""),"　",""),"(주)",""),"（주）",""),"㈜",""),"주식회사",""),"(유)",""),"（유）",""),"유한회사",""))</f>
        <v/>
      </c>
      <c r="K202" s="31">
        <f>IF(LEN(SUBSTITUTE(SUBSTITUTE(SUBSTITUTE(SUBSTITUTE(SUBSTITUTE(SUBSTITUTE(SUBSTITUTE(SUBSTITUTE(SUBSTITUTE($D202&amp;""," ",""),"　",""),"(주)",""),"（주）",""),"㈜",""),"주식회사",""),"(유)",""),"（유）",""),"유한회사",""))&lt;2,"",SUBSTITUTE(SUBSTITUTE(SUBSTITUTE(SUBSTITUTE(SUBSTITUTE(SUBSTITUTE(SUBSTITUTE(SUBSTITUTE(SUBSTITUTE($D202&amp;""," ",""),"　",""),"(주)",""),"（주）",""),"㈜",""),"주식회사",""),"(유)",""),"（유）",""),"유한회사",""))</f>
        <v/>
      </c>
    </row>
    <row r="203">
      <c r="A203" s="35" t="n"/>
      <c r="B203" s="35" t="n"/>
      <c r="C203" s="35" t="n"/>
      <c r="D203" s="35" t="n"/>
      <c r="E203" s="36" t="n"/>
      <c r="F203" s="35" t="n"/>
      <c r="G203" s="35" t="n"/>
      <c r="I203" s="31">
        <f>IF(TRIM($A203&amp;"")="","",IF(ISNUMBER(--SUBSTITUTE(SUBSTITUTE(TRIM($A203&amp;""),"-","")," ","")),SUBSTITUTE(SUBSTITUTE(TRIM($A203&amp;""),"-","")," ",""),"N:"&amp;TRIM($A203&amp;"")))</f>
        <v/>
      </c>
      <c r="J203" s="31">
        <f>IF(LEN(SUBSTITUTE(SUBSTITUTE(SUBSTITUTE(SUBSTITUTE(SUBSTITUTE(SUBSTITUTE(SUBSTITUTE(SUBSTITUTE(SUBSTITUTE($C203&amp;""," ",""),"　",""),"(주)",""),"（주）",""),"㈜",""),"주식회사",""),"(유)",""),"（유）",""),"유한회사",""))&lt;2,"",SUBSTITUTE(SUBSTITUTE(SUBSTITUTE(SUBSTITUTE(SUBSTITUTE(SUBSTITUTE(SUBSTITUTE(SUBSTITUTE(SUBSTITUTE($C203&amp;""," ",""),"　",""),"(주)",""),"（주）",""),"㈜",""),"주식회사",""),"(유)",""),"（유）",""),"유한회사",""))</f>
        <v/>
      </c>
      <c r="K203" s="31">
        <f>IF(LEN(SUBSTITUTE(SUBSTITUTE(SUBSTITUTE(SUBSTITUTE(SUBSTITUTE(SUBSTITUTE(SUBSTITUTE(SUBSTITUTE(SUBSTITUTE($D203&amp;""," ",""),"　",""),"(주)",""),"（주）",""),"㈜",""),"주식회사",""),"(유)",""),"（유）",""),"유한회사",""))&lt;2,"",SUBSTITUTE(SUBSTITUTE(SUBSTITUTE(SUBSTITUTE(SUBSTITUTE(SUBSTITUTE(SUBSTITUTE(SUBSTITUTE(SUBSTITUTE($D203&amp;""," ",""),"　",""),"(주)",""),"（주）",""),"㈜",""),"주식회사",""),"(유)",""),"（유）",""),"유한회사",""))</f>
        <v/>
      </c>
    </row>
    <row r="204">
      <c r="A204" s="35" t="n"/>
      <c r="B204" s="35" t="n"/>
      <c r="C204" s="35" t="n"/>
      <c r="D204" s="35" t="n"/>
      <c r="E204" s="36" t="n"/>
      <c r="F204" s="35" t="n"/>
      <c r="G204" s="35" t="n"/>
      <c r="I204" s="31">
        <f>IF(TRIM($A204&amp;"")="","",IF(ISNUMBER(--SUBSTITUTE(SUBSTITUTE(TRIM($A204&amp;""),"-","")," ","")),SUBSTITUTE(SUBSTITUTE(TRIM($A204&amp;""),"-","")," ",""),"N:"&amp;TRIM($A204&amp;"")))</f>
        <v/>
      </c>
      <c r="J204" s="31">
        <f>IF(LEN(SUBSTITUTE(SUBSTITUTE(SUBSTITUTE(SUBSTITUTE(SUBSTITUTE(SUBSTITUTE(SUBSTITUTE(SUBSTITUTE(SUBSTITUTE($C204&amp;""," ",""),"　",""),"(주)",""),"（주）",""),"㈜",""),"주식회사",""),"(유)",""),"（유）",""),"유한회사",""))&lt;2,"",SUBSTITUTE(SUBSTITUTE(SUBSTITUTE(SUBSTITUTE(SUBSTITUTE(SUBSTITUTE(SUBSTITUTE(SUBSTITUTE(SUBSTITUTE($C204&amp;""," ",""),"　",""),"(주)",""),"（주）",""),"㈜",""),"주식회사",""),"(유)",""),"（유）",""),"유한회사",""))</f>
        <v/>
      </c>
      <c r="K204" s="31">
        <f>IF(LEN(SUBSTITUTE(SUBSTITUTE(SUBSTITUTE(SUBSTITUTE(SUBSTITUTE(SUBSTITUTE(SUBSTITUTE(SUBSTITUTE(SUBSTITUTE($D204&amp;""," ",""),"　",""),"(주)",""),"（주）",""),"㈜",""),"주식회사",""),"(유)",""),"（유）",""),"유한회사",""))&lt;2,"",SUBSTITUTE(SUBSTITUTE(SUBSTITUTE(SUBSTITUTE(SUBSTITUTE(SUBSTITUTE(SUBSTITUTE(SUBSTITUTE(SUBSTITUTE($D204&amp;""," ",""),"　",""),"(주)",""),"（주）",""),"㈜",""),"주식회사",""),"(유)",""),"（유）",""),"유한회사",""))</f>
        <v/>
      </c>
    </row>
    <row r="205">
      <c r="A205" s="35" t="n"/>
      <c r="B205" s="35" t="n"/>
      <c r="C205" s="35" t="n"/>
      <c r="D205" s="35" t="n"/>
      <c r="E205" s="36" t="n"/>
      <c r="F205" s="35" t="n"/>
      <c r="G205" s="35" t="n"/>
      <c r="I205" s="31">
        <f>IF(TRIM($A205&amp;"")="","",IF(ISNUMBER(--SUBSTITUTE(SUBSTITUTE(TRIM($A205&amp;""),"-","")," ","")),SUBSTITUTE(SUBSTITUTE(TRIM($A205&amp;""),"-","")," ",""),"N:"&amp;TRIM($A205&amp;"")))</f>
        <v/>
      </c>
      <c r="J205" s="31">
        <f>IF(LEN(SUBSTITUTE(SUBSTITUTE(SUBSTITUTE(SUBSTITUTE(SUBSTITUTE(SUBSTITUTE(SUBSTITUTE(SUBSTITUTE(SUBSTITUTE($C205&amp;""," ",""),"　",""),"(주)",""),"（주）",""),"㈜",""),"주식회사",""),"(유)",""),"（유）",""),"유한회사",""))&lt;2,"",SUBSTITUTE(SUBSTITUTE(SUBSTITUTE(SUBSTITUTE(SUBSTITUTE(SUBSTITUTE(SUBSTITUTE(SUBSTITUTE(SUBSTITUTE($C205&amp;""," ",""),"　",""),"(주)",""),"（주）",""),"㈜",""),"주식회사",""),"(유)",""),"（유）",""),"유한회사",""))</f>
        <v/>
      </c>
      <c r="K205" s="31">
        <f>IF(LEN(SUBSTITUTE(SUBSTITUTE(SUBSTITUTE(SUBSTITUTE(SUBSTITUTE(SUBSTITUTE(SUBSTITUTE(SUBSTITUTE(SUBSTITUTE($D205&amp;""," ",""),"　",""),"(주)",""),"（주）",""),"㈜",""),"주식회사",""),"(유)",""),"（유）",""),"유한회사",""))&lt;2,"",SUBSTITUTE(SUBSTITUTE(SUBSTITUTE(SUBSTITUTE(SUBSTITUTE(SUBSTITUTE(SUBSTITUTE(SUBSTITUTE(SUBSTITUTE($D205&amp;""," ",""),"　",""),"(주)",""),"（주）",""),"㈜",""),"주식회사",""),"(유)",""),"（유）",""),"유한회사",""))</f>
        <v/>
      </c>
    </row>
    <row r="206">
      <c r="A206" s="35" t="n"/>
      <c r="B206" s="35" t="n"/>
      <c r="C206" s="35" t="n"/>
      <c r="D206" s="35" t="n"/>
      <c r="E206" s="36" t="n"/>
      <c r="F206" s="35" t="n"/>
      <c r="G206" s="35" t="n"/>
      <c r="I206" s="31">
        <f>IF(TRIM($A206&amp;"")="","",IF(ISNUMBER(--SUBSTITUTE(SUBSTITUTE(TRIM($A206&amp;""),"-","")," ","")),SUBSTITUTE(SUBSTITUTE(TRIM($A206&amp;""),"-","")," ",""),"N:"&amp;TRIM($A206&amp;"")))</f>
        <v/>
      </c>
      <c r="J206" s="31">
        <f>IF(LEN(SUBSTITUTE(SUBSTITUTE(SUBSTITUTE(SUBSTITUTE(SUBSTITUTE(SUBSTITUTE(SUBSTITUTE(SUBSTITUTE(SUBSTITUTE($C206&amp;""," ",""),"　",""),"(주)",""),"（주）",""),"㈜",""),"주식회사",""),"(유)",""),"（유）",""),"유한회사",""))&lt;2,"",SUBSTITUTE(SUBSTITUTE(SUBSTITUTE(SUBSTITUTE(SUBSTITUTE(SUBSTITUTE(SUBSTITUTE(SUBSTITUTE(SUBSTITUTE($C206&amp;""," ",""),"　",""),"(주)",""),"（주）",""),"㈜",""),"주식회사",""),"(유)",""),"（유）",""),"유한회사",""))</f>
        <v/>
      </c>
      <c r="K206" s="31">
        <f>IF(LEN(SUBSTITUTE(SUBSTITUTE(SUBSTITUTE(SUBSTITUTE(SUBSTITUTE(SUBSTITUTE(SUBSTITUTE(SUBSTITUTE(SUBSTITUTE($D206&amp;""," ",""),"　",""),"(주)",""),"（주）",""),"㈜",""),"주식회사",""),"(유)",""),"（유）",""),"유한회사",""))&lt;2,"",SUBSTITUTE(SUBSTITUTE(SUBSTITUTE(SUBSTITUTE(SUBSTITUTE(SUBSTITUTE(SUBSTITUTE(SUBSTITUTE(SUBSTITUTE($D206&amp;""," ",""),"　",""),"(주)",""),"（주）",""),"㈜",""),"주식회사",""),"(유)",""),"（유）",""),"유한회사",""))</f>
        <v/>
      </c>
    </row>
    <row r="207">
      <c r="A207" s="35" t="n"/>
      <c r="B207" s="35" t="n"/>
      <c r="C207" s="35" t="n"/>
      <c r="D207" s="35" t="n"/>
      <c r="E207" s="36" t="n"/>
      <c r="F207" s="35" t="n"/>
      <c r="G207" s="35" t="n"/>
      <c r="I207" s="31">
        <f>IF(TRIM($A207&amp;"")="","",IF(ISNUMBER(--SUBSTITUTE(SUBSTITUTE(TRIM($A207&amp;""),"-","")," ","")),SUBSTITUTE(SUBSTITUTE(TRIM($A207&amp;""),"-","")," ",""),"N:"&amp;TRIM($A207&amp;"")))</f>
        <v/>
      </c>
      <c r="J207" s="31">
        <f>IF(LEN(SUBSTITUTE(SUBSTITUTE(SUBSTITUTE(SUBSTITUTE(SUBSTITUTE(SUBSTITUTE(SUBSTITUTE(SUBSTITUTE(SUBSTITUTE($C207&amp;""," ",""),"　",""),"(주)",""),"（주）",""),"㈜",""),"주식회사",""),"(유)",""),"（유）",""),"유한회사",""))&lt;2,"",SUBSTITUTE(SUBSTITUTE(SUBSTITUTE(SUBSTITUTE(SUBSTITUTE(SUBSTITUTE(SUBSTITUTE(SUBSTITUTE(SUBSTITUTE($C207&amp;""," ",""),"　",""),"(주)",""),"（주）",""),"㈜",""),"주식회사",""),"(유)",""),"（유）",""),"유한회사",""))</f>
        <v/>
      </c>
      <c r="K207" s="31">
        <f>IF(LEN(SUBSTITUTE(SUBSTITUTE(SUBSTITUTE(SUBSTITUTE(SUBSTITUTE(SUBSTITUTE(SUBSTITUTE(SUBSTITUTE(SUBSTITUTE($D207&amp;""," ",""),"　",""),"(주)",""),"（주）",""),"㈜",""),"주식회사",""),"(유)",""),"（유）",""),"유한회사",""))&lt;2,"",SUBSTITUTE(SUBSTITUTE(SUBSTITUTE(SUBSTITUTE(SUBSTITUTE(SUBSTITUTE(SUBSTITUTE(SUBSTITUTE(SUBSTITUTE($D207&amp;""," ",""),"　",""),"(주)",""),"（주）",""),"㈜",""),"주식회사",""),"(유)",""),"（유）",""),"유한회사",""))</f>
        <v/>
      </c>
    </row>
    <row r="208">
      <c r="A208" s="35" t="n"/>
      <c r="B208" s="35" t="n"/>
      <c r="C208" s="35" t="n"/>
      <c r="D208" s="35" t="n"/>
      <c r="E208" s="36" t="n"/>
      <c r="F208" s="35" t="n"/>
      <c r="G208" s="35" t="n"/>
      <c r="I208" s="31">
        <f>IF(TRIM($A208&amp;"")="","",IF(ISNUMBER(--SUBSTITUTE(SUBSTITUTE(TRIM($A208&amp;""),"-","")," ","")),SUBSTITUTE(SUBSTITUTE(TRIM($A208&amp;""),"-","")," ",""),"N:"&amp;TRIM($A208&amp;"")))</f>
        <v/>
      </c>
      <c r="J208" s="31">
        <f>IF(LEN(SUBSTITUTE(SUBSTITUTE(SUBSTITUTE(SUBSTITUTE(SUBSTITUTE(SUBSTITUTE(SUBSTITUTE(SUBSTITUTE(SUBSTITUTE($C208&amp;""," ",""),"　",""),"(주)",""),"（주）",""),"㈜",""),"주식회사",""),"(유)",""),"（유）",""),"유한회사",""))&lt;2,"",SUBSTITUTE(SUBSTITUTE(SUBSTITUTE(SUBSTITUTE(SUBSTITUTE(SUBSTITUTE(SUBSTITUTE(SUBSTITUTE(SUBSTITUTE($C208&amp;""," ",""),"　",""),"(주)",""),"（주）",""),"㈜",""),"주식회사",""),"(유)",""),"（유）",""),"유한회사",""))</f>
        <v/>
      </c>
      <c r="K208" s="31">
        <f>IF(LEN(SUBSTITUTE(SUBSTITUTE(SUBSTITUTE(SUBSTITUTE(SUBSTITUTE(SUBSTITUTE(SUBSTITUTE(SUBSTITUTE(SUBSTITUTE($D208&amp;""," ",""),"　",""),"(주)",""),"（주）",""),"㈜",""),"주식회사",""),"(유)",""),"（유）",""),"유한회사",""))&lt;2,"",SUBSTITUTE(SUBSTITUTE(SUBSTITUTE(SUBSTITUTE(SUBSTITUTE(SUBSTITUTE(SUBSTITUTE(SUBSTITUTE(SUBSTITUTE($D208&amp;""," ",""),"　",""),"(주)",""),"（주）",""),"㈜",""),"주식회사",""),"(유)",""),"（유）",""),"유한회사",""))</f>
        <v/>
      </c>
    </row>
    <row r="209">
      <c r="A209" s="35" t="n"/>
      <c r="B209" s="35" t="n"/>
      <c r="C209" s="35" t="n"/>
      <c r="D209" s="35" t="n"/>
      <c r="E209" s="36" t="n"/>
      <c r="F209" s="35" t="n"/>
      <c r="G209" s="35" t="n"/>
      <c r="I209" s="31">
        <f>IF(TRIM($A209&amp;"")="","",IF(ISNUMBER(--SUBSTITUTE(SUBSTITUTE(TRIM($A209&amp;""),"-","")," ","")),SUBSTITUTE(SUBSTITUTE(TRIM($A209&amp;""),"-","")," ",""),"N:"&amp;TRIM($A209&amp;"")))</f>
        <v/>
      </c>
      <c r="J209" s="31">
        <f>IF(LEN(SUBSTITUTE(SUBSTITUTE(SUBSTITUTE(SUBSTITUTE(SUBSTITUTE(SUBSTITUTE(SUBSTITUTE(SUBSTITUTE(SUBSTITUTE($C209&amp;""," ",""),"　",""),"(주)",""),"（주）",""),"㈜",""),"주식회사",""),"(유)",""),"（유）",""),"유한회사",""))&lt;2,"",SUBSTITUTE(SUBSTITUTE(SUBSTITUTE(SUBSTITUTE(SUBSTITUTE(SUBSTITUTE(SUBSTITUTE(SUBSTITUTE(SUBSTITUTE($C209&amp;""," ",""),"　",""),"(주)",""),"（주）",""),"㈜",""),"주식회사",""),"(유)",""),"（유）",""),"유한회사",""))</f>
        <v/>
      </c>
      <c r="K209" s="31">
        <f>IF(LEN(SUBSTITUTE(SUBSTITUTE(SUBSTITUTE(SUBSTITUTE(SUBSTITUTE(SUBSTITUTE(SUBSTITUTE(SUBSTITUTE(SUBSTITUTE($D209&amp;""," ",""),"　",""),"(주)",""),"（주）",""),"㈜",""),"주식회사",""),"(유)",""),"（유）",""),"유한회사",""))&lt;2,"",SUBSTITUTE(SUBSTITUTE(SUBSTITUTE(SUBSTITUTE(SUBSTITUTE(SUBSTITUTE(SUBSTITUTE(SUBSTITUTE(SUBSTITUTE($D209&amp;""," ",""),"　",""),"(주)",""),"（주）",""),"㈜",""),"주식회사",""),"(유)",""),"（유）",""),"유한회사",""))</f>
        <v/>
      </c>
    </row>
    <row r="210">
      <c r="A210" s="35" t="n"/>
      <c r="B210" s="35" t="n"/>
      <c r="C210" s="35" t="n"/>
      <c r="D210" s="35" t="n"/>
      <c r="E210" s="36" t="n"/>
      <c r="F210" s="35" t="n"/>
      <c r="G210" s="35" t="n"/>
      <c r="I210" s="31">
        <f>IF(TRIM($A210&amp;"")="","",IF(ISNUMBER(--SUBSTITUTE(SUBSTITUTE(TRIM($A210&amp;""),"-","")," ","")),SUBSTITUTE(SUBSTITUTE(TRIM($A210&amp;""),"-","")," ",""),"N:"&amp;TRIM($A210&amp;"")))</f>
        <v/>
      </c>
      <c r="J210" s="31">
        <f>IF(LEN(SUBSTITUTE(SUBSTITUTE(SUBSTITUTE(SUBSTITUTE(SUBSTITUTE(SUBSTITUTE(SUBSTITUTE(SUBSTITUTE(SUBSTITUTE($C210&amp;""," ",""),"　",""),"(주)",""),"（주）",""),"㈜",""),"주식회사",""),"(유)",""),"（유）",""),"유한회사",""))&lt;2,"",SUBSTITUTE(SUBSTITUTE(SUBSTITUTE(SUBSTITUTE(SUBSTITUTE(SUBSTITUTE(SUBSTITUTE(SUBSTITUTE(SUBSTITUTE($C210&amp;""," ",""),"　",""),"(주)",""),"（주）",""),"㈜",""),"주식회사",""),"(유)",""),"（유）",""),"유한회사",""))</f>
        <v/>
      </c>
      <c r="K210" s="31">
        <f>IF(LEN(SUBSTITUTE(SUBSTITUTE(SUBSTITUTE(SUBSTITUTE(SUBSTITUTE(SUBSTITUTE(SUBSTITUTE(SUBSTITUTE(SUBSTITUTE($D210&amp;""," ",""),"　",""),"(주)",""),"（주）",""),"㈜",""),"주식회사",""),"(유)",""),"（유）",""),"유한회사",""))&lt;2,"",SUBSTITUTE(SUBSTITUTE(SUBSTITUTE(SUBSTITUTE(SUBSTITUTE(SUBSTITUTE(SUBSTITUTE(SUBSTITUTE(SUBSTITUTE($D210&amp;""," ",""),"　",""),"(주)",""),"（주）",""),"㈜",""),"주식회사",""),"(유)",""),"（유）",""),"유한회사",""))</f>
        <v/>
      </c>
    </row>
    <row r="211">
      <c r="A211" s="35" t="n"/>
      <c r="B211" s="35" t="n"/>
      <c r="C211" s="35" t="n"/>
      <c r="D211" s="35" t="n"/>
      <c r="E211" s="36" t="n"/>
      <c r="F211" s="35" t="n"/>
      <c r="G211" s="35" t="n"/>
      <c r="I211" s="31">
        <f>IF(TRIM($A211&amp;"")="","",IF(ISNUMBER(--SUBSTITUTE(SUBSTITUTE(TRIM($A211&amp;""),"-","")," ","")),SUBSTITUTE(SUBSTITUTE(TRIM($A211&amp;""),"-","")," ",""),"N:"&amp;TRIM($A211&amp;"")))</f>
        <v/>
      </c>
      <c r="J211" s="31">
        <f>IF(LEN(SUBSTITUTE(SUBSTITUTE(SUBSTITUTE(SUBSTITUTE(SUBSTITUTE(SUBSTITUTE(SUBSTITUTE(SUBSTITUTE(SUBSTITUTE($C211&amp;""," ",""),"　",""),"(주)",""),"（주）",""),"㈜",""),"주식회사",""),"(유)",""),"（유）",""),"유한회사",""))&lt;2,"",SUBSTITUTE(SUBSTITUTE(SUBSTITUTE(SUBSTITUTE(SUBSTITUTE(SUBSTITUTE(SUBSTITUTE(SUBSTITUTE(SUBSTITUTE($C211&amp;""," ",""),"　",""),"(주)",""),"（주）",""),"㈜",""),"주식회사",""),"(유)",""),"（유）",""),"유한회사",""))</f>
        <v/>
      </c>
      <c r="K211" s="31">
        <f>IF(LEN(SUBSTITUTE(SUBSTITUTE(SUBSTITUTE(SUBSTITUTE(SUBSTITUTE(SUBSTITUTE(SUBSTITUTE(SUBSTITUTE(SUBSTITUTE($D211&amp;""," ",""),"　",""),"(주)",""),"（주）",""),"㈜",""),"주식회사",""),"(유)",""),"（유）",""),"유한회사",""))&lt;2,"",SUBSTITUTE(SUBSTITUTE(SUBSTITUTE(SUBSTITUTE(SUBSTITUTE(SUBSTITUTE(SUBSTITUTE(SUBSTITUTE(SUBSTITUTE($D211&amp;""," ",""),"　",""),"(주)",""),"（주）",""),"㈜",""),"주식회사",""),"(유)",""),"（유）",""),"유한회사",""))</f>
        <v/>
      </c>
    </row>
    <row r="212">
      <c r="A212" s="35" t="n"/>
      <c r="B212" s="35" t="n"/>
      <c r="C212" s="35" t="n"/>
      <c r="D212" s="35" t="n"/>
      <c r="E212" s="36" t="n"/>
      <c r="F212" s="35" t="n"/>
      <c r="G212" s="35" t="n"/>
      <c r="I212" s="31">
        <f>IF(TRIM($A212&amp;"")="","",IF(ISNUMBER(--SUBSTITUTE(SUBSTITUTE(TRIM($A212&amp;""),"-","")," ","")),SUBSTITUTE(SUBSTITUTE(TRIM($A212&amp;""),"-","")," ",""),"N:"&amp;TRIM($A212&amp;"")))</f>
        <v/>
      </c>
      <c r="J212" s="31">
        <f>IF(LEN(SUBSTITUTE(SUBSTITUTE(SUBSTITUTE(SUBSTITUTE(SUBSTITUTE(SUBSTITUTE(SUBSTITUTE(SUBSTITUTE(SUBSTITUTE($C212&amp;""," ",""),"　",""),"(주)",""),"（주）",""),"㈜",""),"주식회사",""),"(유)",""),"（유）",""),"유한회사",""))&lt;2,"",SUBSTITUTE(SUBSTITUTE(SUBSTITUTE(SUBSTITUTE(SUBSTITUTE(SUBSTITUTE(SUBSTITUTE(SUBSTITUTE(SUBSTITUTE($C212&amp;""," ",""),"　",""),"(주)",""),"（주）",""),"㈜",""),"주식회사",""),"(유)",""),"（유）",""),"유한회사",""))</f>
        <v/>
      </c>
      <c r="K212" s="31">
        <f>IF(LEN(SUBSTITUTE(SUBSTITUTE(SUBSTITUTE(SUBSTITUTE(SUBSTITUTE(SUBSTITUTE(SUBSTITUTE(SUBSTITUTE(SUBSTITUTE($D212&amp;""," ",""),"　",""),"(주)",""),"（주）",""),"㈜",""),"주식회사",""),"(유)",""),"（유）",""),"유한회사",""))&lt;2,"",SUBSTITUTE(SUBSTITUTE(SUBSTITUTE(SUBSTITUTE(SUBSTITUTE(SUBSTITUTE(SUBSTITUTE(SUBSTITUTE(SUBSTITUTE($D212&amp;""," ",""),"　",""),"(주)",""),"（주）",""),"㈜",""),"주식회사",""),"(유)",""),"（유）",""),"유한회사",""))</f>
        <v/>
      </c>
    </row>
    <row r="213">
      <c r="A213" s="35" t="n"/>
      <c r="B213" s="35" t="n"/>
      <c r="C213" s="35" t="n"/>
      <c r="D213" s="35" t="n"/>
      <c r="E213" s="36" t="n"/>
      <c r="F213" s="35" t="n"/>
      <c r="G213" s="35" t="n"/>
      <c r="I213" s="31">
        <f>IF(TRIM($A213&amp;"")="","",IF(ISNUMBER(--SUBSTITUTE(SUBSTITUTE(TRIM($A213&amp;""),"-","")," ","")),SUBSTITUTE(SUBSTITUTE(TRIM($A213&amp;""),"-","")," ",""),"N:"&amp;TRIM($A213&amp;"")))</f>
        <v/>
      </c>
      <c r="J213" s="31">
        <f>IF(LEN(SUBSTITUTE(SUBSTITUTE(SUBSTITUTE(SUBSTITUTE(SUBSTITUTE(SUBSTITUTE(SUBSTITUTE(SUBSTITUTE(SUBSTITUTE($C213&amp;""," ",""),"　",""),"(주)",""),"（주）",""),"㈜",""),"주식회사",""),"(유)",""),"（유）",""),"유한회사",""))&lt;2,"",SUBSTITUTE(SUBSTITUTE(SUBSTITUTE(SUBSTITUTE(SUBSTITUTE(SUBSTITUTE(SUBSTITUTE(SUBSTITUTE(SUBSTITUTE($C213&amp;""," ",""),"　",""),"(주)",""),"（주）",""),"㈜",""),"주식회사",""),"(유)",""),"（유）",""),"유한회사",""))</f>
        <v/>
      </c>
      <c r="K213" s="31">
        <f>IF(LEN(SUBSTITUTE(SUBSTITUTE(SUBSTITUTE(SUBSTITUTE(SUBSTITUTE(SUBSTITUTE(SUBSTITUTE(SUBSTITUTE(SUBSTITUTE($D213&amp;""," ",""),"　",""),"(주)",""),"（주）",""),"㈜",""),"주식회사",""),"(유)",""),"（유）",""),"유한회사",""))&lt;2,"",SUBSTITUTE(SUBSTITUTE(SUBSTITUTE(SUBSTITUTE(SUBSTITUTE(SUBSTITUTE(SUBSTITUTE(SUBSTITUTE(SUBSTITUTE($D213&amp;""," ",""),"　",""),"(주)",""),"（주）",""),"㈜",""),"주식회사",""),"(유)",""),"（유）",""),"유한회사",""))</f>
        <v/>
      </c>
    </row>
    <row r="214">
      <c r="A214" s="35" t="n"/>
      <c r="B214" s="35" t="n"/>
      <c r="C214" s="35" t="n"/>
      <c r="D214" s="35" t="n"/>
      <c r="E214" s="36" t="n"/>
      <c r="F214" s="35" t="n"/>
      <c r="G214" s="35" t="n"/>
      <c r="I214" s="31">
        <f>IF(TRIM($A214&amp;"")="","",IF(ISNUMBER(--SUBSTITUTE(SUBSTITUTE(TRIM($A214&amp;""),"-","")," ","")),SUBSTITUTE(SUBSTITUTE(TRIM($A214&amp;""),"-","")," ",""),"N:"&amp;TRIM($A214&amp;"")))</f>
        <v/>
      </c>
      <c r="J214" s="31">
        <f>IF(LEN(SUBSTITUTE(SUBSTITUTE(SUBSTITUTE(SUBSTITUTE(SUBSTITUTE(SUBSTITUTE(SUBSTITUTE(SUBSTITUTE(SUBSTITUTE($C214&amp;""," ",""),"　",""),"(주)",""),"（주）",""),"㈜",""),"주식회사",""),"(유)",""),"（유）",""),"유한회사",""))&lt;2,"",SUBSTITUTE(SUBSTITUTE(SUBSTITUTE(SUBSTITUTE(SUBSTITUTE(SUBSTITUTE(SUBSTITUTE(SUBSTITUTE(SUBSTITUTE($C214&amp;""," ",""),"　",""),"(주)",""),"（주）",""),"㈜",""),"주식회사",""),"(유)",""),"（유）",""),"유한회사",""))</f>
        <v/>
      </c>
      <c r="K214" s="31">
        <f>IF(LEN(SUBSTITUTE(SUBSTITUTE(SUBSTITUTE(SUBSTITUTE(SUBSTITUTE(SUBSTITUTE(SUBSTITUTE(SUBSTITUTE(SUBSTITUTE($D214&amp;""," ",""),"　",""),"(주)",""),"（주）",""),"㈜",""),"주식회사",""),"(유)",""),"（유）",""),"유한회사",""))&lt;2,"",SUBSTITUTE(SUBSTITUTE(SUBSTITUTE(SUBSTITUTE(SUBSTITUTE(SUBSTITUTE(SUBSTITUTE(SUBSTITUTE(SUBSTITUTE($D214&amp;""," ",""),"　",""),"(주)",""),"（주）",""),"㈜",""),"주식회사",""),"(유)",""),"（유）",""),"유한회사",""))</f>
        <v/>
      </c>
    </row>
    <row r="215">
      <c r="A215" s="35" t="n"/>
      <c r="B215" s="35" t="n"/>
      <c r="C215" s="35" t="n"/>
      <c r="D215" s="35" t="n"/>
      <c r="E215" s="36" t="n"/>
      <c r="F215" s="35" t="n"/>
      <c r="G215" s="35" t="n"/>
      <c r="I215" s="31">
        <f>IF(TRIM($A215&amp;"")="","",IF(ISNUMBER(--SUBSTITUTE(SUBSTITUTE(TRIM($A215&amp;""),"-","")," ","")),SUBSTITUTE(SUBSTITUTE(TRIM($A215&amp;""),"-","")," ",""),"N:"&amp;TRIM($A215&amp;"")))</f>
        <v/>
      </c>
      <c r="J215" s="31">
        <f>IF(LEN(SUBSTITUTE(SUBSTITUTE(SUBSTITUTE(SUBSTITUTE(SUBSTITUTE(SUBSTITUTE(SUBSTITUTE(SUBSTITUTE(SUBSTITUTE($C215&amp;""," ",""),"　",""),"(주)",""),"（주）",""),"㈜",""),"주식회사",""),"(유)",""),"（유）",""),"유한회사",""))&lt;2,"",SUBSTITUTE(SUBSTITUTE(SUBSTITUTE(SUBSTITUTE(SUBSTITUTE(SUBSTITUTE(SUBSTITUTE(SUBSTITUTE(SUBSTITUTE($C215&amp;""," ",""),"　",""),"(주)",""),"（주）",""),"㈜",""),"주식회사",""),"(유)",""),"（유）",""),"유한회사",""))</f>
        <v/>
      </c>
      <c r="K215" s="31">
        <f>IF(LEN(SUBSTITUTE(SUBSTITUTE(SUBSTITUTE(SUBSTITUTE(SUBSTITUTE(SUBSTITUTE(SUBSTITUTE(SUBSTITUTE(SUBSTITUTE($D215&amp;""," ",""),"　",""),"(주)",""),"（주）",""),"㈜",""),"주식회사",""),"(유)",""),"（유）",""),"유한회사",""))&lt;2,"",SUBSTITUTE(SUBSTITUTE(SUBSTITUTE(SUBSTITUTE(SUBSTITUTE(SUBSTITUTE(SUBSTITUTE(SUBSTITUTE(SUBSTITUTE($D215&amp;""," ",""),"　",""),"(주)",""),"（주）",""),"㈜",""),"주식회사",""),"(유)",""),"（유）",""),"유한회사",""))</f>
        <v/>
      </c>
    </row>
    <row r="216">
      <c r="A216" s="35" t="n"/>
      <c r="B216" s="35" t="n"/>
      <c r="C216" s="35" t="n"/>
      <c r="D216" s="35" t="n"/>
      <c r="E216" s="36" t="n"/>
      <c r="F216" s="35" t="n"/>
      <c r="G216" s="35" t="n"/>
      <c r="I216" s="31">
        <f>IF(TRIM($A216&amp;"")="","",IF(ISNUMBER(--SUBSTITUTE(SUBSTITUTE(TRIM($A216&amp;""),"-","")," ","")),SUBSTITUTE(SUBSTITUTE(TRIM($A216&amp;""),"-","")," ",""),"N:"&amp;TRIM($A216&amp;"")))</f>
        <v/>
      </c>
      <c r="J216" s="31">
        <f>IF(LEN(SUBSTITUTE(SUBSTITUTE(SUBSTITUTE(SUBSTITUTE(SUBSTITUTE(SUBSTITUTE(SUBSTITUTE(SUBSTITUTE(SUBSTITUTE($C216&amp;""," ",""),"　",""),"(주)",""),"（주）",""),"㈜",""),"주식회사",""),"(유)",""),"（유）",""),"유한회사",""))&lt;2,"",SUBSTITUTE(SUBSTITUTE(SUBSTITUTE(SUBSTITUTE(SUBSTITUTE(SUBSTITUTE(SUBSTITUTE(SUBSTITUTE(SUBSTITUTE($C216&amp;""," ",""),"　",""),"(주)",""),"（주）",""),"㈜",""),"주식회사",""),"(유)",""),"（유）",""),"유한회사",""))</f>
        <v/>
      </c>
      <c r="K216" s="31">
        <f>IF(LEN(SUBSTITUTE(SUBSTITUTE(SUBSTITUTE(SUBSTITUTE(SUBSTITUTE(SUBSTITUTE(SUBSTITUTE(SUBSTITUTE(SUBSTITUTE($D216&amp;""," ",""),"　",""),"(주)",""),"（주）",""),"㈜",""),"주식회사",""),"(유)",""),"（유）",""),"유한회사",""))&lt;2,"",SUBSTITUTE(SUBSTITUTE(SUBSTITUTE(SUBSTITUTE(SUBSTITUTE(SUBSTITUTE(SUBSTITUTE(SUBSTITUTE(SUBSTITUTE($D216&amp;""," ",""),"　",""),"(주)",""),"（주）",""),"㈜",""),"주식회사",""),"(유)",""),"（유）",""),"유한회사",""))</f>
        <v/>
      </c>
    </row>
    <row r="217">
      <c r="A217" s="35" t="n"/>
      <c r="B217" s="35" t="n"/>
      <c r="C217" s="35" t="n"/>
      <c r="D217" s="35" t="n"/>
      <c r="E217" s="36" t="n"/>
      <c r="F217" s="35" t="n"/>
      <c r="G217" s="35" t="n"/>
      <c r="I217" s="31">
        <f>IF(TRIM($A217&amp;"")="","",IF(ISNUMBER(--SUBSTITUTE(SUBSTITUTE(TRIM($A217&amp;""),"-","")," ","")),SUBSTITUTE(SUBSTITUTE(TRIM($A217&amp;""),"-","")," ",""),"N:"&amp;TRIM($A217&amp;"")))</f>
        <v/>
      </c>
      <c r="J217" s="31">
        <f>IF(LEN(SUBSTITUTE(SUBSTITUTE(SUBSTITUTE(SUBSTITUTE(SUBSTITUTE(SUBSTITUTE(SUBSTITUTE(SUBSTITUTE(SUBSTITUTE($C217&amp;""," ",""),"　",""),"(주)",""),"（주）",""),"㈜",""),"주식회사",""),"(유)",""),"（유）",""),"유한회사",""))&lt;2,"",SUBSTITUTE(SUBSTITUTE(SUBSTITUTE(SUBSTITUTE(SUBSTITUTE(SUBSTITUTE(SUBSTITUTE(SUBSTITUTE(SUBSTITUTE($C217&amp;""," ",""),"　",""),"(주)",""),"（주）",""),"㈜",""),"주식회사",""),"(유)",""),"（유）",""),"유한회사",""))</f>
        <v/>
      </c>
      <c r="K217" s="31">
        <f>IF(LEN(SUBSTITUTE(SUBSTITUTE(SUBSTITUTE(SUBSTITUTE(SUBSTITUTE(SUBSTITUTE(SUBSTITUTE(SUBSTITUTE(SUBSTITUTE($D217&amp;""," ",""),"　",""),"(주)",""),"（주）",""),"㈜",""),"주식회사",""),"(유)",""),"（유）",""),"유한회사",""))&lt;2,"",SUBSTITUTE(SUBSTITUTE(SUBSTITUTE(SUBSTITUTE(SUBSTITUTE(SUBSTITUTE(SUBSTITUTE(SUBSTITUTE(SUBSTITUTE($D217&amp;""," ",""),"　",""),"(주)",""),"（주）",""),"㈜",""),"주식회사",""),"(유)",""),"（유）",""),"유한회사",""))</f>
        <v/>
      </c>
    </row>
    <row r="218">
      <c r="A218" s="35" t="n"/>
      <c r="B218" s="35" t="n"/>
      <c r="C218" s="35" t="n"/>
      <c r="D218" s="35" t="n"/>
      <c r="E218" s="36" t="n"/>
      <c r="F218" s="35" t="n"/>
      <c r="G218" s="35" t="n"/>
      <c r="I218" s="31">
        <f>IF(TRIM($A218&amp;"")="","",IF(ISNUMBER(--SUBSTITUTE(SUBSTITUTE(TRIM($A218&amp;""),"-","")," ","")),SUBSTITUTE(SUBSTITUTE(TRIM($A218&amp;""),"-","")," ",""),"N:"&amp;TRIM($A218&amp;"")))</f>
        <v/>
      </c>
      <c r="J218" s="31">
        <f>IF(LEN(SUBSTITUTE(SUBSTITUTE(SUBSTITUTE(SUBSTITUTE(SUBSTITUTE(SUBSTITUTE(SUBSTITUTE(SUBSTITUTE(SUBSTITUTE($C218&amp;""," ",""),"　",""),"(주)",""),"（주）",""),"㈜",""),"주식회사",""),"(유)",""),"（유）",""),"유한회사",""))&lt;2,"",SUBSTITUTE(SUBSTITUTE(SUBSTITUTE(SUBSTITUTE(SUBSTITUTE(SUBSTITUTE(SUBSTITUTE(SUBSTITUTE(SUBSTITUTE($C218&amp;""," ",""),"　",""),"(주)",""),"（주）",""),"㈜",""),"주식회사",""),"(유)",""),"（유）",""),"유한회사",""))</f>
        <v/>
      </c>
      <c r="K218" s="31">
        <f>IF(LEN(SUBSTITUTE(SUBSTITUTE(SUBSTITUTE(SUBSTITUTE(SUBSTITUTE(SUBSTITUTE(SUBSTITUTE(SUBSTITUTE(SUBSTITUTE($D218&amp;""," ",""),"　",""),"(주)",""),"（주）",""),"㈜",""),"주식회사",""),"(유)",""),"（유）",""),"유한회사",""))&lt;2,"",SUBSTITUTE(SUBSTITUTE(SUBSTITUTE(SUBSTITUTE(SUBSTITUTE(SUBSTITUTE(SUBSTITUTE(SUBSTITUTE(SUBSTITUTE($D218&amp;""," ",""),"　",""),"(주)",""),"（주）",""),"㈜",""),"주식회사",""),"(유)",""),"（유）",""),"유한회사",""))</f>
        <v/>
      </c>
    </row>
    <row r="219">
      <c r="A219" s="35" t="n"/>
      <c r="B219" s="35" t="n"/>
      <c r="C219" s="35" t="n"/>
      <c r="D219" s="35" t="n"/>
      <c r="E219" s="36" t="n"/>
      <c r="F219" s="35" t="n"/>
      <c r="G219" s="35" t="n"/>
      <c r="I219" s="31">
        <f>IF(TRIM($A219&amp;"")="","",IF(ISNUMBER(--SUBSTITUTE(SUBSTITUTE(TRIM($A219&amp;""),"-","")," ","")),SUBSTITUTE(SUBSTITUTE(TRIM($A219&amp;""),"-","")," ",""),"N:"&amp;TRIM($A219&amp;"")))</f>
        <v/>
      </c>
      <c r="J219" s="31">
        <f>IF(LEN(SUBSTITUTE(SUBSTITUTE(SUBSTITUTE(SUBSTITUTE(SUBSTITUTE(SUBSTITUTE(SUBSTITUTE(SUBSTITUTE(SUBSTITUTE($C219&amp;""," ",""),"　",""),"(주)",""),"（주）",""),"㈜",""),"주식회사",""),"(유)",""),"（유）",""),"유한회사",""))&lt;2,"",SUBSTITUTE(SUBSTITUTE(SUBSTITUTE(SUBSTITUTE(SUBSTITUTE(SUBSTITUTE(SUBSTITUTE(SUBSTITUTE(SUBSTITUTE($C219&amp;""," ",""),"　",""),"(주)",""),"（주）",""),"㈜",""),"주식회사",""),"(유)",""),"（유）",""),"유한회사",""))</f>
        <v/>
      </c>
      <c r="K219" s="31">
        <f>IF(LEN(SUBSTITUTE(SUBSTITUTE(SUBSTITUTE(SUBSTITUTE(SUBSTITUTE(SUBSTITUTE(SUBSTITUTE(SUBSTITUTE(SUBSTITUTE($D219&amp;""," ",""),"　",""),"(주)",""),"（주）",""),"㈜",""),"주식회사",""),"(유)",""),"（유）",""),"유한회사",""))&lt;2,"",SUBSTITUTE(SUBSTITUTE(SUBSTITUTE(SUBSTITUTE(SUBSTITUTE(SUBSTITUTE(SUBSTITUTE(SUBSTITUTE(SUBSTITUTE($D219&amp;""," ",""),"　",""),"(주)",""),"（주）",""),"㈜",""),"주식회사",""),"(유)",""),"（유）",""),"유한회사",""))</f>
        <v/>
      </c>
    </row>
    <row r="220">
      <c r="A220" s="35" t="n"/>
      <c r="B220" s="35" t="n"/>
      <c r="C220" s="35" t="n"/>
      <c r="D220" s="35" t="n"/>
      <c r="E220" s="36" t="n"/>
      <c r="F220" s="35" t="n"/>
      <c r="G220" s="35" t="n"/>
      <c r="I220" s="31">
        <f>IF(TRIM($A220&amp;"")="","",IF(ISNUMBER(--SUBSTITUTE(SUBSTITUTE(TRIM($A220&amp;""),"-","")," ","")),SUBSTITUTE(SUBSTITUTE(TRIM($A220&amp;""),"-","")," ",""),"N:"&amp;TRIM($A220&amp;"")))</f>
        <v/>
      </c>
      <c r="J220" s="31">
        <f>IF(LEN(SUBSTITUTE(SUBSTITUTE(SUBSTITUTE(SUBSTITUTE(SUBSTITUTE(SUBSTITUTE(SUBSTITUTE(SUBSTITUTE(SUBSTITUTE($C220&amp;""," ",""),"　",""),"(주)",""),"（주）",""),"㈜",""),"주식회사",""),"(유)",""),"（유）",""),"유한회사",""))&lt;2,"",SUBSTITUTE(SUBSTITUTE(SUBSTITUTE(SUBSTITUTE(SUBSTITUTE(SUBSTITUTE(SUBSTITUTE(SUBSTITUTE(SUBSTITUTE($C220&amp;""," ",""),"　",""),"(주)",""),"（주）",""),"㈜",""),"주식회사",""),"(유)",""),"（유）",""),"유한회사",""))</f>
        <v/>
      </c>
      <c r="K220" s="31">
        <f>IF(LEN(SUBSTITUTE(SUBSTITUTE(SUBSTITUTE(SUBSTITUTE(SUBSTITUTE(SUBSTITUTE(SUBSTITUTE(SUBSTITUTE(SUBSTITUTE($D220&amp;""," ",""),"　",""),"(주)",""),"（주）",""),"㈜",""),"주식회사",""),"(유)",""),"（유）",""),"유한회사",""))&lt;2,"",SUBSTITUTE(SUBSTITUTE(SUBSTITUTE(SUBSTITUTE(SUBSTITUTE(SUBSTITUTE(SUBSTITUTE(SUBSTITUTE(SUBSTITUTE($D220&amp;""," ",""),"　",""),"(주)",""),"（주）",""),"㈜",""),"주식회사",""),"(유)",""),"（유）",""),"유한회사",""))</f>
        <v/>
      </c>
    </row>
    <row r="221">
      <c r="A221" s="35" t="n"/>
      <c r="B221" s="35" t="n"/>
      <c r="C221" s="35" t="n"/>
      <c r="D221" s="35" t="n"/>
      <c r="E221" s="36" t="n"/>
      <c r="F221" s="35" t="n"/>
      <c r="G221" s="35" t="n"/>
      <c r="I221" s="31">
        <f>IF(TRIM($A221&amp;"")="","",IF(ISNUMBER(--SUBSTITUTE(SUBSTITUTE(TRIM($A221&amp;""),"-","")," ","")),SUBSTITUTE(SUBSTITUTE(TRIM($A221&amp;""),"-","")," ",""),"N:"&amp;TRIM($A221&amp;"")))</f>
        <v/>
      </c>
      <c r="J221" s="31">
        <f>IF(LEN(SUBSTITUTE(SUBSTITUTE(SUBSTITUTE(SUBSTITUTE(SUBSTITUTE(SUBSTITUTE(SUBSTITUTE(SUBSTITUTE(SUBSTITUTE($C221&amp;""," ",""),"　",""),"(주)",""),"（주）",""),"㈜",""),"주식회사",""),"(유)",""),"（유）",""),"유한회사",""))&lt;2,"",SUBSTITUTE(SUBSTITUTE(SUBSTITUTE(SUBSTITUTE(SUBSTITUTE(SUBSTITUTE(SUBSTITUTE(SUBSTITUTE(SUBSTITUTE($C221&amp;""," ",""),"　",""),"(주)",""),"（주）",""),"㈜",""),"주식회사",""),"(유)",""),"（유）",""),"유한회사",""))</f>
        <v/>
      </c>
      <c r="K221" s="31">
        <f>IF(LEN(SUBSTITUTE(SUBSTITUTE(SUBSTITUTE(SUBSTITUTE(SUBSTITUTE(SUBSTITUTE(SUBSTITUTE(SUBSTITUTE(SUBSTITUTE($D221&amp;""," ",""),"　",""),"(주)",""),"（주）",""),"㈜",""),"주식회사",""),"(유)",""),"（유）",""),"유한회사",""))&lt;2,"",SUBSTITUTE(SUBSTITUTE(SUBSTITUTE(SUBSTITUTE(SUBSTITUTE(SUBSTITUTE(SUBSTITUTE(SUBSTITUTE(SUBSTITUTE($D221&amp;""," ",""),"　",""),"(주)",""),"（주）",""),"㈜",""),"주식회사",""),"(유)",""),"（유）",""),"유한회사",""))</f>
        <v/>
      </c>
    </row>
    <row r="222">
      <c r="A222" s="35" t="n"/>
      <c r="B222" s="35" t="n"/>
      <c r="C222" s="35" t="n"/>
      <c r="D222" s="35" t="n"/>
      <c r="E222" s="36" t="n"/>
      <c r="F222" s="35" t="n"/>
      <c r="G222" s="35" t="n"/>
      <c r="I222" s="31">
        <f>IF(TRIM($A222&amp;"")="","",IF(ISNUMBER(--SUBSTITUTE(SUBSTITUTE(TRIM($A222&amp;""),"-","")," ","")),SUBSTITUTE(SUBSTITUTE(TRIM($A222&amp;""),"-","")," ",""),"N:"&amp;TRIM($A222&amp;"")))</f>
        <v/>
      </c>
      <c r="J222" s="31">
        <f>IF(LEN(SUBSTITUTE(SUBSTITUTE(SUBSTITUTE(SUBSTITUTE(SUBSTITUTE(SUBSTITUTE(SUBSTITUTE(SUBSTITUTE(SUBSTITUTE($C222&amp;""," ",""),"　",""),"(주)",""),"（주）",""),"㈜",""),"주식회사",""),"(유)",""),"（유）",""),"유한회사",""))&lt;2,"",SUBSTITUTE(SUBSTITUTE(SUBSTITUTE(SUBSTITUTE(SUBSTITUTE(SUBSTITUTE(SUBSTITUTE(SUBSTITUTE(SUBSTITUTE($C222&amp;""," ",""),"　",""),"(주)",""),"（주）",""),"㈜",""),"주식회사",""),"(유)",""),"（유）",""),"유한회사",""))</f>
        <v/>
      </c>
      <c r="K222" s="31">
        <f>IF(LEN(SUBSTITUTE(SUBSTITUTE(SUBSTITUTE(SUBSTITUTE(SUBSTITUTE(SUBSTITUTE(SUBSTITUTE(SUBSTITUTE(SUBSTITUTE($D222&amp;""," ",""),"　",""),"(주)",""),"（주）",""),"㈜",""),"주식회사",""),"(유)",""),"（유）",""),"유한회사",""))&lt;2,"",SUBSTITUTE(SUBSTITUTE(SUBSTITUTE(SUBSTITUTE(SUBSTITUTE(SUBSTITUTE(SUBSTITUTE(SUBSTITUTE(SUBSTITUTE($D222&amp;""," ",""),"　",""),"(주)",""),"（주）",""),"㈜",""),"주식회사",""),"(유)",""),"（유）",""),"유한회사",""))</f>
        <v/>
      </c>
    </row>
    <row r="223">
      <c r="A223" s="35" t="n"/>
      <c r="B223" s="35" t="n"/>
      <c r="C223" s="35" t="n"/>
      <c r="D223" s="35" t="n"/>
      <c r="E223" s="36" t="n"/>
      <c r="F223" s="35" t="n"/>
      <c r="G223" s="35" t="n"/>
      <c r="I223" s="31">
        <f>IF(TRIM($A223&amp;"")="","",IF(ISNUMBER(--SUBSTITUTE(SUBSTITUTE(TRIM($A223&amp;""),"-","")," ","")),SUBSTITUTE(SUBSTITUTE(TRIM($A223&amp;""),"-","")," ",""),"N:"&amp;TRIM($A223&amp;"")))</f>
        <v/>
      </c>
      <c r="J223" s="31">
        <f>IF(LEN(SUBSTITUTE(SUBSTITUTE(SUBSTITUTE(SUBSTITUTE(SUBSTITUTE(SUBSTITUTE(SUBSTITUTE(SUBSTITUTE(SUBSTITUTE($C223&amp;""," ",""),"　",""),"(주)",""),"（주）",""),"㈜",""),"주식회사",""),"(유)",""),"（유）",""),"유한회사",""))&lt;2,"",SUBSTITUTE(SUBSTITUTE(SUBSTITUTE(SUBSTITUTE(SUBSTITUTE(SUBSTITUTE(SUBSTITUTE(SUBSTITUTE(SUBSTITUTE($C223&amp;""," ",""),"　",""),"(주)",""),"（주）",""),"㈜",""),"주식회사",""),"(유)",""),"（유）",""),"유한회사",""))</f>
        <v/>
      </c>
      <c r="K223" s="31">
        <f>IF(LEN(SUBSTITUTE(SUBSTITUTE(SUBSTITUTE(SUBSTITUTE(SUBSTITUTE(SUBSTITUTE(SUBSTITUTE(SUBSTITUTE(SUBSTITUTE($D223&amp;""," ",""),"　",""),"(주)",""),"（주）",""),"㈜",""),"주식회사",""),"(유)",""),"（유）",""),"유한회사",""))&lt;2,"",SUBSTITUTE(SUBSTITUTE(SUBSTITUTE(SUBSTITUTE(SUBSTITUTE(SUBSTITUTE(SUBSTITUTE(SUBSTITUTE(SUBSTITUTE($D223&amp;""," ",""),"　",""),"(주)",""),"（주）",""),"㈜",""),"주식회사",""),"(유)",""),"（유）",""),"유한회사",""))</f>
        <v/>
      </c>
    </row>
    <row r="224">
      <c r="A224" s="35" t="n"/>
      <c r="B224" s="35" t="n"/>
      <c r="C224" s="35" t="n"/>
      <c r="D224" s="35" t="n"/>
      <c r="E224" s="36" t="n"/>
      <c r="F224" s="35" t="n"/>
      <c r="G224" s="35" t="n"/>
      <c r="I224" s="31">
        <f>IF(TRIM($A224&amp;"")="","",IF(ISNUMBER(--SUBSTITUTE(SUBSTITUTE(TRIM($A224&amp;""),"-","")," ","")),SUBSTITUTE(SUBSTITUTE(TRIM($A224&amp;""),"-","")," ",""),"N:"&amp;TRIM($A224&amp;"")))</f>
        <v/>
      </c>
      <c r="J224" s="31">
        <f>IF(LEN(SUBSTITUTE(SUBSTITUTE(SUBSTITUTE(SUBSTITUTE(SUBSTITUTE(SUBSTITUTE(SUBSTITUTE(SUBSTITUTE(SUBSTITUTE($C224&amp;""," ",""),"　",""),"(주)",""),"（주）",""),"㈜",""),"주식회사",""),"(유)",""),"（유）",""),"유한회사",""))&lt;2,"",SUBSTITUTE(SUBSTITUTE(SUBSTITUTE(SUBSTITUTE(SUBSTITUTE(SUBSTITUTE(SUBSTITUTE(SUBSTITUTE(SUBSTITUTE($C224&amp;""," ",""),"　",""),"(주)",""),"（주）",""),"㈜",""),"주식회사",""),"(유)",""),"（유）",""),"유한회사",""))</f>
        <v/>
      </c>
      <c r="K224" s="31">
        <f>IF(LEN(SUBSTITUTE(SUBSTITUTE(SUBSTITUTE(SUBSTITUTE(SUBSTITUTE(SUBSTITUTE(SUBSTITUTE(SUBSTITUTE(SUBSTITUTE($D224&amp;""," ",""),"　",""),"(주)",""),"（주）",""),"㈜",""),"주식회사",""),"(유)",""),"（유）",""),"유한회사",""))&lt;2,"",SUBSTITUTE(SUBSTITUTE(SUBSTITUTE(SUBSTITUTE(SUBSTITUTE(SUBSTITUTE(SUBSTITUTE(SUBSTITUTE(SUBSTITUTE($D224&amp;""," ",""),"　",""),"(주)",""),"（주）",""),"㈜",""),"주식회사",""),"(유)",""),"（유）",""),"유한회사",""))</f>
        <v/>
      </c>
    </row>
    <row r="225">
      <c r="A225" s="35" t="n"/>
      <c r="B225" s="35" t="n"/>
      <c r="C225" s="35" t="n"/>
      <c r="D225" s="35" t="n"/>
      <c r="E225" s="36" t="n"/>
      <c r="F225" s="35" t="n"/>
      <c r="G225" s="35" t="n"/>
      <c r="I225" s="31">
        <f>IF(TRIM($A225&amp;"")="","",IF(ISNUMBER(--SUBSTITUTE(SUBSTITUTE(TRIM($A225&amp;""),"-","")," ","")),SUBSTITUTE(SUBSTITUTE(TRIM($A225&amp;""),"-","")," ",""),"N:"&amp;TRIM($A225&amp;"")))</f>
        <v/>
      </c>
      <c r="J225" s="31">
        <f>IF(LEN(SUBSTITUTE(SUBSTITUTE(SUBSTITUTE(SUBSTITUTE(SUBSTITUTE(SUBSTITUTE(SUBSTITUTE(SUBSTITUTE(SUBSTITUTE($C225&amp;""," ",""),"　",""),"(주)",""),"（주）",""),"㈜",""),"주식회사",""),"(유)",""),"（유）",""),"유한회사",""))&lt;2,"",SUBSTITUTE(SUBSTITUTE(SUBSTITUTE(SUBSTITUTE(SUBSTITUTE(SUBSTITUTE(SUBSTITUTE(SUBSTITUTE(SUBSTITUTE($C225&amp;""," ",""),"　",""),"(주)",""),"（주）",""),"㈜",""),"주식회사",""),"(유)",""),"（유）",""),"유한회사",""))</f>
        <v/>
      </c>
      <c r="K225" s="31">
        <f>IF(LEN(SUBSTITUTE(SUBSTITUTE(SUBSTITUTE(SUBSTITUTE(SUBSTITUTE(SUBSTITUTE(SUBSTITUTE(SUBSTITUTE(SUBSTITUTE($D225&amp;""," ",""),"　",""),"(주)",""),"（주）",""),"㈜",""),"주식회사",""),"(유)",""),"（유）",""),"유한회사",""))&lt;2,"",SUBSTITUTE(SUBSTITUTE(SUBSTITUTE(SUBSTITUTE(SUBSTITUTE(SUBSTITUTE(SUBSTITUTE(SUBSTITUTE(SUBSTITUTE($D225&amp;""," ",""),"　",""),"(주)",""),"（주）",""),"㈜",""),"주식회사",""),"(유)",""),"（유）",""),"유한회사",""))</f>
        <v/>
      </c>
    </row>
    <row r="226">
      <c r="A226" s="35" t="n"/>
      <c r="B226" s="35" t="n"/>
      <c r="C226" s="35" t="n"/>
      <c r="D226" s="35" t="n"/>
      <c r="E226" s="36" t="n"/>
      <c r="F226" s="35" t="n"/>
      <c r="G226" s="35" t="n"/>
      <c r="I226" s="31">
        <f>IF(TRIM($A226&amp;"")="","",IF(ISNUMBER(--SUBSTITUTE(SUBSTITUTE(TRIM($A226&amp;""),"-","")," ","")),SUBSTITUTE(SUBSTITUTE(TRIM($A226&amp;""),"-","")," ",""),"N:"&amp;TRIM($A226&amp;"")))</f>
        <v/>
      </c>
      <c r="J226" s="31">
        <f>IF(LEN(SUBSTITUTE(SUBSTITUTE(SUBSTITUTE(SUBSTITUTE(SUBSTITUTE(SUBSTITUTE(SUBSTITUTE(SUBSTITUTE(SUBSTITUTE($C226&amp;""," ",""),"　",""),"(주)",""),"（주）",""),"㈜",""),"주식회사",""),"(유)",""),"（유）",""),"유한회사",""))&lt;2,"",SUBSTITUTE(SUBSTITUTE(SUBSTITUTE(SUBSTITUTE(SUBSTITUTE(SUBSTITUTE(SUBSTITUTE(SUBSTITUTE(SUBSTITUTE($C226&amp;""," ",""),"　",""),"(주)",""),"（주）",""),"㈜",""),"주식회사",""),"(유)",""),"（유）",""),"유한회사",""))</f>
        <v/>
      </c>
      <c r="K226" s="31">
        <f>IF(LEN(SUBSTITUTE(SUBSTITUTE(SUBSTITUTE(SUBSTITUTE(SUBSTITUTE(SUBSTITUTE(SUBSTITUTE(SUBSTITUTE(SUBSTITUTE($D226&amp;""," ",""),"　",""),"(주)",""),"（주）",""),"㈜",""),"주식회사",""),"(유)",""),"（유）",""),"유한회사",""))&lt;2,"",SUBSTITUTE(SUBSTITUTE(SUBSTITUTE(SUBSTITUTE(SUBSTITUTE(SUBSTITUTE(SUBSTITUTE(SUBSTITUTE(SUBSTITUTE($D226&amp;""," ",""),"　",""),"(주)",""),"（주）",""),"㈜",""),"주식회사",""),"(유)",""),"（유）",""),"유한회사",""))</f>
        <v/>
      </c>
    </row>
    <row r="227">
      <c r="A227" s="35" t="n"/>
      <c r="B227" s="35" t="n"/>
      <c r="C227" s="35" t="n"/>
      <c r="D227" s="35" t="n"/>
      <c r="E227" s="36" t="n"/>
      <c r="F227" s="35" t="n"/>
      <c r="G227" s="35" t="n"/>
      <c r="I227" s="31">
        <f>IF(TRIM($A227&amp;"")="","",IF(ISNUMBER(--SUBSTITUTE(SUBSTITUTE(TRIM($A227&amp;""),"-","")," ","")),SUBSTITUTE(SUBSTITUTE(TRIM($A227&amp;""),"-","")," ",""),"N:"&amp;TRIM($A227&amp;"")))</f>
        <v/>
      </c>
      <c r="J227" s="31">
        <f>IF(LEN(SUBSTITUTE(SUBSTITUTE(SUBSTITUTE(SUBSTITUTE(SUBSTITUTE(SUBSTITUTE(SUBSTITUTE(SUBSTITUTE(SUBSTITUTE($C227&amp;""," ",""),"　",""),"(주)",""),"（주）",""),"㈜",""),"주식회사",""),"(유)",""),"（유）",""),"유한회사",""))&lt;2,"",SUBSTITUTE(SUBSTITUTE(SUBSTITUTE(SUBSTITUTE(SUBSTITUTE(SUBSTITUTE(SUBSTITUTE(SUBSTITUTE(SUBSTITUTE($C227&amp;""," ",""),"　",""),"(주)",""),"（주）",""),"㈜",""),"주식회사",""),"(유)",""),"（유）",""),"유한회사",""))</f>
        <v/>
      </c>
      <c r="K227" s="31">
        <f>IF(LEN(SUBSTITUTE(SUBSTITUTE(SUBSTITUTE(SUBSTITUTE(SUBSTITUTE(SUBSTITUTE(SUBSTITUTE(SUBSTITUTE(SUBSTITUTE($D227&amp;""," ",""),"　",""),"(주)",""),"（주）",""),"㈜",""),"주식회사",""),"(유)",""),"（유）",""),"유한회사",""))&lt;2,"",SUBSTITUTE(SUBSTITUTE(SUBSTITUTE(SUBSTITUTE(SUBSTITUTE(SUBSTITUTE(SUBSTITUTE(SUBSTITUTE(SUBSTITUTE($D227&amp;""," ",""),"　",""),"(주)",""),"（주）",""),"㈜",""),"주식회사",""),"(유)",""),"（유）",""),"유한회사",""))</f>
        <v/>
      </c>
    </row>
    <row r="228">
      <c r="A228" s="35" t="n"/>
      <c r="B228" s="35" t="n"/>
      <c r="C228" s="35" t="n"/>
      <c r="D228" s="35" t="n"/>
      <c r="E228" s="36" t="n"/>
      <c r="F228" s="35" t="n"/>
      <c r="G228" s="35" t="n"/>
      <c r="I228" s="31">
        <f>IF(TRIM($A228&amp;"")="","",IF(ISNUMBER(--SUBSTITUTE(SUBSTITUTE(TRIM($A228&amp;""),"-","")," ","")),SUBSTITUTE(SUBSTITUTE(TRIM($A228&amp;""),"-","")," ",""),"N:"&amp;TRIM($A228&amp;"")))</f>
        <v/>
      </c>
      <c r="J228" s="31">
        <f>IF(LEN(SUBSTITUTE(SUBSTITUTE(SUBSTITUTE(SUBSTITUTE(SUBSTITUTE(SUBSTITUTE(SUBSTITUTE(SUBSTITUTE(SUBSTITUTE($C228&amp;""," ",""),"　",""),"(주)",""),"（주）",""),"㈜",""),"주식회사",""),"(유)",""),"（유）",""),"유한회사",""))&lt;2,"",SUBSTITUTE(SUBSTITUTE(SUBSTITUTE(SUBSTITUTE(SUBSTITUTE(SUBSTITUTE(SUBSTITUTE(SUBSTITUTE(SUBSTITUTE($C228&amp;""," ",""),"　",""),"(주)",""),"（주）",""),"㈜",""),"주식회사",""),"(유)",""),"（유）",""),"유한회사",""))</f>
        <v/>
      </c>
      <c r="K228" s="31">
        <f>IF(LEN(SUBSTITUTE(SUBSTITUTE(SUBSTITUTE(SUBSTITUTE(SUBSTITUTE(SUBSTITUTE(SUBSTITUTE(SUBSTITUTE(SUBSTITUTE($D228&amp;""," ",""),"　",""),"(주)",""),"（주）",""),"㈜",""),"주식회사",""),"(유)",""),"（유）",""),"유한회사",""))&lt;2,"",SUBSTITUTE(SUBSTITUTE(SUBSTITUTE(SUBSTITUTE(SUBSTITUTE(SUBSTITUTE(SUBSTITUTE(SUBSTITUTE(SUBSTITUTE($D228&amp;""," ",""),"　",""),"(주)",""),"（주）",""),"㈜",""),"주식회사",""),"(유)",""),"（유）",""),"유한회사",""))</f>
        <v/>
      </c>
    </row>
    <row r="229">
      <c r="A229" s="35" t="n"/>
      <c r="B229" s="35" t="n"/>
      <c r="C229" s="35" t="n"/>
      <c r="D229" s="35" t="n"/>
      <c r="E229" s="36" t="n"/>
      <c r="F229" s="35" t="n"/>
      <c r="G229" s="35" t="n"/>
      <c r="I229" s="31">
        <f>IF(TRIM($A229&amp;"")="","",IF(ISNUMBER(--SUBSTITUTE(SUBSTITUTE(TRIM($A229&amp;""),"-","")," ","")),SUBSTITUTE(SUBSTITUTE(TRIM($A229&amp;""),"-","")," ",""),"N:"&amp;TRIM($A229&amp;"")))</f>
        <v/>
      </c>
      <c r="J229" s="31">
        <f>IF(LEN(SUBSTITUTE(SUBSTITUTE(SUBSTITUTE(SUBSTITUTE(SUBSTITUTE(SUBSTITUTE(SUBSTITUTE(SUBSTITUTE(SUBSTITUTE($C229&amp;""," ",""),"　",""),"(주)",""),"（주）",""),"㈜",""),"주식회사",""),"(유)",""),"（유）",""),"유한회사",""))&lt;2,"",SUBSTITUTE(SUBSTITUTE(SUBSTITUTE(SUBSTITUTE(SUBSTITUTE(SUBSTITUTE(SUBSTITUTE(SUBSTITUTE(SUBSTITUTE($C229&amp;""," ",""),"　",""),"(주)",""),"（주）",""),"㈜",""),"주식회사",""),"(유)",""),"（유）",""),"유한회사",""))</f>
        <v/>
      </c>
      <c r="K229" s="31">
        <f>IF(LEN(SUBSTITUTE(SUBSTITUTE(SUBSTITUTE(SUBSTITUTE(SUBSTITUTE(SUBSTITUTE(SUBSTITUTE(SUBSTITUTE(SUBSTITUTE($D229&amp;""," ",""),"　",""),"(주)",""),"（주）",""),"㈜",""),"주식회사",""),"(유)",""),"（유）",""),"유한회사",""))&lt;2,"",SUBSTITUTE(SUBSTITUTE(SUBSTITUTE(SUBSTITUTE(SUBSTITUTE(SUBSTITUTE(SUBSTITUTE(SUBSTITUTE(SUBSTITUTE($D229&amp;""," ",""),"　",""),"(주)",""),"（주）",""),"㈜",""),"주식회사",""),"(유)",""),"（유）",""),"유한회사",""))</f>
        <v/>
      </c>
    </row>
    <row r="230">
      <c r="A230" s="35" t="n"/>
      <c r="B230" s="35" t="n"/>
      <c r="C230" s="35" t="n"/>
      <c r="D230" s="35" t="n"/>
      <c r="E230" s="36" t="n"/>
      <c r="F230" s="35" t="n"/>
      <c r="G230" s="35" t="n"/>
      <c r="I230" s="31">
        <f>IF(TRIM($A230&amp;"")="","",IF(ISNUMBER(--SUBSTITUTE(SUBSTITUTE(TRIM($A230&amp;""),"-","")," ","")),SUBSTITUTE(SUBSTITUTE(TRIM($A230&amp;""),"-","")," ",""),"N:"&amp;TRIM($A230&amp;"")))</f>
        <v/>
      </c>
      <c r="J230" s="31">
        <f>IF(LEN(SUBSTITUTE(SUBSTITUTE(SUBSTITUTE(SUBSTITUTE(SUBSTITUTE(SUBSTITUTE(SUBSTITUTE(SUBSTITUTE(SUBSTITUTE($C230&amp;""," ",""),"　",""),"(주)",""),"（주）",""),"㈜",""),"주식회사",""),"(유)",""),"（유）",""),"유한회사",""))&lt;2,"",SUBSTITUTE(SUBSTITUTE(SUBSTITUTE(SUBSTITUTE(SUBSTITUTE(SUBSTITUTE(SUBSTITUTE(SUBSTITUTE(SUBSTITUTE($C230&amp;""," ",""),"　",""),"(주)",""),"（주）",""),"㈜",""),"주식회사",""),"(유)",""),"（유）",""),"유한회사",""))</f>
        <v/>
      </c>
      <c r="K230" s="31">
        <f>IF(LEN(SUBSTITUTE(SUBSTITUTE(SUBSTITUTE(SUBSTITUTE(SUBSTITUTE(SUBSTITUTE(SUBSTITUTE(SUBSTITUTE(SUBSTITUTE($D230&amp;""," ",""),"　",""),"(주)",""),"（주）",""),"㈜",""),"주식회사",""),"(유)",""),"（유）",""),"유한회사",""))&lt;2,"",SUBSTITUTE(SUBSTITUTE(SUBSTITUTE(SUBSTITUTE(SUBSTITUTE(SUBSTITUTE(SUBSTITUTE(SUBSTITUTE(SUBSTITUTE($D230&amp;""," ",""),"　",""),"(주)",""),"（주）",""),"㈜",""),"주식회사",""),"(유)",""),"（유）",""),"유한회사",""))</f>
        <v/>
      </c>
    </row>
    <row r="231">
      <c r="A231" s="35" t="n"/>
      <c r="B231" s="35" t="n"/>
      <c r="C231" s="35" t="n"/>
      <c r="D231" s="35" t="n"/>
      <c r="E231" s="36" t="n"/>
      <c r="F231" s="35" t="n"/>
      <c r="G231" s="35" t="n"/>
      <c r="I231" s="31">
        <f>IF(TRIM($A231&amp;"")="","",IF(ISNUMBER(--SUBSTITUTE(SUBSTITUTE(TRIM($A231&amp;""),"-","")," ","")),SUBSTITUTE(SUBSTITUTE(TRIM($A231&amp;""),"-","")," ",""),"N:"&amp;TRIM($A231&amp;"")))</f>
        <v/>
      </c>
      <c r="J231" s="31">
        <f>IF(LEN(SUBSTITUTE(SUBSTITUTE(SUBSTITUTE(SUBSTITUTE(SUBSTITUTE(SUBSTITUTE(SUBSTITUTE(SUBSTITUTE(SUBSTITUTE($C231&amp;""," ",""),"　",""),"(주)",""),"（주）",""),"㈜",""),"주식회사",""),"(유)",""),"（유）",""),"유한회사",""))&lt;2,"",SUBSTITUTE(SUBSTITUTE(SUBSTITUTE(SUBSTITUTE(SUBSTITUTE(SUBSTITUTE(SUBSTITUTE(SUBSTITUTE(SUBSTITUTE($C231&amp;""," ",""),"　",""),"(주)",""),"（주）",""),"㈜",""),"주식회사",""),"(유)",""),"（유）",""),"유한회사",""))</f>
        <v/>
      </c>
      <c r="K231" s="31">
        <f>IF(LEN(SUBSTITUTE(SUBSTITUTE(SUBSTITUTE(SUBSTITUTE(SUBSTITUTE(SUBSTITUTE(SUBSTITUTE(SUBSTITUTE(SUBSTITUTE($D231&amp;""," ",""),"　",""),"(주)",""),"（주）",""),"㈜",""),"주식회사",""),"(유)",""),"（유）",""),"유한회사",""))&lt;2,"",SUBSTITUTE(SUBSTITUTE(SUBSTITUTE(SUBSTITUTE(SUBSTITUTE(SUBSTITUTE(SUBSTITUTE(SUBSTITUTE(SUBSTITUTE($D231&amp;""," ",""),"　",""),"(주)",""),"（주）",""),"㈜",""),"주식회사",""),"(유)",""),"（유）",""),"유한회사",""))</f>
        <v/>
      </c>
    </row>
    <row r="232">
      <c r="A232" s="35" t="n"/>
      <c r="B232" s="35" t="n"/>
      <c r="C232" s="35" t="n"/>
      <c r="D232" s="35" t="n"/>
      <c r="E232" s="36" t="n"/>
      <c r="F232" s="35" t="n"/>
      <c r="G232" s="35" t="n"/>
      <c r="I232" s="31">
        <f>IF(TRIM($A232&amp;"")="","",IF(ISNUMBER(--SUBSTITUTE(SUBSTITUTE(TRIM($A232&amp;""),"-","")," ","")),SUBSTITUTE(SUBSTITUTE(TRIM($A232&amp;""),"-","")," ",""),"N:"&amp;TRIM($A232&amp;"")))</f>
        <v/>
      </c>
      <c r="J232" s="31">
        <f>IF(LEN(SUBSTITUTE(SUBSTITUTE(SUBSTITUTE(SUBSTITUTE(SUBSTITUTE(SUBSTITUTE(SUBSTITUTE(SUBSTITUTE(SUBSTITUTE($C232&amp;""," ",""),"　",""),"(주)",""),"（주）",""),"㈜",""),"주식회사",""),"(유)",""),"（유）",""),"유한회사",""))&lt;2,"",SUBSTITUTE(SUBSTITUTE(SUBSTITUTE(SUBSTITUTE(SUBSTITUTE(SUBSTITUTE(SUBSTITUTE(SUBSTITUTE(SUBSTITUTE($C232&amp;""," ",""),"　",""),"(주)",""),"（주）",""),"㈜",""),"주식회사",""),"(유)",""),"（유）",""),"유한회사",""))</f>
        <v/>
      </c>
      <c r="K232" s="31">
        <f>IF(LEN(SUBSTITUTE(SUBSTITUTE(SUBSTITUTE(SUBSTITUTE(SUBSTITUTE(SUBSTITUTE(SUBSTITUTE(SUBSTITUTE(SUBSTITUTE($D232&amp;""," ",""),"　",""),"(주)",""),"（주）",""),"㈜",""),"주식회사",""),"(유)",""),"（유）",""),"유한회사",""))&lt;2,"",SUBSTITUTE(SUBSTITUTE(SUBSTITUTE(SUBSTITUTE(SUBSTITUTE(SUBSTITUTE(SUBSTITUTE(SUBSTITUTE(SUBSTITUTE($D232&amp;""," ",""),"　",""),"(주)",""),"（주）",""),"㈜",""),"주식회사",""),"(유)",""),"（유）",""),"유한회사",""))</f>
        <v/>
      </c>
    </row>
    <row r="233">
      <c r="A233" s="35" t="n"/>
      <c r="B233" s="35" t="n"/>
      <c r="C233" s="35" t="n"/>
      <c r="D233" s="35" t="n"/>
      <c r="E233" s="36" t="n"/>
      <c r="F233" s="35" t="n"/>
      <c r="G233" s="35" t="n"/>
      <c r="I233" s="31">
        <f>IF(TRIM($A233&amp;"")="","",IF(ISNUMBER(--SUBSTITUTE(SUBSTITUTE(TRIM($A233&amp;""),"-","")," ","")),SUBSTITUTE(SUBSTITUTE(TRIM($A233&amp;""),"-","")," ",""),"N:"&amp;TRIM($A233&amp;"")))</f>
        <v/>
      </c>
      <c r="J233" s="31">
        <f>IF(LEN(SUBSTITUTE(SUBSTITUTE(SUBSTITUTE(SUBSTITUTE(SUBSTITUTE(SUBSTITUTE(SUBSTITUTE(SUBSTITUTE(SUBSTITUTE($C233&amp;""," ",""),"　",""),"(주)",""),"（주）",""),"㈜",""),"주식회사",""),"(유)",""),"（유）",""),"유한회사",""))&lt;2,"",SUBSTITUTE(SUBSTITUTE(SUBSTITUTE(SUBSTITUTE(SUBSTITUTE(SUBSTITUTE(SUBSTITUTE(SUBSTITUTE(SUBSTITUTE($C233&amp;""," ",""),"　",""),"(주)",""),"（주）",""),"㈜",""),"주식회사",""),"(유)",""),"（유）",""),"유한회사",""))</f>
        <v/>
      </c>
      <c r="K233" s="31">
        <f>IF(LEN(SUBSTITUTE(SUBSTITUTE(SUBSTITUTE(SUBSTITUTE(SUBSTITUTE(SUBSTITUTE(SUBSTITUTE(SUBSTITUTE(SUBSTITUTE($D233&amp;""," ",""),"　",""),"(주)",""),"（주）",""),"㈜",""),"주식회사",""),"(유)",""),"（유）",""),"유한회사",""))&lt;2,"",SUBSTITUTE(SUBSTITUTE(SUBSTITUTE(SUBSTITUTE(SUBSTITUTE(SUBSTITUTE(SUBSTITUTE(SUBSTITUTE(SUBSTITUTE($D233&amp;""," ",""),"　",""),"(주)",""),"（주）",""),"㈜",""),"주식회사",""),"(유)",""),"（유）",""),"유한회사",""))</f>
        <v/>
      </c>
    </row>
    <row r="234">
      <c r="A234" s="35" t="n"/>
      <c r="B234" s="35" t="n"/>
      <c r="C234" s="35" t="n"/>
      <c r="D234" s="35" t="n"/>
      <c r="E234" s="36" t="n"/>
      <c r="F234" s="35" t="n"/>
      <c r="G234" s="35" t="n"/>
      <c r="I234" s="31">
        <f>IF(TRIM($A234&amp;"")="","",IF(ISNUMBER(--SUBSTITUTE(SUBSTITUTE(TRIM($A234&amp;""),"-","")," ","")),SUBSTITUTE(SUBSTITUTE(TRIM($A234&amp;""),"-","")," ",""),"N:"&amp;TRIM($A234&amp;"")))</f>
        <v/>
      </c>
      <c r="J234" s="31">
        <f>IF(LEN(SUBSTITUTE(SUBSTITUTE(SUBSTITUTE(SUBSTITUTE(SUBSTITUTE(SUBSTITUTE(SUBSTITUTE(SUBSTITUTE(SUBSTITUTE($C234&amp;""," ",""),"　",""),"(주)",""),"（주）",""),"㈜",""),"주식회사",""),"(유)",""),"（유）",""),"유한회사",""))&lt;2,"",SUBSTITUTE(SUBSTITUTE(SUBSTITUTE(SUBSTITUTE(SUBSTITUTE(SUBSTITUTE(SUBSTITUTE(SUBSTITUTE(SUBSTITUTE($C234&amp;""," ",""),"　",""),"(주)",""),"（주）",""),"㈜",""),"주식회사",""),"(유)",""),"（유）",""),"유한회사",""))</f>
        <v/>
      </c>
      <c r="K234" s="31">
        <f>IF(LEN(SUBSTITUTE(SUBSTITUTE(SUBSTITUTE(SUBSTITUTE(SUBSTITUTE(SUBSTITUTE(SUBSTITUTE(SUBSTITUTE(SUBSTITUTE($D234&amp;""," ",""),"　",""),"(주)",""),"（주）",""),"㈜",""),"주식회사",""),"(유)",""),"（유）",""),"유한회사",""))&lt;2,"",SUBSTITUTE(SUBSTITUTE(SUBSTITUTE(SUBSTITUTE(SUBSTITUTE(SUBSTITUTE(SUBSTITUTE(SUBSTITUTE(SUBSTITUTE($D234&amp;""," ",""),"　",""),"(주)",""),"（주）",""),"㈜",""),"주식회사",""),"(유)",""),"（유）",""),"유한회사",""))</f>
        <v/>
      </c>
    </row>
    <row r="235">
      <c r="A235" s="35" t="n"/>
      <c r="B235" s="35" t="n"/>
      <c r="C235" s="35" t="n"/>
      <c r="D235" s="35" t="n"/>
      <c r="E235" s="36" t="n"/>
      <c r="F235" s="35" t="n"/>
      <c r="G235" s="35" t="n"/>
      <c r="I235" s="31">
        <f>IF(TRIM($A235&amp;"")="","",IF(ISNUMBER(--SUBSTITUTE(SUBSTITUTE(TRIM($A235&amp;""),"-","")," ","")),SUBSTITUTE(SUBSTITUTE(TRIM($A235&amp;""),"-","")," ",""),"N:"&amp;TRIM($A235&amp;"")))</f>
        <v/>
      </c>
      <c r="J235" s="31">
        <f>IF(LEN(SUBSTITUTE(SUBSTITUTE(SUBSTITUTE(SUBSTITUTE(SUBSTITUTE(SUBSTITUTE(SUBSTITUTE(SUBSTITUTE(SUBSTITUTE($C235&amp;""," ",""),"　",""),"(주)",""),"（주）",""),"㈜",""),"주식회사",""),"(유)",""),"（유）",""),"유한회사",""))&lt;2,"",SUBSTITUTE(SUBSTITUTE(SUBSTITUTE(SUBSTITUTE(SUBSTITUTE(SUBSTITUTE(SUBSTITUTE(SUBSTITUTE(SUBSTITUTE($C235&amp;""," ",""),"　",""),"(주)",""),"（주）",""),"㈜",""),"주식회사",""),"(유)",""),"（유）",""),"유한회사",""))</f>
        <v/>
      </c>
      <c r="K235" s="31">
        <f>IF(LEN(SUBSTITUTE(SUBSTITUTE(SUBSTITUTE(SUBSTITUTE(SUBSTITUTE(SUBSTITUTE(SUBSTITUTE(SUBSTITUTE(SUBSTITUTE($D235&amp;""," ",""),"　",""),"(주)",""),"（주）",""),"㈜",""),"주식회사",""),"(유)",""),"（유）",""),"유한회사",""))&lt;2,"",SUBSTITUTE(SUBSTITUTE(SUBSTITUTE(SUBSTITUTE(SUBSTITUTE(SUBSTITUTE(SUBSTITUTE(SUBSTITUTE(SUBSTITUTE($D235&amp;""," ",""),"　",""),"(주)",""),"（주）",""),"㈜",""),"주식회사",""),"(유)",""),"（유）",""),"유한회사",""))</f>
        <v/>
      </c>
    </row>
    <row r="236">
      <c r="A236" s="35" t="n"/>
      <c r="B236" s="35" t="n"/>
      <c r="C236" s="35" t="n"/>
      <c r="D236" s="35" t="n"/>
      <c r="E236" s="36" t="n"/>
      <c r="F236" s="35" t="n"/>
      <c r="G236" s="35" t="n"/>
      <c r="I236" s="31">
        <f>IF(TRIM($A236&amp;"")="","",IF(ISNUMBER(--SUBSTITUTE(SUBSTITUTE(TRIM($A236&amp;""),"-","")," ","")),SUBSTITUTE(SUBSTITUTE(TRIM($A236&amp;""),"-","")," ",""),"N:"&amp;TRIM($A236&amp;"")))</f>
        <v/>
      </c>
      <c r="J236" s="31">
        <f>IF(LEN(SUBSTITUTE(SUBSTITUTE(SUBSTITUTE(SUBSTITUTE(SUBSTITUTE(SUBSTITUTE(SUBSTITUTE(SUBSTITUTE(SUBSTITUTE($C236&amp;""," ",""),"　",""),"(주)",""),"（주）",""),"㈜",""),"주식회사",""),"(유)",""),"（유）",""),"유한회사",""))&lt;2,"",SUBSTITUTE(SUBSTITUTE(SUBSTITUTE(SUBSTITUTE(SUBSTITUTE(SUBSTITUTE(SUBSTITUTE(SUBSTITUTE(SUBSTITUTE($C236&amp;""," ",""),"　",""),"(주)",""),"（주）",""),"㈜",""),"주식회사",""),"(유)",""),"（유）",""),"유한회사",""))</f>
        <v/>
      </c>
      <c r="K236" s="31">
        <f>IF(LEN(SUBSTITUTE(SUBSTITUTE(SUBSTITUTE(SUBSTITUTE(SUBSTITUTE(SUBSTITUTE(SUBSTITUTE(SUBSTITUTE(SUBSTITUTE($D236&amp;""," ",""),"　",""),"(주)",""),"（주）",""),"㈜",""),"주식회사",""),"(유)",""),"（유）",""),"유한회사",""))&lt;2,"",SUBSTITUTE(SUBSTITUTE(SUBSTITUTE(SUBSTITUTE(SUBSTITUTE(SUBSTITUTE(SUBSTITUTE(SUBSTITUTE(SUBSTITUTE($D236&amp;""," ",""),"　",""),"(주)",""),"（주）",""),"㈜",""),"주식회사",""),"(유)",""),"（유）",""),"유한회사",""))</f>
        <v/>
      </c>
    </row>
    <row r="237">
      <c r="A237" s="35" t="n"/>
      <c r="B237" s="35" t="n"/>
      <c r="C237" s="35" t="n"/>
      <c r="D237" s="35" t="n"/>
      <c r="E237" s="36" t="n"/>
      <c r="F237" s="35" t="n"/>
      <c r="G237" s="35" t="n"/>
      <c r="I237" s="31">
        <f>IF(TRIM($A237&amp;"")="","",IF(ISNUMBER(--SUBSTITUTE(SUBSTITUTE(TRIM($A237&amp;""),"-","")," ","")),SUBSTITUTE(SUBSTITUTE(TRIM($A237&amp;""),"-","")," ",""),"N:"&amp;TRIM($A237&amp;"")))</f>
        <v/>
      </c>
      <c r="J237" s="31">
        <f>IF(LEN(SUBSTITUTE(SUBSTITUTE(SUBSTITUTE(SUBSTITUTE(SUBSTITUTE(SUBSTITUTE(SUBSTITUTE(SUBSTITUTE(SUBSTITUTE($C237&amp;""," ",""),"　",""),"(주)",""),"（주）",""),"㈜",""),"주식회사",""),"(유)",""),"（유）",""),"유한회사",""))&lt;2,"",SUBSTITUTE(SUBSTITUTE(SUBSTITUTE(SUBSTITUTE(SUBSTITUTE(SUBSTITUTE(SUBSTITUTE(SUBSTITUTE(SUBSTITUTE($C237&amp;""," ",""),"　",""),"(주)",""),"（주）",""),"㈜",""),"주식회사",""),"(유)",""),"（유）",""),"유한회사",""))</f>
        <v/>
      </c>
      <c r="K237" s="31">
        <f>IF(LEN(SUBSTITUTE(SUBSTITUTE(SUBSTITUTE(SUBSTITUTE(SUBSTITUTE(SUBSTITUTE(SUBSTITUTE(SUBSTITUTE(SUBSTITUTE($D237&amp;""," ",""),"　",""),"(주)",""),"（주）",""),"㈜",""),"주식회사",""),"(유)",""),"（유）",""),"유한회사",""))&lt;2,"",SUBSTITUTE(SUBSTITUTE(SUBSTITUTE(SUBSTITUTE(SUBSTITUTE(SUBSTITUTE(SUBSTITUTE(SUBSTITUTE(SUBSTITUTE($D237&amp;""," ",""),"　",""),"(주)",""),"（주）",""),"㈜",""),"주식회사",""),"(유)",""),"（유）",""),"유한회사",""))</f>
        <v/>
      </c>
    </row>
    <row r="238">
      <c r="A238" s="35" t="n"/>
      <c r="B238" s="35" t="n"/>
      <c r="C238" s="35" t="n"/>
      <c r="D238" s="35" t="n"/>
      <c r="E238" s="36" t="n"/>
      <c r="F238" s="35" t="n"/>
      <c r="G238" s="35" t="n"/>
      <c r="I238" s="31">
        <f>IF(TRIM($A238&amp;"")="","",IF(ISNUMBER(--SUBSTITUTE(SUBSTITUTE(TRIM($A238&amp;""),"-","")," ","")),SUBSTITUTE(SUBSTITUTE(TRIM($A238&amp;""),"-","")," ",""),"N:"&amp;TRIM($A238&amp;"")))</f>
        <v/>
      </c>
      <c r="J238" s="31">
        <f>IF(LEN(SUBSTITUTE(SUBSTITUTE(SUBSTITUTE(SUBSTITUTE(SUBSTITUTE(SUBSTITUTE(SUBSTITUTE(SUBSTITUTE(SUBSTITUTE($C238&amp;""," ",""),"　",""),"(주)",""),"（주）",""),"㈜",""),"주식회사",""),"(유)",""),"（유）",""),"유한회사",""))&lt;2,"",SUBSTITUTE(SUBSTITUTE(SUBSTITUTE(SUBSTITUTE(SUBSTITUTE(SUBSTITUTE(SUBSTITUTE(SUBSTITUTE(SUBSTITUTE($C238&amp;""," ",""),"　",""),"(주)",""),"（주）",""),"㈜",""),"주식회사",""),"(유)",""),"（유）",""),"유한회사",""))</f>
        <v/>
      </c>
      <c r="K238" s="31">
        <f>IF(LEN(SUBSTITUTE(SUBSTITUTE(SUBSTITUTE(SUBSTITUTE(SUBSTITUTE(SUBSTITUTE(SUBSTITUTE(SUBSTITUTE(SUBSTITUTE($D238&amp;""," ",""),"　",""),"(주)",""),"（주）",""),"㈜",""),"주식회사",""),"(유)",""),"（유）",""),"유한회사",""))&lt;2,"",SUBSTITUTE(SUBSTITUTE(SUBSTITUTE(SUBSTITUTE(SUBSTITUTE(SUBSTITUTE(SUBSTITUTE(SUBSTITUTE(SUBSTITUTE($D238&amp;""," ",""),"　",""),"(주)",""),"（주）",""),"㈜",""),"주식회사",""),"(유)",""),"（유）",""),"유한회사",""))</f>
        <v/>
      </c>
    </row>
    <row r="239">
      <c r="A239" s="35" t="n"/>
      <c r="B239" s="35" t="n"/>
      <c r="C239" s="35" t="n"/>
      <c r="D239" s="35" t="n"/>
      <c r="E239" s="36" t="n"/>
      <c r="F239" s="35" t="n"/>
      <c r="G239" s="35" t="n"/>
      <c r="I239" s="31">
        <f>IF(TRIM($A239&amp;"")="","",IF(ISNUMBER(--SUBSTITUTE(SUBSTITUTE(TRIM($A239&amp;""),"-","")," ","")),SUBSTITUTE(SUBSTITUTE(TRIM($A239&amp;""),"-","")," ",""),"N:"&amp;TRIM($A239&amp;"")))</f>
        <v/>
      </c>
      <c r="J239" s="31">
        <f>IF(LEN(SUBSTITUTE(SUBSTITUTE(SUBSTITUTE(SUBSTITUTE(SUBSTITUTE(SUBSTITUTE(SUBSTITUTE(SUBSTITUTE(SUBSTITUTE($C239&amp;""," ",""),"　",""),"(주)",""),"（주）",""),"㈜",""),"주식회사",""),"(유)",""),"（유）",""),"유한회사",""))&lt;2,"",SUBSTITUTE(SUBSTITUTE(SUBSTITUTE(SUBSTITUTE(SUBSTITUTE(SUBSTITUTE(SUBSTITUTE(SUBSTITUTE(SUBSTITUTE($C239&amp;""," ",""),"　",""),"(주)",""),"（주）",""),"㈜",""),"주식회사",""),"(유)",""),"（유）",""),"유한회사",""))</f>
        <v/>
      </c>
      <c r="K239" s="31">
        <f>IF(LEN(SUBSTITUTE(SUBSTITUTE(SUBSTITUTE(SUBSTITUTE(SUBSTITUTE(SUBSTITUTE(SUBSTITUTE(SUBSTITUTE(SUBSTITUTE($D239&amp;""," ",""),"　",""),"(주)",""),"（주）",""),"㈜",""),"주식회사",""),"(유)",""),"（유）",""),"유한회사",""))&lt;2,"",SUBSTITUTE(SUBSTITUTE(SUBSTITUTE(SUBSTITUTE(SUBSTITUTE(SUBSTITUTE(SUBSTITUTE(SUBSTITUTE(SUBSTITUTE($D239&amp;""," ",""),"　",""),"(주)",""),"（주）",""),"㈜",""),"주식회사",""),"(유)",""),"（유）",""),"유한회사",""))</f>
        <v/>
      </c>
    </row>
    <row r="240">
      <c r="A240" s="35" t="n"/>
      <c r="B240" s="35" t="n"/>
      <c r="C240" s="35" t="n"/>
      <c r="D240" s="35" t="n"/>
      <c r="E240" s="36" t="n"/>
      <c r="F240" s="35" t="n"/>
      <c r="G240" s="35" t="n"/>
      <c r="I240" s="31">
        <f>IF(TRIM($A240&amp;"")="","",IF(ISNUMBER(--SUBSTITUTE(SUBSTITUTE(TRIM($A240&amp;""),"-","")," ","")),SUBSTITUTE(SUBSTITUTE(TRIM($A240&amp;""),"-","")," ",""),"N:"&amp;TRIM($A240&amp;"")))</f>
        <v/>
      </c>
      <c r="J240" s="31">
        <f>IF(LEN(SUBSTITUTE(SUBSTITUTE(SUBSTITUTE(SUBSTITUTE(SUBSTITUTE(SUBSTITUTE(SUBSTITUTE(SUBSTITUTE(SUBSTITUTE($C240&amp;""," ",""),"　",""),"(주)",""),"（주）",""),"㈜",""),"주식회사",""),"(유)",""),"（유）",""),"유한회사",""))&lt;2,"",SUBSTITUTE(SUBSTITUTE(SUBSTITUTE(SUBSTITUTE(SUBSTITUTE(SUBSTITUTE(SUBSTITUTE(SUBSTITUTE(SUBSTITUTE($C240&amp;""," ",""),"　",""),"(주)",""),"（주）",""),"㈜",""),"주식회사",""),"(유)",""),"（유）",""),"유한회사",""))</f>
        <v/>
      </c>
      <c r="K240" s="31">
        <f>IF(LEN(SUBSTITUTE(SUBSTITUTE(SUBSTITUTE(SUBSTITUTE(SUBSTITUTE(SUBSTITUTE(SUBSTITUTE(SUBSTITUTE(SUBSTITUTE($D240&amp;""," ",""),"　",""),"(주)",""),"（주）",""),"㈜",""),"주식회사",""),"(유)",""),"（유）",""),"유한회사",""))&lt;2,"",SUBSTITUTE(SUBSTITUTE(SUBSTITUTE(SUBSTITUTE(SUBSTITUTE(SUBSTITUTE(SUBSTITUTE(SUBSTITUTE(SUBSTITUTE($D240&amp;""," ",""),"　",""),"(주)",""),"（주）",""),"㈜",""),"주식회사",""),"(유)",""),"（유）",""),"유한회사",""))</f>
        <v/>
      </c>
    </row>
    <row r="241">
      <c r="A241" s="35" t="n"/>
      <c r="B241" s="35" t="n"/>
      <c r="C241" s="35" t="n"/>
      <c r="D241" s="35" t="n"/>
      <c r="E241" s="36" t="n"/>
      <c r="F241" s="35" t="n"/>
      <c r="G241" s="35" t="n"/>
      <c r="I241" s="31">
        <f>IF(TRIM($A241&amp;"")="","",IF(ISNUMBER(--SUBSTITUTE(SUBSTITUTE(TRIM($A241&amp;""),"-","")," ","")),SUBSTITUTE(SUBSTITUTE(TRIM($A241&amp;""),"-","")," ",""),"N:"&amp;TRIM($A241&amp;"")))</f>
        <v/>
      </c>
      <c r="J241" s="31">
        <f>IF(LEN(SUBSTITUTE(SUBSTITUTE(SUBSTITUTE(SUBSTITUTE(SUBSTITUTE(SUBSTITUTE(SUBSTITUTE(SUBSTITUTE(SUBSTITUTE($C241&amp;""," ",""),"　",""),"(주)",""),"（주）",""),"㈜",""),"주식회사",""),"(유)",""),"（유）",""),"유한회사",""))&lt;2,"",SUBSTITUTE(SUBSTITUTE(SUBSTITUTE(SUBSTITUTE(SUBSTITUTE(SUBSTITUTE(SUBSTITUTE(SUBSTITUTE(SUBSTITUTE($C241&amp;""," ",""),"　",""),"(주)",""),"（주）",""),"㈜",""),"주식회사",""),"(유)",""),"（유）",""),"유한회사",""))</f>
        <v/>
      </c>
      <c r="K241" s="31">
        <f>IF(LEN(SUBSTITUTE(SUBSTITUTE(SUBSTITUTE(SUBSTITUTE(SUBSTITUTE(SUBSTITUTE(SUBSTITUTE(SUBSTITUTE(SUBSTITUTE($D241&amp;""," ",""),"　",""),"(주)",""),"（주）",""),"㈜",""),"주식회사",""),"(유)",""),"（유）",""),"유한회사",""))&lt;2,"",SUBSTITUTE(SUBSTITUTE(SUBSTITUTE(SUBSTITUTE(SUBSTITUTE(SUBSTITUTE(SUBSTITUTE(SUBSTITUTE(SUBSTITUTE($D241&amp;""," ",""),"　",""),"(주)",""),"（주）",""),"㈜",""),"주식회사",""),"(유)",""),"（유）",""),"유한회사",""))</f>
        <v/>
      </c>
    </row>
    <row r="242">
      <c r="A242" s="35" t="n"/>
      <c r="B242" s="35" t="n"/>
      <c r="C242" s="35" t="n"/>
      <c r="D242" s="35" t="n"/>
      <c r="E242" s="36" t="n"/>
      <c r="F242" s="35" t="n"/>
      <c r="G242" s="35" t="n"/>
      <c r="I242" s="31">
        <f>IF(TRIM($A242&amp;"")="","",IF(ISNUMBER(--SUBSTITUTE(SUBSTITUTE(TRIM($A242&amp;""),"-","")," ","")),SUBSTITUTE(SUBSTITUTE(TRIM($A242&amp;""),"-","")," ",""),"N:"&amp;TRIM($A242&amp;"")))</f>
        <v/>
      </c>
      <c r="J242" s="31">
        <f>IF(LEN(SUBSTITUTE(SUBSTITUTE(SUBSTITUTE(SUBSTITUTE(SUBSTITUTE(SUBSTITUTE(SUBSTITUTE(SUBSTITUTE(SUBSTITUTE($C242&amp;""," ",""),"　",""),"(주)",""),"（주）",""),"㈜",""),"주식회사",""),"(유)",""),"（유）",""),"유한회사",""))&lt;2,"",SUBSTITUTE(SUBSTITUTE(SUBSTITUTE(SUBSTITUTE(SUBSTITUTE(SUBSTITUTE(SUBSTITUTE(SUBSTITUTE(SUBSTITUTE($C242&amp;""," ",""),"　",""),"(주)",""),"（주）",""),"㈜",""),"주식회사",""),"(유)",""),"（유）",""),"유한회사",""))</f>
        <v/>
      </c>
      <c r="K242" s="31">
        <f>IF(LEN(SUBSTITUTE(SUBSTITUTE(SUBSTITUTE(SUBSTITUTE(SUBSTITUTE(SUBSTITUTE(SUBSTITUTE(SUBSTITUTE(SUBSTITUTE($D242&amp;""," ",""),"　",""),"(주)",""),"（주）",""),"㈜",""),"주식회사",""),"(유)",""),"（유）",""),"유한회사",""))&lt;2,"",SUBSTITUTE(SUBSTITUTE(SUBSTITUTE(SUBSTITUTE(SUBSTITUTE(SUBSTITUTE(SUBSTITUTE(SUBSTITUTE(SUBSTITUTE($D242&amp;""," ",""),"　",""),"(주)",""),"（주）",""),"㈜",""),"주식회사",""),"(유)",""),"（유）",""),"유한회사",""))</f>
        <v/>
      </c>
    </row>
    <row r="243">
      <c r="A243" s="35" t="n"/>
      <c r="B243" s="35" t="n"/>
      <c r="C243" s="35" t="n"/>
      <c r="D243" s="35" t="n"/>
      <c r="E243" s="36" t="n"/>
      <c r="F243" s="35" t="n"/>
      <c r="G243" s="35" t="n"/>
      <c r="I243" s="31">
        <f>IF(TRIM($A243&amp;"")="","",IF(ISNUMBER(--SUBSTITUTE(SUBSTITUTE(TRIM($A243&amp;""),"-","")," ","")),SUBSTITUTE(SUBSTITUTE(TRIM($A243&amp;""),"-","")," ",""),"N:"&amp;TRIM($A243&amp;"")))</f>
        <v/>
      </c>
      <c r="J243" s="31">
        <f>IF(LEN(SUBSTITUTE(SUBSTITUTE(SUBSTITUTE(SUBSTITUTE(SUBSTITUTE(SUBSTITUTE(SUBSTITUTE(SUBSTITUTE(SUBSTITUTE($C243&amp;""," ",""),"　",""),"(주)",""),"（주）",""),"㈜",""),"주식회사",""),"(유)",""),"（유）",""),"유한회사",""))&lt;2,"",SUBSTITUTE(SUBSTITUTE(SUBSTITUTE(SUBSTITUTE(SUBSTITUTE(SUBSTITUTE(SUBSTITUTE(SUBSTITUTE(SUBSTITUTE($C243&amp;""," ",""),"　",""),"(주)",""),"（주）",""),"㈜",""),"주식회사",""),"(유)",""),"（유）",""),"유한회사",""))</f>
        <v/>
      </c>
      <c r="K243" s="31">
        <f>IF(LEN(SUBSTITUTE(SUBSTITUTE(SUBSTITUTE(SUBSTITUTE(SUBSTITUTE(SUBSTITUTE(SUBSTITUTE(SUBSTITUTE(SUBSTITUTE($D243&amp;""," ",""),"　",""),"(주)",""),"（주）",""),"㈜",""),"주식회사",""),"(유)",""),"（유）",""),"유한회사",""))&lt;2,"",SUBSTITUTE(SUBSTITUTE(SUBSTITUTE(SUBSTITUTE(SUBSTITUTE(SUBSTITUTE(SUBSTITUTE(SUBSTITUTE(SUBSTITUTE($D243&amp;""," ",""),"　",""),"(주)",""),"（주）",""),"㈜",""),"주식회사",""),"(유)",""),"（유）",""),"유한회사",""))</f>
        <v/>
      </c>
    </row>
    <row r="244">
      <c r="A244" s="35" t="n"/>
      <c r="B244" s="35" t="n"/>
      <c r="C244" s="35" t="n"/>
      <c r="D244" s="35" t="n"/>
      <c r="E244" s="36" t="n"/>
      <c r="F244" s="35" t="n"/>
      <c r="G244" s="35" t="n"/>
      <c r="I244" s="31">
        <f>IF(TRIM($A244&amp;"")="","",IF(ISNUMBER(--SUBSTITUTE(SUBSTITUTE(TRIM($A244&amp;""),"-","")," ","")),SUBSTITUTE(SUBSTITUTE(TRIM($A244&amp;""),"-","")," ",""),"N:"&amp;TRIM($A244&amp;"")))</f>
        <v/>
      </c>
      <c r="J244" s="31">
        <f>IF(LEN(SUBSTITUTE(SUBSTITUTE(SUBSTITUTE(SUBSTITUTE(SUBSTITUTE(SUBSTITUTE(SUBSTITUTE(SUBSTITUTE(SUBSTITUTE($C244&amp;""," ",""),"　",""),"(주)",""),"（주）",""),"㈜",""),"주식회사",""),"(유)",""),"（유）",""),"유한회사",""))&lt;2,"",SUBSTITUTE(SUBSTITUTE(SUBSTITUTE(SUBSTITUTE(SUBSTITUTE(SUBSTITUTE(SUBSTITUTE(SUBSTITUTE(SUBSTITUTE($C244&amp;""," ",""),"　",""),"(주)",""),"（주）",""),"㈜",""),"주식회사",""),"(유)",""),"（유）",""),"유한회사",""))</f>
        <v/>
      </c>
      <c r="K244" s="31">
        <f>IF(LEN(SUBSTITUTE(SUBSTITUTE(SUBSTITUTE(SUBSTITUTE(SUBSTITUTE(SUBSTITUTE(SUBSTITUTE(SUBSTITUTE(SUBSTITUTE($D244&amp;""," ",""),"　",""),"(주)",""),"（주）",""),"㈜",""),"주식회사",""),"(유)",""),"（유）",""),"유한회사",""))&lt;2,"",SUBSTITUTE(SUBSTITUTE(SUBSTITUTE(SUBSTITUTE(SUBSTITUTE(SUBSTITUTE(SUBSTITUTE(SUBSTITUTE(SUBSTITUTE($D244&amp;""," ",""),"　",""),"(주)",""),"（주）",""),"㈜",""),"주식회사",""),"(유)",""),"（유）",""),"유한회사",""))</f>
        <v/>
      </c>
    </row>
    <row r="245">
      <c r="A245" s="35" t="n"/>
      <c r="B245" s="35" t="n"/>
      <c r="C245" s="35" t="n"/>
      <c r="D245" s="35" t="n"/>
      <c r="E245" s="36" t="n"/>
      <c r="F245" s="35" t="n"/>
      <c r="G245" s="35" t="n"/>
      <c r="I245" s="31">
        <f>IF(TRIM($A245&amp;"")="","",IF(ISNUMBER(--SUBSTITUTE(SUBSTITUTE(TRIM($A245&amp;""),"-","")," ","")),SUBSTITUTE(SUBSTITUTE(TRIM($A245&amp;""),"-","")," ",""),"N:"&amp;TRIM($A245&amp;"")))</f>
        <v/>
      </c>
      <c r="J245" s="31">
        <f>IF(LEN(SUBSTITUTE(SUBSTITUTE(SUBSTITUTE(SUBSTITUTE(SUBSTITUTE(SUBSTITUTE(SUBSTITUTE(SUBSTITUTE(SUBSTITUTE($C245&amp;""," ",""),"　",""),"(주)",""),"（주）",""),"㈜",""),"주식회사",""),"(유)",""),"（유）",""),"유한회사",""))&lt;2,"",SUBSTITUTE(SUBSTITUTE(SUBSTITUTE(SUBSTITUTE(SUBSTITUTE(SUBSTITUTE(SUBSTITUTE(SUBSTITUTE(SUBSTITUTE($C245&amp;""," ",""),"　",""),"(주)",""),"（주）",""),"㈜",""),"주식회사",""),"(유)",""),"（유）",""),"유한회사",""))</f>
        <v/>
      </c>
      <c r="K245" s="31">
        <f>IF(LEN(SUBSTITUTE(SUBSTITUTE(SUBSTITUTE(SUBSTITUTE(SUBSTITUTE(SUBSTITUTE(SUBSTITUTE(SUBSTITUTE(SUBSTITUTE($D245&amp;""," ",""),"　",""),"(주)",""),"（주）",""),"㈜",""),"주식회사",""),"(유)",""),"（유）",""),"유한회사",""))&lt;2,"",SUBSTITUTE(SUBSTITUTE(SUBSTITUTE(SUBSTITUTE(SUBSTITUTE(SUBSTITUTE(SUBSTITUTE(SUBSTITUTE(SUBSTITUTE($D245&amp;""," ",""),"　",""),"(주)",""),"（주）",""),"㈜",""),"주식회사",""),"(유)",""),"（유）",""),"유한회사",""))</f>
        <v/>
      </c>
    </row>
    <row r="246">
      <c r="A246" s="35" t="n"/>
      <c r="B246" s="35" t="n"/>
      <c r="C246" s="35" t="n"/>
      <c r="D246" s="35" t="n"/>
      <c r="E246" s="36" t="n"/>
      <c r="F246" s="35" t="n"/>
      <c r="G246" s="35" t="n"/>
      <c r="I246" s="31">
        <f>IF(TRIM($A246&amp;"")="","",IF(ISNUMBER(--SUBSTITUTE(SUBSTITUTE(TRIM($A246&amp;""),"-","")," ","")),SUBSTITUTE(SUBSTITUTE(TRIM($A246&amp;""),"-","")," ",""),"N:"&amp;TRIM($A246&amp;"")))</f>
        <v/>
      </c>
      <c r="J246" s="31">
        <f>IF(LEN(SUBSTITUTE(SUBSTITUTE(SUBSTITUTE(SUBSTITUTE(SUBSTITUTE(SUBSTITUTE(SUBSTITUTE(SUBSTITUTE(SUBSTITUTE($C246&amp;""," ",""),"　",""),"(주)",""),"（주）",""),"㈜",""),"주식회사",""),"(유)",""),"（유）",""),"유한회사",""))&lt;2,"",SUBSTITUTE(SUBSTITUTE(SUBSTITUTE(SUBSTITUTE(SUBSTITUTE(SUBSTITUTE(SUBSTITUTE(SUBSTITUTE(SUBSTITUTE($C246&amp;""," ",""),"　",""),"(주)",""),"（주）",""),"㈜",""),"주식회사",""),"(유)",""),"（유）",""),"유한회사",""))</f>
        <v/>
      </c>
      <c r="K246" s="31">
        <f>IF(LEN(SUBSTITUTE(SUBSTITUTE(SUBSTITUTE(SUBSTITUTE(SUBSTITUTE(SUBSTITUTE(SUBSTITUTE(SUBSTITUTE(SUBSTITUTE($D246&amp;""," ",""),"　",""),"(주)",""),"（주）",""),"㈜",""),"주식회사",""),"(유)",""),"（유）",""),"유한회사",""))&lt;2,"",SUBSTITUTE(SUBSTITUTE(SUBSTITUTE(SUBSTITUTE(SUBSTITUTE(SUBSTITUTE(SUBSTITUTE(SUBSTITUTE(SUBSTITUTE($D246&amp;""," ",""),"　",""),"(주)",""),"（주）",""),"㈜",""),"주식회사",""),"(유)",""),"（유）",""),"유한회사",""))</f>
        <v/>
      </c>
    </row>
    <row r="247">
      <c r="A247" s="35" t="n"/>
      <c r="B247" s="35" t="n"/>
      <c r="C247" s="35" t="n"/>
      <c r="D247" s="35" t="n"/>
      <c r="E247" s="36" t="n"/>
      <c r="F247" s="35" t="n"/>
      <c r="G247" s="35" t="n"/>
      <c r="I247" s="31">
        <f>IF(TRIM($A247&amp;"")="","",IF(ISNUMBER(--SUBSTITUTE(SUBSTITUTE(TRIM($A247&amp;""),"-","")," ","")),SUBSTITUTE(SUBSTITUTE(TRIM($A247&amp;""),"-","")," ",""),"N:"&amp;TRIM($A247&amp;"")))</f>
        <v/>
      </c>
      <c r="J247" s="31">
        <f>IF(LEN(SUBSTITUTE(SUBSTITUTE(SUBSTITUTE(SUBSTITUTE(SUBSTITUTE(SUBSTITUTE(SUBSTITUTE(SUBSTITUTE(SUBSTITUTE($C247&amp;""," ",""),"　",""),"(주)",""),"（주）",""),"㈜",""),"주식회사",""),"(유)",""),"（유）",""),"유한회사",""))&lt;2,"",SUBSTITUTE(SUBSTITUTE(SUBSTITUTE(SUBSTITUTE(SUBSTITUTE(SUBSTITUTE(SUBSTITUTE(SUBSTITUTE(SUBSTITUTE($C247&amp;""," ",""),"　",""),"(주)",""),"（주）",""),"㈜",""),"주식회사",""),"(유)",""),"（유）",""),"유한회사",""))</f>
        <v/>
      </c>
      <c r="K247" s="31">
        <f>IF(LEN(SUBSTITUTE(SUBSTITUTE(SUBSTITUTE(SUBSTITUTE(SUBSTITUTE(SUBSTITUTE(SUBSTITUTE(SUBSTITUTE(SUBSTITUTE($D247&amp;""," ",""),"　",""),"(주)",""),"（주）",""),"㈜",""),"주식회사",""),"(유)",""),"（유）",""),"유한회사",""))&lt;2,"",SUBSTITUTE(SUBSTITUTE(SUBSTITUTE(SUBSTITUTE(SUBSTITUTE(SUBSTITUTE(SUBSTITUTE(SUBSTITUTE(SUBSTITUTE($D247&amp;""," ",""),"　",""),"(주)",""),"（주）",""),"㈜",""),"주식회사",""),"(유)",""),"（유）",""),"유한회사",""))</f>
        <v/>
      </c>
    </row>
    <row r="248">
      <c r="A248" s="35" t="n"/>
      <c r="B248" s="35" t="n"/>
      <c r="C248" s="35" t="n"/>
      <c r="D248" s="35" t="n"/>
      <c r="E248" s="36" t="n"/>
      <c r="F248" s="35" t="n"/>
      <c r="G248" s="35" t="n"/>
      <c r="I248" s="31">
        <f>IF(TRIM($A248&amp;"")="","",IF(ISNUMBER(--SUBSTITUTE(SUBSTITUTE(TRIM($A248&amp;""),"-","")," ","")),SUBSTITUTE(SUBSTITUTE(TRIM($A248&amp;""),"-","")," ",""),"N:"&amp;TRIM($A248&amp;"")))</f>
        <v/>
      </c>
      <c r="J248" s="31">
        <f>IF(LEN(SUBSTITUTE(SUBSTITUTE(SUBSTITUTE(SUBSTITUTE(SUBSTITUTE(SUBSTITUTE(SUBSTITUTE(SUBSTITUTE(SUBSTITUTE($C248&amp;""," ",""),"　",""),"(주)",""),"（주）",""),"㈜",""),"주식회사",""),"(유)",""),"（유）",""),"유한회사",""))&lt;2,"",SUBSTITUTE(SUBSTITUTE(SUBSTITUTE(SUBSTITUTE(SUBSTITUTE(SUBSTITUTE(SUBSTITUTE(SUBSTITUTE(SUBSTITUTE($C248&amp;""," ",""),"　",""),"(주)",""),"（주）",""),"㈜",""),"주식회사",""),"(유)",""),"（유）",""),"유한회사",""))</f>
        <v/>
      </c>
      <c r="K248" s="31">
        <f>IF(LEN(SUBSTITUTE(SUBSTITUTE(SUBSTITUTE(SUBSTITUTE(SUBSTITUTE(SUBSTITUTE(SUBSTITUTE(SUBSTITUTE(SUBSTITUTE($D248&amp;""," ",""),"　",""),"(주)",""),"（주）",""),"㈜",""),"주식회사",""),"(유)",""),"（유）",""),"유한회사",""))&lt;2,"",SUBSTITUTE(SUBSTITUTE(SUBSTITUTE(SUBSTITUTE(SUBSTITUTE(SUBSTITUTE(SUBSTITUTE(SUBSTITUTE(SUBSTITUTE($D248&amp;""," ",""),"　",""),"(주)",""),"（주）",""),"㈜",""),"주식회사",""),"(유)",""),"（유）",""),"유한회사",""))</f>
        <v/>
      </c>
    </row>
    <row r="249">
      <c r="A249" s="35" t="n"/>
      <c r="B249" s="35" t="n"/>
      <c r="C249" s="35" t="n"/>
      <c r="D249" s="35" t="n"/>
      <c r="E249" s="36" t="n"/>
      <c r="F249" s="35" t="n"/>
      <c r="G249" s="35" t="n"/>
      <c r="I249" s="31">
        <f>IF(TRIM($A249&amp;"")="","",IF(ISNUMBER(--SUBSTITUTE(SUBSTITUTE(TRIM($A249&amp;""),"-","")," ","")),SUBSTITUTE(SUBSTITUTE(TRIM($A249&amp;""),"-","")," ",""),"N:"&amp;TRIM($A249&amp;"")))</f>
        <v/>
      </c>
      <c r="J249" s="31">
        <f>IF(LEN(SUBSTITUTE(SUBSTITUTE(SUBSTITUTE(SUBSTITUTE(SUBSTITUTE(SUBSTITUTE(SUBSTITUTE(SUBSTITUTE(SUBSTITUTE($C249&amp;""," ",""),"　",""),"(주)",""),"（주）",""),"㈜",""),"주식회사",""),"(유)",""),"（유）",""),"유한회사",""))&lt;2,"",SUBSTITUTE(SUBSTITUTE(SUBSTITUTE(SUBSTITUTE(SUBSTITUTE(SUBSTITUTE(SUBSTITUTE(SUBSTITUTE(SUBSTITUTE($C249&amp;""," ",""),"　",""),"(주)",""),"（주）",""),"㈜",""),"주식회사",""),"(유)",""),"（유）",""),"유한회사",""))</f>
        <v/>
      </c>
      <c r="K249" s="31">
        <f>IF(LEN(SUBSTITUTE(SUBSTITUTE(SUBSTITUTE(SUBSTITUTE(SUBSTITUTE(SUBSTITUTE(SUBSTITUTE(SUBSTITUTE(SUBSTITUTE($D249&amp;""," ",""),"　",""),"(주)",""),"（주）",""),"㈜",""),"주식회사",""),"(유)",""),"（유）",""),"유한회사",""))&lt;2,"",SUBSTITUTE(SUBSTITUTE(SUBSTITUTE(SUBSTITUTE(SUBSTITUTE(SUBSTITUTE(SUBSTITUTE(SUBSTITUTE(SUBSTITUTE($D249&amp;""," ",""),"　",""),"(주)",""),"（주）",""),"㈜",""),"주식회사",""),"(유)",""),"（유）",""),"유한회사",""))</f>
        <v/>
      </c>
    </row>
    <row r="250">
      <c r="A250" s="35" t="n"/>
      <c r="B250" s="35" t="n"/>
      <c r="C250" s="35" t="n"/>
      <c r="D250" s="35" t="n"/>
      <c r="E250" s="36" t="n"/>
      <c r="F250" s="35" t="n"/>
      <c r="G250" s="35" t="n"/>
      <c r="I250" s="31">
        <f>IF(TRIM($A250&amp;"")="","",IF(ISNUMBER(--SUBSTITUTE(SUBSTITUTE(TRIM($A250&amp;""),"-","")," ","")),SUBSTITUTE(SUBSTITUTE(TRIM($A250&amp;""),"-","")," ",""),"N:"&amp;TRIM($A250&amp;"")))</f>
        <v/>
      </c>
      <c r="J250" s="31">
        <f>IF(LEN(SUBSTITUTE(SUBSTITUTE(SUBSTITUTE(SUBSTITUTE(SUBSTITUTE(SUBSTITUTE(SUBSTITUTE(SUBSTITUTE(SUBSTITUTE($C250&amp;""," ",""),"　",""),"(주)",""),"（주）",""),"㈜",""),"주식회사",""),"(유)",""),"（유）",""),"유한회사",""))&lt;2,"",SUBSTITUTE(SUBSTITUTE(SUBSTITUTE(SUBSTITUTE(SUBSTITUTE(SUBSTITUTE(SUBSTITUTE(SUBSTITUTE(SUBSTITUTE($C250&amp;""," ",""),"　",""),"(주)",""),"（주）",""),"㈜",""),"주식회사",""),"(유)",""),"（유）",""),"유한회사",""))</f>
        <v/>
      </c>
      <c r="K250" s="31">
        <f>IF(LEN(SUBSTITUTE(SUBSTITUTE(SUBSTITUTE(SUBSTITUTE(SUBSTITUTE(SUBSTITUTE(SUBSTITUTE(SUBSTITUTE(SUBSTITUTE($D250&amp;""," ",""),"　",""),"(주)",""),"（주）",""),"㈜",""),"주식회사",""),"(유)",""),"（유）",""),"유한회사",""))&lt;2,"",SUBSTITUTE(SUBSTITUTE(SUBSTITUTE(SUBSTITUTE(SUBSTITUTE(SUBSTITUTE(SUBSTITUTE(SUBSTITUTE(SUBSTITUTE($D250&amp;""," ",""),"　",""),"(주)",""),"（주）",""),"㈜",""),"주식회사",""),"(유)",""),"（유）",""),"유한회사",""))</f>
        <v/>
      </c>
    </row>
    <row r="251">
      <c r="A251" s="35" t="n"/>
      <c r="B251" s="35" t="n"/>
      <c r="C251" s="35" t="n"/>
      <c r="D251" s="35" t="n"/>
      <c r="E251" s="36" t="n"/>
      <c r="F251" s="35" t="n"/>
      <c r="G251" s="35" t="n"/>
      <c r="I251" s="31">
        <f>IF(TRIM($A251&amp;"")="","",IF(ISNUMBER(--SUBSTITUTE(SUBSTITUTE(TRIM($A251&amp;""),"-","")," ","")),SUBSTITUTE(SUBSTITUTE(TRIM($A251&amp;""),"-","")," ",""),"N:"&amp;TRIM($A251&amp;"")))</f>
        <v/>
      </c>
      <c r="J251" s="31">
        <f>IF(LEN(SUBSTITUTE(SUBSTITUTE(SUBSTITUTE(SUBSTITUTE(SUBSTITUTE(SUBSTITUTE(SUBSTITUTE(SUBSTITUTE(SUBSTITUTE($C251&amp;""," ",""),"　",""),"(주)",""),"（주）",""),"㈜",""),"주식회사",""),"(유)",""),"（유）",""),"유한회사",""))&lt;2,"",SUBSTITUTE(SUBSTITUTE(SUBSTITUTE(SUBSTITUTE(SUBSTITUTE(SUBSTITUTE(SUBSTITUTE(SUBSTITUTE(SUBSTITUTE($C251&amp;""," ",""),"　",""),"(주)",""),"（주）",""),"㈜",""),"주식회사",""),"(유)",""),"（유）",""),"유한회사",""))</f>
        <v/>
      </c>
      <c r="K251" s="31">
        <f>IF(LEN(SUBSTITUTE(SUBSTITUTE(SUBSTITUTE(SUBSTITUTE(SUBSTITUTE(SUBSTITUTE(SUBSTITUTE(SUBSTITUTE(SUBSTITUTE($D251&amp;""," ",""),"　",""),"(주)",""),"（주）",""),"㈜",""),"주식회사",""),"(유)",""),"（유）",""),"유한회사",""))&lt;2,"",SUBSTITUTE(SUBSTITUTE(SUBSTITUTE(SUBSTITUTE(SUBSTITUTE(SUBSTITUTE(SUBSTITUTE(SUBSTITUTE(SUBSTITUTE($D251&amp;""," ",""),"　",""),"(주)",""),"（주）",""),"㈜",""),"주식회사",""),"(유)",""),"（유）",""),"유한회사",""))</f>
        <v/>
      </c>
    </row>
    <row r="252">
      <c r="A252" s="35" t="n"/>
      <c r="B252" s="35" t="n"/>
      <c r="C252" s="35" t="n"/>
      <c r="D252" s="35" t="n"/>
      <c r="E252" s="36" t="n"/>
      <c r="F252" s="35" t="n"/>
      <c r="G252" s="35" t="n"/>
      <c r="I252" s="31">
        <f>IF(TRIM($A252&amp;"")="","",IF(ISNUMBER(--SUBSTITUTE(SUBSTITUTE(TRIM($A252&amp;""),"-","")," ","")),SUBSTITUTE(SUBSTITUTE(TRIM($A252&amp;""),"-","")," ",""),"N:"&amp;TRIM($A252&amp;"")))</f>
        <v/>
      </c>
      <c r="J252" s="31">
        <f>IF(LEN(SUBSTITUTE(SUBSTITUTE(SUBSTITUTE(SUBSTITUTE(SUBSTITUTE(SUBSTITUTE(SUBSTITUTE(SUBSTITUTE(SUBSTITUTE($C252&amp;""," ",""),"　",""),"(주)",""),"（주）",""),"㈜",""),"주식회사",""),"(유)",""),"（유）",""),"유한회사",""))&lt;2,"",SUBSTITUTE(SUBSTITUTE(SUBSTITUTE(SUBSTITUTE(SUBSTITUTE(SUBSTITUTE(SUBSTITUTE(SUBSTITUTE(SUBSTITUTE($C252&amp;""," ",""),"　",""),"(주)",""),"（주）",""),"㈜",""),"주식회사",""),"(유)",""),"（유）",""),"유한회사",""))</f>
        <v/>
      </c>
      <c r="K252" s="31">
        <f>IF(LEN(SUBSTITUTE(SUBSTITUTE(SUBSTITUTE(SUBSTITUTE(SUBSTITUTE(SUBSTITUTE(SUBSTITUTE(SUBSTITUTE(SUBSTITUTE($D252&amp;""," ",""),"　",""),"(주)",""),"（주）",""),"㈜",""),"주식회사",""),"(유)",""),"（유）",""),"유한회사",""))&lt;2,"",SUBSTITUTE(SUBSTITUTE(SUBSTITUTE(SUBSTITUTE(SUBSTITUTE(SUBSTITUTE(SUBSTITUTE(SUBSTITUTE(SUBSTITUTE($D252&amp;""," ",""),"　",""),"(주)",""),"（주）",""),"㈜",""),"주식회사",""),"(유)",""),"（유）",""),"유한회사",""))</f>
        <v/>
      </c>
    </row>
    <row r="253">
      <c r="A253" s="35" t="n"/>
      <c r="B253" s="35" t="n"/>
      <c r="C253" s="35" t="n"/>
      <c r="D253" s="35" t="n"/>
      <c r="E253" s="36" t="n"/>
      <c r="F253" s="35" t="n"/>
      <c r="G253" s="35" t="n"/>
      <c r="I253" s="31">
        <f>IF(TRIM($A253&amp;"")="","",IF(ISNUMBER(--SUBSTITUTE(SUBSTITUTE(TRIM($A253&amp;""),"-","")," ","")),SUBSTITUTE(SUBSTITUTE(TRIM($A253&amp;""),"-","")," ",""),"N:"&amp;TRIM($A253&amp;"")))</f>
        <v/>
      </c>
      <c r="J253" s="31">
        <f>IF(LEN(SUBSTITUTE(SUBSTITUTE(SUBSTITUTE(SUBSTITUTE(SUBSTITUTE(SUBSTITUTE(SUBSTITUTE(SUBSTITUTE(SUBSTITUTE($C253&amp;""," ",""),"　",""),"(주)",""),"（주）",""),"㈜",""),"주식회사",""),"(유)",""),"（유）",""),"유한회사",""))&lt;2,"",SUBSTITUTE(SUBSTITUTE(SUBSTITUTE(SUBSTITUTE(SUBSTITUTE(SUBSTITUTE(SUBSTITUTE(SUBSTITUTE(SUBSTITUTE($C253&amp;""," ",""),"　",""),"(주)",""),"（주）",""),"㈜",""),"주식회사",""),"(유)",""),"（유）",""),"유한회사",""))</f>
        <v/>
      </c>
      <c r="K253" s="31">
        <f>IF(LEN(SUBSTITUTE(SUBSTITUTE(SUBSTITUTE(SUBSTITUTE(SUBSTITUTE(SUBSTITUTE(SUBSTITUTE(SUBSTITUTE(SUBSTITUTE($D253&amp;""," ",""),"　",""),"(주)",""),"（주）",""),"㈜",""),"주식회사",""),"(유)",""),"（유）",""),"유한회사",""))&lt;2,"",SUBSTITUTE(SUBSTITUTE(SUBSTITUTE(SUBSTITUTE(SUBSTITUTE(SUBSTITUTE(SUBSTITUTE(SUBSTITUTE(SUBSTITUTE($D253&amp;""," ",""),"　",""),"(주)",""),"（주）",""),"㈜",""),"주식회사",""),"(유)",""),"（유）",""),"유한회사",""))</f>
        <v/>
      </c>
    </row>
    <row r="254">
      <c r="A254" s="35" t="n"/>
      <c r="B254" s="35" t="n"/>
      <c r="C254" s="35" t="n"/>
      <c r="D254" s="35" t="n"/>
      <c r="E254" s="36" t="n"/>
      <c r="F254" s="35" t="n"/>
      <c r="G254" s="35" t="n"/>
      <c r="I254" s="31">
        <f>IF(TRIM($A254&amp;"")="","",IF(ISNUMBER(--SUBSTITUTE(SUBSTITUTE(TRIM($A254&amp;""),"-","")," ","")),SUBSTITUTE(SUBSTITUTE(TRIM($A254&amp;""),"-","")," ",""),"N:"&amp;TRIM($A254&amp;"")))</f>
        <v/>
      </c>
      <c r="J254" s="31">
        <f>IF(LEN(SUBSTITUTE(SUBSTITUTE(SUBSTITUTE(SUBSTITUTE(SUBSTITUTE(SUBSTITUTE(SUBSTITUTE(SUBSTITUTE(SUBSTITUTE($C254&amp;""," ",""),"　",""),"(주)",""),"（주）",""),"㈜",""),"주식회사",""),"(유)",""),"（유）",""),"유한회사",""))&lt;2,"",SUBSTITUTE(SUBSTITUTE(SUBSTITUTE(SUBSTITUTE(SUBSTITUTE(SUBSTITUTE(SUBSTITUTE(SUBSTITUTE(SUBSTITUTE($C254&amp;""," ",""),"　",""),"(주)",""),"（주）",""),"㈜",""),"주식회사",""),"(유)",""),"（유）",""),"유한회사",""))</f>
        <v/>
      </c>
      <c r="K254" s="31">
        <f>IF(LEN(SUBSTITUTE(SUBSTITUTE(SUBSTITUTE(SUBSTITUTE(SUBSTITUTE(SUBSTITUTE(SUBSTITUTE(SUBSTITUTE(SUBSTITUTE($D254&amp;""," ",""),"　",""),"(주)",""),"（주）",""),"㈜",""),"주식회사",""),"(유)",""),"（유）",""),"유한회사",""))&lt;2,"",SUBSTITUTE(SUBSTITUTE(SUBSTITUTE(SUBSTITUTE(SUBSTITUTE(SUBSTITUTE(SUBSTITUTE(SUBSTITUTE(SUBSTITUTE($D254&amp;""," ",""),"　",""),"(주)",""),"（주）",""),"㈜",""),"주식회사",""),"(유)",""),"（유）",""),"유한회사",""))</f>
        <v/>
      </c>
    </row>
    <row r="255">
      <c r="A255" s="35" t="n"/>
      <c r="B255" s="35" t="n"/>
      <c r="C255" s="35" t="n"/>
      <c r="D255" s="35" t="n"/>
      <c r="E255" s="36" t="n"/>
      <c r="F255" s="35" t="n"/>
      <c r="G255" s="35" t="n"/>
      <c r="I255" s="31">
        <f>IF(TRIM($A255&amp;"")="","",IF(ISNUMBER(--SUBSTITUTE(SUBSTITUTE(TRIM($A255&amp;""),"-","")," ","")),SUBSTITUTE(SUBSTITUTE(TRIM($A255&amp;""),"-","")," ",""),"N:"&amp;TRIM($A255&amp;"")))</f>
        <v/>
      </c>
      <c r="J255" s="31">
        <f>IF(LEN(SUBSTITUTE(SUBSTITUTE(SUBSTITUTE(SUBSTITUTE(SUBSTITUTE(SUBSTITUTE(SUBSTITUTE(SUBSTITUTE(SUBSTITUTE($C255&amp;""," ",""),"　",""),"(주)",""),"（주）",""),"㈜",""),"주식회사",""),"(유)",""),"（유）",""),"유한회사",""))&lt;2,"",SUBSTITUTE(SUBSTITUTE(SUBSTITUTE(SUBSTITUTE(SUBSTITUTE(SUBSTITUTE(SUBSTITUTE(SUBSTITUTE(SUBSTITUTE($C255&amp;""," ",""),"　",""),"(주)",""),"（주）",""),"㈜",""),"주식회사",""),"(유)",""),"（유）",""),"유한회사",""))</f>
        <v/>
      </c>
      <c r="K255" s="31">
        <f>IF(LEN(SUBSTITUTE(SUBSTITUTE(SUBSTITUTE(SUBSTITUTE(SUBSTITUTE(SUBSTITUTE(SUBSTITUTE(SUBSTITUTE(SUBSTITUTE($D255&amp;""," ",""),"　",""),"(주)",""),"（주）",""),"㈜",""),"주식회사",""),"(유)",""),"（유）",""),"유한회사",""))&lt;2,"",SUBSTITUTE(SUBSTITUTE(SUBSTITUTE(SUBSTITUTE(SUBSTITUTE(SUBSTITUTE(SUBSTITUTE(SUBSTITUTE(SUBSTITUTE($D255&amp;""," ",""),"　",""),"(주)",""),"（주）",""),"㈜",""),"주식회사",""),"(유)",""),"（유）",""),"유한회사",""))</f>
        <v/>
      </c>
    </row>
    <row r="256">
      <c r="A256" s="35" t="n"/>
      <c r="B256" s="35" t="n"/>
      <c r="C256" s="35" t="n"/>
      <c r="D256" s="35" t="n"/>
      <c r="E256" s="36" t="n"/>
      <c r="F256" s="35" t="n"/>
      <c r="G256" s="35" t="n"/>
      <c r="I256" s="31">
        <f>IF(TRIM($A256&amp;"")="","",IF(ISNUMBER(--SUBSTITUTE(SUBSTITUTE(TRIM($A256&amp;""),"-","")," ","")),SUBSTITUTE(SUBSTITUTE(TRIM($A256&amp;""),"-","")," ",""),"N:"&amp;TRIM($A256&amp;"")))</f>
        <v/>
      </c>
      <c r="J256" s="31">
        <f>IF(LEN(SUBSTITUTE(SUBSTITUTE(SUBSTITUTE(SUBSTITUTE(SUBSTITUTE(SUBSTITUTE(SUBSTITUTE(SUBSTITUTE(SUBSTITUTE($C256&amp;""," ",""),"　",""),"(주)",""),"（주）",""),"㈜",""),"주식회사",""),"(유)",""),"（유）",""),"유한회사",""))&lt;2,"",SUBSTITUTE(SUBSTITUTE(SUBSTITUTE(SUBSTITUTE(SUBSTITUTE(SUBSTITUTE(SUBSTITUTE(SUBSTITUTE(SUBSTITUTE($C256&amp;""," ",""),"　",""),"(주)",""),"（주）",""),"㈜",""),"주식회사",""),"(유)",""),"（유）",""),"유한회사",""))</f>
        <v/>
      </c>
      <c r="K256" s="31">
        <f>IF(LEN(SUBSTITUTE(SUBSTITUTE(SUBSTITUTE(SUBSTITUTE(SUBSTITUTE(SUBSTITUTE(SUBSTITUTE(SUBSTITUTE(SUBSTITUTE($D256&amp;""," ",""),"　",""),"(주)",""),"（주）",""),"㈜",""),"주식회사",""),"(유)",""),"（유）",""),"유한회사",""))&lt;2,"",SUBSTITUTE(SUBSTITUTE(SUBSTITUTE(SUBSTITUTE(SUBSTITUTE(SUBSTITUTE(SUBSTITUTE(SUBSTITUTE(SUBSTITUTE($D256&amp;""," ",""),"　",""),"(주)",""),"（주）",""),"㈜",""),"주식회사",""),"(유)",""),"（유）",""),"유한회사",""))</f>
        <v/>
      </c>
    </row>
    <row r="257">
      <c r="A257" s="35" t="n"/>
      <c r="B257" s="35" t="n"/>
      <c r="C257" s="35" t="n"/>
      <c r="D257" s="35" t="n"/>
      <c r="E257" s="36" t="n"/>
      <c r="F257" s="35" t="n"/>
      <c r="G257" s="35" t="n"/>
      <c r="I257" s="31">
        <f>IF(TRIM($A257&amp;"")="","",IF(ISNUMBER(--SUBSTITUTE(SUBSTITUTE(TRIM($A257&amp;""),"-","")," ","")),SUBSTITUTE(SUBSTITUTE(TRIM($A257&amp;""),"-","")," ",""),"N:"&amp;TRIM($A257&amp;"")))</f>
        <v/>
      </c>
      <c r="J257" s="31">
        <f>IF(LEN(SUBSTITUTE(SUBSTITUTE(SUBSTITUTE(SUBSTITUTE(SUBSTITUTE(SUBSTITUTE(SUBSTITUTE(SUBSTITUTE(SUBSTITUTE($C257&amp;""," ",""),"　",""),"(주)",""),"（주）",""),"㈜",""),"주식회사",""),"(유)",""),"（유）",""),"유한회사",""))&lt;2,"",SUBSTITUTE(SUBSTITUTE(SUBSTITUTE(SUBSTITUTE(SUBSTITUTE(SUBSTITUTE(SUBSTITUTE(SUBSTITUTE(SUBSTITUTE($C257&amp;""," ",""),"　",""),"(주)",""),"（주）",""),"㈜",""),"주식회사",""),"(유)",""),"（유）",""),"유한회사",""))</f>
        <v/>
      </c>
      <c r="K257" s="31">
        <f>IF(LEN(SUBSTITUTE(SUBSTITUTE(SUBSTITUTE(SUBSTITUTE(SUBSTITUTE(SUBSTITUTE(SUBSTITUTE(SUBSTITUTE(SUBSTITUTE($D257&amp;""," ",""),"　",""),"(주)",""),"（주）",""),"㈜",""),"주식회사",""),"(유)",""),"（유）",""),"유한회사",""))&lt;2,"",SUBSTITUTE(SUBSTITUTE(SUBSTITUTE(SUBSTITUTE(SUBSTITUTE(SUBSTITUTE(SUBSTITUTE(SUBSTITUTE(SUBSTITUTE($D257&amp;""," ",""),"　",""),"(주)",""),"（주）",""),"㈜",""),"주식회사",""),"(유)",""),"（유）",""),"유한회사",""))</f>
        <v/>
      </c>
    </row>
    <row r="258">
      <c r="A258" s="35" t="n"/>
      <c r="B258" s="35" t="n"/>
      <c r="C258" s="35" t="n"/>
      <c r="D258" s="35" t="n"/>
      <c r="E258" s="36" t="n"/>
      <c r="F258" s="35" t="n"/>
      <c r="G258" s="35" t="n"/>
      <c r="I258" s="31">
        <f>IF(TRIM($A258&amp;"")="","",IF(ISNUMBER(--SUBSTITUTE(SUBSTITUTE(TRIM($A258&amp;""),"-","")," ","")),SUBSTITUTE(SUBSTITUTE(TRIM($A258&amp;""),"-","")," ",""),"N:"&amp;TRIM($A258&amp;"")))</f>
        <v/>
      </c>
      <c r="J258" s="31">
        <f>IF(LEN(SUBSTITUTE(SUBSTITUTE(SUBSTITUTE(SUBSTITUTE(SUBSTITUTE(SUBSTITUTE(SUBSTITUTE(SUBSTITUTE(SUBSTITUTE($C258&amp;""," ",""),"　",""),"(주)",""),"（주）",""),"㈜",""),"주식회사",""),"(유)",""),"（유）",""),"유한회사",""))&lt;2,"",SUBSTITUTE(SUBSTITUTE(SUBSTITUTE(SUBSTITUTE(SUBSTITUTE(SUBSTITUTE(SUBSTITUTE(SUBSTITUTE(SUBSTITUTE($C258&amp;""," ",""),"　",""),"(주)",""),"（주）",""),"㈜",""),"주식회사",""),"(유)",""),"（유）",""),"유한회사",""))</f>
        <v/>
      </c>
      <c r="K258" s="31">
        <f>IF(LEN(SUBSTITUTE(SUBSTITUTE(SUBSTITUTE(SUBSTITUTE(SUBSTITUTE(SUBSTITUTE(SUBSTITUTE(SUBSTITUTE(SUBSTITUTE($D258&amp;""," ",""),"　",""),"(주)",""),"（주）",""),"㈜",""),"주식회사",""),"(유)",""),"（유）",""),"유한회사",""))&lt;2,"",SUBSTITUTE(SUBSTITUTE(SUBSTITUTE(SUBSTITUTE(SUBSTITUTE(SUBSTITUTE(SUBSTITUTE(SUBSTITUTE(SUBSTITUTE($D258&amp;""," ",""),"　",""),"(주)",""),"（주）",""),"㈜",""),"주식회사",""),"(유)",""),"（유）",""),"유한회사",""))</f>
        <v/>
      </c>
    </row>
    <row r="259">
      <c r="A259" s="35" t="n"/>
      <c r="B259" s="35" t="n"/>
      <c r="C259" s="35" t="n"/>
      <c r="D259" s="35" t="n"/>
      <c r="E259" s="36" t="n"/>
      <c r="F259" s="35" t="n"/>
      <c r="G259" s="35" t="n"/>
      <c r="I259" s="31">
        <f>IF(TRIM($A259&amp;"")="","",IF(ISNUMBER(--SUBSTITUTE(SUBSTITUTE(TRIM($A259&amp;""),"-","")," ","")),SUBSTITUTE(SUBSTITUTE(TRIM($A259&amp;""),"-","")," ",""),"N:"&amp;TRIM($A259&amp;"")))</f>
        <v/>
      </c>
      <c r="J259" s="31">
        <f>IF(LEN(SUBSTITUTE(SUBSTITUTE(SUBSTITUTE(SUBSTITUTE(SUBSTITUTE(SUBSTITUTE(SUBSTITUTE(SUBSTITUTE(SUBSTITUTE($C259&amp;""," ",""),"　",""),"(주)",""),"（주）",""),"㈜",""),"주식회사",""),"(유)",""),"（유）",""),"유한회사",""))&lt;2,"",SUBSTITUTE(SUBSTITUTE(SUBSTITUTE(SUBSTITUTE(SUBSTITUTE(SUBSTITUTE(SUBSTITUTE(SUBSTITUTE(SUBSTITUTE($C259&amp;""," ",""),"　",""),"(주)",""),"（주）",""),"㈜",""),"주식회사",""),"(유)",""),"（유）",""),"유한회사",""))</f>
        <v/>
      </c>
      <c r="K259" s="31">
        <f>IF(LEN(SUBSTITUTE(SUBSTITUTE(SUBSTITUTE(SUBSTITUTE(SUBSTITUTE(SUBSTITUTE(SUBSTITUTE(SUBSTITUTE(SUBSTITUTE($D259&amp;""," ",""),"　",""),"(주)",""),"（주）",""),"㈜",""),"주식회사",""),"(유)",""),"（유）",""),"유한회사",""))&lt;2,"",SUBSTITUTE(SUBSTITUTE(SUBSTITUTE(SUBSTITUTE(SUBSTITUTE(SUBSTITUTE(SUBSTITUTE(SUBSTITUTE(SUBSTITUTE($D259&amp;""," ",""),"　",""),"(주)",""),"（주）",""),"㈜",""),"주식회사",""),"(유)",""),"（유）",""),"유한회사",""))</f>
        <v/>
      </c>
    </row>
    <row r="260">
      <c r="A260" s="35" t="n"/>
      <c r="B260" s="35" t="n"/>
      <c r="C260" s="35" t="n"/>
      <c r="D260" s="35" t="n"/>
      <c r="E260" s="36" t="n"/>
      <c r="F260" s="35" t="n"/>
      <c r="G260" s="35" t="n"/>
      <c r="I260" s="31">
        <f>IF(TRIM($A260&amp;"")="","",IF(ISNUMBER(--SUBSTITUTE(SUBSTITUTE(TRIM($A260&amp;""),"-","")," ","")),SUBSTITUTE(SUBSTITUTE(TRIM($A260&amp;""),"-","")," ",""),"N:"&amp;TRIM($A260&amp;"")))</f>
        <v/>
      </c>
      <c r="J260" s="31">
        <f>IF(LEN(SUBSTITUTE(SUBSTITUTE(SUBSTITUTE(SUBSTITUTE(SUBSTITUTE(SUBSTITUTE(SUBSTITUTE(SUBSTITUTE(SUBSTITUTE($C260&amp;""," ",""),"　",""),"(주)",""),"（주）",""),"㈜",""),"주식회사",""),"(유)",""),"（유）",""),"유한회사",""))&lt;2,"",SUBSTITUTE(SUBSTITUTE(SUBSTITUTE(SUBSTITUTE(SUBSTITUTE(SUBSTITUTE(SUBSTITUTE(SUBSTITUTE(SUBSTITUTE($C260&amp;""," ",""),"　",""),"(주)",""),"（주）",""),"㈜",""),"주식회사",""),"(유)",""),"（유）",""),"유한회사",""))</f>
        <v/>
      </c>
      <c r="K260" s="31">
        <f>IF(LEN(SUBSTITUTE(SUBSTITUTE(SUBSTITUTE(SUBSTITUTE(SUBSTITUTE(SUBSTITUTE(SUBSTITUTE(SUBSTITUTE(SUBSTITUTE($D260&amp;""," ",""),"　",""),"(주)",""),"（주）",""),"㈜",""),"주식회사",""),"(유)",""),"（유）",""),"유한회사",""))&lt;2,"",SUBSTITUTE(SUBSTITUTE(SUBSTITUTE(SUBSTITUTE(SUBSTITUTE(SUBSTITUTE(SUBSTITUTE(SUBSTITUTE(SUBSTITUTE($D260&amp;""," ",""),"　",""),"(주)",""),"（주）",""),"㈜",""),"주식회사",""),"(유)",""),"（유）",""),"유한회사",""))</f>
        <v/>
      </c>
    </row>
    <row r="261">
      <c r="A261" s="35" t="n"/>
      <c r="B261" s="35" t="n"/>
      <c r="C261" s="35" t="n"/>
      <c r="D261" s="35" t="n"/>
      <c r="E261" s="36" t="n"/>
      <c r="F261" s="35" t="n"/>
      <c r="G261" s="35" t="n"/>
      <c r="I261" s="31">
        <f>IF(TRIM($A261&amp;"")="","",IF(ISNUMBER(--SUBSTITUTE(SUBSTITUTE(TRIM($A261&amp;""),"-","")," ","")),SUBSTITUTE(SUBSTITUTE(TRIM($A261&amp;""),"-","")," ",""),"N:"&amp;TRIM($A261&amp;"")))</f>
        <v/>
      </c>
      <c r="J261" s="31">
        <f>IF(LEN(SUBSTITUTE(SUBSTITUTE(SUBSTITUTE(SUBSTITUTE(SUBSTITUTE(SUBSTITUTE(SUBSTITUTE(SUBSTITUTE(SUBSTITUTE($C261&amp;""," ",""),"　",""),"(주)",""),"（주）",""),"㈜",""),"주식회사",""),"(유)",""),"（유）",""),"유한회사",""))&lt;2,"",SUBSTITUTE(SUBSTITUTE(SUBSTITUTE(SUBSTITUTE(SUBSTITUTE(SUBSTITUTE(SUBSTITUTE(SUBSTITUTE(SUBSTITUTE($C261&amp;""," ",""),"　",""),"(주)",""),"（주）",""),"㈜",""),"주식회사",""),"(유)",""),"（유）",""),"유한회사",""))</f>
        <v/>
      </c>
      <c r="K261" s="31">
        <f>IF(LEN(SUBSTITUTE(SUBSTITUTE(SUBSTITUTE(SUBSTITUTE(SUBSTITUTE(SUBSTITUTE(SUBSTITUTE(SUBSTITUTE(SUBSTITUTE($D261&amp;""," ",""),"　",""),"(주)",""),"（주）",""),"㈜",""),"주식회사",""),"(유)",""),"（유）",""),"유한회사",""))&lt;2,"",SUBSTITUTE(SUBSTITUTE(SUBSTITUTE(SUBSTITUTE(SUBSTITUTE(SUBSTITUTE(SUBSTITUTE(SUBSTITUTE(SUBSTITUTE($D261&amp;""," ",""),"　",""),"(주)",""),"（주）",""),"㈜",""),"주식회사",""),"(유)",""),"（유）",""),"유한회사",""))</f>
        <v/>
      </c>
    </row>
    <row r="262">
      <c r="A262" s="35" t="n"/>
      <c r="B262" s="35" t="n"/>
      <c r="C262" s="35" t="n"/>
      <c r="D262" s="35" t="n"/>
      <c r="E262" s="36" t="n"/>
      <c r="F262" s="35" t="n"/>
      <c r="G262" s="35" t="n"/>
      <c r="I262" s="31">
        <f>IF(TRIM($A262&amp;"")="","",IF(ISNUMBER(--SUBSTITUTE(SUBSTITUTE(TRIM($A262&amp;""),"-","")," ","")),SUBSTITUTE(SUBSTITUTE(TRIM($A262&amp;""),"-","")," ",""),"N:"&amp;TRIM($A262&amp;"")))</f>
        <v/>
      </c>
      <c r="J262" s="31">
        <f>IF(LEN(SUBSTITUTE(SUBSTITUTE(SUBSTITUTE(SUBSTITUTE(SUBSTITUTE(SUBSTITUTE(SUBSTITUTE(SUBSTITUTE(SUBSTITUTE($C262&amp;""," ",""),"　",""),"(주)",""),"（주）",""),"㈜",""),"주식회사",""),"(유)",""),"（유）",""),"유한회사",""))&lt;2,"",SUBSTITUTE(SUBSTITUTE(SUBSTITUTE(SUBSTITUTE(SUBSTITUTE(SUBSTITUTE(SUBSTITUTE(SUBSTITUTE(SUBSTITUTE($C262&amp;""," ",""),"　",""),"(주)",""),"（주）",""),"㈜",""),"주식회사",""),"(유)",""),"（유）",""),"유한회사",""))</f>
        <v/>
      </c>
      <c r="K262" s="31">
        <f>IF(LEN(SUBSTITUTE(SUBSTITUTE(SUBSTITUTE(SUBSTITUTE(SUBSTITUTE(SUBSTITUTE(SUBSTITUTE(SUBSTITUTE(SUBSTITUTE($D262&amp;""," ",""),"　",""),"(주)",""),"（주）",""),"㈜",""),"주식회사",""),"(유)",""),"（유）",""),"유한회사",""))&lt;2,"",SUBSTITUTE(SUBSTITUTE(SUBSTITUTE(SUBSTITUTE(SUBSTITUTE(SUBSTITUTE(SUBSTITUTE(SUBSTITUTE(SUBSTITUTE($D262&amp;""," ",""),"　",""),"(주)",""),"（주）",""),"㈜",""),"주식회사",""),"(유)",""),"（유）",""),"유한회사",""))</f>
        <v/>
      </c>
    </row>
    <row r="263">
      <c r="A263" s="35" t="n"/>
      <c r="B263" s="35" t="n"/>
      <c r="C263" s="35" t="n"/>
      <c r="D263" s="35" t="n"/>
      <c r="E263" s="36" t="n"/>
      <c r="F263" s="35" t="n"/>
      <c r="G263" s="35" t="n"/>
      <c r="I263" s="31">
        <f>IF(TRIM($A263&amp;"")="","",IF(ISNUMBER(--SUBSTITUTE(SUBSTITUTE(TRIM($A263&amp;""),"-","")," ","")),SUBSTITUTE(SUBSTITUTE(TRIM($A263&amp;""),"-","")," ",""),"N:"&amp;TRIM($A263&amp;"")))</f>
        <v/>
      </c>
      <c r="J263" s="31">
        <f>IF(LEN(SUBSTITUTE(SUBSTITUTE(SUBSTITUTE(SUBSTITUTE(SUBSTITUTE(SUBSTITUTE(SUBSTITUTE(SUBSTITUTE(SUBSTITUTE($C263&amp;""," ",""),"　",""),"(주)",""),"（주）",""),"㈜",""),"주식회사",""),"(유)",""),"（유）",""),"유한회사",""))&lt;2,"",SUBSTITUTE(SUBSTITUTE(SUBSTITUTE(SUBSTITUTE(SUBSTITUTE(SUBSTITUTE(SUBSTITUTE(SUBSTITUTE(SUBSTITUTE($C263&amp;""," ",""),"　",""),"(주)",""),"（주）",""),"㈜",""),"주식회사",""),"(유)",""),"（유）",""),"유한회사",""))</f>
        <v/>
      </c>
      <c r="K263" s="31">
        <f>IF(LEN(SUBSTITUTE(SUBSTITUTE(SUBSTITUTE(SUBSTITUTE(SUBSTITUTE(SUBSTITUTE(SUBSTITUTE(SUBSTITUTE(SUBSTITUTE($D263&amp;""," ",""),"　",""),"(주)",""),"（주）",""),"㈜",""),"주식회사",""),"(유)",""),"（유）",""),"유한회사",""))&lt;2,"",SUBSTITUTE(SUBSTITUTE(SUBSTITUTE(SUBSTITUTE(SUBSTITUTE(SUBSTITUTE(SUBSTITUTE(SUBSTITUTE(SUBSTITUTE($D263&amp;""," ",""),"　",""),"(주)",""),"（주）",""),"㈜",""),"주식회사",""),"(유)",""),"（유）",""),"유한회사",""))</f>
        <v/>
      </c>
    </row>
    <row r="264">
      <c r="A264" s="35" t="n"/>
      <c r="B264" s="35" t="n"/>
      <c r="C264" s="35" t="n"/>
      <c r="D264" s="35" t="n"/>
      <c r="E264" s="36" t="n"/>
      <c r="F264" s="35" t="n"/>
      <c r="G264" s="35" t="n"/>
      <c r="I264" s="31">
        <f>IF(TRIM($A264&amp;"")="","",IF(ISNUMBER(--SUBSTITUTE(SUBSTITUTE(TRIM($A264&amp;""),"-","")," ","")),SUBSTITUTE(SUBSTITUTE(TRIM($A264&amp;""),"-","")," ",""),"N:"&amp;TRIM($A264&amp;"")))</f>
        <v/>
      </c>
      <c r="J264" s="31">
        <f>IF(LEN(SUBSTITUTE(SUBSTITUTE(SUBSTITUTE(SUBSTITUTE(SUBSTITUTE(SUBSTITUTE(SUBSTITUTE(SUBSTITUTE(SUBSTITUTE($C264&amp;""," ",""),"　",""),"(주)",""),"（주）",""),"㈜",""),"주식회사",""),"(유)",""),"（유）",""),"유한회사",""))&lt;2,"",SUBSTITUTE(SUBSTITUTE(SUBSTITUTE(SUBSTITUTE(SUBSTITUTE(SUBSTITUTE(SUBSTITUTE(SUBSTITUTE(SUBSTITUTE($C264&amp;""," ",""),"　",""),"(주)",""),"（주）",""),"㈜",""),"주식회사",""),"(유)",""),"（유）",""),"유한회사",""))</f>
        <v/>
      </c>
      <c r="K264" s="31">
        <f>IF(LEN(SUBSTITUTE(SUBSTITUTE(SUBSTITUTE(SUBSTITUTE(SUBSTITUTE(SUBSTITUTE(SUBSTITUTE(SUBSTITUTE(SUBSTITUTE($D264&amp;""," ",""),"　",""),"(주)",""),"（주）",""),"㈜",""),"주식회사",""),"(유)",""),"（유）",""),"유한회사",""))&lt;2,"",SUBSTITUTE(SUBSTITUTE(SUBSTITUTE(SUBSTITUTE(SUBSTITUTE(SUBSTITUTE(SUBSTITUTE(SUBSTITUTE(SUBSTITUTE($D264&amp;""," ",""),"　",""),"(주)",""),"（주）",""),"㈜",""),"주식회사",""),"(유)",""),"（유）",""),"유한회사",""))</f>
        <v/>
      </c>
    </row>
    <row r="265">
      <c r="A265" s="35" t="n"/>
      <c r="B265" s="35" t="n"/>
      <c r="C265" s="35" t="n"/>
      <c r="D265" s="35" t="n"/>
      <c r="E265" s="36" t="n"/>
      <c r="F265" s="35" t="n"/>
      <c r="G265" s="35" t="n"/>
      <c r="I265" s="31">
        <f>IF(TRIM($A265&amp;"")="","",IF(ISNUMBER(--SUBSTITUTE(SUBSTITUTE(TRIM($A265&amp;""),"-","")," ","")),SUBSTITUTE(SUBSTITUTE(TRIM($A265&amp;""),"-","")," ",""),"N:"&amp;TRIM($A265&amp;"")))</f>
        <v/>
      </c>
      <c r="J265" s="31">
        <f>IF(LEN(SUBSTITUTE(SUBSTITUTE(SUBSTITUTE(SUBSTITUTE(SUBSTITUTE(SUBSTITUTE(SUBSTITUTE(SUBSTITUTE(SUBSTITUTE($C265&amp;""," ",""),"　",""),"(주)",""),"（주）",""),"㈜",""),"주식회사",""),"(유)",""),"（유）",""),"유한회사",""))&lt;2,"",SUBSTITUTE(SUBSTITUTE(SUBSTITUTE(SUBSTITUTE(SUBSTITUTE(SUBSTITUTE(SUBSTITUTE(SUBSTITUTE(SUBSTITUTE($C265&amp;""," ",""),"　",""),"(주)",""),"（주）",""),"㈜",""),"주식회사",""),"(유)",""),"（유）",""),"유한회사",""))</f>
        <v/>
      </c>
      <c r="K265" s="31">
        <f>IF(LEN(SUBSTITUTE(SUBSTITUTE(SUBSTITUTE(SUBSTITUTE(SUBSTITUTE(SUBSTITUTE(SUBSTITUTE(SUBSTITUTE(SUBSTITUTE($D265&amp;""," ",""),"　",""),"(주)",""),"（주）",""),"㈜",""),"주식회사",""),"(유)",""),"（유）",""),"유한회사",""))&lt;2,"",SUBSTITUTE(SUBSTITUTE(SUBSTITUTE(SUBSTITUTE(SUBSTITUTE(SUBSTITUTE(SUBSTITUTE(SUBSTITUTE(SUBSTITUTE($D265&amp;""," ",""),"　",""),"(주)",""),"（주）",""),"㈜",""),"주식회사",""),"(유)",""),"（유）",""),"유한회사",""))</f>
        <v/>
      </c>
    </row>
    <row r="266">
      <c r="A266" s="35" t="n"/>
      <c r="B266" s="35" t="n"/>
      <c r="C266" s="35" t="n"/>
      <c r="D266" s="35" t="n"/>
      <c r="E266" s="36" t="n"/>
      <c r="F266" s="35" t="n"/>
      <c r="G266" s="35" t="n"/>
      <c r="I266" s="31">
        <f>IF(TRIM($A266&amp;"")="","",IF(ISNUMBER(--SUBSTITUTE(SUBSTITUTE(TRIM($A266&amp;""),"-","")," ","")),SUBSTITUTE(SUBSTITUTE(TRIM($A266&amp;""),"-","")," ",""),"N:"&amp;TRIM($A266&amp;"")))</f>
        <v/>
      </c>
      <c r="J266" s="31">
        <f>IF(LEN(SUBSTITUTE(SUBSTITUTE(SUBSTITUTE(SUBSTITUTE(SUBSTITUTE(SUBSTITUTE(SUBSTITUTE(SUBSTITUTE(SUBSTITUTE($C266&amp;""," ",""),"　",""),"(주)",""),"（주）",""),"㈜",""),"주식회사",""),"(유)",""),"（유）",""),"유한회사",""))&lt;2,"",SUBSTITUTE(SUBSTITUTE(SUBSTITUTE(SUBSTITUTE(SUBSTITUTE(SUBSTITUTE(SUBSTITUTE(SUBSTITUTE(SUBSTITUTE($C266&amp;""," ",""),"　",""),"(주)",""),"（주）",""),"㈜",""),"주식회사",""),"(유)",""),"（유）",""),"유한회사",""))</f>
        <v/>
      </c>
      <c r="K266" s="31">
        <f>IF(LEN(SUBSTITUTE(SUBSTITUTE(SUBSTITUTE(SUBSTITUTE(SUBSTITUTE(SUBSTITUTE(SUBSTITUTE(SUBSTITUTE(SUBSTITUTE($D266&amp;""," ",""),"　",""),"(주)",""),"（주）",""),"㈜",""),"주식회사",""),"(유)",""),"（유）",""),"유한회사",""))&lt;2,"",SUBSTITUTE(SUBSTITUTE(SUBSTITUTE(SUBSTITUTE(SUBSTITUTE(SUBSTITUTE(SUBSTITUTE(SUBSTITUTE(SUBSTITUTE($D266&amp;""," ",""),"　",""),"(주)",""),"（주）",""),"㈜",""),"주식회사",""),"(유)",""),"（유）",""),"유한회사",""))</f>
        <v/>
      </c>
    </row>
    <row r="267">
      <c r="A267" s="35" t="n"/>
      <c r="B267" s="35" t="n"/>
      <c r="C267" s="35" t="n"/>
      <c r="D267" s="35" t="n"/>
      <c r="E267" s="36" t="n"/>
      <c r="F267" s="35" t="n"/>
      <c r="G267" s="35" t="n"/>
      <c r="I267" s="31">
        <f>IF(TRIM($A267&amp;"")="","",IF(ISNUMBER(--SUBSTITUTE(SUBSTITUTE(TRIM($A267&amp;""),"-","")," ","")),SUBSTITUTE(SUBSTITUTE(TRIM($A267&amp;""),"-","")," ",""),"N:"&amp;TRIM($A267&amp;"")))</f>
        <v/>
      </c>
      <c r="J267" s="31">
        <f>IF(LEN(SUBSTITUTE(SUBSTITUTE(SUBSTITUTE(SUBSTITUTE(SUBSTITUTE(SUBSTITUTE(SUBSTITUTE(SUBSTITUTE(SUBSTITUTE($C267&amp;""," ",""),"　",""),"(주)",""),"（주）",""),"㈜",""),"주식회사",""),"(유)",""),"（유）",""),"유한회사",""))&lt;2,"",SUBSTITUTE(SUBSTITUTE(SUBSTITUTE(SUBSTITUTE(SUBSTITUTE(SUBSTITUTE(SUBSTITUTE(SUBSTITUTE(SUBSTITUTE($C267&amp;""," ",""),"　",""),"(주)",""),"（주）",""),"㈜",""),"주식회사",""),"(유)",""),"（유）",""),"유한회사",""))</f>
        <v/>
      </c>
      <c r="K267" s="31">
        <f>IF(LEN(SUBSTITUTE(SUBSTITUTE(SUBSTITUTE(SUBSTITUTE(SUBSTITUTE(SUBSTITUTE(SUBSTITUTE(SUBSTITUTE(SUBSTITUTE($D267&amp;""," ",""),"　",""),"(주)",""),"（주）",""),"㈜",""),"주식회사",""),"(유)",""),"（유）",""),"유한회사",""))&lt;2,"",SUBSTITUTE(SUBSTITUTE(SUBSTITUTE(SUBSTITUTE(SUBSTITUTE(SUBSTITUTE(SUBSTITUTE(SUBSTITUTE(SUBSTITUTE($D267&amp;""," ",""),"　",""),"(주)",""),"（주）",""),"㈜",""),"주식회사",""),"(유)",""),"（유）",""),"유한회사",""))</f>
        <v/>
      </c>
    </row>
    <row r="268">
      <c r="A268" s="35" t="n"/>
      <c r="B268" s="35" t="n"/>
      <c r="C268" s="35" t="n"/>
      <c r="D268" s="35" t="n"/>
      <c r="E268" s="36" t="n"/>
      <c r="F268" s="35" t="n"/>
      <c r="G268" s="35" t="n"/>
      <c r="I268" s="31">
        <f>IF(TRIM($A268&amp;"")="","",IF(ISNUMBER(--SUBSTITUTE(SUBSTITUTE(TRIM($A268&amp;""),"-","")," ","")),SUBSTITUTE(SUBSTITUTE(TRIM($A268&amp;""),"-","")," ",""),"N:"&amp;TRIM($A268&amp;"")))</f>
        <v/>
      </c>
      <c r="J268" s="31">
        <f>IF(LEN(SUBSTITUTE(SUBSTITUTE(SUBSTITUTE(SUBSTITUTE(SUBSTITUTE(SUBSTITUTE(SUBSTITUTE(SUBSTITUTE(SUBSTITUTE($C268&amp;""," ",""),"　",""),"(주)",""),"（주）",""),"㈜",""),"주식회사",""),"(유)",""),"（유）",""),"유한회사",""))&lt;2,"",SUBSTITUTE(SUBSTITUTE(SUBSTITUTE(SUBSTITUTE(SUBSTITUTE(SUBSTITUTE(SUBSTITUTE(SUBSTITUTE(SUBSTITUTE($C268&amp;""," ",""),"　",""),"(주)",""),"（주）",""),"㈜",""),"주식회사",""),"(유)",""),"（유）",""),"유한회사",""))</f>
        <v/>
      </c>
      <c r="K268" s="31">
        <f>IF(LEN(SUBSTITUTE(SUBSTITUTE(SUBSTITUTE(SUBSTITUTE(SUBSTITUTE(SUBSTITUTE(SUBSTITUTE(SUBSTITUTE(SUBSTITUTE($D268&amp;""," ",""),"　",""),"(주)",""),"（주）",""),"㈜",""),"주식회사",""),"(유)",""),"（유）",""),"유한회사",""))&lt;2,"",SUBSTITUTE(SUBSTITUTE(SUBSTITUTE(SUBSTITUTE(SUBSTITUTE(SUBSTITUTE(SUBSTITUTE(SUBSTITUTE(SUBSTITUTE($D268&amp;""," ",""),"　",""),"(주)",""),"（주）",""),"㈜",""),"주식회사",""),"(유)",""),"（유）",""),"유한회사",""))</f>
        <v/>
      </c>
    </row>
    <row r="269">
      <c r="A269" s="35" t="n"/>
      <c r="B269" s="35" t="n"/>
      <c r="C269" s="35" t="n"/>
      <c r="D269" s="35" t="n"/>
      <c r="E269" s="36" t="n"/>
      <c r="F269" s="35" t="n"/>
      <c r="G269" s="35" t="n"/>
      <c r="I269" s="31">
        <f>IF(TRIM($A269&amp;"")="","",IF(ISNUMBER(--SUBSTITUTE(SUBSTITUTE(TRIM($A269&amp;""),"-","")," ","")),SUBSTITUTE(SUBSTITUTE(TRIM($A269&amp;""),"-","")," ",""),"N:"&amp;TRIM($A269&amp;"")))</f>
        <v/>
      </c>
      <c r="J269" s="31">
        <f>IF(LEN(SUBSTITUTE(SUBSTITUTE(SUBSTITUTE(SUBSTITUTE(SUBSTITUTE(SUBSTITUTE(SUBSTITUTE(SUBSTITUTE(SUBSTITUTE($C269&amp;""," ",""),"　",""),"(주)",""),"（주）",""),"㈜",""),"주식회사",""),"(유)",""),"（유）",""),"유한회사",""))&lt;2,"",SUBSTITUTE(SUBSTITUTE(SUBSTITUTE(SUBSTITUTE(SUBSTITUTE(SUBSTITUTE(SUBSTITUTE(SUBSTITUTE(SUBSTITUTE($C269&amp;""," ",""),"　",""),"(주)",""),"（주）",""),"㈜",""),"주식회사",""),"(유)",""),"（유）",""),"유한회사",""))</f>
        <v/>
      </c>
      <c r="K269" s="31">
        <f>IF(LEN(SUBSTITUTE(SUBSTITUTE(SUBSTITUTE(SUBSTITUTE(SUBSTITUTE(SUBSTITUTE(SUBSTITUTE(SUBSTITUTE(SUBSTITUTE($D269&amp;""," ",""),"　",""),"(주)",""),"（주）",""),"㈜",""),"주식회사",""),"(유)",""),"（유）",""),"유한회사",""))&lt;2,"",SUBSTITUTE(SUBSTITUTE(SUBSTITUTE(SUBSTITUTE(SUBSTITUTE(SUBSTITUTE(SUBSTITUTE(SUBSTITUTE(SUBSTITUTE($D269&amp;""," ",""),"　",""),"(주)",""),"（주）",""),"㈜",""),"주식회사",""),"(유)",""),"（유）",""),"유한회사",""))</f>
        <v/>
      </c>
    </row>
    <row r="270">
      <c r="A270" s="35" t="n"/>
      <c r="B270" s="35" t="n"/>
      <c r="C270" s="35" t="n"/>
      <c r="D270" s="35" t="n"/>
      <c r="E270" s="36" t="n"/>
      <c r="F270" s="35" t="n"/>
      <c r="G270" s="35" t="n"/>
      <c r="I270" s="31">
        <f>IF(TRIM($A270&amp;"")="","",IF(ISNUMBER(--SUBSTITUTE(SUBSTITUTE(TRIM($A270&amp;""),"-","")," ","")),SUBSTITUTE(SUBSTITUTE(TRIM($A270&amp;""),"-","")," ",""),"N:"&amp;TRIM($A270&amp;"")))</f>
        <v/>
      </c>
      <c r="J270" s="31">
        <f>IF(LEN(SUBSTITUTE(SUBSTITUTE(SUBSTITUTE(SUBSTITUTE(SUBSTITUTE(SUBSTITUTE(SUBSTITUTE(SUBSTITUTE(SUBSTITUTE($C270&amp;""," ",""),"　",""),"(주)",""),"（주）",""),"㈜",""),"주식회사",""),"(유)",""),"（유）",""),"유한회사",""))&lt;2,"",SUBSTITUTE(SUBSTITUTE(SUBSTITUTE(SUBSTITUTE(SUBSTITUTE(SUBSTITUTE(SUBSTITUTE(SUBSTITUTE(SUBSTITUTE($C270&amp;""," ",""),"　",""),"(주)",""),"（주）",""),"㈜",""),"주식회사",""),"(유)",""),"（유）",""),"유한회사",""))</f>
        <v/>
      </c>
      <c r="K270" s="31">
        <f>IF(LEN(SUBSTITUTE(SUBSTITUTE(SUBSTITUTE(SUBSTITUTE(SUBSTITUTE(SUBSTITUTE(SUBSTITUTE(SUBSTITUTE(SUBSTITUTE($D270&amp;""," ",""),"　",""),"(주)",""),"（주）",""),"㈜",""),"주식회사",""),"(유)",""),"（유）",""),"유한회사",""))&lt;2,"",SUBSTITUTE(SUBSTITUTE(SUBSTITUTE(SUBSTITUTE(SUBSTITUTE(SUBSTITUTE(SUBSTITUTE(SUBSTITUTE(SUBSTITUTE($D270&amp;""," ",""),"　",""),"(주)",""),"（주）",""),"㈜",""),"주식회사",""),"(유)",""),"（유）",""),"유한회사",""))</f>
        <v/>
      </c>
    </row>
    <row r="271">
      <c r="A271" s="35" t="n"/>
      <c r="B271" s="35" t="n"/>
      <c r="C271" s="35" t="n"/>
      <c r="D271" s="35" t="n"/>
      <c r="E271" s="36" t="n"/>
      <c r="F271" s="35" t="n"/>
      <c r="G271" s="35" t="n"/>
      <c r="I271" s="31">
        <f>IF(TRIM($A271&amp;"")="","",IF(ISNUMBER(--SUBSTITUTE(SUBSTITUTE(TRIM($A271&amp;""),"-","")," ","")),SUBSTITUTE(SUBSTITUTE(TRIM($A271&amp;""),"-","")," ",""),"N:"&amp;TRIM($A271&amp;"")))</f>
        <v/>
      </c>
      <c r="J271" s="31">
        <f>IF(LEN(SUBSTITUTE(SUBSTITUTE(SUBSTITUTE(SUBSTITUTE(SUBSTITUTE(SUBSTITUTE(SUBSTITUTE(SUBSTITUTE(SUBSTITUTE($C271&amp;""," ",""),"　",""),"(주)",""),"（주）",""),"㈜",""),"주식회사",""),"(유)",""),"（유）",""),"유한회사",""))&lt;2,"",SUBSTITUTE(SUBSTITUTE(SUBSTITUTE(SUBSTITUTE(SUBSTITUTE(SUBSTITUTE(SUBSTITUTE(SUBSTITUTE(SUBSTITUTE($C271&amp;""," ",""),"　",""),"(주)",""),"（주）",""),"㈜",""),"주식회사",""),"(유)",""),"（유）",""),"유한회사",""))</f>
        <v/>
      </c>
      <c r="K271" s="31">
        <f>IF(LEN(SUBSTITUTE(SUBSTITUTE(SUBSTITUTE(SUBSTITUTE(SUBSTITUTE(SUBSTITUTE(SUBSTITUTE(SUBSTITUTE(SUBSTITUTE($D271&amp;""," ",""),"　",""),"(주)",""),"（주）",""),"㈜",""),"주식회사",""),"(유)",""),"（유）",""),"유한회사",""))&lt;2,"",SUBSTITUTE(SUBSTITUTE(SUBSTITUTE(SUBSTITUTE(SUBSTITUTE(SUBSTITUTE(SUBSTITUTE(SUBSTITUTE(SUBSTITUTE($D271&amp;""," ",""),"　",""),"(주)",""),"（주）",""),"㈜",""),"주식회사",""),"(유)",""),"（유）",""),"유한회사",""))</f>
        <v/>
      </c>
    </row>
    <row r="272">
      <c r="A272" s="35" t="n"/>
      <c r="B272" s="35" t="n"/>
      <c r="C272" s="35" t="n"/>
      <c r="D272" s="35" t="n"/>
      <c r="E272" s="36" t="n"/>
      <c r="F272" s="35" t="n"/>
      <c r="G272" s="35" t="n"/>
      <c r="I272" s="31">
        <f>IF(TRIM($A272&amp;"")="","",IF(ISNUMBER(--SUBSTITUTE(SUBSTITUTE(TRIM($A272&amp;""),"-","")," ","")),SUBSTITUTE(SUBSTITUTE(TRIM($A272&amp;""),"-","")," ",""),"N:"&amp;TRIM($A272&amp;"")))</f>
        <v/>
      </c>
      <c r="J272" s="31">
        <f>IF(LEN(SUBSTITUTE(SUBSTITUTE(SUBSTITUTE(SUBSTITUTE(SUBSTITUTE(SUBSTITUTE(SUBSTITUTE(SUBSTITUTE(SUBSTITUTE($C272&amp;""," ",""),"　",""),"(주)",""),"（주）",""),"㈜",""),"주식회사",""),"(유)",""),"（유）",""),"유한회사",""))&lt;2,"",SUBSTITUTE(SUBSTITUTE(SUBSTITUTE(SUBSTITUTE(SUBSTITUTE(SUBSTITUTE(SUBSTITUTE(SUBSTITUTE(SUBSTITUTE($C272&amp;""," ",""),"　",""),"(주)",""),"（주）",""),"㈜",""),"주식회사",""),"(유)",""),"（유）",""),"유한회사",""))</f>
        <v/>
      </c>
      <c r="K272" s="31">
        <f>IF(LEN(SUBSTITUTE(SUBSTITUTE(SUBSTITUTE(SUBSTITUTE(SUBSTITUTE(SUBSTITUTE(SUBSTITUTE(SUBSTITUTE(SUBSTITUTE($D272&amp;""," ",""),"　",""),"(주)",""),"（주）",""),"㈜",""),"주식회사",""),"(유)",""),"（유）",""),"유한회사",""))&lt;2,"",SUBSTITUTE(SUBSTITUTE(SUBSTITUTE(SUBSTITUTE(SUBSTITUTE(SUBSTITUTE(SUBSTITUTE(SUBSTITUTE(SUBSTITUTE($D272&amp;""," ",""),"　",""),"(주)",""),"（주）",""),"㈜",""),"주식회사",""),"(유)",""),"（유）",""),"유한회사",""))</f>
        <v/>
      </c>
    </row>
    <row r="273">
      <c r="A273" s="35" t="n"/>
      <c r="B273" s="35" t="n"/>
      <c r="C273" s="35" t="n"/>
      <c r="D273" s="35" t="n"/>
      <c r="E273" s="36" t="n"/>
      <c r="F273" s="35" t="n"/>
      <c r="G273" s="35" t="n"/>
      <c r="I273" s="31">
        <f>IF(TRIM($A273&amp;"")="","",IF(ISNUMBER(--SUBSTITUTE(SUBSTITUTE(TRIM($A273&amp;""),"-","")," ","")),SUBSTITUTE(SUBSTITUTE(TRIM($A273&amp;""),"-","")," ",""),"N:"&amp;TRIM($A273&amp;"")))</f>
        <v/>
      </c>
      <c r="J273" s="31">
        <f>IF(LEN(SUBSTITUTE(SUBSTITUTE(SUBSTITUTE(SUBSTITUTE(SUBSTITUTE(SUBSTITUTE(SUBSTITUTE(SUBSTITUTE(SUBSTITUTE($C273&amp;""," ",""),"　",""),"(주)",""),"（주）",""),"㈜",""),"주식회사",""),"(유)",""),"（유）",""),"유한회사",""))&lt;2,"",SUBSTITUTE(SUBSTITUTE(SUBSTITUTE(SUBSTITUTE(SUBSTITUTE(SUBSTITUTE(SUBSTITUTE(SUBSTITUTE(SUBSTITUTE($C273&amp;""," ",""),"　",""),"(주)",""),"（주）",""),"㈜",""),"주식회사",""),"(유)",""),"（유）",""),"유한회사",""))</f>
        <v/>
      </c>
      <c r="K273" s="31">
        <f>IF(LEN(SUBSTITUTE(SUBSTITUTE(SUBSTITUTE(SUBSTITUTE(SUBSTITUTE(SUBSTITUTE(SUBSTITUTE(SUBSTITUTE(SUBSTITUTE($D273&amp;""," ",""),"　",""),"(주)",""),"（주）",""),"㈜",""),"주식회사",""),"(유)",""),"（유）",""),"유한회사",""))&lt;2,"",SUBSTITUTE(SUBSTITUTE(SUBSTITUTE(SUBSTITUTE(SUBSTITUTE(SUBSTITUTE(SUBSTITUTE(SUBSTITUTE(SUBSTITUTE($D273&amp;""," ",""),"　",""),"(주)",""),"（주）",""),"㈜",""),"주식회사",""),"(유)",""),"（유）",""),"유한회사",""))</f>
        <v/>
      </c>
    </row>
    <row r="274">
      <c r="A274" s="35" t="n"/>
      <c r="B274" s="35" t="n"/>
      <c r="C274" s="35" t="n"/>
      <c r="D274" s="35" t="n"/>
      <c r="E274" s="36" t="n"/>
      <c r="F274" s="35" t="n"/>
      <c r="G274" s="35" t="n"/>
      <c r="I274" s="31">
        <f>IF(TRIM($A274&amp;"")="","",IF(ISNUMBER(--SUBSTITUTE(SUBSTITUTE(TRIM($A274&amp;""),"-","")," ","")),SUBSTITUTE(SUBSTITUTE(TRIM($A274&amp;""),"-","")," ",""),"N:"&amp;TRIM($A274&amp;"")))</f>
        <v/>
      </c>
      <c r="J274" s="31">
        <f>IF(LEN(SUBSTITUTE(SUBSTITUTE(SUBSTITUTE(SUBSTITUTE(SUBSTITUTE(SUBSTITUTE(SUBSTITUTE(SUBSTITUTE(SUBSTITUTE($C274&amp;""," ",""),"　",""),"(주)",""),"（주）",""),"㈜",""),"주식회사",""),"(유)",""),"（유）",""),"유한회사",""))&lt;2,"",SUBSTITUTE(SUBSTITUTE(SUBSTITUTE(SUBSTITUTE(SUBSTITUTE(SUBSTITUTE(SUBSTITUTE(SUBSTITUTE(SUBSTITUTE($C274&amp;""," ",""),"　",""),"(주)",""),"（주）",""),"㈜",""),"주식회사",""),"(유)",""),"（유）",""),"유한회사",""))</f>
        <v/>
      </c>
      <c r="K274" s="31">
        <f>IF(LEN(SUBSTITUTE(SUBSTITUTE(SUBSTITUTE(SUBSTITUTE(SUBSTITUTE(SUBSTITUTE(SUBSTITUTE(SUBSTITUTE(SUBSTITUTE($D274&amp;""," ",""),"　",""),"(주)",""),"（주）",""),"㈜",""),"주식회사",""),"(유)",""),"（유）",""),"유한회사",""))&lt;2,"",SUBSTITUTE(SUBSTITUTE(SUBSTITUTE(SUBSTITUTE(SUBSTITUTE(SUBSTITUTE(SUBSTITUTE(SUBSTITUTE(SUBSTITUTE($D274&amp;""," ",""),"　",""),"(주)",""),"（주）",""),"㈜",""),"주식회사",""),"(유)",""),"（유）",""),"유한회사",""))</f>
        <v/>
      </c>
    </row>
    <row r="275">
      <c r="A275" s="35" t="n"/>
      <c r="B275" s="35" t="n"/>
      <c r="C275" s="35" t="n"/>
      <c r="D275" s="35" t="n"/>
      <c r="E275" s="36" t="n"/>
      <c r="F275" s="35" t="n"/>
      <c r="G275" s="35" t="n"/>
      <c r="I275" s="31">
        <f>IF(TRIM($A275&amp;"")="","",IF(ISNUMBER(--SUBSTITUTE(SUBSTITUTE(TRIM($A275&amp;""),"-","")," ","")),SUBSTITUTE(SUBSTITUTE(TRIM($A275&amp;""),"-","")," ",""),"N:"&amp;TRIM($A275&amp;"")))</f>
        <v/>
      </c>
      <c r="J275" s="31">
        <f>IF(LEN(SUBSTITUTE(SUBSTITUTE(SUBSTITUTE(SUBSTITUTE(SUBSTITUTE(SUBSTITUTE(SUBSTITUTE(SUBSTITUTE(SUBSTITUTE($C275&amp;""," ",""),"　",""),"(주)",""),"（주）",""),"㈜",""),"주식회사",""),"(유)",""),"（유）",""),"유한회사",""))&lt;2,"",SUBSTITUTE(SUBSTITUTE(SUBSTITUTE(SUBSTITUTE(SUBSTITUTE(SUBSTITUTE(SUBSTITUTE(SUBSTITUTE(SUBSTITUTE($C275&amp;""," ",""),"　",""),"(주)",""),"（주）",""),"㈜",""),"주식회사",""),"(유)",""),"（유）",""),"유한회사",""))</f>
        <v/>
      </c>
      <c r="K275" s="31">
        <f>IF(LEN(SUBSTITUTE(SUBSTITUTE(SUBSTITUTE(SUBSTITUTE(SUBSTITUTE(SUBSTITUTE(SUBSTITUTE(SUBSTITUTE(SUBSTITUTE($D275&amp;""," ",""),"　",""),"(주)",""),"（주）",""),"㈜",""),"주식회사",""),"(유)",""),"（유）",""),"유한회사",""))&lt;2,"",SUBSTITUTE(SUBSTITUTE(SUBSTITUTE(SUBSTITUTE(SUBSTITUTE(SUBSTITUTE(SUBSTITUTE(SUBSTITUTE(SUBSTITUTE($D275&amp;""," ",""),"　",""),"(주)",""),"（주）",""),"㈜",""),"주식회사",""),"(유)",""),"（유）",""),"유한회사",""))</f>
        <v/>
      </c>
    </row>
    <row r="276">
      <c r="A276" s="35" t="n"/>
      <c r="B276" s="35" t="n"/>
      <c r="C276" s="35" t="n"/>
      <c r="D276" s="35" t="n"/>
      <c r="E276" s="36" t="n"/>
      <c r="F276" s="35" t="n"/>
      <c r="G276" s="35" t="n"/>
      <c r="I276" s="31">
        <f>IF(TRIM($A276&amp;"")="","",IF(ISNUMBER(--SUBSTITUTE(SUBSTITUTE(TRIM($A276&amp;""),"-","")," ","")),SUBSTITUTE(SUBSTITUTE(TRIM($A276&amp;""),"-","")," ",""),"N:"&amp;TRIM($A276&amp;"")))</f>
        <v/>
      </c>
      <c r="J276" s="31">
        <f>IF(LEN(SUBSTITUTE(SUBSTITUTE(SUBSTITUTE(SUBSTITUTE(SUBSTITUTE(SUBSTITUTE(SUBSTITUTE(SUBSTITUTE(SUBSTITUTE($C276&amp;""," ",""),"　",""),"(주)",""),"（주）",""),"㈜",""),"주식회사",""),"(유)",""),"（유）",""),"유한회사",""))&lt;2,"",SUBSTITUTE(SUBSTITUTE(SUBSTITUTE(SUBSTITUTE(SUBSTITUTE(SUBSTITUTE(SUBSTITUTE(SUBSTITUTE(SUBSTITUTE($C276&amp;""," ",""),"　",""),"(주)",""),"（주）",""),"㈜",""),"주식회사",""),"(유)",""),"（유）",""),"유한회사",""))</f>
        <v/>
      </c>
      <c r="K276" s="31">
        <f>IF(LEN(SUBSTITUTE(SUBSTITUTE(SUBSTITUTE(SUBSTITUTE(SUBSTITUTE(SUBSTITUTE(SUBSTITUTE(SUBSTITUTE(SUBSTITUTE($D276&amp;""," ",""),"　",""),"(주)",""),"（주）",""),"㈜",""),"주식회사",""),"(유)",""),"（유）",""),"유한회사",""))&lt;2,"",SUBSTITUTE(SUBSTITUTE(SUBSTITUTE(SUBSTITUTE(SUBSTITUTE(SUBSTITUTE(SUBSTITUTE(SUBSTITUTE(SUBSTITUTE($D276&amp;""," ",""),"　",""),"(주)",""),"（주）",""),"㈜",""),"주식회사",""),"(유)",""),"（유）",""),"유한회사",""))</f>
        <v/>
      </c>
    </row>
    <row r="277">
      <c r="A277" s="35" t="n"/>
      <c r="B277" s="35" t="n"/>
      <c r="C277" s="35" t="n"/>
      <c r="D277" s="35" t="n"/>
      <c r="E277" s="36" t="n"/>
      <c r="F277" s="35" t="n"/>
      <c r="G277" s="35" t="n"/>
      <c r="I277" s="31">
        <f>IF(TRIM($A277&amp;"")="","",IF(ISNUMBER(--SUBSTITUTE(SUBSTITUTE(TRIM($A277&amp;""),"-","")," ","")),SUBSTITUTE(SUBSTITUTE(TRIM($A277&amp;""),"-","")," ",""),"N:"&amp;TRIM($A277&amp;"")))</f>
        <v/>
      </c>
      <c r="J277" s="31">
        <f>IF(LEN(SUBSTITUTE(SUBSTITUTE(SUBSTITUTE(SUBSTITUTE(SUBSTITUTE(SUBSTITUTE(SUBSTITUTE(SUBSTITUTE(SUBSTITUTE($C277&amp;""," ",""),"　",""),"(주)",""),"（주）",""),"㈜",""),"주식회사",""),"(유)",""),"（유）",""),"유한회사",""))&lt;2,"",SUBSTITUTE(SUBSTITUTE(SUBSTITUTE(SUBSTITUTE(SUBSTITUTE(SUBSTITUTE(SUBSTITUTE(SUBSTITUTE(SUBSTITUTE($C277&amp;""," ",""),"　",""),"(주)",""),"（주）",""),"㈜",""),"주식회사",""),"(유)",""),"（유）",""),"유한회사",""))</f>
        <v/>
      </c>
      <c r="K277" s="31">
        <f>IF(LEN(SUBSTITUTE(SUBSTITUTE(SUBSTITUTE(SUBSTITUTE(SUBSTITUTE(SUBSTITUTE(SUBSTITUTE(SUBSTITUTE(SUBSTITUTE($D277&amp;""," ",""),"　",""),"(주)",""),"（주）",""),"㈜",""),"주식회사",""),"(유)",""),"（유）",""),"유한회사",""))&lt;2,"",SUBSTITUTE(SUBSTITUTE(SUBSTITUTE(SUBSTITUTE(SUBSTITUTE(SUBSTITUTE(SUBSTITUTE(SUBSTITUTE(SUBSTITUTE($D277&amp;""," ",""),"　",""),"(주)",""),"（주）",""),"㈜",""),"주식회사",""),"(유)",""),"（유）",""),"유한회사",""))</f>
        <v/>
      </c>
    </row>
    <row r="278">
      <c r="A278" s="35" t="n"/>
      <c r="B278" s="35" t="n"/>
      <c r="C278" s="35" t="n"/>
      <c r="D278" s="35" t="n"/>
      <c r="E278" s="36" t="n"/>
      <c r="F278" s="35" t="n"/>
      <c r="G278" s="35" t="n"/>
      <c r="I278" s="31">
        <f>IF(TRIM($A278&amp;"")="","",IF(ISNUMBER(--SUBSTITUTE(SUBSTITUTE(TRIM($A278&amp;""),"-","")," ","")),SUBSTITUTE(SUBSTITUTE(TRIM($A278&amp;""),"-","")," ",""),"N:"&amp;TRIM($A278&amp;"")))</f>
        <v/>
      </c>
      <c r="J278" s="31">
        <f>IF(LEN(SUBSTITUTE(SUBSTITUTE(SUBSTITUTE(SUBSTITUTE(SUBSTITUTE(SUBSTITUTE(SUBSTITUTE(SUBSTITUTE(SUBSTITUTE($C278&amp;""," ",""),"　",""),"(주)",""),"（주）",""),"㈜",""),"주식회사",""),"(유)",""),"（유）",""),"유한회사",""))&lt;2,"",SUBSTITUTE(SUBSTITUTE(SUBSTITUTE(SUBSTITUTE(SUBSTITUTE(SUBSTITUTE(SUBSTITUTE(SUBSTITUTE(SUBSTITUTE($C278&amp;""," ",""),"　",""),"(주)",""),"（주）",""),"㈜",""),"주식회사",""),"(유)",""),"（유）",""),"유한회사",""))</f>
        <v/>
      </c>
      <c r="K278" s="31">
        <f>IF(LEN(SUBSTITUTE(SUBSTITUTE(SUBSTITUTE(SUBSTITUTE(SUBSTITUTE(SUBSTITUTE(SUBSTITUTE(SUBSTITUTE(SUBSTITUTE($D278&amp;""," ",""),"　",""),"(주)",""),"（주）",""),"㈜",""),"주식회사",""),"(유)",""),"（유）",""),"유한회사",""))&lt;2,"",SUBSTITUTE(SUBSTITUTE(SUBSTITUTE(SUBSTITUTE(SUBSTITUTE(SUBSTITUTE(SUBSTITUTE(SUBSTITUTE(SUBSTITUTE($D278&amp;""," ",""),"　",""),"(주)",""),"（주）",""),"㈜",""),"주식회사",""),"(유)",""),"（유）",""),"유한회사",""))</f>
        <v/>
      </c>
    </row>
    <row r="279">
      <c r="A279" s="35" t="n"/>
      <c r="B279" s="35" t="n"/>
      <c r="C279" s="35" t="n"/>
      <c r="D279" s="35" t="n"/>
      <c r="E279" s="36" t="n"/>
      <c r="F279" s="35" t="n"/>
      <c r="G279" s="35" t="n"/>
      <c r="I279" s="31">
        <f>IF(TRIM($A279&amp;"")="","",IF(ISNUMBER(--SUBSTITUTE(SUBSTITUTE(TRIM($A279&amp;""),"-","")," ","")),SUBSTITUTE(SUBSTITUTE(TRIM($A279&amp;""),"-","")," ",""),"N:"&amp;TRIM($A279&amp;"")))</f>
        <v/>
      </c>
      <c r="J279" s="31">
        <f>IF(LEN(SUBSTITUTE(SUBSTITUTE(SUBSTITUTE(SUBSTITUTE(SUBSTITUTE(SUBSTITUTE(SUBSTITUTE(SUBSTITUTE(SUBSTITUTE($C279&amp;""," ",""),"　",""),"(주)",""),"（주）",""),"㈜",""),"주식회사",""),"(유)",""),"（유）",""),"유한회사",""))&lt;2,"",SUBSTITUTE(SUBSTITUTE(SUBSTITUTE(SUBSTITUTE(SUBSTITUTE(SUBSTITUTE(SUBSTITUTE(SUBSTITUTE(SUBSTITUTE($C279&amp;""," ",""),"　",""),"(주)",""),"（주）",""),"㈜",""),"주식회사",""),"(유)",""),"（유）",""),"유한회사",""))</f>
        <v/>
      </c>
      <c r="K279" s="31">
        <f>IF(LEN(SUBSTITUTE(SUBSTITUTE(SUBSTITUTE(SUBSTITUTE(SUBSTITUTE(SUBSTITUTE(SUBSTITUTE(SUBSTITUTE(SUBSTITUTE($D279&amp;""," ",""),"　",""),"(주)",""),"（주）",""),"㈜",""),"주식회사",""),"(유)",""),"（유）",""),"유한회사",""))&lt;2,"",SUBSTITUTE(SUBSTITUTE(SUBSTITUTE(SUBSTITUTE(SUBSTITUTE(SUBSTITUTE(SUBSTITUTE(SUBSTITUTE(SUBSTITUTE($D279&amp;""," ",""),"　",""),"(주)",""),"（주）",""),"㈜",""),"주식회사",""),"(유)",""),"（유）",""),"유한회사",""))</f>
        <v/>
      </c>
    </row>
    <row r="280">
      <c r="A280" s="35" t="n"/>
      <c r="B280" s="35" t="n"/>
      <c r="C280" s="35" t="n"/>
      <c r="D280" s="35" t="n"/>
      <c r="E280" s="36" t="n"/>
      <c r="F280" s="35" t="n"/>
      <c r="G280" s="35" t="n"/>
      <c r="I280" s="31">
        <f>IF(TRIM($A280&amp;"")="","",IF(ISNUMBER(--SUBSTITUTE(SUBSTITUTE(TRIM($A280&amp;""),"-","")," ","")),SUBSTITUTE(SUBSTITUTE(TRIM($A280&amp;""),"-","")," ",""),"N:"&amp;TRIM($A280&amp;"")))</f>
        <v/>
      </c>
      <c r="J280" s="31">
        <f>IF(LEN(SUBSTITUTE(SUBSTITUTE(SUBSTITUTE(SUBSTITUTE(SUBSTITUTE(SUBSTITUTE(SUBSTITUTE(SUBSTITUTE(SUBSTITUTE($C280&amp;""," ",""),"　",""),"(주)",""),"（주）",""),"㈜",""),"주식회사",""),"(유)",""),"（유）",""),"유한회사",""))&lt;2,"",SUBSTITUTE(SUBSTITUTE(SUBSTITUTE(SUBSTITUTE(SUBSTITUTE(SUBSTITUTE(SUBSTITUTE(SUBSTITUTE(SUBSTITUTE($C280&amp;""," ",""),"　",""),"(주)",""),"（주）",""),"㈜",""),"주식회사",""),"(유)",""),"（유）",""),"유한회사",""))</f>
        <v/>
      </c>
      <c r="K280" s="31">
        <f>IF(LEN(SUBSTITUTE(SUBSTITUTE(SUBSTITUTE(SUBSTITUTE(SUBSTITUTE(SUBSTITUTE(SUBSTITUTE(SUBSTITUTE(SUBSTITUTE($D280&amp;""," ",""),"　",""),"(주)",""),"（주）",""),"㈜",""),"주식회사",""),"(유)",""),"（유）",""),"유한회사",""))&lt;2,"",SUBSTITUTE(SUBSTITUTE(SUBSTITUTE(SUBSTITUTE(SUBSTITUTE(SUBSTITUTE(SUBSTITUTE(SUBSTITUTE(SUBSTITUTE($D280&amp;""," ",""),"　",""),"(주)",""),"（주）",""),"㈜",""),"주식회사",""),"(유)",""),"（유）",""),"유한회사",""))</f>
        <v/>
      </c>
    </row>
    <row r="281">
      <c r="A281" s="35" t="n"/>
      <c r="B281" s="35" t="n"/>
      <c r="C281" s="35" t="n"/>
      <c r="D281" s="35" t="n"/>
      <c r="E281" s="36" t="n"/>
      <c r="F281" s="35" t="n"/>
      <c r="G281" s="35" t="n"/>
      <c r="I281" s="31">
        <f>IF(TRIM($A281&amp;"")="","",IF(ISNUMBER(--SUBSTITUTE(SUBSTITUTE(TRIM($A281&amp;""),"-","")," ","")),SUBSTITUTE(SUBSTITUTE(TRIM($A281&amp;""),"-","")," ",""),"N:"&amp;TRIM($A281&amp;"")))</f>
        <v/>
      </c>
      <c r="J281" s="31">
        <f>IF(LEN(SUBSTITUTE(SUBSTITUTE(SUBSTITUTE(SUBSTITUTE(SUBSTITUTE(SUBSTITUTE(SUBSTITUTE(SUBSTITUTE(SUBSTITUTE($C281&amp;""," ",""),"　",""),"(주)",""),"（주）",""),"㈜",""),"주식회사",""),"(유)",""),"（유）",""),"유한회사",""))&lt;2,"",SUBSTITUTE(SUBSTITUTE(SUBSTITUTE(SUBSTITUTE(SUBSTITUTE(SUBSTITUTE(SUBSTITUTE(SUBSTITUTE(SUBSTITUTE($C281&amp;""," ",""),"　",""),"(주)",""),"（주）",""),"㈜",""),"주식회사",""),"(유)",""),"（유）",""),"유한회사",""))</f>
        <v/>
      </c>
      <c r="K281" s="31">
        <f>IF(LEN(SUBSTITUTE(SUBSTITUTE(SUBSTITUTE(SUBSTITUTE(SUBSTITUTE(SUBSTITUTE(SUBSTITUTE(SUBSTITUTE(SUBSTITUTE($D281&amp;""," ",""),"　",""),"(주)",""),"（주）",""),"㈜",""),"주식회사",""),"(유)",""),"（유）",""),"유한회사",""))&lt;2,"",SUBSTITUTE(SUBSTITUTE(SUBSTITUTE(SUBSTITUTE(SUBSTITUTE(SUBSTITUTE(SUBSTITUTE(SUBSTITUTE(SUBSTITUTE($D281&amp;""," ",""),"　",""),"(주)",""),"（주）",""),"㈜",""),"주식회사",""),"(유)",""),"（유）",""),"유한회사",""))</f>
        <v/>
      </c>
    </row>
    <row r="282">
      <c r="A282" s="35" t="n"/>
      <c r="B282" s="35" t="n"/>
      <c r="C282" s="35" t="n"/>
      <c r="D282" s="35" t="n"/>
      <c r="E282" s="36" t="n"/>
      <c r="F282" s="35" t="n"/>
      <c r="G282" s="35" t="n"/>
      <c r="I282" s="31">
        <f>IF(TRIM($A282&amp;"")="","",IF(ISNUMBER(--SUBSTITUTE(SUBSTITUTE(TRIM($A282&amp;""),"-","")," ","")),SUBSTITUTE(SUBSTITUTE(TRIM($A282&amp;""),"-","")," ",""),"N:"&amp;TRIM($A282&amp;"")))</f>
        <v/>
      </c>
      <c r="J282" s="31">
        <f>IF(LEN(SUBSTITUTE(SUBSTITUTE(SUBSTITUTE(SUBSTITUTE(SUBSTITUTE(SUBSTITUTE(SUBSTITUTE(SUBSTITUTE(SUBSTITUTE($C282&amp;""," ",""),"　",""),"(주)",""),"（주）",""),"㈜",""),"주식회사",""),"(유)",""),"（유）",""),"유한회사",""))&lt;2,"",SUBSTITUTE(SUBSTITUTE(SUBSTITUTE(SUBSTITUTE(SUBSTITUTE(SUBSTITUTE(SUBSTITUTE(SUBSTITUTE(SUBSTITUTE($C282&amp;""," ",""),"　",""),"(주)",""),"（주）",""),"㈜",""),"주식회사",""),"(유)",""),"（유）",""),"유한회사",""))</f>
        <v/>
      </c>
      <c r="K282" s="31">
        <f>IF(LEN(SUBSTITUTE(SUBSTITUTE(SUBSTITUTE(SUBSTITUTE(SUBSTITUTE(SUBSTITUTE(SUBSTITUTE(SUBSTITUTE(SUBSTITUTE($D282&amp;""," ",""),"　",""),"(주)",""),"（주）",""),"㈜",""),"주식회사",""),"(유)",""),"（유）",""),"유한회사",""))&lt;2,"",SUBSTITUTE(SUBSTITUTE(SUBSTITUTE(SUBSTITUTE(SUBSTITUTE(SUBSTITUTE(SUBSTITUTE(SUBSTITUTE(SUBSTITUTE($D282&amp;""," ",""),"　",""),"(주)",""),"（주）",""),"㈜",""),"주식회사",""),"(유)",""),"（유）",""),"유한회사",""))</f>
        <v/>
      </c>
    </row>
    <row r="283">
      <c r="A283" s="35" t="n"/>
      <c r="B283" s="35" t="n"/>
      <c r="C283" s="35" t="n"/>
      <c r="D283" s="35" t="n"/>
      <c r="E283" s="36" t="n"/>
      <c r="F283" s="35" t="n"/>
      <c r="G283" s="35" t="n"/>
      <c r="I283" s="31">
        <f>IF(TRIM($A283&amp;"")="","",IF(ISNUMBER(--SUBSTITUTE(SUBSTITUTE(TRIM($A283&amp;""),"-","")," ","")),SUBSTITUTE(SUBSTITUTE(TRIM($A283&amp;""),"-","")," ",""),"N:"&amp;TRIM($A283&amp;"")))</f>
        <v/>
      </c>
      <c r="J283" s="31">
        <f>IF(LEN(SUBSTITUTE(SUBSTITUTE(SUBSTITUTE(SUBSTITUTE(SUBSTITUTE(SUBSTITUTE(SUBSTITUTE(SUBSTITUTE(SUBSTITUTE($C283&amp;""," ",""),"　",""),"(주)",""),"（주）",""),"㈜",""),"주식회사",""),"(유)",""),"（유）",""),"유한회사",""))&lt;2,"",SUBSTITUTE(SUBSTITUTE(SUBSTITUTE(SUBSTITUTE(SUBSTITUTE(SUBSTITUTE(SUBSTITUTE(SUBSTITUTE(SUBSTITUTE($C283&amp;""," ",""),"　",""),"(주)",""),"（주）",""),"㈜",""),"주식회사",""),"(유)",""),"（유）",""),"유한회사",""))</f>
        <v/>
      </c>
      <c r="K283" s="31">
        <f>IF(LEN(SUBSTITUTE(SUBSTITUTE(SUBSTITUTE(SUBSTITUTE(SUBSTITUTE(SUBSTITUTE(SUBSTITUTE(SUBSTITUTE(SUBSTITUTE($D283&amp;""," ",""),"　",""),"(주)",""),"（주）",""),"㈜",""),"주식회사",""),"(유)",""),"（유）",""),"유한회사",""))&lt;2,"",SUBSTITUTE(SUBSTITUTE(SUBSTITUTE(SUBSTITUTE(SUBSTITUTE(SUBSTITUTE(SUBSTITUTE(SUBSTITUTE(SUBSTITUTE($D283&amp;""," ",""),"　",""),"(주)",""),"（주）",""),"㈜",""),"주식회사",""),"(유)",""),"（유）",""),"유한회사",""))</f>
        <v/>
      </c>
    </row>
    <row r="284">
      <c r="A284" s="35" t="n"/>
      <c r="B284" s="35" t="n"/>
      <c r="C284" s="35" t="n"/>
      <c r="D284" s="35" t="n"/>
      <c r="E284" s="36" t="n"/>
      <c r="F284" s="35" t="n"/>
      <c r="G284" s="35" t="n"/>
      <c r="I284" s="31">
        <f>IF(TRIM($A284&amp;"")="","",IF(ISNUMBER(--SUBSTITUTE(SUBSTITUTE(TRIM($A284&amp;""),"-","")," ","")),SUBSTITUTE(SUBSTITUTE(TRIM($A284&amp;""),"-","")," ",""),"N:"&amp;TRIM($A284&amp;"")))</f>
        <v/>
      </c>
      <c r="J284" s="31">
        <f>IF(LEN(SUBSTITUTE(SUBSTITUTE(SUBSTITUTE(SUBSTITUTE(SUBSTITUTE(SUBSTITUTE(SUBSTITUTE(SUBSTITUTE(SUBSTITUTE($C284&amp;""," ",""),"　",""),"(주)",""),"（주）",""),"㈜",""),"주식회사",""),"(유)",""),"（유）",""),"유한회사",""))&lt;2,"",SUBSTITUTE(SUBSTITUTE(SUBSTITUTE(SUBSTITUTE(SUBSTITUTE(SUBSTITUTE(SUBSTITUTE(SUBSTITUTE(SUBSTITUTE($C284&amp;""," ",""),"　",""),"(주)",""),"（주）",""),"㈜",""),"주식회사",""),"(유)",""),"（유）",""),"유한회사",""))</f>
        <v/>
      </c>
      <c r="K284" s="31">
        <f>IF(LEN(SUBSTITUTE(SUBSTITUTE(SUBSTITUTE(SUBSTITUTE(SUBSTITUTE(SUBSTITUTE(SUBSTITUTE(SUBSTITUTE(SUBSTITUTE($D284&amp;""," ",""),"　",""),"(주)",""),"（주）",""),"㈜",""),"주식회사",""),"(유)",""),"（유）",""),"유한회사",""))&lt;2,"",SUBSTITUTE(SUBSTITUTE(SUBSTITUTE(SUBSTITUTE(SUBSTITUTE(SUBSTITUTE(SUBSTITUTE(SUBSTITUTE(SUBSTITUTE($D284&amp;""," ",""),"　",""),"(주)",""),"（주）",""),"㈜",""),"주식회사",""),"(유)",""),"（유）",""),"유한회사",""))</f>
        <v/>
      </c>
    </row>
    <row r="285">
      <c r="A285" s="35" t="n"/>
      <c r="B285" s="35" t="n"/>
      <c r="C285" s="35" t="n"/>
      <c r="D285" s="35" t="n"/>
      <c r="E285" s="36" t="n"/>
      <c r="F285" s="35" t="n"/>
      <c r="G285" s="35" t="n"/>
      <c r="I285" s="31">
        <f>IF(TRIM($A285&amp;"")="","",IF(ISNUMBER(--SUBSTITUTE(SUBSTITUTE(TRIM($A285&amp;""),"-","")," ","")),SUBSTITUTE(SUBSTITUTE(TRIM($A285&amp;""),"-","")," ",""),"N:"&amp;TRIM($A285&amp;"")))</f>
        <v/>
      </c>
      <c r="J285" s="31">
        <f>IF(LEN(SUBSTITUTE(SUBSTITUTE(SUBSTITUTE(SUBSTITUTE(SUBSTITUTE(SUBSTITUTE(SUBSTITUTE(SUBSTITUTE(SUBSTITUTE($C285&amp;""," ",""),"　",""),"(주)",""),"（주）",""),"㈜",""),"주식회사",""),"(유)",""),"（유）",""),"유한회사",""))&lt;2,"",SUBSTITUTE(SUBSTITUTE(SUBSTITUTE(SUBSTITUTE(SUBSTITUTE(SUBSTITUTE(SUBSTITUTE(SUBSTITUTE(SUBSTITUTE($C285&amp;""," ",""),"　",""),"(주)",""),"（주）",""),"㈜",""),"주식회사",""),"(유)",""),"（유）",""),"유한회사",""))</f>
        <v/>
      </c>
      <c r="K285" s="31">
        <f>IF(LEN(SUBSTITUTE(SUBSTITUTE(SUBSTITUTE(SUBSTITUTE(SUBSTITUTE(SUBSTITUTE(SUBSTITUTE(SUBSTITUTE(SUBSTITUTE($D285&amp;""," ",""),"　",""),"(주)",""),"（주）",""),"㈜",""),"주식회사",""),"(유)",""),"（유）",""),"유한회사",""))&lt;2,"",SUBSTITUTE(SUBSTITUTE(SUBSTITUTE(SUBSTITUTE(SUBSTITUTE(SUBSTITUTE(SUBSTITUTE(SUBSTITUTE(SUBSTITUTE($D285&amp;""," ",""),"　",""),"(주)",""),"（주）",""),"㈜",""),"주식회사",""),"(유)",""),"（유）",""),"유한회사",""))</f>
        <v/>
      </c>
    </row>
    <row r="286">
      <c r="A286" s="35" t="n"/>
      <c r="B286" s="35" t="n"/>
      <c r="C286" s="35" t="n"/>
      <c r="D286" s="35" t="n"/>
      <c r="E286" s="36" t="n"/>
      <c r="F286" s="35" t="n"/>
      <c r="G286" s="35" t="n"/>
      <c r="I286" s="31">
        <f>IF(TRIM($A286&amp;"")="","",IF(ISNUMBER(--SUBSTITUTE(SUBSTITUTE(TRIM($A286&amp;""),"-","")," ","")),SUBSTITUTE(SUBSTITUTE(TRIM($A286&amp;""),"-","")," ",""),"N:"&amp;TRIM($A286&amp;"")))</f>
        <v/>
      </c>
      <c r="J286" s="31">
        <f>IF(LEN(SUBSTITUTE(SUBSTITUTE(SUBSTITUTE(SUBSTITUTE(SUBSTITUTE(SUBSTITUTE(SUBSTITUTE(SUBSTITUTE(SUBSTITUTE($C286&amp;""," ",""),"　",""),"(주)",""),"（주）",""),"㈜",""),"주식회사",""),"(유)",""),"（유）",""),"유한회사",""))&lt;2,"",SUBSTITUTE(SUBSTITUTE(SUBSTITUTE(SUBSTITUTE(SUBSTITUTE(SUBSTITUTE(SUBSTITUTE(SUBSTITUTE(SUBSTITUTE($C286&amp;""," ",""),"　",""),"(주)",""),"（주）",""),"㈜",""),"주식회사",""),"(유)",""),"（유）",""),"유한회사",""))</f>
        <v/>
      </c>
      <c r="K286" s="31">
        <f>IF(LEN(SUBSTITUTE(SUBSTITUTE(SUBSTITUTE(SUBSTITUTE(SUBSTITUTE(SUBSTITUTE(SUBSTITUTE(SUBSTITUTE(SUBSTITUTE($D286&amp;""," ",""),"　",""),"(주)",""),"（주）",""),"㈜",""),"주식회사",""),"(유)",""),"（유）",""),"유한회사",""))&lt;2,"",SUBSTITUTE(SUBSTITUTE(SUBSTITUTE(SUBSTITUTE(SUBSTITUTE(SUBSTITUTE(SUBSTITUTE(SUBSTITUTE(SUBSTITUTE($D286&amp;""," ",""),"　",""),"(주)",""),"（주）",""),"㈜",""),"주식회사",""),"(유)",""),"（유）",""),"유한회사",""))</f>
        <v/>
      </c>
    </row>
    <row r="287">
      <c r="A287" s="35" t="n"/>
      <c r="B287" s="35" t="n"/>
      <c r="C287" s="35" t="n"/>
      <c r="D287" s="35" t="n"/>
      <c r="E287" s="36" t="n"/>
      <c r="F287" s="35" t="n"/>
      <c r="G287" s="35" t="n"/>
      <c r="I287" s="31">
        <f>IF(TRIM($A287&amp;"")="","",IF(ISNUMBER(--SUBSTITUTE(SUBSTITUTE(TRIM($A287&amp;""),"-","")," ","")),SUBSTITUTE(SUBSTITUTE(TRIM($A287&amp;""),"-","")," ",""),"N:"&amp;TRIM($A287&amp;"")))</f>
        <v/>
      </c>
      <c r="J287" s="31">
        <f>IF(LEN(SUBSTITUTE(SUBSTITUTE(SUBSTITUTE(SUBSTITUTE(SUBSTITUTE(SUBSTITUTE(SUBSTITUTE(SUBSTITUTE(SUBSTITUTE($C287&amp;""," ",""),"　",""),"(주)",""),"（주）",""),"㈜",""),"주식회사",""),"(유)",""),"（유）",""),"유한회사",""))&lt;2,"",SUBSTITUTE(SUBSTITUTE(SUBSTITUTE(SUBSTITUTE(SUBSTITUTE(SUBSTITUTE(SUBSTITUTE(SUBSTITUTE(SUBSTITUTE($C287&amp;""," ",""),"　",""),"(주)",""),"（주）",""),"㈜",""),"주식회사",""),"(유)",""),"（유）",""),"유한회사",""))</f>
        <v/>
      </c>
      <c r="K287" s="31">
        <f>IF(LEN(SUBSTITUTE(SUBSTITUTE(SUBSTITUTE(SUBSTITUTE(SUBSTITUTE(SUBSTITUTE(SUBSTITUTE(SUBSTITUTE(SUBSTITUTE($D287&amp;""," ",""),"　",""),"(주)",""),"（주）",""),"㈜",""),"주식회사",""),"(유)",""),"（유）",""),"유한회사",""))&lt;2,"",SUBSTITUTE(SUBSTITUTE(SUBSTITUTE(SUBSTITUTE(SUBSTITUTE(SUBSTITUTE(SUBSTITUTE(SUBSTITUTE(SUBSTITUTE($D287&amp;""," ",""),"　",""),"(주)",""),"（주）",""),"㈜",""),"주식회사",""),"(유)",""),"（유）",""),"유한회사",""))</f>
        <v/>
      </c>
    </row>
    <row r="288">
      <c r="A288" s="35" t="n"/>
      <c r="B288" s="35" t="n"/>
      <c r="C288" s="35" t="n"/>
      <c r="D288" s="35" t="n"/>
      <c r="E288" s="36" t="n"/>
      <c r="F288" s="35" t="n"/>
      <c r="G288" s="35" t="n"/>
      <c r="I288" s="31">
        <f>IF(TRIM($A288&amp;"")="","",IF(ISNUMBER(--SUBSTITUTE(SUBSTITUTE(TRIM($A288&amp;""),"-","")," ","")),SUBSTITUTE(SUBSTITUTE(TRIM($A288&amp;""),"-","")," ",""),"N:"&amp;TRIM($A288&amp;"")))</f>
        <v/>
      </c>
      <c r="J288" s="31">
        <f>IF(LEN(SUBSTITUTE(SUBSTITUTE(SUBSTITUTE(SUBSTITUTE(SUBSTITUTE(SUBSTITUTE(SUBSTITUTE(SUBSTITUTE(SUBSTITUTE($C288&amp;""," ",""),"　",""),"(주)",""),"（주）",""),"㈜",""),"주식회사",""),"(유)",""),"（유）",""),"유한회사",""))&lt;2,"",SUBSTITUTE(SUBSTITUTE(SUBSTITUTE(SUBSTITUTE(SUBSTITUTE(SUBSTITUTE(SUBSTITUTE(SUBSTITUTE(SUBSTITUTE($C288&amp;""," ",""),"　",""),"(주)",""),"（주）",""),"㈜",""),"주식회사",""),"(유)",""),"（유）",""),"유한회사",""))</f>
        <v/>
      </c>
      <c r="K288" s="31">
        <f>IF(LEN(SUBSTITUTE(SUBSTITUTE(SUBSTITUTE(SUBSTITUTE(SUBSTITUTE(SUBSTITUTE(SUBSTITUTE(SUBSTITUTE(SUBSTITUTE($D288&amp;""," ",""),"　",""),"(주)",""),"（주）",""),"㈜",""),"주식회사",""),"(유)",""),"（유）",""),"유한회사",""))&lt;2,"",SUBSTITUTE(SUBSTITUTE(SUBSTITUTE(SUBSTITUTE(SUBSTITUTE(SUBSTITUTE(SUBSTITUTE(SUBSTITUTE(SUBSTITUTE($D288&amp;""," ",""),"　",""),"(주)",""),"（주）",""),"㈜",""),"주식회사",""),"(유)",""),"（유）",""),"유한회사",""))</f>
        <v/>
      </c>
    </row>
    <row r="289">
      <c r="A289" s="35" t="n"/>
      <c r="B289" s="35" t="n"/>
      <c r="C289" s="35" t="n"/>
      <c r="D289" s="35" t="n"/>
      <c r="E289" s="36" t="n"/>
      <c r="F289" s="35" t="n"/>
      <c r="G289" s="35" t="n"/>
      <c r="I289" s="31">
        <f>IF(TRIM($A289&amp;"")="","",IF(ISNUMBER(--SUBSTITUTE(SUBSTITUTE(TRIM($A289&amp;""),"-","")," ","")),SUBSTITUTE(SUBSTITUTE(TRIM($A289&amp;""),"-","")," ",""),"N:"&amp;TRIM($A289&amp;"")))</f>
        <v/>
      </c>
      <c r="J289" s="31">
        <f>IF(LEN(SUBSTITUTE(SUBSTITUTE(SUBSTITUTE(SUBSTITUTE(SUBSTITUTE(SUBSTITUTE(SUBSTITUTE(SUBSTITUTE(SUBSTITUTE($C289&amp;""," ",""),"　",""),"(주)",""),"（주）",""),"㈜",""),"주식회사",""),"(유)",""),"（유）",""),"유한회사",""))&lt;2,"",SUBSTITUTE(SUBSTITUTE(SUBSTITUTE(SUBSTITUTE(SUBSTITUTE(SUBSTITUTE(SUBSTITUTE(SUBSTITUTE(SUBSTITUTE($C289&amp;""," ",""),"　",""),"(주)",""),"（주）",""),"㈜",""),"주식회사",""),"(유)",""),"（유）",""),"유한회사",""))</f>
        <v/>
      </c>
      <c r="K289" s="31">
        <f>IF(LEN(SUBSTITUTE(SUBSTITUTE(SUBSTITUTE(SUBSTITUTE(SUBSTITUTE(SUBSTITUTE(SUBSTITUTE(SUBSTITUTE(SUBSTITUTE($D289&amp;""," ",""),"　",""),"(주)",""),"（주）",""),"㈜",""),"주식회사",""),"(유)",""),"（유）",""),"유한회사",""))&lt;2,"",SUBSTITUTE(SUBSTITUTE(SUBSTITUTE(SUBSTITUTE(SUBSTITUTE(SUBSTITUTE(SUBSTITUTE(SUBSTITUTE(SUBSTITUTE($D289&amp;""," ",""),"　",""),"(주)",""),"（주）",""),"㈜",""),"주식회사",""),"(유)",""),"（유）",""),"유한회사",""))</f>
        <v/>
      </c>
    </row>
    <row r="290">
      <c r="A290" s="35" t="n"/>
      <c r="B290" s="35" t="n"/>
      <c r="C290" s="35" t="n"/>
      <c r="D290" s="35" t="n"/>
      <c r="E290" s="36" t="n"/>
      <c r="F290" s="35" t="n"/>
      <c r="G290" s="35" t="n"/>
      <c r="I290" s="31">
        <f>IF(TRIM($A290&amp;"")="","",IF(ISNUMBER(--SUBSTITUTE(SUBSTITUTE(TRIM($A290&amp;""),"-","")," ","")),SUBSTITUTE(SUBSTITUTE(TRIM($A290&amp;""),"-","")," ",""),"N:"&amp;TRIM($A290&amp;"")))</f>
        <v/>
      </c>
      <c r="J290" s="31">
        <f>IF(LEN(SUBSTITUTE(SUBSTITUTE(SUBSTITUTE(SUBSTITUTE(SUBSTITUTE(SUBSTITUTE(SUBSTITUTE(SUBSTITUTE(SUBSTITUTE($C290&amp;""," ",""),"　",""),"(주)",""),"（주）",""),"㈜",""),"주식회사",""),"(유)",""),"（유）",""),"유한회사",""))&lt;2,"",SUBSTITUTE(SUBSTITUTE(SUBSTITUTE(SUBSTITUTE(SUBSTITUTE(SUBSTITUTE(SUBSTITUTE(SUBSTITUTE(SUBSTITUTE($C290&amp;""," ",""),"　",""),"(주)",""),"（주）",""),"㈜",""),"주식회사",""),"(유)",""),"（유）",""),"유한회사",""))</f>
        <v/>
      </c>
      <c r="K290" s="31">
        <f>IF(LEN(SUBSTITUTE(SUBSTITUTE(SUBSTITUTE(SUBSTITUTE(SUBSTITUTE(SUBSTITUTE(SUBSTITUTE(SUBSTITUTE(SUBSTITUTE($D290&amp;""," ",""),"　",""),"(주)",""),"（주）",""),"㈜",""),"주식회사",""),"(유)",""),"（유）",""),"유한회사",""))&lt;2,"",SUBSTITUTE(SUBSTITUTE(SUBSTITUTE(SUBSTITUTE(SUBSTITUTE(SUBSTITUTE(SUBSTITUTE(SUBSTITUTE(SUBSTITUTE($D290&amp;""," ",""),"　",""),"(주)",""),"（주）",""),"㈜",""),"주식회사",""),"(유)",""),"（유）",""),"유한회사",""))</f>
        <v/>
      </c>
    </row>
    <row r="291">
      <c r="A291" s="35" t="n"/>
      <c r="B291" s="35" t="n"/>
      <c r="C291" s="35" t="n"/>
      <c r="D291" s="35" t="n"/>
      <c r="E291" s="36" t="n"/>
      <c r="F291" s="35" t="n"/>
      <c r="G291" s="35" t="n"/>
      <c r="I291" s="31">
        <f>IF(TRIM($A291&amp;"")="","",IF(ISNUMBER(--SUBSTITUTE(SUBSTITUTE(TRIM($A291&amp;""),"-","")," ","")),SUBSTITUTE(SUBSTITUTE(TRIM($A291&amp;""),"-","")," ",""),"N:"&amp;TRIM($A291&amp;"")))</f>
        <v/>
      </c>
      <c r="J291" s="31">
        <f>IF(LEN(SUBSTITUTE(SUBSTITUTE(SUBSTITUTE(SUBSTITUTE(SUBSTITUTE(SUBSTITUTE(SUBSTITUTE(SUBSTITUTE(SUBSTITUTE($C291&amp;""," ",""),"　",""),"(주)",""),"（주）",""),"㈜",""),"주식회사",""),"(유)",""),"（유）",""),"유한회사",""))&lt;2,"",SUBSTITUTE(SUBSTITUTE(SUBSTITUTE(SUBSTITUTE(SUBSTITUTE(SUBSTITUTE(SUBSTITUTE(SUBSTITUTE(SUBSTITUTE($C291&amp;""," ",""),"　",""),"(주)",""),"（주）",""),"㈜",""),"주식회사",""),"(유)",""),"（유）",""),"유한회사",""))</f>
        <v/>
      </c>
      <c r="K291" s="31">
        <f>IF(LEN(SUBSTITUTE(SUBSTITUTE(SUBSTITUTE(SUBSTITUTE(SUBSTITUTE(SUBSTITUTE(SUBSTITUTE(SUBSTITUTE(SUBSTITUTE($D291&amp;""," ",""),"　",""),"(주)",""),"（주）",""),"㈜",""),"주식회사",""),"(유)",""),"（유）",""),"유한회사",""))&lt;2,"",SUBSTITUTE(SUBSTITUTE(SUBSTITUTE(SUBSTITUTE(SUBSTITUTE(SUBSTITUTE(SUBSTITUTE(SUBSTITUTE(SUBSTITUTE($D291&amp;""," ",""),"　",""),"(주)",""),"（주）",""),"㈜",""),"주식회사",""),"(유)",""),"（유）",""),"유한회사",""))</f>
        <v/>
      </c>
    </row>
    <row r="292">
      <c r="A292" s="35" t="n"/>
      <c r="B292" s="35" t="n"/>
      <c r="C292" s="35" t="n"/>
      <c r="D292" s="35" t="n"/>
      <c r="E292" s="36" t="n"/>
      <c r="F292" s="35" t="n"/>
      <c r="G292" s="35" t="n"/>
      <c r="I292" s="31">
        <f>IF(TRIM($A292&amp;"")="","",IF(ISNUMBER(--SUBSTITUTE(SUBSTITUTE(TRIM($A292&amp;""),"-","")," ","")),SUBSTITUTE(SUBSTITUTE(TRIM($A292&amp;""),"-","")," ",""),"N:"&amp;TRIM($A292&amp;"")))</f>
        <v/>
      </c>
      <c r="J292" s="31">
        <f>IF(LEN(SUBSTITUTE(SUBSTITUTE(SUBSTITUTE(SUBSTITUTE(SUBSTITUTE(SUBSTITUTE(SUBSTITUTE(SUBSTITUTE(SUBSTITUTE($C292&amp;""," ",""),"　",""),"(주)",""),"（주）",""),"㈜",""),"주식회사",""),"(유)",""),"（유）",""),"유한회사",""))&lt;2,"",SUBSTITUTE(SUBSTITUTE(SUBSTITUTE(SUBSTITUTE(SUBSTITUTE(SUBSTITUTE(SUBSTITUTE(SUBSTITUTE(SUBSTITUTE($C292&amp;""," ",""),"　",""),"(주)",""),"（주）",""),"㈜",""),"주식회사",""),"(유)",""),"（유）",""),"유한회사",""))</f>
        <v/>
      </c>
      <c r="K292" s="31">
        <f>IF(LEN(SUBSTITUTE(SUBSTITUTE(SUBSTITUTE(SUBSTITUTE(SUBSTITUTE(SUBSTITUTE(SUBSTITUTE(SUBSTITUTE(SUBSTITUTE($D292&amp;""," ",""),"　",""),"(주)",""),"（주）",""),"㈜",""),"주식회사",""),"(유)",""),"（유）",""),"유한회사",""))&lt;2,"",SUBSTITUTE(SUBSTITUTE(SUBSTITUTE(SUBSTITUTE(SUBSTITUTE(SUBSTITUTE(SUBSTITUTE(SUBSTITUTE(SUBSTITUTE($D292&amp;""," ",""),"　",""),"(주)",""),"（주）",""),"㈜",""),"주식회사",""),"(유)",""),"（유）",""),"유한회사",""))</f>
        <v/>
      </c>
    </row>
    <row r="293">
      <c r="A293" s="35" t="n"/>
      <c r="B293" s="35" t="n"/>
      <c r="C293" s="35" t="n"/>
      <c r="D293" s="35" t="n"/>
      <c r="E293" s="36" t="n"/>
      <c r="F293" s="35" t="n"/>
      <c r="G293" s="35" t="n"/>
      <c r="I293" s="31">
        <f>IF(TRIM($A293&amp;"")="","",IF(ISNUMBER(--SUBSTITUTE(SUBSTITUTE(TRIM($A293&amp;""),"-","")," ","")),SUBSTITUTE(SUBSTITUTE(TRIM($A293&amp;""),"-","")," ",""),"N:"&amp;TRIM($A293&amp;"")))</f>
        <v/>
      </c>
      <c r="J293" s="31">
        <f>IF(LEN(SUBSTITUTE(SUBSTITUTE(SUBSTITUTE(SUBSTITUTE(SUBSTITUTE(SUBSTITUTE(SUBSTITUTE(SUBSTITUTE(SUBSTITUTE($C293&amp;""," ",""),"　",""),"(주)",""),"（주）",""),"㈜",""),"주식회사",""),"(유)",""),"（유）",""),"유한회사",""))&lt;2,"",SUBSTITUTE(SUBSTITUTE(SUBSTITUTE(SUBSTITUTE(SUBSTITUTE(SUBSTITUTE(SUBSTITUTE(SUBSTITUTE(SUBSTITUTE($C293&amp;""," ",""),"　",""),"(주)",""),"（주）",""),"㈜",""),"주식회사",""),"(유)",""),"（유）",""),"유한회사",""))</f>
        <v/>
      </c>
      <c r="K293" s="31">
        <f>IF(LEN(SUBSTITUTE(SUBSTITUTE(SUBSTITUTE(SUBSTITUTE(SUBSTITUTE(SUBSTITUTE(SUBSTITUTE(SUBSTITUTE(SUBSTITUTE($D293&amp;""," ",""),"　",""),"(주)",""),"（주）",""),"㈜",""),"주식회사",""),"(유)",""),"（유）",""),"유한회사",""))&lt;2,"",SUBSTITUTE(SUBSTITUTE(SUBSTITUTE(SUBSTITUTE(SUBSTITUTE(SUBSTITUTE(SUBSTITUTE(SUBSTITUTE(SUBSTITUTE($D293&amp;""," ",""),"　",""),"(주)",""),"（주）",""),"㈜",""),"주식회사",""),"(유)",""),"（유）",""),"유한회사",""))</f>
        <v/>
      </c>
    </row>
    <row r="294">
      <c r="A294" s="35" t="n"/>
      <c r="B294" s="35" t="n"/>
      <c r="C294" s="35" t="n"/>
      <c r="D294" s="35" t="n"/>
      <c r="E294" s="36" t="n"/>
      <c r="F294" s="35" t="n"/>
      <c r="G294" s="35" t="n"/>
      <c r="I294" s="31">
        <f>IF(TRIM($A294&amp;"")="","",IF(ISNUMBER(--SUBSTITUTE(SUBSTITUTE(TRIM($A294&amp;""),"-","")," ","")),SUBSTITUTE(SUBSTITUTE(TRIM($A294&amp;""),"-","")," ",""),"N:"&amp;TRIM($A294&amp;"")))</f>
        <v/>
      </c>
      <c r="J294" s="31">
        <f>IF(LEN(SUBSTITUTE(SUBSTITUTE(SUBSTITUTE(SUBSTITUTE(SUBSTITUTE(SUBSTITUTE(SUBSTITUTE(SUBSTITUTE(SUBSTITUTE($C294&amp;""," ",""),"　",""),"(주)",""),"（주）",""),"㈜",""),"주식회사",""),"(유)",""),"（유）",""),"유한회사",""))&lt;2,"",SUBSTITUTE(SUBSTITUTE(SUBSTITUTE(SUBSTITUTE(SUBSTITUTE(SUBSTITUTE(SUBSTITUTE(SUBSTITUTE(SUBSTITUTE($C294&amp;""," ",""),"　",""),"(주)",""),"（주）",""),"㈜",""),"주식회사",""),"(유)",""),"（유）",""),"유한회사",""))</f>
        <v/>
      </c>
      <c r="K294" s="31">
        <f>IF(LEN(SUBSTITUTE(SUBSTITUTE(SUBSTITUTE(SUBSTITUTE(SUBSTITUTE(SUBSTITUTE(SUBSTITUTE(SUBSTITUTE(SUBSTITUTE($D294&amp;""," ",""),"　",""),"(주)",""),"（주）",""),"㈜",""),"주식회사",""),"(유)",""),"（유）",""),"유한회사",""))&lt;2,"",SUBSTITUTE(SUBSTITUTE(SUBSTITUTE(SUBSTITUTE(SUBSTITUTE(SUBSTITUTE(SUBSTITUTE(SUBSTITUTE(SUBSTITUTE($D294&amp;""," ",""),"　",""),"(주)",""),"（주）",""),"㈜",""),"주식회사",""),"(유)",""),"（유）",""),"유한회사",""))</f>
        <v/>
      </c>
    </row>
    <row r="295">
      <c r="A295" s="35" t="n"/>
      <c r="B295" s="35" t="n"/>
      <c r="C295" s="35" t="n"/>
      <c r="D295" s="35" t="n"/>
      <c r="E295" s="36" t="n"/>
      <c r="F295" s="35" t="n"/>
      <c r="G295" s="35" t="n"/>
      <c r="I295" s="31">
        <f>IF(TRIM($A295&amp;"")="","",IF(ISNUMBER(--SUBSTITUTE(SUBSTITUTE(TRIM($A295&amp;""),"-","")," ","")),SUBSTITUTE(SUBSTITUTE(TRIM($A295&amp;""),"-","")," ",""),"N:"&amp;TRIM($A295&amp;"")))</f>
        <v/>
      </c>
      <c r="J295" s="31">
        <f>IF(LEN(SUBSTITUTE(SUBSTITUTE(SUBSTITUTE(SUBSTITUTE(SUBSTITUTE(SUBSTITUTE(SUBSTITUTE(SUBSTITUTE(SUBSTITUTE($C295&amp;""," ",""),"　",""),"(주)",""),"（주）",""),"㈜",""),"주식회사",""),"(유)",""),"（유）",""),"유한회사",""))&lt;2,"",SUBSTITUTE(SUBSTITUTE(SUBSTITUTE(SUBSTITUTE(SUBSTITUTE(SUBSTITUTE(SUBSTITUTE(SUBSTITUTE(SUBSTITUTE($C295&amp;""," ",""),"　",""),"(주)",""),"（주）",""),"㈜",""),"주식회사",""),"(유)",""),"（유）",""),"유한회사",""))</f>
        <v/>
      </c>
      <c r="K295" s="31">
        <f>IF(LEN(SUBSTITUTE(SUBSTITUTE(SUBSTITUTE(SUBSTITUTE(SUBSTITUTE(SUBSTITUTE(SUBSTITUTE(SUBSTITUTE(SUBSTITUTE($D295&amp;""," ",""),"　",""),"(주)",""),"（주）",""),"㈜",""),"주식회사",""),"(유)",""),"（유）",""),"유한회사",""))&lt;2,"",SUBSTITUTE(SUBSTITUTE(SUBSTITUTE(SUBSTITUTE(SUBSTITUTE(SUBSTITUTE(SUBSTITUTE(SUBSTITUTE(SUBSTITUTE($D295&amp;""," ",""),"　",""),"(주)",""),"（주）",""),"㈜",""),"주식회사",""),"(유)",""),"（유）",""),"유한회사",""))</f>
        <v/>
      </c>
    </row>
    <row r="296">
      <c r="A296" s="35" t="n"/>
      <c r="B296" s="35" t="n"/>
      <c r="C296" s="35" t="n"/>
      <c r="D296" s="35" t="n"/>
      <c r="E296" s="36" t="n"/>
      <c r="F296" s="35" t="n"/>
      <c r="G296" s="35" t="n"/>
      <c r="I296" s="31">
        <f>IF(TRIM($A296&amp;"")="","",IF(ISNUMBER(--SUBSTITUTE(SUBSTITUTE(TRIM($A296&amp;""),"-","")," ","")),SUBSTITUTE(SUBSTITUTE(TRIM($A296&amp;""),"-","")," ",""),"N:"&amp;TRIM($A296&amp;"")))</f>
        <v/>
      </c>
      <c r="J296" s="31">
        <f>IF(LEN(SUBSTITUTE(SUBSTITUTE(SUBSTITUTE(SUBSTITUTE(SUBSTITUTE(SUBSTITUTE(SUBSTITUTE(SUBSTITUTE(SUBSTITUTE($C296&amp;""," ",""),"　",""),"(주)",""),"（주）",""),"㈜",""),"주식회사",""),"(유)",""),"（유）",""),"유한회사",""))&lt;2,"",SUBSTITUTE(SUBSTITUTE(SUBSTITUTE(SUBSTITUTE(SUBSTITUTE(SUBSTITUTE(SUBSTITUTE(SUBSTITUTE(SUBSTITUTE($C296&amp;""," ",""),"　",""),"(주)",""),"（주）",""),"㈜",""),"주식회사",""),"(유)",""),"（유）",""),"유한회사",""))</f>
        <v/>
      </c>
      <c r="K296" s="31">
        <f>IF(LEN(SUBSTITUTE(SUBSTITUTE(SUBSTITUTE(SUBSTITUTE(SUBSTITUTE(SUBSTITUTE(SUBSTITUTE(SUBSTITUTE(SUBSTITUTE($D296&amp;""," ",""),"　",""),"(주)",""),"（주）",""),"㈜",""),"주식회사",""),"(유)",""),"（유）",""),"유한회사",""))&lt;2,"",SUBSTITUTE(SUBSTITUTE(SUBSTITUTE(SUBSTITUTE(SUBSTITUTE(SUBSTITUTE(SUBSTITUTE(SUBSTITUTE(SUBSTITUTE($D296&amp;""," ",""),"　",""),"(주)",""),"（주）",""),"㈜",""),"주식회사",""),"(유)",""),"（유）",""),"유한회사",""))</f>
        <v/>
      </c>
    </row>
    <row r="297">
      <c r="A297" s="35" t="n"/>
      <c r="B297" s="35" t="n"/>
      <c r="C297" s="35" t="n"/>
      <c r="D297" s="35" t="n"/>
      <c r="E297" s="36" t="n"/>
      <c r="F297" s="35" t="n"/>
      <c r="G297" s="35" t="n"/>
      <c r="I297" s="31">
        <f>IF(TRIM($A297&amp;"")="","",IF(ISNUMBER(--SUBSTITUTE(SUBSTITUTE(TRIM($A297&amp;""),"-","")," ","")),SUBSTITUTE(SUBSTITUTE(TRIM($A297&amp;""),"-","")," ",""),"N:"&amp;TRIM($A297&amp;"")))</f>
        <v/>
      </c>
      <c r="J297" s="31">
        <f>IF(LEN(SUBSTITUTE(SUBSTITUTE(SUBSTITUTE(SUBSTITUTE(SUBSTITUTE(SUBSTITUTE(SUBSTITUTE(SUBSTITUTE(SUBSTITUTE($C297&amp;""," ",""),"　",""),"(주)",""),"（주）",""),"㈜",""),"주식회사",""),"(유)",""),"（유）",""),"유한회사",""))&lt;2,"",SUBSTITUTE(SUBSTITUTE(SUBSTITUTE(SUBSTITUTE(SUBSTITUTE(SUBSTITUTE(SUBSTITUTE(SUBSTITUTE(SUBSTITUTE($C297&amp;""," ",""),"　",""),"(주)",""),"（주）",""),"㈜",""),"주식회사",""),"(유)",""),"（유）",""),"유한회사",""))</f>
        <v/>
      </c>
      <c r="K297" s="31">
        <f>IF(LEN(SUBSTITUTE(SUBSTITUTE(SUBSTITUTE(SUBSTITUTE(SUBSTITUTE(SUBSTITUTE(SUBSTITUTE(SUBSTITUTE(SUBSTITUTE($D297&amp;""," ",""),"　",""),"(주)",""),"（주）",""),"㈜",""),"주식회사",""),"(유)",""),"（유）",""),"유한회사",""))&lt;2,"",SUBSTITUTE(SUBSTITUTE(SUBSTITUTE(SUBSTITUTE(SUBSTITUTE(SUBSTITUTE(SUBSTITUTE(SUBSTITUTE(SUBSTITUTE($D297&amp;""," ",""),"　",""),"(주)",""),"（주）",""),"㈜",""),"주식회사",""),"(유)",""),"（유）",""),"유한회사",""))</f>
        <v/>
      </c>
    </row>
    <row r="298">
      <c r="A298" s="35" t="n"/>
      <c r="B298" s="35" t="n"/>
      <c r="C298" s="35" t="n"/>
      <c r="D298" s="35" t="n"/>
      <c r="E298" s="36" t="n"/>
      <c r="F298" s="35" t="n"/>
      <c r="G298" s="35" t="n"/>
      <c r="I298" s="31">
        <f>IF(TRIM($A298&amp;"")="","",IF(ISNUMBER(--SUBSTITUTE(SUBSTITUTE(TRIM($A298&amp;""),"-","")," ","")),SUBSTITUTE(SUBSTITUTE(TRIM($A298&amp;""),"-","")," ",""),"N:"&amp;TRIM($A298&amp;"")))</f>
        <v/>
      </c>
      <c r="J298" s="31">
        <f>IF(LEN(SUBSTITUTE(SUBSTITUTE(SUBSTITUTE(SUBSTITUTE(SUBSTITUTE(SUBSTITUTE(SUBSTITUTE(SUBSTITUTE(SUBSTITUTE($C298&amp;""," ",""),"　",""),"(주)",""),"（주）",""),"㈜",""),"주식회사",""),"(유)",""),"（유）",""),"유한회사",""))&lt;2,"",SUBSTITUTE(SUBSTITUTE(SUBSTITUTE(SUBSTITUTE(SUBSTITUTE(SUBSTITUTE(SUBSTITUTE(SUBSTITUTE(SUBSTITUTE($C298&amp;""," ",""),"　",""),"(주)",""),"（주）",""),"㈜",""),"주식회사",""),"(유)",""),"（유）",""),"유한회사",""))</f>
        <v/>
      </c>
      <c r="K298" s="31">
        <f>IF(LEN(SUBSTITUTE(SUBSTITUTE(SUBSTITUTE(SUBSTITUTE(SUBSTITUTE(SUBSTITUTE(SUBSTITUTE(SUBSTITUTE(SUBSTITUTE($D298&amp;""," ",""),"　",""),"(주)",""),"（주）",""),"㈜",""),"주식회사",""),"(유)",""),"（유）",""),"유한회사",""))&lt;2,"",SUBSTITUTE(SUBSTITUTE(SUBSTITUTE(SUBSTITUTE(SUBSTITUTE(SUBSTITUTE(SUBSTITUTE(SUBSTITUTE(SUBSTITUTE($D298&amp;""," ",""),"　",""),"(주)",""),"（주）",""),"㈜",""),"주식회사",""),"(유)",""),"（유）",""),"유한회사",""))</f>
        <v/>
      </c>
    </row>
    <row r="299">
      <c r="A299" s="35" t="n"/>
      <c r="B299" s="35" t="n"/>
      <c r="C299" s="35" t="n"/>
      <c r="D299" s="35" t="n"/>
      <c r="E299" s="36" t="n"/>
      <c r="F299" s="35" t="n"/>
      <c r="G299" s="35" t="n"/>
      <c r="I299" s="31">
        <f>IF(TRIM($A299&amp;"")="","",IF(ISNUMBER(--SUBSTITUTE(SUBSTITUTE(TRIM($A299&amp;""),"-","")," ","")),SUBSTITUTE(SUBSTITUTE(TRIM($A299&amp;""),"-","")," ",""),"N:"&amp;TRIM($A299&amp;"")))</f>
        <v/>
      </c>
      <c r="J299" s="31">
        <f>IF(LEN(SUBSTITUTE(SUBSTITUTE(SUBSTITUTE(SUBSTITUTE(SUBSTITUTE(SUBSTITUTE(SUBSTITUTE(SUBSTITUTE(SUBSTITUTE($C299&amp;""," ",""),"　",""),"(주)",""),"（주）",""),"㈜",""),"주식회사",""),"(유)",""),"（유）",""),"유한회사",""))&lt;2,"",SUBSTITUTE(SUBSTITUTE(SUBSTITUTE(SUBSTITUTE(SUBSTITUTE(SUBSTITUTE(SUBSTITUTE(SUBSTITUTE(SUBSTITUTE($C299&amp;""," ",""),"　",""),"(주)",""),"（주）",""),"㈜",""),"주식회사",""),"(유)",""),"（유）",""),"유한회사",""))</f>
        <v/>
      </c>
      <c r="K299" s="31">
        <f>IF(LEN(SUBSTITUTE(SUBSTITUTE(SUBSTITUTE(SUBSTITUTE(SUBSTITUTE(SUBSTITUTE(SUBSTITUTE(SUBSTITUTE(SUBSTITUTE($D299&amp;""," ",""),"　",""),"(주)",""),"（주）",""),"㈜",""),"주식회사",""),"(유)",""),"（유）",""),"유한회사",""))&lt;2,"",SUBSTITUTE(SUBSTITUTE(SUBSTITUTE(SUBSTITUTE(SUBSTITUTE(SUBSTITUTE(SUBSTITUTE(SUBSTITUTE(SUBSTITUTE($D299&amp;""," ",""),"　",""),"(주)",""),"（주）",""),"㈜",""),"주식회사",""),"(유)",""),"（유）",""),"유한회사",""))</f>
        <v/>
      </c>
    </row>
    <row r="300">
      <c r="A300" s="35" t="n"/>
      <c r="B300" s="35" t="n"/>
      <c r="C300" s="35" t="n"/>
      <c r="D300" s="35" t="n"/>
      <c r="E300" s="36" t="n"/>
      <c r="F300" s="35" t="n"/>
      <c r="G300" s="35" t="n"/>
      <c r="I300" s="31">
        <f>IF(TRIM($A300&amp;"")="","",IF(ISNUMBER(--SUBSTITUTE(SUBSTITUTE(TRIM($A300&amp;""),"-","")," ","")),SUBSTITUTE(SUBSTITUTE(TRIM($A300&amp;""),"-","")," ",""),"N:"&amp;TRIM($A300&amp;"")))</f>
        <v/>
      </c>
      <c r="J300" s="31">
        <f>IF(LEN(SUBSTITUTE(SUBSTITUTE(SUBSTITUTE(SUBSTITUTE(SUBSTITUTE(SUBSTITUTE(SUBSTITUTE(SUBSTITUTE(SUBSTITUTE($C300&amp;""," ",""),"　",""),"(주)",""),"（주）",""),"㈜",""),"주식회사",""),"(유)",""),"（유）",""),"유한회사",""))&lt;2,"",SUBSTITUTE(SUBSTITUTE(SUBSTITUTE(SUBSTITUTE(SUBSTITUTE(SUBSTITUTE(SUBSTITUTE(SUBSTITUTE(SUBSTITUTE($C300&amp;""," ",""),"　",""),"(주)",""),"（주）",""),"㈜",""),"주식회사",""),"(유)",""),"（유）",""),"유한회사",""))</f>
        <v/>
      </c>
      <c r="K300" s="31">
        <f>IF(LEN(SUBSTITUTE(SUBSTITUTE(SUBSTITUTE(SUBSTITUTE(SUBSTITUTE(SUBSTITUTE(SUBSTITUTE(SUBSTITUTE(SUBSTITUTE($D300&amp;""," ",""),"　",""),"(주)",""),"（주）",""),"㈜",""),"주식회사",""),"(유)",""),"（유）",""),"유한회사",""))&lt;2,"",SUBSTITUTE(SUBSTITUTE(SUBSTITUTE(SUBSTITUTE(SUBSTITUTE(SUBSTITUTE(SUBSTITUTE(SUBSTITUTE(SUBSTITUTE($D300&amp;""," ",""),"　",""),"(주)",""),"（주）",""),"㈜",""),"주식회사",""),"(유)",""),"（유）",""),"유한회사",""))</f>
        <v/>
      </c>
    </row>
    <row r="301">
      <c r="A301" s="35" t="n"/>
      <c r="B301" s="35" t="n"/>
      <c r="C301" s="35" t="n"/>
      <c r="D301" s="35" t="n"/>
      <c r="E301" s="36" t="n"/>
      <c r="F301" s="35" t="n"/>
      <c r="G301" s="35" t="n"/>
      <c r="I301" s="31">
        <f>IF(TRIM($A301&amp;"")="","",IF(ISNUMBER(--SUBSTITUTE(SUBSTITUTE(TRIM($A301&amp;""),"-","")," ","")),SUBSTITUTE(SUBSTITUTE(TRIM($A301&amp;""),"-","")," ",""),"N:"&amp;TRIM($A301&amp;"")))</f>
        <v/>
      </c>
      <c r="J301" s="31">
        <f>IF(LEN(SUBSTITUTE(SUBSTITUTE(SUBSTITUTE(SUBSTITUTE(SUBSTITUTE(SUBSTITUTE(SUBSTITUTE(SUBSTITUTE(SUBSTITUTE($C301&amp;""," ",""),"　",""),"(주)",""),"（주）",""),"㈜",""),"주식회사",""),"(유)",""),"（유）",""),"유한회사",""))&lt;2,"",SUBSTITUTE(SUBSTITUTE(SUBSTITUTE(SUBSTITUTE(SUBSTITUTE(SUBSTITUTE(SUBSTITUTE(SUBSTITUTE(SUBSTITUTE($C301&amp;""," ",""),"　",""),"(주)",""),"（주）",""),"㈜",""),"주식회사",""),"(유)",""),"（유）",""),"유한회사",""))</f>
        <v/>
      </c>
      <c r="K301" s="31">
        <f>IF(LEN(SUBSTITUTE(SUBSTITUTE(SUBSTITUTE(SUBSTITUTE(SUBSTITUTE(SUBSTITUTE(SUBSTITUTE(SUBSTITUTE(SUBSTITUTE($D301&amp;""," ",""),"　",""),"(주)",""),"（주）",""),"㈜",""),"주식회사",""),"(유)",""),"（유）",""),"유한회사",""))&lt;2,"",SUBSTITUTE(SUBSTITUTE(SUBSTITUTE(SUBSTITUTE(SUBSTITUTE(SUBSTITUTE(SUBSTITUTE(SUBSTITUTE(SUBSTITUTE($D301&amp;""," ",""),"　",""),"(주)",""),"（주）",""),"㈜",""),"주식회사",""),"(유)",""),"（유）",""),"유한회사",""))</f>
        <v/>
      </c>
    </row>
    <row r="302">
      <c r="A302" s="35" t="n"/>
      <c r="B302" s="35" t="n"/>
      <c r="C302" s="35" t="n"/>
      <c r="D302" s="35" t="n"/>
      <c r="E302" s="36" t="n"/>
      <c r="F302" s="35" t="n"/>
      <c r="G302" s="35" t="n"/>
      <c r="I302" s="31">
        <f>IF(TRIM($A302&amp;"")="","",IF(ISNUMBER(--SUBSTITUTE(SUBSTITUTE(TRIM($A302&amp;""),"-","")," ","")),SUBSTITUTE(SUBSTITUTE(TRIM($A302&amp;""),"-","")," ",""),"N:"&amp;TRIM($A302&amp;"")))</f>
        <v/>
      </c>
      <c r="J302" s="31">
        <f>IF(LEN(SUBSTITUTE(SUBSTITUTE(SUBSTITUTE(SUBSTITUTE(SUBSTITUTE(SUBSTITUTE(SUBSTITUTE(SUBSTITUTE(SUBSTITUTE($C302&amp;""," ",""),"　",""),"(주)",""),"（주）",""),"㈜",""),"주식회사",""),"(유)",""),"（유）",""),"유한회사",""))&lt;2,"",SUBSTITUTE(SUBSTITUTE(SUBSTITUTE(SUBSTITUTE(SUBSTITUTE(SUBSTITUTE(SUBSTITUTE(SUBSTITUTE(SUBSTITUTE($C302&amp;""," ",""),"　",""),"(주)",""),"（주）",""),"㈜",""),"주식회사",""),"(유)",""),"（유）",""),"유한회사",""))</f>
        <v/>
      </c>
      <c r="K302" s="31">
        <f>IF(LEN(SUBSTITUTE(SUBSTITUTE(SUBSTITUTE(SUBSTITUTE(SUBSTITUTE(SUBSTITUTE(SUBSTITUTE(SUBSTITUTE(SUBSTITUTE($D302&amp;""," ",""),"　",""),"(주)",""),"（주）",""),"㈜",""),"주식회사",""),"(유)",""),"（유）",""),"유한회사",""))&lt;2,"",SUBSTITUTE(SUBSTITUTE(SUBSTITUTE(SUBSTITUTE(SUBSTITUTE(SUBSTITUTE(SUBSTITUTE(SUBSTITUTE(SUBSTITUTE($D302&amp;""," ",""),"　",""),"(주)",""),"（주）",""),"㈜",""),"주식회사",""),"(유)",""),"（유）",""),"유한회사",""))</f>
        <v/>
      </c>
    </row>
    <row r="303">
      <c r="A303" s="35" t="n"/>
      <c r="B303" s="35" t="n"/>
      <c r="C303" s="35" t="n"/>
      <c r="D303" s="35" t="n"/>
      <c r="E303" s="36" t="n"/>
      <c r="F303" s="35" t="n"/>
      <c r="G303" s="35" t="n"/>
      <c r="I303" s="31">
        <f>IF(TRIM($A303&amp;"")="","",IF(ISNUMBER(--SUBSTITUTE(SUBSTITUTE(TRIM($A303&amp;""),"-","")," ","")),SUBSTITUTE(SUBSTITUTE(TRIM($A303&amp;""),"-","")," ",""),"N:"&amp;TRIM($A303&amp;"")))</f>
        <v/>
      </c>
      <c r="J303" s="31">
        <f>IF(LEN(SUBSTITUTE(SUBSTITUTE(SUBSTITUTE(SUBSTITUTE(SUBSTITUTE(SUBSTITUTE(SUBSTITUTE(SUBSTITUTE(SUBSTITUTE($C303&amp;""," ",""),"　",""),"(주)",""),"（주）",""),"㈜",""),"주식회사",""),"(유)",""),"（유）",""),"유한회사",""))&lt;2,"",SUBSTITUTE(SUBSTITUTE(SUBSTITUTE(SUBSTITUTE(SUBSTITUTE(SUBSTITUTE(SUBSTITUTE(SUBSTITUTE(SUBSTITUTE($C303&amp;""," ",""),"　",""),"(주)",""),"（주）",""),"㈜",""),"주식회사",""),"(유)",""),"（유）",""),"유한회사",""))</f>
        <v/>
      </c>
      <c r="K303" s="31">
        <f>IF(LEN(SUBSTITUTE(SUBSTITUTE(SUBSTITUTE(SUBSTITUTE(SUBSTITUTE(SUBSTITUTE(SUBSTITUTE(SUBSTITUTE(SUBSTITUTE($D303&amp;""," ",""),"　",""),"(주)",""),"（주）",""),"㈜",""),"주식회사",""),"(유)",""),"（유）",""),"유한회사",""))&lt;2,"",SUBSTITUTE(SUBSTITUTE(SUBSTITUTE(SUBSTITUTE(SUBSTITUTE(SUBSTITUTE(SUBSTITUTE(SUBSTITUTE(SUBSTITUTE($D303&amp;""," ",""),"　",""),"(주)",""),"（주）",""),"㈜",""),"주식회사",""),"(유)",""),"（유）",""),"유한회사",""))</f>
        <v/>
      </c>
    </row>
    <row r="304">
      <c r="A304" s="35" t="n"/>
      <c r="B304" s="35" t="n"/>
      <c r="C304" s="35" t="n"/>
      <c r="D304" s="35" t="n"/>
      <c r="E304" s="36" t="n"/>
      <c r="F304" s="35" t="n"/>
      <c r="G304" s="35" t="n"/>
      <c r="I304" s="31">
        <f>IF(TRIM($A304&amp;"")="","",IF(ISNUMBER(--SUBSTITUTE(SUBSTITUTE(TRIM($A304&amp;""),"-","")," ","")),SUBSTITUTE(SUBSTITUTE(TRIM($A304&amp;""),"-","")," ",""),"N:"&amp;TRIM($A304&amp;"")))</f>
        <v/>
      </c>
      <c r="J304" s="31">
        <f>IF(LEN(SUBSTITUTE(SUBSTITUTE(SUBSTITUTE(SUBSTITUTE(SUBSTITUTE(SUBSTITUTE(SUBSTITUTE(SUBSTITUTE(SUBSTITUTE($C304&amp;""," ",""),"　",""),"(주)",""),"（주）",""),"㈜",""),"주식회사",""),"(유)",""),"（유）",""),"유한회사",""))&lt;2,"",SUBSTITUTE(SUBSTITUTE(SUBSTITUTE(SUBSTITUTE(SUBSTITUTE(SUBSTITUTE(SUBSTITUTE(SUBSTITUTE(SUBSTITUTE($C304&amp;""," ",""),"　",""),"(주)",""),"（주）",""),"㈜",""),"주식회사",""),"(유)",""),"（유）",""),"유한회사",""))</f>
        <v/>
      </c>
      <c r="K304" s="31">
        <f>IF(LEN(SUBSTITUTE(SUBSTITUTE(SUBSTITUTE(SUBSTITUTE(SUBSTITUTE(SUBSTITUTE(SUBSTITUTE(SUBSTITUTE(SUBSTITUTE($D304&amp;""," ",""),"　",""),"(주)",""),"（주）",""),"㈜",""),"주식회사",""),"(유)",""),"（유）",""),"유한회사",""))&lt;2,"",SUBSTITUTE(SUBSTITUTE(SUBSTITUTE(SUBSTITUTE(SUBSTITUTE(SUBSTITUTE(SUBSTITUTE(SUBSTITUTE(SUBSTITUTE($D304&amp;""," ",""),"　",""),"(주)",""),"（주）",""),"㈜",""),"주식회사",""),"(유)",""),"（유）",""),"유한회사",""))</f>
        <v/>
      </c>
    </row>
    <row r="305">
      <c r="A305" s="35" t="n"/>
      <c r="B305" s="35" t="n"/>
      <c r="C305" s="35" t="n"/>
      <c r="D305" s="35" t="n"/>
      <c r="E305" s="36" t="n"/>
      <c r="F305" s="35" t="n"/>
      <c r="G305" s="35" t="n"/>
      <c r="I305" s="31">
        <f>IF(TRIM($A305&amp;"")="","",IF(ISNUMBER(--SUBSTITUTE(SUBSTITUTE(TRIM($A305&amp;""),"-","")," ","")),SUBSTITUTE(SUBSTITUTE(TRIM($A305&amp;""),"-","")," ",""),"N:"&amp;TRIM($A305&amp;"")))</f>
        <v/>
      </c>
      <c r="J305" s="31">
        <f>IF(LEN(SUBSTITUTE(SUBSTITUTE(SUBSTITUTE(SUBSTITUTE(SUBSTITUTE(SUBSTITUTE(SUBSTITUTE(SUBSTITUTE(SUBSTITUTE($C305&amp;""," ",""),"　",""),"(주)",""),"（주）",""),"㈜",""),"주식회사",""),"(유)",""),"（유）",""),"유한회사",""))&lt;2,"",SUBSTITUTE(SUBSTITUTE(SUBSTITUTE(SUBSTITUTE(SUBSTITUTE(SUBSTITUTE(SUBSTITUTE(SUBSTITUTE(SUBSTITUTE($C305&amp;""," ",""),"　",""),"(주)",""),"（주）",""),"㈜",""),"주식회사",""),"(유)",""),"（유）",""),"유한회사",""))</f>
        <v/>
      </c>
      <c r="K305" s="31">
        <f>IF(LEN(SUBSTITUTE(SUBSTITUTE(SUBSTITUTE(SUBSTITUTE(SUBSTITUTE(SUBSTITUTE(SUBSTITUTE(SUBSTITUTE(SUBSTITUTE($D305&amp;""," ",""),"　",""),"(주)",""),"（주）",""),"㈜",""),"주식회사",""),"(유)",""),"（유）",""),"유한회사",""))&lt;2,"",SUBSTITUTE(SUBSTITUTE(SUBSTITUTE(SUBSTITUTE(SUBSTITUTE(SUBSTITUTE(SUBSTITUTE(SUBSTITUTE(SUBSTITUTE($D305&amp;""," ",""),"　",""),"(주)",""),"（주）",""),"㈜",""),"주식회사",""),"(유)",""),"（유）",""),"유한회사",""))</f>
        <v/>
      </c>
    </row>
    <row r="306">
      <c r="A306" s="35" t="n"/>
      <c r="B306" s="35" t="n"/>
      <c r="C306" s="35" t="n"/>
      <c r="D306" s="35" t="n"/>
      <c r="E306" s="36" t="n"/>
      <c r="F306" s="35" t="n"/>
      <c r="G306" s="35" t="n"/>
      <c r="I306" s="31">
        <f>IF(TRIM($A306&amp;"")="","",IF(ISNUMBER(--SUBSTITUTE(SUBSTITUTE(TRIM($A306&amp;""),"-","")," ","")),SUBSTITUTE(SUBSTITUTE(TRIM($A306&amp;""),"-","")," ",""),"N:"&amp;TRIM($A306&amp;"")))</f>
        <v/>
      </c>
      <c r="J306" s="31">
        <f>IF(LEN(SUBSTITUTE(SUBSTITUTE(SUBSTITUTE(SUBSTITUTE(SUBSTITUTE(SUBSTITUTE(SUBSTITUTE(SUBSTITUTE(SUBSTITUTE($C306&amp;""," ",""),"　",""),"(주)",""),"（주）",""),"㈜",""),"주식회사",""),"(유)",""),"（유）",""),"유한회사",""))&lt;2,"",SUBSTITUTE(SUBSTITUTE(SUBSTITUTE(SUBSTITUTE(SUBSTITUTE(SUBSTITUTE(SUBSTITUTE(SUBSTITUTE(SUBSTITUTE($C306&amp;""," ",""),"　",""),"(주)",""),"（주）",""),"㈜",""),"주식회사",""),"(유)",""),"（유）",""),"유한회사",""))</f>
        <v/>
      </c>
      <c r="K306" s="31">
        <f>IF(LEN(SUBSTITUTE(SUBSTITUTE(SUBSTITUTE(SUBSTITUTE(SUBSTITUTE(SUBSTITUTE(SUBSTITUTE(SUBSTITUTE(SUBSTITUTE($D306&amp;""," ",""),"　",""),"(주)",""),"（주）",""),"㈜",""),"주식회사",""),"(유)",""),"（유）",""),"유한회사",""))&lt;2,"",SUBSTITUTE(SUBSTITUTE(SUBSTITUTE(SUBSTITUTE(SUBSTITUTE(SUBSTITUTE(SUBSTITUTE(SUBSTITUTE(SUBSTITUTE($D306&amp;""," ",""),"　",""),"(주)",""),"（주）",""),"㈜",""),"주식회사",""),"(유)",""),"（유）",""),"유한회사",""))</f>
        <v/>
      </c>
    </row>
    <row r="307">
      <c r="A307" s="35" t="n"/>
      <c r="B307" s="35" t="n"/>
      <c r="C307" s="35" t="n"/>
      <c r="D307" s="35" t="n"/>
      <c r="E307" s="36" t="n"/>
      <c r="F307" s="35" t="n"/>
      <c r="G307" s="35" t="n"/>
      <c r="I307" s="31">
        <f>IF(TRIM($A307&amp;"")="","",IF(ISNUMBER(--SUBSTITUTE(SUBSTITUTE(TRIM($A307&amp;""),"-","")," ","")),SUBSTITUTE(SUBSTITUTE(TRIM($A307&amp;""),"-","")," ",""),"N:"&amp;TRIM($A307&amp;"")))</f>
        <v/>
      </c>
      <c r="J307" s="31">
        <f>IF(LEN(SUBSTITUTE(SUBSTITUTE(SUBSTITUTE(SUBSTITUTE(SUBSTITUTE(SUBSTITUTE(SUBSTITUTE(SUBSTITUTE(SUBSTITUTE($C307&amp;""," ",""),"　",""),"(주)",""),"（주）",""),"㈜",""),"주식회사",""),"(유)",""),"（유）",""),"유한회사",""))&lt;2,"",SUBSTITUTE(SUBSTITUTE(SUBSTITUTE(SUBSTITUTE(SUBSTITUTE(SUBSTITUTE(SUBSTITUTE(SUBSTITUTE(SUBSTITUTE($C307&amp;""," ",""),"　",""),"(주)",""),"（주）",""),"㈜",""),"주식회사",""),"(유)",""),"（유）",""),"유한회사",""))</f>
        <v/>
      </c>
      <c r="K307" s="31">
        <f>IF(LEN(SUBSTITUTE(SUBSTITUTE(SUBSTITUTE(SUBSTITUTE(SUBSTITUTE(SUBSTITUTE(SUBSTITUTE(SUBSTITUTE(SUBSTITUTE($D307&amp;""," ",""),"　",""),"(주)",""),"（주）",""),"㈜",""),"주식회사",""),"(유)",""),"（유）",""),"유한회사",""))&lt;2,"",SUBSTITUTE(SUBSTITUTE(SUBSTITUTE(SUBSTITUTE(SUBSTITUTE(SUBSTITUTE(SUBSTITUTE(SUBSTITUTE(SUBSTITUTE($D307&amp;""," ",""),"　",""),"(주)",""),"（주）",""),"㈜",""),"주식회사",""),"(유)",""),"（유）",""),"유한회사",""))</f>
        <v/>
      </c>
    </row>
    <row r="308">
      <c r="A308" s="35" t="n"/>
      <c r="B308" s="35" t="n"/>
      <c r="C308" s="35" t="n"/>
      <c r="D308" s="35" t="n"/>
      <c r="E308" s="36" t="n"/>
      <c r="F308" s="35" t="n"/>
      <c r="G308" s="35" t="n"/>
      <c r="I308" s="31">
        <f>IF(TRIM($A308&amp;"")="","",IF(ISNUMBER(--SUBSTITUTE(SUBSTITUTE(TRIM($A308&amp;""),"-","")," ","")),SUBSTITUTE(SUBSTITUTE(TRIM($A308&amp;""),"-","")," ",""),"N:"&amp;TRIM($A308&amp;"")))</f>
        <v/>
      </c>
      <c r="J308" s="31">
        <f>IF(LEN(SUBSTITUTE(SUBSTITUTE(SUBSTITUTE(SUBSTITUTE(SUBSTITUTE(SUBSTITUTE(SUBSTITUTE(SUBSTITUTE(SUBSTITUTE($C308&amp;""," ",""),"　",""),"(주)",""),"（주）",""),"㈜",""),"주식회사",""),"(유)",""),"（유）",""),"유한회사",""))&lt;2,"",SUBSTITUTE(SUBSTITUTE(SUBSTITUTE(SUBSTITUTE(SUBSTITUTE(SUBSTITUTE(SUBSTITUTE(SUBSTITUTE(SUBSTITUTE($C308&amp;""," ",""),"　",""),"(주)",""),"（주）",""),"㈜",""),"주식회사",""),"(유)",""),"（유）",""),"유한회사",""))</f>
        <v/>
      </c>
      <c r="K308" s="31">
        <f>IF(LEN(SUBSTITUTE(SUBSTITUTE(SUBSTITUTE(SUBSTITUTE(SUBSTITUTE(SUBSTITUTE(SUBSTITUTE(SUBSTITUTE(SUBSTITUTE($D308&amp;""," ",""),"　",""),"(주)",""),"（주）",""),"㈜",""),"주식회사",""),"(유)",""),"（유）",""),"유한회사",""))&lt;2,"",SUBSTITUTE(SUBSTITUTE(SUBSTITUTE(SUBSTITUTE(SUBSTITUTE(SUBSTITUTE(SUBSTITUTE(SUBSTITUTE(SUBSTITUTE($D308&amp;""," ",""),"　",""),"(주)",""),"（주）",""),"㈜",""),"주식회사",""),"(유)",""),"（유）",""),"유한회사",""))</f>
        <v/>
      </c>
    </row>
    <row r="309">
      <c r="A309" s="35" t="n"/>
      <c r="B309" s="35" t="n"/>
      <c r="C309" s="35" t="n"/>
      <c r="D309" s="35" t="n"/>
      <c r="E309" s="36" t="n"/>
      <c r="F309" s="35" t="n"/>
      <c r="G309" s="35" t="n"/>
      <c r="I309" s="31">
        <f>IF(TRIM($A309&amp;"")="","",IF(ISNUMBER(--SUBSTITUTE(SUBSTITUTE(TRIM($A309&amp;""),"-","")," ","")),SUBSTITUTE(SUBSTITUTE(TRIM($A309&amp;""),"-","")," ",""),"N:"&amp;TRIM($A309&amp;"")))</f>
        <v/>
      </c>
      <c r="J309" s="31">
        <f>IF(LEN(SUBSTITUTE(SUBSTITUTE(SUBSTITUTE(SUBSTITUTE(SUBSTITUTE(SUBSTITUTE(SUBSTITUTE(SUBSTITUTE(SUBSTITUTE($C309&amp;""," ",""),"　",""),"(주)",""),"（주）",""),"㈜",""),"주식회사",""),"(유)",""),"（유）",""),"유한회사",""))&lt;2,"",SUBSTITUTE(SUBSTITUTE(SUBSTITUTE(SUBSTITUTE(SUBSTITUTE(SUBSTITUTE(SUBSTITUTE(SUBSTITUTE(SUBSTITUTE($C309&amp;""," ",""),"　",""),"(주)",""),"（주）",""),"㈜",""),"주식회사",""),"(유)",""),"（유）",""),"유한회사",""))</f>
        <v/>
      </c>
      <c r="K309" s="31">
        <f>IF(LEN(SUBSTITUTE(SUBSTITUTE(SUBSTITUTE(SUBSTITUTE(SUBSTITUTE(SUBSTITUTE(SUBSTITUTE(SUBSTITUTE(SUBSTITUTE($D309&amp;""," ",""),"　",""),"(주)",""),"（주）",""),"㈜",""),"주식회사",""),"(유)",""),"（유）",""),"유한회사",""))&lt;2,"",SUBSTITUTE(SUBSTITUTE(SUBSTITUTE(SUBSTITUTE(SUBSTITUTE(SUBSTITUTE(SUBSTITUTE(SUBSTITUTE(SUBSTITUTE($D309&amp;""," ",""),"　",""),"(주)",""),"（주）",""),"㈜",""),"주식회사",""),"(유)",""),"（유）",""),"유한회사",""))</f>
        <v/>
      </c>
    </row>
    <row r="310">
      <c r="A310" s="35" t="n"/>
      <c r="B310" s="35" t="n"/>
      <c r="C310" s="35" t="n"/>
      <c r="D310" s="35" t="n"/>
      <c r="E310" s="36" t="n"/>
      <c r="F310" s="35" t="n"/>
      <c r="G310" s="35" t="n"/>
      <c r="I310" s="31">
        <f>IF(TRIM($A310&amp;"")="","",IF(ISNUMBER(--SUBSTITUTE(SUBSTITUTE(TRIM($A310&amp;""),"-","")," ","")),SUBSTITUTE(SUBSTITUTE(TRIM($A310&amp;""),"-","")," ",""),"N:"&amp;TRIM($A310&amp;"")))</f>
        <v/>
      </c>
      <c r="J310" s="31">
        <f>IF(LEN(SUBSTITUTE(SUBSTITUTE(SUBSTITUTE(SUBSTITUTE(SUBSTITUTE(SUBSTITUTE(SUBSTITUTE(SUBSTITUTE(SUBSTITUTE($C310&amp;""," ",""),"　",""),"(주)",""),"（주）",""),"㈜",""),"주식회사",""),"(유)",""),"（유）",""),"유한회사",""))&lt;2,"",SUBSTITUTE(SUBSTITUTE(SUBSTITUTE(SUBSTITUTE(SUBSTITUTE(SUBSTITUTE(SUBSTITUTE(SUBSTITUTE(SUBSTITUTE($C310&amp;""," ",""),"　",""),"(주)",""),"（주）",""),"㈜",""),"주식회사",""),"(유)",""),"（유）",""),"유한회사",""))</f>
        <v/>
      </c>
      <c r="K310" s="31">
        <f>IF(LEN(SUBSTITUTE(SUBSTITUTE(SUBSTITUTE(SUBSTITUTE(SUBSTITUTE(SUBSTITUTE(SUBSTITUTE(SUBSTITUTE(SUBSTITUTE($D310&amp;""," ",""),"　",""),"(주)",""),"（주）",""),"㈜",""),"주식회사",""),"(유)",""),"（유）",""),"유한회사",""))&lt;2,"",SUBSTITUTE(SUBSTITUTE(SUBSTITUTE(SUBSTITUTE(SUBSTITUTE(SUBSTITUTE(SUBSTITUTE(SUBSTITUTE(SUBSTITUTE($D310&amp;""," ",""),"　",""),"(주)",""),"（주）",""),"㈜",""),"주식회사",""),"(유)",""),"（유）",""),"유한회사",""))</f>
        <v/>
      </c>
    </row>
    <row r="311">
      <c r="A311" s="35" t="n"/>
      <c r="B311" s="35" t="n"/>
      <c r="C311" s="35" t="n"/>
      <c r="D311" s="35" t="n"/>
      <c r="E311" s="36" t="n"/>
      <c r="F311" s="35" t="n"/>
      <c r="G311" s="35" t="n"/>
      <c r="I311" s="31">
        <f>IF(TRIM($A311&amp;"")="","",IF(ISNUMBER(--SUBSTITUTE(SUBSTITUTE(TRIM($A311&amp;""),"-","")," ","")),SUBSTITUTE(SUBSTITUTE(TRIM($A311&amp;""),"-","")," ",""),"N:"&amp;TRIM($A311&amp;"")))</f>
        <v/>
      </c>
      <c r="J311" s="31">
        <f>IF(LEN(SUBSTITUTE(SUBSTITUTE(SUBSTITUTE(SUBSTITUTE(SUBSTITUTE(SUBSTITUTE(SUBSTITUTE(SUBSTITUTE(SUBSTITUTE($C311&amp;""," ",""),"　",""),"(주)",""),"（주）",""),"㈜",""),"주식회사",""),"(유)",""),"（유）",""),"유한회사",""))&lt;2,"",SUBSTITUTE(SUBSTITUTE(SUBSTITUTE(SUBSTITUTE(SUBSTITUTE(SUBSTITUTE(SUBSTITUTE(SUBSTITUTE(SUBSTITUTE($C311&amp;""," ",""),"　",""),"(주)",""),"（주）",""),"㈜",""),"주식회사",""),"(유)",""),"（유）",""),"유한회사",""))</f>
        <v/>
      </c>
      <c r="K311" s="31">
        <f>IF(LEN(SUBSTITUTE(SUBSTITUTE(SUBSTITUTE(SUBSTITUTE(SUBSTITUTE(SUBSTITUTE(SUBSTITUTE(SUBSTITUTE(SUBSTITUTE($D311&amp;""," ",""),"　",""),"(주)",""),"（주）",""),"㈜",""),"주식회사",""),"(유)",""),"（유）",""),"유한회사",""))&lt;2,"",SUBSTITUTE(SUBSTITUTE(SUBSTITUTE(SUBSTITUTE(SUBSTITUTE(SUBSTITUTE(SUBSTITUTE(SUBSTITUTE(SUBSTITUTE($D311&amp;""," ",""),"　",""),"(주)",""),"（주）",""),"㈜",""),"주식회사",""),"(유)",""),"（유）",""),"유한회사",""))</f>
        <v/>
      </c>
    </row>
    <row r="312">
      <c r="A312" s="35" t="n"/>
      <c r="B312" s="35" t="n"/>
      <c r="C312" s="35" t="n"/>
      <c r="D312" s="35" t="n"/>
      <c r="E312" s="36" t="n"/>
      <c r="F312" s="35" t="n"/>
      <c r="G312" s="35" t="n"/>
      <c r="I312" s="31">
        <f>IF(TRIM($A312&amp;"")="","",IF(ISNUMBER(--SUBSTITUTE(SUBSTITUTE(TRIM($A312&amp;""),"-","")," ","")),SUBSTITUTE(SUBSTITUTE(TRIM($A312&amp;""),"-","")," ",""),"N:"&amp;TRIM($A312&amp;"")))</f>
        <v/>
      </c>
      <c r="J312" s="31">
        <f>IF(LEN(SUBSTITUTE(SUBSTITUTE(SUBSTITUTE(SUBSTITUTE(SUBSTITUTE(SUBSTITUTE(SUBSTITUTE(SUBSTITUTE(SUBSTITUTE($C312&amp;""," ",""),"　",""),"(주)",""),"（주）",""),"㈜",""),"주식회사",""),"(유)",""),"（유）",""),"유한회사",""))&lt;2,"",SUBSTITUTE(SUBSTITUTE(SUBSTITUTE(SUBSTITUTE(SUBSTITUTE(SUBSTITUTE(SUBSTITUTE(SUBSTITUTE(SUBSTITUTE($C312&amp;""," ",""),"　",""),"(주)",""),"（주）",""),"㈜",""),"주식회사",""),"(유)",""),"（유）",""),"유한회사",""))</f>
        <v/>
      </c>
      <c r="K312" s="31">
        <f>IF(LEN(SUBSTITUTE(SUBSTITUTE(SUBSTITUTE(SUBSTITUTE(SUBSTITUTE(SUBSTITUTE(SUBSTITUTE(SUBSTITUTE(SUBSTITUTE($D312&amp;""," ",""),"　",""),"(주)",""),"（주）",""),"㈜",""),"주식회사",""),"(유)",""),"（유）",""),"유한회사",""))&lt;2,"",SUBSTITUTE(SUBSTITUTE(SUBSTITUTE(SUBSTITUTE(SUBSTITUTE(SUBSTITUTE(SUBSTITUTE(SUBSTITUTE(SUBSTITUTE($D312&amp;""," ",""),"　",""),"(주)",""),"（주）",""),"㈜",""),"주식회사",""),"(유)",""),"（유）",""),"유한회사",""))</f>
        <v/>
      </c>
    </row>
    <row r="313">
      <c r="A313" s="35" t="n"/>
      <c r="B313" s="35" t="n"/>
      <c r="C313" s="35" t="n"/>
      <c r="D313" s="35" t="n"/>
      <c r="E313" s="36" t="n"/>
      <c r="F313" s="35" t="n"/>
      <c r="G313" s="35" t="n"/>
      <c r="I313" s="31">
        <f>IF(TRIM($A313&amp;"")="","",IF(ISNUMBER(--SUBSTITUTE(SUBSTITUTE(TRIM($A313&amp;""),"-","")," ","")),SUBSTITUTE(SUBSTITUTE(TRIM($A313&amp;""),"-","")," ",""),"N:"&amp;TRIM($A313&amp;"")))</f>
        <v/>
      </c>
      <c r="J313" s="31">
        <f>IF(LEN(SUBSTITUTE(SUBSTITUTE(SUBSTITUTE(SUBSTITUTE(SUBSTITUTE(SUBSTITUTE(SUBSTITUTE(SUBSTITUTE(SUBSTITUTE($C313&amp;""," ",""),"　",""),"(주)",""),"（주）",""),"㈜",""),"주식회사",""),"(유)",""),"（유）",""),"유한회사",""))&lt;2,"",SUBSTITUTE(SUBSTITUTE(SUBSTITUTE(SUBSTITUTE(SUBSTITUTE(SUBSTITUTE(SUBSTITUTE(SUBSTITUTE(SUBSTITUTE($C313&amp;""," ",""),"　",""),"(주)",""),"（주）",""),"㈜",""),"주식회사",""),"(유)",""),"（유）",""),"유한회사",""))</f>
        <v/>
      </c>
      <c r="K313" s="31">
        <f>IF(LEN(SUBSTITUTE(SUBSTITUTE(SUBSTITUTE(SUBSTITUTE(SUBSTITUTE(SUBSTITUTE(SUBSTITUTE(SUBSTITUTE(SUBSTITUTE($D313&amp;""," ",""),"　",""),"(주)",""),"（주）",""),"㈜",""),"주식회사",""),"(유)",""),"（유）",""),"유한회사",""))&lt;2,"",SUBSTITUTE(SUBSTITUTE(SUBSTITUTE(SUBSTITUTE(SUBSTITUTE(SUBSTITUTE(SUBSTITUTE(SUBSTITUTE(SUBSTITUTE($D313&amp;""," ",""),"　",""),"(주)",""),"（주）",""),"㈜",""),"주식회사",""),"(유)",""),"（유）",""),"유한회사",""))</f>
        <v/>
      </c>
    </row>
    <row r="314">
      <c r="A314" s="35" t="n"/>
      <c r="B314" s="35" t="n"/>
      <c r="C314" s="35" t="n"/>
      <c r="D314" s="35" t="n"/>
      <c r="E314" s="36" t="n"/>
      <c r="F314" s="35" t="n"/>
      <c r="G314" s="35" t="n"/>
      <c r="I314" s="31">
        <f>IF(TRIM($A314&amp;"")="","",IF(ISNUMBER(--SUBSTITUTE(SUBSTITUTE(TRIM($A314&amp;""),"-","")," ","")),SUBSTITUTE(SUBSTITUTE(TRIM($A314&amp;""),"-","")," ",""),"N:"&amp;TRIM($A314&amp;"")))</f>
        <v/>
      </c>
      <c r="J314" s="31">
        <f>IF(LEN(SUBSTITUTE(SUBSTITUTE(SUBSTITUTE(SUBSTITUTE(SUBSTITUTE(SUBSTITUTE(SUBSTITUTE(SUBSTITUTE(SUBSTITUTE($C314&amp;""," ",""),"　",""),"(주)",""),"（주）",""),"㈜",""),"주식회사",""),"(유)",""),"（유）",""),"유한회사",""))&lt;2,"",SUBSTITUTE(SUBSTITUTE(SUBSTITUTE(SUBSTITUTE(SUBSTITUTE(SUBSTITUTE(SUBSTITUTE(SUBSTITUTE(SUBSTITUTE($C314&amp;""," ",""),"　",""),"(주)",""),"（주）",""),"㈜",""),"주식회사",""),"(유)",""),"（유）",""),"유한회사",""))</f>
        <v/>
      </c>
      <c r="K314" s="31">
        <f>IF(LEN(SUBSTITUTE(SUBSTITUTE(SUBSTITUTE(SUBSTITUTE(SUBSTITUTE(SUBSTITUTE(SUBSTITUTE(SUBSTITUTE(SUBSTITUTE($D314&amp;""," ",""),"　",""),"(주)",""),"（주）",""),"㈜",""),"주식회사",""),"(유)",""),"（유）",""),"유한회사",""))&lt;2,"",SUBSTITUTE(SUBSTITUTE(SUBSTITUTE(SUBSTITUTE(SUBSTITUTE(SUBSTITUTE(SUBSTITUTE(SUBSTITUTE(SUBSTITUTE($D314&amp;""," ",""),"　",""),"(주)",""),"（주）",""),"㈜",""),"주식회사",""),"(유)",""),"（유）",""),"유한회사",""))</f>
        <v/>
      </c>
    </row>
    <row r="315">
      <c r="A315" s="35" t="n"/>
      <c r="B315" s="35" t="n"/>
      <c r="C315" s="35" t="n"/>
      <c r="D315" s="35" t="n"/>
      <c r="E315" s="36" t="n"/>
      <c r="F315" s="35" t="n"/>
      <c r="G315" s="35" t="n"/>
      <c r="I315" s="31">
        <f>IF(TRIM($A315&amp;"")="","",IF(ISNUMBER(--SUBSTITUTE(SUBSTITUTE(TRIM($A315&amp;""),"-","")," ","")),SUBSTITUTE(SUBSTITUTE(TRIM($A315&amp;""),"-","")," ",""),"N:"&amp;TRIM($A315&amp;"")))</f>
        <v/>
      </c>
      <c r="J315" s="31">
        <f>IF(LEN(SUBSTITUTE(SUBSTITUTE(SUBSTITUTE(SUBSTITUTE(SUBSTITUTE(SUBSTITUTE(SUBSTITUTE(SUBSTITUTE(SUBSTITUTE($C315&amp;""," ",""),"　",""),"(주)",""),"（주）",""),"㈜",""),"주식회사",""),"(유)",""),"（유）",""),"유한회사",""))&lt;2,"",SUBSTITUTE(SUBSTITUTE(SUBSTITUTE(SUBSTITUTE(SUBSTITUTE(SUBSTITUTE(SUBSTITUTE(SUBSTITUTE(SUBSTITUTE($C315&amp;""," ",""),"　",""),"(주)",""),"（주）",""),"㈜",""),"주식회사",""),"(유)",""),"（유）",""),"유한회사",""))</f>
        <v/>
      </c>
      <c r="K315" s="31">
        <f>IF(LEN(SUBSTITUTE(SUBSTITUTE(SUBSTITUTE(SUBSTITUTE(SUBSTITUTE(SUBSTITUTE(SUBSTITUTE(SUBSTITUTE(SUBSTITUTE($D315&amp;""," ",""),"　",""),"(주)",""),"（주）",""),"㈜",""),"주식회사",""),"(유)",""),"（유）",""),"유한회사",""))&lt;2,"",SUBSTITUTE(SUBSTITUTE(SUBSTITUTE(SUBSTITUTE(SUBSTITUTE(SUBSTITUTE(SUBSTITUTE(SUBSTITUTE(SUBSTITUTE($D315&amp;""," ",""),"　",""),"(주)",""),"（주）",""),"㈜",""),"주식회사",""),"(유)",""),"（유）",""),"유한회사",""))</f>
        <v/>
      </c>
    </row>
    <row r="316">
      <c r="A316" s="35" t="n"/>
      <c r="B316" s="35" t="n"/>
      <c r="C316" s="35" t="n"/>
      <c r="D316" s="35" t="n"/>
      <c r="E316" s="36" t="n"/>
      <c r="F316" s="35" t="n"/>
      <c r="G316" s="35" t="n"/>
      <c r="I316" s="31">
        <f>IF(TRIM($A316&amp;"")="","",IF(ISNUMBER(--SUBSTITUTE(SUBSTITUTE(TRIM($A316&amp;""),"-","")," ","")),SUBSTITUTE(SUBSTITUTE(TRIM($A316&amp;""),"-","")," ",""),"N:"&amp;TRIM($A316&amp;"")))</f>
        <v/>
      </c>
      <c r="J316" s="31">
        <f>IF(LEN(SUBSTITUTE(SUBSTITUTE(SUBSTITUTE(SUBSTITUTE(SUBSTITUTE(SUBSTITUTE(SUBSTITUTE(SUBSTITUTE(SUBSTITUTE($C316&amp;""," ",""),"　",""),"(주)",""),"（주）",""),"㈜",""),"주식회사",""),"(유)",""),"（유）",""),"유한회사",""))&lt;2,"",SUBSTITUTE(SUBSTITUTE(SUBSTITUTE(SUBSTITUTE(SUBSTITUTE(SUBSTITUTE(SUBSTITUTE(SUBSTITUTE(SUBSTITUTE($C316&amp;""," ",""),"　",""),"(주)",""),"（주）",""),"㈜",""),"주식회사",""),"(유)",""),"（유）",""),"유한회사",""))</f>
        <v/>
      </c>
      <c r="K316" s="31">
        <f>IF(LEN(SUBSTITUTE(SUBSTITUTE(SUBSTITUTE(SUBSTITUTE(SUBSTITUTE(SUBSTITUTE(SUBSTITUTE(SUBSTITUTE(SUBSTITUTE($D316&amp;""," ",""),"　",""),"(주)",""),"（주）",""),"㈜",""),"주식회사",""),"(유)",""),"（유）",""),"유한회사",""))&lt;2,"",SUBSTITUTE(SUBSTITUTE(SUBSTITUTE(SUBSTITUTE(SUBSTITUTE(SUBSTITUTE(SUBSTITUTE(SUBSTITUTE(SUBSTITUTE($D316&amp;""," ",""),"　",""),"(주)",""),"（주）",""),"㈜",""),"주식회사",""),"(유)",""),"（유）",""),"유한회사",""))</f>
        <v/>
      </c>
    </row>
    <row r="317">
      <c r="A317" s="35" t="n"/>
      <c r="B317" s="35" t="n"/>
      <c r="C317" s="35" t="n"/>
      <c r="D317" s="35" t="n"/>
      <c r="E317" s="36" t="n"/>
      <c r="F317" s="35" t="n"/>
      <c r="G317" s="35" t="n"/>
      <c r="I317" s="31">
        <f>IF(TRIM($A317&amp;"")="","",IF(ISNUMBER(--SUBSTITUTE(SUBSTITUTE(TRIM($A317&amp;""),"-","")," ","")),SUBSTITUTE(SUBSTITUTE(TRIM($A317&amp;""),"-","")," ",""),"N:"&amp;TRIM($A317&amp;"")))</f>
        <v/>
      </c>
      <c r="J317" s="31">
        <f>IF(LEN(SUBSTITUTE(SUBSTITUTE(SUBSTITUTE(SUBSTITUTE(SUBSTITUTE(SUBSTITUTE(SUBSTITUTE(SUBSTITUTE(SUBSTITUTE($C317&amp;""," ",""),"　",""),"(주)",""),"（주）",""),"㈜",""),"주식회사",""),"(유)",""),"（유）",""),"유한회사",""))&lt;2,"",SUBSTITUTE(SUBSTITUTE(SUBSTITUTE(SUBSTITUTE(SUBSTITUTE(SUBSTITUTE(SUBSTITUTE(SUBSTITUTE(SUBSTITUTE($C317&amp;""," ",""),"　",""),"(주)",""),"（주）",""),"㈜",""),"주식회사",""),"(유)",""),"（유）",""),"유한회사",""))</f>
        <v/>
      </c>
      <c r="K317" s="31">
        <f>IF(LEN(SUBSTITUTE(SUBSTITUTE(SUBSTITUTE(SUBSTITUTE(SUBSTITUTE(SUBSTITUTE(SUBSTITUTE(SUBSTITUTE(SUBSTITUTE($D317&amp;""," ",""),"　",""),"(주)",""),"（주）",""),"㈜",""),"주식회사",""),"(유)",""),"（유）",""),"유한회사",""))&lt;2,"",SUBSTITUTE(SUBSTITUTE(SUBSTITUTE(SUBSTITUTE(SUBSTITUTE(SUBSTITUTE(SUBSTITUTE(SUBSTITUTE(SUBSTITUTE($D317&amp;""," ",""),"　",""),"(주)",""),"（주）",""),"㈜",""),"주식회사",""),"(유)",""),"（유）",""),"유한회사",""))</f>
        <v/>
      </c>
    </row>
    <row r="318">
      <c r="A318" s="35" t="n"/>
      <c r="B318" s="35" t="n"/>
      <c r="C318" s="35" t="n"/>
      <c r="D318" s="35" t="n"/>
      <c r="E318" s="36" t="n"/>
      <c r="F318" s="35" t="n"/>
      <c r="G318" s="35" t="n"/>
      <c r="I318" s="31">
        <f>IF(TRIM($A318&amp;"")="","",IF(ISNUMBER(--SUBSTITUTE(SUBSTITUTE(TRIM($A318&amp;""),"-","")," ","")),SUBSTITUTE(SUBSTITUTE(TRIM($A318&amp;""),"-","")," ",""),"N:"&amp;TRIM($A318&amp;"")))</f>
        <v/>
      </c>
      <c r="J318" s="31">
        <f>IF(LEN(SUBSTITUTE(SUBSTITUTE(SUBSTITUTE(SUBSTITUTE(SUBSTITUTE(SUBSTITUTE(SUBSTITUTE(SUBSTITUTE(SUBSTITUTE($C318&amp;""," ",""),"　",""),"(주)",""),"（주）",""),"㈜",""),"주식회사",""),"(유)",""),"（유）",""),"유한회사",""))&lt;2,"",SUBSTITUTE(SUBSTITUTE(SUBSTITUTE(SUBSTITUTE(SUBSTITUTE(SUBSTITUTE(SUBSTITUTE(SUBSTITUTE(SUBSTITUTE($C318&amp;""," ",""),"　",""),"(주)",""),"（주）",""),"㈜",""),"주식회사",""),"(유)",""),"（유）",""),"유한회사",""))</f>
        <v/>
      </c>
      <c r="K318" s="31">
        <f>IF(LEN(SUBSTITUTE(SUBSTITUTE(SUBSTITUTE(SUBSTITUTE(SUBSTITUTE(SUBSTITUTE(SUBSTITUTE(SUBSTITUTE(SUBSTITUTE($D318&amp;""," ",""),"　",""),"(주)",""),"（주）",""),"㈜",""),"주식회사",""),"(유)",""),"（유）",""),"유한회사",""))&lt;2,"",SUBSTITUTE(SUBSTITUTE(SUBSTITUTE(SUBSTITUTE(SUBSTITUTE(SUBSTITUTE(SUBSTITUTE(SUBSTITUTE(SUBSTITUTE($D318&amp;""," ",""),"　",""),"(주)",""),"（주）",""),"㈜",""),"주식회사",""),"(유)",""),"（유）",""),"유한회사",""))</f>
        <v/>
      </c>
    </row>
    <row r="319">
      <c r="A319" s="35" t="n"/>
      <c r="B319" s="35" t="n"/>
      <c r="C319" s="35" t="n"/>
      <c r="D319" s="35" t="n"/>
      <c r="E319" s="36" t="n"/>
      <c r="F319" s="35" t="n"/>
      <c r="G319" s="35" t="n"/>
      <c r="I319" s="31">
        <f>IF(TRIM($A319&amp;"")="","",IF(ISNUMBER(--SUBSTITUTE(SUBSTITUTE(TRIM($A319&amp;""),"-","")," ","")),SUBSTITUTE(SUBSTITUTE(TRIM($A319&amp;""),"-","")," ",""),"N:"&amp;TRIM($A319&amp;"")))</f>
        <v/>
      </c>
      <c r="J319" s="31">
        <f>IF(LEN(SUBSTITUTE(SUBSTITUTE(SUBSTITUTE(SUBSTITUTE(SUBSTITUTE(SUBSTITUTE(SUBSTITUTE(SUBSTITUTE(SUBSTITUTE($C319&amp;""," ",""),"　",""),"(주)",""),"（주）",""),"㈜",""),"주식회사",""),"(유)",""),"（유）",""),"유한회사",""))&lt;2,"",SUBSTITUTE(SUBSTITUTE(SUBSTITUTE(SUBSTITUTE(SUBSTITUTE(SUBSTITUTE(SUBSTITUTE(SUBSTITUTE(SUBSTITUTE($C319&amp;""," ",""),"　",""),"(주)",""),"（주）",""),"㈜",""),"주식회사",""),"(유)",""),"（유）",""),"유한회사",""))</f>
        <v/>
      </c>
      <c r="K319" s="31">
        <f>IF(LEN(SUBSTITUTE(SUBSTITUTE(SUBSTITUTE(SUBSTITUTE(SUBSTITUTE(SUBSTITUTE(SUBSTITUTE(SUBSTITUTE(SUBSTITUTE($D319&amp;""," ",""),"　",""),"(주)",""),"（주）",""),"㈜",""),"주식회사",""),"(유)",""),"（유）",""),"유한회사",""))&lt;2,"",SUBSTITUTE(SUBSTITUTE(SUBSTITUTE(SUBSTITUTE(SUBSTITUTE(SUBSTITUTE(SUBSTITUTE(SUBSTITUTE(SUBSTITUTE($D319&amp;""," ",""),"　",""),"(주)",""),"（주）",""),"㈜",""),"주식회사",""),"(유)",""),"（유）",""),"유한회사",""))</f>
        <v/>
      </c>
    </row>
    <row r="320">
      <c r="A320" s="35" t="n"/>
      <c r="B320" s="35" t="n"/>
      <c r="C320" s="35" t="n"/>
      <c r="D320" s="35" t="n"/>
      <c r="E320" s="36" t="n"/>
      <c r="F320" s="35" t="n"/>
      <c r="G320" s="35" t="n"/>
      <c r="I320" s="31">
        <f>IF(TRIM($A320&amp;"")="","",IF(ISNUMBER(--SUBSTITUTE(SUBSTITUTE(TRIM($A320&amp;""),"-","")," ","")),SUBSTITUTE(SUBSTITUTE(TRIM($A320&amp;""),"-","")," ",""),"N:"&amp;TRIM($A320&amp;"")))</f>
        <v/>
      </c>
      <c r="J320" s="31">
        <f>IF(LEN(SUBSTITUTE(SUBSTITUTE(SUBSTITUTE(SUBSTITUTE(SUBSTITUTE(SUBSTITUTE(SUBSTITUTE(SUBSTITUTE(SUBSTITUTE($C320&amp;""," ",""),"　",""),"(주)",""),"（주）",""),"㈜",""),"주식회사",""),"(유)",""),"（유）",""),"유한회사",""))&lt;2,"",SUBSTITUTE(SUBSTITUTE(SUBSTITUTE(SUBSTITUTE(SUBSTITUTE(SUBSTITUTE(SUBSTITUTE(SUBSTITUTE(SUBSTITUTE($C320&amp;""," ",""),"　",""),"(주)",""),"（주）",""),"㈜",""),"주식회사",""),"(유)",""),"（유）",""),"유한회사",""))</f>
        <v/>
      </c>
      <c r="K320" s="31">
        <f>IF(LEN(SUBSTITUTE(SUBSTITUTE(SUBSTITUTE(SUBSTITUTE(SUBSTITUTE(SUBSTITUTE(SUBSTITUTE(SUBSTITUTE(SUBSTITUTE($D320&amp;""," ",""),"　",""),"(주)",""),"（주）",""),"㈜",""),"주식회사",""),"(유)",""),"（유）",""),"유한회사",""))&lt;2,"",SUBSTITUTE(SUBSTITUTE(SUBSTITUTE(SUBSTITUTE(SUBSTITUTE(SUBSTITUTE(SUBSTITUTE(SUBSTITUTE(SUBSTITUTE($D320&amp;""," ",""),"　",""),"(주)",""),"（주）",""),"㈜",""),"주식회사",""),"(유)",""),"（유）",""),"유한회사",""))</f>
        <v/>
      </c>
    </row>
    <row r="321">
      <c r="A321" s="35" t="n"/>
      <c r="B321" s="35" t="n"/>
      <c r="C321" s="35" t="n"/>
      <c r="D321" s="35" t="n"/>
      <c r="E321" s="36" t="n"/>
      <c r="F321" s="35" t="n"/>
      <c r="G321" s="35" t="n"/>
      <c r="I321" s="31">
        <f>IF(TRIM($A321&amp;"")="","",IF(ISNUMBER(--SUBSTITUTE(SUBSTITUTE(TRIM($A321&amp;""),"-","")," ","")),SUBSTITUTE(SUBSTITUTE(TRIM($A321&amp;""),"-","")," ",""),"N:"&amp;TRIM($A321&amp;"")))</f>
        <v/>
      </c>
      <c r="J321" s="31">
        <f>IF(LEN(SUBSTITUTE(SUBSTITUTE(SUBSTITUTE(SUBSTITUTE(SUBSTITUTE(SUBSTITUTE(SUBSTITUTE(SUBSTITUTE(SUBSTITUTE($C321&amp;""," ",""),"　",""),"(주)",""),"（주）",""),"㈜",""),"주식회사",""),"(유)",""),"（유）",""),"유한회사",""))&lt;2,"",SUBSTITUTE(SUBSTITUTE(SUBSTITUTE(SUBSTITUTE(SUBSTITUTE(SUBSTITUTE(SUBSTITUTE(SUBSTITUTE(SUBSTITUTE($C321&amp;""," ",""),"　",""),"(주)",""),"（주）",""),"㈜",""),"주식회사",""),"(유)",""),"（유）",""),"유한회사",""))</f>
        <v/>
      </c>
      <c r="K321" s="31">
        <f>IF(LEN(SUBSTITUTE(SUBSTITUTE(SUBSTITUTE(SUBSTITUTE(SUBSTITUTE(SUBSTITUTE(SUBSTITUTE(SUBSTITUTE(SUBSTITUTE($D321&amp;""," ",""),"　",""),"(주)",""),"（주）",""),"㈜",""),"주식회사",""),"(유)",""),"（유）",""),"유한회사",""))&lt;2,"",SUBSTITUTE(SUBSTITUTE(SUBSTITUTE(SUBSTITUTE(SUBSTITUTE(SUBSTITUTE(SUBSTITUTE(SUBSTITUTE(SUBSTITUTE($D321&amp;""," ",""),"　",""),"(주)",""),"（주）",""),"㈜",""),"주식회사",""),"(유)",""),"（유）",""),"유한회사",""))</f>
        <v/>
      </c>
    </row>
    <row r="322">
      <c r="A322" s="35" t="n"/>
      <c r="B322" s="35" t="n"/>
      <c r="C322" s="35" t="n"/>
      <c r="D322" s="35" t="n"/>
      <c r="E322" s="36" t="n"/>
      <c r="F322" s="35" t="n"/>
      <c r="G322" s="35" t="n"/>
      <c r="I322" s="31">
        <f>IF(TRIM($A322&amp;"")="","",IF(ISNUMBER(--SUBSTITUTE(SUBSTITUTE(TRIM($A322&amp;""),"-","")," ","")),SUBSTITUTE(SUBSTITUTE(TRIM($A322&amp;""),"-","")," ",""),"N:"&amp;TRIM($A322&amp;"")))</f>
        <v/>
      </c>
      <c r="J322" s="31">
        <f>IF(LEN(SUBSTITUTE(SUBSTITUTE(SUBSTITUTE(SUBSTITUTE(SUBSTITUTE(SUBSTITUTE(SUBSTITUTE(SUBSTITUTE(SUBSTITUTE($C322&amp;""," ",""),"　",""),"(주)",""),"（주）",""),"㈜",""),"주식회사",""),"(유)",""),"（유）",""),"유한회사",""))&lt;2,"",SUBSTITUTE(SUBSTITUTE(SUBSTITUTE(SUBSTITUTE(SUBSTITUTE(SUBSTITUTE(SUBSTITUTE(SUBSTITUTE(SUBSTITUTE($C322&amp;""," ",""),"　",""),"(주)",""),"（주）",""),"㈜",""),"주식회사",""),"(유)",""),"（유）",""),"유한회사",""))</f>
        <v/>
      </c>
      <c r="K322" s="31">
        <f>IF(LEN(SUBSTITUTE(SUBSTITUTE(SUBSTITUTE(SUBSTITUTE(SUBSTITUTE(SUBSTITUTE(SUBSTITUTE(SUBSTITUTE(SUBSTITUTE($D322&amp;""," ",""),"　",""),"(주)",""),"（주）",""),"㈜",""),"주식회사",""),"(유)",""),"（유）",""),"유한회사",""))&lt;2,"",SUBSTITUTE(SUBSTITUTE(SUBSTITUTE(SUBSTITUTE(SUBSTITUTE(SUBSTITUTE(SUBSTITUTE(SUBSTITUTE(SUBSTITUTE($D322&amp;""," ",""),"　",""),"(주)",""),"（주）",""),"㈜",""),"주식회사",""),"(유)",""),"（유）",""),"유한회사",""))</f>
        <v/>
      </c>
    </row>
    <row r="323">
      <c r="A323" s="35" t="n"/>
      <c r="B323" s="35" t="n"/>
      <c r="C323" s="35" t="n"/>
      <c r="D323" s="35" t="n"/>
      <c r="E323" s="36" t="n"/>
      <c r="F323" s="35" t="n"/>
      <c r="G323" s="35" t="n"/>
      <c r="I323" s="31">
        <f>IF(TRIM($A323&amp;"")="","",IF(ISNUMBER(--SUBSTITUTE(SUBSTITUTE(TRIM($A323&amp;""),"-","")," ","")),SUBSTITUTE(SUBSTITUTE(TRIM($A323&amp;""),"-","")," ",""),"N:"&amp;TRIM($A323&amp;"")))</f>
        <v/>
      </c>
      <c r="J323" s="31">
        <f>IF(LEN(SUBSTITUTE(SUBSTITUTE(SUBSTITUTE(SUBSTITUTE(SUBSTITUTE(SUBSTITUTE(SUBSTITUTE(SUBSTITUTE(SUBSTITUTE($C323&amp;""," ",""),"　",""),"(주)",""),"（주）",""),"㈜",""),"주식회사",""),"(유)",""),"（유）",""),"유한회사",""))&lt;2,"",SUBSTITUTE(SUBSTITUTE(SUBSTITUTE(SUBSTITUTE(SUBSTITUTE(SUBSTITUTE(SUBSTITUTE(SUBSTITUTE(SUBSTITUTE($C323&amp;""," ",""),"　",""),"(주)",""),"（주）",""),"㈜",""),"주식회사",""),"(유)",""),"（유）",""),"유한회사",""))</f>
        <v/>
      </c>
      <c r="K323" s="31">
        <f>IF(LEN(SUBSTITUTE(SUBSTITUTE(SUBSTITUTE(SUBSTITUTE(SUBSTITUTE(SUBSTITUTE(SUBSTITUTE(SUBSTITUTE(SUBSTITUTE($D323&amp;""," ",""),"　",""),"(주)",""),"（주）",""),"㈜",""),"주식회사",""),"(유)",""),"（유）",""),"유한회사",""))&lt;2,"",SUBSTITUTE(SUBSTITUTE(SUBSTITUTE(SUBSTITUTE(SUBSTITUTE(SUBSTITUTE(SUBSTITUTE(SUBSTITUTE(SUBSTITUTE($D323&amp;""," ",""),"　",""),"(주)",""),"（주）",""),"㈜",""),"주식회사",""),"(유)",""),"（유）",""),"유한회사",""))</f>
        <v/>
      </c>
    </row>
    <row r="324">
      <c r="A324" s="35" t="n"/>
      <c r="B324" s="35" t="n"/>
      <c r="C324" s="35" t="n"/>
      <c r="D324" s="35" t="n"/>
      <c r="E324" s="36" t="n"/>
      <c r="F324" s="35" t="n"/>
      <c r="G324" s="35" t="n"/>
      <c r="I324" s="31">
        <f>IF(TRIM($A324&amp;"")="","",IF(ISNUMBER(--SUBSTITUTE(SUBSTITUTE(TRIM($A324&amp;""),"-","")," ","")),SUBSTITUTE(SUBSTITUTE(TRIM($A324&amp;""),"-","")," ",""),"N:"&amp;TRIM($A324&amp;"")))</f>
        <v/>
      </c>
      <c r="J324" s="31">
        <f>IF(LEN(SUBSTITUTE(SUBSTITUTE(SUBSTITUTE(SUBSTITUTE(SUBSTITUTE(SUBSTITUTE(SUBSTITUTE(SUBSTITUTE(SUBSTITUTE($C324&amp;""," ",""),"　",""),"(주)",""),"（주）",""),"㈜",""),"주식회사",""),"(유)",""),"（유）",""),"유한회사",""))&lt;2,"",SUBSTITUTE(SUBSTITUTE(SUBSTITUTE(SUBSTITUTE(SUBSTITUTE(SUBSTITUTE(SUBSTITUTE(SUBSTITUTE(SUBSTITUTE($C324&amp;""," ",""),"　",""),"(주)",""),"（주）",""),"㈜",""),"주식회사",""),"(유)",""),"（유）",""),"유한회사",""))</f>
        <v/>
      </c>
      <c r="K324" s="31">
        <f>IF(LEN(SUBSTITUTE(SUBSTITUTE(SUBSTITUTE(SUBSTITUTE(SUBSTITUTE(SUBSTITUTE(SUBSTITUTE(SUBSTITUTE(SUBSTITUTE($D324&amp;""," ",""),"　",""),"(주)",""),"（주）",""),"㈜",""),"주식회사",""),"(유)",""),"（유）",""),"유한회사",""))&lt;2,"",SUBSTITUTE(SUBSTITUTE(SUBSTITUTE(SUBSTITUTE(SUBSTITUTE(SUBSTITUTE(SUBSTITUTE(SUBSTITUTE(SUBSTITUTE($D324&amp;""," ",""),"　",""),"(주)",""),"（주）",""),"㈜",""),"주식회사",""),"(유)",""),"（유）",""),"유한회사",""))</f>
        <v/>
      </c>
    </row>
    <row r="325">
      <c r="A325" s="35" t="n"/>
      <c r="B325" s="35" t="n"/>
      <c r="C325" s="35" t="n"/>
      <c r="D325" s="35" t="n"/>
      <c r="E325" s="36" t="n"/>
      <c r="F325" s="35" t="n"/>
      <c r="G325" s="35" t="n"/>
      <c r="I325" s="31">
        <f>IF(TRIM($A325&amp;"")="","",IF(ISNUMBER(--SUBSTITUTE(SUBSTITUTE(TRIM($A325&amp;""),"-","")," ","")),SUBSTITUTE(SUBSTITUTE(TRIM($A325&amp;""),"-","")," ",""),"N:"&amp;TRIM($A325&amp;"")))</f>
        <v/>
      </c>
      <c r="J325" s="31">
        <f>IF(LEN(SUBSTITUTE(SUBSTITUTE(SUBSTITUTE(SUBSTITUTE(SUBSTITUTE(SUBSTITUTE(SUBSTITUTE(SUBSTITUTE(SUBSTITUTE($C325&amp;""," ",""),"　",""),"(주)",""),"（주）",""),"㈜",""),"주식회사",""),"(유)",""),"（유）",""),"유한회사",""))&lt;2,"",SUBSTITUTE(SUBSTITUTE(SUBSTITUTE(SUBSTITUTE(SUBSTITUTE(SUBSTITUTE(SUBSTITUTE(SUBSTITUTE(SUBSTITUTE($C325&amp;""," ",""),"　",""),"(주)",""),"（주）",""),"㈜",""),"주식회사",""),"(유)",""),"（유）",""),"유한회사",""))</f>
        <v/>
      </c>
      <c r="K325" s="31">
        <f>IF(LEN(SUBSTITUTE(SUBSTITUTE(SUBSTITUTE(SUBSTITUTE(SUBSTITUTE(SUBSTITUTE(SUBSTITUTE(SUBSTITUTE(SUBSTITUTE($D325&amp;""," ",""),"　",""),"(주)",""),"（주）",""),"㈜",""),"주식회사",""),"(유)",""),"（유）",""),"유한회사",""))&lt;2,"",SUBSTITUTE(SUBSTITUTE(SUBSTITUTE(SUBSTITUTE(SUBSTITUTE(SUBSTITUTE(SUBSTITUTE(SUBSTITUTE(SUBSTITUTE($D325&amp;""," ",""),"　",""),"(주)",""),"（주）",""),"㈜",""),"주식회사",""),"(유)",""),"（유）",""),"유한회사",""))</f>
        <v/>
      </c>
    </row>
    <row r="326">
      <c r="A326" s="35" t="n"/>
      <c r="B326" s="35" t="n"/>
      <c r="C326" s="35" t="n"/>
      <c r="D326" s="35" t="n"/>
      <c r="E326" s="36" t="n"/>
      <c r="F326" s="35" t="n"/>
      <c r="G326" s="35" t="n"/>
      <c r="I326" s="31">
        <f>IF(TRIM($A326&amp;"")="","",IF(ISNUMBER(--SUBSTITUTE(SUBSTITUTE(TRIM($A326&amp;""),"-","")," ","")),SUBSTITUTE(SUBSTITUTE(TRIM($A326&amp;""),"-","")," ",""),"N:"&amp;TRIM($A326&amp;"")))</f>
        <v/>
      </c>
      <c r="J326" s="31">
        <f>IF(LEN(SUBSTITUTE(SUBSTITUTE(SUBSTITUTE(SUBSTITUTE(SUBSTITUTE(SUBSTITUTE(SUBSTITUTE(SUBSTITUTE(SUBSTITUTE($C326&amp;""," ",""),"　",""),"(주)",""),"（주）",""),"㈜",""),"주식회사",""),"(유)",""),"（유）",""),"유한회사",""))&lt;2,"",SUBSTITUTE(SUBSTITUTE(SUBSTITUTE(SUBSTITUTE(SUBSTITUTE(SUBSTITUTE(SUBSTITUTE(SUBSTITUTE(SUBSTITUTE($C326&amp;""," ",""),"　",""),"(주)",""),"（주）",""),"㈜",""),"주식회사",""),"(유)",""),"（유）",""),"유한회사",""))</f>
        <v/>
      </c>
      <c r="K326" s="31">
        <f>IF(LEN(SUBSTITUTE(SUBSTITUTE(SUBSTITUTE(SUBSTITUTE(SUBSTITUTE(SUBSTITUTE(SUBSTITUTE(SUBSTITUTE(SUBSTITUTE($D326&amp;""," ",""),"　",""),"(주)",""),"（주）",""),"㈜",""),"주식회사",""),"(유)",""),"（유）",""),"유한회사",""))&lt;2,"",SUBSTITUTE(SUBSTITUTE(SUBSTITUTE(SUBSTITUTE(SUBSTITUTE(SUBSTITUTE(SUBSTITUTE(SUBSTITUTE(SUBSTITUTE($D326&amp;""," ",""),"　",""),"(주)",""),"（주）",""),"㈜",""),"주식회사",""),"(유)",""),"（유）",""),"유한회사",""))</f>
        <v/>
      </c>
    </row>
    <row r="327">
      <c r="A327" s="35" t="n"/>
      <c r="B327" s="35" t="n"/>
      <c r="C327" s="35" t="n"/>
      <c r="D327" s="35" t="n"/>
      <c r="E327" s="36" t="n"/>
      <c r="F327" s="35" t="n"/>
      <c r="G327" s="35" t="n"/>
      <c r="I327" s="31">
        <f>IF(TRIM($A327&amp;"")="","",IF(ISNUMBER(--SUBSTITUTE(SUBSTITUTE(TRIM($A327&amp;""),"-","")," ","")),SUBSTITUTE(SUBSTITUTE(TRIM($A327&amp;""),"-","")," ",""),"N:"&amp;TRIM($A327&amp;"")))</f>
        <v/>
      </c>
      <c r="J327" s="31">
        <f>IF(LEN(SUBSTITUTE(SUBSTITUTE(SUBSTITUTE(SUBSTITUTE(SUBSTITUTE(SUBSTITUTE(SUBSTITUTE(SUBSTITUTE(SUBSTITUTE($C327&amp;""," ",""),"　",""),"(주)",""),"（주）",""),"㈜",""),"주식회사",""),"(유)",""),"（유）",""),"유한회사",""))&lt;2,"",SUBSTITUTE(SUBSTITUTE(SUBSTITUTE(SUBSTITUTE(SUBSTITUTE(SUBSTITUTE(SUBSTITUTE(SUBSTITUTE(SUBSTITUTE($C327&amp;""," ",""),"　",""),"(주)",""),"（주）",""),"㈜",""),"주식회사",""),"(유)",""),"（유）",""),"유한회사",""))</f>
        <v/>
      </c>
      <c r="K327" s="31">
        <f>IF(LEN(SUBSTITUTE(SUBSTITUTE(SUBSTITUTE(SUBSTITUTE(SUBSTITUTE(SUBSTITUTE(SUBSTITUTE(SUBSTITUTE(SUBSTITUTE($D327&amp;""," ",""),"　",""),"(주)",""),"（주）",""),"㈜",""),"주식회사",""),"(유)",""),"（유）",""),"유한회사",""))&lt;2,"",SUBSTITUTE(SUBSTITUTE(SUBSTITUTE(SUBSTITUTE(SUBSTITUTE(SUBSTITUTE(SUBSTITUTE(SUBSTITUTE(SUBSTITUTE($D327&amp;""," ",""),"　",""),"(주)",""),"（주）",""),"㈜",""),"주식회사",""),"(유)",""),"（유）",""),"유한회사",""))</f>
        <v/>
      </c>
    </row>
    <row r="328">
      <c r="A328" s="35" t="n"/>
      <c r="B328" s="35" t="n"/>
      <c r="C328" s="35" t="n"/>
      <c r="D328" s="35" t="n"/>
      <c r="E328" s="36" t="n"/>
      <c r="F328" s="35" t="n"/>
      <c r="G328" s="35" t="n"/>
      <c r="I328" s="31">
        <f>IF(TRIM($A328&amp;"")="","",IF(ISNUMBER(--SUBSTITUTE(SUBSTITUTE(TRIM($A328&amp;""),"-","")," ","")),SUBSTITUTE(SUBSTITUTE(TRIM($A328&amp;""),"-","")," ",""),"N:"&amp;TRIM($A328&amp;"")))</f>
        <v/>
      </c>
      <c r="J328" s="31">
        <f>IF(LEN(SUBSTITUTE(SUBSTITUTE(SUBSTITUTE(SUBSTITUTE(SUBSTITUTE(SUBSTITUTE(SUBSTITUTE(SUBSTITUTE(SUBSTITUTE($C328&amp;""," ",""),"　",""),"(주)",""),"（주）",""),"㈜",""),"주식회사",""),"(유)",""),"（유）",""),"유한회사",""))&lt;2,"",SUBSTITUTE(SUBSTITUTE(SUBSTITUTE(SUBSTITUTE(SUBSTITUTE(SUBSTITUTE(SUBSTITUTE(SUBSTITUTE(SUBSTITUTE($C328&amp;""," ",""),"　",""),"(주)",""),"（주）",""),"㈜",""),"주식회사",""),"(유)",""),"（유）",""),"유한회사",""))</f>
        <v/>
      </c>
      <c r="K328" s="31">
        <f>IF(LEN(SUBSTITUTE(SUBSTITUTE(SUBSTITUTE(SUBSTITUTE(SUBSTITUTE(SUBSTITUTE(SUBSTITUTE(SUBSTITUTE(SUBSTITUTE($D328&amp;""," ",""),"　",""),"(주)",""),"（주）",""),"㈜",""),"주식회사",""),"(유)",""),"（유）",""),"유한회사",""))&lt;2,"",SUBSTITUTE(SUBSTITUTE(SUBSTITUTE(SUBSTITUTE(SUBSTITUTE(SUBSTITUTE(SUBSTITUTE(SUBSTITUTE(SUBSTITUTE($D328&amp;""," ",""),"　",""),"(주)",""),"（주）",""),"㈜",""),"주식회사",""),"(유)",""),"（유）",""),"유한회사",""))</f>
        <v/>
      </c>
    </row>
    <row r="329">
      <c r="A329" s="35" t="n"/>
      <c r="B329" s="35" t="n"/>
      <c r="C329" s="35" t="n"/>
      <c r="D329" s="35" t="n"/>
      <c r="E329" s="36" t="n"/>
      <c r="F329" s="35" t="n"/>
      <c r="G329" s="35" t="n"/>
      <c r="I329" s="31">
        <f>IF(TRIM($A329&amp;"")="","",IF(ISNUMBER(--SUBSTITUTE(SUBSTITUTE(TRIM($A329&amp;""),"-","")," ","")),SUBSTITUTE(SUBSTITUTE(TRIM($A329&amp;""),"-","")," ",""),"N:"&amp;TRIM($A329&amp;"")))</f>
        <v/>
      </c>
      <c r="J329" s="31">
        <f>IF(LEN(SUBSTITUTE(SUBSTITUTE(SUBSTITUTE(SUBSTITUTE(SUBSTITUTE(SUBSTITUTE(SUBSTITUTE(SUBSTITUTE(SUBSTITUTE($C329&amp;""," ",""),"　",""),"(주)",""),"（주）",""),"㈜",""),"주식회사",""),"(유)",""),"（유）",""),"유한회사",""))&lt;2,"",SUBSTITUTE(SUBSTITUTE(SUBSTITUTE(SUBSTITUTE(SUBSTITUTE(SUBSTITUTE(SUBSTITUTE(SUBSTITUTE(SUBSTITUTE($C329&amp;""," ",""),"　",""),"(주)",""),"（주）",""),"㈜",""),"주식회사",""),"(유)",""),"（유）",""),"유한회사",""))</f>
        <v/>
      </c>
      <c r="K329" s="31">
        <f>IF(LEN(SUBSTITUTE(SUBSTITUTE(SUBSTITUTE(SUBSTITUTE(SUBSTITUTE(SUBSTITUTE(SUBSTITUTE(SUBSTITUTE(SUBSTITUTE($D329&amp;""," ",""),"　",""),"(주)",""),"（주）",""),"㈜",""),"주식회사",""),"(유)",""),"（유）",""),"유한회사",""))&lt;2,"",SUBSTITUTE(SUBSTITUTE(SUBSTITUTE(SUBSTITUTE(SUBSTITUTE(SUBSTITUTE(SUBSTITUTE(SUBSTITUTE(SUBSTITUTE($D329&amp;""," ",""),"　",""),"(주)",""),"（주）",""),"㈜",""),"주식회사",""),"(유)",""),"（유）",""),"유한회사",""))</f>
        <v/>
      </c>
    </row>
    <row r="330">
      <c r="A330" s="35" t="n"/>
      <c r="B330" s="35" t="n"/>
      <c r="C330" s="35" t="n"/>
      <c r="D330" s="35" t="n"/>
      <c r="E330" s="36" t="n"/>
      <c r="F330" s="35" t="n"/>
      <c r="G330" s="35" t="n"/>
      <c r="I330" s="31">
        <f>IF(TRIM($A330&amp;"")="","",IF(ISNUMBER(--SUBSTITUTE(SUBSTITUTE(TRIM($A330&amp;""),"-","")," ","")),SUBSTITUTE(SUBSTITUTE(TRIM($A330&amp;""),"-","")," ",""),"N:"&amp;TRIM($A330&amp;"")))</f>
        <v/>
      </c>
      <c r="J330" s="31">
        <f>IF(LEN(SUBSTITUTE(SUBSTITUTE(SUBSTITUTE(SUBSTITUTE(SUBSTITUTE(SUBSTITUTE(SUBSTITUTE(SUBSTITUTE(SUBSTITUTE($C330&amp;""," ",""),"　",""),"(주)",""),"（주）",""),"㈜",""),"주식회사",""),"(유)",""),"（유）",""),"유한회사",""))&lt;2,"",SUBSTITUTE(SUBSTITUTE(SUBSTITUTE(SUBSTITUTE(SUBSTITUTE(SUBSTITUTE(SUBSTITUTE(SUBSTITUTE(SUBSTITUTE($C330&amp;""," ",""),"　",""),"(주)",""),"（주）",""),"㈜",""),"주식회사",""),"(유)",""),"（유）",""),"유한회사",""))</f>
        <v/>
      </c>
      <c r="K330" s="31">
        <f>IF(LEN(SUBSTITUTE(SUBSTITUTE(SUBSTITUTE(SUBSTITUTE(SUBSTITUTE(SUBSTITUTE(SUBSTITUTE(SUBSTITUTE(SUBSTITUTE($D330&amp;""," ",""),"　",""),"(주)",""),"（주）",""),"㈜",""),"주식회사",""),"(유)",""),"（유）",""),"유한회사",""))&lt;2,"",SUBSTITUTE(SUBSTITUTE(SUBSTITUTE(SUBSTITUTE(SUBSTITUTE(SUBSTITUTE(SUBSTITUTE(SUBSTITUTE(SUBSTITUTE($D330&amp;""," ",""),"　",""),"(주)",""),"（주）",""),"㈜",""),"주식회사",""),"(유)",""),"（유）",""),"유한회사",""))</f>
        <v/>
      </c>
    </row>
    <row r="331">
      <c r="A331" s="35" t="n"/>
      <c r="B331" s="35" t="n"/>
      <c r="C331" s="35" t="n"/>
      <c r="D331" s="35" t="n"/>
      <c r="E331" s="36" t="n"/>
      <c r="F331" s="35" t="n"/>
      <c r="G331" s="35" t="n"/>
      <c r="I331" s="31">
        <f>IF(TRIM($A331&amp;"")="","",IF(ISNUMBER(--SUBSTITUTE(SUBSTITUTE(TRIM($A331&amp;""),"-","")," ","")),SUBSTITUTE(SUBSTITUTE(TRIM($A331&amp;""),"-","")," ",""),"N:"&amp;TRIM($A331&amp;"")))</f>
        <v/>
      </c>
      <c r="J331" s="31">
        <f>IF(LEN(SUBSTITUTE(SUBSTITUTE(SUBSTITUTE(SUBSTITUTE(SUBSTITUTE(SUBSTITUTE(SUBSTITUTE(SUBSTITUTE(SUBSTITUTE($C331&amp;""," ",""),"　",""),"(주)",""),"（주）",""),"㈜",""),"주식회사",""),"(유)",""),"（유）",""),"유한회사",""))&lt;2,"",SUBSTITUTE(SUBSTITUTE(SUBSTITUTE(SUBSTITUTE(SUBSTITUTE(SUBSTITUTE(SUBSTITUTE(SUBSTITUTE(SUBSTITUTE($C331&amp;""," ",""),"　",""),"(주)",""),"（주）",""),"㈜",""),"주식회사",""),"(유)",""),"（유）",""),"유한회사",""))</f>
        <v/>
      </c>
      <c r="K331" s="31">
        <f>IF(LEN(SUBSTITUTE(SUBSTITUTE(SUBSTITUTE(SUBSTITUTE(SUBSTITUTE(SUBSTITUTE(SUBSTITUTE(SUBSTITUTE(SUBSTITUTE($D331&amp;""," ",""),"　",""),"(주)",""),"（주）",""),"㈜",""),"주식회사",""),"(유)",""),"（유）",""),"유한회사",""))&lt;2,"",SUBSTITUTE(SUBSTITUTE(SUBSTITUTE(SUBSTITUTE(SUBSTITUTE(SUBSTITUTE(SUBSTITUTE(SUBSTITUTE(SUBSTITUTE($D331&amp;""," ",""),"　",""),"(주)",""),"（주）",""),"㈜",""),"주식회사",""),"(유)",""),"（유）",""),"유한회사",""))</f>
        <v/>
      </c>
    </row>
    <row r="332">
      <c r="A332" s="35" t="n"/>
      <c r="B332" s="35" t="n"/>
      <c r="C332" s="35" t="n"/>
      <c r="D332" s="35" t="n"/>
      <c r="E332" s="36" t="n"/>
      <c r="F332" s="35" t="n"/>
      <c r="G332" s="35" t="n"/>
      <c r="I332" s="31">
        <f>IF(TRIM($A332&amp;"")="","",IF(ISNUMBER(--SUBSTITUTE(SUBSTITUTE(TRIM($A332&amp;""),"-","")," ","")),SUBSTITUTE(SUBSTITUTE(TRIM($A332&amp;""),"-","")," ",""),"N:"&amp;TRIM($A332&amp;"")))</f>
        <v/>
      </c>
      <c r="J332" s="31">
        <f>IF(LEN(SUBSTITUTE(SUBSTITUTE(SUBSTITUTE(SUBSTITUTE(SUBSTITUTE(SUBSTITUTE(SUBSTITUTE(SUBSTITUTE(SUBSTITUTE($C332&amp;""," ",""),"　",""),"(주)",""),"（주）",""),"㈜",""),"주식회사",""),"(유)",""),"（유）",""),"유한회사",""))&lt;2,"",SUBSTITUTE(SUBSTITUTE(SUBSTITUTE(SUBSTITUTE(SUBSTITUTE(SUBSTITUTE(SUBSTITUTE(SUBSTITUTE(SUBSTITUTE($C332&amp;""," ",""),"　",""),"(주)",""),"（주）",""),"㈜",""),"주식회사",""),"(유)",""),"（유）",""),"유한회사",""))</f>
        <v/>
      </c>
      <c r="K332" s="31">
        <f>IF(LEN(SUBSTITUTE(SUBSTITUTE(SUBSTITUTE(SUBSTITUTE(SUBSTITUTE(SUBSTITUTE(SUBSTITUTE(SUBSTITUTE(SUBSTITUTE($D332&amp;""," ",""),"　",""),"(주)",""),"（주）",""),"㈜",""),"주식회사",""),"(유)",""),"（유）",""),"유한회사",""))&lt;2,"",SUBSTITUTE(SUBSTITUTE(SUBSTITUTE(SUBSTITUTE(SUBSTITUTE(SUBSTITUTE(SUBSTITUTE(SUBSTITUTE(SUBSTITUTE($D332&amp;""," ",""),"　",""),"(주)",""),"（주）",""),"㈜",""),"주식회사",""),"(유)",""),"（유）",""),"유한회사",""))</f>
        <v/>
      </c>
    </row>
    <row r="333">
      <c r="A333" s="35" t="n"/>
      <c r="B333" s="35" t="n"/>
      <c r="C333" s="35" t="n"/>
      <c r="D333" s="35" t="n"/>
      <c r="E333" s="36" t="n"/>
      <c r="F333" s="35" t="n"/>
      <c r="G333" s="35" t="n"/>
      <c r="I333" s="31">
        <f>IF(TRIM($A333&amp;"")="","",IF(ISNUMBER(--SUBSTITUTE(SUBSTITUTE(TRIM($A333&amp;""),"-","")," ","")),SUBSTITUTE(SUBSTITUTE(TRIM($A333&amp;""),"-","")," ",""),"N:"&amp;TRIM($A333&amp;"")))</f>
        <v/>
      </c>
      <c r="J333" s="31">
        <f>IF(LEN(SUBSTITUTE(SUBSTITUTE(SUBSTITUTE(SUBSTITUTE(SUBSTITUTE(SUBSTITUTE(SUBSTITUTE(SUBSTITUTE(SUBSTITUTE($C333&amp;""," ",""),"　",""),"(주)",""),"（주）",""),"㈜",""),"주식회사",""),"(유)",""),"（유）",""),"유한회사",""))&lt;2,"",SUBSTITUTE(SUBSTITUTE(SUBSTITUTE(SUBSTITUTE(SUBSTITUTE(SUBSTITUTE(SUBSTITUTE(SUBSTITUTE(SUBSTITUTE($C333&amp;""," ",""),"　",""),"(주)",""),"（주）",""),"㈜",""),"주식회사",""),"(유)",""),"（유）",""),"유한회사",""))</f>
        <v/>
      </c>
      <c r="K333" s="31">
        <f>IF(LEN(SUBSTITUTE(SUBSTITUTE(SUBSTITUTE(SUBSTITUTE(SUBSTITUTE(SUBSTITUTE(SUBSTITUTE(SUBSTITUTE(SUBSTITUTE($D333&amp;""," ",""),"　",""),"(주)",""),"（주）",""),"㈜",""),"주식회사",""),"(유)",""),"（유）",""),"유한회사",""))&lt;2,"",SUBSTITUTE(SUBSTITUTE(SUBSTITUTE(SUBSTITUTE(SUBSTITUTE(SUBSTITUTE(SUBSTITUTE(SUBSTITUTE(SUBSTITUTE($D333&amp;""," ",""),"　",""),"(주)",""),"（주）",""),"㈜",""),"주식회사",""),"(유)",""),"（유）",""),"유한회사",""))</f>
        <v/>
      </c>
    </row>
    <row r="334">
      <c r="A334" s="35" t="n"/>
      <c r="B334" s="35" t="n"/>
      <c r="C334" s="35" t="n"/>
      <c r="D334" s="35" t="n"/>
      <c r="E334" s="36" t="n"/>
      <c r="F334" s="35" t="n"/>
      <c r="G334" s="35" t="n"/>
      <c r="I334" s="31">
        <f>IF(TRIM($A334&amp;"")="","",IF(ISNUMBER(--SUBSTITUTE(SUBSTITUTE(TRIM($A334&amp;""),"-","")," ","")),SUBSTITUTE(SUBSTITUTE(TRIM($A334&amp;""),"-","")," ",""),"N:"&amp;TRIM($A334&amp;"")))</f>
        <v/>
      </c>
      <c r="J334" s="31">
        <f>IF(LEN(SUBSTITUTE(SUBSTITUTE(SUBSTITUTE(SUBSTITUTE(SUBSTITUTE(SUBSTITUTE(SUBSTITUTE(SUBSTITUTE(SUBSTITUTE($C334&amp;""," ",""),"　",""),"(주)",""),"（주）",""),"㈜",""),"주식회사",""),"(유)",""),"（유）",""),"유한회사",""))&lt;2,"",SUBSTITUTE(SUBSTITUTE(SUBSTITUTE(SUBSTITUTE(SUBSTITUTE(SUBSTITUTE(SUBSTITUTE(SUBSTITUTE(SUBSTITUTE($C334&amp;""," ",""),"　",""),"(주)",""),"（주）",""),"㈜",""),"주식회사",""),"(유)",""),"（유）",""),"유한회사",""))</f>
        <v/>
      </c>
      <c r="K334" s="31">
        <f>IF(LEN(SUBSTITUTE(SUBSTITUTE(SUBSTITUTE(SUBSTITUTE(SUBSTITUTE(SUBSTITUTE(SUBSTITUTE(SUBSTITUTE(SUBSTITUTE($D334&amp;""," ",""),"　",""),"(주)",""),"（주）",""),"㈜",""),"주식회사",""),"(유)",""),"（유）",""),"유한회사",""))&lt;2,"",SUBSTITUTE(SUBSTITUTE(SUBSTITUTE(SUBSTITUTE(SUBSTITUTE(SUBSTITUTE(SUBSTITUTE(SUBSTITUTE(SUBSTITUTE($D334&amp;""," ",""),"　",""),"(주)",""),"（주）",""),"㈜",""),"주식회사",""),"(유)",""),"（유）",""),"유한회사",""))</f>
        <v/>
      </c>
    </row>
    <row r="335">
      <c r="A335" s="35" t="n"/>
      <c r="B335" s="35" t="n"/>
      <c r="C335" s="35" t="n"/>
      <c r="D335" s="35" t="n"/>
      <c r="E335" s="36" t="n"/>
      <c r="F335" s="35" t="n"/>
      <c r="G335" s="35" t="n"/>
      <c r="I335" s="31">
        <f>IF(TRIM($A335&amp;"")="","",IF(ISNUMBER(--SUBSTITUTE(SUBSTITUTE(TRIM($A335&amp;""),"-","")," ","")),SUBSTITUTE(SUBSTITUTE(TRIM($A335&amp;""),"-","")," ",""),"N:"&amp;TRIM($A335&amp;"")))</f>
        <v/>
      </c>
      <c r="J335" s="31">
        <f>IF(LEN(SUBSTITUTE(SUBSTITUTE(SUBSTITUTE(SUBSTITUTE(SUBSTITUTE(SUBSTITUTE(SUBSTITUTE(SUBSTITUTE(SUBSTITUTE($C335&amp;""," ",""),"　",""),"(주)",""),"（주）",""),"㈜",""),"주식회사",""),"(유)",""),"（유）",""),"유한회사",""))&lt;2,"",SUBSTITUTE(SUBSTITUTE(SUBSTITUTE(SUBSTITUTE(SUBSTITUTE(SUBSTITUTE(SUBSTITUTE(SUBSTITUTE(SUBSTITUTE($C335&amp;""," ",""),"　",""),"(주)",""),"（주）",""),"㈜",""),"주식회사",""),"(유)",""),"（유）",""),"유한회사",""))</f>
        <v/>
      </c>
      <c r="K335" s="31">
        <f>IF(LEN(SUBSTITUTE(SUBSTITUTE(SUBSTITUTE(SUBSTITUTE(SUBSTITUTE(SUBSTITUTE(SUBSTITUTE(SUBSTITUTE(SUBSTITUTE($D335&amp;""," ",""),"　",""),"(주)",""),"（주）",""),"㈜",""),"주식회사",""),"(유)",""),"（유）",""),"유한회사",""))&lt;2,"",SUBSTITUTE(SUBSTITUTE(SUBSTITUTE(SUBSTITUTE(SUBSTITUTE(SUBSTITUTE(SUBSTITUTE(SUBSTITUTE(SUBSTITUTE($D335&amp;""," ",""),"　",""),"(주)",""),"（주）",""),"㈜",""),"주식회사",""),"(유)",""),"（유）",""),"유한회사",""))</f>
        <v/>
      </c>
    </row>
    <row r="336">
      <c r="A336" s="35" t="n"/>
      <c r="B336" s="35" t="n"/>
      <c r="C336" s="35" t="n"/>
      <c r="D336" s="35" t="n"/>
      <c r="E336" s="36" t="n"/>
      <c r="F336" s="35" t="n"/>
      <c r="G336" s="35" t="n"/>
      <c r="I336" s="31">
        <f>IF(TRIM($A336&amp;"")="","",IF(ISNUMBER(--SUBSTITUTE(SUBSTITUTE(TRIM($A336&amp;""),"-","")," ","")),SUBSTITUTE(SUBSTITUTE(TRIM($A336&amp;""),"-","")," ",""),"N:"&amp;TRIM($A336&amp;"")))</f>
        <v/>
      </c>
      <c r="J336" s="31">
        <f>IF(LEN(SUBSTITUTE(SUBSTITUTE(SUBSTITUTE(SUBSTITUTE(SUBSTITUTE(SUBSTITUTE(SUBSTITUTE(SUBSTITUTE(SUBSTITUTE($C336&amp;""," ",""),"　",""),"(주)",""),"（주）",""),"㈜",""),"주식회사",""),"(유)",""),"（유）",""),"유한회사",""))&lt;2,"",SUBSTITUTE(SUBSTITUTE(SUBSTITUTE(SUBSTITUTE(SUBSTITUTE(SUBSTITUTE(SUBSTITUTE(SUBSTITUTE(SUBSTITUTE($C336&amp;""," ",""),"　",""),"(주)",""),"（주）",""),"㈜",""),"주식회사",""),"(유)",""),"（유）",""),"유한회사",""))</f>
        <v/>
      </c>
      <c r="K336" s="31">
        <f>IF(LEN(SUBSTITUTE(SUBSTITUTE(SUBSTITUTE(SUBSTITUTE(SUBSTITUTE(SUBSTITUTE(SUBSTITUTE(SUBSTITUTE(SUBSTITUTE($D336&amp;""," ",""),"　",""),"(주)",""),"（주）",""),"㈜",""),"주식회사",""),"(유)",""),"（유）",""),"유한회사",""))&lt;2,"",SUBSTITUTE(SUBSTITUTE(SUBSTITUTE(SUBSTITUTE(SUBSTITUTE(SUBSTITUTE(SUBSTITUTE(SUBSTITUTE(SUBSTITUTE($D336&amp;""," ",""),"　",""),"(주)",""),"（주）",""),"㈜",""),"주식회사",""),"(유)",""),"（유）",""),"유한회사",""))</f>
        <v/>
      </c>
    </row>
    <row r="337">
      <c r="A337" s="35" t="n"/>
      <c r="B337" s="35" t="n"/>
      <c r="C337" s="35" t="n"/>
      <c r="D337" s="35" t="n"/>
      <c r="E337" s="36" t="n"/>
      <c r="F337" s="35" t="n"/>
      <c r="G337" s="35" t="n"/>
      <c r="I337" s="31">
        <f>IF(TRIM($A337&amp;"")="","",IF(ISNUMBER(--SUBSTITUTE(SUBSTITUTE(TRIM($A337&amp;""),"-","")," ","")),SUBSTITUTE(SUBSTITUTE(TRIM($A337&amp;""),"-","")," ",""),"N:"&amp;TRIM($A337&amp;"")))</f>
        <v/>
      </c>
      <c r="J337" s="31">
        <f>IF(LEN(SUBSTITUTE(SUBSTITUTE(SUBSTITUTE(SUBSTITUTE(SUBSTITUTE(SUBSTITUTE(SUBSTITUTE(SUBSTITUTE(SUBSTITUTE($C337&amp;""," ",""),"　",""),"(주)",""),"（주）",""),"㈜",""),"주식회사",""),"(유)",""),"（유）",""),"유한회사",""))&lt;2,"",SUBSTITUTE(SUBSTITUTE(SUBSTITUTE(SUBSTITUTE(SUBSTITUTE(SUBSTITUTE(SUBSTITUTE(SUBSTITUTE(SUBSTITUTE($C337&amp;""," ",""),"　",""),"(주)",""),"（주）",""),"㈜",""),"주식회사",""),"(유)",""),"（유）",""),"유한회사",""))</f>
        <v/>
      </c>
      <c r="K337" s="31">
        <f>IF(LEN(SUBSTITUTE(SUBSTITUTE(SUBSTITUTE(SUBSTITUTE(SUBSTITUTE(SUBSTITUTE(SUBSTITUTE(SUBSTITUTE(SUBSTITUTE($D337&amp;""," ",""),"　",""),"(주)",""),"（주）",""),"㈜",""),"주식회사",""),"(유)",""),"（유）",""),"유한회사",""))&lt;2,"",SUBSTITUTE(SUBSTITUTE(SUBSTITUTE(SUBSTITUTE(SUBSTITUTE(SUBSTITUTE(SUBSTITUTE(SUBSTITUTE(SUBSTITUTE($D337&amp;""," ",""),"　",""),"(주)",""),"（주）",""),"㈜",""),"주식회사",""),"(유)",""),"（유）",""),"유한회사",""))</f>
        <v/>
      </c>
    </row>
    <row r="338">
      <c r="A338" s="35" t="n"/>
      <c r="B338" s="35" t="n"/>
      <c r="C338" s="35" t="n"/>
      <c r="D338" s="35" t="n"/>
      <c r="E338" s="36" t="n"/>
      <c r="F338" s="35" t="n"/>
      <c r="G338" s="35" t="n"/>
      <c r="I338" s="31">
        <f>IF(TRIM($A338&amp;"")="","",IF(ISNUMBER(--SUBSTITUTE(SUBSTITUTE(TRIM($A338&amp;""),"-","")," ","")),SUBSTITUTE(SUBSTITUTE(TRIM($A338&amp;""),"-","")," ",""),"N:"&amp;TRIM($A338&amp;"")))</f>
        <v/>
      </c>
      <c r="J338" s="31">
        <f>IF(LEN(SUBSTITUTE(SUBSTITUTE(SUBSTITUTE(SUBSTITUTE(SUBSTITUTE(SUBSTITUTE(SUBSTITUTE(SUBSTITUTE(SUBSTITUTE($C338&amp;""," ",""),"　",""),"(주)",""),"（주）",""),"㈜",""),"주식회사",""),"(유)",""),"（유）",""),"유한회사",""))&lt;2,"",SUBSTITUTE(SUBSTITUTE(SUBSTITUTE(SUBSTITUTE(SUBSTITUTE(SUBSTITUTE(SUBSTITUTE(SUBSTITUTE(SUBSTITUTE($C338&amp;""," ",""),"　",""),"(주)",""),"（주）",""),"㈜",""),"주식회사",""),"(유)",""),"（유）",""),"유한회사",""))</f>
        <v/>
      </c>
      <c r="K338" s="31">
        <f>IF(LEN(SUBSTITUTE(SUBSTITUTE(SUBSTITUTE(SUBSTITUTE(SUBSTITUTE(SUBSTITUTE(SUBSTITUTE(SUBSTITUTE(SUBSTITUTE($D338&amp;""," ",""),"　",""),"(주)",""),"（주）",""),"㈜",""),"주식회사",""),"(유)",""),"（유）",""),"유한회사",""))&lt;2,"",SUBSTITUTE(SUBSTITUTE(SUBSTITUTE(SUBSTITUTE(SUBSTITUTE(SUBSTITUTE(SUBSTITUTE(SUBSTITUTE(SUBSTITUTE($D338&amp;""," ",""),"　",""),"(주)",""),"（주）",""),"㈜",""),"주식회사",""),"(유)",""),"（유）",""),"유한회사",""))</f>
        <v/>
      </c>
    </row>
    <row r="339">
      <c r="A339" s="35" t="n"/>
      <c r="B339" s="35" t="n"/>
      <c r="C339" s="35" t="n"/>
      <c r="D339" s="35" t="n"/>
      <c r="E339" s="36" t="n"/>
      <c r="F339" s="35" t="n"/>
      <c r="G339" s="35" t="n"/>
      <c r="I339" s="31">
        <f>IF(TRIM($A339&amp;"")="","",IF(ISNUMBER(--SUBSTITUTE(SUBSTITUTE(TRIM($A339&amp;""),"-","")," ","")),SUBSTITUTE(SUBSTITUTE(TRIM($A339&amp;""),"-","")," ",""),"N:"&amp;TRIM($A339&amp;"")))</f>
        <v/>
      </c>
      <c r="J339" s="31">
        <f>IF(LEN(SUBSTITUTE(SUBSTITUTE(SUBSTITUTE(SUBSTITUTE(SUBSTITUTE(SUBSTITUTE(SUBSTITUTE(SUBSTITUTE(SUBSTITUTE($C339&amp;""," ",""),"　",""),"(주)",""),"（주）",""),"㈜",""),"주식회사",""),"(유)",""),"（유）",""),"유한회사",""))&lt;2,"",SUBSTITUTE(SUBSTITUTE(SUBSTITUTE(SUBSTITUTE(SUBSTITUTE(SUBSTITUTE(SUBSTITUTE(SUBSTITUTE(SUBSTITUTE($C339&amp;""," ",""),"　",""),"(주)",""),"（주）",""),"㈜",""),"주식회사",""),"(유)",""),"（유）",""),"유한회사",""))</f>
        <v/>
      </c>
      <c r="K339" s="31">
        <f>IF(LEN(SUBSTITUTE(SUBSTITUTE(SUBSTITUTE(SUBSTITUTE(SUBSTITUTE(SUBSTITUTE(SUBSTITUTE(SUBSTITUTE(SUBSTITUTE($D339&amp;""," ",""),"　",""),"(주)",""),"（주）",""),"㈜",""),"주식회사",""),"(유)",""),"（유）",""),"유한회사",""))&lt;2,"",SUBSTITUTE(SUBSTITUTE(SUBSTITUTE(SUBSTITUTE(SUBSTITUTE(SUBSTITUTE(SUBSTITUTE(SUBSTITUTE(SUBSTITUTE($D339&amp;""," ",""),"　",""),"(주)",""),"（주）",""),"㈜",""),"주식회사",""),"(유)",""),"（유）",""),"유한회사",""))</f>
        <v/>
      </c>
    </row>
    <row r="340">
      <c r="A340" s="35" t="n"/>
      <c r="B340" s="35" t="n"/>
      <c r="C340" s="35" t="n"/>
      <c r="D340" s="35" t="n"/>
      <c r="E340" s="36" t="n"/>
      <c r="F340" s="35" t="n"/>
      <c r="G340" s="35" t="n"/>
      <c r="I340" s="31">
        <f>IF(TRIM($A340&amp;"")="","",IF(ISNUMBER(--SUBSTITUTE(SUBSTITUTE(TRIM($A340&amp;""),"-","")," ","")),SUBSTITUTE(SUBSTITUTE(TRIM($A340&amp;""),"-","")," ",""),"N:"&amp;TRIM($A340&amp;"")))</f>
        <v/>
      </c>
      <c r="J340" s="31">
        <f>IF(LEN(SUBSTITUTE(SUBSTITUTE(SUBSTITUTE(SUBSTITUTE(SUBSTITUTE(SUBSTITUTE(SUBSTITUTE(SUBSTITUTE(SUBSTITUTE($C340&amp;""," ",""),"　",""),"(주)",""),"（주）",""),"㈜",""),"주식회사",""),"(유)",""),"（유）",""),"유한회사",""))&lt;2,"",SUBSTITUTE(SUBSTITUTE(SUBSTITUTE(SUBSTITUTE(SUBSTITUTE(SUBSTITUTE(SUBSTITUTE(SUBSTITUTE(SUBSTITUTE($C340&amp;""," ",""),"　",""),"(주)",""),"（주）",""),"㈜",""),"주식회사",""),"(유)",""),"（유）",""),"유한회사",""))</f>
        <v/>
      </c>
      <c r="K340" s="31">
        <f>IF(LEN(SUBSTITUTE(SUBSTITUTE(SUBSTITUTE(SUBSTITUTE(SUBSTITUTE(SUBSTITUTE(SUBSTITUTE(SUBSTITUTE(SUBSTITUTE($D340&amp;""," ",""),"　",""),"(주)",""),"（주）",""),"㈜",""),"주식회사",""),"(유)",""),"（유）",""),"유한회사",""))&lt;2,"",SUBSTITUTE(SUBSTITUTE(SUBSTITUTE(SUBSTITUTE(SUBSTITUTE(SUBSTITUTE(SUBSTITUTE(SUBSTITUTE(SUBSTITUTE($D340&amp;""," ",""),"　",""),"(주)",""),"（주）",""),"㈜",""),"주식회사",""),"(유)",""),"（유）",""),"유한회사",""))</f>
        <v/>
      </c>
    </row>
    <row r="341">
      <c r="A341" s="35" t="n"/>
      <c r="B341" s="35" t="n"/>
      <c r="C341" s="35" t="n"/>
      <c r="D341" s="35" t="n"/>
      <c r="E341" s="36" t="n"/>
      <c r="F341" s="35" t="n"/>
      <c r="G341" s="35" t="n"/>
      <c r="I341" s="31">
        <f>IF(TRIM($A341&amp;"")="","",IF(ISNUMBER(--SUBSTITUTE(SUBSTITUTE(TRIM($A341&amp;""),"-","")," ","")),SUBSTITUTE(SUBSTITUTE(TRIM($A341&amp;""),"-","")," ",""),"N:"&amp;TRIM($A341&amp;"")))</f>
        <v/>
      </c>
      <c r="J341" s="31">
        <f>IF(LEN(SUBSTITUTE(SUBSTITUTE(SUBSTITUTE(SUBSTITUTE(SUBSTITUTE(SUBSTITUTE(SUBSTITUTE(SUBSTITUTE(SUBSTITUTE($C341&amp;""," ",""),"　",""),"(주)",""),"（주）",""),"㈜",""),"주식회사",""),"(유)",""),"（유）",""),"유한회사",""))&lt;2,"",SUBSTITUTE(SUBSTITUTE(SUBSTITUTE(SUBSTITUTE(SUBSTITUTE(SUBSTITUTE(SUBSTITUTE(SUBSTITUTE(SUBSTITUTE($C341&amp;""," ",""),"　",""),"(주)",""),"（주）",""),"㈜",""),"주식회사",""),"(유)",""),"（유）",""),"유한회사",""))</f>
        <v/>
      </c>
      <c r="K341" s="31">
        <f>IF(LEN(SUBSTITUTE(SUBSTITUTE(SUBSTITUTE(SUBSTITUTE(SUBSTITUTE(SUBSTITUTE(SUBSTITUTE(SUBSTITUTE(SUBSTITUTE($D341&amp;""," ",""),"　",""),"(주)",""),"（주）",""),"㈜",""),"주식회사",""),"(유)",""),"（유）",""),"유한회사",""))&lt;2,"",SUBSTITUTE(SUBSTITUTE(SUBSTITUTE(SUBSTITUTE(SUBSTITUTE(SUBSTITUTE(SUBSTITUTE(SUBSTITUTE(SUBSTITUTE($D341&amp;""," ",""),"　",""),"(주)",""),"（주）",""),"㈜",""),"주식회사",""),"(유)",""),"（유）",""),"유한회사",""))</f>
        <v/>
      </c>
    </row>
    <row r="342">
      <c r="A342" s="35" t="n"/>
      <c r="B342" s="35" t="n"/>
      <c r="C342" s="35" t="n"/>
      <c r="D342" s="35" t="n"/>
      <c r="E342" s="36" t="n"/>
      <c r="F342" s="35" t="n"/>
      <c r="G342" s="35" t="n"/>
      <c r="I342" s="31">
        <f>IF(TRIM($A342&amp;"")="","",IF(ISNUMBER(--SUBSTITUTE(SUBSTITUTE(TRIM($A342&amp;""),"-","")," ","")),SUBSTITUTE(SUBSTITUTE(TRIM($A342&amp;""),"-","")," ",""),"N:"&amp;TRIM($A342&amp;"")))</f>
        <v/>
      </c>
      <c r="J342" s="31">
        <f>IF(LEN(SUBSTITUTE(SUBSTITUTE(SUBSTITUTE(SUBSTITUTE(SUBSTITUTE(SUBSTITUTE(SUBSTITUTE(SUBSTITUTE(SUBSTITUTE($C342&amp;""," ",""),"　",""),"(주)",""),"（주）",""),"㈜",""),"주식회사",""),"(유)",""),"（유）",""),"유한회사",""))&lt;2,"",SUBSTITUTE(SUBSTITUTE(SUBSTITUTE(SUBSTITUTE(SUBSTITUTE(SUBSTITUTE(SUBSTITUTE(SUBSTITUTE(SUBSTITUTE($C342&amp;""," ",""),"　",""),"(주)",""),"（주）",""),"㈜",""),"주식회사",""),"(유)",""),"（유）",""),"유한회사",""))</f>
        <v/>
      </c>
      <c r="K342" s="31">
        <f>IF(LEN(SUBSTITUTE(SUBSTITUTE(SUBSTITUTE(SUBSTITUTE(SUBSTITUTE(SUBSTITUTE(SUBSTITUTE(SUBSTITUTE(SUBSTITUTE($D342&amp;""," ",""),"　",""),"(주)",""),"（주）",""),"㈜",""),"주식회사",""),"(유)",""),"（유）",""),"유한회사",""))&lt;2,"",SUBSTITUTE(SUBSTITUTE(SUBSTITUTE(SUBSTITUTE(SUBSTITUTE(SUBSTITUTE(SUBSTITUTE(SUBSTITUTE(SUBSTITUTE($D342&amp;""," ",""),"　",""),"(주)",""),"（주）",""),"㈜",""),"주식회사",""),"(유)",""),"（유）",""),"유한회사",""))</f>
        <v/>
      </c>
    </row>
    <row r="343">
      <c r="A343" s="35" t="n"/>
      <c r="B343" s="35" t="n"/>
      <c r="C343" s="35" t="n"/>
      <c r="D343" s="35" t="n"/>
      <c r="E343" s="36" t="n"/>
      <c r="F343" s="35" t="n"/>
      <c r="G343" s="35" t="n"/>
      <c r="I343" s="31">
        <f>IF(TRIM($A343&amp;"")="","",IF(ISNUMBER(--SUBSTITUTE(SUBSTITUTE(TRIM($A343&amp;""),"-","")," ","")),SUBSTITUTE(SUBSTITUTE(TRIM($A343&amp;""),"-","")," ",""),"N:"&amp;TRIM($A343&amp;"")))</f>
        <v/>
      </c>
      <c r="J343" s="31">
        <f>IF(LEN(SUBSTITUTE(SUBSTITUTE(SUBSTITUTE(SUBSTITUTE(SUBSTITUTE(SUBSTITUTE(SUBSTITUTE(SUBSTITUTE(SUBSTITUTE($C343&amp;""," ",""),"　",""),"(주)",""),"（주）",""),"㈜",""),"주식회사",""),"(유)",""),"（유）",""),"유한회사",""))&lt;2,"",SUBSTITUTE(SUBSTITUTE(SUBSTITUTE(SUBSTITUTE(SUBSTITUTE(SUBSTITUTE(SUBSTITUTE(SUBSTITUTE(SUBSTITUTE($C343&amp;""," ",""),"　",""),"(주)",""),"（주）",""),"㈜",""),"주식회사",""),"(유)",""),"（유）",""),"유한회사",""))</f>
        <v/>
      </c>
      <c r="K343" s="31">
        <f>IF(LEN(SUBSTITUTE(SUBSTITUTE(SUBSTITUTE(SUBSTITUTE(SUBSTITUTE(SUBSTITUTE(SUBSTITUTE(SUBSTITUTE(SUBSTITUTE($D343&amp;""," ",""),"　",""),"(주)",""),"（주）",""),"㈜",""),"주식회사",""),"(유)",""),"（유）",""),"유한회사",""))&lt;2,"",SUBSTITUTE(SUBSTITUTE(SUBSTITUTE(SUBSTITUTE(SUBSTITUTE(SUBSTITUTE(SUBSTITUTE(SUBSTITUTE(SUBSTITUTE($D343&amp;""," ",""),"　",""),"(주)",""),"（주）",""),"㈜",""),"주식회사",""),"(유)",""),"（유）",""),"유한회사",""))</f>
        <v/>
      </c>
    </row>
    <row r="344">
      <c r="A344" s="35" t="n"/>
      <c r="B344" s="35" t="n"/>
      <c r="C344" s="35" t="n"/>
      <c r="D344" s="35" t="n"/>
      <c r="E344" s="36" t="n"/>
      <c r="F344" s="35" t="n"/>
      <c r="G344" s="35" t="n"/>
      <c r="I344" s="31">
        <f>IF(TRIM($A344&amp;"")="","",IF(ISNUMBER(--SUBSTITUTE(SUBSTITUTE(TRIM($A344&amp;""),"-","")," ","")),SUBSTITUTE(SUBSTITUTE(TRIM($A344&amp;""),"-","")," ",""),"N:"&amp;TRIM($A344&amp;"")))</f>
        <v/>
      </c>
      <c r="J344" s="31">
        <f>IF(LEN(SUBSTITUTE(SUBSTITUTE(SUBSTITUTE(SUBSTITUTE(SUBSTITUTE(SUBSTITUTE(SUBSTITUTE(SUBSTITUTE(SUBSTITUTE($C344&amp;""," ",""),"　",""),"(주)",""),"（주）",""),"㈜",""),"주식회사",""),"(유)",""),"（유）",""),"유한회사",""))&lt;2,"",SUBSTITUTE(SUBSTITUTE(SUBSTITUTE(SUBSTITUTE(SUBSTITUTE(SUBSTITUTE(SUBSTITUTE(SUBSTITUTE(SUBSTITUTE($C344&amp;""," ",""),"　",""),"(주)",""),"（주）",""),"㈜",""),"주식회사",""),"(유)",""),"（유）",""),"유한회사",""))</f>
        <v/>
      </c>
      <c r="K344" s="31">
        <f>IF(LEN(SUBSTITUTE(SUBSTITUTE(SUBSTITUTE(SUBSTITUTE(SUBSTITUTE(SUBSTITUTE(SUBSTITUTE(SUBSTITUTE(SUBSTITUTE($D344&amp;""," ",""),"　",""),"(주)",""),"（주）",""),"㈜",""),"주식회사",""),"(유)",""),"（유）",""),"유한회사",""))&lt;2,"",SUBSTITUTE(SUBSTITUTE(SUBSTITUTE(SUBSTITUTE(SUBSTITUTE(SUBSTITUTE(SUBSTITUTE(SUBSTITUTE(SUBSTITUTE($D344&amp;""," ",""),"　",""),"(주)",""),"（주）",""),"㈜",""),"주식회사",""),"(유)",""),"（유）",""),"유한회사",""))</f>
        <v/>
      </c>
    </row>
    <row r="345">
      <c r="A345" s="35" t="n"/>
      <c r="B345" s="35" t="n"/>
      <c r="C345" s="35" t="n"/>
      <c r="D345" s="35" t="n"/>
      <c r="E345" s="36" t="n"/>
      <c r="F345" s="35" t="n"/>
      <c r="G345" s="35" t="n"/>
      <c r="I345" s="31">
        <f>IF(TRIM($A345&amp;"")="","",IF(ISNUMBER(--SUBSTITUTE(SUBSTITUTE(TRIM($A345&amp;""),"-","")," ","")),SUBSTITUTE(SUBSTITUTE(TRIM($A345&amp;""),"-","")," ",""),"N:"&amp;TRIM($A345&amp;"")))</f>
        <v/>
      </c>
      <c r="J345" s="31">
        <f>IF(LEN(SUBSTITUTE(SUBSTITUTE(SUBSTITUTE(SUBSTITUTE(SUBSTITUTE(SUBSTITUTE(SUBSTITUTE(SUBSTITUTE(SUBSTITUTE($C345&amp;""," ",""),"　",""),"(주)",""),"（주）",""),"㈜",""),"주식회사",""),"(유)",""),"（유）",""),"유한회사",""))&lt;2,"",SUBSTITUTE(SUBSTITUTE(SUBSTITUTE(SUBSTITUTE(SUBSTITUTE(SUBSTITUTE(SUBSTITUTE(SUBSTITUTE(SUBSTITUTE($C345&amp;""," ",""),"　",""),"(주)",""),"（주）",""),"㈜",""),"주식회사",""),"(유)",""),"（유）",""),"유한회사",""))</f>
        <v/>
      </c>
      <c r="K345" s="31">
        <f>IF(LEN(SUBSTITUTE(SUBSTITUTE(SUBSTITUTE(SUBSTITUTE(SUBSTITUTE(SUBSTITUTE(SUBSTITUTE(SUBSTITUTE(SUBSTITUTE($D345&amp;""," ",""),"　",""),"(주)",""),"（주）",""),"㈜",""),"주식회사",""),"(유)",""),"（유）",""),"유한회사",""))&lt;2,"",SUBSTITUTE(SUBSTITUTE(SUBSTITUTE(SUBSTITUTE(SUBSTITUTE(SUBSTITUTE(SUBSTITUTE(SUBSTITUTE(SUBSTITUTE($D345&amp;""," ",""),"　",""),"(주)",""),"（주）",""),"㈜",""),"주식회사",""),"(유)",""),"（유）",""),"유한회사",""))</f>
        <v/>
      </c>
    </row>
    <row r="346">
      <c r="A346" s="35" t="n"/>
      <c r="B346" s="35" t="n"/>
      <c r="C346" s="35" t="n"/>
      <c r="D346" s="35" t="n"/>
      <c r="E346" s="36" t="n"/>
      <c r="F346" s="35" t="n"/>
      <c r="G346" s="35" t="n"/>
      <c r="I346" s="31">
        <f>IF(TRIM($A346&amp;"")="","",IF(ISNUMBER(--SUBSTITUTE(SUBSTITUTE(TRIM($A346&amp;""),"-","")," ","")),SUBSTITUTE(SUBSTITUTE(TRIM($A346&amp;""),"-","")," ",""),"N:"&amp;TRIM($A346&amp;"")))</f>
        <v/>
      </c>
      <c r="J346" s="31">
        <f>IF(LEN(SUBSTITUTE(SUBSTITUTE(SUBSTITUTE(SUBSTITUTE(SUBSTITUTE(SUBSTITUTE(SUBSTITUTE(SUBSTITUTE(SUBSTITUTE($C346&amp;""," ",""),"　",""),"(주)",""),"（주）",""),"㈜",""),"주식회사",""),"(유)",""),"（유）",""),"유한회사",""))&lt;2,"",SUBSTITUTE(SUBSTITUTE(SUBSTITUTE(SUBSTITUTE(SUBSTITUTE(SUBSTITUTE(SUBSTITUTE(SUBSTITUTE(SUBSTITUTE($C346&amp;""," ",""),"　",""),"(주)",""),"（주）",""),"㈜",""),"주식회사",""),"(유)",""),"（유）",""),"유한회사",""))</f>
        <v/>
      </c>
      <c r="K346" s="31">
        <f>IF(LEN(SUBSTITUTE(SUBSTITUTE(SUBSTITUTE(SUBSTITUTE(SUBSTITUTE(SUBSTITUTE(SUBSTITUTE(SUBSTITUTE(SUBSTITUTE($D346&amp;""," ",""),"　",""),"(주)",""),"（주）",""),"㈜",""),"주식회사",""),"(유)",""),"（유）",""),"유한회사",""))&lt;2,"",SUBSTITUTE(SUBSTITUTE(SUBSTITUTE(SUBSTITUTE(SUBSTITUTE(SUBSTITUTE(SUBSTITUTE(SUBSTITUTE(SUBSTITUTE($D346&amp;""," ",""),"　",""),"(주)",""),"（주）",""),"㈜",""),"주식회사",""),"(유)",""),"（유）",""),"유한회사",""))</f>
        <v/>
      </c>
    </row>
    <row r="347">
      <c r="A347" s="35" t="n"/>
      <c r="B347" s="35" t="n"/>
      <c r="C347" s="35" t="n"/>
      <c r="D347" s="35" t="n"/>
      <c r="E347" s="36" t="n"/>
      <c r="F347" s="35" t="n"/>
      <c r="G347" s="35" t="n"/>
      <c r="I347" s="31">
        <f>IF(TRIM($A347&amp;"")="","",IF(ISNUMBER(--SUBSTITUTE(SUBSTITUTE(TRIM($A347&amp;""),"-","")," ","")),SUBSTITUTE(SUBSTITUTE(TRIM($A347&amp;""),"-","")," ",""),"N:"&amp;TRIM($A347&amp;"")))</f>
        <v/>
      </c>
      <c r="J347" s="31">
        <f>IF(LEN(SUBSTITUTE(SUBSTITUTE(SUBSTITUTE(SUBSTITUTE(SUBSTITUTE(SUBSTITUTE(SUBSTITUTE(SUBSTITUTE(SUBSTITUTE($C347&amp;""," ",""),"　",""),"(주)",""),"（주）",""),"㈜",""),"주식회사",""),"(유)",""),"（유）",""),"유한회사",""))&lt;2,"",SUBSTITUTE(SUBSTITUTE(SUBSTITUTE(SUBSTITUTE(SUBSTITUTE(SUBSTITUTE(SUBSTITUTE(SUBSTITUTE(SUBSTITUTE($C347&amp;""," ",""),"　",""),"(주)",""),"（주）",""),"㈜",""),"주식회사",""),"(유)",""),"（유）",""),"유한회사",""))</f>
        <v/>
      </c>
      <c r="K347" s="31">
        <f>IF(LEN(SUBSTITUTE(SUBSTITUTE(SUBSTITUTE(SUBSTITUTE(SUBSTITUTE(SUBSTITUTE(SUBSTITUTE(SUBSTITUTE(SUBSTITUTE($D347&amp;""," ",""),"　",""),"(주)",""),"（주）",""),"㈜",""),"주식회사",""),"(유)",""),"（유）",""),"유한회사",""))&lt;2,"",SUBSTITUTE(SUBSTITUTE(SUBSTITUTE(SUBSTITUTE(SUBSTITUTE(SUBSTITUTE(SUBSTITUTE(SUBSTITUTE(SUBSTITUTE($D347&amp;""," ",""),"　",""),"(주)",""),"（주）",""),"㈜",""),"주식회사",""),"(유)",""),"（유）",""),"유한회사",""))</f>
        <v/>
      </c>
    </row>
    <row r="348">
      <c r="A348" s="35" t="n"/>
      <c r="B348" s="35" t="n"/>
      <c r="C348" s="35" t="n"/>
      <c r="D348" s="35" t="n"/>
      <c r="E348" s="36" t="n"/>
      <c r="F348" s="35" t="n"/>
      <c r="G348" s="35" t="n"/>
      <c r="I348" s="31">
        <f>IF(TRIM($A348&amp;"")="","",IF(ISNUMBER(--SUBSTITUTE(SUBSTITUTE(TRIM($A348&amp;""),"-","")," ","")),SUBSTITUTE(SUBSTITUTE(TRIM($A348&amp;""),"-","")," ",""),"N:"&amp;TRIM($A348&amp;"")))</f>
        <v/>
      </c>
      <c r="J348" s="31">
        <f>IF(LEN(SUBSTITUTE(SUBSTITUTE(SUBSTITUTE(SUBSTITUTE(SUBSTITUTE(SUBSTITUTE(SUBSTITUTE(SUBSTITUTE(SUBSTITUTE($C348&amp;""," ",""),"　",""),"(주)",""),"（주）",""),"㈜",""),"주식회사",""),"(유)",""),"（유）",""),"유한회사",""))&lt;2,"",SUBSTITUTE(SUBSTITUTE(SUBSTITUTE(SUBSTITUTE(SUBSTITUTE(SUBSTITUTE(SUBSTITUTE(SUBSTITUTE(SUBSTITUTE($C348&amp;""," ",""),"　",""),"(주)",""),"（주）",""),"㈜",""),"주식회사",""),"(유)",""),"（유）",""),"유한회사",""))</f>
        <v/>
      </c>
      <c r="K348" s="31">
        <f>IF(LEN(SUBSTITUTE(SUBSTITUTE(SUBSTITUTE(SUBSTITUTE(SUBSTITUTE(SUBSTITUTE(SUBSTITUTE(SUBSTITUTE(SUBSTITUTE($D348&amp;""," ",""),"　",""),"(주)",""),"（주）",""),"㈜",""),"주식회사",""),"(유)",""),"（유）",""),"유한회사",""))&lt;2,"",SUBSTITUTE(SUBSTITUTE(SUBSTITUTE(SUBSTITUTE(SUBSTITUTE(SUBSTITUTE(SUBSTITUTE(SUBSTITUTE(SUBSTITUTE($D348&amp;""," ",""),"　",""),"(주)",""),"（주）",""),"㈜",""),"주식회사",""),"(유)",""),"（유）",""),"유한회사",""))</f>
        <v/>
      </c>
    </row>
    <row r="349">
      <c r="A349" s="35" t="n"/>
      <c r="B349" s="35" t="n"/>
      <c r="C349" s="35" t="n"/>
      <c r="D349" s="35" t="n"/>
      <c r="E349" s="36" t="n"/>
      <c r="F349" s="35" t="n"/>
      <c r="G349" s="35" t="n"/>
      <c r="I349" s="31">
        <f>IF(TRIM($A349&amp;"")="","",IF(ISNUMBER(--SUBSTITUTE(SUBSTITUTE(TRIM($A349&amp;""),"-","")," ","")),SUBSTITUTE(SUBSTITUTE(TRIM($A349&amp;""),"-","")," ",""),"N:"&amp;TRIM($A349&amp;"")))</f>
        <v/>
      </c>
      <c r="J349" s="31">
        <f>IF(LEN(SUBSTITUTE(SUBSTITUTE(SUBSTITUTE(SUBSTITUTE(SUBSTITUTE(SUBSTITUTE(SUBSTITUTE(SUBSTITUTE(SUBSTITUTE($C349&amp;""," ",""),"　",""),"(주)",""),"（주）",""),"㈜",""),"주식회사",""),"(유)",""),"（유）",""),"유한회사",""))&lt;2,"",SUBSTITUTE(SUBSTITUTE(SUBSTITUTE(SUBSTITUTE(SUBSTITUTE(SUBSTITUTE(SUBSTITUTE(SUBSTITUTE(SUBSTITUTE($C349&amp;""," ",""),"　",""),"(주)",""),"（주）",""),"㈜",""),"주식회사",""),"(유)",""),"（유）",""),"유한회사",""))</f>
        <v/>
      </c>
      <c r="K349" s="31">
        <f>IF(LEN(SUBSTITUTE(SUBSTITUTE(SUBSTITUTE(SUBSTITUTE(SUBSTITUTE(SUBSTITUTE(SUBSTITUTE(SUBSTITUTE(SUBSTITUTE($D349&amp;""," ",""),"　",""),"(주)",""),"（주）",""),"㈜",""),"주식회사",""),"(유)",""),"（유）",""),"유한회사",""))&lt;2,"",SUBSTITUTE(SUBSTITUTE(SUBSTITUTE(SUBSTITUTE(SUBSTITUTE(SUBSTITUTE(SUBSTITUTE(SUBSTITUTE(SUBSTITUTE($D349&amp;""," ",""),"　",""),"(주)",""),"（주）",""),"㈜",""),"주식회사",""),"(유)",""),"（유）",""),"유한회사",""))</f>
        <v/>
      </c>
    </row>
    <row r="350">
      <c r="A350" s="35" t="n"/>
      <c r="B350" s="35" t="n"/>
      <c r="C350" s="35" t="n"/>
      <c r="D350" s="35" t="n"/>
      <c r="E350" s="36" t="n"/>
      <c r="F350" s="35" t="n"/>
      <c r="G350" s="35" t="n"/>
      <c r="I350" s="31">
        <f>IF(TRIM($A350&amp;"")="","",IF(ISNUMBER(--SUBSTITUTE(SUBSTITUTE(TRIM($A350&amp;""),"-","")," ","")),SUBSTITUTE(SUBSTITUTE(TRIM($A350&amp;""),"-","")," ",""),"N:"&amp;TRIM($A350&amp;"")))</f>
        <v/>
      </c>
      <c r="J350" s="31">
        <f>IF(LEN(SUBSTITUTE(SUBSTITUTE(SUBSTITUTE(SUBSTITUTE(SUBSTITUTE(SUBSTITUTE(SUBSTITUTE(SUBSTITUTE(SUBSTITUTE($C350&amp;""," ",""),"　",""),"(주)",""),"（주）",""),"㈜",""),"주식회사",""),"(유)",""),"（유）",""),"유한회사",""))&lt;2,"",SUBSTITUTE(SUBSTITUTE(SUBSTITUTE(SUBSTITUTE(SUBSTITUTE(SUBSTITUTE(SUBSTITUTE(SUBSTITUTE(SUBSTITUTE($C350&amp;""," ",""),"　",""),"(주)",""),"（주）",""),"㈜",""),"주식회사",""),"(유)",""),"（유）",""),"유한회사",""))</f>
        <v/>
      </c>
      <c r="K350" s="31">
        <f>IF(LEN(SUBSTITUTE(SUBSTITUTE(SUBSTITUTE(SUBSTITUTE(SUBSTITUTE(SUBSTITUTE(SUBSTITUTE(SUBSTITUTE(SUBSTITUTE($D350&amp;""," ",""),"　",""),"(주)",""),"（주）",""),"㈜",""),"주식회사",""),"(유)",""),"（유）",""),"유한회사",""))&lt;2,"",SUBSTITUTE(SUBSTITUTE(SUBSTITUTE(SUBSTITUTE(SUBSTITUTE(SUBSTITUTE(SUBSTITUTE(SUBSTITUTE(SUBSTITUTE($D350&amp;""," ",""),"　",""),"(주)",""),"（주）",""),"㈜",""),"주식회사",""),"(유)",""),"（유）",""),"유한회사",""))</f>
        <v/>
      </c>
    </row>
    <row r="351">
      <c r="A351" s="35" t="n"/>
      <c r="B351" s="35" t="n"/>
      <c r="C351" s="35" t="n"/>
      <c r="D351" s="35" t="n"/>
      <c r="E351" s="36" t="n"/>
      <c r="F351" s="35" t="n"/>
      <c r="G351" s="35" t="n"/>
      <c r="I351" s="31">
        <f>IF(TRIM($A351&amp;"")="","",IF(ISNUMBER(--SUBSTITUTE(SUBSTITUTE(TRIM($A351&amp;""),"-","")," ","")),SUBSTITUTE(SUBSTITUTE(TRIM($A351&amp;""),"-","")," ",""),"N:"&amp;TRIM($A351&amp;"")))</f>
        <v/>
      </c>
      <c r="J351" s="31">
        <f>IF(LEN(SUBSTITUTE(SUBSTITUTE(SUBSTITUTE(SUBSTITUTE(SUBSTITUTE(SUBSTITUTE(SUBSTITUTE(SUBSTITUTE(SUBSTITUTE($C351&amp;""," ",""),"　",""),"(주)",""),"（주）",""),"㈜",""),"주식회사",""),"(유)",""),"（유）",""),"유한회사",""))&lt;2,"",SUBSTITUTE(SUBSTITUTE(SUBSTITUTE(SUBSTITUTE(SUBSTITUTE(SUBSTITUTE(SUBSTITUTE(SUBSTITUTE(SUBSTITUTE($C351&amp;""," ",""),"　",""),"(주)",""),"（주）",""),"㈜",""),"주식회사",""),"(유)",""),"（유）",""),"유한회사",""))</f>
        <v/>
      </c>
      <c r="K351" s="31">
        <f>IF(LEN(SUBSTITUTE(SUBSTITUTE(SUBSTITUTE(SUBSTITUTE(SUBSTITUTE(SUBSTITUTE(SUBSTITUTE(SUBSTITUTE(SUBSTITUTE($D351&amp;""," ",""),"　",""),"(주)",""),"（주）",""),"㈜",""),"주식회사",""),"(유)",""),"（유）",""),"유한회사",""))&lt;2,"",SUBSTITUTE(SUBSTITUTE(SUBSTITUTE(SUBSTITUTE(SUBSTITUTE(SUBSTITUTE(SUBSTITUTE(SUBSTITUTE(SUBSTITUTE($D351&amp;""," ",""),"　",""),"(주)",""),"（주）",""),"㈜",""),"주식회사",""),"(유)",""),"（유）",""),"유한회사",""))</f>
        <v/>
      </c>
    </row>
    <row r="352">
      <c r="A352" s="35" t="n"/>
      <c r="B352" s="35" t="n"/>
      <c r="C352" s="35" t="n"/>
      <c r="D352" s="35" t="n"/>
      <c r="E352" s="36" t="n"/>
      <c r="F352" s="35" t="n"/>
      <c r="G352" s="35" t="n"/>
      <c r="I352" s="31">
        <f>IF(TRIM($A352&amp;"")="","",IF(ISNUMBER(--SUBSTITUTE(SUBSTITUTE(TRIM($A352&amp;""),"-","")," ","")),SUBSTITUTE(SUBSTITUTE(TRIM($A352&amp;""),"-","")," ",""),"N:"&amp;TRIM($A352&amp;"")))</f>
        <v/>
      </c>
      <c r="J352" s="31">
        <f>IF(LEN(SUBSTITUTE(SUBSTITUTE(SUBSTITUTE(SUBSTITUTE(SUBSTITUTE(SUBSTITUTE(SUBSTITUTE(SUBSTITUTE(SUBSTITUTE($C352&amp;""," ",""),"　",""),"(주)",""),"（주）",""),"㈜",""),"주식회사",""),"(유)",""),"（유）",""),"유한회사",""))&lt;2,"",SUBSTITUTE(SUBSTITUTE(SUBSTITUTE(SUBSTITUTE(SUBSTITUTE(SUBSTITUTE(SUBSTITUTE(SUBSTITUTE(SUBSTITUTE($C352&amp;""," ",""),"　",""),"(주)",""),"（주）",""),"㈜",""),"주식회사",""),"(유)",""),"（유）",""),"유한회사",""))</f>
        <v/>
      </c>
      <c r="K352" s="31">
        <f>IF(LEN(SUBSTITUTE(SUBSTITUTE(SUBSTITUTE(SUBSTITUTE(SUBSTITUTE(SUBSTITUTE(SUBSTITUTE(SUBSTITUTE(SUBSTITUTE($D352&amp;""," ",""),"　",""),"(주)",""),"（주）",""),"㈜",""),"주식회사",""),"(유)",""),"（유）",""),"유한회사",""))&lt;2,"",SUBSTITUTE(SUBSTITUTE(SUBSTITUTE(SUBSTITUTE(SUBSTITUTE(SUBSTITUTE(SUBSTITUTE(SUBSTITUTE(SUBSTITUTE($D352&amp;""," ",""),"　",""),"(주)",""),"（주）",""),"㈜",""),"주식회사",""),"(유)",""),"（유）",""),"유한회사",""))</f>
        <v/>
      </c>
    </row>
    <row r="353">
      <c r="A353" s="35" t="n"/>
      <c r="B353" s="35" t="n"/>
      <c r="C353" s="35" t="n"/>
      <c r="D353" s="35" t="n"/>
      <c r="E353" s="36" t="n"/>
      <c r="F353" s="35" t="n"/>
      <c r="G353" s="35" t="n"/>
      <c r="I353" s="31">
        <f>IF(TRIM($A353&amp;"")="","",IF(ISNUMBER(--SUBSTITUTE(SUBSTITUTE(TRIM($A353&amp;""),"-","")," ","")),SUBSTITUTE(SUBSTITUTE(TRIM($A353&amp;""),"-","")," ",""),"N:"&amp;TRIM($A353&amp;"")))</f>
        <v/>
      </c>
      <c r="J353" s="31">
        <f>IF(LEN(SUBSTITUTE(SUBSTITUTE(SUBSTITUTE(SUBSTITUTE(SUBSTITUTE(SUBSTITUTE(SUBSTITUTE(SUBSTITUTE(SUBSTITUTE($C353&amp;""," ",""),"　",""),"(주)",""),"（주）",""),"㈜",""),"주식회사",""),"(유)",""),"（유）",""),"유한회사",""))&lt;2,"",SUBSTITUTE(SUBSTITUTE(SUBSTITUTE(SUBSTITUTE(SUBSTITUTE(SUBSTITUTE(SUBSTITUTE(SUBSTITUTE(SUBSTITUTE($C353&amp;""," ",""),"　",""),"(주)",""),"（주）",""),"㈜",""),"주식회사",""),"(유)",""),"（유）",""),"유한회사",""))</f>
        <v/>
      </c>
      <c r="K353" s="31">
        <f>IF(LEN(SUBSTITUTE(SUBSTITUTE(SUBSTITUTE(SUBSTITUTE(SUBSTITUTE(SUBSTITUTE(SUBSTITUTE(SUBSTITUTE(SUBSTITUTE($D353&amp;""," ",""),"　",""),"(주)",""),"（주）",""),"㈜",""),"주식회사",""),"(유)",""),"（유）",""),"유한회사",""))&lt;2,"",SUBSTITUTE(SUBSTITUTE(SUBSTITUTE(SUBSTITUTE(SUBSTITUTE(SUBSTITUTE(SUBSTITUTE(SUBSTITUTE(SUBSTITUTE($D353&amp;""," ",""),"　",""),"(주)",""),"（주）",""),"㈜",""),"주식회사",""),"(유)",""),"（유）",""),"유한회사",""))</f>
        <v/>
      </c>
    </row>
    <row r="354">
      <c r="A354" s="35" t="n"/>
      <c r="B354" s="35" t="n"/>
      <c r="C354" s="35" t="n"/>
      <c r="D354" s="35" t="n"/>
      <c r="E354" s="36" t="n"/>
      <c r="F354" s="35" t="n"/>
      <c r="G354" s="35" t="n"/>
      <c r="I354" s="31">
        <f>IF(TRIM($A354&amp;"")="","",IF(ISNUMBER(--SUBSTITUTE(SUBSTITUTE(TRIM($A354&amp;""),"-","")," ","")),SUBSTITUTE(SUBSTITUTE(TRIM($A354&amp;""),"-","")," ",""),"N:"&amp;TRIM($A354&amp;"")))</f>
        <v/>
      </c>
      <c r="J354" s="31">
        <f>IF(LEN(SUBSTITUTE(SUBSTITUTE(SUBSTITUTE(SUBSTITUTE(SUBSTITUTE(SUBSTITUTE(SUBSTITUTE(SUBSTITUTE(SUBSTITUTE($C354&amp;""," ",""),"　",""),"(주)",""),"（주）",""),"㈜",""),"주식회사",""),"(유)",""),"（유）",""),"유한회사",""))&lt;2,"",SUBSTITUTE(SUBSTITUTE(SUBSTITUTE(SUBSTITUTE(SUBSTITUTE(SUBSTITUTE(SUBSTITUTE(SUBSTITUTE(SUBSTITUTE($C354&amp;""," ",""),"　",""),"(주)",""),"（주）",""),"㈜",""),"주식회사",""),"(유)",""),"（유）",""),"유한회사",""))</f>
        <v/>
      </c>
      <c r="K354" s="31">
        <f>IF(LEN(SUBSTITUTE(SUBSTITUTE(SUBSTITUTE(SUBSTITUTE(SUBSTITUTE(SUBSTITUTE(SUBSTITUTE(SUBSTITUTE(SUBSTITUTE($D354&amp;""," ",""),"　",""),"(주)",""),"（주）",""),"㈜",""),"주식회사",""),"(유)",""),"（유）",""),"유한회사",""))&lt;2,"",SUBSTITUTE(SUBSTITUTE(SUBSTITUTE(SUBSTITUTE(SUBSTITUTE(SUBSTITUTE(SUBSTITUTE(SUBSTITUTE(SUBSTITUTE($D354&amp;""," ",""),"　",""),"(주)",""),"（주）",""),"㈜",""),"주식회사",""),"(유)",""),"（유）",""),"유한회사",""))</f>
        <v/>
      </c>
    </row>
    <row r="355">
      <c r="A355" s="35" t="n"/>
      <c r="B355" s="35" t="n"/>
      <c r="C355" s="35" t="n"/>
      <c r="D355" s="35" t="n"/>
      <c r="E355" s="36" t="n"/>
      <c r="F355" s="35" t="n"/>
      <c r="G355" s="35" t="n"/>
      <c r="I355" s="31">
        <f>IF(TRIM($A355&amp;"")="","",IF(ISNUMBER(--SUBSTITUTE(SUBSTITUTE(TRIM($A355&amp;""),"-","")," ","")),SUBSTITUTE(SUBSTITUTE(TRIM($A355&amp;""),"-","")," ",""),"N:"&amp;TRIM($A355&amp;"")))</f>
        <v/>
      </c>
      <c r="J355" s="31">
        <f>IF(LEN(SUBSTITUTE(SUBSTITUTE(SUBSTITUTE(SUBSTITUTE(SUBSTITUTE(SUBSTITUTE(SUBSTITUTE(SUBSTITUTE(SUBSTITUTE($C355&amp;""," ",""),"　",""),"(주)",""),"（주）",""),"㈜",""),"주식회사",""),"(유)",""),"（유）",""),"유한회사",""))&lt;2,"",SUBSTITUTE(SUBSTITUTE(SUBSTITUTE(SUBSTITUTE(SUBSTITUTE(SUBSTITUTE(SUBSTITUTE(SUBSTITUTE(SUBSTITUTE($C355&amp;""," ",""),"　",""),"(주)",""),"（주）",""),"㈜",""),"주식회사",""),"(유)",""),"（유）",""),"유한회사",""))</f>
        <v/>
      </c>
      <c r="K355" s="31">
        <f>IF(LEN(SUBSTITUTE(SUBSTITUTE(SUBSTITUTE(SUBSTITUTE(SUBSTITUTE(SUBSTITUTE(SUBSTITUTE(SUBSTITUTE(SUBSTITUTE($D355&amp;""," ",""),"　",""),"(주)",""),"（주）",""),"㈜",""),"주식회사",""),"(유)",""),"（유）",""),"유한회사",""))&lt;2,"",SUBSTITUTE(SUBSTITUTE(SUBSTITUTE(SUBSTITUTE(SUBSTITUTE(SUBSTITUTE(SUBSTITUTE(SUBSTITUTE(SUBSTITUTE($D355&amp;""," ",""),"　",""),"(주)",""),"（주）",""),"㈜",""),"주식회사",""),"(유)",""),"（유）",""),"유한회사",""))</f>
        <v/>
      </c>
    </row>
    <row r="356">
      <c r="A356" s="35" t="n"/>
      <c r="B356" s="35" t="n"/>
      <c r="C356" s="35" t="n"/>
      <c r="D356" s="35" t="n"/>
      <c r="E356" s="36" t="n"/>
      <c r="F356" s="35" t="n"/>
      <c r="G356" s="35" t="n"/>
      <c r="I356" s="31">
        <f>IF(TRIM($A356&amp;"")="","",IF(ISNUMBER(--SUBSTITUTE(SUBSTITUTE(TRIM($A356&amp;""),"-","")," ","")),SUBSTITUTE(SUBSTITUTE(TRIM($A356&amp;""),"-","")," ",""),"N:"&amp;TRIM($A356&amp;"")))</f>
        <v/>
      </c>
      <c r="J356" s="31">
        <f>IF(LEN(SUBSTITUTE(SUBSTITUTE(SUBSTITUTE(SUBSTITUTE(SUBSTITUTE(SUBSTITUTE(SUBSTITUTE(SUBSTITUTE(SUBSTITUTE($C356&amp;""," ",""),"　",""),"(주)",""),"（주）",""),"㈜",""),"주식회사",""),"(유)",""),"（유）",""),"유한회사",""))&lt;2,"",SUBSTITUTE(SUBSTITUTE(SUBSTITUTE(SUBSTITUTE(SUBSTITUTE(SUBSTITUTE(SUBSTITUTE(SUBSTITUTE(SUBSTITUTE($C356&amp;""," ",""),"　",""),"(주)",""),"（주）",""),"㈜",""),"주식회사",""),"(유)",""),"（유）",""),"유한회사",""))</f>
        <v/>
      </c>
      <c r="K356" s="31">
        <f>IF(LEN(SUBSTITUTE(SUBSTITUTE(SUBSTITUTE(SUBSTITUTE(SUBSTITUTE(SUBSTITUTE(SUBSTITUTE(SUBSTITUTE(SUBSTITUTE($D356&amp;""," ",""),"　",""),"(주)",""),"（주）",""),"㈜",""),"주식회사",""),"(유)",""),"（유）",""),"유한회사",""))&lt;2,"",SUBSTITUTE(SUBSTITUTE(SUBSTITUTE(SUBSTITUTE(SUBSTITUTE(SUBSTITUTE(SUBSTITUTE(SUBSTITUTE(SUBSTITUTE($D356&amp;""," ",""),"　",""),"(주)",""),"（주）",""),"㈜",""),"주식회사",""),"(유)",""),"（유）",""),"유한회사",""))</f>
        <v/>
      </c>
    </row>
    <row r="357">
      <c r="A357" s="35" t="n"/>
      <c r="B357" s="35" t="n"/>
      <c r="C357" s="35" t="n"/>
      <c r="D357" s="35" t="n"/>
      <c r="E357" s="36" t="n"/>
      <c r="F357" s="35" t="n"/>
      <c r="G357" s="35" t="n"/>
      <c r="I357" s="31">
        <f>IF(TRIM($A357&amp;"")="","",IF(ISNUMBER(--SUBSTITUTE(SUBSTITUTE(TRIM($A357&amp;""),"-","")," ","")),SUBSTITUTE(SUBSTITUTE(TRIM($A357&amp;""),"-","")," ",""),"N:"&amp;TRIM($A357&amp;"")))</f>
        <v/>
      </c>
      <c r="J357" s="31">
        <f>IF(LEN(SUBSTITUTE(SUBSTITUTE(SUBSTITUTE(SUBSTITUTE(SUBSTITUTE(SUBSTITUTE(SUBSTITUTE(SUBSTITUTE(SUBSTITUTE($C357&amp;""," ",""),"　",""),"(주)",""),"（주）",""),"㈜",""),"주식회사",""),"(유)",""),"（유）",""),"유한회사",""))&lt;2,"",SUBSTITUTE(SUBSTITUTE(SUBSTITUTE(SUBSTITUTE(SUBSTITUTE(SUBSTITUTE(SUBSTITUTE(SUBSTITUTE(SUBSTITUTE($C357&amp;""," ",""),"　",""),"(주)",""),"（주）",""),"㈜",""),"주식회사",""),"(유)",""),"（유）",""),"유한회사",""))</f>
        <v/>
      </c>
      <c r="K357" s="31">
        <f>IF(LEN(SUBSTITUTE(SUBSTITUTE(SUBSTITUTE(SUBSTITUTE(SUBSTITUTE(SUBSTITUTE(SUBSTITUTE(SUBSTITUTE(SUBSTITUTE($D357&amp;""," ",""),"　",""),"(주)",""),"（주）",""),"㈜",""),"주식회사",""),"(유)",""),"（유）",""),"유한회사",""))&lt;2,"",SUBSTITUTE(SUBSTITUTE(SUBSTITUTE(SUBSTITUTE(SUBSTITUTE(SUBSTITUTE(SUBSTITUTE(SUBSTITUTE(SUBSTITUTE($D357&amp;""," ",""),"　",""),"(주)",""),"（주）",""),"㈜",""),"주식회사",""),"(유)",""),"（유）",""),"유한회사",""))</f>
        <v/>
      </c>
    </row>
    <row r="358">
      <c r="A358" s="35" t="n"/>
      <c r="B358" s="35" t="n"/>
      <c r="C358" s="35" t="n"/>
      <c r="D358" s="35" t="n"/>
      <c r="E358" s="36" t="n"/>
      <c r="F358" s="35" t="n"/>
      <c r="G358" s="35" t="n"/>
      <c r="I358" s="31">
        <f>IF(TRIM($A358&amp;"")="","",IF(ISNUMBER(--SUBSTITUTE(SUBSTITUTE(TRIM($A358&amp;""),"-","")," ","")),SUBSTITUTE(SUBSTITUTE(TRIM($A358&amp;""),"-","")," ",""),"N:"&amp;TRIM($A358&amp;"")))</f>
        <v/>
      </c>
      <c r="J358" s="31">
        <f>IF(LEN(SUBSTITUTE(SUBSTITUTE(SUBSTITUTE(SUBSTITUTE(SUBSTITUTE(SUBSTITUTE(SUBSTITUTE(SUBSTITUTE(SUBSTITUTE($C358&amp;""," ",""),"　",""),"(주)",""),"（주）",""),"㈜",""),"주식회사",""),"(유)",""),"（유）",""),"유한회사",""))&lt;2,"",SUBSTITUTE(SUBSTITUTE(SUBSTITUTE(SUBSTITUTE(SUBSTITUTE(SUBSTITUTE(SUBSTITUTE(SUBSTITUTE(SUBSTITUTE($C358&amp;""," ",""),"　",""),"(주)",""),"（주）",""),"㈜",""),"주식회사",""),"(유)",""),"（유）",""),"유한회사",""))</f>
        <v/>
      </c>
      <c r="K358" s="31">
        <f>IF(LEN(SUBSTITUTE(SUBSTITUTE(SUBSTITUTE(SUBSTITUTE(SUBSTITUTE(SUBSTITUTE(SUBSTITUTE(SUBSTITUTE(SUBSTITUTE($D358&amp;""," ",""),"　",""),"(주)",""),"（주）",""),"㈜",""),"주식회사",""),"(유)",""),"（유）",""),"유한회사",""))&lt;2,"",SUBSTITUTE(SUBSTITUTE(SUBSTITUTE(SUBSTITUTE(SUBSTITUTE(SUBSTITUTE(SUBSTITUTE(SUBSTITUTE(SUBSTITUTE($D358&amp;""," ",""),"　",""),"(주)",""),"（주）",""),"㈜",""),"주식회사",""),"(유)",""),"（유）",""),"유한회사",""))</f>
        <v/>
      </c>
    </row>
    <row r="359">
      <c r="A359" s="35" t="n"/>
      <c r="B359" s="35" t="n"/>
      <c r="C359" s="35" t="n"/>
      <c r="D359" s="35" t="n"/>
      <c r="E359" s="36" t="n"/>
      <c r="F359" s="35" t="n"/>
      <c r="G359" s="35" t="n"/>
      <c r="I359" s="31">
        <f>IF(TRIM($A359&amp;"")="","",IF(ISNUMBER(--SUBSTITUTE(SUBSTITUTE(TRIM($A359&amp;""),"-","")," ","")),SUBSTITUTE(SUBSTITUTE(TRIM($A359&amp;""),"-","")," ",""),"N:"&amp;TRIM($A359&amp;"")))</f>
        <v/>
      </c>
      <c r="J359" s="31">
        <f>IF(LEN(SUBSTITUTE(SUBSTITUTE(SUBSTITUTE(SUBSTITUTE(SUBSTITUTE(SUBSTITUTE(SUBSTITUTE(SUBSTITUTE(SUBSTITUTE($C359&amp;""," ",""),"　",""),"(주)",""),"（주）",""),"㈜",""),"주식회사",""),"(유)",""),"（유）",""),"유한회사",""))&lt;2,"",SUBSTITUTE(SUBSTITUTE(SUBSTITUTE(SUBSTITUTE(SUBSTITUTE(SUBSTITUTE(SUBSTITUTE(SUBSTITUTE(SUBSTITUTE($C359&amp;""," ",""),"　",""),"(주)",""),"（주）",""),"㈜",""),"주식회사",""),"(유)",""),"（유）",""),"유한회사",""))</f>
        <v/>
      </c>
      <c r="K359" s="31">
        <f>IF(LEN(SUBSTITUTE(SUBSTITUTE(SUBSTITUTE(SUBSTITUTE(SUBSTITUTE(SUBSTITUTE(SUBSTITUTE(SUBSTITUTE(SUBSTITUTE($D359&amp;""," ",""),"　",""),"(주)",""),"（주）",""),"㈜",""),"주식회사",""),"(유)",""),"（유）",""),"유한회사",""))&lt;2,"",SUBSTITUTE(SUBSTITUTE(SUBSTITUTE(SUBSTITUTE(SUBSTITUTE(SUBSTITUTE(SUBSTITUTE(SUBSTITUTE(SUBSTITUTE($D359&amp;""," ",""),"　",""),"(주)",""),"（주）",""),"㈜",""),"주식회사",""),"(유)",""),"（유）",""),"유한회사",""))</f>
        <v/>
      </c>
    </row>
    <row r="360">
      <c r="A360" s="35" t="n"/>
      <c r="B360" s="35" t="n"/>
      <c r="C360" s="35" t="n"/>
      <c r="D360" s="35" t="n"/>
      <c r="E360" s="36" t="n"/>
      <c r="F360" s="35" t="n"/>
      <c r="G360" s="35" t="n"/>
      <c r="I360" s="31">
        <f>IF(TRIM($A360&amp;"")="","",IF(ISNUMBER(--SUBSTITUTE(SUBSTITUTE(TRIM($A360&amp;""),"-","")," ","")),SUBSTITUTE(SUBSTITUTE(TRIM($A360&amp;""),"-","")," ",""),"N:"&amp;TRIM($A360&amp;"")))</f>
        <v/>
      </c>
      <c r="J360" s="31">
        <f>IF(LEN(SUBSTITUTE(SUBSTITUTE(SUBSTITUTE(SUBSTITUTE(SUBSTITUTE(SUBSTITUTE(SUBSTITUTE(SUBSTITUTE(SUBSTITUTE($C360&amp;""," ",""),"　",""),"(주)",""),"（주）",""),"㈜",""),"주식회사",""),"(유)",""),"（유）",""),"유한회사",""))&lt;2,"",SUBSTITUTE(SUBSTITUTE(SUBSTITUTE(SUBSTITUTE(SUBSTITUTE(SUBSTITUTE(SUBSTITUTE(SUBSTITUTE(SUBSTITUTE($C360&amp;""," ",""),"　",""),"(주)",""),"（주）",""),"㈜",""),"주식회사",""),"(유)",""),"（유）",""),"유한회사",""))</f>
        <v/>
      </c>
      <c r="K360" s="31">
        <f>IF(LEN(SUBSTITUTE(SUBSTITUTE(SUBSTITUTE(SUBSTITUTE(SUBSTITUTE(SUBSTITUTE(SUBSTITUTE(SUBSTITUTE(SUBSTITUTE($D360&amp;""," ",""),"　",""),"(주)",""),"（주）",""),"㈜",""),"주식회사",""),"(유)",""),"（유）",""),"유한회사",""))&lt;2,"",SUBSTITUTE(SUBSTITUTE(SUBSTITUTE(SUBSTITUTE(SUBSTITUTE(SUBSTITUTE(SUBSTITUTE(SUBSTITUTE(SUBSTITUTE($D360&amp;""," ",""),"　",""),"(주)",""),"（주）",""),"㈜",""),"주식회사",""),"(유)",""),"（유）",""),"유한회사",""))</f>
        <v/>
      </c>
    </row>
    <row r="361">
      <c r="A361" s="35" t="n"/>
      <c r="B361" s="35" t="n"/>
      <c r="C361" s="35" t="n"/>
      <c r="D361" s="35" t="n"/>
      <c r="E361" s="36" t="n"/>
      <c r="F361" s="35" t="n"/>
      <c r="G361" s="35" t="n"/>
      <c r="I361" s="31">
        <f>IF(TRIM($A361&amp;"")="","",IF(ISNUMBER(--SUBSTITUTE(SUBSTITUTE(TRIM($A361&amp;""),"-","")," ","")),SUBSTITUTE(SUBSTITUTE(TRIM($A361&amp;""),"-","")," ",""),"N:"&amp;TRIM($A361&amp;"")))</f>
        <v/>
      </c>
      <c r="J361" s="31">
        <f>IF(LEN(SUBSTITUTE(SUBSTITUTE(SUBSTITUTE(SUBSTITUTE(SUBSTITUTE(SUBSTITUTE(SUBSTITUTE(SUBSTITUTE(SUBSTITUTE($C361&amp;""," ",""),"　",""),"(주)",""),"（주）",""),"㈜",""),"주식회사",""),"(유)",""),"（유）",""),"유한회사",""))&lt;2,"",SUBSTITUTE(SUBSTITUTE(SUBSTITUTE(SUBSTITUTE(SUBSTITUTE(SUBSTITUTE(SUBSTITUTE(SUBSTITUTE(SUBSTITUTE($C361&amp;""," ",""),"　",""),"(주)",""),"（주）",""),"㈜",""),"주식회사",""),"(유)",""),"（유）",""),"유한회사",""))</f>
        <v/>
      </c>
      <c r="K361" s="31">
        <f>IF(LEN(SUBSTITUTE(SUBSTITUTE(SUBSTITUTE(SUBSTITUTE(SUBSTITUTE(SUBSTITUTE(SUBSTITUTE(SUBSTITUTE(SUBSTITUTE($D361&amp;""," ",""),"　",""),"(주)",""),"（주）",""),"㈜",""),"주식회사",""),"(유)",""),"（유）",""),"유한회사",""))&lt;2,"",SUBSTITUTE(SUBSTITUTE(SUBSTITUTE(SUBSTITUTE(SUBSTITUTE(SUBSTITUTE(SUBSTITUTE(SUBSTITUTE(SUBSTITUTE($D361&amp;""," ",""),"　",""),"(주)",""),"（주）",""),"㈜",""),"주식회사",""),"(유)",""),"（유）",""),"유한회사",""))</f>
        <v/>
      </c>
    </row>
    <row r="362">
      <c r="A362" s="35" t="n"/>
      <c r="B362" s="35" t="n"/>
      <c r="C362" s="35" t="n"/>
      <c r="D362" s="35" t="n"/>
      <c r="E362" s="36" t="n"/>
      <c r="F362" s="35" t="n"/>
      <c r="G362" s="35" t="n"/>
      <c r="I362" s="31">
        <f>IF(TRIM($A362&amp;"")="","",IF(ISNUMBER(--SUBSTITUTE(SUBSTITUTE(TRIM($A362&amp;""),"-","")," ","")),SUBSTITUTE(SUBSTITUTE(TRIM($A362&amp;""),"-","")," ",""),"N:"&amp;TRIM($A362&amp;"")))</f>
        <v/>
      </c>
      <c r="J362" s="31">
        <f>IF(LEN(SUBSTITUTE(SUBSTITUTE(SUBSTITUTE(SUBSTITUTE(SUBSTITUTE(SUBSTITUTE(SUBSTITUTE(SUBSTITUTE(SUBSTITUTE($C362&amp;""," ",""),"　",""),"(주)",""),"（주）",""),"㈜",""),"주식회사",""),"(유)",""),"（유）",""),"유한회사",""))&lt;2,"",SUBSTITUTE(SUBSTITUTE(SUBSTITUTE(SUBSTITUTE(SUBSTITUTE(SUBSTITUTE(SUBSTITUTE(SUBSTITUTE(SUBSTITUTE($C362&amp;""," ",""),"　",""),"(주)",""),"（주）",""),"㈜",""),"주식회사",""),"(유)",""),"（유）",""),"유한회사",""))</f>
        <v/>
      </c>
      <c r="K362" s="31">
        <f>IF(LEN(SUBSTITUTE(SUBSTITUTE(SUBSTITUTE(SUBSTITUTE(SUBSTITUTE(SUBSTITUTE(SUBSTITUTE(SUBSTITUTE(SUBSTITUTE($D362&amp;""," ",""),"　",""),"(주)",""),"（주）",""),"㈜",""),"주식회사",""),"(유)",""),"（유）",""),"유한회사",""))&lt;2,"",SUBSTITUTE(SUBSTITUTE(SUBSTITUTE(SUBSTITUTE(SUBSTITUTE(SUBSTITUTE(SUBSTITUTE(SUBSTITUTE(SUBSTITUTE($D362&amp;""," ",""),"　",""),"(주)",""),"（주）",""),"㈜",""),"주식회사",""),"(유)",""),"（유）",""),"유한회사",""))</f>
        <v/>
      </c>
    </row>
    <row r="363">
      <c r="A363" s="35" t="n"/>
      <c r="B363" s="35" t="n"/>
      <c r="C363" s="35" t="n"/>
      <c r="D363" s="35" t="n"/>
      <c r="E363" s="36" t="n"/>
      <c r="F363" s="35" t="n"/>
      <c r="G363" s="35" t="n"/>
      <c r="I363" s="31">
        <f>IF(TRIM($A363&amp;"")="","",IF(ISNUMBER(--SUBSTITUTE(SUBSTITUTE(TRIM($A363&amp;""),"-","")," ","")),SUBSTITUTE(SUBSTITUTE(TRIM($A363&amp;""),"-","")," ",""),"N:"&amp;TRIM($A363&amp;"")))</f>
        <v/>
      </c>
      <c r="J363" s="31">
        <f>IF(LEN(SUBSTITUTE(SUBSTITUTE(SUBSTITUTE(SUBSTITUTE(SUBSTITUTE(SUBSTITUTE(SUBSTITUTE(SUBSTITUTE(SUBSTITUTE($C363&amp;""," ",""),"　",""),"(주)",""),"（주）",""),"㈜",""),"주식회사",""),"(유)",""),"（유）",""),"유한회사",""))&lt;2,"",SUBSTITUTE(SUBSTITUTE(SUBSTITUTE(SUBSTITUTE(SUBSTITUTE(SUBSTITUTE(SUBSTITUTE(SUBSTITUTE(SUBSTITUTE($C363&amp;""," ",""),"　",""),"(주)",""),"（주）",""),"㈜",""),"주식회사",""),"(유)",""),"（유）",""),"유한회사",""))</f>
        <v/>
      </c>
      <c r="K363" s="31">
        <f>IF(LEN(SUBSTITUTE(SUBSTITUTE(SUBSTITUTE(SUBSTITUTE(SUBSTITUTE(SUBSTITUTE(SUBSTITUTE(SUBSTITUTE(SUBSTITUTE($D363&amp;""," ",""),"　",""),"(주)",""),"（주）",""),"㈜",""),"주식회사",""),"(유)",""),"（유）",""),"유한회사",""))&lt;2,"",SUBSTITUTE(SUBSTITUTE(SUBSTITUTE(SUBSTITUTE(SUBSTITUTE(SUBSTITUTE(SUBSTITUTE(SUBSTITUTE(SUBSTITUTE($D363&amp;""," ",""),"　",""),"(주)",""),"（주）",""),"㈜",""),"주식회사",""),"(유)",""),"（유）",""),"유한회사",""))</f>
        <v/>
      </c>
    </row>
    <row r="364">
      <c r="A364" s="35" t="n"/>
      <c r="B364" s="35" t="n"/>
      <c r="C364" s="35" t="n"/>
      <c r="D364" s="35" t="n"/>
      <c r="E364" s="36" t="n"/>
      <c r="F364" s="35" t="n"/>
      <c r="G364" s="35" t="n"/>
      <c r="I364" s="31">
        <f>IF(TRIM($A364&amp;"")="","",IF(ISNUMBER(--SUBSTITUTE(SUBSTITUTE(TRIM($A364&amp;""),"-","")," ","")),SUBSTITUTE(SUBSTITUTE(TRIM($A364&amp;""),"-","")," ",""),"N:"&amp;TRIM($A364&amp;"")))</f>
        <v/>
      </c>
      <c r="J364" s="31">
        <f>IF(LEN(SUBSTITUTE(SUBSTITUTE(SUBSTITUTE(SUBSTITUTE(SUBSTITUTE(SUBSTITUTE(SUBSTITUTE(SUBSTITUTE(SUBSTITUTE($C364&amp;""," ",""),"　",""),"(주)",""),"（주）",""),"㈜",""),"주식회사",""),"(유)",""),"（유）",""),"유한회사",""))&lt;2,"",SUBSTITUTE(SUBSTITUTE(SUBSTITUTE(SUBSTITUTE(SUBSTITUTE(SUBSTITUTE(SUBSTITUTE(SUBSTITUTE(SUBSTITUTE($C364&amp;""," ",""),"　",""),"(주)",""),"（주）",""),"㈜",""),"주식회사",""),"(유)",""),"（유）",""),"유한회사",""))</f>
        <v/>
      </c>
      <c r="K364" s="31">
        <f>IF(LEN(SUBSTITUTE(SUBSTITUTE(SUBSTITUTE(SUBSTITUTE(SUBSTITUTE(SUBSTITUTE(SUBSTITUTE(SUBSTITUTE(SUBSTITUTE($D364&amp;""," ",""),"　",""),"(주)",""),"（주）",""),"㈜",""),"주식회사",""),"(유)",""),"（유）",""),"유한회사",""))&lt;2,"",SUBSTITUTE(SUBSTITUTE(SUBSTITUTE(SUBSTITUTE(SUBSTITUTE(SUBSTITUTE(SUBSTITUTE(SUBSTITUTE(SUBSTITUTE($D364&amp;""," ",""),"　",""),"(주)",""),"（주）",""),"㈜",""),"주식회사",""),"(유)",""),"（유）",""),"유한회사",""))</f>
        <v/>
      </c>
    </row>
    <row r="365">
      <c r="A365" s="35" t="n"/>
      <c r="B365" s="35" t="n"/>
      <c r="C365" s="35" t="n"/>
      <c r="D365" s="35" t="n"/>
      <c r="E365" s="36" t="n"/>
      <c r="F365" s="35" t="n"/>
      <c r="G365" s="35" t="n"/>
      <c r="I365" s="31">
        <f>IF(TRIM($A365&amp;"")="","",IF(ISNUMBER(--SUBSTITUTE(SUBSTITUTE(TRIM($A365&amp;""),"-","")," ","")),SUBSTITUTE(SUBSTITUTE(TRIM($A365&amp;""),"-","")," ",""),"N:"&amp;TRIM($A365&amp;"")))</f>
        <v/>
      </c>
      <c r="J365" s="31">
        <f>IF(LEN(SUBSTITUTE(SUBSTITUTE(SUBSTITUTE(SUBSTITUTE(SUBSTITUTE(SUBSTITUTE(SUBSTITUTE(SUBSTITUTE(SUBSTITUTE($C365&amp;""," ",""),"　",""),"(주)",""),"（주）",""),"㈜",""),"주식회사",""),"(유)",""),"（유）",""),"유한회사",""))&lt;2,"",SUBSTITUTE(SUBSTITUTE(SUBSTITUTE(SUBSTITUTE(SUBSTITUTE(SUBSTITUTE(SUBSTITUTE(SUBSTITUTE(SUBSTITUTE($C365&amp;""," ",""),"　",""),"(주)",""),"（주）",""),"㈜",""),"주식회사",""),"(유)",""),"（유）",""),"유한회사",""))</f>
        <v/>
      </c>
      <c r="K365" s="31">
        <f>IF(LEN(SUBSTITUTE(SUBSTITUTE(SUBSTITUTE(SUBSTITUTE(SUBSTITUTE(SUBSTITUTE(SUBSTITUTE(SUBSTITUTE(SUBSTITUTE($D365&amp;""," ",""),"　",""),"(주)",""),"（주）",""),"㈜",""),"주식회사",""),"(유)",""),"（유）",""),"유한회사",""))&lt;2,"",SUBSTITUTE(SUBSTITUTE(SUBSTITUTE(SUBSTITUTE(SUBSTITUTE(SUBSTITUTE(SUBSTITUTE(SUBSTITUTE(SUBSTITUTE($D365&amp;""," ",""),"　",""),"(주)",""),"（주）",""),"㈜",""),"주식회사",""),"(유)",""),"（유）",""),"유한회사",""))</f>
        <v/>
      </c>
    </row>
    <row r="366">
      <c r="A366" s="35" t="n"/>
      <c r="B366" s="35" t="n"/>
      <c r="C366" s="35" t="n"/>
      <c r="D366" s="35" t="n"/>
      <c r="E366" s="36" t="n"/>
      <c r="F366" s="35" t="n"/>
      <c r="G366" s="35" t="n"/>
      <c r="I366" s="31">
        <f>IF(TRIM($A366&amp;"")="","",IF(ISNUMBER(--SUBSTITUTE(SUBSTITUTE(TRIM($A366&amp;""),"-","")," ","")),SUBSTITUTE(SUBSTITUTE(TRIM($A366&amp;""),"-","")," ",""),"N:"&amp;TRIM($A366&amp;"")))</f>
        <v/>
      </c>
      <c r="J366" s="31">
        <f>IF(LEN(SUBSTITUTE(SUBSTITUTE(SUBSTITUTE(SUBSTITUTE(SUBSTITUTE(SUBSTITUTE(SUBSTITUTE(SUBSTITUTE(SUBSTITUTE($C366&amp;""," ",""),"　",""),"(주)",""),"（주）",""),"㈜",""),"주식회사",""),"(유)",""),"（유）",""),"유한회사",""))&lt;2,"",SUBSTITUTE(SUBSTITUTE(SUBSTITUTE(SUBSTITUTE(SUBSTITUTE(SUBSTITUTE(SUBSTITUTE(SUBSTITUTE(SUBSTITUTE($C366&amp;""," ",""),"　",""),"(주)",""),"（주）",""),"㈜",""),"주식회사",""),"(유)",""),"（유）",""),"유한회사",""))</f>
        <v/>
      </c>
      <c r="K366" s="31">
        <f>IF(LEN(SUBSTITUTE(SUBSTITUTE(SUBSTITUTE(SUBSTITUTE(SUBSTITUTE(SUBSTITUTE(SUBSTITUTE(SUBSTITUTE(SUBSTITUTE($D366&amp;""," ",""),"　",""),"(주)",""),"（주）",""),"㈜",""),"주식회사",""),"(유)",""),"（유）",""),"유한회사",""))&lt;2,"",SUBSTITUTE(SUBSTITUTE(SUBSTITUTE(SUBSTITUTE(SUBSTITUTE(SUBSTITUTE(SUBSTITUTE(SUBSTITUTE(SUBSTITUTE($D366&amp;""," ",""),"　",""),"(주)",""),"（주）",""),"㈜",""),"주식회사",""),"(유)",""),"（유）",""),"유한회사",""))</f>
        <v/>
      </c>
    </row>
    <row r="367">
      <c r="A367" s="35" t="n"/>
      <c r="B367" s="35" t="n"/>
      <c r="C367" s="35" t="n"/>
      <c r="D367" s="35" t="n"/>
      <c r="E367" s="36" t="n"/>
      <c r="F367" s="35" t="n"/>
      <c r="G367" s="35" t="n"/>
      <c r="I367" s="31">
        <f>IF(TRIM($A367&amp;"")="","",IF(ISNUMBER(--SUBSTITUTE(SUBSTITUTE(TRIM($A367&amp;""),"-","")," ","")),SUBSTITUTE(SUBSTITUTE(TRIM($A367&amp;""),"-","")," ",""),"N:"&amp;TRIM($A367&amp;"")))</f>
        <v/>
      </c>
      <c r="J367" s="31">
        <f>IF(LEN(SUBSTITUTE(SUBSTITUTE(SUBSTITUTE(SUBSTITUTE(SUBSTITUTE(SUBSTITUTE(SUBSTITUTE(SUBSTITUTE(SUBSTITUTE($C367&amp;""," ",""),"　",""),"(주)",""),"（주）",""),"㈜",""),"주식회사",""),"(유)",""),"（유）",""),"유한회사",""))&lt;2,"",SUBSTITUTE(SUBSTITUTE(SUBSTITUTE(SUBSTITUTE(SUBSTITUTE(SUBSTITUTE(SUBSTITUTE(SUBSTITUTE(SUBSTITUTE($C367&amp;""," ",""),"　",""),"(주)",""),"（주）",""),"㈜",""),"주식회사",""),"(유)",""),"（유）",""),"유한회사",""))</f>
        <v/>
      </c>
      <c r="K367" s="31">
        <f>IF(LEN(SUBSTITUTE(SUBSTITUTE(SUBSTITUTE(SUBSTITUTE(SUBSTITUTE(SUBSTITUTE(SUBSTITUTE(SUBSTITUTE(SUBSTITUTE($D367&amp;""," ",""),"　",""),"(주)",""),"（주）",""),"㈜",""),"주식회사",""),"(유)",""),"（유）",""),"유한회사",""))&lt;2,"",SUBSTITUTE(SUBSTITUTE(SUBSTITUTE(SUBSTITUTE(SUBSTITUTE(SUBSTITUTE(SUBSTITUTE(SUBSTITUTE(SUBSTITUTE($D367&amp;""," ",""),"　",""),"(주)",""),"（주）",""),"㈜",""),"주식회사",""),"(유)",""),"（유）",""),"유한회사",""))</f>
        <v/>
      </c>
    </row>
    <row r="368">
      <c r="A368" s="35" t="n"/>
      <c r="B368" s="35" t="n"/>
      <c r="C368" s="35" t="n"/>
      <c r="D368" s="35" t="n"/>
      <c r="E368" s="36" t="n"/>
      <c r="F368" s="35" t="n"/>
      <c r="G368" s="35" t="n"/>
      <c r="I368" s="31">
        <f>IF(TRIM($A368&amp;"")="","",IF(ISNUMBER(--SUBSTITUTE(SUBSTITUTE(TRIM($A368&amp;""),"-","")," ","")),SUBSTITUTE(SUBSTITUTE(TRIM($A368&amp;""),"-","")," ",""),"N:"&amp;TRIM($A368&amp;"")))</f>
        <v/>
      </c>
      <c r="J368" s="31">
        <f>IF(LEN(SUBSTITUTE(SUBSTITUTE(SUBSTITUTE(SUBSTITUTE(SUBSTITUTE(SUBSTITUTE(SUBSTITUTE(SUBSTITUTE(SUBSTITUTE($C368&amp;""," ",""),"　",""),"(주)",""),"（주）",""),"㈜",""),"주식회사",""),"(유)",""),"（유）",""),"유한회사",""))&lt;2,"",SUBSTITUTE(SUBSTITUTE(SUBSTITUTE(SUBSTITUTE(SUBSTITUTE(SUBSTITUTE(SUBSTITUTE(SUBSTITUTE(SUBSTITUTE($C368&amp;""," ",""),"　",""),"(주)",""),"（주）",""),"㈜",""),"주식회사",""),"(유)",""),"（유）",""),"유한회사",""))</f>
        <v/>
      </c>
      <c r="K368" s="31">
        <f>IF(LEN(SUBSTITUTE(SUBSTITUTE(SUBSTITUTE(SUBSTITUTE(SUBSTITUTE(SUBSTITUTE(SUBSTITUTE(SUBSTITUTE(SUBSTITUTE($D368&amp;""," ",""),"　",""),"(주)",""),"（주）",""),"㈜",""),"주식회사",""),"(유)",""),"（유）",""),"유한회사",""))&lt;2,"",SUBSTITUTE(SUBSTITUTE(SUBSTITUTE(SUBSTITUTE(SUBSTITUTE(SUBSTITUTE(SUBSTITUTE(SUBSTITUTE(SUBSTITUTE($D368&amp;""," ",""),"　",""),"(주)",""),"（주）",""),"㈜",""),"주식회사",""),"(유)",""),"（유）",""),"유한회사",""))</f>
        <v/>
      </c>
    </row>
    <row r="369">
      <c r="A369" s="35" t="n"/>
      <c r="B369" s="35" t="n"/>
      <c r="C369" s="35" t="n"/>
      <c r="D369" s="35" t="n"/>
      <c r="E369" s="36" t="n"/>
      <c r="F369" s="35" t="n"/>
      <c r="G369" s="35" t="n"/>
      <c r="I369" s="31">
        <f>IF(TRIM($A369&amp;"")="","",IF(ISNUMBER(--SUBSTITUTE(SUBSTITUTE(TRIM($A369&amp;""),"-","")," ","")),SUBSTITUTE(SUBSTITUTE(TRIM($A369&amp;""),"-","")," ",""),"N:"&amp;TRIM($A369&amp;"")))</f>
        <v/>
      </c>
      <c r="J369" s="31">
        <f>IF(LEN(SUBSTITUTE(SUBSTITUTE(SUBSTITUTE(SUBSTITUTE(SUBSTITUTE(SUBSTITUTE(SUBSTITUTE(SUBSTITUTE(SUBSTITUTE($C369&amp;""," ",""),"　",""),"(주)",""),"（주）",""),"㈜",""),"주식회사",""),"(유)",""),"（유）",""),"유한회사",""))&lt;2,"",SUBSTITUTE(SUBSTITUTE(SUBSTITUTE(SUBSTITUTE(SUBSTITUTE(SUBSTITUTE(SUBSTITUTE(SUBSTITUTE(SUBSTITUTE($C369&amp;""," ",""),"　",""),"(주)",""),"（주）",""),"㈜",""),"주식회사",""),"(유)",""),"（유）",""),"유한회사",""))</f>
        <v/>
      </c>
      <c r="K369" s="31">
        <f>IF(LEN(SUBSTITUTE(SUBSTITUTE(SUBSTITUTE(SUBSTITUTE(SUBSTITUTE(SUBSTITUTE(SUBSTITUTE(SUBSTITUTE(SUBSTITUTE($D369&amp;""," ",""),"　",""),"(주)",""),"（주）",""),"㈜",""),"주식회사",""),"(유)",""),"（유）",""),"유한회사",""))&lt;2,"",SUBSTITUTE(SUBSTITUTE(SUBSTITUTE(SUBSTITUTE(SUBSTITUTE(SUBSTITUTE(SUBSTITUTE(SUBSTITUTE(SUBSTITUTE($D369&amp;""," ",""),"　",""),"(주)",""),"（주）",""),"㈜",""),"주식회사",""),"(유)",""),"（유）",""),"유한회사",""))</f>
        <v/>
      </c>
    </row>
    <row r="370">
      <c r="A370" s="35" t="n"/>
      <c r="B370" s="35" t="n"/>
      <c r="C370" s="35" t="n"/>
      <c r="D370" s="35" t="n"/>
      <c r="E370" s="36" t="n"/>
      <c r="F370" s="35" t="n"/>
      <c r="G370" s="35" t="n"/>
      <c r="I370" s="31">
        <f>IF(TRIM($A370&amp;"")="","",IF(ISNUMBER(--SUBSTITUTE(SUBSTITUTE(TRIM($A370&amp;""),"-","")," ","")),SUBSTITUTE(SUBSTITUTE(TRIM($A370&amp;""),"-","")," ",""),"N:"&amp;TRIM($A370&amp;"")))</f>
        <v/>
      </c>
      <c r="J370" s="31">
        <f>IF(LEN(SUBSTITUTE(SUBSTITUTE(SUBSTITUTE(SUBSTITUTE(SUBSTITUTE(SUBSTITUTE(SUBSTITUTE(SUBSTITUTE(SUBSTITUTE($C370&amp;""," ",""),"　",""),"(주)",""),"（주）",""),"㈜",""),"주식회사",""),"(유)",""),"（유）",""),"유한회사",""))&lt;2,"",SUBSTITUTE(SUBSTITUTE(SUBSTITUTE(SUBSTITUTE(SUBSTITUTE(SUBSTITUTE(SUBSTITUTE(SUBSTITUTE(SUBSTITUTE($C370&amp;""," ",""),"　",""),"(주)",""),"（주）",""),"㈜",""),"주식회사",""),"(유)",""),"（유）",""),"유한회사",""))</f>
        <v/>
      </c>
      <c r="K370" s="31">
        <f>IF(LEN(SUBSTITUTE(SUBSTITUTE(SUBSTITUTE(SUBSTITUTE(SUBSTITUTE(SUBSTITUTE(SUBSTITUTE(SUBSTITUTE(SUBSTITUTE($D370&amp;""," ",""),"　",""),"(주)",""),"（주）",""),"㈜",""),"주식회사",""),"(유)",""),"（유）",""),"유한회사",""))&lt;2,"",SUBSTITUTE(SUBSTITUTE(SUBSTITUTE(SUBSTITUTE(SUBSTITUTE(SUBSTITUTE(SUBSTITUTE(SUBSTITUTE(SUBSTITUTE($D370&amp;""," ",""),"　",""),"(주)",""),"（주）",""),"㈜",""),"주식회사",""),"(유)",""),"（유）",""),"유한회사",""))</f>
        <v/>
      </c>
    </row>
    <row r="371">
      <c r="A371" s="35" t="n"/>
      <c r="B371" s="35" t="n"/>
      <c r="C371" s="35" t="n"/>
      <c r="D371" s="35" t="n"/>
      <c r="E371" s="36" t="n"/>
      <c r="F371" s="35" t="n"/>
      <c r="G371" s="35" t="n"/>
      <c r="I371" s="31">
        <f>IF(TRIM($A371&amp;"")="","",IF(ISNUMBER(--SUBSTITUTE(SUBSTITUTE(TRIM($A371&amp;""),"-","")," ","")),SUBSTITUTE(SUBSTITUTE(TRIM($A371&amp;""),"-","")," ",""),"N:"&amp;TRIM($A371&amp;"")))</f>
        <v/>
      </c>
      <c r="J371" s="31">
        <f>IF(LEN(SUBSTITUTE(SUBSTITUTE(SUBSTITUTE(SUBSTITUTE(SUBSTITUTE(SUBSTITUTE(SUBSTITUTE(SUBSTITUTE(SUBSTITUTE($C371&amp;""," ",""),"　",""),"(주)",""),"（주）",""),"㈜",""),"주식회사",""),"(유)",""),"（유）",""),"유한회사",""))&lt;2,"",SUBSTITUTE(SUBSTITUTE(SUBSTITUTE(SUBSTITUTE(SUBSTITUTE(SUBSTITUTE(SUBSTITUTE(SUBSTITUTE(SUBSTITUTE($C371&amp;""," ",""),"　",""),"(주)",""),"（주）",""),"㈜",""),"주식회사",""),"(유)",""),"（유）",""),"유한회사",""))</f>
        <v/>
      </c>
      <c r="K371" s="31">
        <f>IF(LEN(SUBSTITUTE(SUBSTITUTE(SUBSTITUTE(SUBSTITUTE(SUBSTITUTE(SUBSTITUTE(SUBSTITUTE(SUBSTITUTE(SUBSTITUTE($D371&amp;""," ",""),"　",""),"(주)",""),"（주）",""),"㈜",""),"주식회사",""),"(유)",""),"（유）",""),"유한회사",""))&lt;2,"",SUBSTITUTE(SUBSTITUTE(SUBSTITUTE(SUBSTITUTE(SUBSTITUTE(SUBSTITUTE(SUBSTITUTE(SUBSTITUTE(SUBSTITUTE($D371&amp;""," ",""),"　",""),"(주)",""),"（주）",""),"㈜",""),"주식회사",""),"(유)",""),"（유）",""),"유한회사",""))</f>
        <v/>
      </c>
    </row>
    <row r="372">
      <c r="A372" s="35" t="n"/>
      <c r="B372" s="35" t="n"/>
      <c r="C372" s="35" t="n"/>
      <c r="D372" s="35" t="n"/>
      <c r="E372" s="36" t="n"/>
      <c r="F372" s="35" t="n"/>
      <c r="G372" s="35" t="n"/>
      <c r="I372" s="31">
        <f>IF(TRIM($A372&amp;"")="","",IF(ISNUMBER(--SUBSTITUTE(SUBSTITUTE(TRIM($A372&amp;""),"-","")," ","")),SUBSTITUTE(SUBSTITUTE(TRIM($A372&amp;""),"-","")," ",""),"N:"&amp;TRIM($A372&amp;"")))</f>
        <v/>
      </c>
      <c r="J372" s="31">
        <f>IF(LEN(SUBSTITUTE(SUBSTITUTE(SUBSTITUTE(SUBSTITUTE(SUBSTITUTE(SUBSTITUTE(SUBSTITUTE(SUBSTITUTE(SUBSTITUTE($C372&amp;""," ",""),"　",""),"(주)",""),"（주）",""),"㈜",""),"주식회사",""),"(유)",""),"（유）",""),"유한회사",""))&lt;2,"",SUBSTITUTE(SUBSTITUTE(SUBSTITUTE(SUBSTITUTE(SUBSTITUTE(SUBSTITUTE(SUBSTITUTE(SUBSTITUTE(SUBSTITUTE($C372&amp;""," ",""),"　",""),"(주)",""),"（주）",""),"㈜",""),"주식회사",""),"(유)",""),"（유）",""),"유한회사",""))</f>
        <v/>
      </c>
      <c r="K372" s="31">
        <f>IF(LEN(SUBSTITUTE(SUBSTITUTE(SUBSTITUTE(SUBSTITUTE(SUBSTITUTE(SUBSTITUTE(SUBSTITUTE(SUBSTITUTE(SUBSTITUTE($D372&amp;""," ",""),"　",""),"(주)",""),"（주）",""),"㈜",""),"주식회사",""),"(유)",""),"（유）",""),"유한회사",""))&lt;2,"",SUBSTITUTE(SUBSTITUTE(SUBSTITUTE(SUBSTITUTE(SUBSTITUTE(SUBSTITUTE(SUBSTITUTE(SUBSTITUTE(SUBSTITUTE($D372&amp;""," ",""),"　",""),"(주)",""),"（주）",""),"㈜",""),"주식회사",""),"(유)",""),"（유）",""),"유한회사",""))</f>
        <v/>
      </c>
    </row>
    <row r="373">
      <c r="A373" s="35" t="n"/>
      <c r="B373" s="35" t="n"/>
      <c r="C373" s="35" t="n"/>
      <c r="D373" s="35" t="n"/>
      <c r="E373" s="36" t="n"/>
      <c r="F373" s="35" t="n"/>
      <c r="G373" s="35" t="n"/>
      <c r="I373" s="31">
        <f>IF(TRIM($A373&amp;"")="","",IF(ISNUMBER(--SUBSTITUTE(SUBSTITUTE(TRIM($A373&amp;""),"-","")," ","")),SUBSTITUTE(SUBSTITUTE(TRIM($A373&amp;""),"-","")," ",""),"N:"&amp;TRIM($A373&amp;"")))</f>
        <v/>
      </c>
      <c r="J373" s="31">
        <f>IF(LEN(SUBSTITUTE(SUBSTITUTE(SUBSTITUTE(SUBSTITUTE(SUBSTITUTE(SUBSTITUTE(SUBSTITUTE(SUBSTITUTE(SUBSTITUTE($C373&amp;""," ",""),"　",""),"(주)",""),"（주）",""),"㈜",""),"주식회사",""),"(유)",""),"（유）",""),"유한회사",""))&lt;2,"",SUBSTITUTE(SUBSTITUTE(SUBSTITUTE(SUBSTITUTE(SUBSTITUTE(SUBSTITUTE(SUBSTITUTE(SUBSTITUTE(SUBSTITUTE($C373&amp;""," ",""),"　",""),"(주)",""),"（주）",""),"㈜",""),"주식회사",""),"(유)",""),"（유）",""),"유한회사",""))</f>
        <v/>
      </c>
      <c r="K373" s="31">
        <f>IF(LEN(SUBSTITUTE(SUBSTITUTE(SUBSTITUTE(SUBSTITUTE(SUBSTITUTE(SUBSTITUTE(SUBSTITUTE(SUBSTITUTE(SUBSTITUTE($D373&amp;""," ",""),"　",""),"(주)",""),"（주）",""),"㈜",""),"주식회사",""),"(유)",""),"（유）",""),"유한회사",""))&lt;2,"",SUBSTITUTE(SUBSTITUTE(SUBSTITUTE(SUBSTITUTE(SUBSTITUTE(SUBSTITUTE(SUBSTITUTE(SUBSTITUTE(SUBSTITUTE($D373&amp;""," ",""),"　",""),"(주)",""),"（주）",""),"㈜",""),"주식회사",""),"(유)",""),"（유）",""),"유한회사",""))</f>
        <v/>
      </c>
    </row>
    <row r="374">
      <c r="A374" s="35" t="n"/>
      <c r="B374" s="35" t="n"/>
      <c r="C374" s="35" t="n"/>
      <c r="D374" s="35" t="n"/>
      <c r="E374" s="36" t="n"/>
      <c r="F374" s="35" t="n"/>
      <c r="G374" s="35" t="n"/>
      <c r="I374" s="31">
        <f>IF(TRIM($A374&amp;"")="","",IF(ISNUMBER(--SUBSTITUTE(SUBSTITUTE(TRIM($A374&amp;""),"-","")," ","")),SUBSTITUTE(SUBSTITUTE(TRIM($A374&amp;""),"-","")," ",""),"N:"&amp;TRIM($A374&amp;"")))</f>
        <v/>
      </c>
      <c r="J374" s="31">
        <f>IF(LEN(SUBSTITUTE(SUBSTITUTE(SUBSTITUTE(SUBSTITUTE(SUBSTITUTE(SUBSTITUTE(SUBSTITUTE(SUBSTITUTE(SUBSTITUTE($C374&amp;""," ",""),"　",""),"(주)",""),"（주）",""),"㈜",""),"주식회사",""),"(유)",""),"（유）",""),"유한회사",""))&lt;2,"",SUBSTITUTE(SUBSTITUTE(SUBSTITUTE(SUBSTITUTE(SUBSTITUTE(SUBSTITUTE(SUBSTITUTE(SUBSTITUTE(SUBSTITUTE($C374&amp;""," ",""),"　",""),"(주)",""),"（주）",""),"㈜",""),"주식회사",""),"(유)",""),"（유）",""),"유한회사",""))</f>
        <v/>
      </c>
      <c r="K374" s="31">
        <f>IF(LEN(SUBSTITUTE(SUBSTITUTE(SUBSTITUTE(SUBSTITUTE(SUBSTITUTE(SUBSTITUTE(SUBSTITUTE(SUBSTITUTE(SUBSTITUTE($D374&amp;""," ",""),"　",""),"(주)",""),"（주）",""),"㈜",""),"주식회사",""),"(유)",""),"（유）",""),"유한회사",""))&lt;2,"",SUBSTITUTE(SUBSTITUTE(SUBSTITUTE(SUBSTITUTE(SUBSTITUTE(SUBSTITUTE(SUBSTITUTE(SUBSTITUTE(SUBSTITUTE($D374&amp;""," ",""),"　",""),"(주)",""),"（주）",""),"㈜",""),"주식회사",""),"(유)",""),"（유）",""),"유한회사",""))</f>
        <v/>
      </c>
    </row>
    <row r="375">
      <c r="A375" s="35" t="n"/>
      <c r="B375" s="35" t="n"/>
      <c r="C375" s="35" t="n"/>
      <c r="D375" s="35" t="n"/>
      <c r="E375" s="36" t="n"/>
      <c r="F375" s="35" t="n"/>
      <c r="G375" s="35" t="n"/>
      <c r="I375" s="31">
        <f>IF(TRIM($A375&amp;"")="","",IF(ISNUMBER(--SUBSTITUTE(SUBSTITUTE(TRIM($A375&amp;""),"-","")," ","")),SUBSTITUTE(SUBSTITUTE(TRIM($A375&amp;""),"-","")," ",""),"N:"&amp;TRIM($A375&amp;"")))</f>
        <v/>
      </c>
      <c r="J375" s="31">
        <f>IF(LEN(SUBSTITUTE(SUBSTITUTE(SUBSTITUTE(SUBSTITUTE(SUBSTITUTE(SUBSTITUTE(SUBSTITUTE(SUBSTITUTE(SUBSTITUTE($C375&amp;""," ",""),"　",""),"(주)",""),"（주）",""),"㈜",""),"주식회사",""),"(유)",""),"（유）",""),"유한회사",""))&lt;2,"",SUBSTITUTE(SUBSTITUTE(SUBSTITUTE(SUBSTITUTE(SUBSTITUTE(SUBSTITUTE(SUBSTITUTE(SUBSTITUTE(SUBSTITUTE($C375&amp;""," ",""),"　",""),"(주)",""),"（주）",""),"㈜",""),"주식회사",""),"(유)",""),"（유）",""),"유한회사",""))</f>
        <v/>
      </c>
      <c r="K375" s="31">
        <f>IF(LEN(SUBSTITUTE(SUBSTITUTE(SUBSTITUTE(SUBSTITUTE(SUBSTITUTE(SUBSTITUTE(SUBSTITUTE(SUBSTITUTE(SUBSTITUTE($D375&amp;""," ",""),"　",""),"(주)",""),"（주）",""),"㈜",""),"주식회사",""),"(유)",""),"（유）",""),"유한회사",""))&lt;2,"",SUBSTITUTE(SUBSTITUTE(SUBSTITUTE(SUBSTITUTE(SUBSTITUTE(SUBSTITUTE(SUBSTITUTE(SUBSTITUTE(SUBSTITUTE($D375&amp;""," ",""),"　",""),"(주)",""),"（주）",""),"㈜",""),"주식회사",""),"(유)",""),"（유）",""),"유한회사",""))</f>
        <v/>
      </c>
    </row>
    <row r="376">
      <c r="A376" s="35" t="n"/>
      <c r="B376" s="35" t="n"/>
      <c r="C376" s="35" t="n"/>
      <c r="D376" s="35" t="n"/>
      <c r="E376" s="36" t="n"/>
      <c r="F376" s="35" t="n"/>
      <c r="G376" s="35" t="n"/>
      <c r="I376" s="31">
        <f>IF(TRIM($A376&amp;"")="","",IF(ISNUMBER(--SUBSTITUTE(SUBSTITUTE(TRIM($A376&amp;""),"-","")," ","")),SUBSTITUTE(SUBSTITUTE(TRIM($A376&amp;""),"-","")," ",""),"N:"&amp;TRIM($A376&amp;"")))</f>
        <v/>
      </c>
      <c r="J376" s="31">
        <f>IF(LEN(SUBSTITUTE(SUBSTITUTE(SUBSTITUTE(SUBSTITUTE(SUBSTITUTE(SUBSTITUTE(SUBSTITUTE(SUBSTITUTE(SUBSTITUTE($C376&amp;""," ",""),"　",""),"(주)",""),"（주）",""),"㈜",""),"주식회사",""),"(유)",""),"（유）",""),"유한회사",""))&lt;2,"",SUBSTITUTE(SUBSTITUTE(SUBSTITUTE(SUBSTITUTE(SUBSTITUTE(SUBSTITUTE(SUBSTITUTE(SUBSTITUTE(SUBSTITUTE($C376&amp;""," ",""),"　",""),"(주)",""),"（주）",""),"㈜",""),"주식회사",""),"(유)",""),"（유）",""),"유한회사",""))</f>
        <v/>
      </c>
      <c r="K376" s="31">
        <f>IF(LEN(SUBSTITUTE(SUBSTITUTE(SUBSTITUTE(SUBSTITUTE(SUBSTITUTE(SUBSTITUTE(SUBSTITUTE(SUBSTITUTE(SUBSTITUTE($D376&amp;""," ",""),"　",""),"(주)",""),"（주）",""),"㈜",""),"주식회사",""),"(유)",""),"（유）",""),"유한회사",""))&lt;2,"",SUBSTITUTE(SUBSTITUTE(SUBSTITUTE(SUBSTITUTE(SUBSTITUTE(SUBSTITUTE(SUBSTITUTE(SUBSTITUTE(SUBSTITUTE($D376&amp;""," ",""),"　",""),"(주)",""),"（주）",""),"㈜",""),"주식회사",""),"(유)",""),"（유）",""),"유한회사",""))</f>
        <v/>
      </c>
    </row>
    <row r="377">
      <c r="A377" s="35" t="n"/>
      <c r="B377" s="35" t="n"/>
      <c r="C377" s="35" t="n"/>
      <c r="D377" s="35" t="n"/>
      <c r="E377" s="36" t="n"/>
      <c r="F377" s="35" t="n"/>
      <c r="G377" s="35" t="n"/>
      <c r="I377" s="31">
        <f>IF(TRIM($A377&amp;"")="","",IF(ISNUMBER(--SUBSTITUTE(SUBSTITUTE(TRIM($A377&amp;""),"-","")," ","")),SUBSTITUTE(SUBSTITUTE(TRIM($A377&amp;""),"-","")," ",""),"N:"&amp;TRIM($A377&amp;"")))</f>
        <v/>
      </c>
      <c r="J377" s="31">
        <f>IF(LEN(SUBSTITUTE(SUBSTITUTE(SUBSTITUTE(SUBSTITUTE(SUBSTITUTE(SUBSTITUTE(SUBSTITUTE(SUBSTITUTE(SUBSTITUTE($C377&amp;""," ",""),"　",""),"(주)",""),"（주）",""),"㈜",""),"주식회사",""),"(유)",""),"（유）",""),"유한회사",""))&lt;2,"",SUBSTITUTE(SUBSTITUTE(SUBSTITUTE(SUBSTITUTE(SUBSTITUTE(SUBSTITUTE(SUBSTITUTE(SUBSTITUTE(SUBSTITUTE($C377&amp;""," ",""),"　",""),"(주)",""),"（주）",""),"㈜",""),"주식회사",""),"(유)",""),"（유）",""),"유한회사",""))</f>
        <v/>
      </c>
      <c r="K377" s="31">
        <f>IF(LEN(SUBSTITUTE(SUBSTITUTE(SUBSTITUTE(SUBSTITUTE(SUBSTITUTE(SUBSTITUTE(SUBSTITUTE(SUBSTITUTE(SUBSTITUTE($D377&amp;""," ",""),"　",""),"(주)",""),"（주）",""),"㈜",""),"주식회사",""),"(유)",""),"（유）",""),"유한회사",""))&lt;2,"",SUBSTITUTE(SUBSTITUTE(SUBSTITUTE(SUBSTITUTE(SUBSTITUTE(SUBSTITUTE(SUBSTITUTE(SUBSTITUTE(SUBSTITUTE($D377&amp;""," ",""),"　",""),"(주)",""),"（주）",""),"㈜",""),"주식회사",""),"(유)",""),"（유）",""),"유한회사",""))</f>
        <v/>
      </c>
    </row>
    <row r="378">
      <c r="A378" s="35" t="n"/>
      <c r="B378" s="35" t="n"/>
      <c r="C378" s="35" t="n"/>
      <c r="D378" s="35" t="n"/>
      <c r="E378" s="36" t="n"/>
      <c r="F378" s="35" t="n"/>
      <c r="G378" s="35" t="n"/>
      <c r="I378" s="31">
        <f>IF(TRIM($A378&amp;"")="","",IF(ISNUMBER(--SUBSTITUTE(SUBSTITUTE(TRIM($A378&amp;""),"-","")," ","")),SUBSTITUTE(SUBSTITUTE(TRIM($A378&amp;""),"-","")," ",""),"N:"&amp;TRIM($A378&amp;"")))</f>
        <v/>
      </c>
      <c r="J378" s="31">
        <f>IF(LEN(SUBSTITUTE(SUBSTITUTE(SUBSTITUTE(SUBSTITUTE(SUBSTITUTE(SUBSTITUTE(SUBSTITUTE(SUBSTITUTE(SUBSTITUTE($C378&amp;""," ",""),"　",""),"(주)",""),"（주）",""),"㈜",""),"주식회사",""),"(유)",""),"（유）",""),"유한회사",""))&lt;2,"",SUBSTITUTE(SUBSTITUTE(SUBSTITUTE(SUBSTITUTE(SUBSTITUTE(SUBSTITUTE(SUBSTITUTE(SUBSTITUTE(SUBSTITUTE($C378&amp;""," ",""),"　",""),"(주)",""),"（주）",""),"㈜",""),"주식회사",""),"(유)",""),"（유）",""),"유한회사",""))</f>
        <v/>
      </c>
      <c r="K378" s="31">
        <f>IF(LEN(SUBSTITUTE(SUBSTITUTE(SUBSTITUTE(SUBSTITUTE(SUBSTITUTE(SUBSTITUTE(SUBSTITUTE(SUBSTITUTE(SUBSTITUTE($D378&amp;""," ",""),"　",""),"(주)",""),"（주）",""),"㈜",""),"주식회사",""),"(유)",""),"（유）",""),"유한회사",""))&lt;2,"",SUBSTITUTE(SUBSTITUTE(SUBSTITUTE(SUBSTITUTE(SUBSTITUTE(SUBSTITUTE(SUBSTITUTE(SUBSTITUTE(SUBSTITUTE($D378&amp;""," ",""),"　",""),"(주)",""),"（주）",""),"㈜",""),"주식회사",""),"(유)",""),"（유）",""),"유한회사",""))</f>
        <v/>
      </c>
    </row>
    <row r="379">
      <c r="A379" s="35" t="n"/>
      <c r="B379" s="35" t="n"/>
      <c r="C379" s="35" t="n"/>
      <c r="D379" s="35" t="n"/>
      <c r="E379" s="36" t="n"/>
      <c r="F379" s="35" t="n"/>
      <c r="G379" s="35" t="n"/>
      <c r="I379" s="31">
        <f>IF(TRIM($A379&amp;"")="","",IF(ISNUMBER(--SUBSTITUTE(SUBSTITUTE(TRIM($A379&amp;""),"-","")," ","")),SUBSTITUTE(SUBSTITUTE(TRIM($A379&amp;""),"-","")," ",""),"N:"&amp;TRIM($A379&amp;"")))</f>
        <v/>
      </c>
      <c r="J379" s="31">
        <f>IF(LEN(SUBSTITUTE(SUBSTITUTE(SUBSTITUTE(SUBSTITUTE(SUBSTITUTE(SUBSTITUTE(SUBSTITUTE(SUBSTITUTE(SUBSTITUTE($C379&amp;""," ",""),"　",""),"(주)",""),"（주）",""),"㈜",""),"주식회사",""),"(유)",""),"（유）",""),"유한회사",""))&lt;2,"",SUBSTITUTE(SUBSTITUTE(SUBSTITUTE(SUBSTITUTE(SUBSTITUTE(SUBSTITUTE(SUBSTITUTE(SUBSTITUTE(SUBSTITUTE($C379&amp;""," ",""),"　",""),"(주)",""),"（주）",""),"㈜",""),"주식회사",""),"(유)",""),"（유）",""),"유한회사",""))</f>
        <v/>
      </c>
      <c r="K379" s="31">
        <f>IF(LEN(SUBSTITUTE(SUBSTITUTE(SUBSTITUTE(SUBSTITUTE(SUBSTITUTE(SUBSTITUTE(SUBSTITUTE(SUBSTITUTE(SUBSTITUTE($D379&amp;""," ",""),"　",""),"(주)",""),"（주）",""),"㈜",""),"주식회사",""),"(유)",""),"（유）",""),"유한회사",""))&lt;2,"",SUBSTITUTE(SUBSTITUTE(SUBSTITUTE(SUBSTITUTE(SUBSTITUTE(SUBSTITUTE(SUBSTITUTE(SUBSTITUTE(SUBSTITUTE($D379&amp;""," ",""),"　",""),"(주)",""),"（주）",""),"㈜",""),"주식회사",""),"(유)",""),"（유）",""),"유한회사",""))</f>
        <v/>
      </c>
    </row>
    <row r="380">
      <c r="A380" s="35" t="n"/>
      <c r="B380" s="35" t="n"/>
      <c r="C380" s="35" t="n"/>
      <c r="D380" s="35" t="n"/>
      <c r="E380" s="36" t="n"/>
      <c r="F380" s="35" t="n"/>
      <c r="G380" s="35" t="n"/>
      <c r="I380" s="31">
        <f>IF(TRIM($A380&amp;"")="","",IF(ISNUMBER(--SUBSTITUTE(SUBSTITUTE(TRIM($A380&amp;""),"-","")," ","")),SUBSTITUTE(SUBSTITUTE(TRIM($A380&amp;""),"-","")," ",""),"N:"&amp;TRIM($A380&amp;"")))</f>
        <v/>
      </c>
      <c r="J380" s="31">
        <f>IF(LEN(SUBSTITUTE(SUBSTITUTE(SUBSTITUTE(SUBSTITUTE(SUBSTITUTE(SUBSTITUTE(SUBSTITUTE(SUBSTITUTE(SUBSTITUTE($C380&amp;""," ",""),"　",""),"(주)",""),"（주）",""),"㈜",""),"주식회사",""),"(유)",""),"（유）",""),"유한회사",""))&lt;2,"",SUBSTITUTE(SUBSTITUTE(SUBSTITUTE(SUBSTITUTE(SUBSTITUTE(SUBSTITUTE(SUBSTITUTE(SUBSTITUTE(SUBSTITUTE($C380&amp;""," ",""),"　",""),"(주)",""),"（주）",""),"㈜",""),"주식회사",""),"(유)",""),"（유）",""),"유한회사",""))</f>
        <v/>
      </c>
      <c r="K380" s="31">
        <f>IF(LEN(SUBSTITUTE(SUBSTITUTE(SUBSTITUTE(SUBSTITUTE(SUBSTITUTE(SUBSTITUTE(SUBSTITUTE(SUBSTITUTE(SUBSTITUTE($D380&amp;""," ",""),"　",""),"(주)",""),"（주）",""),"㈜",""),"주식회사",""),"(유)",""),"（유）",""),"유한회사",""))&lt;2,"",SUBSTITUTE(SUBSTITUTE(SUBSTITUTE(SUBSTITUTE(SUBSTITUTE(SUBSTITUTE(SUBSTITUTE(SUBSTITUTE(SUBSTITUTE($D380&amp;""," ",""),"　",""),"(주)",""),"（주）",""),"㈜",""),"주식회사",""),"(유)",""),"（유）",""),"유한회사",""))</f>
        <v/>
      </c>
    </row>
    <row r="381">
      <c r="A381" s="35" t="n"/>
      <c r="B381" s="35" t="n"/>
      <c r="C381" s="35" t="n"/>
      <c r="D381" s="35" t="n"/>
      <c r="E381" s="36" t="n"/>
      <c r="F381" s="35" t="n"/>
      <c r="G381" s="35" t="n"/>
      <c r="I381" s="31">
        <f>IF(TRIM($A381&amp;"")="","",IF(ISNUMBER(--SUBSTITUTE(SUBSTITUTE(TRIM($A381&amp;""),"-","")," ","")),SUBSTITUTE(SUBSTITUTE(TRIM($A381&amp;""),"-","")," ",""),"N:"&amp;TRIM($A381&amp;"")))</f>
        <v/>
      </c>
      <c r="J381" s="31">
        <f>IF(LEN(SUBSTITUTE(SUBSTITUTE(SUBSTITUTE(SUBSTITUTE(SUBSTITUTE(SUBSTITUTE(SUBSTITUTE(SUBSTITUTE(SUBSTITUTE($C381&amp;""," ",""),"　",""),"(주)",""),"（주）",""),"㈜",""),"주식회사",""),"(유)",""),"（유）",""),"유한회사",""))&lt;2,"",SUBSTITUTE(SUBSTITUTE(SUBSTITUTE(SUBSTITUTE(SUBSTITUTE(SUBSTITUTE(SUBSTITUTE(SUBSTITUTE(SUBSTITUTE($C381&amp;""," ",""),"　",""),"(주)",""),"（주）",""),"㈜",""),"주식회사",""),"(유)",""),"（유）",""),"유한회사",""))</f>
        <v/>
      </c>
      <c r="K381" s="31">
        <f>IF(LEN(SUBSTITUTE(SUBSTITUTE(SUBSTITUTE(SUBSTITUTE(SUBSTITUTE(SUBSTITUTE(SUBSTITUTE(SUBSTITUTE(SUBSTITUTE($D381&amp;""," ",""),"　",""),"(주)",""),"（주）",""),"㈜",""),"주식회사",""),"(유)",""),"（유）",""),"유한회사",""))&lt;2,"",SUBSTITUTE(SUBSTITUTE(SUBSTITUTE(SUBSTITUTE(SUBSTITUTE(SUBSTITUTE(SUBSTITUTE(SUBSTITUTE(SUBSTITUTE($D381&amp;""," ",""),"　",""),"(주)",""),"（주）",""),"㈜",""),"주식회사",""),"(유)",""),"（유）",""),"유한회사",""))</f>
        <v/>
      </c>
    </row>
    <row r="382">
      <c r="A382" s="35" t="n"/>
      <c r="B382" s="35" t="n"/>
      <c r="C382" s="35" t="n"/>
      <c r="D382" s="35" t="n"/>
      <c r="E382" s="36" t="n"/>
      <c r="F382" s="35" t="n"/>
      <c r="G382" s="35" t="n"/>
      <c r="I382" s="31">
        <f>IF(TRIM($A382&amp;"")="","",IF(ISNUMBER(--SUBSTITUTE(SUBSTITUTE(TRIM($A382&amp;""),"-","")," ","")),SUBSTITUTE(SUBSTITUTE(TRIM($A382&amp;""),"-","")," ",""),"N:"&amp;TRIM($A382&amp;"")))</f>
        <v/>
      </c>
      <c r="J382" s="31">
        <f>IF(LEN(SUBSTITUTE(SUBSTITUTE(SUBSTITUTE(SUBSTITUTE(SUBSTITUTE(SUBSTITUTE(SUBSTITUTE(SUBSTITUTE(SUBSTITUTE($C382&amp;""," ",""),"　",""),"(주)",""),"（주）",""),"㈜",""),"주식회사",""),"(유)",""),"（유）",""),"유한회사",""))&lt;2,"",SUBSTITUTE(SUBSTITUTE(SUBSTITUTE(SUBSTITUTE(SUBSTITUTE(SUBSTITUTE(SUBSTITUTE(SUBSTITUTE(SUBSTITUTE($C382&amp;""," ",""),"　",""),"(주)",""),"（주）",""),"㈜",""),"주식회사",""),"(유)",""),"（유）",""),"유한회사",""))</f>
        <v/>
      </c>
      <c r="K382" s="31">
        <f>IF(LEN(SUBSTITUTE(SUBSTITUTE(SUBSTITUTE(SUBSTITUTE(SUBSTITUTE(SUBSTITUTE(SUBSTITUTE(SUBSTITUTE(SUBSTITUTE($D382&amp;""," ",""),"　",""),"(주)",""),"（주）",""),"㈜",""),"주식회사",""),"(유)",""),"（유）",""),"유한회사",""))&lt;2,"",SUBSTITUTE(SUBSTITUTE(SUBSTITUTE(SUBSTITUTE(SUBSTITUTE(SUBSTITUTE(SUBSTITUTE(SUBSTITUTE(SUBSTITUTE($D382&amp;""," ",""),"　",""),"(주)",""),"（주）",""),"㈜",""),"주식회사",""),"(유)",""),"（유）",""),"유한회사",""))</f>
        <v/>
      </c>
    </row>
    <row r="383">
      <c r="A383" s="35" t="n"/>
      <c r="B383" s="35" t="n"/>
      <c r="C383" s="35" t="n"/>
      <c r="D383" s="35" t="n"/>
      <c r="E383" s="36" t="n"/>
      <c r="F383" s="35" t="n"/>
      <c r="G383" s="35" t="n"/>
      <c r="I383" s="31">
        <f>IF(TRIM($A383&amp;"")="","",IF(ISNUMBER(--SUBSTITUTE(SUBSTITUTE(TRIM($A383&amp;""),"-","")," ","")),SUBSTITUTE(SUBSTITUTE(TRIM($A383&amp;""),"-","")," ",""),"N:"&amp;TRIM($A383&amp;"")))</f>
        <v/>
      </c>
      <c r="J383" s="31">
        <f>IF(LEN(SUBSTITUTE(SUBSTITUTE(SUBSTITUTE(SUBSTITUTE(SUBSTITUTE(SUBSTITUTE(SUBSTITUTE(SUBSTITUTE(SUBSTITUTE($C383&amp;""," ",""),"　",""),"(주)",""),"（주）",""),"㈜",""),"주식회사",""),"(유)",""),"（유）",""),"유한회사",""))&lt;2,"",SUBSTITUTE(SUBSTITUTE(SUBSTITUTE(SUBSTITUTE(SUBSTITUTE(SUBSTITUTE(SUBSTITUTE(SUBSTITUTE(SUBSTITUTE($C383&amp;""," ",""),"　",""),"(주)",""),"（주）",""),"㈜",""),"주식회사",""),"(유)",""),"（유）",""),"유한회사",""))</f>
        <v/>
      </c>
      <c r="K383" s="31">
        <f>IF(LEN(SUBSTITUTE(SUBSTITUTE(SUBSTITUTE(SUBSTITUTE(SUBSTITUTE(SUBSTITUTE(SUBSTITUTE(SUBSTITUTE(SUBSTITUTE($D383&amp;""," ",""),"　",""),"(주)",""),"（주）",""),"㈜",""),"주식회사",""),"(유)",""),"（유）",""),"유한회사",""))&lt;2,"",SUBSTITUTE(SUBSTITUTE(SUBSTITUTE(SUBSTITUTE(SUBSTITUTE(SUBSTITUTE(SUBSTITUTE(SUBSTITUTE(SUBSTITUTE($D383&amp;""," ",""),"　",""),"(주)",""),"（주）",""),"㈜",""),"주식회사",""),"(유)",""),"（유）",""),"유한회사",""))</f>
        <v/>
      </c>
    </row>
    <row r="384">
      <c r="A384" s="35" t="n"/>
      <c r="B384" s="35" t="n"/>
      <c r="C384" s="35" t="n"/>
      <c r="D384" s="35" t="n"/>
      <c r="E384" s="36" t="n"/>
      <c r="F384" s="35" t="n"/>
      <c r="G384" s="35" t="n"/>
      <c r="I384" s="31">
        <f>IF(TRIM($A384&amp;"")="","",IF(ISNUMBER(--SUBSTITUTE(SUBSTITUTE(TRIM($A384&amp;""),"-","")," ","")),SUBSTITUTE(SUBSTITUTE(TRIM($A384&amp;""),"-","")," ",""),"N:"&amp;TRIM($A384&amp;"")))</f>
        <v/>
      </c>
      <c r="J384" s="31">
        <f>IF(LEN(SUBSTITUTE(SUBSTITUTE(SUBSTITUTE(SUBSTITUTE(SUBSTITUTE(SUBSTITUTE(SUBSTITUTE(SUBSTITUTE(SUBSTITUTE($C384&amp;""," ",""),"　",""),"(주)",""),"（주）",""),"㈜",""),"주식회사",""),"(유)",""),"（유）",""),"유한회사",""))&lt;2,"",SUBSTITUTE(SUBSTITUTE(SUBSTITUTE(SUBSTITUTE(SUBSTITUTE(SUBSTITUTE(SUBSTITUTE(SUBSTITUTE(SUBSTITUTE($C384&amp;""," ",""),"　",""),"(주)",""),"（주）",""),"㈜",""),"주식회사",""),"(유)",""),"（유）",""),"유한회사",""))</f>
        <v/>
      </c>
      <c r="K384" s="31">
        <f>IF(LEN(SUBSTITUTE(SUBSTITUTE(SUBSTITUTE(SUBSTITUTE(SUBSTITUTE(SUBSTITUTE(SUBSTITUTE(SUBSTITUTE(SUBSTITUTE($D384&amp;""," ",""),"　",""),"(주)",""),"（주）",""),"㈜",""),"주식회사",""),"(유)",""),"（유）",""),"유한회사",""))&lt;2,"",SUBSTITUTE(SUBSTITUTE(SUBSTITUTE(SUBSTITUTE(SUBSTITUTE(SUBSTITUTE(SUBSTITUTE(SUBSTITUTE(SUBSTITUTE($D384&amp;""," ",""),"　",""),"(주)",""),"（주）",""),"㈜",""),"주식회사",""),"(유)",""),"（유）",""),"유한회사",""))</f>
        <v/>
      </c>
    </row>
    <row r="385">
      <c r="A385" s="35" t="n"/>
      <c r="B385" s="35" t="n"/>
      <c r="C385" s="35" t="n"/>
      <c r="D385" s="35" t="n"/>
      <c r="E385" s="36" t="n"/>
      <c r="F385" s="35" t="n"/>
      <c r="G385" s="35" t="n"/>
      <c r="I385" s="31">
        <f>IF(TRIM($A385&amp;"")="","",IF(ISNUMBER(--SUBSTITUTE(SUBSTITUTE(TRIM($A385&amp;""),"-","")," ","")),SUBSTITUTE(SUBSTITUTE(TRIM($A385&amp;""),"-","")," ",""),"N:"&amp;TRIM($A385&amp;"")))</f>
        <v/>
      </c>
      <c r="J385" s="31">
        <f>IF(LEN(SUBSTITUTE(SUBSTITUTE(SUBSTITUTE(SUBSTITUTE(SUBSTITUTE(SUBSTITUTE(SUBSTITUTE(SUBSTITUTE(SUBSTITUTE($C385&amp;""," ",""),"　",""),"(주)",""),"（주）",""),"㈜",""),"주식회사",""),"(유)",""),"（유）",""),"유한회사",""))&lt;2,"",SUBSTITUTE(SUBSTITUTE(SUBSTITUTE(SUBSTITUTE(SUBSTITUTE(SUBSTITUTE(SUBSTITUTE(SUBSTITUTE(SUBSTITUTE($C385&amp;""," ",""),"　",""),"(주)",""),"（주）",""),"㈜",""),"주식회사",""),"(유)",""),"（유）",""),"유한회사",""))</f>
        <v/>
      </c>
      <c r="K385" s="31">
        <f>IF(LEN(SUBSTITUTE(SUBSTITUTE(SUBSTITUTE(SUBSTITUTE(SUBSTITUTE(SUBSTITUTE(SUBSTITUTE(SUBSTITUTE(SUBSTITUTE($D385&amp;""," ",""),"　",""),"(주)",""),"（주）",""),"㈜",""),"주식회사",""),"(유)",""),"（유）",""),"유한회사",""))&lt;2,"",SUBSTITUTE(SUBSTITUTE(SUBSTITUTE(SUBSTITUTE(SUBSTITUTE(SUBSTITUTE(SUBSTITUTE(SUBSTITUTE(SUBSTITUTE($D385&amp;""," ",""),"　",""),"(주)",""),"（주）",""),"㈜",""),"주식회사",""),"(유)",""),"（유）",""),"유한회사",""))</f>
        <v/>
      </c>
    </row>
    <row r="386">
      <c r="A386" s="35" t="n"/>
      <c r="B386" s="35" t="n"/>
      <c r="C386" s="35" t="n"/>
      <c r="D386" s="35" t="n"/>
      <c r="E386" s="36" t="n"/>
      <c r="F386" s="35" t="n"/>
      <c r="G386" s="35" t="n"/>
      <c r="I386" s="31">
        <f>IF(TRIM($A386&amp;"")="","",IF(ISNUMBER(--SUBSTITUTE(SUBSTITUTE(TRIM($A386&amp;""),"-","")," ","")),SUBSTITUTE(SUBSTITUTE(TRIM($A386&amp;""),"-","")," ",""),"N:"&amp;TRIM($A386&amp;"")))</f>
        <v/>
      </c>
      <c r="J386" s="31">
        <f>IF(LEN(SUBSTITUTE(SUBSTITUTE(SUBSTITUTE(SUBSTITUTE(SUBSTITUTE(SUBSTITUTE(SUBSTITUTE(SUBSTITUTE(SUBSTITUTE($C386&amp;""," ",""),"　",""),"(주)",""),"（주）",""),"㈜",""),"주식회사",""),"(유)",""),"（유）",""),"유한회사",""))&lt;2,"",SUBSTITUTE(SUBSTITUTE(SUBSTITUTE(SUBSTITUTE(SUBSTITUTE(SUBSTITUTE(SUBSTITUTE(SUBSTITUTE(SUBSTITUTE($C386&amp;""," ",""),"　",""),"(주)",""),"（주）",""),"㈜",""),"주식회사",""),"(유)",""),"（유）",""),"유한회사",""))</f>
        <v/>
      </c>
      <c r="K386" s="31">
        <f>IF(LEN(SUBSTITUTE(SUBSTITUTE(SUBSTITUTE(SUBSTITUTE(SUBSTITUTE(SUBSTITUTE(SUBSTITUTE(SUBSTITUTE(SUBSTITUTE($D386&amp;""," ",""),"　",""),"(주)",""),"（주）",""),"㈜",""),"주식회사",""),"(유)",""),"（유）",""),"유한회사",""))&lt;2,"",SUBSTITUTE(SUBSTITUTE(SUBSTITUTE(SUBSTITUTE(SUBSTITUTE(SUBSTITUTE(SUBSTITUTE(SUBSTITUTE(SUBSTITUTE($D386&amp;""," ",""),"　",""),"(주)",""),"（주）",""),"㈜",""),"주식회사",""),"(유)",""),"（유）",""),"유한회사",""))</f>
        <v/>
      </c>
    </row>
    <row r="387">
      <c r="A387" s="35" t="n"/>
      <c r="B387" s="35" t="n"/>
      <c r="C387" s="35" t="n"/>
      <c r="D387" s="35" t="n"/>
      <c r="E387" s="36" t="n"/>
      <c r="F387" s="35" t="n"/>
      <c r="G387" s="35" t="n"/>
      <c r="I387" s="31">
        <f>IF(TRIM($A387&amp;"")="","",IF(ISNUMBER(--SUBSTITUTE(SUBSTITUTE(TRIM($A387&amp;""),"-","")," ","")),SUBSTITUTE(SUBSTITUTE(TRIM($A387&amp;""),"-","")," ",""),"N:"&amp;TRIM($A387&amp;"")))</f>
        <v/>
      </c>
      <c r="J387" s="31">
        <f>IF(LEN(SUBSTITUTE(SUBSTITUTE(SUBSTITUTE(SUBSTITUTE(SUBSTITUTE(SUBSTITUTE(SUBSTITUTE(SUBSTITUTE(SUBSTITUTE($C387&amp;""," ",""),"　",""),"(주)",""),"（주）",""),"㈜",""),"주식회사",""),"(유)",""),"（유）",""),"유한회사",""))&lt;2,"",SUBSTITUTE(SUBSTITUTE(SUBSTITUTE(SUBSTITUTE(SUBSTITUTE(SUBSTITUTE(SUBSTITUTE(SUBSTITUTE(SUBSTITUTE($C387&amp;""," ",""),"　",""),"(주)",""),"（주）",""),"㈜",""),"주식회사",""),"(유)",""),"（유）",""),"유한회사",""))</f>
        <v/>
      </c>
      <c r="K387" s="31">
        <f>IF(LEN(SUBSTITUTE(SUBSTITUTE(SUBSTITUTE(SUBSTITUTE(SUBSTITUTE(SUBSTITUTE(SUBSTITUTE(SUBSTITUTE(SUBSTITUTE($D387&amp;""," ",""),"　",""),"(주)",""),"（주）",""),"㈜",""),"주식회사",""),"(유)",""),"（유）",""),"유한회사",""))&lt;2,"",SUBSTITUTE(SUBSTITUTE(SUBSTITUTE(SUBSTITUTE(SUBSTITUTE(SUBSTITUTE(SUBSTITUTE(SUBSTITUTE(SUBSTITUTE($D387&amp;""," ",""),"　",""),"(주)",""),"（주）",""),"㈜",""),"주식회사",""),"(유)",""),"（유）",""),"유한회사",""))</f>
        <v/>
      </c>
    </row>
    <row r="388">
      <c r="A388" s="35" t="n"/>
      <c r="B388" s="35" t="n"/>
      <c r="C388" s="35" t="n"/>
      <c r="D388" s="35" t="n"/>
      <c r="E388" s="36" t="n"/>
      <c r="F388" s="35" t="n"/>
      <c r="G388" s="35" t="n"/>
      <c r="I388" s="31">
        <f>IF(TRIM($A388&amp;"")="","",IF(ISNUMBER(--SUBSTITUTE(SUBSTITUTE(TRIM($A388&amp;""),"-","")," ","")),SUBSTITUTE(SUBSTITUTE(TRIM($A388&amp;""),"-","")," ",""),"N:"&amp;TRIM($A388&amp;"")))</f>
        <v/>
      </c>
      <c r="J388" s="31">
        <f>IF(LEN(SUBSTITUTE(SUBSTITUTE(SUBSTITUTE(SUBSTITUTE(SUBSTITUTE(SUBSTITUTE(SUBSTITUTE(SUBSTITUTE(SUBSTITUTE($C388&amp;""," ",""),"　",""),"(주)",""),"（주）",""),"㈜",""),"주식회사",""),"(유)",""),"（유）",""),"유한회사",""))&lt;2,"",SUBSTITUTE(SUBSTITUTE(SUBSTITUTE(SUBSTITUTE(SUBSTITUTE(SUBSTITUTE(SUBSTITUTE(SUBSTITUTE(SUBSTITUTE($C388&amp;""," ",""),"　",""),"(주)",""),"（주）",""),"㈜",""),"주식회사",""),"(유)",""),"（유）",""),"유한회사",""))</f>
        <v/>
      </c>
      <c r="K388" s="31">
        <f>IF(LEN(SUBSTITUTE(SUBSTITUTE(SUBSTITUTE(SUBSTITUTE(SUBSTITUTE(SUBSTITUTE(SUBSTITUTE(SUBSTITUTE(SUBSTITUTE($D388&amp;""," ",""),"　",""),"(주)",""),"（주）",""),"㈜",""),"주식회사",""),"(유)",""),"（유）",""),"유한회사",""))&lt;2,"",SUBSTITUTE(SUBSTITUTE(SUBSTITUTE(SUBSTITUTE(SUBSTITUTE(SUBSTITUTE(SUBSTITUTE(SUBSTITUTE(SUBSTITUTE($D388&amp;""," ",""),"　",""),"(주)",""),"（주）",""),"㈜",""),"주식회사",""),"(유)",""),"（유）",""),"유한회사",""))</f>
        <v/>
      </c>
    </row>
    <row r="389">
      <c r="A389" s="35" t="n"/>
      <c r="B389" s="35" t="n"/>
      <c r="C389" s="35" t="n"/>
      <c r="D389" s="35" t="n"/>
      <c r="E389" s="36" t="n"/>
      <c r="F389" s="35" t="n"/>
      <c r="G389" s="35" t="n"/>
      <c r="I389" s="31">
        <f>IF(TRIM($A389&amp;"")="","",IF(ISNUMBER(--SUBSTITUTE(SUBSTITUTE(TRIM($A389&amp;""),"-","")," ","")),SUBSTITUTE(SUBSTITUTE(TRIM($A389&amp;""),"-","")," ",""),"N:"&amp;TRIM($A389&amp;"")))</f>
        <v/>
      </c>
      <c r="J389" s="31">
        <f>IF(LEN(SUBSTITUTE(SUBSTITUTE(SUBSTITUTE(SUBSTITUTE(SUBSTITUTE(SUBSTITUTE(SUBSTITUTE(SUBSTITUTE(SUBSTITUTE($C389&amp;""," ",""),"　",""),"(주)",""),"（주）",""),"㈜",""),"주식회사",""),"(유)",""),"（유）",""),"유한회사",""))&lt;2,"",SUBSTITUTE(SUBSTITUTE(SUBSTITUTE(SUBSTITUTE(SUBSTITUTE(SUBSTITUTE(SUBSTITUTE(SUBSTITUTE(SUBSTITUTE($C389&amp;""," ",""),"　",""),"(주)",""),"（주）",""),"㈜",""),"주식회사",""),"(유)",""),"（유）",""),"유한회사",""))</f>
        <v/>
      </c>
      <c r="K389" s="31">
        <f>IF(LEN(SUBSTITUTE(SUBSTITUTE(SUBSTITUTE(SUBSTITUTE(SUBSTITUTE(SUBSTITUTE(SUBSTITUTE(SUBSTITUTE(SUBSTITUTE($D389&amp;""," ",""),"　",""),"(주)",""),"（주）",""),"㈜",""),"주식회사",""),"(유)",""),"（유）",""),"유한회사",""))&lt;2,"",SUBSTITUTE(SUBSTITUTE(SUBSTITUTE(SUBSTITUTE(SUBSTITUTE(SUBSTITUTE(SUBSTITUTE(SUBSTITUTE(SUBSTITUTE($D389&amp;""," ",""),"　",""),"(주)",""),"（주）",""),"㈜",""),"주식회사",""),"(유)",""),"（유）",""),"유한회사",""))</f>
        <v/>
      </c>
    </row>
    <row r="390">
      <c r="A390" s="35" t="n"/>
      <c r="B390" s="35" t="n"/>
      <c r="C390" s="35" t="n"/>
      <c r="D390" s="35" t="n"/>
      <c r="E390" s="36" t="n"/>
      <c r="F390" s="35" t="n"/>
      <c r="G390" s="35" t="n"/>
      <c r="I390" s="31">
        <f>IF(TRIM($A390&amp;"")="","",IF(ISNUMBER(--SUBSTITUTE(SUBSTITUTE(TRIM($A390&amp;""),"-","")," ","")),SUBSTITUTE(SUBSTITUTE(TRIM($A390&amp;""),"-","")," ",""),"N:"&amp;TRIM($A390&amp;"")))</f>
        <v/>
      </c>
      <c r="J390" s="31">
        <f>IF(LEN(SUBSTITUTE(SUBSTITUTE(SUBSTITUTE(SUBSTITUTE(SUBSTITUTE(SUBSTITUTE(SUBSTITUTE(SUBSTITUTE(SUBSTITUTE($C390&amp;""," ",""),"　",""),"(주)",""),"（주）",""),"㈜",""),"주식회사",""),"(유)",""),"（유）",""),"유한회사",""))&lt;2,"",SUBSTITUTE(SUBSTITUTE(SUBSTITUTE(SUBSTITUTE(SUBSTITUTE(SUBSTITUTE(SUBSTITUTE(SUBSTITUTE(SUBSTITUTE($C390&amp;""," ",""),"　",""),"(주)",""),"（주）",""),"㈜",""),"주식회사",""),"(유)",""),"（유）",""),"유한회사",""))</f>
        <v/>
      </c>
      <c r="K390" s="31">
        <f>IF(LEN(SUBSTITUTE(SUBSTITUTE(SUBSTITUTE(SUBSTITUTE(SUBSTITUTE(SUBSTITUTE(SUBSTITUTE(SUBSTITUTE(SUBSTITUTE($D390&amp;""," ",""),"　",""),"(주)",""),"（주）",""),"㈜",""),"주식회사",""),"(유)",""),"（유）",""),"유한회사",""))&lt;2,"",SUBSTITUTE(SUBSTITUTE(SUBSTITUTE(SUBSTITUTE(SUBSTITUTE(SUBSTITUTE(SUBSTITUTE(SUBSTITUTE(SUBSTITUTE($D390&amp;""," ",""),"　",""),"(주)",""),"（주）",""),"㈜",""),"주식회사",""),"(유)",""),"（유）",""),"유한회사",""))</f>
        <v/>
      </c>
    </row>
    <row r="391">
      <c r="A391" s="35" t="n"/>
      <c r="B391" s="35" t="n"/>
      <c r="C391" s="35" t="n"/>
      <c r="D391" s="35" t="n"/>
      <c r="E391" s="36" t="n"/>
      <c r="F391" s="35" t="n"/>
      <c r="G391" s="35" t="n"/>
      <c r="I391" s="31">
        <f>IF(TRIM($A391&amp;"")="","",IF(ISNUMBER(--SUBSTITUTE(SUBSTITUTE(TRIM($A391&amp;""),"-","")," ","")),SUBSTITUTE(SUBSTITUTE(TRIM($A391&amp;""),"-","")," ",""),"N:"&amp;TRIM($A391&amp;"")))</f>
        <v/>
      </c>
      <c r="J391" s="31">
        <f>IF(LEN(SUBSTITUTE(SUBSTITUTE(SUBSTITUTE(SUBSTITUTE(SUBSTITUTE(SUBSTITUTE(SUBSTITUTE(SUBSTITUTE(SUBSTITUTE($C391&amp;""," ",""),"　",""),"(주)",""),"（주）",""),"㈜",""),"주식회사",""),"(유)",""),"（유）",""),"유한회사",""))&lt;2,"",SUBSTITUTE(SUBSTITUTE(SUBSTITUTE(SUBSTITUTE(SUBSTITUTE(SUBSTITUTE(SUBSTITUTE(SUBSTITUTE(SUBSTITUTE($C391&amp;""," ",""),"　",""),"(주)",""),"（주）",""),"㈜",""),"주식회사",""),"(유)",""),"（유）",""),"유한회사",""))</f>
        <v/>
      </c>
      <c r="K391" s="31">
        <f>IF(LEN(SUBSTITUTE(SUBSTITUTE(SUBSTITUTE(SUBSTITUTE(SUBSTITUTE(SUBSTITUTE(SUBSTITUTE(SUBSTITUTE(SUBSTITUTE($D391&amp;""," ",""),"　",""),"(주)",""),"（주）",""),"㈜",""),"주식회사",""),"(유)",""),"（유）",""),"유한회사",""))&lt;2,"",SUBSTITUTE(SUBSTITUTE(SUBSTITUTE(SUBSTITUTE(SUBSTITUTE(SUBSTITUTE(SUBSTITUTE(SUBSTITUTE(SUBSTITUTE($D391&amp;""," ",""),"　",""),"(주)",""),"（주）",""),"㈜",""),"주식회사",""),"(유)",""),"（유）",""),"유한회사",""))</f>
        <v/>
      </c>
    </row>
    <row r="392">
      <c r="A392" s="35" t="n"/>
      <c r="B392" s="35" t="n"/>
      <c r="C392" s="35" t="n"/>
      <c r="D392" s="35" t="n"/>
      <c r="E392" s="36" t="n"/>
      <c r="F392" s="35" t="n"/>
      <c r="G392" s="35" t="n"/>
      <c r="I392" s="31">
        <f>IF(TRIM($A392&amp;"")="","",IF(ISNUMBER(--SUBSTITUTE(SUBSTITUTE(TRIM($A392&amp;""),"-","")," ","")),SUBSTITUTE(SUBSTITUTE(TRIM($A392&amp;""),"-","")," ",""),"N:"&amp;TRIM($A392&amp;"")))</f>
        <v/>
      </c>
      <c r="J392" s="31">
        <f>IF(LEN(SUBSTITUTE(SUBSTITUTE(SUBSTITUTE(SUBSTITUTE(SUBSTITUTE(SUBSTITUTE(SUBSTITUTE(SUBSTITUTE(SUBSTITUTE($C392&amp;""," ",""),"　",""),"(주)",""),"（주）",""),"㈜",""),"주식회사",""),"(유)",""),"（유）",""),"유한회사",""))&lt;2,"",SUBSTITUTE(SUBSTITUTE(SUBSTITUTE(SUBSTITUTE(SUBSTITUTE(SUBSTITUTE(SUBSTITUTE(SUBSTITUTE(SUBSTITUTE($C392&amp;""," ",""),"　",""),"(주)",""),"（주）",""),"㈜",""),"주식회사",""),"(유)",""),"（유）",""),"유한회사",""))</f>
        <v/>
      </c>
      <c r="K392" s="31">
        <f>IF(LEN(SUBSTITUTE(SUBSTITUTE(SUBSTITUTE(SUBSTITUTE(SUBSTITUTE(SUBSTITUTE(SUBSTITUTE(SUBSTITUTE(SUBSTITUTE($D392&amp;""," ",""),"　",""),"(주)",""),"（주）",""),"㈜",""),"주식회사",""),"(유)",""),"（유）",""),"유한회사",""))&lt;2,"",SUBSTITUTE(SUBSTITUTE(SUBSTITUTE(SUBSTITUTE(SUBSTITUTE(SUBSTITUTE(SUBSTITUTE(SUBSTITUTE(SUBSTITUTE($D392&amp;""," ",""),"　",""),"(주)",""),"（주）",""),"㈜",""),"주식회사",""),"(유)",""),"（유）",""),"유한회사",""))</f>
        <v/>
      </c>
    </row>
    <row r="393">
      <c r="A393" s="35" t="n"/>
      <c r="B393" s="35" t="n"/>
      <c r="C393" s="35" t="n"/>
      <c r="D393" s="35" t="n"/>
      <c r="E393" s="36" t="n"/>
      <c r="F393" s="35" t="n"/>
      <c r="G393" s="35" t="n"/>
      <c r="I393" s="31">
        <f>IF(TRIM($A393&amp;"")="","",IF(ISNUMBER(--SUBSTITUTE(SUBSTITUTE(TRIM($A393&amp;""),"-","")," ","")),SUBSTITUTE(SUBSTITUTE(TRIM($A393&amp;""),"-","")," ",""),"N:"&amp;TRIM($A393&amp;"")))</f>
        <v/>
      </c>
      <c r="J393" s="31">
        <f>IF(LEN(SUBSTITUTE(SUBSTITUTE(SUBSTITUTE(SUBSTITUTE(SUBSTITUTE(SUBSTITUTE(SUBSTITUTE(SUBSTITUTE(SUBSTITUTE($C393&amp;""," ",""),"　",""),"(주)",""),"（주）",""),"㈜",""),"주식회사",""),"(유)",""),"（유）",""),"유한회사",""))&lt;2,"",SUBSTITUTE(SUBSTITUTE(SUBSTITUTE(SUBSTITUTE(SUBSTITUTE(SUBSTITUTE(SUBSTITUTE(SUBSTITUTE(SUBSTITUTE($C393&amp;""," ",""),"　",""),"(주)",""),"（주）",""),"㈜",""),"주식회사",""),"(유)",""),"（유）",""),"유한회사",""))</f>
        <v/>
      </c>
      <c r="K393" s="31">
        <f>IF(LEN(SUBSTITUTE(SUBSTITUTE(SUBSTITUTE(SUBSTITUTE(SUBSTITUTE(SUBSTITUTE(SUBSTITUTE(SUBSTITUTE(SUBSTITUTE($D393&amp;""," ",""),"　",""),"(주)",""),"（주）",""),"㈜",""),"주식회사",""),"(유)",""),"（유）",""),"유한회사",""))&lt;2,"",SUBSTITUTE(SUBSTITUTE(SUBSTITUTE(SUBSTITUTE(SUBSTITUTE(SUBSTITUTE(SUBSTITUTE(SUBSTITUTE(SUBSTITUTE($D393&amp;""," ",""),"　",""),"(주)",""),"（주）",""),"㈜",""),"주식회사",""),"(유)",""),"（유）",""),"유한회사",""))</f>
        <v/>
      </c>
    </row>
    <row r="394">
      <c r="A394" s="35" t="n"/>
      <c r="B394" s="35" t="n"/>
      <c r="C394" s="35" t="n"/>
      <c r="D394" s="35" t="n"/>
      <c r="E394" s="36" t="n"/>
      <c r="F394" s="35" t="n"/>
      <c r="G394" s="35" t="n"/>
      <c r="I394" s="31">
        <f>IF(TRIM($A394&amp;"")="","",IF(ISNUMBER(--SUBSTITUTE(SUBSTITUTE(TRIM($A394&amp;""),"-","")," ","")),SUBSTITUTE(SUBSTITUTE(TRIM($A394&amp;""),"-","")," ",""),"N:"&amp;TRIM($A394&amp;"")))</f>
        <v/>
      </c>
      <c r="J394" s="31">
        <f>IF(LEN(SUBSTITUTE(SUBSTITUTE(SUBSTITUTE(SUBSTITUTE(SUBSTITUTE(SUBSTITUTE(SUBSTITUTE(SUBSTITUTE(SUBSTITUTE($C394&amp;""," ",""),"　",""),"(주)",""),"（주）",""),"㈜",""),"주식회사",""),"(유)",""),"（유）",""),"유한회사",""))&lt;2,"",SUBSTITUTE(SUBSTITUTE(SUBSTITUTE(SUBSTITUTE(SUBSTITUTE(SUBSTITUTE(SUBSTITUTE(SUBSTITUTE(SUBSTITUTE($C394&amp;""," ",""),"　",""),"(주)",""),"（주）",""),"㈜",""),"주식회사",""),"(유)",""),"（유）",""),"유한회사",""))</f>
        <v/>
      </c>
      <c r="K394" s="31">
        <f>IF(LEN(SUBSTITUTE(SUBSTITUTE(SUBSTITUTE(SUBSTITUTE(SUBSTITUTE(SUBSTITUTE(SUBSTITUTE(SUBSTITUTE(SUBSTITUTE($D394&amp;""," ",""),"　",""),"(주)",""),"（주）",""),"㈜",""),"주식회사",""),"(유)",""),"（유）",""),"유한회사",""))&lt;2,"",SUBSTITUTE(SUBSTITUTE(SUBSTITUTE(SUBSTITUTE(SUBSTITUTE(SUBSTITUTE(SUBSTITUTE(SUBSTITUTE(SUBSTITUTE($D394&amp;""," ",""),"　",""),"(주)",""),"（주）",""),"㈜",""),"주식회사",""),"(유)",""),"（유）",""),"유한회사",""))</f>
        <v/>
      </c>
    </row>
    <row r="395">
      <c r="A395" s="35" t="n"/>
      <c r="B395" s="35" t="n"/>
      <c r="C395" s="35" t="n"/>
      <c r="D395" s="35" t="n"/>
      <c r="E395" s="36" t="n"/>
      <c r="F395" s="35" t="n"/>
      <c r="G395" s="35" t="n"/>
      <c r="I395" s="31">
        <f>IF(TRIM($A395&amp;"")="","",IF(ISNUMBER(--SUBSTITUTE(SUBSTITUTE(TRIM($A395&amp;""),"-","")," ","")),SUBSTITUTE(SUBSTITUTE(TRIM($A395&amp;""),"-","")," ",""),"N:"&amp;TRIM($A395&amp;"")))</f>
        <v/>
      </c>
      <c r="J395" s="31">
        <f>IF(LEN(SUBSTITUTE(SUBSTITUTE(SUBSTITUTE(SUBSTITUTE(SUBSTITUTE(SUBSTITUTE(SUBSTITUTE(SUBSTITUTE(SUBSTITUTE($C395&amp;""," ",""),"　",""),"(주)",""),"（주）",""),"㈜",""),"주식회사",""),"(유)",""),"（유）",""),"유한회사",""))&lt;2,"",SUBSTITUTE(SUBSTITUTE(SUBSTITUTE(SUBSTITUTE(SUBSTITUTE(SUBSTITUTE(SUBSTITUTE(SUBSTITUTE(SUBSTITUTE($C395&amp;""," ",""),"　",""),"(주)",""),"（주）",""),"㈜",""),"주식회사",""),"(유)",""),"（유）",""),"유한회사",""))</f>
        <v/>
      </c>
      <c r="K395" s="31">
        <f>IF(LEN(SUBSTITUTE(SUBSTITUTE(SUBSTITUTE(SUBSTITUTE(SUBSTITUTE(SUBSTITUTE(SUBSTITUTE(SUBSTITUTE(SUBSTITUTE($D395&amp;""," ",""),"　",""),"(주)",""),"（주）",""),"㈜",""),"주식회사",""),"(유)",""),"（유）",""),"유한회사",""))&lt;2,"",SUBSTITUTE(SUBSTITUTE(SUBSTITUTE(SUBSTITUTE(SUBSTITUTE(SUBSTITUTE(SUBSTITUTE(SUBSTITUTE(SUBSTITUTE($D395&amp;""," ",""),"　",""),"(주)",""),"（주）",""),"㈜",""),"주식회사",""),"(유)",""),"（유）",""),"유한회사",""))</f>
        <v/>
      </c>
    </row>
    <row r="396">
      <c r="A396" s="35" t="n"/>
      <c r="B396" s="35" t="n"/>
      <c r="C396" s="35" t="n"/>
      <c r="D396" s="35" t="n"/>
      <c r="E396" s="36" t="n"/>
      <c r="F396" s="35" t="n"/>
      <c r="G396" s="35" t="n"/>
      <c r="I396" s="31">
        <f>IF(TRIM($A396&amp;"")="","",IF(ISNUMBER(--SUBSTITUTE(SUBSTITUTE(TRIM($A396&amp;""),"-","")," ","")),SUBSTITUTE(SUBSTITUTE(TRIM($A396&amp;""),"-","")," ",""),"N:"&amp;TRIM($A396&amp;"")))</f>
        <v/>
      </c>
      <c r="J396" s="31">
        <f>IF(LEN(SUBSTITUTE(SUBSTITUTE(SUBSTITUTE(SUBSTITUTE(SUBSTITUTE(SUBSTITUTE(SUBSTITUTE(SUBSTITUTE(SUBSTITUTE($C396&amp;""," ",""),"　",""),"(주)",""),"（주）",""),"㈜",""),"주식회사",""),"(유)",""),"（유）",""),"유한회사",""))&lt;2,"",SUBSTITUTE(SUBSTITUTE(SUBSTITUTE(SUBSTITUTE(SUBSTITUTE(SUBSTITUTE(SUBSTITUTE(SUBSTITUTE(SUBSTITUTE($C396&amp;""," ",""),"　",""),"(주)",""),"（주）",""),"㈜",""),"주식회사",""),"(유)",""),"（유）",""),"유한회사",""))</f>
        <v/>
      </c>
      <c r="K396" s="31">
        <f>IF(LEN(SUBSTITUTE(SUBSTITUTE(SUBSTITUTE(SUBSTITUTE(SUBSTITUTE(SUBSTITUTE(SUBSTITUTE(SUBSTITUTE(SUBSTITUTE($D396&amp;""," ",""),"　",""),"(주)",""),"（주）",""),"㈜",""),"주식회사",""),"(유)",""),"（유）",""),"유한회사",""))&lt;2,"",SUBSTITUTE(SUBSTITUTE(SUBSTITUTE(SUBSTITUTE(SUBSTITUTE(SUBSTITUTE(SUBSTITUTE(SUBSTITUTE(SUBSTITUTE($D396&amp;""," ",""),"　",""),"(주)",""),"（주）",""),"㈜",""),"주식회사",""),"(유)",""),"（유）",""),"유한회사",""))</f>
        <v/>
      </c>
    </row>
    <row r="397">
      <c r="A397" s="35" t="n"/>
      <c r="B397" s="35" t="n"/>
      <c r="C397" s="35" t="n"/>
      <c r="D397" s="35" t="n"/>
      <c r="E397" s="36" t="n"/>
      <c r="F397" s="35" t="n"/>
      <c r="G397" s="35" t="n"/>
      <c r="I397" s="31">
        <f>IF(TRIM($A397&amp;"")="","",IF(ISNUMBER(--SUBSTITUTE(SUBSTITUTE(TRIM($A397&amp;""),"-","")," ","")),SUBSTITUTE(SUBSTITUTE(TRIM($A397&amp;""),"-","")," ",""),"N:"&amp;TRIM($A397&amp;"")))</f>
        <v/>
      </c>
      <c r="J397" s="31">
        <f>IF(LEN(SUBSTITUTE(SUBSTITUTE(SUBSTITUTE(SUBSTITUTE(SUBSTITUTE(SUBSTITUTE(SUBSTITUTE(SUBSTITUTE(SUBSTITUTE($C397&amp;""," ",""),"　",""),"(주)",""),"（주）",""),"㈜",""),"주식회사",""),"(유)",""),"（유）",""),"유한회사",""))&lt;2,"",SUBSTITUTE(SUBSTITUTE(SUBSTITUTE(SUBSTITUTE(SUBSTITUTE(SUBSTITUTE(SUBSTITUTE(SUBSTITUTE(SUBSTITUTE($C397&amp;""," ",""),"　",""),"(주)",""),"（주）",""),"㈜",""),"주식회사",""),"(유)",""),"（유）",""),"유한회사",""))</f>
        <v/>
      </c>
      <c r="K397" s="31">
        <f>IF(LEN(SUBSTITUTE(SUBSTITUTE(SUBSTITUTE(SUBSTITUTE(SUBSTITUTE(SUBSTITUTE(SUBSTITUTE(SUBSTITUTE(SUBSTITUTE($D397&amp;""," ",""),"　",""),"(주)",""),"（주）",""),"㈜",""),"주식회사",""),"(유)",""),"（유）",""),"유한회사",""))&lt;2,"",SUBSTITUTE(SUBSTITUTE(SUBSTITUTE(SUBSTITUTE(SUBSTITUTE(SUBSTITUTE(SUBSTITUTE(SUBSTITUTE(SUBSTITUTE($D397&amp;""," ",""),"　",""),"(주)",""),"（주）",""),"㈜",""),"주식회사",""),"(유)",""),"（유）",""),"유한회사",""))</f>
        <v/>
      </c>
    </row>
    <row r="398">
      <c r="A398" s="35" t="n"/>
      <c r="B398" s="35" t="n"/>
      <c r="C398" s="35" t="n"/>
      <c r="D398" s="35" t="n"/>
      <c r="E398" s="36" t="n"/>
      <c r="F398" s="35" t="n"/>
      <c r="G398" s="35" t="n"/>
      <c r="I398" s="31">
        <f>IF(TRIM($A398&amp;"")="","",IF(ISNUMBER(--SUBSTITUTE(SUBSTITUTE(TRIM($A398&amp;""),"-","")," ","")),SUBSTITUTE(SUBSTITUTE(TRIM($A398&amp;""),"-","")," ",""),"N:"&amp;TRIM($A398&amp;"")))</f>
        <v/>
      </c>
      <c r="J398" s="31">
        <f>IF(LEN(SUBSTITUTE(SUBSTITUTE(SUBSTITUTE(SUBSTITUTE(SUBSTITUTE(SUBSTITUTE(SUBSTITUTE(SUBSTITUTE(SUBSTITUTE($C398&amp;""," ",""),"　",""),"(주)",""),"（주）",""),"㈜",""),"주식회사",""),"(유)",""),"（유）",""),"유한회사",""))&lt;2,"",SUBSTITUTE(SUBSTITUTE(SUBSTITUTE(SUBSTITUTE(SUBSTITUTE(SUBSTITUTE(SUBSTITUTE(SUBSTITUTE(SUBSTITUTE($C398&amp;""," ",""),"　",""),"(주)",""),"（주）",""),"㈜",""),"주식회사",""),"(유)",""),"（유）",""),"유한회사",""))</f>
        <v/>
      </c>
      <c r="K398" s="31">
        <f>IF(LEN(SUBSTITUTE(SUBSTITUTE(SUBSTITUTE(SUBSTITUTE(SUBSTITUTE(SUBSTITUTE(SUBSTITUTE(SUBSTITUTE(SUBSTITUTE($D398&amp;""," ",""),"　",""),"(주)",""),"（주）",""),"㈜",""),"주식회사",""),"(유)",""),"（유）",""),"유한회사",""))&lt;2,"",SUBSTITUTE(SUBSTITUTE(SUBSTITUTE(SUBSTITUTE(SUBSTITUTE(SUBSTITUTE(SUBSTITUTE(SUBSTITUTE(SUBSTITUTE($D398&amp;""," ",""),"　",""),"(주)",""),"（주）",""),"㈜",""),"주식회사",""),"(유)",""),"（유）",""),"유한회사",""))</f>
        <v/>
      </c>
    </row>
    <row r="399">
      <c r="A399" s="35" t="n"/>
      <c r="B399" s="35" t="n"/>
      <c r="C399" s="35" t="n"/>
      <c r="D399" s="35" t="n"/>
      <c r="E399" s="36" t="n"/>
      <c r="F399" s="35" t="n"/>
      <c r="G399" s="35" t="n"/>
      <c r="I399" s="31">
        <f>IF(TRIM($A399&amp;"")="","",IF(ISNUMBER(--SUBSTITUTE(SUBSTITUTE(TRIM($A399&amp;""),"-","")," ","")),SUBSTITUTE(SUBSTITUTE(TRIM($A399&amp;""),"-","")," ",""),"N:"&amp;TRIM($A399&amp;"")))</f>
        <v/>
      </c>
      <c r="J399" s="31">
        <f>IF(LEN(SUBSTITUTE(SUBSTITUTE(SUBSTITUTE(SUBSTITUTE(SUBSTITUTE(SUBSTITUTE(SUBSTITUTE(SUBSTITUTE(SUBSTITUTE($C399&amp;""," ",""),"　",""),"(주)",""),"（주）",""),"㈜",""),"주식회사",""),"(유)",""),"（유）",""),"유한회사",""))&lt;2,"",SUBSTITUTE(SUBSTITUTE(SUBSTITUTE(SUBSTITUTE(SUBSTITUTE(SUBSTITUTE(SUBSTITUTE(SUBSTITUTE(SUBSTITUTE($C399&amp;""," ",""),"　",""),"(주)",""),"（주）",""),"㈜",""),"주식회사",""),"(유)",""),"（유）",""),"유한회사",""))</f>
        <v/>
      </c>
      <c r="K399" s="31">
        <f>IF(LEN(SUBSTITUTE(SUBSTITUTE(SUBSTITUTE(SUBSTITUTE(SUBSTITUTE(SUBSTITUTE(SUBSTITUTE(SUBSTITUTE(SUBSTITUTE($D399&amp;""," ",""),"　",""),"(주)",""),"（주）",""),"㈜",""),"주식회사",""),"(유)",""),"（유）",""),"유한회사",""))&lt;2,"",SUBSTITUTE(SUBSTITUTE(SUBSTITUTE(SUBSTITUTE(SUBSTITUTE(SUBSTITUTE(SUBSTITUTE(SUBSTITUTE(SUBSTITUTE($D399&amp;""," ",""),"　",""),"(주)",""),"（주）",""),"㈜",""),"주식회사",""),"(유)",""),"（유）",""),"유한회사",""))</f>
        <v/>
      </c>
    </row>
    <row r="400">
      <c r="A400" s="35" t="n"/>
      <c r="B400" s="35" t="n"/>
      <c r="C400" s="35" t="n"/>
      <c r="D400" s="35" t="n"/>
      <c r="E400" s="36" t="n"/>
      <c r="F400" s="35" t="n"/>
      <c r="G400" s="35" t="n"/>
      <c r="I400" s="31">
        <f>IF(TRIM($A400&amp;"")="","",IF(ISNUMBER(--SUBSTITUTE(SUBSTITUTE(TRIM($A400&amp;""),"-","")," ","")),SUBSTITUTE(SUBSTITUTE(TRIM($A400&amp;""),"-","")," ",""),"N:"&amp;TRIM($A400&amp;"")))</f>
        <v/>
      </c>
      <c r="J400" s="31">
        <f>IF(LEN(SUBSTITUTE(SUBSTITUTE(SUBSTITUTE(SUBSTITUTE(SUBSTITUTE(SUBSTITUTE(SUBSTITUTE(SUBSTITUTE(SUBSTITUTE($C400&amp;""," ",""),"　",""),"(주)",""),"（주）",""),"㈜",""),"주식회사",""),"(유)",""),"（유）",""),"유한회사",""))&lt;2,"",SUBSTITUTE(SUBSTITUTE(SUBSTITUTE(SUBSTITUTE(SUBSTITUTE(SUBSTITUTE(SUBSTITUTE(SUBSTITUTE(SUBSTITUTE($C400&amp;""," ",""),"　",""),"(주)",""),"（주）",""),"㈜",""),"주식회사",""),"(유)",""),"（유）",""),"유한회사",""))</f>
        <v/>
      </c>
      <c r="K400" s="31">
        <f>IF(LEN(SUBSTITUTE(SUBSTITUTE(SUBSTITUTE(SUBSTITUTE(SUBSTITUTE(SUBSTITUTE(SUBSTITUTE(SUBSTITUTE(SUBSTITUTE($D400&amp;""," ",""),"　",""),"(주)",""),"（주）",""),"㈜",""),"주식회사",""),"(유)",""),"（유）",""),"유한회사",""))&lt;2,"",SUBSTITUTE(SUBSTITUTE(SUBSTITUTE(SUBSTITUTE(SUBSTITUTE(SUBSTITUTE(SUBSTITUTE(SUBSTITUTE(SUBSTITUTE($D400&amp;""," ",""),"　",""),"(주)",""),"（주）",""),"㈜",""),"주식회사",""),"(유)",""),"（유）",""),"유한회사",""))</f>
        <v/>
      </c>
    </row>
    <row r="401">
      <c r="A401" s="35" t="n"/>
      <c r="B401" s="35" t="n"/>
      <c r="C401" s="35" t="n"/>
      <c r="D401" s="35" t="n"/>
      <c r="E401" s="36" t="n"/>
      <c r="F401" s="35" t="n"/>
      <c r="G401" s="35" t="n"/>
      <c r="I401" s="31">
        <f>IF(TRIM($A401&amp;"")="","",IF(ISNUMBER(--SUBSTITUTE(SUBSTITUTE(TRIM($A401&amp;""),"-","")," ","")),SUBSTITUTE(SUBSTITUTE(TRIM($A401&amp;""),"-","")," ",""),"N:"&amp;TRIM($A401&amp;"")))</f>
        <v/>
      </c>
      <c r="J401" s="31">
        <f>IF(LEN(SUBSTITUTE(SUBSTITUTE(SUBSTITUTE(SUBSTITUTE(SUBSTITUTE(SUBSTITUTE(SUBSTITUTE(SUBSTITUTE(SUBSTITUTE($C401&amp;""," ",""),"　",""),"(주)",""),"（주）",""),"㈜",""),"주식회사",""),"(유)",""),"（유）",""),"유한회사",""))&lt;2,"",SUBSTITUTE(SUBSTITUTE(SUBSTITUTE(SUBSTITUTE(SUBSTITUTE(SUBSTITUTE(SUBSTITUTE(SUBSTITUTE(SUBSTITUTE($C401&amp;""," ",""),"　",""),"(주)",""),"（주）",""),"㈜",""),"주식회사",""),"(유)",""),"（유）",""),"유한회사",""))</f>
        <v/>
      </c>
      <c r="K401" s="31">
        <f>IF(LEN(SUBSTITUTE(SUBSTITUTE(SUBSTITUTE(SUBSTITUTE(SUBSTITUTE(SUBSTITUTE(SUBSTITUTE(SUBSTITUTE(SUBSTITUTE($D401&amp;""," ",""),"　",""),"(주)",""),"（주）",""),"㈜",""),"주식회사",""),"(유)",""),"（유）",""),"유한회사",""))&lt;2,"",SUBSTITUTE(SUBSTITUTE(SUBSTITUTE(SUBSTITUTE(SUBSTITUTE(SUBSTITUTE(SUBSTITUTE(SUBSTITUTE(SUBSTITUTE($D401&amp;""," ",""),"　",""),"(주)",""),"（주）",""),"㈜",""),"주식회사",""),"(유)",""),"（유）",""),"유한회사",""))</f>
        <v/>
      </c>
    </row>
    <row r="402">
      <c r="A402" s="35" t="n"/>
      <c r="B402" s="35" t="n"/>
      <c r="C402" s="35" t="n"/>
      <c r="D402" s="35" t="n"/>
      <c r="E402" s="36" t="n"/>
      <c r="F402" s="35" t="n"/>
      <c r="G402" s="35" t="n"/>
      <c r="I402" s="31">
        <f>IF(TRIM($A402&amp;"")="","",IF(ISNUMBER(--SUBSTITUTE(SUBSTITUTE(TRIM($A402&amp;""),"-","")," ","")),SUBSTITUTE(SUBSTITUTE(TRIM($A402&amp;""),"-","")," ",""),"N:"&amp;TRIM($A402&amp;"")))</f>
        <v/>
      </c>
      <c r="J402" s="31">
        <f>IF(LEN(SUBSTITUTE(SUBSTITUTE(SUBSTITUTE(SUBSTITUTE(SUBSTITUTE(SUBSTITUTE(SUBSTITUTE(SUBSTITUTE(SUBSTITUTE($C402&amp;""," ",""),"　",""),"(주)",""),"（주）",""),"㈜",""),"주식회사",""),"(유)",""),"（유）",""),"유한회사",""))&lt;2,"",SUBSTITUTE(SUBSTITUTE(SUBSTITUTE(SUBSTITUTE(SUBSTITUTE(SUBSTITUTE(SUBSTITUTE(SUBSTITUTE(SUBSTITUTE($C402&amp;""," ",""),"　",""),"(주)",""),"（주）",""),"㈜",""),"주식회사",""),"(유)",""),"（유）",""),"유한회사",""))</f>
        <v/>
      </c>
      <c r="K402" s="31">
        <f>IF(LEN(SUBSTITUTE(SUBSTITUTE(SUBSTITUTE(SUBSTITUTE(SUBSTITUTE(SUBSTITUTE(SUBSTITUTE(SUBSTITUTE(SUBSTITUTE($D402&amp;""," ",""),"　",""),"(주)",""),"（주）",""),"㈜",""),"주식회사",""),"(유)",""),"（유）",""),"유한회사",""))&lt;2,"",SUBSTITUTE(SUBSTITUTE(SUBSTITUTE(SUBSTITUTE(SUBSTITUTE(SUBSTITUTE(SUBSTITUTE(SUBSTITUTE(SUBSTITUTE($D402&amp;""," ",""),"　",""),"(주)",""),"（주）",""),"㈜",""),"주식회사",""),"(유)",""),"（유）",""),"유한회사",""))</f>
        <v/>
      </c>
    </row>
    <row r="403">
      <c r="A403" s="35" t="n"/>
      <c r="B403" s="35" t="n"/>
      <c r="C403" s="35" t="n"/>
      <c r="D403" s="35" t="n"/>
      <c r="E403" s="36" t="n"/>
      <c r="F403" s="35" t="n"/>
      <c r="G403" s="35" t="n"/>
      <c r="I403" s="31">
        <f>IF(TRIM($A403&amp;"")="","",IF(ISNUMBER(--SUBSTITUTE(SUBSTITUTE(TRIM($A403&amp;""),"-","")," ","")),SUBSTITUTE(SUBSTITUTE(TRIM($A403&amp;""),"-","")," ",""),"N:"&amp;TRIM($A403&amp;"")))</f>
        <v/>
      </c>
      <c r="J403" s="31">
        <f>IF(LEN(SUBSTITUTE(SUBSTITUTE(SUBSTITUTE(SUBSTITUTE(SUBSTITUTE(SUBSTITUTE(SUBSTITUTE(SUBSTITUTE(SUBSTITUTE($C403&amp;""," ",""),"　",""),"(주)",""),"（주）",""),"㈜",""),"주식회사",""),"(유)",""),"（유）",""),"유한회사",""))&lt;2,"",SUBSTITUTE(SUBSTITUTE(SUBSTITUTE(SUBSTITUTE(SUBSTITUTE(SUBSTITUTE(SUBSTITUTE(SUBSTITUTE(SUBSTITUTE($C403&amp;""," ",""),"　",""),"(주)",""),"（주）",""),"㈜",""),"주식회사",""),"(유)",""),"（유）",""),"유한회사",""))</f>
        <v/>
      </c>
      <c r="K403" s="31">
        <f>IF(LEN(SUBSTITUTE(SUBSTITUTE(SUBSTITUTE(SUBSTITUTE(SUBSTITUTE(SUBSTITUTE(SUBSTITUTE(SUBSTITUTE(SUBSTITUTE($D403&amp;""," ",""),"　",""),"(주)",""),"（주）",""),"㈜",""),"주식회사",""),"(유)",""),"（유）",""),"유한회사",""))&lt;2,"",SUBSTITUTE(SUBSTITUTE(SUBSTITUTE(SUBSTITUTE(SUBSTITUTE(SUBSTITUTE(SUBSTITUTE(SUBSTITUTE(SUBSTITUTE($D403&amp;""," ",""),"　",""),"(주)",""),"（주）",""),"㈜",""),"주식회사",""),"(유)",""),"（유）",""),"유한회사",""))</f>
        <v/>
      </c>
    </row>
    <row r="404">
      <c r="A404" s="35" t="n"/>
      <c r="B404" s="35" t="n"/>
      <c r="C404" s="35" t="n"/>
      <c r="D404" s="35" t="n"/>
      <c r="E404" s="36" t="n"/>
      <c r="F404" s="35" t="n"/>
      <c r="G404" s="35" t="n"/>
      <c r="I404" s="31">
        <f>IF(TRIM($A404&amp;"")="","",IF(ISNUMBER(--SUBSTITUTE(SUBSTITUTE(TRIM($A404&amp;""),"-","")," ","")),SUBSTITUTE(SUBSTITUTE(TRIM($A404&amp;""),"-","")," ",""),"N:"&amp;TRIM($A404&amp;"")))</f>
        <v/>
      </c>
      <c r="J404" s="31">
        <f>IF(LEN(SUBSTITUTE(SUBSTITUTE(SUBSTITUTE(SUBSTITUTE(SUBSTITUTE(SUBSTITUTE(SUBSTITUTE(SUBSTITUTE(SUBSTITUTE($C404&amp;""," ",""),"　",""),"(주)",""),"（주）",""),"㈜",""),"주식회사",""),"(유)",""),"（유）",""),"유한회사",""))&lt;2,"",SUBSTITUTE(SUBSTITUTE(SUBSTITUTE(SUBSTITUTE(SUBSTITUTE(SUBSTITUTE(SUBSTITUTE(SUBSTITUTE(SUBSTITUTE($C404&amp;""," ",""),"　",""),"(주)",""),"（주）",""),"㈜",""),"주식회사",""),"(유)",""),"（유）",""),"유한회사",""))</f>
        <v/>
      </c>
      <c r="K404" s="31">
        <f>IF(LEN(SUBSTITUTE(SUBSTITUTE(SUBSTITUTE(SUBSTITUTE(SUBSTITUTE(SUBSTITUTE(SUBSTITUTE(SUBSTITUTE(SUBSTITUTE($D404&amp;""," ",""),"　",""),"(주)",""),"（주）",""),"㈜",""),"주식회사",""),"(유)",""),"（유）",""),"유한회사",""))&lt;2,"",SUBSTITUTE(SUBSTITUTE(SUBSTITUTE(SUBSTITUTE(SUBSTITUTE(SUBSTITUTE(SUBSTITUTE(SUBSTITUTE(SUBSTITUTE($D404&amp;""," ",""),"　",""),"(주)",""),"（주）",""),"㈜",""),"주식회사",""),"(유)",""),"（유）",""),"유한회사",""))</f>
        <v/>
      </c>
    </row>
    <row r="405">
      <c r="A405" s="35" t="n"/>
      <c r="B405" s="35" t="n"/>
      <c r="C405" s="35" t="n"/>
      <c r="D405" s="35" t="n"/>
      <c r="E405" s="36" t="n"/>
      <c r="F405" s="35" t="n"/>
      <c r="G405" s="35" t="n"/>
      <c r="I405" s="31">
        <f>IF(TRIM($A405&amp;"")="","",IF(ISNUMBER(--SUBSTITUTE(SUBSTITUTE(TRIM($A405&amp;""),"-","")," ","")),SUBSTITUTE(SUBSTITUTE(TRIM($A405&amp;""),"-","")," ",""),"N:"&amp;TRIM($A405&amp;"")))</f>
        <v/>
      </c>
      <c r="J405" s="31">
        <f>IF(LEN(SUBSTITUTE(SUBSTITUTE(SUBSTITUTE(SUBSTITUTE(SUBSTITUTE(SUBSTITUTE(SUBSTITUTE(SUBSTITUTE(SUBSTITUTE($C405&amp;""," ",""),"　",""),"(주)",""),"（주）",""),"㈜",""),"주식회사",""),"(유)",""),"（유）",""),"유한회사",""))&lt;2,"",SUBSTITUTE(SUBSTITUTE(SUBSTITUTE(SUBSTITUTE(SUBSTITUTE(SUBSTITUTE(SUBSTITUTE(SUBSTITUTE(SUBSTITUTE($C405&amp;""," ",""),"　",""),"(주)",""),"（주）",""),"㈜",""),"주식회사",""),"(유)",""),"（유）",""),"유한회사",""))</f>
        <v/>
      </c>
      <c r="K405" s="31">
        <f>IF(LEN(SUBSTITUTE(SUBSTITUTE(SUBSTITUTE(SUBSTITUTE(SUBSTITUTE(SUBSTITUTE(SUBSTITUTE(SUBSTITUTE(SUBSTITUTE($D405&amp;""," ",""),"　",""),"(주)",""),"（주）",""),"㈜",""),"주식회사",""),"(유)",""),"（유）",""),"유한회사",""))&lt;2,"",SUBSTITUTE(SUBSTITUTE(SUBSTITUTE(SUBSTITUTE(SUBSTITUTE(SUBSTITUTE(SUBSTITUTE(SUBSTITUTE(SUBSTITUTE($D405&amp;""," ",""),"　",""),"(주)",""),"（주）",""),"㈜",""),"주식회사",""),"(유)",""),"（유）",""),"유한회사",""))</f>
        <v/>
      </c>
    </row>
    <row r="406">
      <c r="A406" s="35" t="n"/>
      <c r="B406" s="35" t="n"/>
      <c r="C406" s="35" t="n"/>
      <c r="D406" s="35" t="n"/>
      <c r="E406" s="36" t="n"/>
      <c r="F406" s="35" t="n"/>
      <c r="G406" s="35" t="n"/>
      <c r="I406" s="31">
        <f>IF(TRIM($A406&amp;"")="","",IF(ISNUMBER(--SUBSTITUTE(SUBSTITUTE(TRIM($A406&amp;""),"-","")," ","")),SUBSTITUTE(SUBSTITUTE(TRIM($A406&amp;""),"-","")," ",""),"N:"&amp;TRIM($A406&amp;"")))</f>
        <v/>
      </c>
      <c r="J406" s="31">
        <f>IF(LEN(SUBSTITUTE(SUBSTITUTE(SUBSTITUTE(SUBSTITUTE(SUBSTITUTE(SUBSTITUTE(SUBSTITUTE(SUBSTITUTE(SUBSTITUTE($C406&amp;""," ",""),"　",""),"(주)",""),"（주）",""),"㈜",""),"주식회사",""),"(유)",""),"（유）",""),"유한회사",""))&lt;2,"",SUBSTITUTE(SUBSTITUTE(SUBSTITUTE(SUBSTITUTE(SUBSTITUTE(SUBSTITUTE(SUBSTITUTE(SUBSTITUTE(SUBSTITUTE($C406&amp;""," ",""),"　",""),"(주)",""),"（주）",""),"㈜",""),"주식회사",""),"(유)",""),"（유）",""),"유한회사",""))</f>
        <v/>
      </c>
      <c r="K406" s="31">
        <f>IF(LEN(SUBSTITUTE(SUBSTITUTE(SUBSTITUTE(SUBSTITUTE(SUBSTITUTE(SUBSTITUTE(SUBSTITUTE(SUBSTITUTE(SUBSTITUTE($D406&amp;""," ",""),"　",""),"(주)",""),"（주）",""),"㈜",""),"주식회사",""),"(유)",""),"（유）",""),"유한회사",""))&lt;2,"",SUBSTITUTE(SUBSTITUTE(SUBSTITUTE(SUBSTITUTE(SUBSTITUTE(SUBSTITUTE(SUBSTITUTE(SUBSTITUTE(SUBSTITUTE($D406&amp;""," ",""),"　",""),"(주)",""),"（주）",""),"㈜",""),"주식회사",""),"(유)",""),"（유）",""),"유한회사",""))</f>
        <v/>
      </c>
    </row>
    <row r="407">
      <c r="A407" s="35" t="n"/>
      <c r="B407" s="35" t="n"/>
      <c r="C407" s="35" t="n"/>
      <c r="D407" s="35" t="n"/>
      <c r="E407" s="36" t="n"/>
      <c r="F407" s="35" t="n"/>
      <c r="G407" s="35" t="n"/>
      <c r="I407" s="31">
        <f>IF(TRIM($A407&amp;"")="","",IF(ISNUMBER(--SUBSTITUTE(SUBSTITUTE(TRIM($A407&amp;""),"-","")," ","")),SUBSTITUTE(SUBSTITUTE(TRIM($A407&amp;""),"-","")," ",""),"N:"&amp;TRIM($A407&amp;"")))</f>
        <v/>
      </c>
      <c r="J407" s="31">
        <f>IF(LEN(SUBSTITUTE(SUBSTITUTE(SUBSTITUTE(SUBSTITUTE(SUBSTITUTE(SUBSTITUTE(SUBSTITUTE(SUBSTITUTE(SUBSTITUTE($C407&amp;""," ",""),"　",""),"(주)",""),"（주）",""),"㈜",""),"주식회사",""),"(유)",""),"（유）",""),"유한회사",""))&lt;2,"",SUBSTITUTE(SUBSTITUTE(SUBSTITUTE(SUBSTITUTE(SUBSTITUTE(SUBSTITUTE(SUBSTITUTE(SUBSTITUTE(SUBSTITUTE($C407&amp;""," ",""),"　",""),"(주)",""),"（주）",""),"㈜",""),"주식회사",""),"(유)",""),"（유）",""),"유한회사",""))</f>
        <v/>
      </c>
      <c r="K407" s="31">
        <f>IF(LEN(SUBSTITUTE(SUBSTITUTE(SUBSTITUTE(SUBSTITUTE(SUBSTITUTE(SUBSTITUTE(SUBSTITUTE(SUBSTITUTE(SUBSTITUTE($D407&amp;""," ",""),"　",""),"(주)",""),"（주）",""),"㈜",""),"주식회사",""),"(유)",""),"（유）",""),"유한회사",""))&lt;2,"",SUBSTITUTE(SUBSTITUTE(SUBSTITUTE(SUBSTITUTE(SUBSTITUTE(SUBSTITUTE(SUBSTITUTE(SUBSTITUTE(SUBSTITUTE($D407&amp;""," ",""),"　",""),"(주)",""),"（주）",""),"㈜",""),"주식회사",""),"(유)",""),"（유）",""),"유한회사",""))</f>
        <v/>
      </c>
    </row>
  </sheetData>
  <dataValidations count="1">
    <dataValidation sqref="F8:F407" showDropDown="0" showInputMessage="0" showErrorMessage="0" allowBlank="1" type="list">
      <formula1>"미연락,연락함,입금약속,법적 검토,제외"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0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0" customWidth="1" min="13" max="13"/>
    <col width="18" customWidth="1" min="14" max="14"/>
    <col width="6" customWidth="1" min="15" max="15"/>
    <col width="22" customWidth="1" min="16" max="16"/>
    <col width="44" customWidth="1" min="17" max="17"/>
  </cols>
  <sheetData>
    <row r="1">
      <c r="A1" s="11" t="inlineStr">
        <is>
          <t>거래처별 — 거래처별 미수 잔액과 경과일 구간 (자동)</t>
        </is>
      </c>
    </row>
    <row r="2">
      <c r="A2" s="12" t="inlineStr">
        <is>
          <t>✍ 직접 입력: 없음 (별칭·기초 미수금·조치 상태는 [거래처설정]에 적습니다). 사업자번호를 복사해 [거래처설정]에 붙여넣을 때 이 시트를 보세요.</t>
        </is>
      </c>
    </row>
    <row r="3">
      <c r="A3" s="2" t="inlineStr">
        <is>
          <t>⚙ 자동 계산: 세금계산서 거래처를 처음 나온 순서대로 보여 주고, 입금을 이름으로 맞춰 미수 잔액과 30/60/90일 구간을 계산합니다. 정렬된 모습은 [연령분석]에서 보세요.</t>
        </is>
      </c>
    </row>
    <row r="7" ht="30" customHeight="1">
      <c r="A7" s="25" t="inlineStr">
        <is>
          <t>번호</t>
        </is>
      </c>
      <c r="B7" s="25" t="inlineStr">
        <is>
          <t>사업자번호</t>
        </is>
      </c>
      <c r="C7" s="25" t="inlineStr">
        <is>
          <t>거래처</t>
        </is>
      </c>
      <c r="D7" s="25" t="inlineStr">
        <is>
          <t>기초 미수금</t>
        </is>
      </c>
      <c r="E7" s="25" t="inlineStr">
        <is>
          <t>매출 누계
(기준일까지)</t>
        </is>
      </c>
      <c r="F7" s="25" t="inlineStr">
        <is>
          <t>입금 누계
(매칭분)</t>
        </is>
      </c>
      <c r="G7" s="25" t="inlineStr">
        <is>
          <t>미수 잔액</t>
        </is>
      </c>
      <c r="H7" s="25">
        <f>"경과 "&amp;설정!$B$6&amp;"일 이내"</f>
        <v/>
      </c>
      <c r="I7" s="25">
        <f>"경과 "&amp;(설정!$B$6+1)&amp;"~"&amp;설정!$B$7&amp;"일"</f>
        <v/>
      </c>
      <c r="J7" s="25">
        <f>"경과 "&amp;(설정!$B$7+1)&amp;"~"&amp;설정!$B$8&amp;"일"</f>
        <v/>
      </c>
      <c r="K7" s="25">
        <f>"경과 "&amp;설정!$B$8&amp;"일 초과"</f>
        <v/>
      </c>
      <c r="L7" s="25" t="inlineStr">
        <is>
          <t>최근 입금일</t>
        </is>
      </c>
      <c r="M7" s="25" t="inlineStr">
        <is>
          <t>조치 상태</t>
        </is>
      </c>
      <c r="N7" s="25" t="inlineStr">
        <is>
          <t>메모</t>
        </is>
      </c>
      <c r="O7" s="25" t="inlineStr">
        <is>
          <t>단계</t>
        </is>
      </c>
      <c r="P7" s="25" t="inlineStr">
        <is>
          <t>판정</t>
        </is>
      </c>
      <c r="Q7" s="25" t="inlineStr">
        <is>
          <t>점검</t>
        </is>
      </c>
      <c r="R7" s="25" t="inlineStr">
        <is>
          <t>미수정렬키</t>
        </is>
      </c>
      <c r="S7" s="37" t="inlineStr">
        <is>
          <t>독촉정렬키</t>
        </is>
      </c>
      <c r="T7" s="37" t="inlineStr">
        <is>
          <t>설정행</t>
        </is>
      </c>
      <c r="U7" s="37" t="inlineStr">
        <is>
          <t>위치</t>
        </is>
      </c>
      <c r="V7" s="37" t="inlineStr">
        <is>
          <t>S1(누적)</t>
        </is>
      </c>
      <c r="W7" s="37" t="inlineStr">
        <is>
          <t>S2(누적)</t>
        </is>
      </c>
      <c r="X7" s="37" t="inlineStr">
        <is>
          <t>S3(누적)</t>
        </is>
      </c>
      <c r="AC7" s="37" t="inlineStr">
        <is>
          <t>별칭1 키</t>
        </is>
      </c>
      <c r="AD7" s="37" t="inlineStr">
        <is>
          <t>별칭2 키</t>
        </is>
      </c>
      <c r="AE7" s="37" t="inlineStr">
        <is>
          <t>자동 키</t>
        </is>
      </c>
    </row>
    <row r="8">
      <c r="A8" s="38">
        <f>IF($U8="","",1)</f>
        <v/>
      </c>
      <c r="B8" s="38">
        <f>IF($U8="","",IF(LEN(INDEX(매출원본!$AU$8:$AU$2007,$U8))=10,LEFT(INDEX(매출원본!$AU$8:$AU$2007,$U8),3)&amp;"-"&amp;MID(INDEX(매출원본!$AU$8:$AU$2007,$U8),4,2)&amp;"-"&amp;RIGHT(INDEX(매출원본!$AU$8:$AU$2007,$U8),5),IF(LEFT(INDEX(매출원본!$AU$8:$AU$2007,$U8),2)="N:","(번호 없음)",INDEX(매출원본!$AU$8:$AU$2007,$U8))))</f>
        <v/>
      </c>
      <c r="C8" s="38">
        <f>IF($U8="","",INDEX(매출원본!$AV$8:$AV$2007,$U8))</f>
        <v/>
      </c>
      <c r="D8" s="39">
        <f>IF($U8="","",IF($T8="",0,N(INDEX(거래처설정!$E$8:$E$407,$T8))))</f>
        <v/>
      </c>
      <c r="E8" s="39">
        <f>IF($U8="","",SUMIFS(매출원본!$AT$8:$AT$2007,매출원본!$AY$8:$AY$2007,$A8,매출원본!$AS$8:$AS$2007,"&lt;="&amp;설정!$B$5))</f>
        <v/>
      </c>
      <c r="F8" s="39">
        <f>IF($U8="","",SUMIFS(입금_은행1!$Z$8:$Z$2007,입금_은행1!$AC$8:$AC$2007,$A8,입금_은행1!$Y$8:$Y$2007,"&lt;="&amp;설정!$B$5)+SUMIFS(입금_은행2!$Z$8:$Z$2007,입금_은행2!$AC$8:$AC$2007,$A8,입금_은행2!$Y$8:$Y$2007,"&lt;="&amp;설정!$B$5))</f>
        <v/>
      </c>
      <c r="G8" s="39">
        <f>IF($U8="","",$D8+$E8-$F8)</f>
        <v/>
      </c>
      <c r="H8" s="39">
        <f>IF($U8="","",MIN(MAX($G8,0),$V8))</f>
        <v/>
      </c>
      <c r="I8" s="39">
        <f>IF($U8="","",MIN(MAX($G8,0),$W8)-MIN(MAX($G8,0),$V8))</f>
        <v/>
      </c>
      <c r="J8" s="39">
        <f>IF($U8="","",MIN(MAX($G8,0),$X8)-MIN(MAX($G8,0),$W8))</f>
        <v/>
      </c>
      <c r="K8" s="39">
        <f>IF($U8="","",MAX($G8,0)-MIN(MAX($G8,0),$X8))</f>
        <v/>
      </c>
      <c r="L8" s="40">
        <f>IF($U8="","",IF(MAX(SUMPRODUCT(MAX((입금_은행1!$AC$8:$AC$2007=$A8)*(입금_은행1!$AE$8:$AE$2007&lt;=설정!$B$5)*입금_은행1!$AE$8:$AE$2007)),SUMPRODUCT(MAX((입금_은행2!$AC$8:$AC$2007=$A8)*(입금_은행2!$AE$8:$AE$2007&lt;=설정!$B$5)*입금_은행2!$AE$8:$AE$2007)))=0,"",MAX(SUMPRODUCT(MAX((입금_은행1!$AC$8:$AC$2007=$A8)*(입금_은행1!$AE$8:$AE$2007&lt;=설정!$B$5)*입금_은행1!$AE$8:$AE$2007)),SUMPRODUCT(MAX((입금_은행2!$AC$8:$AC$2007=$A8)*(입금_은행2!$AE$8:$AE$2007&lt;=설정!$B$5)*입금_은행2!$AE$8:$AE$2007)))))</f>
        <v/>
      </c>
      <c r="M8" s="38">
        <f>IF($U8="","",IF($T8="","",IF(INDEX(거래처설정!$F$8:$F$407,$T8)="","",INDEX(거래처설정!$F$8:$F$407,$T8))))</f>
        <v/>
      </c>
      <c r="N8" s="38">
        <f>IF($U8="","",IF($T8="","",IF(INDEX(거래처설정!$G$8:$G$407,$T8)="","",INDEX(거래처설정!$G$8:$G$407,$T8))))</f>
        <v/>
      </c>
      <c r="O8" s="38">
        <f>IF($U8="","",IF($M8="제외",0,IF($K8&gt;=설정!$B$9,3,IF($J8+$K8&gt;=설정!$B$9,2,IF($I8+$J8+$K8&gt;=설정!$B$9,1,0)))))</f>
        <v/>
      </c>
      <c r="P8" s="38">
        <f>IF($U8="","",IF($M8="제외","제외(조치 상태)",IF($O8=3,"③ 강한 독촉 후보 ("&amp;설정!$B$8&amp;"일 초과)",IF($O8=2,"② 독촉 후보 ("&amp;설정!$B$7&amp;"일 초과)",IF($O8=1,"① 안내 후보 ("&amp;설정!$B$6&amp;"일 초과)",IF($G8&gt;0,IF($I8+$J8+$K8&gt;0,"오래된 잔액 있음 (최소 금액 미만)","정상 범위"),IF($G8&lt;0,"선수금·초과입금 — 확인","완납")))))))</f>
        <v/>
      </c>
      <c r="Q8" s="38">
        <f>IF($U8="","",IF($G8&lt;0,"입금이 매출보다 큼 — 선수금이거나 다른 거래처 입금이 섞였는지 확인",IF(AND($AE8&lt;&gt;"",COUNTIF($AE$8:$AE$307,"*"&amp;$AE8&amp;"*")&gt;1),"이름이 다른 거래처와 겹침 — 입금이 잘못 맞았을 수 있으니 별칭 확인",IF(AND($G8&gt;0,$F8=0),"입금 매칭 없음 — 입금자명이 다르면 [거래처설정]에 별칭 등록",""))))</f>
        <v/>
      </c>
      <c r="R8" s="31">
        <f>IF(OR($U8="",$G8&lt;=0),"",$G8-$A8/10000)</f>
        <v/>
      </c>
      <c r="S8" s="31">
        <f>IF(OR($U8="",$O8&lt;1),"",$O8*10^11+$I8+$J8+$K8-$A8/1000)</f>
        <v/>
      </c>
      <c r="T8" s="31">
        <f>IF($U8="","",IFERROR(MATCH(INDEX(매출원본!$AU$8:$AU$2007,$U8),거래처설정!$I$8:$I$407,0),""))</f>
        <v/>
      </c>
      <c r="U8" s="31">
        <f>IFERROR(MATCH(1,매출원본!$AW$8:$AW$2007,0),"")</f>
        <v/>
      </c>
      <c r="V8" s="31">
        <f>IF($U8="","",MAX(SUMIFS(매출원본!$AT$8:$AT$2007,매출원본!$AY$8:$AY$2007,$A8,매출원본!$AS$8:$AS$2007,"&gt;="&amp;(설정!$B$5-설정!$B$6),매출원본!$AS$8:$AS$2007,"&lt;="&amp;설정!$B$5),0))</f>
        <v/>
      </c>
      <c r="W8" s="31">
        <f>IF($U8="","",MAX($V8,SUMIFS(매출원본!$AT$8:$AT$2007,매출원본!$AY$8:$AY$2007,$A8,매출원본!$AS$8:$AS$2007,"&gt;="&amp;(설정!$B$5-설정!$B$7),매출원본!$AS$8:$AS$2007,"&lt;="&amp;설정!$B$5)))</f>
        <v/>
      </c>
      <c r="X8" s="31">
        <f>IF($U8="","",MAX($W8,SUMIFS(매출원본!$AT$8:$AT$2007,매출원본!$AY$8:$AY$2007,$A8,매출원본!$AS$8:$AS$2007,"&gt;="&amp;(설정!$B$5-설정!$B$8),매출원본!$AS$8:$AS$2007,"&lt;="&amp;설정!$B$5)))</f>
        <v/>
      </c>
      <c r="AC8" s="31">
        <f>IF(OR($U8="",$T8=""),"",INDEX(거래처설정!$J$8:$J$407,$T8))</f>
        <v/>
      </c>
      <c r="AD8" s="31">
        <f>IF(OR($U8="",$T8=""),"",INDEX(거래처설정!$K$8:$K$407,$T8))</f>
        <v/>
      </c>
      <c r="AE8" s="31">
        <f>IF($U8="","",IF(LEN(SUBSTITUTE(SUBSTITUTE(SUBSTITUTE(SUBSTITUTE(SUBSTITUTE(SUBSTITUTE(SUBSTITUTE(SUBSTITUTE(SUBSTITUTE($C8," ",""),"　",""),"(주)",""),"（주）",""),"㈜",""),"주식회사",""),"(유)",""),"（유）",""),"유한회사",""))&lt;2,"",SUBSTITUTE(SUBSTITUTE(SUBSTITUTE(SUBSTITUTE(SUBSTITUTE(SUBSTITUTE(SUBSTITUTE(SUBSTITUTE(SUBSTITUTE($C8," ",""),"　",""),"(주)",""),"（주）",""),"㈜",""),"주식회사",""),"(유)",""),"（유）",""),"유한회사","")))</f>
        <v/>
      </c>
    </row>
    <row r="9">
      <c r="A9" s="38">
        <f>IF($U9="","",2)</f>
        <v/>
      </c>
      <c r="B9" s="38">
        <f>IF($U9="","",IF(LEN(INDEX(매출원본!$AU$8:$AU$2007,$U9))=10,LEFT(INDEX(매출원본!$AU$8:$AU$2007,$U9),3)&amp;"-"&amp;MID(INDEX(매출원본!$AU$8:$AU$2007,$U9),4,2)&amp;"-"&amp;RIGHT(INDEX(매출원본!$AU$8:$AU$2007,$U9),5),IF(LEFT(INDEX(매출원본!$AU$8:$AU$2007,$U9),2)="N:","(번호 없음)",INDEX(매출원본!$AU$8:$AU$2007,$U9))))</f>
        <v/>
      </c>
      <c r="C9" s="38">
        <f>IF($U9="","",INDEX(매출원본!$AV$8:$AV$2007,$U9))</f>
        <v/>
      </c>
      <c r="D9" s="39">
        <f>IF($U9="","",IF($T9="",0,N(INDEX(거래처설정!$E$8:$E$407,$T9))))</f>
        <v/>
      </c>
      <c r="E9" s="39">
        <f>IF($U9="","",SUMIFS(매출원본!$AT$8:$AT$2007,매출원본!$AY$8:$AY$2007,$A9,매출원본!$AS$8:$AS$2007,"&lt;="&amp;설정!$B$5))</f>
        <v/>
      </c>
      <c r="F9" s="39">
        <f>IF($U9="","",SUMIFS(입금_은행1!$Z$8:$Z$2007,입금_은행1!$AC$8:$AC$2007,$A9,입금_은행1!$Y$8:$Y$2007,"&lt;="&amp;설정!$B$5)+SUMIFS(입금_은행2!$Z$8:$Z$2007,입금_은행2!$AC$8:$AC$2007,$A9,입금_은행2!$Y$8:$Y$2007,"&lt;="&amp;설정!$B$5))</f>
        <v/>
      </c>
      <c r="G9" s="39">
        <f>IF($U9="","",$D9+$E9-$F9)</f>
        <v/>
      </c>
      <c r="H9" s="39">
        <f>IF($U9="","",MIN(MAX($G9,0),$V9))</f>
        <v/>
      </c>
      <c r="I9" s="39">
        <f>IF($U9="","",MIN(MAX($G9,0),$W9)-MIN(MAX($G9,0),$V9))</f>
        <v/>
      </c>
      <c r="J9" s="39">
        <f>IF($U9="","",MIN(MAX($G9,0),$X9)-MIN(MAX($G9,0),$W9))</f>
        <v/>
      </c>
      <c r="K9" s="39">
        <f>IF($U9="","",MAX($G9,0)-MIN(MAX($G9,0),$X9))</f>
        <v/>
      </c>
      <c r="L9" s="40">
        <f>IF($U9="","",IF(MAX(SUMPRODUCT(MAX((입금_은행1!$AC$8:$AC$2007=$A9)*(입금_은행1!$AE$8:$AE$2007&lt;=설정!$B$5)*입금_은행1!$AE$8:$AE$2007)),SUMPRODUCT(MAX((입금_은행2!$AC$8:$AC$2007=$A9)*(입금_은행2!$AE$8:$AE$2007&lt;=설정!$B$5)*입금_은행2!$AE$8:$AE$2007)))=0,"",MAX(SUMPRODUCT(MAX((입금_은행1!$AC$8:$AC$2007=$A9)*(입금_은행1!$AE$8:$AE$2007&lt;=설정!$B$5)*입금_은행1!$AE$8:$AE$2007)),SUMPRODUCT(MAX((입금_은행2!$AC$8:$AC$2007=$A9)*(입금_은행2!$AE$8:$AE$2007&lt;=설정!$B$5)*입금_은행2!$AE$8:$AE$2007)))))</f>
        <v/>
      </c>
      <c r="M9" s="38">
        <f>IF($U9="","",IF($T9="","",IF(INDEX(거래처설정!$F$8:$F$407,$T9)="","",INDEX(거래처설정!$F$8:$F$407,$T9))))</f>
        <v/>
      </c>
      <c r="N9" s="38">
        <f>IF($U9="","",IF($T9="","",IF(INDEX(거래처설정!$G$8:$G$407,$T9)="","",INDEX(거래처설정!$G$8:$G$407,$T9))))</f>
        <v/>
      </c>
      <c r="O9" s="38">
        <f>IF($U9="","",IF($M9="제외",0,IF($K9&gt;=설정!$B$9,3,IF($J9+$K9&gt;=설정!$B$9,2,IF($I9+$J9+$K9&gt;=설정!$B$9,1,0)))))</f>
        <v/>
      </c>
      <c r="P9" s="38">
        <f>IF($U9="","",IF($M9="제외","제외(조치 상태)",IF($O9=3,"③ 강한 독촉 후보 ("&amp;설정!$B$8&amp;"일 초과)",IF($O9=2,"② 독촉 후보 ("&amp;설정!$B$7&amp;"일 초과)",IF($O9=1,"① 안내 후보 ("&amp;설정!$B$6&amp;"일 초과)",IF($G9&gt;0,IF($I9+$J9+$K9&gt;0,"오래된 잔액 있음 (최소 금액 미만)","정상 범위"),IF($G9&lt;0,"선수금·초과입금 — 확인","완납")))))))</f>
        <v/>
      </c>
      <c r="Q9" s="38">
        <f>IF($U9="","",IF($G9&lt;0,"입금이 매출보다 큼 — 선수금이거나 다른 거래처 입금이 섞였는지 확인",IF(AND($AE9&lt;&gt;"",COUNTIF($AE$8:$AE$307,"*"&amp;$AE9&amp;"*")&gt;1),"이름이 다른 거래처와 겹침 — 입금이 잘못 맞았을 수 있으니 별칭 확인",IF(AND($G9&gt;0,$F9=0),"입금 매칭 없음 — 입금자명이 다르면 [거래처설정]에 별칭 등록",""))))</f>
        <v/>
      </c>
      <c r="R9" s="31">
        <f>IF(OR($U9="",$G9&lt;=0),"",$G9-$A9/10000)</f>
        <v/>
      </c>
      <c r="S9" s="31">
        <f>IF(OR($U9="",$O9&lt;1),"",$O9*10^11+$I9+$J9+$K9-$A9/1000)</f>
        <v/>
      </c>
      <c r="T9" s="31">
        <f>IF($U9="","",IFERROR(MATCH(INDEX(매출원본!$AU$8:$AU$2007,$U9),거래처설정!$I$8:$I$407,0),""))</f>
        <v/>
      </c>
      <c r="U9" s="31">
        <f>IFERROR(MATCH(2,매출원본!$AW$8:$AW$2007,0),"")</f>
        <v/>
      </c>
      <c r="V9" s="31">
        <f>IF($U9="","",MAX(SUMIFS(매출원본!$AT$8:$AT$2007,매출원본!$AY$8:$AY$2007,$A9,매출원본!$AS$8:$AS$2007,"&gt;="&amp;(설정!$B$5-설정!$B$6),매출원본!$AS$8:$AS$2007,"&lt;="&amp;설정!$B$5),0))</f>
        <v/>
      </c>
      <c r="W9" s="31">
        <f>IF($U9="","",MAX($V9,SUMIFS(매출원본!$AT$8:$AT$2007,매출원본!$AY$8:$AY$2007,$A9,매출원본!$AS$8:$AS$2007,"&gt;="&amp;(설정!$B$5-설정!$B$7),매출원본!$AS$8:$AS$2007,"&lt;="&amp;설정!$B$5)))</f>
        <v/>
      </c>
      <c r="X9" s="31">
        <f>IF($U9="","",MAX($W9,SUMIFS(매출원본!$AT$8:$AT$2007,매출원본!$AY$8:$AY$2007,$A9,매출원본!$AS$8:$AS$2007,"&gt;="&amp;(설정!$B$5-설정!$B$8),매출원본!$AS$8:$AS$2007,"&lt;="&amp;설정!$B$5)))</f>
        <v/>
      </c>
      <c r="AC9" s="31">
        <f>IF(OR($U9="",$T9=""),"",INDEX(거래처설정!$J$8:$J$407,$T9))</f>
        <v/>
      </c>
      <c r="AD9" s="31">
        <f>IF(OR($U9="",$T9=""),"",INDEX(거래처설정!$K$8:$K$407,$T9))</f>
        <v/>
      </c>
      <c r="AE9" s="31">
        <f>IF($U9="","",IF(LEN(SUBSTITUTE(SUBSTITUTE(SUBSTITUTE(SUBSTITUTE(SUBSTITUTE(SUBSTITUTE(SUBSTITUTE(SUBSTITUTE(SUBSTITUTE($C9," ",""),"　",""),"(주)",""),"（주）",""),"㈜",""),"주식회사",""),"(유)",""),"（유）",""),"유한회사",""))&lt;2,"",SUBSTITUTE(SUBSTITUTE(SUBSTITUTE(SUBSTITUTE(SUBSTITUTE(SUBSTITUTE(SUBSTITUTE(SUBSTITUTE(SUBSTITUTE($C9," ",""),"　",""),"(주)",""),"（주）",""),"㈜",""),"주식회사",""),"(유)",""),"（유）",""),"유한회사","")))</f>
        <v/>
      </c>
    </row>
    <row r="10">
      <c r="A10" s="38">
        <f>IF($U10="","",3)</f>
        <v/>
      </c>
      <c r="B10" s="38">
        <f>IF($U10="","",IF(LEN(INDEX(매출원본!$AU$8:$AU$2007,$U10))=10,LEFT(INDEX(매출원본!$AU$8:$AU$2007,$U10),3)&amp;"-"&amp;MID(INDEX(매출원본!$AU$8:$AU$2007,$U10),4,2)&amp;"-"&amp;RIGHT(INDEX(매출원본!$AU$8:$AU$2007,$U10),5),IF(LEFT(INDEX(매출원본!$AU$8:$AU$2007,$U10),2)="N:","(번호 없음)",INDEX(매출원본!$AU$8:$AU$2007,$U10))))</f>
        <v/>
      </c>
      <c r="C10" s="38">
        <f>IF($U10="","",INDEX(매출원본!$AV$8:$AV$2007,$U10))</f>
        <v/>
      </c>
      <c r="D10" s="39">
        <f>IF($U10="","",IF($T10="",0,N(INDEX(거래처설정!$E$8:$E$407,$T10))))</f>
        <v/>
      </c>
      <c r="E10" s="39">
        <f>IF($U10="","",SUMIFS(매출원본!$AT$8:$AT$2007,매출원본!$AY$8:$AY$2007,$A10,매출원본!$AS$8:$AS$2007,"&lt;="&amp;설정!$B$5))</f>
        <v/>
      </c>
      <c r="F10" s="39">
        <f>IF($U10="","",SUMIFS(입금_은행1!$Z$8:$Z$2007,입금_은행1!$AC$8:$AC$2007,$A10,입금_은행1!$Y$8:$Y$2007,"&lt;="&amp;설정!$B$5)+SUMIFS(입금_은행2!$Z$8:$Z$2007,입금_은행2!$AC$8:$AC$2007,$A10,입금_은행2!$Y$8:$Y$2007,"&lt;="&amp;설정!$B$5))</f>
        <v/>
      </c>
      <c r="G10" s="39">
        <f>IF($U10="","",$D10+$E10-$F10)</f>
        <v/>
      </c>
      <c r="H10" s="39">
        <f>IF($U10="","",MIN(MAX($G10,0),$V10))</f>
        <v/>
      </c>
      <c r="I10" s="39">
        <f>IF($U10="","",MIN(MAX($G10,0),$W10)-MIN(MAX($G10,0),$V10))</f>
        <v/>
      </c>
      <c r="J10" s="39">
        <f>IF($U10="","",MIN(MAX($G10,0),$X10)-MIN(MAX($G10,0),$W10))</f>
        <v/>
      </c>
      <c r="K10" s="39">
        <f>IF($U10="","",MAX($G10,0)-MIN(MAX($G10,0),$X10))</f>
        <v/>
      </c>
      <c r="L10" s="40">
        <f>IF($U10="","",IF(MAX(SUMPRODUCT(MAX((입금_은행1!$AC$8:$AC$2007=$A10)*(입금_은행1!$AE$8:$AE$2007&lt;=설정!$B$5)*입금_은행1!$AE$8:$AE$2007)),SUMPRODUCT(MAX((입금_은행2!$AC$8:$AC$2007=$A10)*(입금_은행2!$AE$8:$AE$2007&lt;=설정!$B$5)*입금_은행2!$AE$8:$AE$2007)))=0,"",MAX(SUMPRODUCT(MAX((입금_은행1!$AC$8:$AC$2007=$A10)*(입금_은행1!$AE$8:$AE$2007&lt;=설정!$B$5)*입금_은행1!$AE$8:$AE$2007)),SUMPRODUCT(MAX((입금_은행2!$AC$8:$AC$2007=$A10)*(입금_은행2!$AE$8:$AE$2007&lt;=설정!$B$5)*입금_은행2!$AE$8:$AE$2007)))))</f>
        <v/>
      </c>
      <c r="M10" s="38">
        <f>IF($U10="","",IF($T10="","",IF(INDEX(거래처설정!$F$8:$F$407,$T10)="","",INDEX(거래처설정!$F$8:$F$407,$T10))))</f>
        <v/>
      </c>
      <c r="N10" s="38">
        <f>IF($U10="","",IF($T10="","",IF(INDEX(거래처설정!$G$8:$G$407,$T10)="","",INDEX(거래처설정!$G$8:$G$407,$T10))))</f>
        <v/>
      </c>
      <c r="O10" s="38">
        <f>IF($U10="","",IF($M10="제외",0,IF($K10&gt;=설정!$B$9,3,IF($J10+$K10&gt;=설정!$B$9,2,IF($I10+$J10+$K10&gt;=설정!$B$9,1,0)))))</f>
        <v/>
      </c>
      <c r="P10" s="38">
        <f>IF($U10="","",IF($M10="제외","제외(조치 상태)",IF($O10=3,"③ 강한 독촉 후보 ("&amp;설정!$B$8&amp;"일 초과)",IF($O10=2,"② 독촉 후보 ("&amp;설정!$B$7&amp;"일 초과)",IF($O10=1,"① 안내 후보 ("&amp;설정!$B$6&amp;"일 초과)",IF($G10&gt;0,IF($I10+$J10+$K10&gt;0,"오래된 잔액 있음 (최소 금액 미만)","정상 범위"),IF($G10&lt;0,"선수금·초과입금 — 확인","완납")))))))</f>
        <v/>
      </c>
      <c r="Q10" s="38">
        <f>IF($U10="","",IF($G10&lt;0,"입금이 매출보다 큼 — 선수금이거나 다른 거래처 입금이 섞였는지 확인",IF(AND($AE10&lt;&gt;"",COUNTIF($AE$8:$AE$307,"*"&amp;$AE10&amp;"*")&gt;1),"이름이 다른 거래처와 겹침 — 입금이 잘못 맞았을 수 있으니 별칭 확인",IF(AND($G10&gt;0,$F10=0),"입금 매칭 없음 — 입금자명이 다르면 [거래처설정]에 별칭 등록",""))))</f>
        <v/>
      </c>
      <c r="R10" s="31">
        <f>IF(OR($U10="",$G10&lt;=0),"",$G10-$A10/10000)</f>
        <v/>
      </c>
      <c r="S10" s="31">
        <f>IF(OR($U10="",$O10&lt;1),"",$O10*10^11+$I10+$J10+$K10-$A10/1000)</f>
        <v/>
      </c>
      <c r="T10" s="31">
        <f>IF($U10="","",IFERROR(MATCH(INDEX(매출원본!$AU$8:$AU$2007,$U10),거래처설정!$I$8:$I$407,0),""))</f>
        <v/>
      </c>
      <c r="U10" s="31">
        <f>IFERROR(MATCH(3,매출원본!$AW$8:$AW$2007,0),"")</f>
        <v/>
      </c>
      <c r="V10" s="31">
        <f>IF($U10="","",MAX(SUMIFS(매출원본!$AT$8:$AT$2007,매출원본!$AY$8:$AY$2007,$A10,매출원본!$AS$8:$AS$2007,"&gt;="&amp;(설정!$B$5-설정!$B$6),매출원본!$AS$8:$AS$2007,"&lt;="&amp;설정!$B$5),0))</f>
        <v/>
      </c>
      <c r="W10" s="31">
        <f>IF($U10="","",MAX($V10,SUMIFS(매출원본!$AT$8:$AT$2007,매출원본!$AY$8:$AY$2007,$A10,매출원본!$AS$8:$AS$2007,"&gt;="&amp;(설정!$B$5-설정!$B$7),매출원본!$AS$8:$AS$2007,"&lt;="&amp;설정!$B$5)))</f>
        <v/>
      </c>
      <c r="X10" s="31">
        <f>IF($U10="","",MAX($W10,SUMIFS(매출원본!$AT$8:$AT$2007,매출원본!$AY$8:$AY$2007,$A10,매출원본!$AS$8:$AS$2007,"&gt;="&amp;(설정!$B$5-설정!$B$8),매출원본!$AS$8:$AS$2007,"&lt;="&amp;설정!$B$5)))</f>
        <v/>
      </c>
      <c r="AC10" s="31">
        <f>IF(OR($U10="",$T10=""),"",INDEX(거래처설정!$J$8:$J$407,$T10))</f>
        <v/>
      </c>
      <c r="AD10" s="31">
        <f>IF(OR($U10="",$T10=""),"",INDEX(거래처설정!$K$8:$K$407,$T10))</f>
        <v/>
      </c>
      <c r="AE10" s="31">
        <f>IF($U10="","",IF(LEN(SUBSTITUTE(SUBSTITUTE(SUBSTITUTE(SUBSTITUTE(SUBSTITUTE(SUBSTITUTE(SUBSTITUTE(SUBSTITUTE(SUBSTITUTE($C10," ",""),"　",""),"(주)",""),"（주）",""),"㈜",""),"주식회사",""),"(유)",""),"（유）",""),"유한회사",""))&lt;2,"",SUBSTITUTE(SUBSTITUTE(SUBSTITUTE(SUBSTITUTE(SUBSTITUTE(SUBSTITUTE(SUBSTITUTE(SUBSTITUTE(SUBSTITUTE($C10," ",""),"　",""),"(주)",""),"（주）",""),"㈜",""),"주식회사",""),"(유)",""),"（유）",""),"유한회사","")))</f>
        <v/>
      </c>
    </row>
    <row r="11">
      <c r="A11" s="38">
        <f>IF($U11="","",4)</f>
        <v/>
      </c>
      <c r="B11" s="38">
        <f>IF($U11="","",IF(LEN(INDEX(매출원본!$AU$8:$AU$2007,$U11))=10,LEFT(INDEX(매출원본!$AU$8:$AU$2007,$U11),3)&amp;"-"&amp;MID(INDEX(매출원본!$AU$8:$AU$2007,$U11),4,2)&amp;"-"&amp;RIGHT(INDEX(매출원본!$AU$8:$AU$2007,$U11),5),IF(LEFT(INDEX(매출원본!$AU$8:$AU$2007,$U11),2)="N:","(번호 없음)",INDEX(매출원본!$AU$8:$AU$2007,$U11))))</f>
        <v/>
      </c>
      <c r="C11" s="38">
        <f>IF($U11="","",INDEX(매출원본!$AV$8:$AV$2007,$U11))</f>
        <v/>
      </c>
      <c r="D11" s="39">
        <f>IF($U11="","",IF($T11="",0,N(INDEX(거래처설정!$E$8:$E$407,$T11))))</f>
        <v/>
      </c>
      <c r="E11" s="39">
        <f>IF($U11="","",SUMIFS(매출원본!$AT$8:$AT$2007,매출원본!$AY$8:$AY$2007,$A11,매출원본!$AS$8:$AS$2007,"&lt;="&amp;설정!$B$5))</f>
        <v/>
      </c>
      <c r="F11" s="39">
        <f>IF($U11="","",SUMIFS(입금_은행1!$Z$8:$Z$2007,입금_은행1!$AC$8:$AC$2007,$A11,입금_은행1!$Y$8:$Y$2007,"&lt;="&amp;설정!$B$5)+SUMIFS(입금_은행2!$Z$8:$Z$2007,입금_은행2!$AC$8:$AC$2007,$A11,입금_은행2!$Y$8:$Y$2007,"&lt;="&amp;설정!$B$5))</f>
        <v/>
      </c>
      <c r="G11" s="39">
        <f>IF($U11="","",$D11+$E11-$F11)</f>
        <v/>
      </c>
      <c r="H11" s="39">
        <f>IF($U11="","",MIN(MAX($G11,0),$V11))</f>
        <v/>
      </c>
      <c r="I11" s="39">
        <f>IF($U11="","",MIN(MAX($G11,0),$W11)-MIN(MAX($G11,0),$V11))</f>
        <v/>
      </c>
      <c r="J11" s="39">
        <f>IF($U11="","",MIN(MAX($G11,0),$X11)-MIN(MAX($G11,0),$W11))</f>
        <v/>
      </c>
      <c r="K11" s="39">
        <f>IF($U11="","",MAX($G11,0)-MIN(MAX($G11,0),$X11))</f>
        <v/>
      </c>
      <c r="L11" s="40">
        <f>IF($U11="","",IF(MAX(SUMPRODUCT(MAX((입금_은행1!$AC$8:$AC$2007=$A11)*(입금_은행1!$AE$8:$AE$2007&lt;=설정!$B$5)*입금_은행1!$AE$8:$AE$2007)),SUMPRODUCT(MAX((입금_은행2!$AC$8:$AC$2007=$A11)*(입금_은행2!$AE$8:$AE$2007&lt;=설정!$B$5)*입금_은행2!$AE$8:$AE$2007)))=0,"",MAX(SUMPRODUCT(MAX((입금_은행1!$AC$8:$AC$2007=$A11)*(입금_은행1!$AE$8:$AE$2007&lt;=설정!$B$5)*입금_은행1!$AE$8:$AE$2007)),SUMPRODUCT(MAX((입금_은행2!$AC$8:$AC$2007=$A11)*(입금_은행2!$AE$8:$AE$2007&lt;=설정!$B$5)*입금_은행2!$AE$8:$AE$2007)))))</f>
        <v/>
      </c>
      <c r="M11" s="38">
        <f>IF($U11="","",IF($T11="","",IF(INDEX(거래처설정!$F$8:$F$407,$T11)="","",INDEX(거래처설정!$F$8:$F$407,$T11))))</f>
        <v/>
      </c>
      <c r="N11" s="38">
        <f>IF($U11="","",IF($T11="","",IF(INDEX(거래처설정!$G$8:$G$407,$T11)="","",INDEX(거래처설정!$G$8:$G$407,$T11))))</f>
        <v/>
      </c>
      <c r="O11" s="38">
        <f>IF($U11="","",IF($M11="제외",0,IF($K11&gt;=설정!$B$9,3,IF($J11+$K11&gt;=설정!$B$9,2,IF($I11+$J11+$K11&gt;=설정!$B$9,1,0)))))</f>
        <v/>
      </c>
      <c r="P11" s="38">
        <f>IF($U11="","",IF($M11="제외","제외(조치 상태)",IF($O11=3,"③ 강한 독촉 후보 ("&amp;설정!$B$8&amp;"일 초과)",IF($O11=2,"② 독촉 후보 ("&amp;설정!$B$7&amp;"일 초과)",IF($O11=1,"① 안내 후보 ("&amp;설정!$B$6&amp;"일 초과)",IF($G11&gt;0,IF($I11+$J11+$K11&gt;0,"오래된 잔액 있음 (최소 금액 미만)","정상 범위"),IF($G11&lt;0,"선수금·초과입금 — 확인","완납")))))))</f>
        <v/>
      </c>
      <c r="Q11" s="38">
        <f>IF($U11="","",IF($G11&lt;0,"입금이 매출보다 큼 — 선수금이거나 다른 거래처 입금이 섞였는지 확인",IF(AND($AE11&lt;&gt;"",COUNTIF($AE$8:$AE$307,"*"&amp;$AE11&amp;"*")&gt;1),"이름이 다른 거래처와 겹침 — 입금이 잘못 맞았을 수 있으니 별칭 확인",IF(AND($G11&gt;0,$F11=0),"입금 매칭 없음 — 입금자명이 다르면 [거래처설정]에 별칭 등록",""))))</f>
        <v/>
      </c>
      <c r="R11" s="31">
        <f>IF(OR($U11="",$G11&lt;=0),"",$G11-$A11/10000)</f>
        <v/>
      </c>
      <c r="S11" s="31">
        <f>IF(OR($U11="",$O11&lt;1),"",$O11*10^11+$I11+$J11+$K11-$A11/1000)</f>
        <v/>
      </c>
      <c r="T11" s="31">
        <f>IF($U11="","",IFERROR(MATCH(INDEX(매출원본!$AU$8:$AU$2007,$U11),거래처설정!$I$8:$I$407,0),""))</f>
        <v/>
      </c>
      <c r="U11" s="31">
        <f>IFERROR(MATCH(4,매출원본!$AW$8:$AW$2007,0),"")</f>
        <v/>
      </c>
      <c r="V11" s="31">
        <f>IF($U11="","",MAX(SUMIFS(매출원본!$AT$8:$AT$2007,매출원본!$AY$8:$AY$2007,$A11,매출원본!$AS$8:$AS$2007,"&gt;="&amp;(설정!$B$5-설정!$B$6),매출원본!$AS$8:$AS$2007,"&lt;="&amp;설정!$B$5),0))</f>
        <v/>
      </c>
      <c r="W11" s="31">
        <f>IF($U11="","",MAX($V11,SUMIFS(매출원본!$AT$8:$AT$2007,매출원본!$AY$8:$AY$2007,$A11,매출원본!$AS$8:$AS$2007,"&gt;="&amp;(설정!$B$5-설정!$B$7),매출원본!$AS$8:$AS$2007,"&lt;="&amp;설정!$B$5)))</f>
        <v/>
      </c>
      <c r="X11" s="31">
        <f>IF($U11="","",MAX($W11,SUMIFS(매출원본!$AT$8:$AT$2007,매출원본!$AY$8:$AY$2007,$A11,매출원본!$AS$8:$AS$2007,"&gt;="&amp;(설정!$B$5-설정!$B$8),매출원본!$AS$8:$AS$2007,"&lt;="&amp;설정!$B$5)))</f>
        <v/>
      </c>
      <c r="AC11" s="31">
        <f>IF(OR($U11="",$T11=""),"",INDEX(거래처설정!$J$8:$J$407,$T11))</f>
        <v/>
      </c>
      <c r="AD11" s="31">
        <f>IF(OR($U11="",$T11=""),"",INDEX(거래처설정!$K$8:$K$407,$T11))</f>
        <v/>
      </c>
      <c r="AE11" s="31">
        <f>IF($U11="","",IF(LEN(SUBSTITUTE(SUBSTITUTE(SUBSTITUTE(SUBSTITUTE(SUBSTITUTE(SUBSTITUTE(SUBSTITUTE(SUBSTITUTE(SUBSTITUTE($C11," ",""),"　",""),"(주)",""),"（주）",""),"㈜",""),"주식회사",""),"(유)",""),"（유）",""),"유한회사",""))&lt;2,"",SUBSTITUTE(SUBSTITUTE(SUBSTITUTE(SUBSTITUTE(SUBSTITUTE(SUBSTITUTE(SUBSTITUTE(SUBSTITUTE(SUBSTITUTE($C11," ",""),"　",""),"(주)",""),"（주）",""),"㈜",""),"주식회사",""),"(유)",""),"（유）",""),"유한회사","")))</f>
        <v/>
      </c>
    </row>
    <row r="12">
      <c r="A12" s="38">
        <f>IF($U12="","",5)</f>
        <v/>
      </c>
      <c r="B12" s="38">
        <f>IF($U12="","",IF(LEN(INDEX(매출원본!$AU$8:$AU$2007,$U12))=10,LEFT(INDEX(매출원본!$AU$8:$AU$2007,$U12),3)&amp;"-"&amp;MID(INDEX(매출원본!$AU$8:$AU$2007,$U12),4,2)&amp;"-"&amp;RIGHT(INDEX(매출원본!$AU$8:$AU$2007,$U12),5),IF(LEFT(INDEX(매출원본!$AU$8:$AU$2007,$U12),2)="N:","(번호 없음)",INDEX(매출원본!$AU$8:$AU$2007,$U12))))</f>
        <v/>
      </c>
      <c r="C12" s="38">
        <f>IF($U12="","",INDEX(매출원본!$AV$8:$AV$2007,$U12))</f>
        <v/>
      </c>
      <c r="D12" s="39">
        <f>IF($U12="","",IF($T12="",0,N(INDEX(거래처설정!$E$8:$E$407,$T12))))</f>
        <v/>
      </c>
      <c r="E12" s="39">
        <f>IF($U12="","",SUMIFS(매출원본!$AT$8:$AT$2007,매출원본!$AY$8:$AY$2007,$A12,매출원본!$AS$8:$AS$2007,"&lt;="&amp;설정!$B$5))</f>
        <v/>
      </c>
      <c r="F12" s="39">
        <f>IF($U12="","",SUMIFS(입금_은행1!$Z$8:$Z$2007,입금_은행1!$AC$8:$AC$2007,$A12,입금_은행1!$Y$8:$Y$2007,"&lt;="&amp;설정!$B$5)+SUMIFS(입금_은행2!$Z$8:$Z$2007,입금_은행2!$AC$8:$AC$2007,$A12,입금_은행2!$Y$8:$Y$2007,"&lt;="&amp;설정!$B$5))</f>
        <v/>
      </c>
      <c r="G12" s="39">
        <f>IF($U12="","",$D12+$E12-$F12)</f>
        <v/>
      </c>
      <c r="H12" s="39">
        <f>IF($U12="","",MIN(MAX($G12,0),$V12))</f>
        <v/>
      </c>
      <c r="I12" s="39">
        <f>IF($U12="","",MIN(MAX($G12,0),$W12)-MIN(MAX($G12,0),$V12))</f>
        <v/>
      </c>
      <c r="J12" s="39">
        <f>IF($U12="","",MIN(MAX($G12,0),$X12)-MIN(MAX($G12,0),$W12))</f>
        <v/>
      </c>
      <c r="K12" s="39">
        <f>IF($U12="","",MAX($G12,0)-MIN(MAX($G12,0),$X12))</f>
        <v/>
      </c>
      <c r="L12" s="40">
        <f>IF($U12="","",IF(MAX(SUMPRODUCT(MAX((입금_은행1!$AC$8:$AC$2007=$A12)*(입금_은행1!$AE$8:$AE$2007&lt;=설정!$B$5)*입금_은행1!$AE$8:$AE$2007)),SUMPRODUCT(MAX((입금_은행2!$AC$8:$AC$2007=$A12)*(입금_은행2!$AE$8:$AE$2007&lt;=설정!$B$5)*입금_은행2!$AE$8:$AE$2007)))=0,"",MAX(SUMPRODUCT(MAX((입금_은행1!$AC$8:$AC$2007=$A12)*(입금_은행1!$AE$8:$AE$2007&lt;=설정!$B$5)*입금_은행1!$AE$8:$AE$2007)),SUMPRODUCT(MAX((입금_은행2!$AC$8:$AC$2007=$A12)*(입금_은행2!$AE$8:$AE$2007&lt;=설정!$B$5)*입금_은행2!$AE$8:$AE$2007)))))</f>
        <v/>
      </c>
      <c r="M12" s="38">
        <f>IF($U12="","",IF($T12="","",IF(INDEX(거래처설정!$F$8:$F$407,$T12)="","",INDEX(거래처설정!$F$8:$F$407,$T12))))</f>
        <v/>
      </c>
      <c r="N12" s="38">
        <f>IF($U12="","",IF($T12="","",IF(INDEX(거래처설정!$G$8:$G$407,$T12)="","",INDEX(거래처설정!$G$8:$G$407,$T12))))</f>
        <v/>
      </c>
      <c r="O12" s="38">
        <f>IF($U12="","",IF($M12="제외",0,IF($K12&gt;=설정!$B$9,3,IF($J12+$K12&gt;=설정!$B$9,2,IF($I12+$J12+$K12&gt;=설정!$B$9,1,0)))))</f>
        <v/>
      </c>
      <c r="P12" s="38">
        <f>IF($U12="","",IF($M12="제외","제외(조치 상태)",IF($O12=3,"③ 강한 독촉 후보 ("&amp;설정!$B$8&amp;"일 초과)",IF($O12=2,"② 독촉 후보 ("&amp;설정!$B$7&amp;"일 초과)",IF($O12=1,"① 안내 후보 ("&amp;설정!$B$6&amp;"일 초과)",IF($G12&gt;0,IF($I12+$J12+$K12&gt;0,"오래된 잔액 있음 (최소 금액 미만)","정상 범위"),IF($G12&lt;0,"선수금·초과입금 — 확인","완납")))))))</f>
        <v/>
      </c>
      <c r="Q12" s="38">
        <f>IF($U12="","",IF($G12&lt;0,"입금이 매출보다 큼 — 선수금이거나 다른 거래처 입금이 섞였는지 확인",IF(AND($AE12&lt;&gt;"",COUNTIF($AE$8:$AE$307,"*"&amp;$AE12&amp;"*")&gt;1),"이름이 다른 거래처와 겹침 — 입금이 잘못 맞았을 수 있으니 별칭 확인",IF(AND($G12&gt;0,$F12=0),"입금 매칭 없음 — 입금자명이 다르면 [거래처설정]에 별칭 등록",""))))</f>
        <v/>
      </c>
      <c r="R12" s="31">
        <f>IF(OR($U12="",$G12&lt;=0),"",$G12-$A12/10000)</f>
        <v/>
      </c>
      <c r="S12" s="31">
        <f>IF(OR($U12="",$O12&lt;1),"",$O12*10^11+$I12+$J12+$K12-$A12/1000)</f>
        <v/>
      </c>
      <c r="T12" s="31">
        <f>IF($U12="","",IFERROR(MATCH(INDEX(매출원본!$AU$8:$AU$2007,$U12),거래처설정!$I$8:$I$407,0),""))</f>
        <v/>
      </c>
      <c r="U12" s="31">
        <f>IFERROR(MATCH(5,매출원본!$AW$8:$AW$2007,0),"")</f>
        <v/>
      </c>
      <c r="V12" s="31">
        <f>IF($U12="","",MAX(SUMIFS(매출원본!$AT$8:$AT$2007,매출원본!$AY$8:$AY$2007,$A12,매출원본!$AS$8:$AS$2007,"&gt;="&amp;(설정!$B$5-설정!$B$6),매출원본!$AS$8:$AS$2007,"&lt;="&amp;설정!$B$5),0))</f>
        <v/>
      </c>
      <c r="W12" s="31">
        <f>IF($U12="","",MAX($V12,SUMIFS(매출원본!$AT$8:$AT$2007,매출원본!$AY$8:$AY$2007,$A12,매출원본!$AS$8:$AS$2007,"&gt;="&amp;(설정!$B$5-설정!$B$7),매출원본!$AS$8:$AS$2007,"&lt;="&amp;설정!$B$5)))</f>
        <v/>
      </c>
      <c r="X12" s="31">
        <f>IF($U12="","",MAX($W12,SUMIFS(매출원본!$AT$8:$AT$2007,매출원본!$AY$8:$AY$2007,$A12,매출원본!$AS$8:$AS$2007,"&gt;="&amp;(설정!$B$5-설정!$B$8),매출원본!$AS$8:$AS$2007,"&lt;="&amp;설정!$B$5)))</f>
        <v/>
      </c>
      <c r="AC12" s="31">
        <f>IF(OR($U12="",$T12=""),"",INDEX(거래처설정!$J$8:$J$407,$T12))</f>
        <v/>
      </c>
      <c r="AD12" s="31">
        <f>IF(OR($U12="",$T12=""),"",INDEX(거래처설정!$K$8:$K$407,$T12))</f>
        <v/>
      </c>
      <c r="AE12" s="31">
        <f>IF($U12="","",IF(LEN(SUBSTITUTE(SUBSTITUTE(SUBSTITUTE(SUBSTITUTE(SUBSTITUTE(SUBSTITUTE(SUBSTITUTE(SUBSTITUTE(SUBSTITUTE($C12," ",""),"　",""),"(주)",""),"（주）",""),"㈜",""),"주식회사",""),"(유)",""),"（유）",""),"유한회사",""))&lt;2,"",SUBSTITUTE(SUBSTITUTE(SUBSTITUTE(SUBSTITUTE(SUBSTITUTE(SUBSTITUTE(SUBSTITUTE(SUBSTITUTE(SUBSTITUTE($C12," ",""),"　",""),"(주)",""),"（주）",""),"㈜",""),"주식회사",""),"(유)",""),"（유）",""),"유한회사","")))</f>
        <v/>
      </c>
    </row>
    <row r="13">
      <c r="A13" s="38">
        <f>IF($U13="","",6)</f>
        <v/>
      </c>
      <c r="B13" s="38">
        <f>IF($U13="","",IF(LEN(INDEX(매출원본!$AU$8:$AU$2007,$U13))=10,LEFT(INDEX(매출원본!$AU$8:$AU$2007,$U13),3)&amp;"-"&amp;MID(INDEX(매출원본!$AU$8:$AU$2007,$U13),4,2)&amp;"-"&amp;RIGHT(INDEX(매출원본!$AU$8:$AU$2007,$U13),5),IF(LEFT(INDEX(매출원본!$AU$8:$AU$2007,$U13),2)="N:","(번호 없음)",INDEX(매출원본!$AU$8:$AU$2007,$U13))))</f>
        <v/>
      </c>
      <c r="C13" s="38">
        <f>IF($U13="","",INDEX(매출원본!$AV$8:$AV$2007,$U13))</f>
        <v/>
      </c>
      <c r="D13" s="39">
        <f>IF($U13="","",IF($T13="",0,N(INDEX(거래처설정!$E$8:$E$407,$T13))))</f>
        <v/>
      </c>
      <c r="E13" s="39">
        <f>IF($U13="","",SUMIFS(매출원본!$AT$8:$AT$2007,매출원본!$AY$8:$AY$2007,$A13,매출원본!$AS$8:$AS$2007,"&lt;="&amp;설정!$B$5))</f>
        <v/>
      </c>
      <c r="F13" s="39">
        <f>IF($U13="","",SUMIFS(입금_은행1!$Z$8:$Z$2007,입금_은행1!$AC$8:$AC$2007,$A13,입금_은행1!$Y$8:$Y$2007,"&lt;="&amp;설정!$B$5)+SUMIFS(입금_은행2!$Z$8:$Z$2007,입금_은행2!$AC$8:$AC$2007,$A13,입금_은행2!$Y$8:$Y$2007,"&lt;="&amp;설정!$B$5))</f>
        <v/>
      </c>
      <c r="G13" s="39">
        <f>IF($U13="","",$D13+$E13-$F13)</f>
        <v/>
      </c>
      <c r="H13" s="39">
        <f>IF($U13="","",MIN(MAX($G13,0),$V13))</f>
        <v/>
      </c>
      <c r="I13" s="39">
        <f>IF($U13="","",MIN(MAX($G13,0),$W13)-MIN(MAX($G13,0),$V13))</f>
        <v/>
      </c>
      <c r="J13" s="39">
        <f>IF($U13="","",MIN(MAX($G13,0),$X13)-MIN(MAX($G13,0),$W13))</f>
        <v/>
      </c>
      <c r="K13" s="39">
        <f>IF($U13="","",MAX($G13,0)-MIN(MAX($G13,0),$X13))</f>
        <v/>
      </c>
      <c r="L13" s="40">
        <f>IF($U13="","",IF(MAX(SUMPRODUCT(MAX((입금_은행1!$AC$8:$AC$2007=$A13)*(입금_은행1!$AE$8:$AE$2007&lt;=설정!$B$5)*입금_은행1!$AE$8:$AE$2007)),SUMPRODUCT(MAX((입금_은행2!$AC$8:$AC$2007=$A13)*(입금_은행2!$AE$8:$AE$2007&lt;=설정!$B$5)*입금_은행2!$AE$8:$AE$2007)))=0,"",MAX(SUMPRODUCT(MAX((입금_은행1!$AC$8:$AC$2007=$A13)*(입금_은행1!$AE$8:$AE$2007&lt;=설정!$B$5)*입금_은행1!$AE$8:$AE$2007)),SUMPRODUCT(MAX((입금_은행2!$AC$8:$AC$2007=$A13)*(입금_은행2!$AE$8:$AE$2007&lt;=설정!$B$5)*입금_은행2!$AE$8:$AE$2007)))))</f>
        <v/>
      </c>
      <c r="M13" s="38">
        <f>IF($U13="","",IF($T13="","",IF(INDEX(거래처설정!$F$8:$F$407,$T13)="","",INDEX(거래처설정!$F$8:$F$407,$T13))))</f>
        <v/>
      </c>
      <c r="N13" s="38">
        <f>IF($U13="","",IF($T13="","",IF(INDEX(거래처설정!$G$8:$G$407,$T13)="","",INDEX(거래처설정!$G$8:$G$407,$T13))))</f>
        <v/>
      </c>
      <c r="O13" s="38">
        <f>IF($U13="","",IF($M13="제외",0,IF($K13&gt;=설정!$B$9,3,IF($J13+$K13&gt;=설정!$B$9,2,IF($I13+$J13+$K13&gt;=설정!$B$9,1,0)))))</f>
        <v/>
      </c>
      <c r="P13" s="38">
        <f>IF($U13="","",IF($M13="제외","제외(조치 상태)",IF($O13=3,"③ 강한 독촉 후보 ("&amp;설정!$B$8&amp;"일 초과)",IF($O13=2,"② 독촉 후보 ("&amp;설정!$B$7&amp;"일 초과)",IF($O13=1,"① 안내 후보 ("&amp;설정!$B$6&amp;"일 초과)",IF($G13&gt;0,IF($I13+$J13+$K13&gt;0,"오래된 잔액 있음 (최소 금액 미만)","정상 범위"),IF($G13&lt;0,"선수금·초과입금 — 확인","완납")))))))</f>
        <v/>
      </c>
      <c r="Q13" s="38">
        <f>IF($U13="","",IF($G13&lt;0,"입금이 매출보다 큼 — 선수금이거나 다른 거래처 입금이 섞였는지 확인",IF(AND($AE13&lt;&gt;"",COUNTIF($AE$8:$AE$307,"*"&amp;$AE13&amp;"*")&gt;1),"이름이 다른 거래처와 겹침 — 입금이 잘못 맞았을 수 있으니 별칭 확인",IF(AND($G13&gt;0,$F13=0),"입금 매칭 없음 — 입금자명이 다르면 [거래처설정]에 별칭 등록",""))))</f>
        <v/>
      </c>
      <c r="R13" s="31">
        <f>IF(OR($U13="",$G13&lt;=0),"",$G13-$A13/10000)</f>
        <v/>
      </c>
      <c r="S13" s="31">
        <f>IF(OR($U13="",$O13&lt;1),"",$O13*10^11+$I13+$J13+$K13-$A13/1000)</f>
        <v/>
      </c>
      <c r="T13" s="31">
        <f>IF($U13="","",IFERROR(MATCH(INDEX(매출원본!$AU$8:$AU$2007,$U13),거래처설정!$I$8:$I$407,0),""))</f>
        <v/>
      </c>
      <c r="U13" s="31">
        <f>IFERROR(MATCH(6,매출원본!$AW$8:$AW$2007,0),"")</f>
        <v/>
      </c>
      <c r="V13" s="31">
        <f>IF($U13="","",MAX(SUMIFS(매출원본!$AT$8:$AT$2007,매출원본!$AY$8:$AY$2007,$A13,매출원본!$AS$8:$AS$2007,"&gt;="&amp;(설정!$B$5-설정!$B$6),매출원본!$AS$8:$AS$2007,"&lt;="&amp;설정!$B$5),0))</f>
        <v/>
      </c>
      <c r="W13" s="31">
        <f>IF($U13="","",MAX($V13,SUMIFS(매출원본!$AT$8:$AT$2007,매출원본!$AY$8:$AY$2007,$A13,매출원본!$AS$8:$AS$2007,"&gt;="&amp;(설정!$B$5-설정!$B$7),매출원본!$AS$8:$AS$2007,"&lt;="&amp;설정!$B$5)))</f>
        <v/>
      </c>
      <c r="X13" s="31">
        <f>IF($U13="","",MAX($W13,SUMIFS(매출원본!$AT$8:$AT$2007,매출원본!$AY$8:$AY$2007,$A13,매출원본!$AS$8:$AS$2007,"&gt;="&amp;(설정!$B$5-설정!$B$8),매출원본!$AS$8:$AS$2007,"&lt;="&amp;설정!$B$5)))</f>
        <v/>
      </c>
      <c r="AC13" s="31">
        <f>IF(OR($U13="",$T13=""),"",INDEX(거래처설정!$J$8:$J$407,$T13))</f>
        <v/>
      </c>
      <c r="AD13" s="31">
        <f>IF(OR($U13="",$T13=""),"",INDEX(거래처설정!$K$8:$K$407,$T13))</f>
        <v/>
      </c>
      <c r="AE13" s="31">
        <f>IF($U13="","",IF(LEN(SUBSTITUTE(SUBSTITUTE(SUBSTITUTE(SUBSTITUTE(SUBSTITUTE(SUBSTITUTE(SUBSTITUTE(SUBSTITUTE(SUBSTITUTE($C13," ",""),"　",""),"(주)",""),"（주）",""),"㈜",""),"주식회사",""),"(유)",""),"（유）",""),"유한회사",""))&lt;2,"",SUBSTITUTE(SUBSTITUTE(SUBSTITUTE(SUBSTITUTE(SUBSTITUTE(SUBSTITUTE(SUBSTITUTE(SUBSTITUTE(SUBSTITUTE($C13," ",""),"　",""),"(주)",""),"（주）",""),"㈜",""),"주식회사",""),"(유)",""),"（유）",""),"유한회사","")))</f>
        <v/>
      </c>
    </row>
    <row r="14">
      <c r="A14" s="38">
        <f>IF($U14="","",7)</f>
        <v/>
      </c>
      <c r="B14" s="38">
        <f>IF($U14="","",IF(LEN(INDEX(매출원본!$AU$8:$AU$2007,$U14))=10,LEFT(INDEX(매출원본!$AU$8:$AU$2007,$U14),3)&amp;"-"&amp;MID(INDEX(매출원본!$AU$8:$AU$2007,$U14),4,2)&amp;"-"&amp;RIGHT(INDEX(매출원본!$AU$8:$AU$2007,$U14),5),IF(LEFT(INDEX(매출원본!$AU$8:$AU$2007,$U14),2)="N:","(번호 없음)",INDEX(매출원본!$AU$8:$AU$2007,$U14))))</f>
        <v/>
      </c>
      <c r="C14" s="38">
        <f>IF($U14="","",INDEX(매출원본!$AV$8:$AV$2007,$U14))</f>
        <v/>
      </c>
      <c r="D14" s="39">
        <f>IF($U14="","",IF($T14="",0,N(INDEX(거래처설정!$E$8:$E$407,$T14))))</f>
        <v/>
      </c>
      <c r="E14" s="39">
        <f>IF($U14="","",SUMIFS(매출원본!$AT$8:$AT$2007,매출원본!$AY$8:$AY$2007,$A14,매출원본!$AS$8:$AS$2007,"&lt;="&amp;설정!$B$5))</f>
        <v/>
      </c>
      <c r="F14" s="39">
        <f>IF($U14="","",SUMIFS(입금_은행1!$Z$8:$Z$2007,입금_은행1!$AC$8:$AC$2007,$A14,입금_은행1!$Y$8:$Y$2007,"&lt;="&amp;설정!$B$5)+SUMIFS(입금_은행2!$Z$8:$Z$2007,입금_은행2!$AC$8:$AC$2007,$A14,입금_은행2!$Y$8:$Y$2007,"&lt;="&amp;설정!$B$5))</f>
        <v/>
      </c>
      <c r="G14" s="39">
        <f>IF($U14="","",$D14+$E14-$F14)</f>
        <v/>
      </c>
      <c r="H14" s="39">
        <f>IF($U14="","",MIN(MAX($G14,0),$V14))</f>
        <v/>
      </c>
      <c r="I14" s="39">
        <f>IF($U14="","",MIN(MAX($G14,0),$W14)-MIN(MAX($G14,0),$V14))</f>
        <v/>
      </c>
      <c r="J14" s="39">
        <f>IF($U14="","",MIN(MAX($G14,0),$X14)-MIN(MAX($G14,0),$W14))</f>
        <v/>
      </c>
      <c r="K14" s="39">
        <f>IF($U14="","",MAX($G14,0)-MIN(MAX($G14,0),$X14))</f>
        <v/>
      </c>
      <c r="L14" s="40">
        <f>IF($U14="","",IF(MAX(SUMPRODUCT(MAX((입금_은행1!$AC$8:$AC$2007=$A14)*(입금_은행1!$AE$8:$AE$2007&lt;=설정!$B$5)*입금_은행1!$AE$8:$AE$2007)),SUMPRODUCT(MAX((입금_은행2!$AC$8:$AC$2007=$A14)*(입금_은행2!$AE$8:$AE$2007&lt;=설정!$B$5)*입금_은행2!$AE$8:$AE$2007)))=0,"",MAX(SUMPRODUCT(MAX((입금_은행1!$AC$8:$AC$2007=$A14)*(입금_은행1!$AE$8:$AE$2007&lt;=설정!$B$5)*입금_은행1!$AE$8:$AE$2007)),SUMPRODUCT(MAX((입금_은행2!$AC$8:$AC$2007=$A14)*(입금_은행2!$AE$8:$AE$2007&lt;=설정!$B$5)*입금_은행2!$AE$8:$AE$2007)))))</f>
        <v/>
      </c>
      <c r="M14" s="38">
        <f>IF($U14="","",IF($T14="","",IF(INDEX(거래처설정!$F$8:$F$407,$T14)="","",INDEX(거래처설정!$F$8:$F$407,$T14))))</f>
        <v/>
      </c>
      <c r="N14" s="38">
        <f>IF($U14="","",IF($T14="","",IF(INDEX(거래처설정!$G$8:$G$407,$T14)="","",INDEX(거래처설정!$G$8:$G$407,$T14))))</f>
        <v/>
      </c>
      <c r="O14" s="38">
        <f>IF($U14="","",IF($M14="제외",0,IF($K14&gt;=설정!$B$9,3,IF($J14+$K14&gt;=설정!$B$9,2,IF($I14+$J14+$K14&gt;=설정!$B$9,1,0)))))</f>
        <v/>
      </c>
      <c r="P14" s="38">
        <f>IF($U14="","",IF($M14="제외","제외(조치 상태)",IF($O14=3,"③ 강한 독촉 후보 ("&amp;설정!$B$8&amp;"일 초과)",IF($O14=2,"② 독촉 후보 ("&amp;설정!$B$7&amp;"일 초과)",IF($O14=1,"① 안내 후보 ("&amp;설정!$B$6&amp;"일 초과)",IF($G14&gt;0,IF($I14+$J14+$K14&gt;0,"오래된 잔액 있음 (최소 금액 미만)","정상 범위"),IF($G14&lt;0,"선수금·초과입금 — 확인","완납")))))))</f>
        <v/>
      </c>
      <c r="Q14" s="38">
        <f>IF($U14="","",IF($G14&lt;0,"입금이 매출보다 큼 — 선수금이거나 다른 거래처 입금이 섞였는지 확인",IF(AND($AE14&lt;&gt;"",COUNTIF($AE$8:$AE$307,"*"&amp;$AE14&amp;"*")&gt;1),"이름이 다른 거래처와 겹침 — 입금이 잘못 맞았을 수 있으니 별칭 확인",IF(AND($G14&gt;0,$F14=0),"입금 매칭 없음 — 입금자명이 다르면 [거래처설정]에 별칭 등록",""))))</f>
        <v/>
      </c>
      <c r="R14" s="31">
        <f>IF(OR($U14="",$G14&lt;=0),"",$G14-$A14/10000)</f>
        <v/>
      </c>
      <c r="S14" s="31">
        <f>IF(OR($U14="",$O14&lt;1),"",$O14*10^11+$I14+$J14+$K14-$A14/1000)</f>
        <v/>
      </c>
      <c r="T14" s="31">
        <f>IF($U14="","",IFERROR(MATCH(INDEX(매출원본!$AU$8:$AU$2007,$U14),거래처설정!$I$8:$I$407,0),""))</f>
        <v/>
      </c>
      <c r="U14" s="31">
        <f>IFERROR(MATCH(7,매출원본!$AW$8:$AW$2007,0),"")</f>
        <v/>
      </c>
      <c r="V14" s="31">
        <f>IF($U14="","",MAX(SUMIFS(매출원본!$AT$8:$AT$2007,매출원본!$AY$8:$AY$2007,$A14,매출원본!$AS$8:$AS$2007,"&gt;="&amp;(설정!$B$5-설정!$B$6),매출원본!$AS$8:$AS$2007,"&lt;="&amp;설정!$B$5),0))</f>
        <v/>
      </c>
      <c r="W14" s="31">
        <f>IF($U14="","",MAX($V14,SUMIFS(매출원본!$AT$8:$AT$2007,매출원본!$AY$8:$AY$2007,$A14,매출원본!$AS$8:$AS$2007,"&gt;="&amp;(설정!$B$5-설정!$B$7),매출원본!$AS$8:$AS$2007,"&lt;="&amp;설정!$B$5)))</f>
        <v/>
      </c>
      <c r="X14" s="31">
        <f>IF($U14="","",MAX($W14,SUMIFS(매출원본!$AT$8:$AT$2007,매출원본!$AY$8:$AY$2007,$A14,매출원본!$AS$8:$AS$2007,"&gt;="&amp;(설정!$B$5-설정!$B$8),매출원본!$AS$8:$AS$2007,"&lt;="&amp;설정!$B$5)))</f>
        <v/>
      </c>
      <c r="AC14" s="31">
        <f>IF(OR($U14="",$T14=""),"",INDEX(거래처설정!$J$8:$J$407,$T14))</f>
        <v/>
      </c>
      <c r="AD14" s="31">
        <f>IF(OR($U14="",$T14=""),"",INDEX(거래처설정!$K$8:$K$407,$T14))</f>
        <v/>
      </c>
      <c r="AE14" s="31">
        <f>IF($U14="","",IF(LEN(SUBSTITUTE(SUBSTITUTE(SUBSTITUTE(SUBSTITUTE(SUBSTITUTE(SUBSTITUTE(SUBSTITUTE(SUBSTITUTE(SUBSTITUTE($C14," ",""),"　",""),"(주)",""),"（주）",""),"㈜",""),"주식회사",""),"(유)",""),"（유）",""),"유한회사",""))&lt;2,"",SUBSTITUTE(SUBSTITUTE(SUBSTITUTE(SUBSTITUTE(SUBSTITUTE(SUBSTITUTE(SUBSTITUTE(SUBSTITUTE(SUBSTITUTE($C14," ",""),"　",""),"(주)",""),"（주）",""),"㈜",""),"주식회사",""),"(유)",""),"（유）",""),"유한회사","")))</f>
        <v/>
      </c>
    </row>
    <row r="15">
      <c r="A15" s="38">
        <f>IF($U15="","",8)</f>
        <v/>
      </c>
      <c r="B15" s="38">
        <f>IF($U15="","",IF(LEN(INDEX(매출원본!$AU$8:$AU$2007,$U15))=10,LEFT(INDEX(매출원본!$AU$8:$AU$2007,$U15),3)&amp;"-"&amp;MID(INDEX(매출원본!$AU$8:$AU$2007,$U15),4,2)&amp;"-"&amp;RIGHT(INDEX(매출원본!$AU$8:$AU$2007,$U15),5),IF(LEFT(INDEX(매출원본!$AU$8:$AU$2007,$U15),2)="N:","(번호 없음)",INDEX(매출원본!$AU$8:$AU$2007,$U15))))</f>
        <v/>
      </c>
      <c r="C15" s="38">
        <f>IF($U15="","",INDEX(매출원본!$AV$8:$AV$2007,$U15))</f>
        <v/>
      </c>
      <c r="D15" s="39">
        <f>IF($U15="","",IF($T15="",0,N(INDEX(거래처설정!$E$8:$E$407,$T15))))</f>
        <v/>
      </c>
      <c r="E15" s="39">
        <f>IF($U15="","",SUMIFS(매출원본!$AT$8:$AT$2007,매출원본!$AY$8:$AY$2007,$A15,매출원본!$AS$8:$AS$2007,"&lt;="&amp;설정!$B$5))</f>
        <v/>
      </c>
      <c r="F15" s="39">
        <f>IF($U15="","",SUMIFS(입금_은행1!$Z$8:$Z$2007,입금_은행1!$AC$8:$AC$2007,$A15,입금_은행1!$Y$8:$Y$2007,"&lt;="&amp;설정!$B$5)+SUMIFS(입금_은행2!$Z$8:$Z$2007,입금_은행2!$AC$8:$AC$2007,$A15,입금_은행2!$Y$8:$Y$2007,"&lt;="&amp;설정!$B$5))</f>
        <v/>
      </c>
      <c r="G15" s="39">
        <f>IF($U15="","",$D15+$E15-$F15)</f>
        <v/>
      </c>
      <c r="H15" s="39">
        <f>IF($U15="","",MIN(MAX($G15,0),$V15))</f>
        <v/>
      </c>
      <c r="I15" s="39">
        <f>IF($U15="","",MIN(MAX($G15,0),$W15)-MIN(MAX($G15,0),$V15))</f>
        <v/>
      </c>
      <c r="J15" s="39">
        <f>IF($U15="","",MIN(MAX($G15,0),$X15)-MIN(MAX($G15,0),$W15))</f>
        <v/>
      </c>
      <c r="K15" s="39">
        <f>IF($U15="","",MAX($G15,0)-MIN(MAX($G15,0),$X15))</f>
        <v/>
      </c>
      <c r="L15" s="40">
        <f>IF($U15="","",IF(MAX(SUMPRODUCT(MAX((입금_은행1!$AC$8:$AC$2007=$A15)*(입금_은행1!$AE$8:$AE$2007&lt;=설정!$B$5)*입금_은행1!$AE$8:$AE$2007)),SUMPRODUCT(MAX((입금_은행2!$AC$8:$AC$2007=$A15)*(입금_은행2!$AE$8:$AE$2007&lt;=설정!$B$5)*입금_은행2!$AE$8:$AE$2007)))=0,"",MAX(SUMPRODUCT(MAX((입금_은행1!$AC$8:$AC$2007=$A15)*(입금_은행1!$AE$8:$AE$2007&lt;=설정!$B$5)*입금_은행1!$AE$8:$AE$2007)),SUMPRODUCT(MAX((입금_은행2!$AC$8:$AC$2007=$A15)*(입금_은행2!$AE$8:$AE$2007&lt;=설정!$B$5)*입금_은행2!$AE$8:$AE$2007)))))</f>
        <v/>
      </c>
      <c r="M15" s="38">
        <f>IF($U15="","",IF($T15="","",IF(INDEX(거래처설정!$F$8:$F$407,$T15)="","",INDEX(거래처설정!$F$8:$F$407,$T15))))</f>
        <v/>
      </c>
      <c r="N15" s="38">
        <f>IF($U15="","",IF($T15="","",IF(INDEX(거래처설정!$G$8:$G$407,$T15)="","",INDEX(거래처설정!$G$8:$G$407,$T15))))</f>
        <v/>
      </c>
      <c r="O15" s="38">
        <f>IF($U15="","",IF($M15="제외",0,IF($K15&gt;=설정!$B$9,3,IF($J15+$K15&gt;=설정!$B$9,2,IF($I15+$J15+$K15&gt;=설정!$B$9,1,0)))))</f>
        <v/>
      </c>
      <c r="P15" s="38">
        <f>IF($U15="","",IF($M15="제외","제외(조치 상태)",IF($O15=3,"③ 강한 독촉 후보 ("&amp;설정!$B$8&amp;"일 초과)",IF($O15=2,"② 독촉 후보 ("&amp;설정!$B$7&amp;"일 초과)",IF($O15=1,"① 안내 후보 ("&amp;설정!$B$6&amp;"일 초과)",IF($G15&gt;0,IF($I15+$J15+$K15&gt;0,"오래된 잔액 있음 (최소 금액 미만)","정상 범위"),IF($G15&lt;0,"선수금·초과입금 — 확인","완납")))))))</f>
        <v/>
      </c>
      <c r="Q15" s="38">
        <f>IF($U15="","",IF($G15&lt;0,"입금이 매출보다 큼 — 선수금이거나 다른 거래처 입금이 섞였는지 확인",IF(AND($AE15&lt;&gt;"",COUNTIF($AE$8:$AE$307,"*"&amp;$AE15&amp;"*")&gt;1),"이름이 다른 거래처와 겹침 — 입금이 잘못 맞았을 수 있으니 별칭 확인",IF(AND($G15&gt;0,$F15=0),"입금 매칭 없음 — 입금자명이 다르면 [거래처설정]에 별칭 등록",""))))</f>
        <v/>
      </c>
      <c r="R15" s="31">
        <f>IF(OR($U15="",$G15&lt;=0),"",$G15-$A15/10000)</f>
        <v/>
      </c>
      <c r="S15" s="31">
        <f>IF(OR($U15="",$O15&lt;1),"",$O15*10^11+$I15+$J15+$K15-$A15/1000)</f>
        <v/>
      </c>
      <c r="T15" s="31">
        <f>IF($U15="","",IFERROR(MATCH(INDEX(매출원본!$AU$8:$AU$2007,$U15),거래처설정!$I$8:$I$407,0),""))</f>
        <v/>
      </c>
      <c r="U15" s="31">
        <f>IFERROR(MATCH(8,매출원본!$AW$8:$AW$2007,0),"")</f>
        <v/>
      </c>
      <c r="V15" s="31">
        <f>IF($U15="","",MAX(SUMIFS(매출원본!$AT$8:$AT$2007,매출원본!$AY$8:$AY$2007,$A15,매출원본!$AS$8:$AS$2007,"&gt;="&amp;(설정!$B$5-설정!$B$6),매출원본!$AS$8:$AS$2007,"&lt;="&amp;설정!$B$5),0))</f>
        <v/>
      </c>
      <c r="W15" s="31">
        <f>IF($U15="","",MAX($V15,SUMIFS(매출원본!$AT$8:$AT$2007,매출원본!$AY$8:$AY$2007,$A15,매출원본!$AS$8:$AS$2007,"&gt;="&amp;(설정!$B$5-설정!$B$7),매출원본!$AS$8:$AS$2007,"&lt;="&amp;설정!$B$5)))</f>
        <v/>
      </c>
      <c r="X15" s="31">
        <f>IF($U15="","",MAX($W15,SUMIFS(매출원본!$AT$8:$AT$2007,매출원본!$AY$8:$AY$2007,$A15,매출원본!$AS$8:$AS$2007,"&gt;="&amp;(설정!$B$5-설정!$B$8),매출원본!$AS$8:$AS$2007,"&lt;="&amp;설정!$B$5)))</f>
        <v/>
      </c>
      <c r="AC15" s="31">
        <f>IF(OR($U15="",$T15=""),"",INDEX(거래처설정!$J$8:$J$407,$T15))</f>
        <v/>
      </c>
      <c r="AD15" s="31">
        <f>IF(OR($U15="",$T15=""),"",INDEX(거래처설정!$K$8:$K$407,$T15))</f>
        <v/>
      </c>
      <c r="AE15" s="31">
        <f>IF($U15="","",IF(LEN(SUBSTITUTE(SUBSTITUTE(SUBSTITUTE(SUBSTITUTE(SUBSTITUTE(SUBSTITUTE(SUBSTITUTE(SUBSTITUTE(SUBSTITUTE($C15," ",""),"　",""),"(주)",""),"（주）",""),"㈜",""),"주식회사",""),"(유)",""),"（유）",""),"유한회사",""))&lt;2,"",SUBSTITUTE(SUBSTITUTE(SUBSTITUTE(SUBSTITUTE(SUBSTITUTE(SUBSTITUTE(SUBSTITUTE(SUBSTITUTE(SUBSTITUTE($C15," ",""),"　",""),"(주)",""),"（주）",""),"㈜",""),"주식회사",""),"(유)",""),"（유）",""),"유한회사","")))</f>
        <v/>
      </c>
    </row>
    <row r="16">
      <c r="A16" s="38">
        <f>IF($U16="","",9)</f>
        <v/>
      </c>
      <c r="B16" s="38">
        <f>IF($U16="","",IF(LEN(INDEX(매출원본!$AU$8:$AU$2007,$U16))=10,LEFT(INDEX(매출원본!$AU$8:$AU$2007,$U16),3)&amp;"-"&amp;MID(INDEX(매출원본!$AU$8:$AU$2007,$U16),4,2)&amp;"-"&amp;RIGHT(INDEX(매출원본!$AU$8:$AU$2007,$U16),5),IF(LEFT(INDEX(매출원본!$AU$8:$AU$2007,$U16),2)="N:","(번호 없음)",INDEX(매출원본!$AU$8:$AU$2007,$U16))))</f>
        <v/>
      </c>
      <c r="C16" s="38">
        <f>IF($U16="","",INDEX(매출원본!$AV$8:$AV$2007,$U16))</f>
        <v/>
      </c>
      <c r="D16" s="39">
        <f>IF($U16="","",IF($T16="",0,N(INDEX(거래처설정!$E$8:$E$407,$T16))))</f>
        <v/>
      </c>
      <c r="E16" s="39">
        <f>IF($U16="","",SUMIFS(매출원본!$AT$8:$AT$2007,매출원본!$AY$8:$AY$2007,$A16,매출원본!$AS$8:$AS$2007,"&lt;="&amp;설정!$B$5))</f>
        <v/>
      </c>
      <c r="F16" s="39">
        <f>IF($U16="","",SUMIFS(입금_은행1!$Z$8:$Z$2007,입금_은행1!$AC$8:$AC$2007,$A16,입금_은행1!$Y$8:$Y$2007,"&lt;="&amp;설정!$B$5)+SUMIFS(입금_은행2!$Z$8:$Z$2007,입금_은행2!$AC$8:$AC$2007,$A16,입금_은행2!$Y$8:$Y$2007,"&lt;="&amp;설정!$B$5))</f>
        <v/>
      </c>
      <c r="G16" s="39">
        <f>IF($U16="","",$D16+$E16-$F16)</f>
        <v/>
      </c>
      <c r="H16" s="39">
        <f>IF($U16="","",MIN(MAX($G16,0),$V16))</f>
        <v/>
      </c>
      <c r="I16" s="39">
        <f>IF($U16="","",MIN(MAX($G16,0),$W16)-MIN(MAX($G16,0),$V16))</f>
        <v/>
      </c>
      <c r="J16" s="39">
        <f>IF($U16="","",MIN(MAX($G16,0),$X16)-MIN(MAX($G16,0),$W16))</f>
        <v/>
      </c>
      <c r="K16" s="39">
        <f>IF($U16="","",MAX($G16,0)-MIN(MAX($G16,0),$X16))</f>
        <v/>
      </c>
      <c r="L16" s="40">
        <f>IF($U16="","",IF(MAX(SUMPRODUCT(MAX((입금_은행1!$AC$8:$AC$2007=$A16)*(입금_은행1!$AE$8:$AE$2007&lt;=설정!$B$5)*입금_은행1!$AE$8:$AE$2007)),SUMPRODUCT(MAX((입금_은행2!$AC$8:$AC$2007=$A16)*(입금_은행2!$AE$8:$AE$2007&lt;=설정!$B$5)*입금_은행2!$AE$8:$AE$2007)))=0,"",MAX(SUMPRODUCT(MAX((입금_은행1!$AC$8:$AC$2007=$A16)*(입금_은행1!$AE$8:$AE$2007&lt;=설정!$B$5)*입금_은행1!$AE$8:$AE$2007)),SUMPRODUCT(MAX((입금_은행2!$AC$8:$AC$2007=$A16)*(입금_은행2!$AE$8:$AE$2007&lt;=설정!$B$5)*입금_은행2!$AE$8:$AE$2007)))))</f>
        <v/>
      </c>
      <c r="M16" s="38">
        <f>IF($U16="","",IF($T16="","",IF(INDEX(거래처설정!$F$8:$F$407,$T16)="","",INDEX(거래처설정!$F$8:$F$407,$T16))))</f>
        <v/>
      </c>
      <c r="N16" s="38">
        <f>IF($U16="","",IF($T16="","",IF(INDEX(거래처설정!$G$8:$G$407,$T16)="","",INDEX(거래처설정!$G$8:$G$407,$T16))))</f>
        <v/>
      </c>
      <c r="O16" s="38">
        <f>IF($U16="","",IF($M16="제외",0,IF($K16&gt;=설정!$B$9,3,IF($J16+$K16&gt;=설정!$B$9,2,IF($I16+$J16+$K16&gt;=설정!$B$9,1,0)))))</f>
        <v/>
      </c>
      <c r="P16" s="38">
        <f>IF($U16="","",IF($M16="제외","제외(조치 상태)",IF($O16=3,"③ 강한 독촉 후보 ("&amp;설정!$B$8&amp;"일 초과)",IF($O16=2,"② 독촉 후보 ("&amp;설정!$B$7&amp;"일 초과)",IF($O16=1,"① 안내 후보 ("&amp;설정!$B$6&amp;"일 초과)",IF($G16&gt;0,IF($I16+$J16+$K16&gt;0,"오래된 잔액 있음 (최소 금액 미만)","정상 범위"),IF($G16&lt;0,"선수금·초과입금 — 확인","완납")))))))</f>
        <v/>
      </c>
      <c r="Q16" s="38">
        <f>IF($U16="","",IF($G16&lt;0,"입금이 매출보다 큼 — 선수금이거나 다른 거래처 입금이 섞였는지 확인",IF(AND($AE16&lt;&gt;"",COUNTIF($AE$8:$AE$307,"*"&amp;$AE16&amp;"*")&gt;1),"이름이 다른 거래처와 겹침 — 입금이 잘못 맞았을 수 있으니 별칭 확인",IF(AND($G16&gt;0,$F16=0),"입금 매칭 없음 — 입금자명이 다르면 [거래처설정]에 별칭 등록",""))))</f>
        <v/>
      </c>
      <c r="R16" s="31">
        <f>IF(OR($U16="",$G16&lt;=0),"",$G16-$A16/10000)</f>
        <v/>
      </c>
      <c r="S16" s="31">
        <f>IF(OR($U16="",$O16&lt;1),"",$O16*10^11+$I16+$J16+$K16-$A16/1000)</f>
        <v/>
      </c>
      <c r="T16" s="31">
        <f>IF($U16="","",IFERROR(MATCH(INDEX(매출원본!$AU$8:$AU$2007,$U16),거래처설정!$I$8:$I$407,0),""))</f>
        <v/>
      </c>
      <c r="U16" s="31">
        <f>IFERROR(MATCH(9,매출원본!$AW$8:$AW$2007,0),"")</f>
        <v/>
      </c>
      <c r="V16" s="31">
        <f>IF($U16="","",MAX(SUMIFS(매출원본!$AT$8:$AT$2007,매출원본!$AY$8:$AY$2007,$A16,매출원본!$AS$8:$AS$2007,"&gt;="&amp;(설정!$B$5-설정!$B$6),매출원본!$AS$8:$AS$2007,"&lt;="&amp;설정!$B$5),0))</f>
        <v/>
      </c>
      <c r="W16" s="31">
        <f>IF($U16="","",MAX($V16,SUMIFS(매출원본!$AT$8:$AT$2007,매출원본!$AY$8:$AY$2007,$A16,매출원본!$AS$8:$AS$2007,"&gt;="&amp;(설정!$B$5-설정!$B$7),매출원본!$AS$8:$AS$2007,"&lt;="&amp;설정!$B$5)))</f>
        <v/>
      </c>
      <c r="X16" s="31">
        <f>IF($U16="","",MAX($W16,SUMIFS(매출원본!$AT$8:$AT$2007,매출원본!$AY$8:$AY$2007,$A16,매출원본!$AS$8:$AS$2007,"&gt;="&amp;(설정!$B$5-설정!$B$8),매출원본!$AS$8:$AS$2007,"&lt;="&amp;설정!$B$5)))</f>
        <v/>
      </c>
      <c r="AC16" s="31">
        <f>IF(OR($U16="",$T16=""),"",INDEX(거래처설정!$J$8:$J$407,$T16))</f>
        <v/>
      </c>
      <c r="AD16" s="31">
        <f>IF(OR($U16="",$T16=""),"",INDEX(거래처설정!$K$8:$K$407,$T16))</f>
        <v/>
      </c>
      <c r="AE16" s="31">
        <f>IF($U16="","",IF(LEN(SUBSTITUTE(SUBSTITUTE(SUBSTITUTE(SUBSTITUTE(SUBSTITUTE(SUBSTITUTE(SUBSTITUTE(SUBSTITUTE(SUBSTITUTE($C16," ",""),"　",""),"(주)",""),"（주）",""),"㈜",""),"주식회사",""),"(유)",""),"（유）",""),"유한회사",""))&lt;2,"",SUBSTITUTE(SUBSTITUTE(SUBSTITUTE(SUBSTITUTE(SUBSTITUTE(SUBSTITUTE(SUBSTITUTE(SUBSTITUTE(SUBSTITUTE($C16," ",""),"　",""),"(주)",""),"（주）",""),"㈜",""),"주식회사",""),"(유)",""),"（유）",""),"유한회사","")))</f>
        <v/>
      </c>
    </row>
    <row r="17">
      <c r="A17" s="38">
        <f>IF($U17="","",10)</f>
        <v/>
      </c>
      <c r="B17" s="38">
        <f>IF($U17="","",IF(LEN(INDEX(매출원본!$AU$8:$AU$2007,$U17))=10,LEFT(INDEX(매출원본!$AU$8:$AU$2007,$U17),3)&amp;"-"&amp;MID(INDEX(매출원본!$AU$8:$AU$2007,$U17),4,2)&amp;"-"&amp;RIGHT(INDEX(매출원본!$AU$8:$AU$2007,$U17),5),IF(LEFT(INDEX(매출원본!$AU$8:$AU$2007,$U17),2)="N:","(번호 없음)",INDEX(매출원본!$AU$8:$AU$2007,$U17))))</f>
        <v/>
      </c>
      <c r="C17" s="38">
        <f>IF($U17="","",INDEX(매출원본!$AV$8:$AV$2007,$U17))</f>
        <v/>
      </c>
      <c r="D17" s="39">
        <f>IF($U17="","",IF($T17="",0,N(INDEX(거래처설정!$E$8:$E$407,$T17))))</f>
        <v/>
      </c>
      <c r="E17" s="39">
        <f>IF($U17="","",SUMIFS(매출원본!$AT$8:$AT$2007,매출원본!$AY$8:$AY$2007,$A17,매출원본!$AS$8:$AS$2007,"&lt;="&amp;설정!$B$5))</f>
        <v/>
      </c>
      <c r="F17" s="39">
        <f>IF($U17="","",SUMIFS(입금_은행1!$Z$8:$Z$2007,입금_은행1!$AC$8:$AC$2007,$A17,입금_은행1!$Y$8:$Y$2007,"&lt;="&amp;설정!$B$5)+SUMIFS(입금_은행2!$Z$8:$Z$2007,입금_은행2!$AC$8:$AC$2007,$A17,입금_은행2!$Y$8:$Y$2007,"&lt;="&amp;설정!$B$5))</f>
        <v/>
      </c>
      <c r="G17" s="39">
        <f>IF($U17="","",$D17+$E17-$F17)</f>
        <v/>
      </c>
      <c r="H17" s="39">
        <f>IF($U17="","",MIN(MAX($G17,0),$V17))</f>
        <v/>
      </c>
      <c r="I17" s="39">
        <f>IF($U17="","",MIN(MAX($G17,0),$W17)-MIN(MAX($G17,0),$V17))</f>
        <v/>
      </c>
      <c r="J17" s="39">
        <f>IF($U17="","",MIN(MAX($G17,0),$X17)-MIN(MAX($G17,0),$W17))</f>
        <v/>
      </c>
      <c r="K17" s="39">
        <f>IF($U17="","",MAX($G17,0)-MIN(MAX($G17,0),$X17))</f>
        <v/>
      </c>
      <c r="L17" s="40">
        <f>IF($U17="","",IF(MAX(SUMPRODUCT(MAX((입금_은행1!$AC$8:$AC$2007=$A17)*(입금_은행1!$AE$8:$AE$2007&lt;=설정!$B$5)*입금_은행1!$AE$8:$AE$2007)),SUMPRODUCT(MAX((입금_은행2!$AC$8:$AC$2007=$A17)*(입금_은행2!$AE$8:$AE$2007&lt;=설정!$B$5)*입금_은행2!$AE$8:$AE$2007)))=0,"",MAX(SUMPRODUCT(MAX((입금_은행1!$AC$8:$AC$2007=$A17)*(입금_은행1!$AE$8:$AE$2007&lt;=설정!$B$5)*입금_은행1!$AE$8:$AE$2007)),SUMPRODUCT(MAX((입금_은행2!$AC$8:$AC$2007=$A17)*(입금_은행2!$AE$8:$AE$2007&lt;=설정!$B$5)*입금_은행2!$AE$8:$AE$2007)))))</f>
        <v/>
      </c>
      <c r="M17" s="38">
        <f>IF($U17="","",IF($T17="","",IF(INDEX(거래처설정!$F$8:$F$407,$T17)="","",INDEX(거래처설정!$F$8:$F$407,$T17))))</f>
        <v/>
      </c>
      <c r="N17" s="38">
        <f>IF($U17="","",IF($T17="","",IF(INDEX(거래처설정!$G$8:$G$407,$T17)="","",INDEX(거래처설정!$G$8:$G$407,$T17))))</f>
        <v/>
      </c>
      <c r="O17" s="38">
        <f>IF($U17="","",IF($M17="제외",0,IF($K17&gt;=설정!$B$9,3,IF($J17+$K17&gt;=설정!$B$9,2,IF($I17+$J17+$K17&gt;=설정!$B$9,1,0)))))</f>
        <v/>
      </c>
      <c r="P17" s="38">
        <f>IF($U17="","",IF($M17="제외","제외(조치 상태)",IF($O17=3,"③ 강한 독촉 후보 ("&amp;설정!$B$8&amp;"일 초과)",IF($O17=2,"② 독촉 후보 ("&amp;설정!$B$7&amp;"일 초과)",IF($O17=1,"① 안내 후보 ("&amp;설정!$B$6&amp;"일 초과)",IF($G17&gt;0,IF($I17+$J17+$K17&gt;0,"오래된 잔액 있음 (최소 금액 미만)","정상 범위"),IF($G17&lt;0,"선수금·초과입금 — 확인","완납")))))))</f>
        <v/>
      </c>
      <c r="Q17" s="38">
        <f>IF($U17="","",IF($G17&lt;0,"입금이 매출보다 큼 — 선수금이거나 다른 거래처 입금이 섞였는지 확인",IF(AND($AE17&lt;&gt;"",COUNTIF($AE$8:$AE$307,"*"&amp;$AE17&amp;"*")&gt;1),"이름이 다른 거래처와 겹침 — 입금이 잘못 맞았을 수 있으니 별칭 확인",IF(AND($G17&gt;0,$F17=0),"입금 매칭 없음 — 입금자명이 다르면 [거래처설정]에 별칭 등록",""))))</f>
        <v/>
      </c>
      <c r="R17" s="31">
        <f>IF(OR($U17="",$G17&lt;=0),"",$G17-$A17/10000)</f>
        <v/>
      </c>
      <c r="S17" s="31">
        <f>IF(OR($U17="",$O17&lt;1),"",$O17*10^11+$I17+$J17+$K17-$A17/1000)</f>
        <v/>
      </c>
      <c r="T17" s="31">
        <f>IF($U17="","",IFERROR(MATCH(INDEX(매출원본!$AU$8:$AU$2007,$U17),거래처설정!$I$8:$I$407,0),""))</f>
        <v/>
      </c>
      <c r="U17" s="31">
        <f>IFERROR(MATCH(10,매출원본!$AW$8:$AW$2007,0),"")</f>
        <v/>
      </c>
      <c r="V17" s="31">
        <f>IF($U17="","",MAX(SUMIFS(매출원본!$AT$8:$AT$2007,매출원본!$AY$8:$AY$2007,$A17,매출원본!$AS$8:$AS$2007,"&gt;="&amp;(설정!$B$5-설정!$B$6),매출원본!$AS$8:$AS$2007,"&lt;="&amp;설정!$B$5),0))</f>
        <v/>
      </c>
      <c r="W17" s="31">
        <f>IF($U17="","",MAX($V17,SUMIFS(매출원본!$AT$8:$AT$2007,매출원본!$AY$8:$AY$2007,$A17,매출원본!$AS$8:$AS$2007,"&gt;="&amp;(설정!$B$5-설정!$B$7),매출원본!$AS$8:$AS$2007,"&lt;="&amp;설정!$B$5)))</f>
        <v/>
      </c>
      <c r="X17" s="31">
        <f>IF($U17="","",MAX($W17,SUMIFS(매출원본!$AT$8:$AT$2007,매출원본!$AY$8:$AY$2007,$A17,매출원본!$AS$8:$AS$2007,"&gt;="&amp;(설정!$B$5-설정!$B$8),매출원본!$AS$8:$AS$2007,"&lt;="&amp;설정!$B$5)))</f>
        <v/>
      </c>
      <c r="AC17" s="31">
        <f>IF(OR($U17="",$T17=""),"",INDEX(거래처설정!$J$8:$J$407,$T17))</f>
        <v/>
      </c>
      <c r="AD17" s="31">
        <f>IF(OR($U17="",$T17=""),"",INDEX(거래처설정!$K$8:$K$407,$T17))</f>
        <v/>
      </c>
      <c r="AE17" s="31">
        <f>IF($U17="","",IF(LEN(SUBSTITUTE(SUBSTITUTE(SUBSTITUTE(SUBSTITUTE(SUBSTITUTE(SUBSTITUTE(SUBSTITUTE(SUBSTITUTE(SUBSTITUTE($C17," ",""),"　",""),"(주)",""),"（주）",""),"㈜",""),"주식회사",""),"(유)",""),"（유）",""),"유한회사",""))&lt;2,"",SUBSTITUTE(SUBSTITUTE(SUBSTITUTE(SUBSTITUTE(SUBSTITUTE(SUBSTITUTE(SUBSTITUTE(SUBSTITUTE(SUBSTITUTE($C17," ",""),"　",""),"(주)",""),"（주）",""),"㈜",""),"주식회사",""),"(유)",""),"（유）",""),"유한회사","")))</f>
        <v/>
      </c>
    </row>
    <row r="18">
      <c r="A18" s="38">
        <f>IF($U18="","",11)</f>
        <v/>
      </c>
      <c r="B18" s="38">
        <f>IF($U18="","",IF(LEN(INDEX(매출원본!$AU$8:$AU$2007,$U18))=10,LEFT(INDEX(매출원본!$AU$8:$AU$2007,$U18),3)&amp;"-"&amp;MID(INDEX(매출원본!$AU$8:$AU$2007,$U18),4,2)&amp;"-"&amp;RIGHT(INDEX(매출원본!$AU$8:$AU$2007,$U18),5),IF(LEFT(INDEX(매출원본!$AU$8:$AU$2007,$U18),2)="N:","(번호 없음)",INDEX(매출원본!$AU$8:$AU$2007,$U18))))</f>
        <v/>
      </c>
      <c r="C18" s="38">
        <f>IF($U18="","",INDEX(매출원본!$AV$8:$AV$2007,$U18))</f>
        <v/>
      </c>
      <c r="D18" s="39">
        <f>IF($U18="","",IF($T18="",0,N(INDEX(거래처설정!$E$8:$E$407,$T18))))</f>
        <v/>
      </c>
      <c r="E18" s="39">
        <f>IF($U18="","",SUMIFS(매출원본!$AT$8:$AT$2007,매출원본!$AY$8:$AY$2007,$A18,매출원본!$AS$8:$AS$2007,"&lt;="&amp;설정!$B$5))</f>
        <v/>
      </c>
      <c r="F18" s="39">
        <f>IF($U18="","",SUMIFS(입금_은행1!$Z$8:$Z$2007,입금_은행1!$AC$8:$AC$2007,$A18,입금_은행1!$Y$8:$Y$2007,"&lt;="&amp;설정!$B$5)+SUMIFS(입금_은행2!$Z$8:$Z$2007,입금_은행2!$AC$8:$AC$2007,$A18,입금_은행2!$Y$8:$Y$2007,"&lt;="&amp;설정!$B$5))</f>
        <v/>
      </c>
      <c r="G18" s="39">
        <f>IF($U18="","",$D18+$E18-$F18)</f>
        <v/>
      </c>
      <c r="H18" s="39">
        <f>IF($U18="","",MIN(MAX($G18,0),$V18))</f>
        <v/>
      </c>
      <c r="I18" s="39">
        <f>IF($U18="","",MIN(MAX($G18,0),$W18)-MIN(MAX($G18,0),$V18))</f>
        <v/>
      </c>
      <c r="J18" s="39">
        <f>IF($U18="","",MIN(MAX($G18,0),$X18)-MIN(MAX($G18,0),$W18))</f>
        <v/>
      </c>
      <c r="K18" s="39">
        <f>IF($U18="","",MAX($G18,0)-MIN(MAX($G18,0),$X18))</f>
        <v/>
      </c>
      <c r="L18" s="40">
        <f>IF($U18="","",IF(MAX(SUMPRODUCT(MAX((입금_은행1!$AC$8:$AC$2007=$A18)*(입금_은행1!$AE$8:$AE$2007&lt;=설정!$B$5)*입금_은행1!$AE$8:$AE$2007)),SUMPRODUCT(MAX((입금_은행2!$AC$8:$AC$2007=$A18)*(입금_은행2!$AE$8:$AE$2007&lt;=설정!$B$5)*입금_은행2!$AE$8:$AE$2007)))=0,"",MAX(SUMPRODUCT(MAX((입금_은행1!$AC$8:$AC$2007=$A18)*(입금_은행1!$AE$8:$AE$2007&lt;=설정!$B$5)*입금_은행1!$AE$8:$AE$2007)),SUMPRODUCT(MAX((입금_은행2!$AC$8:$AC$2007=$A18)*(입금_은행2!$AE$8:$AE$2007&lt;=설정!$B$5)*입금_은행2!$AE$8:$AE$2007)))))</f>
        <v/>
      </c>
      <c r="M18" s="38">
        <f>IF($U18="","",IF($T18="","",IF(INDEX(거래처설정!$F$8:$F$407,$T18)="","",INDEX(거래처설정!$F$8:$F$407,$T18))))</f>
        <v/>
      </c>
      <c r="N18" s="38">
        <f>IF($U18="","",IF($T18="","",IF(INDEX(거래처설정!$G$8:$G$407,$T18)="","",INDEX(거래처설정!$G$8:$G$407,$T18))))</f>
        <v/>
      </c>
      <c r="O18" s="38">
        <f>IF($U18="","",IF($M18="제외",0,IF($K18&gt;=설정!$B$9,3,IF($J18+$K18&gt;=설정!$B$9,2,IF($I18+$J18+$K18&gt;=설정!$B$9,1,0)))))</f>
        <v/>
      </c>
      <c r="P18" s="38">
        <f>IF($U18="","",IF($M18="제외","제외(조치 상태)",IF($O18=3,"③ 강한 독촉 후보 ("&amp;설정!$B$8&amp;"일 초과)",IF($O18=2,"② 독촉 후보 ("&amp;설정!$B$7&amp;"일 초과)",IF($O18=1,"① 안내 후보 ("&amp;설정!$B$6&amp;"일 초과)",IF($G18&gt;0,IF($I18+$J18+$K18&gt;0,"오래된 잔액 있음 (최소 금액 미만)","정상 범위"),IF($G18&lt;0,"선수금·초과입금 — 확인","완납")))))))</f>
        <v/>
      </c>
      <c r="Q18" s="38">
        <f>IF($U18="","",IF($G18&lt;0,"입금이 매출보다 큼 — 선수금이거나 다른 거래처 입금이 섞였는지 확인",IF(AND($AE18&lt;&gt;"",COUNTIF($AE$8:$AE$307,"*"&amp;$AE18&amp;"*")&gt;1),"이름이 다른 거래처와 겹침 — 입금이 잘못 맞았을 수 있으니 별칭 확인",IF(AND($G18&gt;0,$F18=0),"입금 매칭 없음 — 입금자명이 다르면 [거래처설정]에 별칭 등록",""))))</f>
        <v/>
      </c>
      <c r="R18" s="31">
        <f>IF(OR($U18="",$G18&lt;=0),"",$G18-$A18/10000)</f>
        <v/>
      </c>
      <c r="S18" s="31">
        <f>IF(OR($U18="",$O18&lt;1),"",$O18*10^11+$I18+$J18+$K18-$A18/1000)</f>
        <v/>
      </c>
      <c r="T18" s="31">
        <f>IF($U18="","",IFERROR(MATCH(INDEX(매출원본!$AU$8:$AU$2007,$U18),거래처설정!$I$8:$I$407,0),""))</f>
        <v/>
      </c>
      <c r="U18" s="31">
        <f>IFERROR(MATCH(11,매출원본!$AW$8:$AW$2007,0),"")</f>
        <v/>
      </c>
      <c r="V18" s="31">
        <f>IF($U18="","",MAX(SUMIFS(매출원본!$AT$8:$AT$2007,매출원본!$AY$8:$AY$2007,$A18,매출원본!$AS$8:$AS$2007,"&gt;="&amp;(설정!$B$5-설정!$B$6),매출원본!$AS$8:$AS$2007,"&lt;="&amp;설정!$B$5),0))</f>
        <v/>
      </c>
      <c r="W18" s="31">
        <f>IF($U18="","",MAX($V18,SUMIFS(매출원본!$AT$8:$AT$2007,매출원본!$AY$8:$AY$2007,$A18,매출원본!$AS$8:$AS$2007,"&gt;="&amp;(설정!$B$5-설정!$B$7),매출원본!$AS$8:$AS$2007,"&lt;="&amp;설정!$B$5)))</f>
        <v/>
      </c>
      <c r="X18" s="31">
        <f>IF($U18="","",MAX($W18,SUMIFS(매출원본!$AT$8:$AT$2007,매출원본!$AY$8:$AY$2007,$A18,매출원본!$AS$8:$AS$2007,"&gt;="&amp;(설정!$B$5-설정!$B$8),매출원본!$AS$8:$AS$2007,"&lt;="&amp;설정!$B$5)))</f>
        <v/>
      </c>
      <c r="AC18" s="31">
        <f>IF(OR($U18="",$T18=""),"",INDEX(거래처설정!$J$8:$J$407,$T18))</f>
        <v/>
      </c>
      <c r="AD18" s="31">
        <f>IF(OR($U18="",$T18=""),"",INDEX(거래처설정!$K$8:$K$407,$T18))</f>
        <v/>
      </c>
      <c r="AE18" s="31">
        <f>IF($U18="","",IF(LEN(SUBSTITUTE(SUBSTITUTE(SUBSTITUTE(SUBSTITUTE(SUBSTITUTE(SUBSTITUTE(SUBSTITUTE(SUBSTITUTE(SUBSTITUTE($C18," ",""),"　",""),"(주)",""),"（주）",""),"㈜",""),"주식회사",""),"(유)",""),"（유）",""),"유한회사",""))&lt;2,"",SUBSTITUTE(SUBSTITUTE(SUBSTITUTE(SUBSTITUTE(SUBSTITUTE(SUBSTITUTE(SUBSTITUTE(SUBSTITUTE(SUBSTITUTE($C18," ",""),"　",""),"(주)",""),"（주）",""),"㈜",""),"주식회사",""),"(유)",""),"（유）",""),"유한회사","")))</f>
        <v/>
      </c>
    </row>
    <row r="19">
      <c r="A19" s="38">
        <f>IF($U19="","",12)</f>
        <v/>
      </c>
      <c r="B19" s="38">
        <f>IF($U19="","",IF(LEN(INDEX(매출원본!$AU$8:$AU$2007,$U19))=10,LEFT(INDEX(매출원본!$AU$8:$AU$2007,$U19),3)&amp;"-"&amp;MID(INDEX(매출원본!$AU$8:$AU$2007,$U19),4,2)&amp;"-"&amp;RIGHT(INDEX(매출원본!$AU$8:$AU$2007,$U19),5),IF(LEFT(INDEX(매출원본!$AU$8:$AU$2007,$U19),2)="N:","(번호 없음)",INDEX(매출원본!$AU$8:$AU$2007,$U19))))</f>
        <v/>
      </c>
      <c r="C19" s="38">
        <f>IF($U19="","",INDEX(매출원본!$AV$8:$AV$2007,$U19))</f>
        <v/>
      </c>
      <c r="D19" s="39">
        <f>IF($U19="","",IF($T19="",0,N(INDEX(거래처설정!$E$8:$E$407,$T19))))</f>
        <v/>
      </c>
      <c r="E19" s="39">
        <f>IF($U19="","",SUMIFS(매출원본!$AT$8:$AT$2007,매출원본!$AY$8:$AY$2007,$A19,매출원본!$AS$8:$AS$2007,"&lt;="&amp;설정!$B$5))</f>
        <v/>
      </c>
      <c r="F19" s="39">
        <f>IF($U19="","",SUMIFS(입금_은행1!$Z$8:$Z$2007,입금_은행1!$AC$8:$AC$2007,$A19,입금_은행1!$Y$8:$Y$2007,"&lt;="&amp;설정!$B$5)+SUMIFS(입금_은행2!$Z$8:$Z$2007,입금_은행2!$AC$8:$AC$2007,$A19,입금_은행2!$Y$8:$Y$2007,"&lt;="&amp;설정!$B$5))</f>
        <v/>
      </c>
      <c r="G19" s="39">
        <f>IF($U19="","",$D19+$E19-$F19)</f>
        <v/>
      </c>
      <c r="H19" s="39">
        <f>IF($U19="","",MIN(MAX($G19,0),$V19))</f>
        <v/>
      </c>
      <c r="I19" s="39">
        <f>IF($U19="","",MIN(MAX($G19,0),$W19)-MIN(MAX($G19,0),$V19))</f>
        <v/>
      </c>
      <c r="J19" s="39">
        <f>IF($U19="","",MIN(MAX($G19,0),$X19)-MIN(MAX($G19,0),$W19))</f>
        <v/>
      </c>
      <c r="K19" s="39">
        <f>IF($U19="","",MAX($G19,0)-MIN(MAX($G19,0),$X19))</f>
        <v/>
      </c>
      <c r="L19" s="40">
        <f>IF($U19="","",IF(MAX(SUMPRODUCT(MAX((입금_은행1!$AC$8:$AC$2007=$A19)*(입금_은행1!$AE$8:$AE$2007&lt;=설정!$B$5)*입금_은행1!$AE$8:$AE$2007)),SUMPRODUCT(MAX((입금_은행2!$AC$8:$AC$2007=$A19)*(입금_은행2!$AE$8:$AE$2007&lt;=설정!$B$5)*입금_은행2!$AE$8:$AE$2007)))=0,"",MAX(SUMPRODUCT(MAX((입금_은행1!$AC$8:$AC$2007=$A19)*(입금_은행1!$AE$8:$AE$2007&lt;=설정!$B$5)*입금_은행1!$AE$8:$AE$2007)),SUMPRODUCT(MAX((입금_은행2!$AC$8:$AC$2007=$A19)*(입금_은행2!$AE$8:$AE$2007&lt;=설정!$B$5)*입금_은행2!$AE$8:$AE$2007)))))</f>
        <v/>
      </c>
      <c r="M19" s="38">
        <f>IF($U19="","",IF($T19="","",IF(INDEX(거래처설정!$F$8:$F$407,$T19)="","",INDEX(거래처설정!$F$8:$F$407,$T19))))</f>
        <v/>
      </c>
      <c r="N19" s="38">
        <f>IF($U19="","",IF($T19="","",IF(INDEX(거래처설정!$G$8:$G$407,$T19)="","",INDEX(거래처설정!$G$8:$G$407,$T19))))</f>
        <v/>
      </c>
      <c r="O19" s="38">
        <f>IF($U19="","",IF($M19="제외",0,IF($K19&gt;=설정!$B$9,3,IF($J19+$K19&gt;=설정!$B$9,2,IF($I19+$J19+$K19&gt;=설정!$B$9,1,0)))))</f>
        <v/>
      </c>
      <c r="P19" s="38">
        <f>IF($U19="","",IF($M19="제외","제외(조치 상태)",IF($O19=3,"③ 강한 독촉 후보 ("&amp;설정!$B$8&amp;"일 초과)",IF($O19=2,"② 독촉 후보 ("&amp;설정!$B$7&amp;"일 초과)",IF($O19=1,"① 안내 후보 ("&amp;설정!$B$6&amp;"일 초과)",IF($G19&gt;0,IF($I19+$J19+$K19&gt;0,"오래된 잔액 있음 (최소 금액 미만)","정상 범위"),IF($G19&lt;0,"선수금·초과입금 — 확인","완납")))))))</f>
        <v/>
      </c>
      <c r="Q19" s="38">
        <f>IF($U19="","",IF($G19&lt;0,"입금이 매출보다 큼 — 선수금이거나 다른 거래처 입금이 섞였는지 확인",IF(AND($AE19&lt;&gt;"",COUNTIF($AE$8:$AE$307,"*"&amp;$AE19&amp;"*")&gt;1),"이름이 다른 거래처와 겹침 — 입금이 잘못 맞았을 수 있으니 별칭 확인",IF(AND($G19&gt;0,$F19=0),"입금 매칭 없음 — 입금자명이 다르면 [거래처설정]에 별칭 등록",""))))</f>
        <v/>
      </c>
      <c r="R19" s="31">
        <f>IF(OR($U19="",$G19&lt;=0),"",$G19-$A19/10000)</f>
        <v/>
      </c>
      <c r="S19" s="31">
        <f>IF(OR($U19="",$O19&lt;1),"",$O19*10^11+$I19+$J19+$K19-$A19/1000)</f>
        <v/>
      </c>
      <c r="T19" s="31">
        <f>IF($U19="","",IFERROR(MATCH(INDEX(매출원본!$AU$8:$AU$2007,$U19),거래처설정!$I$8:$I$407,0),""))</f>
        <v/>
      </c>
      <c r="U19" s="31">
        <f>IFERROR(MATCH(12,매출원본!$AW$8:$AW$2007,0),"")</f>
        <v/>
      </c>
      <c r="V19" s="31">
        <f>IF($U19="","",MAX(SUMIFS(매출원본!$AT$8:$AT$2007,매출원본!$AY$8:$AY$2007,$A19,매출원본!$AS$8:$AS$2007,"&gt;="&amp;(설정!$B$5-설정!$B$6),매출원본!$AS$8:$AS$2007,"&lt;="&amp;설정!$B$5),0))</f>
        <v/>
      </c>
      <c r="W19" s="31">
        <f>IF($U19="","",MAX($V19,SUMIFS(매출원본!$AT$8:$AT$2007,매출원본!$AY$8:$AY$2007,$A19,매출원본!$AS$8:$AS$2007,"&gt;="&amp;(설정!$B$5-설정!$B$7),매출원본!$AS$8:$AS$2007,"&lt;="&amp;설정!$B$5)))</f>
        <v/>
      </c>
      <c r="X19" s="31">
        <f>IF($U19="","",MAX($W19,SUMIFS(매출원본!$AT$8:$AT$2007,매출원본!$AY$8:$AY$2007,$A19,매출원본!$AS$8:$AS$2007,"&gt;="&amp;(설정!$B$5-설정!$B$8),매출원본!$AS$8:$AS$2007,"&lt;="&amp;설정!$B$5)))</f>
        <v/>
      </c>
      <c r="AC19" s="31">
        <f>IF(OR($U19="",$T19=""),"",INDEX(거래처설정!$J$8:$J$407,$T19))</f>
        <v/>
      </c>
      <c r="AD19" s="31">
        <f>IF(OR($U19="",$T19=""),"",INDEX(거래처설정!$K$8:$K$407,$T19))</f>
        <v/>
      </c>
      <c r="AE19" s="31">
        <f>IF($U19="","",IF(LEN(SUBSTITUTE(SUBSTITUTE(SUBSTITUTE(SUBSTITUTE(SUBSTITUTE(SUBSTITUTE(SUBSTITUTE(SUBSTITUTE(SUBSTITUTE($C19," ",""),"　",""),"(주)",""),"（주）",""),"㈜",""),"주식회사",""),"(유)",""),"（유）",""),"유한회사",""))&lt;2,"",SUBSTITUTE(SUBSTITUTE(SUBSTITUTE(SUBSTITUTE(SUBSTITUTE(SUBSTITUTE(SUBSTITUTE(SUBSTITUTE(SUBSTITUTE($C19," ",""),"　",""),"(주)",""),"（주）",""),"㈜",""),"주식회사",""),"(유)",""),"（유）",""),"유한회사","")))</f>
        <v/>
      </c>
    </row>
    <row r="20">
      <c r="A20" s="38">
        <f>IF($U20="","",13)</f>
        <v/>
      </c>
      <c r="B20" s="38">
        <f>IF($U20="","",IF(LEN(INDEX(매출원본!$AU$8:$AU$2007,$U20))=10,LEFT(INDEX(매출원본!$AU$8:$AU$2007,$U20),3)&amp;"-"&amp;MID(INDEX(매출원본!$AU$8:$AU$2007,$U20),4,2)&amp;"-"&amp;RIGHT(INDEX(매출원본!$AU$8:$AU$2007,$U20),5),IF(LEFT(INDEX(매출원본!$AU$8:$AU$2007,$U20),2)="N:","(번호 없음)",INDEX(매출원본!$AU$8:$AU$2007,$U20))))</f>
        <v/>
      </c>
      <c r="C20" s="38">
        <f>IF($U20="","",INDEX(매출원본!$AV$8:$AV$2007,$U20))</f>
        <v/>
      </c>
      <c r="D20" s="39">
        <f>IF($U20="","",IF($T20="",0,N(INDEX(거래처설정!$E$8:$E$407,$T20))))</f>
        <v/>
      </c>
      <c r="E20" s="39">
        <f>IF($U20="","",SUMIFS(매출원본!$AT$8:$AT$2007,매출원본!$AY$8:$AY$2007,$A20,매출원본!$AS$8:$AS$2007,"&lt;="&amp;설정!$B$5))</f>
        <v/>
      </c>
      <c r="F20" s="39">
        <f>IF($U20="","",SUMIFS(입금_은행1!$Z$8:$Z$2007,입금_은행1!$AC$8:$AC$2007,$A20,입금_은행1!$Y$8:$Y$2007,"&lt;="&amp;설정!$B$5)+SUMIFS(입금_은행2!$Z$8:$Z$2007,입금_은행2!$AC$8:$AC$2007,$A20,입금_은행2!$Y$8:$Y$2007,"&lt;="&amp;설정!$B$5))</f>
        <v/>
      </c>
      <c r="G20" s="39">
        <f>IF($U20="","",$D20+$E20-$F20)</f>
        <v/>
      </c>
      <c r="H20" s="39">
        <f>IF($U20="","",MIN(MAX($G20,0),$V20))</f>
        <v/>
      </c>
      <c r="I20" s="39">
        <f>IF($U20="","",MIN(MAX($G20,0),$W20)-MIN(MAX($G20,0),$V20))</f>
        <v/>
      </c>
      <c r="J20" s="39">
        <f>IF($U20="","",MIN(MAX($G20,0),$X20)-MIN(MAX($G20,0),$W20))</f>
        <v/>
      </c>
      <c r="K20" s="39">
        <f>IF($U20="","",MAX($G20,0)-MIN(MAX($G20,0),$X20))</f>
        <v/>
      </c>
      <c r="L20" s="40">
        <f>IF($U20="","",IF(MAX(SUMPRODUCT(MAX((입금_은행1!$AC$8:$AC$2007=$A20)*(입금_은행1!$AE$8:$AE$2007&lt;=설정!$B$5)*입금_은행1!$AE$8:$AE$2007)),SUMPRODUCT(MAX((입금_은행2!$AC$8:$AC$2007=$A20)*(입금_은행2!$AE$8:$AE$2007&lt;=설정!$B$5)*입금_은행2!$AE$8:$AE$2007)))=0,"",MAX(SUMPRODUCT(MAX((입금_은행1!$AC$8:$AC$2007=$A20)*(입금_은행1!$AE$8:$AE$2007&lt;=설정!$B$5)*입금_은행1!$AE$8:$AE$2007)),SUMPRODUCT(MAX((입금_은행2!$AC$8:$AC$2007=$A20)*(입금_은행2!$AE$8:$AE$2007&lt;=설정!$B$5)*입금_은행2!$AE$8:$AE$2007)))))</f>
        <v/>
      </c>
      <c r="M20" s="38">
        <f>IF($U20="","",IF($T20="","",IF(INDEX(거래처설정!$F$8:$F$407,$T20)="","",INDEX(거래처설정!$F$8:$F$407,$T20))))</f>
        <v/>
      </c>
      <c r="N20" s="38">
        <f>IF($U20="","",IF($T20="","",IF(INDEX(거래처설정!$G$8:$G$407,$T20)="","",INDEX(거래처설정!$G$8:$G$407,$T20))))</f>
        <v/>
      </c>
      <c r="O20" s="38">
        <f>IF($U20="","",IF($M20="제외",0,IF($K20&gt;=설정!$B$9,3,IF($J20+$K20&gt;=설정!$B$9,2,IF($I20+$J20+$K20&gt;=설정!$B$9,1,0)))))</f>
        <v/>
      </c>
      <c r="P20" s="38">
        <f>IF($U20="","",IF($M20="제외","제외(조치 상태)",IF($O20=3,"③ 강한 독촉 후보 ("&amp;설정!$B$8&amp;"일 초과)",IF($O20=2,"② 독촉 후보 ("&amp;설정!$B$7&amp;"일 초과)",IF($O20=1,"① 안내 후보 ("&amp;설정!$B$6&amp;"일 초과)",IF($G20&gt;0,IF($I20+$J20+$K20&gt;0,"오래된 잔액 있음 (최소 금액 미만)","정상 범위"),IF($G20&lt;0,"선수금·초과입금 — 확인","완납")))))))</f>
        <v/>
      </c>
      <c r="Q20" s="38">
        <f>IF($U20="","",IF($G20&lt;0,"입금이 매출보다 큼 — 선수금이거나 다른 거래처 입금이 섞였는지 확인",IF(AND($AE20&lt;&gt;"",COUNTIF($AE$8:$AE$307,"*"&amp;$AE20&amp;"*")&gt;1),"이름이 다른 거래처와 겹침 — 입금이 잘못 맞았을 수 있으니 별칭 확인",IF(AND($G20&gt;0,$F20=0),"입금 매칭 없음 — 입금자명이 다르면 [거래처설정]에 별칭 등록",""))))</f>
        <v/>
      </c>
      <c r="R20" s="31">
        <f>IF(OR($U20="",$G20&lt;=0),"",$G20-$A20/10000)</f>
        <v/>
      </c>
      <c r="S20" s="31">
        <f>IF(OR($U20="",$O20&lt;1),"",$O20*10^11+$I20+$J20+$K20-$A20/1000)</f>
        <v/>
      </c>
      <c r="T20" s="31">
        <f>IF($U20="","",IFERROR(MATCH(INDEX(매출원본!$AU$8:$AU$2007,$U20),거래처설정!$I$8:$I$407,0),""))</f>
        <v/>
      </c>
      <c r="U20" s="31">
        <f>IFERROR(MATCH(13,매출원본!$AW$8:$AW$2007,0),"")</f>
        <v/>
      </c>
      <c r="V20" s="31">
        <f>IF($U20="","",MAX(SUMIFS(매출원본!$AT$8:$AT$2007,매출원본!$AY$8:$AY$2007,$A20,매출원본!$AS$8:$AS$2007,"&gt;="&amp;(설정!$B$5-설정!$B$6),매출원본!$AS$8:$AS$2007,"&lt;="&amp;설정!$B$5),0))</f>
        <v/>
      </c>
      <c r="W20" s="31">
        <f>IF($U20="","",MAX($V20,SUMIFS(매출원본!$AT$8:$AT$2007,매출원본!$AY$8:$AY$2007,$A20,매출원본!$AS$8:$AS$2007,"&gt;="&amp;(설정!$B$5-설정!$B$7),매출원본!$AS$8:$AS$2007,"&lt;="&amp;설정!$B$5)))</f>
        <v/>
      </c>
      <c r="X20" s="31">
        <f>IF($U20="","",MAX($W20,SUMIFS(매출원본!$AT$8:$AT$2007,매출원본!$AY$8:$AY$2007,$A20,매출원본!$AS$8:$AS$2007,"&gt;="&amp;(설정!$B$5-설정!$B$8),매출원본!$AS$8:$AS$2007,"&lt;="&amp;설정!$B$5)))</f>
        <v/>
      </c>
      <c r="AC20" s="31">
        <f>IF(OR($U20="",$T20=""),"",INDEX(거래처설정!$J$8:$J$407,$T20))</f>
        <v/>
      </c>
      <c r="AD20" s="31">
        <f>IF(OR($U20="",$T20=""),"",INDEX(거래처설정!$K$8:$K$407,$T20))</f>
        <v/>
      </c>
      <c r="AE20" s="31">
        <f>IF($U20="","",IF(LEN(SUBSTITUTE(SUBSTITUTE(SUBSTITUTE(SUBSTITUTE(SUBSTITUTE(SUBSTITUTE(SUBSTITUTE(SUBSTITUTE(SUBSTITUTE($C20," ",""),"　",""),"(주)",""),"（주）",""),"㈜",""),"주식회사",""),"(유)",""),"（유）",""),"유한회사",""))&lt;2,"",SUBSTITUTE(SUBSTITUTE(SUBSTITUTE(SUBSTITUTE(SUBSTITUTE(SUBSTITUTE(SUBSTITUTE(SUBSTITUTE(SUBSTITUTE($C20," ",""),"　",""),"(주)",""),"（주）",""),"㈜",""),"주식회사",""),"(유)",""),"（유）",""),"유한회사","")))</f>
        <v/>
      </c>
    </row>
    <row r="21">
      <c r="A21" s="38">
        <f>IF($U21="","",14)</f>
        <v/>
      </c>
      <c r="B21" s="38">
        <f>IF($U21="","",IF(LEN(INDEX(매출원본!$AU$8:$AU$2007,$U21))=10,LEFT(INDEX(매출원본!$AU$8:$AU$2007,$U21),3)&amp;"-"&amp;MID(INDEX(매출원본!$AU$8:$AU$2007,$U21),4,2)&amp;"-"&amp;RIGHT(INDEX(매출원본!$AU$8:$AU$2007,$U21),5),IF(LEFT(INDEX(매출원본!$AU$8:$AU$2007,$U21),2)="N:","(번호 없음)",INDEX(매출원본!$AU$8:$AU$2007,$U21))))</f>
        <v/>
      </c>
      <c r="C21" s="38">
        <f>IF($U21="","",INDEX(매출원본!$AV$8:$AV$2007,$U21))</f>
        <v/>
      </c>
      <c r="D21" s="39">
        <f>IF($U21="","",IF($T21="",0,N(INDEX(거래처설정!$E$8:$E$407,$T21))))</f>
        <v/>
      </c>
      <c r="E21" s="39">
        <f>IF($U21="","",SUMIFS(매출원본!$AT$8:$AT$2007,매출원본!$AY$8:$AY$2007,$A21,매출원본!$AS$8:$AS$2007,"&lt;="&amp;설정!$B$5))</f>
        <v/>
      </c>
      <c r="F21" s="39">
        <f>IF($U21="","",SUMIFS(입금_은행1!$Z$8:$Z$2007,입금_은행1!$AC$8:$AC$2007,$A21,입금_은행1!$Y$8:$Y$2007,"&lt;="&amp;설정!$B$5)+SUMIFS(입금_은행2!$Z$8:$Z$2007,입금_은행2!$AC$8:$AC$2007,$A21,입금_은행2!$Y$8:$Y$2007,"&lt;="&amp;설정!$B$5))</f>
        <v/>
      </c>
      <c r="G21" s="39">
        <f>IF($U21="","",$D21+$E21-$F21)</f>
        <v/>
      </c>
      <c r="H21" s="39">
        <f>IF($U21="","",MIN(MAX($G21,0),$V21))</f>
        <v/>
      </c>
      <c r="I21" s="39">
        <f>IF($U21="","",MIN(MAX($G21,0),$W21)-MIN(MAX($G21,0),$V21))</f>
        <v/>
      </c>
      <c r="J21" s="39">
        <f>IF($U21="","",MIN(MAX($G21,0),$X21)-MIN(MAX($G21,0),$W21))</f>
        <v/>
      </c>
      <c r="K21" s="39">
        <f>IF($U21="","",MAX($G21,0)-MIN(MAX($G21,0),$X21))</f>
        <v/>
      </c>
      <c r="L21" s="40">
        <f>IF($U21="","",IF(MAX(SUMPRODUCT(MAX((입금_은행1!$AC$8:$AC$2007=$A21)*(입금_은행1!$AE$8:$AE$2007&lt;=설정!$B$5)*입금_은행1!$AE$8:$AE$2007)),SUMPRODUCT(MAX((입금_은행2!$AC$8:$AC$2007=$A21)*(입금_은행2!$AE$8:$AE$2007&lt;=설정!$B$5)*입금_은행2!$AE$8:$AE$2007)))=0,"",MAX(SUMPRODUCT(MAX((입금_은행1!$AC$8:$AC$2007=$A21)*(입금_은행1!$AE$8:$AE$2007&lt;=설정!$B$5)*입금_은행1!$AE$8:$AE$2007)),SUMPRODUCT(MAX((입금_은행2!$AC$8:$AC$2007=$A21)*(입금_은행2!$AE$8:$AE$2007&lt;=설정!$B$5)*입금_은행2!$AE$8:$AE$2007)))))</f>
        <v/>
      </c>
      <c r="M21" s="38">
        <f>IF($U21="","",IF($T21="","",IF(INDEX(거래처설정!$F$8:$F$407,$T21)="","",INDEX(거래처설정!$F$8:$F$407,$T21))))</f>
        <v/>
      </c>
      <c r="N21" s="38">
        <f>IF($U21="","",IF($T21="","",IF(INDEX(거래처설정!$G$8:$G$407,$T21)="","",INDEX(거래처설정!$G$8:$G$407,$T21))))</f>
        <v/>
      </c>
      <c r="O21" s="38">
        <f>IF($U21="","",IF($M21="제외",0,IF($K21&gt;=설정!$B$9,3,IF($J21+$K21&gt;=설정!$B$9,2,IF($I21+$J21+$K21&gt;=설정!$B$9,1,0)))))</f>
        <v/>
      </c>
      <c r="P21" s="38">
        <f>IF($U21="","",IF($M21="제외","제외(조치 상태)",IF($O21=3,"③ 강한 독촉 후보 ("&amp;설정!$B$8&amp;"일 초과)",IF($O21=2,"② 독촉 후보 ("&amp;설정!$B$7&amp;"일 초과)",IF($O21=1,"① 안내 후보 ("&amp;설정!$B$6&amp;"일 초과)",IF($G21&gt;0,IF($I21+$J21+$K21&gt;0,"오래된 잔액 있음 (최소 금액 미만)","정상 범위"),IF($G21&lt;0,"선수금·초과입금 — 확인","완납")))))))</f>
        <v/>
      </c>
      <c r="Q21" s="38">
        <f>IF($U21="","",IF($G21&lt;0,"입금이 매출보다 큼 — 선수금이거나 다른 거래처 입금이 섞였는지 확인",IF(AND($AE21&lt;&gt;"",COUNTIF($AE$8:$AE$307,"*"&amp;$AE21&amp;"*")&gt;1),"이름이 다른 거래처와 겹침 — 입금이 잘못 맞았을 수 있으니 별칭 확인",IF(AND($G21&gt;0,$F21=0),"입금 매칭 없음 — 입금자명이 다르면 [거래처설정]에 별칭 등록",""))))</f>
        <v/>
      </c>
      <c r="R21" s="31">
        <f>IF(OR($U21="",$G21&lt;=0),"",$G21-$A21/10000)</f>
        <v/>
      </c>
      <c r="S21" s="31">
        <f>IF(OR($U21="",$O21&lt;1),"",$O21*10^11+$I21+$J21+$K21-$A21/1000)</f>
        <v/>
      </c>
      <c r="T21" s="31">
        <f>IF($U21="","",IFERROR(MATCH(INDEX(매출원본!$AU$8:$AU$2007,$U21),거래처설정!$I$8:$I$407,0),""))</f>
        <v/>
      </c>
      <c r="U21" s="31">
        <f>IFERROR(MATCH(14,매출원본!$AW$8:$AW$2007,0),"")</f>
        <v/>
      </c>
      <c r="V21" s="31">
        <f>IF($U21="","",MAX(SUMIFS(매출원본!$AT$8:$AT$2007,매출원본!$AY$8:$AY$2007,$A21,매출원본!$AS$8:$AS$2007,"&gt;="&amp;(설정!$B$5-설정!$B$6),매출원본!$AS$8:$AS$2007,"&lt;="&amp;설정!$B$5),0))</f>
        <v/>
      </c>
      <c r="W21" s="31">
        <f>IF($U21="","",MAX($V21,SUMIFS(매출원본!$AT$8:$AT$2007,매출원본!$AY$8:$AY$2007,$A21,매출원본!$AS$8:$AS$2007,"&gt;="&amp;(설정!$B$5-설정!$B$7),매출원본!$AS$8:$AS$2007,"&lt;="&amp;설정!$B$5)))</f>
        <v/>
      </c>
      <c r="X21" s="31">
        <f>IF($U21="","",MAX($W21,SUMIFS(매출원본!$AT$8:$AT$2007,매출원본!$AY$8:$AY$2007,$A21,매출원본!$AS$8:$AS$2007,"&gt;="&amp;(설정!$B$5-설정!$B$8),매출원본!$AS$8:$AS$2007,"&lt;="&amp;설정!$B$5)))</f>
        <v/>
      </c>
      <c r="AC21" s="31">
        <f>IF(OR($U21="",$T21=""),"",INDEX(거래처설정!$J$8:$J$407,$T21))</f>
        <v/>
      </c>
      <c r="AD21" s="31">
        <f>IF(OR($U21="",$T21=""),"",INDEX(거래처설정!$K$8:$K$407,$T21))</f>
        <v/>
      </c>
      <c r="AE21" s="31">
        <f>IF($U21="","",IF(LEN(SUBSTITUTE(SUBSTITUTE(SUBSTITUTE(SUBSTITUTE(SUBSTITUTE(SUBSTITUTE(SUBSTITUTE(SUBSTITUTE(SUBSTITUTE($C21," ",""),"　",""),"(주)",""),"（주）",""),"㈜",""),"주식회사",""),"(유)",""),"（유）",""),"유한회사",""))&lt;2,"",SUBSTITUTE(SUBSTITUTE(SUBSTITUTE(SUBSTITUTE(SUBSTITUTE(SUBSTITUTE(SUBSTITUTE(SUBSTITUTE(SUBSTITUTE($C21," ",""),"　",""),"(주)",""),"（주）",""),"㈜",""),"주식회사",""),"(유)",""),"（유）",""),"유한회사","")))</f>
        <v/>
      </c>
    </row>
    <row r="22">
      <c r="A22" s="38">
        <f>IF($U22="","",15)</f>
        <v/>
      </c>
      <c r="B22" s="38">
        <f>IF($U22="","",IF(LEN(INDEX(매출원본!$AU$8:$AU$2007,$U22))=10,LEFT(INDEX(매출원본!$AU$8:$AU$2007,$U22),3)&amp;"-"&amp;MID(INDEX(매출원본!$AU$8:$AU$2007,$U22),4,2)&amp;"-"&amp;RIGHT(INDEX(매출원본!$AU$8:$AU$2007,$U22),5),IF(LEFT(INDEX(매출원본!$AU$8:$AU$2007,$U22),2)="N:","(번호 없음)",INDEX(매출원본!$AU$8:$AU$2007,$U22))))</f>
        <v/>
      </c>
      <c r="C22" s="38">
        <f>IF($U22="","",INDEX(매출원본!$AV$8:$AV$2007,$U22))</f>
        <v/>
      </c>
      <c r="D22" s="39">
        <f>IF($U22="","",IF($T22="",0,N(INDEX(거래처설정!$E$8:$E$407,$T22))))</f>
        <v/>
      </c>
      <c r="E22" s="39">
        <f>IF($U22="","",SUMIFS(매출원본!$AT$8:$AT$2007,매출원본!$AY$8:$AY$2007,$A22,매출원본!$AS$8:$AS$2007,"&lt;="&amp;설정!$B$5))</f>
        <v/>
      </c>
      <c r="F22" s="39">
        <f>IF($U22="","",SUMIFS(입금_은행1!$Z$8:$Z$2007,입금_은행1!$AC$8:$AC$2007,$A22,입금_은행1!$Y$8:$Y$2007,"&lt;="&amp;설정!$B$5)+SUMIFS(입금_은행2!$Z$8:$Z$2007,입금_은행2!$AC$8:$AC$2007,$A22,입금_은행2!$Y$8:$Y$2007,"&lt;="&amp;설정!$B$5))</f>
        <v/>
      </c>
      <c r="G22" s="39">
        <f>IF($U22="","",$D22+$E22-$F22)</f>
        <v/>
      </c>
      <c r="H22" s="39">
        <f>IF($U22="","",MIN(MAX($G22,0),$V22))</f>
        <v/>
      </c>
      <c r="I22" s="39">
        <f>IF($U22="","",MIN(MAX($G22,0),$W22)-MIN(MAX($G22,0),$V22))</f>
        <v/>
      </c>
      <c r="J22" s="39">
        <f>IF($U22="","",MIN(MAX($G22,0),$X22)-MIN(MAX($G22,0),$W22))</f>
        <v/>
      </c>
      <c r="K22" s="39">
        <f>IF($U22="","",MAX($G22,0)-MIN(MAX($G22,0),$X22))</f>
        <v/>
      </c>
      <c r="L22" s="40">
        <f>IF($U22="","",IF(MAX(SUMPRODUCT(MAX((입금_은행1!$AC$8:$AC$2007=$A22)*(입금_은행1!$AE$8:$AE$2007&lt;=설정!$B$5)*입금_은행1!$AE$8:$AE$2007)),SUMPRODUCT(MAX((입금_은행2!$AC$8:$AC$2007=$A22)*(입금_은행2!$AE$8:$AE$2007&lt;=설정!$B$5)*입금_은행2!$AE$8:$AE$2007)))=0,"",MAX(SUMPRODUCT(MAX((입금_은행1!$AC$8:$AC$2007=$A22)*(입금_은행1!$AE$8:$AE$2007&lt;=설정!$B$5)*입금_은행1!$AE$8:$AE$2007)),SUMPRODUCT(MAX((입금_은행2!$AC$8:$AC$2007=$A22)*(입금_은행2!$AE$8:$AE$2007&lt;=설정!$B$5)*입금_은행2!$AE$8:$AE$2007)))))</f>
        <v/>
      </c>
      <c r="M22" s="38">
        <f>IF($U22="","",IF($T22="","",IF(INDEX(거래처설정!$F$8:$F$407,$T22)="","",INDEX(거래처설정!$F$8:$F$407,$T22))))</f>
        <v/>
      </c>
      <c r="N22" s="38">
        <f>IF($U22="","",IF($T22="","",IF(INDEX(거래처설정!$G$8:$G$407,$T22)="","",INDEX(거래처설정!$G$8:$G$407,$T22))))</f>
        <v/>
      </c>
      <c r="O22" s="38">
        <f>IF($U22="","",IF($M22="제외",0,IF($K22&gt;=설정!$B$9,3,IF($J22+$K22&gt;=설정!$B$9,2,IF($I22+$J22+$K22&gt;=설정!$B$9,1,0)))))</f>
        <v/>
      </c>
      <c r="P22" s="38">
        <f>IF($U22="","",IF($M22="제외","제외(조치 상태)",IF($O22=3,"③ 강한 독촉 후보 ("&amp;설정!$B$8&amp;"일 초과)",IF($O22=2,"② 독촉 후보 ("&amp;설정!$B$7&amp;"일 초과)",IF($O22=1,"① 안내 후보 ("&amp;설정!$B$6&amp;"일 초과)",IF($G22&gt;0,IF($I22+$J22+$K22&gt;0,"오래된 잔액 있음 (최소 금액 미만)","정상 범위"),IF($G22&lt;0,"선수금·초과입금 — 확인","완납")))))))</f>
        <v/>
      </c>
      <c r="Q22" s="38">
        <f>IF($U22="","",IF($G22&lt;0,"입금이 매출보다 큼 — 선수금이거나 다른 거래처 입금이 섞였는지 확인",IF(AND($AE22&lt;&gt;"",COUNTIF($AE$8:$AE$307,"*"&amp;$AE22&amp;"*")&gt;1),"이름이 다른 거래처와 겹침 — 입금이 잘못 맞았을 수 있으니 별칭 확인",IF(AND($G22&gt;0,$F22=0),"입금 매칭 없음 — 입금자명이 다르면 [거래처설정]에 별칭 등록",""))))</f>
        <v/>
      </c>
      <c r="R22" s="31">
        <f>IF(OR($U22="",$G22&lt;=0),"",$G22-$A22/10000)</f>
        <v/>
      </c>
      <c r="S22" s="31">
        <f>IF(OR($U22="",$O22&lt;1),"",$O22*10^11+$I22+$J22+$K22-$A22/1000)</f>
        <v/>
      </c>
      <c r="T22" s="31">
        <f>IF($U22="","",IFERROR(MATCH(INDEX(매출원본!$AU$8:$AU$2007,$U22),거래처설정!$I$8:$I$407,0),""))</f>
        <v/>
      </c>
      <c r="U22" s="31">
        <f>IFERROR(MATCH(15,매출원본!$AW$8:$AW$2007,0),"")</f>
        <v/>
      </c>
      <c r="V22" s="31">
        <f>IF($U22="","",MAX(SUMIFS(매출원본!$AT$8:$AT$2007,매출원본!$AY$8:$AY$2007,$A22,매출원본!$AS$8:$AS$2007,"&gt;="&amp;(설정!$B$5-설정!$B$6),매출원본!$AS$8:$AS$2007,"&lt;="&amp;설정!$B$5),0))</f>
        <v/>
      </c>
      <c r="W22" s="31">
        <f>IF($U22="","",MAX($V22,SUMIFS(매출원본!$AT$8:$AT$2007,매출원본!$AY$8:$AY$2007,$A22,매출원본!$AS$8:$AS$2007,"&gt;="&amp;(설정!$B$5-설정!$B$7),매출원본!$AS$8:$AS$2007,"&lt;="&amp;설정!$B$5)))</f>
        <v/>
      </c>
      <c r="X22" s="31">
        <f>IF($U22="","",MAX($W22,SUMIFS(매출원본!$AT$8:$AT$2007,매출원본!$AY$8:$AY$2007,$A22,매출원본!$AS$8:$AS$2007,"&gt;="&amp;(설정!$B$5-설정!$B$8),매출원본!$AS$8:$AS$2007,"&lt;="&amp;설정!$B$5)))</f>
        <v/>
      </c>
      <c r="AC22" s="31">
        <f>IF(OR($U22="",$T22=""),"",INDEX(거래처설정!$J$8:$J$407,$T22))</f>
        <v/>
      </c>
      <c r="AD22" s="31">
        <f>IF(OR($U22="",$T22=""),"",INDEX(거래처설정!$K$8:$K$407,$T22))</f>
        <v/>
      </c>
      <c r="AE22" s="31">
        <f>IF($U22="","",IF(LEN(SUBSTITUTE(SUBSTITUTE(SUBSTITUTE(SUBSTITUTE(SUBSTITUTE(SUBSTITUTE(SUBSTITUTE(SUBSTITUTE(SUBSTITUTE($C22," ",""),"　",""),"(주)",""),"（주）",""),"㈜",""),"주식회사",""),"(유)",""),"（유）",""),"유한회사",""))&lt;2,"",SUBSTITUTE(SUBSTITUTE(SUBSTITUTE(SUBSTITUTE(SUBSTITUTE(SUBSTITUTE(SUBSTITUTE(SUBSTITUTE(SUBSTITUTE($C22," ",""),"　",""),"(주)",""),"（주）",""),"㈜",""),"주식회사",""),"(유)",""),"（유）",""),"유한회사","")))</f>
        <v/>
      </c>
    </row>
    <row r="23">
      <c r="A23" s="38">
        <f>IF($U23="","",16)</f>
        <v/>
      </c>
      <c r="B23" s="38">
        <f>IF($U23="","",IF(LEN(INDEX(매출원본!$AU$8:$AU$2007,$U23))=10,LEFT(INDEX(매출원본!$AU$8:$AU$2007,$U23),3)&amp;"-"&amp;MID(INDEX(매출원본!$AU$8:$AU$2007,$U23),4,2)&amp;"-"&amp;RIGHT(INDEX(매출원본!$AU$8:$AU$2007,$U23),5),IF(LEFT(INDEX(매출원본!$AU$8:$AU$2007,$U23),2)="N:","(번호 없음)",INDEX(매출원본!$AU$8:$AU$2007,$U23))))</f>
        <v/>
      </c>
      <c r="C23" s="38">
        <f>IF($U23="","",INDEX(매출원본!$AV$8:$AV$2007,$U23))</f>
        <v/>
      </c>
      <c r="D23" s="39">
        <f>IF($U23="","",IF($T23="",0,N(INDEX(거래처설정!$E$8:$E$407,$T23))))</f>
        <v/>
      </c>
      <c r="E23" s="39">
        <f>IF($U23="","",SUMIFS(매출원본!$AT$8:$AT$2007,매출원본!$AY$8:$AY$2007,$A23,매출원본!$AS$8:$AS$2007,"&lt;="&amp;설정!$B$5))</f>
        <v/>
      </c>
      <c r="F23" s="39">
        <f>IF($U23="","",SUMIFS(입금_은행1!$Z$8:$Z$2007,입금_은행1!$AC$8:$AC$2007,$A23,입금_은행1!$Y$8:$Y$2007,"&lt;="&amp;설정!$B$5)+SUMIFS(입금_은행2!$Z$8:$Z$2007,입금_은행2!$AC$8:$AC$2007,$A23,입금_은행2!$Y$8:$Y$2007,"&lt;="&amp;설정!$B$5))</f>
        <v/>
      </c>
      <c r="G23" s="39">
        <f>IF($U23="","",$D23+$E23-$F23)</f>
        <v/>
      </c>
      <c r="H23" s="39">
        <f>IF($U23="","",MIN(MAX($G23,0),$V23))</f>
        <v/>
      </c>
      <c r="I23" s="39">
        <f>IF($U23="","",MIN(MAX($G23,0),$W23)-MIN(MAX($G23,0),$V23))</f>
        <v/>
      </c>
      <c r="J23" s="39">
        <f>IF($U23="","",MIN(MAX($G23,0),$X23)-MIN(MAX($G23,0),$W23))</f>
        <v/>
      </c>
      <c r="K23" s="39">
        <f>IF($U23="","",MAX($G23,0)-MIN(MAX($G23,0),$X23))</f>
        <v/>
      </c>
      <c r="L23" s="40">
        <f>IF($U23="","",IF(MAX(SUMPRODUCT(MAX((입금_은행1!$AC$8:$AC$2007=$A23)*(입금_은행1!$AE$8:$AE$2007&lt;=설정!$B$5)*입금_은행1!$AE$8:$AE$2007)),SUMPRODUCT(MAX((입금_은행2!$AC$8:$AC$2007=$A23)*(입금_은행2!$AE$8:$AE$2007&lt;=설정!$B$5)*입금_은행2!$AE$8:$AE$2007)))=0,"",MAX(SUMPRODUCT(MAX((입금_은행1!$AC$8:$AC$2007=$A23)*(입금_은행1!$AE$8:$AE$2007&lt;=설정!$B$5)*입금_은행1!$AE$8:$AE$2007)),SUMPRODUCT(MAX((입금_은행2!$AC$8:$AC$2007=$A23)*(입금_은행2!$AE$8:$AE$2007&lt;=설정!$B$5)*입금_은행2!$AE$8:$AE$2007)))))</f>
        <v/>
      </c>
      <c r="M23" s="38">
        <f>IF($U23="","",IF($T23="","",IF(INDEX(거래처설정!$F$8:$F$407,$T23)="","",INDEX(거래처설정!$F$8:$F$407,$T23))))</f>
        <v/>
      </c>
      <c r="N23" s="38">
        <f>IF($U23="","",IF($T23="","",IF(INDEX(거래처설정!$G$8:$G$407,$T23)="","",INDEX(거래처설정!$G$8:$G$407,$T23))))</f>
        <v/>
      </c>
      <c r="O23" s="38">
        <f>IF($U23="","",IF($M23="제외",0,IF($K23&gt;=설정!$B$9,3,IF($J23+$K23&gt;=설정!$B$9,2,IF($I23+$J23+$K23&gt;=설정!$B$9,1,0)))))</f>
        <v/>
      </c>
      <c r="P23" s="38">
        <f>IF($U23="","",IF($M23="제외","제외(조치 상태)",IF($O23=3,"③ 강한 독촉 후보 ("&amp;설정!$B$8&amp;"일 초과)",IF($O23=2,"② 독촉 후보 ("&amp;설정!$B$7&amp;"일 초과)",IF($O23=1,"① 안내 후보 ("&amp;설정!$B$6&amp;"일 초과)",IF($G23&gt;0,IF($I23+$J23+$K23&gt;0,"오래된 잔액 있음 (최소 금액 미만)","정상 범위"),IF($G23&lt;0,"선수금·초과입금 — 확인","완납")))))))</f>
        <v/>
      </c>
      <c r="Q23" s="38">
        <f>IF($U23="","",IF($G23&lt;0,"입금이 매출보다 큼 — 선수금이거나 다른 거래처 입금이 섞였는지 확인",IF(AND($AE23&lt;&gt;"",COUNTIF($AE$8:$AE$307,"*"&amp;$AE23&amp;"*")&gt;1),"이름이 다른 거래처와 겹침 — 입금이 잘못 맞았을 수 있으니 별칭 확인",IF(AND($G23&gt;0,$F23=0),"입금 매칭 없음 — 입금자명이 다르면 [거래처설정]에 별칭 등록",""))))</f>
        <v/>
      </c>
      <c r="R23" s="31">
        <f>IF(OR($U23="",$G23&lt;=0),"",$G23-$A23/10000)</f>
        <v/>
      </c>
      <c r="S23" s="31">
        <f>IF(OR($U23="",$O23&lt;1),"",$O23*10^11+$I23+$J23+$K23-$A23/1000)</f>
        <v/>
      </c>
      <c r="T23" s="31">
        <f>IF($U23="","",IFERROR(MATCH(INDEX(매출원본!$AU$8:$AU$2007,$U23),거래처설정!$I$8:$I$407,0),""))</f>
        <v/>
      </c>
      <c r="U23" s="31">
        <f>IFERROR(MATCH(16,매출원본!$AW$8:$AW$2007,0),"")</f>
        <v/>
      </c>
      <c r="V23" s="31">
        <f>IF($U23="","",MAX(SUMIFS(매출원본!$AT$8:$AT$2007,매출원본!$AY$8:$AY$2007,$A23,매출원본!$AS$8:$AS$2007,"&gt;="&amp;(설정!$B$5-설정!$B$6),매출원본!$AS$8:$AS$2007,"&lt;="&amp;설정!$B$5),0))</f>
        <v/>
      </c>
      <c r="W23" s="31">
        <f>IF($U23="","",MAX($V23,SUMIFS(매출원본!$AT$8:$AT$2007,매출원본!$AY$8:$AY$2007,$A23,매출원본!$AS$8:$AS$2007,"&gt;="&amp;(설정!$B$5-설정!$B$7),매출원본!$AS$8:$AS$2007,"&lt;="&amp;설정!$B$5)))</f>
        <v/>
      </c>
      <c r="X23" s="31">
        <f>IF($U23="","",MAX($W23,SUMIFS(매출원본!$AT$8:$AT$2007,매출원본!$AY$8:$AY$2007,$A23,매출원본!$AS$8:$AS$2007,"&gt;="&amp;(설정!$B$5-설정!$B$8),매출원본!$AS$8:$AS$2007,"&lt;="&amp;설정!$B$5)))</f>
        <v/>
      </c>
      <c r="AC23" s="31">
        <f>IF(OR($U23="",$T23=""),"",INDEX(거래처설정!$J$8:$J$407,$T23))</f>
        <v/>
      </c>
      <c r="AD23" s="31">
        <f>IF(OR($U23="",$T23=""),"",INDEX(거래처설정!$K$8:$K$407,$T23))</f>
        <v/>
      </c>
      <c r="AE23" s="31">
        <f>IF($U23="","",IF(LEN(SUBSTITUTE(SUBSTITUTE(SUBSTITUTE(SUBSTITUTE(SUBSTITUTE(SUBSTITUTE(SUBSTITUTE(SUBSTITUTE(SUBSTITUTE($C23," ",""),"　",""),"(주)",""),"（주）",""),"㈜",""),"주식회사",""),"(유)",""),"（유）",""),"유한회사",""))&lt;2,"",SUBSTITUTE(SUBSTITUTE(SUBSTITUTE(SUBSTITUTE(SUBSTITUTE(SUBSTITUTE(SUBSTITUTE(SUBSTITUTE(SUBSTITUTE($C23," ",""),"　",""),"(주)",""),"（주）",""),"㈜",""),"주식회사",""),"(유)",""),"（유）",""),"유한회사","")))</f>
        <v/>
      </c>
    </row>
    <row r="24">
      <c r="A24" s="38">
        <f>IF($U24="","",17)</f>
        <v/>
      </c>
      <c r="B24" s="38">
        <f>IF($U24="","",IF(LEN(INDEX(매출원본!$AU$8:$AU$2007,$U24))=10,LEFT(INDEX(매출원본!$AU$8:$AU$2007,$U24),3)&amp;"-"&amp;MID(INDEX(매출원본!$AU$8:$AU$2007,$U24),4,2)&amp;"-"&amp;RIGHT(INDEX(매출원본!$AU$8:$AU$2007,$U24),5),IF(LEFT(INDEX(매출원본!$AU$8:$AU$2007,$U24),2)="N:","(번호 없음)",INDEX(매출원본!$AU$8:$AU$2007,$U24))))</f>
        <v/>
      </c>
      <c r="C24" s="38">
        <f>IF($U24="","",INDEX(매출원본!$AV$8:$AV$2007,$U24))</f>
        <v/>
      </c>
      <c r="D24" s="39">
        <f>IF($U24="","",IF($T24="",0,N(INDEX(거래처설정!$E$8:$E$407,$T24))))</f>
        <v/>
      </c>
      <c r="E24" s="39">
        <f>IF($U24="","",SUMIFS(매출원본!$AT$8:$AT$2007,매출원본!$AY$8:$AY$2007,$A24,매출원본!$AS$8:$AS$2007,"&lt;="&amp;설정!$B$5))</f>
        <v/>
      </c>
      <c r="F24" s="39">
        <f>IF($U24="","",SUMIFS(입금_은행1!$Z$8:$Z$2007,입금_은행1!$AC$8:$AC$2007,$A24,입금_은행1!$Y$8:$Y$2007,"&lt;="&amp;설정!$B$5)+SUMIFS(입금_은행2!$Z$8:$Z$2007,입금_은행2!$AC$8:$AC$2007,$A24,입금_은행2!$Y$8:$Y$2007,"&lt;="&amp;설정!$B$5))</f>
        <v/>
      </c>
      <c r="G24" s="39">
        <f>IF($U24="","",$D24+$E24-$F24)</f>
        <v/>
      </c>
      <c r="H24" s="39">
        <f>IF($U24="","",MIN(MAX($G24,0),$V24))</f>
        <v/>
      </c>
      <c r="I24" s="39">
        <f>IF($U24="","",MIN(MAX($G24,0),$W24)-MIN(MAX($G24,0),$V24))</f>
        <v/>
      </c>
      <c r="J24" s="39">
        <f>IF($U24="","",MIN(MAX($G24,0),$X24)-MIN(MAX($G24,0),$W24))</f>
        <v/>
      </c>
      <c r="K24" s="39">
        <f>IF($U24="","",MAX($G24,0)-MIN(MAX($G24,0),$X24))</f>
        <v/>
      </c>
      <c r="L24" s="40">
        <f>IF($U24="","",IF(MAX(SUMPRODUCT(MAX((입금_은행1!$AC$8:$AC$2007=$A24)*(입금_은행1!$AE$8:$AE$2007&lt;=설정!$B$5)*입금_은행1!$AE$8:$AE$2007)),SUMPRODUCT(MAX((입금_은행2!$AC$8:$AC$2007=$A24)*(입금_은행2!$AE$8:$AE$2007&lt;=설정!$B$5)*입금_은행2!$AE$8:$AE$2007)))=0,"",MAX(SUMPRODUCT(MAX((입금_은행1!$AC$8:$AC$2007=$A24)*(입금_은행1!$AE$8:$AE$2007&lt;=설정!$B$5)*입금_은행1!$AE$8:$AE$2007)),SUMPRODUCT(MAX((입금_은행2!$AC$8:$AC$2007=$A24)*(입금_은행2!$AE$8:$AE$2007&lt;=설정!$B$5)*입금_은행2!$AE$8:$AE$2007)))))</f>
        <v/>
      </c>
      <c r="M24" s="38">
        <f>IF($U24="","",IF($T24="","",IF(INDEX(거래처설정!$F$8:$F$407,$T24)="","",INDEX(거래처설정!$F$8:$F$407,$T24))))</f>
        <v/>
      </c>
      <c r="N24" s="38">
        <f>IF($U24="","",IF($T24="","",IF(INDEX(거래처설정!$G$8:$G$407,$T24)="","",INDEX(거래처설정!$G$8:$G$407,$T24))))</f>
        <v/>
      </c>
      <c r="O24" s="38">
        <f>IF($U24="","",IF($M24="제외",0,IF($K24&gt;=설정!$B$9,3,IF($J24+$K24&gt;=설정!$B$9,2,IF($I24+$J24+$K24&gt;=설정!$B$9,1,0)))))</f>
        <v/>
      </c>
      <c r="P24" s="38">
        <f>IF($U24="","",IF($M24="제외","제외(조치 상태)",IF($O24=3,"③ 강한 독촉 후보 ("&amp;설정!$B$8&amp;"일 초과)",IF($O24=2,"② 독촉 후보 ("&amp;설정!$B$7&amp;"일 초과)",IF($O24=1,"① 안내 후보 ("&amp;설정!$B$6&amp;"일 초과)",IF($G24&gt;0,IF($I24+$J24+$K24&gt;0,"오래된 잔액 있음 (최소 금액 미만)","정상 범위"),IF($G24&lt;0,"선수금·초과입금 — 확인","완납")))))))</f>
        <v/>
      </c>
      <c r="Q24" s="38">
        <f>IF($U24="","",IF($G24&lt;0,"입금이 매출보다 큼 — 선수금이거나 다른 거래처 입금이 섞였는지 확인",IF(AND($AE24&lt;&gt;"",COUNTIF($AE$8:$AE$307,"*"&amp;$AE24&amp;"*")&gt;1),"이름이 다른 거래처와 겹침 — 입금이 잘못 맞았을 수 있으니 별칭 확인",IF(AND($G24&gt;0,$F24=0),"입금 매칭 없음 — 입금자명이 다르면 [거래처설정]에 별칭 등록",""))))</f>
        <v/>
      </c>
      <c r="R24" s="31">
        <f>IF(OR($U24="",$G24&lt;=0),"",$G24-$A24/10000)</f>
        <v/>
      </c>
      <c r="S24" s="31">
        <f>IF(OR($U24="",$O24&lt;1),"",$O24*10^11+$I24+$J24+$K24-$A24/1000)</f>
        <v/>
      </c>
      <c r="T24" s="31">
        <f>IF($U24="","",IFERROR(MATCH(INDEX(매출원본!$AU$8:$AU$2007,$U24),거래처설정!$I$8:$I$407,0),""))</f>
        <v/>
      </c>
      <c r="U24" s="31">
        <f>IFERROR(MATCH(17,매출원본!$AW$8:$AW$2007,0),"")</f>
        <v/>
      </c>
      <c r="V24" s="31">
        <f>IF($U24="","",MAX(SUMIFS(매출원본!$AT$8:$AT$2007,매출원본!$AY$8:$AY$2007,$A24,매출원본!$AS$8:$AS$2007,"&gt;="&amp;(설정!$B$5-설정!$B$6),매출원본!$AS$8:$AS$2007,"&lt;="&amp;설정!$B$5),0))</f>
        <v/>
      </c>
      <c r="W24" s="31">
        <f>IF($U24="","",MAX($V24,SUMIFS(매출원본!$AT$8:$AT$2007,매출원본!$AY$8:$AY$2007,$A24,매출원본!$AS$8:$AS$2007,"&gt;="&amp;(설정!$B$5-설정!$B$7),매출원본!$AS$8:$AS$2007,"&lt;="&amp;설정!$B$5)))</f>
        <v/>
      </c>
      <c r="X24" s="31">
        <f>IF($U24="","",MAX($W24,SUMIFS(매출원본!$AT$8:$AT$2007,매출원본!$AY$8:$AY$2007,$A24,매출원본!$AS$8:$AS$2007,"&gt;="&amp;(설정!$B$5-설정!$B$8),매출원본!$AS$8:$AS$2007,"&lt;="&amp;설정!$B$5)))</f>
        <v/>
      </c>
      <c r="AC24" s="31">
        <f>IF(OR($U24="",$T24=""),"",INDEX(거래처설정!$J$8:$J$407,$T24))</f>
        <v/>
      </c>
      <c r="AD24" s="31">
        <f>IF(OR($U24="",$T24=""),"",INDEX(거래처설정!$K$8:$K$407,$T24))</f>
        <v/>
      </c>
      <c r="AE24" s="31">
        <f>IF($U24="","",IF(LEN(SUBSTITUTE(SUBSTITUTE(SUBSTITUTE(SUBSTITUTE(SUBSTITUTE(SUBSTITUTE(SUBSTITUTE(SUBSTITUTE(SUBSTITUTE($C24," ",""),"　",""),"(주)",""),"（주）",""),"㈜",""),"주식회사",""),"(유)",""),"（유）",""),"유한회사",""))&lt;2,"",SUBSTITUTE(SUBSTITUTE(SUBSTITUTE(SUBSTITUTE(SUBSTITUTE(SUBSTITUTE(SUBSTITUTE(SUBSTITUTE(SUBSTITUTE($C24," ",""),"　",""),"(주)",""),"（주）",""),"㈜",""),"주식회사",""),"(유)",""),"（유）",""),"유한회사","")))</f>
        <v/>
      </c>
    </row>
    <row r="25">
      <c r="A25" s="38">
        <f>IF($U25="","",18)</f>
        <v/>
      </c>
      <c r="B25" s="38">
        <f>IF($U25="","",IF(LEN(INDEX(매출원본!$AU$8:$AU$2007,$U25))=10,LEFT(INDEX(매출원본!$AU$8:$AU$2007,$U25),3)&amp;"-"&amp;MID(INDEX(매출원본!$AU$8:$AU$2007,$U25),4,2)&amp;"-"&amp;RIGHT(INDEX(매출원본!$AU$8:$AU$2007,$U25),5),IF(LEFT(INDEX(매출원본!$AU$8:$AU$2007,$U25),2)="N:","(번호 없음)",INDEX(매출원본!$AU$8:$AU$2007,$U25))))</f>
        <v/>
      </c>
      <c r="C25" s="38">
        <f>IF($U25="","",INDEX(매출원본!$AV$8:$AV$2007,$U25))</f>
        <v/>
      </c>
      <c r="D25" s="39">
        <f>IF($U25="","",IF($T25="",0,N(INDEX(거래처설정!$E$8:$E$407,$T25))))</f>
        <v/>
      </c>
      <c r="E25" s="39">
        <f>IF($U25="","",SUMIFS(매출원본!$AT$8:$AT$2007,매출원본!$AY$8:$AY$2007,$A25,매출원본!$AS$8:$AS$2007,"&lt;="&amp;설정!$B$5))</f>
        <v/>
      </c>
      <c r="F25" s="39">
        <f>IF($U25="","",SUMIFS(입금_은행1!$Z$8:$Z$2007,입금_은행1!$AC$8:$AC$2007,$A25,입금_은행1!$Y$8:$Y$2007,"&lt;="&amp;설정!$B$5)+SUMIFS(입금_은행2!$Z$8:$Z$2007,입금_은행2!$AC$8:$AC$2007,$A25,입금_은행2!$Y$8:$Y$2007,"&lt;="&amp;설정!$B$5))</f>
        <v/>
      </c>
      <c r="G25" s="39">
        <f>IF($U25="","",$D25+$E25-$F25)</f>
        <v/>
      </c>
      <c r="H25" s="39">
        <f>IF($U25="","",MIN(MAX($G25,0),$V25))</f>
        <v/>
      </c>
      <c r="I25" s="39">
        <f>IF($U25="","",MIN(MAX($G25,0),$W25)-MIN(MAX($G25,0),$V25))</f>
        <v/>
      </c>
      <c r="J25" s="39">
        <f>IF($U25="","",MIN(MAX($G25,0),$X25)-MIN(MAX($G25,0),$W25))</f>
        <v/>
      </c>
      <c r="K25" s="39">
        <f>IF($U25="","",MAX($G25,0)-MIN(MAX($G25,0),$X25))</f>
        <v/>
      </c>
      <c r="L25" s="40">
        <f>IF($U25="","",IF(MAX(SUMPRODUCT(MAX((입금_은행1!$AC$8:$AC$2007=$A25)*(입금_은행1!$AE$8:$AE$2007&lt;=설정!$B$5)*입금_은행1!$AE$8:$AE$2007)),SUMPRODUCT(MAX((입금_은행2!$AC$8:$AC$2007=$A25)*(입금_은행2!$AE$8:$AE$2007&lt;=설정!$B$5)*입금_은행2!$AE$8:$AE$2007)))=0,"",MAX(SUMPRODUCT(MAX((입금_은행1!$AC$8:$AC$2007=$A25)*(입금_은행1!$AE$8:$AE$2007&lt;=설정!$B$5)*입금_은행1!$AE$8:$AE$2007)),SUMPRODUCT(MAX((입금_은행2!$AC$8:$AC$2007=$A25)*(입금_은행2!$AE$8:$AE$2007&lt;=설정!$B$5)*입금_은행2!$AE$8:$AE$2007)))))</f>
        <v/>
      </c>
      <c r="M25" s="38">
        <f>IF($U25="","",IF($T25="","",IF(INDEX(거래처설정!$F$8:$F$407,$T25)="","",INDEX(거래처설정!$F$8:$F$407,$T25))))</f>
        <v/>
      </c>
      <c r="N25" s="38">
        <f>IF($U25="","",IF($T25="","",IF(INDEX(거래처설정!$G$8:$G$407,$T25)="","",INDEX(거래처설정!$G$8:$G$407,$T25))))</f>
        <v/>
      </c>
      <c r="O25" s="38">
        <f>IF($U25="","",IF($M25="제외",0,IF($K25&gt;=설정!$B$9,3,IF($J25+$K25&gt;=설정!$B$9,2,IF($I25+$J25+$K25&gt;=설정!$B$9,1,0)))))</f>
        <v/>
      </c>
      <c r="P25" s="38">
        <f>IF($U25="","",IF($M25="제외","제외(조치 상태)",IF($O25=3,"③ 강한 독촉 후보 ("&amp;설정!$B$8&amp;"일 초과)",IF($O25=2,"② 독촉 후보 ("&amp;설정!$B$7&amp;"일 초과)",IF($O25=1,"① 안내 후보 ("&amp;설정!$B$6&amp;"일 초과)",IF($G25&gt;0,IF($I25+$J25+$K25&gt;0,"오래된 잔액 있음 (최소 금액 미만)","정상 범위"),IF($G25&lt;0,"선수금·초과입금 — 확인","완납")))))))</f>
        <v/>
      </c>
      <c r="Q25" s="38">
        <f>IF($U25="","",IF($G25&lt;0,"입금이 매출보다 큼 — 선수금이거나 다른 거래처 입금이 섞였는지 확인",IF(AND($AE25&lt;&gt;"",COUNTIF($AE$8:$AE$307,"*"&amp;$AE25&amp;"*")&gt;1),"이름이 다른 거래처와 겹침 — 입금이 잘못 맞았을 수 있으니 별칭 확인",IF(AND($G25&gt;0,$F25=0),"입금 매칭 없음 — 입금자명이 다르면 [거래처설정]에 별칭 등록",""))))</f>
        <v/>
      </c>
      <c r="R25" s="31">
        <f>IF(OR($U25="",$G25&lt;=0),"",$G25-$A25/10000)</f>
        <v/>
      </c>
      <c r="S25" s="31">
        <f>IF(OR($U25="",$O25&lt;1),"",$O25*10^11+$I25+$J25+$K25-$A25/1000)</f>
        <v/>
      </c>
      <c r="T25" s="31">
        <f>IF($U25="","",IFERROR(MATCH(INDEX(매출원본!$AU$8:$AU$2007,$U25),거래처설정!$I$8:$I$407,0),""))</f>
        <v/>
      </c>
      <c r="U25" s="31">
        <f>IFERROR(MATCH(18,매출원본!$AW$8:$AW$2007,0),"")</f>
        <v/>
      </c>
      <c r="V25" s="31">
        <f>IF($U25="","",MAX(SUMIFS(매출원본!$AT$8:$AT$2007,매출원본!$AY$8:$AY$2007,$A25,매출원본!$AS$8:$AS$2007,"&gt;="&amp;(설정!$B$5-설정!$B$6),매출원본!$AS$8:$AS$2007,"&lt;="&amp;설정!$B$5),0))</f>
        <v/>
      </c>
      <c r="W25" s="31">
        <f>IF($U25="","",MAX($V25,SUMIFS(매출원본!$AT$8:$AT$2007,매출원본!$AY$8:$AY$2007,$A25,매출원본!$AS$8:$AS$2007,"&gt;="&amp;(설정!$B$5-설정!$B$7),매출원본!$AS$8:$AS$2007,"&lt;="&amp;설정!$B$5)))</f>
        <v/>
      </c>
      <c r="X25" s="31">
        <f>IF($U25="","",MAX($W25,SUMIFS(매출원본!$AT$8:$AT$2007,매출원본!$AY$8:$AY$2007,$A25,매출원본!$AS$8:$AS$2007,"&gt;="&amp;(설정!$B$5-설정!$B$8),매출원본!$AS$8:$AS$2007,"&lt;="&amp;설정!$B$5)))</f>
        <v/>
      </c>
      <c r="AC25" s="31">
        <f>IF(OR($U25="",$T25=""),"",INDEX(거래처설정!$J$8:$J$407,$T25))</f>
        <v/>
      </c>
      <c r="AD25" s="31">
        <f>IF(OR($U25="",$T25=""),"",INDEX(거래처설정!$K$8:$K$407,$T25))</f>
        <v/>
      </c>
      <c r="AE25" s="31">
        <f>IF($U25="","",IF(LEN(SUBSTITUTE(SUBSTITUTE(SUBSTITUTE(SUBSTITUTE(SUBSTITUTE(SUBSTITUTE(SUBSTITUTE(SUBSTITUTE(SUBSTITUTE($C25," ",""),"　",""),"(주)",""),"（주）",""),"㈜",""),"주식회사",""),"(유)",""),"（유）",""),"유한회사",""))&lt;2,"",SUBSTITUTE(SUBSTITUTE(SUBSTITUTE(SUBSTITUTE(SUBSTITUTE(SUBSTITUTE(SUBSTITUTE(SUBSTITUTE(SUBSTITUTE($C25," ",""),"　",""),"(주)",""),"（주）",""),"㈜",""),"주식회사",""),"(유)",""),"（유）",""),"유한회사","")))</f>
        <v/>
      </c>
    </row>
    <row r="26">
      <c r="A26" s="38">
        <f>IF($U26="","",19)</f>
        <v/>
      </c>
      <c r="B26" s="38">
        <f>IF($U26="","",IF(LEN(INDEX(매출원본!$AU$8:$AU$2007,$U26))=10,LEFT(INDEX(매출원본!$AU$8:$AU$2007,$U26),3)&amp;"-"&amp;MID(INDEX(매출원본!$AU$8:$AU$2007,$U26),4,2)&amp;"-"&amp;RIGHT(INDEX(매출원본!$AU$8:$AU$2007,$U26),5),IF(LEFT(INDEX(매출원본!$AU$8:$AU$2007,$U26),2)="N:","(번호 없음)",INDEX(매출원본!$AU$8:$AU$2007,$U26))))</f>
        <v/>
      </c>
      <c r="C26" s="38">
        <f>IF($U26="","",INDEX(매출원본!$AV$8:$AV$2007,$U26))</f>
        <v/>
      </c>
      <c r="D26" s="39">
        <f>IF($U26="","",IF($T26="",0,N(INDEX(거래처설정!$E$8:$E$407,$T26))))</f>
        <v/>
      </c>
      <c r="E26" s="39">
        <f>IF($U26="","",SUMIFS(매출원본!$AT$8:$AT$2007,매출원본!$AY$8:$AY$2007,$A26,매출원본!$AS$8:$AS$2007,"&lt;="&amp;설정!$B$5))</f>
        <v/>
      </c>
      <c r="F26" s="39">
        <f>IF($U26="","",SUMIFS(입금_은행1!$Z$8:$Z$2007,입금_은행1!$AC$8:$AC$2007,$A26,입금_은행1!$Y$8:$Y$2007,"&lt;="&amp;설정!$B$5)+SUMIFS(입금_은행2!$Z$8:$Z$2007,입금_은행2!$AC$8:$AC$2007,$A26,입금_은행2!$Y$8:$Y$2007,"&lt;="&amp;설정!$B$5))</f>
        <v/>
      </c>
      <c r="G26" s="39">
        <f>IF($U26="","",$D26+$E26-$F26)</f>
        <v/>
      </c>
      <c r="H26" s="39">
        <f>IF($U26="","",MIN(MAX($G26,0),$V26))</f>
        <v/>
      </c>
      <c r="I26" s="39">
        <f>IF($U26="","",MIN(MAX($G26,0),$W26)-MIN(MAX($G26,0),$V26))</f>
        <v/>
      </c>
      <c r="J26" s="39">
        <f>IF($U26="","",MIN(MAX($G26,0),$X26)-MIN(MAX($G26,0),$W26))</f>
        <v/>
      </c>
      <c r="K26" s="39">
        <f>IF($U26="","",MAX($G26,0)-MIN(MAX($G26,0),$X26))</f>
        <v/>
      </c>
      <c r="L26" s="40">
        <f>IF($U26="","",IF(MAX(SUMPRODUCT(MAX((입금_은행1!$AC$8:$AC$2007=$A26)*(입금_은행1!$AE$8:$AE$2007&lt;=설정!$B$5)*입금_은행1!$AE$8:$AE$2007)),SUMPRODUCT(MAX((입금_은행2!$AC$8:$AC$2007=$A26)*(입금_은행2!$AE$8:$AE$2007&lt;=설정!$B$5)*입금_은행2!$AE$8:$AE$2007)))=0,"",MAX(SUMPRODUCT(MAX((입금_은행1!$AC$8:$AC$2007=$A26)*(입금_은행1!$AE$8:$AE$2007&lt;=설정!$B$5)*입금_은행1!$AE$8:$AE$2007)),SUMPRODUCT(MAX((입금_은행2!$AC$8:$AC$2007=$A26)*(입금_은행2!$AE$8:$AE$2007&lt;=설정!$B$5)*입금_은행2!$AE$8:$AE$2007)))))</f>
        <v/>
      </c>
      <c r="M26" s="38">
        <f>IF($U26="","",IF($T26="","",IF(INDEX(거래처설정!$F$8:$F$407,$T26)="","",INDEX(거래처설정!$F$8:$F$407,$T26))))</f>
        <v/>
      </c>
      <c r="N26" s="38">
        <f>IF($U26="","",IF($T26="","",IF(INDEX(거래처설정!$G$8:$G$407,$T26)="","",INDEX(거래처설정!$G$8:$G$407,$T26))))</f>
        <v/>
      </c>
      <c r="O26" s="38">
        <f>IF($U26="","",IF($M26="제외",0,IF($K26&gt;=설정!$B$9,3,IF($J26+$K26&gt;=설정!$B$9,2,IF($I26+$J26+$K26&gt;=설정!$B$9,1,0)))))</f>
        <v/>
      </c>
      <c r="P26" s="38">
        <f>IF($U26="","",IF($M26="제외","제외(조치 상태)",IF($O26=3,"③ 강한 독촉 후보 ("&amp;설정!$B$8&amp;"일 초과)",IF($O26=2,"② 독촉 후보 ("&amp;설정!$B$7&amp;"일 초과)",IF($O26=1,"① 안내 후보 ("&amp;설정!$B$6&amp;"일 초과)",IF($G26&gt;0,IF($I26+$J26+$K26&gt;0,"오래된 잔액 있음 (최소 금액 미만)","정상 범위"),IF($G26&lt;0,"선수금·초과입금 — 확인","완납")))))))</f>
        <v/>
      </c>
      <c r="Q26" s="38">
        <f>IF($U26="","",IF($G26&lt;0,"입금이 매출보다 큼 — 선수금이거나 다른 거래처 입금이 섞였는지 확인",IF(AND($AE26&lt;&gt;"",COUNTIF($AE$8:$AE$307,"*"&amp;$AE26&amp;"*")&gt;1),"이름이 다른 거래처와 겹침 — 입금이 잘못 맞았을 수 있으니 별칭 확인",IF(AND($G26&gt;0,$F26=0),"입금 매칭 없음 — 입금자명이 다르면 [거래처설정]에 별칭 등록",""))))</f>
        <v/>
      </c>
      <c r="R26" s="31">
        <f>IF(OR($U26="",$G26&lt;=0),"",$G26-$A26/10000)</f>
        <v/>
      </c>
      <c r="S26" s="31">
        <f>IF(OR($U26="",$O26&lt;1),"",$O26*10^11+$I26+$J26+$K26-$A26/1000)</f>
        <v/>
      </c>
      <c r="T26" s="31">
        <f>IF($U26="","",IFERROR(MATCH(INDEX(매출원본!$AU$8:$AU$2007,$U26),거래처설정!$I$8:$I$407,0),""))</f>
        <v/>
      </c>
      <c r="U26" s="31">
        <f>IFERROR(MATCH(19,매출원본!$AW$8:$AW$2007,0),"")</f>
        <v/>
      </c>
      <c r="V26" s="31">
        <f>IF($U26="","",MAX(SUMIFS(매출원본!$AT$8:$AT$2007,매출원본!$AY$8:$AY$2007,$A26,매출원본!$AS$8:$AS$2007,"&gt;="&amp;(설정!$B$5-설정!$B$6),매출원본!$AS$8:$AS$2007,"&lt;="&amp;설정!$B$5),0))</f>
        <v/>
      </c>
      <c r="W26" s="31">
        <f>IF($U26="","",MAX($V26,SUMIFS(매출원본!$AT$8:$AT$2007,매출원본!$AY$8:$AY$2007,$A26,매출원본!$AS$8:$AS$2007,"&gt;="&amp;(설정!$B$5-설정!$B$7),매출원본!$AS$8:$AS$2007,"&lt;="&amp;설정!$B$5)))</f>
        <v/>
      </c>
      <c r="X26" s="31">
        <f>IF($U26="","",MAX($W26,SUMIFS(매출원본!$AT$8:$AT$2007,매출원본!$AY$8:$AY$2007,$A26,매출원본!$AS$8:$AS$2007,"&gt;="&amp;(설정!$B$5-설정!$B$8),매출원본!$AS$8:$AS$2007,"&lt;="&amp;설정!$B$5)))</f>
        <v/>
      </c>
      <c r="AC26" s="31">
        <f>IF(OR($U26="",$T26=""),"",INDEX(거래처설정!$J$8:$J$407,$T26))</f>
        <v/>
      </c>
      <c r="AD26" s="31">
        <f>IF(OR($U26="",$T26=""),"",INDEX(거래처설정!$K$8:$K$407,$T26))</f>
        <v/>
      </c>
      <c r="AE26" s="31">
        <f>IF($U26="","",IF(LEN(SUBSTITUTE(SUBSTITUTE(SUBSTITUTE(SUBSTITUTE(SUBSTITUTE(SUBSTITUTE(SUBSTITUTE(SUBSTITUTE(SUBSTITUTE($C26," ",""),"　",""),"(주)",""),"（주）",""),"㈜",""),"주식회사",""),"(유)",""),"（유）",""),"유한회사",""))&lt;2,"",SUBSTITUTE(SUBSTITUTE(SUBSTITUTE(SUBSTITUTE(SUBSTITUTE(SUBSTITUTE(SUBSTITUTE(SUBSTITUTE(SUBSTITUTE($C26," ",""),"　",""),"(주)",""),"（주）",""),"㈜",""),"주식회사",""),"(유)",""),"（유）",""),"유한회사","")))</f>
        <v/>
      </c>
    </row>
    <row r="27">
      <c r="A27" s="38">
        <f>IF($U27="","",20)</f>
        <v/>
      </c>
      <c r="B27" s="38">
        <f>IF($U27="","",IF(LEN(INDEX(매출원본!$AU$8:$AU$2007,$U27))=10,LEFT(INDEX(매출원본!$AU$8:$AU$2007,$U27),3)&amp;"-"&amp;MID(INDEX(매출원본!$AU$8:$AU$2007,$U27),4,2)&amp;"-"&amp;RIGHT(INDEX(매출원본!$AU$8:$AU$2007,$U27),5),IF(LEFT(INDEX(매출원본!$AU$8:$AU$2007,$U27),2)="N:","(번호 없음)",INDEX(매출원본!$AU$8:$AU$2007,$U27))))</f>
        <v/>
      </c>
      <c r="C27" s="38">
        <f>IF($U27="","",INDEX(매출원본!$AV$8:$AV$2007,$U27))</f>
        <v/>
      </c>
      <c r="D27" s="39">
        <f>IF($U27="","",IF($T27="",0,N(INDEX(거래처설정!$E$8:$E$407,$T27))))</f>
        <v/>
      </c>
      <c r="E27" s="39">
        <f>IF($U27="","",SUMIFS(매출원본!$AT$8:$AT$2007,매출원본!$AY$8:$AY$2007,$A27,매출원본!$AS$8:$AS$2007,"&lt;="&amp;설정!$B$5))</f>
        <v/>
      </c>
      <c r="F27" s="39">
        <f>IF($U27="","",SUMIFS(입금_은행1!$Z$8:$Z$2007,입금_은행1!$AC$8:$AC$2007,$A27,입금_은행1!$Y$8:$Y$2007,"&lt;="&amp;설정!$B$5)+SUMIFS(입금_은행2!$Z$8:$Z$2007,입금_은행2!$AC$8:$AC$2007,$A27,입금_은행2!$Y$8:$Y$2007,"&lt;="&amp;설정!$B$5))</f>
        <v/>
      </c>
      <c r="G27" s="39">
        <f>IF($U27="","",$D27+$E27-$F27)</f>
        <v/>
      </c>
      <c r="H27" s="39">
        <f>IF($U27="","",MIN(MAX($G27,0),$V27))</f>
        <v/>
      </c>
      <c r="I27" s="39">
        <f>IF($U27="","",MIN(MAX($G27,0),$W27)-MIN(MAX($G27,0),$V27))</f>
        <v/>
      </c>
      <c r="J27" s="39">
        <f>IF($U27="","",MIN(MAX($G27,0),$X27)-MIN(MAX($G27,0),$W27))</f>
        <v/>
      </c>
      <c r="K27" s="39">
        <f>IF($U27="","",MAX($G27,0)-MIN(MAX($G27,0),$X27))</f>
        <v/>
      </c>
      <c r="L27" s="40">
        <f>IF($U27="","",IF(MAX(SUMPRODUCT(MAX((입금_은행1!$AC$8:$AC$2007=$A27)*(입금_은행1!$AE$8:$AE$2007&lt;=설정!$B$5)*입금_은행1!$AE$8:$AE$2007)),SUMPRODUCT(MAX((입금_은행2!$AC$8:$AC$2007=$A27)*(입금_은행2!$AE$8:$AE$2007&lt;=설정!$B$5)*입금_은행2!$AE$8:$AE$2007)))=0,"",MAX(SUMPRODUCT(MAX((입금_은행1!$AC$8:$AC$2007=$A27)*(입금_은행1!$AE$8:$AE$2007&lt;=설정!$B$5)*입금_은행1!$AE$8:$AE$2007)),SUMPRODUCT(MAX((입금_은행2!$AC$8:$AC$2007=$A27)*(입금_은행2!$AE$8:$AE$2007&lt;=설정!$B$5)*입금_은행2!$AE$8:$AE$2007)))))</f>
        <v/>
      </c>
      <c r="M27" s="38">
        <f>IF($U27="","",IF($T27="","",IF(INDEX(거래처설정!$F$8:$F$407,$T27)="","",INDEX(거래처설정!$F$8:$F$407,$T27))))</f>
        <v/>
      </c>
      <c r="N27" s="38">
        <f>IF($U27="","",IF($T27="","",IF(INDEX(거래처설정!$G$8:$G$407,$T27)="","",INDEX(거래처설정!$G$8:$G$407,$T27))))</f>
        <v/>
      </c>
      <c r="O27" s="38">
        <f>IF($U27="","",IF($M27="제외",0,IF($K27&gt;=설정!$B$9,3,IF($J27+$K27&gt;=설정!$B$9,2,IF($I27+$J27+$K27&gt;=설정!$B$9,1,0)))))</f>
        <v/>
      </c>
      <c r="P27" s="38">
        <f>IF($U27="","",IF($M27="제외","제외(조치 상태)",IF($O27=3,"③ 강한 독촉 후보 ("&amp;설정!$B$8&amp;"일 초과)",IF($O27=2,"② 독촉 후보 ("&amp;설정!$B$7&amp;"일 초과)",IF($O27=1,"① 안내 후보 ("&amp;설정!$B$6&amp;"일 초과)",IF($G27&gt;0,IF($I27+$J27+$K27&gt;0,"오래된 잔액 있음 (최소 금액 미만)","정상 범위"),IF($G27&lt;0,"선수금·초과입금 — 확인","완납")))))))</f>
        <v/>
      </c>
      <c r="Q27" s="38">
        <f>IF($U27="","",IF($G27&lt;0,"입금이 매출보다 큼 — 선수금이거나 다른 거래처 입금이 섞였는지 확인",IF(AND($AE27&lt;&gt;"",COUNTIF($AE$8:$AE$307,"*"&amp;$AE27&amp;"*")&gt;1),"이름이 다른 거래처와 겹침 — 입금이 잘못 맞았을 수 있으니 별칭 확인",IF(AND($G27&gt;0,$F27=0),"입금 매칭 없음 — 입금자명이 다르면 [거래처설정]에 별칭 등록",""))))</f>
        <v/>
      </c>
      <c r="R27" s="31">
        <f>IF(OR($U27="",$G27&lt;=0),"",$G27-$A27/10000)</f>
        <v/>
      </c>
      <c r="S27" s="31">
        <f>IF(OR($U27="",$O27&lt;1),"",$O27*10^11+$I27+$J27+$K27-$A27/1000)</f>
        <v/>
      </c>
      <c r="T27" s="31">
        <f>IF($U27="","",IFERROR(MATCH(INDEX(매출원본!$AU$8:$AU$2007,$U27),거래처설정!$I$8:$I$407,0),""))</f>
        <v/>
      </c>
      <c r="U27" s="31">
        <f>IFERROR(MATCH(20,매출원본!$AW$8:$AW$2007,0),"")</f>
        <v/>
      </c>
      <c r="V27" s="31">
        <f>IF($U27="","",MAX(SUMIFS(매출원본!$AT$8:$AT$2007,매출원본!$AY$8:$AY$2007,$A27,매출원본!$AS$8:$AS$2007,"&gt;="&amp;(설정!$B$5-설정!$B$6),매출원본!$AS$8:$AS$2007,"&lt;="&amp;설정!$B$5),0))</f>
        <v/>
      </c>
      <c r="W27" s="31">
        <f>IF($U27="","",MAX($V27,SUMIFS(매출원본!$AT$8:$AT$2007,매출원본!$AY$8:$AY$2007,$A27,매출원본!$AS$8:$AS$2007,"&gt;="&amp;(설정!$B$5-설정!$B$7),매출원본!$AS$8:$AS$2007,"&lt;="&amp;설정!$B$5)))</f>
        <v/>
      </c>
      <c r="X27" s="31">
        <f>IF($U27="","",MAX($W27,SUMIFS(매출원본!$AT$8:$AT$2007,매출원본!$AY$8:$AY$2007,$A27,매출원본!$AS$8:$AS$2007,"&gt;="&amp;(설정!$B$5-설정!$B$8),매출원본!$AS$8:$AS$2007,"&lt;="&amp;설정!$B$5)))</f>
        <v/>
      </c>
      <c r="AC27" s="31">
        <f>IF(OR($U27="",$T27=""),"",INDEX(거래처설정!$J$8:$J$407,$T27))</f>
        <v/>
      </c>
      <c r="AD27" s="31">
        <f>IF(OR($U27="",$T27=""),"",INDEX(거래처설정!$K$8:$K$407,$T27))</f>
        <v/>
      </c>
      <c r="AE27" s="31">
        <f>IF($U27="","",IF(LEN(SUBSTITUTE(SUBSTITUTE(SUBSTITUTE(SUBSTITUTE(SUBSTITUTE(SUBSTITUTE(SUBSTITUTE(SUBSTITUTE(SUBSTITUTE($C27," ",""),"　",""),"(주)",""),"（주）",""),"㈜",""),"주식회사",""),"(유)",""),"（유）",""),"유한회사",""))&lt;2,"",SUBSTITUTE(SUBSTITUTE(SUBSTITUTE(SUBSTITUTE(SUBSTITUTE(SUBSTITUTE(SUBSTITUTE(SUBSTITUTE(SUBSTITUTE($C27," ",""),"　",""),"(주)",""),"（주）",""),"㈜",""),"주식회사",""),"(유)",""),"（유）",""),"유한회사","")))</f>
        <v/>
      </c>
    </row>
    <row r="28">
      <c r="A28" s="38">
        <f>IF($U28="","",21)</f>
        <v/>
      </c>
      <c r="B28" s="38">
        <f>IF($U28="","",IF(LEN(INDEX(매출원본!$AU$8:$AU$2007,$U28))=10,LEFT(INDEX(매출원본!$AU$8:$AU$2007,$U28),3)&amp;"-"&amp;MID(INDEX(매출원본!$AU$8:$AU$2007,$U28),4,2)&amp;"-"&amp;RIGHT(INDEX(매출원본!$AU$8:$AU$2007,$U28),5),IF(LEFT(INDEX(매출원본!$AU$8:$AU$2007,$U28),2)="N:","(번호 없음)",INDEX(매출원본!$AU$8:$AU$2007,$U28))))</f>
        <v/>
      </c>
      <c r="C28" s="38">
        <f>IF($U28="","",INDEX(매출원본!$AV$8:$AV$2007,$U28))</f>
        <v/>
      </c>
      <c r="D28" s="39">
        <f>IF($U28="","",IF($T28="",0,N(INDEX(거래처설정!$E$8:$E$407,$T28))))</f>
        <v/>
      </c>
      <c r="E28" s="39">
        <f>IF($U28="","",SUMIFS(매출원본!$AT$8:$AT$2007,매출원본!$AY$8:$AY$2007,$A28,매출원본!$AS$8:$AS$2007,"&lt;="&amp;설정!$B$5))</f>
        <v/>
      </c>
      <c r="F28" s="39">
        <f>IF($U28="","",SUMIFS(입금_은행1!$Z$8:$Z$2007,입금_은행1!$AC$8:$AC$2007,$A28,입금_은행1!$Y$8:$Y$2007,"&lt;="&amp;설정!$B$5)+SUMIFS(입금_은행2!$Z$8:$Z$2007,입금_은행2!$AC$8:$AC$2007,$A28,입금_은행2!$Y$8:$Y$2007,"&lt;="&amp;설정!$B$5))</f>
        <v/>
      </c>
      <c r="G28" s="39">
        <f>IF($U28="","",$D28+$E28-$F28)</f>
        <v/>
      </c>
      <c r="H28" s="39">
        <f>IF($U28="","",MIN(MAX($G28,0),$V28))</f>
        <v/>
      </c>
      <c r="I28" s="39">
        <f>IF($U28="","",MIN(MAX($G28,0),$W28)-MIN(MAX($G28,0),$V28))</f>
        <v/>
      </c>
      <c r="J28" s="39">
        <f>IF($U28="","",MIN(MAX($G28,0),$X28)-MIN(MAX($G28,0),$W28))</f>
        <v/>
      </c>
      <c r="K28" s="39">
        <f>IF($U28="","",MAX($G28,0)-MIN(MAX($G28,0),$X28))</f>
        <v/>
      </c>
      <c r="L28" s="40">
        <f>IF($U28="","",IF(MAX(SUMPRODUCT(MAX((입금_은행1!$AC$8:$AC$2007=$A28)*(입금_은행1!$AE$8:$AE$2007&lt;=설정!$B$5)*입금_은행1!$AE$8:$AE$2007)),SUMPRODUCT(MAX((입금_은행2!$AC$8:$AC$2007=$A28)*(입금_은행2!$AE$8:$AE$2007&lt;=설정!$B$5)*입금_은행2!$AE$8:$AE$2007)))=0,"",MAX(SUMPRODUCT(MAX((입금_은행1!$AC$8:$AC$2007=$A28)*(입금_은행1!$AE$8:$AE$2007&lt;=설정!$B$5)*입금_은행1!$AE$8:$AE$2007)),SUMPRODUCT(MAX((입금_은행2!$AC$8:$AC$2007=$A28)*(입금_은행2!$AE$8:$AE$2007&lt;=설정!$B$5)*입금_은행2!$AE$8:$AE$2007)))))</f>
        <v/>
      </c>
      <c r="M28" s="38">
        <f>IF($U28="","",IF($T28="","",IF(INDEX(거래처설정!$F$8:$F$407,$T28)="","",INDEX(거래처설정!$F$8:$F$407,$T28))))</f>
        <v/>
      </c>
      <c r="N28" s="38">
        <f>IF($U28="","",IF($T28="","",IF(INDEX(거래처설정!$G$8:$G$407,$T28)="","",INDEX(거래처설정!$G$8:$G$407,$T28))))</f>
        <v/>
      </c>
      <c r="O28" s="38">
        <f>IF($U28="","",IF($M28="제외",0,IF($K28&gt;=설정!$B$9,3,IF($J28+$K28&gt;=설정!$B$9,2,IF($I28+$J28+$K28&gt;=설정!$B$9,1,0)))))</f>
        <v/>
      </c>
      <c r="P28" s="38">
        <f>IF($U28="","",IF($M28="제외","제외(조치 상태)",IF($O28=3,"③ 강한 독촉 후보 ("&amp;설정!$B$8&amp;"일 초과)",IF($O28=2,"② 독촉 후보 ("&amp;설정!$B$7&amp;"일 초과)",IF($O28=1,"① 안내 후보 ("&amp;설정!$B$6&amp;"일 초과)",IF($G28&gt;0,IF($I28+$J28+$K28&gt;0,"오래된 잔액 있음 (최소 금액 미만)","정상 범위"),IF($G28&lt;0,"선수금·초과입금 — 확인","완납")))))))</f>
        <v/>
      </c>
      <c r="Q28" s="38">
        <f>IF($U28="","",IF($G28&lt;0,"입금이 매출보다 큼 — 선수금이거나 다른 거래처 입금이 섞였는지 확인",IF(AND($AE28&lt;&gt;"",COUNTIF($AE$8:$AE$307,"*"&amp;$AE28&amp;"*")&gt;1),"이름이 다른 거래처와 겹침 — 입금이 잘못 맞았을 수 있으니 별칭 확인",IF(AND($G28&gt;0,$F28=0),"입금 매칭 없음 — 입금자명이 다르면 [거래처설정]에 별칭 등록",""))))</f>
        <v/>
      </c>
      <c r="R28" s="31">
        <f>IF(OR($U28="",$G28&lt;=0),"",$G28-$A28/10000)</f>
        <v/>
      </c>
      <c r="S28" s="31">
        <f>IF(OR($U28="",$O28&lt;1),"",$O28*10^11+$I28+$J28+$K28-$A28/1000)</f>
        <v/>
      </c>
      <c r="T28" s="31">
        <f>IF($U28="","",IFERROR(MATCH(INDEX(매출원본!$AU$8:$AU$2007,$U28),거래처설정!$I$8:$I$407,0),""))</f>
        <v/>
      </c>
      <c r="U28" s="31">
        <f>IFERROR(MATCH(21,매출원본!$AW$8:$AW$2007,0),"")</f>
        <v/>
      </c>
      <c r="V28" s="31">
        <f>IF($U28="","",MAX(SUMIFS(매출원본!$AT$8:$AT$2007,매출원본!$AY$8:$AY$2007,$A28,매출원본!$AS$8:$AS$2007,"&gt;="&amp;(설정!$B$5-설정!$B$6),매출원본!$AS$8:$AS$2007,"&lt;="&amp;설정!$B$5),0))</f>
        <v/>
      </c>
      <c r="W28" s="31">
        <f>IF($U28="","",MAX($V28,SUMIFS(매출원본!$AT$8:$AT$2007,매출원본!$AY$8:$AY$2007,$A28,매출원본!$AS$8:$AS$2007,"&gt;="&amp;(설정!$B$5-설정!$B$7),매출원본!$AS$8:$AS$2007,"&lt;="&amp;설정!$B$5)))</f>
        <v/>
      </c>
      <c r="X28" s="31">
        <f>IF($U28="","",MAX($W28,SUMIFS(매출원본!$AT$8:$AT$2007,매출원본!$AY$8:$AY$2007,$A28,매출원본!$AS$8:$AS$2007,"&gt;="&amp;(설정!$B$5-설정!$B$8),매출원본!$AS$8:$AS$2007,"&lt;="&amp;설정!$B$5)))</f>
        <v/>
      </c>
      <c r="AC28" s="31">
        <f>IF(OR($U28="",$T28=""),"",INDEX(거래처설정!$J$8:$J$407,$T28))</f>
        <v/>
      </c>
      <c r="AD28" s="31">
        <f>IF(OR($U28="",$T28=""),"",INDEX(거래처설정!$K$8:$K$407,$T28))</f>
        <v/>
      </c>
      <c r="AE28" s="31">
        <f>IF($U28="","",IF(LEN(SUBSTITUTE(SUBSTITUTE(SUBSTITUTE(SUBSTITUTE(SUBSTITUTE(SUBSTITUTE(SUBSTITUTE(SUBSTITUTE(SUBSTITUTE($C28," ",""),"　",""),"(주)",""),"（주）",""),"㈜",""),"주식회사",""),"(유)",""),"（유）",""),"유한회사",""))&lt;2,"",SUBSTITUTE(SUBSTITUTE(SUBSTITUTE(SUBSTITUTE(SUBSTITUTE(SUBSTITUTE(SUBSTITUTE(SUBSTITUTE(SUBSTITUTE($C28," ",""),"　",""),"(주)",""),"（주）",""),"㈜",""),"주식회사",""),"(유)",""),"（유）",""),"유한회사","")))</f>
        <v/>
      </c>
    </row>
    <row r="29">
      <c r="A29" s="38">
        <f>IF($U29="","",22)</f>
        <v/>
      </c>
      <c r="B29" s="38">
        <f>IF($U29="","",IF(LEN(INDEX(매출원본!$AU$8:$AU$2007,$U29))=10,LEFT(INDEX(매출원본!$AU$8:$AU$2007,$U29),3)&amp;"-"&amp;MID(INDEX(매출원본!$AU$8:$AU$2007,$U29),4,2)&amp;"-"&amp;RIGHT(INDEX(매출원본!$AU$8:$AU$2007,$U29),5),IF(LEFT(INDEX(매출원본!$AU$8:$AU$2007,$U29),2)="N:","(번호 없음)",INDEX(매출원본!$AU$8:$AU$2007,$U29))))</f>
        <v/>
      </c>
      <c r="C29" s="38">
        <f>IF($U29="","",INDEX(매출원본!$AV$8:$AV$2007,$U29))</f>
        <v/>
      </c>
      <c r="D29" s="39">
        <f>IF($U29="","",IF($T29="",0,N(INDEX(거래처설정!$E$8:$E$407,$T29))))</f>
        <v/>
      </c>
      <c r="E29" s="39">
        <f>IF($U29="","",SUMIFS(매출원본!$AT$8:$AT$2007,매출원본!$AY$8:$AY$2007,$A29,매출원본!$AS$8:$AS$2007,"&lt;="&amp;설정!$B$5))</f>
        <v/>
      </c>
      <c r="F29" s="39">
        <f>IF($U29="","",SUMIFS(입금_은행1!$Z$8:$Z$2007,입금_은행1!$AC$8:$AC$2007,$A29,입금_은행1!$Y$8:$Y$2007,"&lt;="&amp;설정!$B$5)+SUMIFS(입금_은행2!$Z$8:$Z$2007,입금_은행2!$AC$8:$AC$2007,$A29,입금_은행2!$Y$8:$Y$2007,"&lt;="&amp;설정!$B$5))</f>
        <v/>
      </c>
      <c r="G29" s="39">
        <f>IF($U29="","",$D29+$E29-$F29)</f>
        <v/>
      </c>
      <c r="H29" s="39">
        <f>IF($U29="","",MIN(MAX($G29,0),$V29))</f>
        <v/>
      </c>
      <c r="I29" s="39">
        <f>IF($U29="","",MIN(MAX($G29,0),$W29)-MIN(MAX($G29,0),$V29))</f>
        <v/>
      </c>
      <c r="J29" s="39">
        <f>IF($U29="","",MIN(MAX($G29,0),$X29)-MIN(MAX($G29,0),$W29))</f>
        <v/>
      </c>
      <c r="K29" s="39">
        <f>IF($U29="","",MAX($G29,0)-MIN(MAX($G29,0),$X29))</f>
        <v/>
      </c>
      <c r="L29" s="40">
        <f>IF($U29="","",IF(MAX(SUMPRODUCT(MAX((입금_은행1!$AC$8:$AC$2007=$A29)*(입금_은행1!$AE$8:$AE$2007&lt;=설정!$B$5)*입금_은행1!$AE$8:$AE$2007)),SUMPRODUCT(MAX((입금_은행2!$AC$8:$AC$2007=$A29)*(입금_은행2!$AE$8:$AE$2007&lt;=설정!$B$5)*입금_은행2!$AE$8:$AE$2007)))=0,"",MAX(SUMPRODUCT(MAX((입금_은행1!$AC$8:$AC$2007=$A29)*(입금_은행1!$AE$8:$AE$2007&lt;=설정!$B$5)*입금_은행1!$AE$8:$AE$2007)),SUMPRODUCT(MAX((입금_은행2!$AC$8:$AC$2007=$A29)*(입금_은행2!$AE$8:$AE$2007&lt;=설정!$B$5)*입금_은행2!$AE$8:$AE$2007)))))</f>
        <v/>
      </c>
      <c r="M29" s="38">
        <f>IF($U29="","",IF($T29="","",IF(INDEX(거래처설정!$F$8:$F$407,$T29)="","",INDEX(거래처설정!$F$8:$F$407,$T29))))</f>
        <v/>
      </c>
      <c r="N29" s="38">
        <f>IF($U29="","",IF($T29="","",IF(INDEX(거래처설정!$G$8:$G$407,$T29)="","",INDEX(거래처설정!$G$8:$G$407,$T29))))</f>
        <v/>
      </c>
      <c r="O29" s="38">
        <f>IF($U29="","",IF($M29="제외",0,IF($K29&gt;=설정!$B$9,3,IF($J29+$K29&gt;=설정!$B$9,2,IF($I29+$J29+$K29&gt;=설정!$B$9,1,0)))))</f>
        <v/>
      </c>
      <c r="P29" s="38">
        <f>IF($U29="","",IF($M29="제외","제외(조치 상태)",IF($O29=3,"③ 강한 독촉 후보 ("&amp;설정!$B$8&amp;"일 초과)",IF($O29=2,"② 독촉 후보 ("&amp;설정!$B$7&amp;"일 초과)",IF($O29=1,"① 안내 후보 ("&amp;설정!$B$6&amp;"일 초과)",IF($G29&gt;0,IF($I29+$J29+$K29&gt;0,"오래된 잔액 있음 (최소 금액 미만)","정상 범위"),IF($G29&lt;0,"선수금·초과입금 — 확인","완납")))))))</f>
        <v/>
      </c>
      <c r="Q29" s="38">
        <f>IF($U29="","",IF($G29&lt;0,"입금이 매출보다 큼 — 선수금이거나 다른 거래처 입금이 섞였는지 확인",IF(AND($AE29&lt;&gt;"",COUNTIF($AE$8:$AE$307,"*"&amp;$AE29&amp;"*")&gt;1),"이름이 다른 거래처와 겹침 — 입금이 잘못 맞았을 수 있으니 별칭 확인",IF(AND($G29&gt;0,$F29=0),"입금 매칭 없음 — 입금자명이 다르면 [거래처설정]에 별칭 등록",""))))</f>
        <v/>
      </c>
      <c r="R29" s="31">
        <f>IF(OR($U29="",$G29&lt;=0),"",$G29-$A29/10000)</f>
        <v/>
      </c>
      <c r="S29" s="31">
        <f>IF(OR($U29="",$O29&lt;1),"",$O29*10^11+$I29+$J29+$K29-$A29/1000)</f>
        <v/>
      </c>
      <c r="T29" s="31">
        <f>IF($U29="","",IFERROR(MATCH(INDEX(매출원본!$AU$8:$AU$2007,$U29),거래처설정!$I$8:$I$407,0),""))</f>
        <v/>
      </c>
      <c r="U29" s="31">
        <f>IFERROR(MATCH(22,매출원본!$AW$8:$AW$2007,0),"")</f>
        <v/>
      </c>
      <c r="V29" s="31">
        <f>IF($U29="","",MAX(SUMIFS(매출원본!$AT$8:$AT$2007,매출원본!$AY$8:$AY$2007,$A29,매출원본!$AS$8:$AS$2007,"&gt;="&amp;(설정!$B$5-설정!$B$6),매출원본!$AS$8:$AS$2007,"&lt;="&amp;설정!$B$5),0))</f>
        <v/>
      </c>
      <c r="W29" s="31">
        <f>IF($U29="","",MAX($V29,SUMIFS(매출원본!$AT$8:$AT$2007,매출원본!$AY$8:$AY$2007,$A29,매출원본!$AS$8:$AS$2007,"&gt;="&amp;(설정!$B$5-설정!$B$7),매출원본!$AS$8:$AS$2007,"&lt;="&amp;설정!$B$5)))</f>
        <v/>
      </c>
      <c r="X29" s="31">
        <f>IF($U29="","",MAX($W29,SUMIFS(매출원본!$AT$8:$AT$2007,매출원본!$AY$8:$AY$2007,$A29,매출원본!$AS$8:$AS$2007,"&gt;="&amp;(설정!$B$5-설정!$B$8),매출원본!$AS$8:$AS$2007,"&lt;="&amp;설정!$B$5)))</f>
        <v/>
      </c>
      <c r="AC29" s="31">
        <f>IF(OR($U29="",$T29=""),"",INDEX(거래처설정!$J$8:$J$407,$T29))</f>
        <v/>
      </c>
      <c r="AD29" s="31">
        <f>IF(OR($U29="",$T29=""),"",INDEX(거래처설정!$K$8:$K$407,$T29))</f>
        <v/>
      </c>
      <c r="AE29" s="31">
        <f>IF($U29="","",IF(LEN(SUBSTITUTE(SUBSTITUTE(SUBSTITUTE(SUBSTITUTE(SUBSTITUTE(SUBSTITUTE(SUBSTITUTE(SUBSTITUTE(SUBSTITUTE($C29," ",""),"　",""),"(주)",""),"（주）",""),"㈜",""),"주식회사",""),"(유)",""),"（유）",""),"유한회사",""))&lt;2,"",SUBSTITUTE(SUBSTITUTE(SUBSTITUTE(SUBSTITUTE(SUBSTITUTE(SUBSTITUTE(SUBSTITUTE(SUBSTITUTE(SUBSTITUTE($C29," ",""),"　",""),"(주)",""),"（주）",""),"㈜",""),"주식회사",""),"(유)",""),"（유）",""),"유한회사","")))</f>
        <v/>
      </c>
    </row>
    <row r="30">
      <c r="A30" s="38">
        <f>IF($U30="","",23)</f>
        <v/>
      </c>
      <c r="B30" s="38">
        <f>IF($U30="","",IF(LEN(INDEX(매출원본!$AU$8:$AU$2007,$U30))=10,LEFT(INDEX(매출원본!$AU$8:$AU$2007,$U30),3)&amp;"-"&amp;MID(INDEX(매출원본!$AU$8:$AU$2007,$U30),4,2)&amp;"-"&amp;RIGHT(INDEX(매출원본!$AU$8:$AU$2007,$U30),5),IF(LEFT(INDEX(매출원본!$AU$8:$AU$2007,$U30),2)="N:","(번호 없음)",INDEX(매출원본!$AU$8:$AU$2007,$U30))))</f>
        <v/>
      </c>
      <c r="C30" s="38">
        <f>IF($U30="","",INDEX(매출원본!$AV$8:$AV$2007,$U30))</f>
        <v/>
      </c>
      <c r="D30" s="39">
        <f>IF($U30="","",IF($T30="",0,N(INDEX(거래처설정!$E$8:$E$407,$T30))))</f>
        <v/>
      </c>
      <c r="E30" s="39">
        <f>IF($U30="","",SUMIFS(매출원본!$AT$8:$AT$2007,매출원본!$AY$8:$AY$2007,$A30,매출원본!$AS$8:$AS$2007,"&lt;="&amp;설정!$B$5))</f>
        <v/>
      </c>
      <c r="F30" s="39">
        <f>IF($U30="","",SUMIFS(입금_은행1!$Z$8:$Z$2007,입금_은행1!$AC$8:$AC$2007,$A30,입금_은행1!$Y$8:$Y$2007,"&lt;="&amp;설정!$B$5)+SUMIFS(입금_은행2!$Z$8:$Z$2007,입금_은행2!$AC$8:$AC$2007,$A30,입금_은행2!$Y$8:$Y$2007,"&lt;="&amp;설정!$B$5))</f>
        <v/>
      </c>
      <c r="G30" s="39">
        <f>IF($U30="","",$D30+$E30-$F30)</f>
        <v/>
      </c>
      <c r="H30" s="39">
        <f>IF($U30="","",MIN(MAX($G30,0),$V30))</f>
        <v/>
      </c>
      <c r="I30" s="39">
        <f>IF($U30="","",MIN(MAX($G30,0),$W30)-MIN(MAX($G30,0),$V30))</f>
        <v/>
      </c>
      <c r="J30" s="39">
        <f>IF($U30="","",MIN(MAX($G30,0),$X30)-MIN(MAX($G30,0),$W30))</f>
        <v/>
      </c>
      <c r="K30" s="39">
        <f>IF($U30="","",MAX($G30,0)-MIN(MAX($G30,0),$X30))</f>
        <v/>
      </c>
      <c r="L30" s="40">
        <f>IF($U30="","",IF(MAX(SUMPRODUCT(MAX((입금_은행1!$AC$8:$AC$2007=$A30)*(입금_은행1!$AE$8:$AE$2007&lt;=설정!$B$5)*입금_은행1!$AE$8:$AE$2007)),SUMPRODUCT(MAX((입금_은행2!$AC$8:$AC$2007=$A30)*(입금_은행2!$AE$8:$AE$2007&lt;=설정!$B$5)*입금_은행2!$AE$8:$AE$2007)))=0,"",MAX(SUMPRODUCT(MAX((입금_은행1!$AC$8:$AC$2007=$A30)*(입금_은행1!$AE$8:$AE$2007&lt;=설정!$B$5)*입금_은행1!$AE$8:$AE$2007)),SUMPRODUCT(MAX((입금_은행2!$AC$8:$AC$2007=$A30)*(입금_은행2!$AE$8:$AE$2007&lt;=설정!$B$5)*입금_은행2!$AE$8:$AE$2007)))))</f>
        <v/>
      </c>
      <c r="M30" s="38">
        <f>IF($U30="","",IF($T30="","",IF(INDEX(거래처설정!$F$8:$F$407,$T30)="","",INDEX(거래처설정!$F$8:$F$407,$T30))))</f>
        <v/>
      </c>
      <c r="N30" s="38">
        <f>IF($U30="","",IF($T30="","",IF(INDEX(거래처설정!$G$8:$G$407,$T30)="","",INDEX(거래처설정!$G$8:$G$407,$T30))))</f>
        <v/>
      </c>
      <c r="O30" s="38">
        <f>IF($U30="","",IF($M30="제외",0,IF($K30&gt;=설정!$B$9,3,IF($J30+$K30&gt;=설정!$B$9,2,IF($I30+$J30+$K30&gt;=설정!$B$9,1,0)))))</f>
        <v/>
      </c>
      <c r="P30" s="38">
        <f>IF($U30="","",IF($M30="제외","제외(조치 상태)",IF($O30=3,"③ 강한 독촉 후보 ("&amp;설정!$B$8&amp;"일 초과)",IF($O30=2,"② 독촉 후보 ("&amp;설정!$B$7&amp;"일 초과)",IF($O30=1,"① 안내 후보 ("&amp;설정!$B$6&amp;"일 초과)",IF($G30&gt;0,IF($I30+$J30+$K30&gt;0,"오래된 잔액 있음 (최소 금액 미만)","정상 범위"),IF($G30&lt;0,"선수금·초과입금 — 확인","완납")))))))</f>
        <v/>
      </c>
      <c r="Q30" s="38">
        <f>IF($U30="","",IF($G30&lt;0,"입금이 매출보다 큼 — 선수금이거나 다른 거래처 입금이 섞였는지 확인",IF(AND($AE30&lt;&gt;"",COUNTIF($AE$8:$AE$307,"*"&amp;$AE30&amp;"*")&gt;1),"이름이 다른 거래처와 겹침 — 입금이 잘못 맞았을 수 있으니 별칭 확인",IF(AND($G30&gt;0,$F30=0),"입금 매칭 없음 — 입금자명이 다르면 [거래처설정]에 별칭 등록",""))))</f>
        <v/>
      </c>
      <c r="R30" s="31">
        <f>IF(OR($U30="",$G30&lt;=0),"",$G30-$A30/10000)</f>
        <v/>
      </c>
      <c r="S30" s="31">
        <f>IF(OR($U30="",$O30&lt;1),"",$O30*10^11+$I30+$J30+$K30-$A30/1000)</f>
        <v/>
      </c>
      <c r="T30" s="31">
        <f>IF($U30="","",IFERROR(MATCH(INDEX(매출원본!$AU$8:$AU$2007,$U30),거래처설정!$I$8:$I$407,0),""))</f>
        <v/>
      </c>
      <c r="U30" s="31">
        <f>IFERROR(MATCH(23,매출원본!$AW$8:$AW$2007,0),"")</f>
        <v/>
      </c>
      <c r="V30" s="31">
        <f>IF($U30="","",MAX(SUMIFS(매출원본!$AT$8:$AT$2007,매출원본!$AY$8:$AY$2007,$A30,매출원본!$AS$8:$AS$2007,"&gt;="&amp;(설정!$B$5-설정!$B$6),매출원본!$AS$8:$AS$2007,"&lt;="&amp;설정!$B$5),0))</f>
        <v/>
      </c>
      <c r="W30" s="31">
        <f>IF($U30="","",MAX($V30,SUMIFS(매출원본!$AT$8:$AT$2007,매출원본!$AY$8:$AY$2007,$A30,매출원본!$AS$8:$AS$2007,"&gt;="&amp;(설정!$B$5-설정!$B$7),매출원본!$AS$8:$AS$2007,"&lt;="&amp;설정!$B$5)))</f>
        <v/>
      </c>
      <c r="X30" s="31">
        <f>IF($U30="","",MAX($W30,SUMIFS(매출원본!$AT$8:$AT$2007,매출원본!$AY$8:$AY$2007,$A30,매출원본!$AS$8:$AS$2007,"&gt;="&amp;(설정!$B$5-설정!$B$8),매출원본!$AS$8:$AS$2007,"&lt;="&amp;설정!$B$5)))</f>
        <v/>
      </c>
      <c r="AC30" s="31">
        <f>IF(OR($U30="",$T30=""),"",INDEX(거래처설정!$J$8:$J$407,$T30))</f>
        <v/>
      </c>
      <c r="AD30" s="31">
        <f>IF(OR($U30="",$T30=""),"",INDEX(거래처설정!$K$8:$K$407,$T30))</f>
        <v/>
      </c>
      <c r="AE30" s="31">
        <f>IF($U30="","",IF(LEN(SUBSTITUTE(SUBSTITUTE(SUBSTITUTE(SUBSTITUTE(SUBSTITUTE(SUBSTITUTE(SUBSTITUTE(SUBSTITUTE(SUBSTITUTE($C30," ",""),"　",""),"(주)",""),"（주）",""),"㈜",""),"주식회사",""),"(유)",""),"（유）",""),"유한회사",""))&lt;2,"",SUBSTITUTE(SUBSTITUTE(SUBSTITUTE(SUBSTITUTE(SUBSTITUTE(SUBSTITUTE(SUBSTITUTE(SUBSTITUTE(SUBSTITUTE($C30," ",""),"　",""),"(주)",""),"（주）",""),"㈜",""),"주식회사",""),"(유)",""),"（유）",""),"유한회사","")))</f>
        <v/>
      </c>
    </row>
    <row r="31">
      <c r="A31" s="38">
        <f>IF($U31="","",24)</f>
        <v/>
      </c>
      <c r="B31" s="38">
        <f>IF($U31="","",IF(LEN(INDEX(매출원본!$AU$8:$AU$2007,$U31))=10,LEFT(INDEX(매출원본!$AU$8:$AU$2007,$U31),3)&amp;"-"&amp;MID(INDEX(매출원본!$AU$8:$AU$2007,$U31),4,2)&amp;"-"&amp;RIGHT(INDEX(매출원본!$AU$8:$AU$2007,$U31),5),IF(LEFT(INDEX(매출원본!$AU$8:$AU$2007,$U31),2)="N:","(번호 없음)",INDEX(매출원본!$AU$8:$AU$2007,$U31))))</f>
        <v/>
      </c>
      <c r="C31" s="38">
        <f>IF($U31="","",INDEX(매출원본!$AV$8:$AV$2007,$U31))</f>
        <v/>
      </c>
      <c r="D31" s="39">
        <f>IF($U31="","",IF($T31="",0,N(INDEX(거래처설정!$E$8:$E$407,$T31))))</f>
        <v/>
      </c>
      <c r="E31" s="39">
        <f>IF($U31="","",SUMIFS(매출원본!$AT$8:$AT$2007,매출원본!$AY$8:$AY$2007,$A31,매출원본!$AS$8:$AS$2007,"&lt;="&amp;설정!$B$5))</f>
        <v/>
      </c>
      <c r="F31" s="39">
        <f>IF($U31="","",SUMIFS(입금_은행1!$Z$8:$Z$2007,입금_은행1!$AC$8:$AC$2007,$A31,입금_은행1!$Y$8:$Y$2007,"&lt;="&amp;설정!$B$5)+SUMIFS(입금_은행2!$Z$8:$Z$2007,입금_은행2!$AC$8:$AC$2007,$A31,입금_은행2!$Y$8:$Y$2007,"&lt;="&amp;설정!$B$5))</f>
        <v/>
      </c>
      <c r="G31" s="39">
        <f>IF($U31="","",$D31+$E31-$F31)</f>
        <v/>
      </c>
      <c r="H31" s="39">
        <f>IF($U31="","",MIN(MAX($G31,0),$V31))</f>
        <v/>
      </c>
      <c r="I31" s="39">
        <f>IF($U31="","",MIN(MAX($G31,0),$W31)-MIN(MAX($G31,0),$V31))</f>
        <v/>
      </c>
      <c r="J31" s="39">
        <f>IF($U31="","",MIN(MAX($G31,0),$X31)-MIN(MAX($G31,0),$W31))</f>
        <v/>
      </c>
      <c r="K31" s="39">
        <f>IF($U31="","",MAX($G31,0)-MIN(MAX($G31,0),$X31))</f>
        <v/>
      </c>
      <c r="L31" s="40">
        <f>IF($U31="","",IF(MAX(SUMPRODUCT(MAX((입금_은행1!$AC$8:$AC$2007=$A31)*(입금_은행1!$AE$8:$AE$2007&lt;=설정!$B$5)*입금_은행1!$AE$8:$AE$2007)),SUMPRODUCT(MAX((입금_은행2!$AC$8:$AC$2007=$A31)*(입금_은행2!$AE$8:$AE$2007&lt;=설정!$B$5)*입금_은행2!$AE$8:$AE$2007)))=0,"",MAX(SUMPRODUCT(MAX((입금_은행1!$AC$8:$AC$2007=$A31)*(입금_은행1!$AE$8:$AE$2007&lt;=설정!$B$5)*입금_은행1!$AE$8:$AE$2007)),SUMPRODUCT(MAX((입금_은행2!$AC$8:$AC$2007=$A31)*(입금_은행2!$AE$8:$AE$2007&lt;=설정!$B$5)*입금_은행2!$AE$8:$AE$2007)))))</f>
        <v/>
      </c>
      <c r="M31" s="38">
        <f>IF($U31="","",IF($T31="","",IF(INDEX(거래처설정!$F$8:$F$407,$T31)="","",INDEX(거래처설정!$F$8:$F$407,$T31))))</f>
        <v/>
      </c>
      <c r="N31" s="38">
        <f>IF($U31="","",IF($T31="","",IF(INDEX(거래처설정!$G$8:$G$407,$T31)="","",INDEX(거래처설정!$G$8:$G$407,$T31))))</f>
        <v/>
      </c>
      <c r="O31" s="38">
        <f>IF($U31="","",IF($M31="제외",0,IF($K31&gt;=설정!$B$9,3,IF($J31+$K31&gt;=설정!$B$9,2,IF($I31+$J31+$K31&gt;=설정!$B$9,1,0)))))</f>
        <v/>
      </c>
      <c r="P31" s="38">
        <f>IF($U31="","",IF($M31="제외","제외(조치 상태)",IF($O31=3,"③ 강한 독촉 후보 ("&amp;설정!$B$8&amp;"일 초과)",IF($O31=2,"② 독촉 후보 ("&amp;설정!$B$7&amp;"일 초과)",IF($O31=1,"① 안내 후보 ("&amp;설정!$B$6&amp;"일 초과)",IF($G31&gt;0,IF($I31+$J31+$K31&gt;0,"오래된 잔액 있음 (최소 금액 미만)","정상 범위"),IF($G31&lt;0,"선수금·초과입금 — 확인","완납")))))))</f>
        <v/>
      </c>
      <c r="Q31" s="38">
        <f>IF($U31="","",IF($G31&lt;0,"입금이 매출보다 큼 — 선수금이거나 다른 거래처 입금이 섞였는지 확인",IF(AND($AE31&lt;&gt;"",COUNTIF($AE$8:$AE$307,"*"&amp;$AE31&amp;"*")&gt;1),"이름이 다른 거래처와 겹침 — 입금이 잘못 맞았을 수 있으니 별칭 확인",IF(AND($G31&gt;0,$F31=0),"입금 매칭 없음 — 입금자명이 다르면 [거래처설정]에 별칭 등록",""))))</f>
        <v/>
      </c>
      <c r="R31" s="31">
        <f>IF(OR($U31="",$G31&lt;=0),"",$G31-$A31/10000)</f>
        <v/>
      </c>
      <c r="S31" s="31">
        <f>IF(OR($U31="",$O31&lt;1),"",$O31*10^11+$I31+$J31+$K31-$A31/1000)</f>
        <v/>
      </c>
      <c r="T31" s="31">
        <f>IF($U31="","",IFERROR(MATCH(INDEX(매출원본!$AU$8:$AU$2007,$U31),거래처설정!$I$8:$I$407,0),""))</f>
        <v/>
      </c>
      <c r="U31" s="31">
        <f>IFERROR(MATCH(24,매출원본!$AW$8:$AW$2007,0),"")</f>
        <v/>
      </c>
      <c r="V31" s="31">
        <f>IF($U31="","",MAX(SUMIFS(매출원본!$AT$8:$AT$2007,매출원본!$AY$8:$AY$2007,$A31,매출원본!$AS$8:$AS$2007,"&gt;="&amp;(설정!$B$5-설정!$B$6),매출원본!$AS$8:$AS$2007,"&lt;="&amp;설정!$B$5),0))</f>
        <v/>
      </c>
      <c r="W31" s="31">
        <f>IF($U31="","",MAX($V31,SUMIFS(매출원본!$AT$8:$AT$2007,매출원본!$AY$8:$AY$2007,$A31,매출원본!$AS$8:$AS$2007,"&gt;="&amp;(설정!$B$5-설정!$B$7),매출원본!$AS$8:$AS$2007,"&lt;="&amp;설정!$B$5)))</f>
        <v/>
      </c>
      <c r="X31" s="31">
        <f>IF($U31="","",MAX($W31,SUMIFS(매출원본!$AT$8:$AT$2007,매출원본!$AY$8:$AY$2007,$A31,매출원본!$AS$8:$AS$2007,"&gt;="&amp;(설정!$B$5-설정!$B$8),매출원본!$AS$8:$AS$2007,"&lt;="&amp;설정!$B$5)))</f>
        <v/>
      </c>
      <c r="AC31" s="31">
        <f>IF(OR($U31="",$T31=""),"",INDEX(거래처설정!$J$8:$J$407,$T31))</f>
        <v/>
      </c>
      <c r="AD31" s="31">
        <f>IF(OR($U31="",$T31=""),"",INDEX(거래처설정!$K$8:$K$407,$T31))</f>
        <v/>
      </c>
      <c r="AE31" s="31">
        <f>IF($U31="","",IF(LEN(SUBSTITUTE(SUBSTITUTE(SUBSTITUTE(SUBSTITUTE(SUBSTITUTE(SUBSTITUTE(SUBSTITUTE(SUBSTITUTE(SUBSTITUTE($C31," ",""),"　",""),"(주)",""),"（주）",""),"㈜",""),"주식회사",""),"(유)",""),"（유）",""),"유한회사",""))&lt;2,"",SUBSTITUTE(SUBSTITUTE(SUBSTITUTE(SUBSTITUTE(SUBSTITUTE(SUBSTITUTE(SUBSTITUTE(SUBSTITUTE(SUBSTITUTE($C31," ",""),"　",""),"(주)",""),"（주）",""),"㈜",""),"주식회사",""),"(유)",""),"（유）",""),"유한회사","")))</f>
        <v/>
      </c>
    </row>
    <row r="32">
      <c r="A32" s="38">
        <f>IF($U32="","",25)</f>
        <v/>
      </c>
      <c r="B32" s="38">
        <f>IF($U32="","",IF(LEN(INDEX(매출원본!$AU$8:$AU$2007,$U32))=10,LEFT(INDEX(매출원본!$AU$8:$AU$2007,$U32),3)&amp;"-"&amp;MID(INDEX(매출원본!$AU$8:$AU$2007,$U32),4,2)&amp;"-"&amp;RIGHT(INDEX(매출원본!$AU$8:$AU$2007,$U32),5),IF(LEFT(INDEX(매출원본!$AU$8:$AU$2007,$U32),2)="N:","(번호 없음)",INDEX(매출원본!$AU$8:$AU$2007,$U32))))</f>
        <v/>
      </c>
      <c r="C32" s="38">
        <f>IF($U32="","",INDEX(매출원본!$AV$8:$AV$2007,$U32))</f>
        <v/>
      </c>
      <c r="D32" s="39">
        <f>IF($U32="","",IF($T32="",0,N(INDEX(거래처설정!$E$8:$E$407,$T32))))</f>
        <v/>
      </c>
      <c r="E32" s="39">
        <f>IF($U32="","",SUMIFS(매출원본!$AT$8:$AT$2007,매출원본!$AY$8:$AY$2007,$A32,매출원본!$AS$8:$AS$2007,"&lt;="&amp;설정!$B$5))</f>
        <v/>
      </c>
      <c r="F32" s="39">
        <f>IF($U32="","",SUMIFS(입금_은행1!$Z$8:$Z$2007,입금_은행1!$AC$8:$AC$2007,$A32,입금_은행1!$Y$8:$Y$2007,"&lt;="&amp;설정!$B$5)+SUMIFS(입금_은행2!$Z$8:$Z$2007,입금_은행2!$AC$8:$AC$2007,$A32,입금_은행2!$Y$8:$Y$2007,"&lt;="&amp;설정!$B$5))</f>
        <v/>
      </c>
      <c r="G32" s="39">
        <f>IF($U32="","",$D32+$E32-$F32)</f>
        <v/>
      </c>
      <c r="H32" s="39">
        <f>IF($U32="","",MIN(MAX($G32,0),$V32))</f>
        <v/>
      </c>
      <c r="I32" s="39">
        <f>IF($U32="","",MIN(MAX($G32,0),$W32)-MIN(MAX($G32,0),$V32))</f>
        <v/>
      </c>
      <c r="J32" s="39">
        <f>IF($U32="","",MIN(MAX($G32,0),$X32)-MIN(MAX($G32,0),$W32))</f>
        <v/>
      </c>
      <c r="K32" s="39">
        <f>IF($U32="","",MAX($G32,0)-MIN(MAX($G32,0),$X32))</f>
        <v/>
      </c>
      <c r="L32" s="40">
        <f>IF($U32="","",IF(MAX(SUMPRODUCT(MAX((입금_은행1!$AC$8:$AC$2007=$A32)*(입금_은행1!$AE$8:$AE$2007&lt;=설정!$B$5)*입금_은행1!$AE$8:$AE$2007)),SUMPRODUCT(MAX((입금_은행2!$AC$8:$AC$2007=$A32)*(입금_은행2!$AE$8:$AE$2007&lt;=설정!$B$5)*입금_은행2!$AE$8:$AE$2007)))=0,"",MAX(SUMPRODUCT(MAX((입금_은행1!$AC$8:$AC$2007=$A32)*(입금_은행1!$AE$8:$AE$2007&lt;=설정!$B$5)*입금_은행1!$AE$8:$AE$2007)),SUMPRODUCT(MAX((입금_은행2!$AC$8:$AC$2007=$A32)*(입금_은행2!$AE$8:$AE$2007&lt;=설정!$B$5)*입금_은행2!$AE$8:$AE$2007)))))</f>
        <v/>
      </c>
      <c r="M32" s="38">
        <f>IF($U32="","",IF($T32="","",IF(INDEX(거래처설정!$F$8:$F$407,$T32)="","",INDEX(거래처설정!$F$8:$F$407,$T32))))</f>
        <v/>
      </c>
      <c r="N32" s="38">
        <f>IF($U32="","",IF($T32="","",IF(INDEX(거래처설정!$G$8:$G$407,$T32)="","",INDEX(거래처설정!$G$8:$G$407,$T32))))</f>
        <v/>
      </c>
      <c r="O32" s="38">
        <f>IF($U32="","",IF($M32="제외",0,IF($K32&gt;=설정!$B$9,3,IF($J32+$K32&gt;=설정!$B$9,2,IF($I32+$J32+$K32&gt;=설정!$B$9,1,0)))))</f>
        <v/>
      </c>
      <c r="P32" s="38">
        <f>IF($U32="","",IF($M32="제외","제외(조치 상태)",IF($O32=3,"③ 강한 독촉 후보 ("&amp;설정!$B$8&amp;"일 초과)",IF($O32=2,"② 독촉 후보 ("&amp;설정!$B$7&amp;"일 초과)",IF($O32=1,"① 안내 후보 ("&amp;설정!$B$6&amp;"일 초과)",IF($G32&gt;0,IF($I32+$J32+$K32&gt;0,"오래된 잔액 있음 (최소 금액 미만)","정상 범위"),IF($G32&lt;0,"선수금·초과입금 — 확인","완납")))))))</f>
        <v/>
      </c>
      <c r="Q32" s="38">
        <f>IF($U32="","",IF($G32&lt;0,"입금이 매출보다 큼 — 선수금이거나 다른 거래처 입금이 섞였는지 확인",IF(AND($AE32&lt;&gt;"",COUNTIF($AE$8:$AE$307,"*"&amp;$AE32&amp;"*")&gt;1),"이름이 다른 거래처와 겹침 — 입금이 잘못 맞았을 수 있으니 별칭 확인",IF(AND($G32&gt;0,$F32=0),"입금 매칭 없음 — 입금자명이 다르면 [거래처설정]에 별칭 등록",""))))</f>
        <v/>
      </c>
      <c r="R32" s="31">
        <f>IF(OR($U32="",$G32&lt;=0),"",$G32-$A32/10000)</f>
        <v/>
      </c>
      <c r="S32" s="31">
        <f>IF(OR($U32="",$O32&lt;1),"",$O32*10^11+$I32+$J32+$K32-$A32/1000)</f>
        <v/>
      </c>
      <c r="T32" s="31">
        <f>IF($U32="","",IFERROR(MATCH(INDEX(매출원본!$AU$8:$AU$2007,$U32),거래처설정!$I$8:$I$407,0),""))</f>
        <v/>
      </c>
      <c r="U32" s="31">
        <f>IFERROR(MATCH(25,매출원본!$AW$8:$AW$2007,0),"")</f>
        <v/>
      </c>
      <c r="V32" s="31">
        <f>IF($U32="","",MAX(SUMIFS(매출원본!$AT$8:$AT$2007,매출원본!$AY$8:$AY$2007,$A32,매출원본!$AS$8:$AS$2007,"&gt;="&amp;(설정!$B$5-설정!$B$6),매출원본!$AS$8:$AS$2007,"&lt;="&amp;설정!$B$5),0))</f>
        <v/>
      </c>
      <c r="W32" s="31">
        <f>IF($U32="","",MAX($V32,SUMIFS(매출원본!$AT$8:$AT$2007,매출원본!$AY$8:$AY$2007,$A32,매출원본!$AS$8:$AS$2007,"&gt;="&amp;(설정!$B$5-설정!$B$7),매출원본!$AS$8:$AS$2007,"&lt;="&amp;설정!$B$5)))</f>
        <v/>
      </c>
      <c r="X32" s="31">
        <f>IF($U32="","",MAX($W32,SUMIFS(매출원본!$AT$8:$AT$2007,매출원본!$AY$8:$AY$2007,$A32,매출원본!$AS$8:$AS$2007,"&gt;="&amp;(설정!$B$5-설정!$B$8),매출원본!$AS$8:$AS$2007,"&lt;="&amp;설정!$B$5)))</f>
        <v/>
      </c>
      <c r="AC32" s="31">
        <f>IF(OR($U32="",$T32=""),"",INDEX(거래처설정!$J$8:$J$407,$T32))</f>
        <v/>
      </c>
      <c r="AD32" s="31">
        <f>IF(OR($U32="",$T32=""),"",INDEX(거래처설정!$K$8:$K$407,$T32))</f>
        <v/>
      </c>
      <c r="AE32" s="31">
        <f>IF($U32="","",IF(LEN(SUBSTITUTE(SUBSTITUTE(SUBSTITUTE(SUBSTITUTE(SUBSTITUTE(SUBSTITUTE(SUBSTITUTE(SUBSTITUTE(SUBSTITUTE($C32," ",""),"　",""),"(주)",""),"（주）",""),"㈜",""),"주식회사",""),"(유)",""),"（유）",""),"유한회사",""))&lt;2,"",SUBSTITUTE(SUBSTITUTE(SUBSTITUTE(SUBSTITUTE(SUBSTITUTE(SUBSTITUTE(SUBSTITUTE(SUBSTITUTE(SUBSTITUTE($C32," ",""),"　",""),"(주)",""),"（주）",""),"㈜",""),"주식회사",""),"(유)",""),"（유）",""),"유한회사","")))</f>
        <v/>
      </c>
    </row>
    <row r="33">
      <c r="A33" s="38">
        <f>IF($U33="","",26)</f>
        <v/>
      </c>
      <c r="B33" s="38">
        <f>IF($U33="","",IF(LEN(INDEX(매출원본!$AU$8:$AU$2007,$U33))=10,LEFT(INDEX(매출원본!$AU$8:$AU$2007,$U33),3)&amp;"-"&amp;MID(INDEX(매출원본!$AU$8:$AU$2007,$U33),4,2)&amp;"-"&amp;RIGHT(INDEX(매출원본!$AU$8:$AU$2007,$U33),5),IF(LEFT(INDEX(매출원본!$AU$8:$AU$2007,$U33),2)="N:","(번호 없음)",INDEX(매출원본!$AU$8:$AU$2007,$U33))))</f>
        <v/>
      </c>
      <c r="C33" s="38">
        <f>IF($U33="","",INDEX(매출원본!$AV$8:$AV$2007,$U33))</f>
        <v/>
      </c>
      <c r="D33" s="39">
        <f>IF($U33="","",IF($T33="",0,N(INDEX(거래처설정!$E$8:$E$407,$T33))))</f>
        <v/>
      </c>
      <c r="E33" s="39">
        <f>IF($U33="","",SUMIFS(매출원본!$AT$8:$AT$2007,매출원본!$AY$8:$AY$2007,$A33,매출원본!$AS$8:$AS$2007,"&lt;="&amp;설정!$B$5))</f>
        <v/>
      </c>
      <c r="F33" s="39">
        <f>IF($U33="","",SUMIFS(입금_은행1!$Z$8:$Z$2007,입금_은행1!$AC$8:$AC$2007,$A33,입금_은행1!$Y$8:$Y$2007,"&lt;="&amp;설정!$B$5)+SUMIFS(입금_은행2!$Z$8:$Z$2007,입금_은행2!$AC$8:$AC$2007,$A33,입금_은행2!$Y$8:$Y$2007,"&lt;="&amp;설정!$B$5))</f>
        <v/>
      </c>
      <c r="G33" s="39">
        <f>IF($U33="","",$D33+$E33-$F33)</f>
        <v/>
      </c>
      <c r="H33" s="39">
        <f>IF($U33="","",MIN(MAX($G33,0),$V33))</f>
        <v/>
      </c>
      <c r="I33" s="39">
        <f>IF($U33="","",MIN(MAX($G33,0),$W33)-MIN(MAX($G33,0),$V33))</f>
        <v/>
      </c>
      <c r="J33" s="39">
        <f>IF($U33="","",MIN(MAX($G33,0),$X33)-MIN(MAX($G33,0),$W33))</f>
        <v/>
      </c>
      <c r="K33" s="39">
        <f>IF($U33="","",MAX($G33,0)-MIN(MAX($G33,0),$X33))</f>
        <v/>
      </c>
      <c r="L33" s="40">
        <f>IF($U33="","",IF(MAX(SUMPRODUCT(MAX((입금_은행1!$AC$8:$AC$2007=$A33)*(입금_은행1!$AE$8:$AE$2007&lt;=설정!$B$5)*입금_은행1!$AE$8:$AE$2007)),SUMPRODUCT(MAX((입금_은행2!$AC$8:$AC$2007=$A33)*(입금_은행2!$AE$8:$AE$2007&lt;=설정!$B$5)*입금_은행2!$AE$8:$AE$2007)))=0,"",MAX(SUMPRODUCT(MAX((입금_은행1!$AC$8:$AC$2007=$A33)*(입금_은행1!$AE$8:$AE$2007&lt;=설정!$B$5)*입금_은행1!$AE$8:$AE$2007)),SUMPRODUCT(MAX((입금_은행2!$AC$8:$AC$2007=$A33)*(입금_은행2!$AE$8:$AE$2007&lt;=설정!$B$5)*입금_은행2!$AE$8:$AE$2007)))))</f>
        <v/>
      </c>
      <c r="M33" s="38">
        <f>IF($U33="","",IF($T33="","",IF(INDEX(거래처설정!$F$8:$F$407,$T33)="","",INDEX(거래처설정!$F$8:$F$407,$T33))))</f>
        <v/>
      </c>
      <c r="N33" s="38">
        <f>IF($U33="","",IF($T33="","",IF(INDEX(거래처설정!$G$8:$G$407,$T33)="","",INDEX(거래처설정!$G$8:$G$407,$T33))))</f>
        <v/>
      </c>
      <c r="O33" s="38">
        <f>IF($U33="","",IF($M33="제외",0,IF($K33&gt;=설정!$B$9,3,IF($J33+$K33&gt;=설정!$B$9,2,IF($I33+$J33+$K33&gt;=설정!$B$9,1,0)))))</f>
        <v/>
      </c>
      <c r="P33" s="38">
        <f>IF($U33="","",IF($M33="제외","제외(조치 상태)",IF($O33=3,"③ 강한 독촉 후보 ("&amp;설정!$B$8&amp;"일 초과)",IF($O33=2,"② 독촉 후보 ("&amp;설정!$B$7&amp;"일 초과)",IF($O33=1,"① 안내 후보 ("&amp;설정!$B$6&amp;"일 초과)",IF($G33&gt;0,IF($I33+$J33+$K33&gt;0,"오래된 잔액 있음 (최소 금액 미만)","정상 범위"),IF($G33&lt;0,"선수금·초과입금 — 확인","완납")))))))</f>
        <v/>
      </c>
      <c r="Q33" s="38">
        <f>IF($U33="","",IF($G33&lt;0,"입금이 매출보다 큼 — 선수금이거나 다른 거래처 입금이 섞였는지 확인",IF(AND($AE33&lt;&gt;"",COUNTIF($AE$8:$AE$307,"*"&amp;$AE33&amp;"*")&gt;1),"이름이 다른 거래처와 겹침 — 입금이 잘못 맞았을 수 있으니 별칭 확인",IF(AND($G33&gt;0,$F33=0),"입금 매칭 없음 — 입금자명이 다르면 [거래처설정]에 별칭 등록",""))))</f>
        <v/>
      </c>
      <c r="R33" s="31">
        <f>IF(OR($U33="",$G33&lt;=0),"",$G33-$A33/10000)</f>
        <v/>
      </c>
      <c r="S33" s="31">
        <f>IF(OR($U33="",$O33&lt;1),"",$O33*10^11+$I33+$J33+$K33-$A33/1000)</f>
        <v/>
      </c>
      <c r="T33" s="31">
        <f>IF($U33="","",IFERROR(MATCH(INDEX(매출원본!$AU$8:$AU$2007,$U33),거래처설정!$I$8:$I$407,0),""))</f>
        <v/>
      </c>
      <c r="U33" s="31">
        <f>IFERROR(MATCH(26,매출원본!$AW$8:$AW$2007,0),"")</f>
        <v/>
      </c>
      <c r="V33" s="31">
        <f>IF($U33="","",MAX(SUMIFS(매출원본!$AT$8:$AT$2007,매출원본!$AY$8:$AY$2007,$A33,매출원본!$AS$8:$AS$2007,"&gt;="&amp;(설정!$B$5-설정!$B$6),매출원본!$AS$8:$AS$2007,"&lt;="&amp;설정!$B$5),0))</f>
        <v/>
      </c>
      <c r="W33" s="31">
        <f>IF($U33="","",MAX($V33,SUMIFS(매출원본!$AT$8:$AT$2007,매출원본!$AY$8:$AY$2007,$A33,매출원본!$AS$8:$AS$2007,"&gt;="&amp;(설정!$B$5-설정!$B$7),매출원본!$AS$8:$AS$2007,"&lt;="&amp;설정!$B$5)))</f>
        <v/>
      </c>
      <c r="X33" s="31">
        <f>IF($U33="","",MAX($W33,SUMIFS(매출원본!$AT$8:$AT$2007,매출원본!$AY$8:$AY$2007,$A33,매출원본!$AS$8:$AS$2007,"&gt;="&amp;(설정!$B$5-설정!$B$8),매출원본!$AS$8:$AS$2007,"&lt;="&amp;설정!$B$5)))</f>
        <v/>
      </c>
      <c r="AC33" s="31">
        <f>IF(OR($U33="",$T33=""),"",INDEX(거래처설정!$J$8:$J$407,$T33))</f>
        <v/>
      </c>
      <c r="AD33" s="31">
        <f>IF(OR($U33="",$T33=""),"",INDEX(거래처설정!$K$8:$K$407,$T33))</f>
        <v/>
      </c>
      <c r="AE33" s="31">
        <f>IF($U33="","",IF(LEN(SUBSTITUTE(SUBSTITUTE(SUBSTITUTE(SUBSTITUTE(SUBSTITUTE(SUBSTITUTE(SUBSTITUTE(SUBSTITUTE(SUBSTITUTE($C33," ",""),"　",""),"(주)",""),"（주）",""),"㈜",""),"주식회사",""),"(유)",""),"（유）",""),"유한회사",""))&lt;2,"",SUBSTITUTE(SUBSTITUTE(SUBSTITUTE(SUBSTITUTE(SUBSTITUTE(SUBSTITUTE(SUBSTITUTE(SUBSTITUTE(SUBSTITUTE($C33," ",""),"　",""),"(주)",""),"（주）",""),"㈜",""),"주식회사",""),"(유)",""),"（유）",""),"유한회사","")))</f>
        <v/>
      </c>
    </row>
    <row r="34">
      <c r="A34" s="38">
        <f>IF($U34="","",27)</f>
        <v/>
      </c>
      <c r="B34" s="38">
        <f>IF($U34="","",IF(LEN(INDEX(매출원본!$AU$8:$AU$2007,$U34))=10,LEFT(INDEX(매출원본!$AU$8:$AU$2007,$U34),3)&amp;"-"&amp;MID(INDEX(매출원본!$AU$8:$AU$2007,$U34),4,2)&amp;"-"&amp;RIGHT(INDEX(매출원본!$AU$8:$AU$2007,$U34),5),IF(LEFT(INDEX(매출원본!$AU$8:$AU$2007,$U34),2)="N:","(번호 없음)",INDEX(매출원본!$AU$8:$AU$2007,$U34))))</f>
        <v/>
      </c>
      <c r="C34" s="38">
        <f>IF($U34="","",INDEX(매출원본!$AV$8:$AV$2007,$U34))</f>
        <v/>
      </c>
      <c r="D34" s="39">
        <f>IF($U34="","",IF($T34="",0,N(INDEX(거래처설정!$E$8:$E$407,$T34))))</f>
        <v/>
      </c>
      <c r="E34" s="39">
        <f>IF($U34="","",SUMIFS(매출원본!$AT$8:$AT$2007,매출원본!$AY$8:$AY$2007,$A34,매출원본!$AS$8:$AS$2007,"&lt;="&amp;설정!$B$5))</f>
        <v/>
      </c>
      <c r="F34" s="39">
        <f>IF($U34="","",SUMIFS(입금_은행1!$Z$8:$Z$2007,입금_은행1!$AC$8:$AC$2007,$A34,입금_은행1!$Y$8:$Y$2007,"&lt;="&amp;설정!$B$5)+SUMIFS(입금_은행2!$Z$8:$Z$2007,입금_은행2!$AC$8:$AC$2007,$A34,입금_은행2!$Y$8:$Y$2007,"&lt;="&amp;설정!$B$5))</f>
        <v/>
      </c>
      <c r="G34" s="39">
        <f>IF($U34="","",$D34+$E34-$F34)</f>
        <v/>
      </c>
      <c r="H34" s="39">
        <f>IF($U34="","",MIN(MAX($G34,0),$V34))</f>
        <v/>
      </c>
      <c r="I34" s="39">
        <f>IF($U34="","",MIN(MAX($G34,0),$W34)-MIN(MAX($G34,0),$V34))</f>
        <v/>
      </c>
      <c r="J34" s="39">
        <f>IF($U34="","",MIN(MAX($G34,0),$X34)-MIN(MAX($G34,0),$W34))</f>
        <v/>
      </c>
      <c r="K34" s="39">
        <f>IF($U34="","",MAX($G34,0)-MIN(MAX($G34,0),$X34))</f>
        <v/>
      </c>
      <c r="L34" s="40">
        <f>IF($U34="","",IF(MAX(SUMPRODUCT(MAX((입금_은행1!$AC$8:$AC$2007=$A34)*(입금_은행1!$AE$8:$AE$2007&lt;=설정!$B$5)*입금_은행1!$AE$8:$AE$2007)),SUMPRODUCT(MAX((입금_은행2!$AC$8:$AC$2007=$A34)*(입금_은행2!$AE$8:$AE$2007&lt;=설정!$B$5)*입금_은행2!$AE$8:$AE$2007)))=0,"",MAX(SUMPRODUCT(MAX((입금_은행1!$AC$8:$AC$2007=$A34)*(입금_은행1!$AE$8:$AE$2007&lt;=설정!$B$5)*입금_은행1!$AE$8:$AE$2007)),SUMPRODUCT(MAX((입금_은행2!$AC$8:$AC$2007=$A34)*(입금_은행2!$AE$8:$AE$2007&lt;=설정!$B$5)*입금_은행2!$AE$8:$AE$2007)))))</f>
        <v/>
      </c>
      <c r="M34" s="38">
        <f>IF($U34="","",IF($T34="","",IF(INDEX(거래처설정!$F$8:$F$407,$T34)="","",INDEX(거래처설정!$F$8:$F$407,$T34))))</f>
        <v/>
      </c>
      <c r="N34" s="38">
        <f>IF($U34="","",IF($T34="","",IF(INDEX(거래처설정!$G$8:$G$407,$T34)="","",INDEX(거래처설정!$G$8:$G$407,$T34))))</f>
        <v/>
      </c>
      <c r="O34" s="38">
        <f>IF($U34="","",IF($M34="제외",0,IF($K34&gt;=설정!$B$9,3,IF($J34+$K34&gt;=설정!$B$9,2,IF($I34+$J34+$K34&gt;=설정!$B$9,1,0)))))</f>
        <v/>
      </c>
      <c r="P34" s="38">
        <f>IF($U34="","",IF($M34="제외","제외(조치 상태)",IF($O34=3,"③ 강한 독촉 후보 ("&amp;설정!$B$8&amp;"일 초과)",IF($O34=2,"② 독촉 후보 ("&amp;설정!$B$7&amp;"일 초과)",IF($O34=1,"① 안내 후보 ("&amp;설정!$B$6&amp;"일 초과)",IF($G34&gt;0,IF($I34+$J34+$K34&gt;0,"오래된 잔액 있음 (최소 금액 미만)","정상 범위"),IF($G34&lt;0,"선수금·초과입금 — 확인","완납")))))))</f>
        <v/>
      </c>
      <c r="Q34" s="38">
        <f>IF($U34="","",IF($G34&lt;0,"입금이 매출보다 큼 — 선수금이거나 다른 거래처 입금이 섞였는지 확인",IF(AND($AE34&lt;&gt;"",COUNTIF($AE$8:$AE$307,"*"&amp;$AE34&amp;"*")&gt;1),"이름이 다른 거래처와 겹침 — 입금이 잘못 맞았을 수 있으니 별칭 확인",IF(AND($G34&gt;0,$F34=0),"입금 매칭 없음 — 입금자명이 다르면 [거래처설정]에 별칭 등록",""))))</f>
        <v/>
      </c>
      <c r="R34" s="31">
        <f>IF(OR($U34="",$G34&lt;=0),"",$G34-$A34/10000)</f>
        <v/>
      </c>
      <c r="S34" s="31">
        <f>IF(OR($U34="",$O34&lt;1),"",$O34*10^11+$I34+$J34+$K34-$A34/1000)</f>
        <v/>
      </c>
      <c r="T34" s="31">
        <f>IF($U34="","",IFERROR(MATCH(INDEX(매출원본!$AU$8:$AU$2007,$U34),거래처설정!$I$8:$I$407,0),""))</f>
        <v/>
      </c>
      <c r="U34" s="31">
        <f>IFERROR(MATCH(27,매출원본!$AW$8:$AW$2007,0),"")</f>
        <v/>
      </c>
      <c r="V34" s="31">
        <f>IF($U34="","",MAX(SUMIFS(매출원본!$AT$8:$AT$2007,매출원본!$AY$8:$AY$2007,$A34,매출원본!$AS$8:$AS$2007,"&gt;="&amp;(설정!$B$5-설정!$B$6),매출원본!$AS$8:$AS$2007,"&lt;="&amp;설정!$B$5),0))</f>
        <v/>
      </c>
      <c r="W34" s="31">
        <f>IF($U34="","",MAX($V34,SUMIFS(매출원본!$AT$8:$AT$2007,매출원본!$AY$8:$AY$2007,$A34,매출원본!$AS$8:$AS$2007,"&gt;="&amp;(설정!$B$5-설정!$B$7),매출원본!$AS$8:$AS$2007,"&lt;="&amp;설정!$B$5)))</f>
        <v/>
      </c>
      <c r="X34" s="31">
        <f>IF($U34="","",MAX($W34,SUMIFS(매출원본!$AT$8:$AT$2007,매출원본!$AY$8:$AY$2007,$A34,매출원본!$AS$8:$AS$2007,"&gt;="&amp;(설정!$B$5-설정!$B$8),매출원본!$AS$8:$AS$2007,"&lt;="&amp;설정!$B$5)))</f>
        <v/>
      </c>
      <c r="AC34" s="31">
        <f>IF(OR($U34="",$T34=""),"",INDEX(거래처설정!$J$8:$J$407,$T34))</f>
        <v/>
      </c>
      <c r="AD34" s="31">
        <f>IF(OR($U34="",$T34=""),"",INDEX(거래처설정!$K$8:$K$407,$T34))</f>
        <v/>
      </c>
      <c r="AE34" s="31">
        <f>IF($U34="","",IF(LEN(SUBSTITUTE(SUBSTITUTE(SUBSTITUTE(SUBSTITUTE(SUBSTITUTE(SUBSTITUTE(SUBSTITUTE(SUBSTITUTE(SUBSTITUTE($C34," ",""),"　",""),"(주)",""),"（주）",""),"㈜",""),"주식회사",""),"(유)",""),"（유）",""),"유한회사",""))&lt;2,"",SUBSTITUTE(SUBSTITUTE(SUBSTITUTE(SUBSTITUTE(SUBSTITUTE(SUBSTITUTE(SUBSTITUTE(SUBSTITUTE(SUBSTITUTE($C34," ",""),"　",""),"(주)",""),"（주）",""),"㈜",""),"주식회사",""),"(유)",""),"（유）",""),"유한회사","")))</f>
        <v/>
      </c>
    </row>
    <row r="35">
      <c r="A35" s="38">
        <f>IF($U35="","",28)</f>
        <v/>
      </c>
      <c r="B35" s="38">
        <f>IF($U35="","",IF(LEN(INDEX(매출원본!$AU$8:$AU$2007,$U35))=10,LEFT(INDEX(매출원본!$AU$8:$AU$2007,$U35),3)&amp;"-"&amp;MID(INDEX(매출원본!$AU$8:$AU$2007,$U35),4,2)&amp;"-"&amp;RIGHT(INDEX(매출원본!$AU$8:$AU$2007,$U35),5),IF(LEFT(INDEX(매출원본!$AU$8:$AU$2007,$U35),2)="N:","(번호 없음)",INDEX(매출원본!$AU$8:$AU$2007,$U35))))</f>
        <v/>
      </c>
      <c r="C35" s="38">
        <f>IF($U35="","",INDEX(매출원본!$AV$8:$AV$2007,$U35))</f>
        <v/>
      </c>
      <c r="D35" s="39">
        <f>IF($U35="","",IF($T35="",0,N(INDEX(거래처설정!$E$8:$E$407,$T35))))</f>
        <v/>
      </c>
      <c r="E35" s="39">
        <f>IF($U35="","",SUMIFS(매출원본!$AT$8:$AT$2007,매출원본!$AY$8:$AY$2007,$A35,매출원본!$AS$8:$AS$2007,"&lt;="&amp;설정!$B$5))</f>
        <v/>
      </c>
      <c r="F35" s="39">
        <f>IF($U35="","",SUMIFS(입금_은행1!$Z$8:$Z$2007,입금_은행1!$AC$8:$AC$2007,$A35,입금_은행1!$Y$8:$Y$2007,"&lt;="&amp;설정!$B$5)+SUMIFS(입금_은행2!$Z$8:$Z$2007,입금_은행2!$AC$8:$AC$2007,$A35,입금_은행2!$Y$8:$Y$2007,"&lt;="&amp;설정!$B$5))</f>
        <v/>
      </c>
      <c r="G35" s="39">
        <f>IF($U35="","",$D35+$E35-$F35)</f>
        <v/>
      </c>
      <c r="H35" s="39">
        <f>IF($U35="","",MIN(MAX($G35,0),$V35))</f>
        <v/>
      </c>
      <c r="I35" s="39">
        <f>IF($U35="","",MIN(MAX($G35,0),$W35)-MIN(MAX($G35,0),$V35))</f>
        <v/>
      </c>
      <c r="J35" s="39">
        <f>IF($U35="","",MIN(MAX($G35,0),$X35)-MIN(MAX($G35,0),$W35))</f>
        <v/>
      </c>
      <c r="K35" s="39">
        <f>IF($U35="","",MAX($G35,0)-MIN(MAX($G35,0),$X35))</f>
        <v/>
      </c>
      <c r="L35" s="40">
        <f>IF($U35="","",IF(MAX(SUMPRODUCT(MAX((입금_은행1!$AC$8:$AC$2007=$A35)*(입금_은행1!$AE$8:$AE$2007&lt;=설정!$B$5)*입금_은행1!$AE$8:$AE$2007)),SUMPRODUCT(MAX((입금_은행2!$AC$8:$AC$2007=$A35)*(입금_은행2!$AE$8:$AE$2007&lt;=설정!$B$5)*입금_은행2!$AE$8:$AE$2007)))=0,"",MAX(SUMPRODUCT(MAX((입금_은행1!$AC$8:$AC$2007=$A35)*(입금_은행1!$AE$8:$AE$2007&lt;=설정!$B$5)*입금_은행1!$AE$8:$AE$2007)),SUMPRODUCT(MAX((입금_은행2!$AC$8:$AC$2007=$A35)*(입금_은행2!$AE$8:$AE$2007&lt;=설정!$B$5)*입금_은행2!$AE$8:$AE$2007)))))</f>
        <v/>
      </c>
      <c r="M35" s="38">
        <f>IF($U35="","",IF($T35="","",IF(INDEX(거래처설정!$F$8:$F$407,$T35)="","",INDEX(거래처설정!$F$8:$F$407,$T35))))</f>
        <v/>
      </c>
      <c r="N35" s="38">
        <f>IF($U35="","",IF($T35="","",IF(INDEX(거래처설정!$G$8:$G$407,$T35)="","",INDEX(거래처설정!$G$8:$G$407,$T35))))</f>
        <v/>
      </c>
      <c r="O35" s="38">
        <f>IF($U35="","",IF($M35="제외",0,IF($K35&gt;=설정!$B$9,3,IF($J35+$K35&gt;=설정!$B$9,2,IF($I35+$J35+$K35&gt;=설정!$B$9,1,0)))))</f>
        <v/>
      </c>
      <c r="P35" s="38">
        <f>IF($U35="","",IF($M35="제외","제외(조치 상태)",IF($O35=3,"③ 강한 독촉 후보 ("&amp;설정!$B$8&amp;"일 초과)",IF($O35=2,"② 독촉 후보 ("&amp;설정!$B$7&amp;"일 초과)",IF($O35=1,"① 안내 후보 ("&amp;설정!$B$6&amp;"일 초과)",IF($G35&gt;0,IF($I35+$J35+$K35&gt;0,"오래된 잔액 있음 (최소 금액 미만)","정상 범위"),IF($G35&lt;0,"선수금·초과입금 — 확인","완납")))))))</f>
        <v/>
      </c>
      <c r="Q35" s="38">
        <f>IF($U35="","",IF($G35&lt;0,"입금이 매출보다 큼 — 선수금이거나 다른 거래처 입금이 섞였는지 확인",IF(AND($AE35&lt;&gt;"",COUNTIF($AE$8:$AE$307,"*"&amp;$AE35&amp;"*")&gt;1),"이름이 다른 거래처와 겹침 — 입금이 잘못 맞았을 수 있으니 별칭 확인",IF(AND($G35&gt;0,$F35=0),"입금 매칭 없음 — 입금자명이 다르면 [거래처설정]에 별칭 등록",""))))</f>
        <v/>
      </c>
      <c r="R35" s="31">
        <f>IF(OR($U35="",$G35&lt;=0),"",$G35-$A35/10000)</f>
        <v/>
      </c>
      <c r="S35" s="31">
        <f>IF(OR($U35="",$O35&lt;1),"",$O35*10^11+$I35+$J35+$K35-$A35/1000)</f>
        <v/>
      </c>
      <c r="T35" s="31">
        <f>IF($U35="","",IFERROR(MATCH(INDEX(매출원본!$AU$8:$AU$2007,$U35),거래처설정!$I$8:$I$407,0),""))</f>
        <v/>
      </c>
      <c r="U35" s="31">
        <f>IFERROR(MATCH(28,매출원본!$AW$8:$AW$2007,0),"")</f>
        <v/>
      </c>
      <c r="V35" s="31">
        <f>IF($U35="","",MAX(SUMIFS(매출원본!$AT$8:$AT$2007,매출원본!$AY$8:$AY$2007,$A35,매출원본!$AS$8:$AS$2007,"&gt;="&amp;(설정!$B$5-설정!$B$6),매출원본!$AS$8:$AS$2007,"&lt;="&amp;설정!$B$5),0))</f>
        <v/>
      </c>
      <c r="W35" s="31">
        <f>IF($U35="","",MAX($V35,SUMIFS(매출원본!$AT$8:$AT$2007,매출원본!$AY$8:$AY$2007,$A35,매출원본!$AS$8:$AS$2007,"&gt;="&amp;(설정!$B$5-설정!$B$7),매출원본!$AS$8:$AS$2007,"&lt;="&amp;설정!$B$5)))</f>
        <v/>
      </c>
      <c r="X35" s="31">
        <f>IF($U35="","",MAX($W35,SUMIFS(매출원본!$AT$8:$AT$2007,매출원본!$AY$8:$AY$2007,$A35,매출원본!$AS$8:$AS$2007,"&gt;="&amp;(설정!$B$5-설정!$B$8),매출원본!$AS$8:$AS$2007,"&lt;="&amp;설정!$B$5)))</f>
        <v/>
      </c>
      <c r="AC35" s="31">
        <f>IF(OR($U35="",$T35=""),"",INDEX(거래처설정!$J$8:$J$407,$T35))</f>
        <v/>
      </c>
      <c r="AD35" s="31">
        <f>IF(OR($U35="",$T35=""),"",INDEX(거래처설정!$K$8:$K$407,$T35))</f>
        <v/>
      </c>
      <c r="AE35" s="31">
        <f>IF($U35="","",IF(LEN(SUBSTITUTE(SUBSTITUTE(SUBSTITUTE(SUBSTITUTE(SUBSTITUTE(SUBSTITUTE(SUBSTITUTE(SUBSTITUTE(SUBSTITUTE($C35," ",""),"　",""),"(주)",""),"（주）",""),"㈜",""),"주식회사",""),"(유)",""),"（유）",""),"유한회사",""))&lt;2,"",SUBSTITUTE(SUBSTITUTE(SUBSTITUTE(SUBSTITUTE(SUBSTITUTE(SUBSTITUTE(SUBSTITUTE(SUBSTITUTE(SUBSTITUTE($C35," ",""),"　",""),"(주)",""),"（주）",""),"㈜",""),"주식회사",""),"(유)",""),"（유）",""),"유한회사","")))</f>
        <v/>
      </c>
    </row>
    <row r="36">
      <c r="A36" s="38">
        <f>IF($U36="","",29)</f>
        <v/>
      </c>
      <c r="B36" s="38">
        <f>IF($U36="","",IF(LEN(INDEX(매출원본!$AU$8:$AU$2007,$U36))=10,LEFT(INDEX(매출원본!$AU$8:$AU$2007,$U36),3)&amp;"-"&amp;MID(INDEX(매출원본!$AU$8:$AU$2007,$U36),4,2)&amp;"-"&amp;RIGHT(INDEX(매출원본!$AU$8:$AU$2007,$U36),5),IF(LEFT(INDEX(매출원본!$AU$8:$AU$2007,$U36),2)="N:","(번호 없음)",INDEX(매출원본!$AU$8:$AU$2007,$U36))))</f>
        <v/>
      </c>
      <c r="C36" s="38">
        <f>IF($U36="","",INDEX(매출원본!$AV$8:$AV$2007,$U36))</f>
        <v/>
      </c>
      <c r="D36" s="39">
        <f>IF($U36="","",IF($T36="",0,N(INDEX(거래처설정!$E$8:$E$407,$T36))))</f>
        <v/>
      </c>
      <c r="E36" s="39">
        <f>IF($U36="","",SUMIFS(매출원본!$AT$8:$AT$2007,매출원본!$AY$8:$AY$2007,$A36,매출원본!$AS$8:$AS$2007,"&lt;="&amp;설정!$B$5))</f>
        <v/>
      </c>
      <c r="F36" s="39">
        <f>IF($U36="","",SUMIFS(입금_은행1!$Z$8:$Z$2007,입금_은행1!$AC$8:$AC$2007,$A36,입금_은행1!$Y$8:$Y$2007,"&lt;="&amp;설정!$B$5)+SUMIFS(입금_은행2!$Z$8:$Z$2007,입금_은행2!$AC$8:$AC$2007,$A36,입금_은행2!$Y$8:$Y$2007,"&lt;="&amp;설정!$B$5))</f>
        <v/>
      </c>
      <c r="G36" s="39">
        <f>IF($U36="","",$D36+$E36-$F36)</f>
        <v/>
      </c>
      <c r="H36" s="39">
        <f>IF($U36="","",MIN(MAX($G36,0),$V36))</f>
        <v/>
      </c>
      <c r="I36" s="39">
        <f>IF($U36="","",MIN(MAX($G36,0),$W36)-MIN(MAX($G36,0),$V36))</f>
        <v/>
      </c>
      <c r="J36" s="39">
        <f>IF($U36="","",MIN(MAX($G36,0),$X36)-MIN(MAX($G36,0),$W36))</f>
        <v/>
      </c>
      <c r="K36" s="39">
        <f>IF($U36="","",MAX($G36,0)-MIN(MAX($G36,0),$X36))</f>
        <v/>
      </c>
      <c r="L36" s="40">
        <f>IF($U36="","",IF(MAX(SUMPRODUCT(MAX((입금_은행1!$AC$8:$AC$2007=$A36)*(입금_은행1!$AE$8:$AE$2007&lt;=설정!$B$5)*입금_은행1!$AE$8:$AE$2007)),SUMPRODUCT(MAX((입금_은행2!$AC$8:$AC$2007=$A36)*(입금_은행2!$AE$8:$AE$2007&lt;=설정!$B$5)*입금_은행2!$AE$8:$AE$2007)))=0,"",MAX(SUMPRODUCT(MAX((입금_은행1!$AC$8:$AC$2007=$A36)*(입금_은행1!$AE$8:$AE$2007&lt;=설정!$B$5)*입금_은행1!$AE$8:$AE$2007)),SUMPRODUCT(MAX((입금_은행2!$AC$8:$AC$2007=$A36)*(입금_은행2!$AE$8:$AE$2007&lt;=설정!$B$5)*입금_은행2!$AE$8:$AE$2007)))))</f>
        <v/>
      </c>
      <c r="M36" s="38">
        <f>IF($U36="","",IF($T36="","",IF(INDEX(거래처설정!$F$8:$F$407,$T36)="","",INDEX(거래처설정!$F$8:$F$407,$T36))))</f>
        <v/>
      </c>
      <c r="N36" s="38">
        <f>IF($U36="","",IF($T36="","",IF(INDEX(거래처설정!$G$8:$G$407,$T36)="","",INDEX(거래처설정!$G$8:$G$407,$T36))))</f>
        <v/>
      </c>
      <c r="O36" s="38">
        <f>IF($U36="","",IF($M36="제외",0,IF($K36&gt;=설정!$B$9,3,IF($J36+$K36&gt;=설정!$B$9,2,IF($I36+$J36+$K36&gt;=설정!$B$9,1,0)))))</f>
        <v/>
      </c>
      <c r="P36" s="38">
        <f>IF($U36="","",IF($M36="제외","제외(조치 상태)",IF($O36=3,"③ 강한 독촉 후보 ("&amp;설정!$B$8&amp;"일 초과)",IF($O36=2,"② 독촉 후보 ("&amp;설정!$B$7&amp;"일 초과)",IF($O36=1,"① 안내 후보 ("&amp;설정!$B$6&amp;"일 초과)",IF($G36&gt;0,IF($I36+$J36+$K36&gt;0,"오래된 잔액 있음 (최소 금액 미만)","정상 범위"),IF($G36&lt;0,"선수금·초과입금 — 확인","완납")))))))</f>
        <v/>
      </c>
      <c r="Q36" s="38">
        <f>IF($U36="","",IF($G36&lt;0,"입금이 매출보다 큼 — 선수금이거나 다른 거래처 입금이 섞였는지 확인",IF(AND($AE36&lt;&gt;"",COUNTIF($AE$8:$AE$307,"*"&amp;$AE36&amp;"*")&gt;1),"이름이 다른 거래처와 겹침 — 입금이 잘못 맞았을 수 있으니 별칭 확인",IF(AND($G36&gt;0,$F36=0),"입금 매칭 없음 — 입금자명이 다르면 [거래처설정]에 별칭 등록",""))))</f>
        <v/>
      </c>
      <c r="R36" s="31">
        <f>IF(OR($U36="",$G36&lt;=0),"",$G36-$A36/10000)</f>
        <v/>
      </c>
      <c r="S36" s="31">
        <f>IF(OR($U36="",$O36&lt;1),"",$O36*10^11+$I36+$J36+$K36-$A36/1000)</f>
        <v/>
      </c>
      <c r="T36" s="31">
        <f>IF($U36="","",IFERROR(MATCH(INDEX(매출원본!$AU$8:$AU$2007,$U36),거래처설정!$I$8:$I$407,0),""))</f>
        <v/>
      </c>
      <c r="U36" s="31">
        <f>IFERROR(MATCH(29,매출원본!$AW$8:$AW$2007,0),"")</f>
        <v/>
      </c>
      <c r="V36" s="31">
        <f>IF($U36="","",MAX(SUMIFS(매출원본!$AT$8:$AT$2007,매출원본!$AY$8:$AY$2007,$A36,매출원본!$AS$8:$AS$2007,"&gt;="&amp;(설정!$B$5-설정!$B$6),매출원본!$AS$8:$AS$2007,"&lt;="&amp;설정!$B$5),0))</f>
        <v/>
      </c>
      <c r="W36" s="31">
        <f>IF($U36="","",MAX($V36,SUMIFS(매출원본!$AT$8:$AT$2007,매출원본!$AY$8:$AY$2007,$A36,매출원본!$AS$8:$AS$2007,"&gt;="&amp;(설정!$B$5-설정!$B$7),매출원본!$AS$8:$AS$2007,"&lt;="&amp;설정!$B$5)))</f>
        <v/>
      </c>
      <c r="X36" s="31">
        <f>IF($U36="","",MAX($W36,SUMIFS(매출원본!$AT$8:$AT$2007,매출원본!$AY$8:$AY$2007,$A36,매출원본!$AS$8:$AS$2007,"&gt;="&amp;(설정!$B$5-설정!$B$8),매출원본!$AS$8:$AS$2007,"&lt;="&amp;설정!$B$5)))</f>
        <v/>
      </c>
      <c r="AC36" s="31">
        <f>IF(OR($U36="",$T36=""),"",INDEX(거래처설정!$J$8:$J$407,$T36))</f>
        <v/>
      </c>
      <c r="AD36" s="31">
        <f>IF(OR($U36="",$T36=""),"",INDEX(거래처설정!$K$8:$K$407,$T36))</f>
        <v/>
      </c>
      <c r="AE36" s="31">
        <f>IF($U36="","",IF(LEN(SUBSTITUTE(SUBSTITUTE(SUBSTITUTE(SUBSTITUTE(SUBSTITUTE(SUBSTITUTE(SUBSTITUTE(SUBSTITUTE(SUBSTITUTE($C36," ",""),"　",""),"(주)",""),"（주）",""),"㈜",""),"주식회사",""),"(유)",""),"（유）",""),"유한회사",""))&lt;2,"",SUBSTITUTE(SUBSTITUTE(SUBSTITUTE(SUBSTITUTE(SUBSTITUTE(SUBSTITUTE(SUBSTITUTE(SUBSTITUTE(SUBSTITUTE($C36," ",""),"　",""),"(주)",""),"（주）",""),"㈜",""),"주식회사",""),"(유)",""),"（유）",""),"유한회사","")))</f>
        <v/>
      </c>
    </row>
    <row r="37">
      <c r="A37" s="38">
        <f>IF($U37="","",30)</f>
        <v/>
      </c>
      <c r="B37" s="38">
        <f>IF($U37="","",IF(LEN(INDEX(매출원본!$AU$8:$AU$2007,$U37))=10,LEFT(INDEX(매출원본!$AU$8:$AU$2007,$U37),3)&amp;"-"&amp;MID(INDEX(매출원본!$AU$8:$AU$2007,$U37),4,2)&amp;"-"&amp;RIGHT(INDEX(매출원본!$AU$8:$AU$2007,$U37),5),IF(LEFT(INDEX(매출원본!$AU$8:$AU$2007,$U37),2)="N:","(번호 없음)",INDEX(매출원본!$AU$8:$AU$2007,$U37))))</f>
        <v/>
      </c>
      <c r="C37" s="38">
        <f>IF($U37="","",INDEX(매출원본!$AV$8:$AV$2007,$U37))</f>
        <v/>
      </c>
      <c r="D37" s="39">
        <f>IF($U37="","",IF($T37="",0,N(INDEX(거래처설정!$E$8:$E$407,$T37))))</f>
        <v/>
      </c>
      <c r="E37" s="39">
        <f>IF($U37="","",SUMIFS(매출원본!$AT$8:$AT$2007,매출원본!$AY$8:$AY$2007,$A37,매출원본!$AS$8:$AS$2007,"&lt;="&amp;설정!$B$5))</f>
        <v/>
      </c>
      <c r="F37" s="39">
        <f>IF($U37="","",SUMIFS(입금_은행1!$Z$8:$Z$2007,입금_은행1!$AC$8:$AC$2007,$A37,입금_은행1!$Y$8:$Y$2007,"&lt;="&amp;설정!$B$5)+SUMIFS(입금_은행2!$Z$8:$Z$2007,입금_은행2!$AC$8:$AC$2007,$A37,입금_은행2!$Y$8:$Y$2007,"&lt;="&amp;설정!$B$5))</f>
        <v/>
      </c>
      <c r="G37" s="39">
        <f>IF($U37="","",$D37+$E37-$F37)</f>
        <v/>
      </c>
      <c r="H37" s="39">
        <f>IF($U37="","",MIN(MAX($G37,0),$V37))</f>
        <v/>
      </c>
      <c r="I37" s="39">
        <f>IF($U37="","",MIN(MAX($G37,0),$W37)-MIN(MAX($G37,0),$V37))</f>
        <v/>
      </c>
      <c r="J37" s="39">
        <f>IF($U37="","",MIN(MAX($G37,0),$X37)-MIN(MAX($G37,0),$W37))</f>
        <v/>
      </c>
      <c r="K37" s="39">
        <f>IF($U37="","",MAX($G37,0)-MIN(MAX($G37,0),$X37))</f>
        <v/>
      </c>
      <c r="L37" s="40">
        <f>IF($U37="","",IF(MAX(SUMPRODUCT(MAX((입금_은행1!$AC$8:$AC$2007=$A37)*(입금_은행1!$AE$8:$AE$2007&lt;=설정!$B$5)*입금_은행1!$AE$8:$AE$2007)),SUMPRODUCT(MAX((입금_은행2!$AC$8:$AC$2007=$A37)*(입금_은행2!$AE$8:$AE$2007&lt;=설정!$B$5)*입금_은행2!$AE$8:$AE$2007)))=0,"",MAX(SUMPRODUCT(MAX((입금_은행1!$AC$8:$AC$2007=$A37)*(입금_은행1!$AE$8:$AE$2007&lt;=설정!$B$5)*입금_은행1!$AE$8:$AE$2007)),SUMPRODUCT(MAX((입금_은행2!$AC$8:$AC$2007=$A37)*(입금_은행2!$AE$8:$AE$2007&lt;=설정!$B$5)*입금_은행2!$AE$8:$AE$2007)))))</f>
        <v/>
      </c>
      <c r="M37" s="38">
        <f>IF($U37="","",IF($T37="","",IF(INDEX(거래처설정!$F$8:$F$407,$T37)="","",INDEX(거래처설정!$F$8:$F$407,$T37))))</f>
        <v/>
      </c>
      <c r="N37" s="38">
        <f>IF($U37="","",IF($T37="","",IF(INDEX(거래처설정!$G$8:$G$407,$T37)="","",INDEX(거래처설정!$G$8:$G$407,$T37))))</f>
        <v/>
      </c>
      <c r="O37" s="38">
        <f>IF($U37="","",IF($M37="제외",0,IF($K37&gt;=설정!$B$9,3,IF($J37+$K37&gt;=설정!$B$9,2,IF($I37+$J37+$K37&gt;=설정!$B$9,1,0)))))</f>
        <v/>
      </c>
      <c r="P37" s="38">
        <f>IF($U37="","",IF($M37="제외","제외(조치 상태)",IF($O37=3,"③ 강한 독촉 후보 ("&amp;설정!$B$8&amp;"일 초과)",IF($O37=2,"② 독촉 후보 ("&amp;설정!$B$7&amp;"일 초과)",IF($O37=1,"① 안내 후보 ("&amp;설정!$B$6&amp;"일 초과)",IF($G37&gt;0,IF($I37+$J37+$K37&gt;0,"오래된 잔액 있음 (최소 금액 미만)","정상 범위"),IF($G37&lt;0,"선수금·초과입금 — 확인","완납")))))))</f>
        <v/>
      </c>
      <c r="Q37" s="38">
        <f>IF($U37="","",IF($G37&lt;0,"입금이 매출보다 큼 — 선수금이거나 다른 거래처 입금이 섞였는지 확인",IF(AND($AE37&lt;&gt;"",COUNTIF($AE$8:$AE$307,"*"&amp;$AE37&amp;"*")&gt;1),"이름이 다른 거래처와 겹침 — 입금이 잘못 맞았을 수 있으니 별칭 확인",IF(AND($G37&gt;0,$F37=0),"입금 매칭 없음 — 입금자명이 다르면 [거래처설정]에 별칭 등록",""))))</f>
        <v/>
      </c>
      <c r="R37" s="31">
        <f>IF(OR($U37="",$G37&lt;=0),"",$G37-$A37/10000)</f>
        <v/>
      </c>
      <c r="S37" s="31">
        <f>IF(OR($U37="",$O37&lt;1),"",$O37*10^11+$I37+$J37+$K37-$A37/1000)</f>
        <v/>
      </c>
      <c r="T37" s="31">
        <f>IF($U37="","",IFERROR(MATCH(INDEX(매출원본!$AU$8:$AU$2007,$U37),거래처설정!$I$8:$I$407,0),""))</f>
        <v/>
      </c>
      <c r="U37" s="31">
        <f>IFERROR(MATCH(30,매출원본!$AW$8:$AW$2007,0),"")</f>
        <v/>
      </c>
      <c r="V37" s="31">
        <f>IF($U37="","",MAX(SUMIFS(매출원본!$AT$8:$AT$2007,매출원본!$AY$8:$AY$2007,$A37,매출원본!$AS$8:$AS$2007,"&gt;="&amp;(설정!$B$5-설정!$B$6),매출원본!$AS$8:$AS$2007,"&lt;="&amp;설정!$B$5),0))</f>
        <v/>
      </c>
      <c r="W37" s="31">
        <f>IF($U37="","",MAX($V37,SUMIFS(매출원본!$AT$8:$AT$2007,매출원본!$AY$8:$AY$2007,$A37,매출원본!$AS$8:$AS$2007,"&gt;="&amp;(설정!$B$5-설정!$B$7),매출원본!$AS$8:$AS$2007,"&lt;="&amp;설정!$B$5)))</f>
        <v/>
      </c>
      <c r="X37" s="31">
        <f>IF($U37="","",MAX($W37,SUMIFS(매출원본!$AT$8:$AT$2007,매출원본!$AY$8:$AY$2007,$A37,매출원본!$AS$8:$AS$2007,"&gt;="&amp;(설정!$B$5-설정!$B$8),매출원본!$AS$8:$AS$2007,"&lt;="&amp;설정!$B$5)))</f>
        <v/>
      </c>
      <c r="AC37" s="31">
        <f>IF(OR($U37="",$T37=""),"",INDEX(거래처설정!$J$8:$J$407,$T37))</f>
        <v/>
      </c>
      <c r="AD37" s="31">
        <f>IF(OR($U37="",$T37=""),"",INDEX(거래처설정!$K$8:$K$407,$T37))</f>
        <v/>
      </c>
      <c r="AE37" s="31">
        <f>IF($U37="","",IF(LEN(SUBSTITUTE(SUBSTITUTE(SUBSTITUTE(SUBSTITUTE(SUBSTITUTE(SUBSTITUTE(SUBSTITUTE(SUBSTITUTE(SUBSTITUTE($C37," ",""),"　",""),"(주)",""),"（주）",""),"㈜",""),"주식회사",""),"(유)",""),"（유）",""),"유한회사",""))&lt;2,"",SUBSTITUTE(SUBSTITUTE(SUBSTITUTE(SUBSTITUTE(SUBSTITUTE(SUBSTITUTE(SUBSTITUTE(SUBSTITUTE(SUBSTITUTE($C37," ",""),"　",""),"(주)",""),"（주）",""),"㈜",""),"주식회사",""),"(유)",""),"（유）",""),"유한회사","")))</f>
        <v/>
      </c>
    </row>
    <row r="38">
      <c r="A38" s="38">
        <f>IF($U38="","",31)</f>
        <v/>
      </c>
      <c r="B38" s="38">
        <f>IF($U38="","",IF(LEN(INDEX(매출원본!$AU$8:$AU$2007,$U38))=10,LEFT(INDEX(매출원본!$AU$8:$AU$2007,$U38),3)&amp;"-"&amp;MID(INDEX(매출원본!$AU$8:$AU$2007,$U38),4,2)&amp;"-"&amp;RIGHT(INDEX(매출원본!$AU$8:$AU$2007,$U38),5),IF(LEFT(INDEX(매출원본!$AU$8:$AU$2007,$U38),2)="N:","(번호 없음)",INDEX(매출원본!$AU$8:$AU$2007,$U38))))</f>
        <v/>
      </c>
      <c r="C38" s="38">
        <f>IF($U38="","",INDEX(매출원본!$AV$8:$AV$2007,$U38))</f>
        <v/>
      </c>
      <c r="D38" s="39">
        <f>IF($U38="","",IF($T38="",0,N(INDEX(거래처설정!$E$8:$E$407,$T38))))</f>
        <v/>
      </c>
      <c r="E38" s="39">
        <f>IF($U38="","",SUMIFS(매출원본!$AT$8:$AT$2007,매출원본!$AY$8:$AY$2007,$A38,매출원본!$AS$8:$AS$2007,"&lt;="&amp;설정!$B$5))</f>
        <v/>
      </c>
      <c r="F38" s="39">
        <f>IF($U38="","",SUMIFS(입금_은행1!$Z$8:$Z$2007,입금_은행1!$AC$8:$AC$2007,$A38,입금_은행1!$Y$8:$Y$2007,"&lt;="&amp;설정!$B$5)+SUMIFS(입금_은행2!$Z$8:$Z$2007,입금_은행2!$AC$8:$AC$2007,$A38,입금_은행2!$Y$8:$Y$2007,"&lt;="&amp;설정!$B$5))</f>
        <v/>
      </c>
      <c r="G38" s="39">
        <f>IF($U38="","",$D38+$E38-$F38)</f>
        <v/>
      </c>
      <c r="H38" s="39">
        <f>IF($U38="","",MIN(MAX($G38,0),$V38))</f>
        <v/>
      </c>
      <c r="I38" s="39">
        <f>IF($U38="","",MIN(MAX($G38,0),$W38)-MIN(MAX($G38,0),$V38))</f>
        <v/>
      </c>
      <c r="J38" s="39">
        <f>IF($U38="","",MIN(MAX($G38,0),$X38)-MIN(MAX($G38,0),$W38))</f>
        <v/>
      </c>
      <c r="K38" s="39">
        <f>IF($U38="","",MAX($G38,0)-MIN(MAX($G38,0),$X38))</f>
        <v/>
      </c>
      <c r="L38" s="40">
        <f>IF($U38="","",IF(MAX(SUMPRODUCT(MAX((입금_은행1!$AC$8:$AC$2007=$A38)*(입금_은행1!$AE$8:$AE$2007&lt;=설정!$B$5)*입금_은행1!$AE$8:$AE$2007)),SUMPRODUCT(MAX((입금_은행2!$AC$8:$AC$2007=$A38)*(입금_은행2!$AE$8:$AE$2007&lt;=설정!$B$5)*입금_은행2!$AE$8:$AE$2007)))=0,"",MAX(SUMPRODUCT(MAX((입금_은행1!$AC$8:$AC$2007=$A38)*(입금_은행1!$AE$8:$AE$2007&lt;=설정!$B$5)*입금_은행1!$AE$8:$AE$2007)),SUMPRODUCT(MAX((입금_은행2!$AC$8:$AC$2007=$A38)*(입금_은행2!$AE$8:$AE$2007&lt;=설정!$B$5)*입금_은행2!$AE$8:$AE$2007)))))</f>
        <v/>
      </c>
      <c r="M38" s="38">
        <f>IF($U38="","",IF($T38="","",IF(INDEX(거래처설정!$F$8:$F$407,$T38)="","",INDEX(거래처설정!$F$8:$F$407,$T38))))</f>
        <v/>
      </c>
      <c r="N38" s="38">
        <f>IF($U38="","",IF($T38="","",IF(INDEX(거래처설정!$G$8:$G$407,$T38)="","",INDEX(거래처설정!$G$8:$G$407,$T38))))</f>
        <v/>
      </c>
      <c r="O38" s="38">
        <f>IF($U38="","",IF($M38="제외",0,IF($K38&gt;=설정!$B$9,3,IF($J38+$K38&gt;=설정!$B$9,2,IF($I38+$J38+$K38&gt;=설정!$B$9,1,0)))))</f>
        <v/>
      </c>
      <c r="P38" s="38">
        <f>IF($U38="","",IF($M38="제외","제외(조치 상태)",IF($O38=3,"③ 강한 독촉 후보 ("&amp;설정!$B$8&amp;"일 초과)",IF($O38=2,"② 독촉 후보 ("&amp;설정!$B$7&amp;"일 초과)",IF($O38=1,"① 안내 후보 ("&amp;설정!$B$6&amp;"일 초과)",IF($G38&gt;0,IF($I38+$J38+$K38&gt;0,"오래된 잔액 있음 (최소 금액 미만)","정상 범위"),IF($G38&lt;0,"선수금·초과입금 — 확인","완납")))))))</f>
        <v/>
      </c>
      <c r="Q38" s="38">
        <f>IF($U38="","",IF($G38&lt;0,"입금이 매출보다 큼 — 선수금이거나 다른 거래처 입금이 섞였는지 확인",IF(AND($AE38&lt;&gt;"",COUNTIF($AE$8:$AE$307,"*"&amp;$AE38&amp;"*")&gt;1),"이름이 다른 거래처와 겹침 — 입금이 잘못 맞았을 수 있으니 별칭 확인",IF(AND($G38&gt;0,$F38=0),"입금 매칭 없음 — 입금자명이 다르면 [거래처설정]에 별칭 등록",""))))</f>
        <v/>
      </c>
      <c r="R38" s="31">
        <f>IF(OR($U38="",$G38&lt;=0),"",$G38-$A38/10000)</f>
        <v/>
      </c>
      <c r="S38" s="31">
        <f>IF(OR($U38="",$O38&lt;1),"",$O38*10^11+$I38+$J38+$K38-$A38/1000)</f>
        <v/>
      </c>
      <c r="T38" s="31">
        <f>IF($U38="","",IFERROR(MATCH(INDEX(매출원본!$AU$8:$AU$2007,$U38),거래처설정!$I$8:$I$407,0),""))</f>
        <v/>
      </c>
      <c r="U38" s="31">
        <f>IFERROR(MATCH(31,매출원본!$AW$8:$AW$2007,0),"")</f>
        <v/>
      </c>
      <c r="V38" s="31">
        <f>IF($U38="","",MAX(SUMIFS(매출원본!$AT$8:$AT$2007,매출원본!$AY$8:$AY$2007,$A38,매출원본!$AS$8:$AS$2007,"&gt;="&amp;(설정!$B$5-설정!$B$6),매출원본!$AS$8:$AS$2007,"&lt;="&amp;설정!$B$5),0))</f>
        <v/>
      </c>
      <c r="W38" s="31">
        <f>IF($U38="","",MAX($V38,SUMIFS(매출원본!$AT$8:$AT$2007,매출원본!$AY$8:$AY$2007,$A38,매출원본!$AS$8:$AS$2007,"&gt;="&amp;(설정!$B$5-설정!$B$7),매출원본!$AS$8:$AS$2007,"&lt;="&amp;설정!$B$5)))</f>
        <v/>
      </c>
      <c r="X38" s="31">
        <f>IF($U38="","",MAX($W38,SUMIFS(매출원본!$AT$8:$AT$2007,매출원본!$AY$8:$AY$2007,$A38,매출원본!$AS$8:$AS$2007,"&gt;="&amp;(설정!$B$5-설정!$B$8),매출원본!$AS$8:$AS$2007,"&lt;="&amp;설정!$B$5)))</f>
        <v/>
      </c>
      <c r="AC38" s="31">
        <f>IF(OR($U38="",$T38=""),"",INDEX(거래처설정!$J$8:$J$407,$T38))</f>
        <v/>
      </c>
      <c r="AD38" s="31">
        <f>IF(OR($U38="",$T38=""),"",INDEX(거래처설정!$K$8:$K$407,$T38))</f>
        <v/>
      </c>
      <c r="AE38" s="31">
        <f>IF($U38="","",IF(LEN(SUBSTITUTE(SUBSTITUTE(SUBSTITUTE(SUBSTITUTE(SUBSTITUTE(SUBSTITUTE(SUBSTITUTE(SUBSTITUTE(SUBSTITUTE($C38," ",""),"　",""),"(주)",""),"（주）",""),"㈜",""),"주식회사",""),"(유)",""),"（유）",""),"유한회사",""))&lt;2,"",SUBSTITUTE(SUBSTITUTE(SUBSTITUTE(SUBSTITUTE(SUBSTITUTE(SUBSTITUTE(SUBSTITUTE(SUBSTITUTE(SUBSTITUTE($C38," ",""),"　",""),"(주)",""),"（주）",""),"㈜",""),"주식회사",""),"(유)",""),"（유）",""),"유한회사","")))</f>
        <v/>
      </c>
    </row>
    <row r="39">
      <c r="A39" s="38">
        <f>IF($U39="","",32)</f>
        <v/>
      </c>
      <c r="B39" s="38">
        <f>IF($U39="","",IF(LEN(INDEX(매출원본!$AU$8:$AU$2007,$U39))=10,LEFT(INDEX(매출원본!$AU$8:$AU$2007,$U39),3)&amp;"-"&amp;MID(INDEX(매출원본!$AU$8:$AU$2007,$U39),4,2)&amp;"-"&amp;RIGHT(INDEX(매출원본!$AU$8:$AU$2007,$U39),5),IF(LEFT(INDEX(매출원본!$AU$8:$AU$2007,$U39),2)="N:","(번호 없음)",INDEX(매출원본!$AU$8:$AU$2007,$U39))))</f>
        <v/>
      </c>
      <c r="C39" s="38">
        <f>IF($U39="","",INDEX(매출원본!$AV$8:$AV$2007,$U39))</f>
        <v/>
      </c>
      <c r="D39" s="39">
        <f>IF($U39="","",IF($T39="",0,N(INDEX(거래처설정!$E$8:$E$407,$T39))))</f>
        <v/>
      </c>
      <c r="E39" s="39">
        <f>IF($U39="","",SUMIFS(매출원본!$AT$8:$AT$2007,매출원본!$AY$8:$AY$2007,$A39,매출원본!$AS$8:$AS$2007,"&lt;="&amp;설정!$B$5))</f>
        <v/>
      </c>
      <c r="F39" s="39">
        <f>IF($U39="","",SUMIFS(입금_은행1!$Z$8:$Z$2007,입금_은행1!$AC$8:$AC$2007,$A39,입금_은행1!$Y$8:$Y$2007,"&lt;="&amp;설정!$B$5)+SUMIFS(입금_은행2!$Z$8:$Z$2007,입금_은행2!$AC$8:$AC$2007,$A39,입금_은행2!$Y$8:$Y$2007,"&lt;="&amp;설정!$B$5))</f>
        <v/>
      </c>
      <c r="G39" s="39">
        <f>IF($U39="","",$D39+$E39-$F39)</f>
        <v/>
      </c>
      <c r="H39" s="39">
        <f>IF($U39="","",MIN(MAX($G39,0),$V39))</f>
        <v/>
      </c>
      <c r="I39" s="39">
        <f>IF($U39="","",MIN(MAX($G39,0),$W39)-MIN(MAX($G39,0),$V39))</f>
        <v/>
      </c>
      <c r="J39" s="39">
        <f>IF($U39="","",MIN(MAX($G39,0),$X39)-MIN(MAX($G39,0),$W39))</f>
        <v/>
      </c>
      <c r="K39" s="39">
        <f>IF($U39="","",MAX($G39,0)-MIN(MAX($G39,0),$X39))</f>
        <v/>
      </c>
      <c r="L39" s="40">
        <f>IF($U39="","",IF(MAX(SUMPRODUCT(MAX((입금_은행1!$AC$8:$AC$2007=$A39)*(입금_은행1!$AE$8:$AE$2007&lt;=설정!$B$5)*입금_은행1!$AE$8:$AE$2007)),SUMPRODUCT(MAX((입금_은행2!$AC$8:$AC$2007=$A39)*(입금_은행2!$AE$8:$AE$2007&lt;=설정!$B$5)*입금_은행2!$AE$8:$AE$2007)))=0,"",MAX(SUMPRODUCT(MAX((입금_은행1!$AC$8:$AC$2007=$A39)*(입금_은행1!$AE$8:$AE$2007&lt;=설정!$B$5)*입금_은행1!$AE$8:$AE$2007)),SUMPRODUCT(MAX((입금_은행2!$AC$8:$AC$2007=$A39)*(입금_은행2!$AE$8:$AE$2007&lt;=설정!$B$5)*입금_은행2!$AE$8:$AE$2007)))))</f>
        <v/>
      </c>
      <c r="M39" s="38">
        <f>IF($U39="","",IF($T39="","",IF(INDEX(거래처설정!$F$8:$F$407,$T39)="","",INDEX(거래처설정!$F$8:$F$407,$T39))))</f>
        <v/>
      </c>
      <c r="N39" s="38">
        <f>IF($U39="","",IF($T39="","",IF(INDEX(거래처설정!$G$8:$G$407,$T39)="","",INDEX(거래처설정!$G$8:$G$407,$T39))))</f>
        <v/>
      </c>
      <c r="O39" s="38">
        <f>IF($U39="","",IF($M39="제외",0,IF($K39&gt;=설정!$B$9,3,IF($J39+$K39&gt;=설정!$B$9,2,IF($I39+$J39+$K39&gt;=설정!$B$9,1,0)))))</f>
        <v/>
      </c>
      <c r="P39" s="38">
        <f>IF($U39="","",IF($M39="제외","제외(조치 상태)",IF($O39=3,"③ 강한 독촉 후보 ("&amp;설정!$B$8&amp;"일 초과)",IF($O39=2,"② 독촉 후보 ("&amp;설정!$B$7&amp;"일 초과)",IF($O39=1,"① 안내 후보 ("&amp;설정!$B$6&amp;"일 초과)",IF($G39&gt;0,IF($I39+$J39+$K39&gt;0,"오래된 잔액 있음 (최소 금액 미만)","정상 범위"),IF($G39&lt;0,"선수금·초과입금 — 확인","완납")))))))</f>
        <v/>
      </c>
      <c r="Q39" s="38">
        <f>IF($U39="","",IF($G39&lt;0,"입금이 매출보다 큼 — 선수금이거나 다른 거래처 입금이 섞였는지 확인",IF(AND($AE39&lt;&gt;"",COUNTIF($AE$8:$AE$307,"*"&amp;$AE39&amp;"*")&gt;1),"이름이 다른 거래처와 겹침 — 입금이 잘못 맞았을 수 있으니 별칭 확인",IF(AND($G39&gt;0,$F39=0),"입금 매칭 없음 — 입금자명이 다르면 [거래처설정]에 별칭 등록",""))))</f>
        <v/>
      </c>
      <c r="R39" s="31">
        <f>IF(OR($U39="",$G39&lt;=0),"",$G39-$A39/10000)</f>
        <v/>
      </c>
      <c r="S39" s="31">
        <f>IF(OR($U39="",$O39&lt;1),"",$O39*10^11+$I39+$J39+$K39-$A39/1000)</f>
        <v/>
      </c>
      <c r="T39" s="31">
        <f>IF($U39="","",IFERROR(MATCH(INDEX(매출원본!$AU$8:$AU$2007,$U39),거래처설정!$I$8:$I$407,0),""))</f>
        <v/>
      </c>
      <c r="U39" s="31">
        <f>IFERROR(MATCH(32,매출원본!$AW$8:$AW$2007,0),"")</f>
        <v/>
      </c>
      <c r="V39" s="31">
        <f>IF($U39="","",MAX(SUMIFS(매출원본!$AT$8:$AT$2007,매출원본!$AY$8:$AY$2007,$A39,매출원본!$AS$8:$AS$2007,"&gt;="&amp;(설정!$B$5-설정!$B$6),매출원본!$AS$8:$AS$2007,"&lt;="&amp;설정!$B$5),0))</f>
        <v/>
      </c>
      <c r="W39" s="31">
        <f>IF($U39="","",MAX($V39,SUMIFS(매출원본!$AT$8:$AT$2007,매출원본!$AY$8:$AY$2007,$A39,매출원본!$AS$8:$AS$2007,"&gt;="&amp;(설정!$B$5-설정!$B$7),매출원본!$AS$8:$AS$2007,"&lt;="&amp;설정!$B$5)))</f>
        <v/>
      </c>
      <c r="X39" s="31">
        <f>IF($U39="","",MAX($W39,SUMIFS(매출원본!$AT$8:$AT$2007,매출원본!$AY$8:$AY$2007,$A39,매출원본!$AS$8:$AS$2007,"&gt;="&amp;(설정!$B$5-설정!$B$8),매출원본!$AS$8:$AS$2007,"&lt;="&amp;설정!$B$5)))</f>
        <v/>
      </c>
      <c r="AC39" s="31">
        <f>IF(OR($U39="",$T39=""),"",INDEX(거래처설정!$J$8:$J$407,$T39))</f>
        <v/>
      </c>
      <c r="AD39" s="31">
        <f>IF(OR($U39="",$T39=""),"",INDEX(거래처설정!$K$8:$K$407,$T39))</f>
        <v/>
      </c>
      <c r="AE39" s="31">
        <f>IF($U39="","",IF(LEN(SUBSTITUTE(SUBSTITUTE(SUBSTITUTE(SUBSTITUTE(SUBSTITUTE(SUBSTITUTE(SUBSTITUTE(SUBSTITUTE(SUBSTITUTE($C39," ",""),"　",""),"(주)",""),"（주）",""),"㈜",""),"주식회사",""),"(유)",""),"（유）",""),"유한회사",""))&lt;2,"",SUBSTITUTE(SUBSTITUTE(SUBSTITUTE(SUBSTITUTE(SUBSTITUTE(SUBSTITUTE(SUBSTITUTE(SUBSTITUTE(SUBSTITUTE($C39," ",""),"　",""),"(주)",""),"（주）",""),"㈜",""),"주식회사",""),"(유)",""),"（유）",""),"유한회사","")))</f>
        <v/>
      </c>
    </row>
    <row r="40">
      <c r="A40" s="38">
        <f>IF($U40="","",33)</f>
        <v/>
      </c>
      <c r="B40" s="38">
        <f>IF($U40="","",IF(LEN(INDEX(매출원본!$AU$8:$AU$2007,$U40))=10,LEFT(INDEX(매출원본!$AU$8:$AU$2007,$U40),3)&amp;"-"&amp;MID(INDEX(매출원본!$AU$8:$AU$2007,$U40),4,2)&amp;"-"&amp;RIGHT(INDEX(매출원본!$AU$8:$AU$2007,$U40),5),IF(LEFT(INDEX(매출원본!$AU$8:$AU$2007,$U40),2)="N:","(번호 없음)",INDEX(매출원본!$AU$8:$AU$2007,$U40))))</f>
        <v/>
      </c>
      <c r="C40" s="38">
        <f>IF($U40="","",INDEX(매출원본!$AV$8:$AV$2007,$U40))</f>
        <v/>
      </c>
      <c r="D40" s="39">
        <f>IF($U40="","",IF($T40="",0,N(INDEX(거래처설정!$E$8:$E$407,$T40))))</f>
        <v/>
      </c>
      <c r="E40" s="39">
        <f>IF($U40="","",SUMIFS(매출원본!$AT$8:$AT$2007,매출원본!$AY$8:$AY$2007,$A40,매출원본!$AS$8:$AS$2007,"&lt;="&amp;설정!$B$5))</f>
        <v/>
      </c>
      <c r="F40" s="39">
        <f>IF($U40="","",SUMIFS(입금_은행1!$Z$8:$Z$2007,입금_은행1!$AC$8:$AC$2007,$A40,입금_은행1!$Y$8:$Y$2007,"&lt;="&amp;설정!$B$5)+SUMIFS(입금_은행2!$Z$8:$Z$2007,입금_은행2!$AC$8:$AC$2007,$A40,입금_은행2!$Y$8:$Y$2007,"&lt;="&amp;설정!$B$5))</f>
        <v/>
      </c>
      <c r="G40" s="39">
        <f>IF($U40="","",$D40+$E40-$F40)</f>
        <v/>
      </c>
      <c r="H40" s="39">
        <f>IF($U40="","",MIN(MAX($G40,0),$V40))</f>
        <v/>
      </c>
      <c r="I40" s="39">
        <f>IF($U40="","",MIN(MAX($G40,0),$W40)-MIN(MAX($G40,0),$V40))</f>
        <v/>
      </c>
      <c r="J40" s="39">
        <f>IF($U40="","",MIN(MAX($G40,0),$X40)-MIN(MAX($G40,0),$W40))</f>
        <v/>
      </c>
      <c r="K40" s="39">
        <f>IF($U40="","",MAX($G40,0)-MIN(MAX($G40,0),$X40))</f>
        <v/>
      </c>
      <c r="L40" s="40">
        <f>IF($U40="","",IF(MAX(SUMPRODUCT(MAX((입금_은행1!$AC$8:$AC$2007=$A40)*(입금_은행1!$AE$8:$AE$2007&lt;=설정!$B$5)*입금_은행1!$AE$8:$AE$2007)),SUMPRODUCT(MAX((입금_은행2!$AC$8:$AC$2007=$A40)*(입금_은행2!$AE$8:$AE$2007&lt;=설정!$B$5)*입금_은행2!$AE$8:$AE$2007)))=0,"",MAX(SUMPRODUCT(MAX((입금_은행1!$AC$8:$AC$2007=$A40)*(입금_은행1!$AE$8:$AE$2007&lt;=설정!$B$5)*입금_은행1!$AE$8:$AE$2007)),SUMPRODUCT(MAX((입금_은행2!$AC$8:$AC$2007=$A40)*(입금_은행2!$AE$8:$AE$2007&lt;=설정!$B$5)*입금_은행2!$AE$8:$AE$2007)))))</f>
        <v/>
      </c>
      <c r="M40" s="38">
        <f>IF($U40="","",IF($T40="","",IF(INDEX(거래처설정!$F$8:$F$407,$T40)="","",INDEX(거래처설정!$F$8:$F$407,$T40))))</f>
        <v/>
      </c>
      <c r="N40" s="38">
        <f>IF($U40="","",IF($T40="","",IF(INDEX(거래처설정!$G$8:$G$407,$T40)="","",INDEX(거래처설정!$G$8:$G$407,$T40))))</f>
        <v/>
      </c>
      <c r="O40" s="38">
        <f>IF($U40="","",IF($M40="제외",0,IF($K40&gt;=설정!$B$9,3,IF($J40+$K40&gt;=설정!$B$9,2,IF($I40+$J40+$K40&gt;=설정!$B$9,1,0)))))</f>
        <v/>
      </c>
      <c r="P40" s="38">
        <f>IF($U40="","",IF($M40="제외","제외(조치 상태)",IF($O40=3,"③ 강한 독촉 후보 ("&amp;설정!$B$8&amp;"일 초과)",IF($O40=2,"② 독촉 후보 ("&amp;설정!$B$7&amp;"일 초과)",IF($O40=1,"① 안내 후보 ("&amp;설정!$B$6&amp;"일 초과)",IF($G40&gt;0,IF($I40+$J40+$K40&gt;0,"오래된 잔액 있음 (최소 금액 미만)","정상 범위"),IF($G40&lt;0,"선수금·초과입금 — 확인","완납")))))))</f>
        <v/>
      </c>
      <c r="Q40" s="38">
        <f>IF($U40="","",IF($G40&lt;0,"입금이 매출보다 큼 — 선수금이거나 다른 거래처 입금이 섞였는지 확인",IF(AND($AE40&lt;&gt;"",COUNTIF($AE$8:$AE$307,"*"&amp;$AE40&amp;"*")&gt;1),"이름이 다른 거래처와 겹침 — 입금이 잘못 맞았을 수 있으니 별칭 확인",IF(AND($G40&gt;0,$F40=0),"입금 매칭 없음 — 입금자명이 다르면 [거래처설정]에 별칭 등록",""))))</f>
        <v/>
      </c>
      <c r="R40" s="31">
        <f>IF(OR($U40="",$G40&lt;=0),"",$G40-$A40/10000)</f>
        <v/>
      </c>
      <c r="S40" s="31">
        <f>IF(OR($U40="",$O40&lt;1),"",$O40*10^11+$I40+$J40+$K40-$A40/1000)</f>
        <v/>
      </c>
      <c r="T40" s="31">
        <f>IF($U40="","",IFERROR(MATCH(INDEX(매출원본!$AU$8:$AU$2007,$U40),거래처설정!$I$8:$I$407,0),""))</f>
        <v/>
      </c>
      <c r="U40" s="31">
        <f>IFERROR(MATCH(33,매출원본!$AW$8:$AW$2007,0),"")</f>
        <v/>
      </c>
      <c r="V40" s="31">
        <f>IF($U40="","",MAX(SUMIFS(매출원본!$AT$8:$AT$2007,매출원본!$AY$8:$AY$2007,$A40,매출원본!$AS$8:$AS$2007,"&gt;="&amp;(설정!$B$5-설정!$B$6),매출원본!$AS$8:$AS$2007,"&lt;="&amp;설정!$B$5),0))</f>
        <v/>
      </c>
      <c r="W40" s="31">
        <f>IF($U40="","",MAX($V40,SUMIFS(매출원본!$AT$8:$AT$2007,매출원본!$AY$8:$AY$2007,$A40,매출원본!$AS$8:$AS$2007,"&gt;="&amp;(설정!$B$5-설정!$B$7),매출원본!$AS$8:$AS$2007,"&lt;="&amp;설정!$B$5)))</f>
        <v/>
      </c>
      <c r="X40" s="31">
        <f>IF($U40="","",MAX($W40,SUMIFS(매출원본!$AT$8:$AT$2007,매출원본!$AY$8:$AY$2007,$A40,매출원본!$AS$8:$AS$2007,"&gt;="&amp;(설정!$B$5-설정!$B$8),매출원본!$AS$8:$AS$2007,"&lt;="&amp;설정!$B$5)))</f>
        <v/>
      </c>
      <c r="AC40" s="31">
        <f>IF(OR($U40="",$T40=""),"",INDEX(거래처설정!$J$8:$J$407,$T40))</f>
        <v/>
      </c>
      <c r="AD40" s="31">
        <f>IF(OR($U40="",$T40=""),"",INDEX(거래처설정!$K$8:$K$407,$T40))</f>
        <v/>
      </c>
      <c r="AE40" s="31">
        <f>IF($U40="","",IF(LEN(SUBSTITUTE(SUBSTITUTE(SUBSTITUTE(SUBSTITUTE(SUBSTITUTE(SUBSTITUTE(SUBSTITUTE(SUBSTITUTE(SUBSTITUTE($C40," ",""),"　",""),"(주)",""),"（주）",""),"㈜",""),"주식회사",""),"(유)",""),"（유）",""),"유한회사",""))&lt;2,"",SUBSTITUTE(SUBSTITUTE(SUBSTITUTE(SUBSTITUTE(SUBSTITUTE(SUBSTITUTE(SUBSTITUTE(SUBSTITUTE(SUBSTITUTE($C40," ",""),"　",""),"(주)",""),"（주）",""),"㈜",""),"주식회사",""),"(유)",""),"（유）",""),"유한회사","")))</f>
        <v/>
      </c>
    </row>
    <row r="41">
      <c r="A41" s="38">
        <f>IF($U41="","",34)</f>
        <v/>
      </c>
      <c r="B41" s="38">
        <f>IF($U41="","",IF(LEN(INDEX(매출원본!$AU$8:$AU$2007,$U41))=10,LEFT(INDEX(매출원본!$AU$8:$AU$2007,$U41),3)&amp;"-"&amp;MID(INDEX(매출원본!$AU$8:$AU$2007,$U41),4,2)&amp;"-"&amp;RIGHT(INDEX(매출원본!$AU$8:$AU$2007,$U41),5),IF(LEFT(INDEX(매출원본!$AU$8:$AU$2007,$U41),2)="N:","(번호 없음)",INDEX(매출원본!$AU$8:$AU$2007,$U41))))</f>
        <v/>
      </c>
      <c r="C41" s="38">
        <f>IF($U41="","",INDEX(매출원본!$AV$8:$AV$2007,$U41))</f>
        <v/>
      </c>
      <c r="D41" s="39">
        <f>IF($U41="","",IF($T41="",0,N(INDEX(거래처설정!$E$8:$E$407,$T41))))</f>
        <v/>
      </c>
      <c r="E41" s="39">
        <f>IF($U41="","",SUMIFS(매출원본!$AT$8:$AT$2007,매출원본!$AY$8:$AY$2007,$A41,매출원본!$AS$8:$AS$2007,"&lt;="&amp;설정!$B$5))</f>
        <v/>
      </c>
      <c r="F41" s="39">
        <f>IF($U41="","",SUMIFS(입금_은행1!$Z$8:$Z$2007,입금_은행1!$AC$8:$AC$2007,$A41,입금_은행1!$Y$8:$Y$2007,"&lt;="&amp;설정!$B$5)+SUMIFS(입금_은행2!$Z$8:$Z$2007,입금_은행2!$AC$8:$AC$2007,$A41,입금_은행2!$Y$8:$Y$2007,"&lt;="&amp;설정!$B$5))</f>
        <v/>
      </c>
      <c r="G41" s="39">
        <f>IF($U41="","",$D41+$E41-$F41)</f>
        <v/>
      </c>
      <c r="H41" s="39">
        <f>IF($U41="","",MIN(MAX($G41,0),$V41))</f>
        <v/>
      </c>
      <c r="I41" s="39">
        <f>IF($U41="","",MIN(MAX($G41,0),$W41)-MIN(MAX($G41,0),$V41))</f>
        <v/>
      </c>
      <c r="J41" s="39">
        <f>IF($U41="","",MIN(MAX($G41,0),$X41)-MIN(MAX($G41,0),$W41))</f>
        <v/>
      </c>
      <c r="K41" s="39">
        <f>IF($U41="","",MAX($G41,0)-MIN(MAX($G41,0),$X41))</f>
        <v/>
      </c>
      <c r="L41" s="40">
        <f>IF($U41="","",IF(MAX(SUMPRODUCT(MAX((입금_은행1!$AC$8:$AC$2007=$A41)*(입금_은행1!$AE$8:$AE$2007&lt;=설정!$B$5)*입금_은행1!$AE$8:$AE$2007)),SUMPRODUCT(MAX((입금_은행2!$AC$8:$AC$2007=$A41)*(입금_은행2!$AE$8:$AE$2007&lt;=설정!$B$5)*입금_은행2!$AE$8:$AE$2007)))=0,"",MAX(SUMPRODUCT(MAX((입금_은행1!$AC$8:$AC$2007=$A41)*(입금_은행1!$AE$8:$AE$2007&lt;=설정!$B$5)*입금_은행1!$AE$8:$AE$2007)),SUMPRODUCT(MAX((입금_은행2!$AC$8:$AC$2007=$A41)*(입금_은행2!$AE$8:$AE$2007&lt;=설정!$B$5)*입금_은행2!$AE$8:$AE$2007)))))</f>
        <v/>
      </c>
      <c r="M41" s="38">
        <f>IF($U41="","",IF($T41="","",IF(INDEX(거래처설정!$F$8:$F$407,$T41)="","",INDEX(거래처설정!$F$8:$F$407,$T41))))</f>
        <v/>
      </c>
      <c r="N41" s="38">
        <f>IF($U41="","",IF($T41="","",IF(INDEX(거래처설정!$G$8:$G$407,$T41)="","",INDEX(거래처설정!$G$8:$G$407,$T41))))</f>
        <v/>
      </c>
      <c r="O41" s="38">
        <f>IF($U41="","",IF($M41="제외",0,IF($K41&gt;=설정!$B$9,3,IF($J41+$K41&gt;=설정!$B$9,2,IF($I41+$J41+$K41&gt;=설정!$B$9,1,0)))))</f>
        <v/>
      </c>
      <c r="P41" s="38">
        <f>IF($U41="","",IF($M41="제외","제외(조치 상태)",IF($O41=3,"③ 강한 독촉 후보 ("&amp;설정!$B$8&amp;"일 초과)",IF($O41=2,"② 독촉 후보 ("&amp;설정!$B$7&amp;"일 초과)",IF($O41=1,"① 안내 후보 ("&amp;설정!$B$6&amp;"일 초과)",IF($G41&gt;0,IF($I41+$J41+$K41&gt;0,"오래된 잔액 있음 (최소 금액 미만)","정상 범위"),IF($G41&lt;0,"선수금·초과입금 — 확인","완납")))))))</f>
        <v/>
      </c>
      <c r="Q41" s="38">
        <f>IF($U41="","",IF($G41&lt;0,"입금이 매출보다 큼 — 선수금이거나 다른 거래처 입금이 섞였는지 확인",IF(AND($AE41&lt;&gt;"",COUNTIF($AE$8:$AE$307,"*"&amp;$AE41&amp;"*")&gt;1),"이름이 다른 거래처와 겹침 — 입금이 잘못 맞았을 수 있으니 별칭 확인",IF(AND($G41&gt;0,$F41=0),"입금 매칭 없음 — 입금자명이 다르면 [거래처설정]에 별칭 등록",""))))</f>
        <v/>
      </c>
      <c r="R41" s="31">
        <f>IF(OR($U41="",$G41&lt;=0),"",$G41-$A41/10000)</f>
        <v/>
      </c>
      <c r="S41" s="31">
        <f>IF(OR($U41="",$O41&lt;1),"",$O41*10^11+$I41+$J41+$K41-$A41/1000)</f>
        <v/>
      </c>
      <c r="T41" s="31">
        <f>IF($U41="","",IFERROR(MATCH(INDEX(매출원본!$AU$8:$AU$2007,$U41),거래처설정!$I$8:$I$407,0),""))</f>
        <v/>
      </c>
      <c r="U41" s="31">
        <f>IFERROR(MATCH(34,매출원본!$AW$8:$AW$2007,0),"")</f>
        <v/>
      </c>
      <c r="V41" s="31">
        <f>IF($U41="","",MAX(SUMIFS(매출원본!$AT$8:$AT$2007,매출원본!$AY$8:$AY$2007,$A41,매출원본!$AS$8:$AS$2007,"&gt;="&amp;(설정!$B$5-설정!$B$6),매출원본!$AS$8:$AS$2007,"&lt;="&amp;설정!$B$5),0))</f>
        <v/>
      </c>
      <c r="W41" s="31">
        <f>IF($U41="","",MAX($V41,SUMIFS(매출원본!$AT$8:$AT$2007,매출원본!$AY$8:$AY$2007,$A41,매출원본!$AS$8:$AS$2007,"&gt;="&amp;(설정!$B$5-설정!$B$7),매출원본!$AS$8:$AS$2007,"&lt;="&amp;설정!$B$5)))</f>
        <v/>
      </c>
      <c r="X41" s="31">
        <f>IF($U41="","",MAX($W41,SUMIFS(매출원본!$AT$8:$AT$2007,매출원본!$AY$8:$AY$2007,$A41,매출원본!$AS$8:$AS$2007,"&gt;="&amp;(설정!$B$5-설정!$B$8),매출원본!$AS$8:$AS$2007,"&lt;="&amp;설정!$B$5)))</f>
        <v/>
      </c>
      <c r="AC41" s="31">
        <f>IF(OR($U41="",$T41=""),"",INDEX(거래처설정!$J$8:$J$407,$T41))</f>
        <v/>
      </c>
      <c r="AD41" s="31">
        <f>IF(OR($U41="",$T41=""),"",INDEX(거래처설정!$K$8:$K$407,$T41))</f>
        <v/>
      </c>
      <c r="AE41" s="31">
        <f>IF($U41="","",IF(LEN(SUBSTITUTE(SUBSTITUTE(SUBSTITUTE(SUBSTITUTE(SUBSTITUTE(SUBSTITUTE(SUBSTITUTE(SUBSTITUTE(SUBSTITUTE($C41," ",""),"　",""),"(주)",""),"（주）",""),"㈜",""),"주식회사",""),"(유)",""),"（유）",""),"유한회사",""))&lt;2,"",SUBSTITUTE(SUBSTITUTE(SUBSTITUTE(SUBSTITUTE(SUBSTITUTE(SUBSTITUTE(SUBSTITUTE(SUBSTITUTE(SUBSTITUTE($C41," ",""),"　",""),"(주)",""),"（주）",""),"㈜",""),"주식회사",""),"(유)",""),"（유）",""),"유한회사","")))</f>
        <v/>
      </c>
    </row>
    <row r="42">
      <c r="A42" s="38">
        <f>IF($U42="","",35)</f>
        <v/>
      </c>
      <c r="B42" s="38">
        <f>IF($U42="","",IF(LEN(INDEX(매출원본!$AU$8:$AU$2007,$U42))=10,LEFT(INDEX(매출원본!$AU$8:$AU$2007,$U42),3)&amp;"-"&amp;MID(INDEX(매출원본!$AU$8:$AU$2007,$U42),4,2)&amp;"-"&amp;RIGHT(INDEX(매출원본!$AU$8:$AU$2007,$U42),5),IF(LEFT(INDEX(매출원본!$AU$8:$AU$2007,$U42),2)="N:","(번호 없음)",INDEX(매출원본!$AU$8:$AU$2007,$U42))))</f>
        <v/>
      </c>
      <c r="C42" s="38">
        <f>IF($U42="","",INDEX(매출원본!$AV$8:$AV$2007,$U42))</f>
        <v/>
      </c>
      <c r="D42" s="39">
        <f>IF($U42="","",IF($T42="",0,N(INDEX(거래처설정!$E$8:$E$407,$T42))))</f>
        <v/>
      </c>
      <c r="E42" s="39">
        <f>IF($U42="","",SUMIFS(매출원본!$AT$8:$AT$2007,매출원본!$AY$8:$AY$2007,$A42,매출원본!$AS$8:$AS$2007,"&lt;="&amp;설정!$B$5))</f>
        <v/>
      </c>
      <c r="F42" s="39">
        <f>IF($U42="","",SUMIFS(입금_은행1!$Z$8:$Z$2007,입금_은행1!$AC$8:$AC$2007,$A42,입금_은행1!$Y$8:$Y$2007,"&lt;="&amp;설정!$B$5)+SUMIFS(입금_은행2!$Z$8:$Z$2007,입금_은행2!$AC$8:$AC$2007,$A42,입금_은행2!$Y$8:$Y$2007,"&lt;="&amp;설정!$B$5))</f>
        <v/>
      </c>
      <c r="G42" s="39">
        <f>IF($U42="","",$D42+$E42-$F42)</f>
        <v/>
      </c>
      <c r="H42" s="39">
        <f>IF($U42="","",MIN(MAX($G42,0),$V42))</f>
        <v/>
      </c>
      <c r="I42" s="39">
        <f>IF($U42="","",MIN(MAX($G42,0),$W42)-MIN(MAX($G42,0),$V42))</f>
        <v/>
      </c>
      <c r="J42" s="39">
        <f>IF($U42="","",MIN(MAX($G42,0),$X42)-MIN(MAX($G42,0),$W42))</f>
        <v/>
      </c>
      <c r="K42" s="39">
        <f>IF($U42="","",MAX($G42,0)-MIN(MAX($G42,0),$X42))</f>
        <v/>
      </c>
      <c r="L42" s="40">
        <f>IF($U42="","",IF(MAX(SUMPRODUCT(MAX((입금_은행1!$AC$8:$AC$2007=$A42)*(입금_은행1!$AE$8:$AE$2007&lt;=설정!$B$5)*입금_은행1!$AE$8:$AE$2007)),SUMPRODUCT(MAX((입금_은행2!$AC$8:$AC$2007=$A42)*(입금_은행2!$AE$8:$AE$2007&lt;=설정!$B$5)*입금_은행2!$AE$8:$AE$2007)))=0,"",MAX(SUMPRODUCT(MAX((입금_은행1!$AC$8:$AC$2007=$A42)*(입금_은행1!$AE$8:$AE$2007&lt;=설정!$B$5)*입금_은행1!$AE$8:$AE$2007)),SUMPRODUCT(MAX((입금_은행2!$AC$8:$AC$2007=$A42)*(입금_은행2!$AE$8:$AE$2007&lt;=설정!$B$5)*입금_은행2!$AE$8:$AE$2007)))))</f>
        <v/>
      </c>
      <c r="M42" s="38">
        <f>IF($U42="","",IF($T42="","",IF(INDEX(거래처설정!$F$8:$F$407,$T42)="","",INDEX(거래처설정!$F$8:$F$407,$T42))))</f>
        <v/>
      </c>
      <c r="N42" s="38">
        <f>IF($U42="","",IF($T42="","",IF(INDEX(거래처설정!$G$8:$G$407,$T42)="","",INDEX(거래처설정!$G$8:$G$407,$T42))))</f>
        <v/>
      </c>
      <c r="O42" s="38">
        <f>IF($U42="","",IF($M42="제외",0,IF($K42&gt;=설정!$B$9,3,IF($J42+$K42&gt;=설정!$B$9,2,IF($I42+$J42+$K42&gt;=설정!$B$9,1,0)))))</f>
        <v/>
      </c>
      <c r="P42" s="38">
        <f>IF($U42="","",IF($M42="제외","제외(조치 상태)",IF($O42=3,"③ 강한 독촉 후보 ("&amp;설정!$B$8&amp;"일 초과)",IF($O42=2,"② 독촉 후보 ("&amp;설정!$B$7&amp;"일 초과)",IF($O42=1,"① 안내 후보 ("&amp;설정!$B$6&amp;"일 초과)",IF($G42&gt;0,IF($I42+$J42+$K42&gt;0,"오래된 잔액 있음 (최소 금액 미만)","정상 범위"),IF($G42&lt;0,"선수금·초과입금 — 확인","완납")))))))</f>
        <v/>
      </c>
      <c r="Q42" s="38">
        <f>IF($U42="","",IF($G42&lt;0,"입금이 매출보다 큼 — 선수금이거나 다른 거래처 입금이 섞였는지 확인",IF(AND($AE42&lt;&gt;"",COUNTIF($AE$8:$AE$307,"*"&amp;$AE42&amp;"*")&gt;1),"이름이 다른 거래처와 겹침 — 입금이 잘못 맞았을 수 있으니 별칭 확인",IF(AND($G42&gt;0,$F42=0),"입금 매칭 없음 — 입금자명이 다르면 [거래처설정]에 별칭 등록",""))))</f>
        <v/>
      </c>
      <c r="R42" s="31">
        <f>IF(OR($U42="",$G42&lt;=0),"",$G42-$A42/10000)</f>
        <v/>
      </c>
      <c r="S42" s="31">
        <f>IF(OR($U42="",$O42&lt;1),"",$O42*10^11+$I42+$J42+$K42-$A42/1000)</f>
        <v/>
      </c>
      <c r="T42" s="31">
        <f>IF($U42="","",IFERROR(MATCH(INDEX(매출원본!$AU$8:$AU$2007,$U42),거래처설정!$I$8:$I$407,0),""))</f>
        <v/>
      </c>
      <c r="U42" s="31">
        <f>IFERROR(MATCH(35,매출원본!$AW$8:$AW$2007,0),"")</f>
        <v/>
      </c>
      <c r="V42" s="31">
        <f>IF($U42="","",MAX(SUMIFS(매출원본!$AT$8:$AT$2007,매출원본!$AY$8:$AY$2007,$A42,매출원본!$AS$8:$AS$2007,"&gt;="&amp;(설정!$B$5-설정!$B$6),매출원본!$AS$8:$AS$2007,"&lt;="&amp;설정!$B$5),0))</f>
        <v/>
      </c>
      <c r="W42" s="31">
        <f>IF($U42="","",MAX($V42,SUMIFS(매출원본!$AT$8:$AT$2007,매출원본!$AY$8:$AY$2007,$A42,매출원본!$AS$8:$AS$2007,"&gt;="&amp;(설정!$B$5-설정!$B$7),매출원본!$AS$8:$AS$2007,"&lt;="&amp;설정!$B$5)))</f>
        <v/>
      </c>
      <c r="X42" s="31">
        <f>IF($U42="","",MAX($W42,SUMIFS(매출원본!$AT$8:$AT$2007,매출원본!$AY$8:$AY$2007,$A42,매출원본!$AS$8:$AS$2007,"&gt;="&amp;(설정!$B$5-설정!$B$8),매출원본!$AS$8:$AS$2007,"&lt;="&amp;설정!$B$5)))</f>
        <v/>
      </c>
      <c r="AC42" s="31">
        <f>IF(OR($U42="",$T42=""),"",INDEX(거래처설정!$J$8:$J$407,$T42))</f>
        <v/>
      </c>
      <c r="AD42" s="31">
        <f>IF(OR($U42="",$T42=""),"",INDEX(거래처설정!$K$8:$K$407,$T42))</f>
        <v/>
      </c>
      <c r="AE42" s="31">
        <f>IF($U42="","",IF(LEN(SUBSTITUTE(SUBSTITUTE(SUBSTITUTE(SUBSTITUTE(SUBSTITUTE(SUBSTITUTE(SUBSTITUTE(SUBSTITUTE(SUBSTITUTE($C42," ",""),"　",""),"(주)",""),"（주）",""),"㈜",""),"주식회사",""),"(유)",""),"（유）",""),"유한회사",""))&lt;2,"",SUBSTITUTE(SUBSTITUTE(SUBSTITUTE(SUBSTITUTE(SUBSTITUTE(SUBSTITUTE(SUBSTITUTE(SUBSTITUTE(SUBSTITUTE($C42," ",""),"　",""),"(주)",""),"（주）",""),"㈜",""),"주식회사",""),"(유)",""),"（유）",""),"유한회사","")))</f>
        <v/>
      </c>
    </row>
    <row r="43">
      <c r="A43" s="38">
        <f>IF($U43="","",36)</f>
        <v/>
      </c>
      <c r="B43" s="38">
        <f>IF($U43="","",IF(LEN(INDEX(매출원본!$AU$8:$AU$2007,$U43))=10,LEFT(INDEX(매출원본!$AU$8:$AU$2007,$U43),3)&amp;"-"&amp;MID(INDEX(매출원본!$AU$8:$AU$2007,$U43),4,2)&amp;"-"&amp;RIGHT(INDEX(매출원본!$AU$8:$AU$2007,$U43),5),IF(LEFT(INDEX(매출원본!$AU$8:$AU$2007,$U43),2)="N:","(번호 없음)",INDEX(매출원본!$AU$8:$AU$2007,$U43))))</f>
        <v/>
      </c>
      <c r="C43" s="38">
        <f>IF($U43="","",INDEX(매출원본!$AV$8:$AV$2007,$U43))</f>
        <v/>
      </c>
      <c r="D43" s="39">
        <f>IF($U43="","",IF($T43="",0,N(INDEX(거래처설정!$E$8:$E$407,$T43))))</f>
        <v/>
      </c>
      <c r="E43" s="39">
        <f>IF($U43="","",SUMIFS(매출원본!$AT$8:$AT$2007,매출원본!$AY$8:$AY$2007,$A43,매출원본!$AS$8:$AS$2007,"&lt;="&amp;설정!$B$5))</f>
        <v/>
      </c>
      <c r="F43" s="39">
        <f>IF($U43="","",SUMIFS(입금_은행1!$Z$8:$Z$2007,입금_은행1!$AC$8:$AC$2007,$A43,입금_은행1!$Y$8:$Y$2007,"&lt;="&amp;설정!$B$5)+SUMIFS(입금_은행2!$Z$8:$Z$2007,입금_은행2!$AC$8:$AC$2007,$A43,입금_은행2!$Y$8:$Y$2007,"&lt;="&amp;설정!$B$5))</f>
        <v/>
      </c>
      <c r="G43" s="39">
        <f>IF($U43="","",$D43+$E43-$F43)</f>
        <v/>
      </c>
      <c r="H43" s="39">
        <f>IF($U43="","",MIN(MAX($G43,0),$V43))</f>
        <v/>
      </c>
      <c r="I43" s="39">
        <f>IF($U43="","",MIN(MAX($G43,0),$W43)-MIN(MAX($G43,0),$V43))</f>
        <v/>
      </c>
      <c r="J43" s="39">
        <f>IF($U43="","",MIN(MAX($G43,0),$X43)-MIN(MAX($G43,0),$W43))</f>
        <v/>
      </c>
      <c r="K43" s="39">
        <f>IF($U43="","",MAX($G43,0)-MIN(MAX($G43,0),$X43))</f>
        <v/>
      </c>
      <c r="L43" s="40">
        <f>IF($U43="","",IF(MAX(SUMPRODUCT(MAX((입금_은행1!$AC$8:$AC$2007=$A43)*(입금_은행1!$AE$8:$AE$2007&lt;=설정!$B$5)*입금_은행1!$AE$8:$AE$2007)),SUMPRODUCT(MAX((입금_은행2!$AC$8:$AC$2007=$A43)*(입금_은행2!$AE$8:$AE$2007&lt;=설정!$B$5)*입금_은행2!$AE$8:$AE$2007)))=0,"",MAX(SUMPRODUCT(MAX((입금_은행1!$AC$8:$AC$2007=$A43)*(입금_은행1!$AE$8:$AE$2007&lt;=설정!$B$5)*입금_은행1!$AE$8:$AE$2007)),SUMPRODUCT(MAX((입금_은행2!$AC$8:$AC$2007=$A43)*(입금_은행2!$AE$8:$AE$2007&lt;=설정!$B$5)*입금_은행2!$AE$8:$AE$2007)))))</f>
        <v/>
      </c>
      <c r="M43" s="38">
        <f>IF($U43="","",IF($T43="","",IF(INDEX(거래처설정!$F$8:$F$407,$T43)="","",INDEX(거래처설정!$F$8:$F$407,$T43))))</f>
        <v/>
      </c>
      <c r="N43" s="38">
        <f>IF($U43="","",IF($T43="","",IF(INDEX(거래처설정!$G$8:$G$407,$T43)="","",INDEX(거래처설정!$G$8:$G$407,$T43))))</f>
        <v/>
      </c>
      <c r="O43" s="38">
        <f>IF($U43="","",IF($M43="제외",0,IF($K43&gt;=설정!$B$9,3,IF($J43+$K43&gt;=설정!$B$9,2,IF($I43+$J43+$K43&gt;=설정!$B$9,1,0)))))</f>
        <v/>
      </c>
      <c r="P43" s="38">
        <f>IF($U43="","",IF($M43="제외","제외(조치 상태)",IF($O43=3,"③ 강한 독촉 후보 ("&amp;설정!$B$8&amp;"일 초과)",IF($O43=2,"② 독촉 후보 ("&amp;설정!$B$7&amp;"일 초과)",IF($O43=1,"① 안내 후보 ("&amp;설정!$B$6&amp;"일 초과)",IF($G43&gt;0,IF($I43+$J43+$K43&gt;0,"오래된 잔액 있음 (최소 금액 미만)","정상 범위"),IF($G43&lt;0,"선수금·초과입금 — 확인","완납")))))))</f>
        <v/>
      </c>
      <c r="Q43" s="38">
        <f>IF($U43="","",IF($G43&lt;0,"입금이 매출보다 큼 — 선수금이거나 다른 거래처 입금이 섞였는지 확인",IF(AND($AE43&lt;&gt;"",COUNTIF($AE$8:$AE$307,"*"&amp;$AE43&amp;"*")&gt;1),"이름이 다른 거래처와 겹침 — 입금이 잘못 맞았을 수 있으니 별칭 확인",IF(AND($G43&gt;0,$F43=0),"입금 매칭 없음 — 입금자명이 다르면 [거래처설정]에 별칭 등록",""))))</f>
        <v/>
      </c>
      <c r="R43" s="31">
        <f>IF(OR($U43="",$G43&lt;=0),"",$G43-$A43/10000)</f>
        <v/>
      </c>
      <c r="S43" s="31">
        <f>IF(OR($U43="",$O43&lt;1),"",$O43*10^11+$I43+$J43+$K43-$A43/1000)</f>
        <v/>
      </c>
      <c r="T43" s="31">
        <f>IF($U43="","",IFERROR(MATCH(INDEX(매출원본!$AU$8:$AU$2007,$U43),거래처설정!$I$8:$I$407,0),""))</f>
        <v/>
      </c>
      <c r="U43" s="31">
        <f>IFERROR(MATCH(36,매출원본!$AW$8:$AW$2007,0),"")</f>
        <v/>
      </c>
      <c r="V43" s="31">
        <f>IF($U43="","",MAX(SUMIFS(매출원본!$AT$8:$AT$2007,매출원본!$AY$8:$AY$2007,$A43,매출원본!$AS$8:$AS$2007,"&gt;="&amp;(설정!$B$5-설정!$B$6),매출원본!$AS$8:$AS$2007,"&lt;="&amp;설정!$B$5),0))</f>
        <v/>
      </c>
      <c r="W43" s="31">
        <f>IF($U43="","",MAX($V43,SUMIFS(매출원본!$AT$8:$AT$2007,매출원본!$AY$8:$AY$2007,$A43,매출원본!$AS$8:$AS$2007,"&gt;="&amp;(설정!$B$5-설정!$B$7),매출원본!$AS$8:$AS$2007,"&lt;="&amp;설정!$B$5)))</f>
        <v/>
      </c>
      <c r="X43" s="31">
        <f>IF($U43="","",MAX($W43,SUMIFS(매출원본!$AT$8:$AT$2007,매출원본!$AY$8:$AY$2007,$A43,매출원본!$AS$8:$AS$2007,"&gt;="&amp;(설정!$B$5-설정!$B$8),매출원본!$AS$8:$AS$2007,"&lt;="&amp;설정!$B$5)))</f>
        <v/>
      </c>
      <c r="AC43" s="31">
        <f>IF(OR($U43="",$T43=""),"",INDEX(거래처설정!$J$8:$J$407,$T43))</f>
        <v/>
      </c>
      <c r="AD43" s="31">
        <f>IF(OR($U43="",$T43=""),"",INDEX(거래처설정!$K$8:$K$407,$T43))</f>
        <v/>
      </c>
      <c r="AE43" s="31">
        <f>IF($U43="","",IF(LEN(SUBSTITUTE(SUBSTITUTE(SUBSTITUTE(SUBSTITUTE(SUBSTITUTE(SUBSTITUTE(SUBSTITUTE(SUBSTITUTE(SUBSTITUTE($C43," ",""),"　",""),"(주)",""),"（주）",""),"㈜",""),"주식회사",""),"(유)",""),"（유）",""),"유한회사",""))&lt;2,"",SUBSTITUTE(SUBSTITUTE(SUBSTITUTE(SUBSTITUTE(SUBSTITUTE(SUBSTITUTE(SUBSTITUTE(SUBSTITUTE(SUBSTITUTE($C43," ",""),"　",""),"(주)",""),"（주）",""),"㈜",""),"주식회사",""),"(유)",""),"（유）",""),"유한회사","")))</f>
        <v/>
      </c>
    </row>
    <row r="44">
      <c r="A44" s="38">
        <f>IF($U44="","",37)</f>
        <v/>
      </c>
      <c r="B44" s="38">
        <f>IF($U44="","",IF(LEN(INDEX(매출원본!$AU$8:$AU$2007,$U44))=10,LEFT(INDEX(매출원본!$AU$8:$AU$2007,$U44),3)&amp;"-"&amp;MID(INDEX(매출원본!$AU$8:$AU$2007,$U44),4,2)&amp;"-"&amp;RIGHT(INDEX(매출원본!$AU$8:$AU$2007,$U44),5),IF(LEFT(INDEX(매출원본!$AU$8:$AU$2007,$U44),2)="N:","(번호 없음)",INDEX(매출원본!$AU$8:$AU$2007,$U44))))</f>
        <v/>
      </c>
      <c r="C44" s="38">
        <f>IF($U44="","",INDEX(매출원본!$AV$8:$AV$2007,$U44))</f>
        <v/>
      </c>
      <c r="D44" s="39">
        <f>IF($U44="","",IF($T44="",0,N(INDEX(거래처설정!$E$8:$E$407,$T44))))</f>
        <v/>
      </c>
      <c r="E44" s="39">
        <f>IF($U44="","",SUMIFS(매출원본!$AT$8:$AT$2007,매출원본!$AY$8:$AY$2007,$A44,매출원본!$AS$8:$AS$2007,"&lt;="&amp;설정!$B$5))</f>
        <v/>
      </c>
      <c r="F44" s="39">
        <f>IF($U44="","",SUMIFS(입금_은행1!$Z$8:$Z$2007,입금_은행1!$AC$8:$AC$2007,$A44,입금_은행1!$Y$8:$Y$2007,"&lt;="&amp;설정!$B$5)+SUMIFS(입금_은행2!$Z$8:$Z$2007,입금_은행2!$AC$8:$AC$2007,$A44,입금_은행2!$Y$8:$Y$2007,"&lt;="&amp;설정!$B$5))</f>
        <v/>
      </c>
      <c r="G44" s="39">
        <f>IF($U44="","",$D44+$E44-$F44)</f>
        <v/>
      </c>
      <c r="H44" s="39">
        <f>IF($U44="","",MIN(MAX($G44,0),$V44))</f>
        <v/>
      </c>
      <c r="I44" s="39">
        <f>IF($U44="","",MIN(MAX($G44,0),$W44)-MIN(MAX($G44,0),$V44))</f>
        <v/>
      </c>
      <c r="J44" s="39">
        <f>IF($U44="","",MIN(MAX($G44,0),$X44)-MIN(MAX($G44,0),$W44))</f>
        <v/>
      </c>
      <c r="K44" s="39">
        <f>IF($U44="","",MAX($G44,0)-MIN(MAX($G44,0),$X44))</f>
        <v/>
      </c>
      <c r="L44" s="40">
        <f>IF($U44="","",IF(MAX(SUMPRODUCT(MAX((입금_은행1!$AC$8:$AC$2007=$A44)*(입금_은행1!$AE$8:$AE$2007&lt;=설정!$B$5)*입금_은행1!$AE$8:$AE$2007)),SUMPRODUCT(MAX((입금_은행2!$AC$8:$AC$2007=$A44)*(입금_은행2!$AE$8:$AE$2007&lt;=설정!$B$5)*입금_은행2!$AE$8:$AE$2007)))=0,"",MAX(SUMPRODUCT(MAX((입금_은행1!$AC$8:$AC$2007=$A44)*(입금_은행1!$AE$8:$AE$2007&lt;=설정!$B$5)*입금_은행1!$AE$8:$AE$2007)),SUMPRODUCT(MAX((입금_은행2!$AC$8:$AC$2007=$A44)*(입금_은행2!$AE$8:$AE$2007&lt;=설정!$B$5)*입금_은행2!$AE$8:$AE$2007)))))</f>
        <v/>
      </c>
      <c r="M44" s="38">
        <f>IF($U44="","",IF($T44="","",IF(INDEX(거래처설정!$F$8:$F$407,$T44)="","",INDEX(거래처설정!$F$8:$F$407,$T44))))</f>
        <v/>
      </c>
      <c r="N44" s="38">
        <f>IF($U44="","",IF($T44="","",IF(INDEX(거래처설정!$G$8:$G$407,$T44)="","",INDEX(거래처설정!$G$8:$G$407,$T44))))</f>
        <v/>
      </c>
      <c r="O44" s="38">
        <f>IF($U44="","",IF($M44="제외",0,IF($K44&gt;=설정!$B$9,3,IF($J44+$K44&gt;=설정!$B$9,2,IF($I44+$J44+$K44&gt;=설정!$B$9,1,0)))))</f>
        <v/>
      </c>
      <c r="P44" s="38">
        <f>IF($U44="","",IF($M44="제외","제외(조치 상태)",IF($O44=3,"③ 강한 독촉 후보 ("&amp;설정!$B$8&amp;"일 초과)",IF($O44=2,"② 독촉 후보 ("&amp;설정!$B$7&amp;"일 초과)",IF($O44=1,"① 안내 후보 ("&amp;설정!$B$6&amp;"일 초과)",IF($G44&gt;0,IF($I44+$J44+$K44&gt;0,"오래된 잔액 있음 (최소 금액 미만)","정상 범위"),IF($G44&lt;0,"선수금·초과입금 — 확인","완납")))))))</f>
        <v/>
      </c>
      <c r="Q44" s="38">
        <f>IF($U44="","",IF($G44&lt;0,"입금이 매출보다 큼 — 선수금이거나 다른 거래처 입금이 섞였는지 확인",IF(AND($AE44&lt;&gt;"",COUNTIF($AE$8:$AE$307,"*"&amp;$AE44&amp;"*")&gt;1),"이름이 다른 거래처와 겹침 — 입금이 잘못 맞았을 수 있으니 별칭 확인",IF(AND($G44&gt;0,$F44=0),"입금 매칭 없음 — 입금자명이 다르면 [거래처설정]에 별칭 등록",""))))</f>
        <v/>
      </c>
      <c r="R44" s="31">
        <f>IF(OR($U44="",$G44&lt;=0),"",$G44-$A44/10000)</f>
        <v/>
      </c>
      <c r="S44" s="31">
        <f>IF(OR($U44="",$O44&lt;1),"",$O44*10^11+$I44+$J44+$K44-$A44/1000)</f>
        <v/>
      </c>
      <c r="T44" s="31">
        <f>IF($U44="","",IFERROR(MATCH(INDEX(매출원본!$AU$8:$AU$2007,$U44),거래처설정!$I$8:$I$407,0),""))</f>
        <v/>
      </c>
      <c r="U44" s="31">
        <f>IFERROR(MATCH(37,매출원본!$AW$8:$AW$2007,0),"")</f>
        <v/>
      </c>
      <c r="V44" s="31">
        <f>IF($U44="","",MAX(SUMIFS(매출원본!$AT$8:$AT$2007,매출원본!$AY$8:$AY$2007,$A44,매출원본!$AS$8:$AS$2007,"&gt;="&amp;(설정!$B$5-설정!$B$6),매출원본!$AS$8:$AS$2007,"&lt;="&amp;설정!$B$5),0))</f>
        <v/>
      </c>
      <c r="W44" s="31">
        <f>IF($U44="","",MAX($V44,SUMIFS(매출원본!$AT$8:$AT$2007,매출원본!$AY$8:$AY$2007,$A44,매출원본!$AS$8:$AS$2007,"&gt;="&amp;(설정!$B$5-설정!$B$7),매출원본!$AS$8:$AS$2007,"&lt;="&amp;설정!$B$5)))</f>
        <v/>
      </c>
      <c r="X44" s="31">
        <f>IF($U44="","",MAX($W44,SUMIFS(매출원본!$AT$8:$AT$2007,매출원본!$AY$8:$AY$2007,$A44,매출원본!$AS$8:$AS$2007,"&gt;="&amp;(설정!$B$5-설정!$B$8),매출원본!$AS$8:$AS$2007,"&lt;="&amp;설정!$B$5)))</f>
        <v/>
      </c>
      <c r="AC44" s="31">
        <f>IF(OR($U44="",$T44=""),"",INDEX(거래처설정!$J$8:$J$407,$T44))</f>
        <v/>
      </c>
      <c r="AD44" s="31">
        <f>IF(OR($U44="",$T44=""),"",INDEX(거래처설정!$K$8:$K$407,$T44))</f>
        <v/>
      </c>
      <c r="AE44" s="31">
        <f>IF($U44="","",IF(LEN(SUBSTITUTE(SUBSTITUTE(SUBSTITUTE(SUBSTITUTE(SUBSTITUTE(SUBSTITUTE(SUBSTITUTE(SUBSTITUTE(SUBSTITUTE($C44," ",""),"　",""),"(주)",""),"（주）",""),"㈜",""),"주식회사",""),"(유)",""),"（유）",""),"유한회사",""))&lt;2,"",SUBSTITUTE(SUBSTITUTE(SUBSTITUTE(SUBSTITUTE(SUBSTITUTE(SUBSTITUTE(SUBSTITUTE(SUBSTITUTE(SUBSTITUTE($C44," ",""),"　",""),"(주)",""),"（주）",""),"㈜",""),"주식회사",""),"(유)",""),"（유）",""),"유한회사","")))</f>
        <v/>
      </c>
    </row>
    <row r="45">
      <c r="A45" s="38">
        <f>IF($U45="","",38)</f>
        <v/>
      </c>
      <c r="B45" s="38">
        <f>IF($U45="","",IF(LEN(INDEX(매출원본!$AU$8:$AU$2007,$U45))=10,LEFT(INDEX(매출원본!$AU$8:$AU$2007,$U45),3)&amp;"-"&amp;MID(INDEX(매출원본!$AU$8:$AU$2007,$U45),4,2)&amp;"-"&amp;RIGHT(INDEX(매출원본!$AU$8:$AU$2007,$U45),5),IF(LEFT(INDEX(매출원본!$AU$8:$AU$2007,$U45),2)="N:","(번호 없음)",INDEX(매출원본!$AU$8:$AU$2007,$U45))))</f>
        <v/>
      </c>
      <c r="C45" s="38">
        <f>IF($U45="","",INDEX(매출원본!$AV$8:$AV$2007,$U45))</f>
        <v/>
      </c>
      <c r="D45" s="39">
        <f>IF($U45="","",IF($T45="",0,N(INDEX(거래처설정!$E$8:$E$407,$T45))))</f>
        <v/>
      </c>
      <c r="E45" s="39">
        <f>IF($U45="","",SUMIFS(매출원본!$AT$8:$AT$2007,매출원본!$AY$8:$AY$2007,$A45,매출원본!$AS$8:$AS$2007,"&lt;="&amp;설정!$B$5))</f>
        <v/>
      </c>
      <c r="F45" s="39">
        <f>IF($U45="","",SUMIFS(입금_은행1!$Z$8:$Z$2007,입금_은행1!$AC$8:$AC$2007,$A45,입금_은행1!$Y$8:$Y$2007,"&lt;="&amp;설정!$B$5)+SUMIFS(입금_은행2!$Z$8:$Z$2007,입금_은행2!$AC$8:$AC$2007,$A45,입금_은행2!$Y$8:$Y$2007,"&lt;="&amp;설정!$B$5))</f>
        <v/>
      </c>
      <c r="G45" s="39">
        <f>IF($U45="","",$D45+$E45-$F45)</f>
        <v/>
      </c>
      <c r="H45" s="39">
        <f>IF($U45="","",MIN(MAX($G45,0),$V45))</f>
        <v/>
      </c>
      <c r="I45" s="39">
        <f>IF($U45="","",MIN(MAX($G45,0),$W45)-MIN(MAX($G45,0),$V45))</f>
        <v/>
      </c>
      <c r="J45" s="39">
        <f>IF($U45="","",MIN(MAX($G45,0),$X45)-MIN(MAX($G45,0),$W45))</f>
        <v/>
      </c>
      <c r="K45" s="39">
        <f>IF($U45="","",MAX($G45,0)-MIN(MAX($G45,0),$X45))</f>
        <v/>
      </c>
      <c r="L45" s="40">
        <f>IF($U45="","",IF(MAX(SUMPRODUCT(MAX((입금_은행1!$AC$8:$AC$2007=$A45)*(입금_은행1!$AE$8:$AE$2007&lt;=설정!$B$5)*입금_은행1!$AE$8:$AE$2007)),SUMPRODUCT(MAX((입금_은행2!$AC$8:$AC$2007=$A45)*(입금_은행2!$AE$8:$AE$2007&lt;=설정!$B$5)*입금_은행2!$AE$8:$AE$2007)))=0,"",MAX(SUMPRODUCT(MAX((입금_은행1!$AC$8:$AC$2007=$A45)*(입금_은행1!$AE$8:$AE$2007&lt;=설정!$B$5)*입금_은행1!$AE$8:$AE$2007)),SUMPRODUCT(MAX((입금_은행2!$AC$8:$AC$2007=$A45)*(입금_은행2!$AE$8:$AE$2007&lt;=설정!$B$5)*입금_은행2!$AE$8:$AE$2007)))))</f>
        <v/>
      </c>
      <c r="M45" s="38">
        <f>IF($U45="","",IF($T45="","",IF(INDEX(거래처설정!$F$8:$F$407,$T45)="","",INDEX(거래처설정!$F$8:$F$407,$T45))))</f>
        <v/>
      </c>
      <c r="N45" s="38">
        <f>IF($U45="","",IF($T45="","",IF(INDEX(거래처설정!$G$8:$G$407,$T45)="","",INDEX(거래처설정!$G$8:$G$407,$T45))))</f>
        <v/>
      </c>
      <c r="O45" s="38">
        <f>IF($U45="","",IF($M45="제외",0,IF($K45&gt;=설정!$B$9,3,IF($J45+$K45&gt;=설정!$B$9,2,IF($I45+$J45+$K45&gt;=설정!$B$9,1,0)))))</f>
        <v/>
      </c>
      <c r="P45" s="38">
        <f>IF($U45="","",IF($M45="제외","제외(조치 상태)",IF($O45=3,"③ 강한 독촉 후보 ("&amp;설정!$B$8&amp;"일 초과)",IF($O45=2,"② 독촉 후보 ("&amp;설정!$B$7&amp;"일 초과)",IF($O45=1,"① 안내 후보 ("&amp;설정!$B$6&amp;"일 초과)",IF($G45&gt;0,IF($I45+$J45+$K45&gt;0,"오래된 잔액 있음 (최소 금액 미만)","정상 범위"),IF($G45&lt;0,"선수금·초과입금 — 확인","완납")))))))</f>
        <v/>
      </c>
      <c r="Q45" s="38">
        <f>IF($U45="","",IF($G45&lt;0,"입금이 매출보다 큼 — 선수금이거나 다른 거래처 입금이 섞였는지 확인",IF(AND($AE45&lt;&gt;"",COUNTIF($AE$8:$AE$307,"*"&amp;$AE45&amp;"*")&gt;1),"이름이 다른 거래처와 겹침 — 입금이 잘못 맞았을 수 있으니 별칭 확인",IF(AND($G45&gt;0,$F45=0),"입금 매칭 없음 — 입금자명이 다르면 [거래처설정]에 별칭 등록",""))))</f>
        <v/>
      </c>
      <c r="R45" s="31">
        <f>IF(OR($U45="",$G45&lt;=0),"",$G45-$A45/10000)</f>
        <v/>
      </c>
      <c r="S45" s="31">
        <f>IF(OR($U45="",$O45&lt;1),"",$O45*10^11+$I45+$J45+$K45-$A45/1000)</f>
        <v/>
      </c>
      <c r="T45" s="31">
        <f>IF($U45="","",IFERROR(MATCH(INDEX(매출원본!$AU$8:$AU$2007,$U45),거래처설정!$I$8:$I$407,0),""))</f>
        <v/>
      </c>
      <c r="U45" s="31">
        <f>IFERROR(MATCH(38,매출원본!$AW$8:$AW$2007,0),"")</f>
        <v/>
      </c>
      <c r="V45" s="31">
        <f>IF($U45="","",MAX(SUMIFS(매출원본!$AT$8:$AT$2007,매출원본!$AY$8:$AY$2007,$A45,매출원본!$AS$8:$AS$2007,"&gt;="&amp;(설정!$B$5-설정!$B$6),매출원본!$AS$8:$AS$2007,"&lt;="&amp;설정!$B$5),0))</f>
        <v/>
      </c>
      <c r="W45" s="31">
        <f>IF($U45="","",MAX($V45,SUMIFS(매출원본!$AT$8:$AT$2007,매출원본!$AY$8:$AY$2007,$A45,매출원본!$AS$8:$AS$2007,"&gt;="&amp;(설정!$B$5-설정!$B$7),매출원본!$AS$8:$AS$2007,"&lt;="&amp;설정!$B$5)))</f>
        <v/>
      </c>
      <c r="X45" s="31">
        <f>IF($U45="","",MAX($W45,SUMIFS(매출원본!$AT$8:$AT$2007,매출원본!$AY$8:$AY$2007,$A45,매출원본!$AS$8:$AS$2007,"&gt;="&amp;(설정!$B$5-설정!$B$8),매출원본!$AS$8:$AS$2007,"&lt;="&amp;설정!$B$5)))</f>
        <v/>
      </c>
      <c r="AC45" s="31">
        <f>IF(OR($U45="",$T45=""),"",INDEX(거래처설정!$J$8:$J$407,$T45))</f>
        <v/>
      </c>
      <c r="AD45" s="31">
        <f>IF(OR($U45="",$T45=""),"",INDEX(거래처설정!$K$8:$K$407,$T45))</f>
        <v/>
      </c>
      <c r="AE45" s="31">
        <f>IF($U45="","",IF(LEN(SUBSTITUTE(SUBSTITUTE(SUBSTITUTE(SUBSTITUTE(SUBSTITUTE(SUBSTITUTE(SUBSTITUTE(SUBSTITUTE(SUBSTITUTE($C45," ",""),"　",""),"(주)",""),"（주）",""),"㈜",""),"주식회사",""),"(유)",""),"（유）",""),"유한회사",""))&lt;2,"",SUBSTITUTE(SUBSTITUTE(SUBSTITUTE(SUBSTITUTE(SUBSTITUTE(SUBSTITUTE(SUBSTITUTE(SUBSTITUTE(SUBSTITUTE($C45," ",""),"　",""),"(주)",""),"（주）",""),"㈜",""),"주식회사",""),"(유)",""),"（유）",""),"유한회사","")))</f>
        <v/>
      </c>
    </row>
    <row r="46">
      <c r="A46" s="38">
        <f>IF($U46="","",39)</f>
        <v/>
      </c>
      <c r="B46" s="38">
        <f>IF($U46="","",IF(LEN(INDEX(매출원본!$AU$8:$AU$2007,$U46))=10,LEFT(INDEX(매출원본!$AU$8:$AU$2007,$U46),3)&amp;"-"&amp;MID(INDEX(매출원본!$AU$8:$AU$2007,$U46),4,2)&amp;"-"&amp;RIGHT(INDEX(매출원본!$AU$8:$AU$2007,$U46),5),IF(LEFT(INDEX(매출원본!$AU$8:$AU$2007,$U46),2)="N:","(번호 없음)",INDEX(매출원본!$AU$8:$AU$2007,$U46))))</f>
        <v/>
      </c>
      <c r="C46" s="38">
        <f>IF($U46="","",INDEX(매출원본!$AV$8:$AV$2007,$U46))</f>
        <v/>
      </c>
      <c r="D46" s="39">
        <f>IF($U46="","",IF($T46="",0,N(INDEX(거래처설정!$E$8:$E$407,$T46))))</f>
        <v/>
      </c>
      <c r="E46" s="39">
        <f>IF($U46="","",SUMIFS(매출원본!$AT$8:$AT$2007,매출원본!$AY$8:$AY$2007,$A46,매출원본!$AS$8:$AS$2007,"&lt;="&amp;설정!$B$5))</f>
        <v/>
      </c>
      <c r="F46" s="39">
        <f>IF($U46="","",SUMIFS(입금_은행1!$Z$8:$Z$2007,입금_은행1!$AC$8:$AC$2007,$A46,입금_은행1!$Y$8:$Y$2007,"&lt;="&amp;설정!$B$5)+SUMIFS(입금_은행2!$Z$8:$Z$2007,입금_은행2!$AC$8:$AC$2007,$A46,입금_은행2!$Y$8:$Y$2007,"&lt;="&amp;설정!$B$5))</f>
        <v/>
      </c>
      <c r="G46" s="39">
        <f>IF($U46="","",$D46+$E46-$F46)</f>
        <v/>
      </c>
      <c r="H46" s="39">
        <f>IF($U46="","",MIN(MAX($G46,0),$V46))</f>
        <v/>
      </c>
      <c r="I46" s="39">
        <f>IF($U46="","",MIN(MAX($G46,0),$W46)-MIN(MAX($G46,0),$V46))</f>
        <v/>
      </c>
      <c r="J46" s="39">
        <f>IF($U46="","",MIN(MAX($G46,0),$X46)-MIN(MAX($G46,0),$W46))</f>
        <v/>
      </c>
      <c r="K46" s="39">
        <f>IF($U46="","",MAX($G46,0)-MIN(MAX($G46,0),$X46))</f>
        <v/>
      </c>
      <c r="L46" s="40">
        <f>IF($U46="","",IF(MAX(SUMPRODUCT(MAX((입금_은행1!$AC$8:$AC$2007=$A46)*(입금_은행1!$AE$8:$AE$2007&lt;=설정!$B$5)*입금_은행1!$AE$8:$AE$2007)),SUMPRODUCT(MAX((입금_은행2!$AC$8:$AC$2007=$A46)*(입금_은행2!$AE$8:$AE$2007&lt;=설정!$B$5)*입금_은행2!$AE$8:$AE$2007)))=0,"",MAX(SUMPRODUCT(MAX((입금_은행1!$AC$8:$AC$2007=$A46)*(입금_은행1!$AE$8:$AE$2007&lt;=설정!$B$5)*입금_은행1!$AE$8:$AE$2007)),SUMPRODUCT(MAX((입금_은행2!$AC$8:$AC$2007=$A46)*(입금_은행2!$AE$8:$AE$2007&lt;=설정!$B$5)*입금_은행2!$AE$8:$AE$2007)))))</f>
        <v/>
      </c>
      <c r="M46" s="38">
        <f>IF($U46="","",IF($T46="","",IF(INDEX(거래처설정!$F$8:$F$407,$T46)="","",INDEX(거래처설정!$F$8:$F$407,$T46))))</f>
        <v/>
      </c>
      <c r="N46" s="38">
        <f>IF($U46="","",IF($T46="","",IF(INDEX(거래처설정!$G$8:$G$407,$T46)="","",INDEX(거래처설정!$G$8:$G$407,$T46))))</f>
        <v/>
      </c>
      <c r="O46" s="38">
        <f>IF($U46="","",IF($M46="제외",0,IF($K46&gt;=설정!$B$9,3,IF($J46+$K46&gt;=설정!$B$9,2,IF($I46+$J46+$K46&gt;=설정!$B$9,1,0)))))</f>
        <v/>
      </c>
      <c r="P46" s="38">
        <f>IF($U46="","",IF($M46="제외","제외(조치 상태)",IF($O46=3,"③ 강한 독촉 후보 ("&amp;설정!$B$8&amp;"일 초과)",IF($O46=2,"② 독촉 후보 ("&amp;설정!$B$7&amp;"일 초과)",IF($O46=1,"① 안내 후보 ("&amp;설정!$B$6&amp;"일 초과)",IF($G46&gt;0,IF($I46+$J46+$K46&gt;0,"오래된 잔액 있음 (최소 금액 미만)","정상 범위"),IF($G46&lt;0,"선수금·초과입금 — 확인","완납")))))))</f>
        <v/>
      </c>
      <c r="Q46" s="38">
        <f>IF($U46="","",IF($G46&lt;0,"입금이 매출보다 큼 — 선수금이거나 다른 거래처 입금이 섞였는지 확인",IF(AND($AE46&lt;&gt;"",COUNTIF($AE$8:$AE$307,"*"&amp;$AE46&amp;"*")&gt;1),"이름이 다른 거래처와 겹침 — 입금이 잘못 맞았을 수 있으니 별칭 확인",IF(AND($G46&gt;0,$F46=0),"입금 매칭 없음 — 입금자명이 다르면 [거래처설정]에 별칭 등록",""))))</f>
        <v/>
      </c>
      <c r="R46" s="31">
        <f>IF(OR($U46="",$G46&lt;=0),"",$G46-$A46/10000)</f>
        <v/>
      </c>
      <c r="S46" s="31">
        <f>IF(OR($U46="",$O46&lt;1),"",$O46*10^11+$I46+$J46+$K46-$A46/1000)</f>
        <v/>
      </c>
      <c r="T46" s="31">
        <f>IF($U46="","",IFERROR(MATCH(INDEX(매출원본!$AU$8:$AU$2007,$U46),거래처설정!$I$8:$I$407,0),""))</f>
        <v/>
      </c>
      <c r="U46" s="31">
        <f>IFERROR(MATCH(39,매출원본!$AW$8:$AW$2007,0),"")</f>
        <v/>
      </c>
      <c r="V46" s="31">
        <f>IF($U46="","",MAX(SUMIFS(매출원본!$AT$8:$AT$2007,매출원본!$AY$8:$AY$2007,$A46,매출원본!$AS$8:$AS$2007,"&gt;="&amp;(설정!$B$5-설정!$B$6),매출원본!$AS$8:$AS$2007,"&lt;="&amp;설정!$B$5),0))</f>
        <v/>
      </c>
      <c r="W46" s="31">
        <f>IF($U46="","",MAX($V46,SUMIFS(매출원본!$AT$8:$AT$2007,매출원본!$AY$8:$AY$2007,$A46,매출원본!$AS$8:$AS$2007,"&gt;="&amp;(설정!$B$5-설정!$B$7),매출원본!$AS$8:$AS$2007,"&lt;="&amp;설정!$B$5)))</f>
        <v/>
      </c>
      <c r="X46" s="31">
        <f>IF($U46="","",MAX($W46,SUMIFS(매출원본!$AT$8:$AT$2007,매출원본!$AY$8:$AY$2007,$A46,매출원본!$AS$8:$AS$2007,"&gt;="&amp;(설정!$B$5-설정!$B$8),매출원본!$AS$8:$AS$2007,"&lt;="&amp;설정!$B$5)))</f>
        <v/>
      </c>
      <c r="AC46" s="31">
        <f>IF(OR($U46="",$T46=""),"",INDEX(거래처설정!$J$8:$J$407,$T46))</f>
        <v/>
      </c>
      <c r="AD46" s="31">
        <f>IF(OR($U46="",$T46=""),"",INDEX(거래처설정!$K$8:$K$407,$T46))</f>
        <v/>
      </c>
      <c r="AE46" s="31">
        <f>IF($U46="","",IF(LEN(SUBSTITUTE(SUBSTITUTE(SUBSTITUTE(SUBSTITUTE(SUBSTITUTE(SUBSTITUTE(SUBSTITUTE(SUBSTITUTE(SUBSTITUTE($C46," ",""),"　",""),"(주)",""),"（주）",""),"㈜",""),"주식회사",""),"(유)",""),"（유）",""),"유한회사",""))&lt;2,"",SUBSTITUTE(SUBSTITUTE(SUBSTITUTE(SUBSTITUTE(SUBSTITUTE(SUBSTITUTE(SUBSTITUTE(SUBSTITUTE(SUBSTITUTE($C46," ",""),"　",""),"(주)",""),"（주）",""),"㈜",""),"주식회사",""),"(유)",""),"（유）",""),"유한회사","")))</f>
        <v/>
      </c>
    </row>
    <row r="47">
      <c r="A47" s="38">
        <f>IF($U47="","",40)</f>
        <v/>
      </c>
      <c r="B47" s="38">
        <f>IF($U47="","",IF(LEN(INDEX(매출원본!$AU$8:$AU$2007,$U47))=10,LEFT(INDEX(매출원본!$AU$8:$AU$2007,$U47),3)&amp;"-"&amp;MID(INDEX(매출원본!$AU$8:$AU$2007,$U47),4,2)&amp;"-"&amp;RIGHT(INDEX(매출원본!$AU$8:$AU$2007,$U47),5),IF(LEFT(INDEX(매출원본!$AU$8:$AU$2007,$U47),2)="N:","(번호 없음)",INDEX(매출원본!$AU$8:$AU$2007,$U47))))</f>
        <v/>
      </c>
      <c r="C47" s="38">
        <f>IF($U47="","",INDEX(매출원본!$AV$8:$AV$2007,$U47))</f>
        <v/>
      </c>
      <c r="D47" s="39">
        <f>IF($U47="","",IF($T47="",0,N(INDEX(거래처설정!$E$8:$E$407,$T47))))</f>
        <v/>
      </c>
      <c r="E47" s="39">
        <f>IF($U47="","",SUMIFS(매출원본!$AT$8:$AT$2007,매출원본!$AY$8:$AY$2007,$A47,매출원본!$AS$8:$AS$2007,"&lt;="&amp;설정!$B$5))</f>
        <v/>
      </c>
      <c r="F47" s="39">
        <f>IF($U47="","",SUMIFS(입금_은행1!$Z$8:$Z$2007,입금_은행1!$AC$8:$AC$2007,$A47,입금_은행1!$Y$8:$Y$2007,"&lt;="&amp;설정!$B$5)+SUMIFS(입금_은행2!$Z$8:$Z$2007,입금_은행2!$AC$8:$AC$2007,$A47,입금_은행2!$Y$8:$Y$2007,"&lt;="&amp;설정!$B$5))</f>
        <v/>
      </c>
      <c r="G47" s="39">
        <f>IF($U47="","",$D47+$E47-$F47)</f>
        <v/>
      </c>
      <c r="H47" s="39">
        <f>IF($U47="","",MIN(MAX($G47,0),$V47))</f>
        <v/>
      </c>
      <c r="I47" s="39">
        <f>IF($U47="","",MIN(MAX($G47,0),$W47)-MIN(MAX($G47,0),$V47))</f>
        <v/>
      </c>
      <c r="J47" s="39">
        <f>IF($U47="","",MIN(MAX($G47,0),$X47)-MIN(MAX($G47,0),$W47))</f>
        <v/>
      </c>
      <c r="K47" s="39">
        <f>IF($U47="","",MAX($G47,0)-MIN(MAX($G47,0),$X47))</f>
        <v/>
      </c>
      <c r="L47" s="40">
        <f>IF($U47="","",IF(MAX(SUMPRODUCT(MAX((입금_은행1!$AC$8:$AC$2007=$A47)*(입금_은행1!$AE$8:$AE$2007&lt;=설정!$B$5)*입금_은행1!$AE$8:$AE$2007)),SUMPRODUCT(MAX((입금_은행2!$AC$8:$AC$2007=$A47)*(입금_은행2!$AE$8:$AE$2007&lt;=설정!$B$5)*입금_은행2!$AE$8:$AE$2007)))=0,"",MAX(SUMPRODUCT(MAX((입금_은행1!$AC$8:$AC$2007=$A47)*(입금_은행1!$AE$8:$AE$2007&lt;=설정!$B$5)*입금_은행1!$AE$8:$AE$2007)),SUMPRODUCT(MAX((입금_은행2!$AC$8:$AC$2007=$A47)*(입금_은행2!$AE$8:$AE$2007&lt;=설정!$B$5)*입금_은행2!$AE$8:$AE$2007)))))</f>
        <v/>
      </c>
      <c r="M47" s="38">
        <f>IF($U47="","",IF($T47="","",IF(INDEX(거래처설정!$F$8:$F$407,$T47)="","",INDEX(거래처설정!$F$8:$F$407,$T47))))</f>
        <v/>
      </c>
      <c r="N47" s="38">
        <f>IF($U47="","",IF($T47="","",IF(INDEX(거래처설정!$G$8:$G$407,$T47)="","",INDEX(거래처설정!$G$8:$G$407,$T47))))</f>
        <v/>
      </c>
      <c r="O47" s="38">
        <f>IF($U47="","",IF($M47="제외",0,IF($K47&gt;=설정!$B$9,3,IF($J47+$K47&gt;=설정!$B$9,2,IF($I47+$J47+$K47&gt;=설정!$B$9,1,0)))))</f>
        <v/>
      </c>
      <c r="P47" s="38">
        <f>IF($U47="","",IF($M47="제외","제외(조치 상태)",IF($O47=3,"③ 강한 독촉 후보 ("&amp;설정!$B$8&amp;"일 초과)",IF($O47=2,"② 독촉 후보 ("&amp;설정!$B$7&amp;"일 초과)",IF($O47=1,"① 안내 후보 ("&amp;설정!$B$6&amp;"일 초과)",IF($G47&gt;0,IF($I47+$J47+$K47&gt;0,"오래된 잔액 있음 (최소 금액 미만)","정상 범위"),IF($G47&lt;0,"선수금·초과입금 — 확인","완납")))))))</f>
        <v/>
      </c>
      <c r="Q47" s="38">
        <f>IF($U47="","",IF($G47&lt;0,"입금이 매출보다 큼 — 선수금이거나 다른 거래처 입금이 섞였는지 확인",IF(AND($AE47&lt;&gt;"",COUNTIF($AE$8:$AE$307,"*"&amp;$AE47&amp;"*")&gt;1),"이름이 다른 거래처와 겹침 — 입금이 잘못 맞았을 수 있으니 별칭 확인",IF(AND($G47&gt;0,$F47=0),"입금 매칭 없음 — 입금자명이 다르면 [거래처설정]에 별칭 등록",""))))</f>
        <v/>
      </c>
      <c r="R47" s="31">
        <f>IF(OR($U47="",$G47&lt;=0),"",$G47-$A47/10000)</f>
        <v/>
      </c>
      <c r="S47" s="31">
        <f>IF(OR($U47="",$O47&lt;1),"",$O47*10^11+$I47+$J47+$K47-$A47/1000)</f>
        <v/>
      </c>
      <c r="T47" s="31">
        <f>IF($U47="","",IFERROR(MATCH(INDEX(매출원본!$AU$8:$AU$2007,$U47),거래처설정!$I$8:$I$407,0),""))</f>
        <v/>
      </c>
      <c r="U47" s="31">
        <f>IFERROR(MATCH(40,매출원본!$AW$8:$AW$2007,0),"")</f>
        <v/>
      </c>
      <c r="V47" s="31">
        <f>IF($U47="","",MAX(SUMIFS(매출원본!$AT$8:$AT$2007,매출원본!$AY$8:$AY$2007,$A47,매출원본!$AS$8:$AS$2007,"&gt;="&amp;(설정!$B$5-설정!$B$6),매출원본!$AS$8:$AS$2007,"&lt;="&amp;설정!$B$5),0))</f>
        <v/>
      </c>
      <c r="W47" s="31">
        <f>IF($U47="","",MAX($V47,SUMIFS(매출원본!$AT$8:$AT$2007,매출원본!$AY$8:$AY$2007,$A47,매출원본!$AS$8:$AS$2007,"&gt;="&amp;(설정!$B$5-설정!$B$7),매출원본!$AS$8:$AS$2007,"&lt;="&amp;설정!$B$5)))</f>
        <v/>
      </c>
      <c r="X47" s="31">
        <f>IF($U47="","",MAX($W47,SUMIFS(매출원본!$AT$8:$AT$2007,매출원본!$AY$8:$AY$2007,$A47,매출원본!$AS$8:$AS$2007,"&gt;="&amp;(설정!$B$5-설정!$B$8),매출원본!$AS$8:$AS$2007,"&lt;="&amp;설정!$B$5)))</f>
        <v/>
      </c>
      <c r="AC47" s="31">
        <f>IF(OR($U47="",$T47=""),"",INDEX(거래처설정!$J$8:$J$407,$T47))</f>
        <v/>
      </c>
      <c r="AD47" s="31">
        <f>IF(OR($U47="",$T47=""),"",INDEX(거래처설정!$K$8:$K$407,$T47))</f>
        <v/>
      </c>
      <c r="AE47" s="31">
        <f>IF($U47="","",IF(LEN(SUBSTITUTE(SUBSTITUTE(SUBSTITUTE(SUBSTITUTE(SUBSTITUTE(SUBSTITUTE(SUBSTITUTE(SUBSTITUTE(SUBSTITUTE($C47," ",""),"　",""),"(주)",""),"（주）",""),"㈜",""),"주식회사",""),"(유)",""),"（유）",""),"유한회사",""))&lt;2,"",SUBSTITUTE(SUBSTITUTE(SUBSTITUTE(SUBSTITUTE(SUBSTITUTE(SUBSTITUTE(SUBSTITUTE(SUBSTITUTE(SUBSTITUTE($C47," ",""),"　",""),"(주)",""),"（주）",""),"㈜",""),"주식회사",""),"(유)",""),"（유）",""),"유한회사","")))</f>
        <v/>
      </c>
    </row>
    <row r="48">
      <c r="A48" s="38">
        <f>IF($U48="","",41)</f>
        <v/>
      </c>
      <c r="B48" s="38">
        <f>IF($U48="","",IF(LEN(INDEX(매출원본!$AU$8:$AU$2007,$U48))=10,LEFT(INDEX(매출원본!$AU$8:$AU$2007,$U48),3)&amp;"-"&amp;MID(INDEX(매출원본!$AU$8:$AU$2007,$U48),4,2)&amp;"-"&amp;RIGHT(INDEX(매출원본!$AU$8:$AU$2007,$U48),5),IF(LEFT(INDEX(매출원본!$AU$8:$AU$2007,$U48),2)="N:","(번호 없음)",INDEX(매출원본!$AU$8:$AU$2007,$U48))))</f>
        <v/>
      </c>
      <c r="C48" s="38">
        <f>IF($U48="","",INDEX(매출원본!$AV$8:$AV$2007,$U48))</f>
        <v/>
      </c>
      <c r="D48" s="39">
        <f>IF($U48="","",IF($T48="",0,N(INDEX(거래처설정!$E$8:$E$407,$T48))))</f>
        <v/>
      </c>
      <c r="E48" s="39">
        <f>IF($U48="","",SUMIFS(매출원본!$AT$8:$AT$2007,매출원본!$AY$8:$AY$2007,$A48,매출원본!$AS$8:$AS$2007,"&lt;="&amp;설정!$B$5))</f>
        <v/>
      </c>
      <c r="F48" s="39">
        <f>IF($U48="","",SUMIFS(입금_은행1!$Z$8:$Z$2007,입금_은행1!$AC$8:$AC$2007,$A48,입금_은행1!$Y$8:$Y$2007,"&lt;="&amp;설정!$B$5)+SUMIFS(입금_은행2!$Z$8:$Z$2007,입금_은행2!$AC$8:$AC$2007,$A48,입금_은행2!$Y$8:$Y$2007,"&lt;="&amp;설정!$B$5))</f>
        <v/>
      </c>
      <c r="G48" s="39">
        <f>IF($U48="","",$D48+$E48-$F48)</f>
        <v/>
      </c>
      <c r="H48" s="39">
        <f>IF($U48="","",MIN(MAX($G48,0),$V48))</f>
        <v/>
      </c>
      <c r="I48" s="39">
        <f>IF($U48="","",MIN(MAX($G48,0),$W48)-MIN(MAX($G48,0),$V48))</f>
        <v/>
      </c>
      <c r="J48" s="39">
        <f>IF($U48="","",MIN(MAX($G48,0),$X48)-MIN(MAX($G48,0),$W48))</f>
        <v/>
      </c>
      <c r="K48" s="39">
        <f>IF($U48="","",MAX($G48,0)-MIN(MAX($G48,0),$X48))</f>
        <v/>
      </c>
      <c r="L48" s="40">
        <f>IF($U48="","",IF(MAX(SUMPRODUCT(MAX((입금_은행1!$AC$8:$AC$2007=$A48)*(입금_은행1!$AE$8:$AE$2007&lt;=설정!$B$5)*입금_은행1!$AE$8:$AE$2007)),SUMPRODUCT(MAX((입금_은행2!$AC$8:$AC$2007=$A48)*(입금_은행2!$AE$8:$AE$2007&lt;=설정!$B$5)*입금_은행2!$AE$8:$AE$2007)))=0,"",MAX(SUMPRODUCT(MAX((입금_은행1!$AC$8:$AC$2007=$A48)*(입금_은행1!$AE$8:$AE$2007&lt;=설정!$B$5)*입금_은행1!$AE$8:$AE$2007)),SUMPRODUCT(MAX((입금_은행2!$AC$8:$AC$2007=$A48)*(입금_은행2!$AE$8:$AE$2007&lt;=설정!$B$5)*입금_은행2!$AE$8:$AE$2007)))))</f>
        <v/>
      </c>
      <c r="M48" s="38">
        <f>IF($U48="","",IF($T48="","",IF(INDEX(거래처설정!$F$8:$F$407,$T48)="","",INDEX(거래처설정!$F$8:$F$407,$T48))))</f>
        <v/>
      </c>
      <c r="N48" s="38">
        <f>IF($U48="","",IF($T48="","",IF(INDEX(거래처설정!$G$8:$G$407,$T48)="","",INDEX(거래처설정!$G$8:$G$407,$T48))))</f>
        <v/>
      </c>
      <c r="O48" s="38">
        <f>IF($U48="","",IF($M48="제외",0,IF($K48&gt;=설정!$B$9,3,IF($J48+$K48&gt;=설정!$B$9,2,IF($I48+$J48+$K48&gt;=설정!$B$9,1,0)))))</f>
        <v/>
      </c>
      <c r="P48" s="38">
        <f>IF($U48="","",IF($M48="제외","제외(조치 상태)",IF($O48=3,"③ 강한 독촉 후보 ("&amp;설정!$B$8&amp;"일 초과)",IF($O48=2,"② 독촉 후보 ("&amp;설정!$B$7&amp;"일 초과)",IF($O48=1,"① 안내 후보 ("&amp;설정!$B$6&amp;"일 초과)",IF($G48&gt;0,IF($I48+$J48+$K48&gt;0,"오래된 잔액 있음 (최소 금액 미만)","정상 범위"),IF($G48&lt;0,"선수금·초과입금 — 확인","완납")))))))</f>
        <v/>
      </c>
      <c r="Q48" s="38">
        <f>IF($U48="","",IF($G48&lt;0,"입금이 매출보다 큼 — 선수금이거나 다른 거래처 입금이 섞였는지 확인",IF(AND($AE48&lt;&gt;"",COUNTIF($AE$8:$AE$307,"*"&amp;$AE48&amp;"*")&gt;1),"이름이 다른 거래처와 겹침 — 입금이 잘못 맞았을 수 있으니 별칭 확인",IF(AND($G48&gt;0,$F48=0),"입금 매칭 없음 — 입금자명이 다르면 [거래처설정]에 별칭 등록",""))))</f>
        <v/>
      </c>
      <c r="R48" s="31">
        <f>IF(OR($U48="",$G48&lt;=0),"",$G48-$A48/10000)</f>
        <v/>
      </c>
      <c r="S48" s="31">
        <f>IF(OR($U48="",$O48&lt;1),"",$O48*10^11+$I48+$J48+$K48-$A48/1000)</f>
        <v/>
      </c>
      <c r="T48" s="31">
        <f>IF($U48="","",IFERROR(MATCH(INDEX(매출원본!$AU$8:$AU$2007,$U48),거래처설정!$I$8:$I$407,0),""))</f>
        <v/>
      </c>
      <c r="U48" s="31">
        <f>IFERROR(MATCH(41,매출원본!$AW$8:$AW$2007,0),"")</f>
        <v/>
      </c>
      <c r="V48" s="31">
        <f>IF($U48="","",MAX(SUMIFS(매출원본!$AT$8:$AT$2007,매출원본!$AY$8:$AY$2007,$A48,매출원본!$AS$8:$AS$2007,"&gt;="&amp;(설정!$B$5-설정!$B$6),매출원본!$AS$8:$AS$2007,"&lt;="&amp;설정!$B$5),0))</f>
        <v/>
      </c>
      <c r="W48" s="31">
        <f>IF($U48="","",MAX($V48,SUMIFS(매출원본!$AT$8:$AT$2007,매출원본!$AY$8:$AY$2007,$A48,매출원본!$AS$8:$AS$2007,"&gt;="&amp;(설정!$B$5-설정!$B$7),매출원본!$AS$8:$AS$2007,"&lt;="&amp;설정!$B$5)))</f>
        <v/>
      </c>
      <c r="X48" s="31">
        <f>IF($U48="","",MAX($W48,SUMIFS(매출원본!$AT$8:$AT$2007,매출원본!$AY$8:$AY$2007,$A48,매출원본!$AS$8:$AS$2007,"&gt;="&amp;(설정!$B$5-설정!$B$8),매출원본!$AS$8:$AS$2007,"&lt;="&amp;설정!$B$5)))</f>
        <v/>
      </c>
      <c r="AC48" s="31">
        <f>IF(OR($U48="",$T48=""),"",INDEX(거래처설정!$J$8:$J$407,$T48))</f>
        <v/>
      </c>
      <c r="AD48" s="31">
        <f>IF(OR($U48="",$T48=""),"",INDEX(거래처설정!$K$8:$K$407,$T48))</f>
        <v/>
      </c>
      <c r="AE48" s="31">
        <f>IF($U48="","",IF(LEN(SUBSTITUTE(SUBSTITUTE(SUBSTITUTE(SUBSTITUTE(SUBSTITUTE(SUBSTITUTE(SUBSTITUTE(SUBSTITUTE(SUBSTITUTE($C48," ",""),"　",""),"(주)",""),"（주）",""),"㈜",""),"주식회사",""),"(유)",""),"（유）",""),"유한회사",""))&lt;2,"",SUBSTITUTE(SUBSTITUTE(SUBSTITUTE(SUBSTITUTE(SUBSTITUTE(SUBSTITUTE(SUBSTITUTE(SUBSTITUTE(SUBSTITUTE($C48," ",""),"　",""),"(주)",""),"（주）",""),"㈜",""),"주식회사",""),"(유)",""),"（유）",""),"유한회사","")))</f>
        <v/>
      </c>
    </row>
    <row r="49">
      <c r="A49" s="38">
        <f>IF($U49="","",42)</f>
        <v/>
      </c>
      <c r="B49" s="38">
        <f>IF($U49="","",IF(LEN(INDEX(매출원본!$AU$8:$AU$2007,$U49))=10,LEFT(INDEX(매출원본!$AU$8:$AU$2007,$U49),3)&amp;"-"&amp;MID(INDEX(매출원본!$AU$8:$AU$2007,$U49),4,2)&amp;"-"&amp;RIGHT(INDEX(매출원본!$AU$8:$AU$2007,$U49),5),IF(LEFT(INDEX(매출원본!$AU$8:$AU$2007,$U49),2)="N:","(번호 없음)",INDEX(매출원본!$AU$8:$AU$2007,$U49))))</f>
        <v/>
      </c>
      <c r="C49" s="38">
        <f>IF($U49="","",INDEX(매출원본!$AV$8:$AV$2007,$U49))</f>
        <v/>
      </c>
      <c r="D49" s="39">
        <f>IF($U49="","",IF($T49="",0,N(INDEX(거래처설정!$E$8:$E$407,$T49))))</f>
        <v/>
      </c>
      <c r="E49" s="39">
        <f>IF($U49="","",SUMIFS(매출원본!$AT$8:$AT$2007,매출원본!$AY$8:$AY$2007,$A49,매출원본!$AS$8:$AS$2007,"&lt;="&amp;설정!$B$5))</f>
        <v/>
      </c>
      <c r="F49" s="39">
        <f>IF($U49="","",SUMIFS(입금_은행1!$Z$8:$Z$2007,입금_은행1!$AC$8:$AC$2007,$A49,입금_은행1!$Y$8:$Y$2007,"&lt;="&amp;설정!$B$5)+SUMIFS(입금_은행2!$Z$8:$Z$2007,입금_은행2!$AC$8:$AC$2007,$A49,입금_은행2!$Y$8:$Y$2007,"&lt;="&amp;설정!$B$5))</f>
        <v/>
      </c>
      <c r="G49" s="39">
        <f>IF($U49="","",$D49+$E49-$F49)</f>
        <v/>
      </c>
      <c r="H49" s="39">
        <f>IF($U49="","",MIN(MAX($G49,0),$V49))</f>
        <v/>
      </c>
      <c r="I49" s="39">
        <f>IF($U49="","",MIN(MAX($G49,0),$W49)-MIN(MAX($G49,0),$V49))</f>
        <v/>
      </c>
      <c r="J49" s="39">
        <f>IF($U49="","",MIN(MAX($G49,0),$X49)-MIN(MAX($G49,0),$W49))</f>
        <v/>
      </c>
      <c r="K49" s="39">
        <f>IF($U49="","",MAX($G49,0)-MIN(MAX($G49,0),$X49))</f>
        <v/>
      </c>
      <c r="L49" s="40">
        <f>IF($U49="","",IF(MAX(SUMPRODUCT(MAX((입금_은행1!$AC$8:$AC$2007=$A49)*(입금_은행1!$AE$8:$AE$2007&lt;=설정!$B$5)*입금_은행1!$AE$8:$AE$2007)),SUMPRODUCT(MAX((입금_은행2!$AC$8:$AC$2007=$A49)*(입금_은행2!$AE$8:$AE$2007&lt;=설정!$B$5)*입금_은행2!$AE$8:$AE$2007)))=0,"",MAX(SUMPRODUCT(MAX((입금_은행1!$AC$8:$AC$2007=$A49)*(입금_은행1!$AE$8:$AE$2007&lt;=설정!$B$5)*입금_은행1!$AE$8:$AE$2007)),SUMPRODUCT(MAX((입금_은행2!$AC$8:$AC$2007=$A49)*(입금_은행2!$AE$8:$AE$2007&lt;=설정!$B$5)*입금_은행2!$AE$8:$AE$2007)))))</f>
        <v/>
      </c>
      <c r="M49" s="38">
        <f>IF($U49="","",IF($T49="","",IF(INDEX(거래처설정!$F$8:$F$407,$T49)="","",INDEX(거래처설정!$F$8:$F$407,$T49))))</f>
        <v/>
      </c>
      <c r="N49" s="38">
        <f>IF($U49="","",IF($T49="","",IF(INDEX(거래처설정!$G$8:$G$407,$T49)="","",INDEX(거래처설정!$G$8:$G$407,$T49))))</f>
        <v/>
      </c>
      <c r="O49" s="38">
        <f>IF($U49="","",IF($M49="제외",0,IF($K49&gt;=설정!$B$9,3,IF($J49+$K49&gt;=설정!$B$9,2,IF($I49+$J49+$K49&gt;=설정!$B$9,1,0)))))</f>
        <v/>
      </c>
      <c r="P49" s="38">
        <f>IF($U49="","",IF($M49="제외","제외(조치 상태)",IF($O49=3,"③ 강한 독촉 후보 ("&amp;설정!$B$8&amp;"일 초과)",IF($O49=2,"② 독촉 후보 ("&amp;설정!$B$7&amp;"일 초과)",IF($O49=1,"① 안내 후보 ("&amp;설정!$B$6&amp;"일 초과)",IF($G49&gt;0,IF($I49+$J49+$K49&gt;0,"오래된 잔액 있음 (최소 금액 미만)","정상 범위"),IF($G49&lt;0,"선수금·초과입금 — 확인","완납")))))))</f>
        <v/>
      </c>
      <c r="Q49" s="38">
        <f>IF($U49="","",IF($G49&lt;0,"입금이 매출보다 큼 — 선수금이거나 다른 거래처 입금이 섞였는지 확인",IF(AND($AE49&lt;&gt;"",COUNTIF($AE$8:$AE$307,"*"&amp;$AE49&amp;"*")&gt;1),"이름이 다른 거래처와 겹침 — 입금이 잘못 맞았을 수 있으니 별칭 확인",IF(AND($G49&gt;0,$F49=0),"입금 매칭 없음 — 입금자명이 다르면 [거래처설정]에 별칭 등록",""))))</f>
        <v/>
      </c>
      <c r="R49" s="31">
        <f>IF(OR($U49="",$G49&lt;=0),"",$G49-$A49/10000)</f>
        <v/>
      </c>
      <c r="S49" s="31">
        <f>IF(OR($U49="",$O49&lt;1),"",$O49*10^11+$I49+$J49+$K49-$A49/1000)</f>
        <v/>
      </c>
      <c r="T49" s="31">
        <f>IF($U49="","",IFERROR(MATCH(INDEX(매출원본!$AU$8:$AU$2007,$U49),거래처설정!$I$8:$I$407,0),""))</f>
        <v/>
      </c>
      <c r="U49" s="31">
        <f>IFERROR(MATCH(42,매출원본!$AW$8:$AW$2007,0),"")</f>
        <v/>
      </c>
      <c r="V49" s="31">
        <f>IF($U49="","",MAX(SUMIFS(매출원본!$AT$8:$AT$2007,매출원본!$AY$8:$AY$2007,$A49,매출원본!$AS$8:$AS$2007,"&gt;="&amp;(설정!$B$5-설정!$B$6),매출원본!$AS$8:$AS$2007,"&lt;="&amp;설정!$B$5),0))</f>
        <v/>
      </c>
      <c r="W49" s="31">
        <f>IF($U49="","",MAX($V49,SUMIFS(매출원본!$AT$8:$AT$2007,매출원본!$AY$8:$AY$2007,$A49,매출원본!$AS$8:$AS$2007,"&gt;="&amp;(설정!$B$5-설정!$B$7),매출원본!$AS$8:$AS$2007,"&lt;="&amp;설정!$B$5)))</f>
        <v/>
      </c>
      <c r="X49" s="31">
        <f>IF($U49="","",MAX($W49,SUMIFS(매출원본!$AT$8:$AT$2007,매출원본!$AY$8:$AY$2007,$A49,매출원본!$AS$8:$AS$2007,"&gt;="&amp;(설정!$B$5-설정!$B$8),매출원본!$AS$8:$AS$2007,"&lt;="&amp;설정!$B$5)))</f>
        <v/>
      </c>
      <c r="AC49" s="31">
        <f>IF(OR($U49="",$T49=""),"",INDEX(거래처설정!$J$8:$J$407,$T49))</f>
        <v/>
      </c>
      <c r="AD49" s="31">
        <f>IF(OR($U49="",$T49=""),"",INDEX(거래처설정!$K$8:$K$407,$T49))</f>
        <v/>
      </c>
      <c r="AE49" s="31">
        <f>IF($U49="","",IF(LEN(SUBSTITUTE(SUBSTITUTE(SUBSTITUTE(SUBSTITUTE(SUBSTITUTE(SUBSTITUTE(SUBSTITUTE(SUBSTITUTE(SUBSTITUTE($C49," ",""),"　",""),"(주)",""),"（주）",""),"㈜",""),"주식회사",""),"(유)",""),"（유）",""),"유한회사",""))&lt;2,"",SUBSTITUTE(SUBSTITUTE(SUBSTITUTE(SUBSTITUTE(SUBSTITUTE(SUBSTITUTE(SUBSTITUTE(SUBSTITUTE(SUBSTITUTE($C49," ",""),"　",""),"(주)",""),"（주）",""),"㈜",""),"주식회사",""),"(유)",""),"（유）",""),"유한회사","")))</f>
        <v/>
      </c>
    </row>
    <row r="50">
      <c r="A50" s="38">
        <f>IF($U50="","",43)</f>
        <v/>
      </c>
      <c r="B50" s="38">
        <f>IF($U50="","",IF(LEN(INDEX(매출원본!$AU$8:$AU$2007,$U50))=10,LEFT(INDEX(매출원본!$AU$8:$AU$2007,$U50),3)&amp;"-"&amp;MID(INDEX(매출원본!$AU$8:$AU$2007,$U50),4,2)&amp;"-"&amp;RIGHT(INDEX(매출원본!$AU$8:$AU$2007,$U50),5),IF(LEFT(INDEX(매출원본!$AU$8:$AU$2007,$U50),2)="N:","(번호 없음)",INDEX(매출원본!$AU$8:$AU$2007,$U50))))</f>
        <v/>
      </c>
      <c r="C50" s="38">
        <f>IF($U50="","",INDEX(매출원본!$AV$8:$AV$2007,$U50))</f>
        <v/>
      </c>
      <c r="D50" s="39">
        <f>IF($U50="","",IF($T50="",0,N(INDEX(거래처설정!$E$8:$E$407,$T50))))</f>
        <v/>
      </c>
      <c r="E50" s="39">
        <f>IF($U50="","",SUMIFS(매출원본!$AT$8:$AT$2007,매출원본!$AY$8:$AY$2007,$A50,매출원본!$AS$8:$AS$2007,"&lt;="&amp;설정!$B$5))</f>
        <v/>
      </c>
      <c r="F50" s="39">
        <f>IF($U50="","",SUMIFS(입금_은행1!$Z$8:$Z$2007,입금_은행1!$AC$8:$AC$2007,$A50,입금_은행1!$Y$8:$Y$2007,"&lt;="&amp;설정!$B$5)+SUMIFS(입금_은행2!$Z$8:$Z$2007,입금_은행2!$AC$8:$AC$2007,$A50,입금_은행2!$Y$8:$Y$2007,"&lt;="&amp;설정!$B$5))</f>
        <v/>
      </c>
      <c r="G50" s="39">
        <f>IF($U50="","",$D50+$E50-$F50)</f>
        <v/>
      </c>
      <c r="H50" s="39">
        <f>IF($U50="","",MIN(MAX($G50,0),$V50))</f>
        <v/>
      </c>
      <c r="I50" s="39">
        <f>IF($U50="","",MIN(MAX($G50,0),$W50)-MIN(MAX($G50,0),$V50))</f>
        <v/>
      </c>
      <c r="J50" s="39">
        <f>IF($U50="","",MIN(MAX($G50,0),$X50)-MIN(MAX($G50,0),$W50))</f>
        <v/>
      </c>
      <c r="K50" s="39">
        <f>IF($U50="","",MAX($G50,0)-MIN(MAX($G50,0),$X50))</f>
        <v/>
      </c>
      <c r="L50" s="40">
        <f>IF($U50="","",IF(MAX(SUMPRODUCT(MAX((입금_은행1!$AC$8:$AC$2007=$A50)*(입금_은행1!$AE$8:$AE$2007&lt;=설정!$B$5)*입금_은행1!$AE$8:$AE$2007)),SUMPRODUCT(MAX((입금_은행2!$AC$8:$AC$2007=$A50)*(입금_은행2!$AE$8:$AE$2007&lt;=설정!$B$5)*입금_은행2!$AE$8:$AE$2007)))=0,"",MAX(SUMPRODUCT(MAX((입금_은행1!$AC$8:$AC$2007=$A50)*(입금_은행1!$AE$8:$AE$2007&lt;=설정!$B$5)*입금_은행1!$AE$8:$AE$2007)),SUMPRODUCT(MAX((입금_은행2!$AC$8:$AC$2007=$A50)*(입금_은행2!$AE$8:$AE$2007&lt;=설정!$B$5)*입금_은행2!$AE$8:$AE$2007)))))</f>
        <v/>
      </c>
      <c r="M50" s="38">
        <f>IF($U50="","",IF($T50="","",IF(INDEX(거래처설정!$F$8:$F$407,$T50)="","",INDEX(거래처설정!$F$8:$F$407,$T50))))</f>
        <v/>
      </c>
      <c r="N50" s="38">
        <f>IF($U50="","",IF($T50="","",IF(INDEX(거래처설정!$G$8:$G$407,$T50)="","",INDEX(거래처설정!$G$8:$G$407,$T50))))</f>
        <v/>
      </c>
      <c r="O50" s="38">
        <f>IF($U50="","",IF($M50="제외",0,IF($K50&gt;=설정!$B$9,3,IF($J50+$K50&gt;=설정!$B$9,2,IF($I50+$J50+$K50&gt;=설정!$B$9,1,0)))))</f>
        <v/>
      </c>
      <c r="P50" s="38">
        <f>IF($U50="","",IF($M50="제외","제외(조치 상태)",IF($O50=3,"③ 강한 독촉 후보 ("&amp;설정!$B$8&amp;"일 초과)",IF($O50=2,"② 독촉 후보 ("&amp;설정!$B$7&amp;"일 초과)",IF($O50=1,"① 안내 후보 ("&amp;설정!$B$6&amp;"일 초과)",IF($G50&gt;0,IF($I50+$J50+$K50&gt;0,"오래된 잔액 있음 (최소 금액 미만)","정상 범위"),IF($G50&lt;0,"선수금·초과입금 — 확인","완납")))))))</f>
        <v/>
      </c>
      <c r="Q50" s="38">
        <f>IF($U50="","",IF($G50&lt;0,"입금이 매출보다 큼 — 선수금이거나 다른 거래처 입금이 섞였는지 확인",IF(AND($AE50&lt;&gt;"",COUNTIF($AE$8:$AE$307,"*"&amp;$AE50&amp;"*")&gt;1),"이름이 다른 거래처와 겹침 — 입금이 잘못 맞았을 수 있으니 별칭 확인",IF(AND($G50&gt;0,$F50=0),"입금 매칭 없음 — 입금자명이 다르면 [거래처설정]에 별칭 등록",""))))</f>
        <v/>
      </c>
      <c r="R50" s="31">
        <f>IF(OR($U50="",$G50&lt;=0),"",$G50-$A50/10000)</f>
        <v/>
      </c>
      <c r="S50" s="31">
        <f>IF(OR($U50="",$O50&lt;1),"",$O50*10^11+$I50+$J50+$K50-$A50/1000)</f>
        <v/>
      </c>
      <c r="T50" s="31">
        <f>IF($U50="","",IFERROR(MATCH(INDEX(매출원본!$AU$8:$AU$2007,$U50),거래처설정!$I$8:$I$407,0),""))</f>
        <v/>
      </c>
      <c r="U50" s="31">
        <f>IFERROR(MATCH(43,매출원본!$AW$8:$AW$2007,0),"")</f>
        <v/>
      </c>
      <c r="V50" s="31">
        <f>IF($U50="","",MAX(SUMIFS(매출원본!$AT$8:$AT$2007,매출원본!$AY$8:$AY$2007,$A50,매출원본!$AS$8:$AS$2007,"&gt;="&amp;(설정!$B$5-설정!$B$6),매출원본!$AS$8:$AS$2007,"&lt;="&amp;설정!$B$5),0))</f>
        <v/>
      </c>
      <c r="W50" s="31">
        <f>IF($U50="","",MAX($V50,SUMIFS(매출원본!$AT$8:$AT$2007,매출원본!$AY$8:$AY$2007,$A50,매출원본!$AS$8:$AS$2007,"&gt;="&amp;(설정!$B$5-설정!$B$7),매출원본!$AS$8:$AS$2007,"&lt;="&amp;설정!$B$5)))</f>
        <v/>
      </c>
      <c r="X50" s="31">
        <f>IF($U50="","",MAX($W50,SUMIFS(매출원본!$AT$8:$AT$2007,매출원본!$AY$8:$AY$2007,$A50,매출원본!$AS$8:$AS$2007,"&gt;="&amp;(설정!$B$5-설정!$B$8),매출원본!$AS$8:$AS$2007,"&lt;="&amp;설정!$B$5)))</f>
        <v/>
      </c>
      <c r="AC50" s="31">
        <f>IF(OR($U50="",$T50=""),"",INDEX(거래처설정!$J$8:$J$407,$T50))</f>
        <v/>
      </c>
      <c r="AD50" s="31">
        <f>IF(OR($U50="",$T50=""),"",INDEX(거래처설정!$K$8:$K$407,$T50))</f>
        <v/>
      </c>
      <c r="AE50" s="31">
        <f>IF($U50="","",IF(LEN(SUBSTITUTE(SUBSTITUTE(SUBSTITUTE(SUBSTITUTE(SUBSTITUTE(SUBSTITUTE(SUBSTITUTE(SUBSTITUTE(SUBSTITUTE($C50," ",""),"　",""),"(주)",""),"（주）",""),"㈜",""),"주식회사",""),"(유)",""),"（유）",""),"유한회사",""))&lt;2,"",SUBSTITUTE(SUBSTITUTE(SUBSTITUTE(SUBSTITUTE(SUBSTITUTE(SUBSTITUTE(SUBSTITUTE(SUBSTITUTE(SUBSTITUTE($C50," ",""),"　",""),"(주)",""),"（주）",""),"㈜",""),"주식회사",""),"(유)",""),"（유）",""),"유한회사","")))</f>
        <v/>
      </c>
    </row>
    <row r="51">
      <c r="A51" s="38">
        <f>IF($U51="","",44)</f>
        <v/>
      </c>
      <c r="B51" s="38">
        <f>IF($U51="","",IF(LEN(INDEX(매출원본!$AU$8:$AU$2007,$U51))=10,LEFT(INDEX(매출원본!$AU$8:$AU$2007,$U51),3)&amp;"-"&amp;MID(INDEX(매출원본!$AU$8:$AU$2007,$U51),4,2)&amp;"-"&amp;RIGHT(INDEX(매출원본!$AU$8:$AU$2007,$U51),5),IF(LEFT(INDEX(매출원본!$AU$8:$AU$2007,$U51),2)="N:","(번호 없음)",INDEX(매출원본!$AU$8:$AU$2007,$U51))))</f>
        <v/>
      </c>
      <c r="C51" s="38">
        <f>IF($U51="","",INDEX(매출원본!$AV$8:$AV$2007,$U51))</f>
        <v/>
      </c>
      <c r="D51" s="39">
        <f>IF($U51="","",IF($T51="",0,N(INDEX(거래처설정!$E$8:$E$407,$T51))))</f>
        <v/>
      </c>
      <c r="E51" s="39">
        <f>IF($U51="","",SUMIFS(매출원본!$AT$8:$AT$2007,매출원본!$AY$8:$AY$2007,$A51,매출원본!$AS$8:$AS$2007,"&lt;="&amp;설정!$B$5))</f>
        <v/>
      </c>
      <c r="F51" s="39">
        <f>IF($U51="","",SUMIFS(입금_은행1!$Z$8:$Z$2007,입금_은행1!$AC$8:$AC$2007,$A51,입금_은행1!$Y$8:$Y$2007,"&lt;="&amp;설정!$B$5)+SUMIFS(입금_은행2!$Z$8:$Z$2007,입금_은행2!$AC$8:$AC$2007,$A51,입금_은행2!$Y$8:$Y$2007,"&lt;="&amp;설정!$B$5))</f>
        <v/>
      </c>
      <c r="G51" s="39">
        <f>IF($U51="","",$D51+$E51-$F51)</f>
        <v/>
      </c>
      <c r="H51" s="39">
        <f>IF($U51="","",MIN(MAX($G51,0),$V51))</f>
        <v/>
      </c>
      <c r="I51" s="39">
        <f>IF($U51="","",MIN(MAX($G51,0),$W51)-MIN(MAX($G51,0),$V51))</f>
        <v/>
      </c>
      <c r="J51" s="39">
        <f>IF($U51="","",MIN(MAX($G51,0),$X51)-MIN(MAX($G51,0),$W51))</f>
        <v/>
      </c>
      <c r="K51" s="39">
        <f>IF($U51="","",MAX($G51,0)-MIN(MAX($G51,0),$X51))</f>
        <v/>
      </c>
      <c r="L51" s="40">
        <f>IF($U51="","",IF(MAX(SUMPRODUCT(MAX((입금_은행1!$AC$8:$AC$2007=$A51)*(입금_은행1!$AE$8:$AE$2007&lt;=설정!$B$5)*입금_은행1!$AE$8:$AE$2007)),SUMPRODUCT(MAX((입금_은행2!$AC$8:$AC$2007=$A51)*(입금_은행2!$AE$8:$AE$2007&lt;=설정!$B$5)*입금_은행2!$AE$8:$AE$2007)))=0,"",MAX(SUMPRODUCT(MAX((입금_은행1!$AC$8:$AC$2007=$A51)*(입금_은행1!$AE$8:$AE$2007&lt;=설정!$B$5)*입금_은행1!$AE$8:$AE$2007)),SUMPRODUCT(MAX((입금_은행2!$AC$8:$AC$2007=$A51)*(입금_은행2!$AE$8:$AE$2007&lt;=설정!$B$5)*입금_은행2!$AE$8:$AE$2007)))))</f>
        <v/>
      </c>
      <c r="M51" s="38">
        <f>IF($U51="","",IF($T51="","",IF(INDEX(거래처설정!$F$8:$F$407,$T51)="","",INDEX(거래처설정!$F$8:$F$407,$T51))))</f>
        <v/>
      </c>
      <c r="N51" s="38">
        <f>IF($U51="","",IF($T51="","",IF(INDEX(거래처설정!$G$8:$G$407,$T51)="","",INDEX(거래처설정!$G$8:$G$407,$T51))))</f>
        <v/>
      </c>
      <c r="O51" s="38">
        <f>IF($U51="","",IF($M51="제외",0,IF($K51&gt;=설정!$B$9,3,IF($J51+$K51&gt;=설정!$B$9,2,IF($I51+$J51+$K51&gt;=설정!$B$9,1,0)))))</f>
        <v/>
      </c>
      <c r="P51" s="38">
        <f>IF($U51="","",IF($M51="제외","제외(조치 상태)",IF($O51=3,"③ 강한 독촉 후보 ("&amp;설정!$B$8&amp;"일 초과)",IF($O51=2,"② 독촉 후보 ("&amp;설정!$B$7&amp;"일 초과)",IF($O51=1,"① 안내 후보 ("&amp;설정!$B$6&amp;"일 초과)",IF($G51&gt;0,IF($I51+$J51+$K51&gt;0,"오래된 잔액 있음 (최소 금액 미만)","정상 범위"),IF($G51&lt;0,"선수금·초과입금 — 확인","완납")))))))</f>
        <v/>
      </c>
      <c r="Q51" s="38">
        <f>IF($U51="","",IF($G51&lt;0,"입금이 매출보다 큼 — 선수금이거나 다른 거래처 입금이 섞였는지 확인",IF(AND($AE51&lt;&gt;"",COUNTIF($AE$8:$AE$307,"*"&amp;$AE51&amp;"*")&gt;1),"이름이 다른 거래처와 겹침 — 입금이 잘못 맞았을 수 있으니 별칭 확인",IF(AND($G51&gt;0,$F51=0),"입금 매칭 없음 — 입금자명이 다르면 [거래처설정]에 별칭 등록",""))))</f>
        <v/>
      </c>
      <c r="R51" s="31">
        <f>IF(OR($U51="",$G51&lt;=0),"",$G51-$A51/10000)</f>
        <v/>
      </c>
      <c r="S51" s="31">
        <f>IF(OR($U51="",$O51&lt;1),"",$O51*10^11+$I51+$J51+$K51-$A51/1000)</f>
        <v/>
      </c>
      <c r="T51" s="31">
        <f>IF($U51="","",IFERROR(MATCH(INDEX(매출원본!$AU$8:$AU$2007,$U51),거래처설정!$I$8:$I$407,0),""))</f>
        <v/>
      </c>
      <c r="U51" s="31">
        <f>IFERROR(MATCH(44,매출원본!$AW$8:$AW$2007,0),"")</f>
        <v/>
      </c>
      <c r="V51" s="31">
        <f>IF($U51="","",MAX(SUMIFS(매출원본!$AT$8:$AT$2007,매출원본!$AY$8:$AY$2007,$A51,매출원본!$AS$8:$AS$2007,"&gt;="&amp;(설정!$B$5-설정!$B$6),매출원본!$AS$8:$AS$2007,"&lt;="&amp;설정!$B$5),0))</f>
        <v/>
      </c>
      <c r="W51" s="31">
        <f>IF($U51="","",MAX($V51,SUMIFS(매출원본!$AT$8:$AT$2007,매출원본!$AY$8:$AY$2007,$A51,매출원본!$AS$8:$AS$2007,"&gt;="&amp;(설정!$B$5-설정!$B$7),매출원본!$AS$8:$AS$2007,"&lt;="&amp;설정!$B$5)))</f>
        <v/>
      </c>
      <c r="X51" s="31">
        <f>IF($U51="","",MAX($W51,SUMIFS(매출원본!$AT$8:$AT$2007,매출원본!$AY$8:$AY$2007,$A51,매출원본!$AS$8:$AS$2007,"&gt;="&amp;(설정!$B$5-설정!$B$8),매출원본!$AS$8:$AS$2007,"&lt;="&amp;설정!$B$5)))</f>
        <v/>
      </c>
      <c r="AC51" s="31">
        <f>IF(OR($U51="",$T51=""),"",INDEX(거래처설정!$J$8:$J$407,$T51))</f>
        <v/>
      </c>
      <c r="AD51" s="31">
        <f>IF(OR($U51="",$T51=""),"",INDEX(거래처설정!$K$8:$K$407,$T51))</f>
        <v/>
      </c>
      <c r="AE51" s="31">
        <f>IF($U51="","",IF(LEN(SUBSTITUTE(SUBSTITUTE(SUBSTITUTE(SUBSTITUTE(SUBSTITUTE(SUBSTITUTE(SUBSTITUTE(SUBSTITUTE(SUBSTITUTE($C51," ",""),"　",""),"(주)",""),"（주）",""),"㈜",""),"주식회사",""),"(유)",""),"（유）",""),"유한회사",""))&lt;2,"",SUBSTITUTE(SUBSTITUTE(SUBSTITUTE(SUBSTITUTE(SUBSTITUTE(SUBSTITUTE(SUBSTITUTE(SUBSTITUTE(SUBSTITUTE($C51," ",""),"　",""),"(주)",""),"（주）",""),"㈜",""),"주식회사",""),"(유)",""),"（유）",""),"유한회사","")))</f>
        <v/>
      </c>
    </row>
    <row r="52">
      <c r="A52" s="38">
        <f>IF($U52="","",45)</f>
        <v/>
      </c>
      <c r="B52" s="38">
        <f>IF($U52="","",IF(LEN(INDEX(매출원본!$AU$8:$AU$2007,$U52))=10,LEFT(INDEX(매출원본!$AU$8:$AU$2007,$U52),3)&amp;"-"&amp;MID(INDEX(매출원본!$AU$8:$AU$2007,$U52),4,2)&amp;"-"&amp;RIGHT(INDEX(매출원본!$AU$8:$AU$2007,$U52),5),IF(LEFT(INDEX(매출원본!$AU$8:$AU$2007,$U52),2)="N:","(번호 없음)",INDEX(매출원본!$AU$8:$AU$2007,$U52))))</f>
        <v/>
      </c>
      <c r="C52" s="38">
        <f>IF($U52="","",INDEX(매출원본!$AV$8:$AV$2007,$U52))</f>
        <v/>
      </c>
      <c r="D52" s="39">
        <f>IF($U52="","",IF($T52="",0,N(INDEX(거래처설정!$E$8:$E$407,$T52))))</f>
        <v/>
      </c>
      <c r="E52" s="39">
        <f>IF($U52="","",SUMIFS(매출원본!$AT$8:$AT$2007,매출원본!$AY$8:$AY$2007,$A52,매출원본!$AS$8:$AS$2007,"&lt;="&amp;설정!$B$5))</f>
        <v/>
      </c>
      <c r="F52" s="39">
        <f>IF($U52="","",SUMIFS(입금_은행1!$Z$8:$Z$2007,입금_은행1!$AC$8:$AC$2007,$A52,입금_은행1!$Y$8:$Y$2007,"&lt;="&amp;설정!$B$5)+SUMIFS(입금_은행2!$Z$8:$Z$2007,입금_은행2!$AC$8:$AC$2007,$A52,입금_은행2!$Y$8:$Y$2007,"&lt;="&amp;설정!$B$5))</f>
        <v/>
      </c>
      <c r="G52" s="39">
        <f>IF($U52="","",$D52+$E52-$F52)</f>
        <v/>
      </c>
      <c r="H52" s="39">
        <f>IF($U52="","",MIN(MAX($G52,0),$V52))</f>
        <v/>
      </c>
      <c r="I52" s="39">
        <f>IF($U52="","",MIN(MAX($G52,0),$W52)-MIN(MAX($G52,0),$V52))</f>
        <v/>
      </c>
      <c r="J52" s="39">
        <f>IF($U52="","",MIN(MAX($G52,0),$X52)-MIN(MAX($G52,0),$W52))</f>
        <v/>
      </c>
      <c r="K52" s="39">
        <f>IF($U52="","",MAX($G52,0)-MIN(MAX($G52,0),$X52))</f>
        <v/>
      </c>
      <c r="L52" s="40">
        <f>IF($U52="","",IF(MAX(SUMPRODUCT(MAX((입금_은행1!$AC$8:$AC$2007=$A52)*(입금_은행1!$AE$8:$AE$2007&lt;=설정!$B$5)*입금_은행1!$AE$8:$AE$2007)),SUMPRODUCT(MAX((입금_은행2!$AC$8:$AC$2007=$A52)*(입금_은행2!$AE$8:$AE$2007&lt;=설정!$B$5)*입금_은행2!$AE$8:$AE$2007)))=0,"",MAX(SUMPRODUCT(MAX((입금_은행1!$AC$8:$AC$2007=$A52)*(입금_은행1!$AE$8:$AE$2007&lt;=설정!$B$5)*입금_은행1!$AE$8:$AE$2007)),SUMPRODUCT(MAX((입금_은행2!$AC$8:$AC$2007=$A52)*(입금_은행2!$AE$8:$AE$2007&lt;=설정!$B$5)*입금_은행2!$AE$8:$AE$2007)))))</f>
        <v/>
      </c>
      <c r="M52" s="38">
        <f>IF($U52="","",IF($T52="","",IF(INDEX(거래처설정!$F$8:$F$407,$T52)="","",INDEX(거래처설정!$F$8:$F$407,$T52))))</f>
        <v/>
      </c>
      <c r="N52" s="38">
        <f>IF($U52="","",IF($T52="","",IF(INDEX(거래처설정!$G$8:$G$407,$T52)="","",INDEX(거래처설정!$G$8:$G$407,$T52))))</f>
        <v/>
      </c>
      <c r="O52" s="38">
        <f>IF($U52="","",IF($M52="제외",0,IF($K52&gt;=설정!$B$9,3,IF($J52+$K52&gt;=설정!$B$9,2,IF($I52+$J52+$K52&gt;=설정!$B$9,1,0)))))</f>
        <v/>
      </c>
      <c r="P52" s="38">
        <f>IF($U52="","",IF($M52="제외","제외(조치 상태)",IF($O52=3,"③ 강한 독촉 후보 ("&amp;설정!$B$8&amp;"일 초과)",IF($O52=2,"② 독촉 후보 ("&amp;설정!$B$7&amp;"일 초과)",IF($O52=1,"① 안내 후보 ("&amp;설정!$B$6&amp;"일 초과)",IF($G52&gt;0,IF($I52+$J52+$K52&gt;0,"오래된 잔액 있음 (최소 금액 미만)","정상 범위"),IF($G52&lt;0,"선수금·초과입금 — 확인","완납")))))))</f>
        <v/>
      </c>
      <c r="Q52" s="38">
        <f>IF($U52="","",IF($G52&lt;0,"입금이 매출보다 큼 — 선수금이거나 다른 거래처 입금이 섞였는지 확인",IF(AND($AE52&lt;&gt;"",COUNTIF($AE$8:$AE$307,"*"&amp;$AE52&amp;"*")&gt;1),"이름이 다른 거래처와 겹침 — 입금이 잘못 맞았을 수 있으니 별칭 확인",IF(AND($G52&gt;0,$F52=0),"입금 매칭 없음 — 입금자명이 다르면 [거래처설정]에 별칭 등록",""))))</f>
        <v/>
      </c>
      <c r="R52" s="31">
        <f>IF(OR($U52="",$G52&lt;=0),"",$G52-$A52/10000)</f>
        <v/>
      </c>
      <c r="S52" s="31">
        <f>IF(OR($U52="",$O52&lt;1),"",$O52*10^11+$I52+$J52+$K52-$A52/1000)</f>
        <v/>
      </c>
      <c r="T52" s="31">
        <f>IF($U52="","",IFERROR(MATCH(INDEX(매출원본!$AU$8:$AU$2007,$U52),거래처설정!$I$8:$I$407,0),""))</f>
        <v/>
      </c>
      <c r="U52" s="31">
        <f>IFERROR(MATCH(45,매출원본!$AW$8:$AW$2007,0),"")</f>
        <v/>
      </c>
      <c r="V52" s="31">
        <f>IF($U52="","",MAX(SUMIFS(매출원본!$AT$8:$AT$2007,매출원본!$AY$8:$AY$2007,$A52,매출원본!$AS$8:$AS$2007,"&gt;="&amp;(설정!$B$5-설정!$B$6),매출원본!$AS$8:$AS$2007,"&lt;="&amp;설정!$B$5),0))</f>
        <v/>
      </c>
      <c r="W52" s="31">
        <f>IF($U52="","",MAX($V52,SUMIFS(매출원본!$AT$8:$AT$2007,매출원본!$AY$8:$AY$2007,$A52,매출원본!$AS$8:$AS$2007,"&gt;="&amp;(설정!$B$5-설정!$B$7),매출원본!$AS$8:$AS$2007,"&lt;="&amp;설정!$B$5)))</f>
        <v/>
      </c>
      <c r="X52" s="31">
        <f>IF($U52="","",MAX($W52,SUMIFS(매출원본!$AT$8:$AT$2007,매출원본!$AY$8:$AY$2007,$A52,매출원본!$AS$8:$AS$2007,"&gt;="&amp;(설정!$B$5-설정!$B$8),매출원본!$AS$8:$AS$2007,"&lt;="&amp;설정!$B$5)))</f>
        <v/>
      </c>
      <c r="AC52" s="31">
        <f>IF(OR($U52="",$T52=""),"",INDEX(거래처설정!$J$8:$J$407,$T52))</f>
        <v/>
      </c>
      <c r="AD52" s="31">
        <f>IF(OR($U52="",$T52=""),"",INDEX(거래처설정!$K$8:$K$407,$T52))</f>
        <v/>
      </c>
      <c r="AE52" s="31">
        <f>IF($U52="","",IF(LEN(SUBSTITUTE(SUBSTITUTE(SUBSTITUTE(SUBSTITUTE(SUBSTITUTE(SUBSTITUTE(SUBSTITUTE(SUBSTITUTE(SUBSTITUTE($C52," ",""),"　",""),"(주)",""),"（주）",""),"㈜",""),"주식회사",""),"(유)",""),"（유）",""),"유한회사",""))&lt;2,"",SUBSTITUTE(SUBSTITUTE(SUBSTITUTE(SUBSTITUTE(SUBSTITUTE(SUBSTITUTE(SUBSTITUTE(SUBSTITUTE(SUBSTITUTE($C52," ",""),"　",""),"(주)",""),"（주）",""),"㈜",""),"주식회사",""),"(유)",""),"（유）",""),"유한회사","")))</f>
        <v/>
      </c>
    </row>
    <row r="53">
      <c r="A53" s="38">
        <f>IF($U53="","",46)</f>
        <v/>
      </c>
      <c r="B53" s="38">
        <f>IF($U53="","",IF(LEN(INDEX(매출원본!$AU$8:$AU$2007,$U53))=10,LEFT(INDEX(매출원본!$AU$8:$AU$2007,$U53),3)&amp;"-"&amp;MID(INDEX(매출원본!$AU$8:$AU$2007,$U53),4,2)&amp;"-"&amp;RIGHT(INDEX(매출원본!$AU$8:$AU$2007,$U53),5),IF(LEFT(INDEX(매출원본!$AU$8:$AU$2007,$U53),2)="N:","(번호 없음)",INDEX(매출원본!$AU$8:$AU$2007,$U53))))</f>
        <v/>
      </c>
      <c r="C53" s="38">
        <f>IF($U53="","",INDEX(매출원본!$AV$8:$AV$2007,$U53))</f>
        <v/>
      </c>
      <c r="D53" s="39">
        <f>IF($U53="","",IF($T53="",0,N(INDEX(거래처설정!$E$8:$E$407,$T53))))</f>
        <v/>
      </c>
      <c r="E53" s="39">
        <f>IF($U53="","",SUMIFS(매출원본!$AT$8:$AT$2007,매출원본!$AY$8:$AY$2007,$A53,매출원본!$AS$8:$AS$2007,"&lt;="&amp;설정!$B$5))</f>
        <v/>
      </c>
      <c r="F53" s="39">
        <f>IF($U53="","",SUMIFS(입금_은행1!$Z$8:$Z$2007,입금_은행1!$AC$8:$AC$2007,$A53,입금_은행1!$Y$8:$Y$2007,"&lt;="&amp;설정!$B$5)+SUMIFS(입금_은행2!$Z$8:$Z$2007,입금_은행2!$AC$8:$AC$2007,$A53,입금_은행2!$Y$8:$Y$2007,"&lt;="&amp;설정!$B$5))</f>
        <v/>
      </c>
      <c r="G53" s="39">
        <f>IF($U53="","",$D53+$E53-$F53)</f>
        <v/>
      </c>
      <c r="H53" s="39">
        <f>IF($U53="","",MIN(MAX($G53,0),$V53))</f>
        <v/>
      </c>
      <c r="I53" s="39">
        <f>IF($U53="","",MIN(MAX($G53,0),$W53)-MIN(MAX($G53,0),$V53))</f>
        <v/>
      </c>
      <c r="J53" s="39">
        <f>IF($U53="","",MIN(MAX($G53,0),$X53)-MIN(MAX($G53,0),$W53))</f>
        <v/>
      </c>
      <c r="K53" s="39">
        <f>IF($U53="","",MAX($G53,0)-MIN(MAX($G53,0),$X53))</f>
        <v/>
      </c>
      <c r="L53" s="40">
        <f>IF($U53="","",IF(MAX(SUMPRODUCT(MAX((입금_은행1!$AC$8:$AC$2007=$A53)*(입금_은행1!$AE$8:$AE$2007&lt;=설정!$B$5)*입금_은행1!$AE$8:$AE$2007)),SUMPRODUCT(MAX((입금_은행2!$AC$8:$AC$2007=$A53)*(입금_은행2!$AE$8:$AE$2007&lt;=설정!$B$5)*입금_은행2!$AE$8:$AE$2007)))=0,"",MAX(SUMPRODUCT(MAX((입금_은행1!$AC$8:$AC$2007=$A53)*(입금_은행1!$AE$8:$AE$2007&lt;=설정!$B$5)*입금_은행1!$AE$8:$AE$2007)),SUMPRODUCT(MAX((입금_은행2!$AC$8:$AC$2007=$A53)*(입금_은행2!$AE$8:$AE$2007&lt;=설정!$B$5)*입금_은행2!$AE$8:$AE$2007)))))</f>
        <v/>
      </c>
      <c r="M53" s="38">
        <f>IF($U53="","",IF($T53="","",IF(INDEX(거래처설정!$F$8:$F$407,$T53)="","",INDEX(거래처설정!$F$8:$F$407,$T53))))</f>
        <v/>
      </c>
      <c r="N53" s="38">
        <f>IF($U53="","",IF($T53="","",IF(INDEX(거래처설정!$G$8:$G$407,$T53)="","",INDEX(거래처설정!$G$8:$G$407,$T53))))</f>
        <v/>
      </c>
      <c r="O53" s="38">
        <f>IF($U53="","",IF($M53="제외",0,IF($K53&gt;=설정!$B$9,3,IF($J53+$K53&gt;=설정!$B$9,2,IF($I53+$J53+$K53&gt;=설정!$B$9,1,0)))))</f>
        <v/>
      </c>
      <c r="P53" s="38">
        <f>IF($U53="","",IF($M53="제외","제외(조치 상태)",IF($O53=3,"③ 강한 독촉 후보 ("&amp;설정!$B$8&amp;"일 초과)",IF($O53=2,"② 독촉 후보 ("&amp;설정!$B$7&amp;"일 초과)",IF($O53=1,"① 안내 후보 ("&amp;설정!$B$6&amp;"일 초과)",IF($G53&gt;0,IF($I53+$J53+$K53&gt;0,"오래된 잔액 있음 (최소 금액 미만)","정상 범위"),IF($G53&lt;0,"선수금·초과입금 — 확인","완납")))))))</f>
        <v/>
      </c>
      <c r="Q53" s="38">
        <f>IF($U53="","",IF($G53&lt;0,"입금이 매출보다 큼 — 선수금이거나 다른 거래처 입금이 섞였는지 확인",IF(AND($AE53&lt;&gt;"",COUNTIF($AE$8:$AE$307,"*"&amp;$AE53&amp;"*")&gt;1),"이름이 다른 거래처와 겹침 — 입금이 잘못 맞았을 수 있으니 별칭 확인",IF(AND($G53&gt;0,$F53=0),"입금 매칭 없음 — 입금자명이 다르면 [거래처설정]에 별칭 등록",""))))</f>
        <v/>
      </c>
      <c r="R53" s="31">
        <f>IF(OR($U53="",$G53&lt;=0),"",$G53-$A53/10000)</f>
        <v/>
      </c>
      <c r="S53" s="31">
        <f>IF(OR($U53="",$O53&lt;1),"",$O53*10^11+$I53+$J53+$K53-$A53/1000)</f>
        <v/>
      </c>
      <c r="T53" s="31">
        <f>IF($U53="","",IFERROR(MATCH(INDEX(매출원본!$AU$8:$AU$2007,$U53),거래처설정!$I$8:$I$407,0),""))</f>
        <v/>
      </c>
      <c r="U53" s="31">
        <f>IFERROR(MATCH(46,매출원본!$AW$8:$AW$2007,0),"")</f>
        <v/>
      </c>
      <c r="V53" s="31">
        <f>IF($U53="","",MAX(SUMIFS(매출원본!$AT$8:$AT$2007,매출원본!$AY$8:$AY$2007,$A53,매출원본!$AS$8:$AS$2007,"&gt;="&amp;(설정!$B$5-설정!$B$6),매출원본!$AS$8:$AS$2007,"&lt;="&amp;설정!$B$5),0))</f>
        <v/>
      </c>
      <c r="W53" s="31">
        <f>IF($U53="","",MAX($V53,SUMIFS(매출원본!$AT$8:$AT$2007,매출원본!$AY$8:$AY$2007,$A53,매출원본!$AS$8:$AS$2007,"&gt;="&amp;(설정!$B$5-설정!$B$7),매출원본!$AS$8:$AS$2007,"&lt;="&amp;설정!$B$5)))</f>
        <v/>
      </c>
      <c r="X53" s="31">
        <f>IF($U53="","",MAX($W53,SUMIFS(매출원본!$AT$8:$AT$2007,매출원본!$AY$8:$AY$2007,$A53,매출원본!$AS$8:$AS$2007,"&gt;="&amp;(설정!$B$5-설정!$B$8),매출원본!$AS$8:$AS$2007,"&lt;="&amp;설정!$B$5)))</f>
        <v/>
      </c>
      <c r="AC53" s="31">
        <f>IF(OR($U53="",$T53=""),"",INDEX(거래처설정!$J$8:$J$407,$T53))</f>
        <v/>
      </c>
      <c r="AD53" s="31">
        <f>IF(OR($U53="",$T53=""),"",INDEX(거래처설정!$K$8:$K$407,$T53))</f>
        <v/>
      </c>
      <c r="AE53" s="31">
        <f>IF($U53="","",IF(LEN(SUBSTITUTE(SUBSTITUTE(SUBSTITUTE(SUBSTITUTE(SUBSTITUTE(SUBSTITUTE(SUBSTITUTE(SUBSTITUTE(SUBSTITUTE($C53," ",""),"　",""),"(주)",""),"（주）",""),"㈜",""),"주식회사",""),"(유)",""),"（유）",""),"유한회사",""))&lt;2,"",SUBSTITUTE(SUBSTITUTE(SUBSTITUTE(SUBSTITUTE(SUBSTITUTE(SUBSTITUTE(SUBSTITUTE(SUBSTITUTE(SUBSTITUTE($C53," ",""),"　",""),"(주)",""),"（주）",""),"㈜",""),"주식회사",""),"(유)",""),"（유）",""),"유한회사","")))</f>
        <v/>
      </c>
    </row>
    <row r="54">
      <c r="A54" s="38">
        <f>IF($U54="","",47)</f>
        <v/>
      </c>
      <c r="B54" s="38">
        <f>IF($U54="","",IF(LEN(INDEX(매출원본!$AU$8:$AU$2007,$U54))=10,LEFT(INDEX(매출원본!$AU$8:$AU$2007,$U54),3)&amp;"-"&amp;MID(INDEX(매출원본!$AU$8:$AU$2007,$U54),4,2)&amp;"-"&amp;RIGHT(INDEX(매출원본!$AU$8:$AU$2007,$U54),5),IF(LEFT(INDEX(매출원본!$AU$8:$AU$2007,$U54),2)="N:","(번호 없음)",INDEX(매출원본!$AU$8:$AU$2007,$U54))))</f>
        <v/>
      </c>
      <c r="C54" s="38">
        <f>IF($U54="","",INDEX(매출원본!$AV$8:$AV$2007,$U54))</f>
        <v/>
      </c>
      <c r="D54" s="39">
        <f>IF($U54="","",IF($T54="",0,N(INDEX(거래처설정!$E$8:$E$407,$T54))))</f>
        <v/>
      </c>
      <c r="E54" s="39">
        <f>IF($U54="","",SUMIFS(매출원본!$AT$8:$AT$2007,매출원본!$AY$8:$AY$2007,$A54,매출원본!$AS$8:$AS$2007,"&lt;="&amp;설정!$B$5))</f>
        <v/>
      </c>
      <c r="F54" s="39">
        <f>IF($U54="","",SUMIFS(입금_은행1!$Z$8:$Z$2007,입금_은행1!$AC$8:$AC$2007,$A54,입금_은행1!$Y$8:$Y$2007,"&lt;="&amp;설정!$B$5)+SUMIFS(입금_은행2!$Z$8:$Z$2007,입금_은행2!$AC$8:$AC$2007,$A54,입금_은행2!$Y$8:$Y$2007,"&lt;="&amp;설정!$B$5))</f>
        <v/>
      </c>
      <c r="G54" s="39">
        <f>IF($U54="","",$D54+$E54-$F54)</f>
        <v/>
      </c>
      <c r="H54" s="39">
        <f>IF($U54="","",MIN(MAX($G54,0),$V54))</f>
        <v/>
      </c>
      <c r="I54" s="39">
        <f>IF($U54="","",MIN(MAX($G54,0),$W54)-MIN(MAX($G54,0),$V54))</f>
        <v/>
      </c>
      <c r="J54" s="39">
        <f>IF($U54="","",MIN(MAX($G54,0),$X54)-MIN(MAX($G54,0),$W54))</f>
        <v/>
      </c>
      <c r="K54" s="39">
        <f>IF($U54="","",MAX($G54,0)-MIN(MAX($G54,0),$X54))</f>
        <v/>
      </c>
      <c r="L54" s="40">
        <f>IF($U54="","",IF(MAX(SUMPRODUCT(MAX((입금_은행1!$AC$8:$AC$2007=$A54)*(입금_은행1!$AE$8:$AE$2007&lt;=설정!$B$5)*입금_은행1!$AE$8:$AE$2007)),SUMPRODUCT(MAX((입금_은행2!$AC$8:$AC$2007=$A54)*(입금_은행2!$AE$8:$AE$2007&lt;=설정!$B$5)*입금_은행2!$AE$8:$AE$2007)))=0,"",MAX(SUMPRODUCT(MAX((입금_은행1!$AC$8:$AC$2007=$A54)*(입금_은행1!$AE$8:$AE$2007&lt;=설정!$B$5)*입금_은행1!$AE$8:$AE$2007)),SUMPRODUCT(MAX((입금_은행2!$AC$8:$AC$2007=$A54)*(입금_은행2!$AE$8:$AE$2007&lt;=설정!$B$5)*입금_은행2!$AE$8:$AE$2007)))))</f>
        <v/>
      </c>
      <c r="M54" s="38">
        <f>IF($U54="","",IF($T54="","",IF(INDEX(거래처설정!$F$8:$F$407,$T54)="","",INDEX(거래처설정!$F$8:$F$407,$T54))))</f>
        <v/>
      </c>
      <c r="N54" s="38">
        <f>IF($U54="","",IF($T54="","",IF(INDEX(거래처설정!$G$8:$G$407,$T54)="","",INDEX(거래처설정!$G$8:$G$407,$T54))))</f>
        <v/>
      </c>
      <c r="O54" s="38">
        <f>IF($U54="","",IF($M54="제외",0,IF($K54&gt;=설정!$B$9,3,IF($J54+$K54&gt;=설정!$B$9,2,IF($I54+$J54+$K54&gt;=설정!$B$9,1,0)))))</f>
        <v/>
      </c>
      <c r="P54" s="38">
        <f>IF($U54="","",IF($M54="제외","제외(조치 상태)",IF($O54=3,"③ 강한 독촉 후보 ("&amp;설정!$B$8&amp;"일 초과)",IF($O54=2,"② 독촉 후보 ("&amp;설정!$B$7&amp;"일 초과)",IF($O54=1,"① 안내 후보 ("&amp;설정!$B$6&amp;"일 초과)",IF($G54&gt;0,IF($I54+$J54+$K54&gt;0,"오래된 잔액 있음 (최소 금액 미만)","정상 범위"),IF($G54&lt;0,"선수금·초과입금 — 확인","완납")))))))</f>
        <v/>
      </c>
      <c r="Q54" s="38">
        <f>IF($U54="","",IF($G54&lt;0,"입금이 매출보다 큼 — 선수금이거나 다른 거래처 입금이 섞였는지 확인",IF(AND($AE54&lt;&gt;"",COUNTIF($AE$8:$AE$307,"*"&amp;$AE54&amp;"*")&gt;1),"이름이 다른 거래처와 겹침 — 입금이 잘못 맞았을 수 있으니 별칭 확인",IF(AND($G54&gt;0,$F54=0),"입금 매칭 없음 — 입금자명이 다르면 [거래처설정]에 별칭 등록",""))))</f>
        <v/>
      </c>
      <c r="R54" s="31">
        <f>IF(OR($U54="",$G54&lt;=0),"",$G54-$A54/10000)</f>
        <v/>
      </c>
      <c r="S54" s="31">
        <f>IF(OR($U54="",$O54&lt;1),"",$O54*10^11+$I54+$J54+$K54-$A54/1000)</f>
        <v/>
      </c>
      <c r="T54" s="31">
        <f>IF($U54="","",IFERROR(MATCH(INDEX(매출원본!$AU$8:$AU$2007,$U54),거래처설정!$I$8:$I$407,0),""))</f>
        <v/>
      </c>
      <c r="U54" s="31">
        <f>IFERROR(MATCH(47,매출원본!$AW$8:$AW$2007,0),"")</f>
        <v/>
      </c>
      <c r="V54" s="31">
        <f>IF($U54="","",MAX(SUMIFS(매출원본!$AT$8:$AT$2007,매출원본!$AY$8:$AY$2007,$A54,매출원본!$AS$8:$AS$2007,"&gt;="&amp;(설정!$B$5-설정!$B$6),매출원본!$AS$8:$AS$2007,"&lt;="&amp;설정!$B$5),0))</f>
        <v/>
      </c>
      <c r="W54" s="31">
        <f>IF($U54="","",MAX($V54,SUMIFS(매출원본!$AT$8:$AT$2007,매출원본!$AY$8:$AY$2007,$A54,매출원본!$AS$8:$AS$2007,"&gt;="&amp;(설정!$B$5-설정!$B$7),매출원본!$AS$8:$AS$2007,"&lt;="&amp;설정!$B$5)))</f>
        <v/>
      </c>
      <c r="X54" s="31">
        <f>IF($U54="","",MAX($W54,SUMIFS(매출원본!$AT$8:$AT$2007,매출원본!$AY$8:$AY$2007,$A54,매출원본!$AS$8:$AS$2007,"&gt;="&amp;(설정!$B$5-설정!$B$8),매출원본!$AS$8:$AS$2007,"&lt;="&amp;설정!$B$5)))</f>
        <v/>
      </c>
      <c r="AC54" s="31">
        <f>IF(OR($U54="",$T54=""),"",INDEX(거래처설정!$J$8:$J$407,$T54))</f>
        <v/>
      </c>
      <c r="AD54" s="31">
        <f>IF(OR($U54="",$T54=""),"",INDEX(거래처설정!$K$8:$K$407,$T54))</f>
        <v/>
      </c>
      <c r="AE54" s="31">
        <f>IF($U54="","",IF(LEN(SUBSTITUTE(SUBSTITUTE(SUBSTITUTE(SUBSTITUTE(SUBSTITUTE(SUBSTITUTE(SUBSTITUTE(SUBSTITUTE(SUBSTITUTE($C54," ",""),"　",""),"(주)",""),"（주）",""),"㈜",""),"주식회사",""),"(유)",""),"（유）",""),"유한회사",""))&lt;2,"",SUBSTITUTE(SUBSTITUTE(SUBSTITUTE(SUBSTITUTE(SUBSTITUTE(SUBSTITUTE(SUBSTITUTE(SUBSTITUTE(SUBSTITUTE($C54," ",""),"　",""),"(주)",""),"（주）",""),"㈜",""),"주식회사",""),"(유)",""),"（유）",""),"유한회사","")))</f>
        <v/>
      </c>
    </row>
    <row r="55">
      <c r="A55" s="38">
        <f>IF($U55="","",48)</f>
        <v/>
      </c>
      <c r="B55" s="38">
        <f>IF($U55="","",IF(LEN(INDEX(매출원본!$AU$8:$AU$2007,$U55))=10,LEFT(INDEX(매출원본!$AU$8:$AU$2007,$U55),3)&amp;"-"&amp;MID(INDEX(매출원본!$AU$8:$AU$2007,$U55),4,2)&amp;"-"&amp;RIGHT(INDEX(매출원본!$AU$8:$AU$2007,$U55),5),IF(LEFT(INDEX(매출원본!$AU$8:$AU$2007,$U55),2)="N:","(번호 없음)",INDEX(매출원본!$AU$8:$AU$2007,$U55))))</f>
        <v/>
      </c>
      <c r="C55" s="38">
        <f>IF($U55="","",INDEX(매출원본!$AV$8:$AV$2007,$U55))</f>
        <v/>
      </c>
      <c r="D55" s="39">
        <f>IF($U55="","",IF($T55="",0,N(INDEX(거래처설정!$E$8:$E$407,$T55))))</f>
        <v/>
      </c>
      <c r="E55" s="39">
        <f>IF($U55="","",SUMIFS(매출원본!$AT$8:$AT$2007,매출원본!$AY$8:$AY$2007,$A55,매출원본!$AS$8:$AS$2007,"&lt;="&amp;설정!$B$5))</f>
        <v/>
      </c>
      <c r="F55" s="39">
        <f>IF($U55="","",SUMIFS(입금_은행1!$Z$8:$Z$2007,입금_은행1!$AC$8:$AC$2007,$A55,입금_은행1!$Y$8:$Y$2007,"&lt;="&amp;설정!$B$5)+SUMIFS(입금_은행2!$Z$8:$Z$2007,입금_은행2!$AC$8:$AC$2007,$A55,입금_은행2!$Y$8:$Y$2007,"&lt;="&amp;설정!$B$5))</f>
        <v/>
      </c>
      <c r="G55" s="39">
        <f>IF($U55="","",$D55+$E55-$F55)</f>
        <v/>
      </c>
      <c r="H55" s="39">
        <f>IF($U55="","",MIN(MAX($G55,0),$V55))</f>
        <v/>
      </c>
      <c r="I55" s="39">
        <f>IF($U55="","",MIN(MAX($G55,0),$W55)-MIN(MAX($G55,0),$V55))</f>
        <v/>
      </c>
      <c r="J55" s="39">
        <f>IF($U55="","",MIN(MAX($G55,0),$X55)-MIN(MAX($G55,0),$W55))</f>
        <v/>
      </c>
      <c r="K55" s="39">
        <f>IF($U55="","",MAX($G55,0)-MIN(MAX($G55,0),$X55))</f>
        <v/>
      </c>
      <c r="L55" s="40">
        <f>IF($U55="","",IF(MAX(SUMPRODUCT(MAX((입금_은행1!$AC$8:$AC$2007=$A55)*(입금_은행1!$AE$8:$AE$2007&lt;=설정!$B$5)*입금_은행1!$AE$8:$AE$2007)),SUMPRODUCT(MAX((입금_은행2!$AC$8:$AC$2007=$A55)*(입금_은행2!$AE$8:$AE$2007&lt;=설정!$B$5)*입금_은행2!$AE$8:$AE$2007)))=0,"",MAX(SUMPRODUCT(MAX((입금_은행1!$AC$8:$AC$2007=$A55)*(입금_은행1!$AE$8:$AE$2007&lt;=설정!$B$5)*입금_은행1!$AE$8:$AE$2007)),SUMPRODUCT(MAX((입금_은행2!$AC$8:$AC$2007=$A55)*(입금_은행2!$AE$8:$AE$2007&lt;=설정!$B$5)*입금_은행2!$AE$8:$AE$2007)))))</f>
        <v/>
      </c>
      <c r="M55" s="38">
        <f>IF($U55="","",IF($T55="","",IF(INDEX(거래처설정!$F$8:$F$407,$T55)="","",INDEX(거래처설정!$F$8:$F$407,$T55))))</f>
        <v/>
      </c>
      <c r="N55" s="38">
        <f>IF($U55="","",IF($T55="","",IF(INDEX(거래처설정!$G$8:$G$407,$T55)="","",INDEX(거래처설정!$G$8:$G$407,$T55))))</f>
        <v/>
      </c>
      <c r="O55" s="38">
        <f>IF($U55="","",IF($M55="제외",0,IF($K55&gt;=설정!$B$9,3,IF($J55+$K55&gt;=설정!$B$9,2,IF($I55+$J55+$K55&gt;=설정!$B$9,1,0)))))</f>
        <v/>
      </c>
      <c r="P55" s="38">
        <f>IF($U55="","",IF($M55="제외","제외(조치 상태)",IF($O55=3,"③ 강한 독촉 후보 ("&amp;설정!$B$8&amp;"일 초과)",IF($O55=2,"② 독촉 후보 ("&amp;설정!$B$7&amp;"일 초과)",IF($O55=1,"① 안내 후보 ("&amp;설정!$B$6&amp;"일 초과)",IF($G55&gt;0,IF($I55+$J55+$K55&gt;0,"오래된 잔액 있음 (최소 금액 미만)","정상 범위"),IF($G55&lt;0,"선수금·초과입금 — 확인","완납")))))))</f>
        <v/>
      </c>
      <c r="Q55" s="38">
        <f>IF($U55="","",IF($G55&lt;0,"입금이 매출보다 큼 — 선수금이거나 다른 거래처 입금이 섞였는지 확인",IF(AND($AE55&lt;&gt;"",COUNTIF($AE$8:$AE$307,"*"&amp;$AE55&amp;"*")&gt;1),"이름이 다른 거래처와 겹침 — 입금이 잘못 맞았을 수 있으니 별칭 확인",IF(AND($G55&gt;0,$F55=0),"입금 매칭 없음 — 입금자명이 다르면 [거래처설정]에 별칭 등록",""))))</f>
        <v/>
      </c>
      <c r="R55" s="31">
        <f>IF(OR($U55="",$G55&lt;=0),"",$G55-$A55/10000)</f>
        <v/>
      </c>
      <c r="S55" s="31">
        <f>IF(OR($U55="",$O55&lt;1),"",$O55*10^11+$I55+$J55+$K55-$A55/1000)</f>
        <v/>
      </c>
      <c r="T55" s="31">
        <f>IF($U55="","",IFERROR(MATCH(INDEX(매출원본!$AU$8:$AU$2007,$U55),거래처설정!$I$8:$I$407,0),""))</f>
        <v/>
      </c>
      <c r="U55" s="31">
        <f>IFERROR(MATCH(48,매출원본!$AW$8:$AW$2007,0),"")</f>
        <v/>
      </c>
      <c r="V55" s="31">
        <f>IF($U55="","",MAX(SUMIFS(매출원본!$AT$8:$AT$2007,매출원본!$AY$8:$AY$2007,$A55,매출원본!$AS$8:$AS$2007,"&gt;="&amp;(설정!$B$5-설정!$B$6),매출원본!$AS$8:$AS$2007,"&lt;="&amp;설정!$B$5),0))</f>
        <v/>
      </c>
      <c r="W55" s="31">
        <f>IF($U55="","",MAX($V55,SUMIFS(매출원본!$AT$8:$AT$2007,매출원본!$AY$8:$AY$2007,$A55,매출원본!$AS$8:$AS$2007,"&gt;="&amp;(설정!$B$5-설정!$B$7),매출원본!$AS$8:$AS$2007,"&lt;="&amp;설정!$B$5)))</f>
        <v/>
      </c>
      <c r="X55" s="31">
        <f>IF($U55="","",MAX($W55,SUMIFS(매출원본!$AT$8:$AT$2007,매출원본!$AY$8:$AY$2007,$A55,매출원본!$AS$8:$AS$2007,"&gt;="&amp;(설정!$B$5-설정!$B$8),매출원본!$AS$8:$AS$2007,"&lt;="&amp;설정!$B$5)))</f>
        <v/>
      </c>
      <c r="AC55" s="31">
        <f>IF(OR($U55="",$T55=""),"",INDEX(거래처설정!$J$8:$J$407,$T55))</f>
        <v/>
      </c>
      <c r="AD55" s="31">
        <f>IF(OR($U55="",$T55=""),"",INDEX(거래처설정!$K$8:$K$407,$T55))</f>
        <v/>
      </c>
      <c r="AE55" s="31">
        <f>IF($U55="","",IF(LEN(SUBSTITUTE(SUBSTITUTE(SUBSTITUTE(SUBSTITUTE(SUBSTITUTE(SUBSTITUTE(SUBSTITUTE(SUBSTITUTE(SUBSTITUTE($C55," ",""),"　",""),"(주)",""),"（주）",""),"㈜",""),"주식회사",""),"(유)",""),"（유）",""),"유한회사",""))&lt;2,"",SUBSTITUTE(SUBSTITUTE(SUBSTITUTE(SUBSTITUTE(SUBSTITUTE(SUBSTITUTE(SUBSTITUTE(SUBSTITUTE(SUBSTITUTE($C55," ",""),"　",""),"(주)",""),"（주）",""),"㈜",""),"주식회사",""),"(유)",""),"（유）",""),"유한회사","")))</f>
        <v/>
      </c>
    </row>
    <row r="56">
      <c r="A56" s="38">
        <f>IF($U56="","",49)</f>
        <v/>
      </c>
      <c r="B56" s="38">
        <f>IF($U56="","",IF(LEN(INDEX(매출원본!$AU$8:$AU$2007,$U56))=10,LEFT(INDEX(매출원본!$AU$8:$AU$2007,$U56),3)&amp;"-"&amp;MID(INDEX(매출원본!$AU$8:$AU$2007,$U56),4,2)&amp;"-"&amp;RIGHT(INDEX(매출원본!$AU$8:$AU$2007,$U56),5),IF(LEFT(INDEX(매출원본!$AU$8:$AU$2007,$U56),2)="N:","(번호 없음)",INDEX(매출원본!$AU$8:$AU$2007,$U56))))</f>
        <v/>
      </c>
      <c r="C56" s="38">
        <f>IF($U56="","",INDEX(매출원본!$AV$8:$AV$2007,$U56))</f>
        <v/>
      </c>
      <c r="D56" s="39">
        <f>IF($U56="","",IF($T56="",0,N(INDEX(거래처설정!$E$8:$E$407,$T56))))</f>
        <v/>
      </c>
      <c r="E56" s="39">
        <f>IF($U56="","",SUMIFS(매출원본!$AT$8:$AT$2007,매출원본!$AY$8:$AY$2007,$A56,매출원본!$AS$8:$AS$2007,"&lt;="&amp;설정!$B$5))</f>
        <v/>
      </c>
      <c r="F56" s="39">
        <f>IF($U56="","",SUMIFS(입금_은행1!$Z$8:$Z$2007,입금_은행1!$AC$8:$AC$2007,$A56,입금_은행1!$Y$8:$Y$2007,"&lt;="&amp;설정!$B$5)+SUMIFS(입금_은행2!$Z$8:$Z$2007,입금_은행2!$AC$8:$AC$2007,$A56,입금_은행2!$Y$8:$Y$2007,"&lt;="&amp;설정!$B$5))</f>
        <v/>
      </c>
      <c r="G56" s="39">
        <f>IF($U56="","",$D56+$E56-$F56)</f>
        <v/>
      </c>
      <c r="H56" s="39">
        <f>IF($U56="","",MIN(MAX($G56,0),$V56))</f>
        <v/>
      </c>
      <c r="I56" s="39">
        <f>IF($U56="","",MIN(MAX($G56,0),$W56)-MIN(MAX($G56,0),$V56))</f>
        <v/>
      </c>
      <c r="J56" s="39">
        <f>IF($U56="","",MIN(MAX($G56,0),$X56)-MIN(MAX($G56,0),$W56))</f>
        <v/>
      </c>
      <c r="K56" s="39">
        <f>IF($U56="","",MAX($G56,0)-MIN(MAX($G56,0),$X56))</f>
        <v/>
      </c>
      <c r="L56" s="40">
        <f>IF($U56="","",IF(MAX(SUMPRODUCT(MAX((입금_은행1!$AC$8:$AC$2007=$A56)*(입금_은행1!$AE$8:$AE$2007&lt;=설정!$B$5)*입금_은행1!$AE$8:$AE$2007)),SUMPRODUCT(MAX((입금_은행2!$AC$8:$AC$2007=$A56)*(입금_은행2!$AE$8:$AE$2007&lt;=설정!$B$5)*입금_은행2!$AE$8:$AE$2007)))=0,"",MAX(SUMPRODUCT(MAX((입금_은행1!$AC$8:$AC$2007=$A56)*(입금_은행1!$AE$8:$AE$2007&lt;=설정!$B$5)*입금_은행1!$AE$8:$AE$2007)),SUMPRODUCT(MAX((입금_은행2!$AC$8:$AC$2007=$A56)*(입금_은행2!$AE$8:$AE$2007&lt;=설정!$B$5)*입금_은행2!$AE$8:$AE$2007)))))</f>
        <v/>
      </c>
      <c r="M56" s="38">
        <f>IF($U56="","",IF($T56="","",IF(INDEX(거래처설정!$F$8:$F$407,$T56)="","",INDEX(거래처설정!$F$8:$F$407,$T56))))</f>
        <v/>
      </c>
      <c r="N56" s="38">
        <f>IF($U56="","",IF($T56="","",IF(INDEX(거래처설정!$G$8:$G$407,$T56)="","",INDEX(거래처설정!$G$8:$G$407,$T56))))</f>
        <v/>
      </c>
      <c r="O56" s="38">
        <f>IF($U56="","",IF($M56="제외",0,IF($K56&gt;=설정!$B$9,3,IF($J56+$K56&gt;=설정!$B$9,2,IF($I56+$J56+$K56&gt;=설정!$B$9,1,0)))))</f>
        <v/>
      </c>
      <c r="P56" s="38">
        <f>IF($U56="","",IF($M56="제외","제외(조치 상태)",IF($O56=3,"③ 강한 독촉 후보 ("&amp;설정!$B$8&amp;"일 초과)",IF($O56=2,"② 독촉 후보 ("&amp;설정!$B$7&amp;"일 초과)",IF($O56=1,"① 안내 후보 ("&amp;설정!$B$6&amp;"일 초과)",IF($G56&gt;0,IF($I56+$J56+$K56&gt;0,"오래된 잔액 있음 (최소 금액 미만)","정상 범위"),IF($G56&lt;0,"선수금·초과입금 — 확인","완납")))))))</f>
        <v/>
      </c>
      <c r="Q56" s="38">
        <f>IF($U56="","",IF($G56&lt;0,"입금이 매출보다 큼 — 선수금이거나 다른 거래처 입금이 섞였는지 확인",IF(AND($AE56&lt;&gt;"",COUNTIF($AE$8:$AE$307,"*"&amp;$AE56&amp;"*")&gt;1),"이름이 다른 거래처와 겹침 — 입금이 잘못 맞았을 수 있으니 별칭 확인",IF(AND($G56&gt;0,$F56=0),"입금 매칭 없음 — 입금자명이 다르면 [거래처설정]에 별칭 등록",""))))</f>
        <v/>
      </c>
      <c r="R56" s="31">
        <f>IF(OR($U56="",$G56&lt;=0),"",$G56-$A56/10000)</f>
        <v/>
      </c>
      <c r="S56" s="31">
        <f>IF(OR($U56="",$O56&lt;1),"",$O56*10^11+$I56+$J56+$K56-$A56/1000)</f>
        <v/>
      </c>
      <c r="T56" s="31">
        <f>IF($U56="","",IFERROR(MATCH(INDEX(매출원본!$AU$8:$AU$2007,$U56),거래처설정!$I$8:$I$407,0),""))</f>
        <v/>
      </c>
      <c r="U56" s="31">
        <f>IFERROR(MATCH(49,매출원본!$AW$8:$AW$2007,0),"")</f>
        <v/>
      </c>
      <c r="V56" s="31">
        <f>IF($U56="","",MAX(SUMIFS(매출원본!$AT$8:$AT$2007,매출원본!$AY$8:$AY$2007,$A56,매출원본!$AS$8:$AS$2007,"&gt;="&amp;(설정!$B$5-설정!$B$6),매출원본!$AS$8:$AS$2007,"&lt;="&amp;설정!$B$5),0))</f>
        <v/>
      </c>
      <c r="W56" s="31">
        <f>IF($U56="","",MAX($V56,SUMIFS(매출원본!$AT$8:$AT$2007,매출원본!$AY$8:$AY$2007,$A56,매출원본!$AS$8:$AS$2007,"&gt;="&amp;(설정!$B$5-설정!$B$7),매출원본!$AS$8:$AS$2007,"&lt;="&amp;설정!$B$5)))</f>
        <v/>
      </c>
      <c r="X56" s="31">
        <f>IF($U56="","",MAX($W56,SUMIFS(매출원본!$AT$8:$AT$2007,매출원본!$AY$8:$AY$2007,$A56,매출원본!$AS$8:$AS$2007,"&gt;="&amp;(설정!$B$5-설정!$B$8),매출원본!$AS$8:$AS$2007,"&lt;="&amp;설정!$B$5)))</f>
        <v/>
      </c>
      <c r="AC56" s="31">
        <f>IF(OR($U56="",$T56=""),"",INDEX(거래처설정!$J$8:$J$407,$T56))</f>
        <v/>
      </c>
      <c r="AD56" s="31">
        <f>IF(OR($U56="",$T56=""),"",INDEX(거래처설정!$K$8:$K$407,$T56))</f>
        <v/>
      </c>
      <c r="AE56" s="31">
        <f>IF($U56="","",IF(LEN(SUBSTITUTE(SUBSTITUTE(SUBSTITUTE(SUBSTITUTE(SUBSTITUTE(SUBSTITUTE(SUBSTITUTE(SUBSTITUTE(SUBSTITUTE($C56," ",""),"　",""),"(주)",""),"（주）",""),"㈜",""),"주식회사",""),"(유)",""),"（유）",""),"유한회사",""))&lt;2,"",SUBSTITUTE(SUBSTITUTE(SUBSTITUTE(SUBSTITUTE(SUBSTITUTE(SUBSTITUTE(SUBSTITUTE(SUBSTITUTE(SUBSTITUTE($C56," ",""),"　",""),"(주)",""),"（주）",""),"㈜",""),"주식회사",""),"(유)",""),"（유）",""),"유한회사","")))</f>
        <v/>
      </c>
    </row>
    <row r="57">
      <c r="A57" s="38">
        <f>IF($U57="","",50)</f>
        <v/>
      </c>
      <c r="B57" s="38">
        <f>IF($U57="","",IF(LEN(INDEX(매출원본!$AU$8:$AU$2007,$U57))=10,LEFT(INDEX(매출원본!$AU$8:$AU$2007,$U57),3)&amp;"-"&amp;MID(INDEX(매출원본!$AU$8:$AU$2007,$U57),4,2)&amp;"-"&amp;RIGHT(INDEX(매출원본!$AU$8:$AU$2007,$U57),5),IF(LEFT(INDEX(매출원본!$AU$8:$AU$2007,$U57),2)="N:","(번호 없음)",INDEX(매출원본!$AU$8:$AU$2007,$U57))))</f>
        <v/>
      </c>
      <c r="C57" s="38">
        <f>IF($U57="","",INDEX(매출원본!$AV$8:$AV$2007,$U57))</f>
        <v/>
      </c>
      <c r="D57" s="39">
        <f>IF($U57="","",IF($T57="",0,N(INDEX(거래처설정!$E$8:$E$407,$T57))))</f>
        <v/>
      </c>
      <c r="E57" s="39">
        <f>IF($U57="","",SUMIFS(매출원본!$AT$8:$AT$2007,매출원본!$AY$8:$AY$2007,$A57,매출원본!$AS$8:$AS$2007,"&lt;="&amp;설정!$B$5))</f>
        <v/>
      </c>
      <c r="F57" s="39">
        <f>IF($U57="","",SUMIFS(입금_은행1!$Z$8:$Z$2007,입금_은행1!$AC$8:$AC$2007,$A57,입금_은행1!$Y$8:$Y$2007,"&lt;="&amp;설정!$B$5)+SUMIFS(입금_은행2!$Z$8:$Z$2007,입금_은행2!$AC$8:$AC$2007,$A57,입금_은행2!$Y$8:$Y$2007,"&lt;="&amp;설정!$B$5))</f>
        <v/>
      </c>
      <c r="G57" s="39">
        <f>IF($U57="","",$D57+$E57-$F57)</f>
        <v/>
      </c>
      <c r="H57" s="39">
        <f>IF($U57="","",MIN(MAX($G57,0),$V57))</f>
        <v/>
      </c>
      <c r="I57" s="39">
        <f>IF($U57="","",MIN(MAX($G57,0),$W57)-MIN(MAX($G57,0),$V57))</f>
        <v/>
      </c>
      <c r="J57" s="39">
        <f>IF($U57="","",MIN(MAX($G57,0),$X57)-MIN(MAX($G57,0),$W57))</f>
        <v/>
      </c>
      <c r="K57" s="39">
        <f>IF($U57="","",MAX($G57,0)-MIN(MAX($G57,0),$X57))</f>
        <v/>
      </c>
      <c r="L57" s="40">
        <f>IF($U57="","",IF(MAX(SUMPRODUCT(MAX((입금_은행1!$AC$8:$AC$2007=$A57)*(입금_은행1!$AE$8:$AE$2007&lt;=설정!$B$5)*입금_은행1!$AE$8:$AE$2007)),SUMPRODUCT(MAX((입금_은행2!$AC$8:$AC$2007=$A57)*(입금_은행2!$AE$8:$AE$2007&lt;=설정!$B$5)*입금_은행2!$AE$8:$AE$2007)))=0,"",MAX(SUMPRODUCT(MAX((입금_은행1!$AC$8:$AC$2007=$A57)*(입금_은행1!$AE$8:$AE$2007&lt;=설정!$B$5)*입금_은행1!$AE$8:$AE$2007)),SUMPRODUCT(MAX((입금_은행2!$AC$8:$AC$2007=$A57)*(입금_은행2!$AE$8:$AE$2007&lt;=설정!$B$5)*입금_은행2!$AE$8:$AE$2007)))))</f>
        <v/>
      </c>
      <c r="M57" s="38">
        <f>IF($U57="","",IF($T57="","",IF(INDEX(거래처설정!$F$8:$F$407,$T57)="","",INDEX(거래처설정!$F$8:$F$407,$T57))))</f>
        <v/>
      </c>
      <c r="N57" s="38">
        <f>IF($U57="","",IF($T57="","",IF(INDEX(거래처설정!$G$8:$G$407,$T57)="","",INDEX(거래처설정!$G$8:$G$407,$T57))))</f>
        <v/>
      </c>
      <c r="O57" s="38">
        <f>IF($U57="","",IF($M57="제외",0,IF($K57&gt;=설정!$B$9,3,IF($J57+$K57&gt;=설정!$B$9,2,IF($I57+$J57+$K57&gt;=설정!$B$9,1,0)))))</f>
        <v/>
      </c>
      <c r="P57" s="38">
        <f>IF($U57="","",IF($M57="제외","제외(조치 상태)",IF($O57=3,"③ 강한 독촉 후보 ("&amp;설정!$B$8&amp;"일 초과)",IF($O57=2,"② 독촉 후보 ("&amp;설정!$B$7&amp;"일 초과)",IF($O57=1,"① 안내 후보 ("&amp;설정!$B$6&amp;"일 초과)",IF($G57&gt;0,IF($I57+$J57+$K57&gt;0,"오래된 잔액 있음 (최소 금액 미만)","정상 범위"),IF($G57&lt;0,"선수금·초과입금 — 확인","완납")))))))</f>
        <v/>
      </c>
      <c r="Q57" s="38">
        <f>IF($U57="","",IF($G57&lt;0,"입금이 매출보다 큼 — 선수금이거나 다른 거래처 입금이 섞였는지 확인",IF(AND($AE57&lt;&gt;"",COUNTIF($AE$8:$AE$307,"*"&amp;$AE57&amp;"*")&gt;1),"이름이 다른 거래처와 겹침 — 입금이 잘못 맞았을 수 있으니 별칭 확인",IF(AND($G57&gt;0,$F57=0),"입금 매칭 없음 — 입금자명이 다르면 [거래처설정]에 별칭 등록",""))))</f>
        <v/>
      </c>
      <c r="R57" s="31">
        <f>IF(OR($U57="",$G57&lt;=0),"",$G57-$A57/10000)</f>
        <v/>
      </c>
      <c r="S57" s="31">
        <f>IF(OR($U57="",$O57&lt;1),"",$O57*10^11+$I57+$J57+$K57-$A57/1000)</f>
        <v/>
      </c>
      <c r="T57" s="31">
        <f>IF($U57="","",IFERROR(MATCH(INDEX(매출원본!$AU$8:$AU$2007,$U57),거래처설정!$I$8:$I$407,0),""))</f>
        <v/>
      </c>
      <c r="U57" s="31">
        <f>IFERROR(MATCH(50,매출원본!$AW$8:$AW$2007,0),"")</f>
        <v/>
      </c>
      <c r="V57" s="31">
        <f>IF($U57="","",MAX(SUMIFS(매출원본!$AT$8:$AT$2007,매출원본!$AY$8:$AY$2007,$A57,매출원본!$AS$8:$AS$2007,"&gt;="&amp;(설정!$B$5-설정!$B$6),매출원본!$AS$8:$AS$2007,"&lt;="&amp;설정!$B$5),0))</f>
        <v/>
      </c>
      <c r="W57" s="31">
        <f>IF($U57="","",MAX($V57,SUMIFS(매출원본!$AT$8:$AT$2007,매출원본!$AY$8:$AY$2007,$A57,매출원본!$AS$8:$AS$2007,"&gt;="&amp;(설정!$B$5-설정!$B$7),매출원본!$AS$8:$AS$2007,"&lt;="&amp;설정!$B$5)))</f>
        <v/>
      </c>
      <c r="X57" s="31">
        <f>IF($U57="","",MAX($W57,SUMIFS(매출원본!$AT$8:$AT$2007,매출원본!$AY$8:$AY$2007,$A57,매출원본!$AS$8:$AS$2007,"&gt;="&amp;(설정!$B$5-설정!$B$8),매출원본!$AS$8:$AS$2007,"&lt;="&amp;설정!$B$5)))</f>
        <v/>
      </c>
      <c r="AC57" s="31">
        <f>IF(OR($U57="",$T57=""),"",INDEX(거래처설정!$J$8:$J$407,$T57))</f>
        <v/>
      </c>
      <c r="AD57" s="31">
        <f>IF(OR($U57="",$T57=""),"",INDEX(거래처설정!$K$8:$K$407,$T57))</f>
        <v/>
      </c>
      <c r="AE57" s="31">
        <f>IF($U57="","",IF(LEN(SUBSTITUTE(SUBSTITUTE(SUBSTITUTE(SUBSTITUTE(SUBSTITUTE(SUBSTITUTE(SUBSTITUTE(SUBSTITUTE(SUBSTITUTE($C57," ",""),"　",""),"(주)",""),"（주）",""),"㈜",""),"주식회사",""),"(유)",""),"（유）",""),"유한회사",""))&lt;2,"",SUBSTITUTE(SUBSTITUTE(SUBSTITUTE(SUBSTITUTE(SUBSTITUTE(SUBSTITUTE(SUBSTITUTE(SUBSTITUTE(SUBSTITUTE($C57," ",""),"　",""),"(주)",""),"（주）",""),"㈜",""),"주식회사",""),"(유)",""),"（유）",""),"유한회사","")))</f>
        <v/>
      </c>
    </row>
    <row r="58">
      <c r="A58" s="38">
        <f>IF($U58="","",51)</f>
        <v/>
      </c>
      <c r="B58" s="38">
        <f>IF($U58="","",IF(LEN(INDEX(매출원본!$AU$8:$AU$2007,$U58))=10,LEFT(INDEX(매출원본!$AU$8:$AU$2007,$U58),3)&amp;"-"&amp;MID(INDEX(매출원본!$AU$8:$AU$2007,$U58),4,2)&amp;"-"&amp;RIGHT(INDEX(매출원본!$AU$8:$AU$2007,$U58),5),IF(LEFT(INDEX(매출원본!$AU$8:$AU$2007,$U58),2)="N:","(번호 없음)",INDEX(매출원본!$AU$8:$AU$2007,$U58))))</f>
        <v/>
      </c>
      <c r="C58" s="38">
        <f>IF($U58="","",INDEX(매출원본!$AV$8:$AV$2007,$U58))</f>
        <v/>
      </c>
      <c r="D58" s="39">
        <f>IF($U58="","",IF($T58="",0,N(INDEX(거래처설정!$E$8:$E$407,$T58))))</f>
        <v/>
      </c>
      <c r="E58" s="39">
        <f>IF($U58="","",SUMIFS(매출원본!$AT$8:$AT$2007,매출원본!$AY$8:$AY$2007,$A58,매출원본!$AS$8:$AS$2007,"&lt;="&amp;설정!$B$5))</f>
        <v/>
      </c>
      <c r="F58" s="39">
        <f>IF($U58="","",SUMIFS(입금_은행1!$Z$8:$Z$2007,입금_은행1!$AC$8:$AC$2007,$A58,입금_은행1!$Y$8:$Y$2007,"&lt;="&amp;설정!$B$5)+SUMIFS(입금_은행2!$Z$8:$Z$2007,입금_은행2!$AC$8:$AC$2007,$A58,입금_은행2!$Y$8:$Y$2007,"&lt;="&amp;설정!$B$5))</f>
        <v/>
      </c>
      <c r="G58" s="39">
        <f>IF($U58="","",$D58+$E58-$F58)</f>
        <v/>
      </c>
      <c r="H58" s="39">
        <f>IF($U58="","",MIN(MAX($G58,0),$V58))</f>
        <v/>
      </c>
      <c r="I58" s="39">
        <f>IF($U58="","",MIN(MAX($G58,0),$W58)-MIN(MAX($G58,0),$V58))</f>
        <v/>
      </c>
      <c r="J58" s="39">
        <f>IF($U58="","",MIN(MAX($G58,0),$X58)-MIN(MAX($G58,0),$W58))</f>
        <v/>
      </c>
      <c r="K58" s="39">
        <f>IF($U58="","",MAX($G58,0)-MIN(MAX($G58,0),$X58))</f>
        <v/>
      </c>
      <c r="L58" s="40">
        <f>IF($U58="","",IF(MAX(SUMPRODUCT(MAX((입금_은행1!$AC$8:$AC$2007=$A58)*(입금_은행1!$AE$8:$AE$2007&lt;=설정!$B$5)*입금_은행1!$AE$8:$AE$2007)),SUMPRODUCT(MAX((입금_은행2!$AC$8:$AC$2007=$A58)*(입금_은행2!$AE$8:$AE$2007&lt;=설정!$B$5)*입금_은행2!$AE$8:$AE$2007)))=0,"",MAX(SUMPRODUCT(MAX((입금_은행1!$AC$8:$AC$2007=$A58)*(입금_은행1!$AE$8:$AE$2007&lt;=설정!$B$5)*입금_은행1!$AE$8:$AE$2007)),SUMPRODUCT(MAX((입금_은행2!$AC$8:$AC$2007=$A58)*(입금_은행2!$AE$8:$AE$2007&lt;=설정!$B$5)*입금_은행2!$AE$8:$AE$2007)))))</f>
        <v/>
      </c>
      <c r="M58" s="38">
        <f>IF($U58="","",IF($T58="","",IF(INDEX(거래처설정!$F$8:$F$407,$T58)="","",INDEX(거래처설정!$F$8:$F$407,$T58))))</f>
        <v/>
      </c>
      <c r="N58" s="38">
        <f>IF($U58="","",IF($T58="","",IF(INDEX(거래처설정!$G$8:$G$407,$T58)="","",INDEX(거래처설정!$G$8:$G$407,$T58))))</f>
        <v/>
      </c>
      <c r="O58" s="38">
        <f>IF($U58="","",IF($M58="제외",0,IF($K58&gt;=설정!$B$9,3,IF($J58+$K58&gt;=설정!$B$9,2,IF($I58+$J58+$K58&gt;=설정!$B$9,1,0)))))</f>
        <v/>
      </c>
      <c r="P58" s="38">
        <f>IF($U58="","",IF($M58="제외","제외(조치 상태)",IF($O58=3,"③ 강한 독촉 후보 ("&amp;설정!$B$8&amp;"일 초과)",IF($O58=2,"② 독촉 후보 ("&amp;설정!$B$7&amp;"일 초과)",IF($O58=1,"① 안내 후보 ("&amp;설정!$B$6&amp;"일 초과)",IF($G58&gt;0,IF($I58+$J58+$K58&gt;0,"오래된 잔액 있음 (최소 금액 미만)","정상 범위"),IF($G58&lt;0,"선수금·초과입금 — 확인","완납")))))))</f>
        <v/>
      </c>
      <c r="Q58" s="38">
        <f>IF($U58="","",IF($G58&lt;0,"입금이 매출보다 큼 — 선수금이거나 다른 거래처 입금이 섞였는지 확인",IF(AND($AE58&lt;&gt;"",COUNTIF($AE$8:$AE$307,"*"&amp;$AE58&amp;"*")&gt;1),"이름이 다른 거래처와 겹침 — 입금이 잘못 맞았을 수 있으니 별칭 확인",IF(AND($G58&gt;0,$F58=0),"입금 매칭 없음 — 입금자명이 다르면 [거래처설정]에 별칭 등록",""))))</f>
        <v/>
      </c>
      <c r="R58" s="31">
        <f>IF(OR($U58="",$G58&lt;=0),"",$G58-$A58/10000)</f>
        <v/>
      </c>
      <c r="S58" s="31">
        <f>IF(OR($U58="",$O58&lt;1),"",$O58*10^11+$I58+$J58+$K58-$A58/1000)</f>
        <v/>
      </c>
      <c r="T58" s="31">
        <f>IF($U58="","",IFERROR(MATCH(INDEX(매출원본!$AU$8:$AU$2007,$U58),거래처설정!$I$8:$I$407,0),""))</f>
        <v/>
      </c>
      <c r="U58" s="31">
        <f>IFERROR(MATCH(51,매출원본!$AW$8:$AW$2007,0),"")</f>
        <v/>
      </c>
      <c r="V58" s="31">
        <f>IF($U58="","",MAX(SUMIFS(매출원본!$AT$8:$AT$2007,매출원본!$AY$8:$AY$2007,$A58,매출원본!$AS$8:$AS$2007,"&gt;="&amp;(설정!$B$5-설정!$B$6),매출원본!$AS$8:$AS$2007,"&lt;="&amp;설정!$B$5),0))</f>
        <v/>
      </c>
      <c r="W58" s="31">
        <f>IF($U58="","",MAX($V58,SUMIFS(매출원본!$AT$8:$AT$2007,매출원본!$AY$8:$AY$2007,$A58,매출원본!$AS$8:$AS$2007,"&gt;="&amp;(설정!$B$5-설정!$B$7),매출원본!$AS$8:$AS$2007,"&lt;="&amp;설정!$B$5)))</f>
        <v/>
      </c>
      <c r="X58" s="31">
        <f>IF($U58="","",MAX($W58,SUMIFS(매출원본!$AT$8:$AT$2007,매출원본!$AY$8:$AY$2007,$A58,매출원본!$AS$8:$AS$2007,"&gt;="&amp;(설정!$B$5-설정!$B$8),매출원본!$AS$8:$AS$2007,"&lt;="&amp;설정!$B$5)))</f>
        <v/>
      </c>
      <c r="AC58" s="31">
        <f>IF(OR($U58="",$T58=""),"",INDEX(거래처설정!$J$8:$J$407,$T58))</f>
        <v/>
      </c>
      <c r="AD58" s="31">
        <f>IF(OR($U58="",$T58=""),"",INDEX(거래처설정!$K$8:$K$407,$T58))</f>
        <v/>
      </c>
      <c r="AE58" s="31">
        <f>IF($U58="","",IF(LEN(SUBSTITUTE(SUBSTITUTE(SUBSTITUTE(SUBSTITUTE(SUBSTITUTE(SUBSTITUTE(SUBSTITUTE(SUBSTITUTE(SUBSTITUTE($C58," ",""),"　",""),"(주)",""),"（주）",""),"㈜",""),"주식회사",""),"(유)",""),"（유）",""),"유한회사",""))&lt;2,"",SUBSTITUTE(SUBSTITUTE(SUBSTITUTE(SUBSTITUTE(SUBSTITUTE(SUBSTITUTE(SUBSTITUTE(SUBSTITUTE(SUBSTITUTE($C58," ",""),"　",""),"(주)",""),"（주）",""),"㈜",""),"주식회사",""),"(유)",""),"（유）",""),"유한회사","")))</f>
        <v/>
      </c>
    </row>
    <row r="59">
      <c r="A59" s="38">
        <f>IF($U59="","",52)</f>
        <v/>
      </c>
      <c r="B59" s="38">
        <f>IF($U59="","",IF(LEN(INDEX(매출원본!$AU$8:$AU$2007,$U59))=10,LEFT(INDEX(매출원본!$AU$8:$AU$2007,$U59),3)&amp;"-"&amp;MID(INDEX(매출원본!$AU$8:$AU$2007,$U59),4,2)&amp;"-"&amp;RIGHT(INDEX(매출원본!$AU$8:$AU$2007,$U59),5),IF(LEFT(INDEX(매출원본!$AU$8:$AU$2007,$U59),2)="N:","(번호 없음)",INDEX(매출원본!$AU$8:$AU$2007,$U59))))</f>
        <v/>
      </c>
      <c r="C59" s="38">
        <f>IF($U59="","",INDEX(매출원본!$AV$8:$AV$2007,$U59))</f>
        <v/>
      </c>
      <c r="D59" s="39">
        <f>IF($U59="","",IF($T59="",0,N(INDEX(거래처설정!$E$8:$E$407,$T59))))</f>
        <v/>
      </c>
      <c r="E59" s="39">
        <f>IF($U59="","",SUMIFS(매출원본!$AT$8:$AT$2007,매출원본!$AY$8:$AY$2007,$A59,매출원본!$AS$8:$AS$2007,"&lt;="&amp;설정!$B$5))</f>
        <v/>
      </c>
      <c r="F59" s="39">
        <f>IF($U59="","",SUMIFS(입금_은행1!$Z$8:$Z$2007,입금_은행1!$AC$8:$AC$2007,$A59,입금_은행1!$Y$8:$Y$2007,"&lt;="&amp;설정!$B$5)+SUMIFS(입금_은행2!$Z$8:$Z$2007,입금_은행2!$AC$8:$AC$2007,$A59,입금_은행2!$Y$8:$Y$2007,"&lt;="&amp;설정!$B$5))</f>
        <v/>
      </c>
      <c r="G59" s="39">
        <f>IF($U59="","",$D59+$E59-$F59)</f>
        <v/>
      </c>
      <c r="H59" s="39">
        <f>IF($U59="","",MIN(MAX($G59,0),$V59))</f>
        <v/>
      </c>
      <c r="I59" s="39">
        <f>IF($U59="","",MIN(MAX($G59,0),$W59)-MIN(MAX($G59,0),$V59))</f>
        <v/>
      </c>
      <c r="J59" s="39">
        <f>IF($U59="","",MIN(MAX($G59,0),$X59)-MIN(MAX($G59,0),$W59))</f>
        <v/>
      </c>
      <c r="K59" s="39">
        <f>IF($U59="","",MAX($G59,0)-MIN(MAX($G59,0),$X59))</f>
        <v/>
      </c>
      <c r="L59" s="40">
        <f>IF($U59="","",IF(MAX(SUMPRODUCT(MAX((입금_은행1!$AC$8:$AC$2007=$A59)*(입금_은행1!$AE$8:$AE$2007&lt;=설정!$B$5)*입금_은행1!$AE$8:$AE$2007)),SUMPRODUCT(MAX((입금_은행2!$AC$8:$AC$2007=$A59)*(입금_은행2!$AE$8:$AE$2007&lt;=설정!$B$5)*입금_은행2!$AE$8:$AE$2007)))=0,"",MAX(SUMPRODUCT(MAX((입금_은행1!$AC$8:$AC$2007=$A59)*(입금_은행1!$AE$8:$AE$2007&lt;=설정!$B$5)*입금_은행1!$AE$8:$AE$2007)),SUMPRODUCT(MAX((입금_은행2!$AC$8:$AC$2007=$A59)*(입금_은행2!$AE$8:$AE$2007&lt;=설정!$B$5)*입금_은행2!$AE$8:$AE$2007)))))</f>
        <v/>
      </c>
      <c r="M59" s="38">
        <f>IF($U59="","",IF($T59="","",IF(INDEX(거래처설정!$F$8:$F$407,$T59)="","",INDEX(거래처설정!$F$8:$F$407,$T59))))</f>
        <v/>
      </c>
      <c r="N59" s="38">
        <f>IF($U59="","",IF($T59="","",IF(INDEX(거래처설정!$G$8:$G$407,$T59)="","",INDEX(거래처설정!$G$8:$G$407,$T59))))</f>
        <v/>
      </c>
      <c r="O59" s="38">
        <f>IF($U59="","",IF($M59="제외",0,IF($K59&gt;=설정!$B$9,3,IF($J59+$K59&gt;=설정!$B$9,2,IF($I59+$J59+$K59&gt;=설정!$B$9,1,0)))))</f>
        <v/>
      </c>
      <c r="P59" s="38">
        <f>IF($U59="","",IF($M59="제외","제외(조치 상태)",IF($O59=3,"③ 강한 독촉 후보 ("&amp;설정!$B$8&amp;"일 초과)",IF($O59=2,"② 독촉 후보 ("&amp;설정!$B$7&amp;"일 초과)",IF($O59=1,"① 안내 후보 ("&amp;설정!$B$6&amp;"일 초과)",IF($G59&gt;0,IF($I59+$J59+$K59&gt;0,"오래된 잔액 있음 (최소 금액 미만)","정상 범위"),IF($G59&lt;0,"선수금·초과입금 — 확인","완납")))))))</f>
        <v/>
      </c>
      <c r="Q59" s="38">
        <f>IF($U59="","",IF($G59&lt;0,"입금이 매출보다 큼 — 선수금이거나 다른 거래처 입금이 섞였는지 확인",IF(AND($AE59&lt;&gt;"",COUNTIF($AE$8:$AE$307,"*"&amp;$AE59&amp;"*")&gt;1),"이름이 다른 거래처와 겹침 — 입금이 잘못 맞았을 수 있으니 별칭 확인",IF(AND($G59&gt;0,$F59=0),"입금 매칭 없음 — 입금자명이 다르면 [거래처설정]에 별칭 등록",""))))</f>
        <v/>
      </c>
      <c r="R59" s="31">
        <f>IF(OR($U59="",$G59&lt;=0),"",$G59-$A59/10000)</f>
        <v/>
      </c>
      <c r="S59" s="31">
        <f>IF(OR($U59="",$O59&lt;1),"",$O59*10^11+$I59+$J59+$K59-$A59/1000)</f>
        <v/>
      </c>
      <c r="T59" s="31">
        <f>IF($U59="","",IFERROR(MATCH(INDEX(매출원본!$AU$8:$AU$2007,$U59),거래처설정!$I$8:$I$407,0),""))</f>
        <v/>
      </c>
      <c r="U59" s="31">
        <f>IFERROR(MATCH(52,매출원본!$AW$8:$AW$2007,0),"")</f>
        <v/>
      </c>
      <c r="V59" s="31">
        <f>IF($U59="","",MAX(SUMIFS(매출원본!$AT$8:$AT$2007,매출원본!$AY$8:$AY$2007,$A59,매출원본!$AS$8:$AS$2007,"&gt;="&amp;(설정!$B$5-설정!$B$6),매출원본!$AS$8:$AS$2007,"&lt;="&amp;설정!$B$5),0))</f>
        <v/>
      </c>
      <c r="W59" s="31">
        <f>IF($U59="","",MAX($V59,SUMIFS(매출원본!$AT$8:$AT$2007,매출원본!$AY$8:$AY$2007,$A59,매출원본!$AS$8:$AS$2007,"&gt;="&amp;(설정!$B$5-설정!$B$7),매출원본!$AS$8:$AS$2007,"&lt;="&amp;설정!$B$5)))</f>
        <v/>
      </c>
      <c r="X59" s="31">
        <f>IF($U59="","",MAX($W59,SUMIFS(매출원본!$AT$8:$AT$2007,매출원본!$AY$8:$AY$2007,$A59,매출원본!$AS$8:$AS$2007,"&gt;="&amp;(설정!$B$5-설정!$B$8),매출원본!$AS$8:$AS$2007,"&lt;="&amp;설정!$B$5)))</f>
        <v/>
      </c>
      <c r="AC59" s="31">
        <f>IF(OR($U59="",$T59=""),"",INDEX(거래처설정!$J$8:$J$407,$T59))</f>
        <v/>
      </c>
      <c r="AD59" s="31">
        <f>IF(OR($U59="",$T59=""),"",INDEX(거래처설정!$K$8:$K$407,$T59))</f>
        <v/>
      </c>
      <c r="AE59" s="31">
        <f>IF($U59="","",IF(LEN(SUBSTITUTE(SUBSTITUTE(SUBSTITUTE(SUBSTITUTE(SUBSTITUTE(SUBSTITUTE(SUBSTITUTE(SUBSTITUTE(SUBSTITUTE($C59," ",""),"　",""),"(주)",""),"（주）",""),"㈜",""),"주식회사",""),"(유)",""),"（유）",""),"유한회사",""))&lt;2,"",SUBSTITUTE(SUBSTITUTE(SUBSTITUTE(SUBSTITUTE(SUBSTITUTE(SUBSTITUTE(SUBSTITUTE(SUBSTITUTE(SUBSTITUTE($C59," ",""),"　",""),"(주)",""),"（주）",""),"㈜",""),"주식회사",""),"(유)",""),"（유）",""),"유한회사","")))</f>
        <v/>
      </c>
    </row>
    <row r="60">
      <c r="A60" s="38">
        <f>IF($U60="","",53)</f>
        <v/>
      </c>
      <c r="B60" s="38">
        <f>IF($U60="","",IF(LEN(INDEX(매출원본!$AU$8:$AU$2007,$U60))=10,LEFT(INDEX(매출원본!$AU$8:$AU$2007,$U60),3)&amp;"-"&amp;MID(INDEX(매출원본!$AU$8:$AU$2007,$U60),4,2)&amp;"-"&amp;RIGHT(INDEX(매출원본!$AU$8:$AU$2007,$U60),5),IF(LEFT(INDEX(매출원본!$AU$8:$AU$2007,$U60),2)="N:","(번호 없음)",INDEX(매출원본!$AU$8:$AU$2007,$U60))))</f>
        <v/>
      </c>
      <c r="C60" s="38">
        <f>IF($U60="","",INDEX(매출원본!$AV$8:$AV$2007,$U60))</f>
        <v/>
      </c>
      <c r="D60" s="39">
        <f>IF($U60="","",IF($T60="",0,N(INDEX(거래처설정!$E$8:$E$407,$T60))))</f>
        <v/>
      </c>
      <c r="E60" s="39">
        <f>IF($U60="","",SUMIFS(매출원본!$AT$8:$AT$2007,매출원본!$AY$8:$AY$2007,$A60,매출원본!$AS$8:$AS$2007,"&lt;="&amp;설정!$B$5))</f>
        <v/>
      </c>
      <c r="F60" s="39">
        <f>IF($U60="","",SUMIFS(입금_은행1!$Z$8:$Z$2007,입금_은행1!$AC$8:$AC$2007,$A60,입금_은행1!$Y$8:$Y$2007,"&lt;="&amp;설정!$B$5)+SUMIFS(입금_은행2!$Z$8:$Z$2007,입금_은행2!$AC$8:$AC$2007,$A60,입금_은행2!$Y$8:$Y$2007,"&lt;="&amp;설정!$B$5))</f>
        <v/>
      </c>
      <c r="G60" s="39">
        <f>IF($U60="","",$D60+$E60-$F60)</f>
        <v/>
      </c>
      <c r="H60" s="39">
        <f>IF($U60="","",MIN(MAX($G60,0),$V60))</f>
        <v/>
      </c>
      <c r="I60" s="39">
        <f>IF($U60="","",MIN(MAX($G60,0),$W60)-MIN(MAX($G60,0),$V60))</f>
        <v/>
      </c>
      <c r="J60" s="39">
        <f>IF($U60="","",MIN(MAX($G60,0),$X60)-MIN(MAX($G60,0),$W60))</f>
        <v/>
      </c>
      <c r="K60" s="39">
        <f>IF($U60="","",MAX($G60,0)-MIN(MAX($G60,0),$X60))</f>
        <v/>
      </c>
      <c r="L60" s="40">
        <f>IF($U60="","",IF(MAX(SUMPRODUCT(MAX((입금_은행1!$AC$8:$AC$2007=$A60)*(입금_은행1!$AE$8:$AE$2007&lt;=설정!$B$5)*입금_은행1!$AE$8:$AE$2007)),SUMPRODUCT(MAX((입금_은행2!$AC$8:$AC$2007=$A60)*(입금_은행2!$AE$8:$AE$2007&lt;=설정!$B$5)*입금_은행2!$AE$8:$AE$2007)))=0,"",MAX(SUMPRODUCT(MAX((입금_은행1!$AC$8:$AC$2007=$A60)*(입금_은행1!$AE$8:$AE$2007&lt;=설정!$B$5)*입금_은행1!$AE$8:$AE$2007)),SUMPRODUCT(MAX((입금_은행2!$AC$8:$AC$2007=$A60)*(입금_은행2!$AE$8:$AE$2007&lt;=설정!$B$5)*입금_은행2!$AE$8:$AE$2007)))))</f>
        <v/>
      </c>
      <c r="M60" s="38">
        <f>IF($U60="","",IF($T60="","",IF(INDEX(거래처설정!$F$8:$F$407,$T60)="","",INDEX(거래처설정!$F$8:$F$407,$T60))))</f>
        <v/>
      </c>
      <c r="N60" s="38">
        <f>IF($U60="","",IF($T60="","",IF(INDEX(거래처설정!$G$8:$G$407,$T60)="","",INDEX(거래처설정!$G$8:$G$407,$T60))))</f>
        <v/>
      </c>
      <c r="O60" s="38">
        <f>IF($U60="","",IF($M60="제외",0,IF($K60&gt;=설정!$B$9,3,IF($J60+$K60&gt;=설정!$B$9,2,IF($I60+$J60+$K60&gt;=설정!$B$9,1,0)))))</f>
        <v/>
      </c>
      <c r="P60" s="38">
        <f>IF($U60="","",IF($M60="제외","제외(조치 상태)",IF($O60=3,"③ 강한 독촉 후보 ("&amp;설정!$B$8&amp;"일 초과)",IF($O60=2,"② 독촉 후보 ("&amp;설정!$B$7&amp;"일 초과)",IF($O60=1,"① 안내 후보 ("&amp;설정!$B$6&amp;"일 초과)",IF($G60&gt;0,IF($I60+$J60+$K60&gt;0,"오래된 잔액 있음 (최소 금액 미만)","정상 범위"),IF($G60&lt;0,"선수금·초과입금 — 확인","완납")))))))</f>
        <v/>
      </c>
      <c r="Q60" s="38">
        <f>IF($U60="","",IF($G60&lt;0,"입금이 매출보다 큼 — 선수금이거나 다른 거래처 입금이 섞였는지 확인",IF(AND($AE60&lt;&gt;"",COUNTIF($AE$8:$AE$307,"*"&amp;$AE60&amp;"*")&gt;1),"이름이 다른 거래처와 겹침 — 입금이 잘못 맞았을 수 있으니 별칭 확인",IF(AND($G60&gt;0,$F60=0),"입금 매칭 없음 — 입금자명이 다르면 [거래처설정]에 별칭 등록",""))))</f>
        <v/>
      </c>
      <c r="R60" s="31">
        <f>IF(OR($U60="",$G60&lt;=0),"",$G60-$A60/10000)</f>
        <v/>
      </c>
      <c r="S60" s="31">
        <f>IF(OR($U60="",$O60&lt;1),"",$O60*10^11+$I60+$J60+$K60-$A60/1000)</f>
        <v/>
      </c>
      <c r="T60" s="31">
        <f>IF($U60="","",IFERROR(MATCH(INDEX(매출원본!$AU$8:$AU$2007,$U60),거래처설정!$I$8:$I$407,0),""))</f>
        <v/>
      </c>
      <c r="U60" s="31">
        <f>IFERROR(MATCH(53,매출원본!$AW$8:$AW$2007,0),"")</f>
        <v/>
      </c>
      <c r="V60" s="31">
        <f>IF($U60="","",MAX(SUMIFS(매출원본!$AT$8:$AT$2007,매출원본!$AY$8:$AY$2007,$A60,매출원본!$AS$8:$AS$2007,"&gt;="&amp;(설정!$B$5-설정!$B$6),매출원본!$AS$8:$AS$2007,"&lt;="&amp;설정!$B$5),0))</f>
        <v/>
      </c>
      <c r="W60" s="31">
        <f>IF($U60="","",MAX($V60,SUMIFS(매출원본!$AT$8:$AT$2007,매출원본!$AY$8:$AY$2007,$A60,매출원본!$AS$8:$AS$2007,"&gt;="&amp;(설정!$B$5-설정!$B$7),매출원본!$AS$8:$AS$2007,"&lt;="&amp;설정!$B$5)))</f>
        <v/>
      </c>
      <c r="X60" s="31">
        <f>IF($U60="","",MAX($W60,SUMIFS(매출원본!$AT$8:$AT$2007,매출원본!$AY$8:$AY$2007,$A60,매출원본!$AS$8:$AS$2007,"&gt;="&amp;(설정!$B$5-설정!$B$8),매출원본!$AS$8:$AS$2007,"&lt;="&amp;설정!$B$5)))</f>
        <v/>
      </c>
      <c r="AC60" s="31">
        <f>IF(OR($U60="",$T60=""),"",INDEX(거래처설정!$J$8:$J$407,$T60))</f>
        <v/>
      </c>
      <c r="AD60" s="31">
        <f>IF(OR($U60="",$T60=""),"",INDEX(거래처설정!$K$8:$K$407,$T60))</f>
        <v/>
      </c>
      <c r="AE60" s="31">
        <f>IF($U60="","",IF(LEN(SUBSTITUTE(SUBSTITUTE(SUBSTITUTE(SUBSTITUTE(SUBSTITUTE(SUBSTITUTE(SUBSTITUTE(SUBSTITUTE(SUBSTITUTE($C60," ",""),"　",""),"(주)",""),"（주）",""),"㈜",""),"주식회사",""),"(유)",""),"（유）",""),"유한회사",""))&lt;2,"",SUBSTITUTE(SUBSTITUTE(SUBSTITUTE(SUBSTITUTE(SUBSTITUTE(SUBSTITUTE(SUBSTITUTE(SUBSTITUTE(SUBSTITUTE($C60," ",""),"　",""),"(주)",""),"（주）",""),"㈜",""),"주식회사",""),"(유)",""),"（유）",""),"유한회사","")))</f>
        <v/>
      </c>
    </row>
    <row r="61">
      <c r="A61" s="38">
        <f>IF($U61="","",54)</f>
        <v/>
      </c>
      <c r="B61" s="38">
        <f>IF($U61="","",IF(LEN(INDEX(매출원본!$AU$8:$AU$2007,$U61))=10,LEFT(INDEX(매출원본!$AU$8:$AU$2007,$U61),3)&amp;"-"&amp;MID(INDEX(매출원본!$AU$8:$AU$2007,$U61),4,2)&amp;"-"&amp;RIGHT(INDEX(매출원본!$AU$8:$AU$2007,$U61),5),IF(LEFT(INDEX(매출원본!$AU$8:$AU$2007,$U61),2)="N:","(번호 없음)",INDEX(매출원본!$AU$8:$AU$2007,$U61))))</f>
        <v/>
      </c>
      <c r="C61" s="38">
        <f>IF($U61="","",INDEX(매출원본!$AV$8:$AV$2007,$U61))</f>
        <v/>
      </c>
      <c r="D61" s="39">
        <f>IF($U61="","",IF($T61="",0,N(INDEX(거래처설정!$E$8:$E$407,$T61))))</f>
        <v/>
      </c>
      <c r="E61" s="39">
        <f>IF($U61="","",SUMIFS(매출원본!$AT$8:$AT$2007,매출원본!$AY$8:$AY$2007,$A61,매출원본!$AS$8:$AS$2007,"&lt;="&amp;설정!$B$5))</f>
        <v/>
      </c>
      <c r="F61" s="39">
        <f>IF($U61="","",SUMIFS(입금_은행1!$Z$8:$Z$2007,입금_은행1!$AC$8:$AC$2007,$A61,입금_은행1!$Y$8:$Y$2007,"&lt;="&amp;설정!$B$5)+SUMIFS(입금_은행2!$Z$8:$Z$2007,입금_은행2!$AC$8:$AC$2007,$A61,입금_은행2!$Y$8:$Y$2007,"&lt;="&amp;설정!$B$5))</f>
        <v/>
      </c>
      <c r="G61" s="39">
        <f>IF($U61="","",$D61+$E61-$F61)</f>
        <v/>
      </c>
      <c r="H61" s="39">
        <f>IF($U61="","",MIN(MAX($G61,0),$V61))</f>
        <v/>
      </c>
      <c r="I61" s="39">
        <f>IF($U61="","",MIN(MAX($G61,0),$W61)-MIN(MAX($G61,0),$V61))</f>
        <v/>
      </c>
      <c r="J61" s="39">
        <f>IF($U61="","",MIN(MAX($G61,0),$X61)-MIN(MAX($G61,0),$W61))</f>
        <v/>
      </c>
      <c r="K61" s="39">
        <f>IF($U61="","",MAX($G61,0)-MIN(MAX($G61,0),$X61))</f>
        <v/>
      </c>
      <c r="L61" s="40">
        <f>IF($U61="","",IF(MAX(SUMPRODUCT(MAX((입금_은행1!$AC$8:$AC$2007=$A61)*(입금_은행1!$AE$8:$AE$2007&lt;=설정!$B$5)*입금_은행1!$AE$8:$AE$2007)),SUMPRODUCT(MAX((입금_은행2!$AC$8:$AC$2007=$A61)*(입금_은행2!$AE$8:$AE$2007&lt;=설정!$B$5)*입금_은행2!$AE$8:$AE$2007)))=0,"",MAX(SUMPRODUCT(MAX((입금_은행1!$AC$8:$AC$2007=$A61)*(입금_은행1!$AE$8:$AE$2007&lt;=설정!$B$5)*입금_은행1!$AE$8:$AE$2007)),SUMPRODUCT(MAX((입금_은행2!$AC$8:$AC$2007=$A61)*(입금_은행2!$AE$8:$AE$2007&lt;=설정!$B$5)*입금_은행2!$AE$8:$AE$2007)))))</f>
        <v/>
      </c>
      <c r="M61" s="38">
        <f>IF($U61="","",IF($T61="","",IF(INDEX(거래처설정!$F$8:$F$407,$T61)="","",INDEX(거래처설정!$F$8:$F$407,$T61))))</f>
        <v/>
      </c>
      <c r="N61" s="38">
        <f>IF($U61="","",IF($T61="","",IF(INDEX(거래처설정!$G$8:$G$407,$T61)="","",INDEX(거래처설정!$G$8:$G$407,$T61))))</f>
        <v/>
      </c>
      <c r="O61" s="38">
        <f>IF($U61="","",IF($M61="제외",0,IF($K61&gt;=설정!$B$9,3,IF($J61+$K61&gt;=설정!$B$9,2,IF($I61+$J61+$K61&gt;=설정!$B$9,1,0)))))</f>
        <v/>
      </c>
      <c r="P61" s="38">
        <f>IF($U61="","",IF($M61="제외","제외(조치 상태)",IF($O61=3,"③ 강한 독촉 후보 ("&amp;설정!$B$8&amp;"일 초과)",IF($O61=2,"② 독촉 후보 ("&amp;설정!$B$7&amp;"일 초과)",IF($O61=1,"① 안내 후보 ("&amp;설정!$B$6&amp;"일 초과)",IF($G61&gt;0,IF($I61+$J61+$K61&gt;0,"오래된 잔액 있음 (최소 금액 미만)","정상 범위"),IF($G61&lt;0,"선수금·초과입금 — 확인","완납")))))))</f>
        <v/>
      </c>
      <c r="Q61" s="38">
        <f>IF($U61="","",IF($G61&lt;0,"입금이 매출보다 큼 — 선수금이거나 다른 거래처 입금이 섞였는지 확인",IF(AND($AE61&lt;&gt;"",COUNTIF($AE$8:$AE$307,"*"&amp;$AE61&amp;"*")&gt;1),"이름이 다른 거래처와 겹침 — 입금이 잘못 맞았을 수 있으니 별칭 확인",IF(AND($G61&gt;0,$F61=0),"입금 매칭 없음 — 입금자명이 다르면 [거래처설정]에 별칭 등록",""))))</f>
        <v/>
      </c>
      <c r="R61" s="31">
        <f>IF(OR($U61="",$G61&lt;=0),"",$G61-$A61/10000)</f>
        <v/>
      </c>
      <c r="S61" s="31">
        <f>IF(OR($U61="",$O61&lt;1),"",$O61*10^11+$I61+$J61+$K61-$A61/1000)</f>
        <v/>
      </c>
      <c r="T61" s="31">
        <f>IF($U61="","",IFERROR(MATCH(INDEX(매출원본!$AU$8:$AU$2007,$U61),거래처설정!$I$8:$I$407,0),""))</f>
        <v/>
      </c>
      <c r="U61" s="31">
        <f>IFERROR(MATCH(54,매출원본!$AW$8:$AW$2007,0),"")</f>
        <v/>
      </c>
      <c r="V61" s="31">
        <f>IF($U61="","",MAX(SUMIFS(매출원본!$AT$8:$AT$2007,매출원본!$AY$8:$AY$2007,$A61,매출원본!$AS$8:$AS$2007,"&gt;="&amp;(설정!$B$5-설정!$B$6),매출원본!$AS$8:$AS$2007,"&lt;="&amp;설정!$B$5),0))</f>
        <v/>
      </c>
      <c r="W61" s="31">
        <f>IF($U61="","",MAX($V61,SUMIFS(매출원본!$AT$8:$AT$2007,매출원본!$AY$8:$AY$2007,$A61,매출원본!$AS$8:$AS$2007,"&gt;="&amp;(설정!$B$5-설정!$B$7),매출원본!$AS$8:$AS$2007,"&lt;="&amp;설정!$B$5)))</f>
        <v/>
      </c>
      <c r="X61" s="31">
        <f>IF($U61="","",MAX($W61,SUMIFS(매출원본!$AT$8:$AT$2007,매출원본!$AY$8:$AY$2007,$A61,매출원본!$AS$8:$AS$2007,"&gt;="&amp;(설정!$B$5-설정!$B$8),매출원본!$AS$8:$AS$2007,"&lt;="&amp;설정!$B$5)))</f>
        <v/>
      </c>
      <c r="AC61" s="31">
        <f>IF(OR($U61="",$T61=""),"",INDEX(거래처설정!$J$8:$J$407,$T61))</f>
        <v/>
      </c>
      <c r="AD61" s="31">
        <f>IF(OR($U61="",$T61=""),"",INDEX(거래처설정!$K$8:$K$407,$T61))</f>
        <v/>
      </c>
      <c r="AE61" s="31">
        <f>IF($U61="","",IF(LEN(SUBSTITUTE(SUBSTITUTE(SUBSTITUTE(SUBSTITUTE(SUBSTITUTE(SUBSTITUTE(SUBSTITUTE(SUBSTITUTE(SUBSTITUTE($C61," ",""),"　",""),"(주)",""),"（주）",""),"㈜",""),"주식회사",""),"(유)",""),"（유）",""),"유한회사",""))&lt;2,"",SUBSTITUTE(SUBSTITUTE(SUBSTITUTE(SUBSTITUTE(SUBSTITUTE(SUBSTITUTE(SUBSTITUTE(SUBSTITUTE(SUBSTITUTE($C61," ",""),"　",""),"(주)",""),"（주）",""),"㈜",""),"주식회사",""),"(유)",""),"（유）",""),"유한회사","")))</f>
        <v/>
      </c>
    </row>
    <row r="62">
      <c r="A62" s="38">
        <f>IF($U62="","",55)</f>
        <v/>
      </c>
      <c r="B62" s="38">
        <f>IF($U62="","",IF(LEN(INDEX(매출원본!$AU$8:$AU$2007,$U62))=10,LEFT(INDEX(매출원본!$AU$8:$AU$2007,$U62),3)&amp;"-"&amp;MID(INDEX(매출원본!$AU$8:$AU$2007,$U62),4,2)&amp;"-"&amp;RIGHT(INDEX(매출원본!$AU$8:$AU$2007,$U62),5),IF(LEFT(INDEX(매출원본!$AU$8:$AU$2007,$U62),2)="N:","(번호 없음)",INDEX(매출원본!$AU$8:$AU$2007,$U62))))</f>
        <v/>
      </c>
      <c r="C62" s="38">
        <f>IF($U62="","",INDEX(매출원본!$AV$8:$AV$2007,$U62))</f>
        <v/>
      </c>
      <c r="D62" s="39">
        <f>IF($U62="","",IF($T62="",0,N(INDEX(거래처설정!$E$8:$E$407,$T62))))</f>
        <v/>
      </c>
      <c r="E62" s="39">
        <f>IF($U62="","",SUMIFS(매출원본!$AT$8:$AT$2007,매출원본!$AY$8:$AY$2007,$A62,매출원본!$AS$8:$AS$2007,"&lt;="&amp;설정!$B$5))</f>
        <v/>
      </c>
      <c r="F62" s="39">
        <f>IF($U62="","",SUMIFS(입금_은행1!$Z$8:$Z$2007,입금_은행1!$AC$8:$AC$2007,$A62,입금_은행1!$Y$8:$Y$2007,"&lt;="&amp;설정!$B$5)+SUMIFS(입금_은행2!$Z$8:$Z$2007,입금_은행2!$AC$8:$AC$2007,$A62,입금_은행2!$Y$8:$Y$2007,"&lt;="&amp;설정!$B$5))</f>
        <v/>
      </c>
      <c r="G62" s="39">
        <f>IF($U62="","",$D62+$E62-$F62)</f>
        <v/>
      </c>
      <c r="H62" s="39">
        <f>IF($U62="","",MIN(MAX($G62,0),$V62))</f>
        <v/>
      </c>
      <c r="I62" s="39">
        <f>IF($U62="","",MIN(MAX($G62,0),$W62)-MIN(MAX($G62,0),$V62))</f>
        <v/>
      </c>
      <c r="J62" s="39">
        <f>IF($U62="","",MIN(MAX($G62,0),$X62)-MIN(MAX($G62,0),$W62))</f>
        <v/>
      </c>
      <c r="K62" s="39">
        <f>IF($U62="","",MAX($G62,0)-MIN(MAX($G62,0),$X62))</f>
        <v/>
      </c>
      <c r="L62" s="40">
        <f>IF($U62="","",IF(MAX(SUMPRODUCT(MAX((입금_은행1!$AC$8:$AC$2007=$A62)*(입금_은행1!$AE$8:$AE$2007&lt;=설정!$B$5)*입금_은행1!$AE$8:$AE$2007)),SUMPRODUCT(MAX((입금_은행2!$AC$8:$AC$2007=$A62)*(입금_은행2!$AE$8:$AE$2007&lt;=설정!$B$5)*입금_은행2!$AE$8:$AE$2007)))=0,"",MAX(SUMPRODUCT(MAX((입금_은행1!$AC$8:$AC$2007=$A62)*(입금_은행1!$AE$8:$AE$2007&lt;=설정!$B$5)*입금_은행1!$AE$8:$AE$2007)),SUMPRODUCT(MAX((입금_은행2!$AC$8:$AC$2007=$A62)*(입금_은행2!$AE$8:$AE$2007&lt;=설정!$B$5)*입금_은행2!$AE$8:$AE$2007)))))</f>
        <v/>
      </c>
      <c r="M62" s="38">
        <f>IF($U62="","",IF($T62="","",IF(INDEX(거래처설정!$F$8:$F$407,$T62)="","",INDEX(거래처설정!$F$8:$F$407,$T62))))</f>
        <v/>
      </c>
      <c r="N62" s="38">
        <f>IF($U62="","",IF($T62="","",IF(INDEX(거래처설정!$G$8:$G$407,$T62)="","",INDEX(거래처설정!$G$8:$G$407,$T62))))</f>
        <v/>
      </c>
      <c r="O62" s="38">
        <f>IF($U62="","",IF($M62="제외",0,IF($K62&gt;=설정!$B$9,3,IF($J62+$K62&gt;=설정!$B$9,2,IF($I62+$J62+$K62&gt;=설정!$B$9,1,0)))))</f>
        <v/>
      </c>
      <c r="P62" s="38">
        <f>IF($U62="","",IF($M62="제외","제외(조치 상태)",IF($O62=3,"③ 강한 독촉 후보 ("&amp;설정!$B$8&amp;"일 초과)",IF($O62=2,"② 독촉 후보 ("&amp;설정!$B$7&amp;"일 초과)",IF($O62=1,"① 안내 후보 ("&amp;설정!$B$6&amp;"일 초과)",IF($G62&gt;0,IF($I62+$J62+$K62&gt;0,"오래된 잔액 있음 (최소 금액 미만)","정상 범위"),IF($G62&lt;0,"선수금·초과입금 — 확인","완납")))))))</f>
        <v/>
      </c>
      <c r="Q62" s="38">
        <f>IF($U62="","",IF($G62&lt;0,"입금이 매출보다 큼 — 선수금이거나 다른 거래처 입금이 섞였는지 확인",IF(AND($AE62&lt;&gt;"",COUNTIF($AE$8:$AE$307,"*"&amp;$AE62&amp;"*")&gt;1),"이름이 다른 거래처와 겹침 — 입금이 잘못 맞았을 수 있으니 별칭 확인",IF(AND($G62&gt;0,$F62=0),"입금 매칭 없음 — 입금자명이 다르면 [거래처설정]에 별칭 등록",""))))</f>
        <v/>
      </c>
      <c r="R62" s="31">
        <f>IF(OR($U62="",$G62&lt;=0),"",$G62-$A62/10000)</f>
        <v/>
      </c>
      <c r="S62" s="31">
        <f>IF(OR($U62="",$O62&lt;1),"",$O62*10^11+$I62+$J62+$K62-$A62/1000)</f>
        <v/>
      </c>
      <c r="T62" s="31">
        <f>IF($U62="","",IFERROR(MATCH(INDEX(매출원본!$AU$8:$AU$2007,$U62),거래처설정!$I$8:$I$407,0),""))</f>
        <v/>
      </c>
      <c r="U62" s="31">
        <f>IFERROR(MATCH(55,매출원본!$AW$8:$AW$2007,0),"")</f>
        <v/>
      </c>
      <c r="V62" s="31">
        <f>IF($U62="","",MAX(SUMIFS(매출원본!$AT$8:$AT$2007,매출원본!$AY$8:$AY$2007,$A62,매출원본!$AS$8:$AS$2007,"&gt;="&amp;(설정!$B$5-설정!$B$6),매출원본!$AS$8:$AS$2007,"&lt;="&amp;설정!$B$5),0))</f>
        <v/>
      </c>
      <c r="W62" s="31">
        <f>IF($U62="","",MAX($V62,SUMIFS(매출원본!$AT$8:$AT$2007,매출원본!$AY$8:$AY$2007,$A62,매출원본!$AS$8:$AS$2007,"&gt;="&amp;(설정!$B$5-설정!$B$7),매출원본!$AS$8:$AS$2007,"&lt;="&amp;설정!$B$5)))</f>
        <v/>
      </c>
      <c r="X62" s="31">
        <f>IF($U62="","",MAX($W62,SUMIFS(매출원본!$AT$8:$AT$2007,매출원본!$AY$8:$AY$2007,$A62,매출원본!$AS$8:$AS$2007,"&gt;="&amp;(설정!$B$5-설정!$B$8),매출원본!$AS$8:$AS$2007,"&lt;="&amp;설정!$B$5)))</f>
        <v/>
      </c>
      <c r="AC62" s="31">
        <f>IF(OR($U62="",$T62=""),"",INDEX(거래처설정!$J$8:$J$407,$T62))</f>
        <v/>
      </c>
      <c r="AD62" s="31">
        <f>IF(OR($U62="",$T62=""),"",INDEX(거래처설정!$K$8:$K$407,$T62))</f>
        <v/>
      </c>
      <c r="AE62" s="31">
        <f>IF($U62="","",IF(LEN(SUBSTITUTE(SUBSTITUTE(SUBSTITUTE(SUBSTITUTE(SUBSTITUTE(SUBSTITUTE(SUBSTITUTE(SUBSTITUTE(SUBSTITUTE($C62," ",""),"　",""),"(주)",""),"（주）",""),"㈜",""),"주식회사",""),"(유)",""),"（유）",""),"유한회사",""))&lt;2,"",SUBSTITUTE(SUBSTITUTE(SUBSTITUTE(SUBSTITUTE(SUBSTITUTE(SUBSTITUTE(SUBSTITUTE(SUBSTITUTE(SUBSTITUTE($C62," ",""),"　",""),"(주)",""),"（주）",""),"㈜",""),"주식회사",""),"(유)",""),"（유）",""),"유한회사","")))</f>
        <v/>
      </c>
    </row>
    <row r="63">
      <c r="A63" s="38">
        <f>IF($U63="","",56)</f>
        <v/>
      </c>
      <c r="B63" s="38">
        <f>IF($U63="","",IF(LEN(INDEX(매출원본!$AU$8:$AU$2007,$U63))=10,LEFT(INDEX(매출원본!$AU$8:$AU$2007,$U63),3)&amp;"-"&amp;MID(INDEX(매출원본!$AU$8:$AU$2007,$U63),4,2)&amp;"-"&amp;RIGHT(INDEX(매출원본!$AU$8:$AU$2007,$U63),5),IF(LEFT(INDEX(매출원본!$AU$8:$AU$2007,$U63),2)="N:","(번호 없음)",INDEX(매출원본!$AU$8:$AU$2007,$U63))))</f>
        <v/>
      </c>
      <c r="C63" s="38">
        <f>IF($U63="","",INDEX(매출원본!$AV$8:$AV$2007,$U63))</f>
        <v/>
      </c>
      <c r="D63" s="39">
        <f>IF($U63="","",IF($T63="",0,N(INDEX(거래처설정!$E$8:$E$407,$T63))))</f>
        <v/>
      </c>
      <c r="E63" s="39">
        <f>IF($U63="","",SUMIFS(매출원본!$AT$8:$AT$2007,매출원본!$AY$8:$AY$2007,$A63,매출원본!$AS$8:$AS$2007,"&lt;="&amp;설정!$B$5))</f>
        <v/>
      </c>
      <c r="F63" s="39">
        <f>IF($U63="","",SUMIFS(입금_은행1!$Z$8:$Z$2007,입금_은행1!$AC$8:$AC$2007,$A63,입금_은행1!$Y$8:$Y$2007,"&lt;="&amp;설정!$B$5)+SUMIFS(입금_은행2!$Z$8:$Z$2007,입금_은행2!$AC$8:$AC$2007,$A63,입금_은행2!$Y$8:$Y$2007,"&lt;="&amp;설정!$B$5))</f>
        <v/>
      </c>
      <c r="G63" s="39">
        <f>IF($U63="","",$D63+$E63-$F63)</f>
        <v/>
      </c>
      <c r="H63" s="39">
        <f>IF($U63="","",MIN(MAX($G63,0),$V63))</f>
        <v/>
      </c>
      <c r="I63" s="39">
        <f>IF($U63="","",MIN(MAX($G63,0),$W63)-MIN(MAX($G63,0),$V63))</f>
        <v/>
      </c>
      <c r="J63" s="39">
        <f>IF($U63="","",MIN(MAX($G63,0),$X63)-MIN(MAX($G63,0),$W63))</f>
        <v/>
      </c>
      <c r="K63" s="39">
        <f>IF($U63="","",MAX($G63,0)-MIN(MAX($G63,0),$X63))</f>
        <v/>
      </c>
      <c r="L63" s="40">
        <f>IF($U63="","",IF(MAX(SUMPRODUCT(MAX((입금_은행1!$AC$8:$AC$2007=$A63)*(입금_은행1!$AE$8:$AE$2007&lt;=설정!$B$5)*입금_은행1!$AE$8:$AE$2007)),SUMPRODUCT(MAX((입금_은행2!$AC$8:$AC$2007=$A63)*(입금_은행2!$AE$8:$AE$2007&lt;=설정!$B$5)*입금_은행2!$AE$8:$AE$2007)))=0,"",MAX(SUMPRODUCT(MAX((입금_은행1!$AC$8:$AC$2007=$A63)*(입금_은행1!$AE$8:$AE$2007&lt;=설정!$B$5)*입금_은행1!$AE$8:$AE$2007)),SUMPRODUCT(MAX((입금_은행2!$AC$8:$AC$2007=$A63)*(입금_은행2!$AE$8:$AE$2007&lt;=설정!$B$5)*입금_은행2!$AE$8:$AE$2007)))))</f>
        <v/>
      </c>
      <c r="M63" s="38">
        <f>IF($U63="","",IF($T63="","",IF(INDEX(거래처설정!$F$8:$F$407,$T63)="","",INDEX(거래처설정!$F$8:$F$407,$T63))))</f>
        <v/>
      </c>
      <c r="N63" s="38">
        <f>IF($U63="","",IF($T63="","",IF(INDEX(거래처설정!$G$8:$G$407,$T63)="","",INDEX(거래처설정!$G$8:$G$407,$T63))))</f>
        <v/>
      </c>
      <c r="O63" s="38">
        <f>IF($U63="","",IF($M63="제외",0,IF($K63&gt;=설정!$B$9,3,IF($J63+$K63&gt;=설정!$B$9,2,IF($I63+$J63+$K63&gt;=설정!$B$9,1,0)))))</f>
        <v/>
      </c>
      <c r="P63" s="38">
        <f>IF($U63="","",IF($M63="제외","제외(조치 상태)",IF($O63=3,"③ 강한 독촉 후보 ("&amp;설정!$B$8&amp;"일 초과)",IF($O63=2,"② 독촉 후보 ("&amp;설정!$B$7&amp;"일 초과)",IF($O63=1,"① 안내 후보 ("&amp;설정!$B$6&amp;"일 초과)",IF($G63&gt;0,IF($I63+$J63+$K63&gt;0,"오래된 잔액 있음 (최소 금액 미만)","정상 범위"),IF($G63&lt;0,"선수금·초과입금 — 확인","완납")))))))</f>
        <v/>
      </c>
      <c r="Q63" s="38">
        <f>IF($U63="","",IF($G63&lt;0,"입금이 매출보다 큼 — 선수금이거나 다른 거래처 입금이 섞였는지 확인",IF(AND($AE63&lt;&gt;"",COUNTIF($AE$8:$AE$307,"*"&amp;$AE63&amp;"*")&gt;1),"이름이 다른 거래처와 겹침 — 입금이 잘못 맞았을 수 있으니 별칭 확인",IF(AND($G63&gt;0,$F63=0),"입금 매칭 없음 — 입금자명이 다르면 [거래처설정]에 별칭 등록",""))))</f>
        <v/>
      </c>
      <c r="R63" s="31">
        <f>IF(OR($U63="",$G63&lt;=0),"",$G63-$A63/10000)</f>
        <v/>
      </c>
      <c r="S63" s="31">
        <f>IF(OR($U63="",$O63&lt;1),"",$O63*10^11+$I63+$J63+$K63-$A63/1000)</f>
        <v/>
      </c>
      <c r="T63" s="31">
        <f>IF($U63="","",IFERROR(MATCH(INDEX(매출원본!$AU$8:$AU$2007,$U63),거래처설정!$I$8:$I$407,0),""))</f>
        <v/>
      </c>
      <c r="U63" s="31">
        <f>IFERROR(MATCH(56,매출원본!$AW$8:$AW$2007,0),"")</f>
        <v/>
      </c>
      <c r="V63" s="31">
        <f>IF($U63="","",MAX(SUMIFS(매출원본!$AT$8:$AT$2007,매출원본!$AY$8:$AY$2007,$A63,매출원본!$AS$8:$AS$2007,"&gt;="&amp;(설정!$B$5-설정!$B$6),매출원본!$AS$8:$AS$2007,"&lt;="&amp;설정!$B$5),0))</f>
        <v/>
      </c>
      <c r="W63" s="31">
        <f>IF($U63="","",MAX($V63,SUMIFS(매출원본!$AT$8:$AT$2007,매출원본!$AY$8:$AY$2007,$A63,매출원본!$AS$8:$AS$2007,"&gt;="&amp;(설정!$B$5-설정!$B$7),매출원본!$AS$8:$AS$2007,"&lt;="&amp;설정!$B$5)))</f>
        <v/>
      </c>
      <c r="X63" s="31">
        <f>IF($U63="","",MAX($W63,SUMIFS(매출원본!$AT$8:$AT$2007,매출원본!$AY$8:$AY$2007,$A63,매출원본!$AS$8:$AS$2007,"&gt;="&amp;(설정!$B$5-설정!$B$8),매출원본!$AS$8:$AS$2007,"&lt;="&amp;설정!$B$5)))</f>
        <v/>
      </c>
      <c r="AC63" s="31">
        <f>IF(OR($U63="",$T63=""),"",INDEX(거래처설정!$J$8:$J$407,$T63))</f>
        <v/>
      </c>
      <c r="AD63" s="31">
        <f>IF(OR($U63="",$T63=""),"",INDEX(거래처설정!$K$8:$K$407,$T63))</f>
        <v/>
      </c>
      <c r="AE63" s="31">
        <f>IF($U63="","",IF(LEN(SUBSTITUTE(SUBSTITUTE(SUBSTITUTE(SUBSTITUTE(SUBSTITUTE(SUBSTITUTE(SUBSTITUTE(SUBSTITUTE(SUBSTITUTE($C63," ",""),"　",""),"(주)",""),"（주）",""),"㈜",""),"주식회사",""),"(유)",""),"（유）",""),"유한회사",""))&lt;2,"",SUBSTITUTE(SUBSTITUTE(SUBSTITUTE(SUBSTITUTE(SUBSTITUTE(SUBSTITUTE(SUBSTITUTE(SUBSTITUTE(SUBSTITUTE($C63," ",""),"　",""),"(주)",""),"（주）",""),"㈜",""),"주식회사",""),"(유)",""),"（유）",""),"유한회사","")))</f>
        <v/>
      </c>
    </row>
    <row r="64">
      <c r="A64" s="38">
        <f>IF($U64="","",57)</f>
        <v/>
      </c>
      <c r="B64" s="38">
        <f>IF($U64="","",IF(LEN(INDEX(매출원본!$AU$8:$AU$2007,$U64))=10,LEFT(INDEX(매출원본!$AU$8:$AU$2007,$U64),3)&amp;"-"&amp;MID(INDEX(매출원본!$AU$8:$AU$2007,$U64),4,2)&amp;"-"&amp;RIGHT(INDEX(매출원본!$AU$8:$AU$2007,$U64),5),IF(LEFT(INDEX(매출원본!$AU$8:$AU$2007,$U64),2)="N:","(번호 없음)",INDEX(매출원본!$AU$8:$AU$2007,$U64))))</f>
        <v/>
      </c>
      <c r="C64" s="38">
        <f>IF($U64="","",INDEX(매출원본!$AV$8:$AV$2007,$U64))</f>
        <v/>
      </c>
      <c r="D64" s="39">
        <f>IF($U64="","",IF($T64="",0,N(INDEX(거래처설정!$E$8:$E$407,$T64))))</f>
        <v/>
      </c>
      <c r="E64" s="39">
        <f>IF($U64="","",SUMIFS(매출원본!$AT$8:$AT$2007,매출원본!$AY$8:$AY$2007,$A64,매출원본!$AS$8:$AS$2007,"&lt;="&amp;설정!$B$5))</f>
        <v/>
      </c>
      <c r="F64" s="39">
        <f>IF($U64="","",SUMIFS(입금_은행1!$Z$8:$Z$2007,입금_은행1!$AC$8:$AC$2007,$A64,입금_은행1!$Y$8:$Y$2007,"&lt;="&amp;설정!$B$5)+SUMIFS(입금_은행2!$Z$8:$Z$2007,입금_은행2!$AC$8:$AC$2007,$A64,입금_은행2!$Y$8:$Y$2007,"&lt;="&amp;설정!$B$5))</f>
        <v/>
      </c>
      <c r="G64" s="39">
        <f>IF($U64="","",$D64+$E64-$F64)</f>
        <v/>
      </c>
      <c r="H64" s="39">
        <f>IF($U64="","",MIN(MAX($G64,0),$V64))</f>
        <v/>
      </c>
      <c r="I64" s="39">
        <f>IF($U64="","",MIN(MAX($G64,0),$W64)-MIN(MAX($G64,0),$V64))</f>
        <v/>
      </c>
      <c r="J64" s="39">
        <f>IF($U64="","",MIN(MAX($G64,0),$X64)-MIN(MAX($G64,0),$W64))</f>
        <v/>
      </c>
      <c r="K64" s="39">
        <f>IF($U64="","",MAX($G64,0)-MIN(MAX($G64,0),$X64))</f>
        <v/>
      </c>
      <c r="L64" s="40">
        <f>IF($U64="","",IF(MAX(SUMPRODUCT(MAX((입금_은행1!$AC$8:$AC$2007=$A64)*(입금_은행1!$AE$8:$AE$2007&lt;=설정!$B$5)*입금_은행1!$AE$8:$AE$2007)),SUMPRODUCT(MAX((입금_은행2!$AC$8:$AC$2007=$A64)*(입금_은행2!$AE$8:$AE$2007&lt;=설정!$B$5)*입금_은행2!$AE$8:$AE$2007)))=0,"",MAX(SUMPRODUCT(MAX((입금_은행1!$AC$8:$AC$2007=$A64)*(입금_은행1!$AE$8:$AE$2007&lt;=설정!$B$5)*입금_은행1!$AE$8:$AE$2007)),SUMPRODUCT(MAX((입금_은행2!$AC$8:$AC$2007=$A64)*(입금_은행2!$AE$8:$AE$2007&lt;=설정!$B$5)*입금_은행2!$AE$8:$AE$2007)))))</f>
        <v/>
      </c>
      <c r="M64" s="38">
        <f>IF($U64="","",IF($T64="","",IF(INDEX(거래처설정!$F$8:$F$407,$T64)="","",INDEX(거래처설정!$F$8:$F$407,$T64))))</f>
        <v/>
      </c>
      <c r="N64" s="38">
        <f>IF($U64="","",IF($T64="","",IF(INDEX(거래처설정!$G$8:$G$407,$T64)="","",INDEX(거래처설정!$G$8:$G$407,$T64))))</f>
        <v/>
      </c>
      <c r="O64" s="38">
        <f>IF($U64="","",IF($M64="제외",0,IF($K64&gt;=설정!$B$9,3,IF($J64+$K64&gt;=설정!$B$9,2,IF($I64+$J64+$K64&gt;=설정!$B$9,1,0)))))</f>
        <v/>
      </c>
      <c r="P64" s="38">
        <f>IF($U64="","",IF($M64="제외","제외(조치 상태)",IF($O64=3,"③ 강한 독촉 후보 ("&amp;설정!$B$8&amp;"일 초과)",IF($O64=2,"② 독촉 후보 ("&amp;설정!$B$7&amp;"일 초과)",IF($O64=1,"① 안내 후보 ("&amp;설정!$B$6&amp;"일 초과)",IF($G64&gt;0,IF($I64+$J64+$K64&gt;0,"오래된 잔액 있음 (최소 금액 미만)","정상 범위"),IF($G64&lt;0,"선수금·초과입금 — 확인","완납")))))))</f>
        <v/>
      </c>
      <c r="Q64" s="38">
        <f>IF($U64="","",IF($G64&lt;0,"입금이 매출보다 큼 — 선수금이거나 다른 거래처 입금이 섞였는지 확인",IF(AND($AE64&lt;&gt;"",COUNTIF($AE$8:$AE$307,"*"&amp;$AE64&amp;"*")&gt;1),"이름이 다른 거래처와 겹침 — 입금이 잘못 맞았을 수 있으니 별칭 확인",IF(AND($G64&gt;0,$F64=0),"입금 매칭 없음 — 입금자명이 다르면 [거래처설정]에 별칭 등록",""))))</f>
        <v/>
      </c>
      <c r="R64" s="31">
        <f>IF(OR($U64="",$G64&lt;=0),"",$G64-$A64/10000)</f>
        <v/>
      </c>
      <c r="S64" s="31">
        <f>IF(OR($U64="",$O64&lt;1),"",$O64*10^11+$I64+$J64+$K64-$A64/1000)</f>
        <v/>
      </c>
      <c r="T64" s="31">
        <f>IF($U64="","",IFERROR(MATCH(INDEX(매출원본!$AU$8:$AU$2007,$U64),거래처설정!$I$8:$I$407,0),""))</f>
        <v/>
      </c>
      <c r="U64" s="31">
        <f>IFERROR(MATCH(57,매출원본!$AW$8:$AW$2007,0),"")</f>
        <v/>
      </c>
      <c r="V64" s="31">
        <f>IF($U64="","",MAX(SUMIFS(매출원본!$AT$8:$AT$2007,매출원본!$AY$8:$AY$2007,$A64,매출원본!$AS$8:$AS$2007,"&gt;="&amp;(설정!$B$5-설정!$B$6),매출원본!$AS$8:$AS$2007,"&lt;="&amp;설정!$B$5),0))</f>
        <v/>
      </c>
      <c r="W64" s="31">
        <f>IF($U64="","",MAX($V64,SUMIFS(매출원본!$AT$8:$AT$2007,매출원본!$AY$8:$AY$2007,$A64,매출원본!$AS$8:$AS$2007,"&gt;="&amp;(설정!$B$5-설정!$B$7),매출원본!$AS$8:$AS$2007,"&lt;="&amp;설정!$B$5)))</f>
        <v/>
      </c>
      <c r="X64" s="31">
        <f>IF($U64="","",MAX($W64,SUMIFS(매출원본!$AT$8:$AT$2007,매출원본!$AY$8:$AY$2007,$A64,매출원본!$AS$8:$AS$2007,"&gt;="&amp;(설정!$B$5-설정!$B$8),매출원본!$AS$8:$AS$2007,"&lt;="&amp;설정!$B$5)))</f>
        <v/>
      </c>
      <c r="AC64" s="31">
        <f>IF(OR($U64="",$T64=""),"",INDEX(거래처설정!$J$8:$J$407,$T64))</f>
        <v/>
      </c>
      <c r="AD64" s="31">
        <f>IF(OR($U64="",$T64=""),"",INDEX(거래처설정!$K$8:$K$407,$T64))</f>
        <v/>
      </c>
      <c r="AE64" s="31">
        <f>IF($U64="","",IF(LEN(SUBSTITUTE(SUBSTITUTE(SUBSTITUTE(SUBSTITUTE(SUBSTITUTE(SUBSTITUTE(SUBSTITUTE(SUBSTITUTE(SUBSTITUTE($C64," ",""),"　",""),"(주)",""),"（주）",""),"㈜",""),"주식회사",""),"(유)",""),"（유）",""),"유한회사",""))&lt;2,"",SUBSTITUTE(SUBSTITUTE(SUBSTITUTE(SUBSTITUTE(SUBSTITUTE(SUBSTITUTE(SUBSTITUTE(SUBSTITUTE(SUBSTITUTE($C64," ",""),"　",""),"(주)",""),"（주）",""),"㈜",""),"주식회사",""),"(유)",""),"（유）",""),"유한회사","")))</f>
        <v/>
      </c>
    </row>
    <row r="65">
      <c r="A65" s="38">
        <f>IF($U65="","",58)</f>
        <v/>
      </c>
      <c r="B65" s="38">
        <f>IF($U65="","",IF(LEN(INDEX(매출원본!$AU$8:$AU$2007,$U65))=10,LEFT(INDEX(매출원본!$AU$8:$AU$2007,$U65),3)&amp;"-"&amp;MID(INDEX(매출원본!$AU$8:$AU$2007,$U65),4,2)&amp;"-"&amp;RIGHT(INDEX(매출원본!$AU$8:$AU$2007,$U65),5),IF(LEFT(INDEX(매출원본!$AU$8:$AU$2007,$U65),2)="N:","(번호 없음)",INDEX(매출원본!$AU$8:$AU$2007,$U65))))</f>
        <v/>
      </c>
      <c r="C65" s="38">
        <f>IF($U65="","",INDEX(매출원본!$AV$8:$AV$2007,$U65))</f>
        <v/>
      </c>
      <c r="D65" s="39">
        <f>IF($U65="","",IF($T65="",0,N(INDEX(거래처설정!$E$8:$E$407,$T65))))</f>
        <v/>
      </c>
      <c r="E65" s="39">
        <f>IF($U65="","",SUMIFS(매출원본!$AT$8:$AT$2007,매출원본!$AY$8:$AY$2007,$A65,매출원본!$AS$8:$AS$2007,"&lt;="&amp;설정!$B$5))</f>
        <v/>
      </c>
      <c r="F65" s="39">
        <f>IF($U65="","",SUMIFS(입금_은행1!$Z$8:$Z$2007,입금_은행1!$AC$8:$AC$2007,$A65,입금_은행1!$Y$8:$Y$2007,"&lt;="&amp;설정!$B$5)+SUMIFS(입금_은행2!$Z$8:$Z$2007,입금_은행2!$AC$8:$AC$2007,$A65,입금_은행2!$Y$8:$Y$2007,"&lt;="&amp;설정!$B$5))</f>
        <v/>
      </c>
      <c r="G65" s="39">
        <f>IF($U65="","",$D65+$E65-$F65)</f>
        <v/>
      </c>
      <c r="H65" s="39">
        <f>IF($U65="","",MIN(MAX($G65,0),$V65))</f>
        <v/>
      </c>
      <c r="I65" s="39">
        <f>IF($U65="","",MIN(MAX($G65,0),$W65)-MIN(MAX($G65,0),$V65))</f>
        <v/>
      </c>
      <c r="J65" s="39">
        <f>IF($U65="","",MIN(MAX($G65,0),$X65)-MIN(MAX($G65,0),$W65))</f>
        <v/>
      </c>
      <c r="K65" s="39">
        <f>IF($U65="","",MAX($G65,0)-MIN(MAX($G65,0),$X65))</f>
        <v/>
      </c>
      <c r="L65" s="40">
        <f>IF($U65="","",IF(MAX(SUMPRODUCT(MAX((입금_은행1!$AC$8:$AC$2007=$A65)*(입금_은행1!$AE$8:$AE$2007&lt;=설정!$B$5)*입금_은행1!$AE$8:$AE$2007)),SUMPRODUCT(MAX((입금_은행2!$AC$8:$AC$2007=$A65)*(입금_은행2!$AE$8:$AE$2007&lt;=설정!$B$5)*입금_은행2!$AE$8:$AE$2007)))=0,"",MAX(SUMPRODUCT(MAX((입금_은행1!$AC$8:$AC$2007=$A65)*(입금_은행1!$AE$8:$AE$2007&lt;=설정!$B$5)*입금_은행1!$AE$8:$AE$2007)),SUMPRODUCT(MAX((입금_은행2!$AC$8:$AC$2007=$A65)*(입금_은행2!$AE$8:$AE$2007&lt;=설정!$B$5)*입금_은행2!$AE$8:$AE$2007)))))</f>
        <v/>
      </c>
      <c r="M65" s="38">
        <f>IF($U65="","",IF($T65="","",IF(INDEX(거래처설정!$F$8:$F$407,$T65)="","",INDEX(거래처설정!$F$8:$F$407,$T65))))</f>
        <v/>
      </c>
      <c r="N65" s="38">
        <f>IF($U65="","",IF($T65="","",IF(INDEX(거래처설정!$G$8:$G$407,$T65)="","",INDEX(거래처설정!$G$8:$G$407,$T65))))</f>
        <v/>
      </c>
      <c r="O65" s="38">
        <f>IF($U65="","",IF($M65="제외",0,IF($K65&gt;=설정!$B$9,3,IF($J65+$K65&gt;=설정!$B$9,2,IF($I65+$J65+$K65&gt;=설정!$B$9,1,0)))))</f>
        <v/>
      </c>
      <c r="P65" s="38">
        <f>IF($U65="","",IF($M65="제외","제외(조치 상태)",IF($O65=3,"③ 강한 독촉 후보 ("&amp;설정!$B$8&amp;"일 초과)",IF($O65=2,"② 독촉 후보 ("&amp;설정!$B$7&amp;"일 초과)",IF($O65=1,"① 안내 후보 ("&amp;설정!$B$6&amp;"일 초과)",IF($G65&gt;0,IF($I65+$J65+$K65&gt;0,"오래된 잔액 있음 (최소 금액 미만)","정상 범위"),IF($G65&lt;0,"선수금·초과입금 — 확인","완납")))))))</f>
        <v/>
      </c>
      <c r="Q65" s="38">
        <f>IF($U65="","",IF($G65&lt;0,"입금이 매출보다 큼 — 선수금이거나 다른 거래처 입금이 섞였는지 확인",IF(AND($AE65&lt;&gt;"",COUNTIF($AE$8:$AE$307,"*"&amp;$AE65&amp;"*")&gt;1),"이름이 다른 거래처와 겹침 — 입금이 잘못 맞았을 수 있으니 별칭 확인",IF(AND($G65&gt;0,$F65=0),"입금 매칭 없음 — 입금자명이 다르면 [거래처설정]에 별칭 등록",""))))</f>
        <v/>
      </c>
      <c r="R65" s="31">
        <f>IF(OR($U65="",$G65&lt;=0),"",$G65-$A65/10000)</f>
        <v/>
      </c>
      <c r="S65" s="31">
        <f>IF(OR($U65="",$O65&lt;1),"",$O65*10^11+$I65+$J65+$K65-$A65/1000)</f>
        <v/>
      </c>
      <c r="T65" s="31">
        <f>IF($U65="","",IFERROR(MATCH(INDEX(매출원본!$AU$8:$AU$2007,$U65),거래처설정!$I$8:$I$407,0),""))</f>
        <v/>
      </c>
      <c r="U65" s="31">
        <f>IFERROR(MATCH(58,매출원본!$AW$8:$AW$2007,0),"")</f>
        <v/>
      </c>
      <c r="V65" s="31">
        <f>IF($U65="","",MAX(SUMIFS(매출원본!$AT$8:$AT$2007,매출원본!$AY$8:$AY$2007,$A65,매출원본!$AS$8:$AS$2007,"&gt;="&amp;(설정!$B$5-설정!$B$6),매출원본!$AS$8:$AS$2007,"&lt;="&amp;설정!$B$5),0))</f>
        <v/>
      </c>
      <c r="W65" s="31">
        <f>IF($U65="","",MAX($V65,SUMIFS(매출원본!$AT$8:$AT$2007,매출원본!$AY$8:$AY$2007,$A65,매출원본!$AS$8:$AS$2007,"&gt;="&amp;(설정!$B$5-설정!$B$7),매출원본!$AS$8:$AS$2007,"&lt;="&amp;설정!$B$5)))</f>
        <v/>
      </c>
      <c r="X65" s="31">
        <f>IF($U65="","",MAX($W65,SUMIFS(매출원본!$AT$8:$AT$2007,매출원본!$AY$8:$AY$2007,$A65,매출원본!$AS$8:$AS$2007,"&gt;="&amp;(설정!$B$5-설정!$B$8),매출원본!$AS$8:$AS$2007,"&lt;="&amp;설정!$B$5)))</f>
        <v/>
      </c>
      <c r="AC65" s="31">
        <f>IF(OR($U65="",$T65=""),"",INDEX(거래처설정!$J$8:$J$407,$T65))</f>
        <v/>
      </c>
      <c r="AD65" s="31">
        <f>IF(OR($U65="",$T65=""),"",INDEX(거래처설정!$K$8:$K$407,$T65))</f>
        <v/>
      </c>
      <c r="AE65" s="31">
        <f>IF($U65="","",IF(LEN(SUBSTITUTE(SUBSTITUTE(SUBSTITUTE(SUBSTITUTE(SUBSTITUTE(SUBSTITUTE(SUBSTITUTE(SUBSTITUTE(SUBSTITUTE($C65," ",""),"　",""),"(주)",""),"（주）",""),"㈜",""),"주식회사",""),"(유)",""),"（유）",""),"유한회사",""))&lt;2,"",SUBSTITUTE(SUBSTITUTE(SUBSTITUTE(SUBSTITUTE(SUBSTITUTE(SUBSTITUTE(SUBSTITUTE(SUBSTITUTE(SUBSTITUTE($C65," ",""),"　",""),"(주)",""),"（주）",""),"㈜",""),"주식회사",""),"(유)",""),"（유）",""),"유한회사","")))</f>
        <v/>
      </c>
    </row>
    <row r="66">
      <c r="A66" s="38">
        <f>IF($U66="","",59)</f>
        <v/>
      </c>
      <c r="B66" s="38">
        <f>IF($U66="","",IF(LEN(INDEX(매출원본!$AU$8:$AU$2007,$U66))=10,LEFT(INDEX(매출원본!$AU$8:$AU$2007,$U66),3)&amp;"-"&amp;MID(INDEX(매출원본!$AU$8:$AU$2007,$U66),4,2)&amp;"-"&amp;RIGHT(INDEX(매출원본!$AU$8:$AU$2007,$U66),5),IF(LEFT(INDEX(매출원본!$AU$8:$AU$2007,$U66),2)="N:","(번호 없음)",INDEX(매출원본!$AU$8:$AU$2007,$U66))))</f>
        <v/>
      </c>
      <c r="C66" s="38">
        <f>IF($U66="","",INDEX(매출원본!$AV$8:$AV$2007,$U66))</f>
        <v/>
      </c>
      <c r="D66" s="39">
        <f>IF($U66="","",IF($T66="",0,N(INDEX(거래처설정!$E$8:$E$407,$T66))))</f>
        <v/>
      </c>
      <c r="E66" s="39">
        <f>IF($U66="","",SUMIFS(매출원본!$AT$8:$AT$2007,매출원본!$AY$8:$AY$2007,$A66,매출원본!$AS$8:$AS$2007,"&lt;="&amp;설정!$B$5))</f>
        <v/>
      </c>
      <c r="F66" s="39">
        <f>IF($U66="","",SUMIFS(입금_은행1!$Z$8:$Z$2007,입금_은행1!$AC$8:$AC$2007,$A66,입금_은행1!$Y$8:$Y$2007,"&lt;="&amp;설정!$B$5)+SUMIFS(입금_은행2!$Z$8:$Z$2007,입금_은행2!$AC$8:$AC$2007,$A66,입금_은행2!$Y$8:$Y$2007,"&lt;="&amp;설정!$B$5))</f>
        <v/>
      </c>
      <c r="G66" s="39">
        <f>IF($U66="","",$D66+$E66-$F66)</f>
        <v/>
      </c>
      <c r="H66" s="39">
        <f>IF($U66="","",MIN(MAX($G66,0),$V66))</f>
        <v/>
      </c>
      <c r="I66" s="39">
        <f>IF($U66="","",MIN(MAX($G66,0),$W66)-MIN(MAX($G66,0),$V66))</f>
        <v/>
      </c>
      <c r="J66" s="39">
        <f>IF($U66="","",MIN(MAX($G66,0),$X66)-MIN(MAX($G66,0),$W66))</f>
        <v/>
      </c>
      <c r="K66" s="39">
        <f>IF($U66="","",MAX($G66,0)-MIN(MAX($G66,0),$X66))</f>
        <v/>
      </c>
      <c r="L66" s="40">
        <f>IF($U66="","",IF(MAX(SUMPRODUCT(MAX((입금_은행1!$AC$8:$AC$2007=$A66)*(입금_은행1!$AE$8:$AE$2007&lt;=설정!$B$5)*입금_은행1!$AE$8:$AE$2007)),SUMPRODUCT(MAX((입금_은행2!$AC$8:$AC$2007=$A66)*(입금_은행2!$AE$8:$AE$2007&lt;=설정!$B$5)*입금_은행2!$AE$8:$AE$2007)))=0,"",MAX(SUMPRODUCT(MAX((입금_은행1!$AC$8:$AC$2007=$A66)*(입금_은행1!$AE$8:$AE$2007&lt;=설정!$B$5)*입금_은행1!$AE$8:$AE$2007)),SUMPRODUCT(MAX((입금_은행2!$AC$8:$AC$2007=$A66)*(입금_은행2!$AE$8:$AE$2007&lt;=설정!$B$5)*입금_은행2!$AE$8:$AE$2007)))))</f>
        <v/>
      </c>
      <c r="M66" s="38">
        <f>IF($U66="","",IF($T66="","",IF(INDEX(거래처설정!$F$8:$F$407,$T66)="","",INDEX(거래처설정!$F$8:$F$407,$T66))))</f>
        <v/>
      </c>
      <c r="N66" s="38">
        <f>IF($U66="","",IF($T66="","",IF(INDEX(거래처설정!$G$8:$G$407,$T66)="","",INDEX(거래처설정!$G$8:$G$407,$T66))))</f>
        <v/>
      </c>
      <c r="O66" s="38">
        <f>IF($U66="","",IF($M66="제외",0,IF($K66&gt;=설정!$B$9,3,IF($J66+$K66&gt;=설정!$B$9,2,IF($I66+$J66+$K66&gt;=설정!$B$9,1,0)))))</f>
        <v/>
      </c>
      <c r="P66" s="38">
        <f>IF($U66="","",IF($M66="제외","제외(조치 상태)",IF($O66=3,"③ 강한 독촉 후보 ("&amp;설정!$B$8&amp;"일 초과)",IF($O66=2,"② 독촉 후보 ("&amp;설정!$B$7&amp;"일 초과)",IF($O66=1,"① 안내 후보 ("&amp;설정!$B$6&amp;"일 초과)",IF($G66&gt;0,IF($I66+$J66+$K66&gt;0,"오래된 잔액 있음 (최소 금액 미만)","정상 범위"),IF($G66&lt;0,"선수금·초과입금 — 확인","완납")))))))</f>
        <v/>
      </c>
      <c r="Q66" s="38">
        <f>IF($U66="","",IF($G66&lt;0,"입금이 매출보다 큼 — 선수금이거나 다른 거래처 입금이 섞였는지 확인",IF(AND($AE66&lt;&gt;"",COUNTIF($AE$8:$AE$307,"*"&amp;$AE66&amp;"*")&gt;1),"이름이 다른 거래처와 겹침 — 입금이 잘못 맞았을 수 있으니 별칭 확인",IF(AND($G66&gt;0,$F66=0),"입금 매칭 없음 — 입금자명이 다르면 [거래처설정]에 별칭 등록",""))))</f>
        <v/>
      </c>
      <c r="R66" s="31">
        <f>IF(OR($U66="",$G66&lt;=0),"",$G66-$A66/10000)</f>
        <v/>
      </c>
      <c r="S66" s="31">
        <f>IF(OR($U66="",$O66&lt;1),"",$O66*10^11+$I66+$J66+$K66-$A66/1000)</f>
        <v/>
      </c>
      <c r="T66" s="31">
        <f>IF($U66="","",IFERROR(MATCH(INDEX(매출원본!$AU$8:$AU$2007,$U66),거래처설정!$I$8:$I$407,0),""))</f>
        <v/>
      </c>
      <c r="U66" s="31">
        <f>IFERROR(MATCH(59,매출원본!$AW$8:$AW$2007,0),"")</f>
        <v/>
      </c>
      <c r="V66" s="31">
        <f>IF($U66="","",MAX(SUMIFS(매출원본!$AT$8:$AT$2007,매출원본!$AY$8:$AY$2007,$A66,매출원본!$AS$8:$AS$2007,"&gt;="&amp;(설정!$B$5-설정!$B$6),매출원본!$AS$8:$AS$2007,"&lt;="&amp;설정!$B$5),0))</f>
        <v/>
      </c>
      <c r="W66" s="31">
        <f>IF($U66="","",MAX($V66,SUMIFS(매출원본!$AT$8:$AT$2007,매출원본!$AY$8:$AY$2007,$A66,매출원본!$AS$8:$AS$2007,"&gt;="&amp;(설정!$B$5-설정!$B$7),매출원본!$AS$8:$AS$2007,"&lt;="&amp;설정!$B$5)))</f>
        <v/>
      </c>
      <c r="X66" s="31">
        <f>IF($U66="","",MAX($W66,SUMIFS(매출원본!$AT$8:$AT$2007,매출원본!$AY$8:$AY$2007,$A66,매출원본!$AS$8:$AS$2007,"&gt;="&amp;(설정!$B$5-설정!$B$8),매출원본!$AS$8:$AS$2007,"&lt;="&amp;설정!$B$5)))</f>
        <v/>
      </c>
      <c r="AC66" s="31">
        <f>IF(OR($U66="",$T66=""),"",INDEX(거래처설정!$J$8:$J$407,$T66))</f>
        <v/>
      </c>
      <c r="AD66" s="31">
        <f>IF(OR($U66="",$T66=""),"",INDEX(거래처설정!$K$8:$K$407,$T66))</f>
        <v/>
      </c>
      <c r="AE66" s="31">
        <f>IF($U66="","",IF(LEN(SUBSTITUTE(SUBSTITUTE(SUBSTITUTE(SUBSTITUTE(SUBSTITUTE(SUBSTITUTE(SUBSTITUTE(SUBSTITUTE(SUBSTITUTE($C66," ",""),"　",""),"(주)",""),"（주）",""),"㈜",""),"주식회사",""),"(유)",""),"（유）",""),"유한회사",""))&lt;2,"",SUBSTITUTE(SUBSTITUTE(SUBSTITUTE(SUBSTITUTE(SUBSTITUTE(SUBSTITUTE(SUBSTITUTE(SUBSTITUTE(SUBSTITUTE($C66," ",""),"　",""),"(주)",""),"（주）",""),"㈜",""),"주식회사",""),"(유)",""),"（유）",""),"유한회사","")))</f>
        <v/>
      </c>
    </row>
    <row r="67">
      <c r="A67" s="38">
        <f>IF($U67="","",60)</f>
        <v/>
      </c>
      <c r="B67" s="38">
        <f>IF($U67="","",IF(LEN(INDEX(매출원본!$AU$8:$AU$2007,$U67))=10,LEFT(INDEX(매출원본!$AU$8:$AU$2007,$U67),3)&amp;"-"&amp;MID(INDEX(매출원본!$AU$8:$AU$2007,$U67),4,2)&amp;"-"&amp;RIGHT(INDEX(매출원본!$AU$8:$AU$2007,$U67),5),IF(LEFT(INDEX(매출원본!$AU$8:$AU$2007,$U67),2)="N:","(번호 없음)",INDEX(매출원본!$AU$8:$AU$2007,$U67))))</f>
        <v/>
      </c>
      <c r="C67" s="38">
        <f>IF($U67="","",INDEX(매출원본!$AV$8:$AV$2007,$U67))</f>
        <v/>
      </c>
      <c r="D67" s="39">
        <f>IF($U67="","",IF($T67="",0,N(INDEX(거래처설정!$E$8:$E$407,$T67))))</f>
        <v/>
      </c>
      <c r="E67" s="39">
        <f>IF($U67="","",SUMIFS(매출원본!$AT$8:$AT$2007,매출원본!$AY$8:$AY$2007,$A67,매출원본!$AS$8:$AS$2007,"&lt;="&amp;설정!$B$5))</f>
        <v/>
      </c>
      <c r="F67" s="39">
        <f>IF($U67="","",SUMIFS(입금_은행1!$Z$8:$Z$2007,입금_은행1!$AC$8:$AC$2007,$A67,입금_은행1!$Y$8:$Y$2007,"&lt;="&amp;설정!$B$5)+SUMIFS(입금_은행2!$Z$8:$Z$2007,입금_은행2!$AC$8:$AC$2007,$A67,입금_은행2!$Y$8:$Y$2007,"&lt;="&amp;설정!$B$5))</f>
        <v/>
      </c>
      <c r="G67" s="39">
        <f>IF($U67="","",$D67+$E67-$F67)</f>
        <v/>
      </c>
      <c r="H67" s="39">
        <f>IF($U67="","",MIN(MAX($G67,0),$V67))</f>
        <v/>
      </c>
      <c r="I67" s="39">
        <f>IF($U67="","",MIN(MAX($G67,0),$W67)-MIN(MAX($G67,0),$V67))</f>
        <v/>
      </c>
      <c r="J67" s="39">
        <f>IF($U67="","",MIN(MAX($G67,0),$X67)-MIN(MAX($G67,0),$W67))</f>
        <v/>
      </c>
      <c r="K67" s="39">
        <f>IF($U67="","",MAX($G67,0)-MIN(MAX($G67,0),$X67))</f>
        <v/>
      </c>
      <c r="L67" s="40">
        <f>IF($U67="","",IF(MAX(SUMPRODUCT(MAX((입금_은행1!$AC$8:$AC$2007=$A67)*(입금_은행1!$AE$8:$AE$2007&lt;=설정!$B$5)*입금_은행1!$AE$8:$AE$2007)),SUMPRODUCT(MAX((입금_은행2!$AC$8:$AC$2007=$A67)*(입금_은행2!$AE$8:$AE$2007&lt;=설정!$B$5)*입금_은행2!$AE$8:$AE$2007)))=0,"",MAX(SUMPRODUCT(MAX((입금_은행1!$AC$8:$AC$2007=$A67)*(입금_은행1!$AE$8:$AE$2007&lt;=설정!$B$5)*입금_은행1!$AE$8:$AE$2007)),SUMPRODUCT(MAX((입금_은행2!$AC$8:$AC$2007=$A67)*(입금_은행2!$AE$8:$AE$2007&lt;=설정!$B$5)*입금_은행2!$AE$8:$AE$2007)))))</f>
        <v/>
      </c>
      <c r="M67" s="38">
        <f>IF($U67="","",IF($T67="","",IF(INDEX(거래처설정!$F$8:$F$407,$T67)="","",INDEX(거래처설정!$F$8:$F$407,$T67))))</f>
        <v/>
      </c>
      <c r="N67" s="38">
        <f>IF($U67="","",IF($T67="","",IF(INDEX(거래처설정!$G$8:$G$407,$T67)="","",INDEX(거래처설정!$G$8:$G$407,$T67))))</f>
        <v/>
      </c>
      <c r="O67" s="38">
        <f>IF($U67="","",IF($M67="제외",0,IF($K67&gt;=설정!$B$9,3,IF($J67+$K67&gt;=설정!$B$9,2,IF($I67+$J67+$K67&gt;=설정!$B$9,1,0)))))</f>
        <v/>
      </c>
      <c r="P67" s="38">
        <f>IF($U67="","",IF($M67="제외","제외(조치 상태)",IF($O67=3,"③ 강한 독촉 후보 ("&amp;설정!$B$8&amp;"일 초과)",IF($O67=2,"② 독촉 후보 ("&amp;설정!$B$7&amp;"일 초과)",IF($O67=1,"① 안내 후보 ("&amp;설정!$B$6&amp;"일 초과)",IF($G67&gt;0,IF($I67+$J67+$K67&gt;0,"오래된 잔액 있음 (최소 금액 미만)","정상 범위"),IF($G67&lt;0,"선수금·초과입금 — 확인","완납")))))))</f>
        <v/>
      </c>
      <c r="Q67" s="38">
        <f>IF($U67="","",IF($G67&lt;0,"입금이 매출보다 큼 — 선수금이거나 다른 거래처 입금이 섞였는지 확인",IF(AND($AE67&lt;&gt;"",COUNTIF($AE$8:$AE$307,"*"&amp;$AE67&amp;"*")&gt;1),"이름이 다른 거래처와 겹침 — 입금이 잘못 맞았을 수 있으니 별칭 확인",IF(AND($G67&gt;0,$F67=0),"입금 매칭 없음 — 입금자명이 다르면 [거래처설정]에 별칭 등록",""))))</f>
        <v/>
      </c>
      <c r="R67" s="31">
        <f>IF(OR($U67="",$G67&lt;=0),"",$G67-$A67/10000)</f>
        <v/>
      </c>
      <c r="S67" s="31">
        <f>IF(OR($U67="",$O67&lt;1),"",$O67*10^11+$I67+$J67+$K67-$A67/1000)</f>
        <v/>
      </c>
      <c r="T67" s="31">
        <f>IF($U67="","",IFERROR(MATCH(INDEX(매출원본!$AU$8:$AU$2007,$U67),거래처설정!$I$8:$I$407,0),""))</f>
        <v/>
      </c>
      <c r="U67" s="31">
        <f>IFERROR(MATCH(60,매출원본!$AW$8:$AW$2007,0),"")</f>
        <v/>
      </c>
      <c r="V67" s="31">
        <f>IF($U67="","",MAX(SUMIFS(매출원본!$AT$8:$AT$2007,매출원본!$AY$8:$AY$2007,$A67,매출원본!$AS$8:$AS$2007,"&gt;="&amp;(설정!$B$5-설정!$B$6),매출원본!$AS$8:$AS$2007,"&lt;="&amp;설정!$B$5),0))</f>
        <v/>
      </c>
      <c r="W67" s="31">
        <f>IF($U67="","",MAX($V67,SUMIFS(매출원본!$AT$8:$AT$2007,매출원본!$AY$8:$AY$2007,$A67,매출원본!$AS$8:$AS$2007,"&gt;="&amp;(설정!$B$5-설정!$B$7),매출원본!$AS$8:$AS$2007,"&lt;="&amp;설정!$B$5)))</f>
        <v/>
      </c>
      <c r="X67" s="31">
        <f>IF($U67="","",MAX($W67,SUMIFS(매출원본!$AT$8:$AT$2007,매출원본!$AY$8:$AY$2007,$A67,매출원본!$AS$8:$AS$2007,"&gt;="&amp;(설정!$B$5-설정!$B$8),매출원본!$AS$8:$AS$2007,"&lt;="&amp;설정!$B$5)))</f>
        <v/>
      </c>
      <c r="AC67" s="31">
        <f>IF(OR($U67="",$T67=""),"",INDEX(거래처설정!$J$8:$J$407,$T67))</f>
        <v/>
      </c>
      <c r="AD67" s="31">
        <f>IF(OR($U67="",$T67=""),"",INDEX(거래처설정!$K$8:$K$407,$T67))</f>
        <v/>
      </c>
      <c r="AE67" s="31">
        <f>IF($U67="","",IF(LEN(SUBSTITUTE(SUBSTITUTE(SUBSTITUTE(SUBSTITUTE(SUBSTITUTE(SUBSTITUTE(SUBSTITUTE(SUBSTITUTE(SUBSTITUTE($C67," ",""),"　",""),"(주)",""),"（주）",""),"㈜",""),"주식회사",""),"(유)",""),"（유）",""),"유한회사",""))&lt;2,"",SUBSTITUTE(SUBSTITUTE(SUBSTITUTE(SUBSTITUTE(SUBSTITUTE(SUBSTITUTE(SUBSTITUTE(SUBSTITUTE(SUBSTITUTE($C67," ",""),"　",""),"(주)",""),"（주）",""),"㈜",""),"주식회사",""),"(유)",""),"（유）",""),"유한회사","")))</f>
        <v/>
      </c>
    </row>
    <row r="68">
      <c r="A68" s="38">
        <f>IF($U68="","",61)</f>
        <v/>
      </c>
      <c r="B68" s="38">
        <f>IF($U68="","",IF(LEN(INDEX(매출원본!$AU$8:$AU$2007,$U68))=10,LEFT(INDEX(매출원본!$AU$8:$AU$2007,$U68),3)&amp;"-"&amp;MID(INDEX(매출원본!$AU$8:$AU$2007,$U68),4,2)&amp;"-"&amp;RIGHT(INDEX(매출원본!$AU$8:$AU$2007,$U68),5),IF(LEFT(INDEX(매출원본!$AU$8:$AU$2007,$U68),2)="N:","(번호 없음)",INDEX(매출원본!$AU$8:$AU$2007,$U68))))</f>
        <v/>
      </c>
      <c r="C68" s="38">
        <f>IF($U68="","",INDEX(매출원본!$AV$8:$AV$2007,$U68))</f>
        <v/>
      </c>
      <c r="D68" s="39">
        <f>IF($U68="","",IF($T68="",0,N(INDEX(거래처설정!$E$8:$E$407,$T68))))</f>
        <v/>
      </c>
      <c r="E68" s="39">
        <f>IF($U68="","",SUMIFS(매출원본!$AT$8:$AT$2007,매출원본!$AY$8:$AY$2007,$A68,매출원본!$AS$8:$AS$2007,"&lt;="&amp;설정!$B$5))</f>
        <v/>
      </c>
      <c r="F68" s="39">
        <f>IF($U68="","",SUMIFS(입금_은행1!$Z$8:$Z$2007,입금_은행1!$AC$8:$AC$2007,$A68,입금_은행1!$Y$8:$Y$2007,"&lt;="&amp;설정!$B$5)+SUMIFS(입금_은행2!$Z$8:$Z$2007,입금_은행2!$AC$8:$AC$2007,$A68,입금_은행2!$Y$8:$Y$2007,"&lt;="&amp;설정!$B$5))</f>
        <v/>
      </c>
      <c r="G68" s="39">
        <f>IF($U68="","",$D68+$E68-$F68)</f>
        <v/>
      </c>
      <c r="H68" s="39">
        <f>IF($U68="","",MIN(MAX($G68,0),$V68))</f>
        <v/>
      </c>
      <c r="I68" s="39">
        <f>IF($U68="","",MIN(MAX($G68,0),$W68)-MIN(MAX($G68,0),$V68))</f>
        <v/>
      </c>
      <c r="J68" s="39">
        <f>IF($U68="","",MIN(MAX($G68,0),$X68)-MIN(MAX($G68,0),$W68))</f>
        <v/>
      </c>
      <c r="K68" s="39">
        <f>IF($U68="","",MAX($G68,0)-MIN(MAX($G68,0),$X68))</f>
        <v/>
      </c>
      <c r="L68" s="40">
        <f>IF($U68="","",IF(MAX(SUMPRODUCT(MAX((입금_은행1!$AC$8:$AC$2007=$A68)*(입금_은행1!$AE$8:$AE$2007&lt;=설정!$B$5)*입금_은행1!$AE$8:$AE$2007)),SUMPRODUCT(MAX((입금_은행2!$AC$8:$AC$2007=$A68)*(입금_은행2!$AE$8:$AE$2007&lt;=설정!$B$5)*입금_은행2!$AE$8:$AE$2007)))=0,"",MAX(SUMPRODUCT(MAX((입금_은행1!$AC$8:$AC$2007=$A68)*(입금_은행1!$AE$8:$AE$2007&lt;=설정!$B$5)*입금_은행1!$AE$8:$AE$2007)),SUMPRODUCT(MAX((입금_은행2!$AC$8:$AC$2007=$A68)*(입금_은행2!$AE$8:$AE$2007&lt;=설정!$B$5)*입금_은행2!$AE$8:$AE$2007)))))</f>
        <v/>
      </c>
      <c r="M68" s="38">
        <f>IF($U68="","",IF($T68="","",IF(INDEX(거래처설정!$F$8:$F$407,$T68)="","",INDEX(거래처설정!$F$8:$F$407,$T68))))</f>
        <v/>
      </c>
      <c r="N68" s="38">
        <f>IF($U68="","",IF($T68="","",IF(INDEX(거래처설정!$G$8:$G$407,$T68)="","",INDEX(거래처설정!$G$8:$G$407,$T68))))</f>
        <v/>
      </c>
      <c r="O68" s="38">
        <f>IF($U68="","",IF($M68="제외",0,IF($K68&gt;=설정!$B$9,3,IF($J68+$K68&gt;=설정!$B$9,2,IF($I68+$J68+$K68&gt;=설정!$B$9,1,0)))))</f>
        <v/>
      </c>
      <c r="P68" s="38">
        <f>IF($U68="","",IF($M68="제외","제외(조치 상태)",IF($O68=3,"③ 강한 독촉 후보 ("&amp;설정!$B$8&amp;"일 초과)",IF($O68=2,"② 독촉 후보 ("&amp;설정!$B$7&amp;"일 초과)",IF($O68=1,"① 안내 후보 ("&amp;설정!$B$6&amp;"일 초과)",IF($G68&gt;0,IF($I68+$J68+$K68&gt;0,"오래된 잔액 있음 (최소 금액 미만)","정상 범위"),IF($G68&lt;0,"선수금·초과입금 — 확인","완납")))))))</f>
        <v/>
      </c>
      <c r="Q68" s="38">
        <f>IF($U68="","",IF($G68&lt;0,"입금이 매출보다 큼 — 선수금이거나 다른 거래처 입금이 섞였는지 확인",IF(AND($AE68&lt;&gt;"",COUNTIF($AE$8:$AE$307,"*"&amp;$AE68&amp;"*")&gt;1),"이름이 다른 거래처와 겹침 — 입금이 잘못 맞았을 수 있으니 별칭 확인",IF(AND($G68&gt;0,$F68=0),"입금 매칭 없음 — 입금자명이 다르면 [거래처설정]에 별칭 등록",""))))</f>
        <v/>
      </c>
      <c r="R68" s="31">
        <f>IF(OR($U68="",$G68&lt;=0),"",$G68-$A68/10000)</f>
        <v/>
      </c>
      <c r="S68" s="31">
        <f>IF(OR($U68="",$O68&lt;1),"",$O68*10^11+$I68+$J68+$K68-$A68/1000)</f>
        <v/>
      </c>
      <c r="T68" s="31">
        <f>IF($U68="","",IFERROR(MATCH(INDEX(매출원본!$AU$8:$AU$2007,$U68),거래처설정!$I$8:$I$407,0),""))</f>
        <v/>
      </c>
      <c r="U68" s="31">
        <f>IFERROR(MATCH(61,매출원본!$AW$8:$AW$2007,0),"")</f>
        <v/>
      </c>
      <c r="V68" s="31">
        <f>IF($U68="","",MAX(SUMIFS(매출원본!$AT$8:$AT$2007,매출원본!$AY$8:$AY$2007,$A68,매출원본!$AS$8:$AS$2007,"&gt;="&amp;(설정!$B$5-설정!$B$6),매출원본!$AS$8:$AS$2007,"&lt;="&amp;설정!$B$5),0))</f>
        <v/>
      </c>
      <c r="W68" s="31">
        <f>IF($U68="","",MAX($V68,SUMIFS(매출원본!$AT$8:$AT$2007,매출원본!$AY$8:$AY$2007,$A68,매출원본!$AS$8:$AS$2007,"&gt;="&amp;(설정!$B$5-설정!$B$7),매출원본!$AS$8:$AS$2007,"&lt;="&amp;설정!$B$5)))</f>
        <v/>
      </c>
      <c r="X68" s="31">
        <f>IF($U68="","",MAX($W68,SUMIFS(매출원본!$AT$8:$AT$2007,매출원본!$AY$8:$AY$2007,$A68,매출원본!$AS$8:$AS$2007,"&gt;="&amp;(설정!$B$5-설정!$B$8),매출원본!$AS$8:$AS$2007,"&lt;="&amp;설정!$B$5)))</f>
        <v/>
      </c>
      <c r="AC68" s="31">
        <f>IF(OR($U68="",$T68=""),"",INDEX(거래처설정!$J$8:$J$407,$T68))</f>
        <v/>
      </c>
      <c r="AD68" s="31">
        <f>IF(OR($U68="",$T68=""),"",INDEX(거래처설정!$K$8:$K$407,$T68))</f>
        <v/>
      </c>
      <c r="AE68" s="31">
        <f>IF($U68="","",IF(LEN(SUBSTITUTE(SUBSTITUTE(SUBSTITUTE(SUBSTITUTE(SUBSTITUTE(SUBSTITUTE(SUBSTITUTE(SUBSTITUTE(SUBSTITUTE($C68," ",""),"　",""),"(주)",""),"（주）",""),"㈜",""),"주식회사",""),"(유)",""),"（유）",""),"유한회사",""))&lt;2,"",SUBSTITUTE(SUBSTITUTE(SUBSTITUTE(SUBSTITUTE(SUBSTITUTE(SUBSTITUTE(SUBSTITUTE(SUBSTITUTE(SUBSTITUTE($C68," ",""),"　",""),"(주)",""),"（주）",""),"㈜",""),"주식회사",""),"(유)",""),"（유）",""),"유한회사","")))</f>
        <v/>
      </c>
    </row>
    <row r="69">
      <c r="A69" s="38">
        <f>IF($U69="","",62)</f>
        <v/>
      </c>
      <c r="B69" s="38">
        <f>IF($U69="","",IF(LEN(INDEX(매출원본!$AU$8:$AU$2007,$U69))=10,LEFT(INDEX(매출원본!$AU$8:$AU$2007,$U69),3)&amp;"-"&amp;MID(INDEX(매출원본!$AU$8:$AU$2007,$U69),4,2)&amp;"-"&amp;RIGHT(INDEX(매출원본!$AU$8:$AU$2007,$U69),5),IF(LEFT(INDEX(매출원본!$AU$8:$AU$2007,$U69),2)="N:","(번호 없음)",INDEX(매출원본!$AU$8:$AU$2007,$U69))))</f>
        <v/>
      </c>
      <c r="C69" s="38">
        <f>IF($U69="","",INDEX(매출원본!$AV$8:$AV$2007,$U69))</f>
        <v/>
      </c>
      <c r="D69" s="39">
        <f>IF($U69="","",IF($T69="",0,N(INDEX(거래처설정!$E$8:$E$407,$T69))))</f>
        <v/>
      </c>
      <c r="E69" s="39">
        <f>IF($U69="","",SUMIFS(매출원본!$AT$8:$AT$2007,매출원본!$AY$8:$AY$2007,$A69,매출원본!$AS$8:$AS$2007,"&lt;="&amp;설정!$B$5))</f>
        <v/>
      </c>
      <c r="F69" s="39">
        <f>IF($U69="","",SUMIFS(입금_은행1!$Z$8:$Z$2007,입금_은행1!$AC$8:$AC$2007,$A69,입금_은행1!$Y$8:$Y$2007,"&lt;="&amp;설정!$B$5)+SUMIFS(입금_은행2!$Z$8:$Z$2007,입금_은행2!$AC$8:$AC$2007,$A69,입금_은행2!$Y$8:$Y$2007,"&lt;="&amp;설정!$B$5))</f>
        <v/>
      </c>
      <c r="G69" s="39">
        <f>IF($U69="","",$D69+$E69-$F69)</f>
        <v/>
      </c>
      <c r="H69" s="39">
        <f>IF($U69="","",MIN(MAX($G69,0),$V69))</f>
        <v/>
      </c>
      <c r="I69" s="39">
        <f>IF($U69="","",MIN(MAX($G69,0),$W69)-MIN(MAX($G69,0),$V69))</f>
        <v/>
      </c>
      <c r="J69" s="39">
        <f>IF($U69="","",MIN(MAX($G69,0),$X69)-MIN(MAX($G69,0),$W69))</f>
        <v/>
      </c>
      <c r="K69" s="39">
        <f>IF($U69="","",MAX($G69,0)-MIN(MAX($G69,0),$X69))</f>
        <v/>
      </c>
      <c r="L69" s="40">
        <f>IF($U69="","",IF(MAX(SUMPRODUCT(MAX((입금_은행1!$AC$8:$AC$2007=$A69)*(입금_은행1!$AE$8:$AE$2007&lt;=설정!$B$5)*입금_은행1!$AE$8:$AE$2007)),SUMPRODUCT(MAX((입금_은행2!$AC$8:$AC$2007=$A69)*(입금_은행2!$AE$8:$AE$2007&lt;=설정!$B$5)*입금_은행2!$AE$8:$AE$2007)))=0,"",MAX(SUMPRODUCT(MAX((입금_은행1!$AC$8:$AC$2007=$A69)*(입금_은행1!$AE$8:$AE$2007&lt;=설정!$B$5)*입금_은행1!$AE$8:$AE$2007)),SUMPRODUCT(MAX((입금_은행2!$AC$8:$AC$2007=$A69)*(입금_은행2!$AE$8:$AE$2007&lt;=설정!$B$5)*입금_은행2!$AE$8:$AE$2007)))))</f>
        <v/>
      </c>
      <c r="M69" s="38">
        <f>IF($U69="","",IF($T69="","",IF(INDEX(거래처설정!$F$8:$F$407,$T69)="","",INDEX(거래처설정!$F$8:$F$407,$T69))))</f>
        <v/>
      </c>
      <c r="N69" s="38">
        <f>IF($U69="","",IF($T69="","",IF(INDEX(거래처설정!$G$8:$G$407,$T69)="","",INDEX(거래처설정!$G$8:$G$407,$T69))))</f>
        <v/>
      </c>
      <c r="O69" s="38">
        <f>IF($U69="","",IF($M69="제외",0,IF($K69&gt;=설정!$B$9,3,IF($J69+$K69&gt;=설정!$B$9,2,IF($I69+$J69+$K69&gt;=설정!$B$9,1,0)))))</f>
        <v/>
      </c>
      <c r="P69" s="38">
        <f>IF($U69="","",IF($M69="제외","제외(조치 상태)",IF($O69=3,"③ 강한 독촉 후보 ("&amp;설정!$B$8&amp;"일 초과)",IF($O69=2,"② 독촉 후보 ("&amp;설정!$B$7&amp;"일 초과)",IF($O69=1,"① 안내 후보 ("&amp;설정!$B$6&amp;"일 초과)",IF($G69&gt;0,IF($I69+$J69+$K69&gt;0,"오래된 잔액 있음 (최소 금액 미만)","정상 범위"),IF($G69&lt;0,"선수금·초과입금 — 확인","완납")))))))</f>
        <v/>
      </c>
      <c r="Q69" s="38">
        <f>IF($U69="","",IF($G69&lt;0,"입금이 매출보다 큼 — 선수금이거나 다른 거래처 입금이 섞였는지 확인",IF(AND($AE69&lt;&gt;"",COUNTIF($AE$8:$AE$307,"*"&amp;$AE69&amp;"*")&gt;1),"이름이 다른 거래처와 겹침 — 입금이 잘못 맞았을 수 있으니 별칭 확인",IF(AND($G69&gt;0,$F69=0),"입금 매칭 없음 — 입금자명이 다르면 [거래처설정]에 별칭 등록",""))))</f>
        <v/>
      </c>
      <c r="R69" s="31">
        <f>IF(OR($U69="",$G69&lt;=0),"",$G69-$A69/10000)</f>
        <v/>
      </c>
      <c r="S69" s="31">
        <f>IF(OR($U69="",$O69&lt;1),"",$O69*10^11+$I69+$J69+$K69-$A69/1000)</f>
        <v/>
      </c>
      <c r="T69" s="31">
        <f>IF($U69="","",IFERROR(MATCH(INDEX(매출원본!$AU$8:$AU$2007,$U69),거래처설정!$I$8:$I$407,0),""))</f>
        <v/>
      </c>
      <c r="U69" s="31">
        <f>IFERROR(MATCH(62,매출원본!$AW$8:$AW$2007,0),"")</f>
        <v/>
      </c>
      <c r="V69" s="31">
        <f>IF($U69="","",MAX(SUMIFS(매출원본!$AT$8:$AT$2007,매출원본!$AY$8:$AY$2007,$A69,매출원본!$AS$8:$AS$2007,"&gt;="&amp;(설정!$B$5-설정!$B$6),매출원본!$AS$8:$AS$2007,"&lt;="&amp;설정!$B$5),0))</f>
        <v/>
      </c>
      <c r="W69" s="31">
        <f>IF($U69="","",MAX($V69,SUMIFS(매출원본!$AT$8:$AT$2007,매출원본!$AY$8:$AY$2007,$A69,매출원본!$AS$8:$AS$2007,"&gt;="&amp;(설정!$B$5-설정!$B$7),매출원본!$AS$8:$AS$2007,"&lt;="&amp;설정!$B$5)))</f>
        <v/>
      </c>
      <c r="X69" s="31">
        <f>IF($U69="","",MAX($W69,SUMIFS(매출원본!$AT$8:$AT$2007,매출원본!$AY$8:$AY$2007,$A69,매출원본!$AS$8:$AS$2007,"&gt;="&amp;(설정!$B$5-설정!$B$8),매출원본!$AS$8:$AS$2007,"&lt;="&amp;설정!$B$5)))</f>
        <v/>
      </c>
      <c r="AC69" s="31">
        <f>IF(OR($U69="",$T69=""),"",INDEX(거래처설정!$J$8:$J$407,$T69))</f>
        <v/>
      </c>
      <c r="AD69" s="31">
        <f>IF(OR($U69="",$T69=""),"",INDEX(거래처설정!$K$8:$K$407,$T69))</f>
        <v/>
      </c>
      <c r="AE69" s="31">
        <f>IF($U69="","",IF(LEN(SUBSTITUTE(SUBSTITUTE(SUBSTITUTE(SUBSTITUTE(SUBSTITUTE(SUBSTITUTE(SUBSTITUTE(SUBSTITUTE(SUBSTITUTE($C69," ",""),"　",""),"(주)",""),"（주）",""),"㈜",""),"주식회사",""),"(유)",""),"（유）",""),"유한회사",""))&lt;2,"",SUBSTITUTE(SUBSTITUTE(SUBSTITUTE(SUBSTITUTE(SUBSTITUTE(SUBSTITUTE(SUBSTITUTE(SUBSTITUTE(SUBSTITUTE($C69," ",""),"　",""),"(주)",""),"（주）",""),"㈜",""),"주식회사",""),"(유)",""),"（유）",""),"유한회사","")))</f>
        <v/>
      </c>
    </row>
    <row r="70">
      <c r="A70" s="38">
        <f>IF($U70="","",63)</f>
        <v/>
      </c>
      <c r="B70" s="38">
        <f>IF($U70="","",IF(LEN(INDEX(매출원본!$AU$8:$AU$2007,$U70))=10,LEFT(INDEX(매출원본!$AU$8:$AU$2007,$U70),3)&amp;"-"&amp;MID(INDEX(매출원본!$AU$8:$AU$2007,$U70),4,2)&amp;"-"&amp;RIGHT(INDEX(매출원본!$AU$8:$AU$2007,$U70),5),IF(LEFT(INDEX(매출원본!$AU$8:$AU$2007,$U70),2)="N:","(번호 없음)",INDEX(매출원본!$AU$8:$AU$2007,$U70))))</f>
        <v/>
      </c>
      <c r="C70" s="38">
        <f>IF($U70="","",INDEX(매출원본!$AV$8:$AV$2007,$U70))</f>
        <v/>
      </c>
      <c r="D70" s="39">
        <f>IF($U70="","",IF($T70="",0,N(INDEX(거래처설정!$E$8:$E$407,$T70))))</f>
        <v/>
      </c>
      <c r="E70" s="39">
        <f>IF($U70="","",SUMIFS(매출원본!$AT$8:$AT$2007,매출원본!$AY$8:$AY$2007,$A70,매출원본!$AS$8:$AS$2007,"&lt;="&amp;설정!$B$5))</f>
        <v/>
      </c>
      <c r="F70" s="39">
        <f>IF($U70="","",SUMIFS(입금_은행1!$Z$8:$Z$2007,입금_은행1!$AC$8:$AC$2007,$A70,입금_은행1!$Y$8:$Y$2007,"&lt;="&amp;설정!$B$5)+SUMIFS(입금_은행2!$Z$8:$Z$2007,입금_은행2!$AC$8:$AC$2007,$A70,입금_은행2!$Y$8:$Y$2007,"&lt;="&amp;설정!$B$5))</f>
        <v/>
      </c>
      <c r="G70" s="39">
        <f>IF($U70="","",$D70+$E70-$F70)</f>
        <v/>
      </c>
      <c r="H70" s="39">
        <f>IF($U70="","",MIN(MAX($G70,0),$V70))</f>
        <v/>
      </c>
      <c r="I70" s="39">
        <f>IF($U70="","",MIN(MAX($G70,0),$W70)-MIN(MAX($G70,0),$V70))</f>
        <v/>
      </c>
      <c r="J70" s="39">
        <f>IF($U70="","",MIN(MAX($G70,0),$X70)-MIN(MAX($G70,0),$W70))</f>
        <v/>
      </c>
      <c r="K70" s="39">
        <f>IF($U70="","",MAX($G70,0)-MIN(MAX($G70,0),$X70))</f>
        <v/>
      </c>
      <c r="L70" s="40">
        <f>IF($U70="","",IF(MAX(SUMPRODUCT(MAX((입금_은행1!$AC$8:$AC$2007=$A70)*(입금_은행1!$AE$8:$AE$2007&lt;=설정!$B$5)*입금_은행1!$AE$8:$AE$2007)),SUMPRODUCT(MAX((입금_은행2!$AC$8:$AC$2007=$A70)*(입금_은행2!$AE$8:$AE$2007&lt;=설정!$B$5)*입금_은행2!$AE$8:$AE$2007)))=0,"",MAX(SUMPRODUCT(MAX((입금_은행1!$AC$8:$AC$2007=$A70)*(입금_은행1!$AE$8:$AE$2007&lt;=설정!$B$5)*입금_은행1!$AE$8:$AE$2007)),SUMPRODUCT(MAX((입금_은행2!$AC$8:$AC$2007=$A70)*(입금_은행2!$AE$8:$AE$2007&lt;=설정!$B$5)*입금_은행2!$AE$8:$AE$2007)))))</f>
        <v/>
      </c>
      <c r="M70" s="38">
        <f>IF($U70="","",IF($T70="","",IF(INDEX(거래처설정!$F$8:$F$407,$T70)="","",INDEX(거래처설정!$F$8:$F$407,$T70))))</f>
        <v/>
      </c>
      <c r="N70" s="38">
        <f>IF($U70="","",IF($T70="","",IF(INDEX(거래처설정!$G$8:$G$407,$T70)="","",INDEX(거래처설정!$G$8:$G$407,$T70))))</f>
        <v/>
      </c>
      <c r="O70" s="38">
        <f>IF($U70="","",IF($M70="제외",0,IF($K70&gt;=설정!$B$9,3,IF($J70+$K70&gt;=설정!$B$9,2,IF($I70+$J70+$K70&gt;=설정!$B$9,1,0)))))</f>
        <v/>
      </c>
      <c r="P70" s="38">
        <f>IF($U70="","",IF($M70="제외","제외(조치 상태)",IF($O70=3,"③ 강한 독촉 후보 ("&amp;설정!$B$8&amp;"일 초과)",IF($O70=2,"② 독촉 후보 ("&amp;설정!$B$7&amp;"일 초과)",IF($O70=1,"① 안내 후보 ("&amp;설정!$B$6&amp;"일 초과)",IF($G70&gt;0,IF($I70+$J70+$K70&gt;0,"오래된 잔액 있음 (최소 금액 미만)","정상 범위"),IF($G70&lt;0,"선수금·초과입금 — 확인","완납")))))))</f>
        <v/>
      </c>
      <c r="Q70" s="38">
        <f>IF($U70="","",IF($G70&lt;0,"입금이 매출보다 큼 — 선수금이거나 다른 거래처 입금이 섞였는지 확인",IF(AND($AE70&lt;&gt;"",COUNTIF($AE$8:$AE$307,"*"&amp;$AE70&amp;"*")&gt;1),"이름이 다른 거래처와 겹침 — 입금이 잘못 맞았을 수 있으니 별칭 확인",IF(AND($G70&gt;0,$F70=0),"입금 매칭 없음 — 입금자명이 다르면 [거래처설정]에 별칭 등록",""))))</f>
        <v/>
      </c>
      <c r="R70" s="31">
        <f>IF(OR($U70="",$G70&lt;=0),"",$G70-$A70/10000)</f>
        <v/>
      </c>
      <c r="S70" s="31">
        <f>IF(OR($U70="",$O70&lt;1),"",$O70*10^11+$I70+$J70+$K70-$A70/1000)</f>
        <v/>
      </c>
      <c r="T70" s="31">
        <f>IF($U70="","",IFERROR(MATCH(INDEX(매출원본!$AU$8:$AU$2007,$U70),거래처설정!$I$8:$I$407,0),""))</f>
        <v/>
      </c>
      <c r="U70" s="31">
        <f>IFERROR(MATCH(63,매출원본!$AW$8:$AW$2007,0),"")</f>
        <v/>
      </c>
      <c r="V70" s="31">
        <f>IF($U70="","",MAX(SUMIFS(매출원본!$AT$8:$AT$2007,매출원본!$AY$8:$AY$2007,$A70,매출원본!$AS$8:$AS$2007,"&gt;="&amp;(설정!$B$5-설정!$B$6),매출원본!$AS$8:$AS$2007,"&lt;="&amp;설정!$B$5),0))</f>
        <v/>
      </c>
      <c r="W70" s="31">
        <f>IF($U70="","",MAX($V70,SUMIFS(매출원본!$AT$8:$AT$2007,매출원본!$AY$8:$AY$2007,$A70,매출원본!$AS$8:$AS$2007,"&gt;="&amp;(설정!$B$5-설정!$B$7),매출원본!$AS$8:$AS$2007,"&lt;="&amp;설정!$B$5)))</f>
        <v/>
      </c>
      <c r="X70" s="31">
        <f>IF($U70="","",MAX($W70,SUMIFS(매출원본!$AT$8:$AT$2007,매출원본!$AY$8:$AY$2007,$A70,매출원본!$AS$8:$AS$2007,"&gt;="&amp;(설정!$B$5-설정!$B$8),매출원본!$AS$8:$AS$2007,"&lt;="&amp;설정!$B$5)))</f>
        <v/>
      </c>
      <c r="AC70" s="31">
        <f>IF(OR($U70="",$T70=""),"",INDEX(거래처설정!$J$8:$J$407,$T70))</f>
        <v/>
      </c>
      <c r="AD70" s="31">
        <f>IF(OR($U70="",$T70=""),"",INDEX(거래처설정!$K$8:$K$407,$T70))</f>
        <v/>
      </c>
      <c r="AE70" s="31">
        <f>IF($U70="","",IF(LEN(SUBSTITUTE(SUBSTITUTE(SUBSTITUTE(SUBSTITUTE(SUBSTITUTE(SUBSTITUTE(SUBSTITUTE(SUBSTITUTE(SUBSTITUTE($C70," ",""),"　",""),"(주)",""),"（주）",""),"㈜",""),"주식회사",""),"(유)",""),"（유）",""),"유한회사",""))&lt;2,"",SUBSTITUTE(SUBSTITUTE(SUBSTITUTE(SUBSTITUTE(SUBSTITUTE(SUBSTITUTE(SUBSTITUTE(SUBSTITUTE(SUBSTITUTE($C70," ",""),"　",""),"(주)",""),"（주）",""),"㈜",""),"주식회사",""),"(유)",""),"（유）",""),"유한회사","")))</f>
        <v/>
      </c>
    </row>
    <row r="71">
      <c r="A71" s="38">
        <f>IF($U71="","",64)</f>
        <v/>
      </c>
      <c r="B71" s="38">
        <f>IF($U71="","",IF(LEN(INDEX(매출원본!$AU$8:$AU$2007,$U71))=10,LEFT(INDEX(매출원본!$AU$8:$AU$2007,$U71),3)&amp;"-"&amp;MID(INDEX(매출원본!$AU$8:$AU$2007,$U71),4,2)&amp;"-"&amp;RIGHT(INDEX(매출원본!$AU$8:$AU$2007,$U71),5),IF(LEFT(INDEX(매출원본!$AU$8:$AU$2007,$U71),2)="N:","(번호 없음)",INDEX(매출원본!$AU$8:$AU$2007,$U71))))</f>
        <v/>
      </c>
      <c r="C71" s="38">
        <f>IF($U71="","",INDEX(매출원본!$AV$8:$AV$2007,$U71))</f>
        <v/>
      </c>
      <c r="D71" s="39">
        <f>IF($U71="","",IF($T71="",0,N(INDEX(거래처설정!$E$8:$E$407,$T71))))</f>
        <v/>
      </c>
      <c r="E71" s="39">
        <f>IF($U71="","",SUMIFS(매출원본!$AT$8:$AT$2007,매출원본!$AY$8:$AY$2007,$A71,매출원본!$AS$8:$AS$2007,"&lt;="&amp;설정!$B$5))</f>
        <v/>
      </c>
      <c r="F71" s="39">
        <f>IF($U71="","",SUMIFS(입금_은행1!$Z$8:$Z$2007,입금_은행1!$AC$8:$AC$2007,$A71,입금_은행1!$Y$8:$Y$2007,"&lt;="&amp;설정!$B$5)+SUMIFS(입금_은행2!$Z$8:$Z$2007,입금_은행2!$AC$8:$AC$2007,$A71,입금_은행2!$Y$8:$Y$2007,"&lt;="&amp;설정!$B$5))</f>
        <v/>
      </c>
      <c r="G71" s="39">
        <f>IF($U71="","",$D71+$E71-$F71)</f>
        <v/>
      </c>
      <c r="H71" s="39">
        <f>IF($U71="","",MIN(MAX($G71,0),$V71))</f>
        <v/>
      </c>
      <c r="I71" s="39">
        <f>IF($U71="","",MIN(MAX($G71,0),$W71)-MIN(MAX($G71,0),$V71))</f>
        <v/>
      </c>
      <c r="J71" s="39">
        <f>IF($U71="","",MIN(MAX($G71,0),$X71)-MIN(MAX($G71,0),$W71))</f>
        <v/>
      </c>
      <c r="K71" s="39">
        <f>IF($U71="","",MAX($G71,0)-MIN(MAX($G71,0),$X71))</f>
        <v/>
      </c>
      <c r="L71" s="40">
        <f>IF($U71="","",IF(MAX(SUMPRODUCT(MAX((입금_은행1!$AC$8:$AC$2007=$A71)*(입금_은행1!$AE$8:$AE$2007&lt;=설정!$B$5)*입금_은행1!$AE$8:$AE$2007)),SUMPRODUCT(MAX((입금_은행2!$AC$8:$AC$2007=$A71)*(입금_은행2!$AE$8:$AE$2007&lt;=설정!$B$5)*입금_은행2!$AE$8:$AE$2007)))=0,"",MAX(SUMPRODUCT(MAX((입금_은행1!$AC$8:$AC$2007=$A71)*(입금_은행1!$AE$8:$AE$2007&lt;=설정!$B$5)*입금_은행1!$AE$8:$AE$2007)),SUMPRODUCT(MAX((입금_은행2!$AC$8:$AC$2007=$A71)*(입금_은행2!$AE$8:$AE$2007&lt;=설정!$B$5)*입금_은행2!$AE$8:$AE$2007)))))</f>
        <v/>
      </c>
      <c r="M71" s="38">
        <f>IF($U71="","",IF($T71="","",IF(INDEX(거래처설정!$F$8:$F$407,$T71)="","",INDEX(거래처설정!$F$8:$F$407,$T71))))</f>
        <v/>
      </c>
      <c r="N71" s="38">
        <f>IF($U71="","",IF($T71="","",IF(INDEX(거래처설정!$G$8:$G$407,$T71)="","",INDEX(거래처설정!$G$8:$G$407,$T71))))</f>
        <v/>
      </c>
      <c r="O71" s="38">
        <f>IF($U71="","",IF($M71="제외",0,IF($K71&gt;=설정!$B$9,3,IF($J71+$K71&gt;=설정!$B$9,2,IF($I71+$J71+$K71&gt;=설정!$B$9,1,0)))))</f>
        <v/>
      </c>
      <c r="P71" s="38">
        <f>IF($U71="","",IF($M71="제외","제외(조치 상태)",IF($O71=3,"③ 강한 독촉 후보 ("&amp;설정!$B$8&amp;"일 초과)",IF($O71=2,"② 독촉 후보 ("&amp;설정!$B$7&amp;"일 초과)",IF($O71=1,"① 안내 후보 ("&amp;설정!$B$6&amp;"일 초과)",IF($G71&gt;0,IF($I71+$J71+$K71&gt;0,"오래된 잔액 있음 (최소 금액 미만)","정상 범위"),IF($G71&lt;0,"선수금·초과입금 — 확인","완납")))))))</f>
        <v/>
      </c>
      <c r="Q71" s="38">
        <f>IF($U71="","",IF($G71&lt;0,"입금이 매출보다 큼 — 선수금이거나 다른 거래처 입금이 섞였는지 확인",IF(AND($AE71&lt;&gt;"",COUNTIF($AE$8:$AE$307,"*"&amp;$AE71&amp;"*")&gt;1),"이름이 다른 거래처와 겹침 — 입금이 잘못 맞았을 수 있으니 별칭 확인",IF(AND($G71&gt;0,$F71=0),"입금 매칭 없음 — 입금자명이 다르면 [거래처설정]에 별칭 등록",""))))</f>
        <v/>
      </c>
      <c r="R71" s="31">
        <f>IF(OR($U71="",$G71&lt;=0),"",$G71-$A71/10000)</f>
        <v/>
      </c>
      <c r="S71" s="31">
        <f>IF(OR($U71="",$O71&lt;1),"",$O71*10^11+$I71+$J71+$K71-$A71/1000)</f>
        <v/>
      </c>
      <c r="T71" s="31">
        <f>IF($U71="","",IFERROR(MATCH(INDEX(매출원본!$AU$8:$AU$2007,$U71),거래처설정!$I$8:$I$407,0),""))</f>
        <v/>
      </c>
      <c r="U71" s="31">
        <f>IFERROR(MATCH(64,매출원본!$AW$8:$AW$2007,0),"")</f>
        <v/>
      </c>
      <c r="V71" s="31">
        <f>IF($U71="","",MAX(SUMIFS(매출원본!$AT$8:$AT$2007,매출원본!$AY$8:$AY$2007,$A71,매출원본!$AS$8:$AS$2007,"&gt;="&amp;(설정!$B$5-설정!$B$6),매출원본!$AS$8:$AS$2007,"&lt;="&amp;설정!$B$5),0))</f>
        <v/>
      </c>
      <c r="W71" s="31">
        <f>IF($U71="","",MAX($V71,SUMIFS(매출원본!$AT$8:$AT$2007,매출원본!$AY$8:$AY$2007,$A71,매출원본!$AS$8:$AS$2007,"&gt;="&amp;(설정!$B$5-설정!$B$7),매출원본!$AS$8:$AS$2007,"&lt;="&amp;설정!$B$5)))</f>
        <v/>
      </c>
      <c r="X71" s="31">
        <f>IF($U71="","",MAX($W71,SUMIFS(매출원본!$AT$8:$AT$2007,매출원본!$AY$8:$AY$2007,$A71,매출원본!$AS$8:$AS$2007,"&gt;="&amp;(설정!$B$5-설정!$B$8),매출원본!$AS$8:$AS$2007,"&lt;="&amp;설정!$B$5)))</f>
        <v/>
      </c>
      <c r="AC71" s="31">
        <f>IF(OR($U71="",$T71=""),"",INDEX(거래처설정!$J$8:$J$407,$T71))</f>
        <v/>
      </c>
      <c r="AD71" s="31">
        <f>IF(OR($U71="",$T71=""),"",INDEX(거래처설정!$K$8:$K$407,$T71))</f>
        <v/>
      </c>
      <c r="AE71" s="31">
        <f>IF($U71="","",IF(LEN(SUBSTITUTE(SUBSTITUTE(SUBSTITUTE(SUBSTITUTE(SUBSTITUTE(SUBSTITUTE(SUBSTITUTE(SUBSTITUTE(SUBSTITUTE($C71," ",""),"　",""),"(주)",""),"（주）",""),"㈜",""),"주식회사",""),"(유)",""),"（유）",""),"유한회사",""))&lt;2,"",SUBSTITUTE(SUBSTITUTE(SUBSTITUTE(SUBSTITUTE(SUBSTITUTE(SUBSTITUTE(SUBSTITUTE(SUBSTITUTE(SUBSTITUTE($C71," ",""),"　",""),"(주)",""),"（주）",""),"㈜",""),"주식회사",""),"(유)",""),"（유）",""),"유한회사","")))</f>
        <v/>
      </c>
    </row>
    <row r="72">
      <c r="A72" s="38">
        <f>IF($U72="","",65)</f>
        <v/>
      </c>
      <c r="B72" s="38">
        <f>IF($U72="","",IF(LEN(INDEX(매출원본!$AU$8:$AU$2007,$U72))=10,LEFT(INDEX(매출원본!$AU$8:$AU$2007,$U72),3)&amp;"-"&amp;MID(INDEX(매출원본!$AU$8:$AU$2007,$U72),4,2)&amp;"-"&amp;RIGHT(INDEX(매출원본!$AU$8:$AU$2007,$U72),5),IF(LEFT(INDEX(매출원본!$AU$8:$AU$2007,$U72),2)="N:","(번호 없음)",INDEX(매출원본!$AU$8:$AU$2007,$U72))))</f>
        <v/>
      </c>
      <c r="C72" s="38">
        <f>IF($U72="","",INDEX(매출원본!$AV$8:$AV$2007,$U72))</f>
        <v/>
      </c>
      <c r="D72" s="39">
        <f>IF($U72="","",IF($T72="",0,N(INDEX(거래처설정!$E$8:$E$407,$T72))))</f>
        <v/>
      </c>
      <c r="E72" s="39">
        <f>IF($U72="","",SUMIFS(매출원본!$AT$8:$AT$2007,매출원본!$AY$8:$AY$2007,$A72,매출원본!$AS$8:$AS$2007,"&lt;="&amp;설정!$B$5))</f>
        <v/>
      </c>
      <c r="F72" s="39">
        <f>IF($U72="","",SUMIFS(입금_은행1!$Z$8:$Z$2007,입금_은행1!$AC$8:$AC$2007,$A72,입금_은행1!$Y$8:$Y$2007,"&lt;="&amp;설정!$B$5)+SUMIFS(입금_은행2!$Z$8:$Z$2007,입금_은행2!$AC$8:$AC$2007,$A72,입금_은행2!$Y$8:$Y$2007,"&lt;="&amp;설정!$B$5))</f>
        <v/>
      </c>
      <c r="G72" s="39">
        <f>IF($U72="","",$D72+$E72-$F72)</f>
        <v/>
      </c>
      <c r="H72" s="39">
        <f>IF($U72="","",MIN(MAX($G72,0),$V72))</f>
        <v/>
      </c>
      <c r="I72" s="39">
        <f>IF($U72="","",MIN(MAX($G72,0),$W72)-MIN(MAX($G72,0),$V72))</f>
        <v/>
      </c>
      <c r="J72" s="39">
        <f>IF($U72="","",MIN(MAX($G72,0),$X72)-MIN(MAX($G72,0),$W72))</f>
        <v/>
      </c>
      <c r="K72" s="39">
        <f>IF($U72="","",MAX($G72,0)-MIN(MAX($G72,0),$X72))</f>
        <v/>
      </c>
      <c r="L72" s="40">
        <f>IF($U72="","",IF(MAX(SUMPRODUCT(MAX((입금_은행1!$AC$8:$AC$2007=$A72)*(입금_은행1!$AE$8:$AE$2007&lt;=설정!$B$5)*입금_은행1!$AE$8:$AE$2007)),SUMPRODUCT(MAX((입금_은행2!$AC$8:$AC$2007=$A72)*(입금_은행2!$AE$8:$AE$2007&lt;=설정!$B$5)*입금_은행2!$AE$8:$AE$2007)))=0,"",MAX(SUMPRODUCT(MAX((입금_은행1!$AC$8:$AC$2007=$A72)*(입금_은행1!$AE$8:$AE$2007&lt;=설정!$B$5)*입금_은행1!$AE$8:$AE$2007)),SUMPRODUCT(MAX((입금_은행2!$AC$8:$AC$2007=$A72)*(입금_은행2!$AE$8:$AE$2007&lt;=설정!$B$5)*입금_은행2!$AE$8:$AE$2007)))))</f>
        <v/>
      </c>
      <c r="M72" s="38">
        <f>IF($U72="","",IF($T72="","",IF(INDEX(거래처설정!$F$8:$F$407,$T72)="","",INDEX(거래처설정!$F$8:$F$407,$T72))))</f>
        <v/>
      </c>
      <c r="N72" s="38">
        <f>IF($U72="","",IF($T72="","",IF(INDEX(거래처설정!$G$8:$G$407,$T72)="","",INDEX(거래처설정!$G$8:$G$407,$T72))))</f>
        <v/>
      </c>
      <c r="O72" s="38">
        <f>IF($U72="","",IF($M72="제외",0,IF($K72&gt;=설정!$B$9,3,IF($J72+$K72&gt;=설정!$B$9,2,IF($I72+$J72+$K72&gt;=설정!$B$9,1,0)))))</f>
        <v/>
      </c>
      <c r="P72" s="38">
        <f>IF($U72="","",IF($M72="제외","제외(조치 상태)",IF($O72=3,"③ 강한 독촉 후보 ("&amp;설정!$B$8&amp;"일 초과)",IF($O72=2,"② 독촉 후보 ("&amp;설정!$B$7&amp;"일 초과)",IF($O72=1,"① 안내 후보 ("&amp;설정!$B$6&amp;"일 초과)",IF($G72&gt;0,IF($I72+$J72+$K72&gt;0,"오래된 잔액 있음 (최소 금액 미만)","정상 범위"),IF($G72&lt;0,"선수금·초과입금 — 확인","완납")))))))</f>
        <v/>
      </c>
      <c r="Q72" s="38">
        <f>IF($U72="","",IF($G72&lt;0,"입금이 매출보다 큼 — 선수금이거나 다른 거래처 입금이 섞였는지 확인",IF(AND($AE72&lt;&gt;"",COUNTIF($AE$8:$AE$307,"*"&amp;$AE72&amp;"*")&gt;1),"이름이 다른 거래처와 겹침 — 입금이 잘못 맞았을 수 있으니 별칭 확인",IF(AND($G72&gt;0,$F72=0),"입금 매칭 없음 — 입금자명이 다르면 [거래처설정]에 별칭 등록",""))))</f>
        <v/>
      </c>
      <c r="R72" s="31">
        <f>IF(OR($U72="",$G72&lt;=0),"",$G72-$A72/10000)</f>
        <v/>
      </c>
      <c r="S72" s="31">
        <f>IF(OR($U72="",$O72&lt;1),"",$O72*10^11+$I72+$J72+$K72-$A72/1000)</f>
        <v/>
      </c>
      <c r="T72" s="31">
        <f>IF($U72="","",IFERROR(MATCH(INDEX(매출원본!$AU$8:$AU$2007,$U72),거래처설정!$I$8:$I$407,0),""))</f>
        <v/>
      </c>
      <c r="U72" s="31">
        <f>IFERROR(MATCH(65,매출원본!$AW$8:$AW$2007,0),"")</f>
        <v/>
      </c>
      <c r="V72" s="31">
        <f>IF($U72="","",MAX(SUMIFS(매출원본!$AT$8:$AT$2007,매출원본!$AY$8:$AY$2007,$A72,매출원본!$AS$8:$AS$2007,"&gt;="&amp;(설정!$B$5-설정!$B$6),매출원본!$AS$8:$AS$2007,"&lt;="&amp;설정!$B$5),0))</f>
        <v/>
      </c>
      <c r="W72" s="31">
        <f>IF($U72="","",MAX($V72,SUMIFS(매출원본!$AT$8:$AT$2007,매출원본!$AY$8:$AY$2007,$A72,매출원본!$AS$8:$AS$2007,"&gt;="&amp;(설정!$B$5-설정!$B$7),매출원본!$AS$8:$AS$2007,"&lt;="&amp;설정!$B$5)))</f>
        <v/>
      </c>
      <c r="X72" s="31">
        <f>IF($U72="","",MAX($W72,SUMIFS(매출원본!$AT$8:$AT$2007,매출원본!$AY$8:$AY$2007,$A72,매출원본!$AS$8:$AS$2007,"&gt;="&amp;(설정!$B$5-설정!$B$8),매출원본!$AS$8:$AS$2007,"&lt;="&amp;설정!$B$5)))</f>
        <v/>
      </c>
      <c r="AC72" s="31">
        <f>IF(OR($U72="",$T72=""),"",INDEX(거래처설정!$J$8:$J$407,$T72))</f>
        <v/>
      </c>
      <c r="AD72" s="31">
        <f>IF(OR($U72="",$T72=""),"",INDEX(거래처설정!$K$8:$K$407,$T72))</f>
        <v/>
      </c>
      <c r="AE72" s="31">
        <f>IF($U72="","",IF(LEN(SUBSTITUTE(SUBSTITUTE(SUBSTITUTE(SUBSTITUTE(SUBSTITUTE(SUBSTITUTE(SUBSTITUTE(SUBSTITUTE(SUBSTITUTE($C72," ",""),"　",""),"(주)",""),"（주）",""),"㈜",""),"주식회사",""),"(유)",""),"（유）",""),"유한회사",""))&lt;2,"",SUBSTITUTE(SUBSTITUTE(SUBSTITUTE(SUBSTITUTE(SUBSTITUTE(SUBSTITUTE(SUBSTITUTE(SUBSTITUTE(SUBSTITUTE($C72," ",""),"　",""),"(주)",""),"（주）",""),"㈜",""),"주식회사",""),"(유)",""),"（유）",""),"유한회사","")))</f>
        <v/>
      </c>
    </row>
    <row r="73">
      <c r="A73" s="38">
        <f>IF($U73="","",66)</f>
        <v/>
      </c>
      <c r="B73" s="38">
        <f>IF($U73="","",IF(LEN(INDEX(매출원본!$AU$8:$AU$2007,$U73))=10,LEFT(INDEX(매출원본!$AU$8:$AU$2007,$U73),3)&amp;"-"&amp;MID(INDEX(매출원본!$AU$8:$AU$2007,$U73),4,2)&amp;"-"&amp;RIGHT(INDEX(매출원본!$AU$8:$AU$2007,$U73),5),IF(LEFT(INDEX(매출원본!$AU$8:$AU$2007,$U73),2)="N:","(번호 없음)",INDEX(매출원본!$AU$8:$AU$2007,$U73))))</f>
        <v/>
      </c>
      <c r="C73" s="38">
        <f>IF($U73="","",INDEX(매출원본!$AV$8:$AV$2007,$U73))</f>
        <v/>
      </c>
      <c r="D73" s="39">
        <f>IF($U73="","",IF($T73="",0,N(INDEX(거래처설정!$E$8:$E$407,$T73))))</f>
        <v/>
      </c>
      <c r="E73" s="39">
        <f>IF($U73="","",SUMIFS(매출원본!$AT$8:$AT$2007,매출원본!$AY$8:$AY$2007,$A73,매출원본!$AS$8:$AS$2007,"&lt;="&amp;설정!$B$5))</f>
        <v/>
      </c>
      <c r="F73" s="39">
        <f>IF($U73="","",SUMIFS(입금_은행1!$Z$8:$Z$2007,입금_은행1!$AC$8:$AC$2007,$A73,입금_은행1!$Y$8:$Y$2007,"&lt;="&amp;설정!$B$5)+SUMIFS(입금_은행2!$Z$8:$Z$2007,입금_은행2!$AC$8:$AC$2007,$A73,입금_은행2!$Y$8:$Y$2007,"&lt;="&amp;설정!$B$5))</f>
        <v/>
      </c>
      <c r="G73" s="39">
        <f>IF($U73="","",$D73+$E73-$F73)</f>
        <v/>
      </c>
      <c r="H73" s="39">
        <f>IF($U73="","",MIN(MAX($G73,0),$V73))</f>
        <v/>
      </c>
      <c r="I73" s="39">
        <f>IF($U73="","",MIN(MAX($G73,0),$W73)-MIN(MAX($G73,0),$V73))</f>
        <v/>
      </c>
      <c r="J73" s="39">
        <f>IF($U73="","",MIN(MAX($G73,0),$X73)-MIN(MAX($G73,0),$W73))</f>
        <v/>
      </c>
      <c r="K73" s="39">
        <f>IF($U73="","",MAX($G73,0)-MIN(MAX($G73,0),$X73))</f>
        <v/>
      </c>
      <c r="L73" s="40">
        <f>IF($U73="","",IF(MAX(SUMPRODUCT(MAX((입금_은행1!$AC$8:$AC$2007=$A73)*(입금_은행1!$AE$8:$AE$2007&lt;=설정!$B$5)*입금_은행1!$AE$8:$AE$2007)),SUMPRODUCT(MAX((입금_은행2!$AC$8:$AC$2007=$A73)*(입금_은행2!$AE$8:$AE$2007&lt;=설정!$B$5)*입금_은행2!$AE$8:$AE$2007)))=0,"",MAX(SUMPRODUCT(MAX((입금_은행1!$AC$8:$AC$2007=$A73)*(입금_은행1!$AE$8:$AE$2007&lt;=설정!$B$5)*입금_은행1!$AE$8:$AE$2007)),SUMPRODUCT(MAX((입금_은행2!$AC$8:$AC$2007=$A73)*(입금_은행2!$AE$8:$AE$2007&lt;=설정!$B$5)*입금_은행2!$AE$8:$AE$2007)))))</f>
        <v/>
      </c>
      <c r="M73" s="38">
        <f>IF($U73="","",IF($T73="","",IF(INDEX(거래처설정!$F$8:$F$407,$T73)="","",INDEX(거래처설정!$F$8:$F$407,$T73))))</f>
        <v/>
      </c>
      <c r="N73" s="38">
        <f>IF($U73="","",IF($T73="","",IF(INDEX(거래처설정!$G$8:$G$407,$T73)="","",INDEX(거래처설정!$G$8:$G$407,$T73))))</f>
        <v/>
      </c>
      <c r="O73" s="38">
        <f>IF($U73="","",IF($M73="제외",0,IF($K73&gt;=설정!$B$9,3,IF($J73+$K73&gt;=설정!$B$9,2,IF($I73+$J73+$K73&gt;=설정!$B$9,1,0)))))</f>
        <v/>
      </c>
      <c r="P73" s="38">
        <f>IF($U73="","",IF($M73="제외","제외(조치 상태)",IF($O73=3,"③ 강한 독촉 후보 ("&amp;설정!$B$8&amp;"일 초과)",IF($O73=2,"② 독촉 후보 ("&amp;설정!$B$7&amp;"일 초과)",IF($O73=1,"① 안내 후보 ("&amp;설정!$B$6&amp;"일 초과)",IF($G73&gt;0,IF($I73+$J73+$K73&gt;0,"오래된 잔액 있음 (최소 금액 미만)","정상 범위"),IF($G73&lt;0,"선수금·초과입금 — 확인","완납")))))))</f>
        <v/>
      </c>
      <c r="Q73" s="38">
        <f>IF($U73="","",IF($G73&lt;0,"입금이 매출보다 큼 — 선수금이거나 다른 거래처 입금이 섞였는지 확인",IF(AND($AE73&lt;&gt;"",COUNTIF($AE$8:$AE$307,"*"&amp;$AE73&amp;"*")&gt;1),"이름이 다른 거래처와 겹침 — 입금이 잘못 맞았을 수 있으니 별칭 확인",IF(AND($G73&gt;0,$F73=0),"입금 매칭 없음 — 입금자명이 다르면 [거래처설정]에 별칭 등록",""))))</f>
        <v/>
      </c>
      <c r="R73" s="31">
        <f>IF(OR($U73="",$G73&lt;=0),"",$G73-$A73/10000)</f>
        <v/>
      </c>
      <c r="S73" s="31">
        <f>IF(OR($U73="",$O73&lt;1),"",$O73*10^11+$I73+$J73+$K73-$A73/1000)</f>
        <v/>
      </c>
      <c r="T73" s="31">
        <f>IF($U73="","",IFERROR(MATCH(INDEX(매출원본!$AU$8:$AU$2007,$U73),거래처설정!$I$8:$I$407,0),""))</f>
        <v/>
      </c>
      <c r="U73" s="31">
        <f>IFERROR(MATCH(66,매출원본!$AW$8:$AW$2007,0),"")</f>
        <v/>
      </c>
      <c r="V73" s="31">
        <f>IF($U73="","",MAX(SUMIFS(매출원본!$AT$8:$AT$2007,매출원본!$AY$8:$AY$2007,$A73,매출원본!$AS$8:$AS$2007,"&gt;="&amp;(설정!$B$5-설정!$B$6),매출원본!$AS$8:$AS$2007,"&lt;="&amp;설정!$B$5),0))</f>
        <v/>
      </c>
      <c r="W73" s="31">
        <f>IF($U73="","",MAX($V73,SUMIFS(매출원본!$AT$8:$AT$2007,매출원본!$AY$8:$AY$2007,$A73,매출원본!$AS$8:$AS$2007,"&gt;="&amp;(설정!$B$5-설정!$B$7),매출원본!$AS$8:$AS$2007,"&lt;="&amp;설정!$B$5)))</f>
        <v/>
      </c>
      <c r="X73" s="31">
        <f>IF($U73="","",MAX($W73,SUMIFS(매출원본!$AT$8:$AT$2007,매출원본!$AY$8:$AY$2007,$A73,매출원본!$AS$8:$AS$2007,"&gt;="&amp;(설정!$B$5-설정!$B$8),매출원본!$AS$8:$AS$2007,"&lt;="&amp;설정!$B$5)))</f>
        <v/>
      </c>
      <c r="AC73" s="31">
        <f>IF(OR($U73="",$T73=""),"",INDEX(거래처설정!$J$8:$J$407,$T73))</f>
        <v/>
      </c>
      <c r="AD73" s="31">
        <f>IF(OR($U73="",$T73=""),"",INDEX(거래처설정!$K$8:$K$407,$T73))</f>
        <v/>
      </c>
      <c r="AE73" s="31">
        <f>IF($U73="","",IF(LEN(SUBSTITUTE(SUBSTITUTE(SUBSTITUTE(SUBSTITUTE(SUBSTITUTE(SUBSTITUTE(SUBSTITUTE(SUBSTITUTE(SUBSTITUTE($C73," ",""),"　",""),"(주)",""),"（주）",""),"㈜",""),"주식회사",""),"(유)",""),"（유）",""),"유한회사",""))&lt;2,"",SUBSTITUTE(SUBSTITUTE(SUBSTITUTE(SUBSTITUTE(SUBSTITUTE(SUBSTITUTE(SUBSTITUTE(SUBSTITUTE(SUBSTITUTE($C73," ",""),"　",""),"(주)",""),"（주）",""),"㈜",""),"주식회사",""),"(유)",""),"（유）",""),"유한회사","")))</f>
        <v/>
      </c>
    </row>
    <row r="74">
      <c r="A74" s="38">
        <f>IF($U74="","",67)</f>
        <v/>
      </c>
      <c r="B74" s="38">
        <f>IF($U74="","",IF(LEN(INDEX(매출원본!$AU$8:$AU$2007,$U74))=10,LEFT(INDEX(매출원본!$AU$8:$AU$2007,$U74),3)&amp;"-"&amp;MID(INDEX(매출원본!$AU$8:$AU$2007,$U74),4,2)&amp;"-"&amp;RIGHT(INDEX(매출원본!$AU$8:$AU$2007,$U74),5),IF(LEFT(INDEX(매출원본!$AU$8:$AU$2007,$U74),2)="N:","(번호 없음)",INDEX(매출원본!$AU$8:$AU$2007,$U74))))</f>
        <v/>
      </c>
      <c r="C74" s="38">
        <f>IF($U74="","",INDEX(매출원본!$AV$8:$AV$2007,$U74))</f>
        <v/>
      </c>
      <c r="D74" s="39">
        <f>IF($U74="","",IF($T74="",0,N(INDEX(거래처설정!$E$8:$E$407,$T74))))</f>
        <v/>
      </c>
      <c r="E74" s="39">
        <f>IF($U74="","",SUMIFS(매출원본!$AT$8:$AT$2007,매출원본!$AY$8:$AY$2007,$A74,매출원본!$AS$8:$AS$2007,"&lt;="&amp;설정!$B$5))</f>
        <v/>
      </c>
      <c r="F74" s="39">
        <f>IF($U74="","",SUMIFS(입금_은행1!$Z$8:$Z$2007,입금_은행1!$AC$8:$AC$2007,$A74,입금_은행1!$Y$8:$Y$2007,"&lt;="&amp;설정!$B$5)+SUMIFS(입금_은행2!$Z$8:$Z$2007,입금_은행2!$AC$8:$AC$2007,$A74,입금_은행2!$Y$8:$Y$2007,"&lt;="&amp;설정!$B$5))</f>
        <v/>
      </c>
      <c r="G74" s="39">
        <f>IF($U74="","",$D74+$E74-$F74)</f>
        <v/>
      </c>
      <c r="H74" s="39">
        <f>IF($U74="","",MIN(MAX($G74,0),$V74))</f>
        <v/>
      </c>
      <c r="I74" s="39">
        <f>IF($U74="","",MIN(MAX($G74,0),$W74)-MIN(MAX($G74,0),$V74))</f>
        <v/>
      </c>
      <c r="J74" s="39">
        <f>IF($U74="","",MIN(MAX($G74,0),$X74)-MIN(MAX($G74,0),$W74))</f>
        <v/>
      </c>
      <c r="K74" s="39">
        <f>IF($U74="","",MAX($G74,0)-MIN(MAX($G74,0),$X74))</f>
        <v/>
      </c>
      <c r="L74" s="40">
        <f>IF($U74="","",IF(MAX(SUMPRODUCT(MAX((입금_은행1!$AC$8:$AC$2007=$A74)*(입금_은행1!$AE$8:$AE$2007&lt;=설정!$B$5)*입금_은행1!$AE$8:$AE$2007)),SUMPRODUCT(MAX((입금_은행2!$AC$8:$AC$2007=$A74)*(입금_은행2!$AE$8:$AE$2007&lt;=설정!$B$5)*입금_은행2!$AE$8:$AE$2007)))=0,"",MAX(SUMPRODUCT(MAX((입금_은행1!$AC$8:$AC$2007=$A74)*(입금_은행1!$AE$8:$AE$2007&lt;=설정!$B$5)*입금_은행1!$AE$8:$AE$2007)),SUMPRODUCT(MAX((입금_은행2!$AC$8:$AC$2007=$A74)*(입금_은행2!$AE$8:$AE$2007&lt;=설정!$B$5)*입금_은행2!$AE$8:$AE$2007)))))</f>
        <v/>
      </c>
      <c r="M74" s="38">
        <f>IF($U74="","",IF($T74="","",IF(INDEX(거래처설정!$F$8:$F$407,$T74)="","",INDEX(거래처설정!$F$8:$F$407,$T74))))</f>
        <v/>
      </c>
      <c r="N74" s="38">
        <f>IF($U74="","",IF($T74="","",IF(INDEX(거래처설정!$G$8:$G$407,$T74)="","",INDEX(거래처설정!$G$8:$G$407,$T74))))</f>
        <v/>
      </c>
      <c r="O74" s="38">
        <f>IF($U74="","",IF($M74="제외",0,IF($K74&gt;=설정!$B$9,3,IF($J74+$K74&gt;=설정!$B$9,2,IF($I74+$J74+$K74&gt;=설정!$B$9,1,0)))))</f>
        <v/>
      </c>
      <c r="P74" s="38">
        <f>IF($U74="","",IF($M74="제외","제외(조치 상태)",IF($O74=3,"③ 강한 독촉 후보 ("&amp;설정!$B$8&amp;"일 초과)",IF($O74=2,"② 독촉 후보 ("&amp;설정!$B$7&amp;"일 초과)",IF($O74=1,"① 안내 후보 ("&amp;설정!$B$6&amp;"일 초과)",IF($G74&gt;0,IF($I74+$J74+$K74&gt;0,"오래된 잔액 있음 (최소 금액 미만)","정상 범위"),IF($G74&lt;0,"선수금·초과입금 — 확인","완납")))))))</f>
        <v/>
      </c>
      <c r="Q74" s="38">
        <f>IF($U74="","",IF($G74&lt;0,"입금이 매출보다 큼 — 선수금이거나 다른 거래처 입금이 섞였는지 확인",IF(AND($AE74&lt;&gt;"",COUNTIF($AE$8:$AE$307,"*"&amp;$AE74&amp;"*")&gt;1),"이름이 다른 거래처와 겹침 — 입금이 잘못 맞았을 수 있으니 별칭 확인",IF(AND($G74&gt;0,$F74=0),"입금 매칭 없음 — 입금자명이 다르면 [거래처설정]에 별칭 등록",""))))</f>
        <v/>
      </c>
      <c r="R74" s="31">
        <f>IF(OR($U74="",$G74&lt;=0),"",$G74-$A74/10000)</f>
        <v/>
      </c>
      <c r="S74" s="31">
        <f>IF(OR($U74="",$O74&lt;1),"",$O74*10^11+$I74+$J74+$K74-$A74/1000)</f>
        <v/>
      </c>
      <c r="T74" s="31">
        <f>IF($U74="","",IFERROR(MATCH(INDEX(매출원본!$AU$8:$AU$2007,$U74),거래처설정!$I$8:$I$407,0),""))</f>
        <v/>
      </c>
      <c r="U74" s="31">
        <f>IFERROR(MATCH(67,매출원본!$AW$8:$AW$2007,0),"")</f>
        <v/>
      </c>
      <c r="V74" s="31">
        <f>IF($U74="","",MAX(SUMIFS(매출원본!$AT$8:$AT$2007,매출원본!$AY$8:$AY$2007,$A74,매출원본!$AS$8:$AS$2007,"&gt;="&amp;(설정!$B$5-설정!$B$6),매출원본!$AS$8:$AS$2007,"&lt;="&amp;설정!$B$5),0))</f>
        <v/>
      </c>
      <c r="W74" s="31">
        <f>IF($U74="","",MAX($V74,SUMIFS(매출원본!$AT$8:$AT$2007,매출원본!$AY$8:$AY$2007,$A74,매출원본!$AS$8:$AS$2007,"&gt;="&amp;(설정!$B$5-설정!$B$7),매출원본!$AS$8:$AS$2007,"&lt;="&amp;설정!$B$5)))</f>
        <v/>
      </c>
      <c r="X74" s="31">
        <f>IF($U74="","",MAX($W74,SUMIFS(매출원본!$AT$8:$AT$2007,매출원본!$AY$8:$AY$2007,$A74,매출원본!$AS$8:$AS$2007,"&gt;="&amp;(설정!$B$5-설정!$B$8),매출원본!$AS$8:$AS$2007,"&lt;="&amp;설정!$B$5)))</f>
        <v/>
      </c>
      <c r="AC74" s="31">
        <f>IF(OR($U74="",$T74=""),"",INDEX(거래처설정!$J$8:$J$407,$T74))</f>
        <v/>
      </c>
      <c r="AD74" s="31">
        <f>IF(OR($U74="",$T74=""),"",INDEX(거래처설정!$K$8:$K$407,$T74))</f>
        <v/>
      </c>
      <c r="AE74" s="31">
        <f>IF($U74="","",IF(LEN(SUBSTITUTE(SUBSTITUTE(SUBSTITUTE(SUBSTITUTE(SUBSTITUTE(SUBSTITUTE(SUBSTITUTE(SUBSTITUTE(SUBSTITUTE($C74," ",""),"　",""),"(주)",""),"（주）",""),"㈜",""),"주식회사",""),"(유)",""),"（유）",""),"유한회사",""))&lt;2,"",SUBSTITUTE(SUBSTITUTE(SUBSTITUTE(SUBSTITUTE(SUBSTITUTE(SUBSTITUTE(SUBSTITUTE(SUBSTITUTE(SUBSTITUTE($C74," ",""),"　",""),"(주)",""),"（주）",""),"㈜",""),"주식회사",""),"(유)",""),"（유）",""),"유한회사","")))</f>
        <v/>
      </c>
    </row>
    <row r="75">
      <c r="A75" s="38">
        <f>IF($U75="","",68)</f>
        <v/>
      </c>
      <c r="B75" s="38">
        <f>IF($U75="","",IF(LEN(INDEX(매출원본!$AU$8:$AU$2007,$U75))=10,LEFT(INDEX(매출원본!$AU$8:$AU$2007,$U75),3)&amp;"-"&amp;MID(INDEX(매출원본!$AU$8:$AU$2007,$U75),4,2)&amp;"-"&amp;RIGHT(INDEX(매출원본!$AU$8:$AU$2007,$U75),5),IF(LEFT(INDEX(매출원본!$AU$8:$AU$2007,$U75),2)="N:","(번호 없음)",INDEX(매출원본!$AU$8:$AU$2007,$U75))))</f>
        <v/>
      </c>
      <c r="C75" s="38">
        <f>IF($U75="","",INDEX(매출원본!$AV$8:$AV$2007,$U75))</f>
        <v/>
      </c>
      <c r="D75" s="39">
        <f>IF($U75="","",IF($T75="",0,N(INDEX(거래처설정!$E$8:$E$407,$T75))))</f>
        <v/>
      </c>
      <c r="E75" s="39">
        <f>IF($U75="","",SUMIFS(매출원본!$AT$8:$AT$2007,매출원본!$AY$8:$AY$2007,$A75,매출원본!$AS$8:$AS$2007,"&lt;="&amp;설정!$B$5))</f>
        <v/>
      </c>
      <c r="F75" s="39">
        <f>IF($U75="","",SUMIFS(입금_은행1!$Z$8:$Z$2007,입금_은행1!$AC$8:$AC$2007,$A75,입금_은행1!$Y$8:$Y$2007,"&lt;="&amp;설정!$B$5)+SUMIFS(입금_은행2!$Z$8:$Z$2007,입금_은행2!$AC$8:$AC$2007,$A75,입금_은행2!$Y$8:$Y$2007,"&lt;="&amp;설정!$B$5))</f>
        <v/>
      </c>
      <c r="G75" s="39">
        <f>IF($U75="","",$D75+$E75-$F75)</f>
        <v/>
      </c>
      <c r="H75" s="39">
        <f>IF($U75="","",MIN(MAX($G75,0),$V75))</f>
        <v/>
      </c>
      <c r="I75" s="39">
        <f>IF($U75="","",MIN(MAX($G75,0),$W75)-MIN(MAX($G75,0),$V75))</f>
        <v/>
      </c>
      <c r="J75" s="39">
        <f>IF($U75="","",MIN(MAX($G75,0),$X75)-MIN(MAX($G75,0),$W75))</f>
        <v/>
      </c>
      <c r="K75" s="39">
        <f>IF($U75="","",MAX($G75,0)-MIN(MAX($G75,0),$X75))</f>
        <v/>
      </c>
      <c r="L75" s="40">
        <f>IF($U75="","",IF(MAX(SUMPRODUCT(MAX((입금_은행1!$AC$8:$AC$2007=$A75)*(입금_은행1!$AE$8:$AE$2007&lt;=설정!$B$5)*입금_은행1!$AE$8:$AE$2007)),SUMPRODUCT(MAX((입금_은행2!$AC$8:$AC$2007=$A75)*(입금_은행2!$AE$8:$AE$2007&lt;=설정!$B$5)*입금_은행2!$AE$8:$AE$2007)))=0,"",MAX(SUMPRODUCT(MAX((입금_은행1!$AC$8:$AC$2007=$A75)*(입금_은행1!$AE$8:$AE$2007&lt;=설정!$B$5)*입금_은행1!$AE$8:$AE$2007)),SUMPRODUCT(MAX((입금_은행2!$AC$8:$AC$2007=$A75)*(입금_은행2!$AE$8:$AE$2007&lt;=설정!$B$5)*입금_은행2!$AE$8:$AE$2007)))))</f>
        <v/>
      </c>
      <c r="M75" s="38">
        <f>IF($U75="","",IF($T75="","",IF(INDEX(거래처설정!$F$8:$F$407,$T75)="","",INDEX(거래처설정!$F$8:$F$407,$T75))))</f>
        <v/>
      </c>
      <c r="N75" s="38">
        <f>IF($U75="","",IF($T75="","",IF(INDEX(거래처설정!$G$8:$G$407,$T75)="","",INDEX(거래처설정!$G$8:$G$407,$T75))))</f>
        <v/>
      </c>
      <c r="O75" s="38">
        <f>IF($U75="","",IF($M75="제외",0,IF($K75&gt;=설정!$B$9,3,IF($J75+$K75&gt;=설정!$B$9,2,IF($I75+$J75+$K75&gt;=설정!$B$9,1,0)))))</f>
        <v/>
      </c>
      <c r="P75" s="38">
        <f>IF($U75="","",IF($M75="제외","제외(조치 상태)",IF($O75=3,"③ 강한 독촉 후보 ("&amp;설정!$B$8&amp;"일 초과)",IF($O75=2,"② 독촉 후보 ("&amp;설정!$B$7&amp;"일 초과)",IF($O75=1,"① 안내 후보 ("&amp;설정!$B$6&amp;"일 초과)",IF($G75&gt;0,IF($I75+$J75+$K75&gt;0,"오래된 잔액 있음 (최소 금액 미만)","정상 범위"),IF($G75&lt;0,"선수금·초과입금 — 확인","완납")))))))</f>
        <v/>
      </c>
      <c r="Q75" s="38">
        <f>IF($U75="","",IF($G75&lt;0,"입금이 매출보다 큼 — 선수금이거나 다른 거래처 입금이 섞였는지 확인",IF(AND($AE75&lt;&gt;"",COUNTIF($AE$8:$AE$307,"*"&amp;$AE75&amp;"*")&gt;1),"이름이 다른 거래처와 겹침 — 입금이 잘못 맞았을 수 있으니 별칭 확인",IF(AND($G75&gt;0,$F75=0),"입금 매칭 없음 — 입금자명이 다르면 [거래처설정]에 별칭 등록",""))))</f>
        <v/>
      </c>
      <c r="R75" s="31">
        <f>IF(OR($U75="",$G75&lt;=0),"",$G75-$A75/10000)</f>
        <v/>
      </c>
      <c r="S75" s="31">
        <f>IF(OR($U75="",$O75&lt;1),"",$O75*10^11+$I75+$J75+$K75-$A75/1000)</f>
        <v/>
      </c>
      <c r="T75" s="31">
        <f>IF($U75="","",IFERROR(MATCH(INDEX(매출원본!$AU$8:$AU$2007,$U75),거래처설정!$I$8:$I$407,0),""))</f>
        <v/>
      </c>
      <c r="U75" s="31">
        <f>IFERROR(MATCH(68,매출원본!$AW$8:$AW$2007,0),"")</f>
        <v/>
      </c>
      <c r="V75" s="31">
        <f>IF($U75="","",MAX(SUMIFS(매출원본!$AT$8:$AT$2007,매출원본!$AY$8:$AY$2007,$A75,매출원본!$AS$8:$AS$2007,"&gt;="&amp;(설정!$B$5-설정!$B$6),매출원본!$AS$8:$AS$2007,"&lt;="&amp;설정!$B$5),0))</f>
        <v/>
      </c>
      <c r="W75" s="31">
        <f>IF($U75="","",MAX($V75,SUMIFS(매출원본!$AT$8:$AT$2007,매출원본!$AY$8:$AY$2007,$A75,매출원본!$AS$8:$AS$2007,"&gt;="&amp;(설정!$B$5-설정!$B$7),매출원본!$AS$8:$AS$2007,"&lt;="&amp;설정!$B$5)))</f>
        <v/>
      </c>
      <c r="X75" s="31">
        <f>IF($U75="","",MAX($W75,SUMIFS(매출원본!$AT$8:$AT$2007,매출원본!$AY$8:$AY$2007,$A75,매출원본!$AS$8:$AS$2007,"&gt;="&amp;(설정!$B$5-설정!$B$8),매출원본!$AS$8:$AS$2007,"&lt;="&amp;설정!$B$5)))</f>
        <v/>
      </c>
      <c r="AC75" s="31">
        <f>IF(OR($U75="",$T75=""),"",INDEX(거래처설정!$J$8:$J$407,$T75))</f>
        <v/>
      </c>
      <c r="AD75" s="31">
        <f>IF(OR($U75="",$T75=""),"",INDEX(거래처설정!$K$8:$K$407,$T75))</f>
        <v/>
      </c>
      <c r="AE75" s="31">
        <f>IF($U75="","",IF(LEN(SUBSTITUTE(SUBSTITUTE(SUBSTITUTE(SUBSTITUTE(SUBSTITUTE(SUBSTITUTE(SUBSTITUTE(SUBSTITUTE(SUBSTITUTE($C75," ",""),"　",""),"(주)",""),"（주）",""),"㈜",""),"주식회사",""),"(유)",""),"（유）",""),"유한회사",""))&lt;2,"",SUBSTITUTE(SUBSTITUTE(SUBSTITUTE(SUBSTITUTE(SUBSTITUTE(SUBSTITUTE(SUBSTITUTE(SUBSTITUTE(SUBSTITUTE($C75," ",""),"　",""),"(주)",""),"（주）",""),"㈜",""),"주식회사",""),"(유)",""),"（유）",""),"유한회사","")))</f>
        <v/>
      </c>
    </row>
    <row r="76">
      <c r="A76" s="38">
        <f>IF($U76="","",69)</f>
        <v/>
      </c>
      <c r="B76" s="38">
        <f>IF($U76="","",IF(LEN(INDEX(매출원본!$AU$8:$AU$2007,$U76))=10,LEFT(INDEX(매출원본!$AU$8:$AU$2007,$U76),3)&amp;"-"&amp;MID(INDEX(매출원본!$AU$8:$AU$2007,$U76),4,2)&amp;"-"&amp;RIGHT(INDEX(매출원본!$AU$8:$AU$2007,$U76),5),IF(LEFT(INDEX(매출원본!$AU$8:$AU$2007,$U76),2)="N:","(번호 없음)",INDEX(매출원본!$AU$8:$AU$2007,$U76))))</f>
        <v/>
      </c>
      <c r="C76" s="38">
        <f>IF($U76="","",INDEX(매출원본!$AV$8:$AV$2007,$U76))</f>
        <v/>
      </c>
      <c r="D76" s="39">
        <f>IF($U76="","",IF($T76="",0,N(INDEX(거래처설정!$E$8:$E$407,$T76))))</f>
        <v/>
      </c>
      <c r="E76" s="39">
        <f>IF($U76="","",SUMIFS(매출원본!$AT$8:$AT$2007,매출원본!$AY$8:$AY$2007,$A76,매출원본!$AS$8:$AS$2007,"&lt;="&amp;설정!$B$5))</f>
        <v/>
      </c>
      <c r="F76" s="39">
        <f>IF($U76="","",SUMIFS(입금_은행1!$Z$8:$Z$2007,입금_은행1!$AC$8:$AC$2007,$A76,입금_은행1!$Y$8:$Y$2007,"&lt;="&amp;설정!$B$5)+SUMIFS(입금_은행2!$Z$8:$Z$2007,입금_은행2!$AC$8:$AC$2007,$A76,입금_은행2!$Y$8:$Y$2007,"&lt;="&amp;설정!$B$5))</f>
        <v/>
      </c>
      <c r="G76" s="39">
        <f>IF($U76="","",$D76+$E76-$F76)</f>
        <v/>
      </c>
      <c r="H76" s="39">
        <f>IF($U76="","",MIN(MAX($G76,0),$V76))</f>
        <v/>
      </c>
      <c r="I76" s="39">
        <f>IF($U76="","",MIN(MAX($G76,0),$W76)-MIN(MAX($G76,0),$V76))</f>
        <v/>
      </c>
      <c r="J76" s="39">
        <f>IF($U76="","",MIN(MAX($G76,0),$X76)-MIN(MAX($G76,0),$W76))</f>
        <v/>
      </c>
      <c r="K76" s="39">
        <f>IF($U76="","",MAX($G76,0)-MIN(MAX($G76,0),$X76))</f>
        <v/>
      </c>
      <c r="L76" s="40">
        <f>IF($U76="","",IF(MAX(SUMPRODUCT(MAX((입금_은행1!$AC$8:$AC$2007=$A76)*(입금_은행1!$AE$8:$AE$2007&lt;=설정!$B$5)*입금_은행1!$AE$8:$AE$2007)),SUMPRODUCT(MAX((입금_은행2!$AC$8:$AC$2007=$A76)*(입금_은행2!$AE$8:$AE$2007&lt;=설정!$B$5)*입금_은행2!$AE$8:$AE$2007)))=0,"",MAX(SUMPRODUCT(MAX((입금_은행1!$AC$8:$AC$2007=$A76)*(입금_은행1!$AE$8:$AE$2007&lt;=설정!$B$5)*입금_은행1!$AE$8:$AE$2007)),SUMPRODUCT(MAX((입금_은행2!$AC$8:$AC$2007=$A76)*(입금_은행2!$AE$8:$AE$2007&lt;=설정!$B$5)*입금_은행2!$AE$8:$AE$2007)))))</f>
        <v/>
      </c>
      <c r="M76" s="38">
        <f>IF($U76="","",IF($T76="","",IF(INDEX(거래처설정!$F$8:$F$407,$T76)="","",INDEX(거래처설정!$F$8:$F$407,$T76))))</f>
        <v/>
      </c>
      <c r="N76" s="38">
        <f>IF($U76="","",IF($T76="","",IF(INDEX(거래처설정!$G$8:$G$407,$T76)="","",INDEX(거래처설정!$G$8:$G$407,$T76))))</f>
        <v/>
      </c>
      <c r="O76" s="38">
        <f>IF($U76="","",IF($M76="제외",0,IF($K76&gt;=설정!$B$9,3,IF($J76+$K76&gt;=설정!$B$9,2,IF($I76+$J76+$K76&gt;=설정!$B$9,1,0)))))</f>
        <v/>
      </c>
      <c r="P76" s="38">
        <f>IF($U76="","",IF($M76="제외","제외(조치 상태)",IF($O76=3,"③ 강한 독촉 후보 ("&amp;설정!$B$8&amp;"일 초과)",IF($O76=2,"② 독촉 후보 ("&amp;설정!$B$7&amp;"일 초과)",IF($O76=1,"① 안내 후보 ("&amp;설정!$B$6&amp;"일 초과)",IF($G76&gt;0,IF($I76+$J76+$K76&gt;0,"오래된 잔액 있음 (최소 금액 미만)","정상 범위"),IF($G76&lt;0,"선수금·초과입금 — 확인","완납")))))))</f>
        <v/>
      </c>
      <c r="Q76" s="38">
        <f>IF($U76="","",IF($G76&lt;0,"입금이 매출보다 큼 — 선수금이거나 다른 거래처 입금이 섞였는지 확인",IF(AND($AE76&lt;&gt;"",COUNTIF($AE$8:$AE$307,"*"&amp;$AE76&amp;"*")&gt;1),"이름이 다른 거래처와 겹침 — 입금이 잘못 맞았을 수 있으니 별칭 확인",IF(AND($G76&gt;0,$F76=0),"입금 매칭 없음 — 입금자명이 다르면 [거래처설정]에 별칭 등록",""))))</f>
        <v/>
      </c>
      <c r="R76" s="31">
        <f>IF(OR($U76="",$G76&lt;=0),"",$G76-$A76/10000)</f>
        <v/>
      </c>
      <c r="S76" s="31">
        <f>IF(OR($U76="",$O76&lt;1),"",$O76*10^11+$I76+$J76+$K76-$A76/1000)</f>
        <v/>
      </c>
      <c r="T76" s="31">
        <f>IF($U76="","",IFERROR(MATCH(INDEX(매출원본!$AU$8:$AU$2007,$U76),거래처설정!$I$8:$I$407,0),""))</f>
        <v/>
      </c>
      <c r="U76" s="31">
        <f>IFERROR(MATCH(69,매출원본!$AW$8:$AW$2007,0),"")</f>
        <v/>
      </c>
      <c r="V76" s="31">
        <f>IF($U76="","",MAX(SUMIFS(매출원본!$AT$8:$AT$2007,매출원본!$AY$8:$AY$2007,$A76,매출원본!$AS$8:$AS$2007,"&gt;="&amp;(설정!$B$5-설정!$B$6),매출원본!$AS$8:$AS$2007,"&lt;="&amp;설정!$B$5),0))</f>
        <v/>
      </c>
      <c r="W76" s="31">
        <f>IF($U76="","",MAX($V76,SUMIFS(매출원본!$AT$8:$AT$2007,매출원본!$AY$8:$AY$2007,$A76,매출원본!$AS$8:$AS$2007,"&gt;="&amp;(설정!$B$5-설정!$B$7),매출원본!$AS$8:$AS$2007,"&lt;="&amp;설정!$B$5)))</f>
        <v/>
      </c>
      <c r="X76" s="31">
        <f>IF($U76="","",MAX($W76,SUMIFS(매출원본!$AT$8:$AT$2007,매출원본!$AY$8:$AY$2007,$A76,매출원본!$AS$8:$AS$2007,"&gt;="&amp;(설정!$B$5-설정!$B$8),매출원본!$AS$8:$AS$2007,"&lt;="&amp;설정!$B$5)))</f>
        <v/>
      </c>
      <c r="AC76" s="31">
        <f>IF(OR($U76="",$T76=""),"",INDEX(거래처설정!$J$8:$J$407,$T76))</f>
        <v/>
      </c>
      <c r="AD76" s="31">
        <f>IF(OR($U76="",$T76=""),"",INDEX(거래처설정!$K$8:$K$407,$T76))</f>
        <v/>
      </c>
      <c r="AE76" s="31">
        <f>IF($U76="","",IF(LEN(SUBSTITUTE(SUBSTITUTE(SUBSTITUTE(SUBSTITUTE(SUBSTITUTE(SUBSTITUTE(SUBSTITUTE(SUBSTITUTE(SUBSTITUTE($C76," ",""),"　",""),"(주)",""),"（주）",""),"㈜",""),"주식회사",""),"(유)",""),"（유）",""),"유한회사",""))&lt;2,"",SUBSTITUTE(SUBSTITUTE(SUBSTITUTE(SUBSTITUTE(SUBSTITUTE(SUBSTITUTE(SUBSTITUTE(SUBSTITUTE(SUBSTITUTE($C76," ",""),"　",""),"(주)",""),"（주）",""),"㈜",""),"주식회사",""),"(유)",""),"（유）",""),"유한회사","")))</f>
        <v/>
      </c>
    </row>
    <row r="77">
      <c r="A77" s="38">
        <f>IF($U77="","",70)</f>
        <v/>
      </c>
      <c r="B77" s="38">
        <f>IF($U77="","",IF(LEN(INDEX(매출원본!$AU$8:$AU$2007,$U77))=10,LEFT(INDEX(매출원본!$AU$8:$AU$2007,$U77),3)&amp;"-"&amp;MID(INDEX(매출원본!$AU$8:$AU$2007,$U77),4,2)&amp;"-"&amp;RIGHT(INDEX(매출원본!$AU$8:$AU$2007,$U77),5),IF(LEFT(INDEX(매출원본!$AU$8:$AU$2007,$U77),2)="N:","(번호 없음)",INDEX(매출원본!$AU$8:$AU$2007,$U77))))</f>
        <v/>
      </c>
      <c r="C77" s="38">
        <f>IF($U77="","",INDEX(매출원본!$AV$8:$AV$2007,$U77))</f>
        <v/>
      </c>
      <c r="D77" s="39">
        <f>IF($U77="","",IF($T77="",0,N(INDEX(거래처설정!$E$8:$E$407,$T77))))</f>
        <v/>
      </c>
      <c r="E77" s="39">
        <f>IF($U77="","",SUMIFS(매출원본!$AT$8:$AT$2007,매출원본!$AY$8:$AY$2007,$A77,매출원본!$AS$8:$AS$2007,"&lt;="&amp;설정!$B$5))</f>
        <v/>
      </c>
      <c r="F77" s="39">
        <f>IF($U77="","",SUMIFS(입금_은행1!$Z$8:$Z$2007,입금_은행1!$AC$8:$AC$2007,$A77,입금_은행1!$Y$8:$Y$2007,"&lt;="&amp;설정!$B$5)+SUMIFS(입금_은행2!$Z$8:$Z$2007,입금_은행2!$AC$8:$AC$2007,$A77,입금_은행2!$Y$8:$Y$2007,"&lt;="&amp;설정!$B$5))</f>
        <v/>
      </c>
      <c r="G77" s="39">
        <f>IF($U77="","",$D77+$E77-$F77)</f>
        <v/>
      </c>
      <c r="H77" s="39">
        <f>IF($U77="","",MIN(MAX($G77,0),$V77))</f>
        <v/>
      </c>
      <c r="I77" s="39">
        <f>IF($U77="","",MIN(MAX($G77,0),$W77)-MIN(MAX($G77,0),$V77))</f>
        <v/>
      </c>
      <c r="J77" s="39">
        <f>IF($U77="","",MIN(MAX($G77,0),$X77)-MIN(MAX($G77,0),$W77))</f>
        <v/>
      </c>
      <c r="K77" s="39">
        <f>IF($U77="","",MAX($G77,0)-MIN(MAX($G77,0),$X77))</f>
        <v/>
      </c>
      <c r="L77" s="40">
        <f>IF($U77="","",IF(MAX(SUMPRODUCT(MAX((입금_은행1!$AC$8:$AC$2007=$A77)*(입금_은행1!$AE$8:$AE$2007&lt;=설정!$B$5)*입금_은행1!$AE$8:$AE$2007)),SUMPRODUCT(MAX((입금_은행2!$AC$8:$AC$2007=$A77)*(입금_은행2!$AE$8:$AE$2007&lt;=설정!$B$5)*입금_은행2!$AE$8:$AE$2007)))=0,"",MAX(SUMPRODUCT(MAX((입금_은행1!$AC$8:$AC$2007=$A77)*(입금_은행1!$AE$8:$AE$2007&lt;=설정!$B$5)*입금_은행1!$AE$8:$AE$2007)),SUMPRODUCT(MAX((입금_은행2!$AC$8:$AC$2007=$A77)*(입금_은행2!$AE$8:$AE$2007&lt;=설정!$B$5)*입금_은행2!$AE$8:$AE$2007)))))</f>
        <v/>
      </c>
      <c r="M77" s="38">
        <f>IF($U77="","",IF($T77="","",IF(INDEX(거래처설정!$F$8:$F$407,$T77)="","",INDEX(거래처설정!$F$8:$F$407,$T77))))</f>
        <v/>
      </c>
      <c r="N77" s="38">
        <f>IF($U77="","",IF($T77="","",IF(INDEX(거래처설정!$G$8:$G$407,$T77)="","",INDEX(거래처설정!$G$8:$G$407,$T77))))</f>
        <v/>
      </c>
      <c r="O77" s="38">
        <f>IF($U77="","",IF($M77="제외",0,IF($K77&gt;=설정!$B$9,3,IF($J77+$K77&gt;=설정!$B$9,2,IF($I77+$J77+$K77&gt;=설정!$B$9,1,0)))))</f>
        <v/>
      </c>
      <c r="P77" s="38">
        <f>IF($U77="","",IF($M77="제외","제외(조치 상태)",IF($O77=3,"③ 강한 독촉 후보 ("&amp;설정!$B$8&amp;"일 초과)",IF($O77=2,"② 독촉 후보 ("&amp;설정!$B$7&amp;"일 초과)",IF($O77=1,"① 안내 후보 ("&amp;설정!$B$6&amp;"일 초과)",IF($G77&gt;0,IF($I77+$J77+$K77&gt;0,"오래된 잔액 있음 (최소 금액 미만)","정상 범위"),IF($G77&lt;0,"선수금·초과입금 — 확인","완납")))))))</f>
        <v/>
      </c>
      <c r="Q77" s="38">
        <f>IF($U77="","",IF($G77&lt;0,"입금이 매출보다 큼 — 선수금이거나 다른 거래처 입금이 섞였는지 확인",IF(AND($AE77&lt;&gt;"",COUNTIF($AE$8:$AE$307,"*"&amp;$AE77&amp;"*")&gt;1),"이름이 다른 거래처와 겹침 — 입금이 잘못 맞았을 수 있으니 별칭 확인",IF(AND($G77&gt;0,$F77=0),"입금 매칭 없음 — 입금자명이 다르면 [거래처설정]에 별칭 등록",""))))</f>
        <v/>
      </c>
      <c r="R77" s="31">
        <f>IF(OR($U77="",$G77&lt;=0),"",$G77-$A77/10000)</f>
        <v/>
      </c>
      <c r="S77" s="31">
        <f>IF(OR($U77="",$O77&lt;1),"",$O77*10^11+$I77+$J77+$K77-$A77/1000)</f>
        <v/>
      </c>
      <c r="T77" s="31">
        <f>IF($U77="","",IFERROR(MATCH(INDEX(매출원본!$AU$8:$AU$2007,$U77),거래처설정!$I$8:$I$407,0),""))</f>
        <v/>
      </c>
      <c r="U77" s="31">
        <f>IFERROR(MATCH(70,매출원본!$AW$8:$AW$2007,0),"")</f>
        <v/>
      </c>
      <c r="V77" s="31">
        <f>IF($U77="","",MAX(SUMIFS(매출원본!$AT$8:$AT$2007,매출원본!$AY$8:$AY$2007,$A77,매출원본!$AS$8:$AS$2007,"&gt;="&amp;(설정!$B$5-설정!$B$6),매출원본!$AS$8:$AS$2007,"&lt;="&amp;설정!$B$5),0))</f>
        <v/>
      </c>
      <c r="W77" s="31">
        <f>IF($U77="","",MAX($V77,SUMIFS(매출원본!$AT$8:$AT$2007,매출원본!$AY$8:$AY$2007,$A77,매출원본!$AS$8:$AS$2007,"&gt;="&amp;(설정!$B$5-설정!$B$7),매출원본!$AS$8:$AS$2007,"&lt;="&amp;설정!$B$5)))</f>
        <v/>
      </c>
      <c r="X77" s="31">
        <f>IF($U77="","",MAX($W77,SUMIFS(매출원본!$AT$8:$AT$2007,매출원본!$AY$8:$AY$2007,$A77,매출원본!$AS$8:$AS$2007,"&gt;="&amp;(설정!$B$5-설정!$B$8),매출원본!$AS$8:$AS$2007,"&lt;="&amp;설정!$B$5)))</f>
        <v/>
      </c>
      <c r="AC77" s="31">
        <f>IF(OR($U77="",$T77=""),"",INDEX(거래처설정!$J$8:$J$407,$T77))</f>
        <v/>
      </c>
      <c r="AD77" s="31">
        <f>IF(OR($U77="",$T77=""),"",INDEX(거래처설정!$K$8:$K$407,$T77))</f>
        <v/>
      </c>
      <c r="AE77" s="31">
        <f>IF($U77="","",IF(LEN(SUBSTITUTE(SUBSTITUTE(SUBSTITUTE(SUBSTITUTE(SUBSTITUTE(SUBSTITUTE(SUBSTITUTE(SUBSTITUTE(SUBSTITUTE($C77," ",""),"　",""),"(주)",""),"（주）",""),"㈜",""),"주식회사",""),"(유)",""),"（유）",""),"유한회사",""))&lt;2,"",SUBSTITUTE(SUBSTITUTE(SUBSTITUTE(SUBSTITUTE(SUBSTITUTE(SUBSTITUTE(SUBSTITUTE(SUBSTITUTE(SUBSTITUTE($C77," ",""),"　",""),"(주)",""),"（주）",""),"㈜",""),"주식회사",""),"(유)",""),"（유）",""),"유한회사","")))</f>
        <v/>
      </c>
    </row>
    <row r="78">
      <c r="A78" s="38">
        <f>IF($U78="","",71)</f>
        <v/>
      </c>
      <c r="B78" s="38">
        <f>IF($U78="","",IF(LEN(INDEX(매출원본!$AU$8:$AU$2007,$U78))=10,LEFT(INDEX(매출원본!$AU$8:$AU$2007,$U78),3)&amp;"-"&amp;MID(INDEX(매출원본!$AU$8:$AU$2007,$U78),4,2)&amp;"-"&amp;RIGHT(INDEX(매출원본!$AU$8:$AU$2007,$U78),5),IF(LEFT(INDEX(매출원본!$AU$8:$AU$2007,$U78),2)="N:","(번호 없음)",INDEX(매출원본!$AU$8:$AU$2007,$U78))))</f>
        <v/>
      </c>
      <c r="C78" s="38">
        <f>IF($U78="","",INDEX(매출원본!$AV$8:$AV$2007,$U78))</f>
        <v/>
      </c>
      <c r="D78" s="39">
        <f>IF($U78="","",IF($T78="",0,N(INDEX(거래처설정!$E$8:$E$407,$T78))))</f>
        <v/>
      </c>
      <c r="E78" s="39">
        <f>IF($U78="","",SUMIFS(매출원본!$AT$8:$AT$2007,매출원본!$AY$8:$AY$2007,$A78,매출원본!$AS$8:$AS$2007,"&lt;="&amp;설정!$B$5))</f>
        <v/>
      </c>
      <c r="F78" s="39">
        <f>IF($U78="","",SUMIFS(입금_은행1!$Z$8:$Z$2007,입금_은행1!$AC$8:$AC$2007,$A78,입금_은행1!$Y$8:$Y$2007,"&lt;="&amp;설정!$B$5)+SUMIFS(입금_은행2!$Z$8:$Z$2007,입금_은행2!$AC$8:$AC$2007,$A78,입금_은행2!$Y$8:$Y$2007,"&lt;="&amp;설정!$B$5))</f>
        <v/>
      </c>
      <c r="G78" s="39">
        <f>IF($U78="","",$D78+$E78-$F78)</f>
        <v/>
      </c>
      <c r="H78" s="39">
        <f>IF($U78="","",MIN(MAX($G78,0),$V78))</f>
        <v/>
      </c>
      <c r="I78" s="39">
        <f>IF($U78="","",MIN(MAX($G78,0),$W78)-MIN(MAX($G78,0),$V78))</f>
        <v/>
      </c>
      <c r="J78" s="39">
        <f>IF($U78="","",MIN(MAX($G78,0),$X78)-MIN(MAX($G78,0),$W78))</f>
        <v/>
      </c>
      <c r="K78" s="39">
        <f>IF($U78="","",MAX($G78,0)-MIN(MAX($G78,0),$X78))</f>
        <v/>
      </c>
      <c r="L78" s="40">
        <f>IF($U78="","",IF(MAX(SUMPRODUCT(MAX((입금_은행1!$AC$8:$AC$2007=$A78)*(입금_은행1!$AE$8:$AE$2007&lt;=설정!$B$5)*입금_은행1!$AE$8:$AE$2007)),SUMPRODUCT(MAX((입금_은행2!$AC$8:$AC$2007=$A78)*(입금_은행2!$AE$8:$AE$2007&lt;=설정!$B$5)*입금_은행2!$AE$8:$AE$2007)))=0,"",MAX(SUMPRODUCT(MAX((입금_은행1!$AC$8:$AC$2007=$A78)*(입금_은행1!$AE$8:$AE$2007&lt;=설정!$B$5)*입금_은행1!$AE$8:$AE$2007)),SUMPRODUCT(MAX((입금_은행2!$AC$8:$AC$2007=$A78)*(입금_은행2!$AE$8:$AE$2007&lt;=설정!$B$5)*입금_은행2!$AE$8:$AE$2007)))))</f>
        <v/>
      </c>
      <c r="M78" s="38">
        <f>IF($U78="","",IF($T78="","",IF(INDEX(거래처설정!$F$8:$F$407,$T78)="","",INDEX(거래처설정!$F$8:$F$407,$T78))))</f>
        <v/>
      </c>
      <c r="N78" s="38">
        <f>IF($U78="","",IF($T78="","",IF(INDEX(거래처설정!$G$8:$G$407,$T78)="","",INDEX(거래처설정!$G$8:$G$407,$T78))))</f>
        <v/>
      </c>
      <c r="O78" s="38">
        <f>IF($U78="","",IF($M78="제외",0,IF($K78&gt;=설정!$B$9,3,IF($J78+$K78&gt;=설정!$B$9,2,IF($I78+$J78+$K78&gt;=설정!$B$9,1,0)))))</f>
        <v/>
      </c>
      <c r="P78" s="38">
        <f>IF($U78="","",IF($M78="제외","제외(조치 상태)",IF($O78=3,"③ 강한 독촉 후보 ("&amp;설정!$B$8&amp;"일 초과)",IF($O78=2,"② 독촉 후보 ("&amp;설정!$B$7&amp;"일 초과)",IF($O78=1,"① 안내 후보 ("&amp;설정!$B$6&amp;"일 초과)",IF($G78&gt;0,IF($I78+$J78+$K78&gt;0,"오래된 잔액 있음 (최소 금액 미만)","정상 범위"),IF($G78&lt;0,"선수금·초과입금 — 확인","완납")))))))</f>
        <v/>
      </c>
      <c r="Q78" s="38">
        <f>IF($U78="","",IF($G78&lt;0,"입금이 매출보다 큼 — 선수금이거나 다른 거래처 입금이 섞였는지 확인",IF(AND($AE78&lt;&gt;"",COUNTIF($AE$8:$AE$307,"*"&amp;$AE78&amp;"*")&gt;1),"이름이 다른 거래처와 겹침 — 입금이 잘못 맞았을 수 있으니 별칭 확인",IF(AND($G78&gt;0,$F78=0),"입금 매칭 없음 — 입금자명이 다르면 [거래처설정]에 별칭 등록",""))))</f>
        <v/>
      </c>
      <c r="R78" s="31">
        <f>IF(OR($U78="",$G78&lt;=0),"",$G78-$A78/10000)</f>
        <v/>
      </c>
      <c r="S78" s="31">
        <f>IF(OR($U78="",$O78&lt;1),"",$O78*10^11+$I78+$J78+$K78-$A78/1000)</f>
        <v/>
      </c>
      <c r="T78" s="31">
        <f>IF($U78="","",IFERROR(MATCH(INDEX(매출원본!$AU$8:$AU$2007,$U78),거래처설정!$I$8:$I$407,0),""))</f>
        <v/>
      </c>
      <c r="U78" s="31">
        <f>IFERROR(MATCH(71,매출원본!$AW$8:$AW$2007,0),"")</f>
        <v/>
      </c>
      <c r="V78" s="31">
        <f>IF($U78="","",MAX(SUMIFS(매출원본!$AT$8:$AT$2007,매출원본!$AY$8:$AY$2007,$A78,매출원본!$AS$8:$AS$2007,"&gt;="&amp;(설정!$B$5-설정!$B$6),매출원본!$AS$8:$AS$2007,"&lt;="&amp;설정!$B$5),0))</f>
        <v/>
      </c>
      <c r="W78" s="31">
        <f>IF($U78="","",MAX($V78,SUMIFS(매출원본!$AT$8:$AT$2007,매출원본!$AY$8:$AY$2007,$A78,매출원본!$AS$8:$AS$2007,"&gt;="&amp;(설정!$B$5-설정!$B$7),매출원본!$AS$8:$AS$2007,"&lt;="&amp;설정!$B$5)))</f>
        <v/>
      </c>
      <c r="X78" s="31">
        <f>IF($U78="","",MAX($W78,SUMIFS(매출원본!$AT$8:$AT$2007,매출원본!$AY$8:$AY$2007,$A78,매출원본!$AS$8:$AS$2007,"&gt;="&amp;(설정!$B$5-설정!$B$8),매출원본!$AS$8:$AS$2007,"&lt;="&amp;설정!$B$5)))</f>
        <v/>
      </c>
      <c r="AC78" s="31">
        <f>IF(OR($U78="",$T78=""),"",INDEX(거래처설정!$J$8:$J$407,$T78))</f>
        <v/>
      </c>
      <c r="AD78" s="31">
        <f>IF(OR($U78="",$T78=""),"",INDEX(거래처설정!$K$8:$K$407,$T78))</f>
        <v/>
      </c>
      <c r="AE78" s="31">
        <f>IF($U78="","",IF(LEN(SUBSTITUTE(SUBSTITUTE(SUBSTITUTE(SUBSTITUTE(SUBSTITUTE(SUBSTITUTE(SUBSTITUTE(SUBSTITUTE(SUBSTITUTE($C78," ",""),"　",""),"(주)",""),"（주）",""),"㈜",""),"주식회사",""),"(유)",""),"（유）",""),"유한회사",""))&lt;2,"",SUBSTITUTE(SUBSTITUTE(SUBSTITUTE(SUBSTITUTE(SUBSTITUTE(SUBSTITUTE(SUBSTITUTE(SUBSTITUTE(SUBSTITUTE($C78," ",""),"　",""),"(주)",""),"（주）",""),"㈜",""),"주식회사",""),"(유)",""),"（유）",""),"유한회사","")))</f>
        <v/>
      </c>
    </row>
    <row r="79">
      <c r="A79" s="38">
        <f>IF($U79="","",72)</f>
        <v/>
      </c>
      <c r="B79" s="38">
        <f>IF($U79="","",IF(LEN(INDEX(매출원본!$AU$8:$AU$2007,$U79))=10,LEFT(INDEX(매출원본!$AU$8:$AU$2007,$U79),3)&amp;"-"&amp;MID(INDEX(매출원본!$AU$8:$AU$2007,$U79),4,2)&amp;"-"&amp;RIGHT(INDEX(매출원본!$AU$8:$AU$2007,$U79),5),IF(LEFT(INDEX(매출원본!$AU$8:$AU$2007,$U79),2)="N:","(번호 없음)",INDEX(매출원본!$AU$8:$AU$2007,$U79))))</f>
        <v/>
      </c>
      <c r="C79" s="38">
        <f>IF($U79="","",INDEX(매출원본!$AV$8:$AV$2007,$U79))</f>
        <v/>
      </c>
      <c r="D79" s="39">
        <f>IF($U79="","",IF($T79="",0,N(INDEX(거래처설정!$E$8:$E$407,$T79))))</f>
        <v/>
      </c>
      <c r="E79" s="39">
        <f>IF($U79="","",SUMIFS(매출원본!$AT$8:$AT$2007,매출원본!$AY$8:$AY$2007,$A79,매출원본!$AS$8:$AS$2007,"&lt;="&amp;설정!$B$5))</f>
        <v/>
      </c>
      <c r="F79" s="39">
        <f>IF($U79="","",SUMIFS(입금_은행1!$Z$8:$Z$2007,입금_은행1!$AC$8:$AC$2007,$A79,입금_은행1!$Y$8:$Y$2007,"&lt;="&amp;설정!$B$5)+SUMIFS(입금_은행2!$Z$8:$Z$2007,입금_은행2!$AC$8:$AC$2007,$A79,입금_은행2!$Y$8:$Y$2007,"&lt;="&amp;설정!$B$5))</f>
        <v/>
      </c>
      <c r="G79" s="39">
        <f>IF($U79="","",$D79+$E79-$F79)</f>
        <v/>
      </c>
      <c r="H79" s="39">
        <f>IF($U79="","",MIN(MAX($G79,0),$V79))</f>
        <v/>
      </c>
      <c r="I79" s="39">
        <f>IF($U79="","",MIN(MAX($G79,0),$W79)-MIN(MAX($G79,0),$V79))</f>
        <v/>
      </c>
      <c r="J79" s="39">
        <f>IF($U79="","",MIN(MAX($G79,0),$X79)-MIN(MAX($G79,0),$W79))</f>
        <v/>
      </c>
      <c r="K79" s="39">
        <f>IF($U79="","",MAX($G79,0)-MIN(MAX($G79,0),$X79))</f>
        <v/>
      </c>
      <c r="L79" s="40">
        <f>IF($U79="","",IF(MAX(SUMPRODUCT(MAX((입금_은행1!$AC$8:$AC$2007=$A79)*(입금_은행1!$AE$8:$AE$2007&lt;=설정!$B$5)*입금_은행1!$AE$8:$AE$2007)),SUMPRODUCT(MAX((입금_은행2!$AC$8:$AC$2007=$A79)*(입금_은행2!$AE$8:$AE$2007&lt;=설정!$B$5)*입금_은행2!$AE$8:$AE$2007)))=0,"",MAX(SUMPRODUCT(MAX((입금_은행1!$AC$8:$AC$2007=$A79)*(입금_은행1!$AE$8:$AE$2007&lt;=설정!$B$5)*입금_은행1!$AE$8:$AE$2007)),SUMPRODUCT(MAX((입금_은행2!$AC$8:$AC$2007=$A79)*(입금_은행2!$AE$8:$AE$2007&lt;=설정!$B$5)*입금_은행2!$AE$8:$AE$2007)))))</f>
        <v/>
      </c>
      <c r="M79" s="38">
        <f>IF($U79="","",IF($T79="","",IF(INDEX(거래처설정!$F$8:$F$407,$T79)="","",INDEX(거래처설정!$F$8:$F$407,$T79))))</f>
        <v/>
      </c>
      <c r="N79" s="38">
        <f>IF($U79="","",IF($T79="","",IF(INDEX(거래처설정!$G$8:$G$407,$T79)="","",INDEX(거래처설정!$G$8:$G$407,$T79))))</f>
        <v/>
      </c>
      <c r="O79" s="38">
        <f>IF($U79="","",IF($M79="제외",0,IF($K79&gt;=설정!$B$9,3,IF($J79+$K79&gt;=설정!$B$9,2,IF($I79+$J79+$K79&gt;=설정!$B$9,1,0)))))</f>
        <v/>
      </c>
      <c r="P79" s="38">
        <f>IF($U79="","",IF($M79="제외","제외(조치 상태)",IF($O79=3,"③ 강한 독촉 후보 ("&amp;설정!$B$8&amp;"일 초과)",IF($O79=2,"② 독촉 후보 ("&amp;설정!$B$7&amp;"일 초과)",IF($O79=1,"① 안내 후보 ("&amp;설정!$B$6&amp;"일 초과)",IF($G79&gt;0,IF($I79+$J79+$K79&gt;0,"오래된 잔액 있음 (최소 금액 미만)","정상 범위"),IF($G79&lt;0,"선수금·초과입금 — 확인","완납")))))))</f>
        <v/>
      </c>
      <c r="Q79" s="38">
        <f>IF($U79="","",IF($G79&lt;0,"입금이 매출보다 큼 — 선수금이거나 다른 거래처 입금이 섞였는지 확인",IF(AND($AE79&lt;&gt;"",COUNTIF($AE$8:$AE$307,"*"&amp;$AE79&amp;"*")&gt;1),"이름이 다른 거래처와 겹침 — 입금이 잘못 맞았을 수 있으니 별칭 확인",IF(AND($G79&gt;0,$F79=0),"입금 매칭 없음 — 입금자명이 다르면 [거래처설정]에 별칭 등록",""))))</f>
        <v/>
      </c>
      <c r="R79" s="31">
        <f>IF(OR($U79="",$G79&lt;=0),"",$G79-$A79/10000)</f>
        <v/>
      </c>
      <c r="S79" s="31">
        <f>IF(OR($U79="",$O79&lt;1),"",$O79*10^11+$I79+$J79+$K79-$A79/1000)</f>
        <v/>
      </c>
      <c r="T79" s="31">
        <f>IF($U79="","",IFERROR(MATCH(INDEX(매출원본!$AU$8:$AU$2007,$U79),거래처설정!$I$8:$I$407,0),""))</f>
        <v/>
      </c>
      <c r="U79" s="31">
        <f>IFERROR(MATCH(72,매출원본!$AW$8:$AW$2007,0),"")</f>
        <v/>
      </c>
      <c r="V79" s="31">
        <f>IF($U79="","",MAX(SUMIFS(매출원본!$AT$8:$AT$2007,매출원본!$AY$8:$AY$2007,$A79,매출원본!$AS$8:$AS$2007,"&gt;="&amp;(설정!$B$5-설정!$B$6),매출원본!$AS$8:$AS$2007,"&lt;="&amp;설정!$B$5),0))</f>
        <v/>
      </c>
      <c r="W79" s="31">
        <f>IF($U79="","",MAX($V79,SUMIFS(매출원본!$AT$8:$AT$2007,매출원본!$AY$8:$AY$2007,$A79,매출원본!$AS$8:$AS$2007,"&gt;="&amp;(설정!$B$5-설정!$B$7),매출원본!$AS$8:$AS$2007,"&lt;="&amp;설정!$B$5)))</f>
        <v/>
      </c>
      <c r="X79" s="31">
        <f>IF($U79="","",MAX($W79,SUMIFS(매출원본!$AT$8:$AT$2007,매출원본!$AY$8:$AY$2007,$A79,매출원본!$AS$8:$AS$2007,"&gt;="&amp;(설정!$B$5-설정!$B$8),매출원본!$AS$8:$AS$2007,"&lt;="&amp;설정!$B$5)))</f>
        <v/>
      </c>
      <c r="AC79" s="31">
        <f>IF(OR($U79="",$T79=""),"",INDEX(거래처설정!$J$8:$J$407,$T79))</f>
        <v/>
      </c>
      <c r="AD79" s="31">
        <f>IF(OR($U79="",$T79=""),"",INDEX(거래처설정!$K$8:$K$407,$T79))</f>
        <v/>
      </c>
      <c r="AE79" s="31">
        <f>IF($U79="","",IF(LEN(SUBSTITUTE(SUBSTITUTE(SUBSTITUTE(SUBSTITUTE(SUBSTITUTE(SUBSTITUTE(SUBSTITUTE(SUBSTITUTE(SUBSTITUTE($C79," ",""),"　",""),"(주)",""),"（주）",""),"㈜",""),"주식회사",""),"(유)",""),"（유）",""),"유한회사",""))&lt;2,"",SUBSTITUTE(SUBSTITUTE(SUBSTITUTE(SUBSTITUTE(SUBSTITUTE(SUBSTITUTE(SUBSTITUTE(SUBSTITUTE(SUBSTITUTE($C79," ",""),"　",""),"(주)",""),"（주）",""),"㈜",""),"주식회사",""),"(유)",""),"（유）",""),"유한회사","")))</f>
        <v/>
      </c>
    </row>
    <row r="80">
      <c r="A80" s="38">
        <f>IF($U80="","",73)</f>
        <v/>
      </c>
      <c r="B80" s="38">
        <f>IF($U80="","",IF(LEN(INDEX(매출원본!$AU$8:$AU$2007,$U80))=10,LEFT(INDEX(매출원본!$AU$8:$AU$2007,$U80),3)&amp;"-"&amp;MID(INDEX(매출원본!$AU$8:$AU$2007,$U80),4,2)&amp;"-"&amp;RIGHT(INDEX(매출원본!$AU$8:$AU$2007,$U80),5),IF(LEFT(INDEX(매출원본!$AU$8:$AU$2007,$U80),2)="N:","(번호 없음)",INDEX(매출원본!$AU$8:$AU$2007,$U80))))</f>
        <v/>
      </c>
      <c r="C80" s="38">
        <f>IF($U80="","",INDEX(매출원본!$AV$8:$AV$2007,$U80))</f>
        <v/>
      </c>
      <c r="D80" s="39">
        <f>IF($U80="","",IF($T80="",0,N(INDEX(거래처설정!$E$8:$E$407,$T80))))</f>
        <v/>
      </c>
      <c r="E80" s="39">
        <f>IF($U80="","",SUMIFS(매출원본!$AT$8:$AT$2007,매출원본!$AY$8:$AY$2007,$A80,매출원본!$AS$8:$AS$2007,"&lt;="&amp;설정!$B$5))</f>
        <v/>
      </c>
      <c r="F80" s="39">
        <f>IF($U80="","",SUMIFS(입금_은행1!$Z$8:$Z$2007,입금_은행1!$AC$8:$AC$2007,$A80,입금_은행1!$Y$8:$Y$2007,"&lt;="&amp;설정!$B$5)+SUMIFS(입금_은행2!$Z$8:$Z$2007,입금_은행2!$AC$8:$AC$2007,$A80,입금_은행2!$Y$8:$Y$2007,"&lt;="&amp;설정!$B$5))</f>
        <v/>
      </c>
      <c r="G80" s="39">
        <f>IF($U80="","",$D80+$E80-$F80)</f>
        <v/>
      </c>
      <c r="H80" s="39">
        <f>IF($U80="","",MIN(MAX($G80,0),$V80))</f>
        <v/>
      </c>
      <c r="I80" s="39">
        <f>IF($U80="","",MIN(MAX($G80,0),$W80)-MIN(MAX($G80,0),$V80))</f>
        <v/>
      </c>
      <c r="J80" s="39">
        <f>IF($U80="","",MIN(MAX($G80,0),$X80)-MIN(MAX($G80,0),$W80))</f>
        <v/>
      </c>
      <c r="K80" s="39">
        <f>IF($U80="","",MAX($G80,0)-MIN(MAX($G80,0),$X80))</f>
        <v/>
      </c>
      <c r="L80" s="40">
        <f>IF($U80="","",IF(MAX(SUMPRODUCT(MAX((입금_은행1!$AC$8:$AC$2007=$A80)*(입금_은행1!$AE$8:$AE$2007&lt;=설정!$B$5)*입금_은행1!$AE$8:$AE$2007)),SUMPRODUCT(MAX((입금_은행2!$AC$8:$AC$2007=$A80)*(입금_은행2!$AE$8:$AE$2007&lt;=설정!$B$5)*입금_은행2!$AE$8:$AE$2007)))=0,"",MAX(SUMPRODUCT(MAX((입금_은행1!$AC$8:$AC$2007=$A80)*(입금_은행1!$AE$8:$AE$2007&lt;=설정!$B$5)*입금_은행1!$AE$8:$AE$2007)),SUMPRODUCT(MAX((입금_은행2!$AC$8:$AC$2007=$A80)*(입금_은행2!$AE$8:$AE$2007&lt;=설정!$B$5)*입금_은행2!$AE$8:$AE$2007)))))</f>
        <v/>
      </c>
      <c r="M80" s="38">
        <f>IF($U80="","",IF($T80="","",IF(INDEX(거래처설정!$F$8:$F$407,$T80)="","",INDEX(거래처설정!$F$8:$F$407,$T80))))</f>
        <v/>
      </c>
      <c r="N80" s="38">
        <f>IF($U80="","",IF($T80="","",IF(INDEX(거래처설정!$G$8:$G$407,$T80)="","",INDEX(거래처설정!$G$8:$G$407,$T80))))</f>
        <v/>
      </c>
      <c r="O80" s="38">
        <f>IF($U80="","",IF($M80="제외",0,IF($K80&gt;=설정!$B$9,3,IF($J80+$K80&gt;=설정!$B$9,2,IF($I80+$J80+$K80&gt;=설정!$B$9,1,0)))))</f>
        <v/>
      </c>
      <c r="P80" s="38">
        <f>IF($U80="","",IF($M80="제외","제외(조치 상태)",IF($O80=3,"③ 강한 독촉 후보 ("&amp;설정!$B$8&amp;"일 초과)",IF($O80=2,"② 독촉 후보 ("&amp;설정!$B$7&amp;"일 초과)",IF($O80=1,"① 안내 후보 ("&amp;설정!$B$6&amp;"일 초과)",IF($G80&gt;0,IF($I80+$J80+$K80&gt;0,"오래된 잔액 있음 (최소 금액 미만)","정상 범위"),IF($G80&lt;0,"선수금·초과입금 — 확인","완납")))))))</f>
        <v/>
      </c>
      <c r="Q80" s="38">
        <f>IF($U80="","",IF($G80&lt;0,"입금이 매출보다 큼 — 선수금이거나 다른 거래처 입금이 섞였는지 확인",IF(AND($AE80&lt;&gt;"",COUNTIF($AE$8:$AE$307,"*"&amp;$AE80&amp;"*")&gt;1),"이름이 다른 거래처와 겹침 — 입금이 잘못 맞았을 수 있으니 별칭 확인",IF(AND($G80&gt;0,$F80=0),"입금 매칭 없음 — 입금자명이 다르면 [거래처설정]에 별칭 등록",""))))</f>
        <v/>
      </c>
      <c r="R80" s="31">
        <f>IF(OR($U80="",$G80&lt;=0),"",$G80-$A80/10000)</f>
        <v/>
      </c>
      <c r="S80" s="31">
        <f>IF(OR($U80="",$O80&lt;1),"",$O80*10^11+$I80+$J80+$K80-$A80/1000)</f>
        <v/>
      </c>
      <c r="T80" s="31">
        <f>IF($U80="","",IFERROR(MATCH(INDEX(매출원본!$AU$8:$AU$2007,$U80),거래처설정!$I$8:$I$407,0),""))</f>
        <v/>
      </c>
      <c r="U80" s="31">
        <f>IFERROR(MATCH(73,매출원본!$AW$8:$AW$2007,0),"")</f>
        <v/>
      </c>
      <c r="V80" s="31">
        <f>IF($U80="","",MAX(SUMIFS(매출원본!$AT$8:$AT$2007,매출원본!$AY$8:$AY$2007,$A80,매출원본!$AS$8:$AS$2007,"&gt;="&amp;(설정!$B$5-설정!$B$6),매출원본!$AS$8:$AS$2007,"&lt;="&amp;설정!$B$5),0))</f>
        <v/>
      </c>
      <c r="W80" s="31">
        <f>IF($U80="","",MAX($V80,SUMIFS(매출원본!$AT$8:$AT$2007,매출원본!$AY$8:$AY$2007,$A80,매출원본!$AS$8:$AS$2007,"&gt;="&amp;(설정!$B$5-설정!$B$7),매출원본!$AS$8:$AS$2007,"&lt;="&amp;설정!$B$5)))</f>
        <v/>
      </c>
      <c r="X80" s="31">
        <f>IF($U80="","",MAX($W80,SUMIFS(매출원본!$AT$8:$AT$2007,매출원본!$AY$8:$AY$2007,$A80,매출원본!$AS$8:$AS$2007,"&gt;="&amp;(설정!$B$5-설정!$B$8),매출원본!$AS$8:$AS$2007,"&lt;="&amp;설정!$B$5)))</f>
        <v/>
      </c>
      <c r="AC80" s="31">
        <f>IF(OR($U80="",$T80=""),"",INDEX(거래처설정!$J$8:$J$407,$T80))</f>
        <v/>
      </c>
      <c r="AD80" s="31">
        <f>IF(OR($U80="",$T80=""),"",INDEX(거래처설정!$K$8:$K$407,$T80))</f>
        <v/>
      </c>
      <c r="AE80" s="31">
        <f>IF($U80="","",IF(LEN(SUBSTITUTE(SUBSTITUTE(SUBSTITUTE(SUBSTITUTE(SUBSTITUTE(SUBSTITUTE(SUBSTITUTE(SUBSTITUTE(SUBSTITUTE($C80," ",""),"　",""),"(주)",""),"（주）",""),"㈜",""),"주식회사",""),"(유)",""),"（유）",""),"유한회사",""))&lt;2,"",SUBSTITUTE(SUBSTITUTE(SUBSTITUTE(SUBSTITUTE(SUBSTITUTE(SUBSTITUTE(SUBSTITUTE(SUBSTITUTE(SUBSTITUTE($C80," ",""),"　",""),"(주)",""),"（주）",""),"㈜",""),"주식회사",""),"(유)",""),"（유）",""),"유한회사","")))</f>
        <v/>
      </c>
    </row>
    <row r="81">
      <c r="A81" s="38">
        <f>IF($U81="","",74)</f>
        <v/>
      </c>
      <c r="B81" s="38">
        <f>IF($U81="","",IF(LEN(INDEX(매출원본!$AU$8:$AU$2007,$U81))=10,LEFT(INDEX(매출원본!$AU$8:$AU$2007,$U81),3)&amp;"-"&amp;MID(INDEX(매출원본!$AU$8:$AU$2007,$U81),4,2)&amp;"-"&amp;RIGHT(INDEX(매출원본!$AU$8:$AU$2007,$U81),5),IF(LEFT(INDEX(매출원본!$AU$8:$AU$2007,$U81),2)="N:","(번호 없음)",INDEX(매출원본!$AU$8:$AU$2007,$U81))))</f>
        <v/>
      </c>
      <c r="C81" s="38">
        <f>IF($U81="","",INDEX(매출원본!$AV$8:$AV$2007,$U81))</f>
        <v/>
      </c>
      <c r="D81" s="39">
        <f>IF($U81="","",IF($T81="",0,N(INDEX(거래처설정!$E$8:$E$407,$T81))))</f>
        <v/>
      </c>
      <c r="E81" s="39">
        <f>IF($U81="","",SUMIFS(매출원본!$AT$8:$AT$2007,매출원본!$AY$8:$AY$2007,$A81,매출원본!$AS$8:$AS$2007,"&lt;="&amp;설정!$B$5))</f>
        <v/>
      </c>
      <c r="F81" s="39">
        <f>IF($U81="","",SUMIFS(입금_은행1!$Z$8:$Z$2007,입금_은행1!$AC$8:$AC$2007,$A81,입금_은행1!$Y$8:$Y$2007,"&lt;="&amp;설정!$B$5)+SUMIFS(입금_은행2!$Z$8:$Z$2007,입금_은행2!$AC$8:$AC$2007,$A81,입금_은행2!$Y$8:$Y$2007,"&lt;="&amp;설정!$B$5))</f>
        <v/>
      </c>
      <c r="G81" s="39">
        <f>IF($U81="","",$D81+$E81-$F81)</f>
        <v/>
      </c>
      <c r="H81" s="39">
        <f>IF($U81="","",MIN(MAX($G81,0),$V81))</f>
        <v/>
      </c>
      <c r="I81" s="39">
        <f>IF($U81="","",MIN(MAX($G81,0),$W81)-MIN(MAX($G81,0),$V81))</f>
        <v/>
      </c>
      <c r="J81" s="39">
        <f>IF($U81="","",MIN(MAX($G81,0),$X81)-MIN(MAX($G81,0),$W81))</f>
        <v/>
      </c>
      <c r="K81" s="39">
        <f>IF($U81="","",MAX($G81,0)-MIN(MAX($G81,0),$X81))</f>
        <v/>
      </c>
      <c r="L81" s="40">
        <f>IF($U81="","",IF(MAX(SUMPRODUCT(MAX((입금_은행1!$AC$8:$AC$2007=$A81)*(입금_은행1!$AE$8:$AE$2007&lt;=설정!$B$5)*입금_은행1!$AE$8:$AE$2007)),SUMPRODUCT(MAX((입금_은행2!$AC$8:$AC$2007=$A81)*(입금_은행2!$AE$8:$AE$2007&lt;=설정!$B$5)*입금_은행2!$AE$8:$AE$2007)))=0,"",MAX(SUMPRODUCT(MAX((입금_은행1!$AC$8:$AC$2007=$A81)*(입금_은행1!$AE$8:$AE$2007&lt;=설정!$B$5)*입금_은행1!$AE$8:$AE$2007)),SUMPRODUCT(MAX((입금_은행2!$AC$8:$AC$2007=$A81)*(입금_은행2!$AE$8:$AE$2007&lt;=설정!$B$5)*입금_은행2!$AE$8:$AE$2007)))))</f>
        <v/>
      </c>
      <c r="M81" s="38">
        <f>IF($U81="","",IF($T81="","",IF(INDEX(거래처설정!$F$8:$F$407,$T81)="","",INDEX(거래처설정!$F$8:$F$407,$T81))))</f>
        <v/>
      </c>
      <c r="N81" s="38">
        <f>IF($U81="","",IF($T81="","",IF(INDEX(거래처설정!$G$8:$G$407,$T81)="","",INDEX(거래처설정!$G$8:$G$407,$T81))))</f>
        <v/>
      </c>
      <c r="O81" s="38">
        <f>IF($U81="","",IF($M81="제외",0,IF($K81&gt;=설정!$B$9,3,IF($J81+$K81&gt;=설정!$B$9,2,IF($I81+$J81+$K81&gt;=설정!$B$9,1,0)))))</f>
        <v/>
      </c>
      <c r="P81" s="38">
        <f>IF($U81="","",IF($M81="제외","제외(조치 상태)",IF($O81=3,"③ 강한 독촉 후보 ("&amp;설정!$B$8&amp;"일 초과)",IF($O81=2,"② 독촉 후보 ("&amp;설정!$B$7&amp;"일 초과)",IF($O81=1,"① 안내 후보 ("&amp;설정!$B$6&amp;"일 초과)",IF($G81&gt;0,IF($I81+$J81+$K81&gt;0,"오래된 잔액 있음 (최소 금액 미만)","정상 범위"),IF($G81&lt;0,"선수금·초과입금 — 확인","완납")))))))</f>
        <v/>
      </c>
      <c r="Q81" s="38">
        <f>IF($U81="","",IF($G81&lt;0,"입금이 매출보다 큼 — 선수금이거나 다른 거래처 입금이 섞였는지 확인",IF(AND($AE81&lt;&gt;"",COUNTIF($AE$8:$AE$307,"*"&amp;$AE81&amp;"*")&gt;1),"이름이 다른 거래처와 겹침 — 입금이 잘못 맞았을 수 있으니 별칭 확인",IF(AND($G81&gt;0,$F81=0),"입금 매칭 없음 — 입금자명이 다르면 [거래처설정]에 별칭 등록",""))))</f>
        <v/>
      </c>
      <c r="R81" s="31">
        <f>IF(OR($U81="",$G81&lt;=0),"",$G81-$A81/10000)</f>
        <v/>
      </c>
      <c r="S81" s="31">
        <f>IF(OR($U81="",$O81&lt;1),"",$O81*10^11+$I81+$J81+$K81-$A81/1000)</f>
        <v/>
      </c>
      <c r="T81" s="31">
        <f>IF($U81="","",IFERROR(MATCH(INDEX(매출원본!$AU$8:$AU$2007,$U81),거래처설정!$I$8:$I$407,0),""))</f>
        <v/>
      </c>
      <c r="U81" s="31">
        <f>IFERROR(MATCH(74,매출원본!$AW$8:$AW$2007,0),"")</f>
        <v/>
      </c>
      <c r="V81" s="31">
        <f>IF($U81="","",MAX(SUMIFS(매출원본!$AT$8:$AT$2007,매출원본!$AY$8:$AY$2007,$A81,매출원본!$AS$8:$AS$2007,"&gt;="&amp;(설정!$B$5-설정!$B$6),매출원본!$AS$8:$AS$2007,"&lt;="&amp;설정!$B$5),0))</f>
        <v/>
      </c>
      <c r="W81" s="31">
        <f>IF($U81="","",MAX($V81,SUMIFS(매출원본!$AT$8:$AT$2007,매출원본!$AY$8:$AY$2007,$A81,매출원본!$AS$8:$AS$2007,"&gt;="&amp;(설정!$B$5-설정!$B$7),매출원본!$AS$8:$AS$2007,"&lt;="&amp;설정!$B$5)))</f>
        <v/>
      </c>
      <c r="X81" s="31">
        <f>IF($U81="","",MAX($W81,SUMIFS(매출원본!$AT$8:$AT$2007,매출원본!$AY$8:$AY$2007,$A81,매출원본!$AS$8:$AS$2007,"&gt;="&amp;(설정!$B$5-설정!$B$8),매출원본!$AS$8:$AS$2007,"&lt;="&amp;설정!$B$5)))</f>
        <v/>
      </c>
      <c r="AC81" s="31">
        <f>IF(OR($U81="",$T81=""),"",INDEX(거래처설정!$J$8:$J$407,$T81))</f>
        <v/>
      </c>
      <c r="AD81" s="31">
        <f>IF(OR($U81="",$T81=""),"",INDEX(거래처설정!$K$8:$K$407,$T81))</f>
        <v/>
      </c>
      <c r="AE81" s="31">
        <f>IF($U81="","",IF(LEN(SUBSTITUTE(SUBSTITUTE(SUBSTITUTE(SUBSTITUTE(SUBSTITUTE(SUBSTITUTE(SUBSTITUTE(SUBSTITUTE(SUBSTITUTE($C81," ",""),"　",""),"(주)",""),"（주）",""),"㈜",""),"주식회사",""),"(유)",""),"（유）",""),"유한회사",""))&lt;2,"",SUBSTITUTE(SUBSTITUTE(SUBSTITUTE(SUBSTITUTE(SUBSTITUTE(SUBSTITUTE(SUBSTITUTE(SUBSTITUTE(SUBSTITUTE($C81," ",""),"　",""),"(주)",""),"（주）",""),"㈜",""),"주식회사",""),"(유)",""),"（유）",""),"유한회사","")))</f>
        <v/>
      </c>
    </row>
    <row r="82">
      <c r="A82" s="38">
        <f>IF($U82="","",75)</f>
        <v/>
      </c>
      <c r="B82" s="38">
        <f>IF($U82="","",IF(LEN(INDEX(매출원본!$AU$8:$AU$2007,$U82))=10,LEFT(INDEX(매출원본!$AU$8:$AU$2007,$U82),3)&amp;"-"&amp;MID(INDEX(매출원본!$AU$8:$AU$2007,$U82),4,2)&amp;"-"&amp;RIGHT(INDEX(매출원본!$AU$8:$AU$2007,$U82),5),IF(LEFT(INDEX(매출원본!$AU$8:$AU$2007,$U82),2)="N:","(번호 없음)",INDEX(매출원본!$AU$8:$AU$2007,$U82))))</f>
        <v/>
      </c>
      <c r="C82" s="38">
        <f>IF($U82="","",INDEX(매출원본!$AV$8:$AV$2007,$U82))</f>
        <v/>
      </c>
      <c r="D82" s="39">
        <f>IF($U82="","",IF($T82="",0,N(INDEX(거래처설정!$E$8:$E$407,$T82))))</f>
        <v/>
      </c>
      <c r="E82" s="39">
        <f>IF($U82="","",SUMIFS(매출원본!$AT$8:$AT$2007,매출원본!$AY$8:$AY$2007,$A82,매출원본!$AS$8:$AS$2007,"&lt;="&amp;설정!$B$5))</f>
        <v/>
      </c>
      <c r="F82" s="39">
        <f>IF($U82="","",SUMIFS(입금_은행1!$Z$8:$Z$2007,입금_은행1!$AC$8:$AC$2007,$A82,입금_은행1!$Y$8:$Y$2007,"&lt;="&amp;설정!$B$5)+SUMIFS(입금_은행2!$Z$8:$Z$2007,입금_은행2!$AC$8:$AC$2007,$A82,입금_은행2!$Y$8:$Y$2007,"&lt;="&amp;설정!$B$5))</f>
        <v/>
      </c>
      <c r="G82" s="39">
        <f>IF($U82="","",$D82+$E82-$F82)</f>
        <v/>
      </c>
      <c r="H82" s="39">
        <f>IF($U82="","",MIN(MAX($G82,0),$V82))</f>
        <v/>
      </c>
      <c r="I82" s="39">
        <f>IF($U82="","",MIN(MAX($G82,0),$W82)-MIN(MAX($G82,0),$V82))</f>
        <v/>
      </c>
      <c r="J82" s="39">
        <f>IF($U82="","",MIN(MAX($G82,0),$X82)-MIN(MAX($G82,0),$W82))</f>
        <v/>
      </c>
      <c r="K82" s="39">
        <f>IF($U82="","",MAX($G82,0)-MIN(MAX($G82,0),$X82))</f>
        <v/>
      </c>
      <c r="L82" s="40">
        <f>IF($U82="","",IF(MAX(SUMPRODUCT(MAX((입금_은행1!$AC$8:$AC$2007=$A82)*(입금_은행1!$AE$8:$AE$2007&lt;=설정!$B$5)*입금_은행1!$AE$8:$AE$2007)),SUMPRODUCT(MAX((입금_은행2!$AC$8:$AC$2007=$A82)*(입금_은행2!$AE$8:$AE$2007&lt;=설정!$B$5)*입금_은행2!$AE$8:$AE$2007)))=0,"",MAX(SUMPRODUCT(MAX((입금_은행1!$AC$8:$AC$2007=$A82)*(입금_은행1!$AE$8:$AE$2007&lt;=설정!$B$5)*입금_은행1!$AE$8:$AE$2007)),SUMPRODUCT(MAX((입금_은행2!$AC$8:$AC$2007=$A82)*(입금_은행2!$AE$8:$AE$2007&lt;=설정!$B$5)*입금_은행2!$AE$8:$AE$2007)))))</f>
        <v/>
      </c>
      <c r="M82" s="38">
        <f>IF($U82="","",IF($T82="","",IF(INDEX(거래처설정!$F$8:$F$407,$T82)="","",INDEX(거래처설정!$F$8:$F$407,$T82))))</f>
        <v/>
      </c>
      <c r="N82" s="38">
        <f>IF($U82="","",IF($T82="","",IF(INDEX(거래처설정!$G$8:$G$407,$T82)="","",INDEX(거래처설정!$G$8:$G$407,$T82))))</f>
        <v/>
      </c>
      <c r="O82" s="38">
        <f>IF($U82="","",IF($M82="제외",0,IF($K82&gt;=설정!$B$9,3,IF($J82+$K82&gt;=설정!$B$9,2,IF($I82+$J82+$K82&gt;=설정!$B$9,1,0)))))</f>
        <v/>
      </c>
      <c r="P82" s="38">
        <f>IF($U82="","",IF($M82="제외","제외(조치 상태)",IF($O82=3,"③ 강한 독촉 후보 ("&amp;설정!$B$8&amp;"일 초과)",IF($O82=2,"② 독촉 후보 ("&amp;설정!$B$7&amp;"일 초과)",IF($O82=1,"① 안내 후보 ("&amp;설정!$B$6&amp;"일 초과)",IF($G82&gt;0,IF($I82+$J82+$K82&gt;0,"오래된 잔액 있음 (최소 금액 미만)","정상 범위"),IF($G82&lt;0,"선수금·초과입금 — 확인","완납")))))))</f>
        <v/>
      </c>
      <c r="Q82" s="38">
        <f>IF($U82="","",IF($G82&lt;0,"입금이 매출보다 큼 — 선수금이거나 다른 거래처 입금이 섞였는지 확인",IF(AND($AE82&lt;&gt;"",COUNTIF($AE$8:$AE$307,"*"&amp;$AE82&amp;"*")&gt;1),"이름이 다른 거래처와 겹침 — 입금이 잘못 맞았을 수 있으니 별칭 확인",IF(AND($G82&gt;0,$F82=0),"입금 매칭 없음 — 입금자명이 다르면 [거래처설정]에 별칭 등록",""))))</f>
        <v/>
      </c>
      <c r="R82" s="31">
        <f>IF(OR($U82="",$G82&lt;=0),"",$G82-$A82/10000)</f>
        <v/>
      </c>
      <c r="S82" s="31">
        <f>IF(OR($U82="",$O82&lt;1),"",$O82*10^11+$I82+$J82+$K82-$A82/1000)</f>
        <v/>
      </c>
      <c r="T82" s="31">
        <f>IF($U82="","",IFERROR(MATCH(INDEX(매출원본!$AU$8:$AU$2007,$U82),거래처설정!$I$8:$I$407,0),""))</f>
        <v/>
      </c>
      <c r="U82" s="31">
        <f>IFERROR(MATCH(75,매출원본!$AW$8:$AW$2007,0),"")</f>
        <v/>
      </c>
      <c r="V82" s="31">
        <f>IF($U82="","",MAX(SUMIFS(매출원본!$AT$8:$AT$2007,매출원본!$AY$8:$AY$2007,$A82,매출원본!$AS$8:$AS$2007,"&gt;="&amp;(설정!$B$5-설정!$B$6),매출원본!$AS$8:$AS$2007,"&lt;="&amp;설정!$B$5),0))</f>
        <v/>
      </c>
      <c r="W82" s="31">
        <f>IF($U82="","",MAX($V82,SUMIFS(매출원본!$AT$8:$AT$2007,매출원본!$AY$8:$AY$2007,$A82,매출원본!$AS$8:$AS$2007,"&gt;="&amp;(설정!$B$5-설정!$B$7),매출원본!$AS$8:$AS$2007,"&lt;="&amp;설정!$B$5)))</f>
        <v/>
      </c>
      <c r="X82" s="31">
        <f>IF($U82="","",MAX($W82,SUMIFS(매출원본!$AT$8:$AT$2007,매출원본!$AY$8:$AY$2007,$A82,매출원본!$AS$8:$AS$2007,"&gt;="&amp;(설정!$B$5-설정!$B$8),매출원본!$AS$8:$AS$2007,"&lt;="&amp;설정!$B$5)))</f>
        <v/>
      </c>
      <c r="AC82" s="31">
        <f>IF(OR($U82="",$T82=""),"",INDEX(거래처설정!$J$8:$J$407,$T82))</f>
        <v/>
      </c>
      <c r="AD82" s="31">
        <f>IF(OR($U82="",$T82=""),"",INDEX(거래처설정!$K$8:$K$407,$T82))</f>
        <v/>
      </c>
      <c r="AE82" s="31">
        <f>IF($U82="","",IF(LEN(SUBSTITUTE(SUBSTITUTE(SUBSTITUTE(SUBSTITUTE(SUBSTITUTE(SUBSTITUTE(SUBSTITUTE(SUBSTITUTE(SUBSTITUTE($C82," ",""),"　",""),"(주)",""),"（주）",""),"㈜",""),"주식회사",""),"(유)",""),"（유）",""),"유한회사",""))&lt;2,"",SUBSTITUTE(SUBSTITUTE(SUBSTITUTE(SUBSTITUTE(SUBSTITUTE(SUBSTITUTE(SUBSTITUTE(SUBSTITUTE(SUBSTITUTE($C82," ",""),"　",""),"(주)",""),"（주）",""),"㈜",""),"주식회사",""),"(유)",""),"（유）",""),"유한회사","")))</f>
        <v/>
      </c>
    </row>
    <row r="83">
      <c r="A83" s="38">
        <f>IF($U83="","",76)</f>
        <v/>
      </c>
      <c r="B83" s="38">
        <f>IF($U83="","",IF(LEN(INDEX(매출원본!$AU$8:$AU$2007,$U83))=10,LEFT(INDEX(매출원본!$AU$8:$AU$2007,$U83),3)&amp;"-"&amp;MID(INDEX(매출원본!$AU$8:$AU$2007,$U83),4,2)&amp;"-"&amp;RIGHT(INDEX(매출원본!$AU$8:$AU$2007,$U83),5),IF(LEFT(INDEX(매출원본!$AU$8:$AU$2007,$U83),2)="N:","(번호 없음)",INDEX(매출원본!$AU$8:$AU$2007,$U83))))</f>
        <v/>
      </c>
      <c r="C83" s="38">
        <f>IF($U83="","",INDEX(매출원본!$AV$8:$AV$2007,$U83))</f>
        <v/>
      </c>
      <c r="D83" s="39">
        <f>IF($U83="","",IF($T83="",0,N(INDEX(거래처설정!$E$8:$E$407,$T83))))</f>
        <v/>
      </c>
      <c r="E83" s="39">
        <f>IF($U83="","",SUMIFS(매출원본!$AT$8:$AT$2007,매출원본!$AY$8:$AY$2007,$A83,매출원본!$AS$8:$AS$2007,"&lt;="&amp;설정!$B$5))</f>
        <v/>
      </c>
      <c r="F83" s="39">
        <f>IF($U83="","",SUMIFS(입금_은행1!$Z$8:$Z$2007,입금_은행1!$AC$8:$AC$2007,$A83,입금_은행1!$Y$8:$Y$2007,"&lt;="&amp;설정!$B$5)+SUMIFS(입금_은행2!$Z$8:$Z$2007,입금_은행2!$AC$8:$AC$2007,$A83,입금_은행2!$Y$8:$Y$2007,"&lt;="&amp;설정!$B$5))</f>
        <v/>
      </c>
      <c r="G83" s="39">
        <f>IF($U83="","",$D83+$E83-$F83)</f>
        <v/>
      </c>
      <c r="H83" s="39">
        <f>IF($U83="","",MIN(MAX($G83,0),$V83))</f>
        <v/>
      </c>
      <c r="I83" s="39">
        <f>IF($U83="","",MIN(MAX($G83,0),$W83)-MIN(MAX($G83,0),$V83))</f>
        <v/>
      </c>
      <c r="J83" s="39">
        <f>IF($U83="","",MIN(MAX($G83,0),$X83)-MIN(MAX($G83,0),$W83))</f>
        <v/>
      </c>
      <c r="K83" s="39">
        <f>IF($U83="","",MAX($G83,0)-MIN(MAX($G83,0),$X83))</f>
        <v/>
      </c>
      <c r="L83" s="40">
        <f>IF($U83="","",IF(MAX(SUMPRODUCT(MAX((입금_은행1!$AC$8:$AC$2007=$A83)*(입금_은행1!$AE$8:$AE$2007&lt;=설정!$B$5)*입금_은행1!$AE$8:$AE$2007)),SUMPRODUCT(MAX((입금_은행2!$AC$8:$AC$2007=$A83)*(입금_은행2!$AE$8:$AE$2007&lt;=설정!$B$5)*입금_은행2!$AE$8:$AE$2007)))=0,"",MAX(SUMPRODUCT(MAX((입금_은행1!$AC$8:$AC$2007=$A83)*(입금_은행1!$AE$8:$AE$2007&lt;=설정!$B$5)*입금_은행1!$AE$8:$AE$2007)),SUMPRODUCT(MAX((입금_은행2!$AC$8:$AC$2007=$A83)*(입금_은행2!$AE$8:$AE$2007&lt;=설정!$B$5)*입금_은행2!$AE$8:$AE$2007)))))</f>
        <v/>
      </c>
      <c r="M83" s="38">
        <f>IF($U83="","",IF($T83="","",IF(INDEX(거래처설정!$F$8:$F$407,$T83)="","",INDEX(거래처설정!$F$8:$F$407,$T83))))</f>
        <v/>
      </c>
      <c r="N83" s="38">
        <f>IF($U83="","",IF($T83="","",IF(INDEX(거래처설정!$G$8:$G$407,$T83)="","",INDEX(거래처설정!$G$8:$G$407,$T83))))</f>
        <v/>
      </c>
      <c r="O83" s="38">
        <f>IF($U83="","",IF($M83="제외",0,IF($K83&gt;=설정!$B$9,3,IF($J83+$K83&gt;=설정!$B$9,2,IF($I83+$J83+$K83&gt;=설정!$B$9,1,0)))))</f>
        <v/>
      </c>
      <c r="P83" s="38">
        <f>IF($U83="","",IF($M83="제외","제외(조치 상태)",IF($O83=3,"③ 강한 독촉 후보 ("&amp;설정!$B$8&amp;"일 초과)",IF($O83=2,"② 독촉 후보 ("&amp;설정!$B$7&amp;"일 초과)",IF($O83=1,"① 안내 후보 ("&amp;설정!$B$6&amp;"일 초과)",IF($G83&gt;0,IF($I83+$J83+$K83&gt;0,"오래된 잔액 있음 (최소 금액 미만)","정상 범위"),IF($G83&lt;0,"선수금·초과입금 — 확인","완납")))))))</f>
        <v/>
      </c>
      <c r="Q83" s="38">
        <f>IF($U83="","",IF($G83&lt;0,"입금이 매출보다 큼 — 선수금이거나 다른 거래처 입금이 섞였는지 확인",IF(AND($AE83&lt;&gt;"",COUNTIF($AE$8:$AE$307,"*"&amp;$AE83&amp;"*")&gt;1),"이름이 다른 거래처와 겹침 — 입금이 잘못 맞았을 수 있으니 별칭 확인",IF(AND($G83&gt;0,$F83=0),"입금 매칭 없음 — 입금자명이 다르면 [거래처설정]에 별칭 등록",""))))</f>
        <v/>
      </c>
      <c r="R83" s="31">
        <f>IF(OR($U83="",$G83&lt;=0),"",$G83-$A83/10000)</f>
        <v/>
      </c>
      <c r="S83" s="31">
        <f>IF(OR($U83="",$O83&lt;1),"",$O83*10^11+$I83+$J83+$K83-$A83/1000)</f>
        <v/>
      </c>
      <c r="T83" s="31">
        <f>IF($U83="","",IFERROR(MATCH(INDEX(매출원본!$AU$8:$AU$2007,$U83),거래처설정!$I$8:$I$407,0),""))</f>
        <v/>
      </c>
      <c r="U83" s="31">
        <f>IFERROR(MATCH(76,매출원본!$AW$8:$AW$2007,0),"")</f>
        <v/>
      </c>
      <c r="V83" s="31">
        <f>IF($U83="","",MAX(SUMIFS(매출원본!$AT$8:$AT$2007,매출원본!$AY$8:$AY$2007,$A83,매출원본!$AS$8:$AS$2007,"&gt;="&amp;(설정!$B$5-설정!$B$6),매출원본!$AS$8:$AS$2007,"&lt;="&amp;설정!$B$5),0))</f>
        <v/>
      </c>
      <c r="W83" s="31">
        <f>IF($U83="","",MAX($V83,SUMIFS(매출원본!$AT$8:$AT$2007,매출원본!$AY$8:$AY$2007,$A83,매출원본!$AS$8:$AS$2007,"&gt;="&amp;(설정!$B$5-설정!$B$7),매출원본!$AS$8:$AS$2007,"&lt;="&amp;설정!$B$5)))</f>
        <v/>
      </c>
      <c r="X83" s="31">
        <f>IF($U83="","",MAX($W83,SUMIFS(매출원본!$AT$8:$AT$2007,매출원본!$AY$8:$AY$2007,$A83,매출원본!$AS$8:$AS$2007,"&gt;="&amp;(설정!$B$5-설정!$B$8),매출원본!$AS$8:$AS$2007,"&lt;="&amp;설정!$B$5)))</f>
        <v/>
      </c>
      <c r="AC83" s="31">
        <f>IF(OR($U83="",$T83=""),"",INDEX(거래처설정!$J$8:$J$407,$T83))</f>
        <v/>
      </c>
      <c r="AD83" s="31">
        <f>IF(OR($U83="",$T83=""),"",INDEX(거래처설정!$K$8:$K$407,$T83))</f>
        <v/>
      </c>
      <c r="AE83" s="31">
        <f>IF($U83="","",IF(LEN(SUBSTITUTE(SUBSTITUTE(SUBSTITUTE(SUBSTITUTE(SUBSTITUTE(SUBSTITUTE(SUBSTITUTE(SUBSTITUTE(SUBSTITUTE($C83," ",""),"　",""),"(주)",""),"（주）",""),"㈜",""),"주식회사",""),"(유)",""),"（유）",""),"유한회사",""))&lt;2,"",SUBSTITUTE(SUBSTITUTE(SUBSTITUTE(SUBSTITUTE(SUBSTITUTE(SUBSTITUTE(SUBSTITUTE(SUBSTITUTE(SUBSTITUTE($C83," ",""),"　",""),"(주)",""),"（주）",""),"㈜",""),"주식회사",""),"(유)",""),"（유）",""),"유한회사","")))</f>
        <v/>
      </c>
    </row>
    <row r="84">
      <c r="A84" s="38">
        <f>IF($U84="","",77)</f>
        <v/>
      </c>
      <c r="B84" s="38">
        <f>IF($U84="","",IF(LEN(INDEX(매출원본!$AU$8:$AU$2007,$U84))=10,LEFT(INDEX(매출원본!$AU$8:$AU$2007,$U84),3)&amp;"-"&amp;MID(INDEX(매출원본!$AU$8:$AU$2007,$U84),4,2)&amp;"-"&amp;RIGHT(INDEX(매출원본!$AU$8:$AU$2007,$U84),5),IF(LEFT(INDEX(매출원본!$AU$8:$AU$2007,$U84),2)="N:","(번호 없음)",INDEX(매출원본!$AU$8:$AU$2007,$U84))))</f>
        <v/>
      </c>
      <c r="C84" s="38">
        <f>IF($U84="","",INDEX(매출원본!$AV$8:$AV$2007,$U84))</f>
        <v/>
      </c>
      <c r="D84" s="39">
        <f>IF($U84="","",IF($T84="",0,N(INDEX(거래처설정!$E$8:$E$407,$T84))))</f>
        <v/>
      </c>
      <c r="E84" s="39">
        <f>IF($U84="","",SUMIFS(매출원본!$AT$8:$AT$2007,매출원본!$AY$8:$AY$2007,$A84,매출원본!$AS$8:$AS$2007,"&lt;="&amp;설정!$B$5))</f>
        <v/>
      </c>
      <c r="F84" s="39">
        <f>IF($U84="","",SUMIFS(입금_은행1!$Z$8:$Z$2007,입금_은행1!$AC$8:$AC$2007,$A84,입금_은행1!$Y$8:$Y$2007,"&lt;="&amp;설정!$B$5)+SUMIFS(입금_은행2!$Z$8:$Z$2007,입금_은행2!$AC$8:$AC$2007,$A84,입금_은행2!$Y$8:$Y$2007,"&lt;="&amp;설정!$B$5))</f>
        <v/>
      </c>
      <c r="G84" s="39">
        <f>IF($U84="","",$D84+$E84-$F84)</f>
        <v/>
      </c>
      <c r="H84" s="39">
        <f>IF($U84="","",MIN(MAX($G84,0),$V84))</f>
        <v/>
      </c>
      <c r="I84" s="39">
        <f>IF($U84="","",MIN(MAX($G84,0),$W84)-MIN(MAX($G84,0),$V84))</f>
        <v/>
      </c>
      <c r="J84" s="39">
        <f>IF($U84="","",MIN(MAX($G84,0),$X84)-MIN(MAX($G84,0),$W84))</f>
        <v/>
      </c>
      <c r="K84" s="39">
        <f>IF($U84="","",MAX($G84,0)-MIN(MAX($G84,0),$X84))</f>
        <v/>
      </c>
      <c r="L84" s="40">
        <f>IF($U84="","",IF(MAX(SUMPRODUCT(MAX((입금_은행1!$AC$8:$AC$2007=$A84)*(입금_은행1!$AE$8:$AE$2007&lt;=설정!$B$5)*입금_은행1!$AE$8:$AE$2007)),SUMPRODUCT(MAX((입금_은행2!$AC$8:$AC$2007=$A84)*(입금_은행2!$AE$8:$AE$2007&lt;=설정!$B$5)*입금_은행2!$AE$8:$AE$2007)))=0,"",MAX(SUMPRODUCT(MAX((입금_은행1!$AC$8:$AC$2007=$A84)*(입금_은행1!$AE$8:$AE$2007&lt;=설정!$B$5)*입금_은행1!$AE$8:$AE$2007)),SUMPRODUCT(MAX((입금_은행2!$AC$8:$AC$2007=$A84)*(입금_은행2!$AE$8:$AE$2007&lt;=설정!$B$5)*입금_은행2!$AE$8:$AE$2007)))))</f>
        <v/>
      </c>
      <c r="M84" s="38">
        <f>IF($U84="","",IF($T84="","",IF(INDEX(거래처설정!$F$8:$F$407,$T84)="","",INDEX(거래처설정!$F$8:$F$407,$T84))))</f>
        <v/>
      </c>
      <c r="N84" s="38">
        <f>IF($U84="","",IF($T84="","",IF(INDEX(거래처설정!$G$8:$G$407,$T84)="","",INDEX(거래처설정!$G$8:$G$407,$T84))))</f>
        <v/>
      </c>
      <c r="O84" s="38">
        <f>IF($U84="","",IF($M84="제외",0,IF($K84&gt;=설정!$B$9,3,IF($J84+$K84&gt;=설정!$B$9,2,IF($I84+$J84+$K84&gt;=설정!$B$9,1,0)))))</f>
        <v/>
      </c>
      <c r="P84" s="38">
        <f>IF($U84="","",IF($M84="제외","제외(조치 상태)",IF($O84=3,"③ 강한 독촉 후보 ("&amp;설정!$B$8&amp;"일 초과)",IF($O84=2,"② 독촉 후보 ("&amp;설정!$B$7&amp;"일 초과)",IF($O84=1,"① 안내 후보 ("&amp;설정!$B$6&amp;"일 초과)",IF($G84&gt;0,IF($I84+$J84+$K84&gt;0,"오래된 잔액 있음 (최소 금액 미만)","정상 범위"),IF($G84&lt;0,"선수금·초과입금 — 확인","완납")))))))</f>
        <v/>
      </c>
      <c r="Q84" s="38">
        <f>IF($U84="","",IF($G84&lt;0,"입금이 매출보다 큼 — 선수금이거나 다른 거래처 입금이 섞였는지 확인",IF(AND($AE84&lt;&gt;"",COUNTIF($AE$8:$AE$307,"*"&amp;$AE84&amp;"*")&gt;1),"이름이 다른 거래처와 겹침 — 입금이 잘못 맞았을 수 있으니 별칭 확인",IF(AND($G84&gt;0,$F84=0),"입금 매칭 없음 — 입금자명이 다르면 [거래처설정]에 별칭 등록",""))))</f>
        <v/>
      </c>
      <c r="R84" s="31">
        <f>IF(OR($U84="",$G84&lt;=0),"",$G84-$A84/10000)</f>
        <v/>
      </c>
      <c r="S84" s="31">
        <f>IF(OR($U84="",$O84&lt;1),"",$O84*10^11+$I84+$J84+$K84-$A84/1000)</f>
        <v/>
      </c>
      <c r="T84" s="31">
        <f>IF($U84="","",IFERROR(MATCH(INDEX(매출원본!$AU$8:$AU$2007,$U84),거래처설정!$I$8:$I$407,0),""))</f>
        <v/>
      </c>
      <c r="U84" s="31">
        <f>IFERROR(MATCH(77,매출원본!$AW$8:$AW$2007,0),"")</f>
        <v/>
      </c>
      <c r="V84" s="31">
        <f>IF($U84="","",MAX(SUMIFS(매출원본!$AT$8:$AT$2007,매출원본!$AY$8:$AY$2007,$A84,매출원본!$AS$8:$AS$2007,"&gt;="&amp;(설정!$B$5-설정!$B$6),매출원본!$AS$8:$AS$2007,"&lt;="&amp;설정!$B$5),0))</f>
        <v/>
      </c>
      <c r="W84" s="31">
        <f>IF($U84="","",MAX($V84,SUMIFS(매출원본!$AT$8:$AT$2007,매출원본!$AY$8:$AY$2007,$A84,매출원본!$AS$8:$AS$2007,"&gt;="&amp;(설정!$B$5-설정!$B$7),매출원본!$AS$8:$AS$2007,"&lt;="&amp;설정!$B$5)))</f>
        <v/>
      </c>
      <c r="X84" s="31">
        <f>IF($U84="","",MAX($W84,SUMIFS(매출원본!$AT$8:$AT$2007,매출원본!$AY$8:$AY$2007,$A84,매출원본!$AS$8:$AS$2007,"&gt;="&amp;(설정!$B$5-설정!$B$8),매출원본!$AS$8:$AS$2007,"&lt;="&amp;설정!$B$5)))</f>
        <v/>
      </c>
      <c r="AC84" s="31">
        <f>IF(OR($U84="",$T84=""),"",INDEX(거래처설정!$J$8:$J$407,$T84))</f>
        <v/>
      </c>
      <c r="AD84" s="31">
        <f>IF(OR($U84="",$T84=""),"",INDEX(거래처설정!$K$8:$K$407,$T84))</f>
        <v/>
      </c>
      <c r="AE84" s="31">
        <f>IF($U84="","",IF(LEN(SUBSTITUTE(SUBSTITUTE(SUBSTITUTE(SUBSTITUTE(SUBSTITUTE(SUBSTITUTE(SUBSTITUTE(SUBSTITUTE(SUBSTITUTE($C84," ",""),"　",""),"(주)",""),"（주）",""),"㈜",""),"주식회사",""),"(유)",""),"（유）",""),"유한회사",""))&lt;2,"",SUBSTITUTE(SUBSTITUTE(SUBSTITUTE(SUBSTITUTE(SUBSTITUTE(SUBSTITUTE(SUBSTITUTE(SUBSTITUTE(SUBSTITUTE($C84," ",""),"　",""),"(주)",""),"（주）",""),"㈜",""),"주식회사",""),"(유)",""),"（유）",""),"유한회사","")))</f>
        <v/>
      </c>
    </row>
    <row r="85">
      <c r="A85" s="38">
        <f>IF($U85="","",78)</f>
        <v/>
      </c>
      <c r="B85" s="38">
        <f>IF($U85="","",IF(LEN(INDEX(매출원본!$AU$8:$AU$2007,$U85))=10,LEFT(INDEX(매출원본!$AU$8:$AU$2007,$U85),3)&amp;"-"&amp;MID(INDEX(매출원본!$AU$8:$AU$2007,$U85),4,2)&amp;"-"&amp;RIGHT(INDEX(매출원본!$AU$8:$AU$2007,$U85),5),IF(LEFT(INDEX(매출원본!$AU$8:$AU$2007,$U85),2)="N:","(번호 없음)",INDEX(매출원본!$AU$8:$AU$2007,$U85))))</f>
        <v/>
      </c>
      <c r="C85" s="38">
        <f>IF($U85="","",INDEX(매출원본!$AV$8:$AV$2007,$U85))</f>
        <v/>
      </c>
      <c r="D85" s="39">
        <f>IF($U85="","",IF($T85="",0,N(INDEX(거래처설정!$E$8:$E$407,$T85))))</f>
        <v/>
      </c>
      <c r="E85" s="39">
        <f>IF($U85="","",SUMIFS(매출원본!$AT$8:$AT$2007,매출원본!$AY$8:$AY$2007,$A85,매출원본!$AS$8:$AS$2007,"&lt;="&amp;설정!$B$5))</f>
        <v/>
      </c>
      <c r="F85" s="39">
        <f>IF($U85="","",SUMIFS(입금_은행1!$Z$8:$Z$2007,입금_은행1!$AC$8:$AC$2007,$A85,입금_은행1!$Y$8:$Y$2007,"&lt;="&amp;설정!$B$5)+SUMIFS(입금_은행2!$Z$8:$Z$2007,입금_은행2!$AC$8:$AC$2007,$A85,입금_은행2!$Y$8:$Y$2007,"&lt;="&amp;설정!$B$5))</f>
        <v/>
      </c>
      <c r="G85" s="39">
        <f>IF($U85="","",$D85+$E85-$F85)</f>
        <v/>
      </c>
      <c r="H85" s="39">
        <f>IF($U85="","",MIN(MAX($G85,0),$V85))</f>
        <v/>
      </c>
      <c r="I85" s="39">
        <f>IF($U85="","",MIN(MAX($G85,0),$W85)-MIN(MAX($G85,0),$V85))</f>
        <v/>
      </c>
      <c r="J85" s="39">
        <f>IF($U85="","",MIN(MAX($G85,0),$X85)-MIN(MAX($G85,0),$W85))</f>
        <v/>
      </c>
      <c r="K85" s="39">
        <f>IF($U85="","",MAX($G85,0)-MIN(MAX($G85,0),$X85))</f>
        <v/>
      </c>
      <c r="L85" s="40">
        <f>IF($U85="","",IF(MAX(SUMPRODUCT(MAX((입금_은행1!$AC$8:$AC$2007=$A85)*(입금_은행1!$AE$8:$AE$2007&lt;=설정!$B$5)*입금_은행1!$AE$8:$AE$2007)),SUMPRODUCT(MAX((입금_은행2!$AC$8:$AC$2007=$A85)*(입금_은행2!$AE$8:$AE$2007&lt;=설정!$B$5)*입금_은행2!$AE$8:$AE$2007)))=0,"",MAX(SUMPRODUCT(MAX((입금_은행1!$AC$8:$AC$2007=$A85)*(입금_은행1!$AE$8:$AE$2007&lt;=설정!$B$5)*입금_은행1!$AE$8:$AE$2007)),SUMPRODUCT(MAX((입금_은행2!$AC$8:$AC$2007=$A85)*(입금_은행2!$AE$8:$AE$2007&lt;=설정!$B$5)*입금_은행2!$AE$8:$AE$2007)))))</f>
        <v/>
      </c>
      <c r="M85" s="38">
        <f>IF($U85="","",IF($T85="","",IF(INDEX(거래처설정!$F$8:$F$407,$T85)="","",INDEX(거래처설정!$F$8:$F$407,$T85))))</f>
        <v/>
      </c>
      <c r="N85" s="38">
        <f>IF($U85="","",IF($T85="","",IF(INDEX(거래처설정!$G$8:$G$407,$T85)="","",INDEX(거래처설정!$G$8:$G$407,$T85))))</f>
        <v/>
      </c>
      <c r="O85" s="38">
        <f>IF($U85="","",IF($M85="제외",0,IF($K85&gt;=설정!$B$9,3,IF($J85+$K85&gt;=설정!$B$9,2,IF($I85+$J85+$K85&gt;=설정!$B$9,1,0)))))</f>
        <v/>
      </c>
      <c r="P85" s="38">
        <f>IF($U85="","",IF($M85="제외","제외(조치 상태)",IF($O85=3,"③ 강한 독촉 후보 ("&amp;설정!$B$8&amp;"일 초과)",IF($O85=2,"② 독촉 후보 ("&amp;설정!$B$7&amp;"일 초과)",IF($O85=1,"① 안내 후보 ("&amp;설정!$B$6&amp;"일 초과)",IF($G85&gt;0,IF($I85+$J85+$K85&gt;0,"오래된 잔액 있음 (최소 금액 미만)","정상 범위"),IF($G85&lt;0,"선수금·초과입금 — 확인","완납")))))))</f>
        <v/>
      </c>
      <c r="Q85" s="38">
        <f>IF($U85="","",IF($G85&lt;0,"입금이 매출보다 큼 — 선수금이거나 다른 거래처 입금이 섞였는지 확인",IF(AND($AE85&lt;&gt;"",COUNTIF($AE$8:$AE$307,"*"&amp;$AE85&amp;"*")&gt;1),"이름이 다른 거래처와 겹침 — 입금이 잘못 맞았을 수 있으니 별칭 확인",IF(AND($G85&gt;0,$F85=0),"입금 매칭 없음 — 입금자명이 다르면 [거래처설정]에 별칭 등록",""))))</f>
        <v/>
      </c>
      <c r="R85" s="31">
        <f>IF(OR($U85="",$G85&lt;=0),"",$G85-$A85/10000)</f>
        <v/>
      </c>
      <c r="S85" s="31">
        <f>IF(OR($U85="",$O85&lt;1),"",$O85*10^11+$I85+$J85+$K85-$A85/1000)</f>
        <v/>
      </c>
      <c r="T85" s="31">
        <f>IF($U85="","",IFERROR(MATCH(INDEX(매출원본!$AU$8:$AU$2007,$U85),거래처설정!$I$8:$I$407,0),""))</f>
        <v/>
      </c>
      <c r="U85" s="31">
        <f>IFERROR(MATCH(78,매출원본!$AW$8:$AW$2007,0),"")</f>
        <v/>
      </c>
      <c r="V85" s="31">
        <f>IF($U85="","",MAX(SUMIFS(매출원본!$AT$8:$AT$2007,매출원본!$AY$8:$AY$2007,$A85,매출원본!$AS$8:$AS$2007,"&gt;="&amp;(설정!$B$5-설정!$B$6),매출원본!$AS$8:$AS$2007,"&lt;="&amp;설정!$B$5),0))</f>
        <v/>
      </c>
      <c r="W85" s="31">
        <f>IF($U85="","",MAX($V85,SUMIFS(매출원본!$AT$8:$AT$2007,매출원본!$AY$8:$AY$2007,$A85,매출원본!$AS$8:$AS$2007,"&gt;="&amp;(설정!$B$5-설정!$B$7),매출원본!$AS$8:$AS$2007,"&lt;="&amp;설정!$B$5)))</f>
        <v/>
      </c>
      <c r="X85" s="31">
        <f>IF($U85="","",MAX($W85,SUMIFS(매출원본!$AT$8:$AT$2007,매출원본!$AY$8:$AY$2007,$A85,매출원본!$AS$8:$AS$2007,"&gt;="&amp;(설정!$B$5-설정!$B$8),매출원본!$AS$8:$AS$2007,"&lt;="&amp;설정!$B$5)))</f>
        <v/>
      </c>
      <c r="AC85" s="31">
        <f>IF(OR($U85="",$T85=""),"",INDEX(거래처설정!$J$8:$J$407,$T85))</f>
        <v/>
      </c>
      <c r="AD85" s="31">
        <f>IF(OR($U85="",$T85=""),"",INDEX(거래처설정!$K$8:$K$407,$T85))</f>
        <v/>
      </c>
      <c r="AE85" s="31">
        <f>IF($U85="","",IF(LEN(SUBSTITUTE(SUBSTITUTE(SUBSTITUTE(SUBSTITUTE(SUBSTITUTE(SUBSTITUTE(SUBSTITUTE(SUBSTITUTE(SUBSTITUTE($C85," ",""),"　",""),"(주)",""),"（주）",""),"㈜",""),"주식회사",""),"(유)",""),"（유）",""),"유한회사",""))&lt;2,"",SUBSTITUTE(SUBSTITUTE(SUBSTITUTE(SUBSTITUTE(SUBSTITUTE(SUBSTITUTE(SUBSTITUTE(SUBSTITUTE(SUBSTITUTE($C85," ",""),"　",""),"(주)",""),"（주）",""),"㈜",""),"주식회사",""),"(유)",""),"（유）",""),"유한회사","")))</f>
        <v/>
      </c>
    </row>
    <row r="86">
      <c r="A86" s="38">
        <f>IF($U86="","",79)</f>
        <v/>
      </c>
      <c r="B86" s="38">
        <f>IF($U86="","",IF(LEN(INDEX(매출원본!$AU$8:$AU$2007,$U86))=10,LEFT(INDEX(매출원본!$AU$8:$AU$2007,$U86),3)&amp;"-"&amp;MID(INDEX(매출원본!$AU$8:$AU$2007,$U86),4,2)&amp;"-"&amp;RIGHT(INDEX(매출원본!$AU$8:$AU$2007,$U86),5),IF(LEFT(INDEX(매출원본!$AU$8:$AU$2007,$U86),2)="N:","(번호 없음)",INDEX(매출원본!$AU$8:$AU$2007,$U86))))</f>
        <v/>
      </c>
      <c r="C86" s="38">
        <f>IF($U86="","",INDEX(매출원본!$AV$8:$AV$2007,$U86))</f>
        <v/>
      </c>
      <c r="D86" s="39">
        <f>IF($U86="","",IF($T86="",0,N(INDEX(거래처설정!$E$8:$E$407,$T86))))</f>
        <v/>
      </c>
      <c r="E86" s="39">
        <f>IF($U86="","",SUMIFS(매출원본!$AT$8:$AT$2007,매출원본!$AY$8:$AY$2007,$A86,매출원본!$AS$8:$AS$2007,"&lt;="&amp;설정!$B$5))</f>
        <v/>
      </c>
      <c r="F86" s="39">
        <f>IF($U86="","",SUMIFS(입금_은행1!$Z$8:$Z$2007,입금_은행1!$AC$8:$AC$2007,$A86,입금_은행1!$Y$8:$Y$2007,"&lt;="&amp;설정!$B$5)+SUMIFS(입금_은행2!$Z$8:$Z$2007,입금_은행2!$AC$8:$AC$2007,$A86,입금_은행2!$Y$8:$Y$2007,"&lt;="&amp;설정!$B$5))</f>
        <v/>
      </c>
      <c r="G86" s="39">
        <f>IF($U86="","",$D86+$E86-$F86)</f>
        <v/>
      </c>
      <c r="H86" s="39">
        <f>IF($U86="","",MIN(MAX($G86,0),$V86))</f>
        <v/>
      </c>
      <c r="I86" s="39">
        <f>IF($U86="","",MIN(MAX($G86,0),$W86)-MIN(MAX($G86,0),$V86))</f>
        <v/>
      </c>
      <c r="J86" s="39">
        <f>IF($U86="","",MIN(MAX($G86,0),$X86)-MIN(MAX($G86,0),$W86))</f>
        <v/>
      </c>
      <c r="K86" s="39">
        <f>IF($U86="","",MAX($G86,0)-MIN(MAX($G86,0),$X86))</f>
        <v/>
      </c>
      <c r="L86" s="40">
        <f>IF($U86="","",IF(MAX(SUMPRODUCT(MAX((입금_은행1!$AC$8:$AC$2007=$A86)*(입금_은행1!$AE$8:$AE$2007&lt;=설정!$B$5)*입금_은행1!$AE$8:$AE$2007)),SUMPRODUCT(MAX((입금_은행2!$AC$8:$AC$2007=$A86)*(입금_은행2!$AE$8:$AE$2007&lt;=설정!$B$5)*입금_은행2!$AE$8:$AE$2007)))=0,"",MAX(SUMPRODUCT(MAX((입금_은행1!$AC$8:$AC$2007=$A86)*(입금_은행1!$AE$8:$AE$2007&lt;=설정!$B$5)*입금_은행1!$AE$8:$AE$2007)),SUMPRODUCT(MAX((입금_은행2!$AC$8:$AC$2007=$A86)*(입금_은행2!$AE$8:$AE$2007&lt;=설정!$B$5)*입금_은행2!$AE$8:$AE$2007)))))</f>
        <v/>
      </c>
      <c r="M86" s="38">
        <f>IF($U86="","",IF($T86="","",IF(INDEX(거래처설정!$F$8:$F$407,$T86)="","",INDEX(거래처설정!$F$8:$F$407,$T86))))</f>
        <v/>
      </c>
      <c r="N86" s="38">
        <f>IF($U86="","",IF($T86="","",IF(INDEX(거래처설정!$G$8:$G$407,$T86)="","",INDEX(거래처설정!$G$8:$G$407,$T86))))</f>
        <v/>
      </c>
      <c r="O86" s="38">
        <f>IF($U86="","",IF($M86="제외",0,IF($K86&gt;=설정!$B$9,3,IF($J86+$K86&gt;=설정!$B$9,2,IF($I86+$J86+$K86&gt;=설정!$B$9,1,0)))))</f>
        <v/>
      </c>
      <c r="P86" s="38">
        <f>IF($U86="","",IF($M86="제외","제외(조치 상태)",IF($O86=3,"③ 강한 독촉 후보 ("&amp;설정!$B$8&amp;"일 초과)",IF($O86=2,"② 독촉 후보 ("&amp;설정!$B$7&amp;"일 초과)",IF($O86=1,"① 안내 후보 ("&amp;설정!$B$6&amp;"일 초과)",IF($G86&gt;0,IF($I86+$J86+$K86&gt;0,"오래된 잔액 있음 (최소 금액 미만)","정상 범위"),IF($G86&lt;0,"선수금·초과입금 — 확인","완납")))))))</f>
        <v/>
      </c>
      <c r="Q86" s="38">
        <f>IF($U86="","",IF($G86&lt;0,"입금이 매출보다 큼 — 선수금이거나 다른 거래처 입금이 섞였는지 확인",IF(AND($AE86&lt;&gt;"",COUNTIF($AE$8:$AE$307,"*"&amp;$AE86&amp;"*")&gt;1),"이름이 다른 거래처와 겹침 — 입금이 잘못 맞았을 수 있으니 별칭 확인",IF(AND($G86&gt;0,$F86=0),"입금 매칭 없음 — 입금자명이 다르면 [거래처설정]에 별칭 등록",""))))</f>
        <v/>
      </c>
      <c r="R86" s="31">
        <f>IF(OR($U86="",$G86&lt;=0),"",$G86-$A86/10000)</f>
        <v/>
      </c>
      <c r="S86" s="31">
        <f>IF(OR($U86="",$O86&lt;1),"",$O86*10^11+$I86+$J86+$K86-$A86/1000)</f>
        <v/>
      </c>
      <c r="T86" s="31">
        <f>IF($U86="","",IFERROR(MATCH(INDEX(매출원본!$AU$8:$AU$2007,$U86),거래처설정!$I$8:$I$407,0),""))</f>
        <v/>
      </c>
      <c r="U86" s="31">
        <f>IFERROR(MATCH(79,매출원본!$AW$8:$AW$2007,0),"")</f>
        <v/>
      </c>
      <c r="V86" s="31">
        <f>IF($U86="","",MAX(SUMIFS(매출원본!$AT$8:$AT$2007,매출원본!$AY$8:$AY$2007,$A86,매출원본!$AS$8:$AS$2007,"&gt;="&amp;(설정!$B$5-설정!$B$6),매출원본!$AS$8:$AS$2007,"&lt;="&amp;설정!$B$5),0))</f>
        <v/>
      </c>
      <c r="W86" s="31">
        <f>IF($U86="","",MAX($V86,SUMIFS(매출원본!$AT$8:$AT$2007,매출원본!$AY$8:$AY$2007,$A86,매출원본!$AS$8:$AS$2007,"&gt;="&amp;(설정!$B$5-설정!$B$7),매출원본!$AS$8:$AS$2007,"&lt;="&amp;설정!$B$5)))</f>
        <v/>
      </c>
      <c r="X86" s="31">
        <f>IF($U86="","",MAX($W86,SUMIFS(매출원본!$AT$8:$AT$2007,매출원본!$AY$8:$AY$2007,$A86,매출원본!$AS$8:$AS$2007,"&gt;="&amp;(설정!$B$5-설정!$B$8),매출원본!$AS$8:$AS$2007,"&lt;="&amp;설정!$B$5)))</f>
        <v/>
      </c>
      <c r="AC86" s="31">
        <f>IF(OR($U86="",$T86=""),"",INDEX(거래처설정!$J$8:$J$407,$T86))</f>
        <v/>
      </c>
      <c r="AD86" s="31">
        <f>IF(OR($U86="",$T86=""),"",INDEX(거래처설정!$K$8:$K$407,$T86))</f>
        <v/>
      </c>
      <c r="AE86" s="31">
        <f>IF($U86="","",IF(LEN(SUBSTITUTE(SUBSTITUTE(SUBSTITUTE(SUBSTITUTE(SUBSTITUTE(SUBSTITUTE(SUBSTITUTE(SUBSTITUTE(SUBSTITUTE($C86," ",""),"　",""),"(주)",""),"（주）",""),"㈜",""),"주식회사",""),"(유)",""),"（유）",""),"유한회사",""))&lt;2,"",SUBSTITUTE(SUBSTITUTE(SUBSTITUTE(SUBSTITUTE(SUBSTITUTE(SUBSTITUTE(SUBSTITUTE(SUBSTITUTE(SUBSTITUTE($C86," ",""),"　",""),"(주)",""),"（주）",""),"㈜",""),"주식회사",""),"(유)",""),"（유）",""),"유한회사","")))</f>
        <v/>
      </c>
    </row>
    <row r="87">
      <c r="A87" s="38">
        <f>IF($U87="","",80)</f>
        <v/>
      </c>
      <c r="B87" s="38">
        <f>IF($U87="","",IF(LEN(INDEX(매출원본!$AU$8:$AU$2007,$U87))=10,LEFT(INDEX(매출원본!$AU$8:$AU$2007,$U87),3)&amp;"-"&amp;MID(INDEX(매출원본!$AU$8:$AU$2007,$U87),4,2)&amp;"-"&amp;RIGHT(INDEX(매출원본!$AU$8:$AU$2007,$U87),5),IF(LEFT(INDEX(매출원본!$AU$8:$AU$2007,$U87),2)="N:","(번호 없음)",INDEX(매출원본!$AU$8:$AU$2007,$U87))))</f>
        <v/>
      </c>
      <c r="C87" s="38">
        <f>IF($U87="","",INDEX(매출원본!$AV$8:$AV$2007,$U87))</f>
        <v/>
      </c>
      <c r="D87" s="39">
        <f>IF($U87="","",IF($T87="",0,N(INDEX(거래처설정!$E$8:$E$407,$T87))))</f>
        <v/>
      </c>
      <c r="E87" s="39">
        <f>IF($U87="","",SUMIFS(매출원본!$AT$8:$AT$2007,매출원본!$AY$8:$AY$2007,$A87,매출원본!$AS$8:$AS$2007,"&lt;="&amp;설정!$B$5))</f>
        <v/>
      </c>
      <c r="F87" s="39">
        <f>IF($U87="","",SUMIFS(입금_은행1!$Z$8:$Z$2007,입금_은행1!$AC$8:$AC$2007,$A87,입금_은행1!$Y$8:$Y$2007,"&lt;="&amp;설정!$B$5)+SUMIFS(입금_은행2!$Z$8:$Z$2007,입금_은행2!$AC$8:$AC$2007,$A87,입금_은행2!$Y$8:$Y$2007,"&lt;="&amp;설정!$B$5))</f>
        <v/>
      </c>
      <c r="G87" s="39">
        <f>IF($U87="","",$D87+$E87-$F87)</f>
        <v/>
      </c>
      <c r="H87" s="39">
        <f>IF($U87="","",MIN(MAX($G87,0),$V87))</f>
        <v/>
      </c>
      <c r="I87" s="39">
        <f>IF($U87="","",MIN(MAX($G87,0),$W87)-MIN(MAX($G87,0),$V87))</f>
        <v/>
      </c>
      <c r="J87" s="39">
        <f>IF($U87="","",MIN(MAX($G87,0),$X87)-MIN(MAX($G87,0),$W87))</f>
        <v/>
      </c>
      <c r="K87" s="39">
        <f>IF($U87="","",MAX($G87,0)-MIN(MAX($G87,0),$X87))</f>
        <v/>
      </c>
      <c r="L87" s="40">
        <f>IF($U87="","",IF(MAX(SUMPRODUCT(MAX((입금_은행1!$AC$8:$AC$2007=$A87)*(입금_은행1!$AE$8:$AE$2007&lt;=설정!$B$5)*입금_은행1!$AE$8:$AE$2007)),SUMPRODUCT(MAX((입금_은행2!$AC$8:$AC$2007=$A87)*(입금_은행2!$AE$8:$AE$2007&lt;=설정!$B$5)*입금_은행2!$AE$8:$AE$2007)))=0,"",MAX(SUMPRODUCT(MAX((입금_은행1!$AC$8:$AC$2007=$A87)*(입금_은행1!$AE$8:$AE$2007&lt;=설정!$B$5)*입금_은행1!$AE$8:$AE$2007)),SUMPRODUCT(MAX((입금_은행2!$AC$8:$AC$2007=$A87)*(입금_은행2!$AE$8:$AE$2007&lt;=설정!$B$5)*입금_은행2!$AE$8:$AE$2007)))))</f>
        <v/>
      </c>
      <c r="M87" s="38">
        <f>IF($U87="","",IF($T87="","",IF(INDEX(거래처설정!$F$8:$F$407,$T87)="","",INDEX(거래처설정!$F$8:$F$407,$T87))))</f>
        <v/>
      </c>
      <c r="N87" s="38">
        <f>IF($U87="","",IF($T87="","",IF(INDEX(거래처설정!$G$8:$G$407,$T87)="","",INDEX(거래처설정!$G$8:$G$407,$T87))))</f>
        <v/>
      </c>
      <c r="O87" s="38">
        <f>IF($U87="","",IF($M87="제외",0,IF($K87&gt;=설정!$B$9,3,IF($J87+$K87&gt;=설정!$B$9,2,IF($I87+$J87+$K87&gt;=설정!$B$9,1,0)))))</f>
        <v/>
      </c>
      <c r="P87" s="38">
        <f>IF($U87="","",IF($M87="제외","제외(조치 상태)",IF($O87=3,"③ 강한 독촉 후보 ("&amp;설정!$B$8&amp;"일 초과)",IF($O87=2,"② 독촉 후보 ("&amp;설정!$B$7&amp;"일 초과)",IF($O87=1,"① 안내 후보 ("&amp;설정!$B$6&amp;"일 초과)",IF($G87&gt;0,IF($I87+$J87+$K87&gt;0,"오래된 잔액 있음 (최소 금액 미만)","정상 범위"),IF($G87&lt;0,"선수금·초과입금 — 확인","완납")))))))</f>
        <v/>
      </c>
      <c r="Q87" s="38">
        <f>IF($U87="","",IF($G87&lt;0,"입금이 매출보다 큼 — 선수금이거나 다른 거래처 입금이 섞였는지 확인",IF(AND($AE87&lt;&gt;"",COUNTIF($AE$8:$AE$307,"*"&amp;$AE87&amp;"*")&gt;1),"이름이 다른 거래처와 겹침 — 입금이 잘못 맞았을 수 있으니 별칭 확인",IF(AND($G87&gt;0,$F87=0),"입금 매칭 없음 — 입금자명이 다르면 [거래처설정]에 별칭 등록",""))))</f>
        <v/>
      </c>
      <c r="R87" s="31">
        <f>IF(OR($U87="",$G87&lt;=0),"",$G87-$A87/10000)</f>
        <v/>
      </c>
      <c r="S87" s="31">
        <f>IF(OR($U87="",$O87&lt;1),"",$O87*10^11+$I87+$J87+$K87-$A87/1000)</f>
        <v/>
      </c>
      <c r="T87" s="31">
        <f>IF($U87="","",IFERROR(MATCH(INDEX(매출원본!$AU$8:$AU$2007,$U87),거래처설정!$I$8:$I$407,0),""))</f>
        <v/>
      </c>
      <c r="U87" s="31">
        <f>IFERROR(MATCH(80,매출원본!$AW$8:$AW$2007,0),"")</f>
        <v/>
      </c>
      <c r="V87" s="31">
        <f>IF($U87="","",MAX(SUMIFS(매출원본!$AT$8:$AT$2007,매출원본!$AY$8:$AY$2007,$A87,매출원본!$AS$8:$AS$2007,"&gt;="&amp;(설정!$B$5-설정!$B$6),매출원본!$AS$8:$AS$2007,"&lt;="&amp;설정!$B$5),0))</f>
        <v/>
      </c>
      <c r="W87" s="31">
        <f>IF($U87="","",MAX($V87,SUMIFS(매출원본!$AT$8:$AT$2007,매출원본!$AY$8:$AY$2007,$A87,매출원본!$AS$8:$AS$2007,"&gt;="&amp;(설정!$B$5-설정!$B$7),매출원본!$AS$8:$AS$2007,"&lt;="&amp;설정!$B$5)))</f>
        <v/>
      </c>
      <c r="X87" s="31">
        <f>IF($U87="","",MAX($W87,SUMIFS(매출원본!$AT$8:$AT$2007,매출원본!$AY$8:$AY$2007,$A87,매출원본!$AS$8:$AS$2007,"&gt;="&amp;(설정!$B$5-설정!$B$8),매출원본!$AS$8:$AS$2007,"&lt;="&amp;설정!$B$5)))</f>
        <v/>
      </c>
      <c r="AC87" s="31">
        <f>IF(OR($U87="",$T87=""),"",INDEX(거래처설정!$J$8:$J$407,$T87))</f>
        <v/>
      </c>
      <c r="AD87" s="31">
        <f>IF(OR($U87="",$T87=""),"",INDEX(거래처설정!$K$8:$K$407,$T87))</f>
        <v/>
      </c>
      <c r="AE87" s="31">
        <f>IF($U87="","",IF(LEN(SUBSTITUTE(SUBSTITUTE(SUBSTITUTE(SUBSTITUTE(SUBSTITUTE(SUBSTITUTE(SUBSTITUTE(SUBSTITUTE(SUBSTITUTE($C87," ",""),"　",""),"(주)",""),"（주）",""),"㈜",""),"주식회사",""),"(유)",""),"（유）",""),"유한회사",""))&lt;2,"",SUBSTITUTE(SUBSTITUTE(SUBSTITUTE(SUBSTITUTE(SUBSTITUTE(SUBSTITUTE(SUBSTITUTE(SUBSTITUTE(SUBSTITUTE($C87," ",""),"　",""),"(주)",""),"（주）",""),"㈜",""),"주식회사",""),"(유)",""),"（유）",""),"유한회사","")))</f>
        <v/>
      </c>
    </row>
    <row r="88">
      <c r="A88" s="38">
        <f>IF($U88="","",81)</f>
        <v/>
      </c>
      <c r="B88" s="38">
        <f>IF($U88="","",IF(LEN(INDEX(매출원본!$AU$8:$AU$2007,$U88))=10,LEFT(INDEX(매출원본!$AU$8:$AU$2007,$U88),3)&amp;"-"&amp;MID(INDEX(매출원본!$AU$8:$AU$2007,$U88),4,2)&amp;"-"&amp;RIGHT(INDEX(매출원본!$AU$8:$AU$2007,$U88),5),IF(LEFT(INDEX(매출원본!$AU$8:$AU$2007,$U88),2)="N:","(번호 없음)",INDEX(매출원본!$AU$8:$AU$2007,$U88))))</f>
        <v/>
      </c>
      <c r="C88" s="38">
        <f>IF($U88="","",INDEX(매출원본!$AV$8:$AV$2007,$U88))</f>
        <v/>
      </c>
      <c r="D88" s="39">
        <f>IF($U88="","",IF($T88="",0,N(INDEX(거래처설정!$E$8:$E$407,$T88))))</f>
        <v/>
      </c>
      <c r="E88" s="39">
        <f>IF($U88="","",SUMIFS(매출원본!$AT$8:$AT$2007,매출원본!$AY$8:$AY$2007,$A88,매출원본!$AS$8:$AS$2007,"&lt;="&amp;설정!$B$5))</f>
        <v/>
      </c>
      <c r="F88" s="39">
        <f>IF($U88="","",SUMIFS(입금_은행1!$Z$8:$Z$2007,입금_은행1!$AC$8:$AC$2007,$A88,입금_은행1!$Y$8:$Y$2007,"&lt;="&amp;설정!$B$5)+SUMIFS(입금_은행2!$Z$8:$Z$2007,입금_은행2!$AC$8:$AC$2007,$A88,입금_은행2!$Y$8:$Y$2007,"&lt;="&amp;설정!$B$5))</f>
        <v/>
      </c>
      <c r="G88" s="39">
        <f>IF($U88="","",$D88+$E88-$F88)</f>
        <v/>
      </c>
      <c r="H88" s="39">
        <f>IF($U88="","",MIN(MAX($G88,0),$V88))</f>
        <v/>
      </c>
      <c r="I88" s="39">
        <f>IF($U88="","",MIN(MAX($G88,0),$W88)-MIN(MAX($G88,0),$V88))</f>
        <v/>
      </c>
      <c r="J88" s="39">
        <f>IF($U88="","",MIN(MAX($G88,0),$X88)-MIN(MAX($G88,0),$W88))</f>
        <v/>
      </c>
      <c r="K88" s="39">
        <f>IF($U88="","",MAX($G88,0)-MIN(MAX($G88,0),$X88))</f>
        <v/>
      </c>
      <c r="L88" s="40">
        <f>IF($U88="","",IF(MAX(SUMPRODUCT(MAX((입금_은행1!$AC$8:$AC$2007=$A88)*(입금_은행1!$AE$8:$AE$2007&lt;=설정!$B$5)*입금_은행1!$AE$8:$AE$2007)),SUMPRODUCT(MAX((입금_은행2!$AC$8:$AC$2007=$A88)*(입금_은행2!$AE$8:$AE$2007&lt;=설정!$B$5)*입금_은행2!$AE$8:$AE$2007)))=0,"",MAX(SUMPRODUCT(MAX((입금_은행1!$AC$8:$AC$2007=$A88)*(입금_은행1!$AE$8:$AE$2007&lt;=설정!$B$5)*입금_은행1!$AE$8:$AE$2007)),SUMPRODUCT(MAX((입금_은행2!$AC$8:$AC$2007=$A88)*(입금_은행2!$AE$8:$AE$2007&lt;=설정!$B$5)*입금_은행2!$AE$8:$AE$2007)))))</f>
        <v/>
      </c>
      <c r="M88" s="38">
        <f>IF($U88="","",IF($T88="","",IF(INDEX(거래처설정!$F$8:$F$407,$T88)="","",INDEX(거래처설정!$F$8:$F$407,$T88))))</f>
        <v/>
      </c>
      <c r="N88" s="38">
        <f>IF($U88="","",IF($T88="","",IF(INDEX(거래처설정!$G$8:$G$407,$T88)="","",INDEX(거래처설정!$G$8:$G$407,$T88))))</f>
        <v/>
      </c>
      <c r="O88" s="38">
        <f>IF($U88="","",IF($M88="제외",0,IF($K88&gt;=설정!$B$9,3,IF($J88+$K88&gt;=설정!$B$9,2,IF($I88+$J88+$K88&gt;=설정!$B$9,1,0)))))</f>
        <v/>
      </c>
      <c r="P88" s="38">
        <f>IF($U88="","",IF($M88="제외","제외(조치 상태)",IF($O88=3,"③ 강한 독촉 후보 ("&amp;설정!$B$8&amp;"일 초과)",IF($O88=2,"② 독촉 후보 ("&amp;설정!$B$7&amp;"일 초과)",IF($O88=1,"① 안내 후보 ("&amp;설정!$B$6&amp;"일 초과)",IF($G88&gt;0,IF($I88+$J88+$K88&gt;0,"오래된 잔액 있음 (최소 금액 미만)","정상 범위"),IF($G88&lt;0,"선수금·초과입금 — 확인","완납")))))))</f>
        <v/>
      </c>
      <c r="Q88" s="38">
        <f>IF($U88="","",IF($G88&lt;0,"입금이 매출보다 큼 — 선수금이거나 다른 거래처 입금이 섞였는지 확인",IF(AND($AE88&lt;&gt;"",COUNTIF($AE$8:$AE$307,"*"&amp;$AE88&amp;"*")&gt;1),"이름이 다른 거래처와 겹침 — 입금이 잘못 맞았을 수 있으니 별칭 확인",IF(AND($G88&gt;0,$F88=0),"입금 매칭 없음 — 입금자명이 다르면 [거래처설정]에 별칭 등록",""))))</f>
        <v/>
      </c>
      <c r="R88" s="31">
        <f>IF(OR($U88="",$G88&lt;=0),"",$G88-$A88/10000)</f>
        <v/>
      </c>
      <c r="S88" s="31">
        <f>IF(OR($U88="",$O88&lt;1),"",$O88*10^11+$I88+$J88+$K88-$A88/1000)</f>
        <v/>
      </c>
      <c r="T88" s="31">
        <f>IF($U88="","",IFERROR(MATCH(INDEX(매출원본!$AU$8:$AU$2007,$U88),거래처설정!$I$8:$I$407,0),""))</f>
        <v/>
      </c>
      <c r="U88" s="31">
        <f>IFERROR(MATCH(81,매출원본!$AW$8:$AW$2007,0),"")</f>
        <v/>
      </c>
      <c r="V88" s="31">
        <f>IF($U88="","",MAX(SUMIFS(매출원본!$AT$8:$AT$2007,매출원본!$AY$8:$AY$2007,$A88,매출원본!$AS$8:$AS$2007,"&gt;="&amp;(설정!$B$5-설정!$B$6),매출원본!$AS$8:$AS$2007,"&lt;="&amp;설정!$B$5),0))</f>
        <v/>
      </c>
      <c r="W88" s="31">
        <f>IF($U88="","",MAX($V88,SUMIFS(매출원본!$AT$8:$AT$2007,매출원본!$AY$8:$AY$2007,$A88,매출원본!$AS$8:$AS$2007,"&gt;="&amp;(설정!$B$5-설정!$B$7),매출원본!$AS$8:$AS$2007,"&lt;="&amp;설정!$B$5)))</f>
        <v/>
      </c>
      <c r="X88" s="31">
        <f>IF($U88="","",MAX($W88,SUMIFS(매출원본!$AT$8:$AT$2007,매출원본!$AY$8:$AY$2007,$A88,매출원본!$AS$8:$AS$2007,"&gt;="&amp;(설정!$B$5-설정!$B$8),매출원본!$AS$8:$AS$2007,"&lt;="&amp;설정!$B$5)))</f>
        <v/>
      </c>
      <c r="AC88" s="31">
        <f>IF(OR($U88="",$T88=""),"",INDEX(거래처설정!$J$8:$J$407,$T88))</f>
        <v/>
      </c>
      <c r="AD88" s="31">
        <f>IF(OR($U88="",$T88=""),"",INDEX(거래처설정!$K$8:$K$407,$T88))</f>
        <v/>
      </c>
      <c r="AE88" s="31">
        <f>IF($U88="","",IF(LEN(SUBSTITUTE(SUBSTITUTE(SUBSTITUTE(SUBSTITUTE(SUBSTITUTE(SUBSTITUTE(SUBSTITUTE(SUBSTITUTE(SUBSTITUTE($C88," ",""),"　",""),"(주)",""),"（주）",""),"㈜",""),"주식회사",""),"(유)",""),"（유）",""),"유한회사",""))&lt;2,"",SUBSTITUTE(SUBSTITUTE(SUBSTITUTE(SUBSTITUTE(SUBSTITUTE(SUBSTITUTE(SUBSTITUTE(SUBSTITUTE(SUBSTITUTE($C88," ",""),"　",""),"(주)",""),"（주）",""),"㈜",""),"주식회사",""),"(유)",""),"（유）",""),"유한회사","")))</f>
        <v/>
      </c>
    </row>
    <row r="89">
      <c r="A89" s="38">
        <f>IF($U89="","",82)</f>
        <v/>
      </c>
      <c r="B89" s="38">
        <f>IF($U89="","",IF(LEN(INDEX(매출원본!$AU$8:$AU$2007,$U89))=10,LEFT(INDEX(매출원본!$AU$8:$AU$2007,$U89),3)&amp;"-"&amp;MID(INDEX(매출원본!$AU$8:$AU$2007,$U89),4,2)&amp;"-"&amp;RIGHT(INDEX(매출원본!$AU$8:$AU$2007,$U89),5),IF(LEFT(INDEX(매출원본!$AU$8:$AU$2007,$U89),2)="N:","(번호 없음)",INDEX(매출원본!$AU$8:$AU$2007,$U89))))</f>
        <v/>
      </c>
      <c r="C89" s="38">
        <f>IF($U89="","",INDEX(매출원본!$AV$8:$AV$2007,$U89))</f>
        <v/>
      </c>
      <c r="D89" s="39">
        <f>IF($U89="","",IF($T89="",0,N(INDEX(거래처설정!$E$8:$E$407,$T89))))</f>
        <v/>
      </c>
      <c r="E89" s="39">
        <f>IF($U89="","",SUMIFS(매출원본!$AT$8:$AT$2007,매출원본!$AY$8:$AY$2007,$A89,매출원본!$AS$8:$AS$2007,"&lt;="&amp;설정!$B$5))</f>
        <v/>
      </c>
      <c r="F89" s="39">
        <f>IF($U89="","",SUMIFS(입금_은행1!$Z$8:$Z$2007,입금_은행1!$AC$8:$AC$2007,$A89,입금_은행1!$Y$8:$Y$2007,"&lt;="&amp;설정!$B$5)+SUMIFS(입금_은행2!$Z$8:$Z$2007,입금_은행2!$AC$8:$AC$2007,$A89,입금_은행2!$Y$8:$Y$2007,"&lt;="&amp;설정!$B$5))</f>
        <v/>
      </c>
      <c r="G89" s="39">
        <f>IF($U89="","",$D89+$E89-$F89)</f>
        <v/>
      </c>
      <c r="H89" s="39">
        <f>IF($U89="","",MIN(MAX($G89,0),$V89))</f>
        <v/>
      </c>
      <c r="I89" s="39">
        <f>IF($U89="","",MIN(MAX($G89,0),$W89)-MIN(MAX($G89,0),$V89))</f>
        <v/>
      </c>
      <c r="J89" s="39">
        <f>IF($U89="","",MIN(MAX($G89,0),$X89)-MIN(MAX($G89,0),$W89))</f>
        <v/>
      </c>
      <c r="K89" s="39">
        <f>IF($U89="","",MAX($G89,0)-MIN(MAX($G89,0),$X89))</f>
        <v/>
      </c>
      <c r="L89" s="40">
        <f>IF($U89="","",IF(MAX(SUMPRODUCT(MAX((입금_은행1!$AC$8:$AC$2007=$A89)*(입금_은행1!$AE$8:$AE$2007&lt;=설정!$B$5)*입금_은행1!$AE$8:$AE$2007)),SUMPRODUCT(MAX((입금_은행2!$AC$8:$AC$2007=$A89)*(입금_은행2!$AE$8:$AE$2007&lt;=설정!$B$5)*입금_은행2!$AE$8:$AE$2007)))=0,"",MAX(SUMPRODUCT(MAX((입금_은행1!$AC$8:$AC$2007=$A89)*(입금_은행1!$AE$8:$AE$2007&lt;=설정!$B$5)*입금_은행1!$AE$8:$AE$2007)),SUMPRODUCT(MAX((입금_은행2!$AC$8:$AC$2007=$A89)*(입금_은행2!$AE$8:$AE$2007&lt;=설정!$B$5)*입금_은행2!$AE$8:$AE$2007)))))</f>
        <v/>
      </c>
      <c r="M89" s="38">
        <f>IF($U89="","",IF($T89="","",IF(INDEX(거래처설정!$F$8:$F$407,$T89)="","",INDEX(거래처설정!$F$8:$F$407,$T89))))</f>
        <v/>
      </c>
      <c r="N89" s="38">
        <f>IF($U89="","",IF($T89="","",IF(INDEX(거래처설정!$G$8:$G$407,$T89)="","",INDEX(거래처설정!$G$8:$G$407,$T89))))</f>
        <v/>
      </c>
      <c r="O89" s="38">
        <f>IF($U89="","",IF($M89="제외",0,IF($K89&gt;=설정!$B$9,3,IF($J89+$K89&gt;=설정!$B$9,2,IF($I89+$J89+$K89&gt;=설정!$B$9,1,0)))))</f>
        <v/>
      </c>
      <c r="P89" s="38">
        <f>IF($U89="","",IF($M89="제외","제외(조치 상태)",IF($O89=3,"③ 강한 독촉 후보 ("&amp;설정!$B$8&amp;"일 초과)",IF($O89=2,"② 독촉 후보 ("&amp;설정!$B$7&amp;"일 초과)",IF($O89=1,"① 안내 후보 ("&amp;설정!$B$6&amp;"일 초과)",IF($G89&gt;0,IF($I89+$J89+$K89&gt;0,"오래된 잔액 있음 (최소 금액 미만)","정상 범위"),IF($G89&lt;0,"선수금·초과입금 — 확인","완납")))))))</f>
        <v/>
      </c>
      <c r="Q89" s="38">
        <f>IF($U89="","",IF($G89&lt;0,"입금이 매출보다 큼 — 선수금이거나 다른 거래처 입금이 섞였는지 확인",IF(AND($AE89&lt;&gt;"",COUNTIF($AE$8:$AE$307,"*"&amp;$AE89&amp;"*")&gt;1),"이름이 다른 거래처와 겹침 — 입금이 잘못 맞았을 수 있으니 별칭 확인",IF(AND($G89&gt;0,$F89=0),"입금 매칭 없음 — 입금자명이 다르면 [거래처설정]에 별칭 등록",""))))</f>
        <v/>
      </c>
      <c r="R89" s="31">
        <f>IF(OR($U89="",$G89&lt;=0),"",$G89-$A89/10000)</f>
        <v/>
      </c>
      <c r="S89" s="31">
        <f>IF(OR($U89="",$O89&lt;1),"",$O89*10^11+$I89+$J89+$K89-$A89/1000)</f>
        <v/>
      </c>
      <c r="T89" s="31">
        <f>IF($U89="","",IFERROR(MATCH(INDEX(매출원본!$AU$8:$AU$2007,$U89),거래처설정!$I$8:$I$407,0),""))</f>
        <v/>
      </c>
      <c r="U89" s="31">
        <f>IFERROR(MATCH(82,매출원본!$AW$8:$AW$2007,0),"")</f>
        <v/>
      </c>
      <c r="V89" s="31">
        <f>IF($U89="","",MAX(SUMIFS(매출원본!$AT$8:$AT$2007,매출원본!$AY$8:$AY$2007,$A89,매출원본!$AS$8:$AS$2007,"&gt;="&amp;(설정!$B$5-설정!$B$6),매출원본!$AS$8:$AS$2007,"&lt;="&amp;설정!$B$5),0))</f>
        <v/>
      </c>
      <c r="W89" s="31">
        <f>IF($U89="","",MAX($V89,SUMIFS(매출원본!$AT$8:$AT$2007,매출원본!$AY$8:$AY$2007,$A89,매출원본!$AS$8:$AS$2007,"&gt;="&amp;(설정!$B$5-설정!$B$7),매출원본!$AS$8:$AS$2007,"&lt;="&amp;설정!$B$5)))</f>
        <v/>
      </c>
      <c r="X89" s="31">
        <f>IF($U89="","",MAX($W89,SUMIFS(매출원본!$AT$8:$AT$2007,매출원본!$AY$8:$AY$2007,$A89,매출원본!$AS$8:$AS$2007,"&gt;="&amp;(설정!$B$5-설정!$B$8),매출원본!$AS$8:$AS$2007,"&lt;="&amp;설정!$B$5)))</f>
        <v/>
      </c>
      <c r="AC89" s="31">
        <f>IF(OR($U89="",$T89=""),"",INDEX(거래처설정!$J$8:$J$407,$T89))</f>
        <v/>
      </c>
      <c r="AD89" s="31">
        <f>IF(OR($U89="",$T89=""),"",INDEX(거래처설정!$K$8:$K$407,$T89))</f>
        <v/>
      </c>
      <c r="AE89" s="31">
        <f>IF($U89="","",IF(LEN(SUBSTITUTE(SUBSTITUTE(SUBSTITUTE(SUBSTITUTE(SUBSTITUTE(SUBSTITUTE(SUBSTITUTE(SUBSTITUTE(SUBSTITUTE($C89," ",""),"　",""),"(주)",""),"（주）",""),"㈜",""),"주식회사",""),"(유)",""),"（유）",""),"유한회사",""))&lt;2,"",SUBSTITUTE(SUBSTITUTE(SUBSTITUTE(SUBSTITUTE(SUBSTITUTE(SUBSTITUTE(SUBSTITUTE(SUBSTITUTE(SUBSTITUTE($C89," ",""),"　",""),"(주)",""),"（주）",""),"㈜",""),"주식회사",""),"(유)",""),"（유）",""),"유한회사","")))</f>
        <v/>
      </c>
    </row>
    <row r="90">
      <c r="A90" s="38">
        <f>IF($U90="","",83)</f>
        <v/>
      </c>
      <c r="B90" s="38">
        <f>IF($U90="","",IF(LEN(INDEX(매출원본!$AU$8:$AU$2007,$U90))=10,LEFT(INDEX(매출원본!$AU$8:$AU$2007,$U90),3)&amp;"-"&amp;MID(INDEX(매출원본!$AU$8:$AU$2007,$U90),4,2)&amp;"-"&amp;RIGHT(INDEX(매출원본!$AU$8:$AU$2007,$U90),5),IF(LEFT(INDEX(매출원본!$AU$8:$AU$2007,$U90),2)="N:","(번호 없음)",INDEX(매출원본!$AU$8:$AU$2007,$U90))))</f>
        <v/>
      </c>
      <c r="C90" s="38">
        <f>IF($U90="","",INDEX(매출원본!$AV$8:$AV$2007,$U90))</f>
        <v/>
      </c>
      <c r="D90" s="39">
        <f>IF($U90="","",IF($T90="",0,N(INDEX(거래처설정!$E$8:$E$407,$T90))))</f>
        <v/>
      </c>
      <c r="E90" s="39">
        <f>IF($U90="","",SUMIFS(매출원본!$AT$8:$AT$2007,매출원본!$AY$8:$AY$2007,$A90,매출원본!$AS$8:$AS$2007,"&lt;="&amp;설정!$B$5))</f>
        <v/>
      </c>
      <c r="F90" s="39">
        <f>IF($U90="","",SUMIFS(입금_은행1!$Z$8:$Z$2007,입금_은행1!$AC$8:$AC$2007,$A90,입금_은행1!$Y$8:$Y$2007,"&lt;="&amp;설정!$B$5)+SUMIFS(입금_은행2!$Z$8:$Z$2007,입금_은행2!$AC$8:$AC$2007,$A90,입금_은행2!$Y$8:$Y$2007,"&lt;="&amp;설정!$B$5))</f>
        <v/>
      </c>
      <c r="G90" s="39">
        <f>IF($U90="","",$D90+$E90-$F90)</f>
        <v/>
      </c>
      <c r="H90" s="39">
        <f>IF($U90="","",MIN(MAX($G90,0),$V90))</f>
        <v/>
      </c>
      <c r="I90" s="39">
        <f>IF($U90="","",MIN(MAX($G90,0),$W90)-MIN(MAX($G90,0),$V90))</f>
        <v/>
      </c>
      <c r="J90" s="39">
        <f>IF($U90="","",MIN(MAX($G90,0),$X90)-MIN(MAX($G90,0),$W90))</f>
        <v/>
      </c>
      <c r="K90" s="39">
        <f>IF($U90="","",MAX($G90,0)-MIN(MAX($G90,0),$X90))</f>
        <v/>
      </c>
      <c r="L90" s="40">
        <f>IF($U90="","",IF(MAX(SUMPRODUCT(MAX((입금_은행1!$AC$8:$AC$2007=$A90)*(입금_은행1!$AE$8:$AE$2007&lt;=설정!$B$5)*입금_은행1!$AE$8:$AE$2007)),SUMPRODUCT(MAX((입금_은행2!$AC$8:$AC$2007=$A90)*(입금_은행2!$AE$8:$AE$2007&lt;=설정!$B$5)*입금_은행2!$AE$8:$AE$2007)))=0,"",MAX(SUMPRODUCT(MAX((입금_은행1!$AC$8:$AC$2007=$A90)*(입금_은행1!$AE$8:$AE$2007&lt;=설정!$B$5)*입금_은행1!$AE$8:$AE$2007)),SUMPRODUCT(MAX((입금_은행2!$AC$8:$AC$2007=$A90)*(입금_은행2!$AE$8:$AE$2007&lt;=설정!$B$5)*입금_은행2!$AE$8:$AE$2007)))))</f>
        <v/>
      </c>
      <c r="M90" s="38">
        <f>IF($U90="","",IF($T90="","",IF(INDEX(거래처설정!$F$8:$F$407,$T90)="","",INDEX(거래처설정!$F$8:$F$407,$T90))))</f>
        <v/>
      </c>
      <c r="N90" s="38">
        <f>IF($U90="","",IF($T90="","",IF(INDEX(거래처설정!$G$8:$G$407,$T90)="","",INDEX(거래처설정!$G$8:$G$407,$T90))))</f>
        <v/>
      </c>
      <c r="O90" s="38">
        <f>IF($U90="","",IF($M90="제외",0,IF($K90&gt;=설정!$B$9,3,IF($J90+$K90&gt;=설정!$B$9,2,IF($I90+$J90+$K90&gt;=설정!$B$9,1,0)))))</f>
        <v/>
      </c>
      <c r="P90" s="38">
        <f>IF($U90="","",IF($M90="제외","제외(조치 상태)",IF($O90=3,"③ 강한 독촉 후보 ("&amp;설정!$B$8&amp;"일 초과)",IF($O90=2,"② 독촉 후보 ("&amp;설정!$B$7&amp;"일 초과)",IF($O90=1,"① 안내 후보 ("&amp;설정!$B$6&amp;"일 초과)",IF($G90&gt;0,IF($I90+$J90+$K90&gt;0,"오래된 잔액 있음 (최소 금액 미만)","정상 범위"),IF($G90&lt;0,"선수금·초과입금 — 확인","완납")))))))</f>
        <v/>
      </c>
      <c r="Q90" s="38">
        <f>IF($U90="","",IF($G90&lt;0,"입금이 매출보다 큼 — 선수금이거나 다른 거래처 입금이 섞였는지 확인",IF(AND($AE90&lt;&gt;"",COUNTIF($AE$8:$AE$307,"*"&amp;$AE90&amp;"*")&gt;1),"이름이 다른 거래처와 겹침 — 입금이 잘못 맞았을 수 있으니 별칭 확인",IF(AND($G90&gt;0,$F90=0),"입금 매칭 없음 — 입금자명이 다르면 [거래처설정]에 별칭 등록",""))))</f>
        <v/>
      </c>
      <c r="R90" s="31">
        <f>IF(OR($U90="",$G90&lt;=0),"",$G90-$A90/10000)</f>
        <v/>
      </c>
      <c r="S90" s="31">
        <f>IF(OR($U90="",$O90&lt;1),"",$O90*10^11+$I90+$J90+$K90-$A90/1000)</f>
        <v/>
      </c>
      <c r="T90" s="31">
        <f>IF($U90="","",IFERROR(MATCH(INDEX(매출원본!$AU$8:$AU$2007,$U90),거래처설정!$I$8:$I$407,0),""))</f>
        <v/>
      </c>
      <c r="U90" s="31">
        <f>IFERROR(MATCH(83,매출원본!$AW$8:$AW$2007,0),"")</f>
        <v/>
      </c>
      <c r="V90" s="31">
        <f>IF($U90="","",MAX(SUMIFS(매출원본!$AT$8:$AT$2007,매출원본!$AY$8:$AY$2007,$A90,매출원본!$AS$8:$AS$2007,"&gt;="&amp;(설정!$B$5-설정!$B$6),매출원본!$AS$8:$AS$2007,"&lt;="&amp;설정!$B$5),0))</f>
        <v/>
      </c>
      <c r="W90" s="31">
        <f>IF($U90="","",MAX($V90,SUMIFS(매출원본!$AT$8:$AT$2007,매출원본!$AY$8:$AY$2007,$A90,매출원본!$AS$8:$AS$2007,"&gt;="&amp;(설정!$B$5-설정!$B$7),매출원본!$AS$8:$AS$2007,"&lt;="&amp;설정!$B$5)))</f>
        <v/>
      </c>
      <c r="X90" s="31">
        <f>IF($U90="","",MAX($W90,SUMIFS(매출원본!$AT$8:$AT$2007,매출원본!$AY$8:$AY$2007,$A90,매출원본!$AS$8:$AS$2007,"&gt;="&amp;(설정!$B$5-설정!$B$8),매출원본!$AS$8:$AS$2007,"&lt;="&amp;설정!$B$5)))</f>
        <v/>
      </c>
      <c r="AC90" s="31">
        <f>IF(OR($U90="",$T90=""),"",INDEX(거래처설정!$J$8:$J$407,$T90))</f>
        <v/>
      </c>
      <c r="AD90" s="31">
        <f>IF(OR($U90="",$T90=""),"",INDEX(거래처설정!$K$8:$K$407,$T90))</f>
        <v/>
      </c>
      <c r="AE90" s="31">
        <f>IF($U90="","",IF(LEN(SUBSTITUTE(SUBSTITUTE(SUBSTITUTE(SUBSTITUTE(SUBSTITUTE(SUBSTITUTE(SUBSTITUTE(SUBSTITUTE(SUBSTITUTE($C90," ",""),"　",""),"(주)",""),"（주）",""),"㈜",""),"주식회사",""),"(유)",""),"（유）",""),"유한회사",""))&lt;2,"",SUBSTITUTE(SUBSTITUTE(SUBSTITUTE(SUBSTITUTE(SUBSTITUTE(SUBSTITUTE(SUBSTITUTE(SUBSTITUTE(SUBSTITUTE($C90," ",""),"　",""),"(주)",""),"（주）",""),"㈜",""),"주식회사",""),"(유)",""),"（유）",""),"유한회사","")))</f>
        <v/>
      </c>
    </row>
    <row r="91">
      <c r="A91" s="38">
        <f>IF($U91="","",84)</f>
        <v/>
      </c>
      <c r="B91" s="38">
        <f>IF($U91="","",IF(LEN(INDEX(매출원본!$AU$8:$AU$2007,$U91))=10,LEFT(INDEX(매출원본!$AU$8:$AU$2007,$U91),3)&amp;"-"&amp;MID(INDEX(매출원본!$AU$8:$AU$2007,$U91),4,2)&amp;"-"&amp;RIGHT(INDEX(매출원본!$AU$8:$AU$2007,$U91),5),IF(LEFT(INDEX(매출원본!$AU$8:$AU$2007,$U91),2)="N:","(번호 없음)",INDEX(매출원본!$AU$8:$AU$2007,$U91))))</f>
        <v/>
      </c>
      <c r="C91" s="38">
        <f>IF($U91="","",INDEX(매출원본!$AV$8:$AV$2007,$U91))</f>
        <v/>
      </c>
      <c r="D91" s="39">
        <f>IF($U91="","",IF($T91="",0,N(INDEX(거래처설정!$E$8:$E$407,$T91))))</f>
        <v/>
      </c>
      <c r="E91" s="39">
        <f>IF($U91="","",SUMIFS(매출원본!$AT$8:$AT$2007,매출원본!$AY$8:$AY$2007,$A91,매출원본!$AS$8:$AS$2007,"&lt;="&amp;설정!$B$5))</f>
        <v/>
      </c>
      <c r="F91" s="39">
        <f>IF($U91="","",SUMIFS(입금_은행1!$Z$8:$Z$2007,입금_은행1!$AC$8:$AC$2007,$A91,입금_은행1!$Y$8:$Y$2007,"&lt;="&amp;설정!$B$5)+SUMIFS(입금_은행2!$Z$8:$Z$2007,입금_은행2!$AC$8:$AC$2007,$A91,입금_은행2!$Y$8:$Y$2007,"&lt;="&amp;설정!$B$5))</f>
        <v/>
      </c>
      <c r="G91" s="39">
        <f>IF($U91="","",$D91+$E91-$F91)</f>
        <v/>
      </c>
      <c r="H91" s="39">
        <f>IF($U91="","",MIN(MAX($G91,0),$V91))</f>
        <v/>
      </c>
      <c r="I91" s="39">
        <f>IF($U91="","",MIN(MAX($G91,0),$W91)-MIN(MAX($G91,0),$V91))</f>
        <v/>
      </c>
      <c r="J91" s="39">
        <f>IF($U91="","",MIN(MAX($G91,0),$X91)-MIN(MAX($G91,0),$W91))</f>
        <v/>
      </c>
      <c r="K91" s="39">
        <f>IF($U91="","",MAX($G91,0)-MIN(MAX($G91,0),$X91))</f>
        <v/>
      </c>
      <c r="L91" s="40">
        <f>IF($U91="","",IF(MAX(SUMPRODUCT(MAX((입금_은행1!$AC$8:$AC$2007=$A91)*(입금_은행1!$AE$8:$AE$2007&lt;=설정!$B$5)*입금_은행1!$AE$8:$AE$2007)),SUMPRODUCT(MAX((입금_은행2!$AC$8:$AC$2007=$A91)*(입금_은행2!$AE$8:$AE$2007&lt;=설정!$B$5)*입금_은행2!$AE$8:$AE$2007)))=0,"",MAX(SUMPRODUCT(MAX((입금_은행1!$AC$8:$AC$2007=$A91)*(입금_은행1!$AE$8:$AE$2007&lt;=설정!$B$5)*입금_은행1!$AE$8:$AE$2007)),SUMPRODUCT(MAX((입금_은행2!$AC$8:$AC$2007=$A91)*(입금_은행2!$AE$8:$AE$2007&lt;=설정!$B$5)*입금_은행2!$AE$8:$AE$2007)))))</f>
        <v/>
      </c>
      <c r="M91" s="38">
        <f>IF($U91="","",IF($T91="","",IF(INDEX(거래처설정!$F$8:$F$407,$T91)="","",INDEX(거래처설정!$F$8:$F$407,$T91))))</f>
        <v/>
      </c>
      <c r="N91" s="38">
        <f>IF($U91="","",IF($T91="","",IF(INDEX(거래처설정!$G$8:$G$407,$T91)="","",INDEX(거래처설정!$G$8:$G$407,$T91))))</f>
        <v/>
      </c>
      <c r="O91" s="38">
        <f>IF($U91="","",IF($M91="제외",0,IF($K91&gt;=설정!$B$9,3,IF($J91+$K91&gt;=설정!$B$9,2,IF($I91+$J91+$K91&gt;=설정!$B$9,1,0)))))</f>
        <v/>
      </c>
      <c r="P91" s="38">
        <f>IF($U91="","",IF($M91="제외","제외(조치 상태)",IF($O91=3,"③ 강한 독촉 후보 ("&amp;설정!$B$8&amp;"일 초과)",IF($O91=2,"② 독촉 후보 ("&amp;설정!$B$7&amp;"일 초과)",IF($O91=1,"① 안내 후보 ("&amp;설정!$B$6&amp;"일 초과)",IF($G91&gt;0,IF($I91+$J91+$K91&gt;0,"오래된 잔액 있음 (최소 금액 미만)","정상 범위"),IF($G91&lt;0,"선수금·초과입금 — 확인","완납")))))))</f>
        <v/>
      </c>
      <c r="Q91" s="38">
        <f>IF($U91="","",IF($G91&lt;0,"입금이 매출보다 큼 — 선수금이거나 다른 거래처 입금이 섞였는지 확인",IF(AND($AE91&lt;&gt;"",COUNTIF($AE$8:$AE$307,"*"&amp;$AE91&amp;"*")&gt;1),"이름이 다른 거래처와 겹침 — 입금이 잘못 맞았을 수 있으니 별칭 확인",IF(AND($G91&gt;0,$F91=0),"입금 매칭 없음 — 입금자명이 다르면 [거래처설정]에 별칭 등록",""))))</f>
        <v/>
      </c>
      <c r="R91" s="31">
        <f>IF(OR($U91="",$G91&lt;=0),"",$G91-$A91/10000)</f>
        <v/>
      </c>
      <c r="S91" s="31">
        <f>IF(OR($U91="",$O91&lt;1),"",$O91*10^11+$I91+$J91+$K91-$A91/1000)</f>
        <v/>
      </c>
      <c r="T91" s="31">
        <f>IF($U91="","",IFERROR(MATCH(INDEX(매출원본!$AU$8:$AU$2007,$U91),거래처설정!$I$8:$I$407,0),""))</f>
        <v/>
      </c>
      <c r="U91" s="31">
        <f>IFERROR(MATCH(84,매출원본!$AW$8:$AW$2007,0),"")</f>
        <v/>
      </c>
      <c r="V91" s="31">
        <f>IF($U91="","",MAX(SUMIFS(매출원본!$AT$8:$AT$2007,매출원본!$AY$8:$AY$2007,$A91,매출원본!$AS$8:$AS$2007,"&gt;="&amp;(설정!$B$5-설정!$B$6),매출원본!$AS$8:$AS$2007,"&lt;="&amp;설정!$B$5),0))</f>
        <v/>
      </c>
      <c r="W91" s="31">
        <f>IF($U91="","",MAX($V91,SUMIFS(매출원본!$AT$8:$AT$2007,매출원본!$AY$8:$AY$2007,$A91,매출원본!$AS$8:$AS$2007,"&gt;="&amp;(설정!$B$5-설정!$B$7),매출원본!$AS$8:$AS$2007,"&lt;="&amp;설정!$B$5)))</f>
        <v/>
      </c>
      <c r="X91" s="31">
        <f>IF($U91="","",MAX($W91,SUMIFS(매출원본!$AT$8:$AT$2007,매출원본!$AY$8:$AY$2007,$A91,매출원본!$AS$8:$AS$2007,"&gt;="&amp;(설정!$B$5-설정!$B$8),매출원본!$AS$8:$AS$2007,"&lt;="&amp;설정!$B$5)))</f>
        <v/>
      </c>
      <c r="AC91" s="31">
        <f>IF(OR($U91="",$T91=""),"",INDEX(거래처설정!$J$8:$J$407,$T91))</f>
        <v/>
      </c>
      <c r="AD91" s="31">
        <f>IF(OR($U91="",$T91=""),"",INDEX(거래처설정!$K$8:$K$407,$T91))</f>
        <v/>
      </c>
      <c r="AE91" s="31">
        <f>IF($U91="","",IF(LEN(SUBSTITUTE(SUBSTITUTE(SUBSTITUTE(SUBSTITUTE(SUBSTITUTE(SUBSTITUTE(SUBSTITUTE(SUBSTITUTE(SUBSTITUTE($C91," ",""),"　",""),"(주)",""),"（주）",""),"㈜",""),"주식회사",""),"(유)",""),"（유）",""),"유한회사",""))&lt;2,"",SUBSTITUTE(SUBSTITUTE(SUBSTITUTE(SUBSTITUTE(SUBSTITUTE(SUBSTITUTE(SUBSTITUTE(SUBSTITUTE(SUBSTITUTE($C91," ",""),"　",""),"(주)",""),"（주）",""),"㈜",""),"주식회사",""),"(유)",""),"（유）",""),"유한회사","")))</f>
        <v/>
      </c>
    </row>
    <row r="92">
      <c r="A92" s="38">
        <f>IF($U92="","",85)</f>
        <v/>
      </c>
      <c r="B92" s="38">
        <f>IF($U92="","",IF(LEN(INDEX(매출원본!$AU$8:$AU$2007,$U92))=10,LEFT(INDEX(매출원본!$AU$8:$AU$2007,$U92),3)&amp;"-"&amp;MID(INDEX(매출원본!$AU$8:$AU$2007,$U92),4,2)&amp;"-"&amp;RIGHT(INDEX(매출원본!$AU$8:$AU$2007,$U92),5),IF(LEFT(INDEX(매출원본!$AU$8:$AU$2007,$U92),2)="N:","(번호 없음)",INDEX(매출원본!$AU$8:$AU$2007,$U92))))</f>
        <v/>
      </c>
      <c r="C92" s="38">
        <f>IF($U92="","",INDEX(매출원본!$AV$8:$AV$2007,$U92))</f>
        <v/>
      </c>
      <c r="D92" s="39">
        <f>IF($U92="","",IF($T92="",0,N(INDEX(거래처설정!$E$8:$E$407,$T92))))</f>
        <v/>
      </c>
      <c r="E92" s="39">
        <f>IF($U92="","",SUMIFS(매출원본!$AT$8:$AT$2007,매출원본!$AY$8:$AY$2007,$A92,매출원본!$AS$8:$AS$2007,"&lt;="&amp;설정!$B$5))</f>
        <v/>
      </c>
      <c r="F92" s="39">
        <f>IF($U92="","",SUMIFS(입금_은행1!$Z$8:$Z$2007,입금_은행1!$AC$8:$AC$2007,$A92,입금_은행1!$Y$8:$Y$2007,"&lt;="&amp;설정!$B$5)+SUMIFS(입금_은행2!$Z$8:$Z$2007,입금_은행2!$AC$8:$AC$2007,$A92,입금_은행2!$Y$8:$Y$2007,"&lt;="&amp;설정!$B$5))</f>
        <v/>
      </c>
      <c r="G92" s="39">
        <f>IF($U92="","",$D92+$E92-$F92)</f>
        <v/>
      </c>
      <c r="H92" s="39">
        <f>IF($U92="","",MIN(MAX($G92,0),$V92))</f>
        <v/>
      </c>
      <c r="I92" s="39">
        <f>IF($U92="","",MIN(MAX($G92,0),$W92)-MIN(MAX($G92,0),$V92))</f>
        <v/>
      </c>
      <c r="J92" s="39">
        <f>IF($U92="","",MIN(MAX($G92,0),$X92)-MIN(MAX($G92,0),$W92))</f>
        <v/>
      </c>
      <c r="K92" s="39">
        <f>IF($U92="","",MAX($G92,0)-MIN(MAX($G92,0),$X92))</f>
        <v/>
      </c>
      <c r="L92" s="40">
        <f>IF($U92="","",IF(MAX(SUMPRODUCT(MAX((입금_은행1!$AC$8:$AC$2007=$A92)*(입금_은행1!$AE$8:$AE$2007&lt;=설정!$B$5)*입금_은행1!$AE$8:$AE$2007)),SUMPRODUCT(MAX((입금_은행2!$AC$8:$AC$2007=$A92)*(입금_은행2!$AE$8:$AE$2007&lt;=설정!$B$5)*입금_은행2!$AE$8:$AE$2007)))=0,"",MAX(SUMPRODUCT(MAX((입금_은행1!$AC$8:$AC$2007=$A92)*(입금_은행1!$AE$8:$AE$2007&lt;=설정!$B$5)*입금_은행1!$AE$8:$AE$2007)),SUMPRODUCT(MAX((입금_은행2!$AC$8:$AC$2007=$A92)*(입금_은행2!$AE$8:$AE$2007&lt;=설정!$B$5)*입금_은행2!$AE$8:$AE$2007)))))</f>
        <v/>
      </c>
      <c r="M92" s="38">
        <f>IF($U92="","",IF($T92="","",IF(INDEX(거래처설정!$F$8:$F$407,$T92)="","",INDEX(거래처설정!$F$8:$F$407,$T92))))</f>
        <v/>
      </c>
      <c r="N92" s="38">
        <f>IF($U92="","",IF($T92="","",IF(INDEX(거래처설정!$G$8:$G$407,$T92)="","",INDEX(거래처설정!$G$8:$G$407,$T92))))</f>
        <v/>
      </c>
      <c r="O92" s="38">
        <f>IF($U92="","",IF($M92="제외",0,IF($K92&gt;=설정!$B$9,3,IF($J92+$K92&gt;=설정!$B$9,2,IF($I92+$J92+$K92&gt;=설정!$B$9,1,0)))))</f>
        <v/>
      </c>
      <c r="P92" s="38">
        <f>IF($U92="","",IF($M92="제외","제외(조치 상태)",IF($O92=3,"③ 강한 독촉 후보 ("&amp;설정!$B$8&amp;"일 초과)",IF($O92=2,"② 독촉 후보 ("&amp;설정!$B$7&amp;"일 초과)",IF($O92=1,"① 안내 후보 ("&amp;설정!$B$6&amp;"일 초과)",IF($G92&gt;0,IF($I92+$J92+$K92&gt;0,"오래된 잔액 있음 (최소 금액 미만)","정상 범위"),IF($G92&lt;0,"선수금·초과입금 — 확인","완납")))))))</f>
        <v/>
      </c>
      <c r="Q92" s="38">
        <f>IF($U92="","",IF($G92&lt;0,"입금이 매출보다 큼 — 선수금이거나 다른 거래처 입금이 섞였는지 확인",IF(AND($AE92&lt;&gt;"",COUNTIF($AE$8:$AE$307,"*"&amp;$AE92&amp;"*")&gt;1),"이름이 다른 거래처와 겹침 — 입금이 잘못 맞았을 수 있으니 별칭 확인",IF(AND($G92&gt;0,$F92=0),"입금 매칭 없음 — 입금자명이 다르면 [거래처설정]에 별칭 등록",""))))</f>
        <v/>
      </c>
      <c r="R92" s="31">
        <f>IF(OR($U92="",$G92&lt;=0),"",$G92-$A92/10000)</f>
        <v/>
      </c>
      <c r="S92" s="31">
        <f>IF(OR($U92="",$O92&lt;1),"",$O92*10^11+$I92+$J92+$K92-$A92/1000)</f>
        <v/>
      </c>
      <c r="T92" s="31">
        <f>IF($U92="","",IFERROR(MATCH(INDEX(매출원본!$AU$8:$AU$2007,$U92),거래처설정!$I$8:$I$407,0),""))</f>
        <v/>
      </c>
      <c r="U92" s="31">
        <f>IFERROR(MATCH(85,매출원본!$AW$8:$AW$2007,0),"")</f>
        <v/>
      </c>
      <c r="V92" s="31">
        <f>IF($U92="","",MAX(SUMIFS(매출원본!$AT$8:$AT$2007,매출원본!$AY$8:$AY$2007,$A92,매출원본!$AS$8:$AS$2007,"&gt;="&amp;(설정!$B$5-설정!$B$6),매출원본!$AS$8:$AS$2007,"&lt;="&amp;설정!$B$5),0))</f>
        <v/>
      </c>
      <c r="W92" s="31">
        <f>IF($U92="","",MAX($V92,SUMIFS(매출원본!$AT$8:$AT$2007,매출원본!$AY$8:$AY$2007,$A92,매출원본!$AS$8:$AS$2007,"&gt;="&amp;(설정!$B$5-설정!$B$7),매출원본!$AS$8:$AS$2007,"&lt;="&amp;설정!$B$5)))</f>
        <v/>
      </c>
      <c r="X92" s="31">
        <f>IF($U92="","",MAX($W92,SUMIFS(매출원본!$AT$8:$AT$2007,매출원본!$AY$8:$AY$2007,$A92,매출원본!$AS$8:$AS$2007,"&gt;="&amp;(설정!$B$5-설정!$B$8),매출원본!$AS$8:$AS$2007,"&lt;="&amp;설정!$B$5)))</f>
        <v/>
      </c>
      <c r="AC92" s="31">
        <f>IF(OR($U92="",$T92=""),"",INDEX(거래처설정!$J$8:$J$407,$T92))</f>
        <v/>
      </c>
      <c r="AD92" s="31">
        <f>IF(OR($U92="",$T92=""),"",INDEX(거래처설정!$K$8:$K$407,$T92))</f>
        <v/>
      </c>
      <c r="AE92" s="31">
        <f>IF($U92="","",IF(LEN(SUBSTITUTE(SUBSTITUTE(SUBSTITUTE(SUBSTITUTE(SUBSTITUTE(SUBSTITUTE(SUBSTITUTE(SUBSTITUTE(SUBSTITUTE($C92," ",""),"　",""),"(주)",""),"（주）",""),"㈜",""),"주식회사",""),"(유)",""),"（유）",""),"유한회사",""))&lt;2,"",SUBSTITUTE(SUBSTITUTE(SUBSTITUTE(SUBSTITUTE(SUBSTITUTE(SUBSTITUTE(SUBSTITUTE(SUBSTITUTE(SUBSTITUTE($C92," ",""),"　",""),"(주)",""),"（주）",""),"㈜",""),"주식회사",""),"(유)",""),"（유）",""),"유한회사","")))</f>
        <v/>
      </c>
    </row>
    <row r="93">
      <c r="A93" s="38">
        <f>IF($U93="","",86)</f>
        <v/>
      </c>
      <c r="B93" s="38">
        <f>IF($U93="","",IF(LEN(INDEX(매출원본!$AU$8:$AU$2007,$U93))=10,LEFT(INDEX(매출원본!$AU$8:$AU$2007,$U93),3)&amp;"-"&amp;MID(INDEX(매출원본!$AU$8:$AU$2007,$U93),4,2)&amp;"-"&amp;RIGHT(INDEX(매출원본!$AU$8:$AU$2007,$U93),5),IF(LEFT(INDEX(매출원본!$AU$8:$AU$2007,$U93),2)="N:","(번호 없음)",INDEX(매출원본!$AU$8:$AU$2007,$U93))))</f>
        <v/>
      </c>
      <c r="C93" s="38">
        <f>IF($U93="","",INDEX(매출원본!$AV$8:$AV$2007,$U93))</f>
        <v/>
      </c>
      <c r="D93" s="39">
        <f>IF($U93="","",IF($T93="",0,N(INDEX(거래처설정!$E$8:$E$407,$T93))))</f>
        <v/>
      </c>
      <c r="E93" s="39">
        <f>IF($U93="","",SUMIFS(매출원본!$AT$8:$AT$2007,매출원본!$AY$8:$AY$2007,$A93,매출원본!$AS$8:$AS$2007,"&lt;="&amp;설정!$B$5))</f>
        <v/>
      </c>
      <c r="F93" s="39">
        <f>IF($U93="","",SUMIFS(입금_은행1!$Z$8:$Z$2007,입금_은행1!$AC$8:$AC$2007,$A93,입금_은행1!$Y$8:$Y$2007,"&lt;="&amp;설정!$B$5)+SUMIFS(입금_은행2!$Z$8:$Z$2007,입금_은행2!$AC$8:$AC$2007,$A93,입금_은행2!$Y$8:$Y$2007,"&lt;="&amp;설정!$B$5))</f>
        <v/>
      </c>
      <c r="G93" s="39">
        <f>IF($U93="","",$D93+$E93-$F93)</f>
        <v/>
      </c>
      <c r="H93" s="39">
        <f>IF($U93="","",MIN(MAX($G93,0),$V93))</f>
        <v/>
      </c>
      <c r="I93" s="39">
        <f>IF($U93="","",MIN(MAX($G93,0),$W93)-MIN(MAX($G93,0),$V93))</f>
        <v/>
      </c>
      <c r="J93" s="39">
        <f>IF($U93="","",MIN(MAX($G93,0),$X93)-MIN(MAX($G93,0),$W93))</f>
        <v/>
      </c>
      <c r="K93" s="39">
        <f>IF($U93="","",MAX($G93,0)-MIN(MAX($G93,0),$X93))</f>
        <v/>
      </c>
      <c r="L93" s="40">
        <f>IF($U93="","",IF(MAX(SUMPRODUCT(MAX((입금_은행1!$AC$8:$AC$2007=$A93)*(입금_은행1!$AE$8:$AE$2007&lt;=설정!$B$5)*입금_은행1!$AE$8:$AE$2007)),SUMPRODUCT(MAX((입금_은행2!$AC$8:$AC$2007=$A93)*(입금_은행2!$AE$8:$AE$2007&lt;=설정!$B$5)*입금_은행2!$AE$8:$AE$2007)))=0,"",MAX(SUMPRODUCT(MAX((입금_은행1!$AC$8:$AC$2007=$A93)*(입금_은행1!$AE$8:$AE$2007&lt;=설정!$B$5)*입금_은행1!$AE$8:$AE$2007)),SUMPRODUCT(MAX((입금_은행2!$AC$8:$AC$2007=$A93)*(입금_은행2!$AE$8:$AE$2007&lt;=설정!$B$5)*입금_은행2!$AE$8:$AE$2007)))))</f>
        <v/>
      </c>
      <c r="M93" s="38">
        <f>IF($U93="","",IF($T93="","",IF(INDEX(거래처설정!$F$8:$F$407,$T93)="","",INDEX(거래처설정!$F$8:$F$407,$T93))))</f>
        <v/>
      </c>
      <c r="N93" s="38">
        <f>IF($U93="","",IF($T93="","",IF(INDEX(거래처설정!$G$8:$G$407,$T93)="","",INDEX(거래처설정!$G$8:$G$407,$T93))))</f>
        <v/>
      </c>
      <c r="O93" s="38">
        <f>IF($U93="","",IF($M93="제외",0,IF($K93&gt;=설정!$B$9,3,IF($J93+$K93&gt;=설정!$B$9,2,IF($I93+$J93+$K93&gt;=설정!$B$9,1,0)))))</f>
        <v/>
      </c>
      <c r="P93" s="38">
        <f>IF($U93="","",IF($M93="제외","제외(조치 상태)",IF($O93=3,"③ 강한 독촉 후보 ("&amp;설정!$B$8&amp;"일 초과)",IF($O93=2,"② 독촉 후보 ("&amp;설정!$B$7&amp;"일 초과)",IF($O93=1,"① 안내 후보 ("&amp;설정!$B$6&amp;"일 초과)",IF($G93&gt;0,IF($I93+$J93+$K93&gt;0,"오래된 잔액 있음 (최소 금액 미만)","정상 범위"),IF($G93&lt;0,"선수금·초과입금 — 확인","완납")))))))</f>
        <v/>
      </c>
      <c r="Q93" s="38">
        <f>IF($U93="","",IF($G93&lt;0,"입금이 매출보다 큼 — 선수금이거나 다른 거래처 입금이 섞였는지 확인",IF(AND($AE93&lt;&gt;"",COUNTIF($AE$8:$AE$307,"*"&amp;$AE93&amp;"*")&gt;1),"이름이 다른 거래처와 겹침 — 입금이 잘못 맞았을 수 있으니 별칭 확인",IF(AND($G93&gt;0,$F93=0),"입금 매칭 없음 — 입금자명이 다르면 [거래처설정]에 별칭 등록",""))))</f>
        <v/>
      </c>
      <c r="R93" s="31">
        <f>IF(OR($U93="",$G93&lt;=0),"",$G93-$A93/10000)</f>
        <v/>
      </c>
      <c r="S93" s="31">
        <f>IF(OR($U93="",$O93&lt;1),"",$O93*10^11+$I93+$J93+$K93-$A93/1000)</f>
        <v/>
      </c>
      <c r="T93" s="31">
        <f>IF($U93="","",IFERROR(MATCH(INDEX(매출원본!$AU$8:$AU$2007,$U93),거래처설정!$I$8:$I$407,0),""))</f>
        <v/>
      </c>
      <c r="U93" s="31">
        <f>IFERROR(MATCH(86,매출원본!$AW$8:$AW$2007,0),"")</f>
        <v/>
      </c>
      <c r="V93" s="31">
        <f>IF($U93="","",MAX(SUMIFS(매출원본!$AT$8:$AT$2007,매출원본!$AY$8:$AY$2007,$A93,매출원본!$AS$8:$AS$2007,"&gt;="&amp;(설정!$B$5-설정!$B$6),매출원본!$AS$8:$AS$2007,"&lt;="&amp;설정!$B$5),0))</f>
        <v/>
      </c>
      <c r="W93" s="31">
        <f>IF($U93="","",MAX($V93,SUMIFS(매출원본!$AT$8:$AT$2007,매출원본!$AY$8:$AY$2007,$A93,매출원본!$AS$8:$AS$2007,"&gt;="&amp;(설정!$B$5-설정!$B$7),매출원본!$AS$8:$AS$2007,"&lt;="&amp;설정!$B$5)))</f>
        <v/>
      </c>
      <c r="X93" s="31">
        <f>IF($U93="","",MAX($W93,SUMIFS(매출원본!$AT$8:$AT$2007,매출원본!$AY$8:$AY$2007,$A93,매출원본!$AS$8:$AS$2007,"&gt;="&amp;(설정!$B$5-설정!$B$8),매출원본!$AS$8:$AS$2007,"&lt;="&amp;설정!$B$5)))</f>
        <v/>
      </c>
      <c r="AC93" s="31">
        <f>IF(OR($U93="",$T93=""),"",INDEX(거래처설정!$J$8:$J$407,$T93))</f>
        <v/>
      </c>
      <c r="AD93" s="31">
        <f>IF(OR($U93="",$T93=""),"",INDEX(거래처설정!$K$8:$K$407,$T93))</f>
        <v/>
      </c>
      <c r="AE93" s="31">
        <f>IF($U93="","",IF(LEN(SUBSTITUTE(SUBSTITUTE(SUBSTITUTE(SUBSTITUTE(SUBSTITUTE(SUBSTITUTE(SUBSTITUTE(SUBSTITUTE(SUBSTITUTE($C93," ",""),"　",""),"(주)",""),"（주）",""),"㈜",""),"주식회사",""),"(유)",""),"（유）",""),"유한회사",""))&lt;2,"",SUBSTITUTE(SUBSTITUTE(SUBSTITUTE(SUBSTITUTE(SUBSTITUTE(SUBSTITUTE(SUBSTITUTE(SUBSTITUTE(SUBSTITUTE($C93," ",""),"　",""),"(주)",""),"（주）",""),"㈜",""),"주식회사",""),"(유)",""),"（유）",""),"유한회사","")))</f>
        <v/>
      </c>
    </row>
    <row r="94">
      <c r="A94" s="38">
        <f>IF($U94="","",87)</f>
        <v/>
      </c>
      <c r="B94" s="38">
        <f>IF($U94="","",IF(LEN(INDEX(매출원본!$AU$8:$AU$2007,$U94))=10,LEFT(INDEX(매출원본!$AU$8:$AU$2007,$U94),3)&amp;"-"&amp;MID(INDEX(매출원본!$AU$8:$AU$2007,$U94),4,2)&amp;"-"&amp;RIGHT(INDEX(매출원본!$AU$8:$AU$2007,$U94),5),IF(LEFT(INDEX(매출원본!$AU$8:$AU$2007,$U94),2)="N:","(번호 없음)",INDEX(매출원본!$AU$8:$AU$2007,$U94))))</f>
        <v/>
      </c>
      <c r="C94" s="38">
        <f>IF($U94="","",INDEX(매출원본!$AV$8:$AV$2007,$U94))</f>
        <v/>
      </c>
      <c r="D94" s="39">
        <f>IF($U94="","",IF($T94="",0,N(INDEX(거래처설정!$E$8:$E$407,$T94))))</f>
        <v/>
      </c>
      <c r="E94" s="39">
        <f>IF($U94="","",SUMIFS(매출원본!$AT$8:$AT$2007,매출원본!$AY$8:$AY$2007,$A94,매출원본!$AS$8:$AS$2007,"&lt;="&amp;설정!$B$5))</f>
        <v/>
      </c>
      <c r="F94" s="39">
        <f>IF($U94="","",SUMIFS(입금_은행1!$Z$8:$Z$2007,입금_은행1!$AC$8:$AC$2007,$A94,입금_은행1!$Y$8:$Y$2007,"&lt;="&amp;설정!$B$5)+SUMIFS(입금_은행2!$Z$8:$Z$2007,입금_은행2!$AC$8:$AC$2007,$A94,입금_은행2!$Y$8:$Y$2007,"&lt;="&amp;설정!$B$5))</f>
        <v/>
      </c>
      <c r="G94" s="39">
        <f>IF($U94="","",$D94+$E94-$F94)</f>
        <v/>
      </c>
      <c r="H94" s="39">
        <f>IF($U94="","",MIN(MAX($G94,0),$V94))</f>
        <v/>
      </c>
      <c r="I94" s="39">
        <f>IF($U94="","",MIN(MAX($G94,0),$W94)-MIN(MAX($G94,0),$V94))</f>
        <v/>
      </c>
      <c r="J94" s="39">
        <f>IF($U94="","",MIN(MAX($G94,0),$X94)-MIN(MAX($G94,0),$W94))</f>
        <v/>
      </c>
      <c r="K94" s="39">
        <f>IF($U94="","",MAX($G94,0)-MIN(MAX($G94,0),$X94))</f>
        <v/>
      </c>
      <c r="L94" s="40">
        <f>IF($U94="","",IF(MAX(SUMPRODUCT(MAX((입금_은행1!$AC$8:$AC$2007=$A94)*(입금_은행1!$AE$8:$AE$2007&lt;=설정!$B$5)*입금_은행1!$AE$8:$AE$2007)),SUMPRODUCT(MAX((입금_은행2!$AC$8:$AC$2007=$A94)*(입금_은행2!$AE$8:$AE$2007&lt;=설정!$B$5)*입금_은행2!$AE$8:$AE$2007)))=0,"",MAX(SUMPRODUCT(MAX((입금_은행1!$AC$8:$AC$2007=$A94)*(입금_은행1!$AE$8:$AE$2007&lt;=설정!$B$5)*입금_은행1!$AE$8:$AE$2007)),SUMPRODUCT(MAX((입금_은행2!$AC$8:$AC$2007=$A94)*(입금_은행2!$AE$8:$AE$2007&lt;=설정!$B$5)*입금_은행2!$AE$8:$AE$2007)))))</f>
        <v/>
      </c>
      <c r="M94" s="38">
        <f>IF($U94="","",IF($T94="","",IF(INDEX(거래처설정!$F$8:$F$407,$T94)="","",INDEX(거래처설정!$F$8:$F$407,$T94))))</f>
        <v/>
      </c>
      <c r="N94" s="38">
        <f>IF($U94="","",IF($T94="","",IF(INDEX(거래처설정!$G$8:$G$407,$T94)="","",INDEX(거래처설정!$G$8:$G$407,$T94))))</f>
        <v/>
      </c>
      <c r="O94" s="38">
        <f>IF($U94="","",IF($M94="제외",0,IF($K94&gt;=설정!$B$9,3,IF($J94+$K94&gt;=설정!$B$9,2,IF($I94+$J94+$K94&gt;=설정!$B$9,1,0)))))</f>
        <v/>
      </c>
      <c r="P94" s="38">
        <f>IF($U94="","",IF($M94="제외","제외(조치 상태)",IF($O94=3,"③ 강한 독촉 후보 ("&amp;설정!$B$8&amp;"일 초과)",IF($O94=2,"② 독촉 후보 ("&amp;설정!$B$7&amp;"일 초과)",IF($O94=1,"① 안내 후보 ("&amp;설정!$B$6&amp;"일 초과)",IF($G94&gt;0,IF($I94+$J94+$K94&gt;0,"오래된 잔액 있음 (최소 금액 미만)","정상 범위"),IF($G94&lt;0,"선수금·초과입금 — 확인","완납")))))))</f>
        <v/>
      </c>
      <c r="Q94" s="38">
        <f>IF($U94="","",IF($G94&lt;0,"입금이 매출보다 큼 — 선수금이거나 다른 거래처 입금이 섞였는지 확인",IF(AND($AE94&lt;&gt;"",COUNTIF($AE$8:$AE$307,"*"&amp;$AE94&amp;"*")&gt;1),"이름이 다른 거래처와 겹침 — 입금이 잘못 맞았을 수 있으니 별칭 확인",IF(AND($G94&gt;0,$F94=0),"입금 매칭 없음 — 입금자명이 다르면 [거래처설정]에 별칭 등록",""))))</f>
        <v/>
      </c>
      <c r="R94" s="31">
        <f>IF(OR($U94="",$G94&lt;=0),"",$G94-$A94/10000)</f>
        <v/>
      </c>
      <c r="S94" s="31">
        <f>IF(OR($U94="",$O94&lt;1),"",$O94*10^11+$I94+$J94+$K94-$A94/1000)</f>
        <v/>
      </c>
      <c r="T94" s="31">
        <f>IF($U94="","",IFERROR(MATCH(INDEX(매출원본!$AU$8:$AU$2007,$U94),거래처설정!$I$8:$I$407,0),""))</f>
        <v/>
      </c>
      <c r="U94" s="31">
        <f>IFERROR(MATCH(87,매출원본!$AW$8:$AW$2007,0),"")</f>
        <v/>
      </c>
      <c r="V94" s="31">
        <f>IF($U94="","",MAX(SUMIFS(매출원본!$AT$8:$AT$2007,매출원본!$AY$8:$AY$2007,$A94,매출원본!$AS$8:$AS$2007,"&gt;="&amp;(설정!$B$5-설정!$B$6),매출원본!$AS$8:$AS$2007,"&lt;="&amp;설정!$B$5),0))</f>
        <v/>
      </c>
      <c r="W94" s="31">
        <f>IF($U94="","",MAX($V94,SUMIFS(매출원본!$AT$8:$AT$2007,매출원본!$AY$8:$AY$2007,$A94,매출원본!$AS$8:$AS$2007,"&gt;="&amp;(설정!$B$5-설정!$B$7),매출원본!$AS$8:$AS$2007,"&lt;="&amp;설정!$B$5)))</f>
        <v/>
      </c>
      <c r="X94" s="31">
        <f>IF($U94="","",MAX($W94,SUMIFS(매출원본!$AT$8:$AT$2007,매출원본!$AY$8:$AY$2007,$A94,매출원본!$AS$8:$AS$2007,"&gt;="&amp;(설정!$B$5-설정!$B$8),매출원본!$AS$8:$AS$2007,"&lt;="&amp;설정!$B$5)))</f>
        <v/>
      </c>
      <c r="AC94" s="31">
        <f>IF(OR($U94="",$T94=""),"",INDEX(거래처설정!$J$8:$J$407,$T94))</f>
        <v/>
      </c>
      <c r="AD94" s="31">
        <f>IF(OR($U94="",$T94=""),"",INDEX(거래처설정!$K$8:$K$407,$T94))</f>
        <v/>
      </c>
      <c r="AE94" s="31">
        <f>IF($U94="","",IF(LEN(SUBSTITUTE(SUBSTITUTE(SUBSTITUTE(SUBSTITUTE(SUBSTITUTE(SUBSTITUTE(SUBSTITUTE(SUBSTITUTE(SUBSTITUTE($C94," ",""),"　",""),"(주)",""),"（주）",""),"㈜",""),"주식회사",""),"(유)",""),"（유）",""),"유한회사",""))&lt;2,"",SUBSTITUTE(SUBSTITUTE(SUBSTITUTE(SUBSTITUTE(SUBSTITUTE(SUBSTITUTE(SUBSTITUTE(SUBSTITUTE(SUBSTITUTE($C94," ",""),"　",""),"(주)",""),"（주）",""),"㈜",""),"주식회사",""),"(유)",""),"（유）",""),"유한회사","")))</f>
        <v/>
      </c>
    </row>
    <row r="95">
      <c r="A95" s="38">
        <f>IF($U95="","",88)</f>
        <v/>
      </c>
      <c r="B95" s="38">
        <f>IF($U95="","",IF(LEN(INDEX(매출원본!$AU$8:$AU$2007,$U95))=10,LEFT(INDEX(매출원본!$AU$8:$AU$2007,$U95),3)&amp;"-"&amp;MID(INDEX(매출원본!$AU$8:$AU$2007,$U95),4,2)&amp;"-"&amp;RIGHT(INDEX(매출원본!$AU$8:$AU$2007,$U95),5),IF(LEFT(INDEX(매출원본!$AU$8:$AU$2007,$U95),2)="N:","(번호 없음)",INDEX(매출원본!$AU$8:$AU$2007,$U95))))</f>
        <v/>
      </c>
      <c r="C95" s="38">
        <f>IF($U95="","",INDEX(매출원본!$AV$8:$AV$2007,$U95))</f>
        <v/>
      </c>
      <c r="D95" s="39">
        <f>IF($U95="","",IF($T95="",0,N(INDEX(거래처설정!$E$8:$E$407,$T95))))</f>
        <v/>
      </c>
      <c r="E95" s="39">
        <f>IF($U95="","",SUMIFS(매출원본!$AT$8:$AT$2007,매출원본!$AY$8:$AY$2007,$A95,매출원본!$AS$8:$AS$2007,"&lt;="&amp;설정!$B$5))</f>
        <v/>
      </c>
      <c r="F95" s="39">
        <f>IF($U95="","",SUMIFS(입금_은행1!$Z$8:$Z$2007,입금_은행1!$AC$8:$AC$2007,$A95,입금_은행1!$Y$8:$Y$2007,"&lt;="&amp;설정!$B$5)+SUMIFS(입금_은행2!$Z$8:$Z$2007,입금_은행2!$AC$8:$AC$2007,$A95,입금_은행2!$Y$8:$Y$2007,"&lt;="&amp;설정!$B$5))</f>
        <v/>
      </c>
      <c r="G95" s="39">
        <f>IF($U95="","",$D95+$E95-$F95)</f>
        <v/>
      </c>
      <c r="H95" s="39">
        <f>IF($U95="","",MIN(MAX($G95,0),$V95))</f>
        <v/>
      </c>
      <c r="I95" s="39">
        <f>IF($U95="","",MIN(MAX($G95,0),$W95)-MIN(MAX($G95,0),$V95))</f>
        <v/>
      </c>
      <c r="J95" s="39">
        <f>IF($U95="","",MIN(MAX($G95,0),$X95)-MIN(MAX($G95,0),$W95))</f>
        <v/>
      </c>
      <c r="K95" s="39">
        <f>IF($U95="","",MAX($G95,0)-MIN(MAX($G95,0),$X95))</f>
        <v/>
      </c>
      <c r="L95" s="40">
        <f>IF($U95="","",IF(MAX(SUMPRODUCT(MAX((입금_은행1!$AC$8:$AC$2007=$A95)*(입금_은행1!$AE$8:$AE$2007&lt;=설정!$B$5)*입금_은행1!$AE$8:$AE$2007)),SUMPRODUCT(MAX((입금_은행2!$AC$8:$AC$2007=$A95)*(입금_은행2!$AE$8:$AE$2007&lt;=설정!$B$5)*입금_은행2!$AE$8:$AE$2007)))=0,"",MAX(SUMPRODUCT(MAX((입금_은행1!$AC$8:$AC$2007=$A95)*(입금_은행1!$AE$8:$AE$2007&lt;=설정!$B$5)*입금_은행1!$AE$8:$AE$2007)),SUMPRODUCT(MAX((입금_은행2!$AC$8:$AC$2007=$A95)*(입금_은행2!$AE$8:$AE$2007&lt;=설정!$B$5)*입금_은행2!$AE$8:$AE$2007)))))</f>
        <v/>
      </c>
      <c r="M95" s="38">
        <f>IF($U95="","",IF($T95="","",IF(INDEX(거래처설정!$F$8:$F$407,$T95)="","",INDEX(거래처설정!$F$8:$F$407,$T95))))</f>
        <v/>
      </c>
      <c r="N95" s="38">
        <f>IF($U95="","",IF($T95="","",IF(INDEX(거래처설정!$G$8:$G$407,$T95)="","",INDEX(거래처설정!$G$8:$G$407,$T95))))</f>
        <v/>
      </c>
      <c r="O95" s="38">
        <f>IF($U95="","",IF($M95="제외",0,IF($K95&gt;=설정!$B$9,3,IF($J95+$K95&gt;=설정!$B$9,2,IF($I95+$J95+$K95&gt;=설정!$B$9,1,0)))))</f>
        <v/>
      </c>
      <c r="P95" s="38">
        <f>IF($U95="","",IF($M95="제외","제외(조치 상태)",IF($O95=3,"③ 강한 독촉 후보 ("&amp;설정!$B$8&amp;"일 초과)",IF($O95=2,"② 독촉 후보 ("&amp;설정!$B$7&amp;"일 초과)",IF($O95=1,"① 안내 후보 ("&amp;설정!$B$6&amp;"일 초과)",IF($G95&gt;0,IF($I95+$J95+$K95&gt;0,"오래된 잔액 있음 (최소 금액 미만)","정상 범위"),IF($G95&lt;0,"선수금·초과입금 — 확인","완납")))))))</f>
        <v/>
      </c>
      <c r="Q95" s="38">
        <f>IF($U95="","",IF($G95&lt;0,"입금이 매출보다 큼 — 선수금이거나 다른 거래처 입금이 섞였는지 확인",IF(AND($AE95&lt;&gt;"",COUNTIF($AE$8:$AE$307,"*"&amp;$AE95&amp;"*")&gt;1),"이름이 다른 거래처와 겹침 — 입금이 잘못 맞았을 수 있으니 별칭 확인",IF(AND($G95&gt;0,$F95=0),"입금 매칭 없음 — 입금자명이 다르면 [거래처설정]에 별칭 등록",""))))</f>
        <v/>
      </c>
      <c r="R95" s="31">
        <f>IF(OR($U95="",$G95&lt;=0),"",$G95-$A95/10000)</f>
        <v/>
      </c>
      <c r="S95" s="31">
        <f>IF(OR($U95="",$O95&lt;1),"",$O95*10^11+$I95+$J95+$K95-$A95/1000)</f>
        <v/>
      </c>
      <c r="T95" s="31">
        <f>IF($U95="","",IFERROR(MATCH(INDEX(매출원본!$AU$8:$AU$2007,$U95),거래처설정!$I$8:$I$407,0),""))</f>
        <v/>
      </c>
      <c r="U95" s="31">
        <f>IFERROR(MATCH(88,매출원본!$AW$8:$AW$2007,0),"")</f>
        <v/>
      </c>
      <c r="V95" s="31">
        <f>IF($U95="","",MAX(SUMIFS(매출원본!$AT$8:$AT$2007,매출원본!$AY$8:$AY$2007,$A95,매출원본!$AS$8:$AS$2007,"&gt;="&amp;(설정!$B$5-설정!$B$6),매출원본!$AS$8:$AS$2007,"&lt;="&amp;설정!$B$5),0))</f>
        <v/>
      </c>
      <c r="W95" s="31">
        <f>IF($U95="","",MAX($V95,SUMIFS(매출원본!$AT$8:$AT$2007,매출원본!$AY$8:$AY$2007,$A95,매출원본!$AS$8:$AS$2007,"&gt;="&amp;(설정!$B$5-설정!$B$7),매출원본!$AS$8:$AS$2007,"&lt;="&amp;설정!$B$5)))</f>
        <v/>
      </c>
      <c r="X95" s="31">
        <f>IF($U95="","",MAX($W95,SUMIFS(매출원본!$AT$8:$AT$2007,매출원본!$AY$8:$AY$2007,$A95,매출원본!$AS$8:$AS$2007,"&gt;="&amp;(설정!$B$5-설정!$B$8),매출원본!$AS$8:$AS$2007,"&lt;="&amp;설정!$B$5)))</f>
        <v/>
      </c>
      <c r="AC95" s="31">
        <f>IF(OR($U95="",$T95=""),"",INDEX(거래처설정!$J$8:$J$407,$T95))</f>
        <v/>
      </c>
      <c r="AD95" s="31">
        <f>IF(OR($U95="",$T95=""),"",INDEX(거래처설정!$K$8:$K$407,$T95))</f>
        <v/>
      </c>
      <c r="AE95" s="31">
        <f>IF($U95="","",IF(LEN(SUBSTITUTE(SUBSTITUTE(SUBSTITUTE(SUBSTITUTE(SUBSTITUTE(SUBSTITUTE(SUBSTITUTE(SUBSTITUTE(SUBSTITUTE($C95," ",""),"　",""),"(주)",""),"（주）",""),"㈜",""),"주식회사",""),"(유)",""),"（유）",""),"유한회사",""))&lt;2,"",SUBSTITUTE(SUBSTITUTE(SUBSTITUTE(SUBSTITUTE(SUBSTITUTE(SUBSTITUTE(SUBSTITUTE(SUBSTITUTE(SUBSTITUTE($C95," ",""),"　",""),"(주)",""),"（주）",""),"㈜",""),"주식회사",""),"(유)",""),"（유）",""),"유한회사","")))</f>
        <v/>
      </c>
    </row>
    <row r="96">
      <c r="A96" s="38">
        <f>IF($U96="","",89)</f>
        <v/>
      </c>
      <c r="B96" s="38">
        <f>IF($U96="","",IF(LEN(INDEX(매출원본!$AU$8:$AU$2007,$U96))=10,LEFT(INDEX(매출원본!$AU$8:$AU$2007,$U96),3)&amp;"-"&amp;MID(INDEX(매출원본!$AU$8:$AU$2007,$U96),4,2)&amp;"-"&amp;RIGHT(INDEX(매출원본!$AU$8:$AU$2007,$U96),5),IF(LEFT(INDEX(매출원본!$AU$8:$AU$2007,$U96),2)="N:","(번호 없음)",INDEX(매출원본!$AU$8:$AU$2007,$U96))))</f>
        <v/>
      </c>
      <c r="C96" s="38">
        <f>IF($U96="","",INDEX(매출원본!$AV$8:$AV$2007,$U96))</f>
        <v/>
      </c>
      <c r="D96" s="39">
        <f>IF($U96="","",IF($T96="",0,N(INDEX(거래처설정!$E$8:$E$407,$T96))))</f>
        <v/>
      </c>
      <c r="E96" s="39">
        <f>IF($U96="","",SUMIFS(매출원본!$AT$8:$AT$2007,매출원본!$AY$8:$AY$2007,$A96,매출원본!$AS$8:$AS$2007,"&lt;="&amp;설정!$B$5))</f>
        <v/>
      </c>
      <c r="F96" s="39">
        <f>IF($U96="","",SUMIFS(입금_은행1!$Z$8:$Z$2007,입금_은행1!$AC$8:$AC$2007,$A96,입금_은행1!$Y$8:$Y$2007,"&lt;="&amp;설정!$B$5)+SUMIFS(입금_은행2!$Z$8:$Z$2007,입금_은행2!$AC$8:$AC$2007,$A96,입금_은행2!$Y$8:$Y$2007,"&lt;="&amp;설정!$B$5))</f>
        <v/>
      </c>
      <c r="G96" s="39">
        <f>IF($U96="","",$D96+$E96-$F96)</f>
        <v/>
      </c>
      <c r="H96" s="39">
        <f>IF($U96="","",MIN(MAX($G96,0),$V96))</f>
        <v/>
      </c>
      <c r="I96" s="39">
        <f>IF($U96="","",MIN(MAX($G96,0),$W96)-MIN(MAX($G96,0),$V96))</f>
        <v/>
      </c>
      <c r="J96" s="39">
        <f>IF($U96="","",MIN(MAX($G96,0),$X96)-MIN(MAX($G96,0),$W96))</f>
        <v/>
      </c>
      <c r="K96" s="39">
        <f>IF($U96="","",MAX($G96,0)-MIN(MAX($G96,0),$X96))</f>
        <v/>
      </c>
      <c r="L96" s="40">
        <f>IF($U96="","",IF(MAX(SUMPRODUCT(MAX((입금_은행1!$AC$8:$AC$2007=$A96)*(입금_은행1!$AE$8:$AE$2007&lt;=설정!$B$5)*입금_은행1!$AE$8:$AE$2007)),SUMPRODUCT(MAX((입금_은행2!$AC$8:$AC$2007=$A96)*(입금_은행2!$AE$8:$AE$2007&lt;=설정!$B$5)*입금_은행2!$AE$8:$AE$2007)))=0,"",MAX(SUMPRODUCT(MAX((입금_은행1!$AC$8:$AC$2007=$A96)*(입금_은행1!$AE$8:$AE$2007&lt;=설정!$B$5)*입금_은행1!$AE$8:$AE$2007)),SUMPRODUCT(MAX((입금_은행2!$AC$8:$AC$2007=$A96)*(입금_은행2!$AE$8:$AE$2007&lt;=설정!$B$5)*입금_은행2!$AE$8:$AE$2007)))))</f>
        <v/>
      </c>
      <c r="M96" s="38">
        <f>IF($U96="","",IF($T96="","",IF(INDEX(거래처설정!$F$8:$F$407,$T96)="","",INDEX(거래처설정!$F$8:$F$407,$T96))))</f>
        <v/>
      </c>
      <c r="N96" s="38">
        <f>IF($U96="","",IF($T96="","",IF(INDEX(거래처설정!$G$8:$G$407,$T96)="","",INDEX(거래처설정!$G$8:$G$407,$T96))))</f>
        <v/>
      </c>
      <c r="O96" s="38">
        <f>IF($U96="","",IF($M96="제외",0,IF($K96&gt;=설정!$B$9,3,IF($J96+$K96&gt;=설정!$B$9,2,IF($I96+$J96+$K96&gt;=설정!$B$9,1,0)))))</f>
        <v/>
      </c>
      <c r="P96" s="38">
        <f>IF($U96="","",IF($M96="제외","제외(조치 상태)",IF($O96=3,"③ 강한 독촉 후보 ("&amp;설정!$B$8&amp;"일 초과)",IF($O96=2,"② 독촉 후보 ("&amp;설정!$B$7&amp;"일 초과)",IF($O96=1,"① 안내 후보 ("&amp;설정!$B$6&amp;"일 초과)",IF($G96&gt;0,IF($I96+$J96+$K96&gt;0,"오래된 잔액 있음 (최소 금액 미만)","정상 범위"),IF($G96&lt;0,"선수금·초과입금 — 확인","완납")))))))</f>
        <v/>
      </c>
      <c r="Q96" s="38">
        <f>IF($U96="","",IF($G96&lt;0,"입금이 매출보다 큼 — 선수금이거나 다른 거래처 입금이 섞였는지 확인",IF(AND($AE96&lt;&gt;"",COUNTIF($AE$8:$AE$307,"*"&amp;$AE96&amp;"*")&gt;1),"이름이 다른 거래처와 겹침 — 입금이 잘못 맞았을 수 있으니 별칭 확인",IF(AND($G96&gt;0,$F96=0),"입금 매칭 없음 — 입금자명이 다르면 [거래처설정]에 별칭 등록",""))))</f>
        <v/>
      </c>
      <c r="R96" s="31">
        <f>IF(OR($U96="",$G96&lt;=0),"",$G96-$A96/10000)</f>
        <v/>
      </c>
      <c r="S96" s="31">
        <f>IF(OR($U96="",$O96&lt;1),"",$O96*10^11+$I96+$J96+$K96-$A96/1000)</f>
        <v/>
      </c>
      <c r="T96" s="31">
        <f>IF($U96="","",IFERROR(MATCH(INDEX(매출원본!$AU$8:$AU$2007,$U96),거래처설정!$I$8:$I$407,0),""))</f>
        <v/>
      </c>
      <c r="U96" s="31">
        <f>IFERROR(MATCH(89,매출원본!$AW$8:$AW$2007,0),"")</f>
        <v/>
      </c>
      <c r="V96" s="31">
        <f>IF($U96="","",MAX(SUMIFS(매출원본!$AT$8:$AT$2007,매출원본!$AY$8:$AY$2007,$A96,매출원본!$AS$8:$AS$2007,"&gt;="&amp;(설정!$B$5-설정!$B$6),매출원본!$AS$8:$AS$2007,"&lt;="&amp;설정!$B$5),0))</f>
        <v/>
      </c>
      <c r="W96" s="31">
        <f>IF($U96="","",MAX($V96,SUMIFS(매출원본!$AT$8:$AT$2007,매출원본!$AY$8:$AY$2007,$A96,매출원본!$AS$8:$AS$2007,"&gt;="&amp;(설정!$B$5-설정!$B$7),매출원본!$AS$8:$AS$2007,"&lt;="&amp;설정!$B$5)))</f>
        <v/>
      </c>
      <c r="X96" s="31">
        <f>IF($U96="","",MAX($W96,SUMIFS(매출원본!$AT$8:$AT$2007,매출원본!$AY$8:$AY$2007,$A96,매출원본!$AS$8:$AS$2007,"&gt;="&amp;(설정!$B$5-설정!$B$8),매출원본!$AS$8:$AS$2007,"&lt;="&amp;설정!$B$5)))</f>
        <v/>
      </c>
      <c r="AC96" s="31">
        <f>IF(OR($U96="",$T96=""),"",INDEX(거래처설정!$J$8:$J$407,$T96))</f>
        <v/>
      </c>
      <c r="AD96" s="31">
        <f>IF(OR($U96="",$T96=""),"",INDEX(거래처설정!$K$8:$K$407,$T96))</f>
        <v/>
      </c>
      <c r="AE96" s="31">
        <f>IF($U96="","",IF(LEN(SUBSTITUTE(SUBSTITUTE(SUBSTITUTE(SUBSTITUTE(SUBSTITUTE(SUBSTITUTE(SUBSTITUTE(SUBSTITUTE(SUBSTITUTE($C96," ",""),"　",""),"(주)",""),"（주）",""),"㈜",""),"주식회사",""),"(유)",""),"（유）",""),"유한회사",""))&lt;2,"",SUBSTITUTE(SUBSTITUTE(SUBSTITUTE(SUBSTITUTE(SUBSTITUTE(SUBSTITUTE(SUBSTITUTE(SUBSTITUTE(SUBSTITUTE($C96," ",""),"　",""),"(주)",""),"（주）",""),"㈜",""),"주식회사",""),"(유)",""),"（유）",""),"유한회사","")))</f>
        <v/>
      </c>
    </row>
    <row r="97">
      <c r="A97" s="38">
        <f>IF($U97="","",90)</f>
        <v/>
      </c>
      <c r="B97" s="38">
        <f>IF($U97="","",IF(LEN(INDEX(매출원본!$AU$8:$AU$2007,$U97))=10,LEFT(INDEX(매출원본!$AU$8:$AU$2007,$U97),3)&amp;"-"&amp;MID(INDEX(매출원본!$AU$8:$AU$2007,$U97),4,2)&amp;"-"&amp;RIGHT(INDEX(매출원본!$AU$8:$AU$2007,$U97),5),IF(LEFT(INDEX(매출원본!$AU$8:$AU$2007,$U97),2)="N:","(번호 없음)",INDEX(매출원본!$AU$8:$AU$2007,$U97))))</f>
        <v/>
      </c>
      <c r="C97" s="38">
        <f>IF($U97="","",INDEX(매출원본!$AV$8:$AV$2007,$U97))</f>
        <v/>
      </c>
      <c r="D97" s="39">
        <f>IF($U97="","",IF($T97="",0,N(INDEX(거래처설정!$E$8:$E$407,$T97))))</f>
        <v/>
      </c>
      <c r="E97" s="39">
        <f>IF($U97="","",SUMIFS(매출원본!$AT$8:$AT$2007,매출원본!$AY$8:$AY$2007,$A97,매출원본!$AS$8:$AS$2007,"&lt;="&amp;설정!$B$5))</f>
        <v/>
      </c>
      <c r="F97" s="39">
        <f>IF($U97="","",SUMIFS(입금_은행1!$Z$8:$Z$2007,입금_은행1!$AC$8:$AC$2007,$A97,입금_은행1!$Y$8:$Y$2007,"&lt;="&amp;설정!$B$5)+SUMIFS(입금_은행2!$Z$8:$Z$2007,입금_은행2!$AC$8:$AC$2007,$A97,입금_은행2!$Y$8:$Y$2007,"&lt;="&amp;설정!$B$5))</f>
        <v/>
      </c>
      <c r="G97" s="39">
        <f>IF($U97="","",$D97+$E97-$F97)</f>
        <v/>
      </c>
      <c r="H97" s="39">
        <f>IF($U97="","",MIN(MAX($G97,0),$V97))</f>
        <v/>
      </c>
      <c r="I97" s="39">
        <f>IF($U97="","",MIN(MAX($G97,0),$W97)-MIN(MAX($G97,0),$V97))</f>
        <v/>
      </c>
      <c r="J97" s="39">
        <f>IF($U97="","",MIN(MAX($G97,0),$X97)-MIN(MAX($G97,0),$W97))</f>
        <v/>
      </c>
      <c r="K97" s="39">
        <f>IF($U97="","",MAX($G97,0)-MIN(MAX($G97,0),$X97))</f>
        <v/>
      </c>
      <c r="L97" s="40">
        <f>IF($U97="","",IF(MAX(SUMPRODUCT(MAX((입금_은행1!$AC$8:$AC$2007=$A97)*(입금_은행1!$AE$8:$AE$2007&lt;=설정!$B$5)*입금_은행1!$AE$8:$AE$2007)),SUMPRODUCT(MAX((입금_은행2!$AC$8:$AC$2007=$A97)*(입금_은행2!$AE$8:$AE$2007&lt;=설정!$B$5)*입금_은행2!$AE$8:$AE$2007)))=0,"",MAX(SUMPRODUCT(MAX((입금_은행1!$AC$8:$AC$2007=$A97)*(입금_은행1!$AE$8:$AE$2007&lt;=설정!$B$5)*입금_은행1!$AE$8:$AE$2007)),SUMPRODUCT(MAX((입금_은행2!$AC$8:$AC$2007=$A97)*(입금_은행2!$AE$8:$AE$2007&lt;=설정!$B$5)*입금_은행2!$AE$8:$AE$2007)))))</f>
        <v/>
      </c>
      <c r="M97" s="38">
        <f>IF($U97="","",IF($T97="","",IF(INDEX(거래처설정!$F$8:$F$407,$T97)="","",INDEX(거래처설정!$F$8:$F$407,$T97))))</f>
        <v/>
      </c>
      <c r="N97" s="38">
        <f>IF($U97="","",IF($T97="","",IF(INDEX(거래처설정!$G$8:$G$407,$T97)="","",INDEX(거래처설정!$G$8:$G$407,$T97))))</f>
        <v/>
      </c>
      <c r="O97" s="38">
        <f>IF($U97="","",IF($M97="제외",0,IF($K97&gt;=설정!$B$9,3,IF($J97+$K97&gt;=설정!$B$9,2,IF($I97+$J97+$K97&gt;=설정!$B$9,1,0)))))</f>
        <v/>
      </c>
      <c r="P97" s="38">
        <f>IF($U97="","",IF($M97="제외","제외(조치 상태)",IF($O97=3,"③ 강한 독촉 후보 ("&amp;설정!$B$8&amp;"일 초과)",IF($O97=2,"② 독촉 후보 ("&amp;설정!$B$7&amp;"일 초과)",IF($O97=1,"① 안내 후보 ("&amp;설정!$B$6&amp;"일 초과)",IF($G97&gt;0,IF($I97+$J97+$K97&gt;0,"오래된 잔액 있음 (최소 금액 미만)","정상 범위"),IF($G97&lt;0,"선수금·초과입금 — 확인","완납")))))))</f>
        <v/>
      </c>
      <c r="Q97" s="38">
        <f>IF($U97="","",IF($G97&lt;0,"입금이 매출보다 큼 — 선수금이거나 다른 거래처 입금이 섞였는지 확인",IF(AND($AE97&lt;&gt;"",COUNTIF($AE$8:$AE$307,"*"&amp;$AE97&amp;"*")&gt;1),"이름이 다른 거래처와 겹침 — 입금이 잘못 맞았을 수 있으니 별칭 확인",IF(AND($G97&gt;0,$F97=0),"입금 매칭 없음 — 입금자명이 다르면 [거래처설정]에 별칭 등록",""))))</f>
        <v/>
      </c>
      <c r="R97" s="31">
        <f>IF(OR($U97="",$G97&lt;=0),"",$G97-$A97/10000)</f>
        <v/>
      </c>
      <c r="S97" s="31">
        <f>IF(OR($U97="",$O97&lt;1),"",$O97*10^11+$I97+$J97+$K97-$A97/1000)</f>
        <v/>
      </c>
      <c r="T97" s="31">
        <f>IF($U97="","",IFERROR(MATCH(INDEX(매출원본!$AU$8:$AU$2007,$U97),거래처설정!$I$8:$I$407,0),""))</f>
        <v/>
      </c>
      <c r="U97" s="31">
        <f>IFERROR(MATCH(90,매출원본!$AW$8:$AW$2007,0),"")</f>
        <v/>
      </c>
      <c r="V97" s="31">
        <f>IF($U97="","",MAX(SUMIFS(매출원본!$AT$8:$AT$2007,매출원본!$AY$8:$AY$2007,$A97,매출원본!$AS$8:$AS$2007,"&gt;="&amp;(설정!$B$5-설정!$B$6),매출원본!$AS$8:$AS$2007,"&lt;="&amp;설정!$B$5),0))</f>
        <v/>
      </c>
      <c r="W97" s="31">
        <f>IF($U97="","",MAX($V97,SUMIFS(매출원본!$AT$8:$AT$2007,매출원본!$AY$8:$AY$2007,$A97,매출원본!$AS$8:$AS$2007,"&gt;="&amp;(설정!$B$5-설정!$B$7),매출원본!$AS$8:$AS$2007,"&lt;="&amp;설정!$B$5)))</f>
        <v/>
      </c>
      <c r="X97" s="31">
        <f>IF($U97="","",MAX($W97,SUMIFS(매출원본!$AT$8:$AT$2007,매출원본!$AY$8:$AY$2007,$A97,매출원본!$AS$8:$AS$2007,"&gt;="&amp;(설정!$B$5-설정!$B$8),매출원본!$AS$8:$AS$2007,"&lt;="&amp;설정!$B$5)))</f>
        <v/>
      </c>
      <c r="AC97" s="31">
        <f>IF(OR($U97="",$T97=""),"",INDEX(거래처설정!$J$8:$J$407,$T97))</f>
        <v/>
      </c>
      <c r="AD97" s="31">
        <f>IF(OR($U97="",$T97=""),"",INDEX(거래처설정!$K$8:$K$407,$T97))</f>
        <v/>
      </c>
      <c r="AE97" s="31">
        <f>IF($U97="","",IF(LEN(SUBSTITUTE(SUBSTITUTE(SUBSTITUTE(SUBSTITUTE(SUBSTITUTE(SUBSTITUTE(SUBSTITUTE(SUBSTITUTE(SUBSTITUTE($C97," ",""),"　",""),"(주)",""),"（주）",""),"㈜",""),"주식회사",""),"(유)",""),"（유）",""),"유한회사",""))&lt;2,"",SUBSTITUTE(SUBSTITUTE(SUBSTITUTE(SUBSTITUTE(SUBSTITUTE(SUBSTITUTE(SUBSTITUTE(SUBSTITUTE(SUBSTITUTE($C97," ",""),"　",""),"(주)",""),"（주）",""),"㈜",""),"주식회사",""),"(유)",""),"（유）",""),"유한회사","")))</f>
        <v/>
      </c>
    </row>
    <row r="98">
      <c r="A98" s="38">
        <f>IF($U98="","",91)</f>
        <v/>
      </c>
      <c r="B98" s="38">
        <f>IF($U98="","",IF(LEN(INDEX(매출원본!$AU$8:$AU$2007,$U98))=10,LEFT(INDEX(매출원본!$AU$8:$AU$2007,$U98),3)&amp;"-"&amp;MID(INDEX(매출원본!$AU$8:$AU$2007,$U98),4,2)&amp;"-"&amp;RIGHT(INDEX(매출원본!$AU$8:$AU$2007,$U98),5),IF(LEFT(INDEX(매출원본!$AU$8:$AU$2007,$U98),2)="N:","(번호 없음)",INDEX(매출원본!$AU$8:$AU$2007,$U98))))</f>
        <v/>
      </c>
      <c r="C98" s="38">
        <f>IF($U98="","",INDEX(매출원본!$AV$8:$AV$2007,$U98))</f>
        <v/>
      </c>
      <c r="D98" s="39">
        <f>IF($U98="","",IF($T98="",0,N(INDEX(거래처설정!$E$8:$E$407,$T98))))</f>
        <v/>
      </c>
      <c r="E98" s="39">
        <f>IF($U98="","",SUMIFS(매출원본!$AT$8:$AT$2007,매출원본!$AY$8:$AY$2007,$A98,매출원본!$AS$8:$AS$2007,"&lt;="&amp;설정!$B$5))</f>
        <v/>
      </c>
      <c r="F98" s="39">
        <f>IF($U98="","",SUMIFS(입금_은행1!$Z$8:$Z$2007,입금_은행1!$AC$8:$AC$2007,$A98,입금_은행1!$Y$8:$Y$2007,"&lt;="&amp;설정!$B$5)+SUMIFS(입금_은행2!$Z$8:$Z$2007,입금_은행2!$AC$8:$AC$2007,$A98,입금_은행2!$Y$8:$Y$2007,"&lt;="&amp;설정!$B$5))</f>
        <v/>
      </c>
      <c r="G98" s="39">
        <f>IF($U98="","",$D98+$E98-$F98)</f>
        <v/>
      </c>
      <c r="H98" s="39">
        <f>IF($U98="","",MIN(MAX($G98,0),$V98))</f>
        <v/>
      </c>
      <c r="I98" s="39">
        <f>IF($U98="","",MIN(MAX($G98,0),$W98)-MIN(MAX($G98,0),$V98))</f>
        <v/>
      </c>
      <c r="J98" s="39">
        <f>IF($U98="","",MIN(MAX($G98,0),$X98)-MIN(MAX($G98,0),$W98))</f>
        <v/>
      </c>
      <c r="K98" s="39">
        <f>IF($U98="","",MAX($G98,0)-MIN(MAX($G98,0),$X98))</f>
        <v/>
      </c>
      <c r="L98" s="40">
        <f>IF($U98="","",IF(MAX(SUMPRODUCT(MAX((입금_은행1!$AC$8:$AC$2007=$A98)*(입금_은행1!$AE$8:$AE$2007&lt;=설정!$B$5)*입금_은행1!$AE$8:$AE$2007)),SUMPRODUCT(MAX((입금_은행2!$AC$8:$AC$2007=$A98)*(입금_은행2!$AE$8:$AE$2007&lt;=설정!$B$5)*입금_은행2!$AE$8:$AE$2007)))=0,"",MAX(SUMPRODUCT(MAX((입금_은행1!$AC$8:$AC$2007=$A98)*(입금_은행1!$AE$8:$AE$2007&lt;=설정!$B$5)*입금_은행1!$AE$8:$AE$2007)),SUMPRODUCT(MAX((입금_은행2!$AC$8:$AC$2007=$A98)*(입금_은행2!$AE$8:$AE$2007&lt;=설정!$B$5)*입금_은행2!$AE$8:$AE$2007)))))</f>
        <v/>
      </c>
      <c r="M98" s="38">
        <f>IF($U98="","",IF($T98="","",IF(INDEX(거래처설정!$F$8:$F$407,$T98)="","",INDEX(거래처설정!$F$8:$F$407,$T98))))</f>
        <v/>
      </c>
      <c r="N98" s="38">
        <f>IF($U98="","",IF($T98="","",IF(INDEX(거래처설정!$G$8:$G$407,$T98)="","",INDEX(거래처설정!$G$8:$G$407,$T98))))</f>
        <v/>
      </c>
      <c r="O98" s="38">
        <f>IF($U98="","",IF($M98="제외",0,IF($K98&gt;=설정!$B$9,3,IF($J98+$K98&gt;=설정!$B$9,2,IF($I98+$J98+$K98&gt;=설정!$B$9,1,0)))))</f>
        <v/>
      </c>
      <c r="P98" s="38">
        <f>IF($U98="","",IF($M98="제외","제외(조치 상태)",IF($O98=3,"③ 강한 독촉 후보 ("&amp;설정!$B$8&amp;"일 초과)",IF($O98=2,"② 독촉 후보 ("&amp;설정!$B$7&amp;"일 초과)",IF($O98=1,"① 안내 후보 ("&amp;설정!$B$6&amp;"일 초과)",IF($G98&gt;0,IF($I98+$J98+$K98&gt;0,"오래된 잔액 있음 (최소 금액 미만)","정상 범위"),IF($G98&lt;0,"선수금·초과입금 — 확인","완납")))))))</f>
        <v/>
      </c>
      <c r="Q98" s="38">
        <f>IF($U98="","",IF($G98&lt;0,"입금이 매출보다 큼 — 선수금이거나 다른 거래처 입금이 섞였는지 확인",IF(AND($AE98&lt;&gt;"",COUNTIF($AE$8:$AE$307,"*"&amp;$AE98&amp;"*")&gt;1),"이름이 다른 거래처와 겹침 — 입금이 잘못 맞았을 수 있으니 별칭 확인",IF(AND($G98&gt;0,$F98=0),"입금 매칭 없음 — 입금자명이 다르면 [거래처설정]에 별칭 등록",""))))</f>
        <v/>
      </c>
      <c r="R98" s="31">
        <f>IF(OR($U98="",$G98&lt;=0),"",$G98-$A98/10000)</f>
        <v/>
      </c>
      <c r="S98" s="31">
        <f>IF(OR($U98="",$O98&lt;1),"",$O98*10^11+$I98+$J98+$K98-$A98/1000)</f>
        <v/>
      </c>
      <c r="T98" s="31">
        <f>IF($U98="","",IFERROR(MATCH(INDEX(매출원본!$AU$8:$AU$2007,$U98),거래처설정!$I$8:$I$407,0),""))</f>
        <v/>
      </c>
      <c r="U98" s="31">
        <f>IFERROR(MATCH(91,매출원본!$AW$8:$AW$2007,0),"")</f>
        <v/>
      </c>
      <c r="V98" s="31">
        <f>IF($U98="","",MAX(SUMIFS(매출원본!$AT$8:$AT$2007,매출원본!$AY$8:$AY$2007,$A98,매출원본!$AS$8:$AS$2007,"&gt;="&amp;(설정!$B$5-설정!$B$6),매출원본!$AS$8:$AS$2007,"&lt;="&amp;설정!$B$5),0))</f>
        <v/>
      </c>
      <c r="W98" s="31">
        <f>IF($U98="","",MAX($V98,SUMIFS(매출원본!$AT$8:$AT$2007,매출원본!$AY$8:$AY$2007,$A98,매출원본!$AS$8:$AS$2007,"&gt;="&amp;(설정!$B$5-설정!$B$7),매출원본!$AS$8:$AS$2007,"&lt;="&amp;설정!$B$5)))</f>
        <v/>
      </c>
      <c r="X98" s="31">
        <f>IF($U98="","",MAX($W98,SUMIFS(매출원본!$AT$8:$AT$2007,매출원본!$AY$8:$AY$2007,$A98,매출원본!$AS$8:$AS$2007,"&gt;="&amp;(설정!$B$5-설정!$B$8),매출원본!$AS$8:$AS$2007,"&lt;="&amp;설정!$B$5)))</f>
        <v/>
      </c>
      <c r="AC98" s="31">
        <f>IF(OR($U98="",$T98=""),"",INDEX(거래처설정!$J$8:$J$407,$T98))</f>
        <v/>
      </c>
      <c r="AD98" s="31">
        <f>IF(OR($U98="",$T98=""),"",INDEX(거래처설정!$K$8:$K$407,$T98))</f>
        <v/>
      </c>
      <c r="AE98" s="31">
        <f>IF($U98="","",IF(LEN(SUBSTITUTE(SUBSTITUTE(SUBSTITUTE(SUBSTITUTE(SUBSTITUTE(SUBSTITUTE(SUBSTITUTE(SUBSTITUTE(SUBSTITUTE($C98," ",""),"　",""),"(주)",""),"（주）",""),"㈜",""),"주식회사",""),"(유)",""),"（유）",""),"유한회사",""))&lt;2,"",SUBSTITUTE(SUBSTITUTE(SUBSTITUTE(SUBSTITUTE(SUBSTITUTE(SUBSTITUTE(SUBSTITUTE(SUBSTITUTE(SUBSTITUTE($C98," ",""),"　",""),"(주)",""),"（주）",""),"㈜",""),"주식회사",""),"(유)",""),"（유）",""),"유한회사","")))</f>
        <v/>
      </c>
    </row>
    <row r="99">
      <c r="A99" s="38">
        <f>IF($U99="","",92)</f>
        <v/>
      </c>
      <c r="B99" s="38">
        <f>IF($U99="","",IF(LEN(INDEX(매출원본!$AU$8:$AU$2007,$U99))=10,LEFT(INDEX(매출원본!$AU$8:$AU$2007,$U99),3)&amp;"-"&amp;MID(INDEX(매출원본!$AU$8:$AU$2007,$U99),4,2)&amp;"-"&amp;RIGHT(INDEX(매출원본!$AU$8:$AU$2007,$U99),5),IF(LEFT(INDEX(매출원본!$AU$8:$AU$2007,$U99),2)="N:","(번호 없음)",INDEX(매출원본!$AU$8:$AU$2007,$U99))))</f>
        <v/>
      </c>
      <c r="C99" s="38">
        <f>IF($U99="","",INDEX(매출원본!$AV$8:$AV$2007,$U99))</f>
        <v/>
      </c>
      <c r="D99" s="39">
        <f>IF($U99="","",IF($T99="",0,N(INDEX(거래처설정!$E$8:$E$407,$T99))))</f>
        <v/>
      </c>
      <c r="E99" s="39">
        <f>IF($U99="","",SUMIFS(매출원본!$AT$8:$AT$2007,매출원본!$AY$8:$AY$2007,$A99,매출원본!$AS$8:$AS$2007,"&lt;="&amp;설정!$B$5))</f>
        <v/>
      </c>
      <c r="F99" s="39">
        <f>IF($U99="","",SUMIFS(입금_은행1!$Z$8:$Z$2007,입금_은행1!$AC$8:$AC$2007,$A99,입금_은행1!$Y$8:$Y$2007,"&lt;="&amp;설정!$B$5)+SUMIFS(입금_은행2!$Z$8:$Z$2007,입금_은행2!$AC$8:$AC$2007,$A99,입금_은행2!$Y$8:$Y$2007,"&lt;="&amp;설정!$B$5))</f>
        <v/>
      </c>
      <c r="G99" s="39">
        <f>IF($U99="","",$D99+$E99-$F99)</f>
        <v/>
      </c>
      <c r="H99" s="39">
        <f>IF($U99="","",MIN(MAX($G99,0),$V99))</f>
        <v/>
      </c>
      <c r="I99" s="39">
        <f>IF($U99="","",MIN(MAX($G99,0),$W99)-MIN(MAX($G99,0),$V99))</f>
        <v/>
      </c>
      <c r="J99" s="39">
        <f>IF($U99="","",MIN(MAX($G99,0),$X99)-MIN(MAX($G99,0),$W99))</f>
        <v/>
      </c>
      <c r="K99" s="39">
        <f>IF($U99="","",MAX($G99,0)-MIN(MAX($G99,0),$X99))</f>
        <v/>
      </c>
      <c r="L99" s="40">
        <f>IF($U99="","",IF(MAX(SUMPRODUCT(MAX((입금_은행1!$AC$8:$AC$2007=$A99)*(입금_은행1!$AE$8:$AE$2007&lt;=설정!$B$5)*입금_은행1!$AE$8:$AE$2007)),SUMPRODUCT(MAX((입금_은행2!$AC$8:$AC$2007=$A99)*(입금_은행2!$AE$8:$AE$2007&lt;=설정!$B$5)*입금_은행2!$AE$8:$AE$2007)))=0,"",MAX(SUMPRODUCT(MAX((입금_은행1!$AC$8:$AC$2007=$A99)*(입금_은행1!$AE$8:$AE$2007&lt;=설정!$B$5)*입금_은행1!$AE$8:$AE$2007)),SUMPRODUCT(MAX((입금_은행2!$AC$8:$AC$2007=$A99)*(입금_은행2!$AE$8:$AE$2007&lt;=설정!$B$5)*입금_은행2!$AE$8:$AE$2007)))))</f>
        <v/>
      </c>
      <c r="M99" s="38">
        <f>IF($U99="","",IF($T99="","",IF(INDEX(거래처설정!$F$8:$F$407,$T99)="","",INDEX(거래처설정!$F$8:$F$407,$T99))))</f>
        <v/>
      </c>
      <c r="N99" s="38">
        <f>IF($U99="","",IF($T99="","",IF(INDEX(거래처설정!$G$8:$G$407,$T99)="","",INDEX(거래처설정!$G$8:$G$407,$T99))))</f>
        <v/>
      </c>
      <c r="O99" s="38">
        <f>IF($U99="","",IF($M99="제외",0,IF($K99&gt;=설정!$B$9,3,IF($J99+$K99&gt;=설정!$B$9,2,IF($I99+$J99+$K99&gt;=설정!$B$9,1,0)))))</f>
        <v/>
      </c>
      <c r="P99" s="38">
        <f>IF($U99="","",IF($M99="제외","제외(조치 상태)",IF($O99=3,"③ 강한 독촉 후보 ("&amp;설정!$B$8&amp;"일 초과)",IF($O99=2,"② 독촉 후보 ("&amp;설정!$B$7&amp;"일 초과)",IF($O99=1,"① 안내 후보 ("&amp;설정!$B$6&amp;"일 초과)",IF($G99&gt;0,IF($I99+$J99+$K99&gt;0,"오래된 잔액 있음 (최소 금액 미만)","정상 범위"),IF($G99&lt;0,"선수금·초과입금 — 확인","완납")))))))</f>
        <v/>
      </c>
      <c r="Q99" s="38">
        <f>IF($U99="","",IF($G99&lt;0,"입금이 매출보다 큼 — 선수금이거나 다른 거래처 입금이 섞였는지 확인",IF(AND($AE99&lt;&gt;"",COUNTIF($AE$8:$AE$307,"*"&amp;$AE99&amp;"*")&gt;1),"이름이 다른 거래처와 겹침 — 입금이 잘못 맞았을 수 있으니 별칭 확인",IF(AND($G99&gt;0,$F99=0),"입금 매칭 없음 — 입금자명이 다르면 [거래처설정]에 별칭 등록",""))))</f>
        <v/>
      </c>
      <c r="R99" s="31">
        <f>IF(OR($U99="",$G99&lt;=0),"",$G99-$A99/10000)</f>
        <v/>
      </c>
      <c r="S99" s="31">
        <f>IF(OR($U99="",$O99&lt;1),"",$O99*10^11+$I99+$J99+$K99-$A99/1000)</f>
        <v/>
      </c>
      <c r="T99" s="31">
        <f>IF($U99="","",IFERROR(MATCH(INDEX(매출원본!$AU$8:$AU$2007,$U99),거래처설정!$I$8:$I$407,0),""))</f>
        <v/>
      </c>
      <c r="U99" s="31">
        <f>IFERROR(MATCH(92,매출원본!$AW$8:$AW$2007,0),"")</f>
        <v/>
      </c>
      <c r="V99" s="31">
        <f>IF($U99="","",MAX(SUMIFS(매출원본!$AT$8:$AT$2007,매출원본!$AY$8:$AY$2007,$A99,매출원본!$AS$8:$AS$2007,"&gt;="&amp;(설정!$B$5-설정!$B$6),매출원본!$AS$8:$AS$2007,"&lt;="&amp;설정!$B$5),0))</f>
        <v/>
      </c>
      <c r="W99" s="31">
        <f>IF($U99="","",MAX($V99,SUMIFS(매출원본!$AT$8:$AT$2007,매출원본!$AY$8:$AY$2007,$A99,매출원본!$AS$8:$AS$2007,"&gt;="&amp;(설정!$B$5-설정!$B$7),매출원본!$AS$8:$AS$2007,"&lt;="&amp;설정!$B$5)))</f>
        <v/>
      </c>
      <c r="X99" s="31">
        <f>IF($U99="","",MAX($W99,SUMIFS(매출원본!$AT$8:$AT$2007,매출원본!$AY$8:$AY$2007,$A99,매출원본!$AS$8:$AS$2007,"&gt;="&amp;(설정!$B$5-설정!$B$8),매출원본!$AS$8:$AS$2007,"&lt;="&amp;설정!$B$5)))</f>
        <v/>
      </c>
      <c r="AC99" s="31">
        <f>IF(OR($U99="",$T99=""),"",INDEX(거래처설정!$J$8:$J$407,$T99))</f>
        <v/>
      </c>
      <c r="AD99" s="31">
        <f>IF(OR($U99="",$T99=""),"",INDEX(거래처설정!$K$8:$K$407,$T99))</f>
        <v/>
      </c>
      <c r="AE99" s="31">
        <f>IF($U99="","",IF(LEN(SUBSTITUTE(SUBSTITUTE(SUBSTITUTE(SUBSTITUTE(SUBSTITUTE(SUBSTITUTE(SUBSTITUTE(SUBSTITUTE(SUBSTITUTE($C99," ",""),"　",""),"(주)",""),"（주）",""),"㈜",""),"주식회사",""),"(유)",""),"（유）",""),"유한회사",""))&lt;2,"",SUBSTITUTE(SUBSTITUTE(SUBSTITUTE(SUBSTITUTE(SUBSTITUTE(SUBSTITUTE(SUBSTITUTE(SUBSTITUTE(SUBSTITUTE($C99," ",""),"　",""),"(주)",""),"（주）",""),"㈜",""),"주식회사",""),"(유)",""),"（유）",""),"유한회사","")))</f>
        <v/>
      </c>
    </row>
    <row r="100">
      <c r="A100" s="38">
        <f>IF($U100="","",93)</f>
        <v/>
      </c>
      <c r="B100" s="38">
        <f>IF($U100="","",IF(LEN(INDEX(매출원본!$AU$8:$AU$2007,$U100))=10,LEFT(INDEX(매출원본!$AU$8:$AU$2007,$U100),3)&amp;"-"&amp;MID(INDEX(매출원본!$AU$8:$AU$2007,$U100),4,2)&amp;"-"&amp;RIGHT(INDEX(매출원본!$AU$8:$AU$2007,$U100),5),IF(LEFT(INDEX(매출원본!$AU$8:$AU$2007,$U100),2)="N:","(번호 없음)",INDEX(매출원본!$AU$8:$AU$2007,$U100))))</f>
        <v/>
      </c>
      <c r="C100" s="38">
        <f>IF($U100="","",INDEX(매출원본!$AV$8:$AV$2007,$U100))</f>
        <v/>
      </c>
      <c r="D100" s="39">
        <f>IF($U100="","",IF($T100="",0,N(INDEX(거래처설정!$E$8:$E$407,$T100))))</f>
        <v/>
      </c>
      <c r="E100" s="39">
        <f>IF($U100="","",SUMIFS(매출원본!$AT$8:$AT$2007,매출원본!$AY$8:$AY$2007,$A100,매출원본!$AS$8:$AS$2007,"&lt;="&amp;설정!$B$5))</f>
        <v/>
      </c>
      <c r="F100" s="39">
        <f>IF($U100="","",SUMIFS(입금_은행1!$Z$8:$Z$2007,입금_은행1!$AC$8:$AC$2007,$A100,입금_은행1!$Y$8:$Y$2007,"&lt;="&amp;설정!$B$5)+SUMIFS(입금_은행2!$Z$8:$Z$2007,입금_은행2!$AC$8:$AC$2007,$A100,입금_은행2!$Y$8:$Y$2007,"&lt;="&amp;설정!$B$5))</f>
        <v/>
      </c>
      <c r="G100" s="39">
        <f>IF($U100="","",$D100+$E100-$F100)</f>
        <v/>
      </c>
      <c r="H100" s="39">
        <f>IF($U100="","",MIN(MAX($G100,0),$V100))</f>
        <v/>
      </c>
      <c r="I100" s="39">
        <f>IF($U100="","",MIN(MAX($G100,0),$W100)-MIN(MAX($G100,0),$V100))</f>
        <v/>
      </c>
      <c r="J100" s="39">
        <f>IF($U100="","",MIN(MAX($G100,0),$X100)-MIN(MAX($G100,0),$W100))</f>
        <v/>
      </c>
      <c r="K100" s="39">
        <f>IF($U100="","",MAX($G100,0)-MIN(MAX($G100,0),$X100))</f>
        <v/>
      </c>
      <c r="L100" s="40">
        <f>IF($U100="","",IF(MAX(SUMPRODUCT(MAX((입금_은행1!$AC$8:$AC$2007=$A100)*(입금_은행1!$AE$8:$AE$2007&lt;=설정!$B$5)*입금_은행1!$AE$8:$AE$2007)),SUMPRODUCT(MAX((입금_은행2!$AC$8:$AC$2007=$A100)*(입금_은행2!$AE$8:$AE$2007&lt;=설정!$B$5)*입금_은행2!$AE$8:$AE$2007)))=0,"",MAX(SUMPRODUCT(MAX((입금_은행1!$AC$8:$AC$2007=$A100)*(입금_은행1!$AE$8:$AE$2007&lt;=설정!$B$5)*입금_은행1!$AE$8:$AE$2007)),SUMPRODUCT(MAX((입금_은행2!$AC$8:$AC$2007=$A100)*(입금_은행2!$AE$8:$AE$2007&lt;=설정!$B$5)*입금_은행2!$AE$8:$AE$2007)))))</f>
        <v/>
      </c>
      <c r="M100" s="38">
        <f>IF($U100="","",IF($T100="","",IF(INDEX(거래처설정!$F$8:$F$407,$T100)="","",INDEX(거래처설정!$F$8:$F$407,$T100))))</f>
        <v/>
      </c>
      <c r="N100" s="38">
        <f>IF($U100="","",IF($T100="","",IF(INDEX(거래처설정!$G$8:$G$407,$T100)="","",INDEX(거래처설정!$G$8:$G$407,$T100))))</f>
        <v/>
      </c>
      <c r="O100" s="38">
        <f>IF($U100="","",IF($M100="제외",0,IF($K100&gt;=설정!$B$9,3,IF($J100+$K100&gt;=설정!$B$9,2,IF($I100+$J100+$K100&gt;=설정!$B$9,1,0)))))</f>
        <v/>
      </c>
      <c r="P100" s="38">
        <f>IF($U100="","",IF($M100="제외","제외(조치 상태)",IF($O100=3,"③ 강한 독촉 후보 ("&amp;설정!$B$8&amp;"일 초과)",IF($O100=2,"② 독촉 후보 ("&amp;설정!$B$7&amp;"일 초과)",IF($O100=1,"① 안내 후보 ("&amp;설정!$B$6&amp;"일 초과)",IF($G100&gt;0,IF($I100+$J100+$K100&gt;0,"오래된 잔액 있음 (최소 금액 미만)","정상 범위"),IF($G100&lt;0,"선수금·초과입금 — 확인","완납")))))))</f>
        <v/>
      </c>
      <c r="Q100" s="38">
        <f>IF($U100="","",IF($G100&lt;0,"입금이 매출보다 큼 — 선수금이거나 다른 거래처 입금이 섞였는지 확인",IF(AND($AE100&lt;&gt;"",COUNTIF($AE$8:$AE$307,"*"&amp;$AE100&amp;"*")&gt;1),"이름이 다른 거래처와 겹침 — 입금이 잘못 맞았을 수 있으니 별칭 확인",IF(AND($G100&gt;0,$F100=0),"입금 매칭 없음 — 입금자명이 다르면 [거래처설정]에 별칭 등록",""))))</f>
        <v/>
      </c>
      <c r="R100" s="31">
        <f>IF(OR($U100="",$G100&lt;=0),"",$G100-$A100/10000)</f>
        <v/>
      </c>
      <c r="S100" s="31">
        <f>IF(OR($U100="",$O100&lt;1),"",$O100*10^11+$I100+$J100+$K100-$A100/1000)</f>
        <v/>
      </c>
      <c r="T100" s="31">
        <f>IF($U100="","",IFERROR(MATCH(INDEX(매출원본!$AU$8:$AU$2007,$U100),거래처설정!$I$8:$I$407,0),""))</f>
        <v/>
      </c>
      <c r="U100" s="31">
        <f>IFERROR(MATCH(93,매출원본!$AW$8:$AW$2007,0),"")</f>
        <v/>
      </c>
      <c r="V100" s="31">
        <f>IF($U100="","",MAX(SUMIFS(매출원본!$AT$8:$AT$2007,매출원본!$AY$8:$AY$2007,$A100,매출원본!$AS$8:$AS$2007,"&gt;="&amp;(설정!$B$5-설정!$B$6),매출원본!$AS$8:$AS$2007,"&lt;="&amp;설정!$B$5),0))</f>
        <v/>
      </c>
      <c r="W100" s="31">
        <f>IF($U100="","",MAX($V100,SUMIFS(매출원본!$AT$8:$AT$2007,매출원본!$AY$8:$AY$2007,$A100,매출원본!$AS$8:$AS$2007,"&gt;="&amp;(설정!$B$5-설정!$B$7),매출원본!$AS$8:$AS$2007,"&lt;="&amp;설정!$B$5)))</f>
        <v/>
      </c>
      <c r="X100" s="31">
        <f>IF($U100="","",MAX($W100,SUMIFS(매출원본!$AT$8:$AT$2007,매출원본!$AY$8:$AY$2007,$A100,매출원본!$AS$8:$AS$2007,"&gt;="&amp;(설정!$B$5-설정!$B$8),매출원본!$AS$8:$AS$2007,"&lt;="&amp;설정!$B$5)))</f>
        <v/>
      </c>
      <c r="AC100" s="31">
        <f>IF(OR($U100="",$T100=""),"",INDEX(거래처설정!$J$8:$J$407,$T100))</f>
        <v/>
      </c>
      <c r="AD100" s="31">
        <f>IF(OR($U100="",$T100=""),"",INDEX(거래처설정!$K$8:$K$407,$T100))</f>
        <v/>
      </c>
      <c r="AE100" s="31">
        <f>IF($U100="","",IF(LEN(SUBSTITUTE(SUBSTITUTE(SUBSTITUTE(SUBSTITUTE(SUBSTITUTE(SUBSTITUTE(SUBSTITUTE(SUBSTITUTE(SUBSTITUTE($C100," ",""),"　",""),"(주)",""),"（주）",""),"㈜",""),"주식회사",""),"(유)",""),"（유）",""),"유한회사",""))&lt;2,"",SUBSTITUTE(SUBSTITUTE(SUBSTITUTE(SUBSTITUTE(SUBSTITUTE(SUBSTITUTE(SUBSTITUTE(SUBSTITUTE(SUBSTITUTE($C100," ",""),"　",""),"(주)",""),"（주）",""),"㈜",""),"주식회사",""),"(유)",""),"（유）",""),"유한회사","")))</f>
        <v/>
      </c>
    </row>
    <row r="101">
      <c r="A101" s="38">
        <f>IF($U101="","",94)</f>
        <v/>
      </c>
      <c r="B101" s="38">
        <f>IF($U101="","",IF(LEN(INDEX(매출원본!$AU$8:$AU$2007,$U101))=10,LEFT(INDEX(매출원본!$AU$8:$AU$2007,$U101),3)&amp;"-"&amp;MID(INDEX(매출원본!$AU$8:$AU$2007,$U101),4,2)&amp;"-"&amp;RIGHT(INDEX(매출원본!$AU$8:$AU$2007,$U101),5),IF(LEFT(INDEX(매출원본!$AU$8:$AU$2007,$U101),2)="N:","(번호 없음)",INDEX(매출원본!$AU$8:$AU$2007,$U101))))</f>
        <v/>
      </c>
      <c r="C101" s="38">
        <f>IF($U101="","",INDEX(매출원본!$AV$8:$AV$2007,$U101))</f>
        <v/>
      </c>
      <c r="D101" s="39">
        <f>IF($U101="","",IF($T101="",0,N(INDEX(거래처설정!$E$8:$E$407,$T101))))</f>
        <v/>
      </c>
      <c r="E101" s="39">
        <f>IF($U101="","",SUMIFS(매출원본!$AT$8:$AT$2007,매출원본!$AY$8:$AY$2007,$A101,매출원본!$AS$8:$AS$2007,"&lt;="&amp;설정!$B$5))</f>
        <v/>
      </c>
      <c r="F101" s="39">
        <f>IF($U101="","",SUMIFS(입금_은행1!$Z$8:$Z$2007,입금_은행1!$AC$8:$AC$2007,$A101,입금_은행1!$Y$8:$Y$2007,"&lt;="&amp;설정!$B$5)+SUMIFS(입금_은행2!$Z$8:$Z$2007,입금_은행2!$AC$8:$AC$2007,$A101,입금_은행2!$Y$8:$Y$2007,"&lt;="&amp;설정!$B$5))</f>
        <v/>
      </c>
      <c r="G101" s="39">
        <f>IF($U101="","",$D101+$E101-$F101)</f>
        <v/>
      </c>
      <c r="H101" s="39">
        <f>IF($U101="","",MIN(MAX($G101,0),$V101))</f>
        <v/>
      </c>
      <c r="I101" s="39">
        <f>IF($U101="","",MIN(MAX($G101,0),$W101)-MIN(MAX($G101,0),$V101))</f>
        <v/>
      </c>
      <c r="J101" s="39">
        <f>IF($U101="","",MIN(MAX($G101,0),$X101)-MIN(MAX($G101,0),$W101))</f>
        <v/>
      </c>
      <c r="K101" s="39">
        <f>IF($U101="","",MAX($G101,0)-MIN(MAX($G101,0),$X101))</f>
        <v/>
      </c>
      <c r="L101" s="40">
        <f>IF($U101="","",IF(MAX(SUMPRODUCT(MAX((입금_은행1!$AC$8:$AC$2007=$A101)*(입금_은행1!$AE$8:$AE$2007&lt;=설정!$B$5)*입금_은행1!$AE$8:$AE$2007)),SUMPRODUCT(MAX((입금_은행2!$AC$8:$AC$2007=$A101)*(입금_은행2!$AE$8:$AE$2007&lt;=설정!$B$5)*입금_은행2!$AE$8:$AE$2007)))=0,"",MAX(SUMPRODUCT(MAX((입금_은행1!$AC$8:$AC$2007=$A101)*(입금_은행1!$AE$8:$AE$2007&lt;=설정!$B$5)*입금_은행1!$AE$8:$AE$2007)),SUMPRODUCT(MAX((입금_은행2!$AC$8:$AC$2007=$A101)*(입금_은행2!$AE$8:$AE$2007&lt;=설정!$B$5)*입금_은행2!$AE$8:$AE$2007)))))</f>
        <v/>
      </c>
      <c r="M101" s="38">
        <f>IF($U101="","",IF($T101="","",IF(INDEX(거래처설정!$F$8:$F$407,$T101)="","",INDEX(거래처설정!$F$8:$F$407,$T101))))</f>
        <v/>
      </c>
      <c r="N101" s="38">
        <f>IF($U101="","",IF($T101="","",IF(INDEX(거래처설정!$G$8:$G$407,$T101)="","",INDEX(거래처설정!$G$8:$G$407,$T101))))</f>
        <v/>
      </c>
      <c r="O101" s="38">
        <f>IF($U101="","",IF($M101="제외",0,IF($K101&gt;=설정!$B$9,3,IF($J101+$K101&gt;=설정!$B$9,2,IF($I101+$J101+$K101&gt;=설정!$B$9,1,0)))))</f>
        <v/>
      </c>
      <c r="P101" s="38">
        <f>IF($U101="","",IF($M101="제외","제외(조치 상태)",IF($O101=3,"③ 강한 독촉 후보 ("&amp;설정!$B$8&amp;"일 초과)",IF($O101=2,"② 독촉 후보 ("&amp;설정!$B$7&amp;"일 초과)",IF($O101=1,"① 안내 후보 ("&amp;설정!$B$6&amp;"일 초과)",IF($G101&gt;0,IF($I101+$J101+$K101&gt;0,"오래된 잔액 있음 (최소 금액 미만)","정상 범위"),IF($G101&lt;0,"선수금·초과입금 — 확인","완납")))))))</f>
        <v/>
      </c>
      <c r="Q101" s="38">
        <f>IF($U101="","",IF($G101&lt;0,"입금이 매출보다 큼 — 선수금이거나 다른 거래처 입금이 섞였는지 확인",IF(AND($AE101&lt;&gt;"",COUNTIF($AE$8:$AE$307,"*"&amp;$AE101&amp;"*")&gt;1),"이름이 다른 거래처와 겹침 — 입금이 잘못 맞았을 수 있으니 별칭 확인",IF(AND($G101&gt;0,$F101=0),"입금 매칭 없음 — 입금자명이 다르면 [거래처설정]에 별칭 등록",""))))</f>
        <v/>
      </c>
      <c r="R101" s="31">
        <f>IF(OR($U101="",$G101&lt;=0),"",$G101-$A101/10000)</f>
        <v/>
      </c>
      <c r="S101" s="31">
        <f>IF(OR($U101="",$O101&lt;1),"",$O101*10^11+$I101+$J101+$K101-$A101/1000)</f>
        <v/>
      </c>
      <c r="T101" s="31">
        <f>IF($U101="","",IFERROR(MATCH(INDEX(매출원본!$AU$8:$AU$2007,$U101),거래처설정!$I$8:$I$407,0),""))</f>
        <v/>
      </c>
      <c r="U101" s="31">
        <f>IFERROR(MATCH(94,매출원본!$AW$8:$AW$2007,0),"")</f>
        <v/>
      </c>
      <c r="V101" s="31">
        <f>IF($U101="","",MAX(SUMIFS(매출원본!$AT$8:$AT$2007,매출원본!$AY$8:$AY$2007,$A101,매출원본!$AS$8:$AS$2007,"&gt;="&amp;(설정!$B$5-설정!$B$6),매출원본!$AS$8:$AS$2007,"&lt;="&amp;설정!$B$5),0))</f>
        <v/>
      </c>
      <c r="W101" s="31">
        <f>IF($U101="","",MAX($V101,SUMIFS(매출원본!$AT$8:$AT$2007,매출원본!$AY$8:$AY$2007,$A101,매출원본!$AS$8:$AS$2007,"&gt;="&amp;(설정!$B$5-설정!$B$7),매출원본!$AS$8:$AS$2007,"&lt;="&amp;설정!$B$5)))</f>
        <v/>
      </c>
      <c r="X101" s="31">
        <f>IF($U101="","",MAX($W101,SUMIFS(매출원본!$AT$8:$AT$2007,매출원본!$AY$8:$AY$2007,$A101,매출원본!$AS$8:$AS$2007,"&gt;="&amp;(설정!$B$5-설정!$B$8),매출원본!$AS$8:$AS$2007,"&lt;="&amp;설정!$B$5)))</f>
        <v/>
      </c>
      <c r="AC101" s="31">
        <f>IF(OR($U101="",$T101=""),"",INDEX(거래처설정!$J$8:$J$407,$T101))</f>
        <v/>
      </c>
      <c r="AD101" s="31">
        <f>IF(OR($U101="",$T101=""),"",INDEX(거래처설정!$K$8:$K$407,$T101))</f>
        <v/>
      </c>
      <c r="AE101" s="31">
        <f>IF($U101="","",IF(LEN(SUBSTITUTE(SUBSTITUTE(SUBSTITUTE(SUBSTITUTE(SUBSTITUTE(SUBSTITUTE(SUBSTITUTE(SUBSTITUTE(SUBSTITUTE($C101," ",""),"　",""),"(주)",""),"（주）",""),"㈜",""),"주식회사",""),"(유)",""),"（유）",""),"유한회사",""))&lt;2,"",SUBSTITUTE(SUBSTITUTE(SUBSTITUTE(SUBSTITUTE(SUBSTITUTE(SUBSTITUTE(SUBSTITUTE(SUBSTITUTE(SUBSTITUTE($C101," ",""),"　",""),"(주)",""),"（주）",""),"㈜",""),"주식회사",""),"(유)",""),"（유）",""),"유한회사","")))</f>
        <v/>
      </c>
    </row>
    <row r="102">
      <c r="A102" s="38">
        <f>IF($U102="","",95)</f>
        <v/>
      </c>
      <c r="B102" s="38">
        <f>IF($U102="","",IF(LEN(INDEX(매출원본!$AU$8:$AU$2007,$U102))=10,LEFT(INDEX(매출원본!$AU$8:$AU$2007,$U102),3)&amp;"-"&amp;MID(INDEX(매출원본!$AU$8:$AU$2007,$U102),4,2)&amp;"-"&amp;RIGHT(INDEX(매출원본!$AU$8:$AU$2007,$U102),5),IF(LEFT(INDEX(매출원본!$AU$8:$AU$2007,$U102),2)="N:","(번호 없음)",INDEX(매출원본!$AU$8:$AU$2007,$U102))))</f>
        <v/>
      </c>
      <c r="C102" s="38">
        <f>IF($U102="","",INDEX(매출원본!$AV$8:$AV$2007,$U102))</f>
        <v/>
      </c>
      <c r="D102" s="39">
        <f>IF($U102="","",IF($T102="",0,N(INDEX(거래처설정!$E$8:$E$407,$T102))))</f>
        <v/>
      </c>
      <c r="E102" s="39">
        <f>IF($U102="","",SUMIFS(매출원본!$AT$8:$AT$2007,매출원본!$AY$8:$AY$2007,$A102,매출원본!$AS$8:$AS$2007,"&lt;="&amp;설정!$B$5))</f>
        <v/>
      </c>
      <c r="F102" s="39">
        <f>IF($U102="","",SUMIFS(입금_은행1!$Z$8:$Z$2007,입금_은행1!$AC$8:$AC$2007,$A102,입금_은행1!$Y$8:$Y$2007,"&lt;="&amp;설정!$B$5)+SUMIFS(입금_은행2!$Z$8:$Z$2007,입금_은행2!$AC$8:$AC$2007,$A102,입금_은행2!$Y$8:$Y$2007,"&lt;="&amp;설정!$B$5))</f>
        <v/>
      </c>
      <c r="G102" s="39">
        <f>IF($U102="","",$D102+$E102-$F102)</f>
        <v/>
      </c>
      <c r="H102" s="39">
        <f>IF($U102="","",MIN(MAX($G102,0),$V102))</f>
        <v/>
      </c>
      <c r="I102" s="39">
        <f>IF($U102="","",MIN(MAX($G102,0),$W102)-MIN(MAX($G102,0),$V102))</f>
        <v/>
      </c>
      <c r="J102" s="39">
        <f>IF($U102="","",MIN(MAX($G102,0),$X102)-MIN(MAX($G102,0),$W102))</f>
        <v/>
      </c>
      <c r="K102" s="39">
        <f>IF($U102="","",MAX($G102,0)-MIN(MAX($G102,0),$X102))</f>
        <v/>
      </c>
      <c r="L102" s="40">
        <f>IF($U102="","",IF(MAX(SUMPRODUCT(MAX((입금_은행1!$AC$8:$AC$2007=$A102)*(입금_은행1!$AE$8:$AE$2007&lt;=설정!$B$5)*입금_은행1!$AE$8:$AE$2007)),SUMPRODUCT(MAX((입금_은행2!$AC$8:$AC$2007=$A102)*(입금_은행2!$AE$8:$AE$2007&lt;=설정!$B$5)*입금_은행2!$AE$8:$AE$2007)))=0,"",MAX(SUMPRODUCT(MAX((입금_은행1!$AC$8:$AC$2007=$A102)*(입금_은행1!$AE$8:$AE$2007&lt;=설정!$B$5)*입금_은행1!$AE$8:$AE$2007)),SUMPRODUCT(MAX((입금_은행2!$AC$8:$AC$2007=$A102)*(입금_은행2!$AE$8:$AE$2007&lt;=설정!$B$5)*입금_은행2!$AE$8:$AE$2007)))))</f>
        <v/>
      </c>
      <c r="M102" s="38">
        <f>IF($U102="","",IF($T102="","",IF(INDEX(거래처설정!$F$8:$F$407,$T102)="","",INDEX(거래처설정!$F$8:$F$407,$T102))))</f>
        <v/>
      </c>
      <c r="N102" s="38">
        <f>IF($U102="","",IF($T102="","",IF(INDEX(거래처설정!$G$8:$G$407,$T102)="","",INDEX(거래처설정!$G$8:$G$407,$T102))))</f>
        <v/>
      </c>
      <c r="O102" s="38">
        <f>IF($U102="","",IF($M102="제외",0,IF($K102&gt;=설정!$B$9,3,IF($J102+$K102&gt;=설정!$B$9,2,IF($I102+$J102+$K102&gt;=설정!$B$9,1,0)))))</f>
        <v/>
      </c>
      <c r="P102" s="38">
        <f>IF($U102="","",IF($M102="제외","제외(조치 상태)",IF($O102=3,"③ 강한 독촉 후보 ("&amp;설정!$B$8&amp;"일 초과)",IF($O102=2,"② 독촉 후보 ("&amp;설정!$B$7&amp;"일 초과)",IF($O102=1,"① 안내 후보 ("&amp;설정!$B$6&amp;"일 초과)",IF($G102&gt;0,IF($I102+$J102+$K102&gt;0,"오래된 잔액 있음 (최소 금액 미만)","정상 범위"),IF($G102&lt;0,"선수금·초과입금 — 확인","완납")))))))</f>
        <v/>
      </c>
      <c r="Q102" s="38">
        <f>IF($U102="","",IF($G102&lt;0,"입금이 매출보다 큼 — 선수금이거나 다른 거래처 입금이 섞였는지 확인",IF(AND($AE102&lt;&gt;"",COUNTIF($AE$8:$AE$307,"*"&amp;$AE102&amp;"*")&gt;1),"이름이 다른 거래처와 겹침 — 입금이 잘못 맞았을 수 있으니 별칭 확인",IF(AND($G102&gt;0,$F102=0),"입금 매칭 없음 — 입금자명이 다르면 [거래처설정]에 별칭 등록",""))))</f>
        <v/>
      </c>
      <c r="R102" s="31">
        <f>IF(OR($U102="",$G102&lt;=0),"",$G102-$A102/10000)</f>
        <v/>
      </c>
      <c r="S102" s="31">
        <f>IF(OR($U102="",$O102&lt;1),"",$O102*10^11+$I102+$J102+$K102-$A102/1000)</f>
        <v/>
      </c>
      <c r="T102" s="31">
        <f>IF($U102="","",IFERROR(MATCH(INDEX(매출원본!$AU$8:$AU$2007,$U102),거래처설정!$I$8:$I$407,0),""))</f>
        <v/>
      </c>
      <c r="U102" s="31">
        <f>IFERROR(MATCH(95,매출원본!$AW$8:$AW$2007,0),"")</f>
        <v/>
      </c>
      <c r="V102" s="31">
        <f>IF($U102="","",MAX(SUMIFS(매출원본!$AT$8:$AT$2007,매출원본!$AY$8:$AY$2007,$A102,매출원본!$AS$8:$AS$2007,"&gt;="&amp;(설정!$B$5-설정!$B$6),매출원본!$AS$8:$AS$2007,"&lt;="&amp;설정!$B$5),0))</f>
        <v/>
      </c>
      <c r="W102" s="31">
        <f>IF($U102="","",MAX($V102,SUMIFS(매출원본!$AT$8:$AT$2007,매출원본!$AY$8:$AY$2007,$A102,매출원본!$AS$8:$AS$2007,"&gt;="&amp;(설정!$B$5-설정!$B$7),매출원본!$AS$8:$AS$2007,"&lt;="&amp;설정!$B$5)))</f>
        <v/>
      </c>
      <c r="X102" s="31">
        <f>IF($U102="","",MAX($W102,SUMIFS(매출원본!$AT$8:$AT$2007,매출원본!$AY$8:$AY$2007,$A102,매출원본!$AS$8:$AS$2007,"&gt;="&amp;(설정!$B$5-설정!$B$8),매출원본!$AS$8:$AS$2007,"&lt;="&amp;설정!$B$5)))</f>
        <v/>
      </c>
      <c r="AC102" s="31">
        <f>IF(OR($U102="",$T102=""),"",INDEX(거래처설정!$J$8:$J$407,$T102))</f>
        <v/>
      </c>
      <c r="AD102" s="31">
        <f>IF(OR($U102="",$T102=""),"",INDEX(거래처설정!$K$8:$K$407,$T102))</f>
        <v/>
      </c>
      <c r="AE102" s="31">
        <f>IF($U102="","",IF(LEN(SUBSTITUTE(SUBSTITUTE(SUBSTITUTE(SUBSTITUTE(SUBSTITUTE(SUBSTITUTE(SUBSTITUTE(SUBSTITUTE(SUBSTITUTE($C102," ",""),"　",""),"(주)",""),"（주）",""),"㈜",""),"주식회사",""),"(유)",""),"（유）",""),"유한회사",""))&lt;2,"",SUBSTITUTE(SUBSTITUTE(SUBSTITUTE(SUBSTITUTE(SUBSTITUTE(SUBSTITUTE(SUBSTITUTE(SUBSTITUTE(SUBSTITUTE($C102," ",""),"　",""),"(주)",""),"（주）",""),"㈜",""),"주식회사",""),"(유)",""),"（유）",""),"유한회사","")))</f>
        <v/>
      </c>
    </row>
    <row r="103">
      <c r="A103" s="38">
        <f>IF($U103="","",96)</f>
        <v/>
      </c>
      <c r="B103" s="38">
        <f>IF($U103="","",IF(LEN(INDEX(매출원본!$AU$8:$AU$2007,$U103))=10,LEFT(INDEX(매출원본!$AU$8:$AU$2007,$U103),3)&amp;"-"&amp;MID(INDEX(매출원본!$AU$8:$AU$2007,$U103),4,2)&amp;"-"&amp;RIGHT(INDEX(매출원본!$AU$8:$AU$2007,$U103),5),IF(LEFT(INDEX(매출원본!$AU$8:$AU$2007,$U103),2)="N:","(번호 없음)",INDEX(매출원본!$AU$8:$AU$2007,$U103))))</f>
        <v/>
      </c>
      <c r="C103" s="38">
        <f>IF($U103="","",INDEX(매출원본!$AV$8:$AV$2007,$U103))</f>
        <v/>
      </c>
      <c r="D103" s="39">
        <f>IF($U103="","",IF($T103="",0,N(INDEX(거래처설정!$E$8:$E$407,$T103))))</f>
        <v/>
      </c>
      <c r="E103" s="39">
        <f>IF($U103="","",SUMIFS(매출원본!$AT$8:$AT$2007,매출원본!$AY$8:$AY$2007,$A103,매출원본!$AS$8:$AS$2007,"&lt;="&amp;설정!$B$5))</f>
        <v/>
      </c>
      <c r="F103" s="39">
        <f>IF($U103="","",SUMIFS(입금_은행1!$Z$8:$Z$2007,입금_은행1!$AC$8:$AC$2007,$A103,입금_은행1!$Y$8:$Y$2007,"&lt;="&amp;설정!$B$5)+SUMIFS(입금_은행2!$Z$8:$Z$2007,입금_은행2!$AC$8:$AC$2007,$A103,입금_은행2!$Y$8:$Y$2007,"&lt;="&amp;설정!$B$5))</f>
        <v/>
      </c>
      <c r="G103" s="39">
        <f>IF($U103="","",$D103+$E103-$F103)</f>
        <v/>
      </c>
      <c r="H103" s="39">
        <f>IF($U103="","",MIN(MAX($G103,0),$V103))</f>
        <v/>
      </c>
      <c r="I103" s="39">
        <f>IF($U103="","",MIN(MAX($G103,0),$W103)-MIN(MAX($G103,0),$V103))</f>
        <v/>
      </c>
      <c r="J103" s="39">
        <f>IF($U103="","",MIN(MAX($G103,0),$X103)-MIN(MAX($G103,0),$W103))</f>
        <v/>
      </c>
      <c r="K103" s="39">
        <f>IF($U103="","",MAX($G103,0)-MIN(MAX($G103,0),$X103))</f>
        <v/>
      </c>
      <c r="L103" s="40">
        <f>IF($U103="","",IF(MAX(SUMPRODUCT(MAX((입금_은행1!$AC$8:$AC$2007=$A103)*(입금_은행1!$AE$8:$AE$2007&lt;=설정!$B$5)*입금_은행1!$AE$8:$AE$2007)),SUMPRODUCT(MAX((입금_은행2!$AC$8:$AC$2007=$A103)*(입금_은행2!$AE$8:$AE$2007&lt;=설정!$B$5)*입금_은행2!$AE$8:$AE$2007)))=0,"",MAX(SUMPRODUCT(MAX((입금_은행1!$AC$8:$AC$2007=$A103)*(입금_은행1!$AE$8:$AE$2007&lt;=설정!$B$5)*입금_은행1!$AE$8:$AE$2007)),SUMPRODUCT(MAX((입금_은행2!$AC$8:$AC$2007=$A103)*(입금_은행2!$AE$8:$AE$2007&lt;=설정!$B$5)*입금_은행2!$AE$8:$AE$2007)))))</f>
        <v/>
      </c>
      <c r="M103" s="38">
        <f>IF($U103="","",IF($T103="","",IF(INDEX(거래처설정!$F$8:$F$407,$T103)="","",INDEX(거래처설정!$F$8:$F$407,$T103))))</f>
        <v/>
      </c>
      <c r="N103" s="38">
        <f>IF($U103="","",IF($T103="","",IF(INDEX(거래처설정!$G$8:$G$407,$T103)="","",INDEX(거래처설정!$G$8:$G$407,$T103))))</f>
        <v/>
      </c>
      <c r="O103" s="38">
        <f>IF($U103="","",IF($M103="제외",0,IF($K103&gt;=설정!$B$9,3,IF($J103+$K103&gt;=설정!$B$9,2,IF($I103+$J103+$K103&gt;=설정!$B$9,1,0)))))</f>
        <v/>
      </c>
      <c r="P103" s="38">
        <f>IF($U103="","",IF($M103="제외","제외(조치 상태)",IF($O103=3,"③ 강한 독촉 후보 ("&amp;설정!$B$8&amp;"일 초과)",IF($O103=2,"② 독촉 후보 ("&amp;설정!$B$7&amp;"일 초과)",IF($O103=1,"① 안내 후보 ("&amp;설정!$B$6&amp;"일 초과)",IF($G103&gt;0,IF($I103+$J103+$K103&gt;0,"오래된 잔액 있음 (최소 금액 미만)","정상 범위"),IF($G103&lt;0,"선수금·초과입금 — 확인","완납")))))))</f>
        <v/>
      </c>
      <c r="Q103" s="38">
        <f>IF($U103="","",IF($G103&lt;0,"입금이 매출보다 큼 — 선수금이거나 다른 거래처 입금이 섞였는지 확인",IF(AND($AE103&lt;&gt;"",COUNTIF($AE$8:$AE$307,"*"&amp;$AE103&amp;"*")&gt;1),"이름이 다른 거래처와 겹침 — 입금이 잘못 맞았을 수 있으니 별칭 확인",IF(AND($G103&gt;0,$F103=0),"입금 매칭 없음 — 입금자명이 다르면 [거래처설정]에 별칭 등록",""))))</f>
        <v/>
      </c>
      <c r="R103" s="31">
        <f>IF(OR($U103="",$G103&lt;=0),"",$G103-$A103/10000)</f>
        <v/>
      </c>
      <c r="S103" s="31">
        <f>IF(OR($U103="",$O103&lt;1),"",$O103*10^11+$I103+$J103+$K103-$A103/1000)</f>
        <v/>
      </c>
      <c r="T103" s="31">
        <f>IF($U103="","",IFERROR(MATCH(INDEX(매출원본!$AU$8:$AU$2007,$U103),거래처설정!$I$8:$I$407,0),""))</f>
        <v/>
      </c>
      <c r="U103" s="31">
        <f>IFERROR(MATCH(96,매출원본!$AW$8:$AW$2007,0),"")</f>
        <v/>
      </c>
      <c r="V103" s="31">
        <f>IF($U103="","",MAX(SUMIFS(매출원본!$AT$8:$AT$2007,매출원본!$AY$8:$AY$2007,$A103,매출원본!$AS$8:$AS$2007,"&gt;="&amp;(설정!$B$5-설정!$B$6),매출원본!$AS$8:$AS$2007,"&lt;="&amp;설정!$B$5),0))</f>
        <v/>
      </c>
      <c r="W103" s="31">
        <f>IF($U103="","",MAX($V103,SUMIFS(매출원본!$AT$8:$AT$2007,매출원본!$AY$8:$AY$2007,$A103,매출원본!$AS$8:$AS$2007,"&gt;="&amp;(설정!$B$5-설정!$B$7),매출원본!$AS$8:$AS$2007,"&lt;="&amp;설정!$B$5)))</f>
        <v/>
      </c>
      <c r="X103" s="31">
        <f>IF($U103="","",MAX($W103,SUMIFS(매출원본!$AT$8:$AT$2007,매출원본!$AY$8:$AY$2007,$A103,매출원본!$AS$8:$AS$2007,"&gt;="&amp;(설정!$B$5-설정!$B$8),매출원본!$AS$8:$AS$2007,"&lt;="&amp;설정!$B$5)))</f>
        <v/>
      </c>
      <c r="AC103" s="31">
        <f>IF(OR($U103="",$T103=""),"",INDEX(거래처설정!$J$8:$J$407,$T103))</f>
        <v/>
      </c>
      <c r="AD103" s="31">
        <f>IF(OR($U103="",$T103=""),"",INDEX(거래처설정!$K$8:$K$407,$T103))</f>
        <v/>
      </c>
      <c r="AE103" s="31">
        <f>IF($U103="","",IF(LEN(SUBSTITUTE(SUBSTITUTE(SUBSTITUTE(SUBSTITUTE(SUBSTITUTE(SUBSTITUTE(SUBSTITUTE(SUBSTITUTE(SUBSTITUTE($C103," ",""),"　",""),"(주)",""),"（주）",""),"㈜",""),"주식회사",""),"(유)",""),"（유）",""),"유한회사",""))&lt;2,"",SUBSTITUTE(SUBSTITUTE(SUBSTITUTE(SUBSTITUTE(SUBSTITUTE(SUBSTITUTE(SUBSTITUTE(SUBSTITUTE(SUBSTITUTE($C103," ",""),"　",""),"(주)",""),"（주）",""),"㈜",""),"주식회사",""),"(유)",""),"（유）",""),"유한회사","")))</f>
        <v/>
      </c>
    </row>
    <row r="104">
      <c r="A104" s="38">
        <f>IF($U104="","",97)</f>
        <v/>
      </c>
      <c r="B104" s="38">
        <f>IF($U104="","",IF(LEN(INDEX(매출원본!$AU$8:$AU$2007,$U104))=10,LEFT(INDEX(매출원본!$AU$8:$AU$2007,$U104),3)&amp;"-"&amp;MID(INDEX(매출원본!$AU$8:$AU$2007,$U104),4,2)&amp;"-"&amp;RIGHT(INDEX(매출원본!$AU$8:$AU$2007,$U104),5),IF(LEFT(INDEX(매출원본!$AU$8:$AU$2007,$U104),2)="N:","(번호 없음)",INDEX(매출원본!$AU$8:$AU$2007,$U104))))</f>
        <v/>
      </c>
      <c r="C104" s="38">
        <f>IF($U104="","",INDEX(매출원본!$AV$8:$AV$2007,$U104))</f>
        <v/>
      </c>
      <c r="D104" s="39">
        <f>IF($U104="","",IF($T104="",0,N(INDEX(거래처설정!$E$8:$E$407,$T104))))</f>
        <v/>
      </c>
      <c r="E104" s="39">
        <f>IF($U104="","",SUMIFS(매출원본!$AT$8:$AT$2007,매출원본!$AY$8:$AY$2007,$A104,매출원본!$AS$8:$AS$2007,"&lt;="&amp;설정!$B$5))</f>
        <v/>
      </c>
      <c r="F104" s="39">
        <f>IF($U104="","",SUMIFS(입금_은행1!$Z$8:$Z$2007,입금_은행1!$AC$8:$AC$2007,$A104,입금_은행1!$Y$8:$Y$2007,"&lt;="&amp;설정!$B$5)+SUMIFS(입금_은행2!$Z$8:$Z$2007,입금_은행2!$AC$8:$AC$2007,$A104,입금_은행2!$Y$8:$Y$2007,"&lt;="&amp;설정!$B$5))</f>
        <v/>
      </c>
      <c r="G104" s="39">
        <f>IF($U104="","",$D104+$E104-$F104)</f>
        <v/>
      </c>
      <c r="H104" s="39">
        <f>IF($U104="","",MIN(MAX($G104,0),$V104))</f>
        <v/>
      </c>
      <c r="I104" s="39">
        <f>IF($U104="","",MIN(MAX($G104,0),$W104)-MIN(MAX($G104,0),$V104))</f>
        <v/>
      </c>
      <c r="J104" s="39">
        <f>IF($U104="","",MIN(MAX($G104,0),$X104)-MIN(MAX($G104,0),$W104))</f>
        <v/>
      </c>
      <c r="K104" s="39">
        <f>IF($U104="","",MAX($G104,0)-MIN(MAX($G104,0),$X104))</f>
        <v/>
      </c>
      <c r="L104" s="40">
        <f>IF($U104="","",IF(MAX(SUMPRODUCT(MAX((입금_은행1!$AC$8:$AC$2007=$A104)*(입금_은행1!$AE$8:$AE$2007&lt;=설정!$B$5)*입금_은행1!$AE$8:$AE$2007)),SUMPRODUCT(MAX((입금_은행2!$AC$8:$AC$2007=$A104)*(입금_은행2!$AE$8:$AE$2007&lt;=설정!$B$5)*입금_은행2!$AE$8:$AE$2007)))=0,"",MAX(SUMPRODUCT(MAX((입금_은행1!$AC$8:$AC$2007=$A104)*(입금_은행1!$AE$8:$AE$2007&lt;=설정!$B$5)*입금_은행1!$AE$8:$AE$2007)),SUMPRODUCT(MAX((입금_은행2!$AC$8:$AC$2007=$A104)*(입금_은행2!$AE$8:$AE$2007&lt;=설정!$B$5)*입금_은행2!$AE$8:$AE$2007)))))</f>
        <v/>
      </c>
      <c r="M104" s="38">
        <f>IF($U104="","",IF($T104="","",IF(INDEX(거래처설정!$F$8:$F$407,$T104)="","",INDEX(거래처설정!$F$8:$F$407,$T104))))</f>
        <v/>
      </c>
      <c r="N104" s="38">
        <f>IF($U104="","",IF($T104="","",IF(INDEX(거래처설정!$G$8:$G$407,$T104)="","",INDEX(거래처설정!$G$8:$G$407,$T104))))</f>
        <v/>
      </c>
      <c r="O104" s="38">
        <f>IF($U104="","",IF($M104="제외",0,IF($K104&gt;=설정!$B$9,3,IF($J104+$K104&gt;=설정!$B$9,2,IF($I104+$J104+$K104&gt;=설정!$B$9,1,0)))))</f>
        <v/>
      </c>
      <c r="P104" s="38">
        <f>IF($U104="","",IF($M104="제외","제외(조치 상태)",IF($O104=3,"③ 강한 독촉 후보 ("&amp;설정!$B$8&amp;"일 초과)",IF($O104=2,"② 독촉 후보 ("&amp;설정!$B$7&amp;"일 초과)",IF($O104=1,"① 안내 후보 ("&amp;설정!$B$6&amp;"일 초과)",IF($G104&gt;0,IF($I104+$J104+$K104&gt;0,"오래된 잔액 있음 (최소 금액 미만)","정상 범위"),IF($G104&lt;0,"선수금·초과입금 — 확인","완납")))))))</f>
        <v/>
      </c>
      <c r="Q104" s="38">
        <f>IF($U104="","",IF($G104&lt;0,"입금이 매출보다 큼 — 선수금이거나 다른 거래처 입금이 섞였는지 확인",IF(AND($AE104&lt;&gt;"",COUNTIF($AE$8:$AE$307,"*"&amp;$AE104&amp;"*")&gt;1),"이름이 다른 거래처와 겹침 — 입금이 잘못 맞았을 수 있으니 별칭 확인",IF(AND($G104&gt;0,$F104=0),"입금 매칭 없음 — 입금자명이 다르면 [거래처설정]에 별칭 등록",""))))</f>
        <v/>
      </c>
      <c r="R104" s="31">
        <f>IF(OR($U104="",$G104&lt;=0),"",$G104-$A104/10000)</f>
        <v/>
      </c>
      <c r="S104" s="31">
        <f>IF(OR($U104="",$O104&lt;1),"",$O104*10^11+$I104+$J104+$K104-$A104/1000)</f>
        <v/>
      </c>
      <c r="T104" s="31">
        <f>IF($U104="","",IFERROR(MATCH(INDEX(매출원본!$AU$8:$AU$2007,$U104),거래처설정!$I$8:$I$407,0),""))</f>
        <v/>
      </c>
      <c r="U104" s="31">
        <f>IFERROR(MATCH(97,매출원본!$AW$8:$AW$2007,0),"")</f>
        <v/>
      </c>
      <c r="V104" s="31">
        <f>IF($U104="","",MAX(SUMIFS(매출원본!$AT$8:$AT$2007,매출원본!$AY$8:$AY$2007,$A104,매출원본!$AS$8:$AS$2007,"&gt;="&amp;(설정!$B$5-설정!$B$6),매출원본!$AS$8:$AS$2007,"&lt;="&amp;설정!$B$5),0))</f>
        <v/>
      </c>
      <c r="W104" s="31">
        <f>IF($U104="","",MAX($V104,SUMIFS(매출원본!$AT$8:$AT$2007,매출원본!$AY$8:$AY$2007,$A104,매출원본!$AS$8:$AS$2007,"&gt;="&amp;(설정!$B$5-설정!$B$7),매출원본!$AS$8:$AS$2007,"&lt;="&amp;설정!$B$5)))</f>
        <v/>
      </c>
      <c r="X104" s="31">
        <f>IF($U104="","",MAX($W104,SUMIFS(매출원본!$AT$8:$AT$2007,매출원본!$AY$8:$AY$2007,$A104,매출원본!$AS$8:$AS$2007,"&gt;="&amp;(설정!$B$5-설정!$B$8),매출원본!$AS$8:$AS$2007,"&lt;="&amp;설정!$B$5)))</f>
        <v/>
      </c>
      <c r="AC104" s="31">
        <f>IF(OR($U104="",$T104=""),"",INDEX(거래처설정!$J$8:$J$407,$T104))</f>
        <v/>
      </c>
      <c r="AD104" s="31">
        <f>IF(OR($U104="",$T104=""),"",INDEX(거래처설정!$K$8:$K$407,$T104))</f>
        <v/>
      </c>
      <c r="AE104" s="31">
        <f>IF($U104="","",IF(LEN(SUBSTITUTE(SUBSTITUTE(SUBSTITUTE(SUBSTITUTE(SUBSTITUTE(SUBSTITUTE(SUBSTITUTE(SUBSTITUTE(SUBSTITUTE($C104," ",""),"　",""),"(주)",""),"（주）",""),"㈜",""),"주식회사",""),"(유)",""),"（유）",""),"유한회사",""))&lt;2,"",SUBSTITUTE(SUBSTITUTE(SUBSTITUTE(SUBSTITUTE(SUBSTITUTE(SUBSTITUTE(SUBSTITUTE(SUBSTITUTE(SUBSTITUTE($C104," ",""),"　",""),"(주)",""),"（주）",""),"㈜",""),"주식회사",""),"(유)",""),"（유）",""),"유한회사","")))</f>
        <v/>
      </c>
    </row>
    <row r="105">
      <c r="A105" s="38">
        <f>IF($U105="","",98)</f>
        <v/>
      </c>
      <c r="B105" s="38">
        <f>IF($U105="","",IF(LEN(INDEX(매출원본!$AU$8:$AU$2007,$U105))=10,LEFT(INDEX(매출원본!$AU$8:$AU$2007,$U105),3)&amp;"-"&amp;MID(INDEX(매출원본!$AU$8:$AU$2007,$U105),4,2)&amp;"-"&amp;RIGHT(INDEX(매출원본!$AU$8:$AU$2007,$U105),5),IF(LEFT(INDEX(매출원본!$AU$8:$AU$2007,$U105),2)="N:","(번호 없음)",INDEX(매출원본!$AU$8:$AU$2007,$U105))))</f>
        <v/>
      </c>
      <c r="C105" s="38">
        <f>IF($U105="","",INDEX(매출원본!$AV$8:$AV$2007,$U105))</f>
        <v/>
      </c>
      <c r="D105" s="39">
        <f>IF($U105="","",IF($T105="",0,N(INDEX(거래처설정!$E$8:$E$407,$T105))))</f>
        <v/>
      </c>
      <c r="E105" s="39">
        <f>IF($U105="","",SUMIFS(매출원본!$AT$8:$AT$2007,매출원본!$AY$8:$AY$2007,$A105,매출원본!$AS$8:$AS$2007,"&lt;="&amp;설정!$B$5))</f>
        <v/>
      </c>
      <c r="F105" s="39">
        <f>IF($U105="","",SUMIFS(입금_은행1!$Z$8:$Z$2007,입금_은행1!$AC$8:$AC$2007,$A105,입금_은행1!$Y$8:$Y$2007,"&lt;="&amp;설정!$B$5)+SUMIFS(입금_은행2!$Z$8:$Z$2007,입금_은행2!$AC$8:$AC$2007,$A105,입금_은행2!$Y$8:$Y$2007,"&lt;="&amp;설정!$B$5))</f>
        <v/>
      </c>
      <c r="G105" s="39">
        <f>IF($U105="","",$D105+$E105-$F105)</f>
        <v/>
      </c>
      <c r="H105" s="39">
        <f>IF($U105="","",MIN(MAX($G105,0),$V105))</f>
        <v/>
      </c>
      <c r="I105" s="39">
        <f>IF($U105="","",MIN(MAX($G105,0),$W105)-MIN(MAX($G105,0),$V105))</f>
        <v/>
      </c>
      <c r="J105" s="39">
        <f>IF($U105="","",MIN(MAX($G105,0),$X105)-MIN(MAX($G105,0),$W105))</f>
        <v/>
      </c>
      <c r="K105" s="39">
        <f>IF($U105="","",MAX($G105,0)-MIN(MAX($G105,0),$X105))</f>
        <v/>
      </c>
      <c r="L105" s="40">
        <f>IF($U105="","",IF(MAX(SUMPRODUCT(MAX((입금_은행1!$AC$8:$AC$2007=$A105)*(입금_은행1!$AE$8:$AE$2007&lt;=설정!$B$5)*입금_은행1!$AE$8:$AE$2007)),SUMPRODUCT(MAX((입금_은행2!$AC$8:$AC$2007=$A105)*(입금_은행2!$AE$8:$AE$2007&lt;=설정!$B$5)*입금_은행2!$AE$8:$AE$2007)))=0,"",MAX(SUMPRODUCT(MAX((입금_은행1!$AC$8:$AC$2007=$A105)*(입금_은행1!$AE$8:$AE$2007&lt;=설정!$B$5)*입금_은행1!$AE$8:$AE$2007)),SUMPRODUCT(MAX((입금_은행2!$AC$8:$AC$2007=$A105)*(입금_은행2!$AE$8:$AE$2007&lt;=설정!$B$5)*입금_은행2!$AE$8:$AE$2007)))))</f>
        <v/>
      </c>
      <c r="M105" s="38">
        <f>IF($U105="","",IF($T105="","",IF(INDEX(거래처설정!$F$8:$F$407,$T105)="","",INDEX(거래처설정!$F$8:$F$407,$T105))))</f>
        <v/>
      </c>
      <c r="N105" s="38">
        <f>IF($U105="","",IF($T105="","",IF(INDEX(거래처설정!$G$8:$G$407,$T105)="","",INDEX(거래처설정!$G$8:$G$407,$T105))))</f>
        <v/>
      </c>
      <c r="O105" s="38">
        <f>IF($U105="","",IF($M105="제외",0,IF($K105&gt;=설정!$B$9,3,IF($J105+$K105&gt;=설정!$B$9,2,IF($I105+$J105+$K105&gt;=설정!$B$9,1,0)))))</f>
        <v/>
      </c>
      <c r="P105" s="38">
        <f>IF($U105="","",IF($M105="제외","제외(조치 상태)",IF($O105=3,"③ 강한 독촉 후보 ("&amp;설정!$B$8&amp;"일 초과)",IF($O105=2,"② 독촉 후보 ("&amp;설정!$B$7&amp;"일 초과)",IF($O105=1,"① 안내 후보 ("&amp;설정!$B$6&amp;"일 초과)",IF($G105&gt;0,IF($I105+$J105+$K105&gt;0,"오래된 잔액 있음 (최소 금액 미만)","정상 범위"),IF($G105&lt;0,"선수금·초과입금 — 확인","완납")))))))</f>
        <v/>
      </c>
      <c r="Q105" s="38">
        <f>IF($U105="","",IF($G105&lt;0,"입금이 매출보다 큼 — 선수금이거나 다른 거래처 입금이 섞였는지 확인",IF(AND($AE105&lt;&gt;"",COUNTIF($AE$8:$AE$307,"*"&amp;$AE105&amp;"*")&gt;1),"이름이 다른 거래처와 겹침 — 입금이 잘못 맞았을 수 있으니 별칭 확인",IF(AND($G105&gt;0,$F105=0),"입금 매칭 없음 — 입금자명이 다르면 [거래처설정]에 별칭 등록",""))))</f>
        <v/>
      </c>
      <c r="R105" s="31">
        <f>IF(OR($U105="",$G105&lt;=0),"",$G105-$A105/10000)</f>
        <v/>
      </c>
      <c r="S105" s="31">
        <f>IF(OR($U105="",$O105&lt;1),"",$O105*10^11+$I105+$J105+$K105-$A105/1000)</f>
        <v/>
      </c>
      <c r="T105" s="31">
        <f>IF($U105="","",IFERROR(MATCH(INDEX(매출원본!$AU$8:$AU$2007,$U105),거래처설정!$I$8:$I$407,0),""))</f>
        <v/>
      </c>
      <c r="U105" s="31">
        <f>IFERROR(MATCH(98,매출원본!$AW$8:$AW$2007,0),"")</f>
        <v/>
      </c>
      <c r="V105" s="31">
        <f>IF($U105="","",MAX(SUMIFS(매출원본!$AT$8:$AT$2007,매출원본!$AY$8:$AY$2007,$A105,매출원본!$AS$8:$AS$2007,"&gt;="&amp;(설정!$B$5-설정!$B$6),매출원본!$AS$8:$AS$2007,"&lt;="&amp;설정!$B$5),0))</f>
        <v/>
      </c>
      <c r="W105" s="31">
        <f>IF($U105="","",MAX($V105,SUMIFS(매출원본!$AT$8:$AT$2007,매출원본!$AY$8:$AY$2007,$A105,매출원본!$AS$8:$AS$2007,"&gt;="&amp;(설정!$B$5-설정!$B$7),매출원본!$AS$8:$AS$2007,"&lt;="&amp;설정!$B$5)))</f>
        <v/>
      </c>
      <c r="X105" s="31">
        <f>IF($U105="","",MAX($W105,SUMIFS(매출원본!$AT$8:$AT$2007,매출원본!$AY$8:$AY$2007,$A105,매출원본!$AS$8:$AS$2007,"&gt;="&amp;(설정!$B$5-설정!$B$8),매출원본!$AS$8:$AS$2007,"&lt;="&amp;설정!$B$5)))</f>
        <v/>
      </c>
      <c r="AC105" s="31">
        <f>IF(OR($U105="",$T105=""),"",INDEX(거래처설정!$J$8:$J$407,$T105))</f>
        <v/>
      </c>
      <c r="AD105" s="31">
        <f>IF(OR($U105="",$T105=""),"",INDEX(거래처설정!$K$8:$K$407,$T105))</f>
        <v/>
      </c>
      <c r="AE105" s="31">
        <f>IF($U105="","",IF(LEN(SUBSTITUTE(SUBSTITUTE(SUBSTITUTE(SUBSTITUTE(SUBSTITUTE(SUBSTITUTE(SUBSTITUTE(SUBSTITUTE(SUBSTITUTE($C105," ",""),"　",""),"(주)",""),"（주）",""),"㈜",""),"주식회사",""),"(유)",""),"（유）",""),"유한회사",""))&lt;2,"",SUBSTITUTE(SUBSTITUTE(SUBSTITUTE(SUBSTITUTE(SUBSTITUTE(SUBSTITUTE(SUBSTITUTE(SUBSTITUTE(SUBSTITUTE($C105," ",""),"　",""),"(주)",""),"（주）",""),"㈜",""),"주식회사",""),"(유)",""),"（유）",""),"유한회사","")))</f>
        <v/>
      </c>
    </row>
    <row r="106">
      <c r="A106" s="38">
        <f>IF($U106="","",99)</f>
        <v/>
      </c>
      <c r="B106" s="38">
        <f>IF($U106="","",IF(LEN(INDEX(매출원본!$AU$8:$AU$2007,$U106))=10,LEFT(INDEX(매출원본!$AU$8:$AU$2007,$U106),3)&amp;"-"&amp;MID(INDEX(매출원본!$AU$8:$AU$2007,$U106),4,2)&amp;"-"&amp;RIGHT(INDEX(매출원본!$AU$8:$AU$2007,$U106),5),IF(LEFT(INDEX(매출원본!$AU$8:$AU$2007,$U106),2)="N:","(번호 없음)",INDEX(매출원본!$AU$8:$AU$2007,$U106))))</f>
        <v/>
      </c>
      <c r="C106" s="38">
        <f>IF($U106="","",INDEX(매출원본!$AV$8:$AV$2007,$U106))</f>
        <v/>
      </c>
      <c r="D106" s="39">
        <f>IF($U106="","",IF($T106="",0,N(INDEX(거래처설정!$E$8:$E$407,$T106))))</f>
        <v/>
      </c>
      <c r="E106" s="39">
        <f>IF($U106="","",SUMIFS(매출원본!$AT$8:$AT$2007,매출원본!$AY$8:$AY$2007,$A106,매출원본!$AS$8:$AS$2007,"&lt;="&amp;설정!$B$5))</f>
        <v/>
      </c>
      <c r="F106" s="39">
        <f>IF($U106="","",SUMIFS(입금_은행1!$Z$8:$Z$2007,입금_은행1!$AC$8:$AC$2007,$A106,입금_은행1!$Y$8:$Y$2007,"&lt;="&amp;설정!$B$5)+SUMIFS(입금_은행2!$Z$8:$Z$2007,입금_은행2!$AC$8:$AC$2007,$A106,입금_은행2!$Y$8:$Y$2007,"&lt;="&amp;설정!$B$5))</f>
        <v/>
      </c>
      <c r="G106" s="39">
        <f>IF($U106="","",$D106+$E106-$F106)</f>
        <v/>
      </c>
      <c r="H106" s="39">
        <f>IF($U106="","",MIN(MAX($G106,0),$V106))</f>
        <v/>
      </c>
      <c r="I106" s="39">
        <f>IF($U106="","",MIN(MAX($G106,0),$W106)-MIN(MAX($G106,0),$V106))</f>
        <v/>
      </c>
      <c r="J106" s="39">
        <f>IF($U106="","",MIN(MAX($G106,0),$X106)-MIN(MAX($G106,0),$W106))</f>
        <v/>
      </c>
      <c r="K106" s="39">
        <f>IF($U106="","",MAX($G106,0)-MIN(MAX($G106,0),$X106))</f>
        <v/>
      </c>
      <c r="L106" s="40">
        <f>IF($U106="","",IF(MAX(SUMPRODUCT(MAX((입금_은행1!$AC$8:$AC$2007=$A106)*(입금_은행1!$AE$8:$AE$2007&lt;=설정!$B$5)*입금_은행1!$AE$8:$AE$2007)),SUMPRODUCT(MAX((입금_은행2!$AC$8:$AC$2007=$A106)*(입금_은행2!$AE$8:$AE$2007&lt;=설정!$B$5)*입금_은행2!$AE$8:$AE$2007)))=0,"",MAX(SUMPRODUCT(MAX((입금_은행1!$AC$8:$AC$2007=$A106)*(입금_은행1!$AE$8:$AE$2007&lt;=설정!$B$5)*입금_은행1!$AE$8:$AE$2007)),SUMPRODUCT(MAX((입금_은행2!$AC$8:$AC$2007=$A106)*(입금_은행2!$AE$8:$AE$2007&lt;=설정!$B$5)*입금_은행2!$AE$8:$AE$2007)))))</f>
        <v/>
      </c>
      <c r="M106" s="38">
        <f>IF($U106="","",IF($T106="","",IF(INDEX(거래처설정!$F$8:$F$407,$T106)="","",INDEX(거래처설정!$F$8:$F$407,$T106))))</f>
        <v/>
      </c>
      <c r="N106" s="38">
        <f>IF($U106="","",IF($T106="","",IF(INDEX(거래처설정!$G$8:$G$407,$T106)="","",INDEX(거래처설정!$G$8:$G$407,$T106))))</f>
        <v/>
      </c>
      <c r="O106" s="38">
        <f>IF($U106="","",IF($M106="제외",0,IF($K106&gt;=설정!$B$9,3,IF($J106+$K106&gt;=설정!$B$9,2,IF($I106+$J106+$K106&gt;=설정!$B$9,1,0)))))</f>
        <v/>
      </c>
      <c r="P106" s="38">
        <f>IF($U106="","",IF($M106="제외","제외(조치 상태)",IF($O106=3,"③ 강한 독촉 후보 ("&amp;설정!$B$8&amp;"일 초과)",IF($O106=2,"② 독촉 후보 ("&amp;설정!$B$7&amp;"일 초과)",IF($O106=1,"① 안내 후보 ("&amp;설정!$B$6&amp;"일 초과)",IF($G106&gt;0,IF($I106+$J106+$K106&gt;0,"오래된 잔액 있음 (최소 금액 미만)","정상 범위"),IF($G106&lt;0,"선수금·초과입금 — 확인","완납")))))))</f>
        <v/>
      </c>
      <c r="Q106" s="38">
        <f>IF($U106="","",IF($G106&lt;0,"입금이 매출보다 큼 — 선수금이거나 다른 거래처 입금이 섞였는지 확인",IF(AND($AE106&lt;&gt;"",COUNTIF($AE$8:$AE$307,"*"&amp;$AE106&amp;"*")&gt;1),"이름이 다른 거래처와 겹침 — 입금이 잘못 맞았을 수 있으니 별칭 확인",IF(AND($G106&gt;0,$F106=0),"입금 매칭 없음 — 입금자명이 다르면 [거래처설정]에 별칭 등록",""))))</f>
        <v/>
      </c>
      <c r="R106" s="31">
        <f>IF(OR($U106="",$G106&lt;=0),"",$G106-$A106/10000)</f>
        <v/>
      </c>
      <c r="S106" s="31">
        <f>IF(OR($U106="",$O106&lt;1),"",$O106*10^11+$I106+$J106+$K106-$A106/1000)</f>
        <v/>
      </c>
      <c r="T106" s="31">
        <f>IF($U106="","",IFERROR(MATCH(INDEX(매출원본!$AU$8:$AU$2007,$U106),거래처설정!$I$8:$I$407,0),""))</f>
        <v/>
      </c>
      <c r="U106" s="31">
        <f>IFERROR(MATCH(99,매출원본!$AW$8:$AW$2007,0),"")</f>
        <v/>
      </c>
      <c r="V106" s="31">
        <f>IF($U106="","",MAX(SUMIFS(매출원본!$AT$8:$AT$2007,매출원본!$AY$8:$AY$2007,$A106,매출원본!$AS$8:$AS$2007,"&gt;="&amp;(설정!$B$5-설정!$B$6),매출원본!$AS$8:$AS$2007,"&lt;="&amp;설정!$B$5),0))</f>
        <v/>
      </c>
      <c r="W106" s="31">
        <f>IF($U106="","",MAX($V106,SUMIFS(매출원본!$AT$8:$AT$2007,매출원본!$AY$8:$AY$2007,$A106,매출원본!$AS$8:$AS$2007,"&gt;="&amp;(설정!$B$5-설정!$B$7),매출원본!$AS$8:$AS$2007,"&lt;="&amp;설정!$B$5)))</f>
        <v/>
      </c>
      <c r="X106" s="31">
        <f>IF($U106="","",MAX($W106,SUMIFS(매출원본!$AT$8:$AT$2007,매출원본!$AY$8:$AY$2007,$A106,매출원본!$AS$8:$AS$2007,"&gt;="&amp;(설정!$B$5-설정!$B$8),매출원본!$AS$8:$AS$2007,"&lt;="&amp;설정!$B$5)))</f>
        <v/>
      </c>
      <c r="AC106" s="31">
        <f>IF(OR($U106="",$T106=""),"",INDEX(거래처설정!$J$8:$J$407,$T106))</f>
        <v/>
      </c>
      <c r="AD106" s="31">
        <f>IF(OR($U106="",$T106=""),"",INDEX(거래처설정!$K$8:$K$407,$T106))</f>
        <v/>
      </c>
      <c r="AE106" s="31">
        <f>IF($U106="","",IF(LEN(SUBSTITUTE(SUBSTITUTE(SUBSTITUTE(SUBSTITUTE(SUBSTITUTE(SUBSTITUTE(SUBSTITUTE(SUBSTITUTE(SUBSTITUTE($C106," ",""),"　",""),"(주)",""),"（주）",""),"㈜",""),"주식회사",""),"(유)",""),"（유）",""),"유한회사",""))&lt;2,"",SUBSTITUTE(SUBSTITUTE(SUBSTITUTE(SUBSTITUTE(SUBSTITUTE(SUBSTITUTE(SUBSTITUTE(SUBSTITUTE(SUBSTITUTE($C106," ",""),"　",""),"(주)",""),"（주）",""),"㈜",""),"주식회사",""),"(유)",""),"（유）",""),"유한회사","")))</f>
        <v/>
      </c>
    </row>
    <row r="107">
      <c r="A107" s="38">
        <f>IF($U107="","",100)</f>
        <v/>
      </c>
      <c r="B107" s="38">
        <f>IF($U107="","",IF(LEN(INDEX(매출원본!$AU$8:$AU$2007,$U107))=10,LEFT(INDEX(매출원본!$AU$8:$AU$2007,$U107),3)&amp;"-"&amp;MID(INDEX(매출원본!$AU$8:$AU$2007,$U107),4,2)&amp;"-"&amp;RIGHT(INDEX(매출원본!$AU$8:$AU$2007,$U107),5),IF(LEFT(INDEX(매출원본!$AU$8:$AU$2007,$U107),2)="N:","(번호 없음)",INDEX(매출원본!$AU$8:$AU$2007,$U107))))</f>
        <v/>
      </c>
      <c r="C107" s="38">
        <f>IF($U107="","",INDEX(매출원본!$AV$8:$AV$2007,$U107))</f>
        <v/>
      </c>
      <c r="D107" s="39">
        <f>IF($U107="","",IF($T107="",0,N(INDEX(거래처설정!$E$8:$E$407,$T107))))</f>
        <v/>
      </c>
      <c r="E107" s="39">
        <f>IF($U107="","",SUMIFS(매출원본!$AT$8:$AT$2007,매출원본!$AY$8:$AY$2007,$A107,매출원본!$AS$8:$AS$2007,"&lt;="&amp;설정!$B$5))</f>
        <v/>
      </c>
      <c r="F107" s="39">
        <f>IF($U107="","",SUMIFS(입금_은행1!$Z$8:$Z$2007,입금_은행1!$AC$8:$AC$2007,$A107,입금_은행1!$Y$8:$Y$2007,"&lt;="&amp;설정!$B$5)+SUMIFS(입금_은행2!$Z$8:$Z$2007,입금_은행2!$AC$8:$AC$2007,$A107,입금_은행2!$Y$8:$Y$2007,"&lt;="&amp;설정!$B$5))</f>
        <v/>
      </c>
      <c r="G107" s="39">
        <f>IF($U107="","",$D107+$E107-$F107)</f>
        <v/>
      </c>
      <c r="H107" s="39">
        <f>IF($U107="","",MIN(MAX($G107,0),$V107))</f>
        <v/>
      </c>
      <c r="I107" s="39">
        <f>IF($U107="","",MIN(MAX($G107,0),$W107)-MIN(MAX($G107,0),$V107))</f>
        <v/>
      </c>
      <c r="J107" s="39">
        <f>IF($U107="","",MIN(MAX($G107,0),$X107)-MIN(MAX($G107,0),$W107))</f>
        <v/>
      </c>
      <c r="K107" s="39">
        <f>IF($U107="","",MAX($G107,0)-MIN(MAX($G107,0),$X107))</f>
        <v/>
      </c>
      <c r="L107" s="40">
        <f>IF($U107="","",IF(MAX(SUMPRODUCT(MAX((입금_은행1!$AC$8:$AC$2007=$A107)*(입금_은행1!$AE$8:$AE$2007&lt;=설정!$B$5)*입금_은행1!$AE$8:$AE$2007)),SUMPRODUCT(MAX((입금_은행2!$AC$8:$AC$2007=$A107)*(입금_은행2!$AE$8:$AE$2007&lt;=설정!$B$5)*입금_은행2!$AE$8:$AE$2007)))=0,"",MAX(SUMPRODUCT(MAX((입금_은행1!$AC$8:$AC$2007=$A107)*(입금_은행1!$AE$8:$AE$2007&lt;=설정!$B$5)*입금_은행1!$AE$8:$AE$2007)),SUMPRODUCT(MAX((입금_은행2!$AC$8:$AC$2007=$A107)*(입금_은행2!$AE$8:$AE$2007&lt;=설정!$B$5)*입금_은행2!$AE$8:$AE$2007)))))</f>
        <v/>
      </c>
      <c r="M107" s="38">
        <f>IF($U107="","",IF($T107="","",IF(INDEX(거래처설정!$F$8:$F$407,$T107)="","",INDEX(거래처설정!$F$8:$F$407,$T107))))</f>
        <v/>
      </c>
      <c r="N107" s="38">
        <f>IF($U107="","",IF($T107="","",IF(INDEX(거래처설정!$G$8:$G$407,$T107)="","",INDEX(거래처설정!$G$8:$G$407,$T107))))</f>
        <v/>
      </c>
      <c r="O107" s="38">
        <f>IF($U107="","",IF($M107="제외",0,IF($K107&gt;=설정!$B$9,3,IF($J107+$K107&gt;=설정!$B$9,2,IF($I107+$J107+$K107&gt;=설정!$B$9,1,0)))))</f>
        <v/>
      </c>
      <c r="P107" s="38">
        <f>IF($U107="","",IF($M107="제외","제외(조치 상태)",IF($O107=3,"③ 강한 독촉 후보 ("&amp;설정!$B$8&amp;"일 초과)",IF($O107=2,"② 독촉 후보 ("&amp;설정!$B$7&amp;"일 초과)",IF($O107=1,"① 안내 후보 ("&amp;설정!$B$6&amp;"일 초과)",IF($G107&gt;0,IF($I107+$J107+$K107&gt;0,"오래된 잔액 있음 (최소 금액 미만)","정상 범위"),IF($G107&lt;0,"선수금·초과입금 — 확인","완납")))))))</f>
        <v/>
      </c>
      <c r="Q107" s="38">
        <f>IF($U107="","",IF($G107&lt;0,"입금이 매출보다 큼 — 선수금이거나 다른 거래처 입금이 섞였는지 확인",IF(AND($AE107&lt;&gt;"",COUNTIF($AE$8:$AE$307,"*"&amp;$AE107&amp;"*")&gt;1),"이름이 다른 거래처와 겹침 — 입금이 잘못 맞았을 수 있으니 별칭 확인",IF(AND($G107&gt;0,$F107=0),"입금 매칭 없음 — 입금자명이 다르면 [거래처설정]에 별칭 등록",""))))</f>
        <v/>
      </c>
      <c r="R107" s="31">
        <f>IF(OR($U107="",$G107&lt;=0),"",$G107-$A107/10000)</f>
        <v/>
      </c>
      <c r="S107" s="31">
        <f>IF(OR($U107="",$O107&lt;1),"",$O107*10^11+$I107+$J107+$K107-$A107/1000)</f>
        <v/>
      </c>
      <c r="T107" s="31">
        <f>IF($U107="","",IFERROR(MATCH(INDEX(매출원본!$AU$8:$AU$2007,$U107),거래처설정!$I$8:$I$407,0),""))</f>
        <v/>
      </c>
      <c r="U107" s="31">
        <f>IFERROR(MATCH(100,매출원본!$AW$8:$AW$2007,0),"")</f>
        <v/>
      </c>
      <c r="V107" s="31">
        <f>IF($U107="","",MAX(SUMIFS(매출원본!$AT$8:$AT$2007,매출원본!$AY$8:$AY$2007,$A107,매출원본!$AS$8:$AS$2007,"&gt;="&amp;(설정!$B$5-설정!$B$6),매출원본!$AS$8:$AS$2007,"&lt;="&amp;설정!$B$5),0))</f>
        <v/>
      </c>
      <c r="W107" s="31">
        <f>IF($U107="","",MAX($V107,SUMIFS(매출원본!$AT$8:$AT$2007,매출원본!$AY$8:$AY$2007,$A107,매출원본!$AS$8:$AS$2007,"&gt;="&amp;(설정!$B$5-설정!$B$7),매출원본!$AS$8:$AS$2007,"&lt;="&amp;설정!$B$5)))</f>
        <v/>
      </c>
      <c r="X107" s="31">
        <f>IF($U107="","",MAX($W107,SUMIFS(매출원본!$AT$8:$AT$2007,매출원본!$AY$8:$AY$2007,$A107,매출원본!$AS$8:$AS$2007,"&gt;="&amp;(설정!$B$5-설정!$B$8),매출원본!$AS$8:$AS$2007,"&lt;="&amp;설정!$B$5)))</f>
        <v/>
      </c>
      <c r="AC107" s="31">
        <f>IF(OR($U107="",$T107=""),"",INDEX(거래처설정!$J$8:$J$407,$T107))</f>
        <v/>
      </c>
      <c r="AD107" s="31">
        <f>IF(OR($U107="",$T107=""),"",INDEX(거래처설정!$K$8:$K$407,$T107))</f>
        <v/>
      </c>
      <c r="AE107" s="31">
        <f>IF($U107="","",IF(LEN(SUBSTITUTE(SUBSTITUTE(SUBSTITUTE(SUBSTITUTE(SUBSTITUTE(SUBSTITUTE(SUBSTITUTE(SUBSTITUTE(SUBSTITUTE($C107," ",""),"　",""),"(주)",""),"（주）",""),"㈜",""),"주식회사",""),"(유)",""),"（유）",""),"유한회사",""))&lt;2,"",SUBSTITUTE(SUBSTITUTE(SUBSTITUTE(SUBSTITUTE(SUBSTITUTE(SUBSTITUTE(SUBSTITUTE(SUBSTITUTE(SUBSTITUTE($C107," ",""),"　",""),"(주)",""),"（주）",""),"㈜",""),"주식회사",""),"(유)",""),"（유）",""),"유한회사","")))</f>
        <v/>
      </c>
    </row>
    <row r="108">
      <c r="A108" s="38">
        <f>IF($U108="","",101)</f>
        <v/>
      </c>
      <c r="B108" s="38">
        <f>IF($U108="","",IF(LEN(INDEX(매출원본!$AU$8:$AU$2007,$U108))=10,LEFT(INDEX(매출원본!$AU$8:$AU$2007,$U108),3)&amp;"-"&amp;MID(INDEX(매출원본!$AU$8:$AU$2007,$U108),4,2)&amp;"-"&amp;RIGHT(INDEX(매출원본!$AU$8:$AU$2007,$U108),5),IF(LEFT(INDEX(매출원본!$AU$8:$AU$2007,$U108),2)="N:","(번호 없음)",INDEX(매출원본!$AU$8:$AU$2007,$U108))))</f>
        <v/>
      </c>
      <c r="C108" s="38">
        <f>IF($U108="","",INDEX(매출원본!$AV$8:$AV$2007,$U108))</f>
        <v/>
      </c>
      <c r="D108" s="39">
        <f>IF($U108="","",IF($T108="",0,N(INDEX(거래처설정!$E$8:$E$407,$T108))))</f>
        <v/>
      </c>
      <c r="E108" s="39">
        <f>IF($U108="","",SUMIFS(매출원본!$AT$8:$AT$2007,매출원본!$AY$8:$AY$2007,$A108,매출원본!$AS$8:$AS$2007,"&lt;="&amp;설정!$B$5))</f>
        <v/>
      </c>
      <c r="F108" s="39">
        <f>IF($U108="","",SUMIFS(입금_은행1!$Z$8:$Z$2007,입금_은행1!$AC$8:$AC$2007,$A108,입금_은행1!$Y$8:$Y$2007,"&lt;="&amp;설정!$B$5)+SUMIFS(입금_은행2!$Z$8:$Z$2007,입금_은행2!$AC$8:$AC$2007,$A108,입금_은행2!$Y$8:$Y$2007,"&lt;="&amp;설정!$B$5))</f>
        <v/>
      </c>
      <c r="G108" s="39">
        <f>IF($U108="","",$D108+$E108-$F108)</f>
        <v/>
      </c>
      <c r="H108" s="39">
        <f>IF($U108="","",MIN(MAX($G108,0),$V108))</f>
        <v/>
      </c>
      <c r="I108" s="39">
        <f>IF($U108="","",MIN(MAX($G108,0),$W108)-MIN(MAX($G108,0),$V108))</f>
        <v/>
      </c>
      <c r="J108" s="39">
        <f>IF($U108="","",MIN(MAX($G108,0),$X108)-MIN(MAX($G108,0),$W108))</f>
        <v/>
      </c>
      <c r="K108" s="39">
        <f>IF($U108="","",MAX($G108,0)-MIN(MAX($G108,0),$X108))</f>
        <v/>
      </c>
      <c r="L108" s="40">
        <f>IF($U108="","",IF(MAX(SUMPRODUCT(MAX((입금_은행1!$AC$8:$AC$2007=$A108)*(입금_은행1!$AE$8:$AE$2007&lt;=설정!$B$5)*입금_은행1!$AE$8:$AE$2007)),SUMPRODUCT(MAX((입금_은행2!$AC$8:$AC$2007=$A108)*(입금_은행2!$AE$8:$AE$2007&lt;=설정!$B$5)*입금_은행2!$AE$8:$AE$2007)))=0,"",MAX(SUMPRODUCT(MAX((입금_은행1!$AC$8:$AC$2007=$A108)*(입금_은행1!$AE$8:$AE$2007&lt;=설정!$B$5)*입금_은행1!$AE$8:$AE$2007)),SUMPRODUCT(MAX((입금_은행2!$AC$8:$AC$2007=$A108)*(입금_은행2!$AE$8:$AE$2007&lt;=설정!$B$5)*입금_은행2!$AE$8:$AE$2007)))))</f>
        <v/>
      </c>
      <c r="M108" s="38">
        <f>IF($U108="","",IF($T108="","",IF(INDEX(거래처설정!$F$8:$F$407,$T108)="","",INDEX(거래처설정!$F$8:$F$407,$T108))))</f>
        <v/>
      </c>
      <c r="N108" s="38">
        <f>IF($U108="","",IF($T108="","",IF(INDEX(거래처설정!$G$8:$G$407,$T108)="","",INDEX(거래처설정!$G$8:$G$407,$T108))))</f>
        <v/>
      </c>
      <c r="O108" s="38">
        <f>IF($U108="","",IF($M108="제외",0,IF($K108&gt;=설정!$B$9,3,IF($J108+$K108&gt;=설정!$B$9,2,IF($I108+$J108+$K108&gt;=설정!$B$9,1,0)))))</f>
        <v/>
      </c>
      <c r="P108" s="38">
        <f>IF($U108="","",IF($M108="제외","제외(조치 상태)",IF($O108=3,"③ 강한 독촉 후보 ("&amp;설정!$B$8&amp;"일 초과)",IF($O108=2,"② 독촉 후보 ("&amp;설정!$B$7&amp;"일 초과)",IF($O108=1,"① 안내 후보 ("&amp;설정!$B$6&amp;"일 초과)",IF($G108&gt;0,IF($I108+$J108+$K108&gt;0,"오래된 잔액 있음 (최소 금액 미만)","정상 범위"),IF($G108&lt;0,"선수금·초과입금 — 확인","완납")))))))</f>
        <v/>
      </c>
      <c r="Q108" s="38">
        <f>IF($U108="","",IF($G108&lt;0,"입금이 매출보다 큼 — 선수금이거나 다른 거래처 입금이 섞였는지 확인",IF(AND($AE108&lt;&gt;"",COUNTIF($AE$8:$AE$307,"*"&amp;$AE108&amp;"*")&gt;1),"이름이 다른 거래처와 겹침 — 입금이 잘못 맞았을 수 있으니 별칭 확인",IF(AND($G108&gt;0,$F108=0),"입금 매칭 없음 — 입금자명이 다르면 [거래처설정]에 별칭 등록",""))))</f>
        <v/>
      </c>
      <c r="R108" s="31">
        <f>IF(OR($U108="",$G108&lt;=0),"",$G108-$A108/10000)</f>
        <v/>
      </c>
      <c r="S108" s="31">
        <f>IF(OR($U108="",$O108&lt;1),"",$O108*10^11+$I108+$J108+$K108-$A108/1000)</f>
        <v/>
      </c>
      <c r="T108" s="31">
        <f>IF($U108="","",IFERROR(MATCH(INDEX(매출원본!$AU$8:$AU$2007,$U108),거래처설정!$I$8:$I$407,0),""))</f>
        <v/>
      </c>
      <c r="U108" s="31">
        <f>IFERROR(MATCH(101,매출원본!$AW$8:$AW$2007,0),"")</f>
        <v/>
      </c>
      <c r="V108" s="31">
        <f>IF($U108="","",MAX(SUMIFS(매출원본!$AT$8:$AT$2007,매출원본!$AY$8:$AY$2007,$A108,매출원본!$AS$8:$AS$2007,"&gt;="&amp;(설정!$B$5-설정!$B$6),매출원본!$AS$8:$AS$2007,"&lt;="&amp;설정!$B$5),0))</f>
        <v/>
      </c>
      <c r="W108" s="31">
        <f>IF($U108="","",MAX($V108,SUMIFS(매출원본!$AT$8:$AT$2007,매출원본!$AY$8:$AY$2007,$A108,매출원본!$AS$8:$AS$2007,"&gt;="&amp;(설정!$B$5-설정!$B$7),매출원본!$AS$8:$AS$2007,"&lt;="&amp;설정!$B$5)))</f>
        <v/>
      </c>
      <c r="X108" s="31">
        <f>IF($U108="","",MAX($W108,SUMIFS(매출원본!$AT$8:$AT$2007,매출원본!$AY$8:$AY$2007,$A108,매출원본!$AS$8:$AS$2007,"&gt;="&amp;(설정!$B$5-설정!$B$8),매출원본!$AS$8:$AS$2007,"&lt;="&amp;설정!$B$5)))</f>
        <v/>
      </c>
      <c r="AC108" s="31">
        <f>IF(OR($U108="",$T108=""),"",INDEX(거래처설정!$J$8:$J$407,$T108))</f>
        <v/>
      </c>
      <c r="AD108" s="31">
        <f>IF(OR($U108="",$T108=""),"",INDEX(거래처설정!$K$8:$K$407,$T108))</f>
        <v/>
      </c>
      <c r="AE108" s="31">
        <f>IF($U108="","",IF(LEN(SUBSTITUTE(SUBSTITUTE(SUBSTITUTE(SUBSTITUTE(SUBSTITUTE(SUBSTITUTE(SUBSTITUTE(SUBSTITUTE(SUBSTITUTE($C108," ",""),"　",""),"(주)",""),"（주）",""),"㈜",""),"주식회사",""),"(유)",""),"（유）",""),"유한회사",""))&lt;2,"",SUBSTITUTE(SUBSTITUTE(SUBSTITUTE(SUBSTITUTE(SUBSTITUTE(SUBSTITUTE(SUBSTITUTE(SUBSTITUTE(SUBSTITUTE($C108," ",""),"　",""),"(주)",""),"（주）",""),"㈜",""),"주식회사",""),"(유)",""),"（유）",""),"유한회사","")))</f>
        <v/>
      </c>
    </row>
    <row r="109">
      <c r="A109" s="38">
        <f>IF($U109="","",102)</f>
        <v/>
      </c>
      <c r="B109" s="38">
        <f>IF($U109="","",IF(LEN(INDEX(매출원본!$AU$8:$AU$2007,$U109))=10,LEFT(INDEX(매출원본!$AU$8:$AU$2007,$U109),3)&amp;"-"&amp;MID(INDEX(매출원본!$AU$8:$AU$2007,$U109),4,2)&amp;"-"&amp;RIGHT(INDEX(매출원본!$AU$8:$AU$2007,$U109),5),IF(LEFT(INDEX(매출원본!$AU$8:$AU$2007,$U109),2)="N:","(번호 없음)",INDEX(매출원본!$AU$8:$AU$2007,$U109))))</f>
        <v/>
      </c>
      <c r="C109" s="38">
        <f>IF($U109="","",INDEX(매출원본!$AV$8:$AV$2007,$U109))</f>
        <v/>
      </c>
      <c r="D109" s="39">
        <f>IF($U109="","",IF($T109="",0,N(INDEX(거래처설정!$E$8:$E$407,$T109))))</f>
        <v/>
      </c>
      <c r="E109" s="39">
        <f>IF($U109="","",SUMIFS(매출원본!$AT$8:$AT$2007,매출원본!$AY$8:$AY$2007,$A109,매출원본!$AS$8:$AS$2007,"&lt;="&amp;설정!$B$5))</f>
        <v/>
      </c>
      <c r="F109" s="39">
        <f>IF($U109="","",SUMIFS(입금_은행1!$Z$8:$Z$2007,입금_은행1!$AC$8:$AC$2007,$A109,입금_은행1!$Y$8:$Y$2007,"&lt;="&amp;설정!$B$5)+SUMIFS(입금_은행2!$Z$8:$Z$2007,입금_은행2!$AC$8:$AC$2007,$A109,입금_은행2!$Y$8:$Y$2007,"&lt;="&amp;설정!$B$5))</f>
        <v/>
      </c>
      <c r="G109" s="39">
        <f>IF($U109="","",$D109+$E109-$F109)</f>
        <v/>
      </c>
      <c r="H109" s="39">
        <f>IF($U109="","",MIN(MAX($G109,0),$V109))</f>
        <v/>
      </c>
      <c r="I109" s="39">
        <f>IF($U109="","",MIN(MAX($G109,0),$W109)-MIN(MAX($G109,0),$V109))</f>
        <v/>
      </c>
      <c r="J109" s="39">
        <f>IF($U109="","",MIN(MAX($G109,0),$X109)-MIN(MAX($G109,0),$W109))</f>
        <v/>
      </c>
      <c r="K109" s="39">
        <f>IF($U109="","",MAX($G109,0)-MIN(MAX($G109,0),$X109))</f>
        <v/>
      </c>
      <c r="L109" s="40">
        <f>IF($U109="","",IF(MAX(SUMPRODUCT(MAX((입금_은행1!$AC$8:$AC$2007=$A109)*(입금_은행1!$AE$8:$AE$2007&lt;=설정!$B$5)*입금_은행1!$AE$8:$AE$2007)),SUMPRODUCT(MAX((입금_은행2!$AC$8:$AC$2007=$A109)*(입금_은행2!$AE$8:$AE$2007&lt;=설정!$B$5)*입금_은행2!$AE$8:$AE$2007)))=0,"",MAX(SUMPRODUCT(MAX((입금_은행1!$AC$8:$AC$2007=$A109)*(입금_은행1!$AE$8:$AE$2007&lt;=설정!$B$5)*입금_은행1!$AE$8:$AE$2007)),SUMPRODUCT(MAX((입금_은행2!$AC$8:$AC$2007=$A109)*(입금_은행2!$AE$8:$AE$2007&lt;=설정!$B$5)*입금_은행2!$AE$8:$AE$2007)))))</f>
        <v/>
      </c>
      <c r="M109" s="38">
        <f>IF($U109="","",IF($T109="","",IF(INDEX(거래처설정!$F$8:$F$407,$T109)="","",INDEX(거래처설정!$F$8:$F$407,$T109))))</f>
        <v/>
      </c>
      <c r="N109" s="38">
        <f>IF($U109="","",IF($T109="","",IF(INDEX(거래처설정!$G$8:$G$407,$T109)="","",INDEX(거래처설정!$G$8:$G$407,$T109))))</f>
        <v/>
      </c>
      <c r="O109" s="38">
        <f>IF($U109="","",IF($M109="제외",0,IF($K109&gt;=설정!$B$9,3,IF($J109+$K109&gt;=설정!$B$9,2,IF($I109+$J109+$K109&gt;=설정!$B$9,1,0)))))</f>
        <v/>
      </c>
      <c r="P109" s="38">
        <f>IF($U109="","",IF($M109="제외","제외(조치 상태)",IF($O109=3,"③ 강한 독촉 후보 ("&amp;설정!$B$8&amp;"일 초과)",IF($O109=2,"② 독촉 후보 ("&amp;설정!$B$7&amp;"일 초과)",IF($O109=1,"① 안내 후보 ("&amp;설정!$B$6&amp;"일 초과)",IF($G109&gt;0,IF($I109+$J109+$K109&gt;0,"오래된 잔액 있음 (최소 금액 미만)","정상 범위"),IF($G109&lt;0,"선수금·초과입금 — 확인","완납")))))))</f>
        <v/>
      </c>
      <c r="Q109" s="38">
        <f>IF($U109="","",IF($G109&lt;0,"입금이 매출보다 큼 — 선수금이거나 다른 거래처 입금이 섞였는지 확인",IF(AND($AE109&lt;&gt;"",COUNTIF($AE$8:$AE$307,"*"&amp;$AE109&amp;"*")&gt;1),"이름이 다른 거래처와 겹침 — 입금이 잘못 맞았을 수 있으니 별칭 확인",IF(AND($G109&gt;0,$F109=0),"입금 매칭 없음 — 입금자명이 다르면 [거래처설정]에 별칭 등록",""))))</f>
        <v/>
      </c>
      <c r="R109" s="31">
        <f>IF(OR($U109="",$G109&lt;=0),"",$G109-$A109/10000)</f>
        <v/>
      </c>
      <c r="S109" s="31">
        <f>IF(OR($U109="",$O109&lt;1),"",$O109*10^11+$I109+$J109+$K109-$A109/1000)</f>
        <v/>
      </c>
      <c r="T109" s="31">
        <f>IF($U109="","",IFERROR(MATCH(INDEX(매출원본!$AU$8:$AU$2007,$U109),거래처설정!$I$8:$I$407,0),""))</f>
        <v/>
      </c>
      <c r="U109" s="31">
        <f>IFERROR(MATCH(102,매출원본!$AW$8:$AW$2007,0),"")</f>
        <v/>
      </c>
      <c r="V109" s="31">
        <f>IF($U109="","",MAX(SUMIFS(매출원본!$AT$8:$AT$2007,매출원본!$AY$8:$AY$2007,$A109,매출원본!$AS$8:$AS$2007,"&gt;="&amp;(설정!$B$5-설정!$B$6),매출원본!$AS$8:$AS$2007,"&lt;="&amp;설정!$B$5),0))</f>
        <v/>
      </c>
      <c r="W109" s="31">
        <f>IF($U109="","",MAX($V109,SUMIFS(매출원본!$AT$8:$AT$2007,매출원본!$AY$8:$AY$2007,$A109,매출원본!$AS$8:$AS$2007,"&gt;="&amp;(설정!$B$5-설정!$B$7),매출원본!$AS$8:$AS$2007,"&lt;="&amp;설정!$B$5)))</f>
        <v/>
      </c>
      <c r="X109" s="31">
        <f>IF($U109="","",MAX($W109,SUMIFS(매출원본!$AT$8:$AT$2007,매출원본!$AY$8:$AY$2007,$A109,매출원본!$AS$8:$AS$2007,"&gt;="&amp;(설정!$B$5-설정!$B$8),매출원본!$AS$8:$AS$2007,"&lt;="&amp;설정!$B$5)))</f>
        <v/>
      </c>
      <c r="AC109" s="31">
        <f>IF(OR($U109="",$T109=""),"",INDEX(거래처설정!$J$8:$J$407,$T109))</f>
        <v/>
      </c>
      <c r="AD109" s="31">
        <f>IF(OR($U109="",$T109=""),"",INDEX(거래처설정!$K$8:$K$407,$T109))</f>
        <v/>
      </c>
      <c r="AE109" s="31">
        <f>IF($U109="","",IF(LEN(SUBSTITUTE(SUBSTITUTE(SUBSTITUTE(SUBSTITUTE(SUBSTITUTE(SUBSTITUTE(SUBSTITUTE(SUBSTITUTE(SUBSTITUTE($C109," ",""),"　",""),"(주)",""),"（주）",""),"㈜",""),"주식회사",""),"(유)",""),"（유）",""),"유한회사",""))&lt;2,"",SUBSTITUTE(SUBSTITUTE(SUBSTITUTE(SUBSTITUTE(SUBSTITUTE(SUBSTITUTE(SUBSTITUTE(SUBSTITUTE(SUBSTITUTE($C109," ",""),"　",""),"(주)",""),"（주）",""),"㈜",""),"주식회사",""),"(유)",""),"（유）",""),"유한회사","")))</f>
        <v/>
      </c>
    </row>
    <row r="110">
      <c r="A110" s="38">
        <f>IF($U110="","",103)</f>
        <v/>
      </c>
      <c r="B110" s="38">
        <f>IF($U110="","",IF(LEN(INDEX(매출원본!$AU$8:$AU$2007,$U110))=10,LEFT(INDEX(매출원본!$AU$8:$AU$2007,$U110),3)&amp;"-"&amp;MID(INDEX(매출원본!$AU$8:$AU$2007,$U110),4,2)&amp;"-"&amp;RIGHT(INDEX(매출원본!$AU$8:$AU$2007,$U110),5),IF(LEFT(INDEX(매출원본!$AU$8:$AU$2007,$U110),2)="N:","(번호 없음)",INDEX(매출원본!$AU$8:$AU$2007,$U110))))</f>
        <v/>
      </c>
      <c r="C110" s="38">
        <f>IF($U110="","",INDEX(매출원본!$AV$8:$AV$2007,$U110))</f>
        <v/>
      </c>
      <c r="D110" s="39">
        <f>IF($U110="","",IF($T110="",0,N(INDEX(거래처설정!$E$8:$E$407,$T110))))</f>
        <v/>
      </c>
      <c r="E110" s="39">
        <f>IF($U110="","",SUMIFS(매출원본!$AT$8:$AT$2007,매출원본!$AY$8:$AY$2007,$A110,매출원본!$AS$8:$AS$2007,"&lt;="&amp;설정!$B$5))</f>
        <v/>
      </c>
      <c r="F110" s="39">
        <f>IF($U110="","",SUMIFS(입금_은행1!$Z$8:$Z$2007,입금_은행1!$AC$8:$AC$2007,$A110,입금_은행1!$Y$8:$Y$2007,"&lt;="&amp;설정!$B$5)+SUMIFS(입금_은행2!$Z$8:$Z$2007,입금_은행2!$AC$8:$AC$2007,$A110,입금_은행2!$Y$8:$Y$2007,"&lt;="&amp;설정!$B$5))</f>
        <v/>
      </c>
      <c r="G110" s="39">
        <f>IF($U110="","",$D110+$E110-$F110)</f>
        <v/>
      </c>
      <c r="H110" s="39">
        <f>IF($U110="","",MIN(MAX($G110,0),$V110))</f>
        <v/>
      </c>
      <c r="I110" s="39">
        <f>IF($U110="","",MIN(MAX($G110,0),$W110)-MIN(MAX($G110,0),$V110))</f>
        <v/>
      </c>
      <c r="J110" s="39">
        <f>IF($U110="","",MIN(MAX($G110,0),$X110)-MIN(MAX($G110,0),$W110))</f>
        <v/>
      </c>
      <c r="K110" s="39">
        <f>IF($U110="","",MAX($G110,0)-MIN(MAX($G110,0),$X110))</f>
        <v/>
      </c>
      <c r="L110" s="40">
        <f>IF($U110="","",IF(MAX(SUMPRODUCT(MAX((입금_은행1!$AC$8:$AC$2007=$A110)*(입금_은행1!$AE$8:$AE$2007&lt;=설정!$B$5)*입금_은행1!$AE$8:$AE$2007)),SUMPRODUCT(MAX((입금_은행2!$AC$8:$AC$2007=$A110)*(입금_은행2!$AE$8:$AE$2007&lt;=설정!$B$5)*입금_은행2!$AE$8:$AE$2007)))=0,"",MAX(SUMPRODUCT(MAX((입금_은행1!$AC$8:$AC$2007=$A110)*(입금_은행1!$AE$8:$AE$2007&lt;=설정!$B$5)*입금_은행1!$AE$8:$AE$2007)),SUMPRODUCT(MAX((입금_은행2!$AC$8:$AC$2007=$A110)*(입금_은행2!$AE$8:$AE$2007&lt;=설정!$B$5)*입금_은행2!$AE$8:$AE$2007)))))</f>
        <v/>
      </c>
      <c r="M110" s="38">
        <f>IF($U110="","",IF($T110="","",IF(INDEX(거래처설정!$F$8:$F$407,$T110)="","",INDEX(거래처설정!$F$8:$F$407,$T110))))</f>
        <v/>
      </c>
      <c r="N110" s="38">
        <f>IF($U110="","",IF($T110="","",IF(INDEX(거래처설정!$G$8:$G$407,$T110)="","",INDEX(거래처설정!$G$8:$G$407,$T110))))</f>
        <v/>
      </c>
      <c r="O110" s="38">
        <f>IF($U110="","",IF($M110="제외",0,IF($K110&gt;=설정!$B$9,3,IF($J110+$K110&gt;=설정!$B$9,2,IF($I110+$J110+$K110&gt;=설정!$B$9,1,0)))))</f>
        <v/>
      </c>
      <c r="P110" s="38">
        <f>IF($U110="","",IF($M110="제외","제외(조치 상태)",IF($O110=3,"③ 강한 독촉 후보 ("&amp;설정!$B$8&amp;"일 초과)",IF($O110=2,"② 독촉 후보 ("&amp;설정!$B$7&amp;"일 초과)",IF($O110=1,"① 안내 후보 ("&amp;설정!$B$6&amp;"일 초과)",IF($G110&gt;0,IF($I110+$J110+$K110&gt;0,"오래된 잔액 있음 (최소 금액 미만)","정상 범위"),IF($G110&lt;0,"선수금·초과입금 — 확인","완납")))))))</f>
        <v/>
      </c>
      <c r="Q110" s="38">
        <f>IF($U110="","",IF($G110&lt;0,"입금이 매출보다 큼 — 선수금이거나 다른 거래처 입금이 섞였는지 확인",IF(AND($AE110&lt;&gt;"",COUNTIF($AE$8:$AE$307,"*"&amp;$AE110&amp;"*")&gt;1),"이름이 다른 거래처와 겹침 — 입금이 잘못 맞았을 수 있으니 별칭 확인",IF(AND($G110&gt;0,$F110=0),"입금 매칭 없음 — 입금자명이 다르면 [거래처설정]에 별칭 등록",""))))</f>
        <v/>
      </c>
      <c r="R110" s="31">
        <f>IF(OR($U110="",$G110&lt;=0),"",$G110-$A110/10000)</f>
        <v/>
      </c>
      <c r="S110" s="31">
        <f>IF(OR($U110="",$O110&lt;1),"",$O110*10^11+$I110+$J110+$K110-$A110/1000)</f>
        <v/>
      </c>
      <c r="T110" s="31">
        <f>IF($U110="","",IFERROR(MATCH(INDEX(매출원본!$AU$8:$AU$2007,$U110),거래처설정!$I$8:$I$407,0),""))</f>
        <v/>
      </c>
      <c r="U110" s="31">
        <f>IFERROR(MATCH(103,매출원본!$AW$8:$AW$2007,0),"")</f>
        <v/>
      </c>
      <c r="V110" s="31">
        <f>IF($U110="","",MAX(SUMIFS(매출원본!$AT$8:$AT$2007,매출원본!$AY$8:$AY$2007,$A110,매출원본!$AS$8:$AS$2007,"&gt;="&amp;(설정!$B$5-설정!$B$6),매출원본!$AS$8:$AS$2007,"&lt;="&amp;설정!$B$5),0))</f>
        <v/>
      </c>
      <c r="W110" s="31">
        <f>IF($U110="","",MAX($V110,SUMIFS(매출원본!$AT$8:$AT$2007,매출원본!$AY$8:$AY$2007,$A110,매출원본!$AS$8:$AS$2007,"&gt;="&amp;(설정!$B$5-설정!$B$7),매출원본!$AS$8:$AS$2007,"&lt;="&amp;설정!$B$5)))</f>
        <v/>
      </c>
      <c r="X110" s="31">
        <f>IF($U110="","",MAX($W110,SUMIFS(매출원본!$AT$8:$AT$2007,매출원본!$AY$8:$AY$2007,$A110,매출원본!$AS$8:$AS$2007,"&gt;="&amp;(설정!$B$5-설정!$B$8),매출원본!$AS$8:$AS$2007,"&lt;="&amp;설정!$B$5)))</f>
        <v/>
      </c>
      <c r="AC110" s="31">
        <f>IF(OR($U110="",$T110=""),"",INDEX(거래처설정!$J$8:$J$407,$T110))</f>
        <v/>
      </c>
      <c r="AD110" s="31">
        <f>IF(OR($U110="",$T110=""),"",INDEX(거래처설정!$K$8:$K$407,$T110))</f>
        <v/>
      </c>
      <c r="AE110" s="31">
        <f>IF($U110="","",IF(LEN(SUBSTITUTE(SUBSTITUTE(SUBSTITUTE(SUBSTITUTE(SUBSTITUTE(SUBSTITUTE(SUBSTITUTE(SUBSTITUTE(SUBSTITUTE($C110," ",""),"　",""),"(주)",""),"（주）",""),"㈜",""),"주식회사",""),"(유)",""),"（유）",""),"유한회사",""))&lt;2,"",SUBSTITUTE(SUBSTITUTE(SUBSTITUTE(SUBSTITUTE(SUBSTITUTE(SUBSTITUTE(SUBSTITUTE(SUBSTITUTE(SUBSTITUTE($C110," ",""),"　",""),"(주)",""),"（주）",""),"㈜",""),"주식회사",""),"(유)",""),"（유）",""),"유한회사","")))</f>
        <v/>
      </c>
    </row>
    <row r="111">
      <c r="A111" s="38">
        <f>IF($U111="","",104)</f>
        <v/>
      </c>
      <c r="B111" s="38">
        <f>IF($U111="","",IF(LEN(INDEX(매출원본!$AU$8:$AU$2007,$U111))=10,LEFT(INDEX(매출원본!$AU$8:$AU$2007,$U111),3)&amp;"-"&amp;MID(INDEX(매출원본!$AU$8:$AU$2007,$U111),4,2)&amp;"-"&amp;RIGHT(INDEX(매출원본!$AU$8:$AU$2007,$U111),5),IF(LEFT(INDEX(매출원본!$AU$8:$AU$2007,$U111),2)="N:","(번호 없음)",INDEX(매출원본!$AU$8:$AU$2007,$U111))))</f>
        <v/>
      </c>
      <c r="C111" s="38">
        <f>IF($U111="","",INDEX(매출원본!$AV$8:$AV$2007,$U111))</f>
        <v/>
      </c>
      <c r="D111" s="39">
        <f>IF($U111="","",IF($T111="",0,N(INDEX(거래처설정!$E$8:$E$407,$T111))))</f>
        <v/>
      </c>
      <c r="E111" s="39">
        <f>IF($U111="","",SUMIFS(매출원본!$AT$8:$AT$2007,매출원본!$AY$8:$AY$2007,$A111,매출원본!$AS$8:$AS$2007,"&lt;="&amp;설정!$B$5))</f>
        <v/>
      </c>
      <c r="F111" s="39">
        <f>IF($U111="","",SUMIFS(입금_은행1!$Z$8:$Z$2007,입금_은행1!$AC$8:$AC$2007,$A111,입금_은행1!$Y$8:$Y$2007,"&lt;="&amp;설정!$B$5)+SUMIFS(입금_은행2!$Z$8:$Z$2007,입금_은행2!$AC$8:$AC$2007,$A111,입금_은행2!$Y$8:$Y$2007,"&lt;="&amp;설정!$B$5))</f>
        <v/>
      </c>
      <c r="G111" s="39">
        <f>IF($U111="","",$D111+$E111-$F111)</f>
        <v/>
      </c>
      <c r="H111" s="39">
        <f>IF($U111="","",MIN(MAX($G111,0),$V111))</f>
        <v/>
      </c>
      <c r="I111" s="39">
        <f>IF($U111="","",MIN(MAX($G111,0),$W111)-MIN(MAX($G111,0),$V111))</f>
        <v/>
      </c>
      <c r="J111" s="39">
        <f>IF($U111="","",MIN(MAX($G111,0),$X111)-MIN(MAX($G111,0),$W111))</f>
        <v/>
      </c>
      <c r="K111" s="39">
        <f>IF($U111="","",MAX($G111,0)-MIN(MAX($G111,0),$X111))</f>
        <v/>
      </c>
      <c r="L111" s="40">
        <f>IF($U111="","",IF(MAX(SUMPRODUCT(MAX((입금_은행1!$AC$8:$AC$2007=$A111)*(입금_은행1!$AE$8:$AE$2007&lt;=설정!$B$5)*입금_은행1!$AE$8:$AE$2007)),SUMPRODUCT(MAX((입금_은행2!$AC$8:$AC$2007=$A111)*(입금_은행2!$AE$8:$AE$2007&lt;=설정!$B$5)*입금_은행2!$AE$8:$AE$2007)))=0,"",MAX(SUMPRODUCT(MAX((입금_은행1!$AC$8:$AC$2007=$A111)*(입금_은행1!$AE$8:$AE$2007&lt;=설정!$B$5)*입금_은행1!$AE$8:$AE$2007)),SUMPRODUCT(MAX((입금_은행2!$AC$8:$AC$2007=$A111)*(입금_은행2!$AE$8:$AE$2007&lt;=설정!$B$5)*입금_은행2!$AE$8:$AE$2007)))))</f>
        <v/>
      </c>
      <c r="M111" s="38">
        <f>IF($U111="","",IF($T111="","",IF(INDEX(거래처설정!$F$8:$F$407,$T111)="","",INDEX(거래처설정!$F$8:$F$407,$T111))))</f>
        <v/>
      </c>
      <c r="N111" s="38">
        <f>IF($U111="","",IF($T111="","",IF(INDEX(거래처설정!$G$8:$G$407,$T111)="","",INDEX(거래처설정!$G$8:$G$407,$T111))))</f>
        <v/>
      </c>
      <c r="O111" s="38">
        <f>IF($U111="","",IF($M111="제외",0,IF($K111&gt;=설정!$B$9,3,IF($J111+$K111&gt;=설정!$B$9,2,IF($I111+$J111+$K111&gt;=설정!$B$9,1,0)))))</f>
        <v/>
      </c>
      <c r="P111" s="38">
        <f>IF($U111="","",IF($M111="제외","제외(조치 상태)",IF($O111=3,"③ 강한 독촉 후보 ("&amp;설정!$B$8&amp;"일 초과)",IF($O111=2,"② 독촉 후보 ("&amp;설정!$B$7&amp;"일 초과)",IF($O111=1,"① 안내 후보 ("&amp;설정!$B$6&amp;"일 초과)",IF($G111&gt;0,IF($I111+$J111+$K111&gt;0,"오래된 잔액 있음 (최소 금액 미만)","정상 범위"),IF($G111&lt;0,"선수금·초과입금 — 확인","완납")))))))</f>
        <v/>
      </c>
      <c r="Q111" s="38">
        <f>IF($U111="","",IF($G111&lt;0,"입금이 매출보다 큼 — 선수금이거나 다른 거래처 입금이 섞였는지 확인",IF(AND($AE111&lt;&gt;"",COUNTIF($AE$8:$AE$307,"*"&amp;$AE111&amp;"*")&gt;1),"이름이 다른 거래처와 겹침 — 입금이 잘못 맞았을 수 있으니 별칭 확인",IF(AND($G111&gt;0,$F111=0),"입금 매칭 없음 — 입금자명이 다르면 [거래처설정]에 별칭 등록",""))))</f>
        <v/>
      </c>
      <c r="R111" s="31">
        <f>IF(OR($U111="",$G111&lt;=0),"",$G111-$A111/10000)</f>
        <v/>
      </c>
      <c r="S111" s="31">
        <f>IF(OR($U111="",$O111&lt;1),"",$O111*10^11+$I111+$J111+$K111-$A111/1000)</f>
        <v/>
      </c>
      <c r="T111" s="31">
        <f>IF($U111="","",IFERROR(MATCH(INDEX(매출원본!$AU$8:$AU$2007,$U111),거래처설정!$I$8:$I$407,0),""))</f>
        <v/>
      </c>
      <c r="U111" s="31">
        <f>IFERROR(MATCH(104,매출원본!$AW$8:$AW$2007,0),"")</f>
        <v/>
      </c>
      <c r="V111" s="31">
        <f>IF($U111="","",MAX(SUMIFS(매출원본!$AT$8:$AT$2007,매출원본!$AY$8:$AY$2007,$A111,매출원본!$AS$8:$AS$2007,"&gt;="&amp;(설정!$B$5-설정!$B$6),매출원본!$AS$8:$AS$2007,"&lt;="&amp;설정!$B$5),0))</f>
        <v/>
      </c>
      <c r="W111" s="31">
        <f>IF($U111="","",MAX($V111,SUMIFS(매출원본!$AT$8:$AT$2007,매출원본!$AY$8:$AY$2007,$A111,매출원본!$AS$8:$AS$2007,"&gt;="&amp;(설정!$B$5-설정!$B$7),매출원본!$AS$8:$AS$2007,"&lt;="&amp;설정!$B$5)))</f>
        <v/>
      </c>
      <c r="X111" s="31">
        <f>IF($U111="","",MAX($W111,SUMIFS(매출원본!$AT$8:$AT$2007,매출원본!$AY$8:$AY$2007,$A111,매출원본!$AS$8:$AS$2007,"&gt;="&amp;(설정!$B$5-설정!$B$8),매출원본!$AS$8:$AS$2007,"&lt;="&amp;설정!$B$5)))</f>
        <v/>
      </c>
      <c r="AC111" s="31">
        <f>IF(OR($U111="",$T111=""),"",INDEX(거래처설정!$J$8:$J$407,$T111))</f>
        <v/>
      </c>
      <c r="AD111" s="31">
        <f>IF(OR($U111="",$T111=""),"",INDEX(거래처설정!$K$8:$K$407,$T111))</f>
        <v/>
      </c>
      <c r="AE111" s="31">
        <f>IF($U111="","",IF(LEN(SUBSTITUTE(SUBSTITUTE(SUBSTITUTE(SUBSTITUTE(SUBSTITUTE(SUBSTITUTE(SUBSTITUTE(SUBSTITUTE(SUBSTITUTE($C111," ",""),"　",""),"(주)",""),"（주）",""),"㈜",""),"주식회사",""),"(유)",""),"（유）",""),"유한회사",""))&lt;2,"",SUBSTITUTE(SUBSTITUTE(SUBSTITUTE(SUBSTITUTE(SUBSTITUTE(SUBSTITUTE(SUBSTITUTE(SUBSTITUTE(SUBSTITUTE($C111," ",""),"　",""),"(주)",""),"（주）",""),"㈜",""),"주식회사",""),"(유)",""),"（유）",""),"유한회사","")))</f>
        <v/>
      </c>
    </row>
    <row r="112">
      <c r="A112" s="38">
        <f>IF($U112="","",105)</f>
        <v/>
      </c>
      <c r="B112" s="38">
        <f>IF($U112="","",IF(LEN(INDEX(매출원본!$AU$8:$AU$2007,$U112))=10,LEFT(INDEX(매출원본!$AU$8:$AU$2007,$U112),3)&amp;"-"&amp;MID(INDEX(매출원본!$AU$8:$AU$2007,$U112),4,2)&amp;"-"&amp;RIGHT(INDEX(매출원본!$AU$8:$AU$2007,$U112),5),IF(LEFT(INDEX(매출원본!$AU$8:$AU$2007,$U112),2)="N:","(번호 없음)",INDEX(매출원본!$AU$8:$AU$2007,$U112))))</f>
        <v/>
      </c>
      <c r="C112" s="38">
        <f>IF($U112="","",INDEX(매출원본!$AV$8:$AV$2007,$U112))</f>
        <v/>
      </c>
      <c r="D112" s="39">
        <f>IF($U112="","",IF($T112="",0,N(INDEX(거래처설정!$E$8:$E$407,$T112))))</f>
        <v/>
      </c>
      <c r="E112" s="39">
        <f>IF($U112="","",SUMIFS(매출원본!$AT$8:$AT$2007,매출원본!$AY$8:$AY$2007,$A112,매출원본!$AS$8:$AS$2007,"&lt;="&amp;설정!$B$5))</f>
        <v/>
      </c>
      <c r="F112" s="39">
        <f>IF($U112="","",SUMIFS(입금_은행1!$Z$8:$Z$2007,입금_은행1!$AC$8:$AC$2007,$A112,입금_은행1!$Y$8:$Y$2007,"&lt;="&amp;설정!$B$5)+SUMIFS(입금_은행2!$Z$8:$Z$2007,입금_은행2!$AC$8:$AC$2007,$A112,입금_은행2!$Y$8:$Y$2007,"&lt;="&amp;설정!$B$5))</f>
        <v/>
      </c>
      <c r="G112" s="39">
        <f>IF($U112="","",$D112+$E112-$F112)</f>
        <v/>
      </c>
      <c r="H112" s="39">
        <f>IF($U112="","",MIN(MAX($G112,0),$V112))</f>
        <v/>
      </c>
      <c r="I112" s="39">
        <f>IF($U112="","",MIN(MAX($G112,0),$W112)-MIN(MAX($G112,0),$V112))</f>
        <v/>
      </c>
      <c r="J112" s="39">
        <f>IF($U112="","",MIN(MAX($G112,0),$X112)-MIN(MAX($G112,0),$W112))</f>
        <v/>
      </c>
      <c r="K112" s="39">
        <f>IF($U112="","",MAX($G112,0)-MIN(MAX($G112,0),$X112))</f>
        <v/>
      </c>
      <c r="L112" s="40">
        <f>IF($U112="","",IF(MAX(SUMPRODUCT(MAX((입금_은행1!$AC$8:$AC$2007=$A112)*(입금_은행1!$AE$8:$AE$2007&lt;=설정!$B$5)*입금_은행1!$AE$8:$AE$2007)),SUMPRODUCT(MAX((입금_은행2!$AC$8:$AC$2007=$A112)*(입금_은행2!$AE$8:$AE$2007&lt;=설정!$B$5)*입금_은행2!$AE$8:$AE$2007)))=0,"",MAX(SUMPRODUCT(MAX((입금_은행1!$AC$8:$AC$2007=$A112)*(입금_은행1!$AE$8:$AE$2007&lt;=설정!$B$5)*입금_은행1!$AE$8:$AE$2007)),SUMPRODUCT(MAX((입금_은행2!$AC$8:$AC$2007=$A112)*(입금_은행2!$AE$8:$AE$2007&lt;=설정!$B$5)*입금_은행2!$AE$8:$AE$2007)))))</f>
        <v/>
      </c>
      <c r="M112" s="38">
        <f>IF($U112="","",IF($T112="","",IF(INDEX(거래처설정!$F$8:$F$407,$T112)="","",INDEX(거래처설정!$F$8:$F$407,$T112))))</f>
        <v/>
      </c>
      <c r="N112" s="38">
        <f>IF($U112="","",IF($T112="","",IF(INDEX(거래처설정!$G$8:$G$407,$T112)="","",INDEX(거래처설정!$G$8:$G$407,$T112))))</f>
        <v/>
      </c>
      <c r="O112" s="38">
        <f>IF($U112="","",IF($M112="제외",0,IF($K112&gt;=설정!$B$9,3,IF($J112+$K112&gt;=설정!$B$9,2,IF($I112+$J112+$K112&gt;=설정!$B$9,1,0)))))</f>
        <v/>
      </c>
      <c r="P112" s="38">
        <f>IF($U112="","",IF($M112="제외","제외(조치 상태)",IF($O112=3,"③ 강한 독촉 후보 ("&amp;설정!$B$8&amp;"일 초과)",IF($O112=2,"② 독촉 후보 ("&amp;설정!$B$7&amp;"일 초과)",IF($O112=1,"① 안내 후보 ("&amp;설정!$B$6&amp;"일 초과)",IF($G112&gt;0,IF($I112+$J112+$K112&gt;0,"오래된 잔액 있음 (최소 금액 미만)","정상 범위"),IF($G112&lt;0,"선수금·초과입금 — 확인","완납")))))))</f>
        <v/>
      </c>
      <c r="Q112" s="38">
        <f>IF($U112="","",IF($G112&lt;0,"입금이 매출보다 큼 — 선수금이거나 다른 거래처 입금이 섞였는지 확인",IF(AND($AE112&lt;&gt;"",COUNTIF($AE$8:$AE$307,"*"&amp;$AE112&amp;"*")&gt;1),"이름이 다른 거래처와 겹침 — 입금이 잘못 맞았을 수 있으니 별칭 확인",IF(AND($G112&gt;0,$F112=0),"입금 매칭 없음 — 입금자명이 다르면 [거래처설정]에 별칭 등록",""))))</f>
        <v/>
      </c>
      <c r="R112" s="31">
        <f>IF(OR($U112="",$G112&lt;=0),"",$G112-$A112/10000)</f>
        <v/>
      </c>
      <c r="S112" s="31">
        <f>IF(OR($U112="",$O112&lt;1),"",$O112*10^11+$I112+$J112+$K112-$A112/1000)</f>
        <v/>
      </c>
      <c r="T112" s="31">
        <f>IF($U112="","",IFERROR(MATCH(INDEX(매출원본!$AU$8:$AU$2007,$U112),거래처설정!$I$8:$I$407,0),""))</f>
        <v/>
      </c>
      <c r="U112" s="31">
        <f>IFERROR(MATCH(105,매출원본!$AW$8:$AW$2007,0),"")</f>
        <v/>
      </c>
      <c r="V112" s="31">
        <f>IF($U112="","",MAX(SUMIFS(매출원본!$AT$8:$AT$2007,매출원본!$AY$8:$AY$2007,$A112,매출원본!$AS$8:$AS$2007,"&gt;="&amp;(설정!$B$5-설정!$B$6),매출원본!$AS$8:$AS$2007,"&lt;="&amp;설정!$B$5),0))</f>
        <v/>
      </c>
      <c r="W112" s="31">
        <f>IF($U112="","",MAX($V112,SUMIFS(매출원본!$AT$8:$AT$2007,매출원본!$AY$8:$AY$2007,$A112,매출원본!$AS$8:$AS$2007,"&gt;="&amp;(설정!$B$5-설정!$B$7),매출원본!$AS$8:$AS$2007,"&lt;="&amp;설정!$B$5)))</f>
        <v/>
      </c>
      <c r="X112" s="31">
        <f>IF($U112="","",MAX($W112,SUMIFS(매출원본!$AT$8:$AT$2007,매출원본!$AY$8:$AY$2007,$A112,매출원본!$AS$8:$AS$2007,"&gt;="&amp;(설정!$B$5-설정!$B$8),매출원본!$AS$8:$AS$2007,"&lt;="&amp;설정!$B$5)))</f>
        <v/>
      </c>
      <c r="AC112" s="31">
        <f>IF(OR($U112="",$T112=""),"",INDEX(거래처설정!$J$8:$J$407,$T112))</f>
        <v/>
      </c>
      <c r="AD112" s="31">
        <f>IF(OR($U112="",$T112=""),"",INDEX(거래처설정!$K$8:$K$407,$T112))</f>
        <v/>
      </c>
      <c r="AE112" s="31">
        <f>IF($U112="","",IF(LEN(SUBSTITUTE(SUBSTITUTE(SUBSTITUTE(SUBSTITUTE(SUBSTITUTE(SUBSTITUTE(SUBSTITUTE(SUBSTITUTE(SUBSTITUTE($C112," ",""),"　",""),"(주)",""),"（주）",""),"㈜",""),"주식회사",""),"(유)",""),"（유）",""),"유한회사",""))&lt;2,"",SUBSTITUTE(SUBSTITUTE(SUBSTITUTE(SUBSTITUTE(SUBSTITUTE(SUBSTITUTE(SUBSTITUTE(SUBSTITUTE(SUBSTITUTE($C112," ",""),"　",""),"(주)",""),"（주）",""),"㈜",""),"주식회사",""),"(유)",""),"（유）",""),"유한회사","")))</f>
        <v/>
      </c>
    </row>
    <row r="113">
      <c r="A113" s="38">
        <f>IF($U113="","",106)</f>
        <v/>
      </c>
      <c r="B113" s="38">
        <f>IF($U113="","",IF(LEN(INDEX(매출원본!$AU$8:$AU$2007,$U113))=10,LEFT(INDEX(매출원본!$AU$8:$AU$2007,$U113),3)&amp;"-"&amp;MID(INDEX(매출원본!$AU$8:$AU$2007,$U113),4,2)&amp;"-"&amp;RIGHT(INDEX(매출원본!$AU$8:$AU$2007,$U113),5),IF(LEFT(INDEX(매출원본!$AU$8:$AU$2007,$U113),2)="N:","(번호 없음)",INDEX(매출원본!$AU$8:$AU$2007,$U113))))</f>
        <v/>
      </c>
      <c r="C113" s="38">
        <f>IF($U113="","",INDEX(매출원본!$AV$8:$AV$2007,$U113))</f>
        <v/>
      </c>
      <c r="D113" s="39">
        <f>IF($U113="","",IF($T113="",0,N(INDEX(거래처설정!$E$8:$E$407,$T113))))</f>
        <v/>
      </c>
      <c r="E113" s="39">
        <f>IF($U113="","",SUMIFS(매출원본!$AT$8:$AT$2007,매출원본!$AY$8:$AY$2007,$A113,매출원본!$AS$8:$AS$2007,"&lt;="&amp;설정!$B$5))</f>
        <v/>
      </c>
      <c r="F113" s="39">
        <f>IF($U113="","",SUMIFS(입금_은행1!$Z$8:$Z$2007,입금_은행1!$AC$8:$AC$2007,$A113,입금_은행1!$Y$8:$Y$2007,"&lt;="&amp;설정!$B$5)+SUMIFS(입금_은행2!$Z$8:$Z$2007,입금_은행2!$AC$8:$AC$2007,$A113,입금_은행2!$Y$8:$Y$2007,"&lt;="&amp;설정!$B$5))</f>
        <v/>
      </c>
      <c r="G113" s="39">
        <f>IF($U113="","",$D113+$E113-$F113)</f>
        <v/>
      </c>
      <c r="H113" s="39">
        <f>IF($U113="","",MIN(MAX($G113,0),$V113))</f>
        <v/>
      </c>
      <c r="I113" s="39">
        <f>IF($U113="","",MIN(MAX($G113,0),$W113)-MIN(MAX($G113,0),$V113))</f>
        <v/>
      </c>
      <c r="J113" s="39">
        <f>IF($U113="","",MIN(MAX($G113,0),$X113)-MIN(MAX($G113,0),$W113))</f>
        <v/>
      </c>
      <c r="K113" s="39">
        <f>IF($U113="","",MAX($G113,0)-MIN(MAX($G113,0),$X113))</f>
        <v/>
      </c>
      <c r="L113" s="40">
        <f>IF($U113="","",IF(MAX(SUMPRODUCT(MAX((입금_은행1!$AC$8:$AC$2007=$A113)*(입금_은행1!$AE$8:$AE$2007&lt;=설정!$B$5)*입금_은행1!$AE$8:$AE$2007)),SUMPRODUCT(MAX((입금_은행2!$AC$8:$AC$2007=$A113)*(입금_은행2!$AE$8:$AE$2007&lt;=설정!$B$5)*입금_은행2!$AE$8:$AE$2007)))=0,"",MAX(SUMPRODUCT(MAX((입금_은행1!$AC$8:$AC$2007=$A113)*(입금_은행1!$AE$8:$AE$2007&lt;=설정!$B$5)*입금_은행1!$AE$8:$AE$2007)),SUMPRODUCT(MAX((입금_은행2!$AC$8:$AC$2007=$A113)*(입금_은행2!$AE$8:$AE$2007&lt;=설정!$B$5)*입금_은행2!$AE$8:$AE$2007)))))</f>
        <v/>
      </c>
      <c r="M113" s="38">
        <f>IF($U113="","",IF($T113="","",IF(INDEX(거래처설정!$F$8:$F$407,$T113)="","",INDEX(거래처설정!$F$8:$F$407,$T113))))</f>
        <v/>
      </c>
      <c r="N113" s="38">
        <f>IF($U113="","",IF($T113="","",IF(INDEX(거래처설정!$G$8:$G$407,$T113)="","",INDEX(거래처설정!$G$8:$G$407,$T113))))</f>
        <v/>
      </c>
      <c r="O113" s="38">
        <f>IF($U113="","",IF($M113="제외",0,IF($K113&gt;=설정!$B$9,3,IF($J113+$K113&gt;=설정!$B$9,2,IF($I113+$J113+$K113&gt;=설정!$B$9,1,0)))))</f>
        <v/>
      </c>
      <c r="P113" s="38">
        <f>IF($U113="","",IF($M113="제외","제외(조치 상태)",IF($O113=3,"③ 강한 독촉 후보 ("&amp;설정!$B$8&amp;"일 초과)",IF($O113=2,"② 독촉 후보 ("&amp;설정!$B$7&amp;"일 초과)",IF($O113=1,"① 안내 후보 ("&amp;설정!$B$6&amp;"일 초과)",IF($G113&gt;0,IF($I113+$J113+$K113&gt;0,"오래된 잔액 있음 (최소 금액 미만)","정상 범위"),IF($G113&lt;0,"선수금·초과입금 — 확인","완납")))))))</f>
        <v/>
      </c>
      <c r="Q113" s="38">
        <f>IF($U113="","",IF($G113&lt;0,"입금이 매출보다 큼 — 선수금이거나 다른 거래처 입금이 섞였는지 확인",IF(AND($AE113&lt;&gt;"",COUNTIF($AE$8:$AE$307,"*"&amp;$AE113&amp;"*")&gt;1),"이름이 다른 거래처와 겹침 — 입금이 잘못 맞았을 수 있으니 별칭 확인",IF(AND($G113&gt;0,$F113=0),"입금 매칭 없음 — 입금자명이 다르면 [거래처설정]에 별칭 등록",""))))</f>
        <v/>
      </c>
      <c r="R113" s="31">
        <f>IF(OR($U113="",$G113&lt;=0),"",$G113-$A113/10000)</f>
        <v/>
      </c>
      <c r="S113" s="31">
        <f>IF(OR($U113="",$O113&lt;1),"",$O113*10^11+$I113+$J113+$K113-$A113/1000)</f>
        <v/>
      </c>
      <c r="T113" s="31">
        <f>IF($U113="","",IFERROR(MATCH(INDEX(매출원본!$AU$8:$AU$2007,$U113),거래처설정!$I$8:$I$407,0),""))</f>
        <v/>
      </c>
      <c r="U113" s="31">
        <f>IFERROR(MATCH(106,매출원본!$AW$8:$AW$2007,0),"")</f>
        <v/>
      </c>
      <c r="V113" s="31">
        <f>IF($U113="","",MAX(SUMIFS(매출원본!$AT$8:$AT$2007,매출원본!$AY$8:$AY$2007,$A113,매출원본!$AS$8:$AS$2007,"&gt;="&amp;(설정!$B$5-설정!$B$6),매출원본!$AS$8:$AS$2007,"&lt;="&amp;설정!$B$5),0))</f>
        <v/>
      </c>
      <c r="W113" s="31">
        <f>IF($U113="","",MAX($V113,SUMIFS(매출원본!$AT$8:$AT$2007,매출원본!$AY$8:$AY$2007,$A113,매출원본!$AS$8:$AS$2007,"&gt;="&amp;(설정!$B$5-설정!$B$7),매출원본!$AS$8:$AS$2007,"&lt;="&amp;설정!$B$5)))</f>
        <v/>
      </c>
      <c r="X113" s="31">
        <f>IF($U113="","",MAX($W113,SUMIFS(매출원본!$AT$8:$AT$2007,매출원본!$AY$8:$AY$2007,$A113,매출원본!$AS$8:$AS$2007,"&gt;="&amp;(설정!$B$5-설정!$B$8),매출원본!$AS$8:$AS$2007,"&lt;="&amp;설정!$B$5)))</f>
        <v/>
      </c>
      <c r="AC113" s="31">
        <f>IF(OR($U113="",$T113=""),"",INDEX(거래처설정!$J$8:$J$407,$T113))</f>
        <v/>
      </c>
      <c r="AD113" s="31">
        <f>IF(OR($U113="",$T113=""),"",INDEX(거래처설정!$K$8:$K$407,$T113))</f>
        <v/>
      </c>
      <c r="AE113" s="31">
        <f>IF($U113="","",IF(LEN(SUBSTITUTE(SUBSTITUTE(SUBSTITUTE(SUBSTITUTE(SUBSTITUTE(SUBSTITUTE(SUBSTITUTE(SUBSTITUTE(SUBSTITUTE($C113," ",""),"　",""),"(주)",""),"（주）",""),"㈜",""),"주식회사",""),"(유)",""),"（유）",""),"유한회사",""))&lt;2,"",SUBSTITUTE(SUBSTITUTE(SUBSTITUTE(SUBSTITUTE(SUBSTITUTE(SUBSTITUTE(SUBSTITUTE(SUBSTITUTE(SUBSTITUTE($C113," ",""),"　",""),"(주)",""),"（주）",""),"㈜",""),"주식회사",""),"(유)",""),"（유）",""),"유한회사","")))</f>
        <v/>
      </c>
    </row>
    <row r="114">
      <c r="A114" s="38">
        <f>IF($U114="","",107)</f>
        <v/>
      </c>
      <c r="B114" s="38">
        <f>IF($U114="","",IF(LEN(INDEX(매출원본!$AU$8:$AU$2007,$U114))=10,LEFT(INDEX(매출원본!$AU$8:$AU$2007,$U114),3)&amp;"-"&amp;MID(INDEX(매출원본!$AU$8:$AU$2007,$U114),4,2)&amp;"-"&amp;RIGHT(INDEX(매출원본!$AU$8:$AU$2007,$U114),5),IF(LEFT(INDEX(매출원본!$AU$8:$AU$2007,$U114),2)="N:","(번호 없음)",INDEX(매출원본!$AU$8:$AU$2007,$U114))))</f>
        <v/>
      </c>
      <c r="C114" s="38">
        <f>IF($U114="","",INDEX(매출원본!$AV$8:$AV$2007,$U114))</f>
        <v/>
      </c>
      <c r="D114" s="39">
        <f>IF($U114="","",IF($T114="",0,N(INDEX(거래처설정!$E$8:$E$407,$T114))))</f>
        <v/>
      </c>
      <c r="E114" s="39">
        <f>IF($U114="","",SUMIFS(매출원본!$AT$8:$AT$2007,매출원본!$AY$8:$AY$2007,$A114,매출원본!$AS$8:$AS$2007,"&lt;="&amp;설정!$B$5))</f>
        <v/>
      </c>
      <c r="F114" s="39">
        <f>IF($U114="","",SUMIFS(입금_은행1!$Z$8:$Z$2007,입금_은행1!$AC$8:$AC$2007,$A114,입금_은행1!$Y$8:$Y$2007,"&lt;="&amp;설정!$B$5)+SUMIFS(입금_은행2!$Z$8:$Z$2007,입금_은행2!$AC$8:$AC$2007,$A114,입금_은행2!$Y$8:$Y$2007,"&lt;="&amp;설정!$B$5))</f>
        <v/>
      </c>
      <c r="G114" s="39">
        <f>IF($U114="","",$D114+$E114-$F114)</f>
        <v/>
      </c>
      <c r="H114" s="39">
        <f>IF($U114="","",MIN(MAX($G114,0),$V114))</f>
        <v/>
      </c>
      <c r="I114" s="39">
        <f>IF($U114="","",MIN(MAX($G114,0),$W114)-MIN(MAX($G114,0),$V114))</f>
        <v/>
      </c>
      <c r="J114" s="39">
        <f>IF($U114="","",MIN(MAX($G114,0),$X114)-MIN(MAX($G114,0),$W114))</f>
        <v/>
      </c>
      <c r="K114" s="39">
        <f>IF($U114="","",MAX($G114,0)-MIN(MAX($G114,0),$X114))</f>
        <v/>
      </c>
      <c r="L114" s="40">
        <f>IF($U114="","",IF(MAX(SUMPRODUCT(MAX((입금_은행1!$AC$8:$AC$2007=$A114)*(입금_은행1!$AE$8:$AE$2007&lt;=설정!$B$5)*입금_은행1!$AE$8:$AE$2007)),SUMPRODUCT(MAX((입금_은행2!$AC$8:$AC$2007=$A114)*(입금_은행2!$AE$8:$AE$2007&lt;=설정!$B$5)*입금_은행2!$AE$8:$AE$2007)))=0,"",MAX(SUMPRODUCT(MAX((입금_은행1!$AC$8:$AC$2007=$A114)*(입금_은행1!$AE$8:$AE$2007&lt;=설정!$B$5)*입금_은행1!$AE$8:$AE$2007)),SUMPRODUCT(MAX((입금_은행2!$AC$8:$AC$2007=$A114)*(입금_은행2!$AE$8:$AE$2007&lt;=설정!$B$5)*입금_은행2!$AE$8:$AE$2007)))))</f>
        <v/>
      </c>
      <c r="M114" s="38">
        <f>IF($U114="","",IF($T114="","",IF(INDEX(거래처설정!$F$8:$F$407,$T114)="","",INDEX(거래처설정!$F$8:$F$407,$T114))))</f>
        <v/>
      </c>
      <c r="N114" s="38">
        <f>IF($U114="","",IF($T114="","",IF(INDEX(거래처설정!$G$8:$G$407,$T114)="","",INDEX(거래처설정!$G$8:$G$407,$T114))))</f>
        <v/>
      </c>
      <c r="O114" s="38">
        <f>IF($U114="","",IF($M114="제외",0,IF($K114&gt;=설정!$B$9,3,IF($J114+$K114&gt;=설정!$B$9,2,IF($I114+$J114+$K114&gt;=설정!$B$9,1,0)))))</f>
        <v/>
      </c>
      <c r="P114" s="38">
        <f>IF($U114="","",IF($M114="제외","제외(조치 상태)",IF($O114=3,"③ 강한 독촉 후보 ("&amp;설정!$B$8&amp;"일 초과)",IF($O114=2,"② 독촉 후보 ("&amp;설정!$B$7&amp;"일 초과)",IF($O114=1,"① 안내 후보 ("&amp;설정!$B$6&amp;"일 초과)",IF($G114&gt;0,IF($I114+$J114+$K114&gt;0,"오래된 잔액 있음 (최소 금액 미만)","정상 범위"),IF($G114&lt;0,"선수금·초과입금 — 확인","완납")))))))</f>
        <v/>
      </c>
      <c r="Q114" s="38">
        <f>IF($U114="","",IF($G114&lt;0,"입금이 매출보다 큼 — 선수금이거나 다른 거래처 입금이 섞였는지 확인",IF(AND($AE114&lt;&gt;"",COUNTIF($AE$8:$AE$307,"*"&amp;$AE114&amp;"*")&gt;1),"이름이 다른 거래처와 겹침 — 입금이 잘못 맞았을 수 있으니 별칭 확인",IF(AND($G114&gt;0,$F114=0),"입금 매칭 없음 — 입금자명이 다르면 [거래처설정]에 별칭 등록",""))))</f>
        <v/>
      </c>
      <c r="R114" s="31">
        <f>IF(OR($U114="",$G114&lt;=0),"",$G114-$A114/10000)</f>
        <v/>
      </c>
      <c r="S114" s="31">
        <f>IF(OR($U114="",$O114&lt;1),"",$O114*10^11+$I114+$J114+$K114-$A114/1000)</f>
        <v/>
      </c>
      <c r="T114" s="31">
        <f>IF($U114="","",IFERROR(MATCH(INDEX(매출원본!$AU$8:$AU$2007,$U114),거래처설정!$I$8:$I$407,0),""))</f>
        <v/>
      </c>
      <c r="U114" s="31">
        <f>IFERROR(MATCH(107,매출원본!$AW$8:$AW$2007,0),"")</f>
        <v/>
      </c>
      <c r="V114" s="31">
        <f>IF($U114="","",MAX(SUMIFS(매출원본!$AT$8:$AT$2007,매출원본!$AY$8:$AY$2007,$A114,매출원본!$AS$8:$AS$2007,"&gt;="&amp;(설정!$B$5-설정!$B$6),매출원본!$AS$8:$AS$2007,"&lt;="&amp;설정!$B$5),0))</f>
        <v/>
      </c>
      <c r="W114" s="31">
        <f>IF($U114="","",MAX($V114,SUMIFS(매출원본!$AT$8:$AT$2007,매출원본!$AY$8:$AY$2007,$A114,매출원본!$AS$8:$AS$2007,"&gt;="&amp;(설정!$B$5-설정!$B$7),매출원본!$AS$8:$AS$2007,"&lt;="&amp;설정!$B$5)))</f>
        <v/>
      </c>
      <c r="X114" s="31">
        <f>IF($U114="","",MAX($W114,SUMIFS(매출원본!$AT$8:$AT$2007,매출원본!$AY$8:$AY$2007,$A114,매출원본!$AS$8:$AS$2007,"&gt;="&amp;(설정!$B$5-설정!$B$8),매출원본!$AS$8:$AS$2007,"&lt;="&amp;설정!$B$5)))</f>
        <v/>
      </c>
      <c r="AC114" s="31">
        <f>IF(OR($U114="",$T114=""),"",INDEX(거래처설정!$J$8:$J$407,$T114))</f>
        <v/>
      </c>
      <c r="AD114" s="31">
        <f>IF(OR($U114="",$T114=""),"",INDEX(거래처설정!$K$8:$K$407,$T114))</f>
        <v/>
      </c>
      <c r="AE114" s="31">
        <f>IF($U114="","",IF(LEN(SUBSTITUTE(SUBSTITUTE(SUBSTITUTE(SUBSTITUTE(SUBSTITUTE(SUBSTITUTE(SUBSTITUTE(SUBSTITUTE(SUBSTITUTE($C114," ",""),"　",""),"(주)",""),"（주）",""),"㈜",""),"주식회사",""),"(유)",""),"（유）",""),"유한회사",""))&lt;2,"",SUBSTITUTE(SUBSTITUTE(SUBSTITUTE(SUBSTITUTE(SUBSTITUTE(SUBSTITUTE(SUBSTITUTE(SUBSTITUTE(SUBSTITUTE($C114," ",""),"　",""),"(주)",""),"（주）",""),"㈜",""),"주식회사",""),"(유)",""),"（유）",""),"유한회사","")))</f>
        <v/>
      </c>
    </row>
    <row r="115">
      <c r="A115" s="38">
        <f>IF($U115="","",108)</f>
        <v/>
      </c>
      <c r="B115" s="38">
        <f>IF($U115="","",IF(LEN(INDEX(매출원본!$AU$8:$AU$2007,$U115))=10,LEFT(INDEX(매출원본!$AU$8:$AU$2007,$U115),3)&amp;"-"&amp;MID(INDEX(매출원본!$AU$8:$AU$2007,$U115),4,2)&amp;"-"&amp;RIGHT(INDEX(매출원본!$AU$8:$AU$2007,$U115),5),IF(LEFT(INDEX(매출원본!$AU$8:$AU$2007,$U115),2)="N:","(번호 없음)",INDEX(매출원본!$AU$8:$AU$2007,$U115))))</f>
        <v/>
      </c>
      <c r="C115" s="38">
        <f>IF($U115="","",INDEX(매출원본!$AV$8:$AV$2007,$U115))</f>
        <v/>
      </c>
      <c r="D115" s="39">
        <f>IF($U115="","",IF($T115="",0,N(INDEX(거래처설정!$E$8:$E$407,$T115))))</f>
        <v/>
      </c>
      <c r="E115" s="39">
        <f>IF($U115="","",SUMIFS(매출원본!$AT$8:$AT$2007,매출원본!$AY$8:$AY$2007,$A115,매출원본!$AS$8:$AS$2007,"&lt;="&amp;설정!$B$5))</f>
        <v/>
      </c>
      <c r="F115" s="39">
        <f>IF($U115="","",SUMIFS(입금_은행1!$Z$8:$Z$2007,입금_은행1!$AC$8:$AC$2007,$A115,입금_은행1!$Y$8:$Y$2007,"&lt;="&amp;설정!$B$5)+SUMIFS(입금_은행2!$Z$8:$Z$2007,입금_은행2!$AC$8:$AC$2007,$A115,입금_은행2!$Y$8:$Y$2007,"&lt;="&amp;설정!$B$5))</f>
        <v/>
      </c>
      <c r="G115" s="39">
        <f>IF($U115="","",$D115+$E115-$F115)</f>
        <v/>
      </c>
      <c r="H115" s="39">
        <f>IF($U115="","",MIN(MAX($G115,0),$V115))</f>
        <v/>
      </c>
      <c r="I115" s="39">
        <f>IF($U115="","",MIN(MAX($G115,0),$W115)-MIN(MAX($G115,0),$V115))</f>
        <v/>
      </c>
      <c r="J115" s="39">
        <f>IF($U115="","",MIN(MAX($G115,0),$X115)-MIN(MAX($G115,0),$W115))</f>
        <v/>
      </c>
      <c r="K115" s="39">
        <f>IF($U115="","",MAX($G115,0)-MIN(MAX($G115,0),$X115))</f>
        <v/>
      </c>
      <c r="L115" s="40">
        <f>IF($U115="","",IF(MAX(SUMPRODUCT(MAX((입금_은행1!$AC$8:$AC$2007=$A115)*(입금_은행1!$AE$8:$AE$2007&lt;=설정!$B$5)*입금_은행1!$AE$8:$AE$2007)),SUMPRODUCT(MAX((입금_은행2!$AC$8:$AC$2007=$A115)*(입금_은행2!$AE$8:$AE$2007&lt;=설정!$B$5)*입금_은행2!$AE$8:$AE$2007)))=0,"",MAX(SUMPRODUCT(MAX((입금_은행1!$AC$8:$AC$2007=$A115)*(입금_은행1!$AE$8:$AE$2007&lt;=설정!$B$5)*입금_은행1!$AE$8:$AE$2007)),SUMPRODUCT(MAX((입금_은행2!$AC$8:$AC$2007=$A115)*(입금_은행2!$AE$8:$AE$2007&lt;=설정!$B$5)*입금_은행2!$AE$8:$AE$2007)))))</f>
        <v/>
      </c>
      <c r="M115" s="38">
        <f>IF($U115="","",IF($T115="","",IF(INDEX(거래처설정!$F$8:$F$407,$T115)="","",INDEX(거래처설정!$F$8:$F$407,$T115))))</f>
        <v/>
      </c>
      <c r="N115" s="38">
        <f>IF($U115="","",IF($T115="","",IF(INDEX(거래처설정!$G$8:$G$407,$T115)="","",INDEX(거래처설정!$G$8:$G$407,$T115))))</f>
        <v/>
      </c>
      <c r="O115" s="38">
        <f>IF($U115="","",IF($M115="제외",0,IF($K115&gt;=설정!$B$9,3,IF($J115+$K115&gt;=설정!$B$9,2,IF($I115+$J115+$K115&gt;=설정!$B$9,1,0)))))</f>
        <v/>
      </c>
      <c r="P115" s="38">
        <f>IF($U115="","",IF($M115="제외","제외(조치 상태)",IF($O115=3,"③ 강한 독촉 후보 ("&amp;설정!$B$8&amp;"일 초과)",IF($O115=2,"② 독촉 후보 ("&amp;설정!$B$7&amp;"일 초과)",IF($O115=1,"① 안내 후보 ("&amp;설정!$B$6&amp;"일 초과)",IF($G115&gt;0,IF($I115+$J115+$K115&gt;0,"오래된 잔액 있음 (최소 금액 미만)","정상 범위"),IF($G115&lt;0,"선수금·초과입금 — 확인","완납")))))))</f>
        <v/>
      </c>
      <c r="Q115" s="38">
        <f>IF($U115="","",IF($G115&lt;0,"입금이 매출보다 큼 — 선수금이거나 다른 거래처 입금이 섞였는지 확인",IF(AND($AE115&lt;&gt;"",COUNTIF($AE$8:$AE$307,"*"&amp;$AE115&amp;"*")&gt;1),"이름이 다른 거래처와 겹침 — 입금이 잘못 맞았을 수 있으니 별칭 확인",IF(AND($G115&gt;0,$F115=0),"입금 매칭 없음 — 입금자명이 다르면 [거래처설정]에 별칭 등록",""))))</f>
        <v/>
      </c>
      <c r="R115" s="31">
        <f>IF(OR($U115="",$G115&lt;=0),"",$G115-$A115/10000)</f>
        <v/>
      </c>
      <c r="S115" s="31">
        <f>IF(OR($U115="",$O115&lt;1),"",$O115*10^11+$I115+$J115+$K115-$A115/1000)</f>
        <v/>
      </c>
      <c r="T115" s="31">
        <f>IF($U115="","",IFERROR(MATCH(INDEX(매출원본!$AU$8:$AU$2007,$U115),거래처설정!$I$8:$I$407,0),""))</f>
        <v/>
      </c>
      <c r="U115" s="31">
        <f>IFERROR(MATCH(108,매출원본!$AW$8:$AW$2007,0),"")</f>
        <v/>
      </c>
      <c r="V115" s="31">
        <f>IF($U115="","",MAX(SUMIFS(매출원본!$AT$8:$AT$2007,매출원본!$AY$8:$AY$2007,$A115,매출원본!$AS$8:$AS$2007,"&gt;="&amp;(설정!$B$5-설정!$B$6),매출원본!$AS$8:$AS$2007,"&lt;="&amp;설정!$B$5),0))</f>
        <v/>
      </c>
      <c r="W115" s="31">
        <f>IF($U115="","",MAX($V115,SUMIFS(매출원본!$AT$8:$AT$2007,매출원본!$AY$8:$AY$2007,$A115,매출원본!$AS$8:$AS$2007,"&gt;="&amp;(설정!$B$5-설정!$B$7),매출원본!$AS$8:$AS$2007,"&lt;="&amp;설정!$B$5)))</f>
        <v/>
      </c>
      <c r="X115" s="31">
        <f>IF($U115="","",MAX($W115,SUMIFS(매출원본!$AT$8:$AT$2007,매출원본!$AY$8:$AY$2007,$A115,매출원본!$AS$8:$AS$2007,"&gt;="&amp;(설정!$B$5-설정!$B$8),매출원본!$AS$8:$AS$2007,"&lt;="&amp;설정!$B$5)))</f>
        <v/>
      </c>
      <c r="AC115" s="31">
        <f>IF(OR($U115="",$T115=""),"",INDEX(거래처설정!$J$8:$J$407,$T115))</f>
        <v/>
      </c>
      <c r="AD115" s="31">
        <f>IF(OR($U115="",$T115=""),"",INDEX(거래처설정!$K$8:$K$407,$T115))</f>
        <v/>
      </c>
      <c r="AE115" s="31">
        <f>IF($U115="","",IF(LEN(SUBSTITUTE(SUBSTITUTE(SUBSTITUTE(SUBSTITUTE(SUBSTITUTE(SUBSTITUTE(SUBSTITUTE(SUBSTITUTE(SUBSTITUTE($C115," ",""),"　",""),"(주)",""),"（주）",""),"㈜",""),"주식회사",""),"(유)",""),"（유）",""),"유한회사",""))&lt;2,"",SUBSTITUTE(SUBSTITUTE(SUBSTITUTE(SUBSTITUTE(SUBSTITUTE(SUBSTITUTE(SUBSTITUTE(SUBSTITUTE(SUBSTITUTE($C115," ",""),"　",""),"(주)",""),"（주）",""),"㈜",""),"주식회사",""),"(유)",""),"（유）",""),"유한회사","")))</f>
        <v/>
      </c>
    </row>
    <row r="116">
      <c r="A116" s="38">
        <f>IF($U116="","",109)</f>
        <v/>
      </c>
      <c r="B116" s="38">
        <f>IF($U116="","",IF(LEN(INDEX(매출원본!$AU$8:$AU$2007,$U116))=10,LEFT(INDEX(매출원본!$AU$8:$AU$2007,$U116),3)&amp;"-"&amp;MID(INDEX(매출원본!$AU$8:$AU$2007,$U116),4,2)&amp;"-"&amp;RIGHT(INDEX(매출원본!$AU$8:$AU$2007,$U116),5),IF(LEFT(INDEX(매출원본!$AU$8:$AU$2007,$U116),2)="N:","(번호 없음)",INDEX(매출원본!$AU$8:$AU$2007,$U116))))</f>
        <v/>
      </c>
      <c r="C116" s="38">
        <f>IF($U116="","",INDEX(매출원본!$AV$8:$AV$2007,$U116))</f>
        <v/>
      </c>
      <c r="D116" s="39">
        <f>IF($U116="","",IF($T116="",0,N(INDEX(거래처설정!$E$8:$E$407,$T116))))</f>
        <v/>
      </c>
      <c r="E116" s="39">
        <f>IF($U116="","",SUMIFS(매출원본!$AT$8:$AT$2007,매출원본!$AY$8:$AY$2007,$A116,매출원본!$AS$8:$AS$2007,"&lt;="&amp;설정!$B$5))</f>
        <v/>
      </c>
      <c r="F116" s="39">
        <f>IF($U116="","",SUMIFS(입금_은행1!$Z$8:$Z$2007,입금_은행1!$AC$8:$AC$2007,$A116,입금_은행1!$Y$8:$Y$2007,"&lt;="&amp;설정!$B$5)+SUMIFS(입금_은행2!$Z$8:$Z$2007,입금_은행2!$AC$8:$AC$2007,$A116,입금_은행2!$Y$8:$Y$2007,"&lt;="&amp;설정!$B$5))</f>
        <v/>
      </c>
      <c r="G116" s="39">
        <f>IF($U116="","",$D116+$E116-$F116)</f>
        <v/>
      </c>
      <c r="H116" s="39">
        <f>IF($U116="","",MIN(MAX($G116,0),$V116))</f>
        <v/>
      </c>
      <c r="I116" s="39">
        <f>IF($U116="","",MIN(MAX($G116,0),$W116)-MIN(MAX($G116,0),$V116))</f>
        <v/>
      </c>
      <c r="J116" s="39">
        <f>IF($U116="","",MIN(MAX($G116,0),$X116)-MIN(MAX($G116,0),$W116))</f>
        <v/>
      </c>
      <c r="K116" s="39">
        <f>IF($U116="","",MAX($G116,0)-MIN(MAX($G116,0),$X116))</f>
        <v/>
      </c>
      <c r="L116" s="40">
        <f>IF($U116="","",IF(MAX(SUMPRODUCT(MAX((입금_은행1!$AC$8:$AC$2007=$A116)*(입금_은행1!$AE$8:$AE$2007&lt;=설정!$B$5)*입금_은행1!$AE$8:$AE$2007)),SUMPRODUCT(MAX((입금_은행2!$AC$8:$AC$2007=$A116)*(입금_은행2!$AE$8:$AE$2007&lt;=설정!$B$5)*입금_은행2!$AE$8:$AE$2007)))=0,"",MAX(SUMPRODUCT(MAX((입금_은행1!$AC$8:$AC$2007=$A116)*(입금_은행1!$AE$8:$AE$2007&lt;=설정!$B$5)*입금_은행1!$AE$8:$AE$2007)),SUMPRODUCT(MAX((입금_은행2!$AC$8:$AC$2007=$A116)*(입금_은행2!$AE$8:$AE$2007&lt;=설정!$B$5)*입금_은행2!$AE$8:$AE$2007)))))</f>
        <v/>
      </c>
      <c r="M116" s="38">
        <f>IF($U116="","",IF($T116="","",IF(INDEX(거래처설정!$F$8:$F$407,$T116)="","",INDEX(거래처설정!$F$8:$F$407,$T116))))</f>
        <v/>
      </c>
      <c r="N116" s="38">
        <f>IF($U116="","",IF($T116="","",IF(INDEX(거래처설정!$G$8:$G$407,$T116)="","",INDEX(거래처설정!$G$8:$G$407,$T116))))</f>
        <v/>
      </c>
      <c r="O116" s="38">
        <f>IF($U116="","",IF($M116="제외",0,IF($K116&gt;=설정!$B$9,3,IF($J116+$K116&gt;=설정!$B$9,2,IF($I116+$J116+$K116&gt;=설정!$B$9,1,0)))))</f>
        <v/>
      </c>
      <c r="P116" s="38">
        <f>IF($U116="","",IF($M116="제외","제외(조치 상태)",IF($O116=3,"③ 강한 독촉 후보 ("&amp;설정!$B$8&amp;"일 초과)",IF($O116=2,"② 독촉 후보 ("&amp;설정!$B$7&amp;"일 초과)",IF($O116=1,"① 안내 후보 ("&amp;설정!$B$6&amp;"일 초과)",IF($G116&gt;0,IF($I116+$J116+$K116&gt;0,"오래된 잔액 있음 (최소 금액 미만)","정상 범위"),IF($G116&lt;0,"선수금·초과입금 — 확인","완납")))))))</f>
        <v/>
      </c>
      <c r="Q116" s="38">
        <f>IF($U116="","",IF($G116&lt;0,"입금이 매출보다 큼 — 선수금이거나 다른 거래처 입금이 섞였는지 확인",IF(AND($AE116&lt;&gt;"",COUNTIF($AE$8:$AE$307,"*"&amp;$AE116&amp;"*")&gt;1),"이름이 다른 거래처와 겹침 — 입금이 잘못 맞았을 수 있으니 별칭 확인",IF(AND($G116&gt;0,$F116=0),"입금 매칭 없음 — 입금자명이 다르면 [거래처설정]에 별칭 등록",""))))</f>
        <v/>
      </c>
      <c r="R116" s="31">
        <f>IF(OR($U116="",$G116&lt;=0),"",$G116-$A116/10000)</f>
        <v/>
      </c>
      <c r="S116" s="31">
        <f>IF(OR($U116="",$O116&lt;1),"",$O116*10^11+$I116+$J116+$K116-$A116/1000)</f>
        <v/>
      </c>
      <c r="T116" s="31">
        <f>IF($U116="","",IFERROR(MATCH(INDEX(매출원본!$AU$8:$AU$2007,$U116),거래처설정!$I$8:$I$407,0),""))</f>
        <v/>
      </c>
      <c r="U116" s="31">
        <f>IFERROR(MATCH(109,매출원본!$AW$8:$AW$2007,0),"")</f>
        <v/>
      </c>
      <c r="V116" s="31">
        <f>IF($U116="","",MAX(SUMIFS(매출원본!$AT$8:$AT$2007,매출원본!$AY$8:$AY$2007,$A116,매출원본!$AS$8:$AS$2007,"&gt;="&amp;(설정!$B$5-설정!$B$6),매출원본!$AS$8:$AS$2007,"&lt;="&amp;설정!$B$5),0))</f>
        <v/>
      </c>
      <c r="W116" s="31">
        <f>IF($U116="","",MAX($V116,SUMIFS(매출원본!$AT$8:$AT$2007,매출원본!$AY$8:$AY$2007,$A116,매출원본!$AS$8:$AS$2007,"&gt;="&amp;(설정!$B$5-설정!$B$7),매출원본!$AS$8:$AS$2007,"&lt;="&amp;설정!$B$5)))</f>
        <v/>
      </c>
      <c r="X116" s="31">
        <f>IF($U116="","",MAX($W116,SUMIFS(매출원본!$AT$8:$AT$2007,매출원본!$AY$8:$AY$2007,$A116,매출원본!$AS$8:$AS$2007,"&gt;="&amp;(설정!$B$5-설정!$B$8),매출원본!$AS$8:$AS$2007,"&lt;="&amp;설정!$B$5)))</f>
        <v/>
      </c>
      <c r="AC116" s="31">
        <f>IF(OR($U116="",$T116=""),"",INDEX(거래처설정!$J$8:$J$407,$T116))</f>
        <v/>
      </c>
      <c r="AD116" s="31">
        <f>IF(OR($U116="",$T116=""),"",INDEX(거래처설정!$K$8:$K$407,$T116))</f>
        <v/>
      </c>
      <c r="AE116" s="31">
        <f>IF($U116="","",IF(LEN(SUBSTITUTE(SUBSTITUTE(SUBSTITUTE(SUBSTITUTE(SUBSTITUTE(SUBSTITUTE(SUBSTITUTE(SUBSTITUTE(SUBSTITUTE($C116," ",""),"　",""),"(주)",""),"（주）",""),"㈜",""),"주식회사",""),"(유)",""),"（유）",""),"유한회사",""))&lt;2,"",SUBSTITUTE(SUBSTITUTE(SUBSTITUTE(SUBSTITUTE(SUBSTITUTE(SUBSTITUTE(SUBSTITUTE(SUBSTITUTE(SUBSTITUTE($C116," ",""),"　",""),"(주)",""),"（주）",""),"㈜",""),"주식회사",""),"(유)",""),"（유）",""),"유한회사","")))</f>
        <v/>
      </c>
    </row>
    <row r="117">
      <c r="A117" s="38">
        <f>IF($U117="","",110)</f>
        <v/>
      </c>
      <c r="B117" s="38">
        <f>IF($U117="","",IF(LEN(INDEX(매출원본!$AU$8:$AU$2007,$U117))=10,LEFT(INDEX(매출원본!$AU$8:$AU$2007,$U117),3)&amp;"-"&amp;MID(INDEX(매출원본!$AU$8:$AU$2007,$U117),4,2)&amp;"-"&amp;RIGHT(INDEX(매출원본!$AU$8:$AU$2007,$U117),5),IF(LEFT(INDEX(매출원본!$AU$8:$AU$2007,$U117),2)="N:","(번호 없음)",INDEX(매출원본!$AU$8:$AU$2007,$U117))))</f>
        <v/>
      </c>
      <c r="C117" s="38">
        <f>IF($U117="","",INDEX(매출원본!$AV$8:$AV$2007,$U117))</f>
        <v/>
      </c>
      <c r="D117" s="39">
        <f>IF($U117="","",IF($T117="",0,N(INDEX(거래처설정!$E$8:$E$407,$T117))))</f>
        <v/>
      </c>
      <c r="E117" s="39">
        <f>IF($U117="","",SUMIFS(매출원본!$AT$8:$AT$2007,매출원본!$AY$8:$AY$2007,$A117,매출원본!$AS$8:$AS$2007,"&lt;="&amp;설정!$B$5))</f>
        <v/>
      </c>
      <c r="F117" s="39">
        <f>IF($U117="","",SUMIFS(입금_은행1!$Z$8:$Z$2007,입금_은행1!$AC$8:$AC$2007,$A117,입금_은행1!$Y$8:$Y$2007,"&lt;="&amp;설정!$B$5)+SUMIFS(입금_은행2!$Z$8:$Z$2007,입금_은행2!$AC$8:$AC$2007,$A117,입금_은행2!$Y$8:$Y$2007,"&lt;="&amp;설정!$B$5))</f>
        <v/>
      </c>
      <c r="G117" s="39">
        <f>IF($U117="","",$D117+$E117-$F117)</f>
        <v/>
      </c>
      <c r="H117" s="39">
        <f>IF($U117="","",MIN(MAX($G117,0),$V117))</f>
        <v/>
      </c>
      <c r="I117" s="39">
        <f>IF($U117="","",MIN(MAX($G117,0),$W117)-MIN(MAX($G117,0),$V117))</f>
        <v/>
      </c>
      <c r="J117" s="39">
        <f>IF($U117="","",MIN(MAX($G117,0),$X117)-MIN(MAX($G117,0),$W117))</f>
        <v/>
      </c>
      <c r="K117" s="39">
        <f>IF($U117="","",MAX($G117,0)-MIN(MAX($G117,0),$X117))</f>
        <v/>
      </c>
      <c r="L117" s="40">
        <f>IF($U117="","",IF(MAX(SUMPRODUCT(MAX((입금_은행1!$AC$8:$AC$2007=$A117)*(입금_은행1!$AE$8:$AE$2007&lt;=설정!$B$5)*입금_은행1!$AE$8:$AE$2007)),SUMPRODUCT(MAX((입금_은행2!$AC$8:$AC$2007=$A117)*(입금_은행2!$AE$8:$AE$2007&lt;=설정!$B$5)*입금_은행2!$AE$8:$AE$2007)))=0,"",MAX(SUMPRODUCT(MAX((입금_은행1!$AC$8:$AC$2007=$A117)*(입금_은행1!$AE$8:$AE$2007&lt;=설정!$B$5)*입금_은행1!$AE$8:$AE$2007)),SUMPRODUCT(MAX((입금_은행2!$AC$8:$AC$2007=$A117)*(입금_은행2!$AE$8:$AE$2007&lt;=설정!$B$5)*입금_은행2!$AE$8:$AE$2007)))))</f>
        <v/>
      </c>
      <c r="M117" s="38">
        <f>IF($U117="","",IF($T117="","",IF(INDEX(거래처설정!$F$8:$F$407,$T117)="","",INDEX(거래처설정!$F$8:$F$407,$T117))))</f>
        <v/>
      </c>
      <c r="N117" s="38">
        <f>IF($U117="","",IF($T117="","",IF(INDEX(거래처설정!$G$8:$G$407,$T117)="","",INDEX(거래처설정!$G$8:$G$407,$T117))))</f>
        <v/>
      </c>
      <c r="O117" s="38">
        <f>IF($U117="","",IF($M117="제외",0,IF($K117&gt;=설정!$B$9,3,IF($J117+$K117&gt;=설정!$B$9,2,IF($I117+$J117+$K117&gt;=설정!$B$9,1,0)))))</f>
        <v/>
      </c>
      <c r="P117" s="38">
        <f>IF($U117="","",IF($M117="제외","제외(조치 상태)",IF($O117=3,"③ 강한 독촉 후보 ("&amp;설정!$B$8&amp;"일 초과)",IF($O117=2,"② 독촉 후보 ("&amp;설정!$B$7&amp;"일 초과)",IF($O117=1,"① 안내 후보 ("&amp;설정!$B$6&amp;"일 초과)",IF($G117&gt;0,IF($I117+$J117+$K117&gt;0,"오래된 잔액 있음 (최소 금액 미만)","정상 범위"),IF($G117&lt;0,"선수금·초과입금 — 확인","완납")))))))</f>
        <v/>
      </c>
      <c r="Q117" s="38">
        <f>IF($U117="","",IF($G117&lt;0,"입금이 매출보다 큼 — 선수금이거나 다른 거래처 입금이 섞였는지 확인",IF(AND($AE117&lt;&gt;"",COUNTIF($AE$8:$AE$307,"*"&amp;$AE117&amp;"*")&gt;1),"이름이 다른 거래처와 겹침 — 입금이 잘못 맞았을 수 있으니 별칭 확인",IF(AND($G117&gt;0,$F117=0),"입금 매칭 없음 — 입금자명이 다르면 [거래처설정]에 별칭 등록",""))))</f>
        <v/>
      </c>
      <c r="R117" s="31">
        <f>IF(OR($U117="",$G117&lt;=0),"",$G117-$A117/10000)</f>
        <v/>
      </c>
      <c r="S117" s="31">
        <f>IF(OR($U117="",$O117&lt;1),"",$O117*10^11+$I117+$J117+$K117-$A117/1000)</f>
        <v/>
      </c>
      <c r="T117" s="31">
        <f>IF($U117="","",IFERROR(MATCH(INDEX(매출원본!$AU$8:$AU$2007,$U117),거래처설정!$I$8:$I$407,0),""))</f>
        <v/>
      </c>
      <c r="U117" s="31">
        <f>IFERROR(MATCH(110,매출원본!$AW$8:$AW$2007,0),"")</f>
        <v/>
      </c>
      <c r="V117" s="31">
        <f>IF($U117="","",MAX(SUMIFS(매출원본!$AT$8:$AT$2007,매출원본!$AY$8:$AY$2007,$A117,매출원본!$AS$8:$AS$2007,"&gt;="&amp;(설정!$B$5-설정!$B$6),매출원본!$AS$8:$AS$2007,"&lt;="&amp;설정!$B$5),0))</f>
        <v/>
      </c>
      <c r="W117" s="31">
        <f>IF($U117="","",MAX($V117,SUMIFS(매출원본!$AT$8:$AT$2007,매출원본!$AY$8:$AY$2007,$A117,매출원본!$AS$8:$AS$2007,"&gt;="&amp;(설정!$B$5-설정!$B$7),매출원본!$AS$8:$AS$2007,"&lt;="&amp;설정!$B$5)))</f>
        <v/>
      </c>
      <c r="X117" s="31">
        <f>IF($U117="","",MAX($W117,SUMIFS(매출원본!$AT$8:$AT$2007,매출원본!$AY$8:$AY$2007,$A117,매출원본!$AS$8:$AS$2007,"&gt;="&amp;(설정!$B$5-설정!$B$8),매출원본!$AS$8:$AS$2007,"&lt;="&amp;설정!$B$5)))</f>
        <v/>
      </c>
      <c r="AC117" s="31">
        <f>IF(OR($U117="",$T117=""),"",INDEX(거래처설정!$J$8:$J$407,$T117))</f>
        <v/>
      </c>
      <c r="AD117" s="31">
        <f>IF(OR($U117="",$T117=""),"",INDEX(거래처설정!$K$8:$K$407,$T117))</f>
        <v/>
      </c>
      <c r="AE117" s="31">
        <f>IF($U117="","",IF(LEN(SUBSTITUTE(SUBSTITUTE(SUBSTITUTE(SUBSTITUTE(SUBSTITUTE(SUBSTITUTE(SUBSTITUTE(SUBSTITUTE(SUBSTITUTE($C117," ",""),"　",""),"(주)",""),"（주）",""),"㈜",""),"주식회사",""),"(유)",""),"（유）",""),"유한회사",""))&lt;2,"",SUBSTITUTE(SUBSTITUTE(SUBSTITUTE(SUBSTITUTE(SUBSTITUTE(SUBSTITUTE(SUBSTITUTE(SUBSTITUTE(SUBSTITUTE($C117," ",""),"　",""),"(주)",""),"（주）",""),"㈜",""),"주식회사",""),"(유)",""),"（유）",""),"유한회사","")))</f>
        <v/>
      </c>
    </row>
    <row r="118">
      <c r="A118" s="38">
        <f>IF($U118="","",111)</f>
        <v/>
      </c>
      <c r="B118" s="38">
        <f>IF($U118="","",IF(LEN(INDEX(매출원본!$AU$8:$AU$2007,$U118))=10,LEFT(INDEX(매출원본!$AU$8:$AU$2007,$U118),3)&amp;"-"&amp;MID(INDEX(매출원본!$AU$8:$AU$2007,$U118),4,2)&amp;"-"&amp;RIGHT(INDEX(매출원본!$AU$8:$AU$2007,$U118),5),IF(LEFT(INDEX(매출원본!$AU$8:$AU$2007,$U118),2)="N:","(번호 없음)",INDEX(매출원본!$AU$8:$AU$2007,$U118))))</f>
        <v/>
      </c>
      <c r="C118" s="38">
        <f>IF($U118="","",INDEX(매출원본!$AV$8:$AV$2007,$U118))</f>
        <v/>
      </c>
      <c r="D118" s="39">
        <f>IF($U118="","",IF($T118="",0,N(INDEX(거래처설정!$E$8:$E$407,$T118))))</f>
        <v/>
      </c>
      <c r="E118" s="39">
        <f>IF($U118="","",SUMIFS(매출원본!$AT$8:$AT$2007,매출원본!$AY$8:$AY$2007,$A118,매출원본!$AS$8:$AS$2007,"&lt;="&amp;설정!$B$5))</f>
        <v/>
      </c>
      <c r="F118" s="39">
        <f>IF($U118="","",SUMIFS(입금_은행1!$Z$8:$Z$2007,입금_은행1!$AC$8:$AC$2007,$A118,입금_은행1!$Y$8:$Y$2007,"&lt;="&amp;설정!$B$5)+SUMIFS(입금_은행2!$Z$8:$Z$2007,입금_은행2!$AC$8:$AC$2007,$A118,입금_은행2!$Y$8:$Y$2007,"&lt;="&amp;설정!$B$5))</f>
        <v/>
      </c>
      <c r="G118" s="39">
        <f>IF($U118="","",$D118+$E118-$F118)</f>
        <v/>
      </c>
      <c r="H118" s="39">
        <f>IF($U118="","",MIN(MAX($G118,0),$V118))</f>
        <v/>
      </c>
      <c r="I118" s="39">
        <f>IF($U118="","",MIN(MAX($G118,0),$W118)-MIN(MAX($G118,0),$V118))</f>
        <v/>
      </c>
      <c r="J118" s="39">
        <f>IF($U118="","",MIN(MAX($G118,0),$X118)-MIN(MAX($G118,0),$W118))</f>
        <v/>
      </c>
      <c r="K118" s="39">
        <f>IF($U118="","",MAX($G118,0)-MIN(MAX($G118,0),$X118))</f>
        <v/>
      </c>
      <c r="L118" s="40">
        <f>IF($U118="","",IF(MAX(SUMPRODUCT(MAX((입금_은행1!$AC$8:$AC$2007=$A118)*(입금_은행1!$AE$8:$AE$2007&lt;=설정!$B$5)*입금_은행1!$AE$8:$AE$2007)),SUMPRODUCT(MAX((입금_은행2!$AC$8:$AC$2007=$A118)*(입금_은행2!$AE$8:$AE$2007&lt;=설정!$B$5)*입금_은행2!$AE$8:$AE$2007)))=0,"",MAX(SUMPRODUCT(MAX((입금_은행1!$AC$8:$AC$2007=$A118)*(입금_은행1!$AE$8:$AE$2007&lt;=설정!$B$5)*입금_은행1!$AE$8:$AE$2007)),SUMPRODUCT(MAX((입금_은행2!$AC$8:$AC$2007=$A118)*(입금_은행2!$AE$8:$AE$2007&lt;=설정!$B$5)*입금_은행2!$AE$8:$AE$2007)))))</f>
        <v/>
      </c>
      <c r="M118" s="38">
        <f>IF($U118="","",IF($T118="","",IF(INDEX(거래처설정!$F$8:$F$407,$T118)="","",INDEX(거래처설정!$F$8:$F$407,$T118))))</f>
        <v/>
      </c>
      <c r="N118" s="38">
        <f>IF($U118="","",IF($T118="","",IF(INDEX(거래처설정!$G$8:$G$407,$T118)="","",INDEX(거래처설정!$G$8:$G$407,$T118))))</f>
        <v/>
      </c>
      <c r="O118" s="38">
        <f>IF($U118="","",IF($M118="제외",0,IF($K118&gt;=설정!$B$9,3,IF($J118+$K118&gt;=설정!$B$9,2,IF($I118+$J118+$K118&gt;=설정!$B$9,1,0)))))</f>
        <v/>
      </c>
      <c r="P118" s="38">
        <f>IF($U118="","",IF($M118="제외","제외(조치 상태)",IF($O118=3,"③ 강한 독촉 후보 ("&amp;설정!$B$8&amp;"일 초과)",IF($O118=2,"② 독촉 후보 ("&amp;설정!$B$7&amp;"일 초과)",IF($O118=1,"① 안내 후보 ("&amp;설정!$B$6&amp;"일 초과)",IF($G118&gt;0,IF($I118+$J118+$K118&gt;0,"오래된 잔액 있음 (최소 금액 미만)","정상 범위"),IF($G118&lt;0,"선수금·초과입금 — 확인","완납")))))))</f>
        <v/>
      </c>
      <c r="Q118" s="38">
        <f>IF($U118="","",IF($G118&lt;0,"입금이 매출보다 큼 — 선수금이거나 다른 거래처 입금이 섞였는지 확인",IF(AND($AE118&lt;&gt;"",COUNTIF($AE$8:$AE$307,"*"&amp;$AE118&amp;"*")&gt;1),"이름이 다른 거래처와 겹침 — 입금이 잘못 맞았을 수 있으니 별칭 확인",IF(AND($G118&gt;0,$F118=0),"입금 매칭 없음 — 입금자명이 다르면 [거래처설정]에 별칭 등록",""))))</f>
        <v/>
      </c>
      <c r="R118" s="31">
        <f>IF(OR($U118="",$G118&lt;=0),"",$G118-$A118/10000)</f>
        <v/>
      </c>
      <c r="S118" s="31">
        <f>IF(OR($U118="",$O118&lt;1),"",$O118*10^11+$I118+$J118+$K118-$A118/1000)</f>
        <v/>
      </c>
      <c r="T118" s="31">
        <f>IF($U118="","",IFERROR(MATCH(INDEX(매출원본!$AU$8:$AU$2007,$U118),거래처설정!$I$8:$I$407,0),""))</f>
        <v/>
      </c>
      <c r="U118" s="31">
        <f>IFERROR(MATCH(111,매출원본!$AW$8:$AW$2007,0),"")</f>
        <v/>
      </c>
      <c r="V118" s="31">
        <f>IF($U118="","",MAX(SUMIFS(매출원본!$AT$8:$AT$2007,매출원본!$AY$8:$AY$2007,$A118,매출원본!$AS$8:$AS$2007,"&gt;="&amp;(설정!$B$5-설정!$B$6),매출원본!$AS$8:$AS$2007,"&lt;="&amp;설정!$B$5),0))</f>
        <v/>
      </c>
      <c r="W118" s="31">
        <f>IF($U118="","",MAX($V118,SUMIFS(매출원본!$AT$8:$AT$2007,매출원본!$AY$8:$AY$2007,$A118,매출원본!$AS$8:$AS$2007,"&gt;="&amp;(설정!$B$5-설정!$B$7),매출원본!$AS$8:$AS$2007,"&lt;="&amp;설정!$B$5)))</f>
        <v/>
      </c>
      <c r="X118" s="31">
        <f>IF($U118="","",MAX($W118,SUMIFS(매출원본!$AT$8:$AT$2007,매출원본!$AY$8:$AY$2007,$A118,매출원본!$AS$8:$AS$2007,"&gt;="&amp;(설정!$B$5-설정!$B$8),매출원본!$AS$8:$AS$2007,"&lt;="&amp;설정!$B$5)))</f>
        <v/>
      </c>
      <c r="AC118" s="31">
        <f>IF(OR($U118="",$T118=""),"",INDEX(거래처설정!$J$8:$J$407,$T118))</f>
        <v/>
      </c>
      <c r="AD118" s="31">
        <f>IF(OR($U118="",$T118=""),"",INDEX(거래처설정!$K$8:$K$407,$T118))</f>
        <v/>
      </c>
      <c r="AE118" s="31">
        <f>IF($U118="","",IF(LEN(SUBSTITUTE(SUBSTITUTE(SUBSTITUTE(SUBSTITUTE(SUBSTITUTE(SUBSTITUTE(SUBSTITUTE(SUBSTITUTE(SUBSTITUTE($C118," ",""),"　",""),"(주)",""),"（주）",""),"㈜",""),"주식회사",""),"(유)",""),"（유）",""),"유한회사",""))&lt;2,"",SUBSTITUTE(SUBSTITUTE(SUBSTITUTE(SUBSTITUTE(SUBSTITUTE(SUBSTITUTE(SUBSTITUTE(SUBSTITUTE(SUBSTITUTE($C118," ",""),"　",""),"(주)",""),"（주）",""),"㈜",""),"주식회사",""),"(유)",""),"（유）",""),"유한회사","")))</f>
        <v/>
      </c>
    </row>
    <row r="119">
      <c r="A119" s="38">
        <f>IF($U119="","",112)</f>
        <v/>
      </c>
      <c r="B119" s="38">
        <f>IF($U119="","",IF(LEN(INDEX(매출원본!$AU$8:$AU$2007,$U119))=10,LEFT(INDEX(매출원본!$AU$8:$AU$2007,$U119),3)&amp;"-"&amp;MID(INDEX(매출원본!$AU$8:$AU$2007,$U119),4,2)&amp;"-"&amp;RIGHT(INDEX(매출원본!$AU$8:$AU$2007,$U119),5),IF(LEFT(INDEX(매출원본!$AU$8:$AU$2007,$U119),2)="N:","(번호 없음)",INDEX(매출원본!$AU$8:$AU$2007,$U119))))</f>
        <v/>
      </c>
      <c r="C119" s="38">
        <f>IF($U119="","",INDEX(매출원본!$AV$8:$AV$2007,$U119))</f>
        <v/>
      </c>
      <c r="D119" s="39">
        <f>IF($U119="","",IF($T119="",0,N(INDEX(거래처설정!$E$8:$E$407,$T119))))</f>
        <v/>
      </c>
      <c r="E119" s="39">
        <f>IF($U119="","",SUMIFS(매출원본!$AT$8:$AT$2007,매출원본!$AY$8:$AY$2007,$A119,매출원본!$AS$8:$AS$2007,"&lt;="&amp;설정!$B$5))</f>
        <v/>
      </c>
      <c r="F119" s="39">
        <f>IF($U119="","",SUMIFS(입금_은행1!$Z$8:$Z$2007,입금_은행1!$AC$8:$AC$2007,$A119,입금_은행1!$Y$8:$Y$2007,"&lt;="&amp;설정!$B$5)+SUMIFS(입금_은행2!$Z$8:$Z$2007,입금_은행2!$AC$8:$AC$2007,$A119,입금_은행2!$Y$8:$Y$2007,"&lt;="&amp;설정!$B$5))</f>
        <v/>
      </c>
      <c r="G119" s="39">
        <f>IF($U119="","",$D119+$E119-$F119)</f>
        <v/>
      </c>
      <c r="H119" s="39">
        <f>IF($U119="","",MIN(MAX($G119,0),$V119))</f>
        <v/>
      </c>
      <c r="I119" s="39">
        <f>IF($U119="","",MIN(MAX($G119,0),$W119)-MIN(MAX($G119,0),$V119))</f>
        <v/>
      </c>
      <c r="J119" s="39">
        <f>IF($U119="","",MIN(MAX($G119,0),$X119)-MIN(MAX($G119,0),$W119))</f>
        <v/>
      </c>
      <c r="K119" s="39">
        <f>IF($U119="","",MAX($G119,0)-MIN(MAX($G119,0),$X119))</f>
        <v/>
      </c>
      <c r="L119" s="40">
        <f>IF($U119="","",IF(MAX(SUMPRODUCT(MAX((입금_은행1!$AC$8:$AC$2007=$A119)*(입금_은행1!$AE$8:$AE$2007&lt;=설정!$B$5)*입금_은행1!$AE$8:$AE$2007)),SUMPRODUCT(MAX((입금_은행2!$AC$8:$AC$2007=$A119)*(입금_은행2!$AE$8:$AE$2007&lt;=설정!$B$5)*입금_은행2!$AE$8:$AE$2007)))=0,"",MAX(SUMPRODUCT(MAX((입금_은행1!$AC$8:$AC$2007=$A119)*(입금_은행1!$AE$8:$AE$2007&lt;=설정!$B$5)*입금_은행1!$AE$8:$AE$2007)),SUMPRODUCT(MAX((입금_은행2!$AC$8:$AC$2007=$A119)*(입금_은행2!$AE$8:$AE$2007&lt;=설정!$B$5)*입금_은행2!$AE$8:$AE$2007)))))</f>
        <v/>
      </c>
      <c r="M119" s="38">
        <f>IF($U119="","",IF($T119="","",IF(INDEX(거래처설정!$F$8:$F$407,$T119)="","",INDEX(거래처설정!$F$8:$F$407,$T119))))</f>
        <v/>
      </c>
      <c r="N119" s="38">
        <f>IF($U119="","",IF($T119="","",IF(INDEX(거래처설정!$G$8:$G$407,$T119)="","",INDEX(거래처설정!$G$8:$G$407,$T119))))</f>
        <v/>
      </c>
      <c r="O119" s="38">
        <f>IF($U119="","",IF($M119="제외",0,IF($K119&gt;=설정!$B$9,3,IF($J119+$K119&gt;=설정!$B$9,2,IF($I119+$J119+$K119&gt;=설정!$B$9,1,0)))))</f>
        <v/>
      </c>
      <c r="P119" s="38">
        <f>IF($U119="","",IF($M119="제외","제외(조치 상태)",IF($O119=3,"③ 강한 독촉 후보 ("&amp;설정!$B$8&amp;"일 초과)",IF($O119=2,"② 독촉 후보 ("&amp;설정!$B$7&amp;"일 초과)",IF($O119=1,"① 안내 후보 ("&amp;설정!$B$6&amp;"일 초과)",IF($G119&gt;0,IF($I119+$J119+$K119&gt;0,"오래된 잔액 있음 (최소 금액 미만)","정상 범위"),IF($G119&lt;0,"선수금·초과입금 — 확인","완납")))))))</f>
        <v/>
      </c>
      <c r="Q119" s="38">
        <f>IF($U119="","",IF($G119&lt;0,"입금이 매출보다 큼 — 선수금이거나 다른 거래처 입금이 섞였는지 확인",IF(AND($AE119&lt;&gt;"",COUNTIF($AE$8:$AE$307,"*"&amp;$AE119&amp;"*")&gt;1),"이름이 다른 거래처와 겹침 — 입금이 잘못 맞았을 수 있으니 별칭 확인",IF(AND($G119&gt;0,$F119=0),"입금 매칭 없음 — 입금자명이 다르면 [거래처설정]에 별칭 등록",""))))</f>
        <v/>
      </c>
      <c r="R119" s="31">
        <f>IF(OR($U119="",$G119&lt;=0),"",$G119-$A119/10000)</f>
        <v/>
      </c>
      <c r="S119" s="31">
        <f>IF(OR($U119="",$O119&lt;1),"",$O119*10^11+$I119+$J119+$K119-$A119/1000)</f>
        <v/>
      </c>
      <c r="T119" s="31">
        <f>IF($U119="","",IFERROR(MATCH(INDEX(매출원본!$AU$8:$AU$2007,$U119),거래처설정!$I$8:$I$407,0),""))</f>
        <v/>
      </c>
      <c r="U119" s="31">
        <f>IFERROR(MATCH(112,매출원본!$AW$8:$AW$2007,0),"")</f>
        <v/>
      </c>
      <c r="V119" s="31">
        <f>IF($U119="","",MAX(SUMIFS(매출원본!$AT$8:$AT$2007,매출원본!$AY$8:$AY$2007,$A119,매출원본!$AS$8:$AS$2007,"&gt;="&amp;(설정!$B$5-설정!$B$6),매출원본!$AS$8:$AS$2007,"&lt;="&amp;설정!$B$5),0))</f>
        <v/>
      </c>
      <c r="W119" s="31">
        <f>IF($U119="","",MAX($V119,SUMIFS(매출원본!$AT$8:$AT$2007,매출원본!$AY$8:$AY$2007,$A119,매출원본!$AS$8:$AS$2007,"&gt;="&amp;(설정!$B$5-설정!$B$7),매출원본!$AS$8:$AS$2007,"&lt;="&amp;설정!$B$5)))</f>
        <v/>
      </c>
      <c r="X119" s="31">
        <f>IF($U119="","",MAX($W119,SUMIFS(매출원본!$AT$8:$AT$2007,매출원본!$AY$8:$AY$2007,$A119,매출원본!$AS$8:$AS$2007,"&gt;="&amp;(설정!$B$5-설정!$B$8),매출원본!$AS$8:$AS$2007,"&lt;="&amp;설정!$B$5)))</f>
        <v/>
      </c>
      <c r="AC119" s="31">
        <f>IF(OR($U119="",$T119=""),"",INDEX(거래처설정!$J$8:$J$407,$T119))</f>
        <v/>
      </c>
      <c r="AD119" s="31">
        <f>IF(OR($U119="",$T119=""),"",INDEX(거래처설정!$K$8:$K$407,$T119))</f>
        <v/>
      </c>
      <c r="AE119" s="31">
        <f>IF($U119="","",IF(LEN(SUBSTITUTE(SUBSTITUTE(SUBSTITUTE(SUBSTITUTE(SUBSTITUTE(SUBSTITUTE(SUBSTITUTE(SUBSTITUTE(SUBSTITUTE($C119," ",""),"　",""),"(주)",""),"（주）",""),"㈜",""),"주식회사",""),"(유)",""),"（유）",""),"유한회사",""))&lt;2,"",SUBSTITUTE(SUBSTITUTE(SUBSTITUTE(SUBSTITUTE(SUBSTITUTE(SUBSTITUTE(SUBSTITUTE(SUBSTITUTE(SUBSTITUTE($C119," ",""),"　",""),"(주)",""),"（주）",""),"㈜",""),"주식회사",""),"(유)",""),"（유）",""),"유한회사","")))</f>
        <v/>
      </c>
    </row>
    <row r="120">
      <c r="A120" s="38">
        <f>IF($U120="","",113)</f>
        <v/>
      </c>
      <c r="B120" s="38">
        <f>IF($U120="","",IF(LEN(INDEX(매출원본!$AU$8:$AU$2007,$U120))=10,LEFT(INDEX(매출원본!$AU$8:$AU$2007,$U120),3)&amp;"-"&amp;MID(INDEX(매출원본!$AU$8:$AU$2007,$U120),4,2)&amp;"-"&amp;RIGHT(INDEX(매출원본!$AU$8:$AU$2007,$U120),5),IF(LEFT(INDEX(매출원본!$AU$8:$AU$2007,$U120),2)="N:","(번호 없음)",INDEX(매출원본!$AU$8:$AU$2007,$U120))))</f>
        <v/>
      </c>
      <c r="C120" s="38">
        <f>IF($U120="","",INDEX(매출원본!$AV$8:$AV$2007,$U120))</f>
        <v/>
      </c>
      <c r="D120" s="39">
        <f>IF($U120="","",IF($T120="",0,N(INDEX(거래처설정!$E$8:$E$407,$T120))))</f>
        <v/>
      </c>
      <c r="E120" s="39">
        <f>IF($U120="","",SUMIFS(매출원본!$AT$8:$AT$2007,매출원본!$AY$8:$AY$2007,$A120,매출원본!$AS$8:$AS$2007,"&lt;="&amp;설정!$B$5))</f>
        <v/>
      </c>
      <c r="F120" s="39">
        <f>IF($U120="","",SUMIFS(입금_은행1!$Z$8:$Z$2007,입금_은행1!$AC$8:$AC$2007,$A120,입금_은행1!$Y$8:$Y$2007,"&lt;="&amp;설정!$B$5)+SUMIFS(입금_은행2!$Z$8:$Z$2007,입금_은행2!$AC$8:$AC$2007,$A120,입금_은행2!$Y$8:$Y$2007,"&lt;="&amp;설정!$B$5))</f>
        <v/>
      </c>
      <c r="G120" s="39">
        <f>IF($U120="","",$D120+$E120-$F120)</f>
        <v/>
      </c>
      <c r="H120" s="39">
        <f>IF($U120="","",MIN(MAX($G120,0),$V120))</f>
        <v/>
      </c>
      <c r="I120" s="39">
        <f>IF($U120="","",MIN(MAX($G120,0),$W120)-MIN(MAX($G120,0),$V120))</f>
        <v/>
      </c>
      <c r="J120" s="39">
        <f>IF($U120="","",MIN(MAX($G120,0),$X120)-MIN(MAX($G120,0),$W120))</f>
        <v/>
      </c>
      <c r="K120" s="39">
        <f>IF($U120="","",MAX($G120,0)-MIN(MAX($G120,0),$X120))</f>
        <v/>
      </c>
      <c r="L120" s="40">
        <f>IF($U120="","",IF(MAX(SUMPRODUCT(MAX((입금_은행1!$AC$8:$AC$2007=$A120)*(입금_은행1!$AE$8:$AE$2007&lt;=설정!$B$5)*입금_은행1!$AE$8:$AE$2007)),SUMPRODUCT(MAX((입금_은행2!$AC$8:$AC$2007=$A120)*(입금_은행2!$AE$8:$AE$2007&lt;=설정!$B$5)*입금_은행2!$AE$8:$AE$2007)))=0,"",MAX(SUMPRODUCT(MAX((입금_은행1!$AC$8:$AC$2007=$A120)*(입금_은행1!$AE$8:$AE$2007&lt;=설정!$B$5)*입금_은행1!$AE$8:$AE$2007)),SUMPRODUCT(MAX((입금_은행2!$AC$8:$AC$2007=$A120)*(입금_은행2!$AE$8:$AE$2007&lt;=설정!$B$5)*입금_은행2!$AE$8:$AE$2007)))))</f>
        <v/>
      </c>
      <c r="M120" s="38">
        <f>IF($U120="","",IF($T120="","",IF(INDEX(거래처설정!$F$8:$F$407,$T120)="","",INDEX(거래처설정!$F$8:$F$407,$T120))))</f>
        <v/>
      </c>
      <c r="N120" s="38">
        <f>IF($U120="","",IF($T120="","",IF(INDEX(거래처설정!$G$8:$G$407,$T120)="","",INDEX(거래처설정!$G$8:$G$407,$T120))))</f>
        <v/>
      </c>
      <c r="O120" s="38">
        <f>IF($U120="","",IF($M120="제외",0,IF($K120&gt;=설정!$B$9,3,IF($J120+$K120&gt;=설정!$B$9,2,IF($I120+$J120+$K120&gt;=설정!$B$9,1,0)))))</f>
        <v/>
      </c>
      <c r="P120" s="38">
        <f>IF($U120="","",IF($M120="제외","제외(조치 상태)",IF($O120=3,"③ 강한 독촉 후보 ("&amp;설정!$B$8&amp;"일 초과)",IF($O120=2,"② 독촉 후보 ("&amp;설정!$B$7&amp;"일 초과)",IF($O120=1,"① 안내 후보 ("&amp;설정!$B$6&amp;"일 초과)",IF($G120&gt;0,IF($I120+$J120+$K120&gt;0,"오래된 잔액 있음 (최소 금액 미만)","정상 범위"),IF($G120&lt;0,"선수금·초과입금 — 확인","완납")))))))</f>
        <v/>
      </c>
      <c r="Q120" s="38">
        <f>IF($U120="","",IF($G120&lt;0,"입금이 매출보다 큼 — 선수금이거나 다른 거래처 입금이 섞였는지 확인",IF(AND($AE120&lt;&gt;"",COUNTIF($AE$8:$AE$307,"*"&amp;$AE120&amp;"*")&gt;1),"이름이 다른 거래처와 겹침 — 입금이 잘못 맞았을 수 있으니 별칭 확인",IF(AND($G120&gt;0,$F120=0),"입금 매칭 없음 — 입금자명이 다르면 [거래처설정]에 별칭 등록",""))))</f>
        <v/>
      </c>
      <c r="R120" s="31">
        <f>IF(OR($U120="",$G120&lt;=0),"",$G120-$A120/10000)</f>
        <v/>
      </c>
      <c r="S120" s="31">
        <f>IF(OR($U120="",$O120&lt;1),"",$O120*10^11+$I120+$J120+$K120-$A120/1000)</f>
        <v/>
      </c>
      <c r="T120" s="31">
        <f>IF($U120="","",IFERROR(MATCH(INDEX(매출원본!$AU$8:$AU$2007,$U120),거래처설정!$I$8:$I$407,0),""))</f>
        <v/>
      </c>
      <c r="U120" s="31">
        <f>IFERROR(MATCH(113,매출원본!$AW$8:$AW$2007,0),"")</f>
        <v/>
      </c>
      <c r="V120" s="31">
        <f>IF($U120="","",MAX(SUMIFS(매출원본!$AT$8:$AT$2007,매출원본!$AY$8:$AY$2007,$A120,매출원본!$AS$8:$AS$2007,"&gt;="&amp;(설정!$B$5-설정!$B$6),매출원본!$AS$8:$AS$2007,"&lt;="&amp;설정!$B$5),0))</f>
        <v/>
      </c>
      <c r="W120" s="31">
        <f>IF($U120="","",MAX($V120,SUMIFS(매출원본!$AT$8:$AT$2007,매출원본!$AY$8:$AY$2007,$A120,매출원본!$AS$8:$AS$2007,"&gt;="&amp;(설정!$B$5-설정!$B$7),매출원본!$AS$8:$AS$2007,"&lt;="&amp;설정!$B$5)))</f>
        <v/>
      </c>
      <c r="X120" s="31">
        <f>IF($U120="","",MAX($W120,SUMIFS(매출원본!$AT$8:$AT$2007,매출원본!$AY$8:$AY$2007,$A120,매출원본!$AS$8:$AS$2007,"&gt;="&amp;(설정!$B$5-설정!$B$8),매출원본!$AS$8:$AS$2007,"&lt;="&amp;설정!$B$5)))</f>
        <v/>
      </c>
      <c r="AC120" s="31">
        <f>IF(OR($U120="",$T120=""),"",INDEX(거래처설정!$J$8:$J$407,$T120))</f>
        <v/>
      </c>
      <c r="AD120" s="31">
        <f>IF(OR($U120="",$T120=""),"",INDEX(거래처설정!$K$8:$K$407,$T120))</f>
        <v/>
      </c>
      <c r="AE120" s="31">
        <f>IF($U120="","",IF(LEN(SUBSTITUTE(SUBSTITUTE(SUBSTITUTE(SUBSTITUTE(SUBSTITUTE(SUBSTITUTE(SUBSTITUTE(SUBSTITUTE(SUBSTITUTE($C120," ",""),"　",""),"(주)",""),"（주）",""),"㈜",""),"주식회사",""),"(유)",""),"（유）",""),"유한회사",""))&lt;2,"",SUBSTITUTE(SUBSTITUTE(SUBSTITUTE(SUBSTITUTE(SUBSTITUTE(SUBSTITUTE(SUBSTITUTE(SUBSTITUTE(SUBSTITUTE($C120," ",""),"　",""),"(주)",""),"（주）",""),"㈜",""),"주식회사",""),"(유)",""),"（유）",""),"유한회사","")))</f>
        <v/>
      </c>
    </row>
    <row r="121">
      <c r="A121" s="38">
        <f>IF($U121="","",114)</f>
        <v/>
      </c>
      <c r="B121" s="38">
        <f>IF($U121="","",IF(LEN(INDEX(매출원본!$AU$8:$AU$2007,$U121))=10,LEFT(INDEX(매출원본!$AU$8:$AU$2007,$U121),3)&amp;"-"&amp;MID(INDEX(매출원본!$AU$8:$AU$2007,$U121),4,2)&amp;"-"&amp;RIGHT(INDEX(매출원본!$AU$8:$AU$2007,$U121),5),IF(LEFT(INDEX(매출원본!$AU$8:$AU$2007,$U121),2)="N:","(번호 없음)",INDEX(매출원본!$AU$8:$AU$2007,$U121))))</f>
        <v/>
      </c>
      <c r="C121" s="38">
        <f>IF($U121="","",INDEX(매출원본!$AV$8:$AV$2007,$U121))</f>
        <v/>
      </c>
      <c r="D121" s="39">
        <f>IF($U121="","",IF($T121="",0,N(INDEX(거래처설정!$E$8:$E$407,$T121))))</f>
        <v/>
      </c>
      <c r="E121" s="39">
        <f>IF($U121="","",SUMIFS(매출원본!$AT$8:$AT$2007,매출원본!$AY$8:$AY$2007,$A121,매출원본!$AS$8:$AS$2007,"&lt;="&amp;설정!$B$5))</f>
        <v/>
      </c>
      <c r="F121" s="39">
        <f>IF($U121="","",SUMIFS(입금_은행1!$Z$8:$Z$2007,입금_은행1!$AC$8:$AC$2007,$A121,입금_은행1!$Y$8:$Y$2007,"&lt;="&amp;설정!$B$5)+SUMIFS(입금_은행2!$Z$8:$Z$2007,입금_은행2!$AC$8:$AC$2007,$A121,입금_은행2!$Y$8:$Y$2007,"&lt;="&amp;설정!$B$5))</f>
        <v/>
      </c>
      <c r="G121" s="39">
        <f>IF($U121="","",$D121+$E121-$F121)</f>
        <v/>
      </c>
      <c r="H121" s="39">
        <f>IF($U121="","",MIN(MAX($G121,0),$V121))</f>
        <v/>
      </c>
      <c r="I121" s="39">
        <f>IF($U121="","",MIN(MAX($G121,0),$W121)-MIN(MAX($G121,0),$V121))</f>
        <v/>
      </c>
      <c r="J121" s="39">
        <f>IF($U121="","",MIN(MAX($G121,0),$X121)-MIN(MAX($G121,0),$W121))</f>
        <v/>
      </c>
      <c r="K121" s="39">
        <f>IF($U121="","",MAX($G121,0)-MIN(MAX($G121,0),$X121))</f>
        <v/>
      </c>
      <c r="L121" s="40">
        <f>IF($U121="","",IF(MAX(SUMPRODUCT(MAX((입금_은행1!$AC$8:$AC$2007=$A121)*(입금_은행1!$AE$8:$AE$2007&lt;=설정!$B$5)*입금_은행1!$AE$8:$AE$2007)),SUMPRODUCT(MAX((입금_은행2!$AC$8:$AC$2007=$A121)*(입금_은행2!$AE$8:$AE$2007&lt;=설정!$B$5)*입금_은행2!$AE$8:$AE$2007)))=0,"",MAX(SUMPRODUCT(MAX((입금_은행1!$AC$8:$AC$2007=$A121)*(입금_은행1!$AE$8:$AE$2007&lt;=설정!$B$5)*입금_은행1!$AE$8:$AE$2007)),SUMPRODUCT(MAX((입금_은행2!$AC$8:$AC$2007=$A121)*(입금_은행2!$AE$8:$AE$2007&lt;=설정!$B$5)*입금_은행2!$AE$8:$AE$2007)))))</f>
        <v/>
      </c>
      <c r="M121" s="38">
        <f>IF($U121="","",IF($T121="","",IF(INDEX(거래처설정!$F$8:$F$407,$T121)="","",INDEX(거래처설정!$F$8:$F$407,$T121))))</f>
        <v/>
      </c>
      <c r="N121" s="38">
        <f>IF($U121="","",IF($T121="","",IF(INDEX(거래처설정!$G$8:$G$407,$T121)="","",INDEX(거래처설정!$G$8:$G$407,$T121))))</f>
        <v/>
      </c>
      <c r="O121" s="38">
        <f>IF($U121="","",IF($M121="제외",0,IF($K121&gt;=설정!$B$9,3,IF($J121+$K121&gt;=설정!$B$9,2,IF($I121+$J121+$K121&gt;=설정!$B$9,1,0)))))</f>
        <v/>
      </c>
      <c r="P121" s="38">
        <f>IF($U121="","",IF($M121="제외","제외(조치 상태)",IF($O121=3,"③ 강한 독촉 후보 ("&amp;설정!$B$8&amp;"일 초과)",IF($O121=2,"② 독촉 후보 ("&amp;설정!$B$7&amp;"일 초과)",IF($O121=1,"① 안내 후보 ("&amp;설정!$B$6&amp;"일 초과)",IF($G121&gt;0,IF($I121+$J121+$K121&gt;0,"오래된 잔액 있음 (최소 금액 미만)","정상 범위"),IF($G121&lt;0,"선수금·초과입금 — 확인","완납")))))))</f>
        <v/>
      </c>
      <c r="Q121" s="38">
        <f>IF($U121="","",IF($G121&lt;0,"입금이 매출보다 큼 — 선수금이거나 다른 거래처 입금이 섞였는지 확인",IF(AND($AE121&lt;&gt;"",COUNTIF($AE$8:$AE$307,"*"&amp;$AE121&amp;"*")&gt;1),"이름이 다른 거래처와 겹침 — 입금이 잘못 맞았을 수 있으니 별칭 확인",IF(AND($G121&gt;0,$F121=0),"입금 매칭 없음 — 입금자명이 다르면 [거래처설정]에 별칭 등록",""))))</f>
        <v/>
      </c>
      <c r="R121" s="31">
        <f>IF(OR($U121="",$G121&lt;=0),"",$G121-$A121/10000)</f>
        <v/>
      </c>
      <c r="S121" s="31">
        <f>IF(OR($U121="",$O121&lt;1),"",$O121*10^11+$I121+$J121+$K121-$A121/1000)</f>
        <v/>
      </c>
      <c r="T121" s="31">
        <f>IF($U121="","",IFERROR(MATCH(INDEX(매출원본!$AU$8:$AU$2007,$U121),거래처설정!$I$8:$I$407,0),""))</f>
        <v/>
      </c>
      <c r="U121" s="31">
        <f>IFERROR(MATCH(114,매출원본!$AW$8:$AW$2007,0),"")</f>
        <v/>
      </c>
      <c r="V121" s="31">
        <f>IF($U121="","",MAX(SUMIFS(매출원본!$AT$8:$AT$2007,매출원본!$AY$8:$AY$2007,$A121,매출원본!$AS$8:$AS$2007,"&gt;="&amp;(설정!$B$5-설정!$B$6),매출원본!$AS$8:$AS$2007,"&lt;="&amp;설정!$B$5),0))</f>
        <v/>
      </c>
      <c r="W121" s="31">
        <f>IF($U121="","",MAX($V121,SUMIFS(매출원본!$AT$8:$AT$2007,매출원본!$AY$8:$AY$2007,$A121,매출원본!$AS$8:$AS$2007,"&gt;="&amp;(설정!$B$5-설정!$B$7),매출원본!$AS$8:$AS$2007,"&lt;="&amp;설정!$B$5)))</f>
        <v/>
      </c>
      <c r="X121" s="31">
        <f>IF($U121="","",MAX($W121,SUMIFS(매출원본!$AT$8:$AT$2007,매출원본!$AY$8:$AY$2007,$A121,매출원본!$AS$8:$AS$2007,"&gt;="&amp;(설정!$B$5-설정!$B$8),매출원본!$AS$8:$AS$2007,"&lt;="&amp;설정!$B$5)))</f>
        <v/>
      </c>
      <c r="AC121" s="31">
        <f>IF(OR($U121="",$T121=""),"",INDEX(거래처설정!$J$8:$J$407,$T121))</f>
        <v/>
      </c>
      <c r="AD121" s="31">
        <f>IF(OR($U121="",$T121=""),"",INDEX(거래처설정!$K$8:$K$407,$T121))</f>
        <v/>
      </c>
      <c r="AE121" s="31">
        <f>IF($U121="","",IF(LEN(SUBSTITUTE(SUBSTITUTE(SUBSTITUTE(SUBSTITUTE(SUBSTITUTE(SUBSTITUTE(SUBSTITUTE(SUBSTITUTE(SUBSTITUTE($C121," ",""),"　",""),"(주)",""),"（주）",""),"㈜",""),"주식회사",""),"(유)",""),"（유）",""),"유한회사",""))&lt;2,"",SUBSTITUTE(SUBSTITUTE(SUBSTITUTE(SUBSTITUTE(SUBSTITUTE(SUBSTITUTE(SUBSTITUTE(SUBSTITUTE(SUBSTITUTE($C121," ",""),"　",""),"(주)",""),"（주）",""),"㈜",""),"주식회사",""),"(유)",""),"（유）",""),"유한회사","")))</f>
        <v/>
      </c>
    </row>
    <row r="122">
      <c r="A122" s="38">
        <f>IF($U122="","",115)</f>
        <v/>
      </c>
      <c r="B122" s="38">
        <f>IF($U122="","",IF(LEN(INDEX(매출원본!$AU$8:$AU$2007,$U122))=10,LEFT(INDEX(매출원본!$AU$8:$AU$2007,$U122),3)&amp;"-"&amp;MID(INDEX(매출원본!$AU$8:$AU$2007,$U122),4,2)&amp;"-"&amp;RIGHT(INDEX(매출원본!$AU$8:$AU$2007,$U122),5),IF(LEFT(INDEX(매출원본!$AU$8:$AU$2007,$U122),2)="N:","(번호 없음)",INDEX(매출원본!$AU$8:$AU$2007,$U122))))</f>
        <v/>
      </c>
      <c r="C122" s="38">
        <f>IF($U122="","",INDEX(매출원본!$AV$8:$AV$2007,$U122))</f>
        <v/>
      </c>
      <c r="D122" s="39">
        <f>IF($U122="","",IF($T122="",0,N(INDEX(거래처설정!$E$8:$E$407,$T122))))</f>
        <v/>
      </c>
      <c r="E122" s="39">
        <f>IF($U122="","",SUMIFS(매출원본!$AT$8:$AT$2007,매출원본!$AY$8:$AY$2007,$A122,매출원본!$AS$8:$AS$2007,"&lt;="&amp;설정!$B$5))</f>
        <v/>
      </c>
      <c r="F122" s="39">
        <f>IF($U122="","",SUMIFS(입금_은행1!$Z$8:$Z$2007,입금_은행1!$AC$8:$AC$2007,$A122,입금_은행1!$Y$8:$Y$2007,"&lt;="&amp;설정!$B$5)+SUMIFS(입금_은행2!$Z$8:$Z$2007,입금_은행2!$AC$8:$AC$2007,$A122,입금_은행2!$Y$8:$Y$2007,"&lt;="&amp;설정!$B$5))</f>
        <v/>
      </c>
      <c r="G122" s="39">
        <f>IF($U122="","",$D122+$E122-$F122)</f>
        <v/>
      </c>
      <c r="H122" s="39">
        <f>IF($U122="","",MIN(MAX($G122,0),$V122))</f>
        <v/>
      </c>
      <c r="I122" s="39">
        <f>IF($U122="","",MIN(MAX($G122,0),$W122)-MIN(MAX($G122,0),$V122))</f>
        <v/>
      </c>
      <c r="J122" s="39">
        <f>IF($U122="","",MIN(MAX($G122,0),$X122)-MIN(MAX($G122,0),$W122))</f>
        <v/>
      </c>
      <c r="K122" s="39">
        <f>IF($U122="","",MAX($G122,0)-MIN(MAX($G122,0),$X122))</f>
        <v/>
      </c>
      <c r="L122" s="40">
        <f>IF($U122="","",IF(MAX(SUMPRODUCT(MAX((입금_은행1!$AC$8:$AC$2007=$A122)*(입금_은행1!$AE$8:$AE$2007&lt;=설정!$B$5)*입금_은행1!$AE$8:$AE$2007)),SUMPRODUCT(MAX((입금_은행2!$AC$8:$AC$2007=$A122)*(입금_은행2!$AE$8:$AE$2007&lt;=설정!$B$5)*입금_은행2!$AE$8:$AE$2007)))=0,"",MAX(SUMPRODUCT(MAX((입금_은행1!$AC$8:$AC$2007=$A122)*(입금_은행1!$AE$8:$AE$2007&lt;=설정!$B$5)*입금_은행1!$AE$8:$AE$2007)),SUMPRODUCT(MAX((입금_은행2!$AC$8:$AC$2007=$A122)*(입금_은행2!$AE$8:$AE$2007&lt;=설정!$B$5)*입금_은행2!$AE$8:$AE$2007)))))</f>
        <v/>
      </c>
      <c r="M122" s="38">
        <f>IF($U122="","",IF($T122="","",IF(INDEX(거래처설정!$F$8:$F$407,$T122)="","",INDEX(거래처설정!$F$8:$F$407,$T122))))</f>
        <v/>
      </c>
      <c r="N122" s="38">
        <f>IF($U122="","",IF($T122="","",IF(INDEX(거래처설정!$G$8:$G$407,$T122)="","",INDEX(거래처설정!$G$8:$G$407,$T122))))</f>
        <v/>
      </c>
      <c r="O122" s="38">
        <f>IF($U122="","",IF($M122="제외",0,IF($K122&gt;=설정!$B$9,3,IF($J122+$K122&gt;=설정!$B$9,2,IF($I122+$J122+$K122&gt;=설정!$B$9,1,0)))))</f>
        <v/>
      </c>
      <c r="P122" s="38">
        <f>IF($U122="","",IF($M122="제외","제외(조치 상태)",IF($O122=3,"③ 강한 독촉 후보 ("&amp;설정!$B$8&amp;"일 초과)",IF($O122=2,"② 독촉 후보 ("&amp;설정!$B$7&amp;"일 초과)",IF($O122=1,"① 안내 후보 ("&amp;설정!$B$6&amp;"일 초과)",IF($G122&gt;0,IF($I122+$J122+$K122&gt;0,"오래된 잔액 있음 (최소 금액 미만)","정상 범위"),IF($G122&lt;0,"선수금·초과입금 — 확인","완납")))))))</f>
        <v/>
      </c>
      <c r="Q122" s="38">
        <f>IF($U122="","",IF($G122&lt;0,"입금이 매출보다 큼 — 선수금이거나 다른 거래처 입금이 섞였는지 확인",IF(AND($AE122&lt;&gt;"",COUNTIF($AE$8:$AE$307,"*"&amp;$AE122&amp;"*")&gt;1),"이름이 다른 거래처와 겹침 — 입금이 잘못 맞았을 수 있으니 별칭 확인",IF(AND($G122&gt;0,$F122=0),"입금 매칭 없음 — 입금자명이 다르면 [거래처설정]에 별칭 등록",""))))</f>
        <v/>
      </c>
      <c r="R122" s="31">
        <f>IF(OR($U122="",$G122&lt;=0),"",$G122-$A122/10000)</f>
        <v/>
      </c>
      <c r="S122" s="31">
        <f>IF(OR($U122="",$O122&lt;1),"",$O122*10^11+$I122+$J122+$K122-$A122/1000)</f>
        <v/>
      </c>
      <c r="T122" s="31">
        <f>IF($U122="","",IFERROR(MATCH(INDEX(매출원본!$AU$8:$AU$2007,$U122),거래처설정!$I$8:$I$407,0),""))</f>
        <v/>
      </c>
      <c r="U122" s="31">
        <f>IFERROR(MATCH(115,매출원본!$AW$8:$AW$2007,0),"")</f>
        <v/>
      </c>
      <c r="V122" s="31">
        <f>IF($U122="","",MAX(SUMIFS(매출원본!$AT$8:$AT$2007,매출원본!$AY$8:$AY$2007,$A122,매출원본!$AS$8:$AS$2007,"&gt;="&amp;(설정!$B$5-설정!$B$6),매출원본!$AS$8:$AS$2007,"&lt;="&amp;설정!$B$5),0))</f>
        <v/>
      </c>
      <c r="W122" s="31">
        <f>IF($U122="","",MAX($V122,SUMIFS(매출원본!$AT$8:$AT$2007,매출원본!$AY$8:$AY$2007,$A122,매출원본!$AS$8:$AS$2007,"&gt;="&amp;(설정!$B$5-설정!$B$7),매출원본!$AS$8:$AS$2007,"&lt;="&amp;설정!$B$5)))</f>
        <v/>
      </c>
      <c r="X122" s="31">
        <f>IF($U122="","",MAX($W122,SUMIFS(매출원본!$AT$8:$AT$2007,매출원본!$AY$8:$AY$2007,$A122,매출원본!$AS$8:$AS$2007,"&gt;="&amp;(설정!$B$5-설정!$B$8),매출원본!$AS$8:$AS$2007,"&lt;="&amp;설정!$B$5)))</f>
        <v/>
      </c>
      <c r="AC122" s="31">
        <f>IF(OR($U122="",$T122=""),"",INDEX(거래처설정!$J$8:$J$407,$T122))</f>
        <v/>
      </c>
      <c r="AD122" s="31">
        <f>IF(OR($U122="",$T122=""),"",INDEX(거래처설정!$K$8:$K$407,$T122))</f>
        <v/>
      </c>
      <c r="AE122" s="31">
        <f>IF($U122="","",IF(LEN(SUBSTITUTE(SUBSTITUTE(SUBSTITUTE(SUBSTITUTE(SUBSTITUTE(SUBSTITUTE(SUBSTITUTE(SUBSTITUTE(SUBSTITUTE($C122," ",""),"　",""),"(주)",""),"（주）",""),"㈜",""),"주식회사",""),"(유)",""),"（유）",""),"유한회사",""))&lt;2,"",SUBSTITUTE(SUBSTITUTE(SUBSTITUTE(SUBSTITUTE(SUBSTITUTE(SUBSTITUTE(SUBSTITUTE(SUBSTITUTE(SUBSTITUTE($C122," ",""),"　",""),"(주)",""),"（주）",""),"㈜",""),"주식회사",""),"(유)",""),"（유）",""),"유한회사","")))</f>
        <v/>
      </c>
    </row>
    <row r="123">
      <c r="A123" s="38">
        <f>IF($U123="","",116)</f>
        <v/>
      </c>
      <c r="B123" s="38">
        <f>IF($U123="","",IF(LEN(INDEX(매출원본!$AU$8:$AU$2007,$U123))=10,LEFT(INDEX(매출원본!$AU$8:$AU$2007,$U123),3)&amp;"-"&amp;MID(INDEX(매출원본!$AU$8:$AU$2007,$U123),4,2)&amp;"-"&amp;RIGHT(INDEX(매출원본!$AU$8:$AU$2007,$U123),5),IF(LEFT(INDEX(매출원본!$AU$8:$AU$2007,$U123),2)="N:","(번호 없음)",INDEX(매출원본!$AU$8:$AU$2007,$U123))))</f>
        <v/>
      </c>
      <c r="C123" s="38">
        <f>IF($U123="","",INDEX(매출원본!$AV$8:$AV$2007,$U123))</f>
        <v/>
      </c>
      <c r="D123" s="39">
        <f>IF($U123="","",IF($T123="",0,N(INDEX(거래처설정!$E$8:$E$407,$T123))))</f>
        <v/>
      </c>
      <c r="E123" s="39">
        <f>IF($U123="","",SUMIFS(매출원본!$AT$8:$AT$2007,매출원본!$AY$8:$AY$2007,$A123,매출원본!$AS$8:$AS$2007,"&lt;="&amp;설정!$B$5))</f>
        <v/>
      </c>
      <c r="F123" s="39">
        <f>IF($U123="","",SUMIFS(입금_은행1!$Z$8:$Z$2007,입금_은행1!$AC$8:$AC$2007,$A123,입금_은행1!$Y$8:$Y$2007,"&lt;="&amp;설정!$B$5)+SUMIFS(입금_은행2!$Z$8:$Z$2007,입금_은행2!$AC$8:$AC$2007,$A123,입금_은행2!$Y$8:$Y$2007,"&lt;="&amp;설정!$B$5))</f>
        <v/>
      </c>
      <c r="G123" s="39">
        <f>IF($U123="","",$D123+$E123-$F123)</f>
        <v/>
      </c>
      <c r="H123" s="39">
        <f>IF($U123="","",MIN(MAX($G123,0),$V123))</f>
        <v/>
      </c>
      <c r="I123" s="39">
        <f>IF($U123="","",MIN(MAX($G123,0),$W123)-MIN(MAX($G123,0),$V123))</f>
        <v/>
      </c>
      <c r="J123" s="39">
        <f>IF($U123="","",MIN(MAX($G123,0),$X123)-MIN(MAX($G123,0),$W123))</f>
        <v/>
      </c>
      <c r="K123" s="39">
        <f>IF($U123="","",MAX($G123,0)-MIN(MAX($G123,0),$X123))</f>
        <v/>
      </c>
      <c r="L123" s="40">
        <f>IF($U123="","",IF(MAX(SUMPRODUCT(MAX((입금_은행1!$AC$8:$AC$2007=$A123)*(입금_은행1!$AE$8:$AE$2007&lt;=설정!$B$5)*입금_은행1!$AE$8:$AE$2007)),SUMPRODUCT(MAX((입금_은행2!$AC$8:$AC$2007=$A123)*(입금_은행2!$AE$8:$AE$2007&lt;=설정!$B$5)*입금_은행2!$AE$8:$AE$2007)))=0,"",MAX(SUMPRODUCT(MAX((입금_은행1!$AC$8:$AC$2007=$A123)*(입금_은행1!$AE$8:$AE$2007&lt;=설정!$B$5)*입금_은행1!$AE$8:$AE$2007)),SUMPRODUCT(MAX((입금_은행2!$AC$8:$AC$2007=$A123)*(입금_은행2!$AE$8:$AE$2007&lt;=설정!$B$5)*입금_은행2!$AE$8:$AE$2007)))))</f>
        <v/>
      </c>
      <c r="M123" s="38">
        <f>IF($U123="","",IF($T123="","",IF(INDEX(거래처설정!$F$8:$F$407,$T123)="","",INDEX(거래처설정!$F$8:$F$407,$T123))))</f>
        <v/>
      </c>
      <c r="N123" s="38">
        <f>IF($U123="","",IF($T123="","",IF(INDEX(거래처설정!$G$8:$G$407,$T123)="","",INDEX(거래처설정!$G$8:$G$407,$T123))))</f>
        <v/>
      </c>
      <c r="O123" s="38">
        <f>IF($U123="","",IF($M123="제외",0,IF($K123&gt;=설정!$B$9,3,IF($J123+$K123&gt;=설정!$B$9,2,IF($I123+$J123+$K123&gt;=설정!$B$9,1,0)))))</f>
        <v/>
      </c>
      <c r="P123" s="38">
        <f>IF($U123="","",IF($M123="제외","제외(조치 상태)",IF($O123=3,"③ 강한 독촉 후보 ("&amp;설정!$B$8&amp;"일 초과)",IF($O123=2,"② 독촉 후보 ("&amp;설정!$B$7&amp;"일 초과)",IF($O123=1,"① 안내 후보 ("&amp;설정!$B$6&amp;"일 초과)",IF($G123&gt;0,IF($I123+$J123+$K123&gt;0,"오래된 잔액 있음 (최소 금액 미만)","정상 범위"),IF($G123&lt;0,"선수금·초과입금 — 확인","완납")))))))</f>
        <v/>
      </c>
      <c r="Q123" s="38">
        <f>IF($U123="","",IF($G123&lt;0,"입금이 매출보다 큼 — 선수금이거나 다른 거래처 입금이 섞였는지 확인",IF(AND($AE123&lt;&gt;"",COUNTIF($AE$8:$AE$307,"*"&amp;$AE123&amp;"*")&gt;1),"이름이 다른 거래처와 겹침 — 입금이 잘못 맞았을 수 있으니 별칭 확인",IF(AND($G123&gt;0,$F123=0),"입금 매칭 없음 — 입금자명이 다르면 [거래처설정]에 별칭 등록",""))))</f>
        <v/>
      </c>
      <c r="R123" s="31">
        <f>IF(OR($U123="",$G123&lt;=0),"",$G123-$A123/10000)</f>
        <v/>
      </c>
      <c r="S123" s="31">
        <f>IF(OR($U123="",$O123&lt;1),"",$O123*10^11+$I123+$J123+$K123-$A123/1000)</f>
        <v/>
      </c>
      <c r="T123" s="31">
        <f>IF($U123="","",IFERROR(MATCH(INDEX(매출원본!$AU$8:$AU$2007,$U123),거래처설정!$I$8:$I$407,0),""))</f>
        <v/>
      </c>
      <c r="U123" s="31">
        <f>IFERROR(MATCH(116,매출원본!$AW$8:$AW$2007,0),"")</f>
        <v/>
      </c>
      <c r="V123" s="31">
        <f>IF($U123="","",MAX(SUMIFS(매출원본!$AT$8:$AT$2007,매출원본!$AY$8:$AY$2007,$A123,매출원본!$AS$8:$AS$2007,"&gt;="&amp;(설정!$B$5-설정!$B$6),매출원본!$AS$8:$AS$2007,"&lt;="&amp;설정!$B$5),0))</f>
        <v/>
      </c>
      <c r="W123" s="31">
        <f>IF($U123="","",MAX($V123,SUMIFS(매출원본!$AT$8:$AT$2007,매출원본!$AY$8:$AY$2007,$A123,매출원본!$AS$8:$AS$2007,"&gt;="&amp;(설정!$B$5-설정!$B$7),매출원본!$AS$8:$AS$2007,"&lt;="&amp;설정!$B$5)))</f>
        <v/>
      </c>
      <c r="X123" s="31">
        <f>IF($U123="","",MAX($W123,SUMIFS(매출원본!$AT$8:$AT$2007,매출원본!$AY$8:$AY$2007,$A123,매출원본!$AS$8:$AS$2007,"&gt;="&amp;(설정!$B$5-설정!$B$8),매출원본!$AS$8:$AS$2007,"&lt;="&amp;설정!$B$5)))</f>
        <v/>
      </c>
      <c r="AC123" s="31">
        <f>IF(OR($U123="",$T123=""),"",INDEX(거래처설정!$J$8:$J$407,$T123))</f>
        <v/>
      </c>
      <c r="AD123" s="31">
        <f>IF(OR($U123="",$T123=""),"",INDEX(거래처설정!$K$8:$K$407,$T123))</f>
        <v/>
      </c>
      <c r="AE123" s="31">
        <f>IF($U123="","",IF(LEN(SUBSTITUTE(SUBSTITUTE(SUBSTITUTE(SUBSTITUTE(SUBSTITUTE(SUBSTITUTE(SUBSTITUTE(SUBSTITUTE(SUBSTITUTE($C123," ",""),"　",""),"(주)",""),"（주）",""),"㈜",""),"주식회사",""),"(유)",""),"（유）",""),"유한회사",""))&lt;2,"",SUBSTITUTE(SUBSTITUTE(SUBSTITUTE(SUBSTITUTE(SUBSTITUTE(SUBSTITUTE(SUBSTITUTE(SUBSTITUTE(SUBSTITUTE($C123," ",""),"　",""),"(주)",""),"（주）",""),"㈜",""),"주식회사",""),"(유)",""),"（유）",""),"유한회사","")))</f>
        <v/>
      </c>
    </row>
    <row r="124">
      <c r="A124" s="38">
        <f>IF($U124="","",117)</f>
        <v/>
      </c>
      <c r="B124" s="38">
        <f>IF($U124="","",IF(LEN(INDEX(매출원본!$AU$8:$AU$2007,$U124))=10,LEFT(INDEX(매출원본!$AU$8:$AU$2007,$U124),3)&amp;"-"&amp;MID(INDEX(매출원본!$AU$8:$AU$2007,$U124),4,2)&amp;"-"&amp;RIGHT(INDEX(매출원본!$AU$8:$AU$2007,$U124),5),IF(LEFT(INDEX(매출원본!$AU$8:$AU$2007,$U124),2)="N:","(번호 없음)",INDEX(매출원본!$AU$8:$AU$2007,$U124))))</f>
        <v/>
      </c>
      <c r="C124" s="38">
        <f>IF($U124="","",INDEX(매출원본!$AV$8:$AV$2007,$U124))</f>
        <v/>
      </c>
      <c r="D124" s="39">
        <f>IF($U124="","",IF($T124="",0,N(INDEX(거래처설정!$E$8:$E$407,$T124))))</f>
        <v/>
      </c>
      <c r="E124" s="39">
        <f>IF($U124="","",SUMIFS(매출원본!$AT$8:$AT$2007,매출원본!$AY$8:$AY$2007,$A124,매출원본!$AS$8:$AS$2007,"&lt;="&amp;설정!$B$5))</f>
        <v/>
      </c>
      <c r="F124" s="39">
        <f>IF($U124="","",SUMIFS(입금_은행1!$Z$8:$Z$2007,입금_은행1!$AC$8:$AC$2007,$A124,입금_은행1!$Y$8:$Y$2007,"&lt;="&amp;설정!$B$5)+SUMIFS(입금_은행2!$Z$8:$Z$2007,입금_은행2!$AC$8:$AC$2007,$A124,입금_은행2!$Y$8:$Y$2007,"&lt;="&amp;설정!$B$5))</f>
        <v/>
      </c>
      <c r="G124" s="39">
        <f>IF($U124="","",$D124+$E124-$F124)</f>
        <v/>
      </c>
      <c r="H124" s="39">
        <f>IF($U124="","",MIN(MAX($G124,0),$V124))</f>
        <v/>
      </c>
      <c r="I124" s="39">
        <f>IF($U124="","",MIN(MAX($G124,0),$W124)-MIN(MAX($G124,0),$V124))</f>
        <v/>
      </c>
      <c r="J124" s="39">
        <f>IF($U124="","",MIN(MAX($G124,0),$X124)-MIN(MAX($G124,0),$W124))</f>
        <v/>
      </c>
      <c r="K124" s="39">
        <f>IF($U124="","",MAX($G124,0)-MIN(MAX($G124,0),$X124))</f>
        <v/>
      </c>
      <c r="L124" s="40">
        <f>IF($U124="","",IF(MAX(SUMPRODUCT(MAX((입금_은행1!$AC$8:$AC$2007=$A124)*(입금_은행1!$AE$8:$AE$2007&lt;=설정!$B$5)*입금_은행1!$AE$8:$AE$2007)),SUMPRODUCT(MAX((입금_은행2!$AC$8:$AC$2007=$A124)*(입금_은행2!$AE$8:$AE$2007&lt;=설정!$B$5)*입금_은행2!$AE$8:$AE$2007)))=0,"",MAX(SUMPRODUCT(MAX((입금_은행1!$AC$8:$AC$2007=$A124)*(입금_은행1!$AE$8:$AE$2007&lt;=설정!$B$5)*입금_은행1!$AE$8:$AE$2007)),SUMPRODUCT(MAX((입금_은행2!$AC$8:$AC$2007=$A124)*(입금_은행2!$AE$8:$AE$2007&lt;=설정!$B$5)*입금_은행2!$AE$8:$AE$2007)))))</f>
        <v/>
      </c>
      <c r="M124" s="38">
        <f>IF($U124="","",IF($T124="","",IF(INDEX(거래처설정!$F$8:$F$407,$T124)="","",INDEX(거래처설정!$F$8:$F$407,$T124))))</f>
        <v/>
      </c>
      <c r="N124" s="38">
        <f>IF($U124="","",IF($T124="","",IF(INDEX(거래처설정!$G$8:$G$407,$T124)="","",INDEX(거래처설정!$G$8:$G$407,$T124))))</f>
        <v/>
      </c>
      <c r="O124" s="38">
        <f>IF($U124="","",IF($M124="제외",0,IF($K124&gt;=설정!$B$9,3,IF($J124+$K124&gt;=설정!$B$9,2,IF($I124+$J124+$K124&gt;=설정!$B$9,1,0)))))</f>
        <v/>
      </c>
      <c r="P124" s="38">
        <f>IF($U124="","",IF($M124="제외","제외(조치 상태)",IF($O124=3,"③ 강한 독촉 후보 ("&amp;설정!$B$8&amp;"일 초과)",IF($O124=2,"② 독촉 후보 ("&amp;설정!$B$7&amp;"일 초과)",IF($O124=1,"① 안내 후보 ("&amp;설정!$B$6&amp;"일 초과)",IF($G124&gt;0,IF($I124+$J124+$K124&gt;0,"오래된 잔액 있음 (최소 금액 미만)","정상 범위"),IF($G124&lt;0,"선수금·초과입금 — 확인","완납")))))))</f>
        <v/>
      </c>
      <c r="Q124" s="38">
        <f>IF($U124="","",IF($G124&lt;0,"입금이 매출보다 큼 — 선수금이거나 다른 거래처 입금이 섞였는지 확인",IF(AND($AE124&lt;&gt;"",COUNTIF($AE$8:$AE$307,"*"&amp;$AE124&amp;"*")&gt;1),"이름이 다른 거래처와 겹침 — 입금이 잘못 맞았을 수 있으니 별칭 확인",IF(AND($G124&gt;0,$F124=0),"입금 매칭 없음 — 입금자명이 다르면 [거래처설정]에 별칭 등록",""))))</f>
        <v/>
      </c>
      <c r="R124" s="31">
        <f>IF(OR($U124="",$G124&lt;=0),"",$G124-$A124/10000)</f>
        <v/>
      </c>
      <c r="S124" s="31">
        <f>IF(OR($U124="",$O124&lt;1),"",$O124*10^11+$I124+$J124+$K124-$A124/1000)</f>
        <v/>
      </c>
      <c r="T124" s="31">
        <f>IF($U124="","",IFERROR(MATCH(INDEX(매출원본!$AU$8:$AU$2007,$U124),거래처설정!$I$8:$I$407,0),""))</f>
        <v/>
      </c>
      <c r="U124" s="31">
        <f>IFERROR(MATCH(117,매출원본!$AW$8:$AW$2007,0),"")</f>
        <v/>
      </c>
      <c r="V124" s="31">
        <f>IF($U124="","",MAX(SUMIFS(매출원본!$AT$8:$AT$2007,매출원본!$AY$8:$AY$2007,$A124,매출원본!$AS$8:$AS$2007,"&gt;="&amp;(설정!$B$5-설정!$B$6),매출원본!$AS$8:$AS$2007,"&lt;="&amp;설정!$B$5),0))</f>
        <v/>
      </c>
      <c r="W124" s="31">
        <f>IF($U124="","",MAX($V124,SUMIFS(매출원본!$AT$8:$AT$2007,매출원본!$AY$8:$AY$2007,$A124,매출원본!$AS$8:$AS$2007,"&gt;="&amp;(설정!$B$5-설정!$B$7),매출원본!$AS$8:$AS$2007,"&lt;="&amp;설정!$B$5)))</f>
        <v/>
      </c>
      <c r="X124" s="31">
        <f>IF($U124="","",MAX($W124,SUMIFS(매출원본!$AT$8:$AT$2007,매출원본!$AY$8:$AY$2007,$A124,매출원본!$AS$8:$AS$2007,"&gt;="&amp;(설정!$B$5-설정!$B$8),매출원본!$AS$8:$AS$2007,"&lt;="&amp;설정!$B$5)))</f>
        <v/>
      </c>
      <c r="AC124" s="31">
        <f>IF(OR($U124="",$T124=""),"",INDEX(거래처설정!$J$8:$J$407,$T124))</f>
        <v/>
      </c>
      <c r="AD124" s="31">
        <f>IF(OR($U124="",$T124=""),"",INDEX(거래처설정!$K$8:$K$407,$T124))</f>
        <v/>
      </c>
      <c r="AE124" s="31">
        <f>IF($U124="","",IF(LEN(SUBSTITUTE(SUBSTITUTE(SUBSTITUTE(SUBSTITUTE(SUBSTITUTE(SUBSTITUTE(SUBSTITUTE(SUBSTITUTE(SUBSTITUTE($C124," ",""),"　",""),"(주)",""),"（주）",""),"㈜",""),"주식회사",""),"(유)",""),"（유）",""),"유한회사",""))&lt;2,"",SUBSTITUTE(SUBSTITUTE(SUBSTITUTE(SUBSTITUTE(SUBSTITUTE(SUBSTITUTE(SUBSTITUTE(SUBSTITUTE(SUBSTITUTE($C124," ",""),"　",""),"(주)",""),"（주）",""),"㈜",""),"주식회사",""),"(유)",""),"（유）",""),"유한회사","")))</f>
        <v/>
      </c>
    </row>
    <row r="125">
      <c r="A125" s="38">
        <f>IF($U125="","",118)</f>
        <v/>
      </c>
      <c r="B125" s="38">
        <f>IF($U125="","",IF(LEN(INDEX(매출원본!$AU$8:$AU$2007,$U125))=10,LEFT(INDEX(매출원본!$AU$8:$AU$2007,$U125),3)&amp;"-"&amp;MID(INDEX(매출원본!$AU$8:$AU$2007,$U125),4,2)&amp;"-"&amp;RIGHT(INDEX(매출원본!$AU$8:$AU$2007,$U125),5),IF(LEFT(INDEX(매출원본!$AU$8:$AU$2007,$U125),2)="N:","(번호 없음)",INDEX(매출원본!$AU$8:$AU$2007,$U125))))</f>
        <v/>
      </c>
      <c r="C125" s="38">
        <f>IF($U125="","",INDEX(매출원본!$AV$8:$AV$2007,$U125))</f>
        <v/>
      </c>
      <c r="D125" s="39">
        <f>IF($U125="","",IF($T125="",0,N(INDEX(거래처설정!$E$8:$E$407,$T125))))</f>
        <v/>
      </c>
      <c r="E125" s="39">
        <f>IF($U125="","",SUMIFS(매출원본!$AT$8:$AT$2007,매출원본!$AY$8:$AY$2007,$A125,매출원본!$AS$8:$AS$2007,"&lt;="&amp;설정!$B$5))</f>
        <v/>
      </c>
      <c r="F125" s="39">
        <f>IF($U125="","",SUMIFS(입금_은행1!$Z$8:$Z$2007,입금_은행1!$AC$8:$AC$2007,$A125,입금_은행1!$Y$8:$Y$2007,"&lt;="&amp;설정!$B$5)+SUMIFS(입금_은행2!$Z$8:$Z$2007,입금_은행2!$AC$8:$AC$2007,$A125,입금_은행2!$Y$8:$Y$2007,"&lt;="&amp;설정!$B$5))</f>
        <v/>
      </c>
      <c r="G125" s="39">
        <f>IF($U125="","",$D125+$E125-$F125)</f>
        <v/>
      </c>
      <c r="H125" s="39">
        <f>IF($U125="","",MIN(MAX($G125,0),$V125))</f>
        <v/>
      </c>
      <c r="I125" s="39">
        <f>IF($U125="","",MIN(MAX($G125,0),$W125)-MIN(MAX($G125,0),$V125))</f>
        <v/>
      </c>
      <c r="J125" s="39">
        <f>IF($U125="","",MIN(MAX($G125,0),$X125)-MIN(MAX($G125,0),$W125))</f>
        <v/>
      </c>
      <c r="K125" s="39">
        <f>IF($U125="","",MAX($G125,0)-MIN(MAX($G125,0),$X125))</f>
        <v/>
      </c>
      <c r="L125" s="40">
        <f>IF($U125="","",IF(MAX(SUMPRODUCT(MAX((입금_은행1!$AC$8:$AC$2007=$A125)*(입금_은행1!$AE$8:$AE$2007&lt;=설정!$B$5)*입금_은행1!$AE$8:$AE$2007)),SUMPRODUCT(MAX((입금_은행2!$AC$8:$AC$2007=$A125)*(입금_은행2!$AE$8:$AE$2007&lt;=설정!$B$5)*입금_은행2!$AE$8:$AE$2007)))=0,"",MAX(SUMPRODUCT(MAX((입금_은행1!$AC$8:$AC$2007=$A125)*(입금_은행1!$AE$8:$AE$2007&lt;=설정!$B$5)*입금_은행1!$AE$8:$AE$2007)),SUMPRODUCT(MAX((입금_은행2!$AC$8:$AC$2007=$A125)*(입금_은행2!$AE$8:$AE$2007&lt;=설정!$B$5)*입금_은행2!$AE$8:$AE$2007)))))</f>
        <v/>
      </c>
      <c r="M125" s="38">
        <f>IF($U125="","",IF($T125="","",IF(INDEX(거래처설정!$F$8:$F$407,$T125)="","",INDEX(거래처설정!$F$8:$F$407,$T125))))</f>
        <v/>
      </c>
      <c r="N125" s="38">
        <f>IF($U125="","",IF($T125="","",IF(INDEX(거래처설정!$G$8:$G$407,$T125)="","",INDEX(거래처설정!$G$8:$G$407,$T125))))</f>
        <v/>
      </c>
      <c r="O125" s="38">
        <f>IF($U125="","",IF($M125="제외",0,IF($K125&gt;=설정!$B$9,3,IF($J125+$K125&gt;=설정!$B$9,2,IF($I125+$J125+$K125&gt;=설정!$B$9,1,0)))))</f>
        <v/>
      </c>
      <c r="P125" s="38">
        <f>IF($U125="","",IF($M125="제외","제외(조치 상태)",IF($O125=3,"③ 강한 독촉 후보 ("&amp;설정!$B$8&amp;"일 초과)",IF($O125=2,"② 독촉 후보 ("&amp;설정!$B$7&amp;"일 초과)",IF($O125=1,"① 안내 후보 ("&amp;설정!$B$6&amp;"일 초과)",IF($G125&gt;0,IF($I125+$J125+$K125&gt;0,"오래된 잔액 있음 (최소 금액 미만)","정상 범위"),IF($G125&lt;0,"선수금·초과입금 — 확인","완납")))))))</f>
        <v/>
      </c>
      <c r="Q125" s="38">
        <f>IF($U125="","",IF($G125&lt;0,"입금이 매출보다 큼 — 선수금이거나 다른 거래처 입금이 섞였는지 확인",IF(AND($AE125&lt;&gt;"",COUNTIF($AE$8:$AE$307,"*"&amp;$AE125&amp;"*")&gt;1),"이름이 다른 거래처와 겹침 — 입금이 잘못 맞았을 수 있으니 별칭 확인",IF(AND($G125&gt;0,$F125=0),"입금 매칭 없음 — 입금자명이 다르면 [거래처설정]에 별칭 등록",""))))</f>
        <v/>
      </c>
      <c r="R125" s="31">
        <f>IF(OR($U125="",$G125&lt;=0),"",$G125-$A125/10000)</f>
        <v/>
      </c>
      <c r="S125" s="31">
        <f>IF(OR($U125="",$O125&lt;1),"",$O125*10^11+$I125+$J125+$K125-$A125/1000)</f>
        <v/>
      </c>
      <c r="T125" s="31">
        <f>IF($U125="","",IFERROR(MATCH(INDEX(매출원본!$AU$8:$AU$2007,$U125),거래처설정!$I$8:$I$407,0),""))</f>
        <v/>
      </c>
      <c r="U125" s="31">
        <f>IFERROR(MATCH(118,매출원본!$AW$8:$AW$2007,0),"")</f>
        <v/>
      </c>
      <c r="V125" s="31">
        <f>IF($U125="","",MAX(SUMIFS(매출원본!$AT$8:$AT$2007,매출원본!$AY$8:$AY$2007,$A125,매출원본!$AS$8:$AS$2007,"&gt;="&amp;(설정!$B$5-설정!$B$6),매출원본!$AS$8:$AS$2007,"&lt;="&amp;설정!$B$5),0))</f>
        <v/>
      </c>
      <c r="W125" s="31">
        <f>IF($U125="","",MAX($V125,SUMIFS(매출원본!$AT$8:$AT$2007,매출원본!$AY$8:$AY$2007,$A125,매출원본!$AS$8:$AS$2007,"&gt;="&amp;(설정!$B$5-설정!$B$7),매출원본!$AS$8:$AS$2007,"&lt;="&amp;설정!$B$5)))</f>
        <v/>
      </c>
      <c r="X125" s="31">
        <f>IF($U125="","",MAX($W125,SUMIFS(매출원본!$AT$8:$AT$2007,매출원본!$AY$8:$AY$2007,$A125,매출원본!$AS$8:$AS$2007,"&gt;="&amp;(설정!$B$5-설정!$B$8),매출원본!$AS$8:$AS$2007,"&lt;="&amp;설정!$B$5)))</f>
        <v/>
      </c>
      <c r="AC125" s="31">
        <f>IF(OR($U125="",$T125=""),"",INDEX(거래처설정!$J$8:$J$407,$T125))</f>
        <v/>
      </c>
      <c r="AD125" s="31">
        <f>IF(OR($U125="",$T125=""),"",INDEX(거래처설정!$K$8:$K$407,$T125))</f>
        <v/>
      </c>
      <c r="AE125" s="31">
        <f>IF($U125="","",IF(LEN(SUBSTITUTE(SUBSTITUTE(SUBSTITUTE(SUBSTITUTE(SUBSTITUTE(SUBSTITUTE(SUBSTITUTE(SUBSTITUTE(SUBSTITUTE($C125," ",""),"　",""),"(주)",""),"（주）",""),"㈜",""),"주식회사",""),"(유)",""),"（유）",""),"유한회사",""))&lt;2,"",SUBSTITUTE(SUBSTITUTE(SUBSTITUTE(SUBSTITUTE(SUBSTITUTE(SUBSTITUTE(SUBSTITUTE(SUBSTITUTE(SUBSTITUTE($C125," ",""),"　",""),"(주)",""),"（주）",""),"㈜",""),"주식회사",""),"(유)",""),"（유）",""),"유한회사","")))</f>
        <v/>
      </c>
    </row>
    <row r="126">
      <c r="A126" s="38">
        <f>IF($U126="","",119)</f>
        <v/>
      </c>
      <c r="B126" s="38">
        <f>IF($U126="","",IF(LEN(INDEX(매출원본!$AU$8:$AU$2007,$U126))=10,LEFT(INDEX(매출원본!$AU$8:$AU$2007,$U126),3)&amp;"-"&amp;MID(INDEX(매출원본!$AU$8:$AU$2007,$U126),4,2)&amp;"-"&amp;RIGHT(INDEX(매출원본!$AU$8:$AU$2007,$U126),5),IF(LEFT(INDEX(매출원본!$AU$8:$AU$2007,$U126),2)="N:","(번호 없음)",INDEX(매출원본!$AU$8:$AU$2007,$U126))))</f>
        <v/>
      </c>
      <c r="C126" s="38">
        <f>IF($U126="","",INDEX(매출원본!$AV$8:$AV$2007,$U126))</f>
        <v/>
      </c>
      <c r="D126" s="39">
        <f>IF($U126="","",IF($T126="",0,N(INDEX(거래처설정!$E$8:$E$407,$T126))))</f>
        <v/>
      </c>
      <c r="E126" s="39">
        <f>IF($U126="","",SUMIFS(매출원본!$AT$8:$AT$2007,매출원본!$AY$8:$AY$2007,$A126,매출원본!$AS$8:$AS$2007,"&lt;="&amp;설정!$B$5))</f>
        <v/>
      </c>
      <c r="F126" s="39">
        <f>IF($U126="","",SUMIFS(입금_은행1!$Z$8:$Z$2007,입금_은행1!$AC$8:$AC$2007,$A126,입금_은행1!$Y$8:$Y$2007,"&lt;="&amp;설정!$B$5)+SUMIFS(입금_은행2!$Z$8:$Z$2007,입금_은행2!$AC$8:$AC$2007,$A126,입금_은행2!$Y$8:$Y$2007,"&lt;="&amp;설정!$B$5))</f>
        <v/>
      </c>
      <c r="G126" s="39">
        <f>IF($U126="","",$D126+$E126-$F126)</f>
        <v/>
      </c>
      <c r="H126" s="39">
        <f>IF($U126="","",MIN(MAX($G126,0),$V126))</f>
        <v/>
      </c>
      <c r="I126" s="39">
        <f>IF($U126="","",MIN(MAX($G126,0),$W126)-MIN(MAX($G126,0),$V126))</f>
        <v/>
      </c>
      <c r="J126" s="39">
        <f>IF($U126="","",MIN(MAX($G126,0),$X126)-MIN(MAX($G126,0),$W126))</f>
        <v/>
      </c>
      <c r="K126" s="39">
        <f>IF($U126="","",MAX($G126,0)-MIN(MAX($G126,0),$X126))</f>
        <v/>
      </c>
      <c r="L126" s="40">
        <f>IF($U126="","",IF(MAX(SUMPRODUCT(MAX((입금_은행1!$AC$8:$AC$2007=$A126)*(입금_은행1!$AE$8:$AE$2007&lt;=설정!$B$5)*입금_은행1!$AE$8:$AE$2007)),SUMPRODUCT(MAX((입금_은행2!$AC$8:$AC$2007=$A126)*(입금_은행2!$AE$8:$AE$2007&lt;=설정!$B$5)*입금_은행2!$AE$8:$AE$2007)))=0,"",MAX(SUMPRODUCT(MAX((입금_은행1!$AC$8:$AC$2007=$A126)*(입금_은행1!$AE$8:$AE$2007&lt;=설정!$B$5)*입금_은행1!$AE$8:$AE$2007)),SUMPRODUCT(MAX((입금_은행2!$AC$8:$AC$2007=$A126)*(입금_은행2!$AE$8:$AE$2007&lt;=설정!$B$5)*입금_은행2!$AE$8:$AE$2007)))))</f>
        <v/>
      </c>
      <c r="M126" s="38">
        <f>IF($U126="","",IF($T126="","",IF(INDEX(거래처설정!$F$8:$F$407,$T126)="","",INDEX(거래처설정!$F$8:$F$407,$T126))))</f>
        <v/>
      </c>
      <c r="N126" s="38">
        <f>IF($U126="","",IF($T126="","",IF(INDEX(거래처설정!$G$8:$G$407,$T126)="","",INDEX(거래처설정!$G$8:$G$407,$T126))))</f>
        <v/>
      </c>
      <c r="O126" s="38">
        <f>IF($U126="","",IF($M126="제외",0,IF($K126&gt;=설정!$B$9,3,IF($J126+$K126&gt;=설정!$B$9,2,IF($I126+$J126+$K126&gt;=설정!$B$9,1,0)))))</f>
        <v/>
      </c>
      <c r="P126" s="38">
        <f>IF($U126="","",IF($M126="제외","제외(조치 상태)",IF($O126=3,"③ 강한 독촉 후보 ("&amp;설정!$B$8&amp;"일 초과)",IF($O126=2,"② 독촉 후보 ("&amp;설정!$B$7&amp;"일 초과)",IF($O126=1,"① 안내 후보 ("&amp;설정!$B$6&amp;"일 초과)",IF($G126&gt;0,IF($I126+$J126+$K126&gt;0,"오래된 잔액 있음 (최소 금액 미만)","정상 범위"),IF($G126&lt;0,"선수금·초과입금 — 확인","완납")))))))</f>
        <v/>
      </c>
      <c r="Q126" s="38">
        <f>IF($U126="","",IF($G126&lt;0,"입금이 매출보다 큼 — 선수금이거나 다른 거래처 입금이 섞였는지 확인",IF(AND($AE126&lt;&gt;"",COUNTIF($AE$8:$AE$307,"*"&amp;$AE126&amp;"*")&gt;1),"이름이 다른 거래처와 겹침 — 입금이 잘못 맞았을 수 있으니 별칭 확인",IF(AND($G126&gt;0,$F126=0),"입금 매칭 없음 — 입금자명이 다르면 [거래처설정]에 별칭 등록",""))))</f>
        <v/>
      </c>
      <c r="R126" s="31">
        <f>IF(OR($U126="",$G126&lt;=0),"",$G126-$A126/10000)</f>
        <v/>
      </c>
      <c r="S126" s="31">
        <f>IF(OR($U126="",$O126&lt;1),"",$O126*10^11+$I126+$J126+$K126-$A126/1000)</f>
        <v/>
      </c>
      <c r="T126" s="31">
        <f>IF($U126="","",IFERROR(MATCH(INDEX(매출원본!$AU$8:$AU$2007,$U126),거래처설정!$I$8:$I$407,0),""))</f>
        <v/>
      </c>
      <c r="U126" s="31">
        <f>IFERROR(MATCH(119,매출원본!$AW$8:$AW$2007,0),"")</f>
        <v/>
      </c>
      <c r="V126" s="31">
        <f>IF($U126="","",MAX(SUMIFS(매출원본!$AT$8:$AT$2007,매출원본!$AY$8:$AY$2007,$A126,매출원본!$AS$8:$AS$2007,"&gt;="&amp;(설정!$B$5-설정!$B$6),매출원본!$AS$8:$AS$2007,"&lt;="&amp;설정!$B$5),0))</f>
        <v/>
      </c>
      <c r="W126" s="31">
        <f>IF($U126="","",MAX($V126,SUMIFS(매출원본!$AT$8:$AT$2007,매출원본!$AY$8:$AY$2007,$A126,매출원본!$AS$8:$AS$2007,"&gt;="&amp;(설정!$B$5-설정!$B$7),매출원본!$AS$8:$AS$2007,"&lt;="&amp;설정!$B$5)))</f>
        <v/>
      </c>
      <c r="X126" s="31">
        <f>IF($U126="","",MAX($W126,SUMIFS(매출원본!$AT$8:$AT$2007,매출원본!$AY$8:$AY$2007,$A126,매출원본!$AS$8:$AS$2007,"&gt;="&amp;(설정!$B$5-설정!$B$8),매출원본!$AS$8:$AS$2007,"&lt;="&amp;설정!$B$5)))</f>
        <v/>
      </c>
      <c r="AC126" s="31">
        <f>IF(OR($U126="",$T126=""),"",INDEX(거래처설정!$J$8:$J$407,$T126))</f>
        <v/>
      </c>
      <c r="AD126" s="31">
        <f>IF(OR($U126="",$T126=""),"",INDEX(거래처설정!$K$8:$K$407,$T126))</f>
        <v/>
      </c>
      <c r="AE126" s="31">
        <f>IF($U126="","",IF(LEN(SUBSTITUTE(SUBSTITUTE(SUBSTITUTE(SUBSTITUTE(SUBSTITUTE(SUBSTITUTE(SUBSTITUTE(SUBSTITUTE(SUBSTITUTE($C126," ",""),"　",""),"(주)",""),"（주）",""),"㈜",""),"주식회사",""),"(유)",""),"（유）",""),"유한회사",""))&lt;2,"",SUBSTITUTE(SUBSTITUTE(SUBSTITUTE(SUBSTITUTE(SUBSTITUTE(SUBSTITUTE(SUBSTITUTE(SUBSTITUTE(SUBSTITUTE($C126," ",""),"　",""),"(주)",""),"（주）",""),"㈜",""),"주식회사",""),"(유)",""),"（유）",""),"유한회사","")))</f>
        <v/>
      </c>
    </row>
    <row r="127">
      <c r="A127" s="38">
        <f>IF($U127="","",120)</f>
        <v/>
      </c>
      <c r="B127" s="38">
        <f>IF($U127="","",IF(LEN(INDEX(매출원본!$AU$8:$AU$2007,$U127))=10,LEFT(INDEX(매출원본!$AU$8:$AU$2007,$U127),3)&amp;"-"&amp;MID(INDEX(매출원본!$AU$8:$AU$2007,$U127),4,2)&amp;"-"&amp;RIGHT(INDEX(매출원본!$AU$8:$AU$2007,$U127),5),IF(LEFT(INDEX(매출원본!$AU$8:$AU$2007,$U127),2)="N:","(번호 없음)",INDEX(매출원본!$AU$8:$AU$2007,$U127))))</f>
        <v/>
      </c>
      <c r="C127" s="38">
        <f>IF($U127="","",INDEX(매출원본!$AV$8:$AV$2007,$U127))</f>
        <v/>
      </c>
      <c r="D127" s="39">
        <f>IF($U127="","",IF($T127="",0,N(INDEX(거래처설정!$E$8:$E$407,$T127))))</f>
        <v/>
      </c>
      <c r="E127" s="39">
        <f>IF($U127="","",SUMIFS(매출원본!$AT$8:$AT$2007,매출원본!$AY$8:$AY$2007,$A127,매출원본!$AS$8:$AS$2007,"&lt;="&amp;설정!$B$5))</f>
        <v/>
      </c>
      <c r="F127" s="39">
        <f>IF($U127="","",SUMIFS(입금_은행1!$Z$8:$Z$2007,입금_은행1!$AC$8:$AC$2007,$A127,입금_은행1!$Y$8:$Y$2007,"&lt;="&amp;설정!$B$5)+SUMIFS(입금_은행2!$Z$8:$Z$2007,입금_은행2!$AC$8:$AC$2007,$A127,입금_은행2!$Y$8:$Y$2007,"&lt;="&amp;설정!$B$5))</f>
        <v/>
      </c>
      <c r="G127" s="39">
        <f>IF($U127="","",$D127+$E127-$F127)</f>
        <v/>
      </c>
      <c r="H127" s="39">
        <f>IF($U127="","",MIN(MAX($G127,0),$V127))</f>
        <v/>
      </c>
      <c r="I127" s="39">
        <f>IF($U127="","",MIN(MAX($G127,0),$W127)-MIN(MAX($G127,0),$V127))</f>
        <v/>
      </c>
      <c r="J127" s="39">
        <f>IF($U127="","",MIN(MAX($G127,0),$X127)-MIN(MAX($G127,0),$W127))</f>
        <v/>
      </c>
      <c r="K127" s="39">
        <f>IF($U127="","",MAX($G127,0)-MIN(MAX($G127,0),$X127))</f>
        <v/>
      </c>
      <c r="L127" s="40">
        <f>IF($U127="","",IF(MAX(SUMPRODUCT(MAX((입금_은행1!$AC$8:$AC$2007=$A127)*(입금_은행1!$AE$8:$AE$2007&lt;=설정!$B$5)*입금_은행1!$AE$8:$AE$2007)),SUMPRODUCT(MAX((입금_은행2!$AC$8:$AC$2007=$A127)*(입금_은행2!$AE$8:$AE$2007&lt;=설정!$B$5)*입금_은행2!$AE$8:$AE$2007)))=0,"",MAX(SUMPRODUCT(MAX((입금_은행1!$AC$8:$AC$2007=$A127)*(입금_은행1!$AE$8:$AE$2007&lt;=설정!$B$5)*입금_은행1!$AE$8:$AE$2007)),SUMPRODUCT(MAX((입금_은행2!$AC$8:$AC$2007=$A127)*(입금_은행2!$AE$8:$AE$2007&lt;=설정!$B$5)*입금_은행2!$AE$8:$AE$2007)))))</f>
        <v/>
      </c>
      <c r="M127" s="38">
        <f>IF($U127="","",IF($T127="","",IF(INDEX(거래처설정!$F$8:$F$407,$T127)="","",INDEX(거래처설정!$F$8:$F$407,$T127))))</f>
        <v/>
      </c>
      <c r="N127" s="38">
        <f>IF($U127="","",IF($T127="","",IF(INDEX(거래처설정!$G$8:$G$407,$T127)="","",INDEX(거래처설정!$G$8:$G$407,$T127))))</f>
        <v/>
      </c>
      <c r="O127" s="38">
        <f>IF($U127="","",IF($M127="제외",0,IF($K127&gt;=설정!$B$9,3,IF($J127+$K127&gt;=설정!$B$9,2,IF($I127+$J127+$K127&gt;=설정!$B$9,1,0)))))</f>
        <v/>
      </c>
      <c r="P127" s="38">
        <f>IF($U127="","",IF($M127="제외","제외(조치 상태)",IF($O127=3,"③ 강한 독촉 후보 ("&amp;설정!$B$8&amp;"일 초과)",IF($O127=2,"② 독촉 후보 ("&amp;설정!$B$7&amp;"일 초과)",IF($O127=1,"① 안내 후보 ("&amp;설정!$B$6&amp;"일 초과)",IF($G127&gt;0,IF($I127+$J127+$K127&gt;0,"오래된 잔액 있음 (최소 금액 미만)","정상 범위"),IF($G127&lt;0,"선수금·초과입금 — 확인","완납")))))))</f>
        <v/>
      </c>
      <c r="Q127" s="38">
        <f>IF($U127="","",IF($G127&lt;0,"입금이 매출보다 큼 — 선수금이거나 다른 거래처 입금이 섞였는지 확인",IF(AND($AE127&lt;&gt;"",COUNTIF($AE$8:$AE$307,"*"&amp;$AE127&amp;"*")&gt;1),"이름이 다른 거래처와 겹침 — 입금이 잘못 맞았을 수 있으니 별칭 확인",IF(AND($G127&gt;0,$F127=0),"입금 매칭 없음 — 입금자명이 다르면 [거래처설정]에 별칭 등록",""))))</f>
        <v/>
      </c>
      <c r="R127" s="31">
        <f>IF(OR($U127="",$G127&lt;=0),"",$G127-$A127/10000)</f>
        <v/>
      </c>
      <c r="S127" s="31">
        <f>IF(OR($U127="",$O127&lt;1),"",$O127*10^11+$I127+$J127+$K127-$A127/1000)</f>
        <v/>
      </c>
      <c r="T127" s="31">
        <f>IF($U127="","",IFERROR(MATCH(INDEX(매출원본!$AU$8:$AU$2007,$U127),거래처설정!$I$8:$I$407,0),""))</f>
        <v/>
      </c>
      <c r="U127" s="31">
        <f>IFERROR(MATCH(120,매출원본!$AW$8:$AW$2007,0),"")</f>
        <v/>
      </c>
      <c r="V127" s="31">
        <f>IF($U127="","",MAX(SUMIFS(매출원본!$AT$8:$AT$2007,매출원본!$AY$8:$AY$2007,$A127,매출원본!$AS$8:$AS$2007,"&gt;="&amp;(설정!$B$5-설정!$B$6),매출원본!$AS$8:$AS$2007,"&lt;="&amp;설정!$B$5),0))</f>
        <v/>
      </c>
      <c r="W127" s="31">
        <f>IF($U127="","",MAX($V127,SUMIFS(매출원본!$AT$8:$AT$2007,매출원본!$AY$8:$AY$2007,$A127,매출원본!$AS$8:$AS$2007,"&gt;="&amp;(설정!$B$5-설정!$B$7),매출원본!$AS$8:$AS$2007,"&lt;="&amp;설정!$B$5)))</f>
        <v/>
      </c>
      <c r="X127" s="31">
        <f>IF($U127="","",MAX($W127,SUMIFS(매출원본!$AT$8:$AT$2007,매출원본!$AY$8:$AY$2007,$A127,매출원본!$AS$8:$AS$2007,"&gt;="&amp;(설정!$B$5-설정!$B$8),매출원본!$AS$8:$AS$2007,"&lt;="&amp;설정!$B$5)))</f>
        <v/>
      </c>
      <c r="AC127" s="31">
        <f>IF(OR($U127="",$T127=""),"",INDEX(거래처설정!$J$8:$J$407,$T127))</f>
        <v/>
      </c>
      <c r="AD127" s="31">
        <f>IF(OR($U127="",$T127=""),"",INDEX(거래처설정!$K$8:$K$407,$T127))</f>
        <v/>
      </c>
      <c r="AE127" s="31">
        <f>IF($U127="","",IF(LEN(SUBSTITUTE(SUBSTITUTE(SUBSTITUTE(SUBSTITUTE(SUBSTITUTE(SUBSTITUTE(SUBSTITUTE(SUBSTITUTE(SUBSTITUTE($C127," ",""),"　",""),"(주)",""),"（주）",""),"㈜",""),"주식회사",""),"(유)",""),"（유）",""),"유한회사",""))&lt;2,"",SUBSTITUTE(SUBSTITUTE(SUBSTITUTE(SUBSTITUTE(SUBSTITUTE(SUBSTITUTE(SUBSTITUTE(SUBSTITUTE(SUBSTITUTE($C127," ",""),"　",""),"(주)",""),"（주）",""),"㈜",""),"주식회사",""),"(유)",""),"（유）",""),"유한회사","")))</f>
        <v/>
      </c>
    </row>
    <row r="128">
      <c r="A128" s="38">
        <f>IF($U128="","",121)</f>
        <v/>
      </c>
      <c r="B128" s="38">
        <f>IF($U128="","",IF(LEN(INDEX(매출원본!$AU$8:$AU$2007,$U128))=10,LEFT(INDEX(매출원본!$AU$8:$AU$2007,$U128),3)&amp;"-"&amp;MID(INDEX(매출원본!$AU$8:$AU$2007,$U128),4,2)&amp;"-"&amp;RIGHT(INDEX(매출원본!$AU$8:$AU$2007,$U128),5),IF(LEFT(INDEX(매출원본!$AU$8:$AU$2007,$U128),2)="N:","(번호 없음)",INDEX(매출원본!$AU$8:$AU$2007,$U128))))</f>
        <v/>
      </c>
      <c r="C128" s="38">
        <f>IF($U128="","",INDEX(매출원본!$AV$8:$AV$2007,$U128))</f>
        <v/>
      </c>
      <c r="D128" s="39">
        <f>IF($U128="","",IF($T128="",0,N(INDEX(거래처설정!$E$8:$E$407,$T128))))</f>
        <v/>
      </c>
      <c r="E128" s="39">
        <f>IF($U128="","",SUMIFS(매출원본!$AT$8:$AT$2007,매출원본!$AY$8:$AY$2007,$A128,매출원본!$AS$8:$AS$2007,"&lt;="&amp;설정!$B$5))</f>
        <v/>
      </c>
      <c r="F128" s="39">
        <f>IF($U128="","",SUMIFS(입금_은행1!$Z$8:$Z$2007,입금_은행1!$AC$8:$AC$2007,$A128,입금_은행1!$Y$8:$Y$2007,"&lt;="&amp;설정!$B$5)+SUMIFS(입금_은행2!$Z$8:$Z$2007,입금_은행2!$AC$8:$AC$2007,$A128,입금_은행2!$Y$8:$Y$2007,"&lt;="&amp;설정!$B$5))</f>
        <v/>
      </c>
      <c r="G128" s="39">
        <f>IF($U128="","",$D128+$E128-$F128)</f>
        <v/>
      </c>
      <c r="H128" s="39">
        <f>IF($U128="","",MIN(MAX($G128,0),$V128))</f>
        <v/>
      </c>
      <c r="I128" s="39">
        <f>IF($U128="","",MIN(MAX($G128,0),$W128)-MIN(MAX($G128,0),$V128))</f>
        <v/>
      </c>
      <c r="J128" s="39">
        <f>IF($U128="","",MIN(MAX($G128,0),$X128)-MIN(MAX($G128,0),$W128))</f>
        <v/>
      </c>
      <c r="K128" s="39">
        <f>IF($U128="","",MAX($G128,0)-MIN(MAX($G128,0),$X128))</f>
        <v/>
      </c>
      <c r="L128" s="40">
        <f>IF($U128="","",IF(MAX(SUMPRODUCT(MAX((입금_은행1!$AC$8:$AC$2007=$A128)*(입금_은행1!$AE$8:$AE$2007&lt;=설정!$B$5)*입금_은행1!$AE$8:$AE$2007)),SUMPRODUCT(MAX((입금_은행2!$AC$8:$AC$2007=$A128)*(입금_은행2!$AE$8:$AE$2007&lt;=설정!$B$5)*입금_은행2!$AE$8:$AE$2007)))=0,"",MAX(SUMPRODUCT(MAX((입금_은행1!$AC$8:$AC$2007=$A128)*(입금_은행1!$AE$8:$AE$2007&lt;=설정!$B$5)*입금_은행1!$AE$8:$AE$2007)),SUMPRODUCT(MAX((입금_은행2!$AC$8:$AC$2007=$A128)*(입금_은행2!$AE$8:$AE$2007&lt;=설정!$B$5)*입금_은행2!$AE$8:$AE$2007)))))</f>
        <v/>
      </c>
      <c r="M128" s="38">
        <f>IF($U128="","",IF($T128="","",IF(INDEX(거래처설정!$F$8:$F$407,$T128)="","",INDEX(거래처설정!$F$8:$F$407,$T128))))</f>
        <v/>
      </c>
      <c r="N128" s="38">
        <f>IF($U128="","",IF($T128="","",IF(INDEX(거래처설정!$G$8:$G$407,$T128)="","",INDEX(거래처설정!$G$8:$G$407,$T128))))</f>
        <v/>
      </c>
      <c r="O128" s="38">
        <f>IF($U128="","",IF($M128="제외",0,IF($K128&gt;=설정!$B$9,3,IF($J128+$K128&gt;=설정!$B$9,2,IF($I128+$J128+$K128&gt;=설정!$B$9,1,0)))))</f>
        <v/>
      </c>
      <c r="P128" s="38">
        <f>IF($U128="","",IF($M128="제외","제외(조치 상태)",IF($O128=3,"③ 강한 독촉 후보 ("&amp;설정!$B$8&amp;"일 초과)",IF($O128=2,"② 독촉 후보 ("&amp;설정!$B$7&amp;"일 초과)",IF($O128=1,"① 안내 후보 ("&amp;설정!$B$6&amp;"일 초과)",IF($G128&gt;0,IF($I128+$J128+$K128&gt;0,"오래된 잔액 있음 (최소 금액 미만)","정상 범위"),IF($G128&lt;0,"선수금·초과입금 — 확인","완납")))))))</f>
        <v/>
      </c>
      <c r="Q128" s="38">
        <f>IF($U128="","",IF($G128&lt;0,"입금이 매출보다 큼 — 선수금이거나 다른 거래처 입금이 섞였는지 확인",IF(AND($AE128&lt;&gt;"",COUNTIF($AE$8:$AE$307,"*"&amp;$AE128&amp;"*")&gt;1),"이름이 다른 거래처와 겹침 — 입금이 잘못 맞았을 수 있으니 별칭 확인",IF(AND($G128&gt;0,$F128=0),"입금 매칭 없음 — 입금자명이 다르면 [거래처설정]에 별칭 등록",""))))</f>
        <v/>
      </c>
      <c r="R128" s="31">
        <f>IF(OR($U128="",$G128&lt;=0),"",$G128-$A128/10000)</f>
        <v/>
      </c>
      <c r="S128" s="31">
        <f>IF(OR($U128="",$O128&lt;1),"",$O128*10^11+$I128+$J128+$K128-$A128/1000)</f>
        <v/>
      </c>
      <c r="T128" s="31">
        <f>IF($U128="","",IFERROR(MATCH(INDEX(매출원본!$AU$8:$AU$2007,$U128),거래처설정!$I$8:$I$407,0),""))</f>
        <v/>
      </c>
      <c r="U128" s="31">
        <f>IFERROR(MATCH(121,매출원본!$AW$8:$AW$2007,0),"")</f>
        <v/>
      </c>
      <c r="V128" s="31">
        <f>IF($U128="","",MAX(SUMIFS(매출원본!$AT$8:$AT$2007,매출원본!$AY$8:$AY$2007,$A128,매출원본!$AS$8:$AS$2007,"&gt;="&amp;(설정!$B$5-설정!$B$6),매출원본!$AS$8:$AS$2007,"&lt;="&amp;설정!$B$5),0))</f>
        <v/>
      </c>
      <c r="W128" s="31">
        <f>IF($U128="","",MAX($V128,SUMIFS(매출원본!$AT$8:$AT$2007,매출원본!$AY$8:$AY$2007,$A128,매출원본!$AS$8:$AS$2007,"&gt;="&amp;(설정!$B$5-설정!$B$7),매출원본!$AS$8:$AS$2007,"&lt;="&amp;설정!$B$5)))</f>
        <v/>
      </c>
      <c r="X128" s="31">
        <f>IF($U128="","",MAX($W128,SUMIFS(매출원본!$AT$8:$AT$2007,매출원본!$AY$8:$AY$2007,$A128,매출원본!$AS$8:$AS$2007,"&gt;="&amp;(설정!$B$5-설정!$B$8),매출원본!$AS$8:$AS$2007,"&lt;="&amp;설정!$B$5)))</f>
        <v/>
      </c>
      <c r="AC128" s="31">
        <f>IF(OR($U128="",$T128=""),"",INDEX(거래처설정!$J$8:$J$407,$T128))</f>
        <v/>
      </c>
      <c r="AD128" s="31">
        <f>IF(OR($U128="",$T128=""),"",INDEX(거래처설정!$K$8:$K$407,$T128))</f>
        <v/>
      </c>
      <c r="AE128" s="31">
        <f>IF($U128="","",IF(LEN(SUBSTITUTE(SUBSTITUTE(SUBSTITUTE(SUBSTITUTE(SUBSTITUTE(SUBSTITUTE(SUBSTITUTE(SUBSTITUTE(SUBSTITUTE($C128," ",""),"　",""),"(주)",""),"（주）",""),"㈜",""),"주식회사",""),"(유)",""),"（유）",""),"유한회사",""))&lt;2,"",SUBSTITUTE(SUBSTITUTE(SUBSTITUTE(SUBSTITUTE(SUBSTITUTE(SUBSTITUTE(SUBSTITUTE(SUBSTITUTE(SUBSTITUTE($C128," ",""),"　",""),"(주)",""),"（주）",""),"㈜",""),"주식회사",""),"(유)",""),"（유）",""),"유한회사","")))</f>
        <v/>
      </c>
    </row>
    <row r="129">
      <c r="A129" s="38">
        <f>IF($U129="","",122)</f>
        <v/>
      </c>
      <c r="B129" s="38">
        <f>IF($U129="","",IF(LEN(INDEX(매출원본!$AU$8:$AU$2007,$U129))=10,LEFT(INDEX(매출원본!$AU$8:$AU$2007,$U129),3)&amp;"-"&amp;MID(INDEX(매출원본!$AU$8:$AU$2007,$U129),4,2)&amp;"-"&amp;RIGHT(INDEX(매출원본!$AU$8:$AU$2007,$U129),5),IF(LEFT(INDEX(매출원본!$AU$8:$AU$2007,$U129),2)="N:","(번호 없음)",INDEX(매출원본!$AU$8:$AU$2007,$U129))))</f>
        <v/>
      </c>
      <c r="C129" s="38">
        <f>IF($U129="","",INDEX(매출원본!$AV$8:$AV$2007,$U129))</f>
        <v/>
      </c>
      <c r="D129" s="39">
        <f>IF($U129="","",IF($T129="",0,N(INDEX(거래처설정!$E$8:$E$407,$T129))))</f>
        <v/>
      </c>
      <c r="E129" s="39">
        <f>IF($U129="","",SUMIFS(매출원본!$AT$8:$AT$2007,매출원본!$AY$8:$AY$2007,$A129,매출원본!$AS$8:$AS$2007,"&lt;="&amp;설정!$B$5))</f>
        <v/>
      </c>
      <c r="F129" s="39">
        <f>IF($U129="","",SUMIFS(입금_은행1!$Z$8:$Z$2007,입금_은행1!$AC$8:$AC$2007,$A129,입금_은행1!$Y$8:$Y$2007,"&lt;="&amp;설정!$B$5)+SUMIFS(입금_은행2!$Z$8:$Z$2007,입금_은행2!$AC$8:$AC$2007,$A129,입금_은행2!$Y$8:$Y$2007,"&lt;="&amp;설정!$B$5))</f>
        <v/>
      </c>
      <c r="G129" s="39">
        <f>IF($U129="","",$D129+$E129-$F129)</f>
        <v/>
      </c>
      <c r="H129" s="39">
        <f>IF($U129="","",MIN(MAX($G129,0),$V129))</f>
        <v/>
      </c>
      <c r="I129" s="39">
        <f>IF($U129="","",MIN(MAX($G129,0),$W129)-MIN(MAX($G129,0),$V129))</f>
        <v/>
      </c>
      <c r="J129" s="39">
        <f>IF($U129="","",MIN(MAX($G129,0),$X129)-MIN(MAX($G129,0),$W129))</f>
        <v/>
      </c>
      <c r="K129" s="39">
        <f>IF($U129="","",MAX($G129,0)-MIN(MAX($G129,0),$X129))</f>
        <v/>
      </c>
      <c r="L129" s="40">
        <f>IF($U129="","",IF(MAX(SUMPRODUCT(MAX((입금_은행1!$AC$8:$AC$2007=$A129)*(입금_은행1!$AE$8:$AE$2007&lt;=설정!$B$5)*입금_은행1!$AE$8:$AE$2007)),SUMPRODUCT(MAX((입금_은행2!$AC$8:$AC$2007=$A129)*(입금_은행2!$AE$8:$AE$2007&lt;=설정!$B$5)*입금_은행2!$AE$8:$AE$2007)))=0,"",MAX(SUMPRODUCT(MAX((입금_은행1!$AC$8:$AC$2007=$A129)*(입금_은행1!$AE$8:$AE$2007&lt;=설정!$B$5)*입금_은행1!$AE$8:$AE$2007)),SUMPRODUCT(MAX((입금_은행2!$AC$8:$AC$2007=$A129)*(입금_은행2!$AE$8:$AE$2007&lt;=설정!$B$5)*입금_은행2!$AE$8:$AE$2007)))))</f>
        <v/>
      </c>
      <c r="M129" s="38">
        <f>IF($U129="","",IF($T129="","",IF(INDEX(거래처설정!$F$8:$F$407,$T129)="","",INDEX(거래처설정!$F$8:$F$407,$T129))))</f>
        <v/>
      </c>
      <c r="N129" s="38">
        <f>IF($U129="","",IF($T129="","",IF(INDEX(거래처설정!$G$8:$G$407,$T129)="","",INDEX(거래처설정!$G$8:$G$407,$T129))))</f>
        <v/>
      </c>
      <c r="O129" s="38">
        <f>IF($U129="","",IF($M129="제외",0,IF($K129&gt;=설정!$B$9,3,IF($J129+$K129&gt;=설정!$B$9,2,IF($I129+$J129+$K129&gt;=설정!$B$9,1,0)))))</f>
        <v/>
      </c>
      <c r="P129" s="38">
        <f>IF($U129="","",IF($M129="제외","제외(조치 상태)",IF($O129=3,"③ 강한 독촉 후보 ("&amp;설정!$B$8&amp;"일 초과)",IF($O129=2,"② 독촉 후보 ("&amp;설정!$B$7&amp;"일 초과)",IF($O129=1,"① 안내 후보 ("&amp;설정!$B$6&amp;"일 초과)",IF($G129&gt;0,IF($I129+$J129+$K129&gt;0,"오래된 잔액 있음 (최소 금액 미만)","정상 범위"),IF($G129&lt;0,"선수금·초과입금 — 확인","완납")))))))</f>
        <v/>
      </c>
      <c r="Q129" s="38">
        <f>IF($U129="","",IF($G129&lt;0,"입금이 매출보다 큼 — 선수금이거나 다른 거래처 입금이 섞였는지 확인",IF(AND($AE129&lt;&gt;"",COUNTIF($AE$8:$AE$307,"*"&amp;$AE129&amp;"*")&gt;1),"이름이 다른 거래처와 겹침 — 입금이 잘못 맞았을 수 있으니 별칭 확인",IF(AND($G129&gt;0,$F129=0),"입금 매칭 없음 — 입금자명이 다르면 [거래처설정]에 별칭 등록",""))))</f>
        <v/>
      </c>
      <c r="R129" s="31">
        <f>IF(OR($U129="",$G129&lt;=0),"",$G129-$A129/10000)</f>
        <v/>
      </c>
      <c r="S129" s="31">
        <f>IF(OR($U129="",$O129&lt;1),"",$O129*10^11+$I129+$J129+$K129-$A129/1000)</f>
        <v/>
      </c>
      <c r="T129" s="31">
        <f>IF($U129="","",IFERROR(MATCH(INDEX(매출원본!$AU$8:$AU$2007,$U129),거래처설정!$I$8:$I$407,0),""))</f>
        <v/>
      </c>
      <c r="U129" s="31">
        <f>IFERROR(MATCH(122,매출원본!$AW$8:$AW$2007,0),"")</f>
        <v/>
      </c>
      <c r="V129" s="31">
        <f>IF($U129="","",MAX(SUMIFS(매출원본!$AT$8:$AT$2007,매출원본!$AY$8:$AY$2007,$A129,매출원본!$AS$8:$AS$2007,"&gt;="&amp;(설정!$B$5-설정!$B$6),매출원본!$AS$8:$AS$2007,"&lt;="&amp;설정!$B$5),0))</f>
        <v/>
      </c>
      <c r="W129" s="31">
        <f>IF($U129="","",MAX($V129,SUMIFS(매출원본!$AT$8:$AT$2007,매출원본!$AY$8:$AY$2007,$A129,매출원본!$AS$8:$AS$2007,"&gt;="&amp;(설정!$B$5-설정!$B$7),매출원본!$AS$8:$AS$2007,"&lt;="&amp;설정!$B$5)))</f>
        <v/>
      </c>
      <c r="X129" s="31">
        <f>IF($U129="","",MAX($W129,SUMIFS(매출원본!$AT$8:$AT$2007,매출원본!$AY$8:$AY$2007,$A129,매출원본!$AS$8:$AS$2007,"&gt;="&amp;(설정!$B$5-설정!$B$8),매출원본!$AS$8:$AS$2007,"&lt;="&amp;설정!$B$5)))</f>
        <v/>
      </c>
      <c r="AC129" s="31">
        <f>IF(OR($U129="",$T129=""),"",INDEX(거래처설정!$J$8:$J$407,$T129))</f>
        <v/>
      </c>
      <c r="AD129" s="31">
        <f>IF(OR($U129="",$T129=""),"",INDEX(거래처설정!$K$8:$K$407,$T129))</f>
        <v/>
      </c>
      <c r="AE129" s="31">
        <f>IF($U129="","",IF(LEN(SUBSTITUTE(SUBSTITUTE(SUBSTITUTE(SUBSTITUTE(SUBSTITUTE(SUBSTITUTE(SUBSTITUTE(SUBSTITUTE(SUBSTITUTE($C129," ",""),"　",""),"(주)",""),"（주）",""),"㈜",""),"주식회사",""),"(유)",""),"（유）",""),"유한회사",""))&lt;2,"",SUBSTITUTE(SUBSTITUTE(SUBSTITUTE(SUBSTITUTE(SUBSTITUTE(SUBSTITUTE(SUBSTITUTE(SUBSTITUTE(SUBSTITUTE($C129," ",""),"　",""),"(주)",""),"（주）",""),"㈜",""),"주식회사",""),"(유)",""),"（유）",""),"유한회사","")))</f>
        <v/>
      </c>
    </row>
    <row r="130">
      <c r="A130" s="38">
        <f>IF($U130="","",123)</f>
        <v/>
      </c>
      <c r="B130" s="38">
        <f>IF($U130="","",IF(LEN(INDEX(매출원본!$AU$8:$AU$2007,$U130))=10,LEFT(INDEX(매출원본!$AU$8:$AU$2007,$U130),3)&amp;"-"&amp;MID(INDEX(매출원본!$AU$8:$AU$2007,$U130),4,2)&amp;"-"&amp;RIGHT(INDEX(매출원본!$AU$8:$AU$2007,$U130),5),IF(LEFT(INDEX(매출원본!$AU$8:$AU$2007,$U130),2)="N:","(번호 없음)",INDEX(매출원본!$AU$8:$AU$2007,$U130))))</f>
        <v/>
      </c>
      <c r="C130" s="38">
        <f>IF($U130="","",INDEX(매출원본!$AV$8:$AV$2007,$U130))</f>
        <v/>
      </c>
      <c r="D130" s="39">
        <f>IF($U130="","",IF($T130="",0,N(INDEX(거래처설정!$E$8:$E$407,$T130))))</f>
        <v/>
      </c>
      <c r="E130" s="39">
        <f>IF($U130="","",SUMIFS(매출원본!$AT$8:$AT$2007,매출원본!$AY$8:$AY$2007,$A130,매출원본!$AS$8:$AS$2007,"&lt;="&amp;설정!$B$5))</f>
        <v/>
      </c>
      <c r="F130" s="39">
        <f>IF($U130="","",SUMIFS(입금_은행1!$Z$8:$Z$2007,입금_은행1!$AC$8:$AC$2007,$A130,입금_은행1!$Y$8:$Y$2007,"&lt;="&amp;설정!$B$5)+SUMIFS(입금_은행2!$Z$8:$Z$2007,입금_은행2!$AC$8:$AC$2007,$A130,입금_은행2!$Y$8:$Y$2007,"&lt;="&amp;설정!$B$5))</f>
        <v/>
      </c>
      <c r="G130" s="39">
        <f>IF($U130="","",$D130+$E130-$F130)</f>
        <v/>
      </c>
      <c r="H130" s="39">
        <f>IF($U130="","",MIN(MAX($G130,0),$V130))</f>
        <v/>
      </c>
      <c r="I130" s="39">
        <f>IF($U130="","",MIN(MAX($G130,0),$W130)-MIN(MAX($G130,0),$V130))</f>
        <v/>
      </c>
      <c r="J130" s="39">
        <f>IF($U130="","",MIN(MAX($G130,0),$X130)-MIN(MAX($G130,0),$W130))</f>
        <v/>
      </c>
      <c r="K130" s="39">
        <f>IF($U130="","",MAX($G130,0)-MIN(MAX($G130,0),$X130))</f>
        <v/>
      </c>
      <c r="L130" s="40">
        <f>IF($U130="","",IF(MAX(SUMPRODUCT(MAX((입금_은행1!$AC$8:$AC$2007=$A130)*(입금_은행1!$AE$8:$AE$2007&lt;=설정!$B$5)*입금_은행1!$AE$8:$AE$2007)),SUMPRODUCT(MAX((입금_은행2!$AC$8:$AC$2007=$A130)*(입금_은행2!$AE$8:$AE$2007&lt;=설정!$B$5)*입금_은행2!$AE$8:$AE$2007)))=0,"",MAX(SUMPRODUCT(MAX((입금_은행1!$AC$8:$AC$2007=$A130)*(입금_은행1!$AE$8:$AE$2007&lt;=설정!$B$5)*입금_은행1!$AE$8:$AE$2007)),SUMPRODUCT(MAX((입금_은행2!$AC$8:$AC$2007=$A130)*(입금_은행2!$AE$8:$AE$2007&lt;=설정!$B$5)*입금_은행2!$AE$8:$AE$2007)))))</f>
        <v/>
      </c>
      <c r="M130" s="38">
        <f>IF($U130="","",IF($T130="","",IF(INDEX(거래처설정!$F$8:$F$407,$T130)="","",INDEX(거래처설정!$F$8:$F$407,$T130))))</f>
        <v/>
      </c>
      <c r="N130" s="38">
        <f>IF($U130="","",IF($T130="","",IF(INDEX(거래처설정!$G$8:$G$407,$T130)="","",INDEX(거래처설정!$G$8:$G$407,$T130))))</f>
        <v/>
      </c>
      <c r="O130" s="38">
        <f>IF($U130="","",IF($M130="제외",0,IF($K130&gt;=설정!$B$9,3,IF($J130+$K130&gt;=설정!$B$9,2,IF($I130+$J130+$K130&gt;=설정!$B$9,1,0)))))</f>
        <v/>
      </c>
      <c r="P130" s="38">
        <f>IF($U130="","",IF($M130="제외","제외(조치 상태)",IF($O130=3,"③ 강한 독촉 후보 ("&amp;설정!$B$8&amp;"일 초과)",IF($O130=2,"② 독촉 후보 ("&amp;설정!$B$7&amp;"일 초과)",IF($O130=1,"① 안내 후보 ("&amp;설정!$B$6&amp;"일 초과)",IF($G130&gt;0,IF($I130+$J130+$K130&gt;0,"오래된 잔액 있음 (최소 금액 미만)","정상 범위"),IF($G130&lt;0,"선수금·초과입금 — 확인","완납")))))))</f>
        <v/>
      </c>
      <c r="Q130" s="38">
        <f>IF($U130="","",IF($G130&lt;0,"입금이 매출보다 큼 — 선수금이거나 다른 거래처 입금이 섞였는지 확인",IF(AND($AE130&lt;&gt;"",COUNTIF($AE$8:$AE$307,"*"&amp;$AE130&amp;"*")&gt;1),"이름이 다른 거래처와 겹침 — 입금이 잘못 맞았을 수 있으니 별칭 확인",IF(AND($G130&gt;0,$F130=0),"입금 매칭 없음 — 입금자명이 다르면 [거래처설정]에 별칭 등록",""))))</f>
        <v/>
      </c>
      <c r="R130" s="31">
        <f>IF(OR($U130="",$G130&lt;=0),"",$G130-$A130/10000)</f>
        <v/>
      </c>
      <c r="S130" s="31">
        <f>IF(OR($U130="",$O130&lt;1),"",$O130*10^11+$I130+$J130+$K130-$A130/1000)</f>
        <v/>
      </c>
      <c r="T130" s="31">
        <f>IF($U130="","",IFERROR(MATCH(INDEX(매출원본!$AU$8:$AU$2007,$U130),거래처설정!$I$8:$I$407,0),""))</f>
        <v/>
      </c>
      <c r="U130" s="31">
        <f>IFERROR(MATCH(123,매출원본!$AW$8:$AW$2007,0),"")</f>
        <v/>
      </c>
      <c r="V130" s="31">
        <f>IF($U130="","",MAX(SUMIFS(매출원본!$AT$8:$AT$2007,매출원본!$AY$8:$AY$2007,$A130,매출원본!$AS$8:$AS$2007,"&gt;="&amp;(설정!$B$5-설정!$B$6),매출원본!$AS$8:$AS$2007,"&lt;="&amp;설정!$B$5),0))</f>
        <v/>
      </c>
      <c r="W130" s="31">
        <f>IF($U130="","",MAX($V130,SUMIFS(매출원본!$AT$8:$AT$2007,매출원본!$AY$8:$AY$2007,$A130,매출원본!$AS$8:$AS$2007,"&gt;="&amp;(설정!$B$5-설정!$B$7),매출원본!$AS$8:$AS$2007,"&lt;="&amp;설정!$B$5)))</f>
        <v/>
      </c>
      <c r="X130" s="31">
        <f>IF($U130="","",MAX($W130,SUMIFS(매출원본!$AT$8:$AT$2007,매출원본!$AY$8:$AY$2007,$A130,매출원본!$AS$8:$AS$2007,"&gt;="&amp;(설정!$B$5-설정!$B$8),매출원본!$AS$8:$AS$2007,"&lt;="&amp;설정!$B$5)))</f>
        <v/>
      </c>
      <c r="AC130" s="31">
        <f>IF(OR($U130="",$T130=""),"",INDEX(거래처설정!$J$8:$J$407,$T130))</f>
        <v/>
      </c>
      <c r="AD130" s="31">
        <f>IF(OR($U130="",$T130=""),"",INDEX(거래처설정!$K$8:$K$407,$T130))</f>
        <v/>
      </c>
      <c r="AE130" s="31">
        <f>IF($U130="","",IF(LEN(SUBSTITUTE(SUBSTITUTE(SUBSTITUTE(SUBSTITUTE(SUBSTITUTE(SUBSTITUTE(SUBSTITUTE(SUBSTITUTE(SUBSTITUTE($C130," ",""),"　",""),"(주)",""),"（주）",""),"㈜",""),"주식회사",""),"(유)",""),"（유）",""),"유한회사",""))&lt;2,"",SUBSTITUTE(SUBSTITUTE(SUBSTITUTE(SUBSTITUTE(SUBSTITUTE(SUBSTITUTE(SUBSTITUTE(SUBSTITUTE(SUBSTITUTE($C130," ",""),"　",""),"(주)",""),"（주）",""),"㈜",""),"주식회사",""),"(유)",""),"（유）",""),"유한회사","")))</f>
        <v/>
      </c>
    </row>
    <row r="131">
      <c r="A131" s="38">
        <f>IF($U131="","",124)</f>
        <v/>
      </c>
      <c r="B131" s="38">
        <f>IF($U131="","",IF(LEN(INDEX(매출원본!$AU$8:$AU$2007,$U131))=10,LEFT(INDEX(매출원본!$AU$8:$AU$2007,$U131),3)&amp;"-"&amp;MID(INDEX(매출원본!$AU$8:$AU$2007,$U131),4,2)&amp;"-"&amp;RIGHT(INDEX(매출원본!$AU$8:$AU$2007,$U131),5),IF(LEFT(INDEX(매출원본!$AU$8:$AU$2007,$U131),2)="N:","(번호 없음)",INDEX(매출원본!$AU$8:$AU$2007,$U131))))</f>
        <v/>
      </c>
      <c r="C131" s="38">
        <f>IF($U131="","",INDEX(매출원본!$AV$8:$AV$2007,$U131))</f>
        <v/>
      </c>
      <c r="D131" s="39">
        <f>IF($U131="","",IF($T131="",0,N(INDEX(거래처설정!$E$8:$E$407,$T131))))</f>
        <v/>
      </c>
      <c r="E131" s="39">
        <f>IF($U131="","",SUMIFS(매출원본!$AT$8:$AT$2007,매출원본!$AY$8:$AY$2007,$A131,매출원본!$AS$8:$AS$2007,"&lt;="&amp;설정!$B$5))</f>
        <v/>
      </c>
      <c r="F131" s="39">
        <f>IF($U131="","",SUMIFS(입금_은행1!$Z$8:$Z$2007,입금_은행1!$AC$8:$AC$2007,$A131,입금_은행1!$Y$8:$Y$2007,"&lt;="&amp;설정!$B$5)+SUMIFS(입금_은행2!$Z$8:$Z$2007,입금_은행2!$AC$8:$AC$2007,$A131,입금_은행2!$Y$8:$Y$2007,"&lt;="&amp;설정!$B$5))</f>
        <v/>
      </c>
      <c r="G131" s="39">
        <f>IF($U131="","",$D131+$E131-$F131)</f>
        <v/>
      </c>
      <c r="H131" s="39">
        <f>IF($U131="","",MIN(MAX($G131,0),$V131))</f>
        <v/>
      </c>
      <c r="I131" s="39">
        <f>IF($U131="","",MIN(MAX($G131,0),$W131)-MIN(MAX($G131,0),$V131))</f>
        <v/>
      </c>
      <c r="J131" s="39">
        <f>IF($U131="","",MIN(MAX($G131,0),$X131)-MIN(MAX($G131,0),$W131))</f>
        <v/>
      </c>
      <c r="K131" s="39">
        <f>IF($U131="","",MAX($G131,0)-MIN(MAX($G131,0),$X131))</f>
        <v/>
      </c>
      <c r="L131" s="40">
        <f>IF($U131="","",IF(MAX(SUMPRODUCT(MAX((입금_은행1!$AC$8:$AC$2007=$A131)*(입금_은행1!$AE$8:$AE$2007&lt;=설정!$B$5)*입금_은행1!$AE$8:$AE$2007)),SUMPRODUCT(MAX((입금_은행2!$AC$8:$AC$2007=$A131)*(입금_은행2!$AE$8:$AE$2007&lt;=설정!$B$5)*입금_은행2!$AE$8:$AE$2007)))=0,"",MAX(SUMPRODUCT(MAX((입금_은행1!$AC$8:$AC$2007=$A131)*(입금_은행1!$AE$8:$AE$2007&lt;=설정!$B$5)*입금_은행1!$AE$8:$AE$2007)),SUMPRODUCT(MAX((입금_은행2!$AC$8:$AC$2007=$A131)*(입금_은행2!$AE$8:$AE$2007&lt;=설정!$B$5)*입금_은행2!$AE$8:$AE$2007)))))</f>
        <v/>
      </c>
      <c r="M131" s="38">
        <f>IF($U131="","",IF($T131="","",IF(INDEX(거래처설정!$F$8:$F$407,$T131)="","",INDEX(거래처설정!$F$8:$F$407,$T131))))</f>
        <v/>
      </c>
      <c r="N131" s="38">
        <f>IF($U131="","",IF($T131="","",IF(INDEX(거래처설정!$G$8:$G$407,$T131)="","",INDEX(거래처설정!$G$8:$G$407,$T131))))</f>
        <v/>
      </c>
      <c r="O131" s="38">
        <f>IF($U131="","",IF($M131="제외",0,IF($K131&gt;=설정!$B$9,3,IF($J131+$K131&gt;=설정!$B$9,2,IF($I131+$J131+$K131&gt;=설정!$B$9,1,0)))))</f>
        <v/>
      </c>
      <c r="P131" s="38">
        <f>IF($U131="","",IF($M131="제외","제외(조치 상태)",IF($O131=3,"③ 강한 독촉 후보 ("&amp;설정!$B$8&amp;"일 초과)",IF($O131=2,"② 독촉 후보 ("&amp;설정!$B$7&amp;"일 초과)",IF($O131=1,"① 안내 후보 ("&amp;설정!$B$6&amp;"일 초과)",IF($G131&gt;0,IF($I131+$J131+$K131&gt;0,"오래된 잔액 있음 (최소 금액 미만)","정상 범위"),IF($G131&lt;0,"선수금·초과입금 — 확인","완납")))))))</f>
        <v/>
      </c>
      <c r="Q131" s="38">
        <f>IF($U131="","",IF($G131&lt;0,"입금이 매출보다 큼 — 선수금이거나 다른 거래처 입금이 섞였는지 확인",IF(AND($AE131&lt;&gt;"",COUNTIF($AE$8:$AE$307,"*"&amp;$AE131&amp;"*")&gt;1),"이름이 다른 거래처와 겹침 — 입금이 잘못 맞았을 수 있으니 별칭 확인",IF(AND($G131&gt;0,$F131=0),"입금 매칭 없음 — 입금자명이 다르면 [거래처설정]에 별칭 등록",""))))</f>
        <v/>
      </c>
      <c r="R131" s="31">
        <f>IF(OR($U131="",$G131&lt;=0),"",$G131-$A131/10000)</f>
        <v/>
      </c>
      <c r="S131" s="31">
        <f>IF(OR($U131="",$O131&lt;1),"",$O131*10^11+$I131+$J131+$K131-$A131/1000)</f>
        <v/>
      </c>
      <c r="T131" s="31">
        <f>IF($U131="","",IFERROR(MATCH(INDEX(매출원본!$AU$8:$AU$2007,$U131),거래처설정!$I$8:$I$407,0),""))</f>
        <v/>
      </c>
      <c r="U131" s="31">
        <f>IFERROR(MATCH(124,매출원본!$AW$8:$AW$2007,0),"")</f>
        <v/>
      </c>
      <c r="V131" s="31">
        <f>IF($U131="","",MAX(SUMIFS(매출원본!$AT$8:$AT$2007,매출원본!$AY$8:$AY$2007,$A131,매출원본!$AS$8:$AS$2007,"&gt;="&amp;(설정!$B$5-설정!$B$6),매출원본!$AS$8:$AS$2007,"&lt;="&amp;설정!$B$5),0))</f>
        <v/>
      </c>
      <c r="W131" s="31">
        <f>IF($U131="","",MAX($V131,SUMIFS(매출원본!$AT$8:$AT$2007,매출원본!$AY$8:$AY$2007,$A131,매출원본!$AS$8:$AS$2007,"&gt;="&amp;(설정!$B$5-설정!$B$7),매출원본!$AS$8:$AS$2007,"&lt;="&amp;설정!$B$5)))</f>
        <v/>
      </c>
      <c r="X131" s="31">
        <f>IF($U131="","",MAX($W131,SUMIFS(매출원본!$AT$8:$AT$2007,매출원본!$AY$8:$AY$2007,$A131,매출원본!$AS$8:$AS$2007,"&gt;="&amp;(설정!$B$5-설정!$B$8),매출원본!$AS$8:$AS$2007,"&lt;="&amp;설정!$B$5)))</f>
        <v/>
      </c>
      <c r="AC131" s="31">
        <f>IF(OR($U131="",$T131=""),"",INDEX(거래처설정!$J$8:$J$407,$T131))</f>
        <v/>
      </c>
      <c r="AD131" s="31">
        <f>IF(OR($U131="",$T131=""),"",INDEX(거래처설정!$K$8:$K$407,$T131))</f>
        <v/>
      </c>
      <c r="AE131" s="31">
        <f>IF($U131="","",IF(LEN(SUBSTITUTE(SUBSTITUTE(SUBSTITUTE(SUBSTITUTE(SUBSTITUTE(SUBSTITUTE(SUBSTITUTE(SUBSTITUTE(SUBSTITUTE($C131," ",""),"　",""),"(주)",""),"（주）",""),"㈜",""),"주식회사",""),"(유)",""),"（유）",""),"유한회사",""))&lt;2,"",SUBSTITUTE(SUBSTITUTE(SUBSTITUTE(SUBSTITUTE(SUBSTITUTE(SUBSTITUTE(SUBSTITUTE(SUBSTITUTE(SUBSTITUTE($C131," ",""),"　",""),"(주)",""),"（주）",""),"㈜",""),"주식회사",""),"(유)",""),"（유）",""),"유한회사","")))</f>
        <v/>
      </c>
    </row>
    <row r="132">
      <c r="A132" s="38">
        <f>IF($U132="","",125)</f>
        <v/>
      </c>
      <c r="B132" s="38">
        <f>IF($U132="","",IF(LEN(INDEX(매출원본!$AU$8:$AU$2007,$U132))=10,LEFT(INDEX(매출원본!$AU$8:$AU$2007,$U132),3)&amp;"-"&amp;MID(INDEX(매출원본!$AU$8:$AU$2007,$U132),4,2)&amp;"-"&amp;RIGHT(INDEX(매출원본!$AU$8:$AU$2007,$U132),5),IF(LEFT(INDEX(매출원본!$AU$8:$AU$2007,$U132),2)="N:","(번호 없음)",INDEX(매출원본!$AU$8:$AU$2007,$U132))))</f>
        <v/>
      </c>
      <c r="C132" s="38">
        <f>IF($U132="","",INDEX(매출원본!$AV$8:$AV$2007,$U132))</f>
        <v/>
      </c>
      <c r="D132" s="39">
        <f>IF($U132="","",IF($T132="",0,N(INDEX(거래처설정!$E$8:$E$407,$T132))))</f>
        <v/>
      </c>
      <c r="E132" s="39">
        <f>IF($U132="","",SUMIFS(매출원본!$AT$8:$AT$2007,매출원본!$AY$8:$AY$2007,$A132,매출원본!$AS$8:$AS$2007,"&lt;="&amp;설정!$B$5))</f>
        <v/>
      </c>
      <c r="F132" s="39">
        <f>IF($U132="","",SUMIFS(입금_은행1!$Z$8:$Z$2007,입금_은행1!$AC$8:$AC$2007,$A132,입금_은행1!$Y$8:$Y$2007,"&lt;="&amp;설정!$B$5)+SUMIFS(입금_은행2!$Z$8:$Z$2007,입금_은행2!$AC$8:$AC$2007,$A132,입금_은행2!$Y$8:$Y$2007,"&lt;="&amp;설정!$B$5))</f>
        <v/>
      </c>
      <c r="G132" s="39">
        <f>IF($U132="","",$D132+$E132-$F132)</f>
        <v/>
      </c>
      <c r="H132" s="39">
        <f>IF($U132="","",MIN(MAX($G132,0),$V132))</f>
        <v/>
      </c>
      <c r="I132" s="39">
        <f>IF($U132="","",MIN(MAX($G132,0),$W132)-MIN(MAX($G132,0),$V132))</f>
        <v/>
      </c>
      <c r="J132" s="39">
        <f>IF($U132="","",MIN(MAX($G132,0),$X132)-MIN(MAX($G132,0),$W132))</f>
        <v/>
      </c>
      <c r="K132" s="39">
        <f>IF($U132="","",MAX($G132,0)-MIN(MAX($G132,0),$X132))</f>
        <v/>
      </c>
      <c r="L132" s="40">
        <f>IF($U132="","",IF(MAX(SUMPRODUCT(MAX((입금_은행1!$AC$8:$AC$2007=$A132)*(입금_은행1!$AE$8:$AE$2007&lt;=설정!$B$5)*입금_은행1!$AE$8:$AE$2007)),SUMPRODUCT(MAX((입금_은행2!$AC$8:$AC$2007=$A132)*(입금_은행2!$AE$8:$AE$2007&lt;=설정!$B$5)*입금_은행2!$AE$8:$AE$2007)))=0,"",MAX(SUMPRODUCT(MAX((입금_은행1!$AC$8:$AC$2007=$A132)*(입금_은행1!$AE$8:$AE$2007&lt;=설정!$B$5)*입금_은행1!$AE$8:$AE$2007)),SUMPRODUCT(MAX((입금_은행2!$AC$8:$AC$2007=$A132)*(입금_은행2!$AE$8:$AE$2007&lt;=설정!$B$5)*입금_은행2!$AE$8:$AE$2007)))))</f>
        <v/>
      </c>
      <c r="M132" s="38">
        <f>IF($U132="","",IF($T132="","",IF(INDEX(거래처설정!$F$8:$F$407,$T132)="","",INDEX(거래처설정!$F$8:$F$407,$T132))))</f>
        <v/>
      </c>
      <c r="N132" s="38">
        <f>IF($U132="","",IF($T132="","",IF(INDEX(거래처설정!$G$8:$G$407,$T132)="","",INDEX(거래처설정!$G$8:$G$407,$T132))))</f>
        <v/>
      </c>
      <c r="O132" s="38">
        <f>IF($U132="","",IF($M132="제외",0,IF($K132&gt;=설정!$B$9,3,IF($J132+$K132&gt;=설정!$B$9,2,IF($I132+$J132+$K132&gt;=설정!$B$9,1,0)))))</f>
        <v/>
      </c>
      <c r="P132" s="38">
        <f>IF($U132="","",IF($M132="제외","제외(조치 상태)",IF($O132=3,"③ 강한 독촉 후보 ("&amp;설정!$B$8&amp;"일 초과)",IF($O132=2,"② 독촉 후보 ("&amp;설정!$B$7&amp;"일 초과)",IF($O132=1,"① 안내 후보 ("&amp;설정!$B$6&amp;"일 초과)",IF($G132&gt;0,IF($I132+$J132+$K132&gt;0,"오래된 잔액 있음 (최소 금액 미만)","정상 범위"),IF($G132&lt;0,"선수금·초과입금 — 확인","완납")))))))</f>
        <v/>
      </c>
      <c r="Q132" s="38">
        <f>IF($U132="","",IF($G132&lt;0,"입금이 매출보다 큼 — 선수금이거나 다른 거래처 입금이 섞였는지 확인",IF(AND($AE132&lt;&gt;"",COUNTIF($AE$8:$AE$307,"*"&amp;$AE132&amp;"*")&gt;1),"이름이 다른 거래처와 겹침 — 입금이 잘못 맞았을 수 있으니 별칭 확인",IF(AND($G132&gt;0,$F132=0),"입금 매칭 없음 — 입금자명이 다르면 [거래처설정]에 별칭 등록",""))))</f>
        <v/>
      </c>
      <c r="R132" s="31">
        <f>IF(OR($U132="",$G132&lt;=0),"",$G132-$A132/10000)</f>
        <v/>
      </c>
      <c r="S132" s="31">
        <f>IF(OR($U132="",$O132&lt;1),"",$O132*10^11+$I132+$J132+$K132-$A132/1000)</f>
        <v/>
      </c>
      <c r="T132" s="31">
        <f>IF($U132="","",IFERROR(MATCH(INDEX(매출원본!$AU$8:$AU$2007,$U132),거래처설정!$I$8:$I$407,0),""))</f>
        <v/>
      </c>
      <c r="U132" s="31">
        <f>IFERROR(MATCH(125,매출원본!$AW$8:$AW$2007,0),"")</f>
        <v/>
      </c>
      <c r="V132" s="31">
        <f>IF($U132="","",MAX(SUMIFS(매출원본!$AT$8:$AT$2007,매출원본!$AY$8:$AY$2007,$A132,매출원본!$AS$8:$AS$2007,"&gt;="&amp;(설정!$B$5-설정!$B$6),매출원본!$AS$8:$AS$2007,"&lt;="&amp;설정!$B$5),0))</f>
        <v/>
      </c>
      <c r="W132" s="31">
        <f>IF($U132="","",MAX($V132,SUMIFS(매출원본!$AT$8:$AT$2007,매출원본!$AY$8:$AY$2007,$A132,매출원본!$AS$8:$AS$2007,"&gt;="&amp;(설정!$B$5-설정!$B$7),매출원본!$AS$8:$AS$2007,"&lt;="&amp;설정!$B$5)))</f>
        <v/>
      </c>
      <c r="X132" s="31">
        <f>IF($U132="","",MAX($W132,SUMIFS(매출원본!$AT$8:$AT$2007,매출원본!$AY$8:$AY$2007,$A132,매출원본!$AS$8:$AS$2007,"&gt;="&amp;(설정!$B$5-설정!$B$8),매출원본!$AS$8:$AS$2007,"&lt;="&amp;설정!$B$5)))</f>
        <v/>
      </c>
      <c r="AC132" s="31">
        <f>IF(OR($U132="",$T132=""),"",INDEX(거래처설정!$J$8:$J$407,$T132))</f>
        <v/>
      </c>
      <c r="AD132" s="31">
        <f>IF(OR($U132="",$T132=""),"",INDEX(거래처설정!$K$8:$K$407,$T132))</f>
        <v/>
      </c>
      <c r="AE132" s="31">
        <f>IF($U132="","",IF(LEN(SUBSTITUTE(SUBSTITUTE(SUBSTITUTE(SUBSTITUTE(SUBSTITUTE(SUBSTITUTE(SUBSTITUTE(SUBSTITUTE(SUBSTITUTE($C132," ",""),"　",""),"(주)",""),"（주）",""),"㈜",""),"주식회사",""),"(유)",""),"（유）",""),"유한회사",""))&lt;2,"",SUBSTITUTE(SUBSTITUTE(SUBSTITUTE(SUBSTITUTE(SUBSTITUTE(SUBSTITUTE(SUBSTITUTE(SUBSTITUTE(SUBSTITUTE($C132," ",""),"　",""),"(주)",""),"（주）",""),"㈜",""),"주식회사",""),"(유)",""),"（유）",""),"유한회사","")))</f>
        <v/>
      </c>
    </row>
    <row r="133">
      <c r="A133" s="38">
        <f>IF($U133="","",126)</f>
        <v/>
      </c>
      <c r="B133" s="38">
        <f>IF($U133="","",IF(LEN(INDEX(매출원본!$AU$8:$AU$2007,$U133))=10,LEFT(INDEX(매출원본!$AU$8:$AU$2007,$U133),3)&amp;"-"&amp;MID(INDEX(매출원본!$AU$8:$AU$2007,$U133),4,2)&amp;"-"&amp;RIGHT(INDEX(매출원본!$AU$8:$AU$2007,$U133),5),IF(LEFT(INDEX(매출원본!$AU$8:$AU$2007,$U133),2)="N:","(번호 없음)",INDEX(매출원본!$AU$8:$AU$2007,$U133))))</f>
        <v/>
      </c>
      <c r="C133" s="38">
        <f>IF($U133="","",INDEX(매출원본!$AV$8:$AV$2007,$U133))</f>
        <v/>
      </c>
      <c r="D133" s="39">
        <f>IF($U133="","",IF($T133="",0,N(INDEX(거래처설정!$E$8:$E$407,$T133))))</f>
        <v/>
      </c>
      <c r="E133" s="39">
        <f>IF($U133="","",SUMIFS(매출원본!$AT$8:$AT$2007,매출원본!$AY$8:$AY$2007,$A133,매출원본!$AS$8:$AS$2007,"&lt;="&amp;설정!$B$5))</f>
        <v/>
      </c>
      <c r="F133" s="39">
        <f>IF($U133="","",SUMIFS(입금_은행1!$Z$8:$Z$2007,입금_은행1!$AC$8:$AC$2007,$A133,입금_은행1!$Y$8:$Y$2007,"&lt;="&amp;설정!$B$5)+SUMIFS(입금_은행2!$Z$8:$Z$2007,입금_은행2!$AC$8:$AC$2007,$A133,입금_은행2!$Y$8:$Y$2007,"&lt;="&amp;설정!$B$5))</f>
        <v/>
      </c>
      <c r="G133" s="39">
        <f>IF($U133="","",$D133+$E133-$F133)</f>
        <v/>
      </c>
      <c r="H133" s="39">
        <f>IF($U133="","",MIN(MAX($G133,0),$V133))</f>
        <v/>
      </c>
      <c r="I133" s="39">
        <f>IF($U133="","",MIN(MAX($G133,0),$W133)-MIN(MAX($G133,0),$V133))</f>
        <v/>
      </c>
      <c r="J133" s="39">
        <f>IF($U133="","",MIN(MAX($G133,0),$X133)-MIN(MAX($G133,0),$W133))</f>
        <v/>
      </c>
      <c r="K133" s="39">
        <f>IF($U133="","",MAX($G133,0)-MIN(MAX($G133,0),$X133))</f>
        <v/>
      </c>
      <c r="L133" s="40">
        <f>IF($U133="","",IF(MAX(SUMPRODUCT(MAX((입금_은행1!$AC$8:$AC$2007=$A133)*(입금_은행1!$AE$8:$AE$2007&lt;=설정!$B$5)*입금_은행1!$AE$8:$AE$2007)),SUMPRODUCT(MAX((입금_은행2!$AC$8:$AC$2007=$A133)*(입금_은행2!$AE$8:$AE$2007&lt;=설정!$B$5)*입금_은행2!$AE$8:$AE$2007)))=0,"",MAX(SUMPRODUCT(MAX((입금_은행1!$AC$8:$AC$2007=$A133)*(입금_은행1!$AE$8:$AE$2007&lt;=설정!$B$5)*입금_은행1!$AE$8:$AE$2007)),SUMPRODUCT(MAX((입금_은행2!$AC$8:$AC$2007=$A133)*(입금_은행2!$AE$8:$AE$2007&lt;=설정!$B$5)*입금_은행2!$AE$8:$AE$2007)))))</f>
        <v/>
      </c>
      <c r="M133" s="38">
        <f>IF($U133="","",IF($T133="","",IF(INDEX(거래처설정!$F$8:$F$407,$T133)="","",INDEX(거래처설정!$F$8:$F$407,$T133))))</f>
        <v/>
      </c>
      <c r="N133" s="38">
        <f>IF($U133="","",IF($T133="","",IF(INDEX(거래처설정!$G$8:$G$407,$T133)="","",INDEX(거래처설정!$G$8:$G$407,$T133))))</f>
        <v/>
      </c>
      <c r="O133" s="38">
        <f>IF($U133="","",IF($M133="제외",0,IF($K133&gt;=설정!$B$9,3,IF($J133+$K133&gt;=설정!$B$9,2,IF($I133+$J133+$K133&gt;=설정!$B$9,1,0)))))</f>
        <v/>
      </c>
      <c r="P133" s="38">
        <f>IF($U133="","",IF($M133="제외","제외(조치 상태)",IF($O133=3,"③ 강한 독촉 후보 ("&amp;설정!$B$8&amp;"일 초과)",IF($O133=2,"② 독촉 후보 ("&amp;설정!$B$7&amp;"일 초과)",IF($O133=1,"① 안내 후보 ("&amp;설정!$B$6&amp;"일 초과)",IF($G133&gt;0,IF($I133+$J133+$K133&gt;0,"오래된 잔액 있음 (최소 금액 미만)","정상 범위"),IF($G133&lt;0,"선수금·초과입금 — 확인","완납")))))))</f>
        <v/>
      </c>
      <c r="Q133" s="38">
        <f>IF($U133="","",IF($G133&lt;0,"입금이 매출보다 큼 — 선수금이거나 다른 거래처 입금이 섞였는지 확인",IF(AND($AE133&lt;&gt;"",COUNTIF($AE$8:$AE$307,"*"&amp;$AE133&amp;"*")&gt;1),"이름이 다른 거래처와 겹침 — 입금이 잘못 맞았을 수 있으니 별칭 확인",IF(AND($G133&gt;0,$F133=0),"입금 매칭 없음 — 입금자명이 다르면 [거래처설정]에 별칭 등록",""))))</f>
        <v/>
      </c>
      <c r="R133" s="31">
        <f>IF(OR($U133="",$G133&lt;=0),"",$G133-$A133/10000)</f>
        <v/>
      </c>
      <c r="S133" s="31">
        <f>IF(OR($U133="",$O133&lt;1),"",$O133*10^11+$I133+$J133+$K133-$A133/1000)</f>
        <v/>
      </c>
      <c r="T133" s="31">
        <f>IF($U133="","",IFERROR(MATCH(INDEX(매출원본!$AU$8:$AU$2007,$U133),거래처설정!$I$8:$I$407,0),""))</f>
        <v/>
      </c>
      <c r="U133" s="31">
        <f>IFERROR(MATCH(126,매출원본!$AW$8:$AW$2007,0),"")</f>
        <v/>
      </c>
      <c r="V133" s="31">
        <f>IF($U133="","",MAX(SUMIFS(매출원본!$AT$8:$AT$2007,매출원본!$AY$8:$AY$2007,$A133,매출원본!$AS$8:$AS$2007,"&gt;="&amp;(설정!$B$5-설정!$B$6),매출원본!$AS$8:$AS$2007,"&lt;="&amp;설정!$B$5),0))</f>
        <v/>
      </c>
      <c r="W133" s="31">
        <f>IF($U133="","",MAX($V133,SUMIFS(매출원본!$AT$8:$AT$2007,매출원본!$AY$8:$AY$2007,$A133,매출원본!$AS$8:$AS$2007,"&gt;="&amp;(설정!$B$5-설정!$B$7),매출원본!$AS$8:$AS$2007,"&lt;="&amp;설정!$B$5)))</f>
        <v/>
      </c>
      <c r="X133" s="31">
        <f>IF($U133="","",MAX($W133,SUMIFS(매출원본!$AT$8:$AT$2007,매출원본!$AY$8:$AY$2007,$A133,매출원본!$AS$8:$AS$2007,"&gt;="&amp;(설정!$B$5-설정!$B$8),매출원본!$AS$8:$AS$2007,"&lt;="&amp;설정!$B$5)))</f>
        <v/>
      </c>
      <c r="AC133" s="31">
        <f>IF(OR($U133="",$T133=""),"",INDEX(거래처설정!$J$8:$J$407,$T133))</f>
        <v/>
      </c>
      <c r="AD133" s="31">
        <f>IF(OR($U133="",$T133=""),"",INDEX(거래처설정!$K$8:$K$407,$T133))</f>
        <v/>
      </c>
      <c r="AE133" s="31">
        <f>IF($U133="","",IF(LEN(SUBSTITUTE(SUBSTITUTE(SUBSTITUTE(SUBSTITUTE(SUBSTITUTE(SUBSTITUTE(SUBSTITUTE(SUBSTITUTE(SUBSTITUTE($C133," ",""),"　",""),"(주)",""),"（주）",""),"㈜",""),"주식회사",""),"(유)",""),"（유）",""),"유한회사",""))&lt;2,"",SUBSTITUTE(SUBSTITUTE(SUBSTITUTE(SUBSTITUTE(SUBSTITUTE(SUBSTITUTE(SUBSTITUTE(SUBSTITUTE(SUBSTITUTE($C133," ",""),"　",""),"(주)",""),"（주）",""),"㈜",""),"주식회사",""),"(유)",""),"（유）",""),"유한회사","")))</f>
        <v/>
      </c>
    </row>
    <row r="134">
      <c r="A134" s="38">
        <f>IF($U134="","",127)</f>
        <v/>
      </c>
      <c r="B134" s="38">
        <f>IF($U134="","",IF(LEN(INDEX(매출원본!$AU$8:$AU$2007,$U134))=10,LEFT(INDEX(매출원본!$AU$8:$AU$2007,$U134),3)&amp;"-"&amp;MID(INDEX(매출원본!$AU$8:$AU$2007,$U134),4,2)&amp;"-"&amp;RIGHT(INDEX(매출원본!$AU$8:$AU$2007,$U134),5),IF(LEFT(INDEX(매출원본!$AU$8:$AU$2007,$U134),2)="N:","(번호 없음)",INDEX(매출원본!$AU$8:$AU$2007,$U134))))</f>
        <v/>
      </c>
      <c r="C134" s="38">
        <f>IF($U134="","",INDEX(매출원본!$AV$8:$AV$2007,$U134))</f>
        <v/>
      </c>
      <c r="D134" s="39">
        <f>IF($U134="","",IF($T134="",0,N(INDEX(거래처설정!$E$8:$E$407,$T134))))</f>
        <v/>
      </c>
      <c r="E134" s="39">
        <f>IF($U134="","",SUMIFS(매출원본!$AT$8:$AT$2007,매출원본!$AY$8:$AY$2007,$A134,매출원본!$AS$8:$AS$2007,"&lt;="&amp;설정!$B$5))</f>
        <v/>
      </c>
      <c r="F134" s="39">
        <f>IF($U134="","",SUMIFS(입금_은행1!$Z$8:$Z$2007,입금_은행1!$AC$8:$AC$2007,$A134,입금_은행1!$Y$8:$Y$2007,"&lt;="&amp;설정!$B$5)+SUMIFS(입금_은행2!$Z$8:$Z$2007,입금_은행2!$AC$8:$AC$2007,$A134,입금_은행2!$Y$8:$Y$2007,"&lt;="&amp;설정!$B$5))</f>
        <v/>
      </c>
      <c r="G134" s="39">
        <f>IF($U134="","",$D134+$E134-$F134)</f>
        <v/>
      </c>
      <c r="H134" s="39">
        <f>IF($U134="","",MIN(MAX($G134,0),$V134))</f>
        <v/>
      </c>
      <c r="I134" s="39">
        <f>IF($U134="","",MIN(MAX($G134,0),$W134)-MIN(MAX($G134,0),$V134))</f>
        <v/>
      </c>
      <c r="J134" s="39">
        <f>IF($U134="","",MIN(MAX($G134,0),$X134)-MIN(MAX($G134,0),$W134))</f>
        <v/>
      </c>
      <c r="K134" s="39">
        <f>IF($U134="","",MAX($G134,0)-MIN(MAX($G134,0),$X134))</f>
        <v/>
      </c>
      <c r="L134" s="40">
        <f>IF($U134="","",IF(MAX(SUMPRODUCT(MAX((입금_은행1!$AC$8:$AC$2007=$A134)*(입금_은행1!$AE$8:$AE$2007&lt;=설정!$B$5)*입금_은행1!$AE$8:$AE$2007)),SUMPRODUCT(MAX((입금_은행2!$AC$8:$AC$2007=$A134)*(입금_은행2!$AE$8:$AE$2007&lt;=설정!$B$5)*입금_은행2!$AE$8:$AE$2007)))=0,"",MAX(SUMPRODUCT(MAX((입금_은행1!$AC$8:$AC$2007=$A134)*(입금_은행1!$AE$8:$AE$2007&lt;=설정!$B$5)*입금_은행1!$AE$8:$AE$2007)),SUMPRODUCT(MAX((입금_은행2!$AC$8:$AC$2007=$A134)*(입금_은행2!$AE$8:$AE$2007&lt;=설정!$B$5)*입금_은행2!$AE$8:$AE$2007)))))</f>
        <v/>
      </c>
      <c r="M134" s="38">
        <f>IF($U134="","",IF($T134="","",IF(INDEX(거래처설정!$F$8:$F$407,$T134)="","",INDEX(거래처설정!$F$8:$F$407,$T134))))</f>
        <v/>
      </c>
      <c r="N134" s="38">
        <f>IF($U134="","",IF($T134="","",IF(INDEX(거래처설정!$G$8:$G$407,$T134)="","",INDEX(거래처설정!$G$8:$G$407,$T134))))</f>
        <v/>
      </c>
      <c r="O134" s="38">
        <f>IF($U134="","",IF($M134="제외",0,IF($K134&gt;=설정!$B$9,3,IF($J134+$K134&gt;=설정!$B$9,2,IF($I134+$J134+$K134&gt;=설정!$B$9,1,0)))))</f>
        <v/>
      </c>
      <c r="P134" s="38">
        <f>IF($U134="","",IF($M134="제외","제외(조치 상태)",IF($O134=3,"③ 강한 독촉 후보 ("&amp;설정!$B$8&amp;"일 초과)",IF($O134=2,"② 독촉 후보 ("&amp;설정!$B$7&amp;"일 초과)",IF($O134=1,"① 안내 후보 ("&amp;설정!$B$6&amp;"일 초과)",IF($G134&gt;0,IF($I134+$J134+$K134&gt;0,"오래된 잔액 있음 (최소 금액 미만)","정상 범위"),IF($G134&lt;0,"선수금·초과입금 — 확인","완납")))))))</f>
        <v/>
      </c>
      <c r="Q134" s="38">
        <f>IF($U134="","",IF($G134&lt;0,"입금이 매출보다 큼 — 선수금이거나 다른 거래처 입금이 섞였는지 확인",IF(AND($AE134&lt;&gt;"",COUNTIF($AE$8:$AE$307,"*"&amp;$AE134&amp;"*")&gt;1),"이름이 다른 거래처와 겹침 — 입금이 잘못 맞았을 수 있으니 별칭 확인",IF(AND($G134&gt;0,$F134=0),"입금 매칭 없음 — 입금자명이 다르면 [거래처설정]에 별칭 등록",""))))</f>
        <v/>
      </c>
      <c r="R134" s="31">
        <f>IF(OR($U134="",$G134&lt;=0),"",$G134-$A134/10000)</f>
        <v/>
      </c>
      <c r="S134" s="31">
        <f>IF(OR($U134="",$O134&lt;1),"",$O134*10^11+$I134+$J134+$K134-$A134/1000)</f>
        <v/>
      </c>
      <c r="T134" s="31">
        <f>IF($U134="","",IFERROR(MATCH(INDEX(매출원본!$AU$8:$AU$2007,$U134),거래처설정!$I$8:$I$407,0),""))</f>
        <v/>
      </c>
      <c r="U134" s="31">
        <f>IFERROR(MATCH(127,매출원본!$AW$8:$AW$2007,0),"")</f>
        <v/>
      </c>
      <c r="V134" s="31">
        <f>IF($U134="","",MAX(SUMIFS(매출원본!$AT$8:$AT$2007,매출원본!$AY$8:$AY$2007,$A134,매출원본!$AS$8:$AS$2007,"&gt;="&amp;(설정!$B$5-설정!$B$6),매출원본!$AS$8:$AS$2007,"&lt;="&amp;설정!$B$5),0))</f>
        <v/>
      </c>
      <c r="W134" s="31">
        <f>IF($U134="","",MAX($V134,SUMIFS(매출원본!$AT$8:$AT$2007,매출원본!$AY$8:$AY$2007,$A134,매출원본!$AS$8:$AS$2007,"&gt;="&amp;(설정!$B$5-설정!$B$7),매출원본!$AS$8:$AS$2007,"&lt;="&amp;설정!$B$5)))</f>
        <v/>
      </c>
      <c r="X134" s="31">
        <f>IF($U134="","",MAX($W134,SUMIFS(매출원본!$AT$8:$AT$2007,매출원본!$AY$8:$AY$2007,$A134,매출원본!$AS$8:$AS$2007,"&gt;="&amp;(설정!$B$5-설정!$B$8),매출원본!$AS$8:$AS$2007,"&lt;="&amp;설정!$B$5)))</f>
        <v/>
      </c>
      <c r="AC134" s="31">
        <f>IF(OR($U134="",$T134=""),"",INDEX(거래처설정!$J$8:$J$407,$T134))</f>
        <v/>
      </c>
      <c r="AD134" s="31">
        <f>IF(OR($U134="",$T134=""),"",INDEX(거래처설정!$K$8:$K$407,$T134))</f>
        <v/>
      </c>
      <c r="AE134" s="31">
        <f>IF($U134="","",IF(LEN(SUBSTITUTE(SUBSTITUTE(SUBSTITUTE(SUBSTITUTE(SUBSTITUTE(SUBSTITUTE(SUBSTITUTE(SUBSTITUTE(SUBSTITUTE($C134," ",""),"　",""),"(주)",""),"（주）",""),"㈜",""),"주식회사",""),"(유)",""),"（유）",""),"유한회사",""))&lt;2,"",SUBSTITUTE(SUBSTITUTE(SUBSTITUTE(SUBSTITUTE(SUBSTITUTE(SUBSTITUTE(SUBSTITUTE(SUBSTITUTE(SUBSTITUTE($C134," ",""),"　",""),"(주)",""),"（주）",""),"㈜",""),"주식회사",""),"(유)",""),"（유）",""),"유한회사","")))</f>
        <v/>
      </c>
    </row>
    <row r="135">
      <c r="A135" s="38">
        <f>IF($U135="","",128)</f>
        <v/>
      </c>
      <c r="B135" s="38">
        <f>IF($U135="","",IF(LEN(INDEX(매출원본!$AU$8:$AU$2007,$U135))=10,LEFT(INDEX(매출원본!$AU$8:$AU$2007,$U135),3)&amp;"-"&amp;MID(INDEX(매출원본!$AU$8:$AU$2007,$U135),4,2)&amp;"-"&amp;RIGHT(INDEX(매출원본!$AU$8:$AU$2007,$U135),5),IF(LEFT(INDEX(매출원본!$AU$8:$AU$2007,$U135),2)="N:","(번호 없음)",INDEX(매출원본!$AU$8:$AU$2007,$U135))))</f>
        <v/>
      </c>
      <c r="C135" s="38">
        <f>IF($U135="","",INDEX(매출원본!$AV$8:$AV$2007,$U135))</f>
        <v/>
      </c>
      <c r="D135" s="39">
        <f>IF($U135="","",IF($T135="",0,N(INDEX(거래처설정!$E$8:$E$407,$T135))))</f>
        <v/>
      </c>
      <c r="E135" s="39">
        <f>IF($U135="","",SUMIFS(매출원본!$AT$8:$AT$2007,매출원본!$AY$8:$AY$2007,$A135,매출원본!$AS$8:$AS$2007,"&lt;="&amp;설정!$B$5))</f>
        <v/>
      </c>
      <c r="F135" s="39">
        <f>IF($U135="","",SUMIFS(입금_은행1!$Z$8:$Z$2007,입금_은행1!$AC$8:$AC$2007,$A135,입금_은행1!$Y$8:$Y$2007,"&lt;="&amp;설정!$B$5)+SUMIFS(입금_은행2!$Z$8:$Z$2007,입금_은행2!$AC$8:$AC$2007,$A135,입금_은행2!$Y$8:$Y$2007,"&lt;="&amp;설정!$B$5))</f>
        <v/>
      </c>
      <c r="G135" s="39">
        <f>IF($U135="","",$D135+$E135-$F135)</f>
        <v/>
      </c>
      <c r="H135" s="39">
        <f>IF($U135="","",MIN(MAX($G135,0),$V135))</f>
        <v/>
      </c>
      <c r="I135" s="39">
        <f>IF($U135="","",MIN(MAX($G135,0),$W135)-MIN(MAX($G135,0),$V135))</f>
        <v/>
      </c>
      <c r="J135" s="39">
        <f>IF($U135="","",MIN(MAX($G135,0),$X135)-MIN(MAX($G135,0),$W135))</f>
        <v/>
      </c>
      <c r="K135" s="39">
        <f>IF($U135="","",MAX($G135,0)-MIN(MAX($G135,0),$X135))</f>
        <v/>
      </c>
      <c r="L135" s="40">
        <f>IF($U135="","",IF(MAX(SUMPRODUCT(MAX((입금_은행1!$AC$8:$AC$2007=$A135)*(입금_은행1!$AE$8:$AE$2007&lt;=설정!$B$5)*입금_은행1!$AE$8:$AE$2007)),SUMPRODUCT(MAX((입금_은행2!$AC$8:$AC$2007=$A135)*(입금_은행2!$AE$8:$AE$2007&lt;=설정!$B$5)*입금_은행2!$AE$8:$AE$2007)))=0,"",MAX(SUMPRODUCT(MAX((입금_은행1!$AC$8:$AC$2007=$A135)*(입금_은행1!$AE$8:$AE$2007&lt;=설정!$B$5)*입금_은행1!$AE$8:$AE$2007)),SUMPRODUCT(MAX((입금_은행2!$AC$8:$AC$2007=$A135)*(입금_은행2!$AE$8:$AE$2007&lt;=설정!$B$5)*입금_은행2!$AE$8:$AE$2007)))))</f>
        <v/>
      </c>
      <c r="M135" s="38">
        <f>IF($U135="","",IF($T135="","",IF(INDEX(거래처설정!$F$8:$F$407,$T135)="","",INDEX(거래처설정!$F$8:$F$407,$T135))))</f>
        <v/>
      </c>
      <c r="N135" s="38">
        <f>IF($U135="","",IF($T135="","",IF(INDEX(거래처설정!$G$8:$G$407,$T135)="","",INDEX(거래처설정!$G$8:$G$407,$T135))))</f>
        <v/>
      </c>
      <c r="O135" s="38">
        <f>IF($U135="","",IF($M135="제외",0,IF($K135&gt;=설정!$B$9,3,IF($J135+$K135&gt;=설정!$B$9,2,IF($I135+$J135+$K135&gt;=설정!$B$9,1,0)))))</f>
        <v/>
      </c>
      <c r="P135" s="38">
        <f>IF($U135="","",IF($M135="제외","제외(조치 상태)",IF($O135=3,"③ 강한 독촉 후보 ("&amp;설정!$B$8&amp;"일 초과)",IF($O135=2,"② 독촉 후보 ("&amp;설정!$B$7&amp;"일 초과)",IF($O135=1,"① 안내 후보 ("&amp;설정!$B$6&amp;"일 초과)",IF($G135&gt;0,IF($I135+$J135+$K135&gt;0,"오래된 잔액 있음 (최소 금액 미만)","정상 범위"),IF($G135&lt;0,"선수금·초과입금 — 확인","완납")))))))</f>
        <v/>
      </c>
      <c r="Q135" s="38">
        <f>IF($U135="","",IF($G135&lt;0,"입금이 매출보다 큼 — 선수금이거나 다른 거래처 입금이 섞였는지 확인",IF(AND($AE135&lt;&gt;"",COUNTIF($AE$8:$AE$307,"*"&amp;$AE135&amp;"*")&gt;1),"이름이 다른 거래처와 겹침 — 입금이 잘못 맞았을 수 있으니 별칭 확인",IF(AND($G135&gt;0,$F135=0),"입금 매칭 없음 — 입금자명이 다르면 [거래처설정]에 별칭 등록",""))))</f>
        <v/>
      </c>
      <c r="R135" s="31">
        <f>IF(OR($U135="",$G135&lt;=0),"",$G135-$A135/10000)</f>
        <v/>
      </c>
      <c r="S135" s="31">
        <f>IF(OR($U135="",$O135&lt;1),"",$O135*10^11+$I135+$J135+$K135-$A135/1000)</f>
        <v/>
      </c>
      <c r="T135" s="31">
        <f>IF($U135="","",IFERROR(MATCH(INDEX(매출원본!$AU$8:$AU$2007,$U135),거래처설정!$I$8:$I$407,0),""))</f>
        <v/>
      </c>
      <c r="U135" s="31">
        <f>IFERROR(MATCH(128,매출원본!$AW$8:$AW$2007,0),"")</f>
        <v/>
      </c>
      <c r="V135" s="31">
        <f>IF($U135="","",MAX(SUMIFS(매출원본!$AT$8:$AT$2007,매출원본!$AY$8:$AY$2007,$A135,매출원본!$AS$8:$AS$2007,"&gt;="&amp;(설정!$B$5-설정!$B$6),매출원본!$AS$8:$AS$2007,"&lt;="&amp;설정!$B$5),0))</f>
        <v/>
      </c>
      <c r="W135" s="31">
        <f>IF($U135="","",MAX($V135,SUMIFS(매출원본!$AT$8:$AT$2007,매출원본!$AY$8:$AY$2007,$A135,매출원본!$AS$8:$AS$2007,"&gt;="&amp;(설정!$B$5-설정!$B$7),매출원본!$AS$8:$AS$2007,"&lt;="&amp;설정!$B$5)))</f>
        <v/>
      </c>
      <c r="X135" s="31">
        <f>IF($U135="","",MAX($W135,SUMIFS(매출원본!$AT$8:$AT$2007,매출원본!$AY$8:$AY$2007,$A135,매출원본!$AS$8:$AS$2007,"&gt;="&amp;(설정!$B$5-설정!$B$8),매출원본!$AS$8:$AS$2007,"&lt;="&amp;설정!$B$5)))</f>
        <v/>
      </c>
      <c r="AC135" s="31">
        <f>IF(OR($U135="",$T135=""),"",INDEX(거래처설정!$J$8:$J$407,$T135))</f>
        <v/>
      </c>
      <c r="AD135" s="31">
        <f>IF(OR($U135="",$T135=""),"",INDEX(거래처설정!$K$8:$K$407,$T135))</f>
        <v/>
      </c>
      <c r="AE135" s="31">
        <f>IF($U135="","",IF(LEN(SUBSTITUTE(SUBSTITUTE(SUBSTITUTE(SUBSTITUTE(SUBSTITUTE(SUBSTITUTE(SUBSTITUTE(SUBSTITUTE(SUBSTITUTE($C135," ",""),"　",""),"(주)",""),"（주）",""),"㈜",""),"주식회사",""),"(유)",""),"（유）",""),"유한회사",""))&lt;2,"",SUBSTITUTE(SUBSTITUTE(SUBSTITUTE(SUBSTITUTE(SUBSTITUTE(SUBSTITUTE(SUBSTITUTE(SUBSTITUTE(SUBSTITUTE($C135," ",""),"　",""),"(주)",""),"（주）",""),"㈜",""),"주식회사",""),"(유)",""),"（유）",""),"유한회사","")))</f>
        <v/>
      </c>
    </row>
    <row r="136">
      <c r="A136" s="38">
        <f>IF($U136="","",129)</f>
        <v/>
      </c>
      <c r="B136" s="38">
        <f>IF($U136="","",IF(LEN(INDEX(매출원본!$AU$8:$AU$2007,$U136))=10,LEFT(INDEX(매출원본!$AU$8:$AU$2007,$U136),3)&amp;"-"&amp;MID(INDEX(매출원본!$AU$8:$AU$2007,$U136),4,2)&amp;"-"&amp;RIGHT(INDEX(매출원본!$AU$8:$AU$2007,$U136),5),IF(LEFT(INDEX(매출원본!$AU$8:$AU$2007,$U136),2)="N:","(번호 없음)",INDEX(매출원본!$AU$8:$AU$2007,$U136))))</f>
        <v/>
      </c>
      <c r="C136" s="38">
        <f>IF($U136="","",INDEX(매출원본!$AV$8:$AV$2007,$U136))</f>
        <v/>
      </c>
      <c r="D136" s="39">
        <f>IF($U136="","",IF($T136="",0,N(INDEX(거래처설정!$E$8:$E$407,$T136))))</f>
        <v/>
      </c>
      <c r="E136" s="39">
        <f>IF($U136="","",SUMIFS(매출원본!$AT$8:$AT$2007,매출원본!$AY$8:$AY$2007,$A136,매출원본!$AS$8:$AS$2007,"&lt;="&amp;설정!$B$5))</f>
        <v/>
      </c>
      <c r="F136" s="39">
        <f>IF($U136="","",SUMIFS(입금_은행1!$Z$8:$Z$2007,입금_은행1!$AC$8:$AC$2007,$A136,입금_은행1!$Y$8:$Y$2007,"&lt;="&amp;설정!$B$5)+SUMIFS(입금_은행2!$Z$8:$Z$2007,입금_은행2!$AC$8:$AC$2007,$A136,입금_은행2!$Y$8:$Y$2007,"&lt;="&amp;설정!$B$5))</f>
        <v/>
      </c>
      <c r="G136" s="39">
        <f>IF($U136="","",$D136+$E136-$F136)</f>
        <v/>
      </c>
      <c r="H136" s="39">
        <f>IF($U136="","",MIN(MAX($G136,0),$V136))</f>
        <v/>
      </c>
      <c r="I136" s="39">
        <f>IF($U136="","",MIN(MAX($G136,0),$W136)-MIN(MAX($G136,0),$V136))</f>
        <v/>
      </c>
      <c r="J136" s="39">
        <f>IF($U136="","",MIN(MAX($G136,0),$X136)-MIN(MAX($G136,0),$W136))</f>
        <v/>
      </c>
      <c r="K136" s="39">
        <f>IF($U136="","",MAX($G136,0)-MIN(MAX($G136,0),$X136))</f>
        <v/>
      </c>
      <c r="L136" s="40">
        <f>IF($U136="","",IF(MAX(SUMPRODUCT(MAX((입금_은행1!$AC$8:$AC$2007=$A136)*(입금_은행1!$AE$8:$AE$2007&lt;=설정!$B$5)*입금_은행1!$AE$8:$AE$2007)),SUMPRODUCT(MAX((입금_은행2!$AC$8:$AC$2007=$A136)*(입금_은행2!$AE$8:$AE$2007&lt;=설정!$B$5)*입금_은행2!$AE$8:$AE$2007)))=0,"",MAX(SUMPRODUCT(MAX((입금_은행1!$AC$8:$AC$2007=$A136)*(입금_은행1!$AE$8:$AE$2007&lt;=설정!$B$5)*입금_은행1!$AE$8:$AE$2007)),SUMPRODUCT(MAX((입금_은행2!$AC$8:$AC$2007=$A136)*(입금_은행2!$AE$8:$AE$2007&lt;=설정!$B$5)*입금_은행2!$AE$8:$AE$2007)))))</f>
        <v/>
      </c>
      <c r="M136" s="38">
        <f>IF($U136="","",IF($T136="","",IF(INDEX(거래처설정!$F$8:$F$407,$T136)="","",INDEX(거래처설정!$F$8:$F$407,$T136))))</f>
        <v/>
      </c>
      <c r="N136" s="38">
        <f>IF($U136="","",IF($T136="","",IF(INDEX(거래처설정!$G$8:$G$407,$T136)="","",INDEX(거래처설정!$G$8:$G$407,$T136))))</f>
        <v/>
      </c>
      <c r="O136" s="38">
        <f>IF($U136="","",IF($M136="제외",0,IF($K136&gt;=설정!$B$9,3,IF($J136+$K136&gt;=설정!$B$9,2,IF($I136+$J136+$K136&gt;=설정!$B$9,1,0)))))</f>
        <v/>
      </c>
      <c r="P136" s="38">
        <f>IF($U136="","",IF($M136="제외","제외(조치 상태)",IF($O136=3,"③ 강한 독촉 후보 ("&amp;설정!$B$8&amp;"일 초과)",IF($O136=2,"② 독촉 후보 ("&amp;설정!$B$7&amp;"일 초과)",IF($O136=1,"① 안내 후보 ("&amp;설정!$B$6&amp;"일 초과)",IF($G136&gt;0,IF($I136+$J136+$K136&gt;0,"오래된 잔액 있음 (최소 금액 미만)","정상 범위"),IF($G136&lt;0,"선수금·초과입금 — 확인","완납")))))))</f>
        <v/>
      </c>
      <c r="Q136" s="38">
        <f>IF($U136="","",IF($G136&lt;0,"입금이 매출보다 큼 — 선수금이거나 다른 거래처 입금이 섞였는지 확인",IF(AND($AE136&lt;&gt;"",COUNTIF($AE$8:$AE$307,"*"&amp;$AE136&amp;"*")&gt;1),"이름이 다른 거래처와 겹침 — 입금이 잘못 맞았을 수 있으니 별칭 확인",IF(AND($G136&gt;0,$F136=0),"입금 매칭 없음 — 입금자명이 다르면 [거래처설정]에 별칭 등록",""))))</f>
        <v/>
      </c>
      <c r="R136" s="31">
        <f>IF(OR($U136="",$G136&lt;=0),"",$G136-$A136/10000)</f>
        <v/>
      </c>
      <c r="S136" s="31">
        <f>IF(OR($U136="",$O136&lt;1),"",$O136*10^11+$I136+$J136+$K136-$A136/1000)</f>
        <v/>
      </c>
      <c r="T136" s="31">
        <f>IF($U136="","",IFERROR(MATCH(INDEX(매출원본!$AU$8:$AU$2007,$U136),거래처설정!$I$8:$I$407,0),""))</f>
        <v/>
      </c>
      <c r="U136" s="31">
        <f>IFERROR(MATCH(129,매출원본!$AW$8:$AW$2007,0),"")</f>
        <v/>
      </c>
      <c r="V136" s="31">
        <f>IF($U136="","",MAX(SUMIFS(매출원본!$AT$8:$AT$2007,매출원본!$AY$8:$AY$2007,$A136,매출원본!$AS$8:$AS$2007,"&gt;="&amp;(설정!$B$5-설정!$B$6),매출원본!$AS$8:$AS$2007,"&lt;="&amp;설정!$B$5),0))</f>
        <v/>
      </c>
      <c r="W136" s="31">
        <f>IF($U136="","",MAX($V136,SUMIFS(매출원본!$AT$8:$AT$2007,매출원본!$AY$8:$AY$2007,$A136,매출원본!$AS$8:$AS$2007,"&gt;="&amp;(설정!$B$5-설정!$B$7),매출원본!$AS$8:$AS$2007,"&lt;="&amp;설정!$B$5)))</f>
        <v/>
      </c>
      <c r="X136" s="31">
        <f>IF($U136="","",MAX($W136,SUMIFS(매출원본!$AT$8:$AT$2007,매출원본!$AY$8:$AY$2007,$A136,매출원본!$AS$8:$AS$2007,"&gt;="&amp;(설정!$B$5-설정!$B$8),매출원본!$AS$8:$AS$2007,"&lt;="&amp;설정!$B$5)))</f>
        <v/>
      </c>
      <c r="AC136" s="31">
        <f>IF(OR($U136="",$T136=""),"",INDEX(거래처설정!$J$8:$J$407,$T136))</f>
        <v/>
      </c>
      <c r="AD136" s="31">
        <f>IF(OR($U136="",$T136=""),"",INDEX(거래처설정!$K$8:$K$407,$T136))</f>
        <v/>
      </c>
      <c r="AE136" s="31">
        <f>IF($U136="","",IF(LEN(SUBSTITUTE(SUBSTITUTE(SUBSTITUTE(SUBSTITUTE(SUBSTITUTE(SUBSTITUTE(SUBSTITUTE(SUBSTITUTE(SUBSTITUTE($C136," ",""),"　",""),"(주)",""),"（주）",""),"㈜",""),"주식회사",""),"(유)",""),"（유）",""),"유한회사",""))&lt;2,"",SUBSTITUTE(SUBSTITUTE(SUBSTITUTE(SUBSTITUTE(SUBSTITUTE(SUBSTITUTE(SUBSTITUTE(SUBSTITUTE(SUBSTITUTE($C136," ",""),"　",""),"(주)",""),"（주）",""),"㈜",""),"주식회사",""),"(유)",""),"（유）",""),"유한회사","")))</f>
        <v/>
      </c>
    </row>
    <row r="137">
      <c r="A137" s="38">
        <f>IF($U137="","",130)</f>
        <v/>
      </c>
      <c r="B137" s="38">
        <f>IF($U137="","",IF(LEN(INDEX(매출원본!$AU$8:$AU$2007,$U137))=10,LEFT(INDEX(매출원본!$AU$8:$AU$2007,$U137),3)&amp;"-"&amp;MID(INDEX(매출원본!$AU$8:$AU$2007,$U137),4,2)&amp;"-"&amp;RIGHT(INDEX(매출원본!$AU$8:$AU$2007,$U137),5),IF(LEFT(INDEX(매출원본!$AU$8:$AU$2007,$U137),2)="N:","(번호 없음)",INDEX(매출원본!$AU$8:$AU$2007,$U137))))</f>
        <v/>
      </c>
      <c r="C137" s="38">
        <f>IF($U137="","",INDEX(매출원본!$AV$8:$AV$2007,$U137))</f>
        <v/>
      </c>
      <c r="D137" s="39">
        <f>IF($U137="","",IF($T137="",0,N(INDEX(거래처설정!$E$8:$E$407,$T137))))</f>
        <v/>
      </c>
      <c r="E137" s="39">
        <f>IF($U137="","",SUMIFS(매출원본!$AT$8:$AT$2007,매출원본!$AY$8:$AY$2007,$A137,매출원본!$AS$8:$AS$2007,"&lt;="&amp;설정!$B$5))</f>
        <v/>
      </c>
      <c r="F137" s="39">
        <f>IF($U137="","",SUMIFS(입금_은행1!$Z$8:$Z$2007,입금_은행1!$AC$8:$AC$2007,$A137,입금_은행1!$Y$8:$Y$2007,"&lt;="&amp;설정!$B$5)+SUMIFS(입금_은행2!$Z$8:$Z$2007,입금_은행2!$AC$8:$AC$2007,$A137,입금_은행2!$Y$8:$Y$2007,"&lt;="&amp;설정!$B$5))</f>
        <v/>
      </c>
      <c r="G137" s="39">
        <f>IF($U137="","",$D137+$E137-$F137)</f>
        <v/>
      </c>
      <c r="H137" s="39">
        <f>IF($U137="","",MIN(MAX($G137,0),$V137))</f>
        <v/>
      </c>
      <c r="I137" s="39">
        <f>IF($U137="","",MIN(MAX($G137,0),$W137)-MIN(MAX($G137,0),$V137))</f>
        <v/>
      </c>
      <c r="J137" s="39">
        <f>IF($U137="","",MIN(MAX($G137,0),$X137)-MIN(MAX($G137,0),$W137))</f>
        <v/>
      </c>
      <c r="K137" s="39">
        <f>IF($U137="","",MAX($G137,0)-MIN(MAX($G137,0),$X137))</f>
        <v/>
      </c>
      <c r="L137" s="40">
        <f>IF($U137="","",IF(MAX(SUMPRODUCT(MAX((입금_은행1!$AC$8:$AC$2007=$A137)*(입금_은행1!$AE$8:$AE$2007&lt;=설정!$B$5)*입금_은행1!$AE$8:$AE$2007)),SUMPRODUCT(MAX((입금_은행2!$AC$8:$AC$2007=$A137)*(입금_은행2!$AE$8:$AE$2007&lt;=설정!$B$5)*입금_은행2!$AE$8:$AE$2007)))=0,"",MAX(SUMPRODUCT(MAX((입금_은행1!$AC$8:$AC$2007=$A137)*(입금_은행1!$AE$8:$AE$2007&lt;=설정!$B$5)*입금_은행1!$AE$8:$AE$2007)),SUMPRODUCT(MAX((입금_은행2!$AC$8:$AC$2007=$A137)*(입금_은행2!$AE$8:$AE$2007&lt;=설정!$B$5)*입금_은행2!$AE$8:$AE$2007)))))</f>
        <v/>
      </c>
      <c r="M137" s="38">
        <f>IF($U137="","",IF($T137="","",IF(INDEX(거래처설정!$F$8:$F$407,$T137)="","",INDEX(거래처설정!$F$8:$F$407,$T137))))</f>
        <v/>
      </c>
      <c r="N137" s="38">
        <f>IF($U137="","",IF($T137="","",IF(INDEX(거래처설정!$G$8:$G$407,$T137)="","",INDEX(거래처설정!$G$8:$G$407,$T137))))</f>
        <v/>
      </c>
      <c r="O137" s="38">
        <f>IF($U137="","",IF($M137="제외",0,IF($K137&gt;=설정!$B$9,3,IF($J137+$K137&gt;=설정!$B$9,2,IF($I137+$J137+$K137&gt;=설정!$B$9,1,0)))))</f>
        <v/>
      </c>
      <c r="P137" s="38">
        <f>IF($U137="","",IF($M137="제외","제외(조치 상태)",IF($O137=3,"③ 강한 독촉 후보 ("&amp;설정!$B$8&amp;"일 초과)",IF($O137=2,"② 독촉 후보 ("&amp;설정!$B$7&amp;"일 초과)",IF($O137=1,"① 안내 후보 ("&amp;설정!$B$6&amp;"일 초과)",IF($G137&gt;0,IF($I137+$J137+$K137&gt;0,"오래된 잔액 있음 (최소 금액 미만)","정상 범위"),IF($G137&lt;0,"선수금·초과입금 — 확인","완납")))))))</f>
        <v/>
      </c>
      <c r="Q137" s="38">
        <f>IF($U137="","",IF($G137&lt;0,"입금이 매출보다 큼 — 선수금이거나 다른 거래처 입금이 섞였는지 확인",IF(AND($AE137&lt;&gt;"",COUNTIF($AE$8:$AE$307,"*"&amp;$AE137&amp;"*")&gt;1),"이름이 다른 거래처와 겹침 — 입금이 잘못 맞았을 수 있으니 별칭 확인",IF(AND($G137&gt;0,$F137=0),"입금 매칭 없음 — 입금자명이 다르면 [거래처설정]에 별칭 등록",""))))</f>
        <v/>
      </c>
      <c r="R137" s="31">
        <f>IF(OR($U137="",$G137&lt;=0),"",$G137-$A137/10000)</f>
        <v/>
      </c>
      <c r="S137" s="31">
        <f>IF(OR($U137="",$O137&lt;1),"",$O137*10^11+$I137+$J137+$K137-$A137/1000)</f>
        <v/>
      </c>
      <c r="T137" s="31">
        <f>IF($U137="","",IFERROR(MATCH(INDEX(매출원본!$AU$8:$AU$2007,$U137),거래처설정!$I$8:$I$407,0),""))</f>
        <v/>
      </c>
      <c r="U137" s="31">
        <f>IFERROR(MATCH(130,매출원본!$AW$8:$AW$2007,0),"")</f>
        <v/>
      </c>
      <c r="V137" s="31">
        <f>IF($U137="","",MAX(SUMIFS(매출원본!$AT$8:$AT$2007,매출원본!$AY$8:$AY$2007,$A137,매출원본!$AS$8:$AS$2007,"&gt;="&amp;(설정!$B$5-설정!$B$6),매출원본!$AS$8:$AS$2007,"&lt;="&amp;설정!$B$5),0))</f>
        <v/>
      </c>
      <c r="W137" s="31">
        <f>IF($U137="","",MAX($V137,SUMIFS(매출원본!$AT$8:$AT$2007,매출원본!$AY$8:$AY$2007,$A137,매출원본!$AS$8:$AS$2007,"&gt;="&amp;(설정!$B$5-설정!$B$7),매출원본!$AS$8:$AS$2007,"&lt;="&amp;설정!$B$5)))</f>
        <v/>
      </c>
      <c r="X137" s="31">
        <f>IF($U137="","",MAX($W137,SUMIFS(매출원본!$AT$8:$AT$2007,매출원본!$AY$8:$AY$2007,$A137,매출원본!$AS$8:$AS$2007,"&gt;="&amp;(설정!$B$5-설정!$B$8),매출원본!$AS$8:$AS$2007,"&lt;="&amp;설정!$B$5)))</f>
        <v/>
      </c>
      <c r="AC137" s="31">
        <f>IF(OR($U137="",$T137=""),"",INDEX(거래처설정!$J$8:$J$407,$T137))</f>
        <v/>
      </c>
      <c r="AD137" s="31">
        <f>IF(OR($U137="",$T137=""),"",INDEX(거래처설정!$K$8:$K$407,$T137))</f>
        <v/>
      </c>
      <c r="AE137" s="31">
        <f>IF($U137="","",IF(LEN(SUBSTITUTE(SUBSTITUTE(SUBSTITUTE(SUBSTITUTE(SUBSTITUTE(SUBSTITUTE(SUBSTITUTE(SUBSTITUTE(SUBSTITUTE($C137," ",""),"　",""),"(주)",""),"（주）",""),"㈜",""),"주식회사",""),"(유)",""),"（유）",""),"유한회사",""))&lt;2,"",SUBSTITUTE(SUBSTITUTE(SUBSTITUTE(SUBSTITUTE(SUBSTITUTE(SUBSTITUTE(SUBSTITUTE(SUBSTITUTE(SUBSTITUTE($C137," ",""),"　",""),"(주)",""),"（주）",""),"㈜",""),"주식회사",""),"(유)",""),"（유）",""),"유한회사","")))</f>
        <v/>
      </c>
    </row>
    <row r="138">
      <c r="A138" s="38">
        <f>IF($U138="","",131)</f>
        <v/>
      </c>
      <c r="B138" s="38">
        <f>IF($U138="","",IF(LEN(INDEX(매출원본!$AU$8:$AU$2007,$U138))=10,LEFT(INDEX(매출원본!$AU$8:$AU$2007,$U138),3)&amp;"-"&amp;MID(INDEX(매출원본!$AU$8:$AU$2007,$U138),4,2)&amp;"-"&amp;RIGHT(INDEX(매출원본!$AU$8:$AU$2007,$U138),5),IF(LEFT(INDEX(매출원본!$AU$8:$AU$2007,$U138),2)="N:","(번호 없음)",INDEX(매출원본!$AU$8:$AU$2007,$U138))))</f>
        <v/>
      </c>
      <c r="C138" s="38">
        <f>IF($U138="","",INDEX(매출원본!$AV$8:$AV$2007,$U138))</f>
        <v/>
      </c>
      <c r="D138" s="39">
        <f>IF($U138="","",IF($T138="",0,N(INDEX(거래처설정!$E$8:$E$407,$T138))))</f>
        <v/>
      </c>
      <c r="E138" s="39">
        <f>IF($U138="","",SUMIFS(매출원본!$AT$8:$AT$2007,매출원본!$AY$8:$AY$2007,$A138,매출원본!$AS$8:$AS$2007,"&lt;="&amp;설정!$B$5))</f>
        <v/>
      </c>
      <c r="F138" s="39">
        <f>IF($U138="","",SUMIFS(입금_은행1!$Z$8:$Z$2007,입금_은행1!$AC$8:$AC$2007,$A138,입금_은행1!$Y$8:$Y$2007,"&lt;="&amp;설정!$B$5)+SUMIFS(입금_은행2!$Z$8:$Z$2007,입금_은행2!$AC$8:$AC$2007,$A138,입금_은행2!$Y$8:$Y$2007,"&lt;="&amp;설정!$B$5))</f>
        <v/>
      </c>
      <c r="G138" s="39">
        <f>IF($U138="","",$D138+$E138-$F138)</f>
        <v/>
      </c>
      <c r="H138" s="39">
        <f>IF($U138="","",MIN(MAX($G138,0),$V138))</f>
        <v/>
      </c>
      <c r="I138" s="39">
        <f>IF($U138="","",MIN(MAX($G138,0),$W138)-MIN(MAX($G138,0),$V138))</f>
        <v/>
      </c>
      <c r="J138" s="39">
        <f>IF($U138="","",MIN(MAX($G138,0),$X138)-MIN(MAX($G138,0),$W138))</f>
        <v/>
      </c>
      <c r="K138" s="39">
        <f>IF($U138="","",MAX($G138,0)-MIN(MAX($G138,0),$X138))</f>
        <v/>
      </c>
      <c r="L138" s="40">
        <f>IF($U138="","",IF(MAX(SUMPRODUCT(MAX((입금_은행1!$AC$8:$AC$2007=$A138)*(입금_은행1!$AE$8:$AE$2007&lt;=설정!$B$5)*입금_은행1!$AE$8:$AE$2007)),SUMPRODUCT(MAX((입금_은행2!$AC$8:$AC$2007=$A138)*(입금_은행2!$AE$8:$AE$2007&lt;=설정!$B$5)*입금_은행2!$AE$8:$AE$2007)))=0,"",MAX(SUMPRODUCT(MAX((입금_은행1!$AC$8:$AC$2007=$A138)*(입금_은행1!$AE$8:$AE$2007&lt;=설정!$B$5)*입금_은행1!$AE$8:$AE$2007)),SUMPRODUCT(MAX((입금_은행2!$AC$8:$AC$2007=$A138)*(입금_은행2!$AE$8:$AE$2007&lt;=설정!$B$5)*입금_은행2!$AE$8:$AE$2007)))))</f>
        <v/>
      </c>
      <c r="M138" s="38">
        <f>IF($U138="","",IF($T138="","",IF(INDEX(거래처설정!$F$8:$F$407,$T138)="","",INDEX(거래처설정!$F$8:$F$407,$T138))))</f>
        <v/>
      </c>
      <c r="N138" s="38">
        <f>IF($U138="","",IF($T138="","",IF(INDEX(거래처설정!$G$8:$G$407,$T138)="","",INDEX(거래처설정!$G$8:$G$407,$T138))))</f>
        <v/>
      </c>
      <c r="O138" s="38">
        <f>IF($U138="","",IF($M138="제외",0,IF($K138&gt;=설정!$B$9,3,IF($J138+$K138&gt;=설정!$B$9,2,IF($I138+$J138+$K138&gt;=설정!$B$9,1,0)))))</f>
        <v/>
      </c>
      <c r="P138" s="38">
        <f>IF($U138="","",IF($M138="제외","제외(조치 상태)",IF($O138=3,"③ 강한 독촉 후보 ("&amp;설정!$B$8&amp;"일 초과)",IF($O138=2,"② 독촉 후보 ("&amp;설정!$B$7&amp;"일 초과)",IF($O138=1,"① 안내 후보 ("&amp;설정!$B$6&amp;"일 초과)",IF($G138&gt;0,IF($I138+$J138+$K138&gt;0,"오래된 잔액 있음 (최소 금액 미만)","정상 범위"),IF($G138&lt;0,"선수금·초과입금 — 확인","완납")))))))</f>
        <v/>
      </c>
      <c r="Q138" s="38">
        <f>IF($U138="","",IF($G138&lt;0,"입금이 매출보다 큼 — 선수금이거나 다른 거래처 입금이 섞였는지 확인",IF(AND($AE138&lt;&gt;"",COUNTIF($AE$8:$AE$307,"*"&amp;$AE138&amp;"*")&gt;1),"이름이 다른 거래처와 겹침 — 입금이 잘못 맞았을 수 있으니 별칭 확인",IF(AND($G138&gt;0,$F138=0),"입금 매칭 없음 — 입금자명이 다르면 [거래처설정]에 별칭 등록",""))))</f>
        <v/>
      </c>
      <c r="R138" s="31">
        <f>IF(OR($U138="",$G138&lt;=0),"",$G138-$A138/10000)</f>
        <v/>
      </c>
      <c r="S138" s="31">
        <f>IF(OR($U138="",$O138&lt;1),"",$O138*10^11+$I138+$J138+$K138-$A138/1000)</f>
        <v/>
      </c>
      <c r="T138" s="31">
        <f>IF($U138="","",IFERROR(MATCH(INDEX(매출원본!$AU$8:$AU$2007,$U138),거래처설정!$I$8:$I$407,0),""))</f>
        <v/>
      </c>
      <c r="U138" s="31">
        <f>IFERROR(MATCH(131,매출원본!$AW$8:$AW$2007,0),"")</f>
        <v/>
      </c>
      <c r="V138" s="31">
        <f>IF($U138="","",MAX(SUMIFS(매출원본!$AT$8:$AT$2007,매출원본!$AY$8:$AY$2007,$A138,매출원본!$AS$8:$AS$2007,"&gt;="&amp;(설정!$B$5-설정!$B$6),매출원본!$AS$8:$AS$2007,"&lt;="&amp;설정!$B$5),0))</f>
        <v/>
      </c>
      <c r="W138" s="31">
        <f>IF($U138="","",MAX($V138,SUMIFS(매출원본!$AT$8:$AT$2007,매출원본!$AY$8:$AY$2007,$A138,매출원본!$AS$8:$AS$2007,"&gt;="&amp;(설정!$B$5-설정!$B$7),매출원본!$AS$8:$AS$2007,"&lt;="&amp;설정!$B$5)))</f>
        <v/>
      </c>
      <c r="X138" s="31">
        <f>IF($U138="","",MAX($W138,SUMIFS(매출원본!$AT$8:$AT$2007,매출원본!$AY$8:$AY$2007,$A138,매출원본!$AS$8:$AS$2007,"&gt;="&amp;(설정!$B$5-설정!$B$8),매출원본!$AS$8:$AS$2007,"&lt;="&amp;설정!$B$5)))</f>
        <v/>
      </c>
      <c r="AC138" s="31">
        <f>IF(OR($U138="",$T138=""),"",INDEX(거래처설정!$J$8:$J$407,$T138))</f>
        <v/>
      </c>
      <c r="AD138" s="31">
        <f>IF(OR($U138="",$T138=""),"",INDEX(거래처설정!$K$8:$K$407,$T138))</f>
        <v/>
      </c>
      <c r="AE138" s="31">
        <f>IF($U138="","",IF(LEN(SUBSTITUTE(SUBSTITUTE(SUBSTITUTE(SUBSTITUTE(SUBSTITUTE(SUBSTITUTE(SUBSTITUTE(SUBSTITUTE(SUBSTITUTE($C138," ",""),"　",""),"(주)",""),"（주）",""),"㈜",""),"주식회사",""),"(유)",""),"（유）",""),"유한회사",""))&lt;2,"",SUBSTITUTE(SUBSTITUTE(SUBSTITUTE(SUBSTITUTE(SUBSTITUTE(SUBSTITUTE(SUBSTITUTE(SUBSTITUTE(SUBSTITUTE($C138," ",""),"　",""),"(주)",""),"（주）",""),"㈜",""),"주식회사",""),"(유)",""),"（유）",""),"유한회사","")))</f>
        <v/>
      </c>
    </row>
    <row r="139">
      <c r="A139" s="38">
        <f>IF($U139="","",132)</f>
        <v/>
      </c>
      <c r="B139" s="38">
        <f>IF($U139="","",IF(LEN(INDEX(매출원본!$AU$8:$AU$2007,$U139))=10,LEFT(INDEX(매출원본!$AU$8:$AU$2007,$U139),3)&amp;"-"&amp;MID(INDEX(매출원본!$AU$8:$AU$2007,$U139),4,2)&amp;"-"&amp;RIGHT(INDEX(매출원본!$AU$8:$AU$2007,$U139),5),IF(LEFT(INDEX(매출원본!$AU$8:$AU$2007,$U139),2)="N:","(번호 없음)",INDEX(매출원본!$AU$8:$AU$2007,$U139))))</f>
        <v/>
      </c>
      <c r="C139" s="38">
        <f>IF($U139="","",INDEX(매출원본!$AV$8:$AV$2007,$U139))</f>
        <v/>
      </c>
      <c r="D139" s="39">
        <f>IF($U139="","",IF($T139="",0,N(INDEX(거래처설정!$E$8:$E$407,$T139))))</f>
        <v/>
      </c>
      <c r="E139" s="39">
        <f>IF($U139="","",SUMIFS(매출원본!$AT$8:$AT$2007,매출원본!$AY$8:$AY$2007,$A139,매출원본!$AS$8:$AS$2007,"&lt;="&amp;설정!$B$5))</f>
        <v/>
      </c>
      <c r="F139" s="39">
        <f>IF($U139="","",SUMIFS(입금_은행1!$Z$8:$Z$2007,입금_은행1!$AC$8:$AC$2007,$A139,입금_은행1!$Y$8:$Y$2007,"&lt;="&amp;설정!$B$5)+SUMIFS(입금_은행2!$Z$8:$Z$2007,입금_은행2!$AC$8:$AC$2007,$A139,입금_은행2!$Y$8:$Y$2007,"&lt;="&amp;설정!$B$5))</f>
        <v/>
      </c>
      <c r="G139" s="39">
        <f>IF($U139="","",$D139+$E139-$F139)</f>
        <v/>
      </c>
      <c r="H139" s="39">
        <f>IF($U139="","",MIN(MAX($G139,0),$V139))</f>
        <v/>
      </c>
      <c r="I139" s="39">
        <f>IF($U139="","",MIN(MAX($G139,0),$W139)-MIN(MAX($G139,0),$V139))</f>
        <v/>
      </c>
      <c r="J139" s="39">
        <f>IF($U139="","",MIN(MAX($G139,0),$X139)-MIN(MAX($G139,0),$W139))</f>
        <v/>
      </c>
      <c r="K139" s="39">
        <f>IF($U139="","",MAX($G139,0)-MIN(MAX($G139,0),$X139))</f>
        <v/>
      </c>
      <c r="L139" s="40">
        <f>IF($U139="","",IF(MAX(SUMPRODUCT(MAX((입금_은행1!$AC$8:$AC$2007=$A139)*(입금_은행1!$AE$8:$AE$2007&lt;=설정!$B$5)*입금_은행1!$AE$8:$AE$2007)),SUMPRODUCT(MAX((입금_은행2!$AC$8:$AC$2007=$A139)*(입금_은행2!$AE$8:$AE$2007&lt;=설정!$B$5)*입금_은행2!$AE$8:$AE$2007)))=0,"",MAX(SUMPRODUCT(MAX((입금_은행1!$AC$8:$AC$2007=$A139)*(입금_은행1!$AE$8:$AE$2007&lt;=설정!$B$5)*입금_은행1!$AE$8:$AE$2007)),SUMPRODUCT(MAX((입금_은행2!$AC$8:$AC$2007=$A139)*(입금_은행2!$AE$8:$AE$2007&lt;=설정!$B$5)*입금_은행2!$AE$8:$AE$2007)))))</f>
        <v/>
      </c>
      <c r="M139" s="38">
        <f>IF($U139="","",IF($T139="","",IF(INDEX(거래처설정!$F$8:$F$407,$T139)="","",INDEX(거래처설정!$F$8:$F$407,$T139))))</f>
        <v/>
      </c>
      <c r="N139" s="38">
        <f>IF($U139="","",IF($T139="","",IF(INDEX(거래처설정!$G$8:$G$407,$T139)="","",INDEX(거래처설정!$G$8:$G$407,$T139))))</f>
        <v/>
      </c>
      <c r="O139" s="38">
        <f>IF($U139="","",IF($M139="제외",0,IF($K139&gt;=설정!$B$9,3,IF($J139+$K139&gt;=설정!$B$9,2,IF($I139+$J139+$K139&gt;=설정!$B$9,1,0)))))</f>
        <v/>
      </c>
      <c r="P139" s="38">
        <f>IF($U139="","",IF($M139="제외","제외(조치 상태)",IF($O139=3,"③ 강한 독촉 후보 ("&amp;설정!$B$8&amp;"일 초과)",IF($O139=2,"② 독촉 후보 ("&amp;설정!$B$7&amp;"일 초과)",IF($O139=1,"① 안내 후보 ("&amp;설정!$B$6&amp;"일 초과)",IF($G139&gt;0,IF($I139+$J139+$K139&gt;0,"오래된 잔액 있음 (최소 금액 미만)","정상 범위"),IF($G139&lt;0,"선수금·초과입금 — 확인","완납")))))))</f>
        <v/>
      </c>
      <c r="Q139" s="38">
        <f>IF($U139="","",IF($G139&lt;0,"입금이 매출보다 큼 — 선수금이거나 다른 거래처 입금이 섞였는지 확인",IF(AND($AE139&lt;&gt;"",COUNTIF($AE$8:$AE$307,"*"&amp;$AE139&amp;"*")&gt;1),"이름이 다른 거래처와 겹침 — 입금이 잘못 맞았을 수 있으니 별칭 확인",IF(AND($G139&gt;0,$F139=0),"입금 매칭 없음 — 입금자명이 다르면 [거래처설정]에 별칭 등록",""))))</f>
        <v/>
      </c>
      <c r="R139" s="31">
        <f>IF(OR($U139="",$G139&lt;=0),"",$G139-$A139/10000)</f>
        <v/>
      </c>
      <c r="S139" s="31">
        <f>IF(OR($U139="",$O139&lt;1),"",$O139*10^11+$I139+$J139+$K139-$A139/1000)</f>
        <v/>
      </c>
      <c r="T139" s="31">
        <f>IF($U139="","",IFERROR(MATCH(INDEX(매출원본!$AU$8:$AU$2007,$U139),거래처설정!$I$8:$I$407,0),""))</f>
        <v/>
      </c>
      <c r="U139" s="31">
        <f>IFERROR(MATCH(132,매출원본!$AW$8:$AW$2007,0),"")</f>
        <v/>
      </c>
      <c r="V139" s="31">
        <f>IF($U139="","",MAX(SUMIFS(매출원본!$AT$8:$AT$2007,매출원본!$AY$8:$AY$2007,$A139,매출원본!$AS$8:$AS$2007,"&gt;="&amp;(설정!$B$5-설정!$B$6),매출원본!$AS$8:$AS$2007,"&lt;="&amp;설정!$B$5),0))</f>
        <v/>
      </c>
      <c r="W139" s="31">
        <f>IF($U139="","",MAX($V139,SUMIFS(매출원본!$AT$8:$AT$2007,매출원본!$AY$8:$AY$2007,$A139,매출원본!$AS$8:$AS$2007,"&gt;="&amp;(설정!$B$5-설정!$B$7),매출원본!$AS$8:$AS$2007,"&lt;="&amp;설정!$B$5)))</f>
        <v/>
      </c>
      <c r="X139" s="31">
        <f>IF($U139="","",MAX($W139,SUMIFS(매출원본!$AT$8:$AT$2007,매출원본!$AY$8:$AY$2007,$A139,매출원본!$AS$8:$AS$2007,"&gt;="&amp;(설정!$B$5-설정!$B$8),매출원본!$AS$8:$AS$2007,"&lt;="&amp;설정!$B$5)))</f>
        <v/>
      </c>
      <c r="AC139" s="31">
        <f>IF(OR($U139="",$T139=""),"",INDEX(거래처설정!$J$8:$J$407,$T139))</f>
        <v/>
      </c>
      <c r="AD139" s="31">
        <f>IF(OR($U139="",$T139=""),"",INDEX(거래처설정!$K$8:$K$407,$T139))</f>
        <v/>
      </c>
      <c r="AE139" s="31">
        <f>IF($U139="","",IF(LEN(SUBSTITUTE(SUBSTITUTE(SUBSTITUTE(SUBSTITUTE(SUBSTITUTE(SUBSTITUTE(SUBSTITUTE(SUBSTITUTE(SUBSTITUTE($C139," ",""),"　",""),"(주)",""),"（주）",""),"㈜",""),"주식회사",""),"(유)",""),"（유）",""),"유한회사",""))&lt;2,"",SUBSTITUTE(SUBSTITUTE(SUBSTITUTE(SUBSTITUTE(SUBSTITUTE(SUBSTITUTE(SUBSTITUTE(SUBSTITUTE(SUBSTITUTE($C139," ",""),"　",""),"(주)",""),"（주）",""),"㈜",""),"주식회사",""),"(유)",""),"（유）",""),"유한회사","")))</f>
        <v/>
      </c>
    </row>
    <row r="140">
      <c r="A140" s="38">
        <f>IF($U140="","",133)</f>
        <v/>
      </c>
      <c r="B140" s="38">
        <f>IF($U140="","",IF(LEN(INDEX(매출원본!$AU$8:$AU$2007,$U140))=10,LEFT(INDEX(매출원본!$AU$8:$AU$2007,$U140),3)&amp;"-"&amp;MID(INDEX(매출원본!$AU$8:$AU$2007,$U140),4,2)&amp;"-"&amp;RIGHT(INDEX(매출원본!$AU$8:$AU$2007,$U140),5),IF(LEFT(INDEX(매출원본!$AU$8:$AU$2007,$U140),2)="N:","(번호 없음)",INDEX(매출원본!$AU$8:$AU$2007,$U140))))</f>
        <v/>
      </c>
      <c r="C140" s="38">
        <f>IF($U140="","",INDEX(매출원본!$AV$8:$AV$2007,$U140))</f>
        <v/>
      </c>
      <c r="D140" s="39">
        <f>IF($U140="","",IF($T140="",0,N(INDEX(거래처설정!$E$8:$E$407,$T140))))</f>
        <v/>
      </c>
      <c r="E140" s="39">
        <f>IF($U140="","",SUMIFS(매출원본!$AT$8:$AT$2007,매출원본!$AY$8:$AY$2007,$A140,매출원본!$AS$8:$AS$2007,"&lt;="&amp;설정!$B$5))</f>
        <v/>
      </c>
      <c r="F140" s="39">
        <f>IF($U140="","",SUMIFS(입금_은행1!$Z$8:$Z$2007,입금_은행1!$AC$8:$AC$2007,$A140,입금_은행1!$Y$8:$Y$2007,"&lt;="&amp;설정!$B$5)+SUMIFS(입금_은행2!$Z$8:$Z$2007,입금_은행2!$AC$8:$AC$2007,$A140,입금_은행2!$Y$8:$Y$2007,"&lt;="&amp;설정!$B$5))</f>
        <v/>
      </c>
      <c r="G140" s="39">
        <f>IF($U140="","",$D140+$E140-$F140)</f>
        <v/>
      </c>
      <c r="H140" s="39">
        <f>IF($U140="","",MIN(MAX($G140,0),$V140))</f>
        <v/>
      </c>
      <c r="I140" s="39">
        <f>IF($U140="","",MIN(MAX($G140,0),$W140)-MIN(MAX($G140,0),$V140))</f>
        <v/>
      </c>
      <c r="J140" s="39">
        <f>IF($U140="","",MIN(MAX($G140,0),$X140)-MIN(MAX($G140,0),$W140))</f>
        <v/>
      </c>
      <c r="K140" s="39">
        <f>IF($U140="","",MAX($G140,0)-MIN(MAX($G140,0),$X140))</f>
        <v/>
      </c>
      <c r="L140" s="40">
        <f>IF($U140="","",IF(MAX(SUMPRODUCT(MAX((입금_은행1!$AC$8:$AC$2007=$A140)*(입금_은행1!$AE$8:$AE$2007&lt;=설정!$B$5)*입금_은행1!$AE$8:$AE$2007)),SUMPRODUCT(MAX((입금_은행2!$AC$8:$AC$2007=$A140)*(입금_은행2!$AE$8:$AE$2007&lt;=설정!$B$5)*입금_은행2!$AE$8:$AE$2007)))=0,"",MAX(SUMPRODUCT(MAX((입금_은행1!$AC$8:$AC$2007=$A140)*(입금_은행1!$AE$8:$AE$2007&lt;=설정!$B$5)*입금_은행1!$AE$8:$AE$2007)),SUMPRODUCT(MAX((입금_은행2!$AC$8:$AC$2007=$A140)*(입금_은행2!$AE$8:$AE$2007&lt;=설정!$B$5)*입금_은행2!$AE$8:$AE$2007)))))</f>
        <v/>
      </c>
      <c r="M140" s="38">
        <f>IF($U140="","",IF($T140="","",IF(INDEX(거래처설정!$F$8:$F$407,$T140)="","",INDEX(거래처설정!$F$8:$F$407,$T140))))</f>
        <v/>
      </c>
      <c r="N140" s="38">
        <f>IF($U140="","",IF($T140="","",IF(INDEX(거래처설정!$G$8:$G$407,$T140)="","",INDEX(거래처설정!$G$8:$G$407,$T140))))</f>
        <v/>
      </c>
      <c r="O140" s="38">
        <f>IF($U140="","",IF($M140="제외",0,IF($K140&gt;=설정!$B$9,3,IF($J140+$K140&gt;=설정!$B$9,2,IF($I140+$J140+$K140&gt;=설정!$B$9,1,0)))))</f>
        <v/>
      </c>
      <c r="P140" s="38">
        <f>IF($U140="","",IF($M140="제외","제외(조치 상태)",IF($O140=3,"③ 강한 독촉 후보 ("&amp;설정!$B$8&amp;"일 초과)",IF($O140=2,"② 독촉 후보 ("&amp;설정!$B$7&amp;"일 초과)",IF($O140=1,"① 안내 후보 ("&amp;설정!$B$6&amp;"일 초과)",IF($G140&gt;0,IF($I140+$J140+$K140&gt;0,"오래된 잔액 있음 (최소 금액 미만)","정상 범위"),IF($G140&lt;0,"선수금·초과입금 — 확인","완납")))))))</f>
        <v/>
      </c>
      <c r="Q140" s="38">
        <f>IF($U140="","",IF($G140&lt;0,"입금이 매출보다 큼 — 선수금이거나 다른 거래처 입금이 섞였는지 확인",IF(AND($AE140&lt;&gt;"",COUNTIF($AE$8:$AE$307,"*"&amp;$AE140&amp;"*")&gt;1),"이름이 다른 거래처와 겹침 — 입금이 잘못 맞았을 수 있으니 별칭 확인",IF(AND($G140&gt;0,$F140=0),"입금 매칭 없음 — 입금자명이 다르면 [거래처설정]에 별칭 등록",""))))</f>
        <v/>
      </c>
      <c r="R140" s="31">
        <f>IF(OR($U140="",$G140&lt;=0),"",$G140-$A140/10000)</f>
        <v/>
      </c>
      <c r="S140" s="31">
        <f>IF(OR($U140="",$O140&lt;1),"",$O140*10^11+$I140+$J140+$K140-$A140/1000)</f>
        <v/>
      </c>
      <c r="T140" s="31">
        <f>IF($U140="","",IFERROR(MATCH(INDEX(매출원본!$AU$8:$AU$2007,$U140),거래처설정!$I$8:$I$407,0),""))</f>
        <v/>
      </c>
      <c r="U140" s="31">
        <f>IFERROR(MATCH(133,매출원본!$AW$8:$AW$2007,0),"")</f>
        <v/>
      </c>
      <c r="V140" s="31">
        <f>IF($U140="","",MAX(SUMIFS(매출원본!$AT$8:$AT$2007,매출원본!$AY$8:$AY$2007,$A140,매출원본!$AS$8:$AS$2007,"&gt;="&amp;(설정!$B$5-설정!$B$6),매출원본!$AS$8:$AS$2007,"&lt;="&amp;설정!$B$5),0))</f>
        <v/>
      </c>
      <c r="W140" s="31">
        <f>IF($U140="","",MAX($V140,SUMIFS(매출원본!$AT$8:$AT$2007,매출원본!$AY$8:$AY$2007,$A140,매출원본!$AS$8:$AS$2007,"&gt;="&amp;(설정!$B$5-설정!$B$7),매출원본!$AS$8:$AS$2007,"&lt;="&amp;설정!$B$5)))</f>
        <v/>
      </c>
      <c r="X140" s="31">
        <f>IF($U140="","",MAX($W140,SUMIFS(매출원본!$AT$8:$AT$2007,매출원본!$AY$8:$AY$2007,$A140,매출원본!$AS$8:$AS$2007,"&gt;="&amp;(설정!$B$5-설정!$B$8),매출원본!$AS$8:$AS$2007,"&lt;="&amp;설정!$B$5)))</f>
        <v/>
      </c>
      <c r="AC140" s="31">
        <f>IF(OR($U140="",$T140=""),"",INDEX(거래처설정!$J$8:$J$407,$T140))</f>
        <v/>
      </c>
      <c r="AD140" s="31">
        <f>IF(OR($U140="",$T140=""),"",INDEX(거래처설정!$K$8:$K$407,$T140))</f>
        <v/>
      </c>
      <c r="AE140" s="31">
        <f>IF($U140="","",IF(LEN(SUBSTITUTE(SUBSTITUTE(SUBSTITUTE(SUBSTITUTE(SUBSTITUTE(SUBSTITUTE(SUBSTITUTE(SUBSTITUTE(SUBSTITUTE($C140," ",""),"　",""),"(주)",""),"（주）",""),"㈜",""),"주식회사",""),"(유)",""),"（유）",""),"유한회사",""))&lt;2,"",SUBSTITUTE(SUBSTITUTE(SUBSTITUTE(SUBSTITUTE(SUBSTITUTE(SUBSTITUTE(SUBSTITUTE(SUBSTITUTE(SUBSTITUTE($C140," ",""),"　",""),"(주)",""),"（주）",""),"㈜",""),"주식회사",""),"(유)",""),"（유）",""),"유한회사","")))</f>
        <v/>
      </c>
    </row>
    <row r="141">
      <c r="A141" s="38">
        <f>IF($U141="","",134)</f>
        <v/>
      </c>
      <c r="B141" s="38">
        <f>IF($U141="","",IF(LEN(INDEX(매출원본!$AU$8:$AU$2007,$U141))=10,LEFT(INDEX(매출원본!$AU$8:$AU$2007,$U141),3)&amp;"-"&amp;MID(INDEX(매출원본!$AU$8:$AU$2007,$U141),4,2)&amp;"-"&amp;RIGHT(INDEX(매출원본!$AU$8:$AU$2007,$U141),5),IF(LEFT(INDEX(매출원본!$AU$8:$AU$2007,$U141),2)="N:","(번호 없음)",INDEX(매출원본!$AU$8:$AU$2007,$U141))))</f>
        <v/>
      </c>
      <c r="C141" s="38">
        <f>IF($U141="","",INDEX(매출원본!$AV$8:$AV$2007,$U141))</f>
        <v/>
      </c>
      <c r="D141" s="39">
        <f>IF($U141="","",IF($T141="",0,N(INDEX(거래처설정!$E$8:$E$407,$T141))))</f>
        <v/>
      </c>
      <c r="E141" s="39">
        <f>IF($U141="","",SUMIFS(매출원본!$AT$8:$AT$2007,매출원본!$AY$8:$AY$2007,$A141,매출원본!$AS$8:$AS$2007,"&lt;="&amp;설정!$B$5))</f>
        <v/>
      </c>
      <c r="F141" s="39">
        <f>IF($U141="","",SUMIFS(입금_은행1!$Z$8:$Z$2007,입금_은행1!$AC$8:$AC$2007,$A141,입금_은행1!$Y$8:$Y$2007,"&lt;="&amp;설정!$B$5)+SUMIFS(입금_은행2!$Z$8:$Z$2007,입금_은행2!$AC$8:$AC$2007,$A141,입금_은행2!$Y$8:$Y$2007,"&lt;="&amp;설정!$B$5))</f>
        <v/>
      </c>
      <c r="G141" s="39">
        <f>IF($U141="","",$D141+$E141-$F141)</f>
        <v/>
      </c>
      <c r="H141" s="39">
        <f>IF($U141="","",MIN(MAX($G141,0),$V141))</f>
        <v/>
      </c>
      <c r="I141" s="39">
        <f>IF($U141="","",MIN(MAX($G141,0),$W141)-MIN(MAX($G141,0),$V141))</f>
        <v/>
      </c>
      <c r="J141" s="39">
        <f>IF($U141="","",MIN(MAX($G141,0),$X141)-MIN(MAX($G141,0),$W141))</f>
        <v/>
      </c>
      <c r="K141" s="39">
        <f>IF($U141="","",MAX($G141,0)-MIN(MAX($G141,0),$X141))</f>
        <v/>
      </c>
      <c r="L141" s="40">
        <f>IF($U141="","",IF(MAX(SUMPRODUCT(MAX((입금_은행1!$AC$8:$AC$2007=$A141)*(입금_은행1!$AE$8:$AE$2007&lt;=설정!$B$5)*입금_은행1!$AE$8:$AE$2007)),SUMPRODUCT(MAX((입금_은행2!$AC$8:$AC$2007=$A141)*(입금_은행2!$AE$8:$AE$2007&lt;=설정!$B$5)*입금_은행2!$AE$8:$AE$2007)))=0,"",MAX(SUMPRODUCT(MAX((입금_은행1!$AC$8:$AC$2007=$A141)*(입금_은행1!$AE$8:$AE$2007&lt;=설정!$B$5)*입금_은행1!$AE$8:$AE$2007)),SUMPRODUCT(MAX((입금_은행2!$AC$8:$AC$2007=$A141)*(입금_은행2!$AE$8:$AE$2007&lt;=설정!$B$5)*입금_은행2!$AE$8:$AE$2007)))))</f>
        <v/>
      </c>
      <c r="M141" s="38">
        <f>IF($U141="","",IF($T141="","",IF(INDEX(거래처설정!$F$8:$F$407,$T141)="","",INDEX(거래처설정!$F$8:$F$407,$T141))))</f>
        <v/>
      </c>
      <c r="N141" s="38">
        <f>IF($U141="","",IF($T141="","",IF(INDEX(거래처설정!$G$8:$G$407,$T141)="","",INDEX(거래처설정!$G$8:$G$407,$T141))))</f>
        <v/>
      </c>
      <c r="O141" s="38">
        <f>IF($U141="","",IF($M141="제외",0,IF($K141&gt;=설정!$B$9,3,IF($J141+$K141&gt;=설정!$B$9,2,IF($I141+$J141+$K141&gt;=설정!$B$9,1,0)))))</f>
        <v/>
      </c>
      <c r="P141" s="38">
        <f>IF($U141="","",IF($M141="제외","제외(조치 상태)",IF($O141=3,"③ 강한 독촉 후보 ("&amp;설정!$B$8&amp;"일 초과)",IF($O141=2,"② 독촉 후보 ("&amp;설정!$B$7&amp;"일 초과)",IF($O141=1,"① 안내 후보 ("&amp;설정!$B$6&amp;"일 초과)",IF($G141&gt;0,IF($I141+$J141+$K141&gt;0,"오래된 잔액 있음 (최소 금액 미만)","정상 범위"),IF($G141&lt;0,"선수금·초과입금 — 확인","완납")))))))</f>
        <v/>
      </c>
      <c r="Q141" s="38">
        <f>IF($U141="","",IF($G141&lt;0,"입금이 매출보다 큼 — 선수금이거나 다른 거래처 입금이 섞였는지 확인",IF(AND($AE141&lt;&gt;"",COUNTIF($AE$8:$AE$307,"*"&amp;$AE141&amp;"*")&gt;1),"이름이 다른 거래처와 겹침 — 입금이 잘못 맞았을 수 있으니 별칭 확인",IF(AND($G141&gt;0,$F141=0),"입금 매칭 없음 — 입금자명이 다르면 [거래처설정]에 별칭 등록",""))))</f>
        <v/>
      </c>
      <c r="R141" s="31">
        <f>IF(OR($U141="",$G141&lt;=0),"",$G141-$A141/10000)</f>
        <v/>
      </c>
      <c r="S141" s="31">
        <f>IF(OR($U141="",$O141&lt;1),"",$O141*10^11+$I141+$J141+$K141-$A141/1000)</f>
        <v/>
      </c>
      <c r="T141" s="31">
        <f>IF($U141="","",IFERROR(MATCH(INDEX(매출원본!$AU$8:$AU$2007,$U141),거래처설정!$I$8:$I$407,0),""))</f>
        <v/>
      </c>
      <c r="U141" s="31">
        <f>IFERROR(MATCH(134,매출원본!$AW$8:$AW$2007,0),"")</f>
        <v/>
      </c>
      <c r="V141" s="31">
        <f>IF($U141="","",MAX(SUMIFS(매출원본!$AT$8:$AT$2007,매출원본!$AY$8:$AY$2007,$A141,매출원본!$AS$8:$AS$2007,"&gt;="&amp;(설정!$B$5-설정!$B$6),매출원본!$AS$8:$AS$2007,"&lt;="&amp;설정!$B$5),0))</f>
        <v/>
      </c>
      <c r="W141" s="31">
        <f>IF($U141="","",MAX($V141,SUMIFS(매출원본!$AT$8:$AT$2007,매출원본!$AY$8:$AY$2007,$A141,매출원본!$AS$8:$AS$2007,"&gt;="&amp;(설정!$B$5-설정!$B$7),매출원본!$AS$8:$AS$2007,"&lt;="&amp;설정!$B$5)))</f>
        <v/>
      </c>
      <c r="X141" s="31">
        <f>IF($U141="","",MAX($W141,SUMIFS(매출원본!$AT$8:$AT$2007,매출원본!$AY$8:$AY$2007,$A141,매출원본!$AS$8:$AS$2007,"&gt;="&amp;(설정!$B$5-설정!$B$8),매출원본!$AS$8:$AS$2007,"&lt;="&amp;설정!$B$5)))</f>
        <v/>
      </c>
      <c r="AC141" s="31">
        <f>IF(OR($U141="",$T141=""),"",INDEX(거래처설정!$J$8:$J$407,$T141))</f>
        <v/>
      </c>
      <c r="AD141" s="31">
        <f>IF(OR($U141="",$T141=""),"",INDEX(거래처설정!$K$8:$K$407,$T141))</f>
        <v/>
      </c>
      <c r="AE141" s="31">
        <f>IF($U141="","",IF(LEN(SUBSTITUTE(SUBSTITUTE(SUBSTITUTE(SUBSTITUTE(SUBSTITUTE(SUBSTITUTE(SUBSTITUTE(SUBSTITUTE(SUBSTITUTE($C141," ",""),"　",""),"(주)",""),"（주）",""),"㈜",""),"주식회사",""),"(유)",""),"（유）",""),"유한회사",""))&lt;2,"",SUBSTITUTE(SUBSTITUTE(SUBSTITUTE(SUBSTITUTE(SUBSTITUTE(SUBSTITUTE(SUBSTITUTE(SUBSTITUTE(SUBSTITUTE($C141," ",""),"　",""),"(주)",""),"（주）",""),"㈜",""),"주식회사",""),"(유)",""),"（유）",""),"유한회사","")))</f>
        <v/>
      </c>
    </row>
    <row r="142">
      <c r="A142" s="38">
        <f>IF($U142="","",135)</f>
        <v/>
      </c>
      <c r="B142" s="38">
        <f>IF($U142="","",IF(LEN(INDEX(매출원본!$AU$8:$AU$2007,$U142))=10,LEFT(INDEX(매출원본!$AU$8:$AU$2007,$U142),3)&amp;"-"&amp;MID(INDEX(매출원본!$AU$8:$AU$2007,$U142),4,2)&amp;"-"&amp;RIGHT(INDEX(매출원본!$AU$8:$AU$2007,$U142),5),IF(LEFT(INDEX(매출원본!$AU$8:$AU$2007,$U142),2)="N:","(번호 없음)",INDEX(매출원본!$AU$8:$AU$2007,$U142))))</f>
        <v/>
      </c>
      <c r="C142" s="38">
        <f>IF($U142="","",INDEX(매출원본!$AV$8:$AV$2007,$U142))</f>
        <v/>
      </c>
      <c r="D142" s="39">
        <f>IF($U142="","",IF($T142="",0,N(INDEX(거래처설정!$E$8:$E$407,$T142))))</f>
        <v/>
      </c>
      <c r="E142" s="39">
        <f>IF($U142="","",SUMIFS(매출원본!$AT$8:$AT$2007,매출원본!$AY$8:$AY$2007,$A142,매출원본!$AS$8:$AS$2007,"&lt;="&amp;설정!$B$5))</f>
        <v/>
      </c>
      <c r="F142" s="39">
        <f>IF($U142="","",SUMIFS(입금_은행1!$Z$8:$Z$2007,입금_은행1!$AC$8:$AC$2007,$A142,입금_은행1!$Y$8:$Y$2007,"&lt;="&amp;설정!$B$5)+SUMIFS(입금_은행2!$Z$8:$Z$2007,입금_은행2!$AC$8:$AC$2007,$A142,입금_은행2!$Y$8:$Y$2007,"&lt;="&amp;설정!$B$5))</f>
        <v/>
      </c>
      <c r="G142" s="39">
        <f>IF($U142="","",$D142+$E142-$F142)</f>
        <v/>
      </c>
      <c r="H142" s="39">
        <f>IF($U142="","",MIN(MAX($G142,0),$V142))</f>
        <v/>
      </c>
      <c r="I142" s="39">
        <f>IF($U142="","",MIN(MAX($G142,0),$W142)-MIN(MAX($G142,0),$V142))</f>
        <v/>
      </c>
      <c r="J142" s="39">
        <f>IF($U142="","",MIN(MAX($G142,0),$X142)-MIN(MAX($G142,0),$W142))</f>
        <v/>
      </c>
      <c r="K142" s="39">
        <f>IF($U142="","",MAX($G142,0)-MIN(MAX($G142,0),$X142))</f>
        <v/>
      </c>
      <c r="L142" s="40">
        <f>IF($U142="","",IF(MAX(SUMPRODUCT(MAX((입금_은행1!$AC$8:$AC$2007=$A142)*(입금_은행1!$AE$8:$AE$2007&lt;=설정!$B$5)*입금_은행1!$AE$8:$AE$2007)),SUMPRODUCT(MAX((입금_은행2!$AC$8:$AC$2007=$A142)*(입금_은행2!$AE$8:$AE$2007&lt;=설정!$B$5)*입금_은행2!$AE$8:$AE$2007)))=0,"",MAX(SUMPRODUCT(MAX((입금_은행1!$AC$8:$AC$2007=$A142)*(입금_은행1!$AE$8:$AE$2007&lt;=설정!$B$5)*입금_은행1!$AE$8:$AE$2007)),SUMPRODUCT(MAX((입금_은행2!$AC$8:$AC$2007=$A142)*(입금_은행2!$AE$8:$AE$2007&lt;=설정!$B$5)*입금_은행2!$AE$8:$AE$2007)))))</f>
        <v/>
      </c>
      <c r="M142" s="38">
        <f>IF($U142="","",IF($T142="","",IF(INDEX(거래처설정!$F$8:$F$407,$T142)="","",INDEX(거래처설정!$F$8:$F$407,$T142))))</f>
        <v/>
      </c>
      <c r="N142" s="38">
        <f>IF($U142="","",IF($T142="","",IF(INDEX(거래처설정!$G$8:$G$407,$T142)="","",INDEX(거래처설정!$G$8:$G$407,$T142))))</f>
        <v/>
      </c>
      <c r="O142" s="38">
        <f>IF($U142="","",IF($M142="제외",0,IF($K142&gt;=설정!$B$9,3,IF($J142+$K142&gt;=설정!$B$9,2,IF($I142+$J142+$K142&gt;=설정!$B$9,1,0)))))</f>
        <v/>
      </c>
      <c r="P142" s="38">
        <f>IF($U142="","",IF($M142="제외","제외(조치 상태)",IF($O142=3,"③ 강한 독촉 후보 ("&amp;설정!$B$8&amp;"일 초과)",IF($O142=2,"② 독촉 후보 ("&amp;설정!$B$7&amp;"일 초과)",IF($O142=1,"① 안내 후보 ("&amp;설정!$B$6&amp;"일 초과)",IF($G142&gt;0,IF($I142+$J142+$K142&gt;0,"오래된 잔액 있음 (최소 금액 미만)","정상 범위"),IF($G142&lt;0,"선수금·초과입금 — 확인","완납")))))))</f>
        <v/>
      </c>
      <c r="Q142" s="38">
        <f>IF($U142="","",IF($G142&lt;0,"입금이 매출보다 큼 — 선수금이거나 다른 거래처 입금이 섞였는지 확인",IF(AND($AE142&lt;&gt;"",COUNTIF($AE$8:$AE$307,"*"&amp;$AE142&amp;"*")&gt;1),"이름이 다른 거래처와 겹침 — 입금이 잘못 맞았을 수 있으니 별칭 확인",IF(AND($G142&gt;0,$F142=0),"입금 매칭 없음 — 입금자명이 다르면 [거래처설정]에 별칭 등록",""))))</f>
        <v/>
      </c>
      <c r="R142" s="31">
        <f>IF(OR($U142="",$G142&lt;=0),"",$G142-$A142/10000)</f>
        <v/>
      </c>
      <c r="S142" s="31">
        <f>IF(OR($U142="",$O142&lt;1),"",$O142*10^11+$I142+$J142+$K142-$A142/1000)</f>
        <v/>
      </c>
      <c r="T142" s="31">
        <f>IF($U142="","",IFERROR(MATCH(INDEX(매출원본!$AU$8:$AU$2007,$U142),거래처설정!$I$8:$I$407,0),""))</f>
        <v/>
      </c>
      <c r="U142" s="31">
        <f>IFERROR(MATCH(135,매출원본!$AW$8:$AW$2007,0),"")</f>
        <v/>
      </c>
      <c r="V142" s="31">
        <f>IF($U142="","",MAX(SUMIFS(매출원본!$AT$8:$AT$2007,매출원본!$AY$8:$AY$2007,$A142,매출원본!$AS$8:$AS$2007,"&gt;="&amp;(설정!$B$5-설정!$B$6),매출원본!$AS$8:$AS$2007,"&lt;="&amp;설정!$B$5),0))</f>
        <v/>
      </c>
      <c r="W142" s="31">
        <f>IF($U142="","",MAX($V142,SUMIFS(매출원본!$AT$8:$AT$2007,매출원본!$AY$8:$AY$2007,$A142,매출원본!$AS$8:$AS$2007,"&gt;="&amp;(설정!$B$5-설정!$B$7),매출원본!$AS$8:$AS$2007,"&lt;="&amp;설정!$B$5)))</f>
        <v/>
      </c>
      <c r="X142" s="31">
        <f>IF($U142="","",MAX($W142,SUMIFS(매출원본!$AT$8:$AT$2007,매출원본!$AY$8:$AY$2007,$A142,매출원본!$AS$8:$AS$2007,"&gt;="&amp;(설정!$B$5-설정!$B$8),매출원본!$AS$8:$AS$2007,"&lt;="&amp;설정!$B$5)))</f>
        <v/>
      </c>
      <c r="AC142" s="31">
        <f>IF(OR($U142="",$T142=""),"",INDEX(거래처설정!$J$8:$J$407,$T142))</f>
        <v/>
      </c>
      <c r="AD142" s="31">
        <f>IF(OR($U142="",$T142=""),"",INDEX(거래처설정!$K$8:$K$407,$T142))</f>
        <v/>
      </c>
      <c r="AE142" s="31">
        <f>IF($U142="","",IF(LEN(SUBSTITUTE(SUBSTITUTE(SUBSTITUTE(SUBSTITUTE(SUBSTITUTE(SUBSTITUTE(SUBSTITUTE(SUBSTITUTE(SUBSTITUTE($C142," ",""),"　",""),"(주)",""),"（주）",""),"㈜",""),"주식회사",""),"(유)",""),"（유）",""),"유한회사",""))&lt;2,"",SUBSTITUTE(SUBSTITUTE(SUBSTITUTE(SUBSTITUTE(SUBSTITUTE(SUBSTITUTE(SUBSTITUTE(SUBSTITUTE(SUBSTITUTE($C142," ",""),"　",""),"(주)",""),"（주）",""),"㈜",""),"주식회사",""),"(유)",""),"（유）",""),"유한회사","")))</f>
        <v/>
      </c>
    </row>
    <row r="143">
      <c r="A143" s="38">
        <f>IF($U143="","",136)</f>
        <v/>
      </c>
      <c r="B143" s="38">
        <f>IF($U143="","",IF(LEN(INDEX(매출원본!$AU$8:$AU$2007,$U143))=10,LEFT(INDEX(매출원본!$AU$8:$AU$2007,$U143),3)&amp;"-"&amp;MID(INDEX(매출원본!$AU$8:$AU$2007,$U143),4,2)&amp;"-"&amp;RIGHT(INDEX(매출원본!$AU$8:$AU$2007,$U143),5),IF(LEFT(INDEX(매출원본!$AU$8:$AU$2007,$U143),2)="N:","(번호 없음)",INDEX(매출원본!$AU$8:$AU$2007,$U143))))</f>
        <v/>
      </c>
      <c r="C143" s="38">
        <f>IF($U143="","",INDEX(매출원본!$AV$8:$AV$2007,$U143))</f>
        <v/>
      </c>
      <c r="D143" s="39">
        <f>IF($U143="","",IF($T143="",0,N(INDEX(거래처설정!$E$8:$E$407,$T143))))</f>
        <v/>
      </c>
      <c r="E143" s="39">
        <f>IF($U143="","",SUMIFS(매출원본!$AT$8:$AT$2007,매출원본!$AY$8:$AY$2007,$A143,매출원본!$AS$8:$AS$2007,"&lt;="&amp;설정!$B$5))</f>
        <v/>
      </c>
      <c r="F143" s="39">
        <f>IF($U143="","",SUMIFS(입금_은행1!$Z$8:$Z$2007,입금_은행1!$AC$8:$AC$2007,$A143,입금_은행1!$Y$8:$Y$2007,"&lt;="&amp;설정!$B$5)+SUMIFS(입금_은행2!$Z$8:$Z$2007,입금_은행2!$AC$8:$AC$2007,$A143,입금_은행2!$Y$8:$Y$2007,"&lt;="&amp;설정!$B$5))</f>
        <v/>
      </c>
      <c r="G143" s="39">
        <f>IF($U143="","",$D143+$E143-$F143)</f>
        <v/>
      </c>
      <c r="H143" s="39">
        <f>IF($U143="","",MIN(MAX($G143,0),$V143))</f>
        <v/>
      </c>
      <c r="I143" s="39">
        <f>IF($U143="","",MIN(MAX($G143,0),$W143)-MIN(MAX($G143,0),$V143))</f>
        <v/>
      </c>
      <c r="J143" s="39">
        <f>IF($U143="","",MIN(MAX($G143,0),$X143)-MIN(MAX($G143,0),$W143))</f>
        <v/>
      </c>
      <c r="K143" s="39">
        <f>IF($U143="","",MAX($G143,0)-MIN(MAX($G143,0),$X143))</f>
        <v/>
      </c>
      <c r="L143" s="40">
        <f>IF($U143="","",IF(MAX(SUMPRODUCT(MAX((입금_은행1!$AC$8:$AC$2007=$A143)*(입금_은행1!$AE$8:$AE$2007&lt;=설정!$B$5)*입금_은행1!$AE$8:$AE$2007)),SUMPRODUCT(MAX((입금_은행2!$AC$8:$AC$2007=$A143)*(입금_은행2!$AE$8:$AE$2007&lt;=설정!$B$5)*입금_은행2!$AE$8:$AE$2007)))=0,"",MAX(SUMPRODUCT(MAX((입금_은행1!$AC$8:$AC$2007=$A143)*(입금_은행1!$AE$8:$AE$2007&lt;=설정!$B$5)*입금_은행1!$AE$8:$AE$2007)),SUMPRODUCT(MAX((입금_은행2!$AC$8:$AC$2007=$A143)*(입금_은행2!$AE$8:$AE$2007&lt;=설정!$B$5)*입금_은행2!$AE$8:$AE$2007)))))</f>
        <v/>
      </c>
      <c r="M143" s="38">
        <f>IF($U143="","",IF($T143="","",IF(INDEX(거래처설정!$F$8:$F$407,$T143)="","",INDEX(거래처설정!$F$8:$F$407,$T143))))</f>
        <v/>
      </c>
      <c r="N143" s="38">
        <f>IF($U143="","",IF($T143="","",IF(INDEX(거래처설정!$G$8:$G$407,$T143)="","",INDEX(거래처설정!$G$8:$G$407,$T143))))</f>
        <v/>
      </c>
      <c r="O143" s="38">
        <f>IF($U143="","",IF($M143="제외",0,IF($K143&gt;=설정!$B$9,3,IF($J143+$K143&gt;=설정!$B$9,2,IF($I143+$J143+$K143&gt;=설정!$B$9,1,0)))))</f>
        <v/>
      </c>
      <c r="P143" s="38">
        <f>IF($U143="","",IF($M143="제외","제외(조치 상태)",IF($O143=3,"③ 강한 독촉 후보 ("&amp;설정!$B$8&amp;"일 초과)",IF($O143=2,"② 독촉 후보 ("&amp;설정!$B$7&amp;"일 초과)",IF($O143=1,"① 안내 후보 ("&amp;설정!$B$6&amp;"일 초과)",IF($G143&gt;0,IF($I143+$J143+$K143&gt;0,"오래된 잔액 있음 (최소 금액 미만)","정상 범위"),IF($G143&lt;0,"선수금·초과입금 — 확인","완납")))))))</f>
        <v/>
      </c>
      <c r="Q143" s="38">
        <f>IF($U143="","",IF($G143&lt;0,"입금이 매출보다 큼 — 선수금이거나 다른 거래처 입금이 섞였는지 확인",IF(AND($AE143&lt;&gt;"",COUNTIF($AE$8:$AE$307,"*"&amp;$AE143&amp;"*")&gt;1),"이름이 다른 거래처와 겹침 — 입금이 잘못 맞았을 수 있으니 별칭 확인",IF(AND($G143&gt;0,$F143=0),"입금 매칭 없음 — 입금자명이 다르면 [거래처설정]에 별칭 등록",""))))</f>
        <v/>
      </c>
      <c r="R143" s="31">
        <f>IF(OR($U143="",$G143&lt;=0),"",$G143-$A143/10000)</f>
        <v/>
      </c>
      <c r="S143" s="31">
        <f>IF(OR($U143="",$O143&lt;1),"",$O143*10^11+$I143+$J143+$K143-$A143/1000)</f>
        <v/>
      </c>
      <c r="T143" s="31">
        <f>IF($U143="","",IFERROR(MATCH(INDEX(매출원본!$AU$8:$AU$2007,$U143),거래처설정!$I$8:$I$407,0),""))</f>
        <v/>
      </c>
      <c r="U143" s="31">
        <f>IFERROR(MATCH(136,매출원본!$AW$8:$AW$2007,0),"")</f>
        <v/>
      </c>
      <c r="V143" s="31">
        <f>IF($U143="","",MAX(SUMIFS(매출원본!$AT$8:$AT$2007,매출원본!$AY$8:$AY$2007,$A143,매출원본!$AS$8:$AS$2007,"&gt;="&amp;(설정!$B$5-설정!$B$6),매출원본!$AS$8:$AS$2007,"&lt;="&amp;설정!$B$5),0))</f>
        <v/>
      </c>
      <c r="W143" s="31">
        <f>IF($U143="","",MAX($V143,SUMIFS(매출원본!$AT$8:$AT$2007,매출원본!$AY$8:$AY$2007,$A143,매출원본!$AS$8:$AS$2007,"&gt;="&amp;(설정!$B$5-설정!$B$7),매출원본!$AS$8:$AS$2007,"&lt;="&amp;설정!$B$5)))</f>
        <v/>
      </c>
      <c r="X143" s="31">
        <f>IF($U143="","",MAX($W143,SUMIFS(매출원본!$AT$8:$AT$2007,매출원본!$AY$8:$AY$2007,$A143,매출원본!$AS$8:$AS$2007,"&gt;="&amp;(설정!$B$5-설정!$B$8),매출원본!$AS$8:$AS$2007,"&lt;="&amp;설정!$B$5)))</f>
        <v/>
      </c>
      <c r="AC143" s="31">
        <f>IF(OR($U143="",$T143=""),"",INDEX(거래처설정!$J$8:$J$407,$T143))</f>
        <v/>
      </c>
      <c r="AD143" s="31">
        <f>IF(OR($U143="",$T143=""),"",INDEX(거래처설정!$K$8:$K$407,$T143))</f>
        <v/>
      </c>
      <c r="AE143" s="31">
        <f>IF($U143="","",IF(LEN(SUBSTITUTE(SUBSTITUTE(SUBSTITUTE(SUBSTITUTE(SUBSTITUTE(SUBSTITUTE(SUBSTITUTE(SUBSTITUTE(SUBSTITUTE($C143," ",""),"　",""),"(주)",""),"（주）",""),"㈜",""),"주식회사",""),"(유)",""),"（유）",""),"유한회사",""))&lt;2,"",SUBSTITUTE(SUBSTITUTE(SUBSTITUTE(SUBSTITUTE(SUBSTITUTE(SUBSTITUTE(SUBSTITUTE(SUBSTITUTE(SUBSTITUTE($C143," ",""),"　",""),"(주)",""),"（주）",""),"㈜",""),"주식회사",""),"(유)",""),"（유）",""),"유한회사","")))</f>
        <v/>
      </c>
    </row>
    <row r="144">
      <c r="A144" s="38">
        <f>IF($U144="","",137)</f>
        <v/>
      </c>
      <c r="B144" s="38">
        <f>IF($U144="","",IF(LEN(INDEX(매출원본!$AU$8:$AU$2007,$U144))=10,LEFT(INDEX(매출원본!$AU$8:$AU$2007,$U144),3)&amp;"-"&amp;MID(INDEX(매출원본!$AU$8:$AU$2007,$U144),4,2)&amp;"-"&amp;RIGHT(INDEX(매출원본!$AU$8:$AU$2007,$U144),5),IF(LEFT(INDEX(매출원본!$AU$8:$AU$2007,$U144),2)="N:","(번호 없음)",INDEX(매출원본!$AU$8:$AU$2007,$U144))))</f>
        <v/>
      </c>
      <c r="C144" s="38">
        <f>IF($U144="","",INDEX(매출원본!$AV$8:$AV$2007,$U144))</f>
        <v/>
      </c>
      <c r="D144" s="39">
        <f>IF($U144="","",IF($T144="",0,N(INDEX(거래처설정!$E$8:$E$407,$T144))))</f>
        <v/>
      </c>
      <c r="E144" s="39">
        <f>IF($U144="","",SUMIFS(매출원본!$AT$8:$AT$2007,매출원본!$AY$8:$AY$2007,$A144,매출원본!$AS$8:$AS$2007,"&lt;="&amp;설정!$B$5))</f>
        <v/>
      </c>
      <c r="F144" s="39">
        <f>IF($U144="","",SUMIFS(입금_은행1!$Z$8:$Z$2007,입금_은행1!$AC$8:$AC$2007,$A144,입금_은행1!$Y$8:$Y$2007,"&lt;="&amp;설정!$B$5)+SUMIFS(입금_은행2!$Z$8:$Z$2007,입금_은행2!$AC$8:$AC$2007,$A144,입금_은행2!$Y$8:$Y$2007,"&lt;="&amp;설정!$B$5))</f>
        <v/>
      </c>
      <c r="G144" s="39">
        <f>IF($U144="","",$D144+$E144-$F144)</f>
        <v/>
      </c>
      <c r="H144" s="39">
        <f>IF($U144="","",MIN(MAX($G144,0),$V144))</f>
        <v/>
      </c>
      <c r="I144" s="39">
        <f>IF($U144="","",MIN(MAX($G144,0),$W144)-MIN(MAX($G144,0),$V144))</f>
        <v/>
      </c>
      <c r="J144" s="39">
        <f>IF($U144="","",MIN(MAX($G144,0),$X144)-MIN(MAX($G144,0),$W144))</f>
        <v/>
      </c>
      <c r="K144" s="39">
        <f>IF($U144="","",MAX($G144,0)-MIN(MAX($G144,0),$X144))</f>
        <v/>
      </c>
      <c r="L144" s="40">
        <f>IF($U144="","",IF(MAX(SUMPRODUCT(MAX((입금_은행1!$AC$8:$AC$2007=$A144)*(입금_은행1!$AE$8:$AE$2007&lt;=설정!$B$5)*입금_은행1!$AE$8:$AE$2007)),SUMPRODUCT(MAX((입금_은행2!$AC$8:$AC$2007=$A144)*(입금_은행2!$AE$8:$AE$2007&lt;=설정!$B$5)*입금_은행2!$AE$8:$AE$2007)))=0,"",MAX(SUMPRODUCT(MAX((입금_은행1!$AC$8:$AC$2007=$A144)*(입금_은행1!$AE$8:$AE$2007&lt;=설정!$B$5)*입금_은행1!$AE$8:$AE$2007)),SUMPRODUCT(MAX((입금_은행2!$AC$8:$AC$2007=$A144)*(입금_은행2!$AE$8:$AE$2007&lt;=설정!$B$5)*입금_은행2!$AE$8:$AE$2007)))))</f>
        <v/>
      </c>
      <c r="M144" s="38">
        <f>IF($U144="","",IF($T144="","",IF(INDEX(거래처설정!$F$8:$F$407,$T144)="","",INDEX(거래처설정!$F$8:$F$407,$T144))))</f>
        <v/>
      </c>
      <c r="N144" s="38">
        <f>IF($U144="","",IF($T144="","",IF(INDEX(거래처설정!$G$8:$G$407,$T144)="","",INDEX(거래처설정!$G$8:$G$407,$T144))))</f>
        <v/>
      </c>
      <c r="O144" s="38">
        <f>IF($U144="","",IF($M144="제외",0,IF($K144&gt;=설정!$B$9,3,IF($J144+$K144&gt;=설정!$B$9,2,IF($I144+$J144+$K144&gt;=설정!$B$9,1,0)))))</f>
        <v/>
      </c>
      <c r="P144" s="38">
        <f>IF($U144="","",IF($M144="제외","제외(조치 상태)",IF($O144=3,"③ 강한 독촉 후보 ("&amp;설정!$B$8&amp;"일 초과)",IF($O144=2,"② 독촉 후보 ("&amp;설정!$B$7&amp;"일 초과)",IF($O144=1,"① 안내 후보 ("&amp;설정!$B$6&amp;"일 초과)",IF($G144&gt;0,IF($I144+$J144+$K144&gt;0,"오래된 잔액 있음 (최소 금액 미만)","정상 범위"),IF($G144&lt;0,"선수금·초과입금 — 확인","완납")))))))</f>
        <v/>
      </c>
      <c r="Q144" s="38">
        <f>IF($U144="","",IF($G144&lt;0,"입금이 매출보다 큼 — 선수금이거나 다른 거래처 입금이 섞였는지 확인",IF(AND($AE144&lt;&gt;"",COUNTIF($AE$8:$AE$307,"*"&amp;$AE144&amp;"*")&gt;1),"이름이 다른 거래처와 겹침 — 입금이 잘못 맞았을 수 있으니 별칭 확인",IF(AND($G144&gt;0,$F144=0),"입금 매칭 없음 — 입금자명이 다르면 [거래처설정]에 별칭 등록",""))))</f>
        <v/>
      </c>
      <c r="R144" s="31">
        <f>IF(OR($U144="",$G144&lt;=0),"",$G144-$A144/10000)</f>
        <v/>
      </c>
      <c r="S144" s="31">
        <f>IF(OR($U144="",$O144&lt;1),"",$O144*10^11+$I144+$J144+$K144-$A144/1000)</f>
        <v/>
      </c>
      <c r="T144" s="31">
        <f>IF($U144="","",IFERROR(MATCH(INDEX(매출원본!$AU$8:$AU$2007,$U144),거래처설정!$I$8:$I$407,0),""))</f>
        <v/>
      </c>
      <c r="U144" s="31">
        <f>IFERROR(MATCH(137,매출원본!$AW$8:$AW$2007,0),"")</f>
        <v/>
      </c>
      <c r="V144" s="31">
        <f>IF($U144="","",MAX(SUMIFS(매출원본!$AT$8:$AT$2007,매출원본!$AY$8:$AY$2007,$A144,매출원본!$AS$8:$AS$2007,"&gt;="&amp;(설정!$B$5-설정!$B$6),매출원본!$AS$8:$AS$2007,"&lt;="&amp;설정!$B$5),0))</f>
        <v/>
      </c>
      <c r="W144" s="31">
        <f>IF($U144="","",MAX($V144,SUMIFS(매출원본!$AT$8:$AT$2007,매출원본!$AY$8:$AY$2007,$A144,매출원본!$AS$8:$AS$2007,"&gt;="&amp;(설정!$B$5-설정!$B$7),매출원본!$AS$8:$AS$2007,"&lt;="&amp;설정!$B$5)))</f>
        <v/>
      </c>
      <c r="X144" s="31">
        <f>IF($U144="","",MAX($W144,SUMIFS(매출원본!$AT$8:$AT$2007,매출원본!$AY$8:$AY$2007,$A144,매출원본!$AS$8:$AS$2007,"&gt;="&amp;(설정!$B$5-설정!$B$8),매출원본!$AS$8:$AS$2007,"&lt;="&amp;설정!$B$5)))</f>
        <v/>
      </c>
      <c r="AC144" s="31">
        <f>IF(OR($U144="",$T144=""),"",INDEX(거래처설정!$J$8:$J$407,$T144))</f>
        <v/>
      </c>
      <c r="AD144" s="31">
        <f>IF(OR($U144="",$T144=""),"",INDEX(거래처설정!$K$8:$K$407,$T144))</f>
        <v/>
      </c>
      <c r="AE144" s="31">
        <f>IF($U144="","",IF(LEN(SUBSTITUTE(SUBSTITUTE(SUBSTITUTE(SUBSTITUTE(SUBSTITUTE(SUBSTITUTE(SUBSTITUTE(SUBSTITUTE(SUBSTITUTE($C144," ",""),"　",""),"(주)",""),"（주）",""),"㈜",""),"주식회사",""),"(유)",""),"（유）",""),"유한회사",""))&lt;2,"",SUBSTITUTE(SUBSTITUTE(SUBSTITUTE(SUBSTITUTE(SUBSTITUTE(SUBSTITUTE(SUBSTITUTE(SUBSTITUTE(SUBSTITUTE($C144," ",""),"　",""),"(주)",""),"（주）",""),"㈜",""),"주식회사",""),"(유)",""),"（유）",""),"유한회사","")))</f>
        <v/>
      </c>
    </row>
    <row r="145">
      <c r="A145" s="38">
        <f>IF($U145="","",138)</f>
        <v/>
      </c>
      <c r="B145" s="38">
        <f>IF($U145="","",IF(LEN(INDEX(매출원본!$AU$8:$AU$2007,$U145))=10,LEFT(INDEX(매출원본!$AU$8:$AU$2007,$U145),3)&amp;"-"&amp;MID(INDEX(매출원본!$AU$8:$AU$2007,$U145),4,2)&amp;"-"&amp;RIGHT(INDEX(매출원본!$AU$8:$AU$2007,$U145),5),IF(LEFT(INDEX(매출원본!$AU$8:$AU$2007,$U145),2)="N:","(번호 없음)",INDEX(매출원본!$AU$8:$AU$2007,$U145))))</f>
        <v/>
      </c>
      <c r="C145" s="38">
        <f>IF($U145="","",INDEX(매출원본!$AV$8:$AV$2007,$U145))</f>
        <v/>
      </c>
      <c r="D145" s="39">
        <f>IF($U145="","",IF($T145="",0,N(INDEX(거래처설정!$E$8:$E$407,$T145))))</f>
        <v/>
      </c>
      <c r="E145" s="39">
        <f>IF($U145="","",SUMIFS(매출원본!$AT$8:$AT$2007,매출원본!$AY$8:$AY$2007,$A145,매출원본!$AS$8:$AS$2007,"&lt;="&amp;설정!$B$5))</f>
        <v/>
      </c>
      <c r="F145" s="39">
        <f>IF($U145="","",SUMIFS(입금_은행1!$Z$8:$Z$2007,입금_은행1!$AC$8:$AC$2007,$A145,입금_은행1!$Y$8:$Y$2007,"&lt;="&amp;설정!$B$5)+SUMIFS(입금_은행2!$Z$8:$Z$2007,입금_은행2!$AC$8:$AC$2007,$A145,입금_은행2!$Y$8:$Y$2007,"&lt;="&amp;설정!$B$5))</f>
        <v/>
      </c>
      <c r="G145" s="39">
        <f>IF($U145="","",$D145+$E145-$F145)</f>
        <v/>
      </c>
      <c r="H145" s="39">
        <f>IF($U145="","",MIN(MAX($G145,0),$V145))</f>
        <v/>
      </c>
      <c r="I145" s="39">
        <f>IF($U145="","",MIN(MAX($G145,0),$W145)-MIN(MAX($G145,0),$V145))</f>
        <v/>
      </c>
      <c r="J145" s="39">
        <f>IF($U145="","",MIN(MAX($G145,0),$X145)-MIN(MAX($G145,0),$W145))</f>
        <v/>
      </c>
      <c r="K145" s="39">
        <f>IF($U145="","",MAX($G145,0)-MIN(MAX($G145,0),$X145))</f>
        <v/>
      </c>
      <c r="L145" s="40">
        <f>IF($U145="","",IF(MAX(SUMPRODUCT(MAX((입금_은행1!$AC$8:$AC$2007=$A145)*(입금_은행1!$AE$8:$AE$2007&lt;=설정!$B$5)*입금_은행1!$AE$8:$AE$2007)),SUMPRODUCT(MAX((입금_은행2!$AC$8:$AC$2007=$A145)*(입금_은행2!$AE$8:$AE$2007&lt;=설정!$B$5)*입금_은행2!$AE$8:$AE$2007)))=0,"",MAX(SUMPRODUCT(MAX((입금_은행1!$AC$8:$AC$2007=$A145)*(입금_은행1!$AE$8:$AE$2007&lt;=설정!$B$5)*입금_은행1!$AE$8:$AE$2007)),SUMPRODUCT(MAX((입금_은행2!$AC$8:$AC$2007=$A145)*(입금_은행2!$AE$8:$AE$2007&lt;=설정!$B$5)*입금_은행2!$AE$8:$AE$2007)))))</f>
        <v/>
      </c>
      <c r="M145" s="38">
        <f>IF($U145="","",IF($T145="","",IF(INDEX(거래처설정!$F$8:$F$407,$T145)="","",INDEX(거래처설정!$F$8:$F$407,$T145))))</f>
        <v/>
      </c>
      <c r="N145" s="38">
        <f>IF($U145="","",IF($T145="","",IF(INDEX(거래처설정!$G$8:$G$407,$T145)="","",INDEX(거래처설정!$G$8:$G$407,$T145))))</f>
        <v/>
      </c>
      <c r="O145" s="38">
        <f>IF($U145="","",IF($M145="제외",0,IF($K145&gt;=설정!$B$9,3,IF($J145+$K145&gt;=설정!$B$9,2,IF($I145+$J145+$K145&gt;=설정!$B$9,1,0)))))</f>
        <v/>
      </c>
      <c r="P145" s="38">
        <f>IF($U145="","",IF($M145="제외","제외(조치 상태)",IF($O145=3,"③ 강한 독촉 후보 ("&amp;설정!$B$8&amp;"일 초과)",IF($O145=2,"② 독촉 후보 ("&amp;설정!$B$7&amp;"일 초과)",IF($O145=1,"① 안내 후보 ("&amp;설정!$B$6&amp;"일 초과)",IF($G145&gt;0,IF($I145+$J145+$K145&gt;0,"오래된 잔액 있음 (최소 금액 미만)","정상 범위"),IF($G145&lt;0,"선수금·초과입금 — 확인","완납")))))))</f>
        <v/>
      </c>
      <c r="Q145" s="38">
        <f>IF($U145="","",IF($G145&lt;0,"입금이 매출보다 큼 — 선수금이거나 다른 거래처 입금이 섞였는지 확인",IF(AND($AE145&lt;&gt;"",COUNTIF($AE$8:$AE$307,"*"&amp;$AE145&amp;"*")&gt;1),"이름이 다른 거래처와 겹침 — 입금이 잘못 맞았을 수 있으니 별칭 확인",IF(AND($G145&gt;0,$F145=0),"입금 매칭 없음 — 입금자명이 다르면 [거래처설정]에 별칭 등록",""))))</f>
        <v/>
      </c>
      <c r="R145" s="31">
        <f>IF(OR($U145="",$G145&lt;=0),"",$G145-$A145/10000)</f>
        <v/>
      </c>
      <c r="S145" s="31">
        <f>IF(OR($U145="",$O145&lt;1),"",$O145*10^11+$I145+$J145+$K145-$A145/1000)</f>
        <v/>
      </c>
      <c r="T145" s="31">
        <f>IF($U145="","",IFERROR(MATCH(INDEX(매출원본!$AU$8:$AU$2007,$U145),거래처설정!$I$8:$I$407,0),""))</f>
        <v/>
      </c>
      <c r="U145" s="31">
        <f>IFERROR(MATCH(138,매출원본!$AW$8:$AW$2007,0),"")</f>
        <v/>
      </c>
      <c r="V145" s="31">
        <f>IF($U145="","",MAX(SUMIFS(매출원본!$AT$8:$AT$2007,매출원본!$AY$8:$AY$2007,$A145,매출원본!$AS$8:$AS$2007,"&gt;="&amp;(설정!$B$5-설정!$B$6),매출원본!$AS$8:$AS$2007,"&lt;="&amp;설정!$B$5),0))</f>
        <v/>
      </c>
      <c r="W145" s="31">
        <f>IF($U145="","",MAX($V145,SUMIFS(매출원본!$AT$8:$AT$2007,매출원본!$AY$8:$AY$2007,$A145,매출원본!$AS$8:$AS$2007,"&gt;="&amp;(설정!$B$5-설정!$B$7),매출원본!$AS$8:$AS$2007,"&lt;="&amp;설정!$B$5)))</f>
        <v/>
      </c>
      <c r="X145" s="31">
        <f>IF($U145="","",MAX($W145,SUMIFS(매출원본!$AT$8:$AT$2007,매출원본!$AY$8:$AY$2007,$A145,매출원본!$AS$8:$AS$2007,"&gt;="&amp;(설정!$B$5-설정!$B$8),매출원본!$AS$8:$AS$2007,"&lt;="&amp;설정!$B$5)))</f>
        <v/>
      </c>
      <c r="AC145" s="31">
        <f>IF(OR($U145="",$T145=""),"",INDEX(거래처설정!$J$8:$J$407,$T145))</f>
        <v/>
      </c>
      <c r="AD145" s="31">
        <f>IF(OR($U145="",$T145=""),"",INDEX(거래처설정!$K$8:$K$407,$T145))</f>
        <v/>
      </c>
      <c r="AE145" s="31">
        <f>IF($U145="","",IF(LEN(SUBSTITUTE(SUBSTITUTE(SUBSTITUTE(SUBSTITUTE(SUBSTITUTE(SUBSTITUTE(SUBSTITUTE(SUBSTITUTE(SUBSTITUTE($C145," ",""),"　",""),"(주)",""),"（주）",""),"㈜",""),"주식회사",""),"(유)",""),"（유）",""),"유한회사",""))&lt;2,"",SUBSTITUTE(SUBSTITUTE(SUBSTITUTE(SUBSTITUTE(SUBSTITUTE(SUBSTITUTE(SUBSTITUTE(SUBSTITUTE(SUBSTITUTE($C145," ",""),"　",""),"(주)",""),"（주）",""),"㈜",""),"주식회사",""),"(유)",""),"（유）",""),"유한회사","")))</f>
        <v/>
      </c>
    </row>
    <row r="146">
      <c r="A146" s="38">
        <f>IF($U146="","",139)</f>
        <v/>
      </c>
      <c r="B146" s="38">
        <f>IF($U146="","",IF(LEN(INDEX(매출원본!$AU$8:$AU$2007,$U146))=10,LEFT(INDEX(매출원본!$AU$8:$AU$2007,$U146),3)&amp;"-"&amp;MID(INDEX(매출원본!$AU$8:$AU$2007,$U146),4,2)&amp;"-"&amp;RIGHT(INDEX(매출원본!$AU$8:$AU$2007,$U146),5),IF(LEFT(INDEX(매출원본!$AU$8:$AU$2007,$U146),2)="N:","(번호 없음)",INDEX(매출원본!$AU$8:$AU$2007,$U146))))</f>
        <v/>
      </c>
      <c r="C146" s="38">
        <f>IF($U146="","",INDEX(매출원본!$AV$8:$AV$2007,$U146))</f>
        <v/>
      </c>
      <c r="D146" s="39">
        <f>IF($U146="","",IF($T146="",0,N(INDEX(거래처설정!$E$8:$E$407,$T146))))</f>
        <v/>
      </c>
      <c r="E146" s="39">
        <f>IF($U146="","",SUMIFS(매출원본!$AT$8:$AT$2007,매출원본!$AY$8:$AY$2007,$A146,매출원본!$AS$8:$AS$2007,"&lt;="&amp;설정!$B$5))</f>
        <v/>
      </c>
      <c r="F146" s="39">
        <f>IF($U146="","",SUMIFS(입금_은행1!$Z$8:$Z$2007,입금_은행1!$AC$8:$AC$2007,$A146,입금_은행1!$Y$8:$Y$2007,"&lt;="&amp;설정!$B$5)+SUMIFS(입금_은행2!$Z$8:$Z$2007,입금_은행2!$AC$8:$AC$2007,$A146,입금_은행2!$Y$8:$Y$2007,"&lt;="&amp;설정!$B$5))</f>
        <v/>
      </c>
      <c r="G146" s="39">
        <f>IF($U146="","",$D146+$E146-$F146)</f>
        <v/>
      </c>
      <c r="H146" s="39">
        <f>IF($U146="","",MIN(MAX($G146,0),$V146))</f>
        <v/>
      </c>
      <c r="I146" s="39">
        <f>IF($U146="","",MIN(MAX($G146,0),$W146)-MIN(MAX($G146,0),$V146))</f>
        <v/>
      </c>
      <c r="J146" s="39">
        <f>IF($U146="","",MIN(MAX($G146,0),$X146)-MIN(MAX($G146,0),$W146))</f>
        <v/>
      </c>
      <c r="K146" s="39">
        <f>IF($U146="","",MAX($G146,0)-MIN(MAX($G146,0),$X146))</f>
        <v/>
      </c>
      <c r="L146" s="40">
        <f>IF($U146="","",IF(MAX(SUMPRODUCT(MAX((입금_은행1!$AC$8:$AC$2007=$A146)*(입금_은행1!$AE$8:$AE$2007&lt;=설정!$B$5)*입금_은행1!$AE$8:$AE$2007)),SUMPRODUCT(MAX((입금_은행2!$AC$8:$AC$2007=$A146)*(입금_은행2!$AE$8:$AE$2007&lt;=설정!$B$5)*입금_은행2!$AE$8:$AE$2007)))=0,"",MAX(SUMPRODUCT(MAX((입금_은행1!$AC$8:$AC$2007=$A146)*(입금_은행1!$AE$8:$AE$2007&lt;=설정!$B$5)*입금_은행1!$AE$8:$AE$2007)),SUMPRODUCT(MAX((입금_은행2!$AC$8:$AC$2007=$A146)*(입금_은행2!$AE$8:$AE$2007&lt;=설정!$B$5)*입금_은행2!$AE$8:$AE$2007)))))</f>
        <v/>
      </c>
      <c r="M146" s="38">
        <f>IF($U146="","",IF($T146="","",IF(INDEX(거래처설정!$F$8:$F$407,$T146)="","",INDEX(거래처설정!$F$8:$F$407,$T146))))</f>
        <v/>
      </c>
      <c r="N146" s="38">
        <f>IF($U146="","",IF($T146="","",IF(INDEX(거래처설정!$G$8:$G$407,$T146)="","",INDEX(거래처설정!$G$8:$G$407,$T146))))</f>
        <v/>
      </c>
      <c r="O146" s="38">
        <f>IF($U146="","",IF($M146="제외",0,IF($K146&gt;=설정!$B$9,3,IF($J146+$K146&gt;=설정!$B$9,2,IF($I146+$J146+$K146&gt;=설정!$B$9,1,0)))))</f>
        <v/>
      </c>
      <c r="P146" s="38">
        <f>IF($U146="","",IF($M146="제외","제외(조치 상태)",IF($O146=3,"③ 강한 독촉 후보 ("&amp;설정!$B$8&amp;"일 초과)",IF($O146=2,"② 독촉 후보 ("&amp;설정!$B$7&amp;"일 초과)",IF($O146=1,"① 안내 후보 ("&amp;설정!$B$6&amp;"일 초과)",IF($G146&gt;0,IF($I146+$J146+$K146&gt;0,"오래된 잔액 있음 (최소 금액 미만)","정상 범위"),IF($G146&lt;0,"선수금·초과입금 — 확인","완납")))))))</f>
        <v/>
      </c>
      <c r="Q146" s="38">
        <f>IF($U146="","",IF($G146&lt;0,"입금이 매출보다 큼 — 선수금이거나 다른 거래처 입금이 섞였는지 확인",IF(AND($AE146&lt;&gt;"",COUNTIF($AE$8:$AE$307,"*"&amp;$AE146&amp;"*")&gt;1),"이름이 다른 거래처와 겹침 — 입금이 잘못 맞았을 수 있으니 별칭 확인",IF(AND($G146&gt;0,$F146=0),"입금 매칭 없음 — 입금자명이 다르면 [거래처설정]에 별칭 등록",""))))</f>
        <v/>
      </c>
      <c r="R146" s="31">
        <f>IF(OR($U146="",$G146&lt;=0),"",$G146-$A146/10000)</f>
        <v/>
      </c>
      <c r="S146" s="31">
        <f>IF(OR($U146="",$O146&lt;1),"",$O146*10^11+$I146+$J146+$K146-$A146/1000)</f>
        <v/>
      </c>
      <c r="T146" s="31">
        <f>IF($U146="","",IFERROR(MATCH(INDEX(매출원본!$AU$8:$AU$2007,$U146),거래처설정!$I$8:$I$407,0),""))</f>
        <v/>
      </c>
      <c r="U146" s="31">
        <f>IFERROR(MATCH(139,매출원본!$AW$8:$AW$2007,0),"")</f>
        <v/>
      </c>
      <c r="V146" s="31">
        <f>IF($U146="","",MAX(SUMIFS(매출원본!$AT$8:$AT$2007,매출원본!$AY$8:$AY$2007,$A146,매출원본!$AS$8:$AS$2007,"&gt;="&amp;(설정!$B$5-설정!$B$6),매출원본!$AS$8:$AS$2007,"&lt;="&amp;설정!$B$5),0))</f>
        <v/>
      </c>
      <c r="W146" s="31">
        <f>IF($U146="","",MAX($V146,SUMIFS(매출원본!$AT$8:$AT$2007,매출원본!$AY$8:$AY$2007,$A146,매출원본!$AS$8:$AS$2007,"&gt;="&amp;(설정!$B$5-설정!$B$7),매출원본!$AS$8:$AS$2007,"&lt;="&amp;설정!$B$5)))</f>
        <v/>
      </c>
      <c r="X146" s="31">
        <f>IF($U146="","",MAX($W146,SUMIFS(매출원본!$AT$8:$AT$2007,매출원본!$AY$8:$AY$2007,$A146,매출원본!$AS$8:$AS$2007,"&gt;="&amp;(설정!$B$5-설정!$B$8),매출원본!$AS$8:$AS$2007,"&lt;="&amp;설정!$B$5)))</f>
        <v/>
      </c>
      <c r="AC146" s="31">
        <f>IF(OR($U146="",$T146=""),"",INDEX(거래처설정!$J$8:$J$407,$T146))</f>
        <v/>
      </c>
      <c r="AD146" s="31">
        <f>IF(OR($U146="",$T146=""),"",INDEX(거래처설정!$K$8:$K$407,$T146))</f>
        <v/>
      </c>
      <c r="AE146" s="31">
        <f>IF($U146="","",IF(LEN(SUBSTITUTE(SUBSTITUTE(SUBSTITUTE(SUBSTITUTE(SUBSTITUTE(SUBSTITUTE(SUBSTITUTE(SUBSTITUTE(SUBSTITUTE($C146," ",""),"　",""),"(주)",""),"（주）",""),"㈜",""),"주식회사",""),"(유)",""),"（유）",""),"유한회사",""))&lt;2,"",SUBSTITUTE(SUBSTITUTE(SUBSTITUTE(SUBSTITUTE(SUBSTITUTE(SUBSTITUTE(SUBSTITUTE(SUBSTITUTE(SUBSTITUTE($C146," ",""),"　",""),"(주)",""),"（주）",""),"㈜",""),"주식회사",""),"(유)",""),"（유）",""),"유한회사","")))</f>
        <v/>
      </c>
    </row>
    <row r="147">
      <c r="A147" s="38">
        <f>IF($U147="","",140)</f>
        <v/>
      </c>
      <c r="B147" s="38">
        <f>IF($U147="","",IF(LEN(INDEX(매출원본!$AU$8:$AU$2007,$U147))=10,LEFT(INDEX(매출원본!$AU$8:$AU$2007,$U147),3)&amp;"-"&amp;MID(INDEX(매출원본!$AU$8:$AU$2007,$U147),4,2)&amp;"-"&amp;RIGHT(INDEX(매출원본!$AU$8:$AU$2007,$U147),5),IF(LEFT(INDEX(매출원본!$AU$8:$AU$2007,$U147),2)="N:","(번호 없음)",INDEX(매출원본!$AU$8:$AU$2007,$U147))))</f>
        <v/>
      </c>
      <c r="C147" s="38">
        <f>IF($U147="","",INDEX(매출원본!$AV$8:$AV$2007,$U147))</f>
        <v/>
      </c>
      <c r="D147" s="39">
        <f>IF($U147="","",IF($T147="",0,N(INDEX(거래처설정!$E$8:$E$407,$T147))))</f>
        <v/>
      </c>
      <c r="E147" s="39">
        <f>IF($U147="","",SUMIFS(매출원본!$AT$8:$AT$2007,매출원본!$AY$8:$AY$2007,$A147,매출원본!$AS$8:$AS$2007,"&lt;="&amp;설정!$B$5))</f>
        <v/>
      </c>
      <c r="F147" s="39">
        <f>IF($U147="","",SUMIFS(입금_은행1!$Z$8:$Z$2007,입금_은행1!$AC$8:$AC$2007,$A147,입금_은행1!$Y$8:$Y$2007,"&lt;="&amp;설정!$B$5)+SUMIFS(입금_은행2!$Z$8:$Z$2007,입금_은행2!$AC$8:$AC$2007,$A147,입금_은행2!$Y$8:$Y$2007,"&lt;="&amp;설정!$B$5))</f>
        <v/>
      </c>
      <c r="G147" s="39">
        <f>IF($U147="","",$D147+$E147-$F147)</f>
        <v/>
      </c>
      <c r="H147" s="39">
        <f>IF($U147="","",MIN(MAX($G147,0),$V147))</f>
        <v/>
      </c>
      <c r="I147" s="39">
        <f>IF($U147="","",MIN(MAX($G147,0),$W147)-MIN(MAX($G147,0),$V147))</f>
        <v/>
      </c>
      <c r="J147" s="39">
        <f>IF($U147="","",MIN(MAX($G147,0),$X147)-MIN(MAX($G147,0),$W147))</f>
        <v/>
      </c>
      <c r="K147" s="39">
        <f>IF($U147="","",MAX($G147,0)-MIN(MAX($G147,0),$X147))</f>
        <v/>
      </c>
      <c r="L147" s="40">
        <f>IF($U147="","",IF(MAX(SUMPRODUCT(MAX((입금_은행1!$AC$8:$AC$2007=$A147)*(입금_은행1!$AE$8:$AE$2007&lt;=설정!$B$5)*입금_은행1!$AE$8:$AE$2007)),SUMPRODUCT(MAX((입금_은행2!$AC$8:$AC$2007=$A147)*(입금_은행2!$AE$8:$AE$2007&lt;=설정!$B$5)*입금_은행2!$AE$8:$AE$2007)))=0,"",MAX(SUMPRODUCT(MAX((입금_은행1!$AC$8:$AC$2007=$A147)*(입금_은행1!$AE$8:$AE$2007&lt;=설정!$B$5)*입금_은행1!$AE$8:$AE$2007)),SUMPRODUCT(MAX((입금_은행2!$AC$8:$AC$2007=$A147)*(입금_은행2!$AE$8:$AE$2007&lt;=설정!$B$5)*입금_은행2!$AE$8:$AE$2007)))))</f>
        <v/>
      </c>
      <c r="M147" s="38">
        <f>IF($U147="","",IF($T147="","",IF(INDEX(거래처설정!$F$8:$F$407,$T147)="","",INDEX(거래처설정!$F$8:$F$407,$T147))))</f>
        <v/>
      </c>
      <c r="N147" s="38">
        <f>IF($U147="","",IF($T147="","",IF(INDEX(거래처설정!$G$8:$G$407,$T147)="","",INDEX(거래처설정!$G$8:$G$407,$T147))))</f>
        <v/>
      </c>
      <c r="O147" s="38">
        <f>IF($U147="","",IF($M147="제외",0,IF($K147&gt;=설정!$B$9,3,IF($J147+$K147&gt;=설정!$B$9,2,IF($I147+$J147+$K147&gt;=설정!$B$9,1,0)))))</f>
        <v/>
      </c>
      <c r="P147" s="38">
        <f>IF($U147="","",IF($M147="제외","제외(조치 상태)",IF($O147=3,"③ 강한 독촉 후보 ("&amp;설정!$B$8&amp;"일 초과)",IF($O147=2,"② 독촉 후보 ("&amp;설정!$B$7&amp;"일 초과)",IF($O147=1,"① 안내 후보 ("&amp;설정!$B$6&amp;"일 초과)",IF($G147&gt;0,IF($I147+$J147+$K147&gt;0,"오래된 잔액 있음 (최소 금액 미만)","정상 범위"),IF($G147&lt;0,"선수금·초과입금 — 확인","완납")))))))</f>
        <v/>
      </c>
      <c r="Q147" s="38">
        <f>IF($U147="","",IF($G147&lt;0,"입금이 매출보다 큼 — 선수금이거나 다른 거래처 입금이 섞였는지 확인",IF(AND($AE147&lt;&gt;"",COUNTIF($AE$8:$AE$307,"*"&amp;$AE147&amp;"*")&gt;1),"이름이 다른 거래처와 겹침 — 입금이 잘못 맞았을 수 있으니 별칭 확인",IF(AND($G147&gt;0,$F147=0),"입금 매칭 없음 — 입금자명이 다르면 [거래처설정]에 별칭 등록",""))))</f>
        <v/>
      </c>
      <c r="R147" s="31">
        <f>IF(OR($U147="",$G147&lt;=0),"",$G147-$A147/10000)</f>
        <v/>
      </c>
      <c r="S147" s="31">
        <f>IF(OR($U147="",$O147&lt;1),"",$O147*10^11+$I147+$J147+$K147-$A147/1000)</f>
        <v/>
      </c>
      <c r="T147" s="31">
        <f>IF($U147="","",IFERROR(MATCH(INDEX(매출원본!$AU$8:$AU$2007,$U147),거래처설정!$I$8:$I$407,0),""))</f>
        <v/>
      </c>
      <c r="U147" s="31">
        <f>IFERROR(MATCH(140,매출원본!$AW$8:$AW$2007,0),"")</f>
        <v/>
      </c>
      <c r="V147" s="31">
        <f>IF($U147="","",MAX(SUMIFS(매출원본!$AT$8:$AT$2007,매출원본!$AY$8:$AY$2007,$A147,매출원본!$AS$8:$AS$2007,"&gt;="&amp;(설정!$B$5-설정!$B$6),매출원본!$AS$8:$AS$2007,"&lt;="&amp;설정!$B$5),0))</f>
        <v/>
      </c>
      <c r="W147" s="31">
        <f>IF($U147="","",MAX($V147,SUMIFS(매출원본!$AT$8:$AT$2007,매출원본!$AY$8:$AY$2007,$A147,매출원본!$AS$8:$AS$2007,"&gt;="&amp;(설정!$B$5-설정!$B$7),매출원본!$AS$8:$AS$2007,"&lt;="&amp;설정!$B$5)))</f>
        <v/>
      </c>
      <c r="X147" s="31">
        <f>IF($U147="","",MAX($W147,SUMIFS(매출원본!$AT$8:$AT$2007,매출원본!$AY$8:$AY$2007,$A147,매출원본!$AS$8:$AS$2007,"&gt;="&amp;(설정!$B$5-설정!$B$8),매출원본!$AS$8:$AS$2007,"&lt;="&amp;설정!$B$5)))</f>
        <v/>
      </c>
      <c r="AC147" s="31">
        <f>IF(OR($U147="",$T147=""),"",INDEX(거래처설정!$J$8:$J$407,$T147))</f>
        <v/>
      </c>
      <c r="AD147" s="31">
        <f>IF(OR($U147="",$T147=""),"",INDEX(거래처설정!$K$8:$K$407,$T147))</f>
        <v/>
      </c>
      <c r="AE147" s="31">
        <f>IF($U147="","",IF(LEN(SUBSTITUTE(SUBSTITUTE(SUBSTITUTE(SUBSTITUTE(SUBSTITUTE(SUBSTITUTE(SUBSTITUTE(SUBSTITUTE(SUBSTITUTE($C147," ",""),"　",""),"(주)",""),"（주）",""),"㈜",""),"주식회사",""),"(유)",""),"（유）",""),"유한회사",""))&lt;2,"",SUBSTITUTE(SUBSTITUTE(SUBSTITUTE(SUBSTITUTE(SUBSTITUTE(SUBSTITUTE(SUBSTITUTE(SUBSTITUTE(SUBSTITUTE($C147," ",""),"　",""),"(주)",""),"（주）",""),"㈜",""),"주식회사",""),"(유)",""),"（유）",""),"유한회사","")))</f>
        <v/>
      </c>
    </row>
    <row r="148">
      <c r="A148" s="38">
        <f>IF($U148="","",141)</f>
        <v/>
      </c>
      <c r="B148" s="38">
        <f>IF($U148="","",IF(LEN(INDEX(매출원본!$AU$8:$AU$2007,$U148))=10,LEFT(INDEX(매출원본!$AU$8:$AU$2007,$U148),3)&amp;"-"&amp;MID(INDEX(매출원본!$AU$8:$AU$2007,$U148),4,2)&amp;"-"&amp;RIGHT(INDEX(매출원본!$AU$8:$AU$2007,$U148),5),IF(LEFT(INDEX(매출원본!$AU$8:$AU$2007,$U148),2)="N:","(번호 없음)",INDEX(매출원본!$AU$8:$AU$2007,$U148))))</f>
        <v/>
      </c>
      <c r="C148" s="38">
        <f>IF($U148="","",INDEX(매출원본!$AV$8:$AV$2007,$U148))</f>
        <v/>
      </c>
      <c r="D148" s="39">
        <f>IF($U148="","",IF($T148="",0,N(INDEX(거래처설정!$E$8:$E$407,$T148))))</f>
        <v/>
      </c>
      <c r="E148" s="39">
        <f>IF($U148="","",SUMIFS(매출원본!$AT$8:$AT$2007,매출원본!$AY$8:$AY$2007,$A148,매출원본!$AS$8:$AS$2007,"&lt;="&amp;설정!$B$5))</f>
        <v/>
      </c>
      <c r="F148" s="39">
        <f>IF($U148="","",SUMIFS(입금_은행1!$Z$8:$Z$2007,입금_은행1!$AC$8:$AC$2007,$A148,입금_은행1!$Y$8:$Y$2007,"&lt;="&amp;설정!$B$5)+SUMIFS(입금_은행2!$Z$8:$Z$2007,입금_은행2!$AC$8:$AC$2007,$A148,입금_은행2!$Y$8:$Y$2007,"&lt;="&amp;설정!$B$5))</f>
        <v/>
      </c>
      <c r="G148" s="39">
        <f>IF($U148="","",$D148+$E148-$F148)</f>
        <v/>
      </c>
      <c r="H148" s="39">
        <f>IF($U148="","",MIN(MAX($G148,0),$V148))</f>
        <v/>
      </c>
      <c r="I148" s="39">
        <f>IF($U148="","",MIN(MAX($G148,0),$W148)-MIN(MAX($G148,0),$V148))</f>
        <v/>
      </c>
      <c r="J148" s="39">
        <f>IF($U148="","",MIN(MAX($G148,0),$X148)-MIN(MAX($G148,0),$W148))</f>
        <v/>
      </c>
      <c r="K148" s="39">
        <f>IF($U148="","",MAX($G148,0)-MIN(MAX($G148,0),$X148))</f>
        <v/>
      </c>
      <c r="L148" s="40">
        <f>IF($U148="","",IF(MAX(SUMPRODUCT(MAX((입금_은행1!$AC$8:$AC$2007=$A148)*(입금_은행1!$AE$8:$AE$2007&lt;=설정!$B$5)*입금_은행1!$AE$8:$AE$2007)),SUMPRODUCT(MAX((입금_은행2!$AC$8:$AC$2007=$A148)*(입금_은행2!$AE$8:$AE$2007&lt;=설정!$B$5)*입금_은행2!$AE$8:$AE$2007)))=0,"",MAX(SUMPRODUCT(MAX((입금_은행1!$AC$8:$AC$2007=$A148)*(입금_은행1!$AE$8:$AE$2007&lt;=설정!$B$5)*입금_은행1!$AE$8:$AE$2007)),SUMPRODUCT(MAX((입금_은행2!$AC$8:$AC$2007=$A148)*(입금_은행2!$AE$8:$AE$2007&lt;=설정!$B$5)*입금_은행2!$AE$8:$AE$2007)))))</f>
        <v/>
      </c>
      <c r="M148" s="38">
        <f>IF($U148="","",IF($T148="","",IF(INDEX(거래처설정!$F$8:$F$407,$T148)="","",INDEX(거래처설정!$F$8:$F$407,$T148))))</f>
        <v/>
      </c>
      <c r="N148" s="38">
        <f>IF($U148="","",IF($T148="","",IF(INDEX(거래처설정!$G$8:$G$407,$T148)="","",INDEX(거래처설정!$G$8:$G$407,$T148))))</f>
        <v/>
      </c>
      <c r="O148" s="38">
        <f>IF($U148="","",IF($M148="제외",0,IF($K148&gt;=설정!$B$9,3,IF($J148+$K148&gt;=설정!$B$9,2,IF($I148+$J148+$K148&gt;=설정!$B$9,1,0)))))</f>
        <v/>
      </c>
      <c r="P148" s="38">
        <f>IF($U148="","",IF($M148="제외","제외(조치 상태)",IF($O148=3,"③ 강한 독촉 후보 ("&amp;설정!$B$8&amp;"일 초과)",IF($O148=2,"② 독촉 후보 ("&amp;설정!$B$7&amp;"일 초과)",IF($O148=1,"① 안내 후보 ("&amp;설정!$B$6&amp;"일 초과)",IF($G148&gt;0,IF($I148+$J148+$K148&gt;0,"오래된 잔액 있음 (최소 금액 미만)","정상 범위"),IF($G148&lt;0,"선수금·초과입금 — 확인","완납")))))))</f>
        <v/>
      </c>
      <c r="Q148" s="38">
        <f>IF($U148="","",IF($G148&lt;0,"입금이 매출보다 큼 — 선수금이거나 다른 거래처 입금이 섞였는지 확인",IF(AND($AE148&lt;&gt;"",COUNTIF($AE$8:$AE$307,"*"&amp;$AE148&amp;"*")&gt;1),"이름이 다른 거래처와 겹침 — 입금이 잘못 맞았을 수 있으니 별칭 확인",IF(AND($G148&gt;0,$F148=0),"입금 매칭 없음 — 입금자명이 다르면 [거래처설정]에 별칭 등록",""))))</f>
        <v/>
      </c>
      <c r="R148" s="31">
        <f>IF(OR($U148="",$G148&lt;=0),"",$G148-$A148/10000)</f>
        <v/>
      </c>
      <c r="S148" s="31">
        <f>IF(OR($U148="",$O148&lt;1),"",$O148*10^11+$I148+$J148+$K148-$A148/1000)</f>
        <v/>
      </c>
      <c r="T148" s="31">
        <f>IF($U148="","",IFERROR(MATCH(INDEX(매출원본!$AU$8:$AU$2007,$U148),거래처설정!$I$8:$I$407,0),""))</f>
        <v/>
      </c>
      <c r="U148" s="31">
        <f>IFERROR(MATCH(141,매출원본!$AW$8:$AW$2007,0),"")</f>
        <v/>
      </c>
      <c r="V148" s="31">
        <f>IF($U148="","",MAX(SUMIFS(매출원본!$AT$8:$AT$2007,매출원본!$AY$8:$AY$2007,$A148,매출원본!$AS$8:$AS$2007,"&gt;="&amp;(설정!$B$5-설정!$B$6),매출원본!$AS$8:$AS$2007,"&lt;="&amp;설정!$B$5),0))</f>
        <v/>
      </c>
      <c r="W148" s="31">
        <f>IF($U148="","",MAX($V148,SUMIFS(매출원본!$AT$8:$AT$2007,매출원본!$AY$8:$AY$2007,$A148,매출원본!$AS$8:$AS$2007,"&gt;="&amp;(설정!$B$5-설정!$B$7),매출원본!$AS$8:$AS$2007,"&lt;="&amp;설정!$B$5)))</f>
        <v/>
      </c>
      <c r="X148" s="31">
        <f>IF($U148="","",MAX($W148,SUMIFS(매출원본!$AT$8:$AT$2007,매출원본!$AY$8:$AY$2007,$A148,매출원본!$AS$8:$AS$2007,"&gt;="&amp;(설정!$B$5-설정!$B$8),매출원본!$AS$8:$AS$2007,"&lt;="&amp;설정!$B$5)))</f>
        <v/>
      </c>
      <c r="AC148" s="31">
        <f>IF(OR($U148="",$T148=""),"",INDEX(거래처설정!$J$8:$J$407,$T148))</f>
        <v/>
      </c>
      <c r="AD148" s="31">
        <f>IF(OR($U148="",$T148=""),"",INDEX(거래처설정!$K$8:$K$407,$T148))</f>
        <v/>
      </c>
      <c r="AE148" s="31">
        <f>IF($U148="","",IF(LEN(SUBSTITUTE(SUBSTITUTE(SUBSTITUTE(SUBSTITUTE(SUBSTITUTE(SUBSTITUTE(SUBSTITUTE(SUBSTITUTE(SUBSTITUTE($C148," ",""),"　",""),"(주)",""),"（주）",""),"㈜",""),"주식회사",""),"(유)",""),"（유）",""),"유한회사",""))&lt;2,"",SUBSTITUTE(SUBSTITUTE(SUBSTITUTE(SUBSTITUTE(SUBSTITUTE(SUBSTITUTE(SUBSTITUTE(SUBSTITUTE(SUBSTITUTE($C148," ",""),"　",""),"(주)",""),"（주）",""),"㈜",""),"주식회사",""),"(유)",""),"（유）",""),"유한회사","")))</f>
        <v/>
      </c>
    </row>
    <row r="149">
      <c r="A149" s="38">
        <f>IF($U149="","",142)</f>
        <v/>
      </c>
      <c r="B149" s="38">
        <f>IF($U149="","",IF(LEN(INDEX(매출원본!$AU$8:$AU$2007,$U149))=10,LEFT(INDEX(매출원본!$AU$8:$AU$2007,$U149),3)&amp;"-"&amp;MID(INDEX(매출원본!$AU$8:$AU$2007,$U149),4,2)&amp;"-"&amp;RIGHT(INDEX(매출원본!$AU$8:$AU$2007,$U149),5),IF(LEFT(INDEX(매출원본!$AU$8:$AU$2007,$U149),2)="N:","(번호 없음)",INDEX(매출원본!$AU$8:$AU$2007,$U149))))</f>
        <v/>
      </c>
      <c r="C149" s="38">
        <f>IF($U149="","",INDEX(매출원본!$AV$8:$AV$2007,$U149))</f>
        <v/>
      </c>
      <c r="D149" s="39">
        <f>IF($U149="","",IF($T149="",0,N(INDEX(거래처설정!$E$8:$E$407,$T149))))</f>
        <v/>
      </c>
      <c r="E149" s="39">
        <f>IF($U149="","",SUMIFS(매출원본!$AT$8:$AT$2007,매출원본!$AY$8:$AY$2007,$A149,매출원본!$AS$8:$AS$2007,"&lt;="&amp;설정!$B$5))</f>
        <v/>
      </c>
      <c r="F149" s="39">
        <f>IF($U149="","",SUMIFS(입금_은행1!$Z$8:$Z$2007,입금_은행1!$AC$8:$AC$2007,$A149,입금_은행1!$Y$8:$Y$2007,"&lt;="&amp;설정!$B$5)+SUMIFS(입금_은행2!$Z$8:$Z$2007,입금_은행2!$AC$8:$AC$2007,$A149,입금_은행2!$Y$8:$Y$2007,"&lt;="&amp;설정!$B$5))</f>
        <v/>
      </c>
      <c r="G149" s="39">
        <f>IF($U149="","",$D149+$E149-$F149)</f>
        <v/>
      </c>
      <c r="H149" s="39">
        <f>IF($U149="","",MIN(MAX($G149,0),$V149))</f>
        <v/>
      </c>
      <c r="I149" s="39">
        <f>IF($U149="","",MIN(MAX($G149,0),$W149)-MIN(MAX($G149,0),$V149))</f>
        <v/>
      </c>
      <c r="J149" s="39">
        <f>IF($U149="","",MIN(MAX($G149,0),$X149)-MIN(MAX($G149,0),$W149))</f>
        <v/>
      </c>
      <c r="K149" s="39">
        <f>IF($U149="","",MAX($G149,0)-MIN(MAX($G149,0),$X149))</f>
        <v/>
      </c>
      <c r="L149" s="40">
        <f>IF($U149="","",IF(MAX(SUMPRODUCT(MAX((입금_은행1!$AC$8:$AC$2007=$A149)*(입금_은행1!$AE$8:$AE$2007&lt;=설정!$B$5)*입금_은행1!$AE$8:$AE$2007)),SUMPRODUCT(MAX((입금_은행2!$AC$8:$AC$2007=$A149)*(입금_은행2!$AE$8:$AE$2007&lt;=설정!$B$5)*입금_은행2!$AE$8:$AE$2007)))=0,"",MAX(SUMPRODUCT(MAX((입금_은행1!$AC$8:$AC$2007=$A149)*(입금_은행1!$AE$8:$AE$2007&lt;=설정!$B$5)*입금_은행1!$AE$8:$AE$2007)),SUMPRODUCT(MAX((입금_은행2!$AC$8:$AC$2007=$A149)*(입금_은행2!$AE$8:$AE$2007&lt;=설정!$B$5)*입금_은행2!$AE$8:$AE$2007)))))</f>
        <v/>
      </c>
      <c r="M149" s="38">
        <f>IF($U149="","",IF($T149="","",IF(INDEX(거래처설정!$F$8:$F$407,$T149)="","",INDEX(거래처설정!$F$8:$F$407,$T149))))</f>
        <v/>
      </c>
      <c r="N149" s="38">
        <f>IF($U149="","",IF($T149="","",IF(INDEX(거래처설정!$G$8:$G$407,$T149)="","",INDEX(거래처설정!$G$8:$G$407,$T149))))</f>
        <v/>
      </c>
      <c r="O149" s="38">
        <f>IF($U149="","",IF($M149="제외",0,IF($K149&gt;=설정!$B$9,3,IF($J149+$K149&gt;=설정!$B$9,2,IF($I149+$J149+$K149&gt;=설정!$B$9,1,0)))))</f>
        <v/>
      </c>
      <c r="P149" s="38">
        <f>IF($U149="","",IF($M149="제외","제외(조치 상태)",IF($O149=3,"③ 강한 독촉 후보 ("&amp;설정!$B$8&amp;"일 초과)",IF($O149=2,"② 독촉 후보 ("&amp;설정!$B$7&amp;"일 초과)",IF($O149=1,"① 안내 후보 ("&amp;설정!$B$6&amp;"일 초과)",IF($G149&gt;0,IF($I149+$J149+$K149&gt;0,"오래된 잔액 있음 (최소 금액 미만)","정상 범위"),IF($G149&lt;0,"선수금·초과입금 — 확인","완납")))))))</f>
        <v/>
      </c>
      <c r="Q149" s="38">
        <f>IF($U149="","",IF($G149&lt;0,"입금이 매출보다 큼 — 선수금이거나 다른 거래처 입금이 섞였는지 확인",IF(AND($AE149&lt;&gt;"",COUNTIF($AE$8:$AE$307,"*"&amp;$AE149&amp;"*")&gt;1),"이름이 다른 거래처와 겹침 — 입금이 잘못 맞았을 수 있으니 별칭 확인",IF(AND($G149&gt;0,$F149=0),"입금 매칭 없음 — 입금자명이 다르면 [거래처설정]에 별칭 등록",""))))</f>
        <v/>
      </c>
      <c r="R149" s="31">
        <f>IF(OR($U149="",$G149&lt;=0),"",$G149-$A149/10000)</f>
        <v/>
      </c>
      <c r="S149" s="31">
        <f>IF(OR($U149="",$O149&lt;1),"",$O149*10^11+$I149+$J149+$K149-$A149/1000)</f>
        <v/>
      </c>
      <c r="T149" s="31">
        <f>IF($U149="","",IFERROR(MATCH(INDEX(매출원본!$AU$8:$AU$2007,$U149),거래처설정!$I$8:$I$407,0),""))</f>
        <v/>
      </c>
      <c r="U149" s="31">
        <f>IFERROR(MATCH(142,매출원본!$AW$8:$AW$2007,0),"")</f>
        <v/>
      </c>
      <c r="V149" s="31">
        <f>IF($U149="","",MAX(SUMIFS(매출원본!$AT$8:$AT$2007,매출원본!$AY$8:$AY$2007,$A149,매출원본!$AS$8:$AS$2007,"&gt;="&amp;(설정!$B$5-설정!$B$6),매출원본!$AS$8:$AS$2007,"&lt;="&amp;설정!$B$5),0))</f>
        <v/>
      </c>
      <c r="W149" s="31">
        <f>IF($U149="","",MAX($V149,SUMIFS(매출원본!$AT$8:$AT$2007,매출원본!$AY$8:$AY$2007,$A149,매출원본!$AS$8:$AS$2007,"&gt;="&amp;(설정!$B$5-설정!$B$7),매출원본!$AS$8:$AS$2007,"&lt;="&amp;설정!$B$5)))</f>
        <v/>
      </c>
      <c r="X149" s="31">
        <f>IF($U149="","",MAX($W149,SUMIFS(매출원본!$AT$8:$AT$2007,매출원본!$AY$8:$AY$2007,$A149,매출원본!$AS$8:$AS$2007,"&gt;="&amp;(설정!$B$5-설정!$B$8),매출원본!$AS$8:$AS$2007,"&lt;="&amp;설정!$B$5)))</f>
        <v/>
      </c>
      <c r="AC149" s="31">
        <f>IF(OR($U149="",$T149=""),"",INDEX(거래처설정!$J$8:$J$407,$T149))</f>
        <v/>
      </c>
      <c r="AD149" s="31">
        <f>IF(OR($U149="",$T149=""),"",INDEX(거래처설정!$K$8:$K$407,$T149))</f>
        <v/>
      </c>
      <c r="AE149" s="31">
        <f>IF($U149="","",IF(LEN(SUBSTITUTE(SUBSTITUTE(SUBSTITUTE(SUBSTITUTE(SUBSTITUTE(SUBSTITUTE(SUBSTITUTE(SUBSTITUTE(SUBSTITUTE($C149," ",""),"　",""),"(주)",""),"（주）",""),"㈜",""),"주식회사",""),"(유)",""),"（유）",""),"유한회사",""))&lt;2,"",SUBSTITUTE(SUBSTITUTE(SUBSTITUTE(SUBSTITUTE(SUBSTITUTE(SUBSTITUTE(SUBSTITUTE(SUBSTITUTE(SUBSTITUTE($C149," ",""),"　",""),"(주)",""),"（주）",""),"㈜",""),"주식회사",""),"(유)",""),"（유）",""),"유한회사","")))</f>
        <v/>
      </c>
    </row>
    <row r="150">
      <c r="A150" s="38">
        <f>IF($U150="","",143)</f>
        <v/>
      </c>
      <c r="B150" s="38">
        <f>IF($U150="","",IF(LEN(INDEX(매출원본!$AU$8:$AU$2007,$U150))=10,LEFT(INDEX(매출원본!$AU$8:$AU$2007,$U150),3)&amp;"-"&amp;MID(INDEX(매출원본!$AU$8:$AU$2007,$U150),4,2)&amp;"-"&amp;RIGHT(INDEX(매출원본!$AU$8:$AU$2007,$U150),5),IF(LEFT(INDEX(매출원본!$AU$8:$AU$2007,$U150),2)="N:","(번호 없음)",INDEX(매출원본!$AU$8:$AU$2007,$U150))))</f>
        <v/>
      </c>
      <c r="C150" s="38">
        <f>IF($U150="","",INDEX(매출원본!$AV$8:$AV$2007,$U150))</f>
        <v/>
      </c>
      <c r="D150" s="39">
        <f>IF($U150="","",IF($T150="",0,N(INDEX(거래처설정!$E$8:$E$407,$T150))))</f>
        <v/>
      </c>
      <c r="E150" s="39">
        <f>IF($U150="","",SUMIFS(매출원본!$AT$8:$AT$2007,매출원본!$AY$8:$AY$2007,$A150,매출원본!$AS$8:$AS$2007,"&lt;="&amp;설정!$B$5))</f>
        <v/>
      </c>
      <c r="F150" s="39">
        <f>IF($U150="","",SUMIFS(입금_은행1!$Z$8:$Z$2007,입금_은행1!$AC$8:$AC$2007,$A150,입금_은행1!$Y$8:$Y$2007,"&lt;="&amp;설정!$B$5)+SUMIFS(입금_은행2!$Z$8:$Z$2007,입금_은행2!$AC$8:$AC$2007,$A150,입금_은행2!$Y$8:$Y$2007,"&lt;="&amp;설정!$B$5))</f>
        <v/>
      </c>
      <c r="G150" s="39">
        <f>IF($U150="","",$D150+$E150-$F150)</f>
        <v/>
      </c>
      <c r="H150" s="39">
        <f>IF($U150="","",MIN(MAX($G150,0),$V150))</f>
        <v/>
      </c>
      <c r="I150" s="39">
        <f>IF($U150="","",MIN(MAX($G150,0),$W150)-MIN(MAX($G150,0),$V150))</f>
        <v/>
      </c>
      <c r="J150" s="39">
        <f>IF($U150="","",MIN(MAX($G150,0),$X150)-MIN(MAX($G150,0),$W150))</f>
        <v/>
      </c>
      <c r="K150" s="39">
        <f>IF($U150="","",MAX($G150,0)-MIN(MAX($G150,0),$X150))</f>
        <v/>
      </c>
      <c r="L150" s="40">
        <f>IF($U150="","",IF(MAX(SUMPRODUCT(MAX((입금_은행1!$AC$8:$AC$2007=$A150)*(입금_은행1!$AE$8:$AE$2007&lt;=설정!$B$5)*입금_은행1!$AE$8:$AE$2007)),SUMPRODUCT(MAX((입금_은행2!$AC$8:$AC$2007=$A150)*(입금_은행2!$AE$8:$AE$2007&lt;=설정!$B$5)*입금_은행2!$AE$8:$AE$2007)))=0,"",MAX(SUMPRODUCT(MAX((입금_은행1!$AC$8:$AC$2007=$A150)*(입금_은행1!$AE$8:$AE$2007&lt;=설정!$B$5)*입금_은행1!$AE$8:$AE$2007)),SUMPRODUCT(MAX((입금_은행2!$AC$8:$AC$2007=$A150)*(입금_은행2!$AE$8:$AE$2007&lt;=설정!$B$5)*입금_은행2!$AE$8:$AE$2007)))))</f>
        <v/>
      </c>
      <c r="M150" s="38">
        <f>IF($U150="","",IF($T150="","",IF(INDEX(거래처설정!$F$8:$F$407,$T150)="","",INDEX(거래처설정!$F$8:$F$407,$T150))))</f>
        <v/>
      </c>
      <c r="N150" s="38">
        <f>IF($U150="","",IF($T150="","",IF(INDEX(거래처설정!$G$8:$G$407,$T150)="","",INDEX(거래처설정!$G$8:$G$407,$T150))))</f>
        <v/>
      </c>
      <c r="O150" s="38">
        <f>IF($U150="","",IF($M150="제외",0,IF($K150&gt;=설정!$B$9,3,IF($J150+$K150&gt;=설정!$B$9,2,IF($I150+$J150+$K150&gt;=설정!$B$9,1,0)))))</f>
        <v/>
      </c>
      <c r="P150" s="38">
        <f>IF($U150="","",IF($M150="제외","제외(조치 상태)",IF($O150=3,"③ 강한 독촉 후보 ("&amp;설정!$B$8&amp;"일 초과)",IF($O150=2,"② 독촉 후보 ("&amp;설정!$B$7&amp;"일 초과)",IF($O150=1,"① 안내 후보 ("&amp;설정!$B$6&amp;"일 초과)",IF($G150&gt;0,IF($I150+$J150+$K150&gt;0,"오래된 잔액 있음 (최소 금액 미만)","정상 범위"),IF($G150&lt;0,"선수금·초과입금 — 확인","완납")))))))</f>
        <v/>
      </c>
      <c r="Q150" s="38">
        <f>IF($U150="","",IF($G150&lt;0,"입금이 매출보다 큼 — 선수금이거나 다른 거래처 입금이 섞였는지 확인",IF(AND($AE150&lt;&gt;"",COUNTIF($AE$8:$AE$307,"*"&amp;$AE150&amp;"*")&gt;1),"이름이 다른 거래처와 겹침 — 입금이 잘못 맞았을 수 있으니 별칭 확인",IF(AND($G150&gt;0,$F150=0),"입금 매칭 없음 — 입금자명이 다르면 [거래처설정]에 별칭 등록",""))))</f>
        <v/>
      </c>
      <c r="R150" s="31">
        <f>IF(OR($U150="",$G150&lt;=0),"",$G150-$A150/10000)</f>
        <v/>
      </c>
      <c r="S150" s="31">
        <f>IF(OR($U150="",$O150&lt;1),"",$O150*10^11+$I150+$J150+$K150-$A150/1000)</f>
        <v/>
      </c>
      <c r="T150" s="31">
        <f>IF($U150="","",IFERROR(MATCH(INDEX(매출원본!$AU$8:$AU$2007,$U150),거래처설정!$I$8:$I$407,0),""))</f>
        <v/>
      </c>
      <c r="U150" s="31">
        <f>IFERROR(MATCH(143,매출원본!$AW$8:$AW$2007,0),"")</f>
        <v/>
      </c>
      <c r="V150" s="31">
        <f>IF($U150="","",MAX(SUMIFS(매출원본!$AT$8:$AT$2007,매출원본!$AY$8:$AY$2007,$A150,매출원본!$AS$8:$AS$2007,"&gt;="&amp;(설정!$B$5-설정!$B$6),매출원본!$AS$8:$AS$2007,"&lt;="&amp;설정!$B$5),0))</f>
        <v/>
      </c>
      <c r="W150" s="31">
        <f>IF($U150="","",MAX($V150,SUMIFS(매출원본!$AT$8:$AT$2007,매출원본!$AY$8:$AY$2007,$A150,매출원본!$AS$8:$AS$2007,"&gt;="&amp;(설정!$B$5-설정!$B$7),매출원본!$AS$8:$AS$2007,"&lt;="&amp;설정!$B$5)))</f>
        <v/>
      </c>
      <c r="X150" s="31">
        <f>IF($U150="","",MAX($W150,SUMIFS(매출원본!$AT$8:$AT$2007,매출원본!$AY$8:$AY$2007,$A150,매출원본!$AS$8:$AS$2007,"&gt;="&amp;(설정!$B$5-설정!$B$8),매출원본!$AS$8:$AS$2007,"&lt;="&amp;설정!$B$5)))</f>
        <v/>
      </c>
      <c r="AC150" s="31">
        <f>IF(OR($U150="",$T150=""),"",INDEX(거래처설정!$J$8:$J$407,$T150))</f>
        <v/>
      </c>
      <c r="AD150" s="31">
        <f>IF(OR($U150="",$T150=""),"",INDEX(거래처설정!$K$8:$K$407,$T150))</f>
        <v/>
      </c>
      <c r="AE150" s="31">
        <f>IF($U150="","",IF(LEN(SUBSTITUTE(SUBSTITUTE(SUBSTITUTE(SUBSTITUTE(SUBSTITUTE(SUBSTITUTE(SUBSTITUTE(SUBSTITUTE(SUBSTITUTE($C150," ",""),"　",""),"(주)",""),"（주）",""),"㈜",""),"주식회사",""),"(유)",""),"（유）",""),"유한회사",""))&lt;2,"",SUBSTITUTE(SUBSTITUTE(SUBSTITUTE(SUBSTITUTE(SUBSTITUTE(SUBSTITUTE(SUBSTITUTE(SUBSTITUTE(SUBSTITUTE($C150," ",""),"　",""),"(주)",""),"（주）",""),"㈜",""),"주식회사",""),"(유)",""),"（유）",""),"유한회사","")))</f>
        <v/>
      </c>
    </row>
    <row r="151">
      <c r="A151" s="38">
        <f>IF($U151="","",144)</f>
        <v/>
      </c>
      <c r="B151" s="38">
        <f>IF($U151="","",IF(LEN(INDEX(매출원본!$AU$8:$AU$2007,$U151))=10,LEFT(INDEX(매출원본!$AU$8:$AU$2007,$U151),3)&amp;"-"&amp;MID(INDEX(매출원본!$AU$8:$AU$2007,$U151),4,2)&amp;"-"&amp;RIGHT(INDEX(매출원본!$AU$8:$AU$2007,$U151),5),IF(LEFT(INDEX(매출원본!$AU$8:$AU$2007,$U151),2)="N:","(번호 없음)",INDEX(매출원본!$AU$8:$AU$2007,$U151))))</f>
        <v/>
      </c>
      <c r="C151" s="38">
        <f>IF($U151="","",INDEX(매출원본!$AV$8:$AV$2007,$U151))</f>
        <v/>
      </c>
      <c r="D151" s="39">
        <f>IF($U151="","",IF($T151="",0,N(INDEX(거래처설정!$E$8:$E$407,$T151))))</f>
        <v/>
      </c>
      <c r="E151" s="39">
        <f>IF($U151="","",SUMIFS(매출원본!$AT$8:$AT$2007,매출원본!$AY$8:$AY$2007,$A151,매출원본!$AS$8:$AS$2007,"&lt;="&amp;설정!$B$5))</f>
        <v/>
      </c>
      <c r="F151" s="39">
        <f>IF($U151="","",SUMIFS(입금_은행1!$Z$8:$Z$2007,입금_은행1!$AC$8:$AC$2007,$A151,입금_은행1!$Y$8:$Y$2007,"&lt;="&amp;설정!$B$5)+SUMIFS(입금_은행2!$Z$8:$Z$2007,입금_은행2!$AC$8:$AC$2007,$A151,입금_은행2!$Y$8:$Y$2007,"&lt;="&amp;설정!$B$5))</f>
        <v/>
      </c>
      <c r="G151" s="39">
        <f>IF($U151="","",$D151+$E151-$F151)</f>
        <v/>
      </c>
      <c r="H151" s="39">
        <f>IF($U151="","",MIN(MAX($G151,0),$V151))</f>
        <v/>
      </c>
      <c r="I151" s="39">
        <f>IF($U151="","",MIN(MAX($G151,0),$W151)-MIN(MAX($G151,0),$V151))</f>
        <v/>
      </c>
      <c r="J151" s="39">
        <f>IF($U151="","",MIN(MAX($G151,0),$X151)-MIN(MAX($G151,0),$W151))</f>
        <v/>
      </c>
      <c r="K151" s="39">
        <f>IF($U151="","",MAX($G151,0)-MIN(MAX($G151,0),$X151))</f>
        <v/>
      </c>
      <c r="L151" s="40">
        <f>IF($U151="","",IF(MAX(SUMPRODUCT(MAX((입금_은행1!$AC$8:$AC$2007=$A151)*(입금_은행1!$AE$8:$AE$2007&lt;=설정!$B$5)*입금_은행1!$AE$8:$AE$2007)),SUMPRODUCT(MAX((입금_은행2!$AC$8:$AC$2007=$A151)*(입금_은행2!$AE$8:$AE$2007&lt;=설정!$B$5)*입금_은행2!$AE$8:$AE$2007)))=0,"",MAX(SUMPRODUCT(MAX((입금_은행1!$AC$8:$AC$2007=$A151)*(입금_은행1!$AE$8:$AE$2007&lt;=설정!$B$5)*입금_은행1!$AE$8:$AE$2007)),SUMPRODUCT(MAX((입금_은행2!$AC$8:$AC$2007=$A151)*(입금_은행2!$AE$8:$AE$2007&lt;=설정!$B$5)*입금_은행2!$AE$8:$AE$2007)))))</f>
        <v/>
      </c>
      <c r="M151" s="38">
        <f>IF($U151="","",IF($T151="","",IF(INDEX(거래처설정!$F$8:$F$407,$T151)="","",INDEX(거래처설정!$F$8:$F$407,$T151))))</f>
        <v/>
      </c>
      <c r="N151" s="38">
        <f>IF($U151="","",IF($T151="","",IF(INDEX(거래처설정!$G$8:$G$407,$T151)="","",INDEX(거래처설정!$G$8:$G$407,$T151))))</f>
        <v/>
      </c>
      <c r="O151" s="38">
        <f>IF($U151="","",IF($M151="제외",0,IF($K151&gt;=설정!$B$9,3,IF($J151+$K151&gt;=설정!$B$9,2,IF($I151+$J151+$K151&gt;=설정!$B$9,1,0)))))</f>
        <v/>
      </c>
      <c r="P151" s="38">
        <f>IF($U151="","",IF($M151="제외","제외(조치 상태)",IF($O151=3,"③ 강한 독촉 후보 ("&amp;설정!$B$8&amp;"일 초과)",IF($O151=2,"② 독촉 후보 ("&amp;설정!$B$7&amp;"일 초과)",IF($O151=1,"① 안내 후보 ("&amp;설정!$B$6&amp;"일 초과)",IF($G151&gt;0,IF($I151+$J151+$K151&gt;0,"오래된 잔액 있음 (최소 금액 미만)","정상 범위"),IF($G151&lt;0,"선수금·초과입금 — 확인","완납")))))))</f>
        <v/>
      </c>
      <c r="Q151" s="38">
        <f>IF($U151="","",IF($G151&lt;0,"입금이 매출보다 큼 — 선수금이거나 다른 거래처 입금이 섞였는지 확인",IF(AND($AE151&lt;&gt;"",COUNTIF($AE$8:$AE$307,"*"&amp;$AE151&amp;"*")&gt;1),"이름이 다른 거래처와 겹침 — 입금이 잘못 맞았을 수 있으니 별칭 확인",IF(AND($G151&gt;0,$F151=0),"입금 매칭 없음 — 입금자명이 다르면 [거래처설정]에 별칭 등록",""))))</f>
        <v/>
      </c>
      <c r="R151" s="31">
        <f>IF(OR($U151="",$G151&lt;=0),"",$G151-$A151/10000)</f>
        <v/>
      </c>
      <c r="S151" s="31">
        <f>IF(OR($U151="",$O151&lt;1),"",$O151*10^11+$I151+$J151+$K151-$A151/1000)</f>
        <v/>
      </c>
      <c r="T151" s="31">
        <f>IF($U151="","",IFERROR(MATCH(INDEX(매출원본!$AU$8:$AU$2007,$U151),거래처설정!$I$8:$I$407,0),""))</f>
        <v/>
      </c>
      <c r="U151" s="31">
        <f>IFERROR(MATCH(144,매출원본!$AW$8:$AW$2007,0),"")</f>
        <v/>
      </c>
      <c r="V151" s="31">
        <f>IF($U151="","",MAX(SUMIFS(매출원본!$AT$8:$AT$2007,매출원본!$AY$8:$AY$2007,$A151,매출원본!$AS$8:$AS$2007,"&gt;="&amp;(설정!$B$5-설정!$B$6),매출원본!$AS$8:$AS$2007,"&lt;="&amp;설정!$B$5),0))</f>
        <v/>
      </c>
      <c r="W151" s="31">
        <f>IF($U151="","",MAX($V151,SUMIFS(매출원본!$AT$8:$AT$2007,매출원본!$AY$8:$AY$2007,$A151,매출원본!$AS$8:$AS$2007,"&gt;="&amp;(설정!$B$5-설정!$B$7),매출원본!$AS$8:$AS$2007,"&lt;="&amp;설정!$B$5)))</f>
        <v/>
      </c>
      <c r="X151" s="31">
        <f>IF($U151="","",MAX($W151,SUMIFS(매출원본!$AT$8:$AT$2007,매출원본!$AY$8:$AY$2007,$A151,매출원본!$AS$8:$AS$2007,"&gt;="&amp;(설정!$B$5-설정!$B$8),매출원본!$AS$8:$AS$2007,"&lt;="&amp;설정!$B$5)))</f>
        <v/>
      </c>
      <c r="AC151" s="31">
        <f>IF(OR($U151="",$T151=""),"",INDEX(거래처설정!$J$8:$J$407,$T151))</f>
        <v/>
      </c>
      <c r="AD151" s="31">
        <f>IF(OR($U151="",$T151=""),"",INDEX(거래처설정!$K$8:$K$407,$T151))</f>
        <v/>
      </c>
      <c r="AE151" s="31">
        <f>IF($U151="","",IF(LEN(SUBSTITUTE(SUBSTITUTE(SUBSTITUTE(SUBSTITUTE(SUBSTITUTE(SUBSTITUTE(SUBSTITUTE(SUBSTITUTE(SUBSTITUTE($C151," ",""),"　",""),"(주)",""),"（주）",""),"㈜",""),"주식회사",""),"(유)",""),"（유）",""),"유한회사",""))&lt;2,"",SUBSTITUTE(SUBSTITUTE(SUBSTITUTE(SUBSTITUTE(SUBSTITUTE(SUBSTITUTE(SUBSTITUTE(SUBSTITUTE(SUBSTITUTE($C151," ",""),"　",""),"(주)",""),"（주）",""),"㈜",""),"주식회사",""),"(유)",""),"（유）",""),"유한회사","")))</f>
        <v/>
      </c>
    </row>
    <row r="152">
      <c r="A152" s="38">
        <f>IF($U152="","",145)</f>
        <v/>
      </c>
      <c r="B152" s="38">
        <f>IF($U152="","",IF(LEN(INDEX(매출원본!$AU$8:$AU$2007,$U152))=10,LEFT(INDEX(매출원본!$AU$8:$AU$2007,$U152),3)&amp;"-"&amp;MID(INDEX(매출원본!$AU$8:$AU$2007,$U152),4,2)&amp;"-"&amp;RIGHT(INDEX(매출원본!$AU$8:$AU$2007,$U152),5),IF(LEFT(INDEX(매출원본!$AU$8:$AU$2007,$U152),2)="N:","(번호 없음)",INDEX(매출원본!$AU$8:$AU$2007,$U152))))</f>
        <v/>
      </c>
      <c r="C152" s="38">
        <f>IF($U152="","",INDEX(매출원본!$AV$8:$AV$2007,$U152))</f>
        <v/>
      </c>
      <c r="D152" s="39">
        <f>IF($U152="","",IF($T152="",0,N(INDEX(거래처설정!$E$8:$E$407,$T152))))</f>
        <v/>
      </c>
      <c r="E152" s="39">
        <f>IF($U152="","",SUMIFS(매출원본!$AT$8:$AT$2007,매출원본!$AY$8:$AY$2007,$A152,매출원본!$AS$8:$AS$2007,"&lt;="&amp;설정!$B$5))</f>
        <v/>
      </c>
      <c r="F152" s="39">
        <f>IF($U152="","",SUMIFS(입금_은행1!$Z$8:$Z$2007,입금_은행1!$AC$8:$AC$2007,$A152,입금_은행1!$Y$8:$Y$2007,"&lt;="&amp;설정!$B$5)+SUMIFS(입금_은행2!$Z$8:$Z$2007,입금_은행2!$AC$8:$AC$2007,$A152,입금_은행2!$Y$8:$Y$2007,"&lt;="&amp;설정!$B$5))</f>
        <v/>
      </c>
      <c r="G152" s="39">
        <f>IF($U152="","",$D152+$E152-$F152)</f>
        <v/>
      </c>
      <c r="H152" s="39">
        <f>IF($U152="","",MIN(MAX($G152,0),$V152))</f>
        <v/>
      </c>
      <c r="I152" s="39">
        <f>IF($U152="","",MIN(MAX($G152,0),$W152)-MIN(MAX($G152,0),$V152))</f>
        <v/>
      </c>
      <c r="J152" s="39">
        <f>IF($U152="","",MIN(MAX($G152,0),$X152)-MIN(MAX($G152,0),$W152))</f>
        <v/>
      </c>
      <c r="K152" s="39">
        <f>IF($U152="","",MAX($G152,0)-MIN(MAX($G152,0),$X152))</f>
        <v/>
      </c>
      <c r="L152" s="40">
        <f>IF($U152="","",IF(MAX(SUMPRODUCT(MAX((입금_은행1!$AC$8:$AC$2007=$A152)*(입금_은행1!$AE$8:$AE$2007&lt;=설정!$B$5)*입금_은행1!$AE$8:$AE$2007)),SUMPRODUCT(MAX((입금_은행2!$AC$8:$AC$2007=$A152)*(입금_은행2!$AE$8:$AE$2007&lt;=설정!$B$5)*입금_은행2!$AE$8:$AE$2007)))=0,"",MAX(SUMPRODUCT(MAX((입금_은행1!$AC$8:$AC$2007=$A152)*(입금_은행1!$AE$8:$AE$2007&lt;=설정!$B$5)*입금_은행1!$AE$8:$AE$2007)),SUMPRODUCT(MAX((입금_은행2!$AC$8:$AC$2007=$A152)*(입금_은행2!$AE$8:$AE$2007&lt;=설정!$B$5)*입금_은행2!$AE$8:$AE$2007)))))</f>
        <v/>
      </c>
      <c r="M152" s="38">
        <f>IF($U152="","",IF($T152="","",IF(INDEX(거래처설정!$F$8:$F$407,$T152)="","",INDEX(거래처설정!$F$8:$F$407,$T152))))</f>
        <v/>
      </c>
      <c r="N152" s="38">
        <f>IF($U152="","",IF($T152="","",IF(INDEX(거래처설정!$G$8:$G$407,$T152)="","",INDEX(거래처설정!$G$8:$G$407,$T152))))</f>
        <v/>
      </c>
      <c r="O152" s="38">
        <f>IF($U152="","",IF($M152="제외",0,IF($K152&gt;=설정!$B$9,3,IF($J152+$K152&gt;=설정!$B$9,2,IF($I152+$J152+$K152&gt;=설정!$B$9,1,0)))))</f>
        <v/>
      </c>
      <c r="P152" s="38">
        <f>IF($U152="","",IF($M152="제외","제외(조치 상태)",IF($O152=3,"③ 강한 독촉 후보 ("&amp;설정!$B$8&amp;"일 초과)",IF($O152=2,"② 독촉 후보 ("&amp;설정!$B$7&amp;"일 초과)",IF($O152=1,"① 안내 후보 ("&amp;설정!$B$6&amp;"일 초과)",IF($G152&gt;0,IF($I152+$J152+$K152&gt;0,"오래된 잔액 있음 (최소 금액 미만)","정상 범위"),IF($G152&lt;0,"선수금·초과입금 — 확인","완납")))))))</f>
        <v/>
      </c>
      <c r="Q152" s="38">
        <f>IF($U152="","",IF($G152&lt;0,"입금이 매출보다 큼 — 선수금이거나 다른 거래처 입금이 섞였는지 확인",IF(AND($AE152&lt;&gt;"",COUNTIF($AE$8:$AE$307,"*"&amp;$AE152&amp;"*")&gt;1),"이름이 다른 거래처와 겹침 — 입금이 잘못 맞았을 수 있으니 별칭 확인",IF(AND($G152&gt;0,$F152=0),"입금 매칭 없음 — 입금자명이 다르면 [거래처설정]에 별칭 등록",""))))</f>
        <v/>
      </c>
      <c r="R152" s="31">
        <f>IF(OR($U152="",$G152&lt;=0),"",$G152-$A152/10000)</f>
        <v/>
      </c>
      <c r="S152" s="31">
        <f>IF(OR($U152="",$O152&lt;1),"",$O152*10^11+$I152+$J152+$K152-$A152/1000)</f>
        <v/>
      </c>
      <c r="T152" s="31">
        <f>IF($U152="","",IFERROR(MATCH(INDEX(매출원본!$AU$8:$AU$2007,$U152),거래처설정!$I$8:$I$407,0),""))</f>
        <v/>
      </c>
      <c r="U152" s="31">
        <f>IFERROR(MATCH(145,매출원본!$AW$8:$AW$2007,0),"")</f>
        <v/>
      </c>
      <c r="V152" s="31">
        <f>IF($U152="","",MAX(SUMIFS(매출원본!$AT$8:$AT$2007,매출원본!$AY$8:$AY$2007,$A152,매출원본!$AS$8:$AS$2007,"&gt;="&amp;(설정!$B$5-설정!$B$6),매출원본!$AS$8:$AS$2007,"&lt;="&amp;설정!$B$5),0))</f>
        <v/>
      </c>
      <c r="W152" s="31">
        <f>IF($U152="","",MAX($V152,SUMIFS(매출원본!$AT$8:$AT$2007,매출원본!$AY$8:$AY$2007,$A152,매출원본!$AS$8:$AS$2007,"&gt;="&amp;(설정!$B$5-설정!$B$7),매출원본!$AS$8:$AS$2007,"&lt;="&amp;설정!$B$5)))</f>
        <v/>
      </c>
      <c r="X152" s="31">
        <f>IF($U152="","",MAX($W152,SUMIFS(매출원본!$AT$8:$AT$2007,매출원본!$AY$8:$AY$2007,$A152,매출원본!$AS$8:$AS$2007,"&gt;="&amp;(설정!$B$5-설정!$B$8),매출원본!$AS$8:$AS$2007,"&lt;="&amp;설정!$B$5)))</f>
        <v/>
      </c>
      <c r="AC152" s="31">
        <f>IF(OR($U152="",$T152=""),"",INDEX(거래처설정!$J$8:$J$407,$T152))</f>
        <v/>
      </c>
      <c r="AD152" s="31">
        <f>IF(OR($U152="",$T152=""),"",INDEX(거래처설정!$K$8:$K$407,$T152))</f>
        <v/>
      </c>
      <c r="AE152" s="31">
        <f>IF($U152="","",IF(LEN(SUBSTITUTE(SUBSTITUTE(SUBSTITUTE(SUBSTITUTE(SUBSTITUTE(SUBSTITUTE(SUBSTITUTE(SUBSTITUTE(SUBSTITUTE($C152," ",""),"　",""),"(주)",""),"（주）",""),"㈜",""),"주식회사",""),"(유)",""),"（유）",""),"유한회사",""))&lt;2,"",SUBSTITUTE(SUBSTITUTE(SUBSTITUTE(SUBSTITUTE(SUBSTITUTE(SUBSTITUTE(SUBSTITUTE(SUBSTITUTE(SUBSTITUTE($C152," ",""),"　",""),"(주)",""),"（주）",""),"㈜",""),"주식회사",""),"(유)",""),"（유）",""),"유한회사","")))</f>
        <v/>
      </c>
    </row>
    <row r="153">
      <c r="A153" s="38">
        <f>IF($U153="","",146)</f>
        <v/>
      </c>
      <c r="B153" s="38">
        <f>IF($U153="","",IF(LEN(INDEX(매출원본!$AU$8:$AU$2007,$U153))=10,LEFT(INDEX(매출원본!$AU$8:$AU$2007,$U153),3)&amp;"-"&amp;MID(INDEX(매출원본!$AU$8:$AU$2007,$U153),4,2)&amp;"-"&amp;RIGHT(INDEX(매출원본!$AU$8:$AU$2007,$U153),5),IF(LEFT(INDEX(매출원본!$AU$8:$AU$2007,$U153),2)="N:","(번호 없음)",INDEX(매출원본!$AU$8:$AU$2007,$U153))))</f>
        <v/>
      </c>
      <c r="C153" s="38">
        <f>IF($U153="","",INDEX(매출원본!$AV$8:$AV$2007,$U153))</f>
        <v/>
      </c>
      <c r="D153" s="39">
        <f>IF($U153="","",IF($T153="",0,N(INDEX(거래처설정!$E$8:$E$407,$T153))))</f>
        <v/>
      </c>
      <c r="E153" s="39">
        <f>IF($U153="","",SUMIFS(매출원본!$AT$8:$AT$2007,매출원본!$AY$8:$AY$2007,$A153,매출원본!$AS$8:$AS$2007,"&lt;="&amp;설정!$B$5))</f>
        <v/>
      </c>
      <c r="F153" s="39">
        <f>IF($U153="","",SUMIFS(입금_은행1!$Z$8:$Z$2007,입금_은행1!$AC$8:$AC$2007,$A153,입금_은행1!$Y$8:$Y$2007,"&lt;="&amp;설정!$B$5)+SUMIFS(입금_은행2!$Z$8:$Z$2007,입금_은행2!$AC$8:$AC$2007,$A153,입금_은행2!$Y$8:$Y$2007,"&lt;="&amp;설정!$B$5))</f>
        <v/>
      </c>
      <c r="G153" s="39">
        <f>IF($U153="","",$D153+$E153-$F153)</f>
        <v/>
      </c>
      <c r="H153" s="39">
        <f>IF($U153="","",MIN(MAX($G153,0),$V153))</f>
        <v/>
      </c>
      <c r="I153" s="39">
        <f>IF($U153="","",MIN(MAX($G153,0),$W153)-MIN(MAX($G153,0),$V153))</f>
        <v/>
      </c>
      <c r="J153" s="39">
        <f>IF($U153="","",MIN(MAX($G153,0),$X153)-MIN(MAX($G153,0),$W153))</f>
        <v/>
      </c>
      <c r="K153" s="39">
        <f>IF($U153="","",MAX($G153,0)-MIN(MAX($G153,0),$X153))</f>
        <v/>
      </c>
      <c r="L153" s="40">
        <f>IF($U153="","",IF(MAX(SUMPRODUCT(MAX((입금_은행1!$AC$8:$AC$2007=$A153)*(입금_은행1!$AE$8:$AE$2007&lt;=설정!$B$5)*입금_은행1!$AE$8:$AE$2007)),SUMPRODUCT(MAX((입금_은행2!$AC$8:$AC$2007=$A153)*(입금_은행2!$AE$8:$AE$2007&lt;=설정!$B$5)*입금_은행2!$AE$8:$AE$2007)))=0,"",MAX(SUMPRODUCT(MAX((입금_은행1!$AC$8:$AC$2007=$A153)*(입금_은행1!$AE$8:$AE$2007&lt;=설정!$B$5)*입금_은행1!$AE$8:$AE$2007)),SUMPRODUCT(MAX((입금_은행2!$AC$8:$AC$2007=$A153)*(입금_은행2!$AE$8:$AE$2007&lt;=설정!$B$5)*입금_은행2!$AE$8:$AE$2007)))))</f>
        <v/>
      </c>
      <c r="M153" s="38">
        <f>IF($U153="","",IF($T153="","",IF(INDEX(거래처설정!$F$8:$F$407,$T153)="","",INDEX(거래처설정!$F$8:$F$407,$T153))))</f>
        <v/>
      </c>
      <c r="N153" s="38">
        <f>IF($U153="","",IF($T153="","",IF(INDEX(거래처설정!$G$8:$G$407,$T153)="","",INDEX(거래처설정!$G$8:$G$407,$T153))))</f>
        <v/>
      </c>
      <c r="O153" s="38">
        <f>IF($U153="","",IF($M153="제외",0,IF($K153&gt;=설정!$B$9,3,IF($J153+$K153&gt;=설정!$B$9,2,IF($I153+$J153+$K153&gt;=설정!$B$9,1,0)))))</f>
        <v/>
      </c>
      <c r="P153" s="38">
        <f>IF($U153="","",IF($M153="제외","제외(조치 상태)",IF($O153=3,"③ 강한 독촉 후보 ("&amp;설정!$B$8&amp;"일 초과)",IF($O153=2,"② 독촉 후보 ("&amp;설정!$B$7&amp;"일 초과)",IF($O153=1,"① 안내 후보 ("&amp;설정!$B$6&amp;"일 초과)",IF($G153&gt;0,IF($I153+$J153+$K153&gt;0,"오래된 잔액 있음 (최소 금액 미만)","정상 범위"),IF($G153&lt;0,"선수금·초과입금 — 확인","완납")))))))</f>
        <v/>
      </c>
      <c r="Q153" s="38">
        <f>IF($U153="","",IF($G153&lt;0,"입금이 매출보다 큼 — 선수금이거나 다른 거래처 입금이 섞였는지 확인",IF(AND($AE153&lt;&gt;"",COUNTIF($AE$8:$AE$307,"*"&amp;$AE153&amp;"*")&gt;1),"이름이 다른 거래처와 겹침 — 입금이 잘못 맞았을 수 있으니 별칭 확인",IF(AND($G153&gt;0,$F153=0),"입금 매칭 없음 — 입금자명이 다르면 [거래처설정]에 별칭 등록",""))))</f>
        <v/>
      </c>
      <c r="R153" s="31">
        <f>IF(OR($U153="",$G153&lt;=0),"",$G153-$A153/10000)</f>
        <v/>
      </c>
      <c r="S153" s="31">
        <f>IF(OR($U153="",$O153&lt;1),"",$O153*10^11+$I153+$J153+$K153-$A153/1000)</f>
        <v/>
      </c>
      <c r="T153" s="31">
        <f>IF($U153="","",IFERROR(MATCH(INDEX(매출원본!$AU$8:$AU$2007,$U153),거래처설정!$I$8:$I$407,0),""))</f>
        <v/>
      </c>
      <c r="U153" s="31">
        <f>IFERROR(MATCH(146,매출원본!$AW$8:$AW$2007,0),"")</f>
        <v/>
      </c>
      <c r="V153" s="31">
        <f>IF($U153="","",MAX(SUMIFS(매출원본!$AT$8:$AT$2007,매출원본!$AY$8:$AY$2007,$A153,매출원본!$AS$8:$AS$2007,"&gt;="&amp;(설정!$B$5-설정!$B$6),매출원본!$AS$8:$AS$2007,"&lt;="&amp;설정!$B$5),0))</f>
        <v/>
      </c>
      <c r="W153" s="31">
        <f>IF($U153="","",MAX($V153,SUMIFS(매출원본!$AT$8:$AT$2007,매출원본!$AY$8:$AY$2007,$A153,매출원본!$AS$8:$AS$2007,"&gt;="&amp;(설정!$B$5-설정!$B$7),매출원본!$AS$8:$AS$2007,"&lt;="&amp;설정!$B$5)))</f>
        <v/>
      </c>
      <c r="X153" s="31">
        <f>IF($U153="","",MAX($W153,SUMIFS(매출원본!$AT$8:$AT$2007,매출원본!$AY$8:$AY$2007,$A153,매출원본!$AS$8:$AS$2007,"&gt;="&amp;(설정!$B$5-설정!$B$8),매출원본!$AS$8:$AS$2007,"&lt;="&amp;설정!$B$5)))</f>
        <v/>
      </c>
      <c r="AC153" s="31">
        <f>IF(OR($U153="",$T153=""),"",INDEX(거래처설정!$J$8:$J$407,$T153))</f>
        <v/>
      </c>
      <c r="AD153" s="31">
        <f>IF(OR($U153="",$T153=""),"",INDEX(거래처설정!$K$8:$K$407,$T153))</f>
        <v/>
      </c>
      <c r="AE153" s="31">
        <f>IF($U153="","",IF(LEN(SUBSTITUTE(SUBSTITUTE(SUBSTITUTE(SUBSTITUTE(SUBSTITUTE(SUBSTITUTE(SUBSTITUTE(SUBSTITUTE(SUBSTITUTE($C153," ",""),"　",""),"(주)",""),"（주）",""),"㈜",""),"주식회사",""),"(유)",""),"（유）",""),"유한회사",""))&lt;2,"",SUBSTITUTE(SUBSTITUTE(SUBSTITUTE(SUBSTITUTE(SUBSTITUTE(SUBSTITUTE(SUBSTITUTE(SUBSTITUTE(SUBSTITUTE($C153," ",""),"　",""),"(주)",""),"（주）",""),"㈜",""),"주식회사",""),"(유)",""),"（유）",""),"유한회사","")))</f>
        <v/>
      </c>
    </row>
    <row r="154">
      <c r="A154" s="38">
        <f>IF($U154="","",147)</f>
        <v/>
      </c>
      <c r="B154" s="38">
        <f>IF($U154="","",IF(LEN(INDEX(매출원본!$AU$8:$AU$2007,$U154))=10,LEFT(INDEX(매출원본!$AU$8:$AU$2007,$U154),3)&amp;"-"&amp;MID(INDEX(매출원본!$AU$8:$AU$2007,$U154),4,2)&amp;"-"&amp;RIGHT(INDEX(매출원본!$AU$8:$AU$2007,$U154),5),IF(LEFT(INDEX(매출원본!$AU$8:$AU$2007,$U154),2)="N:","(번호 없음)",INDEX(매출원본!$AU$8:$AU$2007,$U154))))</f>
        <v/>
      </c>
      <c r="C154" s="38">
        <f>IF($U154="","",INDEX(매출원본!$AV$8:$AV$2007,$U154))</f>
        <v/>
      </c>
      <c r="D154" s="39">
        <f>IF($U154="","",IF($T154="",0,N(INDEX(거래처설정!$E$8:$E$407,$T154))))</f>
        <v/>
      </c>
      <c r="E154" s="39">
        <f>IF($U154="","",SUMIFS(매출원본!$AT$8:$AT$2007,매출원본!$AY$8:$AY$2007,$A154,매출원본!$AS$8:$AS$2007,"&lt;="&amp;설정!$B$5))</f>
        <v/>
      </c>
      <c r="F154" s="39">
        <f>IF($U154="","",SUMIFS(입금_은행1!$Z$8:$Z$2007,입금_은행1!$AC$8:$AC$2007,$A154,입금_은행1!$Y$8:$Y$2007,"&lt;="&amp;설정!$B$5)+SUMIFS(입금_은행2!$Z$8:$Z$2007,입금_은행2!$AC$8:$AC$2007,$A154,입금_은행2!$Y$8:$Y$2007,"&lt;="&amp;설정!$B$5))</f>
        <v/>
      </c>
      <c r="G154" s="39">
        <f>IF($U154="","",$D154+$E154-$F154)</f>
        <v/>
      </c>
      <c r="H154" s="39">
        <f>IF($U154="","",MIN(MAX($G154,0),$V154))</f>
        <v/>
      </c>
      <c r="I154" s="39">
        <f>IF($U154="","",MIN(MAX($G154,0),$W154)-MIN(MAX($G154,0),$V154))</f>
        <v/>
      </c>
      <c r="J154" s="39">
        <f>IF($U154="","",MIN(MAX($G154,0),$X154)-MIN(MAX($G154,0),$W154))</f>
        <v/>
      </c>
      <c r="K154" s="39">
        <f>IF($U154="","",MAX($G154,0)-MIN(MAX($G154,0),$X154))</f>
        <v/>
      </c>
      <c r="L154" s="40">
        <f>IF($U154="","",IF(MAX(SUMPRODUCT(MAX((입금_은행1!$AC$8:$AC$2007=$A154)*(입금_은행1!$AE$8:$AE$2007&lt;=설정!$B$5)*입금_은행1!$AE$8:$AE$2007)),SUMPRODUCT(MAX((입금_은행2!$AC$8:$AC$2007=$A154)*(입금_은행2!$AE$8:$AE$2007&lt;=설정!$B$5)*입금_은행2!$AE$8:$AE$2007)))=0,"",MAX(SUMPRODUCT(MAX((입금_은행1!$AC$8:$AC$2007=$A154)*(입금_은행1!$AE$8:$AE$2007&lt;=설정!$B$5)*입금_은행1!$AE$8:$AE$2007)),SUMPRODUCT(MAX((입금_은행2!$AC$8:$AC$2007=$A154)*(입금_은행2!$AE$8:$AE$2007&lt;=설정!$B$5)*입금_은행2!$AE$8:$AE$2007)))))</f>
        <v/>
      </c>
      <c r="M154" s="38">
        <f>IF($U154="","",IF($T154="","",IF(INDEX(거래처설정!$F$8:$F$407,$T154)="","",INDEX(거래처설정!$F$8:$F$407,$T154))))</f>
        <v/>
      </c>
      <c r="N154" s="38">
        <f>IF($U154="","",IF($T154="","",IF(INDEX(거래처설정!$G$8:$G$407,$T154)="","",INDEX(거래처설정!$G$8:$G$407,$T154))))</f>
        <v/>
      </c>
      <c r="O154" s="38">
        <f>IF($U154="","",IF($M154="제외",0,IF($K154&gt;=설정!$B$9,3,IF($J154+$K154&gt;=설정!$B$9,2,IF($I154+$J154+$K154&gt;=설정!$B$9,1,0)))))</f>
        <v/>
      </c>
      <c r="P154" s="38">
        <f>IF($U154="","",IF($M154="제외","제외(조치 상태)",IF($O154=3,"③ 강한 독촉 후보 ("&amp;설정!$B$8&amp;"일 초과)",IF($O154=2,"② 독촉 후보 ("&amp;설정!$B$7&amp;"일 초과)",IF($O154=1,"① 안내 후보 ("&amp;설정!$B$6&amp;"일 초과)",IF($G154&gt;0,IF($I154+$J154+$K154&gt;0,"오래된 잔액 있음 (최소 금액 미만)","정상 범위"),IF($G154&lt;0,"선수금·초과입금 — 확인","완납")))))))</f>
        <v/>
      </c>
      <c r="Q154" s="38">
        <f>IF($U154="","",IF($G154&lt;0,"입금이 매출보다 큼 — 선수금이거나 다른 거래처 입금이 섞였는지 확인",IF(AND($AE154&lt;&gt;"",COUNTIF($AE$8:$AE$307,"*"&amp;$AE154&amp;"*")&gt;1),"이름이 다른 거래처와 겹침 — 입금이 잘못 맞았을 수 있으니 별칭 확인",IF(AND($G154&gt;0,$F154=0),"입금 매칭 없음 — 입금자명이 다르면 [거래처설정]에 별칭 등록",""))))</f>
        <v/>
      </c>
      <c r="R154" s="31">
        <f>IF(OR($U154="",$G154&lt;=0),"",$G154-$A154/10000)</f>
        <v/>
      </c>
      <c r="S154" s="31">
        <f>IF(OR($U154="",$O154&lt;1),"",$O154*10^11+$I154+$J154+$K154-$A154/1000)</f>
        <v/>
      </c>
      <c r="T154" s="31">
        <f>IF($U154="","",IFERROR(MATCH(INDEX(매출원본!$AU$8:$AU$2007,$U154),거래처설정!$I$8:$I$407,0),""))</f>
        <v/>
      </c>
      <c r="U154" s="31">
        <f>IFERROR(MATCH(147,매출원본!$AW$8:$AW$2007,0),"")</f>
        <v/>
      </c>
      <c r="V154" s="31">
        <f>IF($U154="","",MAX(SUMIFS(매출원본!$AT$8:$AT$2007,매출원본!$AY$8:$AY$2007,$A154,매출원본!$AS$8:$AS$2007,"&gt;="&amp;(설정!$B$5-설정!$B$6),매출원본!$AS$8:$AS$2007,"&lt;="&amp;설정!$B$5),0))</f>
        <v/>
      </c>
      <c r="W154" s="31">
        <f>IF($U154="","",MAX($V154,SUMIFS(매출원본!$AT$8:$AT$2007,매출원본!$AY$8:$AY$2007,$A154,매출원본!$AS$8:$AS$2007,"&gt;="&amp;(설정!$B$5-설정!$B$7),매출원본!$AS$8:$AS$2007,"&lt;="&amp;설정!$B$5)))</f>
        <v/>
      </c>
      <c r="X154" s="31">
        <f>IF($U154="","",MAX($W154,SUMIFS(매출원본!$AT$8:$AT$2007,매출원본!$AY$8:$AY$2007,$A154,매출원본!$AS$8:$AS$2007,"&gt;="&amp;(설정!$B$5-설정!$B$8),매출원본!$AS$8:$AS$2007,"&lt;="&amp;설정!$B$5)))</f>
        <v/>
      </c>
      <c r="AC154" s="31">
        <f>IF(OR($U154="",$T154=""),"",INDEX(거래처설정!$J$8:$J$407,$T154))</f>
        <v/>
      </c>
      <c r="AD154" s="31">
        <f>IF(OR($U154="",$T154=""),"",INDEX(거래처설정!$K$8:$K$407,$T154))</f>
        <v/>
      </c>
      <c r="AE154" s="31">
        <f>IF($U154="","",IF(LEN(SUBSTITUTE(SUBSTITUTE(SUBSTITUTE(SUBSTITUTE(SUBSTITUTE(SUBSTITUTE(SUBSTITUTE(SUBSTITUTE(SUBSTITUTE($C154," ",""),"　",""),"(주)",""),"（주）",""),"㈜",""),"주식회사",""),"(유)",""),"（유）",""),"유한회사",""))&lt;2,"",SUBSTITUTE(SUBSTITUTE(SUBSTITUTE(SUBSTITUTE(SUBSTITUTE(SUBSTITUTE(SUBSTITUTE(SUBSTITUTE(SUBSTITUTE($C154," ",""),"　",""),"(주)",""),"（주）",""),"㈜",""),"주식회사",""),"(유)",""),"（유）",""),"유한회사","")))</f>
        <v/>
      </c>
    </row>
    <row r="155">
      <c r="A155" s="38">
        <f>IF($U155="","",148)</f>
        <v/>
      </c>
      <c r="B155" s="38">
        <f>IF($U155="","",IF(LEN(INDEX(매출원본!$AU$8:$AU$2007,$U155))=10,LEFT(INDEX(매출원본!$AU$8:$AU$2007,$U155),3)&amp;"-"&amp;MID(INDEX(매출원본!$AU$8:$AU$2007,$U155),4,2)&amp;"-"&amp;RIGHT(INDEX(매출원본!$AU$8:$AU$2007,$U155),5),IF(LEFT(INDEX(매출원본!$AU$8:$AU$2007,$U155),2)="N:","(번호 없음)",INDEX(매출원본!$AU$8:$AU$2007,$U155))))</f>
        <v/>
      </c>
      <c r="C155" s="38">
        <f>IF($U155="","",INDEX(매출원본!$AV$8:$AV$2007,$U155))</f>
        <v/>
      </c>
      <c r="D155" s="39">
        <f>IF($U155="","",IF($T155="",0,N(INDEX(거래처설정!$E$8:$E$407,$T155))))</f>
        <v/>
      </c>
      <c r="E155" s="39">
        <f>IF($U155="","",SUMIFS(매출원본!$AT$8:$AT$2007,매출원본!$AY$8:$AY$2007,$A155,매출원본!$AS$8:$AS$2007,"&lt;="&amp;설정!$B$5))</f>
        <v/>
      </c>
      <c r="F155" s="39">
        <f>IF($U155="","",SUMIFS(입금_은행1!$Z$8:$Z$2007,입금_은행1!$AC$8:$AC$2007,$A155,입금_은행1!$Y$8:$Y$2007,"&lt;="&amp;설정!$B$5)+SUMIFS(입금_은행2!$Z$8:$Z$2007,입금_은행2!$AC$8:$AC$2007,$A155,입금_은행2!$Y$8:$Y$2007,"&lt;="&amp;설정!$B$5))</f>
        <v/>
      </c>
      <c r="G155" s="39">
        <f>IF($U155="","",$D155+$E155-$F155)</f>
        <v/>
      </c>
      <c r="H155" s="39">
        <f>IF($U155="","",MIN(MAX($G155,0),$V155))</f>
        <v/>
      </c>
      <c r="I155" s="39">
        <f>IF($U155="","",MIN(MAX($G155,0),$W155)-MIN(MAX($G155,0),$V155))</f>
        <v/>
      </c>
      <c r="J155" s="39">
        <f>IF($U155="","",MIN(MAX($G155,0),$X155)-MIN(MAX($G155,0),$W155))</f>
        <v/>
      </c>
      <c r="K155" s="39">
        <f>IF($U155="","",MAX($G155,0)-MIN(MAX($G155,0),$X155))</f>
        <v/>
      </c>
      <c r="L155" s="40">
        <f>IF($U155="","",IF(MAX(SUMPRODUCT(MAX((입금_은행1!$AC$8:$AC$2007=$A155)*(입금_은행1!$AE$8:$AE$2007&lt;=설정!$B$5)*입금_은행1!$AE$8:$AE$2007)),SUMPRODUCT(MAX((입금_은행2!$AC$8:$AC$2007=$A155)*(입금_은행2!$AE$8:$AE$2007&lt;=설정!$B$5)*입금_은행2!$AE$8:$AE$2007)))=0,"",MAX(SUMPRODUCT(MAX((입금_은행1!$AC$8:$AC$2007=$A155)*(입금_은행1!$AE$8:$AE$2007&lt;=설정!$B$5)*입금_은행1!$AE$8:$AE$2007)),SUMPRODUCT(MAX((입금_은행2!$AC$8:$AC$2007=$A155)*(입금_은행2!$AE$8:$AE$2007&lt;=설정!$B$5)*입금_은행2!$AE$8:$AE$2007)))))</f>
        <v/>
      </c>
      <c r="M155" s="38">
        <f>IF($U155="","",IF($T155="","",IF(INDEX(거래처설정!$F$8:$F$407,$T155)="","",INDEX(거래처설정!$F$8:$F$407,$T155))))</f>
        <v/>
      </c>
      <c r="N155" s="38">
        <f>IF($U155="","",IF($T155="","",IF(INDEX(거래처설정!$G$8:$G$407,$T155)="","",INDEX(거래처설정!$G$8:$G$407,$T155))))</f>
        <v/>
      </c>
      <c r="O155" s="38">
        <f>IF($U155="","",IF($M155="제외",0,IF($K155&gt;=설정!$B$9,3,IF($J155+$K155&gt;=설정!$B$9,2,IF($I155+$J155+$K155&gt;=설정!$B$9,1,0)))))</f>
        <v/>
      </c>
      <c r="P155" s="38">
        <f>IF($U155="","",IF($M155="제외","제외(조치 상태)",IF($O155=3,"③ 강한 독촉 후보 ("&amp;설정!$B$8&amp;"일 초과)",IF($O155=2,"② 독촉 후보 ("&amp;설정!$B$7&amp;"일 초과)",IF($O155=1,"① 안내 후보 ("&amp;설정!$B$6&amp;"일 초과)",IF($G155&gt;0,IF($I155+$J155+$K155&gt;0,"오래된 잔액 있음 (최소 금액 미만)","정상 범위"),IF($G155&lt;0,"선수금·초과입금 — 확인","완납")))))))</f>
        <v/>
      </c>
      <c r="Q155" s="38">
        <f>IF($U155="","",IF($G155&lt;0,"입금이 매출보다 큼 — 선수금이거나 다른 거래처 입금이 섞였는지 확인",IF(AND($AE155&lt;&gt;"",COUNTIF($AE$8:$AE$307,"*"&amp;$AE155&amp;"*")&gt;1),"이름이 다른 거래처와 겹침 — 입금이 잘못 맞았을 수 있으니 별칭 확인",IF(AND($G155&gt;0,$F155=0),"입금 매칭 없음 — 입금자명이 다르면 [거래처설정]에 별칭 등록",""))))</f>
        <v/>
      </c>
      <c r="R155" s="31">
        <f>IF(OR($U155="",$G155&lt;=0),"",$G155-$A155/10000)</f>
        <v/>
      </c>
      <c r="S155" s="31">
        <f>IF(OR($U155="",$O155&lt;1),"",$O155*10^11+$I155+$J155+$K155-$A155/1000)</f>
        <v/>
      </c>
      <c r="T155" s="31">
        <f>IF($U155="","",IFERROR(MATCH(INDEX(매출원본!$AU$8:$AU$2007,$U155),거래처설정!$I$8:$I$407,0),""))</f>
        <v/>
      </c>
      <c r="U155" s="31">
        <f>IFERROR(MATCH(148,매출원본!$AW$8:$AW$2007,0),"")</f>
        <v/>
      </c>
      <c r="V155" s="31">
        <f>IF($U155="","",MAX(SUMIFS(매출원본!$AT$8:$AT$2007,매출원본!$AY$8:$AY$2007,$A155,매출원본!$AS$8:$AS$2007,"&gt;="&amp;(설정!$B$5-설정!$B$6),매출원본!$AS$8:$AS$2007,"&lt;="&amp;설정!$B$5),0))</f>
        <v/>
      </c>
      <c r="W155" s="31">
        <f>IF($U155="","",MAX($V155,SUMIFS(매출원본!$AT$8:$AT$2007,매출원본!$AY$8:$AY$2007,$A155,매출원본!$AS$8:$AS$2007,"&gt;="&amp;(설정!$B$5-설정!$B$7),매출원본!$AS$8:$AS$2007,"&lt;="&amp;설정!$B$5)))</f>
        <v/>
      </c>
      <c r="X155" s="31">
        <f>IF($U155="","",MAX($W155,SUMIFS(매출원본!$AT$8:$AT$2007,매출원본!$AY$8:$AY$2007,$A155,매출원본!$AS$8:$AS$2007,"&gt;="&amp;(설정!$B$5-설정!$B$8),매출원본!$AS$8:$AS$2007,"&lt;="&amp;설정!$B$5)))</f>
        <v/>
      </c>
      <c r="AC155" s="31">
        <f>IF(OR($U155="",$T155=""),"",INDEX(거래처설정!$J$8:$J$407,$T155))</f>
        <v/>
      </c>
      <c r="AD155" s="31">
        <f>IF(OR($U155="",$T155=""),"",INDEX(거래처설정!$K$8:$K$407,$T155))</f>
        <v/>
      </c>
      <c r="AE155" s="31">
        <f>IF($U155="","",IF(LEN(SUBSTITUTE(SUBSTITUTE(SUBSTITUTE(SUBSTITUTE(SUBSTITUTE(SUBSTITUTE(SUBSTITUTE(SUBSTITUTE(SUBSTITUTE($C155," ",""),"　",""),"(주)",""),"（주）",""),"㈜",""),"주식회사",""),"(유)",""),"（유）",""),"유한회사",""))&lt;2,"",SUBSTITUTE(SUBSTITUTE(SUBSTITUTE(SUBSTITUTE(SUBSTITUTE(SUBSTITUTE(SUBSTITUTE(SUBSTITUTE(SUBSTITUTE($C155," ",""),"　",""),"(주)",""),"（주）",""),"㈜",""),"주식회사",""),"(유)",""),"（유）",""),"유한회사","")))</f>
        <v/>
      </c>
    </row>
    <row r="156">
      <c r="A156" s="38">
        <f>IF($U156="","",149)</f>
        <v/>
      </c>
      <c r="B156" s="38">
        <f>IF($U156="","",IF(LEN(INDEX(매출원본!$AU$8:$AU$2007,$U156))=10,LEFT(INDEX(매출원본!$AU$8:$AU$2007,$U156),3)&amp;"-"&amp;MID(INDEX(매출원본!$AU$8:$AU$2007,$U156),4,2)&amp;"-"&amp;RIGHT(INDEX(매출원본!$AU$8:$AU$2007,$U156),5),IF(LEFT(INDEX(매출원본!$AU$8:$AU$2007,$U156),2)="N:","(번호 없음)",INDEX(매출원본!$AU$8:$AU$2007,$U156))))</f>
        <v/>
      </c>
      <c r="C156" s="38">
        <f>IF($U156="","",INDEX(매출원본!$AV$8:$AV$2007,$U156))</f>
        <v/>
      </c>
      <c r="D156" s="39">
        <f>IF($U156="","",IF($T156="",0,N(INDEX(거래처설정!$E$8:$E$407,$T156))))</f>
        <v/>
      </c>
      <c r="E156" s="39">
        <f>IF($U156="","",SUMIFS(매출원본!$AT$8:$AT$2007,매출원본!$AY$8:$AY$2007,$A156,매출원본!$AS$8:$AS$2007,"&lt;="&amp;설정!$B$5))</f>
        <v/>
      </c>
      <c r="F156" s="39">
        <f>IF($U156="","",SUMIFS(입금_은행1!$Z$8:$Z$2007,입금_은행1!$AC$8:$AC$2007,$A156,입금_은행1!$Y$8:$Y$2007,"&lt;="&amp;설정!$B$5)+SUMIFS(입금_은행2!$Z$8:$Z$2007,입금_은행2!$AC$8:$AC$2007,$A156,입금_은행2!$Y$8:$Y$2007,"&lt;="&amp;설정!$B$5))</f>
        <v/>
      </c>
      <c r="G156" s="39">
        <f>IF($U156="","",$D156+$E156-$F156)</f>
        <v/>
      </c>
      <c r="H156" s="39">
        <f>IF($U156="","",MIN(MAX($G156,0),$V156))</f>
        <v/>
      </c>
      <c r="I156" s="39">
        <f>IF($U156="","",MIN(MAX($G156,0),$W156)-MIN(MAX($G156,0),$V156))</f>
        <v/>
      </c>
      <c r="J156" s="39">
        <f>IF($U156="","",MIN(MAX($G156,0),$X156)-MIN(MAX($G156,0),$W156))</f>
        <v/>
      </c>
      <c r="K156" s="39">
        <f>IF($U156="","",MAX($G156,0)-MIN(MAX($G156,0),$X156))</f>
        <v/>
      </c>
      <c r="L156" s="40">
        <f>IF($U156="","",IF(MAX(SUMPRODUCT(MAX((입금_은행1!$AC$8:$AC$2007=$A156)*(입금_은행1!$AE$8:$AE$2007&lt;=설정!$B$5)*입금_은행1!$AE$8:$AE$2007)),SUMPRODUCT(MAX((입금_은행2!$AC$8:$AC$2007=$A156)*(입금_은행2!$AE$8:$AE$2007&lt;=설정!$B$5)*입금_은행2!$AE$8:$AE$2007)))=0,"",MAX(SUMPRODUCT(MAX((입금_은행1!$AC$8:$AC$2007=$A156)*(입금_은행1!$AE$8:$AE$2007&lt;=설정!$B$5)*입금_은행1!$AE$8:$AE$2007)),SUMPRODUCT(MAX((입금_은행2!$AC$8:$AC$2007=$A156)*(입금_은행2!$AE$8:$AE$2007&lt;=설정!$B$5)*입금_은행2!$AE$8:$AE$2007)))))</f>
        <v/>
      </c>
      <c r="M156" s="38">
        <f>IF($U156="","",IF($T156="","",IF(INDEX(거래처설정!$F$8:$F$407,$T156)="","",INDEX(거래처설정!$F$8:$F$407,$T156))))</f>
        <v/>
      </c>
      <c r="N156" s="38">
        <f>IF($U156="","",IF($T156="","",IF(INDEX(거래처설정!$G$8:$G$407,$T156)="","",INDEX(거래처설정!$G$8:$G$407,$T156))))</f>
        <v/>
      </c>
      <c r="O156" s="38">
        <f>IF($U156="","",IF($M156="제외",0,IF($K156&gt;=설정!$B$9,3,IF($J156+$K156&gt;=설정!$B$9,2,IF($I156+$J156+$K156&gt;=설정!$B$9,1,0)))))</f>
        <v/>
      </c>
      <c r="P156" s="38">
        <f>IF($U156="","",IF($M156="제외","제외(조치 상태)",IF($O156=3,"③ 강한 독촉 후보 ("&amp;설정!$B$8&amp;"일 초과)",IF($O156=2,"② 독촉 후보 ("&amp;설정!$B$7&amp;"일 초과)",IF($O156=1,"① 안내 후보 ("&amp;설정!$B$6&amp;"일 초과)",IF($G156&gt;0,IF($I156+$J156+$K156&gt;0,"오래된 잔액 있음 (최소 금액 미만)","정상 범위"),IF($G156&lt;0,"선수금·초과입금 — 확인","완납")))))))</f>
        <v/>
      </c>
      <c r="Q156" s="38">
        <f>IF($U156="","",IF($G156&lt;0,"입금이 매출보다 큼 — 선수금이거나 다른 거래처 입금이 섞였는지 확인",IF(AND($AE156&lt;&gt;"",COUNTIF($AE$8:$AE$307,"*"&amp;$AE156&amp;"*")&gt;1),"이름이 다른 거래처와 겹침 — 입금이 잘못 맞았을 수 있으니 별칭 확인",IF(AND($G156&gt;0,$F156=0),"입금 매칭 없음 — 입금자명이 다르면 [거래처설정]에 별칭 등록",""))))</f>
        <v/>
      </c>
      <c r="R156" s="31">
        <f>IF(OR($U156="",$G156&lt;=0),"",$G156-$A156/10000)</f>
        <v/>
      </c>
      <c r="S156" s="31">
        <f>IF(OR($U156="",$O156&lt;1),"",$O156*10^11+$I156+$J156+$K156-$A156/1000)</f>
        <v/>
      </c>
      <c r="T156" s="31">
        <f>IF($U156="","",IFERROR(MATCH(INDEX(매출원본!$AU$8:$AU$2007,$U156),거래처설정!$I$8:$I$407,0),""))</f>
        <v/>
      </c>
      <c r="U156" s="31">
        <f>IFERROR(MATCH(149,매출원본!$AW$8:$AW$2007,0),"")</f>
        <v/>
      </c>
      <c r="V156" s="31">
        <f>IF($U156="","",MAX(SUMIFS(매출원본!$AT$8:$AT$2007,매출원본!$AY$8:$AY$2007,$A156,매출원본!$AS$8:$AS$2007,"&gt;="&amp;(설정!$B$5-설정!$B$6),매출원본!$AS$8:$AS$2007,"&lt;="&amp;설정!$B$5),0))</f>
        <v/>
      </c>
      <c r="W156" s="31">
        <f>IF($U156="","",MAX($V156,SUMIFS(매출원본!$AT$8:$AT$2007,매출원본!$AY$8:$AY$2007,$A156,매출원본!$AS$8:$AS$2007,"&gt;="&amp;(설정!$B$5-설정!$B$7),매출원본!$AS$8:$AS$2007,"&lt;="&amp;설정!$B$5)))</f>
        <v/>
      </c>
      <c r="X156" s="31">
        <f>IF($U156="","",MAX($W156,SUMIFS(매출원본!$AT$8:$AT$2007,매출원본!$AY$8:$AY$2007,$A156,매출원본!$AS$8:$AS$2007,"&gt;="&amp;(설정!$B$5-설정!$B$8),매출원본!$AS$8:$AS$2007,"&lt;="&amp;설정!$B$5)))</f>
        <v/>
      </c>
      <c r="AC156" s="31">
        <f>IF(OR($U156="",$T156=""),"",INDEX(거래처설정!$J$8:$J$407,$T156))</f>
        <v/>
      </c>
      <c r="AD156" s="31">
        <f>IF(OR($U156="",$T156=""),"",INDEX(거래처설정!$K$8:$K$407,$T156))</f>
        <v/>
      </c>
      <c r="AE156" s="31">
        <f>IF($U156="","",IF(LEN(SUBSTITUTE(SUBSTITUTE(SUBSTITUTE(SUBSTITUTE(SUBSTITUTE(SUBSTITUTE(SUBSTITUTE(SUBSTITUTE(SUBSTITUTE($C156," ",""),"　",""),"(주)",""),"（주）",""),"㈜",""),"주식회사",""),"(유)",""),"（유）",""),"유한회사",""))&lt;2,"",SUBSTITUTE(SUBSTITUTE(SUBSTITUTE(SUBSTITUTE(SUBSTITUTE(SUBSTITUTE(SUBSTITUTE(SUBSTITUTE(SUBSTITUTE($C156," ",""),"　",""),"(주)",""),"（주）",""),"㈜",""),"주식회사",""),"(유)",""),"（유）",""),"유한회사","")))</f>
        <v/>
      </c>
    </row>
    <row r="157">
      <c r="A157" s="38">
        <f>IF($U157="","",150)</f>
        <v/>
      </c>
      <c r="B157" s="38">
        <f>IF($U157="","",IF(LEN(INDEX(매출원본!$AU$8:$AU$2007,$U157))=10,LEFT(INDEX(매출원본!$AU$8:$AU$2007,$U157),3)&amp;"-"&amp;MID(INDEX(매출원본!$AU$8:$AU$2007,$U157),4,2)&amp;"-"&amp;RIGHT(INDEX(매출원본!$AU$8:$AU$2007,$U157),5),IF(LEFT(INDEX(매출원본!$AU$8:$AU$2007,$U157),2)="N:","(번호 없음)",INDEX(매출원본!$AU$8:$AU$2007,$U157))))</f>
        <v/>
      </c>
      <c r="C157" s="38">
        <f>IF($U157="","",INDEX(매출원본!$AV$8:$AV$2007,$U157))</f>
        <v/>
      </c>
      <c r="D157" s="39">
        <f>IF($U157="","",IF($T157="",0,N(INDEX(거래처설정!$E$8:$E$407,$T157))))</f>
        <v/>
      </c>
      <c r="E157" s="39">
        <f>IF($U157="","",SUMIFS(매출원본!$AT$8:$AT$2007,매출원본!$AY$8:$AY$2007,$A157,매출원본!$AS$8:$AS$2007,"&lt;="&amp;설정!$B$5))</f>
        <v/>
      </c>
      <c r="F157" s="39">
        <f>IF($U157="","",SUMIFS(입금_은행1!$Z$8:$Z$2007,입금_은행1!$AC$8:$AC$2007,$A157,입금_은행1!$Y$8:$Y$2007,"&lt;="&amp;설정!$B$5)+SUMIFS(입금_은행2!$Z$8:$Z$2007,입금_은행2!$AC$8:$AC$2007,$A157,입금_은행2!$Y$8:$Y$2007,"&lt;="&amp;설정!$B$5))</f>
        <v/>
      </c>
      <c r="G157" s="39">
        <f>IF($U157="","",$D157+$E157-$F157)</f>
        <v/>
      </c>
      <c r="H157" s="39">
        <f>IF($U157="","",MIN(MAX($G157,0),$V157))</f>
        <v/>
      </c>
      <c r="I157" s="39">
        <f>IF($U157="","",MIN(MAX($G157,0),$W157)-MIN(MAX($G157,0),$V157))</f>
        <v/>
      </c>
      <c r="J157" s="39">
        <f>IF($U157="","",MIN(MAX($G157,0),$X157)-MIN(MAX($G157,0),$W157))</f>
        <v/>
      </c>
      <c r="K157" s="39">
        <f>IF($U157="","",MAX($G157,0)-MIN(MAX($G157,0),$X157))</f>
        <v/>
      </c>
      <c r="L157" s="40">
        <f>IF($U157="","",IF(MAX(SUMPRODUCT(MAX((입금_은행1!$AC$8:$AC$2007=$A157)*(입금_은행1!$AE$8:$AE$2007&lt;=설정!$B$5)*입금_은행1!$AE$8:$AE$2007)),SUMPRODUCT(MAX((입금_은행2!$AC$8:$AC$2007=$A157)*(입금_은행2!$AE$8:$AE$2007&lt;=설정!$B$5)*입금_은행2!$AE$8:$AE$2007)))=0,"",MAX(SUMPRODUCT(MAX((입금_은행1!$AC$8:$AC$2007=$A157)*(입금_은행1!$AE$8:$AE$2007&lt;=설정!$B$5)*입금_은행1!$AE$8:$AE$2007)),SUMPRODUCT(MAX((입금_은행2!$AC$8:$AC$2007=$A157)*(입금_은행2!$AE$8:$AE$2007&lt;=설정!$B$5)*입금_은행2!$AE$8:$AE$2007)))))</f>
        <v/>
      </c>
      <c r="M157" s="38">
        <f>IF($U157="","",IF($T157="","",IF(INDEX(거래처설정!$F$8:$F$407,$T157)="","",INDEX(거래처설정!$F$8:$F$407,$T157))))</f>
        <v/>
      </c>
      <c r="N157" s="38">
        <f>IF($U157="","",IF($T157="","",IF(INDEX(거래처설정!$G$8:$G$407,$T157)="","",INDEX(거래처설정!$G$8:$G$407,$T157))))</f>
        <v/>
      </c>
      <c r="O157" s="38">
        <f>IF($U157="","",IF($M157="제외",0,IF($K157&gt;=설정!$B$9,3,IF($J157+$K157&gt;=설정!$B$9,2,IF($I157+$J157+$K157&gt;=설정!$B$9,1,0)))))</f>
        <v/>
      </c>
      <c r="P157" s="38">
        <f>IF($U157="","",IF($M157="제외","제외(조치 상태)",IF($O157=3,"③ 강한 독촉 후보 ("&amp;설정!$B$8&amp;"일 초과)",IF($O157=2,"② 독촉 후보 ("&amp;설정!$B$7&amp;"일 초과)",IF($O157=1,"① 안내 후보 ("&amp;설정!$B$6&amp;"일 초과)",IF($G157&gt;0,IF($I157+$J157+$K157&gt;0,"오래된 잔액 있음 (최소 금액 미만)","정상 범위"),IF($G157&lt;0,"선수금·초과입금 — 확인","완납")))))))</f>
        <v/>
      </c>
      <c r="Q157" s="38">
        <f>IF($U157="","",IF($G157&lt;0,"입금이 매출보다 큼 — 선수금이거나 다른 거래처 입금이 섞였는지 확인",IF(AND($AE157&lt;&gt;"",COUNTIF($AE$8:$AE$307,"*"&amp;$AE157&amp;"*")&gt;1),"이름이 다른 거래처와 겹침 — 입금이 잘못 맞았을 수 있으니 별칭 확인",IF(AND($G157&gt;0,$F157=0),"입금 매칭 없음 — 입금자명이 다르면 [거래처설정]에 별칭 등록",""))))</f>
        <v/>
      </c>
      <c r="R157" s="31">
        <f>IF(OR($U157="",$G157&lt;=0),"",$G157-$A157/10000)</f>
        <v/>
      </c>
      <c r="S157" s="31">
        <f>IF(OR($U157="",$O157&lt;1),"",$O157*10^11+$I157+$J157+$K157-$A157/1000)</f>
        <v/>
      </c>
      <c r="T157" s="31">
        <f>IF($U157="","",IFERROR(MATCH(INDEX(매출원본!$AU$8:$AU$2007,$U157),거래처설정!$I$8:$I$407,0),""))</f>
        <v/>
      </c>
      <c r="U157" s="31">
        <f>IFERROR(MATCH(150,매출원본!$AW$8:$AW$2007,0),"")</f>
        <v/>
      </c>
      <c r="V157" s="31">
        <f>IF($U157="","",MAX(SUMIFS(매출원본!$AT$8:$AT$2007,매출원본!$AY$8:$AY$2007,$A157,매출원본!$AS$8:$AS$2007,"&gt;="&amp;(설정!$B$5-설정!$B$6),매출원본!$AS$8:$AS$2007,"&lt;="&amp;설정!$B$5),0))</f>
        <v/>
      </c>
      <c r="W157" s="31">
        <f>IF($U157="","",MAX($V157,SUMIFS(매출원본!$AT$8:$AT$2007,매출원본!$AY$8:$AY$2007,$A157,매출원본!$AS$8:$AS$2007,"&gt;="&amp;(설정!$B$5-설정!$B$7),매출원본!$AS$8:$AS$2007,"&lt;="&amp;설정!$B$5)))</f>
        <v/>
      </c>
      <c r="X157" s="31">
        <f>IF($U157="","",MAX($W157,SUMIFS(매출원본!$AT$8:$AT$2007,매출원본!$AY$8:$AY$2007,$A157,매출원본!$AS$8:$AS$2007,"&gt;="&amp;(설정!$B$5-설정!$B$8),매출원본!$AS$8:$AS$2007,"&lt;="&amp;설정!$B$5)))</f>
        <v/>
      </c>
      <c r="AC157" s="31">
        <f>IF(OR($U157="",$T157=""),"",INDEX(거래처설정!$J$8:$J$407,$T157))</f>
        <v/>
      </c>
      <c r="AD157" s="31">
        <f>IF(OR($U157="",$T157=""),"",INDEX(거래처설정!$K$8:$K$407,$T157))</f>
        <v/>
      </c>
      <c r="AE157" s="31">
        <f>IF($U157="","",IF(LEN(SUBSTITUTE(SUBSTITUTE(SUBSTITUTE(SUBSTITUTE(SUBSTITUTE(SUBSTITUTE(SUBSTITUTE(SUBSTITUTE(SUBSTITUTE($C157," ",""),"　",""),"(주)",""),"（주）",""),"㈜",""),"주식회사",""),"(유)",""),"（유）",""),"유한회사",""))&lt;2,"",SUBSTITUTE(SUBSTITUTE(SUBSTITUTE(SUBSTITUTE(SUBSTITUTE(SUBSTITUTE(SUBSTITUTE(SUBSTITUTE(SUBSTITUTE($C157," ",""),"　",""),"(주)",""),"（주）",""),"㈜",""),"주식회사",""),"(유)",""),"（유）",""),"유한회사","")))</f>
        <v/>
      </c>
    </row>
    <row r="158">
      <c r="A158" s="38">
        <f>IF($U158="","",151)</f>
        <v/>
      </c>
      <c r="B158" s="38">
        <f>IF($U158="","",IF(LEN(INDEX(매출원본!$AU$8:$AU$2007,$U158))=10,LEFT(INDEX(매출원본!$AU$8:$AU$2007,$U158),3)&amp;"-"&amp;MID(INDEX(매출원본!$AU$8:$AU$2007,$U158),4,2)&amp;"-"&amp;RIGHT(INDEX(매출원본!$AU$8:$AU$2007,$U158),5),IF(LEFT(INDEX(매출원본!$AU$8:$AU$2007,$U158),2)="N:","(번호 없음)",INDEX(매출원본!$AU$8:$AU$2007,$U158))))</f>
        <v/>
      </c>
      <c r="C158" s="38">
        <f>IF($U158="","",INDEX(매출원본!$AV$8:$AV$2007,$U158))</f>
        <v/>
      </c>
      <c r="D158" s="39">
        <f>IF($U158="","",IF($T158="",0,N(INDEX(거래처설정!$E$8:$E$407,$T158))))</f>
        <v/>
      </c>
      <c r="E158" s="39">
        <f>IF($U158="","",SUMIFS(매출원본!$AT$8:$AT$2007,매출원본!$AY$8:$AY$2007,$A158,매출원본!$AS$8:$AS$2007,"&lt;="&amp;설정!$B$5))</f>
        <v/>
      </c>
      <c r="F158" s="39">
        <f>IF($U158="","",SUMIFS(입금_은행1!$Z$8:$Z$2007,입금_은행1!$AC$8:$AC$2007,$A158,입금_은행1!$Y$8:$Y$2007,"&lt;="&amp;설정!$B$5)+SUMIFS(입금_은행2!$Z$8:$Z$2007,입금_은행2!$AC$8:$AC$2007,$A158,입금_은행2!$Y$8:$Y$2007,"&lt;="&amp;설정!$B$5))</f>
        <v/>
      </c>
      <c r="G158" s="39">
        <f>IF($U158="","",$D158+$E158-$F158)</f>
        <v/>
      </c>
      <c r="H158" s="39">
        <f>IF($U158="","",MIN(MAX($G158,0),$V158))</f>
        <v/>
      </c>
      <c r="I158" s="39">
        <f>IF($U158="","",MIN(MAX($G158,0),$W158)-MIN(MAX($G158,0),$V158))</f>
        <v/>
      </c>
      <c r="J158" s="39">
        <f>IF($U158="","",MIN(MAX($G158,0),$X158)-MIN(MAX($G158,0),$W158))</f>
        <v/>
      </c>
      <c r="K158" s="39">
        <f>IF($U158="","",MAX($G158,0)-MIN(MAX($G158,0),$X158))</f>
        <v/>
      </c>
      <c r="L158" s="40">
        <f>IF($U158="","",IF(MAX(SUMPRODUCT(MAX((입금_은행1!$AC$8:$AC$2007=$A158)*(입금_은행1!$AE$8:$AE$2007&lt;=설정!$B$5)*입금_은행1!$AE$8:$AE$2007)),SUMPRODUCT(MAX((입금_은행2!$AC$8:$AC$2007=$A158)*(입금_은행2!$AE$8:$AE$2007&lt;=설정!$B$5)*입금_은행2!$AE$8:$AE$2007)))=0,"",MAX(SUMPRODUCT(MAX((입금_은행1!$AC$8:$AC$2007=$A158)*(입금_은행1!$AE$8:$AE$2007&lt;=설정!$B$5)*입금_은행1!$AE$8:$AE$2007)),SUMPRODUCT(MAX((입금_은행2!$AC$8:$AC$2007=$A158)*(입금_은행2!$AE$8:$AE$2007&lt;=설정!$B$5)*입금_은행2!$AE$8:$AE$2007)))))</f>
        <v/>
      </c>
      <c r="M158" s="38">
        <f>IF($U158="","",IF($T158="","",IF(INDEX(거래처설정!$F$8:$F$407,$T158)="","",INDEX(거래처설정!$F$8:$F$407,$T158))))</f>
        <v/>
      </c>
      <c r="N158" s="38">
        <f>IF($U158="","",IF($T158="","",IF(INDEX(거래처설정!$G$8:$G$407,$T158)="","",INDEX(거래처설정!$G$8:$G$407,$T158))))</f>
        <v/>
      </c>
      <c r="O158" s="38">
        <f>IF($U158="","",IF($M158="제외",0,IF($K158&gt;=설정!$B$9,3,IF($J158+$K158&gt;=설정!$B$9,2,IF($I158+$J158+$K158&gt;=설정!$B$9,1,0)))))</f>
        <v/>
      </c>
      <c r="P158" s="38">
        <f>IF($U158="","",IF($M158="제외","제외(조치 상태)",IF($O158=3,"③ 강한 독촉 후보 ("&amp;설정!$B$8&amp;"일 초과)",IF($O158=2,"② 독촉 후보 ("&amp;설정!$B$7&amp;"일 초과)",IF($O158=1,"① 안내 후보 ("&amp;설정!$B$6&amp;"일 초과)",IF($G158&gt;0,IF($I158+$J158+$K158&gt;0,"오래된 잔액 있음 (최소 금액 미만)","정상 범위"),IF($G158&lt;0,"선수금·초과입금 — 확인","완납")))))))</f>
        <v/>
      </c>
      <c r="Q158" s="38">
        <f>IF($U158="","",IF($G158&lt;0,"입금이 매출보다 큼 — 선수금이거나 다른 거래처 입금이 섞였는지 확인",IF(AND($AE158&lt;&gt;"",COUNTIF($AE$8:$AE$307,"*"&amp;$AE158&amp;"*")&gt;1),"이름이 다른 거래처와 겹침 — 입금이 잘못 맞았을 수 있으니 별칭 확인",IF(AND($G158&gt;0,$F158=0),"입금 매칭 없음 — 입금자명이 다르면 [거래처설정]에 별칭 등록",""))))</f>
        <v/>
      </c>
      <c r="R158" s="31">
        <f>IF(OR($U158="",$G158&lt;=0),"",$G158-$A158/10000)</f>
        <v/>
      </c>
      <c r="S158" s="31">
        <f>IF(OR($U158="",$O158&lt;1),"",$O158*10^11+$I158+$J158+$K158-$A158/1000)</f>
        <v/>
      </c>
      <c r="T158" s="31">
        <f>IF($U158="","",IFERROR(MATCH(INDEX(매출원본!$AU$8:$AU$2007,$U158),거래처설정!$I$8:$I$407,0),""))</f>
        <v/>
      </c>
      <c r="U158" s="31">
        <f>IFERROR(MATCH(151,매출원본!$AW$8:$AW$2007,0),"")</f>
        <v/>
      </c>
      <c r="V158" s="31">
        <f>IF($U158="","",MAX(SUMIFS(매출원본!$AT$8:$AT$2007,매출원본!$AY$8:$AY$2007,$A158,매출원본!$AS$8:$AS$2007,"&gt;="&amp;(설정!$B$5-설정!$B$6),매출원본!$AS$8:$AS$2007,"&lt;="&amp;설정!$B$5),0))</f>
        <v/>
      </c>
      <c r="W158" s="31">
        <f>IF($U158="","",MAX($V158,SUMIFS(매출원본!$AT$8:$AT$2007,매출원본!$AY$8:$AY$2007,$A158,매출원본!$AS$8:$AS$2007,"&gt;="&amp;(설정!$B$5-설정!$B$7),매출원본!$AS$8:$AS$2007,"&lt;="&amp;설정!$B$5)))</f>
        <v/>
      </c>
      <c r="X158" s="31">
        <f>IF($U158="","",MAX($W158,SUMIFS(매출원본!$AT$8:$AT$2007,매출원본!$AY$8:$AY$2007,$A158,매출원본!$AS$8:$AS$2007,"&gt;="&amp;(설정!$B$5-설정!$B$8),매출원본!$AS$8:$AS$2007,"&lt;="&amp;설정!$B$5)))</f>
        <v/>
      </c>
      <c r="AC158" s="31">
        <f>IF(OR($U158="",$T158=""),"",INDEX(거래처설정!$J$8:$J$407,$T158))</f>
        <v/>
      </c>
      <c r="AD158" s="31">
        <f>IF(OR($U158="",$T158=""),"",INDEX(거래처설정!$K$8:$K$407,$T158))</f>
        <v/>
      </c>
      <c r="AE158" s="31">
        <f>IF($U158="","",IF(LEN(SUBSTITUTE(SUBSTITUTE(SUBSTITUTE(SUBSTITUTE(SUBSTITUTE(SUBSTITUTE(SUBSTITUTE(SUBSTITUTE(SUBSTITUTE($C158," ",""),"　",""),"(주)",""),"（주）",""),"㈜",""),"주식회사",""),"(유)",""),"（유）",""),"유한회사",""))&lt;2,"",SUBSTITUTE(SUBSTITUTE(SUBSTITUTE(SUBSTITUTE(SUBSTITUTE(SUBSTITUTE(SUBSTITUTE(SUBSTITUTE(SUBSTITUTE($C158," ",""),"　",""),"(주)",""),"（주）",""),"㈜",""),"주식회사",""),"(유)",""),"（유）",""),"유한회사","")))</f>
        <v/>
      </c>
    </row>
    <row r="159">
      <c r="A159" s="38">
        <f>IF($U159="","",152)</f>
        <v/>
      </c>
      <c r="B159" s="38">
        <f>IF($U159="","",IF(LEN(INDEX(매출원본!$AU$8:$AU$2007,$U159))=10,LEFT(INDEX(매출원본!$AU$8:$AU$2007,$U159),3)&amp;"-"&amp;MID(INDEX(매출원본!$AU$8:$AU$2007,$U159),4,2)&amp;"-"&amp;RIGHT(INDEX(매출원본!$AU$8:$AU$2007,$U159),5),IF(LEFT(INDEX(매출원본!$AU$8:$AU$2007,$U159),2)="N:","(번호 없음)",INDEX(매출원본!$AU$8:$AU$2007,$U159))))</f>
        <v/>
      </c>
      <c r="C159" s="38">
        <f>IF($U159="","",INDEX(매출원본!$AV$8:$AV$2007,$U159))</f>
        <v/>
      </c>
      <c r="D159" s="39">
        <f>IF($U159="","",IF($T159="",0,N(INDEX(거래처설정!$E$8:$E$407,$T159))))</f>
        <v/>
      </c>
      <c r="E159" s="39">
        <f>IF($U159="","",SUMIFS(매출원본!$AT$8:$AT$2007,매출원본!$AY$8:$AY$2007,$A159,매출원본!$AS$8:$AS$2007,"&lt;="&amp;설정!$B$5))</f>
        <v/>
      </c>
      <c r="F159" s="39">
        <f>IF($U159="","",SUMIFS(입금_은행1!$Z$8:$Z$2007,입금_은행1!$AC$8:$AC$2007,$A159,입금_은행1!$Y$8:$Y$2007,"&lt;="&amp;설정!$B$5)+SUMIFS(입금_은행2!$Z$8:$Z$2007,입금_은행2!$AC$8:$AC$2007,$A159,입금_은행2!$Y$8:$Y$2007,"&lt;="&amp;설정!$B$5))</f>
        <v/>
      </c>
      <c r="G159" s="39">
        <f>IF($U159="","",$D159+$E159-$F159)</f>
        <v/>
      </c>
      <c r="H159" s="39">
        <f>IF($U159="","",MIN(MAX($G159,0),$V159))</f>
        <v/>
      </c>
      <c r="I159" s="39">
        <f>IF($U159="","",MIN(MAX($G159,0),$W159)-MIN(MAX($G159,0),$V159))</f>
        <v/>
      </c>
      <c r="J159" s="39">
        <f>IF($U159="","",MIN(MAX($G159,0),$X159)-MIN(MAX($G159,0),$W159))</f>
        <v/>
      </c>
      <c r="K159" s="39">
        <f>IF($U159="","",MAX($G159,0)-MIN(MAX($G159,0),$X159))</f>
        <v/>
      </c>
      <c r="L159" s="40">
        <f>IF($U159="","",IF(MAX(SUMPRODUCT(MAX((입금_은행1!$AC$8:$AC$2007=$A159)*(입금_은행1!$AE$8:$AE$2007&lt;=설정!$B$5)*입금_은행1!$AE$8:$AE$2007)),SUMPRODUCT(MAX((입금_은행2!$AC$8:$AC$2007=$A159)*(입금_은행2!$AE$8:$AE$2007&lt;=설정!$B$5)*입금_은행2!$AE$8:$AE$2007)))=0,"",MAX(SUMPRODUCT(MAX((입금_은행1!$AC$8:$AC$2007=$A159)*(입금_은행1!$AE$8:$AE$2007&lt;=설정!$B$5)*입금_은행1!$AE$8:$AE$2007)),SUMPRODUCT(MAX((입금_은행2!$AC$8:$AC$2007=$A159)*(입금_은행2!$AE$8:$AE$2007&lt;=설정!$B$5)*입금_은행2!$AE$8:$AE$2007)))))</f>
        <v/>
      </c>
      <c r="M159" s="38">
        <f>IF($U159="","",IF($T159="","",IF(INDEX(거래처설정!$F$8:$F$407,$T159)="","",INDEX(거래처설정!$F$8:$F$407,$T159))))</f>
        <v/>
      </c>
      <c r="N159" s="38">
        <f>IF($U159="","",IF($T159="","",IF(INDEX(거래처설정!$G$8:$G$407,$T159)="","",INDEX(거래처설정!$G$8:$G$407,$T159))))</f>
        <v/>
      </c>
      <c r="O159" s="38">
        <f>IF($U159="","",IF($M159="제외",0,IF($K159&gt;=설정!$B$9,3,IF($J159+$K159&gt;=설정!$B$9,2,IF($I159+$J159+$K159&gt;=설정!$B$9,1,0)))))</f>
        <v/>
      </c>
      <c r="P159" s="38">
        <f>IF($U159="","",IF($M159="제외","제외(조치 상태)",IF($O159=3,"③ 강한 독촉 후보 ("&amp;설정!$B$8&amp;"일 초과)",IF($O159=2,"② 독촉 후보 ("&amp;설정!$B$7&amp;"일 초과)",IF($O159=1,"① 안내 후보 ("&amp;설정!$B$6&amp;"일 초과)",IF($G159&gt;0,IF($I159+$J159+$K159&gt;0,"오래된 잔액 있음 (최소 금액 미만)","정상 범위"),IF($G159&lt;0,"선수금·초과입금 — 확인","완납")))))))</f>
        <v/>
      </c>
      <c r="Q159" s="38">
        <f>IF($U159="","",IF($G159&lt;0,"입금이 매출보다 큼 — 선수금이거나 다른 거래처 입금이 섞였는지 확인",IF(AND($AE159&lt;&gt;"",COUNTIF($AE$8:$AE$307,"*"&amp;$AE159&amp;"*")&gt;1),"이름이 다른 거래처와 겹침 — 입금이 잘못 맞았을 수 있으니 별칭 확인",IF(AND($G159&gt;0,$F159=0),"입금 매칭 없음 — 입금자명이 다르면 [거래처설정]에 별칭 등록",""))))</f>
        <v/>
      </c>
      <c r="R159" s="31">
        <f>IF(OR($U159="",$G159&lt;=0),"",$G159-$A159/10000)</f>
        <v/>
      </c>
      <c r="S159" s="31">
        <f>IF(OR($U159="",$O159&lt;1),"",$O159*10^11+$I159+$J159+$K159-$A159/1000)</f>
        <v/>
      </c>
      <c r="T159" s="31">
        <f>IF($U159="","",IFERROR(MATCH(INDEX(매출원본!$AU$8:$AU$2007,$U159),거래처설정!$I$8:$I$407,0),""))</f>
        <v/>
      </c>
      <c r="U159" s="31">
        <f>IFERROR(MATCH(152,매출원본!$AW$8:$AW$2007,0),"")</f>
        <v/>
      </c>
      <c r="V159" s="31">
        <f>IF($U159="","",MAX(SUMIFS(매출원본!$AT$8:$AT$2007,매출원본!$AY$8:$AY$2007,$A159,매출원본!$AS$8:$AS$2007,"&gt;="&amp;(설정!$B$5-설정!$B$6),매출원본!$AS$8:$AS$2007,"&lt;="&amp;설정!$B$5),0))</f>
        <v/>
      </c>
      <c r="W159" s="31">
        <f>IF($U159="","",MAX($V159,SUMIFS(매출원본!$AT$8:$AT$2007,매출원본!$AY$8:$AY$2007,$A159,매출원본!$AS$8:$AS$2007,"&gt;="&amp;(설정!$B$5-설정!$B$7),매출원본!$AS$8:$AS$2007,"&lt;="&amp;설정!$B$5)))</f>
        <v/>
      </c>
      <c r="X159" s="31">
        <f>IF($U159="","",MAX($W159,SUMIFS(매출원본!$AT$8:$AT$2007,매출원본!$AY$8:$AY$2007,$A159,매출원본!$AS$8:$AS$2007,"&gt;="&amp;(설정!$B$5-설정!$B$8),매출원본!$AS$8:$AS$2007,"&lt;="&amp;설정!$B$5)))</f>
        <v/>
      </c>
      <c r="AC159" s="31">
        <f>IF(OR($U159="",$T159=""),"",INDEX(거래처설정!$J$8:$J$407,$T159))</f>
        <v/>
      </c>
      <c r="AD159" s="31">
        <f>IF(OR($U159="",$T159=""),"",INDEX(거래처설정!$K$8:$K$407,$T159))</f>
        <v/>
      </c>
      <c r="AE159" s="31">
        <f>IF($U159="","",IF(LEN(SUBSTITUTE(SUBSTITUTE(SUBSTITUTE(SUBSTITUTE(SUBSTITUTE(SUBSTITUTE(SUBSTITUTE(SUBSTITUTE(SUBSTITUTE($C159," ",""),"　",""),"(주)",""),"（주）",""),"㈜",""),"주식회사",""),"(유)",""),"（유）",""),"유한회사",""))&lt;2,"",SUBSTITUTE(SUBSTITUTE(SUBSTITUTE(SUBSTITUTE(SUBSTITUTE(SUBSTITUTE(SUBSTITUTE(SUBSTITUTE(SUBSTITUTE($C159," ",""),"　",""),"(주)",""),"（주）",""),"㈜",""),"주식회사",""),"(유)",""),"（유）",""),"유한회사","")))</f>
        <v/>
      </c>
    </row>
    <row r="160">
      <c r="A160" s="38">
        <f>IF($U160="","",153)</f>
        <v/>
      </c>
      <c r="B160" s="38">
        <f>IF($U160="","",IF(LEN(INDEX(매출원본!$AU$8:$AU$2007,$U160))=10,LEFT(INDEX(매출원본!$AU$8:$AU$2007,$U160),3)&amp;"-"&amp;MID(INDEX(매출원본!$AU$8:$AU$2007,$U160),4,2)&amp;"-"&amp;RIGHT(INDEX(매출원본!$AU$8:$AU$2007,$U160),5),IF(LEFT(INDEX(매출원본!$AU$8:$AU$2007,$U160),2)="N:","(번호 없음)",INDEX(매출원본!$AU$8:$AU$2007,$U160))))</f>
        <v/>
      </c>
      <c r="C160" s="38">
        <f>IF($U160="","",INDEX(매출원본!$AV$8:$AV$2007,$U160))</f>
        <v/>
      </c>
      <c r="D160" s="39">
        <f>IF($U160="","",IF($T160="",0,N(INDEX(거래처설정!$E$8:$E$407,$T160))))</f>
        <v/>
      </c>
      <c r="E160" s="39">
        <f>IF($U160="","",SUMIFS(매출원본!$AT$8:$AT$2007,매출원본!$AY$8:$AY$2007,$A160,매출원본!$AS$8:$AS$2007,"&lt;="&amp;설정!$B$5))</f>
        <v/>
      </c>
      <c r="F160" s="39">
        <f>IF($U160="","",SUMIFS(입금_은행1!$Z$8:$Z$2007,입금_은행1!$AC$8:$AC$2007,$A160,입금_은행1!$Y$8:$Y$2007,"&lt;="&amp;설정!$B$5)+SUMIFS(입금_은행2!$Z$8:$Z$2007,입금_은행2!$AC$8:$AC$2007,$A160,입금_은행2!$Y$8:$Y$2007,"&lt;="&amp;설정!$B$5))</f>
        <v/>
      </c>
      <c r="G160" s="39">
        <f>IF($U160="","",$D160+$E160-$F160)</f>
        <v/>
      </c>
      <c r="H160" s="39">
        <f>IF($U160="","",MIN(MAX($G160,0),$V160))</f>
        <v/>
      </c>
      <c r="I160" s="39">
        <f>IF($U160="","",MIN(MAX($G160,0),$W160)-MIN(MAX($G160,0),$V160))</f>
        <v/>
      </c>
      <c r="J160" s="39">
        <f>IF($U160="","",MIN(MAX($G160,0),$X160)-MIN(MAX($G160,0),$W160))</f>
        <v/>
      </c>
      <c r="K160" s="39">
        <f>IF($U160="","",MAX($G160,0)-MIN(MAX($G160,0),$X160))</f>
        <v/>
      </c>
      <c r="L160" s="40">
        <f>IF($U160="","",IF(MAX(SUMPRODUCT(MAX((입금_은행1!$AC$8:$AC$2007=$A160)*(입금_은행1!$AE$8:$AE$2007&lt;=설정!$B$5)*입금_은행1!$AE$8:$AE$2007)),SUMPRODUCT(MAX((입금_은행2!$AC$8:$AC$2007=$A160)*(입금_은행2!$AE$8:$AE$2007&lt;=설정!$B$5)*입금_은행2!$AE$8:$AE$2007)))=0,"",MAX(SUMPRODUCT(MAX((입금_은행1!$AC$8:$AC$2007=$A160)*(입금_은행1!$AE$8:$AE$2007&lt;=설정!$B$5)*입금_은행1!$AE$8:$AE$2007)),SUMPRODUCT(MAX((입금_은행2!$AC$8:$AC$2007=$A160)*(입금_은행2!$AE$8:$AE$2007&lt;=설정!$B$5)*입금_은행2!$AE$8:$AE$2007)))))</f>
        <v/>
      </c>
      <c r="M160" s="38">
        <f>IF($U160="","",IF($T160="","",IF(INDEX(거래처설정!$F$8:$F$407,$T160)="","",INDEX(거래처설정!$F$8:$F$407,$T160))))</f>
        <v/>
      </c>
      <c r="N160" s="38">
        <f>IF($U160="","",IF($T160="","",IF(INDEX(거래처설정!$G$8:$G$407,$T160)="","",INDEX(거래처설정!$G$8:$G$407,$T160))))</f>
        <v/>
      </c>
      <c r="O160" s="38">
        <f>IF($U160="","",IF($M160="제외",0,IF($K160&gt;=설정!$B$9,3,IF($J160+$K160&gt;=설정!$B$9,2,IF($I160+$J160+$K160&gt;=설정!$B$9,1,0)))))</f>
        <v/>
      </c>
      <c r="P160" s="38">
        <f>IF($U160="","",IF($M160="제외","제외(조치 상태)",IF($O160=3,"③ 강한 독촉 후보 ("&amp;설정!$B$8&amp;"일 초과)",IF($O160=2,"② 독촉 후보 ("&amp;설정!$B$7&amp;"일 초과)",IF($O160=1,"① 안내 후보 ("&amp;설정!$B$6&amp;"일 초과)",IF($G160&gt;0,IF($I160+$J160+$K160&gt;0,"오래된 잔액 있음 (최소 금액 미만)","정상 범위"),IF($G160&lt;0,"선수금·초과입금 — 확인","완납")))))))</f>
        <v/>
      </c>
      <c r="Q160" s="38">
        <f>IF($U160="","",IF($G160&lt;0,"입금이 매출보다 큼 — 선수금이거나 다른 거래처 입금이 섞였는지 확인",IF(AND($AE160&lt;&gt;"",COUNTIF($AE$8:$AE$307,"*"&amp;$AE160&amp;"*")&gt;1),"이름이 다른 거래처와 겹침 — 입금이 잘못 맞았을 수 있으니 별칭 확인",IF(AND($G160&gt;0,$F160=0),"입금 매칭 없음 — 입금자명이 다르면 [거래처설정]에 별칭 등록",""))))</f>
        <v/>
      </c>
      <c r="R160" s="31">
        <f>IF(OR($U160="",$G160&lt;=0),"",$G160-$A160/10000)</f>
        <v/>
      </c>
      <c r="S160" s="31">
        <f>IF(OR($U160="",$O160&lt;1),"",$O160*10^11+$I160+$J160+$K160-$A160/1000)</f>
        <v/>
      </c>
      <c r="T160" s="31">
        <f>IF($U160="","",IFERROR(MATCH(INDEX(매출원본!$AU$8:$AU$2007,$U160),거래처설정!$I$8:$I$407,0),""))</f>
        <v/>
      </c>
      <c r="U160" s="31">
        <f>IFERROR(MATCH(153,매출원본!$AW$8:$AW$2007,0),"")</f>
        <v/>
      </c>
      <c r="V160" s="31">
        <f>IF($U160="","",MAX(SUMIFS(매출원본!$AT$8:$AT$2007,매출원본!$AY$8:$AY$2007,$A160,매출원본!$AS$8:$AS$2007,"&gt;="&amp;(설정!$B$5-설정!$B$6),매출원본!$AS$8:$AS$2007,"&lt;="&amp;설정!$B$5),0))</f>
        <v/>
      </c>
      <c r="W160" s="31">
        <f>IF($U160="","",MAX($V160,SUMIFS(매출원본!$AT$8:$AT$2007,매출원본!$AY$8:$AY$2007,$A160,매출원본!$AS$8:$AS$2007,"&gt;="&amp;(설정!$B$5-설정!$B$7),매출원본!$AS$8:$AS$2007,"&lt;="&amp;설정!$B$5)))</f>
        <v/>
      </c>
      <c r="X160" s="31">
        <f>IF($U160="","",MAX($W160,SUMIFS(매출원본!$AT$8:$AT$2007,매출원본!$AY$8:$AY$2007,$A160,매출원본!$AS$8:$AS$2007,"&gt;="&amp;(설정!$B$5-설정!$B$8),매출원본!$AS$8:$AS$2007,"&lt;="&amp;설정!$B$5)))</f>
        <v/>
      </c>
      <c r="AC160" s="31">
        <f>IF(OR($U160="",$T160=""),"",INDEX(거래처설정!$J$8:$J$407,$T160))</f>
        <v/>
      </c>
      <c r="AD160" s="31">
        <f>IF(OR($U160="",$T160=""),"",INDEX(거래처설정!$K$8:$K$407,$T160))</f>
        <v/>
      </c>
      <c r="AE160" s="31">
        <f>IF($U160="","",IF(LEN(SUBSTITUTE(SUBSTITUTE(SUBSTITUTE(SUBSTITUTE(SUBSTITUTE(SUBSTITUTE(SUBSTITUTE(SUBSTITUTE(SUBSTITUTE($C160," ",""),"　",""),"(주)",""),"（주）",""),"㈜",""),"주식회사",""),"(유)",""),"（유）",""),"유한회사",""))&lt;2,"",SUBSTITUTE(SUBSTITUTE(SUBSTITUTE(SUBSTITUTE(SUBSTITUTE(SUBSTITUTE(SUBSTITUTE(SUBSTITUTE(SUBSTITUTE($C160," ",""),"　",""),"(주)",""),"（주）",""),"㈜",""),"주식회사",""),"(유)",""),"（유）",""),"유한회사","")))</f>
        <v/>
      </c>
    </row>
    <row r="161">
      <c r="A161" s="38">
        <f>IF($U161="","",154)</f>
        <v/>
      </c>
      <c r="B161" s="38">
        <f>IF($U161="","",IF(LEN(INDEX(매출원본!$AU$8:$AU$2007,$U161))=10,LEFT(INDEX(매출원본!$AU$8:$AU$2007,$U161),3)&amp;"-"&amp;MID(INDEX(매출원본!$AU$8:$AU$2007,$U161),4,2)&amp;"-"&amp;RIGHT(INDEX(매출원본!$AU$8:$AU$2007,$U161),5),IF(LEFT(INDEX(매출원본!$AU$8:$AU$2007,$U161),2)="N:","(번호 없음)",INDEX(매출원본!$AU$8:$AU$2007,$U161))))</f>
        <v/>
      </c>
      <c r="C161" s="38">
        <f>IF($U161="","",INDEX(매출원본!$AV$8:$AV$2007,$U161))</f>
        <v/>
      </c>
      <c r="D161" s="39">
        <f>IF($U161="","",IF($T161="",0,N(INDEX(거래처설정!$E$8:$E$407,$T161))))</f>
        <v/>
      </c>
      <c r="E161" s="39">
        <f>IF($U161="","",SUMIFS(매출원본!$AT$8:$AT$2007,매출원본!$AY$8:$AY$2007,$A161,매출원본!$AS$8:$AS$2007,"&lt;="&amp;설정!$B$5))</f>
        <v/>
      </c>
      <c r="F161" s="39">
        <f>IF($U161="","",SUMIFS(입금_은행1!$Z$8:$Z$2007,입금_은행1!$AC$8:$AC$2007,$A161,입금_은행1!$Y$8:$Y$2007,"&lt;="&amp;설정!$B$5)+SUMIFS(입금_은행2!$Z$8:$Z$2007,입금_은행2!$AC$8:$AC$2007,$A161,입금_은행2!$Y$8:$Y$2007,"&lt;="&amp;설정!$B$5))</f>
        <v/>
      </c>
      <c r="G161" s="39">
        <f>IF($U161="","",$D161+$E161-$F161)</f>
        <v/>
      </c>
      <c r="H161" s="39">
        <f>IF($U161="","",MIN(MAX($G161,0),$V161))</f>
        <v/>
      </c>
      <c r="I161" s="39">
        <f>IF($U161="","",MIN(MAX($G161,0),$W161)-MIN(MAX($G161,0),$V161))</f>
        <v/>
      </c>
      <c r="J161" s="39">
        <f>IF($U161="","",MIN(MAX($G161,0),$X161)-MIN(MAX($G161,0),$W161))</f>
        <v/>
      </c>
      <c r="K161" s="39">
        <f>IF($U161="","",MAX($G161,0)-MIN(MAX($G161,0),$X161))</f>
        <v/>
      </c>
      <c r="L161" s="40">
        <f>IF($U161="","",IF(MAX(SUMPRODUCT(MAX((입금_은행1!$AC$8:$AC$2007=$A161)*(입금_은행1!$AE$8:$AE$2007&lt;=설정!$B$5)*입금_은행1!$AE$8:$AE$2007)),SUMPRODUCT(MAX((입금_은행2!$AC$8:$AC$2007=$A161)*(입금_은행2!$AE$8:$AE$2007&lt;=설정!$B$5)*입금_은행2!$AE$8:$AE$2007)))=0,"",MAX(SUMPRODUCT(MAX((입금_은행1!$AC$8:$AC$2007=$A161)*(입금_은행1!$AE$8:$AE$2007&lt;=설정!$B$5)*입금_은행1!$AE$8:$AE$2007)),SUMPRODUCT(MAX((입금_은행2!$AC$8:$AC$2007=$A161)*(입금_은행2!$AE$8:$AE$2007&lt;=설정!$B$5)*입금_은행2!$AE$8:$AE$2007)))))</f>
        <v/>
      </c>
      <c r="M161" s="38">
        <f>IF($U161="","",IF($T161="","",IF(INDEX(거래처설정!$F$8:$F$407,$T161)="","",INDEX(거래처설정!$F$8:$F$407,$T161))))</f>
        <v/>
      </c>
      <c r="N161" s="38">
        <f>IF($U161="","",IF($T161="","",IF(INDEX(거래처설정!$G$8:$G$407,$T161)="","",INDEX(거래처설정!$G$8:$G$407,$T161))))</f>
        <v/>
      </c>
      <c r="O161" s="38">
        <f>IF($U161="","",IF($M161="제외",0,IF($K161&gt;=설정!$B$9,3,IF($J161+$K161&gt;=설정!$B$9,2,IF($I161+$J161+$K161&gt;=설정!$B$9,1,0)))))</f>
        <v/>
      </c>
      <c r="P161" s="38">
        <f>IF($U161="","",IF($M161="제외","제외(조치 상태)",IF($O161=3,"③ 강한 독촉 후보 ("&amp;설정!$B$8&amp;"일 초과)",IF($O161=2,"② 독촉 후보 ("&amp;설정!$B$7&amp;"일 초과)",IF($O161=1,"① 안내 후보 ("&amp;설정!$B$6&amp;"일 초과)",IF($G161&gt;0,IF($I161+$J161+$K161&gt;0,"오래된 잔액 있음 (최소 금액 미만)","정상 범위"),IF($G161&lt;0,"선수금·초과입금 — 확인","완납")))))))</f>
        <v/>
      </c>
      <c r="Q161" s="38">
        <f>IF($U161="","",IF($G161&lt;0,"입금이 매출보다 큼 — 선수금이거나 다른 거래처 입금이 섞였는지 확인",IF(AND($AE161&lt;&gt;"",COUNTIF($AE$8:$AE$307,"*"&amp;$AE161&amp;"*")&gt;1),"이름이 다른 거래처와 겹침 — 입금이 잘못 맞았을 수 있으니 별칭 확인",IF(AND($G161&gt;0,$F161=0),"입금 매칭 없음 — 입금자명이 다르면 [거래처설정]에 별칭 등록",""))))</f>
        <v/>
      </c>
      <c r="R161" s="31">
        <f>IF(OR($U161="",$G161&lt;=0),"",$G161-$A161/10000)</f>
        <v/>
      </c>
      <c r="S161" s="31">
        <f>IF(OR($U161="",$O161&lt;1),"",$O161*10^11+$I161+$J161+$K161-$A161/1000)</f>
        <v/>
      </c>
      <c r="T161" s="31">
        <f>IF($U161="","",IFERROR(MATCH(INDEX(매출원본!$AU$8:$AU$2007,$U161),거래처설정!$I$8:$I$407,0),""))</f>
        <v/>
      </c>
      <c r="U161" s="31">
        <f>IFERROR(MATCH(154,매출원본!$AW$8:$AW$2007,0),"")</f>
        <v/>
      </c>
      <c r="V161" s="31">
        <f>IF($U161="","",MAX(SUMIFS(매출원본!$AT$8:$AT$2007,매출원본!$AY$8:$AY$2007,$A161,매출원본!$AS$8:$AS$2007,"&gt;="&amp;(설정!$B$5-설정!$B$6),매출원본!$AS$8:$AS$2007,"&lt;="&amp;설정!$B$5),0))</f>
        <v/>
      </c>
      <c r="W161" s="31">
        <f>IF($U161="","",MAX($V161,SUMIFS(매출원본!$AT$8:$AT$2007,매출원본!$AY$8:$AY$2007,$A161,매출원본!$AS$8:$AS$2007,"&gt;="&amp;(설정!$B$5-설정!$B$7),매출원본!$AS$8:$AS$2007,"&lt;="&amp;설정!$B$5)))</f>
        <v/>
      </c>
      <c r="X161" s="31">
        <f>IF($U161="","",MAX($W161,SUMIFS(매출원본!$AT$8:$AT$2007,매출원본!$AY$8:$AY$2007,$A161,매출원본!$AS$8:$AS$2007,"&gt;="&amp;(설정!$B$5-설정!$B$8),매출원본!$AS$8:$AS$2007,"&lt;="&amp;설정!$B$5)))</f>
        <v/>
      </c>
      <c r="AC161" s="31">
        <f>IF(OR($U161="",$T161=""),"",INDEX(거래처설정!$J$8:$J$407,$T161))</f>
        <v/>
      </c>
      <c r="AD161" s="31">
        <f>IF(OR($U161="",$T161=""),"",INDEX(거래처설정!$K$8:$K$407,$T161))</f>
        <v/>
      </c>
      <c r="AE161" s="31">
        <f>IF($U161="","",IF(LEN(SUBSTITUTE(SUBSTITUTE(SUBSTITUTE(SUBSTITUTE(SUBSTITUTE(SUBSTITUTE(SUBSTITUTE(SUBSTITUTE(SUBSTITUTE($C161," ",""),"　",""),"(주)",""),"（주）",""),"㈜",""),"주식회사",""),"(유)",""),"（유）",""),"유한회사",""))&lt;2,"",SUBSTITUTE(SUBSTITUTE(SUBSTITUTE(SUBSTITUTE(SUBSTITUTE(SUBSTITUTE(SUBSTITUTE(SUBSTITUTE(SUBSTITUTE($C161," ",""),"　",""),"(주)",""),"（주）",""),"㈜",""),"주식회사",""),"(유)",""),"（유）",""),"유한회사","")))</f>
        <v/>
      </c>
    </row>
    <row r="162">
      <c r="A162" s="38">
        <f>IF($U162="","",155)</f>
        <v/>
      </c>
      <c r="B162" s="38">
        <f>IF($U162="","",IF(LEN(INDEX(매출원본!$AU$8:$AU$2007,$U162))=10,LEFT(INDEX(매출원본!$AU$8:$AU$2007,$U162),3)&amp;"-"&amp;MID(INDEX(매출원본!$AU$8:$AU$2007,$U162),4,2)&amp;"-"&amp;RIGHT(INDEX(매출원본!$AU$8:$AU$2007,$U162),5),IF(LEFT(INDEX(매출원본!$AU$8:$AU$2007,$U162),2)="N:","(번호 없음)",INDEX(매출원본!$AU$8:$AU$2007,$U162))))</f>
        <v/>
      </c>
      <c r="C162" s="38">
        <f>IF($U162="","",INDEX(매출원본!$AV$8:$AV$2007,$U162))</f>
        <v/>
      </c>
      <c r="D162" s="39">
        <f>IF($U162="","",IF($T162="",0,N(INDEX(거래처설정!$E$8:$E$407,$T162))))</f>
        <v/>
      </c>
      <c r="E162" s="39">
        <f>IF($U162="","",SUMIFS(매출원본!$AT$8:$AT$2007,매출원본!$AY$8:$AY$2007,$A162,매출원본!$AS$8:$AS$2007,"&lt;="&amp;설정!$B$5))</f>
        <v/>
      </c>
      <c r="F162" s="39">
        <f>IF($U162="","",SUMIFS(입금_은행1!$Z$8:$Z$2007,입금_은행1!$AC$8:$AC$2007,$A162,입금_은행1!$Y$8:$Y$2007,"&lt;="&amp;설정!$B$5)+SUMIFS(입금_은행2!$Z$8:$Z$2007,입금_은행2!$AC$8:$AC$2007,$A162,입금_은행2!$Y$8:$Y$2007,"&lt;="&amp;설정!$B$5))</f>
        <v/>
      </c>
      <c r="G162" s="39">
        <f>IF($U162="","",$D162+$E162-$F162)</f>
        <v/>
      </c>
      <c r="H162" s="39">
        <f>IF($U162="","",MIN(MAX($G162,0),$V162))</f>
        <v/>
      </c>
      <c r="I162" s="39">
        <f>IF($U162="","",MIN(MAX($G162,0),$W162)-MIN(MAX($G162,0),$V162))</f>
        <v/>
      </c>
      <c r="J162" s="39">
        <f>IF($U162="","",MIN(MAX($G162,0),$X162)-MIN(MAX($G162,0),$W162))</f>
        <v/>
      </c>
      <c r="K162" s="39">
        <f>IF($U162="","",MAX($G162,0)-MIN(MAX($G162,0),$X162))</f>
        <v/>
      </c>
      <c r="L162" s="40">
        <f>IF($U162="","",IF(MAX(SUMPRODUCT(MAX((입금_은행1!$AC$8:$AC$2007=$A162)*(입금_은행1!$AE$8:$AE$2007&lt;=설정!$B$5)*입금_은행1!$AE$8:$AE$2007)),SUMPRODUCT(MAX((입금_은행2!$AC$8:$AC$2007=$A162)*(입금_은행2!$AE$8:$AE$2007&lt;=설정!$B$5)*입금_은행2!$AE$8:$AE$2007)))=0,"",MAX(SUMPRODUCT(MAX((입금_은행1!$AC$8:$AC$2007=$A162)*(입금_은행1!$AE$8:$AE$2007&lt;=설정!$B$5)*입금_은행1!$AE$8:$AE$2007)),SUMPRODUCT(MAX((입금_은행2!$AC$8:$AC$2007=$A162)*(입금_은행2!$AE$8:$AE$2007&lt;=설정!$B$5)*입금_은행2!$AE$8:$AE$2007)))))</f>
        <v/>
      </c>
      <c r="M162" s="38">
        <f>IF($U162="","",IF($T162="","",IF(INDEX(거래처설정!$F$8:$F$407,$T162)="","",INDEX(거래처설정!$F$8:$F$407,$T162))))</f>
        <v/>
      </c>
      <c r="N162" s="38">
        <f>IF($U162="","",IF($T162="","",IF(INDEX(거래처설정!$G$8:$G$407,$T162)="","",INDEX(거래처설정!$G$8:$G$407,$T162))))</f>
        <v/>
      </c>
      <c r="O162" s="38">
        <f>IF($U162="","",IF($M162="제외",0,IF($K162&gt;=설정!$B$9,3,IF($J162+$K162&gt;=설정!$B$9,2,IF($I162+$J162+$K162&gt;=설정!$B$9,1,0)))))</f>
        <v/>
      </c>
      <c r="P162" s="38">
        <f>IF($U162="","",IF($M162="제외","제외(조치 상태)",IF($O162=3,"③ 강한 독촉 후보 ("&amp;설정!$B$8&amp;"일 초과)",IF($O162=2,"② 독촉 후보 ("&amp;설정!$B$7&amp;"일 초과)",IF($O162=1,"① 안내 후보 ("&amp;설정!$B$6&amp;"일 초과)",IF($G162&gt;0,IF($I162+$J162+$K162&gt;0,"오래된 잔액 있음 (최소 금액 미만)","정상 범위"),IF($G162&lt;0,"선수금·초과입금 — 확인","완납")))))))</f>
        <v/>
      </c>
      <c r="Q162" s="38">
        <f>IF($U162="","",IF($G162&lt;0,"입금이 매출보다 큼 — 선수금이거나 다른 거래처 입금이 섞였는지 확인",IF(AND($AE162&lt;&gt;"",COUNTIF($AE$8:$AE$307,"*"&amp;$AE162&amp;"*")&gt;1),"이름이 다른 거래처와 겹침 — 입금이 잘못 맞았을 수 있으니 별칭 확인",IF(AND($G162&gt;0,$F162=0),"입금 매칭 없음 — 입금자명이 다르면 [거래처설정]에 별칭 등록",""))))</f>
        <v/>
      </c>
      <c r="R162" s="31">
        <f>IF(OR($U162="",$G162&lt;=0),"",$G162-$A162/10000)</f>
        <v/>
      </c>
      <c r="S162" s="31">
        <f>IF(OR($U162="",$O162&lt;1),"",$O162*10^11+$I162+$J162+$K162-$A162/1000)</f>
        <v/>
      </c>
      <c r="T162" s="31">
        <f>IF($U162="","",IFERROR(MATCH(INDEX(매출원본!$AU$8:$AU$2007,$U162),거래처설정!$I$8:$I$407,0),""))</f>
        <v/>
      </c>
      <c r="U162" s="31">
        <f>IFERROR(MATCH(155,매출원본!$AW$8:$AW$2007,0),"")</f>
        <v/>
      </c>
      <c r="V162" s="31">
        <f>IF($U162="","",MAX(SUMIFS(매출원본!$AT$8:$AT$2007,매출원본!$AY$8:$AY$2007,$A162,매출원본!$AS$8:$AS$2007,"&gt;="&amp;(설정!$B$5-설정!$B$6),매출원본!$AS$8:$AS$2007,"&lt;="&amp;설정!$B$5),0))</f>
        <v/>
      </c>
      <c r="W162" s="31">
        <f>IF($U162="","",MAX($V162,SUMIFS(매출원본!$AT$8:$AT$2007,매출원본!$AY$8:$AY$2007,$A162,매출원본!$AS$8:$AS$2007,"&gt;="&amp;(설정!$B$5-설정!$B$7),매출원본!$AS$8:$AS$2007,"&lt;="&amp;설정!$B$5)))</f>
        <v/>
      </c>
      <c r="X162" s="31">
        <f>IF($U162="","",MAX($W162,SUMIFS(매출원본!$AT$8:$AT$2007,매출원본!$AY$8:$AY$2007,$A162,매출원본!$AS$8:$AS$2007,"&gt;="&amp;(설정!$B$5-설정!$B$8),매출원본!$AS$8:$AS$2007,"&lt;="&amp;설정!$B$5)))</f>
        <v/>
      </c>
      <c r="AC162" s="31">
        <f>IF(OR($U162="",$T162=""),"",INDEX(거래처설정!$J$8:$J$407,$T162))</f>
        <v/>
      </c>
      <c r="AD162" s="31">
        <f>IF(OR($U162="",$T162=""),"",INDEX(거래처설정!$K$8:$K$407,$T162))</f>
        <v/>
      </c>
      <c r="AE162" s="31">
        <f>IF($U162="","",IF(LEN(SUBSTITUTE(SUBSTITUTE(SUBSTITUTE(SUBSTITUTE(SUBSTITUTE(SUBSTITUTE(SUBSTITUTE(SUBSTITUTE(SUBSTITUTE($C162," ",""),"　",""),"(주)",""),"（주）",""),"㈜",""),"주식회사",""),"(유)",""),"（유）",""),"유한회사",""))&lt;2,"",SUBSTITUTE(SUBSTITUTE(SUBSTITUTE(SUBSTITUTE(SUBSTITUTE(SUBSTITUTE(SUBSTITUTE(SUBSTITUTE(SUBSTITUTE($C162," ",""),"　",""),"(주)",""),"（주）",""),"㈜",""),"주식회사",""),"(유)",""),"（유）",""),"유한회사","")))</f>
        <v/>
      </c>
    </row>
    <row r="163">
      <c r="A163" s="38">
        <f>IF($U163="","",156)</f>
        <v/>
      </c>
      <c r="B163" s="38">
        <f>IF($U163="","",IF(LEN(INDEX(매출원본!$AU$8:$AU$2007,$U163))=10,LEFT(INDEX(매출원본!$AU$8:$AU$2007,$U163),3)&amp;"-"&amp;MID(INDEX(매출원본!$AU$8:$AU$2007,$U163),4,2)&amp;"-"&amp;RIGHT(INDEX(매출원본!$AU$8:$AU$2007,$U163),5),IF(LEFT(INDEX(매출원본!$AU$8:$AU$2007,$U163),2)="N:","(번호 없음)",INDEX(매출원본!$AU$8:$AU$2007,$U163))))</f>
        <v/>
      </c>
      <c r="C163" s="38">
        <f>IF($U163="","",INDEX(매출원본!$AV$8:$AV$2007,$U163))</f>
        <v/>
      </c>
      <c r="D163" s="39">
        <f>IF($U163="","",IF($T163="",0,N(INDEX(거래처설정!$E$8:$E$407,$T163))))</f>
        <v/>
      </c>
      <c r="E163" s="39">
        <f>IF($U163="","",SUMIFS(매출원본!$AT$8:$AT$2007,매출원본!$AY$8:$AY$2007,$A163,매출원본!$AS$8:$AS$2007,"&lt;="&amp;설정!$B$5))</f>
        <v/>
      </c>
      <c r="F163" s="39">
        <f>IF($U163="","",SUMIFS(입금_은행1!$Z$8:$Z$2007,입금_은행1!$AC$8:$AC$2007,$A163,입금_은행1!$Y$8:$Y$2007,"&lt;="&amp;설정!$B$5)+SUMIFS(입금_은행2!$Z$8:$Z$2007,입금_은행2!$AC$8:$AC$2007,$A163,입금_은행2!$Y$8:$Y$2007,"&lt;="&amp;설정!$B$5))</f>
        <v/>
      </c>
      <c r="G163" s="39">
        <f>IF($U163="","",$D163+$E163-$F163)</f>
        <v/>
      </c>
      <c r="H163" s="39">
        <f>IF($U163="","",MIN(MAX($G163,0),$V163))</f>
        <v/>
      </c>
      <c r="I163" s="39">
        <f>IF($U163="","",MIN(MAX($G163,0),$W163)-MIN(MAX($G163,0),$V163))</f>
        <v/>
      </c>
      <c r="J163" s="39">
        <f>IF($U163="","",MIN(MAX($G163,0),$X163)-MIN(MAX($G163,0),$W163))</f>
        <v/>
      </c>
      <c r="K163" s="39">
        <f>IF($U163="","",MAX($G163,0)-MIN(MAX($G163,0),$X163))</f>
        <v/>
      </c>
      <c r="L163" s="40">
        <f>IF($U163="","",IF(MAX(SUMPRODUCT(MAX((입금_은행1!$AC$8:$AC$2007=$A163)*(입금_은행1!$AE$8:$AE$2007&lt;=설정!$B$5)*입금_은행1!$AE$8:$AE$2007)),SUMPRODUCT(MAX((입금_은행2!$AC$8:$AC$2007=$A163)*(입금_은행2!$AE$8:$AE$2007&lt;=설정!$B$5)*입금_은행2!$AE$8:$AE$2007)))=0,"",MAX(SUMPRODUCT(MAX((입금_은행1!$AC$8:$AC$2007=$A163)*(입금_은행1!$AE$8:$AE$2007&lt;=설정!$B$5)*입금_은행1!$AE$8:$AE$2007)),SUMPRODUCT(MAX((입금_은행2!$AC$8:$AC$2007=$A163)*(입금_은행2!$AE$8:$AE$2007&lt;=설정!$B$5)*입금_은행2!$AE$8:$AE$2007)))))</f>
        <v/>
      </c>
      <c r="M163" s="38">
        <f>IF($U163="","",IF($T163="","",IF(INDEX(거래처설정!$F$8:$F$407,$T163)="","",INDEX(거래처설정!$F$8:$F$407,$T163))))</f>
        <v/>
      </c>
      <c r="N163" s="38">
        <f>IF($U163="","",IF($T163="","",IF(INDEX(거래처설정!$G$8:$G$407,$T163)="","",INDEX(거래처설정!$G$8:$G$407,$T163))))</f>
        <v/>
      </c>
      <c r="O163" s="38">
        <f>IF($U163="","",IF($M163="제외",0,IF($K163&gt;=설정!$B$9,3,IF($J163+$K163&gt;=설정!$B$9,2,IF($I163+$J163+$K163&gt;=설정!$B$9,1,0)))))</f>
        <v/>
      </c>
      <c r="P163" s="38">
        <f>IF($U163="","",IF($M163="제외","제외(조치 상태)",IF($O163=3,"③ 강한 독촉 후보 ("&amp;설정!$B$8&amp;"일 초과)",IF($O163=2,"② 독촉 후보 ("&amp;설정!$B$7&amp;"일 초과)",IF($O163=1,"① 안내 후보 ("&amp;설정!$B$6&amp;"일 초과)",IF($G163&gt;0,IF($I163+$J163+$K163&gt;0,"오래된 잔액 있음 (최소 금액 미만)","정상 범위"),IF($G163&lt;0,"선수금·초과입금 — 확인","완납")))))))</f>
        <v/>
      </c>
      <c r="Q163" s="38">
        <f>IF($U163="","",IF($G163&lt;0,"입금이 매출보다 큼 — 선수금이거나 다른 거래처 입금이 섞였는지 확인",IF(AND($AE163&lt;&gt;"",COUNTIF($AE$8:$AE$307,"*"&amp;$AE163&amp;"*")&gt;1),"이름이 다른 거래처와 겹침 — 입금이 잘못 맞았을 수 있으니 별칭 확인",IF(AND($G163&gt;0,$F163=0),"입금 매칭 없음 — 입금자명이 다르면 [거래처설정]에 별칭 등록",""))))</f>
        <v/>
      </c>
      <c r="R163" s="31">
        <f>IF(OR($U163="",$G163&lt;=0),"",$G163-$A163/10000)</f>
        <v/>
      </c>
      <c r="S163" s="31">
        <f>IF(OR($U163="",$O163&lt;1),"",$O163*10^11+$I163+$J163+$K163-$A163/1000)</f>
        <v/>
      </c>
      <c r="T163" s="31">
        <f>IF($U163="","",IFERROR(MATCH(INDEX(매출원본!$AU$8:$AU$2007,$U163),거래처설정!$I$8:$I$407,0),""))</f>
        <v/>
      </c>
      <c r="U163" s="31">
        <f>IFERROR(MATCH(156,매출원본!$AW$8:$AW$2007,0),"")</f>
        <v/>
      </c>
      <c r="V163" s="31">
        <f>IF($U163="","",MAX(SUMIFS(매출원본!$AT$8:$AT$2007,매출원본!$AY$8:$AY$2007,$A163,매출원본!$AS$8:$AS$2007,"&gt;="&amp;(설정!$B$5-설정!$B$6),매출원본!$AS$8:$AS$2007,"&lt;="&amp;설정!$B$5),0))</f>
        <v/>
      </c>
      <c r="W163" s="31">
        <f>IF($U163="","",MAX($V163,SUMIFS(매출원본!$AT$8:$AT$2007,매출원본!$AY$8:$AY$2007,$A163,매출원본!$AS$8:$AS$2007,"&gt;="&amp;(설정!$B$5-설정!$B$7),매출원본!$AS$8:$AS$2007,"&lt;="&amp;설정!$B$5)))</f>
        <v/>
      </c>
      <c r="X163" s="31">
        <f>IF($U163="","",MAX($W163,SUMIFS(매출원본!$AT$8:$AT$2007,매출원본!$AY$8:$AY$2007,$A163,매출원본!$AS$8:$AS$2007,"&gt;="&amp;(설정!$B$5-설정!$B$8),매출원본!$AS$8:$AS$2007,"&lt;="&amp;설정!$B$5)))</f>
        <v/>
      </c>
      <c r="AC163" s="31">
        <f>IF(OR($U163="",$T163=""),"",INDEX(거래처설정!$J$8:$J$407,$T163))</f>
        <v/>
      </c>
      <c r="AD163" s="31">
        <f>IF(OR($U163="",$T163=""),"",INDEX(거래처설정!$K$8:$K$407,$T163))</f>
        <v/>
      </c>
      <c r="AE163" s="31">
        <f>IF($U163="","",IF(LEN(SUBSTITUTE(SUBSTITUTE(SUBSTITUTE(SUBSTITUTE(SUBSTITUTE(SUBSTITUTE(SUBSTITUTE(SUBSTITUTE(SUBSTITUTE($C163," ",""),"　",""),"(주)",""),"（주）",""),"㈜",""),"주식회사",""),"(유)",""),"（유）",""),"유한회사",""))&lt;2,"",SUBSTITUTE(SUBSTITUTE(SUBSTITUTE(SUBSTITUTE(SUBSTITUTE(SUBSTITUTE(SUBSTITUTE(SUBSTITUTE(SUBSTITUTE($C163," ",""),"　",""),"(주)",""),"（주）",""),"㈜",""),"주식회사",""),"(유)",""),"（유）",""),"유한회사","")))</f>
        <v/>
      </c>
    </row>
    <row r="164">
      <c r="A164" s="38">
        <f>IF($U164="","",157)</f>
        <v/>
      </c>
      <c r="B164" s="38">
        <f>IF($U164="","",IF(LEN(INDEX(매출원본!$AU$8:$AU$2007,$U164))=10,LEFT(INDEX(매출원본!$AU$8:$AU$2007,$U164),3)&amp;"-"&amp;MID(INDEX(매출원본!$AU$8:$AU$2007,$U164),4,2)&amp;"-"&amp;RIGHT(INDEX(매출원본!$AU$8:$AU$2007,$U164),5),IF(LEFT(INDEX(매출원본!$AU$8:$AU$2007,$U164),2)="N:","(번호 없음)",INDEX(매출원본!$AU$8:$AU$2007,$U164))))</f>
        <v/>
      </c>
      <c r="C164" s="38">
        <f>IF($U164="","",INDEX(매출원본!$AV$8:$AV$2007,$U164))</f>
        <v/>
      </c>
      <c r="D164" s="39">
        <f>IF($U164="","",IF($T164="",0,N(INDEX(거래처설정!$E$8:$E$407,$T164))))</f>
        <v/>
      </c>
      <c r="E164" s="39">
        <f>IF($U164="","",SUMIFS(매출원본!$AT$8:$AT$2007,매출원본!$AY$8:$AY$2007,$A164,매출원본!$AS$8:$AS$2007,"&lt;="&amp;설정!$B$5))</f>
        <v/>
      </c>
      <c r="F164" s="39">
        <f>IF($U164="","",SUMIFS(입금_은행1!$Z$8:$Z$2007,입금_은행1!$AC$8:$AC$2007,$A164,입금_은행1!$Y$8:$Y$2007,"&lt;="&amp;설정!$B$5)+SUMIFS(입금_은행2!$Z$8:$Z$2007,입금_은행2!$AC$8:$AC$2007,$A164,입금_은행2!$Y$8:$Y$2007,"&lt;="&amp;설정!$B$5))</f>
        <v/>
      </c>
      <c r="G164" s="39">
        <f>IF($U164="","",$D164+$E164-$F164)</f>
        <v/>
      </c>
      <c r="H164" s="39">
        <f>IF($U164="","",MIN(MAX($G164,0),$V164))</f>
        <v/>
      </c>
      <c r="I164" s="39">
        <f>IF($U164="","",MIN(MAX($G164,0),$W164)-MIN(MAX($G164,0),$V164))</f>
        <v/>
      </c>
      <c r="J164" s="39">
        <f>IF($U164="","",MIN(MAX($G164,0),$X164)-MIN(MAX($G164,0),$W164))</f>
        <v/>
      </c>
      <c r="K164" s="39">
        <f>IF($U164="","",MAX($G164,0)-MIN(MAX($G164,0),$X164))</f>
        <v/>
      </c>
      <c r="L164" s="40">
        <f>IF($U164="","",IF(MAX(SUMPRODUCT(MAX((입금_은행1!$AC$8:$AC$2007=$A164)*(입금_은행1!$AE$8:$AE$2007&lt;=설정!$B$5)*입금_은행1!$AE$8:$AE$2007)),SUMPRODUCT(MAX((입금_은행2!$AC$8:$AC$2007=$A164)*(입금_은행2!$AE$8:$AE$2007&lt;=설정!$B$5)*입금_은행2!$AE$8:$AE$2007)))=0,"",MAX(SUMPRODUCT(MAX((입금_은행1!$AC$8:$AC$2007=$A164)*(입금_은행1!$AE$8:$AE$2007&lt;=설정!$B$5)*입금_은행1!$AE$8:$AE$2007)),SUMPRODUCT(MAX((입금_은행2!$AC$8:$AC$2007=$A164)*(입금_은행2!$AE$8:$AE$2007&lt;=설정!$B$5)*입금_은행2!$AE$8:$AE$2007)))))</f>
        <v/>
      </c>
      <c r="M164" s="38">
        <f>IF($U164="","",IF($T164="","",IF(INDEX(거래처설정!$F$8:$F$407,$T164)="","",INDEX(거래처설정!$F$8:$F$407,$T164))))</f>
        <v/>
      </c>
      <c r="N164" s="38">
        <f>IF($U164="","",IF($T164="","",IF(INDEX(거래처설정!$G$8:$G$407,$T164)="","",INDEX(거래처설정!$G$8:$G$407,$T164))))</f>
        <v/>
      </c>
      <c r="O164" s="38">
        <f>IF($U164="","",IF($M164="제외",0,IF($K164&gt;=설정!$B$9,3,IF($J164+$K164&gt;=설정!$B$9,2,IF($I164+$J164+$K164&gt;=설정!$B$9,1,0)))))</f>
        <v/>
      </c>
      <c r="P164" s="38">
        <f>IF($U164="","",IF($M164="제외","제외(조치 상태)",IF($O164=3,"③ 강한 독촉 후보 ("&amp;설정!$B$8&amp;"일 초과)",IF($O164=2,"② 독촉 후보 ("&amp;설정!$B$7&amp;"일 초과)",IF($O164=1,"① 안내 후보 ("&amp;설정!$B$6&amp;"일 초과)",IF($G164&gt;0,IF($I164+$J164+$K164&gt;0,"오래된 잔액 있음 (최소 금액 미만)","정상 범위"),IF($G164&lt;0,"선수금·초과입금 — 확인","완납")))))))</f>
        <v/>
      </c>
      <c r="Q164" s="38">
        <f>IF($U164="","",IF($G164&lt;0,"입금이 매출보다 큼 — 선수금이거나 다른 거래처 입금이 섞였는지 확인",IF(AND($AE164&lt;&gt;"",COUNTIF($AE$8:$AE$307,"*"&amp;$AE164&amp;"*")&gt;1),"이름이 다른 거래처와 겹침 — 입금이 잘못 맞았을 수 있으니 별칭 확인",IF(AND($G164&gt;0,$F164=0),"입금 매칭 없음 — 입금자명이 다르면 [거래처설정]에 별칭 등록",""))))</f>
        <v/>
      </c>
      <c r="R164" s="31">
        <f>IF(OR($U164="",$G164&lt;=0),"",$G164-$A164/10000)</f>
        <v/>
      </c>
      <c r="S164" s="31">
        <f>IF(OR($U164="",$O164&lt;1),"",$O164*10^11+$I164+$J164+$K164-$A164/1000)</f>
        <v/>
      </c>
      <c r="T164" s="31">
        <f>IF($U164="","",IFERROR(MATCH(INDEX(매출원본!$AU$8:$AU$2007,$U164),거래처설정!$I$8:$I$407,0),""))</f>
        <v/>
      </c>
      <c r="U164" s="31">
        <f>IFERROR(MATCH(157,매출원본!$AW$8:$AW$2007,0),"")</f>
        <v/>
      </c>
      <c r="V164" s="31">
        <f>IF($U164="","",MAX(SUMIFS(매출원본!$AT$8:$AT$2007,매출원본!$AY$8:$AY$2007,$A164,매출원본!$AS$8:$AS$2007,"&gt;="&amp;(설정!$B$5-설정!$B$6),매출원본!$AS$8:$AS$2007,"&lt;="&amp;설정!$B$5),0))</f>
        <v/>
      </c>
      <c r="W164" s="31">
        <f>IF($U164="","",MAX($V164,SUMIFS(매출원본!$AT$8:$AT$2007,매출원본!$AY$8:$AY$2007,$A164,매출원본!$AS$8:$AS$2007,"&gt;="&amp;(설정!$B$5-설정!$B$7),매출원본!$AS$8:$AS$2007,"&lt;="&amp;설정!$B$5)))</f>
        <v/>
      </c>
      <c r="X164" s="31">
        <f>IF($U164="","",MAX($W164,SUMIFS(매출원본!$AT$8:$AT$2007,매출원본!$AY$8:$AY$2007,$A164,매출원본!$AS$8:$AS$2007,"&gt;="&amp;(설정!$B$5-설정!$B$8),매출원본!$AS$8:$AS$2007,"&lt;="&amp;설정!$B$5)))</f>
        <v/>
      </c>
      <c r="AC164" s="31">
        <f>IF(OR($U164="",$T164=""),"",INDEX(거래처설정!$J$8:$J$407,$T164))</f>
        <v/>
      </c>
      <c r="AD164" s="31">
        <f>IF(OR($U164="",$T164=""),"",INDEX(거래처설정!$K$8:$K$407,$T164))</f>
        <v/>
      </c>
      <c r="AE164" s="31">
        <f>IF($U164="","",IF(LEN(SUBSTITUTE(SUBSTITUTE(SUBSTITUTE(SUBSTITUTE(SUBSTITUTE(SUBSTITUTE(SUBSTITUTE(SUBSTITUTE(SUBSTITUTE($C164," ",""),"　",""),"(주)",""),"（주）",""),"㈜",""),"주식회사",""),"(유)",""),"（유）",""),"유한회사",""))&lt;2,"",SUBSTITUTE(SUBSTITUTE(SUBSTITUTE(SUBSTITUTE(SUBSTITUTE(SUBSTITUTE(SUBSTITUTE(SUBSTITUTE(SUBSTITUTE($C164," ",""),"　",""),"(주)",""),"（주）",""),"㈜",""),"주식회사",""),"(유)",""),"（유）",""),"유한회사","")))</f>
        <v/>
      </c>
    </row>
    <row r="165">
      <c r="A165" s="38">
        <f>IF($U165="","",158)</f>
        <v/>
      </c>
      <c r="B165" s="38">
        <f>IF($U165="","",IF(LEN(INDEX(매출원본!$AU$8:$AU$2007,$U165))=10,LEFT(INDEX(매출원본!$AU$8:$AU$2007,$U165),3)&amp;"-"&amp;MID(INDEX(매출원본!$AU$8:$AU$2007,$U165),4,2)&amp;"-"&amp;RIGHT(INDEX(매출원본!$AU$8:$AU$2007,$U165),5),IF(LEFT(INDEX(매출원본!$AU$8:$AU$2007,$U165),2)="N:","(번호 없음)",INDEX(매출원본!$AU$8:$AU$2007,$U165))))</f>
        <v/>
      </c>
      <c r="C165" s="38">
        <f>IF($U165="","",INDEX(매출원본!$AV$8:$AV$2007,$U165))</f>
        <v/>
      </c>
      <c r="D165" s="39">
        <f>IF($U165="","",IF($T165="",0,N(INDEX(거래처설정!$E$8:$E$407,$T165))))</f>
        <v/>
      </c>
      <c r="E165" s="39">
        <f>IF($U165="","",SUMIFS(매출원본!$AT$8:$AT$2007,매출원본!$AY$8:$AY$2007,$A165,매출원본!$AS$8:$AS$2007,"&lt;="&amp;설정!$B$5))</f>
        <v/>
      </c>
      <c r="F165" s="39">
        <f>IF($U165="","",SUMIFS(입금_은행1!$Z$8:$Z$2007,입금_은행1!$AC$8:$AC$2007,$A165,입금_은행1!$Y$8:$Y$2007,"&lt;="&amp;설정!$B$5)+SUMIFS(입금_은행2!$Z$8:$Z$2007,입금_은행2!$AC$8:$AC$2007,$A165,입금_은행2!$Y$8:$Y$2007,"&lt;="&amp;설정!$B$5))</f>
        <v/>
      </c>
      <c r="G165" s="39">
        <f>IF($U165="","",$D165+$E165-$F165)</f>
        <v/>
      </c>
      <c r="H165" s="39">
        <f>IF($U165="","",MIN(MAX($G165,0),$V165))</f>
        <v/>
      </c>
      <c r="I165" s="39">
        <f>IF($U165="","",MIN(MAX($G165,0),$W165)-MIN(MAX($G165,0),$V165))</f>
        <v/>
      </c>
      <c r="J165" s="39">
        <f>IF($U165="","",MIN(MAX($G165,0),$X165)-MIN(MAX($G165,0),$W165))</f>
        <v/>
      </c>
      <c r="K165" s="39">
        <f>IF($U165="","",MAX($G165,0)-MIN(MAX($G165,0),$X165))</f>
        <v/>
      </c>
      <c r="L165" s="40">
        <f>IF($U165="","",IF(MAX(SUMPRODUCT(MAX((입금_은행1!$AC$8:$AC$2007=$A165)*(입금_은행1!$AE$8:$AE$2007&lt;=설정!$B$5)*입금_은행1!$AE$8:$AE$2007)),SUMPRODUCT(MAX((입금_은행2!$AC$8:$AC$2007=$A165)*(입금_은행2!$AE$8:$AE$2007&lt;=설정!$B$5)*입금_은행2!$AE$8:$AE$2007)))=0,"",MAX(SUMPRODUCT(MAX((입금_은행1!$AC$8:$AC$2007=$A165)*(입금_은행1!$AE$8:$AE$2007&lt;=설정!$B$5)*입금_은행1!$AE$8:$AE$2007)),SUMPRODUCT(MAX((입금_은행2!$AC$8:$AC$2007=$A165)*(입금_은행2!$AE$8:$AE$2007&lt;=설정!$B$5)*입금_은행2!$AE$8:$AE$2007)))))</f>
        <v/>
      </c>
      <c r="M165" s="38">
        <f>IF($U165="","",IF($T165="","",IF(INDEX(거래처설정!$F$8:$F$407,$T165)="","",INDEX(거래처설정!$F$8:$F$407,$T165))))</f>
        <v/>
      </c>
      <c r="N165" s="38">
        <f>IF($U165="","",IF($T165="","",IF(INDEX(거래처설정!$G$8:$G$407,$T165)="","",INDEX(거래처설정!$G$8:$G$407,$T165))))</f>
        <v/>
      </c>
      <c r="O165" s="38">
        <f>IF($U165="","",IF($M165="제외",0,IF($K165&gt;=설정!$B$9,3,IF($J165+$K165&gt;=설정!$B$9,2,IF($I165+$J165+$K165&gt;=설정!$B$9,1,0)))))</f>
        <v/>
      </c>
      <c r="P165" s="38">
        <f>IF($U165="","",IF($M165="제외","제외(조치 상태)",IF($O165=3,"③ 강한 독촉 후보 ("&amp;설정!$B$8&amp;"일 초과)",IF($O165=2,"② 독촉 후보 ("&amp;설정!$B$7&amp;"일 초과)",IF($O165=1,"① 안내 후보 ("&amp;설정!$B$6&amp;"일 초과)",IF($G165&gt;0,IF($I165+$J165+$K165&gt;0,"오래된 잔액 있음 (최소 금액 미만)","정상 범위"),IF($G165&lt;0,"선수금·초과입금 — 확인","완납")))))))</f>
        <v/>
      </c>
      <c r="Q165" s="38">
        <f>IF($U165="","",IF($G165&lt;0,"입금이 매출보다 큼 — 선수금이거나 다른 거래처 입금이 섞였는지 확인",IF(AND($AE165&lt;&gt;"",COUNTIF($AE$8:$AE$307,"*"&amp;$AE165&amp;"*")&gt;1),"이름이 다른 거래처와 겹침 — 입금이 잘못 맞았을 수 있으니 별칭 확인",IF(AND($G165&gt;0,$F165=0),"입금 매칭 없음 — 입금자명이 다르면 [거래처설정]에 별칭 등록",""))))</f>
        <v/>
      </c>
      <c r="R165" s="31">
        <f>IF(OR($U165="",$G165&lt;=0),"",$G165-$A165/10000)</f>
        <v/>
      </c>
      <c r="S165" s="31">
        <f>IF(OR($U165="",$O165&lt;1),"",$O165*10^11+$I165+$J165+$K165-$A165/1000)</f>
        <v/>
      </c>
      <c r="T165" s="31">
        <f>IF($U165="","",IFERROR(MATCH(INDEX(매출원본!$AU$8:$AU$2007,$U165),거래처설정!$I$8:$I$407,0),""))</f>
        <v/>
      </c>
      <c r="U165" s="31">
        <f>IFERROR(MATCH(158,매출원본!$AW$8:$AW$2007,0),"")</f>
        <v/>
      </c>
      <c r="V165" s="31">
        <f>IF($U165="","",MAX(SUMIFS(매출원본!$AT$8:$AT$2007,매출원본!$AY$8:$AY$2007,$A165,매출원본!$AS$8:$AS$2007,"&gt;="&amp;(설정!$B$5-설정!$B$6),매출원본!$AS$8:$AS$2007,"&lt;="&amp;설정!$B$5),0))</f>
        <v/>
      </c>
      <c r="W165" s="31">
        <f>IF($U165="","",MAX($V165,SUMIFS(매출원본!$AT$8:$AT$2007,매출원본!$AY$8:$AY$2007,$A165,매출원본!$AS$8:$AS$2007,"&gt;="&amp;(설정!$B$5-설정!$B$7),매출원본!$AS$8:$AS$2007,"&lt;="&amp;설정!$B$5)))</f>
        <v/>
      </c>
      <c r="X165" s="31">
        <f>IF($U165="","",MAX($W165,SUMIFS(매출원본!$AT$8:$AT$2007,매출원본!$AY$8:$AY$2007,$A165,매출원본!$AS$8:$AS$2007,"&gt;="&amp;(설정!$B$5-설정!$B$8),매출원본!$AS$8:$AS$2007,"&lt;="&amp;설정!$B$5)))</f>
        <v/>
      </c>
      <c r="AC165" s="31">
        <f>IF(OR($U165="",$T165=""),"",INDEX(거래처설정!$J$8:$J$407,$T165))</f>
        <v/>
      </c>
      <c r="AD165" s="31">
        <f>IF(OR($U165="",$T165=""),"",INDEX(거래처설정!$K$8:$K$407,$T165))</f>
        <v/>
      </c>
      <c r="AE165" s="31">
        <f>IF($U165="","",IF(LEN(SUBSTITUTE(SUBSTITUTE(SUBSTITUTE(SUBSTITUTE(SUBSTITUTE(SUBSTITUTE(SUBSTITUTE(SUBSTITUTE(SUBSTITUTE($C165," ",""),"　",""),"(주)",""),"（주）",""),"㈜",""),"주식회사",""),"(유)",""),"（유）",""),"유한회사",""))&lt;2,"",SUBSTITUTE(SUBSTITUTE(SUBSTITUTE(SUBSTITUTE(SUBSTITUTE(SUBSTITUTE(SUBSTITUTE(SUBSTITUTE(SUBSTITUTE($C165," ",""),"　",""),"(주)",""),"（주）",""),"㈜",""),"주식회사",""),"(유)",""),"（유）",""),"유한회사","")))</f>
        <v/>
      </c>
    </row>
    <row r="166">
      <c r="A166" s="38">
        <f>IF($U166="","",159)</f>
        <v/>
      </c>
      <c r="B166" s="38">
        <f>IF($U166="","",IF(LEN(INDEX(매출원본!$AU$8:$AU$2007,$U166))=10,LEFT(INDEX(매출원본!$AU$8:$AU$2007,$U166),3)&amp;"-"&amp;MID(INDEX(매출원본!$AU$8:$AU$2007,$U166),4,2)&amp;"-"&amp;RIGHT(INDEX(매출원본!$AU$8:$AU$2007,$U166),5),IF(LEFT(INDEX(매출원본!$AU$8:$AU$2007,$U166),2)="N:","(번호 없음)",INDEX(매출원본!$AU$8:$AU$2007,$U166))))</f>
        <v/>
      </c>
      <c r="C166" s="38">
        <f>IF($U166="","",INDEX(매출원본!$AV$8:$AV$2007,$U166))</f>
        <v/>
      </c>
      <c r="D166" s="39">
        <f>IF($U166="","",IF($T166="",0,N(INDEX(거래처설정!$E$8:$E$407,$T166))))</f>
        <v/>
      </c>
      <c r="E166" s="39">
        <f>IF($U166="","",SUMIFS(매출원본!$AT$8:$AT$2007,매출원본!$AY$8:$AY$2007,$A166,매출원본!$AS$8:$AS$2007,"&lt;="&amp;설정!$B$5))</f>
        <v/>
      </c>
      <c r="F166" s="39">
        <f>IF($U166="","",SUMIFS(입금_은행1!$Z$8:$Z$2007,입금_은행1!$AC$8:$AC$2007,$A166,입금_은행1!$Y$8:$Y$2007,"&lt;="&amp;설정!$B$5)+SUMIFS(입금_은행2!$Z$8:$Z$2007,입금_은행2!$AC$8:$AC$2007,$A166,입금_은행2!$Y$8:$Y$2007,"&lt;="&amp;설정!$B$5))</f>
        <v/>
      </c>
      <c r="G166" s="39">
        <f>IF($U166="","",$D166+$E166-$F166)</f>
        <v/>
      </c>
      <c r="H166" s="39">
        <f>IF($U166="","",MIN(MAX($G166,0),$V166))</f>
        <v/>
      </c>
      <c r="I166" s="39">
        <f>IF($U166="","",MIN(MAX($G166,0),$W166)-MIN(MAX($G166,0),$V166))</f>
        <v/>
      </c>
      <c r="J166" s="39">
        <f>IF($U166="","",MIN(MAX($G166,0),$X166)-MIN(MAX($G166,0),$W166))</f>
        <v/>
      </c>
      <c r="K166" s="39">
        <f>IF($U166="","",MAX($G166,0)-MIN(MAX($G166,0),$X166))</f>
        <v/>
      </c>
      <c r="L166" s="40">
        <f>IF($U166="","",IF(MAX(SUMPRODUCT(MAX((입금_은행1!$AC$8:$AC$2007=$A166)*(입금_은행1!$AE$8:$AE$2007&lt;=설정!$B$5)*입금_은행1!$AE$8:$AE$2007)),SUMPRODUCT(MAX((입금_은행2!$AC$8:$AC$2007=$A166)*(입금_은행2!$AE$8:$AE$2007&lt;=설정!$B$5)*입금_은행2!$AE$8:$AE$2007)))=0,"",MAX(SUMPRODUCT(MAX((입금_은행1!$AC$8:$AC$2007=$A166)*(입금_은행1!$AE$8:$AE$2007&lt;=설정!$B$5)*입금_은행1!$AE$8:$AE$2007)),SUMPRODUCT(MAX((입금_은행2!$AC$8:$AC$2007=$A166)*(입금_은행2!$AE$8:$AE$2007&lt;=설정!$B$5)*입금_은행2!$AE$8:$AE$2007)))))</f>
        <v/>
      </c>
      <c r="M166" s="38">
        <f>IF($U166="","",IF($T166="","",IF(INDEX(거래처설정!$F$8:$F$407,$T166)="","",INDEX(거래처설정!$F$8:$F$407,$T166))))</f>
        <v/>
      </c>
      <c r="N166" s="38">
        <f>IF($U166="","",IF($T166="","",IF(INDEX(거래처설정!$G$8:$G$407,$T166)="","",INDEX(거래처설정!$G$8:$G$407,$T166))))</f>
        <v/>
      </c>
      <c r="O166" s="38">
        <f>IF($U166="","",IF($M166="제외",0,IF($K166&gt;=설정!$B$9,3,IF($J166+$K166&gt;=설정!$B$9,2,IF($I166+$J166+$K166&gt;=설정!$B$9,1,0)))))</f>
        <v/>
      </c>
      <c r="P166" s="38">
        <f>IF($U166="","",IF($M166="제외","제외(조치 상태)",IF($O166=3,"③ 강한 독촉 후보 ("&amp;설정!$B$8&amp;"일 초과)",IF($O166=2,"② 독촉 후보 ("&amp;설정!$B$7&amp;"일 초과)",IF($O166=1,"① 안내 후보 ("&amp;설정!$B$6&amp;"일 초과)",IF($G166&gt;0,IF($I166+$J166+$K166&gt;0,"오래된 잔액 있음 (최소 금액 미만)","정상 범위"),IF($G166&lt;0,"선수금·초과입금 — 확인","완납")))))))</f>
        <v/>
      </c>
      <c r="Q166" s="38">
        <f>IF($U166="","",IF($G166&lt;0,"입금이 매출보다 큼 — 선수금이거나 다른 거래처 입금이 섞였는지 확인",IF(AND($AE166&lt;&gt;"",COUNTIF($AE$8:$AE$307,"*"&amp;$AE166&amp;"*")&gt;1),"이름이 다른 거래처와 겹침 — 입금이 잘못 맞았을 수 있으니 별칭 확인",IF(AND($G166&gt;0,$F166=0),"입금 매칭 없음 — 입금자명이 다르면 [거래처설정]에 별칭 등록",""))))</f>
        <v/>
      </c>
      <c r="R166" s="31">
        <f>IF(OR($U166="",$G166&lt;=0),"",$G166-$A166/10000)</f>
        <v/>
      </c>
      <c r="S166" s="31">
        <f>IF(OR($U166="",$O166&lt;1),"",$O166*10^11+$I166+$J166+$K166-$A166/1000)</f>
        <v/>
      </c>
      <c r="T166" s="31">
        <f>IF($U166="","",IFERROR(MATCH(INDEX(매출원본!$AU$8:$AU$2007,$U166),거래처설정!$I$8:$I$407,0),""))</f>
        <v/>
      </c>
      <c r="U166" s="31">
        <f>IFERROR(MATCH(159,매출원본!$AW$8:$AW$2007,0),"")</f>
        <v/>
      </c>
      <c r="V166" s="31">
        <f>IF($U166="","",MAX(SUMIFS(매출원본!$AT$8:$AT$2007,매출원본!$AY$8:$AY$2007,$A166,매출원본!$AS$8:$AS$2007,"&gt;="&amp;(설정!$B$5-설정!$B$6),매출원본!$AS$8:$AS$2007,"&lt;="&amp;설정!$B$5),0))</f>
        <v/>
      </c>
      <c r="W166" s="31">
        <f>IF($U166="","",MAX($V166,SUMIFS(매출원본!$AT$8:$AT$2007,매출원본!$AY$8:$AY$2007,$A166,매출원본!$AS$8:$AS$2007,"&gt;="&amp;(설정!$B$5-설정!$B$7),매출원본!$AS$8:$AS$2007,"&lt;="&amp;설정!$B$5)))</f>
        <v/>
      </c>
      <c r="X166" s="31">
        <f>IF($U166="","",MAX($W166,SUMIFS(매출원본!$AT$8:$AT$2007,매출원본!$AY$8:$AY$2007,$A166,매출원본!$AS$8:$AS$2007,"&gt;="&amp;(설정!$B$5-설정!$B$8),매출원본!$AS$8:$AS$2007,"&lt;="&amp;설정!$B$5)))</f>
        <v/>
      </c>
      <c r="AC166" s="31">
        <f>IF(OR($U166="",$T166=""),"",INDEX(거래처설정!$J$8:$J$407,$T166))</f>
        <v/>
      </c>
      <c r="AD166" s="31">
        <f>IF(OR($U166="",$T166=""),"",INDEX(거래처설정!$K$8:$K$407,$T166))</f>
        <v/>
      </c>
      <c r="AE166" s="31">
        <f>IF($U166="","",IF(LEN(SUBSTITUTE(SUBSTITUTE(SUBSTITUTE(SUBSTITUTE(SUBSTITUTE(SUBSTITUTE(SUBSTITUTE(SUBSTITUTE(SUBSTITUTE($C166," ",""),"　",""),"(주)",""),"（주）",""),"㈜",""),"주식회사",""),"(유)",""),"（유）",""),"유한회사",""))&lt;2,"",SUBSTITUTE(SUBSTITUTE(SUBSTITUTE(SUBSTITUTE(SUBSTITUTE(SUBSTITUTE(SUBSTITUTE(SUBSTITUTE(SUBSTITUTE($C166," ",""),"　",""),"(주)",""),"（주）",""),"㈜",""),"주식회사",""),"(유)",""),"（유）",""),"유한회사","")))</f>
        <v/>
      </c>
    </row>
    <row r="167">
      <c r="A167" s="38">
        <f>IF($U167="","",160)</f>
        <v/>
      </c>
      <c r="B167" s="38">
        <f>IF($U167="","",IF(LEN(INDEX(매출원본!$AU$8:$AU$2007,$U167))=10,LEFT(INDEX(매출원본!$AU$8:$AU$2007,$U167),3)&amp;"-"&amp;MID(INDEX(매출원본!$AU$8:$AU$2007,$U167),4,2)&amp;"-"&amp;RIGHT(INDEX(매출원본!$AU$8:$AU$2007,$U167),5),IF(LEFT(INDEX(매출원본!$AU$8:$AU$2007,$U167),2)="N:","(번호 없음)",INDEX(매출원본!$AU$8:$AU$2007,$U167))))</f>
        <v/>
      </c>
      <c r="C167" s="38">
        <f>IF($U167="","",INDEX(매출원본!$AV$8:$AV$2007,$U167))</f>
        <v/>
      </c>
      <c r="D167" s="39">
        <f>IF($U167="","",IF($T167="",0,N(INDEX(거래처설정!$E$8:$E$407,$T167))))</f>
        <v/>
      </c>
      <c r="E167" s="39">
        <f>IF($U167="","",SUMIFS(매출원본!$AT$8:$AT$2007,매출원본!$AY$8:$AY$2007,$A167,매출원본!$AS$8:$AS$2007,"&lt;="&amp;설정!$B$5))</f>
        <v/>
      </c>
      <c r="F167" s="39">
        <f>IF($U167="","",SUMIFS(입금_은행1!$Z$8:$Z$2007,입금_은행1!$AC$8:$AC$2007,$A167,입금_은행1!$Y$8:$Y$2007,"&lt;="&amp;설정!$B$5)+SUMIFS(입금_은행2!$Z$8:$Z$2007,입금_은행2!$AC$8:$AC$2007,$A167,입금_은행2!$Y$8:$Y$2007,"&lt;="&amp;설정!$B$5))</f>
        <v/>
      </c>
      <c r="G167" s="39">
        <f>IF($U167="","",$D167+$E167-$F167)</f>
        <v/>
      </c>
      <c r="H167" s="39">
        <f>IF($U167="","",MIN(MAX($G167,0),$V167))</f>
        <v/>
      </c>
      <c r="I167" s="39">
        <f>IF($U167="","",MIN(MAX($G167,0),$W167)-MIN(MAX($G167,0),$V167))</f>
        <v/>
      </c>
      <c r="J167" s="39">
        <f>IF($U167="","",MIN(MAX($G167,0),$X167)-MIN(MAX($G167,0),$W167))</f>
        <v/>
      </c>
      <c r="K167" s="39">
        <f>IF($U167="","",MAX($G167,0)-MIN(MAX($G167,0),$X167))</f>
        <v/>
      </c>
      <c r="L167" s="40">
        <f>IF($U167="","",IF(MAX(SUMPRODUCT(MAX((입금_은행1!$AC$8:$AC$2007=$A167)*(입금_은행1!$AE$8:$AE$2007&lt;=설정!$B$5)*입금_은행1!$AE$8:$AE$2007)),SUMPRODUCT(MAX((입금_은행2!$AC$8:$AC$2007=$A167)*(입금_은행2!$AE$8:$AE$2007&lt;=설정!$B$5)*입금_은행2!$AE$8:$AE$2007)))=0,"",MAX(SUMPRODUCT(MAX((입금_은행1!$AC$8:$AC$2007=$A167)*(입금_은행1!$AE$8:$AE$2007&lt;=설정!$B$5)*입금_은행1!$AE$8:$AE$2007)),SUMPRODUCT(MAX((입금_은행2!$AC$8:$AC$2007=$A167)*(입금_은행2!$AE$8:$AE$2007&lt;=설정!$B$5)*입금_은행2!$AE$8:$AE$2007)))))</f>
        <v/>
      </c>
      <c r="M167" s="38">
        <f>IF($U167="","",IF($T167="","",IF(INDEX(거래처설정!$F$8:$F$407,$T167)="","",INDEX(거래처설정!$F$8:$F$407,$T167))))</f>
        <v/>
      </c>
      <c r="N167" s="38">
        <f>IF($U167="","",IF($T167="","",IF(INDEX(거래처설정!$G$8:$G$407,$T167)="","",INDEX(거래처설정!$G$8:$G$407,$T167))))</f>
        <v/>
      </c>
      <c r="O167" s="38">
        <f>IF($U167="","",IF($M167="제외",0,IF($K167&gt;=설정!$B$9,3,IF($J167+$K167&gt;=설정!$B$9,2,IF($I167+$J167+$K167&gt;=설정!$B$9,1,0)))))</f>
        <v/>
      </c>
      <c r="P167" s="38">
        <f>IF($U167="","",IF($M167="제외","제외(조치 상태)",IF($O167=3,"③ 강한 독촉 후보 ("&amp;설정!$B$8&amp;"일 초과)",IF($O167=2,"② 독촉 후보 ("&amp;설정!$B$7&amp;"일 초과)",IF($O167=1,"① 안내 후보 ("&amp;설정!$B$6&amp;"일 초과)",IF($G167&gt;0,IF($I167+$J167+$K167&gt;0,"오래된 잔액 있음 (최소 금액 미만)","정상 범위"),IF($G167&lt;0,"선수금·초과입금 — 확인","완납")))))))</f>
        <v/>
      </c>
      <c r="Q167" s="38">
        <f>IF($U167="","",IF($G167&lt;0,"입금이 매출보다 큼 — 선수금이거나 다른 거래처 입금이 섞였는지 확인",IF(AND($AE167&lt;&gt;"",COUNTIF($AE$8:$AE$307,"*"&amp;$AE167&amp;"*")&gt;1),"이름이 다른 거래처와 겹침 — 입금이 잘못 맞았을 수 있으니 별칭 확인",IF(AND($G167&gt;0,$F167=0),"입금 매칭 없음 — 입금자명이 다르면 [거래처설정]에 별칭 등록",""))))</f>
        <v/>
      </c>
      <c r="R167" s="31">
        <f>IF(OR($U167="",$G167&lt;=0),"",$G167-$A167/10000)</f>
        <v/>
      </c>
      <c r="S167" s="31">
        <f>IF(OR($U167="",$O167&lt;1),"",$O167*10^11+$I167+$J167+$K167-$A167/1000)</f>
        <v/>
      </c>
      <c r="T167" s="31">
        <f>IF($U167="","",IFERROR(MATCH(INDEX(매출원본!$AU$8:$AU$2007,$U167),거래처설정!$I$8:$I$407,0),""))</f>
        <v/>
      </c>
      <c r="U167" s="31">
        <f>IFERROR(MATCH(160,매출원본!$AW$8:$AW$2007,0),"")</f>
        <v/>
      </c>
      <c r="V167" s="31">
        <f>IF($U167="","",MAX(SUMIFS(매출원본!$AT$8:$AT$2007,매출원본!$AY$8:$AY$2007,$A167,매출원본!$AS$8:$AS$2007,"&gt;="&amp;(설정!$B$5-설정!$B$6),매출원본!$AS$8:$AS$2007,"&lt;="&amp;설정!$B$5),0))</f>
        <v/>
      </c>
      <c r="W167" s="31">
        <f>IF($U167="","",MAX($V167,SUMIFS(매출원본!$AT$8:$AT$2007,매출원본!$AY$8:$AY$2007,$A167,매출원본!$AS$8:$AS$2007,"&gt;="&amp;(설정!$B$5-설정!$B$7),매출원본!$AS$8:$AS$2007,"&lt;="&amp;설정!$B$5)))</f>
        <v/>
      </c>
      <c r="X167" s="31">
        <f>IF($U167="","",MAX($W167,SUMIFS(매출원본!$AT$8:$AT$2007,매출원본!$AY$8:$AY$2007,$A167,매출원본!$AS$8:$AS$2007,"&gt;="&amp;(설정!$B$5-설정!$B$8),매출원본!$AS$8:$AS$2007,"&lt;="&amp;설정!$B$5)))</f>
        <v/>
      </c>
      <c r="AC167" s="31">
        <f>IF(OR($U167="",$T167=""),"",INDEX(거래처설정!$J$8:$J$407,$T167))</f>
        <v/>
      </c>
      <c r="AD167" s="31">
        <f>IF(OR($U167="",$T167=""),"",INDEX(거래처설정!$K$8:$K$407,$T167))</f>
        <v/>
      </c>
      <c r="AE167" s="31">
        <f>IF($U167="","",IF(LEN(SUBSTITUTE(SUBSTITUTE(SUBSTITUTE(SUBSTITUTE(SUBSTITUTE(SUBSTITUTE(SUBSTITUTE(SUBSTITUTE(SUBSTITUTE($C167," ",""),"　",""),"(주)",""),"（주）",""),"㈜",""),"주식회사",""),"(유)",""),"（유）",""),"유한회사",""))&lt;2,"",SUBSTITUTE(SUBSTITUTE(SUBSTITUTE(SUBSTITUTE(SUBSTITUTE(SUBSTITUTE(SUBSTITUTE(SUBSTITUTE(SUBSTITUTE($C167," ",""),"　",""),"(주)",""),"（주）",""),"㈜",""),"주식회사",""),"(유)",""),"（유）",""),"유한회사","")))</f>
        <v/>
      </c>
    </row>
    <row r="168">
      <c r="A168" s="38">
        <f>IF($U168="","",161)</f>
        <v/>
      </c>
      <c r="B168" s="38">
        <f>IF($U168="","",IF(LEN(INDEX(매출원본!$AU$8:$AU$2007,$U168))=10,LEFT(INDEX(매출원본!$AU$8:$AU$2007,$U168),3)&amp;"-"&amp;MID(INDEX(매출원본!$AU$8:$AU$2007,$U168),4,2)&amp;"-"&amp;RIGHT(INDEX(매출원본!$AU$8:$AU$2007,$U168),5),IF(LEFT(INDEX(매출원본!$AU$8:$AU$2007,$U168),2)="N:","(번호 없음)",INDEX(매출원본!$AU$8:$AU$2007,$U168))))</f>
        <v/>
      </c>
      <c r="C168" s="38">
        <f>IF($U168="","",INDEX(매출원본!$AV$8:$AV$2007,$U168))</f>
        <v/>
      </c>
      <c r="D168" s="39">
        <f>IF($U168="","",IF($T168="",0,N(INDEX(거래처설정!$E$8:$E$407,$T168))))</f>
        <v/>
      </c>
      <c r="E168" s="39">
        <f>IF($U168="","",SUMIFS(매출원본!$AT$8:$AT$2007,매출원본!$AY$8:$AY$2007,$A168,매출원본!$AS$8:$AS$2007,"&lt;="&amp;설정!$B$5))</f>
        <v/>
      </c>
      <c r="F168" s="39">
        <f>IF($U168="","",SUMIFS(입금_은행1!$Z$8:$Z$2007,입금_은행1!$AC$8:$AC$2007,$A168,입금_은행1!$Y$8:$Y$2007,"&lt;="&amp;설정!$B$5)+SUMIFS(입금_은행2!$Z$8:$Z$2007,입금_은행2!$AC$8:$AC$2007,$A168,입금_은행2!$Y$8:$Y$2007,"&lt;="&amp;설정!$B$5))</f>
        <v/>
      </c>
      <c r="G168" s="39">
        <f>IF($U168="","",$D168+$E168-$F168)</f>
        <v/>
      </c>
      <c r="H168" s="39">
        <f>IF($U168="","",MIN(MAX($G168,0),$V168))</f>
        <v/>
      </c>
      <c r="I168" s="39">
        <f>IF($U168="","",MIN(MAX($G168,0),$W168)-MIN(MAX($G168,0),$V168))</f>
        <v/>
      </c>
      <c r="J168" s="39">
        <f>IF($U168="","",MIN(MAX($G168,0),$X168)-MIN(MAX($G168,0),$W168))</f>
        <v/>
      </c>
      <c r="K168" s="39">
        <f>IF($U168="","",MAX($G168,0)-MIN(MAX($G168,0),$X168))</f>
        <v/>
      </c>
      <c r="L168" s="40">
        <f>IF($U168="","",IF(MAX(SUMPRODUCT(MAX((입금_은행1!$AC$8:$AC$2007=$A168)*(입금_은행1!$AE$8:$AE$2007&lt;=설정!$B$5)*입금_은행1!$AE$8:$AE$2007)),SUMPRODUCT(MAX((입금_은행2!$AC$8:$AC$2007=$A168)*(입금_은행2!$AE$8:$AE$2007&lt;=설정!$B$5)*입금_은행2!$AE$8:$AE$2007)))=0,"",MAX(SUMPRODUCT(MAX((입금_은행1!$AC$8:$AC$2007=$A168)*(입금_은행1!$AE$8:$AE$2007&lt;=설정!$B$5)*입금_은행1!$AE$8:$AE$2007)),SUMPRODUCT(MAX((입금_은행2!$AC$8:$AC$2007=$A168)*(입금_은행2!$AE$8:$AE$2007&lt;=설정!$B$5)*입금_은행2!$AE$8:$AE$2007)))))</f>
        <v/>
      </c>
      <c r="M168" s="38">
        <f>IF($U168="","",IF($T168="","",IF(INDEX(거래처설정!$F$8:$F$407,$T168)="","",INDEX(거래처설정!$F$8:$F$407,$T168))))</f>
        <v/>
      </c>
      <c r="N168" s="38">
        <f>IF($U168="","",IF($T168="","",IF(INDEX(거래처설정!$G$8:$G$407,$T168)="","",INDEX(거래처설정!$G$8:$G$407,$T168))))</f>
        <v/>
      </c>
      <c r="O168" s="38">
        <f>IF($U168="","",IF($M168="제외",0,IF($K168&gt;=설정!$B$9,3,IF($J168+$K168&gt;=설정!$B$9,2,IF($I168+$J168+$K168&gt;=설정!$B$9,1,0)))))</f>
        <v/>
      </c>
      <c r="P168" s="38">
        <f>IF($U168="","",IF($M168="제외","제외(조치 상태)",IF($O168=3,"③ 강한 독촉 후보 ("&amp;설정!$B$8&amp;"일 초과)",IF($O168=2,"② 독촉 후보 ("&amp;설정!$B$7&amp;"일 초과)",IF($O168=1,"① 안내 후보 ("&amp;설정!$B$6&amp;"일 초과)",IF($G168&gt;0,IF($I168+$J168+$K168&gt;0,"오래된 잔액 있음 (최소 금액 미만)","정상 범위"),IF($G168&lt;0,"선수금·초과입금 — 확인","완납")))))))</f>
        <v/>
      </c>
      <c r="Q168" s="38">
        <f>IF($U168="","",IF($G168&lt;0,"입금이 매출보다 큼 — 선수금이거나 다른 거래처 입금이 섞였는지 확인",IF(AND($AE168&lt;&gt;"",COUNTIF($AE$8:$AE$307,"*"&amp;$AE168&amp;"*")&gt;1),"이름이 다른 거래처와 겹침 — 입금이 잘못 맞았을 수 있으니 별칭 확인",IF(AND($G168&gt;0,$F168=0),"입금 매칭 없음 — 입금자명이 다르면 [거래처설정]에 별칭 등록",""))))</f>
        <v/>
      </c>
      <c r="R168" s="31">
        <f>IF(OR($U168="",$G168&lt;=0),"",$G168-$A168/10000)</f>
        <v/>
      </c>
      <c r="S168" s="31">
        <f>IF(OR($U168="",$O168&lt;1),"",$O168*10^11+$I168+$J168+$K168-$A168/1000)</f>
        <v/>
      </c>
      <c r="T168" s="31">
        <f>IF($U168="","",IFERROR(MATCH(INDEX(매출원본!$AU$8:$AU$2007,$U168),거래처설정!$I$8:$I$407,0),""))</f>
        <v/>
      </c>
      <c r="U168" s="31">
        <f>IFERROR(MATCH(161,매출원본!$AW$8:$AW$2007,0),"")</f>
        <v/>
      </c>
      <c r="V168" s="31">
        <f>IF($U168="","",MAX(SUMIFS(매출원본!$AT$8:$AT$2007,매출원본!$AY$8:$AY$2007,$A168,매출원본!$AS$8:$AS$2007,"&gt;="&amp;(설정!$B$5-설정!$B$6),매출원본!$AS$8:$AS$2007,"&lt;="&amp;설정!$B$5),0))</f>
        <v/>
      </c>
      <c r="W168" s="31">
        <f>IF($U168="","",MAX($V168,SUMIFS(매출원본!$AT$8:$AT$2007,매출원본!$AY$8:$AY$2007,$A168,매출원본!$AS$8:$AS$2007,"&gt;="&amp;(설정!$B$5-설정!$B$7),매출원본!$AS$8:$AS$2007,"&lt;="&amp;설정!$B$5)))</f>
        <v/>
      </c>
      <c r="X168" s="31">
        <f>IF($U168="","",MAX($W168,SUMIFS(매출원본!$AT$8:$AT$2007,매출원본!$AY$8:$AY$2007,$A168,매출원본!$AS$8:$AS$2007,"&gt;="&amp;(설정!$B$5-설정!$B$8),매출원본!$AS$8:$AS$2007,"&lt;="&amp;설정!$B$5)))</f>
        <v/>
      </c>
      <c r="AC168" s="31">
        <f>IF(OR($U168="",$T168=""),"",INDEX(거래처설정!$J$8:$J$407,$T168))</f>
        <v/>
      </c>
      <c r="AD168" s="31">
        <f>IF(OR($U168="",$T168=""),"",INDEX(거래처설정!$K$8:$K$407,$T168))</f>
        <v/>
      </c>
      <c r="AE168" s="31">
        <f>IF($U168="","",IF(LEN(SUBSTITUTE(SUBSTITUTE(SUBSTITUTE(SUBSTITUTE(SUBSTITUTE(SUBSTITUTE(SUBSTITUTE(SUBSTITUTE(SUBSTITUTE($C168," ",""),"　",""),"(주)",""),"（주）",""),"㈜",""),"주식회사",""),"(유)",""),"（유）",""),"유한회사",""))&lt;2,"",SUBSTITUTE(SUBSTITUTE(SUBSTITUTE(SUBSTITUTE(SUBSTITUTE(SUBSTITUTE(SUBSTITUTE(SUBSTITUTE(SUBSTITUTE($C168," ",""),"　",""),"(주)",""),"（주）",""),"㈜",""),"주식회사",""),"(유)",""),"（유）",""),"유한회사","")))</f>
        <v/>
      </c>
    </row>
    <row r="169">
      <c r="A169" s="38">
        <f>IF($U169="","",162)</f>
        <v/>
      </c>
      <c r="B169" s="38">
        <f>IF($U169="","",IF(LEN(INDEX(매출원본!$AU$8:$AU$2007,$U169))=10,LEFT(INDEX(매출원본!$AU$8:$AU$2007,$U169),3)&amp;"-"&amp;MID(INDEX(매출원본!$AU$8:$AU$2007,$U169),4,2)&amp;"-"&amp;RIGHT(INDEX(매출원본!$AU$8:$AU$2007,$U169),5),IF(LEFT(INDEX(매출원본!$AU$8:$AU$2007,$U169),2)="N:","(번호 없음)",INDEX(매출원본!$AU$8:$AU$2007,$U169))))</f>
        <v/>
      </c>
      <c r="C169" s="38">
        <f>IF($U169="","",INDEX(매출원본!$AV$8:$AV$2007,$U169))</f>
        <v/>
      </c>
      <c r="D169" s="39">
        <f>IF($U169="","",IF($T169="",0,N(INDEX(거래처설정!$E$8:$E$407,$T169))))</f>
        <v/>
      </c>
      <c r="E169" s="39">
        <f>IF($U169="","",SUMIFS(매출원본!$AT$8:$AT$2007,매출원본!$AY$8:$AY$2007,$A169,매출원본!$AS$8:$AS$2007,"&lt;="&amp;설정!$B$5))</f>
        <v/>
      </c>
      <c r="F169" s="39">
        <f>IF($U169="","",SUMIFS(입금_은행1!$Z$8:$Z$2007,입금_은행1!$AC$8:$AC$2007,$A169,입금_은행1!$Y$8:$Y$2007,"&lt;="&amp;설정!$B$5)+SUMIFS(입금_은행2!$Z$8:$Z$2007,입금_은행2!$AC$8:$AC$2007,$A169,입금_은행2!$Y$8:$Y$2007,"&lt;="&amp;설정!$B$5))</f>
        <v/>
      </c>
      <c r="G169" s="39">
        <f>IF($U169="","",$D169+$E169-$F169)</f>
        <v/>
      </c>
      <c r="H169" s="39">
        <f>IF($U169="","",MIN(MAX($G169,0),$V169))</f>
        <v/>
      </c>
      <c r="I169" s="39">
        <f>IF($U169="","",MIN(MAX($G169,0),$W169)-MIN(MAX($G169,0),$V169))</f>
        <v/>
      </c>
      <c r="J169" s="39">
        <f>IF($U169="","",MIN(MAX($G169,0),$X169)-MIN(MAX($G169,0),$W169))</f>
        <v/>
      </c>
      <c r="K169" s="39">
        <f>IF($U169="","",MAX($G169,0)-MIN(MAX($G169,0),$X169))</f>
        <v/>
      </c>
      <c r="L169" s="40">
        <f>IF($U169="","",IF(MAX(SUMPRODUCT(MAX((입금_은행1!$AC$8:$AC$2007=$A169)*(입금_은행1!$AE$8:$AE$2007&lt;=설정!$B$5)*입금_은행1!$AE$8:$AE$2007)),SUMPRODUCT(MAX((입금_은행2!$AC$8:$AC$2007=$A169)*(입금_은행2!$AE$8:$AE$2007&lt;=설정!$B$5)*입금_은행2!$AE$8:$AE$2007)))=0,"",MAX(SUMPRODUCT(MAX((입금_은행1!$AC$8:$AC$2007=$A169)*(입금_은행1!$AE$8:$AE$2007&lt;=설정!$B$5)*입금_은행1!$AE$8:$AE$2007)),SUMPRODUCT(MAX((입금_은행2!$AC$8:$AC$2007=$A169)*(입금_은행2!$AE$8:$AE$2007&lt;=설정!$B$5)*입금_은행2!$AE$8:$AE$2007)))))</f>
        <v/>
      </c>
      <c r="M169" s="38">
        <f>IF($U169="","",IF($T169="","",IF(INDEX(거래처설정!$F$8:$F$407,$T169)="","",INDEX(거래처설정!$F$8:$F$407,$T169))))</f>
        <v/>
      </c>
      <c r="N169" s="38">
        <f>IF($U169="","",IF($T169="","",IF(INDEX(거래처설정!$G$8:$G$407,$T169)="","",INDEX(거래처설정!$G$8:$G$407,$T169))))</f>
        <v/>
      </c>
      <c r="O169" s="38">
        <f>IF($U169="","",IF($M169="제외",0,IF($K169&gt;=설정!$B$9,3,IF($J169+$K169&gt;=설정!$B$9,2,IF($I169+$J169+$K169&gt;=설정!$B$9,1,0)))))</f>
        <v/>
      </c>
      <c r="P169" s="38">
        <f>IF($U169="","",IF($M169="제외","제외(조치 상태)",IF($O169=3,"③ 강한 독촉 후보 ("&amp;설정!$B$8&amp;"일 초과)",IF($O169=2,"② 독촉 후보 ("&amp;설정!$B$7&amp;"일 초과)",IF($O169=1,"① 안내 후보 ("&amp;설정!$B$6&amp;"일 초과)",IF($G169&gt;0,IF($I169+$J169+$K169&gt;0,"오래된 잔액 있음 (최소 금액 미만)","정상 범위"),IF($G169&lt;0,"선수금·초과입금 — 확인","완납")))))))</f>
        <v/>
      </c>
      <c r="Q169" s="38">
        <f>IF($U169="","",IF($G169&lt;0,"입금이 매출보다 큼 — 선수금이거나 다른 거래처 입금이 섞였는지 확인",IF(AND($AE169&lt;&gt;"",COUNTIF($AE$8:$AE$307,"*"&amp;$AE169&amp;"*")&gt;1),"이름이 다른 거래처와 겹침 — 입금이 잘못 맞았을 수 있으니 별칭 확인",IF(AND($G169&gt;0,$F169=0),"입금 매칭 없음 — 입금자명이 다르면 [거래처설정]에 별칭 등록",""))))</f>
        <v/>
      </c>
      <c r="R169" s="31">
        <f>IF(OR($U169="",$G169&lt;=0),"",$G169-$A169/10000)</f>
        <v/>
      </c>
      <c r="S169" s="31">
        <f>IF(OR($U169="",$O169&lt;1),"",$O169*10^11+$I169+$J169+$K169-$A169/1000)</f>
        <v/>
      </c>
      <c r="T169" s="31">
        <f>IF($U169="","",IFERROR(MATCH(INDEX(매출원본!$AU$8:$AU$2007,$U169),거래처설정!$I$8:$I$407,0),""))</f>
        <v/>
      </c>
      <c r="U169" s="31">
        <f>IFERROR(MATCH(162,매출원본!$AW$8:$AW$2007,0),"")</f>
        <v/>
      </c>
      <c r="V169" s="31">
        <f>IF($U169="","",MAX(SUMIFS(매출원본!$AT$8:$AT$2007,매출원본!$AY$8:$AY$2007,$A169,매출원본!$AS$8:$AS$2007,"&gt;="&amp;(설정!$B$5-설정!$B$6),매출원본!$AS$8:$AS$2007,"&lt;="&amp;설정!$B$5),0))</f>
        <v/>
      </c>
      <c r="W169" s="31">
        <f>IF($U169="","",MAX($V169,SUMIFS(매출원본!$AT$8:$AT$2007,매출원본!$AY$8:$AY$2007,$A169,매출원본!$AS$8:$AS$2007,"&gt;="&amp;(설정!$B$5-설정!$B$7),매출원본!$AS$8:$AS$2007,"&lt;="&amp;설정!$B$5)))</f>
        <v/>
      </c>
      <c r="X169" s="31">
        <f>IF($U169="","",MAX($W169,SUMIFS(매출원본!$AT$8:$AT$2007,매출원본!$AY$8:$AY$2007,$A169,매출원본!$AS$8:$AS$2007,"&gt;="&amp;(설정!$B$5-설정!$B$8),매출원본!$AS$8:$AS$2007,"&lt;="&amp;설정!$B$5)))</f>
        <v/>
      </c>
      <c r="AC169" s="31">
        <f>IF(OR($U169="",$T169=""),"",INDEX(거래처설정!$J$8:$J$407,$T169))</f>
        <v/>
      </c>
      <c r="AD169" s="31">
        <f>IF(OR($U169="",$T169=""),"",INDEX(거래처설정!$K$8:$K$407,$T169))</f>
        <v/>
      </c>
      <c r="AE169" s="31">
        <f>IF($U169="","",IF(LEN(SUBSTITUTE(SUBSTITUTE(SUBSTITUTE(SUBSTITUTE(SUBSTITUTE(SUBSTITUTE(SUBSTITUTE(SUBSTITUTE(SUBSTITUTE($C169," ",""),"　",""),"(주)",""),"（주）",""),"㈜",""),"주식회사",""),"(유)",""),"（유）",""),"유한회사",""))&lt;2,"",SUBSTITUTE(SUBSTITUTE(SUBSTITUTE(SUBSTITUTE(SUBSTITUTE(SUBSTITUTE(SUBSTITUTE(SUBSTITUTE(SUBSTITUTE($C169," ",""),"　",""),"(주)",""),"（주）",""),"㈜",""),"주식회사",""),"(유)",""),"（유）",""),"유한회사","")))</f>
        <v/>
      </c>
    </row>
    <row r="170">
      <c r="A170" s="38">
        <f>IF($U170="","",163)</f>
        <v/>
      </c>
      <c r="B170" s="38">
        <f>IF($U170="","",IF(LEN(INDEX(매출원본!$AU$8:$AU$2007,$U170))=10,LEFT(INDEX(매출원본!$AU$8:$AU$2007,$U170),3)&amp;"-"&amp;MID(INDEX(매출원본!$AU$8:$AU$2007,$U170),4,2)&amp;"-"&amp;RIGHT(INDEX(매출원본!$AU$8:$AU$2007,$U170),5),IF(LEFT(INDEX(매출원본!$AU$8:$AU$2007,$U170),2)="N:","(번호 없음)",INDEX(매출원본!$AU$8:$AU$2007,$U170))))</f>
        <v/>
      </c>
      <c r="C170" s="38">
        <f>IF($U170="","",INDEX(매출원본!$AV$8:$AV$2007,$U170))</f>
        <v/>
      </c>
      <c r="D170" s="39">
        <f>IF($U170="","",IF($T170="",0,N(INDEX(거래처설정!$E$8:$E$407,$T170))))</f>
        <v/>
      </c>
      <c r="E170" s="39">
        <f>IF($U170="","",SUMIFS(매출원본!$AT$8:$AT$2007,매출원본!$AY$8:$AY$2007,$A170,매출원본!$AS$8:$AS$2007,"&lt;="&amp;설정!$B$5))</f>
        <v/>
      </c>
      <c r="F170" s="39">
        <f>IF($U170="","",SUMIFS(입금_은행1!$Z$8:$Z$2007,입금_은행1!$AC$8:$AC$2007,$A170,입금_은행1!$Y$8:$Y$2007,"&lt;="&amp;설정!$B$5)+SUMIFS(입금_은행2!$Z$8:$Z$2007,입금_은행2!$AC$8:$AC$2007,$A170,입금_은행2!$Y$8:$Y$2007,"&lt;="&amp;설정!$B$5))</f>
        <v/>
      </c>
      <c r="G170" s="39">
        <f>IF($U170="","",$D170+$E170-$F170)</f>
        <v/>
      </c>
      <c r="H170" s="39">
        <f>IF($U170="","",MIN(MAX($G170,0),$V170))</f>
        <v/>
      </c>
      <c r="I170" s="39">
        <f>IF($U170="","",MIN(MAX($G170,0),$W170)-MIN(MAX($G170,0),$V170))</f>
        <v/>
      </c>
      <c r="J170" s="39">
        <f>IF($U170="","",MIN(MAX($G170,0),$X170)-MIN(MAX($G170,0),$W170))</f>
        <v/>
      </c>
      <c r="K170" s="39">
        <f>IF($U170="","",MAX($G170,0)-MIN(MAX($G170,0),$X170))</f>
        <v/>
      </c>
      <c r="L170" s="40">
        <f>IF($U170="","",IF(MAX(SUMPRODUCT(MAX((입금_은행1!$AC$8:$AC$2007=$A170)*(입금_은행1!$AE$8:$AE$2007&lt;=설정!$B$5)*입금_은행1!$AE$8:$AE$2007)),SUMPRODUCT(MAX((입금_은행2!$AC$8:$AC$2007=$A170)*(입금_은행2!$AE$8:$AE$2007&lt;=설정!$B$5)*입금_은행2!$AE$8:$AE$2007)))=0,"",MAX(SUMPRODUCT(MAX((입금_은행1!$AC$8:$AC$2007=$A170)*(입금_은행1!$AE$8:$AE$2007&lt;=설정!$B$5)*입금_은행1!$AE$8:$AE$2007)),SUMPRODUCT(MAX((입금_은행2!$AC$8:$AC$2007=$A170)*(입금_은행2!$AE$8:$AE$2007&lt;=설정!$B$5)*입금_은행2!$AE$8:$AE$2007)))))</f>
        <v/>
      </c>
      <c r="M170" s="38">
        <f>IF($U170="","",IF($T170="","",IF(INDEX(거래처설정!$F$8:$F$407,$T170)="","",INDEX(거래처설정!$F$8:$F$407,$T170))))</f>
        <v/>
      </c>
      <c r="N170" s="38">
        <f>IF($U170="","",IF($T170="","",IF(INDEX(거래처설정!$G$8:$G$407,$T170)="","",INDEX(거래처설정!$G$8:$G$407,$T170))))</f>
        <v/>
      </c>
      <c r="O170" s="38">
        <f>IF($U170="","",IF($M170="제외",0,IF($K170&gt;=설정!$B$9,3,IF($J170+$K170&gt;=설정!$B$9,2,IF($I170+$J170+$K170&gt;=설정!$B$9,1,0)))))</f>
        <v/>
      </c>
      <c r="P170" s="38">
        <f>IF($U170="","",IF($M170="제외","제외(조치 상태)",IF($O170=3,"③ 강한 독촉 후보 ("&amp;설정!$B$8&amp;"일 초과)",IF($O170=2,"② 독촉 후보 ("&amp;설정!$B$7&amp;"일 초과)",IF($O170=1,"① 안내 후보 ("&amp;설정!$B$6&amp;"일 초과)",IF($G170&gt;0,IF($I170+$J170+$K170&gt;0,"오래된 잔액 있음 (최소 금액 미만)","정상 범위"),IF($G170&lt;0,"선수금·초과입금 — 확인","완납")))))))</f>
        <v/>
      </c>
      <c r="Q170" s="38">
        <f>IF($U170="","",IF($G170&lt;0,"입금이 매출보다 큼 — 선수금이거나 다른 거래처 입금이 섞였는지 확인",IF(AND($AE170&lt;&gt;"",COUNTIF($AE$8:$AE$307,"*"&amp;$AE170&amp;"*")&gt;1),"이름이 다른 거래처와 겹침 — 입금이 잘못 맞았을 수 있으니 별칭 확인",IF(AND($G170&gt;0,$F170=0),"입금 매칭 없음 — 입금자명이 다르면 [거래처설정]에 별칭 등록",""))))</f>
        <v/>
      </c>
      <c r="R170" s="31">
        <f>IF(OR($U170="",$G170&lt;=0),"",$G170-$A170/10000)</f>
        <v/>
      </c>
      <c r="S170" s="31">
        <f>IF(OR($U170="",$O170&lt;1),"",$O170*10^11+$I170+$J170+$K170-$A170/1000)</f>
        <v/>
      </c>
      <c r="T170" s="31">
        <f>IF($U170="","",IFERROR(MATCH(INDEX(매출원본!$AU$8:$AU$2007,$U170),거래처설정!$I$8:$I$407,0),""))</f>
        <v/>
      </c>
      <c r="U170" s="31">
        <f>IFERROR(MATCH(163,매출원본!$AW$8:$AW$2007,0),"")</f>
        <v/>
      </c>
      <c r="V170" s="31">
        <f>IF($U170="","",MAX(SUMIFS(매출원본!$AT$8:$AT$2007,매출원본!$AY$8:$AY$2007,$A170,매출원본!$AS$8:$AS$2007,"&gt;="&amp;(설정!$B$5-설정!$B$6),매출원본!$AS$8:$AS$2007,"&lt;="&amp;설정!$B$5),0))</f>
        <v/>
      </c>
      <c r="W170" s="31">
        <f>IF($U170="","",MAX($V170,SUMIFS(매출원본!$AT$8:$AT$2007,매출원본!$AY$8:$AY$2007,$A170,매출원본!$AS$8:$AS$2007,"&gt;="&amp;(설정!$B$5-설정!$B$7),매출원본!$AS$8:$AS$2007,"&lt;="&amp;설정!$B$5)))</f>
        <v/>
      </c>
      <c r="X170" s="31">
        <f>IF($U170="","",MAX($W170,SUMIFS(매출원본!$AT$8:$AT$2007,매출원본!$AY$8:$AY$2007,$A170,매출원본!$AS$8:$AS$2007,"&gt;="&amp;(설정!$B$5-설정!$B$8),매출원본!$AS$8:$AS$2007,"&lt;="&amp;설정!$B$5)))</f>
        <v/>
      </c>
      <c r="AC170" s="31">
        <f>IF(OR($U170="",$T170=""),"",INDEX(거래처설정!$J$8:$J$407,$T170))</f>
        <v/>
      </c>
      <c r="AD170" s="31">
        <f>IF(OR($U170="",$T170=""),"",INDEX(거래처설정!$K$8:$K$407,$T170))</f>
        <v/>
      </c>
      <c r="AE170" s="31">
        <f>IF($U170="","",IF(LEN(SUBSTITUTE(SUBSTITUTE(SUBSTITUTE(SUBSTITUTE(SUBSTITUTE(SUBSTITUTE(SUBSTITUTE(SUBSTITUTE(SUBSTITUTE($C170," ",""),"　",""),"(주)",""),"（주）",""),"㈜",""),"주식회사",""),"(유)",""),"（유）",""),"유한회사",""))&lt;2,"",SUBSTITUTE(SUBSTITUTE(SUBSTITUTE(SUBSTITUTE(SUBSTITUTE(SUBSTITUTE(SUBSTITUTE(SUBSTITUTE(SUBSTITUTE($C170," ",""),"　",""),"(주)",""),"（주）",""),"㈜",""),"주식회사",""),"(유)",""),"（유）",""),"유한회사","")))</f>
        <v/>
      </c>
    </row>
    <row r="171">
      <c r="A171" s="38">
        <f>IF($U171="","",164)</f>
        <v/>
      </c>
      <c r="B171" s="38">
        <f>IF($U171="","",IF(LEN(INDEX(매출원본!$AU$8:$AU$2007,$U171))=10,LEFT(INDEX(매출원본!$AU$8:$AU$2007,$U171),3)&amp;"-"&amp;MID(INDEX(매출원본!$AU$8:$AU$2007,$U171),4,2)&amp;"-"&amp;RIGHT(INDEX(매출원본!$AU$8:$AU$2007,$U171),5),IF(LEFT(INDEX(매출원본!$AU$8:$AU$2007,$U171),2)="N:","(번호 없음)",INDEX(매출원본!$AU$8:$AU$2007,$U171))))</f>
        <v/>
      </c>
      <c r="C171" s="38">
        <f>IF($U171="","",INDEX(매출원본!$AV$8:$AV$2007,$U171))</f>
        <v/>
      </c>
      <c r="D171" s="39">
        <f>IF($U171="","",IF($T171="",0,N(INDEX(거래처설정!$E$8:$E$407,$T171))))</f>
        <v/>
      </c>
      <c r="E171" s="39">
        <f>IF($U171="","",SUMIFS(매출원본!$AT$8:$AT$2007,매출원본!$AY$8:$AY$2007,$A171,매출원본!$AS$8:$AS$2007,"&lt;="&amp;설정!$B$5))</f>
        <v/>
      </c>
      <c r="F171" s="39">
        <f>IF($U171="","",SUMIFS(입금_은행1!$Z$8:$Z$2007,입금_은행1!$AC$8:$AC$2007,$A171,입금_은행1!$Y$8:$Y$2007,"&lt;="&amp;설정!$B$5)+SUMIFS(입금_은행2!$Z$8:$Z$2007,입금_은행2!$AC$8:$AC$2007,$A171,입금_은행2!$Y$8:$Y$2007,"&lt;="&amp;설정!$B$5))</f>
        <v/>
      </c>
      <c r="G171" s="39">
        <f>IF($U171="","",$D171+$E171-$F171)</f>
        <v/>
      </c>
      <c r="H171" s="39">
        <f>IF($U171="","",MIN(MAX($G171,0),$V171))</f>
        <v/>
      </c>
      <c r="I171" s="39">
        <f>IF($U171="","",MIN(MAX($G171,0),$W171)-MIN(MAX($G171,0),$V171))</f>
        <v/>
      </c>
      <c r="J171" s="39">
        <f>IF($U171="","",MIN(MAX($G171,0),$X171)-MIN(MAX($G171,0),$W171))</f>
        <v/>
      </c>
      <c r="K171" s="39">
        <f>IF($U171="","",MAX($G171,0)-MIN(MAX($G171,0),$X171))</f>
        <v/>
      </c>
      <c r="L171" s="40">
        <f>IF($U171="","",IF(MAX(SUMPRODUCT(MAX((입금_은행1!$AC$8:$AC$2007=$A171)*(입금_은행1!$AE$8:$AE$2007&lt;=설정!$B$5)*입금_은행1!$AE$8:$AE$2007)),SUMPRODUCT(MAX((입금_은행2!$AC$8:$AC$2007=$A171)*(입금_은행2!$AE$8:$AE$2007&lt;=설정!$B$5)*입금_은행2!$AE$8:$AE$2007)))=0,"",MAX(SUMPRODUCT(MAX((입금_은행1!$AC$8:$AC$2007=$A171)*(입금_은행1!$AE$8:$AE$2007&lt;=설정!$B$5)*입금_은행1!$AE$8:$AE$2007)),SUMPRODUCT(MAX((입금_은행2!$AC$8:$AC$2007=$A171)*(입금_은행2!$AE$8:$AE$2007&lt;=설정!$B$5)*입금_은행2!$AE$8:$AE$2007)))))</f>
        <v/>
      </c>
      <c r="M171" s="38">
        <f>IF($U171="","",IF($T171="","",IF(INDEX(거래처설정!$F$8:$F$407,$T171)="","",INDEX(거래처설정!$F$8:$F$407,$T171))))</f>
        <v/>
      </c>
      <c r="N171" s="38">
        <f>IF($U171="","",IF($T171="","",IF(INDEX(거래처설정!$G$8:$G$407,$T171)="","",INDEX(거래처설정!$G$8:$G$407,$T171))))</f>
        <v/>
      </c>
      <c r="O171" s="38">
        <f>IF($U171="","",IF($M171="제외",0,IF($K171&gt;=설정!$B$9,3,IF($J171+$K171&gt;=설정!$B$9,2,IF($I171+$J171+$K171&gt;=설정!$B$9,1,0)))))</f>
        <v/>
      </c>
      <c r="P171" s="38">
        <f>IF($U171="","",IF($M171="제외","제외(조치 상태)",IF($O171=3,"③ 강한 독촉 후보 ("&amp;설정!$B$8&amp;"일 초과)",IF($O171=2,"② 독촉 후보 ("&amp;설정!$B$7&amp;"일 초과)",IF($O171=1,"① 안내 후보 ("&amp;설정!$B$6&amp;"일 초과)",IF($G171&gt;0,IF($I171+$J171+$K171&gt;0,"오래된 잔액 있음 (최소 금액 미만)","정상 범위"),IF($G171&lt;0,"선수금·초과입금 — 확인","완납")))))))</f>
        <v/>
      </c>
      <c r="Q171" s="38">
        <f>IF($U171="","",IF($G171&lt;0,"입금이 매출보다 큼 — 선수금이거나 다른 거래처 입금이 섞였는지 확인",IF(AND($AE171&lt;&gt;"",COUNTIF($AE$8:$AE$307,"*"&amp;$AE171&amp;"*")&gt;1),"이름이 다른 거래처와 겹침 — 입금이 잘못 맞았을 수 있으니 별칭 확인",IF(AND($G171&gt;0,$F171=0),"입금 매칭 없음 — 입금자명이 다르면 [거래처설정]에 별칭 등록",""))))</f>
        <v/>
      </c>
      <c r="R171" s="31">
        <f>IF(OR($U171="",$G171&lt;=0),"",$G171-$A171/10000)</f>
        <v/>
      </c>
      <c r="S171" s="31">
        <f>IF(OR($U171="",$O171&lt;1),"",$O171*10^11+$I171+$J171+$K171-$A171/1000)</f>
        <v/>
      </c>
      <c r="T171" s="31">
        <f>IF($U171="","",IFERROR(MATCH(INDEX(매출원본!$AU$8:$AU$2007,$U171),거래처설정!$I$8:$I$407,0),""))</f>
        <v/>
      </c>
      <c r="U171" s="31">
        <f>IFERROR(MATCH(164,매출원본!$AW$8:$AW$2007,0),"")</f>
        <v/>
      </c>
      <c r="V171" s="31">
        <f>IF($U171="","",MAX(SUMIFS(매출원본!$AT$8:$AT$2007,매출원본!$AY$8:$AY$2007,$A171,매출원본!$AS$8:$AS$2007,"&gt;="&amp;(설정!$B$5-설정!$B$6),매출원본!$AS$8:$AS$2007,"&lt;="&amp;설정!$B$5),0))</f>
        <v/>
      </c>
      <c r="W171" s="31">
        <f>IF($U171="","",MAX($V171,SUMIFS(매출원본!$AT$8:$AT$2007,매출원본!$AY$8:$AY$2007,$A171,매출원본!$AS$8:$AS$2007,"&gt;="&amp;(설정!$B$5-설정!$B$7),매출원본!$AS$8:$AS$2007,"&lt;="&amp;설정!$B$5)))</f>
        <v/>
      </c>
      <c r="X171" s="31">
        <f>IF($U171="","",MAX($W171,SUMIFS(매출원본!$AT$8:$AT$2007,매출원본!$AY$8:$AY$2007,$A171,매출원본!$AS$8:$AS$2007,"&gt;="&amp;(설정!$B$5-설정!$B$8),매출원본!$AS$8:$AS$2007,"&lt;="&amp;설정!$B$5)))</f>
        <v/>
      </c>
      <c r="AC171" s="31">
        <f>IF(OR($U171="",$T171=""),"",INDEX(거래처설정!$J$8:$J$407,$T171))</f>
        <v/>
      </c>
      <c r="AD171" s="31">
        <f>IF(OR($U171="",$T171=""),"",INDEX(거래처설정!$K$8:$K$407,$T171))</f>
        <v/>
      </c>
      <c r="AE171" s="31">
        <f>IF($U171="","",IF(LEN(SUBSTITUTE(SUBSTITUTE(SUBSTITUTE(SUBSTITUTE(SUBSTITUTE(SUBSTITUTE(SUBSTITUTE(SUBSTITUTE(SUBSTITUTE($C171," ",""),"　",""),"(주)",""),"（주）",""),"㈜",""),"주식회사",""),"(유)",""),"（유）",""),"유한회사",""))&lt;2,"",SUBSTITUTE(SUBSTITUTE(SUBSTITUTE(SUBSTITUTE(SUBSTITUTE(SUBSTITUTE(SUBSTITUTE(SUBSTITUTE(SUBSTITUTE($C171," ",""),"　",""),"(주)",""),"（주）",""),"㈜",""),"주식회사",""),"(유)",""),"（유）",""),"유한회사","")))</f>
        <v/>
      </c>
    </row>
    <row r="172">
      <c r="A172" s="38">
        <f>IF($U172="","",165)</f>
        <v/>
      </c>
      <c r="B172" s="38">
        <f>IF($U172="","",IF(LEN(INDEX(매출원본!$AU$8:$AU$2007,$U172))=10,LEFT(INDEX(매출원본!$AU$8:$AU$2007,$U172),3)&amp;"-"&amp;MID(INDEX(매출원본!$AU$8:$AU$2007,$U172),4,2)&amp;"-"&amp;RIGHT(INDEX(매출원본!$AU$8:$AU$2007,$U172),5),IF(LEFT(INDEX(매출원본!$AU$8:$AU$2007,$U172),2)="N:","(번호 없음)",INDEX(매출원본!$AU$8:$AU$2007,$U172))))</f>
        <v/>
      </c>
      <c r="C172" s="38">
        <f>IF($U172="","",INDEX(매출원본!$AV$8:$AV$2007,$U172))</f>
        <v/>
      </c>
      <c r="D172" s="39">
        <f>IF($U172="","",IF($T172="",0,N(INDEX(거래처설정!$E$8:$E$407,$T172))))</f>
        <v/>
      </c>
      <c r="E172" s="39">
        <f>IF($U172="","",SUMIFS(매출원본!$AT$8:$AT$2007,매출원본!$AY$8:$AY$2007,$A172,매출원본!$AS$8:$AS$2007,"&lt;="&amp;설정!$B$5))</f>
        <v/>
      </c>
      <c r="F172" s="39">
        <f>IF($U172="","",SUMIFS(입금_은행1!$Z$8:$Z$2007,입금_은행1!$AC$8:$AC$2007,$A172,입금_은행1!$Y$8:$Y$2007,"&lt;="&amp;설정!$B$5)+SUMIFS(입금_은행2!$Z$8:$Z$2007,입금_은행2!$AC$8:$AC$2007,$A172,입금_은행2!$Y$8:$Y$2007,"&lt;="&amp;설정!$B$5))</f>
        <v/>
      </c>
      <c r="G172" s="39">
        <f>IF($U172="","",$D172+$E172-$F172)</f>
        <v/>
      </c>
      <c r="H172" s="39">
        <f>IF($U172="","",MIN(MAX($G172,0),$V172))</f>
        <v/>
      </c>
      <c r="I172" s="39">
        <f>IF($U172="","",MIN(MAX($G172,0),$W172)-MIN(MAX($G172,0),$V172))</f>
        <v/>
      </c>
      <c r="J172" s="39">
        <f>IF($U172="","",MIN(MAX($G172,0),$X172)-MIN(MAX($G172,0),$W172))</f>
        <v/>
      </c>
      <c r="K172" s="39">
        <f>IF($U172="","",MAX($G172,0)-MIN(MAX($G172,0),$X172))</f>
        <v/>
      </c>
      <c r="L172" s="40">
        <f>IF($U172="","",IF(MAX(SUMPRODUCT(MAX((입금_은행1!$AC$8:$AC$2007=$A172)*(입금_은행1!$AE$8:$AE$2007&lt;=설정!$B$5)*입금_은행1!$AE$8:$AE$2007)),SUMPRODUCT(MAX((입금_은행2!$AC$8:$AC$2007=$A172)*(입금_은행2!$AE$8:$AE$2007&lt;=설정!$B$5)*입금_은행2!$AE$8:$AE$2007)))=0,"",MAX(SUMPRODUCT(MAX((입금_은행1!$AC$8:$AC$2007=$A172)*(입금_은행1!$AE$8:$AE$2007&lt;=설정!$B$5)*입금_은행1!$AE$8:$AE$2007)),SUMPRODUCT(MAX((입금_은행2!$AC$8:$AC$2007=$A172)*(입금_은행2!$AE$8:$AE$2007&lt;=설정!$B$5)*입금_은행2!$AE$8:$AE$2007)))))</f>
        <v/>
      </c>
      <c r="M172" s="38">
        <f>IF($U172="","",IF($T172="","",IF(INDEX(거래처설정!$F$8:$F$407,$T172)="","",INDEX(거래처설정!$F$8:$F$407,$T172))))</f>
        <v/>
      </c>
      <c r="N172" s="38">
        <f>IF($U172="","",IF($T172="","",IF(INDEX(거래처설정!$G$8:$G$407,$T172)="","",INDEX(거래처설정!$G$8:$G$407,$T172))))</f>
        <v/>
      </c>
      <c r="O172" s="38">
        <f>IF($U172="","",IF($M172="제외",0,IF($K172&gt;=설정!$B$9,3,IF($J172+$K172&gt;=설정!$B$9,2,IF($I172+$J172+$K172&gt;=설정!$B$9,1,0)))))</f>
        <v/>
      </c>
      <c r="P172" s="38">
        <f>IF($U172="","",IF($M172="제외","제외(조치 상태)",IF($O172=3,"③ 강한 독촉 후보 ("&amp;설정!$B$8&amp;"일 초과)",IF($O172=2,"② 독촉 후보 ("&amp;설정!$B$7&amp;"일 초과)",IF($O172=1,"① 안내 후보 ("&amp;설정!$B$6&amp;"일 초과)",IF($G172&gt;0,IF($I172+$J172+$K172&gt;0,"오래된 잔액 있음 (최소 금액 미만)","정상 범위"),IF($G172&lt;0,"선수금·초과입금 — 확인","완납")))))))</f>
        <v/>
      </c>
      <c r="Q172" s="38">
        <f>IF($U172="","",IF($G172&lt;0,"입금이 매출보다 큼 — 선수금이거나 다른 거래처 입금이 섞였는지 확인",IF(AND($AE172&lt;&gt;"",COUNTIF($AE$8:$AE$307,"*"&amp;$AE172&amp;"*")&gt;1),"이름이 다른 거래처와 겹침 — 입금이 잘못 맞았을 수 있으니 별칭 확인",IF(AND($G172&gt;0,$F172=0),"입금 매칭 없음 — 입금자명이 다르면 [거래처설정]에 별칭 등록",""))))</f>
        <v/>
      </c>
      <c r="R172" s="31">
        <f>IF(OR($U172="",$G172&lt;=0),"",$G172-$A172/10000)</f>
        <v/>
      </c>
      <c r="S172" s="31">
        <f>IF(OR($U172="",$O172&lt;1),"",$O172*10^11+$I172+$J172+$K172-$A172/1000)</f>
        <v/>
      </c>
      <c r="T172" s="31">
        <f>IF($U172="","",IFERROR(MATCH(INDEX(매출원본!$AU$8:$AU$2007,$U172),거래처설정!$I$8:$I$407,0),""))</f>
        <v/>
      </c>
      <c r="U172" s="31">
        <f>IFERROR(MATCH(165,매출원본!$AW$8:$AW$2007,0),"")</f>
        <v/>
      </c>
      <c r="V172" s="31">
        <f>IF($U172="","",MAX(SUMIFS(매출원본!$AT$8:$AT$2007,매출원본!$AY$8:$AY$2007,$A172,매출원본!$AS$8:$AS$2007,"&gt;="&amp;(설정!$B$5-설정!$B$6),매출원본!$AS$8:$AS$2007,"&lt;="&amp;설정!$B$5),0))</f>
        <v/>
      </c>
      <c r="W172" s="31">
        <f>IF($U172="","",MAX($V172,SUMIFS(매출원본!$AT$8:$AT$2007,매출원본!$AY$8:$AY$2007,$A172,매출원본!$AS$8:$AS$2007,"&gt;="&amp;(설정!$B$5-설정!$B$7),매출원본!$AS$8:$AS$2007,"&lt;="&amp;설정!$B$5)))</f>
        <v/>
      </c>
      <c r="X172" s="31">
        <f>IF($U172="","",MAX($W172,SUMIFS(매출원본!$AT$8:$AT$2007,매출원본!$AY$8:$AY$2007,$A172,매출원본!$AS$8:$AS$2007,"&gt;="&amp;(설정!$B$5-설정!$B$8),매출원본!$AS$8:$AS$2007,"&lt;="&amp;설정!$B$5)))</f>
        <v/>
      </c>
      <c r="AC172" s="31">
        <f>IF(OR($U172="",$T172=""),"",INDEX(거래처설정!$J$8:$J$407,$T172))</f>
        <v/>
      </c>
      <c r="AD172" s="31">
        <f>IF(OR($U172="",$T172=""),"",INDEX(거래처설정!$K$8:$K$407,$T172))</f>
        <v/>
      </c>
      <c r="AE172" s="31">
        <f>IF($U172="","",IF(LEN(SUBSTITUTE(SUBSTITUTE(SUBSTITUTE(SUBSTITUTE(SUBSTITUTE(SUBSTITUTE(SUBSTITUTE(SUBSTITUTE(SUBSTITUTE($C172," ",""),"　",""),"(주)",""),"（주）",""),"㈜",""),"주식회사",""),"(유)",""),"（유）",""),"유한회사",""))&lt;2,"",SUBSTITUTE(SUBSTITUTE(SUBSTITUTE(SUBSTITUTE(SUBSTITUTE(SUBSTITUTE(SUBSTITUTE(SUBSTITUTE(SUBSTITUTE($C172," ",""),"　",""),"(주)",""),"（주）",""),"㈜",""),"주식회사",""),"(유)",""),"（유）",""),"유한회사","")))</f>
        <v/>
      </c>
    </row>
    <row r="173">
      <c r="A173" s="38">
        <f>IF($U173="","",166)</f>
        <v/>
      </c>
      <c r="B173" s="38">
        <f>IF($U173="","",IF(LEN(INDEX(매출원본!$AU$8:$AU$2007,$U173))=10,LEFT(INDEX(매출원본!$AU$8:$AU$2007,$U173),3)&amp;"-"&amp;MID(INDEX(매출원본!$AU$8:$AU$2007,$U173),4,2)&amp;"-"&amp;RIGHT(INDEX(매출원본!$AU$8:$AU$2007,$U173),5),IF(LEFT(INDEX(매출원본!$AU$8:$AU$2007,$U173),2)="N:","(번호 없음)",INDEX(매출원본!$AU$8:$AU$2007,$U173))))</f>
        <v/>
      </c>
      <c r="C173" s="38">
        <f>IF($U173="","",INDEX(매출원본!$AV$8:$AV$2007,$U173))</f>
        <v/>
      </c>
      <c r="D173" s="39">
        <f>IF($U173="","",IF($T173="",0,N(INDEX(거래처설정!$E$8:$E$407,$T173))))</f>
        <v/>
      </c>
      <c r="E173" s="39">
        <f>IF($U173="","",SUMIFS(매출원본!$AT$8:$AT$2007,매출원본!$AY$8:$AY$2007,$A173,매출원본!$AS$8:$AS$2007,"&lt;="&amp;설정!$B$5))</f>
        <v/>
      </c>
      <c r="F173" s="39">
        <f>IF($U173="","",SUMIFS(입금_은행1!$Z$8:$Z$2007,입금_은행1!$AC$8:$AC$2007,$A173,입금_은행1!$Y$8:$Y$2007,"&lt;="&amp;설정!$B$5)+SUMIFS(입금_은행2!$Z$8:$Z$2007,입금_은행2!$AC$8:$AC$2007,$A173,입금_은행2!$Y$8:$Y$2007,"&lt;="&amp;설정!$B$5))</f>
        <v/>
      </c>
      <c r="G173" s="39">
        <f>IF($U173="","",$D173+$E173-$F173)</f>
        <v/>
      </c>
      <c r="H173" s="39">
        <f>IF($U173="","",MIN(MAX($G173,0),$V173))</f>
        <v/>
      </c>
      <c r="I173" s="39">
        <f>IF($U173="","",MIN(MAX($G173,0),$W173)-MIN(MAX($G173,0),$V173))</f>
        <v/>
      </c>
      <c r="J173" s="39">
        <f>IF($U173="","",MIN(MAX($G173,0),$X173)-MIN(MAX($G173,0),$W173))</f>
        <v/>
      </c>
      <c r="K173" s="39">
        <f>IF($U173="","",MAX($G173,0)-MIN(MAX($G173,0),$X173))</f>
        <v/>
      </c>
      <c r="L173" s="40">
        <f>IF($U173="","",IF(MAX(SUMPRODUCT(MAX((입금_은행1!$AC$8:$AC$2007=$A173)*(입금_은행1!$AE$8:$AE$2007&lt;=설정!$B$5)*입금_은행1!$AE$8:$AE$2007)),SUMPRODUCT(MAX((입금_은행2!$AC$8:$AC$2007=$A173)*(입금_은행2!$AE$8:$AE$2007&lt;=설정!$B$5)*입금_은행2!$AE$8:$AE$2007)))=0,"",MAX(SUMPRODUCT(MAX((입금_은행1!$AC$8:$AC$2007=$A173)*(입금_은행1!$AE$8:$AE$2007&lt;=설정!$B$5)*입금_은행1!$AE$8:$AE$2007)),SUMPRODUCT(MAX((입금_은행2!$AC$8:$AC$2007=$A173)*(입금_은행2!$AE$8:$AE$2007&lt;=설정!$B$5)*입금_은행2!$AE$8:$AE$2007)))))</f>
        <v/>
      </c>
      <c r="M173" s="38">
        <f>IF($U173="","",IF($T173="","",IF(INDEX(거래처설정!$F$8:$F$407,$T173)="","",INDEX(거래처설정!$F$8:$F$407,$T173))))</f>
        <v/>
      </c>
      <c r="N173" s="38">
        <f>IF($U173="","",IF($T173="","",IF(INDEX(거래처설정!$G$8:$G$407,$T173)="","",INDEX(거래처설정!$G$8:$G$407,$T173))))</f>
        <v/>
      </c>
      <c r="O173" s="38">
        <f>IF($U173="","",IF($M173="제외",0,IF($K173&gt;=설정!$B$9,3,IF($J173+$K173&gt;=설정!$B$9,2,IF($I173+$J173+$K173&gt;=설정!$B$9,1,0)))))</f>
        <v/>
      </c>
      <c r="P173" s="38">
        <f>IF($U173="","",IF($M173="제외","제외(조치 상태)",IF($O173=3,"③ 강한 독촉 후보 ("&amp;설정!$B$8&amp;"일 초과)",IF($O173=2,"② 독촉 후보 ("&amp;설정!$B$7&amp;"일 초과)",IF($O173=1,"① 안내 후보 ("&amp;설정!$B$6&amp;"일 초과)",IF($G173&gt;0,IF($I173+$J173+$K173&gt;0,"오래된 잔액 있음 (최소 금액 미만)","정상 범위"),IF($G173&lt;0,"선수금·초과입금 — 확인","완납")))))))</f>
        <v/>
      </c>
      <c r="Q173" s="38">
        <f>IF($U173="","",IF($G173&lt;0,"입금이 매출보다 큼 — 선수금이거나 다른 거래처 입금이 섞였는지 확인",IF(AND($AE173&lt;&gt;"",COUNTIF($AE$8:$AE$307,"*"&amp;$AE173&amp;"*")&gt;1),"이름이 다른 거래처와 겹침 — 입금이 잘못 맞았을 수 있으니 별칭 확인",IF(AND($G173&gt;0,$F173=0),"입금 매칭 없음 — 입금자명이 다르면 [거래처설정]에 별칭 등록",""))))</f>
        <v/>
      </c>
      <c r="R173" s="31">
        <f>IF(OR($U173="",$G173&lt;=0),"",$G173-$A173/10000)</f>
        <v/>
      </c>
      <c r="S173" s="31">
        <f>IF(OR($U173="",$O173&lt;1),"",$O173*10^11+$I173+$J173+$K173-$A173/1000)</f>
        <v/>
      </c>
      <c r="T173" s="31">
        <f>IF($U173="","",IFERROR(MATCH(INDEX(매출원본!$AU$8:$AU$2007,$U173),거래처설정!$I$8:$I$407,0),""))</f>
        <v/>
      </c>
      <c r="U173" s="31">
        <f>IFERROR(MATCH(166,매출원본!$AW$8:$AW$2007,0),"")</f>
        <v/>
      </c>
      <c r="V173" s="31">
        <f>IF($U173="","",MAX(SUMIFS(매출원본!$AT$8:$AT$2007,매출원본!$AY$8:$AY$2007,$A173,매출원본!$AS$8:$AS$2007,"&gt;="&amp;(설정!$B$5-설정!$B$6),매출원본!$AS$8:$AS$2007,"&lt;="&amp;설정!$B$5),0))</f>
        <v/>
      </c>
      <c r="W173" s="31">
        <f>IF($U173="","",MAX($V173,SUMIFS(매출원본!$AT$8:$AT$2007,매출원본!$AY$8:$AY$2007,$A173,매출원본!$AS$8:$AS$2007,"&gt;="&amp;(설정!$B$5-설정!$B$7),매출원본!$AS$8:$AS$2007,"&lt;="&amp;설정!$B$5)))</f>
        <v/>
      </c>
      <c r="X173" s="31">
        <f>IF($U173="","",MAX($W173,SUMIFS(매출원본!$AT$8:$AT$2007,매출원본!$AY$8:$AY$2007,$A173,매출원본!$AS$8:$AS$2007,"&gt;="&amp;(설정!$B$5-설정!$B$8),매출원본!$AS$8:$AS$2007,"&lt;="&amp;설정!$B$5)))</f>
        <v/>
      </c>
      <c r="AC173" s="31">
        <f>IF(OR($U173="",$T173=""),"",INDEX(거래처설정!$J$8:$J$407,$T173))</f>
        <v/>
      </c>
      <c r="AD173" s="31">
        <f>IF(OR($U173="",$T173=""),"",INDEX(거래처설정!$K$8:$K$407,$T173))</f>
        <v/>
      </c>
      <c r="AE173" s="31">
        <f>IF($U173="","",IF(LEN(SUBSTITUTE(SUBSTITUTE(SUBSTITUTE(SUBSTITUTE(SUBSTITUTE(SUBSTITUTE(SUBSTITUTE(SUBSTITUTE(SUBSTITUTE($C173," ",""),"　",""),"(주)",""),"（주）",""),"㈜",""),"주식회사",""),"(유)",""),"（유）",""),"유한회사",""))&lt;2,"",SUBSTITUTE(SUBSTITUTE(SUBSTITUTE(SUBSTITUTE(SUBSTITUTE(SUBSTITUTE(SUBSTITUTE(SUBSTITUTE(SUBSTITUTE($C173," ",""),"　",""),"(주)",""),"（주）",""),"㈜",""),"주식회사",""),"(유)",""),"（유）",""),"유한회사","")))</f>
        <v/>
      </c>
    </row>
    <row r="174">
      <c r="A174" s="38">
        <f>IF($U174="","",167)</f>
        <v/>
      </c>
      <c r="B174" s="38">
        <f>IF($U174="","",IF(LEN(INDEX(매출원본!$AU$8:$AU$2007,$U174))=10,LEFT(INDEX(매출원본!$AU$8:$AU$2007,$U174),3)&amp;"-"&amp;MID(INDEX(매출원본!$AU$8:$AU$2007,$U174),4,2)&amp;"-"&amp;RIGHT(INDEX(매출원본!$AU$8:$AU$2007,$U174),5),IF(LEFT(INDEX(매출원본!$AU$8:$AU$2007,$U174),2)="N:","(번호 없음)",INDEX(매출원본!$AU$8:$AU$2007,$U174))))</f>
        <v/>
      </c>
      <c r="C174" s="38">
        <f>IF($U174="","",INDEX(매출원본!$AV$8:$AV$2007,$U174))</f>
        <v/>
      </c>
      <c r="D174" s="39">
        <f>IF($U174="","",IF($T174="",0,N(INDEX(거래처설정!$E$8:$E$407,$T174))))</f>
        <v/>
      </c>
      <c r="E174" s="39">
        <f>IF($U174="","",SUMIFS(매출원본!$AT$8:$AT$2007,매출원본!$AY$8:$AY$2007,$A174,매출원본!$AS$8:$AS$2007,"&lt;="&amp;설정!$B$5))</f>
        <v/>
      </c>
      <c r="F174" s="39">
        <f>IF($U174="","",SUMIFS(입금_은행1!$Z$8:$Z$2007,입금_은행1!$AC$8:$AC$2007,$A174,입금_은행1!$Y$8:$Y$2007,"&lt;="&amp;설정!$B$5)+SUMIFS(입금_은행2!$Z$8:$Z$2007,입금_은행2!$AC$8:$AC$2007,$A174,입금_은행2!$Y$8:$Y$2007,"&lt;="&amp;설정!$B$5))</f>
        <v/>
      </c>
      <c r="G174" s="39">
        <f>IF($U174="","",$D174+$E174-$F174)</f>
        <v/>
      </c>
      <c r="H174" s="39">
        <f>IF($U174="","",MIN(MAX($G174,0),$V174))</f>
        <v/>
      </c>
      <c r="I174" s="39">
        <f>IF($U174="","",MIN(MAX($G174,0),$W174)-MIN(MAX($G174,0),$V174))</f>
        <v/>
      </c>
      <c r="J174" s="39">
        <f>IF($U174="","",MIN(MAX($G174,0),$X174)-MIN(MAX($G174,0),$W174))</f>
        <v/>
      </c>
      <c r="K174" s="39">
        <f>IF($U174="","",MAX($G174,0)-MIN(MAX($G174,0),$X174))</f>
        <v/>
      </c>
      <c r="L174" s="40">
        <f>IF($U174="","",IF(MAX(SUMPRODUCT(MAX((입금_은행1!$AC$8:$AC$2007=$A174)*(입금_은행1!$AE$8:$AE$2007&lt;=설정!$B$5)*입금_은행1!$AE$8:$AE$2007)),SUMPRODUCT(MAX((입금_은행2!$AC$8:$AC$2007=$A174)*(입금_은행2!$AE$8:$AE$2007&lt;=설정!$B$5)*입금_은행2!$AE$8:$AE$2007)))=0,"",MAX(SUMPRODUCT(MAX((입금_은행1!$AC$8:$AC$2007=$A174)*(입금_은행1!$AE$8:$AE$2007&lt;=설정!$B$5)*입금_은행1!$AE$8:$AE$2007)),SUMPRODUCT(MAX((입금_은행2!$AC$8:$AC$2007=$A174)*(입금_은행2!$AE$8:$AE$2007&lt;=설정!$B$5)*입금_은행2!$AE$8:$AE$2007)))))</f>
        <v/>
      </c>
      <c r="M174" s="38">
        <f>IF($U174="","",IF($T174="","",IF(INDEX(거래처설정!$F$8:$F$407,$T174)="","",INDEX(거래처설정!$F$8:$F$407,$T174))))</f>
        <v/>
      </c>
      <c r="N174" s="38">
        <f>IF($U174="","",IF($T174="","",IF(INDEX(거래처설정!$G$8:$G$407,$T174)="","",INDEX(거래처설정!$G$8:$G$407,$T174))))</f>
        <v/>
      </c>
      <c r="O174" s="38">
        <f>IF($U174="","",IF($M174="제외",0,IF($K174&gt;=설정!$B$9,3,IF($J174+$K174&gt;=설정!$B$9,2,IF($I174+$J174+$K174&gt;=설정!$B$9,1,0)))))</f>
        <v/>
      </c>
      <c r="P174" s="38">
        <f>IF($U174="","",IF($M174="제외","제외(조치 상태)",IF($O174=3,"③ 강한 독촉 후보 ("&amp;설정!$B$8&amp;"일 초과)",IF($O174=2,"② 독촉 후보 ("&amp;설정!$B$7&amp;"일 초과)",IF($O174=1,"① 안내 후보 ("&amp;설정!$B$6&amp;"일 초과)",IF($G174&gt;0,IF($I174+$J174+$K174&gt;0,"오래된 잔액 있음 (최소 금액 미만)","정상 범위"),IF($G174&lt;0,"선수금·초과입금 — 확인","완납")))))))</f>
        <v/>
      </c>
      <c r="Q174" s="38">
        <f>IF($U174="","",IF($G174&lt;0,"입금이 매출보다 큼 — 선수금이거나 다른 거래처 입금이 섞였는지 확인",IF(AND($AE174&lt;&gt;"",COUNTIF($AE$8:$AE$307,"*"&amp;$AE174&amp;"*")&gt;1),"이름이 다른 거래처와 겹침 — 입금이 잘못 맞았을 수 있으니 별칭 확인",IF(AND($G174&gt;0,$F174=0),"입금 매칭 없음 — 입금자명이 다르면 [거래처설정]에 별칭 등록",""))))</f>
        <v/>
      </c>
      <c r="R174" s="31">
        <f>IF(OR($U174="",$G174&lt;=0),"",$G174-$A174/10000)</f>
        <v/>
      </c>
      <c r="S174" s="31">
        <f>IF(OR($U174="",$O174&lt;1),"",$O174*10^11+$I174+$J174+$K174-$A174/1000)</f>
        <v/>
      </c>
      <c r="T174" s="31">
        <f>IF($U174="","",IFERROR(MATCH(INDEX(매출원본!$AU$8:$AU$2007,$U174),거래처설정!$I$8:$I$407,0),""))</f>
        <v/>
      </c>
      <c r="U174" s="31">
        <f>IFERROR(MATCH(167,매출원본!$AW$8:$AW$2007,0),"")</f>
        <v/>
      </c>
      <c r="V174" s="31">
        <f>IF($U174="","",MAX(SUMIFS(매출원본!$AT$8:$AT$2007,매출원본!$AY$8:$AY$2007,$A174,매출원본!$AS$8:$AS$2007,"&gt;="&amp;(설정!$B$5-설정!$B$6),매출원본!$AS$8:$AS$2007,"&lt;="&amp;설정!$B$5),0))</f>
        <v/>
      </c>
      <c r="W174" s="31">
        <f>IF($U174="","",MAX($V174,SUMIFS(매출원본!$AT$8:$AT$2007,매출원본!$AY$8:$AY$2007,$A174,매출원본!$AS$8:$AS$2007,"&gt;="&amp;(설정!$B$5-설정!$B$7),매출원본!$AS$8:$AS$2007,"&lt;="&amp;설정!$B$5)))</f>
        <v/>
      </c>
      <c r="X174" s="31">
        <f>IF($U174="","",MAX($W174,SUMIFS(매출원본!$AT$8:$AT$2007,매출원본!$AY$8:$AY$2007,$A174,매출원본!$AS$8:$AS$2007,"&gt;="&amp;(설정!$B$5-설정!$B$8),매출원본!$AS$8:$AS$2007,"&lt;="&amp;설정!$B$5)))</f>
        <v/>
      </c>
      <c r="AC174" s="31">
        <f>IF(OR($U174="",$T174=""),"",INDEX(거래처설정!$J$8:$J$407,$T174))</f>
        <v/>
      </c>
      <c r="AD174" s="31">
        <f>IF(OR($U174="",$T174=""),"",INDEX(거래처설정!$K$8:$K$407,$T174))</f>
        <v/>
      </c>
      <c r="AE174" s="31">
        <f>IF($U174="","",IF(LEN(SUBSTITUTE(SUBSTITUTE(SUBSTITUTE(SUBSTITUTE(SUBSTITUTE(SUBSTITUTE(SUBSTITUTE(SUBSTITUTE(SUBSTITUTE($C174," ",""),"　",""),"(주)",""),"（주）",""),"㈜",""),"주식회사",""),"(유)",""),"（유）",""),"유한회사",""))&lt;2,"",SUBSTITUTE(SUBSTITUTE(SUBSTITUTE(SUBSTITUTE(SUBSTITUTE(SUBSTITUTE(SUBSTITUTE(SUBSTITUTE(SUBSTITUTE($C174," ",""),"　",""),"(주)",""),"（주）",""),"㈜",""),"주식회사",""),"(유)",""),"（유）",""),"유한회사","")))</f>
        <v/>
      </c>
    </row>
    <row r="175">
      <c r="A175" s="38">
        <f>IF($U175="","",168)</f>
        <v/>
      </c>
      <c r="B175" s="38">
        <f>IF($U175="","",IF(LEN(INDEX(매출원본!$AU$8:$AU$2007,$U175))=10,LEFT(INDEX(매출원본!$AU$8:$AU$2007,$U175),3)&amp;"-"&amp;MID(INDEX(매출원본!$AU$8:$AU$2007,$U175),4,2)&amp;"-"&amp;RIGHT(INDEX(매출원본!$AU$8:$AU$2007,$U175),5),IF(LEFT(INDEX(매출원본!$AU$8:$AU$2007,$U175),2)="N:","(번호 없음)",INDEX(매출원본!$AU$8:$AU$2007,$U175))))</f>
        <v/>
      </c>
      <c r="C175" s="38">
        <f>IF($U175="","",INDEX(매출원본!$AV$8:$AV$2007,$U175))</f>
        <v/>
      </c>
      <c r="D175" s="39">
        <f>IF($U175="","",IF($T175="",0,N(INDEX(거래처설정!$E$8:$E$407,$T175))))</f>
        <v/>
      </c>
      <c r="E175" s="39">
        <f>IF($U175="","",SUMIFS(매출원본!$AT$8:$AT$2007,매출원본!$AY$8:$AY$2007,$A175,매출원본!$AS$8:$AS$2007,"&lt;="&amp;설정!$B$5))</f>
        <v/>
      </c>
      <c r="F175" s="39">
        <f>IF($U175="","",SUMIFS(입금_은행1!$Z$8:$Z$2007,입금_은행1!$AC$8:$AC$2007,$A175,입금_은행1!$Y$8:$Y$2007,"&lt;="&amp;설정!$B$5)+SUMIFS(입금_은행2!$Z$8:$Z$2007,입금_은행2!$AC$8:$AC$2007,$A175,입금_은행2!$Y$8:$Y$2007,"&lt;="&amp;설정!$B$5))</f>
        <v/>
      </c>
      <c r="G175" s="39">
        <f>IF($U175="","",$D175+$E175-$F175)</f>
        <v/>
      </c>
      <c r="H175" s="39">
        <f>IF($U175="","",MIN(MAX($G175,0),$V175))</f>
        <v/>
      </c>
      <c r="I175" s="39">
        <f>IF($U175="","",MIN(MAX($G175,0),$W175)-MIN(MAX($G175,0),$V175))</f>
        <v/>
      </c>
      <c r="J175" s="39">
        <f>IF($U175="","",MIN(MAX($G175,0),$X175)-MIN(MAX($G175,0),$W175))</f>
        <v/>
      </c>
      <c r="K175" s="39">
        <f>IF($U175="","",MAX($G175,0)-MIN(MAX($G175,0),$X175))</f>
        <v/>
      </c>
      <c r="L175" s="40">
        <f>IF($U175="","",IF(MAX(SUMPRODUCT(MAX((입금_은행1!$AC$8:$AC$2007=$A175)*(입금_은행1!$AE$8:$AE$2007&lt;=설정!$B$5)*입금_은행1!$AE$8:$AE$2007)),SUMPRODUCT(MAX((입금_은행2!$AC$8:$AC$2007=$A175)*(입금_은행2!$AE$8:$AE$2007&lt;=설정!$B$5)*입금_은행2!$AE$8:$AE$2007)))=0,"",MAX(SUMPRODUCT(MAX((입금_은행1!$AC$8:$AC$2007=$A175)*(입금_은행1!$AE$8:$AE$2007&lt;=설정!$B$5)*입금_은행1!$AE$8:$AE$2007)),SUMPRODUCT(MAX((입금_은행2!$AC$8:$AC$2007=$A175)*(입금_은행2!$AE$8:$AE$2007&lt;=설정!$B$5)*입금_은행2!$AE$8:$AE$2007)))))</f>
        <v/>
      </c>
      <c r="M175" s="38">
        <f>IF($U175="","",IF($T175="","",IF(INDEX(거래처설정!$F$8:$F$407,$T175)="","",INDEX(거래처설정!$F$8:$F$407,$T175))))</f>
        <v/>
      </c>
      <c r="N175" s="38">
        <f>IF($U175="","",IF($T175="","",IF(INDEX(거래처설정!$G$8:$G$407,$T175)="","",INDEX(거래처설정!$G$8:$G$407,$T175))))</f>
        <v/>
      </c>
      <c r="O175" s="38">
        <f>IF($U175="","",IF($M175="제외",0,IF($K175&gt;=설정!$B$9,3,IF($J175+$K175&gt;=설정!$B$9,2,IF($I175+$J175+$K175&gt;=설정!$B$9,1,0)))))</f>
        <v/>
      </c>
      <c r="P175" s="38">
        <f>IF($U175="","",IF($M175="제외","제외(조치 상태)",IF($O175=3,"③ 강한 독촉 후보 ("&amp;설정!$B$8&amp;"일 초과)",IF($O175=2,"② 독촉 후보 ("&amp;설정!$B$7&amp;"일 초과)",IF($O175=1,"① 안내 후보 ("&amp;설정!$B$6&amp;"일 초과)",IF($G175&gt;0,IF($I175+$J175+$K175&gt;0,"오래된 잔액 있음 (최소 금액 미만)","정상 범위"),IF($G175&lt;0,"선수금·초과입금 — 확인","완납")))))))</f>
        <v/>
      </c>
      <c r="Q175" s="38">
        <f>IF($U175="","",IF($G175&lt;0,"입금이 매출보다 큼 — 선수금이거나 다른 거래처 입금이 섞였는지 확인",IF(AND($AE175&lt;&gt;"",COUNTIF($AE$8:$AE$307,"*"&amp;$AE175&amp;"*")&gt;1),"이름이 다른 거래처와 겹침 — 입금이 잘못 맞았을 수 있으니 별칭 확인",IF(AND($G175&gt;0,$F175=0),"입금 매칭 없음 — 입금자명이 다르면 [거래처설정]에 별칭 등록",""))))</f>
        <v/>
      </c>
      <c r="R175" s="31">
        <f>IF(OR($U175="",$G175&lt;=0),"",$G175-$A175/10000)</f>
        <v/>
      </c>
      <c r="S175" s="31">
        <f>IF(OR($U175="",$O175&lt;1),"",$O175*10^11+$I175+$J175+$K175-$A175/1000)</f>
        <v/>
      </c>
      <c r="T175" s="31">
        <f>IF($U175="","",IFERROR(MATCH(INDEX(매출원본!$AU$8:$AU$2007,$U175),거래처설정!$I$8:$I$407,0),""))</f>
        <v/>
      </c>
      <c r="U175" s="31">
        <f>IFERROR(MATCH(168,매출원본!$AW$8:$AW$2007,0),"")</f>
        <v/>
      </c>
      <c r="V175" s="31">
        <f>IF($U175="","",MAX(SUMIFS(매출원본!$AT$8:$AT$2007,매출원본!$AY$8:$AY$2007,$A175,매출원본!$AS$8:$AS$2007,"&gt;="&amp;(설정!$B$5-설정!$B$6),매출원본!$AS$8:$AS$2007,"&lt;="&amp;설정!$B$5),0))</f>
        <v/>
      </c>
      <c r="W175" s="31">
        <f>IF($U175="","",MAX($V175,SUMIFS(매출원본!$AT$8:$AT$2007,매출원본!$AY$8:$AY$2007,$A175,매출원본!$AS$8:$AS$2007,"&gt;="&amp;(설정!$B$5-설정!$B$7),매출원본!$AS$8:$AS$2007,"&lt;="&amp;설정!$B$5)))</f>
        <v/>
      </c>
      <c r="X175" s="31">
        <f>IF($U175="","",MAX($W175,SUMIFS(매출원본!$AT$8:$AT$2007,매출원본!$AY$8:$AY$2007,$A175,매출원본!$AS$8:$AS$2007,"&gt;="&amp;(설정!$B$5-설정!$B$8),매출원본!$AS$8:$AS$2007,"&lt;="&amp;설정!$B$5)))</f>
        <v/>
      </c>
      <c r="AC175" s="31">
        <f>IF(OR($U175="",$T175=""),"",INDEX(거래처설정!$J$8:$J$407,$T175))</f>
        <v/>
      </c>
      <c r="AD175" s="31">
        <f>IF(OR($U175="",$T175=""),"",INDEX(거래처설정!$K$8:$K$407,$T175))</f>
        <v/>
      </c>
      <c r="AE175" s="31">
        <f>IF($U175="","",IF(LEN(SUBSTITUTE(SUBSTITUTE(SUBSTITUTE(SUBSTITUTE(SUBSTITUTE(SUBSTITUTE(SUBSTITUTE(SUBSTITUTE(SUBSTITUTE($C175," ",""),"　",""),"(주)",""),"（주）",""),"㈜",""),"주식회사",""),"(유)",""),"（유）",""),"유한회사",""))&lt;2,"",SUBSTITUTE(SUBSTITUTE(SUBSTITUTE(SUBSTITUTE(SUBSTITUTE(SUBSTITUTE(SUBSTITUTE(SUBSTITUTE(SUBSTITUTE($C175," ",""),"　",""),"(주)",""),"（주）",""),"㈜",""),"주식회사",""),"(유)",""),"（유）",""),"유한회사","")))</f>
        <v/>
      </c>
    </row>
    <row r="176">
      <c r="A176" s="38">
        <f>IF($U176="","",169)</f>
        <v/>
      </c>
      <c r="B176" s="38">
        <f>IF($U176="","",IF(LEN(INDEX(매출원본!$AU$8:$AU$2007,$U176))=10,LEFT(INDEX(매출원본!$AU$8:$AU$2007,$U176),3)&amp;"-"&amp;MID(INDEX(매출원본!$AU$8:$AU$2007,$U176),4,2)&amp;"-"&amp;RIGHT(INDEX(매출원본!$AU$8:$AU$2007,$U176),5),IF(LEFT(INDEX(매출원본!$AU$8:$AU$2007,$U176),2)="N:","(번호 없음)",INDEX(매출원본!$AU$8:$AU$2007,$U176))))</f>
        <v/>
      </c>
      <c r="C176" s="38">
        <f>IF($U176="","",INDEX(매출원본!$AV$8:$AV$2007,$U176))</f>
        <v/>
      </c>
      <c r="D176" s="39">
        <f>IF($U176="","",IF($T176="",0,N(INDEX(거래처설정!$E$8:$E$407,$T176))))</f>
        <v/>
      </c>
      <c r="E176" s="39">
        <f>IF($U176="","",SUMIFS(매출원본!$AT$8:$AT$2007,매출원본!$AY$8:$AY$2007,$A176,매출원본!$AS$8:$AS$2007,"&lt;="&amp;설정!$B$5))</f>
        <v/>
      </c>
      <c r="F176" s="39">
        <f>IF($U176="","",SUMIFS(입금_은행1!$Z$8:$Z$2007,입금_은행1!$AC$8:$AC$2007,$A176,입금_은행1!$Y$8:$Y$2007,"&lt;="&amp;설정!$B$5)+SUMIFS(입금_은행2!$Z$8:$Z$2007,입금_은행2!$AC$8:$AC$2007,$A176,입금_은행2!$Y$8:$Y$2007,"&lt;="&amp;설정!$B$5))</f>
        <v/>
      </c>
      <c r="G176" s="39">
        <f>IF($U176="","",$D176+$E176-$F176)</f>
        <v/>
      </c>
      <c r="H176" s="39">
        <f>IF($U176="","",MIN(MAX($G176,0),$V176))</f>
        <v/>
      </c>
      <c r="I176" s="39">
        <f>IF($U176="","",MIN(MAX($G176,0),$W176)-MIN(MAX($G176,0),$V176))</f>
        <v/>
      </c>
      <c r="J176" s="39">
        <f>IF($U176="","",MIN(MAX($G176,0),$X176)-MIN(MAX($G176,0),$W176))</f>
        <v/>
      </c>
      <c r="K176" s="39">
        <f>IF($U176="","",MAX($G176,0)-MIN(MAX($G176,0),$X176))</f>
        <v/>
      </c>
      <c r="L176" s="40">
        <f>IF($U176="","",IF(MAX(SUMPRODUCT(MAX((입금_은행1!$AC$8:$AC$2007=$A176)*(입금_은행1!$AE$8:$AE$2007&lt;=설정!$B$5)*입금_은행1!$AE$8:$AE$2007)),SUMPRODUCT(MAX((입금_은행2!$AC$8:$AC$2007=$A176)*(입금_은행2!$AE$8:$AE$2007&lt;=설정!$B$5)*입금_은행2!$AE$8:$AE$2007)))=0,"",MAX(SUMPRODUCT(MAX((입금_은행1!$AC$8:$AC$2007=$A176)*(입금_은행1!$AE$8:$AE$2007&lt;=설정!$B$5)*입금_은행1!$AE$8:$AE$2007)),SUMPRODUCT(MAX((입금_은행2!$AC$8:$AC$2007=$A176)*(입금_은행2!$AE$8:$AE$2007&lt;=설정!$B$5)*입금_은행2!$AE$8:$AE$2007)))))</f>
        <v/>
      </c>
      <c r="M176" s="38">
        <f>IF($U176="","",IF($T176="","",IF(INDEX(거래처설정!$F$8:$F$407,$T176)="","",INDEX(거래처설정!$F$8:$F$407,$T176))))</f>
        <v/>
      </c>
      <c r="N176" s="38">
        <f>IF($U176="","",IF($T176="","",IF(INDEX(거래처설정!$G$8:$G$407,$T176)="","",INDEX(거래처설정!$G$8:$G$407,$T176))))</f>
        <v/>
      </c>
      <c r="O176" s="38">
        <f>IF($U176="","",IF($M176="제외",0,IF($K176&gt;=설정!$B$9,3,IF($J176+$K176&gt;=설정!$B$9,2,IF($I176+$J176+$K176&gt;=설정!$B$9,1,0)))))</f>
        <v/>
      </c>
      <c r="P176" s="38">
        <f>IF($U176="","",IF($M176="제외","제외(조치 상태)",IF($O176=3,"③ 강한 독촉 후보 ("&amp;설정!$B$8&amp;"일 초과)",IF($O176=2,"② 독촉 후보 ("&amp;설정!$B$7&amp;"일 초과)",IF($O176=1,"① 안내 후보 ("&amp;설정!$B$6&amp;"일 초과)",IF($G176&gt;0,IF($I176+$J176+$K176&gt;0,"오래된 잔액 있음 (최소 금액 미만)","정상 범위"),IF($G176&lt;0,"선수금·초과입금 — 확인","완납")))))))</f>
        <v/>
      </c>
      <c r="Q176" s="38">
        <f>IF($U176="","",IF($G176&lt;0,"입금이 매출보다 큼 — 선수금이거나 다른 거래처 입금이 섞였는지 확인",IF(AND($AE176&lt;&gt;"",COUNTIF($AE$8:$AE$307,"*"&amp;$AE176&amp;"*")&gt;1),"이름이 다른 거래처와 겹침 — 입금이 잘못 맞았을 수 있으니 별칭 확인",IF(AND($G176&gt;0,$F176=0),"입금 매칭 없음 — 입금자명이 다르면 [거래처설정]에 별칭 등록",""))))</f>
        <v/>
      </c>
      <c r="R176" s="31">
        <f>IF(OR($U176="",$G176&lt;=0),"",$G176-$A176/10000)</f>
        <v/>
      </c>
      <c r="S176" s="31">
        <f>IF(OR($U176="",$O176&lt;1),"",$O176*10^11+$I176+$J176+$K176-$A176/1000)</f>
        <v/>
      </c>
      <c r="T176" s="31">
        <f>IF($U176="","",IFERROR(MATCH(INDEX(매출원본!$AU$8:$AU$2007,$U176),거래처설정!$I$8:$I$407,0),""))</f>
        <v/>
      </c>
      <c r="U176" s="31">
        <f>IFERROR(MATCH(169,매출원본!$AW$8:$AW$2007,0),"")</f>
        <v/>
      </c>
      <c r="V176" s="31">
        <f>IF($U176="","",MAX(SUMIFS(매출원본!$AT$8:$AT$2007,매출원본!$AY$8:$AY$2007,$A176,매출원본!$AS$8:$AS$2007,"&gt;="&amp;(설정!$B$5-설정!$B$6),매출원본!$AS$8:$AS$2007,"&lt;="&amp;설정!$B$5),0))</f>
        <v/>
      </c>
      <c r="W176" s="31">
        <f>IF($U176="","",MAX($V176,SUMIFS(매출원본!$AT$8:$AT$2007,매출원본!$AY$8:$AY$2007,$A176,매출원본!$AS$8:$AS$2007,"&gt;="&amp;(설정!$B$5-설정!$B$7),매출원본!$AS$8:$AS$2007,"&lt;="&amp;설정!$B$5)))</f>
        <v/>
      </c>
      <c r="X176" s="31">
        <f>IF($U176="","",MAX($W176,SUMIFS(매출원본!$AT$8:$AT$2007,매출원본!$AY$8:$AY$2007,$A176,매출원본!$AS$8:$AS$2007,"&gt;="&amp;(설정!$B$5-설정!$B$8),매출원본!$AS$8:$AS$2007,"&lt;="&amp;설정!$B$5)))</f>
        <v/>
      </c>
      <c r="AC176" s="31">
        <f>IF(OR($U176="",$T176=""),"",INDEX(거래처설정!$J$8:$J$407,$T176))</f>
        <v/>
      </c>
      <c r="AD176" s="31">
        <f>IF(OR($U176="",$T176=""),"",INDEX(거래처설정!$K$8:$K$407,$T176))</f>
        <v/>
      </c>
      <c r="AE176" s="31">
        <f>IF($U176="","",IF(LEN(SUBSTITUTE(SUBSTITUTE(SUBSTITUTE(SUBSTITUTE(SUBSTITUTE(SUBSTITUTE(SUBSTITUTE(SUBSTITUTE(SUBSTITUTE($C176," ",""),"　",""),"(주)",""),"（주）",""),"㈜",""),"주식회사",""),"(유)",""),"（유）",""),"유한회사",""))&lt;2,"",SUBSTITUTE(SUBSTITUTE(SUBSTITUTE(SUBSTITUTE(SUBSTITUTE(SUBSTITUTE(SUBSTITUTE(SUBSTITUTE(SUBSTITUTE($C176," ",""),"　",""),"(주)",""),"（주）",""),"㈜",""),"주식회사",""),"(유)",""),"（유）",""),"유한회사","")))</f>
        <v/>
      </c>
    </row>
    <row r="177">
      <c r="A177" s="38">
        <f>IF($U177="","",170)</f>
        <v/>
      </c>
      <c r="B177" s="38">
        <f>IF($U177="","",IF(LEN(INDEX(매출원본!$AU$8:$AU$2007,$U177))=10,LEFT(INDEX(매출원본!$AU$8:$AU$2007,$U177),3)&amp;"-"&amp;MID(INDEX(매출원본!$AU$8:$AU$2007,$U177),4,2)&amp;"-"&amp;RIGHT(INDEX(매출원본!$AU$8:$AU$2007,$U177),5),IF(LEFT(INDEX(매출원본!$AU$8:$AU$2007,$U177),2)="N:","(번호 없음)",INDEX(매출원본!$AU$8:$AU$2007,$U177))))</f>
        <v/>
      </c>
      <c r="C177" s="38">
        <f>IF($U177="","",INDEX(매출원본!$AV$8:$AV$2007,$U177))</f>
        <v/>
      </c>
      <c r="D177" s="39">
        <f>IF($U177="","",IF($T177="",0,N(INDEX(거래처설정!$E$8:$E$407,$T177))))</f>
        <v/>
      </c>
      <c r="E177" s="39">
        <f>IF($U177="","",SUMIFS(매출원본!$AT$8:$AT$2007,매출원본!$AY$8:$AY$2007,$A177,매출원본!$AS$8:$AS$2007,"&lt;="&amp;설정!$B$5))</f>
        <v/>
      </c>
      <c r="F177" s="39">
        <f>IF($U177="","",SUMIFS(입금_은행1!$Z$8:$Z$2007,입금_은행1!$AC$8:$AC$2007,$A177,입금_은행1!$Y$8:$Y$2007,"&lt;="&amp;설정!$B$5)+SUMIFS(입금_은행2!$Z$8:$Z$2007,입금_은행2!$AC$8:$AC$2007,$A177,입금_은행2!$Y$8:$Y$2007,"&lt;="&amp;설정!$B$5))</f>
        <v/>
      </c>
      <c r="G177" s="39">
        <f>IF($U177="","",$D177+$E177-$F177)</f>
        <v/>
      </c>
      <c r="H177" s="39">
        <f>IF($U177="","",MIN(MAX($G177,0),$V177))</f>
        <v/>
      </c>
      <c r="I177" s="39">
        <f>IF($U177="","",MIN(MAX($G177,0),$W177)-MIN(MAX($G177,0),$V177))</f>
        <v/>
      </c>
      <c r="J177" s="39">
        <f>IF($U177="","",MIN(MAX($G177,0),$X177)-MIN(MAX($G177,0),$W177))</f>
        <v/>
      </c>
      <c r="K177" s="39">
        <f>IF($U177="","",MAX($G177,0)-MIN(MAX($G177,0),$X177))</f>
        <v/>
      </c>
      <c r="L177" s="40">
        <f>IF($U177="","",IF(MAX(SUMPRODUCT(MAX((입금_은행1!$AC$8:$AC$2007=$A177)*(입금_은행1!$AE$8:$AE$2007&lt;=설정!$B$5)*입금_은행1!$AE$8:$AE$2007)),SUMPRODUCT(MAX((입금_은행2!$AC$8:$AC$2007=$A177)*(입금_은행2!$AE$8:$AE$2007&lt;=설정!$B$5)*입금_은행2!$AE$8:$AE$2007)))=0,"",MAX(SUMPRODUCT(MAX((입금_은행1!$AC$8:$AC$2007=$A177)*(입금_은행1!$AE$8:$AE$2007&lt;=설정!$B$5)*입금_은행1!$AE$8:$AE$2007)),SUMPRODUCT(MAX((입금_은행2!$AC$8:$AC$2007=$A177)*(입금_은행2!$AE$8:$AE$2007&lt;=설정!$B$5)*입금_은행2!$AE$8:$AE$2007)))))</f>
        <v/>
      </c>
      <c r="M177" s="38">
        <f>IF($U177="","",IF($T177="","",IF(INDEX(거래처설정!$F$8:$F$407,$T177)="","",INDEX(거래처설정!$F$8:$F$407,$T177))))</f>
        <v/>
      </c>
      <c r="N177" s="38">
        <f>IF($U177="","",IF($T177="","",IF(INDEX(거래처설정!$G$8:$G$407,$T177)="","",INDEX(거래처설정!$G$8:$G$407,$T177))))</f>
        <v/>
      </c>
      <c r="O177" s="38">
        <f>IF($U177="","",IF($M177="제외",0,IF($K177&gt;=설정!$B$9,3,IF($J177+$K177&gt;=설정!$B$9,2,IF($I177+$J177+$K177&gt;=설정!$B$9,1,0)))))</f>
        <v/>
      </c>
      <c r="P177" s="38">
        <f>IF($U177="","",IF($M177="제외","제외(조치 상태)",IF($O177=3,"③ 강한 독촉 후보 ("&amp;설정!$B$8&amp;"일 초과)",IF($O177=2,"② 독촉 후보 ("&amp;설정!$B$7&amp;"일 초과)",IF($O177=1,"① 안내 후보 ("&amp;설정!$B$6&amp;"일 초과)",IF($G177&gt;0,IF($I177+$J177+$K177&gt;0,"오래된 잔액 있음 (최소 금액 미만)","정상 범위"),IF($G177&lt;0,"선수금·초과입금 — 확인","완납")))))))</f>
        <v/>
      </c>
      <c r="Q177" s="38">
        <f>IF($U177="","",IF($G177&lt;0,"입금이 매출보다 큼 — 선수금이거나 다른 거래처 입금이 섞였는지 확인",IF(AND($AE177&lt;&gt;"",COUNTIF($AE$8:$AE$307,"*"&amp;$AE177&amp;"*")&gt;1),"이름이 다른 거래처와 겹침 — 입금이 잘못 맞았을 수 있으니 별칭 확인",IF(AND($G177&gt;0,$F177=0),"입금 매칭 없음 — 입금자명이 다르면 [거래처설정]에 별칭 등록",""))))</f>
        <v/>
      </c>
      <c r="R177" s="31">
        <f>IF(OR($U177="",$G177&lt;=0),"",$G177-$A177/10000)</f>
        <v/>
      </c>
      <c r="S177" s="31">
        <f>IF(OR($U177="",$O177&lt;1),"",$O177*10^11+$I177+$J177+$K177-$A177/1000)</f>
        <v/>
      </c>
      <c r="T177" s="31">
        <f>IF($U177="","",IFERROR(MATCH(INDEX(매출원본!$AU$8:$AU$2007,$U177),거래처설정!$I$8:$I$407,0),""))</f>
        <v/>
      </c>
      <c r="U177" s="31">
        <f>IFERROR(MATCH(170,매출원본!$AW$8:$AW$2007,0),"")</f>
        <v/>
      </c>
      <c r="V177" s="31">
        <f>IF($U177="","",MAX(SUMIFS(매출원본!$AT$8:$AT$2007,매출원본!$AY$8:$AY$2007,$A177,매출원본!$AS$8:$AS$2007,"&gt;="&amp;(설정!$B$5-설정!$B$6),매출원본!$AS$8:$AS$2007,"&lt;="&amp;설정!$B$5),0))</f>
        <v/>
      </c>
      <c r="W177" s="31">
        <f>IF($U177="","",MAX($V177,SUMIFS(매출원본!$AT$8:$AT$2007,매출원본!$AY$8:$AY$2007,$A177,매출원본!$AS$8:$AS$2007,"&gt;="&amp;(설정!$B$5-설정!$B$7),매출원본!$AS$8:$AS$2007,"&lt;="&amp;설정!$B$5)))</f>
        <v/>
      </c>
      <c r="X177" s="31">
        <f>IF($U177="","",MAX($W177,SUMIFS(매출원본!$AT$8:$AT$2007,매출원본!$AY$8:$AY$2007,$A177,매출원본!$AS$8:$AS$2007,"&gt;="&amp;(설정!$B$5-설정!$B$8),매출원본!$AS$8:$AS$2007,"&lt;="&amp;설정!$B$5)))</f>
        <v/>
      </c>
      <c r="AC177" s="31">
        <f>IF(OR($U177="",$T177=""),"",INDEX(거래처설정!$J$8:$J$407,$T177))</f>
        <v/>
      </c>
      <c r="AD177" s="31">
        <f>IF(OR($U177="",$T177=""),"",INDEX(거래처설정!$K$8:$K$407,$T177))</f>
        <v/>
      </c>
      <c r="AE177" s="31">
        <f>IF($U177="","",IF(LEN(SUBSTITUTE(SUBSTITUTE(SUBSTITUTE(SUBSTITUTE(SUBSTITUTE(SUBSTITUTE(SUBSTITUTE(SUBSTITUTE(SUBSTITUTE($C177," ",""),"　",""),"(주)",""),"（주）",""),"㈜",""),"주식회사",""),"(유)",""),"（유）",""),"유한회사",""))&lt;2,"",SUBSTITUTE(SUBSTITUTE(SUBSTITUTE(SUBSTITUTE(SUBSTITUTE(SUBSTITUTE(SUBSTITUTE(SUBSTITUTE(SUBSTITUTE($C177," ",""),"　",""),"(주)",""),"（주）",""),"㈜",""),"주식회사",""),"(유)",""),"（유）",""),"유한회사","")))</f>
        <v/>
      </c>
    </row>
    <row r="178">
      <c r="A178" s="38">
        <f>IF($U178="","",171)</f>
        <v/>
      </c>
      <c r="B178" s="38">
        <f>IF($U178="","",IF(LEN(INDEX(매출원본!$AU$8:$AU$2007,$U178))=10,LEFT(INDEX(매출원본!$AU$8:$AU$2007,$U178),3)&amp;"-"&amp;MID(INDEX(매출원본!$AU$8:$AU$2007,$U178),4,2)&amp;"-"&amp;RIGHT(INDEX(매출원본!$AU$8:$AU$2007,$U178),5),IF(LEFT(INDEX(매출원본!$AU$8:$AU$2007,$U178),2)="N:","(번호 없음)",INDEX(매출원본!$AU$8:$AU$2007,$U178))))</f>
        <v/>
      </c>
      <c r="C178" s="38">
        <f>IF($U178="","",INDEX(매출원본!$AV$8:$AV$2007,$U178))</f>
        <v/>
      </c>
      <c r="D178" s="39">
        <f>IF($U178="","",IF($T178="",0,N(INDEX(거래처설정!$E$8:$E$407,$T178))))</f>
        <v/>
      </c>
      <c r="E178" s="39">
        <f>IF($U178="","",SUMIFS(매출원본!$AT$8:$AT$2007,매출원본!$AY$8:$AY$2007,$A178,매출원본!$AS$8:$AS$2007,"&lt;="&amp;설정!$B$5))</f>
        <v/>
      </c>
      <c r="F178" s="39">
        <f>IF($U178="","",SUMIFS(입금_은행1!$Z$8:$Z$2007,입금_은행1!$AC$8:$AC$2007,$A178,입금_은행1!$Y$8:$Y$2007,"&lt;="&amp;설정!$B$5)+SUMIFS(입금_은행2!$Z$8:$Z$2007,입금_은행2!$AC$8:$AC$2007,$A178,입금_은행2!$Y$8:$Y$2007,"&lt;="&amp;설정!$B$5))</f>
        <v/>
      </c>
      <c r="G178" s="39">
        <f>IF($U178="","",$D178+$E178-$F178)</f>
        <v/>
      </c>
      <c r="H178" s="39">
        <f>IF($U178="","",MIN(MAX($G178,0),$V178))</f>
        <v/>
      </c>
      <c r="I178" s="39">
        <f>IF($U178="","",MIN(MAX($G178,0),$W178)-MIN(MAX($G178,0),$V178))</f>
        <v/>
      </c>
      <c r="J178" s="39">
        <f>IF($U178="","",MIN(MAX($G178,0),$X178)-MIN(MAX($G178,0),$W178))</f>
        <v/>
      </c>
      <c r="K178" s="39">
        <f>IF($U178="","",MAX($G178,0)-MIN(MAX($G178,0),$X178))</f>
        <v/>
      </c>
      <c r="L178" s="40">
        <f>IF($U178="","",IF(MAX(SUMPRODUCT(MAX((입금_은행1!$AC$8:$AC$2007=$A178)*(입금_은행1!$AE$8:$AE$2007&lt;=설정!$B$5)*입금_은행1!$AE$8:$AE$2007)),SUMPRODUCT(MAX((입금_은행2!$AC$8:$AC$2007=$A178)*(입금_은행2!$AE$8:$AE$2007&lt;=설정!$B$5)*입금_은행2!$AE$8:$AE$2007)))=0,"",MAX(SUMPRODUCT(MAX((입금_은행1!$AC$8:$AC$2007=$A178)*(입금_은행1!$AE$8:$AE$2007&lt;=설정!$B$5)*입금_은행1!$AE$8:$AE$2007)),SUMPRODUCT(MAX((입금_은행2!$AC$8:$AC$2007=$A178)*(입금_은행2!$AE$8:$AE$2007&lt;=설정!$B$5)*입금_은행2!$AE$8:$AE$2007)))))</f>
        <v/>
      </c>
      <c r="M178" s="38">
        <f>IF($U178="","",IF($T178="","",IF(INDEX(거래처설정!$F$8:$F$407,$T178)="","",INDEX(거래처설정!$F$8:$F$407,$T178))))</f>
        <v/>
      </c>
      <c r="N178" s="38">
        <f>IF($U178="","",IF($T178="","",IF(INDEX(거래처설정!$G$8:$G$407,$T178)="","",INDEX(거래처설정!$G$8:$G$407,$T178))))</f>
        <v/>
      </c>
      <c r="O178" s="38">
        <f>IF($U178="","",IF($M178="제외",0,IF($K178&gt;=설정!$B$9,3,IF($J178+$K178&gt;=설정!$B$9,2,IF($I178+$J178+$K178&gt;=설정!$B$9,1,0)))))</f>
        <v/>
      </c>
      <c r="P178" s="38">
        <f>IF($U178="","",IF($M178="제외","제외(조치 상태)",IF($O178=3,"③ 강한 독촉 후보 ("&amp;설정!$B$8&amp;"일 초과)",IF($O178=2,"② 독촉 후보 ("&amp;설정!$B$7&amp;"일 초과)",IF($O178=1,"① 안내 후보 ("&amp;설정!$B$6&amp;"일 초과)",IF($G178&gt;0,IF($I178+$J178+$K178&gt;0,"오래된 잔액 있음 (최소 금액 미만)","정상 범위"),IF($G178&lt;0,"선수금·초과입금 — 확인","완납")))))))</f>
        <v/>
      </c>
      <c r="Q178" s="38">
        <f>IF($U178="","",IF($G178&lt;0,"입금이 매출보다 큼 — 선수금이거나 다른 거래처 입금이 섞였는지 확인",IF(AND($AE178&lt;&gt;"",COUNTIF($AE$8:$AE$307,"*"&amp;$AE178&amp;"*")&gt;1),"이름이 다른 거래처와 겹침 — 입금이 잘못 맞았을 수 있으니 별칭 확인",IF(AND($G178&gt;0,$F178=0),"입금 매칭 없음 — 입금자명이 다르면 [거래처설정]에 별칭 등록",""))))</f>
        <v/>
      </c>
      <c r="R178" s="31">
        <f>IF(OR($U178="",$G178&lt;=0),"",$G178-$A178/10000)</f>
        <v/>
      </c>
      <c r="S178" s="31">
        <f>IF(OR($U178="",$O178&lt;1),"",$O178*10^11+$I178+$J178+$K178-$A178/1000)</f>
        <v/>
      </c>
      <c r="T178" s="31">
        <f>IF($U178="","",IFERROR(MATCH(INDEX(매출원본!$AU$8:$AU$2007,$U178),거래처설정!$I$8:$I$407,0),""))</f>
        <v/>
      </c>
      <c r="U178" s="31">
        <f>IFERROR(MATCH(171,매출원본!$AW$8:$AW$2007,0),"")</f>
        <v/>
      </c>
      <c r="V178" s="31">
        <f>IF($U178="","",MAX(SUMIFS(매출원본!$AT$8:$AT$2007,매출원본!$AY$8:$AY$2007,$A178,매출원본!$AS$8:$AS$2007,"&gt;="&amp;(설정!$B$5-설정!$B$6),매출원본!$AS$8:$AS$2007,"&lt;="&amp;설정!$B$5),0))</f>
        <v/>
      </c>
      <c r="W178" s="31">
        <f>IF($U178="","",MAX($V178,SUMIFS(매출원본!$AT$8:$AT$2007,매출원본!$AY$8:$AY$2007,$A178,매출원본!$AS$8:$AS$2007,"&gt;="&amp;(설정!$B$5-설정!$B$7),매출원본!$AS$8:$AS$2007,"&lt;="&amp;설정!$B$5)))</f>
        <v/>
      </c>
      <c r="X178" s="31">
        <f>IF($U178="","",MAX($W178,SUMIFS(매출원본!$AT$8:$AT$2007,매출원본!$AY$8:$AY$2007,$A178,매출원본!$AS$8:$AS$2007,"&gt;="&amp;(설정!$B$5-설정!$B$8),매출원본!$AS$8:$AS$2007,"&lt;="&amp;설정!$B$5)))</f>
        <v/>
      </c>
      <c r="AC178" s="31">
        <f>IF(OR($U178="",$T178=""),"",INDEX(거래처설정!$J$8:$J$407,$T178))</f>
        <v/>
      </c>
      <c r="AD178" s="31">
        <f>IF(OR($U178="",$T178=""),"",INDEX(거래처설정!$K$8:$K$407,$T178))</f>
        <v/>
      </c>
      <c r="AE178" s="31">
        <f>IF($U178="","",IF(LEN(SUBSTITUTE(SUBSTITUTE(SUBSTITUTE(SUBSTITUTE(SUBSTITUTE(SUBSTITUTE(SUBSTITUTE(SUBSTITUTE(SUBSTITUTE($C178," ",""),"　",""),"(주)",""),"（주）",""),"㈜",""),"주식회사",""),"(유)",""),"（유）",""),"유한회사",""))&lt;2,"",SUBSTITUTE(SUBSTITUTE(SUBSTITUTE(SUBSTITUTE(SUBSTITUTE(SUBSTITUTE(SUBSTITUTE(SUBSTITUTE(SUBSTITUTE($C178," ",""),"　",""),"(주)",""),"（주）",""),"㈜",""),"주식회사",""),"(유)",""),"（유）",""),"유한회사","")))</f>
        <v/>
      </c>
    </row>
    <row r="179">
      <c r="A179" s="38">
        <f>IF($U179="","",172)</f>
        <v/>
      </c>
      <c r="B179" s="38">
        <f>IF($U179="","",IF(LEN(INDEX(매출원본!$AU$8:$AU$2007,$U179))=10,LEFT(INDEX(매출원본!$AU$8:$AU$2007,$U179),3)&amp;"-"&amp;MID(INDEX(매출원본!$AU$8:$AU$2007,$U179),4,2)&amp;"-"&amp;RIGHT(INDEX(매출원본!$AU$8:$AU$2007,$U179),5),IF(LEFT(INDEX(매출원본!$AU$8:$AU$2007,$U179),2)="N:","(번호 없음)",INDEX(매출원본!$AU$8:$AU$2007,$U179))))</f>
        <v/>
      </c>
      <c r="C179" s="38">
        <f>IF($U179="","",INDEX(매출원본!$AV$8:$AV$2007,$U179))</f>
        <v/>
      </c>
      <c r="D179" s="39">
        <f>IF($U179="","",IF($T179="",0,N(INDEX(거래처설정!$E$8:$E$407,$T179))))</f>
        <v/>
      </c>
      <c r="E179" s="39">
        <f>IF($U179="","",SUMIFS(매출원본!$AT$8:$AT$2007,매출원본!$AY$8:$AY$2007,$A179,매출원본!$AS$8:$AS$2007,"&lt;="&amp;설정!$B$5))</f>
        <v/>
      </c>
      <c r="F179" s="39">
        <f>IF($U179="","",SUMIFS(입금_은행1!$Z$8:$Z$2007,입금_은행1!$AC$8:$AC$2007,$A179,입금_은행1!$Y$8:$Y$2007,"&lt;="&amp;설정!$B$5)+SUMIFS(입금_은행2!$Z$8:$Z$2007,입금_은행2!$AC$8:$AC$2007,$A179,입금_은행2!$Y$8:$Y$2007,"&lt;="&amp;설정!$B$5))</f>
        <v/>
      </c>
      <c r="G179" s="39">
        <f>IF($U179="","",$D179+$E179-$F179)</f>
        <v/>
      </c>
      <c r="H179" s="39">
        <f>IF($U179="","",MIN(MAX($G179,0),$V179))</f>
        <v/>
      </c>
      <c r="I179" s="39">
        <f>IF($U179="","",MIN(MAX($G179,0),$W179)-MIN(MAX($G179,0),$V179))</f>
        <v/>
      </c>
      <c r="J179" s="39">
        <f>IF($U179="","",MIN(MAX($G179,0),$X179)-MIN(MAX($G179,0),$W179))</f>
        <v/>
      </c>
      <c r="K179" s="39">
        <f>IF($U179="","",MAX($G179,0)-MIN(MAX($G179,0),$X179))</f>
        <v/>
      </c>
      <c r="L179" s="40">
        <f>IF($U179="","",IF(MAX(SUMPRODUCT(MAX((입금_은행1!$AC$8:$AC$2007=$A179)*(입금_은행1!$AE$8:$AE$2007&lt;=설정!$B$5)*입금_은행1!$AE$8:$AE$2007)),SUMPRODUCT(MAX((입금_은행2!$AC$8:$AC$2007=$A179)*(입금_은행2!$AE$8:$AE$2007&lt;=설정!$B$5)*입금_은행2!$AE$8:$AE$2007)))=0,"",MAX(SUMPRODUCT(MAX((입금_은행1!$AC$8:$AC$2007=$A179)*(입금_은행1!$AE$8:$AE$2007&lt;=설정!$B$5)*입금_은행1!$AE$8:$AE$2007)),SUMPRODUCT(MAX((입금_은행2!$AC$8:$AC$2007=$A179)*(입금_은행2!$AE$8:$AE$2007&lt;=설정!$B$5)*입금_은행2!$AE$8:$AE$2007)))))</f>
        <v/>
      </c>
      <c r="M179" s="38">
        <f>IF($U179="","",IF($T179="","",IF(INDEX(거래처설정!$F$8:$F$407,$T179)="","",INDEX(거래처설정!$F$8:$F$407,$T179))))</f>
        <v/>
      </c>
      <c r="N179" s="38">
        <f>IF($U179="","",IF($T179="","",IF(INDEX(거래처설정!$G$8:$G$407,$T179)="","",INDEX(거래처설정!$G$8:$G$407,$T179))))</f>
        <v/>
      </c>
      <c r="O179" s="38">
        <f>IF($U179="","",IF($M179="제외",0,IF($K179&gt;=설정!$B$9,3,IF($J179+$K179&gt;=설정!$B$9,2,IF($I179+$J179+$K179&gt;=설정!$B$9,1,0)))))</f>
        <v/>
      </c>
      <c r="P179" s="38">
        <f>IF($U179="","",IF($M179="제외","제외(조치 상태)",IF($O179=3,"③ 강한 독촉 후보 ("&amp;설정!$B$8&amp;"일 초과)",IF($O179=2,"② 독촉 후보 ("&amp;설정!$B$7&amp;"일 초과)",IF($O179=1,"① 안내 후보 ("&amp;설정!$B$6&amp;"일 초과)",IF($G179&gt;0,IF($I179+$J179+$K179&gt;0,"오래된 잔액 있음 (최소 금액 미만)","정상 범위"),IF($G179&lt;0,"선수금·초과입금 — 확인","완납")))))))</f>
        <v/>
      </c>
      <c r="Q179" s="38">
        <f>IF($U179="","",IF($G179&lt;0,"입금이 매출보다 큼 — 선수금이거나 다른 거래처 입금이 섞였는지 확인",IF(AND($AE179&lt;&gt;"",COUNTIF($AE$8:$AE$307,"*"&amp;$AE179&amp;"*")&gt;1),"이름이 다른 거래처와 겹침 — 입금이 잘못 맞았을 수 있으니 별칭 확인",IF(AND($G179&gt;0,$F179=0),"입금 매칭 없음 — 입금자명이 다르면 [거래처설정]에 별칭 등록",""))))</f>
        <v/>
      </c>
      <c r="R179" s="31">
        <f>IF(OR($U179="",$G179&lt;=0),"",$G179-$A179/10000)</f>
        <v/>
      </c>
      <c r="S179" s="31">
        <f>IF(OR($U179="",$O179&lt;1),"",$O179*10^11+$I179+$J179+$K179-$A179/1000)</f>
        <v/>
      </c>
      <c r="T179" s="31">
        <f>IF($U179="","",IFERROR(MATCH(INDEX(매출원본!$AU$8:$AU$2007,$U179),거래처설정!$I$8:$I$407,0),""))</f>
        <v/>
      </c>
      <c r="U179" s="31">
        <f>IFERROR(MATCH(172,매출원본!$AW$8:$AW$2007,0),"")</f>
        <v/>
      </c>
      <c r="V179" s="31">
        <f>IF($U179="","",MAX(SUMIFS(매출원본!$AT$8:$AT$2007,매출원본!$AY$8:$AY$2007,$A179,매출원본!$AS$8:$AS$2007,"&gt;="&amp;(설정!$B$5-설정!$B$6),매출원본!$AS$8:$AS$2007,"&lt;="&amp;설정!$B$5),0))</f>
        <v/>
      </c>
      <c r="W179" s="31">
        <f>IF($U179="","",MAX($V179,SUMIFS(매출원본!$AT$8:$AT$2007,매출원본!$AY$8:$AY$2007,$A179,매출원본!$AS$8:$AS$2007,"&gt;="&amp;(설정!$B$5-설정!$B$7),매출원본!$AS$8:$AS$2007,"&lt;="&amp;설정!$B$5)))</f>
        <v/>
      </c>
      <c r="X179" s="31">
        <f>IF($U179="","",MAX($W179,SUMIFS(매출원본!$AT$8:$AT$2007,매출원본!$AY$8:$AY$2007,$A179,매출원본!$AS$8:$AS$2007,"&gt;="&amp;(설정!$B$5-설정!$B$8),매출원본!$AS$8:$AS$2007,"&lt;="&amp;설정!$B$5)))</f>
        <v/>
      </c>
      <c r="AC179" s="31">
        <f>IF(OR($U179="",$T179=""),"",INDEX(거래처설정!$J$8:$J$407,$T179))</f>
        <v/>
      </c>
      <c r="AD179" s="31">
        <f>IF(OR($U179="",$T179=""),"",INDEX(거래처설정!$K$8:$K$407,$T179))</f>
        <v/>
      </c>
      <c r="AE179" s="31">
        <f>IF($U179="","",IF(LEN(SUBSTITUTE(SUBSTITUTE(SUBSTITUTE(SUBSTITUTE(SUBSTITUTE(SUBSTITUTE(SUBSTITUTE(SUBSTITUTE(SUBSTITUTE($C179," ",""),"　",""),"(주)",""),"（주）",""),"㈜",""),"주식회사",""),"(유)",""),"（유）",""),"유한회사",""))&lt;2,"",SUBSTITUTE(SUBSTITUTE(SUBSTITUTE(SUBSTITUTE(SUBSTITUTE(SUBSTITUTE(SUBSTITUTE(SUBSTITUTE(SUBSTITUTE($C179," ",""),"　",""),"(주)",""),"（주）",""),"㈜",""),"주식회사",""),"(유)",""),"（유）",""),"유한회사","")))</f>
        <v/>
      </c>
    </row>
    <row r="180">
      <c r="A180" s="38">
        <f>IF($U180="","",173)</f>
        <v/>
      </c>
      <c r="B180" s="38">
        <f>IF($U180="","",IF(LEN(INDEX(매출원본!$AU$8:$AU$2007,$U180))=10,LEFT(INDEX(매출원본!$AU$8:$AU$2007,$U180),3)&amp;"-"&amp;MID(INDEX(매출원본!$AU$8:$AU$2007,$U180),4,2)&amp;"-"&amp;RIGHT(INDEX(매출원본!$AU$8:$AU$2007,$U180),5),IF(LEFT(INDEX(매출원본!$AU$8:$AU$2007,$U180),2)="N:","(번호 없음)",INDEX(매출원본!$AU$8:$AU$2007,$U180))))</f>
        <v/>
      </c>
      <c r="C180" s="38">
        <f>IF($U180="","",INDEX(매출원본!$AV$8:$AV$2007,$U180))</f>
        <v/>
      </c>
      <c r="D180" s="39">
        <f>IF($U180="","",IF($T180="",0,N(INDEX(거래처설정!$E$8:$E$407,$T180))))</f>
        <v/>
      </c>
      <c r="E180" s="39">
        <f>IF($U180="","",SUMIFS(매출원본!$AT$8:$AT$2007,매출원본!$AY$8:$AY$2007,$A180,매출원본!$AS$8:$AS$2007,"&lt;="&amp;설정!$B$5))</f>
        <v/>
      </c>
      <c r="F180" s="39">
        <f>IF($U180="","",SUMIFS(입금_은행1!$Z$8:$Z$2007,입금_은행1!$AC$8:$AC$2007,$A180,입금_은행1!$Y$8:$Y$2007,"&lt;="&amp;설정!$B$5)+SUMIFS(입금_은행2!$Z$8:$Z$2007,입금_은행2!$AC$8:$AC$2007,$A180,입금_은행2!$Y$8:$Y$2007,"&lt;="&amp;설정!$B$5))</f>
        <v/>
      </c>
      <c r="G180" s="39">
        <f>IF($U180="","",$D180+$E180-$F180)</f>
        <v/>
      </c>
      <c r="H180" s="39">
        <f>IF($U180="","",MIN(MAX($G180,0),$V180))</f>
        <v/>
      </c>
      <c r="I180" s="39">
        <f>IF($U180="","",MIN(MAX($G180,0),$W180)-MIN(MAX($G180,0),$V180))</f>
        <v/>
      </c>
      <c r="J180" s="39">
        <f>IF($U180="","",MIN(MAX($G180,0),$X180)-MIN(MAX($G180,0),$W180))</f>
        <v/>
      </c>
      <c r="K180" s="39">
        <f>IF($U180="","",MAX($G180,0)-MIN(MAX($G180,0),$X180))</f>
        <v/>
      </c>
      <c r="L180" s="40">
        <f>IF($U180="","",IF(MAX(SUMPRODUCT(MAX((입금_은행1!$AC$8:$AC$2007=$A180)*(입금_은행1!$AE$8:$AE$2007&lt;=설정!$B$5)*입금_은행1!$AE$8:$AE$2007)),SUMPRODUCT(MAX((입금_은행2!$AC$8:$AC$2007=$A180)*(입금_은행2!$AE$8:$AE$2007&lt;=설정!$B$5)*입금_은행2!$AE$8:$AE$2007)))=0,"",MAX(SUMPRODUCT(MAX((입금_은행1!$AC$8:$AC$2007=$A180)*(입금_은행1!$AE$8:$AE$2007&lt;=설정!$B$5)*입금_은행1!$AE$8:$AE$2007)),SUMPRODUCT(MAX((입금_은행2!$AC$8:$AC$2007=$A180)*(입금_은행2!$AE$8:$AE$2007&lt;=설정!$B$5)*입금_은행2!$AE$8:$AE$2007)))))</f>
        <v/>
      </c>
      <c r="M180" s="38">
        <f>IF($U180="","",IF($T180="","",IF(INDEX(거래처설정!$F$8:$F$407,$T180)="","",INDEX(거래처설정!$F$8:$F$407,$T180))))</f>
        <v/>
      </c>
      <c r="N180" s="38">
        <f>IF($U180="","",IF($T180="","",IF(INDEX(거래처설정!$G$8:$G$407,$T180)="","",INDEX(거래처설정!$G$8:$G$407,$T180))))</f>
        <v/>
      </c>
      <c r="O180" s="38">
        <f>IF($U180="","",IF($M180="제외",0,IF($K180&gt;=설정!$B$9,3,IF($J180+$K180&gt;=설정!$B$9,2,IF($I180+$J180+$K180&gt;=설정!$B$9,1,0)))))</f>
        <v/>
      </c>
      <c r="P180" s="38">
        <f>IF($U180="","",IF($M180="제외","제외(조치 상태)",IF($O180=3,"③ 강한 독촉 후보 ("&amp;설정!$B$8&amp;"일 초과)",IF($O180=2,"② 독촉 후보 ("&amp;설정!$B$7&amp;"일 초과)",IF($O180=1,"① 안내 후보 ("&amp;설정!$B$6&amp;"일 초과)",IF($G180&gt;0,IF($I180+$J180+$K180&gt;0,"오래된 잔액 있음 (최소 금액 미만)","정상 범위"),IF($G180&lt;0,"선수금·초과입금 — 확인","완납")))))))</f>
        <v/>
      </c>
      <c r="Q180" s="38">
        <f>IF($U180="","",IF($G180&lt;0,"입금이 매출보다 큼 — 선수금이거나 다른 거래처 입금이 섞였는지 확인",IF(AND($AE180&lt;&gt;"",COUNTIF($AE$8:$AE$307,"*"&amp;$AE180&amp;"*")&gt;1),"이름이 다른 거래처와 겹침 — 입금이 잘못 맞았을 수 있으니 별칭 확인",IF(AND($G180&gt;0,$F180=0),"입금 매칭 없음 — 입금자명이 다르면 [거래처설정]에 별칭 등록",""))))</f>
        <v/>
      </c>
      <c r="R180" s="31">
        <f>IF(OR($U180="",$G180&lt;=0),"",$G180-$A180/10000)</f>
        <v/>
      </c>
      <c r="S180" s="31">
        <f>IF(OR($U180="",$O180&lt;1),"",$O180*10^11+$I180+$J180+$K180-$A180/1000)</f>
        <v/>
      </c>
      <c r="T180" s="31">
        <f>IF($U180="","",IFERROR(MATCH(INDEX(매출원본!$AU$8:$AU$2007,$U180),거래처설정!$I$8:$I$407,0),""))</f>
        <v/>
      </c>
      <c r="U180" s="31">
        <f>IFERROR(MATCH(173,매출원본!$AW$8:$AW$2007,0),"")</f>
        <v/>
      </c>
      <c r="V180" s="31">
        <f>IF($U180="","",MAX(SUMIFS(매출원본!$AT$8:$AT$2007,매출원본!$AY$8:$AY$2007,$A180,매출원본!$AS$8:$AS$2007,"&gt;="&amp;(설정!$B$5-설정!$B$6),매출원본!$AS$8:$AS$2007,"&lt;="&amp;설정!$B$5),0))</f>
        <v/>
      </c>
      <c r="W180" s="31">
        <f>IF($U180="","",MAX($V180,SUMIFS(매출원본!$AT$8:$AT$2007,매출원본!$AY$8:$AY$2007,$A180,매출원본!$AS$8:$AS$2007,"&gt;="&amp;(설정!$B$5-설정!$B$7),매출원본!$AS$8:$AS$2007,"&lt;="&amp;설정!$B$5)))</f>
        <v/>
      </c>
      <c r="X180" s="31">
        <f>IF($U180="","",MAX($W180,SUMIFS(매출원본!$AT$8:$AT$2007,매출원본!$AY$8:$AY$2007,$A180,매출원본!$AS$8:$AS$2007,"&gt;="&amp;(설정!$B$5-설정!$B$8),매출원본!$AS$8:$AS$2007,"&lt;="&amp;설정!$B$5)))</f>
        <v/>
      </c>
      <c r="AC180" s="31">
        <f>IF(OR($U180="",$T180=""),"",INDEX(거래처설정!$J$8:$J$407,$T180))</f>
        <v/>
      </c>
      <c r="AD180" s="31">
        <f>IF(OR($U180="",$T180=""),"",INDEX(거래처설정!$K$8:$K$407,$T180))</f>
        <v/>
      </c>
      <c r="AE180" s="31">
        <f>IF($U180="","",IF(LEN(SUBSTITUTE(SUBSTITUTE(SUBSTITUTE(SUBSTITUTE(SUBSTITUTE(SUBSTITUTE(SUBSTITUTE(SUBSTITUTE(SUBSTITUTE($C180," ",""),"　",""),"(주)",""),"（주）",""),"㈜",""),"주식회사",""),"(유)",""),"（유）",""),"유한회사",""))&lt;2,"",SUBSTITUTE(SUBSTITUTE(SUBSTITUTE(SUBSTITUTE(SUBSTITUTE(SUBSTITUTE(SUBSTITUTE(SUBSTITUTE(SUBSTITUTE($C180," ",""),"　",""),"(주)",""),"（주）",""),"㈜",""),"주식회사",""),"(유)",""),"（유）",""),"유한회사","")))</f>
        <v/>
      </c>
    </row>
    <row r="181">
      <c r="A181" s="38">
        <f>IF($U181="","",174)</f>
        <v/>
      </c>
      <c r="B181" s="38">
        <f>IF($U181="","",IF(LEN(INDEX(매출원본!$AU$8:$AU$2007,$U181))=10,LEFT(INDEX(매출원본!$AU$8:$AU$2007,$U181),3)&amp;"-"&amp;MID(INDEX(매출원본!$AU$8:$AU$2007,$U181),4,2)&amp;"-"&amp;RIGHT(INDEX(매출원본!$AU$8:$AU$2007,$U181),5),IF(LEFT(INDEX(매출원본!$AU$8:$AU$2007,$U181),2)="N:","(번호 없음)",INDEX(매출원본!$AU$8:$AU$2007,$U181))))</f>
        <v/>
      </c>
      <c r="C181" s="38">
        <f>IF($U181="","",INDEX(매출원본!$AV$8:$AV$2007,$U181))</f>
        <v/>
      </c>
      <c r="D181" s="39">
        <f>IF($U181="","",IF($T181="",0,N(INDEX(거래처설정!$E$8:$E$407,$T181))))</f>
        <v/>
      </c>
      <c r="E181" s="39">
        <f>IF($U181="","",SUMIFS(매출원본!$AT$8:$AT$2007,매출원본!$AY$8:$AY$2007,$A181,매출원본!$AS$8:$AS$2007,"&lt;="&amp;설정!$B$5))</f>
        <v/>
      </c>
      <c r="F181" s="39">
        <f>IF($U181="","",SUMIFS(입금_은행1!$Z$8:$Z$2007,입금_은행1!$AC$8:$AC$2007,$A181,입금_은행1!$Y$8:$Y$2007,"&lt;="&amp;설정!$B$5)+SUMIFS(입금_은행2!$Z$8:$Z$2007,입금_은행2!$AC$8:$AC$2007,$A181,입금_은행2!$Y$8:$Y$2007,"&lt;="&amp;설정!$B$5))</f>
        <v/>
      </c>
      <c r="G181" s="39">
        <f>IF($U181="","",$D181+$E181-$F181)</f>
        <v/>
      </c>
      <c r="H181" s="39">
        <f>IF($U181="","",MIN(MAX($G181,0),$V181))</f>
        <v/>
      </c>
      <c r="I181" s="39">
        <f>IF($U181="","",MIN(MAX($G181,0),$W181)-MIN(MAX($G181,0),$V181))</f>
        <v/>
      </c>
      <c r="J181" s="39">
        <f>IF($U181="","",MIN(MAX($G181,0),$X181)-MIN(MAX($G181,0),$W181))</f>
        <v/>
      </c>
      <c r="K181" s="39">
        <f>IF($U181="","",MAX($G181,0)-MIN(MAX($G181,0),$X181))</f>
        <v/>
      </c>
      <c r="L181" s="40">
        <f>IF($U181="","",IF(MAX(SUMPRODUCT(MAX((입금_은행1!$AC$8:$AC$2007=$A181)*(입금_은행1!$AE$8:$AE$2007&lt;=설정!$B$5)*입금_은행1!$AE$8:$AE$2007)),SUMPRODUCT(MAX((입금_은행2!$AC$8:$AC$2007=$A181)*(입금_은행2!$AE$8:$AE$2007&lt;=설정!$B$5)*입금_은행2!$AE$8:$AE$2007)))=0,"",MAX(SUMPRODUCT(MAX((입금_은행1!$AC$8:$AC$2007=$A181)*(입금_은행1!$AE$8:$AE$2007&lt;=설정!$B$5)*입금_은행1!$AE$8:$AE$2007)),SUMPRODUCT(MAX((입금_은행2!$AC$8:$AC$2007=$A181)*(입금_은행2!$AE$8:$AE$2007&lt;=설정!$B$5)*입금_은행2!$AE$8:$AE$2007)))))</f>
        <v/>
      </c>
      <c r="M181" s="38">
        <f>IF($U181="","",IF($T181="","",IF(INDEX(거래처설정!$F$8:$F$407,$T181)="","",INDEX(거래처설정!$F$8:$F$407,$T181))))</f>
        <v/>
      </c>
      <c r="N181" s="38">
        <f>IF($U181="","",IF($T181="","",IF(INDEX(거래처설정!$G$8:$G$407,$T181)="","",INDEX(거래처설정!$G$8:$G$407,$T181))))</f>
        <v/>
      </c>
      <c r="O181" s="38">
        <f>IF($U181="","",IF($M181="제외",0,IF($K181&gt;=설정!$B$9,3,IF($J181+$K181&gt;=설정!$B$9,2,IF($I181+$J181+$K181&gt;=설정!$B$9,1,0)))))</f>
        <v/>
      </c>
      <c r="P181" s="38">
        <f>IF($U181="","",IF($M181="제외","제외(조치 상태)",IF($O181=3,"③ 강한 독촉 후보 ("&amp;설정!$B$8&amp;"일 초과)",IF($O181=2,"② 독촉 후보 ("&amp;설정!$B$7&amp;"일 초과)",IF($O181=1,"① 안내 후보 ("&amp;설정!$B$6&amp;"일 초과)",IF($G181&gt;0,IF($I181+$J181+$K181&gt;0,"오래된 잔액 있음 (최소 금액 미만)","정상 범위"),IF($G181&lt;0,"선수금·초과입금 — 확인","완납")))))))</f>
        <v/>
      </c>
      <c r="Q181" s="38">
        <f>IF($U181="","",IF($G181&lt;0,"입금이 매출보다 큼 — 선수금이거나 다른 거래처 입금이 섞였는지 확인",IF(AND($AE181&lt;&gt;"",COUNTIF($AE$8:$AE$307,"*"&amp;$AE181&amp;"*")&gt;1),"이름이 다른 거래처와 겹침 — 입금이 잘못 맞았을 수 있으니 별칭 확인",IF(AND($G181&gt;0,$F181=0),"입금 매칭 없음 — 입금자명이 다르면 [거래처설정]에 별칭 등록",""))))</f>
        <v/>
      </c>
      <c r="R181" s="31">
        <f>IF(OR($U181="",$G181&lt;=0),"",$G181-$A181/10000)</f>
        <v/>
      </c>
      <c r="S181" s="31">
        <f>IF(OR($U181="",$O181&lt;1),"",$O181*10^11+$I181+$J181+$K181-$A181/1000)</f>
        <v/>
      </c>
      <c r="T181" s="31">
        <f>IF($U181="","",IFERROR(MATCH(INDEX(매출원본!$AU$8:$AU$2007,$U181),거래처설정!$I$8:$I$407,0),""))</f>
        <v/>
      </c>
      <c r="U181" s="31">
        <f>IFERROR(MATCH(174,매출원본!$AW$8:$AW$2007,0),"")</f>
        <v/>
      </c>
      <c r="V181" s="31">
        <f>IF($U181="","",MAX(SUMIFS(매출원본!$AT$8:$AT$2007,매출원본!$AY$8:$AY$2007,$A181,매출원본!$AS$8:$AS$2007,"&gt;="&amp;(설정!$B$5-설정!$B$6),매출원본!$AS$8:$AS$2007,"&lt;="&amp;설정!$B$5),0))</f>
        <v/>
      </c>
      <c r="W181" s="31">
        <f>IF($U181="","",MAX($V181,SUMIFS(매출원본!$AT$8:$AT$2007,매출원본!$AY$8:$AY$2007,$A181,매출원본!$AS$8:$AS$2007,"&gt;="&amp;(설정!$B$5-설정!$B$7),매출원본!$AS$8:$AS$2007,"&lt;="&amp;설정!$B$5)))</f>
        <v/>
      </c>
      <c r="X181" s="31">
        <f>IF($U181="","",MAX($W181,SUMIFS(매출원본!$AT$8:$AT$2007,매출원본!$AY$8:$AY$2007,$A181,매출원본!$AS$8:$AS$2007,"&gt;="&amp;(설정!$B$5-설정!$B$8),매출원본!$AS$8:$AS$2007,"&lt;="&amp;설정!$B$5)))</f>
        <v/>
      </c>
      <c r="AC181" s="31">
        <f>IF(OR($U181="",$T181=""),"",INDEX(거래처설정!$J$8:$J$407,$T181))</f>
        <v/>
      </c>
      <c r="AD181" s="31">
        <f>IF(OR($U181="",$T181=""),"",INDEX(거래처설정!$K$8:$K$407,$T181))</f>
        <v/>
      </c>
      <c r="AE181" s="31">
        <f>IF($U181="","",IF(LEN(SUBSTITUTE(SUBSTITUTE(SUBSTITUTE(SUBSTITUTE(SUBSTITUTE(SUBSTITUTE(SUBSTITUTE(SUBSTITUTE(SUBSTITUTE($C181," ",""),"　",""),"(주)",""),"（주）",""),"㈜",""),"주식회사",""),"(유)",""),"（유）",""),"유한회사",""))&lt;2,"",SUBSTITUTE(SUBSTITUTE(SUBSTITUTE(SUBSTITUTE(SUBSTITUTE(SUBSTITUTE(SUBSTITUTE(SUBSTITUTE(SUBSTITUTE($C181," ",""),"　",""),"(주)",""),"（주）",""),"㈜",""),"주식회사",""),"(유)",""),"（유）",""),"유한회사","")))</f>
        <v/>
      </c>
    </row>
    <row r="182">
      <c r="A182" s="38">
        <f>IF($U182="","",175)</f>
        <v/>
      </c>
      <c r="B182" s="38">
        <f>IF($U182="","",IF(LEN(INDEX(매출원본!$AU$8:$AU$2007,$U182))=10,LEFT(INDEX(매출원본!$AU$8:$AU$2007,$U182),3)&amp;"-"&amp;MID(INDEX(매출원본!$AU$8:$AU$2007,$U182),4,2)&amp;"-"&amp;RIGHT(INDEX(매출원본!$AU$8:$AU$2007,$U182),5),IF(LEFT(INDEX(매출원본!$AU$8:$AU$2007,$U182),2)="N:","(번호 없음)",INDEX(매출원본!$AU$8:$AU$2007,$U182))))</f>
        <v/>
      </c>
      <c r="C182" s="38">
        <f>IF($U182="","",INDEX(매출원본!$AV$8:$AV$2007,$U182))</f>
        <v/>
      </c>
      <c r="D182" s="39">
        <f>IF($U182="","",IF($T182="",0,N(INDEX(거래처설정!$E$8:$E$407,$T182))))</f>
        <v/>
      </c>
      <c r="E182" s="39">
        <f>IF($U182="","",SUMIFS(매출원본!$AT$8:$AT$2007,매출원본!$AY$8:$AY$2007,$A182,매출원본!$AS$8:$AS$2007,"&lt;="&amp;설정!$B$5))</f>
        <v/>
      </c>
      <c r="F182" s="39">
        <f>IF($U182="","",SUMIFS(입금_은행1!$Z$8:$Z$2007,입금_은행1!$AC$8:$AC$2007,$A182,입금_은행1!$Y$8:$Y$2007,"&lt;="&amp;설정!$B$5)+SUMIFS(입금_은행2!$Z$8:$Z$2007,입금_은행2!$AC$8:$AC$2007,$A182,입금_은행2!$Y$8:$Y$2007,"&lt;="&amp;설정!$B$5))</f>
        <v/>
      </c>
      <c r="G182" s="39">
        <f>IF($U182="","",$D182+$E182-$F182)</f>
        <v/>
      </c>
      <c r="H182" s="39">
        <f>IF($U182="","",MIN(MAX($G182,0),$V182))</f>
        <v/>
      </c>
      <c r="I182" s="39">
        <f>IF($U182="","",MIN(MAX($G182,0),$W182)-MIN(MAX($G182,0),$V182))</f>
        <v/>
      </c>
      <c r="J182" s="39">
        <f>IF($U182="","",MIN(MAX($G182,0),$X182)-MIN(MAX($G182,0),$W182))</f>
        <v/>
      </c>
      <c r="K182" s="39">
        <f>IF($U182="","",MAX($G182,0)-MIN(MAX($G182,0),$X182))</f>
        <v/>
      </c>
      <c r="L182" s="40">
        <f>IF($U182="","",IF(MAX(SUMPRODUCT(MAX((입금_은행1!$AC$8:$AC$2007=$A182)*(입금_은행1!$AE$8:$AE$2007&lt;=설정!$B$5)*입금_은행1!$AE$8:$AE$2007)),SUMPRODUCT(MAX((입금_은행2!$AC$8:$AC$2007=$A182)*(입금_은행2!$AE$8:$AE$2007&lt;=설정!$B$5)*입금_은행2!$AE$8:$AE$2007)))=0,"",MAX(SUMPRODUCT(MAX((입금_은행1!$AC$8:$AC$2007=$A182)*(입금_은행1!$AE$8:$AE$2007&lt;=설정!$B$5)*입금_은행1!$AE$8:$AE$2007)),SUMPRODUCT(MAX((입금_은행2!$AC$8:$AC$2007=$A182)*(입금_은행2!$AE$8:$AE$2007&lt;=설정!$B$5)*입금_은행2!$AE$8:$AE$2007)))))</f>
        <v/>
      </c>
      <c r="M182" s="38">
        <f>IF($U182="","",IF($T182="","",IF(INDEX(거래처설정!$F$8:$F$407,$T182)="","",INDEX(거래처설정!$F$8:$F$407,$T182))))</f>
        <v/>
      </c>
      <c r="N182" s="38">
        <f>IF($U182="","",IF($T182="","",IF(INDEX(거래처설정!$G$8:$G$407,$T182)="","",INDEX(거래처설정!$G$8:$G$407,$T182))))</f>
        <v/>
      </c>
      <c r="O182" s="38">
        <f>IF($U182="","",IF($M182="제외",0,IF($K182&gt;=설정!$B$9,3,IF($J182+$K182&gt;=설정!$B$9,2,IF($I182+$J182+$K182&gt;=설정!$B$9,1,0)))))</f>
        <v/>
      </c>
      <c r="P182" s="38">
        <f>IF($U182="","",IF($M182="제외","제외(조치 상태)",IF($O182=3,"③ 강한 독촉 후보 ("&amp;설정!$B$8&amp;"일 초과)",IF($O182=2,"② 독촉 후보 ("&amp;설정!$B$7&amp;"일 초과)",IF($O182=1,"① 안내 후보 ("&amp;설정!$B$6&amp;"일 초과)",IF($G182&gt;0,IF($I182+$J182+$K182&gt;0,"오래된 잔액 있음 (최소 금액 미만)","정상 범위"),IF($G182&lt;0,"선수금·초과입금 — 확인","완납")))))))</f>
        <v/>
      </c>
      <c r="Q182" s="38">
        <f>IF($U182="","",IF($G182&lt;0,"입금이 매출보다 큼 — 선수금이거나 다른 거래처 입금이 섞였는지 확인",IF(AND($AE182&lt;&gt;"",COUNTIF($AE$8:$AE$307,"*"&amp;$AE182&amp;"*")&gt;1),"이름이 다른 거래처와 겹침 — 입금이 잘못 맞았을 수 있으니 별칭 확인",IF(AND($G182&gt;0,$F182=0),"입금 매칭 없음 — 입금자명이 다르면 [거래처설정]에 별칭 등록",""))))</f>
        <v/>
      </c>
      <c r="R182" s="31">
        <f>IF(OR($U182="",$G182&lt;=0),"",$G182-$A182/10000)</f>
        <v/>
      </c>
      <c r="S182" s="31">
        <f>IF(OR($U182="",$O182&lt;1),"",$O182*10^11+$I182+$J182+$K182-$A182/1000)</f>
        <v/>
      </c>
      <c r="T182" s="31">
        <f>IF($U182="","",IFERROR(MATCH(INDEX(매출원본!$AU$8:$AU$2007,$U182),거래처설정!$I$8:$I$407,0),""))</f>
        <v/>
      </c>
      <c r="U182" s="31">
        <f>IFERROR(MATCH(175,매출원본!$AW$8:$AW$2007,0),"")</f>
        <v/>
      </c>
      <c r="V182" s="31">
        <f>IF($U182="","",MAX(SUMIFS(매출원본!$AT$8:$AT$2007,매출원본!$AY$8:$AY$2007,$A182,매출원본!$AS$8:$AS$2007,"&gt;="&amp;(설정!$B$5-설정!$B$6),매출원본!$AS$8:$AS$2007,"&lt;="&amp;설정!$B$5),0))</f>
        <v/>
      </c>
      <c r="W182" s="31">
        <f>IF($U182="","",MAX($V182,SUMIFS(매출원본!$AT$8:$AT$2007,매출원본!$AY$8:$AY$2007,$A182,매출원본!$AS$8:$AS$2007,"&gt;="&amp;(설정!$B$5-설정!$B$7),매출원본!$AS$8:$AS$2007,"&lt;="&amp;설정!$B$5)))</f>
        <v/>
      </c>
      <c r="X182" s="31">
        <f>IF($U182="","",MAX($W182,SUMIFS(매출원본!$AT$8:$AT$2007,매출원본!$AY$8:$AY$2007,$A182,매출원본!$AS$8:$AS$2007,"&gt;="&amp;(설정!$B$5-설정!$B$8),매출원본!$AS$8:$AS$2007,"&lt;="&amp;설정!$B$5)))</f>
        <v/>
      </c>
      <c r="AC182" s="31">
        <f>IF(OR($U182="",$T182=""),"",INDEX(거래처설정!$J$8:$J$407,$T182))</f>
        <v/>
      </c>
      <c r="AD182" s="31">
        <f>IF(OR($U182="",$T182=""),"",INDEX(거래처설정!$K$8:$K$407,$T182))</f>
        <v/>
      </c>
      <c r="AE182" s="31">
        <f>IF($U182="","",IF(LEN(SUBSTITUTE(SUBSTITUTE(SUBSTITUTE(SUBSTITUTE(SUBSTITUTE(SUBSTITUTE(SUBSTITUTE(SUBSTITUTE(SUBSTITUTE($C182," ",""),"　",""),"(주)",""),"（주）",""),"㈜",""),"주식회사",""),"(유)",""),"（유）",""),"유한회사",""))&lt;2,"",SUBSTITUTE(SUBSTITUTE(SUBSTITUTE(SUBSTITUTE(SUBSTITUTE(SUBSTITUTE(SUBSTITUTE(SUBSTITUTE(SUBSTITUTE($C182," ",""),"　",""),"(주)",""),"（주）",""),"㈜",""),"주식회사",""),"(유)",""),"（유）",""),"유한회사","")))</f>
        <v/>
      </c>
    </row>
    <row r="183">
      <c r="A183" s="38">
        <f>IF($U183="","",176)</f>
        <v/>
      </c>
      <c r="B183" s="38">
        <f>IF($U183="","",IF(LEN(INDEX(매출원본!$AU$8:$AU$2007,$U183))=10,LEFT(INDEX(매출원본!$AU$8:$AU$2007,$U183),3)&amp;"-"&amp;MID(INDEX(매출원본!$AU$8:$AU$2007,$U183),4,2)&amp;"-"&amp;RIGHT(INDEX(매출원본!$AU$8:$AU$2007,$U183),5),IF(LEFT(INDEX(매출원본!$AU$8:$AU$2007,$U183),2)="N:","(번호 없음)",INDEX(매출원본!$AU$8:$AU$2007,$U183))))</f>
        <v/>
      </c>
      <c r="C183" s="38">
        <f>IF($U183="","",INDEX(매출원본!$AV$8:$AV$2007,$U183))</f>
        <v/>
      </c>
      <c r="D183" s="39">
        <f>IF($U183="","",IF($T183="",0,N(INDEX(거래처설정!$E$8:$E$407,$T183))))</f>
        <v/>
      </c>
      <c r="E183" s="39">
        <f>IF($U183="","",SUMIFS(매출원본!$AT$8:$AT$2007,매출원본!$AY$8:$AY$2007,$A183,매출원본!$AS$8:$AS$2007,"&lt;="&amp;설정!$B$5))</f>
        <v/>
      </c>
      <c r="F183" s="39">
        <f>IF($U183="","",SUMIFS(입금_은행1!$Z$8:$Z$2007,입금_은행1!$AC$8:$AC$2007,$A183,입금_은행1!$Y$8:$Y$2007,"&lt;="&amp;설정!$B$5)+SUMIFS(입금_은행2!$Z$8:$Z$2007,입금_은행2!$AC$8:$AC$2007,$A183,입금_은행2!$Y$8:$Y$2007,"&lt;="&amp;설정!$B$5))</f>
        <v/>
      </c>
      <c r="G183" s="39">
        <f>IF($U183="","",$D183+$E183-$F183)</f>
        <v/>
      </c>
      <c r="H183" s="39">
        <f>IF($U183="","",MIN(MAX($G183,0),$V183))</f>
        <v/>
      </c>
      <c r="I183" s="39">
        <f>IF($U183="","",MIN(MAX($G183,0),$W183)-MIN(MAX($G183,0),$V183))</f>
        <v/>
      </c>
      <c r="J183" s="39">
        <f>IF($U183="","",MIN(MAX($G183,0),$X183)-MIN(MAX($G183,0),$W183))</f>
        <v/>
      </c>
      <c r="K183" s="39">
        <f>IF($U183="","",MAX($G183,0)-MIN(MAX($G183,0),$X183))</f>
        <v/>
      </c>
      <c r="L183" s="40">
        <f>IF($U183="","",IF(MAX(SUMPRODUCT(MAX((입금_은행1!$AC$8:$AC$2007=$A183)*(입금_은행1!$AE$8:$AE$2007&lt;=설정!$B$5)*입금_은행1!$AE$8:$AE$2007)),SUMPRODUCT(MAX((입금_은행2!$AC$8:$AC$2007=$A183)*(입금_은행2!$AE$8:$AE$2007&lt;=설정!$B$5)*입금_은행2!$AE$8:$AE$2007)))=0,"",MAX(SUMPRODUCT(MAX((입금_은행1!$AC$8:$AC$2007=$A183)*(입금_은행1!$AE$8:$AE$2007&lt;=설정!$B$5)*입금_은행1!$AE$8:$AE$2007)),SUMPRODUCT(MAX((입금_은행2!$AC$8:$AC$2007=$A183)*(입금_은행2!$AE$8:$AE$2007&lt;=설정!$B$5)*입금_은행2!$AE$8:$AE$2007)))))</f>
        <v/>
      </c>
      <c r="M183" s="38">
        <f>IF($U183="","",IF($T183="","",IF(INDEX(거래처설정!$F$8:$F$407,$T183)="","",INDEX(거래처설정!$F$8:$F$407,$T183))))</f>
        <v/>
      </c>
      <c r="N183" s="38">
        <f>IF($U183="","",IF($T183="","",IF(INDEX(거래처설정!$G$8:$G$407,$T183)="","",INDEX(거래처설정!$G$8:$G$407,$T183))))</f>
        <v/>
      </c>
      <c r="O183" s="38">
        <f>IF($U183="","",IF($M183="제외",0,IF($K183&gt;=설정!$B$9,3,IF($J183+$K183&gt;=설정!$B$9,2,IF($I183+$J183+$K183&gt;=설정!$B$9,1,0)))))</f>
        <v/>
      </c>
      <c r="P183" s="38">
        <f>IF($U183="","",IF($M183="제외","제외(조치 상태)",IF($O183=3,"③ 강한 독촉 후보 ("&amp;설정!$B$8&amp;"일 초과)",IF($O183=2,"② 독촉 후보 ("&amp;설정!$B$7&amp;"일 초과)",IF($O183=1,"① 안내 후보 ("&amp;설정!$B$6&amp;"일 초과)",IF($G183&gt;0,IF($I183+$J183+$K183&gt;0,"오래된 잔액 있음 (최소 금액 미만)","정상 범위"),IF($G183&lt;0,"선수금·초과입금 — 확인","완납")))))))</f>
        <v/>
      </c>
      <c r="Q183" s="38">
        <f>IF($U183="","",IF($G183&lt;0,"입금이 매출보다 큼 — 선수금이거나 다른 거래처 입금이 섞였는지 확인",IF(AND($AE183&lt;&gt;"",COUNTIF($AE$8:$AE$307,"*"&amp;$AE183&amp;"*")&gt;1),"이름이 다른 거래처와 겹침 — 입금이 잘못 맞았을 수 있으니 별칭 확인",IF(AND($G183&gt;0,$F183=0),"입금 매칭 없음 — 입금자명이 다르면 [거래처설정]에 별칭 등록",""))))</f>
        <v/>
      </c>
      <c r="R183" s="31">
        <f>IF(OR($U183="",$G183&lt;=0),"",$G183-$A183/10000)</f>
        <v/>
      </c>
      <c r="S183" s="31">
        <f>IF(OR($U183="",$O183&lt;1),"",$O183*10^11+$I183+$J183+$K183-$A183/1000)</f>
        <v/>
      </c>
      <c r="T183" s="31">
        <f>IF($U183="","",IFERROR(MATCH(INDEX(매출원본!$AU$8:$AU$2007,$U183),거래처설정!$I$8:$I$407,0),""))</f>
        <v/>
      </c>
      <c r="U183" s="31">
        <f>IFERROR(MATCH(176,매출원본!$AW$8:$AW$2007,0),"")</f>
        <v/>
      </c>
      <c r="V183" s="31">
        <f>IF($U183="","",MAX(SUMIFS(매출원본!$AT$8:$AT$2007,매출원본!$AY$8:$AY$2007,$A183,매출원본!$AS$8:$AS$2007,"&gt;="&amp;(설정!$B$5-설정!$B$6),매출원본!$AS$8:$AS$2007,"&lt;="&amp;설정!$B$5),0))</f>
        <v/>
      </c>
      <c r="W183" s="31">
        <f>IF($U183="","",MAX($V183,SUMIFS(매출원본!$AT$8:$AT$2007,매출원본!$AY$8:$AY$2007,$A183,매출원본!$AS$8:$AS$2007,"&gt;="&amp;(설정!$B$5-설정!$B$7),매출원본!$AS$8:$AS$2007,"&lt;="&amp;설정!$B$5)))</f>
        <v/>
      </c>
      <c r="X183" s="31">
        <f>IF($U183="","",MAX($W183,SUMIFS(매출원본!$AT$8:$AT$2007,매출원본!$AY$8:$AY$2007,$A183,매출원본!$AS$8:$AS$2007,"&gt;="&amp;(설정!$B$5-설정!$B$8),매출원본!$AS$8:$AS$2007,"&lt;="&amp;설정!$B$5)))</f>
        <v/>
      </c>
      <c r="AC183" s="31">
        <f>IF(OR($U183="",$T183=""),"",INDEX(거래처설정!$J$8:$J$407,$T183))</f>
        <v/>
      </c>
      <c r="AD183" s="31">
        <f>IF(OR($U183="",$T183=""),"",INDEX(거래처설정!$K$8:$K$407,$T183))</f>
        <v/>
      </c>
      <c r="AE183" s="31">
        <f>IF($U183="","",IF(LEN(SUBSTITUTE(SUBSTITUTE(SUBSTITUTE(SUBSTITUTE(SUBSTITUTE(SUBSTITUTE(SUBSTITUTE(SUBSTITUTE(SUBSTITUTE($C183," ",""),"　",""),"(주)",""),"（주）",""),"㈜",""),"주식회사",""),"(유)",""),"（유）",""),"유한회사",""))&lt;2,"",SUBSTITUTE(SUBSTITUTE(SUBSTITUTE(SUBSTITUTE(SUBSTITUTE(SUBSTITUTE(SUBSTITUTE(SUBSTITUTE(SUBSTITUTE($C183," ",""),"　",""),"(주)",""),"（주）",""),"㈜",""),"주식회사",""),"(유)",""),"（유）",""),"유한회사","")))</f>
        <v/>
      </c>
    </row>
    <row r="184">
      <c r="A184" s="38">
        <f>IF($U184="","",177)</f>
        <v/>
      </c>
      <c r="B184" s="38">
        <f>IF($U184="","",IF(LEN(INDEX(매출원본!$AU$8:$AU$2007,$U184))=10,LEFT(INDEX(매출원본!$AU$8:$AU$2007,$U184),3)&amp;"-"&amp;MID(INDEX(매출원본!$AU$8:$AU$2007,$U184),4,2)&amp;"-"&amp;RIGHT(INDEX(매출원본!$AU$8:$AU$2007,$U184),5),IF(LEFT(INDEX(매출원본!$AU$8:$AU$2007,$U184),2)="N:","(번호 없음)",INDEX(매출원본!$AU$8:$AU$2007,$U184))))</f>
        <v/>
      </c>
      <c r="C184" s="38">
        <f>IF($U184="","",INDEX(매출원본!$AV$8:$AV$2007,$U184))</f>
        <v/>
      </c>
      <c r="D184" s="39">
        <f>IF($U184="","",IF($T184="",0,N(INDEX(거래처설정!$E$8:$E$407,$T184))))</f>
        <v/>
      </c>
      <c r="E184" s="39">
        <f>IF($U184="","",SUMIFS(매출원본!$AT$8:$AT$2007,매출원본!$AY$8:$AY$2007,$A184,매출원본!$AS$8:$AS$2007,"&lt;="&amp;설정!$B$5))</f>
        <v/>
      </c>
      <c r="F184" s="39">
        <f>IF($U184="","",SUMIFS(입금_은행1!$Z$8:$Z$2007,입금_은행1!$AC$8:$AC$2007,$A184,입금_은행1!$Y$8:$Y$2007,"&lt;="&amp;설정!$B$5)+SUMIFS(입금_은행2!$Z$8:$Z$2007,입금_은행2!$AC$8:$AC$2007,$A184,입금_은행2!$Y$8:$Y$2007,"&lt;="&amp;설정!$B$5))</f>
        <v/>
      </c>
      <c r="G184" s="39">
        <f>IF($U184="","",$D184+$E184-$F184)</f>
        <v/>
      </c>
      <c r="H184" s="39">
        <f>IF($U184="","",MIN(MAX($G184,0),$V184))</f>
        <v/>
      </c>
      <c r="I184" s="39">
        <f>IF($U184="","",MIN(MAX($G184,0),$W184)-MIN(MAX($G184,0),$V184))</f>
        <v/>
      </c>
      <c r="J184" s="39">
        <f>IF($U184="","",MIN(MAX($G184,0),$X184)-MIN(MAX($G184,0),$W184))</f>
        <v/>
      </c>
      <c r="K184" s="39">
        <f>IF($U184="","",MAX($G184,0)-MIN(MAX($G184,0),$X184))</f>
        <v/>
      </c>
      <c r="L184" s="40">
        <f>IF($U184="","",IF(MAX(SUMPRODUCT(MAX((입금_은행1!$AC$8:$AC$2007=$A184)*(입금_은행1!$AE$8:$AE$2007&lt;=설정!$B$5)*입금_은행1!$AE$8:$AE$2007)),SUMPRODUCT(MAX((입금_은행2!$AC$8:$AC$2007=$A184)*(입금_은행2!$AE$8:$AE$2007&lt;=설정!$B$5)*입금_은행2!$AE$8:$AE$2007)))=0,"",MAX(SUMPRODUCT(MAX((입금_은행1!$AC$8:$AC$2007=$A184)*(입금_은행1!$AE$8:$AE$2007&lt;=설정!$B$5)*입금_은행1!$AE$8:$AE$2007)),SUMPRODUCT(MAX((입금_은행2!$AC$8:$AC$2007=$A184)*(입금_은행2!$AE$8:$AE$2007&lt;=설정!$B$5)*입금_은행2!$AE$8:$AE$2007)))))</f>
        <v/>
      </c>
      <c r="M184" s="38">
        <f>IF($U184="","",IF($T184="","",IF(INDEX(거래처설정!$F$8:$F$407,$T184)="","",INDEX(거래처설정!$F$8:$F$407,$T184))))</f>
        <v/>
      </c>
      <c r="N184" s="38">
        <f>IF($U184="","",IF($T184="","",IF(INDEX(거래처설정!$G$8:$G$407,$T184)="","",INDEX(거래처설정!$G$8:$G$407,$T184))))</f>
        <v/>
      </c>
      <c r="O184" s="38">
        <f>IF($U184="","",IF($M184="제외",0,IF($K184&gt;=설정!$B$9,3,IF($J184+$K184&gt;=설정!$B$9,2,IF($I184+$J184+$K184&gt;=설정!$B$9,1,0)))))</f>
        <v/>
      </c>
      <c r="P184" s="38">
        <f>IF($U184="","",IF($M184="제외","제외(조치 상태)",IF($O184=3,"③ 강한 독촉 후보 ("&amp;설정!$B$8&amp;"일 초과)",IF($O184=2,"② 독촉 후보 ("&amp;설정!$B$7&amp;"일 초과)",IF($O184=1,"① 안내 후보 ("&amp;설정!$B$6&amp;"일 초과)",IF($G184&gt;0,IF($I184+$J184+$K184&gt;0,"오래된 잔액 있음 (최소 금액 미만)","정상 범위"),IF($G184&lt;0,"선수금·초과입금 — 확인","완납")))))))</f>
        <v/>
      </c>
      <c r="Q184" s="38">
        <f>IF($U184="","",IF($G184&lt;0,"입금이 매출보다 큼 — 선수금이거나 다른 거래처 입금이 섞였는지 확인",IF(AND($AE184&lt;&gt;"",COUNTIF($AE$8:$AE$307,"*"&amp;$AE184&amp;"*")&gt;1),"이름이 다른 거래처와 겹침 — 입금이 잘못 맞았을 수 있으니 별칭 확인",IF(AND($G184&gt;0,$F184=0),"입금 매칭 없음 — 입금자명이 다르면 [거래처설정]에 별칭 등록",""))))</f>
        <v/>
      </c>
      <c r="R184" s="31">
        <f>IF(OR($U184="",$G184&lt;=0),"",$G184-$A184/10000)</f>
        <v/>
      </c>
      <c r="S184" s="31">
        <f>IF(OR($U184="",$O184&lt;1),"",$O184*10^11+$I184+$J184+$K184-$A184/1000)</f>
        <v/>
      </c>
      <c r="T184" s="31">
        <f>IF($U184="","",IFERROR(MATCH(INDEX(매출원본!$AU$8:$AU$2007,$U184),거래처설정!$I$8:$I$407,0),""))</f>
        <v/>
      </c>
      <c r="U184" s="31">
        <f>IFERROR(MATCH(177,매출원본!$AW$8:$AW$2007,0),"")</f>
        <v/>
      </c>
      <c r="V184" s="31">
        <f>IF($U184="","",MAX(SUMIFS(매출원본!$AT$8:$AT$2007,매출원본!$AY$8:$AY$2007,$A184,매출원본!$AS$8:$AS$2007,"&gt;="&amp;(설정!$B$5-설정!$B$6),매출원본!$AS$8:$AS$2007,"&lt;="&amp;설정!$B$5),0))</f>
        <v/>
      </c>
      <c r="W184" s="31">
        <f>IF($U184="","",MAX($V184,SUMIFS(매출원본!$AT$8:$AT$2007,매출원본!$AY$8:$AY$2007,$A184,매출원본!$AS$8:$AS$2007,"&gt;="&amp;(설정!$B$5-설정!$B$7),매출원본!$AS$8:$AS$2007,"&lt;="&amp;설정!$B$5)))</f>
        <v/>
      </c>
      <c r="X184" s="31">
        <f>IF($U184="","",MAX($W184,SUMIFS(매출원본!$AT$8:$AT$2007,매출원본!$AY$8:$AY$2007,$A184,매출원본!$AS$8:$AS$2007,"&gt;="&amp;(설정!$B$5-설정!$B$8),매출원본!$AS$8:$AS$2007,"&lt;="&amp;설정!$B$5)))</f>
        <v/>
      </c>
      <c r="AC184" s="31">
        <f>IF(OR($U184="",$T184=""),"",INDEX(거래처설정!$J$8:$J$407,$T184))</f>
        <v/>
      </c>
      <c r="AD184" s="31">
        <f>IF(OR($U184="",$T184=""),"",INDEX(거래처설정!$K$8:$K$407,$T184))</f>
        <v/>
      </c>
      <c r="AE184" s="31">
        <f>IF($U184="","",IF(LEN(SUBSTITUTE(SUBSTITUTE(SUBSTITUTE(SUBSTITUTE(SUBSTITUTE(SUBSTITUTE(SUBSTITUTE(SUBSTITUTE(SUBSTITUTE($C184," ",""),"　",""),"(주)",""),"（주）",""),"㈜",""),"주식회사",""),"(유)",""),"（유）",""),"유한회사",""))&lt;2,"",SUBSTITUTE(SUBSTITUTE(SUBSTITUTE(SUBSTITUTE(SUBSTITUTE(SUBSTITUTE(SUBSTITUTE(SUBSTITUTE(SUBSTITUTE($C184," ",""),"　",""),"(주)",""),"（주）",""),"㈜",""),"주식회사",""),"(유)",""),"（유）",""),"유한회사","")))</f>
        <v/>
      </c>
    </row>
    <row r="185">
      <c r="A185" s="38">
        <f>IF($U185="","",178)</f>
        <v/>
      </c>
      <c r="B185" s="38">
        <f>IF($U185="","",IF(LEN(INDEX(매출원본!$AU$8:$AU$2007,$U185))=10,LEFT(INDEX(매출원본!$AU$8:$AU$2007,$U185),3)&amp;"-"&amp;MID(INDEX(매출원본!$AU$8:$AU$2007,$U185),4,2)&amp;"-"&amp;RIGHT(INDEX(매출원본!$AU$8:$AU$2007,$U185),5),IF(LEFT(INDEX(매출원본!$AU$8:$AU$2007,$U185),2)="N:","(번호 없음)",INDEX(매출원본!$AU$8:$AU$2007,$U185))))</f>
        <v/>
      </c>
      <c r="C185" s="38">
        <f>IF($U185="","",INDEX(매출원본!$AV$8:$AV$2007,$U185))</f>
        <v/>
      </c>
      <c r="D185" s="39">
        <f>IF($U185="","",IF($T185="",0,N(INDEX(거래처설정!$E$8:$E$407,$T185))))</f>
        <v/>
      </c>
      <c r="E185" s="39">
        <f>IF($U185="","",SUMIFS(매출원본!$AT$8:$AT$2007,매출원본!$AY$8:$AY$2007,$A185,매출원본!$AS$8:$AS$2007,"&lt;="&amp;설정!$B$5))</f>
        <v/>
      </c>
      <c r="F185" s="39">
        <f>IF($U185="","",SUMIFS(입금_은행1!$Z$8:$Z$2007,입금_은행1!$AC$8:$AC$2007,$A185,입금_은행1!$Y$8:$Y$2007,"&lt;="&amp;설정!$B$5)+SUMIFS(입금_은행2!$Z$8:$Z$2007,입금_은행2!$AC$8:$AC$2007,$A185,입금_은행2!$Y$8:$Y$2007,"&lt;="&amp;설정!$B$5))</f>
        <v/>
      </c>
      <c r="G185" s="39">
        <f>IF($U185="","",$D185+$E185-$F185)</f>
        <v/>
      </c>
      <c r="H185" s="39">
        <f>IF($U185="","",MIN(MAX($G185,0),$V185))</f>
        <v/>
      </c>
      <c r="I185" s="39">
        <f>IF($U185="","",MIN(MAX($G185,0),$W185)-MIN(MAX($G185,0),$V185))</f>
        <v/>
      </c>
      <c r="J185" s="39">
        <f>IF($U185="","",MIN(MAX($G185,0),$X185)-MIN(MAX($G185,0),$W185))</f>
        <v/>
      </c>
      <c r="K185" s="39">
        <f>IF($U185="","",MAX($G185,0)-MIN(MAX($G185,0),$X185))</f>
        <v/>
      </c>
      <c r="L185" s="40">
        <f>IF($U185="","",IF(MAX(SUMPRODUCT(MAX((입금_은행1!$AC$8:$AC$2007=$A185)*(입금_은행1!$AE$8:$AE$2007&lt;=설정!$B$5)*입금_은행1!$AE$8:$AE$2007)),SUMPRODUCT(MAX((입금_은행2!$AC$8:$AC$2007=$A185)*(입금_은행2!$AE$8:$AE$2007&lt;=설정!$B$5)*입금_은행2!$AE$8:$AE$2007)))=0,"",MAX(SUMPRODUCT(MAX((입금_은행1!$AC$8:$AC$2007=$A185)*(입금_은행1!$AE$8:$AE$2007&lt;=설정!$B$5)*입금_은행1!$AE$8:$AE$2007)),SUMPRODUCT(MAX((입금_은행2!$AC$8:$AC$2007=$A185)*(입금_은행2!$AE$8:$AE$2007&lt;=설정!$B$5)*입금_은행2!$AE$8:$AE$2007)))))</f>
        <v/>
      </c>
      <c r="M185" s="38">
        <f>IF($U185="","",IF($T185="","",IF(INDEX(거래처설정!$F$8:$F$407,$T185)="","",INDEX(거래처설정!$F$8:$F$407,$T185))))</f>
        <v/>
      </c>
      <c r="N185" s="38">
        <f>IF($U185="","",IF($T185="","",IF(INDEX(거래처설정!$G$8:$G$407,$T185)="","",INDEX(거래처설정!$G$8:$G$407,$T185))))</f>
        <v/>
      </c>
      <c r="O185" s="38">
        <f>IF($U185="","",IF($M185="제외",0,IF($K185&gt;=설정!$B$9,3,IF($J185+$K185&gt;=설정!$B$9,2,IF($I185+$J185+$K185&gt;=설정!$B$9,1,0)))))</f>
        <v/>
      </c>
      <c r="P185" s="38">
        <f>IF($U185="","",IF($M185="제외","제외(조치 상태)",IF($O185=3,"③ 강한 독촉 후보 ("&amp;설정!$B$8&amp;"일 초과)",IF($O185=2,"② 독촉 후보 ("&amp;설정!$B$7&amp;"일 초과)",IF($O185=1,"① 안내 후보 ("&amp;설정!$B$6&amp;"일 초과)",IF($G185&gt;0,IF($I185+$J185+$K185&gt;0,"오래된 잔액 있음 (최소 금액 미만)","정상 범위"),IF($G185&lt;0,"선수금·초과입금 — 확인","완납")))))))</f>
        <v/>
      </c>
      <c r="Q185" s="38">
        <f>IF($U185="","",IF($G185&lt;0,"입금이 매출보다 큼 — 선수금이거나 다른 거래처 입금이 섞였는지 확인",IF(AND($AE185&lt;&gt;"",COUNTIF($AE$8:$AE$307,"*"&amp;$AE185&amp;"*")&gt;1),"이름이 다른 거래처와 겹침 — 입금이 잘못 맞았을 수 있으니 별칭 확인",IF(AND($G185&gt;0,$F185=0),"입금 매칭 없음 — 입금자명이 다르면 [거래처설정]에 별칭 등록",""))))</f>
        <v/>
      </c>
      <c r="R185" s="31">
        <f>IF(OR($U185="",$G185&lt;=0),"",$G185-$A185/10000)</f>
        <v/>
      </c>
      <c r="S185" s="31">
        <f>IF(OR($U185="",$O185&lt;1),"",$O185*10^11+$I185+$J185+$K185-$A185/1000)</f>
        <v/>
      </c>
      <c r="T185" s="31">
        <f>IF($U185="","",IFERROR(MATCH(INDEX(매출원본!$AU$8:$AU$2007,$U185),거래처설정!$I$8:$I$407,0),""))</f>
        <v/>
      </c>
      <c r="U185" s="31">
        <f>IFERROR(MATCH(178,매출원본!$AW$8:$AW$2007,0),"")</f>
        <v/>
      </c>
      <c r="V185" s="31">
        <f>IF($U185="","",MAX(SUMIFS(매출원본!$AT$8:$AT$2007,매출원본!$AY$8:$AY$2007,$A185,매출원본!$AS$8:$AS$2007,"&gt;="&amp;(설정!$B$5-설정!$B$6),매출원본!$AS$8:$AS$2007,"&lt;="&amp;설정!$B$5),0))</f>
        <v/>
      </c>
      <c r="W185" s="31">
        <f>IF($U185="","",MAX($V185,SUMIFS(매출원본!$AT$8:$AT$2007,매출원본!$AY$8:$AY$2007,$A185,매출원본!$AS$8:$AS$2007,"&gt;="&amp;(설정!$B$5-설정!$B$7),매출원본!$AS$8:$AS$2007,"&lt;="&amp;설정!$B$5)))</f>
        <v/>
      </c>
      <c r="X185" s="31">
        <f>IF($U185="","",MAX($W185,SUMIFS(매출원본!$AT$8:$AT$2007,매출원본!$AY$8:$AY$2007,$A185,매출원본!$AS$8:$AS$2007,"&gt;="&amp;(설정!$B$5-설정!$B$8),매출원본!$AS$8:$AS$2007,"&lt;="&amp;설정!$B$5)))</f>
        <v/>
      </c>
      <c r="AC185" s="31">
        <f>IF(OR($U185="",$T185=""),"",INDEX(거래처설정!$J$8:$J$407,$T185))</f>
        <v/>
      </c>
      <c r="AD185" s="31">
        <f>IF(OR($U185="",$T185=""),"",INDEX(거래처설정!$K$8:$K$407,$T185))</f>
        <v/>
      </c>
      <c r="AE185" s="31">
        <f>IF($U185="","",IF(LEN(SUBSTITUTE(SUBSTITUTE(SUBSTITUTE(SUBSTITUTE(SUBSTITUTE(SUBSTITUTE(SUBSTITUTE(SUBSTITUTE(SUBSTITUTE($C185," ",""),"　",""),"(주)",""),"（주）",""),"㈜",""),"주식회사",""),"(유)",""),"（유）",""),"유한회사",""))&lt;2,"",SUBSTITUTE(SUBSTITUTE(SUBSTITUTE(SUBSTITUTE(SUBSTITUTE(SUBSTITUTE(SUBSTITUTE(SUBSTITUTE(SUBSTITUTE($C185," ",""),"　",""),"(주)",""),"（주）",""),"㈜",""),"주식회사",""),"(유)",""),"（유）",""),"유한회사","")))</f>
        <v/>
      </c>
    </row>
    <row r="186">
      <c r="A186" s="38">
        <f>IF($U186="","",179)</f>
        <v/>
      </c>
      <c r="B186" s="38">
        <f>IF($U186="","",IF(LEN(INDEX(매출원본!$AU$8:$AU$2007,$U186))=10,LEFT(INDEX(매출원본!$AU$8:$AU$2007,$U186),3)&amp;"-"&amp;MID(INDEX(매출원본!$AU$8:$AU$2007,$U186),4,2)&amp;"-"&amp;RIGHT(INDEX(매출원본!$AU$8:$AU$2007,$U186),5),IF(LEFT(INDEX(매출원본!$AU$8:$AU$2007,$U186),2)="N:","(번호 없음)",INDEX(매출원본!$AU$8:$AU$2007,$U186))))</f>
        <v/>
      </c>
      <c r="C186" s="38">
        <f>IF($U186="","",INDEX(매출원본!$AV$8:$AV$2007,$U186))</f>
        <v/>
      </c>
      <c r="D186" s="39">
        <f>IF($U186="","",IF($T186="",0,N(INDEX(거래처설정!$E$8:$E$407,$T186))))</f>
        <v/>
      </c>
      <c r="E186" s="39">
        <f>IF($U186="","",SUMIFS(매출원본!$AT$8:$AT$2007,매출원본!$AY$8:$AY$2007,$A186,매출원본!$AS$8:$AS$2007,"&lt;="&amp;설정!$B$5))</f>
        <v/>
      </c>
      <c r="F186" s="39">
        <f>IF($U186="","",SUMIFS(입금_은행1!$Z$8:$Z$2007,입금_은행1!$AC$8:$AC$2007,$A186,입금_은행1!$Y$8:$Y$2007,"&lt;="&amp;설정!$B$5)+SUMIFS(입금_은행2!$Z$8:$Z$2007,입금_은행2!$AC$8:$AC$2007,$A186,입금_은행2!$Y$8:$Y$2007,"&lt;="&amp;설정!$B$5))</f>
        <v/>
      </c>
      <c r="G186" s="39">
        <f>IF($U186="","",$D186+$E186-$F186)</f>
        <v/>
      </c>
      <c r="H186" s="39">
        <f>IF($U186="","",MIN(MAX($G186,0),$V186))</f>
        <v/>
      </c>
      <c r="I186" s="39">
        <f>IF($U186="","",MIN(MAX($G186,0),$W186)-MIN(MAX($G186,0),$V186))</f>
        <v/>
      </c>
      <c r="J186" s="39">
        <f>IF($U186="","",MIN(MAX($G186,0),$X186)-MIN(MAX($G186,0),$W186))</f>
        <v/>
      </c>
      <c r="K186" s="39">
        <f>IF($U186="","",MAX($G186,0)-MIN(MAX($G186,0),$X186))</f>
        <v/>
      </c>
      <c r="L186" s="40">
        <f>IF($U186="","",IF(MAX(SUMPRODUCT(MAX((입금_은행1!$AC$8:$AC$2007=$A186)*(입금_은행1!$AE$8:$AE$2007&lt;=설정!$B$5)*입금_은행1!$AE$8:$AE$2007)),SUMPRODUCT(MAX((입금_은행2!$AC$8:$AC$2007=$A186)*(입금_은행2!$AE$8:$AE$2007&lt;=설정!$B$5)*입금_은행2!$AE$8:$AE$2007)))=0,"",MAX(SUMPRODUCT(MAX((입금_은행1!$AC$8:$AC$2007=$A186)*(입금_은행1!$AE$8:$AE$2007&lt;=설정!$B$5)*입금_은행1!$AE$8:$AE$2007)),SUMPRODUCT(MAX((입금_은행2!$AC$8:$AC$2007=$A186)*(입금_은행2!$AE$8:$AE$2007&lt;=설정!$B$5)*입금_은행2!$AE$8:$AE$2007)))))</f>
        <v/>
      </c>
      <c r="M186" s="38">
        <f>IF($U186="","",IF($T186="","",IF(INDEX(거래처설정!$F$8:$F$407,$T186)="","",INDEX(거래처설정!$F$8:$F$407,$T186))))</f>
        <v/>
      </c>
      <c r="N186" s="38">
        <f>IF($U186="","",IF($T186="","",IF(INDEX(거래처설정!$G$8:$G$407,$T186)="","",INDEX(거래처설정!$G$8:$G$407,$T186))))</f>
        <v/>
      </c>
      <c r="O186" s="38">
        <f>IF($U186="","",IF($M186="제외",0,IF($K186&gt;=설정!$B$9,3,IF($J186+$K186&gt;=설정!$B$9,2,IF($I186+$J186+$K186&gt;=설정!$B$9,1,0)))))</f>
        <v/>
      </c>
      <c r="P186" s="38">
        <f>IF($U186="","",IF($M186="제외","제외(조치 상태)",IF($O186=3,"③ 강한 독촉 후보 ("&amp;설정!$B$8&amp;"일 초과)",IF($O186=2,"② 독촉 후보 ("&amp;설정!$B$7&amp;"일 초과)",IF($O186=1,"① 안내 후보 ("&amp;설정!$B$6&amp;"일 초과)",IF($G186&gt;0,IF($I186+$J186+$K186&gt;0,"오래된 잔액 있음 (최소 금액 미만)","정상 범위"),IF($G186&lt;0,"선수금·초과입금 — 확인","완납")))))))</f>
        <v/>
      </c>
      <c r="Q186" s="38">
        <f>IF($U186="","",IF($G186&lt;0,"입금이 매출보다 큼 — 선수금이거나 다른 거래처 입금이 섞였는지 확인",IF(AND($AE186&lt;&gt;"",COUNTIF($AE$8:$AE$307,"*"&amp;$AE186&amp;"*")&gt;1),"이름이 다른 거래처와 겹침 — 입금이 잘못 맞았을 수 있으니 별칭 확인",IF(AND($G186&gt;0,$F186=0),"입금 매칭 없음 — 입금자명이 다르면 [거래처설정]에 별칭 등록",""))))</f>
        <v/>
      </c>
      <c r="R186" s="31">
        <f>IF(OR($U186="",$G186&lt;=0),"",$G186-$A186/10000)</f>
        <v/>
      </c>
      <c r="S186" s="31">
        <f>IF(OR($U186="",$O186&lt;1),"",$O186*10^11+$I186+$J186+$K186-$A186/1000)</f>
        <v/>
      </c>
      <c r="T186" s="31">
        <f>IF($U186="","",IFERROR(MATCH(INDEX(매출원본!$AU$8:$AU$2007,$U186),거래처설정!$I$8:$I$407,0),""))</f>
        <v/>
      </c>
      <c r="U186" s="31">
        <f>IFERROR(MATCH(179,매출원본!$AW$8:$AW$2007,0),"")</f>
        <v/>
      </c>
      <c r="V186" s="31">
        <f>IF($U186="","",MAX(SUMIFS(매출원본!$AT$8:$AT$2007,매출원본!$AY$8:$AY$2007,$A186,매출원본!$AS$8:$AS$2007,"&gt;="&amp;(설정!$B$5-설정!$B$6),매출원본!$AS$8:$AS$2007,"&lt;="&amp;설정!$B$5),0))</f>
        <v/>
      </c>
      <c r="W186" s="31">
        <f>IF($U186="","",MAX($V186,SUMIFS(매출원본!$AT$8:$AT$2007,매출원본!$AY$8:$AY$2007,$A186,매출원본!$AS$8:$AS$2007,"&gt;="&amp;(설정!$B$5-설정!$B$7),매출원본!$AS$8:$AS$2007,"&lt;="&amp;설정!$B$5)))</f>
        <v/>
      </c>
      <c r="X186" s="31">
        <f>IF($U186="","",MAX($W186,SUMIFS(매출원본!$AT$8:$AT$2007,매출원본!$AY$8:$AY$2007,$A186,매출원본!$AS$8:$AS$2007,"&gt;="&amp;(설정!$B$5-설정!$B$8),매출원본!$AS$8:$AS$2007,"&lt;="&amp;설정!$B$5)))</f>
        <v/>
      </c>
      <c r="AC186" s="31">
        <f>IF(OR($U186="",$T186=""),"",INDEX(거래처설정!$J$8:$J$407,$T186))</f>
        <v/>
      </c>
      <c r="AD186" s="31">
        <f>IF(OR($U186="",$T186=""),"",INDEX(거래처설정!$K$8:$K$407,$T186))</f>
        <v/>
      </c>
      <c r="AE186" s="31">
        <f>IF($U186="","",IF(LEN(SUBSTITUTE(SUBSTITUTE(SUBSTITUTE(SUBSTITUTE(SUBSTITUTE(SUBSTITUTE(SUBSTITUTE(SUBSTITUTE(SUBSTITUTE($C186," ",""),"　",""),"(주)",""),"（주）",""),"㈜",""),"주식회사",""),"(유)",""),"（유）",""),"유한회사",""))&lt;2,"",SUBSTITUTE(SUBSTITUTE(SUBSTITUTE(SUBSTITUTE(SUBSTITUTE(SUBSTITUTE(SUBSTITUTE(SUBSTITUTE(SUBSTITUTE($C186," ",""),"　",""),"(주)",""),"（주）",""),"㈜",""),"주식회사",""),"(유)",""),"（유）",""),"유한회사","")))</f>
        <v/>
      </c>
    </row>
    <row r="187">
      <c r="A187" s="38">
        <f>IF($U187="","",180)</f>
        <v/>
      </c>
      <c r="B187" s="38">
        <f>IF($U187="","",IF(LEN(INDEX(매출원본!$AU$8:$AU$2007,$U187))=10,LEFT(INDEX(매출원본!$AU$8:$AU$2007,$U187),3)&amp;"-"&amp;MID(INDEX(매출원본!$AU$8:$AU$2007,$U187),4,2)&amp;"-"&amp;RIGHT(INDEX(매출원본!$AU$8:$AU$2007,$U187),5),IF(LEFT(INDEX(매출원본!$AU$8:$AU$2007,$U187),2)="N:","(번호 없음)",INDEX(매출원본!$AU$8:$AU$2007,$U187))))</f>
        <v/>
      </c>
      <c r="C187" s="38">
        <f>IF($U187="","",INDEX(매출원본!$AV$8:$AV$2007,$U187))</f>
        <v/>
      </c>
      <c r="D187" s="39">
        <f>IF($U187="","",IF($T187="",0,N(INDEX(거래처설정!$E$8:$E$407,$T187))))</f>
        <v/>
      </c>
      <c r="E187" s="39">
        <f>IF($U187="","",SUMIFS(매출원본!$AT$8:$AT$2007,매출원본!$AY$8:$AY$2007,$A187,매출원본!$AS$8:$AS$2007,"&lt;="&amp;설정!$B$5))</f>
        <v/>
      </c>
      <c r="F187" s="39">
        <f>IF($U187="","",SUMIFS(입금_은행1!$Z$8:$Z$2007,입금_은행1!$AC$8:$AC$2007,$A187,입금_은행1!$Y$8:$Y$2007,"&lt;="&amp;설정!$B$5)+SUMIFS(입금_은행2!$Z$8:$Z$2007,입금_은행2!$AC$8:$AC$2007,$A187,입금_은행2!$Y$8:$Y$2007,"&lt;="&amp;설정!$B$5))</f>
        <v/>
      </c>
      <c r="G187" s="39">
        <f>IF($U187="","",$D187+$E187-$F187)</f>
        <v/>
      </c>
      <c r="H187" s="39">
        <f>IF($U187="","",MIN(MAX($G187,0),$V187))</f>
        <v/>
      </c>
      <c r="I187" s="39">
        <f>IF($U187="","",MIN(MAX($G187,0),$W187)-MIN(MAX($G187,0),$V187))</f>
        <v/>
      </c>
      <c r="J187" s="39">
        <f>IF($U187="","",MIN(MAX($G187,0),$X187)-MIN(MAX($G187,0),$W187))</f>
        <v/>
      </c>
      <c r="K187" s="39">
        <f>IF($U187="","",MAX($G187,0)-MIN(MAX($G187,0),$X187))</f>
        <v/>
      </c>
      <c r="L187" s="40">
        <f>IF($U187="","",IF(MAX(SUMPRODUCT(MAX((입금_은행1!$AC$8:$AC$2007=$A187)*(입금_은행1!$AE$8:$AE$2007&lt;=설정!$B$5)*입금_은행1!$AE$8:$AE$2007)),SUMPRODUCT(MAX((입금_은행2!$AC$8:$AC$2007=$A187)*(입금_은행2!$AE$8:$AE$2007&lt;=설정!$B$5)*입금_은행2!$AE$8:$AE$2007)))=0,"",MAX(SUMPRODUCT(MAX((입금_은행1!$AC$8:$AC$2007=$A187)*(입금_은행1!$AE$8:$AE$2007&lt;=설정!$B$5)*입금_은행1!$AE$8:$AE$2007)),SUMPRODUCT(MAX((입금_은행2!$AC$8:$AC$2007=$A187)*(입금_은행2!$AE$8:$AE$2007&lt;=설정!$B$5)*입금_은행2!$AE$8:$AE$2007)))))</f>
        <v/>
      </c>
      <c r="M187" s="38">
        <f>IF($U187="","",IF($T187="","",IF(INDEX(거래처설정!$F$8:$F$407,$T187)="","",INDEX(거래처설정!$F$8:$F$407,$T187))))</f>
        <v/>
      </c>
      <c r="N187" s="38">
        <f>IF($U187="","",IF($T187="","",IF(INDEX(거래처설정!$G$8:$G$407,$T187)="","",INDEX(거래처설정!$G$8:$G$407,$T187))))</f>
        <v/>
      </c>
      <c r="O187" s="38">
        <f>IF($U187="","",IF($M187="제외",0,IF($K187&gt;=설정!$B$9,3,IF($J187+$K187&gt;=설정!$B$9,2,IF($I187+$J187+$K187&gt;=설정!$B$9,1,0)))))</f>
        <v/>
      </c>
      <c r="P187" s="38">
        <f>IF($U187="","",IF($M187="제외","제외(조치 상태)",IF($O187=3,"③ 강한 독촉 후보 ("&amp;설정!$B$8&amp;"일 초과)",IF($O187=2,"② 독촉 후보 ("&amp;설정!$B$7&amp;"일 초과)",IF($O187=1,"① 안내 후보 ("&amp;설정!$B$6&amp;"일 초과)",IF($G187&gt;0,IF($I187+$J187+$K187&gt;0,"오래된 잔액 있음 (최소 금액 미만)","정상 범위"),IF($G187&lt;0,"선수금·초과입금 — 확인","완납")))))))</f>
        <v/>
      </c>
      <c r="Q187" s="38">
        <f>IF($U187="","",IF($G187&lt;0,"입금이 매출보다 큼 — 선수금이거나 다른 거래처 입금이 섞였는지 확인",IF(AND($AE187&lt;&gt;"",COUNTIF($AE$8:$AE$307,"*"&amp;$AE187&amp;"*")&gt;1),"이름이 다른 거래처와 겹침 — 입금이 잘못 맞았을 수 있으니 별칭 확인",IF(AND($G187&gt;0,$F187=0),"입금 매칭 없음 — 입금자명이 다르면 [거래처설정]에 별칭 등록",""))))</f>
        <v/>
      </c>
      <c r="R187" s="31">
        <f>IF(OR($U187="",$G187&lt;=0),"",$G187-$A187/10000)</f>
        <v/>
      </c>
      <c r="S187" s="31">
        <f>IF(OR($U187="",$O187&lt;1),"",$O187*10^11+$I187+$J187+$K187-$A187/1000)</f>
        <v/>
      </c>
      <c r="T187" s="31">
        <f>IF($U187="","",IFERROR(MATCH(INDEX(매출원본!$AU$8:$AU$2007,$U187),거래처설정!$I$8:$I$407,0),""))</f>
        <v/>
      </c>
      <c r="U187" s="31">
        <f>IFERROR(MATCH(180,매출원본!$AW$8:$AW$2007,0),"")</f>
        <v/>
      </c>
      <c r="V187" s="31">
        <f>IF($U187="","",MAX(SUMIFS(매출원본!$AT$8:$AT$2007,매출원본!$AY$8:$AY$2007,$A187,매출원본!$AS$8:$AS$2007,"&gt;="&amp;(설정!$B$5-설정!$B$6),매출원본!$AS$8:$AS$2007,"&lt;="&amp;설정!$B$5),0))</f>
        <v/>
      </c>
      <c r="W187" s="31">
        <f>IF($U187="","",MAX($V187,SUMIFS(매출원본!$AT$8:$AT$2007,매출원본!$AY$8:$AY$2007,$A187,매출원본!$AS$8:$AS$2007,"&gt;="&amp;(설정!$B$5-설정!$B$7),매출원본!$AS$8:$AS$2007,"&lt;="&amp;설정!$B$5)))</f>
        <v/>
      </c>
      <c r="X187" s="31">
        <f>IF($U187="","",MAX($W187,SUMIFS(매출원본!$AT$8:$AT$2007,매출원본!$AY$8:$AY$2007,$A187,매출원본!$AS$8:$AS$2007,"&gt;="&amp;(설정!$B$5-설정!$B$8),매출원본!$AS$8:$AS$2007,"&lt;="&amp;설정!$B$5)))</f>
        <v/>
      </c>
      <c r="AC187" s="31">
        <f>IF(OR($U187="",$T187=""),"",INDEX(거래처설정!$J$8:$J$407,$T187))</f>
        <v/>
      </c>
      <c r="AD187" s="31">
        <f>IF(OR($U187="",$T187=""),"",INDEX(거래처설정!$K$8:$K$407,$T187))</f>
        <v/>
      </c>
      <c r="AE187" s="31">
        <f>IF($U187="","",IF(LEN(SUBSTITUTE(SUBSTITUTE(SUBSTITUTE(SUBSTITUTE(SUBSTITUTE(SUBSTITUTE(SUBSTITUTE(SUBSTITUTE(SUBSTITUTE($C187," ",""),"　",""),"(주)",""),"（주）",""),"㈜",""),"주식회사",""),"(유)",""),"（유）",""),"유한회사",""))&lt;2,"",SUBSTITUTE(SUBSTITUTE(SUBSTITUTE(SUBSTITUTE(SUBSTITUTE(SUBSTITUTE(SUBSTITUTE(SUBSTITUTE(SUBSTITUTE($C187," ",""),"　",""),"(주)",""),"（주）",""),"㈜",""),"주식회사",""),"(유)",""),"（유）",""),"유한회사","")))</f>
        <v/>
      </c>
    </row>
    <row r="188">
      <c r="A188" s="38">
        <f>IF($U188="","",181)</f>
        <v/>
      </c>
      <c r="B188" s="38">
        <f>IF($U188="","",IF(LEN(INDEX(매출원본!$AU$8:$AU$2007,$U188))=10,LEFT(INDEX(매출원본!$AU$8:$AU$2007,$U188),3)&amp;"-"&amp;MID(INDEX(매출원본!$AU$8:$AU$2007,$U188),4,2)&amp;"-"&amp;RIGHT(INDEX(매출원본!$AU$8:$AU$2007,$U188),5),IF(LEFT(INDEX(매출원본!$AU$8:$AU$2007,$U188),2)="N:","(번호 없음)",INDEX(매출원본!$AU$8:$AU$2007,$U188))))</f>
        <v/>
      </c>
      <c r="C188" s="38">
        <f>IF($U188="","",INDEX(매출원본!$AV$8:$AV$2007,$U188))</f>
        <v/>
      </c>
      <c r="D188" s="39">
        <f>IF($U188="","",IF($T188="",0,N(INDEX(거래처설정!$E$8:$E$407,$T188))))</f>
        <v/>
      </c>
      <c r="E188" s="39">
        <f>IF($U188="","",SUMIFS(매출원본!$AT$8:$AT$2007,매출원본!$AY$8:$AY$2007,$A188,매출원본!$AS$8:$AS$2007,"&lt;="&amp;설정!$B$5))</f>
        <v/>
      </c>
      <c r="F188" s="39">
        <f>IF($U188="","",SUMIFS(입금_은행1!$Z$8:$Z$2007,입금_은행1!$AC$8:$AC$2007,$A188,입금_은행1!$Y$8:$Y$2007,"&lt;="&amp;설정!$B$5)+SUMIFS(입금_은행2!$Z$8:$Z$2007,입금_은행2!$AC$8:$AC$2007,$A188,입금_은행2!$Y$8:$Y$2007,"&lt;="&amp;설정!$B$5))</f>
        <v/>
      </c>
      <c r="G188" s="39">
        <f>IF($U188="","",$D188+$E188-$F188)</f>
        <v/>
      </c>
      <c r="H188" s="39">
        <f>IF($U188="","",MIN(MAX($G188,0),$V188))</f>
        <v/>
      </c>
      <c r="I188" s="39">
        <f>IF($U188="","",MIN(MAX($G188,0),$W188)-MIN(MAX($G188,0),$V188))</f>
        <v/>
      </c>
      <c r="J188" s="39">
        <f>IF($U188="","",MIN(MAX($G188,0),$X188)-MIN(MAX($G188,0),$W188))</f>
        <v/>
      </c>
      <c r="K188" s="39">
        <f>IF($U188="","",MAX($G188,0)-MIN(MAX($G188,0),$X188))</f>
        <v/>
      </c>
      <c r="L188" s="40">
        <f>IF($U188="","",IF(MAX(SUMPRODUCT(MAX((입금_은행1!$AC$8:$AC$2007=$A188)*(입금_은행1!$AE$8:$AE$2007&lt;=설정!$B$5)*입금_은행1!$AE$8:$AE$2007)),SUMPRODUCT(MAX((입금_은행2!$AC$8:$AC$2007=$A188)*(입금_은행2!$AE$8:$AE$2007&lt;=설정!$B$5)*입금_은행2!$AE$8:$AE$2007)))=0,"",MAX(SUMPRODUCT(MAX((입금_은행1!$AC$8:$AC$2007=$A188)*(입금_은행1!$AE$8:$AE$2007&lt;=설정!$B$5)*입금_은행1!$AE$8:$AE$2007)),SUMPRODUCT(MAX((입금_은행2!$AC$8:$AC$2007=$A188)*(입금_은행2!$AE$8:$AE$2007&lt;=설정!$B$5)*입금_은행2!$AE$8:$AE$2007)))))</f>
        <v/>
      </c>
      <c r="M188" s="38">
        <f>IF($U188="","",IF($T188="","",IF(INDEX(거래처설정!$F$8:$F$407,$T188)="","",INDEX(거래처설정!$F$8:$F$407,$T188))))</f>
        <v/>
      </c>
      <c r="N188" s="38">
        <f>IF($U188="","",IF($T188="","",IF(INDEX(거래처설정!$G$8:$G$407,$T188)="","",INDEX(거래처설정!$G$8:$G$407,$T188))))</f>
        <v/>
      </c>
      <c r="O188" s="38">
        <f>IF($U188="","",IF($M188="제외",0,IF($K188&gt;=설정!$B$9,3,IF($J188+$K188&gt;=설정!$B$9,2,IF($I188+$J188+$K188&gt;=설정!$B$9,1,0)))))</f>
        <v/>
      </c>
      <c r="P188" s="38">
        <f>IF($U188="","",IF($M188="제외","제외(조치 상태)",IF($O188=3,"③ 강한 독촉 후보 ("&amp;설정!$B$8&amp;"일 초과)",IF($O188=2,"② 독촉 후보 ("&amp;설정!$B$7&amp;"일 초과)",IF($O188=1,"① 안내 후보 ("&amp;설정!$B$6&amp;"일 초과)",IF($G188&gt;0,IF($I188+$J188+$K188&gt;0,"오래된 잔액 있음 (최소 금액 미만)","정상 범위"),IF($G188&lt;0,"선수금·초과입금 — 확인","완납")))))))</f>
        <v/>
      </c>
      <c r="Q188" s="38">
        <f>IF($U188="","",IF($G188&lt;0,"입금이 매출보다 큼 — 선수금이거나 다른 거래처 입금이 섞였는지 확인",IF(AND($AE188&lt;&gt;"",COUNTIF($AE$8:$AE$307,"*"&amp;$AE188&amp;"*")&gt;1),"이름이 다른 거래처와 겹침 — 입금이 잘못 맞았을 수 있으니 별칭 확인",IF(AND($G188&gt;0,$F188=0),"입금 매칭 없음 — 입금자명이 다르면 [거래처설정]에 별칭 등록",""))))</f>
        <v/>
      </c>
      <c r="R188" s="31">
        <f>IF(OR($U188="",$G188&lt;=0),"",$G188-$A188/10000)</f>
        <v/>
      </c>
      <c r="S188" s="31">
        <f>IF(OR($U188="",$O188&lt;1),"",$O188*10^11+$I188+$J188+$K188-$A188/1000)</f>
        <v/>
      </c>
      <c r="T188" s="31">
        <f>IF($U188="","",IFERROR(MATCH(INDEX(매출원본!$AU$8:$AU$2007,$U188),거래처설정!$I$8:$I$407,0),""))</f>
        <v/>
      </c>
      <c r="U188" s="31">
        <f>IFERROR(MATCH(181,매출원본!$AW$8:$AW$2007,0),"")</f>
        <v/>
      </c>
      <c r="V188" s="31">
        <f>IF($U188="","",MAX(SUMIFS(매출원본!$AT$8:$AT$2007,매출원본!$AY$8:$AY$2007,$A188,매출원본!$AS$8:$AS$2007,"&gt;="&amp;(설정!$B$5-설정!$B$6),매출원본!$AS$8:$AS$2007,"&lt;="&amp;설정!$B$5),0))</f>
        <v/>
      </c>
      <c r="W188" s="31">
        <f>IF($U188="","",MAX($V188,SUMIFS(매출원본!$AT$8:$AT$2007,매출원본!$AY$8:$AY$2007,$A188,매출원본!$AS$8:$AS$2007,"&gt;="&amp;(설정!$B$5-설정!$B$7),매출원본!$AS$8:$AS$2007,"&lt;="&amp;설정!$B$5)))</f>
        <v/>
      </c>
      <c r="X188" s="31">
        <f>IF($U188="","",MAX($W188,SUMIFS(매출원본!$AT$8:$AT$2007,매출원본!$AY$8:$AY$2007,$A188,매출원본!$AS$8:$AS$2007,"&gt;="&amp;(설정!$B$5-설정!$B$8),매출원본!$AS$8:$AS$2007,"&lt;="&amp;설정!$B$5)))</f>
        <v/>
      </c>
      <c r="AC188" s="31">
        <f>IF(OR($U188="",$T188=""),"",INDEX(거래처설정!$J$8:$J$407,$T188))</f>
        <v/>
      </c>
      <c r="AD188" s="31">
        <f>IF(OR($U188="",$T188=""),"",INDEX(거래처설정!$K$8:$K$407,$T188))</f>
        <v/>
      </c>
      <c r="AE188" s="31">
        <f>IF($U188="","",IF(LEN(SUBSTITUTE(SUBSTITUTE(SUBSTITUTE(SUBSTITUTE(SUBSTITUTE(SUBSTITUTE(SUBSTITUTE(SUBSTITUTE(SUBSTITUTE($C188," ",""),"　",""),"(주)",""),"（주）",""),"㈜",""),"주식회사",""),"(유)",""),"（유）",""),"유한회사",""))&lt;2,"",SUBSTITUTE(SUBSTITUTE(SUBSTITUTE(SUBSTITUTE(SUBSTITUTE(SUBSTITUTE(SUBSTITUTE(SUBSTITUTE(SUBSTITUTE($C188," ",""),"　",""),"(주)",""),"（주）",""),"㈜",""),"주식회사",""),"(유)",""),"（유）",""),"유한회사","")))</f>
        <v/>
      </c>
    </row>
    <row r="189">
      <c r="A189" s="38">
        <f>IF($U189="","",182)</f>
        <v/>
      </c>
      <c r="B189" s="38">
        <f>IF($U189="","",IF(LEN(INDEX(매출원본!$AU$8:$AU$2007,$U189))=10,LEFT(INDEX(매출원본!$AU$8:$AU$2007,$U189),3)&amp;"-"&amp;MID(INDEX(매출원본!$AU$8:$AU$2007,$U189),4,2)&amp;"-"&amp;RIGHT(INDEX(매출원본!$AU$8:$AU$2007,$U189),5),IF(LEFT(INDEX(매출원본!$AU$8:$AU$2007,$U189),2)="N:","(번호 없음)",INDEX(매출원본!$AU$8:$AU$2007,$U189))))</f>
        <v/>
      </c>
      <c r="C189" s="38">
        <f>IF($U189="","",INDEX(매출원본!$AV$8:$AV$2007,$U189))</f>
        <v/>
      </c>
      <c r="D189" s="39">
        <f>IF($U189="","",IF($T189="",0,N(INDEX(거래처설정!$E$8:$E$407,$T189))))</f>
        <v/>
      </c>
      <c r="E189" s="39">
        <f>IF($U189="","",SUMIFS(매출원본!$AT$8:$AT$2007,매출원본!$AY$8:$AY$2007,$A189,매출원본!$AS$8:$AS$2007,"&lt;="&amp;설정!$B$5))</f>
        <v/>
      </c>
      <c r="F189" s="39">
        <f>IF($U189="","",SUMIFS(입금_은행1!$Z$8:$Z$2007,입금_은행1!$AC$8:$AC$2007,$A189,입금_은행1!$Y$8:$Y$2007,"&lt;="&amp;설정!$B$5)+SUMIFS(입금_은행2!$Z$8:$Z$2007,입금_은행2!$AC$8:$AC$2007,$A189,입금_은행2!$Y$8:$Y$2007,"&lt;="&amp;설정!$B$5))</f>
        <v/>
      </c>
      <c r="G189" s="39">
        <f>IF($U189="","",$D189+$E189-$F189)</f>
        <v/>
      </c>
      <c r="H189" s="39">
        <f>IF($U189="","",MIN(MAX($G189,0),$V189))</f>
        <v/>
      </c>
      <c r="I189" s="39">
        <f>IF($U189="","",MIN(MAX($G189,0),$W189)-MIN(MAX($G189,0),$V189))</f>
        <v/>
      </c>
      <c r="J189" s="39">
        <f>IF($U189="","",MIN(MAX($G189,0),$X189)-MIN(MAX($G189,0),$W189))</f>
        <v/>
      </c>
      <c r="K189" s="39">
        <f>IF($U189="","",MAX($G189,0)-MIN(MAX($G189,0),$X189))</f>
        <v/>
      </c>
      <c r="L189" s="40">
        <f>IF($U189="","",IF(MAX(SUMPRODUCT(MAX((입금_은행1!$AC$8:$AC$2007=$A189)*(입금_은행1!$AE$8:$AE$2007&lt;=설정!$B$5)*입금_은행1!$AE$8:$AE$2007)),SUMPRODUCT(MAX((입금_은행2!$AC$8:$AC$2007=$A189)*(입금_은행2!$AE$8:$AE$2007&lt;=설정!$B$5)*입금_은행2!$AE$8:$AE$2007)))=0,"",MAX(SUMPRODUCT(MAX((입금_은행1!$AC$8:$AC$2007=$A189)*(입금_은행1!$AE$8:$AE$2007&lt;=설정!$B$5)*입금_은행1!$AE$8:$AE$2007)),SUMPRODUCT(MAX((입금_은행2!$AC$8:$AC$2007=$A189)*(입금_은행2!$AE$8:$AE$2007&lt;=설정!$B$5)*입금_은행2!$AE$8:$AE$2007)))))</f>
        <v/>
      </c>
      <c r="M189" s="38">
        <f>IF($U189="","",IF($T189="","",IF(INDEX(거래처설정!$F$8:$F$407,$T189)="","",INDEX(거래처설정!$F$8:$F$407,$T189))))</f>
        <v/>
      </c>
      <c r="N189" s="38">
        <f>IF($U189="","",IF($T189="","",IF(INDEX(거래처설정!$G$8:$G$407,$T189)="","",INDEX(거래처설정!$G$8:$G$407,$T189))))</f>
        <v/>
      </c>
      <c r="O189" s="38">
        <f>IF($U189="","",IF($M189="제외",0,IF($K189&gt;=설정!$B$9,3,IF($J189+$K189&gt;=설정!$B$9,2,IF($I189+$J189+$K189&gt;=설정!$B$9,1,0)))))</f>
        <v/>
      </c>
      <c r="P189" s="38">
        <f>IF($U189="","",IF($M189="제외","제외(조치 상태)",IF($O189=3,"③ 강한 독촉 후보 ("&amp;설정!$B$8&amp;"일 초과)",IF($O189=2,"② 독촉 후보 ("&amp;설정!$B$7&amp;"일 초과)",IF($O189=1,"① 안내 후보 ("&amp;설정!$B$6&amp;"일 초과)",IF($G189&gt;0,IF($I189+$J189+$K189&gt;0,"오래된 잔액 있음 (최소 금액 미만)","정상 범위"),IF($G189&lt;0,"선수금·초과입금 — 확인","완납")))))))</f>
        <v/>
      </c>
      <c r="Q189" s="38">
        <f>IF($U189="","",IF($G189&lt;0,"입금이 매출보다 큼 — 선수금이거나 다른 거래처 입금이 섞였는지 확인",IF(AND($AE189&lt;&gt;"",COUNTIF($AE$8:$AE$307,"*"&amp;$AE189&amp;"*")&gt;1),"이름이 다른 거래처와 겹침 — 입금이 잘못 맞았을 수 있으니 별칭 확인",IF(AND($G189&gt;0,$F189=0),"입금 매칭 없음 — 입금자명이 다르면 [거래처설정]에 별칭 등록",""))))</f>
        <v/>
      </c>
      <c r="R189" s="31">
        <f>IF(OR($U189="",$G189&lt;=0),"",$G189-$A189/10000)</f>
        <v/>
      </c>
      <c r="S189" s="31">
        <f>IF(OR($U189="",$O189&lt;1),"",$O189*10^11+$I189+$J189+$K189-$A189/1000)</f>
        <v/>
      </c>
      <c r="T189" s="31">
        <f>IF($U189="","",IFERROR(MATCH(INDEX(매출원본!$AU$8:$AU$2007,$U189),거래처설정!$I$8:$I$407,0),""))</f>
        <v/>
      </c>
      <c r="U189" s="31">
        <f>IFERROR(MATCH(182,매출원본!$AW$8:$AW$2007,0),"")</f>
        <v/>
      </c>
      <c r="V189" s="31">
        <f>IF($U189="","",MAX(SUMIFS(매출원본!$AT$8:$AT$2007,매출원본!$AY$8:$AY$2007,$A189,매출원본!$AS$8:$AS$2007,"&gt;="&amp;(설정!$B$5-설정!$B$6),매출원본!$AS$8:$AS$2007,"&lt;="&amp;설정!$B$5),0))</f>
        <v/>
      </c>
      <c r="W189" s="31">
        <f>IF($U189="","",MAX($V189,SUMIFS(매출원본!$AT$8:$AT$2007,매출원본!$AY$8:$AY$2007,$A189,매출원본!$AS$8:$AS$2007,"&gt;="&amp;(설정!$B$5-설정!$B$7),매출원본!$AS$8:$AS$2007,"&lt;="&amp;설정!$B$5)))</f>
        <v/>
      </c>
      <c r="X189" s="31">
        <f>IF($U189="","",MAX($W189,SUMIFS(매출원본!$AT$8:$AT$2007,매출원본!$AY$8:$AY$2007,$A189,매출원본!$AS$8:$AS$2007,"&gt;="&amp;(설정!$B$5-설정!$B$8),매출원본!$AS$8:$AS$2007,"&lt;="&amp;설정!$B$5)))</f>
        <v/>
      </c>
      <c r="AC189" s="31">
        <f>IF(OR($U189="",$T189=""),"",INDEX(거래처설정!$J$8:$J$407,$T189))</f>
        <v/>
      </c>
      <c r="AD189" s="31">
        <f>IF(OR($U189="",$T189=""),"",INDEX(거래처설정!$K$8:$K$407,$T189))</f>
        <v/>
      </c>
      <c r="AE189" s="31">
        <f>IF($U189="","",IF(LEN(SUBSTITUTE(SUBSTITUTE(SUBSTITUTE(SUBSTITUTE(SUBSTITUTE(SUBSTITUTE(SUBSTITUTE(SUBSTITUTE(SUBSTITUTE($C189," ",""),"　",""),"(주)",""),"（주）",""),"㈜",""),"주식회사",""),"(유)",""),"（유）",""),"유한회사",""))&lt;2,"",SUBSTITUTE(SUBSTITUTE(SUBSTITUTE(SUBSTITUTE(SUBSTITUTE(SUBSTITUTE(SUBSTITUTE(SUBSTITUTE(SUBSTITUTE($C189," ",""),"　",""),"(주)",""),"（주）",""),"㈜",""),"주식회사",""),"(유)",""),"（유）",""),"유한회사","")))</f>
        <v/>
      </c>
    </row>
    <row r="190">
      <c r="A190" s="38">
        <f>IF($U190="","",183)</f>
        <v/>
      </c>
      <c r="B190" s="38">
        <f>IF($U190="","",IF(LEN(INDEX(매출원본!$AU$8:$AU$2007,$U190))=10,LEFT(INDEX(매출원본!$AU$8:$AU$2007,$U190),3)&amp;"-"&amp;MID(INDEX(매출원본!$AU$8:$AU$2007,$U190),4,2)&amp;"-"&amp;RIGHT(INDEX(매출원본!$AU$8:$AU$2007,$U190),5),IF(LEFT(INDEX(매출원본!$AU$8:$AU$2007,$U190),2)="N:","(번호 없음)",INDEX(매출원본!$AU$8:$AU$2007,$U190))))</f>
        <v/>
      </c>
      <c r="C190" s="38">
        <f>IF($U190="","",INDEX(매출원본!$AV$8:$AV$2007,$U190))</f>
        <v/>
      </c>
      <c r="D190" s="39">
        <f>IF($U190="","",IF($T190="",0,N(INDEX(거래처설정!$E$8:$E$407,$T190))))</f>
        <v/>
      </c>
      <c r="E190" s="39">
        <f>IF($U190="","",SUMIFS(매출원본!$AT$8:$AT$2007,매출원본!$AY$8:$AY$2007,$A190,매출원본!$AS$8:$AS$2007,"&lt;="&amp;설정!$B$5))</f>
        <v/>
      </c>
      <c r="F190" s="39">
        <f>IF($U190="","",SUMIFS(입금_은행1!$Z$8:$Z$2007,입금_은행1!$AC$8:$AC$2007,$A190,입금_은행1!$Y$8:$Y$2007,"&lt;="&amp;설정!$B$5)+SUMIFS(입금_은행2!$Z$8:$Z$2007,입금_은행2!$AC$8:$AC$2007,$A190,입금_은행2!$Y$8:$Y$2007,"&lt;="&amp;설정!$B$5))</f>
        <v/>
      </c>
      <c r="G190" s="39">
        <f>IF($U190="","",$D190+$E190-$F190)</f>
        <v/>
      </c>
      <c r="H190" s="39">
        <f>IF($U190="","",MIN(MAX($G190,0),$V190))</f>
        <v/>
      </c>
      <c r="I190" s="39">
        <f>IF($U190="","",MIN(MAX($G190,0),$W190)-MIN(MAX($G190,0),$V190))</f>
        <v/>
      </c>
      <c r="J190" s="39">
        <f>IF($U190="","",MIN(MAX($G190,0),$X190)-MIN(MAX($G190,0),$W190))</f>
        <v/>
      </c>
      <c r="K190" s="39">
        <f>IF($U190="","",MAX($G190,0)-MIN(MAX($G190,0),$X190))</f>
        <v/>
      </c>
      <c r="L190" s="40">
        <f>IF($U190="","",IF(MAX(SUMPRODUCT(MAX((입금_은행1!$AC$8:$AC$2007=$A190)*(입금_은행1!$AE$8:$AE$2007&lt;=설정!$B$5)*입금_은행1!$AE$8:$AE$2007)),SUMPRODUCT(MAX((입금_은행2!$AC$8:$AC$2007=$A190)*(입금_은행2!$AE$8:$AE$2007&lt;=설정!$B$5)*입금_은행2!$AE$8:$AE$2007)))=0,"",MAX(SUMPRODUCT(MAX((입금_은행1!$AC$8:$AC$2007=$A190)*(입금_은행1!$AE$8:$AE$2007&lt;=설정!$B$5)*입금_은행1!$AE$8:$AE$2007)),SUMPRODUCT(MAX((입금_은행2!$AC$8:$AC$2007=$A190)*(입금_은행2!$AE$8:$AE$2007&lt;=설정!$B$5)*입금_은행2!$AE$8:$AE$2007)))))</f>
        <v/>
      </c>
      <c r="M190" s="38">
        <f>IF($U190="","",IF($T190="","",IF(INDEX(거래처설정!$F$8:$F$407,$T190)="","",INDEX(거래처설정!$F$8:$F$407,$T190))))</f>
        <v/>
      </c>
      <c r="N190" s="38">
        <f>IF($U190="","",IF($T190="","",IF(INDEX(거래처설정!$G$8:$G$407,$T190)="","",INDEX(거래처설정!$G$8:$G$407,$T190))))</f>
        <v/>
      </c>
      <c r="O190" s="38">
        <f>IF($U190="","",IF($M190="제외",0,IF($K190&gt;=설정!$B$9,3,IF($J190+$K190&gt;=설정!$B$9,2,IF($I190+$J190+$K190&gt;=설정!$B$9,1,0)))))</f>
        <v/>
      </c>
      <c r="P190" s="38">
        <f>IF($U190="","",IF($M190="제외","제외(조치 상태)",IF($O190=3,"③ 강한 독촉 후보 ("&amp;설정!$B$8&amp;"일 초과)",IF($O190=2,"② 독촉 후보 ("&amp;설정!$B$7&amp;"일 초과)",IF($O190=1,"① 안내 후보 ("&amp;설정!$B$6&amp;"일 초과)",IF($G190&gt;0,IF($I190+$J190+$K190&gt;0,"오래된 잔액 있음 (최소 금액 미만)","정상 범위"),IF($G190&lt;0,"선수금·초과입금 — 확인","완납")))))))</f>
        <v/>
      </c>
      <c r="Q190" s="38">
        <f>IF($U190="","",IF($G190&lt;0,"입금이 매출보다 큼 — 선수금이거나 다른 거래처 입금이 섞였는지 확인",IF(AND($AE190&lt;&gt;"",COUNTIF($AE$8:$AE$307,"*"&amp;$AE190&amp;"*")&gt;1),"이름이 다른 거래처와 겹침 — 입금이 잘못 맞았을 수 있으니 별칭 확인",IF(AND($G190&gt;0,$F190=0),"입금 매칭 없음 — 입금자명이 다르면 [거래처설정]에 별칭 등록",""))))</f>
        <v/>
      </c>
      <c r="R190" s="31">
        <f>IF(OR($U190="",$G190&lt;=0),"",$G190-$A190/10000)</f>
        <v/>
      </c>
      <c r="S190" s="31">
        <f>IF(OR($U190="",$O190&lt;1),"",$O190*10^11+$I190+$J190+$K190-$A190/1000)</f>
        <v/>
      </c>
      <c r="T190" s="31">
        <f>IF($U190="","",IFERROR(MATCH(INDEX(매출원본!$AU$8:$AU$2007,$U190),거래처설정!$I$8:$I$407,0),""))</f>
        <v/>
      </c>
      <c r="U190" s="31">
        <f>IFERROR(MATCH(183,매출원본!$AW$8:$AW$2007,0),"")</f>
        <v/>
      </c>
      <c r="V190" s="31">
        <f>IF($U190="","",MAX(SUMIFS(매출원본!$AT$8:$AT$2007,매출원본!$AY$8:$AY$2007,$A190,매출원본!$AS$8:$AS$2007,"&gt;="&amp;(설정!$B$5-설정!$B$6),매출원본!$AS$8:$AS$2007,"&lt;="&amp;설정!$B$5),0))</f>
        <v/>
      </c>
      <c r="W190" s="31">
        <f>IF($U190="","",MAX($V190,SUMIFS(매출원본!$AT$8:$AT$2007,매출원본!$AY$8:$AY$2007,$A190,매출원본!$AS$8:$AS$2007,"&gt;="&amp;(설정!$B$5-설정!$B$7),매출원본!$AS$8:$AS$2007,"&lt;="&amp;설정!$B$5)))</f>
        <v/>
      </c>
      <c r="X190" s="31">
        <f>IF($U190="","",MAX($W190,SUMIFS(매출원본!$AT$8:$AT$2007,매출원본!$AY$8:$AY$2007,$A190,매출원본!$AS$8:$AS$2007,"&gt;="&amp;(설정!$B$5-설정!$B$8),매출원본!$AS$8:$AS$2007,"&lt;="&amp;설정!$B$5)))</f>
        <v/>
      </c>
      <c r="AC190" s="31">
        <f>IF(OR($U190="",$T190=""),"",INDEX(거래처설정!$J$8:$J$407,$T190))</f>
        <v/>
      </c>
      <c r="AD190" s="31">
        <f>IF(OR($U190="",$T190=""),"",INDEX(거래처설정!$K$8:$K$407,$T190))</f>
        <v/>
      </c>
      <c r="AE190" s="31">
        <f>IF($U190="","",IF(LEN(SUBSTITUTE(SUBSTITUTE(SUBSTITUTE(SUBSTITUTE(SUBSTITUTE(SUBSTITUTE(SUBSTITUTE(SUBSTITUTE(SUBSTITUTE($C190," ",""),"　",""),"(주)",""),"（주）",""),"㈜",""),"주식회사",""),"(유)",""),"（유）",""),"유한회사",""))&lt;2,"",SUBSTITUTE(SUBSTITUTE(SUBSTITUTE(SUBSTITUTE(SUBSTITUTE(SUBSTITUTE(SUBSTITUTE(SUBSTITUTE(SUBSTITUTE($C190," ",""),"　",""),"(주)",""),"（주）",""),"㈜",""),"주식회사",""),"(유)",""),"（유）",""),"유한회사","")))</f>
        <v/>
      </c>
    </row>
    <row r="191">
      <c r="A191" s="38">
        <f>IF($U191="","",184)</f>
        <v/>
      </c>
      <c r="B191" s="38">
        <f>IF($U191="","",IF(LEN(INDEX(매출원본!$AU$8:$AU$2007,$U191))=10,LEFT(INDEX(매출원본!$AU$8:$AU$2007,$U191),3)&amp;"-"&amp;MID(INDEX(매출원본!$AU$8:$AU$2007,$U191),4,2)&amp;"-"&amp;RIGHT(INDEX(매출원본!$AU$8:$AU$2007,$U191),5),IF(LEFT(INDEX(매출원본!$AU$8:$AU$2007,$U191),2)="N:","(번호 없음)",INDEX(매출원본!$AU$8:$AU$2007,$U191))))</f>
        <v/>
      </c>
      <c r="C191" s="38">
        <f>IF($U191="","",INDEX(매출원본!$AV$8:$AV$2007,$U191))</f>
        <v/>
      </c>
      <c r="D191" s="39">
        <f>IF($U191="","",IF($T191="",0,N(INDEX(거래처설정!$E$8:$E$407,$T191))))</f>
        <v/>
      </c>
      <c r="E191" s="39">
        <f>IF($U191="","",SUMIFS(매출원본!$AT$8:$AT$2007,매출원본!$AY$8:$AY$2007,$A191,매출원본!$AS$8:$AS$2007,"&lt;="&amp;설정!$B$5))</f>
        <v/>
      </c>
      <c r="F191" s="39">
        <f>IF($U191="","",SUMIFS(입금_은행1!$Z$8:$Z$2007,입금_은행1!$AC$8:$AC$2007,$A191,입금_은행1!$Y$8:$Y$2007,"&lt;="&amp;설정!$B$5)+SUMIFS(입금_은행2!$Z$8:$Z$2007,입금_은행2!$AC$8:$AC$2007,$A191,입금_은행2!$Y$8:$Y$2007,"&lt;="&amp;설정!$B$5))</f>
        <v/>
      </c>
      <c r="G191" s="39">
        <f>IF($U191="","",$D191+$E191-$F191)</f>
        <v/>
      </c>
      <c r="H191" s="39">
        <f>IF($U191="","",MIN(MAX($G191,0),$V191))</f>
        <v/>
      </c>
      <c r="I191" s="39">
        <f>IF($U191="","",MIN(MAX($G191,0),$W191)-MIN(MAX($G191,0),$V191))</f>
        <v/>
      </c>
      <c r="J191" s="39">
        <f>IF($U191="","",MIN(MAX($G191,0),$X191)-MIN(MAX($G191,0),$W191))</f>
        <v/>
      </c>
      <c r="K191" s="39">
        <f>IF($U191="","",MAX($G191,0)-MIN(MAX($G191,0),$X191))</f>
        <v/>
      </c>
      <c r="L191" s="40">
        <f>IF($U191="","",IF(MAX(SUMPRODUCT(MAX((입금_은행1!$AC$8:$AC$2007=$A191)*(입금_은행1!$AE$8:$AE$2007&lt;=설정!$B$5)*입금_은행1!$AE$8:$AE$2007)),SUMPRODUCT(MAX((입금_은행2!$AC$8:$AC$2007=$A191)*(입금_은행2!$AE$8:$AE$2007&lt;=설정!$B$5)*입금_은행2!$AE$8:$AE$2007)))=0,"",MAX(SUMPRODUCT(MAX((입금_은행1!$AC$8:$AC$2007=$A191)*(입금_은행1!$AE$8:$AE$2007&lt;=설정!$B$5)*입금_은행1!$AE$8:$AE$2007)),SUMPRODUCT(MAX((입금_은행2!$AC$8:$AC$2007=$A191)*(입금_은행2!$AE$8:$AE$2007&lt;=설정!$B$5)*입금_은행2!$AE$8:$AE$2007)))))</f>
        <v/>
      </c>
      <c r="M191" s="38">
        <f>IF($U191="","",IF($T191="","",IF(INDEX(거래처설정!$F$8:$F$407,$T191)="","",INDEX(거래처설정!$F$8:$F$407,$T191))))</f>
        <v/>
      </c>
      <c r="N191" s="38">
        <f>IF($U191="","",IF($T191="","",IF(INDEX(거래처설정!$G$8:$G$407,$T191)="","",INDEX(거래처설정!$G$8:$G$407,$T191))))</f>
        <v/>
      </c>
      <c r="O191" s="38">
        <f>IF($U191="","",IF($M191="제외",0,IF($K191&gt;=설정!$B$9,3,IF($J191+$K191&gt;=설정!$B$9,2,IF($I191+$J191+$K191&gt;=설정!$B$9,1,0)))))</f>
        <v/>
      </c>
      <c r="P191" s="38">
        <f>IF($U191="","",IF($M191="제외","제외(조치 상태)",IF($O191=3,"③ 강한 독촉 후보 ("&amp;설정!$B$8&amp;"일 초과)",IF($O191=2,"② 독촉 후보 ("&amp;설정!$B$7&amp;"일 초과)",IF($O191=1,"① 안내 후보 ("&amp;설정!$B$6&amp;"일 초과)",IF($G191&gt;0,IF($I191+$J191+$K191&gt;0,"오래된 잔액 있음 (최소 금액 미만)","정상 범위"),IF($G191&lt;0,"선수금·초과입금 — 확인","완납")))))))</f>
        <v/>
      </c>
      <c r="Q191" s="38">
        <f>IF($U191="","",IF($G191&lt;0,"입금이 매출보다 큼 — 선수금이거나 다른 거래처 입금이 섞였는지 확인",IF(AND($AE191&lt;&gt;"",COUNTIF($AE$8:$AE$307,"*"&amp;$AE191&amp;"*")&gt;1),"이름이 다른 거래처와 겹침 — 입금이 잘못 맞았을 수 있으니 별칭 확인",IF(AND($G191&gt;0,$F191=0),"입금 매칭 없음 — 입금자명이 다르면 [거래처설정]에 별칭 등록",""))))</f>
        <v/>
      </c>
      <c r="R191" s="31">
        <f>IF(OR($U191="",$G191&lt;=0),"",$G191-$A191/10000)</f>
        <v/>
      </c>
      <c r="S191" s="31">
        <f>IF(OR($U191="",$O191&lt;1),"",$O191*10^11+$I191+$J191+$K191-$A191/1000)</f>
        <v/>
      </c>
      <c r="T191" s="31">
        <f>IF($U191="","",IFERROR(MATCH(INDEX(매출원본!$AU$8:$AU$2007,$U191),거래처설정!$I$8:$I$407,0),""))</f>
        <v/>
      </c>
      <c r="U191" s="31">
        <f>IFERROR(MATCH(184,매출원본!$AW$8:$AW$2007,0),"")</f>
        <v/>
      </c>
      <c r="V191" s="31">
        <f>IF($U191="","",MAX(SUMIFS(매출원본!$AT$8:$AT$2007,매출원본!$AY$8:$AY$2007,$A191,매출원본!$AS$8:$AS$2007,"&gt;="&amp;(설정!$B$5-설정!$B$6),매출원본!$AS$8:$AS$2007,"&lt;="&amp;설정!$B$5),0))</f>
        <v/>
      </c>
      <c r="W191" s="31">
        <f>IF($U191="","",MAX($V191,SUMIFS(매출원본!$AT$8:$AT$2007,매출원본!$AY$8:$AY$2007,$A191,매출원본!$AS$8:$AS$2007,"&gt;="&amp;(설정!$B$5-설정!$B$7),매출원본!$AS$8:$AS$2007,"&lt;="&amp;설정!$B$5)))</f>
        <v/>
      </c>
      <c r="X191" s="31">
        <f>IF($U191="","",MAX($W191,SUMIFS(매출원본!$AT$8:$AT$2007,매출원본!$AY$8:$AY$2007,$A191,매출원본!$AS$8:$AS$2007,"&gt;="&amp;(설정!$B$5-설정!$B$8),매출원본!$AS$8:$AS$2007,"&lt;="&amp;설정!$B$5)))</f>
        <v/>
      </c>
      <c r="AC191" s="31">
        <f>IF(OR($U191="",$T191=""),"",INDEX(거래처설정!$J$8:$J$407,$T191))</f>
        <v/>
      </c>
      <c r="AD191" s="31">
        <f>IF(OR($U191="",$T191=""),"",INDEX(거래처설정!$K$8:$K$407,$T191))</f>
        <v/>
      </c>
      <c r="AE191" s="31">
        <f>IF($U191="","",IF(LEN(SUBSTITUTE(SUBSTITUTE(SUBSTITUTE(SUBSTITUTE(SUBSTITUTE(SUBSTITUTE(SUBSTITUTE(SUBSTITUTE(SUBSTITUTE($C191," ",""),"　",""),"(주)",""),"（주）",""),"㈜",""),"주식회사",""),"(유)",""),"（유）",""),"유한회사",""))&lt;2,"",SUBSTITUTE(SUBSTITUTE(SUBSTITUTE(SUBSTITUTE(SUBSTITUTE(SUBSTITUTE(SUBSTITUTE(SUBSTITUTE(SUBSTITUTE($C191," ",""),"　",""),"(주)",""),"（주）",""),"㈜",""),"주식회사",""),"(유)",""),"（유）",""),"유한회사","")))</f>
        <v/>
      </c>
    </row>
    <row r="192">
      <c r="A192" s="38">
        <f>IF($U192="","",185)</f>
        <v/>
      </c>
      <c r="B192" s="38">
        <f>IF($U192="","",IF(LEN(INDEX(매출원본!$AU$8:$AU$2007,$U192))=10,LEFT(INDEX(매출원본!$AU$8:$AU$2007,$U192),3)&amp;"-"&amp;MID(INDEX(매출원본!$AU$8:$AU$2007,$U192),4,2)&amp;"-"&amp;RIGHT(INDEX(매출원본!$AU$8:$AU$2007,$U192),5),IF(LEFT(INDEX(매출원본!$AU$8:$AU$2007,$U192),2)="N:","(번호 없음)",INDEX(매출원본!$AU$8:$AU$2007,$U192))))</f>
        <v/>
      </c>
      <c r="C192" s="38">
        <f>IF($U192="","",INDEX(매출원본!$AV$8:$AV$2007,$U192))</f>
        <v/>
      </c>
      <c r="D192" s="39">
        <f>IF($U192="","",IF($T192="",0,N(INDEX(거래처설정!$E$8:$E$407,$T192))))</f>
        <v/>
      </c>
      <c r="E192" s="39">
        <f>IF($U192="","",SUMIFS(매출원본!$AT$8:$AT$2007,매출원본!$AY$8:$AY$2007,$A192,매출원본!$AS$8:$AS$2007,"&lt;="&amp;설정!$B$5))</f>
        <v/>
      </c>
      <c r="F192" s="39">
        <f>IF($U192="","",SUMIFS(입금_은행1!$Z$8:$Z$2007,입금_은행1!$AC$8:$AC$2007,$A192,입금_은행1!$Y$8:$Y$2007,"&lt;="&amp;설정!$B$5)+SUMIFS(입금_은행2!$Z$8:$Z$2007,입금_은행2!$AC$8:$AC$2007,$A192,입금_은행2!$Y$8:$Y$2007,"&lt;="&amp;설정!$B$5))</f>
        <v/>
      </c>
      <c r="G192" s="39">
        <f>IF($U192="","",$D192+$E192-$F192)</f>
        <v/>
      </c>
      <c r="H192" s="39">
        <f>IF($U192="","",MIN(MAX($G192,0),$V192))</f>
        <v/>
      </c>
      <c r="I192" s="39">
        <f>IF($U192="","",MIN(MAX($G192,0),$W192)-MIN(MAX($G192,0),$V192))</f>
        <v/>
      </c>
      <c r="J192" s="39">
        <f>IF($U192="","",MIN(MAX($G192,0),$X192)-MIN(MAX($G192,0),$W192))</f>
        <v/>
      </c>
      <c r="K192" s="39">
        <f>IF($U192="","",MAX($G192,0)-MIN(MAX($G192,0),$X192))</f>
        <v/>
      </c>
      <c r="L192" s="40">
        <f>IF($U192="","",IF(MAX(SUMPRODUCT(MAX((입금_은행1!$AC$8:$AC$2007=$A192)*(입금_은행1!$AE$8:$AE$2007&lt;=설정!$B$5)*입금_은행1!$AE$8:$AE$2007)),SUMPRODUCT(MAX((입금_은행2!$AC$8:$AC$2007=$A192)*(입금_은행2!$AE$8:$AE$2007&lt;=설정!$B$5)*입금_은행2!$AE$8:$AE$2007)))=0,"",MAX(SUMPRODUCT(MAX((입금_은행1!$AC$8:$AC$2007=$A192)*(입금_은행1!$AE$8:$AE$2007&lt;=설정!$B$5)*입금_은행1!$AE$8:$AE$2007)),SUMPRODUCT(MAX((입금_은행2!$AC$8:$AC$2007=$A192)*(입금_은행2!$AE$8:$AE$2007&lt;=설정!$B$5)*입금_은행2!$AE$8:$AE$2007)))))</f>
        <v/>
      </c>
      <c r="M192" s="38">
        <f>IF($U192="","",IF($T192="","",IF(INDEX(거래처설정!$F$8:$F$407,$T192)="","",INDEX(거래처설정!$F$8:$F$407,$T192))))</f>
        <v/>
      </c>
      <c r="N192" s="38">
        <f>IF($U192="","",IF($T192="","",IF(INDEX(거래처설정!$G$8:$G$407,$T192)="","",INDEX(거래처설정!$G$8:$G$407,$T192))))</f>
        <v/>
      </c>
      <c r="O192" s="38">
        <f>IF($U192="","",IF($M192="제외",0,IF($K192&gt;=설정!$B$9,3,IF($J192+$K192&gt;=설정!$B$9,2,IF($I192+$J192+$K192&gt;=설정!$B$9,1,0)))))</f>
        <v/>
      </c>
      <c r="P192" s="38">
        <f>IF($U192="","",IF($M192="제외","제외(조치 상태)",IF($O192=3,"③ 강한 독촉 후보 ("&amp;설정!$B$8&amp;"일 초과)",IF($O192=2,"② 독촉 후보 ("&amp;설정!$B$7&amp;"일 초과)",IF($O192=1,"① 안내 후보 ("&amp;설정!$B$6&amp;"일 초과)",IF($G192&gt;0,IF($I192+$J192+$K192&gt;0,"오래된 잔액 있음 (최소 금액 미만)","정상 범위"),IF($G192&lt;0,"선수금·초과입금 — 확인","완납")))))))</f>
        <v/>
      </c>
      <c r="Q192" s="38">
        <f>IF($U192="","",IF($G192&lt;0,"입금이 매출보다 큼 — 선수금이거나 다른 거래처 입금이 섞였는지 확인",IF(AND($AE192&lt;&gt;"",COUNTIF($AE$8:$AE$307,"*"&amp;$AE192&amp;"*")&gt;1),"이름이 다른 거래처와 겹침 — 입금이 잘못 맞았을 수 있으니 별칭 확인",IF(AND($G192&gt;0,$F192=0),"입금 매칭 없음 — 입금자명이 다르면 [거래처설정]에 별칭 등록",""))))</f>
        <v/>
      </c>
      <c r="R192" s="31">
        <f>IF(OR($U192="",$G192&lt;=0),"",$G192-$A192/10000)</f>
        <v/>
      </c>
      <c r="S192" s="31">
        <f>IF(OR($U192="",$O192&lt;1),"",$O192*10^11+$I192+$J192+$K192-$A192/1000)</f>
        <v/>
      </c>
      <c r="T192" s="31">
        <f>IF($U192="","",IFERROR(MATCH(INDEX(매출원본!$AU$8:$AU$2007,$U192),거래처설정!$I$8:$I$407,0),""))</f>
        <v/>
      </c>
      <c r="U192" s="31">
        <f>IFERROR(MATCH(185,매출원본!$AW$8:$AW$2007,0),"")</f>
        <v/>
      </c>
      <c r="V192" s="31">
        <f>IF($U192="","",MAX(SUMIFS(매출원본!$AT$8:$AT$2007,매출원본!$AY$8:$AY$2007,$A192,매출원본!$AS$8:$AS$2007,"&gt;="&amp;(설정!$B$5-설정!$B$6),매출원본!$AS$8:$AS$2007,"&lt;="&amp;설정!$B$5),0))</f>
        <v/>
      </c>
      <c r="W192" s="31">
        <f>IF($U192="","",MAX($V192,SUMIFS(매출원본!$AT$8:$AT$2007,매출원본!$AY$8:$AY$2007,$A192,매출원본!$AS$8:$AS$2007,"&gt;="&amp;(설정!$B$5-설정!$B$7),매출원본!$AS$8:$AS$2007,"&lt;="&amp;설정!$B$5)))</f>
        <v/>
      </c>
      <c r="X192" s="31">
        <f>IF($U192="","",MAX($W192,SUMIFS(매출원본!$AT$8:$AT$2007,매출원본!$AY$8:$AY$2007,$A192,매출원본!$AS$8:$AS$2007,"&gt;="&amp;(설정!$B$5-설정!$B$8),매출원본!$AS$8:$AS$2007,"&lt;="&amp;설정!$B$5)))</f>
        <v/>
      </c>
      <c r="AC192" s="31">
        <f>IF(OR($U192="",$T192=""),"",INDEX(거래처설정!$J$8:$J$407,$T192))</f>
        <v/>
      </c>
      <c r="AD192" s="31">
        <f>IF(OR($U192="",$T192=""),"",INDEX(거래처설정!$K$8:$K$407,$T192))</f>
        <v/>
      </c>
      <c r="AE192" s="31">
        <f>IF($U192="","",IF(LEN(SUBSTITUTE(SUBSTITUTE(SUBSTITUTE(SUBSTITUTE(SUBSTITUTE(SUBSTITUTE(SUBSTITUTE(SUBSTITUTE(SUBSTITUTE($C192," ",""),"　",""),"(주)",""),"（주）",""),"㈜",""),"주식회사",""),"(유)",""),"（유）",""),"유한회사",""))&lt;2,"",SUBSTITUTE(SUBSTITUTE(SUBSTITUTE(SUBSTITUTE(SUBSTITUTE(SUBSTITUTE(SUBSTITUTE(SUBSTITUTE(SUBSTITUTE($C192," ",""),"　",""),"(주)",""),"（주）",""),"㈜",""),"주식회사",""),"(유)",""),"（유）",""),"유한회사","")))</f>
        <v/>
      </c>
    </row>
    <row r="193">
      <c r="A193" s="38">
        <f>IF($U193="","",186)</f>
        <v/>
      </c>
      <c r="B193" s="38">
        <f>IF($U193="","",IF(LEN(INDEX(매출원본!$AU$8:$AU$2007,$U193))=10,LEFT(INDEX(매출원본!$AU$8:$AU$2007,$U193),3)&amp;"-"&amp;MID(INDEX(매출원본!$AU$8:$AU$2007,$U193),4,2)&amp;"-"&amp;RIGHT(INDEX(매출원본!$AU$8:$AU$2007,$U193),5),IF(LEFT(INDEX(매출원본!$AU$8:$AU$2007,$U193),2)="N:","(번호 없음)",INDEX(매출원본!$AU$8:$AU$2007,$U193))))</f>
        <v/>
      </c>
      <c r="C193" s="38">
        <f>IF($U193="","",INDEX(매출원본!$AV$8:$AV$2007,$U193))</f>
        <v/>
      </c>
      <c r="D193" s="39">
        <f>IF($U193="","",IF($T193="",0,N(INDEX(거래처설정!$E$8:$E$407,$T193))))</f>
        <v/>
      </c>
      <c r="E193" s="39">
        <f>IF($U193="","",SUMIFS(매출원본!$AT$8:$AT$2007,매출원본!$AY$8:$AY$2007,$A193,매출원본!$AS$8:$AS$2007,"&lt;="&amp;설정!$B$5))</f>
        <v/>
      </c>
      <c r="F193" s="39">
        <f>IF($U193="","",SUMIFS(입금_은행1!$Z$8:$Z$2007,입금_은행1!$AC$8:$AC$2007,$A193,입금_은행1!$Y$8:$Y$2007,"&lt;="&amp;설정!$B$5)+SUMIFS(입금_은행2!$Z$8:$Z$2007,입금_은행2!$AC$8:$AC$2007,$A193,입금_은행2!$Y$8:$Y$2007,"&lt;="&amp;설정!$B$5))</f>
        <v/>
      </c>
      <c r="G193" s="39">
        <f>IF($U193="","",$D193+$E193-$F193)</f>
        <v/>
      </c>
      <c r="H193" s="39">
        <f>IF($U193="","",MIN(MAX($G193,0),$V193))</f>
        <v/>
      </c>
      <c r="I193" s="39">
        <f>IF($U193="","",MIN(MAX($G193,0),$W193)-MIN(MAX($G193,0),$V193))</f>
        <v/>
      </c>
      <c r="J193" s="39">
        <f>IF($U193="","",MIN(MAX($G193,0),$X193)-MIN(MAX($G193,0),$W193))</f>
        <v/>
      </c>
      <c r="K193" s="39">
        <f>IF($U193="","",MAX($G193,0)-MIN(MAX($G193,0),$X193))</f>
        <v/>
      </c>
      <c r="L193" s="40">
        <f>IF($U193="","",IF(MAX(SUMPRODUCT(MAX((입금_은행1!$AC$8:$AC$2007=$A193)*(입금_은행1!$AE$8:$AE$2007&lt;=설정!$B$5)*입금_은행1!$AE$8:$AE$2007)),SUMPRODUCT(MAX((입금_은행2!$AC$8:$AC$2007=$A193)*(입금_은행2!$AE$8:$AE$2007&lt;=설정!$B$5)*입금_은행2!$AE$8:$AE$2007)))=0,"",MAX(SUMPRODUCT(MAX((입금_은행1!$AC$8:$AC$2007=$A193)*(입금_은행1!$AE$8:$AE$2007&lt;=설정!$B$5)*입금_은행1!$AE$8:$AE$2007)),SUMPRODUCT(MAX((입금_은행2!$AC$8:$AC$2007=$A193)*(입금_은행2!$AE$8:$AE$2007&lt;=설정!$B$5)*입금_은행2!$AE$8:$AE$2007)))))</f>
        <v/>
      </c>
      <c r="M193" s="38">
        <f>IF($U193="","",IF($T193="","",IF(INDEX(거래처설정!$F$8:$F$407,$T193)="","",INDEX(거래처설정!$F$8:$F$407,$T193))))</f>
        <v/>
      </c>
      <c r="N193" s="38">
        <f>IF($U193="","",IF($T193="","",IF(INDEX(거래처설정!$G$8:$G$407,$T193)="","",INDEX(거래처설정!$G$8:$G$407,$T193))))</f>
        <v/>
      </c>
      <c r="O193" s="38">
        <f>IF($U193="","",IF($M193="제외",0,IF($K193&gt;=설정!$B$9,3,IF($J193+$K193&gt;=설정!$B$9,2,IF($I193+$J193+$K193&gt;=설정!$B$9,1,0)))))</f>
        <v/>
      </c>
      <c r="P193" s="38">
        <f>IF($U193="","",IF($M193="제외","제외(조치 상태)",IF($O193=3,"③ 강한 독촉 후보 ("&amp;설정!$B$8&amp;"일 초과)",IF($O193=2,"② 독촉 후보 ("&amp;설정!$B$7&amp;"일 초과)",IF($O193=1,"① 안내 후보 ("&amp;설정!$B$6&amp;"일 초과)",IF($G193&gt;0,IF($I193+$J193+$K193&gt;0,"오래된 잔액 있음 (최소 금액 미만)","정상 범위"),IF($G193&lt;0,"선수금·초과입금 — 확인","완납")))))))</f>
        <v/>
      </c>
      <c r="Q193" s="38">
        <f>IF($U193="","",IF($G193&lt;0,"입금이 매출보다 큼 — 선수금이거나 다른 거래처 입금이 섞였는지 확인",IF(AND($AE193&lt;&gt;"",COUNTIF($AE$8:$AE$307,"*"&amp;$AE193&amp;"*")&gt;1),"이름이 다른 거래처와 겹침 — 입금이 잘못 맞았을 수 있으니 별칭 확인",IF(AND($G193&gt;0,$F193=0),"입금 매칭 없음 — 입금자명이 다르면 [거래처설정]에 별칭 등록",""))))</f>
        <v/>
      </c>
      <c r="R193" s="31">
        <f>IF(OR($U193="",$G193&lt;=0),"",$G193-$A193/10000)</f>
        <v/>
      </c>
      <c r="S193" s="31">
        <f>IF(OR($U193="",$O193&lt;1),"",$O193*10^11+$I193+$J193+$K193-$A193/1000)</f>
        <v/>
      </c>
      <c r="T193" s="31">
        <f>IF($U193="","",IFERROR(MATCH(INDEX(매출원본!$AU$8:$AU$2007,$U193),거래처설정!$I$8:$I$407,0),""))</f>
        <v/>
      </c>
      <c r="U193" s="31">
        <f>IFERROR(MATCH(186,매출원본!$AW$8:$AW$2007,0),"")</f>
        <v/>
      </c>
      <c r="V193" s="31">
        <f>IF($U193="","",MAX(SUMIFS(매출원본!$AT$8:$AT$2007,매출원본!$AY$8:$AY$2007,$A193,매출원본!$AS$8:$AS$2007,"&gt;="&amp;(설정!$B$5-설정!$B$6),매출원본!$AS$8:$AS$2007,"&lt;="&amp;설정!$B$5),0))</f>
        <v/>
      </c>
      <c r="W193" s="31">
        <f>IF($U193="","",MAX($V193,SUMIFS(매출원본!$AT$8:$AT$2007,매출원본!$AY$8:$AY$2007,$A193,매출원본!$AS$8:$AS$2007,"&gt;="&amp;(설정!$B$5-설정!$B$7),매출원본!$AS$8:$AS$2007,"&lt;="&amp;설정!$B$5)))</f>
        <v/>
      </c>
      <c r="X193" s="31">
        <f>IF($U193="","",MAX($W193,SUMIFS(매출원본!$AT$8:$AT$2007,매출원본!$AY$8:$AY$2007,$A193,매출원본!$AS$8:$AS$2007,"&gt;="&amp;(설정!$B$5-설정!$B$8),매출원본!$AS$8:$AS$2007,"&lt;="&amp;설정!$B$5)))</f>
        <v/>
      </c>
      <c r="AC193" s="31">
        <f>IF(OR($U193="",$T193=""),"",INDEX(거래처설정!$J$8:$J$407,$T193))</f>
        <v/>
      </c>
      <c r="AD193" s="31">
        <f>IF(OR($U193="",$T193=""),"",INDEX(거래처설정!$K$8:$K$407,$T193))</f>
        <v/>
      </c>
      <c r="AE193" s="31">
        <f>IF($U193="","",IF(LEN(SUBSTITUTE(SUBSTITUTE(SUBSTITUTE(SUBSTITUTE(SUBSTITUTE(SUBSTITUTE(SUBSTITUTE(SUBSTITUTE(SUBSTITUTE($C193," ",""),"　",""),"(주)",""),"（주）",""),"㈜",""),"주식회사",""),"(유)",""),"（유）",""),"유한회사",""))&lt;2,"",SUBSTITUTE(SUBSTITUTE(SUBSTITUTE(SUBSTITUTE(SUBSTITUTE(SUBSTITUTE(SUBSTITUTE(SUBSTITUTE(SUBSTITUTE($C193," ",""),"　",""),"(주)",""),"（주）",""),"㈜",""),"주식회사",""),"(유)",""),"（유）",""),"유한회사","")))</f>
        <v/>
      </c>
    </row>
    <row r="194">
      <c r="A194" s="38">
        <f>IF($U194="","",187)</f>
        <v/>
      </c>
      <c r="B194" s="38">
        <f>IF($U194="","",IF(LEN(INDEX(매출원본!$AU$8:$AU$2007,$U194))=10,LEFT(INDEX(매출원본!$AU$8:$AU$2007,$U194),3)&amp;"-"&amp;MID(INDEX(매출원본!$AU$8:$AU$2007,$U194),4,2)&amp;"-"&amp;RIGHT(INDEX(매출원본!$AU$8:$AU$2007,$U194),5),IF(LEFT(INDEX(매출원본!$AU$8:$AU$2007,$U194),2)="N:","(번호 없음)",INDEX(매출원본!$AU$8:$AU$2007,$U194))))</f>
        <v/>
      </c>
      <c r="C194" s="38">
        <f>IF($U194="","",INDEX(매출원본!$AV$8:$AV$2007,$U194))</f>
        <v/>
      </c>
      <c r="D194" s="39">
        <f>IF($U194="","",IF($T194="",0,N(INDEX(거래처설정!$E$8:$E$407,$T194))))</f>
        <v/>
      </c>
      <c r="E194" s="39">
        <f>IF($U194="","",SUMIFS(매출원본!$AT$8:$AT$2007,매출원본!$AY$8:$AY$2007,$A194,매출원본!$AS$8:$AS$2007,"&lt;="&amp;설정!$B$5))</f>
        <v/>
      </c>
      <c r="F194" s="39">
        <f>IF($U194="","",SUMIFS(입금_은행1!$Z$8:$Z$2007,입금_은행1!$AC$8:$AC$2007,$A194,입금_은행1!$Y$8:$Y$2007,"&lt;="&amp;설정!$B$5)+SUMIFS(입금_은행2!$Z$8:$Z$2007,입금_은행2!$AC$8:$AC$2007,$A194,입금_은행2!$Y$8:$Y$2007,"&lt;="&amp;설정!$B$5))</f>
        <v/>
      </c>
      <c r="G194" s="39">
        <f>IF($U194="","",$D194+$E194-$F194)</f>
        <v/>
      </c>
      <c r="H194" s="39">
        <f>IF($U194="","",MIN(MAX($G194,0),$V194))</f>
        <v/>
      </c>
      <c r="I194" s="39">
        <f>IF($U194="","",MIN(MAX($G194,0),$W194)-MIN(MAX($G194,0),$V194))</f>
        <v/>
      </c>
      <c r="J194" s="39">
        <f>IF($U194="","",MIN(MAX($G194,0),$X194)-MIN(MAX($G194,0),$W194))</f>
        <v/>
      </c>
      <c r="K194" s="39">
        <f>IF($U194="","",MAX($G194,0)-MIN(MAX($G194,0),$X194))</f>
        <v/>
      </c>
      <c r="L194" s="40">
        <f>IF($U194="","",IF(MAX(SUMPRODUCT(MAX((입금_은행1!$AC$8:$AC$2007=$A194)*(입금_은행1!$AE$8:$AE$2007&lt;=설정!$B$5)*입금_은행1!$AE$8:$AE$2007)),SUMPRODUCT(MAX((입금_은행2!$AC$8:$AC$2007=$A194)*(입금_은행2!$AE$8:$AE$2007&lt;=설정!$B$5)*입금_은행2!$AE$8:$AE$2007)))=0,"",MAX(SUMPRODUCT(MAX((입금_은행1!$AC$8:$AC$2007=$A194)*(입금_은행1!$AE$8:$AE$2007&lt;=설정!$B$5)*입금_은행1!$AE$8:$AE$2007)),SUMPRODUCT(MAX((입금_은행2!$AC$8:$AC$2007=$A194)*(입금_은행2!$AE$8:$AE$2007&lt;=설정!$B$5)*입금_은행2!$AE$8:$AE$2007)))))</f>
        <v/>
      </c>
      <c r="M194" s="38">
        <f>IF($U194="","",IF($T194="","",IF(INDEX(거래처설정!$F$8:$F$407,$T194)="","",INDEX(거래처설정!$F$8:$F$407,$T194))))</f>
        <v/>
      </c>
      <c r="N194" s="38">
        <f>IF($U194="","",IF($T194="","",IF(INDEX(거래처설정!$G$8:$G$407,$T194)="","",INDEX(거래처설정!$G$8:$G$407,$T194))))</f>
        <v/>
      </c>
      <c r="O194" s="38">
        <f>IF($U194="","",IF($M194="제외",0,IF($K194&gt;=설정!$B$9,3,IF($J194+$K194&gt;=설정!$B$9,2,IF($I194+$J194+$K194&gt;=설정!$B$9,1,0)))))</f>
        <v/>
      </c>
      <c r="P194" s="38">
        <f>IF($U194="","",IF($M194="제외","제외(조치 상태)",IF($O194=3,"③ 강한 독촉 후보 ("&amp;설정!$B$8&amp;"일 초과)",IF($O194=2,"② 독촉 후보 ("&amp;설정!$B$7&amp;"일 초과)",IF($O194=1,"① 안내 후보 ("&amp;설정!$B$6&amp;"일 초과)",IF($G194&gt;0,IF($I194+$J194+$K194&gt;0,"오래된 잔액 있음 (최소 금액 미만)","정상 범위"),IF($G194&lt;0,"선수금·초과입금 — 확인","완납")))))))</f>
        <v/>
      </c>
      <c r="Q194" s="38">
        <f>IF($U194="","",IF($G194&lt;0,"입금이 매출보다 큼 — 선수금이거나 다른 거래처 입금이 섞였는지 확인",IF(AND($AE194&lt;&gt;"",COUNTIF($AE$8:$AE$307,"*"&amp;$AE194&amp;"*")&gt;1),"이름이 다른 거래처와 겹침 — 입금이 잘못 맞았을 수 있으니 별칭 확인",IF(AND($G194&gt;0,$F194=0),"입금 매칭 없음 — 입금자명이 다르면 [거래처설정]에 별칭 등록",""))))</f>
        <v/>
      </c>
      <c r="R194" s="31">
        <f>IF(OR($U194="",$G194&lt;=0),"",$G194-$A194/10000)</f>
        <v/>
      </c>
      <c r="S194" s="31">
        <f>IF(OR($U194="",$O194&lt;1),"",$O194*10^11+$I194+$J194+$K194-$A194/1000)</f>
        <v/>
      </c>
      <c r="T194" s="31">
        <f>IF($U194="","",IFERROR(MATCH(INDEX(매출원본!$AU$8:$AU$2007,$U194),거래처설정!$I$8:$I$407,0),""))</f>
        <v/>
      </c>
      <c r="U194" s="31">
        <f>IFERROR(MATCH(187,매출원본!$AW$8:$AW$2007,0),"")</f>
        <v/>
      </c>
      <c r="V194" s="31">
        <f>IF($U194="","",MAX(SUMIFS(매출원본!$AT$8:$AT$2007,매출원본!$AY$8:$AY$2007,$A194,매출원본!$AS$8:$AS$2007,"&gt;="&amp;(설정!$B$5-설정!$B$6),매출원본!$AS$8:$AS$2007,"&lt;="&amp;설정!$B$5),0))</f>
        <v/>
      </c>
      <c r="W194" s="31">
        <f>IF($U194="","",MAX($V194,SUMIFS(매출원본!$AT$8:$AT$2007,매출원본!$AY$8:$AY$2007,$A194,매출원본!$AS$8:$AS$2007,"&gt;="&amp;(설정!$B$5-설정!$B$7),매출원본!$AS$8:$AS$2007,"&lt;="&amp;설정!$B$5)))</f>
        <v/>
      </c>
      <c r="X194" s="31">
        <f>IF($U194="","",MAX($W194,SUMIFS(매출원본!$AT$8:$AT$2007,매출원본!$AY$8:$AY$2007,$A194,매출원본!$AS$8:$AS$2007,"&gt;="&amp;(설정!$B$5-설정!$B$8),매출원본!$AS$8:$AS$2007,"&lt;="&amp;설정!$B$5)))</f>
        <v/>
      </c>
      <c r="AC194" s="31">
        <f>IF(OR($U194="",$T194=""),"",INDEX(거래처설정!$J$8:$J$407,$T194))</f>
        <v/>
      </c>
      <c r="AD194" s="31">
        <f>IF(OR($U194="",$T194=""),"",INDEX(거래처설정!$K$8:$K$407,$T194))</f>
        <v/>
      </c>
      <c r="AE194" s="31">
        <f>IF($U194="","",IF(LEN(SUBSTITUTE(SUBSTITUTE(SUBSTITUTE(SUBSTITUTE(SUBSTITUTE(SUBSTITUTE(SUBSTITUTE(SUBSTITUTE(SUBSTITUTE($C194," ",""),"　",""),"(주)",""),"（주）",""),"㈜",""),"주식회사",""),"(유)",""),"（유）",""),"유한회사",""))&lt;2,"",SUBSTITUTE(SUBSTITUTE(SUBSTITUTE(SUBSTITUTE(SUBSTITUTE(SUBSTITUTE(SUBSTITUTE(SUBSTITUTE(SUBSTITUTE($C194," ",""),"　",""),"(주)",""),"（주）",""),"㈜",""),"주식회사",""),"(유)",""),"（유）",""),"유한회사","")))</f>
        <v/>
      </c>
    </row>
    <row r="195">
      <c r="A195" s="38">
        <f>IF($U195="","",188)</f>
        <v/>
      </c>
      <c r="B195" s="38">
        <f>IF($U195="","",IF(LEN(INDEX(매출원본!$AU$8:$AU$2007,$U195))=10,LEFT(INDEX(매출원본!$AU$8:$AU$2007,$U195),3)&amp;"-"&amp;MID(INDEX(매출원본!$AU$8:$AU$2007,$U195),4,2)&amp;"-"&amp;RIGHT(INDEX(매출원본!$AU$8:$AU$2007,$U195),5),IF(LEFT(INDEX(매출원본!$AU$8:$AU$2007,$U195),2)="N:","(번호 없음)",INDEX(매출원본!$AU$8:$AU$2007,$U195))))</f>
        <v/>
      </c>
      <c r="C195" s="38">
        <f>IF($U195="","",INDEX(매출원본!$AV$8:$AV$2007,$U195))</f>
        <v/>
      </c>
      <c r="D195" s="39">
        <f>IF($U195="","",IF($T195="",0,N(INDEX(거래처설정!$E$8:$E$407,$T195))))</f>
        <v/>
      </c>
      <c r="E195" s="39">
        <f>IF($U195="","",SUMIFS(매출원본!$AT$8:$AT$2007,매출원본!$AY$8:$AY$2007,$A195,매출원본!$AS$8:$AS$2007,"&lt;="&amp;설정!$B$5))</f>
        <v/>
      </c>
      <c r="F195" s="39">
        <f>IF($U195="","",SUMIFS(입금_은행1!$Z$8:$Z$2007,입금_은행1!$AC$8:$AC$2007,$A195,입금_은행1!$Y$8:$Y$2007,"&lt;="&amp;설정!$B$5)+SUMIFS(입금_은행2!$Z$8:$Z$2007,입금_은행2!$AC$8:$AC$2007,$A195,입금_은행2!$Y$8:$Y$2007,"&lt;="&amp;설정!$B$5))</f>
        <v/>
      </c>
      <c r="G195" s="39">
        <f>IF($U195="","",$D195+$E195-$F195)</f>
        <v/>
      </c>
      <c r="H195" s="39">
        <f>IF($U195="","",MIN(MAX($G195,0),$V195))</f>
        <v/>
      </c>
      <c r="I195" s="39">
        <f>IF($U195="","",MIN(MAX($G195,0),$W195)-MIN(MAX($G195,0),$V195))</f>
        <v/>
      </c>
      <c r="J195" s="39">
        <f>IF($U195="","",MIN(MAX($G195,0),$X195)-MIN(MAX($G195,0),$W195))</f>
        <v/>
      </c>
      <c r="K195" s="39">
        <f>IF($U195="","",MAX($G195,0)-MIN(MAX($G195,0),$X195))</f>
        <v/>
      </c>
      <c r="L195" s="40">
        <f>IF($U195="","",IF(MAX(SUMPRODUCT(MAX((입금_은행1!$AC$8:$AC$2007=$A195)*(입금_은행1!$AE$8:$AE$2007&lt;=설정!$B$5)*입금_은행1!$AE$8:$AE$2007)),SUMPRODUCT(MAX((입금_은행2!$AC$8:$AC$2007=$A195)*(입금_은행2!$AE$8:$AE$2007&lt;=설정!$B$5)*입금_은행2!$AE$8:$AE$2007)))=0,"",MAX(SUMPRODUCT(MAX((입금_은행1!$AC$8:$AC$2007=$A195)*(입금_은행1!$AE$8:$AE$2007&lt;=설정!$B$5)*입금_은행1!$AE$8:$AE$2007)),SUMPRODUCT(MAX((입금_은행2!$AC$8:$AC$2007=$A195)*(입금_은행2!$AE$8:$AE$2007&lt;=설정!$B$5)*입금_은행2!$AE$8:$AE$2007)))))</f>
        <v/>
      </c>
      <c r="M195" s="38">
        <f>IF($U195="","",IF($T195="","",IF(INDEX(거래처설정!$F$8:$F$407,$T195)="","",INDEX(거래처설정!$F$8:$F$407,$T195))))</f>
        <v/>
      </c>
      <c r="N195" s="38">
        <f>IF($U195="","",IF($T195="","",IF(INDEX(거래처설정!$G$8:$G$407,$T195)="","",INDEX(거래처설정!$G$8:$G$407,$T195))))</f>
        <v/>
      </c>
      <c r="O195" s="38">
        <f>IF($U195="","",IF($M195="제외",0,IF($K195&gt;=설정!$B$9,3,IF($J195+$K195&gt;=설정!$B$9,2,IF($I195+$J195+$K195&gt;=설정!$B$9,1,0)))))</f>
        <v/>
      </c>
      <c r="P195" s="38">
        <f>IF($U195="","",IF($M195="제외","제외(조치 상태)",IF($O195=3,"③ 강한 독촉 후보 ("&amp;설정!$B$8&amp;"일 초과)",IF($O195=2,"② 독촉 후보 ("&amp;설정!$B$7&amp;"일 초과)",IF($O195=1,"① 안내 후보 ("&amp;설정!$B$6&amp;"일 초과)",IF($G195&gt;0,IF($I195+$J195+$K195&gt;0,"오래된 잔액 있음 (최소 금액 미만)","정상 범위"),IF($G195&lt;0,"선수금·초과입금 — 확인","완납")))))))</f>
        <v/>
      </c>
      <c r="Q195" s="38">
        <f>IF($U195="","",IF($G195&lt;0,"입금이 매출보다 큼 — 선수금이거나 다른 거래처 입금이 섞였는지 확인",IF(AND($AE195&lt;&gt;"",COUNTIF($AE$8:$AE$307,"*"&amp;$AE195&amp;"*")&gt;1),"이름이 다른 거래처와 겹침 — 입금이 잘못 맞았을 수 있으니 별칭 확인",IF(AND($G195&gt;0,$F195=0),"입금 매칭 없음 — 입금자명이 다르면 [거래처설정]에 별칭 등록",""))))</f>
        <v/>
      </c>
      <c r="R195" s="31">
        <f>IF(OR($U195="",$G195&lt;=0),"",$G195-$A195/10000)</f>
        <v/>
      </c>
      <c r="S195" s="31">
        <f>IF(OR($U195="",$O195&lt;1),"",$O195*10^11+$I195+$J195+$K195-$A195/1000)</f>
        <v/>
      </c>
      <c r="T195" s="31">
        <f>IF($U195="","",IFERROR(MATCH(INDEX(매출원본!$AU$8:$AU$2007,$U195),거래처설정!$I$8:$I$407,0),""))</f>
        <v/>
      </c>
      <c r="U195" s="31">
        <f>IFERROR(MATCH(188,매출원본!$AW$8:$AW$2007,0),"")</f>
        <v/>
      </c>
      <c r="V195" s="31">
        <f>IF($U195="","",MAX(SUMIFS(매출원본!$AT$8:$AT$2007,매출원본!$AY$8:$AY$2007,$A195,매출원본!$AS$8:$AS$2007,"&gt;="&amp;(설정!$B$5-설정!$B$6),매출원본!$AS$8:$AS$2007,"&lt;="&amp;설정!$B$5),0))</f>
        <v/>
      </c>
      <c r="W195" s="31">
        <f>IF($U195="","",MAX($V195,SUMIFS(매출원본!$AT$8:$AT$2007,매출원본!$AY$8:$AY$2007,$A195,매출원본!$AS$8:$AS$2007,"&gt;="&amp;(설정!$B$5-설정!$B$7),매출원본!$AS$8:$AS$2007,"&lt;="&amp;설정!$B$5)))</f>
        <v/>
      </c>
      <c r="X195" s="31">
        <f>IF($U195="","",MAX($W195,SUMIFS(매출원본!$AT$8:$AT$2007,매출원본!$AY$8:$AY$2007,$A195,매출원본!$AS$8:$AS$2007,"&gt;="&amp;(설정!$B$5-설정!$B$8),매출원본!$AS$8:$AS$2007,"&lt;="&amp;설정!$B$5)))</f>
        <v/>
      </c>
      <c r="AC195" s="31">
        <f>IF(OR($U195="",$T195=""),"",INDEX(거래처설정!$J$8:$J$407,$T195))</f>
        <v/>
      </c>
      <c r="AD195" s="31">
        <f>IF(OR($U195="",$T195=""),"",INDEX(거래처설정!$K$8:$K$407,$T195))</f>
        <v/>
      </c>
      <c r="AE195" s="31">
        <f>IF($U195="","",IF(LEN(SUBSTITUTE(SUBSTITUTE(SUBSTITUTE(SUBSTITUTE(SUBSTITUTE(SUBSTITUTE(SUBSTITUTE(SUBSTITUTE(SUBSTITUTE($C195," ",""),"　",""),"(주)",""),"（주）",""),"㈜",""),"주식회사",""),"(유)",""),"（유）",""),"유한회사",""))&lt;2,"",SUBSTITUTE(SUBSTITUTE(SUBSTITUTE(SUBSTITUTE(SUBSTITUTE(SUBSTITUTE(SUBSTITUTE(SUBSTITUTE(SUBSTITUTE($C195," ",""),"　",""),"(주)",""),"（주）",""),"㈜",""),"주식회사",""),"(유)",""),"（유）",""),"유한회사","")))</f>
        <v/>
      </c>
    </row>
    <row r="196">
      <c r="A196" s="38">
        <f>IF($U196="","",189)</f>
        <v/>
      </c>
      <c r="B196" s="38">
        <f>IF($U196="","",IF(LEN(INDEX(매출원본!$AU$8:$AU$2007,$U196))=10,LEFT(INDEX(매출원본!$AU$8:$AU$2007,$U196),3)&amp;"-"&amp;MID(INDEX(매출원본!$AU$8:$AU$2007,$U196),4,2)&amp;"-"&amp;RIGHT(INDEX(매출원본!$AU$8:$AU$2007,$U196),5),IF(LEFT(INDEX(매출원본!$AU$8:$AU$2007,$U196),2)="N:","(번호 없음)",INDEX(매출원본!$AU$8:$AU$2007,$U196))))</f>
        <v/>
      </c>
      <c r="C196" s="38">
        <f>IF($U196="","",INDEX(매출원본!$AV$8:$AV$2007,$U196))</f>
        <v/>
      </c>
      <c r="D196" s="39">
        <f>IF($U196="","",IF($T196="",0,N(INDEX(거래처설정!$E$8:$E$407,$T196))))</f>
        <v/>
      </c>
      <c r="E196" s="39">
        <f>IF($U196="","",SUMIFS(매출원본!$AT$8:$AT$2007,매출원본!$AY$8:$AY$2007,$A196,매출원본!$AS$8:$AS$2007,"&lt;="&amp;설정!$B$5))</f>
        <v/>
      </c>
      <c r="F196" s="39">
        <f>IF($U196="","",SUMIFS(입금_은행1!$Z$8:$Z$2007,입금_은행1!$AC$8:$AC$2007,$A196,입금_은행1!$Y$8:$Y$2007,"&lt;="&amp;설정!$B$5)+SUMIFS(입금_은행2!$Z$8:$Z$2007,입금_은행2!$AC$8:$AC$2007,$A196,입금_은행2!$Y$8:$Y$2007,"&lt;="&amp;설정!$B$5))</f>
        <v/>
      </c>
      <c r="G196" s="39">
        <f>IF($U196="","",$D196+$E196-$F196)</f>
        <v/>
      </c>
      <c r="H196" s="39">
        <f>IF($U196="","",MIN(MAX($G196,0),$V196))</f>
        <v/>
      </c>
      <c r="I196" s="39">
        <f>IF($U196="","",MIN(MAX($G196,0),$W196)-MIN(MAX($G196,0),$V196))</f>
        <v/>
      </c>
      <c r="J196" s="39">
        <f>IF($U196="","",MIN(MAX($G196,0),$X196)-MIN(MAX($G196,0),$W196))</f>
        <v/>
      </c>
      <c r="K196" s="39">
        <f>IF($U196="","",MAX($G196,0)-MIN(MAX($G196,0),$X196))</f>
        <v/>
      </c>
      <c r="L196" s="40">
        <f>IF($U196="","",IF(MAX(SUMPRODUCT(MAX((입금_은행1!$AC$8:$AC$2007=$A196)*(입금_은행1!$AE$8:$AE$2007&lt;=설정!$B$5)*입금_은행1!$AE$8:$AE$2007)),SUMPRODUCT(MAX((입금_은행2!$AC$8:$AC$2007=$A196)*(입금_은행2!$AE$8:$AE$2007&lt;=설정!$B$5)*입금_은행2!$AE$8:$AE$2007)))=0,"",MAX(SUMPRODUCT(MAX((입금_은행1!$AC$8:$AC$2007=$A196)*(입금_은행1!$AE$8:$AE$2007&lt;=설정!$B$5)*입금_은행1!$AE$8:$AE$2007)),SUMPRODUCT(MAX((입금_은행2!$AC$8:$AC$2007=$A196)*(입금_은행2!$AE$8:$AE$2007&lt;=설정!$B$5)*입금_은행2!$AE$8:$AE$2007)))))</f>
        <v/>
      </c>
      <c r="M196" s="38">
        <f>IF($U196="","",IF($T196="","",IF(INDEX(거래처설정!$F$8:$F$407,$T196)="","",INDEX(거래처설정!$F$8:$F$407,$T196))))</f>
        <v/>
      </c>
      <c r="N196" s="38">
        <f>IF($U196="","",IF($T196="","",IF(INDEX(거래처설정!$G$8:$G$407,$T196)="","",INDEX(거래처설정!$G$8:$G$407,$T196))))</f>
        <v/>
      </c>
      <c r="O196" s="38">
        <f>IF($U196="","",IF($M196="제외",0,IF($K196&gt;=설정!$B$9,3,IF($J196+$K196&gt;=설정!$B$9,2,IF($I196+$J196+$K196&gt;=설정!$B$9,1,0)))))</f>
        <v/>
      </c>
      <c r="P196" s="38">
        <f>IF($U196="","",IF($M196="제외","제외(조치 상태)",IF($O196=3,"③ 강한 독촉 후보 ("&amp;설정!$B$8&amp;"일 초과)",IF($O196=2,"② 독촉 후보 ("&amp;설정!$B$7&amp;"일 초과)",IF($O196=1,"① 안내 후보 ("&amp;설정!$B$6&amp;"일 초과)",IF($G196&gt;0,IF($I196+$J196+$K196&gt;0,"오래된 잔액 있음 (최소 금액 미만)","정상 범위"),IF($G196&lt;0,"선수금·초과입금 — 확인","완납")))))))</f>
        <v/>
      </c>
      <c r="Q196" s="38">
        <f>IF($U196="","",IF($G196&lt;0,"입금이 매출보다 큼 — 선수금이거나 다른 거래처 입금이 섞였는지 확인",IF(AND($AE196&lt;&gt;"",COUNTIF($AE$8:$AE$307,"*"&amp;$AE196&amp;"*")&gt;1),"이름이 다른 거래처와 겹침 — 입금이 잘못 맞았을 수 있으니 별칭 확인",IF(AND($G196&gt;0,$F196=0),"입금 매칭 없음 — 입금자명이 다르면 [거래처설정]에 별칭 등록",""))))</f>
        <v/>
      </c>
      <c r="R196" s="31">
        <f>IF(OR($U196="",$G196&lt;=0),"",$G196-$A196/10000)</f>
        <v/>
      </c>
      <c r="S196" s="31">
        <f>IF(OR($U196="",$O196&lt;1),"",$O196*10^11+$I196+$J196+$K196-$A196/1000)</f>
        <v/>
      </c>
      <c r="T196" s="31">
        <f>IF($U196="","",IFERROR(MATCH(INDEX(매출원본!$AU$8:$AU$2007,$U196),거래처설정!$I$8:$I$407,0),""))</f>
        <v/>
      </c>
      <c r="U196" s="31">
        <f>IFERROR(MATCH(189,매출원본!$AW$8:$AW$2007,0),"")</f>
        <v/>
      </c>
      <c r="V196" s="31">
        <f>IF($U196="","",MAX(SUMIFS(매출원본!$AT$8:$AT$2007,매출원본!$AY$8:$AY$2007,$A196,매출원본!$AS$8:$AS$2007,"&gt;="&amp;(설정!$B$5-설정!$B$6),매출원본!$AS$8:$AS$2007,"&lt;="&amp;설정!$B$5),0))</f>
        <v/>
      </c>
      <c r="W196" s="31">
        <f>IF($U196="","",MAX($V196,SUMIFS(매출원본!$AT$8:$AT$2007,매출원본!$AY$8:$AY$2007,$A196,매출원본!$AS$8:$AS$2007,"&gt;="&amp;(설정!$B$5-설정!$B$7),매출원본!$AS$8:$AS$2007,"&lt;="&amp;설정!$B$5)))</f>
        <v/>
      </c>
      <c r="X196" s="31">
        <f>IF($U196="","",MAX($W196,SUMIFS(매출원본!$AT$8:$AT$2007,매출원본!$AY$8:$AY$2007,$A196,매출원본!$AS$8:$AS$2007,"&gt;="&amp;(설정!$B$5-설정!$B$8),매출원본!$AS$8:$AS$2007,"&lt;="&amp;설정!$B$5)))</f>
        <v/>
      </c>
      <c r="AC196" s="31">
        <f>IF(OR($U196="",$T196=""),"",INDEX(거래처설정!$J$8:$J$407,$T196))</f>
        <v/>
      </c>
      <c r="AD196" s="31">
        <f>IF(OR($U196="",$T196=""),"",INDEX(거래처설정!$K$8:$K$407,$T196))</f>
        <v/>
      </c>
      <c r="AE196" s="31">
        <f>IF($U196="","",IF(LEN(SUBSTITUTE(SUBSTITUTE(SUBSTITUTE(SUBSTITUTE(SUBSTITUTE(SUBSTITUTE(SUBSTITUTE(SUBSTITUTE(SUBSTITUTE($C196," ",""),"　",""),"(주)",""),"（주）",""),"㈜",""),"주식회사",""),"(유)",""),"（유）",""),"유한회사",""))&lt;2,"",SUBSTITUTE(SUBSTITUTE(SUBSTITUTE(SUBSTITUTE(SUBSTITUTE(SUBSTITUTE(SUBSTITUTE(SUBSTITUTE(SUBSTITUTE($C196," ",""),"　",""),"(주)",""),"（주）",""),"㈜",""),"주식회사",""),"(유)",""),"（유）",""),"유한회사","")))</f>
        <v/>
      </c>
    </row>
    <row r="197">
      <c r="A197" s="38">
        <f>IF($U197="","",190)</f>
        <v/>
      </c>
      <c r="B197" s="38">
        <f>IF($U197="","",IF(LEN(INDEX(매출원본!$AU$8:$AU$2007,$U197))=10,LEFT(INDEX(매출원본!$AU$8:$AU$2007,$U197),3)&amp;"-"&amp;MID(INDEX(매출원본!$AU$8:$AU$2007,$U197),4,2)&amp;"-"&amp;RIGHT(INDEX(매출원본!$AU$8:$AU$2007,$U197),5),IF(LEFT(INDEX(매출원본!$AU$8:$AU$2007,$U197),2)="N:","(번호 없음)",INDEX(매출원본!$AU$8:$AU$2007,$U197))))</f>
        <v/>
      </c>
      <c r="C197" s="38">
        <f>IF($U197="","",INDEX(매출원본!$AV$8:$AV$2007,$U197))</f>
        <v/>
      </c>
      <c r="D197" s="39">
        <f>IF($U197="","",IF($T197="",0,N(INDEX(거래처설정!$E$8:$E$407,$T197))))</f>
        <v/>
      </c>
      <c r="E197" s="39">
        <f>IF($U197="","",SUMIFS(매출원본!$AT$8:$AT$2007,매출원본!$AY$8:$AY$2007,$A197,매출원본!$AS$8:$AS$2007,"&lt;="&amp;설정!$B$5))</f>
        <v/>
      </c>
      <c r="F197" s="39">
        <f>IF($U197="","",SUMIFS(입금_은행1!$Z$8:$Z$2007,입금_은행1!$AC$8:$AC$2007,$A197,입금_은행1!$Y$8:$Y$2007,"&lt;="&amp;설정!$B$5)+SUMIFS(입금_은행2!$Z$8:$Z$2007,입금_은행2!$AC$8:$AC$2007,$A197,입금_은행2!$Y$8:$Y$2007,"&lt;="&amp;설정!$B$5))</f>
        <v/>
      </c>
      <c r="G197" s="39">
        <f>IF($U197="","",$D197+$E197-$F197)</f>
        <v/>
      </c>
      <c r="H197" s="39">
        <f>IF($U197="","",MIN(MAX($G197,0),$V197))</f>
        <v/>
      </c>
      <c r="I197" s="39">
        <f>IF($U197="","",MIN(MAX($G197,0),$W197)-MIN(MAX($G197,0),$V197))</f>
        <v/>
      </c>
      <c r="J197" s="39">
        <f>IF($U197="","",MIN(MAX($G197,0),$X197)-MIN(MAX($G197,0),$W197))</f>
        <v/>
      </c>
      <c r="K197" s="39">
        <f>IF($U197="","",MAX($G197,0)-MIN(MAX($G197,0),$X197))</f>
        <v/>
      </c>
      <c r="L197" s="40">
        <f>IF($U197="","",IF(MAX(SUMPRODUCT(MAX((입금_은행1!$AC$8:$AC$2007=$A197)*(입금_은행1!$AE$8:$AE$2007&lt;=설정!$B$5)*입금_은행1!$AE$8:$AE$2007)),SUMPRODUCT(MAX((입금_은행2!$AC$8:$AC$2007=$A197)*(입금_은행2!$AE$8:$AE$2007&lt;=설정!$B$5)*입금_은행2!$AE$8:$AE$2007)))=0,"",MAX(SUMPRODUCT(MAX((입금_은행1!$AC$8:$AC$2007=$A197)*(입금_은행1!$AE$8:$AE$2007&lt;=설정!$B$5)*입금_은행1!$AE$8:$AE$2007)),SUMPRODUCT(MAX((입금_은행2!$AC$8:$AC$2007=$A197)*(입금_은행2!$AE$8:$AE$2007&lt;=설정!$B$5)*입금_은행2!$AE$8:$AE$2007)))))</f>
        <v/>
      </c>
      <c r="M197" s="38">
        <f>IF($U197="","",IF($T197="","",IF(INDEX(거래처설정!$F$8:$F$407,$T197)="","",INDEX(거래처설정!$F$8:$F$407,$T197))))</f>
        <v/>
      </c>
      <c r="N197" s="38">
        <f>IF($U197="","",IF($T197="","",IF(INDEX(거래처설정!$G$8:$G$407,$T197)="","",INDEX(거래처설정!$G$8:$G$407,$T197))))</f>
        <v/>
      </c>
      <c r="O197" s="38">
        <f>IF($U197="","",IF($M197="제외",0,IF($K197&gt;=설정!$B$9,3,IF($J197+$K197&gt;=설정!$B$9,2,IF($I197+$J197+$K197&gt;=설정!$B$9,1,0)))))</f>
        <v/>
      </c>
      <c r="P197" s="38">
        <f>IF($U197="","",IF($M197="제외","제외(조치 상태)",IF($O197=3,"③ 강한 독촉 후보 ("&amp;설정!$B$8&amp;"일 초과)",IF($O197=2,"② 독촉 후보 ("&amp;설정!$B$7&amp;"일 초과)",IF($O197=1,"① 안내 후보 ("&amp;설정!$B$6&amp;"일 초과)",IF($G197&gt;0,IF($I197+$J197+$K197&gt;0,"오래된 잔액 있음 (최소 금액 미만)","정상 범위"),IF($G197&lt;0,"선수금·초과입금 — 확인","완납")))))))</f>
        <v/>
      </c>
      <c r="Q197" s="38">
        <f>IF($U197="","",IF($G197&lt;0,"입금이 매출보다 큼 — 선수금이거나 다른 거래처 입금이 섞였는지 확인",IF(AND($AE197&lt;&gt;"",COUNTIF($AE$8:$AE$307,"*"&amp;$AE197&amp;"*")&gt;1),"이름이 다른 거래처와 겹침 — 입금이 잘못 맞았을 수 있으니 별칭 확인",IF(AND($G197&gt;0,$F197=0),"입금 매칭 없음 — 입금자명이 다르면 [거래처설정]에 별칭 등록",""))))</f>
        <v/>
      </c>
      <c r="R197" s="31">
        <f>IF(OR($U197="",$G197&lt;=0),"",$G197-$A197/10000)</f>
        <v/>
      </c>
      <c r="S197" s="31">
        <f>IF(OR($U197="",$O197&lt;1),"",$O197*10^11+$I197+$J197+$K197-$A197/1000)</f>
        <v/>
      </c>
      <c r="T197" s="31">
        <f>IF($U197="","",IFERROR(MATCH(INDEX(매출원본!$AU$8:$AU$2007,$U197),거래처설정!$I$8:$I$407,0),""))</f>
        <v/>
      </c>
      <c r="U197" s="31">
        <f>IFERROR(MATCH(190,매출원본!$AW$8:$AW$2007,0),"")</f>
        <v/>
      </c>
      <c r="V197" s="31">
        <f>IF($U197="","",MAX(SUMIFS(매출원본!$AT$8:$AT$2007,매출원본!$AY$8:$AY$2007,$A197,매출원본!$AS$8:$AS$2007,"&gt;="&amp;(설정!$B$5-설정!$B$6),매출원본!$AS$8:$AS$2007,"&lt;="&amp;설정!$B$5),0))</f>
        <v/>
      </c>
      <c r="W197" s="31">
        <f>IF($U197="","",MAX($V197,SUMIFS(매출원본!$AT$8:$AT$2007,매출원본!$AY$8:$AY$2007,$A197,매출원본!$AS$8:$AS$2007,"&gt;="&amp;(설정!$B$5-설정!$B$7),매출원본!$AS$8:$AS$2007,"&lt;="&amp;설정!$B$5)))</f>
        <v/>
      </c>
      <c r="X197" s="31">
        <f>IF($U197="","",MAX($W197,SUMIFS(매출원본!$AT$8:$AT$2007,매출원본!$AY$8:$AY$2007,$A197,매출원본!$AS$8:$AS$2007,"&gt;="&amp;(설정!$B$5-설정!$B$8),매출원본!$AS$8:$AS$2007,"&lt;="&amp;설정!$B$5)))</f>
        <v/>
      </c>
      <c r="AC197" s="31">
        <f>IF(OR($U197="",$T197=""),"",INDEX(거래처설정!$J$8:$J$407,$T197))</f>
        <v/>
      </c>
      <c r="AD197" s="31">
        <f>IF(OR($U197="",$T197=""),"",INDEX(거래처설정!$K$8:$K$407,$T197))</f>
        <v/>
      </c>
      <c r="AE197" s="31">
        <f>IF($U197="","",IF(LEN(SUBSTITUTE(SUBSTITUTE(SUBSTITUTE(SUBSTITUTE(SUBSTITUTE(SUBSTITUTE(SUBSTITUTE(SUBSTITUTE(SUBSTITUTE($C197," ",""),"　",""),"(주)",""),"（주）",""),"㈜",""),"주식회사",""),"(유)",""),"（유）",""),"유한회사",""))&lt;2,"",SUBSTITUTE(SUBSTITUTE(SUBSTITUTE(SUBSTITUTE(SUBSTITUTE(SUBSTITUTE(SUBSTITUTE(SUBSTITUTE(SUBSTITUTE($C197," ",""),"　",""),"(주)",""),"（주）",""),"㈜",""),"주식회사",""),"(유)",""),"（유）",""),"유한회사","")))</f>
        <v/>
      </c>
    </row>
    <row r="198">
      <c r="A198" s="38">
        <f>IF($U198="","",191)</f>
        <v/>
      </c>
      <c r="B198" s="38">
        <f>IF($U198="","",IF(LEN(INDEX(매출원본!$AU$8:$AU$2007,$U198))=10,LEFT(INDEX(매출원본!$AU$8:$AU$2007,$U198),3)&amp;"-"&amp;MID(INDEX(매출원본!$AU$8:$AU$2007,$U198),4,2)&amp;"-"&amp;RIGHT(INDEX(매출원본!$AU$8:$AU$2007,$U198),5),IF(LEFT(INDEX(매출원본!$AU$8:$AU$2007,$U198),2)="N:","(번호 없음)",INDEX(매출원본!$AU$8:$AU$2007,$U198))))</f>
        <v/>
      </c>
      <c r="C198" s="38">
        <f>IF($U198="","",INDEX(매출원본!$AV$8:$AV$2007,$U198))</f>
        <v/>
      </c>
      <c r="D198" s="39">
        <f>IF($U198="","",IF($T198="",0,N(INDEX(거래처설정!$E$8:$E$407,$T198))))</f>
        <v/>
      </c>
      <c r="E198" s="39">
        <f>IF($U198="","",SUMIFS(매출원본!$AT$8:$AT$2007,매출원본!$AY$8:$AY$2007,$A198,매출원본!$AS$8:$AS$2007,"&lt;="&amp;설정!$B$5))</f>
        <v/>
      </c>
      <c r="F198" s="39">
        <f>IF($U198="","",SUMIFS(입금_은행1!$Z$8:$Z$2007,입금_은행1!$AC$8:$AC$2007,$A198,입금_은행1!$Y$8:$Y$2007,"&lt;="&amp;설정!$B$5)+SUMIFS(입금_은행2!$Z$8:$Z$2007,입금_은행2!$AC$8:$AC$2007,$A198,입금_은행2!$Y$8:$Y$2007,"&lt;="&amp;설정!$B$5))</f>
        <v/>
      </c>
      <c r="G198" s="39">
        <f>IF($U198="","",$D198+$E198-$F198)</f>
        <v/>
      </c>
      <c r="H198" s="39">
        <f>IF($U198="","",MIN(MAX($G198,0),$V198))</f>
        <v/>
      </c>
      <c r="I198" s="39">
        <f>IF($U198="","",MIN(MAX($G198,0),$W198)-MIN(MAX($G198,0),$V198))</f>
        <v/>
      </c>
      <c r="J198" s="39">
        <f>IF($U198="","",MIN(MAX($G198,0),$X198)-MIN(MAX($G198,0),$W198))</f>
        <v/>
      </c>
      <c r="K198" s="39">
        <f>IF($U198="","",MAX($G198,0)-MIN(MAX($G198,0),$X198))</f>
        <v/>
      </c>
      <c r="L198" s="40">
        <f>IF($U198="","",IF(MAX(SUMPRODUCT(MAX((입금_은행1!$AC$8:$AC$2007=$A198)*(입금_은행1!$AE$8:$AE$2007&lt;=설정!$B$5)*입금_은행1!$AE$8:$AE$2007)),SUMPRODUCT(MAX((입금_은행2!$AC$8:$AC$2007=$A198)*(입금_은행2!$AE$8:$AE$2007&lt;=설정!$B$5)*입금_은행2!$AE$8:$AE$2007)))=0,"",MAX(SUMPRODUCT(MAX((입금_은행1!$AC$8:$AC$2007=$A198)*(입금_은행1!$AE$8:$AE$2007&lt;=설정!$B$5)*입금_은행1!$AE$8:$AE$2007)),SUMPRODUCT(MAX((입금_은행2!$AC$8:$AC$2007=$A198)*(입금_은행2!$AE$8:$AE$2007&lt;=설정!$B$5)*입금_은행2!$AE$8:$AE$2007)))))</f>
        <v/>
      </c>
      <c r="M198" s="38">
        <f>IF($U198="","",IF($T198="","",IF(INDEX(거래처설정!$F$8:$F$407,$T198)="","",INDEX(거래처설정!$F$8:$F$407,$T198))))</f>
        <v/>
      </c>
      <c r="N198" s="38">
        <f>IF($U198="","",IF($T198="","",IF(INDEX(거래처설정!$G$8:$G$407,$T198)="","",INDEX(거래처설정!$G$8:$G$407,$T198))))</f>
        <v/>
      </c>
      <c r="O198" s="38">
        <f>IF($U198="","",IF($M198="제외",0,IF($K198&gt;=설정!$B$9,3,IF($J198+$K198&gt;=설정!$B$9,2,IF($I198+$J198+$K198&gt;=설정!$B$9,1,0)))))</f>
        <v/>
      </c>
      <c r="P198" s="38">
        <f>IF($U198="","",IF($M198="제외","제외(조치 상태)",IF($O198=3,"③ 강한 독촉 후보 ("&amp;설정!$B$8&amp;"일 초과)",IF($O198=2,"② 독촉 후보 ("&amp;설정!$B$7&amp;"일 초과)",IF($O198=1,"① 안내 후보 ("&amp;설정!$B$6&amp;"일 초과)",IF($G198&gt;0,IF($I198+$J198+$K198&gt;0,"오래된 잔액 있음 (최소 금액 미만)","정상 범위"),IF($G198&lt;0,"선수금·초과입금 — 확인","완납")))))))</f>
        <v/>
      </c>
      <c r="Q198" s="38">
        <f>IF($U198="","",IF($G198&lt;0,"입금이 매출보다 큼 — 선수금이거나 다른 거래처 입금이 섞였는지 확인",IF(AND($AE198&lt;&gt;"",COUNTIF($AE$8:$AE$307,"*"&amp;$AE198&amp;"*")&gt;1),"이름이 다른 거래처와 겹침 — 입금이 잘못 맞았을 수 있으니 별칭 확인",IF(AND($G198&gt;0,$F198=0),"입금 매칭 없음 — 입금자명이 다르면 [거래처설정]에 별칭 등록",""))))</f>
        <v/>
      </c>
      <c r="R198" s="31">
        <f>IF(OR($U198="",$G198&lt;=0),"",$G198-$A198/10000)</f>
        <v/>
      </c>
      <c r="S198" s="31">
        <f>IF(OR($U198="",$O198&lt;1),"",$O198*10^11+$I198+$J198+$K198-$A198/1000)</f>
        <v/>
      </c>
      <c r="T198" s="31">
        <f>IF($U198="","",IFERROR(MATCH(INDEX(매출원본!$AU$8:$AU$2007,$U198),거래처설정!$I$8:$I$407,0),""))</f>
        <v/>
      </c>
      <c r="U198" s="31">
        <f>IFERROR(MATCH(191,매출원본!$AW$8:$AW$2007,0),"")</f>
        <v/>
      </c>
      <c r="V198" s="31">
        <f>IF($U198="","",MAX(SUMIFS(매출원본!$AT$8:$AT$2007,매출원본!$AY$8:$AY$2007,$A198,매출원본!$AS$8:$AS$2007,"&gt;="&amp;(설정!$B$5-설정!$B$6),매출원본!$AS$8:$AS$2007,"&lt;="&amp;설정!$B$5),0))</f>
        <v/>
      </c>
      <c r="W198" s="31">
        <f>IF($U198="","",MAX($V198,SUMIFS(매출원본!$AT$8:$AT$2007,매출원본!$AY$8:$AY$2007,$A198,매출원본!$AS$8:$AS$2007,"&gt;="&amp;(설정!$B$5-설정!$B$7),매출원본!$AS$8:$AS$2007,"&lt;="&amp;설정!$B$5)))</f>
        <v/>
      </c>
      <c r="X198" s="31">
        <f>IF($U198="","",MAX($W198,SUMIFS(매출원본!$AT$8:$AT$2007,매출원본!$AY$8:$AY$2007,$A198,매출원본!$AS$8:$AS$2007,"&gt;="&amp;(설정!$B$5-설정!$B$8),매출원본!$AS$8:$AS$2007,"&lt;="&amp;설정!$B$5)))</f>
        <v/>
      </c>
      <c r="AC198" s="31">
        <f>IF(OR($U198="",$T198=""),"",INDEX(거래처설정!$J$8:$J$407,$T198))</f>
        <v/>
      </c>
      <c r="AD198" s="31">
        <f>IF(OR($U198="",$T198=""),"",INDEX(거래처설정!$K$8:$K$407,$T198))</f>
        <v/>
      </c>
      <c r="AE198" s="31">
        <f>IF($U198="","",IF(LEN(SUBSTITUTE(SUBSTITUTE(SUBSTITUTE(SUBSTITUTE(SUBSTITUTE(SUBSTITUTE(SUBSTITUTE(SUBSTITUTE(SUBSTITUTE($C198," ",""),"　",""),"(주)",""),"（주）",""),"㈜",""),"주식회사",""),"(유)",""),"（유）",""),"유한회사",""))&lt;2,"",SUBSTITUTE(SUBSTITUTE(SUBSTITUTE(SUBSTITUTE(SUBSTITUTE(SUBSTITUTE(SUBSTITUTE(SUBSTITUTE(SUBSTITUTE($C198," ",""),"　",""),"(주)",""),"（주）",""),"㈜",""),"주식회사",""),"(유)",""),"（유）",""),"유한회사","")))</f>
        <v/>
      </c>
    </row>
    <row r="199">
      <c r="A199" s="38">
        <f>IF($U199="","",192)</f>
        <v/>
      </c>
      <c r="B199" s="38">
        <f>IF($U199="","",IF(LEN(INDEX(매출원본!$AU$8:$AU$2007,$U199))=10,LEFT(INDEX(매출원본!$AU$8:$AU$2007,$U199),3)&amp;"-"&amp;MID(INDEX(매출원본!$AU$8:$AU$2007,$U199),4,2)&amp;"-"&amp;RIGHT(INDEX(매출원본!$AU$8:$AU$2007,$U199),5),IF(LEFT(INDEX(매출원본!$AU$8:$AU$2007,$U199),2)="N:","(번호 없음)",INDEX(매출원본!$AU$8:$AU$2007,$U199))))</f>
        <v/>
      </c>
      <c r="C199" s="38">
        <f>IF($U199="","",INDEX(매출원본!$AV$8:$AV$2007,$U199))</f>
        <v/>
      </c>
      <c r="D199" s="39">
        <f>IF($U199="","",IF($T199="",0,N(INDEX(거래처설정!$E$8:$E$407,$T199))))</f>
        <v/>
      </c>
      <c r="E199" s="39">
        <f>IF($U199="","",SUMIFS(매출원본!$AT$8:$AT$2007,매출원본!$AY$8:$AY$2007,$A199,매출원본!$AS$8:$AS$2007,"&lt;="&amp;설정!$B$5))</f>
        <v/>
      </c>
      <c r="F199" s="39">
        <f>IF($U199="","",SUMIFS(입금_은행1!$Z$8:$Z$2007,입금_은행1!$AC$8:$AC$2007,$A199,입금_은행1!$Y$8:$Y$2007,"&lt;="&amp;설정!$B$5)+SUMIFS(입금_은행2!$Z$8:$Z$2007,입금_은행2!$AC$8:$AC$2007,$A199,입금_은행2!$Y$8:$Y$2007,"&lt;="&amp;설정!$B$5))</f>
        <v/>
      </c>
      <c r="G199" s="39">
        <f>IF($U199="","",$D199+$E199-$F199)</f>
        <v/>
      </c>
      <c r="H199" s="39">
        <f>IF($U199="","",MIN(MAX($G199,0),$V199))</f>
        <v/>
      </c>
      <c r="I199" s="39">
        <f>IF($U199="","",MIN(MAX($G199,0),$W199)-MIN(MAX($G199,0),$V199))</f>
        <v/>
      </c>
      <c r="J199" s="39">
        <f>IF($U199="","",MIN(MAX($G199,0),$X199)-MIN(MAX($G199,0),$W199))</f>
        <v/>
      </c>
      <c r="K199" s="39">
        <f>IF($U199="","",MAX($G199,0)-MIN(MAX($G199,0),$X199))</f>
        <v/>
      </c>
      <c r="L199" s="40">
        <f>IF($U199="","",IF(MAX(SUMPRODUCT(MAX((입금_은행1!$AC$8:$AC$2007=$A199)*(입금_은행1!$AE$8:$AE$2007&lt;=설정!$B$5)*입금_은행1!$AE$8:$AE$2007)),SUMPRODUCT(MAX((입금_은행2!$AC$8:$AC$2007=$A199)*(입금_은행2!$AE$8:$AE$2007&lt;=설정!$B$5)*입금_은행2!$AE$8:$AE$2007)))=0,"",MAX(SUMPRODUCT(MAX((입금_은행1!$AC$8:$AC$2007=$A199)*(입금_은행1!$AE$8:$AE$2007&lt;=설정!$B$5)*입금_은행1!$AE$8:$AE$2007)),SUMPRODUCT(MAX((입금_은행2!$AC$8:$AC$2007=$A199)*(입금_은행2!$AE$8:$AE$2007&lt;=설정!$B$5)*입금_은행2!$AE$8:$AE$2007)))))</f>
        <v/>
      </c>
      <c r="M199" s="38">
        <f>IF($U199="","",IF($T199="","",IF(INDEX(거래처설정!$F$8:$F$407,$T199)="","",INDEX(거래처설정!$F$8:$F$407,$T199))))</f>
        <v/>
      </c>
      <c r="N199" s="38">
        <f>IF($U199="","",IF($T199="","",IF(INDEX(거래처설정!$G$8:$G$407,$T199)="","",INDEX(거래처설정!$G$8:$G$407,$T199))))</f>
        <v/>
      </c>
      <c r="O199" s="38">
        <f>IF($U199="","",IF($M199="제외",0,IF($K199&gt;=설정!$B$9,3,IF($J199+$K199&gt;=설정!$B$9,2,IF($I199+$J199+$K199&gt;=설정!$B$9,1,0)))))</f>
        <v/>
      </c>
      <c r="P199" s="38">
        <f>IF($U199="","",IF($M199="제외","제외(조치 상태)",IF($O199=3,"③ 강한 독촉 후보 ("&amp;설정!$B$8&amp;"일 초과)",IF($O199=2,"② 독촉 후보 ("&amp;설정!$B$7&amp;"일 초과)",IF($O199=1,"① 안내 후보 ("&amp;설정!$B$6&amp;"일 초과)",IF($G199&gt;0,IF($I199+$J199+$K199&gt;0,"오래된 잔액 있음 (최소 금액 미만)","정상 범위"),IF($G199&lt;0,"선수금·초과입금 — 확인","완납")))))))</f>
        <v/>
      </c>
      <c r="Q199" s="38">
        <f>IF($U199="","",IF($G199&lt;0,"입금이 매출보다 큼 — 선수금이거나 다른 거래처 입금이 섞였는지 확인",IF(AND($AE199&lt;&gt;"",COUNTIF($AE$8:$AE$307,"*"&amp;$AE199&amp;"*")&gt;1),"이름이 다른 거래처와 겹침 — 입금이 잘못 맞았을 수 있으니 별칭 확인",IF(AND($G199&gt;0,$F199=0),"입금 매칭 없음 — 입금자명이 다르면 [거래처설정]에 별칭 등록",""))))</f>
        <v/>
      </c>
      <c r="R199" s="31">
        <f>IF(OR($U199="",$G199&lt;=0),"",$G199-$A199/10000)</f>
        <v/>
      </c>
      <c r="S199" s="31">
        <f>IF(OR($U199="",$O199&lt;1),"",$O199*10^11+$I199+$J199+$K199-$A199/1000)</f>
        <v/>
      </c>
      <c r="T199" s="31">
        <f>IF($U199="","",IFERROR(MATCH(INDEX(매출원본!$AU$8:$AU$2007,$U199),거래처설정!$I$8:$I$407,0),""))</f>
        <v/>
      </c>
      <c r="U199" s="31">
        <f>IFERROR(MATCH(192,매출원본!$AW$8:$AW$2007,0),"")</f>
        <v/>
      </c>
      <c r="V199" s="31">
        <f>IF($U199="","",MAX(SUMIFS(매출원본!$AT$8:$AT$2007,매출원본!$AY$8:$AY$2007,$A199,매출원본!$AS$8:$AS$2007,"&gt;="&amp;(설정!$B$5-설정!$B$6),매출원본!$AS$8:$AS$2007,"&lt;="&amp;설정!$B$5),0))</f>
        <v/>
      </c>
      <c r="W199" s="31">
        <f>IF($U199="","",MAX($V199,SUMIFS(매출원본!$AT$8:$AT$2007,매출원본!$AY$8:$AY$2007,$A199,매출원본!$AS$8:$AS$2007,"&gt;="&amp;(설정!$B$5-설정!$B$7),매출원본!$AS$8:$AS$2007,"&lt;="&amp;설정!$B$5)))</f>
        <v/>
      </c>
      <c r="X199" s="31">
        <f>IF($U199="","",MAX($W199,SUMIFS(매출원본!$AT$8:$AT$2007,매출원본!$AY$8:$AY$2007,$A199,매출원본!$AS$8:$AS$2007,"&gt;="&amp;(설정!$B$5-설정!$B$8),매출원본!$AS$8:$AS$2007,"&lt;="&amp;설정!$B$5)))</f>
        <v/>
      </c>
      <c r="AC199" s="31">
        <f>IF(OR($U199="",$T199=""),"",INDEX(거래처설정!$J$8:$J$407,$T199))</f>
        <v/>
      </c>
      <c r="AD199" s="31">
        <f>IF(OR($U199="",$T199=""),"",INDEX(거래처설정!$K$8:$K$407,$T199))</f>
        <v/>
      </c>
      <c r="AE199" s="31">
        <f>IF($U199="","",IF(LEN(SUBSTITUTE(SUBSTITUTE(SUBSTITUTE(SUBSTITUTE(SUBSTITUTE(SUBSTITUTE(SUBSTITUTE(SUBSTITUTE(SUBSTITUTE($C199," ",""),"　",""),"(주)",""),"（주）",""),"㈜",""),"주식회사",""),"(유)",""),"（유）",""),"유한회사",""))&lt;2,"",SUBSTITUTE(SUBSTITUTE(SUBSTITUTE(SUBSTITUTE(SUBSTITUTE(SUBSTITUTE(SUBSTITUTE(SUBSTITUTE(SUBSTITUTE($C199," ",""),"　",""),"(주)",""),"（주）",""),"㈜",""),"주식회사",""),"(유)",""),"（유）",""),"유한회사","")))</f>
        <v/>
      </c>
    </row>
    <row r="200">
      <c r="A200" s="38">
        <f>IF($U200="","",193)</f>
        <v/>
      </c>
      <c r="B200" s="38">
        <f>IF($U200="","",IF(LEN(INDEX(매출원본!$AU$8:$AU$2007,$U200))=10,LEFT(INDEX(매출원본!$AU$8:$AU$2007,$U200),3)&amp;"-"&amp;MID(INDEX(매출원본!$AU$8:$AU$2007,$U200),4,2)&amp;"-"&amp;RIGHT(INDEX(매출원본!$AU$8:$AU$2007,$U200),5),IF(LEFT(INDEX(매출원본!$AU$8:$AU$2007,$U200),2)="N:","(번호 없음)",INDEX(매출원본!$AU$8:$AU$2007,$U200))))</f>
        <v/>
      </c>
      <c r="C200" s="38">
        <f>IF($U200="","",INDEX(매출원본!$AV$8:$AV$2007,$U200))</f>
        <v/>
      </c>
      <c r="D200" s="39">
        <f>IF($U200="","",IF($T200="",0,N(INDEX(거래처설정!$E$8:$E$407,$T200))))</f>
        <v/>
      </c>
      <c r="E200" s="39">
        <f>IF($U200="","",SUMIFS(매출원본!$AT$8:$AT$2007,매출원본!$AY$8:$AY$2007,$A200,매출원본!$AS$8:$AS$2007,"&lt;="&amp;설정!$B$5))</f>
        <v/>
      </c>
      <c r="F200" s="39">
        <f>IF($U200="","",SUMIFS(입금_은행1!$Z$8:$Z$2007,입금_은행1!$AC$8:$AC$2007,$A200,입금_은행1!$Y$8:$Y$2007,"&lt;="&amp;설정!$B$5)+SUMIFS(입금_은행2!$Z$8:$Z$2007,입금_은행2!$AC$8:$AC$2007,$A200,입금_은행2!$Y$8:$Y$2007,"&lt;="&amp;설정!$B$5))</f>
        <v/>
      </c>
      <c r="G200" s="39">
        <f>IF($U200="","",$D200+$E200-$F200)</f>
        <v/>
      </c>
      <c r="H200" s="39">
        <f>IF($U200="","",MIN(MAX($G200,0),$V200))</f>
        <v/>
      </c>
      <c r="I200" s="39">
        <f>IF($U200="","",MIN(MAX($G200,0),$W200)-MIN(MAX($G200,0),$V200))</f>
        <v/>
      </c>
      <c r="J200" s="39">
        <f>IF($U200="","",MIN(MAX($G200,0),$X200)-MIN(MAX($G200,0),$W200))</f>
        <v/>
      </c>
      <c r="K200" s="39">
        <f>IF($U200="","",MAX($G200,0)-MIN(MAX($G200,0),$X200))</f>
        <v/>
      </c>
      <c r="L200" s="40">
        <f>IF($U200="","",IF(MAX(SUMPRODUCT(MAX((입금_은행1!$AC$8:$AC$2007=$A200)*(입금_은행1!$AE$8:$AE$2007&lt;=설정!$B$5)*입금_은행1!$AE$8:$AE$2007)),SUMPRODUCT(MAX((입금_은행2!$AC$8:$AC$2007=$A200)*(입금_은행2!$AE$8:$AE$2007&lt;=설정!$B$5)*입금_은행2!$AE$8:$AE$2007)))=0,"",MAX(SUMPRODUCT(MAX((입금_은행1!$AC$8:$AC$2007=$A200)*(입금_은행1!$AE$8:$AE$2007&lt;=설정!$B$5)*입금_은행1!$AE$8:$AE$2007)),SUMPRODUCT(MAX((입금_은행2!$AC$8:$AC$2007=$A200)*(입금_은행2!$AE$8:$AE$2007&lt;=설정!$B$5)*입금_은행2!$AE$8:$AE$2007)))))</f>
        <v/>
      </c>
      <c r="M200" s="38">
        <f>IF($U200="","",IF($T200="","",IF(INDEX(거래처설정!$F$8:$F$407,$T200)="","",INDEX(거래처설정!$F$8:$F$407,$T200))))</f>
        <v/>
      </c>
      <c r="N200" s="38">
        <f>IF($U200="","",IF($T200="","",IF(INDEX(거래처설정!$G$8:$G$407,$T200)="","",INDEX(거래처설정!$G$8:$G$407,$T200))))</f>
        <v/>
      </c>
      <c r="O200" s="38">
        <f>IF($U200="","",IF($M200="제외",0,IF($K200&gt;=설정!$B$9,3,IF($J200+$K200&gt;=설정!$B$9,2,IF($I200+$J200+$K200&gt;=설정!$B$9,1,0)))))</f>
        <v/>
      </c>
      <c r="P200" s="38">
        <f>IF($U200="","",IF($M200="제외","제외(조치 상태)",IF($O200=3,"③ 강한 독촉 후보 ("&amp;설정!$B$8&amp;"일 초과)",IF($O200=2,"② 독촉 후보 ("&amp;설정!$B$7&amp;"일 초과)",IF($O200=1,"① 안내 후보 ("&amp;설정!$B$6&amp;"일 초과)",IF($G200&gt;0,IF($I200+$J200+$K200&gt;0,"오래된 잔액 있음 (최소 금액 미만)","정상 범위"),IF($G200&lt;0,"선수금·초과입금 — 확인","완납")))))))</f>
        <v/>
      </c>
      <c r="Q200" s="38">
        <f>IF($U200="","",IF($G200&lt;0,"입금이 매출보다 큼 — 선수금이거나 다른 거래처 입금이 섞였는지 확인",IF(AND($AE200&lt;&gt;"",COUNTIF($AE$8:$AE$307,"*"&amp;$AE200&amp;"*")&gt;1),"이름이 다른 거래처와 겹침 — 입금이 잘못 맞았을 수 있으니 별칭 확인",IF(AND($G200&gt;0,$F200=0),"입금 매칭 없음 — 입금자명이 다르면 [거래처설정]에 별칭 등록",""))))</f>
        <v/>
      </c>
      <c r="R200" s="31">
        <f>IF(OR($U200="",$G200&lt;=0),"",$G200-$A200/10000)</f>
        <v/>
      </c>
      <c r="S200" s="31">
        <f>IF(OR($U200="",$O200&lt;1),"",$O200*10^11+$I200+$J200+$K200-$A200/1000)</f>
        <v/>
      </c>
      <c r="T200" s="31">
        <f>IF($U200="","",IFERROR(MATCH(INDEX(매출원본!$AU$8:$AU$2007,$U200),거래처설정!$I$8:$I$407,0),""))</f>
        <v/>
      </c>
      <c r="U200" s="31">
        <f>IFERROR(MATCH(193,매출원본!$AW$8:$AW$2007,0),"")</f>
        <v/>
      </c>
      <c r="V200" s="31">
        <f>IF($U200="","",MAX(SUMIFS(매출원본!$AT$8:$AT$2007,매출원본!$AY$8:$AY$2007,$A200,매출원본!$AS$8:$AS$2007,"&gt;="&amp;(설정!$B$5-설정!$B$6),매출원본!$AS$8:$AS$2007,"&lt;="&amp;설정!$B$5),0))</f>
        <v/>
      </c>
      <c r="W200" s="31">
        <f>IF($U200="","",MAX($V200,SUMIFS(매출원본!$AT$8:$AT$2007,매출원본!$AY$8:$AY$2007,$A200,매출원본!$AS$8:$AS$2007,"&gt;="&amp;(설정!$B$5-설정!$B$7),매출원본!$AS$8:$AS$2007,"&lt;="&amp;설정!$B$5)))</f>
        <v/>
      </c>
      <c r="X200" s="31">
        <f>IF($U200="","",MAX($W200,SUMIFS(매출원본!$AT$8:$AT$2007,매출원본!$AY$8:$AY$2007,$A200,매출원본!$AS$8:$AS$2007,"&gt;="&amp;(설정!$B$5-설정!$B$8),매출원본!$AS$8:$AS$2007,"&lt;="&amp;설정!$B$5)))</f>
        <v/>
      </c>
      <c r="AC200" s="31">
        <f>IF(OR($U200="",$T200=""),"",INDEX(거래처설정!$J$8:$J$407,$T200))</f>
        <v/>
      </c>
      <c r="AD200" s="31">
        <f>IF(OR($U200="",$T200=""),"",INDEX(거래처설정!$K$8:$K$407,$T200))</f>
        <v/>
      </c>
      <c r="AE200" s="31">
        <f>IF($U200="","",IF(LEN(SUBSTITUTE(SUBSTITUTE(SUBSTITUTE(SUBSTITUTE(SUBSTITUTE(SUBSTITUTE(SUBSTITUTE(SUBSTITUTE(SUBSTITUTE($C200," ",""),"　",""),"(주)",""),"（주）",""),"㈜",""),"주식회사",""),"(유)",""),"（유）",""),"유한회사",""))&lt;2,"",SUBSTITUTE(SUBSTITUTE(SUBSTITUTE(SUBSTITUTE(SUBSTITUTE(SUBSTITUTE(SUBSTITUTE(SUBSTITUTE(SUBSTITUTE($C200," ",""),"　",""),"(주)",""),"（주）",""),"㈜",""),"주식회사",""),"(유)",""),"（유）",""),"유한회사","")))</f>
        <v/>
      </c>
    </row>
    <row r="201">
      <c r="A201" s="38">
        <f>IF($U201="","",194)</f>
        <v/>
      </c>
      <c r="B201" s="38">
        <f>IF($U201="","",IF(LEN(INDEX(매출원본!$AU$8:$AU$2007,$U201))=10,LEFT(INDEX(매출원본!$AU$8:$AU$2007,$U201),3)&amp;"-"&amp;MID(INDEX(매출원본!$AU$8:$AU$2007,$U201),4,2)&amp;"-"&amp;RIGHT(INDEX(매출원본!$AU$8:$AU$2007,$U201),5),IF(LEFT(INDEX(매출원본!$AU$8:$AU$2007,$U201),2)="N:","(번호 없음)",INDEX(매출원본!$AU$8:$AU$2007,$U201))))</f>
        <v/>
      </c>
      <c r="C201" s="38">
        <f>IF($U201="","",INDEX(매출원본!$AV$8:$AV$2007,$U201))</f>
        <v/>
      </c>
      <c r="D201" s="39">
        <f>IF($U201="","",IF($T201="",0,N(INDEX(거래처설정!$E$8:$E$407,$T201))))</f>
        <v/>
      </c>
      <c r="E201" s="39">
        <f>IF($U201="","",SUMIFS(매출원본!$AT$8:$AT$2007,매출원본!$AY$8:$AY$2007,$A201,매출원본!$AS$8:$AS$2007,"&lt;="&amp;설정!$B$5))</f>
        <v/>
      </c>
      <c r="F201" s="39">
        <f>IF($U201="","",SUMIFS(입금_은행1!$Z$8:$Z$2007,입금_은행1!$AC$8:$AC$2007,$A201,입금_은행1!$Y$8:$Y$2007,"&lt;="&amp;설정!$B$5)+SUMIFS(입금_은행2!$Z$8:$Z$2007,입금_은행2!$AC$8:$AC$2007,$A201,입금_은행2!$Y$8:$Y$2007,"&lt;="&amp;설정!$B$5))</f>
        <v/>
      </c>
      <c r="G201" s="39">
        <f>IF($U201="","",$D201+$E201-$F201)</f>
        <v/>
      </c>
      <c r="H201" s="39">
        <f>IF($U201="","",MIN(MAX($G201,0),$V201))</f>
        <v/>
      </c>
      <c r="I201" s="39">
        <f>IF($U201="","",MIN(MAX($G201,0),$W201)-MIN(MAX($G201,0),$V201))</f>
        <v/>
      </c>
      <c r="J201" s="39">
        <f>IF($U201="","",MIN(MAX($G201,0),$X201)-MIN(MAX($G201,0),$W201))</f>
        <v/>
      </c>
      <c r="K201" s="39">
        <f>IF($U201="","",MAX($G201,0)-MIN(MAX($G201,0),$X201))</f>
        <v/>
      </c>
      <c r="L201" s="40">
        <f>IF($U201="","",IF(MAX(SUMPRODUCT(MAX((입금_은행1!$AC$8:$AC$2007=$A201)*(입금_은행1!$AE$8:$AE$2007&lt;=설정!$B$5)*입금_은행1!$AE$8:$AE$2007)),SUMPRODUCT(MAX((입금_은행2!$AC$8:$AC$2007=$A201)*(입금_은행2!$AE$8:$AE$2007&lt;=설정!$B$5)*입금_은행2!$AE$8:$AE$2007)))=0,"",MAX(SUMPRODUCT(MAX((입금_은행1!$AC$8:$AC$2007=$A201)*(입금_은행1!$AE$8:$AE$2007&lt;=설정!$B$5)*입금_은행1!$AE$8:$AE$2007)),SUMPRODUCT(MAX((입금_은행2!$AC$8:$AC$2007=$A201)*(입금_은행2!$AE$8:$AE$2007&lt;=설정!$B$5)*입금_은행2!$AE$8:$AE$2007)))))</f>
        <v/>
      </c>
      <c r="M201" s="38">
        <f>IF($U201="","",IF($T201="","",IF(INDEX(거래처설정!$F$8:$F$407,$T201)="","",INDEX(거래처설정!$F$8:$F$407,$T201))))</f>
        <v/>
      </c>
      <c r="N201" s="38">
        <f>IF($U201="","",IF($T201="","",IF(INDEX(거래처설정!$G$8:$G$407,$T201)="","",INDEX(거래처설정!$G$8:$G$407,$T201))))</f>
        <v/>
      </c>
      <c r="O201" s="38">
        <f>IF($U201="","",IF($M201="제외",0,IF($K201&gt;=설정!$B$9,3,IF($J201+$K201&gt;=설정!$B$9,2,IF($I201+$J201+$K201&gt;=설정!$B$9,1,0)))))</f>
        <v/>
      </c>
      <c r="P201" s="38">
        <f>IF($U201="","",IF($M201="제외","제외(조치 상태)",IF($O201=3,"③ 강한 독촉 후보 ("&amp;설정!$B$8&amp;"일 초과)",IF($O201=2,"② 독촉 후보 ("&amp;설정!$B$7&amp;"일 초과)",IF($O201=1,"① 안내 후보 ("&amp;설정!$B$6&amp;"일 초과)",IF($G201&gt;0,IF($I201+$J201+$K201&gt;0,"오래된 잔액 있음 (최소 금액 미만)","정상 범위"),IF($G201&lt;0,"선수금·초과입금 — 확인","완납")))))))</f>
        <v/>
      </c>
      <c r="Q201" s="38">
        <f>IF($U201="","",IF($G201&lt;0,"입금이 매출보다 큼 — 선수금이거나 다른 거래처 입금이 섞였는지 확인",IF(AND($AE201&lt;&gt;"",COUNTIF($AE$8:$AE$307,"*"&amp;$AE201&amp;"*")&gt;1),"이름이 다른 거래처와 겹침 — 입금이 잘못 맞았을 수 있으니 별칭 확인",IF(AND($G201&gt;0,$F201=0),"입금 매칭 없음 — 입금자명이 다르면 [거래처설정]에 별칭 등록",""))))</f>
        <v/>
      </c>
      <c r="R201" s="31">
        <f>IF(OR($U201="",$G201&lt;=0),"",$G201-$A201/10000)</f>
        <v/>
      </c>
      <c r="S201" s="31">
        <f>IF(OR($U201="",$O201&lt;1),"",$O201*10^11+$I201+$J201+$K201-$A201/1000)</f>
        <v/>
      </c>
      <c r="T201" s="31">
        <f>IF($U201="","",IFERROR(MATCH(INDEX(매출원본!$AU$8:$AU$2007,$U201),거래처설정!$I$8:$I$407,0),""))</f>
        <v/>
      </c>
      <c r="U201" s="31">
        <f>IFERROR(MATCH(194,매출원본!$AW$8:$AW$2007,0),"")</f>
        <v/>
      </c>
      <c r="V201" s="31">
        <f>IF($U201="","",MAX(SUMIFS(매출원본!$AT$8:$AT$2007,매출원본!$AY$8:$AY$2007,$A201,매출원본!$AS$8:$AS$2007,"&gt;="&amp;(설정!$B$5-설정!$B$6),매출원본!$AS$8:$AS$2007,"&lt;="&amp;설정!$B$5),0))</f>
        <v/>
      </c>
      <c r="W201" s="31">
        <f>IF($U201="","",MAX($V201,SUMIFS(매출원본!$AT$8:$AT$2007,매출원본!$AY$8:$AY$2007,$A201,매출원본!$AS$8:$AS$2007,"&gt;="&amp;(설정!$B$5-설정!$B$7),매출원본!$AS$8:$AS$2007,"&lt;="&amp;설정!$B$5)))</f>
        <v/>
      </c>
      <c r="X201" s="31">
        <f>IF($U201="","",MAX($W201,SUMIFS(매출원본!$AT$8:$AT$2007,매출원본!$AY$8:$AY$2007,$A201,매출원본!$AS$8:$AS$2007,"&gt;="&amp;(설정!$B$5-설정!$B$8),매출원본!$AS$8:$AS$2007,"&lt;="&amp;설정!$B$5)))</f>
        <v/>
      </c>
      <c r="AC201" s="31">
        <f>IF(OR($U201="",$T201=""),"",INDEX(거래처설정!$J$8:$J$407,$T201))</f>
        <v/>
      </c>
      <c r="AD201" s="31">
        <f>IF(OR($U201="",$T201=""),"",INDEX(거래처설정!$K$8:$K$407,$T201))</f>
        <v/>
      </c>
      <c r="AE201" s="31">
        <f>IF($U201="","",IF(LEN(SUBSTITUTE(SUBSTITUTE(SUBSTITUTE(SUBSTITUTE(SUBSTITUTE(SUBSTITUTE(SUBSTITUTE(SUBSTITUTE(SUBSTITUTE($C201," ",""),"　",""),"(주)",""),"（주）",""),"㈜",""),"주식회사",""),"(유)",""),"（유）",""),"유한회사",""))&lt;2,"",SUBSTITUTE(SUBSTITUTE(SUBSTITUTE(SUBSTITUTE(SUBSTITUTE(SUBSTITUTE(SUBSTITUTE(SUBSTITUTE(SUBSTITUTE($C201," ",""),"　",""),"(주)",""),"（주）",""),"㈜",""),"주식회사",""),"(유)",""),"（유）",""),"유한회사","")))</f>
        <v/>
      </c>
    </row>
    <row r="202">
      <c r="A202" s="38">
        <f>IF($U202="","",195)</f>
        <v/>
      </c>
      <c r="B202" s="38">
        <f>IF($U202="","",IF(LEN(INDEX(매출원본!$AU$8:$AU$2007,$U202))=10,LEFT(INDEX(매출원본!$AU$8:$AU$2007,$U202),3)&amp;"-"&amp;MID(INDEX(매출원본!$AU$8:$AU$2007,$U202),4,2)&amp;"-"&amp;RIGHT(INDEX(매출원본!$AU$8:$AU$2007,$U202),5),IF(LEFT(INDEX(매출원본!$AU$8:$AU$2007,$U202),2)="N:","(번호 없음)",INDEX(매출원본!$AU$8:$AU$2007,$U202))))</f>
        <v/>
      </c>
      <c r="C202" s="38">
        <f>IF($U202="","",INDEX(매출원본!$AV$8:$AV$2007,$U202))</f>
        <v/>
      </c>
      <c r="D202" s="39">
        <f>IF($U202="","",IF($T202="",0,N(INDEX(거래처설정!$E$8:$E$407,$T202))))</f>
        <v/>
      </c>
      <c r="E202" s="39">
        <f>IF($U202="","",SUMIFS(매출원본!$AT$8:$AT$2007,매출원본!$AY$8:$AY$2007,$A202,매출원본!$AS$8:$AS$2007,"&lt;="&amp;설정!$B$5))</f>
        <v/>
      </c>
      <c r="F202" s="39">
        <f>IF($U202="","",SUMIFS(입금_은행1!$Z$8:$Z$2007,입금_은행1!$AC$8:$AC$2007,$A202,입금_은행1!$Y$8:$Y$2007,"&lt;="&amp;설정!$B$5)+SUMIFS(입금_은행2!$Z$8:$Z$2007,입금_은행2!$AC$8:$AC$2007,$A202,입금_은행2!$Y$8:$Y$2007,"&lt;="&amp;설정!$B$5))</f>
        <v/>
      </c>
      <c r="G202" s="39">
        <f>IF($U202="","",$D202+$E202-$F202)</f>
        <v/>
      </c>
      <c r="H202" s="39">
        <f>IF($U202="","",MIN(MAX($G202,0),$V202))</f>
        <v/>
      </c>
      <c r="I202" s="39">
        <f>IF($U202="","",MIN(MAX($G202,0),$W202)-MIN(MAX($G202,0),$V202))</f>
        <v/>
      </c>
      <c r="J202" s="39">
        <f>IF($U202="","",MIN(MAX($G202,0),$X202)-MIN(MAX($G202,0),$W202))</f>
        <v/>
      </c>
      <c r="K202" s="39">
        <f>IF($U202="","",MAX($G202,0)-MIN(MAX($G202,0),$X202))</f>
        <v/>
      </c>
      <c r="L202" s="40">
        <f>IF($U202="","",IF(MAX(SUMPRODUCT(MAX((입금_은행1!$AC$8:$AC$2007=$A202)*(입금_은행1!$AE$8:$AE$2007&lt;=설정!$B$5)*입금_은행1!$AE$8:$AE$2007)),SUMPRODUCT(MAX((입금_은행2!$AC$8:$AC$2007=$A202)*(입금_은행2!$AE$8:$AE$2007&lt;=설정!$B$5)*입금_은행2!$AE$8:$AE$2007)))=0,"",MAX(SUMPRODUCT(MAX((입금_은행1!$AC$8:$AC$2007=$A202)*(입금_은행1!$AE$8:$AE$2007&lt;=설정!$B$5)*입금_은행1!$AE$8:$AE$2007)),SUMPRODUCT(MAX((입금_은행2!$AC$8:$AC$2007=$A202)*(입금_은행2!$AE$8:$AE$2007&lt;=설정!$B$5)*입금_은행2!$AE$8:$AE$2007)))))</f>
        <v/>
      </c>
      <c r="M202" s="38">
        <f>IF($U202="","",IF($T202="","",IF(INDEX(거래처설정!$F$8:$F$407,$T202)="","",INDEX(거래처설정!$F$8:$F$407,$T202))))</f>
        <v/>
      </c>
      <c r="N202" s="38">
        <f>IF($U202="","",IF($T202="","",IF(INDEX(거래처설정!$G$8:$G$407,$T202)="","",INDEX(거래처설정!$G$8:$G$407,$T202))))</f>
        <v/>
      </c>
      <c r="O202" s="38">
        <f>IF($U202="","",IF($M202="제외",0,IF($K202&gt;=설정!$B$9,3,IF($J202+$K202&gt;=설정!$B$9,2,IF($I202+$J202+$K202&gt;=설정!$B$9,1,0)))))</f>
        <v/>
      </c>
      <c r="P202" s="38">
        <f>IF($U202="","",IF($M202="제외","제외(조치 상태)",IF($O202=3,"③ 강한 독촉 후보 ("&amp;설정!$B$8&amp;"일 초과)",IF($O202=2,"② 독촉 후보 ("&amp;설정!$B$7&amp;"일 초과)",IF($O202=1,"① 안내 후보 ("&amp;설정!$B$6&amp;"일 초과)",IF($G202&gt;0,IF($I202+$J202+$K202&gt;0,"오래된 잔액 있음 (최소 금액 미만)","정상 범위"),IF($G202&lt;0,"선수금·초과입금 — 확인","완납")))))))</f>
        <v/>
      </c>
      <c r="Q202" s="38">
        <f>IF($U202="","",IF($G202&lt;0,"입금이 매출보다 큼 — 선수금이거나 다른 거래처 입금이 섞였는지 확인",IF(AND($AE202&lt;&gt;"",COUNTIF($AE$8:$AE$307,"*"&amp;$AE202&amp;"*")&gt;1),"이름이 다른 거래처와 겹침 — 입금이 잘못 맞았을 수 있으니 별칭 확인",IF(AND($G202&gt;0,$F202=0),"입금 매칭 없음 — 입금자명이 다르면 [거래처설정]에 별칭 등록",""))))</f>
        <v/>
      </c>
      <c r="R202" s="31">
        <f>IF(OR($U202="",$G202&lt;=0),"",$G202-$A202/10000)</f>
        <v/>
      </c>
      <c r="S202" s="31">
        <f>IF(OR($U202="",$O202&lt;1),"",$O202*10^11+$I202+$J202+$K202-$A202/1000)</f>
        <v/>
      </c>
      <c r="T202" s="31">
        <f>IF($U202="","",IFERROR(MATCH(INDEX(매출원본!$AU$8:$AU$2007,$U202),거래처설정!$I$8:$I$407,0),""))</f>
        <v/>
      </c>
      <c r="U202" s="31">
        <f>IFERROR(MATCH(195,매출원본!$AW$8:$AW$2007,0),"")</f>
        <v/>
      </c>
      <c r="V202" s="31">
        <f>IF($U202="","",MAX(SUMIFS(매출원본!$AT$8:$AT$2007,매출원본!$AY$8:$AY$2007,$A202,매출원본!$AS$8:$AS$2007,"&gt;="&amp;(설정!$B$5-설정!$B$6),매출원본!$AS$8:$AS$2007,"&lt;="&amp;설정!$B$5),0))</f>
        <v/>
      </c>
      <c r="W202" s="31">
        <f>IF($U202="","",MAX($V202,SUMIFS(매출원본!$AT$8:$AT$2007,매출원본!$AY$8:$AY$2007,$A202,매출원본!$AS$8:$AS$2007,"&gt;="&amp;(설정!$B$5-설정!$B$7),매출원본!$AS$8:$AS$2007,"&lt;="&amp;설정!$B$5)))</f>
        <v/>
      </c>
      <c r="X202" s="31">
        <f>IF($U202="","",MAX($W202,SUMIFS(매출원본!$AT$8:$AT$2007,매출원본!$AY$8:$AY$2007,$A202,매출원본!$AS$8:$AS$2007,"&gt;="&amp;(설정!$B$5-설정!$B$8),매출원본!$AS$8:$AS$2007,"&lt;="&amp;설정!$B$5)))</f>
        <v/>
      </c>
      <c r="AC202" s="31">
        <f>IF(OR($U202="",$T202=""),"",INDEX(거래처설정!$J$8:$J$407,$T202))</f>
        <v/>
      </c>
      <c r="AD202" s="31">
        <f>IF(OR($U202="",$T202=""),"",INDEX(거래처설정!$K$8:$K$407,$T202))</f>
        <v/>
      </c>
      <c r="AE202" s="31">
        <f>IF($U202="","",IF(LEN(SUBSTITUTE(SUBSTITUTE(SUBSTITUTE(SUBSTITUTE(SUBSTITUTE(SUBSTITUTE(SUBSTITUTE(SUBSTITUTE(SUBSTITUTE($C202," ",""),"　",""),"(주)",""),"（주）",""),"㈜",""),"주식회사",""),"(유)",""),"（유）",""),"유한회사",""))&lt;2,"",SUBSTITUTE(SUBSTITUTE(SUBSTITUTE(SUBSTITUTE(SUBSTITUTE(SUBSTITUTE(SUBSTITUTE(SUBSTITUTE(SUBSTITUTE($C202," ",""),"　",""),"(주)",""),"（주）",""),"㈜",""),"주식회사",""),"(유)",""),"（유）",""),"유한회사","")))</f>
        <v/>
      </c>
    </row>
    <row r="203">
      <c r="A203" s="38">
        <f>IF($U203="","",196)</f>
        <v/>
      </c>
      <c r="B203" s="38">
        <f>IF($U203="","",IF(LEN(INDEX(매출원본!$AU$8:$AU$2007,$U203))=10,LEFT(INDEX(매출원본!$AU$8:$AU$2007,$U203),3)&amp;"-"&amp;MID(INDEX(매출원본!$AU$8:$AU$2007,$U203),4,2)&amp;"-"&amp;RIGHT(INDEX(매출원본!$AU$8:$AU$2007,$U203),5),IF(LEFT(INDEX(매출원본!$AU$8:$AU$2007,$U203),2)="N:","(번호 없음)",INDEX(매출원본!$AU$8:$AU$2007,$U203))))</f>
        <v/>
      </c>
      <c r="C203" s="38">
        <f>IF($U203="","",INDEX(매출원본!$AV$8:$AV$2007,$U203))</f>
        <v/>
      </c>
      <c r="D203" s="39">
        <f>IF($U203="","",IF($T203="",0,N(INDEX(거래처설정!$E$8:$E$407,$T203))))</f>
        <v/>
      </c>
      <c r="E203" s="39">
        <f>IF($U203="","",SUMIFS(매출원본!$AT$8:$AT$2007,매출원본!$AY$8:$AY$2007,$A203,매출원본!$AS$8:$AS$2007,"&lt;="&amp;설정!$B$5))</f>
        <v/>
      </c>
      <c r="F203" s="39">
        <f>IF($U203="","",SUMIFS(입금_은행1!$Z$8:$Z$2007,입금_은행1!$AC$8:$AC$2007,$A203,입금_은행1!$Y$8:$Y$2007,"&lt;="&amp;설정!$B$5)+SUMIFS(입금_은행2!$Z$8:$Z$2007,입금_은행2!$AC$8:$AC$2007,$A203,입금_은행2!$Y$8:$Y$2007,"&lt;="&amp;설정!$B$5))</f>
        <v/>
      </c>
      <c r="G203" s="39">
        <f>IF($U203="","",$D203+$E203-$F203)</f>
        <v/>
      </c>
      <c r="H203" s="39">
        <f>IF($U203="","",MIN(MAX($G203,0),$V203))</f>
        <v/>
      </c>
      <c r="I203" s="39">
        <f>IF($U203="","",MIN(MAX($G203,0),$W203)-MIN(MAX($G203,0),$V203))</f>
        <v/>
      </c>
      <c r="J203" s="39">
        <f>IF($U203="","",MIN(MAX($G203,0),$X203)-MIN(MAX($G203,0),$W203))</f>
        <v/>
      </c>
      <c r="K203" s="39">
        <f>IF($U203="","",MAX($G203,0)-MIN(MAX($G203,0),$X203))</f>
        <v/>
      </c>
      <c r="L203" s="40">
        <f>IF($U203="","",IF(MAX(SUMPRODUCT(MAX((입금_은행1!$AC$8:$AC$2007=$A203)*(입금_은행1!$AE$8:$AE$2007&lt;=설정!$B$5)*입금_은행1!$AE$8:$AE$2007)),SUMPRODUCT(MAX((입금_은행2!$AC$8:$AC$2007=$A203)*(입금_은행2!$AE$8:$AE$2007&lt;=설정!$B$5)*입금_은행2!$AE$8:$AE$2007)))=0,"",MAX(SUMPRODUCT(MAX((입금_은행1!$AC$8:$AC$2007=$A203)*(입금_은행1!$AE$8:$AE$2007&lt;=설정!$B$5)*입금_은행1!$AE$8:$AE$2007)),SUMPRODUCT(MAX((입금_은행2!$AC$8:$AC$2007=$A203)*(입금_은행2!$AE$8:$AE$2007&lt;=설정!$B$5)*입금_은행2!$AE$8:$AE$2007)))))</f>
        <v/>
      </c>
      <c r="M203" s="38">
        <f>IF($U203="","",IF($T203="","",IF(INDEX(거래처설정!$F$8:$F$407,$T203)="","",INDEX(거래처설정!$F$8:$F$407,$T203))))</f>
        <v/>
      </c>
      <c r="N203" s="38">
        <f>IF($U203="","",IF($T203="","",IF(INDEX(거래처설정!$G$8:$G$407,$T203)="","",INDEX(거래처설정!$G$8:$G$407,$T203))))</f>
        <v/>
      </c>
      <c r="O203" s="38">
        <f>IF($U203="","",IF($M203="제외",0,IF($K203&gt;=설정!$B$9,3,IF($J203+$K203&gt;=설정!$B$9,2,IF($I203+$J203+$K203&gt;=설정!$B$9,1,0)))))</f>
        <v/>
      </c>
      <c r="P203" s="38">
        <f>IF($U203="","",IF($M203="제외","제외(조치 상태)",IF($O203=3,"③ 강한 독촉 후보 ("&amp;설정!$B$8&amp;"일 초과)",IF($O203=2,"② 독촉 후보 ("&amp;설정!$B$7&amp;"일 초과)",IF($O203=1,"① 안내 후보 ("&amp;설정!$B$6&amp;"일 초과)",IF($G203&gt;0,IF($I203+$J203+$K203&gt;0,"오래된 잔액 있음 (최소 금액 미만)","정상 범위"),IF($G203&lt;0,"선수금·초과입금 — 확인","완납")))))))</f>
        <v/>
      </c>
      <c r="Q203" s="38">
        <f>IF($U203="","",IF($G203&lt;0,"입금이 매출보다 큼 — 선수금이거나 다른 거래처 입금이 섞였는지 확인",IF(AND($AE203&lt;&gt;"",COUNTIF($AE$8:$AE$307,"*"&amp;$AE203&amp;"*")&gt;1),"이름이 다른 거래처와 겹침 — 입금이 잘못 맞았을 수 있으니 별칭 확인",IF(AND($G203&gt;0,$F203=0),"입금 매칭 없음 — 입금자명이 다르면 [거래처설정]에 별칭 등록",""))))</f>
        <v/>
      </c>
      <c r="R203" s="31">
        <f>IF(OR($U203="",$G203&lt;=0),"",$G203-$A203/10000)</f>
        <v/>
      </c>
      <c r="S203" s="31">
        <f>IF(OR($U203="",$O203&lt;1),"",$O203*10^11+$I203+$J203+$K203-$A203/1000)</f>
        <v/>
      </c>
      <c r="T203" s="31">
        <f>IF($U203="","",IFERROR(MATCH(INDEX(매출원본!$AU$8:$AU$2007,$U203),거래처설정!$I$8:$I$407,0),""))</f>
        <v/>
      </c>
      <c r="U203" s="31">
        <f>IFERROR(MATCH(196,매출원본!$AW$8:$AW$2007,0),"")</f>
        <v/>
      </c>
      <c r="V203" s="31">
        <f>IF($U203="","",MAX(SUMIFS(매출원본!$AT$8:$AT$2007,매출원본!$AY$8:$AY$2007,$A203,매출원본!$AS$8:$AS$2007,"&gt;="&amp;(설정!$B$5-설정!$B$6),매출원본!$AS$8:$AS$2007,"&lt;="&amp;설정!$B$5),0))</f>
        <v/>
      </c>
      <c r="W203" s="31">
        <f>IF($U203="","",MAX($V203,SUMIFS(매출원본!$AT$8:$AT$2007,매출원본!$AY$8:$AY$2007,$A203,매출원본!$AS$8:$AS$2007,"&gt;="&amp;(설정!$B$5-설정!$B$7),매출원본!$AS$8:$AS$2007,"&lt;="&amp;설정!$B$5)))</f>
        <v/>
      </c>
      <c r="X203" s="31">
        <f>IF($U203="","",MAX($W203,SUMIFS(매출원본!$AT$8:$AT$2007,매출원본!$AY$8:$AY$2007,$A203,매출원본!$AS$8:$AS$2007,"&gt;="&amp;(설정!$B$5-설정!$B$8),매출원본!$AS$8:$AS$2007,"&lt;="&amp;설정!$B$5)))</f>
        <v/>
      </c>
      <c r="AC203" s="31">
        <f>IF(OR($U203="",$T203=""),"",INDEX(거래처설정!$J$8:$J$407,$T203))</f>
        <v/>
      </c>
      <c r="AD203" s="31">
        <f>IF(OR($U203="",$T203=""),"",INDEX(거래처설정!$K$8:$K$407,$T203))</f>
        <v/>
      </c>
      <c r="AE203" s="31">
        <f>IF($U203="","",IF(LEN(SUBSTITUTE(SUBSTITUTE(SUBSTITUTE(SUBSTITUTE(SUBSTITUTE(SUBSTITUTE(SUBSTITUTE(SUBSTITUTE(SUBSTITUTE($C203," ",""),"　",""),"(주)",""),"（주）",""),"㈜",""),"주식회사",""),"(유)",""),"（유）",""),"유한회사",""))&lt;2,"",SUBSTITUTE(SUBSTITUTE(SUBSTITUTE(SUBSTITUTE(SUBSTITUTE(SUBSTITUTE(SUBSTITUTE(SUBSTITUTE(SUBSTITUTE($C203," ",""),"　",""),"(주)",""),"（주）",""),"㈜",""),"주식회사",""),"(유)",""),"（유）",""),"유한회사","")))</f>
        <v/>
      </c>
    </row>
    <row r="204">
      <c r="A204" s="38">
        <f>IF($U204="","",197)</f>
        <v/>
      </c>
      <c r="B204" s="38">
        <f>IF($U204="","",IF(LEN(INDEX(매출원본!$AU$8:$AU$2007,$U204))=10,LEFT(INDEX(매출원본!$AU$8:$AU$2007,$U204),3)&amp;"-"&amp;MID(INDEX(매출원본!$AU$8:$AU$2007,$U204),4,2)&amp;"-"&amp;RIGHT(INDEX(매출원본!$AU$8:$AU$2007,$U204),5),IF(LEFT(INDEX(매출원본!$AU$8:$AU$2007,$U204),2)="N:","(번호 없음)",INDEX(매출원본!$AU$8:$AU$2007,$U204))))</f>
        <v/>
      </c>
      <c r="C204" s="38">
        <f>IF($U204="","",INDEX(매출원본!$AV$8:$AV$2007,$U204))</f>
        <v/>
      </c>
      <c r="D204" s="39">
        <f>IF($U204="","",IF($T204="",0,N(INDEX(거래처설정!$E$8:$E$407,$T204))))</f>
        <v/>
      </c>
      <c r="E204" s="39">
        <f>IF($U204="","",SUMIFS(매출원본!$AT$8:$AT$2007,매출원본!$AY$8:$AY$2007,$A204,매출원본!$AS$8:$AS$2007,"&lt;="&amp;설정!$B$5))</f>
        <v/>
      </c>
      <c r="F204" s="39">
        <f>IF($U204="","",SUMIFS(입금_은행1!$Z$8:$Z$2007,입금_은행1!$AC$8:$AC$2007,$A204,입금_은행1!$Y$8:$Y$2007,"&lt;="&amp;설정!$B$5)+SUMIFS(입금_은행2!$Z$8:$Z$2007,입금_은행2!$AC$8:$AC$2007,$A204,입금_은행2!$Y$8:$Y$2007,"&lt;="&amp;설정!$B$5))</f>
        <v/>
      </c>
      <c r="G204" s="39">
        <f>IF($U204="","",$D204+$E204-$F204)</f>
        <v/>
      </c>
      <c r="H204" s="39">
        <f>IF($U204="","",MIN(MAX($G204,0),$V204))</f>
        <v/>
      </c>
      <c r="I204" s="39">
        <f>IF($U204="","",MIN(MAX($G204,0),$W204)-MIN(MAX($G204,0),$V204))</f>
        <v/>
      </c>
      <c r="J204" s="39">
        <f>IF($U204="","",MIN(MAX($G204,0),$X204)-MIN(MAX($G204,0),$W204))</f>
        <v/>
      </c>
      <c r="K204" s="39">
        <f>IF($U204="","",MAX($G204,0)-MIN(MAX($G204,0),$X204))</f>
        <v/>
      </c>
      <c r="L204" s="40">
        <f>IF($U204="","",IF(MAX(SUMPRODUCT(MAX((입금_은행1!$AC$8:$AC$2007=$A204)*(입금_은행1!$AE$8:$AE$2007&lt;=설정!$B$5)*입금_은행1!$AE$8:$AE$2007)),SUMPRODUCT(MAX((입금_은행2!$AC$8:$AC$2007=$A204)*(입금_은행2!$AE$8:$AE$2007&lt;=설정!$B$5)*입금_은행2!$AE$8:$AE$2007)))=0,"",MAX(SUMPRODUCT(MAX((입금_은행1!$AC$8:$AC$2007=$A204)*(입금_은행1!$AE$8:$AE$2007&lt;=설정!$B$5)*입금_은행1!$AE$8:$AE$2007)),SUMPRODUCT(MAX((입금_은행2!$AC$8:$AC$2007=$A204)*(입금_은행2!$AE$8:$AE$2007&lt;=설정!$B$5)*입금_은행2!$AE$8:$AE$2007)))))</f>
        <v/>
      </c>
      <c r="M204" s="38">
        <f>IF($U204="","",IF($T204="","",IF(INDEX(거래처설정!$F$8:$F$407,$T204)="","",INDEX(거래처설정!$F$8:$F$407,$T204))))</f>
        <v/>
      </c>
      <c r="N204" s="38">
        <f>IF($U204="","",IF($T204="","",IF(INDEX(거래처설정!$G$8:$G$407,$T204)="","",INDEX(거래처설정!$G$8:$G$407,$T204))))</f>
        <v/>
      </c>
      <c r="O204" s="38">
        <f>IF($U204="","",IF($M204="제외",0,IF($K204&gt;=설정!$B$9,3,IF($J204+$K204&gt;=설정!$B$9,2,IF($I204+$J204+$K204&gt;=설정!$B$9,1,0)))))</f>
        <v/>
      </c>
      <c r="P204" s="38">
        <f>IF($U204="","",IF($M204="제외","제외(조치 상태)",IF($O204=3,"③ 강한 독촉 후보 ("&amp;설정!$B$8&amp;"일 초과)",IF($O204=2,"② 독촉 후보 ("&amp;설정!$B$7&amp;"일 초과)",IF($O204=1,"① 안내 후보 ("&amp;설정!$B$6&amp;"일 초과)",IF($G204&gt;0,IF($I204+$J204+$K204&gt;0,"오래된 잔액 있음 (최소 금액 미만)","정상 범위"),IF($G204&lt;0,"선수금·초과입금 — 확인","완납")))))))</f>
        <v/>
      </c>
      <c r="Q204" s="38">
        <f>IF($U204="","",IF($G204&lt;0,"입금이 매출보다 큼 — 선수금이거나 다른 거래처 입금이 섞였는지 확인",IF(AND($AE204&lt;&gt;"",COUNTIF($AE$8:$AE$307,"*"&amp;$AE204&amp;"*")&gt;1),"이름이 다른 거래처와 겹침 — 입금이 잘못 맞았을 수 있으니 별칭 확인",IF(AND($G204&gt;0,$F204=0),"입금 매칭 없음 — 입금자명이 다르면 [거래처설정]에 별칭 등록",""))))</f>
        <v/>
      </c>
      <c r="R204" s="31">
        <f>IF(OR($U204="",$G204&lt;=0),"",$G204-$A204/10000)</f>
        <v/>
      </c>
      <c r="S204" s="31">
        <f>IF(OR($U204="",$O204&lt;1),"",$O204*10^11+$I204+$J204+$K204-$A204/1000)</f>
        <v/>
      </c>
      <c r="T204" s="31">
        <f>IF($U204="","",IFERROR(MATCH(INDEX(매출원본!$AU$8:$AU$2007,$U204),거래처설정!$I$8:$I$407,0),""))</f>
        <v/>
      </c>
      <c r="U204" s="31">
        <f>IFERROR(MATCH(197,매출원본!$AW$8:$AW$2007,0),"")</f>
        <v/>
      </c>
      <c r="V204" s="31">
        <f>IF($U204="","",MAX(SUMIFS(매출원본!$AT$8:$AT$2007,매출원본!$AY$8:$AY$2007,$A204,매출원본!$AS$8:$AS$2007,"&gt;="&amp;(설정!$B$5-설정!$B$6),매출원본!$AS$8:$AS$2007,"&lt;="&amp;설정!$B$5),0))</f>
        <v/>
      </c>
      <c r="W204" s="31">
        <f>IF($U204="","",MAX($V204,SUMIFS(매출원본!$AT$8:$AT$2007,매출원본!$AY$8:$AY$2007,$A204,매출원본!$AS$8:$AS$2007,"&gt;="&amp;(설정!$B$5-설정!$B$7),매출원본!$AS$8:$AS$2007,"&lt;="&amp;설정!$B$5)))</f>
        <v/>
      </c>
      <c r="X204" s="31">
        <f>IF($U204="","",MAX($W204,SUMIFS(매출원본!$AT$8:$AT$2007,매출원본!$AY$8:$AY$2007,$A204,매출원본!$AS$8:$AS$2007,"&gt;="&amp;(설정!$B$5-설정!$B$8),매출원본!$AS$8:$AS$2007,"&lt;="&amp;설정!$B$5)))</f>
        <v/>
      </c>
      <c r="AC204" s="31">
        <f>IF(OR($U204="",$T204=""),"",INDEX(거래처설정!$J$8:$J$407,$T204))</f>
        <v/>
      </c>
      <c r="AD204" s="31">
        <f>IF(OR($U204="",$T204=""),"",INDEX(거래처설정!$K$8:$K$407,$T204))</f>
        <v/>
      </c>
      <c r="AE204" s="31">
        <f>IF($U204="","",IF(LEN(SUBSTITUTE(SUBSTITUTE(SUBSTITUTE(SUBSTITUTE(SUBSTITUTE(SUBSTITUTE(SUBSTITUTE(SUBSTITUTE(SUBSTITUTE($C204," ",""),"　",""),"(주)",""),"（주）",""),"㈜",""),"주식회사",""),"(유)",""),"（유）",""),"유한회사",""))&lt;2,"",SUBSTITUTE(SUBSTITUTE(SUBSTITUTE(SUBSTITUTE(SUBSTITUTE(SUBSTITUTE(SUBSTITUTE(SUBSTITUTE(SUBSTITUTE($C204," ",""),"　",""),"(주)",""),"（주）",""),"㈜",""),"주식회사",""),"(유)",""),"（유）",""),"유한회사","")))</f>
        <v/>
      </c>
    </row>
    <row r="205">
      <c r="A205" s="38">
        <f>IF($U205="","",198)</f>
        <v/>
      </c>
      <c r="B205" s="38">
        <f>IF($U205="","",IF(LEN(INDEX(매출원본!$AU$8:$AU$2007,$U205))=10,LEFT(INDEX(매출원본!$AU$8:$AU$2007,$U205),3)&amp;"-"&amp;MID(INDEX(매출원본!$AU$8:$AU$2007,$U205),4,2)&amp;"-"&amp;RIGHT(INDEX(매출원본!$AU$8:$AU$2007,$U205),5),IF(LEFT(INDEX(매출원본!$AU$8:$AU$2007,$U205),2)="N:","(번호 없음)",INDEX(매출원본!$AU$8:$AU$2007,$U205))))</f>
        <v/>
      </c>
      <c r="C205" s="38">
        <f>IF($U205="","",INDEX(매출원본!$AV$8:$AV$2007,$U205))</f>
        <v/>
      </c>
      <c r="D205" s="39">
        <f>IF($U205="","",IF($T205="",0,N(INDEX(거래처설정!$E$8:$E$407,$T205))))</f>
        <v/>
      </c>
      <c r="E205" s="39">
        <f>IF($U205="","",SUMIFS(매출원본!$AT$8:$AT$2007,매출원본!$AY$8:$AY$2007,$A205,매출원본!$AS$8:$AS$2007,"&lt;="&amp;설정!$B$5))</f>
        <v/>
      </c>
      <c r="F205" s="39">
        <f>IF($U205="","",SUMIFS(입금_은행1!$Z$8:$Z$2007,입금_은행1!$AC$8:$AC$2007,$A205,입금_은행1!$Y$8:$Y$2007,"&lt;="&amp;설정!$B$5)+SUMIFS(입금_은행2!$Z$8:$Z$2007,입금_은행2!$AC$8:$AC$2007,$A205,입금_은행2!$Y$8:$Y$2007,"&lt;="&amp;설정!$B$5))</f>
        <v/>
      </c>
      <c r="G205" s="39">
        <f>IF($U205="","",$D205+$E205-$F205)</f>
        <v/>
      </c>
      <c r="H205" s="39">
        <f>IF($U205="","",MIN(MAX($G205,0),$V205))</f>
        <v/>
      </c>
      <c r="I205" s="39">
        <f>IF($U205="","",MIN(MAX($G205,0),$W205)-MIN(MAX($G205,0),$V205))</f>
        <v/>
      </c>
      <c r="J205" s="39">
        <f>IF($U205="","",MIN(MAX($G205,0),$X205)-MIN(MAX($G205,0),$W205))</f>
        <v/>
      </c>
      <c r="K205" s="39">
        <f>IF($U205="","",MAX($G205,0)-MIN(MAX($G205,0),$X205))</f>
        <v/>
      </c>
      <c r="L205" s="40">
        <f>IF($U205="","",IF(MAX(SUMPRODUCT(MAX((입금_은행1!$AC$8:$AC$2007=$A205)*(입금_은행1!$AE$8:$AE$2007&lt;=설정!$B$5)*입금_은행1!$AE$8:$AE$2007)),SUMPRODUCT(MAX((입금_은행2!$AC$8:$AC$2007=$A205)*(입금_은행2!$AE$8:$AE$2007&lt;=설정!$B$5)*입금_은행2!$AE$8:$AE$2007)))=0,"",MAX(SUMPRODUCT(MAX((입금_은행1!$AC$8:$AC$2007=$A205)*(입금_은행1!$AE$8:$AE$2007&lt;=설정!$B$5)*입금_은행1!$AE$8:$AE$2007)),SUMPRODUCT(MAX((입금_은행2!$AC$8:$AC$2007=$A205)*(입금_은행2!$AE$8:$AE$2007&lt;=설정!$B$5)*입금_은행2!$AE$8:$AE$2007)))))</f>
        <v/>
      </c>
      <c r="M205" s="38">
        <f>IF($U205="","",IF($T205="","",IF(INDEX(거래처설정!$F$8:$F$407,$T205)="","",INDEX(거래처설정!$F$8:$F$407,$T205))))</f>
        <v/>
      </c>
      <c r="N205" s="38">
        <f>IF($U205="","",IF($T205="","",IF(INDEX(거래처설정!$G$8:$G$407,$T205)="","",INDEX(거래처설정!$G$8:$G$407,$T205))))</f>
        <v/>
      </c>
      <c r="O205" s="38">
        <f>IF($U205="","",IF($M205="제외",0,IF($K205&gt;=설정!$B$9,3,IF($J205+$K205&gt;=설정!$B$9,2,IF($I205+$J205+$K205&gt;=설정!$B$9,1,0)))))</f>
        <v/>
      </c>
      <c r="P205" s="38">
        <f>IF($U205="","",IF($M205="제외","제외(조치 상태)",IF($O205=3,"③ 강한 독촉 후보 ("&amp;설정!$B$8&amp;"일 초과)",IF($O205=2,"② 독촉 후보 ("&amp;설정!$B$7&amp;"일 초과)",IF($O205=1,"① 안내 후보 ("&amp;설정!$B$6&amp;"일 초과)",IF($G205&gt;0,IF($I205+$J205+$K205&gt;0,"오래된 잔액 있음 (최소 금액 미만)","정상 범위"),IF($G205&lt;0,"선수금·초과입금 — 확인","완납")))))))</f>
        <v/>
      </c>
      <c r="Q205" s="38">
        <f>IF($U205="","",IF($G205&lt;0,"입금이 매출보다 큼 — 선수금이거나 다른 거래처 입금이 섞였는지 확인",IF(AND($AE205&lt;&gt;"",COUNTIF($AE$8:$AE$307,"*"&amp;$AE205&amp;"*")&gt;1),"이름이 다른 거래처와 겹침 — 입금이 잘못 맞았을 수 있으니 별칭 확인",IF(AND($G205&gt;0,$F205=0),"입금 매칭 없음 — 입금자명이 다르면 [거래처설정]에 별칭 등록",""))))</f>
        <v/>
      </c>
      <c r="R205" s="31">
        <f>IF(OR($U205="",$G205&lt;=0),"",$G205-$A205/10000)</f>
        <v/>
      </c>
      <c r="S205" s="31">
        <f>IF(OR($U205="",$O205&lt;1),"",$O205*10^11+$I205+$J205+$K205-$A205/1000)</f>
        <v/>
      </c>
      <c r="T205" s="31">
        <f>IF($U205="","",IFERROR(MATCH(INDEX(매출원본!$AU$8:$AU$2007,$U205),거래처설정!$I$8:$I$407,0),""))</f>
        <v/>
      </c>
      <c r="U205" s="31">
        <f>IFERROR(MATCH(198,매출원본!$AW$8:$AW$2007,0),"")</f>
        <v/>
      </c>
      <c r="V205" s="31">
        <f>IF($U205="","",MAX(SUMIFS(매출원본!$AT$8:$AT$2007,매출원본!$AY$8:$AY$2007,$A205,매출원본!$AS$8:$AS$2007,"&gt;="&amp;(설정!$B$5-설정!$B$6),매출원본!$AS$8:$AS$2007,"&lt;="&amp;설정!$B$5),0))</f>
        <v/>
      </c>
      <c r="W205" s="31">
        <f>IF($U205="","",MAX($V205,SUMIFS(매출원본!$AT$8:$AT$2007,매출원본!$AY$8:$AY$2007,$A205,매출원본!$AS$8:$AS$2007,"&gt;="&amp;(설정!$B$5-설정!$B$7),매출원본!$AS$8:$AS$2007,"&lt;="&amp;설정!$B$5)))</f>
        <v/>
      </c>
      <c r="X205" s="31">
        <f>IF($U205="","",MAX($W205,SUMIFS(매출원본!$AT$8:$AT$2007,매출원본!$AY$8:$AY$2007,$A205,매출원본!$AS$8:$AS$2007,"&gt;="&amp;(설정!$B$5-설정!$B$8),매출원본!$AS$8:$AS$2007,"&lt;="&amp;설정!$B$5)))</f>
        <v/>
      </c>
      <c r="AC205" s="31">
        <f>IF(OR($U205="",$T205=""),"",INDEX(거래처설정!$J$8:$J$407,$T205))</f>
        <v/>
      </c>
      <c r="AD205" s="31">
        <f>IF(OR($U205="",$T205=""),"",INDEX(거래처설정!$K$8:$K$407,$T205))</f>
        <v/>
      </c>
      <c r="AE205" s="31">
        <f>IF($U205="","",IF(LEN(SUBSTITUTE(SUBSTITUTE(SUBSTITUTE(SUBSTITUTE(SUBSTITUTE(SUBSTITUTE(SUBSTITUTE(SUBSTITUTE(SUBSTITUTE($C205," ",""),"　",""),"(주)",""),"（주）",""),"㈜",""),"주식회사",""),"(유)",""),"（유）",""),"유한회사",""))&lt;2,"",SUBSTITUTE(SUBSTITUTE(SUBSTITUTE(SUBSTITUTE(SUBSTITUTE(SUBSTITUTE(SUBSTITUTE(SUBSTITUTE(SUBSTITUTE($C205," ",""),"　",""),"(주)",""),"（주）",""),"㈜",""),"주식회사",""),"(유)",""),"（유）",""),"유한회사","")))</f>
        <v/>
      </c>
    </row>
    <row r="206">
      <c r="A206" s="38">
        <f>IF($U206="","",199)</f>
        <v/>
      </c>
      <c r="B206" s="38">
        <f>IF($U206="","",IF(LEN(INDEX(매출원본!$AU$8:$AU$2007,$U206))=10,LEFT(INDEX(매출원본!$AU$8:$AU$2007,$U206),3)&amp;"-"&amp;MID(INDEX(매출원본!$AU$8:$AU$2007,$U206),4,2)&amp;"-"&amp;RIGHT(INDEX(매출원본!$AU$8:$AU$2007,$U206),5),IF(LEFT(INDEX(매출원본!$AU$8:$AU$2007,$U206),2)="N:","(번호 없음)",INDEX(매출원본!$AU$8:$AU$2007,$U206))))</f>
        <v/>
      </c>
      <c r="C206" s="38">
        <f>IF($U206="","",INDEX(매출원본!$AV$8:$AV$2007,$U206))</f>
        <v/>
      </c>
      <c r="D206" s="39">
        <f>IF($U206="","",IF($T206="",0,N(INDEX(거래처설정!$E$8:$E$407,$T206))))</f>
        <v/>
      </c>
      <c r="E206" s="39">
        <f>IF($U206="","",SUMIFS(매출원본!$AT$8:$AT$2007,매출원본!$AY$8:$AY$2007,$A206,매출원본!$AS$8:$AS$2007,"&lt;="&amp;설정!$B$5))</f>
        <v/>
      </c>
      <c r="F206" s="39">
        <f>IF($U206="","",SUMIFS(입금_은행1!$Z$8:$Z$2007,입금_은행1!$AC$8:$AC$2007,$A206,입금_은행1!$Y$8:$Y$2007,"&lt;="&amp;설정!$B$5)+SUMIFS(입금_은행2!$Z$8:$Z$2007,입금_은행2!$AC$8:$AC$2007,$A206,입금_은행2!$Y$8:$Y$2007,"&lt;="&amp;설정!$B$5))</f>
        <v/>
      </c>
      <c r="G206" s="39">
        <f>IF($U206="","",$D206+$E206-$F206)</f>
        <v/>
      </c>
      <c r="H206" s="39">
        <f>IF($U206="","",MIN(MAX($G206,0),$V206))</f>
        <v/>
      </c>
      <c r="I206" s="39">
        <f>IF($U206="","",MIN(MAX($G206,0),$W206)-MIN(MAX($G206,0),$V206))</f>
        <v/>
      </c>
      <c r="J206" s="39">
        <f>IF($U206="","",MIN(MAX($G206,0),$X206)-MIN(MAX($G206,0),$W206))</f>
        <v/>
      </c>
      <c r="K206" s="39">
        <f>IF($U206="","",MAX($G206,0)-MIN(MAX($G206,0),$X206))</f>
        <v/>
      </c>
      <c r="L206" s="40">
        <f>IF($U206="","",IF(MAX(SUMPRODUCT(MAX((입금_은행1!$AC$8:$AC$2007=$A206)*(입금_은행1!$AE$8:$AE$2007&lt;=설정!$B$5)*입금_은행1!$AE$8:$AE$2007)),SUMPRODUCT(MAX((입금_은행2!$AC$8:$AC$2007=$A206)*(입금_은행2!$AE$8:$AE$2007&lt;=설정!$B$5)*입금_은행2!$AE$8:$AE$2007)))=0,"",MAX(SUMPRODUCT(MAX((입금_은행1!$AC$8:$AC$2007=$A206)*(입금_은행1!$AE$8:$AE$2007&lt;=설정!$B$5)*입금_은행1!$AE$8:$AE$2007)),SUMPRODUCT(MAX((입금_은행2!$AC$8:$AC$2007=$A206)*(입금_은행2!$AE$8:$AE$2007&lt;=설정!$B$5)*입금_은행2!$AE$8:$AE$2007)))))</f>
        <v/>
      </c>
      <c r="M206" s="38">
        <f>IF($U206="","",IF($T206="","",IF(INDEX(거래처설정!$F$8:$F$407,$T206)="","",INDEX(거래처설정!$F$8:$F$407,$T206))))</f>
        <v/>
      </c>
      <c r="N206" s="38">
        <f>IF($U206="","",IF($T206="","",IF(INDEX(거래처설정!$G$8:$G$407,$T206)="","",INDEX(거래처설정!$G$8:$G$407,$T206))))</f>
        <v/>
      </c>
      <c r="O206" s="38">
        <f>IF($U206="","",IF($M206="제외",0,IF($K206&gt;=설정!$B$9,3,IF($J206+$K206&gt;=설정!$B$9,2,IF($I206+$J206+$K206&gt;=설정!$B$9,1,0)))))</f>
        <v/>
      </c>
      <c r="P206" s="38">
        <f>IF($U206="","",IF($M206="제외","제외(조치 상태)",IF($O206=3,"③ 강한 독촉 후보 ("&amp;설정!$B$8&amp;"일 초과)",IF($O206=2,"② 독촉 후보 ("&amp;설정!$B$7&amp;"일 초과)",IF($O206=1,"① 안내 후보 ("&amp;설정!$B$6&amp;"일 초과)",IF($G206&gt;0,IF($I206+$J206+$K206&gt;0,"오래된 잔액 있음 (최소 금액 미만)","정상 범위"),IF($G206&lt;0,"선수금·초과입금 — 확인","완납")))))))</f>
        <v/>
      </c>
      <c r="Q206" s="38">
        <f>IF($U206="","",IF($G206&lt;0,"입금이 매출보다 큼 — 선수금이거나 다른 거래처 입금이 섞였는지 확인",IF(AND($AE206&lt;&gt;"",COUNTIF($AE$8:$AE$307,"*"&amp;$AE206&amp;"*")&gt;1),"이름이 다른 거래처와 겹침 — 입금이 잘못 맞았을 수 있으니 별칭 확인",IF(AND($G206&gt;0,$F206=0),"입금 매칭 없음 — 입금자명이 다르면 [거래처설정]에 별칭 등록",""))))</f>
        <v/>
      </c>
      <c r="R206" s="31">
        <f>IF(OR($U206="",$G206&lt;=0),"",$G206-$A206/10000)</f>
        <v/>
      </c>
      <c r="S206" s="31">
        <f>IF(OR($U206="",$O206&lt;1),"",$O206*10^11+$I206+$J206+$K206-$A206/1000)</f>
        <v/>
      </c>
      <c r="T206" s="31">
        <f>IF($U206="","",IFERROR(MATCH(INDEX(매출원본!$AU$8:$AU$2007,$U206),거래처설정!$I$8:$I$407,0),""))</f>
        <v/>
      </c>
      <c r="U206" s="31">
        <f>IFERROR(MATCH(199,매출원본!$AW$8:$AW$2007,0),"")</f>
        <v/>
      </c>
      <c r="V206" s="31">
        <f>IF($U206="","",MAX(SUMIFS(매출원본!$AT$8:$AT$2007,매출원본!$AY$8:$AY$2007,$A206,매출원본!$AS$8:$AS$2007,"&gt;="&amp;(설정!$B$5-설정!$B$6),매출원본!$AS$8:$AS$2007,"&lt;="&amp;설정!$B$5),0))</f>
        <v/>
      </c>
      <c r="W206" s="31">
        <f>IF($U206="","",MAX($V206,SUMIFS(매출원본!$AT$8:$AT$2007,매출원본!$AY$8:$AY$2007,$A206,매출원본!$AS$8:$AS$2007,"&gt;="&amp;(설정!$B$5-설정!$B$7),매출원본!$AS$8:$AS$2007,"&lt;="&amp;설정!$B$5)))</f>
        <v/>
      </c>
      <c r="X206" s="31">
        <f>IF($U206="","",MAX($W206,SUMIFS(매출원본!$AT$8:$AT$2007,매출원본!$AY$8:$AY$2007,$A206,매출원본!$AS$8:$AS$2007,"&gt;="&amp;(설정!$B$5-설정!$B$8),매출원본!$AS$8:$AS$2007,"&lt;="&amp;설정!$B$5)))</f>
        <v/>
      </c>
      <c r="AC206" s="31">
        <f>IF(OR($U206="",$T206=""),"",INDEX(거래처설정!$J$8:$J$407,$T206))</f>
        <v/>
      </c>
      <c r="AD206" s="31">
        <f>IF(OR($U206="",$T206=""),"",INDEX(거래처설정!$K$8:$K$407,$T206))</f>
        <v/>
      </c>
      <c r="AE206" s="31">
        <f>IF($U206="","",IF(LEN(SUBSTITUTE(SUBSTITUTE(SUBSTITUTE(SUBSTITUTE(SUBSTITUTE(SUBSTITUTE(SUBSTITUTE(SUBSTITUTE(SUBSTITUTE($C206," ",""),"　",""),"(주)",""),"（주）",""),"㈜",""),"주식회사",""),"(유)",""),"（유）",""),"유한회사",""))&lt;2,"",SUBSTITUTE(SUBSTITUTE(SUBSTITUTE(SUBSTITUTE(SUBSTITUTE(SUBSTITUTE(SUBSTITUTE(SUBSTITUTE(SUBSTITUTE($C206," ",""),"　",""),"(주)",""),"（주）",""),"㈜",""),"주식회사",""),"(유)",""),"（유）",""),"유한회사","")))</f>
        <v/>
      </c>
    </row>
    <row r="207">
      <c r="A207" s="38">
        <f>IF($U207="","",200)</f>
        <v/>
      </c>
      <c r="B207" s="38">
        <f>IF($U207="","",IF(LEN(INDEX(매출원본!$AU$8:$AU$2007,$U207))=10,LEFT(INDEX(매출원본!$AU$8:$AU$2007,$U207),3)&amp;"-"&amp;MID(INDEX(매출원본!$AU$8:$AU$2007,$U207),4,2)&amp;"-"&amp;RIGHT(INDEX(매출원본!$AU$8:$AU$2007,$U207),5),IF(LEFT(INDEX(매출원본!$AU$8:$AU$2007,$U207),2)="N:","(번호 없음)",INDEX(매출원본!$AU$8:$AU$2007,$U207))))</f>
        <v/>
      </c>
      <c r="C207" s="38">
        <f>IF($U207="","",INDEX(매출원본!$AV$8:$AV$2007,$U207))</f>
        <v/>
      </c>
      <c r="D207" s="39">
        <f>IF($U207="","",IF($T207="",0,N(INDEX(거래처설정!$E$8:$E$407,$T207))))</f>
        <v/>
      </c>
      <c r="E207" s="39">
        <f>IF($U207="","",SUMIFS(매출원본!$AT$8:$AT$2007,매출원본!$AY$8:$AY$2007,$A207,매출원본!$AS$8:$AS$2007,"&lt;="&amp;설정!$B$5))</f>
        <v/>
      </c>
      <c r="F207" s="39">
        <f>IF($U207="","",SUMIFS(입금_은행1!$Z$8:$Z$2007,입금_은행1!$AC$8:$AC$2007,$A207,입금_은행1!$Y$8:$Y$2007,"&lt;="&amp;설정!$B$5)+SUMIFS(입금_은행2!$Z$8:$Z$2007,입금_은행2!$AC$8:$AC$2007,$A207,입금_은행2!$Y$8:$Y$2007,"&lt;="&amp;설정!$B$5))</f>
        <v/>
      </c>
      <c r="G207" s="39">
        <f>IF($U207="","",$D207+$E207-$F207)</f>
        <v/>
      </c>
      <c r="H207" s="39">
        <f>IF($U207="","",MIN(MAX($G207,0),$V207))</f>
        <v/>
      </c>
      <c r="I207" s="39">
        <f>IF($U207="","",MIN(MAX($G207,0),$W207)-MIN(MAX($G207,0),$V207))</f>
        <v/>
      </c>
      <c r="J207" s="39">
        <f>IF($U207="","",MIN(MAX($G207,0),$X207)-MIN(MAX($G207,0),$W207))</f>
        <v/>
      </c>
      <c r="K207" s="39">
        <f>IF($U207="","",MAX($G207,0)-MIN(MAX($G207,0),$X207))</f>
        <v/>
      </c>
      <c r="L207" s="40">
        <f>IF($U207="","",IF(MAX(SUMPRODUCT(MAX((입금_은행1!$AC$8:$AC$2007=$A207)*(입금_은행1!$AE$8:$AE$2007&lt;=설정!$B$5)*입금_은행1!$AE$8:$AE$2007)),SUMPRODUCT(MAX((입금_은행2!$AC$8:$AC$2007=$A207)*(입금_은행2!$AE$8:$AE$2007&lt;=설정!$B$5)*입금_은행2!$AE$8:$AE$2007)))=0,"",MAX(SUMPRODUCT(MAX((입금_은행1!$AC$8:$AC$2007=$A207)*(입금_은행1!$AE$8:$AE$2007&lt;=설정!$B$5)*입금_은행1!$AE$8:$AE$2007)),SUMPRODUCT(MAX((입금_은행2!$AC$8:$AC$2007=$A207)*(입금_은행2!$AE$8:$AE$2007&lt;=설정!$B$5)*입금_은행2!$AE$8:$AE$2007)))))</f>
        <v/>
      </c>
      <c r="M207" s="38">
        <f>IF($U207="","",IF($T207="","",IF(INDEX(거래처설정!$F$8:$F$407,$T207)="","",INDEX(거래처설정!$F$8:$F$407,$T207))))</f>
        <v/>
      </c>
      <c r="N207" s="38">
        <f>IF($U207="","",IF($T207="","",IF(INDEX(거래처설정!$G$8:$G$407,$T207)="","",INDEX(거래처설정!$G$8:$G$407,$T207))))</f>
        <v/>
      </c>
      <c r="O207" s="38">
        <f>IF($U207="","",IF($M207="제외",0,IF($K207&gt;=설정!$B$9,3,IF($J207+$K207&gt;=설정!$B$9,2,IF($I207+$J207+$K207&gt;=설정!$B$9,1,0)))))</f>
        <v/>
      </c>
      <c r="P207" s="38">
        <f>IF($U207="","",IF($M207="제외","제외(조치 상태)",IF($O207=3,"③ 강한 독촉 후보 ("&amp;설정!$B$8&amp;"일 초과)",IF($O207=2,"② 독촉 후보 ("&amp;설정!$B$7&amp;"일 초과)",IF($O207=1,"① 안내 후보 ("&amp;설정!$B$6&amp;"일 초과)",IF($G207&gt;0,IF($I207+$J207+$K207&gt;0,"오래된 잔액 있음 (최소 금액 미만)","정상 범위"),IF($G207&lt;0,"선수금·초과입금 — 확인","완납")))))))</f>
        <v/>
      </c>
      <c r="Q207" s="38">
        <f>IF($U207="","",IF($G207&lt;0,"입금이 매출보다 큼 — 선수금이거나 다른 거래처 입금이 섞였는지 확인",IF(AND($AE207&lt;&gt;"",COUNTIF($AE$8:$AE$307,"*"&amp;$AE207&amp;"*")&gt;1),"이름이 다른 거래처와 겹침 — 입금이 잘못 맞았을 수 있으니 별칭 확인",IF(AND($G207&gt;0,$F207=0),"입금 매칭 없음 — 입금자명이 다르면 [거래처설정]에 별칭 등록",""))))</f>
        <v/>
      </c>
      <c r="R207" s="31">
        <f>IF(OR($U207="",$G207&lt;=0),"",$G207-$A207/10000)</f>
        <v/>
      </c>
      <c r="S207" s="31">
        <f>IF(OR($U207="",$O207&lt;1),"",$O207*10^11+$I207+$J207+$K207-$A207/1000)</f>
        <v/>
      </c>
      <c r="T207" s="31">
        <f>IF($U207="","",IFERROR(MATCH(INDEX(매출원본!$AU$8:$AU$2007,$U207),거래처설정!$I$8:$I$407,0),""))</f>
        <v/>
      </c>
      <c r="U207" s="31">
        <f>IFERROR(MATCH(200,매출원본!$AW$8:$AW$2007,0),"")</f>
        <v/>
      </c>
      <c r="V207" s="31">
        <f>IF($U207="","",MAX(SUMIFS(매출원본!$AT$8:$AT$2007,매출원본!$AY$8:$AY$2007,$A207,매출원본!$AS$8:$AS$2007,"&gt;="&amp;(설정!$B$5-설정!$B$6),매출원본!$AS$8:$AS$2007,"&lt;="&amp;설정!$B$5),0))</f>
        <v/>
      </c>
      <c r="W207" s="31">
        <f>IF($U207="","",MAX($V207,SUMIFS(매출원본!$AT$8:$AT$2007,매출원본!$AY$8:$AY$2007,$A207,매출원본!$AS$8:$AS$2007,"&gt;="&amp;(설정!$B$5-설정!$B$7),매출원본!$AS$8:$AS$2007,"&lt;="&amp;설정!$B$5)))</f>
        <v/>
      </c>
      <c r="X207" s="31">
        <f>IF($U207="","",MAX($W207,SUMIFS(매출원본!$AT$8:$AT$2007,매출원본!$AY$8:$AY$2007,$A207,매출원본!$AS$8:$AS$2007,"&gt;="&amp;(설정!$B$5-설정!$B$8),매출원본!$AS$8:$AS$2007,"&lt;="&amp;설정!$B$5)))</f>
        <v/>
      </c>
      <c r="AC207" s="31">
        <f>IF(OR($U207="",$T207=""),"",INDEX(거래처설정!$J$8:$J$407,$T207))</f>
        <v/>
      </c>
      <c r="AD207" s="31">
        <f>IF(OR($U207="",$T207=""),"",INDEX(거래처설정!$K$8:$K$407,$T207))</f>
        <v/>
      </c>
      <c r="AE207" s="31">
        <f>IF($U207="","",IF(LEN(SUBSTITUTE(SUBSTITUTE(SUBSTITUTE(SUBSTITUTE(SUBSTITUTE(SUBSTITUTE(SUBSTITUTE(SUBSTITUTE(SUBSTITUTE($C207," ",""),"　",""),"(주)",""),"（주）",""),"㈜",""),"주식회사",""),"(유)",""),"（유）",""),"유한회사",""))&lt;2,"",SUBSTITUTE(SUBSTITUTE(SUBSTITUTE(SUBSTITUTE(SUBSTITUTE(SUBSTITUTE(SUBSTITUTE(SUBSTITUTE(SUBSTITUTE($C207," ",""),"　",""),"(주)",""),"（주）",""),"㈜",""),"주식회사",""),"(유)",""),"（유）",""),"유한회사","")))</f>
        <v/>
      </c>
    </row>
    <row r="208">
      <c r="A208" s="38">
        <f>IF($U208="","",201)</f>
        <v/>
      </c>
      <c r="B208" s="38">
        <f>IF($U208="","",IF(LEN(INDEX(매출원본!$AU$8:$AU$2007,$U208))=10,LEFT(INDEX(매출원본!$AU$8:$AU$2007,$U208),3)&amp;"-"&amp;MID(INDEX(매출원본!$AU$8:$AU$2007,$U208),4,2)&amp;"-"&amp;RIGHT(INDEX(매출원본!$AU$8:$AU$2007,$U208),5),IF(LEFT(INDEX(매출원본!$AU$8:$AU$2007,$U208),2)="N:","(번호 없음)",INDEX(매출원본!$AU$8:$AU$2007,$U208))))</f>
        <v/>
      </c>
      <c r="C208" s="38">
        <f>IF($U208="","",INDEX(매출원본!$AV$8:$AV$2007,$U208))</f>
        <v/>
      </c>
      <c r="D208" s="39">
        <f>IF($U208="","",IF($T208="",0,N(INDEX(거래처설정!$E$8:$E$407,$T208))))</f>
        <v/>
      </c>
      <c r="E208" s="39">
        <f>IF($U208="","",SUMIFS(매출원본!$AT$8:$AT$2007,매출원본!$AY$8:$AY$2007,$A208,매출원본!$AS$8:$AS$2007,"&lt;="&amp;설정!$B$5))</f>
        <v/>
      </c>
      <c r="F208" s="39">
        <f>IF($U208="","",SUMIFS(입금_은행1!$Z$8:$Z$2007,입금_은행1!$AC$8:$AC$2007,$A208,입금_은행1!$Y$8:$Y$2007,"&lt;="&amp;설정!$B$5)+SUMIFS(입금_은행2!$Z$8:$Z$2007,입금_은행2!$AC$8:$AC$2007,$A208,입금_은행2!$Y$8:$Y$2007,"&lt;="&amp;설정!$B$5))</f>
        <v/>
      </c>
      <c r="G208" s="39">
        <f>IF($U208="","",$D208+$E208-$F208)</f>
        <v/>
      </c>
      <c r="H208" s="39">
        <f>IF($U208="","",MIN(MAX($G208,0),$V208))</f>
        <v/>
      </c>
      <c r="I208" s="39">
        <f>IF($U208="","",MIN(MAX($G208,0),$W208)-MIN(MAX($G208,0),$V208))</f>
        <v/>
      </c>
      <c r="J208" s="39">
        <f>IF($U208="","",MIN(MAX($G208,0),$X208)-MIN(MAX($G208,0),$W208))</f>
        <v/>
      </c>
      <c r="K208" s="39">
        <f>IF($U208="","",MAX($G208,0)-MIN(MAX($G208,0),$X208))</f>
        <v/>
      </c>
      <c r="L208" s="40">
        <f>IF($U208="","",IF(MAX(SUMPRODUCT(MAX((입금_은행1!$AC$8:$AC$2007=$A208)*(입금_은행1!$AE$8:$AE$2007&lt;=설정!$B$5)*입금_은행1!$AE$8:$AE$2007)),SUMPRODUCT(MAX((입금_은행2!$AC$8:$AC$2007=$A208)*(입금_은행2!$AE$8:$AE$2007&lt;=설정!$B$5)*입금_은행2!$AE$8:$AE$2007)))=0,"",MAX(SUMPRODUCT(MAX((입금_은행1!$AC$8:$AC$2007=$A208)*(입금_은행1!$AE$8:$AE$2007&lt;=설정!$B$5)*입금_은행1!$AE$8:$AE$2007)),SUMPRODUCT(MAX((입금_은행2!$AC$8:$AC$2007=$A208)*(입금_은행2!$AE$8:$AE$2007&lt;=설정!$B$5)*입금_은행2!$AE$8:$AE$2007)))))</f>
        <v/>
      </c>
      <c r="M208" s="38">
        <f>IF($U208="","",IF($T208="","",IF(INDEX(거래처설정!$F$8:$F$407,$T208)="","",INDEX(거래처설정!$F$8:$F$407,$T208))))</f>
        <v/>
      </c>
      <c r="N208" s="38">
        <f>IF($U208="","",IF($T208="","",IF(INDEX(거래처설정!$G$8:$G$407,$T208)="","",INDEX(거래처설정!$G$8:$G$407,$T208))))</f>
        <v/>
      </c>
      <c r="O208" s="38">
        <f>IF($U208="","",IF($M208="제외",0,IF($K208&gt;=설정!$B$9,3,IF($J208+$K208&gt;=설정!$B$9,2,IF($I208+$J208+$K208&gt;=설정!$B$9,1,0)))))</f>
        <v/>
      </c>
      <c r="P208" s="38">
        <f>IF($U208="","",IF($M208="제외","제외(조치 상태)",IF($O208=3,"③ 강한 독촉 후보 ("&amp;설정!$B$8&amp;"일 초과)",IF($O208=2,"② 독촉 후보 ("&amp;설정!$B$7&amp;"일 초과)",IF($O208=1,"① 안내 후보 ("&amp;설정!$B$6&amp;"일 초과)",IF($G208&gt;0,IF($I208+$J208+$K208&gt;0,"오래된 잔액 있음 (최소 금액 미만)","정상 범위"),IF($G208&lt;0,"선수금·초과입금 — 확인","완납")))))))</f>
        <v/>
      </c>
      <c r="Q208" s="38">
        <f>IF($U208="","",IF($G208&lt;0,"입금이 매출보다 큼 — 선수금이거나 다른 거래처 입금이 섞였는지 확인",IF(AND($AE208&lt;&gt;"",COUNTIF($AE$8:$AE$307,"*"&amp;$AE208&amp;"*")&gt;1),"이름이 다른 거래처와 겹침 — 입금이 잘못 맞았을 수 있으니 별칭 확인",IF(AND($G208&gt;0,$F208=0),"입금 매칭 없음 — 입금자명이 다르면 [거래처설정]에 별칭 등록",""))))</f>
        <v/>
      </c>
      <c r="R208" s="31">
        <f>IF(OR($U208="",$G208&lt;=0),"",$G208-$A208/10000)</f>
        <v/>
      </c>
      <c r="S208" s="31">
        <f>IF(OR($U208="",$O208&lt;1),"",$O208*10^11+$I208+$J208+$K208-$A208/1000)</f>
        <v/>
      </c>
      <c r="T208" s="31">
        <f>IF($U208="","",IFERROR(MATCH(INDEX(매출원본!$AU$8:$AU$2007,$U208),거래처설정!$I$8:$I$407,0),""))</f>
        <v/>
      </c>
      <c r="U208" s="31">
        <f>IFERROR(MATCH(201,매출원본!$AW$8:$AW$2007,0),"")</f>
        <v/>
      </c>
      <c r="V208" s="31">
        <f>IF($U208="","",MAX(SUMIFS(매출원본!$AT$8:$AT$2007,매출원본!$AY$8:$AY$2007,$A208,매출원본!$AS$8:$AS$2007,"&gt;="&amp;(설정!$B$5-설정!$B$6),매출원본!$AS$8:$AS$2007,"&lt;="&amp;설정!$B$5),0))</f>
        <v/>
      </c>
      <c r="W208" s="31">
        <f>IF($U208="","",MAX($V208,SUMIFS(매출원본!$AT$8:$AT$2007,매출원본!$AY$8:$AY$2007,$A208,매출원본!$AS$8:$AS$2007,"&gt;="&amp;(설정!$B$5-설정!$B$7),매출원본!$AS$8:$AS$2007,"&lt;="&amp;설정!$B$5)))</f>
        <v/>
      </c>
      <c r="X208" s="31">
        <f>IF($U208="","",MAX($W208,SUMIFS(매출원본!$AT$8:$AT$2007,매출원본!$AY$8:$AY$2007,$A208,매출원본!$AS$8:$AS$2007,"&gt;="&amp;(설정!$B$5-설정!$B$8),매출원본!$AS$8:$AS$2007,"&lt;="&amp;설정!$B$5)))</f>
        <v/>
      </c>
      <c r="AC208" s="31">
        <f>IF(OR($U208="",$T208=""),"",INDEX(거래처설정!$J$8:$J$407,$T208))</f>
        <v/>
      </c>
      <c r="AD208" s="31">
        <f>IF(OR($U208="",$T208=""),"",INDEX(거래처설정!$K$8:$K$407,$T208))</f>
        <v/>
      </c>
      <c r="AE208" s="31">
        <f>IF($U208="","",IF(LEN(SUBSTITUTE(SUBSTITUTE(SUBSTITUTE(SUBSTITUTE(SUBSTITUTE(SUBSTITUTE(SUBSTITUTE(SUBSTITUTE(SUBSTITUTE($C208," ",""),"　",""),"(주)",""),"（주）",""),"㈜",""),"주식회사",""),"(유)",""),"（유）",""),"유한회사",""))&lt;2,"",SUBSTITUTE(SUBSTITUTE(SUBSTITUTE(SUBSTITUTE(SUBSTITUTE(SUBSTITUTE(SUBSTITUTE(SUBSTITUTE(SUBSTITUTE($C208," ",""),"　",""),"(주)",""),"（주）",""),"㈜",""),"주식회사",""),"(유)",""),"（유）",""),"유한회사","")))</f>
        <v/>
      </c>
    </row>
    <row r="209">
      <c r="A209" s="38">
        <f>IF($U209="","",202)</f>
        <v/>
      </c>
      <c r="B209" s="38">
        <f>IF($U209="","",IF(LEN(INDEX(매출원본!$AU$8:$AU$2007,$U209))=10,LEFT(INDEX(매출원본!$AU$8:$AU$2007,$U209),3)&amp;"-"&amp;MID(INDEX(매출원본!$AU$8:$AU$2007,$U209),4,2)&amp;"-"&amp;RIGHT(INDEX(매출원본!$AU$8:$AU$2007,$U209),5),IF(LEFT(INDEX(매출원본!$AU$8:$AU$2007,$U209),2)="N:","(번호 없음)",INDEX(매출원본!$AU$8:$AU$2007,$U209))))</f>
        <v/>
      </c>
      <c r="C209" s="38">
        <f>IF($U209="","",INDEX(매출원본!$AV$8:$AV$2007,$U209))</f>
        <v/>
      </c>
      <c r="D209" s="39">
        <f>IF($U209="","",IF($T209="",0,N(INDEX(거래처설정!$E$8:$E$407,$T209))))</f>
        <v/>
      </c>
      <c r="E209" s="39">
        <f>IF($U209="","",SUMIFS(매출원본!$AT$8:$AT$2007,매출원본!$AY$8:$AY$2007,$A209,매출원본!$AS$8:$AS$2007,"&lt;="&amp;설정!$B$5))</f>
        <v/>
      </c>
      <c r="F209" s="39">
        <f>IF($U209="","",SUMIFS(입금_은행1!$Z$8:$Z$2007,입금_은행1!$AC$8:$AC$2007,$A209,입금_은행1!$Y$8:$Y$2007,"&lt;="&amp;설정!$B$5)+SUMIFS(입금_은행2!$Z$8:$Z$2007,입금_은행2!$AC$8:$AC$2007,$A209,입금_은행2!$Y$8:$Y$2007,"&lt;="&amp;설정!$B$5))</f>
        <v/>
      </c>
      <c r="G209" s="39">
        <f>IF($U209="","",$D209+$E209-$F209)</f>
        <v/>
      </c>
      <c r="H209" s="39">
        <f>IF($U209="","",MIN(MAX($G209,0),$V209))</f>
        <v/>
      </c>
      <c r="I209" s="39">
        <f>IF($U209="","",MIN(MAX($G209,0),$W209)-MIN(MAX($G209,0),$V209))</f>
        <v/>
      </c>
      <c r="J209" s="39">
        <f>IF($U209="","",MIN(MAX($G209,0),$X209)-MIN(MAX($G209,0),$W209))</f>
        <v/>
      </c>
      <c r="K209" s="39">
        <f>IF($U209="","",MAX($G209,0)-MIN(MAX($G209,0),$X209))</f>
        <v/>
      </c>
      <c r="L209" s="40">
        <f>IF($U209="","",IF(MAX(SUMPRODUCT(MAX((입금_은행1!$AC$8:$AC$2007=$A209)*(입금_은행1!$AE$8:$AE$2007&lt;=설정!$B$5)*입금_은행1!$AE$8:$AE$2007)),SUMPRODUCT(MAX((입금_은행2!$AC$8:$AC$2007=$A209)*(입금_은행2!$AE$8:$AE$2007&lt;=설정!$B$5)*입금_은행2!$AE$8:$AE$2007)))=0,"",MAX(SUMPRODUCT(MAX((입금_은행1!$AC$8:$AC$2007=$A209)*(입금_은행1!$AE$8:$AE$2007&lt;=설정!$B$5)*입금_은행1!$AE$8:$AE$2007)),SUMPRODUCT(MAX((입금_은행2!$AC$8:$AC$2007=$A209)*(입금_은행2!$AE$8:$AE$2007&lt;=설정!$B$5)*입금_은행2!$AE$8:$AE$2007)))))</f>
        <v/>
      </c>
      <c r="M209" s="38">
        <f>IF($U209="","",IF($T209="","",IF(INDEX(거래처설정!$F$8:$F$407,$T209)="","",INDEX(거래처설정!$F$8:$F$407,$T209))))</f>
        <v/>
      </c>
      <c r="N209" s="38">
        <f>IF($U209="","",IF($T209="","",IF(INDEX(거래처설정!$G$8:$G$407,$T209)="","",INDEX(거래처설정!$G$8:$G$407,$T209))))</f>
        <v/>
      </c>
      <c r="O209" s="38">
        <f>IF($U209="","",IF($M209="제외",0,IF($K209&gt;=설정!$B$9,3,IF($J209+$K209&gt;=설정!$B$9,2,IF($I209+$J209+$K209&gt;=설정!$B$9,1,0)))))</f>
        <v/>
      </c>
      <c r="P209" s="38">
        <f>IF($U209="","",IF($M209="제외","제외(조치 상태)",IF($O209=3,"③ 강한 독촉 후보 ("&amp;설정!$B$8&amp;"일 초과)",IF($O209=2,"② 독촉 후보 ("&amp;설정!$B$7&amp;"일 초과)",IF($O209=1,"① 안내 후보 ("&amp;설정!$B$6&amp;"일 초과)",IF($G209&gt;0,IF($I209+$J209+$K209&gt;0,"오래된 잔액 있음 (최소 금액 미만)","정상 범위"),IF($G209&lt;0,"선수금·초과입금 — 확인","완납")))))))</f>
        <v/>
      </c>
      <c r="Q209" s="38">
        <f>IF($U209="","",IF($G209&lt;0,"입금이 매출보다 큼 — 선수금이거나 다른 거래처 입금이 섞였는지 확인",IF(AND($AE209&lt;&gt;"",COUNTIF($AE$8:$AE$307,"*"&amp;$AE209&amp;"*")&gt;1),"이름이 다른 거래처와 겹침 — 입금이 잘못 맞았을 수 있으니 별칭 확인",IF(AND($G209&gt;0,$F209=0),"입금 매칭 없음 — 입금자명이 다르면 [거래처설정]에 별칭 등록",""))))</f>
        <v/>
      </c>
      <c r="R209" s="31">
        <f>IF(OR($U209="",$G209&lt;=0),"",$G209-$A209/10000)</f>
        <v/>
      </c>
      <c r="S209" s="31">
        <f>IF(OR($U209="",$O209&lt;1),"",$O209*10^11+$I209+$J209+$K209-$A209/1000)</f>
        <v/>
      </c>
      <c r="T209" s="31">
        <f>IF($U209="","",IFERROR(MATCH(INDEX(매출원본!$AU$8:$AU$2007,$U209),거래처설정!$I$8:$I$407,0),""))</f>
        <v/>
      </c>
      <c r="U209" s="31">
        <f>IFERROR(MATCH(202,매출원본!$AW$8:$AW$2007,0),"")</f>
        <v/>
      </c>
      <c r="V209" s="31">
        <f>IF($U209="","",MAX(SUMIFS(매출원본!$AT$8:$AT$2007,매출원본!$AY$8:$AY$2007,$A209,매출원본!$AS$8:$AS$2007,"&gt;="&amp;(설정!$B$5-설정!$B$6),매출원본!$AS$8:$AS$2007,"&lt;="&amp;설정!$B$5),0))</f>
        <v/>
      </c>
      <c r="W209" s="31">
        <f>IF($U209="","",MAX($V209,SUMIFS(매출원본!$AT$8:$AT$2007,매출원본!$AY$8:$AY$2007,$A209,매출원본!$AS$8:$AS$2007,"&gt;="&amp;(설정!$B$5-설정!$B$7),매출원본!$AS$8:$AS$2007,"&lt;="&amp;설정!$B$5)))</f>
        <v/>
      </c>
      <c r="X209" s="31">
        <f>IF($U209="","",MAX($W209,SUMIFS(매출원본!$AT$8:$AT$2007,매출원본!$AY$8:$AY$2007,$A209,매출원본!$AS$8:$AS$2007,"&gt;="&amp;(설정!$B$5-설정!$B$8),매출원본!$AS$8:$AS$2007,"&lt;="&amp;설정!$B$5)))</f>
        <v/>
      </c>
      <c r="AC209" s="31">
        <f>IF(OR($U209="",$T209=""),"",INDEX(거래처설정!$J$8:$J$407,$T209))</f>
        <v/>
      </c>
      <c r="AD209" s="31">
        <f>IF(OR($U209="",$T209=""),"",INDEX(거래처설정!$K$8:$K$407,$T209))</f>
        <v/>
      </c>
      <c r="AE209" s="31">
        <f>IF($U209="","",IF(LEN(SUBSTITUTE(SUBSTITUTE(SUBSTITUTE(SUBSTITUTE(SUBSTITUTE(SUBSTITUTE(SUBSTITUTE(SUBSTITUTE(SUBSTITUTE($C209," ",""),"　",""),"(주)",""),"（주）",""),"㈜",""),"주식회사",""),"(유)",""),"（유）",""),"유한회사",""))&lt;2,"",SUBSTITUTE(SUBSTITUTE(SUBSTITUTE(SUBSTITUTE(SUBSTITUTE(SUBSTITUTE(SUBSTITUTE(SUBSTITUTE(SUBSTITUTE($C209," ",""),"　",""),"(주)",""),"（주）",""),"㈜",""),"주식회사",""),"(유)",""),"（유）",""),"유한회사","")))</f>
        <v/>
      </c>
    </row>
    <row r="210">
      <c r="A210" s="38">
        <f>IF($U210="","",203)</f>
        <v/>
      </c>
      <c r="B210" s="38">
        <f>IF($U210="","",IF(LEN(INDEX(매출원본!$AU$8:$AU$2007,$U210))=10,LEFT(INDEX(매출원본!$AU$8:$AU$2007,$U210),3)&amp;"-"&amp;MID(INDEX(매출원본!$AU$8:$AU$2007,$U210),4,2)&amp;"-"&amp;RIGHT(INDEX(매출원본!$AU$8:$AU$2007,$U210),5),IF(LEFT(INDEX(매출원본!$AU$8:$AU$2007,$U210),2)="N:","(번호 없음)",INDEX(매출원본!$AU$8:$AU$2007,$U210))))</f>
        <v/>
      </c>
      <c r="C210" s="38">
        <f>IF($U210="","",INDEX(매출원본!$AV$8:$AV$2007,$U210))</f>
        <v/>
      </c>
      <c r="D210" s="39">
        <f>IF($U210="","",IF($T210="",0,N(INDEX(거래처설정!$E$8:$E$407,$T210))))</f>
        <v/>
      </c>
      <c r="E210" s="39">
        <f>IF($U210="","",SUMIFS(매출원본!$AT$8:$AT$2007,매출원본!$AY$8:$AY$2007,$A210,매출원본!$AS$8:$AS$2007,"&lt;="&amp;설정!$B$5))</f>
        <v/>
      </c>
      <c r="F210" s="39">
        <f>IF($U210="","",SUMIFS(입금_은행1!$Z$8:$Z$2007,입금_은행1!$AC$8:$AC$2007,$A210,입금_은행1!$Y$8:$Y$2007,"&lt;="&amp;설정!$B$5)+SUMIFS(입금_은행2!$Z$8:$Z$2007,입금_은행2!$AC$8:$AC$2007,$A210,입금_은행2!$Y$8:$Y$2007,"&lt;="&amp;설정!$B$5))</f>
        <v/>
      </c>
      <c r="G210" s="39">
        <f>IF($U210="","",$D210+$E210-$F210)</f>
        <v/>
      </c>
      <c r="H210" s="39">
        <f>IF($U210="","",MIN(MAX($G210,0),$V210))</f>
        <v/>
      </c>
      <c r="I210" s="39">
        <f>IF($U210="","",MIN(MAX($G210,0),$W210)-MIN(MAX($G210,0),$V210))</f>
        <v/>
      </c>
      <c r="J210" s="39">
        <f>IF($U210="","",MIN(MAX($G210,0),$X210)-MIN(MAX($G210,0),$W210))</f>
        <v/>
      </c>
      <c r="K210" s="39">
        <f>IF($U210="","",MAX($G210,0)-MIN(MAX($G210,0),$X210))</f>
        <v/>
      </c>
      <c r="L210" s="40">
        <f>IF($U210="","",IF(MAX(SUMPRODUCT(MAX((입금_은행1!$AC$8:$AC$2007=$A210)*(입금_은행1!$AE$8:$AE$2007&lt;=설정!$B$5)*입금_은행1!$AE$8:$AE$2007)),SUMPRODUCT(MAX((입금_은행2!$AC$8:$AC$2007=$A210)*(입금_은행2!$AE$8:$AE$2007&lt;=설정!$B$5)*입금_은행2!$AE$8:$AE$2007)))=0,"",MAX(SUMPRODUCT(MAX((입금_은행1!$AC$8:$AC$2007=$A210)*(입금_은행1!$AE$8:$AE$2007&lt;=설정!$B$5)*입금_은행1!$AE$8:$AE$2007)),SUMPRODUCT(MAX((입금_은행2!$AC$8:$AC$2007=$A210)*(입금_은행2!$AE$8:$AE$2007&lt;=설정!$B$5)*입금_은행2!$AE$8:$AE$2007)))))</f>
        <v/>
      </c>
      <c r="M210" s="38">
        <f>IF($U210="","",IF($T210="","",IF(INDEX(거래처설정!$F$8:$F$407,$T210)="","",INDEX(거래처설정!$F$8:$F$407,$T210))))</f>
        <v/>
      </c>
      <c r="N210" s="38">
        <f>IF($U210="","",IF($T210="","",IF(INDEX(거래처설정!$G$8:$G$407,$T210)="","",INDEX(거래처설정!$G$8:$G$407,$T210))))</f>
        <v/>
      </c>
      <c r="O210" s="38">
        <f>IF($U210="","",IF($M210="제외",0,IF($K210&gt;=설정!$B$9,3,IF($J210+$K210&gt;=설정!$B$9,2,IF($I210+$J210+$K210&gt;=설정!$B$9,1,0)))))</f>
        <v/>
      </c>
      <c r="P210" s="38">
        <f>IF($U210="","",IF($M210="제외","제외(조치 상태)",IF($O210=3,"③ 강한 독촉 후보 ("&amp;설정!$B$8&amp;"일 초과)",IF($O210=2,"② 독촉 후보 ("&amp;설정!$B$7&amp;"일 초과)",IF($O210=1,"① 안내 후보 ("&amp;설정!$B$6&amp;"일 초과)",IF($G210&gt;0,IF($I210+$J210+$K210&gt;0,"오래된 잔액 있음 (최소 금액 미만)","정상 범위"),IF($G210&lt;0,"선수금·초과입금 — 확인","완납")))))))</f>
        <v/>
      </c>
      <c r="Q210" s="38">
        <f>IF($U210="","",IF($G210&lt;0,"입금이 매출보다 큼 — 선수금이거나 다른 거래처 입금이 섞였는지 확인",IF(AND($AE210&lt;&gt;"",COUNTIF($AE$8:$AE$307,"*"&amp;$AE210&amp;"*")&gt;1),"이름이 다른 거래처와 겹침 — 입금이 잘못 맞았을 수 있으니 별칭 확인",IF(AND($G210&gt;0,$F210=0),"입금 매칭 없음 — 입금자명이 다르면 [거래처설정]에 별칭 등록",""))))</f>
        <v/>
      </c>
      <c r="R210" s="31">
        <f>IF(OR($U210="",$G210&lt;=0),"",$G210-$A210/10000)</f>
        <v/>
      </c>
      <c r="S210" s="31">
        <f>IF(OR($U210="",$O210&lt;1),"",$O210*10^11+$I210+$J210+$K210-$A210/1000)</f>
        <v/>
      </c>
      <c r="T210" s="31">
        <f>IF($U210="","",IFERROR(MATCH(INDEX(매출원본!$AU$8:$AU$2007,$U210),거래처설정!$I$8:$I$407,0),""))</f>
        <v/>
      </c>
      <c r="U210" s="31">
        <f>IFERROR(MATCH(203,매출원본!$AW$8:$AW$2007,0),"")</f>
        <v/>
      </c>
      <c r="V210" s="31">
        <f>IF($U210="","",MAX(SUMIFS(매출원본!$AT$8:$AT$2007,매출원본!$AY$8:$AY$2007,$A210,매출원본!$AS$8:$AS$2007,"&gt;="&amp;(설정!$B$5-설정!$B$6),매출원본!$AS$8:$AS$2007,"&lt;="&amp;설정!$B$5),0))</f>
        <v/>
      </c>
      <c r="W210" s="31">
        <f>IF($U210="","",MAX($V210,SUMIFS(매출원본!$AT$8:$AT$2007,매출원본!$AY$8:$AY$2007,$A210,매출원본!$AS$8:$AS$2007,"&gt;="&amp;(설정!$B$5-설정!$B$7),매출원본!$AS$8:$AS$2007,"&lt;="&amp;설정!$B$5)))</f>
        <v/>
      </c>
      <c r="X210" s="31">
        <f>IF($U210="","",MAX($W210,SUMIFS(매출원본!$AT$8:$AT$2007,매출원본!$AY$8:$AY$2007,$A210,매출원본!$AS$8:$AS$2007,"&gt;="&amp;(설정!$B$5-설정!$B$8),매출원본!$AS$8:$AS$2007,"&lt;="&amp;설정!$B$5)))</f>
        <v/>
      </c>
      <c r="AC210" s="31">
        <f>IF(OR($U210="",$T210=""),"",INDEX(거래처설정!$J$8:$J$407,$T210))</f>
        <v/>
      </c>
      <c r="AD210" s="31">
        <f>IF(OR($U210="",$T210=""),"",INDEX(거래처설정!$K$8:$K$407,$T210))</f>
        <v/>
      </c>
      <c r="AE210" s="31">
        <f>IF($U210="","",IF(LEN(SUBSTITUTE(SUBSTITUTE(SUBSTITUTE(SUBSTITUTE(SUBSTITUTE(SUBSTITUTE(SUBSTITUTE(SUBSTITUTE(SUBSTITUTE($C210," ",""),"　",""),"(주)",""),"（주）",""),"㈜",""),"주식회사",""),"(유)",""),"（유）",""),"유한회사",""))&lt;2,"",SUBSTITUTE(SUBSTITUTE(SUBSTITUTE(SUBSTITUTE(SUBSTITUTE(SUBSTITUTE(SUBSTITUTE(SUBSTITUTE(SUBSTITUTE($C210," ",""),"　",""),"(주)",""),"（주）",""),"㈜",""),"주식회사",""),"(유)",""),"（유）",""),"유한회사","")))</f>
        <v/>
      </c>
    </row>
    <row r="211">
      <c r="A211" s="38">
        <f>IF($U211="","",204)</f>
        <v/>
      </c>
      <c r="B211" s="38">
        <f>IF($U211="","",IF(LEN(INDEX(매출원본!$AU$8:$AU$2007,$U211))=10,LEFT(INDEX(매출원본!$AU$8:$AU$2007,$U211),3)&amp;"-"&amp;MID(INDEX(매출원본!$AU$8:$AU$2007,$U211),4,2)&amp;"-"&amp;RIGHT(INDEX(매출원본!$AU$8:$AU$2007,$U211),5),IF(LEFT(INDEX(매출원본!$AU$8:$AU$2007,$U211),2)="N:","(번호 없음)",INDEX(매출원본!$AU$8:$AU$2007,$U211))))</f>
        <v/>
      </c>
      <c r="C211" s="38">
        <f>IF($U211="","",INDEX(매출원본!$AV$8:$AV$2007,$U211))</f>
        <v/>
      </c>
      <c r="D211" s="39">
        <f>IF($U211="","",IF($T211="",0,N(INDEX(거래처설정!$E$8:$E$407,$T211))))</f>
        <v/>
      </c>
      <c r="E211" s="39">
        <f>IF($U211="","",SUMIFS(매출원본!$AT$8:$AT$2007,매출원본!$AY$8:$AY$2007,$A211,매출원본!$AS$8:$AS$2007,"&lt;="&amp;설정!$B$5))</f>
        <v/>
      </c>
      <c r="F211" s="39">
        <f>IF($U211="","",SUMIFS(입금_은행1!$Z$8:$Z$2007,입금_은행1!$AC$8:$AC$2007,$A211,입금_은행1!$Y$8:$Y$2007,"&lt;="&amp;설정!$B$5)+SUMIFS(입금_은행2!$Z$8:$Z$2007,입금_은행2!$AC$8:$AC$2007,$A211,입금_은행2!$Y$8:$Y$2007,"&lt;="&amp;설정!$B$5))</f>
        <v/>
      </c>
      <c r="G211" s="39">
        <f>IF($U211="","",$D211+$E211-$F211)</f>
        <v/>
      </c>
      <c r="H211" s="39">
        <f>IF($U211="","",MIN(MAX($G211,0),$V211))</f>
        <v/>
      </c>
      <c r="I211" s="39">
        <f>IF($U211="","",MIN(MAX($G211,0),$W211)-MIN(MAX($G211,0),$V211))</f>
        <v/>
      </c>
      <c r="J211" s="39">
        <f>IF($U211="","",MIN(MAX($G211,0),$X211)-MIN(MAX($G211,0),$W211))</f>
        <v/>
      </c>
      <c r="K211" s="39">
        <f>IF($U211="","",MAX($G211,0)-MIN(MAX($G211,0),$X211))</f>
        <v/>
      </c>
      <c r="L211" s="40">
        <f>IF($U211="","",IF(MAX(SUMPRODUCT(MAX((입금_은행1!$AC$8:$AC$2007=$A211)*(입금_은행1!$AE$8:$AE$2007&lt;=설정!$B$5)*입금_은행1!$AE$8:$AE$2007)),SUMPRODUCT(MAX((입금_은행2!$AC$8:$AC$2007=$A211)*(입금_은행2!$AE$8:$AE$2007&lt;=설정!$B$5)*입금_은행2!$AE$8:$AE$2007)))=0,"",MAX(SUMPRODUCT(MAX((입금_은행1!$AC$8:$AC$2007=$A211)*(입금_은행1!$AE$8:$AE$2007&lt;=설정!$B$5)*입금_은행1!$AE$8:$AE$2007)),SUMPRODUCT(MAX((입금_은행2!$AC$8:$AC$2007=$A211)*(입금_은행2!$AE$8:$AE$2007&lt;=설정!$B$5)*입금_은행2!$AE$8:$AE$2007)))))</f>
        <v/>
      </c>
      <c r="M211" s="38">
        <f>IF($U211="","",IF($T211="","",IF(INDEX(거래처설정!$F$8:$F$407,$T211)="","",INDEX(거래처설정!$F$8:$F$407,$T211))))</f>
        <v/>
      </c>
      <c r="N211" s="38">
        <f>IF($U211="","",IF($T211="","",IF(INDEX(거래처설정!$G$8:$G$407,$T211)="","",INDEX(거래처설정!$G$8:$G$407,$T211))))</f>
        <v/>
      </c>
      <c r="O211" s="38">
        <f>IF($U211="","",IF($M211="제외",0,IF($K211&gt;=설정!$B$9,3,IF($J211+$K211&gt;=설정!$B$9,2,IF($I211+$J211+$K211&gt;=설정!$B$9,1,0)))))</f>
        <v/>
      </c>
      <c r="P211" s="38">
        <f>IF($U211="","",IF($M211="제외","제외(조치 상태)",IF($O211=3,"③ 강한 독촉 후보 ("&amp;설정!$B$8&amp;"일 초과)",IF($O211=2,"② 독촉 후보 ("&amp;설정!$B$7&amp;"일 초과)",IF($O211=1,"① 안내 후보 ("&amp;설정!$B$6&amp;"일 초과)",IF($G211&gt;0,IF($I211+$J211+$K211&gt;0,"오래된 잔액 있음 (최소 금액 미만)","정상 범위"),IF($G211&lt;0,"선수금·초과입금 — 확인","완납")))))))</f>
        <v/>
      </c>
      <c r="Q211" s="38">
        <f>IF($U211="","",IF($G211&lt;0,"입금이 매출보다 큼 — 선수금이거나 다른 거래처 입금이 섞였는지 확인",IF(AND($AE211&lt;&gt;"",COUNTIF($AE$8:$AE$307,"*"&amp;$AE211&amp;"*")&gt;1),"이름이 다른 거래처와 겹침 — 입금이 잘못 맞았을 수 있으니 별칭 확인",IF(AND($G211&gt;0,$F211=0),"입금 매칭 없음 — 입금자명이 다르면 [거래처설정]에 별칭 등록",""))))</f>
        <v/>
      </c>
      <c r="R211" s="31">
        <f>IF(OR($U211="",$G211&lt;=0),"",$G211-$A211/10000)</f>
        <v/>
      </c>
      <c r="S211" s="31">
        <f>IF(OR($U211="",$O211&lt;1),"",$O211*10^11+$I211+$J211+$K211-$A211/1000)</f>
        <v/>
      </c>
      <c r="T211" s="31">
        <f>IF($U211="","",IFERROR(MATCH(INDEX(매출원본!$AU$8:$AU$2007,$U211),거래처설정!$I$8:$I$407,0),""))</f>
        <v/>
      </c>
      <c r="U211" s="31">
        <f>IFERROR(MATCH(204,매출원본!$AW$8:$AW$2007,0),"")</f>
        <v/>
      </c>
      <c r="V211" s="31">
        <f>IF($U211="","",MAX(SUMIFS(매출원본!$AT$8:$AT$2007,매출원본!$AY$8:$AY$2007,$A211,매출원본!$AS$8:$AS$2007,"&gt;="&amp;(설정!$B$5-설정!$B$6),매출원본!$AS$8:$AS$2007,"&lt;="&amp;설정!$B$5),0))</f>
        <v/>
      </c>
      <c r="W211" s="31">
        <f>IF($U211="","",MAX($V211,SUMIFS(매출원본!$AT$8:$AT$2007,매출원본!$AY$8:$AY$2007,$A211,매출원본!$AS$8:$AS$2007,"&gt;="&amp;(설정!$B$5-설정!$B$7),매출원본!$AS$8:$AS$2007,"&lt;="&amp;설정!$B$5)))</f>
        <v/>
      </c>
      <c r="X211" s="31">
        <f>IF($U211="","",MAX($W211,SUMIFS(매출원본!$AT$8:$AT$2007,매출원본!$AY$8:$AY$2007,$A211,매출원본!$AS$8:$AS$2007,"&gt;="&amp;(설정!$B$5-설정!$B$8),매출원본!$AS$8:$AS$2007,"&lt;="&amp;설정!$B$5)))</f>
        <v/>
      </c>
      <c r="AC211" s="31">
        <f>IF(OR($U211="",$T211=""),"",INDEX(거래처설정!$J$8:$J$407,$T211))</f>
        <v/>
      </c>
      <c r="AD211" s="31">
        <f>IF(OR($U211="",$T211=""),"",INDEX(거래처설정!$K$8:$K$407,$T211))</f>
        <v/>
      </c>
      <c r="AE211" s="31">
        <f>IF($U211="","",IF(LEN(SUBSTITUTE(SUBSTITUTE(SUBSTITUTE(SUBSTITUTE(SUBSTITUTE(SUBSTITUTE(SUBSTITUTE(SUBSTITUTE(SUBSTITUTE($C211," ",""),"　",""),"(주)",""),"（주）",""),"㈜",""),"주식회사",""),"(유)",""),"（유）",""),"유한회사",""))&lt;2,"",SUBSTITUTE(SUBSTITUTE(SUBSTITUTE(SUBSTITUTE(SUBSTITUTE(SUBSTITUTE(SUBSTITUTE(SUBSTITUTE(SUBSTITUTE($C211," ",""),"　",""),"(주)",""),"（주）",""),"㈜",""),"주식회사",""),"(유)",""),"（유）",""),"유한회사","")))</f>
        <v/>
      </c>
    </row>
    <row r="212">
      <c r="A212" s="38">
        <f>IF($U212="","",205)</f>
        <v/>
      </c>
      <c r="B212" s="38">
        <f>IF($U212="","",IF(LEN(INDEX(매출원본!$AU$8:$AU$2007,$U212))=10,LEFT(INDEX(매출원본!$AU$8:$AU$2007,$U212),3)&amp;"-"&amp;MID(INDEX(매출원본!$AU$8:$AU$2007,$U212),4,2)&amp;"-"&amp;RIGHT(INDEX(매출원본!$AU$8:$AU$2007,$U212),5),IF(LEFT(INDEX(매출원본!$AU$8:$AU$2007,$U212),2)="N:","(번호 없음)",INDEX(매출원본!$AU$8:$AU$2007,$U212))))</f>
        <v/>
      </c>
      <c r="C212" s="38">
        <f>IF($U212="","",INDEX(매출원본!$AV$8:$AV$2007,$U212))</f>
        <v/>
      </c>
      <c r="D212" s="39">
        <f>IF($U212="","",IF($T212="",0,N(INDEX(거래처설정!$E$8:$E$407,$T212))))</f>
        <v/>
      </c>
      <c r="E212" s="39">
        <f>IF($U212="","",SUMIFS(매출원본!$AT$8:$AT$2007,매출원본!$AY$8:$AY$2007,$A212,매출원본!$AS$8:$AS$2007,"&lt;="&amp;설정!$B$5))</f>
        <v/>
      </c>
      <c r="F212" s="39">
        <f>IF($U212="","",SUMIFS(입금_은행1!$Z$8:$Z$2007,입금_은행1!$AC$8:$AC$2007,$A212,입금_은행1!$Y$8:$Y$2007,"&lt;="&amp;설정!$B$5)+SUMIFS(입금_은행2!$Z$8:$Z$2007,입금_은행2!$AC$8:$AC$2007,$A212,입금_은행2!$Y$8:$Y$2007,"&lt;="&amp;설정!$B$5))</f>
        <v/>
      </c>
      <c r="G212" s="39">
        <f>IF($U212="","",$D212+$E212-$F212)</f>
        <v/>
      </c>
      <c r="H212" s="39">
        <f>IF($U212="","",MIN(MAX($G212,0),$V212))</f>
        <v/>
      </c>
      <c r="I212" s="39">
        <f>IF($U212="","",MIN(MAX($G212,0),$W212)-MIN(MAX($G212,0),$V212))</f>
        <v/>
      </c>
      <c r="J212" s="39">
        <f>IF($U212="","",MIN(MAX($G212,0),$X212)-MIN(MAX($G212,0),$W212))</f>
        <v/>
      </c>
      <c r="K212" s="39">
        <f>IF($U212="","",MAX($G212,0)-MIN(MAX($G212,0),$X212))</f>
        <v/>
      </c>
      <c r="L212" s="40">
        <f>IF($U212="","",IF(MAX(SUMPRODUCT(MAX((입금_은행1!$AC$8:$AC$2007=$A212)*(입금_은행1!$AE$8:$AE$2007&lt;=설정!$B$5)*입금_은행1!$AE$8:$AE$2007)),SUMPRODUCT(MAX((입금_은행2!$AC$8:$AC$2007=$A212)*(입금_은행2!$AE$8:$AE$2007&lt;=설정!$B$5)*입금_은행2!$AE$8:$AE$2007)))=0,"",MAX(SUMPRODUCT(MAX((입금_은행1!$AC$8:$AC$2007=$A212)*(입금_은행1!$AE$8:$AE$2007&lt;=설정!$B$5)*입금_은행1!$AE$8:$AE$2007)),SUMPRODUCT(MAX((입금_은행2!$AC$8:$AC$2007=$A212)*(입금_은행2!$AE$8:$AE$2007&lt;=설정!$B$5)*입금_은행2!$AE$8:$AE$2007)))))</f>
        <v/>
      </c>
      <c r="M212" s="38">
        <f>IF($U212="","",IF($T212="","",IF(INDEX(거래처설정!$F$8:$F$407,$T212)="","",INDEX(거래처설정!$F$8:$F$407,$T212))))</f>
        <v/>
      </c>
      <c r="N212" s="38">
        <f>IF($U212="","",IF($T212="","",IF(INDEX(거래처설정!$G$8:$G$407,$T212)="","",INDEX(거래처설정!$G$8:$G$407,$T212))))</f>
        <v/>
      </c>
      <c r="O212" s="38">
        <f>IF($U212="","",IF($M212="제외",0,IF($K212&gt;=설정!$B$9,3,IF($J212+$K212&gt;=설정!$B$9,2,IF($I212+$J212+$K212&gt;=설정!$B$9,1,0)))))</f>
        <v/>
      </c>
      <c r="P212" s="38">
        <f>IF($U212="","",IF($M212="제외","제외(조치 상태)",IF($O212=3,"③ 강한 독촉 후보 ("&amp;설정!$B$8&amp;"일 초과)",IF($O212=2,"② 독촉 후보 ("&amp;설정!$B$7&amp;"일 초과)",IF($O212=1,"① 안내 후보 ("&amp;설정!$B$6&amp;"일 초과)",IF($G212&gt;0,IF($I212+$J212+$K212&gt;0,"오래된 잔액 있음 (최소 금액 미만)","정상 범위"),IF($G212&lt;0,"선수금·초과입금 — 확인","완납")))))))</f>
        <v/>
      </c>
      <c r="Q212" s="38">
        <f>IF($U212="","",IF($G212&lt;0,"입금이 매출보다 큼 — 선수금이거나 다른 거래처 입금이 섞였는지 확인",IF(AND($AE212&lt;&gt;"",COUNTIF($AE$8:$AE$307,"*"&amp;$AE212&amp;"*")&gt;1),"이름이 다른 거래처와 겹침 — 입금이 잘못 맞았을 수 있으니 별칭 확인",IF(AND($G212&gt;0,$F212=0),"입금 매칭 없음 — 입금자명이 다르면 [거래처설정]에 별칭 등록",""))))</f>
        <v/>
      </c>
      <c r="R212" s="31">
        <f>IF(OR($U212="",$G212&lt;=0),"",$G212-$A212/10000)</f>
        <v/>
      </c>
      <c r="S212" s="31">
        <f>IF(OR($U212="",$O212&lt;1),"",$O212*10^11+$I212+$J212+$K212-$A212/1000)</f>
        <v/>
      </c>
      <c r="T212" s="31">
        <f>IF($U212="","",IFERROR(MATCH(INDEX(매출원본!$AU$8:$AU$2007,$U212),거래처설정!$I$8:$I$407,0),""))</f>
        <v/>
      </c>
      <c r="U212" s="31">
        <f>IFERROR(MATCH(205,매출원본!$AW$8:$AW$2007,0),"")</f>
        <v/>
      </c>
      <c r="V212" s="31">
        <f>IF($U212="","",MAX(SUMIFS(매출원본!$AT$8:$AT$2007,매출원본!$AY$8:$AY$2007,$A212,매출원본!$AS$8:$AS$2007,"&gt;="&amp;(설정!$B$5-설정!$B$6),매출원본!$AS$8:$AS$2007,"&lt;="&amp;설정!$B$5),0))</f>
        <v/>
      </c>
      <c r="W212" s="31">
        <f>IF($U212="","",MAX($V212,SUMIFS(매출원본!$AT$8:$AT$2007,매출원본!$AY$8:$AY$2007,$A212,매출원본!$AS$8:$AS$2007,"&gt;="&amp;(설정!$B$5-설정!$B$7),매출원본!$AS$8:$AS$2007,"&lt;="&amp;설정!$B$5)))</f>
        <v/>
      </c>
      <c r="X212" s="31">
        <f>IF($U212="","",MAX($W212,SUMIFS(매출원본!$AT$8:$AT$2007,매출원본!$AY$8:$AY$2007,$A212,매출원본!$AS$8:$AS$2007,"&gt;="&amp;(설정!$B$5-설정!$B$8),매출원본!$AS$8:$AS$2007,"&lt;="&amp;설정!$B$5)))</f>
        <v/>
      </c>
      <c r="AC212" s="31">
        <f>IF(OR($U212="",$T212=""),"",INDEX(거래처설정!$J$8:$J$407,$T212))</f>
        <v/>
      </c>
      <c r="AD212" s="31">
        <f>IF(OR($U212="",$T212=""),"",INDEX(거래처설정!$K$8:$K$407,$T212))</f>
        <v/>
      </c>
      <c r="AE212" s="31">
        <f>IF($U212="","",IF(LEN(SUBSTITUTE(SUBSTITUTE(SUBSTITUTE(SUBSTITUTE(SUBSTITUTE(SUBSTITUTE(SUBSTITUTE(SUBSTITUTE(SUBSTITUTE($C212," ",""),"　",""),"(주)",""),"（주）",""),"㈜",""),"주식회사",""),"(유)",""),"（유）",""),"유한회사",""))&lt;2,"",SUBSTITUTE(SUBSTITUTE(SUBSTITUTE(SUBSTITUTE(SUBSTITUTE(SUBSTITUTE(SUBSTITUTE(SUBSTITUTE(SUBSTITUTE($C212," ",""),"　",""),"(주)",""),"（주）",""),"㈜",""),"주식회사",""),"(유)",""),"（유）",""),"유한회사","")))</f>
        <v/>
      </c>
    </row>
    <row r="213">
      <c r="A213" s="38">
        <f>IF($U213="","",206)</f>
        <v/>
      </c>
      <c r="B213" s="38">
        <f>IF($U213="","",IF(LEN(INDEX(매출원본!$AU$8:$AU$2007,$U213))=10,LEFT(INDEX(매출원본!$AU$8:$AU$2007,$U213),3)&amp;"-"&amp;MID(INDEX(매출원본!$AU$8:$AU$2007,$U213),4,2)&amp;"-"&amp;RIGHT(INDEX(매출원본!$AU$8:$AU$2007,$U213),5),IF(LEFT(INDEX(매출원본!$AU$8:$AU$2007,$U213),2)="N:","(번호 없음)",INDEX(매출원본!$AU$8:$AU$2007,$U213))))</f>
        <v/>
      </c>
      <c r="C213" s="38">
        <f>IF($U213="","",INDEX(매출원본!$AV$8:$AV$2007,$U213))</f>
        <v/>
      </c>
      <c r="D213" s="39">
        <f>IF($U213="","",IF($T213="",0,N(INDEX(거래처설정!$E$8:$E$407,$T213))))</f>
        <v/>
      </c>
      <c r="E213" s="39">
        <f>IF($U213="","",SUMIFS(매출원본!$AT$8:$AT$2007,매출원본!$AY$8:$AY$2007,$A213,매출원본!$AS$8:$AS$2007,"&lt;="&amp;설정!$B$5))</f>
        <v/>
      </c>
      <c r="F213" s="39">
        <f>IF($U213="","",SUMIFS(입금_은행1!$Z$8:$Z$2007,입금_은행1!$AC$8:$AC$2007,$A213,입금_은행1!$Y$8:$Y$2007,"&lt;="&amp;설정!$B$5)+SUMIFS(입금_은행2!$Z$8:$Z$2007,입금_은행2!$AC$8:$AC$2007,$A213,입금_은행2!$Y$8:$Y$2007,"&lt;="&amp;설정!$B$5))</f>
        <v/>
      </c>
      <c r="G213" s="39">
        <f>IF($U213="","",$D213+$E213-$F213)</f>
        <v/>
      </c>
      <c r="H213" s="39">
        <f>IF($U213="","",MIN(MAX($G213,0),$V213))</f>
        <v/>
      </c>
      <c r="I213" s="39">
        <f>IF($U213="","",MIN(MAX($G213,0),$W213)-MIN(MAX($G213,0),$V213))</f>
        <v/>
      </c>
      <c r="J213" s="39">
        <f>IF($U213="","",MIN(MAX($G213,0),$X213)-MIN(MAX($G213,0),$W213))</f>
        <v/>
      </c>
      <c r="K213" s="39">
        <f>IF($U213="","",MAX($G213,0)-MIN(MAX($G213,0),$X213))</f>
        <v/>
      </c>
      <c r="L213" s="40">
        <f>IF($U213="","",IF(MAX(SUMPRODUCT(MAX((입금_은행1!$AC$8:$AC$2007=$A213)*(입금_은행1!$AE$8:$AE$2007&lt;=설정!$B$5)*입금_은행1!$AE$8:$AE$2007)),SUMPRODUCT(MAX((입금_은행2!$AC$8:$AC$2007=$A213)*(입금_은행2!$AE$8:$AE$2007&lt;=설정!$B$5)*입금_은행2!$AE$8:$AE$2007)))=0,"",MAX(SUMPRODUCT(MAX((입금_은행1!$AC$8:$AC$2007=$A213)*(입금_은행1!$AE$8:$AE$2007&lt;=설정!$B$5)*입금_은행1!$AE$8:$AE$2007)),SUMPRODUCT(MAX((입금_은행2!$AC$8:$AC$2007=$A213)*(입금_은행2!$AE$8:$AE$2007&lt;=설정!$B$5)*입금_은행2!$AE$8:$AE$2007)))))</f>
        <v/>
      </c>
      <c r="M213" s="38">
        <f>IF($U213="","",IF($T213="","",IF(INDEX(거래처설정!$F$8:$F$407,$T213)="","",INDEX(거래처설정!$F$8:$F$407,$T213))))</f>
        <v/>
      </c>
      <c r="N213" s="38">
        <f>IF($U213="","",IF($T213="","",IF(INDEX(거래처설정!$G$8:$G$407,$T213)="","",INDEX(거래처설정!$G$8:$G$407,$T213))))</f>
        <v/>
      </c>
      <c r="O213" s="38">
        <f>IF($U213="","",IF($M213="제외",0,IF($K213&gt;=설정!$B$9,3,IF($J213+$K213&gt;=설정!$B$9,2,IF($I213+$J213+$K213&gt;=설정!$B$9,1,0)))))</f>
        <v/>
      </c>
      <c r="P213" s="38">
        <f>IF($U213="","",IF($M213="제외","제외(조치 상태)",IF($O213=3,"③ 강한 독촉 후보 ("&amp;설정!$B$8&amp;"일 초과)",IF($O213=2,"② 독촉 후보 ("&amp;설정!$B$7&amp;"일 초과)",IF($O213=1,"① 안내 후보 ("&amp;설정!$B$6&amp;"일 초과)",IF($G213&gt;0,IF($I213+$J213+$K213&gt;0,"오래된 잔액 있음 (최소 금액 미만)","정상 범위"),IF($G213&lt;0,"선수금·초과입금 — 확인","완납")))))))</f>
        <v/>
      </c>
      <c r="Q213" s="38">
        <f>IF($U213="","",IF($G213&lt;0,"입금이 매출보다 큼 — 선수금이거나 다른 거래처 입금이 섞였는지 확인",IF(AND($AE213&lt;&gt;"",COUNTIF($AE$8:$AE$307,"*"&amp;$AE213&amp;"*")&gt;1),"이름이 다른 거래처와 겹침 — 입금이 잘못 맞았을 수 있으니 별칭 확인",IF(AND($G213&gt;0,$F213=0),"입금 매칭 없음 — 입금자명이 다르면 [거래처설정]에 별칭 등록",""))))</f>
        <v/>
      </c>
      <c r="R213" s="31">
        <f>IF(OR($U213="",$G213&lt;=0),"",$G213-$A213/10000)</f>
        <v/>
      </c>
      <c r="S213" s="31">
        <f>IF(OR($U213="",$O213&lt;1),"",$O213*10^11+$I213+$J213+$K213-$A213/1000)</f>
        <v/>
      </c>
      <c r="T213" s="31">
        <f>IF($U213="","",IFERROR(MATCH(INDEX(매출원본!$AU$8:$AU$2007,$U213),거래처설정!$I$8:$I$407,0),""))</f>
        <v/>
      </c>
      <c r="U213" s="31">
        <f>IFERROR(MATCH(206,매출원본!$AW$8:$AW$2007,0),"")</f>
        <v/>
      </c>
      <c r="V213" s="31">
        <f>IF($U213="","",MAX(SUMIFS(매출원본!$AT$8:$AT$2007,매출원본!$AY$8:$AY$2007,$A213,매출원본!$AS$8:$AS$2007,"&gt;="&amp;(설정!$B$5-설정!$B$6),매출원본!$AS$8:$AS$2007,"&lt;="&amp;설정!$B$5),0))</f>
        <v/>
      </c>
      <c r="W213" s="31">
        <f>IF($U213="","",MAX($V213,SUMIFS(매출원본!$AT$8:$AT$2007,매출원본!$AY$8:$AY$2007,$A213,매출원본!$AS$8:$AS$2007,"&gt;="&amp;(설정!$B$5-설정!$B$7),매출원본!$AS$8:$AS$2007,"&lt;="&amp;설정!$B$5)))</f>
        <v/>
      </c>
      <c r="X213" s="31">
        <f>IF($U213="","",MAX($W213,SUMIFS(매출원본!$AT$8:$AT$2007,매출원본!$AY$8:$AY$2007,$A213,매출원본!$AS$8:$AS$2007,"&gt;="&amp;(설정!$B$5-설정!$B$8),매출원본!$AS$8:$AS$2007,"&lt;="&amp;설정!$B$5)))</f>
        <v/>
      </c>
      <c r="AC213" s="31">
        <f>IF(OR($U213="",$T213=""),"",INDEX(거래처설정!$J$8:$J$407,$T213))</f>
        <v/>
      </c>
      <c r="AD213" s="31">
        <f>IF(OR($U213="",$T213=""),"",INDEX(거래처설정!$K$8:$K$407,$T213))</f>
        <v/>
      </c>
      <c r="AE213" s="31">
        <f>IF($U213="","",IF(LEN(SUBSTITUTE(SUBSTITUTE(SUBSTITUTE(SUBSTITUTE(SUBSTITUTE(SUBSTITUTE(SUBSTITUTE(SUBSTITUTE(SUBSTITUTE($C213," ",""),"　",""),"(주)",""),"（주）",""),"㈜",""),"주식회사",""),"(유)",""),"（유）",""),"유한회사",""))&lt;2,"",SUBSTITUTE(SUBSTITUTE(SUBSTITUTE(SUBSTITUTE(SUBSTITUTE(SUBSTITUTE(SUBSTITUTE(SUBSTITUTE(SUBSTITUTE($C213," ",""),"　",""),"(주)",""),"（주）",""),"㈜",""),"주식회사",""),"(유)",""),"（유）",""),"유한회사","")))</f>
        <v/>
      </c>
    </row>
    <row r="214">
      <c r="A214" s="38">
        <f>IF($U214="","",207)</f>
        <v/>
      </c>
      <c r="B214" s="38">
        <f>IF($U214="","",IF(LEN(INDEX(매출원본!$AU$8:$AU$2007,$U214))=10,LEFT(INDEX(매출원본!$AU$8:$AU$2007,$U214),3)&amp;"-"&amp;MID(INDEX(매출원본!$AU$8:$AU$2007,$U214),4,2)&amp;"-"&amp;RIGHT(INDEX(매출원본!$AU$8:$AU$2007,$U214),5),IF(LEFT(INDEX(매출원본!$AU$8:$AU$2007,$U214),2)="N:","(번호 없음)",INDEX(매출원본!$AU$8:$AU$2007,$U214))))</f>
        <v/>
      </c>
      <c r="C214" s="38">
        <f>IF($U214="","",INDEX(매출원본!$AV$8:$AV$2007,$U214))</f>
        <v/>
      </c>
      <c r="D214" s="39">
        <f>IF($U214="","",IF($T214="",0,N(INDEX(거래처설정!$E$8:$E$407,$T214))))</f>
        <v/>
      </c>
      <c r="E214" s="39">
        <f>IF($U214="","",SUMIFS(매출원본!$AT$8:$AT$2007,매출원본!$AY$8:$AY$2007,$A214,매출원본!$AS$8:$AS$2007,"&lt;="&amp;설정!$B$5))</f>
        <v/>
      </c>
      <c r="F214" s="39">
        <f>IF($U214="","",SUMIFS(입금_은행1!$Z$8:$Z$2007,입금_은행1!$AC$8:$AC$2007,$A214,입금_은행1!$Y$8:$Y$2007,"&lt;="&amp;설정!$B$5)+SUMIFS(입금_은행2!$Z$8:$Z$2007,입금_은행2!$AC$8:$AC$2007,$A214,입금_은행2!$Y$8:$Y$2007,"&lt;="&amp;설정!$B$5))</f>
        <v/>
      </c>
      <c r="G214" s="39">
        <f>IF($U214="","",$D214+$E214-$F214)</f>
        <v/>
      </c>
      <c r="H214" s="39">
        <f>IF($U214="","",MIN(MAX($G214,0),$V214))</f>
        <v/>
      </c>
      <c r="I214" s="39">
        <f>IF($U214="","",MIN(MAX($G214,0),$W214)-MIN(MAX($G214,0),$V214))</f>
        <v/>
      </c>
      <c r="J214" s="39">
        <f>IF($U214="","",MIN(MAX($G214,0),$X214)-MIN(MAX($G214,0),$W214))</f>
        <v/>
      </c>
      <c r="K214" s="39">
        <f>IF($U214="","",MAX($G214,0)-MIN(MAX($G214,0),$X214))</f>
        <v/>
      </c>
      <c r="L214" s="40">
        <f>IF($U214="","",IF(MAX(SUMPRODUCT(MAX((입금_은행1!$AC$8:$AC$2007=$A214)*(입금_은행1!$AE$8:$AE$2007&lt;=설정!$B$5)*입금_은행1!$AE$8:$AE$2007)),SUMPRODUCT(MAX((입금_은행2!$AC$8:$AC$2007=$A214)*(입금_은행2!$AE$8:$AE$2007&lt;=설정!$B$5)*입금_은행2!$AE$8:$AE$2007)))=0,"",MAX(SUMPRODUCT(MAX((입금_은행1!$AC$8:$AC$2007=$A214)*(입금_은행1!$AE$8:$AE$2007&lt;=설정!$B$5)*입금_은행1!$AE$8:$AE$2007)),SUMPRODUCT(MAX((입금_은행2!$AC$8:$AC$2007=$A214)*(입금_은행2!$AE$8:$AE$2007&lt;=설정!$B$5)*입금_은행2!$AE$8:$AE$2007)))))</f>
        <v/>
      </c>
      <c r="M214" s="38">
        <f>IF($U214="","",IF($T214="","",IF(INDEX(거래처설정!$F$8:$F$407,$T214)="","",INDEX(거래처설정!$F$8:$F$407,$T214))))</f>
        <v/>
      </c>
      <c r="N214" s="38">
        <f>IF($U214="","",IF($T214="","",IF(INDEX(거래처설정!$G$8:$G$407,$T214)="","",INDEX(거래처설정!$G$8:$G$407,$T214))))</f>
        <v/>
      </c>
      <c r="O214" s="38">
        <f>IF($U214="","",IF($M214="제외",0,IF($K214&gt;=설정!$B$9,3,IF($J214+$K214&gt;=설정!$B$9,2,IF($I214+$J214+$K214&gt;=설정!$B$9,1,0)))))</f>
        <v/>
      </c>
      <c r="P214" s="38">
        <f>IF($U214="","",IF($M214="제외","제외(조치 상태)",IF($O214=3,"③ 강한 독촉 후보 ("&amp;설정!$B$8&amp;"일 초과)",IF($O214=2,"② 독촉 후보 ("&amp;설정!$B$7&amp;"일 초과)",IF($O214=1,"① 안내 후보 ("&amp;설정!$B$6&amp;"일 초과)",IF($G214&gt;0,IF($I214+$J214+$K214&gt;0,"오래된 잔액 있음 (최소 금액 미만)","정상 범위"),IF($G214&lt;0,"선수금·초과입금 — 확인","완납")))))))</f>
        <v/>
      </c>
      <c r="Q214" s="38">
        <f>IF($U214="","",IF($G214&lt;0,"입금이 매출보다 큼 — 선수금이거나 다른 거래처 입금이 섞였는지 확인",IF(AND($AE214&lt;&gt;"",COUNTIF($AE$8:$AE$307,"*"&amp;$AE214&amp;"*")&gt;1),"이름이 다른 거래처와 겹침 — 입금이 잘못 맞았을 수 있으니 별칭 확인",IF(AND($G214&gt;0,$F214=0),"입금 매칭 없음 — 입금자명이 다르면 [거래처설정]에 별칭 등록",""))))</f>
        <v/>
      </c>
      <c r="R214" s="31">
        <f>IF(OR($U214="",$G214&lt;=0),"",$G214-$A214/10000)</f>
        <v/>
      </c>
      <c r="S214" s="31">
        <f>IF(OR($U214="",$O214&lt;1),"",$O214*10^11+$I214+$J214+$K214-$A214/1000)</f>
        <v/>
      </c>
      <c r="T214" s="31">
        <f>IF($U214="","",IFERROR(MATCH(INDEX(매출원본!$AU$8:$AU$2007,$U214),거래처설정!$I$8:$I$407,0),""))</f>
        <v/>
      </c>
      <c r="U214" s="31">
        <f>IFERROR(MATCH(207,매출원본!$AW$8:$AW$2007,0),"")</f>
        <v/>
      </c>
      <c r="V214" s="31">
        <f>IF($U214="","",MAX(SUMIFS(매출원본!$AT$8:$AT$2007,매출원본!$AY$8:$AY$2007,$A214,매출원본!$AS$8:$AS$2007,"&gt;="&amp;(설정!$B$5-설정!$B$6),매출원본!$AS$8:$AS$2007,"&lt;="&amp;설정!$B$5),0))</f>
        <v/>
      </c>
      <c r="W214" s="31">
        <f>IF($U214="","",MAX($V214,SUMIFS(매출원본!$AT$8:$AT$2007,매출원본!$AY$8:$AY$2007,$A214,매출원본!$AS$8:$AS$2007,"&gt;="&amp;(설정!$B$5-설정!$B$7),매출원본!$AS$8:$AS$2007,"&lt;="&amp;설정!$B$5)))</f>
        <v/>
      </c>
      <c r="X214" s="31">
        <f>IF($U214="","",MAX($W214,SUMIFS(매출원본!$AT$8:$AT$2007,매출원본!$AY$8:$AY$2007,$A214,매출원본!$AS$8:$AS$2007,"&gt;="&amp;(설정!$B$5-설정!$B$8),매출원본!$AS$8:$AS$2007,"&lt;="&amp;설정!$B$5)))</f>
        <v/>
      </c>
      <c r="AC214" s="31">
        <f>IF(OR($U214="",$T214=""),"",INDEX(거래처설정!$J$8:$J$407,$T214))</f>
        <v/>
      </c>
      <c r="AD214" s="31">
        <f>IF(OR($U214="",$T214=""),"",INDEX(거래처설정!$K$8:$K$407,$T214))</f>
        <v/>
      </c>
      <c r="AE214" s="31">
        <f>IF($U214="","",IF(LEN(SUBSTITUTE(SUBSTITUTE(SUBSTITUTE(SUBSTITUTE(SUBSTITUTE(SUBSTITUTE(SUBSTITUTE(SUBSTITUTE(SUBSTITUTE($C214," ",""),"　",""),"(주)",""),"（주）",""),"㈜",""),"주식회사",""),"(유)",""),"（유）",""),"유한회사",""))&lt;2,"",SUBSTITUTE(SUBSTITUTE(SUBSTITUTE(SUBSTITUTE(SUBSTITUTE(SUBSTITUTE(SUBSTITUTE(SUBSTITUTE(SUBSTITUTE($C214," ",""),"　",""),"(주)",""),"（주）",""),"㈜",""),"주식회사",""),"(유)",""),"（유）",""),"유한회사","")))</f>
        <v/>
      </c>
    </row>
    <row r="215">
      <c r="A215" s="38">
        <f>IF($U215="","",208)</f>
        <v/>
      </c>
      <c r="B215" s="38">
        <f>IF($U215="","",IF(LEN(INDEX(매출원본!$AU$8:$AU$2007,$U215))=10,LEFT(INDEX(매출원본!$AU$8:$AU$2007,$U215),3)&amp;"-"&amp;MID(INDEX(매출원본!$AU$8:$AU$2007,$U215),4,2)&amp;"-"&amp;RIGHT(INDEX(매출원본!$AU$8:$AU$2007,$U215),5),IF(LEFT(INDEX(매출원본!$AU$8:$AU$2007,$U215),2)="N:","(번호 없음)",INDEX(매출원본!$AU$8:$AU$2007,$U215))))</f>
        <v/>
      </c>
      <c r="C215" s="38">
        <f>IF($U215="","",INDEX(매출원본!$AV$8:$AV$2007,$U215))</f>
        <v/>
      </c>
      <c r="D215" s="39">
        <f>IF($U215="","",IF($T215="",0,N(INDEX(거래처설정!$E$8:$E$407,$T215))))</f>
        <v/>
      </c>
      <c r="E215" s="39">
        <f>IF($U215="","",SUMIFS(매출원본!$AT$8:$AT$2007,매출원본!$AY$8:$AY$2007,$A215,매출원본!$AS$8:$AS$2007,"&lt;="&amp;설정!$B$5))</f>
        <v/>
      </c>
      <c r="F215" s="39">
        <f>IF($U215="","",SUMIFS(입금_은행1!$Z$8:$Z$2007,입금_은행1!$AC$8:$AC$2007,$A215,입금_은행1!$Y$8:$Y$2007,"&lt;="&amp;설정!$B$5)+SUMIFS(입금_은행2!$Z$8:$Z$2007,입금_은행2!$AC$8:$AC$2007,$A215,입금_은행2!$Y$8:$Y$2007,"&lt;="&amp;설정!$B$5))</f>
        <v/>
      </c>
      <c r="G215" s="39">
        <f>IF($U215="","",$D215+$E215-$F215)</f>
        <v/>
      </c>
      <c r="H215" s="39">
        <f>IF($U215="","",MIN(MAX($G215,0),$V215))</f>
        <v/>
      </c>
      <c r="I215" s="39">
        <f>IF($U215="","",MIN(MAX($G215,0),$W215)-MIN(MAX($G215,0),$V215))</f>
        <v/>
      </c>
      <c r="J215" s="39">
        <f>IF($U215="","",MIN(MAX($G215,0),$X215)-MIN(MAX($G215,0),$W215))</f>
        <v/>
      </c>
      <c r="K215" s="39">
        <f>IF($U215="","",MAX($G215,0)-MIN(MAX($G215,0),$X215))</f>
        <v/>
      </c>
      <c r="L215" s="40">
        <f>IF($U215="","",IF(MAX(SUMPRODUCT(MAX((입금_은행1!$AC$8:$AC$2007=$A215)*(입금_은행1!$AE$8:$AE$2007&lt;=설정!$B$5)*입금_은행1!$AE$8:$AE$2007)),SUMPRODUCT(MAX((입금_은행2!$AC$8:$AC$2007=$A215)*(입금_은행2!$AE$8:$AE$2007&lt;=설정!$B$5)*입금_은행2!$AE$8:$AE$2007)))=0,"",MAX(SUMPRODUCT(MAX((입금_은행1!$AC$8:$AC$2007=$A215)*(입금_은행1!$AE$8:$AE$2007&lt;=설정!$B$5)*입금_은행1!$AE$8:$AE$2007)),SUMPRODUCT(MAX((입금_은행2!$AC$8:$AC$2007=$A215)*(입금_은행2!$AE$8:$AE$2007&lt;=설정!$B$5)*입금_은행2!$AE$8:$AE$2007)))))</f>
        <v/>
      </c>
      <c r="M215" s="38">
        <f>IF($U215="","",IF($T215="","",IF(INDEX(거래처설정!$F$8:$F$407,$T215)="","",INDEX(거래처설정!$F$8:$F$407,$T215))))</f>
        <v/>
      </c>
      <c r="N215" s="38">
        <f>IF($U215="","",IF($T215="","",IF(INDEX(거래처설정!$G$8:$G$407,$T215)="","",INDEX(거래처설정!$G$8:$G$407,$T215))))</f>
        <v/>
      </c>
      <c r="O215" s="38">
        <f>IF($U215="","",IF($M215="제외",0,IF($K215&gt;=설정!$B$9,3,IF($J215+$K215&gt;=설정!$B$9,2,IF($I215+$J215+$K215&gt;=설정!$B$9,1,0)))))</f>
        <v/>
      </c>
      <c r="P215" s="38">
        <f>IF($U215="","",IF($M215="제외","제외(조치 상태)",IF($O215=3,"③ 강한 독촉 후보 ("&amp;설정!$B$8&amp;"일 초과)",IF($O215=2,"② 독촉 후보 ("&amp;설정!$B$7&amp;"일 초과)",IF($O215=1,"① 안내 후보 ("&amp;설정!$B$6&amp;"일 초과)",IF($G215&gt;0,IF($I215+$J215+$K215&gt;0,"오래된 잔액 있음 (최소 금액 미만)","정상 범위"),IF($G215&lt;0,"선수금·초과입금 — 확인","완납")))))))</f>
        <v/>
      </c>
      <c r="Q215" s="38">
        <f>IF($U215="","",IF($G215&lt;0,"입금이 매출보다 큼 — 선수금이거나 다른 거래처 입금이 섞였는지 확인",IF(AND($AE215&lt;&gt;"",COUNTIF($AE$8:$AE$307,"*"&amp;$AE215&amp;"*")&gt;1),"이름이 다른 거래처와 겹침 — 입금이 잘못 맞았을 수 있으니 별칭 확인",IF(AND($G215&gt;0,$F215=0),"입금 매칭 없음 — 입금자명이 다르면 [거래처설정]에 별칭 등록",""))))</f>
        <v/>
      </c>
      <c r="R215" s="31">
        <f>IF(OR($U215="",$G215&lt;=0),"",$G215-$A215/10000)</f>
        <v/>
      </c>
      <c r="S215" s="31">
        <f>IF(OR($U215="",$O215&lt;1),"",$O215*10^11+$I215+$J215+$K215-$A215/1000)</f>
        <v/>
      </c>
      <c r="T215" s="31">
        <f>IF($U215="","",IFERROR(MATCH(INDEX(매출원본!$AU$8:$AU$2007,$U215),거래처설정!$I$8:$I$407,0),""))</f>
        <v/>
      </c>
      <c r="U215" s="31">
        <f>IFERROR(MATCH(208,매출원본!$AW$8:$AW$2007,0),"")</f>
        <v/>
      </c>
      <c r="V215" s="31">
        <f>IF($U215="","",MAX(SUMIFS(매출원본!$AT$8:$AT$2007,매출원본!$AY$8:$AY$2007,$A215,매출원본!$AS$8:$AS$2007,"&gt;="&amp;(설정!$B$5-설정!$B$6),매출원본!$AS$8:$AS$2007,"&lt;="&amp;설정!$B$5),0))</f>
        <v/>
      </c>
      <c r="W215" s="31">
        <f>IF($U215="","",MAX($V215,SUMIFS(매출원본!$AT$8:$AT$2007,매출원본!$AY$8:$AY$2007,$A215,매출원본!$AS$8:$AS$2007,"&gt;="&amp;(설정!$B$5-설정!$B$7),매출원본!$AS$8:$AS$2007,"&lt;="&amp;설정!$B$5)))</f>
        <v/>
      </c>
      <c r="X215" s="31">
        <f>IF($U215="","",MAX($W215,SUMIFS(매출원본!$AT$8:$AT$2007,매출원본!$AY$8:$AY$2007,$A215,매출원본!$AS$8:$AS$2007,"&gt;="&amp;(설정!$B$5-설정!$B$8),매출원본!$AS$8:$AS$2007,"&lt;="&amp;설정!$B$5)))</f>
        <v/>
      </c>
      <c r="AC215" s="31">
        <f>IF(OR($U215="",$T215=""),"",INDEX(거래처설정!$J$8:$J$407,$T215))</f>
        <v/>
      </c>
      <c r="AD215" s="31">
        <f>IF(OR($U215="",$T215=""),"",INDEX(거래처설정!$K$8:$K$407,$T215))</f>
        <v/>
      </c>
      <c r="AE215" s="31">
        <f>IF($U215="","",IF(LEN(SUBSTITUTE(SUBSTITUTE(SUBSTITUTE(SUBSTITUTE(SUBSTITUTE(SUBSTITUTE(SUBSTITUTE(SUBSTITUTE(SUBSTITUTE($C215," ",""),"　",""),"(주)",""),"（주）",""),"㈜",""),"주식회사",""),"(유)",""),"（유）",""),"유한회사",""))&lt;2,"",SUBSTITUTE(SUBSTITUTE(SUBSTITUTE(SUBSTITUTE(SUBSTITUTE(SUBSTITUTE(SUBSTITUTE(SUBSTITUTE(SUBSTITUTE($C215," ",""),"　",""),"(주)",""),"（주）",""),"㈜",""),"주식회사",""),"(유)",""),"（유）",""),"유한회사","")))</f>
        <v/>
      </c>
    </row>
    <row r="216">
      <c r="A216" s="38">
        <f>IF($U216="","",209)</f>
        <v/>
      </c>
      <c r="B216" s="38">
        <f>IF($U216="","",IF(LEN(INDEX(매출원본!$AU$8:$AU$2007,$U216))=10,LEFT(INDEX(매출원본!$AU$8:$AU$2007,$U216),3)&amp;"-"&amp;MID(INDEX(매출원본!$AU$8:$AU$2007,$U216),4,2)&amp;"-"&amp;RIGHT(INDEX(매출원본!$AU$8:$AU$2007,$U216),5),IF(LEFT(INDEX(매출원본!$AU$8:$AU$2007,$U216),2)="N:","(번호 없음)",INDEX(매출원본!$AU$8:$AU$2007,$U216))))</f>
        <v/>
      </c>
      <c r="C216" s="38">
        <f>IF($U216="","",INDEX(매출원본!$AV$8:$AV$2007,$U216))</f>
        <v/>
      </c>
      <c r="D216" s="39">
        <f>IF($U216="","",IF($T216="",0,N(INDEX(거래처설정!$E$8:$E$407,$T216))))</f>
        <v/>
      </c>
      <c r="E216" s="39">
        <f>IF($U216="","",SUMIFS(매출원본!$AT$8:$AT$2007,매출원본!$AY$8:$AY$2007,$A216,매출원본!$AS$8:$AS$2007,"&lt;="&amp;설정!$B$5))</f>
        <v/>
      </c>
      <c r="F216" s="39">
        <f>IF($U216="","",SUMIFS(입금_은행1!$Z$8:$Z$2007,입금_은행1!$AC$8:$AC$2007,$A216,입금_은행1!$Y$8:$Y$2007,"&lt;="&amp;설정!$B$5)+SUMIFS(입금_은행2!$Z$8:$Z$2007,입금_은행2!$AC$8:$AC$2007,$A216,입금_은행2!$Y$8:$Y$2007,"&lt;="&amp;설정!$B$5))</f>
        <v/>
      </c>
      <c r="G216" s="39">
        <f>IF($U216="","",$D216+$E216-$F216)</f>
        <v/>
      </c>
      <c r="H216" s="39">
        <f>IF($U216="","",MIN(MAX($G216,0),$V216))</f>
        <v/>
      </c>
      <c r="I216" s="39">
        <f>IF($U216="","",MIN(MAX($G216,0),$W216)-MIN(MAX($G216,0),$V216))</f>
        <v/>
      </c>
      <c r="J216" s="39">
        <f>IF($U216="","",MIN(MAX($G216,0),$X216)-MIN(MAX($G216,0),$W216))</f>
        <v/>
      </c>
      <c r="K216" s="39">
        <f>IF($U216="","",MAX($G216,0)-MIN(MAX($G216,0),$X216))</f>
        <v/>
      </c>
      <c r="L216" s="40">
        <f>IF($U216="","",IF(MAX(SUMPRODUCT(MAX((입금_은행1!$AC$8:$AC$2007=$A216)*(입금_은행1!$AE$8:$AE$2007&lt;=설정!$B$5)*입금_은행1!$AE$8:$AE$2007)),SUMPRODUCT(MAX((입금_은행2!$AC$8:$AC$2007=$A216)*(입금_은행2!$AE$8:$AE$2007&lt;=설정!$B$5)*입금_은행2!$AE$8:$AE$2007)))=0,"",MAX(SUMPRODUCT(MAX((입금_은행1!$AC$8:$AC$2007=$A216)*(입금_은행1!$AE$8:$AE$2007&lt;=설정!$B$5)*입금_은행1!$AE$8:$AE$2007)),SUMPRODUCT(MAX((입금_은행2!$AC$8:$AC$2007=$A216)*(입금_은행2!$AE$8:$AE$2007&lt;=설정!$B$5)*입금_은행2!$AE$8:$AE$2007)))))</f>
        <v/>
      </c>
      <c r="M216" s="38">
        <f>IF($U216="","",IF($T216="","",IF(INDEX(거래처설정!$F$8:$F$407,$T216)="","",INDEX(거래처설정!$F$8:$F$407,$T216))))</f>
        <v/>
      </c>
      <c r="N216" s="38">
        <f>IF($U216="","",IF($T216="","",IF(INDEX(거래처설정!$G$8:$G$407,$T216)="","",INDEX(거래처설정!$G$8:$G$407,$T216))))</f>
        <v/>
      </c>
      <c r="O216" s="38">
        <f>IF($U216="","",IF($M216="제외",0,IF($K216&gt;=설정!$B$9,3,IF($J216+$K216&gt;=설정!$B$9,2,IF($I216+$J216+$K216&gt;=설정!$B$9,1,0)))))</f>
        <v/>
      </c>
      <c r="P216" s="38">
        <f>IF($U216="","",IF($M216="제외","제외(조치 상태)",IF($O216=3,"③ 강한 독촉 후보 ("&amp;설정!$B$8&amp;"일 초과)",IF($O216=2,"② 독촉 후보 ("&amp;설정!$B$7&amp;"일 초과)",IF($O216=1,"① 안내 후보 ("&amp;설정!$B$6&amp;"일 초과)",IF($G216&gt;0,IF($I216+$J216+$K216&gt;0,"오래된 잔액 있음 (최소 금액 미만)","정상 범위"),IF($G216&lt;0,"선수금·초과입금 — 확인","완납")))))))</f>
        <v/>
      </c>
      <c r="Q216" s="38">
        <f>IF($U216="","",IF($G216&lt;0,"입금이 매출보다 큼 — 선수금이거나 다른 거래처 입금이 섞였는지 확인",IF(AND($AE216&lt;&gt;"",COUNTIF($AE$8:$AE$307,"*"&amp;$AE216&amp;"*")&gt;1),"이름이 다른 거래처와 겹침 — 입금이 잘못 맞았을 수 있으니 별칭 확인",IF(AND($G216&gt;0,$F216=0),"입금 매칭 없음 — 입금자명이 다르면 [거래처설정]에 별칭 등록",""))))</f>
        <v/>
      </c>
      <c r="R216" s="31">
        <f>IF(OR($U216="",$G216&lt;=0),"",$G216-$A216/10000)</f>
        <v/>
      </c>
      <c r="S216" s="31">
        <f>IF(OR($U216="",$O216&lt;1),"",$O216*10^11+$I216+$J216+$K216-$A216/1000)</f>
        <v/>
      </c>
      <c r="T216" s="31">
        <f>IF($U216="","",IFERROR(MATCH(INDEX(매출원본!$AU$8:$AU$2007,$U216),거래처설정!$I$8:$I$407,0),""))</f>
        <v/>
      </c>
      <c r="U216" s="31">
        <f>IFERROR(MATCH(209,매출원본!$AW$8:$AW$2007,0),"")</f>
        <v/>
      </c>
      <c r="V216" s="31">
        <f>IF($U216="","",MAX(SUMIFS(매출원본!$AT$8:$AT$2007,매출원본!$AY$8:$AY$2007,$A216,매출원본!$AS$8:$AS$2007,"&gt;="&amp;(설정!$B$5-설정!$B$6),매출원본!$AS$8:$AS$2007,"&lt;="&amp;설정!$B$5),0))</f>
        <v/>
      </c>
      <c r="W216" s="31">
        <f>IF($U216="","",MAX($V216,SUMIFS(매출원본!$AT$8:$AT$2007,매출원본!$AY$8:$AY$2007,$A216,매출원본!$AS$8:$AS$2007,"&gt;="&amp;(설정!$B$5-설정!$B$7),매출원본!$AS$8:$AS$2007,"&lt;="&amp;설정!$B$5)))</f>
        <v/>
      </c>
      <c r="X216" s="31">
        <f>IF($U216="","",MAX($W216,SUMIFS(매출원본!$AT$8:$AT$2007,매출원본!$AY$8:$AY$2007,$A216,매출원본!$AS$8:$AS$2007,"&gt;="&amp;(설정!$B$5-설정!$B$8),매출원본!$AS$8:$AS$2007,"&lt;="&amp;설정!$B$5)))</f>
        <v/>
      </c>
      <c r="AC216" s="31">
        <f>IF(OR($U216="",$T216=""),"",INDEX(거래처설정!$J$8:$J$407,$T216))</f>
        <v/>
      </c>
      <c r="AD216" s="31">
        <f>IF(OR($U216="",$T216=""),"",INDEX(거래처설정!$K$8:$K$407,$T216))</f>
        <v/>
      </c>
      <c r="AE216" s="31">
        <f>IF($U216="","",IF(LEN(SUBSTITUTE(SUBSTITUTE(SUBSTITUTE(SUBSTITUTE(SUBSTITUTE(SUBSTITUTE(SUBSTITUTE(SUBSTITUTE(SUBSTITUTE($C216," ",""),"　",""),"(주)",""),"（주）",""),"㈜",""),"주식회사",""),"(유)",""),"（유）",""),"유한회사",""))&lt;2,"",SUBSTITUTE(SUBSTITUTE(SUBSTITUTE(SUBSTITUTE(SUBSTITUTE(SUBSTITUTE(SUBSTITUTE(SUBSTITUTE(SUBSTITUTE($C216," ",""),"　",""),"(주)",""),"（주）",""),"㈜",""),"주식회사",""),"(유)",""),"（유）",""),"유한회사","")))</f>
        <v/>
      </c>
    </row>
    <row r="217">
      <c r="A217" s="38">
        <f>IF($U217="","",210)</f>
        <v/>
      </c>
      <c r="B217" s="38">
        <f>IF($U217="","",IF(LEN(INDEX(매출원본!$AU$8:$AU$2007,$U217))=10,LEFT(INDEX(매출원본!$AU$8:$AU$2007,$U217),3)&amp;"-"&amp;MID(INDEX(매출원본!$AU$8:$AU$2007,$U217),4,2)&amp;"-"&amp;RIGHT(INDEX(매출원본!$AU$8:$AU$2007,$U217),5),IF(LEFT(INDEX(매출원본!$AU$8:$AU$2007,$U217),2)="N:","(번호 없음)",INDEX(매출원본!$AU$8:$AU$2007,$U217))))</f>
        <v/>
      </c>
      <c r="C217" s="38">
        <f>IF($U217="","",INDEX(매출원본!$AV$8:$AV$2007,$U217))</f>
        <v/>
      </c>
      <c r="D217" s="39">
        <f>IF($U217="","",IF($T217="",0,N(INDEX(거래처설정!$E$8:$E$407,$T217))))</f>
        <v/>
      </c>
      <c r="E217" s="39">
        <f>IF($U217="","",SUMIFS(매출원본!$AT$8:$AT$2007,매출원본!$AY$8:$AY$2007,$A217,매출원본!$AS$8:$AS$2007,"&lt;="&amp;설정!$B$5))</f>
        <v/>
      </c>
      <c r="F217" s="39">
        <f>IF($U217="","",SUMIFS(입금_은행1!$Z$8:$Z$2007,입금_은행1!$AC$8:$AC$2007,$A217,입금_은행1!$Y$8:$Y$2007,"&lt;="&amp;설정!$B$5)+SUMIFS(입금_은행2!$Z$8:$Z$2007,입금_은행2!$AC$8:$AC$2007,$A217,입금_은행2!$Y$8:$Y$2007,"&lt;="&amp;설정!$B$5))</f>
        <v/>
      </c>
      <c r="G217" s="39">
        <f>IF($U217="","",$D217+$E217-$F217)</f>
        <v/>
      </c>
      <c r="H217" s="39">
        <f>IF($U217="","",MIN(MAX($G217,0),$V217))</f>
        <v/>
      </c>
      <c r="I217" s="39">
        <f>IF($U217="","",MIN(MAX($G217,0),$W217)-MIN(MAX($G217,0),$V217))</f>
        <v/>
      </c>
      <c r="J217" s="39">
        <f>IF($U217="","",MIN(MAX($G217,0),$X217)-MIN(MAX($G217,0),$W217))</f>
        <v/>
      </c>
      <c r="K217" s="39">
        <f>IF($U217="","",MAX($G217,0)-MIN(MAX($G217,0),$X217))</f>
        <v/>
      </c>
      <c r="L217" s="40">
        <f>IF($U217="","",IF(MAX(SUMPRODUCT(MAX((입금_은행1!$AC$8:$AC$2007=$A217)*(입금_은행1!$AE$8:$AE$2007&lt;=설정!$B$5)*입금_은행1!$AE$8:$AE$2007)),SUMPRODUCT(MAX((입금_은행2!$AC$8:$AC$2007=$A217)*(입금_은행2!$AE$8:$AE$2007&lt;=설정!$B$5)*입금_은행2!$AE$8:$AE$2007)))=0,"",MAX(SUMPRODUCT(MAX((입금_은행1!$AC$8:$AC$2007=$A217)*(입금_은행1!$AE$8:$AE$2007&lt;=설정!$B$5)*입금_은행1!$AE$8:$AE$2007)),SUMPRODUCT(MAX((입금_은행2!$AC$8:$AC$2007=$A217)*(입금_은행2!$AE$8:$AE$2007&lt;=설정!$B$5)*입금_은행2!$AE$8:$AE$2007)))))</f>
        <v/>
      </c>
      <c r="M217" s="38">
        <f>IF($U217="","",IF($T217="","",IF(INDEX(거래처설정!$F$8:$F$407,$T217)="","",INDEX(거래처설정!$F$8:$F$407,$T217))))</f>
        <v/>
      </c>
      <c r="N217" s="38">
        <f>IF($U217="","",IF($T217="","",IF(INDEX(거래처설정!$G$8:$G$407,$T217)="","",INDEX(거래처설정!$G$8:$G$407,$T217))))</f>
        <v/>
      </c>
      <c r="O217" s="38">
        <f>IF($U217="","",IF($M217="제외",0,IF($K217&gt;=설정!$B$9,3,IF($J217+$K217&gt;=설정!$B$9,2,IF($I217+$J217+$K217&gt;=설정!$B$9,1,0)))))</f>
        <v/>
      </c>
      <c r="P217" s="38">
        <f>IF($U217="","",IF($M217="제외","제외(조치 상태)",IF($O217=3,"③ 강한 독촉 후보 ("&amp;설정!$B$8&amp;"일 초과)",IF($O217=2,"② 독촉 후보 ("&amp;설정!$B$7&amp;"일 초과)",IF($O217=1,"① 안내 후보 ("&amp;설정!$B$6&amp;"일 초과)",IF($G217&gt;0,IF($I217+$J217+$K217&gt;0,"오래된 잔액 있음 (최소 금액 미만)","정상 범위"),IF($G217&lt;0,"선수금·초과입금 — 확인","완납")))))))</f>
        <v/>
      </c>
      <c r="Q217" s="38">
        <f>IF($U217="","",IF($G217&lt;0,"입금이 매출보다 큼 — 선수금이거나 다른 거래처 입금이 섞였는지 확인",IF(AND($AE217&lt;&gt;"",COUNTIF($AE$8:$AE$307,"*"&amp;$AE217&amp;"*")&gt;1),"이름이 다른 거래처와 겹침 — 입금이 잘못 맞았을 수 있으니 별칭 확인",IF(AND($G217&gt;0,$F217=0),"입금 매칭 없음 — 입금자명이 다르면 [거래처설정]에 별칭 등록",""))))</f>
        <v/>
      </c>
      <c r="R217" s="31">
        <f>IF(OR($U217="",$G217&lt;=0),"",$G217-$A217/10000)</f>
        <v/>
      </c>
      <c r="S217" s="31">
        <f>IF(OR($U217="",$O217&lt;1),"",$O217*10^11+$I217+$J217+$K217-$A217/1000)</f>
        <v/>
      </c>
      <c r="T217" s="31">
        <f>IF($U217="","",IFERROR(MATCH(INDEX(매출원본!$AU$8:$AU$2007,$U217),거래처설정!$I$8:$I$407,0),""))</f>
        <v/>
      </c>
      <c r="U217" s="31">
        <f>IFERROR(MATCH(210,매출원본!$AW$8:$AW$2007,0),"")</f>
        <v/>
      </c>
      <c r="V217" s="31">
        <f>IF($U217="","",MAX(SUMIFS(매출원본!$AT$8:$AT$2007,매출원본!$AY$8:$AY$2007,$A217,매출원본!$AS$8:$AS$2007,"&gt;="&amp;(설정!$B$5-설정!$B$6),매출원본!$AS$8:$AS$2007,"&lt;="&amp;설정!$B$5),0))</f>
        <v/>
      </c>
      <c r="W217" s="31">
        <f>IF($U217="","",MAX($V217,SUMIFS(매출원본!$AT$8:$AT$2007,매출원본!$AY$8:$AY$2007,$A217,매출원본!$AS$8:$AS$2007,"&gt;="&amp;(설정!$B$5-설정!$B$7),매출원본!$AS$8:$AS$2007,"&lt;="&amp;설정!$B$5)))</f>
        <v/>
      </c>
      <c r="X217" s="31">
        <f>IF($U217="","",MAX($W217,SUMIFS(매출원본!$AT$8:$AT$2007,매출원본!$AY$8:$AY$2007,$A217,매출원본!$AS$8:$AS$2007,"&gt;="&amp;(설정!$B$5-설정!$B$8),매출원본!$AS$8:$AS$2007,"&lt;="&amp;설정!$B$5)))</f>
        <v/>
      </c>
      <c r="AC217" s="31">
        <f>IF(OR($U217="",$T217=""),"",INDEX(거래처설정!$J$8:$J$407,$T217))</f>
        <v/>
      </c>
      <c r="AD217" s="31">
        <f>IF(OR($U217="",$T217=""),"",INDEX(거래처설정!$K$8:$K$407,$T217))</f>
        <v/>
      </c>
      <c r="AE217" s="31">
        <f>IF($U217="","",IF(LEN(SUBSTITUTE(SUBSTITUTE(SUBSTITUTE(SUBSTITUTE(SUBSTITUTE(SUBSTITUTE(SUBSTITUTE(SUBSTITUTE(SUBSTITUTE($C217," ",""),"　",""),"(주)",""),"（주）",""),"㈜",""),"주식회사",""),"(유)",""),"（유）",""),"유한회사",""))&lt;2,"",SUBSTITUTE(SUBSTITUTE(SUBSTITUTE(SUBSTITUTE(SUBSTITUTE(SUBSTITUTE(SUBSTITUTE(SUBSTITUTE(SUBSTITUTE($C217," ",""),"　",""),"(주)",""),"（주）",""),"㈜",""),"주식회사",""),"(유)",""),"（유）",""),"유한회사","")))</f>
        <v/>
      </c>
    </row>
    <row r="218">
      <c r="A218" s="38">
        <f>IF($U218="","",211)</f>
        <v/>
      </c>
      <c r="B218" s="38">
        <f>IF($U218="","",IF(LEN(INDEX(매출원본!$AU$8:$AU$2007,$U218))=10,LEFT(INDEX(매출원본!$AU$8:$AU$2007,$U218),3)&amp;"-"&amp;MID(INDEX(매출원본!$AU$8:$AU$2007,$U218),4,2)&amp;"-"&amp;RIGHT(INDEX(매출원본!$AU$8:$AU$2007,$U218),5),IF(LEFT(INDEX(매출원본!$AU$8:$AU$2007,$U218),2)="N:","(번호 없음)",INDEX(매출원본!$AU$8:$AU$2007,$U218))))</f>
        <v/>
      </c>
      <c r="C218" s="38">
        <f>IF($U218="","",INDEX(매출원본!$AV$8:$AV$2007,$U218))</f>
        <v/>
      </c>
      <c r="D218" s="39">
        <f>IF($U218="","",IF($T218="",0,N(INDEX(거래처설정!$E$8:$E$407,$T218))))</f>
        <v/>
      </c>
      <c r="E218" s="39">
        <f>IF($U218="","",SUMIFS(매출원본!$AT$8:$AT$2007,매출원본!$AY$8:$AY$2007,$A218,매출원본!$AS$8:$AS$2007,"&lt;="&amp;설정!$B$5))</f>
        <v/>
      </c>
      <c r="F218" s="39">
        <f>IF($U218="","",SUMIFS(입금_은행1!$Z$8:$Z$2007,입금_은행1!$AC$8:$AC$2007,$A218,입금_은행1!$Y$8:$Y$2007,"&lt;="&amp;설정!$B$5)+SUMIFS(입금_은행2!$Z$8:$Z$2007,입금_은행2!$AC$8:$AC$2007,$A218,입금_은행2!$Y$8:$Y$2007,"&lt;="&amp;설정!$B$5))</f>
        <v/>
      </c>
      <c r="G218" s="39">
        <f>IF($U218="","",$D218+$E218-$F218)</f>
        <v/>
      </c>
      <c r="H218" s="39">
        <f>IF($U218="","",MIN(MAX($G218,0),$V218))</f>
        <v/>
      </c>
      <c r="I218" s="39">
        <f>IF($U218="","",MIN(MAX($G218,0),$W218)-MIN(MAX($G218,0),$V218))</f>
        <v/>
      </c>
      <c r="J218" s="39">
        <f>IF($U218="","",MIN(MAX($G218,0),$X218)-MIN(MAX($G218,0),$W218))</f>
        <v/>
      </c>
      <c r="K218" s="39">
        <f>IF($U218="","",MAX($G218,0)-MIN(MAX($G218,0),$X218))</f>
        <v/>
      </c>
      <c r="L218" s="40">
        <f>IF($U218="","",IF(MAX(SUMPRODUCT(MAX((입금_은행1!$AC$8:$AC$2007=$A218)*(입금_은행1!$AE$8:$AE$2007&lt;=설정!$B$5)*입금_은행1!$AE$8:$AE$2007)),SUMPRODUCT(MAX((입금_은행2!$AC$8:$AC$2007=$A218)*(입금_은행2!$AE$8:$AE$2007&lt;=설정!$B$5)*입금_은행2!$AE$8:$AE$2007)))=0,"",MAX(SUMPRODUCT(MAX((입금_은행1!$AC$8:$AC$2007=$A218)*(입금_은행1!$AE$8:$AE$2007&lt;=설정!$B$5)*입금_은행1!$AE$8:$AE$2007)),SUMPRODUCT(MAX((입금_은행2!$AC$8:$AC$2007=$A218)*(입금_은행2!$AE$8:$AE$2007&lt;=설정!$B$5)*입금_은행2!$AE$8:$AE$2007)))))</f>
        <v/>
      </c>
      <c r="M218" s="38">
        <f>IF($U218="","",IF($T218="","",IF(INDEX(거래처설정!$F$8:$F$407,$T218)="","",INDEX(거래처설정!$F$8:$F$407,$T218))))</f>
        <v/>
      </c>
      <c r="N218" s="38">
        <f>IF($U218="","",IF($T218="","",IF(INDEX(거래처설정!$G$8:$G$407,$T218)="","",INDEX(거래처설정!$G$8:$G$407,$T218))))</f>
        <v/>
      </c>
      <c r="O218" s="38">
        <f>IF($U218="","",IF($M218="제외",0,IF($K218&gt;=설정!$B$9,3,IF($J218+$K218&gt;=설정!$B$9,2,IF($I218+$J218+$K218&gt;=설정!$B$9,1,0)))))</f>
        <v/>
      </c>
      <c r="P218" s="38">
        <f>IF($U218="","",IF($M218="제외","제외(조치 상태)",IF($O218=3,"③ 강한 독촉 후보 ("&amp;설정!$B$8&amp;"일 초과)",IF($O218=2,"② 독촉 후보 ("&amp;설정!$B$7&amp;"일 초과)",IF($O218=1,"① 안내 후보 ("&amp;설정!$B$6&amp;"일 초과)",IF($G218&gt;0,IF($I218+$J218+$K218&gt;0,"오래된 잔액 있음 (최소 금액 미만)","정상 범위"),IF($G218&lt;0,"선수금·초과입금 — 확인","완납")))))))</f>
        <v/>
      </c>
      <c r="Q218" s="38">
        <f>IF($U218="","",IF($G218&lt;0,"입금이 매출보다 큼 — 선수금이거나 다른 거래처 입금이 섞였는지 확인",IF(AND($AE218&lt;&gt;"",COUNTIF($AE$8:$AE$307,"*"&amp;$AE218&amp;"*")&gt;1),"이름이 다른 거래처와 겹침 — 입금이 잘못 맞았을 수 있으니 별칭 확인",IF(AND($G218&gt;0,$F218=0),"입금 매칭 없음 — 입금자명이 다르면 [거래처설정]에 별칭 등록",""))))</f>
        <v/>
      </c>
      <c r="R218" s="31">
        <f>IF(OR($U218="",$G218&lt;=0),"",$G218-$A218/10000)</f>
        <v/>
      </c>
      <c r="S218" s="31">
        <f>IF(OR($U218="",$O218&lt;1),"",$O218*10^11+$I218+$J218+$K218-$A218/1000)</f>
        <v/>
      </c>
      <c r="T218" s="31">
        <f>IF($U218="","",IFERROR(MATCH(INDEX(매출원본!$AU$8:$AU$2007,$U218),거래처설정!$I$8:$I$407,0),""))</f>
        <v/>
      </c>
      <c r="U218" s="31">
        <f>IFERROR(MATCH(211,매출원본!$AW$8:$AW$2007,0),"")</f>
        <v/>
      </c>
      <c r="V218" s="31">
        <f>IF($U218="","",MAX(SUMIFS(매출원본!$AT$8:$AT$2007,매출원본!$AY$8:$AY$2007,$A218,매출원본!$AS$8:$AS$2007,"&gt;="&amp;(설정!$B$5-설정!$B$6),매출원본!$AS$8:$AS$2007,"&lt;="&amp;설정!$B$5),0))</f>
        <v/>
      </c>
      <c r="W218" s="31">
        <f>IF($U218="","",MAX($V218,SUMIFS(매출원본!$AT$8:$AT$2007,매출원본!$AY$8:$AY$2007,$A218,매출원본!$AS$8:$AS$2007,"&gt;="&amp;(설정!$B$5-설정!$B$7),매출원본!$AS$8:$AS$2007,"&lt;="&amp;설정!$B$5)))</f>
        <v/>
      </c>
      <c r="X218" s="31">
        <f>IF($U218="","",MAX($W218,SUMIFS(매출원본!$AT$8:$AT$2007,매출원본!$AY$8:$AY$2007,$A218,매출원본!$AS$8:$AS$2007,"&gt;="&amp;(설정!$B$5-설정!$B$8),매출원본!$AS$8:$AS$2007,"&lt;="&amp;설정!$B$5)))</f>
        <v/>
      </c>
      <c r="AC218" s="31">
        <f>IF(OR($U218="",$T218=""),"",INDEX(거래처설정!$J$8:$J$407,$T218))</f>
        <v/>
      </c>
      <c r="AD218" s="31">
        <f>IF(OR($U218="",$T218=""),"",INDEX(거래처설정!$K$8:$K$407,$T218))</f>
        <v/>
      </c>
      <c r="AE218" s="31">
        <f>IF($U218="","",IF(LEN(SUBSTITUTE(SUBSTITUTE(SUBSTITUTE(SUBSTITUTE(SUBSTITUTE(SUBSTITUTE(SUBSTITUTE(SUBSTITUTE(SUBSTITUTE($C218," ",""),"　",""),"(주)",""),"（주）",""),"㈜",""),"주식회사",""),"(유)",""),"（유）",""),"유한회사",""))&lt;2,"",SUBSTITUTE(SUBSTITUTE(SUBSTITUTE(SUBSTITUTE(SUBSTITUTE(SUBSTITUTE(SUBSTITUTE(SUBSTITUTE(SUBSTITUTE($C218," ",""),"　",""),"(주)",""),"（주）",""),"㈜",""),"주식회사",""),"(유)",""),"（유）",""),"유한회사","")))</f>
        <v/>
      </c>
    </row>
    <row r="219">
      <c r="A219" s="38">
        <f>IF($U219="","",212)</f>
        <v/>
      </c>
      <c r="B219" s="38">
        <f>IF($U219="","",IF(LEN(INDEX(매출원본!$AU$8:$AU$2007,$U219))=10,LEFT(INDEX(매출원본!$AU$8:$AU$2007,$U219),3)&amp;"-"&amp;MID(INDEX(매출원본!$AU$8:$AU$2007,$U219),4,2)&amp;"-"&amp;RIGHT(INDEX(매출원본!$AU$8:$AU$2007,$U219),5),IF(LEFT(INDEX(매출원본!$AU$8:$AU$2007,$U219),2)="N:","(번호 없음)",INDEX(매출원본!$AU$8:$AU$2007,$U219))))</f>
        <v/>
      </c>
      <c r="C219" s="38">
        <f>IF($U219="","",INDEX(매출원본!$AV$8:$AV$2007,$U219))</f>
        <v/>
      </c>
      <c r="D219" s="39">
        <f>IF($U219="","",IF($T219="",0,N(INDEX(거래처설정!$E$8:$E$407,$T219))))</f>
        <v/>
      </c>
      <c r="E219" s="39">
        <f>IF($U219="","",SUMIFS(매출원본!$AT$8:$AT$2007,매출원본!$AY$8:$AY$2007,$A219,매출원본!$AS$8:$AS$2007,"&lt;="&amp;설정!$B$5))</f>
        <v/>
      </c>
      <c r="F219" s="39">
        <f>IF($U219="","",SUMIFS(입금_은행1!$Z$8:$Z$2007,입금_은행1!$AC$8:$AC$2007,$A219,입금_은행1!$Y$8:$Y$2007,"&lt;="&amp;설정!$B$5)+SUMIFS(입금_은행2!$Z$8:$Z$2007,입금_은행2!$AC$8:$AC$2007,$A219,입금_은행2!$Y$8:$Y$2007,"&lt;="&amp;설정!$B$5))</f>
        <v/>
      </c>
      <c r="G219" s="39">
        <f>IF($U219="","",$D219+$E219-$F219)</f>
        <v/>
      </c>
      <c r="H219" s="39">
        <f>IF($U219="","",MIN(MAX($G219,0),$V219))</f>
        <v/>
      </c>
      <c r="I219" s="39">
        <f>IF($U219="","",MIN(MAX($G219,0),$W219)-MIN(MAX($G219,0),$V219))</f>
        <v/>
      </c>
      <c r="J219" s="39">
        <f>IF($U219="","",MIN(MAX($G219,0),$X219)-MIN(MAX($G219,0),$W219))</f>
        <v/>
      </c>
      <c r="K219" s="39">
        <f>IF($U219="","",MAX($G219,0)-MIN(MAX($G219,0),$X219))</f>
        <v/>
      </c>
      <c r="L219" s="40">
        <f>IF($U219="","",IF(MAX(SUMPRODUCT(MAX((입금_은행1!$AC$8:$AC$2007=$A219)*(입금_은행1!$AE$8:$AE$2007&lt;=설정!$B$5)*입금_은행1!$AE$8:$AE$2007)),SUMPRODUCT(MAX((입금_은행2!$AC$8:$AC$2007=$A219)*(입금_은행2!$AE$8:$AE$2007&lt;=설정!$B$5)*입금_은행2!$AE$8:$AE$2007)))=0,"",MAX(SUMPRODUCT(MAX((입금_은행1!$AC$8:$AC$2007=$A219)*(입금_은행1!$AE$8:$AE$2007&lt;=설정!$B$5)*입금_은행1!$AE$8:$AE$2007)),SUMPRODUCT(MAX((입금_은행2!$AC$8:$AC$2007=$A219)*(입금_은행2!$AE$8:$AE$2007&lt;=설정!$B$5)*입금_은행2!$AE$8:$AE$2007)))))</f>
        <v/>
      </c>
      <c r="M219" s="38">
        <f>IF($U219="","",IF($T219="","",IF(INDEX(거래처설정!$F$8:$F$407,$T219)="","",INDEX(거래처설정!$F$8:$F$407,$T219))))</f>
        <v/>
      </c>
      <c r="N219" s="38">
        <f>IF($U219="","",IF($T219="","",IF(INDEX(거래처설정!$G$8:$G$407,$T219)="","",INDEX(거래처설정!$G$8:$G$407,$T219))))</f>
        <v/>
      </c>
      <c r="O219" s="38">
        <f>IF($U219="","",IF($M219="제외",0,IF($K219&gt;=설정!$B$9,3,IF($J219+$K219&gt;=설정!$B$9,2,IF($I219+$J219+$K219&gt;=설정!$B$9,1,0)))))</f>
        <v/>
      </c>
      <c r="P219" s="38">
        <f>IF($U219="","",IF($M219="제외","제외(조치 상태)",IF($O219=3,"③ 강한 독촉 후보 ("&amp;설정!$B$8&amp;"일 초과)",IF($O219=2,"② 독촉 후보 ("&amp;설정!$B$7&amp;"일 초과)",IF($O219=1,"① 안내 후보 ("&amp;설정!$B$6&amp;"일 초과)",IF($G219&gt;0,IF($I219+$J219+$K219&gt;0,"오래된 잔액 있음 (최소 금액 미만)","정상 범위"),IF($G219&lt;0,"선수금·초과입금 — 확인","완납")))))))</f>
        <v/>
      </c>
      <c r="Q219" s="38">
        <f>IF($U219="","",IF($G219&lt;0,"입금이 매출보다 큼 — 선수금이거나 다른 거래처 입금이 섞였는지 확인",IF(AND($AE219&lt;&gt;"",COUNTIF($AE$8:$AE$307,"*"&amp;$AE219&amp;"*")&gt;1),"이름이 다른 거래처와 겹침 — 입금이 잘못 맞았을 수 있으니 별칭 확인",IF(AND($G219&gt;0,$F219=0),"입금 매칭 없음 — 입금자명이 다르면 [거래처설정]에 별칭 등록",""))))</f>
        <v/>
      </c>
      <c r="R219" s="31">
        <f>IF(OR($U219="",$G219&lt;=0),"",$G219-$A219/10000)</f>
        <v/>
      </c>
      <c r="S219" s="31">
        <f>IF(OR($U219="",$O219&lt;1),"",$O219*10^11+$I219+$J219+$K219-$A219/1000)</f>
        <v/>
      </c>
      <c r="T219" s="31">
        <f>IF($U219="","",IFERROR(MATCH(INDEX(매출원본!$AU$8:$AU$2007,$U219),거래처설정!$I$8:$I$407,0),""))</f>
        <v/>
      </c>
      <c r="U219" s="31">
        <f>IFERROR(MATCH(212,매출원본!$AW$8:$AW$2007,0),"")</f>
        <v/>
      </c>
      <c r="V219" s="31">
        <f>IF($U219="","",MAX(SUMIFS(매출원본!$AT$8:$AT$2007,매출원본!$AY$8:$AY$2007,$A219,매출원본!$AS$8:$AS$2007,"&gt;="&amp;(설정!$B$5-설정!$B$6),매출원본!$AS$8:$AS$2007,"&lt;="&amp;설정!$B$5),0))</f>
        <v/>
      </c>
      <c r="W219" s="31">
        <f>IF($U219="","",MAX($V219,SUMIFS(매출원본!$AT$8:$AT$2007,매출원본!$AY$8:$AY$2007,$A219,매출원본!$AS$8:$AS$2007,"&gt;="&amp;(설정!$B$5-설정!$B$7),매출원본!$AS$8:$AS$2007,"&lt;="&amp;설정!$B$5)))</f>
        <v/>
      </c>
      <c r="X219" s="31">
        <f>IF($U219="","",MAX($W219,SUMIFS(매출원본!$AT$8:$AT$2007,매출원본!$AY$8:$AY$2007,$A219,매출원본!$AS$8:$AS$2007,"&gt;="&amp;(설정!$B$5-설정!$B$8),매출원본!$AS$8:$AS$2007,"&lt;="&amp;설정!$B$5)))</f>
        <v/>
      </c>
      <c r="AC219" s="31">
        <f>IF(OR($U219="",$T219=""),"",INDEX(거래처설정!$J$8:$J$407,$T219))</f>
        <v/>
      </c>
      <c r="AD219" s="31">
        <f>IF(OR($U219="",$T219=""),"",INDEX(거래처설정!$K$8:$K$407,$T219))</f>
        <v/>
      </c>
      <c r="AE219" s="31">
        <f>IF($U219="","",IF(LEN(SUBSTITUTE(SUBSTITUTE(SUBSTITUTE(SUBSTITUTE(SUBSTITUTE(SUBSTITUTE(SUBSTITUTE(SUBSTITUTE(SUBSTITUTE($C219," ",""),"　",""),"(주)",""),"（주）",""),"㈜",""),"주식회사",""),"(유)",""),"（유）",""),"유한회사",""))&lt;2,"",SUBSTITUTE(SUBSTITUTE(SUBSTITUTE(SUBSTITUTE(SUBSTITUTE(SUBSTITUTE(SUBSTITUTE(SUBSTITUTE(SUBSTITUTE($C219," ",""),"　",""),"(주)",""),"（주）",""),"㈜",""),"주식회사",""),"(유)",""),"（유）",""),"유한회사","")))</f>
        <v/>
      </c>
    </row>
    <row r="220">
      <c r="A220" s="38">
        <f>IF($U220="","",213)</f>
        <v/>
      </c>
      <c r="B220" s="38">
        <f>IF($U220="","",IF(LEN(INDEX(매출원본!$AU$8:$AU$2007,$U220))=10,LEFT(INDEX(매출원본!$AU$8:$AU$2007,$U220),3)&amp;"-"&amp;MID(INDEX(매출원본!$AU$8:$AU$2007,$U220),4,2)&amp;"-"&amp;RIGHT(INDEX(매출원본!$AU$8:$AU$2007,$U220),5),IF(LEFT(INDEX(매출원본!$AU$8:$AU$2007,$U220),2)="N:","(번호 없음)",INDEX(매출원본!$AU$8:$AU$2007,$U220))))</f>
        <v/>
      </c>
      <c r="C220" s="38">
        <f>IF($U220="","",INDEX(매출원본!$AV$8:$AV$2007,$U220))</f>
        <v/>
      </c>
      <c r="D220" s="39">
        <f>IF($U220="","",IF($T220="",0,N(INDEX(거래처설정!$E$8:$E$407,$T220))))</f>
        <v/>
      </c>
      <c r="E220" s="39">
        <f>IF($U220="","",SUMIFS(매출원본!$AT$8:$AT$2007,매출원본!$AY$8:$AY$2007,$A220,매출원본!$AS$8:$AS$2007,"&lt;="&amp;설정!$B$5))</f>
        <v/>
      </c>
      <c r="F220" s="39">
        <f>IF($U220="","",SUMIFS(입금_은행1!$Z$8:$Z$2007,입금_은행1!$AC$8:$AC$2007,$A220,입금_은행1!$Y$8:$Y$2007,"&lt;="&amp;설정!$B$5)+SUMIFS(입금_은행2!$Z$8:$Z$2007,입금_은행2!$AC$8:$AC$2007,$A220,입금_은행2!$Y$8:$Y$2007,"&lt;="&amp;설정!$B$5))</f>
        <v/>
      </c>
      <c r="G220" s="39">
        <f>IF($U220="","",$D220+$E220-$F220)</f>
        <v/>
      </c>
      <c r="H220" s="39">
        <f>IF($U220="","",MIN(MAX($G220,0),$V220))</f>
        <v/>
      </c>
      <c r="I220" s="39">
        <f>IF($U220="","",MIN(MAX($G220,0),$W220)-MIN(MAX($G220,0),$V220))</f>
        <v/>
      </c>
      <c r="J220" s="39">
        <f>IF($U220="","",MIN(MAX($G220,0),$X220)-MIN(MAX($G220,0),$W220))</f>
        <v/>
      </c>
      <c r="K220" s="39">
        <f>IF($U220="","",MAX($G220,0)-MIN(MAX($G220,0),$X220))</f>
        <v/>
      </c>
      <c r="L220" s="40">
        <f>IF($U220="","",IF(MAX(SUMPRODUCT(MAX((입금_은행1!$AC$8:$AC$2007=$A220)*(입금_은행1!$AE$8:$AE$2007&lt;=설정!$B$5)*입금_은행1!$AE$8:$AE$2007)),SUMPRODUCT(MAX((입금_은행2!$AC$8:$AC$2007=$A220)*(입금_은행2!$AE$8:$AE$2007&lt;=설정!$B$5)*입금_은행2!$AE$8:$AE$2007)))=0,"",MAX(SUMPRODUCT(MAX((입금_은행1!$AC$8:$AC$2007=$A220)*(입금_은행1!$AE$8:$AE$2007&lt;=설정!$B$5)*입금_은행1!$AE$8:$AE$2007)),SUMPRODUCT(MAX((입금_은행2!$AC$8:$AC$2007=$A220)*(입금_은행2!$AE$8:$AE$2007&lt;=설정!$B$5)*입금_은행2!$AE$8:$AE$2007)))))</f>
        <v/>
      </c>
      <c r="M220" s="38">
        <f>IF($U220="","",IF($T220="","",IF(INDEX(거래처설정!$F$8:$F$407,$T220)="","",INDEX(거래처설정!$F$8:$F$407,$T220))))</f>
        <v/>
      </c>
      <c r="N220" s="38">
        <f>IF($U220="","",IF($T220="","",IF(INDEX(거래처설정!$G$8:$G$407,$T220)="","",INDEX(거래처설정!$G$8:$G$407,$T220))))</f>
        <v/>
      </c>
      <c r="O220" s="38">
        <f>IF($U220="","",IF($M220="제외",0,IF($K220&gt;=설정!$B$9,3,IF($J220+$K220&gt;=설정!$B$9,2,IF($I220+$J220+$K220&gt;=설정!$B$9,1,0)))))</f>
        <v/>
      </c>
      <c r="P220" s="38">
        <f>IF($U220="","",IF($M220="제외","제외(조치 상태)",IF($O220=3,"③ 강한 독촉 후보 ("&amp;설정!$B$8&amp;"일 초과)",IF($O220=2,"② 독촉 후보 ("&amp;설정!$B$7&amp;"일 초과)",IF($O220=1,"① 안내 후보 ("&amp;설정!$B$6&amp;"일 초과)",IF($G220&gt;0,IF($I220+$J220+$K220&gt;0,"오래된 잔액 있음 (최소 금액 미만)","정상 범위"),IF($G220&lt;0,"선수금·초과입금 — 확인","완납")))))))</f>
        <v/>
      </c>
      <c r="Q220" s="38">
        <f>IF($U220="","",IF($G220&lt;0,"입금이 매출보다 큼 — 선수금이거나 다른 거래처 입금이 섞였는지 확인",IF(AND($AE220&lt;&gt;"",COUNTIF($AE$8:$AE$307,"*"&amp;$AE220&amp;"*")&gt;1),"이름이 다른 거래처와 겹침 — 입금이 잘못 맞았을 수 있으니 별칭 확인",IF(AND($G220&gt;0,$F220=0),"입금 매칭 없음 — 입금자명이 다르면 [거래처설정]에 별칭 등록",""))))</f>
        <v/>
      </c>
      <c r="R220" s="31">
        <f>IF(OR($U220="",$G220&lt;=0),"",$G220-$A220/10000)</f>
        <v/>
      </c>
      <c r="S220" s="31">
        <f>IF(OR($U220="",$O220&lt;1),"",$O220*10^11+$I220+$J220+$K220-$A220/1000)</f>
        <v/>
      </c>
      <c r="T220" s="31">
        <f>IF($U220="","",IFERROR(MATCH(INDEX(매출원본!$AU$8:$AU$2007,$U220),거래처설정!$I$8:$I$407,0),""))</f>
        <v/>
      </c>
      <c r="U220" s="31">
        <f>IFERROR(MATCH(213,매출원본!$AW$8:$AW$2007,0),"")</f>
        <v/>
      </c>
      <c r="V220" s="31">
        <f>IF($U220="","",MAX(SUMIFS(매출원본!$AT$8:$AT$2007,매출원본!$AY$8:$AY$2007,$A220,매출원본!$AS$8:$AS$2007,"&gt;="&amp;(설정!$B$5-설정!$B$6),매출원본!$AS$8:$AS$2007,"&lt;="&amp;설정!$B$5),0))</f>
        <v/>
      </c>
      <c r="W220" s="31">
        <f>IF($U220="","",MAX($V220,SUMIFS(매출원본!$AT$8:$AT$2007,매출원본!$AY$8:$AY$2007,$A220,매출원본!$AS$8:$AS$2007,"&gt;="&amp;(설정!$B$5-설정!$B$7),매출원본!$AS$8:$AS$2007,"&lt;="&amp;설정!$B$5)))</f>
        <v/>
      </c>
      <c r="X220" s="31">
        <f>IF($U220="","",MAX($W220,SUMIFS(매출원본!$AT$8:$AT$2007,매출원본!$AY$8:$AY$2007,$A220,매출원본!$AS$8:$AS$2007,"&gt;="&amp;(설정!$B$5-설정!$B$8),매출원본!$AS$8:$AS$2007,"&lt;="&amp;설정!$B$5)))</f>
        <v/>
      </c>
      <c r="AC220" s="31">
        <f>IF(OR($U220="",$T220=""),"",INDEX(거래처설정!$J$8:$J$407,$T220))</f>
        <v/>
      </c>
      <c r="AD220" s="31">
        <f>IF(OR($U220="",$T220=""),"",INDEX(거래처설정!$K$8:$K$407,$T220))</f>
        <v/>
      </c>
      <c r="AE220" s="31">
        <f>IF($U220="","",IF(LEN(SUBSTITUTE(SUBSTITUTE(SUBSTITUTE(SUBSTITUTE(SUBSTITUTE(SUBSTITUTE(SUBSTITUTE(SUBSTITUTE(SUBSTITUTE($C220," ",""),"　",""),"(주)",""),"（주）",""),"㈜",""),"주식회사",""),"(유)",""),"（유）",""),"유한회사",""))&lt;2,"",SUBSTITUTE(SUBSTITUTE(SUBSTITUTE(SUBSTITUTE(SUBSTITUTE(SUBSTITUTE(SUBSTITUTE(SUBSTITUTE(SUBSTITUTE($C220," ",""),"　",""),"(주)",""),"（주）",""),"㈜",""),"주식회사",""),"(유)",""),"（유）",""),"유한회사","")))</f>
        <v/>
      </c>
    </row>
    <row r="221">
      <c r="A221" s="38">
        <f>IF($U221="","",214)</f>
        <v/>
      </c>
      <c r="B221" s="38">
        <f>IF($U221="","",IF(LEN(INDEX(매출원본!$AU$8:$AU$2007,$U221))=10,LEFT(INDEX(매출원본!$AU$8:$AU$2007,$U221),3)&amp;"-"&amp;MID(INDEX(매출원본!$AU$8:$AU$2007,$U221),4,2)&amp;"-"&amp;RIGHT(INDEX(매출원본!$AU$8:$AU$2007,$U221),5),IF(LEFT(INDEX(매출원본!$AU$8:$AU$2007,$U221),2)="N:","(번호 없음)",INDEX(매출원본!$AU$8:$AU$2007,$U221))))</f>
        <v/>
      </c>
      <c r="C221" s="38">
        <f>IF($U221="","",INDEX(매출원본!$AV$8:$AV$2007,$U221))</f>
        <v/>
      </c>
      <c r="D221" s="39">
        <f>IF($U221="","",IF($T221="",0,N(INDEX(거래처설정!$E$8:$E$407,$T221))))</f>
        <v/>
      </c>
      <c r="E221" s="39">
        <f>IF($U221="","",SUMIFS(매출원본!$AT$8:$AT$2007,매출원본!$AY$8:$AY$2007,$A221,매출원본!$AS$8:$AS$2007,"&lt;="&amp;설정!$B$5))</f>
        <v/>
      </c>
      <c r="F221" s="39">
        <f>IF($U221="","",SUMIFS(입금_은행1!$Z$8:$Z$2007,입금_은행1!$AC$8:$AC$2007,$A221,입금_은행1!$Y$8:$Y$2007,"&lt;="&amp;설정!$B$5)+SUMIFS(입금_은행2!$Z$8:$Z$2007,입금_은행2!$AC$8:$AC$2007,$A221,입금_은행2!$Y$8:$Y$2007,"&lt;="&amp;설정!$B$5))</f>
        <v/>
      </c>
      <c r="G221" s="39">
        <f>IF($U221="","",$D221+$E221-$F221)</f>
        <v/>
      </c>
      <c r="H221" s="39">
        <f>IF($U221="","",MIN(MAX($G221,0),$V221))</f>
        <v/>
      </c>
      <c r="I221" s="39">
        <f>IF($U221="","",MIN(MAX($G221,0),$W221)-MIN(MAX($G221,0),$V221))</f>
        <v/>
      </c>
      <c r="J221" s="39">
        <f>IF($U221="","",MIN(MAX($G221,0),$X221)-MIN(MAX($G221,0),$W221))</f>
        <v/>
      </c>
      <c r="K221" s="39">
        <f>IF($U221="","",MAX($G221,0)-MIN(MAX($G221,0),$X221))</f>
        <v/>
      </c>
      <c r="L221" s="40">
        <f>IF($U221="","",IF(MAX(SUMPRODUCT(MAX((입금_은행1!$AC$8:$AC$2007=$A221)*(입금_은행1!$AE$8:$AE$2007&lt;=설정!$B$5)*입금_은행1!$AE$8:$AE$2007)),SUMPRODUCT(MAX((입금_은행2!$AC$8:$AC$2007=$A221)*(입금_은행2!$AE$8:$AE$2007&lt;=설정!$B$5)*입금_은행2!$AE$8:$AE$2007)))=0,"",MAX(SUMPRODUCT(MAX((입금_은행1!$AC$8:$AC$2007=$A221)*(입금_은행1!$AE$8:$AE$2007&lt;=설정!$B$5)*입금_은행1!$AE$8:$AE$2007)),SUMPRODUCT(MAX((입금_은행2!$AC$8:$AC$2007=$A221)*(입금_은행2!$AE$8:$AE$2007&lt;=설정!$B$5)*입금_은행2!$AE$8:$AE$2007)))))</f>
        <v/>
      </c>
      <c r="M221" s="38">
        <f>IF($U221="","",IF($T221="","",IF(INDEX(거래처설정!$F$8:$F$407,$T221)="","",INDEX(거래처설정!$F$8:$F$407,$T221))))</f>
        <v/>
      </c>
      <c r="N221" s="38">
        <f>IF($U221="","",IF($T221="","",IF(INDEX(거래처설정!$G$8:$G$407,$T221)="","",INDEX(거래처설정!$G$8:$G$407,$T221))))</f>
        <v/>
      </c>
      <c r="O221" s="38">
        <f>IF($U221="","",IF($M221="제외",0,IF($K221&gt;=설정!$B$9,3,IF($J221+$K221&gt;=설정!$B$9,2,IF($I221+$J221+$K221&gt;=설정!$B$9,1,0)))))</f>
        <v/>
      </c>
      <c r="P221" s="38">
        <f>IF($U221="","",IF($M221="제외","제외(조치 상태)",IF($O221=3,"③ 강한 독촉 후보 ("&amp;설정!$B$8&amp;"일 초과)",IF($O221=2,"② 독촉 후보 ("&amp;설정!$B$7&amp;"일 초과)",IF($O221=1,"① 안내 후보 ("&amp;설정!$B$6&amp;"일 초과)",IF($G221&gt;0,IF($I221+$J221+$K221&gt;0,"오래된 잔액 있음 (최소 금액 미만)","정상 범위"),IF($G221&lt;0,"선수금·초과입금 — 확인","완납")))))))</f>
        <v/>
      </c>
      <c r="Q221" s="38">
        <f>IF($U221="","",IF($G221&lt;0,"입금이 매출보다 큼 — 선수금이거나 다른 거래처 입금이 섞였는지 확인",IF(AND($AE221&lt;&gt;"",COUNTIF($AE$8:$AE$307,"*"&amp;$AE221&amp;"*")&gt;1),"이름이 다른 거래처와 겹침 — 입금이 잘못 맞았을 수 있으니 별칭 확인",IF(AND($G221&gt;0,$F221=0),"입금 매칭 없음 — 입금자명이 다르면 [거래처설정]에 별칭 등록",""))))</f>
        <v/>
      </c>
      <c r="R221" s="31">
        <f>IF(OR($U221="",$G221&lt;=0),"",$G221-$A221/10000)</f>
        <v/>
      </c>
      <c r="S221" s="31">
        <f>IF(OR($U221="",$O221&lt;1),"",$O221*10^11+$I221+$J221+$K221-$A221/1000)</f>
        <v/>
      </c>
      <c r="T221" s="31">
        <f>IF($U221="","",IFERROR(MATCH(INDEX(매출원본!$AU$8:$AU$2007,$U221),거래처설정!$I$8:$I$407,0),""))</f>
        <v/>
      </c>
      <c r="U221" s="31">
        <f>IFERROR(MATCH(214,매출원본!$AW$8:$AW$2007,0),"")</f>
        <v/>
      </c>
      <c r="V221" s="31">
        <f>IF($U221="","",MAX(SUMIFS(매출원본!$AT$8:$AT$2007,매출원본!$AY$8:$AY$2007,$A221,매출원본!$AS$8:$AS$2007,"&gt;="&amp;(설정!$B$5-설정!$B$6),매출원본!$AS$8:$AS$2007,"&lt;="&amp;설정!$B$5),0))</f>
        <v/>
      </c>
      <c r="W221" s="31">
        <f>IF($U221="","",MAX($V221,SUMIFS(매출원본!$AT$8:$AT$2007,매출원본!$AY$8:$AY$2007,$A221,매출원본!$AS$8:$AS$2007,"&gt;="&amp;(설정!$B$5-설정!$B$7),매출원본!$AS$8:$AS$2007,"&lt;="&amp;설정!$B$5)))</f>
        <v/>
      </c>
      <c r="X221" s="31">
        <f>IF($U221="","",MAX($W221,SUMIFS(매출원본!$AT$8:$AT$2007,매출원본!$AY$8:$AY$2007,$A221,매출원본!$AS$8:$AS$2007,"&gt;="&amp;(설정!$B$5-설정!$B$8),매출원본!$AS$8:$AS$2007,"&lt;="&amp;설정!$B$5)))</f>
        <v/>
      </c>
      <c r="AC221" s="31">
        <f>IF(OR($U221="",$T221=""),"",INDEX(거래처설정!$J$8:$J$407,$T221))</f>
        <v/>
      </c>
      <c r="AD221" s="31">
        <f>IF(OR($U221="",$T221=""),"",INDEX(거래처설정!$K$8:$K$407,$T221))</f>
        <v/>
      </c>
      <c r="AE221" s="31">
        <f>IF($U221="","",IF(LEN(SUBSTITUTE(SUBSTITUTE(SUBSTITUTE(SUBSTITUTE(SUBSTITUTE(SUBSTITUTE(SUBSTITUTE(SUBSTITUTE(SUBSTITUTE($C221," ",""),"　",""),"(주)",""),"（주）",""),"㈜",""),"주식회사",""),"(유)",""),"（유）",""),"유한회사",""))&lt;2,"",SUBSTITUTE(SUBSTITUTE(SUBSTITUTE(SUBSTITUTE(SUBSTITUTE(SUBSTITUTE(SUBSTITUTE(SUBSTITUTE(SUBSTITUTE($C221," ",""),"　",""),"(주)",""),"（주）",""),"㈜",""),"주식회사",""),"(유)",""),"（유）",""),"유한회사","")))</f>
        <v/>
      </c>
    </row>
    <row r="222">
      <c r="A222" s="38">
        <f>IF($U222="","",215)</f>
        <v/>
      </c>
      <c r="B222" s="38">
        <f>IF($U222="","",IF(LEN(INDEX(매출원본!$AU$8:$AU$2007,$U222))=10,LEFT(INDEX(매출원본!$AU$8:$AU$2007,$U222),3)&amp;"-"&amp;MID(INDEX(매출원본!$AU$8:$AU$2007,$U222),4,2)&amp;"-"&amp;RIGHT(INDEX(매출원본!$AU$8:$AU$2007,$U222),5),IF(LEFT(INDEX(매출원본!$AU$8:$AU$2007,$U222),2)="N:","(번호 없음)",INDEX(매출원본!$AU$8:$AU$2007,$U222))))</f>
        <v/>
      </c>
      <c r="C222" s="38">
        <f>IF($U222="","",INDEX(매출원본!$AV$8:$AV$2007,$U222))</f>
        <v/>
      </c>
      <c r="D222" s="39">
        <f>IF($U222="","",IF($T222="",0,N(INDEX(거래처설정!$E$8:$E$407,$T222))))</f>
        <v/>
      </c>
      <c r="E222" s="39">
        <f>IF($U222="","",SUMIFS(매출원본!$AT$8:$AT$2007,매출원본!$AY$8:$AY$2007,$A222,매출원본!$AS$8:$AS$2007,"&lt;="&amp;설정!$B$5))</f>
        <v/>
      </c>
      <c r="F222" s="39">
        <f>IF($U222="","",SUMIFS(입금_은행1!$Z$8:$Z$2007,입금_은행1!$AC$8:$AC$2007,$A222,입금_은행1!$Y$8:$Y$2007,"&lt;="&amp;설정!$B$5)+SUMIFS(입금_은행2!$Z$8:$Z$2007,입금_은행2!$AC$8:$AC$2007,$A222,입금_은행2!$Y$8:$Y$2007,"&lt;="&amp;설정!$B$5))</f>
        <v/>
      </c>
      <c r="G222" s="39">
        <f>IF($U222="","",$D222+$E222-$F222)</f>
        <v/>
      </c>
      <c r="H222" s="39">
        <f>IF($U222="","",MIN(MAX($G222,0),$V222))</f>
        <v/>
      </c>
      <c r="I222" s="39">
        <f>IF($U222="","",MIN(MAX($G222,0),$W222)-MIN(MAX($G222,0),$V222))</f>
        <v/>
      </c>
      <c r="J222" s="39">
        <f>IF($U222="","",MIN(MAX($G222,0),$X222)-MIN(MAX($G222,0),$W222))</f>
        <v/>
      </c>
      <c r="K222" s="39">
        <f>IF($U222="","",MAX($G222,0)-MIN(MAX($G222,0),$X222))</f>
        <v/>
      </c>
      <c r="L222" s="40">
        <f>IF($U222="","",IF(MAX(SUMPRODUCT(MAX((입금_은행1!$AC$8:$AC$2007=$A222)*(입금_은행1!$AE$8:$AE$2007&lt;=설정!$B$5)*입금_은행1!$AE$8:$AE$2007)),SUMPRODUCT(MAX((입금_은행2!$AC$8:$AC$2007=$A222)*(입금_은행2!$AE$8:$AE$2007&lt;=설정!$B$5)*입금_은행2!$AE$8:$AE$2007)))=0,"",MAX(SUMPRODUCT(MAX((입금_은행1!$AC$8:$AC$2007=$A222)*(입금_은행1!$AE$8:$AE$2007&lt;=설정!$B$5)*입금_은행1!$AE$8:$AE$2007)),SUMPRODUCT(MAX((입금_은행2!$AC$8:$AC$2007=$A222)*(입금_은행2!$AE$8:$AE$2007&lt;=설정!$B$5)*입금_은행2!$AE$8:$AE$2007)))))</f>
        <v/>
      </c>
      <c r="M222" s="38">
        <f>IF($U222="","",IF($T222="","",IF(INDEX(거래처설정!$F$8:$F$407,$T222)="","",INDEX(거래처설정!$F$8:$F$407,$T222))))</f>
        <v/>
      </c>
      <c r="N222" s="38">
        <f>IF($U222="","",IF($T222="","",IF(INDEX(거래처설정!$G$8:$G$407,$T222)="","",INDEX(거래처설정!$G$8:$G$407,$T222))))</f>
        <v/>
      </c>
      <c r="O222" s="38">
        <f>IF($U222="","",IF($M222="제외",0,IF($K222&gt;=설정!$B$9,3,IF($J222+$K222&gt;=설정!$B$9,2,IF($I222+$J222+$K222&gt;=설정!$B$9,1,0)))))</f>
        <v/>
      </c>
      <c r="P222" s="38">
        <f>IF($U222="","",IF($M222="제외","제외(조치 상태)",IF($O222=3,"③ 강한 독촉 후보 ("&amp;설정!$B$8&amp;"일 초과)",IF($O222=2,"② 독촉 후보 ("&amp;설정!$B$7&amp;"일 초과)",IF($O222=1,"① 안내 후보 ("&amp;설정!$B$6&amp;"일 초과)",IF($G222&gt;0,IF($I222+$J222+$K222&gt;0,"오래된 잔액 있음 (최소 금액 미만)","정상 범위"),IF($G222&lt;0,"선수금·초과입금 — 확인","완납")))))))</f>
        <v/>
      </c>
      <c r="Q222" s="38">
        <f>IF($U222="","",IF($G222&lt;0,"입금이 매출보다 큼 — 선수금이거나 다른 거래처 입금이 섞였는지 확인",IF(AND($AE222&lt;&gt;"",COUNTIF($AE$8:$AE$307,"*"&amp;$AE222&amp;"*")&gt;1),"이름이 다른 거래처와 겹침 — 입금이 잘못 맞았을 수 있으니 별칭 확인",IF(AND($G222&gt;0,$F222=0),"입금 매칭 없음 — 입금자명이 다르면 [거래처설정]에 별칭 등록",""))))</f>
        <v/>
      </c>
      <c r="R222" s="31">
        <f>IF(OR($U222="",$G222&lt;=0),"",$G222-$A222/10000)</f>
        <v/>
      </c>
      <c r="S222" s="31">
        <f>IF(OR($U222="",$O222&lt;1),"",$O222*10^11+$I222+$J222+$K222-$A222/1000)</f>
        <v/>
      </c>
      <c r="T222" s="31">
        <f>IF($U222="","",IFERROR(MATCH(INDEX(매출원본!$AU$8:$AU$2007,$U222),거래처설정!$I$8:$I$407,0),""))</f>
        <v/>
      </c>
      <c r="U222" s="31">
        <f>IFERROR(MATCH(215,매출원본!$AW$8:$AW$2007,0),"")</f>
        <v/>
      </c>
      <c r="V222" s="31">
        <f>IF($U222="","",MAX(SUMIFS(매출원본!$AT$8:$AT$2007,매출원본!$AY$8:$AY$2007,$A222,매출원본!$AS$8:$AS$2007,"&gt;="&amp;(설정!$B$5-설정!$B$6),매출원본!$AS$8:$AS$2007,"&lt;="&amp;설정!$B$5),0))</f>
        <v/>
      </c>
      <c r="W222" s="31">
        <f>IF($U222="","",MAX($V222,SUMIFS(매출원본!$AT$8:$AT$2007,매출원본!$AY$8:$AY$2007,$A222,매출원본!$AS$8:$AS$2007,"&gt;="&amp;(설정!$B$5-설정!$B$7),매출원본!$AS$8:$AS$2007,"&lt;="&amp;설정!$B$5)))</f>
        <v/>
      </c>
      <c r="X222" s="31">
        <f>IF($U222="","",MAX($W222,SUMIFS(매출원본!$AT$8:$AT$2007,매출원본!$AY$8:$AY$2007,$A222,매출원본!$AS$8:$AS$2007,"&gt;="&amp;(설정!$B$5-설정!$B$8),매출원본!$AS$8:$AS$2007,"&lt;="&amp;설정!$B$5)))</f>
        <v/>
      </c>
      <c r="AC222" s="31">
        <f>IF(OR($U222="",$T222=""),"",INDEX(거래처설정!$J$8:$J$407,$T222))</f>
        <v/>
      </c>
      <c r="AD222" s="31">
        <f>IF(OR($U222="",$T222=""),"",INDEX(거래처설정!$K$8:$K$407,$T222))</f>
        <v/>
      </c>
      <c r="AE222" s="31">
        <f>IF($U222="","",IF(LEN(SUBSTITUTE(SUBSTITUTE(SUBSTITUTE(SUBSTITUTE(SUBSTITUTE(SUBSTITUTE(SUBSTITUTE(SUBSTITUTE(SUBSTITUTE($C222," ",""),"　",""),"(주)",""),"（주）",""),"㈜",""),"주식회사",""),"(유)",""),"（유）",""),"유한회사",""))&lt;2,"",SUBSTITUTE(SUBSTITUTE(SUBSTITUTE(SUBSTITUTE(SUBSTITUTE(SUBSTITUTE(SUBSTITUTE(SUBSTITUTE(SUBSTITUTE($C222," ",""),"　",""),"(주)",""),"（주）",""),"㈜",""),"주식회사",""),"(유)",""),"（유）",""),"유한회사","")))</f>
        <v/>
      </c>
    </row>
    <row r="223">
      <c r="A223" s="38">
        <f>IF($U223="","",216)</f>
        <v/>
      </c>
      <c r="B223" s="38">
        <f>IF($U223="","",IF(LEN(INDEX(매출원본!$AU$8:$AU$2007,$U223))=10,LEFT(INDEX(매출원본!$AU$8:$AU$2007,$U223),3)&amp;"-"&amp;MID(INDEX(매출원본!$AU$8:$AU$2007,$U223),4,2)&amp;"-"&amp;RIGHT(INDEX(매출원본!$AU$8:$AU$2007,$U223),5),IF(LEFT(INDEX(매출원본!$AU$8:$AU$2007,$U223),2)="N:","(번호 없음)",INDEX(매출원본!$AU$8:$AU$2007,$U223))))</f>
        <v/>
      </c>
      <c r="C223" s="38">
        <f>IF($U223="","",INDEX(매출원본!$AV$8:$AV$2007,$U223))</f>
        <v/>
      </c>
      <c r="D223" s="39">
        <f>IF($U223="","",IF($T223="",0,N(INDEX(거래처설정!$E$8:$E$407,$T223))))</f>
        <v/>
      </c>
      <c r="E223" s="39">
        <f>IF($U223="","",SUMIFS(매출원본!$AT$8:$AT$2007,매출원본!$AY$8:$AY$2007,$A223,매출원본!$AS$8:$AS$2007,"&lt;="&amp;설정!$B$5))</f>
        <v/>
      </c>
      <c r="F223" s="39">
        <f>IF($U223="","",SUMIFS(입금_은행1!$Z$8:$Z$2007,입금_은행1!$AC$8:$AC$2007,$A223,입금_은행1!$Y$8:$Y$2007,"&lt;="&amp;설정!$B$5)+SUMIFS(입금_은행2!$Z$8:$Z$2007,입금_은행2!$AC$8:$AC$2007,$A223,입금_은행2!$Y$8:$Y$2007,"&lt;="&amp;설정!$B$5))</f>
        <v/>
      </c>
      <c r="G223" s="39">
        <f>IF($U223="","",$D223+$E223-$F223)</f>
        <v/>
      </c>
      <c r="H223" s="39">
        <f>IF($U223="","",MIN(MAX($G223,0),$V223))</f>
        <v/>
      </c>
      <c r="I223" s="39">
        <f>IF($U223="","",MIN(MAX($G223,0),$W223)-MIN(MAX($G223,0),$V223))</f>
        <v/>
      </c>
      <c r="J223" s="39">
        <f>IF($U223="","",MIN(MAX($G223,0),$X223)-MIN(MAX($G223,0),$W223))</f>
        <v/>
      </c>
      <c r="K223" s="39">
        <f>IF($U223="","",MAX($G223,0)-MIN(MAX($G223,0),$X223))</f>
        <v/>
      </c>
      <c r="L223" s="40">
        <f>IF($U223="","",IF(MAX(SUMPRODUCT(MAX((입금_은행1!$AC$8:$AC$2007=$A223)*(입금_은행1!$AE$8:$AE$2007&lt;=설정!$B$5)*입금_은행1!$AE$8:$AE$2007)),SUMPRODUCT(MAX((입금_은행2!$AC$8:$AC$2007=$A223)*(입금_은행2!$AE$8:$AE$2007&lt;=설정!$B$5)*입금_은행2!$AE$8:$AE$2007)))=0,"",MAX(SUMPRODUCT(MAX((입금_은행1!$AC$8:$AC$2007=$A223)*(입금_은행1!$AE$8:$AE$2007&lt;=설정!$B$5)*입금_은행1!$AE$8:$AE$2007)),SUMPRODUCT(MAX((입금_은행2!$AC$8:$AC$2007=$A223)*(입금_은행2!$AE$8:$AE$2007&lt;=설정!$B$5)*입금_은행2!$AE$8:$AE$2007)))))</f>
        <v/>
      </c>
      <c r="M223" s="38">
        <f>IF($U223="","",IF($T223="","",IF(INDEX(거래처설정!$F$8:$F$407,$T223)="","",INDEX(거래처설정!$F$8:$F$407,$T223))))</f>
        <v/>
      </c>
      <c r="N223" s="38">
        <f>IF($U223="","",IF($T223="","",IF(INDEX(거래처설정!$G$8:$G$407,$T223)="","",INDEX(거래처설정!$G$8:$G$407,$T223))))</f>
        <v/>
      </c>
      <c r="O223" s="38">
        <f>IF($U223="","",IF($M223="제외",0,IF($K223&gt;=설정!$B$9,3,IF($J223+$K223&gt;=설정!$B$9,2,IF($I223+$J223+$K223&gt;=설정!$B$9,1,0)))))</f>
        <v/>
      </c>
      <c r="P223" s="38">
        <f>IF($U223="","",IF($M223="제외","제외(조치 상태)",IF($O223=3,"③ 강한 독촉 후보 ("&amp;설정!$B$8&amp;"일 초과)",IF($O223=2,"② 독촉 후보 ("&amp;설정!$B$7&amp;"일 초과)",IF($O223=1,"① 안내 후보 ("&amp;설정!$B$6&amp;"일 초과)",IF($G223&gt;0,IF($I223+$J223+$K223&gt;0,"오래된 잔액 있음 (최소 금액 미만)","정상 범위"),IF($G223&lt;0,"선수금·초과입금 — 확인","완납")))))))</f>
        <v/>
      </c>
      <c r="Q223" s="38">
        <f>IF($U223="","",IF($G223&lt;0,"입금이 매출보다 큼 — 선수금이거나 다른 거래처 입금이 섞였는지 확인",IF(AND($AE223&lt;&gt;"",COUNTIF($AE$8:$AE$307,"*"&amp;$AE223&amp;"*")&gt;1),"이름이 다른 거래처와 겹침 — 입금이 잘못 맞았을 수 있으니 별칭 확인",IF(AND($G223&gt;0,$F223=0),"입금 매칭 없음 — 입금자명이 다르면 [거래처설정]에 별칭 등록",""))))</f>
        <v/>
      </c>
      <c r="R223" s="31">
        <f>IF(OR($U223="",$G223&lt;=0),"",$G223-$A223/10000)</f>
        <v/>
      </c>
      <c r="S223" s="31">
        <f>IF(OR($U223="",$O223&lt;1),"",$O223*10^11+$I223+$J223+$K223-$A223/1000)</f>
        <v/>
      </c>
      <c r="T223" s="31">
        <f>IF($U223="","",IFERROR(MATCH(INDEX(매출원본!$AU$8:$AU$2007,$U223),거래처설정!$I$8:$I$407,0),""))</f>
        <v/>
      </c>
      <c r="U223" s="31">
        <f>IFERROR(MATCH(216,매출원본!$AW$8:$AW$2007,0),"")</f>
        <v/>
      </c>
      <c r="V223" s="31">
        <f>IF($U223="","",MAX(SUMIFS(매출원본!$AT$8:$AT$2007,매출원본!$AY$8:$AY$2007,$A223,매출원본!$AS$8:$AS$2007,"&gt;="&amp;(설정!$B$5-설정!$B$6),매출원본!$AS$8:$AS$2007,"&lt;="&amp;설정!$B$5),0))</f>
        <v/>
      </c>
      <c r="W223" s="31">
        <f>IF($U223="","",MAX($V223,SUMIFS(매출원본!$AT$8:$AT$2007,매출원본!$AY$8:$AY$2007,$A223,매출원본!$AS$8:$AS$2007,"&gt;="&amp;(설정!$B$5-설정!$B$7),매출원본!$AS$8:$AS$2007,"&lt;="&amp;설정!$B$5)))</f>
        <v/>
      </c>
      <c r="X223" s="31">
        <f>IF($U223="","",MAX($W223,SUMIFS(매출원본!$AT$8:$AT$2007,매출원본!$AY$8:$AY$2007,$A223,매출원본!$AS$8:$AS$2007,"&gt;="&amp;(설정!$B$5-설정!$B$8),매출원본!$AS$8:$AS$2007,"&lt;="&amp;설정!$B$5)))</f>
        <v/>
      </c>
      <c r="AC223" s="31">
        <f>IF(OR($U223="",$T223=""),"",INDEX(거래처설정!$J$8:$J$407,$T223))</f>
        <v/>
      </c>
      <c r="AD223" s="31">
        <f>IF(OR($U223="",$T223=""),"",INDEX(거래처설정!$K$8:$K$407,$T223))</f>
        <v/>
      </c>
      <c r="AE223" s="31">
        <f>IF($U223="","",IF(LEN(SUBSTITUTE(SUBSTITUTE(SUBSTITUTE(SUBSTITUTE(SUBSTITUTE(SUBSTITUTE(SUBSTITUTE(SUBSTITUTE(SUBSTITUTE($C223," ",""),"　",""),"(주)",""),"（주）",""),"㈜",""),"주식회사",""),"(유)",""),"（유）",""),"유한회사",""))&lt;2,"",SUBSTITUTE(SUBSTITUTE(SUBSTITUTE(SUBSTITUTE(SUBSTITUTE(SUBSTITUTE(SUBSTITUTE(SUBSTITUTE(SUBSTITUTE($C223," ",""),"　",""),"(주)",""),"（주）",""),"㈜",""),"주식회사",""),"(유)",""),"（유）",""),"유한회사","")))</f>
        <v/>
      </c>
    </row>
    <row r="224">
      <c r="A224" s="38">
        <f>IF($U224="","",217)</f>
        <v/>
      </c>
      <c r="B224" s="38">
        <f>IF($U224="","",IF(LEN(INDEX(매출원본!$AU$8:$AU$2007,$U224))=10,LEFT(INDEX(매출원본!$AU$8:$AU$2007,$U224),3)&amp;"-"&amp;MID(INDEX(매출원본!$AU$8:$AU$2007,$U224),4,2)&amp;"-"&amp;RIGHT(INDEX(매출원본!$AU$8:$AU$2007,$U224),5),IF(LEFT(INDEX(매출원본!$AU$8:$AU$2007,$U224),2)="N:","(번호 없음)",INDEX(매출원본!$AU$8:$AU$2007,$U224))))</f>
        <v/>
      </c>
      <c r="C224" s="38">
        <f>IF($U224="","",INDEX(매출원본!$AV$8:$AV$2007,$U224))</f>
        <v/>
      </c>
      <c r="D224" s="39">
        <f>IF($U224="","",IF($T224="",0,N(INDEX(거래처설정!$E$8:$E$407,$T224))))</f>
        <v/>
      </c>
      <c r="E224" s="39">
        <f>IF($U224="","",SUMIFS(매출원본!$AT$8:$AT$2007,매출원본!$AY$8:$AY$2007,$A224,매출원본!$AS$8:$AS$2007,"&lt;="&amp;설정!$B$5))</f>
        <v/>
      </c>
      <c r="F224" s="39">
        <f>IF($U224="","",SUMIFS(입금_은행1!$Z$8:$Z$2007,입금_은행1!$AC$8:$AC$2007,$A224,입금_은행1!$Y$8:$Y$2007,"&lt;="&amp;설정!$B$5)+SUMIFS(입금_은행2!$Z$8:$Z$2007,입금_은행2!$AC$8:$AC$2007,$A224,입금_은행2!$Y$8:$Y$2007,"&lt;="&amp;설정!$B$5))</f>
        <v/>
      </c>
      <c r="G224" s="39">
        <f>IF($U224="","",$D224+$E224-$F224)</f>
        <v/>
      </c>
      <c r="H224" s="39">
        <f>IF($U224="","",MIN(MAX($G224,0),$V224))</f>
        <v/>
      </c>
      <c r="I224" s="39">
        <f>IF($U224="","",MIN(MAX($G224,0),$W224)-MIN(MAX($G224,0),$V224))</f>
        <v/>
      </c>
      <c r="J224" s="39">
        <f>IF($U224="","",MIN(MAX($G224,0),$X224)-MIN(MAX($G224,0),$W224))</f>
        <v/>
      </c>
      <c r="K224" s="39">
        <f>IF($U224="","",MAX($G224,0)-MIN(MAX($G224,0),$X224))</f>
        <v/>
      </c>
      <c r="L224" s="40">
        <f>IF($U224="","",IF(MAX(SUMPRODUCT(MAX((입금_은행1!$AC$8:$AC$2007=$A224)*(입금_은행1!$AE$8:$AE$2007&lt;=설정!$B$5)*입금_은행1!$AE$8:$AE$2007)),SUMPRODUCT(MAX((입금_은행2!$AC$8:$AC$2007=$A224)*(입금_은행2!$AE$8:$AE$2007&lt;=설정!$B$5)*입금_은행2!$AE$8:$AE$2007)))=0,"",MAX(SUMPRODUCT(MAX((입금_은행1!$AC$8:$AC$2007=$A224)*(입금_은행1!$AE$8:$AE$2007&lt;=설정!$B$5)*입금_은행1!$AE$8:$AE$2007)),SUMPRODUCT(MAX((입금_은행2!$AC$8:$AC$2007=$A224)*(입금_은행2!$AE$8:$AE$2007&lt;=설정!$B$5)*입금_은행2!$AE$8:$AE$2007)))))</f>
        <v/>
      </c>
      <c r="M224" s="38">
        <f>IF($U224="","",IF($T224="","",IF(INDEX(거래처설정!$F$8:$F$407,$T224)="","",INDEX(거래처설정!$F$8:$F$407,$T224))))</f>
        <v/>
      </c>
      <c r="N224" s="38">
        <f>IF($U224="","",IF($T224="","",IF(INDEX(거래처설정!$G$8:$G$407,$T224)="","",INDEX(거래처설정!$G$8:$G$407,$T224))))</f>
        <v/>
      </c>
      <c r="O224" s="38">
        <f>IF($U224="","",IF($M224="제외",0,IF($K224&gt;=설정!$B$9,3,IF($J224+$K224&gt;=설정!$B$9,2,IF($I224+$J224+$K224&gt;=설정!$B$9,1,0)))))</f>
        <v/>
      </c>
      <c r="P224" s="38">
        <f>IF($U224="","",IF($M224="제외","제외(조치 상태)",IF($O224=3,"③ 강한 독촉 후보 ("&amp;설정!$B$8&amp;"일 초과)",IF($O224=2,"② 독촉 후보 ("&amp;설정!$B$7&amp;"일 초과)",IF($O224=1,"① 안내 후보 ("&amp;설정!$B$6&amp;"일 초과)",IF($G224&gt;0,IF($I224+$J224+$K224&gt;0,"오래된 잔액 있음 (최소 금액 미만)","정상 범위"),IF($G224&lt;0,"선수금·초과입금 — 확인","완납")))))))</f>
        <v/>
      </c>
      <c r="Q224" s="38">
        <f>IF($U224="","",IF($G224&lt;0,"입금이 매출보다 큼 — 선수금이거나 다른 거래처 입금이 섞였는지 확인",IF(AND($AE224&lt;&gt;"",COUNTIF($AE$8:$AE$307,"*"&amp;$AE224&amp;"*")&gt;1),"이름이 다른 거래처와 겹침 — 입금이 잘못 맞았을 수 있으니 별칭 확인",IF(AND($G224&gt;0,$F224=0),"입금 매칭 없음 — 입금자명이 다르면 [거래처설정]에 별칭 등록",""))))</f>
        <v/>
      </c>
      <c r="R224" s="31">
        <f>IF(OR($U224="",$G224&lt;=0),"",$G224-$A224/10000)</f>
        <v/>
      </c>
      <c r="S224" s="31">
        <f>IF(OR($U224="",$O224&lt;1),"",$O224*10^11+$I224+$J224+$K224-$A224/1000)</f>
        <v/>
      </c>
      <c r="T224" s="31">
        <f>IF($U224="","",IFERROR(MATCH(INDEX(매출원본!$AU$8:$AU$2007,$U224),거래처설정!$I$8:$I$407,0),""))</f>
        <v/>
      </c>
      <c r="U224" s="31">
        <f>IFERROR(MATCH(217,매출원본!$AW$8:$AW$2007,0),"")</f>
        <v/>
      </c>
      <c r="V224" s="31">
        <f>IF($U224="","",MAX(SUMIFS(매출원본!$AT$8:$AT$2007,매출원본!$AY$8:$AY$2007,$A224,매출원본!$AS$8:$AS$2007,"&gt;="&amp;(설정!$B$5-설정!$B$6),매출원본!$AS$8:$AS$2007,"&lt;="&amp;설정!$B$5),0))</f>
        <v/>
      </c>
      <c r="W224" s="31">
        <f>IF($U224="","",MAX($V224,SUMIFS(매출원본!$AT$8:$AT$2007,매출원본!$AY$8:$AY$2007,$A224,매출원본!$AS$8:$AS$2007,"&gt;="&amp;(설정!$B$5-설정!$B$7),매출원본!$AS$8:$AS$2007,"&lt;="&amp;설정!$B$5)))</f>
        <v/>
      </c>
      <c r="X224" s="31">
        <f>IF($U224="","",MAX($W224,SUMIFS(매출원본!$AT$8:$AT$2007,매출원본!$AY$8:$AY$2007,$A224,매출원본!$AS$8:$AS$2007,"&gt;="&amp;(설정!$B$5-설정!$B$8),매출원본!$AS$8:$AS$2007,"&lt;="&amp;설정!$B$5)))</f>
        <v/>
      </c>
      <c r="AC224" s="31">
        <f>IF(OR($U224="",$T224=""),"",INDEX(거래처설정!$J$8:$J$407,$T224))</f>
        <v/>
      </c>
      <c r="AD224" s="31">
        <f>IF(OR($U224="",$T224=""),"",INDEX(거래처설정!$K$8:$K$407,$T224))</f>
        <v/>
      </c>
      <c r="AE224" s="31">
        <f>IF($U224="","",IF(LEN(SUBSTITUTE(SUBSTITUTE(SUBSTITUTE(SUBSTITUTE(SUBSTITUTE(SUBSTITUTE(SUBSTITUTE(SUBSTITUTE(SUBSTITUTE($C224," ",""),"　",""),"(주)",""),"（주）",""),"㈜",""),"주식회사",""),"(유)",""),"（유）",""),"유한회사",""))&lt;2,"",SUBSTITUTE(SUBSTITUTE(SUBSTITUTE(SUBSTITUTE(SUBSTITUTE(SUBSTITUTE(SUBSTITUTE(SUBSTITUTE(SUBSTITUTE($C224," ",""),"　",""),"(주)",""),"（주）",""),"㈜",""),"주식회사",""),"(유)",""),"（유）",""),"유한회사","")))</f>
        <v/>
      </c>
    </row>
    <row r="225">
      <c r="A225" s="38">
        <f>IF($U225="","",218)</f>
        <v/>
      </c>
      <c r="B225" s="38">
        <f>IF($U225="","",IF(LEN(INDEX(매출원본!$AU$8:$AU$2007,$U225))=10,LEFT(INDEX(매출원본!$AU$8:$AU$2007,$U225),3)&amp;"-"&amp;MID(INDEX(매출원본!$AU$8:$AU$2007,$U225),4,2)&amp;"-"&amp;RIGHT(INDEX(매출원본!$AU$8:$AU$2007,$U225),5),IF(LEFT(INDEX(매출원본!$AU$8:$AU$2007,$U225),2)="N:","(번호 없음)",INDEX(매출원본!$AU$8:$AU$2007,$U225))))</f>
        <v/>
      </c>
      <c r="C225" s="38">
        <f>IF($U225="","",INDEX(매출원본!$AV$8:$AV$2007,$U225))</f>
        <v/>
      </c>
      <c r="D225" s="39">
        <f>IF($U225="","",IF($T225="",0,N(INDEX(거래처설정!$E$8:$E$407,$T225))))</f>
        <v/>
      </c>
      <c r="E225" s="39">
        <f>IF($U225="","",SUMIFS(매출원본!$AT$8:$AT$2007,매출원본!$AY$8:$AY$2007,$A225,매출원본!$AS$8:$AS$2007,"&lt;="&amp;설정!$B$5))</f>
        <v/>
      </c>
      <c r="F225" s="39">
        <f>IF($U225="","",SUMIFS(입금_은행1!$Z$8:$Z$2007,입금_은행1!$AC$8:$AC$2007,$A225,입금_은행1!$Y$8:$Y$2007,"&lt;="&amp;설정!$B$5)+SUMIFS(입금_은행2!$Z$8:$Z$2007,입금_은행2!$AC$8:$AC$2007,$A225,입금_은행2!$Y$8:$Y$2007,"&lt;="&amp;설정!$B$5))</f>
        <v/>
      </c>
      <c r="G225" s="39">
        <f>IF($U225="","",$D225+$E225-$F225)</f>
        <v/>
      </c>
      <c r="H225" s="39">
        <f>IF($U225="","",MIN(MAX($G225,0),$V225))</f>
        <v/>
      </c>
      <c r="I225" s="39">
        <f>IF($U225="","",MIN(MAX($G225,0),$W225)-MIN(MAX($G225,0),$V225))</f>
        <v/>
      </c>
      <c r="J225" s="39">
        <f>IF($U225="","",MIN(MAX($G225,0),$X225)-MIN(MAX($G225,0),$W225))</f>
        <v/>
      </c>
      <c r="K225" s="39">
        <f>IF($U225="","",MAX($G225,0)-MIN(MAX($G225,0),$X225))</f>
        <v/>
      </c>
      <c r="L225" s="40">
        <f>IF($U225="","",IF(MAX(SUMPRODUCT(MAX((입금_은행1!$AC$8:$AC$2007=$A225)*(입금_은행1!$AE$8:$AE$2007&lt;=설정!$B$5)*입금_은행1!$AE$8:$AE$2007)),SUMPRODUCT(MAX((입금_은행2!$AC$8:$AC$2007=$A225)*(입금_은행2!$AE$8:$AE$2007&lt;=설정!$B$5)*입금_은행2!$AE$8:$AE$2007)))=0,"",MAX(SUMPRODUCT(MAX((입금_은행1!$AC$8:$AC$2007=$A225)*(입금_은행1!$AE$8:$AE$2007&lt;=설정!$B$5)*입금_은행1!$AE$8:$AE$2007)),SUMPRODUCT(MAX((입금_은행2!$AC$8:$AC$2007=$A225)*(입금_은행2!$AE$8:$AE$2007&lt;=설정!$B$5)*입금_은행2!$AE$8:$AE$2007)))))</f>
        <v/>
      </c>
      <c r="M225" s="38">
        <f>IF($U225="","",IF($T225="","",IF(INDEX(거래처설정!$F$8:$F$407,$T225)="","",INDEX(거래처설정!$F$8:$F$407,$T225))))</f>
        <v/>
      </c>
      <c r="N225" s="38">
        <f>IF($U225="","",IF($T225="","",IF(INDEX(거래처설정!$G$8:$G$407,$T225)="","",INDEX(거래처설정!$G$8:$G$407,$T225))))</f>
        <v/>
      </c>
      <c r="O225" s="38">
        <f>IF($U225="","",IF($M225="제외",0,IF($K225&gt;=설정!$B$9,3,IF($J225+$K225&gt;=설정!$B$9,2,IF($I225+$J225+$K225&gt;=설정!$B$9,1,0)))))</f>
        <v/>
      </c>
      <c r="P225" s="38">
        <f>IF($U225="","",IF($M225="제외","제외(조치 상태)",IF($O225=3,"③ 강한 독촉 후보 ("&amp;설정!$B$8&amp;"일 초과)",IF($O225=2,"② 독촉 후보 ("&amp;설정!$B$7&amp;"일 초과)",IF($O225=1,"① 안내 후보 ("&amp;설정!$B$6&amp;"일 초과)",IF($G225&gt;0,IF($I225+$J225+$K225&gt;0,"오래된 잔액 있음 (최소 금액 미만)","정상 범위"),IF($G225&lt;0,"선수금·초과입금 — 확인","완납")))))))</f>
        <v/>
      </c>
      <c r="Q225" s="38">
        <f>IF($U225="","",IF($G225&lt;0,"입금이 매출보다 큼 — 선수금이거나 다른 거래처 입금이 섞였는지 확인",IF(AND($AE225&lt;&gt;"",COUNTIF($AE$8:$AE$307,"*"&amp;$AE225&amp;"*")&gt;1),"이름이 다른 거래처와 겹침 — 입금이 잘못 맞았을 수 있으니 별칭 확인",IF(AND($G225&gt;0,$F225=0),"입금 매칭 없음 — 입금자명이 다르면 [거래처설정]에 별칭 등록",""))))</f>
        <v/>
      </c>
      <c r="R225" s="31">
        <f>IF(OR($U225="",$G225&lt;=0),"",$G225-$A225/10000)</f>
        <v/>
      </c>
      <c r="S225" s="31">
        <f>IF(OR($U225="",$O225&lt;1),"",$O225*10^11+$I225+$J225+$K225-$A225/1000)</f>
        <v/>
      </c>
      <c r="T225" s="31">
        <f>IF($U225="","",IFERROR(MATCH(INDEX(매출원본!$AU$8:$AU$2007,$U225),거래처설정!$I$8:$I$407,0),""))</f>
        <v/>
      </c>
      <c r="U225" s="31">
        <f>IFERROR(MATCH(218,매출원본!$AW$8:$AW$2007,0),"")</f>
        <v/>
      </c>
      <c r="V225" s="31">
        <f>IF($U225="","",MAX(SUMIFS(매출원본!$AT$8:$AT$2007,매출원본!$AY$8:$AY$2007,$A225,매출원본!$AS$8:$AS$2007,"&gt;="&amp;(설정!$B$5-설정!$B$6),매출원본!$AS$8:$AS$2007,"&lt;="&amp;설정!$B$5),0))</f>
        <v/>
      </c>
      <c r="W225" s="31">
        <f>IF($U225="","",MAX($V225,SUMIFS(매출원본!$AT$8:$AT$2007,매출원본!$AY$8:$AY$2007,$A225,매출원본!$AS$8:$AS$2007,"&gt;="&amp;(설정!$B$5-설정!$B$7),매출원본!$AS$8:$AS$2007,"&lt;="&amp;설정!$B$5)))</f>
        <v/>
      </c>
      <c r="X225" s="31">
        <f>IF($U225="","",MAX($W225,SUMIFS(매출원본!$AT$8:$AT$2007,매출원본!$AY$8:$AY$2007,$A225,매출원본!$AS$8:$AS$2007,"&gt;="&amp;(설정!$B$5-설정!$B$8),매출원본!$AS$8:$AS$2007,"&lt;="&amp;설정!$B$5)))</f>
        <v/>
      </c>
      <c r="AC225" s="31">
        <f>IF(OR($U225="",$T225=""),"",INDEX(거래처설정!$J$8:$J$407,$T225))</f>
        <v/>
      </c>
      <c r="AD225" s="31">
        <f>IF(OR($U225="",$T225=""),"",INDEX(거래처설정!$K$8:$K$407,$T225))</f>
        <v/>
      </c>
      <c r="AE225" s="31">
        <f>IF($U225="","",IF(LEN(SUBSTITUTE(SUBSTITUTE(SUBSTITUTE(SUBSTITUTE(SUBSTITUTE(SUBSTITUTE(SUBSTITUTE(SUBSTITUTE(SUBSTITUTE($C225," ",""),"　",""),"(주)",""),"（주）",""),"㈜",""),"주식회사",""),"(유)",""),"（유）",""),"유한회사",""))&lt;2,"",SUBSTITUTE(SUBSTITUTE(SUBSTITUTE(SUBSTITUTE(SUBSTITUTE(SUBSTITUTE(SUBSTITUTE(SUBSTITUTE(SUBSTITUTE($C225," ",""),"　",""),"(주)",""),"（주）",""),"㈜",""),"주식회사",""),"(유)",""),"（유）",""),"유한회사","")))</f>
        <v/>
      </c>
    </row>
    <row r="226">
      <c r="A226" s="38">
        <f>IF($U226="","",219)</f>
        <v/>
      </c>
      <c r="B226" s="38">
        <f>IF($U226="","",IF(LEN(INDEX(매출원본!$AU$8:$AU$2007,$U226))=10,LEFT(INDEX(매출원본!$AU$8:$AU$2007,$U226),3)&amp;"-"&amp;MID(INDEX(매출원본!$AU$8:$AU$2007,$U226),4,2)&amp;"-"&amp;RIGHT(INDEX(매출원본!$AU$8:$AU$2007,$U226),5),IF(LEFT(INDEX(매출원본!$AU$8:$AU$2007,$U226),2)="N:","(번호 없음)",INDEX(매출원본!$AU$8:$AU$2007,$U226))))</f>
        <v/>
      </c>
      <c r="C226" s="38">
        <f>IF($U226="","",INDEX(매출원본!$AV$8:$AV$2007,$U226))</f>
        <v/>
      </c>
      <c r="D226" s="39">
        <f>IF($U226="","",IF($T226="",0,N(INDEX(거래처설정!$E$8:$E$407,$T226))))</f>
        <v/>
      </c>
      <c r="E226" s="39">
        <f>IF($U226="","",SUMIFS(매출원본!$AT$8:$AT$2007,매출원본!$AY$8:$AY$2007,$A226,매출원본!$AS$8:$AS$2007,"&lt;="&amp;설정!$B$5))</f>
        <v/>
      </c>
      <c r="F226" s="39">
        <f>IF($U226="","",SUMIFS(입금_은행1!$Z$8:$Z$2007,입금_은행1!$AC$8:$AC$2007,$A226,입금_은행1!$Y$8:$Y$2007,"&lt;="&amp;설정!$B$5)+SUMIFS(입금_은행2!$Z$8:$Z$2007,입금_은행2!$AC$8:$AC$2007,$A226,입금_은행2!$Y$8:$Y$2007,"&lt;="&amp;설정!$B$5))</f>
        <v/>
      </c>
      <c r="G226" s="39">
        <f>IF($U226="","",$D226+$E226-$F226)</f>
        <v/>
      </c>
      <c r="H226" s="39">
        <f>IF($U226="","",MIN(MAX($G226,0),$V226))</f>
        <v/>
      </c>
      <c r="I226" s="39">
        <f>IF($U226="","",MIN(MAX($G226,0),$W226)-MIN(MAX($G226,0),$V226))</f>
        <v/>
      </c>
      <c r="J226" s="39">
        <f>IF($U226="","",MIN(MAX($G226,0),$X226)-MIN(MAX($G226,0),$W226))</f>
        <v/>
      </c>
      <c r="K226" s="39">
        <f>IF($U226="","",MAX($G226,0)-MIN(MAX($G226,0),$X226))</f>
        <v/>
      </c>
      <c r="L226" s="40">
        <f>IF($U226="","",IF(MAX(SUMPRODUCT(MAX((입금_은행1!$AC$8:$AC$2007=$A226)*(입금_은행1!$AE$8:$AE$2007&lt;=설정!$B$5)*입금_은행1!$AE$8:$AE$2007)),SUMPRODUCT(MAX((입금_은행2!$AC$8:$AC$2007=$A226)*(입금_은행2!$AE$8:$AE$2007&lt;=설정!$B$5)*입금_은행2!$AE$8:$AE$2007)))=0,"",MAX(SUMPRODUCT(MAX((입금_은행1!$AC$8:$AC$2007=$A226)*(입금_은행1!$AE$8:$AE$2007&lt;=설정!$B$5)*입금_은행1!$AE$8:$AE$2007)),SUMPRODUCT(MAX((입금_은행2!$AC$8:$AC$2007=$A226)*(입금_은행2!$AE$8:$AE$2007&lt;=설정!$B$5)*입금_은행2!$AE$8:$AE$2007)))))</f>
        <v/>
      </c>
      <c r="M226" s="38">
        <f>IF($U226="","",IF($T226="","",IF(INDEX(거래처설정!$F$8:$F$407,$T226)="","",INDEX(거래처설정!$F$8:$F$407,$T226))))</f>
        <v/>
      </c>
      <c r="N226" s="38">
        <f>IF($U226="","",IF($T226="","",IF(INDEX(거래처설정!$G$8:$G$407,$T226)="","",INDEX(거래처설정!$G$8:$G$407,$T226))))</f>
        <v/>
      </c>
      <c r="O226" s="38">
        <f>IF($U226="","",IF($M226="제외",0,IF($K226&gt;=설정!$B$9,3,IF($J226+$K226&gt;=설정!$B$9,2,IF($I226+$J226+$K226&gt;=설정!$B$9,1,0)))))</f>
        <v/>
      </c>
      <c r="P226" s="38">
        <f>IF($U226="","",IF($M226="제외","제외(조치 상태)",IF($O226=3,"③ 강한 독촉 후보 ("&amp;설정!$B$8&amp;"일 초과)",IF($O226=2,"② 독촉 후보 ("&amp;설정!$B$7&amp;"일 초과)",IF($O226=1,"① 안내 후보 ("&amp;설정!$B$6&amp;"일 초과)",IF($G226&gt;0,IF($I226+$J226+$K226&gt;0,"오래된 잔액 있음 (최소 금액 미만)","정상 범위"),IF($G226&lt;0,"선수금·초과입금 — 확인","완납")))))))</f>
        <v/>
      </c>
      <c r="Q226" s="38">
        <f>IF($U226="","",IF($G226&lt;0,"입금이 매출보다 큼 — 선수금이거나 다른 거래처 입금이 섞였는지 확인",IF(AND($AE226&lt;&gt;"",COUNTIF($AE$8:$AE$307,"*"&amp;$AE226&amp;"*")&gt;1),"이름이 다른 거래처와 겹침 — 입금이 잘못 맞았을 수 있으니 별칭 확인",IF(AND($G226&gt;0,$F226=0),"입금 매칭 없음 — 입금자명이 다르면 [거래처설정]에 별칭 등록",""))))</f>
        <v/>
      </c>
      <c r="R226" s="31">
        <f>IF(OR($U226="",$G226&lt;=0),"",$G226-$A226/10000)</f>
        <v/>
      </c>
      <c r="S226" s="31">
        <f>IF(OR($U226="",$O226&lt;1),"",$O226*10^11+$I226+$J226+$K226-$A226/1000)</f>
        <v/>
      </c>
      <c r="T226" s="31">
        <f>IF($U226="","",IFERROR(MATCH(INDEX(매출원본!$AU$8:$AU$2007,$U226),거래처설정!$I$8:$I$407,0),""))</f>
        <v/>
      </c>
      <c r="U226" s="31">
        <f>IFERROR(MATCH(219,매출원본!$AW$8:$AW$2007,0),"")</f>
        <v/>
      </c>
      <c r="V226" s="31">
        <f>IF($U226="","",MAX(SUMIFS(매출원본!$AT$8:$AT$2007,매출원본!$AY$8:$AY$2007,$A226,매출원본!$AS$8:$AS$2007,"&gt;="&amp;(설정!$B$5-설정!$B$6),매출원본!$AS$8:$AS$2007,"&lt;="&amp;설정!$B$5),0))</f>
        <v/>
      </c>
      <c r="W226" s="31">
        <f>IF($U226="","",MAX($V226,SUMIFS(매출원본!$AT$8:$AT$2007,매출원본!$AY$8:$AY$2007,$A226,매출원본!$AS$8:$AS$2007,"&gt;="&amp;(설정!$B$5-설정!$B$7),매출원본!$AS$8:$AS$2007,"&lt;="&amp;설정!$B$5)))</f>
        <v/>
      </c>
      <c r="X226" s="31">
        <f>IF($U226="","",MAX($W226,SUMIFS(매출원본!$AT$8:$AT$2007,매출원본!$AY$8:$AY$2007,$A226,매출원본!$AS$8:$AS$2007,"&gt;="&amp;(설정!$B$5-설정!$B$8),매출원본!$AS$8:$AS$2007,"&lt;="&amp;설정!$B$5)))</f>
        <v/>
      </c>
      <c r="AC226" s="31">
        <f>IF(OR($U226="",$T226=""),"",INDEX(거래처설정!$J$8:$J$407,$T226))</f>
        <v/>
      </c>
      <c r="AD226" s="31">
        <f>IF(OR($U226="",$T226=""),"",INDEX(거래처설정!$K$8:$K$407,$T226))</f>
        <v/>
      </c>
      <c r="AE226" s="31">
        <f>IF($U226="","",IF(LEN(SUBSTITUTE(SUBSTITUTE(SUBSTITUTE(SUBSTITUTE(SUBSTITUTE(SUBSTITUTE(SUBSTITUTE(SUBSTITUTE(SUBSTITUTE($C226," ",""),"　",""),"(주)",""),"（주）",""),"㈜",""),"주식회사",""),"(유)",""),"（유）",""),"유한회사",""))&lt;2,"",SUBSTITUTE(SUBSTITUTE(SUBSTITUTE(SUBSTITUTE(SUBSTITUTE(SUBSTITUTE(SUBSTITUTE(SUBSTITUTE(SUBSTITUTE($C226," ",""),"　",""),"(주)",""),"（주）",""),"㈜",""),"주식회사",""),"(유)",""),"（유）",""),"유한회사","")))</f>
        <v/>
      </c>
    </row>
    <row r="227">
      <c r="A227" s="38">
        <f>IF($U227="","",220)</f>
        <v/>
      </c>
      <c r="B227" s="38">
        <f>IF($U227="","",IF(LEN(INDEX(매출원본!$AU$8:$AU$2007,$U227))=10,LEFT(INDEX(매출원본!$AU$8:$AU$2007,$U227),3)&amp;"-"&amp;MID(INDEX(매출원본!$AU$8:$AU$2007,$U227),4,2)&amp;"-"&amp;RIGHT(INDEX(매출원본!$AU$8:$AU$2007,$U227),5),IF(LEFT(INDEX(매출원본!$AU$8:$AU$2007,$U227),2)="N:","(번호 없음)",INDEX(매출원본!$AU$8:$AU$2007,$U227))))</f>
        <v/>
      </c>
      <c r="C227" s="38">
        <f>IF($U227="","",INDEX(매출원본!$AV$8:$AV$2007,$U227))</f>
        <v/>
      </c>
      <c r="D227" s="39">
        <f>IF($U227="","",IF($T227="",0,N(INDEX(거래처설정!$E$8:$E$407,$T227))))</f>
        <v/>
      </c>
      <c r="E227" s="39">
        <f>IF($U227="","",SUMIFS(매출원본!$AT$8:$AT$2007,매출원본!$AY$8:$AY$2007,$A227,매출원본!$AS$8:$AS$2007,"&lt;="&amp;설정!$B$5))</f>
        <v/>
      </c>
      <c r="F227" s="39">
        <f>IF($U227="","",SUMIFS(입금_은행1!$Z$8:$Z$2007,입금_은행1!$AC$8:$AC$2007,$A227,입금_은행1!$Y$8:$Y$2007,"&lt;="&amp;설정!$B$5)+SUMIFS(입금_은행2!$Z$8:$Z$2007,입금_은행2!$AC$8:$AC$2007,$A227,입금_은행2!$Y$8:$Y$2007,"&lt;="&amp;설정!$B$5))</f>
        <v/>
      </c>
      <c r="G227" s="39">
        <f>IF($U227="","",$D227+$E227-$F227)</f>
        <v/>
      </c>
      <c r="H227" s="39">
        <f>IF($U227="","",MIN(MAX($G227,0),$V227))</f>
        <v/>
      </c>
      <c r="I227" s="39">
        <f>IF($U227="","",MIN(MAX($G227,0),$W227)-MIN(MAX($G227,0),$V227))</f>
        <v/>
      </c>
      <c r="J227" s="39">
        <f>IF($U227="","",MIN(MAX($G227,0),$X227)-MIN(MAX($G227,0),$W227))</f>
        <v/>
      </c>
      <c r="K227" s="39">
        <f>IF($U227="","",MAX($G227,0)-MIN(MAX($G227,0),$X227))</f>
        <v/>
      </c>
      <c r="L227" s="40">
        <f>IF($U227="","",IF(MAX(SUMPRODUCT(MAX((입금_은행1!$AC$8:$AC$2007=$A227)*(입금_은행1!$AE$8:$AE$2007&lt;=설정!$B$5)*입금_은행1!$AE$8:$AE$2007)),SUMPRODUCT(MAX((입금_은행2!$AC$8:$AC$2007=$A227)*(입금_은행2!$AE$8:$AE$2007&lt;=설정!$B$5)*입금_은행2!$AE$8:$AE$2007)))=0,"",MAX(SUMPRODUCT(MAX((입금_은행1!$AC$8:$AC$2007=$A227)*(입금_은행1!$AE$8:$AE$2007&lt;=설정!$B$5)*입금_은행1!$AE$8:$AE$2007)),SUMPRODUCT(MAX((입금_은행2!$AC$8:$AC$2007=$A227)*(입금_은행2!$AE$8:$AE$2007&lt;=설정!$B$5)*입금_은행2!$AE$8:$AE$2007)))))</f>
        <v/>
      </c>
      <c r="M227" s="38">
        <f>IF($U227="","",IF($T227="","",IF(INDEX(거래처설정!$F$8:$F$407,$T227)="","",INDEX(거래처설정!$F$8:$F$407,$T227))))</f>
        <v/>
      </c>
      <c r="N227" s="38">
        <f>IF($U227="","",IF($T227="","",IF(INDEX(거래처설정!$G$8:$G$407,$T227)="","",INDEX(거래처설정!$G$8:$G$407,$T227))))</f>
        <v/>
      </c>
      <c r="O227" s="38">
        <f>IF($U227="","",IF($M227="제외",0,IF($K227&gt;=설정!$B$9,3,IF($J227+$K227&gt;=설정!$B$9,2,IF($I227+$J227+$K227&gt;=설정!$B$9,1,0)))))</f>
        <v/>
      </c>
      <c r="P227" s="38">
        <f>IF($U227="","",IF($M227="제외","제외(조치 상태)",IF($O227=3,"③ 강한 독촉 후보 ("&amp;설정!$B$8&amp;"일 초과)",IF($O227=2,"② 독촉 후보 ("&amp;설정!$B$7&amp;"일 초과)",IF($O227=1,"① 안내 후보 ("&amp;설정!$B$6&amp;"일 초과)",IF($G227&gt;0,IF($I227+$J227+$K227&gt;0,"오래된 잔액 있음 (최소 금액 미만)","정상 범위"),IF($G227&lt;0,"선수금·초과입금 — 확인","완납")))))))</f>
        <v/>
      </c>
      <c r="Q227" s="38">
        <f>IF($U227="","",IF($G227&lt;0,"입금이 매출보다 큼 — 선수금이거나 다른 거래처 입금이 섞였는지 확인",IF(AND($AE227&lt;&gt;"",COUNTIF($AE$8:$AE$307,"*"&amp;$AE227&amp;"*")&gt;1),"이름이 다른 거래처와 겹침 — 입금이 잘못 맞았을 수 있으니 별칭 확인",IF(AND($G227&gt;0,$F227=0),"입금 매칭 없음 — 입금자명이 다르면 [거래처설정]에 별칭 등록",""))))</f>
        <v/>
      </c>
      <c r="R227" s="31">
        <f>IF(OR($U227="",$G227&lt;=0),"",$G227-$A227/10000)</f>
        <v/>
      </c>
      <c r="S227" s="31">
        <f>IF(OR($U227="",$O227&lt;1),"",$O227*10^11+$I227+$J227+$K227-$A227/1000)</f>
        <v/>
      </c>
      <c r="T227" s="31">
        <f>IF($U227="","",IFERROR(MATCH(INDEX(매출원본!$AU$8:$AU$2007,$U227),거래처설정!$I$8:$I$407,0),""))</f>
        <v/>
      </c>
      <c r="U227" s="31">
        <f>IFERROR(MATCH(220,매출원본!$AW$8:$AW$2007,0),"")</f>
        <v/>
      </c>
      <c r="V227" s="31">
        <f>IF($U227="","",MAX(SUMIFS(매출원본!$AT$8:$AT$2007,매출원본!$AY$8:$AY$2007,$A227,매출원본!$AS$8:$AS$2007,"&gt;="&amp;(설정!$B$5-설정!$B$6),매출원본!$AS$8:$AS$2007,"&lt;="&amp;설정!$B$5),0))</f>
        <v/>
      </c>
      <c r="W227" s="31">
        <f>IF($U227="","",MAX($V227,SUMIFS(매출원본!$AT$8:$AT$2007,매출원본!$AY$8:$AY$2007,$A227,매출원본!$AS$8:$AS$2007,"&gt;="&amp;(설정!$B$5-설정!$B$7),매출원본!$AS$8:$AS$2007,"&lt;="&amp;설정!$B$5)))</f>
        <v/>
      </c>
      <c r="X227" s="31">
        <f>IF($U227="","",MAX($W227,SUMIFS(매출원본!$AT$8:$AT$2007,매출원본!$AY$8:$AY$2007,$A227,매출원본!$AS$8:$AS$2007,"&gt;="&amp;(설정!$B$5-설정!$B$8),매출원본!$AS$8:$AS$2007,"&lt;="&amp;설정!$B$5)))</f>
        <v/>
      </c>
      <c r="AC227" s="31">
        <f>IF(OR($U227="",$T227=""),"",INDEX(거래처설정!$J$8:$J$407,$T227))</f>
        <v/>
      </c>
      <c r="AD227" s="31">
        <f>IF(OR($U227="",$T227=""),"",INDEX(거래처설정!$K$8:$K$407,$T227))</f>
        <v/>
      </c>
      <c r="AE227" s="31">
        <f>IF($U227="","",IF(LEN(SUBSTITUTE(SUBSTITUTE(SUBSTITUTE(SUBSTITUTE(SUBSTITUTE(SUBSTITUTE(SUBSTITUTE(SUBSTITUTE(SUBSTITUTE($C227," ",""),"　",""),"(주)",""),"（주）",""),"㈜",""),"주식회사",""),"(유)",""),"（유）",""),"유한회사",""))&lt;2,"",SUBSTITUTE(SUBSTITUTE(SUBSTITUTE(SUBSTITUTE(SUBSTITUTE(SUBSTITUTE(SUBSTITUTE(SUBSTITUTE(SUBSTITUTE($C227," ",""),"　",""),"(주)",""),"（주）",""),"㈜",""),"주식회사",""),"(유)",""),"（유）",""),"유한회사","")))</f>
        <v/>
      </c>
    </row>
    <row r="228">
      <c r="A228" s="38">
        <f>IF($U228="","",221)</f>
        <v/>
      </c>
      <c r="B228" s="38">
        <f>IF($U228="","",IF(LEN(INDEX(매출원본!$AU$8:$AU$2007,$U228))=10,LEFT(INDEX(매출원본!$AU$8:$AU$2007,$U228),3)&amp;"-"&amp;MID(INDEX(매출원본!$AU$8:$AU$2007,$U228),4,2)&amp;"-"&amp;RIGHT(INDEX(매출원본!$AU$8:$AU$2007,$U228),5),IF(LEFT(INDEX(매출원본!$AU$8:$AU$2007,$U228),2)="N:","(번호 없음)",INDEX(매출원본!$AU$8:$AU$2007,$U228))))</f>
        <v/>
      </c>
      <c r="C228" s="38">
        <f>IF($U228="","",INDEX(매출원본!$AV$8:$AV$2007,$U228))</f>
        <v/>
      </c>
      <c r="D228" s="39">
        <f>IF($U228="","",IF($T228="",0,N(INDEX(거래처설정!$E$8:$E$407,$T228))))</f>
        <v/>
      </c>
      <c r="E228" s="39">
        <f>IF($U228="","",SUMIFS(매출원본!$AT$8:$AT$2007,매출원본!$AY$8:$AY$2007,$A228,매출원본!$AS$8:$AS$2007,"&lt;="&amp;설정!$B$5))</f>
        <v/>
      </c>
      <c r="F228" s="39">
        <f>IF($U228="","",SUMIFS(입금_은행1!$Z$8:$Z$2007,입금_은행1!$AC$8:$AC$2007,$A228,입금_은행1!$Y$8:$Y$2007,"&lt;="&amp;설정!$B$5)+SUMIFS(입금_은행2!$Z$8:$Z$2007,입금_은행2!$AC$8:$AC$2007,$A228,입금_은행2!$Y$8:$Y$2007,"&lt;="&amp;설정!$B$5))</f>
        <v/>
      </c>
      <c r="G228" s="39">
        <f>IF($U228="","",$D228+$E228-$F228)</f>
        <v/>
      </c>
      <c r="H228" s="39">
        <f>IF($U228="","",MIN(MAX($G228,0),$V228))</f>
        <v/>
      </c>
      <c r="I228" s="39">
        <f>IF($U228="","",MIN(MAX($G228,0),$W228)-MIN(MAX($G228,0),$V228))</f>
        <v/>
      </c>
      <c r="J228" s="39">
        <f>IF($U228="","",MIN(MAX($G228,0),$X228)-MIN(MAX($G228,0),$W228))</f>
        <v/>
      </c>
      <c r="K228" s="39">
        <f>IF($U228="","",MAX($G228,0)-MIN(MAX($G228,0),$X228))</f>
        <v/>
      </c>
      <c r="L228" s="40">
        <f>IF($U228="","",IF(MAX(SUMPRODUCT(MAX((입금_은행1!$AC$8:$AC$2007=$A228)*(입금_은행1!$AE$8:$AE$2007&lt;=설정!$B$5)*입금_은행1!$AE$8:$AE$2007)),SUMPRODUCT(MAX((입금_은행2!$AC$8:$AC$2007=$A228)*(입금_은행2!$AE$8:$AE$2007&lt;=설정!$B$5)*입금_은행2!$AE$8:$AE$2007)))=0,"",MAX(SUMPRODUCT(MAX((입금_은행1!$AC$8:$AC$2007=$A228)*(입금_은행1!$AE$8:$AE$2007&lt;=설정!$B$5)*입금_은행1!$AE$8:$AE$2007)),SUMPRODUCT(MAX((입금_은행2!$AC$8:$AC$2007=$A228)*(입금_은행2!$AE$8:$AE$2007&lt;=설정!$B$5)*입금_은행2!$AE$8:$AE$2007)))))</f>
        <v/>
      </c>
      <c r="M228" s="38">
        <f>IF($U228="","",IF($T228="","",IF(INDEX(거래처설정!$F$8:$F$407,$T228)="","",INDEX(거래처설정!$F$8:$F$407,$T228))))</f>
        <v/>
      </c>
      <c r="N228" s="38">
        <f>IF($U228="","",IF($T228="","",IF(INDEX(거래처설정!$G$8:$G$407,$T228)="","",INDEX(거래처설정!$G$8:$G$407,$T228))))</f>
        <v/>
      </c>
      <c r="O228" s="38">
        <f>IF($U228="","",IF($M228="제외",0,IF($K228&gt;=설정!$B$9,3,IF($J228+$K228&gt;=설정!$B$9,2,IF($I228+$J228+$K228&gt;=설정!$B$9,1,0)))))</f>
        <v/>
      </c>
      <c r="P228" s="38">
        <f>IF($U228="","",IF($M228="제외","제외(조치 상태)",IF($O228=3,"③ 강한 독촉 후보 ("&amp;설정!$B$8&amp;"일 초과)",IF($O228=2,"② 독촉 후보 ("&amp;설정!$B$7&amp;"일 초과)",IF($O228=1,"① 안내 후보 ("&amp;설정!$B$6&amp;"일 초과)",IF($G228&gt;0,IF($I228+$J228+$K228&gt;0,"오래된 잔액 있음 (최소 금액 미만)","정상 범위"),IF($G228&lt;0,"선수금·초과입금 — 확인","완납")))))))</f>
        <v/>
      </c>
      <c r="Q228" s="38">
        <f>IF($U228="","",IF($G228&lt;0,"입금이 매출보다 큼 — 선수금이거나 다른 거래처 입금이 섞였는지 확인",IF(AND($AE228&lt;&gt;"",COUNTIF($AE$8:$AE$307,"*"&amp;$AE228&amp;"*")&gt;1),"이름이 다른 거래처와 겹침 — 입금이 잘못 맞았을 수 있으니 별칭 확인",IF(AND($G228&gt;0,$F228=0),"입금 매칭 없음 — 입금자명이 다르면 [거래처설정]에 별칭 등록",""))))</f>
        <v/>
      </c>
      <c r="R228" s="31">
        <f>IF(OR($U228="",$G228&lt;=0),"",$G228-$A228/10000)</f>
        <v/>
      </c>
      <c r="S228" s="31">
        <f>IF(OR($U228="",$O228&lt;1),"",$O228*10^11+$I228+$J228+$K228-$A228/1000)</f>
        <v/>
      </c>
      <c r="T228" s="31">
        <f>IF($U228="","",IFERROR(MATCH(INDEX(매출원본!$AU$8:$AU$2007,$U228),거래처설정!$I$8:$I$407,0),""))</f>
        <v/>
      </c>
      <c r="U228" s="31">
        <f>IFERROR(MATCH(221,매출원본!$AW$8:$AW$2007,0),"")</f>
        <v/>
      </c>
      <c r="V228" s="31">
        <f>IF($U228="","",MAX(SUMIFS(매출원본!$AT$8:$AT$2007,매출원본!$AY$8:$AY$2007,$A228,매출원본!$AS$8:$AS$2007,"&gt;="&amp;(설정!$B$5-설정!$B$6),매출원본!$AS$8:$AS$2007,"&lt;="&amp;설정!$B$5),0))</f>
        <v/>
      </c>
      <c r="W228" s="31">
        <f>IF($U228="","",MAX($V228,SUMIFS(매출원본!$AT$8:$AT$2007,매출원본!$AY$8:$AY$2007,$A228,매출원본!$AS$8:$AS$2007,"&gt;="&amp;(설정!$B$5-설정!$B$7),매출원본!$AS$8:$AS$2007,"&lt;="&amp;설정!$B$5)))</f>
        <v/>
      </c>
      <c r="X228" s="31">
        <f>IF($U228="","",MAX($W228,SUMIFS(매출원본!$AT$8:$AT$2007,매출원본!$AY$8:$AY$2007,$A228,매출원본!$AS$8:$AS$2007,"&gt;="&amp;(설정!$B$5-설정!$B$8),매출원본!$AS$8:$AS$2007,"&lt;="&amp;설정!$B$5)))</f>
        <v/>
      </c>
      <c r="AC228" s="31">
        <f>IF(OR($U228="",$T228=""),"",INDEX(거래처설정!$J$8:$J$407,$T228))</f>
        <v/>
      </c>
      <c r="AD228" s="31">
        <f>IF(OR($U228="",$T228=""),"",INDEX(거래처설정!$K$8:$K$407,$T228))</f>
        <v/>
      </c>
      <c r="AE228" s="31">
        <f>IF($U228="","",IF(LEN(SUBSTITUTE(SUBSTITUTE(SUBSTITUTE(SUBSTITUTE(SUBSTITUTE(SUBSTITUTE(SUBSTITUTE(SUBSTITUTE(SUBSTITUTE($C228," ",""),"　",""),"(주)",""),"（주）",""),"㈜",""),"주식회사",""),"(유)",""),"（유）",""),"유한회사",""))&lt;2,"",SUBSTITUTE(SUBSTITUTE(SUBSTITUTE(SUBSTITUTE(SUBSTITUTE(SUBSTITUTE(SUBSTITUTE(SUBSTITUTE(SUBSTITUTE($C228," ",""),"　",""),"(주)",""),"（주）",""),"㈜",""),"주식회사",""),"(유)",""),"（유）",""),"유한회사","")))</f>
        <v/>
      </c>
    </row>
    <row r="229">
      <c r="A229" s="38">
        <f>IF($U229="","",222)</f>
        <v/>
      </c>
      <c r="B229" s="38">
        <f>IF($U229="","",IF(LEN(INDEX(매출원본!$AU$8:$AU$2007,$U229))=10,LEFT(INDEX(매출원본!$AU$8:$AU$2007,$U229),3)&amp;"-"&amp;MID(INDEX(매출원본!$AU$8:$AU$2007,$U229),4,2)&amp;"-"&amp;RIGHT(INDEX(매출원본!$AU$8:$AU$2007,$U229),5),IF(LEFT(INDEX(매출원본!$AU$8:$AU$2007,$U229),2)="N:","(번호 없음)",INDEX(매출원본!$AU$8:$AU$2007,$U229))))</f>
        <v/>
      </c>
      <c r="C229" s="38">
        <f>IF($U229="","",INDEX(매출원본!$AV$8:$AV$2007,$U229))</f>
        <v/>
      </c>
      <c r="D229" s="39">
        <f>IF($U229="","",IF($T229="",0,N(INDEX(거래처설정!$E$8:$E$407,$T229))))</f>
        <v/>
      </c>
      <c r="E229" s="39">
        <f>IF($U229="","",SUMIFS(매출원본!$AT$8:$AT$2007,매출원본!$AY$8:$AY$2007,$A229,매출원본!$AS$8:$AS$2007,"&lt;="&amp;설정!$B$5))</f>
        <v/>
      </c>
      <c r="F229" s="39">
        <f>IF($U229="","",SUMIFS(입금_은행1!$Z$8:$Z$2007,입금_은행1!$AC$8:$AC$2007,$A229,입금_은행1!$Y$8:$Y$2007,"&lt;="&amp;설정!$B$5)+SUMIFS(입금_은행2!$Z$8:$Z$2007,입금_은행2!$AC$8:$AC$2007,$A229,입금_은행2!$Y$8:$Y$2007,"&lt;="&amp;설정!$B$5))</f>
        <v/>
      </c>
      <c r="G229" s="39">
        <f>IF($U229="","",$D229+$E229-$F229)</f>
        <v/>
      </c>
      <c r="H229" s="39">
        <f>IF($U229="","",MIN(MAX($G229,0),$V229))</f>
        <v/>
      </c>
      <c r="I229" s="39">
        <f>IF($U229="","",MIN(MAX($G229,0),$W229)-MIN(MAX($G229,0),$V229))</f>
        <v/>
      </c>
      <c r="J229" s="39">
        <f>IF($U229="","",MIN(MAX($G229,0),$X229)-MIN(MAX($G229,0),$W229))</f>
        <v/>
      </c>
      <c r="K229" s="39">
        <f>IF($U229="","",MAX($G229,0)-MIN(MAX($G229,0),$X229))</f>
        <v/>
      </c>
      <c r="L229" s="40">
        <f>IF($U229="","",IF(MAX(SUMPRODUCT(MAX((입금_은행1!$AC$8:$AC$2007=$A229)*(입금_은행1!$AE$8:$AE$2007&lt;=설정!$B$5)*입금_은행1!$AE$8:$AE$2007)),SUMPRODUCT(MAX((입금_은행2!$AC$8:$AC$2007=$A229)*(입금_은행2!$AE$8:$AE$2007&lt;=설정!$B$5)*입금_은행2!$AE$8:$AE$2007)))=0,"",MAX(SUMPRODUCT(MAX((입금_은행1!$AC$8:$AC$2007=$A229)*(입금_은행1!$AE$8:$AE$2007&lt;=설정!$B$5)*입금_은행1!$AE$8:$AE$2007)),SUMPRODUCT(MAX((입금_은행2!$AC$8:$AC$2007=$A229)*(입금_은행2!$AE$8:$AE$2007&lt;=설정!$B$5)*입금_은행2!$AE$8:$AE$2007)))))</f>
        <v/>
      </c>
      <c r="M229" s="38">
        <f>IF($U229="","",IF($T229="","",IF(INDEX(거래처설정!$F$8:$F$407,$T229)="","",INDEX(거래처설정!$F$8:$F$407,$T229))))</f>
        <v/>
      </c>
      <c r="N229" s="38">
        <f>IF($U229="","",IF($T229="","",IF(INDEX(거래처설정!$G$8:$G$407,$T229)="","",INDEX(거래처설정!$G$8:$G$407,$T229))))</f>
        <v/>
      </c>
      <c r="O229" s="38">
        <f>IF($U229="","",IF($M229="제외",0,IF($K229&gt;=설정!$B$9,3,IF($J229+$K229&gt;=설정!$B$9,2,IF($I229+$J229+$K229&gt;=설정!$B$9,1,0)))))</f>
        <v/>
      </c>
      <c r="P229" s="38">
        <f>IF($U229="","",IF($M229="제외","제외(조치 상태)",IF($O229=3,"③ 강한 독촉 후보 ("&amp;설정!$B$8&amp;"일 초과)",IF($O229=2,"② 독촉 후보 ("&amp;설정!$B$7&amp;"일 초과)",IF($O229=1,"① 안내 후보 ("&amp;설정!$B$6&amp;"일 초과)",IF($G229&gt;0,IF($I229+$J229+$K229&gt;0,"오래된 잔액 있음 (최소 금액 미만)","정상 범위"),IF($G229&lt;0,"선수금·초과입금 — 확인","완납")))))))</f>
        <v/>
      </c>
      <c r="Q229" s="38">
        <f>IF($U229="","",IF($G229&lt;0,"입금이 매출보다 큼 — 선수금이거나 다른 거래처 입금이 섞였는지 확인",IF(AND($AE229&lt;&gt;"",COUNTIF($AE$8:$AE$307,"*"&amp;$AE229&amp;"*")&gt;1),"이름이 다른 거래처와 겹침 — 입금이 잘못 맞았을 수 있으니 별칭 확인",IF(AND($G229&gt;0,$F229=0),"입금 매칭 없음 — 입금자명이 다르면 [거래처설정]에 별칭 등록",""))))</f>
        <v/>
      </c>
      <c r="R229" s="31">
        <f>IF(OR($U229="",$G229&lt;=0),"",$G229-$A229/10000)</f>
        <v/>
      </c>
      <c r="S229" s="31">
        <f>IF(OR($U229="",$O229&lt;1),"",$O229*10^11+$I229+$J229+$K229-$A229/1000)</f>
        <v/>
      </c>
      <c r="T229" s="31">
        <f>IF($U229="","",IFERROR(MATCH(INDEX(매출원본!$AU$8:$AU$2007,$U229),거래처설정!$I$8:$I$407,0),""))</f>
        <v/>
      </c>
      <c r="U229" s="31">
        <f>IFERROR(MATCH(222,매출원본!$AW$8:$AW$2007,0),"")</f>
        <v/>
      </c>
      <c r="V229" s="31">
        <f>IF($U229="","",MAX(SUMIFS(매출원본!$AT$8:$AT$2007,매출원본!$AY$8:$AY$2007,$A229,매출원본!$AS$8:$AS$2007,"&gt;="&amp;(설정!$B$5-설정!$B$6),매출원본!$AS$8:$AS$2007,"&lt;="&amp;설정!$B$5),0))</f>
        <v/>
      </c>
      <c r="W229" s="31">
        <f>IF($U229="","",MAX($V229,SUMIFS(매출원본!$AT$8:$AT$2007,매출원본!$AY$8:$AY$2007,$A229,매출원본!$AS$8:$AS$2007,"&gt;="&amp;(설정!$B$5-설정!$B$7),매출원본!$AS$8:$AS$2007,"&lt;="&amp;설정!$B$5)))</f>
        <v/>
      </c>
      <c r="X229" s="31">
        <f>IF($U229="","",MAX($W229,SUMIFS(매출원본!$AT$8:$AT$2007,매출원본!$AY$8:$AY$2007,$A229,매출원본!$AS$8:$AS$2007,"&gt;="&amp;(설정!$B$5-설정!$B$8),매출원본!$AS$8:$AS$2007,"&lt;="&amp;설정!$B$5)))</f>
        <v/>
      </c>
      <c r="AC229" s="31">
        <f>IF(OR($U229="",$T229=""),"",INDEX(거래처설정!$J$8:$J$407,$T229))</f>
        <v/>
      </c>
      <c r="AD229" s="31">
        <f>IF(OR($U229="",$T229=""),"",INDEX(거래처설정!$K$8:$K$407,$T229))</f>
        <v/>
      </c>
      <c r="AE229" s="31">
        <f>IF($U229="","",IF(LEN(SUBSTITUTE(SUBSTITUTE(SUBSTITUTE(SUBSTITUTE(SUBSTITUTE(SUBSTITUTE(SUBSTITUTE(SUBSTITUTE(SUBSTITUTE($C229," ",""),"　",""),"(주)",""),"（주）",""),"㈜",""),"주식회사",""),"(유)",""),"（유）",""),"유한회사",""))&lt;2,"",SUBSTITUTE(SUBSTITUTE(SUBSTITUTE(SUBSTITUTE(SUBSTITUTE(SUBSTITUTE(SUBSTITUTE(SUBSTITUTE(SUBSTITUTE($C229," ",""),"　",""),"(주)",""),"（주）",""),"㈜",""),"주식회사",""),"(유)",""),"（유）",""),"유한회사","")))</f>
        <v/>
      </c>
    </row>
    <row r="230">
      <c r="A230" s="38">
        <f>IF($U230="","",223)</f>
        <v/>
      </c>
      <c r="B230" s="38">
        <f>IF($U230="","",IF(LEN(INDEX(매출원본!$AU$8:$AU$2007,$U230))=10,LEFT(INDEX(매출원본!$AU$8:$AU$2007,$U230),3)&amp;"-"&amp;MID(INDEX(매출원본!$AU$8:$AU$2007,$U230),4,2)&amp;"-"&amp;RIGHT(INDEX(매출원본!$AU$8:$AU$2007,$U230),5),IF(LEFT(INDEX(매출원본!$AU$8:$AU$2007,$U230),2)="N:","(번호 없음)",INDEX(매출원본!$AU$8:$AU$2007,$U230))))</f>
        <v/>
      </c>
      <c r="C230" s="38">
        <f>IF($U230="","",INDEX(매출원본!$AV$8:$AV$2007,$U230))</f>
        <v/>
      </c>
      <c r="D230" s="39">
        <f>IF($U230="","",IF($T230="",0,N(INDEX(거래처설정!$E$8:$E$407,$T230))))</f>
        <v/>
      </c>
      <c r="E230" s="39">
        <f>IF($U230="","",SUMIFS(매출원본!$AT$8:$AT$2007,매출원본!$AY$8:$AY$2007,$A230,매출원본!$AS$8:$AS$2007,"&lt;="&amp;설정!$B$5))</f>
        <v/>
      </c>
      <c r="F230" s="39">
        <f>IF($U230="","",SUMIFS(입금_은행1!$Z$8:$Z$2007,입금_은행1!$AC$8:$AC$2007,$A230,입금_은행1!$Y$8:$Y$2007,"&lt;="&amp;설정!$B$5)+SUMIFS(입금_은행2!$Z$8:$Z$2007,입금_은행2!$AC$8:$AC$2007,$A230,입금_은행2!$Y$8:$Y$2007,"&lt;="&amp;설정!$B$5))</f>
        <v/>
      </c>
      <c r="G230" s="39">
        <f>IF($U230="","",$D230+$E230-$F230)</f>
        <v/>
      </c>
      <c r="H230" s="39">
        <f>IF($U230="","",MIN(MAX($G230,0),$V230))</f>
        <v/>
      </c>
      <c r="I230" s="39">
        <f>IF($U230="","",MIN(MAX($G230,0),$W230)-MIN(MAX($G230,0),$V230))</f>
        <v/>
      </c>
      <c r="J230" s="39">
        <f>IF($U230="","",MIN(MAX($G230,0),$X230)-MIN(MAX($G230,0),$W230))</f>
        <v/>
      </c>
      <c r="K230" s="39">
        <f>IF($U230="","",MAX($G230,0)-MIN(MAX($G230,0),$X230))</f>
        <v/>
      </c>
      <c r="L230" s="40">
        <f>IF($U230="","",IF(MAX(SUMPRODUCT(MAX((입금_은행1!$AC$8:$AC$2007=$A230)*(입금_은행1!$AE$8:$AE$2007&lt;=설정!$B$5)*입금_은행1!$AE$8:$AE$2007)),SUMPRODUCT(MAX((입금_은행2!$AC$8:$AC$2007=$A230)*(입금_은행2!$AE$8:$AE$2007&lt;=설정!$B$5)*입금_은행2!$AE$8:$AE$2007)))=0,"",MAX(SUMPRODUCT(MAX((입금_은행1!$AC$8:$AC$2007=$A230)*(입금_은행1!$AE$8:$AE$2007&lt;=설정!$B$5)*입금_은행1!$AE$8:$AE$2007)),SUMPRODUCT(MAX((입금_은행2!$AC$8:$AC$2007=$A230)*(입금_은행2!$AE$8:$AE$2007&lt;=설정!$B$5)*입금_은행2!$AE$8:$AE$2007)))))</f>
        <v/>
      </c>
      <c r="M230" s="38">
        <f>IF($U230="","",IF($T230="","",IF(INDEX(거래처설정!$F$8:$F$407,$T230)="","",INDEX(거래처설정!$F$8:$F$407,$T230))))</f>
        <v/>
      </c>
      <c r="N230" s="38">
        <f>IF($U230="","",IF($T230="","",IF(INDEX(거래처설정!$G$8:$G$407,$T230)="","",INDEX(거래처설정!$G$8:$G$407,$T230))))</f>
        <v/>
      </c>
      <c r="O230" s="38">
        <f>IF($U230="","",IF($M230="제외",0,IF($K230&gt;=설정!$B$9,3,IF($J230+$K230&gt;=설정!$B$9,2,IF($I230+$J230+$K230&gt;=설정!$B$9,1,0)))))</f>
        <v/>
      </c>
      <c r="P230" s="38">
        <f>IF($U230="","",IF($M230="제외","제외(조치 상태)",IF($O230=3,"③ 강한 독촉 후보 ("&amp;설정!$B$8&amp;"일 초과)",IF($O230=2,"② 독촉 후보 ("&amp;설정!$B$7&amp;"일 초과)",IF($O230=1,"① 안내 후보 ("&amp;설정!$B$6&amp;"일 초과)",IF($G230&gt;0,IF($I230+$J230+$K230&gt;0,"오래된 잔액 있음 (최소 금액 미만)","정상 범위"),IF($G230&lt;0,"선수금·초과입금 — 확인","완납")))))))</f>
        <v/>
      </c>
      <c r="Q230" s="38">
        <f>IF($U230="","",IF($G230&lt;0,"입금이 매출보다 큼 — 선수금이거나 다른 거래처 입금이 섞였는지 확인",IF(AND($AE230&lt;&gt;"",COUNTIF($AE$8:$AE$307,"*"&amp;$AE230&amp;"*")&gt;1),"이름이 다른 거래처와 겹침 — 입금이 잘못 맞았을 수 있으니 별칭 확인",IF(AND($G230&gt;0,$F230=0),"입금 매칭 없음 — 입금자명이 다르면 [거래처설정]에 별칭 등록",""))))</f>
        <v/>
      </c>
      <c r="R230" s="31">
        <f>IF(OR($U230="",$G230&lt;=0),"",$G230-$A230/10000)</f>
        <v/>
      </c>
      <c r="S230" s="31">
        <f>IF(OR($U230="",$O230&lt;1),"",$O230*10^11+$I230+$J230+$K230-$A230/1000)</f>
        <v/>
      </c>
      <c r="T230" s="31">
        <f>IF($U230="","",IFERROR(MATCH(INDEX(매출원본!$AU$8:$AU$2007,$U230),거래처설정!$I$8:$I$407,0),""))</f>
        <v/>
      </c>
      <c r="U230" s="31">
        <f>IFERROR(MATCH(223,매출원본!$AW$8:$AW$2007,0),"")</f>
        <v/>
      </c>
      <c r="V230" s="31">
        <f>IF($U230="","",MAX(SUMIFS(매출원본!$AT$8:$AT$2007,매출원본!$AY$8:$AY$2007,$A230,매출원본!$AS$8:$AS$2007,"&gt;="&amp;(설정!$B$5-설정!$B$6),매출원본!$AS$8:$AS$2007,"&lt;="&amp;설정!$B$5),0))</f>
        <v/>
      </c>
      <c r="W230" s="31">
        <f>IF($U230="","",MAX($V230,SUMIFS(매출원본!$AT$8:$AT$2007,매출원본!$AY$8:$AY$2007,$A230,매출원본!$AS$8:$AS$2007,"&gt;="&amp;(설정!$B$5-설정!$B$7),매출원본!$AS$8:$AS$2007,"&lt;="&amp;설정!$B$5)))</f>
        <v/>
      </c>
      <c r="X230" s="31">
        <f>IF($U230="","",MAX($W230,SUMIFS(매출원본!$AT$8:$AT$2007,매출원본!$AY$8:$AY$2007,$A230,매출원본!$AS$8:$AS$2007,"&gt;="&amp;(설정!$B$5-설정!$B$8),매출원본!$AS$8:$AS$2007,"&lt;="&amp;설정!$B$5)))</f>
        <v/>
      </c>
      <c r="AC230" s="31">
        <f>IF(OR($U230="",$T230=""),"",INDEX(거래처설정!$J$8:$J$407,$T230))</f>
        <v/>
      </c>
      <c r="AD230" s="31">
        <f>IF(OR($U230="",$T230=""),"",INDEX(거래처설정!$K$8:$K$407,$T230))</f>
        <v/>
      </c>
      <c r="AE230" s="31">
        <f>IF($U230="","",IF(LEN(SUBSTITUTE(SUBSTITUTE(SUBSTITUTE(SUBSTITUTE(SUBSTITUTE(SUBSTITUTE(SUBSTITUTE(SUBSTITUTE(SUBSTITUTE($C230," ",""),"　",""),"(주)",""),"（주）",""),"㈜",""),"주식회사",""),"(유)",""),"（유）",""),"유한회사",""))&lt;2,"",SUBSTITUTE(SUBSTITUTE(SUBSTITUTE(SUBSTITUTE(SUBSTITUTE(SUBSTITUTE(SUBSTITUTE(SUBSTITUTE(SUBSTITUTE($C230," ",""),"　",""),"(주)",""),"（주）",""),"㈜",""),"주식회사",""),"(유)",""),"（유）",""),"유한회사","")))</f>
        <v/>
      </c>
    </row>
    <row r="231">
      <c r="A231" s="38">
        <f>IF($U231="","",224)</f>
        <v/>
      </c>
      <c r="B231" s="38">
        <f>IF($U231="","",IF(LEN(INDEX(매출원본!$AU$8:$AU$2007,$U231))=10,LEFT(INDEX(매출원본!$AU$8:$AU$2007,$U231),3)&amp;"-"&amp;MID(INDEX(매출원본!$AU$8:$AU$2007,$U231),4,2)&amp;"-"&amp;RIGHT(INDEX(매출원본!$AU$8:$AU$2007,$U231),5),IF(LEFT(INDEX(매출원본!$AU$8:$AU$2007,$U231),2)="N:","(번호 없음)",INDEX(매출원본!$AU$8:$AU$2007,$U231))))</f>
        <v/>
      </c>
      <c r="C231" s="38">
        <f>IF($U231="","",INDEX(매출원본!$AV$8:$AV$2007,$U231))</f>
        <v/>
      </c>
      <c r="D231" s="39">
        <f>IF($U231="","",IF($T231="",0,N(INDEX(거래처설정!$E$8:$E$407,$T231))))</f>
        <v/>
      </c>
      <c r="E231" s="39">
        <f>IF($U231="","",SUMIFS(매출원본!$AT$8:$AT$2007,매출원본!$AY$8:$AY$2007,$A231,매출원본!$AS$8:$AS$2007,"&lt;="&amp;설정!$B$5))</f>
        <v/>
      </c>
      <c r="F231" s="39">
        <f>IF($U231="","",SUMIFS(입금_은행1!$Z$8:$Z$2007,입금_은행1!$AC$8:$AC$2007,$A231,입금_은행1!$Y$8:$Y$2007,"&lt;="&amp;설정!$B$5)+SUMIFS(입금_은행2!$Z$8:$Z$2007,입금_은행2!$AC$8:$AC$2007,$A231,입금_은행2!$Y$8:$Y$2007,"&lt;="&amp;설정!$B$5))</f>
        <v/>
      </c>
      <c r="G231" s="39">
        <f>IF($U231="","",$D231+$E231-$F231)</f>
        <v/>
      </c>
      <c r="H231" s="39">
        <f>IF($U231="","",MIN(MAX($G231,0),$V231))</f>
        <v/>
      </c>
      <c r="I231" s="39">
        <f>IF($U231="","",MIN(MAX($G231,0),$W231)-MIN(MAX($G231,0),$V231))</f>
        <v/>
      </c>
      <c r="J231" s="39">
        <f>IF($U231="","",MIN(MAX($G231,0),$X231)-MIN(MAX($G231,0),$W231))</f>
        <v/>
      </c>
      <c r="K231" s="39">
        <f>IF($U231="","",MAX($G231,0)-MIN(MAX($G231,0),$X231))</f>
        <v/>
      </c>
      <c r="L231" s="40">
        <f>IF($U231="","",IF(MAX(SUMPRODUCT(MAX((입금_은행1!$AC$8:$AC$2007=$A231)*(입금_은행1!$AE$8:$AE$2007&lt;=설정!$B$5)*입금_은행1!$AE$8:$AE$2007)),SUMPRODUCT(MAX((입금_은행2!$AC$8:$AC$2007=$A231)*(입금_은행2!$AE$8:$AE$2007&lt;=설정!$B$5)*입금_은행2!$AE$8:$AE$2007)))=0,"",MAX(SUMPRODUCT(MAX((입금_은행1!$AC$8:$AC$2007=$A231)*(입금_은행1!$AE$8:$AE$2007&lt;=설정!$B$5)*입금_은행1!$AE$8:$AE$2007)),SUMPRODUCT(MAX((입금_은행2!$AC$8:$AC$2007=$A231)*(입금_은행2!$AE$8:$AE$2007&lt;=설정!$B$5)*입금_은행2!$AE$8:$AE$2007)))))</f>
        <v/>
      </c>
      <c r="M231" s="38">
        <f>IF($U231="","",IF($T231="","",IF(INDEX(거래처설정!$F$8:$F$407,$T231)="","",INDEX(거래처설정!$F$8:$F$407,$T231))))</f>
        <v/>
      </c>
      <c r="N231" s="38">
        <f>IF($U231="","",IF($T231="","",IF(INDEX(거래처설정!$G$8:$G$407,$T231)="","",INDEX(거래처설정!$G$8:$G$407,$T231))))</f>
        <v/>
      </c>
      <c r="O231" s="38">
        <f>IF($U231="","",IF($M231="제외",0,IF($K231&gt;=설정!$B$9,3,IF($J231+$K231&gt;=설정!$B$9,2,IF($I231+$J231+$K231&gt;=설정!$B$9,1,0)))))</f>
        <v/>
      </c>
      <c r="P231" s="38">
        <f>IF($U231="","",IF($M231="제외","제외(조치 상태)",IF($O231=3,"③ 강한 독촉 후보 ("&amp;설정!$B$8&amp;"일 초과)",IF($O231=2,"② 독촉 후보 ("&amp;설정!$B$7&amp;"일 초과)",IF($O231=1,"① 안내 후보 ("&amp;설정!$B$6&amp;"일 초과)",IF($G231&gt;0,IF($I231+$J231+$K231&gt;0,"오래된 잔액 있음 (최소 금액 미만)","정상 범위"),IF($G231&lt;0,"선수금·초과입금 — 확인","완납")))))))</f>
        <v/>
      </c>
      <c r="Q231" s="38">
        <f>IF($U231="","",IF($G231&lt;0,"입금이 매출보다 큼 — 선수금이거나 다른 거래처 입금이 섞였는지 확인",IF(AND($AE231&lt;&gt;"",COUNTIF($AE$8:$AE$307,"*"&amp;$AE231&amp;"*")&gt;1),"이름이 다른 거래처와 겹침 — 입금이 잘못 맞았을 수 있으니 별칭 확인",IF(AND($G231&gt;0,$F231=0),"입금 매칭 없음 — 입금자명이 다르면 [거래처설정]에 별칭 등록",""))))</f>
        <v/>
      </c>
      <c r="R231" s="31">
        <f>IF(OR($U231="",$G231&lt;=0),"",$G231-$A231/10000)</f>
        <v/>
      </c>
      <c r="S231" s="31">
        <f>IF(OR($U231="",$O231&lt;1),"",$O231*10^11+$I231+$J231+$K231-$A231/1000)</f>
        <v/>
      </c>
      <c r="T231" s="31">
        <f>IF($U231="","",IFERROR(MATCH(INDEX(매출원본!$AU$8:$AU$2007,$U231),거래처설정!$I$8:$I$407,0),""))</f>
        <v/>
      </c>
      <c r="U231" s="31">
        <f>IFERROR(MATCH(224,매출원본!$AW$8:$AW$2007,0),"")</f>
        <v/>
      </c>
      <c r="V231" s="31">
        <f>IF($U231="","",MAX(SUMIFS(매출원본!$AT$8:$AT$2007,매출원본!$AY$8:$AY$2007,$A231,매출원본!$AS$8:$AS$2007,"&gt;="&amp;(설정!$B$5-설정!$B$6),매출원본!$AS$8:$AS$2007,"&lt;="&amp;설정!$B$5),0))</f>
        <v/>
      </c>
      <c r="W231" s="31">
        <f>IF($U231="","",MAX($V231,SUMIFS(매출원본!$AT$8:$AT$2007,매출원본!$AY$8:$AY$2007,$A231,매출원본!$AS$8:$AS$2007,"&gt;="&amp;(설정!$B$5-설정!$B$7),매출원본!$AS$8:$AS$2007,"&lt;="&amp;설정!$B$5)))</f>
        <v/>
      </c>
      <c r="X231" s="31">
        <f>IF($U231="","",MAX($W231,SUMIFS(매출원본!$AT$8:$AT$2007,매출원본!$AY$8:$AY$2007,$A231,매출원본!$AS$8:$AS$2007,"&gt;="&amp;(설정!$B$5-설정!$B$8),매출원본!$AS$8:$AS$2007,"&lt;="&amp;설정!$B$5)))</f>
        <v/>
      </c>
      <c r="AC231" s="31">
        <f>IF(OR($U231="",$T231=""),"",INDEX(거래처설정!$J$8:$J$407,$T231))</f>
        <v/>
      </c>
      <c r="AD231" s="31">
        <f>IF(OR($U231="",$T231=""),"",INDEX(거래처설정!$K$8:$K$407,$T231))</f>
        <v/>
      </c>
      <c r="AE231" s="31">
        <f>IF($U231="","",IF(LEN(SUBSTITUTE(SUBSTITUTE(SUBSTITUTE(SUBSTITUTE(SUBSTITUTE(SUBSTITUTE(SUBSTITUTE(SUBSTITUTE(SUBSTITUTE($C231," ",""),"　",""),"(주)",""),"（주）",""),"㈜",""),"주식회사",""),"(유)",""),"（유）",""),"유한회사",""))&lt;2,"",SUBSTITUTE(SUBSTITUTE(SUBSTITUTE(SUBSTITUTE(SUBSTITUTE(SUBSTITUTE(SUBSTITUTE(SUBSTITUTE(SUBSTITUTE($C231," ",""),"　",""),"(주)",""),"（주）",""),"㈜",""),"주식회사",""),"(유)",""),"（유）",""),"유한회사","")))</f>
        <v/>
      </c>
    </row>
    <row r="232">
      <c r="A232" s="38">
        <f>IF($U232="","",225)</f>
        <v/>
      </c>
      <c r="B232" s="38">
        <f>IF($U232="","",IF(LEN(INDEX(매출원본!$AU$8:$AU$2007,$U232))=10,LEFT(INDEX(매출원본!$AU$8:$AU$2007,$U232),3)&amp;"-"&amp;MID(INDEX(매출원본!$AU$8:$AU$2007,$U232),4,2)&amp;"-"&amp;RIGHT(INDEX(매출원본!$AU$8:$AU$2007,$U232),5),IF(LEFT(INDEX(매출원본!$AU$8:$AU$2007,$U232),2)="N:","(번호 없음)",INDEX(매출원본!$AU$8:$AU$2007,$U232))))</f>
        <v/>
      </c>
      <c r="C232" s="38">
        <f>IF($U232="","",INDEX(매출원본!$AV$8:$AV$2007,$U232))</f>
        <v/>
      </c>
      <c r="D232" s="39">
        <f>IF($U232="","",IF($T232="",0,N(INDEX(거래처설정!$E$8:$E$407,$T232))))</f>
        <v/>
      </c>
      <c r="E232" s="39">
        <f>IF($U232="","",SUMIFS(매출원본!$AT$8:$AT$2007,매출원본!$AY$8:$AY$2007,$A232,매출원본!$AS$8:$AS$2007,"&lt;="&amp;설정!$B$5))</f>
        <v/>
      </c>
      <c r="F232" s="39">
        <f>IF($U232="","",SUMIFS(입금_은행1!$Z$8:$Z$2007,입금_은행1!$AC$8:$AC$2007,$A232,입금_은행1!$Y$8:$Y$2007,"&lt;="&amp;설정!$B$5)+SUMIFS(입금_은행2!$Z$8:$Z$2007,입금_은행2!$AC$8:$AC$2007,$A232,입금_은행2!$Y$8:$Y$2007,"&lt;="&amp;설정!$B$5))</f>
        <v/>
      </c>
      <c r="G232" s="39">
        <f>IF($U232="","",$D232+$E232-$F232)</f>
        <v/>
      </c>
      <c r="H232" s="39">
        <f>IF($U232="","",MIN(MAX($G232,0),$V232))</f>
        <v/>
      </c>
      <c r="I232" s="39">
        <f>IF($U232="","",MIN(MAX($G232,0),$W232)-MIN(MAX($G232,0),$V232))</f>
        <v/>
      </c>
      <c r="J232" s="39">
        <f>IF($U232="","",MIN(MAX($G232,0),$X232)-MIN(MAX($G232,0),$W232))</f>
        <v/>
      </c>
      <c r="K232" s="39">
        <f>IF($U232="","",MAX($G232,0)-MIN(MAX($G232,0),$X232))</f>
        <v/>
      </c>
      <c r="L232" s="40">
        <f>IF($U232="","",IF(MAX(SUMPRODUCT(MAX((입금_은행1!$AC$8:$AC$2007=$A232)*(입금_은행1!$AE$8:$AE$2007&lt;=설정!$B$5)*입금_은행1!$AE$8:$AE$2007)),SUMPRODUCT(MAX((입금_은행2!$AC$8:$AC$2007=$A232)*(입금_은행2!$AE$8:$AE$2007&lt;=설정!$B$5)*입금_은행2!$AE$8:$AE$2007)))=0,"",MAX(SUMPRODUCT(MAX((입금_은행1!$AC$8:$AC$2007=$A232)*(입금_은행1!$AE$8:$AE$2007&lt;=설정!$B$5)*입금_은행1!$AE$8:$AE$2007)),SUMPRODUCT(MAX((입금_은행2!$AC$8:$AC$2007=$A232)*(입금_은행2!$AE$8:$AE$2007&lt;=설정!$B$5)*입금_은행2!$AE$8:$AE$2007)))))</f>
        <v/>
      </c>
      <c r="M232" s="38">
        <f>IF($U232="","",IF($T232="","",IF(INDEX(거래처설정!$F$8:$F$407,$T232)="","",INDEX(거래처설정!$F$8:$F$407,$T232))))</f>
        <v/>
      </c>
      <c r="N232" s="38">
        <f>IF($U232="","",IF($T232="","",IF(INDEX(거래처설정!$G$8:$G$407,$T232)="","",INDEX(거래처설정!$G$8:$G$407,$T232))))</f>
        <v/>
      </c>
      <c r="O232" s="38">
        <f>IF($U232="","",IF($M232="제외",0,IF($K232&gt;=설정!$B$9,3,IF($J232+$K232&gt;=설정!$B$9,2,IF($I232+$J232+$K232&gt;=설정!$B$9,1,0)))))</f>
        <v/>
      </c>
      <c r="P232" s="38">
        <f>IF($U232="","",IF($M232="제외","제외(조치 상태)",IF($O232=3,"③ 강한 독촉 후보 ("&amp;설정!$B$8&amp;"일 초과)",IF($O232=2,"② 독촉 후보 ("&amp;설정!$B$7&amp;"일 초과)",IF($O232=1,"① 안내 후보 ("&amp;설정!$B$6&amp;"일 초과)",IF($G232&gt;0,IF($I232+$J232+$K232&gt;0,"오래된 잔액 있음 (최소 금액 미만)","정상 범위"),IF($G232&lt;0,"선수금·초과입금 — 확인","완납")))))))</f>
        <v/>
      </c>
      <c r="Q232" s="38">
        <f>IF($U232="","",IF($G232&lt;0,"입금이 매출보다 큼 — 선수금이거나 다른 거래처 입금이 섞였는지 확인",IF(AND($AE232&lt;&gt;"",COUNTIF($AE$8:$AE$307,"*"&amp;$AE232&amp;"*")&gt;1),"이름이 다른 거래처와 겹침 — 입금이 잘못 맞았을 수 있으니 별칭 확인",IF(AND($G232&gt;0,$F232=0),"입금 매칭 없음 — 입금자명이 다르면 [거래처설정]에 별칭 등록",""))))</f>
        <v/>
      </c>
      <c r="R232" s="31">
        <f>IF(OR($U232="",$G232&lt;=0),"",$G232-$A232/10000)</f>
        <v/>
      </c>
      <c r="S232" s="31">
        <f>IF(OR($U232="",$O232&lt;1),"",$O232*10^11+$I232+$J232+$K232-$A232/1000)</f>
        <v/>
      </c>
      <c r="T232" s="31">
        <f>IF($U232="","",IFERROR(MATCH(INDEX(매출원본!$AU$8:$AU$2007,$U232),거래처설정!$I$8:$I$407,0),""))</f>
        <v/>
      </c>
      <c r="U232" s="31">
        <f>IFERROR(MATCH(225,매출원본!$AW$8:$AW$2007,0),"")</f>
        <v/>
      </c>
      <c r="V232" s="31">
        <f>IF($U232="","",MAX(SUMIFS(매출원본!$AT$8:$AT$2007,매출원본!$AY$8:$AY$2007,$A232,매출원본!$AS$8:$AS$2007,"&gt;="&amp;(설정!$B$5-설정!$B$6),매출원본!$AS$8:$AS$2007,"&lt;="&amp;설정!$B$5),0))</f>
        <v/>
      </c>
      <c r="W232" s="31">
        <f>IF($U232="","",MAX($V232,SUMIFS(매출원본!$AT$8:$AT$2007,매출원본!$AY$8:$AY$2007,$A232,매출원본!$AS$8:$AS$2007,"&gt;="&amp;(설정!$B$5-설정!$B$7),매출원본!$AS$8:$AS$2007,"&lt;="&amp;설정!$B$5)))</f>
        <v/>
      </c>
      <c r="X232" s="31">
        <f>IF($U232="","",MAX($W232,SUMIFS(매출원본!$AT$8:$AT$2007,매출원본!$AY$8:$AY$2007,$A232,매출원본!$AS$8:$AS$2007,"&gt;="&amp;(설정!$B$5-설정!$B$8),매출원본!$AS$8:$AS$2007,"&lt;="&amp;설정!$B$5)))</f>
        <v/>
      </c>
      <c r="AC232" s="31">
        <f>IF(OR($U232="",$T232=""),"",INDEX(거래처설정!$J$8:$J$407,$T232))</f>
        <v/>
      </c>
      <c r="AD232" s="31">
        <f>IF(OR($U232="",$T232=""),"",INDEX(거래처설정!$K$8:$K$407,$T232))</f>
        <v/>
      </c>
      <c r="AE232" s="31">
        <f>IF($U232="","",IF(LEN(SUBSTITUTE(SUBSTITUTE(SUBSTITUTE(SUBSTITUTE(SUBSTITUTE(SUBSTITUTE(SUBSTITUTE(SUBSTITUTE(SUBSTITUTE($C232," ",""),"　",""),"(주)",""),"（주）",""),"㈜",""),"주식회사",""),"(유)",""),"（유）",""),"유한회사",""))&lt;2,"",SUBSTITUTE(SUBSTITUTE(SUBSTITUTE(SUBSTITUTE(SUBSTITUTE(SUBSTITUTE(SUBSTITUTE(SUBSTITUTE(SUBSTITUTE($C232," ",""),"　",""),"(주)",""),"（주）",""),"㈜",""),"주식회사",""),"(유)",""),"（유）",""),"유한회사","")))</f>
        <v/>
      </c>
    </row>
    <row r="233">
      <c r="A233" s="38">
        <f>IF($U233="","",226)</f>
        <v/>
      </c>
      <c r="B233" s="38">
        <f>IF($U233="","",IF(LEN(INDEX(매출원본!$AU$8:$AU$2007,$U233))=10,LEFT(INDEX(매출원본!$AU$8:$AU$2007,$U233),3)&amp;"-"&amp;MID(INDEX(매출원본!$AU$8:$AU$2007,$U233),4,2)&amp;"-"&amp;RIGHT(INDEX(매출원본!$AU$8:$AU$2007,$U233),5),IF(LEFT(INDEX(매출원본!$AU$8:$AU$2007,$U233),2)="N:","(번호 없음)",INDEX(매출원본!$AU$8:$AU$2007,$U233))))</f>
        <v/>
      </c>
      <c r="C233" s="38">
        <f>IF($U233="","",INDEX(매출원본!$AV$8:$AV$2007,$U233))</f>
        <v/>
      </c>
      <c r="D233" s="39">
        <f>IF($U233="","",IF($T233="",0,N(INDEX(거래처설정!$E$8:$E$407,$T233))))</f>
        <v/>
      </c>
      <c r="E233" s="39">
        <f>IF($U233="","",SUMIFS(매출원본!$AT$8:$AT$2007,매출원본!$AY$8:$AY$2007,$A233,매출원본!$AS$8:$AS$2007,"&lt;="&amp;설정!$B$5))</f>
        <v/>
      </c>
      <c r="F233" s="39">
        <f>IF($U233="","",SUMIFS(입금_은행1!$Z$8:$Z$2007,입금_은행1!$AC$8:$AC$2007,$A233,입금_은행1!$Y$8:$Y$2007,"&lt;="&amp;설정!$B$5)+SUMIFS(입금_은행2!$Z$8:$Z$2007,입금_은행2!$AC$8:$AC$2007,$A233,입금_은행2!$Y$8:$Y$2007,"&lt;="&amp;설정!$B$5))</f>
        <v/>
      </c>
      <c r="G233" s="39">
        <f>IF($U233="","",$D233+$E233-$F233)</f>
        <v/>
      </c>
      <c r="H233" s="39">
        <f>IF($U233="","",MIN(MAX($G233,0),$V233))</f>
        <v/>
      </c>
      <c r="I233" s="39">
        <f>IF($U233="","",MIN(MAX($G233,0),$W233)-MIN(MAX($G233,0),$V233))</f>
        <v/>
      </c>
      <c r="J233" s="39">
        <f>IF($U233="","",MIN(MAX($G233,0),$X233)-MIN(MAX($G233,0),$W233))</f>
        <v/>
      </c>
      <c r="K233" s="39">
        <f>IF($U233="","",MAX($G233,0)-MIN(MAX($G233,0),$X233))</f>
        <v/>
      </c>
      <c r="L233" s="40">
        <f>IF($U233="","",IF(MAX(SUMPRODUCT(MAX((입금_은행1!$AC$8:$AC$2007=$A233)*(입금_은행1!$AE$8:$AE$2007&lt;=설정!$B$5)*입금_은행1!$AE$8:$AE$2007)),SUMPRODUCT(MAX((입금_은행2!$AC$8:$AC$2007=$A233)*(입금_은행2!$AE$8:$AE$2007&lt;=설정!$B$5)*입금_은행2!$AE$8:$AE$2007)))=0,"",MAX(SUMPRODUCT(MAX((입금_은행1!$AC$8:$AC$2007=$A233)*(입금_은행1!$AE$8:$AE$2007&lt;=설정!$B$5)*입금_은행1!$AE$8:$AE$2007)),SUMPRODUCT(MAX((입금_은행2!$AC$8:$AC$2007=$A233)*(입금_은행2!$AE$8:$AE$2007&lt;=설정!$B$5)*입금_은행2!$AE$8:$AE$2007)))))</f>
        <v/>
      </c>
      <c r="M233" s="38">
        <f>IF($U233="","",IF($T233="","",IF(INDEX(거래처설정!$F$8:$F$407,$T233)="","",INDEX(거래처설정!$F$8:$F$407,$T233))))</f>
        <v/>
      </c>
      <c r="N233" s="38">
        <f>IF($U233="","",IF($T233="","",IF(INDEX(거래처설정!$G$8:$G$407,$T233)="","",INDEX(거래처설정!$G$8:$G$407,$T233))))</f>
        <v/>
      </c>
      <c r="O233" s="38">
        <f>IF($U233="","",IF($M233="제외",0,IF($K233&gt;=설정!$B$9,3,IF($J233+$K233&gt;=설정!$B$9,2,IF($I233+$J233+$K233&gt;=설정!$B$9,1,0)))))</f>
        <v/>
      </c>
      <c r="P233" s="38">
        <f>IF($U233="","",IF($M233="제외","제외(조치 상태)",IF($O233=3,"③ 강한 독촉 후보 ("&amp;설정!$B$8&amp;"일 초과)",IF($O233=2,"② 독촉 후보 ("&amp;설정!$B$7&amp;"일 초과)",IF($O233=1,"① 안내 후보 ("&amp;설정!$B$6&amp;"일 초과)",IF($G233&gt;0,IF($I233+$J233+$K233&gt;0,"오래된 잔액 있음 (최소 금액 미만)","정상 범위"),IF($G233&lt;0,"선수금·초과입금 — 확인","완납")))))))</f>
        <v/>
      </c>
      <c r="Q233" s="38">
        <f>IF($U233="","",IF($G233&lt;0,"입금이 매출보다 큼 — 선수금이거나 다른 거래처 입금이 섞였는지 확인",IF(AND($AE233&lt;&gt;"",COUNTIF($AE$8:$AE$307,"*"&amp;$AE233&amp;"*")&gt;1),"이름이 다른 거래처와 겹침 — 입금이 잘못 맞았을 수 있으니 별칭 확인",IF(AND($G233&gt;0,$F233=0),"입금 매칭 없음 — 입금자명이 다르면 [거래처설정]에 별칭 등록",""))))</f>
        <v/>
      </c>
      <c r="R233" s="31">
        <f>IF(OR($U233="",$G233&lt;=0),"",$G233-$A233/10000)</f>
        <v/>
      </c>
      <c r="S233" s="31">
        <f>IF(OR($U233="",$O233&lt;1),"",$O233*10^11+$I233+$J233+$K233-$A233/1000)</f>
        <v/>
      </c>
      <c r="T233" s="31">
        <f>IF($U233="","",IFERROR(MATCH(INDEX(매출원본!$AU$8:$AU$2007,$U233),거래처설정!$I$8:$I$407,0),""))</f>
        <v/>
      </c>
      <c r="U233" s="31">
        <f>IFERROR(MATCH(226,매출원본!$AW$8:$AW$2007,0),"")</f>
        <v/>
      </c>
      <c r="V233" s="31">
        <f>IF($U233="","",MAX(SUMIFS(매출원본!$AT$8:$AT$2007,매출원본!$AY$8:$AY$2007,$A233,매출원본!$AS$8:$AS$2007,"&gt;="&amp;(설정!$B$5-설정!$B$6),매출원본!$AS$8:$AS$2007,"&lt;="&amp;설정!$B$5),0))</f>
        <v/>
      </c>
      <c r="W233" s="31">
        <f>IF($U233="","",MAX($V233,SUMIFS(매출원본!$AT$8:$AT$2007,매출원본!$AY$8:$AY$2007,$A233,매출원본!$AS$8:$AS$2007,"&gt;="&amp;(설정!$B$5-설정!$B$7),매출원본!$AS$8:$AS$2007,"&lt;="&amp;설정!$B$5)))</f>
        <v/>
      </c>
      <c r="X233" s="31">
        <f>IF($U233="","",MAX($W233,SUMIFS(매출원본!$AT$8:$AT$2007,매출원본!$AY$8:$AY$2007,$A233,매출원본!$AS$8:$AS$2007,"&gt;="&amp;(설정!$B$5-설정!$B$8),매출원본!$AS$8:$AS$2007,"&lt;="&amp;설정!$B$5)))</f>
        <v/>
      </c>
      <c r="AC233" s="31">
        <f>IF(OR($U233="",$T233=""),"",INDEX(거래처설정!$J$8:$J$407,$T233))</f>
        <v/>
      </c>
      <c r="AD233" s="31">
        <f>IF(OR($U233="",$T233=""),"",INDEX(거래처설정!$K$8:$K$407,$T233))</f>
        <v/>
      </c>
      <c r="AE233" s="31">
        <f>IF($U233="","",IF(LEN(SUBSTITUTE(SUBSTITUTE(SUBSTITUTE(SUBSTITUTE(SUBSTITUTE(SUBSTITUTE(SUBSTITUTE(SUBSTITUTE(SUBSTITUTE($C233," ",""),"　",""),"(주)",""),"（주）",""),"㈜",""),"주식회사",""),"(유)",""),"（유）",""),"유한회사",""))&lt;2,"",SUBSTITUTE(SUBSTITUTE(SUBSTITUTE(SUBSTITUTE(SUBSTITUTE(SUBSTITUTE(SUBSTITUTE(SUBSTITUTE(SUBSTITUTE($C233," ",""),"　",""),"(주)",""),"（주）",""),"㈜",""),"주식회사",""),"(유)",""),"（유）",""),"유한회사","")))</f>
        <v/>
      </c>
    </row>
    <row r="234">
      <c r="A234" s="38">
        <f>IF($U234="","",227)</f>
        <v/>
      </c>
      <c r="B234" s="38">
        <f>IF($U234="","",IF(LEN(INDEX(매출원본!$AU$8:$AU$2007,$U234))=10,LEFT(INDEX(매출원본!$AU$8:$AU$2007,$U234),3)&amp;"-"&amp;MID(INDEX(매출원본!$AU$8:$AU$2007,$U234),4,2)&amp;"-"&amp;RIGHT(INDEX(매출원본!$AU$8:$AU$2007,$U234),5),IF(LEFT(INDEX(매출원본!$AU$8:$AU$2007,$U234),2)="N:","(번호 없음)",INDEX(매출원본!$AU$8:$AU$2007,$U234))))</f>
        <v/>
      </c>
      <c r="C234" s="38">
        <f>IF($U234="","",INDEX(매출원본!$AV$8:$AV$2007,$U234))</f>
        <v/>
      </c>
      <c r="D234" s="39">
        <f>IF($U234="","",IF($T234="",0,N(INDEX(거래처설정!$E$8:$E$407,$T234))))</f>
        <v/>
      </c>
      <c r="E234" s="39">
        <f>IF($U234="","",SUMIFS(매출원본!$AT$8:$AT$2007,매출원본!$AY$8:$AY$2007,$A234,매출원본!$AS$8:$AS$2007,"&lt;="&amp;설정!$B$5))</f>
        <v/>
      </c>
      <c r="F234" s="39">
        <f>IF($U234="","",SUMIFS(입금_은행1!$Z$8:$Z$2007,입금_은행1!$AC$8:$AC$2007,$A234,입금_은행1!$Y$8:$Y$2007,"&lt;="&amp;설정!$B$5)+SUMIFS(입금_은행2!$Z$8:$Z$2007,입금_은행2!$AC$8:$AC$2007,$A234,입금_은행2!$Y$8:$Y$2007,"&lt;="&amp;설정!$B$5))</f>
        <v/>
      </c>
      <c r="G234" s="39">
        <f>IF($U234="","",$D234+$E234-$F234)</f>
        <v/>
      </c>
      <c r="H234" s="39">
        <f>IF($U234="","",MIN(MAX($G234,0),$V234))</f>
        <v/>
      </c>
      <c r="I234" s="39">
        <f>IF($U234="","",MIN(MAX($G234,0),$W234)-MIN(MAX($G234,0),$V234))</f>
        <v/>
      </c>
      <c r="J234" s="39">
        <f>IF($U234="","",MIN(MAX($G234,0),$X234)-MIN(MAX($G234,0),$W234))</f>
        <v/>
      </c>
      <c r="K234" s="39">
        <f>IF($U234="","",MAX($G234,0)-MIN(MAX($G234,0),$X234))</f>
        <v/>
      </c>
      <c r="L234" s="40">
        <f>IF($U234="","",IF(MAX(SUMPRODUCT(MAX((입금_은행1!$AC$8:$AC$2007=$A234)*(입금_은행1!$AE$8:$AE$2007&lt;=설정!$B$5)*입금_은행1!$AE$8:$AE$2007)),SUMPRODUCT(MAX((입금_은행2!$AC$8:$AC$2007=$A234)*(입금_은행2!$AE$8:$AE$2007&lt;=설정!$B$5)*입금_은행2!$AE$8:$AE$2007)))=0,"",MAX(SUMPRODUCT(MAX((입금_은행1!$AC$8:$AC$2007=$A234)*(입금_은행1!$AE$8:$AE$2007&lt;=설정!$B$5)*입금_은행1!$AE$8:$AE$2007)),SUMPRODUCT(MAX((입금_은행2!$AC$8:$AC$2007=$A234)*(입금_은행2!$AE$8:$AE$2007&lt;=설정!$B$5)*입금_은행2!$AE$8:$AE$2007)))))</f>
        <v/>
      </c>
      <c r="M234" s="38">
        <f>IF($U234="","",IF($T234="","",IF(INDEX(거래처설정!$F$8:$F$407,$T234)="","",INDEX(거래처설정!$F$8:$F$407,$T234))))</f>
        <v/>
      </c>
      <c r="N234" s="38">
        <f>IF($U234="","",IF($T234="","",IF(INDEX(거래처설정!$G$8:$G$407,$T234)="","",INDEX(거래처설정!$G$8:$G$407,$T234))))</f>
        <v/>
      </c>
      <c r="O234" s="38">
        <f>IF($U234="","",IF($M234="제외",0,IF($K234&gt;=설정!$B$9,3,IF($J234+$K234&gt;=설정!$B$9,2,IF($I234+$J234+$K234&gt;=설정!$B$9,1,0)))))</f>
        <v/>
      </c>
      <c r="P234" s="38">
        <f>IF($U234="","",IF($M234="제외","제외(조치 상태)",IF($O234=3,"③ 강한 독촉 후보 ("&amp;설정!$B$8&amp;"일 초과)",IF($O234=2,"② 독촉 후보 ("&amp;설정!$B$7&amp;"일 초과)",IF($O234=1,"① 안내 후보 ("&amp;설정!$B$6&amp;"일 초과)",IF($G234&gt;0,IF($I234+$J234+$K234&gt;0,"오래된 잔액 있음 (최소 금액 미만)","정상 범위"),IF($G234&lt;0,"선수금·초과입금 — 확인","완납")))))))</f>
        <v/>
      </c>
      <c r="Q234" s="38">
        <f>IF($U234="","",IF($G234&lt;0,"입금이 매출보다 큼 — 선수금이거나 다른 거래처 입금이 섞였는지 확인",IF(AND($AE234&lt;&gt;"",COUNTIF($AE$8:$AE$307,"*"&amp;$AE234&amp;"*")&gt;1),"이름이 다른 거래처와 겹침 — 입금이 잘못 맞았을 수 있으니 별칭 확인",IF(AND($G234&gt;0,$F234=0),"입금 매칭 없음 — 입금자명이 다르면 [거래처설정]에 별칭 등록",""))))</f>
        <v/>
      </c>
      <c r="R234" s="31">
        <f>IF(OR($U234="",$G234&lt;=0),"",$G234-$A234/10000)</f>
        <v/>
      </c>
      <c r="S234" s="31">
        <f>IF(OR($U234="",$O234&lt;1),"",$O234*10^11+$I234+$J234+$K234-$A234/1000)</f>
        <v/>
      </c>
      <c r="T234" s="31">
        <f>IF($U234="","",IFERROR(MATCH(INDEX(매출원본!$AU$8:$AU$2007,$U234),거래처설정!$I$8:$I$407,0),""))</f>
        <v/>
      </c>
      <c r="U234" s="31">
        <f>IFERROR(MATCH(227,매출원본!$AW$8:$AW$2007,0),"")</f>
        <v/>
      </c>
      <c r="V234" s="31">
        <f>IF($U234="","",MAX(SUMIFS(매출원본!$AT$8:$AT$2007,매출원본!$AY$8:$AY$2007,$A234,매출원본!$AS$8:$AS$2007,"&gt;="&amp;(설정!$B$5-설정!$B$6),매출원본!$AS$8:$AS$2007,"&lt;="&amp;설정!$B$5),0))</f>
        <v/>
      </c>
      <c r="W234" s="31">
        <f>IF($U234="","",MAX($V234,SUMIFS(매출원본!$AT$8:$AT$2007,매출원본!$AY$8:$AY$2007,$A234,매출원본!$AS$8:$AS$2007,"&gt;="&amp;(설정!$B$5-설정!$B$7),매출원본!$AS$8:$AS$2007,"&lt;="&amp;설정!$B$5)))</f>
        <v/>
      </c>
      <c r="X234" s="31">
        <f>IF($U234="","",MAX($W234,SUMIFS(매출원본!$AT$8:$AT$2007,매출원본!$AY$8:$AY$2007,$A234,매출원본!$AS$8:$AS$2007,"&gt;="&amp;(설정!$B$5-설정!$B$8),매출원본!$AS$8:$AS$2007,"&lt;="&amp;설정!$B$5)))</f>
        <v/>
      </c>
      <c r="AC234" s="31">
        <f>IF(OR($U234="",$T234=""),"",INDEX(거래처설정!$J$8:$J$407,$T234))</f>
        <v/>
      </c>
      <c r="AD234" s="31">
        <f>IF(OR($U234="",$T234=""),"",INDEX(거래처설정!$K$8:$K$407,$T234))</f>
        <v/>
      </c>
      <c r="AE234" s="31">
        <f>IF($U234="","",IF(LEN(SUBSTITUTE(SUBSTITUTE(SUBSTITUTE(SUBSTITUTE(SUBSTITUTE(SUBSTITUTE(SUBSTITUTE(SUBSTITUTE(SUBSTITUTE($C234," ",""),"　",""),"(주)",""),"（주）",""),"㈜",""),"주식회사",""),"(유)",""),"（유）",""),"유한회사",""))&lt;2,"",SUBSTITUTE(SUBSTITUTE(SUBSTITUTE(SUBSTITUTE(SUBSTITUTE(SUBSTITUTE(SUBSTITUTE(SUBSTITUTE(SUBSTITUTE($C234," ",""),"　",""),"(주)",""),"（주）",""),"㈜",""),"주식회사",""),"(유)",""),"（유）",""),"유한회사","")))</f>
        <v/>
      </c>
    </row>
    <row r="235">
      <c r="A235" s="38">
        <f>IF($U235="","",228)</f>
        <v/>
      </c>
      <c r="B235" s="38">
        <f>IF($U235="","",IF(LEN(INDEX(매출원본!$AU$8:$AU$2007,$U235))=10,LEFT(INDEX(매출원본!$AU$8:$AU$2007,$U235),3)&amp;"-"&amp;MID(INDEX(매출원본!$AU$8:$AU$2007,$U235),4,2)&amp;"-"&amp;RIGHT(INDEX(매출원본!$AU$8:$AU$2007,$U235),5),IF(LEFT(INDEX(매출원본!$AU$8:$AU$2007,$U235),2)="N:","(번호 없음)",INDEX(매출원본!$AU$8:$AU$2007,$U235))))</f>
        <v/>
      </c>
      <c r="C235" s="38">
        <f>IF($U235="","",INDEX(매출원본!$AV$8:$AV$2007,$U235))</f>
        <v/>
      </c>
      <c r="D235" s="39">
        <f>IF($U235="","",IF($T235="",0,N(INDEX(거래처설정!$E$8:$E$407,$T235))))</f>
        <v/>
      </c>
      <c r="E235" s="39">
        <f>IF($U235="","",SUMIFS(매출원본!$AT$8:$AT$2007,매출원본!$AY$8:$AY$2007,$A235,매출원본!$AS$8:$AS$2007,"&lt;="&amp;설정!$B$5))</f>
        <v/>
      </c>
      <c r="F235" s="39">
        <f>IF($U235="","",SUMIFS(입금_은행1!$Z$8:$Z$2007,입금_은행1!$AC$8:$AC$2007,$A235,입금_은행1!$Y$8:$Y$2007,"&lt;="&amp;설정!$B$5)+SUMIFS(입금_은행2!$Z$8:$Z$2007,입금_은행2!$AC$8:$AC$2007,$A235,입금_은행2!$Y$8:$Y$2007,"&lt;="&amp;설정!$B$5))</f>
        <v/>
      </c>
      <c r="G235" s="39">
        <f>IF($U235="","",$D235+$E235-$F235)</f>
        <v/>
      </c>
      <c r="H235" s="39">
        <f>IF($U235="","",MIN(MAX($G235,0),$V235))</f>
        <v/>
      </c>
      <c r="I235" s="39">
        <f>IF($U235="","",MIN(MAX($G235,0),$W235)-MIN(MAX($G235,0),$V235))</f>
        <v/>
      </c>
      <c r="J235" s="39">
        <f>IF($U235="","",MIN(MAX($G235,0),$X235)-MIN(MAX($G235,0),$W235))</f>
        <v/>
      </c>
      <c r="K235" s="39">
        <f>IF($U235="","",MAX($G235,0)-MIN(MAX($G235,0),$X235))</f>
        <v/>
      </c>
      <c r="L235" s="40">
        <f>IF($U235="","",IF(MAX(SUMPRODUCT(MAX((입금_은행1!$AC$8:$AC$2007=$A235)*(입금_은행1!$AE$8:$AE$2007&lt;=설정!$B$5)*입금_은행1!$AE$8:$AE$2007)),SUMPRODUCT(MAX((입금_은행2!$AC$8:$AC$2007=$A235)*(입금_은행2!$AE$8:$AE$2007&lt;=설정!$B$5)*입금_은행2!$AE$8:$AE$2007)))=0,"",MAX(SUMPRODUCT(MAX((입금_은행1!$AC$8:$AC$2007=$A235)*(입금_은행1!$AE$8:$AE$2007&lt;=설정!$B$5)*입금_은행1!$AE$8:$AE$2007)),SUMPRODUCT(MAX((입금_은행2!$AC$8:$AC$2007=$A235)*(입금_은행2!$AE$8:$AE$2007&lt;=설정!$B$5)*입금_은행2!$AE$8:$AE$2007)))))</f>
        <v/>
      </c>
      <c r="M235" s="38">
        <f>IF($U235="","",IF($T235="","",IF(INDEX(거래처설정!$F$8:$F$407,$T235)="","",INDEX(거래처설정!$F$8:$F$407,$T235))))</f>
        <v/>
      </c>
      <c r="N235" s="38">
        <f>IF($U235="","",IF($T235="","",IF(INDEX(거래처설정!$G$8:$G$407,$T235)="","",INDEX(거래처설정!$G$8:$G$407,$T235))))</f>
        <v/>
      </c>
      <c r="O235" s="38">
        <f>IF($U235="","",IF($M235="제외",0,IF($K235&gt;=설정!$B$9,3,IF($J235+$K235&gt;=설정!$B$9,2,IF($I235+$J235+$K235&gt;=설정!$B$9,1,0)))))</f>
        <v/>
      </c>
      <c r="P235" s="38">
        <f>IF($U235="","",IF($M235="제외","제외(조치 상태)",IF($O235=3,"③ 강한 독촉 후보 ("&amp;설정!$B$8&amp;"일 초과)",IF($O235=2,"② 독촉 후보 ("&amp;설정!$B$7&amp;"일 초과)",IF($O235=1,"① 안내 후보 ("&amp;설정!$B$6&amp;"일 초과)",IF($G235&gt;0,IF($I235+$J235+$K235&gt;0,"오래된 잔액 있음 (최소 금액 미만)","정상 범위"),IF($G235&lt;0,"선수금·초과입금 — 확인","완납")))))))</f>
        <v/>
      </c>
      <c r="Q235" s="38">
        <f>IF($U235="","",IF($G235&lt;0,"입금이 매출보다 큼 — 선수금이거나 다른 거래처 입금이 섞였는지 확인",IF(AND($AE235&lt;&gt;"",COUNTIF($AE$8:$AE$307,"*"&amp;$AE235&amp;"*")&gt;1),"이름이 다른 거래처와 겹침 — 입금이 잘못 맞았을 수 있으니 별칭 확인",IF(AND($G235&gt;0,$F235=0),"입금 매칭 없음 — 입금자명이 다르면 [거래처설정]에 별칭 등록",""))))</f>
        <v/>
      </c>
      <c r="R235" s="31">
        <f>IF(OR($U235="",$G235&lt;=0),"",$G235-$A235/10000)</f>
        <v/>
      </c>
      <c r="S235" s="31">
        <f>IF(OR($U235="",$O235&lt;1),"",$O235*10^11+$I235+$J235+$K235-$A235/1000)</f>
        <v/>
      </c>
      <c r="T235" s="31">
        <f>IF($U235="","",IFERROR(MATCH(INDEX(매출원본!$AU$8:$AU$2007,$U235),거래처설정!$I$8:$I$407,0),""))</f>
        <v/>
      </c>
      <c r="U235" s="31">
        <f>IFERROR(MATCH(228,매출원본!$AW$8:$AW$2007,0),"")</f>
        <v/>
      </c>
      <c r="V235" s="31">
        <f>IF($U235="","",MAX(SUMIFS(매출원본!$AT$8:$AT$2007,매출원본!$AY$8:$AY$2007,$A235,매출원본!$AS$8:$AS$2007,"&gt;="&amp;(설정!$B$5-설정!$B$6),매출원본!$AS$8:$AS$2007,"&lt;="&amp;설정!$B$5),0))</f>
        <v/>
      </c>
      <c r="W235" s="31">
        <f>IF($U235="","",MAX($V235,SUMIFS(매출원본!$AT$8:$AT$2007,매출원본!$AY$8:$AY$2007,$A235,매출원본!$AS$8:$AS$2007,"&gt;="&amp;(설정!$B$5-설정!$B$7),매출원본!$AS$8:$AS$2007,"&lt;="&amp;설정!$B$5)))</f>
        <v/>
      </c>
      <c r="X235" s="31">
        <f>IF($U235="","",MAX($W235,SUMIFS(매출원본!$AT$8:$AT$2007,매출원본!$AY$8:$AY$2007,$A235,매출원본!$AS$8:$AS$2007,"&gt;="&amp;(설정!$B$5-설정!$B$8),매출원본!$AS$8:$AS$2007,"&lt;="&amp;설정!$B$5)))</f>
        <v/>
      </c>
      <c r="AC235" s="31">
        <f>IF(OR($U235="",$T235=""),"",INDEX(거래처설정!$J$8:$J$407,$T235))</f>
        <v/>
      </c>
      <c r="AD235" s="31">
        <f>IF(OR($U235="",$T235=""),"",INDEX(거래처설정!$K$8:$K$407,$T235))</f>
        <v/>
      </c>
      <c r="AE235" s="31">
        <f>IF($U235="","",IF(LEN(SUBSTITUTE(SUBSTITUTE(SUBSTITUTE(SUBSTITUTE(SUBSTITUTE(SUBSTITUTE(SUBSTITUTE(SUBSTITUTE(SUBSTITUTE($C235," ",""),"　",""),"(주)",""),"（주）",""),"㈜",""),"주식회사",""),"(유)",""),"（유）",""),"유한회사",""))&lt;2,"",SUBSTITUTE(SUBSTITUTE(SUBSTITUTE(SUBSTITUTE(SUBSTITUTE(SUBSTITUTE(SUBSTITUTE(SUBSTITUTE(SUBSTITUTE($C235," ",""),"　",""),"(주)",""),"（주）",""),"㈜",""),"주식회사",""),"(유)",""),"（유）",""),"유한회사","")))</f>
        <v/>
      </c>
    </row>
    <row r="236">
      <c r="A236" s="38">
        <f>IF($U236="","",229)</f>
        <v/>
      </c>
      <c r="B236" s="38">
        <f>IF($U236="","",IF(LEN(INDEX(매출원본!$AU$8:$AU$2007,$U236))=10,LEFT(INDEX(매출원본!$AU$8:$AU$2007,$U236),3)&amp;"-"&amp;MID(INDEX(매출원본!$AU$8:$AU$2007,$U236),4,2)&amp;"-"&amp;RIGHT(INDEX(매출원본!$AU$8:$AU$2007,$U236),5),IF(LEFT(INDEX(매출원본!$AU$8:$AU$2007,$U236),2)="N:","(번호 없음)",INDEX(매출원본!$AU$8:$AU$2007,$U236))))</f>
        <v/>
      </c>
      <c r="C236" s="38">
        <f>IF($U236="","",INDEX(매출원본!$AV$8:$AV$2007,$U236))</f>
        <v/>
      </c>
      <c r="D236" s="39">
        <f>IF($U236="","",IF($T236="",0,N(INDEX(거래처설정!$E$8:$E$407,$T236))))</f>
        <v/>
      </c>
      <c r="E236" s="39">
        <f>IF($U236="","",SUMIFS(매출원본!$AT$8:$AT$2007,매출원본!$AY$8:$AY$2007,$A236,매출원본!$AS$8:$AS$2007,"&lt;="&amp;설정!$B$5))</f>
        <v/>
      </c>
      <c r="F236" s="39">
        <f>IF($U236="","",SUMIFS(입금_은행1!$Z$8:$Z$2007,입금_은행1!$AC$8:$AC$2007,$A236,입금_은행1!$Y$8:$Y$2007,"&lt;="&amp;설정!$B$5)+SUMIFS(입금_은행2!$Z$8:$Z$2007,입금_은행2!$AC$8:$AC$2007,$A236,입금_은행2!$Y$8:$Y$2007,"&lt;="&amp;설정!$B$5))</f>
        <v/>
      </c>
      <c r="G236" s="39">
        <f>IF($U236="","",$D236+$E236-$F236)</f>
        <v/>
      </c>
      <c r="H236" s="39">
        <f>IF($U236="","",MIN(MAX($G236,0),$V236))</f>
        <v/>
      </c>
      <c r="I236" s="39">
        <f>IF($U236="","",MIN(MAX($G236,0),$W236)-MIN(MAX($G236,0),$V236))</f>
        <v/>
      </c>
      <c r="J236" s="39">
        <f>IF($U236="","",MIN(MAX($G236,0),$X236)-MIN(MAX($G236,0),$W236))</f>
        <v/>
      </c>
      <c r="K236" s="39">
        <f>IF($U236="","",MAX($G236,0)-MIN(MAX($G236,0),$X236))</f>
        <v/>
      </c>
      <c r="L236" s="40">
        <f>IF($U236="","",IF(MAX(SUMPRODUCT(MAX((입금_은행1!$AC$8:$AC$2007=$A236)*(입금_은행1!$AE$8:$AE$2007&lt;=설정!$B$5)*입금_은행1!$AE$8:$AE$2007)),SUMPRODUCT(MAX((입금_은행2!$AC$8:$AC$2007=$A236)*(입금_은행2!$AE$8:$AE$2007&lt;=설정!$B$5)*입금_은행2!$AE$8:$AE$2007)))=0,"",MAX(SUMPRODUCT(MAX((입금_은행1!$AC$8:$AC$2007=$A236)*(입금_은행1!$AE$8:$AE$2007&lt;=설정!$B$5)*입금_은행1!$AE$8:$AE$2007)),SUMPRODUCT(MAX((입금_은행2!$AC$8:$AC$2007=$A236)*(입금_은행2!$AE$8:$AE$2007&lt;=설정!$B$5)*입금_은행2!$AE$8:$AE$2007)))))</f>
        <v/>
      </c>
      <c r="M236" s="38">
        <f>IF($U236="","",IF($T236="","",IF(INDEX(거래처설정!$F$8:$F$407,$T236)="","",INDEX(거래처설정!$F$8:$F$407,$T236))))</f>
        <v/>
      </c>
      <c r="N236" s="38">
        <f>IF($U236="","",IF($T236="","",IF(INDEX(거래처설정!$G$8:$G$407,$T236)="","",INDEX(거래처설정!$G$8:$G$407,$T236))))</f>
        <v/>
      </c>
      <c r="O236" s="38">
        <f>IF($U236="","",IF($M236="제외",0,IF($K236&gt;=설정!$B$9,3,IF($J236+$K236&gt;=설정!$B$9,2,IF($I236+$J236+$K236&gt;=설정!$B$9,1,0)))))</f>
        <v/>
      </c>
      <c r="P236" s="38">
        <f>IF($U236="","",IF($M236="제외","제외(조치 상태)",IF($O236=3,"③ 강한 독촉 후보 ("&amp;설정!$B$8&amp;"일 초과)",IF($O236=2,"② 독촉 후보 ("&amp;설정!$B$7&amp;"일 초과)",IF($O236=1,"① 안내 후보 ("&amp;설정!$B$6&amp;"일 초과)",IF($G236&gt;0,IF($I236+$J236+$K236&gt;0,"오래된 잔액 있음 (최소 금액 미만)","정상 범위"),IF($G236&lt;0,"선수금·초과입금 — 확인","완납")))))))</f>
        <v/>
      </c>
      <c r="Q236" s="38">
        <f>IF($U236="","",IF($G236&lt;0,"입금이 매출보다 큼 — 선수금이거나 다른 거래처 입금이 섞였는지 확인",IF(AND($AE236&lt;&gt;"",COUNTIF($AE$8:$AE$307,"*"&amp;$AE236&amp;"*")&gt;1),"이름이 다른 거래처와 겹침 — 입금이 잘못 맞았을 수 있으니 별칭 확인",IF(AND($G236&gt;0,$F236=0),"입금 매칭 없음 — 입금자명이 다르면 [거래처설정]에 별칭 등록",""))))</f>
        <v/>
      </c>
      <c r="R236" s="31">
        <f>IF(OR($U236="",$G236&lt;=0),"",$G236-$A236/10000)</f>
        <v/>
      </c>
      <c r="S236" s="31">
        <f>IF(OR($U236="",$O236&lt;1),"",$O236*10^11+$I236+$J236+$K236-$A236/1000)</f>
        <v/>
      </c>
      <c r="T236" s="31">
        <f>IF($U236="","",IFERROR(MATCH(INDEX(매출원본!$AU$8:$AU$2007,$U236),거래처설정!$I$8:$I$407,0),""))</f>
        <v/>
      </c>
      <c r="U236" s="31">
        <f>IFERROR(MATCH(229,매출원본!$AW$8:$AW$2007,0),"")</f>
        <v/>
      </c>
      <c r="V236" s="31">
        <f>IF($U236="","",MAX(SUMIFS(매출원본!$AT$8:$AT$2007,매출원본!$AY$8:$AY$2007,$A236,매출원본!$AS$8:$AS$2007,"&gt;="&amp;(설정!$B$5-설정!$B$6),매출원본!$AS$8:$AS$2007,"&lt;="&amp;설정!$B$5),0))</f>
        <v/>
      </c>
      <c r="W236" s="31">
        <f>IF($U236="","",MAX($V236,SUMIFS(매출원본!$AT$8:$AT$2007,매출원본!$AY$8:$AY$2007,$A236,매출원본!$AS$8:$AS$2007,"&gt;="&amp;(설정!$B$5-설정!$B$7),매출원본!$AS$8:$AS$2007,"&lt;="&amp;설정!$B$5)))</f>
        <v/>
      </c>
      <c r="X236" s="31">
        <f>IF($U236="","",MAX($W236,SUMIFS(매출원본!$AT$8:$AT$2007,매출원본!$AY$8:$AY$2007,$A236,매출원본!$AS$8:$AS$2007,"&gt;="&amp;(설정!$B$5-설정!$B$8),매출원본!$AS$8:$AS$2007,"&lt;="&amp;설정!$B$5)))</f>
        <v/>
      </c>
      <c r="AC236" s="31">
        <f>IF(OR($U236="",$T236=""),"",INDEX(거래처설정!$J$8:$J$407,$T236))</f>
        <v/>
      </c>
      <c r="AD236" s="31">
        <f>IF(OR($U236="",$T236=""),"",INDEX(거래처설정!$K$8:$K$407,$T236))</f>
        <v/>
      </c>
      <c r="AE236" s="31">
        <f>IF($U236="","",IF(LEN(SUBSTITUTE(SUBSTITUTE(SUBSTITUTE(SUBSTITUTE(SUBSTITUTE(SUBSTITUTE(SUBSTITUTE(SUBSTITUTE(SUBSTITUTE($C236," ",""),"　",""),"(주)",""),"（주）",""),"㈜",""),"주식회사",""),"(유)",""),"（유）",""),"유한회사",""))&lt;2,"",SUBSTITUTE(SUBSTITUTE(SUBSTITUTE(SUBSTITUTE(SUBSTITUTE(SUBSTITUTE(SUBSTITUTE(SUBSTITUTE(SUBSTITUTE($C236," ",""),"　",""),"(주)",""),"（주）",""),"㈜",""),"주식회사",""),"(유)",""),"（유）",""),"유한회사","")))</f>
        <v/>
      </c>
    </row>
    <row r="237">
      <c r="A237" s="38">
        <f>IF($U237="","",230)</f>
        <v/>
      </c>
      <c r="B237" s="38">
        <f>IF($U237="","",IF(LEN(INDEX(매출원본!$AU$8:$AU$2007,$U237))=10,LEFT(INDEX(매출원본!$AU$8:$AU$2007,$U237),3)&amp;"-"&amp;MID(INDEX(매출원본!$AU$8:$AU$2007,$U237),4,2)&amp;"-"&amp;RIGHT(INDEX(매출원본!$AU$8:$AU$2007,$U237),5),IF(LEFT(INDEX(매출원본!$AU$8:$AU$2007,$U237),2)="N:","(번호 없음)",INDEX(매출원본!$AU$8:$AU$2007,$U237))))</f>
        <v/>
      </c>
      <c r="C237" s="38">
        <f>IF($U237="","",INDEX(매출원본!$AV$8:$AV$2007,$U237))</f>
        <v/>
      </c>
      <c r="D237" s="39">
        <f>IF($U237="","",IF($T237="",0,N(INDEX(거래처설정!$E$8:$E$407,$T237))))</f>
        <v/>
      </c>
      <c r="E237" s="39">
        <f>IF($U237="","",SUMIFS(매출원본!$AT$8:$AT$2007,매출원본!$AY$8:$AY$2007,$A237,매출원본!$AS$8:$AS$2007,"&lt;="&amp;설정!$B$5))</f>
        <v/>
      </c>
      <c r="F237" s="39">
        <f>IF($U237="","",SUMIFS(입금_은행1!$Z$8:$Z$2007,입금_은행1!$AC$8:$AC$2007,$A237,입금_은행1!$Y$8:$Y$2007,"&lt;="&amp;설정!$B$5)+SUMIFS(입금_은행2!$Z$8:$Z$2007,입금_은행2!$AC$8:$AC$2007,$A237,입금_은행2!$Y$8:$Y$2007,"&lt;="&amp;설정!$B$5))</f>
        <v/>
      </c>
      <c r="G237" s="39">
        <f>IF($U237="","",$D237+$E237-$F237)</f>
        <v/>
      </c>
      <c r="H237" s="39">
        <f>IF($U237="","",MIN(MAX($G237,0),$V237))</f>
        <v/>
      </c>
      <c r="I237" s="39">
        <f>IF($U237="","",MIN(MAX($G237,0),$W237)-MIN(MAX($G237,0),$V237))</f>
        <v/>
      </c>
      <c r="J237" s="39">
        <f>IF($U237="","",MIN(MAX($G237,0),$X237)-MIN(MAX($G237,0),$W237))</f>
        <v/>
      </c>
      <c r="K237" s="39">
        <f>IF($U237="","",MAX($G237,0)-MIN(MAX($G237,0),$X237))</f>
        <v/>
      </c>
      <c r="L237" s="40">
        <f>IF($U237="","",IF(MAX(SUMPRODUCT(MAX((입금_은행1!$AC$8:$AC$2007=$A237)*(입금_은행1!$AE$8:$AE$2007&lt;=설정!$B$5)*입금_은행1!$AE$8:$AE$2007)),SUMPRODUCT(MAX((입금_은행2!$AC$8:$AC$2007=$A237)*(입금_은행2!$AE$8:$AE$2007&lt;=설정!$B$5)*입금_은행2!$AE$8:$AE$2007)))=0,"",MAX(SUMPRODUCT(MAX((입금_은행1!$AC$8:$AC$2007=$A237)*(입금_은행1!$AE$8:$AE$2007&lt;=설정!$B$5)*입금_은행1!$AE$8:$AE$2007)),SUMPRODUCT(MAX((입금_은행2!$AC$8:$AC$2007=$A237)*(입금_은행2!$AE$8:$AE$2007&lt;=설정!$B$5)*입금_은행2!$AE$8:$AE$2007)))))</f>
        <v/>
      </c>
      <c r="M237" s="38">
        <f>IF($U237="","",IF($T237="","",IF(INDEX(거래처설정!$F$8:$F$407,$T237)="","",INDEX(거래처설정!$F$8:$F$407,$T237))))</f>
        <v/>
      </c>
      <c r="N237" s="38">
        <f>IF($U237="","",IF($T237="","",IF(INDEX(거래처설정!$G$8:$G$407,$T237)="","",INDEX(거래처설정!$G$8:$G$407,$T237))))</f>
        <v/>
      </c>
      <c r="O237" s="38">
        <f>IF($U237="","",IF($M237="제외",0,IF($K237&gt;=설정!$B$9,3,IF($J237+$K237&gt;=설정!$B$9,2,IF($I237+$J237+$K237&gt;=설정!$B$9,1,0)))))</f>
        <v/>
      </c>
      <c r="P237" s="38">
        <f>IF($U237="","",IF($M237="제외","제외(조치 상태)",IF($O237=3,"③ 강한 독촉 후보 ("&amp;설정!$B$8&amp;"일 초과)",IF($O237=2,"② 독촉 후보 ("&amp;설정!$B$7&amp;"일 초과)",IF($O237=1,"① 안내 후보 ("&amp;설정!$B$6&amp;"일 초과)",IF($G237&gt;0,IF($I237+$J237+$K237&gt;0,"오래된 잔액 있음 (최소 금액 미만)","정상 범위"),IF($G237&lt;0,"선수금·초과입금 — 확인","완납")))))))</f>
        <v/>
      </c>
      <c r="Q237" s="38">
        <f>IF($U237="","",IF($G237&lt;0,"입금이 매출보다 큼 — 선수금이거나 다른 거래처 입금이 섞였는지 확인",IF(AND($AE237&lt;&gt;"",COUNTIF($AE$8:$AE$307,"*"&amp;$AE237&amp;"*")&gt;1),"이름이 다른 거래처와 겹침 — 입금이 잘못 맞았을 수 있으니 별칭 확인",IF(AND($G237&gt;0,$F237=0),"입금 매칭 없음 — 입금자명이 다르면 [거래처설정]에 별칭 등록",""))))</f>
        <v/>
      </c>
      <c r="R237" s="31">
        <f>IF(OR($U237="",$G237&lt;=0),"",$G237-$A237/10000)</f>
        <v/>
      </c>
      <c r="S237" s="31">
        <f>IF(OR($U237="",$O237&lt;1),"",$O237*10^11+$I237+$J237+$K237-$A237/1000)</f>
        <v/>
      </c>
      <c r="T237" s="31">
        <f>IF($U237="","",IFERROR(MATCH(INDEX(매출원본!$AU$8:$AU$2007,$U237),거래처설정!$I$8:$I$407,0),""))</f>
        <v/>
      </c>
      <c r="U237" s="31">
        <f>IFERROR(MATCH(230,매출원본!$AW$8:$AW$2007,0),"")</f>
        <v/>
      </c>
      <c r="V237" s="31">
        <f>IF($U237="","",MAX(SUMIFS(매출원본!$AT$8:$AT$2007,매출원본!$AY$8:$AY$2007,$A237,매출원본!$AS$8:$AS$2007,"&gt;="&amp;(설정!$B$5-설정!$B$6),매출원본!$AS$8:$AS$2007,"&lt;="&amp;설정!$B$5),0))</f>
        <v/>
      </c>
      <c r="W237" s="31">
        <f>IF($U237="","",MAX($V237,SUMIFS(매출원본!$AT$8:$AT$2007,매출원본!$AY$8:$AY$2007,$A237,매출원본!$AS$8:$AS$2007,"&gt;="&amp;(설정!$B$5-설정!$B$7),매출원본!$AS$8:$AS$2007,"&lt;="&amp;설정!$B$5)))</f>
        <v/>
      </c>
      <c r="X237" s="31">
        <f>IF($U237="","",MAX($W237,SUMIFS(매출원본!$AT$8:$AT$2007,매출원본!$AY$8:$AY$2007,$A237,매출원본!$AS$8:$AS$2007,"&gt;="&amp;(설정!$B$5-설정!$B$8),매출원본!$AS$8:$AS$2007,"&lt;="&amp;설정!$B$5)))</f>
        <v/>
      </c>
      <c r="AC237" s="31">
        <f>IF(OR($U237="",$T237=""),"",INDEX(거래처설정!$J$8:$J$407,$T237))</f>
        <v/>
      </c>
      <c r="AD237" s="31">
        <f>IF(OR($U237="",$T237=""),"",INDEX(거래처설정!$K$8:$K$407,$T237))</f>
        <v/>
      </c>
      <c r="AE237" s="31">
        <f>IF($U237="","",IF(LEN(SUBSTITUTE(SUBSTITUTE(SUBSTITUTE(SUBSTITUTE(SUBSTITUTE(SUBSTITUTE(SUBSTITUTE(SUBSTITUTE(SUBSTITUTE($C237," ",""),"　",""),"(주)",""),"（주）",""),"㈜",""),"주식회사",""),"(유)",""),"（유）",""),"유한회사",""))&lt;2,"",SUBSTITUTE(SUBSTITUTE(SUBSTITUTE(SUBSTITUTE(SUBSTITUTE(SUBSTITUTE(SUBSTITUTE(SUBSTITUTE(SUBSTITUTE($C237," ",""),"　",""),"(주)",""),"（주）",""),"㈜",""),"주식회사",""),"(유)",""),"（유）",""),"유한회사","")))</f>
        <v/>
      </c>
    </row>
    <row r="238">
      <c r="A238" s="38">
        <f>IF($U238="","",231)</f>
        <v/>
      </c>
      <c r="B238" s="38">
        <f>IF($U238="","",IF(LEN(INDEX(매출원본!$AU$8:$AU$2007,$U238))=10,LEFT(INDEX(매출원본!$AU$8:$AU$2007,$U238),3)&amp;"-"&amp;MID(INDEX(매출원본!$AU$8:$AU$2007,$U238),4,2)&amp;"-"&amp;RIGHT(INDEX(매출원본!$AU$8:$AU$2007,$U238),5),IF(LEFT(INDEX(매출원본!$AU$8:$AU$2007,$U238),2)="N:","(번호 없음)",INDEX(매출원본!$AU$8:$AU$2007,$U238))))</f>
        <v/>
      </c>
      <c r="C238" s="38">
        <f>IF($U238="","",INDEX(매출원본!$AV$8:$AV$2007,$U238))</f>
        <v/>
      </c>
      <c r="D238" s="39">
        <f>IF($U238="","",IF($T238="",0,N(INDEX(거래처설정!$E$8:$E$407,$T238))))</f>
        <v/>
      </c>
      <c r="E238" s="39">
        <f>IF($U238="","",SUMIFS(매출원본!$AT$8:$AT$2007,매출원본!$AY$8:$AY$2007,$A238,매출원본!$AS$8:$AS$2007,"&lt;="&amp;설정!$B$5))</f>
        <v/>
      </c>
      <c r="F238" s="39">
        <f>IF($U238="","",SUMIFS(입금_은행1!$Z$8:$Z$2007,입금_은행1!$AC$8:$AC$2007,$A238,입금_은행1!$Y$8:$Y$2007,"&lt;="&amp;설정!$B$5)+SUMIFS(입금_은행2!$Z$8:$Z$2007,입금_은행2!$AC$8:$AC$2007,$A238,입금_은행2!$Y$8:$Y$2007,"&lt;="&amp;설정!$B$5))</f>
        <v/>
      </c>
      <c r="G238" s="39">
        <f>IF($U238="","",$D238+$E238-$F238)</f>
        <v/>
      </c>
      <c r="H238" s="39">
        <f>IF($U238="","",MIN(MAX($G238,0),$V238))</f>
        <v/>
      </c>
      <c r="I238" s="39">
        <f>IF($U238="","",MIN(MAX($G238,0),$W238)-MIN(MAX($G238,0),$V238))</f>
        <v/>
      </c>
      <c r="J238" s="39">
        <f>IF($U238="","",MIN(MAX($G238,0),$X238)-MIN(MAX($G238,0),$W238))</f>
        <v/>
      </c>
      <c r="K238" s="39">
        <f>IF($U238="","",MAX($G238,0)-MIN(MAX($G238,0),$X238))</f>
        <v/>
      </c>
      <c r="L238" s="40">
        <f>IF($U238="","",IF(MAX(SUMPRODUCT(MAX((입금_은행1!$AC$8:$AC$2007=$A238)*(입금_은행1!$AE$8:$AE$2007&lt;=설정!$B$5)*입금_은행1!$AE$8:$AE$2007)),SUMPRODUCT(MAX((입금_은행2!$AC$8:$AC$2007=$A238)*(입금_은행2!$AE$8:$AE$2007&lt;=설정!$B$5)*입금_은행2!$AE$8:$AE$2007)))=0,"",MAX(SUMPRODUCT(MAX((입금_은행1!$AC$8:$AC$2007=$A238)*(입금_은행1!$AE$8:$AE$2007&lt;=설정!$B$5)*입금_은행1!$AE$8:$AE$2007)),SUMPRODUCT(MAX((입금_은행2!$AC$8:$AC$2007=$A238)*(입금_은행2!$AE$8:$AE$2007&lt;=설정!$B$5)*입금_은행2!$AE$8:$AE$2007)))))</f>
        <v/>
      </c>
      <c r="M238" s="38">
        <f>IF($U238="","",IF($T238="","",IF(INDEX(거래처설정!$F$8:$F$407,$T238)="","",INDEX(거래처설정!$F$8:$F$407,$T238))))</f>
        <v/>
      </c>
      <c r="N238" s="38">
        <f>IF($U238="","",IF($T238="","",IF(INDEX(거래처설정!$G$8:$G$407,$T238)="","",INDEX(거래처설정!$G$8:$G$407,$T238))))</f>
        <v/>
      </c>
      <c r="O238" s="38">
        <f>IF($U238="","",IF($M238="제외",0,IF($K238&gt;=설정!$B$9,3,IF($J238+$K238&gt;=설정!$B$9,2,IF($I238+$J238+$K238&gt;=설정!$B$9,1,0)))))</f>
        <v/>
      </c>
      <c r="P238" s="38">
        <f>IF($U238="","",IF($M238="제외","제외(조치 상태)",IF($O238=3,"③ 강한 독촉 후보 ("&amp;설정!$B$8&amp;"일 초과)",IF($O238=2,"② 독촉 후보 ("&amp;설정!$B$7&amp;"일 초과)",IF($O238=1,"① 안내 후보 ("&amp;설정!$B$6&amp;"일 초과)",IF($G238&gt;0,IF($I238+$J238+$K238&gt;0,"오래된 잔액 있음 (최소 금액 미만)","정상 범위"),IF($G238&lt;0,"선수금·초과입금 — 확인","완납")))))))</f>
        <v/>
      </c>
      <c r="Q238" s="38">
        <f>IF($U238="","",IF($G238&lt;0,"입금이 매출보다 큼 — 선수금이거나 다른 거래처 입금이 섞였는지 확인",IF(AND($AE238&lt;&gt;"",COUNTIF($AE$8:$AE$307,"*"&amp;$AE238&amp;"*")&gt;1),"이름이 다른 거래처와 겹침 — 입금이 잘못 맞았을 수 있으니 별칭 확인",IF(AND($G238&gt;0,$F238=0),"입금 매칭 없음 — 입금자명이 다르면 [거래처설정]에 별칭 등록",""))))</f>
        <v/>
      </c>
      <c r="R238" s="31">
        <f>IF(OR($U238="",$G238&lt;=0),"",$G238-$A238/10000)</f>
        <v/>
      </c>
      <c r="S238" s="31">
        <f>IF(OR($U238="",$O238&lt;1),"",$O238*10^11+$I238+$J238+$K238-$A238/1000)</f>
        <v/>
      </c>
      <c r="T238" s="31">
        <f>IF($U238="","",IFERROR(MATCH(INDEX(매출원본!$AU$8:$AU$2007,$U238),거래처설정!$I$8:$I$407,0),""))</f>
        <v/>
      </c>
      <c r="U238" s="31">
        <f>IFERROR(MATCH(231,매출원본!$AW$8:$AW$2007,0),"")</f>
        <v/>
      </c>
      <c r="V238" s="31">
        <f>IF($U238="","",MAX(SUMIFS(매출원본!$AT$8:$AT$2007,매출원본!$AY$8:$AY$2007,$A238,매출원본!$AS$8:$AS$2007,"&gt;="&amp;(설정!$B$5-설정!$B$6),매출원본!$AS$8:$AS$2007,"&lt;="&amp;설정!$B$5),0))</f>
        <v/>
      </c>
      <c r="W238" s="31">
        <f>IF($U238="","",MAX($V238,SUMIFS(매출원본!$AT$8:$AT$2007,매출원본!$AY$8:$AY$2007,$A238,매출원본!$AS$8:$AS$2007,"&gt;="&amp;(설정!$B$5-설정!$B$7),매출원본!$AS$8:$AS$2007,"&lt;="&amp;설정!$B$5)))</f>
        <v/>
      </c>
      <c r="X238" s="31">
        <f>IF($U238="","",MAX($W238,SUMIFS(매출원본!$AT$8:$AT$2007,매출원본!$AY$8:$AY$2007,$A238,매출원본!$AS$8:$AS$2007,"&gt;="&amp;(설정!$B$5-설정!$B$8),매출원본!$AS$8:$AS$2007,"&lt;="&amp;설정!$B$5)))</f>
        <v/>
      </c>
      <c r="AC238" s="31">
        <f>IF(OR($U238="",$T238=""),"",INDEX(거래처설정!$J$8:$J$407,$T238))</f>
        <v/>
      </c>
      <c r="AD238" s="31">
        <f>IF(OR($U238="",$T238=""),"",INDEX(거래처설정!$K$8:$K$407,$T238))</f>
        <v/>
      </c>
      <c r="AE238" s="31">
        <f>IF($U238="","",IF(LEN(SUBSTITUTE(SUBSTITUTE(SUBSTITUTE(SUBSTITUTE(SUBSTITUTE(SUBSTITUTE(SUBSTITUTE(SUBSTITUTE(SUBSTITUTE($C238," ",""),"　",""),"(주)",""),"（주）",""),"㈜",""),"주식회사",""),"(유)",""),"（유）",""),"유한회사",""))&lt;2,"",SUBSTITUTE(SUBSTITUTE(SUBSTITUTE(SUBSTITUTE(SUBSTITUTE(SUBSTITUTE(SUBSTITUTE(SUBSTITUTE(SUBSTITUTE($C238," ",""),"　",""),"(주)",""),"（주）",""),"㈜",""),"주식회사",""),"(유)",""),"（유）",""),"유한회사","")))</f>
        <v/>
      </c>
    </row>
    <row r="239">
      <c r="A239" s="38">
        <f>IF($U239="","",232)</f>
        <v/>
      </c>
      <c r="B239" s="38">
        <f>IF($U239="","",IF(LEN(INDEX(매출원본!$AU$8:$AU$2007,$U239))=10,LEFT(INDEX(매출원본!$AU$8:$AU$2007,$U239),3)&amp;"-"&amp;MID(INDEX(매출원본!$AU$8:$AU$2007,$U239),4,2)&amp;"-"&amp;RIGHT(INDEX(매출원본!$AU$8:$AU$2007,$U239),5),IF(LEFT(INDEX(매출원본!$AU$8:$AU$2007,$U239),2)="N:","(번호 없음)",INDEX(매출원본!$AU$8:$AU$2007,$U239))))</f>
        <v/>
      </c>
      <c r="C239" s="38">
        <f>IF($U239="","",INDEX(매출원본!$AV$8:$AV$2007,$U239))</f>
        <v/>
      </c>
      <c r="D239" s="39">
        <f>IF($U239="","",IF($T239="",0,N(INDEX(거래처설정!$E$8:$E$407,$T239))))</f>
        <v/>
      </c>
      <c r="E239" s="39">
        <f>IF($U239="","",SUMIFS(매출원본!$AT$8:$AT$2007,매출원본!$AY$8:$AY$2007,$A239,매출원본!$AS$8:$AS$2007,"&lt;="&amp;설정!$B$5))</f>
        <v/>
      </c>
      <c r="F239" s="39">
        <f>IF($U239="","",SUMIFS(입금_은행1!$Z$8:$Z$2007,입금_은행1!$AC$8:$AC$2007,$A239,입금_은행1!$Y$8:$Y$2007,"&lt;="&amp;설정!$B$5)+SUMIFS(입금_은행2!$Z$8:$Z$2007,입금_은행2!$AC$8:$AC$2007,$A239,입금_은행2!$Y$8:$Y$2007,"&lt;="&amp;설정!$B$5))</f>
        <v/>
      </c>
      <c r="G239" s="39">
        <f>IF($U239="","",$D239+$E239-$F239)</f>
        <v/>
      </c>
      <c r="H239" s="39">
        <f>IF($U239="","",MIN(MAX($G239,0),$V239))</f>
        <v/>
      </c>
      <c r="I239" s="39">
        <f>IF($U239="","",MIN(MAX($G239,0),$W239)-MIN(MAX($G239,0),$V239))</f>
        <v/>
      </c>
      <c r="J239" s="39">
        <f>IF($U239="","",MIN(MAX($G239,0),$X239)-MIN(MAX($G239,0),$W239))</f>
        <v/>
      </c>
      <c r="K239" s="39">
        <f>IF($U239="","",MAX($G239,0)-MIN(MAX($G239,0),$X239))</f>
        <v/>
      </c>
      <c r="L239" s="40">
        <f>IF($U239="","",IF(MAX(SUMPRODUCT(MAX((입금_은행1!$AC$8:$AC$2007=$A239)*(입금_은행1!$AE$8:$AE$2007&lt;=설정!$B$5)*입금_은행1!$AE$8:$AE$2007)),SUMPRODUCT(MAX((입금_은행2!$AC$8:$AC$2007=$A239)*(입금_은행2!$AE$8:$AE$2007&lt;=설정!$B$5)*입금_은행2!$AE$8:$AE$2007)))=0,"",MAX(SUMPRODUCT(MAX((입금_은행1!$AC$8:$AC$2007=$A239)*(입금_은행1!$AE$8:$AE$2007&lt;=설정!$B$5)*입금_은행1!$AE$8:$AE$2007)),SUMPRODUCT(MAX((입금_은행2!$AC$8:$AC$2007=$A239)*(입금_은행2!$AE$8:$AE$2007&lt;=설정!$B$5)*입금_은행2!$AE$8:$AE$2007)))))</f>
        <v/>
      </c>
      <c r="M239" s="38">
        <f>IF($U239="","",IF($T239="","",IF(INDEX(거래처설정!$F$8:$F$407,$T239)="","",INDEX(거래처설정!$F$8:$F$407,$T239))))</f>
        <v/>
      </c>
      <c r="N239" s="38">
        <f>IF($U239="","",IF($T239="","",IF(INDEX(거래처설정!$G$8:$G$407,$T239)="","",INDEX(거래처설정!$G$8:$G$407,$T239))))</f>
        <v/>
      </c>
      <c r="O239" s="38">
        <f>IF($U239="","",IF($M239="제외",0,IF($K239&gt;=설정!$B$9,3,IF($J239+$K239&gt;=설정!$B$9,2,IF($I239+$J239+$K239&gt;=설정!$B$9,1,0)))))</f>
        <v/>
      </c>
      <c r="P239" s="38">
        <f>IF($U239="","",IF($M239="제외","제외(조치 상태)",IF($O239=3,"③ 강한 독촉 후보 ("&amp;설정!$B$8&amp;"일 초과)",IF($O239=2,"② 독촉 후보 ("&amp;설정!$B$7&amp;"일 초과)",IF($O239=1,"① 안내 후보 ("&amp;설정!$B$6&amp;"일 초과)",IF($G239&gt;0,IF($I239+$J239+$K239&gt;0,"오래된 잔액 있음 (최소 금액 미만)","정상 범위"),IF($G239&lt;0,"선수금·초과입금 — 확인","완납")))))))</f>
        <v/>
      </c>
      <c r="Q239" s="38">
        <f>IF($U239="","",IF($G239&lt;0,"입금이 매출보다 큼 — 선수금이거나 다른 거래처 입금이 섞였는지 확인",IF(AND($AE239&lt;&gt;"",COUNTIF($AE$8:$AE$307,"*"&amp;$AE239&amp;"*")&gt;1),"이름이 다른 거래처와 겹침 — 입금이 잘못 맞았을 수 있으니 별칭 확인",IF(AND($G239&gt;0,$F239=0),"입금 매칭 없음 — 입금자명이 다르면 [거래처설정]에 별칭 등록",""))))</f>
        <v/>
      </c>
      <c r="R239" s="31">
        <f>IF(OR($U239="",$G239&lt;=0),"",$G239-$A239/10000)</f>
        <v/>
      </c>
      <c r="S239" s="31">
        <f>IF(OR($U239="",$O239&lt;1),"",$O239*10^11+$I239+$J239+$K239-$A239/1000)</f>
        <v/>
      </c>
      <c r="T239" s="31">
        <f>IF($U239="","",IFERROR(MATCH(INDEX(매출원본!$AU$8:$AU$2007,$U239),거래처설정!$I$8:$I$407,0),""))</f>
        <v/>
      </c>
      <c r="U239" s="31">
        <f>IFERROR(MATCH(232,매출원본!$AW$8:$AW$2007,0),"")</f>
        <v/>
      </c>
      <c r="V239" s="31">
        <f>IF($U239="","",MAX(SUMIFS(매출원본!$AT$8:$AT$2007,매출원본!$AY$8:$AY$2007,$A239,매출원본!$AS$8:$AS$2007,"&gt;="&amp;(설정!$B$5-설정!$B$6),매출원본!$AS$8:$AS$2007,"&lt;="&amp;설정!$B$5),0))</f>
        <v/>
      </c>
      <c r="W239" s="31">
        <f>IF($U239="","",MAX($V239,SUMIFS(매출원본!$AT$8:$AT$2007,매출원본!$AY$8:$AY$2007,$A239,매출원본!$AS$8:$AS$2007,"&gt;="&amp;(설정!$B$5-설정!$B$7),매출원본!$AS$8:$AS$2007,"&lt;="&amp;설정!$B$5)))</f>
        <v/>
      </c>
      <c r="X239" s="31">
        <f>IF($U239="","",MAX($W239,SUMIFS(매출원본!$AT$8:$AT$2007,매출원본!$AY$8:$AY$2007,$A239,매출원본!$AS$8:$AS$2007,"&gt;="&amp;(설정!$B$5-설정!$B$8),매출원본!$AS$8:$AS$2007,"&lt;="&amp;설정!$B$5)))</f>
        <v/>
      </c>
      <c r="AC239" s="31">
        <f>IF(OR($U239="",$T239=""),"",INDEX(거래처설정!$J$8:$J$407,$T239))</f>
        <v/>
      </c>
      <c r="AD239" s="31">
        <f>IF(OR($U239="",$T239=""),"",INDEX(거래처설정!$K$8:$K$407,$T239))</f>
        <v/>
      </c>
      <c r="AE239" s="31">
        <f>IF($U239="","",IF(LEN(SUBSTITUTE(SUBSTITUTE(SUBSTITUTE(SUBSTITUTE(SUBSTITUTE(SUBSTITUTE(SUBSTITUTE(SUBSTITUTE(SUBSTITUTE($C239," ",""),"　",""),"(주)",""),"（주）",""),"㈜",""),"주식회사",""),"(유)",""),"（유）",""),"유한회사",""))&lt;2,"",SUBSTITUTE(SUBSTITUTE(SUBSTITUTE(SUBSTITUTE(SUBSTITUTE(SUBSTITUTE(SUBSTITUTE(SUBSTITUTE(SUBSTITUTE($C239," ",""),"　",""),"(주)",""),"（주）",""),"㈜",""),"주식회사",""),"(유)",""),"（유）",""),"유한회사","")))</f>
        <v/>
      </c>
    </row>
    <row r="240">
      <c r="A240" s="38">
        <f>IF($U240="","",233)</f>
        <v/>
      </c>
      <c r="B240" s="38">
        <f>IF($U240="","",IF(LEN(INDEX(매출원본!$AU$8:$AU$2007,$U240))=10,LEFT(INDEX(매출원본!$AU$8:$AU$2007,$U240),3)&amp;"-"&amp;MID(INDEX(매출원본!$AU$8:$AU$2007,$U240),4,2)&amp;"-"&amp;RIGHT(INDEX(매출원본!$AU$8:$AU$2007,$U240),5),IF(LEFT(INDEX(매출원본!$AU$8:$AU$2007,$U240),2)="N:","(번호 없음)",INDEX(매출원본!$AU$8:$AU$2007,$U240))))</f>
        <v/>
      </c>
      <c r="C240" s="38">
        <f>IF($U240="","",INDEX(매출원본!$AV$8:$AV$2007,$U240))</f>
        <v/>
      </c>
      <c r="D240" s="39">
        <f>IF($U240="","",IF($T240="",0,N(INDEX(거래처설정!$E$8:$E$407,$T240))))</f>
        <v/>
      </c>
      <c r="E240" s="39">
        <f>IF($U240="","",SUMIFS(매출원본!$AT$8:$AT$2007,매출원본!$AY$8:$AY$2007,$A240,매출원본!$AS$8:$AS$2007,"&lt;="&amp;설정!$B$5))</f>
        <v/>
      </c>
      <c r="F240" s="39">
        <f>IF($U240="","",SUMIFS(입금_은행1!$Z$8:$Z$2007,입금_은행1!$AC$8:$AC$2007,$A240,입금_은행1!$Y$8:$Y$2007,"&lt;="&amp;설정!$B$5)+SUMIFS(입금_은행2!$Z$8:$Z$2007,입금_은행2!$AC$8:$AC$2007,$A240,입금_은행2!$Y$8:$Y$2007,"&lt;="&amp;설정!$B$5))</f>
        <v/>
      </c>
      <c r="G240" s="39">
        <f>IF($U240="","",$D240+$E240-$F240)</f>
        <v/>
      </c>
      <c r="H240" s="39">
        <f>IF($U240="","",MIN(MAX($G240,0),$V240))</f>
        <v/>
      </c>
      <c r="I240" s="39">
        <f>IF($U240="","",MIN(MAX($G240,0),$W240)-MIN(MAX($G240,0),$V240))</f>
        <v/>
      </c>
      <c r="J240" s="39">
        <f>IF($U240="","",MIN(MAX($G240,0),$X240)-MIN(MAX($G240,0),$W240))</f>
        <v/>
      </c>
      <c r="K240" s="39">
        <f>IF($U240="","",MAX($G240,0)-MIN(MAX($G240,0),$X240))</f>
        <v/>
      </c>
      <c r="L240" s="40">
        <f>IF($U240="","",IF(MAX(SUMPRODUCT(MAX((입금_은행1!$AC$8:$AC$2007=$A240)*(입금_은행1!$AE$8:$AE$2007&lt;=설정!$B$5)*입금_은행1!$AE$8:$AE$2007)),SUMPRODUCT(MAX((입금_은행2!$AC$8:$AC$2007=$A240)*(입금_은행2!$AE$8:$AE$2007&lt;=설정!$B$5)*입금_은행2!$AE$8:$AE$2007)))=0,"",MAX(SUMPRODUCT(MAX((입금_은행1!$AC$8:$AC$2007=$A240)*(입금_은행1!$AE$8:$AE$2007&lt;=설정!$B$5)*입금_은행1!$AE$8:$AE$2007)),SUMPRODUCT(MAX((입금_은행2!$AC$8:$AC$2007=$A240)*(입금_은행2!$AE$8:$AE$2007&lt;=설정!$B$5)*입금_은행2!$AE$8:$AE$2007)))))</f>
        <v/>
      </c>
      <c r="M240" s="38">
        <f>IF($U240="","",IF($T240="","",IF(INDEX(거래처설정!$F$8:$F$407,$T240)="","",INDEX(거래처설정!$F$8:$F$407,$T240))))</f>
        <v/>
      </c>
      <c r="N240" s="38">
        <f>IF($U240="","",IF($T240="","",IF(INDEX(거래처설정!$G$8:$G$407,$T240)="","",INDEX(거래처설정!$G$8:$G$407,$T240))))</f>
        <v/>
      </c>
      <c r="O240" s="38">
        <f>IF($U240="","",IF($M240="제외",0,IF($K240&gt;=설정!$B$9,3,IF($J240+$K240&gt;=설정!$B$9,2,IF($I240+$J240+$K240&gt;=설정!$B$9,1,0)))))</f>
        <v/>
      </c>
      <c r="P240" s="38">
        <f>IF($U240="","",IF($M240="제외","제외(조치 상태)",IF($O240=3,"③ 강한 독촉 후보 ("&amp;설정!$B$8&amp;"일 초과)",IF($O240=2,"② 독촉 후보 ("&amp;설정!$B$7&amp;"일 초과)",IF($O240=1,"① 안내 후보 ("&amp;설정!$B$6&amp;"일 초과)",IF($G240&gt;0,IF($I240+$J240+$K240&gt;0,"오래된 잔액 있음 (최소 금액 미만)","정상 범위"),IF($G240&lt;0,"선수금·초과입금 — 확인","완납")))))))</f>
        <v/>
      </c>
      <c r="Q240" s="38">
        <f>IF($U240="","",IF($G240&lt;0,"입금이 매출보다 큼 — 선수금이거나 다른 거래처 입금이 섞였는지 확인",IF(AND($AE240&lt;&gt;"",COUNTIF($AE$8:$AE$307,"*"&amp;$AE240&amp;"*")&gt;1),"이름이 다른 거래처와 겹침 — 입금이 잘못 맞았을 수 있으니 별칭 확인",IF(AND($G240&gt;0,$F240=0),"입금 매칭 없음 — 입금자명이 다르면 [거래처설정]에 별칭 등록",""))))</f>
        <v/>
      </c>
      <c r="R240" s="31">
        <f>IF(OR($U240="",$G240&lt;=0),"",$G240-$A240/10000)</f>
        <v/>
      </c>
      <c r="S240" s="31">
        <f>IF(OR($U240="",$O240&lt;1),"",$O240*10^11+$I240+$J240+$K240-$A240/1000)</f>
        <v/>
      </c>
      <c r="T240" s="31">
        <f>IF($U240="","",IFERROR(MATCH(INDEX(매출원본!$AU$8:$AU$2007,$U240),거래처설정!$I$8:$I$407,0),""))</f>
        <v/>
      </c>
      <c r="U240" s="31">
        <f>IFERROR(MATCH(233,매출원본!$AW$8:$AW$2007,0),"")</f>
        <v/>
      </c>
      <c r="V240" s="31">
        <f>IF($U240="","",MAX(SUMIFS(매출원본!$AT$8:$AT$2007,매출원본!$AY$8:$AY$2007,$A240,매출원본!$AS$8:$AS$2007,"&gt;="&amp;(설정!$B$5-설정!$B$6),매출원본!$AS$8:$AS$2007,"&lt;="&amp;설정!$B$5),0))</f>
        <v/>
      </c>
      <c r="W240" s="31">
        <f>IF($U240="","",MAX($V240,SUMIFS(매출원본!$AT$8:$AT$2007,매출원본!$AY$8:$AY$2007,$A240,매출원본!$AS$8:$AS$2007,"&gt;="&amp;(설정!$B$5-설정!$B$7),매출원본!$AS$8:$AS$2007,"&lt;="&amp;설정!$B$5)))</f>
        <v/>
      </c>
      <c r="X240" s="31">
        <f>IF($U240="","",MAX($W240,SUMIFS(매출원본!$AT$8:$AT$2007,매출원본!$AY$8:$AY$2007,$A240,매출원본!$AS$8:$AS$2007,"&gt;="&amp;(설정!$B$5-설정!$B$8),매출원본!$AS$8:$AS$2007,"&lt;="&amp;설정!$B$5)))</f>
        <v/>
      </c>
      <c r="AC240" s="31">
        <f>IF(OR($U240="",$T240=""),"",INDEX(거래처설정!$J$8:$J$407,$T240))</f>
        <v/>
      </c>
      <c r="AD240" s="31">
        <f>IF(OR($U240="",$T240=""),"",INDEX(거래처설정!$K$8:$K$407,$T240))</f>
        <v/>
      </c>
      <c r="AE240" s="31">
        <f>IF($U240="","",IF(LEN(SUBSTITUTE(SUBSTITUTE(SUBSTITUTE(SUBSTITUTE(SUBSTITUTE(SUBSTITUTE(SUBSTITUTE(SUBSTITUTE(SUBSTITUTE($C240," ",""),"　",""),"(주)",""),"（주）",""),"㈜",""),"주식회사",""),"(유)",""),"（유）",""),"유한회사",""))&lt;2,"",SUBSTITUTE(SUBSTITUTE(SUBSTITUTE(SUBSTITUTE(SUBSTITUTE(SUBSTITUTE(SUBSTITUTE(SUBSTITUTE(SUBSTITUTE($C240," ",""),"　",""),"(주)",""),"（주）",""),"㈜",""),"주식회사",""),"(유)",""),"（유）",""),"유한회사","")))</f>
        <v/>
      </c>
    </row>
    <row r="241">
      <c r="A241" s="38">
        <f>IF($U241="","",234)</f>
        <v/>
      </c>
      <c r="B241" s="38">
        <f>IF($U241="","",IF(LEN(INDEX(매출원본!$AU$8:$AU$2007,$U241))=10,LEFT(INDEX(매출원본!$AU$8:$AU$2007,$U241),3)&amp;"-"&amp;MID(INDEX(매출원본!$AU$8:$AU$2007,$U241),4,2)&amp;"-"&amp;RIGHT(INDEX(매출원본!$AU$8:$AU$2007,$U241),5),IF(LEFT(INDEX(매출원본!$AU$8:$AU$2007,$U241),2)="N:","(번호 없음)",INDEX(매출원본!$AU$8:$AU$2007,$U241))))</f>
        <v/>
      </c>
      <c r="C241" s="38">
        <f>IF($U241="","",INDEX(매출원본!$AV$8:$AV$2007,$U241))</f>
        <v/>
      </c>
      <c r="D241" s="39">
        <f>IF($U241="","",IF($T241="",0,N(INDEX(거래처설정!$E$8:$E$407,$T241))))</f>
        <v/>
      </c>
      <c r="E241" s="39">
        <f>IF($U241="","",SUMIFS(매출원본!$AT$8:$AT$2007,매출원본!$AY$8:$AY$2007,$A241,매출원본!$AS$8:$AS$2007,"&lt;="&amp;설정!$B$5))</f>
        <v/>
      </c>
      <c r="F241" s="39">
        <f>IF($U241="","",SUMIFS(입금_은행1!$Z$8:$Z$2007,입금_은행1!$AC$8:$AC$2007,$A241,입금_은행1!$Y$8:$Y$2007,"&lt;="&amp;설정!$B$5)+SUMIFS(입금_은행2!$Z$8:$Z$2007,입금_은행2!$AC$8:$AC$2007,$A241,입금_은행2!$Y$8:$Y$2007,"&lt;="&amp;설정!$B$5))</f>
        <v/>
      </c>
      <c r="G241" s="39">
        <f>IF($U241="","",$D241+$E241-$F241)</f>
        <v/>
      </c>
      <c r="H241" s="39">
        <f>IF($U241="","",MIN(MAX($G241,0),$V241))</f>
        <v/>
      </c>
      <c r="I241" s="39">
        <f>IF($U241="","",MIN(MAX($G241,0),$W241)-MIN(MAX($G241,0),$V241))</f>
        <v/>
      </c>
      <c r="J241" s="39">
        <f>IF($U241="","",MIN(MAX($G241,0),$X241)-MIN(MAX($G241,0),$W241))</f>
        <v/>
      </c>
      <c r="K241" s="39">
        <f>IF($U241="","",MAX($G241,0)-MIN(MAX($G241,0),$X241))</f>
        <v/>
      </c>
      <c r="L241" s="40">
        <f>IF($U241="","",IF(MAX(SUMPRODUCT(MAX((입금_은행1!$AC$8:$AC$2007=$A241)*(입금_은행1!$AE$8:$AE$2007&lt;=설정!$B$5)*입금_은행1!$AE$8:$AE$2007)),SUMPRODUCT(MAX((입금_은행2!$AC$8:$AC$2007=$A241)*(입금_은행2!$AE$8:$AE$2007&lt;=설정!$B$5)*입금_은행2!$AE$8:$AE$2007)))=0,"",MAX(SUMPRODUCT(MAX((입금_은행1!$AC$8:$AC$2007=$A241)*(입금_은행1!$AE$8:$AE$2007&lt;=설정!$B$5)*입금_은행1!$AE$8:$AE$2007)),SUMPRODUCT(MAX((입금_은행2!$AC$8:$AC$2007=$A241)*(입금_은행2!$AE$8:$AE$2007&lt;=설정!$B$5)*입금_은행2!$AE$8:$AE$2007)))))</f>
        <v/>
      </c>
      <c r="M241" s="38">
        <f>IF($U241="","",IF($T241="","",IF(INDEX(거래처설정!$F$8:$F$407,$T241)="","",INDEX(거래처설정!$F$8:$F$407,$T241))))</f>
        <v/>
      </c>
      <c r="N241" s="38">
        <f>IF($U241="","",IF($T241="","",IF(INDEX(거래처설정!$G$8:$G$407,$T241)="","",INDEX(거래처설정!$G$8:$G$407,$T241))))</f>
        <v/>
      </c>
      <c r="O241" s="38">
        <f>IF($U241="","",IF($M241="제외",0,IF($K241&gt;=설정!$B$9,3,IF($J241+$K241&gt;=설정!$B$9,2,IF($I241+$J241+$K241&gt;=설정!$B$9,1,0)))))</f>
        <v/>
      </c>
      <c r="P241" s="38">
        <f>IF($U241="","",IF($M241="제외","제외(조치 상태)",IF($O241=3,"③ 강한 독촉 후보 ("&amp;설정!$B$8&amp;"일 초과)",IF($O241=2,"② 독촉 후보 ("&amp;설정!$B$7&amp;"일 초과)",IF($O241=1,"① 안내 후보 ("&amp;설정!$B$6&amp;"일 초과)",IF($G241&gt;0,IF($I241+$J241+$K241&gt;0,"오래된 잔액 있음 (최소 금액 미만)","정상 범위"),IF($G241&lt;0,"선수금·초과입금 — 확인","완납")))))))</f>
        <v/>
      </c>
      <c r="Q241" s="38">
        <f>IF($U241="","",IF($G241&lt;0,"입금이 매출보다 큼 — 선수금이거나 다른 거래처 입금이 섞였는지 확인",IF(AND($AE241&lt;&gt;"",COUNTIF($AE$8:$AE$307,"*"&amp;$AE241&amp;"*")&gt;1),"이름이 다른 거래처와 겹침 — 입금이 잘못 맞았을 수 있으니 별칭 확인",IF(AND($G241&gt;0,$F241=0),"입금 매칭 없음 — 입금자명이 다르면 [거래처설정]에 별칭 등록",""))))</f>
        <v/>
      </c>
      <c r="R241" s="31">
        <f>IF(OR($U241="",$G241&lt;=0),"",$G241-$A241/10000)</f>
        <v/>
      </c>
      <c r="S241" s="31">
        <f>IF(OR($U241="",$O241&lt;1),"",$O241*10^11+$I241+$J241+$K241-$A241/1000)</f>
        <v/>
      </c>
      <c r="T241" s="31">
        <f>IF($U241="","",IFERROR(MATCH(INDEX(매출원본!$AU$8:$AU$2007,$U241),거래처설정!$I$8:$I$407,0),""))</f>
        <v/>
      </c>
      <c r="U241" s="31">
        <f>IFERROR(MATCH(234,매출원본!$AW$8:$AW$2007,0),"")</f>
        <v/>
      </c>
      <c r="V241" s="31">
        <f>IF($U241="","",MAX(SUMIFS(매출원본!$AT$8:$AT$2007,매출원본!$AY$8:$AY$2007,$A241,매출원본!$AS$8:$AS$2007,"&gt;="&amp;(설정!$B$5-설정!$B$6),매출원본!$AS$8:$AS$2007,"&lt;="&amp;설정!$B$5),0))</f>
        <v/>
      </c>
      <c r="W241" s="31">
        <f>IF($U241="","",MAX($V241,SUMIFS(매출원본!$AT$8:$AT$2007,매출원본!$AY$8:$AY$2007,$A241,매출원본!$AS$8:$AS$2007,"&gt;="&amp;(설정!$B$5-설정!$B$7),매출원본!$AS$8:$AS$2007,"&lt;="&amp;설정!$B$5)))</f>
        <v/>
      </c>
      <c r="X241" s="31">
        <f>IF($U241="","",MAX($W241,SUMIFS(매출원본!$AT$8:$AT$2007,매출원본!$AY$8:$AY$2007,$A241,매출원본!$AS$8:$AS$2007,"&gt;="&amp;(설정!$B$5-설정!$B$8),매출원본!$AS$8:$AS$2007,"&lt;="&amp;설정!$B$5)))</f>
        <v/>
      </c>
      <c r="AC241" s="31">
        <f>IF(OR($U241="",$T241=""),"",INDEX(거래처설정!$J$8:$J$407,$T241))</f>
        <v/>
      </c>
      <c r="AD241" s="31">
        <f>IF(OR($U241="",$T241=""),"",INDEX(거래처설정!$K$8:$K$407,$T241))</f>
        <v/>
      </c>
      <c r="AE241" s="31">
        <f>IF($U241="","",IF(LEN(SUBSTITUTE(SUBSTITUTE(SUBSTITUTE(SUBSTITUTE(SUBSTITUTE(SUBSTITUTE(SUBSTITUTE(SUBSTITUTE(SUBSTITUTE($C241," ",""),"　",""),"(주)",""),"（주）",""),"㈜",""),"주식회사",""),"(유)",""),"（유）",""),"유한회사",""))&lt;2,"",SUBSTITUTE(SUBSTITUTE(SUBSTITUTE(SUBSTITUTE(SUBSTITUTE(SUBSTITUTE(SUBSTITUTE(SUBSTITUTE(SUBSTITUTE($C241," ",""),"　",""),"(주)",""),"（주）",""),"㈜",""),"주식회사",""),"(유)",""),"（유）",""),"유한회사","")))</f>
        <v/>
      </c>
    </row>
    <row r="242">
      <c r="A242" s="38">
        <f>IF($U242="","",235)</f>
        <v/>
      </c>
      <c r="B242" s="38">
        <f>IF($U242="","",IF(LEN(INDEX(매출원본!$AU$8:$AU$2007,$U242))=10,LEFT(INDEX(매출원본!$AU$8:$AU$2007,$U242),3)&amp;"-"&amp;MID(INDEX(매출원본!$AU$8:$AU$2007,$U242),4,2)&amp;"-"&amp;RIGHT(INDEX(매출원본!$AU$8:$AU$2007,$U242),5),IF(LEFT(INDEX(매출원본!$AU$8:$AU$2007,$U242),2)="N:","(번호 없음)",INDEX(매출원본!$AU$8:$AU$2007,$U242))))</f>
        <v/>
      </c>
      <c r="C242" s="38">
        <f>IF($U242="","",INDEX(매출원본!$AV$8:$AV$2007,$U242))</f>
        <v/>
      </c>
      <c r="D242" s="39">
        <f>IF($U242="","",IF($T242="",0,N(INDEX(거래처설정!$E$8:$E$407,$T242))))</f>
        <v/>
      </c>
      <c r="E242" s="39">
        <f>IF($U242="","",SUMIFS(매출원본!$AT$8:$AT$2007,매출원본!$AY$8:$AY$2007,$A242,매출원본!$AS$8:$AS$2007,"&lt;="&amp;설정!$B$5))</f>
        <v/>
      </c>
      <c r="F242" s="39">
        <f>IF($U242="","",SUMIFS(입금_은행1!$Z$8:$Z$2007,입금_은행1!$AC$8:$AC$2007,$A242,입금_은행1!$Y$8:$Y$2007,"&lt;="&amp;설정!$B$5)+SUMIFS(입금_은행2!$Z$8:$Z$2007,입금_은행2!$AC$8:$AC$2007,$A242,입금_은행2!$Y$8:$Y$2007,"&lt;="&amp;설정!$B$5))</f>
        <v/>
      </c>
      <c r="G242" s="39">
        <f>IF($U242="","",$D242+$E242-$F242)</f>
        <v/>
      </c>
      <c r="H242" s="39">
        <f>IF($U242="","",MIN(MAX($G242,0),$V242))</f>
        <v/>
      </c>
      <c r="I242" s="39">
        <f>IF($U242="","",MIN(MAX($G242,0),$W242)-MIN(MAX($G242,0),$V242))</f>
        <v/>
      </c>
      <c r="J242" s="39">
        <f>IF($U242="","",MIN(MAX($G242,0),$X242)-MIN(MAX($G242,0),$W242))</f>
        <v/>
      </c>
      <c r="K242" s="39">
        <f>IF($U242="","",MAX($G242,0)-MIN(MAX($G242,0),$X242))</f>
        <v/>
      </c>
      <c r="L242" s="40">
        <f>IF($U242="","",IF(MAX(SUMPRODUCT(MAX((입금_은행1!$AC$8:$AC$2007=$A242)*(입금_은행1!$AE$8:$AE$2007&lt;=설정!$B$5)*입금_은행1!$AE$8:$AE$2007)),SUMPRODUCT(MAX((입금_은행2!$AC$8:$AC$2007=$A242)*(입금_은행2!$AE$8:$AE$2007&lt;=설정!$B$5)*입금_은행2!$AE$8:$AE$2007)))=0,"",MAX(SUMPRODUCT(MAX((입금_은행1!$AC$8:$AC$2007=$A242)*(입금_은행1!$AE$8:$AE$2007&lt;=설정!$B$5)*입금_은행1!$AE$8:$AE$2007)),SUMPRODUCT(MAX((입금_은행2!$AC$8:$AC$2007=$A242)*(입금_은행2!$AE$8:$AE$2007&lt;=설정!$B$5)*입금_은행2!$AE$8:$AE$2007)))))</f>
        <v/>
      </c>
      <c r="M242" s="38">
        <f>IF($U242="","",IF($T242="","",IF(INDEX(거래처설정!$F$8:$F$407,$T242)="","",INDEX(거래처설정!$F$8:$F$407,$T242))))</f>
        <v/>
      </c>
      <c r="N242" s="38">
        <f>IF($U242="","",IF($T242="","",IF(INDEX(거래처설정!$G$8:$G$407,$T242)="","",INDEX(거래처설정!$G$8:$G$407,$T242))))</f>
        <v/>
      </c>
      <c r="O242" s="38">
        <f>IF($U242="","",IF($M242="제외",0,IF($K242&gt;=설정!$B$9,3,IF($J242+$K242&gt;=설정!$B$9,2,IF($I242+$J242+$K242&gt;=설정!$B$9,1,0)))))</f>
        <v/>
      </c>
      <c r="P242" s="38">
        <f>IF($U242="","",IF($M242="제외","제외(조치 상태)",IF($O242=3,"③ 강한 독촉 후보 ("&amp;설정!$B$8&amp;"일 초과)",IF($O242=2,"② 독촉 후보 ("&amp;설정!$B$7&amp;"일 초과)",IF($O242=1,"① 안내 후보 ("&amp;설정!$B$6&amp;"일 초과)",IF($G242&gt;0,IF($I242+$J242+$K242&gt;0,"오래된 잔액 있음 (최소 금액 미만)","정상 범위"),IF($G242&lt;0,"선수금·초과입금 — 확인","완납")))))))</f>
        <v/>
      </c>
      <c r="Q242" s="38">
        <f>IF($U242="","",IF($G242&lt;0,"입금이 매출보다 큼 — 선수금이거나 다른 거래처 입금이 섞였는지 확인",IF(AND($AE242&lt;&gt;"",COUNTIF($AE$8:$AE$307,"*"&amp;$AE242&amp;"*")&gt;1),"이름이 다른 거래처와 겹침 — 입금이 잘못 맞았을 수 있으니 별칭 확인",IF(AND($G242&gt;0,$F242=0),"입금 매칭 없음 — 입금자명이 다르면 [거래처설정]에 별칭 등록",""))))</f>
        <v/>
      </c>
      <c r="R242" s="31">
        <f>IF(OR($U242="",$G242&lt;=0),"",$G242-$A242/10000)</f>
        <v/>
      </c>
      <c r="S242" s="31">
        <f>IF(OR($U242="",$O242&lt;1),"",$O242*10^11+$I242+$J242+$K242-$A242/1000)</f>
        <v/>
      </c>
      <c r="T242" s="31">
        <f>IF($U242="","",IFERROR(MATCH(INDEX(매출원본!$AU$8:$AU$2007,$U242),거래처설정!$I$8:$I$407,0),""))</f>
        <v/>
      </c>
      <c r="U242" s="31">
        <f>IFERROR(MATCH(235,매출원본!$AW$8:$AW$2007,0),"")</f>
        <v/>
      </c>
      <c r="V242" s="31">
        <f>IF($U242="","",MAX(SUMIFS(매출원본!$AT$8:$AT$2007,매출원본!$AY$8:$AY$2007,$A242,매출원본!$AS$8:$AS$2007,"&gt;="&amp;(설정!$B$5-설정!$B$6),매출원본!$AS$8:$AS$2007,"&lt;="&amp;설정!$B$5),0))</f>
        <v/>
      </c>
      <c r="W242" s="31">
        <f>IF($U242="","",MAX($V242,SUMIFS(매출원본!$AT$8:$AT$2007,매출원본!$AY$8:$AY$2007,$A242,매출원본!$AS$8:$AS$2007,"&gt;="&amp;(설정!$B$5-설정!$B$7),매출원본!$AS$8:$AS$2007,"&lt;="&amp;설정!$B$5)))</f>
        <v/>
      </c>
      <c r="X242" s="31">
        <f>IF($U242="","",MAX($W242,SUMIFS(매출원본!$AT$8:$AT$2007,매출원본!$AY$8:$AY$2007,$A242,매출원본!$AS$8:$AS$2007,"&gt;="&amp;(설정!$B$5-설정!$B$8),매출원본!$AS$8:$AS$2007,"&lt;="&amp;설정!$B$5)))</f>
        <v/>
      </c>
      <c r="AC242" s="31">
        <f>IF(OR($U242="",$T242=""),"",INDEX(거래처설정!$J$8:$J$407,$T242))</f>
        <v/>
      </c>
      <c r="AD242" s="31">
        <f>IF(OR($U242="",$T242=""),"",INDEX(거래처설정!$K$8:$K$407,$T242))</f>
        <v/>
      </c>
      <c r="AE242" s="31">
        <f>IF($U242="","",IF(LEN(SUBSTITUTE(SUBSTITUTE(SUBSTITUTE(SUBSTITUTE(SUBSTITUTE(SUBSTITUTE(SUBSTITUTE(SUBSTITUTE(SUBSTITUTE($C242," ",""),"　",""),"(주)",""),"（주）",""),"㈜",""),"주식회사",""),"(유)",""),"（유）",""),"유한회사",""))&lt;2,"",SUBSTITUTE(SUBSTITUTE(SUBSTITUTE(SUBSTITUTE(SUBSTITUTE(SUBSTITUTE(SUBSTITUTE(SUBSTITUTE(SUBSTITUTE($C242," ",""),"　",""),"(주)",""),"（주）",""),"㈜",""),"주식회사",""),"(유)",""),"（유）",""),"유한회사","")))</f>
        <v/>
      </c>
    </row>
    <row r="243">
      <c r="A243" s="38">
        <f>IF($U243="","",236)</f>
        <v/>
      </c>
      <c r="B243" s="38">
        <f>IF($U243="","",IF(LEN(INDEX(매출원본!$AU$8:$AU$2007,$U243))=10,LEFT(INDEX(매출원본!$AU$8:$AU$2007,$U243),3)&amp;"-"&amp;MID(INDEX(매출원본!$AU$8:$AU$2007,$U243),4,2)&amp;"-"&amp;RIGHT(INDEX(매출원본!$AU$8:$AU$2007,$U243),5),IF(LEFT(INDEX(매출원본!$AU$8:$AU$2007,$U243),2)="N:","(번호 없음)",INDEX(매출원본!$AU$8:$AU$2007,$U243))))</f>
        <v/>
      </c>
      <c r="C243" s="38">
        <f>IF($U243="","",INDEX(매출원본!$AV$8:$AV$2007,$U243))</f>
        <v/>
      </c>
      <c r="D243" s="39">
        <f>IF($U243="","",IF($T243="",0,N(INDEX(거래처설정!$E$8:$E$407,$T243))))</f>
        <v/>
      </c>
      <c r="E243" s="39">
        <f>IF($U243="","",SUMIFS(매출원본!$AT$8:$AT$2007,매출원본!$AY$8:$AY$2007,$A243,매출원본!$AS$8:$AS$2007,"&lt;="&amp;설정!$B$5))</f>
        <v/>
      </c>
      <c r="F243" s="39">
        <f>IF($U243="","",SUMIFS(입금_은행1!$Z$8:$Z$2007,입금_은행1!$AC$8:$AC$2007,$A243,입금_은행1!$Y$8:$Y$2007,"&lt;="&amp;설정!$B$5)+SUMIFS(입금_은행2!$Z$8:$Z$2007,입금_은행2!$AC$8:$AC$2007,$A243,입금_은행2!$Y$8:$Y$2007,"&lt;="&amp;설정!$B$5))</f>
        <v/>
      </c>
      <c r="G243" s="39">
        <f>IF($U243="","",$D243+$E243-$F243)</f>
        <v/>
      </c>
      <c r="H243" s="39">
        <f>IF($U243="","",MIN(MAX($G243,0),$V243))</f>
        <v/>
      </c>
      <c r="I243" s="39">
        <f>IF($U243="","",MIN(MAX($G243,0),$W243)-MIN(MAX($G243,0),$V243))</f>
        <v/>
      </c>
      <c r="J243" s="39">
        <f>IF($U243="","",MIN(MAX($G243,0),$X243)-MIN(MAX($G243,0),$W243))</f>
        <v/>
      </c>
      <c r="K243" s="39">
        <f>IF($U243="","",MAX($G243,0)-MIN(MAX($G243,0),$X243))</f>
        <v/>
      </c>
      <c r="L243" s="40">
        <f>IF($U243="","",IF(MAX(SUMPRODUCT(MAX((입금_은행1!$AC$8:$AC$2007=$A243)*(입금_은행1!$AE$8:$AE$2007&lt;=설정!$B$5)*입금_은행1!$AE$8:$AE$2007)),SUMPRODUCT(MAX((입금_은행2!$AC$8:$AC$2007=$A243)*(입금_은행2!$AE$8:$AE$2007&lt;=설정!$B$5)*입금_은행2!$AE$8:$AE$2007)))=0,"",MAX(SUMPRODUCT(MAX((입금_은행1!$AC$8:$AC$2007=$A243)*(입금_은행1!$AE$8:$AE$2007&lt;=설정!$B$5)*입금_은행1!$AE$8:$AE$2007)),SUMPRODUCT(MAX((입금_은행2!$AC$8:$AC$2007=$A243)*(입금_은행2!$AE$8:$AE$2007&lt;=설정!$B$5)*입금_은행2!$AE$8:$AE$2007)))))</f>
        <v/>
      </c>
      <c r="M243" s="38">
        <f>IF($U243="","",IF($T243="","",IF(INDEX(거래처설정!$F$8:$F$407,$T243)="","",INDEX(거래처설정!$F$8:$F$407,$T243))))</f>
        <v/>
      </c>
      <c r="N243" s="38">
        <f>IF($U243="","",IF($T243="","",IF(INDEX(거래처설정!$G$8:$G$407,$T243)="","",INDEX(거래처설정!$G$8:$G$407,$T243))))</f>
        <v/>
      </c>
      <c r="O243" s="38">
        <f>IF($U243="","",IF($M243="제외",0,IF($K243&gt;=설정!$B$9,3,IF($J243+$K243&gt;=설정!$B$9,2,IF($I243+$J243+$K243&gt;=설정!$B$9,1,0)))))</f>
        <v/>
      </c>
      <c r="P243" s="38">
        <f>IF($U243="","",IF($M243="제외","제외(조치 상태)",IF($O243=3,"③ 강한 독촉 후보 ("&amp;설정!$B$8&amp;"일 초과)",IF($O243=2,"② 독촉 후보 ("&amp;설정!$B$7&amp;"일 초과)",IF($O243=1,"① 안내 후보 ("&amp;설정!$B$6&amp;"일 초과)",IF($G243&gt;0,IF($I243+$J243+$K243&gt;0,"오래된 잔액 있음 (최소 금액 미만)","정상 범위"),IF($G243&lt;0,"선수금·초과입금 — 확인","완납")))))))</f>
        <v/>
      </c>
      <c r="Q243" s="38">
        <f>IF($U243="","",IF($G243&lt;0,"입금이 매출보다 큼 — 선수금이거나 다른 거래처 입금이 섞였는지 확인",IF(AND($AE243&lt;&gt;"",COUNTIF($AE$8:$AE$307,"*"&amp;$AE243&amp;"*")&gt;1),"이름이 다른 거래처와 겹침 — 입금이 잘못 맞았을 수 있으니 별칭 확인",IF(AND($G243&gt;0,$F243=0),"입금 매칭 없음 — 입금자명이 다르면 [거래처설정]에 별칭 등록",""))))</f>
        <v/>
      </c>
      <c r="R243" s="31">
        <f>IF(OR($U243="",$G243&lt;=0),"",$G243-$A243/10000)</f>
        <v/>
      </c>
      <c r="S243" s="31">
        <f>IF(OR($U243="",$O243&lt;1),"",$O243*10^11+$I243+$J243+$K243-$A243/1000)</f>
        <v/>
      </c>
      <c r="T243" s="31">
        <f>IF($U243="","",IFERROR(MATCH(INDEX(매출원본!$AU$8:$AU$2007,$U243),거래처설정!$I$8:$I$407,0),""))</f>
        <v/>
      </c>
      <c r="U243" s="31">
        <f>IFERROR(MATCH(236,매출원본!$AW$8:$AW$2007,0),"")</f>
        <v/>
      </c>
      <c r="V243" s="31">
        <f>IF($U243="","",MAX(SUMIFS(매출원본!$AT$8:$AT$2007,매출원본!$AY$8:$AY$2007,$A243,매출원본!$AS$8:$AS$2007,"&gt;="&amp;(설정!$B$5-설정!$B$6),매출원본!$AS$8:$AS$2007,"&lt;="&amp;설정!$B$5),0))</f>
        <v/>
      </c>
      <c r="W243" s="31">
        <f>IF($U243="","",MAX($V243,SUMIFS(매출원본!$AT$8:$AT$2007,매출원본!$AY$8:$AY$2007,$A243,매출원본!$AS$8:$AS$2007,"&gt;="&amp;(설정!$B$5-설정!$B$7),매출원본!$AS$8:$AS$2007,"&lt;="&amp;설정!$B$5)))</f>
        <v/>
      </c>
      <c r="X243" s="31">
        <f>IF($U243="","",MAX($W243,SUMIFS(매출원본!$AT$8:$AT$2007,매출원본!$AY$8:$AY$2007,$A243,매출원본!$AS$8:$AS$2007,"&gt;="&amp;(설정!$B$5-설정!$B$8),매출원본!$AS$8:$AS$2007,"&lt;="&amp;설정!$B$5)))</f>
        <v/>
      </c>
      <c r="AC243" s="31">
        <f>IF(OR($U243="",$T243=""),"",INDEX(거래처설정!$J$8:$J$407,$T243))</f>
        <v/>
      </c>
      <c r="AD243" s="31">
        <f>IF(OR($U243="",$T243=""),"",INDEX(거래처설정!$K$8:$K$407,$T243))</f>
        <v/>
      </c>
      <c r="AE243" s="31">
        <f>IF($U243="","",IF(LEN(SUBSTITUTE(SUBSTITUTE(SUBSTITUTE(SUBSTITUTE(SUBSTITUTE(SUBSTITUTE(SUBSTITUTE(SUBSTITUTE(SUBSTITUTE($C243," ",""),"　",""),"(주)",""),"（주）",""),"㈜",""),"주식회사",""),"(유)",""),"（유）",""),"유한회사",""))&lt;2,"",SUBSTITUTE(SUBSTITUTE(SUBSTITUTE(SUBSTITUTE(SUBSTITUTE(SUBSTITUTE(SUBSTITUTE(SUBSTITUTE(SUBSTITUTE($C243," ",""),"　",""),"(주)",""),"（주）",""),"㈜",""),"주식회사",""),"(유)",""),"（유）",""),"유한회사","")))</f>
        <v/>
      </c>
    </row>
    <row r="244">
      <c r="A244" s="38">
        <f>IF($U244="","",237)</f>
        <v/>
      </c>
      <c r="B244" s="38">
        <f>IF($U244="","",IF(LEN(INDEX(매출원본!$AU$8:$AU$2007,$U244))=10,LEFT(INDEX(매출원본!$AU$8:$AU$2007,$U244),3)&amp;"-"&amp;MID(INDEX(매출원본!$AU$8:$AU$2007,$U244),4,2)&amp;"-"&amp;RIGHT(INDEX(매출원본!$AU$8:$AU$2007,$U244),5),IF(LEFT(INDEX(매출원본!$AU$8:$AU$2007,$U244),2)="N:","(번호 없음)",INDEX(매출원본!$AU$8:$AU$2007,$U244))))</f>
        <v/>
      </c>
      <c r="C244" s="38">
        <f>IF($U244="","",INDEX(매출원본!$AV$8:$AV$2007,$U244))</f>
        <v/>
      </c>
      <c r="D244" s="39">
        <f>IF($U244="","",IF($T244="",0,N(INDEX(거래처설정!$E$8:$E$407,$T244))))</f>
        <v/>
      </c>
      <c r="E244" s="39">
        <f>IF($U244="","",SUMIFS(매출원본!$AT$8:$AT$2007,매출원본!$AY$8:$AY$2007,$A244,매출원본!$AS$8:$AS$2007,"&lt;="&amp;설정!$B$5))</f>
        <v/>
      </c>
      <c r="F244" s="39">
        <f>IF($U244="","",SUMIFS(입금_은행1!$Z$8:$Z$2007,입금_은행1!$AC$8:$AC$2007,$A244,입금_은행1!$Y$8:$Y$2007,"&lt;="&amp;설정!$B$5)+SUMIFS(입금_은행2!$Z$8:$Z$2007,입금_은행2!$AC$8:$AC$2007,$A244,입금_은행2!$Y$8:$Y$2007,"&lt;="&amp;설정!$B$5))</f>
        <v/>
      </c>
      <c r="G244" s="39">
        <f>IF($U244="","",$D244+$E244-$F244)</f>
        <v/>
      </c>
      <c r="H244" s="39">
        <f>IF($U244="","",MIN(MAX($G244,0),$V244))</f>
        <v/>
      </c>
      <c r="I244" s="39">
        <f>IF($U244="","",MIN(MAX($G244,0),$W244)-MIN(MAX($G244,0),$V244))</f>
        <v/>
      </c>
      <c r="J244" s="39">
        <f>IF($U244="","",MIN(MAX($G244,0),$X244)-MIN(MAX($G244,0),$W244))</f>
        <v/>
      </c>
      <c r="K244" s="39">
        <f>IF($U244="","",MAX($G244,0)-MIN(MAX($G244,0),$X244))</f>
        <v/>
      </c>
      <c r="L244" s="40">
        <f>IF($U244="","",IF(MAX(SUMPRODUCT(MAX((입금_은행1!$AC$8:$AC$2007=$A244)*(입금_은행1!$AE$8:$AE$2007&lt;=설정!$B$5)*입금_은행1!$AE$8:$AE$2007)),SUMPRODUCT(MAX((입금_은행2!$AC$8:$AC$2007=$A244)*(입금_은행2!$AE$8:$AE$2007&lt;=설정!$B$5)*입금_은행2!$AE$8:$AE$2007)))=0,"",MAX(SUMPRODUCT(MAX((입금_은행1!$AC$8:$AC$2007=$A244)*(입금_은행1!$AE$8:$AE$2007&lt;=설정!$B$5)*입금_은행1!$AE$8:$AE$2007)),SUMPRODUCT(MAX((입금_은행2!$AC$8:$AC$2007=$A244)*(입금_은행2!$AE$8:$AE$2007&lt;=설정!$B$5)*입금_은행2!$AE$8:$AE$2007)))))</f>
        <v/>
      </c>
      <c r="M244" s="38">
        <f>IF($U244="","",IF($T244="","",IF(INDEX(거래처설정!$F$8:$F$407,$T244)="","",INDEX(거래처설정!$F$8:$F$407,$T244))))</f>
        <v/>
      </c>
      <c r="N244" s="38">
        <f>IF($U244="","",IF($T244="","",IF(INDEX(거래처설정!$G$8:$G$407,$T244)="","",INDEX(거래처설정!$G$8:$G$407,$T244))))</f>
        <v/>
      </c>
      <c r="O244" s="38">
        <f>IF($U244="","",IF($M244="제외",0,IF($K244&gt;=설정!$B$9,3,IF($J244+$K244&gt;=설정!$B$9,2,IF($I244+$J244+$K244&gt;=설정!$B$9,1,0)))))</f>
        <v/>
      </c>
      <c r="P244" s="38">
        <f>IF($U244="","",IF($M244="제외","제외(조치 상태)",IF($O244=3,"③ 강한 독촉 후보 ("&amp;설정!$B$8&amp;"일 초과)",IF($O244=2,"② 독촉 후보 ("&amp;설정!$B$7&amp;"일 초과)",IF($O244=1,"① 안내 후보 ("&amp;설정!$B$6&amp;"일 초과)",IF($G244&gt;0,IF($I244+$J244+$K244&gt;0,"오래된 잔액 있음 (최소 금액 미만)","정상 범위"),IF($G244&lt;0,"선수금·초과입금 — 확인","완납")))))))</f>
        <v/>
      </c>
      <c r="Q244" s="38">
        <f>IF($U244="","",IF($G244&lt;0,"입금이 매출보다 큼 — 선수금이거나 다른 거래처 입금이 섞였는지 확인",IF(AND($AE244&lt;&gt;"",COUNTIF($AE$8:$AE$307,"*"&amp;$AE244&amp;"*")&gt;1),"이름이 다른 거래처와 겹침 — 입금이 잘못 맞았을 수 있으니 별칭 확인",IF(AND($G244&gt;0,$F244=0),"입금 매칭 없음 — 입금자명이 다르면 [거래처설정]에 별칭 등록",""))))</f>
        <v/>
      </c>
      <c r="R244" s="31">
        <f>IF(OR($U244="",$G244&lt;=0),"",$G244-$A244/10000)</f>
        <v/>
      </c>
      <c r="S244" s="31">
        <f>IF(OR($U244="",$O244&lt;1),"",$O244*10^11+$I244+$J244+$K244-$A244/1000)</f>
        <v/>
      </c>
      <c r="T244" s="31">
        <f>IF($U244="","",IFERROR(MATCH(INDEX(매출원본!$AU$8:$AU$2007,$U244),거래처설정!$I$8:$I$407,0),""))</f>
        <v/>
      </c>
      <c r="U244" s="31">
        <f>IFERROR(MATCH(237,매출원본!$AW$8:$AW$2007,0),"")</f>
        <v/>
      </c>
      <c r="V244" s="31">
        <f>IF($U244="","",MAX(SUMIFS(매출원본!$AT$8:$AT$2007,매출원본!$AY$8:$AY$2007,$A244,매출원본!$AS$8:$AS$2007,"&gt;="&amp;(설정!$B$5-설정!$B$6),매출원본!$AS$8:$AS$2007,"&lt;="&amp;설정!$B$5),0))</f>
        <v/>
      </c>
      <c r="W244" s="31">
        <f>IF($U244="","",MAX($V244,SUMIFS(매출원본!$AT$8:$AT$2007,매출원본!$AY$8:$AY$2007,$A244,매출원본!$AS$8:$AS$2007,"&gt;="&amp;(설정!$B$5-설정!$B$7),매출원본!$AS$8:$AS$2007,"&lt;="&amp;설정!$B$5)))</f>
        <v/>
      </c>
      <c r="X244" s="31">
        <f>IF($U244="","",MAX($W244,SUMIFS(매출원본!$AT$8:$AT$2007,매출원본!$AY$8:$AY$2007,$A244,매출원본!$AS$8:$AS$2007,"&gt;="&amp;(설정!$B$5-설정!$B$8),매출원본!$AS$8:$AS$2007,"&lt;="&amp;설정!$B$5)))</f>
        <v/>
      </c>
      <c r="AC244" s="31">
        <f>IF(OR($U244="",$T244=""),"",INDEX(거래처설정!$J$8:$J$407,$T244))</f>
        <v/>
      </c>
      <c r="AD244" s="31">
        <f>IF(OR($U244="",$T244=""),"",INDEX(거래처설정!$K$8:$K$407,$T244))</f>
        <v/>
      </c>
      <c r="AE244" s="31">
        <f>IF($U244="","",IF(LEN(SUBSTITUTE(SUBSTITUTE(SUBSTITUTE(SUBSTITUTE(SUBSTITUTE(SUBSTITUTE(SUBSTITUTE(SUBSTITUTE(SUBSTITUTE($C244," ",""),"　",""),"(주)",""),"（주）",""),"㈜",""),"주식회사",""),"(유)",""),"（유）",""),"유한회사",""))&lt;2,"",SUBSTITUTE(SUBSTITUTE(SUBSTITUTE(SUBSTITUTE(SUBSTITUTE(SUBSTITUTE(SUBSTITUTE(SUBSTITUTE(SUBSTITUTE($C244," ",""),"　",""),"(주)",""),"（주）",""),"㈜",""),"주식회사",""),"(유)",""),"（유）",""),"유한회사","")))</f>
        <v/>
      </c>
    </row>
    <row r="245">
      <c r="A245" s="38">
        <f>IF($U245="","",238)</f>
        <v/>
      </c>
      <c r="B245" s="38">
        <f>IF($U245="","",IF(LEN(INDEX(매출원본!$AU$8:$AU$2007,$U245))=10,LEFT(INDEX(매출원본!$AU$8:$AU$2007,$U245),3)&amp;"-"&amp;MID(INDEX(매출원본!$AU$8:$AU$2007,$U245),4,2)&amp;"-"&amp;RIGHT(INDEX(매출원본!$AU$8:$AU$2007,$U245),5),IF(LEFT(INDEX(매출원본!$AU$8:$AU$2007,$U245),2)="N:","(번호 없음)",INDEX(매출원본!$AU$8:$AU$2007,$U245))))</f>
        <v/>
      </c>
      <c r="C245" s="38">
        <f>IF($U245="","",INDEX(매출원본!$AV$8:$AV$2007,$U245))</f>
        <v/>
      </c>
      <c r="D245" s="39">
        <f>IF($U245="","",IF($T245="",0,N(INDEX(거래처설정!$E$8:$E$407,$T245))))</f>
        <v/>
      </c>
      <c r="E245" s="39">
        <f>IF($U245="","",SUMIFS(매출원본!$AT$8:$AT$2007,매출원본!$AY$8:$AY$2007,$A245,매출원본!$AS$8:$AS$2007,"&lt;="&amp;설정!$B$5))</f>
        <v/>
      </c>
      <c r="F245" s="39">
        <f>IF($U245="","",SUMIFS(입금_은행1!$Z$8:$Z$2007,입금_은행1!$AC$8:$AC$2007,$A245,입금_은행1!$Y$8:$Y$2007,"&lt;="&amp;설정!$B$5)+SUMIFS(입금_은행2!$Z$8:$Z$2007,입금_은행2!$AC$8:$AC$2007,$A245,입금_은행2!$Y$8:$Y$2007,"&lt;="&amp;설정!$B$5))</f>
        <v/>
      </c>
      <c r="G245" s="39">
        <f>IF($U245="","",$D245+$E245-$F245)</f>
        <v/>
      </c>
      <c r="H245" s="39">
        <f>IF($U245="","",MIN(MAX($G245,0),$V245))</f>
        <v/>
      </c>
      <c r="I245" s="39">
        <f>IF($U245="","",MIN(MAX($G245,0),$W245)-MIN(MAX($G245,0),$V245))</f>
        <v/>
      </c>
      <c r="J245" s="39">
        <f>IF($U245="","",MIN(MAX($G245,0),$X245)-MIN(MAX($G245,0),$W245))</f>
        <v/>
      </c>
      <c r="K245" s="39">
        <f>IF($U245="","",MAX($G245,0)-MIN(MAX($G245,0),$X245))</f>
        <v/>
      </c>
      <c r="L245" s="40">
        <f>IF($U245="","",IF(MAX(SUMPRODUCT(MAX((입금_은행1!$AC$8:$AC$2007=$A245)*(입금_은행1!$AE$8:$AE$2007&lt;=설정!$B$5)*입금_은행1!$AE$8:$AE$2007)),SUMPRODUCT(MAX((입금_은행2!$AC$8:$AC$2007=$A245)*(입금_은행2!$AE$8:$AE$2007&lt;=설정!$B$5)*입금_은행2!$AE$8:$AE$2007)))=0,"",MAX(SUMPRODUCT(MAX((입금_은행1!$AC$8:$AC$2007=$A245)*(입금_은행1!$AE$8:$AE$2007&lt;=설정!$B$5)*입금_은행1!$AE$8:$AE$2007)),SUMPRODUCT(MAX((입금_은행2!$AC$8:$AC$2007=$A245)*(입금_은행2!$AE$8:$AE$2007&lt;=설정!$B$5)*입금_은행2!$AE$8:$AE$2007)))))</f>
        <v/>
      </c>
      <c r="M245" s="38">
        <f>IF($U245="","",IF($T245="","",IF(INDEX(거래처설정!$F$8:$F$407,$T245)="","",INDEX(거래처설정!$F$8:$F$407,$T245))))</f>
        <v/>
      </c>
      <c r="N245" s="38">
        <f>IF($U245="","",IF($T245="","",IF(INDEX(거래처설정!$G$8:$G$407,$T245)="","",INDEX(거래처설정!$G$8:$G$407,$T245))))</f>
        <v/>
      </c>
      <c r="O245" s="38">
        <f>IF($U245="","",IF($M245="제외",0,IF($K245&gt;=설정!$B$9,3,IF($J245+$K245&gt;=설정!$B$9,2,IF($I245+$J245+$K245&gt;=설정!$B$9,1,0)))))</f>
        <v/>
      </c>
      <c r="P245" s="38">
        <f>IF($U245="","",IF($M245="제외","제외(조치 상태)",IF($O245=3,"③ 강한 독촉 후보 ("&amp;설정!$B$8&amp;"일 초과)",IF($O245=2,"② 독촉 후보 ("&amp;설정!$B$7&amp;"일 초과)",IF($O245=1,"① 안내 후보 ("&amp;설정!$B$6&amp;"일 초과)",IF($G245&gt;0,IF($I245+$J245+$K245&gt;0,"오래된 잔액 있음 (최소 금액 미만)","정상 범위"),IF($G245&lt;0,"선수금·초과입금 — 확인","완납")))))))</f>
        <v/>
      </c>
      <c r="Q245" s="38">
        <f>IF($U245="","",IF($G245&lt;0,"입금이 매출보다 큼 — 선수금이거나 다른 거래처 입금이 섞였는지 확인",IF(AND($AE245&lt;&gt;"",COUNTIF($AE$8:$AE$307,"*"&amp;$AE245&amp;"*")&gt;1),"이름이 다른 거래처와 겹침 — 입금이 잘못 맞았을 수 있으니 별칭 확인",IF(AND($G245&gt;0,$F245=0),"입금 매칭 없음 — 입금자명이 다르면 [거래처설정]에 별칭 등록",""))))</f>
        <v/>
      </c>
      <c r="R245" s="31">
        <f>IF(OR($U245="",$G245&lt;=0),"",$G245-$A245/10000)</f>
        <v/>
      </c>
      <c r="S245" s="31">
        <f>IF(OR($U245="",$O245&lt;1),"",$O245*10^11+$I245+$J245+$K245-$A245/1000)</f>
        <v/>
      </c>
      <c r="T245" s="31">
        <f>IF($U245="","",IFERROR(MATCH(INDEX(매출원본!$AU$8:$AU$2007,$U245),거래처설정!$I$8:$I$407,0),""))</f>
        <v/>
      </c>
      <c r="U245" s="31">
        <f>IFERROR(MATCH(238,매출원본!$AW$8:$AW$2007,0),"")</f>
        <v/>
      </c>
      <c r="V245" s="31">
        <f>IF($U245="","",MAX(SUMIFS(매출원본!$AT$8:$AT$2007,매출원본!$AY$8:$AY$2007,$A245,매출원본!$AS$8:$AS$2007,"&gt;="&amp;(설정!$B$5-설정!$B$6),매출원본!$AS$8:$AS$2007,"&lt;="&amp;설정!$B$5),0))</f>
        <v/>
      </c>
      <c r="W245" s="31">
        <f>IF($U245="","",MAX($V245,SUMIFS(매출원본!$AT$8:$AT$2007,매출원본!$AY$8:$AY$2007,$A245,매출원본!$AS$8:$AS$2007,"&gt;="&amp;(설정!$B$5-설정!$B$7),매출원본!$AS$8:$AS$2007,"&lt;="&amp;설정!$B$5)))</f>
        <v/>
      </c>
      <c r="X245" s="31">
        <f>IF($U245="","",MAX($W245,SUMIFS(매출원본!$AT$8:$AT$2007,매출원본!$AY$8:$AY$2007,$A245,매출원본!$AS$8:$AS$2007,"&gt;="&amp;(설정!$B$5-설정!$B$8),매출원본!$AS$8:$AS$2007,"&lt;="&amp;설정!$B$5)))</f>
        <v/>
      </c>
      <c r="AC245" s="31">
        <f>IF(OR($U245="",$T245=""),"",INDEX(거래처설정!$J$8:$J$407,$T245))</f>
        <v/>
      </c>
      <c r="AD245" s="31">
        <f>IF(OR($U245="",$T245=""),"",INDEX(거래처설정!$K$8:$K$407,$T245))</f>
        <v/>
      </c>
      <c r="AE245" s="31">
        <f>IF($U245="","",IF(LEN(SUBSTITUTE(SUBSTITUTE(SUBSTITUTE(SUBSTITUTE(SUBSTITUTE(SUBSTITUTE(SUBSTITUTE(SUBSTITUTE(SUBSTITUTE($C245," ",""),"　",""),"(주)",""),"（주）",""),"㈜",""),"주식회사",""),"(유)",""),"（유）",""),"유한회사",""))&lt;2,"",SUBSTITUTE(SUBSTITUTE(SUBSTITUTE(SUBSTITUTE(SUBSTITUTE(SUBSTITUTE(SUBSTITUTE(SUBSTITUTE(SUBSTITUTE($C245," ",""),"　",""),"(주)",""),"（주）",""),"㈜",""),"주식회사",""),"(유)",""),"（유）",""),"유한회사","")))</f>
        <v/>
      </c>
    </row>
    <row r="246">
      <c r="A246" s="38">
        <f>IF($U246="","",239)</f>
        <v/>
      </c>
      <c r="B246" s="38">
        <f>IF($U246="","",IF(LEN(INDEX(매출원본!$AU$8:$AU$2007,$U246))=10,LEFT(INDEX(매출원본!$AU$8:$AU$2007,$U246),3)&amp;"-"&amp;MID(INDEX(매출원본!$AU$8:$AU$2007,$U246),4,2)&amp;"-"&amp;RIGHT(INDEX(매출원본!$AU$8:$AU$2007,$U246),5),IF(LEFT(INDEX(매출원본!$AU$8:$AU$2007,$U246),2)="N:","(번호 없음)",INDEX(매출원본!$AU$8:$AU$2007,$U246))))</f>
        <v/>
      </c>
      <c r="C246" s="38">
        <f>IF($U246="","",INDEX(매출원본!$AV$8:$AV$2007,$U246))</f>
        <v/>
      </c>
      <c r="D246" s="39">
        <f>IF($U246="","",IF($T246="",0,N(INDEX(거래처설정!$E$8:$E$407,$T246))))</f>
        <v/>
      </c>
      <c r="E246" s="39">
        <f>IF($U246="","",SUMIFS(매출원본!$AT$8:$AT$2007,매출원본!$AY$8:$AY$2007,$A246,매출원본!$AS$8:$AS$2007,"&lt;="&amp;설정!$B$5))</f>
        <v/>
      </c>
      <c r="F246" s="39">
        <f>IF($U246="","",SUMIFS(입금_은행1!$Z$8:$Z$2007,입금_은행1!$AC$8:$AC$2007,$A246,입금_은행1!$Y$8:$Y$2007,"&lt;="&amp;설정!$B$5)+SUMIFS(입금_은행2!$Z$8:$Z$2007,입금_은행2!$AC$8:$AC$2007,$A246,입금_은행2!$Y$8:$Y$2007,"&lt;="&amp;설정!$B$5))</f>
        <v/>
      </c>
      <c r="G246" s="39">
        <f>IF($U246="","",$D246+$E246-$F246)</f>
        <v/>
      </c>
      <c r="H246" s="39">
        <f>IF($U246="","",MIN(MAX($G246,0),$V246))</f>
        <v/>
      </c>
      <c r="I246" s="39">
        <f>IF($U246="","",MIN(MAX($G246,0),$W246)-MIN(MAX($G246,0),$V246))</f>
        <v/>
      </c>
      <c r="J246" s="39">
        <f>IF($U246="","",MIN(MAX($G246,0),$X246)-MIN(MAX($G246,0),$W246))</f>
        <v/>
      </c>
      <c r="K246" s="39">
        <f>IF($U246="","",MAX($G246,0)-MIN(MAX($G246,0),$X246))</f>
        <v/>
      </c>
      <c r="L246" s="40">
        <f>IF($U246="","",IF(MAX(SUMPRODUCT(MAX((입금_은행1!$AC$8:$AC$2007=$A246)*(입금_은행1!$AE$8:$AE$2007&lt;=설정!$B$5)*입금_은행1!$AE$8:$AE$2007)),SUMPRODUCT(MAX((입금_은행2!$AC$8:$AC$2007=$A246)*(입금_은행2!$AE$8:$AE$2007&lt;=설정!$B$5)*입금_은행2!$AE$8:$AE$2007)))=0,"",MAX(SUMPRODUCT(MAX((입금_은행1!$AC$8:$AC$2007=$A246)*(입금_은행1!$AE$8:$AE$2007&lt;=설정!$B$5)*입금_은행1!$AE$8:$AE$2007)),SUMPRODUCT(MAX((입금_은행2!$AC$8:$AC$2007=$A246)*(입금_은행2!$AE$8:$AE$2007&lt;=설정!$B$5)*입금_은행2!$AE$8:$AE$2007)))))</f>
        <v/>
      </c>
      <c r="M246" s="38">
        <f>IF($U246="","",IF($T246="","",IF(INDEX(거래처설정!$F$8:$F$407,$T246)="","",INDEX(거래처설정!$F$8:$F$407,$T246))))</f>
        <v/>
      </c>
      <c r="N246" s="38">
        <f>IF($U246="","",IF($T246="","",IF(INDEX(거래처설정!$G$8:$G$407,$T246)="","",INDEX(거래처설정!$G$8:$G$407,$T246))))</f>
        <v/>
      </c>
      <c r="O246" s="38">
        <f>IF($U246="","",IF($M246="제외",0,IF($K246&gt;=설정!$B$9,3,IF($J246+$K246&gt;=설정!$B$9,2,IF($I246+$J246+$K246&gt;=설정!$B$9,1,0)))))</f>
        <v/>
      </c>
      <c r="P246" s="38">
        <f>IF($U246="","",IF($M246="제외","제외(조치 상태)",IF($O246=3,"③ 강한 독촉 후보 ("&amp;설정!$B$8&amp;"일 초과)",IF($O246=2,"② 독촉 후보 ("&amp;설정!$B$7&amp;"일 초과)",IF($O246=1,"① 안내 후보 ("&amp;설정!$B$6&amp;"일 초과)",IF($G246&gt;0,IF($I246+$J246+$K246&gt;0,"오래된 잔액 있음 (최소 금액 미만)","정상 범위"),IF($G246&lt;0,"선수금·초과입금 — 확인","완납")))))))</f>
        <v/>
      </c>
      <c r="Q246" s="38">
        <f>IF($U246="","",IF($G246&lt;0,"입금이 매출보다 큼 — 선수금이거나 다른 거래처 입금이 섞였는지 확인",IF(AND($AE246&lt;&gt;"",COUNTIF($AE$8:$AE$307,"*"&amp;$AE246&amp;"*")&gt;1),"이름이 다른 거래처와 겹침 — 입금이 잘못 맞았을 수 있으니 별칭 확인",IF(AND($G246&gt;0,$F246=0),"입금 매칭 없음 — 입금자명이 다르면 [거래처설정]에 별칭 등록",""))))</f>
        <v/>
      </c>
      <c r="R246" s="31">
        <f>IF(OR($U246="",$G246&lt;=0),"",$G246-$A246/10000)</f>
        <v/>
      </c>
      <c r="S246" s="31">
        <f>IF(OR($U246="",$O246&lt;1),"",$O246*10^11+$I246+$J246+$K246-$A246/1000)</f>
        <v/>
      </c>
      <c r="T246" s="31">
        <f>IF($U246="","",IFERROR(MATCH(INDEX(매출원본!$AU$8:$AU$2007,$U246),거래처설정!$I$8:$I$407,0),""))</f>
        <v/>
      </c>
      <c r="U246" s="31">
        <f>IFERROR(MATCH(239,매출원본!$AW$8:$AW$2007,0),"")</f>
        <v/>
      </c>
      <c r="V246" s="31">
        <f>IF($U246="","",MAX(SUMIFS(매출원본!$AT$8:$AT$2007,매출원본!$AY$8:$AY$2007,$A246,매출원본!$AS$8:$AS$2007,"&gt;="&amp;(설정!$B$5-설정!$B$6),매출원본!$AS$8:$AS$2007,"&lt;="&amp;설정!$B$5),0))</f>
        <v/>
      </c>
      <c r="W246" s="31">
        <f>IF($U246="","",MAX($V246,SUMIFS(매출원본!$AT$8:$AT$2007,매출원본!$AY$8:$AY$2007,$A246,매출원본!$AS$8:$AS$2007,"&gt;="&amp;(설정!$B$5-설정!$B$7),매출원본!$AS$8:$AS$2007,"&lt;="&amp;설정!$B$5)))</f>
        <v/>
      </c>
      <c r="X246" s="31">
        <f>IF($U246="","",MAX($W246,SUMIFS(매출원본!$AT$8:$AT$2007,매출원본!$AY$8:$AY$2007,$A246,매출원본!$AS$8:$AS$2007,"&gt;="&amp;(설정!$B$5-설정!$B$8),매출원본!$AS$8:$AS$2007,"&lt;="&amp;설정!$B$5)))</f>
        <v/>
      </c>
      <c r="AC246" s="31">
        <f>IF(OR($U246="",$T246=""),"",INDEX(거래처설정!$J$8:$J$407,$T246))</f>
        <v/>
      </c>
      <c r="AD246" s="31">
        <f>IF(OR($U246="",$T246=""),"",INDEX(거래처설정!$K$8:$K$407,$T246))</f>
        <v/>
      </c>
      <c r="AE246" s="31">
        <f>IF($U246="","",IF(LEN(SUBSTITUTE(SUBSTITUTE(SUBSTITUTE(SUBSTITUTE(SUBSTITUTE(SUBSTITUTE(SUBSTITUTE(SUBSTITUTE(SUBSTITUTE($C246," ",""),"　",""),"(주)",""),"（주）",""),"㈜",""),"주식회사",""),"(유)",""),"（유）",""),"유한회사",""))&lt;2,"",SUBSTITUTE(SUBSTITUTE(SUBSTITUTE(SUBSTITUTE(SUBSTITUTE(SUBSTITUTE(SUBSTITUTE(SUBSTITUTE(SUBSTITUTE($C246," ",""),"　",""),"(주)",""),"（주）",""),"㈜",""),"주식회사",""),"(유)",""),"（유）",""),"유한회사","")))</f>
        <v/>
      </c>
    </row>
    <row r="247">
      <c r="A247" s="38">
        <f>IF($U247="","",240)</f>
        <v/>
      </c>
      <c r="B247" s="38">
        <f>IF($U247="","",IF(LEN(INDEX(매출원본!$AU$8:$AU$2007,$U247))=10,LEFT(INDEX(매출원본!$AU$8:$AU$2007,$U247),3)&amp;"-"&amp;MID(INDEX(매출원본!$AU$8:$AU$2007,$U247),4,2)&amp;"-"&amp;RIGHT(INDEX(매출원본!$AU$8:$AU$2007,$U247),5),IF(LEFT(INDEX(매출원본!$AU$8:$AU$2007,$U247),2)="N:","(번호 없음)",INDEX(매출원본!$AU$8:$AU$2007,$U247))))</f>
        <v/>
      </c>
      <c r="C247" s="38">
        <f>IF($U247="","",INDEX(매출원본!$AV$8:$AV$2007,$U247))</f>
        <v/>
      </c>
      <c r="D247" s="39">
        <f>IF($U247="","",IF($T247="",0,N(INDEX(거래처설정!$E$8:$E$407,$T247))))</f>
        <v/>
      </c>
      <c r="E247" s="39">
        <f>IF($U247="","",SUMIFS(매출원본!$AT$8:$AT$2007,매출원본!$AY$8:$AY$2007,$A247,매출원본!$AS$8:$AS$2007,"&lt;="&amp;설정!$B$5))</f>
        <v/>
      </c>
      <c r="F247" s="39">
        <f>IF($U247="","",SUMIFS(입금_은행1!$Z$8:$Z$2007,입금_은행1!$AC$8:$AC$2007,$A247,입금_은행1!$Y$8:$Y$2007,"&lt;="&amp;설정!$B$5)+SUMIFS(입금_은행2!$Z$8:$Z$2007,입금_은행2!$AC$8:$AC$2007,$A247,입금_은행2!$Y$8:$Y$2007,"&lt;="&amp;설정!$B$5))</f>
        <v/>
      </c>
      <c r="G247" s="39">
        <f>IF($U247="","",$D247+$E247-$F247)</f>
        <v/>
      </c>
      <c r="H247" s="39">
        <f>IF($U247="","",MIN(MAX($G247,0),$V247))</f>
        <v/>
      </c>
      <c r="I247" s="39">
        <f>IF($U247="","",MIN(MAX($G247,0),$W247)-MIN(MAX($G247,0),$V247))</f>
        <v/>
      </c>
      <c r="J247" s="39">
        <f>IF($U247="","",MIN(MAX($G247,0),$X247)-MIN(MAX($G247,0),$W247))</f>
        <v/>
      </c>
      <c r="K247" s="39">
        <f>IF($U247="","",MAX($G247,0)-MIN(MAX($G247,0),$X247))</f>
        <v/>
      </c>
      <c r="L247" s="40">
        <f>IF($U247="","",IF(MAX(SUMPRODUCT(MAX((입금_은행1!$AC$8:$AC$2007=$A247)*(입금_은행1!$AE$8:$AE$2007&lt;=설정!$B$5)*입금_은행1!$AE$8:$AE$2007)),SUMPRODUCT(MAX((입금_은행2!$AC$8:$AC$2007=$A247)*(입금_은행2!$AE$8:$AE$2007&lt;=설정!$B$5)*입금_은행2!$AE$8:$AE$2007)))=0,"",MAX(SUMPRODUCT(MAX((입금_은행1!$AC$8:$AC$2007=$A247)*(입금_은행1!$AE$8:$AE$2007&lt;=설정!$B$5)*입금_은행1!$AE$8:$AE$2007)),SUMPRODUCT(MAX((입금_은행2!$AC$8:$AC$2007=$A247)*(입금_은행2!$AE$8:$AE$2007&lt;=설정!$B$5)*입금_은행2!$AE$8:$AE$2007)))))</f>
        <v/>
      </c>
      <c r="M247" s="38">
        <f>IF($U247="","",IF($T247="","",IF(INDEX(거래처설정!$F$8:$F$407,$T247)="","",INDEX(거래처설정!$F$8:$F$407,$T247))))</f>
        <v/>
      </c>
      <c r="N247" s="38">
        <f>IF($U247="","",IF($T247="","",IF(INDEX(거래처설정!$G$8:$G$407,$T247)="","",INDEX(거래처설정!$G$8:$G$407,$T247))))</f>
        <v/>
      </c>
      <c r="O247" s="38">
        <f>IF($U247="","",IF($M247="제외",0,IF($K247&gt;=설정!$B$9,3,IF($J247+$K247&gt;=설정!$B$9,2,IF($I247+$J247+$K247&gt;=설정!$B$9,1,0)))))</f>
        <v/>
      </c>
      <c r="P247" s="38">
        <f>IF($U247="","",IF($M247="제외","제외(조치 상태)",IF($O247=3,"③ 강한 독촉 후보 ("&amp;설정!$B$8&amp;"일 초과)",IF($O247=2,"② 독촉 후보 ("&amp;설정!$B$7&amp;"일 초과)",IF($O247=1,"① 안내 후보 ("&amp;설정!$B$6&amp;"일 초과)",IF($G247&gt;0,IF($I247+$J247+$K247&gt;0,"오래된 잔액 있음 (최소 금액 미만)","정상 범위"),IF($G247&lt;0,"선수금·초과입금 — 확인","완납")))))))</f>
        <v/>
      </c>
      <c r="Q247" s="38">
        <f>IF($U247="","",IF($G247&lt;0,"입금이 매출보다 큼 — 선수금이거나 다른 거래처 입금이 섞였는지 확인",IF(AND($AE247&lt;&gt;"",COUNTIF($AE$8:$AE$307,"*"&amp;$AE247&amp;"*")&gt;1),"이름이 다른 거래처와 겹침 — 입금이 잘못 맞았을 수 있으니 별칭 확인",IF(AND($G247&gt;0,$F247=0),"입금 매칭 없음 — 입금자명이 다르면 [거래처설정]에 별칭 등록",""))))</f>
        <v/>
      </c>
      <c r="R247" s="31">
        <f>IF(OR($U247="",$G247&lt;=0),"",$G247-$A247/10000)</f>
        <v/>
      </c>
      <c r="S247" s="31">
        <f>IF(OR($U247="",$O247&lt;1),"",$O247*10^11+$I247+$J247+$K247-$A247/1000)</f>
        <v/>
      </c>
      <c r="T247" s="31">
        <f>IF($U247="","",IFERROR(MATCH(INDEX(매출원본!$AU$8:$AU$2007,$U247),거래처설정!$I$8:$I$407,0),""))</f>
        <v/>
      </c>
      <c r="U247" s="31">
        <f>IFERROR(MATCH(240,매출원본!$AW$8:$AW$2007,0),"")</f>
        <v/>
      </c>
      <c r="V247" s="31">
        <f>IF($U247="","",MAX(SUMIFS(매출원본!$AT$8:$AT$2007,매출원본!$AY$8:$AY$2007,$A247,매출원본!$AS$8:$AS$2007,"&gt;="&amp;(설정!$B$5-설정!$B$6),매출원본!$AS$8:$AS$2007,"&lt;="&amp;설정!$B$5),0))</f>
        <v/>
      </c>
      <c r="W247" s="31">
        <f>IF($U247="","",MAX($V247,SUMIFS(매출원본!$AT$8:$AT$2007,매출원본!$AY$8:$AY$2007,$A247,매출원본!$AS$8:$AS$2007,"&gt;="&amp;(설정!$B$5-설정!$B$7),매출원본!$AS$8:$AS$2007,"&lt;="&amp;설정!$B$5)))</f>
        <v/>
      </c>
      <c r="X247" s="31">
        <f>IF($U247="","",MAX($W247,SUMIFS(매출원본!$AT$8:$AT$2007,매출원본!$AY$8:$AY$2007,$A247,매출원본!$AS$8:$AS$2007,"&gt;="&amp;(설정!$B$5-설정!$B$8),매출원본!$AS$8:$AS$2007,"&lt;="&amp;설정!$B$5)))</f>
        <v/>
      </c>
      <c r="AC247" s="31">
        <f>IF(OR($U247="",$T247=""),"",INDEX(거래처설정!$J$8:$J$407,$T247))</f>
        <v/>
      </c>
      <c r="AD247" s="31">
        <f>IF(OR($U247="",$T247=""),"",INDEX(거래처설정!$K$8:$K$407,$T247))</f>
        <v/>
      </c>
      <c r="AE247" s="31">
        <f>IF($U247="","",IF(LEN(SUBSTITUTE(SUBSTITUTE(SUBSTITUTE(SUBSTITUTE(SUBSTITUTE(SUBSTITUTE(SUBSTITUTE(SUBSTITUTE(SUBSTITUTE($C247," ",""),"　",""),"(주)",""),"（주）",""),"㈜",""),"주식회사",""),"(유)",""),"（유）",""),"유한회사",""))&lt;2,"",SUBSTITUTE(SUBSTITUTE(SUBSTITUTE(SUBSTITUTE(SUBSTITUTE(SUBSTITUTE(SUBSTITUTE(SUBSTITUTE(SUBSTITUTE($C247," ",""),"　",""),"(주)",""),"（주）",""),"㈜",""),"주식회사",""),"(유)",""),"（유）",""),"유한회사","")))</f>
        <v/>
      </c>
    </row>
    <row r="248">
      <c r="A248" s="38">
        <f>IF($U248="","",241)</f>
        <v/>
      </c>
      <c r="B248" s="38">
        <f>IF($U248="","",IF(LEN(INDEX(매출원본!$AU$8:$AU$2007,$U248))=10,LEFT(INDEX(매출원본!$AU$8:$AU$2007,$U248),3)&amp;"-"&amp;MID(INDEX(매출원본!$AU$8:$AU$2007,$U248),4,2)&amp;"-"&amp;RIGHT(INDEX(매출원본!$AU$8:$AU$2007,$U248),5),IF(LEFT(INDEX(매출원본!$AU$8:$AU$2007,$U248),2)="N:","(번호 없음)",INDEX(매출원본!$AU$8:$AU$2007,$U248))))</f>
        <v/>
      </c>
      <c r="C248" s="38">
        <f>IF($U248="","",INDEX(매출원본!$AV$8:$AV$2007,$U248))</f>
        <v/>
      </c>
      <c r="D248" s="39">
        <f>IF($U248="","",IF($T248="",0,N(INDEX(거래처설정!$E$8:$E$407,$T248))))</f>
        <v/>
      </c>
      <c r="E248" s="39">
        <f>IF($U248="","",SUMIFS(매출원본!$AT$8:$AT$2007,매출원본!$AY$8:$AY$2007,$A248,매출원본!$AS$8:$AS$2007,"&lt;="&amp;설정!$B$5))</f>
        <v/>
      </c>
      <c r="F248" s="39">
        <f>IF($U248="","",SUMIFS(입금_은행1!$Z$8:$Z$2007,입금_은행1!$AC$8:$AC$2007,$A248,입금_은행1!$Y$8:$Y$2007,"&lt;="&amp;설정!$B$5)+SUMIFS(입금_은행2!$Z$8:$Z$2007,입금_은행2!$AC$8:$AC$2007,$A248,입금_은행2!$Y$8:$Y$2007,"&lt;="&amp;설정!$B$5))</f>
        <v/>
      </c>
      <c r="G248" s="39">
        <f>IF($U248="","",$D248+$E248-$F248)</f>
        <v/>
      </c>
      <c r="H248" s="39">
        <f>IF($U248="","",MIN(MAX($G248,0),$V248))</f>
        <v/>
      </c>
      <c r="I248" s="39">
        <f>IF($U248="","",MIN(MAX($G248,0),$W248)-MIN(MAX($G248,0),$V248))</f>
        <v/>
      </c>
      <c r="J248" s="39">
        <f>IF($U248="","",MIN(MAX($G248,0),$X248)-MIN(MAX($G248,0),$W248))</f>
        <v/>
      </c>
      <c r="K248" s="39">
        <f>IF($U248="","",MAX($G248,0)-MIN(MAX($G248,0),$X248))</f>
        <v/>
      </c>
      <c r="L248" s="40">
        <f>IF($U248="","",IF(MAX(SUMPRODUCT(MAX((입금_은행1!$AC$8:$AC$2007=$A248)*(입금_은행1!$AE$8:$AE$2007&lt;=설정!$B$5)*입금_은행1!$AE$8:$AE$2007)),SUMPRODUCT(MAX((입금_은행2!$AC$8:$AC$2007=$A248)*(입금_은행2!$AE$8:$AE$2007&lt;=설정!$B$5)*입금_은행2!$AE$8:$AE$2007)))=0,"",MAX(SUMPRODUCT(MAX((입금_은행1!$AC$8:$AC$2007=$A248)*(입금_은행1!$AE$8:$AE$2007&lt;=설정!$B$5)*입금_은행1!$AE$8:$AE$2007)),SUMPRODUCT(MAX((입금_은행2!$AC$8:$AC$2007=$A248)*(입금_은행2!$AE$8:$AE$2007&lt;=설정!$B$5)*입금_은행2!$AE$8:$AE$2007)))))</f>
        <v/>
      </c>
      <c r="M248" s="38">
        <f>IF($U248="","",IF($T248="","",IF(INDEX(거래처설정!$F$8:$F$407,$T248)="","",INDEX(거래처설정!$F$8:$F$407,$T248))))</f>
        <v/>
      </c>
      <c r="N248" s="38">
        <f>IF($U248="","",IF($T248="","",IF(INDEX(거래처설정!$G$8:$G$407,$T248)="","",INDEX(거래처설정!$G$8:$G$407,$T248))))</f>
        <v/>
      </c>
      <c r="O248" s="38">
        <f>IF($U248="","",IF($M248="제외",0,IF($K248&gt;=설정!$B$9,3,IF($J248+$K248&gt;=설정!$B$9,2,IF($I248+$J248+$K248&gt;=설정!$B$9,1,0)))))</f>
        <v/>
      </c>
      <c r="P248" s="38">
        <f>IF($U248="","",IF($M248="제외","제외(조치 상태)",IF($O248=3,"③ 강한 독촉 후보 ("&amp;설정!$B$8&amp;"일 초과)",IF($O248=2,"② 독촉 후보 ("&amp;설정!$B$7&amp;"일 초과)",IF($O248=1,"① 안내 후보 ("&amp;설정!$B$6&amp;"일 초과)",IF($G248&gt;0,IF($I248+$J248+$K248&gt;0,"오래된 잔액 있음 (최소 금액 미만)","정상 범위"),IF($G248&lt;0,"선수금·초과입금 — 확인","완납")))))))</f>
        <v/>
      </c>
      <c r="Q248" s="38">
        <f>IF($U248="","",IF($G248&lt;0,"입금이 매출보다 큼 — 선수금이거나 다른 거래처 입금이 섞였는지 확인",IF(AND($AE248&lt;&gt;"",COUNTIF($AE$8:$AE$307,"*"&amp;$AE248&amp;"*")&gt;1),"이름이 다른 거래처와 겹침 — 입금이 잘못 맞았을 수 있으니 별칭 확인",IF(AND($G248&gt;0,$F248=0),"입금 매칭 없음 — 입금자명이 다르면 [거래처설정]에 별칭 등록",""))))</f>
        <v/>
      </c>
      <c r="R248" s="31">
        <f>IF(OR($U248="",$G248&lt;=0),"",$G248-$A248/10000)</f>
        <v/>
      </c>
      <c r="S248" s="31">
        <f>IF(OR($U248="",$O248&lt;1),"",$O248*10^11+$I248+$J248+$K248-$A248/1000)</f>
        <v/>
      </c>
      <c r="T248" s="31">
        <f>IF($U248="","",IFERROR(MATCH(INDEX(매출원본!$AU$8:$AU$2007,$U248),거래처설정!$I$8:$I$407,0),""))</f>
        <v/>
      </c>
      <c r="U248" s="31">
        <f>IFERROR(MATCH(241,매출원본!$AW$8:$AW$2007,0),"")</f>
        <v/>
      </c>
      <c r="V248" s="31">
        <f>IF($U248="","",MAX(SUMIFS(매출원본!$AT$8:$AT$2007,매출원본!$AY$8:$AY$2007,$A248,매출원본!$AS$8:$AS$2007,"&gt;="&amp;(설정!$B$5-설정!$B$6),매출원본!$AS$8:$AS$2007,"&lt;="&amp;설정!$B$5),0))</f>
        <v/>
      </c>
      <c r="W248" s="31">
        <f>IF($U248="","",MAX($V248,SUMIFS(매출원본!$AT$8:$AT$2007,매출원본!$AY$8:$AY$2007,$A248,매출원본!$AS$8:$AS$2007,"&gt;="&amp;(설정!$B$5-설정!$B$7),매출원본!$AS$8:$AS$2007,"&lt;="&amp;설정!$B$5)))</f>
        <v/>
      </c>
      <c r="X248" s="31">
        <f>IF($U248="","",MAX($W248,SUMIFS(매출원본!$AT$8:$AT$2007,매출원본!$AY$8:$AY$2007,$A248,매출원본!$AS$8:$AS$2007,"&gt;="&amp;(설정!$B$5-설정!$B$8),매출원본!$AS$8:$AS$2007,"&lt;="&amp;설정!$B$5)))</f>
        <v/>
      </c>
      <c r="AC248" s="31">
        <f>IF(OR($U248="",$T248=""),"",INDEX(거래처설정!$J$8:$J$407,$T248))</f>
        <v/>
      </c>
      <c r="AD248" s="31">
        <f>IF(OR($U248="",$T248=""),"",INDEX(거래처설정!$K$8:$K$407,$T248))</f>
        <v/>
      </c>
      <c r="AE248" s="31">
        <f>IF($U248="","",IF(LEN(SUBSTITUTE(SUBSTITUTE(SUBSTITUTE(SUBSTITUTE(SUBSTITUTE(SUBSTITUTE(SUBSTITUTE(SUBSTITUTE(SUBSTITUTE($C248," ",""),"　",""),"(주)",""),"（주）",""),"㈜",""),"주식회사",""),"(유)",""),"（유）",""),"유한회사",""))&lt;2,"",SUBSTITUTE(SUBSTITUTE(SUBSTITUTE(SUBSTITUTE(SUBSTITUTE(SUBSTITUTE(SUBSTITUTE(SUBSTITUTE(SUBSTITUTE($C248," ",""),"　",""),"(주)",""),"（주）",""),"㈜",""),"주식회사",""),"(유)",""),"（유）",""),"유한회사","")))</f>
        <v/>
      </c>
    </row>
    <row r="249">
      <c r="A249" s="38">
        <f>IF($U249="","",242)</f>
        <v/>
      </c>
      <c r="B249" s="38">
        <f>IF($U249="","",IF(LEN(INDEX(매출원본!$AU$8:$AU$2007,$U249))=10,LEFT(INDEX(매출원본!$AU$8:$AU$2007,$U249),3)&amp;"-"&amp;MID(INDEX(매출원본!$AU$8:$AU$2007,$U249),4,2)&amp;"-"&amp;RIGHT(INDEX(매출원본!$AU$8:$AU$2007,$U249),5),IF(LEFT(INDEX(매출원본!$AU$8:$AU$2007,$U249),2)="N:","(번호 없음)",INDEX(매출원본!$AU$8:$AU$2007,$U249))))</f>
        <v/>
      </c>
      <c r="C249" s="38">
        <f>IF($U249="","",INDEX(매출원본!$AV$8:$AV$2007,$U249))</f>
        <v/>
      </c>
      <c r="D249" s="39">
        <f>IF($U249="","",IF($T249="",0,N(INDEX(거래처설정!$E$8:$E$407,$T249))))</f>
        <v/>
      </c>
      <c r="E249" s="39">
        <f>IF($U249="","",SUMIFS(매출원본!$AT$8:$AT$2007,매출원본!$AY$8:$AY$2007,$A249,매출원본!$AS$8:$AS$2007,"&lt;="&amp;설정!$B$5))</f>
        <v/>
      </c>
      <c r="F249" s="39">
        <f>IF($U249="","",SUMIFS(입금_은행1!$Z$8:$Z$2007,입금_은행1!$AC$8:$AC$2007,$A249,입금_은행1!$Y$8:$Y$2007,"&lt;="&amp;설정!$B$5)+SUMIFS(입금_은행2!$Z$8:$Z$2007,입금_은행2!$AC$8:$AC$2007,$A249,입금_은행2!$Y$8:$Y$2007,"&lt;="&amp;설정!$B$5))</f>
        <v/>
      </c>
      <c r="G249" s="39">
        <f>IF($U249="","",$D249+$E249-$F249)</f>
        <v/>
      </c>
      <c r="H249" s="39">
        <f>IF($U249="","",MIN(MAX($G249,0),$V249))</f>
        <v/>
      </c>
      <c r="I249" s="39">
        <f>IF($U249="","",MIN(MAX($G249,0),$W249)-MIN(MAX($G249,0),$V249))</f>
        <v/>
      </c>
      <c r="J249" s="39">
        <f>IF($U249="","",MIN(MAX($G249,0),$X249)-MIN(MAX($G249,0),$W249))</f>
        <v/>
      </c>
      <c r="K249" s="39">
        <f>IF($U249="","",MAX($G249,0)-MIN(MAX($G249,0),$X249))</f>
        <v/>
      </c>
      <c r="L249" s="40">
        <f>IF($U249="","",IF(MAX(SUMPRODUCT(MAX((입금_은행1!$AC$8:$AC$2007=$A249)*(입금_은행1!$AE$8:$AE$2007&lt;=설정!$B$5)*입금_은행1!$AE$8:$AE$2007)),SUMPRODUCT(MAX((입금_은행2!$AC$8:$AC$2007=$A249)*(입금_은행2!$AE$8:$AE$2007&lt;=설정!$B$5)*입금_은행2!$AE$8:$AE$2007)))=0,"",MAX(SUMPRODUCT(MAX((입금_은행1!$AC$8:$AC$2007=$A249)*(입금_은행1!$AE$8:$AE$2007&lt;=설정!$B$5)*입금_은행1!$AE$8:$AE$2007)),SUMPRODUCT(MAX((입금_은행2!$AC$8:$AC$2007=$A249)*(입금_은행2!$AE$8:$AE$2007&lt;=설정!$B$5)*입금_은행2!$AE$8:$AE$2007)))))</f>
        <v/>
      </c>
      <c r="M249" s="38">
        <f>IF($U249="","",IF($T249="","",IF(INDEX(거래처설정!$F$8:$F$407,$T249)="","",INDEX(거래처설정!$F$8:$F$407,$T249))))</f>
        <v/>
      </c>
      <c r="N249" s="38">
        <f>IF($U249="","",IF($T249="","",IF(INDEX(거래처설정!$G$8:$G$407,$T249)="","",INDEX(거래처설정!$G$8:$G$407,$T249))))</f>
        <v/>
      </c>
      <c r="O249" s="38">
        <f>IF($U249="","",IF($M249="제외",0,IF($K249&gt;=설정!$B$9,3,IF($J249+$K249&gt;=설정!$B$9,2,IF($I249+$J249+$K249&gt;=설정!$B$9,1,0)))))</f>
        <v/>
      </c>
      <c r="P249" s="38">
        <f>IF($U249="","",IF($M249="제외","제외(조치 상태)",IF($O249=3,"③ 강한 독촉 후보 ("&amp;설정!$B$8&amp;"일 초과)",IF($O249=2,"② 독촉 후보 ("&amp;설정!$B$7&amp;"일 초과)",IF($O249=1,"① 안내 후보 ("&amp;설정!$B$6&amp;"일 초과)",IF($G249&gt;0,IF($I249+$J249+$K249&gt;0,"오래된 잔액 있음 (최소 금액 미만)","정상 범위"),IF($G249&lt;0,"선수금·초과입금 — 확인","완납")))))))</f>
        <v/>
      </c>
      <c r="Q249" s="38">
        <f>IF($U249="","",IF($G249&lt;0,"입금이 매출보다 큼 — 선수금이거나 다른 거래처 입금이 섞였는지 확인",IF(AND($AE249&lt;&gt;"",COUNTIF($AE$8:$AE$307,"*"&amp;$AE249&amp;"*")&gt;1),"이름이 다른 거래처와 겹침 — 입금이 잘못 맞았을 수 있으니 별칭 확인",IF(AND($G249&gt;0,$F249=0),"입금 매칭 없음 — 입금자명이 다르면 [거래처설정]에 별칭 등록",""))))</f>
        <v/>
      </c>
      <c r="R249" s="31">
        <f>IF(OR($U249="",$G249&lt;=0),"",$G249-$A249/10000)</f>
        <v/>
      </c>
      <c r="S249" s="31">
        <f>IF(OR($U249="",$O249&lt;1),"",$O249*10^11+$I249+$J249+$K249-$A249/1000)</f>
        <v/>
      </c>
      <c r="T249" s="31">
        <f>IF($U249="","",IFERROR(MATCH(INDEX(매출원본!$AU$8:$AU$2007,$U249),거래처설정!$I$8:$I$407,0),""))</f>
        <v/>
      </c>
      <c r="U249" s="31">
        <f>IFERROR(MATCH(242,매출원본!$AW$8:$AW$2007,0),"")</f>
        <v/>
      </c>
      <c r="V249" s="31">
        <f>IF($U249="","",MAX(SUMIFS(매출원본!$AT$8:$AT$2007,매출원본!$AY$8:$AY$2007,$A249,매출원본!$AS$8:$AS$2007,"&gt;="&amp;(설정!$B$5-설정!$B$6),매출원본!$AS$8:$AS$2007,"&lt;="&amp;설정!$B$5),0))</f>
        <v/>
      </c>
      <c r="W249" s="31">
        <f>IF($U249="","",MAX($V249,SUMIFS(매출원본!$AT$8:$AT$2007,매출원본!$AY$8:$AY$2007,$A249,매출원본!$AS$8:$AS$2007,"&gt;="&amp;(설정!$B$5-설정!$B$7),매출원본!$AS$8:$AS$2007,"&lt;="&amp;설정!$B$5)))</f>
        <v/>
      </c>
      <c r="X249" s="31">
        <f>IF($U249="","",MAX($W249,SUMIFS(매출원본!$AT$8:$AT$2007,매출원본!$AY$8:$AY$2007,$A249,매출원본!$AS$8:$AS$2007,"&gt;="&amp;(설정!$B$5-설정!$B$8),매출원본!$AS$8:$AS$2007,"&lt;="&amp;설정!$B$5)))</f>
        <v/>
      </c>
      <c r="AC249" s="31">
        <f>IF(OR($U249="",$T249=""),"",INDEX(거래처설정!$J$8:$J$407,$T249))</f>
        <v/>
      </c>
      <c r="AD249" s="31">
        <f>IF(OR($U249="",$T249=""),"",INDEX(거래처설정!$K$8:$K$407,$T249))</f>
        <v/>
      </c>
      <c r="AE249" s="31">
        <f>IF($U249="","",IF(LEN(SUBSTITUTE(SUBSTITUTE(SUBSTITUTE(SUBSTITUTE(SUBSTITUTE(SUBSTITUTE(SUBSTITUTE(SUBSTITUTE(SUBSTITUTE($C249," ",""),"　",""),"(주)",""),"（주）",""),"㈜",""),"주식회사",""),"(유)",""),"（유）",""),"유한회사",""))&lt;2,"",SUBSTITUTE(SUBSTITUTE(SUBSTITUTE(SUBSTITUTE(SUBSTITUTE(SUBSTITUTE(SUBSTITUTE(SUBSTITUTE(SUBSTITUTE($C249," ",""),"　",""),"(주)",""),"（주）",""),"㈜",""),"주식회사",""),"(유)",""),"（유）",""),"유한회사","")))</f>
        <v/>
      </c>
    </row>
    <row r="250">
      <c r="A250" s="38">
        <f>IF($U250="","",243)</f>
        <v/>
      </c>
      <c r="B250" s="38">
        <f>IF($U250="","",IF(LEN(INDEX(매출원본!$AU$8:$AU$2007,$U250))=10,LEFT(INDEX(매출원본!$AU$8:$AU$2007,$U250),3)&amp;"-"&amp;MID(INDEX(매출원본!$AU$8:$AU$2007,$U250),4,2)&amp;"-"&amp;RIGHT(INDEX(매출원본!$AU$8:$AU$2007,$U250),5),IF(LEFT(INDEX(매출원본!$AU$8:$AU$2007,$U250),2)="N:","(번호 없음)",INDEX(매출원본!$AU$8:$AU$2007,$U250))))</f>
        <v/>
      </c>
      <c r="C250" s="38">
        <f>IF($U250="","",INDEX(매출원본!$AV$8:$AV$2007,$U250))</f>
        <v/>
      </c>
      <c r="D250" s="39">
        <f>IF($U250="","",IF($T250="",0,N(INDEX(거래처설정!$E$8:$E$407,$T250))))</f>
        <v/>
      </c>
      <c r="E250" s="39">
        <f>IF($U250="","",SUMIFS(매출원본!$AT$8:$AT$2007,매출원본!$AY$8:$AY$2007,$A250,매출원본!$AS$8:$AS$2007,"&lt;="&amp;설정!$B$5))</f>
        <v/>
      </c>
      <c r="F250" s="39">
        <f>IF($U250="","",SUMIFS(입금_은행1!$Z$8:$Z$2007,입금_은행1!$AC$8:$AC$2007,$A250,입금_은행1!$Y$8:$Y$2007,"&lt;="&amp;설정!$B$5)+SUMIFS(입금_은행2!$Z$8:$Z$2007,입금_은행2!$AC$8:$AC$2007,$A250,입금_은행2!$Y$8:$Y$2007,"&lt;="&amp;설정!$B$5))</f>
        <v/>
      </c>
      <c r="G250" s="39">
        <f>IF($U250="","",$D250+$E250-$F250)</f>
        <v/>
      </c>
      <c r="H250" s="39">
        <f>IF($U250="","",MIN(MAX($G250,0),$V250))</f>
        <v/>
      </c>
      <c r="I250" s="39">
        <f>IF($U250="","",MIN(MAX($G250,0),$W250)-MIN(MAX($G250,0),$V250))</f>
        <v/>
      </c>
      <c r="J250" s="39">
        <f>IF($U250="","",MIN(MAX($G250,0),$X250)-MIN(MAX($G250,0),$W250))</f>
        <v/>
      </c>
      <c r="K250" s="39">
        <f>IF($U250="","",MAX($G250,0)-MIN(MAX($G250,0),$X250))</f>
        <v/>
      </c>
      <c r="L250" s="40">
        <f>IF($U250="","",IF(MAX(SUMPRODUCT(MAX((입금_은행1!$AC$8:$AC$2007=$A250)*(입금_은행1!$AE$8:$AE$2007&lt;=설정!$B$5)*입금_은행1!$AE$8:$AE$2007)),SUMPRODUCT(MAX((입금_은행2!$AC$8:$AC$2007=$A250)*(입금_은행2!$AE$8:$AE$2007&lt;=설정!$B$5)*입금_은행2!$AE$8:$AE$2007)))=0,"",MAX(SUMPRODUCT(MAX((입금_은행1!$AC$8:$AC$2007=$A250)*(입금_은행1!$AE$8:$AE$2007&lt;=설정!$B$5)*입금_은행1!$AE$8:$AE$2007)),SUMPRODUCT(MAX((입금_은행2!$AC$8:$AC$2007=$A250)*(입금_은행2!$AE$8:$AE$2007&lt;=설정!$B$5)*입금_은행2!$AE$8:$AE$2007)))))</f>
        <v/>
      </c>
      <c r="M250" s="38">
        <f>IF($U250="","",IF($T250="","",IF(INDEX(거래처설정!$F$8:$F$407,$T250)="","",INDEX(거래처설정!$F$8:$F$407,$T250))))</f>
        <v/>
      </c>
      <c r="N250" s="38">
        <f>IF($U250="","",IF($T250="","",IF(INDEX(거래처설정!$G$8:$G$407,$T250)="","",INDEX(거래처설정!$G$8:$G$407,$T250))))</f>
        <v/>
      </c>
      <c r="O250" s="38">
        <f>IF($U250="","",IF($M250="제외",0,IF($K250&gt;=설정!$B$9,3,IF($J250+$K250&gt;=설정!$B$9,2,IF($I250+$J250+$K250&gt;=설정!$B$9,1,0)))))</f>
        <v/>
      </c>
      <c r="P250" s="38">
        <f>IF($U250="","",IF($M250="제외","제외(조치 상태)",IF($O250=3,"③ 강한 독촉 후보 ("&amp;설정!$B$8&amp;"일 초과)",IF($O250=2,"② 독촉 후보 ("&amp;설정!$B$7&amp;"일 초과)",IF($O250=1,"① 안내 후보 ("&amp;설정!$B$6&amp;"일 초과)",IF($G250&gt;0,IF($I250+$J250+$K250&gt;0,"오래된 잔액 있음 (최소 금액 미만)","정상 범위"),IF($G250&lt;0,"선수금·초과입금 — 확인","완납")))))))</f>
        <v/>
      </c>
      <c r="Q250" s="38">
        <f>IF($U250="","",IF($G250&lt;0,"입금이 매출보다 큼 — 선수금이거나 다른 거래처 입금이 섞였는지 확인",IF(AND($AE250&lt;&gt;"",COUNTIF($AE$8:$AE$307,"*"&amp;$AE250&amp;"*")&gt;1),"이름이 다른 거래처와 겹침 — 입금이 잘못 맞았을 수 있으니 별칭 확인",IF(AND($G250&gt;0,$F250=0),"입금 매칭 없음 — 입금자명이 다르면 [거래처설정]에 별칭 등록",""))))</f>
        <v/>
      </c>
      <c r="R250" s="31">
        <f>IF(OR($U250="",$G250&lt;=0),"",$G250-$A250/10000)</f>
        <v/>
      </c>
      <c r="S250" s="31">
        <f>IF(OR($U250="",$O250&lt;1),"",$O250*10^11+$I250+$J250+$K250-$A250/1000)</f>
        <v/>
      </c>
      <c r="T250" s="31">
        <f>IF($U250="","",IFERROR(MATCH(INDEX(매출원본!$AU$8:$AU$2007,$U250),거래처설정!$I$8:$I$407,0),""))</f>
        <v/>
      </c>
      <c r="U250" s="31">
        <f>IFERROR(MATCH(243,매출원본!$AW$8:$AW$2007,0),"")</f>
        <v/>
      </c>
      <c r="V250" s="31">
        <f>IF($U250="","",MAX(SUMIFS(매출원본!$AT$8:$AT$2007,매출원본!$AY$8:$AY$2007,$A250,매출원본!$AS$8:$AS$2007,"&gt;="&amp;(설정!$B$5-설정!$B$6),매출원본!$AS$8:$AS$2007,"&lt;="&amp;설정!$B$5),0))</f>
        <v/>
      </c>
      <c r="W250" s="31">
        <f>IF($U250="","",MAX($V250,SUMIFS(매출원본!$AT$8:$AT$2007,매출원본!$AY$8:$AY$2007,$A250,매출원본!$AS$8:$AS$2007,"&gt;="&amp;(설정!$B$5-설정!$B$7),매출원본!$AS$8:$AS$2007,"&lt;="&amp;설정!$B$5)))</f>
        <v/>
      </c>
      <c r="X250" s="31">
        <f>IF($U250="","",MAX($W250,SUMIFS(매출원본!$AT$8:$AT$2007,매출원본!$AY$8:$AY$2007,$A250,매출원본!$AS$8:$AS$2007,"&gt;="&amp;(설정!$B$5-설정!$B$8),매출원본!$AS$8:$AS$2007,"&lt;="&amp;설정!$B$5)))</f>
        <v/>
      </c>
      <c r="AC250" s="31">
        <f>IF(OR($U250="",$T250=""),"",INDEX(거래처설정!$J$8:$J$407,$T250))</f>
        <v/>
      </c>
      <c r="AD250" s="31">
        <f>IF(OR($U250="",$T250=""),"",INDEX(거래처설정!$K$8:$K$407,$T250))</f>
        <v/>
      </c>
      <c r="AE250" s="31">
        <f>IF($U250="","",IF(LEN(SUBSTITUTE(SUBSTITUTE(SUBSTITUTE(SUBSTITUTE(SUBSTITUTE(SUBSTITUTE(SUBSTITUTE(SUBSTITUTE(SUBSTITUTE($C250," ",""),"　",""),"(주)",""),"（주）",""),"㈜",""),"주식회사",""),"(유)",""),"（유）",""),"유한회사",""))&lt;2,"",SUBSTITUTE(SUBSTITUTE(SUBSTITUTE(SUBSTITUTE(SUBSTITUTE(SUBSTITUTE(SUBSTITUTE(SUBSTITUTE(SUBSTITUTE($C250," ",""),"　",""),"(주)",""),"（주）",""),"㈜",""),"주식회사",""),"(유)",""),"（유）",""),"유한회사","")))</f>
        <v/>
      </c>
    </row>
    <row r="251">
      <c r="A251" s="38">
        <f>IF($U251="","",244)</f>
        <v/>
      </c>
      <c r="B251" s="38">
        <f>IF($U251="","",IF(LEN(INDEX(매출원본!$AU$8:$AU$2007,$U251))=10,LEFT(INDEX(매출원본!$AU$8:$AU$2007,$U251),3)&amp;"-"&amp;MID(INDEX(매출원본!$AU$8:$AU$2007,$U251),4,2)&amp;"-"&amp;RIGHT(INDEX(매출원본!$AU$8:$AU$2007,$U251),5),IF(LEFT(INDEX(매출원본!$AU$8:$AU$2007,$U251),2)="N:","(번호 없음)",INDEX(매출원본!$AU$8:$AU$2007,$U251))))</f>
        <v/>
      </c>
      <c r="C251" s="38">
        <f>IF($U251="","",INDEX(매출원본!$AV$8:$AV$2007,$U251))</f>
        <v/>
      </c>
      <c r="D251" s="39">
        <f>IF($U251="","",IF($T251="",0,N(INDEX(거래처설정!$E$8:$E$407,$T251))))</f>
        <v/>
      </c>
      <c r="E251" s="39">
        <f>IF($U251="","",SUMIFS(매출원본!$AT$8:$AT$2007,매출원본!$AY$8:$AY$2007,$A251,매출원본!$AS$8:$AS$2007,"&lt;="&amp;설정!$B$5))</f>
        <v/>
      </c>
      <c r="F251" s="39">
        <f>IF($U251="","",SUMIFS(입금_은행1!$Z$8:$Z$2007,입금_은행1!$AC$8:$AC$2007,$A251,입금_은행1!$Y$8:$Y$2007,"&lt;="&amp;설정!$B$5)+SUMIFS(입금_은행2!$Z$8:$Z$2007,입금_은행2!$AC$8:$AC$2007,$A251,입금_은행2!$Y$8:$Y$2007,"&lt;="&amp;설정!$B$5))</f>
        <v/>
      </c>
      <c r="G251" s="39">
        <f>IF($U251="","",$D251+$E251-$F251)</f>
        <v/>
      </c>
      <c r="H251" s="39">
        <f>IF($U251="","",MIN(MAX($G251,0),$V251))</f>
        <v/>
      </c>
      <c r="I251" s="39">
        <f>IF($U251="","",MIN(MAX($G251,0),$W251)-MIN(MAX($G251,0),$V251))</f>
        <v/>
      </c>
      <c r="J251" s="39">
        <f>IF($U251="","",MIN(MAX($G251,0),$X251)-MIN(MAX($G251,0),$W251))</f>
        <v/>
      </c>
      <c r="K251" s="39">
        <f>IF($U251="","",MAX($G251,0)-MIN(MAX($G251,0),$X251))</f>
        <v/>
      </c>
      <c r="L251" s="40">
        <f>IF($U251="","",IF(MAX(SUMPRODUCT(MAX((입금_은행1!$AC$8:$AC$2007=$A251)*(입금_은행1!$AE$8:$AE$2007&lt;=설정!$B$5)*입금_은행1!$AE$8:$AE$2007)),SUMPRODUCT(MAX((입금_은행2!$AC$8:$AC$2007=$A251)*(입금_은행2!$AE$8:$AE$2007&lt;=설정!$B$5)*입금_은행2!$AE$8:$AE$2007)))=0,"",MAX(SUMPRODUCT(MAX((입금_은행1!$AC$8:$AC$2007=$A251)*(입금_은행1!$AE$8:$AE$2007&lt;=설정!$B$5)*입금_은행1!$AE$8:$AE$2007)),SUMPRODUCT(MAX((입금_은행2!$AC$8:$AC$2007=$A251)*(입금_은행2!$AE$8:$AE$2007&lt;=설정!$B$5)*입금_은행2!$AE$8:$AE$2007)))))</f>
        <v/>
      </c>
      <c r="M251" s="38">
        <f>IF($U251="","",IF($T251="","",IF(INDEX(거래처설정!$F$8:$F$407,$T251)="","",INDEX(거래처설정!$F$8:$F$407,$T251))))</f>
        <v/>
      </c>
      <c r="N251" s="38">
        <f>IF($U251="","",IF($T251="","",IF(INDEX(거래처설정!$G$8:$G$407,$T251)="","",INDEX(거래처설정!$G$8:$G$407,$T251))))</f>
        <v/>
      </c>
      <c r="O251" s="38">
        <f>IF($U251="","",IF($M251="제외",0,IF($K251&gt;=설정!$B$9,3,IF($J251+$K251&gt;=설정!$B$9,2,IF($I251+$J251+$K251&gt;=설정!$B$9,1,0)))))</f>
        <v/>
      </c>
      <c r="P251" s="38">
        <f>IF($U251="","",IF($M251="제외","제외(조치 상태)",IF($O251=3,"③ 강한 독촉 후보 ("&amp;설정!$B$8&amp;"일 초과)",IF($O251=2,"② 독촉 후보 ("&amp;설정!$B$7&amp;"일 초과)",IF($O251=1,"① 안내 후보 ("&amp;설정!$B$6&amp;"일 초과)",IF($G251&gt;0,IF($I251+$J251+$K251&gt;0,"오래된 잔액 있음 (최소 금액 미만)","정상 범위"),IF($G251&lt;0,"선수금·초과입금 — 확인","완납")))))))</f>
        <v/>
      </c>
      <c r="Q251" s="38">
        <f>IF($U251="","",IF($G251&lt;0,"입금이 매출보다 큼 — 선수금이거나 다른 거래처 입금이 섞였는지 확인",IF(AND($AE251&lt;&gt;"",COUNTIF($AE$8:$AE$307,"*"&amp;$AE251&amp;"*")&gt;1),"이름이 다른 거래처와 겹침 — 입금이 잘못 맞았을 수 있으니 별칭 확인",IF(AND($G251&gt;0,$F251=0),"입금 매칭 없음 — 입금자명이 다르면 [거래처설정]에 별칭 등록",""))))</f>
        <v/>
      </c>
      <c r="R251" s="31">
        <f>IF(OR($U251="",$G251&lt;=0),"",$G251-$A251/10000)</f>
        <v/>
      </c>
      <c r="S251" s="31">
        <f>IF(OR($U251="",$O251&lt;1),"",$O251*10^11+$I251+$J251+$K251-$A251/1000)</f>
        <v/>
      </c>
      <c r="T251" s="31">
        <f>IF($U251="","",IFERROR(MATCH(INDEX(매출원본!$AU$8:$AU$2007,$U251),거래처설정!$I$8:$I$407,0),""))</f>
        <v/>
      </c>
      <c r="U251" s="31">
        <f>IFERROR(MATCH(244,매출원본!$AW$8:$AW$2007,0),"")</f>
        <v/>
      </c>
      <c r="V251" s="31">
        <f>IF($U251="","",MAX(SUMIFS(매출원본!$AT$8:$AT$2007,매출원본!$AY$8:$AY$2007,$A251,매출원본!$AS$8:$AS$2007,"&gt;="&amp;(설정!$B$5-설정!$B$6),매출원본!$AS$8:$AS$2007,"&lt;="&amp;설정!$B$5),0))</f>
        <v/>
      </c>
      <c r="W251" s="31">
        <f>IF($U251="","",MAX($V251,SUMIFS(매출원본!$AT$8:$AT$2007,매출원본!$AY$8:$AY$2007,$A251,매출원본!$AS$8:$AS$2007,"&gt;="&amp;(설정!$B$5-설정!$B$7),매출원본!$AS$8:$AS$2007,"&lt;="&amp;설정!$B$5)))</f>
        <v/>
      </c>
      <c r="X251" s="31">
        <f>IF($U251="","",MAX($W251,SUMIFS(매출원본!$AT$8:$AT$2007,매출원본!$AY$8:$AY$2007,$A251,매출원본!$AS$8:$AS$2007,"&gt;="&amp;(설정!$B$5-설정!$B$8),매출원본!$AS$8:$AS$2007,"&lt;="&amp;설정!$B$5)))</f>
        <v/>
      </c>
      <c r="AC251" s="31">
        <f>IF(OR($U251="",$T251=""),"",INDEX(거래처설정!$J$8:$J$407,$T251))</f>
        <v/>
      </c>
      <c r="AD251" s="31">
        <f>IF(OR($U251="",$T251=""),"",INDEX(거래처설정!$K$8:$K$407,$T251))</f>
        <v/>
      </c>
      <c r="AE251" s="31">
        <f>IF($U251="","",IF(LEN(SUBSTITUTE(SUBSTITUTE(SUBSTITUTE(SUBSTITUTE(SUBSTITUTE(SUBSTITUTE(SUBSTITUTE(SUBSTITUTE(SUBSTITUTE($C251," ",""),"　",""),"(주)",""),"（주）",""),"㈜",""),"주식회사",""),"(유)",""),"（유）",""),"유한회사",""))&lt;2,"",SUBSTITUTE(SUBSTITUTE(SUBSTITUTE(SUBSTITUTE(SUBSTITUTE(SUBSTITUTE(SUBSTITUTE(SUBSTITUTE(SUBSTITUTE($C251," ",""),"　",""),"(주)",""),"（주）",""),"㈜",""),"주식회사",""),"(유)",""),"（유）",""),"유한회사","")))</f>
        <v/>
      </c>
    </row>
    <row r="252">
      <c r="A252" s="38">
        <f>IF($U252="","",245)</f>
        <v/>
      </c>
      <c r="B252" s="38">
        <f>IF($U252="","",IF(LEN(INDEX(매출원본!$AU$8:$AU$2007,$U252))=10,LEFT(INDEX(매출원본!$AU$8:$AU$2007,$U252),3)&amp;"-"&amp;MID(INDEX(매출원본!$AU$8:$AU$2007,$U252),4,2)&amp;"-"&amp;RIGHT(INDEX(매출원본!$AU$8:$AU$2007,$U252),5),IF(LEFT(INDEX(매출원본!$AU$8:$AU$2007,$U252),2)="N:","(번호 없음)",INDEX(매출원본!$AU$8:$AU$2007,$U252))))</f>
        <v/>
      </c>
      <c r="C252" s="38">
        <f>IF($U252="","",INDEX(매출원본!$AV$8:$AV$2007,$U252))</f>
        <v/>
      </c>
      <c r="D252" s="39">
        <f>IF($U252="","",IF($T252="",0,N(INDEX(거래처설정!$E$8:$E$407,$T252))))</f>
        <v/>
      </c>
      <c r="E252" s="39">
        <f>IF($U252="","",SUMIFS(매출원본!$AT$8:$AT$2007,매출원본!$AY$8:$AY$2007,$A252,매출원본!$AS$8:$AS$2007,"&lt;="&amp;설정!$B$5))</f>
        <v/>
      </c>
      <c r="F252" s="39">
        <f>IF($U252="","",SUMIFS(입금_은행1!$Z$8:$Z$2007,입금_은행1!$AC$8:$AC$2007,$A252,입금_은행1!$Y$8:$Y$2007,"&lt;="&amp;설정!$B$5)+SUMIFS(입금_은행2!$Z$8:$Z$2007,입금_은행2!$AC$8:$AC$2007,$A252,입금_은행2!$Y$8:$Y$2007,"&lt;="&amp;설정!$B$5))</f>
        <v/>
      </c>
      <c r="G252" s="39">
        <f>IF($U252="","",$D252+$E252-$F252)</f>
        <v/>
      </c>
      <c r="H252" s="39">
        <f>IF($U252="","",MIN(MAX($G252,0),$V252))</f>
        <v/>
      </c>
      <c r="I252" s="39">
        <f>IF($U252="","",MIN(MAX($G252,0),$W252)-MIN(MAX($G252,0),$V252))</f>
        <v/>
      </c>
      <c r="J252" s="39">
        <f>IF($U252="","",MIN(MAX($G252,0),$X252)-MIN(MAX($G252,0),$W252))</f>
        <v/>
      </c>
      <c r="K252" s="39">
        <f>IF($U252="","",MAX($G252,0)-MIN(MAX($G252,0),$X252))</f>
        <v/>
      </c>
      <c r="L252" s="40">
        <f>IF($U252="","",IF(MAX(SUMPRODUCT(MAX((입금_은행1!$AC$8:$AC$2007=$A252)*(입금_은행1!$AE$8:$AE$2007&lt;=설정!$B$5)*입금_은행1!$AE$8:$AE$2007)),SUMPRODUCT(MAX((입금_은행2!$AC$8:$AC$2007=$A252)*(입금_은행2!$AE$8:$AE$2007&lt;=설정!$B$5)*입금_은행2!$AE$8:$AE$2007)))=0,"",MAX(SUMPRODUCT(MAX((입금_은행1!$AC$8:$AC$2007=$A252)*(입금_은행1!$AE$8:$AE$2007&lt;=설정!$B$5)*입금_은행1!$AE$8:$AE$2007)),SUMPRODUCT(MAX((입금_은행2!$AC$8:$AC$2007=$A252)*(입금_은행2!$AE$8:$AE$2007&lt;=설정!$B$5)*입금_은행2!$AE$8:$AE$2007)))))</f>
        <v/>
      </c>
      <c r="M252" s="38">
        <f>IF($U252="","",IF($T252="","",IF(INDEX(거래처설정!$F$8:$F$407,$T252)="","",INDEX(거래처설정!$F$8:$F$407,$T252))))</f>
        <v/>
      </c>
      <c r="N252" s="38">
        <f>IF($U252="","",IF($T252="","",IF(INDEX(거래처설정!$G$8:$G$407,$T252)="","",INDEX(거래처설정!$G$8:$G$407,$T252))))</f>
        <v/>
      </c>
      <c r="O252" s="38">
        <f>IF($U252="","",IF($M252="제외",0,IF($K252&gt;=설정!$B$9,3,IF($J252+$K252&gt;=설정!$B$9,2,IF($I252+$J252+$K252&gt;=설정!$B$9,1,0)))))</f>
        <v/>
      </c>
      <c r="P252" s="38">
        <f>IF($U252="","",IF($M252="제외","제외(조치 상태)",IF($O252=3,"③ 강한 독촉 후보 ("&amp;설정!$B$8&amp;"일 초과)",IF($O252=2,"② 독촉 후보 ("&amp;설정!$B$7&amp;"일 초과)",IF($O252=1,"① 안내 후보 ("&amp;설정!$B$6&amp;"일 초과)",IF($G252&gt;0,IF($I252+$J252+$K252&gt;0,"오래된 잔액 있음 (최소 금액 미만)","정상 범위"),IF($G252&lt;0,"선수금·초과입금 — 확인","완납")))))))</f>
        <v/>
      </c>
      <c r="Q252" s="38">
        <f>IF($U252="","",IF($G252&lt;0,"입금이 매출보다 큼 — 선수금이거나 다른 거래처 입금이 섞였는지 확인",IF(AND($AE252&lt;&gt;"",COUNTIF($AE$8:$AE$307,"*"&amp;$AE252&amp;"*")&gt;1),"이름이 다른 거래처와 겹침 — 입금이 잘못 맞았을 수 있으니 별칭 확인",IF(AND($G252&gt;0,$F252=0),"입금 매칭 없음 — 입금자명이 다르면 [거래처설정]에 별칭 등록",""))))</f>
        <v/>
      </c>
      <c r="R252" s="31">
        <f>IF(OR($U252="",$G252&lt;=0),"",$G252-$A252/10000)</f>
        <v/>
      </c>
      <c r="S252" s="31">
        <f>IF(OR($U252="",$O252&lt;1),"",$O252*10^11+$I252+$J252+$K252-$A252/1000)</f>
        <v/>
      </c>
      <c r="T252" s="31">
        <f>IF($U252="","",IFERROR(MATCH(INDEX(매출원본!$AU$8:$AU$2007,$U252),거래처설정!$I$8:$I$407,0),""))</f>
        <v/>
      </c>
      <c r="U252" s="31">
        <f>IFERROR(MATCH(245,매출원본!$AW$8:$AW$2007,0),"")</f>
        <v/>
      </c>
      <c r="V252" s="31">
        <f>IF($U252="","",MAX(SUMIFS(매출원본!$AT$8:$AT$2007,매출원본!$AY$8:$AY$2007,$A252,매출원본!$AS$8:$AS$2007,"&gt;="&amp;(설정!$B$5-설정!$B$6),매출원본!$AS$8:$AS$2007,"&lt;="&amp;설정!$B$5),0))</f>
        <v/>
      </c>
      <c r="W252" s="31">
        <f>IF($U252="","",MAX($V252,SUMIFS(매출원본!$AT$8:$AT$2007,매출원본!$AY$8:$AY$2007,$A252,매출원본!$AS$8:$AS$2007,"&gt;="&amp;(설정!$B$5-설정!$B$7),매출원본!$AS$8:$AS$2007,"&lt;="&amp;설정!$B$5)))</f>
        <v/>
      </c>
      <c r="X252" s="31">
        <f>IF($U252="","",MAX($W252,SUMIFS(매출원본!$AT$8:$AT$2007,매출원본!$AY$8:$AY$2007,$A252,매출원본!$AS$8:$AS$2007,"&gt;="&amp;(설정!$B$5-설정!$B$8),매출원본!$AS$8:$AS$2007,"&lt;="&amp;설정!$B$5)))</f>
        <v/>
      </c>
      <c r="AC252" s="31">
        <f>IF(OR($U252="",$T252=""),"",INDEX(거래처설정!$J$8:$J$407,$T252))</f>
        <v/>
      </c>
      <c r="AD252" s="31">
        <f>IF(OR($U252="",$T252=""),"",INDEX(거래처설정!$K$8:$K$407,$T252))</f>
        <v/>
      </c>
      <c r="AE252" s="31">
        <f>IF($U252="","",IF(LEN(SUBSTITUTE(SUBSTITUTE(SUBSTITUTE(SUBSTITUTE(SUBSTITUTE(SUBSTITUTE(SUBSTITUTE(SUBSTITUTE(SUBSTITUTE($C252," ",""),"　",""),"(주)",""),"（주）",""),"㈜",""),"주식회사",""),"(유)",""),"（유）",""),"유한회사",""))&lt;2,"",SUBSTITUTE(SUBSTITUTE(SUBSTITUTE(SUBSTITUTE(SUBSTITUTE(SUBSTITUTE(SUBSTITUTE(SUBSTITUTE(SUBSTITUTE($C252," ",""),"　",""),"(주)",""),"（주）",""),"㈜",""),"주식회사",""),"(유)",""),"（유）",""),"유한회사","")))</f>
        <v/>
      </c>
    </row>
    <row r="253">
      <c r="A253" s="38">
        <f>IF($U253="","",246)</f>
        <v/>
      </c>
      <c r="B253" s="38">
        <f>IF($U253="","",IF(LEN(INDEX(매출원본!$AU$8:$AU$2007,$U253))=10,LEFT(INDEX(매출원본!$AU$8:$AU$2007,$U253),3)&amp;"-"&amp;MID(INDEX(매출원본!$AU$8:$AU$2007,$U253),4,2)&amp;"-"&amp;RIGHT(INDEX(매출원본!$AU$8:$AU$2007,$U253),5),IF(LEFT(INDEX(매출원본!$AU$8:$AU$2007,$U253),2)="N:","(번호 없음)",INDEX(매출원본!$AU$8:$AU$2007,$U253))))</f>
        <v/>
      </c>
      <c r="C253" s="38">
        <f>IF($U253="","",INDEX(매출원본!$AV$8:$AV$2007,$U253))</f>
        <v/>
      </c>
      <c r="D253" s="39">
        <f>IF($U253="","",IF($T253="",0,N(INDEX(거래처설정!$E$8:$E$407,$T253))))</f>
        <v/>
      </c>
      <c r="E253" s="39">
        <f>IF($U253="","",SUMIFS(매출원본!$AT$8:$AT$2007,매출원본!$AY$8:$AY$2007,$A253,매출원본!$AS$8:$AS$2007,"&lt;="&amp;설정!$B$5))</f>
        <v/>
      </c>
      <c r="F253" s="39">
        <f>IF($U253="","",SUMIFS(입금_은행1!$Z$8:$Z$2007,입금_은행1!$AC$8:$AC$2007,$A253,입금_은행1!$Y$8:$Y$2007,"&lt;="&amp;설정!$B$5)+SUMIFS(입금_은행2!$Z$8:$Z$2007,입금_은행2!$AC$8:$AC$2007,$A253,입금_은행2!$Y$8:$Y$2007,"&lt;="&amp;설정!$B$5))</f>
        <v/>
      </c>
      <c r="G253" s="39">
        <f>IF($U253="","",$D253+$E253-$F253)</f>
        <v/>
      </c>
      <c r="H253" s="39">
        <f>IF($U253="","",MIN(MAX($G253,0),$V253))</f>
        <v/>
      </c>
      <c r="I253" s="39">
        <f>IF($U253="","",MIN(MAX($G253,0),$W253)-MIN(MAX($G253,0),$V253))</f>
        <v/>
      </c>
      <c r="J253" s="39">
        <f>IF($U253="","",MIN(MAX($G253,0),$X253)-MIN(MAX($G253,0),$W253))</f>
        <v/>
      </c>
      <c r="K253" s="39">
        <f>IF($U253="","",MAX($G253,0)-MIN(MAX($G253,0),$X253))</f>
        <v/>
      </c>
      <c r="L253" s="40">
        <f>IF($U253="","",IF(MAX(SUMPRODUCT(MAX((입금_은행1!$AC$8:$AC$2007=$A253)*(입금_은행1!$AE$8:$AE$2007&lt;=설정!$B$5)*입금_은행1!$AE$8:$AE$2007)),SUMPRODUCT(MAX((입금_은행2!$AC$8:$AC$2007=$A253)*(입금_은행2!$AE$8:$AE$2007&lt;=설정!$B$5)*입금_은행2!$AE$8:$AE$2007)))=0,"",MAX(SUMPRODUCT(MAX((입금_은행1!$AC$8:$AC$2007=$A253)*(입금_은행1!$AE$8:$AE$2007&lt;=설정!$B$5)*입금_은행1!$AE$8:$AE$2007)),SUMPRODUCT(MAX((입금_은행2!$AC$8:$AC$2007=$A253)*(입금_은행2!$AE$8:$AE$2007&lt;=설정!$B$5)*입금_은행2!$AE$8:$AE$2007)))))</f>
        <v/>
      </c>
      <c r="M253" s="38">
        <f>IF($U253="","",IF($T253="","",IF(INDEX(거래처설정!$F$8:$F$407,$T253)="","",INDEX(거래처설정!$F$8:$F$407,$T253))))</f>
        <v/>
      </c>
      <c r="N253" s="38">
        <f>IF($U253="","",IF($T253="","",IF(INDEX(거래처설정!$G$8:$G$407,$T253)="","",INDEX(거래처설정!$G$8:$G$407,$T253))))</f>
        <v/>
      </c>
      <c r="O253" s="38">
        <f>IF($U253="","",IF($M253="제외",0,IF($K253&gt;=설정!$B$9,3,IF($J253+$K253&gt;=설정!$B$9,2,IF($I253+$J253+$K253&gt;=설정!$B$9,1,0)))))</f>
        <v/>
      </c>
      <c r="P253" s="38">
        <f>IF($U253="","",IF($M253="제외","제외(조치 상태)",IF($O253=3,"③ 강한 독촉 후보 ("&amp;설정!$B$8&amp;"일 초과)",IF($O253=2,"② 독촉 후보 ("&amp;설정!$B$7&amp;"일 초과)",IF($O253=1,"① 안내 후보 ("&amp;설정!$B$6&amp;"일 초과)",IF($G253&gt;0,IF($I253+$J253+$K253&gt;0,"오래된 잔액 있음 (최소 금액 미만)","정상 범위"),IF($G253&lt;0,"선수금·초과입금 — 확인","완납")))))))</f>
        <v/>
      </c>
      <c r="Q253" s="38">
        <f>IF($U253="","",IF($G253&lt;0,"입금이 매출보다 큼 — 선수금이거나 다른 거래처 입금이 섞였는지 확인",IF(AND($AE253&lt;&gt;"",COUNTIF($AE$8:$AE$307,"*"&amp;$AE253&amp;"*")&gt;1),"이름이 다른 거래처와 겹침 — 입금이 잘못 맞았을 수 있으니 별칭 확인",IF(AND($G253&gt;0,$F253=0),"입금 매칭 없음 — 입금자명이 다르면 [거래처설정]에 별칭 등록",""))))</f>
        <v/>
      </c>
      <c r="R253" s="31">
        <f>IF(OR($U253="",$G253&lt;=0),"",$G253-$A253/10000)</f>
        <v/>
      </c>
      <c r="S253" s="31">
        <f>IF(OR($U253="",$O253&lt;1),"",$O253*10^11+$I253+$J253+$K253-$A253/1000)</f>
        <v/>
      </c>
      <c r="T253" s="31">
        <f>IF($U253="","",IFERROR(MATCH(INDEX(매출원본!$AU$8:$AU$2007,$U253),거래처설정!$I$8:$I$407,0),""))</f>
        <v/>
      </c>
      <c r="U253" s="31">
        <f>IFERROR(MATCH(246,매출원본!$AW$8:$AW$2007,0),"")</f>
        <v/>
      </c>
      <c r="V253" s="31">
        <f>IF($U253="","",MAX(SUMIFS(매출원본!$AT$8:$AT$2007,매출원본!$AY$8:$AY$2007,$A253,매출원본!$AS$8:$AS$2007,"&gt;="&amp;(설정!$B$5-설정!$B$6),매출원본!$AS$8:$AS$2007,"&lt;="&amp;설정!$B$5),0))</f>
        <v/>
      </c>
      <c r="W253" s="31">
        <f>IF($U253="","",MAX($V253,SUMIFS(매출원본!$AT$8:$AT$2007,매출원본!$AY$8:$AY$2007,$A253,매출원본!$AS$8:$AS$2007,"&gt;="&amp;(설정!$B$5-설정!$B$7),매출원본!$AS$8:$AS$2007,"&lt;="&amp;설정!$B$5)))</f>
        <v/>
      </c>
      <c r="X253" s="31">
        <f>IF($U253="","",MAX($W253,SUMIFS(매출원본!$AT$8:$AT$2007,매출원본!$AY$8:$AY$2007,$A253,매출원본!$AS$8:$AS$2007,"&gt;="&amp;(설정!$B$5-설정!$B$8),매출원본!$AS$8:$AS$2007,"&lt;="&amp;설정!$B$5)))</f>
        <v/>
      </c>
      <c r="AC253" s="31">
        <f>IF(OR($U253="",$T253=""),"",INDEX(거래처설정!$J$8:$J$407,$T253))</f>
        <v/>
      </c>
      <c r="AD253" s="31">
        <f>IF(OR($U253="",$T253=""),"",INDEX(거래처설정!$K$8:$K$407,$T253))</f>
        <v/>
      </c>
      <c r="AE253" s="31">
        <f>IF($U253="","",IF(LEN(SUBSTITUTE(SUBSTITUTE(SUBSTITUTE(SUBSTITUTE(SUBSTITUTE(SUBSTITUTE(SUBSTITUTE(SUBSTITUTE(SUBSTITUTE($C253," ",""),"　",""),"(주)",""),"（주）",""),"㈜",""),"주식회사",""),"(유)",""),"（유）",""),"유한회사",""))&lt;2,"",SUBSTITUTE(SUBSTITUTE(SUBSTITUTE(SUBSTITUTE(SUBSTITUTE(SUBSTITUTE(SUBSTITUTE(SUBSTITUTE(SUBSTITUTE($C253," ",""),"　",""),"(주)",""),"（주）",""),"㈜",""),"주식회사",""),"(유)",""),"（유）",""),"유한회사","")))</f>
        <v/>
      </c>
    </row>
    <row r="254">
      <c r="A254" s="38">
        <f>IF($U254="","",247)</f>
        <v/>
      </c>
      <c r="B254" s="38">
        <f>IF($U254="","",IF(LEN(INDEX(매출원본!$AU$8:$AU$2007,$U254))=10,LEFT(INDEX(매출원본!$AU$8:$AU$2007,$U254),3)&amp;"-"&amp;MID(INDEX(매출원본!$AU$8:$AU$2007,$U254),4,2)&amp;"-"&amp;RIGHT(INDEX(매출원본!$AU$8:$AU$2007,$U254),5),IF(LEFT(INDEX(매출원본!$AU$8:$AU$2007,$U254),2)="N:","(번호 없음)",INDEX(매출원본!$AU$8:$AU$2007,$U254))))</f>
        <v/>
      </c>
      <c r="C254" s="38">
        <f>IF($U254="","",INDEX(매출원본!$AV$8:$AV$2007,$U254))</f>
        <v/>
      </c>
      <c r="D254" s="39">
        <f>IF($U254="","",IF($T254="",0,N(INDEX(거래처설정!$E$8:$E$407,$T254))))</f>
        <v/>
      </c>
      <c r="E254" s="39">
        <f>IF($U254="","",SUMIFS(매출원본!$AT$8:$AT$2007,매출원본!$AY$8:$AY$2007,$A254,매출원본!$AS$8:$AS$2007,"&lt;="&amp;설정!$B$5))</f>
        <v/>
      </c>
      <c r="F254" s="39">
        <f>IF($U254="","",SUMIFS(입금_은행1!$Z$8:$Z$2007,입금_은행1!$AC$8:$AC$2007,$A254,입금_은행1!$Y$8:$Y$2007,"&lt;="&amp;설정!$B$5)+SUMIFS(입금_은행2!$Z$8:$Z$2007,입금_은행2!$AC$8:$AC$2007,$A254,입금_은행2!$Y$8:$Y$2007,"&lt;="&amp;설정!$B$5))</f>
        <v/>
      </c>
      <c r="G254" s="39">
        <f>IF($U254="","",$D254+$E254-$F254)</f>
        <v/>
      </c>
      <c r="H254" s="39">
        <f>IF($U254="","",MIN(MAX($G254,0),$V254))</f>
        <v/>
      </c>
      <c r="I254" s="39">
        <f>IF($U254="","",MIN(MAX($G254,0),$W254)-MIN(MAX($G254,0),$V254))</f>
        <v/>
      </c>
      <c r="J254" s="39">
        <f>IF($U254="","",MIN(MAX($G254,0),$X254)-MIN(MAX($G254,0),$W254))</f>
        <v/>
      </c>
      <c r="K254" s="39">
        <f>IF($U254="","",MAX($G254,0)-MIN(MAX($G254,0),$X254))</f>
        <v/>
      </c>
      <c r="L254" s="40">
        <f>IF($U254="","",IF(MAX(SUMPRODUCT(MAX((입금_은행1!$AC$8:$AC$2007=$A254)*(입금_은행1!$AE$8:$AE$2007&lt;=설정!$B$5)*입금_은행1!$AE$8:$AE$2007)),SUMPRODUCT(MAX((입금_은행2!$AC$8:$AC$2007=$A254)*(입금_은행2!$AE$8:$AE$2007&lt;=설정!$B$5)*입금_은행2!$AE$8:$AE$2007)))=0,"",MAX(SUMPRODUCT(MAX((입금_은행1!$AC$8:$AC$2007=$A254)*(입금_은행1!$AE$8:$AE$2007&lt;=설정!$B$5)*입금_은행1!$AE$8:$AE$2007)),SUMPRODUCT(MAX((입금_은행2!$AC$8:$AC$2007=$A254)*(입금_은행2!$AE$8:$AE$2007&lt;=설정!$B$5)*입금_은행2!$AE$8:$AE$2007)))))</f>
        <v/>
      </c>
      <c r="M254" s="38">
        <f>IF($U254="","",IF($T254="","",IF(INDEX(거래처설정!$F$8:$F$407,$T254)="","",INDEX(거래처설정!$F$8:$F$407,$T254))))</f>
        <v/>
      </c>
      <c r="N254" s="38">
        <f>IF($U254="","",IF($T254="","",IF(INDEX(거래처설정!$G$8:$G$407,$T254)="","",INDEX(거래처설정!$G$8:$G$407,$T254))))</f>
        <v/>
      </c>
      <c r="O254" s="38">
        <f>IF($U254="","",IF($M254="제외",0,IF($K254&gt;=설정!$B$9,3,IF($J254+$K254&gt;=설정!$B$9,2,IF($I254+$J254+$K254&gt;=설정!$B$9,1,0)))))</f>
        <v/>
      </c>
      <c r="P254" s="38">
        <f>IF($U254="","",IF($M254="제외","제외(조치 상태)",IF($O254=3,"③ 강한 독촉 후보 ("&amp;설정!$B$8&amp;"일 초과)",IF($O254=2,"② 독촉 후보 ("&amp;설정!$B$7&amp;"일 초과)",IF($O254=1,"① 안내 후보 ("&amp;설정!$B$6&amp;"일 초과)",IF($G254&gt;0,IF($I254+$J254+$K254&gt;0,"오래된 잔액 있음 (최소 금액 미만)","정상 범위"),IF($G254&lt;0,"선수금·초과입금 — 확인","완납")))))))</f>
        <v/>
      </c>
      <c r="Q254" s="38">
        <f>IF($U254="","",IF($G254&lt;0,"입금이 매출보다 큼 — 선수금이거나 다른 거래처 입금이 섞였는지 확인",IF(AND($AE254&lt;&gt;"",COUNTIF($AE$8:$AE$307,"*"&amp;$AE254&amp;"*")&gt;1),"이름이 다른 거래처와 겹침 — 입금이 잘못 맞았을 수 있으니 별칭 확인",IF(AND($G254&gt;0,$F254=0),"입금 매칭 없음 — 입금자명이 다르면 [거래처설정]에 별칭 등록",""))))</f>
        <v/>
      </c>
      <c r="R254" s="31">
        <f>IF(OR($U254="",$G254&lt;=0),"",$G254-$A254/10000)</f>
        <v/>
      </c>
      <c r="S254" s="31">
        <f>IF(OR($U254="",$O254&lt;1),"",$O254*10^11+$I254+$J254+$K254-$A254/1000)</f>
        <v/>
      </c>
      <c r="T254" s="31">
        <f>IF($U254="","",IFERROR(MATCH(INDEX(매출원본!$AU$8:$AU$2007,$U254),거래처설정!$I$8:$I$407,0),""))</f>
        <v/>
      </c>
      <c r="U254" s="31">
        <f>IFERROR(MATCH(247,매출원본!$AW$8:$AW$2007,0),"")</f>
        <v/>
      </c>
      <c r="V254" s="31">
        <f>IF($U254="","",MAX(SUMIFS(매출원본!$AT$8:$AT$2007,매출원본!$AY$8:$AY$2007,$A254,매출원본!$AS$8:$AS$2007,"&gt;="&amp;(설정!$B$5-설정!$B$6),매출원본!$AS$8:$AS$2007,"&lt;="&amp;설정!$B$5),0))</f>
        <v/>
      </c>
      <c r="W254" s="31">
        <f>IF($U254="","",MAX($V254,SUMIFS(매출원본!$AT$8:$AT$2007,매출원본!$AY$8:$AY$2007,$A254,매출원본!$AS$8:$AS$2007,"&gt;="&amp;(설정!$B$5-설정!$B$7),매출원본!$AS$8:$AS$2007,"&lt;="&amp;설정!$B$5)))</f>
        <v/>
      </c>
      <c r="X254" s="31">
        <f>IF($U254="","",MAX($W254,SUMIFS(매출원본!$AT$8:$AT$2007,매출원본!$AY$8:$AY$2007,$A254,매출원본!$AS$8:$AS$2007,"&gt;="&amp;(설정!$B$5-설정!$B$8),매출원본!$AS$8:$AS$2007,"&lt;="&amp;설정!$B$5)))</f>
        <v/>
      </c>
      <c r="AC254" s="31">
        <f>IF(OR($U254="",$T254=""),"",INDEX(거래처설정!$J$8:$J$407,$T254))</f>
        <v/>
      </c>
      <c r="AD254" s="31">
        <f>IF(OR($U254="",$T254=""),"",INDEX(거래처설정!$K$8:$K$407,$T254))</f>
        <v/>
      </c>
      <c r="AE254" s="31">
        <f>IF($U254="","",IF(LEN(SUBSTITUTE(SUBSTITUTE(SUBSTITUTE(SUBSTITUTE(SUBSTITUTE(SUBSTITUTE(SUBSTITUTE(SUBSTITUTE(SUBSTITUTE($C254," ",""),"　",""),"(주)",""),"（주）",""),"㈜",""),"주식회사",""),"(유)",""),"（유）",""),"유한회사",""))&lt;2,"",SUBSTITUTE(SUBSTITUTE(SUBSTITUTE(SUBSTITUTE(SUBSTITUTE(SUBSTITUTE(SUBSTITUTE(SUBSTITUTE(SUBSTITUTE($C254," ",""),"　",""),"(주)",""),"（주）",""),"㈜",""),"주식회사",""),"(유)",""),"（유）",""),"유한회사","")))</f>
        <v/>
      </c>
    </row>
    <row r="255">
      <c r="A255" s="38">
        <f>IF($U255="","",248)</f>
        <v/>
      </c>
      <c r="B255" s="38">
        <f>IF($U255="","",IF(LEN(INDEX(매출원본!$AU$8:$AU$2007,$U255))=10,LEFT(INDEX(매출원본!$AU$8:$AU$2007,$U255),3)&amp;"-"&amp;MID(INDEX(매출원본!$AU$8:$AU$2007,$U255),4,2)&amp;"-"&amp;RIGHT(INDEX(매출원본!$AU$8:$AU$2007,$U255),5),IF(LEFT(INDEX(매출원본!$AU$8:$AU$2007,$U255),2)="N:","(번호 없음)",INDEX(매출원본!$AU$8:$AU$2007,$U255))))</f>
        <v/>
      </c>
      <c r="C255" s="38">
        <f>IF($U255="","",INDEX(매출원본!$AV$8:$AV$2007,$U255))</f>
        <v/>
      </c>
      <c r="D255" s="39">
        <f>IF($U255="","",IF($T255="",0,N(INDEX(거래처설정!$E$8:$E$407,$T255))))</f>
        <v/>
      </c>
      <c r="E255" s="39">
        <f>IF($U255="","",SUMIFS(매출원본!$AT$8:$AT$2007,매출원본!$AY$8:$AY$2007,$A255,매출원본!$AS$8:$AS$2007,"&lt;="&amp;설정!$B$5))</f>
        <v/>
      </c>
      <c r="F255" s="39">
        <f>IF($U255="","",SUMIFS(입금_은행1!$Z$8:$Z$2007,입금_은행1!$AC$8:$AC$2007,$A255,입금_은행1!$Y$8:$Y$2007,"&lt;="&amp;설정!$B$5)+SUMIFS(입금_은행2!$Z$8:$Z$2007,입금_은행2!$AC$8:$AC$2007,$A255,입금_은행2!$Y$8:$Y$2007,"&lt;="&amp;설정!$B$5))</f>
        <v/>
      </c>
      <c r="G255" s="39">
        <f>IF($U255="","",$D255+$E255-$F255)</f>
        <v/>
      </c>
      <c r="H255" s="39">
        <f>IF($U255="","",MIN(MAX($G255,0),$V255))</f>
        <v/>
      </c>
      <c r="I255" s="39">
        <f>IF($U255="","",MIN(MAX($G255,0),$W255)-MIN(MAX($G255,0),$V255))</f>
        <v/>
      </c>
      <c r="J255" s="39">
        <f>IF($U255="","",MIN(MAX($G255,0),$X255)-MIN(MAX($G255,0),$W255))</f>
        <v/>
      </c>
      <c r="K255" s="39">
        <f>IF($U255="","",MAX($G255,0)-MIN(MAX($G255,0),$X255))</f>
        <v/>
      </c>
      <c r="L255" s="40">
        <f>IF($U255="","",IF(MAX(SUMPRODUCT(MAX((입금_은행1!$AC$8:$AC$2007=$A255)*(입금_은행1!$AE$8:$AE$2007&lt;=설정!$B$5)*입금_은행1!$AE$8:$AE$2007)),SUMPRODUCT(MAX((입금_은행2!$AC$8:$AC$2007=$A255)*(입금_은행2!$AE$8:$AE$2007&lt;=설정!$B$5)*입금_은행2!$AE$8:$AE$2007)))=0,"",MAX(SUMPRODUCT(MAX((입금_은행1!$AC$8:$AC$2007=$A255)*(입금_은행1!$AE$8:$AE$2007&lt;=설정!$B$5)*입금_은행1!$AE$8:$AE$2007)),SUMPRODUCT(MAX((입금_은행2!$AC$8:$AC$2007=$A255)*(입금_은행2!$AE$8:$AE$2007&lt;=설정!$B$5)*입금_은행2!$AE$8:$AE$2007)))))</f>
        <v/>
      </c>
      <c r="M255" s="38">
        <f>IF($U255="","",IF($T255="","",IF(INDEX(거래처설정!$F$8:$F$407,$T255)="","",INDEX(거래처설정!$F$8:$F$407,$T255))))</f>
        <v/>
      </c>
      <c r="N255" s="38">
        <f>IF($U255="","",IF($T255="","",IF(INDEX(거래처설정!$G$8:$G$407,$T255)="","",INDEX(거래처설정!$G$8:$G$407,$T255))))</f>
        <v/>
      </c>
      <c r="O255" s="38">
        <f>IF($U255="","",IF($M255="제외",0,IF($K255&gt;=설정!$B$9,3,IF($J255+$K255&gt;=설정!$B$9,2,IF($I255+$J255+$K255&gt;=설정!$B$9,1,0)))))</f>
        <v/>
      </c>
      <c r="P255" s="38">
        <f>IF($U255="","",IF($M255="제외","제외(조치 상태)",IF($O255=3,"③ 강한 독촉 후보 ("&amp;설정!$B$8&amp;"일 초과)",IF($O255=2,"② 독촉 후보 ("&amp;설정!$B$7&amp;"일 초과)",IF($O255=1,"① 안내 후보 ("&amp;설정!$B$6&amp;"일 초과)",IF($G255&gt;0,IF($I255+$J255+$K255&gt;0,"오래된 잔액 있음 (최소 금액 미만)","정상 범위"),IF($G255&lt;0,"선수금·초과입금 — 확인","완납")))))))</f>
        <v/>
      </c>
      <c r="Q255" s="38">
        <f>IF($U255="","",IF($G255&lt;0,"입금이 매출보다 큼 — 선수금이거나 다른 거래처 입금이 섞였는지 확인",IF(AND($AE255&lt;&gt;"",COUNTIF($AE$8:$AE$307,"*"&amp;$AE255&amp;"*")&gt;1),"이름이 다른 거래처와 겹침 — 입금이 잘못 맞았을 수 있으니 별칭 확인",IF(AND($G255&gt;0,$F255=0),"입금 매칭 없음 — 입금자명이 다르면 [거래처설정]에 별칭 등록",""))))</f>
        <v/>
      </c>
      <c r="R255" s="31">
        <f>IF(OR($U255="",$G255&lt;=0),"",$G255-$A255/10000)</f>
        <v/>
      </c>
      <c r="S255" s="31">
        <f>IF(OR($U255="",$O255&lt;1),"",$O255*10^11+$I255+$J255+$K255-$A255/1000)</f>
        <v/>
      </c>
      <c r="T255" s="31">
        <f>IF($U255="","",IFERROR(MATCH(INDEX(매출원본!$AU$8:$AU$2007,$U255),거래처설정!$I$8:$I$407,0),""))</f>
        <v/>
      </c>
      <c r="U255" s="31">
        <f>IFERROR(MATCH(248,매출원본!$AW$8:$AW$2007,0),"")</f>
        <v/>
      </c>
      <c r="V255" s="31">
        <f>IF($U255="","",MAX(SUMIFS(매출원본!$AT$8:$AT$2007,매출원본!$AY$8:$AY$2007,$A255,매출원본!$AS$8:$AS$2007,"&gt;="&amp;(설정!$B$5-설정!$B$6),매출원본!$AS$8:$AS$2007,"&lt;="&amp;설정!$B$5),0))</f>
        <v/>
      </c>
      <c r="W255" s="31">
        <f>IF($U255="","",MAX($V255,SUMIFS(매출원본!$AT$8:$AT$2007,매출원본!$AY$8:$AY$2007,$A255,매출원본!$AS$8:$AS$2007,"&gt;="&amp;(설정!$B$5-설정!$B$7),매출원본!$AS$8:$AS$2007,"&lt;="&amp;설정!$B$5)))</f>
        <v/>
      </c>
      <c r="X255" s="31">
        <f>IF($U255="","",MAX($W255,SUMIFS(매출원본!$AT$8:$AT$2007,매출원본!$AY$8:$AY$2007,$A255,매출원본!$AS$8:$AS$2007,"&gt;="&amp;(설정!$B$5-설정!$B$8),매출원본!$AS$8:$AS$2007,"&lt;="&amp;설정!$B$5)))</f>
        <v/>
      </c>
      <c r="AC255" s="31">
        <f>IF(OR($U255="",$T255=""),"",INDEX(거래처설정!$J$8:$J$407,$T255))</f>
        <v/>
      </c>
      <c r="AD255" s="31">
        <f>IF(OR($U255="",$T255=""),"",INDEX(거래처설정!$K$8:$K$407,$T255))</f>
        <v/>
      </c>
      <c r="AE255" s="31">
        <f>IF($U255="","",IF(LEN(SUBSTITUTE(SUBSTITUTE(SUBSTITUTE(SUBSTITUTE(SUBSTITUTE(SUBSTITUTE(SUBSTITUTE(SUBSTITUTE(SUBSTITUTE($C255," ",""),"　",""),"(주)",""),"（주）",""),"㈜",""),"주식회사",""),"(유)",""),"（유）",""),"유한회사",""))&lt;2,"",SUBSTITUTE(SUBSTITUTE(SUBSTITUTE(SUBSTITUTE(SUBSTITUTE(SUBSTITUTE(SUBSTITUTE(SUBSTITUTE(SUBSTITUTE($C255," ",""),"　",""),"(주)",""),"（주）",""),"㈜",""),"주식회사",""),"(유)",""),"（유）",""),"유한회사","")))</f>
        <v/>
      </c>
    </row>
    <row r="256">
      <c r="A256" s="38">
        <f>IF($U256="","",249)</f>
        <v/>
      </c>
      <c r="B256" s="38">
        <f>IF($U256="","",IF(LEN(INDEX(매출원본!$AU$8:$AU$2007,$U256))=10,LEFT(INDEX(매출원본!$AU$8:$AU$2007,$U256),3)&amp;"-"&amp;MID(INDEX(매출원본!$AU$8:$AU$2007,$U256),4,2)&amp;"-"&amp;RIGHT(INDEX(매출원본!$AU$8:$AU$2007,$U256),5),IF(LEFT(INDEX(매출원본!$AU$8:$AU$2007,$U256),2)="N:","(번호 없음)",INDEX(매출원본!$AU$8:$AU$2007,$U256))))</f>
        <v/>
      </c>
      <c r="C256" s="38">
        <f>IF($U256="","",INDEX(매출원본!$AV$8:$AV$2007,$U256))</f>
        <v/>
      </c>
      <c r="D256" s="39">
        <f>IF($U256="","",IF($T256="",0,N(INDEX(거래처설정!$E$8:$E$407,$T256))))</f>
        <v/>
      </c>
      <c r="E256" s="39">
        <f>IF($U256="","",SUMIFS(매출원본!$AT$8:$AT$2007,매출원본!$AY$8:$AY$2007,$A256,매출원본!$AS$8:$AS$2007,"&lt;="&amp;설정!$B$5))</f>
        <v/>
      </c>
      <c r="F256" s="39">
        <f>IF($U256="","",SUMIFS(입금_은행1!$Z$8:$Z$2007,입금_은행1!$AC$8:$AC$2007,$A256,입금_은행1!$Y$8:$Y$2007,"&lt;="&amp;설정!$B$5)+SUMIFS(입금_은행2!$Z$8:$Z$2007,입금_은행2!$AC$8:$AC$2007,$A256,입금_은행2!$Y$8:$Y$2007,"&lt;="&amp;설정!$B$5))</f>
        <v/>
      </c>
      <c r="G256" s="39">
        <f>IF($U256="","",$D256+$E256-$F256)</f>
        <v/>
      </c>
      <c r="H256" s="39">
        <f>IF($U256="","",MIN(MAX($G256,0),$V256))</f>
        <v/>
      </c>
      <c r="I256" s="39">
        <f>IF($U256="","",MIN(MAX($G256,0),$W256)-MIN(MAX($G256,0),$V256))</f>
        <v/>
      </c>
      <c r="J256" s="39">
        <f>IF($U256="","",MIN(MAX($G256,0),$X256)-MIN(MAX($G256,0),$W256))</f>
        <v/>
      </c>
      <c r="K256" s="39">
        <f>IF($U256="","",MAX($G256,0)-MIN(MAX($G256,0),$X256))</f>
        <v/>
      </c>
      <c r="L256" s="40">
        <f>IF($U256="","",IF(MAX(SUMPRODUCT(MAX((입금_은행1!$AC$8:$AC$2007=$A256)*(입금_은행1!$AE$8:$AE$2007&lt;=설정!$B$5)*입금_은행1!$AE$8:$AE$2007)),SUMPRODUCT(MAX((입금_은행2!$AC$8:$AC$2007=$A256)*(입금_은행2!$AE$8:$AE$2007&lt;=설정!$B$5)*입금_은행2!$AE$8:$AE$2007)))=0,"",MAX(SUMPRODUCT(MAX((입금_은행1!$AC$8:$AC$2007=$A256)*(입금_은행1!$AE$8:$AE$2007&lt;=설정!$B$5)*입금_은행1!$AE$8:$AE$2007)),SUMPRODUCT(MAX((입금_은행2!$AC$8:$AC$2007=$A256)*(입금_은행2!$AE$8:$AE$2007&lt;=설정!$B$5)*입금_은행2!$AE$8:$AE$2007)))))</f>
        <v/>
      </c>
      <c r="M256" s="38">
        <f>IF($U256="","",IF($T256="","",IF(INDEX(거래처설정!$F$8:$F$407,$T256)="","",INDEX(거래처설정!$F$8:$F$407,$T256))))</f>
        <v/>
      </c>
      <c r="N256" s="38">
        <f>IF($U256="","",IF($T256="","",IF(INDEX(거래처설정!$G$8:$G$407,$T256)="","",INDEX(거래처설정!$G$8:$G$407,$T256))))</f>
        <v/>
      </c>
      <c r="O256" s="38">
        <f>IF($U256="","",IF($M256="제외",0,IF($K256&gt;=설정!$B$9,3,IF($J256+$K256&gt;=설정!$B$9,2,IF($I256+$J256+$K256&gt;=설정!$B$9,1,0)))))</f>
        <v/>
      </c>
      <c r="P256" s="38">
        <f>IF($U256="","",IF($M256="제외","제외(조치 상태)",IF($O256=3,"③ 강한 독촉 후보 ("&amp;설정!$B$8&amp;"일 초과)",IF($O256=2,"② 독촉 후보 ("&amp;설정!$B$7&amp;"일 초과)",IF($O256=1,"① 안내 후보 ("&amp;설정!$B$6&amp;"일 초과)",IF($G256&gt;0,IF($I256+$J256+$K256&gt;0,"오래된 잔액 있음 (최소 금액 미만)","정상 범위"),IF($G256&lt;0,"선수금·초과입금 — 확인","완납")))))))</f>
        <v/>
      </c>
      <c r="Q256" s="38">
        <f>IF($U256="","",IF($G256&lt;0,"입금이 매출보다 큼 — 선수금이거나 다른 거래처 입금이 섞였는지 확인",IF(AND($AE256&lt;&gt;"",COUNTIF($AE$8:$AE$307,"*"&amp;$AE256&amp;"*")&gt;1),"이름이 다른 거래처와 겹침 — 입금이 잘못 맞았을 수 있으니 별칭 확인",IF(AND($G256&gt;0,$F256=0),"입금 매칭 없음 — 입금자명이 다르면 [거래처설정]에 별칭 등록",""))))</f>
        <v/>
      </c>
      <c r="R256" s="31">
        <f>IF(OR($U256="",$G256&lt;=0),"",$G256-$A256/10000)</f>
        <v/>
      </c>
      <c r="S256" s="31">
        <f>IF(OR($U256="",$O256&lt;1),"",$O256*10^11+$I256+$J256+$K256-$A256/1000)</f>
        <v/>
      </c>
      <c r="T256" s="31">
        <f>IF($U256="","",IFERROR(MATCH(INDEX(매출원본!$AU$8:$AU$2007,$U256),거래처설정!$I$8:$I$407,0),""))</f>
        <v/>
      </c>
      <c r="U256" s="31">
        <f>IFERROR(MATCH(249,매출원본!$AW$8:$AW$2007,0),"")</f>
        <v/>
      </c>
      <c r="V256" s="31">
        <f>IF($U256="","",MAX(SUMIFS(매출원본!$AT$8:$AT$2007,매출원본!$AY$8:$AY$2007,$A256,매출원본!$AS$8:$AS$2007,"&gt;="&amp;(설정!$B$5-설정!$B$6),매출원본!$AS$8:$AS$2007,"&lt;="&amp;설정!$B$5),0))</f>
        <v/>
      </c>
      <c r="W256" s="31">
        <f>IF($U256="","",MAX($V256,SUMIFS(매출원본!$AT$8:$AT$2007,매출원본!$AY$8:$AY$2007,$A256,매출원본!$AS$8:$AS$2007,"&gt;="&amp;(설정!$B$5-설정!$B$7),매출원본!$AS$8:$AS$2007,"&lt;="&amp;설정!$B$5)))</f>
        <v/>
      </c>
      <c r="X256" s="31">
        <f>IF($U256="","",MAX($W256,SUMIFS(매출원본!$AT$8:$AT$2007,매출원본!$AY$8:$AY$2007,$A256,매출원본!$AS$8:$AS$2007,"&gt;="&amp;(설정!$B$5-설정!$B$8),매출원본!$AS$8:$AS$2007,"&lt;="&amp;설정!$B$5)))</f>
        <v/>
      </c>
      <c r="AC256" s="31">
        <f>IF(OR($U256="",$T256=""),"",INDEX(거래처설정!$J$8:$J$407,$T256))</f>
        <v/>
      </c>
      <c r="AD256" s="31">
        <f>IF(OR($U256="",$T256=""),"",INDEX(거래처설정!$K$8:$K$407,$T256))</f>
        <v/>
      </c>
      <c r="AE256" s="31">
        <f>IF($U256="","",IF(LEN(SUBSTITUTE(SUBSTITUTE(SUBSTITUTE(SUBSTITUTE(SUBSTITUTE(SUBSTITUTE(SUBSTITUTE(SUBSTITUTE(SUBSTITUTE($C256," ",""),"　",""),"(주)",""),"（주）",""),"㈜",""),"주식회사",""),"(유)",""),"（유）",""),"유한회사",""))&lt;2,"",SUBSTITUTE(SUBSTITUTE(SUBSTITUTE(SUBSTITUTE(SUBSTITUTE(SUBSTITUTE(SUBSTITUTE(SUBSTITUTE(SUBSTITUTE($C256," ",""),"　",""),"(주)",""),"（주）",""),"㈜",""),"주식회사",""),"(유)",""),"（유）",""),"유한회사","")))</f>
        <v/>
      </c>
    </row>
    <row r="257">
      <c r="A257" s="38">
        <f>IF($U257="","",250)</f>
        <v/>
      </c>
      <c r="B257" s="38">
        <f>IF($U257="","",IF(LEN(INDEX(매출원본!$AU$8:$AU$2007,$U257))=10,LEFT(INDEX(매출원본!$AU$8:$AU$2007,$U257),3)&amp;"-"&amp;MID(INDEX(매출원본!$AU$8:$AU$2007,$U257),4,2)&amp;"-"&amp;RIGHT(INDEX(매출원본!$AU$8:$AU$2007,$U257),5),IF(LEFT(INDEX(매출원본!$AU$8:$AU$2007,$U257),2)="N:","(번호 없음)",INDEX(매출원본!$AU$8:$AU$2007,$U257))))</f>
        <v/>
      </c>
      <c r="C257" s="38">
        <f>IF($U257="","",INDEX(매출원본!$AV$8:$AV$2007,$U257))</f>
        <v/>
      </c>
      <c r="D257" s="39">
        <f>IF($U257="","",IF($T257="",0,N(INDEX(거래처설정!$E$8:$E$407,$T257))))</f>
        <v/>
      </c>
      <c r="E257" s="39">
        <f>IF($U257="","",SUMIFS(매출원본!$AT$8:$AT$2007,매출원본!$AY$8:$AY$2007,$A257,매출원본!$AS$8:$AS$2007,"&lt;="&amp;설정!$B$5))</f>
        <v/>
      </c>
      <c r="F257" s="39">
        <f>IF($U257="","",SUMIFS(입금_은행1!$Z$8:$Z$2007,입금_은행1!$AC$8:$AC$2007,$A257,입금_은행1!$Y$8:$Y$2007,"&lt;="&amp;설정!$B$5)+SUMIFS(입금_은행2!$Z$8:$Z$2007,입금_은행2!$AC$8:$AC$2007,$A257,입금_은행2!$Y$8:$Y$2007,"&lt;="&amp;설정!$B$5))</f>
        <v/>
      </c>
      <c r="G257" s="39">
        <f>IF($U257="","",$D257+$E257-$F257)</f>
        <v/>
      </c>
      <c r="H257" s="39">
        <f>IF($U257="","",MIN(MAX($G257,0),$V257))</f>
        <v/>
      </c>
      <c r="I257" s="39">
        <f>IF($U257="","",MIN(MAX($G257,0),$W257)-MIN(MAX($G257,0),$V257))</f>
        <v/>
      </c>
      <c r="J257" s="39">
        <f>IF($U257="","",MIN(MAX($G257,0),$X257)-MIN(MAX($G257,0),$W257))</f>
        <v/>
      </c>
      <c r="K257" s="39">
        <f>IF($U257="","",MAX($G257,0)-MIN(MAX($G257,0),$X257))</f>
        <v/>
      </c>
      <c r="L257" s="40">
        <f>IF($U257="","",IF(MAX(SUMPRODUCT(MAX((입금_은행1!$AC$8:$AC$2007=$A257)*(입금_은행1!$AE$8:$AE$2007&lt;=설정!$B$5)*입금_은행1!$AE$8:$AE$2007)),SUMPRODUCT(MAX((입금_은행2!$AC$8:$AC$2007=$A257)*(입금_은행2!$AE$8:$AE$2007&lt;=설정!$B$5)*입금_은행2!$AE$8:$AE$2007)))=0,"",MAX(SUMPRODUCT(MAX((입금_은행1!$AC$8:$AC$2007=$A257)*(입금_은행1!$AE$8:$AE$2007&lt;=설정!$B$5)*입금_은행1!$AE$8:$AE$2007)),SUMPRODUCT(MAX((입금_은행2!$AC$8:$AC$2007=$A257)*(입금_은행2!$AE$8:$AE$2007&lt;=설정!$B$5)*입금_은행2!$AE$8:$AE$2007)))))</f>
        <v/>
      </c>
      <c r="M257" s="38">
        <f>IF($U257="","",IF($T257="","",IF(INDEX(거래처설정!$F$8:$F$407,$T257)="","",INDEX(거래처설정!$F$8:$F$407,$T257))))</f>
        <v/>
      </c>
      <c r="N257" s="38">
        <f>IF($U257="","",IF($T257="","",IF(INDEX(거래처설정!$G$8:$G$407,$T257)="","",INDEX(거래처설정!$G$8:$G$407,$T257))))</f>
        <v/>
      </c>
      <c r="O257" s="38">
        <f>IF($U257="","",IF($M257="제외",0,IF($K257&gt;=설정!$B$9,3,IF($J257+$K257&gt;=설정!$B$9,2,IF($I257+$J257+$K257&gt;=설정!$B$9,1,0)))))</f>
        <v/>
      </c>
      <c r="P257" s="38">
        <f>IF($U257="","",IF($M257="제외","제외(조치 상태)",IF($O257=3,"③ 강한 독촉 후보 ("&amp;설정!$B$8&amp;"일 초과)",IF($O257=2,"② 독촉 후보 ("&amp;설정!$B$7&amp;"일 초과)",IF($O257=1,"① 안내 후보 ("&amp;설정!$B$6&amp;"일 초과)",IF($G257&gt;0,IF($I257+$J257+$K257&gt;0,"오래된 잔액 있음 (최소 금액 미만)","정상 범위"),IF($G257&lt;0,"선수금·초과입금 — 확인","완납")))))))</f>
        <v/>
      </c>
      <c r="Q257" s="38">
        <f>IF($U257="","",IF($G257&lt;0,"입금이 매출보다 큼 — 선수금이거나 다른 거래처 입금이 섞였는지 확인",IF(AND($AE257&lt;&gt;"",COUNTIF($AE$8:$AE$307,"*"&amp;$AE257&amp;"*")&gt;1),"이름이 다른 거래처와 겹침 — 입금이 잘못 맞았을 수 있으니 별칭 확인",IF(AND($G257&gt;0,$F257=0),"입금 매칭 없음 — 입금자명이 다르면 [거래처설정]에 별칭 등록",""))))</f>
        <v/>
      </c>
      <c r="R257" s="31">
        <f>IF(OR($U257="",$G257&lt;=0),"",$G257-$A257/10000)</f>
        <v/>
      </c>
      <c r="S257" s="31">
        <f>IF(OR($U257="",$O257&lt;1),"",$O257*10^11+$I257+$J257+$K257-$A257/1000)</f>
        <v/>
      </c>
      <c r="T257" s="31">
        <f>IF($U257="","",IFERROR(MATCH(INDEX(매출원본!$AU$8:$AU$2007,$U257),거래처설정!$I$8:$I$407,0),""))</f>
        <v/>
      </c>
      <c r="U257" s="31">
        <f>IFERROR(MATCH(250,매출원본!$AW$8:$AW$2007,0),"")</f>
        <v/>
      </c>
      <c r="V257" s="31">
        <f>IF($U257="","",MAX(SUMIFS(매출원본!$AT$8:$AT$2007,매출원본!$AY$8:$AY$2007,$A257,매출원본!$AS$8:$AS$2007,"&gt;="&amp;(설정!$B$5-설정!$B$6),매출원본!$AS$8:$AS$2007,"&lt;="&amp;설정!$B$5),0))</f>
        <v/>
      </c>
      <c r="W257" s="31">
        <f>IF($U257="","",MAX($V257,SUMIFS(매출원본!$AT$8:$AT$2007,매출원본!$AY$8:$AY$2007,$A257,매출원본!$AS$8:$AS$2007,"&gt;="&amp;(설정!$B$5-설정!$B$7),매출원본!$AS$8:$AS$2007,"&lt;="&amp;설정!$B$5)))</f>
        <v/>
      </c>
      <c r="X257" s="31">
        <f>IF($U257="","",MAX($W257,SUMIFS(매출원본!$AT$8:$AT$2007,매출원본!$AY$8:$AY$2007,$A257,매출원본!$AS$8:$AS$2007,"&gt;="&amp;(설정!$B$5-설정!$B$8),매출원본!$AS$8:$AS$2007,"&lt;="&amp;설정!$B$5)))</f>
        <v/>
      </c>
      <c r="AC257" s="31">
        <f>IF(OR($U257="",$T257=""),"",INDEX(거래처설정!$J$8:$J$407,$T257))</f>
        <v/>
      </c>
      <c r="AD257" s="31">
        <f>IF(OR($U257="",$T257=""),"",INDEX(거래처설정!$K$8:$K$407,$T257))</f>
        <v/>
      </c>
      <c r="AE257" s="31">
        <f>IF($U257="","",IF(LEN(SUBSTITUTE(SUBSTITUTE(SUBSTITUTE(SUBSTITUTE(SUBSTITUTE(SUBSTITUTE(SUBSTITUTE(SUBSTITUTE(SUBSTITUTE($C257," ",""),"　",""),"(주)",""),"（주）",""),"㈜",""),"주식회사",""),"(유)",""),"（유）",""),"유한회사",""))&lt;2,"",SUBSTITUTE(SUBSTITUTE(SUBSTITUTE(SUBSTITUTE(SUBSTITUTE(SUBSTITUTE(SUBSTITUTE(SUBSTITUTE(SUBSTITUTE($C257," ",""),"　",""),"(주)",""),"（주）",""),"㈜",""),"주식회사",""),"(유)",""),"（유）",""),"유한회사","")))</f>
        <v/>
      </c>
    </row>
    <row r="258">
      <c r="A258" s="38">
        <f>IF($U258="","",251)</f>
        <v/>
      </c>
      <c r="B258" s="38">
        <f>IF($U258="","",IF(LEN(INDEX(매출원본!$AU$8:$AU$2007,$U258))=10,LEFT(INDEX(매출원본!$AU$8:$AU$2007,$U258),3)&amp;"-"&amp;MID(INDEX(매출원본!$AU$8:$AU$2007,$U258),4,2)&amp;"-"&amp;RIGHT(INDEX(매출원본!$AU$8:$AU$2007,$U258),5),IF(LEFT(INDEX(매출원본!$AU$8:$AU$2007,$U258),2)="N:","(번호 없음)",INDEX(매출원본!$AU$8:$AU$2007,$U258))))</f>
        <v/>
      </c>
      <c r="C258" s="38">
        <f>IF($U258="","",INDEX(매출원본!$AV$8:$AV$2007,$U258))</f>
        <v/>
      </c>
      <c r="D258" s="39">
        <f>IF($U258="","",IF($T258="",0,N(INDEX(거래처설정!$E$8:$E$407,$T258))))</f>
        <v/>
      </c>
      <c r="E258" s="39">
        <f>IF($U258="","",SUMIFS(매출원본!$AT$8:$AT$2007,매출원본!$AY$8:$AY$2007,$A258,매출원본!$AS$8:$AS$2007,"&lt;="&amp;설정!$B$5))</f>
        <v/>
      </c>
      <c r="F258" s="39">
        <f>IF($U258="","",SUMIFS(입금_은행1!$Z$8:$Z$2007,입금_은행1!$AC$8:$AC$2007,$A258,입금_은행1!$Y$8:$Y$2007,"&lt;="&amp;설정!$B$5)+SUMIFS(입금_은행2!$Z$8:$Z$2007,입금_은행2!$AC$8:$AC$2007,$A258,입금_은행2!$Y$8:$Y$2007,"&lt;="&amp;설정!$B$5))</f>
        <v/>
      </c>
      <c r="G258" s="39">
        <f>IF($U258="","",$D258+$E258-$F258)</f>
        <v/>
      </c>
      <c r="H258" s="39">
        <f>IF($U258="","",MIN(MAX($G258,0),$V258))</f>
        <v/>
      </c>
      <c r="I258" s="39">
        <f>IF($U258="","",MIN(MAX($G258,0),$W258)-MIN(MAX($G258,0),$V258))</f>
        <v/>
      </c>
      <c r="J258" s="39">
        <f>IF($U258="","",MIN(MAX($G258,0),$X258)-MIN(MAX($G258,0),$W258))</f>
        <v/>
      </c>
      <c r="K258" s="39">
        <f>IF($U258="","",MAX($G258,0)-MIN(MAX($G258,0),$X258))</f>
        <v/>
      </c>
      <c r="L258" s="40">
        <f>IF($U258="","",IF(MAX(SUMPRODUCT(MAX((입금_은행1!$AC$8:$AC$2007=$A258)*(입금_은행1!$AE$8:$AE$2007&lt;=설정!$B$5)*입금_은행1!$AE$8:$AE$2007)),SUMPRODUCT(MAX((입금_은행2!$AC$8:$AC$2007=$A258)*(입금_은행2!$AE$8:$AE$2007&lt;=설정!$B$5)*입금_은행2!$AE$8:$AE$2007)))=0,"",MAX(SUMPRODUCT(MAX((입금_은행1!$AC$8:$AC$2007=$A258)*(입금_은행1!$AE$8:$AE$2007&lt;=설정!$B$5)*입금_은행1!$AE$8:$AE$2007)),SUMPRODUCT(MAX((입금_은행2!$AC$8:$AC$2007=$A258)*(입금_은행2!$AE$8:$AE$2007&lt;=설정!$B$5)*입금_은행2!$AE$8:$AE$2007)))))</f>
        <v/>
      </c>
      <c r="M258" s="38">
        <f>IF($U258="","",IF($T258="","",IF(INDEX(거래처설정!$F$8:$F$407,$T258)="","",INDEX(거래처설정!$F$8:$F$407,$T258))))</f>
        <v/>
      </c>
      <c r="N258" s="38">
        <f>IF($U258="","",IF($T258="","",IF(INDEX(거래처설정!$G$8:$G$407,$T258)="","",INDEX(거래처설정!$G$8:$G$407,$T258))))</f>
        <v/>
      </c>
      <c r="O258" s="38">
        <f>IF($U258="","",IF($M258="제외",0,IF($K258&gt;=설정!$B$9,3,IF($J258+$K258&gt;=설정!$B$9,2,IF($I258+$J258+$K258&gt;=설정!$B$9,1,0)))))</f>
        <v/>
      </c>
      <c r="P258" s="38">
        <f>IF($U258="","",IF($M258="제외","제외(조치 상태)",IF($O258=3,"③ 강한 독촉 후보 ("&amp;설정!$B$8&amp;"일 초과)",IF($O258=2,"② 독촉 후보 ("&amp;설정!$B$7&amp;"일 초과)",IF($O258=1,"① 안내 후보 ("&amp;설정!$B$6&amp;"일 초과)",IF($G258&gt;0,IF($I258+$J258+$K258&gt;0,"오래된 잔액 있음 (최소 금액 미만)","정상 범위"),IF($G258&lt;0,"선수금·초과입금 — 확인","완납")))))))</f>
        <v/>
      </c>
      <c r="Q258" s="38">
        <f>IF($U258="","",IF($G258&lt;0,"입금이 매출보다 큼 — 선수금이거나 다른 거래처 입금이 섞였는지 확인",IF(AND($AE258&lt;&gt;"",COUNTIF($AE$8:$AE$307,"*"&amp;$AE258&amp;"*")&gt;1),"이름이 다른 거래처와 겹침 — 입금이 잘못 맞았을 수 있으니 별칭 확인",IF(AND($G258&gt;0,$F258=0),"입금 매칭 없음 — 입금자명이 다르면 [거래처설정]에 별칭 등록",""))))</f>
        <v/>
      </c>
      <c r="R258" s="31">
        <f>IF(OR($U258="",$G258&lt;=0),"",$G258-$A258/10000)</f>
        <v/>
      </c>
      <c r="S258" s="31">
        <f>IF(OR($U258="",$O258&lt;1),"",$O258*10^11+$I258+$J258+$K258-$A258/1000)</f>
        <v/>
      </c>
      <c r="T258" s="31">
        <f>IF($U258="","",IFERROR(MATCH(INDEX(매출원본!$AU$8:$AU$2007,$U258),거래처설정!$I$8:$I$407,0),""))</f>
        <v/>
      </c>
      <c r="U258" s="31">
        <f>IFERROR(MATCH(251,매출원본!$AW$8:$AW$2007,0),"")</f>
        <v/>
      </c>
      <c r="V258" s="31">
        <f>IF($U258="","",MAX(SUMIFS(매출원본!$AT$8:$AT$2007,매출원본!$AY$8:$AY$2007,$A258,매출원본!$AS$8:$AS$2007,"&gt;="&amp;(설정!$B$5-설정!$B$6),매출원본!$AS$8:$AS$2007,"&lt;="&amp;설정!$B$5),0))</f>
        <v/>
      </c>
      <c r="W258" s="31">
        <f>IF($U258="","",MAX($V258,SUMIFS(매출원본!$AT$8:$AT$2007,매출원본!$AY$8:$AY$2007,$A258,매출원본!$AS$8:$AS$2007,"&gt;="&amp;(설정!$B$5-설정!$B$7),매출원본!$AS$8:$AS$2007,"&lt;="&amp;설정!$B$5)))</f>
        <v/>
      </c>
      <c r="X258" s="31">
        <f>IF($U258="","",MAX($W258,SUMIFS(매출원본!$AT$8:$AT$2007,매출원본!$AY$8:$AY$2007,$A258,매출원본!$AS$8:$AS$2007,"&gt;="&amp;(설정!$B$5-설정!$B$8),매출원본!$AS$8:$AS$2007,"&lt;="&amp;설정!$B$5)))</f>
        <v/>
      </c>
      <c r="AC258" s="31">
        <f>IF(OR($U258="",$T258=""),"",INDEX(거래처설정!$J$8:$J$407,$T258))</f>
        <v/>
      </c>
      <c r="AD258" s="31">
        <f>IF(OR($U258="",$T258=""),"",INDEX(거래처설정!$K$8:$K$407,$T258))</f>
        <v/>
      </c>
      <c r="AE258" s="31">
        <f>IF($U258="","",IF(LEN(SUBSTITUTE(SUBSTITUTE(SUBSTITUTE(SUBSTITUTE(SUBSTITUTE(SUBSTITUTE(SUBSTITUTE(SUBSTITUTE(SUBSTITUTE($C258," ",""),"　",""),"(주)",""),"（주）",""),"㈜",""),"주식회사",""),"(유)",""),"（유）",""),"유한회사",""))&lt;2,"",SUBSTITUTE(SUBSTITUTE(SUBSTITUTE(SUBSTITUTE(SUBSTITUTE(SUBSTITUTE(SUBSTITUTE(SUBSTITUTE(SUBSTITUTE($C258," ",""),"　",""),"(주)",""),"（주）",""),"㈜",""),"주식회사",""),"(유)",""),"（유）",""),"유한회사","")))</f>
        <v/>
      </c>
    </row>
    <row r="259">
      <c r="A259" s="38">
        <f>IF($U259="","",252)</f>
        <v/>
      </c>
      <c r="B259" s="38">
        <f>IF($U259="","",IF(LEN(INDEX(매출원본!$AU$8:$AU$2007,$U259))=10,LEFT(INDEX(매출원본!$AU$8:$AU$2007,$U259),3)&amp;"-"&amp;MID(INDEX(매출원본!$AU$8:$AU$2007,$U259),4,2)&amp;"-"&amp;RIGHT(INDEX(매출원본!$AU$8:$AU$2007,$U259),5),IF(LEFT(INDEX(매출원본!$AU$8:$AU$2007,$U259),2)="N:","(번호 없음)",INDEX(매출원본!$AU$8:$AU$2007,$U259))))</f>
        <v/>
      </c>
      <c r="C259" s="38">
        <f>IF($U259="","",INDEX(매출원본!$AV$8:$AV$2007,$U259))</f>
        <v/>
      </c>
      <c r="D259" s="39">
        <f>IF($U259="","",IF($T259="",0,N(INDEX(거래처설정!$E$8:$E$407,$T259))))</f>
        <v/>
      </c>
      <c r="E259" s="39">
        <f>IF($U259="","",SUMIFS(매출원본!$AT$8:$AT$2007,매출원본!$AY$8:$AY$2007,$A259,매출원본!$AS$8:$AS$2007,"&lt;="&amp;설정!$B$5))</f>
        <v/>
      </c>
      <c r="F259" s="39">
        <f>IF($U259="","",SUMIFS(입금_은행1!$Z$8:$Z$2007,입금_은행1!$AC$8:$AC$2007,$A259,입금_은행1!$Y$8:$Y$2007,"&lt;="&amp;설정!$B$5)+SUMIFS(입금_은행2!$Z$8:$Z$2007,입금_은행2!$AC$8:$AC$2007,$A259,입금_은행2!$Y$8:$Y$2007,"&lt;="&amp;설정!$B$5))</f>
        <v/>
      </c>
      <c r="G259" s="39">
        <f>IF($U259="","",$D259+$E259-$F259)</f>
        <v/>
      </c>
      <c r="H259" s="39">
        <f>IF($U259="","",MIN(MAX($G259,0),$V259))</f>
        <v/>
      </c>
      <c r="I259" s="39">
        <f>IF($U259="","",MIN(MAX($G259,0),$W259)-MIN(MAX($G259,0),$V259))</f>
        <v/>
      </c>
      <c r="J259" s="39">
        <f>IF($U259="","",MIN(MAX($G259,0),$X259)-MIN(MAX($G259,0),$W259))</f>
        <v/>
      </c>
      <c r="K259" s="39">
        <f>IF($U259="","",MAX($G259,0)-MIN(MAX($G259,0),$X259))</f>
        <v/>
      </c>
      <c r="L259" s="40">
        <f>IF($U259="","",IF(MAX(SUMPRODUCT(MAX((입금_은행1!$AC$8:$AC$2007=$A259)*(입금_은행1!$AE$8:$AE$2007&lt;=설정!$B$5)*입금_은행1!$AE$8:$AE$2007)),SUMPRODUCT(MAX((입금_은행2!$AC$8:$AC$2007=$A259)*(입금_은행2!$AE$8:$AE$2007&lt;=설정!$B$5)*입금_은행2!$AE$8:$AE$2007)))=0,"",MAX(SUMPRODUCT(MAX((입금_은행1!$AC$8:$AC$2007=$A259)*(입금_은행1!$AE$8:$AE$2007&lt;=설정!$B$5)*입금_은행1!$AE$8:$AE$2007)),SUMPRODUCT(MAX((입금_은행2!$AC$8:$AC$2007=$A259)*(입금_은행2!$AE$8:$AE$2007&lt;=설정!$B$5)*입금_은행2!$AE$8:$AE$2007)))))</f>
        <v/>
      </c>
      <c r="M259" s="38">
        <f>IF($U259="","",IF($T259="","",IF(INDEX(거래처설정!$F$8:$F$407,$T259)="","",INDEX(거래처설정!$F$8:$F$407,$T259))))</f>
        <v/>
      </c>
      <c r="N259" s="38">
        <f>IF($U259="","",IF($T259="","",IF(INDEX(거래처설정!$G$8:$G$407,$T259)="","",INDEX(거래처설정!$G$8:$G$407,$T259))))</f>
        <v/>
      </c>
      <c r="O259" s="38">
        <f>IF($U259="","",IF($M259="제외",0,IF($K259&gt;=설정!$B$9,3,IF($J259+$K259&gt;=설정!$B$9,2,IF($I259+$J259+$K259&gt;=설정!$B$9,1,0)))))</f>
        <v/>
      </c>
      <c r="P259" s="38">
        <f>IF($U259="","",IF($M259="제외","제외(조치 상태)",IF($O259=3,"③ 강한 독촉 후보 ("&amp;설정!$B$8&amp;"일 초과)",IF($O259=2,"② 독촉 후보 ("&amp;설정!$B$7&amp;"일 초과)",IF($O259=1,"① 안내 후보 ("&amp;설정!$B$6&amp;"일 초과)",IF($G259&gt;0,IF($I259+$J259+$K259&gt;0,"오래된 잔액 있음 (최소 금액 미만)","정상 범위"),IF($G259&lt;0,"선수금·초과입금 — 확인","완납")))))))</f>
        <v/>
      </c>
      <c r="Q259" s="38">
        <f>IF($U259="","",IF($G259&lt;0,"입금이 매출보다 큼 — 선수금이거나 다른 거래처 입금이 섞였는지 확인",IF(AND($AE259&lt;&gt;"",COUNTIF($AE$8:$AE$307,"*"&amp;$AE259&amp;"*")&gt;1),"이름이 다른 거래처와 겹침 — 입금이 잘못 맞았을 수 있으니 별칭 확인",IF(AND($G259&gt;0,$F259=0),"입금 매칭 없음 — 입금자명이 다르면 [거래처설정]에 별칭 등록",""))))</f>
        <v/>
      </c>
      <c r="R259" s="31">
        <f>IF(OR($U259="",$G259&lt;=0),"",$G259-$A259/10000)</f>
        <v/>
      </c>
      <c r="S259" s="31">
        <f>IF(OR($U259="",$O259&lt;1),"",$O259*10^11+$I259+$J259+$K259-$A259/1000)</f>
        <v/>
      </c>
      <c r="T259" s="31">
        <f>IF($U259="","",IFERROR(MATCH(INDEX(매출원본!$AU$8:$AU$2007,$U259),거래처설정!$I$8:$I$407,0),""))</f>
        <v/>
      </c>
      <c r="U259" s="31">
        <f>IFERROR(MATCH(252,매출원본!$AW$8:$AW$2007,0),"")</f>
        <v/>
      </c>
      <c r="V259" s="31">
        <f>IF($U259="","",MAX(SUMIFS(매출원본!$AT$8:$AT$2007,매출원본!$AY$8:$AY$2007,$A259,매출원본!$AS$8:$AS$2007,"&gt;="&amp;(설정!$B$5-설정!$B$6),매출원본!$AS$8:$AS$2007,"&lt;="&amp;설정!$B$5),0))</f>
        <v/>
      </c>
      <c r="W259" s="31">
        <f>IF($U259="","",MAX($V259,SUMIFS(매출원본!$AT$8:$AT$2007,매출원본!$AY$8:$AY$2007,$A259,매출원본!$AS$8:$AS$2007,"&gt;="&amp;(설정!$B$5-설정!$B$7),매출원본!$AS$8:$AS$2007,"&lt;="&amp;설정!$B$5)))</f>
        <v/>
      </c>
      <c r="X259" s="31">
        <f>IF($U259="","",MAX($W259,SUMIFS(매출원본!$AT$8:$AT$2007,매출원본!$AY$8:$AY$2007,$A259,매출원본!$AS$8:$AS$2007,"&gt;="&amp;(설정!$B$5-설정!$B$8),매출원본!$AS$8:$AS$2007,"&lt;="&amp;설정!$B$5)))</f>
        <v/>
      </c>
      <c r="AC259" s="31">
        <f>IF(OR($U259="",$T259=""),"",INDEX(거래처설정!$J$8:$J$407,$T259))</f>
        <v/>
      </c>
      <c r="AD259" s="31">
        <f>IF(OR($U259="",$T259=""),"",INDEX(거래처설정!$K$8:$K$407,$T259))</f>
        <v/>
      </c>
      <c r="AE259" s="31">
        <f>IF($U259="","",IF(LEN(SUBSTITUTE(SUBSTITUTE(SUBSTITUTE(SUBSTITUTE(SUBSTITUTE(SUBSTITUTE(SUBSTITUTE(SUBSTITUTE(SUBSTITUTE($C259," ",""),"　",""),"(주)",""),"（주）",""),"㈜",""),"주식회사",""),"(유)",""),"（유）",""),"유한회사",""))&lt;2,"",SUBSTITUTE(SUBSTITUTE(SUBSTITUTE(SUBSTITUTE(SUBSTITUTE(SUBSTITUTE(SUBSTITUTE(SUBSTITUTE(SUBSTITUTE($C259," ",""),"　",""),"(주)",""),"（주）",""),"㈜",""),"주식회사",""),"(유)",""),"（유）",""),"유한회사","")))</f>
        <v/>
      </c>
    </row>
    <row r="260">
      <c r="A260" s="38">
        <f>IF($U260="","",253)</f>
        <v/>
      </c>
      <c r="B260" s="38">
        <f>IF($U260="","",IF(LEN(INDEX(매출원본!$AU$8:$AU$2007,$U260))=10,LEFT(INDEX(매출원본!$AU$8:$AU$2007,$U260),3)&amp;"-"&amp;MID(INDEX(매출원본!$AU$8:$AU$2007,$U260),4,2)&amp;"-"&amp;RIGHT(INDEX(매출원본!$AU$8:$AU$2007,$U260),5),IF(LEFT(INDEX(매출원본!$AU$8:$AU$2007,$U260),2)="N:","(번호 없음)",INDEX(매출원본!$AU$8:$AU$2007,$U260))))</f>
        <v/>
      </c>
      <c r="C260" s="38">
        <f>IF($U260="","",INDEX(매출원본!$AV$8:$AV$2007,$U260))</f>
        <v/>
      </c>
      <c r="D260" s="39">
        <f>IF($U260="","",IF($T260="",0,N(INDEX(거래처설정!$E$8:$E$407,$T260))))</f>
        <v/>
      </c>
      <c r="E260" s="39">
        <f>IF($U260="","",SUMIFS(매출원본!$AT$8:$AT$2007,매출원본!$AY$8:$AY$2007,$A260,매출원본!$AS$8:$AS$2007,"&lt;="&amp;설정!$B$5))</f>
        <v/>
      </c>
      <c r="F260" s="39">
        <f>IF($U260="","",SUMIFS(입금_은행1!$Z$8:$Z$2007,입금_은행1!$AC$8:$AC$2007,$A260,입금_은행1!$Y$8:$Y$2007,"&lt;="&amp;설정!$B$5)+SUMIFS(입금_은행2!$Z$8:$Z$2007,입금_은행2!$AC$8:$AC$2007,$A260,입금_은행2!$Y$8:$Y$2007,"&lt;="&amp;설정!$B$5))</f>
        <v/>
      </c>
      <c r="G260" s="39">
        <f>IF($U260="","",$D260+$E260-$F260)</f>
        <v/>
      </c>
      <c r="H260" s="39">
        <f>IF($U260="","",MIN(MAX($G260,0),$V260))</f>
        <v/>
      </c>
      <c r="I260" s="39">
        <f>IF($U260="","",MIN(MAX($G260,0),$W260)-MIN(MAX($G260,0),$V260))</f>
        <v/>
      </c>
      <c r="J260" s="39">
        <f>IF($U260="","",MIN(MAX($G260,0),$X260)-MIN(MAX($G260,0),$W260))</f>
        <v/>
      </c>
      <c r="K260" s="39">
        <f>IF($U260="","",MAX($G260,0)-MIN(MAX($G260,0),$X260))</f>
        <v/>
      </c>
      <c r="L260" s="40">
        <f>IF($U260="","",IF(MAX(SUMPRODUCT(MAX((입금_은행1!$AC$8:$AC$2007=$A260)*(입금_은행1!$AE$8:$AE$2007&lt;=설정!$B$5)*입금_은행1!$AE$8:$AE$2007)),SUMPRODUCT(MAX((입금_은행2!$AC$8:$AC$2007=$A260)*(입금_은행2!$AE$8:$AE$2007&lt;=설정!$B$5)*입금_은행2!$AE$8:$AE$2007)))=0,"",MAX(SUMPRODUCT(MAX((입금_은행1!$AC$8:$AC$2007=$A260)*(입금_은행1!$AE$8:$AE$2007&lt;=설정!$B$5)*입금_은행1!$AE$8:$AE$2007)),SUMPRODUCT(MAX((입금_은행2!$AC$8:$AC$2007=$A260)*(입금_은행2!$AE$8:$AE$2007&lt;=설정!$B$5)*입금_은행2!$AE$8:$AE$2007)))))</f>
        <v/>
      </c>
      <c r="M260" s="38">
        <f>IF($U260="","",IF($T260="","",IF(INDEX(거래처설정!$F$8:$F$407,$T260)="","",INDEX(거래처설정!$F$8:$F$407,$T260))))</f>
        <v/>
      </c>
      <c r="N260" s="38">
        <f>IF($U260="","",IF($T260="","",IF(INDEX(거래처설정!$G$8:$G$407,$T260)="","",INDEX(거래처설정!$G$8:$G$407,$T260))))</f>
        <v/>
      </c>
      <c r="O260" s="38">
        <f>IF($U260="","",IF($M260="제외",0,IF($K260&gt;=설정!$B$9,3,IF($J260+$K260&gt;=설정!$B$9,2,IF($I260+$J260+$K260&gt;=설정!$B$9,1,0)))))</f>
        <v/>
      </c>
      <c r="P260" s="38">
        <f>IF($U260="","",IF($M260="제외","제외(조치 상태)",IF($O260=3,"③ 강한 독촉 후보 ("&amp;설정!$B$8&amp;"일 초과)",IF($O260=2,"② 독촉 후보 ("&amp;설정!$B$7&amp;"일 초과)",IF($O260=1,"① 안내 후보 ("&amp;설정!$B$6&amp;"일 초과)",IF($G260&gt;0,IF($I260+$J260+$K260&gt;0,"오래된 잔액 있음 (최소 금액 미만)","정상 범위"),IF($G260&lt;0,"선수금·초과입금 — 확인","완납")))))))</f>
        <v/>
      </c>
      <c r="Q260" s="38">
        <f>IF($U260="","",IF($G260&lt;0,"입금이 매출보다 큼 — 선수금이거나 다른 거래처 입금이 섞였는지 확인",IF(AND($AE260&lt;&gt;"",COUNTIF($AE$8:$AE$307,"*"&amp;$AE260&amp;"*")&gt;1),"이름이 다른 거래처와 겹침 — 입금이 잘못 맞았을 수 있으니 별칭 확인",IF(AND($G260&gt;0,$F260=0),"입금 매칭 없음 — 입금자명이 다르면 [거래처설정]에 별칭 등록",""))))</f>
        <v/>
      </c>
      <c r="R260" s="31">
        <f>IF(OR($U260="",$G260&lt;=0),"",$G260-$A260/10000)</f>
        <v/>
      </c>
      <c r="S260" s="31">
        <f>IF(OR($U260="",$O260&lt;1),"",$O260*10^11+$I260+$J260+$K260-$A260/1000)</f>
        <v/>
      </c>
      <c r="T260" s="31">
        <f>IF($U260="","",IFERROR(MATCH(INDEX(매출원본!$AU$8:$AU$2007,$U260),거래처설정!$I$8:$I$407,0),""))</f>
        <v/>
      </c>
      <c r="U260" s="31">
        <f>IFERROR(MATCH(253,매출원본!$AW$8:$AW$2007,0),"")</f>
        <v/>
      </c>
      <c r="V260" s="31">
        <f>IF($U260="","",MAX(SUMIFS(매출원본!$AT$8:$AT$2007,매출원본!$AY$8:$AY$2007,$A260,매출원본!$AS$8:$AS$2007,"&gt;="&amp;(설정!$B$5-설정!$B$6),매출원본!$AS$8:$AS$2007,"&lt;="&amp;설정!$B$5),0))</f>
        <v/>
      </c>
      <c r="W260" s="31">
        <f>IF($U260="","",MAX($V260,SUMIFS(매출원본!$AT$8:$AT$2007,매출원본!$AY$8:$AY$2007,$A260,매출원본!$AS$8:$AS$2007,"&gt;="&amp;(설정!$B$5-설정!$B$7),매출원본!$AS$8:$AS$2007,"&lt;="&amp;설정!$B$5)))</f>
        <v/>
      </c>
      <c r="X260" s="31">
        <f>IF($U260="","",MAX($W260,SUMIFS(매출원본!$AT$8:$AT$2007,매출원본!$AY$8:$AY$2007,$A260,매출원본!$AS$8:$AS$2007,"&gt;="&amp;(설정!$B$5-설정!$B$8),매출원본!$AS$8:$AS$2007,"&lt;="&amp;설정!$B$5)))</f>
        <v/>
      </c>
      <c r="AC260" s="31">
        <f>IF(OR($U260="",$T260=""),"",INDEX(거래처설정!$J$8:$J$407,$T260))</f>
        <v/>
      </c>
      <c r="AD260" s="31">
        <f>IF(OR($U260="",$T260=""),"",INDEX(거래처설정!$K$8:$K$407,$T260))</f>
        <v/>
      </c>
      <c r="AE260" s="31">
        <f>IF($U260="","",IF(LEN(SUBSTITUTE(SUBSTITUTE(SUBSTITUTE(SUBSTITUTE(SUBSTITUTE(SUBSTITUTE(SUBSTITUTE(SUBSTITUTE(SUBSTITUTE($C260," ",""),"　",""),"(주)",""),"（주）",""),"㈜",""),"주식회사",""),"(유)",""),"（유）",""),"유한회사",""))&lt;2,"",SUBSTITUTE(SUBSTITUTE(SUBSTITUTE(SUBSTITUTE(SUBSTITUTE(SUBSTITUTE(SUBSTITUTE(SUBSTITUTE(SUBSTITUTE($C260," ",""),"　",""),"(주)",""),"（주）",""),"㈜",""),"주식회사",""),"(유)",""),"（유）",""),"유한회사","")))</f>
        <v/>
      </c>
    </row>
    <row r="261">
      <c r="A261" s="38">
        <f>IF($U261="","",254)</f>
        <v/>
      </c>
      <c r="B261" s="38">
        <f>IF($U261="","",IF(LEN(INDEX(매출원본!$AU$8:$AU$2007,$U261))=10,LEFT(INDEX(매출원본!$AU$8:$AU$2007,$U261),3)&amp;"-"&amp;MID(INDEX(매출원본!$AU$8:$AU$2007,$U261),4,2)&amp;"-"&amp;RIGHT(INDEX(매출원본!$AU$8:$AU$2007,$U261),5),IF(LEFT(INDEX(매출원본!$AU$8:$AU$2007,$U261),2)="N:","(번호 없음)",INDEX(매출원본!$AU$8:$AU$2007,$U261))))</f>
        <v/>
      </c>
      <c r="C261" s="38">
        <f>IF($U261="","",INDEX(매출원본!$AV$8:$AV$2007,$U261))</f>
        <v/>
      </c>
      <c r="D261" s="39">
        <f>IF($U261="","",IF($T261="",0,N(INDEX(거래처설정!$E$8:$E$407,$T261))))</f>
        <v/>
      </c>
      <c r="E261" s="39">
        <f>IF($U261="","",SUMIFS(매출원본!$AT$8:$AT$2007,매출원본!$AY$8:$AY$2007,$A261,매출원본!$AS$8:$AS$2007,"&lt;="&amp;설정!$B$5))</f>
        <v/>
      </c>
      <c r="F261" s="39">
        <f>IF($U261="","",SUMIFS(입금_은행1!$Z$8:$Z$2007,입금_은행1!$AC$8:$AC$2007,$A261,입금_은행1!$Y$8:$Y$2007,"&lt;="&amp;설정!$B$5)+SUMIFS(입금_은행2!$Z$8:$Z$2007,입금_은행2!$AC$8:$AC$2007,$A261,입금_은행2!$Y$8:$Y$2007,"&lt;="&amp;설정!$B$5))</f>
        <v/>
      </c>
      <c r="G261" s="39">
        <f>IF($U261="","",$D261+$E261-$F261)</f>
        <v/>
      </c>
      <c r="H261" s="39">
        <f>IF($U261="","",MIN(MAX($G261,0),$V261))</f>
        <v/>
      </c>
      <c r="I261" s="39">
        <f>IF($U261="","",MIN(MAX($G261,0),$W261)-MIN(MAX($G261,0),$V261))</f>
        <v/>
      </c>
      <c r="J261" s="39">
        <f>IF($U261="","",MIN(MAX($G261,0),$X261)-MIN(MAX($G261,0),$W261))</f>
        <v/>
      </c>
      <c r="K261" s="39">
        <f>IF($U261="","",MAX($G261,0)-MIN(MAX($G261,0),$X261))</f>
        <v/>
      </c>
      <c r="L261" s="40">
        <f>IF($U261="","",IF(MAX(SUMPRODUCT(MAX((입금_은행1!$AC$8:$AC$2007=$A261)*(입금_은행1!$AE$8:$AE$2007&lt;=설정!$B$5)*입금_은행1!$AE$8:$AE$2007)),SUMPRODUCT(MAX((입금_은행2!$AC$8:$AC$2007=$A261)*(입금_은행2!$AE$8:$AE$2007&lt;=설정!$B$5)*입금_은행2!$AE$8:$AE$2007)))=0,"",MAX(SUMPRODUCT(MAX((입금_은행1!$AC$8:$AC$2007=$A261)*(입금_은행1!$AE$8:$AE$2007&lt;=설정!$B$5)*입금_은행1!$AE$8:$AE$2007)),SUMPRODUCT(MAX((입금_은행2!$AC$8:$AC$2007=$A261)*(입금_은행2!$AE$8:$AE$2007&lt;=설정!$B$5)*입금_은행2!$AE$8:$AE$2007)))))</f>
        <v/>
      </c>
      <c r="M261" s="38">
        <f>IF($U261="","",IF($T261="","",IF(INDEX(거래처설정!$F$8:$F$407,$T261)="","",INDEX(거래처설정!$F$8:$F$407,$T261))))</f>
        <v/>
      </c>
      <c r="N261" s="38">
        <f>IF($U261="","",IF($T261="","",IF(INDEX(거래처설정!$G$8:$G$407,$T261)="","",INDEX(거래처설정!$G$8:$G$407,$T261))))</f>
        <v/>
      </c>
      <c r="O261" s="38">
        <f>IF($U261="","",IF($M261="제외",0,IF($K261&gt;=설정!$B$9,3,IF($J261+$K261&gt;=설정!$B$9,2,IF($I261+$J261+$K261&gt;=설정!$B$9,1,0)))))</f>
        <v/>
      </c>
      <c r="P261" s="38">
        <f>IF($U261="","",IF($M261="제외","제외(조치 상태)",IF($O261=3,"③ 강한 독촉 후보 ("&amp;설정!$B$8&amp;"일 초과)",IF($O261=2,"② 독촉 후보 ("&amp;설정!$B$7&amp;"일 초과)",IF($O261=1,"① 안내 후보 ("&amp;설정!$B$6&amp;"일 초과)",IF($G261&gt;0,IF($I261+$J261+$K261&gt;0,"오래된 잔액 있음 (최소 금액 미만)","정상 범위"),IF($G261&lt;0,"선수금·초과입금 — 확인","완납")))))))</f>
        <v/>
      </c>
      <c r="Q261" s="38">
        <f>IF($U261="","",IF($G261&lt;0,"입금이 매출보다 큼 — 선수금이거나 다른 거래처 입금이 섞였는지 확인",IF(AND($AE261&lt;&gt;"",COUNTIF($AE$8:$AE$307,"*"&amp;$AE261&amp;"*")&gt;1),"이름이 다른 거래처와 겹침 — 입금이 잘못 맞았을 수 있으니 별칭 확인",IF(AND($G261&gt;0,$F261=0),"입금 매칭 없음 — 입금자명이 다르면 [거래처설정]에 별칭 등록",""))))</f>
        <v/>
      </c>
      <c r="R261" s="31">
        <f>IF(OR($U261="",$G261&lt;=0),"",$G261-$A261/10000)</f>
        <v/>
      </c>
      <c r="S261" s="31">
        <f>IF(OR($U261="",$O261&lt;1),"",$O261*10^11+$I261+$J261+$K261-$A261/1000)</f>
        <v/>
      </c>
      <c r="T261" s="31">
        <f>IF($U261="","",IFERROR(MATCH(INDEX(매출원본!$AU$8:$AU$2007,$U261),거래처설정!$I$8:$I$407,0),""))</f>
        <v/>
      </c>
      <c r="U261" s="31">
        <f>IFERROR(MATCH(254,매출원본!$AW$8:$AW$2007,0),"")</f>
        <v/>
      </c>
      <c r="V261" s="31">
        <f>IF($U261="","",MAX(SUMIFS(매출원본!$AT$8:$AT$2007,매출원본!$AY$8:$AY$2007,$A261,매출원본!$AS$8:$AS$2007,"&gt;="&amp;(설정!$B$5-설정!$B$6),매출원본!$AS$8:$AS$2007,"&lt;="&amp;설정!$B$5),0))</f>
        <v/>
      </c>
      <c r="W261" s="31">
        <f>IF($U261="","",MAX($V261,SUMIFS(매출원본!$AT$8:$AT$2007,매출원본!$AY$8:$AY$2007,$A261,매출원본!$AS$8:$AS$2007,"&gt;="&amp;(설정!$B$5-설정!$B$7),매출원본!$AS$8:$AS$2007,"&lt;="&amp;설정!$B$5)))</f>
        <v/>
      </c>
      <c r="X261" s="31">
        <f>IF($U261="","",MAX($W261,SUMIFS(매출원본!$AT$8:$AT$2007,매출원본!$AY$8:$AY$2007,$A261,매출원본!$AS$8:$AS$2007,"&gt;="&amp;(설정!$B$5-설정!$B$8),매출원본!$AS$8:$AS$2007,"&lt;="&amp;설정!$B$5)))</f>
        <v/>
      </c>
      <c r="AC261" s="31">
        <f>IF(OR($U261="",$T261=""),"",INDEX(거래처설정!$J$8:$J$407,$T261))</f>
        <v/>
      </c>
      <c r="AD261" s="31">
        <f>IF(OR($U261="",$T261=""),"",INDEX(거래처설정!$K$8:$K$407,$T261))</f>
        <v/>
      </c>
      <c r="AE261" s="31">
        <f>IF($U261="","",IF(LEN(SUBSTITUTE(SUBSTITUTE(SUBSTITUTE(SUBSTITUTE(SUBSTITUTE(SUBSTITUTE(SUBSTITUTE(SUBSTITUTE(SUBSTITUTE($C261," ",""),"　",""),"(주)",""),"（주）",""),"㈜",""),"주식회사",""),"(유)",""),"（유）",""),"유한회사",""))&lt;2,"",SUBSTITUTE(SUBSTITUTE(SUBSTITUTE(SUBSTITUTE(SUBSTITUTE(SUBSTITUTE(SUBSTITUTE(SUBSTITUTE(SUBSTITUTE($C261," ",""),"　",""),"(주)",""),"（주）",""),"㈜",""),"주식회사",""),"(유)",""),"（유）",""),"유한회사","")))</f>
        <v/>
      </c>
    </row>
    <row r="262">
      <c r="A262" s="38">
        <f>IF($U262="","",255)</f>
        <v/>
      </c>
      <c r="B262" s="38">
        <f>IF($U262="","",IF(LEN(INDEX(매출원본!$AU$8:$AU$2007,$U262))=10,LEFT(INDEX(매출원본!$AU$8:$AU$2007,$U262),3)&amp;"-"&amp;MID(INDEX(매출원본!$AU$8:$AU$2007,$U262),4,2)&amp;"-"&amp;RIGHT(INDEX(매출원본!$AU$8:$AU$2007,$U262),5),IF(LEFT(INDEX(매출원본!$AU$8:$AU$2007,$U262),2)="N:","(번호 없음)",INDEX(매출원본!$AU$8:$AU$2007,$U262))))</f>
        <v/>
      </c>
      <c r="C262" s="38">
        <f>IF($U262="","",INDEX(매출원본!$AV$8:$AV$2007,$U262))</f>
        <v/>
      </c>
      <c r="D262" s="39">
        <f>IF($U262="","",IF($T262="",0,N(INDEX(거래처설정!$E$8:$E$407,$T262))))</f>
        <v/>
      </c>
      <c r="E262" s="39">
        <f>IF($U262="","",SUMIFS(매출원본!$AT$8:$AT$2007,매출원본!$AY$8:$AY$2007,$A262,매출원본!$AS$8:$AS$2007,"&lt;="&amp;설정!$B$5))</f>
        <v/>
      </c>
      <c r="F262" s="39">
        <f>IF($U262="","",SUMIFS(입금_은행1!$Z$8:$Z$2007,입금_은행1!$AC$8:$AC$2007,$A262,입금_은행1!$Y$8:$Y$2007,"&lt;="&amp;설정!$B$5)+SUMIFS(입금_은행2!$Z$8:$Z$2007,입금_은행2!$AC$8:$AC$2007,$A262,입금_은행2!$Y$8:$Y$2007,"&lt;="&amp;설정!$B$5))</f>
        <v/>
      </c>
      <c r="G262" s="39">
        <f>IF($U262="","",$D262+$E262-$F262)</f>
        <v/>
      </c>
      <c r="H262" s="39">
        <f>IF($U262="","",MIN(MAX($G262,0),$V262))</f>
        <v/>
      </c>
      <c r="I262" s="39">
        <f>IF($U262="","",MIN(MAX($G262,0),$W262)-MIN(MAX($G262,0),$V262))</f>
        <v/>
      </c>
      <c r="J262" s="39">
        <f>IF($U262="","",MIN(MAX($G262,0),$X262)-MIN(MAX($G262,0),$W262))</f>
        <v/>
      </c>
      <c r="K262" s="39">
        <f>IF($U262="","",MAX($G262,0)-MIN(MAX($G262,0),$X262))</f>
        <v/>
      </c>
      <c r="L262" s="40">
        <f>IF($U262="","",IF(MAX(SUMPRODUCT(MAX((입금_은행1!$AC$8:$AC$2007=$A262)*(입금_은행1!$AE$8:$AE$2007&lt;=설정!$B$5)*입금_은행1!$AE$8:$AE$2007)),SUMPRODUCT(MAX((입금_은행2!$AC$8:$AC$2007=$A262)*(입금_은행2!$AE$8:$AE$2007&lt;=설정!$B$5)*입금_은행2!$AE$8:$AE$2007)))=0,"",MAX(SUMPRODUCT(MAX((입금_은행1!$AC$8:$AC$2007=$A262)*(입금_은행1!$AE$8:$AE$2007&lt;=설정!$B$5)*입금_은행1!$AE$8:$AE$2007)),SUMPRODUCT(MAX((입금_은행2!$AC$8:$AC$2007=$A262)*(입금_은행2!$AE$8:$AE$2007&lt;=설정!$B$5)*입금_은행2!$AE$8:$AE$2007)))))</f>
        <v/>
      </c>
      <c r="M262" s="38">
        <f>IF($U262="","",IF($T262="","",IF(INDEX(거래처설정!$F$8:$F$407,$T262)="","",INDEX(거래처설정!$F$8:$F$407,$T262))))</f>
        <v/>
      </c>
      <c r="N262" s="38">
        <f>IF($U262="","",IF($T262="","",IF(INDEX(거래처설정!$G$8:$G$407,$T262)="","",INDEX(거래처설정!$G$8:$G$407,$T262))))</f>
        <v/>
      </c>
      <c r="O262" s="38">
        <f>IF($U262="","",IF($M262="제외",0,IF($K262&gt;=설정!$B$9,3,IF($J262+$K262&gt;=설정!$B$9,2,IF($I262+$J262+$K262&gt;=설정!$B$9,1,0)))))</f>
        <v/>
      </c>
      <c r="P262" s="38">
        <f>IF($U262="","",IF($M262="제외","제외(조치 상태)",IF($O262=3,"③ 강한 독촉 후보 ("&amp;설정!$B$8&amp;"일 초과)",IF($O262=2,"② 독촉 후보 ("&amp;설정!$B$7&amp;"일 초과)",IF($O262=1,"① 안내 후보 ("&amp;설정!$B$6&amp;"일 초과)",IF($G262&gt;0,IF($I262+$J262+$K262&gt;0,"오래된 잔액 있음 (최소 금액 미만)","정상 범위"),IF($G262&lt;0,"선수금·초과입금 — 확인","완납")))))))</f>
        <v/>
      </c>
      <c r="Q262" s="38">
        <f>IF($U262="","",IF($G262&lt;0,"입금이 매출보다 큼 — 선수금이거나 다른 거래처 입금이 섞였는지 확인",IF(AND($AE262&lt;&gt;"",COUNTIF($AE$8:$AE$307,"*"&amp;$AE262&amp;"*")&gt;1),"이름이 다른 거래처와 겹침 — 입금이 잘못 맞았을 수 있으니 별칭 확인",IF(AND($G262&gt;0,$F262=0),"입금 매칭 없음 — 입금자명이 다르면 [거래처설정]에 별칭 등록",""))))</f>
        <v/>
      </c>
      <c r="R262" s="31">
        <f>IF(OR($U262="",$G262&lt;=0),"",$G262-$A262/10000)</f>
        <v/>
      </c>
      <c r="S262" s="31">
        <f>IF(OR($U262="",$O262&lt;1),"",$O262*10^11+$I262+$J262+$K262-$A262/1000)</f>
        <v/>
      </c>
      <c r="T262" s="31">
        <f>IF($U262="","",IFERROR(MATCH(INDEX(매출원본!$AU$8:$AU$2007,$U262),거래처설정!$I$8:$I$407,0),""))</f>
        <v/>
      </c>
      <c r="U262" s="31">
        <f>IFERROR(MATCH(255,매출원본!$AW$8:$AW$2007,0),"")</f>
        <v/>
      </c>
      <c r="V262" s="31">
        <f>IF($U262="","",MAX(SUMIFS(매출원본!$AT$8:$AT$2007,매출원본!$AY$8:$AY$2007,$A262,매출원본!$AS$8:$AS$2007,"&gt;="&amp;(설정!$B$5-설정!$B$6),매출원본!$AS$8:$AS$2007,"&lt;="&amp;설정!$B$5),0))</f>
        <v/>
      </c>
      <c r="W262" s="31">
        <f>IF($U262="","",MAX($V262,SUMIFS(매출원본!$AT$8:$AT$2007,매출원본!$AY$8:$AY$2007,$A262,매출원본!$AS$8:$AS$2007,"&gt;="&amp;(설정!$B$5-설정!$B$7),매출원본!$AS$8:$AS$2007,"&lt;="&amp;설정!$B$5)))</f>
        <v/>
      </c>
      <c r="X262" s="31">
        <f>IF($U262="","",MAX($W262,SUMIFS(매출원본!$AT$8:$AT$2007,매출원본!$AY$8:$AY$2007,$A262,매출원본!$AS$8:$AS$2007,"&gt;="&amp;(설정!$B$5-설정!$B$8),매출원본!$AS$8:$AS$2007,"&lt;="&amp;설정!$B$5)))</f>
        <v/>
      </c>
      <c r="AC262" s="31">
        <f>IF(OR($U262="",$T262=""),"",INDEX(거래처설정!$J$8:$J$407,$T262))</f>
        <v/>
      </c>
      <c r="AD262" s="31">
        <f>IF(OR($U262="",$T262=""),"",INDEX(거래처설정!$K$8:$K$407,$T262))</f>
        <v/>
      </c>
      <c r="AE262" s="31">
        <f>IF($U262="","",IF(LEN(SUBSTITUTE(SUBSTITUTE(SUBSTITUTE(SUBSTITUTE(SUBSTITUTE(SUBSTITUTE(SUBSTITUTE(SUBSTITUTE(SUBSTITUTE($C262," ",""),"　",""),"(주)",""),"（주）",""),"㈜",""),"주식회사",""),"(유)",""),"（유）",""),"유한회사",""))&lt;2,"",SUBSTITUTE(SUBSTITUTE(SUBSTITUTE(SUBSTITUTE(SUBSTITUTE(SUBSTITUTE(SUBSTITUTE(SUBSTITUTE(SUBSTITUTE($C262," ",""),"　",""),"(주)",""),"（주）",""),"㈜",""),"주식회사",""),"(유)",""),"（유）",""),"유한회사","")))</f>
        <v/>
      </c>
    </row>
    <row r="263">
      <c r="A263" s="38">
        <f>IF($U263="","",256)</f>
        <v/>
      </c>
      <c r="B263" s="38">
        <f>IF($U263="","",IF(LEN(INDEX(매출원본!$AU$8:$AU$2007,$U263))=10,LEFT(INDEX(매출원본!$AU$8:$AU$2007,$U263),3)&amp;"-"&amp;MID(INDEX(매출원본!$AU$8:$AU$2007,$U263),4,2)&amp;"-"&amp;RIGHT(INDEX(매출원본!$AU$8:$AU$2007,$U263),5),IF(LEFT(INDEX(매출원본!$AU$8:$AU$2007,$U263),2)="N:","(번호 없음)",INDEX(매출원본!$AU$8:$AU$2007,$U263))))</f>
        <v/>
      </c>
      <c r="C263" s="38">
        <f>IF($U263="","",INDEX(매출원본!$AV$8:$AV$2007,$U263))</f>
        <v/>
      </c>
      <c r="D263" s="39">
        <f>IF($U263="","",IF($T263="",0,N(INDEX(거래처설정!$E$8:$E$407,$T263))))</f>
        <v/>
      </c>
      <c r="E263" s="39">
        <f>IF($U263="","",SUMIFS(매출원본!$AT$8:$AT$2007,매출원본!$AY$8:$AY$2007,$A263,매출원본!$AS$8:$AS$2007,"&lt;="&amp;설정!$B$5))</f>
        <v/>
      </c>
      <c r="F263" s="39">
        <f>IF($U263="","",SUMIFS(입금_은행1!$Z$8:$Z$2007,입금_은행1!$AC$8:$AC$2007,$A263,입금_은행1!$Y$8:$Y$2007,"&lt;="&amp;설정!$B$5)+SUMIFS(입금_은행2!$Z$8:$Z$2007,입금_은행2!$AC$8:$AC$2007,$A263,입금_은행2!$Y$8:$Y$2007,"&lt;="&amp;설정!$B$5))</f>
        <v/>
      </c>
      <c r="G263" s="39">
        <f>IF($U263="","",$D263+$E263-$F263)</f>
        <v/>
      </c>
      <c r="H263" s="39">
        <f>IF($U263="","",MIN(MAX($G263,0),$V263))</f>
        <v/>
      </c>
      <c r="I263" s="39">
        <f>IF($U263="","",MIN(MAX($G263,0),$W263)-MIN(MAX($G263,0),$V263))</f>
        <v/>
      </c>
      <c r="J263" s="39">
        <f>IF($U263="","",MIN(MAX($G263,0),$X263)-MIN(MAX($G263,0),$W263))</f>
        <v/>
      </c>
      <c r="K263" s="39">
        <f>IF($U263="","",MAX($G263,0)-MIN(MAX($G263,0),$X263))</f>
        <v/>
      </c>
      <c r="L263" s="40">
        <f>IF($U263="","",IF(MAX(SUMPRODUCT(MAX((입금_은행1!$AC$8:$AC$2007=$A263)*(입금_은행1!$AE$8:$AE$2007&lt;=설정!$B$5)*입금_은행1!$AE$8:$AE$2007)),SUMPRODUCT(MAX((입금_은행2!$AC$8:$AC$2007=$A263)*(입금_은행2!$AE$8:$AE$2007&lt;=설정!$B$5)*입금_은행2!$AE$8:$AE$2007)))=0,"",MAX(SUMPRODUCT(MAX((입금_은행1!$AC$8:$AC$2007=$A263)*(입금_은행1!$AE$8:$AE$2007&lt;=설정!$B$5)*입금_은행1!$AE$8:$AE$2007)),SUMPRODUCT(MAX((입금_은행2!$AC$8:$AC$2007=$A263)*(입금_은행2!$AE$8:$AE$2007&lt;=설정!$B$5)*입금_은행2!$AE$8:$AE$2007)))))</f>
        <v/>
      </c>
      <c r="M263" s="38">
        <f>IF($U263="","",IF($T263="","",IF(INDEX(거래처설정!$F$8:$F$407,$T263)="","",INDEX(거래처설정!$F$8:$F$407,$T263))))</f>
        <v/>
      </c>
      <c r="N263" s="38">
        <f>IF($U263="","",IF($T263="","",IF(INDEX(거래처설정!$G$8:$G$407,$T263)="","",INDEX(거래처설정!$G$8:$G$407,$T263))))</f>
        <v/>
      </c>
      <c r="O263" s="38">
        <f>IF($U263="","",IF($M263="제외",0,IF($K263&gt;=설정!$B$9,3,IF($J263+$K263&gt;=설정!$B$9,2,IF($I263+$J263+$K263&gt;=설정!$B$9,1,0)))))</f>
        <v/>
      </c>
      <c r="P263" s="38">
        <f>IF($U263="","",IF($M263="제외","제외(조치 상태)",IF($O263=3,"③ 강한 독촉 후보 ("&amp;설정!$B$8&amp;"일 초과)",IF($O263=2,"② 독촉 후보 ("&amp;설정!$B$7&amp;"일 초과)",IF($O263=1,"① 안내 후보 ("&amp;설정!$B$6&amp;"일 초과)",IF($G263&gt;0,IF($I263+$J263+$K263&gt;0,"오래된 잔액 있음 (최소 금액 미만)","정상 범위"),IF($G263&lt;0,"선수금·초과입금 — 확인","완납")))))))</f>
        <v/>
      </c>
      <c r="Q263" s="38">
        <f>IF($U263="","",IF($G263&lt;0,"입금이 매출보다 큼 — 선수금이거나 다른 거래처 입금이 섞였는지 확인",IF(AND($AE263&lt;&gt;"",COUNTIF($AE$8:$AE$307,"*"&amp;$AE263&amp;"*")&gt;1),"이름이 다른 거래처와 겹침 — 입금이 잘못 맞았을 수 있으니 별칭 확인",IF(AND($G263&gt;0,$F263=0),"입금 매칭 없음 — 입금자명이 다르면 [거래처설정]에 별칭 등록",""))))</f>
        <v/>
      </c>
      <c r="R263" s="31">
        <f>IF(OR($U263="",$G263&lt;=0),"",$G263-$A263/10000)</f>
        <v/>
      </c>
      <c r="S263" s="31">
        <f>IF(OR($U263="",$O263&lt;1),"",$O263*10^11+$I263+$J263+$K263-$A263/1000)</f>
        <v/>
      </c>
      <c r="T263" s="31">
        <f>IF($U263="","",IFERROR(MATCH(INDEX(매출원본!$AU$8:$AU$2007,$U263),거래처설정!$I$8:$I$407,0),""))</f>
        <v/>
      </c>
      <c r="U263" s="31">
        <f>IFERROR(MATCH(256,매출원본!$AW$8:$AW$2007,0),"")</f>
        <v/>
      </c>
      <c r="V263" s="31">
        <f>IF($U263="","",MAX(SUMIFS(매출원본!$AT$8:$AT$2007,매출원본!$AY$8:$AY$2007,$A263,매출원본!$AS$8:$AS$2007,"&gt;="&amp;(설정!$B$5-설정!$B$6),매출원본!$AS$8:$AS$2007,"&lt;="&amp;설정!$B$5),0))</f>
        <v/>
      </c>
      <c r="W263" s="31">
        <f>IF($U263="","",MAX($V263,SUMIFS(매출원본!$AT$8:$AT$2007,매출원본!$AY$8:$AY$2007,$A263,매출원본!$AS$8:$AS$2007,"&gt;="&amp;(설정!$B$5-설정!$B$7),매출원본!$AS$8:$AS$2007,"&lt;="&amp;설정!$B$5)))</f>
        <v/>
      </c>
      <c r="X263" s="31">
        <f>IF($U263="","",MAX($W263,SUMIFS(매출원본!$AT$8:$AT$2007,매출원본!$AY$8:$AY$2007,$A263,매출원본!$AS$8:$AS$2007,"&gt;="&amp;(설정!$B$5-설정!$B$8),매출원본!$AS$8:$AS$2007,"&lt;="&amp;설정!$B$5)))</f>
        <v/>
      </c>
      <c r="AC263" s="31">
        <f>IF(OR($U263="",$T263=""),"",INDEX(거래처설정!$J$8:$J$407,$T263))</f>
        <v/>
      </c>
      <c r="AD263" s="31">
        <f>IF(OR($U263="",$T263=""),"",INDEX(거래처설정!$K$8:$K$407,$T263))</f>
        <v/>
      </c>
      <c r="AE263" s="31">
        <f>IF($U263="","",IF(LEN(SUBSTITUTE(SUBSTITUTE(SUBSTITUTE(SUBSTITUTE(SUBSTITUTE(SUBSTITUTE(SUBSTITUTE(SUBSTITUTE(SUBSTITUTE($C263," ",""),"　",""),"(주)",""),"（주）",""),"㈜",""),"주식회사",""),"(유)",""),"（유）",""),"유한회사",""))&lt;2,"",SUBSTITUTE(SUBSTITUTE(SUBSTITUTE(SUBSTITUTE(SUBSTITUTE(SUBSTITUTE(SUBSTITUTE(SUBSTITUTE(SUBSTITUTE($C263," ",""),"　",""),"(주)",""),"（주）",""),"㈜",""),"주식회사",""),"(유)",""),"（유）",""),"유한회사","")))</f>
        <v/>
      </c>
    </row>
    <row r="264">
      <c r="A264" s="38">
        <f>IF($U264="","",257)</f>
        <v/>
      </c>
      <c r="B264" s="38">
        <f>IF($U264="","",IF(LEN(INDEX(매출원본!$AU$8:$AU$2007,$U264))=10,LEFT(INDEX(매출원본!$AU$8:$AU$2007,$U264),3)&amp;"-"&amp;MID(INDEX(매출원본!$AU$8:$AU$2007,$U264),4,2)&amp;"-"&amp;RIGHT(INDEX(매출원본!$AU$8:$AU$2007,$U264),5),IF(LEFT(INDEX(매출원본!$AU$8:$AU$2007,$U264),2)="N:","(번호 없음)",INDEX(매출원본!$AU$8:$AU$2007,$U264))))</f>
        <v/>
      </c>
      <c r="C264" s="38">
        <f>IF($U264="","",INDEX(매출원본!$AV$8:$AV$2007,$U264))</f>
        <v/>
      </c>
      <c r="D264" s="39">
        <f>IF($U264="","",IF($T264="",0,N(INDEX(거래처설정!$E$8:$E$407,$T264))))</f>
        <v/>
      </c>
      <c r="E264" s="39">
        <f>IF($U264="","",SUMIFS(매출원본!$AT$8:$AT$2007,매출원본!$AY$8:$AY$2007,$A264,매출원본!$AS$8:$AS$2007,"&lt;="&amp;설정!$B$5))</f>
        <v/>
      </c>
      <c r="F264" s="39">
        <f>IF($U264="","",SUMIFS(입금_은행1!$Z$8:$Z$2007,입금_은행1!$AC$8:$AC$2007,$A264,입금_은행1!$Y$8:$Y$2007,"&lt;="&amp;설정!$B$5)+SUMIFS(입금_은행2!$Z$8:$Z$2007,입금_은행2!$AC$8:$AC$2007,$A264,입금_은행2!$Y$8:$Y$2007,"&lt;="&amp;설정!$B$5))</f>
        <v/>
      </c>
      <c r="G264" s="39">
        <f>IF($U264="","",$D264+$E264-$F264)</f>
        <v/>
      </c>
      <c r="H264" s="39">
        <f>IF($U264="","",MIN(MAX($G264,0),$V264))</f>
        <v/>
      </c>
      <c r="I264" s="39">
        <f>IF($U264="","",MIN(MAX($G264,0),$W264)-MIN(MAX($G264,0),$V264))</f>
        <v/>
      </c>
      <c r="J264" s="39">
        <f>IF($U264="","",MIN(MAX($G264,0),$X264)-MIN(MAX($G264,0),$W264))</f>
        <v/>
      </c>
      <c r="K264" s="39">
        <f>IF($U264="","",MAX($G264,0)-MIN(MAX($G264,0),$X264))</f>
        <v/>
      </c>
      <c r="L264" s="40">
        <f>IF($U264="","",IF(MAX(SUMPRODUCT(MAX((입금_은행1!$AC$8:$AC$2007=$A264)*(입금_은행1!$AE$8:$AE$2007&lt;=설정!$B$5)*입금_은행1!$AE$8:$AE$2007)),SUMPRODUCT(MAX((입금_은행2!$AC$8:$AC$2007=$A264)*(입금_은행2!$AE$8:$AE$2007&lt;=설정!$B$5)*입금_은행2!$AE$8:$AE$2007)))=0,"",MAX(SUMPRODUCT(MAX((입금_은행1!$AC$8:$AC$2007=$A264)*(입금_은행1!$AE$8:$AE$2007&lt;=설정!$B$5)*입금_은행1!$AE$8:$AE$2007)),SUMPRODUCT(MAX((입금_은행2!$AC$8:$AC$2007=$A264)*(입금_은행2!$AE$8:$AE$2007&lt;=설정!$B$5)*입금_은행2!$AE$8:$AE$2007)))))</f>
        <v/>
      </c>
      <c r="M264" s="38">
        <f>IF($U264="","",IF($T264="","",IF(INDEX(거래처설정!$F$8:$F$407,$T264)="","",INDEX(거래처설정!$F$8:$F$407,$T264))))</f>
        <v/>
      </c>
      <c r="N264" s="38">
        <f>IF($U264="","",IF($T264="","",IF(INDEX(거래처설정!$G$8:$G$407,$T264)="","",INDEX(거래처설정!$G$8:$G$407,$T264))))</f>
        <v/>
      </c>
      <c r="O264" s="38">
        <f>IF($U264="","",IF($M264="제외",0,IF($K264&gt;=설정!$B$9,3,IF($J264+$K264&gt;=설정!$B$9,2,IF($I264+$J264+$K264&gt;=설정!$B$9,1,0)))))</f>
        <v/>
      </c>
      <c r="P264" s="38">
        <f>IF($U264="","",IF($M264="제외","제외(조치 상태)",IF($O264=3,"③ 강한 독촉 후보 ("&amp;설정!$B$8&amp;"일 초과)",IF($O264=2,"② 독촉 후보 ("&amp;설정!$B$7&amp;"일 초과)",IF($O264=1,"① 안내 후보 ("&amp;설정!$B$6&amp;"일 초과)",IF($G264&gt;0,IF($I264+$J264+$K264&gt;0,"오래된 잔액 있음 (최소 금액 미만)","정상 범위"),IF($G264&lt;0,"선수금·초과입금 — 확인","완납")))))))</f>
        <v/>
      </c>
      <c r="Q264" s="38">
        <f>IF($U264="","",IF($G264&lt;0,"입금이 매출보다 큼 — 선수금이거나 다른 거래처 입금이 섞였는지 확인",IF(AND($AE264&lt;&gt;"",COUNTIF($AE$8:$AE$307,"*"&amp;$AE264&amp;"*")&gt;1),"이름이 다른 거래처와 겹침 — 입금이 잘못 맞았을 수 있으니 별칭 확인",IF(AND($G264&gt;0,$F264=0),"입금 매칭 없음 — 입금자명이 다르면 [거래처설정]에 별칭 등록",""))))</f>
        <v/>
      </c>
      <c r="R264" s="31">
        <f>IF(OR($U264="",$G264&lt;=0),"",$G264-$A264/10000)</f>
        <v/>
      </c>
      <c r="S264" s="31">
        <f>IF(OR($U264="",$O264&lt;1),"",$O264*10^11+$I264+$J264+$K264-$A264/1000)</f>
        <v/>
      </c>
      <c r="T264" s="31">
        <f>IF($U264="","",IFERROR(MATCH(INDEX(매출원본!$AU$8:$AU$2007,$U264),거래처설정!$I$8:$I$407,0),""))</f>
        <v/>
      </c>
      <c r="U264" s="31">
        <f>IFERROR(MATCH(257,매출원본!$AW$8:$AW$2007,0),"")</f>
        <v/>
      </c>
      <c r="V264" s="31">
        <f>IF($U264="","",MAX(SUMIFS(매출원본!$AT$8:$AT$2007,매출원본!$AY$8:$AY$2007,$A264,매출원본!$AS$8:$AS$2007,"&gt;="&amp;(설정!$B$5-설정!$B$6),매출원본!$AS$8:$AS$2007,"&lt;="&amp;설정!$B$5),0))</f>
        <v/>
      </c>
      <c r="W264" s="31">
        <f>IF($U264="","",MAX($V264,SUMIFS(매출원본!$AT$8:$AT$2007,매출원본!$AY$8:$AY$2007,$A264,매출원본!$AS$8:$AS$2007,"&gt;="&amp;(설정!$B$5-설정!$B$7),매출원본!$AS$8:$AS$2007,"&lt;="&amp;설정!$B$5)))</f>
        <v/>
      </c>
      <c r="X264" s="31">
        <f>IF($U264="","",MAX($W264,SUMIFS(매출원본!$AT$8:$AT$2007,매출원본!$AY$8:$AY$2007,$A264,매출원본!$AS$8:$AS$2007,"&gt;="&amp;(설정!$B$5-설정!$B$8),매출원본!$AS$8:$AS$2007,"&lt;="&amp;설정!$B$5)))</f>
        <v/>
      </c>
      <c r="AC264" s="31">
        <f>IF(OR($U264="",$T264=""),"",INDEX(거래처설정!$J$8:$J$407,$T264))</f>
        <v/>
      </c>
      <c r="AD264" s="31">
        <f>IF(OR($U264="",$T264=""),"",INDEX(거래처설정!$K$8:$K$407,$T264))</f>
        <v/>
      </c>
      <c r="AE264" s="31">
        <f>IF($U264="","",IF(LEN(SUBSTITUTE(SUBSTITUTE(SUBSTITUTE(SUBSTITUTE(SUBSTITUTE(SUBSTITUTE(SUBSTITUTE(SUBSTITUTE(SUBSTITUTE($C264," ",""),"　",""),"(주)",""),"（주）",""),"㈜",""),"주식회사",""),"(유)",""),"（유）",""),"유한회사",""))&lt;2,"",SUBSTITUTE(SUBSTITUTE(SUBSTITUTE(SUBSTITUTE(SUBSTITUTE(SUBSTITUTE(SUBSTITUTE(SUBSTITUTE(SUBSTITUTE($C264," ",""),"　",""),"(주)",""),"（주）",""),"㈜",""),"주식회사",""),"(유)",""),"（유）",""),"유한회사","")))</f>
        <v/>
      </c>
    </row>
    <row r="265">
      <c r="A265" s="38">
        <f>IF($U265="","",258)</f>
        <v/>
      </c>
      <c r="B265" s="38">
        <f>IF($U265="","",IF(LEN(INDEX(매출원본!$AU$8:$AU$2007,$U265))=10,LEFT(INDEX(매출원본!$AU$8:$AU$2007,$U265),3)&amp;"-"&amp;MID(INDEX(매출원본!$AU$8:$AU$2007,$U265),4,2)&amp;"-"&amp;RIGHT(INDEX(매출원본!$AU$8:$AU$2007,$U265),5),IF(LEFT(INDEX(매출원본!$AU$8:$AU$2007,$U265),2)="N:","(번호 없음)",INDEX(매출원본!$AU$8:$AU$2007,$U265))))</f>
        <v/>
      </c>
      <c r="C265" s="38">
        <f>IF($U265="","",INDEX(매출원본!$AV$8:$AV$2007,$U265))</f>
        <v/>
      </c>
      <c r="D265" s="39">
        <f>IF($U265="","",IF($T265="",0,N(INDEX(거래처설정!$E$8:$E$407,$T265))))</f>
        <v/>
      </c>
      <c r="E265" s="39">
        <f>IF($U265="","",SUMIFS(매출원본!$AT$8:$AT$2007,매출원본!$AY$8:$AY$2007,$A265,매출원본!$AS$8:$AS$2007,"&lt;="&amp;설정!$B$5))</f>
        <v/>
      </c>
      <c r="F265" s="39">
        <f>IF($U265="","",SUMIFS(입금_은행1!$Z$8:$Z$2007,입금_은행1!$AC$8:$AC$2007,$A265,입금_은행1!$Y$8:$Y$2007,"&lt;="&amp;설정!$B$5)+SUMIFS(입금_은행2!$Z$8:$Z$2007,입금_은행2!$AC$8:$AC$2007,$A265,입금_은행2!$Y$8:$Y$2007,"&lt;="&amp;설정!$B$5))</f>
        <v/>
      </c>
      <c r="G265" s="39">
        <f>IF($U265="","",$D265+$E265-$F265)</f>
        <v/>
      </c>
      <c r="H265" s="39">
        <f>IF($U265="","",MIN(MAX($G265,0),$V265))</f>
        <v/>
      </c>
      <c r="I265" s="39">
        <f>IF($U265="","",MIN(MAX($G265,0),$W265)-MIN(MAX($G265,0),$V265))</f>
        <v/>
      </c>
      <c r="J265" s="39">
        <f>IF($U265="","",MIN(MAX($G265,0),$X265)-MIN(MAX($G265,0),$W265))</f>
        <v/>
      </c>
      <c r="K265" s="39">
        <f>IF($U265="","",MAX($G265,0)-MIN(MAX($G265,0),$X265))</f>
        <v/>
      </c>
      <c r="L265" s="40">
        <f>IF($U265="","",IF(MAX(SUMPRODUCT(MAX((입금_은행1!$AC$8:$AC$2007=$A265)*(입금_은행1!$AE$8:$AE$2007&lt;=설정!$B$5)*입금_은행1!$AE$8:$AE$2007)),SUMPRODUCT(MAX((입금_은행2!$AC$8:$AC$2007=$A265)*(입금_은행2!$AE$8:$AE$2007&lt;=설정!$B$5)*입금_은행2!$AE$8:$AE$2007)))=0,"",MAX(SUMPRODUCT(MAX((입금_은행1!$AC$8:$AC$2007=$A265)*(입금_은행1!$AE$8:$AE$2007&lt;=설정!$B$5)*입금_은행1!$AE$8:$AE$2007)),SUMPRODUCT(MAX((입금_은행2!$AC$8:$AC$2007=$A265)*(입금_은행2!$AE$8:$AE$2007&lt;=설정!$B$5)*입금_은행2!$AE$8:$AE$2007)))))</f>
        <v/>
      </c>
      <c r="M265" s="38">
        <f>IF($U265="","",IF($T265="","",IF(INDEX(거래처설정!$F$8:$F$407,$T265)="","",INDEX(거래처설정!$F$8:$F$407,$T265))))</f>
        <v/>
      </c>
      <c r="N265" s="38">
        <f>IF($U265="","",IF($T265="","",IF(INDEX(거래처설정!$G$8:$G$407,$T265)="","",INDEX(거래처설정!$G$8:$G$407,$T265))))</f>
        <v/>
      </c>
      <c r="O265" s="38">
        <f>IF($U265="","",IF($M265="제외",0,IF($K265&gt;=설정!$B$9,3,IF($J265+$K265&gt;=설정!$B$9,2,IF($I265+$J265+$K265&gt;=설정!$B$9,1,0)))))</f>
        <v/>
      </c>
      <c r="P265" s="38">
        <f>IF($U265="","",IF($M265="제외","제외(조치 상태)",IF($O265=3,"③ 강한 독촉 후보 ("&amp;설정!$B$8&amp;"일 초과)",IF($O265=2,"② 독촉 후보 ("&amp;설정!$B$7&amp;"일 초과)",IF($O265=1,"① 안내 후보 ("&amp;설정!$B$6&amp;"일 초과)",IF($G265&gt;0,IF($I265+$J265+$K265&gt;0,"오래된 잔액 있음 (최소 금액 미만)","정상 범위"),IF($G265&lt;0,"선수금·초과입금 — 확인","완납")))))))</f>
        <v/>
      </c>
      <c r="Q265" s="38">
        <f>IF($U265="","",IF($G265&lt;0,"입금이 매출보다 큼 — 선수금이거나 다른 거래처 입금이 섞였는지 확인",IF(AND($AE265&lt;&gt;"",COUNTIF($AE$8:$AE$307,"*"&amp;$AE265&amp;"*")&gt;1),"이름이 다른 거래처와 겹침 — 입금이 잘못 맞았을 수 있으니 별칭 확인",IF(AND($G265&gt;0,$F265=0),"입금 매칭 없음 — 입금자명이 다르면 [거래처설정]에 별칭 등록",""))))</f>
        <v/>
      </c>
      <c r="R265" s="31">
        <f>IF(OR($U265="",$G265&lt;=0),"",$G265-$A265/10000)</f>
        <v/>
      </c>
      <c r="S265" s="31">
        <f>IF(OR($U265="",$O265&lt;1),"",$O265*10^11+$I265+$J265+$K265-$A265/1000)</f>
        <v/>
      </c>
      <c r="T265" s="31">
        <f>IF($U265="","",IFERROR(MATCH(INDEX(매출원본!$AU$8:$AU$2007,$U265),거래처설정!$I$8:$I$407,0),""))</f>
        <v/>
      </c>
      <c r="U265" s="31">
        <f>IFERROR(MATCH(258,매출원본!$AW$8:$AW$2007,0),"")</f>
        <v/>
      </c>
      <c r="V265" s="31">
        <f>IF($U265="","",MAX(SUMIFS(매출원본!$AT$8:$AT$2007,매출원본!$AY$8:$AY$2007,$A265,매출원본!$AS$8:$AS$2007,"&gt;="&amp;(설정!$B$5-설정!$B$6),매출원본!$AS$8:$AS$2007,"&lt;="&amp;설정!$B$5),0))</f>
        <v/>
      </c>
      <c r="W265" s="31">
        <f>IF($U265="","",MAX($V265,SUMIFS(매출원본!$AT$8:$AT$2007,매출원본!$AY$8:$AY$2007,$A265,매출원본!$AS$8:$AS$2007,"&gt;="&amp;(설정!$B$5-설정!$B$7),매출원본!$AS$8:$AS$2007,"&lt;="&amp;설정!$B$5)))</f>
        <v/>
      </c>
      <c r="X265" s="31">
        <f>IF($U265="","",MAX($W265,SUMIFS(매출원본!$AT$8:$AT$2007,매출원본!$AY$8:$AY$2007,$A265,매출원본!$AS$8:$AS$2007,"&gt;="&amp;(설정!$B$5-설정!$B$8),매출원본!$AS$8:$AS$2007,"&lt;="&amp;설정!$B$5)))</f>
        <v/>
      </c>
      <c r="AC265" s="31">
        <f>IF(OR($U265="",$T265=""),"",INDEX(거래처설정!$J$8:$J$407,$T265))</f>
        <v/>
      </c>
      <c r="AD265" s="31">
        <f>IF(OR($U265="",$T265=""),"",INDEX(거래처설정!$K$8:$K$407,$T265))</f>
        <v/>
      </c>
      <c r="AE265" s="31">
        <f>IF($U265="","",IF(LEN(SUBSTITUTE(SUBSTITUTE(SUBSTITUTE(SUBSTITUTE(SUBSTITUTE(SUBSTITUTE(SUBSTITUTE(SUBSTITUTE(SUBSTITUTE($C265," ",""),"　",""),"(주)",""),"（주）",""),"㈜",""),"주식회사",""),"(유)",""),"（유）",""),"유한회사",""))&lt;2,"",SUBSTITUTE(SUBSTITUTE(SUBSTITUTE(SUBSTITUTE(SUBSTITUTE(SUBSTITUTE(SUBSTITUTE(SUBSTITUTE(SUBSTITUTE($C265," ",""),"　",""),"(주)",""),"（주）",""),"㈜",""),"주식회사",""),"(유)",""),"（유）",""),"유한회사","")))</f>
        <v/>
      </c>
    </row>
    <row r="266">
      <c r="A266" s="38">
        <f>IF($U266="","",259)</f>
        <v/>
      </c>
      <c r="B266" s="38">
        <f>IF($U266="","",IF(LEN(INDEX(매출원본!$AU$8:$AU$2007,$U266))=10,LEFT(INDEX(매출원본!$AU$8:$AU$2007,$U266),3)&amp;"-"&amp;MID(INDEX(매출원본!$AU$8:$AU$2007,$U266),4,2)&amp;"-"&amp;RIGHT(INDEX(매출원본!$AU$8:$AU$2007,$U266),5),IF(LEFT(INDEX(매출원본!$AU$8:$AU$2007,$U266),2)="N:","(번호 없음)",INDEX(매출원본!$AU$8:$AU$2007,$U266))))</f>
        <v/>
      </c>
      <c r="C266" s="38">
        <f>IF($U266="","",INDEX(매출원본!$AV$8:$AV$2007,$U266))</f>
        <v/>
      </c>
      <c r="D266" s="39">
        <f>IF($U266="","",IF($T266="",0,N(INDEX(거래처설정!$E$8:$E$407,$T266))))</f>
        <v/>
      </c>
      <c r="E266" s="39">
        <f>IF($U266="","",SUMIFS(매출원본!$AT$8:$AT$2007,매출원본!$AY$8:$AY$2007,$A266,매출원본!$AS$8:$AS$2007,"&lt;="&amp;설정!$B$5))</f>
        <v/>
      </c>
      <c r="F266" s="39">
        <f>IF($U266="","",SUMIFS(입금_은행1!$Z$8:$Z$2007,입금_은행1!$AC$8:$AC$2007,$A266,입금_은행1!$Y$8:$Y$2007,"&lt;="&amp;설정!$B$5)+SUMIFS(입금_은행2!$Z$8:$Z$2007,입금_은행2!$AC$8:$AC$2007,$A266,입금_은행2!$Y$8:$Y$2007,"&lt;="&amp;설정!$B$5))</f>
        <v/>
      </c>
      <c r="G266" s="39">
        <f>IF($U266="","",$D266+$E266-$F266)</f>
        <v/>
      </c>
      <c r="H266" s="39">
        <f>IF($U266="","",MIN(MAX($G266,0),$V266))</f>
        <v/>
      </c>
      <c r="I266" s="39">
        <f>IF($U266="","",MIN(MAX($G266,0),$W266)-MIN(MAX($G266,0),$V266))</f>
        <v/>
      </c>
      <c r="J266" s="39">
        <f>IF($U266="","",MIN(MAX($G266,0),$X266)-MIN(MAX($G266,0),$W266))</f>
        <v/>
      </c>
      <c r="K266" s="39">
        <f>IF($U266="","",MAX($G266,0)-MIN(MAX($G266,0),$X266))</f>
        <v/>
      </c>
      <c r="L266" s="40">
        <f>IF($U266="","",IF(MAX(SUMPRODUCT(MAX((입금_은행1!$AC$8:$AC$2007=$A266)*(입금_은행1!$AE$8:$AE$2007&lt;=설정!$B$5)*입금_은행1!$AE$8:$AE$2007)),SUMPRODUCT(MAX((입금_은행2!$AC$8:$AC$2007=$A266)*(입금_은행2!$AE$8:$AE$2007&lt;=설정!$B$5)*입금_은행2!$AE$8:$AE$2007)))=0,"",MAX(SUMPRODUCT(MAX((입금_은행1!$AC$8:$AC$2007=$A266)*(입금_은행1!$AE$8:$AE$2007&lt;=설정!$B$5)*입금_은행1!$AE$8:$AE$2007)),SUMPRODUCT(MAX((입금_은행2!$AC$8:$AC$2007=$A266)*(입금_은행2!$AE$8:$AE$2007&lt;=설정!$B$5)*입금_은행2!$AE$8:$AE$2007)))))</f>
        <v/>
      </c>
      <c r="M266" s="38">
        <f>IF($U266="","",IF($T266="","",IF(INDEX(거래처설정!$F$8:$F$407,$T266)="","",INDEX(거래처설정!$F$8:$F$407,$T266))))</f>
        <v/>
      </c>
      <c r="N266" s="38">
        <f>IF($U266="","",IF($T266="","",IF(INDEX(거래처설정!$G$8:$G$407,$T266)="","",INDEX(거래처설정!$G$8:$G$407,$T266))))</f>
        <v/>
      </c>
      <c r="O266" s="38">
        <f>IF($U266="","",IF($M266="제외",0,IF($K266&gt;=설정!$B$9,3,IF($J266+$K266&gt;=설정!$B$9,2,IF($I266+$J266+$K266&gt;=설정!$B$9,1,0)))))</f>
        <v/>
      </c>
      <c r="P266" s="38">
        <f>IF($U266="","",IF($M266="제외","제외(조치 상태)",IF($O266=3,"③ 강한 독촉 후보 ("&amp;설정!$B$8&amp;"일 초과)",IF($O266=2,"② 독촉 후보 ("&amp;설정!$B$7&amp;"일 초과)",IF($O266=1,"① 안내 후보 ("&amp;설정!$B$6&amp;"일 초과)",IF($G266&gt;0,IF($I266+$J266+$K266&gt;0,"오래된 잔액 있음 (최소 금액 미만)","정상 범위"),IF($G266&lt;0,"선수금·초과입금 — 확인","완납")))))))</f>
        <v/>
      </c>
      <c r="Q266" s="38">
        <f>IF($U266="","",IF($G266&lt;0,"입금이 매출보다 큼 — 선수금이거나 다른 거래처 입금이 섞였는지 확인",IF(AND($AE266&lt;&gt;"",COUNTIF($AE$8:$AE$307,"*"&amp;$AE266&amp;"*")&gt;1),"이름이 다른 거래처와 겹침 — 입금이 잘못 맞았을 수 있으니 별칭 확인",IF(AND($G266&gt;0,$F266=0),"입금 매칭 없음 — 입금자명이 다르면 [거래처설정]에 별칭 등록",""))))</f>
        <v/>
      </c>
      <c r="R266" s="31">
        <f>IF(OR($U266="",$G266&lt;=0),"",$G266-$A266/10000)</f>
        <v/>
      </c>
      <c r="S266" s="31">
        <f>IF(OR($U266="",$O266&lt;1),"",$O266*10^11+$I266+$J266+$K266-$A266/1000)</f>
        <v/>
      </c>
      <c r="T266" s="31">
        <f>IF($U266="","",IFERROR(MATCH(INDEX(매출원본!$AU$8:$AU$2007,$U266),거래처설정!$I$8:$I$407,0),""))</f>
        <v/>
      </c>
      <c r="U266" s="31">
        <f>IFERROR(MATCH(259,매출원본!$AW$8:$AW$2007,0),"")</f>
        <v/>
      </c>
      <c r="V266" s="31">
        <f>IF($U266="","",MAX(SUMIFS(매출원본!$AT$8:$AT$2007,매출원본!$AY$8:$AY$2007,$A266,매출원본!$AS$8:$AS$2007,"&gt;="&amp;(설정!$B$5-설정!$B$6),매출원본!$AS$8:$AS$2007,"&lt;="&amp;설정!$B$5),0))</f>
        <v/>
      </c>
      <c r="W266" s="31">
        <f>IF($U266="","",MAX($V266,SUMIFS(매출원본!$AT$8:$AT$2007,매출원본!$AY$8:$AY$2007,$A266,매출원본!$AS$8:$AS$2007,"&gt;="&amp;(설정!$B$5-설정!$B$7),매출원본!$AS$8:$AS$2007,"&lt;="&amp;설정!$B$5)))</f>
        <v/>
      </c>
      <c r="X266" s="31">
        <f>IF($U266="","",MAX($W266,SUMIFS(매출원본!$AT$8:$AT$2007,매출원본!$AY$8:$AY$2007,$A266,매출원본!$AS$8:$AS$2007,"&gt;="&amp;(설정!$B$5-설정!$B$8),매출원본!$AS$8:$AS$2007,"&lt;="&amp;설정!$B$5)))</f>
        <v/>
      </c>
      <c r="AC266" s="31">
        <f>IF(OR($U266="",$T266=""),"",INDEX(거래처설정!$J$8:$J$407,$T266))</f>
        <v/>
      </c>
      <c r="AD266" s="31">
        <f>IF(OR($U266="",$T266=""),"",INDEX(거래처설정!$K$8:$K$407,$T266))</f>
        <v/>
      </c>
      <c r="AE266" s="31">
        <f>IF($U266="","",IF(LEN(SUBSTITUTE(SUBSTITUTE(SUBSTITUTE(SUBSTITUTE(SUBSTITUTE(SUBSTITUTE(SUBSTITUTE(SUBSTITUTE(SUBSTITUTE($C266," ",""),"　",""),"(주)",""),"（주）",""),"㈜",""),"주식회사",""),"(유)",""),"（유）",""),"유한회사",""))&lt;2,"",SUBSTITUTE(SUBSTITUTE(SUBSTITUTE(SUBSTITUTE(SUBSTITUTE(SUBSTITUTE(SUBSTITUTE(SUBSTITUTE(SUBSTITUTE($C266," ",""),"　",""),"(주)",""),"（주）",""),"㈜",""),"주식회사",""),"(유)",""),"（유）",""),"유한회사","")))</f>
        <v/>
      </c>
    </row>
    <row r="267">
      <c r="A267" s="38">
        <f>IF($U267="","",260)</f>
        <v/>
      </c>
      <c r="B267" s="38">
        <f>IF($U267="","",IF(LEN(INDEX(매출원본!$AU$8:$AU$2007,$U267))=10,LEFT(INDEX(매출원본!$AU$8:$AU$2007,$U267),3)&amp;"-"&amp;MID(INDEX(매출원본!$AU$8:$AU$2007,$U267),4,2)&amp;"-"&amp;RIGHT(INDEX(매출원본!$AU$8:$AU$2007,$U267),5),IF(LEFT(INDEX(매출원본!$AU$8:$AU$2007,$U267),2)="N:","(번호 없음)",INDEX(매출원본!$AU$8:$AU$2007,$U267))))</f>
        <v/>
      </c>
      <c r="C267" s="38">
        <f>IF($U267="","",INDEX(매출원본!$AV$8:$AV$2007,$U267))</f>
        <v/>
      </c>
      <c r="D267" s="39">
        <f>IF($U267="","",IF($T267="",0,N(INDEX(거래처설정!$E$8:$E$407,$T267))))</f>
        <v/>
      </c>
      <c r="E267" s="39">
        <f>IF($U267="","",SUMIFS(매출원본!$AT$8:$AT$2007,매출원본!$AY$8:$AY$2007,$A267,매출원본!$AS$8:$AS$2007,"&lt;="&amp;설정!$B$5))</f>
        <v/>
      </c>
      <c r="F267" s="39">
        <f>IF($U267="","",SUMIFS(입금_은행1!$Z$8:$Z$2007,입금_은행1!$AC$8:$AC$2007,$A267,입금_은행1!$Y$8:$Y$2007,"&lt;="&amp;설정!$B$5)+SUMIFS(입금_은행2!$Z$8:$Z$2007,입금_은행2!$AC$8:$AC$2007,$A267,입금_은행2!$Y$8:$Y$2007,"&lt;="&amp;설정!$B$5))</f>
        <v/>
      </c>
      <c r="G267" s="39">
        <f>IF($U267="","",$D267+$E267-$F267)</f>
        <v/>
      </c>
      <c r="H267" s="39">
        <f>IF($U267="","",MIN(MAX($G267,0),$V267))</f>
        <v/>
      </c>
      <c r="I267" s="39">
        <f>IF($U267="","",MIN(MAX($G267,0),$W267)-MIN(MAX($G267,0),$V267))</f>
        <v/>
      </c>
      <c r="J267" s="39">
        <f>IF($U267="","",MIN(MAX($G267,0),$X267)-MIN(MAX($G267,0),$W267))</f>
        <v/>
      </c>
      <c r="K267" s="39">
        <f>IF($U267="","",MAX($G267,0)-MIN(MAX($G267,0),$X267))</f>
        <v/>
      </c>
      <c r="L267" s="40">
        <f>IF($U267="","",IF(MAX(SUMPRODUCT(MAX((입금_은행1!$AC$8:$AC$2007=$A267)*(입금_은행1!$AE$8:$AE$2007&lt;=설정!$B$5)*입금_은행1!$AE$8:$AE$2007)),SUMPRODUCT(MAX((입금_은행2!$AC$8:$AC$2007=$A267)*(입금_은행2!$AE$8:$AE$2007&lt;=설정!$B$5)*입금_은행2!$AE$8:$AE$2007)))=0,"",MAX(SUMPRODUCT(MAX((입금_은행1!$AC$8:$AC$2007=$A267)*(입금_은행1!$AE$8:$AE$2007&lt;=설정!$B$5)*입금_은행1!$AE$8:$AE$2007)),SUMPRODUCT(MAX((입금_은행2!$AC$8:$AC$2007=$A267)*(입금_은행2!$AE$8:$AE$2007&lt;=설정!$B$5)*입금_은행2!$AE$8:$AE$2007)))))</f>
        <v/>
      </c>
      <c r="M267" s="38">
        <f>IF($U267="","",IF($T267="","",IF(INDEX(거래처설정!$F$8:$F$407,$T267)="","",INDEX(거래처설정!$F$8:$F$407,$T267))))</f>
        <v/>
      </c>
      <c r="N267" s="38">
        <f>IF($U267="","",IF($T267="","",IF(INDEX(거래처설정!$G$8:$G$407,$T267)="","",INDEX(거래처설정!$G$8:$G$407,$T267))))</f>
        <v/>
      </c>
      <c r="O267" s="38">
        <f>IF($U267="","",IF($M267="제외",0,IF($K267&gt;=설정!$B$9,3,IF($J267+$K267&gt;=설정!$B$9,2,IF($I267+$J267+$K267&gt;=설정!$B$9,1,0)))))</f>
        <v/>
      </c>
      <c r="P267" s="38">
        <f>IF($U267="","",IF($M267="제외","제외(조치 상태)",IF($O267=3,"③ 강한 독촉 후보 ("&amp;설정!$B$8&amp;"일 초과)",IF($O267=2,"② 독촉 후보 ("&amp;설정!$B$7&amp;"일 초과)",IF($O267=1,"① 안내 후보 ("&amp;설정!$B$6&amp;"일 초과)",IF($G267&gt;0,IF($I267+$J267+$K267&gt;0,"오래된 잔액 있음 (최소 금액 미만)","정상 범위"),IF($G267&lt;0,"선수금·초과입금 — 확인","완납")))))))</f>
        <v/>
      </c>
      <c r="Q267" s="38">
        <f>IF($U267="","",IF($G267&lt;0,"입금이 매출보다 큼 — 선수금이거나 다른 거래처 입금이 섞였는지 확인",IF(AND($AE267&lt;&gt;"",COUNTIF($AE$8:$AE$307,"*"&amp;$AE267&amp;"*")&gt;1),"이름이 다른 거래처와 겹침 — 입금이 잘못 맞았을 수 있으니 별칭 확인",IF(AND($G267&gt;0,$F267=0),"입금 매칭 없음 — 입금자명이 다르면 [거래처설정]에 별칭 등록",""))))</f>
        <v/>
      </c>
      <c r="R267" s="31">
        <f>IF(OR($U267="",$G267&lt;=0),"",$G267-$A267/10000)</f>
        <v/>
      </c>
      <c r="S267" s="31">
        <f>IF(OR($U267="",$O267&lt;1),"",$O267*10^11+$I267+$J267+$K267-$A267/1000)</f>
        <v/>
      </c>
      <c r="T267" s="31">
        <f>IF($U267="","",IFERROR(MATCH(INDEX(매출원본!$AU$8:$AU$2007,$U267),거래처설정!$I$8:$I$407,0),""))</f>
        <v/>
      </c>
      <c r="U267" s="31">
        <f>IFERROR(MATCH(260,매출원본!$AW$8:$AW$2007,0),"")</f>
        <v/>
      </c>
      <c r="V267" s="31">
        <f>IF($U267="","",MAX(SUMIFS(매출원본!$AT$8:$AT$2007,매출원본!$AY$8:$AY$2007,$A267,매출원본!$AS$8:$AS$2007,"&gt;="&amp;(설정!$B$5-설정!$B$6),매출원본!$AS$8:$AS$2007,"&lt;="&amp;설정!$B$5),0))</f>
        <v/>
      </c>
      <c r="W267" s="31">
        <f>IF($U267="","",MAX($V267,SUMIFS(매출원본!$AT$8:$AT$2007,매출원본!$AY$8:$AY$2007,$A267,매출원본!$AS$8:$AS$2007,"&gt;="&amp;(설정!$B$5-설정!$B$7),매출원본!$AS$8:$AS$2007,"&lt;="&amp;설정!$B$5)))</f>
        <v/>
      </c>
      <c r="X267" s="31">
        <f>IF($U267="","",MAX($W267,SUMIFS(매출원본!$AT$8:$AT$2007,매출원본!$AY$8:$AY$2007,$A267,매출원본!$AS$8:$AS$2007,"&gt;="&amp;(설정!$B$5-설정!$B$8),매출원본!$AS$8:$AS$2007,"&lt;="&amp;설정!$B$5)))</f>
        <v/>
      </c>
      <c r="AC267" s="31">
        <f>IF(OR($U267="",$T267=""),"",INDEX(거래처설정!$J$8:$J$407,$T267))</f>
        <v/>
      </c>
      <c r="AD267" s="31">
        <f>IF(OR($U267="",$T267=""),"",INDEX(거래처설정!$K$8:$K$407,$T267))</f>
        <v/>
      </c>
      <c r="AE267" s="31">
        <f>IF($U267="","",IF(LEN(SUBSTITUTE(SUBSTITUTE(SUBSTITUTE(SUBSTITUTE(SUBSTITUTE(SUBSTITUTE(SUBSTITUTE(SUBSTITUTE(SUBSTITUTE($C267," ",""),"　",""),"(주)",""),"（주）",""),"㈜",""),"주식회사",""),"(유)",""),"（유）",""),"유한회사",""))&lt;2,"",SUBSTITUTE(SUBSTITUTE(SUBSTITUTE(SUBSTITUTE(SUBSTITUTE(SUBSTITUTE(SUBSTITUTE(SUBSTITUTE(SUBSTITUTE($C267," ",""),"　",""),"(주)",""),"（주）",""),"㈜",""),"주식회사",""),"(유)",""),"（유）",""),"유한회사","")))</f>
        <v/>
      </c>
    </row>
    <row r="268">
      <c r="A268" s="38">
        <f>IF($U268="","",261)</f>
        <v/>
      </c>
      <c r="B268" s="38">
        <f>IF($U268="","",IF(LEN(INDEX(매출원본!$AU$8:$AU$2007,$U268))=10,LEFT(INDEX(매출원본!$AU$8:$AU$2007,$U268),3)&amp;"-"&amp;MID(INDEX(매출원본!$AU$8:$AU$2007,$U268),4,2)&amp;"-"&amp;RIGHT(INDEX(매출원본!$AU$8:$AU$2007,$U268),5),IF(LEFT(INDEX(매출원본!$AU$8:$AU$2007,$U268),2)="N:","(번호 없음)",INDEX(매출원본!$AU$8:$AU$2007,$U268))))</f>
        <v/>
      </c>
      <c r="C268" s="38">
        <f>IF($U268="","",INDEX(매출원본!$AV$8:$AV$2007,$U268))</f>
        <v/>
      </c>
      <c r="D268" s="39">
        <f>IF($U268="","",IF($T268="",0,N(INDEX(거래처설정!$E$8:$E$407,$T268))))</f>
        <v/>
      </c>
      <c r="E268" s="39">
        <f>IF($U268="","",SUMIFS(매출원본!$AT$8:$AT$2007,매출원본!$AY$8:$AY$2007,$A268,매출원본!$AS$8:$AS$2007,"&lt;="&amp;설정!$B$5))</f>
        <v/>
      </c>
      <c r="F268" s="39">
        <f>IF($U268="","",SUMIFS(입금_은행1!$Z$8:$Z$2007,입금_은행1!$AC$8:$AC$2007,$A268,입금_은행1!$Y$8:$Y$2007,"&lt;="&amp;설정!$B$5)+SUMIFS(입금_은행2!$Z$8:$Z$2007,입금_은행2!$AC$8:$AC$2007,$A268,입금_은행2!$Y$8:$Y$2007,"&lt;="&amp;설정!$B$5))</f>
        <v/>
      </c>
      <c r="G268" s="39">
        <f>IF($U268="","",$D268+$E268-$F268)</f>
        <v/>
      </c>
      <c r="H268" s="39">
        <f>IF($U268="","",MIN(MAX($G268,0),$V268))</f>
        <v/>
      </c>
      <c r="I268" s="39">
        <f>IF($U268="","",MIN(MAX($G268,0),$W268)-MIN(MAX($G268,0),$V268))</f>
        <v/>
      </c>
      <c r="J268" s="39">
        <f>IF($U268="","",MIN(MAX($G268,0),$X268)-MIN(MAX($G268,0),$W268))</f>
        <v/>
      </c>
      <c r="K268" s="39">
        <f>IF($U268="","",MAX($G268,0)-MIN(MAX($G268,0),$X268))</f>
        <v/>
      </c>
      <c r="L268" s="40">
        <f>IF($U268="","",IF(MAX(SUMPRODUCT(MAX((입금_은행1!$AC$8:$AC$2007=$A268)*(입금_은행1!$AE$8:$AE$2007&lt;=설정!$B$5)*입금_은행1!$AE$8:$AE$2007)),SUMPRODUCT(MAX((입금_은행2!$AC$8:$AC$2007=$A268)*(입금_은행2!$AE$8:$AE$2007&lt;=설정!$B$5)*입금_은행2!$AE$8:$AE$2007)))=0,"",MAX(SUMPRODUCT(MAX((입금_은행1!$AC$8:$AC$2007=$A268)*(입금_은행1!$AE$8:$AE$2007&lt;=설정!$B$5)*입금_은행1!$AE$8:$AE$2007)),SUMPRODUCT(MAX((입금_은행2!$AC$8:$AC$2007=$A268)*(입금_은행2!$AE$8:$AE$2007&lt;=설정!$B$5)*입금_은행2!$AE$8:$AE$2007)))))</f>
        <v/>
      </c>
      <c r="M268" s="38">
        <f>IF($U268="","",IF($T268="","",IF(INDEX(거래처설정!$F$8:$F$407,$T268)="","",INDEX(거래처설정!$F$8:$F$407,$T268))))</f>
        <v/>
      </c>
      <c r="N268" s="38">
        <f>IF($U268="","",IF($T268="","",IF(INDEX(거래처설정!$G$8:$G$407,$T268)="","",INDEX(거래처설정!$G$8:$G$407,$T268))))</f>
        <v/>
      </c>
      <c r="O268" s="38">
        <f>IF($U268="","",IF($M268="제외",0,IF($K268&gt;=설정!$B$9,3,IF($J268+$K268&gt;=설정!$B$9,2,IF($I268+$J268+$K268&gt;=설정!$B$9,1,0)))))</f>
        <v/>
      </c>
      <c r="P268" s="38">
        <f>IF($U268="","",IF($M268="제외","제외(조치 상태)",IF($O268=3,"③ 강한 독촉 후보 ("&amp;설정!$B$8&amp;"일 초과)",IF($O268=2,"② 독촉 후보 ("&amp;설정!$B$7&amp;"일 초과)",IF($O268=1,"① 안내 후보 ("&amp;설정!$B$6&amp;"일 초과)",IF($G268&gt;0,IF($I268+$J268+$K268&gt;0,"오래된 잔액 있음 (최소 금액 미만)","정상 범위"),IF($G268&lt;0,"선수금·초과입금 — 확인","완납")))))))</f>
        <v/>
      </c>
      <c r="Q268" s="38">
        <f>IF($U268="","",IF($G268&lt;0,"입금이 매출보다 큼 — 선수금이거나 다른 거래처 입금이 섞였는지 확인",IF(AND($AE268&lt;&gt;"",COUNTIF($AE$8:$AE$307,"*"&amp;$AE268&amp;"*")&gt;1),"이름이 다른 거래처와 겹침 — 입금이 잘못 맞았을 수 있으니 별칭 확인",IF(AND($G268&gt;0,$F268=0),"입금 매칭 없음 — 입금자명이 다르면 [거래처설정]에 별칭 등록",""))))</f>
        <v/>
      </c>
      <c r="R268" s="31">
        <f>IF(OR($U268="",$G268&lt;=0),"",$G268-$A268/10000)</f>
        <v/>
      </c>
      <c r="S268" s="31">
        <f>IF(OR($U268="",$O268&lt;1),"",$O268*10^11+$I268+$J268+$K268-$A268/1000)</f>
        <v/>
      </c>
      <c r="T268" s="31">
        <f>IF($U268="","",IFERROR(MATCH(INDEX(매출원본!$AU$8:$AU$2007,$U268),거래처설정!$I$8:$I$407,0),""))</f>
        <v/>
      </c>
      <c r="U268" s="31">
        <f>IFERROR(MATCH(261,매출원본!$AW$8:$AW$2007,0),"")</f>
        <v/>
      </c>
      <c r="V268" s="31">
        <f>IF($U268="","",MAX(SUMIFS(매출원본!$AT$8:$AT$2007,매출원본!$AY$8:$AY$2007,$A268,매출원본!$AS$8:$AS$2007,"&gt;="&amp;(설정!$B$5-설정!$B$6),매출원본!$AS$8:$AS$2007,"&lt;="&amp;설정!$B$5),0))</f>
        <v/>
      </c>
      <c r="W268" s="31">
        <f>IF($U268="","",MAX($V268,SUMIFS(매출원본!$AT$8:$AT$2007,매출원본!$AY$8:$AY$2007,$A268,매출원본!$AS$8:$AS$2007,"&gt;="&amp;(설정!$B$5-설정!$B$7),매출원본!$AS$8:$AS$2007,"&lt;="&amp;설정!$B$5)))</f>
        <v/>
      </c>
      <c r="X268" s="31">
        <f>IF($U268="","",MAX($W268,SUMIFS(매출원본!$AT$8:$AT$2007,매출원본!$AY$8:$AY$2007,$A268,매출원본!$AS$8:$AS$2007,"&gt;="&amp;(설정!$B$5-설정!$B$8),매출원본!$AS$8:$AS$2007,"&lt;="&amp;설정!$B$5)))</f>
        <v/>
      </c>
      <c r="AC268" s="31">
        <f>IF(OR($U268="",$T268=""),"",INDEX(거래처설정!$J$8:$J$407,$T268))</f>
        <v/>
      </c>
      <c r="AD268" s="31">
        <f>IF(OR($U268="",$T268=""),"",INDEX(거래처설정!$K$8:$K$407,$T268))</f>
        <v/>
      </c>
      <c r="AE268" s="31">
        <f>IF($U268="","",IF(LEN(SUBSTITUTE(SUBSTITUTE(SUBSTITUTE(SUBSTITUTE(SUBSTITUTE(SUBSTITUTE(SUBSTITUTE(SUBSTITUTE(SUBSTITUTE($C268," ",""),"　",""),"(주)",""),"（주）",""),"㈜",""),"주식회사",""),"(유)",""),"（유）",""),"유한회사",""))&lt;2,"",SUBSTITUTE(SUBSTITUTE(SUBSTITUTE(SUBSTITUTE(SUBSTITUTE(SUBSTITUTE(SUBSTITUTE(SUBSTITUTE(SUBSTITUTE($C268," ",""),"　",""),"(주)",""),"（주）",""),"㈜",""),"주식회사",""),"(유)",""),"（유）",""),"유한회사","")))</f>
        <v/>
      </c>
    </row>
    <row r="269">
      <c r="A269" s="38">
        <f>IF($U269="","",262)</f>
        <v/>
      </c>
      <c r="B269" s="38">
        <f>IF($U269="","",IF(LEN(INDEX(매출원본!$AU$8:$AU$2007,$U269))=10,LEFT(INDEX(매출원본!$AU$8:$AU$2007,$U269),3)&amp;"-"&amp;MID(INDEX(매출원본!$AU$8:$AU$2007,$U269),4,2)&amp;"-"&amp;RIGHT(INDEX(매출원본!$AU$8:$AU$2007,$U269),5),IF(LEFT(INDEX(매출원본!$AU$8:$AU$2007,$U269),2)="N:","(번호 없음)",INDEX(매출원본!$AU$8:$AU$2007,$U269))))</f>
        <v/>
      </c>
      <c r="C269" s="38">
        <f>IF($U269="","",INDEX(매출원본!$AV$8:$AV$2007,$U269))</f>
        <v/>
      </c>
      <c r="D269" s="39">
        <f>IF($U269="","",IF($T269="",0,N(INDEX(거래처설정!$E$8:$E$407,$T269))))</f>
        <v/>
      </c>
      <c r="E269" s="39">
        <f>IF($U269="","",SUMIFS(매출원본!$AT$8:$AT$2007,매출원본!$AY$8:$AY$2007,$A269,매출원본!$AS$8:$AS$2007,"&lt;="&amp;설정!$B$5))</f>
        <v/>
      </c>
      <c r="F269" s="39">
        <f>IF($U269="","",SUMIFS(입금_은행1!$Z$8:$Z$2007,입금_은행1!$AC$8:$AC$2007,$A269,입금_은행1!$Y$8:$Y$2007,"&lt;="&amp;설정!$B$5)+SUMIFS(입금_은행2!$Z$8:$Z$2007,입금_은행2!$AC$8:$AC$2007,$A269,입금_은행2!$Y$8:$Y$2007,"&lt;="&amp;설정!$B$5))</f>
        <v/>
      </c>
      <c r="G269" s="39">
        <f>IF($U269="","",$D269+$E269-$F269)</f>
        <v/>
      </c>
      <c r="H269" s="39">
        <f>IF($U269="","",MIN(MAX($G269,0),$V269))</f>
        <v/>
      </c>
      <c r="I269" s="39">
        <f>IF($U269="","",MIN(MAX($G269,0),$W269)-MIN(MAX($G269,0),$V269))</f>
        <v/>
      </c>
      <c r="J269" s="39">
        <f>IF($U269="","",MIN(MAX($G269,0),$X269)-MIN(MAX($G269,0),$W269))</f>
        <v/>
      </c>
      <c r="K269" s="39">
        <f>IF($U269="","",MAX($G269,0)-MIN(MAX($G269,0),$X269))</f>
        <v/>
      </c>
      <c r="L269" s="40">
        <f>IF($U269="","",IF(MAX(SUMPRODUCT(MAX((입금_은행1!$AC$8:$AC$2007=$A269)*(입금_은행1!$AE$8:$AE$2007&lt;=설정!$B$5)*입금_은행1!$AE$8:$AE$2007)),SUMPRODUCT(MAX((입금_은행2!$AC$8:$AC$2007=$A269)*(입금_은행2!$AE$8:$AE$2007&lt;=설정!$B$5)*입금_은행2!$AE$8:$AE$2007)))=0,"",MAX(SUMPRODUCT(MAX((입금_은행1!$AC$8:$AC$2007=$A269)*(입금_은행1!$AE$8:$AE$2007&lt;=설정!$B$5)*입금_은행1!$AE$8:$AE$2007)),SUMPRODUCT(MAX((입금_은행2!$AC$8:$AC$2007=$A269)*(입금_은행2!$AE$8:$AE$2007&lt;=설정!$B$5)*입금_은행2!$AE$8:$AE$2007)))))</f>
        <v/>
      </c>
      <c r="M269" s="38">
        <f>IF($U269="","",IF($T269="","",IF(INDEX(거래처설정!$F$8:$F$407,$T269)="","",INDEX(거래처설정!$F$8:$F$407,$T269))))</f>
        <v/>
      </c>
      <c r="N269" s="38">
        <f>IF($U269="","",IF($T269="","",IF(INDEX(거래처설정!$G$8:$G$407,$T269)="","",INDEX(거래처설정!$G$8:$G$407,$T269))))</f>
        <v/>
      </c>
      <c r="O269" s="38">
        <f>IF($U269="","",IF($M269="제외",0,IF($K269&gt;=설정!$B$9,3,IF($J269+$K269&gt;=설정!$B$9,2,IF($I269+$J269+$K269&gt;=설정!$B$9,1,0)))))</f>
        <v/>
      </c>
      <c r="P269" s="38">
        <f>IF($U269="","",IF($M269="제외","제외(조치 상태)",IF($O269=3,"③ 강한 독촉 후보 ("&amp;설정!$B$8&amp;"일 초과)",IF($O269=2,"② 독촉 후보 ("&amp;설정!$B$7&amp;"일 초과)",IF($O269=1,"① 안내 후보 ("&amp;설정!$B$6&amp;"일 초과)",IF($G269&gt;0,IF($I269+$J269+$K269&gt;0,"오래된 잔액 있음 (최소 금액 미만)","정상 범위"),IF($G269&lt;0,"선수금·초과입금 — 확인","완납")))))))</f>
        <v/>
      </c>
      <c r="Q269" s="38">
        <f>IF($U269="","",IF($G269&lt;0,"입금이 매출보다 큼 — 선수금이거나 다른 거래처 입금이 섞였는지 확인",IF(AND($AE269&lt;&gt;"",COUNTIF($AE$8:$AE$307,"*"&amp;$AE269&amp;"*")&gt;1),"이름이 다른 거래처와 겹침 — 입금이 잘못 맞았을 수 있으니 별칭 확인",IF(AND($G269&gt;0,$F269=0),"입금 매칭 없음 — 입금자명이 다르면 [거래처설정]에 별칭 등록",""))))</f>
        <v/>
      </c>
      <c r="R269" s="31">
        <f>IF(OR($U269="",$G269&lt;=0),"",$G269-$A269/10000)</f>
        <v/>
      </c>
      <c r="S269" s="31">
        <f>IF(OR($U269="",$O269&lt;1),"",$O269*10^11+$I269+$J269+$K269-$A269/1000)</f>
        <v/>
      </c>
      <c r="T269" s="31">
        <f>IF($U269="","",IFERROR(MATCH(INDEX(매출원본!$AU$8:$AU$2007,$U269),거래처설정!$I$8:$I$407,0),""))</f>
        <v/>
      </c>
      <c r="U269" s="31">
        <f>IFERROR(MATCH(262,매출원본!$AW$8:$AW$2007,0),"")</f>
        <v/>
      </c>
      <c r="V269" s="31">
        <f>IF($U269="","",MAX(SUMIFS(매출원본!$AT$8:$AT$2007,매출원본!$AY$8:$AY$2007,$A269,매출원본!$AS$8:$AS$2007,"&gt;="&amp;(설정!$B$5-설정!$B$6),매출원본!$AS$8:$AS$2007,"&lt;="&amp;설정!$B$5),0))</f>
        <v/>
      </c>
      <c r="W269" s="31">
        <f>IF($U269="","",MAX($V269,SUMIFS(매출원본!$AT$8:$AT$2007,매출원본!$AY$8:$AY$2007,$A269,매출원본!$AS$8:$AS$2007,"&gt;="&amp;(설정!$B$5-설정!$B$7),매출원본!$AS$8:$AS$2007,"&lt;="&amp;설정!$B$5)))</f>
        <v/>
      </c>
      <c r="X269" s="31">
        <f>IF($U269="","",MAX($W269,SUMIFS(매출원본!$AT$8:$AT$2007,매출원본!$AY$8:$AY$2007,$A269,매출원본!$AS$8:$AS$2007,"&gt;="&amp;(설정!$B$5-설정!$B$8),매출원본!$AS$8:$AS$2007,"&lt;="&amp;설정!$B$5)))</f>
        <v/>
      </c>
      <c r="AC269" s="31">
        <f>IF(OR($U269="",$T269=""),"",INDEX(거래처설정!$J$8:$J$407,$T269))</f>
        <v/>
      </c>
      <c r="AD269" s="31">
        <f>IF(OR($U269="",$T269=""),"",INDEX(거래처설정!$K$8:$K$407,$T269))</f>
        <v/>
      </c>
      <c r="AE269" s="31">
        <f>IF($U269="","",IF(LEN(SUBSTITUTE(SUBSTITUTE(SUBSTITUTE(SUBSTITUTE(SUBSTITUTE(SUBSTITUTE(SUBSTITUTE(SUBSTITUTE(SUBSTITUTE($C269," ",""),"　",""),"(주)",""),"（주）",""),"㈜",""),"주식회사",""),"(유)",""),"（유）",""),"유한회사",""))&lt;2,"",SUBSTITUTE(SUBSTITUTE(SUBSTITUTE(SUBSTITUTE(SUBSTITUTE(SUBSTITUTE(SUBSTITUTE(SUBSTITUTE(SUBSTITUTE($C269," ",""),"　",""),"(주)",""),"（주）",""),"㈜",""),"주식회사",""),"(유)",""),"（유）",""),"유한회사","")))</f>
        <v/>
      </c>
    </row>
    <row r="270">
      <c r="A270" s="38">
        <f>IF($U270="","",263)</f>
        <v/>
      </c>
      <c r="B270" s="38">
        <f>IF($U270="","",IF(LEN(INDEX(매출원본!$AU$8:$AU$2007,$U270))=10,LEFT(INDEX(매출원본!$AU$8:$AU$2007,$U270),3)&amp;"-"&amp;MID(INDEX(매출원본!$AU$8:$AU$2007,$U270),4,2)&amp;"-"&amp;RIGHT(INDEX(매출원본!$AU$8:$AU$2007,$U270),5),IF(LEFT(INDEX(매출원본!$AU$8:$AU$2007,$U270),2)="N:","(번호 없음)",INDEX(매출원본!$AU$8:$AU$2007,$U270))))</f>
        <v/>
      </c>
      <c r="C270" s="38">
        <f>IF($U270="","",INDEX(매출원본!$AV$8:$AV$2007,$U270))</f>
        <v/>
      </c>
      <c r="D270" s="39">
        <f>IF($U270="","",IF($T270="",0,N(INDEX(거래처설정!$E$8:$E$407,$T270))))</f>
        <v/>
      </c>
      <c r="E270" s="39">
        <f>IF($U270="","",SUMIFS(매출원본!$AT$8:$AT$2007,매출원본!$AY$8:$AY$2007,$A270,매출원본!$AS$8:$AS$2007,"&lt;="&amp;설정!$B$5))</f>
        <v/>
      </c>
      <c r="F270" s="39">
        <f>IF($U270="","",SUMIFS(입금_은행1!$Z$8:$Z$2007,입금_은행1!$AC$8:$AC$2007,$A270,입금_은행1!$Y$8:$Y$2007,"&lt;="&amp;설정!$B$5)+SUMIFS(입금_은행2!$Z$8:$Z$2007,입금_은행2!$AC$8:$AC$2007,$A270,입금_은행2!$Y$8:$Y$2007,"&lt;="&amp;설정!$B$5))</f>
        <v/>
      </c>
      <c r="G270" s="39">
        <f>IF($U270="","",$D270+$E270-$F270)</f>
        <v/>
      </c>
      <c r="H270" s="39">
        <f>IF($U270="","",MIN(MAX($G270,0),$V270))</f>
        <v/>
      </c>
      <c r="I270" s="39">
        <f>IF($U270="","",MIN(MAX($G270,0),$W270)-MIN(MAX($G270,0),$V270))</f>
        <v/>
      </c>
      <c r="J270" s="39">
        <f>IF($U270="","",MIN(MAX($G270,0),$X270)-MIN(MAX($G270,0),$W270))</f>
        <v/>
      </c>
      <c r="K270" s="39">
        <f>IF($U270="","",MAX($G270,0)-MIN(MAX($G270,0),$X270))</f>
        <v/>
      </c>
      <c r="L270" s="40">
        <f>IF($U270="","",IF(MAX(SUMPRODUCT(MAX((입금_은행1!$AC$8:$AC$2007=$A270)*(입금_은행1!$AE$8:$AE$2007&lt;=설정!$B$5)*입금_은행1!$AE$8:$AE$2007)),SUMPRODUCT(MAX((입금_은행2!$AC$8:$AC$2007=$A270)*(입금_은행2!$AE$8:$AE$2007&lt;=설정!$B$5)*입금_은행2!$AE$8:$AE$2007)))=0,"",MAX(SUMPRODUCT(MAX((입금_은행1!$AC$8:$AC$2007=$A270)*(입금_은행1!$AE$8:$AE$2007&lt;=설정!$B$5)*입금_은행1!$AE$8:$AE$2007)),SUMPRODUCT(MAX((입금_은행2!$AC$8:$AC$2007=$A270)*(입금_은행2!$AE$8:$AE$2007&lt;=설정!$B$5)*입금_은행2!$AE$8:$AE$2007)))))</f>
        <v/>
      </c>
      <c r="M270" s="38">
        <f>IF($U270="","",IF($T270="","",IF(INDEX(거래처설정!$F$8:$F$407,$T270)="","",INDEX(거래처설정!$F$8:$F$407,$T270))))</f>
        <v/>
      </c>
      <c r="N270" s="38">
        <f>IF($U270="","",IF($T270="","",IF(INDEX(거래처설정!$G$8:$G$407,$T270)="","",INDEX(거래처설정!$G$8:$G$407,$T270))))</f>
        <v/>
      </c>
      <c r="O270" s="38">
        <f>IF($U270="","",IF($M270="제외",0,IF($K270&gt;=설정!$B$9,3,IF($J270+$K270&gt;=설정!$B$9,2,IF($I270+$J270+$K270&gt;=설정!$B$9,1,0)))))</f>
        <v/>
      </c>
      <c r="P270" s="38">
        <f>IF($U270="","",IF($M270="제외","제외(조치 상태)",IF($O270=3,"③ 강한 독촉 후보 ("&amp;설정!$B$8&amp;"일 초과)",IF($O270=2,"② 독촉 후보 ("&amp;설정!$B$7&amp;"일 초과)",IF($O270=1,"① 안내 후보 ("&amp;설정!$B$6&amp;"일 초과)",IF($G270&gt;0,IF($I270+$J270+$K270&gt;0,"오래된 잔액 있음 (최소 금액 미만)","정상 범위"),IF($G270&lt;0,"선수금·초과입금 — 확인","완납")))))))</f>
        <v/>
      </c>
      <c r="Q270" s="38">
        <f>IF($U270="","",IF($G270&lt;0,"입금이 매출보다 큼 — 선수금이거나 다른 거래처 입금이 섞였는지 확인",IF(AND($AE270&lt;&gt;"",COUNTIF($AE$8:$AE$307,"*"&amp;$AE270&amp;"*")&gt;1),"이름이 다른 거래처와 겹침 — 입금이 잘못 맞았을 수 있으니 별칭 확인",IF(AND($G270&gt;0,$F270=0),"입금 매칭 없음 — 입금자명이 다르면 [거래처설정]에 별칭 등록",""))))</f>
        <v/>
      </c>
      <c r="R270" s="31">
        <f>IF(OR($U270="",$G270&lt;=0),"",$G270-$A270/10000)</f>
        <v/>
      </c>
      <c r="S270" s="31">
        <f>IF(OR($U270="",$O270&lt;1),"",$O270*10^11+$I270+$J270+$K270-$A270/1000)</f>
        <v/>
      </c>
      <c r="T270" s="31">
        <f>IF($U270="","",IFERROR(MATCH(INDEX(매출원본!$AU$8:$AU$2007,$U270),거래처설정!$I$8:$I$407,0),""))</f>
        <v/>
      </c>
      <c r="U270" s="31">
        <f>IFERROR(MATCH(263,매출원본!$AW$8:$AW$2007,0),"")</f>
        <v/>
      </c>
      <c r="V270" s="31">
        <f>IF($U270="","",MAX(SUMIFS(매출원본!$AT$8:$AT$2007,매출원본!$AY$8:$AY$2007,$A270,매출원본!$AS$8:$AS$2007,"&gt;="&amp;(설정!$B$5-설정!$B$6),매출원본!$AS$8:$AS$2007,"&lt;="&amp;설정!$B$5),0))</f>
        <v/>
      </c>
      <c r="W270" s="31">
        <f>IF($U270="","",MAX($V270,SUMIFS(매출원본!$AT$8:$AT$2007,매출원본!$AY$8:$AY$2007,$A270,매출원본!$AS$8:$AS$2007,"&gt;="&amp;(설정!$B$5-설정!$B$7),매출원본!$AS$8:$AS$2007,"&lt;="&amp;설정!$B$5)))</f>
        <v/>
      </c>
      <c r="X270" s="31">
        <f>IF($U270="","",MAX($W270,SUMIFS(매출원본!$AT$8:$AT$2007,매출원본!$AY$8:$AY$2007,$A270,매출원본!$AS$8:$AS$2007,"&gt;="&amp;(설정!$B$5-설정!$B$8),매출원본!$AS$8:$AS$2007,"&lt;="&amp;설정!$B$5)))</f>
        <v/>
      </c>
      <c r="AC270" s="31">
        <f>IF(OR($U270="",$T270=""),"",INDEX(거래처설정!$J$8:$J$407,$T270))</f>
        <v/>
      </c>
      <c r="AD270" s="31">
        <f>IF(OR($U270="",$T270=""),"",INDEX(거래처설정!$K$8:$K$407,$T270))</f>
        <v/>
      </c>
      <c r="AE270" s="31">
        <f>IF($U270="","",IF(LEN(SUBSTITUTE(SUBSTITUTE(SUBSTITUTE(SUBSTITUTE(SUBSTITUTE(SUBSTITUTE(SUBSTITUTE(SUBSTITUTE(SUBSTITUTE($C270," ",""),"　",""),"(주)",""),"（주）",""),"㈜",""),"주식회사",""),"(유)",""),"（유）",""),"유한회사",""))&lt;2,"",SUBSTITUTE(SUBSTITUTE(SUBSTITUTE(SUBSTITUTE(SUBSTITUTE(SUBSTITUTE(SUBSTITUTE(SUBSTITUTE(SUBSTITUTE($C270," ",""),"　",""),"(주)",""),"（주）",""),"㈜",""),"주식회사",""),"(유)",""),"（유）",""),"유한회사","")))</f>
        <v/>
      </c>
    </row>
    <row r="271">
      <c r="A271" s="38">
        <f>IF($U271="","",264)</f>
        <v/>
      </c>
      <c r="B271" s="38">
        <f>IF($U271="","",IF(LEN(INDEX(매출원본!$AU$8:$AU$2007,$U271))=10,LEFT(INDEX(매출원본!$AU$8:$AU$2007,$U271),3)&amp;"-"&amp;MID(INDEX(매출원본!$AU$8:$AU$2007,$U271),4,2)&amp;"-"&amp;RIGHT(INDEX(매출원본!$AU$8:$AU$2007,$U271),5),IF(LEFT(INDEX(매출원본!$AU$8:$AU$2007,$U271),2)="N:","(번호 없음)",INDEX(매출원본!$AU$8:$AU$2007,$U271))))</f>
        <v/>
      </c>
      <c r="C271" s="38">
        <f>IF($U271="","",INDEX(매출원본!$AV$8:$AV$2007,$U271))</f>
        <v/>
      </c>
      <c r="D271" s="39">
        <f>IF($U271="","",IF($T271="",0,N(INDEX(거래처설정!$E$8:$E$407,$T271))))</f>
        <v/>
      </c>
      <c r="E271" s="39">
        <f>IF($U271="","",SUMIFS(매출원본!$AT$8:$AT$2007,매출원본!$AY$8:$AY$2007,$A271,매출원본!$AS$8:$AS$2007,"&lt;="&amp;설정!$B$5))</f>
        <v/>
      </c>
      <c r="F271" s="39">
        <f>IF($U271="","",SUMIFS(입금_은행1!$Z$8:$Z$2007,입금_은행1!$AC$8:$AC$2007,$A271,입금_은행1!$Y$8:$Y$2007,"&lt;="&amp;설정!$B$5)+SUMIFS(입금_은행2!$Z$8:$Z$2007,입금_은행2!$AC$8:$AC$2007,$A271,입금_은행2!$Y$8:$Y$2007,"&lt;="&amp;설정!$B$5))</f>
        <v/>
      </c>
      <c r="G271" s="39">
        <f>IF($U271="","",$D271+$E271-$F271)</f>
        <v/>
      </c>
      <c r="H271" s="39">
        <f>IF($U271="","",MIN(MAX($G271,0),$V271))</f>
        <v/>
      </c>
      <c r="I271" s="39">
        <f>IF($U271="","",MIN(MAX($G271,0),$W271)-MIN(MAX($G271,0),$V271))</f>
        <v/>
      </c>
      <c r="J271" s="39">
        <f>IF($U271="","",MIN(MAX($G271,0),$X271)-MIN(MAX($G271,0),$W271))</f>
        <v/>
      </c>
      <c r="K271" s="39">
        <f>IF($U271="","",MAX($G271,0)-MIN(MAX($G271,0),$X271))</f>
        <v/>
      </c>
      <c r="L271" s="40">
        <f>IF($U271="","",IF(MAX(SUMPRODUCT(MAX((입금_은행1!$AC$8:$AC$2007=$A271)*(입금_은행1!$AE$8:$AE$2007&lt;=설정!$B$5)*입금_은행1!$AE$8:$AE$2007)),SUMPRODUCT(MAX((입금_은행2!$AC$8:$AC$2007=$A271)*(입금_은행2!$AE$8:$AE$2007&lt;=설정!$B$5)*입금_은행2!$AE$8:$AE$2007)))=0,"",MAX(SUMPRODUCT(MAX((입금_은행1!$AC$8:$AC$2007=$A271)*(입금_은행1!$AE$8:$AE$2007&lt;=설정!$B$5)*입금_은행1!$AE$8:$AE$2007)),SUMPRODUCT(MAX((입금_은행2!$AC$8:$AC$2007=$A271)*(입금_은행2!$AE$8:$AE$2007&lt;=설정!$B$5)*입금_은행2!$AE$8:$AE$2007)))))</f>
        <v/>
      </c>
      <c r="M271" s="38">
        <f>IF($U271="","",IF($T271="","",IF(INDEX(거래처설정!$F$8:$F$407,$T271)="","",INDEX(거래처설정!$F$8:$F$407,$T271))))</f>
        <v/>
      </c>
      <c r="N271" s="38">
        <f>IF($U271="","",IF($T271="","",IF(INDEX(거래처설정!$G$8:$G$407,$T271)="","",INDEX(거래처설정!$G$8:$G$407,$T271))))</f>
        <v/>
      </c>
      <c r="O271" s="38">
        <f>IF($U271="","",IF($M271="제외",0,IF($K271&gt;=설정!$B$9,3,IF($J271+$K271&gt;=설정!$B$9,2,IF($I271+$J271+$K271&gt;=설정!$B$9,1,0)))))</f>
        <v/>
      </c>
      <c r="P271" s="38">
        <f>IF($U271="","",IF($M271="제외","제외(조치 상태)",IF($O271=3,"③ 강한 독촉 후보 ("&amp;설정!$B$8&amp;"일 초과)",IF($O271=2,"② 독촉 후보 ("&amp;설정!$B$7&amp;"일 초과)",IF($O271=1,"① 안내 후보 ("&amp;설정!$B$6&amp;"일 초과)",IF($G271&gt;0,IF($I271+$J271+$K271&gt;0,"오래된 잔액 있음 (최소 금액 미만)","정상 범위"),IF($G271&lt;0,"선수금·초과입금 — 확인","완납")))))))</f>
        <v/>
      </c>
      <c r="Q271" s="38">
        <f>IF($U271="","",IF($G271&lt;0,"입금이 매출보다 큼 — 선수금이거나 다른 거래처 입금이 섞였는지 확인",IF(AND($AE271&lt;&gt;"",COUNTIF($AE$8:$AE$307,"*"&amp;$AE271&amp;"*")&gt;1),"이름이 다른 거래처와 겹침 — 입금이 잘못 맞았을 수 있으니 별칭 확인",IF(AND($G271&gt;0,$F271=0),"입금 매칭 없음 — 입금자명이 다르면 [거래처설정]에 별칭 등록",""))))</f>
        <v/>
      </c>
      <c r="R271" s="31">
        <f>IF(OR($U271="",$G271&lt;=0),"",$G271-$A271/10000)</f>
        <v/>
      </c>
      <c r="S271" s="31">
        <f>IF(OR($U271="",$O271&lt;1),"",$O271*10^11+$I271+$J271+$K271-$A271/1000)</f>
        <v/>
      </c>
      <c r="T271" s="31">
        <f>IF($U271="","",IFERROR(MATCH(INDEX(매출원본!$AU$8:$AU$2007,$U271),거래처설정!$I$8:$I$407,0),""))</f>
        <v/>
      </c>
      <c r="U271" s="31">
        <f>IFERROR(MATCH(264,매출원본!$AW$8:$AW$2007,0),"")</f>
        <v/>
      </c>
      <c r="V271" s="31">
        <f>IF($U271="","",MAX(SUMIFS(매출원본!$AT$8:$AT$2007,매출원본!$AY$8:$AY$2007,$A271,매출원본!$AS$8:$AS$2007,"&gt;="&amp;(설정!$B$5-설정!$B$6),매출원본!$AS$8:$AS$2007,"&lt;="&amp;설정!$B$5),0))</f>
        <v/>
      </c>
      <c r="W271" s="31">
        <f>IF($U271="","",MAX($V271,SUMIFS(매출원본!$AT$8:$AT$2007,매출원본!$AY$8:$AY$2007,$A271,매출원본!$AS$8:$AS$2007,"&gt;="&amp;(설정!$B$5-설정!$B$7),매출원본!$AS$8:$AS$2007,"&lt;="&amp;설정!$B$5)))</f>
        <v/>
      </c>
      <c r="X271" s="31">
        <f>IF($U271="","",MAX($W271,SUMIFS(매출원본!$AT$8:$AT$2007,매출원본!$AY$8:$AY$2007,$A271,매출원본!$AS$8:$AS$2007,"&gt;="&amp;(설정!$B$5-설정!$B$8),매출원본!$AS$8:$AS$2007,"&lt;="&amp;설정!$B$5)))</f>
        <v/>
      </c>
      <c r="AC271" s="31">
        <f>IF(OR($U271="",$T271=""),"",INDEX(거래처설정!$J$8:$J$407,$T271))</f>
        <v/>
      </c>
      <c r="AD271" s="31">
        <f>IF(OR($U271="",$T271=""),"",INDEX(거래처설정!$K$8:$K$407,$T271))</f>
        <v/>
      </c>
      <c r="AE271" s="31">
        <f>IF($U271="","",IF(LEN(SUBSTITUTE(SUBSTITUTE(SUBSTITUTE(SUBSTITUTE(SUBSTITUTE(SUBSTITUTE(SUBSTITUTE(SUBSTITUTE(SUBSTITUTE($C271," ",""),"　",""),"(주)",""),"（주）",""),"㈜",""),"주식회사",""),"(유)",""),"（유）",""),"유한회사",""))&lt;2,"",SUBSTITUTE(SUBSTITUTE(SUBSTITUTE(SUBSTITUTE(SUBSTITUTE(SUBSTITUTE(SUBSTITUTE(SUBSTITUTE(SUBSTITUTE($C271," ",""),"　",""),"(주)",""),"（주）",""),"㈜",""),"주식회사",""),"(유)",""),"（유）",""),"유한회사","")))</f>
        <v/>
      </c>
    </row>
    <row r="272">
      <c r="A272" s="38">
        <f>IF($U272="","",265)</f>
        <v/>
      </c>
      <c r="B272" s="38">
        <f>IF($U272="","",IF(LEN(INDEX(매출원본!$AU$8:$AU$2007,$U272))=10,LEFT(INDEX(매출원본!$AU$8:$AU$2007,$U272),3)&amp;"-"&amp;MID(INDEX(매출원본!$AU$8:$AU$2007,$U272),4,2)&amp;"-"&amp;RIGHT(INDEX(매출원본!$AU$8:$AU$2007,$U272),5),IF(LEFT(INDEX(매출원본!$AU$8:$AU$2007,$U272),2)="N:","(번호 없음)",INDEX(매출원본!$AU$8:$AU$2007,$U272))))</f>
        <v/>
      </c>
      <c r="C272" s="38">
        <f>IF($U272="","",INDEX(매출원본!$AV$8:$AV$2007,$U272))</f>
        <v/>
      </c>
      <c r="D272" s="39">
        <f>IF($U272="","",IF($T272="",0,N(INDEX(거래처설정!$E$8:$E$407,$T272))))</f>
        <v/>
      </c>
      <c r="E272" s="39">
        <f>IF($U272="","",SUMIFS(매출원본!$AT$8:$AT$2007,매출원본!$AY$8:$AY$2007,$A272,매출원본!$AS$8:$AS$2007,"&lt;="&amp;설정!$B$5))</f>
        <v/>
      </c>
      <c r="F272" s="39">
        <f>IF($U272="","",SUMIFS(입금_은행1!$Z$8:$Z$2007,입금_은행1!$AC$8:$AC$2007,$A272,입금_은행1!$Y$8:$Y$2007,"&lt;="&amp;설정!$B$5)+SUMIFS(입금_은행2!$Z$8:$Z$2007,입금_은행2!$AC$8:$AC$2007,$A272,입금_은행2!$Y$8:$Y$2007,"&lt;="&amp;설정!$B$5))</f>
        <v/>
      </c>
      <c r="G272" s="39">
        <f>IF($U272="","",$D272+$E272-$F272)</f>
        <v/>
      </c>
      <c r="H272" s="39">
        <f>IF($U272="","",MIN(MAX($G272,0),$V272))</f>
        <v/>
      </c>
      <c r="I272" s="39">
        <f>IF($U272="","",MIN(MAX($G272,0),$W272)-MIN(MAX($G272,0),$V272))</f>
        <v/>
      </c>
      <c r="J272" s="39">
        <f>IF($U272="","",MIN(MAX($G272,0),$X272)-MIN(MAX($G272,0),$W272))</f>
        <v/>
      </c>
      <c r="K272" s="39">
        <f>IF($U272="","",MAX($G272,0)-MIN(MAX($G272,0),$X272))</f>
        <v/>
      </c>
      <c r="L272" s="40">
        <f>IF($U272="","",IF(MAX(SUMPRODUCT(MAX((입금_은행1!$AC$8:$AC$2007=$A272)*(입금_은행1!$AE$8:$AE$2007&lt;=설정!$B$5)*입금_은행1!$AE$8:$AE$2007)),SUMPRODUCT(MAX((입금_은행2!$AC$8:$AC$2007=$A272)*(입금_은행2!$AE$8:$AE$2007&lt;=설정!$B$5)*입금_은행2!$AE$8:$AE$2007)))=0,"",MAX(SUMPRODUCT(MAX((입금_은행1!$AC$8:$AC$2007=$A272)*(입금_은행1!$AE$8:$AE$2007&lt;=설정!$B$5)*입금_은행1!$AE$8:$AE$2007)),SUMPRODUCT(MAX((입금_은행2!$AC$8:$AC$2007=$A272)*(입금_은행2!$AE$8:$AE$2007&lt;=설정!$B$5)*입금_은행2!$AE$8:$AE$2007)))))</f>
        <v/>
      </c>
      <c r="M272" s="38">
        <f>IF($U272="","",IF($T272="","",IF(INDEX(거래처설정!$F$8:$F$407,$T272)="","",INDEX(거래처설정!$F$8:$F$407,$T272))))</f>
        <v/>
      </c>
      <c r="N272" s="38">
        <f>IF($U272="","",IF($T272="","",IF(INDEX(거래처설정!$G$8:$G$407,$T272)="","",INDEX(거래처설정!$G$8:$G$407,$T272))))</f>
        <v/>
      </c>
      <c r="O272" s="38">
        <f>IF($U272="","",IF($M272="제외",0,IF($K272&gt;=설정!$B$9,3,IF($J272+$K272&gt;=설정!$B$9,2,IF($I272+$J272+$K272&gt;=설정!$B$9,1,0)))))</f>
        <v/>
      </c>
      <c r="P272" s="38">
        <f>IF($U272="","",IF($M272="제외","제외(조치 상태)",IF($O272=3,"③ 강한 독촉 후보 ("&amp;설정!$B$8&amp;"일 초과)",IF($O272=2,"② 독촉 후보 ("&amp;설정!$B$7&amp;"일 초과)",IF($O272=1,"① 안내 후보 ("&amp;설정!$B$6&amp;"일 초과)",IF($G272&gt;0,IF($I272+$J272+$K272&gt;0,"오래된 잔액 있음 (최소 금액 미만)","정상 범위"),IF($G272&lt;0,"선수금·초과입금 — 확인","완납")))))))</f>
        <v/>
      </c>
      <c r="Q272" s="38">
        <f>IF($U272="","",IF($G272&lt;0,"입금이 매출보다 큼 — 선수금이거나 다른 거래처 입금이 섞였는지 확인",IF(AND($AE272&lt;&gt;"",COUNTIF($AE$8:$AE$307,"*"&amp;$AE272&amp;"*")&gt;1),"이름이 다른 거래처와 겹침 — 입금이 잘못 맞았을 수 있으니 별칭 확인",IF(AND($G272&gt;0,$F272=0),"입금 매칭 없음 — 입금자명이 다르면 [거래처설정]에 별칭 등록",""))))</f>
        <v/>
      </c>
      <c r="R272" s="31">
        <f>IF(OR($U272="",$G272&lt;=0),"",$G272-$A272/10000)</f>
        <v/>
      </c>
      <c r="S272" s="31">
        <f>IF(OR($U272="",$O272&lt;1),"",$O272*10^11+$I272+$J272+$K272-$A272/1000)</f>
        <v/>
      </c>
      <c r="T272" s="31">
        <f>IF($U272="","",IFERROR(MATCH(INDEX(매출원본!$AU$8:$AU$2007,$U272),거래처설정!$I$8:$I$407,0),""))</f>
        <v/>
      </c>
      <c r="U272" s="31">
        <f>IFERROR(MATCH(265,매출원본!$AW$8:$AW$2007,0),"")</f>
        <v/>
      </c>
      <c r="V272" s="31">
        <f>IF($U272="","",MAX(SUMIFS(매출원본!$AT$8:$AT$2007,매출원본!$AY$8:$AY$2007,$A272,매출원본!$AS$8:$AS$2007,"&gt;="&amp;(설정!$B$5-설정!$B$6),매출원본!$AS$8:$AS$2007,"&lt;="&amp;설정!$B$5),0))</f>
        <v/>
      </c>
      <c r="W272" s="31">
        <f>IF($U272="","",MAX($V272,SUMIFS(매출원본!$AT$8:$AT$2007,매출원본!$AY$8:$AY$2007,$A272,매출원본!$AS$8:$AS$2007,"&gt;="&amp;(설정!$B$5-설정!$B$7),매출원본!$AS$8:$AS$2007,"&lt;="&amp;설정!$B$5)))</f>
        <v/>
      </c>
      <c r="X272" s="31">
        <f>IF($U272="","",MAX($W272,SUMIFS(매출원본!$AT$8:$AT$2007,매출원본!$AY$8:$AY$2007,$A272,매출원본!$AS$8:$AS$2007,"&gt;="&amp;(설정!$B$5-설정!$B$8),매출원본!$AS$8:$AS$2007,"&lt;="&amp;설정!$B$5)))</f>
        <v/>
      </c>
      <c r="AC272" s="31">
        <f>IF(OR($U272="",$T272=""),"",INDEX(거래처설정!$J$8:$J$407,$T272))</f>
        <v/>
      </c>
      <c r="AD272" s="31">
        <f>IF(OR($U272="",$T272=""),"",INDEX(거래처설정!$K$8:$K$407,$T272))</f>
        <v/>
      </c>
      <c r="AE272" s="31">
        <f>IF($U272="","",IF(LEN(SUBSTITUTE(SUBSTITUTE(SUBSTITUTE(SUBSTITUTE(SUBSTITUTE(SUBSTITUTE(SUBSTITUTE(SUBSTITUTE(SUBSTITUTE($C272," ",""),"　",""),"(주)",""),"（주）",""),"㈜",""),"주식회사",""),"(유)",""),"（유）",""),"유한회사",""))&lt;2,"",SUBSTITUTE(SUBSTITUTE(SUBSTITUTE(SUBSTITUTE(SUBSTITUTE(SUBSTITUTE(SUBSTITUTE(SUBSTITUTE(SUBSTITUTE($C272," ",""),"　",""),"(주)",""),"（주）",""),"㈜",""),"주식회사",""),"(유)",""),"（유）",""),"유한회사","")))</f>
        <v/>
      </c>
    </row>
    <row r="273">
      <c r="A273" s="38">
        <f>IF($U273="","",266)</f>
        <v/>
      </c>
      <c r="B273" s="38">
        <f>IF($U273="","",IF(LEN(INDEX(매출원본!$AU$8:$AU$2007,$U273))=10,LEFT(INDEX(매출원본!$AU$8:$AU$2007,$U273),3)&amp;"-"&amp;MID(INDEX(매출원본!$AU$8:$AU$2007,$U273),4,2)&amp;"-"&amp;RIGHT(INDEX(매출원본!$AU$8:$AU$2007,$U273),5),IF(LEFT(INDEX(매출원본!$AU$8:$AU$2007,$U273),2)="N:","(번호 없음)",INDEX(매출원본!$AU$8:$AU$2007,$U273))))</f>
        <v/>
      </c>
      <c r="C273" s="38">
        <f>IF($U273="","",INDEX(매출원본!$AV$8:$AV$2007,$U273))</f>
        <v/>
      </c>
      <c r="D273" s="39">
        <f>IF($U273="","",IF($T273="",0,N(INDEX(거래처설정!$E$8:$E$407,$T273))))</f>
        <v/>
      </c>
      <c r="E273" s="39">
        <f>IF($U273="","",SUMIFS(매출원본!$AT$8:$AT$2007,매출원본!$AY$8:$AY$2007,$A273,매출원본!$AS$8:$AS$2007,"&lt;="&amp;설정!$B$5))</f>
        <v/>
      </c>
      <c r="F273" s="39">
        <f>IF($U273="","",SUMIFS(입금_은행1!$Z$8:$Z$2007,입금_은행1!$AC$8:$AC$2007,$A273,입금_은행1!$Y$8:$Y$2007,"&lt;="&amp;설정!$B$5)+SUMIFS(입금_은행2!$Z$8:$Z$2007,입금_은행2!$AC$8:$AC$2007,$A273,입금_은행2!$Y$8:$Y$2007,"&lt;="&amp;설정!$B$5))</f>
        <v/>
      </c>
      <c r="G273" s="39">
        <f>IF($U273="","",$D273+$E273-$F273)</f>
        <v/>
      </c>
      <c r="H273" s="39">
        <f>IF($U273="","",MIN(MAX($G273,0),$V273))</f>
        <v/>
      </c>
      <c r="I273" s="39">
        <f>IF($U273="","",MIN(MAX($G273,0),$W273)-MIN(MAX($G273,0),$V273))</f>
        <v/>
      </c>
      <c r="J273" s="39">
        <f>IF($U273="","",MIN(MAX($G273,0),$X273)-MIN(MAX($G273,0),$W273))</f>
        <v/>
      </c>
      <c r="K273" s="39">
        <f>IF($U273="","",MAX($G273,0)-MIN(MAX($G273,0),$X273))</f>
        <v/>
      </c>
      <c r="L273" s="40">
        <f>IF($U273="","",IF(MAX(SUMPRODUCT(MAX((입금_은행1!$AC$8:$AC$2007=$A273)*(입금_은행1!$AE$8:$AE$2007&lt;=설정!$B$5)*입금_은행1!$AE$8:$AE$2007)),SUMPRODUCT(MAX((입금_은행2!$AC$8:$AC$2007=$A273)*(입금_은행2!$AE$8:$AE$2007&lt;=설정!$B$5)*입금_은행2!$AE$8:$AE$2007)))=0,"",MAX(SUMPRODUCT(MAX((입금_은행1!$AC$8:$AC$2007=$A273)*(입금_은행1!$AE$8:$AE$2007&lt;=설정!$B$5)*입금_은행1!$AE$8:$AE$2007)),SUMPRODUCT(MAX((입금_은행2!$AC$8:$AC$2007=$A273)*(입금_은행2!$AE$8:$AE$2007&lt;=설정!$B$5)*입금_은행2!$AE$8:$AE$2007)))))</f>
        <v/>
      </c>
      <c r="M273" s="38">
        <f>IF($U273="","",IF($T273="","",IF(INDEX(거래처설정!$F$8:$F$407,$T273)="","",INDEX(거래처설정!$F$8:$F$407,$T273))))</f>
        <v/>
      </c>
      <c r="N273" s="38">
        <f>IF($U273="","",IF($T273="","",IF(INDEX(거래처설정!$G$8:$G$407,$T273)="","",INDEX(거래처설정!$G$8:$G$407,$T273))))</f>
        <v/>
      </c>
      <c r="O273" s="38">
        <f>IF($U273="","",IF($M273="제외",0,IF($K273&gt;=설정!$B$9,3,IF($J273+$K273&gt;=설정!$B$9,2,IF($I273+$J273+$K273&gt;=설정!$B$9,1,0)))))</f>
        <v/>
      </c>
      <c r="P273" s="38">
        <f>IF($U273="","",IF($M273="제외","제외(조치 상태)",IF($O273=3,"③ 강한 독촉 후보 ("&amp;설정!$B$8&amp;"일 초과)",IF($O273=2,"② 독촉 후보 ("&amp;설정!$B$7&amp;"일 초과)",IF($O273=1,"① 안내 후보 ("&amp;설정!$B$6&amp;"일 초과)",IF($G273&gt;0,IF($I273+$J273+$K273&gt;0,"오래된 잔액 있음 (최소 금액 미만)","정상 범위"),IF($G273&lt;0,"선수금·초과입금 — 확인","완납")))))))</f>
        <v/>
      </c>
      <c r="Q273" s="38">
        <f>IF($U273="","",IF($G273&lt;0,"입금이 매출보다 큼 — 선수금이거나 다른 거래처 입금이 섞였는지 확인",IF(AND($AE273&lt;&gt;"",COUNTIF($AE$8:$AE$307,"*"&amp;$AE273&amp;"*")&gt;1),"이름이 다른 거래처와 겹침 — 입금이 잘못 맞았을 수 있으니 별칭 확인",IF(AND($G273&gt;0,$F273=0),"입금 매칭 없음 — 입금자명이 다르면 [거래처설정]에 별칭 등록",""))))</f>
        <v/>
      </c>
      <c r="R273" s="31">
        <f>IF(OR($U273="",$G273&lt;=0),"",$G273-$A273/10000)</f>
        <v/>
      </c>
      <c r="S273" s="31">
        <f>IF(OR($U273="",$O273&lt;1),"",$O273*10^11+$I273+$J273+$K273-$A273/1000)</f>
        <v/>
      </c>
      <c r="T273" s="31">
        <f>IF($U273="","",IFERROR(MATCH(INDEX(매출원본!$AU$8:$AU$2007,$U273),거래처설정!$I$8:$I$407,0),""))</f>
        <v/>
      </c>
      <c r="U273" s="31">
        <f>IFERROR(MATCH(266,매출원본!$AW$8:$AW$2007,0),"")</f>
        <v/>
      </c>
      <c r="V273" s="31">
        <f>IF($U273="","",MAX(SUMIFS(매출원본!$AT$8:$AT$2007,매출원본!$AY$8:$AY$2007,$A273,매출원본!$AS$8:$AS$2007,"&gt;="&amp;(설정!$B$5-설정!$B$6),매출원본!$AS$8:$AS$2007,"&lt;="&amp;설정!$B$5),0))</f>
        <v/>
      </c>
      <c r="W273" s="31">
        <f>IF($U273="","",MAX($V273,SUMIFS(매출원본!$AT$8:$AT$2007,매출원본!$AY$8:$AY$2007,$A273,매출원본!$AS$8:$AS$2007,"&gt;="&amp;(설정!$B$5-설정!$B$7),매출원본!$AS$8:$AS$2007,"&lt;="&amp;설정!$B$5)))</f>
        <v/>
      </c>
      <c r="X273" s="31">
        <f>IF($U273="","",MAX($W273,SUMIFS(매출원본!$AT$8:$AT$2007,매출원본!$AY$8:$AY$2007,$A273,매출원본!$AS$8:$AS$2007,"&gt;="&amp;(설정!$B$5-설정!$B$8),매출원본!$AS$8:$AS$2007,"&lt;="&amp;설정!$B$5)))</f>
        <v/>
      </c>
      <c r="AC273" s="31">
        <f>IF(OR($U273="",$T273=""),"",INDEX(거래처설정!$J$8:$J$407,$T273))</f>
        <v/>
      </c>
      <c r="AD273" s="31">
        <f>IF(OR($U273="",$T273=""),"",INDEX(거래처설정!$K$8:$K$407,$T273))</f>
        <v/>
      </c>
      <c r="AE273" s="31">
        <f>IF($U273="","",IF(LEN(SUBSTITUTE(SUBSTITUTE(SUBSTITUTE(SUBSTITUTE(SUBSTITUTE(SUBSTITUTE(SUBSTITUTE(SUBSTITUTE(SUBSTITUTE($C273," ",""),"　",""),"(주)",""),"（주）",""),"㈜",""),"주식회사",""),"(유)",""),"（유）",""),"유한회사",""))&lt;2,"",SUBSTITUTE(SUBSTITUTE(SUBSTITUTE(SUBSTITUTE(SUBSTITUTE(SUBSTITUTE(SUBSTITUTE(SUBSTITUTE(SUBSTITUTE($C273," ",""),"　",""),"(주)",""),"（주）",""),"㈜",""),"주식회사",""),"(유)",""),"（유）",""),"유한회사","")))</f>
        <v/>
      </c>
    </row>
    <row r="274">
      <c r="A274" s="38">
        <f>IF($U274="","",267)</f>
        <v/>
      </c>
      <c r="B274" s="38">
        <f>IF($U274="","",IF(LEN(INDEX(매출원본!$AU$8:$AU$2007,$U274))=10,LEFT(INDEX(매출원본!$AU$8:$AU$2007,$U274),3)&amp;"-"&amp;MID(INDEX(매출원본!$AU$8:$AU$2007,$U274),4,2)&amp;"-"&amp;RIGHT(INDEX(매출원본!$AU$8:$AU$2007,$U274),5),IF(LEFT(INDEX(매출원본!$AU$8:$AU$2007,$U274),2)="N:","(번호 없음)",INDEX(매출원본!$AU$8:$AU$2007,$U274))))</f>
        <v/>
      </c>
      <c r="C274" s="38">
        <f>IF($U274="","",INDEX(매출원본!$AV$8:$AV$2007,$U274))</f>
        <v/>
      </c>
      <c r="D274" s="39">
        <f>IF($U274="","",IF($T274="",0,N(INDEX(거래처설정!$E$8:$E$407,$T274))))</f>
        <v/>
      </c>
      <c r="E274" s="39">
        <f>IF($U274="","",SUMIFS(매출원본!$AT$8:$AT$2007,매출원본!$AY$8:$AY$2007,$A274,매출원본!$AS$8:$AS$2007,"&lt;="&amp;설정!$B$5))</f>
        <v/>
      </c>
      <c r="F274" s="39">
        <f>IF($U274="","",SUMIFS(입금_은행1!$Z$8:$Z$2007,입금_은행1!$AC$8:$AC$2007,$A274,입금_은행1!$Y$8:$Y$2007,"&lt;="&amp;설정!$B$5)+SUMIFS(입금_은행2!$Z$8:$Z$2007,입금_은행2!$AC$8:$AC$2007,$A274,입금_은행2!$Y$8:$Y$2007,"&lt;="&amp;설정!$B$5))</f>
        <v/>
      </c>
      <c r="G274" s="39">
        <f>IF($U274="","",$D274+$E274-$F274)</f>
        <v/>
      </c>
      <c r="H274" s="39">
        <f>IF($U274="","",MIN(MAX($G274,0),$V274))</f>
        <v/>
      </c>
      <c r="I274" s="39">
        <f>IF($U274="","",MIN(MAX($G274,0),$W274)-MIN(MAX($G274,0),$V274))</f>
        <v/>
      </c>
      <c r="J274" s="39">
        <f>IF($U274="","",MIN(MAX($G274,0),$X274)-MIN(MAX($G274,0),$W274))</f>
        <v/>
      </c>
      <c r="K274" s="39">
        <f>IF($U274="","",MAX($G274,0)-MIN(MAX($G274,0),$X274))</f>
        <v/>
      </c>
      <c r="L274" s="40">
        <f>IF($U274="","",IF(MAX(SUMPRODUCT(MAX((입금_은행1!$AC$8:$AC$2007=$A274)*(입금_은행1!$AE$8:$AE$2007&lt;=설정!$B$5)*입금_은행1!$AE$8:$AE$2007)),SUMPRODUCT(MAX((입금_은행2!$AC$8:$AC$2007=$A274)*(입금_은행2!$AE$8:$AE$2007&lt;=설정!$B$5)*입금_은행2!$AE$8:$AE$2007)))=0,"",MAX(SUMPRODUCT(MAX((입금_은행1!$AC$8:$AC$2007=$A274)*(입금_은행1!$AE$8:$AE$2007&lt;=설정!$B$5)*입금_은행1!$AE$8:$AE$2007)),SUMPRODUCT(MAX((입금_은행2!$AC$8:$AC$2007=$A274)*(입금_은행2!$AE$8:$AE$2007&lt;=설정!$B$5)*입금_은행2!$AE$8:$AE$2007)))))</f>
        <v/>
      </c>
      <c r="M274" s="38">
        <f>IF($U274="","",IF($T274="","",IF(INDEX(거래처설정!$F$8:$F$407,$T274)="","",INDEX(거래처설정!$F$8:$F$407,$T274))))</f>
        <v/>
      </c>
      <c r="N274" s="38">
        <f>IF($U274="","",IF($T274="","",IF(INDEX(거래처설정!$G$8:$G$407,$T274)="","",INDEX(거래처설정!$G$8:$G$407,$T274))))</f>
        <v/>
      </c>
      <c r="O274" s="38">
        <f>IF($U274="","",IF($M274="제외",0,IF($K274&gt;=설정!$B$9,3,IF($J274+$K274&gt;=설정!$B$9,2,IF($I274+$J274+$K274&gt;=설정!$B$9,1,0)))))</f>
        <v/>
      </c>
      <c r="P274" s="38">
        <f>IF($U274="","",IF($M274="제외","제외(조치 상태)",IF($O274=3,"③ 강한 독촉 후보 ("&amp;설정!$B$8&amp;"일 초과)",IF($O274=2,"② 독촉 후보 ("&amp;설정!$B$7&amp;"일 초과)",IF($O274=1,"① 안내 후보 ("&amp;설정!$B$6&amp;"일 초과)",IF($G274&gt;0,IF($I274+$J274+$K274&gt;0,"오래된 잔액 있음 (최소 금액 미만)","정상 범위"),IF($G274&lt;0,"선수금·초과입금 — 확인","완납")))))))</f>
        <v/>
      </c>
      <c r="Q274" s="38">
        <f>IF($U274="","",IF($G274&lt;0,"입금이 매출보다 큼 — 선수금이거나 다른 거래처 입금이 섞였는지 확인",IF(AND($AE274&lt;&gt;"",COUNTIF($AE$8:$AE$307,"*"&amp;$AE274&amp;"*")&gt;1),"이름이 다른 거래처와 겹침 — 입금이 잘못 맞았을 수 있으니 별칭 확인",IF(AND($G274&gt;0,$F274=0),"입금 매칭 없음 — 입금자명이 다르면 [거래처설정]에 별칭 등록",""))))</f>
        <v/>
      </c>
      <c r="R274" s="31">
        <f>IF(OR($U274="",$G274&lt;=0),"",$G274-$A274/10000)</f>
        <v/>
      </c>
      <c r="S274" s="31">
        <f>IF(OR($U274="",$O274&lt;1),"",$O274*10^11+$I274+$J274+$K274-$A274/1000)</f>
        <v/>
      </c>
      <c r="T274" s="31">
        <f>IF($U274="","",IFERROR(MATCH(INDEX(매출원본!$AU$8:$AU$2007,$U274),거래처설정!$I$8:$I$407,0),""))</f>
        <v/>
      </c>
      <c r="U274" s="31">
        <f>IFERROR(MATCH(267,매출원본!$AW$8:$AW$2007,0),"")</f>
        <v/>
      </c>
      <c r="V274" s="31">
        <f>IF($U274="","",MAX(SUMIFS(매출원본!$AT$8:$AT$2007,매출원본!$AY$8:$AY$2007,$A274,매출원본!$AS$8:$AS$2007,"&gt;="&amp;(설정!$B$5-설정!$B$6),매출원본!$AS$8:$AS$2007,"&lt;="&amp;설정!$B$5),0))</f>
        <v/>
      </c>
      <c r="W274" s="31">
        <f>IF($U274="","",MAX($V274,SUMIFS(매출원본!$AT$8:$AT$2007,매출원본!$AY$8:$AY$2007,$A274,매출원본!$AS$8:$AS$2007,"&gt;="&amp;(설정!$B$5-설정!$B$7),매출원본!$AS$8:$AS$2007,"&lt;="&amp;설정!$B$5)))</f>
        <v/>
      </c>
      <c r="X274" s="31">
        <f>IF($U274="","",MAX($W274,SUMIFS(매출원본!$AT$8:$AT$2007,매출원본!$AY$8:$AY$2007,$A274,매출원본!$AS$8:$AS$2007,"&gt;="&amp;(설정!$B$5-설정!$B$8),매출원본!$AS$8:$AS$2007,"&lt;="&amp;설정!$B$5)))</f>
        <v/>
      </c>
      <c r="AC274" s="31">
        <f>IF(OR($U274="",$T274=""),"",INDEX(거래처설정!$J$8:$J$407,$T274))</f>
        <v/>
      </c>
      <c r="AD274" s="31">
        <f>IF(OR($U274="",$T274=""),"",INDEX(거래처설정!$K$8:$K$407,$T274))</f>
        <v/>
      </c>
      <c r="AE274" s="31">
        <f>IF($U274="","",IF(LEN(SUBSTITUTE(SUBSTITUTE(SUBSTITUTE(SUBSTITUTE(SUBSTITUTE(SUBSTITUTE(SUBSTITUTE(SUBSTITUTE(SUBSTITUTE($C274," ",""),"　",""),"(주)",""),"（주）",""),"㈜",""),"주식회사",""),"(유)",""),"（유）",""),"유한회사",""))&lt;2,"",SUBSTITUTE(SUBSTITUTE(SUBSTITUTE(SUBSTITUTE(SUBSTITUTE(SUBSTITUTE(SUBSTITUTE(SUBSTITUTE(SUBSTITUTE($C274," ",""),"　",""),"(주)",""),"（주）",""),"㈜",""),"주식회사",""),"(유)",""),"（유）",""),"유한회사","")))</f>
        <v/>
      </c>
    </row>
    <row r="275">
      <c r="A275" s="38">
        <f>IF($U275="","",268)</f>
        <v/>
      </c>
      <c r="B275" s="38">
        <f>IF($U275="","",IF(LEN(INDEX(매출원본!$AU$8:$AU$2007,$U275))=10,LEFT(INDEX(매출원본!$AU$8:$AU$2007,$U275),3)&amp;"-"&amp;MID(INDEX(매출원본!$AU$8:$AU$2007,$U275),4,2)&amp;"-"&amp;RIGHT(INDEX(매출원본!$AU$8:$AU$2007,$U275),5),IF(LEFT(INDEX(매출원본!$AU$8:$AU$2007,$U275),2)="N:","(번호 없음)",INDEX(매출원본!$AU$8:$AU$2007,$U275))))</f>
        <v/>
      </c>
      <c r="C275" s="38">
        <f>IF($U275="","",INDEX(매출원본!$AV$8:$AV$2007,$U275))</f>
        <v/>
      </c>
      <c r="D275" s="39">
        <f>IF($U275="","",IF($T275="",0,N(INDEX(거래처설정!$E$8:$E$407,$T275))))</f>
        <v/>
      </c>
      <c r="E275" s="39">
        <f>IF($U275="","",SUMIFS(매출원본!$AT$8:$AT$2007,매출원본!$AY$8:$AY$2007,$A275,매출원본!$AS$8:$AS$2007,"&lt;="&amp;설정!$B$5))</f>
        <v/>
      </c>
      <c r="F275" s="39">
        <f>IF($U275="","",SUMIFS(입금_은행1!$Z$8:$Z$2007,입금_은행1!$AC$8:$AC$2007,$A275,입금_은행1!$Y$8:$Y$2007,"&lt;="&amp;설정!$B$5)+SUMIFS(입금_은행2!$Z$8:$Z$2007,입금_은행2!$AC$8:$AC$2007,$A275,입금_은행2!$Y$8:$Y$2007,"&lt;="&amp;설정!$B$5))</f>
        <v/>
      </c>
      <c r="G275" s="39">
        <f>IF($U275="","",$D275+$E275-$F275)</f>
        <v/>
      </c>
      <c r="H275" s="39">
        <f>IF($U275="","",MIN(MAX($G275,0),$V275))</f>
        <v/>
      </c>
      <c r="I275" s="39">
        <f>IF($U275="","",MIN(MAX($G275,0),$W275)-MIN(MAX($G275,0),$V275))</f>
        <v/>
      </c>
      <c r="J275" s="39">
        <f>IF($U275="","",MIN(MAX($G275,0),$X275)-MIN(MAX($G275,0),$W275))</f>
        <v/>
      </c>
      <c r="K275" s="39">
        <f>IF($U275="","",MAX($G275,0)-MIN(MAX($G275,0),$X275))</f>
        <v/>
      </c>
      <c r="L275" s="40">
        <f>IF($U275="","",IF(MAX(SUMPRODUCT(MAX((입금_은행1!$AC$8:$AC$2007=$A275)*(입금_은행1!$AE$8:$AE$2007&lt;=설정!$B$5)*입금_은행1!$AE$8:$AE$2007)),SUMPRODUCT(MAX((입금_은행2!$AC$8:$AC$2007=$A275)*(입금_은행2!$AE$8:$AE$2007&lt;=설정!$B$5)*입금_은행2!$AE$8:$AE$2007)))=0,"",MAX(SUMPRODUCT(MAX((입금_은행1!$AC$8:$AC$2007=$A275)*(입금_은행1!$AE$8:$AE$2007&lt;=설정!$B$5)*입금_은행1!$AE$8:$AE$2007)),SUMPRODUCT(MAX((입금_은행2!$AC$8:$AC$2007=$A275)*(입금_은행2!$AE$8:$AE$2007&lt;=설정!$B$5)*입금_은행2!$AE$8:$AE$2007)))))</f>
        <v/>
      </c>
      <c r="M275" s="38">
        <f>IF($U275="","",IF($T275="","",IF(INDEX(거래처설정!$F$8:$F$407,$T275)="","",INDEX(거래처설정!$F$8:$F$407,$T275))))</f>
        <v/>
      </c>
      <c r="N275" s="38">
        <f>IF($U275="","",IF($T275="","",IF(INDEX(거래처설정!$G$8:$G$407,$T275)="","",INDEX(거래처설정!$G$8:$G$407,$T275))))</f>
        <v/>
      </c>
      <c r="O275" s="38">
        <f>IF($U275="","",IF($M275="제외",0,IF($K275&gt;=설정!$B$9,3,IF($J275+$K275&gt;=설정!$B$9,2,IF($I275+$J275+$K275&gt;=설정!$B$9,1,0)))))</f>
        <v/>
      </c>
      <c r="P275" s="38">
        <f>IF($U275="","",IF($M275="제외","제외(조치 상태)",IF($O275=3,"③ 강한 독촉 후보 ("&amp;설정!$B$8&amp;"일 초과)",IF($O275=2,"② 독촉 후보 ("&amp;설정!$B$7&amp;"일 초과)",IF($O275=1,"① 안내 후보 ("&amp;설정!$B$6&amp;"일 초과)",IF($G275&gt;0,IF($I275+$J275+$K275&gt;0,"오래된 잔액 있음 (최소 금액 미만)","정상 범위"),IF($G275&lt;0,"선수금·초과입금 — 확인","완납")))))))</f>
        <v/>
      </c>
      <c r="Q275" s="38">
        <f>IF($U275="","",IF($G275&lt;0,"입금이 매출보다 큼 — 선수금이거나 다른 거래처 입금이 섞였는지 확인",IF(AND($AE275&lt;&gt;"",COUNTIF($AE$8:$AE$307,"*"&amp;$AE275&amp;"*")&gt;1),"이름이 다른 거래처와 겹침 — 입금이 잘못 맞았을 수 있으니 별칭 확인",IF(AND($G275&gt;0,$F275=0),"입금 매칭 없음 — 입금자명이 다르면 [거래처설정]에 별칭 등록",""))))</f>
        <v/>
      </c>
      <c r="R275" s="31">
        <f>IF(OR($U275="",$G275&lt;=0),"",$G275-$A275/10000)</f>
        <v/>
      </c>
      <c r="S275" s="31">
        <f>IF(OR($U275="",$O275&lt;1),"",$O275*10^11+$I275+$J275+$K275-$A275/1000)</f>
        <v/>
      </c>
      <c r="T275" s="31">
        <f>IF($U275="","",IFERROR(MATCH(INDEX(매출원본!$AU$8:$AU$2007,$U275),거래처설정!$I$8:$I$407,0),""))</f>
        <v/>
      </c>
      <c r="U275" s="31">
        <f>IFERROR(MATCH(268,매출원본!$AW$8:$AW$2007,0),"")</f>
        <v/>
      </c>
      <c r="V275" s="31">
        <f>IF($U275="","",MAX(SUMIFS(매출원본!$AT$8:$AT$2007,매출원본!$AY$8:$AY$2007,$A275,매출원본!$AS$8:$AS$2007,"&gt;="&amp;(설정!$B$5-설정!$B$6),매출원본!$AS$8:$AS$2007,"&lt;="&amp;설정!$B$5),0))</f>
        <v/>
      </c>
      <c r="W275" s="31">
        <f>IF($U275="","",MAX($V275,SUMIFS(매출원본!$AT$8:$AT$2007,매출원본!$AY$8:$AY$2007,$A275,매출원본!$AS$8:$AS$2007,"&gt;="&amp;(설정!$B$5-설정!$B$7),매출원본!$AS$8:$AS$2007,"&lt;="&amp;설정!$B$5)))</f>
        <v/>
      </c>
      <c r="X275" s="31">
        <f>IF($U275="","",MAX($W275,SUMIFS(매출원본!$AT$8:$AT$2007,매출원본!$AY$8:$AY$2007,$A275,매출원본!$AS$8:$AS$2007,"&gt;="&amp;(설정!$B$5-설정!$B$8),매출원본!$AS$8:$AS$2007,"&lt;="&amp;설정!$B$5)))</f>
        <v/>
      </c>
      <c r="AC275" s="31">
        <f>IF(OR($U275="",$T275=""),"",INDEX(거래처설정!$J$8:$J$407,$T275))</f>
        <v/>
      </c>
      <c r="AD275" s="31">
        <f>IF(OR($U275="",$T275=""),"",INDEX(거래처설정!$K$8:$K$407,$T275))</f>
        <v/>
      </c>
      <c r="AE275" s="31">
        <f>IF($U275="","",IF(LEN(SUBSTITUTE(SUBSTITUTE(SUBSTITUTE(SUBSTITUTE(SUBSTITUTE(SUBSTITUTE(SUBSTITUTE(SUBSTITUTE(SUBSTITUTE($C275," ",""),"　",""),"(주)",""),"（주）",""),"㈜",""),"주식회사",""),"(유)",""),"（유）",""),"유한회사",""))&lt;2,"",SUBSTITUTE(SUBSTITUTE(SUBSTITUTE(SUBSTITUTE(SUBSTITUTE(SUBSTITUTE(SUBSTITUTE(SUBSTITUTE(SUBSTITUTE($C275," ",""),"　",""),"(주)",""),"（주）",""),"㈜",""),"주식회사",""),"(유)",""),"（유）",""),"유한회사","")))</f>
        <v/>
      </c>
    </row>
    <row r="276">
      <c r="A276" s="38">
        <f>IF($U276="","",269)</f>
        <v/>
      </c>
      <c r="B276" s="38">
        <f>IF($U276="","",IF(LEN(INDEX(매출원본!$AU$8:$AU$2007,$U276))=10,LEFT(INDEX(매출원본!$AU$8:$AU$2007,$U276),3)&amp;"-"&amp;MID(INDEX(매출원본!$AU$8:$AU$2007,$U276),4,2)&amp;"-"&amp;RIGHT(INDEX(매출원본!$AU$8:$AU$2007,$U276),5),IF(LEFT(INDEX(매출원본!$AU$8:$AU$2007,$U276),2)="N:","(번호 없음)",INDEX(매출원본!$AU$8:$AU$2007,$U276))))</f>
        <v/>
      </c>
      <c r="C276" s="38">
        <f>IF($U276="","",INDEX(매출원본!$AV$8:$AV$2007,$U276))</f>
        <v/>
      </c>
      <c r="D276" s="39">
        <f>IF($U276="","",IF($T276="",0,N(INDEX(거래처설정!$E$8:$E$407,$T276))))</f>
        <v/>
      </c>
      <c r="E276" s="39">
        <f>IF($U276="","",SUMIFS(매출원본!$AT$8:$AT$2007,매출원본!$AY$8:$AY$2007,$A276,매출원본!$AS$8:$AS$2007,"&lt;="&amp;설정!$B$5))</f>
        <v/>
      </c>
      <c r="F276" s="39">
        <f>IF($U276="","",SUMIFS(입금_은행1!$Z$8:$Z$2007,입금_은행1!$AC$8:$AC$2007,$A276,입금_은행1!$Y$8:$Y$2007,"&lt;="&amp;설정!$B$5)+SUMIFS(입금_은행2!$Z$8:$Z$2007,입금_은행2!$AC$8:$AC$2007,$A276,입금_은행2!$Y$8:$Y$2007,"&lt;="&amp;설정!$B$5))</f>
        <v/>
      </c>
      <c r="G276" s="39">
        <f>IF($U276="","",$D276+$E276-$F276)</f>
        <v/>
      </c>
      <c r="H276" s="39">
        <f>IF($U276="","",MIN(MAX($G276,0),$V276))</f>
        <v/>
      </c>
      <c r="I276" s="39">
        <f>IF($U276="","",MIN(MAX($G276,0),$W276)-MIN(MAX($G276,0),$V276))</f>
        <v/>
      </c>
      <c r="J276" s="39">
        <f>IF($U276="","",MIN(MAX($G276,0),$X276)-MIN(MAX($G276,0),$W276))</f>
        <v/>
      </c>
      <c r="K276" s="39">
        <f>IF($U276="","",MAX($G276,0)-MIN(MAX($G276,0),$X276))</f>
        <v/>
      </c>
      <c r="L276" s="40">
        <f>IF($U276="","",IF(MAX(SUMPRODUCT(MAX((입금_은행1!$AC$8:$AC$2007=$A276)*(입금_은행1!$AE$8:$AE$2007&lt;=설정!$B$5)*입금_은행1!$AE$8:$AE$2007)),SUMPRODUCT(MAX((입금_은행2!$AC$8:$AC$2007=$A276)*(입금_은행2!$AE$8:$AE$2007&lt;=설정!$B$5)*입금_은행2!$AE$8:$AE$2007)))=0,"",MAX(SUMPRODUCT(MAX((입금_은행1!$AC$8:$AC$2007=$A276)*(입금_은행1!$AE$8:$AE$2007&lt;=설정!$B$5)*입금_은행1!$AE$8:$AE$2007)),SUMPRODUCT(MAX((입금_은행2!$AC$8:$AC$2007=$A276)*(입금_은행2!$AE$8:$AE$2007&lt;=설정!$B$5)*입금_은행2!$AE$8:$AE$2007)))))</f>
        <v/>
      </c>
      <c r="M276" s="38">
        <f>IF($U276="","",IF($T276="","",IF(INDEX(거래처설정!$F$8:$F$407,$T276)="","",INDEX(거래처설정!$F$8:$F$407,$T276))))</f>
        <v/>
      </c>
      <c r="N276" s="38">
        <f>IF($U276="","",IF($T276="","",IF(INDEX(거래처설정!$G$8:$G$407,$T276)="","",INDEX(거래처설정!$G$8:$G$407,$T276))))</f>
        <v/>
      </c>
      <c r="O276" s="38">
        <f>IF($U276="","",IF($M276="제외",0,IF($K276&gt;=설정!$B$9,3,IF($J276+$K276&gt;=설정!$B$9,2,IF($I276+$J276+$K276&gt;=설정!$B$9,1,0)))))</f>
        <v/>
      </c>
      <c r="P276" s="38">
        <f>IF($U276="","",IF($M276="제외","제외(조치 상태)",IF($O276=3,"③ 강한 독촉 후보 ("&amp;설정!$B$8&amp;"일 초과)",IF($O276=2,"② 독촉 후보 ("&amp;설정!$B$7&amp;"일 초과)",IF($O276=1,"① 안내 후보 ("&amp;설정!$B$6&amp;"일 초과)",IF($G276&gt;0,IF($I276+$J276+$K276&gt;0,"오래된 잔액 있음 (최소 금액 미만)","정상 범위"),IF($G276&lt;0,"선수금·초과입금 — 확인","완납")))))))</f>
        <v/>
      </c>
      <c r="Q276" s="38">
        <f>IF($U276="","",IF($G276&lt;0,"입금이 매출보다 큼 — 선수금이거나 다른 거래처 입금이 섞였는지 확인",IF(AND($AE276&lt;&gt;"",COUNTIF($AE$8:$AE$307,"*"&amp;$AE276&amp;"*")&gt;1),"이름이 다른 거래처와 겹침 — 입금이 잘못 맞았을 수 있으니 별칭 확인",IF(AND($G276&gt;0,$F276=0),"입금 매칭 없음 — 입금자명이 다르면 [거래처설정]에 별칭 등록",""))))</f>
        <v/>
      </c>
      <c r="R276" s="31">
        <f>IF(OR($U276="",$G276&lt;=0),"",$G276-$A276/10000)</f>
        <v/>
      </c>
      <c r="S276" s="31">
        <f>IF(OR($U276="",$O276&lt;1),"",$O276*10^11+$I276+$J276+$K276-$A276/1000)</f>
        <v/>
      </c>
      <c r="T276" s="31">
        <f>IF($U276="","",IFERROR(MATCH(INDEX(매출원본!$AU$8:$AU$2007,$U276),거래처설정!$I$8:$I$407,0),""))</f>
        <v/>
      </c>
      <c r="U276" s="31">
        <f>IFERROR(MATCH(269,매출원본!$AW$8:$AW$2007,0),"")</f>
        <v/>
      </c>
      <c r="V276" s="31">
        <f>IF($U276="","",MAX(SUMIFS(매출원본!$AT$8:$AT$2007,매출원본!$AY$8:$AY$2007,$A276,매출원본!$AS$8:$AS$2007,"&gt;="&amp;(설정!$B$5-설정!$B$6),매출원본!$AS$8:$AS$2007,"&lt;="&amp;설정!$B$5),0))</f>
        <v/>
      </c>
      <c r="W276" s="31">
        <f>IF($U276="","",MAX($V276,SUMIFS(매출원본!$AT$8:$AT$2007,매출원본!$AY$8:$AY$2007,$A276,매출원본!$AS$8:$AS$2007,"&gt;="&amp;(설정!$B$5-설정!$B$7),매출원본!$AS$8:$AS$2007,"&lt;="&amp;설정!$B$5)))</f>
        <v/>
      </c>
      <c r="X276" s="31">
        <f>IF($U276="","",MAX($W276,SUMIFS(매출원본!$AT$8:$AT$2007,매출원본!$AY$8:$AY$2007,$A276,매출원본!$AS$8:$AS$2007,"&gt;="&amp;(설정!$B$5-설정!$B$8),매출원본!$AS$8:$AS$2007,"&lt;="&amp;설정!$B$5)))</f>
        <v/>
      </c>
      <c r="AC276" s="31">
        <f>IF(OR($U276="",$T276=""),"",INDEX(거래처설정!$J$8:$J$407,$T276))</f>
        <v/>
      </c>
      <c r="AD276" s="31">
        <f>IF(OR($U276="",$T276=""),"",INDEX(거래처설정!$K$8:$K$407,$T276))</f>
        <v/>
      </c>
      <c r="AE276" s="31">
        <f>IF($U276="","",IF(LEN(SUBSTITUTE(SUBSTITUTE(SUBSTITUTE(SUBSTITUTE(SUBSTITUTE(SUBSTITUTE(SUBSTITUTE(SUBSTITUTE(SUBSTITUTE($C276," ",""),"　",""),"(주)",""),"（주）",""),"㈜",""),"주식회사",""),"(유)",""),"（유）",""),"유한회사",""))&lt;2,"",SUBSTITUTE(SUBSTITUTE(SUBSTITUTE(SUBSTITUTE(SUBSTITUTE(SUBSTITUTE(SUBSTITUTE(SUBSTITUTE(SUBSTITUTE($C276," ",""),"　",""),"(주)",""),"（주）",""),"㈜",""),"주식회사",""),"(유)",""),"（유）",""),"유한회사","")))</f>
        <v/>
      </c>
    </row>
    <row r="277">
      <c r="A277" s="38">
        <f>IF($U277="","",270)</f>
        <v/>
      </c>
      <c r="B277" s="38">
        <f>IF($U277="","",IF(LEN(INDEX(매출원본!$AU$8:$AU$2007,$U277))=10,LEFT(INDEX(매출원본!$AU$8:$AU$2007,$U277),3)&amp;"-"&amp;MID(INDEX(매출원본!$AU$8:$AU$2007,$U277),4,2)&amp;"-"&amp;RIGHT(INDEX(매출원본!$AU$8:$AU$2007,$U277),5),IF(LEFT(INDEX(매출원본!$AU$8:$AU$2007,$U277),2)="N:","(번호 없음)",INDEX(매출원본!$AU$8:$AU$2007,$U277))))</f>
        <v/>
      </c>
      <c r="C277" s="38">
        <f>IF($U277="","",INDEX(매출원본!$AV$8:$AV$2007,$U277))</f>
        <v/>
      </c>
      <c r="D277" s="39">
        <f>IF($U277="","",IF($T277="",0,N(INDEX(거래처설정!$E$8:$E$407,$T277))))</f>
        <v/>
      </c>
      <c r="E277" s="39">
        <f>IF($U277="","",SUMIFS(매출원본!$AT$8:$AT$2007,매출원본!$AY$8:$AY$2007,$A277,매출원본!$AS$8:$AS$2007,"&lt;="&amp;설정!$B$5))</f>
        <v/>
      </c>
      <c r="F277" s="39">
        <f>IF($U277="","",SUMIFS(입금_은행1!$Z$8:$Z$2007,입금_은행1!$AC$8:$AC$2007,$A277,입금_은행1!$Y$8:$Y$2007,"&lt;="&amp;설정!$B$5)+SUMIFS(입금_은행2!$Z$8:$Z$2007,입금_은행2!$AC$8:$AC$2007,$A277,입금_은행2!$Y$8:$Y$2007,"&lt;="&amp;설정!$B$5))</f>
        <v/>
      </c>
      <c r="G277" s="39">
        <f>IF($U277="","",$D277+$E277-$F277)</f>
        <v/>
      </c>
      <c r="H277" s="39">
        <f>IF($U277="","",MIN(MAX($G277,0),$V277))</f>
        <v/>
      </c>
      <c r="I277" s="39">
        <f>IF($U277="","",MIN(MAX($G277,0),$W277)-MIN(MAX($G277,0),$V277))</f>
        <v/>
      </c>
      <c r="J277" s="39">
        <f>IF($U277="","",MIN(MAX($G277,0),$X277)-MIN(MAX($G277,0),$W277))</f>
        <v/>
      </c>
      <c r="K277" s="39">
        <f>IF($U277="","",MAX($G277,0)-MIN(MAX($G277,0),$X277))</f>
        <v/>
      </c>
      <c r="L277" s="40">
        <f>IF($U277="","",IF(MAX(SUMPRODUCT(MAX((입금_은행1!$AC$8:$AC$2007=$A277)*(입금_은행1!$AE$8:$AE$2007&lt;=설정!$B$5)*입금_은행1!$AE$8:$AE$2007)),SUMPRODUCT(MAX((입금_은행2!$AC$8:$AC$2007=$A277)*(입금_은행2!$AE$8:$AE$2007&lt;=설정!$B$5)*입금_은행2!$AE$8:$AE$2007)))=0,"",MAX(SUMPRODUCT(MAX((입금_은행1!$AC$8:$AC$2007=$A277)*(입금_은행1!$AE$8:$AE$2007&lt;=설정!$B$5)*입금_은행1!$AE$8:$AE$2007)),SUMPRODUCT(MAX((입금_은행2!$AC$8:$AC$2007=$A277)*(입금_은행2!$AE$8:$AE$2007&lt;=설정!$B$5)*입금_은행2!$AE$8:$AE$2007)))))</f>
        <v/>
      </c>
      <c r="M277" s="38">
        <f>IF($U277="","",IF($T277="","",IF(INDEX(거래처설정!$F$8:$F$407,$T277)="","",INDEX(거래처설정!$F$8:$F$407,$T277))))</f>
        <v/>
      </c>
      <c r="N277" s="38">
        <f>IF($U277="","",IF($T277="","",IF(INDEX(거래처설정!$G$8:$G$407,$T277)="","",INDEX(거래처설정!$G$8:$G$407,$T277))))</f>
        <v/>
      </c>
      <c r="O277" s="38">
        <f>IF($U277="","",IF($M277="제외",0,IF($K277&gt;=설정!$B$9,3,IF($J277+$K277&gt;=설정!$B$9,2,IF($I277+$J277+$K277&gt;=설정!$B$9,1,0)))))</f>
        <v/>
      </c>
      <c r="P277" s="38">
        <f>IF($U277="","",IF($M277="제외","제외(조치 상태)",IF($O277=3,"③ 강한 독촉 후보 ("&amp;설정!$B$8&amp;"일 초과)",IF($O277=2,"② 독촉 후보 ("&amp;설정!$B$7&amp;"일 초과)",IF($O277=1,"① 안내 후보 ("&amp;설정!$B$6&amp;"일 초과)",IF($G277&gt;0,IF($I277+$J277+$K277&gt;0,"오래된 잔액 있음 (최소 금액 미만)","정상 범위"),IF($G277&lt;0,"선수금·초과입금 — 확인","완납")))))))</f>
        <v/>
      </c>
      <c r="Q277" s="38">
        <f>IF($U277="","",IF($G277&lt;0,"입금이 매출보다 큼 — 선수금이거나 다른 거래처 입금이 섞였는지 확인",IF(AND($AE277&lt;&gt;"",COUNTIF($AE$8:$AE$307,"*"&amp;$AE277&amp;"*")&gt;1),"이름이 다른 거래처와 겹침 — 입금이 잘못 맞았을 수 있으니 별칭 확인",IF(AND($G277&gt;0,$F277=0),"입금 매칭 없음 — 입금자명이 다르면 [거래처설정]에 별칭 등록",""))))</f>
        <v/>
      </c>
      <c r="R277" s="31">
        <f>IF(OR($U277="",$G277&lt;=0),"",$G277-$A277/10000)</f>
        <v/>
      </c>
      <c r="S277" s="31">
        <f>IF(OR($U277="",$O277&lt;1),"",$O277*10^11+$I277+$J277+$K277-$A277/1000)</f>
        <v/>
      </c>
      <c r="T277" s="31">
        <f>IF($U277="","",IFERROR(MATCH(INDEX(매출원본!$AU$8:$AU$2007,$U277),거래처설정!$I$8:$I$407,0),""))</f>
        <v/>
      </c>
      <c r="U277" s="31">
        <f>IFERROR(MATCH(270,매출원본!$AW$8:$AW$2007,0),"")</f>
        <v/>
      </c>
      <c r="V277" s="31">
        <f>IF($U277="","",MAX(SUMIFS(매출원본!$AT$8:$AT$2007,매출원본!$AY$8:$AY$2007,$A277,매출원본!$AS$8:$AS$2007,"&gt;="&amp;(설정!$B$5-설정!$B$6),매출원본!$AS$8:$AS$2007,"&lt;="&amp;설정!$B$5),0))</f>
        <v/>
      </c>
      <c r="W277" s="31">
        <f>IF($U277="","",MAX($V277,SUMIFS(매출원본!$AT$8:$AT$2007,매출원본!$AY$8:$AY$2007,$A277,매출원본!$AS$8:$AS$2007,"&gt;="&amp;(설정!$B$5-설정!$B$7),매출원본!$AS$8:$AS$2007,"&lt;="&amp;설정!$B$5)))</f>
        <v/>
      </c>
      <c r="X277" s="31">
        <f>IF($U277="","",MAX($W277,SUMIFS(매출원본!$AT$8:$AT$2007,매출원본!$AY$8:$AY$2007,$A277,매출원본!$AS$8:$AS$2007,"&gt;="&amp;(설정!$B$5-설정!$B$8),매출원본!$AS$8:$AS$2007,"&lt;="&amp;설정!$B$5)))</f>
        <v/>
      </c>
      <c r="AC277" s="31">
        <f>IF(OR($U277="",$T277=""),"",INDEX(거래처설정!$J$8:$J$407,$T277))</f>
        <v/>
      </c>
      <c r="AD277" s="31">
        <f>IF(OR($U277="",$T277=""),"",INDEX(거래처설정!$K$8:$K$407,$T277))</f>
        <v/>
      </c>
      <c r="AE277" s="31">
        <f>IF($U277="","",IF(LEN(SUBSTITUTE(SUBSTITUTE(SUBSTITUTE(SUBSTITUTE(SUBSTITUTE(SUBSTITUTE(SUBSTITUTE(SUBSTITUTE(SUBSTITUTE($C277," ",""),"　",""),"(주)",""),"（주）",""),"㈜",""),"주식회사",""),"(유)",""),"（유）",""),"유한회사",""))&lt;2,"",SUBSTITUTE(SUBSTITUTE(SUBSTITUTE(SUBSTITUTE(SUBSTITUTE(SUBSTITUTE(SUBSTITUTE(SUBSTITUTE(SUBSTITUTE($C277," ",""),"　",""),"(주)",""),"（주）",""),"㈜",""),"주식회사",""),"(유)",""),"（유）",""),"유한회사","")))</f>
        <v/>
      </c>
    </row>
    <row r="278">
      <c r="A278" s="38">
        <f>IF($U278="","",271)</f>
        <v/>
      </c>
      <c r="B278" s="38">
        <f>IF($U278="","",IF(LEN(INDEX(매출원본!$AU$8:$AU$2007,$U278))=10,LEFT(INDEX(매출원본!$AU$8:$AU$2007,$U278),3)&amp;"-"&amp;MID(INDEX(매출원본!$AU$8:$AU$2007,$U278),4,2)&amp;"-"&amp;RIGHT(INDEX(매출원본!$AU$8:$AU$2007,$U278),5),IF(LEFT(INDEX(매출원본!$AU$8:$AU$2007,$U278),2)="N:","(번호 없음)",INDEX(매출원본!$AU$8:$AU$2007,$U278))))</f>
        <v/>
      </c>
      <c r="C278" s="38">
        <f>IF($U278="","",INDEX(매출원본!$AV$8:$AV$2007,$U278))</f>
        <v/>
      </c>
      <c r="D278" s="39">
        <f>IF($U278="","",IF($T278="",0,N(INDEX(거래처설정!$E$8:$E$407,$T278))))</f>
        <v/>
      </c>
      <c r="E278" s="39">
        <f>IF($U278="","",SUMIFS(매출원본!$AT$8:$AT$2007,매출원본!$AY$8:$AY$2007,$A278,매출원본!$AS$8:$AS$2007,"&lt;="&amp;설정!$B$5))</f>
        <v/>
      </c>
      <c r="F278" s="39">
        <f>IF($U278="","",SUMIFS(입금_은행1!$Z$8:$Z$2007,입금_은행1!$AC$8:$AC$2007,$A278,입금_은행1!$Y$8:$Y$2007,"&lt;="&amp;설정!$B$5)+SUMIFS(입금_은행2!$Z$8:$Z$2007,입금_은행2!$AC$8:$AC$2007,$A278,입금_은행2!$Y$8:$Y$2007,"&lt;="&amp;설정!$B$5))</f>
        <v/>
      </c>
      <c r="G278" s="39">
        <f>IF($U278="","",$D278+$E278-$F278)</f>
        <v/>
      </c>
      <c r="H278" s="39">
        <f>IF($U278="","",MIN(MAX($G278,0),$V278))</f>
        <v/>
      </c>
      <c r="I278" s="39">
        <f>IF($U278="","",MIN(MAX($G278,0),$W278)-MIN(MAX($G278,0),$V278))</f>
        <v/>
      </c>
      <c r="J278" s="39">
        <f>IF($U278="","",MIN(MAX($G278,0),$X278)-MIN(MAX($G278,0),$W278))</f>
        <v/>
      </c>
      <c r="K278" s="39">
        <f>IF($U278="","",MAX($G278,0)-MIN(MAX($G278,0),$X278))</f>
        <v/>
      </c>
      <c r="L278" s="40">
        <f>IF($U278="","",IF(MAX(SUMPRODUCT(MAX((입금_은행1!$AC$8:$AC$2007=$A278)*(입금_은행1!$AE$8:$AE$2007&lt;=설정!$B$5)*입금_은행1!$AE$8:$AE$2007)),SUMPRODUCT(MAX((입금_은행2!$AC$8:$AC$2007=$A278)*(입금_은행2!$AE$8:$AE$2007&lt;=설정!$B$5)*입금_은행2!$AE$8:$AE$2007)))=0,"",MAX(SUMPRODUCT(MAX((입금_은행1!$AC$8:$AC$2007=$A278)*(입금_은행1!$AE$8:$AE$2007&lt;=설정!$B$5)*입금_은행1!$AE$8:$AE$2007)),SUMPRODUCT(MAX((입금_은행2!$AC$8:$AC$2007=$A278)*(입금_은행2!$AE$8:$AE$2007&lt;=설정!$B$5)*입금_은행2!$AE$8:$AE$2007)))))</f>
        <v/>
      </c>
      <c r="M278" s="38">
        <f>IF($U278="","",IF($T278="","",IF(INDEX(거래처설정!$F$8:$F$407,$T278)="","",INDEX(거래처설정!$F$8:$F$407,$T278))))</f>
        <v/>
      </c>
      <c r="N278" s="38">
        <f>IF($U278="","",IF($T278="","",IF(INDEX(거래처설정!$G$8:$G$407,$T278)="","",INDEX(거래처설정!$G$8:$G$407,$T278))))</f>
        <v/>
      </c>
      <c r="O278" s="38">
        <f>IF($U278="","",IF($M278="제외",0,IF($K278&gt;=설정!$B$9,3,IF($J278+$K278&gt;=설정!$B$9,2,IF($I278+$J278+$K278&gt;=설정!$B$9,1,0)))))</f>
        <v/>
      </c>
      <c r="P278" s="38">
        <f>IF($U278="","",IF($M278="제외","제외(조치 상태)",IF($O278=3,"③ 강한 독촉 후보 ("&amp;설정!$B$8&amp;"일 초과)",IF($O278=2,"② 독촉 후보 ("&amp;설정!$B$7&amp;"일 초과)",IF($O278=1,"① 안내 후보 ("&amp;설정!$B$6&amp;"일 초과)",IF($G278&gt;0,IF($I278+$J278+$K278&gt;0,"오래된 잔액 있음 (최소 금액 미만)","정상 범위"),IF($G278&lt;0,"선수금·초과입금 — 확인","완납")))))))</f>
        <v/>
      </c>
      <c r="Q278" s="38">
        <f>IF($U278="","",IF($G278&lt;0,"입금이 매출보다 큼 — 선수금이거나 다른 거래처 입금이 섞였는지 확인",IF(AND($AE278&lt;&gt;"",COUNTIF($AE$8:$AE$307,"*"&amp;$AE278&amp;"*")&gt;1),"이름이 다른 거래처와 겹침 — 입금이 잘못 맞았을 수 있으니 별칭 확인",IF(AND($G278&gt;0,$F278=0),"입금 매칭 없음 — 입금자명이 다르면 [거래처설정]에 별칭 등록",""))))</f>
        <v/>
      </c>
      <c r="R278" s="31">
        <f>IF(OR($U278="",$G278&lt;=0),"",$G278-$A278/10000)</f>
        <v/>
      </c>
      <c r="S278" s="31">
        <f>IF(OR($U278="",$O278&lt;1),"",$O278*10^11+$I278+$J278+$K278-$A278/1000)</f>
        <v/>
      </c>
      <c r="T278" s="31">
        <f>IF($U278="","",IFERROR(MATCH(INDEX(매출원본!$AU$8:$AU$2007,$U278),거래처설정!$I$8:$I$407,0),""))</f>
        <v/>
      </c>
      <c r="U278" s="31">
        <f>IFERROR(MATCH(271,매출원본!$AW$8:$AW$2007,0),"")</f>
        <v/>
      </c>
      <c r="V278" s="31">
        <f>IF($U278="","",MAX(SUMIFS(매출원본!$AT$8:$AT$2007,매출원본!$AY$8:$AY$2007,$A278,매출원본!$AS$8:$AS$2007,"&gt;="&amp;(설정!$B$5-설정!$B$6),매출원본!$AS$8:$AS$2007,"&lt;="&amp;설정!$B$5),0))</f>
        <v/>
      </c>
      <c r="W278" s="31">
        <f>IF($U278="","",MAX($V278,SUMIFS(매출원본!$AT$8:$AT$2007,매출원본!$AY$8:$AY$2007,$A278,매출원본!$AS$8:$AS$2007,"&gt;="&amp;(설정!$B$5-설정!$B$7),매출원본!$AS$8:$AS$2007,"&lt;="&amp;설정!$B$5)))</f>
        <v/>
      </c>
      <c r="X278" s="31">
        <f>IF($U278="","",MAX($W278,SUMIFS(매출원본!$AT$8:$AT$2007,매출원본!$AY$8:$AY$2007,$A278,매출원본!$AS$8:$AS$2007,"&gt;="&amp;(설정!$B$5-설정!$B$8),매출원본!$AS$8:$AS$2007,"&lt;="&amp;설정!$B$5)))</f>
        <v/>
      </c>
      <c r="AC278" s="31">
        <f>IF(OR($U278="",$T278=""),"",INDEX(거래처설정!$J$8:$J$407,$T278))</f>
        <v/>
      </c>
      <c r="AD278" s="31">
        <f>IF(OR($U278="",$T278=""),"",INDEX(거래처설정!$K$8:$K$407,$T278))</f>
        <v/>
      </c>
      <c r="AE278" s="31">
        <f>IF($U278="","",IF(LEN(SUBSTITUTE(SUBSTITUTE(SUBSTITUTE(SUBSTITUTE(SUBSTITUTE(SUBSTITUTE(SUBSTITUTE(SUBSTITUTE(SUBSTITUTE($C278," ",""),"　",""),"(주)",""),"（주）",""),"㈜",""),"주식회사",""),"(유)",""),"（유）",""),"유한회사",""))&lt;2,"",SUBSTITUTE(SUBSTITUTE(SUBSTITUTE(SUBSTITUTE(SUBSTITUTE(SUBSTITUTE(SUBSTITUTE(SUBSTITUTE(SUBSTITUTE($C278," ",""),"　",""),"(주)",""),"（주）",""),"㈜",""),"주식회사",""),"(유)",""),"（유）",""),"유한회사","")))</f>
        <v/>
      </c>
    </row>
    <row r="279">
      <c r="A279" s="38">
        <f>IF($U279="","",272)</f>
        <v/>
      </c>
      <c r="B279" s="38">
        <f>IF($U279="","",IF(LEN(INDEX(매출원본!$AU$8:$AU$2007,$U279))=10,LEFT(INDEX(매출원본!$AU$8:$AU$2007,$U279),3)&amp;"-"&amp;MID(INDEX(매출원본!$AU$8:$AU$2007,$U279),4,2)&amp;"-"&amp;RIGHT(INDEX(매출원본!$AU$8:$AU$2007,$U279),5),IF(LEFT(INDEX(매출원본!$AU$8:$AU$2007,$U279),2)="N:","(번호 없음)",INDEX(매출원본!$AU$8:$AU$2007,$U279))))</f>
        <v/>
      </c>
      <c r="C279" s="38">
        <f>IF($U279="","",INDEX(매출원본!$AV$8:$AV$2007,$U279))</f>
        <v/>
      </c>
      <c r="D279" s="39">
        <f>IF($U279="","",IF($T279="",0,N(INDEX(거래처설정!$E$8:$E$407,$T279))))</f>
        <v/>
      </c>
      <c r="E279" s="39">
        <f>IF($U279="","",SUMIFS(매출원본!$AT$8:$AT$2007,매출원본!$AY$8:$AY$2007,$A279,매출원본!$AS$8:$AS$2007,"&lt;="&amp;설정!$B$5))</f>
        <v/>
      </c>
      <c r="F279" s="39">
        <f>IF($U279="","",SUMIFS(입금_은행1!$Z$8:$Z$2007,입금_은행1!$AC$8:$AC$2007,$A279,입금_은행1!$Y$8:$Y$2007,"&lt;="&amp;설정!$B$5)+SUMIFS(입금_은행2!$Z$8:$Z$2007,입금_은행2!$AC$8:$AC$2007,$A279,입금_은행2!$Y$8:$Y$2007,"&lt;="&amp;설정!$B$5))</f>
        <v/>
      </c>
      <c r="G279" s="39">
        <f>IF($U279="","",$D279+$E279-$F279)</f>
        <v/>
      </c>
      <c r="H279" s="39">
        <f>IF($U279="","",MIN(MAX($G279,0),$V279))</f>
        <v/>
      </c>
      <c r="I279" s="39">
        <f>IF($U279="","",MIN(MAX($G279,0),$W279)-MIN(MAX($G279,0),$V279))</f>
        <v/>
      </c>
      <c r="J279" s="39">
        <f>IF($U279="","",MIN(MAX($G279,0),$X279)-MIN(MAX($G279,0),$W279))</f>
        <v/>
      </c>
      <c r="K279" s="39">
        <f>IF($U279="","",MAX($G279,0)-MIN(MAX($G279,0),$X279))</f>
        <v/>
      </c>
      <c r="L279" s="40">
        <f>IF($U279="","",IF(MAX(SUMPRODUCT(MAX((입금_은행1!$AC$8:$AC$2007=$A279)*(입금_은행1!$AE$8:$AE$2007&lt;=설정!$B$5)*입금_은행1!$AE$8:$AE$2007)),SUMPRODUCT(MAX((입금_은행2!$AC$8:$AC$2007=$A279)*(입금_은행2!$AE$8:$AE$2007&lt;=설정!$B$5)*입금_은행2!$AE$8:$AE$2007)))=0,"",MAX(SUMPRODUCT(MAX((입금_은행1!$AC$8:$AC$2007=$A279)*(입금_은행1!$AE$8:$AE$2007&lt;=설정!$B$5)*입금_은행1!$AE$8:$AE$2007)),SUMPRODUCT(MAX((입금_은행2!$AC$8:$AC$2007=$A279)*(입금_은행2!$AE$8:$AE$2007&lt;=설정!$B$5)*입금_은행2!$AE$8:$AE$2007)))))</f>
        <v/>
      </c>
      <c r="M279" s="38">
        <f>IF($U279="","",IF($T279="","",IF(INDEX(거래처설정!$F$8:$F$407,$T279)="","",INDEX(거래처설정!$F$8:$F$407,$T279))))</f>
        <v/>
      </c>
      <c r="N279" s="38">
        <f>IF($U279="","",IF($T279="","",IF(INDEX(거래처설정!$G$8:$G$407,$T279)="","",INDEX(거래처설정!$G$8:$G$407,$T279))))</f>
        <v/>
      </c>
      <c r="O279" s="38">
        <f>IF($U279="","",IF($M279="제외",0,IF($K279&gt;=설정!$B$9,3,IF($J279+$K279&gt;=설정!$B$9,2,IF($I279+$J279+$K279&gt;=설정!$B$9,1,0)))))</f>
        <v/>
      </c>
      <c r="P279" s="38">
        <f>IF($U279="","",IF($M279="제외","제외(조치 상태)",IF($O279=3,"③ 강한 독촉 후보 ("&amp;설정!$B$8&amp;"일 초과)",IF($O279=2,"② 독촉 후보 ("&amp;설정!$B$7&amp;"일 초과)",IF($O279=1,"① 안내 후보 ("&amp;설정!$B$6&amp;"일 초과)",IF($G279&gt;0,IF($I279+$J279+$K279&gt;0,"오래된 잔액 있음 (최소 금액 미만)","정상 범위"),IF($G279&lt;0,"선수금·초과입금 — 확인","완납")))))))</f>
        <v/>
      </c>
      <c r="Q279" s="38">
        <f>IF($U279="","",IF($G279&lt;0,"입금이 매출보다 큼 — 선수금이거나 다른 거래처 입금이 섞였는지 확인",IF(AND($AE279&lt;&gt;"",COUNTIF($AE$8:$AE$307,"*"&amp;$AE279&amp;"*")&gt;1),"이름이 다른 거래처와 겹침 — 입금이 잘못 맞았을 수 있으니 별칭 확인",IF(AND($G279&gt;0,$F279=0),"입금 매칭 없음 — 입금자명이 다르면 [거래처설정]에 별칭 등록",""))))</f>
        <v/>
      </c>
      <c r="R279" s="31">
        <f>IF(OR($U279="",$G279&lt;=0),"",$G279-$A279/10000)</f>
        <v/>
      </c>
      <c r="S279" s="31">
        <f>IF(OR($U279="",$O279&lt;1),"",$O279*10^11+$I279+$J279+$K279-$A279/1000)</f>
        <v/>
      </c>
      <c r="T279" s="31">
        <f>IF($U279="","",IFERROR(MATCH(INDEX(매출원본!$AU$8:$AU$2007,$U279),거래처설정!$I$8:$I$407,0),""))</f>
        <v/>
      </c>
      <c r="U279" s="31">
        <f>IFERROR(MATCH(272,매출원본!$AW$8:$AW$2007,0),"")</f>
        <v/>
      </c>
      <c r="V279" s="31">
        <f>IF($U279="","",MAX(SUMIFS(매출원본!$AT$8:$AT$2007,매출원본!$AY$8:$AY$2007,$A279,매출원본!$AS$8:$AS$2007,"&gt;="&amp;(설정!$B$5-설정!$B$6),매출원본!$AS$8:$AS$2007,"&lt;="&amp;설정!$B$5),0))</f>
        <v/>
      </c>
      <c r="W279" s="31">
        <f>IF($U279="","",MAX($V279,SUMIFS(매출원본!$AT$8:$AT$2007,매출원본!$AY$8:$AY$2007,$A279,매출원본!$AS$8:$AS$2007,"&gt;="&amp;(설정!$B$5-설정!$B$7),매출원본!$AS$8:$AS$2007,"&lt;="&amp;설정!$B$5)))</f>
        <v/>
      </c>
      <c r="X279" s="31">
        <f>IF($U279="","",MAX($W279,SUMIFS(매출원본!$AT$8:$AT$2007,매출원본!$AY$8:$AY$2007,$A279,매출원본!$AS$8:$AS$2007,"&gt;="&amp;(설정!$B$5-설정!$B$8),매출원본!$AS$8:$AS$2007,"&lt;="&amp;설정!$B$5)))</f>
        <v/>
      </c>
      <c r="AC279" s="31">
        <f>IF(OR($U279="",$T279=""),"",INDEX(거래처설정!$J$8:$J$407,$T279))</f>
        <v/>
      </c>
      <c r="AD279" s="31">
        <f>IF(OR($U279="",$T279=""),"",INDEX(거래처설정!$K$8:$K$407,$T279))</f>
        <v/>
      </c>
      <c r="AE279" s="31">
        <f>IF($U279="","",IF(LEN(SUBSTITUTE(SUBSTITUTE(SUBSTITUTE(SUBSTITUTE(SUBSTITUTE(SUBSTITUTE(SUBSTITUTE(SUBSTITUTE(SUBSTITUTE($C279," ",""),"　",""),"(주)",""),"（주）",""),"㈜",""),"주식회사",""),"(유)",""),"（유）",""),"유한회사",""))&lt;2,"",SUBSTITUTE(SUBSTITUTE(SUBSTITUTE(SUBSTITUTE(SUBSTITUTE(SUBSTITUTE(SUBSTITUTE(SUBSTITUTE(SUBSTITUTE($C279," ",""),"　",""),"(주)",""),"（주）",""),"㈜",""),"주식회사",""),"(유)",""),"（유）",""),"유한회사","")))</f>
        <v/>
      </c>
    </row>
    <row r="280">
      <c r="A280" s="38">
        <f>IF($U280="","",273)</f>
        <v/>
      </c>
      <c r="B280" s="38">
        <f>IF($U280="","",IF(LEN(INDEX(매출원본!$AU$8:$AU$2007,$U280))=10,LEFT(INDEX(매출원본!$AU$8:$AU$2007,$U280),3)&amp;"-"&amp;MID(INDEX(매출원본!$AU$8:$AU$2007,$U280),4,2)&amp;"-"&amp;RIGHT(INDEX(매출원본!$AU$8:$AU$2007,$U280),5),IF(LEFT(INDEX(매출원본!$AU$8:$AU$2007,$U280),2)="N:","(번호 없음)",INDEX(매출원본!$AU$8:$AU$2007,$U280))))</f>
        <v/>
      </c>
      <c r="C280" s="38">
        <f>IF($U280="","",INDEX(매출원본!$AV$8:$AV$2007,$U280))</f>
        <v/>
      </c>
      <c r="D280" s="39">
        <f>IF($U280="","",IF($T280="",0,N(INDEX(거래처설정!$E$8:$E$407,$T280))))</f>
        <v/>
      </c>
      <c r="E280" s="39">
        <f>IF($U280="","",SUMIFS(매출원본!$AT$8:$AT$2007,매출원본!$AY$8:$AY$2007,$A280,매출원본!$AS$8:$AS$2007,"&lt;="&amp;설정!$B$5))</f>
        <v/>
      </c>
      <c r="F280" s="39">
        <f>IF($U280="","",SUMIFS(입금_은행1!$Z$8:$Z$2007,입금_은행1!$AC$8:$AC$2007,$A280,입금_은행1!$Y$8:$Y$2007,"&lt;="&amp;설정!$B$5)+SUMIFS(입금_은행2!$Z$8:$Z$2007,입금_은행2!$AC$8:$AC$2007,$A280,입금_은행2!$Y$8:$Y$2007,"&lt;="&amp;설정!$B$5))</f>
        <v/>
      </c>
      <c r="G280" s="39">
        <f>IF($U280="","",$D280+$E280-$F280)</f>
        <v/>
      </c>
      <c r="H280" s="39">
        <f>IF($U280="","",MIN(MAX($G280,0),$V280))</f>
        <v/>
      </c>
      <c r="I280" s="39">
        <f>IF($U280="","",MIN(MAX($G280,0),$W280)-MIN(MAX($G280,0),$V280))</f>
        <v/>
      </c>
      <c r="J280" s="39">
        <f>IF($U280="","",MIN(MAX($G280,0),$X280)-MIN(MAX($G280,0),$W280))</f>
        <v/>
      </c>
      <c r="K280" s="39">
        <f>IF($U280="","",MAX($G280,0)-MIN(MAX($G280,0),$X280))</f>
        <v/>
      </c>
      <c r="L280" s="40">
        <f>IF($U280="","",IF(MAX(SUMPRODUCT(MAX((입금_은행1!$AC$8:$AC$2007=$A280)*(입금_은행1!$AE$8:$AE$2007&lt;=설정!$B$5)*입금_은행1!$AE$8:$AE$2007)),SUMPRODUCT(MAX((입금_은행2!$AC$8:$AC$2007=$A280)*(입금_은행2!$AE$8:$AE$2007&lt;=설정!$B$5)*입금_은행2!$AE$8:$AE$2007)))=0,"",MAX(SUMPRODUCT(MAX((입금_은행1!$AC$8:$AC$2007=$A280)*(입금_은행1!$AE$8:$AE$2007&lt;=설정!$B$5)*입금_은행1!$AE$8:$AE$2007)),SUMPRODUCT(MAX((입금_은행2!$AC$8:$AC$2007=$A280)*(입금_은행2!$AE$8:$AE$2007&lt;=설정!$B$5)*입금_은행2!$AE$8:$AE$2007)))))</f>
        <v/>
      </c>
      <c r="M280" s="38">
        <f>IF($U280="","",IF($T280="","",IF(INDEX(거래처설정!$F$8:$F$407,$T280)="","",INDEX(거래처설정!$F$8:$F$407,$T280))))</f>
        <v/>
      </c>
      <c r="N280" s="38">
        <f>IF($U280="","",IF($T280="","",IF(INDEX(거래처설정!$G$8:$G$407,$T280)="","",INDEX(거래처설정!$G$8:$G$407,$T280))))</f>
        <v/>
      </c>
      <c r="O280" s="38">
        <f>IF($U280="","",IF($M280="제외",0,IF($K280&gt;=설정!$B$9,3,IF($J280+$K280&gt;=설정!$B$9,2,IF($I280+$J280+$K280&gt;=설정!$B$9,1,0)))))</f>
        <v/>
      </c>
      <c r="P280" s="38">
        <f>IF($U280="","",IF($M280="제외","제외(조치 상태)",IF($O280=3,"③ 강한 독촉 후보 ("&amp;설정!$B$8&amp;"일 초과)",IF($O280=2,"② 독촉 후보 ("&amp;설정!$B$7&amp;"일 초과)",IF($O280=1,"① 안내 후보 ("&amp;설정!$B$6&amp;"일 초과)",IF($G280&gt;0,IF($I280+$J280+$K280&gt;0,"오래된 잔액 있음 (최소 금액 미만)","정상 범위"),IF($G280&lt;0,"선수금·초과입금 — 확인","완납")))))))</f>
        <v/>
      </c>
      <c r="Q280" s="38">
        <f>IF($U280="","",IF($G280&lt;0,"입금이 매출보다 큼 — 선수금이거나 다른 거래처 입금이 섞였는지 확인",IF(AND($AE280&lt;&gt;"",COUNTIF($AE$8:$AE$307,"*"&amp;$AE280&amp;"*")&gt;1),"이름이 다른 거래처와 겹침 — 입금이 잘못 맞았을 수 있으니 별칭 확인",IF(AND($G280&gt;0,$F280=0),"입금 매칭 없음 — 입금자명이 다르면 [거래처설정]에 별칭 등록",""))))</f>
        <v/>
      </c>
      <c r="R280" s="31">
        <f>IF(OR($U280="",$G280&lt;=0),"",$G280-$A280/10000)</f>
        <v/>
      </c>
      <c r="S280" s="31">
        <f>IF(OR($U280="",$O280&lt;1),"",$O280*10^11+$I280+$J280+$K280-$A280/1000)</f>
        <v/>
      </c>
      <c r="T280" s="31">
        <f>IF($U280="","",IFERROR(MATCH(INDEX(매출원본!$AU$8:$AU$2007,$U280),거래처설정!$I$8:$I$407,0),""))</f>
        <v/>
      </c>
      <c r="U280" s="31">
        <f>IFERROR(MATCH(273,매출원본!$AW$8:$AW$2007,0),"")</f>
        <v/>
      </c>
      <c r="V280" s="31">
        <f>IF($U280="","",MAX(SUMIFS(매출원본!$AT$8:$AT$2007,매출원본!$AY$8:$AY$2007,$A280,매출원본!$AS$8:$AS$2007,"&gt;="&amp;(설정!$B$5-설정!$B$6),매출원본!$AS$8:$AS$2007,"&lt;="&amp;설정!$B$5),0))</f>
        <v/>
      </c>
      <c r="W280" s="31">
        <f>IF($U280="","",MAX($V280,SUMIFS(매출원본!$AT$8:$AT$2007,매출원본!$AY$8:$AY$2007,$A280,매출원본!$AS$8:$AS$2007,"&gt;="&amp;(설정!$B$5-설정!$B$7),매출원본!$AS$8:$AS$2007,"&lt;="&amp;설정!$B$5)))</f>
        <v/>
      </c>
      <c r="X280" s="31">
        <f>IF($U280="","",MAX($W280,SUMIFS(매출원본!$AT$8:$AT$2007,매출원본!$AY$8:$AY$2007,$A280,매출원본!$AS$8:$AS$2007,"&gt;="&amp;(설정!$B$5-설정!$B$8),매출원본!$AS$8:$AS$2007,"&lt;="&amp;설정!$B$5)))</f>
        <v/>
      </c>
      <c r="AC280" s="31">
        <f>IF(OR($U280="",$T280=""),"",INDEX(거래처설정!$J$8:$J$407,$T280))</f>
        <v/>
      </c>
      <c r="AD280" s="31">
        <f>IF(OR($U280="",$T280=""),"",INDEX(거래처설정!$K$8:$K$407,$T280))</f>
        <v/>
      </c>
      <c r="AE280" s="31">
        <f>IF($U280="","",IF(LEN(SUBSTITUTE(SUBSTITUTE(SUBSTITUTE(SUBSTITUTE(SUBSTITUTE(SUBSTITUTE(SUBSTITUTE(SUBSTITUTE(SUBSTITUTE($C280," ",""),"　",""),"(주)",""),"（주）",""),"㈜",""),"주식회사",""),"(유)",""),"（유）",""),"유한회사",""))&lt;2,"",SUBSTITUTE(SUBSTITUTE(SUBSTITUTE(SUBSTITUTE(SUBSTITUTE(SUBSTITUTE(SUBSTITUTE(SUBSTITUTE(SUBSTITUTE($C280," ",""),"　",""),"(주)",""),"（주）",""),"㈜",""),"주식회사",""),"(유)",""),"（유）",""),"유한회사","")))</f>
        <v/>
      </c>
    </row>
    <row r="281">
      <c r="A281" s="38">
        <f>IF($U281="","",274)</f>
        <v/>
      </c>
      <c r="B281" s="38">
        <f>IF($U281="","",IF(LEN(INDEX(매출원본!$AU$8:$AU$2007,$U281))=10,LEFT(INDEX(매출원본!$AU$8:$AU$2007,$U281),3)&amp;"-"&amp;MID(INDEX(매출원본!$AU$8:$AU$2007,$U281),4,2)&amp;"-"&amp;RIGHT(INDEX(매출원본!$AU$8:$AU$2007,$U281),5),IF(LEFT(INDEX(매출원본!$AU$8:$AU$2007,$U281),2)="N:","(번호 없음)",INDEX(매출원본!$AU$8:$AU$2007,$U281))))</f>
        <v/>
      </c>
      <c r="C281" s="38">
        <f>IF($U281="","",INDEX(매출원본!$AV$8:$AV$2007,$U281))</f>
        <v/>
      </c>
      <c r="D281" s="39">
        <f>IF($U281="","",IF($T281="",0,N(INDEX(거래처설정!$E$8:$E$407,$T281))))</f>
        <v/>
      </c>
      <c r="E281" s="39">
        <f>IF($U281="","",SUMIFS(매출원본!$AT$8:$AT$2007,매출원본!$AY$8:$AY$2007,$A281,매출원본!$AS$8:$AS$2007,"&lt;="&amp;설정!$B$5))</f>
        <v/>
      </c>
      <c r="F281" s="39">
        <f>IF($U281="","",SUMIFS(입금_은행1!$Z$8:$Z$2007,입금_은행1!$AC$8:$AC$2007,$A281,입금_은행1!$Y$8:$Y$2007,"&lt;="&amp;설정!$B$5)+SUMIFS(입금_은행2!$Z$8:$Z$2007,입금_은행2!$AC$8:$AC$2007,$A281,입금_은행2!$Y$8:$Y$2007,"&lt;="&amp;설정!$B$5))</f>
        <v/>
      </c>
      <c r="G281" s="39">
        <f>IF($U281="","",$D281+$E281-$F281)</f>
        <v/>
      </c>
      <c r="H281" s="39">
        <f>IF($U281="","",MIN(MAX($G281,0),$V281))</f>
        <v/>
      </c>
      <c r="I281" s="39">
        <f>IF($U281="","",MIN(MAX($G281,0),$W281)-MIN(MAX($G281,0),$V281))</f>
        <v/>
      </c>
      <c r="J281" s="39">
        <f>IF($U281="","",MIN(MAX($G281,0),$X281)-MIN(MAX($G281,0),$W281))</f>
        <v/>
      </c>
      <c r="K281" s="39">
        <f>IF($U281="","",MAX($G281,0)-MIN(MAX($G281,0),$X281))</f>
        <v/>
      </c>
      <c r="L281" s="40">
        <f>IF($U281="","",IF(MAX(SUMPRODUCT(MAX((입금_은행1!$AC$8:$AC$2007=$A281)*(입금_은행1!$AE$8:$AE$2007&lt;=설정!$B$5)*입금_은행1!$AE$8:$AE$2007)),SUMPRODUCT(MAX((입금_은행2!$AC$8:$AC$2007=$A281)*(입금_은행2!$AE$8:$AE$2007&lt;=설정!$B$5)*입금_은행2!$AE$8:$AE$2007)))=0,"",MAX(SUMPRODUCT(MAX((입금_은행1!$AC$8:$AC$2007=$A281)*(입금_은행1!$AE$8:$AE$2007&lt;=설정!$B$5)*입금_은행1!$AE$8:$AE$2007)),SUMPRODUCT(MAX((입금_은행2!$AC$8:$AC$2007=$A281)*(입금_은행2!$AE$8:$AE$2007&lt;=설정!$B$5)*입금_은행2!$AE$8:$AE$2007)))))</f>
        <v/>
      </c>
      <c r="M281" s="38">
        <f>IF($U281="","",IF($T281="","",IF(INDEX(거래처설정!$F$8:$F$407,$T281)="","",INDEX(거래처설정!$F$8:$F$407,$T281))))</f>
        <v/>
      </c>
      <c r="N281" s="38">
        <f>IF($U281="","",IF($T281="","",IF(INDEX(거래처설정!$G$8:$G$407,$T281)="","",INDEX(거래처설정!$G$8:$G$407,$T281))))</f>
        <v/>
      </c>
      <c r="O281" s="38">
        <f>IF($U281="","",IF($M281="제외",0,IF($K281&gt;=설정!$B$9,3,IF($J281+$K281&gt;=설정!$B$9,2,IF($I281+$J281+$K281&gt;=설정!$B$9,1,0)))))</f>
        <v/>
      </c>
      <c r="P281" s="38">
        <f>IF($U281="","",IF($M281="제외","제외(조치 상태)",IF($O281=3,"③ 강한 독촉 후보 ("&amp;설정!$B$8&amp;"일 초과)",IF($O281=2,"② 독촉 후보 ("&amp;설정!$B$7&amp;"일 초과)",IF($O281=1,"① 안내 후보 ("&amp;설정!$B$6&amp;"일 초과)",IF($G281&gt;0,IF($I281+$J281+$K281&gt;0,"오래된 잔액 있음 (최소 금액 미만)","정상 범위"),IF($G281&lt;0,"선수금·초과입금 — 확인","완납")))))))</f>
        <v/>
      </c>
      <c r="Q281" s="38">
        <f>IF($U281="","",IF($G281&lt;0,"입금이 매출보다 큼 — 선수금이거나 다른 거래처 입금이 섞였는지 확인",IF(AND($AE281&lt;&gt;"",COUNTIF($AE$8:$AE$307,"*"&amp;$AE281&amp;"*")&gt;1),"이름이 다른 거래처와 겹침 — 입금이 잘못 맞았을 수 있으니 별칭 확인",IF(AND($G281&gt;0,$F281=0),"입금 매칭 없음 — 입금자명이 다르면 [거래처설정]에 별칭 등록",""))))</f>
        <v/>
      </c>
      <c r="R281" s="31">
        <f>IF(OR($U281="",$G281&lt;=0),"",$G281-$A281/10000)</f>
        <v/>
      </c>
      <c r="S281" s="31">
        <f>IF(OR($U281="",$O281&lt;1),"",$O281*10^11+$I281+$J281+$K281-$A281/1000)</f>
        <v/>
      </c>
      <c r="T281" s="31">
        <f>IF($U281="","",IFERROR(MATCH(INDEX(매출원본!$AU$8:$AU$2007,$U281),거래처설정!$I$8:$I$407,0),""))</f>
        <v/>
      </c>
      <c r="U281" s="31">
        <f>IFERROR(MATCH(274,매출원본!$AW$8:$AW$2007,0),"")</f>
        <v/>
      </c>
      <c r="V281" s="31">
        <f>IF($U281="","",MAX(SUMIFS(매출원본!$AT$8:$AT$2007,매출원본!$AY$8:$AY$2007,$A281,매출원본!$AS$8:$AS$2007,"&gt;="&amp;(설정!$B$5-설정!$B$6),매출원본!$AS$8:$AS$2007,"&lt;="&amp;설정!$B$5),0))</f>
        <v/>
      </c>
      <c r="W281" s="31">
        <f>IF($U281="","",MAX($V281,SUMIFS(매출원본!$AT$8:$AT$2007,매출원본!$AY$8:$AY$2007,$A281,매출원본!$AS$8:$AS$2007,"&gt;="&amp;(설정!$B$5-설정!$B$7),매출원본!$AS$8:$AS$2007,"&lt;="&amp;설정!$B$5)))</f>
        <v/>
      </c>
      <c r="X281" s="31">
        <f>IF($U281="","",MAX($W281,SUMIFS(매출원본!$AT$8:$AT$2007,매출원본!$AY$8:$AY$2007,$A281,매출원본!$AS$8:$AS$2007,"&gt;="&amp;(설정!$B$5-설정!$B$8),매출원본!$AS$8:$AS$2007,"&lt;="&amp;설정!$B$5)))</f>
        <v/>
      </c>
      <c r="AC281" s="31">
        <f>IF(OR($U281="",$T281=""),"",INDEX(거래처설정!$J$8:$J$407,$T281))</f>
        <v/>
      </c>
      <c r="AD281" s="31">
        <f>IF(OR($U281="",$T281=""),"",INDEX(거래처설정!$K$8:$K$407,$T281))</f>
        <v/>
      </c>
      <c r="AE281" s="31">
        <f>IF($U281="","",IF(LEN(SUBSTITUTE(SUBSTITUTE(SUBSTITUTE(SUBSTITUTE(SUBSTITUTE(SUBSTITUTE(SUBSTITUTE(SUBSTITUTE(SUBSTITUTE($C281," ",""),"　",""),"(주)",""),"（주）",""),"㈜",""),"주식회사",""),"(유)",""),"（유）",""),"유한회사",""))&lt;2,"",SUBSTITUTE(SUBSTITUTE(SUBSTITUTE(SUBSTITUTE(SUBSTITUTE(SUBSTITUTE(SUBSTITUTE(SUBSTITUTE(SUBSTITUTE($C281," ",""),"　",""),"(주)",""),"（주）",""),"㈜",""),"주식회사",""),"(유)",""),"（유）",""),"유한회사","")))</f>
        <v/>
      </c>
    </row>
    <row r="282">
      <c r="A282" s="38">
        <f>IF($U282="","",275)</f>
        <v/>
      </c>
      <c r="B282" s="38">
        <f>IF($U282="","",IF(LEN(INDEX(매출원본!$AU$8:$AU$2007,$U282))=10,LEFT(INDEX(매출원본!$AU$8:$AU$2007,$U282),3)&amp;"-"&amp;MID(INDEX(매출원본!$AU$8:$AU$2007,$U282),4,2)&amp;"-"&amp;RIGHT(INDEX(매출원본!$AU$8:$AU$2007,$U282),5),IF(LEFT(INDEX(매출원본!$AU$8:$AU$2007,$U282),2)="N:","(번호 없음)",INDEX(매출원본!$AU$8:$AU$2007,$U282))))</f>
        <v/>
      </c>
      <c r="C282" s="38">
        <f>IF($U282="","",INDEX(매출원본!$AV$8:$AV$2007,$U282))</f>
        <v/>
      </c>
      <c r="D282" s="39">
        <f>IF($U282="","",IF($T282="",0,N(INDEX(거래처설정!$E$8:$E$407,$T282))))</f>
        <v/>
      </c>
      <c r="E282" s="39">
        <f>IF($U282="","",SUMIFS(매출원본!$AT$8:$AT$2007,매출원본!$AY$8:$AY$2007,$A282,매출원본!$AS$8:$AS$2007,"&lt;="&amp;설정!$B$5))</f>
        <v/>
      </c>
      <c r="F282" s="39">
        <f>IF($U282="","",SUMIFS(입금_은행1!$Z$8:$Z$2007,입금_은행1!$AC$8:$AC$2007,$A282,입금_은행1!$Y$8:$Y$2007,"&lt;="&amp;설정!$B$5)+SUMIFS(입금_은행2!$Z$8:$Z$2007,입금_은행2!$AC$8:$AC$2007,$A282,입금_은행2!$Y$8:$Y$2007,"&lt;="&amp;설정!$B$5))</f>
        <v/>
      </c>
      <c r="G282" s="39">
        <f>IF($U282="","",$D282+$E282-$F282)</f>
        <v/>
      </c>
      <c r="H282" s="39">
        <f>IF($U282="","",MIN(MAX($G282,0),$V282))</f>
        <v/>
      </c>
      <c r="I282" s="39">
        <f>IF($U282="","",MIN(MAX($G282,0),$W282)-MIN(MAX($G282,0),$V282))</f>
        <v/>
      </c>
      <c r="J282" s="39">
        <f>IF($U282="","",MIN(MAX($G282,0),$X282)-MIN(MAX($G282,0),$W282))</f>
        <v/>
      </c>
      <c r="K282" s="39">
        <f>IF($U282="","",MAX($G282,0)-MIN(MAX($G282,0),$X282))</f>
        <v/>
      </c>
      <c r="L282" s="40">
        <f>IF($U282="","",IF(MAX(SUMPRODUCT(MAX((입금_은행1!$AC$8:$AC$2007=$A282)*(입금_은행1!$AE$8:$AE$2007&lt;=설정!$B$5)*입금_은행1!$AE$8:$AE$2007)),SUMPRODUCT(MAX((입금_은행2!$AC$8:$AC$2007=$A282)*(입금_은행2!$AE$8:$AE$2007&lt;=설정!$B$5)*입금_은행2!$AE$8:$AE$2007)))=0,"",MAX(SUMPRODUCT(MAX((입금_은행1!$AC$8:$AC$2007=$A282)*(입금_은행1!$AE$8:$AE$2007&lt;=설정!$B$5)*입금_은행1!$AE$8:$AE$2007)),SUMPRODUCT(MAX((입금_은행2!$AC$8:$AC$2007=$A282)*(입금_은행2!$AE$8:$AE$2007&lt;=설정!$B$5)*입금_은행2!$AE$8:$AE$2007)))))</f>
        <v/>
      </c>
      <c r="M282" s="38">
        <f>IF($U282="","",IF($T282="","",IF(INDEX(거래처설정!$F$8:$F$407,$T282)="","",INDEX(거래처설정!$F$8:$F$407,$T282))))</f>
        <v/>
      </c>
      <c r="N282" s="38">
        <f>IF($U282="","",IF($T282="","",IF(INDEX(거래처설정!$G$8:$G$407,$T282)="","",INDEX(거래처설정!$G$8:$G$407,$T282))))</f>
        <v/>
      </c>
      <c r="O282" s="38">
        <f>IF($U282="","",IF($M282="제외",0,IF($K282&gt;=설정!$B$9,3,IF($J282+$K282&gt;=설정!$B$9,2,IF($I282+$J282+$K282&gt;=설정!$B$9,1,0)))))</f>
        <v/>
      </c>
      <c r="P282" s="38">
        <f>IF($U282="","",IF($M282="제외","제외(조치 상태)",IF($O282=3,"③ 강한 독촉 후보 ("&amp;설정!$B$8&amp;"일 초과)",IF($O282=2,"② 독촉 후보 ("&amp;설정!$B$7&amp;"일 초과)",IF($O282=1,"① 안내 후보 ("&amp;설정!$B$6&amp;"일 초과)",IF($G282&gt;0,IF($I282+$J282+$K282&gt;0,"오래된 잔액 있음 (최소 금액 미만)","정상 범위"),IF($G282&lt;0,"선수금·초과입금 — 확인","완납")))))))</f>
        <v/>
      </c>
      <c r="Q282" s="38">
        <f>IF($U282="","",IF($G282&lt;0,"입금이 매출보다 큼 — 선수금이거나 다른 거래처 입금이 섞였는지 확인",IF(AND($AE282&lt;&gt;"",COUNTIF($AE$8:$AE$307,"*"&amp;$AE282&amp;"*")&gt;1),"이름이 다른 거래처와 겹침 — 입금이 잘못 맞았을 수 있으니 별칭 확인",IF(AND($G282&gt;0,$F282=0),"입금 매칭 없음 — 입금자명이 다르면 [거래처설정]에 별칭 등록",""))))</f>
        <v/>
      </c>
      <c r="R282" s="31">
        <f>IF(OR($U282="",$G282&lt;=0),"",$G282-$A282/10000)</f>
        <v/>
      </c>
      <c r="S282" s="31">
        <f>IF(OR($U282="",$O282&lt;1),"",$O282*10^11+$I282+$J282+$K282-$A282/1000)</f>
        <v/>
      </c>
      <c r="T282" s="31">
        <f>IF($U282="","",IFERROR(MATCH(INDEX(매출원본!$AU$8:$AU$2007,$U282),거래처설정!$I$8:$I$407,0),""))</f>
        <v/>
      </c>
      <c r="U282" s="31">
        <f>IFERROR(MATCH(275,매출원본!$AW$8:$AW$2007,0),"")</f>
        <v/>
      </c>
      <c r="V282" s="31">
        <f>IF($U282="","",MAX(SUMIFS(매출원본!$AT$8:$AT$2007,매출원본!$AY$8:$AY$2007,$A282,매출원본!$AS$8:$AS$2007,"&gt;="&amp;(설정!$B$5-설정!$B$6),매출원본!$AS$8:$AS$2007,"&lt;="&amp;설정!$B$5),0))</f>
        <v/>
      </c>
      <c r="W282" s="31">
        <f>IF($U282="","",MAX($V282,SUMIFS(매출원본!$AT$8:$AT$2007,매출원본!$AY$8:$AY$2007,$A282,매출원본!$AS$8:$AS$2007,"&gt;="&amp;(설정!$B$5-설정!$B$7),매출원본!$AS$8:$AS$2007,"&lt;="&amp;설정!$B$5)))</f>
        <v/>
      </c>
      <c r="X282" s="31">
        <f>IF($U282="","",MAX($W282,SUMIFS(매출원본!$AT$8:$AT$2007,매출원본!$AY$8:$AY$2007,$A282,매출원본!$AS$8:$AS$2007,"&gt;="&amp;(설정!$B$5-설정!$B$8),매출원본!$AS$8:$AS$2007,"&lt;="&amp;설정!$B$5)))</f>
        <v/>
      </c>
      <c r="AC282" s="31">
        <f>IF(OR($U282="",$T282=""),"",INDEX(거래처설정!$J$8:$J$407,$T282))</f>
        <v/>
      </c>
      <c r="AD282" s="31">
        <f>IF(OR($U282="",$T282=""),"",INDEX(거래처설정!$K$8:$K$407,$T282))</f>
        <v/>
      </c>
      <c r="AE282" s="31">
        <f>IF($U282="","",IF(LEN(SUBSTITUTE(SUBSTITUTE(SUBSTITUTE(SUBSTITUTE(SUBSTITUTE(SUBSTITUTE(SUBSTITUTE(SUBSTITUTE(SUBSTITUTE($C282," ",""),"　",""),"(주)",""),"（주）",""),"㈜",""),"주식회사",""),"(유)",""),"（유）",""),"유한회사",""))&lt;2,"",SUBSTITUTE(SUBSTITUTE(SUBSTITUTE(SUBSTITUTE(SUBSTITUTE(SUBSTITUTE(SUBSTITUTE(SUBSTITUTE(SUBSTITUTE($C282," ",""),"　",""),"(주)",""),"（주）",""),"㈜",""),"주식회사",""),"(유)",""),"（유）",""),"유한회사","")))</f>
        <v/>
      </c>
    </row>
    <row r="283">
      <c r="A283" s="38">
        <f>IF($U283="","",276)</f>
        <v/>
      </c>
      <c r="B283" s="38">
        <f>IF($U283="","",IF(LEN(INDEX(매출원본!$AU$8:$AU$2007,$U283))=10,LEFT(INDEX(매출원본!$AU$8:$AU$2007,$U283),3)&amp;"-"&amp;MID(INDEX(매출원본!$AU$8:$AU$2007,$U283),4,2)&amp;"-"&amp;RIGHT(INDEX(매출원본!$AU$8:$AU$2007,$U283),5),IF(LEFT(INDEX(매출원본!$AU$8:$AU$2007,$U283),2)="N:","(번호 없음)",INDEX(매출원본!$AU$8:$AU$2007,$U283))))</f>
        <v/>
      </c>
      <c r="C283" s="38">
        <f>IF($U283="","",INDEX(매출원본!$AV$8:$AV$2007,$U283))</f>
        <v/>
      </c>
      <c r="D283" s="39">
        <f>IF($U283="","",IF($T283="",0,N(INDEX(거래처설정!$E$8:$E$407,$T283))))</f>
        <v/>
      </c>
      <c r="E283" s="39">
        <f>IF($U283="","",SUMIFS(매출원본!$AT$8:$AT$2007,매출원본!$AY$8:$AY$2007,$A283,매출원본!$AS$8:$AS$2007,"&lt;="&amp;설정!$B$5))</f>
        <v/>
      </c>
      <c r="F283" s="39">
        <f>IF($U283="","",SUMIFS(입금_은행1!$Z$8:$Z$2007,입금_은행1!$AC$8:$AC$2007,$A283,입금_은행1!$Y$8:$Y$2007,"&lt;="&amp;설정!$B$5)+SUMIFS(입금_은행2!$Z$8:$Z$2007,입금_은행2!$AC$8:$AC$2007,$A283,입금_은행2!$Y$8:$Y$2007,"&lt;="&amp;설정!$B$5))</f>
        <v/>
      </c>
      <c r="G283" s="39">
        <f>IF($U283="","",$D283+$E283-$F283)</f>
        <v/>
      </c>
      <c r="H283" s="39">
        <f>IF($U283="","",MIN(MAX($G283,0),$V283))</f>
        <v/>
      </c>
      <c r="I283" s="39">
        <f>IF($U283="","",MIN(MAX($G283,0),$W283)-MIN(MAX($G283,0),$V283))</f>
        <v/>
      </c>
      <c r="J283" s="39">
        <f>IF($U283="","",MIN(MAX($G283,0),$X283)-MIN(MAX($G283,0),$W283))</f>
        <v/>
      </c>
      <c r="K283" s="39">
        <f>IF($U283="","",MAX($G283,0)-MIN(MAX($G283,0),$X283))</f>
        <v/>
      </c>
      <c r="L283" s="40">
        <f>IF($U283="","",IF(MAX(SUMPRODUCT(MAX((입금_은행1!$AC$8:$AC$2007=$A283)*(입금_은행1!$AE$8:$AE$2007&lt;=설정!$B$5)*입금_은행1!$AE$8:$AE$2007)),SUMPRODUCT(MAX((입금_은행2!$AC$8:$AC$2007=$A283)*(입금_은행2!$AE$8:$AE$2007&lt;=설정!$B$5)*입금_은행2!$AE$8:$AE$2007)))=0,"",MAX(SUMPRODUCT(MAX((입금_은행1!$AC$8:$AC$2007=$A283)*(입금_은행1!$AE$8:$AE$2007&lt;=설정!$B$5)*입금_은행1!$AE$8:$AE$2007)),SUMPRODUCT(MAX((입금_은행2!$AC$8:$AC$2007=$A283)*(입금_은행2!$AE$8:$AE$2007&lt;=설정!$B$5)*입금_은행2!$AE$8:$AE$2007)))))</f>
        <v/>
      </c>
      <c r="M283" s="38">
        <f>IF($U283="","",IF($T283="","",IF(INDEX(거래처설정!$F$8:$F$407,$T283)="","",INDEX(거래처설정!$F$8:$F$407,$T283))))</f>
        <v/>
      </c>
      <c r="N283" s="38">
        <f>IF($U283="","",IF($T283="","",IF(INDEX(거래처설정!$G$8:$G$407,$T283)="","",INDEX(거래처설정!$G$8:$G$407,$T283))))</f>
        <v/>
      </c>
      <c r="O283" s="38">
        <f>IF($U283="","",IF($M283="제외",0,IF($K283&gt;=설정!$B$9,3,IF($J283+$K283&gt;=설정!$B$9,2,IF($I283+$J283+$K283&gt;=설정!$B$9,1,0)))))</f>
        <v/>
      </c>
      <c r="P283" s="38">
        <f>IF($U283="","",IF($M283="제외","제외(조치 상태)",IF($O283=3,"③ 강한 독촉 후보 ("&amp;설정!$B$8&amp;"일 초과)",IF($O283=2,"② 독촉 후보 ("&amp;설정!$B$7&amp;"일 초과)",IF($O283=1,"① 안내 후보 ("&amp;설정!$B$6&amp;"일 초과)",IF($G283&gt;0,IF($I283+$J283+$K283&gt;0,"오래된 잔액 있음 (최소 금액 미만)","정상 범위"),IF($G283&lt;0,"선수금·초과입금 — 확인","완납")))))))</f>
        <v/>
      </c>
      <c r="Q283" s="38">
        <f>IF($U283="","",IF($G283&lt;0,"입금이 매출보다 큼 — 선수금이거나 다른 거래처 입금이 섞였는지 확인",IF(AND($AE283&lt;&gt;"",COUNTIF($AE$8:$AE$307,"*"&amp;$AE283&amp;"*")&gt;1),"이름이 다른 거래처와 겹침 — 입금이 잘못 맞았을 수 있으니 별칭 확인",IF(AND($G283&gt;0,$F283=0),"입금 매칭 없음 — 입금자명이 다르면 [거래처설정]에 별칭 등록",""))))</f>
        <v/>
      </c>
      <c r="R283" s="31">
        <f>IF(OR($U283="",$G283&lt;=0),"",$G283-$A283/10000)</f>
        <v/>
      </c>
      <c r="S283" s="31">
        <f>IF(OR($U283="",$O283&lt;1),"",$O283*10^11+$I283+$J283+$K283-$A283/1000)</f>
        <v/>
      </c>
      <c r="T283" s="31">
        <f>IF($U283="","",IFERROR(MATCH(INDEX(매출원본!$AU$8:$AU$2007,$U283),거래처설정!$I$8:$I$407,0),""))</f>
        <v/>
      </c>
      <c r="U283" s="31">
        <f>IFERROR(MATCH(276,매출원본!$AW$8:$AW$2007,0),"")</f>
        <v/>
      </c>
      <c r="V283" s="31">
        <f>IF($U283="","",MAX(SUMIFS(매출원본!$AT$8:$AT$2007,매출원본!$AY$8:$AY$2007,$A283,매출원본!$AS$8:$AS$2007,"&gt;="&amp;(설정!$B$5-설정!$B$6),매출원본!$AS$8:$AS$2007,"&lt;="&amp;설정!$B$5),0))</f>
        <v/>
      </c>
      <c r="W283" s="31">
        <f>IF($U283="","",MAX($V283,SUMIFS(매출원본!$AT$8:$AT$2007,매출원본!$AY$8:$AY$2007,$A283,매출원본!$AS$8:$AS$2007,"&gt;="&amp;(설정!$B$5-설정!$B$7),매출원본!$AS$8:$AS$2007,"&lt;="&amp;설정!$B$5)))</f>
        <v/>
      </c>
      <c r="X283" s="31">
        <f>IF($U283="","",MAX($W283,SUMIFS(매출원본!$AT$8:$AT$2007,매출원본!$AY$8:$AY$2007,$A283,매출원본!$AS$8:$AS$2007,"&gt;="&amp;(설정!$B$5-설정!$B$8),매출원본!$AS$8:$AS$2007,"&lt;="&amp;설정!$B$5)))</f>
        <v/>
      </c>
      <c r="AC283" s="31">
        <f>IF(OR($U283="",$T283=""),"",INDEX(거래처설정!$J$8:$J$407,$T283))</f>
        <v/>
      </c>
      <c r="AD283" s="31">
        <f>IF(OR($U283="",$T283=""),"",INDEX(거래처설정!$K$8:$K$407,$T283))</f>
        <v/>
      </c>
      <c r="AE283" s="31">
        <f>IF($U283="","",IF(LEN(SUBSTITUTE(SUBSTITUTE(SUBSTITUTE(SUBSTITUTE(SUBSTITUTE(SUBSTITUTE(SUBSTITUTE(SUBSTITUTE(SUBSTITUTE($C283," ",""),"　",""),"(주)",""),"（주）",""),"㈜",""),"주식회사",""),"(유)",""),"（유）",""),"유한회사",""))&lt;2,"",SUBSTITUTE(SUBSTITUTE(SUBSTITUTE(SUBSTITUTE(SUBSTITUTE(SUBSTITUTE(SUBSTITUTE(SUBSTITUTE(SUBSTITUTE($C283," ",""),"　",""),"(주)",""),"（주）",""),"㈜",""),"주식회사",""),"(유)",""),"（유）",""),"유한회사","")))</f>
        <v/>
      </c>
    </row>
    <row r="284">
      <c r="A284" s="38">
        <f>IF($U284="","",277)</f>
        <v/>
      </c>
      <c r="B284" s="38">
        <f>IF($U284="","",IF(LEN(INDEX(매출원본!$AU$8:$AU$2007,$U284))=10,LEFT(INDEX(매출원본!$AU$8:$AU$2007,$U284),3)&amp;"-"&amp;MID(INDEX(매출원본!$AU$8:$AU$2007,$U284),4,2)&amp;"-"&amp;RIGHT(INDEX(매출원본!$AU$8:$AU$2007,$U284),5),IF(LEFT(INDEX(매출원본!$AU$8:$AU$2007,$U284),2)="N:","(번호 없음)",INDEX(매출원본!$AU$8:$AU$2007,$U284))))</f>
        <v/>
      </c>
      <c r="C284" s="38">
        <f>IF($U284="","",INDEX(매출원본!$AV$8:$AV$2007,$U284))</f>
        <v/>
      </c>
      <c r="D284" s="39">
        <f>IF($U284="","",IF($T284="",0,N(INDEX(거래처설정!$E$8:$E$407,$T284))))</f>
        <v/>
      </c>
      <c r="E284" s="39">
        <f>IF($U284="","",SUMIFS(매출원본!$AT$8:$AT$2007,매출원본!$AY$8:$AY$2007,$A284,매출원본!$AS$8:$AS$2007,"&lt;="&amp;설정!$B$5))</f>
        <v/>
      </c>
      <c r="F284" s="39">
        <f>IF($U284="","",SUMIFS(입금_은행1!$Z$8:$Z$2007,입금_은행1!$AC$8:$AC$2007,$A284,입금_은행1!$Y$8:$Y$2007,"&lt;="&amp;설정!$B$5)+SUMIFS(입금_은행2!$Z$8:$Z$2007,입금_은행2!$AC$8:$AC$2007,$A284,입금_은행2!$Y$8:$Y$2007,"&lt;="&amp;설정!$B$5))</f>
        <v/>
      </c>
      <c r="G284" s="39">
        <f>IF($U284="","",$D284+$E284-$F284)</f>
        <v/>
      </c>
      <c r="H284" s="39">
        <f>IF($U284="","",MIN(MAX($G284,0),$V284))</f>
        <v/>
      </c>
      <c r="I284" s="39">
        <f>IF($U284="","",MIN(MAX($G284,0),$W284)-MIN(MAX($G284,0),$V284))</f>
        <v/>
      </c>
      <c r="J284" s="39">
        <f>IF($U284="","",MIN(MAX($G284,0),$X284)-MIN(MAX($G284,0),$W284))</f>
        <v/>
      </c>
      <c r="K284" s="39">
        <f>IF($U284="","",MAX($G284,0)-MIN(MAX($G284,0),$X284))</f>
        <v/>
      </c>
      <c r="L284" s="40">
        <f>IF($U284="","",IF(MAX(SUMPRODUCT(MAX((입금_은행1!$AC$8:$AC$2007=$A284)*(입금_은행1!$AE$8:$AE$2007&lt;=설정!$B$5)*입금_은행1!$AE$8:$AE$2007)),SUMPRODUCT(MAX((입금_은행2!$AC$8:$AC$2007=$A284)*(입금_은행2!$AE$8:$AE$2007&lt;=설정!$B$5)*입금_은행2!$AE$8:$AE$2007)))=0,"",MAX(SUMPRODUCT(MAX((입금_은행1!$AC$8:$AC$2007=$A284)*(입금_은행1!$AE$8:$AE$2007&lt;=설정!$B$5)*입금_은행1!$AE$8:$AE$2007)),SUMPRODUCT(MAX((입금_은행2!$AC$8:$AC$2007=$A284)*(입금_은행2!$AE$8:$AE$2007&lt;=설정!$B$5)*입금_은행2!$AE$8:$AE$2007)))))</f>
        <v/>
      </c>
      <c r="M284" s="38">
        <f>IF($U284="","",IF($T284="","",IF(INDEX(거래처설정!$F$8:$F$407,$T284)="","",INDEX(거래처설정!$F$8:$F$407,$T284))))</f>
        <v/>
      </c>
      <c r="N284" s="38">
        <f>IF($U284="","",IF($T284="","",IF(INDEX(거래처설정!$G$8:$G$407,$T284)="","",INDEX(거래처설정!$G$8:$G$407,$T284))))</f>
        <v/>
      </c>
      <c r="O284" s="38">
        <f>IF($U284="","",IF($M284="제외",0,IF($K284&gt;=설정!$B$9,3,IF($J284+$K284&gt;=설정!$B$9,2,IF($I284+$J284+$K284&gt;=설정!$B$9,1,0)))))</f>
        <v/>
      </c>
      <c r="P284" s="38">
        <f>IF($U284="","",IF($M284="제외","제외(조치 상태)",IF($O284=3,"③ 강한 독촉 후보 ("&amp;설정!$B$8&amp;"일 초과)",IF($O284=2,"② 독촉 후보 ("&amp;설정!$B$7&amp;"일 초과)",IF($O284=1,"① 안내 후보 ("&amp;설정!$B$6&amp;"일 초과)",IF($G284&gt;0,IF($I284+$J284+$K284&gt;0,"오래된 잔액 있음 (최소 금액 미만)","정상 범위"),IF($G284&lt;0,"선수금·초과입금 — 확인","완납")))))))</f>
        <v/>
      </c>
      <c r="Q284" s="38">
        <f>IF($U284="","",IF($G284&lt;0,"입금이 매출보다 큼 — 선수금이거나 다른 거래처 입금이 섞였는지 확인",IF(AND($AE284&lt;&gt;"",COUNTIF($AE$8:$AE$307,"*"&amp;$AE284&amp;"*")&gt;1),"이름이 다른 거래처와 겹침 — 입금이 잘못 맞았을 수 있으니 별칭 확인",IF(AND($G284&gt;0,$F284=0),"입금 매칭 없음 — 입금자명이 다르면 [거래처설정]에 별칭 등록",""))))</f>
        <v/>
      </c>
      <c r="R284" s="31">
        <f>IF(OR($U284="",$G284&lt;=0),"",$G284-$A284/10000)</f>
        <v/>
      </c>
      <c r="S284" s="31">
        <f>IF(OR($U284="",$O284&lt;1),"",$O284*10^11+$I284+$J284+$K284-$A284/1000)</f>
        <v/>
      </c>
      <c r="T284" s="31">
        <f>IF($U284="","",IFERROR(MATCH(INDEX(매출원본!$AU$8:$AU$2007,$U284),거래처설정!$I$8:$I$407,0),""))</f>
        <v/>
      </c>
      <c r="U284" s="31">
        <f>IFERROR(MATCH(277,매출원본!$AW$8:$AW$2007,0),"")</f>
        <v/>
      </c>
      <c r="V284" s="31">
        <f>IF($U284="","",MAX(SUMIFS(매출원본!$AT$8:$AT$2007,매출원본!$AY$8:$AY$2007,$A284,매출원본!$AS$8:$AS$2007,"&gt;="&amp;(설정!$B$5-설정!$B$6),매출원본!$AS$8:$AS$2007,"&lt;="&amp;설정!$B$5),0))</f>
        <v/>
      </c>
      <c r="W284" s="31">
        <f>IF($U284="","",MAX($V284,SUMIFS(매출원본!$AT$8:$AT$2007,매출원본!$AY$8:$AY$2007,$A284,매출원본!$AS$8:$AS$2007,"&gt;="&amp;(설정!$B$5-설정!$B$7),매출원본!$AS$8:$AS$2007,"&lt;="&amp;설정!$B$5)))</f>
        <v/>
      </c>
      <c r="X284" s="31">
        <f>IF($U284="","",MAX($W284,SUMIFS(매출원본!$AT$8:$AT$2007,매출원본!$AY$8:$AY$2007,$A284,매출원본!$AS$8:$AS$2007,"&gt;="&amp;(설정!$B$5-설정!$B$8),매출원본!$AS$8:$AS$2007,"&lt;="&amp;설정!$B$5)))</f>
        <v/>
      </c>
      <c r="AC284" s="31">
        <f>IF(OR($U284="",$T284=""),"",INDEX(거래처설정!$J$8:$J$407,$T284))</f>
        <v/>
      </c>
      <c r="AD284" s="31">
        <f>IF(OR($U284="",$T284=""),"",INDEX(거래처설정!$K$8:$K$407,$T284))</f>
        <v/>
      </c>
      <c r="AE284" s="31">
        <f>IF($U284="","",IF(LEN(SUBSTITUTE(SUBSTITUTE(SUBSTITUTE(SUBSTITUTE(SUBSTITUTE(SUBSTITUTE(SUBSTITUTE(SUBSTITUTE(SUBSTITUTE($C284," ",""),"　",""),"(주)",""),"（주）",""),"㈜",""),"주식회사",""),"(유)",""),"（유）",""),"유한회사",""))&lt;2,"",SUBSTITUTE(SUBSTITUTE(SUBSTITUTE(SUBSTITUTE(SUBSTITUTE(SUBSTITUTE(SUBSTITUTE(SUBSTITUTE(SUBSTITUTE($C284," ",""),"　",""),"(주)",""),"（주）",""),"㈜",""),"주식회사",""),"(유)",""),"（유）",""),"유한회사","")))</f>
        <v/>
      </c>
    </row>
    <row r="285">
      <c r="A285" s="38">
        <f>IF($U285="","",278)</f>
        <v/>
      </c>
      <c r="B285" s="38">
        <f>IF($U285="","",IF(LEN(INDEX(매출원본!$AU$8:$AU$2007,$U285))=10,LEFT(INDEX(매출원본!$AU$8:$AU$2007,$U285),3)&amp;"-"&amp;MID(INDEX(매출원본!$AU$8:$AU$2007,$U285),4,2)&amp;"-"&amp;RIGHT(INDEX(매출원본!$AU$8:$AU$2007,$U285),5),IF(LEFT(INDEX(매출원본!$AU$8:$AU$2007,$U285),2)="N:","(번호 없음)",INDEX(매출원본!$AU$8:$AU$2007,$U285))))</f>
        <v/>
      </c>
      <c r="C285" s="38">
        <f>IF($U285="","",INDEX(매출원본!$AV$8:$AV$2007,$U285))</f>
        <v/>
      </c>
      <c r="D285" s="39">
        <f>IF($U285="","",IF($T285="",0,N(INDEX(거래처설정!$E$8:$E$407,$T285))))</f>
        <v/>
      </c>
      <c r="E285" s="39">
        <f>IF($U285="","",SUMIFS(매출원본!$AT$8:$AT$2007,매출원본!$AY$8:$AY$2007,$A285,매출원본!$AS$8:$AS$2007,"&lt;="&amp;설정!$B$5))</f>
        <v/>
      </c>
      <c r="F285" s="39">
        <f>IF($U285="","",SUMIFS(입금_은행1!$Z$8:$Z$2007,입금_은행1!$AC$8:$AC$2007,$A285,입금_은행1!$Y$8:$Y$2007,"&lt;="&amp;설정!$B$5)+SUMIFS(입금_은행2!$Z$8:$Z$2007,입금_은행2!$AC$8:$AC$2007,$A285,입금_은행2!$Y$8:$Y$2007,"&lt;="&amp;설정!$B$5))</f>
        <v/>
      </c>
      <c r="G285" s="39">
        <f>IF($U285="","",$D285+$E285-$F285)</f>
        <v/>
      </c>
      <c r="H285" s="39">
        <f>IF($U285="","",MIN(MAX($G285,0),$V285))</f>
        <v/>
      </c>
      <c r="I285" s="39">
        <f>IF($U285="","",MIN(MAX($G285,0),$W285)-MIN(MAX($G285,0),$V285))</f>
        <v/>
      </c>
      <c r="J285" s="39">
        <f>IF($U285="","",MIN(MAX($G285,0),$X285)-MIN(MAX($G285,0),$W285))</f>
        <v/>
      </c>
      <c r="K285" s="39">
        <f>IF($U285="","",MAX($G285,0)-MIN(MAX($G285,0),$X285))</f>
        <v/>
      </c>
      <c r="L285" s="40">
        <f>IF($U285="","",IF(MAX(SUMPRODUCT(MAX((입금_은행1!$AC$8:$AC$2007=$A285)*(입금_은행1!$AE$8:$AE$2007&lt;=설정!$B$5)*입금_은행1!$AE$8:$AE$2007)),SUMPRODUCT(MAX((입금_은행2!$AC$8:$AC$2007=$A285)*(입금_은행2!$AE$8:$AE$2007&lt;=설정!$B$5)*입금_은행2!$AE$8:$AE$2007)))=0,"",MAX(SUMPRODUCT(MAX((입금_은행1!$AC$8:$AC$2007=$A285)*(입금_은행1!$AE$8:$AE$2007&lt;=설정!$B$5)*입금_은행1!$AE$8:$AE$2007)),SUMPRODUCT(MAX((입금_은행2!$AC$8:$AC$2007=$A285)*(입금_은행2!$AE$8:$AE$2007&lt;=설정!$B$5)*입금_은행2!$AE$8:$AE$2007)))))</f>
        <v/>
      </c>
      <c r="M285" s="38">
        <f>IF($U285="","",IF($T285="","",IF(INDEX(거래처설정!$F$8:$F$407,$T285)="","",INDEX(거래처설정!$F$8:$F$407,$T285))))</f>
        <v/>
      </c>
      <c r="N285" s="38">
        <f>IF($U285="","",IF($T285="","",IF(INDEX(거래처설정!$G$8:$G$407,$T285)="","",INDEX(거래처설정!$G$8:$G$407,$T285))))</f>
        <v/>
      </c>
      <c r="O285" s="38">
        <f>IF($U285="","",IF($M285="제외",0,IF($K285&gt;=설정!$B$9,3,IF($J285+$K285&gt;=설정!$B$9,2,IF($I285+$J285+$K285&gt;=설정!$B$9,1,0)))))</f>
        <v/>
      </c>
      <c r="P285" s="38">
        <f>IF($U285="","",IF($M285="제외","제외(조치 상태)",IF($O285=3,"③ 강한 독촉 후보 ("&amp;설정!$B$8&amp;"일 초과)",IF($O285=2,"② 독촉 후보 ("&amp;설정!$B$7&amp;"일 초과)",IF($O285=1,"① 안내 후보 ("&amp;설정!$B$6&amp;"일 초과)",IF($G285&gt;0,IF($I285+$J285+$K285&gt;0,"오래된 잔액 있음 (최소 금액 미만)","정상 범위"),IF($G285&lt;0,"선수금·초과입금 — 확인","완납")))))))</f>
        <v/>
      </c>
      <c r="Q285" s="38">
        <f>IF($U285="","",IF($G285&lt;0,"입금이 매출보다 큼 — 선수금이거나 다른 거래처 입금이 섞였는지 확인",IF(AND($AE285&lt;&gt;"",COUNTIF($AE$8:$AE$307,"*"&amp;$AE285&amp;"*")&gt;1),"이름이 다른 거래처와 겹침 — 입금이 잘못 맞았을 수 있으니 별칭 확인",IF(AND($G285&gt;0,$F285=0),"입금 매칭 없음 — 입금자명이 다르면 [거래처설정]에 별칭 등록",""))))</f>
        <v/>
      </c>
      <c r="R285" s="31">
        <f>IF(OR($U285="",$G285&lt;=0),"",$G285-$A285/10000)</f>
        <v/>
      </c>
      <c r="S285" s="31">
        <f>IF(OR($U285="",$O285&lt;1),"",$O285*10^11+$I285+$J285+$K285-$A285/1000)</f>
        <v/>
      </c>
      <c r="T285" s="31">
        <f>IF($U285="","",IFERROR(MATCH(INDEX(매출원본!$AU$8:$AU$2007,$U285),거래처설정!$I$8:$I$407,0),""))</f>
        <v/>
      </c>
      <c r="U285" s="31">
        <f>IFERROR(MATCH(278,매출원본!$AW$8:$AW$2007,0),"")</f>
        <v/>
      </c>
      <c r="V285" s="31">
        <f>IF($U285="","",MAX(SUMIFS(매출원본!$AT$8:$AT$2007,매출원본!$AY$8:$AY$2007,$A285,매출원본!$AS$8:$AS$2007,"&gt;="&amp;(설정!$B$5-설정!$B$6),매출원본!$AS$8:$AS$2007,"&lt;="&amp;설정!$B$5),0))</f>
        <v/>
      </c>
      <c r="W285" s="31">
        <f>IF($U285="","",MAX($V285,SUMIFS(매출원본!$AT$8:$AT$2007,매출원본!$AY$8:$AY$2007,$A285,매출원본!$AS$8:$AS$2007,"&gt;="&amp;(설정!$B$5-설정!$B$7),매출원본!$AS$8:$AS$2007,"&lt;="&amp;설정!$B$5)))</f>
        <v/>
      </c>
      <c r="X285" s="31">
        <f>IF($U285="","",MAX($W285,SUMIFS(매출원본!$AT$8:$AT$2007,매출원본!$AY$8:$AY$2007,$A285,매출원본!$AS$8:$AS$2007,"&gt;="&amp;(설정!$B$5-설정!$B$8),매출원본!$AS$8:$AS$2007,"&lt;="&amp;설정!$B$5)))</f>
        <v/>
      </c>
      <c r="AC285" s="31">
        <f>IF(OR($U285="",$T285=""),"",INDEX(거래처설정!$J$8:$J$407,$T285))</f>
        <v/>
      </c>
      <c r="AD285" s="31">
        <f>IF(OR($U285="",$T285=""),"",INDEX(거래처설정!$K$8:$K$407,$T285))</f>
        <v/>
      </c>
      <c r="AE285" s="31">
        <f>IF($U285="","",IF(LEN(SUBSTITUTE(SUBSTITUTE(SUBSTITUTE(SUBSTITUTE(SUBSTITUTE(SUBSTITUTE(SUBSTITUTE(SUBSTITUTE(SUBSTITUTE($C285," ",""),"　",""),"(주)",""),"（주）",""),"㈜",""),"주식회사",""),"(유)",""),"（유）",""),"유한회사",""))&lt;2,"",SUBSTITUTE(SUBSTITUTE(SUBSTITUTE(SUBSTITUTE(SUBSTITUTE(SUBSTITUTE(SUBSTITUTE(SUBSTITUTE(SUBSTITUTE($C285," ",""),"　",""),"(주)",""),"（주）",""),"㈜",""),"주식회사",""),"(유)",""),"（유）",""),"유한회사","")))</f>
        <v/>
      </c>
    </row>
    <row r="286">
      <c r="A286" s="38">
        <f>IF($U286="","",279)</f>
        <v/>
      </c>
      <c r="B286" s="38">
        <f>IF($U286="","",IF(LEN(INDEX(매출원본!$AU$8:$AU$2007,$U286))=10,LEFT(INDEX(매출원본!$AU$8:$AU$2007,$U286),3)&amp;"-"&amp;MID(INDEX(매출원본!$AU$8:$AU$2007,$U286),4,2)&amp;"-"&amp;RIGHT(INDEX(매출원본!$AU$8:$AU$2007,$U286),5),IF(LEFT(INDEX(매출원본!$AU$8:$AU$2007,$U286),2)="N:","(번호 없음)",INDEX(매출원본!$AU$8:$AU$2007,$U286))))</f>
        <v/>
      </c>
      <c r="C286" s="38">
        <f>IF($U286="","",INDEX(매출원본!$AV$8:$AV$2007,$U286))</f>
        <v/>
      </c>
      <c r="D286" s="39">
        <f>IF($U286="","",IF($T286="",0,N(INDEX(거래처설정!$E$8:$E$407,$T286))))</f>
        <v/>
      </c>
      <c r="E286" s="39">
        <f>IF($U286="","",SUMIFS(매출원본!$AT$8:$AT$2007,매출원본!$AY$8:$AY$2007,$A286,매출원본!$AS$8:$AS$2007,"&lt;="&amp;설정!$B$5))</f>
        <v/>
      </c>
      <c r="F286" s="39">
        <f>IF($U286="","",SUMIFS(입금_은행1!$Z$8:$Z$2007,입금_은행1!$AC$8:$AC$2007,$A286,입금_은행1!$Y$8:$Y$2007,"&lt;="&amp;설정!$B$5)+SUMIFS(입금_은행2!$Z$8:$Z$2007,입금_은행2!$AC$8:$AC$2007,$A286,입금_은행2!$Y$8:$Y$2007,"&lt;="&amp;설정!$B$5))</f>
        <v/>
      </c>
      <c r="G286" s="39">
        <f>IF($U286="","",$D286+$E286-$F286)</f>
        <v/>
      </c>
      <c r="H286" s="39">
        <f>IF($U286="","",MIN(MAX($G286,0),$V286))</f>
        <v/>
      </c>
      <c r="I286" s="39">
        <f>IF($U286="","",MIN(MAX($G286,0),$W286)-MIN(MAX($G286,0),$V286))</f>
        <v/>
      </c>
      <c r="J286" s="39">
        <f>IF($U286="","",MIN(MAX($G286,0),$X286)-MIN(MAX($G286,0),$W286))</f>
        <v/>
      </c>
      <c r="K286" s="39">
        <f>IF($U286="","",MAX($G286,0)-MIN(MAX($G286,0),$X286))</f>
        <v/>
      </c>
      <c r="L286" s="40">
        <f>IF($U286="","",IF(MAX(SUMPRODUCT(MAX((입금_은행1!$AC$8:$AC$2007=$A286)*(입금_은행1!$AE$8:$AE$2007&lt;=설정!$B$5)*입금_은행1!$AE$8:$AE$2007)),SUMPRODUCT(MAX((입금_은행2!$AC$8:$AC$2007=$A286)*(입금_은행2!$AE$8:$AE$2007&lt;=설정!$B$5)*입금_은행2!$AE$8:$AE$2007)))=0,"",MAX(SUMPRODUCT(MAX((입금_은행1!$AC$8:$AC$2007=$A286)*(입금_은행1!$AE$8:$AE$2007&lt;=설정!$B$5)*입금_은행1!$AE$8:$AE$2007)),SUMPRODUCT(MAX((입금_은행2!$AC$8:$AC$2007=$A286)*(입금_은행2!$AE$8:$AE$2007&lt;=설정!$B$5)*입금_은행2!$AE$8:$AE$2007)))))</f>
        <v/>
      </c>
      <c r="M286" s="38">
        <f>IF($U286="","",IF($T286="","",IF(INDEX(거래처설정!$F$8:$F$407,$T286)="","",INDEX(거래처설정!$F$8:$F$407,$T286))))</f>
        <v/>
      </c>
      <c r="N286" s="38">
        <f>IF($U286="","",IF($T286="","",IF(INDEX(거래처설정!$G$8:$G$407,$T286)="","",INDEX(거래처설정!$G$8:$G$407,$T286))))</f>
        <v/>
      </c>
      <c r="O286" s="38">
        <f>IF($U286="","",IF($M286="제외",0,IF($K286&gt;=설정!$B$9,3,IF($J286+$K286&gt;=설정!$B$9,2,IF($I286+$J286+$K286&gt;=설정!$B$9,1,0)))))</f>
        <v/>
      </c>
      <c r="P286" s="38">
        <f>IF($U286="","",IF($M286="제외","제외(조치 상태)",IF($O286=3,"③ 강한 독촉 후보 ("&amp;설정!$B$8&amp;"일 초과)",IF($O286=2,"② 독촉 후보 ("&amp;설정!$B$7&amp;"일 초과)",IF($O286=1,"① 안내 후보 ("&amp;설정!$B$6&amp;"일 초과)",IF($G286&gt;0,IF($I286+$J286+$K286&gt;0,"오래된 잔액 있음 (최소 금액 미만)","정상 범위"),IF($G286&lt;0,"선수금·초과입금 — 확인","완납")))))))</f>
        <v/>
      </c>
      <c r="Q286" s="38">
        <f>IF($U286="","",IF($G286&lt;0,"입금이 매출보다 큼 — 선수금이거나 다른 거래처 입금이 섞였는지 확인",IF(AND($AE286&lt;&gt;"",COUNTIF($AE$8:$AE$307,"*"&amp;$AE286&amp;"*")&gt;1),"이름이 다른 거래처와 겹침 — 입금이 잘못 맞았을 수 있으니 별칭 확인",IF(AND($G286&gt;0,$F286=0),"입금 매칭 없음 — 입금자명이 다르면 [거래처설정]에 별칭 등록",""))))</f>
        <v/>
      </c>
      <c r="R286" s="31">
        <f>IF(OR($U286="",$G286&lt;=0),"",$G286-$A286/10000)</f>
        <v/>
      </c>
      <c r="S286" s="31">
        <f>IF(OR($U286="",$O286&lt;1),"",$O286*10^11+$I286+$J286+$K286-$A286/1000)</f>
        <v/>
      </c>
      <c r="T286" s="31">
        <f>IF($U286="","",IFERROR(MATCH(INDEX(매출원본!$AU$8:$AU$2007,$U286),거래처설정!$I$8:$I$407,0),""))</f>
        <v/>
      </c>
      <c r="U286" s="31">
        <f>IFERROR(MATCH(279,매출원본!$AW$8:$AW$2007,0),"")</f>
        <v/>
      </c>
      <c r="V286" s="31">
        <f>IF($U286="","",MAX(SUMIFS(매출원본!$AT$8:$AT$2007,매출원본!$AY$8:$AY$2007,$A286,매출원본!$AS$8:$AS$2007,"&gt;="&amp;(설정!$B$5-설정!$B$6),매출원본!$AS$8:$AS$2007,"&lt;="&amp;설정!$B$5),0))</f>
        <v/>
      </c>
      <c r="W286" s="31">
        <f>IF($U286="","",MAX($V286,SUMIFS(매출원본!$AT$8:$AT$2007,매출원본!$AY$8:$AY$2007,$A286,매출원본!$AS$8:$AS$2007,"&gt;="&amp;(설정!$B$5-설정!$B$7),매출원본!$AS$8:$AS$2007,"&lt;="&amp;설정!$B$5)))</f>
        <v/>
      </c>
      <c r="X286" s="31">
        <f>IF($U286="","",MAX($W286,SUMIFS(매출원본!$AT$8:$AT$2007,매출원본!$AY$8:$AY$2007,$A286,매출원본!$AS$8:$AS$2007,"&gt;="&amp;(설정!$B$5-설정!$B$8),매출원본!$AS$8:$AS$2007,"&lt;="&amp;설정!$B$5)))</f>
        <v/>
      </c>
      <c r="AC286" s="31">
        <f>IF(OR($U286="",$T286=""),"",INDEX(거래처설정!$J$8:$J$407,$T286))</f>
        <v/>
      </c>
      <c r="AD286" s="31">
        <f>IF(OR($U286="",$T286=""),"",INDEX(거래처설정!$K$8:$K$407,$T286))</f>
        <v/>
      </c>
      <c r="AE286" s="31">
        <f>IF($U286="","",IF(LEN(SUBSTITUTE(SUBSTITUTE(SUBSTITUTE(SUBSTITUTE(SUBSTITUTE(SUBSTITUTE(SUBSTITUTE(SUBSTITUTE(SUBSTITUTE($C286," ",""),"　",""),"(주)",""),"（주）",""),"㈜",""),"주식회사",""),"(유)",""),"（유）",""),"유한회사",""))&lt;2,"",SUBSTITUTE(SUBSTITUTE(SUBSTITUTE(SUBSTITUTE(SUBSTITUTE(SUBSTITUTE(SUBSTITUTE(SUBSTITUTE(SUBSTITUTE($C286," ",""),"　",""),"(주)",""),"（주）",""),"㈜",""),"주식회사",""),"(유)",""),"（유）",""),"유한회사","")))</f>
        <v/>
      </c>
    </row>
    <row r="287">
      <c r="A287" s="38">
        <f>IF($U287="","",280)</f>
        <v/>
      </c>
      <c r="B287" s="38">
        <f>IF($U287="","",IF(LEN(INDEX(매출원본!$AU$8:$AU$2007,$U287))=10,LEFT(INDEX(매출원본!$AU$8:$AU$2007,$U287),3)&amp;"-"&amp;MID(INDEX(매출원본!$AU$8:$AU$2007,$U287),4,2)&amp;"-"&amp;RIGHT(INDEX(매출원본!$AU$8:$AU$2007,$U287),5),IF(LEFT(INDEX(매출원본!$AU$8:$AU$2007,$U287),2)="N:","(번호 없음)",INDEX(매출원본!$AU$8:$AU$2007,$U287))))</f>
        <v/>
      </c>
      <c r="C287" s="38">
        <f>IF($U287="","",INDEX(매출원본!$AV$8:$AV$2007,$U287))</f>
        <v/>
      </c>
      <c r="D287" s="39">
        <f>IF($U287="","",IF($T287="",0,N(INDEX(거래처설정!$E$8:$E$407,$T287))))</f>
        <v/>
      </c>
      <c r="E287" s="39">
        <f>IF($U287="","",SUMIFS(매출원본!$AT$8:$AT$2007,매출원본!$AY$8:$AY$2007,$A287,매출원본!$AS$8:$AS$2007,"&lt;="&amp;설정!$B$5))</f>
        <v/>
      </c>
      <c r="F287" s="39">
        <f>IF($U287="","",SUMIFS(입금_은행1!$Z$8:$Z$2007,입금_은행1!$AC$8:$AC$2007,$A287,입금_은행1!$Y$8:$Y$2007,"&lt;="&amp;설정!$B$5)+SUMIFS(입금_은행2!$Z$8:$Z$2007,입금_은행2!$AC$8:$AC$2007,$A287,입금_은행2!$Y$8:$Y$2007,"&lt;="&amp;설정!$B$5))</f>
        <v/>
      </c>
      <c r="G287" s="39">
        <f>IF($U287="","",$D287+$E287-$F287)</f>
        <v/>
      </c>
      <c r="H287" s="39">
        <f>IF($U287="","",MIN(MAX($G287,0),$V287))</f>
        <v/>
      </c>
      <c r="I287" s="39">
        <f>IF($U287="","",MIN(MAX($G287,0),$W287)-MIN(MAX($G287,0),$V287))</f>
        <v/>
      </c>
      <c r="J287" s="39">
        <f>IF($U287="","",MIN(MAX($G287,0),$X287)-MIN(MAX($G287,0),$W287))</f>
        <v/>
      </c>
      <c r="K287" s="39">
        <f>IF($U287="","",MAX($G287,0)-MIN(MAX($G287,0),$X287))</f>
        <v/>
      </c>
      <c r="L287" s="40">
        <f>IF($U287="","",IF(MAX(SUMPRODUCT(MAX((입금_은행1!$AC$8:$AC$2007=$A287)*(입금_은행1!$AE$8:$AE$2007&lt;=설정!$B$5)*입금_은행1!$AE$8:$AE$2007)),SUMPRODUCT(MAX((입금_은행2!$AC$8:$AC$2007=$A287)*(입금_은행2!$AE$8:$AE$2007&lt;=설정!$B$5)*입금_은행2!$AE$8:$AE$2007)))=0,"",MAX(SUMPRODUCT(MAX((입금_은행1!$AC$8:$AC$2007=$A287)*(입금_은행1!$AE$8:$AE$2007&lt;=설정!$B$5)*입금_은행1!$AE$8:$AE$2007)),SUMPRODUCT(MAX((입금_은행2!$AC$8:$AC$2007=$A287)*(입금_은행2!$AE$8:$AE$2007&lt;=설정!$B$5)*입금_은행2!$AE$8:$AE$2007)))))</f>
        <v/>
      </c>
      <c r="M287" s="38">
        <f>IF($U287="","",IF($T287="","",IF(INDEX(거래처설정!$F$8:$F$407,$T287)="","",INDEX(거래처설정!$F$8:$F$407,$T287))))</f>
        <v/>
      </c>
      <c r="N287" s="38">
        <f>IF($U287="","",IF($T287="","",IF(INDEX(거래처설정!$G$8:$G$407,$T287)="","",INDEX(거래처설정!$G$8:$G$407,$T287))))</f>
        <v/>
      </c>
      <c r="O287" s="38">
        <f>IF($U287="","",IF($M287="제외",0,IF($K287&gt;=설정!$B$9,3,IF($J287+$K287&gt;=설정!$B$9,2,IF($I287+$J287+$K287&gt;=설정!$B$9,1,0)))))</f>
        <v/>
      </c>
      <c r="P287" s="38">
        <f>IF($U287="","",IF($M287="제외","제외(조치 상태)",IF($O287=3,"③ 강한 독촉 후보 ("&amp;설정!$B$8&amp;"일 초과)",IF($O287=2,"② 독촉 후보 ("&amp;설정!$B$7&amp;"일 초과)",IF($O287=1,"① 안내 후보 ("&amp;설정!$B$6&amp;"일 초과)",IF($G287&gt;0,IF($I287+$J287+$K287&gt;0,"오래된 잔액 있음 (최소 금액 미만)","정상 범위"),IF($G287&lt;0,"선수금·초과입금 — 확인","완납")))))))</f>
        <v/>
      </c>
      <c r="Q287" s="38">
        <f>IF($U287="","",IF($G287&lt;0,"입금이 매출보다 큼 — 선수금이거나 다른 거래처 입금이 섞였는지 확인",IF(AND($AE287&lt;&gt;"",COUNTIF($AE$8:$AE$307,"*"&amp;$AE287&amp;"*")&gt;1),"이름이 다른 거래처와 겹침 — 입금이 잘못 맞았을 수 있으니 별칭 확인",IF(AND($G287&gt;0,$F287=0),"입금 매칭 없음 — 입금자명이 다르면 [거래처설정]에 별칭 등록",""))))</f>
        <v/>
      </c>
      <c r="R287" s="31">
        <f>IF(OR($U287="",$G287&lt;=0),"",$G287-$A287/10000)</f>
        <v/>
      </c>
      <c r="S287" s="31">
        <f>IF(OR($U287="",$O287&lt;1),"",$O287*10^11+$I287+$J287+$K287-$A287/1000)</f>
        <v/>
      </c>
      <c r="T287" s="31">
        <f>IF($U287="","",IFERROR(MATCH(INDEX(매출원본!$AU$8:$AU$2007,$U287),거래처설정!$I$8:$I$407,0),""))</f>
        <v/>
      </c>
      <c r="U287" s="31">
        <f>IFERROR(MATCH(280,매출원본!$AW$8:$AW$2007,0),"")</f>
        <v/>
      </c>
      <c r="V287" s="31">
        <f>IF($U287="","",MAX(SUMIFS(매출원본!$AT$8:$AT$2007,매출원본!$AY$8:$AY$2007,$A287,매출원본!$AS$8:$AS$2007,"&gt;="&amp;(설정!$B$5-설정!$B$6),매출원본!$AS$8:$AS$2007,"&lt;="&amp;설정!$B$5),0))</f>
        <v/>
      </c>
      <c r="W287" s="31">
        <f>IF($U287="","",MAX($V287,SUMIFS(매출원본!$AT$8:$AT$2007,매출원본!$AY$8:$AY$2007,$A287,매출원본!$AS$8:$AS$2007,"&gt;="&amp;(설정!$B$5-설정!$B$7),매출원본!$AS$8:$AS$2007,"&lt;="&amp;설정!$B$5)))</f>
        <v/>
      </c>
      <c r="X287" s="31">
        <f>IF($U287="","",MAX($W287,SUMIFS(매출원본!$AT$8:$AT$2007,매출원본!$AY$8:$AY$2007,$A287,매출원본!$AS$8:$AS$2007,"&gt;="&amp;(설정!$B$5-설정!$B$8),매출원본!$AS$8:$AS$2007,"&lt;="&amp;설정!$B$5)))</f>
        <v/>
      </c>
      <c r="AC287" s="31">
        <f>IF(OR($U287="",$T287=""),"",INDEX(거래처설정!$J$8:$J$407,$T287))</f>
        <v/>
      </c>
      <c r="AD287" s="31">
        <f>IF(OR($U287="",$T287=""),"",INDEX(거래처설정!$K$8:$K$407,$T287))</f>
        <v/>
      </c>
      <c r="AE287" s="31">
        <f>IF($U287="","",IF(LEN(SUBSTITUTE(SUBSTITUTE(SUBSTITUTE(SUBSTITUTE(SUBSTITUTE(SUBSTITUTE(SUBSTITUTE(SUBSTITUTE(SUBSTITUTE($C287," ",""),"　",""),"(주)",""),"（주）",""),"㈜",""),"주식회사",""),"(유)",""),"（유）",""),"유한회사",""))&lt;2,"",SUBSTITUTE(SUBSTITUTE(SUBSTITUTE(SUBSTITUTE(SUBSTITUTE(SUBSTITUTE(SUBSTITUTE(SUBSTITUTE(SUBSTITUTE($C287," ",""),"　",""),"(주)",""),"（주）",""),"㈜",""),"주식회사",""),"(유)",""),"（유）",""),"유한회사","")))</f>
        <v/>
      </c>
    </row>
    <row r="288">
      <c r="A288" s="38">
        <f>IF($U288="","",281)</f>
        <v/>
      </c>
      <c r="B288" s="38">
        <f>IF($U288="","",IF(LEN(INDEX(매출원본!$AU$8:$AU$2007,$U288))=10,LEFT(INDEX(매출원본!$AU$8:$AU$2007,$U288),3)&amp;"-"&amp;MID(INDEX(매출원본!$AU$8:$AU$2007,$U288),4,2)&amp;"-"&amp;RIGHT(INDEX(매출원본!$AU$8:$AU$2007,$U288),5),IF(LEFT(INDEX(매출원본!$AU$8:$AU$2007,$U288),2)="N:","(번호 없음)",INDEX(매출원본!$AU$8:$AU$2007,$U288))))</f>
        <v/>
      </c>
      <c r="C288" s="38">
        <f>IF($U288="","",INDEX(매출원본!$AV$8:$AV$2007,$U288))</f>
        <v/>
      </c>
      <c r="D288" s="39">
        <f>IF($U288="","",IF($T288="",0,N(INDEX(거래처설정!$E$8:$E$407,$T288))))</f>
        <v/>
      </c>
      <c r="E288" s="39">
        <f>IF($U288="","",SUMIFS(매출원본!$AT$8:$AT$2007,매출원본!$AY$8:$AY$2007,$A288,매출원본!$AS$8:$AS$2007,"&lt;="&amp;설정!$B$5))</f>
        <v/>
      </c>
      <c r="F288" s="39">
        <f>IF($U288="","",SUMIFS(입금_은행1!$Z$8:$Z$2007,입금_은행1!$AC$8:$AC$2007,$A288,입금_은행1!$Y$8:$Y$2007,"&lt;="&amp;설정!$B$5)+SUMIFS(입금_은행2!$Z$8:$Z$2007,입금_은행2!$AC$8:$AC$2007,$A288,입금_은행2!$Y$8:$Y$2007,"&lt;="&amp;설정!$B$5))</f>
        <v/>
      </c>
      <c r="G288" s="39">
        <f>IF($U288="","",$D288+$E288-$F288)</f>
        <v/>
      </c>
      <c r="H288" s="39">
        <f>IF($U288="","",MIN(MAX($G288,0),$V288))</f>
        <v/>
      </c>
      <c r="I288" s="39">
        <f>IF($U288="","",MIN(MAX($G288,0),$W288)-MIN(MAX($G288,0),$V288))</f>
        <v/>
      </c>
      <c r="J288" s="39">
        <f>IF($U288="","",MIN(MAX($G288,0),$X288)-MIN(MAX($G288,0),$W288))</f>
        <v/>
      </c>
      <c r="K288" s="39">
        <f>IF($U288="","",MAX($G288,0)-MIN(MAX($G288,0),$X288))</f>
        <v/>
      </c>
      <c r="L288" s="40">
        <f>IF($U288="","",IF(MAX(SUMPRODUCT(MAX((입금_은행1!$AC$8:$AC$2007=$A288)*(입금_은행1!$AE$8:$AE$2007&lt;=설정!$B$5)*입금_은행1!$AE$8:$AE$2007)),SUMPRODUCT(MAX((입금_은행2!$AC$8:$AC$2007=$A288)*(입금_은행2!$AE$8:$AE$2007&lt;=설정!$B$5)*입금_은행2!$AE$8:$AE$2007)))=0,"",MAX(SUMPRODUCT(MAX((입금_은행1!$AC$8:$AC$2007=$A288)*(입금_은행1!$AE$8:$AE$2007&lt;=설정!$B$5)*입금_은행1!$AE$8:$AE$2007)),SUMPRODUCT(MAX((입금_은행2!$AC$8:$AC$2007=$A288)*(입금_은행2!$AE$8:$AE$2007&lt;=설정!$B$5)*입금_은행2!$AE$8:$AE$2007)))))</f>
        <v/>
      </c>
      <c r="M288" s="38">
        <f>IF($U288="","",IF($T288="","",IF(INDEX(거래처설정!$F$8:$F$407,$T288)="","",INDEX(거래처설정!$F$8:$F$407,$T288))))</f>
        <v/>
      </c>
      <c r="N288" s="38">
        <f>IF($U288="","",IF($T288="","",IF(INDEX(거래처설정!$G$8:$G$407,$T288)="","",INDEX(거래처설정!$G$8:$G$407,$T288))))</f>
        <v/>
      </c>
      <c r="O288" s="38">
        <f>IF($U288="","",IF($M288="제외",0,IF($K288&gt;=설정!$B$9,3,IF($J288+$K288&gt;=설정!$B$9,2,IF($I288+$J288+$K288&gt;=설정!$B$9,1,0)))))</f>
        <v/>
      </c>
      <c r="P288" s="38">
        <f>IF($U288="","",IF($M288="제외","제외(조치 상태)",IF($O288=3,"③ 강한 독촉 후보 ("&amp;설정!$B$8&amp;"일 초과)",IF($O288=2,"② 독촉 후보 ("&amp;설정!$B$7&amp;"일 초과)",IF($O288=1,"① 안내 후보 ("&amp;설정!$B$6&amp;"일 초과)",IF($G288&gt;0,IF($I288+$J288+$K288&gt;0,"오래된 잔액 있음 (최소 금액 미만)","정상 범위"),IF($G288&lt;0,"선수금·초과입금 — 확인","완납")))))))</f>
        <v/>
      </c>
      <c r="Q288" s="38">
        <f>IF($U288="","",IF($G288&lt;0,"입금이 매출보다 큼 — 선수금이거나 다른 거래처 입금이 섞였는지 확인",IF(AND($AE288&lt;&gt;"",COUNTIF($AE$8:$AE$307,"*"&amp;$AE288&amp;"*")&gt;1),"이름이 다른 거래처와 겹침 — 입금이 잘못 맞았을 수 있으니 별칭 확인",IF(AND($G288&gt;0,$F288=0),"입금 매칭 없음 — 입금자명이 다르면 [거래처설정]에 별칭 등록",""))))</f>
        <v/>
      </c>
      <c r="R288" s="31">
        <f>IF(OR($U288="",$G288&lt;=0),"",$G288-$A288/10000)</f>
        <v/>
      </c>
      <c r="S288" s="31">
        <f>IF(OR($U288="",$O288&lt;1),"",$O288*10^11+$I288+$J288+$K288-$A288/1000)</f>
        <v/>
      </c>
      <c r="T288" s="31">
        <f>IF($U288="","",IFERROR(MATCH(INDEX(매출원본!$AU$8:$AU$2007,$U288),거래처설정!$I$8:$I$407,0),""))</f>
        <v/>
      </c>
      <c r="U288" s="31">
        <f>IFERROR(MATCH(281,매출원본!$AW$8:$AW$2007,0),"")</f>
        <v/>
      </c>
      <c r="V288" s="31">
        <f>IF($U288="","",MAX(SUMIFS(매출원본!$AT$8:$AT$2007,매출원본!$AY$8:$AY$2007,$A288,매출원본!$AS$8:$AS$2007,"&gt;="&amp;(설정!$B$5-설정!$B$6),매출원본!$AS$8:$AS$2007,"&lt;="&amp;설정!$B$5),0))</f>
        <v/>
      </c>
      <c r="W288" s="31">
        <f>IF($U288="","",MAX($V288,SUMIFS(매출원본!$AT$8:$AT$2007,매출원본!$AY$8:$AY$2007,$A288,매출원본!$AS$8:$AS$2007,"&gt;="&amp;(설정!$B$5-설정!$B$7),매출원본!$AS$8:$AS$2007,"&lt;="&amp;설정!$B$5)))</f>
        <v/>
      </c>
      <c r="X288" s="31">
        <f>IF($U288="","",MAX($W288,SUMIFS(매출원본!$AT$8:$AT$2007,매출원본!$AY$8:$AY$2007,$A288,매출원본!$AS$8:$AS$2007,"&gt;="&amp;(설정!$B$5-설정!$B$8),매출원본!$AS$8:$AS$2007,"&lt;="&amp;설정!$B$5)))</f>
        <v/>
      </c>
      <c r="AC288" s="31">
        <f>IF(OR($U288="",$T288=""),"",INDEX(거래처설정!$J$8:$J$407,$T288))</f>
        <v/>
      </c>
      <c r="AD288" s="31">
        <f>IF(OR($U288="",$T288=""),"",INDEX(거래처설정!$K$8:$K$407,$T288))</f>
        <v/>
      </c>
      <c r="AE288" s="31">
        <f>IF($U288="","",IF(LEN(SUBSTITUTE(SUBSTITUTE(SUBSTITUTE(SUBSTITUTE(SUBSTITUTE(SUBSTITUTE(SUBSTITUTE(SUBSTITUTE(SUBSTITUTE($C288," ",""),"　",""),"(주)",""),"（주）",""),"㈜",""),"주식회사",""),"(유)",""),"（유）",""),"유한회사",""))&lt;2,"",SUBSTITUTE(SUBSTITUTE(SUBSTITUTE(SUBSTITUTE(SUBSTITUTE(SUBSTITUTE(SUBSTITUTE(SUBSTITUTE(SUBSTITUTE($C288," ",""),"　",""),"(주)",""),"（주）",""),"㈜",""),"주식회사",""),"(유)",""),"（유）",""),"유한회사","")))</f>
        <v/>
      </c>
    </row>
    <row r="289">
      <c r="A289" s="38">
        <f>IF($U289="","",282)</f>
        <v/>
      </c>
      <c r="B289" s="38">
        <f>IF($U289="","",IF(LEN(INDEX(매출원본!$AU$8:$AU$2007,$U289))=10,LEFT(INDEX(매출원본!$AU$8:$AU$2007,$U289),3)&amp;"-"&amp;MID(INDEX(매출원본!$AU$8:$AU$2007,$U289),4,2)&amp;"-"&amp;RIGHT(INDEX(매출원본!$AU$8:$AU$2007,$U289),5),IF(LEFT(INDEX(매출원본!$AU$8:$AU$2007,$U289),2)="N:","(번호 없음)",INDEX(매출원본!$AU$8:$AU$2007,$U289))))</f>
        <v/>
      </c>
      <c r="C289" s="38">
        <f>IF($U289="","",INDEX(매출원본!$AV$8:$AV$2007,$U289))</f>
        <v/>
      </c>
      <c r="D289" s="39">
        <f>IF($U289="","",IF($T289="",0,N(INDEX(거래처설정!$E$8:$E$407,$T289))))</f>
        <v/>
      </c>
      <c r="E289" s="39">
        <f>IF($U289="","",SUMIFS(매출원본!$AT$8:$AT$2007,매출원본!$AY$8:$AY$2007,$A289,매출원본!$AS$8:$AS$2007,"&lt;="&amp;설정!$B$5))</f>
        <v/>
      </c>
      <c r="F289" s="39">
        <f>IF($U289="","",SUMIFS(입금_은행1!$Z$8:$Z$2007,입금_은행1!$AC$8:$AC$2007,$A289,입금_은행1!$Y$8:$Y$2007,"&lt;="&amp;설정!$B$5)+SUMIFS(입금_은행2!$Z$8:$Z$2007,입금_은행2!$AC$8:$AC$2007,$A289,입금_은행2!$Y$8:$Y$2007,"&lt;="&amp;설정!$B$5))</f>
        <v/>
      </c>
      <c r="G289" s="39">
        <f>IF($U289="","",$D289+$E289-$F289)</f>
        <v/>
      </c>
      <c r="H289" s="39">
        <f>IF($U289="","",MIN(MAX($G289,0),$V289))</f>
        <v/>
      </c>
      <c r="I289" s="39">
        <f>IF($U289="","",MIN(MAX($G289,0),$W289)-MIN(MAX($G289,0),$V289))</f>
        <v/>
      </c>
      <c r="J289" s="39">
        <f>IF($U289="","",MIN(MAX($G289,0),$X289)-MIN(MAX($G289,0),$W289))</f>
        <v/>
      </c>
      <c r="K289" s="39">
        <f>IF($U289="","",MAX($G289,0)-MIN(MAX($G289,0),$X289))</f>
        <v/>
      </c>
      <c r="L289" s="40">
        <f>IF($U289="","",IF(MAX(SUMPRODUCT(MAX((입금_은행1!$AC$8:$AC$2007=$A289)*(입금_은행1!$AE$8:$AE$2007&lt;=설정!$B$5)*입금_은행1!$AE$8:$AE$2007)),SUMPRODUCT(MAX((입금_은행2!$AC$8:$AC$2007=$A289)*(입금_은행2!$AE$8:$AE$2007&lt;=설정!$B$5)*입금_은행2!$AE$8:$AE$2007)))=0,"",MAX(SUMPRODUCT(MAX((입금_은행1!$AC$8:$AC$2007=$A289)*(입금_은행1!$AE$8:$AE$2007&lt;=설정!$B$5)*입금_은행1!$AE$8:$AE$2007)),SUMPRODUCT(MAX((입금_은행2!$AC$8:$AC$2007=$A289)*(입금_은행2!$AE$8:$AE$2007&lt;=설정!$B$5)*입금_은행2!$AE$8:$AE$2007)))))</f>
        <v/>
      </c>
      <c r="M289" s="38">
        <f>IF($U289="","",IF($T289="","",IF(INDEX(거래처설정!$F$8:$F$407,$T289)="","",INDEX(거래처설정!$F$8:$F$407,$T289))))</f>
        <v/>
      </c>
      <c r="N289" s="38">
        <f>IF($U289="","",IF($T289="","",IF(INDEX(거래처설정!$G$8:$G$407,$T289)="","",INDEX(거래처설정!$G$8:$G$407,$T289))))</f>
        <v/>
      </c>
      <c r="O289" s="38">
        <f>IF($U289="","",IF($M289="제외",0,IF($K289&gt;=설정!$B$9,3,IF($J289+$K289&gt;=설정!$B$9,2,IF($I289+$J289+$K289&gt;=설정!$B$9,1,0)))))</f>
        <v/>
      </c>
      <c r="P289" s="38">
        <f>IF($U289="","",IF($M289="제외","제외(조치 상태)",IF($O289=3,"③ 강한 독촉 후보 ("&amp;설정!$B$8&amp;"일 초과)",IF($O289=2,"② 독촉 후보 ("&amp;설정!$B$7&amp;"일 초과)",IF($O289=1,"① 안내 후보 ("&amp;설정!$B$6&amp;"일 초과)",IF($G289&gt;0,IF($I289+$J289+$K289&gt;0,"오래된 잔액 있음 (최소 금액 미만)","정상 범위"),IF($G289&lt;0,"선수금·초과입금 — 확인","완납")))))))</f>
        <v/>
      </c>
      <c r="Q289" s="38">
        <f>IF($U289="","",IF($G289&lt;0,"입금이 매출보다 큼 — 선수금이거나 다른 거래처 입금이 섞였는지 확인",IF(AND($AE289&lt;&gt;"",COUNTIF($AE$8:$AE$307,"*"&amp;$AE289&amp;"*")&gt;1),"이름이 다른 거래처와 겹침 — 입금이 잘못 맞았을 수 있으니 별칭 확인",IF(AND($G289&gt;0,$F289=0),"입금 매칭 없음 — 입금자명이 다르면 [거래처설정]에 별칭 등록",""))))</f>
        <v/>
      </c>
      <c r="R289" s="31">
        <f>IF(OR($U289="",$G289&lt;=0),"",$G289-$A289/10000)</f>
        <v/>
      </c>
      <c r="S289" s="31">
        <f>IF(OR($U289="",$O289&lt;1),"",$O289*10^11+$I289+$J289+$K289-$A289/1000)</f>
        <v/>
      </c>
      <c r="T289" s="31">
        <f>IF($U289="","",IFERROR(MATCH(INDEX(매출원본!$AU$8:$AU$2007,$U289),거래처설정!$I$8:$I$407,0),""))</f>
        <v/>
      </c>
      <c r="U289" s="31">
        <f>IFERROR(MATCH(282,매출원본!$AW$8:$AW$2007,0),"")</f>
        <v/>
      </c>
      <c r="V289" s="31">
        <f>IF($U289="","",MAX(SUMIFS(매출원본!$AT$8:$AT$2007,매출원본!$AY$8:$AY$2007,$A289,매출원본!$AS$8:$AS$2007,"&gt;="&amp;(설정!$B$5-설정!$B$6),매출원본!$AS$8:$AS$2007,"&lt;="&amp;설정!$B$5),0))</f>
        <v/>
      </c>
      <c r="W289" s="31">
        <f>IF($U289="","",MAX($V289,SUMIFS(매출원본!$AT$8:$AT$2007,매출원본!$AY$8:$AY$2007,$A289,매출원본!$AS$8:$AS$2007,"&gt;="&amp;(설정!$B$5-설정!$B$7),매출원본!$AS$8:$AS$2007,"&lt;="&amp;설정!$B$5)))</f>
        <v/>
      </c>
      <c r="X289" s="31">
        <f>IF($U289="","",MAX($W289,SUMIFS(매출원본!$AT$8:$AT$2007,매출원본!$AY$8:$AY$2007,$A289,매출원본!$AS$8:$AS$2007,"&gt;="&amp;(설정!$B$5-설정!$B$8),매출원본!$AS$8:$AS$2007,"&lt;="&amp;설정!$B$5)))</f>
        <v/>
      </c>
      <c r="AC289" s="31">
        <f>IF(OR($U289="",$T289=""),"",INDEX(거래처설정!$J$8:$J$407,$T289))</f>
        <v/>
      </c>
      <c r="AD289" s="31">
        <f>IF(OR($U289="",$T289=""),"",INDEX(거래처설정!$K$8:$K$407,$T289))</f>
        <v/>
      </c>
      <c r="AE289" s="31">
        <f>IF($U289="","",IF(LEN(SUBSTITUTE(SUBSTITUTE(SUBSTITUTE(SUBSTITUTE(SUBSTITUTE(SUBSTITUTE(SUBSTITUTE(SUBSTITUTE(SUBSTITUTE($C289," ",""),"　",""),"(주)",""),"（주）",""),"㈜",""),"주식회사",""),"(유)",""),"（유）",""),"유한회사",""))&lt;2,"",SUBSTITUTE(SUBSTITUTE(SUBSTITUTE(SUBSTITUTE(SUBSTITUTE(SUBSTITUTE(SUBSTITUTE(SUBSTITUTE(SUBSTITUTE($C289," ",""),"　",""),"(주)",""),"（주）",""),"㈜",""),"주식회사",""),"(유)",""),"（유）",""),"유한회사","")))</f>
        <v/>
      </c>
    </row>
    <row r="290">
      <c r="A290" s="38">
        <f>IF($U290="","",283)</f>
        <v/>
      </c>
      <c r="B290" s="38">
        <f>IF($U290="","",IF(LEN(INDEX(매출원본!$AU$8:$AU$2007,$U290))=10,LEFT(INDEX(매출원본!$AU$8:$AU$2007,$U290),3)&amp;"-"&amp;MID(INDEX(매출원본!$AU$8:$AU$2007,$U290),4,2)&amp;"-"&amp;RIGHT(INDEX(매출원본!$AU$8:$AU$2007,$U290),5),IF(LEFT(INDEX(매출원본!$AU$8:$AU$2007,$U290),2)="N:","(번호 없음)",INDEX(매출원본!$AU$8:$AU$2007,$U290))))</f>
        <v/>
      </c>
      <c r="C290" s="38">
        <f>IF($U290="","",INDEX(매출원본!$AV$8:$AV$2007,$U290))</f>
        <v/>
      </c>
      <c r="D290" s="39">
        <f>IF($U290="","",IF($T290="",0,N(INDEX(거래처설정!$E$8:$E$407,$T290))))</f>
        <v/>
      </c>
      <c r="E290" s="39">
        <f>IF($U290="","",SUMIFS(매출원본!$AT$8:$AT$2007,매출원본!$AY$8:$AY$2007,$A290,매출원본!$AS$8:$AS$2007,"&lt;="&amp;설정!$B$5))</f>
        <v/>
      </c>
      <c r="F290" s="39">
        <f>IF($U290="","",SUMIFS(입금_은행1!$Z$8:$Z$2007,입금_은행1!$AC$8:$AC$2007,$A290,입금_은행1!$Y$8:$Y$2007,"&lt;="&amp;설정!$B$5)+SUMIFS(입금_은행2!$Z$8:$Z$2007,입금_은행2!$AC$8:$AC$2007,$A290,입금_은행2!$Y$8:$Y$2007,"&lt;="&amp;설정!$B$5))</f>
        <v/>
      </c>
      <c r="G290" s="39">
        <f>IF($U290="","",$D290+$E290-$F290)</f>
        <v/>
      </c>
      <c r="H290" s="39">
        <f>IF($U290="","",MIN(MAX($G290,0),$V290))</f>
        <v/>
      </c>
      <c r="I290" s="39">
        <f>IF($U290="","",MIN(MAX($G290,0),$W290)-MIN(MAX($G290,0),$V290))</f>
        <v/>
      </c>
      <c r="J290" s="39">
        <f>IF($U290="","",MIN(MAX($G290,0),$X290)-MIN(MAX($G290,0),$W290))</f>
        <v/>
      </c>
      <c r="K290" s="39">
        <f>IF($U290="","",MAX($G290,0)-MIN(MAX($G290,0),$X290))</f>
        <v/>
      </c>
      <c r="L290" s="40">
        <f>IF($U290="","",IF(MAX(SUMPRODUCT(MAX((입금_은행1!$AC$8:$AC$2007=$A290)*(입금_은행1!$AE$8:$AE$2007&lt;=설정!$B$5)*입금_은행1!$AE$8:$AE$2007)),SUMPRODUCT(MAX((입금_은행2!$AC$8:$AC$2007=$A290)*(입금_은행2!$AE$8:$AE$2007&lt;=설정!$B$5)*입금_은행2!$AE$8:$AE$2007)))=0,"",MAX(SUMPRODUCT(MAX((입금_은행1!$AC$8:$AC$2007=$A290)*(입금_은행1!$AE$8:$AE$2007&lt;=설정!$B$5)*입금_은행1!$AE$8:$AE$2007)),SUMPRODUCT(MAX((입금_은행2!$AC$8:$AC$2007=$A290)*(입금_은행2!$AE$8:$AE$2007&lt;=설정!$B$5)*입금_은행2!$AE$8:$AE$2007)))))</f>
        <v/>
      </c>
      <c r="M290" s="38">
        <f>IF($U290="","",IF($T290="","",IF(INDEX(거래처설정!$F$8:$F$407,$T290)="","",INDEX(거래처설정!$F$8:$F$407,$T290))))</f>
        <v/>
      </c>
      <c r="N290" s="38">
        <f>IF($U290="","",IF($T290="","",IF(INDEX(거래처설정!$G$8:$G$407,$T290)="","",INDEX(거래처설정!$G$8:$G$407,$T290))))</f>
        <v/>
      </c>
      <c r="O290" s="38">
        <f>IF($U290="","",IF($M290="제외",0,IF($K290&gt;=설정!$B$9,3,IF($J290+$K290&gt;=설정!$B$9,2,IF($I290+$J290+$K290&gt;=설정!$B$9,1,0)))))</f>
        <v/>
      </c>
      <c r="P290" s="38">
        <f>IF($U290="","",IF($M290="제외","제외(조치 상태)",IF($O290=3,"③ 강한 독촉 후보 ("&amp;설정!$B$8&amp;"일 초과)",IF($O290=2,"② 독촉 후보 ("&amp;설정!$B$7&amp;"일 초과)",IF($O290=1,"① 안내 후보 ("&amp;설정!$B$6&amp;"일 초과)",IF($G290&gt;0,IF($I290+$J290+$K290&gt;0,"오래된 잔액 있음 (최소 금액 미만)","정상 범위"),IF($G290&lt;0,"선수금·초과입금 — 확인","완납")))))))</f>
        <v/>
      </c>
      <c r="Q290" s="38">
        <f>IF($U290="","",IF($G290&lt;0,"입금이 매출보다 큼 — 선수금이거나 다른 거래처 입금이 섞였는지 확인",IF(AND($AE290&lt;&gt;"",COUNTIF($AE$8:$AE$307,"*"&amp;$AE290&amp;"*")&gt;1),"이름이 다른 거래처와 겹침 — 입금이 잘못 맞았을 수 있으니 별칭 확인",IF(AND($G290&gt;0,$F290=0),"입금 매칭 없음 — 입금자명이 다르면 [거래처설정]에 별칭 등록",""))))</f>
        <v/>
      </c>
      <c r="R290" s="31">
        <f>IF(OR($U290="",$G290&lt;=0),"",$G290-$A290/10000)</f>
        <v/>
      </c>
      <c r="S290" s="31">
        <f>IF(OR($U290="",$O290&lt;1),"",$O290*10^11+$I290+$J290+$K290-$A290/1000)</f>
        <v/>
      </c>
      <c r="T290" s="31">
        <f>IF($U290="","",IFERROR(MATCH(INDEX(매출원본!$AU$8:$AU$2007,$U290),거래처설정!$I$8:$I$407,0),""))</f>
        <v/>
      </c>
      <c r="U290" s="31">
        <f>IFERROR(MATCH(283,매출원본!$AW$8:$AW$2007,0),"")</f>
        <v/>
      </c>
      <c r="V290" s="31">
        <f>IF($U290="","",MAX(SUMIFS(매출원본!$AT$8:$AT$2007,매출원본!$AY$8:$AY$2007,$A290,매출원본!$AS$8:$AS$2007,"&gt;="&amp;(설정!$B$5-설정!$B$6),매출원본!$AS$8:$AS$2007,"&lt;="&amp;설정!$B$5),0))</f>
        <v/>
      </c>
      <c r="W290" s="31">
        <f>IF($U290="","",MAX($V290,SUMIFS(매출원본!$AT$8:$AT$2007,매출원본!$AY$8:$AY$2007,$A290,매출원본!$AS$8:$AS$2007,"&gt;="&amp;(설정!$B$5-설정!$B$7),매출원본!$AS$8:$AS$2007,"&lt;="&amp;설정!$B$5)))</f>
        <v/>
      </c>
      <c r="X290" s="31">
        <f>IF($U290="","",MAX($W290,SUMIFS(매출원본!$AT$8:$AT$2007,매출원본!$AY$8:$AY$2007,$A290,매출원본!$AS$8:$AS$2007,"&gt;="&amp;(설정!$B$5-설정!$B$8),매출원본!$AS$8:$AS$2007,"&lt;="&amp;설정!$B$5)))</f>
        <v/>
      </c>
      <c r="AC290" s="31">
        <f>IF(OR($U290="",$T290=""),"",INDEX(거래처설정!$J$8:$J$407,$T290))</f>
        <v/>
      </c>
      <c r="AD290" s="31">
        <f>IF(OR($U290="",$T290=""),"",INDEX(거래처설정!$K$8:$K$407,$T290))</f>
        <v/>
      </c>
      <c r="AE290" s="31">
        <f>IF($U290="","",IF(LEN(SUBSTITUTE(SUBSTITUTE(SUBSTITUTE(SUBSTITUTE(SUBSTITUTE(SUBSTITUTE(SUBSTITUTE(SUBSTITUTE(SUBSTITUTE($C290," ",""),"　",""),"(주)",""),"（주）",""),"㈜",""),"주식회사",""),"(유)",""),"（유）",""),"유한회사",""))&lt;2,"",SUBSTITUTE(SUBSTITUTE(SUBSTITUTE(SUBSTITUTE(SUBSTITUTE(SUBSTITUTE(SUBSTITUTE(SUBSTITUTE(SUBSTITUTE($C290," ",""),"　",""),"(주)",""),"（주）",""),"㈜",""),"주식회사",""),"(유)",""),"（유）",""),"유한회사","")))</f>
        <v/>
      </c>
    </row>
    <row r="291">
      <c r="A291" s="38">
        <f>IF($U291="","",284)</f>
        <v/>
      </c>
      <c r="B291" s="38">
        <f>IF($U291="","",IF(LEN(INDEX(매출원본!$AU$8:$AU$2007,$U291))=10,LEFT(INDEX(매출원본!$AU$8:$AU$2007,$U291),3)&amp;"-"&amp;MID(INDEX(매출원본!$AU$8:$AU$2007,$U291),4,2)&amp;"-"&amp;RIGHT(INDEX(매출원본!$AU$8:$AU$2007,$U291),5),IF(LEFT(INDEX(매출원본!$AU$8:$AU$2007,$U291),2)="N:","(번호 없음)",INDEX(매출원본!$AU$8:$AU$2007,$U291))))</f>
        <v/>
      </c>
      <c r="C291" s="38">
        <f>IF($U291="","",INDEX(매출원본!$AV$8:$AV$2007,$U291))</f>
        <v/>
      </c>
      <c r="D291" s="39">
        <f>IF($U291="","",IF($T291="",0,N(INDEX(거래처설정!$E$8:$E$407,$T291))))</f>
        <v/>
      </c>
      <c r="E291" s="39">
        <f>IF($U291="","",SUMIFS(매출원본!$AT$8:$AT$2007,매출원본!$AY$8:$AY$2007,$A291,매출원본!$AS$8:$AS$2007,"&lt;="&amp;설정!$B$5))</f>
        <v/>
      </c>
      <c r="F291" s="39">
        <f>IF($U291="","",SUMIFS(입금_은행1!$Z$8:$Z$2007,입금_은행1!$AC$8:$AC$2007,$A291,입금_은행1!$Y$8:$Y$2007,"&lt;="&amp;설정!$B$5)+SUMIFS(입금_은행2!$Z$8:$Z$2007,입금_은행2!$AC$8:$AC$2007,$A291,입금_은행2!$Y$8:$Y$2007,"&lt;="&amp;설정!$B$5))</f>
        <v/>
      </c>
      <c r="G291" s="39">
        <f>IF($U291="","",$D291+$E291-$F291)</f>
        <v/>
      </c>
      <c r="H291" s="39">
        <f>IF($U291="","",MIN(MAX($G291,0),$V291))</f>
        <v/>
      </c>
      <c r="I291" s="39">
        <f>IF($U291="","",MIN(MAX($G291,0),$W291)-MIN(MAX($G291,0),$V291))</f>
        <v/>
      </c>
      <c r="J291" s="39">
        <f>IF($U291="","",MIN(MAX($G291,0),$X291)-MIN(MAX($G291,0),$W291))</f>
        <v/>
      </c>
      <c r="K291" s="39">
        <f>IF($U291="","",MAX($G291,0)-MIN(MAX($G291,0),$X291))</f>
        <v/>
      </c>
      <c r="L291" s="40">
        <f>IF($U291="","",IF(MAX(SUMPRODUCT(MAX((입금_은행1!$AC$8:$AC$2007=$A291)*(입금_은행1!$AE$8:$AE$2007&lt;=설정!$B$5)*입금_은행1!$AE$8:$AE$2007)),SUMPRODUCT(MAX((입금_은행2!$AC$8:$AC$2007=$A291)*(입금_은행2!$AE$8:$AE$2007&lt;=설정!$B$5)*입금_은행2!$AE$8:$AE$2007)))=0,"",MAX(SUMPRODUCT(MAX((입금_은행1!$AC$8:$AC$2007=$A291)*(입금_은행1!$AE$8:$AE$2007&lt;=설정!$B$5)*입금_은행1!$AE$8:$AE$2007)),SUMPRODUCT(MAX((입금_은행2!$AC$8:$AC$2007=$A291)*(입금_은행2!$AE$8:$AE$2007&lt;=설정!$B$5)*입금_은행2!$AE$8:$AE$2007)))))</f>
        <v/>
      </c>
      <c r="M291" s="38">
        <f>IF($U291="","",IF($T291="","",IF(INDEX(거래처설정!$F$8:$F$407,$T291)="","",INDEX(거래처설정!$F$8:$F$407,$T291))))</f>
        <v/>
      </c>
      <c r="N291" s="38">
        <f>IF($U291="","",IF($T291="","",IF(INDEX(거래처설정!$G$8:$G$407,$T291)="","",INDEX(거래처설정!$G$8:$G$407,$T291))))</f>
        <v/>
      </c>
      <c r="O291" s="38">
        <f>IF($U291="","",IF($M291="제외",0,IF($K291&gt;=설정!$B$9,3,IF($J291+$K291&gt;=설정!$B$9,2,IF($I291+$J291+$K291&gt;=설정!$B$9,1,0)))))</f>
        <v/>
      </c>
      <c r="P291" s="38">
        <f>IF($U291="","",IF($M291="제외","제외(조치 상태)",IF($O291=3,"③ 강한 독촉 후보 ("&amp;설정!$B$8&amp;"일 초과)",IF($O291=2,"② 독촉 후보 ("&amp;설정!$B$7&amp;"일 초과)",IF($O291=1,"① 안내 후보 ("&amp;설정!$B$6&amp;"일 초과)",IF($G291&gt;0,IF($I291+$J291+$K291&gt;0,"오래된 잔액 있음 (최소 금액 미만)","정상 범위"),IF($G291&lt;0,"선수금·초과입금 — 확인","완납")))))))</f>
        <v/>
      </c>
      <c r="Q291" s="38">
        <f>IF($U291="","",IF($G291&lt;0,"입금이 매출보다 큼 — 선수금이거나 다른 거래처 입금이 섞였는지 확인",IF(AND($AE291&lt;&gt;"",COUNTIF($AE$8:$AE$307,"*"&amp;$AE291&amp;"*")&gt;1),"이름이 다른 거래처와 겹침 — 입금이 잘못 맞았을 수 있으니 별칭 확인",IF(AND($G291&gt;0,$F291=0),"입금 매칭 없음 — 입금자명이 다르면 [거래처설정]에 별칭 등록",""))))</f>
        <v/>
      </c>
      <c r="R291" s="31">
        <f>IF(OR($U291="",$G291&lt;=0),"",$G291-$A291/10000)</f>
        <v/>
      </c>
      <c r="S291" s="31">
        <f>IF(OR($U291="",$O291&lt;1),"",$O291*10^11+$I291+$J291+$K291-$A291/1000)</f>
        <v/>
      </c>
      <c r="T291" s="31">
        <f>IF($U291="","",IFERROR(MATCH(INDEX(매출원본!$AU$8:$AU$2007,$U291),거래처설정!$I$8:$I$407,0),""))</f>
        <v/>
      </c>
      <c r="U291" s="31">
        <f>IFERROR(MATCH(284,매출원본!$AW$8:$AW$2007,0),"")</f>
        <v/>
      </c>
      <c r="V291" s="31">
        <f>IF($U291="","",MAX(SUMIFS(매출원본!$AT$8:$AT$2007,매출원본!$AY$8:$AY$2007,$A291,매출원본!$AS$8:$AS$2007,"&gt;="&amp;(설정!$B$5-설정!$B$6),매출원본!$AS$8:$AS$2007,"&lt;="&amp;설정!$B$5),0))</f>
        <v/>
      </c>
      <c r="W291" s="31">
        <f>IF($U291="","",MAX($V291,SUMIFS(매출원본!$AT$8:$AT$2007,매출원본!$AY$8:$AY$2007,$A291,매출원본!$AS$8:$AS$2007,"&gt;="&amp;(설정!$B$5-설정!$B$7),매출원본!$AS$8:$AS$2007,"&lt;="&amp;설정!$B$5)))</f>
        <v/>
      </c>
      <c r="X291" s="31">
        <f>IF($U291="","",MAX($W291,SUMIFS(매출원본!$AT$8:$AT$2007,매출원본!$AY$8:$AY$2007,$A291,매출원본!$AS$8:$AS$2007,"&gt;="&amp;(설정!$B$5-설정!$B$8),매출원본!$AS$8:$AS$2007,"&lt;="&amp;설정!$B$5)))</f>
        <v/>
      </c>
      <c r="AC291" s="31">
        <f>IF(OR($U291="",$T291=""),"",INDEX(거래처설정!$J$8:$J$407,$T291))</f>
        <v/>
      </c>
      <c r="AD291" s="31">
        <f>IF(OR($U291="",$T291=""),"",INDEX(거래처설정!$K$8:$K$407,$T291))</f>
        <v/>
      </c>
      <c r="AE291" s="31">
        <f>IF($U291="","",IF(LEN(SUBSTITUTE(SUBSTITUTE(SUBSTITUTE(SUBSTITUTE(SUBSTITUTE(SUBSTITUTE(SUBSTITUTE(SUBSTITUTE(SUBSTITUTE($C291," ",""),"　",""),"(주)",""),"（주）",""),"㈜",""),"주식회사",""),"(유)",""),"（유）",""),"유한회사",""))&lt;2,"",SUBSTITUTE(SUBSTITUTE(SUBSTITUTE(SUBSTITUTE(SUBSTITUTE(SUBSTITUTE(SUBSTITUTE(SUBSTITUTE(SUBSTITUTE($C291," ",""),"　",""),"(주)",""),"（주）",""),"㈜",""),"주식회사",""),"(유)",""),"（유）",""),"유한회사","")))</f>
        <v/>
      </c>
    </row>
    <row r="292">
      <c r="A292" s="38">
        <f>IF($U292="","",285)</f>
        <v/>
      </c>
      <c r="B292" s="38">
        <f>IF($U292="","",IF(LEN(INDEX(매출원본!$AU$8:$AU$2007,$U292))=10,LEFT(INDEX(매출원본!$AU$8:$AU$2007,$U292),3)&amp;"-"&amp;MID(INDEX(매출원본!$AU$8:$AU$2007,$U292),4,2)&amp;"-"&amp;RIGHT(INDEX(매출원본!$AU$8:$AU$2007,$U292),5),IF(LEFT(INDEX(매출원본!$AU$8:$AU$2007,$U292),2)="N:","(번호 없음)",INDEX(매출원본!$AU$8:$AU$2007,$U292))))</f>
        <v/>
      </c>
      <c r="C292" s="38">
        <f>IF($U292="","",INDEX(매출원본!$AV$8:$AV$2007,$U292))</f>
        <v/>
      </c>
      <c r="D292" s="39">
        <f>IF($U292="","",IF($T292="",0,N(INDEX(거래처설정!$E$8:$E$407,$T292))))</f>
        <v/>
      </c>
      <c r="E292" s="39">
        <f>IF($U292="","",SUMIFS(매출원본!$AT$8:$AT$2007,매출원본!$AY$8:$AY$2007,$A292,매출원본!$AS$8:$AS$2007,"&lt;="&amp;설정!$B$5))</f>
        <v/>
      </c>
      <c r="F292" s="39">
        <f>IF($U292="","",SUMIFS(입금_은행1!$Z$8:$Z$2007,입금_은행1!$AC$8:$AC$2007,$A292,입금_은행1!$Y$8:$Y$2007,"&lt;="&amp;설정!$B$5)+SUMIFS(입금_은행2!$Z$8:$Z$2007,입금_은행2!$AC$8:$AC$2007,$A292,입금_은행2!$Y$8:$Y$2007,"&lt;="&amp;설정!$B$5))</f>
        <v/>
      </c>
      <c r="G292" s="39">
        <f>IF($U292="","",$D292+$E292-$F292)</f>
        <v/>
      </c>
      <c r="H292" s="39">
        <f>IF($U292="","",MIN(MAX($G292,0),$V292))</f>
        <v/>
      </c>
      <c r="I292" s="39">
        <f>IF($U292="","",MIN(MAX($G292,0),$W292)-MIN(MAX($G292,0),$V292))</f>
        <v/>
      </c>
      <c r="J292" s="39">
        <f>IF($U292="","",MIN(MAX($G292,0),$X292)-MIN(MAX($G292,0),$W292))</f>
        <v/>
      </c>
      <c r="K292" s="39">
        <f>IF($U292="","",MAX($G292,0)-MIN(MAX($G292,0),$X292))</f>
        <v/>
      </c>
      <c r="L292" s="40">
        <f>IF($U292="","",IF(MAX(SUMPRODUCT(MAX((입금_은행1!$AC$8:$AC$2007=$A292)*(입금_은행1!$AE$8:$AE$2007&lt;=설정!$B$5)*입금_은행1!$AE$8:$AE$2007)),SUMPRODUCT(MAX((입금_은행2!$AC$8:$AC$2007=$A292)*(입금_은행2!$AE$8:$AE$2007&lt;=설정!$B$5)*입금_은행2!$AE$8:$AE$2007)))=0,"",MAX(SUMPRODUCT(MAX((입금_은행1!$AC$8:$AC$2007=$A292)*(입금_은행1!$AE$8:$AE$2007&lt;=설정!$B$5)*입금_은행1!$AE$8:$AE$2007)),SUMPRODUCT(MAX((입금_은행2!$AC$8:$AC$2007=$A292)*(입금_은행2!$AE$8:$AE$2007&lt;=설정!$B$5)*입금_은행2!$AE$8:$AE$2007)))))</f>
        <v/>
      </c>
      <c r="M292" s="38">
        <f>IF($U292="","",IF($T292="","",IF(INDEX(거래처설정!$F$8:$F$407,$T292)="","",INDEX(거래처설정!$F$8:$F$407,$T292))))</f>
        <v/>
      </c>
      <c r="N292" s="38">
        <f>IF($U292="","",IF($T292="","",IF(INDEX(거래처설정!$G$8:$G$407,$T292)="","",INDEX(거래처설정!$G$8:$G$407,$T292))))</f>
        <v/>
      </c>
      <c r="O292" s="38">
        <f>IF($U292="","",IF($M292="제외",0,IF($K292&gt;=설정!$B$9,3,IF($J292+$K292&gt;=설정!$B$9,2,IF($I292+$J292+$K292&gt;=설정!$B$9,1,0)))))</f>
        <v/>
      </c>
      <c r="P292" s="38">
        <f>IF($U292="","",IF($M292="제외","제외(조치 상태)",IF($O292=3,"③ 강한 독촉 후보 ("&amp;설정!$B$8&amp;"일 초과)",IF($O292=2,"② 독촉 후보 ("&amp;설정!$B$7&amp;"일 초과)",IF($O292=1,"① 안내 후보 ("&amp;설정!$B$6&amp;"일 초과)",IF($G292&gt;0,IF($I292+$J292+$K292&gt;0,"오래된 잔액 있음 (최소 금액 미만)","정상 범위"),IF($G292&lt;0,"선수금·초과입금 — 확인","완납")))))))</f>
        <v/>
      </c>
      <c r="Q292" s="38">
        <f>IF($U292="","",IF($G292&lt;0,"입금이 매출보다 큼 — 선수금이거나 다른 거래처 입금이 섞였는지 확인",IF(AND($AE292&lt;&gt;"",COUNTIF($AE$8:$AE$307,"*"&amp;$AE292&amp;"*")&gt;1),"이름이 다른 거래처와 겹침 — 입금이 잘못 맞았을 수 있으니 별칭 확인",IF(AND($G292&gt;0,$F292=0),"입금 매칭 없음 — 입금자명이 다르면 [거래처설정]에 별칭 등록",""))))</f>
        <v/>
      </c>
      <c r="R292" s="31">
        <f>IF(OR($U292="",$G292&lt;=0),"",$G292-$A292/10000)</f>
        <v/>
      </c>
      <c r="S292" s="31">
        <f>IF(OR($U292="",$O292&lt;1),"",$O292*10^11+$I292+$J292+$K292-$A292/1000)</f>
        <v/>
      </c>
      <c r="T292" s="31">
        <f>IF($U292="","",IFERROR(MATCH(INDEX(매출원본!$AU$8:$AU$2007,$U292),거래처설정!$I$8:$I$407,0),""))</f>
        <v/>
      </c>
      <c r="U292" s="31">
        <f>IFERROR(MATCH(285,매출원본!$AW$8:$AW$2007,0),"")</f>
        <v/>
      </c>
      <c r="V292" s="31">
        <f>IF($U292="","",MAX(SUMIFS(매출원본!$AT$8:$AT$2007,매출원본!$AY$8:$AY$2007,$A292,매출원본!$AS$8:$AS$2007,"&gt;="&amp;(설정!$B$5-설정!$B$6),매출원본!$AS$8:$AS$2007,"&lt;="&amp;설정!$B$5),0))</f>
        <v/>
      </c>
      <c r="W292" s="31">
        <f>IF($U292="","",MAX($V292,SUMIFS(매출원본!$AT$8:$AT$2007,매출원본!$AY$8:$AY$2007,$A292,매출원본!$AS$8:$AS$2007,"&gt;="&amp;(설정!$B$5-설정!$B$7),매출원본!$AS$8:$AS$2007,"&lt;="&amp;설정!$B$5)))</f>
        <v/>
      </c>
      <c r="X292" s="31">
        <f>IF($U292="","",MAX($W292,SUMIFS(매출원본!$AT$8:$AT$2007,매출원본!$AY$8:$AY$2007,$A292,매출원본!$AS$8:$AS$2007,"&gt;="&amp;(설정!$B$5-설정!$B$8),매출원본!$AS$8:$AS$2007,"&lt;="&amp;설정!$B$5)))</f>
        <v/>
      </c>
      <c r="AC292" s="31">
        <f>IF(OR($U292="",$T292=""),"",INDEX(거래처설정!$J$8:$J$407,$T292))</f>
        <v/>
      </c>
      <c r="AD292" s="31">
        <f>IF(OR($U292="",$T292=""),"",INDEX(거래처설정!$K$8:$K$407,$T292))</f>
        <v/>
      </c>
      <c r="AE292" s="31">
        <f>IF($U292="","",IF(LEN(SUBSTITUTE(SUBSTITUTE(SUBSTITUTE(SUBSTITUTE(SUBSTITUTE(SUBSTITUTE(SUBSTITUTE(SUBSTITUTE(SUBSTITUTE($C292," ",""),"　",""),"(주)",""),"（주）",""),"㈜",""),"주식회사",""),"(유)",""),"（유）",""),"유한회사",""))&lt;2,"",SUBSTITUTE(SUBSTITUTE(SUBSTITUTE(SUBSTITUTE(SUBSTITUTE(SUBSTITUTE(SUBSTITUTE(SUBSTITUTE(SUBSTITUTE($C292," ",""),"　",""),"(주)",""),"（주）",""),"㈜",""),"주식회사",""),"(유)",""),"（유）",""),"유한회사","")))</f>
        <v/>
      </c>
    </row>
    <row r="293">
      <c r="A293" s="38">
        <f>IF($U293="","",286)</f>
        <v/>
      </c>
      <c r="B293" s="38">
        <f>IF($U293="","",IF(LEN(INDEX(매출원본!$AU$8:$AU$2007,$U293))=10,LEFT(INDEX(매출원본!$AU$8:$AU$2007,$U293),3)&amp;"-"&amp;MID(INDEX(매출원본!$AU$8:$AU$2007,$U293),4,2)&amp;"-"&amp;RIGHT(INDEX(매출원본!$AU$8:$AU$2007,$U293),5),IF(LEFT(INDEX(매출원본!$AU$8:$AU$2007,$U293),2)="N:","(번호 없음)",INDEX(매출원본!$AU$8:$AU$2007,$U293))))</f>
        <v/>
      </c>
      <c r="C293" s="38">
        <f>IF($U293="","",INDEX(매출원본!$AV$8:$AV$2007,$U293))</f>
        <v/>
      </c>
      <c r="D293" s="39">
        <f>IF($U293="","",IF($T293="",0,N(INDEX(거래처설정!$E$8:$E$407,$T293))))</f>
        <v/>
      </c>
      <c r="E293" s="39">
        <f>IF($U293="","",SUMIFS(매출원본!$AT$8:$AT$2007,매출원본!$AY$8:$AY$2007,$A293,매출원본!$AS$8:$AS$2007,"&lt;="&amp;설정!$B$5))</f>
        <v/>
      </c>
      <c r="F293" s="39">
        <f>IF($U293="","",SUMIFS(입금_은행1!$Z$8:$Z$2007,입금_은행1!$AC$8:$AC$2007,$A293,입금_은행1!$Y$8:$Y$2007,"&lt;="&amp;설정!$B$5)+SUMIFS(입금_은행2!$Z$8:$Z$2007,입금_은행2!$AC$8:$AC$2007,$A293,입금_은행2!$Y$8:$Y$2007,"&lt;="&amp;설정!$B$5))</f>
        <v/>
      </c>
      <c r="G293" s="39">
        <f>IF($U293="","",$D293+$E293-$F293)</f>
        <v/>
      </c>
      <c r="H293" s="39">
        <f>IF($U293="","",MIN(MAX($G293,0),$V293))</f>
        <v/>
      </c>
      <c r="I293" s="39">
        <f>IF($U293="","",MIN(MAX($G293,0),$W293)-MIN(MAX($G293,0),$V293))</f>
        <v/>
      </c>
      <c r="J293" s="39">
        <f>IF($U293="","",MIN(MAX($G293,0),$X293)-MIN(MAX($G293,0),$W293))</f>
        <v/>
      </c>
      <c r="K293" s="39">
        <f>IF($U293="","",MAX($G293,0)-MIN(MAX($G293,0),$X293))</f>
        <v/>
      </c>
      <c r="L293" s="40">
        <f>IF($U293="","",IF(MAX(SUMPRODUCT(MAX((입금_은행1!$AC$8:$AC$2007=$A293)*(입금_은행1!$AE$8:$AE$2007&lt;=설정!$B$5)*입금_은행1!$AE$8:$AE$2007)),SUMPRODUCT(MAX((입금_은행2!$AC$8:$AC$2007=$A293)*(입금_은행2!$AE$8:$AE$2007&lt;=설정!$B$5)*입금_은행2!$AE$8:$AE$2007)))=0,"",MAX(SUMPRODUCT(MAX((입금_은행1!$AC$8:$AC$2007=$A293)*(입금_은행1!$AE$8:$AE$2007&lt;=설정!$B$5)*입금_은행1!$AE$8:$AE$2007)),SUMPRODUCT(MAX((입금_은행2!$AC$8:$AC$2007=$A293)*(입금_은행2!$AE$8:$AE$2007&lt;=설정!$B$5)*입금_은행2!$AE$8:$AE$2007)))))</f>
        <v/>
      </c>
      <c r="M293" s="38">
        <f>IF($U293="","",IF($T293="","",IF(INDEX(거래처설정!$F$8:$F$407,$T293)="","",INDEX(거래처설정!$F$8:$F$407,$T293))))</f>
        <v/>
      </c>
      <c r="N293" s="38">
        <f>IF($U293="","",IF($T293="","",IF(INDEX(거래처설정!$G$8:$G$407,$T293)="","",INDEX(거래처설정!$G$8:$G$407,$T293))))</f>
        <v/>
      </c>
      <c r="O293" s="38">
        <f>IF($U293="","",IF($M293="제외",0,IF($K293&gt;=설정!$B$9,3,IF($J293+$K293&gt;=설정!$B$9,2,IF($I293+$J293+$K293&gt;=설정!$B$9,1,0)))))</f>
        <v/>
      </c>
      <c r="P293" s="38">
        <f>IF($U293="","",IF($M293="제외","제외(조치 상태)",IF($O293=3,"③ 강한 독촉 후보 ("&amp;설정!$B$8&amp;"일 초과)",IF($O293=2,"② 독촉 후보 ("&amp;설정!$B$7&amp;"일 초과)",IF($O293=1,"① 안내 후보 ("&amp;설정!$B$6&amp;"일 초과)",IF($G293&gt;0,IF($I293+$J293+$K293&gt;0,"오래된 잔액 있음 (최소 금액 미만)","정상 범위"),IF($G293&lt;0,"선수금·초과입금 — 확인","완납")))))))</f>
        <v/>
      </c>
      <c r="Q293" s="38">
        <f>IF($U293="","",IF($G293&lt;0,"입금이 매출보다 큼 — 선수금이거나 다른 거래처 입금이 섞였는지 확인",IF(AND($AE293&lt;&gt;"",COUNTIF($AE$8:$AE$307,"*"&amp;$AE293&amp;"*")&gt;1),"이름이 다른 거래처와 겹침 — 입금이 잘못 맞았을 수 있으니 별칭 확인",IF(AND($G293&gt;0,$F293=0),"입금 매칭 없음 — 입금자명이 다르면 [거래처설정]에 별칭 등록",""))))</f>
        <v/>
      </c>
      <c r="R293" s="31">
        <f>IF(OR($U293="",$G293&lt;=0),"",$G293-$A293/10000)</f>
        <v/>
      </c>
      <c r="S293" s="31">
        <f>IF(OR($U293="",$O293&lt;1),"",$O293*10^11+$I293+$J293+$K293-$A293/1000)</f>
        <v/>
      </c>
      <c r="T293" s="31">
        <f>IF($U293="","",IFERROR(MATCH(INDEX(매출원본!$AU$8:$AU$2007,$U293),거래처설정!$I$8:$I$407,0),""))</f>
        <v/>
      </c>
      <c r="U293" s="31">
        <f>IFERROR(MATCH(286,매출원본!$AW$8:$AW$2007,0),"")</f>
        <v/>
      </c>
      <c r="V293" s="31">
        <f>IF($U293="","",MAX(SUMIFS(매출원본!$AT$8:$AT$2007,매출원본!$AY$8:$AY$2007,$A293,매출원본!$AS$8:$AS$2007,"&gt;="&amp;(설정!$B$5-설정!$B$6),매출원본!$AS$8:$AS$2007,"&lt;="&amp;설정!$B$5),0))</f>
        <v/>
      </c>
      <c r="W293" s="31">
        <f>IF($U293="","",MAX($V293,SUMIFS(매출원본!$AT$8:$AT$2007,매출원본!$AY$8:$AY$2007,$A293,매출원본!$AS$8:$AS$2007,"&gt;="&amp;(설정!$B$5-설정!$B$7),매출원본!$AS$8:$AS$2007,"&lt;="&amp;설정!$B$5)))</f>
        <v/>
      </c>
      <c r="X293" s="31">
        <f>IF($U293="","",MAX($W293,SUMIFS(매출원본!$AT$8:$AT$2007,매출원본!$AY$8:$AY$2007,$A293,매출원본!$AS$8:$AS$2007,"&gt;="&amp;(설정!$B$5-설정!$B$8),매출원본!$AS$8:$AS$2007,"&lt;="&amp;설정!$B$5)))</f>
        <v/>
      </c>
      <c r="AC293" s="31">
        <f>IF(OR($U293="",$T293=""),"",INDEX(거래처설정!$J$8:$J$407,$T293))</f>
        <v/>
      </c>
      <c r="AD293" s="31">
        <f>IF(OR($U293="",$T293=""),"",INDEX(거래처설정!$K$8:$K$407,$T293))</f>
        <v/>
      </c>
      <c r="AE293" s="31">
        <f>IF($U293="","",IF(LEN(SUBSTITUTE(SUBSTITUTE(SUBSTITUTE(SUBSTITUTE(SUBSTITUTE(SUBSTITUTE(SUBSTITUTE(SUBSTITUTE(SUBSTITUTE($C293," ",""),"　",""),"(주)",""),"（주）",""),"㈜",""),"주식회사",""),"(유)",""),"（유）",""),"유한회사",""))&lt;2,"",SUBSTITUTE(SUBSTITUTE(SUBSTITUTE(SUBSTITUTE(SUBSTITUTE(SUBSTITUTE(SUBSTITUTE(SUBSTITUTE(SUBSTITUTE($C293," ",""),"　",""),"(주)",""),"（주）",""),"㈜",""),"주식회사",""),"(유)",""),"（유）",""),"유한회사","")))</f>
        <v/>
      </c>
    </row>
    <row r="294">
      <c r="A294" s="38">
        <f>IF($U294="","",287)</f>
        <v/>
      </c>
      <c r="B294" s="38">
        <f>IF($U294="","",IF(LEN(INDEX(매출원본!$AU$8:$AU$2007,$U294))=10,LEFT(INDEX(매출원본!$AU$8:$AU$2007,$U294),3)&amp;"-"&amp;MID(INDEX(매출원본!$AU$8:$AU$2007,$U294),4,2)&amp;"-"&amp;RIGHT(INDEX(매출원본!$AU$8:$AU$2007,$U294),5),IF(LEFT(INDEX(매출원본!$AU$8:$AU$2007,$U294),2)="N:","(번호 없음)",INDEX(매출원본!$AU$8:$AU$2007,$U294))))</f>
        <v/>
      </c>
      <c r="C294" s="38">
        <f>IF($U294="","",INDEX(매출원본!$AV$8:$AV$2007,$U294))</f>
        <v/>
      </c>
      <c r="D294" s="39">
        <f>IF($U294="","",IF($T294="",0,N(INDEX(거래처설정!$E$8:$E$407,$T294))))</f>
        <v/>
      </c>
      <c r="E294" s="39">
        <f>IF($U294="","",SUMIFS(매출원본!$AT$8:$AT$2007,매출원본!$AY$8:$AY$2007,$A294,매출원본!$AS$8:$AS$2007,"&lt;="&amp;설정!$B$5))</f>
        <v/>
      </c>
      <c r="F294" s="39">
        <f>IF($U294="","",SUMIFS(입금_은행1!$Z$8:$Z$2007,입금_은행1!$AC$8:$AC$2007,$A294,입금_은행1!$Y$8:$Y$2007,"&lt;="&amp;설정!$B$5)+SUMIFS(입금_은행2!$Z$8:$Z$2007,입금_은행2!$AC$8:$AC$2007,$A294,입금_은행2!$Y$8:$Y$2007,"&lt;="&amp;설정!$B$5))</f>
        <v/>
      </c>
      <c r="G294" s="39">
        <f>IF($U294="","",$D294+$E294-$F294)</f>
        <v/>
      </c>
      <c r="H294" s="39">
        <f>IF($U294="","",MIN(MAX($G294,0),$V294))</f>
        <v/>
      </c>
      <c r="I294" s="39">
        <f>IF($U294="","",MIN(MAX($G294,0),$W294)-MIN(MAX($G294,0),$V294))</f>
        <v/>
      </c>
      <c r="J294" s="39">
        <f>IF($U294="","",MIN(MAX($G294,0),$X294)-MIN(MAX($G294,0),$W294))</f>
        <v/>
      </c>
      <c r="K294" s="39">
        <f>IF($U294="","",MAX($G294,0)-MIN(MAX($G294,0),$X294))</f>
        <v/>
      </c>
      <c r="L294" s="40">
        <f>IF($U294="","",IF(MAX(SUMPRODUCT(MAX((입금_은행1!$AC$8:$AC$2007=$A294)*(입금_은행1!$AE$8:$AE$2007&lt;=설정!$B$5)*입금_은행1!$AE$8:$AE$2007)),SUMPRODUCT(MAX((입금_은행2!$AC$8:$AC$2007=$A294)*(입금_은행2!$AE$8:$AE$2007&lt;=설정!$B$5)*입금_은행2!$AE$8:$AE$2007)))=0,"",MAX(SUMPRODUCT(MAX((입금_은행1!$AC$8:$AC$2007=$A294)*(입금_은행1!$AE$8:$AE$2007&lt;=설정!$B$5)*입금_은행1!$AE$8:$AE$2007)),SUMPRODUCT(MAX((입금_은행2!$AC$8:$AC$2007=$A294)*(입금_은행2!$AE$8:$AE$2007&lt;=설정!$B$5)*입금_은행2!$AE$8:$AE$2007)))))</f>
        <v/>
      </c>
      <c r="M294" s="38">
        <f>IF($U294="","",IF($T294="","",IF(INDEX(거래처설정!$F$8:$F$407,$T294)="","",INDEX(거래처설정!$F$8:$F$407,$T294))))</f>
        <v/>
      </c>
      <c r="N294" s="38">
        <f>IF($U294="","",IF($T294="","",IF(INDEX(거래처설정!$G$8:$G$407,$T294)="","",INDEX(거래처설정!$G$8:$G$407,$T294))))</f>
        <v/>
      </c>
      <c r="O294" s="38">
        <f>IF($U294="","",IF($M294="제외",0,IF($K294&gt;=설정!$B$9,3,IF($J294+$K294&gt;=설정!$B$9,2,IF($I294+$J294+$K294&gt;=설정!$B$9,1,0)))))</f>
        <v/>
      </c>
      <c r="P294" s="38">
        <f>IF($U294="","",IF($M294="제외","제외(조치 상태)",IF($O294=3,"③ 강한 독촉 후보 ("&amp;설정!$B$8&amp;"일 초과)",IF($O294=2,"② 독촉 후보 ("&amp;설정!$B$7&amp;"일 초과)",IF($O294=1,"① 안내 후보 ("&amp;설정!$B$6&amp;"일 초과)",IF($G294&gt;0,IF($I294+$J294+$K294&gt;0,"오래된 잔액 있음 (최소 금액 미만)","정상 범위"),IF($G294&lt;0,"선수금·초과입금 — 확인","완납")))))))</f>
        <v/>
      </c>
      <c r="Q294" s="38">
        <f>IF($U294="","",IF($G294&lt;0,"입금이 매출보다 큼 — 선수금이거나 다른 거래처 입금이 섞였는지 확인",IF(AND($AE294&lt;&gt;"",COUNTIF($AE$8:$AE$307,"*"&amp;$AE294&amp;"*")&gt;1),"이름이 다른 거래처와 겹침 — 입금이 잘못 맞았을 수 있으니 별칭 확인",IF(AND($G294&gt;0,$F294=0),"입금 매칭 없음 — 입금자명이 다르면 [거래처설정]에 별칭 등록",""))))</f>
        <v/>
      </c>
      <c r="R294" s="31">
        <f>IF(OR($U294="",$G294&lt;=0),"",$G294-$A294/10000)</f>
        <v/>
      </c>
      <c r="S294" s="31">
        <f>IF(OR($U294="",$O294&lt;1),"",$O294*10^11+$I294+$J294+$K294-$A294/1000)</f>
        <v/>
      </c>
      <c r="T294" s="31">
        <f>IF($U294="","",IFERROR(MATCH(INDEX(매출원본!$AU$8:$AU$2007,$U294),거래처설정!$I$8:$I$407,0),""))</f>
        <v/>
      </c>
      <c r="U294" s="31">
        <f>IFERROR(MATCH(287,매출원본!$AW$8:$AW$2007,0),"")</f>
        <v/>
      </c>
      <c r="V294" s="31">
        <f>IF($U294="","",MAX(SUMIFS(매출원본!$AT$8:$AT$2007,매출원본!$AY$8:$AY$2007,$A294,매출원본!$AS$8:$AS$2007,"&gt;="&amp;(설정!$B$5-설정!$B$6),매출원본!$AS$8:$AS$2007,"&lt;="&amp;설정!$B$5),0))</f>
        <v/>
      </c>
      <c r="W294" s="31">
        <f>IF($U294="","",MAX($V294,SUMIFS(매출원본!$AT$8:$AT$2007,매출원본!$AY$8:$AY$2007,$A294,매출원본!$AS$8:$AS$2007,"&gt;="&amp;(설정!$B$5-설정!$B$7),매출원본!$AS$8:$AS$2007,"&lt;="&amp;설정!$B$5)))</f>
        <v/>
      </c>
      <c r="X294" s="31">
        <f>IF($U294="","",MAX($W294,SUMIFS(매출원본!$AT$8:$AT$2007,매출원본!$AY$8:$AY$2007,$A294,매출원본!$AS$8:$AS$2007,"&gt;="&amp;(설정!$B$5-설정!$B$8),매출원본!$AS$8:$AS$2007,"&lt;="&amp;설정!$B$5)))</f>
        <v/>
      </c>
      <c r="AC294" s="31">
        <f>IF(OR($U294="",$T294=""),"",INDEX(거래처설정!$J$8:$J$407,$T294))</f>
        <v/>
      </c>
      <c r="AD294" s="31">
        <f>IF(OR($U294="",$T294=""),"",INDEX(거래처설정!$K$8:$K$407,$T294))</f>
        <v/>
      </c>
      <c r="AE294" s="31">
        <f>IF($U294="","",IF(LEN(SUBSTITUTE(SUBSTITUTE(SUBSTITUTE(SUBSTITUTE(SUBSTITUTE(SUBSTITUTE(SUBSTITUTE(SUBSTITUTE(SUBSTITUTE($C294," ",""),"　",""),"(주)",""),"（주）",""),"㈜",""),"주식회사",""),"(유)",""),"（유）",""),"유한회사",""))&lt;2,"",SUBSTITUTE(SUBSTITUTE(SUBSTITUTE(SUBSTITUTE(SUBSTITUTE(SUBSTITUTE(SUBSTITUTE(SUBSTITUTE(SUBSTITUTE($C294," ",""),"　",""),"(주)",""),"（주）",""),"㈜",""),"주식회사",""),"(유)",""),"（유）",""),"유한회사","")))</f>
        <v/>
      </c>
    </row>
    <row r="295">
      <c r="A295" s="38">
        <f>IF($U295="","",288)</f>
        <v/>
      </c>
      <c r="B295" s="38">
        <f>IF($U295="","",IF(LEN(INDEX(매출원본!$AU$8:$AU$2007,$U295))=10,LEFT(INDEX(매출원본!$AU$8:$AU$2007,$U295),3)&amp;"-"&amp;MID(INDEX(매출원본!$AU$8:$AU$2007,$U295),4,2)&amp;"-"&amp;RIGHT(INDEX(매출원본!$AU$8:$AU$2007,$U295),5),IF(LEFT(INDEX(매출원본!$AU$8:$AU$2007,$U295),2)="N:","(번호 없음)",INDEX(매출원본!$AU$8:$AU$2007,$U295))))</f>
        <v/>
      </c>
      <c r="C295" s="38">
        <f>IF($U295="","",INDEX(매출원본!$AV$8:$AV$2007,$U295))</f>
        <v/>
      </c>
      <c r="D295" s="39">
        <f>IF($U295="","",IF($T295="",0,N(INDEX(거래처설정!$E$8:$E$407,$T295))))</f>
        <v/>
      </c>
      <c r="E295" s="39">
        <f>IF($U295="","",SUMIFS(매출원본!$AT$8:$AT$2007,매출원본!$AY$8:$AY$2007,$A295,매출원본!$AS$8:$AS$2007,"&lt;="&amp;설정!$B$5))</f>
        <v/>
      </c>
      <c r="F295" s="39">
        <f>IF($U295="","",SUMIFS(입금_은행1!$Z$8:$Z$2007,입금_은행1!$AC$8:$AC$2007,$A295,입금_은행1!$Y$8:$Y$2007,"&lt;="&amp;설정!$B$5)+SUMIFS(입금_은행2!$Z$8:$Z$2007,입금_은행2!$AC$8:$AC$2007,$A295,입금_은행2!$Y$8:$Y$2007,"&lt;="&amp;설정!$B$5))</f>
        <v/>
      </c>
      <c r="G295" s="39">
        <f>IF($U295="","",$D295+$E295-$F295)</f>
        <v/>
      </c>
      <c r="H295" s="39">
        <f>IF($U295="","",MIN(MAX($G295,0),$V295))</f>
        <v/>
      </c>
      <c r="I295" s="39">
        <f>IF($U295="","",MIN(MAX($G295,0),$W295)-MIN(MAX($G295,0),$V295))</f>
        <v/>
      </c>
      <c r="J295" s="39">
        <f>IF($U295="","",MIN(MAX($G295,0),$X295)-MIN(MAX($G295,0),$W295))</f>
        <v/>
      </c>
      <c r="K295" s="39">
        <f>IF($U295="","",MAX($G295,0)-MIN(MAX($G295,0),$X295))</f>
        <v/>
      </c>
      <c r="L295" s="40">
        <f>IF($U295="","",IF(MAX(SUMPRODUCT(MAX((입금_은행1!$AC$8:$AC$2007=$A295)*(입금_은행1!$AE$8:$AE$2007&lt;=설정!$B$5)*입금_은행1!$AE$8:$AE$2007)),SUMPRODUCT(MAX((입금_은행2!$AC$8:$AC$2007=$A295)*(입금_은행2!$AE$8:$AE$2007&lt;=설정!$B$5)*입금_은행2!$AE$8:$AE$2007)))=0,"",MAX(SUMPRODUCT(MAX((입금_은행1!$AC$8:$AC$2007=$A295)*(입금_은행1!$AE$8:$AE$2007&lt;=설정!$B$5)*입금_은행1!$AE$8:$AE$2007)),SUMPRODUCT(MAX((입금_은행2!$AC$8:$AC$2007=$A295)*(입금_은행2!$AE$8:$AE$2007&lt;=설정!$B$5)*입금_은행2!$AE$8:$AE$2007)))))</f>
        <v/>
      </c>
      <c r="M295" s="38">
        <f>IF($U295="","",IF($T295="","",IF(INDEX(거래처설정!$F$8:$F$407,$T295)="","",INDEX(거래처설정!$F$8:$F$407,$T295))))</f>
        <v/>
      </c>
      <c r="N295" s="38">
        <f>IF($U295="","",IF($T295="","",IF(INDEX(거래처설정!$G$8:$G$407,$T295)="","",INDEX(거래처설정!$G$8:$G$407,$T295))))</f>
        <v/>
      </c>
      <c r="O295" s="38">
        <f>IF($U295="","",IF($M295="제외",0,IF($K295&gt;=설정!$B$9,3,IF($J295+$K295&gt;=설정!$B$9,2,IF($I295+$J295+$K295&gt;=설정!$B$9,1,0)))))</f>
        <v/>
      </c>
      <c r="P295" s="38">
        <f>IF($U295="","",IF($M295="제외","제외(조치 상태)",IF($O295=3,"③ 강한 독촉 후보 ("&amp;설정!$B$8&amp;"일 초과)",IF($O295=2,"② 독촉 후보 ("&amp;설정!$B$7&amp;"일 초과)",IF($O295=1,"① 안내 후보 ("&amp;설정!$B$6&amp;"일 초과)",IF($G295&gt;0,IF($I295+$J295+$K295&gt;0,"오래된 잔액 있음 (최소 금액 미만)","정상 범위"),IF($G295&lt;0,"선수금·초과입금 — 확인","완납")))))))</f>
        <v/>
      </c>
      <c r="Q295" s="38">
        <f>IF($U295="","",IF($G295&lt;0,"입금이 매출보다 큼 — 선수금이거나 다른 거래처 입금이 섞였는지 확인",IF(AND($AE295&lt;&gt;"",COUNTIF($AE$8:$AE$307,"*"&amp;$AE295&amp;"*")&gt;1),"이름이 다른 거래처와 겹침 — 입금이 잘못 맞았을 수 있으니 별칭 확인",IF(AND($G295&gt;0,$F295=0),"입금 매칭 없음 — 입금자명이 다르면 [거래처설정]에 별칭 등록",""))))</f>
        <v/>
      </c>
      <c r="R295" s="31">
        <f>IF(OR($U295="",$G295&lt;=0),"",$G295-$A295/10000)</f>
        <v/>
      </c>
      <c r="S295" s="31">
        <f>IF(OR($U295="",$O295&lt;1),"",$O295*10^11+$I295+$J295+$K295-$A295/1000)</f>
        <v/>
      </c>
      <c r="T295" s="31">
        <f>IF($U295="","",IFERROR(MATCH(INDEX(매출원본!$AU$8:$AU$2007,$U295),거래처설정!$I$8:$I$407,0),""))</f>
        <v/>
      </c>
      <c r="U295" s="31">
        <f>IFERROR(MATCH(288,매출원본!$AW$8:$AW$2007,0),"")</f>
        <v/>
      </c>
      <c r="V295" s="31">
        <f>IF($U295="","",MAX(SUMIFS(매출원본!$AT$8:$AT$2007,매출원본!$AY$8:$AY$2007,$A295,매출원본!$AS$8:$AS$2007,"&gt;="&amp;(설정!$B$5-설정!$B$6),매출원본!$AS$8:$AS$2007,"&lt;="&amp;설정!$B$5),0))</f>
        <v/>
      </c>
      <c r="W295" s="31">
        <f>IF($U295="","",MAX($V295,SUMIFS(매출원본!$AT$8:$AT$2007,매출원본!$AY$8:$AY$2007,$A295,매출원본!$AS$8:$AS$2007,"&gt;="&amp;(설정!$B$5-설정!$B$7),매출원본!$AS$8:$AS$2007,"&lt;="&amp;설정!$B$5)))</f>
        <v/>
      </c>
      <c r="X295" s="31">
        <f>IF($U295="","",MAX($W295,SUMIFS(매출원본!$AT$8:$AT$2007,매출원본!$AY$8:$AY$2007,$A295,매출원본!$AS$8:$AS$2007,"&gt;="&amp;(설정!$B$5-설정!$B$8),매출원본!$AS$8:$AS$2007,"&lt;="&amp;설정!$B$5)))</f>
        <v/>
      </c>
      <c r="AC295" s="31">
        <f>IF(OR($U295="",$T295=""),"",INDEX(거래처설정!$J$8:$J$407,$T295))</f>
        <v/>
      </c>
      <c r="AD295" s="31">
        <f>IF(OR($U295="",$T295=""),"",INDEX(거래처설정!$K$8:$K$407,$T295))</f>
        <v/>
      </c>
      <c r="AE295" s="31">
        <f>IF($U295="","",IF(LEN(SUBSTITUTE(SUBSTITUTE(SUBSTITUTE(SUBSTITUTE(SUBSTITUTE(SUBSTITUTE(SUBSTITUTE(SUBSTITUTE(SUBSTITUTE($C295," ",""),"　",""),"(주)",""),"（주）",""),"㈜",""),"주식회사",""),"(유)",""),"（유）",""),"유한회사",""))&lt;2,"",SUBSTITUTE(SUBSTITUTE(SUBSTITUTE(SUBSTITUTE(SUBSTITUTE(SUBSTITUTE(SUBSTITUTE(SUBSTITUTE(SUBSTITUTE($C295," ",""),"　",""),"(주)",""),"（주）",""),"㈜",""),"주식회사",""),"(유)",""),"（유）",""),"유한회사","")))</f>
        <v/>
      </c>
    </row>
    <row r="296">
      <c r="A296" s="38">
        <f>IF($U296="","",289)</f>
        <v/>
      </c>
      <c r="B296" s="38">
        <f>IF($U296="","",IF(LEN(INDEX(매출원본!$AU$8:$AU$2007,$U296))=10,LEFT(INDEX(매출원본!$AU$8:$AU$2007,$U296),3)&amp;"-"&amp;MID(INDEX(매출원본!$AU$8:$AU$2007,$U296),4,2)&amp;"-"&amp;RIGHT(INDEX(매출원본!$AU$8:$AU$2007,$U296),5),IF(LEFT(INDEX(매출원본!$AU$8:$AU$2007,$U296),2)="N:","(번호 없음)",INDEX(매출원본!$AU$8:$AU$2007,$U296))))</f>
        <v/>
      </c>
      <c r="C296" s="38">
        <f>IF($U296="","",INDEX(매출원본!$AV$8:$AV$2007,$U296))</f>
        <v/>
      </c>
      <c r="D296" s="39">
        <f>IF($U296="","",IF($T296="",0,N(INDEX(거래처설정!$E$8:$E$407,$T296))))</f>
        <v/>
      </c>
      <c r="E296" s="39">
        <f>IF($U296="","",SUMIFS(매출원본!$AT$8:$AT$2007,매출원본!$AY$8:$AY$2007,$A296,매출원본!$AS$8:$AS$2007,"&lt;="&amp;설정!$B$5))</f>
        <v/>
      </c>
      <c r="F296" s="39">
        <f>IF($U296="","",SUMIFS(입금_은행1!$Z$8:$Z$2007,입금_은행1!$AC$8:$AC$2007,$A296,입금_은행1!$Y$8:$Y$2007,"&lt;="&amp;설정!$B$5)+SUMIFS(입금_은행2!$Z$8:$Z$2007,입금_은행2!$AC$8:$AC$2007,$A296,입금_은행2!$Y$8:$Y$2007,"&lt;="&amp;설정!$B$5))</f>
        <v/>
      </c>
      <c r="G296" s="39">
        <f>IF($U296="","",$D296+$E296-$F296)</f>
        <v/>
      </c>
      <c r="H296" s="39">
        <f>IF($U296="","",MIN(MAX($G296,0),$V296))</f>
        <v/>
      </c>
      <c r="I296" s="39">
        <f>IF($U296="","",MIN(MAX($G296,0),$W296)-MIN(MAX($G296,0),$V296))</f>
        <v/>
      </c>
      <c r="J296" s="39">
        <f>IF($U296="","",MIN(MAX($G296,0),$X296)-MIN(MAX($G296,0),$W296))</f>
        <v/>
      </c>
      <c r="K296" s="39">
        <f>IF($U296="","",MAX($G296,0)-MIN(MAX($G296,0),$X296))</f>
        <v/>
      </c>
      <c r="L296" s="40">
        <f>IF($U296="","",IF(MAX(SUMPRODUCT(MAX((입금_은행1!$AC$8:$AC$2007=$A296)*(입금_은행1!$AE$8:$AE$2007&lt;=설정!$B$5)*입금_은행1!$AE$8:$AE$2007)),SUMPRODUCT(MAX((입금_은행2!$AC$8:$AC$2007=$A296)*(입금_은행2!$AE$8:$AE$2007&lt;=설정!$B$5)*입금_은행2!$AE$8:$AE$2007)))=0,"",MAX(SUMPRODUCT(MAX((입금_은행1!$AC$8:$AC$2007=$A296)*(입금_은행1!$AE$8:$AE$2007&lt;=설정!$B$5)*입금_은행1!$AE$8:$AE$2007)),SUMPRODUCT(MAX((입금_은행2!$AC$8:$AC$2007=$A296)*(입금_은행2!$AE$8:$AE$2007&lt;=설정!$B$5)*입금_은행2!$AE$8:$AE$2007)))))</f>
        <v/>
      </c>
      <c r="M296" s="38">
        <f>IF($U296="","",IF($T296="","",IF(INDEX(거래처설정!$F$8:$F$407,$T296)="","",INDEX(거래처설정!$F$8:$F$407,$T296))))</f>
        <v/>
      </c>
      <c r="N296" s="38">
        <f>IF($U296="","",IF($T296="","",IF(INDEX(거래처설정!$G$8:$G$407,$T296)="","",INDEX(거래처설정!$G$8:$G$407,$T296))))</f>
        <v/>
      </c>
      <c r="O296" s="38">
        <f>IF($U296="","",IF($M296="제외",0,IF($K296&gt;=설정!$B$9,3,IF($J296+$K296&gt;=설정!$B$9,2,IF($I296+$J296+$K296&gt;=설정!$B$9,1,0)))))</f>
        <v/>
      </c>
      <c r="P296" s="38">
        <f>IF($U296="","",IF($M296="제외","제외(조치 상태)",IF($O296=3,"③ 강한 독촉 후보 ("&amp;설정!$B$8&amp;"일 초과)",IF($O296=2,"② 독촉 후보 ("&amp;설정!$B$7&amp;"일 초과)",IF($O296=1,"① 안내 후보 ("&amp;설정!$B$6&amp;"일 초과)",IF($G296&gt;0,IF($I296+$J296+$K296&gt;0,"오래된 잔액 있음 (최소 금액 미만)","정상 범위"),IF($G296&lt;0,"선수금·초과입금 — 확인","완납")))))))</f>
        <v/>
      </c>
      <c r="Q296" s="38">
        <f>IF($U296="","",IF($G296&lt;0,"입금이 매출보다 큼 — 선수금이거나 다른 거래처 입금이 섞였는지 확인",IF(AND($AE296&lt;&gt;"",COUNTIF($AE$8:$AE$307,"*"&amp;$AE296&amp;"*")&gt;1),"이름이 다른 거래처와 겹침 — 입금이 잘못 맞았을 수 있으니 별칭 확인",IF(AND($G296&gt;0,$F296=0),"입금 매칭 없음 — 입금자명이 다르면 [거래처설정]에 별칭 등록",""))))</f>
        <v/>
      </c>
      <c r="R296" s="31">
        <f>IF(OR($U296="",$G296&lt;=0),"",$G296-$A296/10000)</f>
        <v/>
      </c>
      <c r="S296" s="31">
        <f>IF(OR($U296="",$O296&lt;1),"",$O296*10^11+$I296+$J296+$K296-$A296/1000)</f>
        <v/>
      </c>
      <c r="T296" s="31">
        <f>IF($U296="","",IFERROR(MATCH(INDEX(매출원본!$AU$8:$AU$2007,$U296),거래처설정!$I$8:$I$407,0),""))</f>
        <v/>
      </c>
      <c r="U296" s="31">
        <f>IFERROR(MATCH(289,매출원본!$AW$8:$AW$2007,0),"")</f>
        <v/>
      </c>
      <c r="V296" s="31">
        <f>IF($U296="","",MAX(SUMIFS(매출원본!$AT$8:$AT$2007,매출원본!$AY$8:$AY$2007,$A296,매출원본!$AS$8:$AS$2007,"&gt;="&amp;(설정!$B$5-설정!$B$6),매출원본!$AS$8:$AS$2007,"&lt;="&amp;설정!$B$5),0))</f>
        <v/>
      </c>
      <c r="W296" s="31">
        <f>IF($U296="","",MAX($V296,SUMIFS(매출원본!$AT$8:$AT$2007,매출원본!$AY$8:$AY$2007,$A296,매출원본!$AS$8:$AS$2007,"&gt;="&amp;(설정!$B$5-설정!$B$7),매출원본!$AS$8:$AS$2007,"&lt;="&amp;설정!$B$5)))</f>
        <v/>
      </c>
      <c r="X296" s="31">
        <f>IF($U296="","",MAX($W296,SUMIFS(매출원본!$AT$8:$AT$2007,매출원본!$AY$8:$AY$2007,$A296,매출원본!$AS$8:$AS$2007,"&gt;="&amp;(설정!$B$5-설정!$B$8),매출원본!$AS$8:$AS$2007,"&lt;="&amp;설정!$B$5)))</f>
        <v/>
      </c>
      <c r="AC296" s="31">
        <f>IF(OR($U296="",$T296=""),"",INDEX(거래처설정!$J$8:$J$407,$T296))</f>
        <v/>
      </c>
      <c r="AD296" s="31">
        <f>IF(OR($U296="",$T296=""),"",INDEX(거래처설정!$K$8:$K$407,$T296))</f>
        <v/>
      </c>
      <c r="AE296" s="31">
        <f>IF($U296="","",IF(LEN(SUBSTITUTE(SUBSTITUTE(SUBSTITUTE(SUBSTITUTE(SUBSTITUTE(SUBSTITUTE(SUBSTITUTE(SUBSTITUTE(SUBSTITUTE($C296," ",""),"　",""),"(주)",""),"（주）",""),"㈜",""),"주식회사",""),"(유)",""),"（유）",""),"유한회사",""))&lt;2,"",SUBSTITUTE(SUBSTITUTE(SUBSTITUTE(SUBSTITUTE(SUBSTITUTE(SUBSTITUTE(SUBSTITUTE(SUBSTITUTE(SUBSTITUTE($C296," ",""),"　",""),"(주)",""),"（주）",""),"㈜",""),"주식회사",""),"(유)",""),"（유）",""),"유한회사","")))</f>
        <v/>
      </c>
    </row>
    <row r="297">
      <c r="A297" s="38">
        <f>IF($U297="","",290)</f>
        <v/>
      </c>
      <c r="B297" s="38">
        <f>IF($U297="","",IF(LEN(INDEX(매출원본!$AU$8:$AU$2007,$U297))=10,LEFT(INDEX(매출원본!$AU$8:$AU$2007,$U297),3)&amp;"-"&amp;MID(INDEX(매출원본!$AU$8:$AU$2007,$U297),4,2)&amp;"-"&amp;RIGHT(INDEX(매출원본!$AU$8:$AU$2007,$U297),5),IF(LEFT(INDEX(매출원본!$AU$8:$AU$2007,$U297),2)="N:","(번호 없음)",INDEX(매출원본!$AU$8:$AU$2007,$U297))))</f>
        <v/>
      </c>
      <c r="C297" s="38">
        <f>IF($U297="","",INDEX(매출원본!$AV$8:$AV$2007,$U297))</f>
        <v/>
      </c>
      <c r="D297" s="39">
        <f>IF($U297="","",IF($T297="",0,N(INDEX(거래처설정!$E$8:$E$407,$T297))))</f>
        <v/>
      </c>
      <c r="E297" s="39">
        <f>IF($U297="","",SUMIFS(매출원본!$AT$8:$AT$2007,매출원본!$AY$8:$AY$2007,$A297,매출원본!$AS$8:$AS$2007,"&lt;="&amp;설정!$B$5))</f>
        <v/>
      </c>
      <c r="F297" s="39">
        <f>IF($U297="","",SUMIFS(입금_은행1!$Z$8:$Z$2007,입금_은행1!$AC$8:$AC$2007,$A297,입금_은행1!$Y$8:$Y$2007,"&lt;="&amp;설정!$B$5)+SUMIFS(입금_은행2!$Z$8:$Z$2007,입금_은행2!$AC$8:$AC$2007,$A297,입금_은행2!$Y$8:$Y$2007,"&lt;="&amp;설정!$B$5))</f>
        <v/>
      </c>
      <c r="G297" s="39">
        <f>IF($U297="","",$D297+$E297-$F297)</f>
        <v/>
      </c>
      <c r="H297" s="39">
        <f>IF($U297="","",MIN(MAX($G297,0),$V297))</f>
        <v/>
      </c>
      <c r="I297" s="39">
        <f>IF($U297="","",MIN(MAX($G297,0),$W297)-MIN(MAX($G297,0),$V297))</f>
        <v/>
      </c>
      <c r="J297" s="39">
        <f>IF($U297="","",MIN(MAX($G297,0),$X297)-MIN(MAX($G297,0),$W297))</f>
        <v/>
      </c>
      <c r="K297" s="39">
        <f>IF($U297="","",MAX($G297,0)-MIN(MAX($G297,0),$X297))</f>
        <v/>
      </c>
      <c r="L297" s="40">
        <f>IF($U297="","",IF(MAX(SUMPRODUCT(MAX((입금_은행1!$AC$8:$AC$2007=$A297)*(입금_은행1!$AE$8:$AE$2007&lt;=설정!$B$5)*입금_은행1!$AE$8:$AE$2007)),SUMPRODUCT(MAX((입금_은행2!$AC$8:$AC$2007=$A297)*(입금_은행2!$AE$8:$AE$2007&lt;=설정!$B$5)*입금_은행2!$AE$8:$AE$2007)))=0,"",MAX(SUMPRODUCT(MAX((입금_은행1!$AC$8:$AC$2007=$A297)*(입금_은행1!$AE$8:$AE$2007&lt;=설정!$B$5)*입금_은행1!$AE$8:$AE$2007)),SUMPRODUCT(MAX((입금_은행2!$AC$8:$AC$2007=$A297)*(입금_은행2!$AE$8:$AE$2007&lt;=설정!$B$5)*입금_은행2!$AE$8:$AE$2007)))))</f>
        <v/>
      </c>
      <c r="M297" s="38">
        <f>IF($U297="","",IF($T297="","",IF(INDEX(거래처설정!$F$8:$F$407,$T297)="","",INDEX(거래처설정!$F$8:$F$407,$T297))))</f>
        <v/>
      </c>
      <c r="N297" s="38">
        <f>IF($U297="","",IF($T297="","",IF(INDEX(거래처설정!$G$8:$G$407,$T297)="","",INDEX(거래처설정!$G$8:$G$407,$T297))))</f>
        <v/>
      </c>
      <c r="O297" s="38">
        <f>IF($U297="","",IF($M297="제외",0,IF($K297&gt;=설정!$B$9,3,IF($J297+$K297&gt;=설정!$B$9,2,IF($I297+$J297+$K297&gt;=설정!$B$9,1,0)))))</f>
        <v/>
      </c>
      <c r="P297" s="38">
        <f>IF($U297="","",IF($M297="제외","제외(조치 상태)",IF($O297=3,"③ 강한 독촉 후보 ("&amp;설정!$B$8&amp;"일 초과)",IF($O297=2,"② 독촉 후보 ("&amp;설정!$B$7&amp;"일 초과)",IF($O297=1,"① 안내 후보 ("&amp;설정!$B$6&amp;"일 초과)",IF($G297&gt;0,IF($I297+$J297+$K297&gt;0,"오래된 잔액 있음 (최소 금액 미만)","정상 범위"),IF($G297&lt;0,"선수금·초과입금 — 확인","완납")))))))</f>
        <v/>
      </c>
      <c r="Q297" s="38">
        <f>IF($U297="","",IF($G297&lt;0,"입금이 매출보다 큼 — 선수금이거나 다른 거래처 입금이 섞였는지 확인",IF(AND($AE297&lt;&gt;"",COUNTIF($AE$8:$AE$307,"*"&amp;$AE297&amp;"*")&gt;1),"이름이 다른 거래처와 겹침 — 입금이 잘못 맞았을 수 있으니 별칭 확인",IF(AND($G297&gt;0,$F297=0),"입금 매칭 없음 — 입금자명이 다르면 [거래처설정]에 별칭 등록",""))))</f>
        <v/>
      </c>
      <c r="R297" s="31">
        <f>IF(OR($U297="",$G297&lt;=0),"",$G297-$A297/10000)</f>
        <v/>
      </c>
      <c r="S297" s="31">
        <f>IF(OR($U297="",$O297&lt;1),"",$O297*10^11+$I297+$J297+$K297-$A297/1000)</f>
        <v/>
      </c>
      <c r="T297" s="31">
        <f>IF($U297="","",IFERROR(MATCH(INDEX(매출원본!$AU$8:$AU$2007,$U297),거래처설정!$I$8:$I$407,0),""))</f>
        <v/>
      </c>
      <c r="U297" s="31">
        <f>IFERROR(MATCH(290,매출원본!$AW$8:$AW$2007,0),"")</f>
        <v/>
      </c>
      <c r="V297" s="31">
        <f>IF($U297="","",MAX(SUMIFS(매출원본!$AT$8:$AT$2007,매출원본!$AY$8:$AY$2007,$A297,매출원본!$AS$8:$AS$2007,"&gt;="&amp;(설정!$B$5-설정!$B$6),매출원본!$AS$8:$AS$2007,"&lt;="&amp;설정!$B$5),0))</f>
        <v/>
      </c>
      <c r="W297" s="31">
        <f>IF($U297="","",MAX($V297,SUMIFS(매출원본!$AT$8:$AT$2007,매출원본!$AY$8:$AY$2007,$A297,매출원본!$AS$8:$AS$2007,"&gt;="&amp;(설정!$B$5-설정!$B$7),매출원본!$AS$8:$AS$2007,"&lt;="&amp;설정!$B$5)))</f>
        <v/>
      </c>
      <c r="X297" s="31">
        <f>IF($U297="","",MAX($W297,SUMIFS(매출원본!$AT$8:$AT$2007,매출원본!$AY$8:$AY$2007,$A297,매출원본!$AS$8:$AS$2007,"&gt;="&amp;(설정!$B$5-설정!$B$8),매출원본!$AS$8:$AS$2007,"&lt;="&amp;설정!$B$5)))</f>
        <v/>
      </c>
      <c r="AC297" s="31">
        <f>IF(OR($U297="",$T297=""),"",INDEX(거래처설정!$J$8:$J$407,$T297))</f>
        <v/>
      </c>
      <c r="AD297" s="31">
        <f>IF(OR($U297="",$T297=""),"",INDEX(거래처설정!$K$8:$K$407,$T297))</f>
        <v/>
      </c>
      <c r="AE297" s="31">
        <f>IF($U297="","",IF(LEN(SUBSTITUTE(SUBSTITUTE(SUBSTITUTE(SUBSTITUTE(SUBSTITUTE(SUBSTITUTE(SUBSTITUTE(SUBSTITUTE(SUBSTITUTE($C297," ",""),"　",""),"(주)",""),"（주）",""),"㈜",""),"주식회사",""),"(유)",""),"（유）",""),"유한회사",""))&lt;2,"",SUBSTITUTE(SUBSTITUTE(SUBSTITUTE(SUBSTITUTE(SUBSTITUTE(SUBSTITUTE(SUBSTITUTE(SUBSTITUTE(SUBSTITUTE($C297," ",""),"　",""),"(주)",""),"（주）",""),"㈜",""),"주식회사",""),"(유)",""),"（유）",""),"유한회사","")))</f>
        <v/>
      </c>
    </row>
    <row r="298">
      <c r="A298" s="38">
        <f>IF($U298="","",291)</f>
        <v/>
      </c>
      <c r="B298" s="38">
        <f>IF($U298="","",IF(LEN(INDEX(매출원본!$AU$8:$AU$2007,$U298))=10,LEFT(INDEX(매출원본!$AU$8:$AU$2007,$U298),3)&amp;"-"&amp;MID(INDEX(매출원본!$AU$8:$AU$2007,$U298),4,2)&amp;"-"&amp;RIGHT(INDEX(매출원본!$AU$8:$AU$2007,$U298),5),IF(LEFT(INDEX(매출원본!$AU$8:$AU$2007,$U298),2)="N:","(번호 없음)",INDEX(매출원본!$AU$8:$AU$2007,$U298))))</f>
        <v/>
      </c>
      <c r="C298" s="38">
        <f>IF($U298="","",INDEX(매출원본!$AV$8:$AV$2007,$U298))</f>
        <v/>
      </c>
      <c r="D298" s="39">
        <f>IF($U298="","",IF($T298="",0,N(INDEX(거래처설정!$E$8:$E$407,$T298))))</f>
        <v/>
      </c>
      <c r="E298" s="39">
        <f>IF($U298="","",SUMIFS(매출원본!$AT$8:$AT$2007,매출원본!$AY$8:$AY$2007,$A298,매출원본!$AS$8:$AS$2007,"&lt;="&amp;설정!$B$5))</f>
        <v/>
      </c>
      <c r="F298" s="39">
        <f>IF($U298="","",SUMIFS(입금_은행1!$Z$8:$Z$2007,입금_은행1!$AC$8:$AC$2007,$A298,입금_은행1!$Y$8:$Y$2007,"&lt;="&amp;설정!$B$5)+SUMIFS(입금_은행2!$Z$8:$Z$2007,입금_은행2!$AC$8:$AC$2007,$A298,입금_은행2!$Y$8:$Y$2007,"&lt;="&amp;설정!$B$5))</f>
        <v/>
      </c>
      <c r="G298" s="39">
        <f>IF($U298="","",$D298+$E298-$F298)</f>
        <v/>
      </c>
      <c r="H298" s="39">
        <f>IF($U298="","",MIN(MAX($G298,0),$V298))</f>
        <v/>
      </c>
      <c r="I298" s="39">
        <f>IF($U298="","",MIN(MAX($G298,0),$W298)-MIN(MAX($G298,0),$V298))</f>
        <v/>
      </c>
      <c r="J298" s="39">
        <f>IF($U298="","",MIN(MAX($G298,0),$X298)-MIN(MAX($G298,0),$W298))</f>
        <v/>
      </c>
      <c r="K298" s="39">
        <f>IF($U298="","",MAX($G298,0)-MIN(MAX($G298,0),$X298))</f>
        <v/>
      </c>
      <c r="L298" s="40">
        <f>IF($U298="","",IF(MAX(SUMPRODUCT(MAX((입금_은행1!$AC$8:$AC$2007=$A298)*(입금_은행1!$AE$8:$AE$2007&lt;=설정!$B$5)*입금_은행1!$AE$8:$AE$2007)),SUMPRODUCT(MAX((입금_은행2!$AC$8:$AC$2007=$A298)*(입금_은행2!$AE$8:$AE$2007&lt;=설정!$B$5)*입금_은행2!$AE$8:$AE$2007)))=0,"",MAX(SUMPRODUCT(MAX((입금_은행1!$AC$8:$AC$2007=$A298)*(입금_은행1!$AE$8:$AE$2007&lt;=설정!$B$5)*입금_은행1!$AE$8:$AE$2007)),SUMPRODUCT(MAX((입금_은행2!$AC$8:$AC$2007=$A298)*(입금_은행2!$AE$8:$AE$2007&lt;=설정!$B$5)*입금_은행2!$AE$8:$AE$2007)))))</f>
        <v/>
      </c>
      <c r="M298" s="38">
        <f>IF($U298="","",IF($T298="","",IF(INDEX(거래처설정!$F$8:$F$407,$T298)="","",INDEX(거래처설정!$F$8:$F$407,$T298))))</f>
        <v/>
      </c>
      <c r="N298" s="38">
        <f>IF($U298="","",IF($T298="","",IF(INDEX(거래처설정!$G$8:$G$407,$T298)="","",INDEX(거래처설정!$G$8:$G$407,$T298))))</f>
        <v/>
      </c>
      <c r="O298" s="38">
        <f>IF($U298="","",IF($M298="제외",0,IF($K298&gt;=설정!$B$9,3,IF($J298+$K298&gt;=설정!$B$9,2,IF($I298+$J298+$K298&gt;=설정!$B$9,1,0)))))</f>
        <v/>
      </c>
      <c r="P298" s="38">
        <f>IF($U298="","",IF($M298="제외","제외(조치 상태)",IF($O298=3,"③ 강한 독촉 후보 ("&amp;설정!$B$8&amp;"일 초과)",IF($O298=2,"② 독촉 후보 ("&amp;설정!$B$7&amp;"일 초과)",IF($O298=1,"① 안내 후보 ("&amp;설정!$B$6&amp;"일 초과)",IF($G298&gt;0,IF($I298+$J298+$K298&gt;0,"오래된 잔액 있음 (최소 금액 미만)","정상 범위"),IF($G298&lt;0,"선수금·초과입금 — 확인","완납")))))))</f>
        <v/>
      </c>
      <c r="Q298" s="38">
        <f>IF($U298="","",IF($G298&lt;0,"입금이 매출보다 큼 — 선수금이거나 다른 거래처 입금이 섞였는지 확인",IF(AND($AE298&lt;&gt;"",COUNTIF($AE$8:$AE$307,"*"&amp;$AE298&amp;"*")&gt;1),"이름이 다른 거래처와 겹침 — 입금이 잘못 맞았을 수 있으니 별칭 확인",IF(AND($G298&gt;0,$F298=0),"입금 매칭 없음 — 입금자명이 다르면 [거래처설정]에 별칭 등록",""))))</f>
        <v/>
      </c>
      <c r="R298" s="31">
        <f>IF(OR($U298="",$G298&lt;=0),"",$G298-$A298/10000)</f>
        <v/>
      </c>
      <c r="S298" s="31">
        <f>IF(OR($U298="",$O298&lt;1),"",$O298*10^11+$I298+$J298+$K298-$A298/1000)</f>
        <v/>
      </c>
      <c r="T298" s="31">
        <f>IF($U298="","",IFERROR(MATCH(INDEX(매출원본!$AU$8:$AU$2007,$U298),거래처설정!$I$8:$I$407,0),""))</f>
        <v/>
      </c>
      <c r="U298" s="31">
        <f>IFERROR(MATCH(291,매출원본!$AW$8:$AW$2007,0),"")</f>
        <v/>
      </c>
      <c r="V298" s="31">
        <f>IF($U298="","",MAX(SUMIFS(매출원본!$AT$8:$AT$2007,매출원본!$AY$8:$AY$2007,$A298,매출원본!$AS$8:$AS$2007,"&gt;="&amp;(설정!$B$5-설정!$B$6),매출원본!$AS$8:$AS$2007,"&lt;="&amp;설정!$B$5),0))</f>
        <v/>
      </c>
      <c r="W298" s="31">
        <f>IF($U298="","",MAX($V298,SUMIFS(매출원본!$AT$8:$AT$2007,매출원본!$AY$8:$AY$2007,$A298,매출원본!$AS$8:$AS$2007,"&gt;="&amp;(설정!$B$5-설정!$B$7),매출원본!$AS$8:$AS$2007,"&lt;="&amp;설정!$B$5)))</f>
        <v/>
      </c>
      <c r="X298" s="31">
        <f>IF($U298="","",MAX($W298,SUMIFS(매출원본!$AT$8:$AT$2007,매출원본!$AY$8:$AY$2007,$A298,매출원본!$AS$8:$AS$2007,"&gt;="&amp;(설정!$B$5-설정!$B$8),매출원본!$AS$8:$AS$2007,"&lt;="&amp;설정!$B$5)))</f>
        <v/>
      </c>
      <c r="AC298" s="31">
        <f>IF(OR($U298="",$T298=""),"",INDEX(거래처설정!$J$8:$J$407,$T298))</f>
        <v/>
      </c>
      <c r="AD298" s="31">
        <f>IF(OR($U298="",$T298=""),"",INDEX(거래처설정!$K$8:$K$407,$T298))</f>
        <v/>
      </c>
      <c r="AE298" s="31">
        <f>IF($U298="","",IF(LEN(SUBSTITUTE(SUBSTITUTE(SUBSTITUTE(SUBSTITUTE(SUBSTITUTE(SUBSTITUTE(SUBSTITUTE(SUBSTITUTE(SUBSTITUTE($C298," ",""),"　",""),"(주)",""),"（주）",""),"㈜",""),"주식회사",""),"(유)",""),"（유）",""),"유한회사",""))&lt;2,"",SUBSTITUTE(SUBSTITUTE(SUBSTITUTE(SUBSTITUTE(SUBSTITUTE(SUBSTITUTE(SUBSTITUTE(SUBSTITUTE(SUBSTITUTE($C298," ",""),"　",""),"(주)",""),"（주）",""),"㈜",""),"주식회사",""),"(유)",""),"（유）",""),"유한회사","")))</f>
        <v/>
      </c>
    </row>
    <row r="299">
      <c r="A299" s="38">
        <f>IF($U299="","",292)</f>
        <v/>
      </c>
      <c r="B299" s="38">
        <f>IF($U299="","",IF(LEN(INDEX(매출원본!$AU$8:$AU$2007,$U299))=10,LEFT(INDEX(매출원본!$AU$8:$AU$2007,$U299),3)&amp;"-"&amp;MID(INDEX(매출원본!$AU$8:$AU$2007,$U299),4,2)&amp;"-"&amp;RIGHT(INDEX(매출원본!$AU$8:$AU$2007,$U299),5),IF(LEFT(INDEX(매출원본!$AU$8:$AU$2007,$U299),2)="N:","(번호 없음)",INDEX(매출원본!$AU$8:$AU$2007,$U299))))</f>
        <v/>
      </c>
      <c r="C299" s="38">
        <f>IF($U299="","",INDEX(매출원본!$AV$8:$AV$2007,$U299))</f>
        <v/>
      </c>
      <c r="D299" s="39">
        <f>IF($U299="","",IF($T299="",0,N(INDEX(거래처설정!$E$8:$E$407,$T299))))</f>
        <v/>
      </c>
      <c r="E299" s="39">
        <f>IF($U299="","",SUMIFS(매출원본!$AT$8:$AT$2007,매출원본!$AY$8:$AY$2007,$A299,매출원본!$AS$8:$AS$2007,"&lt;="&amp;설정!$B$5))</f>
        <v/>
      </c>
      <c r="F299" s="39">
        <f>IF($U299="","",SUMIFS(입금_은행1!$Z$8:$Z$2007,입금_은행1!$AC$8:$AC$2007,$A299,입금_은행1!$Y$8:$Y$2007,"&lt;="&amp;설정!$B$5)+SUMIFS(입금_은행2!$Z$8:$Z$2007,입금_은행2!$AC$8:$AC$2007,$A299,입금_은행2!$Y$8:$Y$2007,"&lt;="&amp;설정!$B$5))</f>
        <v/>
      </c>
      <c r="G299" s="39">
        <f>IF($U299="","",$D299+$E299-$F299)</f>
        <v/>
      </c>
      <c r="H299" s="39">
        <f>IF($U299="","",MIN(MAX($G299,0),$V299))</f>
        <v/>
      </c>
      <c r="I299" s="39">
        <f>IF($U299="","",MIN(MAX($G299,0),$W299)-MIN(MAX($G299,0),$V299))</f>
        <v/>
      </c>
      <c r="J299" s="39">
        <f>IF($U299="","",MIN(MAX($G299,0),$X299)-MIN(MAX($G299,0),$W299))</f>
        <v/>
      </c>
      <c r="K299" s="39">
        <f>IF($U299="","",MAX($G299,0)-MIN(MAX($G299,0),$X299))</f>
        <v/>
      </c>
      <c r="L299" s="40">
        <f>IF($U299="","",IF(MAX(SUMPRODUCT(MAX((입금_은행1!$AC$8:$AC$2007=$A299)*(입금_은행1!$AE$8:$AE$2007&lt;=설정!$B$5)*입금_은행1!$AE$8:$AE$2007)),SUMPRODUCT(MAX((입금_은행2!$AC$8:$AC$2007=$A299)*(입금_은행2!$AE$8:$AE$2007&lt;=설정!$B$5)*입금_은행2!$AE$8:$AE$2007)))=0,"",MAX(SUMPRODUCT(MAX((입금_은행1!$AC$8:$AC$2007=$A299)*(입금_은행1!$AE$8:$AE$2007&lt;=설정!$B$5)*입금_은행1!$AE$8:$AE$2007)),SUMPRODUCT(MAX((입금_은행2!$AC$8:$AC$2007=$A299)*(입금_은행2!$AE$8:$AE$2007&lt;=설정!$B$5)*입금_은행2!$AE$8:$AE$2007)))))</f>
        <v/>
      </c>
      <c r="M299" s="38">
        <f>IF($U299="","",IF($T299="","",IF(INDEX(거래처설정!$F$8:$F$407,$T299)="","",INDEX(거래처설정!$F$8:$F$407,$T299))))</f>
        <v/>
      </c>
      <c r="N299" s="38">
        <f>IF($U299="","",IF($T299="","",IF(INDEX(거래처설정!$G$8:$G$407,$T299)="","",INDEX(거래처설정!$G$8:$G$407,$T299))))</f>
        <v/>
      </c>
      <c r="O299" s="38">
        <f>IF($U299="","",IF($M299="제외",0,IF($K299&gt;=설정!$B$9,3,IF($J299+$K299&gt;=설정!$B$9,2,IF($I299+$J299+$K299&gt;=설정!$B$9,1,0)))))</f>
        <v/>
      </c>
      <c r="P299" s="38">
        <f>IF($U299="","",IF($M299="제외","제외(조치 상태)",IF($O299=3,"③ 강한 독촉 후보 ("&amp;설정!$B$8&amp;"일 초과)",IF($O299=2,"② 독촉 후보 ("&amp;설정!$B$7&amp;"일 초과)",IF($O299=1,"① 안내 후보 ("&amp;설정!$B$6&amp;"일 초과)",IF($G299&gt;0,IF($I299+$J299+$K299&gt;0,"오래된 잔액 있음 (최소 금액 미만)","정상 범위"),IF($G299&lt;0,"선수금·초과입금 — 확인","완납")))))))</f>
        <v/>
      </c>
      <c r="Q299" s="38">
        <f>IF($U299="","",IF($G299&lt;0,"입금이 매출보다 큼 — 선수금이거나 다른 거래처 입금이 섞였는지 확인",IF(AND($AE299&lt;&gt;"",COUNTIF($AE$8:$AE$307,"*"&amp;$AE299&amp;"*")&gt;1),"이름이 다른 거래처와 겹침 — 입금이 잘못 맞았을 수 있으니 별칭 확인",IF(AND($G299&gt;0,$F299=0),"입금 매칭 없음 — 입금자명이 다르면 [거래처설정]에 별칭 등록",""))))</f>
        <v/>
      </c>
      <c r="R299" s="31">
        <f>IF(OR($U299="",$G299&lt;=0),"",$G299-$A299/10000)</f>
        <v/>
      </c>
      <c r="S299" s="31">
        <f>IF(OR($U299="",$O299&lt;1),"",$O299*10^11+$I299+$J299+$K299-$A299/1000)</f>
        <v/>
      </c>
      <c r="T299" s="31">
        <f>IF($U299="","",IFERROR(MATCH(INDEX(매출원본!$AU$8:$AU$2007,$U299),거래처설정!$I$8:$I$407,0),""))</f>
        <v/>
      </c>
      <c r="U299" s="31">
        <f>IFERROR(MATCH(292,매출원본!$AW$8:$AW$2007,0),"")</f>
        <v/>
      </c>
      <c r="V299" s="31">
        <f>IF($U299="","",MAX(SUMIFS(매출원본!$AT$8:$AT$2007,매출원본!$AY$8:$AY$2007,$A299,매출원본!$AS$8:$AS$2007,"&gt;="&amp;(설정!$B$5-설정!$B$6),매출원본!$AS$8:$AS$2007,"&lt;="&amp;설정!$B$5),0))</f>
        <v/>
      </c>
      <c r="W299" s="31">
        <f>IF($U299="","",MAX($V299,SUMIFS(매출원본!$AT$8:$AT$2007,매출원본!$AY$8:$AY$2007,$A299,매출원본!$AS$8:$AS$2007,"&gt;="&amp;(설정!$B$5-설정!$B$7),매출원본!$AS$8:$AS$2007,"&lt;="&amp;설정!$B$5)))</f>
        <v/>
      </c>
      <c r="X299" s="31">
        <f>IF($U299="","",MAX($W299,SUMIFS(매출원본!$AT$8:$AT$2007,매출원본!$AY$8:$AY$2007,$A299,매출원본!$AS$8:$AS$2007,"&gt;="&amp;(설정!$B$5-설정!$B$8),매출원본!$AS$8:$AS$2007,"&lt;="&amp;설정!$B$5)))</f>
        <v/>
      </c>
      <c r="AC299" s="31">
        <f>IF(OR($U299="",$T299=""),"",INDEX(거래처설정!$J$8:$J$407,$T299))</f>
        <v/>
      </c>
      <c r="AD299" s="31">
        <f>IF(OR($U299="",$T299=""),"",INDEX(거래처설정!$K$8:$K$407,$T299))</f>
        <v/>
      </c>
      <c r="AE299" s="31">
        <f>IF($U299="","",IF(LEN(SUBSTITUTE(SUBSTITUTE(SUBSTITUTE(SUBSTITUTE(SUBSTITUTE(SUBSTITUTE(SUBSTITUTE(SUBSTITUTE(SUBSTITUTE($C299," ",""),"　",""),"(주)",""),"（주）",""),"㈜",""),"주식회사",""),"(유)",""),"（유）",""),"유한회사",""))&lt;2,"",SUBSTITUTE(SUBSTITUTE(SUBSTITUTE(SUBSTITUTE(SUBSTITUTE(SUBSTITUTE(SUBSTITUTE(SUBSTITUTE(SUBSTITUTE($C299," ",""),"　",""),"(주)",""),"（주）",""),"㈜",""),"주식회사",""),"(유)",""),"（유）",""),"유한회사","")))</f>
        <v/>
      </c>
    </row>
    <row r="300">
      <c r="A300" s="38">
        <f>IF($U300="","",293)</f>
        <v/>
      </c>
      <c r="B300" s="38">
        <f>IF($U300="","",IF(LEN(INDEX(매출원본!$AU$8:$AU$2007,$U300))=10,LEFT(INDEX(매출원본!$AU$8:$AU$2007,$U300),3)&amp;"-"&amp;MID(INDEX(매출원본!$AU$8:$AU$2007,$U300),4,2)&amp;"-"&amp;RIGHT(INDEX(매출원본!$AU$8:$AU$2007,$U300),5),IF(LEFT(INDEX(매출원본!$AU$8:$AU$2007,$U300),2)="N:","(번호 없음)",INDEX(매출원본!$AU$8:$AU$2007,$U300))))</f>
        <v/>
      </c>
      <c r="C300" s="38">
        <f>IF($U300="","",INDEX(매출원본!$AV$8:$AV$2007,$U300))</f>
        <v/>
      </c>
      <c r="D300" s="39">
        <f>IF($U300="","",IF($T300="",0,N(INDEX(거래처설정!$E$8:$E$407,$T300))))</f>
        <v/>
      </c>
      <c r="E300" s="39">
        <f>IF($U300="","",SUMIFS(매출원본!$AT$8:$AT$2007,매출원본!$AY$8:$AY$2007,$A300,매출원본!$AS$8:$AS$2007,"&lt;="&amp;설정!$B$5))</f>
        <v/>
      </c>
      <c r="F300" s="39">
        <f>IF($U300="","",SUMIFS(입금_은행1!$Z$8:$Z$2007,입금_은행1!$AC$8:$AC$2007,$A300,입금_은행1!$Y$8:$Y$2007,"&lt;="&amp;설정!$B$5)+SUMIFS(입금_은행2!$Z$8:$Z$2007,입금_은행2!$AC$8:$AC$2007,$A300,입금_은행2!$Y$8:$Y$2007,"&lt;="&amp;설정!$B$5))</f>
        <v/>
      </c>
      <c r="G300" s="39">
        <f>IF($U300="","",$D300+$E300-$F300)</f>
        <v/>
      </c>
      <c r="H300" s="39">
        <f>IF($U300="","",MIN(MAX($G300,0),$V300))</f>
        <v/>
      </c>
      <c r="I300" s="39">
        <f>IF($U300="","",MIN(MAX($G300,0),$W300)-MIN(MAX($G300,0),$V300))</f>
        <v/>
      </c>
      <c r="J300" s="39">
        <f>IF($U300="","",MIN(MAX($G300,0),$X300)-MIN(MAX($G300,0),$W300))</f>
        <v/>
      </c>
      <c r="K300" s="39">
        <f>IF($U300="","",MAX($G300,0)-MIN(MAX($G300,0),$X300))</f>
        <v/>
      </c>
      <c r="L300" s="40">
        <f>IF($U300="","",IF(MAX(SUMPRODUCT(MAX((입금_은행1!$AC$8:$AC$2007=$A300)*(입금_은행1!$AE$8:$AE$2007&lt;=설정!$B$5)*입금_은행1!$AE$8:$AE$2007)),SUMPRODUCT(MAX((입금_은행2!$AC$8:$AC$2007=$A300)*(입금_은행2!$AE$8:$AE$2007&lt;=설정!$B$5)*입금_은행2!$AE$8:$AE$2007)))=0,"",MAX(SUMPRODUCT(MAX((입금_은행1!$AC$8:$AC$2007=$A300)*(입금_은행1!$AE$8:$AE$2007&lt;=설정!$B$5)*입금_은행1!$AE$8:$AE$2007)),SUMPRODUCT(MAX((입금_은행2!$AC$8:$AC$2007=$A300)*(입금_은행2!$AE$8:$AE$2007&lt;=설정!$B$5)*입금_은행2!$AE$8:$AE$2007)))))</f>
        <v/>
      </c>
      <c r="M300" s="38">
        <f>IF($U300="","",IF($T300="","",IF(INDEX(거래처설정!$F$8:$F$407,$T300)="","",INDEX(거래처설정!$F$8:$F$407,$T300))))</f>
        <v/>
      </c>
      <c r="N300" s="38">
        <f>IF($U300="","",IF($T300="","",IF(INDEX(거래처설정!$G$8:$G$407,$T300)="","",INDEX(거래처설정!$G$8:$G$407,$T300))))</f>
        <v/>
      </c>
      <c r="O300" s="38">
        <f>IF($U300="","",IF($M300="제외",0,IF($K300&gt;=설정!$B$9,3,IF($J300+$K300&gt;=설정!$B$9,2,IF($I300+$J300+$K300&gt;=설정!$B$9,1,0)))))</f>
        <v/>
      </c>
      <c r="P300" s="38">
        <f>IF($U300="","",IF($M300="제외","제외(조치 상태)",IF($O300=3,"③ 강한 독촉 후보 ("&amp;설정!$B$8&amp;"일 초과)",IF($O300=2,"② 독촉 후보 ("&amp;설정!$B$7&amp;"일 초과)",IF($O300=1,"① 안내 후보 ("&amp;설정!$B$6&amp;"일 초과)",IF($G300&gt;0,IF($I300+$J300+$K300&gt;0,"오래된 잔액 있음 (최소 금액 미만)","정상 범위"),IF($G300&lt;0,"선수금·초과입금 — 확인","완납")))))))</f>
        <v/>
      </c>
      <c r="Q300" s="38">
        <f>IF($U300="","",IF($G300&lt;0,"입금이 매출보다 큼 — 선수금이거나 다른 거래처 입금이 섞였는지 확인",IF(AND($AE300&lt;&gt;"",COUNTIF($AE$8:$AE$307,"*"&amp;$AE300&amp;"*")&gt;1),"이름이 다른 거래처와 겹침 — 입금이 잘못 맞았을 수 있으니 별칭 확인",IF(AND($G300&gt;0,$F300=0),"입금 매칭 없음 — 입금자명이 다르면 [거래처설정]에 별칭 등록",""))))</f>
        <v/>
      </c>
      <c r="R300" s="31">
        <f>IF(OR($U300="",$G300&lt;=0),"",$G300-$A300/10000)</f>
        <v/>
      </c>
      <c r="S300" s="31">
        <f>IF(OR($U300="",$O300&lt;1),"",$O300*10^11+$I300+$J300+$K300-$A300/1000)</f>
        <v/>
      </c>
      <c r="T300" s="31">
        <f>IF($U300="","",IFERROR(MATCH(INDEX(매출원본!$AU$8:$AU$2007,$U300),거래처설정!$I$8:$I$407,0),""))</f>
        <v/>
      </c>
      <c r="U300" s="31">
        <f>IFERROR(MATCH(293,매출원본!$AW$8:$AW$2007,0),"")</f>
        <v/>
      </c>
      <c r="V300" s="31">
        <f>IF($U300="","",MAX(SUMIFS(매출원본!$AT$8:$AT$2007,매출원본!$AY$8:$AY$2007,$A300,매출원본!$AS$8:$AS$2007,"&gt;="&amp;(설정!$B$5-설정!$B$6),매출원본!$AS$8:$AS$2007,"&lt;="&amp;설정!$B$5),0))</f>
        <v/>
      </c>
      <c r="W300" s="31">
        <f>IF($U300="","",MAX($V300,SUMIFS(매출원본!$AT$8:$AT$2007,매출원본!$AY$8:$AY$2007,$A300,매출원본!$AS$8:$AS$2007,"&gt;="&amp;(설정!$B$5-설정!$B$7),매출원본!$AS$8:$AS$2007,"&lt;="&amp;설정!$B$5)))</f>
        <v/>
      </c>
      <c r="X300" s="31">
        <f>IF($U300="","",MAX($W300,SUMIFS(매출원본!$AT$8:$AT$2007,매출원본!$AY$8:$AY$2007,$A300,매출원본!$AS$8:$AS$2007,"&gt;="&amp;(설정!$B$5-설정!$B$8),매출원본!$AS$8:$AS$2007,"&lt;="&amp;설정!$B$5)))</f>
        <v/>
      </c>
      <c r="AC300" s="31">
        <f>IF(OR($U300="",$T300=""),"",INDEX(거래처설정!$J$8:$J$407,$T300))</f>
        <v/>
      </c>
      <c r="AD300" s="31">
        <f>IF(OR($U300="",$T300=""),"",INDEX(거래처설정!$K$8:$K$407,$T300))</f>
        <v/>
      </c>
      <c r="AE300" s="31">
        <f>IF($U300="","",IF(LEN(SUBSTITUTE(SUBSTITUTE(SUBSTITUTE(SUBSTITUTE(SUBSTITUTE(SUBSTITUTE(SUBSTITUTE(SUBSTITUTE(SUBSTITUTE($C300," ",""),"　",""),"(주)",""),"（주）",""),"㈜",""),"주식회사",""),"(유)",""),"（유）",""),"유한회사",""))&lt;2,"",SUBSTITUTE(SUBSTITUTE(SUBSTITUTE(SUBSTITUTE(SUBSTITUTE(SUBSTITUTE(SUBSTITUTE(SUBSTITUTE(SUBSTITUTE($C300," ",""),"　",""),"(주)",""),"（주）",""),"㈜",""),"주식회사",""),"(유)",""),"（유）",""),"유한회사","")))</f>
        <v/>
      </c>
    </row>
    <row r="301">
      <c r="A301" s="38">
        <f>IF($U301="","",294)</f>
        <v/>
      </c>
      <c r="B301" s="38">
        <f>IF($U301="","",IF(LEN(INDEX(매출원본!$AU$8:$AU$2007,$U301))=10,LEFT(INDEX(매출원본!$AU$8:$AU$2007,$U301),3)&amp;"-"&amp;MID(INDEX(매출원본!$AU$8:$AU$2007,$U301),4,2)&amp;"-"&amp;RIGHT(INDEX(매출원본!$AU$8:$AU$2007,$U301),5),IF(LEFT(INDEX(매출원본!$AU$8:$AU$2007,$U301),2)="N:","(번호 없음)",INDEX(매출원본!$AU$8:$AU$2007,$U301))))</f>
        <v/>
      </c>
      <c r="C301" s="38">
        <f>IF($U301="","",INDEX(매출원본!$AV$8:$AV$2007,$U301))</f>
        <v/>
      </c>
      <c r="D301" s="39">
        <f>IF($U301="","",IF($T301="",0,N(INDEX(거래처설정!$E$8:$E$407,$T301))))</f>
        <v/>
      </c>
      <c r="E301" s="39">
        <f>IF($U301="","",SUMIFS(매출원본!$AT$8:$AT$2007,매출원본!$AY$8:$AY$2007,$A301,매출원본!$AS$8:$AS$2007,"&lt;="&amp;설정!$B$5))</f>
        <v/>
      </c>
      <c r="F301" s="39">
        <f>IF($U301="","",SUMIFS(입금_은행1!$Z$8:$Z$2007,입금_은행1!$AC$8:$AC$2007,$A301,입금_은행1!$Y$8:$Y$2007,"&lt;="&amp;설정!$B$5)+SUMIFS(입금_은행2!$Z$8:$Z$2007,입금_은행2!$AC$8:$AC$2007,$A301,입금_은행2!$Y$8:$Y$2007,"&lt;="&amp;설정!$B$5))</f>
        <v/>
      </c>
      <c r="G301" s="39">
        <f>IF($U301="","",$D301+$E301-$F301)</f>
        <v/>
      </c>
      <c r="H301" s="39">
        <f>IF($U301="","",MIN(MAX($G301,0),$V301))</f>
        <v/>
      </c>
      <c r="I301" s="39">
        <f>IF($U301="","",MIN(MAX($G301,0),$W301)-MIN(MAX($G301,0),$V301))</f>
        <v/>
      </c>
      <c r="J301" s="39">
        <f>IF($U301="","",MIN(MAX($G301,0),$X301)-MIN(MAX($G301,0),$W301))</f>
        <v/>
      </c>
      <c r="K301" s="39">
        <f>IF($U301="","",MAX($G301,0)-MIN(MAX($G301,0),$X301))</f>
        <v/>
      </c>
      <c r="L301" s="40">
        <f>IF($U301="","",IF(MAX(SUMPRODUCT(MAX((입금_은행1!$AC$8:$AC$2007=$A301)*(입금_은행1!$AE$8:$AE$2007&lt;=설정!$B$5)*입금_은행1!$AE$8:$AE$2007)),SUMPRODUCT(MAX((입금_은행2!$AC$8:$AC$2007=$A301)*(입금_은행2!$AE$8:$AE$2007&lt;=설정!$B$5)*입금_은행2!$AE$8:$AE$2007)))=0,"",MAX(SUMPRODUCT(MAX((입금_은행1!$AC$8:$AC$2007=$A301)*(입금_은행1!$AE$8:$AE$2007&lt;=설정!$B$5)*입금_은행1!$AE$8:$AE$2007)),SUMPRODUCT(MAX((입금_은행2!$AC$8:$AC$2007=$A301)*(입금_은행2!$AE$8:$AE$2007&lt;=설정!$B$5)*입금_은행2!$AE$8:$AE$2007)))))</f>
        <v/>
      </c>
      <c r="M301" s="38">
        <f>IF($U301="","",IF($T301="","",IF(INDEX(거래처설정!$F$8:$F$407,$T301)="","",INDEX(거래처설정!$F$8:$F$407,$T301))))</f>
        <v/>
      </c>
      <c r="N301" s="38">
        <f>IF($U301="","",IF($T301="","",IF(INDEX(거래처설정!$G$8:$G$407,$T301)="","",INDEX(거래처설정!$G$8:$G$407,$T301))))</f>
        <v/>
      </c>
      <c r="O301" s="38">
        <f>IF($U301="","",IF($M301="제외",0,IF($K301&gt;=설정!$B$9,3,IF($J301+$K301&gt;=설정!$B$9,2,IF($I301+$J301+$K301&gt;=설정!$B$9,1,0)))))</f>
        <v/>
      </c>
      <c r="P301" s="38">
        <f>IF($U301="","",IF($M301="제외","제외(조치 상태)",IF($O301=3,"③ 강한 독촉 후보 ("&amp;설정!$B$8&amp;"일 초과)",IF($O301=2,"② 독촉 후보 ("&amp;설정!$B$7&amp;"일 초과)",IF($O301=1,"① 안내 후보 ("&amp;설정!$B$6&amp;"일 초과)",IF($G301&gt;0,IF($I301+$J301+$K301&gt;0,"오래된 잔액 있음 (최소 금액 미만)","정상 범위"),IF($G301&lt;0,"선수금·초과입금 — 확인","완납")))))))</f>
        <v/>
      </c>
      <c r="Q301" s="38">
        <f>IF($U301="","",IF($G301&lt;0,"입금이 매출보다 큼 — 선수금이거나 다른 거래처 입금이 섞였는지 확인",IF(AND($AE301&lt;&gt;"",COUNTIF($AE$8:$AE$307,"*"&amp;$AE301&amp;"*")&gt;1),"이름이 다른 거래처와 겹침 — 입금이 잘못 맞았을 수 있으니 별칭 확인",IF(AND($G301&gt;0,$F301=0),"입금 매칭 없음 — 입금자명이 다르면 [거래처설정]에 별칭 등록",""))))</f>
        <v/>
      </c>
      <c r="R301" s="31">
        <f>IF(OR($U301="",$G301&lt;=0),"",$G301-$A301/10000)</f>
        <v/>
      </c>
      <c r="S301" s="31">
        <f>IF(OR($U301="",$O301&lt;1),"",$O301*10^11+$I301+$J301+$K301-$A301/1000)</f>
        <v/>
      </c>
      <c r="T301" s="31">
        <f>IF($U301="","",IFERROR(MATCH(INDEX(매출원본!$AU$8:$AU$2007,$U301),거래처설정!$I$8:$I$407,0),""))</f>
        <v/>
      </c>
      <c r="U301" s="31">
        <f>IFERROR(MATCH(294,매출원본!$AW$8:$AW$2007,0),"")</f>
        <v/>
      </c>
      <c r="V301" s="31">
        <f>IF($U301="","",MAX(SUMIFS(매출원본!$AT$8:$AT$2007,매출원본!$AY$8:$AY$2007,$A301,매출원본!$AS$8:$AS$2007,"&gt;="&amp;(설정!$B$5-설정!$B$6),매출원본!$AS$8:$AS$2007,"&lt;="&amp;설정!$B$5),0))</f>
        <v/>
      </c>
      <c r="W301" s="31">
        <f>IF($U301="","",MAX($V301,SUMIFS(매출원본!$AT$8:$AT$2007,매출원본!$AY$8:$AY$2007,$A301,매출원본!$AS$8:$AS$2007,"&gt;="&amp;(설정!$B$5-설정!$B$7),매출원본!$AS$8:$AS$2007,"&lt;="&amp;설정!$B$5)))</f>
        <v/>
      </c>
      <c r="X301" s="31">
        <f>IF($U301="","",MAX($W301,SUMIFS(매출원본!$AT$8:$AT$2007,매출원본!$AY$8:$AY$2007,$A301,매출원본!$AS$8:$AS$2007,"&gt;="&amp;(설정!$B$5-설정!$B$8),매출원본!$AS$8:$AS$2007,"&lt;="&amp;설정!$B$5)))</f>
        <v/>
      </c>
      <c r="AC301" s="31">
        <f>IF(OR($U301="",$T301=""),"",INDEX(거래처설정!$J$8:$J$407,$T301))</f>
        <v/>
      </c>
      <c r="AD301" s="31">
        <f>IF(OR($U301="",$T301=""),"",INDEX(거래처설정!$K$8:$K$407,$T301))</f>
        <v/>
      </c>
      <c r="AE301" s="31">
        <f>IF($U301="","",IF(LEN(SUBSTITUTE(SUBSTITUTE(SUBSTITUTE(SUBSTITUTE(SUBSTITUTE(SUBSTITUTE(SUBSTITUTE(SUBSTITUTE(SUBSTITUTE($C301," ",""),"　",""),"(주)",""),"（주）",""),"㈜",""),"주식회사",""),"(유)",""),"（유）",""),"유한회사",""))&lt;2,"",SUBSTITUTE(SUBSTITUTE(SUBSTITUTE(SUBSTITUTE(SUBSTITUTE(SUBSTITUTE(SUBSTITUTE(SUBSTITUTE(SUBSTITUTE($C301," ",""),"　",""),"(주)",""),"（주）",""),"㈜",""),"주식회사",""),"(유)",""),"（유）",""),"유한회사","")))</f>
        <v/>
      </c>
    </row>
    <row r="302">
      <c r="A302" s="38">
        <f>IF($U302="","",295)</f>
        <v/>
      </c>
      <c r="B302" s="38">
        <f>IF($U302="","",IF(LEN(INDEX(매출원본!$AU$8:$AU$2007,$U302))=10,LEFT(INDEX(매출원본!$AU$8:$AU$2007,$U302),3)&amp;"-"&amp;MID(INDEX(매출원본!$AU$8:$AU$2007,$U302),4,2)&amp;"-"&amp;RIGHT(INDEX(매출원본!$AU$8:$AU$2007,$U302),5),IF(LEFT(INDEX(매출원본!$AU$8:$AU$2007,$U302),2)="N:","(번호 없음)",INDEX(매출원본!$AU$8:$AU$2007,$U302))))</f>
        <v/>
      </c>
      <c r="C302" s="38">
        <f>IF($U302="","",INDEX(매출원본!$AV$8:$AV$2007,$U302))</f>
        <v/>
      </c>
      <c r="D302" s="39">
        <f>IF($U302="","",IF($T302="",0,N(INDEX(거래처설정!$E$8:$E$407,$T302))))</f>
        <v/>
      </c>
      <c r="E302" s="39">
        <f>IF($U302="","",SUMIFS(매출원본!$AT$8:$AT$2007,매출원본!$AY$8:$AY$2007,$A302,매출원본!$AS$8:$AS$2007,"&lt;="&amp;설정!$B$5))</f>
        <v/>
      </c>
      <c r="F302" s="39">
        <f>IF($U302="","",SUMIFS(입금_은행1!$Z$8:$Z$2007,입금_은행1!$AC$8:$AC$2007,$A302,입금_은행1!$Y$8:$Y$2007,"&lt;="&amp;설정!$B$5)+SUMIFS(입금_은행2!$Z$8:$Z$2007,입금_은행2!$AC$8:$AC$2007,$A302,입금_은행2!$Y$8:$Y$2007,"&lt;="&amp;설정!$B$5))</f>
        <v/>
      </c>
      <c r="G302" s="39">
        <f>IF($U302="","",$D302+$E302-$F302)</f>
        <v/>
      </c>
      <c r="H302" s="39">
        <f>IF($U302="","",MIN(MAX($G302,0),$V302))</f>
        <v/>
      </c>
      <c r="I302" s="39">
        <f>IF($U302="","",MIN(MAX($G302,0),$W302)-MIN(MAX($G302,0),$V302))</f>
        <v/>
      </c>
      <c r="J302" s="39">
        <f>IF($U302="","",MIN(MAX($G302,0),$X302)-MIN(MAX($G302,0),$W302))</f>
        <v/>
      </c>
      <c r="K302" s="39">
        <f>IF($U302="","",MAX($G302,0)-MIN(MAX($G302,0),$X302))</f>
        <v/>
      </c>
      <c r="L302" s="40">
        <f>IF($U302="","",IF(MAX(SUMPRODUCT(MAX((입금_은행1!$AC$8:$AC$2007=$A302)*(입금_은행1!$AE$8:$AE$2007&lt;=설정!$B$5)*입금_은행1!$AE$8:$AE$2007)),SUMPRODUCT(MAX((입금_은행2!$AC$8:$AC$2007=$A302)*(입금_은행2!$AE$8:$AE$2007&lt;=설정!$B$5)*입금_은행2!$AE$8:$AE$2007)))=0,"",MAX(SUMPRODUCT(MAX((입금_은행1!$AC$8:$AC$2007=$A302)*(입금_은행1!$AE$8:$AE$2007&lt;=설정!$B$5)*입금_은행1!$AE$8:$AE$2007)),SUMPRODUCT(MAX((입금_은행2!$AC$8:$AC$2007=$A302)*(입금_은행2!$AE$8:$AE$2007&lt;=설정!$B$5)*입금_은행2!$AE$8:$AE$2007)))))</f>
        <v/>
      </c>
      <c r="M302" s="38">
        <f>IF($U302="","",IF($T302="","",IF(INDEX(거래처설정!$F$8:$F$407,$T302)="","",INDEX(거래처설정!$F$8:$F$407,$T302))))</f>
        <v/>
      </c>
      <c r="N302" s="38">
        <f>IF($U302="","",IF($T302="","",IF(INDEX(거래처설정!$G$8:$G$407,$T302)="","",INDEX(거래처설정!$G$8:$G$407,$T302))))</f>
        <v/>
      </c>
      <c r="O302" s="38">
        <f>IF($U302="","",IF($M302="제외",0,IF($K302&gt;=설정!$B$9,3,IF($J302+$K302&gt;=설정!$B$9,2,IF($I302+$J302+$K302&gt;=설정!$B$9,1,0)))))</f>
        <v/>
      </c>
      <c r="P302" s="38">
        <f>IF($U302="","",IF($M302="제외","제외(조치 상태)",IF($O302=3,"③ 강한 독촉 후보 ("&amp;설정!$B$8&amp;"일 초과)",IF($O302=2,"② 독촉 후보 ("&amp;설정!$B$7&amp;"일 초과)",IF($O302=1,"① 안내 후보 ("&amp;설정!$B$6&amp;"일 초과)",IF($G302&gt;0,IF($I302+$J302+$K302&gt;0,"오래된 잔액 있음 (최소 금액 미만)","정상 범위"),IF($G302&lt;0,"선수금·초과입금 — 확인","완납")))))))</f>
        <v/>
      </c>
      <c r="Q302" s="38">
        <f>IF($U302="","",IF($G302&lt;0,"입금이 매출보다 큼 — 선수금이거나 다른 거래처 입금이 섞였는지 확인",IF(AND($AE302&lt;&gt;"",COUNTIF($AE$8:$AE$307,"*"&amp;$AE302&amp;"*")&gt;1),"이름이 다른 거래처와 겹침 — 입금이 잘못 맞았을 수 있으니 별칭 확인",IF(AND($G302&gt;0,$F302=0),"입금 매칭 없음 — 입금자명이 다르면 [거래처설정]에 별칭 등록",""))))</f>
        <v/>
      </c>
      <c r="R302" s="31">
        <f>IF(OR($U302="",$G302&lt;=0),"",$G302-$A302/10000)</f>
        <v/>
      </c>
      <c r="S302" s="31">
        <f>IF(OR($U302="",$O302&lt;1),"",$O302*10^11+$I302+$J302+$K302-$A302/1000)</f>
        <v/>
      </c>
      <c r="T302" s="31">
        <f>IF($U302="","",IFERROR(MATCH(INDEX(매출원본!$AU$8:$AU$2007,$U302),거래처설정!$I$8:$I$407,0),""))</f>
        <v/>
      </c>
      <c r="U302" s="31">
        <f>IFERROR(MATCH(295,매출원본!$AW$8:$AW$2007,0),"")</f>
        <v/>
      </c>
      <c r="V302" s="31">
        <f>IF($U302="","",MAX(SUMIFS(매출원본!$AT$8:$AT$2007,매출원본!$AY$8:$AY$2007,$A302,매출원본!$AS$8:$AS$2007,"&gt;="&amp;(설정!$B$5-설정!$B$6),매출원본!$AS$8:$AS$2007,"&lt;="&amp;설정!$B$5),0))</f>
        <v/>
      </c>
      <c r="W302" s="31">
        <f>IF($U302="","",MAX($V302,SUMIFS(매출원본!$AT$8:$AT$2007,매출원본!$AY$8:$AY$2007,$A302,매출원본!$AS$8:$AS$2007,"&gt;="&amp;(설정!$B$5-설정!$B$7),매출원본!$AS$8:$AS$2007,"&lt;="&amp;설정!$B$5)))</f>
        <v/>
      </c>
      <c r="X302" s="31">
        <f>IF($U302="","",MAX($W302,SUMIFS(매출원본!$AT$8:$AT$2007,매출원본!$AY$8:$AY$2007,$A302,매출원본!$AS$8:$AS$2007,"&gt;="&amp;(설정!$B$5-설정!$B$8),매출원본!$AS$8:$AS$2007,"&lt;="&amp;설정!$B$5)))</f>
        <v/>
      </c>
      <c r="AC302" s="31">
        <f>IF(OR($U302="",$T302=""),"",INDEX(거래처설정!$J$8:$J$407,$T302))</f>
        <v/>
      </c>
      <c r="AD302" s="31">
        <f>IF(OR($U302="",$T302=""),"",INDEX(거래처설정!$K$8:$K$407,$T302))</f>
        <v/>
      </c>
      <c r="AE302" s="31">
        <f>IF($U302="","",IF(LEN(SUBSTITUTE(SUBSTITUTE(SUBSTITUTE(SUBSTITUTE(SUBSTITUTE(SUBSTITUTE(SUBSTITUTE(SUBSTITUTE(SUBSTITUTE($C302," ",""),"　",""),"(주)",""),"（주）",""),"㈜",""),"주식회사",""),"(유)",""),"（유）",""),"유한회사",""))&lt;2,"",SUBSTITUTE(SUBSTITUTE(SUBSTITUTE(SUBSTITUTE(SUBSTITUTE(SUBSTITUTE(SUBSTITUTE(SUBSTITUTE(SUBSTITUTE($C302," ",""),"　",""),"(주)",""),"（주）",""),"㈜",""),"주식회사",""),"(유)",""),"（유）",""),"유한회사","")))</f>
        <v/>
      </c>
    </row>
    <row r="303">
      <c r="A303" s="38">
        <f>IF($U303="","",296)</f>
        <v/>
      </c>
      <c r="B303" s="38">
        <f>IF($U303="","",IF(LEN(INDEX(매출원본!$AU$8:$AU$2007,$U303))=10,LEFT(INDEX(매출원본!$AU$8:$AU$2007,$U303),3)&amp;"-"&amp;MID(INDEX(매출원본!$AU$8:$AU$2007,$U303),4,2)&amp;"-"&amp;RIGHT(INDEX(매출원본!$AU$8:$AU$2007,$U303),5),IF(LEFT(INDEX(매출원본!$AU$8:$AU$2007,$U303),2)="N:","(번호 없음)",INDEX(매출원본!$AU$8:$AU$2007,$U303))))</f>
        <v/>
      </c>
      <c r="C303" s="38">
        <f>IF($U303="","",INDEX(매출원본!$AV$8:$AV$2007,$U303))</f>
        <v/>
      </c>
      <c r="D303" s="39">
        <f>IF($U303="","",IF($T303="",0,N(INDEX(거래처설정!$E$8:$E$407,$T303))))</f>
        <v/>
      </c>
      <c r="E303" s="39">
        <f>IF($U303="","",SUMIFS(매출원본!$AT$8:$AT$2007,매출원본!$AY$8:$AY$2007,$A303,매출원본!$AS$8:$AS$2007,"&lt;="&amp;설정!$B$5))</f>
        <v/>
      </c>
      <c r="F303" s="39">
        <f>IF($U303="","",SUMIFS(입금_은행1!$Z$8:$Z$2007,입금_은행1!$AC$8:$AC$2007,$A303,입금_은행1!$Y$8:$Y$2007,"&lt;="&amp;설정!$B$5)+SUMIFS(입금_은행2!$Z$8:$Z$2007,입금_은행2!$AC$8:$AC$2007,$A303,입금_은행2!$Y$8:$Y$2007,"&lt;="&amp;설정!$B$5))</f>
        <v/>
      </c>
      <c r="G303" s="39">
        <f>IF($U303="","",$D303+$E303-$F303)</f>
        <v/>
      </c>
      <c r="H303" s="39">
        <f>IF($U303="","",MIN(MAX($G303,0),$V303))</f>
        <v/>
      </c>
      <c r="I303" s="39">
        <f>IF($U303="","",MIN(MAX($G303,0),$W303)-MIN(MAX($G303,0),$V303))</f>
        <v/>
      </c>
      <c r="J303" s="39">
        <f>IF($U303="","",MIN(MAX($G303,0),$X303)-MIN(MAX($G303,0),$W303))</f>
        <v/>
      </c>
      <c r="K303" s="39">
        <f>IF($U303="","",MAX($G303,0)-MIN(MAX($G303,0),$X303))</f>
        <v/>
      </c>
      <c r="L303" s="40">
        <f>IF($U303="","",IF(MAX(SUMPRODUCT(MAX((입금_은행1!$AC$8:$AC$2007=$A303)*(입금_은행1!$AE$8:$AE$2007&lt;=설정!$B$5)*입금_은행1!$AE$8:$AE$2007)),SUMPRODUCT(MAX((입금_은행2!$AC$8:$AC$2007=$A303)*(입금_은행2!$AE$8:$AE$2007&lt;=설정!$B$5)*입금_은행2!$AE$8:$AE$2007)))=0,"",MAX(SUMPRODUCT(MAX((입금_은행1!$AC$8:$AC$2007=$A303)*(입금_은행1!$AE$8:$AE$2007&lt;=설정!$B$5)*입금_은행1!$AE$8:$AE$2007)),SUMPRODUCT(MAX((입금_은행2!$AC$8:$AC$2007=$A303)*(입금_은행2!$AE$8:$AE$2007&lt;=설정!$B$5)*입금_은행2!$AE$8:$AE$2007)))))</f>
        <v/>
      </c>
      <c r="M303" s="38">
        <f>IF($U303="","",IF($T303="","",IF(INDEX(거래처설정!$F$8:$F$407,$T303)="","",INDEX(거래처설정!$F$8:$F$407,$T303))))</f>
        <v/>
      </c>
      <c r="N303" s="38">
        <f>IF($U303="","",IF($T303="","",IF(INDEX(거래처설정!$G$8:$G$407,$T303)="","",INDEX(거래처설정!$G$8:$G$407,$T303))))</f>
        <v/>
      </c>
      <c r="O303" s="38">
        <f>IF($U303="","",IF($M303="제외",0,IF($K303&gt;=설정!$B$9,3,IF($J303+$K303&gt;=설정!$B$9,2,IF($I303+$J303+$K303&gt;=설정!$B$9,1,0)))))</f>
        <v/>
      </c>
      <c r="P303" s="38">
        <f>IF($U303="","",IF($M303="제외","제외(조치 상태)",IF($O303=3,"③ 강한 독촉 후보 ("&amp;설정!$B$8&amp;"일 초과)",IF($O303=2,"② 독촉 후보 ("&amp;설정!$B$7&amp;"일 초과)",IF($O303=1,"① 안내 후보 ("&amp;설정!$B$6&amp;"일 초과)",IF($G303&gt;0,IF($I303+$J303+$K303&gt;0,"오래된 잔액 있음 (최소 금액 미만)","정상 범위"),IF($G303&lt;0,"선수금·초과입금 — 확인","완납")))))))</f>
        <v/>
      </c>
      <c r="Q303" s="38">
        <f>IF($U303="","",IF($G303&lt;0,"입금이 매출보다 큼 — 선수금이거나 다른 거래처 입금이 섞였는지 확인",IF(AND($AE303&lt;&gt;"",COUNTIF($AE$8:$AE$307,"*"&amp;$AE303&amp;"*")&gt;1),"이름이 다른 거래처와 겹침 — 입금이 잘못 맞았을 수 있으니 별칭 확인",IF(AND($G303&gt;0,$F303=0),"입금 매칭 없음 — 입금자명이 다르면 [거래처설정]에 별칭 등록",""))))</f>
        <v/>
      </c>
      <c r="R303" s="31">
        <f>IF(OR($U303="",$G303&lt;=0),"",$G303-$A303/10000)</f>
        <v/>
      </c>
      <c r="S303" s="31">
        <f>IF(OR($U303="",$O303&lt;1),"",$O303*10^11+$I303+$J303+$K303-$A303/1000)</f>
        <v/>
      </c>
      <c r="T303" s="31">
        <f>IF($U303="","",IFERROR(MATCH(INDEX(매출원본!$AU$8:$AU$2007,$U303),거래처설정!$I$8:$I$407,0),""))</f>
        <v/>
      </c>
      <c r="U303" s="31">
        <f>IFERROR(MATCH(296,매출원본!$AW$8:$AW$2007,0),"")</f>
        <v/>
      </c>
      <c r="V303" s="31">
        <f>IF($U303="","",MAX(SUMIFS(매출원본!$AT$8:$AT$2007,매출원본!$AY$8:$AY$2007,$A303,매출원본!$AS$8:$AS$2007,"&gt;="&amp;(설정!$B$5-설정!$B$6),매출원본!$AS$8:$AS$2007,"&lt;="&amp;설정!$B$5),0))</f>
        <v/>
      </c>
      <c r="W303" s="31">
        <f>IF($U303="","",MAX($V303,SUMIFS(매출원본!$AT$8:$AT$2007,매출원본!$AY$8:$AY$2007,$A303,매출원본!$AS$8:$AS$2007,"&gt;="&amp;(설정!$B$5-설정!$B$7),매출원본!$AS$8:$AS$2007,"&lt;="&amp;설정!$B$5)))</f>
        <v/>
      </c>
      <c r="X303" s="31">
        <f>IF($U303="","",MAX($W303,SUMIFS(매출원본!$AT$8:$AT$2007,매출원본!$AY$8:$AY$2007,$A303,매출원본!$AS$8:$AS$2007,"&gt;="&amp;(설정!$B$5-설정!$B$8),매출원본!$AS$8:$AS$2007,"&lt;="&amp;설정!$B$5)))</f>
        <v/>
      </c>
      <c r="AC303" s="31">
        <f>IF(OR($U303="",$T303=""),"",INDEX(거래처설정!$J$8:$J$407,$T303))</f>
        <v/>
      </c>
      <c r="AD303" s="31">
        <f>IF(OR($U303="",$T303=""),"",INDEX(거래처설정!$K$8:$K$407,$T303))</f>
        <v/>
      </c>
      <c r="AE303" s="31">
        <f>IF($U303="","",IF(LEN(SUBSTITUTE(SUBSTITUTE(SUBSTITUTE(SUBSTITUTE(SUBSTITUTE(SUBSTITUTE(SUBSTITUTE(SUBSTITUTE(SUBSTITUTE($C303," ",""),"　",""),"(주)",""),"（주）",""),"㈜",""),"주식회사",""),"(유)",""),"（유）",""),"유한회사",""))&lt;2,"",SUBSTITUTE(SUBSTITUTE(SUBSTITUTE(SUBSTITUTE(SUBSTITUTE(SUBSTITUTE(SUBSTITUTE(SUBSTITUTE(SUBSTITUTE($C303," ",""),"　",""),"(주)",""),"（주）",""),"㈜",""),"주식회사",""),"(유)",""),"（유）",""),"유한회사","")))</f>
        <v/>
      </c>
    </row>
    <row r="304">
      <c r="A304" s="38">
        <f>IF($U304="","",297)</f>
        <v/>
      </c>
      <c r="B304" s="38">
        <f>IF($U304="","",IF(LEN(INDEX(매출원본!$AU$8:$AU$2007,$U304))=10,LEFT(INDEX(매출원본!$AU$8:$AU$2007,$U304),3)&amp;"-"&amp;MID(INDEX(매출원본!$AU$8:$AU$2007,$U304),4,2)&amp;"-"&amp;RIGHT(INDEX(매출원본!$AU$8:$AU$2007,$U304),5),IF(LEFT(INDEX(매출원본!$AU$8:$AU$2007,$U304),2)="N:","(번호 없음)",INDEX(매출원본!$AU$8:$AU$2007,$U304))))</f>
        <v/>
      </c>
      <c r="C304" s="38">
        <f>IF($U304="","",INDEX(매출원본!$AV$8:$AV$2007,$U304))</f>
        <v/>
      </c>
      <c r="D304" s="39">
        <f>IF($U304="","",IF($T304="",0,N(INDEX(거래처설정!$E$8:$E$407,$T304))))</f>
        <v/>
      </c>
      <c r="E304" s="39">
        <f>IF($U304="","",SUMIFS(매출원본!$AT$8:$AT$2007,매출원본!$AY$8:$AY$2007,$A304,매출원본!$AS$8:$AS$2007,"&lt;="&amp;설정!$B$5))</f>
        <v/>
      </c>
      <c r="F304" s="39">
        <f>IF($U304="","",SUMIFS(입금_은행1!$Z$8:$Z$2007,입금_은행1!$AC$8:$AC$2007,$A304,입금_은행1!$Y$8:$Y$2007,"&lt;="&amp;설정!$B$5)+SUMIFS(입금_은행2!$Z$8:$Z$2007,입금_은행2!$AC$8:$AC$2007,$A304,입금_은행2!$Y$8:$Y$2007,"&lt;="&amp;설정!$B$5))</f>
        <v/>
      </c>
      <c r="G304" s="39">
        <f>IF($U304="","",$D304+$E304-$F304)</f>
        <v/>
      </c>
      <c r="H304" s="39">
        <f>IF($U304="","",MIN(MAX($G304,0),$V304))</f>
        <v/>
      </c>
      <c r="I304" s="39">
        <f>IF($U304="","",MIN(MAX($G304,0),$W304)-MIN(MAX($G304,0),$V304))</f>
        <v/>
      </c>
      <c r="J304" s="39">
        <f>IF($U304="","",MIN(MAX($G304,0),$X304)-MIN(MAX($G304,0),$W304))</f>
        <v/>
      </c>
      <c r="K304" s="39">
        <f>IF($U304="","",MAX($G304,0)-MIN(MAX($G304,0),$X304))</f>
        <v/>
      </c>
      <c r="L304" s="40">
        <f>IF($U304="","",IF(MAX(SUMPRODUCT(MAX((입금_은행1!$AC$8:$AC$2007=$A304)*(입금_은행1!$AE$8:$AE$2007&lt;=설정!$B$5)*입금_은행1!$AE$8:$AE$2007)),SUMPRODUCT(MAX((입금_은행2!$AC$8:$AC$2007=$A304)*(입금_은행2!$AE$8:$AE$2007&lt;=설정!$B$5)*입금_은행2!$AE$8:$AE$2007)))=0,"",MAX(SUMPRODUCT(MAX((입금_은행1!$AC$8:$AC$2007=$A304)*(입금_은행1!$AE$8:$AE$2007&lt;=설정!$B$5)*입금_은행1!$AE$8:$AE$2007)),SUMPRODUCT(MAX((입금_은행2!$AC$8:$AC$2007=$A304)*(입금_은행2!$AE$8:$AE$2007&lt;=설정!$B$5)*입금_은행2!$AE$8:$AE$2007)))))</f>
        <v/>
      </c>
      <c r="M304" s="38">
        <f>IF($U304="","",IF($T304="","",IF(INDEX(거래처설정!$F$8:$F$407,$T304)="","",INDEX(거래처설정!$F$8:$F$407,$T304))))</f>
        <v/>
      </c>
      <c r="N304" s="38">
        <f>IF($U304="","",IF($T304="","",IF(INDEX(거래처설정!$G$8:$G$407,$T304)="","",INDEX(거래처설정!$G$8:$G$407,$T304))))</f>
        <v/>
      </c>
      <c r="O304" s="38">
        <f>IF($U304="","",IF($M304="제외",0,IF($K304&gt;=설정!$B$9,3,IF($J304+$K304&gt;=설정!$B$9,2,IF($I304+$J304+$K304&gt;=설정!$B$9,1,0)))))</f>
        <v/>
      </c>
      <c r="P304" s="38">
        <f>IF($U304="","",IF($M304="제외","제외(조치 상태)",IF($O304=3,"③ 강한 독촉 후보 ("&amp;설정!$B$8&amp;"일 초과)",IF($O304=2,"② 독촉 후보 ("&amp;설정!$B$7&amp;"일 초과)",IF($O304=1,"① 안내 후보 ("&amp;설정!$B$6&amp;"일 초과)",IF($G304&gt;0,IF($I304+$J304+$K304&gt;0,"오래된 잔액 있음 (최소 금액 미만)","정상 범위"),IF($G304&lt;0,"선수금·초과입금 — 확인","완납")))))))</f>
        <v/>
      </c>
      <c r="Q304" s="38">
        <f>IF($U304="","",IF($G304&lt;0,"입금이 매출보다 큼 — 선수금이거나 다른 거래처 입금이 섞였는지 확인",IF(AND($AE304&lt;&gt;"",COUNTIF($AE$8:$AE$307,"*"&amp;$AE304&amp;"*")&gt;1),"이름이 다른 거래처와 겹침 — 입금이 잘못 맞았을 수 있으니 별칭 확인",IF(AND($G304&gt;0,$F304=0),"입금 매칭 없음 — 입금자명이 다르면 [거래처설정]에 별칭 등록",""))))</f>
        <v/>
      </c>
      <c r="R304" s="31">
        <f>IF(OR($U304="",$G304&lt;=0),"",$G304-$A304/10000)</f>
        <v/>
      </c>
      <c r="S304" s="31">
        <f>IF(OR($U304="",$O304&lt;1),"",$O304*10^11+$I304+$J304+$K304-$A304/1000)</f>
        <v/>
      </c>
      <c r="T304" s="31">
        <f>IF($U304="","",IFERROR(MATCH(INDEX(매출원본!$AU$8:$AU$2007,$U304),거래처설정!$I$8:$I$407,0),""))</f>
        <v/>
      </c>
      <c r="U304" s="31">
        <f>IFERROR(MATCH(297,매출원본!$AW$8:$AW$2007,0),"")</f>
        <v/>
      </c>
      <c r="V304" s="31">
        <f>IF($U304="","",MAX(SUMIFS(매출원본!$AT$8:$AT$2007,매출원본!$AY$8:$AY$2007,$A304,매출원본!$AS$8:$AS$2007,"&gt;="&amp;(설정!$B$5-설정!$B$6),매출원본!$AS$8:$AS$2007,"&lt;="&amp;설정!$B$5),0))</f>
        <v/>
      </c>
      <c r="W304" s="31">
        <f>IF($U304="","",MAX($V304,SUMIFS(매출원본!$AT$8:$AT$2007,매출원본!$AY$8:$AY$2007,$A304,매출원본!$AS$8:$AS$2007,"&gt;="&amp;(설정!$B$5-설정!$B$7),매출원본!$AS$8:$AS$2007,"&lt;="&amp;설정!$B$5)))</f>
        <v/>
      </c>
      <c r="X304" s="31">
        <f>IF($U304="","",MAX($W304,SUMIFS(매출원본!$AT$8:$AT$2007,매출원본!$AY$8:$AY$2007,$A304,매출원본!$AS$8:$AS$2007,"&gt;="&amp;(설정!$B$5-설정!$B$8),매출원본!$AS$8:$AS$2007,"&lt;="&amp;설정!$B$5)))</f>
        <v/>
      </c>
      <c r="AC304" s="31">
        <f>IF(OR($U304="",$T304=""),"",INDEX(거래처설정!$J$8:$J$407,$T304))</f>
        <v/>
      </c>
      <c r="AD304" s="31">
        <f>IF(OR($U304="",$T304=""),"",INDEX(거래처설정!$K$8:$K$407,$T304))</f>
        <v/>
      </c>
      <c r="AE304" s="31">
        <f>IF($U304="","",IF(LEN(SUBSTITUTE(SUBSTITUTE(SUBSTITUTE(SUBSTITUTE(SUBSTITUTE(SUBSTITUTE(SUBSTITUTE(SUBSTITUTE(SUBSTITUTE($C304," ",""),"　",""),"(주)",""),"（주）",""),"㈜",""),"주식회사",""),"(유)",""),"（유）",""),"유한회사",""))&lt;2,"",SUBSTITUTE(SUBSTITUTE(SUBSTITUTE(SUBSTITUTE(SUBSTITUTE(SUBSTITUTE(SUBSTITUTE(SUBSTITUTE(SUBSTITUTE($C304," ",""),"　",""),"(주)",""),"（주）",""),"㈜",""),"주식회사",""),"(유)",""),"（유）",""),"유한회사","")))</f>
        <v/>
      </c>
    </row>
    <row r="305">
      <c r="A305" s="38">
        <f>IF($U305="","",298)</f>
        <v/>
      </c>
      <c r="B305" s="38">
        <f>IF($U305="","",IF(LEN(INDEX(매출원본!$AU$8:$AU$2007,$U305))=10,LEFT(INDEX(매출원본!$AU$8:$AU$2007,$U305),3)&amp;"-"&amp;MID(INDEX(매출원본!$AU$8:$AU$2007,$U305),4,2)&amp;"-"&amp;RIGHT(INDEX(매출원본!$AU$8:$AU$2007,$U305),5),IF(LEFT(INDEX(매출원본!$AU$8:$AU$2007,$U305),2)="N:","(번호 없음)",INDEX(매출원본!$AU$8:$AU$2007,$U305))))</f>
        <v/>
      </c>
      <c r="C305" s="38">
        <f>IF($U305="","",INDEX(매출원본!$AV$8:$AV$2007,$U305))</f>
        <v/>
      </c>
      <c r="D305" s="39">
        <f>IF($U305="","",IF($T305="",0,N(INDEX(거래처설정!$E$8:$E$407,$T305))))</f>
        <v/>
      </c>
      <c r="E305" s="39">
        <f>IF($U305="","",SUMIFS(매출원본!$AT$8:$AT$2007,매출원본!$AY$8:$AY$2007,$A305,매출원본!$AS$8:$AS$2007,"&lt;="&amp;설정!$B$5))</f>
        <v/>
      </c>
      <c r="F305" s="39">
        <f>IF($U305="","",SUMIFS(입금_은행1!$Z$8:$Z$2007,입금_은행1!$AC$8:$AC$2007,$A305,입금_은행1!$Y$8:$Y$2007,"&lt;="&amp;설정!$B$5)+SUMIFS(입금_은행2!$Z$8:$Z$2007,입금_은행2!$AC$8:$AC$2007,$A305,입금_은행2!$Y$8:$Y$2007,"&lt;="&amp;설정!$B$5))</f>
        <v/>
      </c>
      <c r="G305" s="39">
        <f>IF($U305="","",$D305+$E305-$F305)</f>
        <v/>
      </c>
      <c r="H305" s="39">
        <f>IF($U305="","",MIN(MAX($G305,0),$V305))</f>
        <v/>
      </c>
      <c r="I305" s="39">
        <f>IF($U305="","",MIN(MAX($G305,0),$W305)-MIN(MAX($G305,0),$V305))</f>
        <v/>
      </c>
      <c r="J305" s="39">
        <f>IF($U305="","",MIN(MAX($G305,0),$X305)-MIN(MAX($G305,0),$W305))</f>
        <v/>
      </c>
      <c r="K305" s="39">
        <f>IF($U305="","",MAX($G305,0)-MIN(MAX($G305,0),$X305))</f>
        <v/>
      </c>
      <c r="L305" s="40">
        <f>IF($U305="","",IF(MAX(SUMPRODUCT(MAX((입금_은행1!$AC$8:$AC$2007=$A305)*(입금_은행1!$AE$8:$AE$2007&lt;=설정!$B$5)*입금_은행1!$AE$8:$AE$2007)),SUMPRODUCT(MAX((입금_은행2!$AC$8:$AC$2007=$A305)*(입금_은행2!$AE$8:$AE$2007&lt;=설정!$B$5)*입금_은행2!$AE$8:$AE$2007)))=0,"",MAX(SUMPRODUCT(MAX((입금_은행1!$AC$8:$AC$2007=$A305)*(입금_은행1!$AE$8:$AE$2007&lt;=설정!$B$5)*입금_은행1!$AE$8:$AE$2007)),SUMPRODUCT(MAX((입금_은행2!$AC$8:$AC$2007=$A305)*(입금_은행2!$AE$8:$AE$2007&lt;=설정!$B$5)*입금_은행2!$AE$8:$AE$2007)))))</f>
        <v/>
      </c>
      <c r="M305" s="38">
        <f>IF($U305="","",IF($T305="","",IF(INDEX(거래처설정!$F$8:$F$407,$T305)="","",INDEX(거래처설정!$F$8:$F$407,$T305))))</f>
        <v/>
      </c>
      <c r="N305" s="38">
        <f>IF($U305="","",IF($T305="","",IF(INDEX(거래처설정!$G$8:$G$407,$T305)="","",INDEX(거래처설정!$G$8:$G$407,$T305))))</f>
        <v/>
      </c>
      <c r="O305" s="38">
        <f>IF($U305="","",IF($M305="제외",0,IF($K305&gt;=설정!$B$9,3,IF($J305+$K305&gt;=설정!$B$9,2,IF($I305+$J305+$K305&gt;=설정!$B$9,1,0)))))</f>
        <v/>
      </c>
      <c r="P305" s="38">
        <f>IF($U305="","",IF($M305="제외","제외(조치 상태)",IF($O305=3,"③ 강한 독촉 후보 ("&amp;설정!$B$8&amp;"일 초과)",IF($O305=2,"② 독촉 후보 ("&amp;설정!$B$7&amp;"일 초과)",IF($O305=1,"① 안내 후보 ("&amp;설정!$B$6&amp;"일 초과)",IF($G305&gt;0,IF($I305+$J305+$K305&gt;0,"오래된 잔액 있음 (최소 금액 미만)","정상 범위"),IF($G305&lt;0,"선수금·초과입금 — 확인","완납")))))))</f>
        <v/>
      </c>
      <c r="Q305" s="38">
        <f>IF($U305="","",IF($G305&lt;0,"입금이 매출보다 큼 — 선수금이거나 다른 거래처 입금이 섞였는지 확인",IF(AND($AE305&lt;&gt;"",COUNTIF($AE$8:$AE$307,"*"&amp;$AE305&amp;"*")&gt;1),"이름이 다른 거래처와 겹침 — 입금이 잘못 맞았을 수 있으니 별칭 확인",IF(AND($G305&gt;0,$F305=0),"입금 매칭 없음 — 입금자명이 다르면 [거래처설정]에 별칭 등록",""))))</f>
        <v/>
      </c>
      <c r="R305" s="31">
        <f>IF(OR($U305="",$G305&lt;=0),"",$G305-$A305/10000)</f>
        <v/>
      </c>
      <c r="S305" s="31">
        <f>IF(OR($U305="",$O305&lt;1),"",$O305*10^11+$I305+$J305+$K305-$A305/1000)</f>
        <v/>
      </c>
      <c r="T305" s="31">
        <f>IF($U305="","",IFERROR(MATCH(INDEX(매출원본!$AU$8:$AU$2007,$U305),거래처설정!$I$8:$I$407,0),""))</f>
        <v/>
      </c>
      <c r="U305" s="31">
        <f>IFERROR(MATCH(298,매출원본!$AW$8:$AW$2007,0),"")</f>
        <v/>
      </c>
      <c r="V305" s="31">
        <f>IF($U305="","",MAX(SUMIFS(매출원본!$AT$8:$AT$2007,매출원본!$AY$8:$AY$2007,$A305,매출원본!$AS$8:$AS$2007,"&gt;="&amp;(설정!$B$5-설정!$B$6),매출원본!$AS$8:$AS$2007,"&lt;="&amp;설정!$B$5),0))</f>
        <v/>
      </c>
      <c r="W305" s="31">
        <f>IF($U305="","",MAX($V305,SUMIFS(매출원본!$AT$8:$AT$2007,매출원본!$AY$8:$AY$2007,$A305,매출원본!$AS$8:$AS$2007,"&gt;="&amp;(설정!$B$5-설정!$B$7),매출원본!$AS$8:$AS$2007,"&lt;="&amp;설정!$B$5)))</f>
        <v/>
      </c>
      <c r="X305" s="31">
        <f>IF($U305="","",MAX($W305,SUMIFS(매출원본!$AT$8:$AT$2007,매출원본!$AY$8:$AY$2007,$A305,매출원본!$AS$8:$AS$2007,"&gt;="&amp;(설정!$B$5-설정!$B$8),매출원본!$AS$8:$AS$2007,"&lt;="&amp;설정!$B$5)))</f>
        <v/>
      </c>
      <c r="AC305" s="31">
        <f>IF(OR($U305="",$T305=""),"",INDEX(거래처설정!$J$8:$J$407,$T305))</f>
        <v/>
      </c>
      <c r="AD305" s="31">
        <f>IF(OR($U305="",$T305=""),"",INDEX(거래처설정!$K$8:$K$407,$T305))</f>
        <v/>
      </c>
      <c r="AE305" s="31">
        <f>IF($U305="","",IF(LEN(SUBSTITUTE(SUBSTITUTE(SUBSTITUTE(SUBSTITUTE(SUBSTITUTE(SUBSTITUTE(SUBSTITUTE(SUBSTITUTE(SUBSTITUTE($C305," ",""),"　",""),"(주)",""),"（주）",""),"㈜",""),"주식회사",""),"(유)",""),"（유）",""),"유한회사",""))&lt;2,"",SUBSTITUTE(SUBSTITUTE(SUBSTITUTE(SUBSTITUTE(SUBSTITUTE(SUBSTITUTE(SUBSTITUTE(SUBSTITUTE(SUBSTITUTE($C305," ",""),"　",""),"(주)",""),"（주）",""),"㈜",""),"주식회사",""),"(유)",""),"（유）",""),"유한회사","")))</f>
        <v/>
      </c>
    </row>
    <row r="306">
      <c r="A306" s="38">
        <f>IF($U306="","",299)</f>
        <v/>
      </c>
      <c r="B306" s="38">
        <f>IF($U306="","",IF(LEN(INDEX(매출원본!$AU$8:$AU$2007,$U306))=10,LEFT(INDEX(매출원본!$AU$8:$AU$2007,$U306),3)&amp;"-"&amp;MID(INDEX(매출원본!$AU$8:$AU$2007,$U306),4,2)&amp;"-"&amp;RIGHT(INDEX(매출원본!$AU$8:$AU$2007,$U306),5),IF(LEFT(INDEX(매출원본!$AU$8:$AU$2007,$U306),2)="N:","(번호 없음)",INDEX(매출원본!$AU$8:$AU$2007,$U306))))</f>
        <v/>
      </c>
      <c r="C306" s="38">
        <f>IF($U306="","",INDEX(매출원본!$AV$8:$AV$2007,$U306))</f>
        <v/>
      </c>
      <c r="D306" s="39">
        <f>IF($U306="","",IF($T306="",0,N(INDEX(거래처설정!$E$8:$E$407,$T306))))</f>
        <v/>
      </c>
      <c r="E306" s="39">
        <f>IF($U306="","",SUMIFS(매출원본!$AT$8:$AT$2007,매출원본!$AY$8:$AY$2007,$A306,매출원본!$AS$8:$AS$2007,"&lt;="&amp;설정!$B$5))</f>
        <v/>
      </c>
      <c r="F306" s="39">
        <f>IF($U306="","",SUMIFS(입금_은행1!$Z$8:$Z$2007,입금_은행1!$AC$8:$AC$2007,$A306,입금_은행1!$Y$8:$Y$2007,"&lt;="&amp;설정!$B$5)+SUMIFS(입금_은행2!$Z$8:$Z$2007,입금_은행2!$AC$8:$AC$2007,$A306,입금_은행2!$Y$8:$Y$2007,"&lt;="&amp;설정!$B$5))</f>
        <v/>
      </c>
      <c r="G306" s="39">
        <f>IF($U306="","",$D306+$E306-$F306)</f>
        <v/>
      </c>
      <c r="H306" s="39">
        <f>IF($U306="","",MIN(MAX($G306,0),$V306))</f>
        <v/>
      </c>
      <c r="I306" s="39">
        <f>IF($U306="","",MIN(MAX($G306,0),$W306)-MIN(MAX($G306,0),$V306))</f>
        <v/>
      </c>
      <c r="J306" s="39">
        <f>IF($U306="","",MIN(MAX($G306,0),$X306)-MIN(MAX($G306,0),$W306))</f>
        <v/>
      </c>
      <c r="K306" s="39">
        <f>IF($U306="","",MAX($G306,0)-MIN(MAX($G306,0),$X306))</f>
        <v/>
      </c>
      <c r="L306" s="40">
        <f>IF($U306="","",IF(MAX(SUMPRODUCT(MAX((입금_은행1!$AC$8:$AC$2007=$A306)*(입금_은행1!$AE$8:$AE$2007&lt;=설정!$B$5)*입금_은행1!$AE$8:$AE$2007)),SUMPRODUCT(MAX((입금_은행2!$AC$8:$AC$2007=$A306)*(입금_은행2!$AE$8:$AE$2007&lt;=설정!$B$5)*입금_은행2!$AE$8:$AE$2007)))=0,"",MAX(SUMPRODUCT(MAX((입금_은행1!$AC$8:$AC$2007=$A306)*(입금_은행1!$AE$8:$AE$2007&lt;=설정!$B$5)*입금_은행1!$AE$8:$AE$2007)),SUMPRODUCT(MAX((입금_은행2!$AC$8:$AC$2007=$A306)*(입금_은행2!$AE$8:$AE$2007&lt;=설정!$B$5)*입금_은행2!$AE$8:$AE$2007)))))</f>
        <v/>
      </c>
      <c r="M306" s="38">
        <f>IF($U306="","",IF($T306="","",IF(INDEX(거래처설정!$F$8:$F$407,$T306)="","",INDEX(거래처설정!$F$8:$F$407,$T306))))</f>
        <v/>
      </c>
      <c r="N306" s="38">
        <f>IF($U306="","",IF($T306="","",IF(INDEX(거래처설정!$G$8:$G$407,$T306)="","",INDEX(거래처설정!$G$8:$G$407,$T306))))</f>
        <v/>
      </c>
      <c r="O306" s="38">
        <f>IF($U306="","",IF($M306="제외",0,IF($K306&gt;=설정!$B$9,3,IF($J306+$K306&gt;=설정!$B$9,2,IF($I306+$J306+$K306&gt;=설정!$B$9,1,0)))))</f>
        <v/>
      </c>
      <c r="P306" s="38">
        <f>IF($U306="","",IF($M306="제외","제외(조치 상태)",IF($O306=3,"③ 강한 독촉 후보 ("&amp;설정!$B$8&amp;"일 초과)",IF($O306=2,"② 독촉 후보 ("&amp;설정!$B$7&amp;"일 초과)",IF($O306=1,"① 안내 후보 ("&amp;설정!$B$6&amp;"일 초과)",IF($G306&gt;0,IF($I306+$J306+$K306&gt;0,"오래된 잔액 있음 (최소 금액 미만)","정상 범위"),IF($G306&lt;0,"선수금·초과입금 — 확인","완납")))))))</f>
        <v/>
      </c>
      <c r="Q306" s="38">
        <f>IF($U306="","",IF($G306&lt;0,"입금이 매출보다 큼 — 선수금이거나 다른 거래처 입금이 섞였는지 확인",IF(AND($AE306&lt;&gt;"",COUNTIF($AE$8:$AE$307,"*"&amp;$AE306&amp;"*")&gt;1),"이름이 다른 거래처와 겹침 — 입금이 잘못 맞았을 수 있으니 별칭 확인",IF(AND($G306&gt;0,$F306=0),"입금 매칭 없음 — 입금자명이 다르면 [거래처설정]에 별칭 등록",""))))</f>
        <v/>
      </c>
      <c r="R306" s="31">
        <f>IF(OR($U306="",$G306&lt;=0),"",$G306-$A306/10000)</f>
        <v/>
      </c>
      <c r="S306" s="31">
        <f>IF(OR($U306="",$O306&lt;1),"",$O306*10^11+$I306+$J306+$K306-$A306/1000)</f>
        <v/>
      </c>
      <c r="T306" s="31">
        <f>IF($U306="","",IFERROR(MATCH(INDEX(매출원본!$AU$8:$AU$2007,$U306),거래처설정!$I$8:$I$407,0),""))</f>
        <v/>
      </c>
      <c r="U306" s="31">
        <f>IFERROR(MATCH(299,매출원본!$AW$8:$AW$2007,0),"")</f>
        <v/>
      </c>
      <c r="V306" s="31">
        <f>IF($U306="","",MAX(SUMIFS(매출원본!$AT$8:$AT$2007,매출원본!$AY$8:$AY$2007,$A306,매출원본!$AS$8:$AS$2007,"&gt;="&amp;(설정!$B$5-설정!$B$6),매출원본!$AS$8:$AS$2007,"&lt;="&amp;설정!$B$5),0))</f>
        <v/>
      </c>
      <c r="W306" s="31">
        <f>IF($U306="","",MAX($V306,SUMIFS(매출원본!$AT$8:$AT$2007,매출원본!$AY$8:$AY$2007,$A306,매출원본!$AS$8:$AS$2007,"&gt;="&amp;(설정!$B$5-설정!$B$7),매출원본!$AS$8:$AS$2007,"&lt;="&amp;설정!$B$5)))</f>
        <v/>
      </c>
      <c r="X306" s="31">
        <f>IF($U306="","",MAX($W306,SUMIFS(매출원본!$AT$8:$AT$2007,매출원본!$AY$8:$AY$2007,$A306,매출원본!$AS$8:$AS$2007,"&gt;="&amp;(설정!$B$5-설정!$B$8),매출원본!$AS$8:$AS$2007,"&lt;="&amp;설정!$B$5)))</f>
        <v/>
      </c>
      <c r="AC306" s="31">
        <f>IF(OR($U306="",$T306=""),"",INDEX(거래처설정!$J$8:$J$407,$T306))</f>
        <v/>
      </c>
      <c r="AD306" s="31">
        <f>IF(OR($U306="",$T306=""),"",INDEX(거래처설정!$K$8:$K$407,$T306))</f>
        <v/>
      </c>
      <c r="AE306" s="31">
        <f>IF($U306="","",IF(LEN(SUBSTITUTE(SUBSTITUTE(SUBSTITUTE(SUBSTITUTE(SUBSTITUTE(SUBSTITUTE(SUBSTITUTE(SUBSTITUTE(SUBSTITUTE($C306," ",""),"　",""),"(주)",""),"（주）",""),"㈜",""),"주식회사",""),"(유)",""),"（유）",""),"유한회사",""))&lt;2,"",SUBSTITUTE(SUBSTITUTE(SUBSTITUTE(SUBSTITUTE(SUBSTITUTE(SUBSTITUTE(SUBSTITUTE(SUBSTITUTE(SUBSTITUTE($C306," ",""),"　",""),"(주)",""),"（주）",""),"㈜",""),"주식회사",""),"(유)",""),"（유）",""),"유한회사","")))</f>
        <v/>
      </c>
    </row>
    <row r="307">
      <c r="A307" s="38">
        <f>IF($U307="","",300)</f>
        <v/>
      </c>
      <c r="B307" s="38">
        <f>IF($U307="","",IF(LEN(INDEX(매출원본!$AU$8:$AU$2007,$U307))=10,LEFT(INDEX(매출원본!$AU$8:$AU$2007,$U307),3)&amp;"-"&amp;MID(INDEX(매출원본!$AU$8:$AU$2007,$U307),4,2)&amp;"-"&amp;RIGHT(INDEX(매출원본!$AU$8:$AU$2007,$U307),5),IF(LEFT(INDEX(매출원본!$AU$8:$AU$2007,$U307),2)="N:","(번호 없음)",INDEX(매출원본!$AU$8:$AU$2007,$U307))))</f>
        <v/>
      </c>
      <c r="C307" s="38">
        <f>IF($U307="","",INDEX(매출원본!$AV$8:$AV$2007,$U307))</f>
        <v/>
      </c>
      <c r="D307" s="39">
        <f>IF($U307="","",IF($T307="",0,N(INDEX(거래처설정!$E$8:$E$407,$T307))))</f>
        <v/>
      </c>
      <c r="E307" s="39">
        <f>IF($U307="","",SUMIFS(매출원본!$AT$8:$AT$2007,매출원본!$AY$8:$AY$2007,$A307,매출원본!$AS$8:$AS$2007,"&lt;="&amp;설정!$B$5))</f>
        <v/>
      </c>
      <c r="F307" s="39">
        <f>IF($U307="","",SUMIFS(입금_은행1!$Z$8:$Z$2007,입금_은행1!$AC$8:$AC$2007,$A307,입금_은행1!$Y$8:$Y$2007,"&lt;="&amp;설정!$B$5)+SUMIFS(입금_은행2!$Z$8:$Z$2007,입금_은행2!$AC$8:$AC$2007,$A307,입금_은행2!$Y$8:$Y$2007,"&lt;="&amp;설정!$B$5))</f>
        <v/>
      </c>
      <c r="G307" s="39">
        <f>IF($U307="","",$D307+$E307-$F307)</f>
        <v/>
      </c>
      <c r="H307" s="39">
        <f>IF($U307="","",MIN(MAX($G307,0),$V307))</f>
        <v/>
      </c>
      <c r="I307" s="39">
        <f>IF($U307="","",MIN(MAX($G307,0),$W307)-MIN(MAX($G307,0),$V307))</f>
        <v/>
      </c>
      <c r="J307" s="39">
        <f>IF($U307="","",MIN(MAX($G307,0),$X307)-MIN(MAX($G307,0),$W307))</f>
        <v/>
      </c>
      <c r="K307" s="39">
        <f>IF($U307="","",MAX($G307,0)-MIN(MAX($G307,0),$X307))</f>
        <v/>
      </c>
      <c r="L307" s="40">
        <f>IF($U307="","",IF(MAX(SUMPRODUCT(MAX((입금_은행1!$AC$8:$AC$2007=$A307)*(입금_은행1!$AE$8:$AE$2007&lt;=설정!$B$5)*입금_은행1!$AE$8:$AE$2007)),SUMPRODUCT(MAX((입금_은행2!$AC$8:$AC$2007=$A307)*(입금_은행2!$AE$8:$AE$2007&lt;=설정!$B$5)*입금_은행2!$AE$8:$AE$2007)))=0,"",MAX(SUMPRODUCT(MAX((입금_은행1!$AC$8:$AC$2007=$A307)*(입금_은행1!$AE$8:$AE$2007&lt;=설정!$B$5)*입금_은행1!$AE$8:$AE$2007)),SUMPRODUCT(MAX((입금_은행2!$AC$8:$AC$2007=$A307)*(입금_은행2!$AE$8:$AE$2007&lt;=설정!$B$5)*입금_은행2!$AE$8:$AE$2007)))))</f>
        <v/>
      </c>
      <c r="M307" s="38">
        <f>IF($U307="","",IF($T307="","",IF(INDEX(거래처설정!$F$8:$F$407,$T307)="","",INDEX(거래처설정!$F$8:$F$407,$T307))))</f>
        <v/>
      </c>
      <c r="N307" s="38">
        <f>IF($U307="","",IF($T307="","",IF(INDEX(거래처설정!$G$8:$G$407,$T307)="","",INDEX(거래처설정!$G$8:$G$407,$T307))))</f>
        <v/>
      </c>
      <c r="O307" s="38">
        <f>IF($U307="","",IF($M307="제외",0,IF($K307&gt;=설정!$B$9,3,IF($J307+$K307&gt;=설정!$B$9,2,IF($I307+$J307+$K307&gt;=설정!$B$9,1,0)))))</f>
        <v/>
      </c>
      <c r="P307" s="38">
        <f>IF($U307="","",IF($M307="제외","제외(조치 상태)",IF($O307=3,"③ 강한 독촉 후보 ("&amp;설정!$B$8&amp;"일 초과)",IF($O307=2,"② 독촉 후보 ("&amp;설정!$B$7&amp;"일 초과)",IF($O307=1,"① 안내 후보 ("&amp;설정!$B$6&amp;"일 초과)",IF($G307&gt;0,IF($I307+$J307+$K307&gt;0,"오래된 잔액 있음 (최소 금액 미만)","정상 범위"),IF($G307&lt;0,"선수금·초과입금 — 확인","완납")))))))</f>
        <v/>
      </c>
      <c r="Q307" s="38">
        <f>IF($U307="","",IF($G307&lt;0,"입금이 매출보다 큼 — 선수금이거나 다른 거래처 입금이 섞였는지 확인",IF(AND($AE307&lt;&gt;"",COUNTIF($AE$8:$AE$307,"*"&amp;$AE307&amp;"*")&gt;1),"이름이 다른 거래처와 겹침 — 입금이 잘못 맞았을 수 있으니 별칭 확인",IF(AND($G307&gt;0,$F307=0),"입금 매칭 없음 — 입금자명이 다르면 [거래처설정]에 별칭 등록",""))))</f>
        <v/>
      </c>
      <c r="R307" s="31">
        <f>IF(OR($U307="",$G307&lt;=0),"",$G307-$A307/10000)</f>
        <v/>
      </c>
      <c r="S307" s="31">
        <f>IF(OR($U307="",$O307&lt;1),"",$O307*10^11+$I307+$J307+$K307-$A307/1000)</f>
        <v/>
      </c>
      <c r="T307" s="31">
        <f>IF($U307="","",IFERROR(MATCH(INDEX(매출원본!$AU$8:$AU$2007,$U307),거래처설정!$I$8:$I$407,0),""))</f>
        <v/>
      </c>
      <c r="U307" s="31">
        <f>IFERROR(MATCH(300,매출원본!$AW$8:$AW$2007,0),"")</f>
        <v/>
      </c>
      <c r="V307" s="31">
        <f>IF($U307="","",MAX(SUMIFS(매출원본!$AT$8:$AT$2007,매출원본!$AY$8:$AY$2007,$A307,매출원본!$AS$8:$AS$2007,"&gt;="&amp;(설정!$B$5-설정!$B$6),매출원본!$AS$8:$AS$2007,"&lt;="&amp;설정!$B$5),0))</f>
        <v/>
      </c>
      <c r="W307" s="31">
        <f>IF($U307="","",MAX($V307,SUMIFS(매출원본!$AT$8:$AT$2007,매출원본!$AY$8:$AY$2007,$A307,매출원본!$AS$8:$AS$2007,"&gt;="&amp;(설정!$B$5-설정!$B$7),매출원본!$AS$8:$AS$2007,"&lt;="&amp;설정!$B$5)))</f>
        <v/>
      </c>
      <c r="X307" s="31">
        <f>IF($U307="","",MAX($W307,SUMIFS(매출원본!$AT$8:$AT$2007,매출원본!$AY$8:$AY$2007,$A307,매출원본!$AS$8:$AS$2007,"&gt;="&amp;(설정!$B$5-설정!$B$8),매출원본!$AS$8:$AS$2007,"&lt;="&amp;설정!$B$5)))</f>
        <v/>
      </c>
      <c r="AC307" s="31">
        <f>IF(OR($U307="",$T307=""),"",INDEX(거래처설정!$J$8:$J$407,$T307))</f>
        <v/>
      </c>
      <c r="AD307" s="31">
        <f>IF(OR($U307="",$T307=""),"",INDEX(거래처설정!$K$8:$K$407,$T307))</f>
        <v/>
      </c>
      <c r="AE307" s="31">
        <f>IF($U307="","",IF(LEN(SUBSTITUTE(SUBSTITUTE(SUBSTITUTE(SUBSTITUTE(SUBSTITUTE(SUBSTITUTE(SUBSTITUTE(SUBSTITUTE(SUBSTITUTE($C307," ",""),"　",""),"(주)",""),"（주）",""),"㈜",""),"주식회사",""),"(유)",""),"（유）",""),"유한회사",""))&lt;2,"",SUBSTITUTE(SUBSTITUTE(SUBSTITUTE(SUBSTITUTE(SUBSTITUTE(SUBSTITUTE(SUBSTITUTE(SUBSTITUTE(SUBSTITUTE($C307," ",""),"　",""),"(주)",""),"（주）",""),"㈜",""),"주식회사",""),"(유)",""),"（유）",""),"유한회사","")))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26" customWidth="1" min="11" max="11"/>
    <col width="10" customWidth="1" min="12" max="12"/>
    <col width="8" customWidth="1" min="13" max="13"/>
  </cols>
  <sheetData>
    <row r="1">
      <c r="A1" s="11" t="inlineStr">
        <is>
          <t>연령분석 — 미수 잔액 큰 순서 (자동)</t>
        </is>
      </c>
    </row>
    <row r="2">
      <c r="A2" s="12" t="inlineStr">
        <is>
          <t>✍ 직접 입력: 없음. 입금은 오래된 세금계산서부터 갚은 것으로 보고, 남은 잔액이 작성일자 기준 며칠 지난 것인지 구간으로 나눕니다.</t>
        </is>
      </c>
    </row>
    <row r="3">
      <c r="A3" s="2" t="inlineStr">
        <is>
          <t>⚙ 자동 계산: 미수 잔액이 있는 거래처만 큰 순서로 최대 100곳. 구간·기준일은 [설정]에서 바꿉니다.</t>
        </is>
      </c>
    </row>
    <row r="4">
      <c r="A4" s="9">
        <f>"기준일 "&amp;TEXT(설정!$B$5,"yyyy-mm-dd")&amp;" · 작성일자 기준 경과일"</f>
        <v/>
      </c>
    </row>
    <row r="5">
      <c r="B5" s="41" t="inlineStr">
        <is>
          <t>합계</t>
        </is>
      </c>
      <c r="D5" s="42">
        <f>SUMIF(거래처별!$G$8:$G$307,"&gt;0")</f>
        <v/>
      </c>
      <c r="E5" s="42">
        <f>SUM(거래처별!H8:H307)</f>
        <v/>
      </c>
      <c r="F5" s="42">
        <f>SUM(거래처별!I8:I307)</f>
        <v/>
      </c>
      <c r="G5" s="42">
        <f>SUM(거래처별!J8:J307)</f>
        <v/>
      </c>
      <c r="H5" s="42">
        <f>SUM(거래처별!K8:K307)</f>
        <v/>
      </c>
      <c r="I5" s="43">
        <f>IF($D$5=0,"",$H$5/$D$5)</f>
        <v/>
      </c>
    </row>
    <row r="6" ht="30" customHeight="1">
      <c r="A6" s="22" t="inlineStr">
        <is>
          <t>순위</t>
        </is>
      </c>
      <c r="B6" s="22" t="inlineStr">
        <is>
          <t>거래처</t>
        </is>
      </c>
      <c r="C6" s="22" t="inlineStr">
        <is>
          <t>사업자번호</t>
        </is>
      </c>
      <c r="D6" s="22" t="inlineStr">
        <is>
          <t>미수 잔액</t>
        </is>
      </c>
      <c r="E6" s="25">
        <f>거래처별!H7</f>
        <v/>
      </c>
      <c r="F6" s="25">
        <f>거래처별!I7</f>
        <v/>
      </c>
      <c r="G6" s="25">
        <f>거래처별!J7</f>
        <v/>
      </c>
      <c r="H6" s="25">
        <f>거래처별!K7</f>
        <v/>
      </c>
      <c r="I6" s="25">
        <f>"경과 "&amp;설정!$B$8&amp;"일 초과 비중"</f>
        <v/>
      </c>
      <c r="J6" s="25" t="inlineStr">
        <is>
          <t>최근 입금일</t>
        </is>
      </c>
      <c r="K6" s="25" t="inlineStr">
        <is>
          <t>판정</t>
        </is>
      </c>
      <c r="L6" s="25" t="inlineStr">
        <is>
          <t>조치 상태</t>
        </is>
      </c>
      <c r="M6" s="37" t="inlineStr">
        <is>
          <t>위치(자동)</t>
        </is>
      </c>
    </row>
    <row r="7">
      <c r="A7" s="38">
        <f>IF(1&gt;COUNT(거래처별!$R$8:$R$307),"",1)</f>
        <v/>
      </c>
      <c r="B7" s="38">
        <f>IF($A7="","",INDEX(거래처별!$C$8:$C$307,$M7))</f>
        <v/>
      </c>
      <c r="C7" s="38">
        <f>IF($A7="","",INDEX(거래처별!$B$8:$B$307,$M7))</f>
        <v/>
      </c>
      <c r="D7" s="44">
        <f>IF($A7="","",INDEX(거래처별!$G$8:$G$307,$M7))</f>
        <v/>
      </c>
      <c r="E7" s="44">
        <f>IF($A7="","",INDEX(거래처별!$H$8:$H$307,$M7))</f>
        <v/>
      </c>
      <c r="F7" s="44">
        <f>IF($A7="","",INDEX(거래처별!$I$8:$I$307,$M7))</f>
        <v/>
      </c>
      <c r="G7" s="44">
        <f>IF($A7="","",INDEX(거래처별!$J$8:$J$307,$M7))</f>
        <v/>
      </c>
      <c r="H7" s="44">
        <f>IF($A7="","",INDEX(거래처별!$K$8:$K$307,$M7))</f>
        <v/>
      </c>
      <c r="I7" s="45">
        <f>IF($A7="","",IF($D7=0,"",$H7/$D7))</f>
        <v/>
      </c>
      <c r="J7" s="40">
        <f>IF($A7="","",INDEX(거래처별!$L$8:$L$307,$M7))</f>
        <v/>
      </c>
      <c r="K7" s="38">
        <f>IF($A7="","",INDEX(거래처별!$P$8:$P$307,$M7))</f>
        <v/>
      </c>
      <c r="L7" s="38">
        <f>IF($A7="","",INDEX(거래처별!$M$8:$M$307,$M7))</f>
        <v/>
      </c>
      <c r="M7" s="31">
        <f>IF($A7="","",MATCH(LARGE(거래처별!$R$8:$R$307,$A7),거래처별!$R$8:$R$307,0))</f>
        <v/>
      </c>
    </row>
    <row r="8">
      <c r="A8" s="38">
        <f>IF(2&gt;COUNT(거래처별!$R$8:$R$307),"",2)</f>
        <v/>
      </c>
      <c r="B8" s="38">
        <f>IF($A8="","",INDEX(거래처별!$C$8:$C$307,$M8))</f>
        <v/>
      </c>
      <c r="C8" s="38">
        <f>IF($A8="","",INDEX(거래처별!$B$8:$B$307,$M8))</f>
        <v/>
      </c>
      <c r="D8" s="44">
        <f>IF($A8="","",INDEX(거래처별!$G$8:$G$307,$M8))</f>
        <v/>
      </c>
      <c r="E8" s="44">
        <f>IF($A8="","",INDEX(거래처별!$H$8:$H$307,$M8))</f>
        <v/>
      </c>
      <c r="F8" s="44">
        <f>IF($A8="","",INDEX(거래처별!$I$8:$I$307,$M8))</f>
        <v/>
      </c>
      <c r="G8" s="44">
        <f>IF($A8="","",INDEX(거래처별!$J$8:$J$307,$M8))</f>
        <v/>
      </c>
      <c r="H8" s="44">
        <f>IF($A8="","",INDEX(거래처별!$K$8:$K$307,$M8))</f>
        <v/>
      </c>
      <c r="I8" s="45">
        <f>IF($A8="","",IF($D8=0,"",$H8/$D8))</f>
        <v/>
      </c>
      <c r="J8" s="40">
        <f>IF($A8="","",INDEX(거래처별!$L$8:$L$307,$M8))</f>
        <v/>
      </c>
      <c r="K8" s="38">
        <f>IF($A8="","",INDEX(거래처별!$P$8:$P$307,$M8))</f>
        <v/>
      </c>
      <c r="L8" s="38">
        <f>IF($A8="","",INDEX(거래처별!$M$8:$M$307,$M8))</f>
        <v/>
      </c>
      <c r="M8" s="31">
        <f>IF($A8="","",MATCH(LARGE(거래처별!$R$8:$R$307,$A8),거래처별!$R$8:$R$307,0))</f>
        <v/>
      </c>
    </row>
    <row r="9">
      <c r="A9" s="38">
        <f>IF(3&gt;COUNT(거래처별!$R$8:$R$307),"",3)</f>
        <v/>
      </c>
      <c r="B9" s="38">
        <f>IF($A9="","",INDEX(거래처별!$C$8:$C$307,$M9))</f>
        <v/>
      </c>
      <c r="C9" s="38">
        <f>IF($A9="","",INDEX(거래처별!$B$8:$B$307,$M9))</f>
        <v/>
      </c>
      <c r="D9" s="44">
        <f>IF($A9="","",INDEX(거래처별!$G$8:$G$307,$M9))</f>
        <v/>
      </c>
      <c r="E9" s="44">
        <f>IF($A9="","",INDEX(거래처별!$H$8:$H$307,$M9))</f>
        <v/>
      </c>
      <c r="F9" s="44">
        <f>IF($A9="","",INDEX(거래처별!$I$8:$I$307,$M9))</f>
        <v/>
      </c>
      <c r="G9" s="44">
        <f>IF($A9="","",INDEX(거래처별!$J$8:$J$307,$M9))</f>
        <v/>
      </c>
      <c r="H9" s="44">
        <f>IF($A9="","",INDEX(거래처별!$K$8:$K$307,$M9))</f>
        <v/>
      </c>
      <c r="I9" s="45">
        <f>IF($A9="","",IF($D9=0,"",$H9/$D9))</f>
        <v/>
      </c>
      <c r="J9" s="40">
        <f>IF($A9="","",INDEX(거래처별!$L$8:$L$307,$M9))</f>
        <v/>
      </c>
      <c r="K9" s="38">
        <f>IF($A9="","",INDEX(거래처별!$P$8:$P$307,$M9))</f>
        <v/>
      </c>
      <c r="L9" s="38">
        <f>IF($A9="","",INDEX(거래처별!$M$8:$M$307,$M9))</f>
        <v/>
      </c>
      <c r="M9" s="31">
        <f>IF($A9="","",MATCH(LARGE(거래처별!$R$8:$R$307,$A9),거래처별!$R$8:$R$307,0))</f>
        <v/>
      </c>
    </row>
    <row r="10">
      <c r="A10" s="38">
        <f>IF(4&gt;COUNT(거래처별!$R$8:$R$307),"",4)</f>
        <v/>
      </c>
      <c r="B10" s="38">
        <f>IF($A10="","",INDEX(거래처별!$C$8:$C$307,$M10))</f>
        <v/>
      </c>
      <c r="C10" s="38">
        <f>IF($A10="","",INDEX(거래처별!$B$8:$B$307,$M10))</f>
        <v/>
      </c>
      <c r="D10" s="44">
        <f>IF($A10="","",INDEX(거래처별!$G$8:$G$307,$M10))</f>
        <v/>
      </c>
      <c r="E10" s="44">
        <f>IF($A10="","",INDEX(거래처별!$H$8:$H$307,$M10))</f>
        <v/>
      </c>
      <c r="F10" s="44">
        <f>IF($A10="","",INDEX(거래처별!$I$8:$I$307,$M10))</f>
        <v/>
      </c>
      <c r="G10" s="44">
        <f>IF($A10="","",INDEX(거래처별!$J$8:$J$307,$M10))</f>
        <v/>
      </c>
      <c r="H10" s="44">
        <f>IF($A10="","",INDEX(거래처별!$K$8:$K$307,$M10))</f>
        <v/>
      </c>
      <c r="I10" s="45">
        <f>IF($A10="","",IF($D10=0,"",$H10/$D10))</f>
        <v/>
      </c>
      <c r="J10" s="40">
        <f>IF($A10="","",INDEX(거래처별!$L$8:$L$307,$M10))</f>
        <v/>
      </c>
      <c r="K10" s="38">
        <f>IF($A10="","",INDEX(거래처별!$P$8:$P$307,$M10))</f>
        <v/>
      </c>
      <c r="L10" s="38">
        <f>IF($A10="","",INDEX(거래처별!$M$8:$M$307,$M10))</f>
        <v/>
      </c>
      <c r="M10" s="31">
        <f>IF($A10="","",MATCH(LARGE(거래처별!$R$8:$R$307,$A10),거래처별!$R$8:$R$307,0))</f>
        <v/>
      </c>
    </row>
    <row r="11">
      <c r="A11" s="38">
        <f>IF(5&gt;COUNT(거래처별!$R$8:$R$307),"",5)</f>
        <v/>
      </c>
      <c r="B11" s="38">
        <f>IF($A11="","",INDEX(거래처별!$C$8:$C$307,$M11))</f>
        <v/>
      </c>
      <c r="C11" s="38">
        <f>IF($A11="","",INDEX(거래처별!$B$8:$B$307,$M11))</f>
        <v/>
      </c>
      <c r="D11" s="44">
        <f>IF($A11="","",INDEX(거래처별!$G$8:$G$307,$M11))</f>
        <v/>
      </c>
      <c r="E11" s="44">
        <f>IF($A11="","",INDEX(거래처별!$H$8:$H$307,$M11))</f>
        <v/>
      </c>
      <c r="F11" s="44">
        <f>IF($A11="","",INDEX(거래처별!$I$8:$I$307,$M11))</f>
        <v/>
      </c>
      <c r="G11" s="44">
        <f>IF($A11="","",INDEX(거래처별!$J$8:$J$307,$M11))</f>
        <v/>
      </c>
      <c r="H11" s="44">
        <f>IF($A11="","",INDEX(거래처별!$K$8:$K$307,$M11))</f>
        <v/>
      </c>
      <c r="I11" s="45">
        <f>IF($A11="","",IF($D11=0,"",$H11/$D11))</f>
        <v/>
      </c>
      <c r="J11" s="40">
        <f>IF($A11="","",INDEX(거래처별!$L$8:$L$307,$M11))</f>
        <v/>
      </c>
      <c r="K11" s="38">
        <f>IF($A11="","",INDEX(거래처별!$P$8:$P$307,$M11))</f>
        <v/>
      </c>
      <c r="L11" s="38">
        <f>IF($A11="","",INDEX(거래처별!$M$8:$M$307,$M11))</f>
        <v/>
      </c>
      <c r="M11" s="31">
        <f>IF($A11="","",MATCH(LARGE(거래처별!$R$8:$R$307,$A11),거래처별!$R$8:$R$307,0))</f>
        <v/>
      </c>
    </row>
    <row r="12">
      <c r="A12" s="38">
        <f>IF(6&gt;COUNT(거래처별!$R$8:$R$307),"",6)</f>
        <v/>
      </c>
      <c r="B12" s="38">
        <f>IF($A12="","",INDEX(거래처별!$C$8:$C$307,$M12))</f>
        <v/>
      </c>
      <c r="C12" s="38">
        <f>IF($A12="","",INDEX(거래처별!$B$8:$B$307,$M12))</f>
        <v/>
      </c>
      <c r="D12" s="44">
        <f>IF($A12="","",INDEX(거래처별!$G$8:$G$307,$M12))</f>
        <v/>
      </c>
      <c r="E12" s="44">
        <f>IF($A12="","",INDEX(거래처별!$H$8:$H$307,$M12))</f>
        <v/>
      </c>
      <c r="F12" s="44">
        <f>IF($A12="","",INDEX(거래처별!$I$8:$I$307,$M12))</f>
        <v/>
      </c>
      <c r="G12" s="44">
        <f>IF($A12="","",INDEX(거래처별!$J$8:$J$307,$M12))</f>
        <v/>
      </c>
      <c r="H12" s="44">
        <f>IF($A12="","",INDEX(거래처별!$K$8:$K$307,$M12))</f>
        <v/>
      </c>
      <c r="I12" s="45">
        <f>IF($A12="","",IF($D12=0,"",$H12/$D12))</f>
        <v/>
      </c>
      <c r="J12" s="40">
        <f>IF($A12="","",INDEX(거래처별!$L$8:$L$307,$M12))</f>
        <v/>
      </c>
      <c r="K12" s="38">
        <f>IF($A12="","",INDEX(거래처별!$P$8:$P$307,$M12))</f>
        <v/>
      </c>
      <c r="L12" s="38">
        <f>IF($A12="","",INDEX(거래처별!$M$8:$M$307,$M12))</f>
        <v/>
      </c>
      <c r="M12" s="31">
        <f>IF($A12="","",MATCH(LARGE(거래처별!$R$8:$R$307,$A12),거래처별!$R$8:$R$307,0))</f>
        <v/>
      </c>
    </row>
    <row r="13">
      <c r="A13" s="38">
        <f>IF(7&gt;COUNT(거래처별!$R$8:$R$307),"",7)</f>
        <v/>
      </c>
      <c r="B13" s="38">
        <f>IF($A13="","",INDEX(거래처별!$C$8:$C$307,$M13))</f>
        <v/>
      </c>
      <c r="C13" s="38">
        <f>IF($A13="","",INDEX(거래처별!$B$8:$B$307,$M13))</f>
        <v/>
      </c>
      <c r="D13" s="44">
        <f>IF($A13="","",INDEX(거래처별!$G$8:$G$307,$M13))</f>
        <v/>
      </c>
      <c r="E13" s="44">
        <f>IF($A13="","",INDEX(거래처별!$H$8:$H$307,$M13))</f>
        <v/>
      </c>
      <c r="F13" s="44">
        <f>IF($A13="","",INDEX(거래처별!$I$8:$I$307,$M13))</f>
        <v/>
      </c>
      <c r="G13" s="44">
        <f>IF($A13="","",INDEX(거래처별!$J$8:$J$307,$M13))</f>
        <v/>
      </c>
      <c r="H13" s="44">
        <f>IF($A13="","",INDEX(거래처별!$K$8:$K$307,$M13))</f>
        <v/>
      </c>
      <c r="I13" s="45">
        <f>IF($A13="","",IF($D13=0,"",$H13/$D13))</f>
        <v/>
      </c>
      <c r="J13" s="40">
        <f>IF($A13="","",INDEX(거래처별!$L$8:$L$307,$M13))</f>
        <v/>
      </c>
      <c r="K13" s="38">
        <f>IF($A13="","",INDEX(거래처별!$P$8:$P$307,$M13))</f>
        <v/>
      </c>
      <c r="L13" s="38">
        <f>IF($A13="","",INDEX(거래처별!$M$8:$M$307,$M13))</f>
        <v/>
      </c>
      <c r="M13" s="31">
        <f>IF($A13="","",MATCH(LARGE(거래처별!$R$8:$R$307,$A13),거래처별!$R$8:$R$307,0))</f>
        <v/>
      </c>
    </row>
    <row r="14">
      <c r="A14" s="38">
        <f>IF(8&gt;COUNT(거래처별!$R$8:$R$307),"",8)</f>
        <v/>
      </c>
      <c r="B14" s="38">
        <f>IF($A14="","",INDEX(거래처별!$C$8:$C$307,$M14))</f>
        <v/>
      </c>
      <c r="C14" s="38">
        <f>IF($A14="","",INDEX(거래처별!$B$8:$B$307,$M14))</f>
        <v/>
      </c>
      <c r="D14" s="44">
        <f>IF($A14="","",INDEX(거래처별!$G$8:$G$307,$M14))</f>
        <v/>
      </c>
      <c r="E14" s="44">
        <f>IF($A14="","",INDEX(거래처별!$H$8:$H$307,$M14))</f>
        <v/>
      </c>
      <c r="F14" s="44">
        <f>IF($A14="","",INDEX(거래처별!$I$8:$I$307,$M14))</f>
        <v/>
      </c>
      <c r="G14" s="44">
        <f>IF($A14="","",INDEX(거래처별!$J$8:$J$307,$M14))</f>
        <v/>
      </c>
      <c r="H14" s="44">
        <f>IF($A14="","",INDEX(거래처별!$K$8:$K$307,$M14))</f>
        <v/>
      </c>
      <c r="I14" s="45">
        <f>IF($A14="","",IF($D14=0,"",$H14/$D14))</f>
        <v/>
      </c>
      <c r="J14" s="40">
        <f>IF($A14="","",INDEX(거래처별!$L$8:$L$307,$M14))</f>
        <v/>
      </c>
      <c r="K14" s="38">
        <f>IF($A14="","",INDEX(거래처별!$P$8:$P$307,$M14))</f>
        <v/>
      </c>
      <c r="L14" s="38">
        <f>IF($A14="","",INDEX(거래처별!$M$8:$M$307,$M14))</f>
        <v/>
      </c>
      <c r="M14" s="31">
        <f>IF($A14="","",MATCH(LARGE(거래처별!$R$8:$R$307,$A14),거래처별!$R$8:$R$307,0))</f>
        <v/>
      </c>
    </row>
    <row r="15">
      <c r="A15" s="38">
        <f>IF(9&gt;COUNT(거래처별!$R$8:$R$307),"",9)</f>
        <v/>
      </c>
      <c r="B15" s="38">
        <f>IF($A15="","",INDEX(거래처별!$C$8:$C$307,$M15))</f>
        <v/>
      </c>
      <c r="C15" s="38">
        <f>IF($A15="","",INDEX(거래처별!$B$8:$B$307,$M15))</f>
        <v/>
      </c>
      <c r="D15" s="44">
        <f>IF($A15="","",INDEX(거래처별!$G$8:$G$307,$M15))</f>
        <v/>
      </c>
      <c r="E15" s="44">
        <f>IF($A15="","",INDEX(거래처별!$H$8:$H$307,$M15))</f>
        <v/>
      </c>
      <c r="F15" s="44">
        <f>IF($A15="","",INDEX(거래처별!$I$8:$I$307,$M15))</f>
        <v/>
      </c>
      <c r="G15" s="44">
        <f>IF($A15="","",INDEX(거래처별!$J$8:$J$307,$M15))</f>
        <v/>
      </c>
      <c r="H15" s="44">
        <f>IF($A15="","",INDEX(거래처별!$K$8:$K$307,$M15))</f>
        <v/>
      </c>
      <c r="I15" s="45">
        <f>IF($A15="","",IF($D15=0,"",$H15/$D15))</f>
        <v/>
      </c>
      <c r="J15" s="40">
        <f>IF($A15="","",INDEX(거래처별!$L$8:$L$307,$M15))</f>
        <v/>
      </c>
      <c r="K15" s="38">
        <f>IF($A15="","",INDEX(거래처별!$P$8:$P$307,$M15))</f>
        <v/>
      </c>
      <c r="L15" s="38">
        <f>IF($A15="","",INDEX(거래처별!$M$8:$M$307,$M15))</f>
        <v/>
      </c>
      <c r="M15" s="31">
        <f>IF($A15="","",MATCH(LARGE(거래처별!$R$8:$R$307,$A15),거래처별!$R$8:$R$307,0))</f>
        <v/>
      </c>
    </row>
    <row r="16">
      <c r="A16" s="38">
        <f>IF(10&gt;COUNT(거래처별!$R$8:$R$307),"",10)</f>
        <v/>
      </c>
      <c r="B16" s="38">
        <f>IF($A16="","",INDEX(거래처별!$C$8:$C$307,$M16))</f>
        <v/>
      </c>
      <c r="C16" s="38">
        <f>IF($A16="","",INDEX(거래처별!$B$8:$B$307,$M16))</f>
        <v/>
      </c>
      <c r="D16" s="44">
        <f>IF($A16="","",INDEX(거래처별!$G$8:$G$307,$M16))</f>
        <v/>
      </c>
      <c r="E16" s="44">
        <f>IF($A16="","",INDEX(거래처별!$H$8:$H$307,$M16))</f>
        <v/>
      </c>
      <c r="F16" s="44">
        <f>IF($A16="","",INDEX(거래처별!$I$8:$I$307,$M16))</f>
        <v/>
      </c>
      <c r="G16" s="44">
        <f>IF($A16="","",INDEX(거래처별!$J$8:$J$307,$M16))</f>
        <v/>
      </c>
      <c r="H16" s="44">
        <f>IF($A16="","",INDEX(거래처별!$K$8:$K$307,$M16))</f>
        <v/>
      </c>
      <c r="I16" s="45">
        <f>IF($A16="","",IF($D16=0,"",$H16/$D16))</f>
        <v/>
      </c>
      <c r="J16" s="40">
        <f>IF($A16="","",INDEX(거래처별!$L$8:$L$307,$M16))</f>
        <v/>
      </c>
      <c r="K16" s="38">
        <f>IF($A16="","",INDEX(거래처별!$P$8:$P$307,$M16))</f>
        <v/>
      </c>
      <c r="L16" s="38">
        <f>IF($A16="","",INDEX(거래처별!$M$8:$M$307,$M16))</f>
        <v/>
      </c>
      <c r="M16" s="31">
        <f>IF($A16="","",MATCH(LARGE(거래처별!$R$8:$R$307,$A16),거래처별!$R$8:$R$307,0))</f>
        <v/>
      </c>
    </row>
    <row r="17">
      <c r="A17" s="38">
        <f>IF(11&gt;COUNT(거래처별!$R$8:$R$307),"",11)</f>
        <v/>
      </c>
      <c r="B17" s="38">
        <f>IF($A17="","",INDEX(거래처별!$C$8:$C$307,$M17))</f>
        <v/>
      </c>
      <c r="C17" s="38">
        <f>IF($A17="","",INDEX(거래처별!$B$8:$B$307,$M17))</f>
        <v/>
      </c>
      <c r="D17" s="44">
        <f>IF($A17="","",INDEX(거래처별!$G$8:$G$307,$M17))</f>
        <v/>
      </c>
      <c r="E17" s="44">
        <f>IF($A17="","",INDEX(거래처별!$H$8:$H$307,$M17))</f>
        <v/>
      </c>
      <c r="F17" s="44">
        <f>IF($A17="","",INDEX(거래처별!$I$8:$I$307,$M17))</f>
        <v/>
      </c>
      <c r="G17" s="44">
        <f>IF($A17="","",INDEX(거래처별!$J$8:$J$307,$M17))</f>
        <v/>
      </c>
      <c r="H17" s="44">
        <f>IF($A17="","",INDEX(거래처별!$K$8:$K$307,$M17))</f>
        <v/>
      </c>
      <c r="I17" s="45">
        <f>IF($A17="","",IF($D17=0,"",$H17/$D17))</f>
        <v/>
      </c>
      <c r="J17" s="40">
        <f>IF($A17="","",INDEX(거래처별!$L$8:$L$307,$M17))</f>
        <v/>
      </c>
      <c r="K17" s="38">
        <f>IF($A17="","",INDEX(거래처별!$P$8:$P$307,$M17))</f>
        <v/>
      </c>
      <c r="L17" s="38">
        <f>IF($A17="","",INDEX(거래처별!$M$8:$M$307,$M17))</f>
        <v/>
      </c>
      <c r="M17" s="31">
        <f>IF($A17="","",MATCH(LARGE(거래처별!$R$8:$R$307,$A17),거래처별!$R$8:$R$307,0))</f>
        <v/>
      </c>
    </row>
    <row r="18">
      <c r="A18" s="38">
        <f>IF(12&gt;COUNT(거래처별!$R$8:$R$307),"",12)</f>
        <v/>
      </c>
      <c r="B18" s="38">
        <f>IF($A18="","",INDEX(거래처별!$C$8:$C$307,$M18))</f>
        <v/>
      </c>
      <c r="C18" s="38">
        <f>IF($A18="","",INDEX(거래처별!$B$8:$B$307,$M18))</f>
        <v/>
      </c>
      <c r="D18" s="44">
        <f>IF($A18="","",INDEX(거래처별!$G$8:$G$307,$M18))</f>
        <v/>
      </c>
      <c r="E18" s="44">
        <f>IF($A18="","",INDEX(거래처별!$H$8:$H$307,$M18))</f>
        <v/>
      </c>
      <c r="F18" s="44">
        <f>IF($A18="","",INDEX(거래처별!$I$8:$I$307,$M18))</f>
        <v/>
      </c>
      <c r="G18" s="44">
        <f>IF($A18="","",INDEX(거래처별!$J$8:$J$307,$M18))</f>
        <v/>
      </c>
      <c r="H18" s="44">
        <f>IF($A18="","",INDEX(거래처별!$K$8:$K$307,$M18))</f>
        <v/>
      </c>
      <c r="I18" s="45">
        <f>IF($A18="","",IF($D18=0,"",$H18/$D18))</f>
        <v/>
      </c>
      <c r="J18" s="40">
        <f>IF($A18="","",INDEX(거래처별!$L$8:$L$307,$M18))</f>
        <v/>
      </c>
      <c r="K18" s="38">
        <f>IF($A18="","",INDEX(거래처별!$P$8:$P$307,$M18))</f>
        <v/>
      </c>
      <c r="L18" s="38">
        <f>IF($A18="","",INDEX(거래처별!$M$8:$M$307,$M18))</f>
        <v/>
      </c>
      <c r="M18" s="31">
        <f>IF($A18="","",MATCH(LARGE(거래처별!$R$8:$R$307,$A18),거래처별!$R$8:$R$307,0))</f>
        <v/>
      </c>
    </row>
    <row r="19">
      <c r="A19" s="38">
        <f>IF(13&gt;COUNT(거래처별!$R$8:$R$307),"",13)</f>
        <v/>
      </c>
      <c r="B19" s="38">
        <f>IF($A19="","",INDEX(거래처별!$C$8:$C$307,$M19))</f>
        <v/>
      </c>
      <c r="C19" s="38">
        <f>IF($A19="","",INDEX(거래처별!$B$8:$B$307,$M19))</f>
        <v/>
      </c>
      <c r="D19" s="44">
        <f>IF($A19="","",INDEX(거래처별!$G$8:$G$307,$M19))</f>
        <v/>
      </c>
      <c r="E19" s="44">
        <f>IF($A19="","",INDEX(거래처별!$H$8:$H$307,$M19))</f>
        <v/>
      </c>
      <c r="F19" s="44">
        <f>IF($A19="","",INDEX(거래처별!$I$8:$I$307,$M19))</f>
        <v/>
      </c>
      <c r="G19" s="44">
        <f>IF($A19="","",INDEX(거래처별!$J$8:$J$307,$M19))</f>
        <v/>
      </c>
      <c r="H19" s="44">
        <f>IF($A19="","",INDEX(거래처별!$K$8:$K$307,$M19))</f>
        <v/>
      </c>
      <c r="I19" s="45">
        <f>IF($A19="","",IF($D19=0,"",$H19/$D19))</f>
        <v/>
      </c>
      <c r="J19" s="40">
        <f>IF($A19="","",INDEX(거래처별!$L$8:$L$307,$M19))</f>
        <v/>
      </c>
      <c r="K19" s="38">
        <f>IF($A19="","",INDEX(거래처별!$P$8:$P$307,$M19))</f>
        <v/>
      </c>
      <c r="L19" s="38">
        <f>IF($A19="","",INDEX(거래처별!$M$8:$M$307,$M19))</f>
        <v/>
      </c>
      <c r="M19" s="31">
        <f>IF($A19="","",MATCH(LARGE(거래처별!$R$8:$R$307,$A19),거래처별!$R$8:$R$307,0))</f>
        <v/>
      </c>
    </row>
    <row r="20">
      <c r="A20" s="38">
        <f>IF(14&gt;COUNT(거래처별!$R$8:$R$307),"",14)</f>
        <v/>
      </c>
      <c r="B20" s="38">
        <f>IF($A20="","",INDEX(거래처별!$C$8:$C$307,$M20))</f>
        <v/>
      </c>
      <c r="C20" s="38">
        <f>IF($A20="","",INDEX(거래처별!$B$8:$B$307,$M20))</f>
        <v/>
      </c>
      <c r="D20" s="44">
        <f>IF($A20="","",INDEX(거래처별!$G$8:$G$307,$M20))</f>
        <v/>
      </c>
      <c r="E20" s="44">
        <f>IF($A20="","",INDEX(거래처별!$H$8:$H$307,$M20))</f>
        <v/>
      </c>
      <c r="F20" s="44">
        <f>IF($A20="","",INDEX(거래처별!$I$8:$I$307,$M20))</f>
        <v/>
      </c>
      <c r="G20" s="44">
        <f>IF($A20="","",INDEX(거래처별!$J$8:$J$307,$M20))</f>
        <v/>
      </c>
      <c r="H20" s="44">
        <f>IF($A20="","",INDEX(거래처별!$K$8:$K$307,$M20))</f>
        <v/>
      </c>
      <c r="I20" s="45">
        <f>IF($A20="","",IF($D20=0,"",$H20/$D20))</f>
        <v/>
      </c>
      <c r="J20" s="40">
        <f>IF($A20="","",INDEX(거래처별!$L$8:$L$307,$M20))</f>
        <v/>
      </c>
      <c r="K20" s="38">
        <f>IF($A20="","",INDEX(거래처별!$P$8:$P$307,$M20))</f>
        <v/>
      </c>
      <c r="L20" s="38">
        <f>IF($A20="","",INDEX(거래처별!$M$8:$M$307,$M20))</f>
        <v/>
      </c>
      <c r="M20" s="31">
        <f>IF($A20="","",MATCH(LARGE(거래처별!$R$8:$R$307,$A20),거래처별!$R$8:$R$307,0))</f>
        <v/>
      </c>
    </row>
    <row r="21">
      <c r="A21" s="38">
        <f>IF(15&gt;COUNT(거래처별!$R$8:$R$307),"",15)</f>
        <v/>
      </c>
      <c r="B21" s="38">
        <f>IF($A21="","",INDEX(거래처별!$C$8:$C$307,$M21))</f>
        <v/>
      </c>
      <c r="C21" s="38">
        <f>IF($A21="","",INDEX(거래처별!$B$8:$B$307,$M21))</f>
        <v/>
      </c>
      <c r="D21" s="44">
        <f>IF($A21="","",INDEX(거래처별!$G$8:$G$307,$M21))</f>
        <v/>
      </c>
      <c r="E21" s="44">
        <f>IF($A21="","",INDEX(거래처별!$H$8:$H$307,$M21))</f>
        <v/>
      </c>
      <c r="F21" s="44">
        <f>IF($A21="","",INDEX(거래처별!$I$8:$I$307,$M21))</f>
        <v/>
      </c>
      <c r="G21" s="44">
        <f>IF($A21="","",INDEX(거래처별!$J$8:$J$307,$M21))</f>
        <v/>
      </c>
      <c r="H21" s="44">
        <f>IF($A21="","",INDEX(거래처별!$K$8:$K$307,$M21))</f>
        <v/>
      </c>
      <c r="I21" s="45">
        <f>IF($A21="","",IF($D21=0,"",$H21/$D21))</f>
        <v/>
      </c>
      <c r="J21" s="40">
        <f>IF($A21="","",INDEX(거래처별!$L$8:$L$307,$M21))</f>
        <v/>
      </c>
      <c r="K21" s="38">
        <f>IF($A21="","",INDEX(거래처별!$P$8:$P$307,$M21))</f>
        <v/>
      </c>
      <c r="L21" s="38">
        <f>IF($A21="","",INDEX(거래처별!$M$8:$M$307,$M21))</f>
        <v/>
      </c>
      <c r="M21" s="31">
        <f>IF($A21="","",MATCH(LARGE(거래처별!$R$8:$R$307,$A21),거래처별!$R$8:$R$307,0))</f>
        <v/>
      </c>
    </row>
    <row r="22">
      <c r="A22" s="38">
        <f>IF(16&gt;COUNT(거래처별!$R$8:$R$307),"",16)</f>
        <v/>
      </c>
      <c r="B22" s="38">
        <f>IF($A22="","",INDEX(거래처별!$C$8:$C$307,$M22))</f>
        <v/>
      </c>
      <c r="C22" s="38">
        <f>IF($A22="","",INDEX(거래처별!$B$8:$B$307,$M22))</f>
        <v/>
      </c>
      <c r="D22" s="44">
        <f>IF($A22="","",INDEX(거래처별!$G$8:$G$307,$M22))</f>
        <v/>
      </c>
      <c r="E22" s="44">
        <f>IF($A22="","",INDEX(거래처별!$H$8:$H$307,$M22))</f>
        <v/>
      </c>
      <c r="F22" s="44">
        <f>IF($A22="","",INDEX(거래처별!$I$8:$I$307,$M22))</f>
        <v/>
      </c>
      <c r="G22" s="44">
        <f>IF($A22="","",INDEX(거래처별!$J$8:$J$307,$M22))</f>
        <v/>
      </c>
      <c r="H22" s="44">
        <f>IF($A22="","",INDEX(거래처별!$K$8:$K$307,$M22))</f>
        <v/>
      </c>
      <c r="I22" s="45">
        <f>IF($A22="","",IF($D22=0,"",$H22/$D22))</f>
        <v/>
      </c>
      <c r="J22" s="40">
        <f>IF($A22="","",INDEX(거래처별!$L$8:$L$307,$M22))</f>
        <v/>
      </c>
      <c r="K22" s="38">
        <f>IF($A22="","",INDEX(거래처별!$P$8:$P$307,$M22))</f>
        <v/>
      </c>
      <c r="L22" s="38">
        <f>IF($A22="","",INDEX(거래처별!$M$8:$M$307,$M22))</f>
        <v/>
      </c>
      <c r="M22" s="31">
        <f>IF($A22="","",MATCH(LARGE(거래처별!$R$8:$R$307,$A22),거래처별!$R$8:$R$307,0))</f>
        <v/>
      </c>
    </row>
    <row r="23">
      <c r="A23" s="38">
        <f>IF(17&gt;COUNT(거래처별!$R$8:$R$307),"",17)</f>
        <v/>
      </c>
      <c r="B23" s="38">
        <f>IF($A23="","",INDEX(거래처별!$C$8:$C$307,$M23))</f>
        <v/>
      </c>
      <c r="C23" s="38">
        <f>IF($A23="","",INDEX(거래처별!$B$8:$B$307,$M23))</f>
        <v/>
      </c>
      <c r="D23" s="44">
        <f>IF($A23="","",INDEX(거래처별!$G$8:$G$307,$M23))</f>
        <v/>
      </c>
      <c r="E23" s="44">
        <f>IF($A23="","",INDEX(거래처별!$H$8:$H$307,$M23))</f>
        <v/>
      </c>
      <c r="F23" s="44">
        <f>IF($A23="","",INDEX(거래처별!$I$8:$I$307,$M23))</f>
        <v/>
      </c>
      <c r="G23" s="44">
        <f>IF($A23="","",INDEX(거래처별!$J$8:$J$307,$M23))</f>
        <v/>
      </c>
      <c r="H23" s="44">
        <f>IF($A23="","",INDEX(거래처별!$K$8:$K$307,$M23))</f>
        <v/>
      </c>
      <c r="I23" s="45">
        <f>IF($A23="","",IF($D23=0,"",$H23/$D23))</f>
        <v/>
      </c>
      <c r="J23" s="40">
        <f>IF($A23="","",INDEX(거래처별!$L$8:$L$307,$M23))</f>
        <v/>
      </c>
      <c r="K23" s="38">
        <f>IF($A23="","",INDEX(거래처별!$P$8:$P$307,$M23))</f>
        <v/>
      </c>
      <c r="L23" s="38">
        <f>IF($A23="","",INDEX(거래처별!$M$8:$M$307,$M23))</f>
        <v/>
      </c>
      <c r="M23" s="31">
        <f>IF($A23="","",MATCH(LARGE(거래처별!$R$8:$R$307,$A23),거래처별!$R$8:$R$307,0))</f>
        <v/>
      </c>
    </row>
    <row r="24">
      <c r="A24" s="38">
        <f>IF(18&gt;COUNT(거래처별!$R$8:$R$307),"",18)</f>
        <v/>
      </c>
      <c r="B24" s="38">
        <f>IF($A24="","",INDEX(거래처별!$C$8:$C$307,$M24))</f>
        <v/>
      </c>
      <c r="C24" s="38">
        <f>IF($A24="","",INDEX(거래처별!$B$8:$B$307,$M24))</f>
        <v/>
      </c>
      <c r="D24" s="44">
        <f>IF($A24="","",INDEX(거래처별!$G$8:$G$307,$M24))</f>
        <v/>
      </c>
      <c r="E24" s="44">
        <f>IF($A24="","",INDEX(거래처별!$H$8:$H$307,$M24))</f>
        <v/>
      </c>
      <c r="F24" s="44">
        <f>IF($A24="","",INDEX(거래처별!$I$8:$I$307,$M24))</f>
        <v/>
      </c>
      <c r="G24" s="44">
        <f>IF($A24="","",INDEX(거래처별!$J$8:$J$307,$M24))</f>
        <v/>
      </c>
      <c r="H24" s="44">
        <f>IF($A24="","",INDEX(거래처별!$K$8:$K$307,$M24))</f>
        <v/>
      </c>
      <c r="I24" s="45">
        <f>IF($A24="","",IF($D24=0,"",$H24/$D24))</f>
        <v/>
      </c>
      <c r="J24" s="40">
        <f>IF($A24="","",INDEX(거래처별!$L$8:$L$307,$M24))</f>
        <v/>
      </c>
      <c r="K24" s="38">
        <f>IF($A24="","",INDEX(거래처별!$P$8:$P$307,$M24))</f>
        <v/>
      </c>
      <c r="L24" s="38">
        <f>IF($A24="","",INDEX(거래처별!$M$8:$M$307,$M24))</f>
        <v/>
      </c>
      <c r="M24" s="31">
        <f>IF($A24="","",MATCH(LARGE(거래처별!$R$8:$R$307,$A24),거래처별!$R$8:$R$307,0))</f>
        <v/>
      </c>
    </row>
    <row r="25">
      <c r="A25" s="38">
        <f>IF(19&gt;COUNT(거래처별!$R$8:$R$307),"",19)</f>
        <v/>
      </c>
      <c r="B25" s="38">
        <f>IF($A25="","",INDEX(거래처별!$C$8:$C$307,$M25))</f>
        <v/>
      </c>
      <c r="C25" s="38">
        <f>IF($A25="","",INDEX(거래처별!$B$8:$B$307,$M25))</f>
        <v/>
      </c>
      <c r="D25" s="44">
        <f>IF($A25="","",INDEX(거래처별!$G$8:$G$307,$M25))</f>
        <v/>
      </c>
      <c r="E25" s="44">
        <f>IF($A25="","",INDEX(거래처별!$H$8:$H$307,$M25))</f>
        <v/>
      </c>
      <c r="F25" s="44">
        <f>IF($A25="","",INDEX(거래처별!$I$8:$I$307,$M25))</f>
        <v/>
      </c>
      <c r="G25" s="44">
        <f>IF($A25="","",INDEX(거래처별!$J$8:$J$307,$M25))</f>
        <v/>
      </c>
      <c r="H25" s="44">
        <f>IF($A25="","",INDEX(거래처별!$K$8:$K$307,$M25))</f>
        <v/>
      </c>
      <c r="I25" s="45">
        <f>IF($A25="","",IF($D25=0,"",$H25/$D25))</f>
        <v/>
      </c>
      <c r="J25" s="40">
        <f>IF($A25="","",INDEX(거래처별!$L$8:$L$307,$M25))</f>
        <v/>
      </c>
      <c r="K25" s="38">
        <f>IF($A25="","",INDEX(거래처별!$P$8:$P$307,$M25))</f>
        <v/>
      </c>
      <c r="L25" s="38">
        <f>IF($A25="","",INDEX(거래처별!$M$8:$M$307,$M25))</f>
        <v/>
      </c>
      <c r="M25" s="31">
        <f>IF($A25="","",MATCH(LARGE(거래처별!$R$8:$R$307,$A25),거래처별!$R$8:$R$307,0))</f>
        <v/>
      </c>
    </row>
    <row r="26">
      <c r="A26" s="38">
        <f>IF(20&gt;COUNT(거래처별!$R$8:$R$307),"",20)</f>
        <v/>
      </c>
      <c r="B26" s="38">
        <f>IF($A26="","",INDEX(거래처별!$C$8:$C$307,$M26))</f>
        <v/>
      </c>
      <c r="C26" s="38">
        <f>IF($A26="","",INDEX(거래처별!$B$8:$B$307,$M26))</f>
        <v/>
      </c>
      <c r="D26" s="44">
        <f>IF($A26="","",INDEX(거래처별!$G$8:$G$307,$M26))</f>
        <v/>
      </c>
      <c r="E26" s="44">
        <f>IF($A26="","",INDEX(거래처별!$H$8:$H$307,$M26))</f>
        <v/>
      </c>
      <c r="F26" s="44">
        <f>IF($A26="","",INDEX(거래처별!$I$8:$I$307,$M26))</f>
        <v/>
      </c>
      <c r="G26" s="44">
        <f>IF($A26="","",INDEX(거래처별!$J$8:$J$307,$M26))</f>
        <v/>
      </c>
      <c r="H26" s="44">
        <f>IF($A26="","",INDEX(거래처별!$K$8:$K$307,$M26))</f>
        <v/>
      </c>
      <c r="I26" s="45">
        <f>IF($A26="","",IF($D26=0,"",$H26/$D26))</f>
        <v/>
      </c>
      <c r="J26" s="40">
        <f>IF($A26="","",INDEX(거래처별!$L$8:$L$307,$M26))</f>
        <v/>
      </c>
      <c r="K26" s="38">
        <f>IF($A26="","",INDEX(거래처별!$P$8:$P$307,$M26))</f>
        <v/>
      </c>
      <c r="L26" s="38">
        <f>IF($A26="","",INDEX(거래처별!$M$8:$M$307,$M26))</f>
        <v/>
      </c>
      <c r="M26" s="31">
        <f>IF($A26="","",MATCH(LARGE(거래처별!$R$8:$R$307,$A26),거래처별!$R$8:$R$307,0))</f>
        <v/>
      </c>
    </row>
    <row r="27">
      <c r="A27" s="38">
        <f>IF(21&gt;COUNT(거래처별!$R$8:$R$307),"",21)</f>
        <v/>
      </c>
      <c r="B27" s="38">
        <f>IF($A27="","",INDEX(거래처별!$C$8:$C$307,$M27))</f>
        <v/>
      </c>
      <c r="C27" s="38">
        <f>IF($A27="","",INDEX(거래처별!$B$8:$B$307,$M27))</f>
        <v/>
      </c>
      <c r="D27" s="44">
        <f>IF($A27="","",INDEX(거래처별!$G$8:$G$307,$M27))</f>
        <v/>
      </c>
      <c r="E27" s="44">
        <f>IF($A27="","",INDEX(거래처별!$H$8:$H$307,$M27))</f>
        <v/>
      </c>
      <c r="F27" s="44">
        <f>IF($A27="","",INDEX(거래처별!$I$8:$I$307,$M27))</f>
        <v/>
      </c>
      <c r="G27" s="44">
        <f>IF($A27="","",INDEX(거래처별!$J$8:$J$307,$M27))</f>
        <v/>
      </c>
      <c r="H27" s="44">
        <f>IF($A27="","",INDEX(거래처별!$K$8:$K$307,$M27))</f>
        <v/>
      </c>
      <c r="I27" s="45">
        <f>IF($A27="","",IF($D27=0,"",$H27/$D27))</f>
        <v/>
      </c>
      <c r="J27" s="40">
        <f>IF($A27="","",INDEX(거래처별!$L$8:$L$307,$M27))</f>
        <v/>
      </c>
      <c r="K27" s="38">
        <f>IF($A27="","",INDEX(거래처별!$P$8:$P$307,$M27))</f>
        <v/>
      </c>
      <c r="L27" s="38">
        <f>IF($A27="","",INDEX(거래처별!$M$8:$M$307,$M27))</f>
        <v/>
      </c>
      <c r="M27" s="31">
        <f>IF($A27="","",MATCH(LARGE(거래처별!$R$8:$R$307,$A27),거래처별!$R$8:$R$307,0))</f>
        <v/>
      </c>
    </row>
    <row r="28">
      <c r="A28" s="38">
        <f>IF(22&gt;COUNT(거래처별!$R$8:$R$307),"",22)</f>
        <v/>
      </c>
      <c r="B28" s="38">
        <f>IF($A28="","",INDEX(거래처별!$C$8:$C$307,$M28))</f>
        <v/>
      </c>
      <c r="C28" s="38">
        <f>IF($A28="","",INDEX(거래처별!$B$8:$B$307,$M28))</f>
        <v/>
      </c>
      <c r="D28" s="44">
        <f>IF($A28="","",INDEX(거래처별!$G$8:$G$307,$M28))</f>
        <v/>
      </c>
      <c r="E28" s="44">
        <f>IF($A28="","",INDEX(거래처별!$H$8:$H$307,$M28))</f>
        <v/>
      </c>
      <c r="F28" s="44">
        <f>IF($A28="","",INDEX(거래처별!$I$8:$I$307,$M28))</f>
        <v/>
      </c>
      <c r="G28" s="44">
        <f>IF($A28="","",INDEX(거래처별!$J$8:$J$307,$M28))</f>
        <v/>
      </c>
      <c r="H28" s="44">
        <f>IF($A28="","",INDEX(거래처별!$K$8:$K$307,$M28))</f>
        <v/>
      </c>
      <c r="I28" s="45">
        <f>IF($A28="","",IF($D28=0,"",$H28/$D28))</f>
        <v/>
      </c>
      <c r="J28" s="40">
        <f>IF($A28="","",INDEX(거래처별!$L$8:$L$307,$M28))</f>
        <v/>
      </c>
      <c r="K28" s="38">
        <f>IF($A28="","",INDEX(거래처별!$P$8:$P$307,$M28))</f>
        <v/>
      </c>
      <c r="L28" s="38">
        <f>IF($A28="","",INDEX(거래처별!$M$8:$M$307,$M28))</f>
        <v/>
      </c>
      <c r="M28" s="31">
        <f>IF($A28="","",MATCH(LARGE(거래처별!$R$8:$R$307,$A28),거래처별!$R$8:$R$307,0))</f>
        <v/>
      </c>
    </row>
    <row r="29">
      <c r="A29" s="38">
        <f>IF(23&gt;COUNT(거래처별!$R$8:$R$307),"",23)</f>
        <v/>
      </c>
      <c r="B29" s="38">
        <f>IF($A29="","",INDEX(거래처별!$C$8:$C$307,$M29))</f>
        <v/>
      </c>
      <c r="C29" s="38">
        <f>IF($A29="","",INDEX(거래처별!$B$8:$B$307,$M29))</f>
        <v/>
      </c>
      <c r="D29" s="44">
        <f>IF($A29="","",INDEX(거래처별!$G$8:$G$307,$M29))</f>
        <v/>
      </c>
      <c r="E29" s="44">
        <f>IF($A29="","",INDEX(거래처별!$H$8:$H$307,$M29))</f>
        <v/>
      </c>
      <c r="F29" s="44">
        <f>IF($A29="","",INDEX(거래처별!$I$8:$I$307,$M29))</f>
        <v/>
      </c>
      <c r="G29" s="44">
        <f>IF($A29="","",INDEX(거래처별!$J$8:$J$307,$M29))</f>
        <v/>
      </c>
      <c r="H29" s="44">
        <f>IF($A29="","",INDEX(거래처별!$K$8:$K$307,$M29))</f>
        <v/>
      </c>
      <c r="I29" s="45">
        <f>IF($A29="","",IF($D29=0,"",$H29/$D29))</f>
        <v/>
      </c>
      <c r="J29" s="40">
        <f>IF($A29="","",INDEX(거래처별!$L$8:$L$307,$M29))</f>
        <v/>
      </c>
      <c r="K29" s="38">
        <f>IF($A29="","",INDEX(거래처별!$P$8:$P$307,$M29))</f>
        <v/>
      </c>
      <c r="L29" s="38">
        <f>IF($A29="","",INDEX(거래처별!$M$8:$M$307,$M29))</f>
        <v/>
      </c>
      <c r="M29" s="31">
        <f>IF($A29="","",MATCH(LARGE(거래처별!$R$8:$R$307,$A29),거래처별!$R$8:$R$307,0))</f>
        <v/>
      </c>
    </row>
    <row r="30">
      <c r="A30" s="38">
        <f>IF(24&gt;COUNT(거래처별!$R$8:$R$307),"",24)</f>
        <v/>
      </c>
      <c r="B30" s="38">
        <f>IF($A30="","",INDEX(거래처별!$C$8:$C$307,$M30))</f>
        <v/>
      </c>
      <c r="C30" s="38">
        <f>IF($A30="","",INDEX(거래처별!$B$8:$B$307,$M30))</f>
        <v/>
      </c>
      <c r="D30" s="44">
        <f>IF($A30="","",INDEX(거래처별!$G$8:$G$307,$M30))</f>
        <v/>
      </c>
      <c r="E30" s="44">
        <f>IF($A30="","",INDEX(거래처별!$H$8:$H$307,$M30))</f>
        <v/>
      </c>
      <c r="F30" s="44">
        <f>IF($A30="","",INDEX(거래처별!$I$8:$I$307,$M30))</f>
        <v/>
      </c>
      <c r="G30" s="44">
        <f>IF($A30="","",INDEX(거래처별!$J$8:$J$307,$M30))</f>
        <v/>
      </c>
      <c r="H30" s="44">
        <f>IF($A30="","",INDEX(거래처별!$K$8:$K$307,$M30))</f>
        <v/>
      </c>
      <c r="I30" s="45">
        <f>IF($A30="","",IF($D30=0,"",$H30/$D30))</f>
        <v/>
      </c>
      <c r="J30" s="40">
        <f>IF($A30="","",INDEX(거래처별!$L$8:$L$307,$M30))</f>
        <v/>
      </c>
      <c r="K30" s="38">
        <f>IF($A30="","",INDEX(거래처별!$P$8:$P$307,$M30))</f>
        <v/>
      </c>
      <c r="L30" s="38">
        <f>IF($A30="","",INDEX(거래처별!$M$8:$M$307,$M30))</f>
        <v/>
      </c>
      <c r="M30" s="31">
        <f>IF($A30="","",MATCH(LARGE(거래처별!$R$8:$R$307,$A30),거래처별!$R$8:$R$307,0))</f>
        <v/>
      </c>
    </row>
    <row r="31">
      <c r="A31" s="38">
        <f>IF(25&gt;COUNT(거래처별!$R$8:$R$307),"",25)</f>
        <v/>
      </c>
      <c r="B31" s="38">
        <f>IF($A31="","",INDEX(거래처별!$C$8:$C$307,$M31))</f>
        <v/>
      </c>
      <c r="C31" s="38">
        <f>IF($A31="","",INDEX(거래처별!$B$8:$B$307,$M31))</f>
        <v/>
      </c>
      <c r="D31" s="44">
        <f>IF($A31="","",INDEX(거래처별!$G$8:$G$307,$M31))</f>
        <v/>
      </c>
      <c r="E31" s="44">
        <f>IF($A31="","",INDEX(거래처별!$H$8:$H$307,$M31))</f>
        <v/>
      </c>
      <c r="F31" s="44">
        <f>IF($A31="","",INDEX(거래처별!$I$8:$I$307,$M31))</f>
        <v/>
      </c>
      <c r="G31" s="44">
        <f>IF($A31="","",INDEX(거래처별!$J$8:$J$307,$M31))</f>
        <v/>
      </c>
      <c r="H31" s="44">
        <f>IF($A31="","",INDEX(거래처별!$K$8:$K$307,$M31))</f>
        <v/>
      </c>
      <c r="I31" s="45">
        <f>IF($A31="","",IF($D31=0,"",$H31/$D31))</f>
        <v/>
      </c>
      <c r="J31" s="40">
        <f>IF($A31="","",INDEX(거래처별!$L$8:$L$307,$M31))</f>
        <v/>
      </c>
      <c r="K31" s="38">
        <f>IF($A31="","",INDEX(거래처별!$P$8:$P$307,$M31))</f>
        <v/>
      </c>
      <c r="L31" s="38">
        <f>IF($A31="","",INDEX(거래처별!$M$8:$M$307,$M31))</f>
        <v/>
      </c>
      <c r="M31" s="31">
        <f>IF($A31="","",MATCH(LARGE(거래처별!$R$8:$R$307,$A31),거래처별!$R$8:$R$307,0))</f>
        <v/>
      </c>
    </row>
    <row r="32">
      <c r="A32" s="38">
        <f>IF(26&gt;COUNT(거래처별!$R$8:$R$307),"",26)</f>
        <v/>
      </c>
      <c r="B32" s="38">
        <f>IF($A32="","",INDEX(거래처별!$C$8:$C$307,$M32))</f>
        <v/>
      </c>
      <c r="C32" s="38">
        <f>IF($A32="","",INDEX(거래처별!$B$8:$B$307,$M32))</f>
        <v/>
      </c>
      <c r="D32" s="44">
        <f>IF($A32="","",INDEX(거래처별!$G$8:$G$307,$M32))</f>
        <v/>
      </c>
      <c r="E32" s="44">
        <f>IF($A32="","",INDEX(거래처별!$H$8:$H$307,$M32))</f>
        <v/>
      </c>
      <c r="F32" s="44">
        <f>IF($A32="","",INDEX(거래처별!$I$8:$I$307,$M32))</f>
        <v/>
      </c>
      <c r="G32" s="44">
        <f>IF($A32="","",INDEX(거래처별!$J$8:$J$307,$M32))</f>
        <v/>
      </c>
      <c r="H32" s="44">
        <f>IF($A32="","",INDEX(거래처별!$K$8:$K$307,$M32))</f>
        <v/>
      </c>
      <c r="I32" s="45">
        <f>IF($A32="","",IF($D32=0,"",$H32/$D32))</f>
        <v/>
      </c>
      <c r="J32" s="40">
        <f>IF($A32="","",INDEX(거래처별!$L$8:$L$307,$M32))</f>
        <v/>
      </c>
      <c r="K32" s="38">
        <f>IF($A32="","",INDEX(거래처별!$P$8:$P$307,$M32))</f>
        <v/>
      </c>
      <c r="L32" s="38">
        <f>IF($A32="","",INDEX(거래처별!$M$8:$M$307,$M32))</f>
        <v/>
      </c>
      <c r="M32" s="31">
        <f>IF($A32="","",MATCH(LARGE(거래처별!$R$8:$R$307,$A32),거래처별!$R$8:$R$307,0))</f>
        <v/>
      </c>
    </row>
    <row r="33">
      <c r="A33" s="38">
        <f>IF(27&gt;COUNT(거래처별!$R$8:$R$307),"",27)</f>
        <v/>
      </c>
      <c r="B33" s="38">
        <f>IF($A33="","",INDEX(거래처별!$C$8:$C$307,$M33))</f>
        <v/>
      </c>
      <c r="C33" s="38">
        <f>IF($A33="","",INDEX(거래처별!$B$8:$B$307,$M33))</f>
        <v/>
      </c>
      <c r="D33" s="44">
        <f>IF($A33="","",INDEX(거래처별!$G$8:$G$307,$M33))</f>
        <v/>
      </c>
      <c r="E33" s="44">
        <f>IF($A33="","",INDEX(거래처별!$H$8:$H$307,$M33))</f>
        <v/>
      </c>
      <c r="F33" s="44">
        <f>IF($A33="","",INDEX(거래처별!$I$8:$I$307,$M33))</f>
        <v/>
      </c>
      <c r="G33" s="44">
        <f>IF($A33="","",INDEX(거래처별!$J$8:$J$307,$M33))</f>
        <v/>
      </c>
      <c r="H33" s="44">
        <f>IF($A33="","",INDEX(거래처별!$K$8:$K$307,$M33))</f>
        <v/>
      </c>
      <c r="I33" s="45">
        <f>IF($A33="","",IF($D33=0,"",$H33/$D33))</f>
        <v/>
      </c>
      <c r="J33" s="40">
        <f>IF($A33="","",INDEX(거래처별!$L$8:$L$307,$M33))</f>
        <v/>
      </c>
      <c r="K33" s="38">
        <f>IF($A33="","",INDEX(거래처별!$P$8:$P$307,$M33))</f>
        <v/>
      </c>
      <c r="L33" s="38">
        <f>IF($A33="","",INDEX(거래처별!$M$8:$M$307,$M33))</f>
        <v/>
      </c>
      <c r="M33" s="31">
        <f>IF($A33="","",MATCH(LARGE(거래처별!$R$8:$R$307,$A33),거래처별!$R$8:$R$307,0))</f>
        <v/>
      </c>
    </row>
    <row r="34">
      <c r="A34" s="38">
        <f>IF(28&gt;COUNT(거래처별!$R$8:$R$307),"",28)</f>
        <v/>
      </c>
      <c r="B34" s="38">
        <f>IF($A34="","",INDEX(거래처별!$C$8:$C$307,$M34))</f>
        <v/>
      </c>
      <c r="C34" s="38">
        <f>IF($A34="","",INDEX(거래처별!$B$8:$B$307,$M34))</f>
        <v/>
      </c>
      <c r="D34" s="44">
        <f>IF($A34="","",INDEX(거래처별!$G$8:$G$307,$M34))</f>
        <v/>
      </c>
      <c r="E34" s="44">
        <f>IF($A34="","",INDEX(거래처별!$H$8:$H$307,$M34))</f>
        <v/>
      </c>
      <c r="F34" s="44">
        <f>IF($A34="","",INDEX(거래처별!$I$8:$I$307,$M34))</f>
        <v/>
      </c>
      <c r="G34" s="44">
        <f>IF($A34="","",INDEX(거래처별!$J$8:$J$307,$M34))</f>
        <v/>
      </c>
      <c r="H34" s="44">
        <f>IF($A34="","",INDEX(거래처별!$K$8:$K$307,$M34))</f>
        <v/>
      </c>
      <c r="I34" s="45">
        <f>IF($A34="","",IF($D34=0,"",$H34/$D34))</f>
        <v/>
      </c>
      <c r="J34" s="40">
        <f>IF($A34="","",INDEX(거래처별!$L$8:$L$307,$M34))</f>
        <v/>
      </c>
      <c r="K34" s="38">
        <f>IF($A34="","",INDEX(거래처별!$P$8:$P$307,$M34))</f>
        <v/>
      </c>
      <c r="L34" s="38">
        <f>IF($A34="","",INDEX(거래처별!$M$8:$M$307,$M34))</f>
        <v/>
      </c>
      <c r="M34" s="31">
        <f>IF($A34="","",MATCH(LARGE(거래처별!$R$8:$R$307,$A34),거래처별!$R$8:$R$307,0))</f>
        <v/>
      </c>
    </row>
    <row r="35">
      <c r="A35" s="38">
        <f>IF(29&gt;COUNT(거래처별!$R$8:$R$307),"",29)</f>
        <v/>
      </c>
      <c r="B35" s="38">
        <f>IF($A35="","",INDEX(거래처별!$C$8:$C$307,$M35))</f>
        <v/>
      </c>
      <c r="C35" s="38">
        <f>IF($A35="","",INDEX(거래처별!$B$8:$B$307,$M35))</f>
        <v/>
      </c>
      <c r="D35" s="44">
        <f>IF($A35="","",INDEX(거래처별!$G$8:$G$307,$M35))</f>
        <v/>
      </c>
      <c r="E35" s="44">
        <f>IF($A35="","",INDEX(거래처별!$H$8:$H$307,$M35))</f>
        <v/>
      </c>
      <c r="F35" s="44">
        <f>IF($A35="","",INDEX(거래처별!$I$8:$I$307,$M35))</f>
        <v/>
      </c>
      <c r="G35" s="44">
        <f>IF($A35="","",INDEX(거래처별!$J$8:$J$307,$M35))</f>
        <v/>
      </c>
      <c r="H35" s="44">
        <f>IF($A35="","",INDEX(거래처별!$K$8:$K$307,$M35))</f>
        <v/>
      </c>
      <c r="I35" s="45">
        <f>IF($A35="","",IF($D35=0,"",$H35/$D35))</f>
        <v/>
      </c>
      <c r="J35" s="40">
        <f>IF($A35="","",INDEX(거래처별!$L$8:$L$307,$M35))</f>
        <v/>
      </c>
      <c r="K35" s="38">
        <f>IF($A35="","",INDEX(거래처별!$P$8:$P$307,$M35))</f>
        <v/>
      </c>
      <c r="L35" s="38">
        <f>IF($A35="","",INDEX(거래처별!$M$8:$M$307,$M35))</f>
        <v/>
      </c>
      <c r="M35" s="31">
        <f>IF($A35="","",MATCH(LARGE(거래처별!$R$8:$R$307,$A35),거래처별!$R$8:$R$307,0))</f>
        <v/>
      </c>
    </row>
    <row r="36">
      <c r="A36" s="38">
        <f>IF(30&gt;COUNT(거래처별!$R$8:$R$307),"",30)</f>
        <v/>
      </c>
      <c r="B36" s="38">
        <f>IF($A36="","",INDEX(거래처별!$C$8:$C$307,$M36))</f>
        <v/>
      </c>
      <c r="C36" s="38">
        <f>IF($A36="","",INDEX(거래처별!$B$8:$B$307,$M36))</f>
        <v/>
      </c>
      <c r="D36" s="44">
        <f>IF($A36="","",INDEX(거래처별!$G$8:$G$307,$M36))</f>
        <v/>
      </c>
      <c r="E36" s="44">
        <f>IF($A36="","",INDEX(거래처별!$H$8:$H$307,$M36))</f>
        <v/>
      </c>
      <c r="F36" s="44">
        <f>IF($A36="","",INDEX(거래처별!$I$8:$I$307,$M36))</f>
        <v/>
      </c>
      <c r="G36" s="44">
        <f>IF($A36="","",INDEX(거래처별!$J$8:$J$307,$M36))</f>
        <v/>
      </c>
      <c r="H36" s="44">
        <f>IF($A36="","",INDEX(거래처별!$K$8:$K$307,$M36))</f>
        <v/>
      </c>
      <c r="I36" s="45">
        <f>IF($A36="","",IF($D36=0,"",$H36/$D36))</f>
        <v/>
      </c>
      <c r="J36" s="40">
        <f>IF($A36="","",INDEX(거래처별!$L$8:$L$307,$M36))</f>
        <v/>
      </c>
      <c r="K36" s="38">
        <f>IF($A36="","",INDEX(거래처별!$P$8:$P$307,$M36))</f>
        <v/>
      </c>
      <c r="L36" s="38">
        <f>IF($A36="","",INDEX(거래처별!$M$8:$M$307,$M36))</f>
        <v/>
      </c>
      <c r="M36" s="31">
        <f>IF($A36="","",MATCH(LARGE(거래처별!$R$8:$R$307,$A36),거래처별!$R$8:$R$307,0))</f>
        <v/>
      </c>
    </row>
    <row r="37">
      <c r="A37" s="38">
        <f>IF(31&gt;COUNT(거래처별!$R$8:$R$307),"",31)</f>
        <v/>
      </c>
      <c r="B37" s="38">
        <f>IF($A37="","",INDEX(거래처별!$C$8:$C$307,$M37))</f>
        <v/>
      </c>
      <c r="C37" s="38">
        <f>IF($A37="","",INDEX(거래처별!$B$8:$B$307,$M37))</f>
        <v/>
      </c>
      <c r="D37" s="44">
        <f>IF($A37="","",INDEX(거래처별!$G$8:$G$307,$M37))</f>
        <v/>
      </c>
      <c r="E37" s="44">
        <f>IF($A37="","",INDEX(거래처별!$H$8:$H$307,$M37))</f>
        <v/>
      </c>
      <c r="F37" s="44">
        <f>IF($A37="","",INDEX(거래처별!$I$8:$I$307,$M37))</f>
        <v/>
      </c>
      <c r="G37" s="44">
        <f>IF($A37="","",INDEX(거래처별!$J$8:$J$307,$M37))</f>
        <v/>
      </c>
      <c r="H37" s="44">
        <f>IF($A37="","",INDEX(거래처별!$K$8:$K$307,$M37))</f>
        <v/>
      </c>
      <c r="I37" s="45">
        <f>IF($A37="","",IF($D37=0,"",$H37/$D37))</f>
        <v/>
      </c>
      <c r="J37" s="40">
        <f>IF($A37="","",INDEX(거래처별!$L$8:$L$307,$M37))</f>
        <v/>
      </c>
      <c r="K37" s="38">
        <f>IF($A37="","",INDEX(거래처별!$P$8:$P$307,$M37))</f>
        <v/>
      </c>
      <c r="L37" s="38">
        <f>IF($A37="","",INDEX(거래처별!$M$8:$M$307,$M37))</f>
        <v/>
      </c>
      <c r="M37" s="31">
        <f>IF($A37="","",MATCH(LARGE(거래처별!$R$8:$R$307,$A37),거래처별!$R$8:$R$307,0))</f>
        <v/>
      </c>
    </row>
    <row r="38">
      <c r="A38" s="38">
        <f>IF(32&gt;COUNT(거래처별!$R$8:$R$307),"",32)</f>
        <v/>
      </c>
      <c r="B38" s="38">
        <f>IF($A38="","",INDEX(거래처별!$C$8:$C$307,$M38))</f>
        <v/>
      </c>
      <c r="C38" s="38">
        <f>IF($A38="","",INDEX(거래처별!$B$8:$B$307,$M38))</f>
        <v/>
      </c>
      <c r="D38" s="44">
        <f>IF($A38="","",INDEX(거래처별!$G$8:$G$307,$M38))</f>
        <v/>
      </c>
      <c r="E38" s="44">
        <f>IF($A38="","",INDEX(거래처별!$H$8:$H$307,$M38))</f>
        <v/>
      </c>
      <c r="F38" s="44">
        <f>IF($A38="","",INDEX(거래처별!$I$8:$I$307,$M38))</f>
        <v/>
      </c>
      <c r="G38" s="44">
        <f>IF($A38="","",INDEX(거래처별!$J$8:$J$307,$M38))</f>
        <v/>
      </c>
      <c r="H38" s="44">
        <f>IF($A38="","",INDEX(거래처별!$K$8:$K$307,$M38))</f>
        <v/>
      </c>
      <c r="I38" s="45">
        <f>IF($A38="","",IF($D38=0,"",$H38/$D38))</f>
        <v/>
      </c>
      <c r="J38" s="40">
        <f>IF($A38="","",INDEX(거래처별!$L$8:$L$307,$M38))</f>
        <v/>
      </c>
      <c r="K38" s="38">
        <f>IF($A38="","",INDEX(거래처별!$P$8:$P$307,$M38))</f>
        <v/>
      </c>
      <c r="L38" s="38">
        <f>IF($A38="","",INDEX(거래처별!$M$8:$M$307,$M38))</f>
        <v/>
      </c>
      <c r="M38" s="31">
        <f>IF($A38="","",MATCH(LARGE(거래처별!$R$8:$R$307,$A38),거래처별!$R$8:$R$307,0))</f>
        <v/>
      </c>
    </row>
    <row r="39">
      <c r="A39" s="38">
        <f>IF(33&gt;COUNT(거래처별!$R$8:$R$307),"",33)</f>
        <v/>
      </c>
      <c r="B39" s="38">
        <f>IF($A39="","",INDEX(거래처별!$C$8:$C$307,$M39))</f>
        <v/>
      </c>
      <c r="C39" s="38">
        <f>IF($A39="","",INDEX(거래처별!$B$8:$B$307,$M39))</f>
        <v/>
      </c>
      <c r="D39" s="44">
        <f>IF($A39="","",INDEX(거래처별!$G$8:$G$307,$M39))</f>
        <v/>
      </c>
      <c r="E39" s="44">
        <f>IF($A39="","",INDEX(거래처별!$H$8:$H$307,$M39))</f>
        <v/>
      </c>
      <c r="F39" s="44">
        <f>IF($A39="","",INDEX(거래처별!$I$8:$I$307,$M39))</f>
        <v/>
      </c>
      <c r="G39" s="44">
        <f>IF($A39="","",INDEX(거래처별!$J$8:$J$307,$M39))</f>
        <v/>
      </c>
      <c r="H39" s="44">
        <f>IF($A39="","",INDEX(거래처별!$K$8:$K$307,$M39))</f>
        <v/>
      </c>
      <c r="I39" s="45">
        <f>IF($A39="","",IF($D39=0,"",$H39/$D39))</f>
        <v/>
      </c>
      <c r="J39" s="40">
        <f>IF($A39="","",INDEX(거래처별!$L$8:$L$307,$M39))</f>
        <v/>
      </c>
      <c r="K39" s="38">
        <f>IF($A39="","",INDEX(거래처별!$P$8:$P$307,$M39))</f>
        <v/>
      </c>
      <c r="L39" s="38">
        <f>IF($A39="","",INDEX(거래처별!$M$8:$M$307,$M39))</f>
        <v/>
      </c>
      <c r="M39" s="31">
        <f>IF($A39="","",MATCH(LARGE(거래처별!$R$8:$R$307,$A39),거래처별!$R$8:$R$307,0))</f>
        <v/>
      </c>
    </row>
    <row r="40">
      <c r="A40" s="38">
        <f>IF(34&gt;COUNT(거래처별!$R$8:$R$307),"",34)</f>
        <v/>
      </c>
      <c r="B40" s="38">
        <f>IF($A40="","",INDEX(거래처별!$C$8:$C$307,$M40))</f>
        <v/>
      </c>
      <c r="C40" s="38">
        <f>IF($A40="","",INDEX(거래처별!$B$8:$B$307,$M40))</f>
        <v/>
      </c>
      <c r="D40" s="44">
        <f>IF($A40="","",INDEX(거래처별!$G$8:$G$307,$M40))</f>
        <v/>
      </c>
      <c r="E40" s="44">
        <f>IF($A40="","",INDEX(거래처별!$H$8:$H$307,$M40))</f>
        <v/>
      </c>
      <c r="F40" s="44">
        <f>IF($A40="","",INDEX(거래처별!$I$8:$I$307,$M40))</f>
        <v/>
      </c>
      <c r="G40" s="44">
        <f>IF($A40="","",INDEX(거래처별!$J$8:$J$307,$M40))</f>
        <v/>
      </c>
      <c r="H40" s="44">
        <f>IF($A40="","",INDEX(거래처별!$K$8:$K$307,$M40))</f>
        <v/>
      </c>
      <c r="I40" s="45">
        <f>IF($A40="","",IF($D40=0,"",$H40/$D40))</f>
        <v/>
      </c>
      <c r="J40" s="40">
        <f>IF($A40="","",INDEX(거래처별!$L$8:$L$307,$M40))</f>
        <v/>
      </c>
      <c r="K40" s="38">
        <f>IF($A40="","",INDEX(거래처별!$P$8:$P$307,$M40))</f>
        <v/>
      </c>
      <c r="L40" s="38">
        <f>IF($A40="","",INDEX(거래처별!$M$8:$M$307,$M40))</f>
        <v/>
      </c>
      <c r="M40" s="31">
        <f>IF($A40="","",MATCH(LARGE(거래처별!$R$8:$R$307,$A40),거래처별!$R$8:$R$307,0))</f>
        <v/>
      </c>
    </row>
    <row r="41">
      <c r="A41" s="38">
        <f>IF(35&gt;COUNT(거래처별!$R$8:$R$307),"",35)</f>
        <v/>
      </c>
      <c r="B41" s="38">
        <f>IF($A41="","",INDEX(거래처별!$C$8:$C$307,$M41))</f>
        <v/>
      </c>
      <c r="C41" s="38">
        <f>IF($A41="","",INDEX(거래처별!$B$8:$B$307,$M41))</f>
        <v/>
      </c>
      <c r="D41" s="44">
        <f>IF($A41="","",INDEX(거래처별!$G$8:$G$307,$M41))</f>
        <v/>
      </c>
      <c r="E41" s="44">
        <f>IF($A41="","",INDEX(거래처별!$H$8:$H$307,$M41))</f>
        <v/>
      </c>
      <c r="F41" s="44">
        <f>IF($A41="","",INDEX(거래처별!$I$8:$I$307,$M41))</f>
        <v/>
      </c>
      <c r="G41" s="44">
        <f>IF($A41="","",INDEX(거래처별!$J$8:$J$307,$M41))</f>
        <v/>
      </c>
      <c r="H41" s="44">
        <f>IF($A41="","",INDEX(거래처별!$K$8:$K$307,$M41))</f>
        <v/>
      </c>
      <c r="I41" s="45">
        <f>IF($A41="","",IF($D41=0,"",$H41/$D41))</f>
        <v/>
      </c>
      <c r="J41" s="40">
        <f>IF($A41="","",INDEX(거래처별!$L$8:$L$307,$M41))</f>
        <v/>
      </c>
      <c r="K41" s="38">
        <f>IF($A41="","",INDEX(거래처별!$P$8:$P$307,$M41))</f>
        <v/>
      </c>
      <c r="L41" s="38">
        <f>IF($A41="","",INDEX(거래처별!$M$8:$M$307,$M41))</f>
        <v/>
      </c>
      <c r="M41" s="31">
        <f>IF($A41="","",MATCH(LARGE(거래처별!$R$8:$R$307,$A41),거래처별!$R$8:$R$307,0))</f>
        <v/>
      </c>
    </row>
    <row r="42">
      <c r="A42" s="38">
        <f>IF(36&gt;COUNT(거래처별!$R$8:$R$307),"",36)</f>
        <v/>
      </c>
      <c r="B42" s="38">
        <f>IF($A42="","",INDEX(거래처별!$C$8:$C$307,$M42))</f>
        <v/>
      </c>
      <c r="C42" s="38">
        <f>IF($A42="","",INDEX(거래처별!$B$8:$B$307,$M42))</f>
        <v/>
      </c>
      <c r="D42" s="44">
        <f>IF($A42="","",INDEX(거래처별!$G$8:$G$307,$M42))</f>
        <v/>
      </c>
      <c r="E42" s="44">
        <f>IF($A42="","",INDEX(거래처별!$H$8:$H$307,$M42))</f>
        <v/>
      </c>
      <c r="F42" s="44">
        <f>IF($A42="","",INDEX(거래처별!$I$8:$I$307,$M42))</f>
        <v/>
      </c>
      <c r="G42" s="44">
        <f>IF($A42="","",INDEX(거래처별!$J$8:$J$307,$M42))</f>
        <v/>
      </c>
      <c r="H42" s="44">
        <f>IF($A42="","",INDEX(거래처별!$K$8:$K$307,$M42))</f>
        <v/>
      </c>
      <c r="I42" s="45">
        <f>IF($A42="","",IF($D42=0,"",$H42/$D42))</f>
        <v/>
      </c>
      <c r="J42" s="40">
        <f>IF($A42="","",INDEX(거래처별!$L$8:$L$307,$M42))</f>
        <v/>
      </c>
      <c r="K42" s="38">
        <f>IF($A42="","",INDEX(거래처별!$P$8:$P$307,$M42))</f>
        <v/>
      </c>
      <c r="L42" s="38">
        <f>IF($A42="","",INDEX(거래처별!$M$8:$M$307,$M42))</f>
        <v/>
      </c>
      <c r="M42" s="31">
        <f>IF($A42="","",MATCH(LARGE(거래처별!$R$8:$R$307,$A42),거래처별!$R$8:$R$307,0))</f>
        <v/>
      </c>
    </row>
    <row r="43">
      <c r="A43" s="38">
        <f>IF(37&gt;COUNT(거래처별!$R$8:$R$307),"",37)</f>
        <v/>
      </c>
      <c r="B43" s="38">
        <f>IF($A43="","",INDEX(거래처별!$C$8:$C$307,$M43))</f>
        <v/>
      </c>
      <c r="C43" s="38">
        <f>IF($A43="","",INDEX(거래처별!$B$8:$B$307,$M43))</f>
        <v/>
      </c>
      <c r="D43" s="44">
        <f>IF($A43="","",INDEX(거래처별!$G$8:$G$307,$M43))</f>
        <v/>
      </c>
      <c r="E43" s="44">
        <f>IF($A43="","",INDEX(거래처별!$H$8:$H$307,$M43))</f>
        <v/>
      </c>
      <c r="F43" s="44">
        <f>IF($A43="","",INDEX(거래처별!$I$8:$I$307,$M43))</f>
        <v/>
      </c>
      <c r="G43" s="44">
        <f>IF($A43="","",INDEX(거래처별!$J$8:$J$307,$M43))</f>
        <v/>
      </c>
      <c r="H43" s="44">
        <f>IF($A43="","",INDEX(거래처별!$K$8:$K$307,$M43))</f>
        <v/>
      </c>
      <c r="I43" s="45">
        <f>IF($A43="","",IF($D43=0,"",$H43/$D43))</f>
        <v/>
      </c>
      <c r="J43" s="40">
        <f>IF($A43="","",INDEX(거래처별!$L$8:$L$307,$M43))</f>
        <v/>
      </c>
      <c r="K43" s="38">
        <f>IF($A43="","",INDEX(거래처별!$P$8:$P$307,$M43))</f>
        <v/>
      </c>
      <c r="L43" s="38">
        <f>IF($A43="","",INDEX(거래처별!$M$8:$M$307,$M43))</f>
        <v/>
      </c>
      <c r="M43" s="31">
        <f>IF($A43="","",MATCH(LARGE(거래처별!$R$8:$R$307,$A43),거래처별!$R$8:$R$307,0))</f>
        <v/>
      </c>
    </row>
    <row r="44">
      <c r="A44" s="38">
        <f>IF(38&gt;COUNT(거래처별!$R$8:$R$307),"",38)</f>
        <v/>
      </c>
      <c r="B44" s="38">
        <f>IF($A44="","",INDEX(거래처별!$C$8:$C$307,$M44))</f>
        <v/>
      </c>
      <c r="C44" s="38">
        <f>IF($A44="","",INDEX(거래처별!$B$8:$B$307,$M44))</f>
        <v/>
      </c>
      <c r="D44" s="44">
        <f>IF($A44="","",INDEX(거래처별!$G$8:$G$307,$M44))</f>
        <v/>
      </c>
      <c r="E44" s="44">
        <f>IF($A44="","",INDEX(거래처별!$H$8:$H$307,$M44))</f>
        <v/>
      </c>
      <c r="F44" s="44">
        <f>IF($A44="","",INDEX(거래처별!$I$8:$I$307,$M44))</f>
        <v/>
      </c>
      <c r="G44" s="44">
        <f>IF($A44="","",INDEX(거래처별!$J$8:$J$307,$M44))</f>
        <v/>
      </c>
      <c r="H44" s="44">
        <f>IF($A44="","",INDEX(거래처별!$K$8:$K$307,$M44))</f>
        <v/>
      </c>
      <c r="I44" s="45">
        <f>IF($A44="","",IF($D44=0,"",$H44/$D44))</f>
        <v/>
      </c>
      <c r="J44" s="40">
        <f>IF($A44="","",INDEX(거래처별!$L$8:$L$307,$M44))</f>
        <v/>
      </c>
      <c r="K44" s="38">
        <f>IF($A44="","",INDEX(거래처별!$P$8:$P$307,$M44))</f>
        <v/>
      </c>
      <c r="L44" s="38">
        <f>IF($A44="","",INDEX(거래처별!$M$8:$M$307,$M44))</f>
        <v/>
      </c>
      <c r="M44" s="31">
        <f>IF($A44="","",MATCH(LARGE(거래처별!$R$8:$R$307,$A44),거래처별!$R$8:$R$307,0))</f>
        <v/>
      </c>
    </row>
    <row r="45">
      <c r="A45" s="38">
        <f>IF(39&gt;COUNT(거래처별!$R$8:$R$307),"",39)</f>
        <v/>
      </c>
      <c r="B45" s="38">
        <f>IF($A45="","",INDEX(거래처별!$C$8:$C$307,$M45))</f>
        <v/>
      </c>
      <c r="C45" s="38">
        <f>IF($A45="","",INDEX(거래처별!$B$8:$B$307,$M45))</f>
        <v/>
      </c>
      <c r="D45" s="44">
        <f>IF($A45="","",INDEX(거래처별!$G$8:$G$307,$M45))</f>
        <v/>
      </c>
      <c r="E45" s="44">
        <f>IF($A45="","",INDEX(거래처별!$H$8:$H$307,$M45))</f>
        <v/>
      </c>
      <c r="F45" s="44">
        <f>IF($A45="","",INDEX(거래처별!$I$8:$I$307,$M45))</f>
        <v/>
      </c>
      <c r="G45" s="44">
        <f>IF($A45="","",INDEX(거래처별!$J$8:$J$307,$M45))</f>
        <v/>
      </c>
      <c r="H45" s="44">
        <f>IF($A45="","",INDEX(거래처별!$K$8:$K$307,$M45))</f>
        <v/>
      </c>
      <c r="I45" s="45">
        <f>IF($A45="","",IF($D45=0,"",$H45/$D45))</f>
        <v/>
      </c>
      <c r="J45" s="40">
        <f>IF($A45="","",INDEX(거래처별!$L$8:$L$307,$M45))</f>
        <v/>
      </c>
      <c r="K45" s="38">
        <f>IF($A45="","",INDEX(거래처별!$P$8:$P$307,$M45))</f>
        <v/>
      </c>
      <c r="L45" s="38">
        <f>IF($A45="","",INDEX(거래처별!$M$8:$M$307,$M45))</f>
        <v/>
      </c>
      <c r="M45" s="31">
        <f>IF($A45="","",MATCH(LARGE(거래처별!$R$8:$R$307,$A45),거래처별!$R$8:$R$307,0))</f>
        <v/>
      </c>
    </row>
    <row r="46">
      <c r="A46" s="38">
        <f>IF(40&gt;COUNT(거래처별!$R$8:$R$307),"",40)</f>
        <v/>
      </c>
      <c r="B46" s="38">
        <f>IF($A46="","",INDEX(거래처별!$C$8:$C$307,$M46))</f>
        <v/>
      </c>
      <c r="C46" s="38">
        <f>IF($A46="","",INDEX(거래처별!$B$8:$B$307,$M46))</f>
        <v/>
      </c>
      <c r="D46" s="44">
        <f>IF($A46="","",INDEX(거래처별!$G$8:$G$307,$M46))</f>
        <v/>
      </c>
      <c r="E46" s="44">
        <f>IF($A46="","",INDEX(거래처별!$H$8:$H$307,$M46))</f>
        <v/>
      </c>
      <c r="F46" s="44">
        <f>IF($A46="","",INDEX(거래처별!$I$8:$I$307,$M46))</f>
        <v/>
      </c>
      <c r="G46" s="44">
        <f>IF($A46="","",INDEX(거래처별!$J$8:$J$307,$M46))</f>
        <v/>
      </c>
      <c r="H46" s="44">
        <f>IF($A46="","",INDEX(거래처별!$K$8:$K$307,$M46))</f>
        <v/>
      </c>
      <c r="I46" s="45">
        <f>IF($A46="","",IF($D46=0,"",$H46/$D46))</f>
        <v/>
      </c>
      <c r="J46" s="40">
        <f>IF($A46="","",INDEX(거래처별!$L$8:$L$307,$M46))</f>
        <v/>
      </c>
      <c r="K46" s="38">
        <f>IF($A46="","",INDEX(거래처별!$P$8:$P$307,$M46))</f>
        <v/>
      </c>
      <c r="L46" s="38">
        <f>IF($A46="","",INDEX(거래처별!$M$8:$M$307,$M46))</f>
        <v/>
      </c>
      <c r="M46" s="31">
        <f>IF($A46="","",MATCH(LARGE(거래처별!$R$8:$R$307,$A46),거래처별!$R$8:$R$307,0))</f>
        <v/>
      </c>
    </row>
    <row r="47">
      <c r="A47" s="38">
        <f>IF(41&gt;COUNT(거래처별!$R$8:$R$307),"",41)</f>
        <v/>
      </c>
      <c r="B47" s="38">
        <f>IF($A47="","",INDEX(거래처별!$C$8:$C$307,$M47))</f>
        <v/>
      </c>
      <c r="C47" s="38">
        <f>IF($A47="","",INDEX(거래처별!$B$8:$B$307,$M47))</f>
        <v/>
      </c>
      <c r="D47" s="44">
        <f>IF($A47="","",INDEX(거래처별!$G$8:$G$307,$M47))</f>
        <v/>
      </c>
      <c r="E47" s="44">
        <f>IF($A47="","",INDEX(거래처별!$H$8:$H$307,$M47))</f>
        <v/>
      </c>
      <c r="F47" s="44">
        <f>IF($A47="","",INDEX(거래처별!$I$8:$I$307,$M47))</f>
        <v/>
      </c>
      <c r="G47" s="44">
        <f>IF($A47="","",INDEX(거래처별!$J$8:$J$307,$M47))</f>
        <v/>
      </c>
      <c r="H47" s="44">
        <f>IF($A47="","",INDEX(거래처별!$K$8:$K$307,$M47))</f>
        <v/>
      </c>
      <c r="I47" s="45">
        <f>IF($A47="","",IF($D47=0,"",$H47/$D47))</f>
        <v/>
      </c>
      <c r="J47" s="40">
        <f>IF($A47="","",INDEX(거래처별!$L$8:$L$307,$M47))</f>
        <v/>
      </c>
      <c r="K47" s="38">
        <f>IF($A47="","",INDEX(거래처별!$P$8:$P$307,$M47))</f>
        <v/>
      </c>
      <c r="L47" s="38">
        <f>IF($A47="","",INDEX(거래처별!$M$8:$M$307,$M47))</f>
        <v/>
      </c>
      <c r="M47" s="31">
        <f>IF($A47="","",MATCH(LARGE(거래처별!$R$8:$R$307,$A47),거래처별!$R$8:$R$307,0))</f>
        <v/>
      </c>
    </row>
    <row r="48">
      <c r="A48" s="38">
        <f>IF(42&gt;COUNT(거래처별!$R$8:$R$307),"",42)</f>
        <v/>
      </c>
      <c r="B48" s="38">
        <f>IF($A48="","",INDEX(거래처별!$C$8:$C$307,$M48))</f>
        <v/>
      </c>
      <c r="C48" s="38">
        <f>IF($A48="","",INDEX(거래처별!$B$8:$B$307,$M48))</f>
        <v/>
      </c>
      <c r="D48" s="44">
        <f>IF($A48="","",INDEX(거래처별!$G$8:$G$307,$M48))</f>
        <v/>
      </c>
      <c r="E48" s="44">
        <f>IF($A48="","",INDEX(거래처별!$H$8:$H$307,$M48))</f>
        <v/>
      </c>
      <c r="F48" s="44">
        <f>IF($A48="","",INDEX(거래처별!$I$8:$I$307,$M48))</f>
        <v/>
      </c>
      <c r="G48" s="44">
        <f>IF($A48="","",INDEX(거래처별!$J$8:$J$307,$M48))</f>
        <v/>
      </c>
      <c r="H48" s="44">
        <f>IF($A48="","",INDEX(거래처별!$K$8:$K$307,$M48))</f>
        <v/>
      </c>
      <c r="I48" s="45">
        <f>IF($A48="","",IF($D48=0,"",$H48/$D48))</f>
        <v/>
      </c>
      <c r="J48" s="40">
        <f>IF($A48="","",INDEX(거래처별!$L$8:$L$307,$M48))</f>
        <v/>
      </c>
      <c r="K48" s="38">
        <f>IF($A48="","",INDEX(거래처별!$P$8:$P$307,$M48))</f>
        <v/>
      </c>
      <c r="L48" s="38">
        <f>IF($A48="","",INDEX(거래처별!$M$8:$M$307,$M48))</f>
        <v/>
      </c>
      <c r="M48" s="31">
        <f>IF($A48="","",MATCH(LARGE(거래처별!$R$8:$R$307,$A48),거래처별!$R$8:$R$307,0))</f>
        <v/>
      </c>
    </row>
    <row r="49">
      <c r="A49" s="38">
        <f>IF(43&gt;COUNT(거래처별!$R$8:$R$307),"",43)</f>
        <v/>
      </c>
      <c r="B49" s="38">
        <f>IF($A49="","",INDEX(거래처별!$C$8:$C$307,$M49))</f>
        <v/>
      </c>
      <c r="C49" s="38">
        <f>IF($A49="","",INDEX(거래처별!$B$8:$B$307,$M49))</f>
        <v/>
      </c>
      <c r="D49" s="44">
        <f>IF($A49="","",INDEX(거래처별!$G$8:$G$307,$M49))</f>
        <v/>
      </c>
      <c r="E49" s="44">
        <f>IF($A49="","",INDEX(거래처별!$H$8:$H$307,$M49))</f>
        <v/>
      </c>
      <c r="F49" s="44">
        <f>IF($A49="","",INDEX(거래처별!$I$8:$I$307,$M49))</f>
        <v/>
      </c>
      <c r="G49" s="44">
        <f>IF($A49="","",INDEX(거래처별!$J$8:$J$307,$M49))</f>
        <v/>
      </c>
      <c r="H49" s="44">
        <f>IF($A49="","",INDEX(거래처별!$K$8:$K$307,$M49))</f>
        <v/>
      </c>
      <c r="I49" s="45">
        <f>IF($A49="","",IF($D49=0,"",$H49/$D49))</f>
        <v/>
      </c>
      <c r="J49" s="40">
        <f>IF($A49="","",INDEX(거래처별!$L$8:$L$307,$M49))</f>
        <v/>
      </c>
      <c r="K49" s="38">
        <f>IF($A49="","",INDEX(거래처별!$P$8:$P$307,$M49))</f>
        <v/>
      </c>
      <c r="L49" s="38">
        <f>IF($A49="","",INDEX(거래처별!$M$8:$M$307,$M49))</f>
        <v/>
      </c>
      <c r="M49" s="31">
        <f>IF($A49="","",MATCH(LARGE(거래처별!$R$8:$R$307,$A49),거래처별!$R$8:$R$307,0))</f>
        <v/>
      </c>
    </row>
    <row r="50">
      <c r="A50" s="38">
        <f>IF(44&gt;COUNT(거래처별!$R$8:$R$307),"",44)</f>
        <v/>
      </c>
      <c r="B50" s="38">
        <f>IF($A50="","",INDEX(거래처별!$C$8:$C$307,$M50))</f>
        <v/>
      </c>
      <c r="C50" s="38">
        <f>IF($A50="","",INDEX(거래처별!$B$8:$B$307,$M50))</f>
        <v/>
      </c>
      <c r="D50" s="44">
        <f>IF($A50="","",INDEX(거래처별!$G$8:$G$307,$M50))</f>
        <v/>
      </c>
      <c r="E50" s="44">
        <f>IF($A50="","",INDEX(거래처별!$H$8:$H$307,$M50))</f>
        <v/>
      </c>
      <c r="F50" s="44">
        <f>IF($A50="","",INDEX(거래처별!$I$8:$I$307,$M50))</f>
        <v/>
      </c>
      <c r="G50" s="44">
        <f>IF($A50="","",INDEX(거래처별!$J$8:$J$307,$M50))</f>
        <v/>
      </c>
      <c r="H50" s="44">
        <f>IF($A50="","",INDEX(거래처별!$K$8:$K$307,$M50))</f>
        <v/>
      </c>
      <c r="I50" s="45">
        <f>IF($A50="","",IF($D50=0,"",$H50/$D50))</f>
        <v/>
      </c>
      <c r="J50" s="40">
        <f>IF($A50="","",INDEX(거래처별!$L$8:$L$307,$M50))</f>
        <v/>
      </c>
      <c r="K50" s="38">
        <f>IF($A50="","",INDEX(거래처별!$P$8:$P$307,$M50))</f>
        <v/>
      </c>
      <c r="L50" s="38">
        <f>IF($A50="","",INDEX(거래처별!$M$8:$M$307,$M50))</f>
        <v/>
      </c>
      <c r="M50" s="31">
        <f>IF($A50="","",MATCH(LARGE(거래처별!$R$8:$R$307,$A50),거래처별!$R$8:$R$307,0))</f>
        <v/>
      </c>
    </row>
    <row r="51">
      <c r="A51" s="38">
        <f>IF(45&gt;COUNT(거래처별!$R$8:$R$307),"",45)</f>
        <v/>
      </c>
      <c r="B51" s="38">
        <f>IF($A51="","",INDEX(거래처별!$C$8:$C$307,$M51))</f>
        <v/>
      </c>
      <c r="C51" s="38">
        <f>IF($A51="","",INDEX(거래처별!$B$8:$B$307,$M51))</f>
        <v/>
      </c>
      <c r="D51" s="44">
        <f>IF($A51="","",INDEX(거래처별!$G$8:$G$307,$M51))</f>
        <v/>
      </c>
      <c r="E51" s="44">
        <f>IF($A51="","",INDEX(거래처별!$H$8:$H$307,$M51))</f>
        <v/>
      </c>
      <c r="F51" s="44">
        <f>IF($A51="","",INDEX(거래처별!$I$8:$I$307,$M51))</f>
        <v/>
      </c>
      <c r="G51" s="44">
        <f>IF($A51="","",INDEX(거래처별!$J$8:$J$307,$M51))</f>
        <v/>
      </c>
      <c r="H51" s="44">
        <f>IF($A51="","",INDEX(거래처별!$K$8:$K$307,$M51))</f>
        <v/>
      </c>
      <c r="I51" s="45">
        <f>IF($A51="","",IF($D51=0,"",$H51/$D51))</f>
        <v/>
      </c>
      <c r="J51" s="40">
        <f>IF($A51="","",INDEX(거래처별!$L$8:$L$307,$M51))</f>
        <v/>
      </c>
      <c r="K51" s="38">
        <f>IF($A51="","",INDEX(거래처별!$P$8:$P$307,$M51))</f>
        <v/>
      </c>
      <c r="L51" s="38">
        <f>IF($A51="","",INDEX(거래처별!$M$8:$M$307,$M51))</f>
        <v/>
      </c>
      <c r="M51" s="31">
        <f>IF($A51="","",MATCH(LARGE(거래처별!$R$8:$R$307,$A51),거래처별!$R$8:$R$307,0))</f>
        <v/>
      </c>
    </row>
    <row r="52">
      <c r="A52" s="38">
        <f>IF(46&gt;COUNT(거래처별!$R$8:$R$307),"",46)</f>
        <v/>
      </c>
      <c r="B52" s="38">
        <f>IF($A52="","",INDEX(거래처별!$C$8:$C$307,$M52))</f>
        <v/>
      </c>
      <c r="C52" s="38">
        <f>IF($A52="","",INDEX(거래처별!$B$8:$B$307,$M52))</f>
        <v/>
      </c>
      <c r="D52" s="44">
        <f>IF($A52="","",INDEX(거래처별!$G$8:$G$307,$M52))</f>
        <v/>
      </c>
      <c r="E52" s="44">
        <f>IF($A52="","",INDEX(거래처별!$H$8:$H$307,$M52))</f>
        <v/>
      </c>
      <c r="F52" s="44">
        <f>IF($A52="","",INDEX(거래처별!$I$8:$I$307,$M52))</f>
        <v/>
      </c>
      <c r="G52" s="44">
        <f>IF($A52="","",INDEX(거래처별!$J$8:$J$307,$M52))</f>
        <v/>
      </c>
      <c r="H52" s="44">
        <f>IF($A52="","",INDEX(거래처별!$K$8:$K$307,$M52))</f>
        <v/>
      </c>
      <c r="I52" s="45">
        <f>IF($A52="","",IF($D52=0,"",$H52/$D52))</f>
        <v/>
      </c>
      <c r="J52" s="40">
        <f>IF($A52="","",INDEX(거래처별!$L$8:$L$307,$M52))</f>
        <v/>
      </c>
      <c r="K52" s="38">
        <f>IF($A52="","",INDEX(거래처별!$P$8:$P$307,$M52))</f>
        <v/>
      </c>
      <c r="L52" s="38">
        <f>IF($A52="","",INDEX(거래처별!$M$8:$M$307,$M52))</f>
        <v/>
      </c>
      <c r="M52" s="31">
        <f>IF($A52="","",MATCH(LARGE(거래처별!$R$8:$R$307,$A52),거래처별!$R$8:$R$307,0))</f>
        <v/>
      </c>
    </row>
    <row r="53">
      <c r="A53" s="38">
        <f>IF(47&gt;COUNT(거래처별!$R$8:$R$307),"",47)</f>
        <v/>
      </c>
      <c r="B53" s="38">
        <f>IF($A53="","",INDEX(거래처별!$C$8:$C$307,$M53))</f>
        <v/>
      </c>
      <c r="C53" s="38">
        <f>IF($A53="","",INDEX(거래처별!$B$8:$B$307,$M53))</f>
        <v/>
      </c>
      <c r="D53" s="44">
        <f>IF($A53="","",INDEX(거래처별!$G$8:$G$307,$M53))</f>
        <v/>
      </c>
      <c r="E53" s="44">
        <f>IF($A53="","",INDEX(거래처별!$H$8:$H$307,$M53))</f>
        <v/>
      </c>
      <c r="F53" s="44">
        <f>IF($A53="","",INDEX(거래처별!$I$8:$I$307,$M53))</f>
        <v/>
      </c>
      <c r="G53" s="44">
        <f>IF($A53="","",INDEX(거래처별!$J$8:$J$307,$M53))</f>
        <v/>
      </c>
      <c r="H53" s="44">
        <f>IF($A53="","",INDEX(거래처별!$K$8:$K$307,$M53))</f>
        <v/>
      </c>
      <c r="I53" s="45">
        <f>IF($A53="","",IF($D53=0,"",$H53/$D53))</f>
        <v/>
      </c>
      <c r="J53" s="40">
        <f>IF($A53="","",INDEX(거래처별!$L$8:$L$307,$M53))</f>
        <v/>
      </c>
      <c r="K53" s="38">
        <f>IF($A53="","",INDEX(거래처별!$P$8:$P$307,$M53))</f>
        <v/>
      </c>
      <c r="L53" s="38">
        <f>IF($A53="","",INDEX(거래처별!$M$8:$M$307,$M53))</f>
        <v/>
      </c>
      <c r="M53" s="31">
        <f>IF($A53="","",MATCH(LARGE(거래처별!$R$8:$R$307,$A53),거래처별!$R$8:$R$307,0))</f>
        <v/>
      </c>
    </row>
    <row r="54">
      <c r="A54" s="38">
        <f>IF(48&gt;COUNT(거래처별!$R$8:$R$307),"",48)</f>
        <v/>
      </c>
      <c r="B54" s="38">
        <f>IF($A54="","",INDEX(거래처별!$C$8:$C$307,$M54))</f>
        <v/>
      </c>
      <c r="C54" s="38">
        <f>IF($A54="","",INDEX(거래처별!$B$8:$B$307,$M54))</f>
        <v/>
      </c>
      <c r="D54" s="44">
        <f>IF($A54="","",INDEX(거래처별!$G$8:$G$307,$M54))</f>
        <v/>
      </c>
      <c r="E54" s="44">
        <f>IF($A54="","",INDEX(거래처별!$H$8:$H$307,$M54))</f>
        <v/>
      </c>
      <c r="F54" s="44">
        <f>IF($A54="","",INDEX(거래처별!$I$8:$I$307,$M54))</f>
        <v/>
      </c>
      <c r="G54" s="44">
        <f>IF($A54="","",INDEX(거래처별!$J$8:$J$307,$M54))</f>
        <v/>
      </c>
      <c r="H54" s="44">
        <f>IF($A54="","",INDEX(거래처별!$K$8:$K$307,$M54))</f>
        <v/>
      </c>
      <c r="I54" s="45">
        <f>IF($A54="","",IF($D54=0,"",$H54/$D54))</f>
        <v/>
      </c>
      <c r="J54" s="40">
        <f>IF($A54="","",INDEX(거래처별!$L$8:$L$307,$M54))</f>
        <v/>
      </c>
      <c r="K54" s="38">
        <f>IF($A54="","",INDEX(거래처별!$P$8:$P$307,$M54))</f>
        <v/>
      </c>
      <c r="L54" s="38">
        <f>IF($A54="","",INDEX(거래처별!$M$8:$M$307,$M54))</f>
        <v/>
      </c>
      <c r="M54" s="31">
        <f>IF($A54="","",MATCH(LARGE(거래처별!$R$8:$R$307,$A54),거래처별!$R$8:$R$307,0))</f>
        <v/>
      </c>
    </row>
    <row r="55">
      <c r="A55" s="38">
        <f>IF(49&gt;COUNT(거래처별!$R$8:$R$307),"",49)</f>
        <v/>
      </c>
      <c r="B55" s="38">
        <f>IF($A55="","",INDEX(거래처별!$C$8:$C$307,$M55))</f>
        <v/>
      </c>
      <c r="C55" s="38">
        <f>IF($A55="","",INDEX(거래처별!$B$8:$B$307,$M55))</f>
        <v/>
      </c>
      <c r="D55" s="44">
        <f>IF($A55="","",INDEX(거래처별!$G$8:$G$307,$M55))</f>
        <v/>
      </c>
      <c r="E55" s="44">
        <f>IF($A55="","",INDEX(거래처별!$H$8:$H$307,$M55))</f>
        <v/>
      </c>
      <c r="F55" s="44">
        <f>IF($A55="","",INDEX(거래처별!$I$8:$I$307,$M55))</f>
        <v/>
      </c>
      <c r="G55" s="44">
        <f>IF($A55="","",INDEX(거래처별!$J$8:$J$307,$M55))</f>
        <v/>
      </c>
      <c r="H55" s="44">
        <f>IF($A55="","",INDEX(거래처별!$K$8:$K$307,$M55))</f>
        <v/>
      </c>
      <c r="I55" s="45">
        <f>IF($A55="","",IF($D55=0,"",$H55/$D55))</f>
        <v/>
      </c>
      <c r="J55" s="40">
        <f>IF($A55="","",INDEX(거래처별!$L$8:$L$307,$M55))</f>
        <v/>
      </c>
      <c r="K55" s="38">
        <f>IF($A55="","",INDEX(거래처별!$P$8:$P$307,$M55))</f>
        <v/>
      </c>
      <c r="L55" s="38">
        <f>IF($A55="","",INDEX(거래처별!$M$8:$M$307,$M55))</f>
        <v/>
      </c>
      <c r="M55" s="31">
        <f>IF($A55="","",MATCH(LARGE(거래처별!$R$8:$R$307,$A55),거래처별!$R$8:$R$307,0))</f>
        <v/>
      </c>
    </row>
    <row r="56">
      <c r="A56" s="38">
        <f>IF(50&gt;COUNT(거래처별!$R$8:$R$307),"",50)</f>
        <v/>
      </c>
      <c r="B56" s="38">
        <f>IF($A56="","",INDEX(거래처별!$C$8:$C$307,$M56))</f>
        <v/>
      </c>
      <c r="C56" s="38">
        <f>IF($A56="","",INDEX(거래처별!$B$8:$B$307,$M56))</f>
        <v/>
      </c>
      <c r="D56" s="44">
        <f>IF($A56="","",INDEX(거래처별!$G$8:$G$307,$M56))</f>
        <v/>
      </c>
      <c r="E56" s="44">
        <f>IF($A56="","",INDEX(거래처별!$H$8:$H$307,$M56))</f>
        <v/>
      </c>
      <c r="F56" s="44">
        <f>IF($A56="","",INDEX(거래처별!$I$8:$I$307,$M56))</f>
        <v/>
      </c>
      <c r="G56" s="44">
        <f>IF($A56="","",INDEX(거래처별!$J$8:$J$307,$M56))</f>
        <v/>
      </c>
      <c r="H56" s="44">
        <f>IF($A56="","",INDEX(거래처별!$K$8:$K$307,$M56))</f>
        <v/>
      </c>
      <c r="I56" s="45">
        <f>IF($A56="","",IF($D56=0,"",$H56/$D56))</f>
        <v/>
      </c>
      <c r="J56" s="40">
        <f>IF($A56="","",INDEX(거래처별!$L$8:$L$307,$M56))</f>
        <v/>
      </c>
      <c r="K56" s="38">
        <f>IF($A56="","",INDEX(거래처별!$P$8:$P$307,$M56))</f>
        <v/>
      </c>
      <c r="L56" s="38">
        <f>IF($A56="","",INDEX(거래처별!$M$8:$M$307,$M56))</f>
        <v/>
      </c>
      <c r="M56" s="31">
        <f>IF($A56="","",MATCH(LARGE(거래처별!$R$8:$R$307,$A56),거래처별!$R$8:$R$307,0))</f>
        <v/>
      </c>
    </row>
    <row r="57">
      <c r="A57" s="38">
        <f>IF(51&gt;COUNT(거래처별!$R$8:$R$307),"",51)</f>
        <v/>
      </c>
      <c r="B57" s="38">
        <f>IF($A57="","",INDEX(거래처별!$C$8:$C$307,$M57))</f>
        <v/>
      </c>
      <c r="C57" s="38">
        <f>IF($A57="","",INDEX(거래처별!$B$8:$B$307,$M57))</f>
        <v/>
      </c>
      <c r="D57" s="44">
        <f>IF($A57="","",INDEX(거래처별!$G$8:$G$307,$M57))</f>
        <v/>
      </c>
      <c r="E57" s="44">
        <f>IF($A57="","",INDEX(거래처별!$H$8:$H$307,$M57))</f>
        <v/>
      </c>
      <c r="F57" s="44">
        <f>IF($A57="","",INDEX(거래처별!$I$8:$I$307,$M57))</f>
        <v/>
      </c>
      <c r="G57" s="44">
        <f>IF($A57="","",INDEX(거래처별!$J$8:$J$307,$M57))</f>
        <v/>
      </c>
      <c r="H57" s="44">
        <f>IF($A57="","",INDEX(거래처별!$K$8:$K$307,$M57))</f>
        <v/>
      </c>
      <c r="I57" s="45">
        <f>IF($A57="","",IF($D57=0,"",$H57/$D57))</f>
        <v/>
      </c>
      <c r="J57" s="40">
        <f>IF($A57="","",INDEX(거래처별!$L$8:$L$307,$M57))</f>
        <v/>
      </c>
      <c r="K57" s="38">
        <f>IF($A57="","",INDEX(거래처별!$P$8:$P$307,$M57))</f>
        <v/>
      </c>
      <c r="L57" s="38">
        <f>IF($A57="","",INDEX(거래처별!$M$8:$M$307,$M57))</f>
        <v/>
      </c>
      <c r="M57" s="31">
        <f>IF($A57="","",MATCH(LARGE(거래처별!$R$8:$R$307,$A57),거래처별!$R$8:$R$307,0))</f>
        <v/>
      </c>
    </row>
    <row r="58">
      <c r="A58" s="38">
        <f>IF(52&gt;COUNT(거래처별!$R$8:$R$307),"",52)</f>
        <v/>
      </c>
      <c r="B58" s="38">
        <f>IF($A58="","",INDEX(거래처별!$C$8:$C$307,$M58))</f>
        <v/>
      </c>
      <c r="C58" s="38">
        <f>IF($A58="","",INDEX(거래처별!$B$8:$B$307,$M58))</f>
        <v/>
      </c>
      <c r="D58" s="44">
        <f>IF($A58="","",INDEX(거래처별!$G$8:$G$307,$M58))</f>
        <v/>
      </c>
      <c r="E58" s="44">
        <f>IF($A58="","",INDEX(거래처별!$H$8:$H$307,$M58))</f>
        <v/>
      </c>
      <c r="F58" s="44">
        <f>IF($A58="","",INDEX(거래처별!$I$8:$I$307,$M58))</f>
        <v/>
      </c>
      <c r="G58" s="44">
        <f>IF($A58="","",INDEX(거래처별!$J$8:$J$307,$M58))</f>
        <v/>
      </c>
      <c r="H58" s="44">
        <f>IF($A58="","",INDEX(거래처별!$K$8:$K$307,$M58))</f>
        <v/>
      </c>
      <c r="I58" s="45">
        <f>IF($A58="","",IF($D58=0,"",$H58/$D58))</f>
        <v/>
      </c>
      <c r="J58" s="40">
        <f>IF($A58="","",INDEX(거래처별!$L$8:$L$307,$M58))</f>
        <v/>
      </c>
      <c r="K58" s="38">
        <f>IF($A58="","",INDEX(거래처별!$P$8:$P$307,$M58))</f>
        <v/>
      </c>
      <c r="L58" s="38">
        <f>IF($A58="","",INDEX(거래처별!$M$8:$M$307,$M58))</f>
        <v/>
      </c>
      <c r="M58" s="31">
        <f>IF($A58="","",MATCH(LARGE(거래처별!$R$8:$R$307,$A58),거래처별!$R$8:$R$307,0))</f>
        <v/>
      </c>
    </row>
    <row r="59">
      <c r="A59" s="38">
        <f>IF(53&gt;COUNT(거래처별!$R$8:$R$307),"",53)</f>
        <v/>
      </c>
      <c r="B59" s="38">
        <f>IF($A59="","",INDEX(거래처별!$C$8:$C$307,$M59))</f>
        <v/>
      </c>
      <c r="C59" s="38">
        <f>IF($A59="","",INDEX(거래처별!$B$8:$B$307,$M59))</f>
        <v/>
      </c>
      <c r="D59" s="44">
        <f>IF($A59="","",INDEX(거래처별!$G$8:$G$307,$M59))</f>
        <v/>
      </c>
      <c r="E59" s="44">
        <f>IF($A59="","",INDEX(거래처별!$H$8:$H$307,$M59))</f>
        <v/>
      </c>
      <c r="F59" s="44">
        <f>IF($A59="","",INDEX(거래처별!$I$8:$I$307,$M59))</f>
        <v/>
      </c>
      <c r="G59" s="44">
        <f>IF($A59="","",INDEX(거래처별!$J$8:$J$307,$M59))</f>
        <v/>
      </c>
      <c r="H59" s="44">
        <f>IF($A59="","",INDEX(거래처별!$K$8:$K$307,$M59))</f>
        <v/>
      </c>
      <c r="I59" s="45">
        <f>IF($A59="","",IF($D59=0,"",$H59/$D59))</f>
        <v/>
      </c>
      <c r="J59" s="40">
        <f>IF($A59="","",INDEX(거래처별!$L$8:$L$307,$M59))</f>
        <v/>
      </c>
      <c r="K59" s="38">
        <f>IF($A59="","",INDEX(거래처별!$P$8:$P$307,$M59))</f>
        <v/>
      </c>
      <c r="L59" s="38">
        <f>IF($A59="","",INDEX(거래처별!$M$8:$M$307,$M59))</f>
        <v/>
      </c>
      <c r="M59" s="31">
        <f>IF($A59="","",MATCH(LARGE(거래처별!$R$8:$R$307,$A59),거래처별!$R$8:$R$307,0))</f>
        <v/>
      </c>
    </row>
    <row r="60">
      <c r="A60" s="38">
        <f>IF(54&gt;COUNT(거래처별!$R$8:$R$307),"",54)</f>
        <v/>
      </c>
      <c r="B60" s="38">
        <f>IF($A60="","",INDEX(거래처별!$C$8:$C$307,$M60))</f>
        <v/>
      </c>
      <c r="C60" s="38">
        <f>IF($A60="","",INDEX(거래처별!$B$8:$B$307,$M60))</f>
        <v/>
      </c>
      <c r="D60" s="44">
        <f>IF($A60="","",INDEX(거래처별!$G$8:$G$307,$M60))</f>
        <v/>
      </c>
      <c r="E60" s="44">
        <f>IF($A60="","",INDEX(거래처별!$H$8:$H$307,$M60))</f>
        <v/>
      </c>
      <c r="F60" s="44">
        <f>IF($A60="","",INDEX(거래처별!$I$8:$I$307,$M60))</f>
        <v/>
      </c>
      <c r="G60" s="44">
        <f>IF($A60="","",INDEX(거래처별!$J$8:$J$307,$M60))</f>
        <v/>
      </c>
      <c r="H60" s="44">
        <f>IF($A60="","",INDEX(거래처별!$K$8:$K$307,$M60))</f>
        <v/>
      </c>
      <c r="I60" s="45">
        <f>IF($A60="","",IF($D60=0,"",$H60/$D60))</f>
        <v/>
      </c>
      <c r="J60" s="40">
        <f>IF($A60="","",INDEX(거래처별!$L$8:$L$307,$M60))</f>
        <v/>
      </c>
      <c r="K60" s="38">
        <f>IF($A60="","",INDEX(거래처별!$P$8:$P$307,$M60))</f>
        <v/>
      </c>
      <c r="L60" s="38">
        <f>IF($A60="","",INDEX(거래처별!$M$8:$M$307,$M60))</f>
        <v/>
      </c>
      <c r="M60" s="31">
        <f>IF($A60="","",MATCH(LARGE(거래처별!$R$8:$R$307,$A60),거래처별!$R$8:$R$307,0))</f>
        <v/>
      </c>
    </row>
    <row r="61">
      <c r="A61" s="38">
        <f>IF(55&gt;COUNT(거래처별!$R$8:$R$307),"",55)</f>
        <v/>
      </c>
      <c r="B61" s="38">
        <f>IF($A61="","",INDEX(거래처별!$C$8:$C$307,$M61))</f>
        <v/>
      </c>
      <c r="C61" s="38">
        <f>IF($A61="","",INDEX(거래처별!$B$8:$B$307,$M61))</f>
        <v/>
      </c>
      <c r="D61" s="44">
        <f>IF($A61="","",INDEX(거래처별!$G$8:$G$307,$M61))</f>
        <v/>
      </c>
      <c r="E61" s="44">
        <f>IF($A61="","",INDEX(거래처별!$H$8:$H$307,$M61))</f>
        <v/>
      </c>
      <c r="F61" s="44">
        <f>IF($A61="","",INDEX(거래처별!$I$8:$I$307,$M61))</f>
        <v/>
      </c>
      <c r="G61" s="44">
        <f>IF($A61="","",INDEX(거래처별!$J$8:$J$307,$M61))</f>
        <v/>
      </c>
      <c r="H61" s="44">
        <f>IF($A61="","",INDEX(거래처별!$K$8:$K$307,$M61))</f>
        <v/>
      </c>
      <c r="I61" s="45">
        <f>IF($A61="","",IF($D61=0,"",$H61/$D61))</f>
        <v/>
      </c>
      <c r="J61" s="40">
        <f>IF($A61="","",INDEX(거래처별!$L$8:$L$307,$M61))</f>
        <v/>
      </c>
      <c r="K61" s="38">
        <f>IF($A61="","",INDEX(거래처별!$P$8:$P$307,$M61))</f>
        <v/>
      </c>
      <c r="L61" s="38">
        <f>IF($A61="","",INDEX(거래처별!$M$8:$M$307,$M61))</f>
        <v/>
      </c>
      <c r="M61" s="31">
        <f>IF($A61="","",MATCH(LARGE(거래처별!$R$8:$R$307,$A61),거래처별!$R$8:$R$307,0))</f>
        <v/>
      </c>
    </row>
    <row r="62">
      <c r="A62" s="38">
        <f>IF(56&gt;COUNT(거래처별!$R$8:$R$307),"",56)</f>
        <v/>
      </c>
      <c r="B62" s="38">
        <f>IF($A62="","",INDEX(거래처별!$C$8:$C$307,$M62))</f>
        <v/>
      </c>
      <c r="C62" s="38">
        <f>IF($A62="","",INDEX(거래처별!$B$8:$B$307,$M62))</f>
        <v/>
      </c>
      <c r="D62" s="44">
        <f>IF($A62="","",INDEX(거래처별!$G$8:$G$307,$M62))</f>
        <v/>
      </c>
      <c r="E62" s="44">
        <f>IF($A62="","",INDEX(거래처별!$H$8:$H$307,$M62))</f>
        <v/>
      </c>
      <c r="F62" s="44">
        <f>IF($A62="","",INDEX(거래처별!$I$8:$I$307,$M62))</f>
        <v/>
      </c>
      <c r="G62" s="44">
        <f>IF($A62="","",INDEX(거래처별!$J$8:$J$307,$M62))</f>
        <v/>
      </c>
      <c r="H62" s="44">
        <f>IF($A62="","",INDEX(거래처별!$K$8:$K$307,$M62))</f>
        <v/>
      </c>
      <c r="I62" s="45">
        <f>IF($A62="","",IF($D62=0,"",$H62/$D62))</f>
        <v/>
      </c>
      <c r="J62" s="40">
        <f>IF($A62="","",INDEX(거래처별!$L$8:$L$307,$M62))</f>
        <v/>
      </c>
      <c r="K62" s="38">
        <f>IF($A62="","",INDEX(거래처별!$P$8:$P$307,$M62))</f>
        <v/>
      </c>
      <c r="L62" s="38">
        <f>IF($A62="","",INDEX(거래처별!$M$8:$M$307,$M62))</f>
        <v/>
      </c>
      <c r="M62" s="31">
        <f>IF($A62="","",MATCH(LARGE(거래처별!$R$8:$R$307,$A62),거래처별!$R$8:$R$307,0))</f>
        <v/>
      </c>
    </row>
    <row r="63">
      <c r="A63" s="38">
        <f>IF(57&gt;COUNT(거래처별!$R$8:$R$307),"",57)</f>
        <v/>
      </c>
      <c r="B63" s="38">
        <f>IF($A63="","",INDEX(거래처별!$C$8:$C$307,$M63))</f>
        <v/>
      </c>
      <c r="C63" s="38">
        <f>IF($A63="","",INDEX(거래처별!$B$8:$B$307,$M63))</f>
        <v/>
      </c>
      <c r="D63" s="44">
        <f>IF($A63="","",INDEX(거래처별!$G$8:$G$307,$M63))</f>
        <v/>
      </c>
      <c r="E63" s="44">
        <f>IF($A63="","",INDEX(거래처별!$H$8:$H$307,$M63))</f>
        <v/>
      </c>
      <c r="F63" s="44">
        <f>IF($A63="","",INDEX(거래처별!$I$8:$I$307,$M63))</f>
        <v/>
      </c>
      <c r="G63" s="44">
        <f>IF($A63="","",INDEX(거래처별!$J$8:$J$307,$M63))</f>
        <v/>
      </c>
      <c r="H63" s="44">
        <f>IF($A63="","",INDEX(거래처별!$K$8:$K$307,$M63))</f>
        <v/>
      </c>
      <c r="I63" s="45">
        <f>IF($A63="","",IF($D63=0,"",$H63/$D63))</f>
        <v/>
      </c>
      <c r="J63" s="40">
        <f>IF($A63="","",INDEX(거래처별!$L$8:$L$307,$M63))</f>
        <v/>
      </c>
      <c r="K63" s="38">
        <f>IF($A63="","",INDEX(거래처별!$P$8:$P$307,$M63))</f>
        <v/>
      </c>
      <c r="L63" s="38">
        <f>IF($A63="","",INDEX(거래처별!$M$8:$M$307,$M63))</f>
        <v/>
      </c>
      <c r="M63" s="31">
        <f>IF($A63="","",MATCH(LARGE(거래처별!$R$8:$R$307,$A63),거래처별!$R$8:$R$307,0))</f>
        <v/>
      </c>
    </row>
    <row r="64">
      <c r="A64" s="38">
        <f>IF(58&gt;COUNT(거래처별!$R$8:$R$307),"",58)</f>
        <v/>
      </c>
      <c r="B64" s="38">
        <f>IF($A64="","",INDEX(거래처별!$C$8:$C$307,$M64))</f>
        <v/>
      </c>
      <c r="C64" s="38">
        <f>IF($A64="","",INDEX(거래처별!$B$8:$B$307,$M64))</f>
        <v/>
      </c>
      <c r="D64" s="44">
        <f>IF($A64="","",INDEX(거래처별!$G$8:$G$307,$M64))</f>
        <v/>
      </c>
      <c r="E64" s="44">
        <f>IF($A64="","",INDEX(거래처별!$H$8:$H$307,$M64))</f>
        <v/>
      </c>
      <c r="F64" s="44">
        <f>IF($A64="","",INDEX(거래처별!$I$8:$I$307,$M64))</f>
        <v/>
      </c>
      <c r="G64" s="44">
        <f>IF($A64="","",INDEX(거래처별!$J$8:$J$307,$M64))</f>
        <v/>
      </c>
      <c r="H64" s="44">
        <f>IF($A64="","",INDEX(거래처별!$K$8:$K$307,$M64))</f>
        <v/>
      </c>
      <c r="I64" s="45">
        <f>IF($A64="","",IF($D64=0,"",$H64/$D64))</f>
        <v/>
      </c>
      <c r="J64" s="40">
        <f>IF($A64="","",INDEX(거래처별!$L$8:$L$307,$M64))</f>
        <v/>
      </c>
      <c r="K64" s="38">
        <f>IF($A64="","",INDEX(거래처별!$P$8:$P$307,$M64))</f>
        <v/>
      </c>
      <c r="L64" s="38">
        <f>IF($A64="","",INDEX(거래처별!$M$8:$M$307,$M64))</f>
        <v/>
      </c>
      <c r="M64" s="31">
        <f>IF($A64="","",MATCH(LARGE(거래처별!$R$8:$R$307,$A64),거래처별!$R$8:$R$307,0))</f>
        <v/>
      </c>
    </row>
    <row r="65">
      <c r="A65" s="38">
        <f>IF(59&gt;COUNT(거래처별!$R$8:$R$307),"",59)</f>
        <v/>
      </c>
      <c r="B65" s="38">
        <f>IF($A65="","",INDEX(거래처별!$C$8:$C$307,$M65))</f>
        <v/>
      </c>
      <c r="C65" s="38">
        <f>IF($A65="","",INDEX(거래처별!$B$8:$B$307,$M65))</f>
        <v/>
      </c>
      <c r="D65" s="44">
        <f>IF($A65="","",INDEX(거래처별!$G$8:$G$307,$M65))</f>
        <v/>
      </c>
      <c r="E65" s="44">
        <f>IF($A65="","",INDEX(거래처별!$H$8:$H$307,$M65))</f>
        <v/>
      </c>
      <c r="F65" s="44">
        <f>IF($A65="","",INDEX(거래처별!$I$8:$I$307,$M65))</f>
        <v/>
      </c>
      <c r="G65" s="44">
        <f>IF($A65="","",INDEX(거래처별!$J$8:$J$307,$M65))</f>
        <v/>
      </c>
      <c r="H65" s="44">
        <f>IF($A65="","",INDEX(거래처별!$K$8:$K$307,$M65))</f>
        <v/>
      </c>
      <c r="I65" s="45">
        <f>IF($A65="","",IF($D65=0,"",$H65/$D65))</f>
        <v/>
      </c>
      <c r="J65" s="40">
        <f>IF($A65="","",INDEX(거래처별!$L$8:$L$307,$M65))</f>
        <v/>
      </c>
      <c r="K65" s="38">
        <f>IF($A65="","",INDEX(거래처별!$P$8:$P$307,$M65))</f>
        <v/>
      </c>
      <c r="L65" s="38">
        <f>IF($A65="","",INDEX(거래처별!$M$8:$M$307,$M65))</f>
        <v/>
      </c>
      <c r="M65" s="31">
        <f>IF($A65="","",MATCH(LARGE(거래처별!$R$8:$R$307,$A65),거래처별!$R$8:$R$307,0))</f>
        <v/>
      </c>
    </row>
    <row r="66">
      <c r="A66" s="38">
        <f>IF(60&gt;COUNT(거래처별!$R$8:$R$307),"",60)</f>
        <v/>
      </c>
      <c r="B66" s="38">
        <f>IF($A66="","",INDEX(거래처별!$C$8:$C$307,$M66))</f>
        <v/>
      </c>
      <c r="C66" s="38">
        <f>IF($A66="","",INDEX(거래처별!$B$8:$B$307,$M66))</f>
        <v/>
      </c>
      <c r="D66" s="44">
        <f>IF($A66="","",INDEX(거래처별!$G$8:$G$307,$M66))</f>
        <v/>
      </c>
      <c r="E66" s="44">
        <f>IF($A66="","",INDEX(거래처별!$H$8:$H$307,$M66))</f>
        <v/>
      </c>
      <c r="F66" s="44">
        <f>IF($A66="","",INDEX(거래처별!$I$8:$I$307,$M66))</f>
        <v/>
      </c>
      <c r="G66" s="44">
        <f>IF($A66="","",INDEX(거래처별!$J$8:$J$307,$M66))</f>
        <v/>
      </c>
      <c r="H66" s="44">
        <f>IF($A66="","",INDEX(거래처별!$K$8:$K$307,$M66))</f>
        <v/>
      </c>
      <c r="I66" s="45">
        <f>IF($A66="","",IF($D66=0,"",$H66/$D66))</f>
        <v/>
      </c>
      <c r="J66" s="40">
        <f>IF($A66="","",INDEX(거래처별!$L$8:$L$307,$M66))</f>
        <v/>
      </c>
      <c r="K66" s="38">
        <f>IF($A66="","",INDEX(거래처별!$P$8:$P$307,$M66))</f>
        <v/>
      </c>
      <c r="L66" s="38">
        <f>IF($A66="","",INDEX(거래처별!$M$8:$M$307,$M66))</f>
        <v/>
      </c>
      <c r="M66" s="31">
        <f>IF($A66="","",MATCH(LARGE(거래처별!$R$8:$R$307,$A66),거래처별!$R$8:$R$307,0))</f>
        <v/>
      </c>
    </row>
    <row r="67">
      <c r="A67" s="38">
        <f>IF(61&gt;COUNT(거래처별!$R$8:$R$307),"",61)</f>
        <v/>
      </c>
      <c r="B67" s="38">
        <f>IF($A67="","",INDEX(거래처별!$C$8:$C$307,$M67))</f>
        <v/>
      </c>
      <c r="C67" s="38">
        <f>IF($A67="","",INDEX(거래처별!$B$8:$B$307,$M67))</f>
        <v/>
      </c>
      <c r="D67" s="44">
        <f>IF($A67="","",INDEX(거래처별!$G$8:$G$307,$M67))</f>
        <v/>
      </c>
      <c r="E67" s="44">
        <f>IF($A67="","",INDEX(거래처별!$H$8:$H$307,$M67))</f>
        <v/>
      </c>
      <c r="F67" s="44">
        <f>IF($A67="","",INDEX(거래처별!$I$8:$I$307,$M67))</f>
        <v/>
      </c>
      <c r="G67" s="44">
        <f>IF($A67="","",INDEX(거래처별!$J$8:$J$307,$M67))</f>
        <v/>
      </c>
      <c r="H67" s="44">
        <f>IF($A67="","",INDEX(거래처별!$K$8:$K$307,$M67))</f>
        <v/>
      </c>
      <c r="I67" s="45">
        <f>IF($A67="","",IF($D67=0,"",$H67/$D67))</f>
        <v/>
      </c>
      <c r="J67" s="40">
        <f>IF($A67="","",INDEX(거래처별!$L$8:$L$307,$M67))</f>
        <v/>
      </c>
      <c r="K67" s="38">
        <f>IF($A67="","",INDEX(거래처별!$P$8:$P$307,$M67))</f>
        <v/>
      </c>
      <c r="L67" s="38">
        <f>IF($A67="","",INDEX(거래처별!$M$8:$M$307,$M67))</f>
        <v/>
      </c>
      <c r="M67" s="31">
        <f>IF($A67="","",MATCH(LARGE(거래처별!$R$8:$R$307,$A67),거래처별!$R$8:$R$307,0))</f>
        <v/>
      </c>
    </row>
    <row r="68">
      <c r="A68" s="38">
        <f>IF(62&gt;COUNT(거래처별!$R$8:$R$307),"",62)</f>
        <v/>
      </c>
      <c r="B68" s="38">
        <f>IF($A68="","",INDEX(거래처별!$C$8:$C$307,$M68))</f>
        <v/>
      </c>
      <c r="C68" s="38">
        <f>IF($A68="","",INDEX(거래처별!$B$8:$B$307,$M68))</f>
        <v/>
      </c>
      <c r="D68" s="44">
        <f>IF($A68="","",INDEX(거래처별!$G$8:$G$307,$M68))</f>
        <v/>
      </c>
      <c r="E68" s="44">
        <f>IF($A68="","",INDEX(거래처별!$H$8:$H$307,$M68))</f>
        <v/>
      </c>
      <c r="F68" s="44">
        <f>IF($A68="","",INDEX(거래처별!$I$8:$I$307,$M68))</f>
        <v/>
      </c>
      <c r="G68" s="44">
        <f>IF($A68="","",INDEX(거래처별!$J$8:$J$307,$M68))</f>
        <v/>
      </c>
      <c r="H68" s="44">
        <f>IF($A68="","",INDEX(거래처별!$K$8:$K$307,$M68))</f>
        <v/>
      </c>
      <c r="I68" s="45">
        <f>IF($A68="","",IF($D68=0,"",$H68/$D68))</f>
        <v/>
      </c>
      <c r="J68" s="40">
        <f>IF($A68="","",INDEX(거래처별!$L$8:$L$307,$M68))</f>
        <v/>
      </c>
      <c r="K68" s="38">
        <f>IF($A68="","",INDEX(거래처별!$P$8:$P$307,$M68))</f>
        <v/>
      </c>
      <c r="L68" s="38">
        <f>IF($A68="","",INDEX(거래처별!$M$8:$M$307,$M68))</f>
        <v/>
      </c>
      <c r="M68" s="31">
        <f>IF($A68="","",MATCH(LARGE(거래처별!$R$8:$R$307,$A68),거래처별!$R$8:$R$307,0))</f>
        <v/>
      </c>
    </row>
    <row r="69">
      <c r="A69" s="38">
        <f>IF(63&gt;COUNT(거래처별!$R$8:$R$307),"",63)</f>
        <v/>
      </c>
      <c r="B69" s="38">
        <f>IF($A69="","",INDEX(거래처별!$C$8:$C$307,$M69))</f>
        <v/>
      </c>
      <c r="C69" s="38">
        <f>IF($A69="","",INDEX(거래처별!$B$8:$B$307,$M69))</f>
        <v/>
      </c>
      <c r="D69" s="44">
        <f>IF($A69="","",INDEX(거래처별!$G$8:$G$307,$M69))</f>
        <v/>
      </c>
      <c r="E69" s="44">
        <f>IF($A69="","",INDEX(거래처별!$H$8:$H$307,$M69))</f>
        <v/>
      </c>
      <c r="F69" s="44">
        <f>IF($A69="","",INDEX(거래처별!$I$8:$I$307,$M69))</f>
        <v/>
      </c>
      <c r="G69" s="44">
        <f>IF($A69="","",INDEX(거래처별!$J$8:$J$307,$M69))</f>
        <v/>
      </c>
      <c r="H69" s="44">
        <f>IF($A69="","",INDEX(거래처별!$K$8:$K$307,$M69))</f>
        <v/>
      </c>
      <c r="I69" s="45">
        <f>IF($A69="","",IF($D69=0,"",$H69/$D69))</f>
        <v/>
      </c>
      <c r="J69" s="40">
        <f>IF($A69="","",INDEX(거래처별!$L$8:$L$307,$M69))</f>
        <v/>
      </c>
      <c r="K69" s="38">
        <f>IF($A69="","",INDEX(거래처별!$P$8:$P$307,$M69))</f>
        <v/>
      </c>
      <c r="L69" s="38">
        <f>IF($A69="","",INDEX(거래처별!$M$8:$M$307,$M69))</f>
        <v/>
      </c>
      <c r="M69" s="31">
        <f>IF($A69="","",MATCH(LARGE(거래처별!$R$8:$R$307,$A69),거래처별!$R$8:$R$307,0))</f>
        <v/>
      </c>
    </row>
    <row r="70">
      <c r="A70" s="38">
        <f>IF(64&gt;COUNT(거래처별!$R$8:$R$307),"",64)</f>
        <v/>
      </c>
      <c r="B70" s="38">
        <f>IF($A70="","",INDEX(거래처별!$C$8:$C$307,$M70))</f>
        <v/>
      </c>
      <c r="C70" s="38">
        <f>IF($A70="","",INDEX(거래처별!$B$8:$B$307,$M70))</f>
        <v/>
      </c>
      <c r="D70" s="44">
        <f>IF($A70="","",INDEX(거래처별!$G$8:$G$307,$M70))</f>
        <v/>
      </c>
      <c r="E70" s="44">
        <f>IF($A70="","",INDEX(거래처별!$H$8:$H$307,$M70))</f>
        <v/>
      </c>
      <c r="F70" s="44">
        <f>IF($A70="","",INDEX(거래처별!$I$8:$I$307,$M70))</f>
        <v/>
      </c>
      <c r="G70" s="44">
        <f>IF($A70="","",INDEX(거래처별!$J$8:$J$307,$M70))</f>
        <v/>
      </c>
      <c r="H70" s="44">
        <f>IF($A70="","",INDEX(거래처별!$K$8:$K$307,$M70))</f>
        <v/>
      </c>
      <c r="I70" s="45">
        <f>IF($A70="","",IF($D70=0,"",$H70/$D70))</f>
        <v/>
      </c>
      <c r="J70" s="40">
        <f>IF($A70="","",INDEX(거래처별!$L$8:$L$307,$M70))</f>
        <v/>
      </c>
      <c r="K70" s="38">
        <f>IF($A70="","",INDEX(거래처별!$P$8:$P$307,$M70))</f>
        <v/>
      </c>
      <c r="L70" s="38">
        <f>IF($A70="","",INDEX(거래처별!$M$8:$M$307,$M70))</f>
        <v/>
      </c>
      <c r="M70" s="31">
        <f>IF($A70="","",MATCH(LARGE(거래처별!$R$8:$R$307,$A70),거래처별!$R$8:$R$307,0))</f>
        <v/>
      </c>
    </row>
    <row r="71">
      <c r="A71" s="38">
        <f>IF(65&gt;COUNT(거래처별!$R$8:$R$307),"",65)</f>
        <v/>
      </c>
      <c r="B71" s="38">
        <f>IF($A71="","",INDEX(거래처별!$C$8:$C$307,$M71))</f>
        <v/>
      </c>
      <c r="C71" s="38">
        <f>IF($A71="","",INDEX(거래처별!$B$8:$B$307,$M71))</f>
        <v/>
      </c>
      <c r="D71" s="44">
        <f>IF($A71="","",INDEX(거래처별!$G$8:$G$307,$M71))</f>
        <v/>
      </c>
      <c r="E71" s="44">
        <f>IF($A71="","",INDEX(거래처별!$H$8:$H$307,$M71))</f>
        <v/>
      </c>
      <c r="F71" s="44">
        <f>IF($A71="","",INDEX(거래처별!$I$8:$I$307,$M71))</f>
        <v/>
      </c>
      <c r="G71" s="44">
        <f>IF($A71="","",INDEX(거래처별!$J$8:$J$307,$M71))</f>
        <v/>
      </c>
      <c r="H71" s="44">
        <f>IF($A71="","",INDEX(거래처별!$K$8:$K$307,$M71))</f>
        <v/>
      </c>
      <c r="I71" s="45">
        <f>IF($A71="","",IF($D71=0,"",$H71/$D71))</f>
        <v/>
      </c>
      <c r="J71" s="40">
        <f>IF($A71="","",INDEX(거래처별!$L$8:$L$307,$M71))</f>
        <v/>
      </c>
      <c r="K71" s="38">
        <f>IF($A71="","",INDEX(거래처별!$P$8:$P$307,$M71))</f>
        <v/>
      </c>
      <c r="L71" s="38">
        <f>IF($A71="","",INDEX(거래처별!$M$8:$M$307,$M71))</f>
        <v/>
      </c>
      <c r="M71" s="31">
        <f>IF($A71="","",MATCH(LARGE(거래처별!$R$8:$R$307,$A71),거래처별!$R$8:$R$307,0))</f>
        <v/>
      </c>
    </row>
    <row r="72">
      <c r="A72" s="38">
        <f>IF(66&gt;COUNT(거래처별!$R$8:$R$307),"",66)</f>
        <v/>
      </c>
      <c r="B72" s="38">
        <f>IF($A72="","",INDEX(거래처별!$C$8:$C$307,$M72))</f>
        <v/>
      </c>
      <c r="C72" s="38">
        <f>IF($A72="","",INDEX(거래처별!$B$8:$B$307,$M72))</f>
        <v/>
      </c>
      <c r="D72" s="44">
        <f>IF($A72="","",INDEX(거래처별!$G$8:$G$307,$M72))</f>
        <v/>
      </c>
      <c r="E72" s="44">
        <f>IF($A72="","",INDEX(거래처별!$H$8:$H$307,$M72))</f>
        <v/>
      </c>
      <c r="F72" s="44">
        <f>IF($A72="","",INDEX(거래처별!$I$8:$I$307,$M72))</f>
        <v/>
      </c>
      <c r="G72" s="44">
        <f>IF($A72="","",INDEX(거래처별!$J$8:$J$307,$M72))</f>
        <v/>
      </c>
      <c r="H72" s="44">
        <f>IF($A72="","",INDEX(거래처별!$K$8:$K$307,$M72))</f>
        <v/>
      </c>
      <c r="I72" s="45">
        <f>IF($A72="","",IF($D72=0,"",$H72/$D72))</f>
        <v/>
      </c>
      <c r="J72" s="40">
        <f>IF($A72="","",INDEX(거래처별!$L$8:$L$307,$M72))</f>
        <v/>
      </c>
      <c r="K72" s="38">
        <f>IF($A72="","",INDEX(거래처별!$P$8:$P$307,$M72))</f>
        <v/>
      </c>
      <c r="L72" s="38">
        <f>IF($A72="","",INDEX(거래처별!$M$8:$M$307,$M72))</f>
        <v/>
      </c>
      <c r="M72" s="31">
        <f>IF($A72="","",MATCH(LARGE(거래처별!$R$8:$R$307,$A72),거래처별!$R$8:$R$307,0))</f>
        <v/>
      </c>
    </row>
    <row r="73">
      <c r="A73" s="38">
        <f>IF(67&gt;COUNT(거래처별!$R$8:$R$307),"",67)</f>
        <v/>
      </c>
      <c r="B73" s="38">
        <f>IF($A73="","",INDEX(거래처별!$C$8:$C$307,$M73))</f>
        <v/>
      </c>
      <c r="C73" s="38">
        <f>IF($A73="","",INDEX(거래처별!$B$8:$B$307,$M73))</f>
        <v/>
      </c>
      <c r="D73" s="44">
        <f>IF($A73="","",INDEX(거래처별!$G$8:$G$307,$M73))</f>
        <v/>
      </c>
      <c r="E73" s="44">
        <f>IF($A73="","",INDEX(거래처별!$H$8:$H$307,$M73))</f>
        <v/>
      </c>
      <c r="F73" s="44">
        <f>IF($A73="","",INDEX(거래처별!$I$8:$I$307,$M73))</f>
        <v/>
      </c>
      <c r="G73" s="44">
        <f>IF($A73="","",INDEX(거래처별!$J$8:$J$307,$M73))</f>
        <v/>
      </c>
      <c r="H73" s="44">
        <f>IF($A73="","",INDEX(거래처별!$K$8:$K$307,$M73))</f>
        <v/>
      </c>
      <c r="I73" s="45">
        <f>IF($A73="","",IF($D73=0,"",$H73/$D73))</f>
        <v/>
      </c>
      <c r="J73" s="40">
        <f>IF($A73="","",INDEX(거래처별!$L$8:$L$307,$M73))</f>
        <v/>
      </c>
      <c r="K73" s="38">
        <f>IF($A73="","",INDEX(거래처별!$P$8:$P$307,$M73))</f>
        <v/>
      </c>
      <c r="L73" s="38">
        <f>IF($A73="","",INDEX(거래처별!$M$8:$M$307,$M73))</f>
        <v/>
      </c>
      <c r="M73" s="31">
        <f>IF($A73="","",MATCH(LARGE(거래처별!$R$8:$R$307,$A73),거래처별!$R$8:$R$307,0))</f>
        <v/>
      </c>
    </row>
    <row r="74">
      <c r="A74" s="38">
        <f>IF(68&gt;COUNT(거래처별!$R$8:$R$307),"",68)</f>
        <v/>
      </c>
      <c r="B74" s="38">
        <f>IF($A74="","",INDEX(거래처별!$C$8:$C$307,$M74))</f>
        <v/>
      </c>
      <c r="C74" s="38">
        <f>IF($A74="","",INDEX(거래처별!$B$8:$B$307,$M74))</f>
        <v/>
      </c>
      <c r="D74" s="44">
        <f>IF($A74="","",INDEX(거래처별!$G$8:$G$307,$M74))</f>
        <v/>
      </c>
      <c r="E74" s="44">
        <f>IF($A74="","",INDEX(거래처별!$H$8:$H$307,$M74))</f>
        <v/>
      </c>
      <c r="F74" s="44">
        <f>IF($A74="","",INDEX(거래처별!$I$8:$I$307,$M74))</f>
        <v/>
      </c>
      <c r="G74" s="44">
        <f>IF($A74="","",INDEX(거래처별!$J$8:$J$307,$M74))</f>
        <v/>
      </c>
      <c r="H74" s="44">
        <f>IF($A74="","",INDEX(거래처별!$K$8:$K$307,$M74))</f>
        <v/>
      </c>
      <c r="I74" s="45">
        <f>IF($A74="","",IF($D74=0,"",$H74/$D74))</f>
        <v/>
      </c>
      <c r="J74" s="40">
        <f>IF($A74="","",INDEX(거래처별!$L$8:$L$307,$M74))</f>
        <v/>
      </c>
      <c r="K74" s="38">
        <f>IF($A74="","",INDEX(거래처별!$P$8:$P$307,$M74))</f>
        <v/>
      </c>
      <c r="L74" s="38">
        <f>IF($A74="","",INDEX(거래처별!$M$8:$M$307,$M74))</f>
        <v/>
      </c>
      <c r="M74" s="31">
        <f>IF($A74="","",MATCH(LARGE(거래처별!$R$8:$R$307,$A74),거래처별!$R$8:$R$307,0))</f>
        <v/>
      </c>
    </row>
    <row r="75">
      <c r="A75" s="38">
        <f>IF(69&gt;COUNT(거래처별!$R$8:$R$307),"",69)</f>
        <v/>
      </c>
      <c r="B75" s="38">
        <f>IF($A75="","",INDEX(거래처별!$C$8:$C$307,$M75))</f>
        <v/>
      </c>
      <c r="C75" s="38">
        <f>IF($A75="","",INDEX(거래처별!$B$8:$B$307,$M75))</f>
        <v/>
      </c>
      <c r="D75" s="44">
        <f>IF($A75="","",INDEX(거래처별!$G$8:$G$307,$M75))</f>
        <v/>
      </c>
      <c r="E75" s="44">
        <f>IF($A75="","",INDEX(거래처별!$H$8:$H$307,$M75))</f>
        <v/>
      </c>
      <c r="F75" s="44">
        <f>IF($A75="","",INDEX(거래처별!$I$8:$I$307,$M75))</f>
        <v/>
      </c>
      <c r="G75" s="44">
        <f>IF($A75="","",INDEX(거래처별!$J$8:$J$307,$M75))</f>
        <v/>
      </c>
      <c r="H75" s="44">
        <f>IF($A75="","",INDEX(거래처별!$K$8:$K$307,$M75))</f>
        <v/>
      </c>
      <c r="I75" s="45">
        <f>IF($A75="","",IF($D75=0,"",$H75/$D75))</f>
        <v/>
      </c>
      <c r="J75" s="40">
        <f>IF($A75="","",INDEX(거래처별!$L$8:$L$307,$M75))</f>
        <v/>
      </c>
      <c r="K75" s="38">
        <f>IF($A75="","",INDEX(거래처별!$P$8:$P$307,$M75))</f>
        <v/>
      </c>
      <c r="L75" s="38">
        <f>IF($A75="","",INDEX(거래처별!$M$8:$M$307,$M75))</f>
        <v/>
      </c>
      <c r="M75" s="31">
        <f>IF($A75="","",MATCH(LARGE(거래처별!$R$8:$R$307,$A75),거래처별!$R$8:$R$307,0))</f>
        <v/>
      </c>
    </row>
    <row r="76">
      <c r="A76" s="38">
        <f>IF(70&gt;COUNT(거래처별!$R$8:$R$307),"",70)</f>
        <v/>
      </c>
      <c r="B76" s="38">
        <f>IF($A76="","",INDEX(거래처별!$C$8:$C$307,$M76))</f>
        <v/>
      </c>
      <c r="C76" s="38">
        <f>IF($A76="","",INDEX(거래처별!$B$8:$B$307,$M76))</f>
        <v/>
      </c>
      <c r="D76" s="44">
        <f>IF($A76="","",INDEX(거래처별!$G$8:$G$307,$M76))</f>
        <v/>
      </c>
      <c r="E76" s="44">
        <f>IF($A76="","",INDEX(거래처별!$H$8:$H$307,$M76))</f>
        <v/>
      </c>
      <c r="F76" s="44">
        <f>IF($A76="","",INDEX(거래처별!$I$8:$I$307,$M76))</f>
        <v/>
      </c>
      <c r="G76" s="44">
        <f>IF($A76="","",INDEX(거래처별!$J$8:$J$307,$M76))</f>
        <v/>
      </c>
      <c r="H76" s="44">
        <f>IF($A76="","",INDEX(거래처별!$K$8:$K$307,$M76))</f>
        <v/>
      </c>
      <c r="I76" s="45">
        <f>IF($A76="","",IF($D76=0,"",$H76/$D76))</f>
        <v/>
      </c>
      <c r="J76" s="40">
        <f>IF($A76="","",INDEX(거래처별!$L$8:$L$307,$M76))</f>
        <v/>
      </c>
      <c r="K76" s="38">
        <f>IF($A76="","",INDEX(거래처별!$P$8:$P$307,$M76))</f>
        <v/>
      </c>
      <c r="L76" s="38">
        <f>IF($A76="","",INDEX(거래처별!$M$8:$M$307,$M76))</f>
        <v/>
      </c>
      <c r="M76" s="31">
        <f>IF($A76="","",MATCH(LARGE(거래처별!$R$8:$R$307,$A76),거래처별!$R$8:$R$307,0))</f>
        <v/>
      </c>
    </row>
    <row r="77">
      <c r="A77" s="38">
        <f>IF(71&gt;COUNT(거래처별!$R$8:$R$307),"",71)</f>
        <v/>
      </c>
      <c r="B77" s="38">
        <f>IF($A77="","",INDEX(거래처별!$C$8:$C$307,$M77))</f>
        <v/>
      </c>
      <c r="C77" s="38">
        <f>IF($A77="","",INDEX(거래처별!$B$8:$B$307,$M77))</f>
        <v/>
      </c>
      <c r="D77" s="44">
        <f>IF($A77="","",INDEX(거래처별!$G$8:$G$307,$M77))</f>
        <v/>
      </c>
      <c r="E77" s="44">
        <f>IF($A77="","",INDEX(거래처별!$H$8:$H$307,$M77))</f>
        <v/>
      </c>
      <c r="F77" s="44">
        <f>IF($A77="","",INDEX(거래처별!$I$8:$I$307,$M77))</f>
        <v/>
      </c>
      <c r="G77" s="44">
        <f>IF($A77="","",INDEX(거래처별!$J$8:$J$307,$M77))</f>
        <v/>
      </c>
      <c r="H77" s="44">
        <f>IF($A77="","",INDEX(거래처별!$K$8:$K$307,$M77))</f>
        <v/>
      </c>
      <c r="I77" s="45">
        <f>IF($A77="","",IF($D77=0,"",$H77/$D77))</f>
        <v/>
      </c>
      <c r="J77" s="40">
        <f>IF($A77="","",INDEX(거래처별!$L$8:$L$307,$M77))</f>
        <v/>
      </c>
      <c r="K77" s="38">
        <f>IF($A77="","",INDEX(거래처별!$P$8:$P$307,$M77))</f>
        <v/>
      </c>
      <c r="L77" s="38">
        <f>IF($A77="","",INDEX(거래처별!$M$8:$M$307,$M77))</f>
        <v/>
      </c>
      <c r="M77" s="31">
        <f>IF($A77="","",MATCH(LARGE(거래처별!$R$8:$R$307,$A77),거래처별!$R$8:$R$307,0))</f>
        <v/>
      </c>
    </row>
    <row r="78">
      <c r="A78" s="38">
        <f>IF(72&gt;COUNT(거래처별!$R$8:$R$307),"",72)</f>
        <v/>
      </c>
      <c r="B78" s="38">
        <f>IF($A78="","",INDEX(거래처별!$C$8:$C$307,$M78))</f>
        <v/>
      </c>
      <c r="C78" s="38">
        <f>IF($A78="","",INDEX(거래처별!$B$8:$B$307,$M78))</f>
        <v/>
      </c>
      <c r="D78" s="44">
        <f>IF($A78="","",INDEX(거래처별!$G$8:$G$307,$M78))</f>
        <v/>
      </c>
      <c r="E78" s="44">
        <f>IF($A78="","",INDEX(거래처별!$H$8:$H$307,$M78))</f>
        <v/>
      </c>
      <c r="F78" s="44">
        <f>IF($A78="","",INDEX(거래처별!$I$8:$I$307,$M78))</f>
        <v/>
      </c>
      <c r="G78" s="44">
        <f>IF($A78="","",INDEX(거래처별!$J$8:$J$307,$M78))</f>
        <v/>
      </c>
      <c r="H78" s="44">
        <f>IF($A78="","",INDEX(거래처별!$K$8:$K$307,$M78))</f>
        <v/>
      </c>
      <c r="I78" s="45">
        <f>IF($A78="","",IF($D78=0,"",$H78/$D78))</f>
        <v/>
      </c>
      <c r="J78" s="40">
        <f>IF($A78="","",INDEX(거래처별!$L$8:$L$307,$M78))</f>
        <v/>
      </c>
      <c r="K78" s="38">
        <f>IF($A78="","",INDEX(거래처별!$P$8:$P$307,$M78))</f>
        <v/>
      </c>
      <c r="L78" s="38">
        <f>IF($A78="","",INDEX(거래처별!$M$8:$M$307,$M78))</f>
        <v/>
      </c>
      <c r="M78" s="31">
        <f>IF($A78="","",MATCH(LARGE(거래처별!$R$8:$R$307,$A78),거래처별!$R$8:$R$307,0))</f>
        <v/>
      </c>
    </row>
    <row r="79">
      <c r="A79" s="38">
        <f>IF(73&gt;COUNT(거래처별!$R$8:$R$307),"",73)</f>
        <v/>
      </c>
      <c r="B79" s="38">
        <f>IF($A79="","",INDEX(거래처별!$C$8:$C$307,$M79))</f>
        <v/>
      </c>
      <c r="C79" s="38">
        <f>IF($A79="","",INDEX(거래처별!$B$8:$B$307,$M79))</f>
        <v/>
      </c>
      <c r="D79" s="44">
        <f>IF($A79="","",INDEX(거래처별!$G$8:$G$307,$M79))</f>
        <v/>
      </c>
      <c r="E79" s="44">
        <f>IF($A79="","",INDEX(거래처별!$H$8:$H$307,$M79))</f>
        <v/>
      </c>
      <c r="F79" s="44">
        <f>IF($A79="","",INDEX(거래처별!$I$8:$I$307,$M79))</f>
        <v/>
      </c>
      <c r="G79" s="44">
        <f>IF($A79="","",INDEX(거래처별!$J$8:$J$307,$M79))</f>
        <v/>
      </c>
      <c r="H79" s="44">
        <f>IF($A79="","",INDEX(거래처별!$K$8:$K$307,$M79))</f>
        <v/>
      </c>
      <c r="I79" s="45">
        <f>IF($A79="","",IF($D79=0,"",$H79/$D79))</f>
        <v/>
      </c>
      <c r="J79" s="40">
        <f>IF($A79="","",INDEX(거래처별!$L$8:$L$307,$M79))</f>
        <v/>
      </c>
      <c r="K79" s="38">
        <f>IF($A79="","",INDEX(거래처별!$P$8:$P$307,$M79))</f>
        <v/>
      </c>
      <c r="L79" s="38">
        <f>IF($A79="","",INDEX(거래처별!$M$8:$M$307,$M79))</f>
        <v/>
      </c>
      <c r="M79" s="31">
        <f>IF($A79="","",MATCH(LARGE(거래처별!$R$8:$R$307,$A79),거래처별!$R$8:$R$307,0))</f>
        <v/>
      </c>
    </row>
    <row r="80">
      <c r="A80" s="38">
        <f>IF(74&gt;COUNT(거래처별!$R$8:$R$307),"",74)</f>
        <v/>
      </c>
      <c r="B80" s="38">
        <f>IF($A80="","",INDEX(거래처별!$C$8:$C$307,$M80))</f>
        <v/>
      </c>
      <c r="C80" s="38">
        <f>IF($A80="","",INDEX(거래처별!$B$8:$B$307,$M80))</f>
        <v/>
      </c>
      <c r="D80" s="44">
        <f>IF($A80="","",INDEX(거래처별!$G$8:$G$307,$M80))</f>
        <v/>
      </c>
      <c r="E80" s="44">
        <f>IF($A80="","",INDEX(거래처별!$H$8:$H$307,$M80))</f>
        <v/>
      </c>
      <c r="F80" s="44">
        <f>IF($A80="","",INDEX(거래처별!$I$8:$I$307,$M80))</f>
        <v/>
      </c>
      <c r="G80" s="44">
        <f>IF($A80="","",INDEX(거래처별!$J$8:$J$307,$M80))</f>
        <v/>
      </c>
      <c r="H80" s="44">
        <f>IF($A80="","",INDEX(거래처별!$K$8:$K$307,$M80))</f>
        <v/>
      </c>
      <c r="I80" s="45">
        <f>IF($A80="","",IF($D80=0,"",$H80/$D80))</f>
        <v/>
      </c>
      <c r="J80" s="40">
        <f>IF($A80="","",INDEX(거래처별!$L$8:$L$307,$M80))</f>
        <v/>
      </c>
      <c r="K80" s="38">
        <f>IF($A80="","",INDEX(거래처별!$P$8:$P$307,$M80))</f>
        <v/>
      </c>
      <c r="L80" s="38">
        <f>IF($A80="","",INDEX(거래처별!$M$8:$M$307,$M80))</f>
        <v/>
      </c>
      <c r="M80" s="31">
        <f>IF($A80="","",MATCH(LARGE(거래처별!$R$8:$R$307,$A80),거래처별!$R$8:$R$307,0))</f>
        <v/>
      </c>
    </row>
    <row r="81">
      <c r="A81" s="38">
        <f>IF(75&gt;COUNT(거래처별!$R$8:$R$307),"",75)</f>
        <v/>
      </c>
      <c r="B81" s="38">
        <f>IF($A81="","",INDEX(거래처별!$C$8:$C$307,$M81))</f>
        <v/>
      </c>
      <c r="C81" s="38">
        <f>IF($A81="","",INDEX(거래처별!$B$8:$B$307,$M81))</f>
        <v/>
      </c>
      <c r="D81" s="44">
        <f>IF($A81="","",INDEX(거래처별!$G$8:$G$307,$M81))</f>
        <v/>
      </c>
      <c r="E81" s="44">
        <f>IF($A81="","",INDEX(거래처별!$H$8:$H$307,$M81))</f>
        <v/>
      </c>
      <c r="F81" s="44">
        <f>IF($A81="","",INDEX(거래처별!$I$8:$I$307,$M81))</f>
        <v/>
      </c>
      <c r="G81" s="44">
        <f>IF($A81="","",INDEX(거래처별!$J$8:$J$307,$M81))</f>
        <v/>
      </c>
      <c r="H81" s="44">
        <f>IF($A81="","",INDEX(거래처별!$K$8:$K$307,$M81))</f>
        <v/>
      </c>
      <c r="I81" s="45">
        <f>IF($A81="","",IF($D81=0,"",$H81/$D81))</f>
        <v/>
      </c>
      <c r="J81" s="40">
        <f>IF($A81="","",INDEX(거래처별!$L$8:$L$307,$M81))</f>
        <v/>
      </c>
      <c r="K81" s="38">
        <f>IF($A81="","",INDEX(거래처별!$P$8:$P$307,$M81))</f>
        <v/>
      </c>
      <c r="L81" s="38">
        <f>IF($A81="","",INDEX(거래처별!$M$8:$M$307,$M81))</f>
        <v/>
      </c>
      <c r="M81" s="31">
        <f>IF($A81="","",MATCH(LARGE(거래처별!$R$8:$R$307,$A81),거래처별!$R$8:$R$307,0))</f>
        <v/>
      </c>
    </row>
    <row r="82">
      <c r="A82" s="38">
        <f>IF(76&gt;COUNT(거래처별!$R$8:$R$307),"",76)</f>
        <v/>
      </c>
      <c r="B82" s="38">
        <f>IF($A82="","",INDEX(거래처별!$C$8:$C$307,$M82))</f>
        <v/>
      </c>
      <c r="C82" s="38">
        <f>IF($A82="","",INDEX(거래처별!$B$8:$B$307,$M82))</f>
        <v/>
      </c>
      <c r="D82" s="44">
        <f>IF($A82="","",INDEX(거래처별!$G$8:$G$307,$M82))</f>
        <v/>
      </c>
      <c r="E82" s="44">
        <f>IF($A82="","",INDEX(거래처별!$H$8:$H$307,$M82))</f>
        <v/>
      </c>
      <c r="F82" s="44">
        <f>IF($A82="","",INDEX(거래처별!$I$8:$I$307,$M82))</f>
        <v/>
      </c>
      <c r="G82" s="44">
        <f>IF($A82="","",INDEX(거래처별!$J$8:$J$307,$M82))</f>
        <v/>
      </c>
      <c r="H82" s="44">
        <f>IF($A82="","",INDEX(거래처별!$K$8:$K$307,$M82))</f>
        <v/>
      </c>
      <c r="I82" s="45">
        <f>IF($A82="","",IF($D82=0,"",$H82/$D82))</f>
        <v/>
      </c>
      <c r="J82" s="40">
        <f>IF($A82="","",INDEX(거래처별!$L$8:$L$307,$M82))</f>
        <v/>
      </c>
      <c r="K82" s="38">
        <f>IF($A82="","",INDEX(거래처별!$P$8:$P$307,$M82))</f>
        <v/>
      </c>
      <c r="L82" s="38">
        <f>IF($A82="","",INDEX(거래처별!$M$8:$M$307,$M82))</f>
        <v/>
      </c>
      <c r="M82" s="31">
        <f>IF($A82="","",MATCH(LARGE(거래처별!$R$8:$R$307,$A82),거래처별!$R$8:$R$307,0))</f>
        <v/>
      </c>
    </row>
    <row r="83">
      <c r="A83" s="38">
        <f>IF(77&gt;COUNT(거래처별!$R$8:$R$307),"",77)</f>
        <v/>
      </c>
      <c r="B83" s="38">
        <f>IF($A83="","",INDEX(거래처별!$C$8:$C$307,$M83))</f>
        <v/>
      </c>
      <c r="C83" s="38">
        <f>IF($A83="","",INDEX(거래처별!$B$8:$B$307,$M83))</f>
        <v/>
      </c>
      <c r="D83" s="44">
        <f>IF($A83="","",INDEX(거래처별!$G$8:$G$307,$M83))</f>
        <v/>
      </c>
      <c r="E83" s="44">
        <f>IF($A83="","",INDEX(거래처별!$H$8:$H$307,$M83))</f>
        <v/>
      </c>
      <c r="F83" s="44">
        <f>IF($A83="","",INDEX(거래처별!$I$8:$I$307,$M83))</f>
        <v/>
      </c>
      <c r="G83" s="44">
        <f>IF($A83="","",INDEX(거래처별!$J$8:$J$307,$M83))</f>
        <v/>
      </c>
      <c r="H83" s="44">
        <f>IF($A83="","",INDEX(거래처별!$K$8:$K$307,$M83))</f>
        <v/>
      </c>
      <c r="I83" s="45">
        <f>IF($A83="","",IF($D83=0,"",$H83/$D83))</f>
        <v/>
      </c>
      <c r="J83" s="40">
        <f>IF($A83="","",INDEX(거래처별!$L$8:$L$307,$M83))</f>
        <v/>
      </c>
      <c r="K83" s="38">
        <f>IF($A83="","",INDEX(거래처별!$P$8:$P$307,$M83))</f>
        <v/>
      </c>
      <c r="L83" s="38">
        <f>IF($A83="","",INDEX(거래처별!$M$8:$M$307,$M83))</f>
        <v/>
      </c>
      <c r="M83" s="31">
        <f>IF($A83="","",MATCH(LARGE(거래처별!$R$8:$R$307,$A83),거래처별!$R$8:$R$307,0))</f>
        <v/>
      </c>
    </row>
    <row r="84">
      <c r="A84" s="38">
        <f>IF(78&gt;COUNT(거래처별!$R$8:$R$307),"",78)</f>
        <v/>
      </c>
      <c r="B84" s="38">
        <f>IF($A84="","",INDEX(거래처별!$C$8:$C$307,$M84))</f>
        <v/>
      </c>
      <c r="C84" s="38">
        <f>IF($A84="","",INDEX(거래처별!$B$8:$B$307,$M84))</f>
        <v/>
      </c>
      <c r="D84" s="44">
        <f>IF($A84="","",INDEX(거래처별!$G$8:$G$307,$M84))</f>
        <v/>
      </c>
      <c r="E84" s="44">
        <f>IF($A84="","",INDEX(거래처별!$H$8:$H$307,$M84))</f>
        <v/>
      </c>
      <c r="F84" s="44">
        <f>IF($A84="","",INDEX(거래처별!$I$8:$I$307,$M84))</f>
        <v/>
      </c>
      <c r="G84" s="44">
        <f>IF($A84="","",INDEX(거래처별!$J$8:$J$307,$M84))</f>
        <v/>
      </c>
      <c r="H84" s="44">
        <f>IF($A84="","",INDEX(거래처별!$K$8:$K$307,$M84))</f>
        <v/>
      </c>
      <c r="I84" s="45">
        <f>IF($A84="","",IF($D84=0,"",$H84/$D84))</f>
        <v/>
      </c>
      <c r="J84" s="40">
        <f>IF($A84="","",INDEX(거래처별!$L$8:$L$307,$M84))</f>
        <v/>
      </c>
      <c r="K84" s="38">
        <f>IF($A84="","",INDEX(거래처별!$P$8:$P$307,$M84))</f>
        <v/>
      </c>
      <c r="L84" s="38">
        <f>IF($A84="","",INDEX(거래처별!$M$8:$M$307,$M84))</f>
        <v/>
      </c>
      <c r="M84" s="31">
        <f>IF($A84="","",MATCH(LARGE(거래처별!$R$8:$R$307,$A84),거래처별!$R$8:$R$307,0))</f>
        <v/>
      </c>
    </row>
    <row r="85">
      <c r="A85" s="38">
        <f>IF(79&gt;COUNT(거래처별!$R$8:$R$307),"",79)</f>
        <v/>
      </c>
      <c r="B85" s="38">
        <f>IF($A85="","",INDEX(거래처별!$C$8:$C$307,$M85))</f>
        <v/>
      </c>
      <c r="C85" s="38">
        <f>IF($A85="","",INDEX(거래처별!$B$8:$B$307,$M85))</f>
        <v/>
      </c>
      <c r="D85" s="44">
        <f>IF($A85="","",INDEX(거래처별!$G$8:$G$307,$M85))</f>
        <v/>
      </c>
      <c r="E85" s="44">
        <f>IF($A85="","",INDEX(거래처별!$H$8:$H$307,$M85))</f>
        <v/>
      </c>
      <c r="F85" s="44">
        <f>IF($A85="","",INDEX(거래처별!$I$8:$I$307,$M85))</f>
        <v/>
      </c>
      <c r="G85" s="44">
        <f>IF($A85="","",INDEX(거래처별!$J$8:$J$307,$M85))</f>
        <v/>
      </c>
      <c r="H85" s="44">
        <f>IF($A85="","",INDEX(거래처별!$K$8:$K$307,$M85))</f>
        <v/>
      </c>
      <c r="I85" s="45">
        <f>IF($A85="","",IF($D85=0,"",$H85/$D85))</f>
        <v/>
      </c>
      <c r="J85" s="40">
        <f>IF($A85="","",INDEX(거래처별!$L$8:$L$307,$M85))</f>
        <v/>
      </c>
      <c r="K85" s="38">
        <f>IF($A85="","",INDEX(거래처별!$P$8:$P$307,$M85))</f>
        <v/>
      </c>
      <c r="L85" s="38">
        <f>IF($A85="","",INDEX(거래처별!$M$8:$M$307,$M85))</f>
        <v/>
      </c>
      <c r="M85" s="31">
        <f>IF($A85="","",MATCH(LARGE(거래처별!$R$8:$R$307,$A85),거래처별!$R$8:$R$307,0))</f>
        <v/>
      </c>
    </row>
    <row r="86">
      <c r="A86" s="38">
        <f>IF(80&gt;COUNT(거래처별!$R$8:$R$307),"",80)</f>
        <v/>
      </c>
      <c r="B86" s="38">
        <f>IF($A86="","",INDEX(거래처별!$C$8:$C$307,$M86))</f>
        <v/>
      </c>
      <c r="C86" s="38">
        <f>IF($A86="","",INDEX(거래처별!$B$8:$B$307,$M86))</f>
        <v/>
      </c>
      <c r="D86" s="44">
        <f>IF($A86="","",INDEX(거래처별!$G$8:$G$307,$M86))</f>
        <v/>
      </c>
      <c r="E86" s="44">
        <f>IF($A86="","",INDEX(거래처별!$H$8:$H$307,$M86))</f>
        <v/>
      </c>
      <c r="F86" s="44">
        <f>IF($A86="","",INDEX(거래처별!$I$8:$I$307,$M86))</f>
        <v/>
      </c>
      <c r="G86" s="44">
        <f>IF($A86="","",INDEX(거래처별!$J$8:$J$307,$M86))</f>
        <v/>
      </c>
      <c r="H86" s="44">
        <f>IF($A86="","",INDEX(거래처별!$K$8:$K$307,$M86))</f>
        <v/>
      </c>
      <c r="I86" s="45">
        <f>IF($A86="","",IF($D86=0,"",$H86/$D86))</f>
        <v/>
      </c>
      <c r="J86" s="40">
        <f>IF($A86="","",INDEX(거래처별!$L$8:$L$307,$M86))</f>
        <v/>
      </c>
      <c r="K86" s="38">
        <f>IF($A86="","",INDEX(거래처별!$P$8:$P$307,$M86))</f>
        <v/>
      </c>
      <c r="L86" s="38">
        <f>IF($A86="","",INDEX(거래처별!$M$8:$M$307,$M86))</f>
        <v/>
      </c>
      <c r="M86" s="31">
        <f>IF($A86="","",MATCH(LARGE(거래처별!$R$8:$R$307,$A86),거래처별!$R$8:$R$307,0))</f>
        <v/>
      </c>
    </row>
    <row r="87">
      <c r="A87" s="38">
        <f>IF(81&gt;COUNT(거래처별!$R$8:$R$307),"",81)</f>
        <v/>
      </c>
      <c r="B87" s="38">
        <f>IF($A87="","",INDEX(거래처별!$C$8:$C$307,$M87))</f>
        <v/>
      </c>
      <c r="C87" s="38">
        <f>IF($A87="","",INDEX(거래처별!$B$8:$B$307,$M87))</f>
        <v/>
      </c>
      <c r="D87" s="44">
        <f>IF($A87="","",INDEX(거래처별!$G$8:$G$307,$M87))</f>
        <v/>
      </c>
      <c r="E87" s="44">
        <f>IF($A87="","",INDEX(거래처별!$H$8:$H$307,$M87))</f>
        <v/>
      </c>
      <c r="F87" s="44">
        <f>IF($A87="","",INDEX(거래처별!$I$8:$I$307,$M87))</f>
        <v/>
      </c>
      <c r="G87" s="44">
        <f>IF($A87="","",INDEX(거래처별!$J$8:$J$307,$M87))</f>
        <v/>
      </c>
      <c r="H87" s="44">
        <f>IF($A87="","",INDEX(거래처별!$K$8:$K$307,$M87))</f>
        <v/>
      </c>
      <c r="I87" s="45">
        <f>IF($A87="","",IF($D87=0,"",$H87/$D87))</f>
        <v/>
      </c>
      <c r="J87" s="40">
        <f>IF($A87="","",INDEX(거래처별!$L$8:$L$307,$M87))</f>
        <v/>
      </c>
      <c r="K87" s="38">
        <f>IF($A87="","",INDEX(거래처별!$P$8:$P$307,$M87))</f>
        <v/>
      </c>
      <c r="L87" s="38">
        <f>IF($A87="","",INDEX(거래처별!$M$8:$M$307,$M87))</f>
        <v/>
      </c>
      <c r="M87" s="31">
        <f>IF($A87="","",MATCH(LARGE(거래처별!$R$8:$R$307,$A87),거래처별!$R$8:$R$307,0))</f>
        <v/>
      </c>
    </row>
    <row r="88">
      <c r="A88" s="38">
        <f>IF(82&gt;COUNT(거래처별!$R$8:$R$307),"",82)</f>
        <v/>
      </c>
      <c r="B88" s="38">
        <f>IF($A88="","",INDEX(거래처별!$C$8:$C$307,$M88))</f>
        <v/>
      </c>
      <c r="C88" s="38">
        <f>IF($A88="","",INDEX(거래처별!$B$8:$B$307,$M88))</f>
        <v/>
      </c>
      <c r="D88" s="44">
        <f>IF($A88="","",INDEX(거래처별!$G$8:$G$307,$M88))</f>
        <v/>
      </c>
      <c r="E88" s="44">
        <f>IF($A88="","",INDEX(거래처별!$H$8:$H$307,$M88))</f>
        <v/>
      </c>
      <c r="F88" s="44">
        <f>IF($A88="","",INDEX(거래처별!$I$8:$I$307,$M88))</f>
        <v/>
      </c>
      <c r="G88" s="44">
        <f>IF($A88="","",INDEX(거래처별!$J$8:$J$307,$M88))</f>
        <v/>
      </c>
      <c r="H88" s="44">
        <f>IF($A88="","",INDEX(거래처별!$K$8:$K$307,$M88))</f>
        <v/>
      </c>
      <c r="I88" s="45">
        <f>IF($A88="","",IF($D88=0,"",$H88/$D88))</f>
        <v/>
      </c>
      <c r="J88" s="40">
        <f>IF($A88="","",INDEX(거래처별!$L$8:$L$307,$M88))</f>
        <v/>
      </c>
      <c r="K88" s="38">
        <f>IF($A88="","",INDEX(거래처별!$P$8:$P$307,$M88))</f>
        <v/>
      </c>
      <c r="L88" s="38">
        <f>IF($A88="","",INDEX(거래처별!$M$8:$M$307,$M88))</f>
        <v/>
      </c>
      <c r="M88" s="31">
        <f>IF($A88="","",MATCH(LARGE(거래처별!$R$8:$R$307,$A88),거래처별!$R$8:$R$307,0))</f>
        <v/>
      </c>
    </row>
    <row r="89">
      <c r="A89" s="38">
        <f>IF(83&gt;COUNT(거래처별!$R$8:$R$307),"",83)</f>
        <v/>
      </c>
      <c r="B89" s="38">
        <f>IF($A89="","",INDEX(거래처별!$C$8:$C$307,$M89))</f>
        <v/>
      </c>
      <c r="C89" s="38">
        <f>IF($A89="","",INDEX(거래처별!$B$8:$B$307,$M89))</f>
        <v/>
      </c>
      <c r="D89" s="44">
        <f>IF($A89="","",INDEX(거래처별!$G$8:$G$307,$M89))</f>
        <v/>
      </c>
      <c r="E89" s="44">
        <f>IF($A89="","",INDEX(거래처별!$H$8:$H$307,$M89))</f>
        <v/>
      </c>
      <c r="F89" s="44">
        <f>IF($A89="","",INDEX(거래처별!$I$8:$I$307,$M89))</f>
        <v/>
      </c>
      <c r="G89" s="44">
        <f>IF($A89="","",INDEX(거래처별!$J$8:$J$307,$M89))</f>
        <v/>
      </c>
      <c r="H89" s="44">
        <f>IF($A89="","",INDEX(거래처별!$K$8:$K$307,$M89))</f>
        <v/>
      </c>
      <c r="I89" s="45">
        <f>IF($A89="","",IF($D89=0,"",$H89/$D89))</f>
        <v/>
      </c>
      <c r="J89" s="40">
        <f>IF($A89="","",INDEX(거래처별!$L$8:$L$307,$M89))</f>
        <v/>
      </c>
      <c r="K89" s="38">
        <f>IF($A89="","",INDEX(거래처별!$P$8:$P$307,$M89))</f>
        <v/>
      </c>
      <c r="L89" s="38">
        <f>IF($A89="","",INDEX(거래처별!$M$8:$M$307,$M89))</f>
        <v/>
      </c>
      <c r="M89" s="31">
        <f>IF($A89="","",MATCH(LARGE(거래처별!$R$8:$R$307,$A89),거래처별!$R$8:$R$307,0))</f>
        <v/>
      </c>
    </row>
    <row r="90">
      <c r="A90" s="38">
        <f>IF(84&gt;COUNT(거래처별!$R$8:$R$307),"",84)</f>
        <v/>
      </c>
      <c r="B90" s="38">
        <f>IF($A90="","",INDEX(거래처별!$C$8:$C$307,$M90))</f>
        <v/>
      </c>
      <c r="C90" s="38">
        <f>IF($A90="","",INDEX(거래처별!$B$8:$B$307,$M90))</f>
        <v/>
      </c>
      <c r="D90" s="44">
        <f>IF($A90="","",INDEX(거래처별!$G$8:$G$307,$M90))</f>
        <v/>
      </c>
      <c r="E90" s="44">
        <f>IF($A90="","",INDEX(거래처별!$H$8:$H$307,$M90))</f>
        <v/>
      </c>
      <c r="F90" s="44">
        <f>IF($A90="","",INDEX(거래처별!$I$8:$I$307,$M90))</f>
        <v/>
      </c>
      <c r="G90" s="44">
        <f>IF($A90="","",INDEX(거래처별!$J$8:$J$307,$M90))</f>
        <v/>
      </c>
      <c r="H90" s="44">
        <f>IF($A90="","",INDEX(거래처별!$K$8:$K$307,$M90))</f>
        <v/>
      </c>
      <c r="I90" s="45">
        <f>IF($A90="","",IF($D90=0,"",$H90/$D90))</f>
        <v/>
      </c>
      <c r="J90" s="40">
        <f>IF($A90="","",INDEX(거래처별!$L$8:$L$307,$M90))</f>
        <v/>
      </c>
      <c r="K90" s="38">
        <f>IF($A90="","",INDEX(거래처별!$P$8:$P$307,$M90))</f>
        <v/>
      </c>
      <c r="L90" s="38">
        <f>IF($A90="","",INDEX(거래처별!$M$8:$M$307,$M90))</f>
        <v/>
      </c>
      <c r="M90" s="31">
        <f>IF($A90="","",MATCH(LARGE(거래처별!$R$8:$R$307,$A90),거래처별!$R$8:$R$307,0))</f>
        <v/>
      </c>
    </row>
    <row r="91">
      <c r="A91" s="38">
        <f>IF(85&gt;COUNT(거래처별!$R$8:$R$307),"",85)</f>
        <v/>
      </c>
      <c r="B91" s="38">
        <f>IF($A91="","",INDEX(거래처별!$C$8:$C$307,$M91))</f>
        <v/>
      </c>
      <c r="C91" s="38">
        <f>IF($A91="","",INDEX(거래처별!$B$8:$B$307,$M91))</f>
        <v/>
      </c>
      <c r="D91" s="44">
        <f>IF($A91="","",INDEX(거래처별!$G$8:$G$307,$M91))</f>
        <v/>
      </c>
      <c r="E91" s="44">
        <f>IF($A91="","",INDEX(거래처별!$H$8:$H$307,$M91))</f>
        <v/>
      </c>
      <c r="F91" s="44">
        <f>IF($A91="","",INDEX(거래처별!$I$8:$I$307,$M91))</f>
        <v/>
      </c>
      <c r="G91" s="44">
        <f>IF($A91="","",INDEX(거래처별!$J$8:$J$307,$M91))</f>
        <v/>
      </c>
      <c r="H91" s="44">
        <f>IF($A91="","",INDEX(거래처별!$K$8:$K$307,$M91))</f>
        <v/>
      </c>
      <c r="I91" s="45">
        <f>IF($A91="","",IF($D91=0,"",$H91/$D91))</f>
        <v/>
      </c>
      <c r="J91" s="40">
        <f>IF($A91="","",INDEX(거래처별!$L$8:$L$307,$M91))</f>
        <v/>
      </c>
      <c r="K91" s="38">
        <f>IF($A91="","",INDEX(거래처별!$P$8:$P$307,$M91))</f>
        <v/>
      </c>
      <c r="L91" s="38">
        <f>IF($A91="","",INDEX(거래처별!$M$8:$M$307,$M91))</f>
        <v/>
      </c>
      <c r="M91" s="31">
        <f>IF($A91="","",MATCH(LARGE(거래처별!$R$8:$R$307,$A91),거래처별!$R$8:$R$307,0))</f>
        <v/>
      </c>
    </row>
    <row r="92">
      <c r="A92" s="38">
        <f>IF(86&gt;COUNT(거래처별!$R$8:$R$307),"",86)</f>
        <v/>
      </c>
      <c r="B92" s="38">
        <f>IF($A92="","",INDEX(거래처별!$C$8:$C$307,$M92))</f>
        <v/>
      </c>
      <c r="C92" s="38">
        <f>IF($A92="","",INDEX(거래처별!$B$8:$B$307,$M92))</f>
        <v/>
      </c>
      <c r="D92" s="44">
        <f>IF($A92="","",INDEX(거래처별!$G$8:$G$307,$M92))</f>
        <v/>
      </c>
      <c r="E92" s="44">
        <f>IF($A92="","",INDEX(거래처별!$H$8:$H$307,$M92))</f>
        <v/>
      </c>
      <c r="F92" s="44">
        <f>IF($A92="","",INDEX(거래처별!$I$8:$I$307,$M92))</f>
        <v/>
      </c>
      <c r="G92" s="44">
        <f>IF($A92="","",INDEX(거래처별!$J$8:$J$307,$M92))</f>
        <v/>
      </c>
      <c r="H92" s="44">
        <f>IF($A92="","",INDEX(거래처별!$K$8:$K$307,$M92))</f>
        <v/>
      </c>
      <c r="I92" s="45">
        <f>IF($A92="","",IF($D92=0,"",$H92/$D92))</f>
        <v/>
      </c>
      <c r="J92" s="40">
        <f>IF($A92="","",INDEX(거래처별!$L$8:$L$307,$M92))</f>
        <v/>
      </c>
      <c r="K92" s="38">
        <f>IF($A92="","",INDEX(거래처별!$P$8:$P$307,$M92))</f>
        <v/>
      </c>
      <c r="L92" s="38">
        <f>IF($A92="","",INDEX(거래처별!$M$8:$M$307,$M92))</f>
        <v/>
      </c>
      <c r="M92" s="31">
        <f>IF($A92="","",MATCH(LARGE(거래처별!$R$8:$R$307,$A92),거래처별!$R$8:$R$307,0))</f>
        <v/>
      </c>
    </row>
    <row r="93">
      <c r="A93" s="38">
        <f>IF(87&gt;COUNT(거래처별!$R$8:$R$307),"",87)</f>
        <v/>
      </c>
      <c r="B93" s="38">
        <f>IF($A93="","",INDEX(거래처별!$C$8:$C$307,$M93))</f>
        <v/>
      </c>
      <c r="C93" s="38">
        <f>IF($A93="","",INDEX(거래처별!$B$8:$B$307,$M93))</f>
        <v/>
      </c>
      <c r="D93" s="44">
        <f>IF($A93="","",INDEX(거래처별!$G$8:$G$307,$M93))</f>
        <v/>
      </c>
      <c r="E93" s="44">
        <f>IF($A93="","",INDEX(거래처별!$H$8:$H$307,$M93))</f>
        <v/>
      </c>
      <c r="F93" s="44">
        <f>IF($A93="","",INDEX(거래처별!$I$8:$I$307,$M93))</f>
        <v/>
      </c>
      <c r="G93" s="44">
        <f>IF($A93="","",INDEX(거래처별!$J$8:$J$307,$M93))</f>
        <v/>
      </c>
      <c r="H93" s="44">
        <f>IF($A93="","",INDEX(거래처별!$K$8:$K$307,$M93))</f>
        <v/>
      </c>
      <c r="I93" s="45">
        <f>IF($A93="","",IF($D93=0,"",$H93/$D93))</f>
        <v/>
      </c>
      <c r="J93" s="40">
        <f>IF($A93="","",INDEX(거래처별!$L$8:$L$307,$M93))</f>
        <v/>
      </c>
      <c r="K93" s="38">
        <f>IF($A93="","",INDEX(거래처별!$P$8:$P$307,$M93))</f>
        <v/>
      </c>
      <c r="L93" s="38">
        <f>IF($A93="","",INDEX(거래처별!$M$8:$M$307,$M93))</f>
        <v/>
      </c>
      <c r="M93" s="31">
        <f>IF($A93="","",MATCH(LARGE(거래처별!$R$8:$R$307,$A93),거래처별!$R$8:$R$307,0))</f>
        <v/>
      </c>
    </row>
    <row r="94">
      <c r="A94" s="38">
        <f>IF(88&gt;COUNT(거래처별!$R$8:$R$307),"",88)</f>
        <v/>
      </c>
      <c r="B94" s="38">
        <f>IF($A94="","",INDEX(거래처별!$C$8:$C$307,$M94))</f>
        <v/>
      </c>
      <c r="C94" s="38">
        <f>IF($A94="","",INDEX(거래처별!$B$8:$B$307,$M94))</f>
        <v/>
      </c>
      <c r="D94" s="44">
        <f>IF($A94="","",INDEX(거래처별!$G$8:$G$307,$M94))</f>
        <v/>
      </c>
      <c r="E94" s="44">
        <f>IF($A94="","",INDEX(거래처별!$H$8:$H$307,$M94))</f>
        <v/>
      </c>
      <c r="F94" s="44">
        <f>IF($A94="","",INDEX(거래처별!$I$8:$I$307,$M94))</f>
        <v/>
      </c>
      <c r="G94" s="44">
        <f>IF($A94="","",INDEX(거래처별!$J$8:$J$307,$M94))</f>
        <v/>
      </c>
      <c r="H94" s="44">
        <f>IF($A94="","",INDEX(거래처별!$K$8:$K$307,$M94))</f>
        <v/>
      </c>
      <c r="I94" s="45">
        <f>IF($A94="","",IF($D94=0,"",$H94/$D94))</f>
        <v/>
      </c>
      <c r="J94" s="40">
        <f>IF($A94="","",INDEX(거래처별!$L$8:$L$307,$M94))</f>
        <v/>
      </c>
      <c r="K94" s="38">
        <f>IF($A94="","",INDEX(거래처별!$P$8:$P$307,$M94))</f>
        <v/>
      </c>
      <c r="L94" s="38">
        <f>IF($A94="","",INDEX(거래처별!$M$8:$M$307,$M94))</f>
        <v/>
      </c>
      <c r="M94" s="31">
        <f>IF($A94="","",MATCH(LARGE(거래처별!$R$8:$R$307,$A94),거래처별!$R$8:$R$307,0))</f>
        <v/>
      </c>
    </row>
    <row r="95">
      <c r="A95" s="38">
        <f>IF(89&gt;COUNT(거래처별!$R$8:$R$307),"",89)</f>
        <v/>
      </c>
      <c r="B95" s="38">
        <f>IF($A95="","",INDEX(거래처별!$C$8:$C$307,$M95))</f>
        <v/>
      </c>
      <c r="C95" s="38">
        <f>IF($A95="","",INDEX(거래처별!$B$8:$B$307,$M95))</f>
        <v/>
      </c>
      <c r="D95" s="44">
        <f>IF($A95="","",INDEX(거래처별!$G$8:$G$307,$M95))</f>
        <v/>
      </c>
      <c r="E95" s="44">
        <f>IF($A95="","",INDEX(거래처별!$H$8:$H$307,$M95))</f>
        <v/>
      </c>
      <c r="F95" s="44">
        <f>IF($A95="","",INDEX(거래처별!$I$8:$I$307,$M95))</f>
        <v/>
      </c>
      <c r="G95" s="44">
        <f>IF($A95="","",INDEX(거래처별!$J$8:$J$307,$M95))</f>
        <v/>
      </c>
      <c r="H95" s="44">
        <f>IF($A95="","",INDEX(거래처별!$K$8:$K$307,$M95))</f>
        <v/>
      </c>
      <c r="I95" s="45">
        <f>IF($A95="","",IF($D95=0,"",$H95/$D95))</f>
        <v/>
      </c>
      <c r="J95" s="40">
        <f>IF($A95="","",INDEX(거래처별!$L$8:$L$307,$M95))</f>
        <v/>
      </c>
      <c r="K95" s="38">
        <f>IF($A95="","",INDEX(거래처별!$P$8:$P$307,$M95))</f>
        <v/>
      </c>
      <c r="L95" s="38">
        <f>IF($A95="","",INDEX(거래처별!$M$8:$M$307,$M95))</f>
        <v/>
      </c>
      <c r="M95" s="31">
        <f>IF($A95="","",MATCH(LARGE(거래처별!$R$8:$R$307,$A95),거래처별!$R$8:$R$307,0))</f>
        <v/>
      </c>
    </row>
    <row r="96">
      <c r="A96" s="38">
        <f>IF(90&gt;COUNT(거래처별!$R$8:$R$307),"",90)</f>
        <v/>
      </c>
      <c r="B96" s="38">
        <f>IF($A96="","",INDEX(거래처별!$C$8:$C$307,$M96))</f>
        <v/>
      </c>
      <c r="C96" s="38">
        <f>IF($A96="","",INDEX(거래처별!$B$8:$B$307,$M96))</f>
        <v/>
      </c>
      <c r="D96" s="44">
        <f>IF($A96="","",INDEX(거래처별!$G$8:$G$307,$M96))</f>
        <v/>
      </c>
      <c r="E96" s="44">
        <f>IF($A96="","",INDEX(거래처별!$H$8:$H$307,$M96))</f>
        <v/>
      </c>
      <c r="F96" s="44">
        <f>IF($A96="","",INDEX(거래처별!$I$8:$I$307,$M96))</f>
        <v/>
      </c>
      <c r="G96" s="44">
        <f>IF($A96="","",INDEX(거래처별!$J$8:$J$307,$M96))</f>
        <v/>
      </c>
      <c r="H96" s="44">
        <f>IF($A96="","",INDEX(거래처별!$K$8:$K$307,$M96))</f>
        <v/>
      </c>
      <c r="I96" s="45">
        <f>IF($A96="","",IF($D96=0,"",$H96/$D96))</f>
        <v/>
      </c>
      <c r="J96" s="40">
        <f>IF($A96="","",INDEX(거래처별!$L$8:$L$307,$M96))</f>
        <v/>
      </c>
      <c r="K96" s="38">
        <f>IF($A96="","",INDEX(거래처별!$P$8:$P$307,$M96))</f>
        <v/>
      </c>
      <c r="L96" s="38">
        <f>IF($A96="","",INDEX(거래처별!$M$8:$M$307,$M96))</f>
        <v/>
      </c>
      <c r="M96" s="31">
        <f>IF($A96="","",MATCH(LARGE(거래처별!$R$8:$R$307,$A96),거래처별!$R$8:$R$307,0))</f>
        <v/>
      </c>
    </row>
    <row r="97">
      <c r="A97" s="38">
        <f>IF(91&gt;COUNT(거래처별!$R$8:$R$307),"",91)</f>
        <v/>
      </c>
      <c r="B97" s="38">
        <f>IF($A97="","",INDEX(거래처별!$C$8:$C$307,$M97))</f>
        <v/>
      </c>
      <c r="C97" s="38">
        <f>IF($A97="","",INDEX(거래처별!$B$8:$B$307,$M97))</f>
        <v/>
      </c>
      <c r="D97" s="44">
        <f>IF($A97="","",INDEX(거래처별!$G$8:$G$307,$M97))</f>
        <v/>
      </c>
      <c r="E97" s="44">
        <f>IF($A97="","",INDEX(거래처별!$H$8:$H$307,$M97))</f>
        <v/>
      </c>
      <c r="F97" s="44">
        <f>IF($A97="","",INDEX(거래처별!$I$8:$I$307,$M97))</f>
        <v/>
      </c>
      <c r="G97" s="44">
        <f>IF($A97="","",INDEX(거래처별!$J$8:$J$307,$M97))</f>
        <v/>
      </c>
      <c r="H97" s="44">
        <f>IF($A97="","",INDEX(거래처별!$K$8:$K$307,$M97))</f>
        <v/>
      </c>
      <c r="I97" s="45">
        <f>IF($A97="","",IF($D97=0,"",$H97/$D97))</f>
        <v/>
      </c>
      <c r="J97" s="40">
        <f>IF($A97="","",INDEX(거래처별!$L$8:$L$307,$M97))</f>
        <v/>
      </c>
      <c r="K97" s="38">
        <f>IF($A97="","",INDEX(거래처별!$P$8:$P$307,$M97))</f>
        <v/>
      </c>
      <c r="L97" s="38">
        <f>IF($A97="","",INDEX(거래처별!$M$8:$M$307,$M97))</f>
        <v/>
      </c>
      <c r="M97" s="31">
        <f>IF($A97="","",MATCH(LARGE(거래처별!$R$8:$R$307,$A97),거래처별!$R$8:$R$307,0))</f>
        <v/>
      </c>
    </row>
    <row r="98">
      <c r="A98" s="38">
        <f>IF(92&gt;COUNT(거래처별!$R$8:$R$307),"",92)</f>
        <v/>
      </c>
      <c r="B98" s="38">
        <f>IF($A98="","",INDEX(거래처별!$C$8:$C$307,$M98))</f>
        <v/>
      </c>
      <c r="C98" s="38">
        <f>IF($A98="","",INDEX(거래처별!$B$8:$B$307,$M98))</f>
        <v/>
      </c>
      <c r="D98" s="44">
        <f>IF($A98="","",INDEX(거래처별!$G$8:$G$307,$M98))</f>
        <v/>
      </c>
      <c r="E98" s="44">
        <f>IF($A98="","",INDEX(거래처별!$H$8:$H$307,$M98))</f>
        <v/>
      </c>
      <c r="F98" s="44">
        <f>IF($A98="","",INDEX(거래처별!$I$8:$I$307,$M98))</f>
        <v/>
      </c>
      <c r="G98" s="44">
        <f>IF($A98="","",INDEX(거래처별!$J$8:$J$307,$M98))</f>
        <v/>
      </c>
      <c r="H98" s="44">
        <f>IF($A98="","",INDEX(거래처별!$K$8:$K$307,$M98))</f>
        <v/>
      </c>
      <c r="I98" s="45">
        <f>IF($A98="","",IF($D98=0,"",$H98/$D98))</f>
        <v/>
      </c>
      <c r="J98" s="40">
        <f>IF($A98="","",INDEX(거래처별!$L$8:$L$307,$M98))</f>
        <v/>
      </c>
      <c r="K98" s="38">
        <f>IF($A98="","",INDEX(거래처별!$P$8:$P$307,$M98))</f>
        <v/>
      </c>
      <c r="L98" s="38">
        <f>IF($A98="","",INDEX(거래처별!$M$8:$M$307,$M98))</f>
        <v/>
      </c>
      <c r="M98" s="31">
        <f>IF($A98="","",MATCH(LARGE(거래처별!$R$8:$R$307,$A98),거래처별!$R$8:$R$307,0))</f>
        <v/>
      </c>
    </row>
    <row r="99">
      <c r="A99" s="38">
        <f>IF(93&gt;COUNT(거래처별!$R$8:$R$307),"",93)</f>
        <v/>
      </c>
      <c r="B99" s="38">
        <f>IF($A99="","",INDEX(거래처별!$C$8:$C$307,$M99))</f>
        <v/>
      </c>
      <c r="C99" s="38">
        <f>IF($A99="","",INDEX(거래처별!$B$8:$B$307,$M99))</f>
        <v/>
      </c>
      <c r="D99" s="44">
        <f>IF($A99="","",INDEX(거래처별!$G$8:$G$307,$M99))</f>
        <v/>
      </c>
      <c r="E99" s="44">
        <f>IF($A99="","",INDEX(거래처별!$H$8:$H$307,$M99))</f>
        <v/>
      </c>
      <c r="F99" s="44">
        <f>IF($A99="","",INDEX(거래처별!$I$8:$I$307,$M99))</f>
        <v/>
      </c>
      <c r="G99" s="44">
        <f>IF($A99="","",INDEX(거래처별!$J$8:$J$307,$M99))</f>
        <v/>
      </c>
      <c r="H99" s="44">
        <f>IF($A99="","",INDEX(거래처별!$K$8:$K$307,$M99))</f>
        <v/>
      </c>
      <c r="I99" s="45">
        <f>IF($A99="","",IF($D99=0,"",$H99/$D99))</f>
        <v/>
      </c>
      <c r="J99" s="40">
        <f>IF($A99="","",INDEX(거래처별!$L$8:$L$307,$M99))</f>
        <v/>
      </c>
      <c r="K99" s="38">
        <f>IF($A99="","",INDEX(거래처별!$P$8:$P$307,$M99))</f>
        <v/>
      </c>
      <c r="L99" s="38">
        <f>IF($A99="","",INDEX(거래처별!$M$8:$M$307,$M99))</f>
        <v/>
      </c>
      <c r="M99" s="31">
        <f>IF($A99="","",MATCH(LARGE(거래처별!$R$8:$R$307,$A99),거래처별!$R$8:$R$307,0))</f>
        <v/>
      </c>
    </row>
    <row r="100">
      <c r="A100" s="38">
        <f>IF(94&gt;COUNT(거래처별!$R$8:$R$307),"",94)</f>
        <v/>
      </c>
      <c r="B100" s="38">
        <f>IF($A100="","",INDEX(거래처별!$C$8:$C$307,$M100))</f>
        <v/>
      </c>
      <c r="C100" s="38">
        <f>IF($A100="","",INDEX(거래처별!$B$8:$B$307,$M100))</f>
        <v/>
      </c>
      <c r="D100" s="44">
        <f>IF($A100="","",INDEX(거래처별!$G$8:$G$307,$M100))</f>
        <v/>
      </c>
      <c r="E100" s="44">
        <f>IF($A100="","",INDEX(거래처별!$H$8:$H$307,$M100))</f>
        <v/>
      </c>
      <c r="F100" s="44">
        <f>IF($A100="","",INDEX(거래처별!$I$8:$I$307,$M100))</f>
        <v/>
      </c>
      <c r="G100" s="44">
        <f>IF($A100="","",INDEX(거래처별!$J$8:$J$307,$M100))</f>
        <v/>
      </c>
      <c r="H100" s="44">
        <f>IF($A100="","",INDEX(거래처별!$K$8:$K$307,$M100))</f>
        <v/>
      </c>
      <c r="I100" s="45">
        <f>IF($A100="","",IF($D100=0,"",$H100/$D100))</f>
        <v/>
      </c>
      <c r="J100" s="40">
        <f>IF($A100="","",INDEX(거래처별!$L$8:$L$307,$M100))</f>
        <v/>
      </c>
      <c r="K100" s="38">
        <f>IF($A100="","",INDEX(거래처별!$P$8:$P$307,$M100))</f>
        <v/>
      </c>
      <c r="L100" s="38">
        <f>IF($A100="","",INDEX(거래처별!$M$8:$M$307,$M100))</f>
        <v/>
      </c>
      <c r="M100" s="31">
        <f>IF($A100="","",MATCH(LARGE(거래처별!$R$8:$R$307,$A100),거래처별!$R$8:$R$307,0))</f>
        <v/>
      </c>
    </row>
    <row r="101">
      <c r="A101" s="38">
        <f>IF(95&gt;COUNT(거래처별!$R$8:$R$307),"",95)</f>
        <v/>
      </c>
      <c r="B101" s="38">
        <f>IF($A101="","",INDEX(거래처별!$C$8:$C$307,$M101))</f>
        <v/>
      </c>
      <c r="C101" s="38">
        <f>IF($A101="","",INDEX(거래처별!$B$8:$B$307,$M101))</f>
        <v/>
      </c>
      <c r="D101" s="44">
        <f>IF($A101="","",INDEX(거래처별!$G$8:$G$307,$M101))</f>
        <v/>
      </c>
      <c r="E101" s="44">
        <f>IF($A101="","",INDEX(거래처별!$H$8:$H$307,$M101))</f>
        <v/>
      </c>
      <c r="F101" s="44">
        <f>IF($A101="","",INDEX(거래처별!$I$8:$I$307,$M101))</f>
        <v/>
      </c>
      <c r="G101" s="44">
        <f>IF($A101="","",INDEX(거래처별!$J$8:$J$307,$M101))</f>
        <v/>
      </c>
      <c r="H101" s="44">
        <f>IF($A101="","",INDEX(거래처별!$K$8:$K$307,$M101))</f>
        <v/>
      </c>
      <c r="I101" s="45">
        <f>IF($A101="","",IF($D101=0,"",$H101/$D101))</f>
        <v/>
      </c>
      <c r="J101" s="40">
        <f>IF($A101="","",INDEX(거래처별!$L$8:$L$307,$M101))</f>
        <v/>
      </c>
      <c r="K101" s="38">
        <f>IF($A101="","",INDEX(거래처별!$P$8:$P$307,$M101))</f>
        <v/>
      </c>
      <c r="L101" s="38">
        <f>IF($A101="","",INDEX(거래처별!$M$8:$M$307,$M101))</f>
        <v/>
      </c>
      <c r="M101" s="31">
        <f>IF($A101="","",MATCH(LARGE(거래처별!$R$8:$R$307,$A101),거래처별!$R$8:$R$307,0))</f>
        <v/>
      </c>
    </row>
    <row r="102">
      <c r="A102" s="38">
        <f>IF(96&gt;COUNT(거래처별!$R$8:$R$307),"",96)</f>
        <v/>
      </c>
      <c r="B102" s="38">
        <f>IF($A102="","",INDEX(거래처별!$C$8:$C$307,$M102))</f>
        <v/>
      </c>
      <c r="C102" s="38">
        <f>IF($A102="","",INDEX(거래처별!$B$8:$B$307,$M102))</f>
        <v/>
      </c>
      <c r="D102" s="44">
        <f>IF($A102="","",INDEX(거래처별!$G$8:$G$307,$M102))</f>
        <v/>
      </c>
      <c r="E102" s="44">
        <f>IF($A102="","",INDEX(거래처별!$H$8:$H$307,$M102))</f>
        <v/>
      </c>
      <c r="F102" s="44">
        <f>IF($A102="","",INDEX(거래처별!$I$8:$I$307,$M102))</f>
        <v/>
      </c>
      <c r="G102" s="44">
        <f>IF($A102="","",INDEX(거래처별!$J$8:$J$307,$M102))</f>
        <v/>
      </c>
      <c r="H102" s="44">
        <f>IF($A102="","",INDEX(거래처별!$K$8:$K$307,$M102))</f>
        <v/>
      </c>
      <c r="I102" s="45">
        <f>IF($A102="","",IF($D102=0,"",$H102/$D102))</f>
        <v/>
      </c>
      <c r="J102" s="40">
        <f>IF($A102="","",INDEX(거래처별!$L$8:$L$307,$M102))</f>
        <v/>
      </c>
      <c r="K102" s="38">
        <f>IF($A102="","",INDEX(거래처별!$P$8:$P$307,$M102))</f>
        <v/>
      </c>
      <c r="L102" s="38">
        <f>IF($A102="","",INDEX(거래처별!$M$8:$M$307,$M102))</f>
        <v/>
      </c>
      <c r="M102" s="31">
        <f>IF($A102="","",MATCH(LARGE(거래처별!$R$8:$R$307,$A102),거래처별!$R$8:$R$307,0))</f>
        <v/>
      </c>
    </row>
    <row r="103">
      <c r="A103" s="38">
        <f>IF(97&gt;COUNT(거래처별!$R$8:$R$307),"",97)</f>
        <v/>
      </c>
      <c r="B103" s="38">
        <f>IF($A103="","",INDEX(거래처별!$C$8:$C$307,$M103))</f>
        <v/>
      </c>
      <c r="C103" s="38">
        <f>IF($A103="","",INDEX(거래처별!$B$8:$B$307,$M103))</f>
        <v/>
      </c>
      <c r="D103" s="44">
        <f>IF($A103="","",INDEX(거래처별!$G$8:$G$307,$M103))</f>
        <v/>
      </c>
      <c r="E103" s="44">
        <f>IF($A103="","",INDEX(거래처별!$H$8:$H$307,$M103))</f>
        <v/>
      </c>
      <c r="F103" s="44">
        <f>IF($A103="","",INDEX(거래처별!$I$8:$I$307,$M103))</f>
        <v/>
      </c>
      <c r="G103" s="44">
        <f>IF($A103="","",INDEX(거래처별!$J$8:$J$307,$M103))</f>
        <v/>
      </c>
      <c r="H103" s="44">
        <f>IF($A103="","",INDEX(거래처별!$K$8:$K$307,$M103))</f>
        <v/>
      </c>
      <c r="I103" s="45">
        <f>IF($A103="","",IF($D103=0,"",$H103/$D103))</f>
        <v/>
      </c>
      <c r="J103" s="40">
        <f>IF($A103="","",INDEX(거래처별!$L$8:$L$307,$M103))</f>
        <v/>
      </c>
      <c r="K103" s="38">
        <f>IF($A103="","",INDEX(거래처별!$P$8:$P$307,$M103))</f>
        <v/>
      </c>
      <c r="L103" s="38">
        <f>IF($A103="","",INDEX(거래처별!$M$8:$M$307,$M103))</f>
        <v/>
      </c>
      <c r="M103" s="31">
        <f>IF($A103="","",MATCH(LARGE(거래처별!$R$8:$R$307,$A103),거래처별!$R$8:$R$307,0))</f>
        <v/>
      </c>
    </row>
    <row r="104">
      <c r="A104" s="38">
        <f>IF(98&gt;COUNT(거래처별!$R$8:$R$307),"",98)</f>
        <v/>
      </c>
      <c r="B104" s="38">
        <f>IF($A104="","",INDEX(거래처별!$C$8:$C$307,$M104))</f>
        <v/>
      </c>
      <c r="C104" s="38">
        <f>IF($A104="","",INDEX(거래처별!$B$8:$B$307,$M104))</f>
        <v/>
      </c>
      <c r="D104" s="44">
        <f>IF($A104="","",INDEX(거래처별!$G$8:$G$307,$M104))</f>
        <v/>
      </c>
      <c r="E104" s="44">
        <f>IF($A104="","",INDEX(거래처별!$H$8:$H$307,$M104))</f>
        <v/>
      </c>
      <c r="F104" s="44">
        <f>IF($A104="","",INDEX(거래처별!$I$8:$I$307,$M104))</f>
        <v/>
      </c>
      <c r="G104" s="44">
        <f>IF($A104="","",INDEX(거래처별!$J$8:$J$307,$M104))</f>
        <v/>
      </c>
      <c r="H104" s="44">
        <f>IF($A104="","",INDEX(거래처별!$K$8:$K$307,$M104))</f>
        <v/>
      </c>
      <c r="I104" s="45">
        <f>IF($A104="","",IF($D104=0,"",$H104/$D104))</f>
        <v/>
      </c>
      <c r="J104" s="40">
        <f>IF($A104="","",INDEX(거래처별!$L$8:$L$307,$M104))</f>
        <v/>
      </c>
      <c r="K104" s="38">
        <f>IF($A104="","",INDEX(거래처별!$P$8:$P$307,$M104))</f>
        <v/>
      </c>
      <c r="L104" s="38">
        <f>IF($A104="","",INDEX(거래처별!$M$8:$M$307,$M104))</f>
        <v/>
      </c>
      <c r="M104" s="31">
        <f>IF($A104="","",MATCH(LARGE(거래처별!$R$8:$R$307,$A104),거래처별!$R$8:$R$307,0))</f>
        <v/>
      </c>
    </row>
    <row r="105">
      <c r="A105" s="38">
        <f>IF(99&gt;COUNT(거래처별!$R$8:$R$307),"",99)</f>
        <v/>
      </c>
      <c r="B105" s="38">
        <f>IF($A105="","",INDEX(거래처별!$C$8:$C$307,$M105))</f>
        <v/>
      </c>
      <c r="C105" s="38">
        <f>IF($A105="","",INDEX(거래처별!$B$8:$B$307,$M105))</f>
        <v/>
      </c>
      <c r="D105" s="44">
        <f>IF($A105="","",INDEX(거래처별!$G$8:$G$307,$M105))</f>
        <v/>
      </c>
      <c r="E105" s="44">
        <f>IF($A105="","",INDEX(거래처별!$H$8:$H$307,$M105))</f>
        <v/>
      </c>
      <c r="F105" s="44">
        <f>IF($A105="","",INDEX(거래처별!$I$8:$I$307,$M105))</f>
        <v/>
      </c>
      <c r="G105" s="44">
        <f>IF($A105="","",INDEX(거래처별!$J$8:$J$307,$M105))</f>
        <v/>
      </c>
      <c r="H105" s="44">
        <f>IF($A105="","",INDEX(거래처별!$K$8:$K$307,$M105))</f>
        <v/>
      </c>
      <c r="I105" s="45">
        <f>IF($A105="","",IF($D105=0,"",$H105/$D105))</f>
        <v/>
      </c>
      <c r="J105" s="40">
        <f>IF($A105="","",INDEX(거래처별!$L$8:$L$307,$M105))</f>
        <v/>
      </c>
      <c r="K105" s="38">
        <f>IF($A105="","",INDEX(거래처별!$P$8:$P$307,$M105))</f>
        <v/>
      </c>
      <c r="L105" s="38">
        <f>IF($A105="","",INDEX(거래처별!$M$8:$M$307,$M105))</f>
        <v/>
      </c>
      <c r="M105" s="31">
        <f>IF($A105="","",MATCH(LARGE(거래처별!$R$8:$R$307,$A105),거래처별!$R$8:$R$307,0))</f>
        <v/>
      </c>
    </row>
    <row r="106">
      <c r="A106" s="38">
        <f>IF(100&gt;COUNT(거래처별!$R$8:$R$307),"",100)</f>
        <v/>
      </c>
      <c r="B106" s="38">
        <f>IF($A106="","",INDEX(거래처별!$C$8:$C$307,$M106))</f>
        <v/>
      </c>
      <c r="C106" s="38">
        <f>IF($A106="","",INDEX(거래처별!$B$8:$B$307,$M106))</f>
        <v/>
      </c>
      <c r="D106" s="44">
        <f>IF($A106="","",INDEX(거래처별!$G$8:$G$307,$M106))</f>
        <v/>
      </c>
      <c r="E106" s="44">
        <f>IF($A106="","",INDEX(거래처별!$H$8:$H$307,$M106))</f>
        <v/>
      </c>
      <c r="F106" s="44">
        <f>IF($A106="","",INDEX(거래처별!$I$8:$I$307,$M106))</f>
        <v/>
      </c>
      <c r="G106" s="44">
        <f>IF($A106="","",INDEX(거래처별!$J$8:$J$307,$M106))</f>
        <v/>
      </c>
      <c r="H106" s="44">
        <f>IF($A106="","",INDEX(거래처별!$K$8:$K$307,$M106))</f>
        <v/>
      </c>
      <c r="I106" s="45">
        <f>IF($A106="","",IF($D106=0,"",$H106/$D106))</f>
        <v/>
      </c>
      <c r="J106" s="40">
        <f>IF($A106="","",INDEX(거래처별!$L$8:$L$307,$M106))</f>
        <v/>
      </c>
      <c r="K106" s="38">
        <f>IF($A106="","",INDEX(거래처별!$P$8:$P$307,$M106))</f>
        <v/>
      </c>
      <c r="L106" s="38">
        <f>IF($A106="","",INDEX(거래처별!$M$8:$M$307,$M106))</f>
        <v/>
      </c>
      <c r="M106" s="31">
        <f>IF($A106="","",MATCH(LARGE(거래처별!$R$8:$R$307,$A106),거래처별!$R$8:$R$307,0))</f>
        <v/>
      </c>
    </row>
  </sheetData>
  <conditionalFormatting sqref="H7:H106">
    <cfRule type="expression" priority="1" dxfId="0">
      <formula>AND(ISNUMBER($H7),$H7&gt;0)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4" customWidth="1" min="4" max="4"/>
    <col width="14" customWidth="1" min="5" max="5"/>
    <col width="26" customWidth="1" min="6" max="6"/>
    <col width="10" customWidth="1" min="7" max="7"/>
    <col width="120" customWidth="1" min="8" max="8"/>
    <col width="2" customWidth="1" min="9" max="9"/>
    <col width="8" customWidth="1" min="10" max="10"/>
  </cols>
  <sheetData>
    <row r="1">
      <c r="A1" s="11" t="inlineStr">
        <is>
          <t>독촉대상 — 연락해 볼 후보와 문구 초안 (자동)</t>
        </is>
      </c>
    </row>
    <row r="2">
      <c r="A2" s="12" t="inlineStr">
        <is>
          <t>✍ 직접 입력: 없음. 연락 결과(연락함·입금약속·제외 등)는 [거래처설정]의 '조치 상태'에 적으면 여기 반영됩니다. '제외'를 고르면 이 목록에서 빠집니다.</t>
        </is>
      </c>
    </row>
    <row r="3">
      <c r="A3" s="2" t="inlineStr">
        <is>
          <t>⚙ 자동 계산: 오래된 구간 잔액이 [설정]의 최소 금액 이상인 거래처를 단계가 높은 순·금액 큰 순으로 최대 100곳. 후보일 뿐 — 실제 연락 여부와 방법은 사람이 정합니다.</t>
        </is>
      </c>
    </row>
    <row r="4">
      <c r="A4" s="46" t="inlineStr">
        <is>
          <t>💡 실무 팁: 연락 전에 먼저 입금자명이 달라 매칭이 안 된 건 아닌지 [미매칭입금] 시트를 보세요. 이미 입금된 돈을 독촉하는 실수를 막아 줍니다.</t>
        </is>
      </c>
    </row>
    <row r="6" ht="30" customHeight="1">
      <c r="A6" s="25" t="inlineStr">
        <is>
          <t>순</t>
        </is>
      </c>
      <c r="B6" s="25" t="inlineStr">
        <is>
          <t>거래처</t>
        </is>
      </c>
      <c r="C6" s="25" t="inlineStr">
        <is>
          <t>사업자번호</t>
        </is>
      </c>
      <c r="D6" s="25" t="inlineStr">
        <is>
          <t>미수 잔액</t>
        </is>
      </c>
      <c r="E6" s="25" t="inlineStr">
        <is>
          <t>연락 후보 금액
(구간1 초과분)</t>
        </is>
      </c>
      <c r="F6" s="25" t="inlineStr">
        <is>
          <t>판정</t>
        </is>
      </c>
      <c r="G6" s="25" t="inlineStr">
        <is>
          <t>조치 상태</t>
        </is>
      </c>
      <c r="H6" s="25" t="inlineStr">
        <is>
          <t>연락 문구 초안 (복사해서 쓰세요)</t>
        </is>
      </c>
      <c r="J6" s="37" t="inlineStr">
        <is>
          <t>위치(자동)</t>
        </is>
      </c>
    </row>
    <row r="7">
      <c r="A7" s="38">
        <f>IF(1&gt;COUNT(거래처별!$S$8:$S$307),"",1)</f>
        <v/>
      </c>
      <c r="B7" s="38">
        <f>IF($A7="","",INDEX(거래처별!$C$8:$C$307,$J7))</f>
        <v/>
      </c>
      <c r="C7" s="38">
        <f>IF($A7="","",INDEX(거래처별!$B$8:$B$307,$J7))</f>
        <v/>
      </c>
      <c r="D7" s="44">
        <f>IF($A7="","",INDEX(거래처별!$G$8:$G$307,$J7))</f>
        <v/>
      </c>
      <c r="E7" s="44">
        <f>IF($A7="","",INDEX(거래처별!$I$8:$I$307,$J7)+INDEX(거래처별!$J$8:$J$307,$J7)+INDEX(거래처별!$K$8:$K$307,$J7))</f>
        <v/>
      </c>
      <c r="F7" s="38">
        <f>IF($A7="","",INDEX(거래처별!$P$8:$P$307,$J7))</f>
        <v/>
      </c>
      <c r="G7" s="38">
        <f>IF($A7="","",IF(INDEX(거래처별!$M$8:$M$307,$J7)="","미연락",INDEX(거래처별!$M$8:$M$307,$J7)))</f>
        <v/>
      </c>
      <c r="H7" s="47">
        <f>IF($A7="","",$B7&amp;" 담당자님, 안녕하세요. "&amp;설정!$B$3&amp;"입니다. "&amp;MONTH(설정!$B$5)&amp;"월 "&amp;DAY(설정!$B$5)&amp;"일 기준으로 거래대금 "&amp;TEXT($D7,"#,##0")&amp;"원의 입금이 확인되지 않아 연락드립니다. 그중 "&amp;설정!$B$6&amp;"일이 지난 금액은 "&amp;TEXT($E7,"#,##0")&amp;"원입니다. 이미 입금하셨다면 입금자명을 알려 주시면 확인하겠습니다. 확인 부탁드립니다.")</f>
        <v/>
      </c>
      <c r="J7" s="31">
        <f>IF($A7="","",MATCH(LARGE(거래처별!$S$8:$S$307,$A7),거래처별!$S$8:$S$307,0))</f>
        <v/>
      </c>
    </row>
    <row r="8">
      <c r="A8" s="38">
        <f>IF(2&gt;COUNT(거래처별!$S$8:$S$307),"",2)</f>
        <v/>
      </c>
      <c r="B8" s="38">
        <f>IF($A8="","",INDEX(거래처별!$C$8:$C$307,$J8))</f>
        <v/>
      </c>
      <c r="C8" s="38">
        <f>IF($A8="","",INDEX(거래처별!$B$8:$B$307,$J8))</f>
        <v/>
      </c>
      <c r="D8" s="44">
        <f>IF($A8="","",INDEX(거래처별!$G$8:$G$307,$J8))</f>
        <v/>
      </c>
      <c r="E8" s="44">
        <f>IF($A8="","",INDEX(거래처별!$I$8:$I$307,$J8)+INDEX(거래처별!$J$8:$J$307,$J8)+INDEX(거래처별!$K$8:$K$307,$J8))</f>
        <v/>
      </c>
      <c r="F8" s="38">
        <f>IF($A8="","",INDEX(거래처별!$P$8:$P$307,$J8))</f>
        <v/>
      </c>
      <c r="G8" s="38">
        <f>IF($A8="","",IF(INDEX(거래처별!$M$8:$M$307,$J8)="","미연락",INDEX(거래처별!$M$8:$M$307,$J8)))</f>
        <v/>
      </c>
      <c r="H8" s="47">
        <f>IF($A8="","",$B8&amp;" 담당자님, 안녕하세요. "&amp;설정!$B$3&amp;"입니다. "&amp;MONTH(설정!$B$5)&amp;"월 "&amp;DAY(설정!$B$5)&amp;"일 기준으로 거래대금 "&amp;TEXT($D8,"#,##0")&amp;"원의 입금이 확인되지 않아 연락드립니다. 그중 "&amp;설정!$B$6&amp;"일이 지난 금액은 "&amp;TEXT($E8,"#,##0")&amp;"원입니다. 이미 입금하셨다면 입금자명을 알려 주시면 확인하겠습니다. 확인 부탁드립니다.")</f>
        <v/>
      </c>
      <c r="J8" s="31">
        <f>IF($A8="","",MATCH(LARGE(거래처별!$S$8:$S$307,$A8),거래처별!$S$8:$S$307,0))</f>
        <v/>
      </c>
    </row>
    <row r="9">
      <c r="A9" s="38">
        <f>IF(3&gt;COUNT(거래처별!$S$8:$S$307),"",3)</f>
        <v/>
      </c>
      <c r="B9" s="38">
        <f>IF($A9="","",INDEX(거래처별!$C$8:$C$307,$J9))</f>
        <v/>
      </c>
      <c r="C9" s="38">
        <f>IF($A9="","",INDEX(거래처별!$B$8:$B$307,$J9))</f>
        <v/>
      </c>
      <c r="D9" s="44">
        <f>IF($A9="","",INDEX(거래처별!$G$8:$G$307,$J9))</f>
        <v/>
      </c>
      <c r="E9" s="44">
        <f>IF($A9="","",INDEX(거래처별!$I$8:$I$307,$J9)+INDEX(거래처별!$J$8:$J$307,$J9)+INDEX(거래처별!$K$8:$K$307,$J9))</f>
        <v/>
      </c>
      <c r="F9" s="38">
        <f>IF($A9="","",INDEX(거래처별!$P$8:$P$307,$J9))</f>
        <v/>
      </c>
      <c r="G9" s="38">
        <f>IF($A9="","",IF(INDEX(거래처별!$M$8:$M$307,$J9)="","미연락",INDEX(거래처별!$M$8:$M$307,$J9)))</f>
        <v/>
      </c>
      <c r="H9" s="47">
        <f>IF($A9="","",$B9&amp;" 담당자님, 안녕하세요. "&amp;설정!$B$3&amp;"입니다. "&amp;MONTH(설정!$B$5)&amp;"월 "&amp;DAY(설정!$B$5)&amp;"일 기준으로 거래대금 "&amp;TEXT($D9,"#,##0")&amp;"원의 입금이 확인되지 않아 연락드립니다. 그중 "&amp;설정!$B$6&amp;"일이 지난 금액은 "&amp;TEXT($E9,"#,##0")&amp;"원입니다. 이미 입금하셨다면 입금자명을 알려 주시면 확인하겠습니다. 확인 부탁드립니다.")</f>
        <v/>
      </c>
      <c r="J9" s="31">
        <f>IF($A9="","",MATCH(LARGE(거래처별!$S$8:$S$307,$A9),거래처별!$S$8:$S$307,0))</f>
        <v/>
      </c>
    </row>
    <row r="10">
      <c r="A10" s="38">
        <f>IF(4&gt;COUNT(거래처별!$S$8:$S$307),"",4)</f>
        <v/>
      </c>
      <c r="B10" s="38">
        <f>IF($A10="","",INDEX(거래처별!$C$8:$C$307,$J10))</f>
        <v/>
      </c>
      <c r="C10" s="38">
        <f>IF($A10="","",INDEX(거래처별!$B$8:$B$307,$J10))</f>
        <v/>
      </c>
      <c r="D10" s="44">
        <f>IF($A10="","",INDEX(거래처별!$G$8:$G$307,$J10))</f>
        <v/>
      </c>
      <c r="E10" s="44">
        <f>IF($A10="","",INDEX(거래처별!$I$8:$I$307,$J10)+INDEX(거래처별!$J$8:$J$307,$J10)+INDEX(거래처별!$K$8:$K$307,$J10))</f>
        <v/>
      </c>
      <c r="F10" s="38">
        <f>IF($A10="","",INDEX(거래처별!$P$8:$P$307,$J10))</f>
        <v/>
      </c>
      <c r="G10" s="38">
        <f>IF($A10="","",IF(INDEX(거래처별!$M$8:$M$307,$J10)="","미연락",INDEX(거래처별!$M$8:$M$307,$J10)))</f>
        <v/>
      </c>
      <c r="H10" s="47">
        <f>IF($A10="","",$B10&amp;" 담당자님, 안녕하세요. "&amp;설정!$B$3&amp;"입니다. "&amp;MONTH(설정!$B$5)&amp;"월 "&amp;DAY(설정!$B$5)&amp;"일 기준으로 거래대금 "&amp;TEXT($D10,"#,##0")&amp;"원의 입금이 확인되지 않아 연락드립니다. 그중 "&amp;설정!$B$6&amp;"일이 지난 금액은 "&amp;TEXT($E10,"#,##0")&amp;"원입니다. 이미 입금하셨다면 입금자명을 알려 주시면 확인하겠습니다. 확인 부탁드립니다.")</f>
        <v/>
      </c>
      <c r="J10" s="31">
        <f>IF($A10="","",MATCH(LARGE(거래처별!$S$8:$S$307,$A10),거래처별!$S$8:$S$307,0))</f>
        <v/>
      </c>
    </row>
    <row r="11">
      <c r="A11" s="38">
        <f>IF(5&gt;COUNT(거래처별!$S$8:$S$307),"",5)</f>
        <v/>
      </c>
      <c r="B11" s="38">
        <f>IF($A11="","",INDEX(거래처별!$C$8:$C$307,$J11))</f>
        <v/>
      </c>
      <c r="C11" s="38">
        <f>IF($A11="","",INDEX(거래처별!$B$8:$B$307,$J11))</f>
        <v/>
      </c>
      <c r="D11" s="44">
        <f>IF($A11="","",INDEX(거래처별!$G$8:$G$307,$J11))</f>
        <v/>
      </c>
      <c r="E11" s="44">
        <f>IF($A11="","",INDEX(거래처별!$I$8:$I$307,$J11)+INDEX(거래처별!$J$8:$J$307,$J11)+INDEX(거래처별!$K$8:$K$307,$J11))</f>
        <v/>
      </c>
      <c r="F11" s="38">
        <f>IF($A11="","",INDEX(거래처별!$P$8:$P$307,$J11))</f>
        <v/>
      </c>
      <c r="G11" s="38">
        <f>IF($A11="","",IF(INDEX(거래처별!$M$8:$M$307,$J11)="","미연락",INDEX(거래처별!$M$8:$M$307,$J11)))</f>
        <v/>
      </c>
      <c r="H11" s="47">
        <f>IF($A11="","",$B11&amp;" 담당자님, 안녕하세요. "&amp;설정!$B$3&amp;"입니다. "&amp;MONTH(설정!$B$5)&amp;"월 "&amp;DAY(설정!$B$5)&amp;"일 기준으로 거래대금 "&amp;TEXT($D11,"#,##0")&amp;"원의 입금이 확인되지 않아 연락드립니다. 그중 "&amp;설정!$B$6&amp;"일이 지난 금액은 "&amp;TEXT($E11,"#,##0")&amp;"원입니다. 이미 입금하셨다면 입금자명을 알려 주시면 확인하겠습니다. 확인 부탁드립니다.")</f>
        <v/>
      </c>
      <c r="J11" s="31">
        <f>IF($A11="","",MATCH(LARGE(거래처별!$S$8:$S$307,$A11),거래처별!$S$8:$S$307,0))</f>
        <v/>
      </c>
    </row>
    <row r="12">
      <c r="A12" s="38">
        <f>IF(6&gt;COUNT(거래처별!$S$8:$S$307),"",6)</f>
        <v/>
      </c>
      <c r="B12" s="38">
        <f>IF($A12="","",INDEX(거래처별!$C$8:$C$307,$J12))</f>
        <v/>
      </c>
      <c r="C12" s="38">
        <f>IF($A12="","",INDEX(거래처별!$B$8:$B$307,$J12))</f>
        <v/>
      </c>
      <c r="D12" s="44">
        <f>IF($A12="","",INDEX(거래처별!$G$8:$G$307,$J12))</f>
        <v/>
      </c>
      <c r="E12" s="44">
        <f>IF($A12="","",INDEX(거래처별!$I$8:$I$307,$J12)+INDEX(거래처별!$J$8:$J$307,$J12)+INDEX(거래처별!$K$8:$K$307,$J12))</f>
        <v/>
      </c>
      <c r="F12" s="38">
        <f>IF($A12="","",INDEX(거래처별!$P$8:$P$307,$J12))</f>
        <v/>
      </c>
      <c r="G12" s="38">
        <f>IF($A12="","",IF(INDEX(거래처별!$M$8:$M$307,$J12)="","미연락",INDEX(거래처별!$M$8:$M$307,$J12)))</f>
        <v/>
      </c>
      <c r="H12" s="47">
        <f>IF($A12="","",$B12&amp;" 담당자님, 안녕하세요. "&amp;설정!$B$3&amp;"입니다. "&amp;MONTH(설정!$B$5)&amp;"월 "&amp;DAY(설정!$B$5)&amp;"일 기준으로 거래대금 "&amp;TEXT($D12,"#,##0")&amp;"원의 입금이 확인되지 않아 연락드립니다. 그중 "&amp;설정!$B$6&amp;"일이 지난 금액은 "&amp;TEXT($E12,"#,##0")&amp;"원입니다. 이미 입금하셨다면 입금자명을 알려 주시면 확인하겠습니다. 확인 부탁드립니다.")</f>
        <v/>
      </c>
      <c r="J12" s="31">
        <f>IF($A12="","",MATCH(LARGE(거래처별!$S$8:$S$307,$A12),거래처별!$S$8:$S$307,0))</f>
        <v/>
      </c>
    </row>
    <row r="13">
      <c r="A13" s="38">
        <f>IF(7&gt;COUNT(거래처별!$S$8:$S$307),"",7)</f>
        <v/>
      </c>
      <c r="B13" s="38">
        <f>IF($A13="","",INDEX(거래처별!$C$8:$C$307,$J13))</f>
        <v/>
      </c>
      <c r="C13" s="38">
        <f>IF($A13="","",INDEX(거래처별!$B$8:$B$307,$J13))</f>
        <v/>
      </c>
      <c r="D13" s="44">
        <f>IF($A13="","",INDEX(거래처별!$G$8:$G$307,$J13))</f>
        <v/>
      </c>
      <c r="E13" s="44">
        <f>IF($A13="","",INDEX(거래처별!$I$8:$I$307,$J13)+INDEX(거래처별!$J$8:$J$307,$J13)+INDEX(거래처별!$K$8:$K$307,$J13))</f>
        <v/>
      </c>
      <c r="F13" s="38">
        <f>IF($A13="","",INDEX(거래처별!$P$8:$P$307,$J13))</f>
        <v/>
      </c>
      <c r="G13" s="38">
        <f>IF($A13="","",IF(INDEX(거래처별!$M$8:$M$307,$J13)="","미연락",INDEX(거래처별!$M$8:$M$307,$J13)))</f>
        <v/>
      </c>
      <c r="H13" s="47">
        <f>IF($A13="","",$B13&amp;" 담당자님, 안녕하세요. "&amp;설정!$B$3&amp;"입니다. "&amp;MONTH(설정!$B$5)&amp;"월 "&amp;DAY(설정!$B$5)&amp;"일 기준으로 거래대금 "&amp;TEXT($D13,"#,##0")&amp;"원의 입금이 확인되지 않아 연락드립니다. 그중 "&amp;설정!$B$6&amp;"일이 지난 금액은 "&amp;TEXT($E13,"#,##0")&amp;"원입니다. 이미 입금하셨다면 입금자명을 알려 주시면 확인하겠습니다. 확인 부탁드립니다.")</f>
        <v/>
      </c>
      <c r="J13" s="31">
        <f>IF($A13="","",MATCH(LARGE(거래처별!$S$8:$S$307,$A13),거래처별!$S$8:$S$307,0))</f>
        <v/>
      </c>
    </row>
    <row r="14">
      <c r="A14" s="38">
        <f>IF(8&gt;COUNT(거래처별!$S$8:$S$307),"",8)</f>
        <v/>
      </c>
      <c r="B14" s="38">
        <f>IF($A14="","",INDEX(거래처별!$C$8:$C$307,$J14))</f>
        <v/>
      </c>
      <c r="C14" s="38">
        <f>IF($A14="","",INDEX(거래처별!$B$8:$B$307,$J14))</f>
        <v/>
      </c>
      <c r="D14" s="44">
        <f>IF($A14="","",INDEX(거래처별!$G$8:$G$307,$J14))</f>
        <v/>
      </c>
      <c r="E14" s="44">
        <f>IF($A14="","",INDEX(거래처별!$I$8:$I$307,$J14)+INDEX(거래처별!$J$8:$J$307,$J14)+INDEX(거래처별!$K$8:$K$307,$J14))</f>
        <v/>
      </c>
      <c r="F14" s="38">
        <f>IF($A14="","",INDEX(거래처별!$P$8:$P$307,$J14))</f>
        <v/>
      </c>
      <c r="G14" s="38">
        <f>IF($A14="","",IF(INDEX(거래처별!$M$8:$M$307,$J14)="","미연락",INDEX(거래처별!$M$8:$M$307,$J14)))</f>
        <v/>
      </c>
      <c r="H14" s="47">
        <f>IF($A14="","",$B14&amp;" 담당자님, 안녕하세요. "&amp;설정!$B$3&amp;"입니다. "&amp;MONTH(설정!$B$5)&amp;"월 "&amp;DAY(설정!$B$5)&amp;"일 기준으로 거래대금 "&amp;TEXT($D14,"#,##0")&amp;"원의 입금이 확인되지 않아 연락드립니다. 그중 "&amp;설정!$B$6&amp;"일이 지난 금액은 "&amp;TEXT($E14,"#,##0")&amp;"원입니다. 이미 입금하셨다면 입금자명을 알려 주시면 확인하겠습니다. 확인 부탁드립니다.")</f>
        <v/>
      </c>
      <c r="J14" s="31">
        <f>IF($A14="","",MATCH(LARGE(거래처별!$S$8:$S$307,$A14),거래처별!$S$8:$S$307,0))</f>
        <v/>
      </c>
    </row>
    <row r="15">
      <c r="A15" s="38">
        <f>IF(9&gt;COUNT(거래처별!$S$8:$S$307),"",9)</f>
        <v/>
      </c>
      <c r="B15" s="38">
        <f>IF($A15="","",INDEX(거래처별!$C$8:$C$307,$J15))</f>
        <v/>
      </c>
      <c r="C15" s="38">
        <f>IF($A15="","",INDEX(거래처별!$B$8:$B$307,$J15))</f>
        <v/>
      </c>
      <c r="D15" s="44">
        <f>IF($A15="","",INDEX(거래처별!$G$8:$G$307,$J15))</f>
        <v/>
      </c>
      <c r="E15" s="44">
        <f>IF($A15="","",INDEX(거래처별!$I$8:$I$307,$J15)+INDEX(거래처별!$J$8:$J$307,$J15)+INDEX(거래처별!$K$8:$K$307,$J15))</f>
        <v/>
      </c>
      <c r="F15" s="38">
        <f>IF($A15="","",INDEX(거래처별!$P$8:$P$307,$J15))</f>
        <v/>
      </c>
      <c r="G15" s="38">
        <f>IF($A15="","",IF(INDEX(거래처별!$M$8:$M$307,$J15)="","미연락",INDEX(거래처별!$M$8:$M$307,$J15)))</f>
        <v/>
      </c>
      <c r="H15" s="47">
        <f>IF($A15="","",$B15&amp;" 담당자님, 안녕하세요. "&amp;설정!$B$3&amp;"입니다. "&amp;MONTH(설정!$B$5)&amp;"월 "&amp;DAY(설정!$B$5)&amp;"일 기준으로 거래대금 "&amp;TEXT($D15,"#,##0")&amp;"원의 입금이 확인되지 않아 연락드립니다. 그중 "&amp;설정!$B$6&amp;"일이 지난 금액은 "&amp;TEXT($E15,"#,##0")&amp;"원입니다. 이미 입금하셨다면 입금자명을 알려 주시면 확인하겠습니다. 확인 부탁드립니다.")</f>
        <v/>
      </c>
      <c r="J15" s="31">
        <f>IF($A15="","",MATCH(LARGE(거래처별!$S$8:$S$307,$A15),거래처별!$S$8:$S$307,0))</f>
        <v/>
      </c>
    </row>
    <row r="16">
      <c r="A16" s="38">
        <f>IF(10&gt;COUNT(거래처별!$S$8:$S$307),"",10)</f>
        <v/>
      </c>
      <c r="B16" s="38">
        <f>IF($A16="","",INDEX(거래처별!$C$8:$C$307,$J16))</f>
        <v/>
      </c>
      <c r="C16" s="38">
        <f>IF($A16="","",INDEX(거래처별!$B$8:$B$307,$J16))</f>
        <v/>
      </c>
      <c r="D16" s="44">
        <f>IF($A16="","",INDEX(거래처별!$G$8:$G$307,$J16))</f>
        <v/>
      </c>
      <c r="E16" s="44">
        <f>IF($A16="","",INDEX(거래처별!$I$8:$I$307,$J16)+INDEX(거래처별!$J$8:$J$307,$J16)+INDEX(거래처별!$K$8:$K$307,$J16))</f>
        <v/>
      </c>
      <c r="F16" s="38">
        <f>IF($A16="","",INDEX(거래처별!$P$8:$P$307,$J16))</f>
        <v/>
      </c>
      <c r="G16" s="38">
        <f>IF($A16="","",IF(INDEX(거래처별!$M$8:$M$307,$J16)="","미연락",INDEX(거래처별!$M$8:$M$307,$J16)))</f>
        <v/>
      </c>
      <c r="H16" s="47">
        <f>IF($A16="","",$B16&amp;" 담당자님, 안녕하세요. "&amp;설정!$B$3&amp;"입니다. "&amp;MONTH(설정!$B$5)&amp;"월 "&amp;DAY(설정!$B$5)&amp;"일 기준으로 거래대금 "&amp;TEXT($D16,"#,##0")&amp;"원의 입금이 확인되지 않아 연락드립니다. 그중 "&amp;설정!$B$6&amp;"일이 지난 금액은 "&amp;TEXT($E16,"#,##0")&amp;"원입니다. 이미 입금하셨다면 입금자명을 알려 주시면 확인하겠습니다. 확인 부탁드립니다.")</f>
        <v/>
      </c>
      <c r="J16" s="31">
        <f>IF($A16="","",MATCH(LARGE(거래처별!$S$8:$S$307,$A16),거래처별!$S$8:$S$307,0))</f>
        <v/>
      </c>
    </row>
    <row r="17">
      <c r="A17" s="38">
        <f>IF(11&gt;COUNT(거래처별!$S$8:$S$307),"",11)</f>
        <v/>
      </c>
      <c r="B17" s="38">
        <f>IF($A17="","",INDEX(거래처별!$C$8:$C$307,$J17))</f>
        <v/>
      </c>
      <c r="C17" s="38">
        <f>IF($A17="","",INDEX(거래처별!$B$8:$B$307,$J17))</f>
        <v/>
      </c>
      <c r="D17" s="44">
        <f>IF($A17="","",INDEX(거래처별!$G$8:$G$307,$J17))</f>
        <v/>
      </c>
      <c r="E17" s="44">
        <f>IF($A17="","",INDEX(거래처별!$I$8:$I$307,$J17)+INDEX(거래처별!$J$8:$J$307,$J17)+INDEX(거래처별!$K$8:$K$307,$J17))</f>
        <v/>
      </c>
      <c r="F17" s="38">
        <f>IF($A17="","",INDEX(거래처별!$P$8:$P$307,$J17))</f>
        <v/>
      </c>
      <c r="G17" s="38">
        <f>IF($A17="","",IF(INDEX(거래처별!$M$8:$M$307,$J17)="","미연락",INDEX(거래처별!$M$8:$M$307,$J17)))</f>
        <v/>
      </c>
      <c r="H17" s="47">
        <f>IF($A17="","",$B17&amp;" 담당자님, 안녕하세요. "&amp;설정!$B$3&amp;"입니다. "&amp;MONTH(설정!$B$5)&amp;"월 "&amp;DAY(설정!$B$5)&amp;"일 기준으로 거래대금 "&amp;TEXT($D17,"#,##0")&amp;"원의 입금이 확인되지 않아 연락드립니다. 그중 "&amp;설정!$B$6&amp;"일이 지난 금액은 "&amp;TEXT($E17,"#,##0")&amp;"원입니다. 이미 입금하셨다면 입금자명을 알려 주시면 확인하겠습니다. 확인 부탁드립니다.")</f>
        <v/>
      </c>
      <c r="J17" s="31">
        <f>IF($A17="","",MATCH(LARGE(거래처별!$S$8:$S$307,$A17),거래처별!$S$8:$S$307,0))</f>
        <v/>
      </c>
    </row>
    <row r="18">
      <c r="A18" s="38">
        <f>IF(12&gt;COUNT(거래처별!$S$8:$S$307),"",12)</f>
        <v/>
      </c>
      <c r="B18" s="38">
        <f>IF($A18="","",INDEX(거래처별!$C$8:$C$307,$J18))</f>
        <v/>
      </c>
      <c r="C18" s="38">
        <f>IF($A18="","",INDEX(거래처별!$B$8:$B$307,$J18))</f>
        <v/>
      </c>
      <c r="D18" s="44">
        <f>IF($A18="","",INDEX(거래처별!$G$8:$G$307,$J18))</f>
        <v/>
      </c>
      <c r="E18" s="44">
        <f>IF($A18="","",INDEX(거래처별!$I$8:$I$307,$J18)+INDEX(거래처별!$J$8:$J$307,$J18)+INDEX(거래처별!$K$8:$K$307,$J18))</f>
        <v/>
      </c>
      <c r="F18" s="38">
        <f>IF($A18="","",INDEX(거래처별!$P$8:$P$307,$J18))</f>
        <v/>
      </c>
      <c r="G18" s="38">
        <f>IF($A18="","",IF(INDEX(거래처별!$M$8:$M$307,$J18)="","미연락",INDEX(거래처별!$M$8:$M$307,$J18)))</f>
        <v/>
      </c>
      <c r="H18" s="47">
        <f>IF($A18="","",$B18&amp;" 담당자님, 안녕하세요. "&amp;설정!$B$3&amp;"입니다. "&amp;MONTH(설정!$B$5)&amp;"월 "&amp;DAY(설정!$B$5)&amp;"일 기준으로 거래대금 "&amp;TEXT($D18,"#,##0")&amp;"원의 입금이 확인되지 않아 연락드립니다. 그중 "&amp;설정!$B$6&amp;"일이 지난 금액은 "&amp;TEXT($E18,"#,##0")&amp;"원입니다. 이미 입금하셨다면 입금자명을 알려 주시면 확인하겠습니다. 확인 부탁드립니다.")</f>
        <v/>
      </c>
      <c r="J18" s="31">
        <f>IF($A18="","",MATCH(LARGE(거래처별!$S$8:$S$307,$A18),거래처별!$S$8:$S$307,0))</f>
        <v/>
      </c>
    </row>
    <row r="19">
      <c r="A19" s="38">
        <f>IF(13&gt;COUNT(거래처별!$S$8:$S$307),"",13)</f>
        <v/>
      </c>
      <c r="B19" s="38">
        <f>IF($A19="","",INDEX(거래처별!$C$8:$C$307,$J19))</f>
        <v/>
      </c>
      <c r="C19" s="38">
        <f>IF($A19="","",INDEX(거래처별!$B$8:$B$307,$J19))</f>
        <v/>
      </c>
      <c r="D19" s="44">
        <f>IF($A19="","",INDEX(거래처별!$G$8:$G$307,$J19))</f>
        <v/>
      </c>
      <c r="E19" s="44">
        <f>IF($A19="","",INDEX(거래처별!$I$8:$I$307,$J19)+INDEX(거래처별!$J$8:$J$307,$J19)+INDEX(거래처별!$K$8:$K$307,$J19))</f>
        <v/>
      </c>
      <c r="F19" s="38">
        <f>IF($A19="","",INDEX(거래처별!$P$8:$P$307,$J19))</f>
        <v/>
      </c>
      <c r="G19" s="38">
        <f>IF($A19="","",IF(INDEX(거래처별!$M$8:$M$307,$J19)="","미연락",INDEX(거래처별!$M$8:$M$307,$J19)))</f>
        <v/>
      </c>
      <c r="H19" s="47">
        <f>IF($A19="","",$B19&amp;" 담당자님, 안녕하세요. "&amp;설정!$B$3&amp;"입니다. "&amp;MONTH(설정!$B$5)&amp;"월 "&amp;DAY(설정!$B$5)&amp;"일 기준으로 거래대금 "&amp;TEXT($D19,"#,##0")&amp;"원의 입금이 확인되지 않아 연락드립니다. 그중 "&amp;설정!$B$6&amp;"일이 지난 금액은 "&amp;TEXT($E19,"#,##0")&amp;"원입니다. 이미 입금하셨다면 입금자명을 알려 주시면 확인하겠습니다. 확인 부탁드립니다.")</f>
        <v/>
      </c>
      <c r="J19" s="31">
        <f>IF($A19="","",MATCH(LARGE(거래처별!$S$8:$S$307,$A19),거래처별!$S$8:$S$307,0))</f>
        <v/>
      </c>
    </row>
    <row r="20">
      <c r="A20" s="38">
        <f>IF(14&gt;COUNT(거래처별!$S$8:$S$307),"",14)</f>
        <v/>
      </c>
      <c r="B20" s="38">
        <f>IF($A20="","",INDEX(거래처별!$C$8:$C$307,$J20))</f>
        <v/>
      </c>
      <c r="C20" s="38">
        <f>IF($A20="","",INDEX(거래처별!$B$8:$B$307,$J20))</f>
        <v/>
      </c>
      <c r="D20" s="44">
        <f>IF($A20="","",INDEX(거래처별!$G$8:$G$307,$J20))</f>
        <v/>
      </c>
      <c r="E20" s="44">
        <f>IF($A20="","",INDEX(거래처별!$I$8:$I$307,$J20)+INDEX(거래처별!$J$8:$J$307,$J20)+INDEX(거래처별!$K$8:$K$307,$J20))</f>
        <v/>
      </c>
      <c r="F20" s="38">
        <f>IF($A20="","",INDEX(거래처별!$P$8:$P$307,$J20))</f>
        <v/>
      </c>
      <c r="G20" s="38">
        <f>IF($A20="","",IF(INDEX(거래처별!$M$8:$M$307,$J20)="","미연락",INDEX(거래처별!$M$8:$M$307,$J20)))</f>
        <v/>
      </c>
      <c r="H20" s="47">
        <f>IF($A20="","",$B20&amp;" 담당자님, 안녕하세요. "&amp;설정!$B$3&amp;"입니다. "&amp;MONTH(설정!$B$5)&amp;"월 "&amp;DAY(설정!$B$5)&amp;"일 기준으로 거래대금 "&amp;TEXT($D20,"#,##0")&amp;"원의 입금이 확인되지 않아 연락드립니다. 그중 "&amp;설정!$B$6&amp;"일이 지난 금액은 "&amp;TEXT($E20,"#,##0")&amp;"원입니다. 이미 입금하셨다면 입금자명을 알려 주시면 확인하겠습니다. 확인 부탁드립니다.")</f>
        <v/>
      </c>
      <c r="J20" s="31">
        <f>IF($A20="","",MATCH(LARGE(거래처별!$S$8:$S$307,$A20),거래처별!$S$8:$S$307,0))</f>
        <v/>
      </c>
    </row>
    <row r="21">
      <c r="A21" s="38">
        <f>IF(15&gt;COUNT(거래처별!$S$8:$S$307),"",15)</f>
        <v/>
      </c>
      <c r="B21" s="38">
        <f>IF($A21="","",INDEX(거래처별!$C$8:$C$307,$J21))</f>
        <v/>
      </c>
      <c r="C21" s="38">
        <f>IF($A21="","",INDEX(거래처별!$B$8:$B$307,$J21))</f>
        <v/>
      </c>
      <c r="D21" s="44">
        <f>IF($A21="","",INDEX(거래처별!$G$8:$G$307,$J21))</f>
        <v/>
      </c>
      <c r="E21" s="44">
        <f>IF($A21="","",INDEX(거래처별!$I$8:$I$307,$J21)+INDEX(거래처별!$J$8:$J$307,$J21)+INDEX(거래처별!$K$8:$K$307,$J21))</f>
        <v/>
      </c>
      <c r="F21" s="38">
        <f>IF($A21="","",INDEX(거래처별!$P$8:$P$307,$J21))</f>
        <v/>
      </c>
      <c r="G21" s="38">
        <f>IF($A21="","",IF(INDEX(거래처별!$M$8:$M$307,$J21)="","미연락",INDEX(거래처별!$M$8:$M$307,$J21)))</f>
        <v/>
      </c>
      <c r="H21" s="47">
        <f>IF($A21="","",$B21&amp;" 담당자님, 안녕하세요. "&amp;설정!$B$3&amp;"입니다. "&amp;MONTH(설정!$B$5)&amp;"월 "&amp;DAY(설정!$B$5)&amp;"일 기준으로 거래대금 "&amp;TEXT($D21,"#,##0")&amp;"원의 입금이 확인되지 않아 연락드립니다. 그중 "&amp;설정!$B$6&amp;"일이 지난 금액은 "&amp;TEXT($E21,"#,##0")&amp;"원입니다. 이미 입금하셨다면 입금자명을 알려 주시면 확인하겠습니다. 확인 부탁드립니다.")</f>
        <v/>
      </c>
      <c r="J21" s="31">
        <f>IF($A21="","",MATCH(LARGE(거래처별!$S$8:$S$307,$A21),거래처별!$S$8:$S$307,0))</f>
        <v/>
      </c>
    </row>
    <row r="22">
      <c r="A22" s="38">
        <f>IF(16&gt;COUNT(거래처별!$S$8:$S$307),"",16)</f>
        <v/>
      </c>
      <c r="B22" s="38">
        <f>IF($A22="","",INDEX(거래처별!$C$8:$C$307,$J22))</f>
        <v/>
      </c>
      <c r="C22" s="38">
        <f>IF($A22="","",INDEX(거래처별!$B$8:$B$307,$J22))</f>
        <v/>
      </c>
      <c r="D22" s="44">
        <f>IF($A22="","",INDEX(거래처별!$G$8:$G$307,$J22))</f>
        <v/>
      </c>
      <c r="E22" s="44">
        <f>IF($A22="","",INDEX(거래처별!$I$8:$I$307,$J22)+INDEX(거래처별!$J$8:$J$307,$J22)+INDEX(거래처별!$K$8:$K$307,$J22))</f>
        <v/>
      </c>
      <c r="F22" s="38">
        <f>IF($A22="","",INDEX(거래처별!$P$8:$P$307,$J22))</f>
        <v/>
      </c>
      <c r="G22" s="38">
        <f>IF($A22="","",IF(INDEX(거래처별!$M$8:$M$307,$J22)="","미연락",INDEX(거래처별!$M$8:$M$307,$J22)))</f>
        <v/>
      </c>
      <c r="H22" s="47">
        <f>IF($A22="","",$B22&amp;" 담당자님, 안녕하세요. "&amp;설정!$B$3&amp;"입니다. "&amp;MONTH(설정!$B$5)&amp;"월 "&amp;DAY(설정!$B$5)&amp;"일 기준으로 거래대금 "&amp;TEXT($D22,"#,##0")&amp;"원의 입금이 확인되지 않아 연락드립니다. 그중 "&amp;설정!$B$6&amp;"일이 지난 금액은 "&amp;TEXT($E22,"#,##0")&amp;"원입니다. 이미 입금하셨다면 입금자명을 알려 주시면 확인하겠습니다. 확인 부탁드립니다.")</f>
        <v/>
      </c>
      <c r="J22" s="31">
        <f>IF($A22="","",MATCH(LARGE(거래처별!$S$8:$S$307,$A22),거래처별!$S$8:$S$307,0))</f>
        <v/>
      </c>
    </row>
    <row r="23">
      <c r="A23" s="38">
        <f>IF(17&gt;COUNT(거래처별!$S$8:$S$307),"",17)</f>
        <v/>
      </c>
      <c r="B23" s="38">
        <f>IF($A23="","",INDEX(거래처별!$C$8:$C$307,$J23))</f>
        <v/>
      </c>
      <c r="C23" s="38">
        <f>IF($A23="","",INDEX(거래처별!$B$8:$B$307,$J23))</f>
        <v/>
      </c>
      <c r="D23" s="44">
        <f>IF($A23="","",INDEX(거래처별!$G$8:$G$307,$J23))</f>
        <v/>
      </c>
      <c r="E23" s="44">
        <f>IF($A23="","",INDEX(거래처별!$I$8:$I$307,$J23)+INDEX(거래처별!$J$8:$J$307,$J23)+INDEX(거래처별!$K$8:$K$307,$J23))</f>
        <v/>
      </c>
      <c r="F23" s="38">
        <f>IF($A23="","",INDEX(거래처별!$P$8:$P$307,$J23))</f>
        <v/>
      </c>
      <c r="G23" s="38">
        <f>IF($A23="","",IF(INDEX(거래처별!$M$8:$M$307,$J23)="","미연락",INDEX(거래처별!$M$8:$M$307,$J23)))</f>
        <v/>
      </c>
      <c r="H23" s="47">
        <f>IF($A23="","",$B23&amp;" 담당자님, 안녕하세요. "&amp;설정!$B$3&amp;"입니다. "&amp;MONTH(설정!$B$5)&amp;"월 "&amp;DAY(설정!$B$5)&amp;"일 기준으로 거래대금 "&amp;TEXT($D23,"#,##0")&amp;"원의 입금이 확인되지 않아 연락드립니다. 그중 "&amp;설정!$B$6&amp;"일이 지난 금액은 "&amp;TEXT($E23,"#,##0")&amp;"원입니다. 이미 입금하셨다면 입금자명을 알려 주시면 확인하겠습니다. 확인 부탁드립니다.")</f>
        <v/>
      </c>
      <c r="J23" s="31">
        <f>IF($A23="","",MATCH(LARGE(거래처별!$S$8:$S$307,$A23),거래처별!$S$8:$S$307,0))</f>
        <v/>
      </c>
    </row>
    <row r="24">
      <c r="A24" s="38">
        <f>IF(18&gt;COUNT(거래처별!$S$8:$S$307),"",18)</f>
        <v/>
      </c>
      <c r="B24" s="38">
        <f>IF($A24="","",INDEX(거래처별!$C$8:$C$307,$J24))</f>
        <v/>
      </c>
      <c r="C24" s="38">
        <f>IF($A24="","",INDEX(거래처별!$B$8:$B$307,$J24))</f>
        <v/>
      </c>
      <c r="D24" s="44">
        <f>IF($A24="","",INDEX(거래처별!$G$8:$G$307,$J24))</f>
        <v/>
      </c>
      <c r="E24" s="44">
        <f>IF($A24="","",INDEX(거래처별!$I$8:$I$307,$J24)+INDEX(거래처별!$J$8:$J$307,$J24)+INDEX(거래처별!$K$8:$K$307,$J24))</f>
        <v/>
      </c>
      <c r="F24" s="38">
        <f>IF($A24="","",INDEX(거래처별!$P$8:$P$307,$J24))</f>
        <v/>
      </c>
      <c r="G24" s="38">
        <f>IF($A24="","",IF(INDEX(거래처별!$M$8:$M$307,$J24)="","미연락",INDEX(거래처별!$M$8:$M$307,$J24)))</f>
        <v/>
      </c>
      <c r="H24" s="47">
        <f>IF($A24="","",$B24&amp;" 담당자님, 안녕하세요. "&amp;설정!$B$3&amp;"입니다. "&amp;MONTH(설정!$B$5)&amp;"월 "&amp;DAY(설정!$B$5)&amp;"일 기준으로 거래대금 "&amp;TEXT($D24,"#,##0")&amp;"원의 입금이 확인되지 않아 연락드립니다. 그중 "&amp;설정!$B$6&amp;"일이 지난 금액은 "&amp;TEXT($E24,"#,##0")&amp;"원입니다. 이미 입금하셨다면 입금자명을 알려 주시면 확인하겠습니다. 확인 부탁드립니다.")</f>
        <v/>
      </c>
      <c r="J24" s="31">
        <f>IF($A24="","",MATCH(LARGE(거래처별!$S$8:$S$307,$A24),거래처별!$S$8:$S$307,0))</f>
        <v/>
      </c>
    </row>
    <row r="25">
      <c r="A25" s="38">
        <f>IF(19&gt;COUNT(거래처별!$S$8:$S$307),"",19)</f>
        <v/>
      </c>
      <c r="B25" s="38">
        <f>IF($A25="","",INDEX(거래처별!$C$8:$C$307,$J25))</f>
        <v/>
      </c>
      <c r="C25" s="38">
        <f>IF($A25="","",INDEX(거래처별!$B$8:$B$307,$J25))</f>
        <v/>
      </c>
      <c r="D25" s="44">
        <f>IF($A25="","",INDEX(거래처별!$G$8:$G$307,$J25))</f>
        <v/>
      </c>
      <c r="E25" s="44">
        <f>IF($A25="","",INDEX(거래처별!$I$8:$I$307,$J25)+INDEX(거래처별!$J$8:$J$307,$J25)+INDEX(거래처별!$K$8:$K$307,$J25))</f>
        <v/>
      </c>
      <c r="F25" s="38">
        <f>IF($A25="","",INDEX(거래처별!$P$8:$P$307,$J25))</f>
        <v/>
      </c>
      <c r="G25" s="38">
        <f>IF($A25="","",IF(INDEX(거래처별!$M$8:$M$307,$J25)="","미연락",INDEX(거래처별!$M$8:$M$307,$J25)))</f>
        <v/>
      </c>
      <c r="H25" s="47">
        <f>IF($A25="","",$B25&amp;" 담당자님, 안녕하세요. "&amp;설정!$B$3&amp;"입니다. "&amp;MONTH(설정!$B$5)&amp;"월 "&amp;DAY(설정!$B$5)&amp;"일 기준으로 거래대금 "&amp;TEXT($D25,"#,##0")&amp;"원의 입금이 확인되지 않아 연락드립니다. 그중 "&amp;설정!$B$6&amp;"일이 지난 금액은 "&amp;TEXT($E25,"#,##0")&amp;"원입니다. 이미 입금하셨다면 입금자명을 알려 주시면 확인하겠습니다. 확인 부탁드립니다.")</f>
        <v/>
      </c>
      <c r="J25" s="31">
        <f>IF($A25="","",MATCH(LARGE(거래처별!$S$8:$S$307,$A25),거래처별!$S$8:$S$307,0))</f>
        <v/>
      </c>
    </row>
    <row r="26">
      <c r="A26" s="38">
        <f>IF(20&gt;COUNT(거래처별!$S$8:$S$307),"",20)</f>
        <v/>
      </c>
      <c r="B26" s="38">
        <f>IF($A26="","",INDEX(거래처별!$C$8:$C$307,$J26))</f>
        <v/>
      </c>
      <c r="C26" s="38">
        <f>IF($A26="","",INDEX(거래처별!$B$8:$B$307,$J26))</f>
        <v/>
      </c>
      <c r="D26" s="44">
        <f>IF($A26="","",INDEX(거래처별!$G$8:$G$307,$J26))</f>
        <v/>
      </c>
      <c r="E26" s="44">
        <f>IF($A26="","",INDEX(거래처별!$I$8:$I$307,$J26)+INDEX(거래처별!$J$8:$J$307,$J26)+INDEX(거래처별!$K$8:$K$307,$J26))</f>
        <v/>
      </c>
      <c r="F26" s="38">
        <f>IF($A26="","",INDEX(거래처별!$P$8:$P$307,$J26))</f>
        <v/>
      </c>
      <c r="G26" s="38">
        <f>IF($A26="","",IF(INDEX(거래처별!$M$8:$M$307,$J26)="","미연락",INDEX(거래처별!$M$8:$M$307,$J26)))</f>
        <v/>
      </c>
      <c r="H26" s="47">
        <f>IF($A26="","",$B26&amp;" 담당자님, 안녕하세요. "&amp;설정!$B$3&amp;"입니다. "&amp;MONTH(설정!$B$5)&amp;"월 "&amp;DAY(설정!$B$5)&amp;"일 기준으로 거래대금 "&amp;TEXT($D26,"#,##0")&amp;"원의 입금이 확인되지 않아 연락드립니다. 그중 "&amp;설정!$B$6&amp;"일이 지난 금액은 "&amp;TEXT($E26,"#,##0")&amp;"원입니다. 이미 입금하셨다면 입금자명을 알려 주시면 확인하겠습니다. 확인 부탁드립니다.")</f>
        <v/>
      </c>
      <c r="J26" s="31">
        <f>IF($A26="","",MATCH(LARGE(거래처별!$S$8:$S$307,$A26),거래처별!$S$8:$S$307,0))</f>
        <v/>
      </c>
    </row>
    <row r="27">
      <c r="A27" s="38">
        <f>IF(21&gt;COUNT(거래처별!$S$8:$S$307),"",21)</f>
        <v/>
      </c>
      <c r="B27" s="38">
        <f>IF($A27="","",INDEX(거래처별!$C$8:$C$307,$J27))</f>
        <v/>
      </c>
      <c r="C27" s="38">
        <f>IF($A27="","",INDEX(거래처별!$B$8:$B$307,$J27))</f>
        <v/>
      </c>
      <c r="D27" s="44">
        <f>IF($A27="","",INDEX(거래처별!$G$8:$G$307,$J27))</f>
        <v/>
      </c>
      <c r="E27" s="44">
        <f>IF($A27="","",INDEX(거래처별!$I$8:$I$307,$J27)+INDEX(거래처별!$J$8:$J$307,$J27)+INDEX(거래처별!$K$8:$K$307,$J27))</f>
        <v/>
      </c>
      <c r="F27" s="38">
        <f>IF($A27="","",INDEX(거래처별!$P$8:$P$307,$J27))</f>
        <v/>
      </c>
      <c r="G27" s="38">
        <f>IF($A27="","",IF(INDEX(거래처별!$M$8:$M$307,$J27)="","미연락",INDEX(거래처별!$M$8:$M$307,$J27)))</f>
        <v/>
      </c>
      <c r="H27" s="47">
        <f>IF($A27="","",$B27&amp;" 담당자님, 안녕하세요. "&amp;설정!$B$3&amp;"입니다. "&amp;MONTH(설정!$B$5)&amp;"월 "&amp;DAY(설정!$B$5)&amp;"일 기준으로 거래대금 "&amp;TEXT($D27,"#,##0")&amp;"원의 입금이 확인되지 않아 연락드립니다. 그중 "&amp;설정!$B$6&amp;"일이 지난 금액은 "&amp;TEXT($E27,"#,##0")&amp;"원입니다. 이미 입금하셨다면 입금자명을 알려 주시면 확인하겠습니다. 확인 부탁드립니다.")</f>
        <v/>
      </c>
      <c r="J27" s="31">
        <f>IF($A27="","",MATCH(LARGE(거래처별!$S$8:$S$307,$A27),거래처별!$S$8:$S$307,0))</f>
        <v/>
      </c>
    </row>
    <row r="28">
      <c r="A28" s="38">
        <f>IF(22&gt;COUNT(거래처별!$S$8:$S$307),"",22)</f>
        <v/>
      </c>
      <c r="B28" s="38">
        <f>IF($A28="","",INDEX(거래처별!$C$8:$C$307,$J28))</f>
        <v/>
      </c>
      <c r="C28" s="38">
        <f>IF($A28="","",INDEX(거래처별!$B$8:$B$307,$J28))</f>
        <v/>
      </c>
      <c r="D28" s="44">
        <f>IF($A28="","",INDEX(거래처별!$G$8:$G$307,$J28))</f>
        <v/>
      </c>
      <c r="E28" s="44">
        <f>IF($A28="","",INDEX(거래처별!$I$8:$I$307,$J28)+INDEX(거래처별!$J$8:$J$307,$J28)+INDEX(거래처별!$K$8:$K$307,$J28))</f>
        <v/>
      </c>
      <c r="F28" s="38">
        <f>IF($A28="","",INDEX(거래처별!$P$8:$P$307,$J28))</f>
        <v/>
      </c>
      <c r="G28" s="38">
        <f>IF($A28="","",IF(INDEX(거래처별!$M$8:$M$307,$J28)="","미연락",INDEX(거래처별!$M$8:$M$307,$J28)))</f>
        <v/>
      </c>
      <c r="H28" s="47">
        <f>IF($A28="","",$B28&amp;" 담당자님, 안녕하세요. "&amp;설정!$B$3&amp;"입니다. "&amp;MONTH(설정!$B$5)&amp;"월 "&amp;DAY(설정!$B$5)&amp;"일 기준으로 거래대금 "&amp;TEXT($D28,"#,##0")&amp;"원의 입금이 확인되지 않아 연락드립니다. 그중 "&amp;설정!$B$6&amp;"일이 지난 금액은 "&amp;TEXT($E28,"#,##0")&amp;"원입니다. 이미 입금하셨다면 입금자명을 알려 주시면 확인하겠습니다. 확인 부탁드립니다.")</f>
        <v/>
      </c>
      <c r="J28" s="31">
        <f>IF($A28="","",MATCH(LARGE(거래처별!$S$8:$S$307,$A28),거래처별!$S$8:$S$307,0))</f>
        <v/>
      </c>
    </row>
    <row r="29">
      <c r="A29" s="38">
        <f>IF(23&gt;COUNT(거래처별!$S$8:$S$307),"",23)</f>
        <v/>
      </c>
      <c r="B29" s="38">
        <f>IF($A29="","",INDEX(거래처별!$C$8:$C$307,$J29))</f>
        <v/>
      </c>
      <c r="C29" s="38">
        <f>IF($A29="","",INDEX(거래처별!$B$8:$B$307,$J29))</f>
        <v/>
      </c>
      <c r="D29" s="44">
        <f>IF($A29="","",INDEX(거래처별!$G$8:$G$307,$J29))</f>
        <v/>
      </c>
      <c r="E29" s="44">
        <f>IF($A29="","",INDEX(거래처별!$I$8:$I$307,$J29)+INDEX(거래처별!$J$8:$J$307,$J29)+INDEX(거래처별!$K$8:$K$307,$J29))</f>
        <v/>
      </c>
      <c r="F29" s="38">
        <f>IF($A29="","",INDEX(거래처별!$P$8:$P$307,$J29))</f>
        <v/>
      </c>
      <c r="G29" s="38">
        <f>IF($A29="","",IF(INDEX(거래처별!$M$8:$M$307,$J29)="","미연락",INDEX(거래처별!$M$8:$M$307,$J29)))</f>
        <v/>
      </c>
      <c r="H29" s="47">
        <f>IF($A29="","",$B29&amp;" 담당자님, 안녕하세요. "&amp;설정!$B$3&amp;"입니다. "&amp;MONTH(설정!$B$5)&amp;"월 "&amp;DAY(설정!$B$5)&amp;"일 기준으로 거래대금 "&amp;TEXT($D29,"#,##0")&amp;"원의 입금이 확인되지 않아 연락드립니다. 그중 "&amp;설정!$B$6&amp;"일이 지난 금액은 "&amp;TEXT($E29,"#,##0")&amp;"원입니다. 이미 입금하셨다면 입금자명을 알려 주시면 확인하겠습니다. 확인 부탁드립니다.")</f>
        <v/>
      </c>
      <c r="J29" s="31">
        <f>IF($A29="","",MATCH(LARGE(거래처별!$S$8:$S$307,$A29),거래처별!$S$8:$S$307,0))</f>
        <v/>
      </c>
    </row>
    <row r="30">
      <c r="A30" s="38">
        <f>IF(24&gt;COUNT(거래처별!$S$8:$S$307),"",24)</f>
        <v/>
      </c>
      <c r="B30" s="38">
        <f>IF($A30="","",INDEX(거래처별!$C$8:$C$307,$J30))</f>
        <v/>
      </c>
      <c r="C30" s="38">
        <f>IF($A30="","",INDEX(거래처별!$B$8:$B$307,$J30))</f>
        <v/>
      </c>
      <c r="D30" s="44">
        <f>IF($A30="","",INDEX(거래처별!$G$8:$G$307,$J30))</f>
        <v/>
      </c>
      <c r="E30" s="44">
        <f>IF($A30="","",INDEX(거래처별!$I$8:$I$307,$J30)+INDEX(거래처별!$J$8:$J$307,$J30)+INDEX(거래처별!$K$8:$K$307,$J30))</f>
        <v/>
      </c>
      <c r="F30" s="38">
        <f>IF($A30="","",INDEX(거래처별!$P$8:$P$307,$J30))</f>
        <v/>
      </c>
      <c r="G30" s="38">
        <f>IF($A30="","",IF(INDEX(거래처별!$M$8:$M$307,$J30)="","미연락",INDEX(거래처별!$M$8:$M$307,$J30)))</f>
        <v/>
      </c>
      <c r="H30" s="47">
        <f>IF($A30="","",$B30&amp;" 담당자님, 안녕하세요. "&amp;설정!$B$3&amp;"입니다. "&amp;MONTH(설정!$B$5)&amp;"월 "&amp;DAY(설정!$B$5)&amp;"일 기준으로 거래대금 "&amp;TEXT($D30,"#,##0")&amp;"원의 입금이 확인되지 않아 연락드립니다. 그중 "&amp;설정!$B$6&amp;"일이 지난 금액은 "&amp;TEXT($E30,"#,##0")&amp;"원입니다. 이미 입금하셨다면 입금자명을 알려 주시면 확인하겠습니다. 확인 부탁드립니다.")</f>
        <v/>
      </c>
      <c r="J30" s="31">
        <f>IF($A30="","",MATCH(LARGE(거래처별!$S$8:$S$307,$A30),거래처별!$S$8:$S$307,0))</f>
        <v/>
      </c>
    </row>
    <row r="31">
      <c r="A31" s="38">
        <f>IF(25&gt;COUNT(거래처별!$S$8:$S$307),"",25)</f>
        <v/>
      </c>
      <c r="B31" s="38">
        <f>IF($A31="","",INDEX(거래처별!$C$8:$C$307,$J31))</f>
        <v/>
      </c>
      <c r="C31" s="38">
        <f>IF($A31="","",INDEX(거래처별!$B$8:$B$307,$J31))</f>
        <v/>
      </c>
      <c r="D31" s="44">
        <f>IF($A31="","",INDEX(거래처별!$G$8:$G$307,$J31))</f>
        <v/>
      </c>
      <c r="E31" s="44">
        <f>IF($A31="","",INDEX(거래처별!$I$8:$I$307,$J31)+INDEX(거래처별!$J$8:$J$307,$J31)+INDEX(거래처별!$K$8:$K$307,$J31))</f>
        <v/>
      </c>
      <c r="F31" s="38">
        <f>IF($A31="","",INDEX(거래처별!$P$8:$P$307,$J31))</f>
        <v/>
      </c>
      <c r="G31" s="38">
        <f>IF($A31="","",IF(INDEX(거래처별!$M$8:$M$307,$J31)="","미연락",INDEX(거래처별!$M$8:$M$307,$J31)))</f>
        <v/>
      </c>
      <c r="H31" s="47">
        <f>IF($A31="","",$B31&amp;" 담당자님, 안녕하세요. "&amp;설정!$B$3&amp;"입니다. "&amp;MONTH(설정!$B$5)&amp;"월 "&amp;DAY(설정!$B$5)&amp;"일 기준으로 거래대금 "&amp;TEXT($D31,"#,##0")&amp;"원의 입금이 확인되지 않아 연락드립니다. 그중 "&amp;설정!$B$6&amp;"일이 지난 금액은 "&amp;TEXT($E31,"#,##0")&amp;"원입니다. 이미 입금하셨다면 입금자명을 알려 주시면 확인하겠습니다. 확인 부탁드립니다.")</f>
        <v/>
      </c>
      <c r="J31" s="31">
        <f>IF($A31="","",MATCH(LARGE(거래처별!$S$8:$S$307,$A31),거래처별!$S$8:$S$307,0))</f>
        <v/>
      </c>
    </row>
    <row r="32">
      <c r="A32" s="38">
        <f>IF(26&gt;COUNT(거래처별!$S$8:$S$307),"",26)</f>
        <v/>
      </c>
      <c r="B32" s="38">
        <f>IF($A32="","",INDEX(거래처별!$C$8:$C$307,$J32))</f>
        <v/>
      </c>
      <c r="C32" s="38">
        <f>IF($A32="","",INDEX(거래처별!$B$8:$B$307,$J32))</f>
        <v/>
      </c>
      <c r="D32" s="44">
        <f>IF($A32="","",INDEX(거래처별!$G$8:$G$307,$J32))</f>
        <v/>
      </c>
      <c r="E32" s="44">
        <f>IF($A32="","",INDEX(거래처별!$I$8:$I$307,$J32)+INDEX(거래처별!$J$8:$J$307,$J32)+INDEX(거래처별!$K$8:$K$307,$J32))</f>
        <v/>
      </c>
      <c r="F32" s="38">
        <f>IF($A32="","",INDEX(거래처별!$P$8:$P$307,$J32))</f>
        <v/>
      </c>
      <c r="G32" s="38">
        <f>IF($A32="","",IF(INDEX(거래처별!$M$8:$M$307,$J32)="","미연락",INDEX(거래처별!$M$8:$M$307,$J32)))</f>
        <v/>
      </c>
      <c r="H32" s="47">
        <f>IF($A32="","",$B32&amp;" 담당자님, 안녕하세요. "&amp;설정!$B$3&amp;"입니다. "&amp;MONTH(설정!$B$5)&amp;"월 "&amp;DAY(설정!$B$5)&amp;"일 기준으로 거래대금 "&amp;TEXT($D32,"#,##0")&amp;"원의 입금이 확인되지 않아 연락드립니다. 그중 "&amp;설정!$B$6&amp;"일이 지난 금액은 "&amp;TEXT($E32,"#,##0")&amp;"원입니다. 이미 입금하셨다면 입금자명을 알려 주시면 확인하겠습니다. 확인 부탁드립니다.")</f>
        <v/>
      </c>
      <c r="J32" s="31">
        <f>IF($A32="","",MATCH(LARGE(거래처별!$S$8:$S$307,$A32),거래처별!$S$8:$S$307,0))</f>
        <v/>
      </c>
    </row>
    <row r="33">
      <c r="A33" s="38">
        <f>IF(27&gt;COUNT(거래처별!$S$8:$S$307),"",27)</f>
        <v/>
      </c>
      <c r="B33" s="38">
        <f>IF($A33="","",INDEX(거래처별!$C$8:$C$307,$J33))</f>
        <v/>
      </c>
      <c r="C33" s="38">
        <f>IF($A33="","",INDEX(거래처별!$B$8:$B$307,$J33))</f>
        <v/>
      </c>
      <c r="D33" s="44">
        <f>IF($A33="","",INDEX(거래처별!$G$8:$G$307,$J33))</f>
        <v/>
      </c>
      <c r="E33" s="44">
        <f>IF($A33="","",INDEX(거래처별!$I$8:$I$307,$J33)+INDEX(거래처별!$J$8:$J$307,$J33)+INDEX(거래처별!$K$8:$K$307,$J33))</f>
        <v/>
      </c>
      <c r="F33" s="38">
        <f>IF($A33="","",INDEX(거래처별!$P$8:$P$307,$J33))</f>
        <v/>
      </c>
      <c r="G33" s="38">
        <f>IF($A33="","",IF(INDEX(거래처별!$M$8:$M$307,$J33)="","미연락",INDEX(거래처별!$M$8:$M$307,$J33)))</f>
        <v/>
      </c>
      <c r="H33" s="47">
        <f>IF($A33="","",$B33&amp;" 담당자님, 안녕하세요. "&amp;설정!$B$3&amp;"입니다. "&amp;MONTH(설정!$B$5)&amp;"월 "&amp;DAY(설정!$B$5)&amp;"일 기준으로 거래대금 "&amp;TEXT($D33,"#,##0")&amp;"원의 입금이 확인되지 않아 연락드립니다. 그중 "&amp;설정!$B$6&amp;"일이 지난 금액은 "&amp;TEXT($E33,"#,##0")&amp;"원입니다. 이미 입금하셨다면 입금자명을 알려 주시면 확인하겠습니다. 확인 부탁드립니다.")</f>
        <v/>
      </c>
      <c r="J33" s="31">
        <f>IF($A33="","",MATCH(LARGE(거래처별!$S$8:$S$307,$A33),거래처별!$S$8:$S$307,0))</f>
        <v/>
      </c>
    </row>
    <row r="34">
      <c r="A34" s="38">
        <f>IF(28&gt;COUNT(거래처별!$S$8:$S$307),"",28)</f>
        <v/>
      </c>
      <c r="B34" s="38">
        <f>IF($A34="","",INDEX(거래처별!$C$8:$C$307,$J34))</f>
        <v/>
      </c>
      <c r="C34" s="38">
        <f>IF($A34="","",INDEX(거래처별!$B$8:$B$307,$J34))</f>
        <v/>
      </c>
      <c r="D34" s="44">
        <f>IF($A34="","",INDEX(거래처별!$G$8:$G$307,$J34))</f>
        <v/>
      </c>
      <c r="E34" s="44">
        <f>IF($A34="","",INDEX(거래처별!$I$8:$I$307,$J34)+INDEX(거래처별!$J$8:$J$307,$J34)+INDEX(거래처별!$K$8:$K$307,$J34))</f>
        <v/>
      </c>
      <c r="F34" s="38">
        <f>IF($A34="","",INDEX(거래처별!$P$8:$P$307,$J34))</f>
        <v/>
      </c>
      <c r="G34" s="38">
        <f>IF($A34="","",IF(INDEX(거래처별!$M$8:$M$307,$J34)="","미연락",INDEX(거래처별!$M$8:$M$307,$J34)))</f>
        <v/>
      </c>
      <c r="H34" s="47">
        <f>IF($A34="","",$B34&amp;" 담당자님, 안녕하세요. "&amp;설정!$B$3&amp;"입니다. "&amp;MONTH(설정!$B$5)&amp;"월 "&amp;DAY(설정!$B$5)&amp;"일 기준으로 거래대금 "&amp;TEXT($D34,"#,##0")&amp;"원의 입금이 확인되지 않아 연락드립니다. 그중 "&amp;설정!$B$6&amp;"일이 지난 금액은 "&amp;TEXT($E34,"#,##0")&amp;"원입니다. 이미 입금하셨다면 입금자명을 알려 주시면 확인하겠습니다. 확인 부탁드립니다.")</f>
        <v/>
      </c>
      <c r="J34" s="31">
        <f>IF($A34="","",MATCH(LARGE(거래처별!$S$8:$S$307,$A34),거래처별!$S$8:$S$307,0))</f>
        <v/>
      </c>
    </row>
    <row r="35">
      <c r="A35" s="38">
        <f>IF(29&gt;COUNT(거래처별!$S$8:$S$307),"",29)</f>
        <v/>
      </c>
      <c r="B35" s="38">
        <f>IF($A35="","",INDEX(거래처별!$C$8:$C$307,$J35))</f>
        <v/>
      </c>
      <c r="C35" s="38">
        <f>IF($A35="","",INDEX(거래처별!$B$8:$B$307,$J35))</f>
        <v/>
      </c>
      <c r="D35" s="44">
        <f>IF($A35="","",INDEX(거래처별!$G$8:$G$307,$J35))</f>
        <v/>
      </c>
      <c r="E35" s="44">
        <f>IF($A35="","",INDEX(거래처별!$I$8:$I$307,$J35)+INDEX(거래처별!$J$8:$J$307,$J35)+INDEX(거래처별!$K$8:$K$307,$J35))</f>
        <v/>
      </c>
      <c r="F35" s="38">
        <f>IF($A35="","",INDEX(거래처별!$P$8:$P$307,$J35))</f>
        <v/>
      </c>
      <c r="G35" s="38">
        <f>IF($A35="","",IF(INDEX(거래처별!$M$8:$M$307,$J35)="","미연락",INDEX(거래처별!$M$8:$M$307,$J35)))</f>
        <v/>
      </c>
      <c r="H35" s="47">
        <f>IF($A35="","",$B35&amp;" 담당자님, 안녕하세요. "&amp;설정!$B$3&amp;"입니다. "&amp;MONTH(설정!$B$5)&amp;"월 "&amp;DAY(설정!$B$5)&amp;"일 기준으로 거래대금 "&amp;TEXT($D35,"#,##0")&amp;"원의 입금이 확인되지 않아 연락드립니다. 그중 "&amp;설정!$B$6&amp;"일이 지난 금액은 "&amp;TEXT($E35,"#,##0")&amp;"원입니다. 이미 입금하셨다면 입금자명을 알려 주시면 확인하겠습니다. 확인 부탁드립니다.")</f>
        <v/>
      </c>
      <c r="J35" s="31">
        <f>IF($A35="","",MATCH(LARGE(거래처별!$S$8:$S$307,$A35),거래처별!$S$8:$S$307,0))</f>
        <v/>
      </c>
    </row>
    <row r="36">
      <c r="A36" s="38">
        <f>IF(30&gt;COUNT(거래처별!$S$8:$S$307),"",30)</f>
        <v/>
      </c>
      <c r="B36" s="38">
        <f>IF($A36="","",INDEX(거래처별!$C$8:$C$307,$J36))</f>
        <v/>
      </c>
      <c r="C36" s="38">
        <f>IF($A36="","",INDEX(거래처별!$B$8:$B$307,$J36))</f>
        <v/>
      </c>
      <c r="D36" s="44">
        <f>IF($A36="","",INDEX(거래처별!$G$8:$G$307,$J36))</f>
        <v/>
      </c>
      <c r="E36" s="44">
        <f>IF($A36="","",INDEX(거래처별!$I$8:$I$307,$J36)+INDEX(거래처별!$J$8:$J$307,$J36)+INDEX(거래처별!$K$8:$K$307,$J36))</f>
        <v/>
      </c>
      <c r="F36" s="38">
        <f>IF($A36="","",INDEX(거래처별!$P$8:$P$307,$J36))</f>
        <v/>
      </c>
      <c r="G36" s="38">
        <f>IF($A36="","",IF(INDEX(거래처별!$M$8:$M$307,$J36)="","미연락",INDEX(거래처별!$M$8:$M$307,$J36)))</f>
        <v/>
      </c>
      <c r="H36" s="47">
        <f>IF($A36="","",$B36&amp;" 담당자님, 안녕하세요. "&amp;설정!$B$3&amp;"입니다. "&amp;MONTH(설정!$B$5)&amp;"월 "&amp;DAY(설정!$B$5)&amp;"일 기준으로 거래대금 "&amp;TEXT($D36,"#,##0")&amp;"원의 입금이 확인되지 않아 연락드립니다. 그중 "&amp;설정!$B$6&amp;"일이 지난 금액은 "&amp;TEXT($E36,"#,##0")&amp;"원입니다. 이미 입금하셨다면 입금자명을 알려 주시면 확인하겠습니다. 확인 부탁드립니다.")</f>
        <v/>
      </c>
      <c r="J36" s="31">
        <f>IF($A36="","",MATCH(LARGE(거래처별!$S$8:$S$307,$A36),거래처별!$S$8:$S$307,0))</f>
        <v/>
      </c>
    </row>
    <row r="37">
      <c r="A37" s="38">
        <f>IF(31&gt;COUNT(거래처별!$S$8:$S$307),"",31)</f>
        <v/>
      </c>
      <c r="B37" s="38">
        <f>IF($A37="","",INDEX(거래처별!$C$8:$C$307,$J37))</f>
        <v/>
      </c>
      <c r="C37" s="38">
        <f>IF($A37="","",INDEX(거래처별!$B$8:$B$307,$J37))</f>
        <v/>
      </c>
      <c r="D37" s="44">
        <f>IF($A37="","",INDEX(거래처별!$G$8:$G$307,$J37))</f>
        <v/>
      </c>
      <c r="E37" s="44">
        <f>IF($A37="","",INDEX(거래처별!$I$8:$I$307,$J37)+INDEX(거래처별!$J$8:$J$307,$J37)+INDEX(거래처별!$K$8:$K$307,$J37))</f>
        <v/>
      </c>
      <c r="F37" s="38">
        <f>IF($A37="","",INDEX(거래처별!$P$8:$P$307,$J37))</f>
        <v/>
      </c>
      <c r="G37" s="38">
        <f>IF($A37="","",IF(INDEX(거래처별!$M$8:$M$307,$J37)="","미연락",INDEX(거래처별!$M$8:$M$307,$J37)))</f>
        <v/>
      </c>
      <c r="H37" s="47">
        <f>IF($A37="","",$B37&amp;" 담당자님, 안녕하세요. "&amp;설정!$B$3&amp;"입니다. "&amp;MONTH(설정!$B$5)&amp;"월 "&amp;DAY(설정!$B$5)&amp;"일 기준으로 거래대금 "&amp;TEXT($D37,"#,##0")&amp;"원의 입금이 확인되지 않아 연락드립니다. 그중 "&amp;설정!$B$6&amp;"일이 지난 금액은 "&amp;TEXT($E37,"#,##0")&amp;"원입니다. 이미 입금하셨다면 입금자명을 알려 주시면 확인하겠습니다. 확인 부탁드립니다.")</f>
        <v/>
      </c>
      <c r="J37" s="31">
        <f>IF($A37="","",MATCH(LARGE(거래처별!$S$8:$S$307,$A37),거래처별!$S$8:$S$307,0))</f>
        <v/>
      </c>
    </row>
    <row r="38">
      <c r="A38" s="38">
        <f>IF(32&gt;COUNT(거래처별!$S$8:$S$307),"",32)</f>
        <v/>
      </c>
      <c r="B38" s="38">
        <f>IF($A38="","",INDEX(거래처별!$C$8:$C$307,$J38))</f>
        <v/>
      </c>
      <c r="C38" s="38">
        <f>IF($A38="","",INDEX(거래처별!$B$8:$B$307,$J38))</f>
        <v/>
      </c>
      <c r="D38" s="44">
        <f>IF($A38="","",INDEX(거래처별!$G$8:$G$307,$J38))</f>
        <v/>
      </c>
      <c r="E38" s="44">
        <f>IF($A38="","",INDEX(거래처별!$I$8:$I$307,$J38)+INDEX(거래처별!$J$8:$J$307,$J38)+INDEX(거래처별!$K$8:$K$307,$J38))</f>
        <v/>
      </c>
      <c r="F38" s="38">
        <f>IF($A38="","",INDEX(거래처별!$P$8:$P$307,$J38))</f>
        <v/>
      </c>
      <c r="G38" s="38">
        <f>IF($A38="","",IF(INDEX(거래처별!$M$8:$M$307,$J38)="","미연락",INDEX(거래처별!$M$8:$M$307,$J38)))</f>
        <v/>
      </c>
      <c r="H38" s="47">
        <f>IF($A38="","",$B38&amp;" 담당자님, 안녕하세요. "&amp;설정!$B$3&amp;"입니다. "&amp;MONTH(설정!$B$5)&amp;"월 "&amp;DAY(설정!$B$5)&amp;"일 기준으로 거래대금 "&amp;TEXT($D38,"#,##0")&amp;"원의 입금이 확인되지 않아 연락드립니다. 그중 "&amp;설정!$B$6&amp;"일이 지난 금액은 "&amp;TEXT($E38,"#,##0")&amp;"원입니다. 이미 입금하셨다면 입금자명을 알려 주시면 확인하겠습니다. 확인 부탁드립니다.")</f>
        <v/>
      </c>
      <c r="J38" s="31">
        <f>IF($A38="","",MATCH(LARGE(거래처별!$S$8:$S$307,$A38),거래처별!$S$8:$S$307,0))</f>
        <v/>
      </c>
    </row>
    <row r="39">
      <c r="A39" s="38">
        <f>IF(33&gt;COUNT(거래처별!$S$8:$S$307),"",33)</f>
        <v/>
      </c>
      <c r="B39" s="38">
        <f>IF($A39="","",INDEX(거래처별!$C$8:$C$307,$J39))</f>
        <v/>
      </c>
      <c r="C39" s="38">
        <f>IF($A39="","",INDEX(거래처별!$B$8:$B$307,$J39))</f>
        <v/>
      </c>
      <c r="D39" s="44">
        <f>IF($A39="","",INDEX(거래처별!$G$8:$G$307,$J39))</f>
        <v/>
      </c>
      <c r="E39" s="44">
        <f>IF($A39="","",INDEX(거래처별!$I$8:$I$307,$J39)+INDEX(거래처별!$J$8:$J$307,$J39)+INDEX(거래처별!$K$8:$K$307,$J39))</f>
        <v/>
      </c>
      <c r="F39" s="38">
        <f>IF($A39="","",INDEX(거래처별!$P$8:$P$307,$J39))</f>
        <v/>
      </c>
      <c r="G39" s="38">
        <f>IF($A39="","",IF(INDEX(거래처별!$M$8:$M$307,$J39)="","미연락",INDEX(거래처별!$M$8:$M$307,$J39)))</f>
        <v/>
      </c>
      <c r="H39" s="47">
        <f>IF($A39="","",$B39&amp;" 담당자님, 안녕하세요. "&amp;설정!$B$3&amp;"입니다. "&amp;MONTH(설정!$B$5)&amp;"월 "&amp;DAY(설정!$B$5)&amp;"일 기준으로 거래대금 "&amp;TEXT($D39,"#,##0")&amp;"원의 입금이 확인되지 않아 연락드립니다. 그중 "&amp;설정!$B$6&amp;"일이 지난 금액은 "&amp;TEXT($E39,"#,##0")&amp;"원입니다. 이미 입금하셨다면 입금자명을 알려 주시면 확인하겠습니다. 확인 부탁드립니다.")</f>
        <v/>
      </c>
      <c r="J39" s="31">
        <f>IF($A39="","",MATCH(LARGE(거래처별!$S$8:$S$307,$A39),거래처별!$S$8:$S$307,0))</f>
        <v/>
      </c>
    </row>
    <row r="40">
      <c r="A40" s="38">
        <f>IF(34&gt;COUNT(거래처별!$S$8:$S$307),"",34)</f>
        <v/>
      </c>
      <c r="B40" s="38">
        <f>IF($A40="","",INDEX(거래처별!$C$8:$C$307,$J40))</f>
        <v/>
      </c>
      <c r="C40" s="38">
        <f>IF($A40="","",INDEX(거래처별!$B$8:$B$307,$J40))</f>
        <v/>
      </c>
      <c r="D40" s="44">
        <f>IF($A40="","",INDEX(거래처별!$G$8:$G$307,$J40))</f>
        <v/>
      </c>
      <c r="E40" s="44">
        <f>IF($A40="","",INDEX(거래처별!$I$8:$I$307,$J40)+INDEX(거래처별!$J$8:$J$307,$J40)+INDEX(거래처별!$K$8:$K$307,$J40))</f>
        <v/>
      </c>
      <c r="F40" s="38">
        <f>IF($A40="","",INDEX(거래처별!$P$8:$P$307,$J40))</f>
        <v/>
      </c>
      <c r="G40" s="38">
        <f>IF($A40="","",IF(INDEX(거래처별!$M$8:$M$307,$J40)="","미연락",INDEX(거래처별!$M$8:$M$307,$J40)))</f>
        <v/>
      </c>
      <c r="H40" s="47">
        <f>IF($A40="","",$B40&amp;" 담당자님, 안녕하세요. "&amp;설정!$B$3&amp;"입니다. "&amp;MONTH(설정!$B$5)&amp;"월 "&amp;DAY(설정!$B$5)&amp;"일 기준으로 거래대금 "&amp;TEXT($D40,"#,##0")&amp;"원의 입금이 확인되지 않아 연락드립니다. 그중 "&amp;설정!$B$6&amp;"일이 지난 금액은 "&amp;TEXT($E40,"#,##0")&amp;"원입니다. 이미 입금하셨다면 입금자명을 알려 주시면 확인하겠습니다. 확인 부탁드립니다.")</f>
        <v/>
      </c>
      <c r="J40" s="31">
        <f>IF($A40="","",MATCH(LARGE(거래처별!$S$8:$S$307,$A40),거래처별!$S$8:$S$307,0))</f>
        <v/>
      </c>
    </row>
    <row r="41">
      <c r="A41" s="38">
        <f>IF(35&gt;COUNT(거래처별!$S$8:$S$307),"",35)</f>
        <v/>
      </c>
      <c r="B41" s="38">
        <f>IF($A41="","",INDEX(거래처별!$C$8:$C$307,$J41))</f>
        <v/>
      </c>
      <c r="C41" s="38">
        <f>IF($A41="","",INDEX(거래처별!$B$8:$B$307,$J41))</f>
        <v/>
      </c>
      <c r="D41" s="44">
        <f>IF($A41="","",INDEX(거래처별!$G$8:$G$307,$J41))</f>
        <v/>
      </c>
      <c r="E41" s="44">
        <f>IF($A41="","",INDEX(거래처별!$I$8:$I$307,$J41)+INDEX(거래처별!$J$8:$J$307,$J41)+INDEX(거래처별!$K$8:$K$307,$J41))</f>
        <v/>
      </c>
      <c r="F41" s="38">
        <f>IF($A41="","",INDEX(거래처별!$P$8:$P$307,$J41))</f>
        <v/>
      </c>
      <c r="G41" s="38">
        <f>IF($A41="","",IF(INDEX(거래처별!$M$8:$M$307,$J41)="","미연락",INDEX(거래처별!$M$8:$M$307,$J41)))</f>
        <v/>
      </c>
      <c r="H41" s="47">
        <f>IF($A41="","",$B41&amp;" 담당자님, 안녕하세요. "&amp;설정!$B$3&amp;"입니다. "&amp;MONTH(설정!$B$5)&amp;"월 "&amp;DAY(설정!$B$5)&amp;"일 기준으로 거래대금 "&amp;TEXT($D41,"#,##0")&amp;"원의 입금이 확인되지 않아 연락드립니다. 그중 "&amp;설정!$B$6&amp;"일이 지난 금액은 "&amp;TEXT($E41,"#,##0")&amp;"원입니다. 이미 입금하셨다면 입금자명을 알려 주시면 확인하겠습니다. 확인 부탁드립니다.")</f>
        <v/>
      </c>
      <c r="J41" s="31">
        <f>IF($A41="","",MATCH(LARGE(거래처별!$S$8:$S$307,$A41),거래처별!$S$8:$S$307,0))</f>
        <v/>
      </c>
    </row>
    <row r="42">
      <c r="A42" s="38">
        <f>IF(36&gt;COUNT(거래처별!$S$8:$S$307),"",36)</f>
        <v/>
      </c>
      <c r="B42" s="38">
        <f>IF($A42="","",INDEX(거래처별!$C$8:$C$307,$J42))</f>
        <v/>
      </c>
      <c r="C42" s="38">
        <f>IF($A42="","",INDEX(거래처별!$B$8:$B$307,$J42))</f>
        <v/>
      </c>
      <c r="D42" s="44">
        <f>IF($A42="","",INDEX(거래처별!$G$8:$G$307,$J42))</f>
        <v/>
      </c>
      <c r="E42" s="44">
        <f>IF($A42="","",INDEX(거래처별!$I$8:$I$307,$J42)+INDEX(거래처별!$J$8:$J$307,$J42)+INDEX(거래처별!$K$8:$K$307,$J42))</f>
        <v/>
      </c>
      <c r="F42" s="38">
        <f>IF($A42="","",INDEX(거래처별!$P$8:$P$307,$J42))</f>
        <v/>
      </c>
      <c r="G42" s="38">
        <f>IF($A42="","",IF(INDEX(거래처별!$M$8:$M$307,$J42)="","미연락",INDEX(거래처별!$M$8:$M$307,$J42)))</f>
        <v/>
      </c>
      <c r="H42" s="47">
        <f>IF($A42="","",$B42&amp;" 담당자님, 안녕하세요. "&amp;설정!$B$3&amp;"입니다. "&amp;MONTH(설정!$B$5)&amp;"월 "&amp;DAY(설정!$B$5)&amp;"일 기준으로 거래대금 "&amp;TEXT($D42,"#,##0")&amp;"원의 입금이 확인되지 않아 연락드립니다. 그중 "&amp;설정!$B$6&amp;"일이 지난 금액은 "&amp;TEXT($E42,"#,##0")&amp;"원입니다. 이미 입금하셨다면 입금자명을 알려 주시면 확인하겠습니다. 확인 부탁드립니다.")</f>
        <v/>
      </c>
      <c r="J42" s="31">
        <f>IF($A42="","",MATCH(LARGE(거래처별!$S$8:$S$307,$A42),거래처별!$S$8:$S$307,0))</f>
        <v/>
      </c>
    </row>
    <row r="43">
      <c r="A43" s="38">
        <f>IF(37&gt;COUNT(거래처별!$S$8:$S$307),"",37)</f>
        <v/>
      </c>
      <c r="B43" s="38">
        <f>IF($A43="","",INDEX(거래처별!$C$8:$C$307,$J43))</f>
        <v/>
      </c>
      <c r="C43" s="38">
        <f>IF($A43="","",INDEX(거래처별!$B$8:$B$307,$J43))</f>
        <v/>
      </c>
      <c r="D43" s="44">
        <f>IF($A43="","",INDEX(거래처별!$G$8:$G$307,$J43))</f>
        <v/>
      </c>
      <c r="E43" s="44">
        <f>IF($A43="","",INDEX(거래처별!$I$8:$I$307,$J43)+INDEX(거래처별!$J$8:$J$307,$J43)+INDEX(거래처별!$K$8:$K$307,$J43))</f>
        <v/>
      </c>
      <c r="F43" s="38">
        <f>IF($A43="","",INDEX(거래처별!$P$8:$P$307,$J43))</f>
        <v/>
      </c>
      <c r="G43" s="38">
        <f>IF($A43="","",IF(INDEX(거래처별!$M$8:$M$307,$J43)="","미연락",INDEX(거래처별!$M$8:$M$307,$J43)))</f>
        <v/>
      </c>
      <c r="H43" s="47">
        <f>IF($A43="","",$B43&amp;" 담당자님, 안녕하세요. "&amp;설정!$B$3&amp;"입니다. "&amp;MONTH(설정!$B$5)&amp;"월 "&amp;DAY(설정!$B$5)&amp;"일 기준으로 거래대금 "&amp;TEXT($D43,"#,##0")&amp;"원의 입금이 확인되지 않아 연락드립니다. 그중 "&amp;설정!$B$6&amp;"일이 지난 금액은 "&amp;TEXT($E43,"#,##0")&amp;"원입니다. 이미 입금하셨다면 입금자명을 알려 주시면 확인하겠습니다. 확인 부탁드립니다.")</f>
        <v/>
      </c>
      <c r="J43" s="31">
        <f>IF($A43="","",MATCH(LARGE(거래처별!$S$8:$S$307,$A43),거래처별!$S$8:$S$307,0))</f>
        <v/>
      </c>
    </row>
    <row r="44">
      <c r="A44" s="38">
        <f>IF(38&gt;COUNT(거래처별!$S$8:$S$307),"",38)</f>
        <v/>
      </c>
      <c r="B44" s="38">
        <f>IF($A44="","",INDEX(거래처별!$C$8:$C$307,$J44))</f>
        <v/>
      </c>
      <c r="C44" s="38">
        <f>IF($A44="","",INDEX(거래처별!$B$8:$B$307,$J44))</f>
        <v/>
      </c>
      <c r="D44" s="44">
        <f>IF($A44="","",INDEX(거래처별!$G$8:$G$307,$J44))</f>
        <v/>
      </c>
      <c r="E44" s="44">
        <f>IF($A44="","",INDEX(거래처별!$I$8:$I$307,$J44)+INDEX(거래처별!$J$8:$J$307,$J44)+INDEX(거래처별!$K$8:$K$307,$J44))</f>
        <v/>
      </c>
      <c r="F44" s="38">
        <f>IF($A44="","",INDEX(거래처별!$P$8:$P$307,$J44))</f>
        <v/>
      </c>
      <c r="G44" s="38">
        <f>IF($A44="","",IF(INDEX(거래처별!$M$8:$M$307,$J44)="","미연락",INDEX(거래처별!$M$8:$M$307,$J44)))</f>
        <v/>
      </c>
      <c r="H44" s="47">
        <f>IF($A44="","",$B44&amp;" 담당자님, 안녕하세요. "&amp;설정!$B$3&amp;"입니다. "&amp;MONTH(설정!$B$5)&amp;"월 "&amp;DAY(설정!$B$5)&amp;"일 기준으로 거래대금 "&amp;TEXT($D44,"#,##0")&amp;"원의 입금이 확인되지 않아 연락드립니다. 그중 "&amp;설정!$B$6&amp;"일이 지난 금액은 "&amp;TEXT($E44,"#,##0")&amp;"원입니다. 이미 입금하셨다면 입금자명을 알려 주시면 확인하겠습니다. 확인 부탁드립니다.")</f>
        <v/>
      </c>
      <c r="J44" s="31">
        <f>IF($A44="","",MATCH(LARGE(거래처별!$S$8:$S$307,$A44),거래처별!$S$8:$S$307,0))</f>
        <v/>
      </c>
    </row>
    <row r="45">
      <c r="A45" s="38">
        <f>IF(39&gt;COUNT(거래처별!$S$8:$S$307),"",39)</f>
        <v/>
      </c>
      <c r="B45" s="38">
        <f>IF($A45="","",INDEX(거래처별!$C$8:$C$307,$J45))</f>
        <v/>
      </c>
      <c r="C45" s="38">
        <f>IF($A45="","",INDEX(거래처별!$B$8:$B$307,$J45))</f>
        <v/>
      </c>
      <c r="D45" s="44">
        <f>IF($A45="","",INDEX(거래처별!$G$8:$G$307,$J45))</f>
        <v/>
      </c>
      <c r="E45" s="44">
        <f>IF($A45="","",INDEX(거래처별!$I$8:$I$307,$J45)+INDEX(거래처별!$J$8:$J$307,$J45)+INDEX(거래처별!$K$8:$K$307,$J45))</f>
        <v/>
      </c>
      <c r="F45" s="38">
        <f>IF($A45="","",INDEX(거래처별!$P$8:$P$307,$J45))</f>
        <v/>
      </c>
      <c r="G45" s="38">
        <f>IF($A45="","",IF(INDEX(거래처별!$M$8:$M$307,$J45)="","미연락",INDEX(거래처별!$M$8:$M$307,$J45)))</f>
        <v/>
      </c>
      <c r="H45" s="47">
        <f>IF($A45="","",$B45&amp;" 담당자님, 안녕하세요. "&amp;설정!$B$3&amp;"입니다. "&amp;MONTH(설정!$B$5)&amp;"월 "&amp;DAY(설정!$B$5)&amp;"일 기준으로 거래대금 "&amp;TEXT($D45,"#,##0")&amp;"원의 입금이 확인되지 않아 연락드립니다. 그중 "&amp;설정!$B$6&amp;"일이 지난 금액은 "&amp;TEXT($E45,"#,##0")&amp;"원입니다. 이미 입금하셨다면 입금자명을 알려 주시면 확인하겠습니다. 확인 부탁드립니다.")</f>
        <v/>
      </c>
      <c r="J45" s="31">
        <f>IF($A45="","",MATCH(LARGE(거래처별!$S$8:$S$307,$A45),거래처별!$S$8:$S$307,0))</f>
        <v/>
      </c>
    </row>
    <row r="46">
      <c r="A46" s="38">
        <f>IF(40&gt;COUNT(거래처별!$S$8:$S$307),"",40)</f>
        <v/>
      </c>
      <c r="B46" s="38">
        <f>IF($A46="","",INDEX(거래처별!$C$8:$C$307,$J46))</f>
        <v/>
      </c>
      <c r="C46" s="38">
        <f>IF($A46="","",INDEX(거래처별!$B$8:$B$307,$J46))</f>
        <v/>
      </c>
      <c r="D46" s="44">
        <f>IF($A46="","",INDEX(거래처별!$G$8:$G$307,$J46))</f>
        <v/>
      </c>
      <c r="E46" s="44">
        <f>IF($A46="","",INDEX(거래처별!$I$8:$I$307,$J46)+INDEX(거래처별!$J$8:$J$307,$J46)+INDEX(거래처별!$K$8:$K$307,$J46))</f>
        <v/>
      </c>
      <c r="F46" s="38">
        <f>IF($A46="","",INDEX(거래처별!$P$8:$P$307,$J46))</f>
        <v/>
      </c>
      <c r="G46" s="38">
        <f>IF($A46="","",IF(INDEX(거래처별!$M$8:$M$307,$J46)="","미연락",INDEX(거래처별!$M$8:$M$307,$J46)))</f>
        <v/>
      </c>
      <c r="H46" s="47">
        <f>IF($A46="","",$B46&amp;" 담당자님, 안녕하세요. "&amp;설정!$B$3&amp;"입니다. "&amp;MONTH(설정!$B$5)&amp;"월 "&amp;DAY(설정!$B$5)&amp;"일 기준으로 거래대금 "&amp;TEXT($D46,"#,##0")&amp;"원의 입금이 확인되지 않아 연락드립니다. 그중 "&amp;설정!$B$6&amp;"일이 지난 금액은 "&amp;TEXT($E46,"#,##0")&amp;"원입니다. 이미 입금하셨다면 입금자명을 알려 주시면 확인하겠습니다. 확인 부탁드립니다.")</f>
        <v/>
      </c>
      <c r="J46" s="31">
        <f>IF($A46="","",MATCH(LARGE(거래처별!$S$8:$S$307,$A46),거래처별!$S$8:$S$307,0))</f>
        <v/>
      </c>
    </row>
    <row r="47">
      <c r="A47" s="38">
        <f>IF(41&gt;COUNT(거래처별!$S$8:$S$307),"",41)</f>
        <v/>
      </c>
      <c r="B47" s="38">
        <f>IF($A47="","",INDEX(거래처별!$C$8:$C$307,$J47))</f>
        <v/>
      </c>
      <c r="C47" s="38">
        <f>IF($A47="","",INDEX(거래처별!$B$8:$B$307,$J47))</f>
        <v/>
      </c>
      <c r="D47" s="44">
        <f>IF($A47="","",INDEX(거래처별!$G$8:$G$307,$J47))</f>
        <v/>
      </c>
      <c r="E47" s="44">
        <f>IF($A47="","",INDEX(거래처별!$I$8:$I$307,$J47)+INDEX(거래처별!$J$8:$J$307,$J47)+INDEX(거래처별!$K$8:$K$307,$J47))</f>
        <v/>
      </c>
      <c r="F47" s="38">
        <f>IF($A47="","",INDEX(거래처별!$P$8:$P$307,$J47))</f>
        <v/>
      </c>
      <c r="G47" s="38">
        <f>IF($A47="","",IF(INDEX(거래처별!$M$8:$M$307,$J47)="","미연락",INDEX(거래처별!$M$8:$M$307,$J47)))</f>
        <v/>
      </c>
      <c r="H47" s="47">
        <f>IF($A47="","",$B47&amp;" 담당자님, 안녕하세요. "&amp;설정!$B$3&amp;"입니다. "&amp;MONTH(설정!$B$5)&amp;"월 "&amp;DAY(설정!$B$5)&amp;"일 기준으로 거래대금 "&amp;TEXT($D47,"#,##0")&amp;"원의 입금이 확인되지 않아 연락드립니다. 그중 "&amp;설정!$B$6&amp;"일이 지난 금액은 "&amp;TEXT($E47,"#,##0")&amp;"원입니다. 이미 입금하셨다면 입금자명을 알려 주시면 확인하겠습니다. 확인 부탁드립니다.")</f>
        <v/>
      </c>
      <c r="J47" s="31">
        <f>IF($A47="","",MATCH(LARGE(거래처별!$S$8:$S$307,$A47),거래처별!$S$8:$S$307,0))</f>
        <v/>
      </c>
    </row>
    <row r="48">
      <c r="A48" s="38">
        <f>IF(42&gt;COUNT(거래처별!$S$8:$S$307),"",42)</f>
        <v/>
      </c>
      <c r="B48" s="38">
        <f>IF($A48="","",INDEX(거래처별!$C$8:$C$307,$J48))</f>
        <v/>
      </c>
      <c r="C48" s="38">
        <f>IF($A48="","",INDEX(거래처별!$B$8:$B$307,$J48))</f>
        <v/>
      </c>
      <c r="D48" s="44">
        <f>IF($A48="","",INDEX(거래처별!$G$8:$G$307,$J48))</f>
        <v/>
      </c>
      <c r="E48" s="44">
        <f>IF($A48="","",INDEX(거래처별!$I$8:$I$307,$J48)+INDEX(거래처별!$J$8:$J$307,$J48)+INDEX(거래처별!$K$8:$K$307,$J48))</f>
        <v/>
      </c>
      <c r="F48" s="38">
        <f>IF($A48="","",INDEX(거래처별!$P$8:$P$307,$J48))</f>
        <v/>
      </c>
      <c r="G48" s="38">
        <f>IF($A48="","",IF(INDEX(거래처별!$M$8:$M$307,$J48)="","미연락",INDEX(거래처별!$M$8:$M$307,$J48)))</f>
        <v/>
      </c>
      <c r="H48" s="47">
        <f>IF($A48="","",$B48&amp;" 담당자님, 안녕하세요. "&amp;설정!$B$3&amp;"입니다. "&amp;MONTH(설정!$B$5)&amp;"월 "&amp;DAY(설정!$B$5)&amp;"일 기준으로 거래대금 "&amp;TEXT($D48,"#,##0")&amp;"원의 입금이 확인되지 않아 연락드립니다. 그중 "&amp;설정!$B$6&amp;"일이 지난 금액은 "&amp;TEXT($E48,"#,##0")&amp;"원입니다. 이미 입금하셨다면 입금자명을 알려 주시면 확인하겠습니다. 확인 부탁드립니다.")</f>
        <v/>
      </c>
      <c r="J48" s="31">
        <f>IF($A48="","",MATCH(LARGE(거래처별!$S$8:$S$307,$A48),거래처별!$S$8:$S$307,0))</f>
        <v/>
      </c>
    </row>
    <row r="49">
      <c r="A49" s="38">
        <f>IF(43&gt;COUNT(거래처별!$S$8:$S$307),"",43)</f>
        <v/>
      </c>
      <c r="B49" s="38">
        <f>IF($A49="","",INDEX(거래처별!$C$8:$C$307,$J49))</f>
        <v/>
      </c>
      <c r="C49" s="38">
        <f>IF($A49="","",INDEX(거래처별!$B$8:$B$307,$J49))</f>
        <v/>
      </c>
      <c r="D49" s="44">
        <f>IF($A49="","",INDEX(거래처별!$G$8:$G$307,$J49))</f>
        <v/>
      </c>
      <c r="E49" s="44">
        <f>IF($A49="","",INDEX(거래처별!$I$8:$I$307,$J49)+INDEX(거래처별!$J$8:$J$307,$J49)+INDEX(거래처별!$K$8:$K$307,$J49))</f>
        <v/>
      </c>
      <c r="F49" s="38">
        <f>IF($A49="","",INDEX(거래처별!$P$8:$P$307,$J49))</f>
        <v/>
      </c>
      <c r="G49" s="38">
        <f>IF($A49="","",IF(INDEX(거래처별!$M$8:$M$307,$J49)="","미연락",INDEX(거래처별!$M$8:$M$307,$J49)))</f>
        <v/>
      </c>
      <c r="H49" s="47">
        <f>IF($A49="","",$B49&amp;" 담당자님, 안녕하세요. "&amp;설정!$B$3&amp;"입니다. "&amp;MONTH(설정!$B$5)&amp;"월 "&amp;DAY(설정!$B$5)&amp;"일 기준으로 거래대금 "&amp;TEXT($D49,"#,##0")&amp;"원의 입금이 확인되지 않아 연락드립니다. 그중 "&amp;설정!$B$6&amp;"일이 지난 금액은 "&amp;TEXT($E49,"#,##0")&amp;"원입니다. 이미 입금하셨다면 입금자명을 알려 주시면 확인하겠습니다. 확인 부탁드립니다.")</f>
        <v/>
      </c>
      <c r="J49" s="31">
        <f>IF($A49="","",MATCH(LARGE(거래처별!$S$8:$S$307,$A49),거래처별!$S$8:$S$307,0))</f>
        <v/>
      </c>
    </row>
    <row r="50">
      <c r="A50" s="38">
        <f>IF(44&gt;COUNT(거래처별!$S$8:$S$307),"",44)</f>
        <v/>
      </c>
      <c r="B50" s="38">
        <f>IF($A50="","",INDEX(거래처별!$C$8:$C$307,$J50))</f>
        <v/>
      </c>
      <c r="C50" s="38">
        <f>IF($A50="","",INDEX(거래처별!$B$8:$B$307,$J50))</f>
        <v/>
      </c>
      <c r="D50" s="44">
        <f>IF($A50="","",INDEX(거래처별!$G$8:$G$307,$J50))</f>
        <v/>
      </c>
      <c r="E50" s="44">
        <f>IF($A50="","",INDEX(거래처별!$I$8:$I$307,$J50)+INDEX(거래처별!$J$8:$J$307,$J50)+INDEX(거래처별!$K$8:$K$307,$J50))</f>
        <v/>
      </c>
      <c r="F50" s="38">
        <f>IF($A50="","",INDEX(거래처별!$P$8:$P$307,$J50))</f>
        <v/>
      </c>
      <c r="G50" s="38">
        <f>IF($A50="","",IF(INDEX(거래처별!$M$8:$M$307,$J50)="","미연락",INDEX(거래처별!$M$8:$M$307,$J50)))</f>
        <v/>
      </c>
      <c r="H50" s="47">
        <f>IF($A50="","",$B50&amp;" 담당자님, 안녕하세요. "&amp;설정!$B$3&amp;"입니다. "&amp;MONTH(설정!$B$5)&amp;"월 "&amp;DAY(설정!$B$5)&amp;"일 기준으로 거래대금 "&amp;TEXT($D50,"#,##0")&amp;"원의 입금이 확인되지 않아 연락드립니다. 그중 "&amp;설정!$B$6&amp;"일이 지난 금액은 "&amp;TEXT($E50,"#,##0")&amp;"원입니다. 이미 입금하셨다면 입금자명을 알려 주시면 확인하겠습니다. 확인 부탁드립니다.")</f>
        <v/>
      </c>
      <c r="J50" s="31">
        <f>IF($A50="","",MATCH(LARGE(거래처별!$S$8:$S$307,$A50),거래처별!$S$8:$S$307,0))</f>
        <v/>
      </c>
    </row>
    <row r="51">
      <c r="A51" s="38">
        <f>IF(45&gt;COUNT(거래처별!$S$8:$S$307),"",45)</f>
        <v/>
      </c>
      <c r="B51" s="38">
        <f>IF($A51="","",INDEX(거래처별!$C$8:$C$307,$J51))</f>
        <v/>
      </c>
      <c r="C51" s="38">
        <f>IF($A51="","",INDEX(거래처별!$B$8:$B$307,$J51))</f>
        <v/>
      </c>
      <c r="D51" s="44">
        <f>IF($A51="","",INDEX(거래처별!$G$8:$G$307,$J51))</f>
        <v/>
      </c>
      <c r="E51" s="44">
        <f>IF($A51="","",INDEX(거래처별!$I$8:$I$307,$J51)+INDEX(거래처별!$J$8:$J$307,$J51)+INDEX(거래처별!$K$8:$K$307,$J51))</f>
        <v/>
      </c>
      <c r="F51" s="38">
        <f>IF($A51="","",INDEX(거래처별!$P$8:$P$307,$J51))</f>
        <v/>
      </c>
      <c r="G51" s="38">
        <f>IF($A51="","",IF(INDEX(거래처별!$M$8:$M$307,$J51)="","미연락",INDEX(거래처별!$M$8:$M$307,$J51)))</f>
        <v/>
      </c>
      <c r="H51" s="47">
        <f>IF($A51="","",$B51&amp;" 담당자님, 안녕하세요. "&amp;설정!$B$3&amp;"입니다. "&amp;MONTH(설정!$B$5)&amp;"월 "&amp;DAY(설정!$B$5)&amp;"일 기준으로 거래대금 "&amp;TEXT($D51,"#,##0")&amp;"원의 입금이 확인되지 않아 연락드립니다. 그중 "&amp;설정!$B$6&amp;"일이 지난 금액은 "&amp;TEXT($E51,"#,##0")&amp;"원입니다. 이미 입금하셨다면 입금자명을 알려 주시면 확인하겠습니다. 확인 부탁드립니다.")</f>
        <v/>
      </c>
      <c r="J51" s="31">
        <f>IF($A51="","",MATCH(LARGE(거래처별!$S$8:$S$307,$A51),거래처별!$S$8:$S$307,0))</f>
        <v/>
      </c>
    </row>
    <row r="52">
      <c r="A52" s="38">
        <f>IF(46&gt;COUNT(거래처별!$S$8:$S$307),"",46)</f>
        <v/>
      </c>
      <c r="B52" s="38">
        <f>IF($A52="","",INDEX(거래처별!$C$8:$C$307,$J52))</f>
        <v/>
      </c>
      <c r="C52" s="38">
        <f>IF($A52="","",INDEX(거래처별!$B$8:$B$307,$J52))</f>
        <v/>
      </c>
      <c r="D52" s="44">
        <f>IF($A52="","",INDEX(거래처별!$G$8:$G$307,$J52))</f>
        <v/>
      </c>
      <c r="E52" s="44">
        <f>IF($A52="","",INDEX(거래처별!$I$8:$I$307,$J52)+INDEX(거래처별!$J$8:$J$307,$J52)+INDEX(거래처별!$K$8:$K$307,$J52))</f>
        <v/>
      </c>
      <c r="F52" s="38">
        <f>IF($A52="","",INDEX(거래처별!$P$8:$P$307,$J52))</f>
        <v/>
      </c>
      <c r="G52" s="38">
        <f>IF($A52="","",IF(INDEX(거래처별!$M$8:$M$307,$J52)="","미연락",INDEX(거래처별!$M$8:$M$307,$J52)))</f>
        <v/>
      </c>
      <c r="H52" s="47">
        <f>IF($A52="","",$B52&amp;" 담당자님, 안녕하세요. "&amp;설정!$B$3&amp;"입니다. "&amp;MONTH(설정!$B$5)&amp;"월 "&amp;DAY(설정!$B$5)&amp;"일 기준으로 거래대금 "&amp;TEXT($D52,"#,##0")&amp;"원의 입금이 확인되지 않아 연락드립니다. 그중 "&amp;설정!$B$6&amp;"일이 지난 금액은 "&amp;TEXT($E52,"#,##0")&amp;"원입니다. 이미 입금하셨다면 입금자명을 알려 주시면 확인하겠습니다. 확인 부탁드립니다.")</f>
        <v/>
      </c>
      <c r="J52" s="31">
        <f>IF($A52="","",MATCH(LARGE(거래처별!$S$8:$S$307,$A52),거래처별!$S$8:$S$307,0))</f>
        <v/>
      </c>
    </row>
    <row r="53">
      <c r="A53" s="38">
        <f>IF(47&gt;COUNT(거래처별!$S$8:$S$307),"",47)</f>
        <v/>
      </c>
      <c r="B53" s="38">
        <f>IF($A53="","",INDEX(거래처별!$C$8:$C$307,$J53))</f>
        <v/>
      </c>
      <c r="C53" s="38">
        <f>IF($A53="","",INDEX(거래처별!$B$8:$B$307,$J53))</f>
        <v/>
      </c>
      <c r="D53" s="44">
        <f>IF($A53="","",INDEX(거래처별!$G$8:$G$307,$J53))</f>
        <v/>
      </c>
      <c r="E53" s="44">
        <f>IF($A53="","",INDEX(거래처별!$I$8:$I$307,$J53)+INDEX(거래처별!$J$8:$J$307,$J53)+INDEX(거래처별!$K$8:$K$307,$J53))</f>
        <v/>
      </c>
      <c r="F53" s="38">
        <f>IF($A53="","",INDEX(거래처별!$P$8:$P$307,$J53))</f>
        <v/>
      </c>
      <c r="G53" s="38">
        <f>IF($A53="","",IF(INDEX(거래처별!$M$8:$M$307,$J53)="","미연락",INDEX(거래처별!$M$8:$M$307,$J53)))</f>
        <v/>
      </c>
      <c r="H53" s="47">
        <f>IF($A53="","",$B53&amp;" 담당자님, 안녕하세요. "&amp;설정!$B$3&amp;"입니다. "&amp;MONTH(설정!$B$5)&amp;"월 "&amp;DAY(설정!$B$5)&amp;"일 기준으로 거래대금 "&amp;TEXT($D53,"#,##0")&amp;"원의 입금이 확인되지 않아 연락드립니다. 그중 "&amp;설정!$B$6&amp;"일이 지난 금액은 "&amp;TEXT($E53,"#,##0")&amp;"원입니다. 이미 입금하셨다면 입금자명을 알려 주시면 확인하겠습니다. 확인 부탁드립니다.")</f>
        <v/>
      </c>
      <c r="J53" s="31">
        <f>IF($A53="","",MATCH(LARGE(거래처별!$S$8:$S$307,$A53),거래처별!$S$8:$S$307,0))</f>
        <v/>
      </c>
    </row>
    <row r="54">
      <c r="A54" s="38">
        <f>IF(48&gt;COUNT(거래처별!$S$8:$S$307),"",48)</f>
        <v/>
      </c>
      <c r="B54" s="38">
        <f>IF($A54="","",INDEX(거래처별!$C$8:$C$307,$J54))</f>
        <v/>
      </c>
      <c r="C54" s="38">
        <f>IF($A54="","",INDEX(거래처별!$B$8:$B$307,$J54))</f>
        <v/>
      </c>
      <c r="D54" s="44">
        <f>IF($A54="","",INDEX(거래처별!$G$8:$G$307,$J54))</f>
        <v/>
      </c>
      <c r="E54" s="44">
        <f>IF($A54="","",INDEX(거래처별!$I$8:$I$307,$J54)+INDEX(거래처별!$J$8:$J$307,$J54)+INDEX(거래처별!$K$8:$K$307,$J54))</f>
        <v/>
      </c>
      <c r="F54" s="38">
        <f>IF($A54="","",INDEX(거래처별!$P$8:$P$307,$J54))</f>
        <v/>
      </c>
      <c r="G54" s="38">
        <f>IF($A54="","",IF(INDEX(거래처별!$M$8:$M$307,$J54)="","미연락",INDEX(거래처별!$M$8:$M$307,$J54)))</f>
        <v/>
      </c>
      <c r="H54" s="47">
        <f>IF($A54="","",$B54&amp;" 담당자님, 안녕하세요. "&amp;설정!$B$3&amp;"입니다. "&amp;MONTH(설정!$B$5)&amp;"월 "&amp;DAY(설정!$B$5)&amp;"일 기준으로 거래대금 "&amp;TEXT($D54,"#,##0")&amp;"원의 입금이 확인되지 않아 연락드립니다. 그중 "&amp;설정!$B$6&amp;"일이 지난 금액은 "&amp;TEXT($E54,"#,##0")&amp;"원입니다. 이미 입금하셨다면 입금자명을 알려 주시면 확인하겠습니다. 확인 부탁드립니다.")</f>
        <v/>
      </c>
      <c r="J54" s="31">
        <f>IF($A54="","",MATCH(LARGE(거래처별!$S$8:$S$307,$A54),거래처별!$S$8:$S$307,0))</f>
        <v/>
      </c>
    </row>
    <row r="55">
      <c r="A55" s="38">
        <f>IF(49&gt;COUNT(거래처별!$S$8:$S$307),"",49)</f>
        <v/>
      </c>
      <c r="B55" s="38">
        <f>IF($A55="","",INDEX(거래처별!$C$8:$C$307,$J55))</f>
        <v/>
      </c>
      <c r="C55" s="38">
        <f>IF($A55="","",INDEX(거래처별!$B$8:$B$307,$J55))</f>
        <v/>
      </c>
      <c r="D55" s="44">
        <f>IF($A55="","",INDEX(거래처별!$G$8:$G$307,$J55))</f>
        <v/>
      </c>
      <c r="E55" s="44">
        <f>IF($A55="","",INDEX(거래처별!$I$8:$I$307,$J55)+INDEX(거래처별!$J$8:$J$307,$J55)+INDEX(거래처별!$K$8:$K$307,$J55))</f>
        <v/>
      </c>
      <c r="F55" s="38">
        <f>IF($A55="","",INDEX(거래처별!$P$8:$P$307,$J55))</f>
        <v/>
      </c>
      <c r="G55" s="38">
        <f>IF($A55="","",IF(INDEX(거래처별!$M$8:$M$307,$J55)="","미연락",INDEX(거래처별!$M$8:$M$307,$J55)))</f>
        <v/>
      </c>
      <c r="H55" s="47">
        <f>IF($A55="","",$B55&amp;" 담당자님, 안녕하세요. "&amp;설정!$B$3&amp;"입니다. "&amp;MONTH(설정!$B$5)&amp;"월 "&amp;DAY(설정!$B$5)&amp;"일 기준으로 거래대금 "&amp;TEXT($D55,"#,##0")&amp;"원의 입금이 확인되지 않아 연락드립니다. 그중 "&amp;설정!$B$6&amp;"일이 지난 금액은 "&amp;TEXT($E55,"#,##0")&amp;"원입니다. 이미 입금하셨다면 입금자명을 알려 주시면 확인하겠습니다. 확인 부탁드립니다.")</f>
        <v/>
      </c>
      <c r="J55" s="31">
        <f>IF($A55="","",MATCH(LARGE(거래처별!$S$8:$S$307,$A55),거래처별!$S$8:$S$307,0))</f>
        <v/>
      </c>
    </row>
    <row r="56">
      <c r="A56" s="38">
        <f>IF(50&gt;COUNT(거래처별!$S$8:$S$307),"",50)</f>
        <v/>
      </c>
      <c r="B56" s="38">
        <f>IF($A56="","",INDEX(거래처별!$C$8:$C$307,$J56))</f>
        <v/>
      </c>
      <c r="C56" s="38">
        <f>IF($A56="","",INDEX(거래처별!$B$8:$B$307,$J56))</f>
        <v/>
      </c>
      <c r="D56" s="44">
        <f>IF($A56="","",INDEX(거래처별!$G$8:$G$307,$J56))</f>
        <v/>
      </c>
      <c r="E56" s="44">
        <f>IF($A56="","",INDEX(거래처별!$I$8:$I$307,$J56)+INDEX(거래처별!$J$8:$J$307,$J56)+INDEX(거래처별!$K$8:$K$307,$J56))</f>
        <v/>
      </c>
      <c r="F56" s="38">
        <f>IF($A56="","",INDEX(거래처별!$P$8:$P$307,$J56))</f>
        <v/>
      </c>
      <c r="G56" s="38">
        <f>IF($A56="","",IF(INDEX(거래처별!$M$8:$M$307,$J56)="","미연락",INDEX(거래처별!$M$8:$M$307,$J56)))</f>
        <v/>
      </c>
      <c r="H56" s="47">
        <f>IF($A56="","",$B56&amp;" 담당자님, 안녕하세요. "&amp;설정!$B$3&amp;"입니다. "&amp;MONTH(설정!$B$5)&amp;"월 "&amp;DAY(설정!$B$5)&amp;"일 기준으로 거래대금 "&amp;TEXT($D56,"#,##0")&amp;"원의 입금이 확인되지 않아 연락드립니다. 그중 "&amp;설정!$B$6&amp;"일이 지난 금액은 "&amp;TEXT($E56,"#,##0")&amp;"원입니다. 이미 입금하셨다면 입금자명을 알려 주시면 확인하겠습니다. 확인 부탁드립니다.")</f>
        <v/>
      </c>
      <c r="J56" s="31">
        <f>IF($A56="","",MATCH(LARGE(거래처별!$S$8:$S$307,$A56),거래처별!$S$8:$S$307,0))</f>
        <v/>
      </c>
    </row>
    <row r="57">
      <c r="A57" s="38">
        <f>IF(51&gt;COUNT(거래처별!$S$8:$S$307),"",51)</f>
        <v/>
      </c>
      <c r="B57" s="38">
        <f>IF($A57="","",INDEX(거래처별!$C$8:$C$307,$J57))</f>
        <v/>
      </c>
      <c r="C57" s="38">
        <f>IF($A57="","",INDEX(거래처별!$B$8:$B$307,$J57))</f>
        <v/>
      </c>
      <c r="D57" s="44">
        <f>IF($A57="","",INDEX(거래처별!$G$8:$G$307,$J57))</f>
        <v/>
      </c>
      <c r="E57" s="44">
        <f>IF($A57="","",INDEX(거래처별!$I$8:$I$307,$J57)+INDEX(거래처별!$J$8:$J$307,$J57)+INDEX(거래처별!$K$8:$K$307,$J57))</f>
        <v/>
      </c>
      <c r="F57" s="38">
        <f>IF($A57="","",INDEX(거래처별!$P$8:$P$307,$J57))</f>
        <v/>
      </c>
      <c r="G57" s="38">
        <f>IF($A57="","",IF(INDEX(거래처별!$M$8:$M$307,$J57)="","미연락",INDEX(거래처별!$M$8:$M$307,$J57)))</f>
        <v/>
      </c>
      <c r="H57" s="47">
        <f>IF($A57="","",$B57&amp;" 담당자님, 안녕하세요. "&amp;설정!$B$3&amp;"입니다. "&amp;MONTH(설정!$B$5)&amp;"월 "&amp;DAY(설정!$B$5)&amp;"일 기준으로 거래대금 "&amp;TEXT($D57,"#,##0")&amp;"원의 입금이 확인되지 않아 연락드립니다. 그중 "&amp;설정!$B$6&amp;"일이 지난 금액은 "&amp;TEXT($E57,"#,##0")&amp;"원입니다. 이미 입금하셨다면 입금자명을 알려 주시면 확인하겠습니다. 확인 부탁드립니다.")</f>
        <v/>
      </c>
      <c r="J57" s="31">
        <f>IF($A57="","",MATCH(LARGE(거래처별!$S$8:$S$307,$A57),거래처별!$S$8:$S$307,0))</f>
        <v/>
      </c>
    </row>
    <row r="58">
      <c r="A58" s="38">
        <f>IF(52&gt;COUNT(거래처별!$S$8:$S$307),"",52)</f>
        <v/>
      </c>
      <c r="B58" s="38">
        <f>IF($A58="","",INDEX(거래처별!$C$8:$C$307,$J58))</f>
        <v/>
      </c>
      <c r="C58" s="38">
        <f>IF($A58="","",INDEX(거래처별!$B$8:$B$307,$J58))</f>
        <v/>
      </c>
      <c r="D58" s="44">
        <f>IF($A58="","",INDEX(거래처별!$G$8:$G$307,$J58))</f>
        <v/>
      </c>
      <c r="E58" s="44">
        <f>IF($A58="","",INDEX(거래처별!$I$8:$I$307,$J58)+INDEX(거래처별!$J$8:$J$307,$J58)+INDEX(거래처별!$K$8:$K$307,$J58))</f>
        <v/>
      </c>
      <c r="F58" s="38">
        <f>IF($A58="","",INDEX(거래처별!$P$8:$P$307,$J58))</f>
        <v/>
      </c>
      <c r="G58" s="38">
        <f>IF($A58="","",IF(INDEX(거래처별!$M$8:$M$307,$J58)="","미연락",INDEX(거래처별!$M$8:$M$307,$J58)))</f>
        <v/>
      </c>
      <c r="H58" s="47">
        <f>IF($A58="","",$B58&amp;" 담당자님, 안녕하세요. "&amp;설정!$B$3&amp;"입니다. "&amp;MONTH(설정!$B$5)&amp;"월 "&amp;DAY(설정!$B$5)&amp;"일 기준으로 거래대금 "&amp;TEXT($D58,"#,##0")&amp;"원의 입금이 확인되지 않아 연락드립니다. 그중 "&amp;설정!$B$6&amp;"일이 지난 금액은 "&amp;TEXT($E58,"#,##0")&amp;"원입니다. 이미 입금하셨다면 입금자명을 알려 주시면 확인하겠습니다. 확인 부탁드립니다.")</f>
        <v/>
      </c>
      <c r="J58" s="31">
        <f>IF($A58="","",MATCH(LARGE(거래처별!$S$8:$S$307,$A58),거래처별!$S$8:$S$307,0))</f>
        <v/>
      </c>
    </row>
    <row r="59">
      <c r="A59" s="38">
        <f>IF(53&gt;COUNT(거래처별!$S$8:$S$307),"",53)</f>
        <v/>
      </c>
      <c r="B59" s="38">
        <f>IF($A59="","",INDEX(거래처별!$C$8:$C$307,$J59))</f>
        <v/>
      </c>
      <c r="C59" s="38">
        <f>IF($A59="","",INDEX(거래처별!$B$8:$B$307,$J59))</f>
        <v/>
      </c>
      <c r="D59" s="44">
        <f>IF($A59="","",INDEX(거래처별!$G$8:$G$307,$J59))</f>
        <v/>
      </c>
      <c r="E59" s="44">
        <f>IF($A59="","",INDEX(거래처별!$I$8:$I$307,$J59)+INDEX(거래처별!$J$8:$J$307,$J59)+INDEX(거래처별!$K$8:$K$307,$J59))</f>
        <v/>
      </c>
      <c r="F59" s="38">
        <f>IF($A59="","",INDEX(거래처별!$P$8:$P$307,$J59))</f>
        <v/>
      </c>
      <c r="G59" s="38">
        <f>IF($A59="","",IF(INDEX(거래처별!$M$8:$M$307,$J59)="","미연락",INDEX(거래처별!$M$8:$M$307,$J59)))</f>
        <v/>
      </c>
      <c r="H59" s="47">
        <f>IF($A59="","",$B59&amp;" 담당자님, 안녕하세요. "&amp;설정!$B$3&amp;"입니다. "&amp;MONTH(설정!$B$5)&amp;"월 "&amp;DAY(설정!$B$5)&amp;"일 기준으로 거래대금 "&amp;TEXT($D59,"#,##0")&amp;"원의 입금이 확인되지 않아 연락드립니다. 그중 "&amp;설정!$B$6&amp;"일이 지난 금액은 "&amp;TEXT($E59,"#,##0")&amp;"원입니다. 이미 입금하셨다면 입금자명을 알려 주시면 확인하겠습니다. 확인 부탁드립니다.")</f>
        <v/>
      </c>
      <c r="J59" s="31">
        <f>IF($A59="","",MATCH(LARGE(거래처별!$S$8:$S$307,$A59),거래처별!$S$8:$S$307,0))</f>
        <v/>
      </c>
    </row>
    <row r="60">
      <c r="A60" s="38">
        <f>IF(54&gt;COUNT(거래처별!$S$8:$S$307),"",54)</f>
        <v/>
      </c>
      <c r="B60" s="38">
        <f>IF($A60="","",INDEX(거래처별!$C$8:$C$307,$J60))</f>
        <v/>
      </c>
      <c r="C60" s="38">
        <f>IF($A60="","",INDEX(거래처별!$B$8:$B$307,$J60))</f>
        <v/>
      </c>
      <c r="D60" s="44">
        <f>IF($A60="","",INDEX(거래처별!$G$8:$G$307,$J60))</f>
        <v/>
      </c>
      <c r="E60" s="44">
        <f>IF($A60="","",INDEX(거래처별!$I$8:$I$307,$J60)+INDEX(거래처별!$J$8:$J$307,$J60)+INDEX(거래처별!$K$8:$K$307,$J60))</f>
        <v/>
      </c>
      <c r="F60" s="38">
        <f>IF($A60="","",INDEX(거래처별!$P$8:$P$307,$J60))</f>
        <v/>
      </c>
      <c r="G60" s="38">
        <f>IF($A60="","",IF(INDEX(거래처별!$M$8:$M$307,$J60)="","미연락",INDEX(거래처별!$M$8:$M$307,$J60)))</f>
        <v/>
      </c>
      <c r="H60" s="47">
        <f>IF($A60="","",$B60&amp;" 담당자님, 안녕하세요. "&amp;설정!$B$3&amp;"입니다. "&amp;MONTH(설정!$B$5)&amp;"월 "&amp;DAY(설정!$B$5)&amp;"일 기준으로 거래대금 "&amp;TEXT($D60,"#,##0")&amp;"원의 입금이 확인되지 않아 연락드립니다. 그중 "&amp;설정!$B$6&amp;"일이 지난 금액은 "&amp;TEXT($E60,"#,##0")&amp;"원입니다. 이미 입금하셨다면 입금자명을 알려 주시면 확인하겠습니다. 확인 부탁드립니다.")</f>
        <v/>
      </c>
      <c r="J60" s="31">
        <f>IF($A60="","",MATCH(LARGE(거래처별!$S$8:$S$307,$A60),거래처별!$S$8:$S$307,0))</f>
        <v/>
      </c>
    </row>
    <row r="61">
      <c r="A61" s="38">
        <f>IF(55&gt;COUNT(거래처별!$S$8:$S$307),"",55)</f>
        <v/>
      </c>
      <c r="B61" s="38">
        <f>IF($A61="","",INDEX(거래처별!$C$8:$C$307,$J61))</f>
        <v/>
      </c>
      <c r="C61" s="38">
        <f>IF($A61="","",INDEX(거래처별!$B$8:$B$307,$J61))</f>
        <v/>
      </c>
      <c r="D61" s="44">
        <f>IF($A61="","",INDEX(거래처별!$G$8:$G$307,$J61))</f>
        <v/>
      </c>
      <c r="E61" s="44">
        <f>IF($A61="","",INDEX(거래처별!$I$8:$I$307,$J61)+INDEX(거래처별!$J$8:$J$307,$J61)+INDEX(거래처별!$K$8:$K$307,$J61))</f>
        <v/>
      </c>
      <c r="F61" s="38">
        <f>IF($A61="","",INDEX(거래처별!$P$8:$P$307,$J61))</f>
        <v/>
      </c>
      <c r="G61" s="38">
        <f>IF($A61="","",IF(INDEX(거래처별!$M$8:$M$307,$J61)="","미연락",INDEX(거래처별!$M$8:$M$307,$J61)))</f>
        <v/>
      </c>
      <c r="H61" s="47">
        <f>IF($A61="","",$B61&amp;" 담당자님, 안녕하세요. "&amp;설정!$B$3&amp;"입니다. "&amp;MONTH(설정!$B$5)&amp;"월 "&amp;DAY(설정!$B$5)&amp;"일 기준으로 거래대금 "&amp;TEXT($D61,"#,##0")&amp;"원의 입금이 확인되지 않아 연락드립니다. 그중 "&amp;설정!$B$6&amp;"일이 지난 금액은 "&amp;TEXT($E61,"#,##0")&amp;"원입니다. 이미 입금하셨다면 입금자명을 알려 주시면 확인하겠습니다. 확인 부탁드립니다.")</f>
        <v/>
      </c>
      <c r="J61" s="31">
        <f>IF($A61="","",MATCH(LARGE(거래처별!$S$8:$S$307,$A61),거래처별!$S$8:$S$307,0))</f>
        <v/>
      </c>
    </row>
    <row r="62">
      <c r="A62" s="38">
        <f>IF(56&gt;COUNT(거래처별!$S$8:$S$307),"",56)</f>
        <v/>
      </c>
      <c r="B62" s="38">
        <f>IF($A62="","",INDEX(거래처별!$C$8:$C$307,$J62))</f>
        <v/>
      </c>
      <c r="C62" s="38">
        <f>IF($A62="","",INDEX(거래처별!$B$8:$B$307,$J62))</f>
        <v/>
      </c>
      <c r="D62" s="44">
        <f>IF($A62="","",INDEX(거래처별!$G$8:$G$307,$J62))</f>
        <v/>
      </c>
      <c r="E62" s="44">
        <f>IF($A62="","",INDEX(거래처별!$I$8:$I$307,$J62)+INDEX(거래처별!$J$8:$J$307,$J62)+INDEX(거래처별!$K$8:$K$307,$J62))</f>
        <v/>
      </c>
      <c r="F62" s="38">
        <f>IF($A62="","",INDEX(거래처별!$P$8:$P$307,$J62))</f>
        <v/>
      </c>
      <c r="G62" s="38">
        <f>IF($A62="","",IF(INDEX(거래처별!$M$8:$M$307,$J62)="","미연락",INDEX(거래처별!$M$8:$M$307,$J62)))</f>
        <v/>
      </c>
      <c r="H62" s="47">
        <f>IF($A62="","",$B62&amp;" 담당자님, 안녕하세요. "&amp;설정!$B$3&amp;"입니다. "&amp;MONTH(설정!$B$5)&amp;"월 "&amp;DAY(설정!$B$5)&amp;"일 기준으로 거래대금 "&amp;TEXT($D62,"#,##0")&amp;"원의 입금이 확인되지 않아 연락드립니다. 그중 "&amp;설정!$B$6&amp;"일이 지난 금액은 "&amp;TEXT($E62,"#,##0")&amp;"원입니다. 이미 입금하셨다면 입금자명을 알려 주시면 확인하겠습니다. 확인 부탁드립니다.")</f>
        <v/>
      </c>
      <c r="J62" s="31">
        <f>IF($A62="","",MATCH(LARGE(거래처별!$S$8:$S$307,$A62),거래처별!$S$8:$S$307,0))</f>
        <v/>
      </c>
    </row>
    <row r="63">
      <c r="A63" s="38">
        <f>IF(57&gt;COUNT(거래처별!$S$8:$S$307),"",57)</f>
        <v/>
      </c>
      <c r="B63" s="38">
        <f>IF($A63="","",INDEX(거래처별!$C$8:$C$307,$J63))</f>
        <v/>
      </c>
      <c r="C63" s="38">
        <f>IF($A63="","",INDEX(거래처별!$B$8:$B$307,$J63))</f>
        <v/>
      </c>
      <c r="D63" s="44">
        <f>IF($A63="","",INDEX(거래처별!$G$8:$G$307,$J63))</f>
        <v/>
      </c>
      <c r="E63" s="44">
        <f>IF($A63="","",INDEX(거래처별!$I$8:$I$307,$J63)+INDEX(거래처별!$J$8:$J$307,$J63)+INDEX(거래처별!$K$8:$K$307,$J63))</f>
        <v/>
      </c>
      <c r="F63" s="38">
        <f>IF($A63="","",INDEX(거래처별!$P$8:$P$307,$J63))</f>
        <v/>
      </c>
      <c r="G63" s="38">
        <f>IF($A63="","",IF(INDEX(거래처별!$M$8:$M$307,$J63)="","미연락",INDEX(거래처별!$M$8:$M$307,$J63)))</f>
        <v/>
      </c>
      <c r="H63" s="47">
        <f>IF($A63="","",$B63&amp;" 담당자님, 안녕하세요. "&amp;설정!$B$3&amp;"입니다. "&amp;MONTH(설정!$B$5)&amp;"월 "&amp;DAY(설정!$B$5)&amp;"일 기준으로 거래대금 "&amp;TEXT($D63,"#,##0")&amp;"원의 입금이 확인되지 않아 연락드립니다. 그중 "&amp;설정!$B$6&amp;"일이 지난 금액은 "&amp;TEXT($E63,"#,##0")&amp;"원입니다. 이미 입금하셨다면 입금자명을 알려 주시면 확인하겠습니다. 확인 부탁드립니다.")</f>
        <v/>
      </c>
      <c r="J63" s="31">
        <f>IF($A63="","",MATCH(LARGE(거래처별!$S$8:$S$307,$A63),거래처별!$S$8:$S$307,0))</f>
        <v/>
      </c>
    </row>
    <row r="64">
      <c r="A64" s="38">
        <f>IF(58&gt;COUNT(거래처별!$S$8:$S$307),"",58)</f>
        <v/>
      </c>
      <c r="B64" s="38">
        <f>IF($A64="","",INDEX(거래처별!$C$8:$C$307,$J64))</f>
        <v/>
      </c>
      <c r="C64" s="38">
        <f>IF($A64="","",INDEX(거래처별!$B$8:$B$307,$J64))</f>
        <v/>
      </c>
      <c r="D64" s="44">
        <f>IF($A64="","",INDEX(거래처별!$G$8:$G$307,$J64))</f>
        <v/>
      </c>
      <c r="E64" s="44">
        <f>IF($A64="","",INDEX(거래처별!$I$8:$I$307,$J64)+INDEX(거래처별!$J$8:$J$307,$J64)+INDEX(거래처별!$K$8:$K$307,$J64))</f>
        <v/>
      </c>
      <c r="F64" s="38">
        <f>IF($A64="","",INDEX(거래처별!$P$8:$P$307,$J64))</f>
        <v/>
      </c>
      <c r="G64" s="38">
        <f>IF($A64="","",IF(INDEX(거래처별!$M$8:$M$307,$J64)="","미연락",INDEX(거래처별!$M$8:$M$307,$J64)))</f>
        <v/>
      </c>
      <c r="H64" s="47">
        <f>IF($A64="","",$B64&amp;" 담당자님, 안녕하세요. "&amp;설정!$B$3&amp;"입니다. "&amp;MONTH(설정!$B$5)&amp;"월 "&amp;DAY(설정!$B$5)&amp;"일 기준으로 거래대금 "&amp;TEXT($D64,"#,##0")&amp;"원의 입금이 확인되지 않아 연락드립니다. 그중 "&amp;설정!$B$6&amp;"일이 지난 금액은 "&amp;TEXT($E64,"#,##0")&amp;"원입니다. 이미 입금하셨다면 입금자명을 알려 주시면 확인하겠습니다. 확인 부탁드립니다.")</f>
        <v/>
      </c>
      <c r="J64" s="31">
        <f>IF($A64="","",MATCH(LARGE(거래처별!$S$8:$S$307,$A64),거래처별!$S$8:$S$307,0))</f>
        <v/>
      </c>
    </row>
    <row r="65">
      <c r="A65" s="38">
        <f>IF(59&gt;COUNT(거래처별!$S$8:$S$307),"",59)</f>
        <v/>
      </c>
      <c r="B65" s="38">
        <f>IF($A65="","",INDEX(거래처별!$C$8:$C$307,$J65))</f>
        <v/>
      </c>
      <c r="C65" s="38">
        <f>IF($A65="","",INDEX(거래처별!$B$8:$B$307,$J65))</f>
        <v/>
      </c>
      <c r="D65" s="44">
        <f>IF($A65="","",INDEX(거래처별!$G$8:$G$307,$J65))</f>
        <v/>
      </c>
      <c r="E65" s="44">
        <f>IF($A65="","",INDEX(거래처별!$I$8:$I$307,$J65)+INDEX(거래처별!$J$8:$J$307,$J65)+INDEX(거래처별!$K$8:$K$307,$J65))</f>
        <v/>
      </c>
      <c r="F65" s="38">
        <f>IF($A65="","",INDEX(거래처별!$P$8:$P$307,$J65))</f>
        <v/>
      </c>
      <c r="G65" s="38">
        <f>IF($A65="","",IF(INDEX(거래처별!$M$8:$M$307,$J65)="","미연락",INDEX(거래처별!$M$8:$M$307,$J65)))</f>
        <v/>
      </c>
      <c r="H65" s="47">
        <f>IF($A65="","",$B65&amp;" 담당자님, 안녕하세요. "&amp;설정!$B$3&amp;"입니다. "&amp;MONTH(설정!$B$5)&amp;"월 "&amp;DAY(설정!$B$5)&amp;"일 기준으로 거래대금 "&amp;TEXT($D65,"#,##0")&amp;"원의 입금이 확인되지 않아 연락드립니다. 그중 "&amp;설정!$B$6&amp;"일이 지난 금액은 "&amp;TEXT($E65,"#,##0")&amp;"원입니다. 이미 입금하셨다면 입금자명을 알려 주시면 확인하겠습니다. 확인 부탁드립니다.")</f>
        <v/>
      </c>
      <c r="J65" s="31">
        <f>IF($A65="","",MATCH(LARGE(거래처별!$S$8:$S$307,$A65),거래처별!$S$8:$S$307,0))</f>
        <v/>
      </c>
    </row>
    <row r="66">
      <c r="A66" s="38">
        <f>IF(60&gt;COUNT(거래처별!$S$8:$S$307),"",60)</f>
        <v/>
      </c>
      <c r="B66" s="38">
        <f>IF($A66="","",INDEX(거래처별!$C$8:$C$307,$J66))</f>
        <v/>
      </c>
      <c r="C66" s="38">
        <f>IF($A66="","",INDEX(거래처별!$B$8:$B$307,$J66))</f>
        <v/>
      </c>
      <c r="D66" s="44">
        <f>IF($A66="","",INDEX(거래처별!$G$8:$G$307,$J66))</f>
        <v/>
      </c>
      <c r="E66" s="44">
        <f>IF($A66="","",INDEX(거래처별!$I$8:$I$307,$J66)+INDEX(거래처별!$J$8:$J$307,$J66)+INDEX(거래처별!$K$8:$K$307,$J66))</f>
        <v/>
      </c>
      <c r="F66" s="38">
        <f>IF($A66="","",INDEX(거래처별!$P$8:$P$307,$J66))</f>
        <v/>
      </c>
      <c r="G66" s="38">
        <f>IF($A66="","",IF(INDEX(거래처별!$M$8:$M$307,$J66)="","미연락",INDEX(거래처별!$M$8:$M$307,$J66)))</f>
        <v/>
      </c>
      <c r="H66" s="47">
        <f>IF($A66="","",$B66&amp;" 담당자님, 안녕하세요. "&amp;설정!$B$3&amp;"입니다. "&amp;MONTH(설정!$B$5)&amp;"월 "&amp;DAY(설정!$B$5)&amp;"일 기준으로 거래대금 "&amp;TEXT($D66,"#,##0")&amp;"원의 입금이 확인되지 않아 연락드립니다. 그중 "&amp;설정!$B$6&amp;"일이 지난 금액은 "&amp;TEXT($E66,"#,##0")&amp;"원입니다. 이미 입금하셨다면 입금자명을 알려 주시면 확인하겠습니다. 확인 부탁드립니다.")</f>
        <v/>
      </c>
      <c r="J66" s="31">
        <f>IF($A66="","",MATCH(LARGE(거래처별!$S$8:$S$307,$A66),거래처별!$S$8:$S$307,0))</f>
        <v/>
      </c>
    </row>
    <row r="67">
      <c r="A67" s="38">
        <f>IF(61&gt;COUNT(거래처별!$S$8:$S$307),"",61)</f>
        <v/>
      </c>
      <c r="B67" s="38">
        <f>IF($A67="","",INDEX(거래처별!$C$8:$C$307,$J67))</f>
        <v/>
      </c>
      <c r="C67" s="38">
        <f>IF($A67="","",INDEX(거래처별!$B$8:$B$307,$J67))</f>
        <v/>
      </c>
      <c r="D67" s="44">
        <f>IF($A67="","",INDEX(거래처별!$G$8:$G$307,$J67))</f>
        <v/>
      </c>
      <c r="E67" s="44">
        <f>IF($A67="","",INDEX(거래처별!$I$8:$I$307,$J67)+INDEX(거래처별!$J$8:$J$307,$J67)+INDEX(거래처별!$K$8:$K$307,$J67))</f>
        <v/>
      </c>
      <c r="F67" s="38">
        <f>IF($A67="","",INDEX(거래처별!$P$8:$P$307,$J67))</f>
        <v/>
      </c>
      <c r="G67" s="38">
        <f>IF($A67="","",IF(INDEX(거래처별!$M$8:$M$307,$J67)="","미연락",INDEX(거래처별!$M$8:$M$307,$J67)))</f>
        <v/>
      </c>
      <c r="H67" s="47">
        <f>IF($A67="","",$B67&amp;" 담당자님, 안녕하세요. "&amp;설정!$B$3&amp;"입니다. "&amp;MONTH(설정!$B$5)&amp;"월 "&amp;DAY(설정!$B$5)&amp;"일 기준으로 거래대금 "&amp;TEXT($D67,"#,##0")&amp;"원의 입금이 확인되지 않아 연락드립니다. 그중 "&amp;설정!$B$6&amp;"일이 지난 금액은 "&amp;TEXT($E67,"#,##0")&amp;"원입니다. 이미 입금하셨다면 입금자명을 알려 주시면 확인하겠습니다. 확인 부탁드립니다.")</f>
        <v/>
      </c>
      <c r="J67" s="31">
        <f>IF($A67="","",MATCH(LARGE(거래처별!$S$8:$S$307,$A67),거래처별!$S$8:$S$307,0))</f>
        <v/>
      </c>
    </row>
    <row r="68">
      <c r="A68" s="38">
        <f>IF(62&gt;COUNT(거래처별!$S$8:$S$307),"",62)</f>
        <v/>
      </c>
      <c r="B68" s="38">
        <f>IF($A68="","",INDEX(거래처별!$C$8:$C$307,$J68))</f>
        <v/>
      </c>
      <c r="C68" s="38">
        <f>IF($A68="","",INDEX(거래처별!$B$8:$B$307,$J68))</f>
        <v/>
      </c>
      <c r="D68" s="44">
        <f>IF($A68="","",INDEX(거래처별!$G$8:$G$307,$J68))</f>
        <v/>
      </c>
      <c r="E68" s="44">
        <f>IF($A68="","",INDEX(거래처별!$I$8:$I$307,$J68)+INDEX(거래처별!$J$8:$J$307,$J68)+INDEX(거래처별!$K$8:$K$307,$J68))</f>
        <v/>
      </c>
      <c r="F68" s="38">
        <f>IF($A68="","",INDEX(거래처별!$P$8:$P$307,$J68))</f>
        <v/>
      </c>
      <c r="G68" s="38">
        <f>IF($A68="","",IF(INDEX(거래처별!$M$8:$M$307,$J68)="","미연락",INDEX(거래처별!$M$8:$M$307,$J68)))</f>
        <v/>
      </c>
      <c r="H68" s="47">
        <f>IF($A68="","",$B68&amp;" 담당자님, 안녕하세요. "&amp;설정!$B$3&amp;"입니다. "&amp;MONTH(설정!$B$5)&amp;"월 "&amp;DAY(설정!$B$5)&amp;"일 기준으로 거래대금 "&amp;TEXT($D68,"#,##0")&amp;"원의 입금이 확인되지 않아 연락드립니다. 그중 "&amp;설정!$B$6&amp;"일이 지난 금액은 "&amp;TEXT($E68,"#,##0")&amp;"원입니다. 이미 입금하셨다면 입금자명을 알려 주시면 확인하겠습니다. 확인 부탁드립니다.")</f>
        <v/>
      </c>
      <c r="J68" s="31">
        <f>IF($A68="","",MATCH(LARGE(거래처별!$S$8:$S$307,$A68),거래처별!$S$8:$S$307,0))</f>
        <v/>
      </c>
    </row>
    <row r="69">
      <c r="A69" s="38">
        <f>IF(63&gt;COUNT(거래처별!$S$8:$S$307),"",63)</f>
        <v/>
      </c>
      <c r="B69" s="38">
        <f>IF($A69="","",INDEX(거래처별!$C$8:$C$307,$J69))</f>
        <v/>
      </c>
      <c r="C69" s="38">
        <f>IF($A69="","",INDEX(거래처별!$B$8:$B$307,$J69))</f>
        <v/>
      </c>
      <c r="D69" s="44">
        <f>IF($A69="","",INDEX(거래처별!$G$8:$G$307,$J69))</f>
        <v/>
      </c>
      <c r="E69" s="44">
        <f>IF($A69="","",INDEX(거래처별!$I$8:$I$307,$J69)+INDEX(거래처별!$J$8:$J$307,$J69)+INDEX(거래처별!$K$8:$K$307,$J69))</f>
        <v/>
      </c>
      <c r="F69" s="38">
        <f>IF($A69="","",INDEX(거래처별!$P$8:$P$307,$J69))</f>
        <v/>
      </c>
      <c r="G69" s="38">
        <f>IF($A69="","",IF(INDEX(거래처별!$M$8:$M$307,$J69)="","미연락",INDEX(거래처별!$M$8:$M$307,$J69)))</f>
        <v/>
      </c>
      <c r="H69" s="47">
        <f>IF($A69="","",$B69&amp;" 담당자님, 안녕하세요. "&amp;설정!$B$3&amp;"입니다. "&amp;MONTH(설정!$B$5)&amp;"월 "&amp;DAY(설정!$B$5)&amp;"일 기준으로 거래대금 "&amp;TEXT($D69,"#,##0")&amp;"원의 입금이 확인되지 않아 연락드립니다. 그중 "&amp;설정!$B$6&amp;"일이 지난 금액은 "&amp;TEXT($E69,"#,##0")&amp;"원입니다. 이미 입금하셨다면 입금자명을 알려 주시면 확인하겠습니다. 확인 부탁드립니다.")</f>
        <v/>
      </c>
      <c r="J69" s="31">
        <f>IF($A69="","",MATCH(LARGE(거래처별!$S$8:$S$307,$A69),거래처별!$S$8:$S$307,0))</f>
        <v/>
      </c>
    </row>
    <row r="70">
      <c r="A70" s="38">
        <f>IF(64&gt;COUNT(거래처별!$S$8:$S$307),"",64)</f>
        <v/>
      </c>
      <c r="B70" s="38">
        <f>IF($A70="","",INDEX(거래처별!$C$8:$C$307,$J70))</f>
        <v/>
      </c>
      <c r="C70" s="38">
        <f>IF($A70="","",INDEX(거래처별!$B$8:$B$307,$J70))</f>
        <v/>
      </c>
      <c r="D70" s="44">
        <f>IF($A70="","",INDEX(거래처별!$G$8:$G$307,$J70))</f>
        <v/>
      </c>
      <c r="E70" s="44">
        <f>IF($A70="","",INDEX(거래처별!$I$8:$I$307,$J70)+INDEX(거래처별!$J$8:$J$307,$J70)+INDEX(거래처별!$K$8:$K$307,$J70))</f>
        <v/>
      </c>
      <c r="F70" s="38">
        <f>IF($A70="","",INDEX(거래처별!$P$8:$P$307,$J70))</f>
        <v/>
      </c>
      <c r="G70" s="38">
        <f>IF($A70="","",IF(INDEX(거래처별!$M$8:$M$307,$J70)="","미연락",INDEX(거래처별!$M$8:$M$307,$J70)))</f>
        <v/>
      </c>
      <c r="H70" s="47">
        <f>IF($A70="","",$B70&amp;" 담당자님, 안녕하세요. "&amp;설정!$B$3&amp;"입니다. "&amp;MONTH(설정!$B$5)&amp;"월 "&amp;DAY(설정!$B$5)&amp;"일 기준으로 거래대금 "&amp;TEXT($D70,"#,##0")&amp;"원의 입금이 확인되지 않아 연락드립니다. 그중 "&amp;설정!$B$6&amp;"일이 지난 금액은 "&amp;TEXT($E70,"#,##0")&amp;"원입니다. 이미 입금하셨다면 입금자명을 알려 주시면 확인하겠습니다. 확인 부탁드립니다.")</f>
        <v/>
      </c>
      <c r="J70" s="31">
        <f>IF($A70="","",MATCH(LARGE(거래처별!$S$8:$S$307,$A70),거래처별!$S$8:$S$307,0))</f>
        <v/>
      </c>
    </row>
    <row r="71">
      <c r="A71" s="38">
        <f>IF(65&gt;COUNT(거래처별!$S$8:$S$307),"",65)</f>
        <v/>
      </c>
      <c r="B71" s="38">
        <f>IF($A71="","",INDEX(거래처별!$C$8:$C$307,$J71))</f>
        <v/>
      </c>
      <c r="C71" s="38">
        <f>IF($A71="","",INDEX(거래처별!$B$8:$B$307,$J71))</f>
        <v/>
      </c>
      <c r="D71" s="44">
        <f>IF($A71="","",INDEX(거래처별!$G$8:$G$307,$J71))</f>
        <v/>
      </c>
      <c r="E71" s="44">
        <f>IF($A71="","",INDEX(거래처별!$I$8:$I$307,$J71)+INDEX(거래처별!$J$8:$J$307,$J71)+INDEX(거래처별!$K$8:$K$307,$J71))</f>
        <v/>
      </c>
      <c r="F71" s="38">
        <f>IF($A71="","",INDEX(거래처별!$P$8:$P$307,$J71))</f>
        <v/>
      </c>
      <c r="G71" s="38">
        <f>IF($A71="","",IF(INDEX(거래처별!$M$8:$M$307,$J71)="","미연락",INDEX(거래처별!$M$8:$M$307,$J71)))</f>
        <v/>
      </c>
      <c r="H71" s="47">
        <f>IF($A71="","",$B71&amp;" 담당자님, 안녕하세요. "&amp;설정!$B$3&amp;"입니다. "&amp;MONTH(설정!$B$5)&amp;"월 "&amp;DAY(설정!$B$5)&amp;"일 기준으로 거래대금 "&amp;TEXT($D71,"#,##0")&amp;"원의 입금이 확인되지 않아 연락드립니다. 그중 "&amp;설정!$B$6&amp;"일이 지난 금액은 "&amp;TEXT($E71,"#,##0")&amp;"원입니다. 이미 입금하셨다면 입금자명을 알려 주시면 확인하겠습니다. 확인 부탁드립니다.")</f>
        <v/>
      </c>
      <c r="J71" s="31">
        <f>IF($A71="","",MATCH(LARGE(거래처별!$S$8:$S$307,$A71),거래처별!$S$8:$S$307,0))</f>
        <v/>
      </c>
    </row>
    <row r="72">
      <c r="A72" s="38">
        <f>IF(66&gt;COUNT(거래처별!$S$8:$S$307),"",66)</f>
        <v/>
      </c>
      <c r="B72" s="38">
        <f>IF($A72="","",INDEX(거래처별!$C$8:$C$307,$J72))</f>
        <v/>
      </c>
      <c r="C72" s="38">
        <f>IF($A72="","",INDEX(거래처별!$B$8:$B$307,$J72))</f>
        <v/>
      </c>
      <c r="D72" s="44">
        <f>IF($A72="","",INDEX(거래처별!$G$8:$G$307,$J72))</f>
        <v/>
      </c>
      <c r="E72" s="44">
        <f>IF($A72="","",INDEX(거래처별!$I$8:$I$307,$J72)+INDEX(거래처별!$J$8:$J$307,$J72)+INDEX(거래처별!$K$8:$K$307,$J72))</f>
        <v/>
      </c>
      <c r="F72" s="38">
        <f>IF($A72="","",INDEX(거래처별!$P$8:$P$307,$J72))</f>
        <v/>
      </c>
      <c r="G72" s="38">
        <f>IF($A72="","",IF(INDEX(거래처별!$M$8:$M$307,$J72)="","미연락",INDEX(거래처별!$M$8:$M$307,$J72)))</f>
        <v/>
      </c>
      <c r="H72" s="47">
        <f>IF($A72="","",$B72&amp;" 담당자님, 안녕하세요. "&amp;설정!$B$3&amp;"입니다. "&amp;MONTH(설정!$B$5)&amp;"월 "&amp;DAY(설정!$B$5)&amp;"일 기준으로 거래대금 "&amp;TEXT($D72,"#,##0")&amp;"원의 입금이 확인되지 않아 연락드립니다. 그중 "&amp;설정!$B$6&amp;"일이 지난 금액은 "&amp;TEXT($E72,"#,##0")&amp;"원입니다. 이미 입금하셨다면 입금자명을 알려 주시면 확인하겠습니다. 확인 부탁드립니다.")</f>
        <v/>
      </c>
      <c r="J72" s="31">
        <f>IF($A72="","",MATCH(LARGE(거래처별!$S$8:$S$307,$A72),거래처별!$S$8:$S$307,0))</f>
        <v/>
      </c>
    </row>
    <row r="73">
      <c r="A73" s="38">
        <f>IF(67&gt;COUNT(거래처별!$S$8:$S$307),"",67)</f>
        <v/>
      </c>
      <c r="B73" s="38">
        <f>IF($A73="","",INDEX(거래처별!$C$8:$C$307,$J73))</f>
        <v/>
      </c>
      <c r="C73" s="38">
        <f>IF($A73="","",INDEX(거래처별!$B$8:$B$307,$J73))</f>
        <v/>
      </c>
      <c r="D73" s="44">
        <f>IF($A73="","",INDEX(거래처별!$G$8:$G$307,$J73))</f>
        <v/>
      </c>
      <c r="E73" s="44">
        <f>IF($A73="","",INDEX(거래처별!$I$8:$I$307,$J73)+INDEX(거래처별!$J$8:$J$307,$J73)+INDEX(거래처별!$K$8:$K$307,$J73))</f>
        <v/>
      </c>
      <c r="F73" s="38">
        <f>IF($A73="","",INDEX(거래처별!$P$8:$P$307,$J73))</f>
        <v/>
      </c>
      <c r="G73" s="38">
        <f>IF($A73="","",IF(INDEX(거래처별!$M$8:$M$307,$J73)="","미연락",INDEX(거래처별!$M$8:$M$307,$J73)))</f>
        <v/>
      </c>
      <c r="H73" s="47">
        <f>IF($A73="","",$B73&amp;" 담당자님, 안녕하세요. "&amp;설정!$B$3&amp;"입니다. "&amp;MONTH(설정!$B$5)&amp;"월 "&amp;DAY(설정!$B$5)&amp;"일 기준으로 거래대금 "&amp;TEXT($D73,"#,##0")&amp;"원의 입금이 확인되지 않아 연락드립니다. 그중 "&amp;설정!$B$6&amp;"일이 지난 금액은 "&amp;TEXT($E73,"#,##0")&amp;"원입니다. 이미 입금하셨다면 입금자명을 알려 주시면 확인하겠습니다. 확인 부탁드립니다.")</f>
        <v/>
      </c>
      <c r="J73" s="31">
        <f>IF($A73="","",MATCH(LARGE(거래처별!$S$8:$S$307,$A73),거래처별!$S$8:$S$307,0))</f>
        <v/>
      </c>
    </row>
    <row r="74">
      <c r="A74" s="38">
        <f>IF(68&gt;COUNT(거래처별!$S$8:$S$307),"",68)</f>
        <v/>
      </c>
      <c r="B74" s="38">
        <f>IF($A74="","",INDEX(거래처별!$C$8:$C$307,$J74))</f>
        <v/>
      </c>
      <c r="C74" s="38">
        <f>IF($A74="","",INDEX(거래처별!$B$8:$B$307,$J74))</f>
        <v/>
      </c>
      <c r="D74" s="44">
        <f>IF($A74="","",INDEX(거래처별!$G$8:$G$307,$J74))</f>
        <v/>
      </c>
      <c r="E74" s="44">
        <f>IF($A74="","",INDEX(거래처별!$I$8:$I$307,$J74)+INDEX(거래처별!$J$8:$J$307,$J74)+INDEX(거래처별!$K$8:$K$307,$J74))</f>
        <v/>
      </c>
      <c r="F74" s="38">
        <f>IF($A74="","",INDEX(거래처별!$P$8:$P$307,$J74))</f>
        <v/>
      </c>
      <c r="G74" s="38">
        <f>IF($A74="","",IF(INDEX(거래처별!$M$8:$M$307,$J74)="","미연락",INDEX(거래처별!$M$8:$M$307,$J74)))</f>
        <v/>
      </c>
      <c r="H74" s="47">
        <f>IF($A74="","",$B74&amp;" 담당자님, 안녕하세요. "&amp;설정!$B$3&amp;"입니다. "&amp;MONTH(설정!$B$5)&amp;"월 "&amp;DAY(설정!$B$5)&amp;"일 기준으로 거래대금 "&amp;TEXT($D74,"#,##0")&amp;"원의 입금이 확인되지 않아 연락드립니다. 그중 "&amp;설정!$B$6&amp;"일이 지난 금액은 "&amp;TEXT($E74,"#,##0")&amp;"원입니다. 이미 입금하셨다면 입금자명을 알려 주시면 확인하겠습니다. 확인 부탁드립니다.")</f>
        <v/>
      </c>
      <c r="J74" s="31">
        <f>IF($A74="","",MATCH(LARGE(거래처별!$S$8:$S$307,$A74),거래처별!$S$8:$S$307,0))</f>
        <v/>
      </c>
    </row>
    <row r="75">
      <c r="A75" s="38">
        <f>IF(69&gt;COUNT(거래처별!$S$8:$S$307),"",69)</f>
        <v/>
      </c>
      <c r="B75" s="38">
        <f>IF($A75="","",INDEX(거래처별!$C$8:$C$307,$J75))</f>
        <v/>
      </c>
      <c r="C75" s="38">
        <f>IF($A75="","",INDEX(거래처별!$B$8:$B$307,$J75))</f>
        <v/>
      </c>
      <c r="D75" s="44">
        <f>IF($A75="","",INDEX(거래처별!$G$8:$G$307,$J75))</f>
        <v/>
      </c>
      <c r="E75" s="44">
        <f>IF($A75="","",INDEX(거래처별!$I$8:$I$307,$J75)+INDEX(거래처별!$J$8:$J$307,$J75)+INDEX(거래처별!$K$8:$K$307,$J75))</f>
        <v/>
      </c>
      <c r="F75" s="38">
        <f>IF($A75="","",INDEX(거래처별!$P$8:$P$307,$J75))</f>
        <v/>
      </c>
      <c r="G75" s="38">
        <f>IF($A75="","",IF(INDEX(거래처별!$M$8:$M$307,$J75)="","미연락",INDEX(거래처별!$M$8:$M$307,$J75)))</f>
        <v/>
      </c>
      <c r="H75" s="47">
        <f>IF($A75="","",$B75&amp;" 담당자님, 안녕하세요. "&amp;설정!$B$3&amp;"입니다. "&amp;MONTH(설정!$B$5)&amp;"월 "&amp;DAY(설정!$B$5)&amp;"일 기준으로 거래대금 "&amp;TEXT($D75,"#,##0")&amp;"원의 입금이 확인되지 않아 연락드립니다. 그중 "&amp;설정!$B$6&amp;"일이 지난 금액은 "&amp;TEXT($E75,"#,##0")&amp;"원입니다. 이미 입금하셨다면 입금자명을 알려 주시면 확인하겠습니다. 확인 부탁드립니다.")</f>
        <v/>
      </c>
      <c r="J75" s="31">
        <f>IF($A75="","",MATCH(LARGE(거래처별!$S$8:$S$307,$A75),거래처별!$S$8:$S$307,0))</f>
        <v/>
      </c>
    </row>
    <row r="76">
      <c r="A76" s="38">
        <f>IF(70&gt;COUNT(거래처별!$S$8:$S$307),"",70)</f>
        <v/>
      </c>
      <c r="B76" s="38">
        <f>IF($A76="","",INDEX(거래처별!$C$8:$C$307,$J76))</f>
        <v/>
      </c>
      <c r="C76" s="38">
        <f>IF($A76="","",INDEX(거래처별!$B$8:$B$307,$J76))</f>
        <v/>
      </c>
      <c r="D76" s="44">
        <f>IF($A76="","",INDEX(거래처별!$G$8:$G$307,$J76))</f>
        <v/>
      </c>
      <c r="E76" s="44">
        <f>IF($A76="","",INDEX(거래처별!$I$8:$I$307,$J76)+INDEX(거래처별!$J$8:$J$307,$J76)+INDEX(거래처별!$K$8:$K$307,$J76))</f>
        <v/>
      </c>
      <c r="F76" s="38">
        <f>IF($A76="","",INDEX(거래처별!$P$8:$P$307,$J76))</f>
        <v/>
      </c>
      <c r="G76" s="38">
        <f>IF($A76="","",IF(INDEX(거래처별!$M$8:$M$307,$J76)="","미연락",INDEX(거래처별!$M$8:$M$307,$J76)))</f>
        <v/>
      </c>
      <c r="H76" s="47">
        <f>IF($A76="","",$B76&amp;" 담당자님, 안녕하세요. "&amp;설정!$B$3&amp;"입니다. "&amp;MONTH(설정!$B$5)&amp;"월 "&amp;DAY(설정!$B$5)&amp;"일 기준으로 거래대금 "&amp;TEXT($D76,"#,##0")&amp;"원의 입금이 확인되지 않아 연락드립니다. 그중 "&amp;설정!$B$6&amp;"일이 지난 금액은 "&amp;TEXT($E76,"#,##0")&amp;"원입니다. 이미 입금하셨다면 입금자명을 알려 주시면 확인하겠습니다. 확인 부탁드립니다.")</f>
        <v/>
      </c>
      <c r="J76" s="31">
        <f>IF($A76="","",MATCH(LARGE(거래처별!$S$8:$S$307,$A76),거래처별!$S$8:$S$307,0))</f>
        <v/>
      </c>
    </row>
    <row r="77">
      <c r="A77" s="38">
        <f>IF(71&gt;COUNT(거래처별!$S$8:$S$307),"",71)</f>
        <v/>
      </c>
      <c r="B77" s="38">
        <f>IF($A77="","",INDEX(거래처별!$C$8:$C$307,$J77))</f>
        <v/>
      </c>
      <c r="C77" s="38">
        <f>IF($A77="","",INDEX(거래처별!$B$8:$B$307,$J77))</f>
        <v/>
      </c>
      <c r="D77" s="44">
        <f>IF($A77="","",INDEX(거래처별!$G$8:$G$307,$J77))</f>
        <v/>
      </c>
      <c r="E77" s="44">
        <f>IF($A77="","",INDEX(거래처별!$I$8:$I$307,$J77)+INDEX(거래처별!$J$8:$J$307,$J77)+INDEX(거래처별!$K$8:$K$307,$J77))</f>
        <v/>
      </c>
      <c r="F77" s="38">
        <f>IF($A77="","",INDEX(거래처별!$P$8:$P$307,$J77))</f>
        <v/>
      </c>
      <c r="G77" s="38">
        <f>IF($A77="","",IF(INDEX(거래처별!$M$8:$M$307,$J77)="","미연락",INDEX(거래처별!$M$8:$M$307,$J77)))</f>
        <v/>
      </c>
      <c r="H77" s="47">
        <f>IF($A77="","",$B77&amp;" 담당자님, 안녕하세요. "&amp;설정!$B$3&amp;"입니다. "&amp;MONTH(설정!$B$5)&amp;"월 "&amp;DAY(설정!$B$5)&amp;"일 기준으로 거래대금 "&amp;TEXT($D77,"#,##0")&amp;"원의 입금이 확인되지 않아 연락드립니다. 그중 "&amp;설정!$B$6&amp;"일이 지난 금액은 "&amp;TEXT($E77,"#,##0")&amp;"원입니다. 이미 입금하셨다면 입금자명을 알려 주시면 확인하겠습니다. 확인 부탁드립니다.")</f>
        <v/>
      </c>
      <c r="J77" s="31">
        <f>IF($A77="","",MATCH(LARGE(거래처별!$S$8:$S$307,$A77),거래처별!$S$8:$S$307,0))</f>
        <v/>
      </c>
    </row>
    <row r="78">
      <c r="A78" s="38">
        <f>IF(72&gt;COUNT(거래처별!$S$8:$S$307),"",72)</f>
        <v/>
      </c>
      <c r="B78" s="38">
        <f>IF($A78="","",INDEX(거래처별!$C$8:$C$307,$J78))</f>
        <v/>
      </c>
      <c r="C78" s="38">
        <f>IF($A78="","",INDEX(거래처별!$B$8:$B$307,$J78))</f>
        <v/>
      </c>
      <c r="D78" s="44">
        <f>IF($A78="","",INDEX(거래처별!$G$8:$G$307,$J78))</f>
        <v/>
      </c>
      <c r="E78" s="44">
        <f>IF($A78="","",INDEX(거래처별!$I$8:$I$307,$J78)+INDEX(거래처별!$J$8:$J$307,$J78)+INDEX(거래처별!$K$8:$K$307,$J78))</f>
        <v/>
      </c>
      <c r="F78" s="38">
        <f>IF($A78="","",INDEX(거래처별!$P$8:$P$307,$J78))</f>
        <v/>
      </c>
      <c r="G78" s="38">
        <f>IF($A78="","",IF(INDEX(거래처별!$M$8:$M$307,$J78)="","미연락",INDEX(거래처별!$M$8:$M$307,$J78)))</f>
        <v/>
      </c>
      <c r="H78" s="47">
        <f>IF($A78="","",$B78&amp;" 담당자님, 안녕하세요. "&amp;설정!$B$3&amp;"입니다. "&amp;MONTH(설정!$B$5)&amp;"월 "&amp;DAY(설정!$B$5)&amp;"일 기준으로 거래대금 "&amp;TEXT($D78,"#,##0")&amp;"원의 입금이 확인되지 않아 연락드립니다. 그중 "&amp;설정!$B$6&amp;"일이 지난 금액은 "&amp;TEXT($E78,"#,##0")&amp;"원입니다. 이미 입금하셨다면 입금자명을 알려 주시면 확인하겠습니다. 확인 부탁드립니다.")</f>
        <v/>
      </c>
      <c r="J78" s="31">
        <f>IF($A78="","",MATCH(LARGE(거래처별!$S$8:$S$307,$A78),거래처별!$S$8:$S$307,0))</f>
        <v/>
      </c>
    </row>
    <row r="79">
      <c r="A79" s="38">
        <f>IF(73&gt;COUNT(거래처별!$S$8:$S$307),"",73)</f>
        <v/>
      </c>
      <c r="B79" s="38">
        <f>IF($A79="","",INDEX(거래처별!$C$8:$C$307,$J79))</f>
        <v/>
      </c>
      <c r="C79" s="38">
        <f>IF($A79="","",INDEX(거래처별!$B$8:$B$307,$J79))</f>
        <v/>
      </c>
      <c r="D79" s="44">
        <f>IF($A79="","",INDEX(거래처별!$G$8:$G$307,$J79))</f>
        <v/>
      </c>
      <c r="E79" s="44">
        <f>IF($A79="","",INDEX(거래처별!$I$8:$I$307,$J79)+INDEX(거래처별!$J$8:$J$307,$J79)+INDEX(거래처별!$K$8:$K$307,$J79))</f>
        <v/>
      </c>
      <c r="F79" s="38">
        <f>IF($A79="","",INDEX(거래처별!$P$8:$P$307,$J79))</f>
        <v/>
      </c>
      <c r="G79" s="38">
        <f>IF($A79="","",IF(INDEX(거래처별!$M$8:$M$307,$J79)="","미연락",INDEX(거래처별!$M$8:$M$307,$J79)))</f>
        <v/>
      </c>
      <c r="H79" s="47">
        <f>IF($A79="","",$B79&amp;" 담당자님, 안녕하세요. "&amp;설정!$B$3&amp;"입니다. "&amp;MONTH(설정!$B$5)&amp;"월 "&amp;DAY(설정!$B$5)&amp;"일 기준으로 거래대금 "&amp;TEXT($D79,"#,##0")&amp;"원의 입금이 확인되지 않아 연락드립니다. 그중 "&amp;설정!$B$6&amp;"일이 지난 금액은 "&amp;TEXT($E79,"#,##0")&amp;"원입니다. 이미 입금하셨다면 입금자명을 알려 주시면 확인하겠습니다. 확인 부탁드립니다.")</f>
        <v/>
      </c>
      <c r="J79" s="31">
        <f>IF($A79="","",MATCH(LARGE(거래처별!$S$8:$S$307,$A79),거래처별!$S$8:$S$307,0))</f>
        <v/>
      </c>
    </row>
    <row r="80">
      <c r="A80" s="38">
        <f>IF(74&gt;COUNT(거래처별!$S$8:$S$307),"",74)</f>
        <v/>
      </c>
      <c r="B80" s="38">
        <f>IF($A80="","",INDEX(거래처별!$C$8:$C$307,$J80))</f>
        <v/>
      </c>
      <c r="C80" s="38">
        <f>IF($A80="","",INDEX(거래처별!$B$8:$B$307,$J80))</f>
        <v/>
      </c>
      <c r="D80" s="44">
        <f>IF($A80="","",INDEX(거래처별!$G$8:$G$307,$J80))</f>
        <v/>
      </c>
      <c r="E80" s="44">
        <f>IF($A80="","",INDEX(거래처별!$I$8:$I$307,$J80)+INDEX(거래처별!$J$8:$J$307,$J80)+INDEX(거래처별!$K$8:$K$307,$J80))</f>
        <v/>
      </c>
      <c r="F80" s="38">
        <f>IF($A80="","",INDEX(거래처별!$P$8:$P$307,$J80))</f>
        <v/>
      </c>
      <c r="G80" s="38">
        <f>IF($A80="","",IF(INDEX(거래처별!$M$8:$M$307,$J80)="","미연락",INDEX(거래처별!$M$8:$M$307,$J80)))</f>
        <v/>
      </c>
      <c r="H80" s="47">
        <f>IF($A80="","",$B80&amp;" 담당자님, 안녕하세요. "&amp;설정!$B$3&amp;"입니다. "&amp;MONTH(설정!$B$5)&amp;"월 "&amp;DAY(설정!$B$5)&amp;"일 기준으로 거래대금 "&amp;TEXT($D80,"#,##0")&amp;"원의 입금이 확인되지 않아 연락드립니다. 그중 "&amp;설정!$B$6&amp;"일이 지난 금액은 "&amp;TEXT($E80,"#,##0")&amp;"원입니다. 이미 입금하셨다면 입금자명을 알려 주시면 확인하겠습니다. 확인 부탁드립니다.")</f>
        <v/>
      </c>
      <c r="J80" s="31">
        <f>IF($A80="","",MATCH(LARGE(거래처별!$S$8:$S$307,$A80),거래처별!$S$8:$S$307,0))</f>
        <v/>
      </c>
    </row>
    <row r="81">
      <c r="A81" s="38">
        <f>IF(75&gt;COUNT(거래처별!$S$8:$S$307),"",75)</f>
        <v/>
      </c>
      <c r="B81" s="38">
        <f>IF($A81="","",INDEX(거래처별!$C$8:$C$307,$J81))</f>
        <v/>
      </c>
      <c r="C81" s="38">
        <f>IF($A81="","",INDEX(거래처별!$B$8:$B$307,$J81))</f>
        <v/>
      </c>
      <c r="D81" s="44">
        <f>IF($A81="","",INDEX(거래처별!$G$8:$G$307,$J81))</f>
        <v/>
      </c>
      <c r="E81" s="44">
        <f>IF($A81="","",INDEX(거래처별!$I$8:$I$307,$J81)+INDEX(거래처별!$J$8:$J$307,$J81)+INDEX(거래처별!$K$8:$K$307,$J81))</f>
        <v/>
      </c>
      <c r="F81" s="38">
        <f>IF($A81="","",INDEX(거래처별!$P$8:$P$307,$J81))</f>
        <v/>
      </c>
      <c r="G81" s="38">
        <f>IF($A81="","",IF(INDEX(거래처별!$M$8:$M$307,$J81)="","미연락",INDEX(거래처별!$M$8:$M$307,$J81)))</f>
        <v/>
      </c>
      <c r="H81" s="47">
        <f>IF($A81="","",$B81&amp;" 담당자님, 안녕하세요. "&amp;설정!$B$3&amp;"입니다. "&amp;MONTH(설정!$B$5)&amp;"월 "&amp;DAY(설정!$B$5)&amp;"일 기준으로 거래대금 "&amp;TEXT($D81,"#,##0")&amp;"원의 입금이 확인되지 않아 연락드립니다. 그중 "&amp;설정!$B$6&amp;"일이 지난 금액은 "&amp;TEXT($E81,"#,##0")&amp;"원입니다. 이미 입금하셨다면 입금자명을 알려 주시면 확인하겠습니다. 확인 부탁드립니다.")</f>
        <v/>
      </c>
      <c r="J81" s="31">
        <f>IF($A81="","",MATCH(LARGE(거래처별!$S$8:$S$307,$A81),거래처별!$S$8:$S$307,0))</f>
        <v/>
      </c>
    </row>
    <row r="82">
      <c r="A82" s="38">
        <f>IF(76&gt;COUNT(거래처별!$S$8:$S$307),"",76)</f>
        <v/>
      </c>
      <c r="B82" s="38">
        <f>IF($A82="","",INDEX(거래처별!$C$8:$C$307,$J82))</f>
        <v/>
      </c>
      <c r="C82" s="38">
        <f>IF($A82="","",INDEX(거래처별!$B$8:$B$307,$J82))</f>
        <v/>
      </c>
      <c r="D82" s="44">
        <f>IF($A82="","",INDEX(거래처별!$G$8:$G$307,$J82))</f>
        <v/>
      </c>
      <c r="E82" s="44">
        <f>IF($A82="","",INDEX(거래처별!$I$8:$I$307,$J82)+INDEX(거래처별!$J$8:$J$307,$J82)+INDEX(거래처별!$K$8:$K$307,$J82))</f>
        <v/>
      </c>
      <c r="F82" s="38">
        <f>IF($A82="","",INDEX(거래처별!$P$8:$P$307,$J82))</f>
        <v/>
      </c>
      <c r="G82" s="38">
        <f>IF($A82="","",IF(INDEX(거래처별!$M$8:$M$307,$J82)="","미연락",INDEX(거래처별!$M$8:$M$307,$J82)))</f>
        <v/>
      </c>
      <c r="H82" s="47">
        <f>IF($A82="","",$B82&amp;" 담당자님, 안녕하세요. "&amp;설정!$B$3&amp;"입니다. "&amp;MONTH(설정!$B$5)&amp;"월 "&amp;DAY(설정!$B$5)&amp;"일 기준으로 거래대금 "&amp;TEXT($D82,"#,##0")&amp;"원의 입금이 확인되지 않아 연락드립니다. 그중 "&amp;설정!$B$6&amp;"일이 지난 금액은 "&amp;TEXT($E82,"#,##0")&amp;"원입니다. 이미 입금하셨다면 입금자명을 알려 주시면 확인하겠습니다. 확인 부탁드립니다.")</f>
        <v/>
      </c>
      <c r="J82" s="31">
        <f>IF($A82="","",MATCH(LARGE(거래처별!$S$8:$S$307,$A82),거래처별!$S$8:$S$307,0))</f>
        <v/>
      </c>
    </row>
    <row r="83">
      <c r="A83" s="38">
        <f>IF(77&gt;COUNT(거래처별!$S$8:$S$307),"",77)</f>
        <v/>
      </c>
      <c r="B83" s="38">
        <f>IF($A83="","",INDEX(거래처별!$C$8:$C$307,$J83))</f>
        <v/>
      </c>
      <c r="C83" s="38">
        <f>IF($A83="","",INDEX(거래처별!$B$8:$B$307,$J83))</f>
        <v/>
      </c>
      <c r="D83" s="44">
        <f>IF($A83="","",INDEX(거래처별!$G$8:$G$307,$J83))</f>
        <v/>
      </c>
      <c r="E83" s="44">
        <f>IF($A83="","",INDEX(거래처별!$I$8:$I$307,$J83)+INDEX(거래처별!$J$8:$J$307,$J83)+INDEX(거래처별!$K$8:$K$307,$J83))</f>
        <v/>
      </c>
      <c r="F83" s="38">
        <f>IF($A83="","",INDEX(거래처별!$P$8:$P$307,$J83))</f>
        <v/>
      </c>
      <c r="G83" s="38">
        <f>IF($A83="","",IF(INDEX(거래처별!$M$8:$M$307,$J83)="","미연락",INDEX(거래처별!$M$8:$M$307,$J83)))</f>
        <v/>
      </c>
      <c r="H83" s="47">
        <f>IF($A83="","",$B83&amp;" 담당자님, 안녕하세요. "&amp;설정!$B$3&amp;"입니다. "&amp;MONTH(설정!$B$5)&amp;"월 "&amp;DAY(설정!$B$5)&amp;"일 기준으로 거래대금 "&amp;TEXT($D83,"#,##0")&amp;"원의 입금이 확인되지 않아 연락드립니다. 그중 "&amp;설정!$B$6&amp;"일이 지난 금액은 "&amp;TEXT($E83,"#,##0")&amp;"원입니다. 이미 입금하셨다면 입금자명을 알려 주시면 확인하겠습니다. 확인 부탁드립니다.")</f>
        <v/>
      </c>
      <c r="J83" s="31">
        <f>IF($A83="","",MATCH(LARGE(거래처별!$S$8:$S$307,$A83),거래처별!$S$8:$S$307,0))</f>
        <v/>
      </c>
    </row>
    <row r="84">
      <c r="A84" s="38">
        <f>IF(78&gt;COUNT(거래처별!$S$8:$S$307),"",78)</f>
        <v/>
      </c>
      <c r="B84" s="38">
        <f>IF($A84="","",INDEX(거래처별!$C$8:$C$307,$J84))</f>
        <v/>
      </c>
      <c r="C84" s="38">
        <f>IF($A84="","",INDEX(거래처별!$B$8:$B$307,$J84))</f>
        <v/>
      </c>
      <c r="D84" s="44">
        <f>IF($A84="","",INDEX(거래처별!$G$8:$G$307,$J84))</f>
        <v/>
      </c>
      <c r="E84" s="44">
        <f>IF($A84="","",INDEX(거래처별!$I$8:$I$307,$J84)+INDEX(거래처별!$J$8:$J$307,$J84)+INDEX(거래처별!$K$8:$K$307,$J84))</f>
        <v/>
      </c>
      <c r="F84" s="38">
        <f>IF($A84="","",INDEX(거래처별!$P$8:$P$307,$J84))</f>
        <v/>
      </c>
      <c r="G84" s="38">
        <f>IF($A84="","",IF(INDEX(거래처별!$M$8:$M$307,$J84)="","미연락",INDEX(거래처별!$M$8:$M$307,$J84)))</f>
        <v/>
      </c>
      <c r="H84" s="47">
        <f>IF($A84="","",$B84&amp;" 담당자님, 안녕하세요. "&amp;설정!$B$3&amp;"입니다. "&amp;MONTH(설정!$B$5)&amp;"월 "&amp;DAY(설정!$B$5)&amp;"일 기준으로 거래대금 "&amp;TEXT($D84,"#,##0")&amp;"원의 입금이 확인되지 않아 연락드립니다. 그중 "&amp;설정!$B$6&amp;"일이 지난 금액은 "&amp;TEXT($E84,"#,##0")&amp;"원입니다. 이미 입금하셨다면 입금자명을 알려 주시면 확인하겠습니다. 확인 부탁드립니다.")</f>
        <v/>
      </c>
      <c r="J84" s="31">
        <f>IF($A84="","",MATCH(LARGE(거래처별!$S$8:$S$307,$A84),거래처별!$S$8:$S$307,0))</f>
        <v/>
      </c>
    </row>
    <row r="85">
      <c r="A85" s="38">
        <f>IF(79&gt;COUNT(거래처별!$S$8:$S$307),"",79)</f>
        <v/>
      </c>
      <c r="B85" s="38">
        <f>IF($A85="","",INDEX(거래처별!$C$8:$C$307,$J85))</f>
        <v/>
      </c>
      <c r="C85" s="38">
        <f>IF($A85="","",INDEX(거래처별!$B$8:$B$307,$J85))</f>
        <v/>
      </c>
      <c r="D85" s="44">
        <f>IF($A85="","",INDEX(거래처별!$G$8:$G$307,$J85))</f>
        <v/>
      </c>
      <c r="E85" s="44">
        <f>IF($A85="","",INDEX(거래처별!$I$8:$I$307,$J85)+INDEX(거래처별!$J$8:$J$307,$J85)+INDEX(거래처별!$K$8:$K$307,$J85))</f>
        <v/>
      </c>
      <c r="F85" s="38">
        <f>IF($A85="","",INDEX(거래처별!$P$8:$P$307,$J85))</f>
        <v/>
      </c>
      <c r="G85" s="38">
        <f>IF($A85="","",IF(INDEX(거래처별!$M$8:$M$307,$J85)="","미연락",INDEX(거래처별!$M$8:$M$307,$J85)))</f>
        <v/>
      </c>
      <c r="H85" s="47">
        <f>IF($A85="","",$B85&amp;" 담당자님, 안녕하세요. "&amp;설정!$B$3&amp;"입니다. "&amp;MONTH(설정!$B$5)&amp;"월 "&amp;DAY(설정!$B$5)&amp;"일 기준으로 거래대금 "&amp;TEXT($D85,"#,##0")&amp;"원의 입금이 확인되지 않아 연락드립니다. 그중 "&amp;설정!$B$6&amp;"일이 지난 금액은 "&amp;TEXT($E85,"#,##0")&amp;"원입니다. 이미 입금하셨다면 입금자명을 알려 주시면 확인하겠습니다. 확인 부탁드립니다.")</f>
        <v/>
      </c>
      <c r="J85" s="31">
        <f>IF($A85="","",MATCH(LARGE(거래처별!$S$8:$S$307,$A85),거래처별!$S$8:$S$307,0))</f>
        <v/>
      </c>
    </row>
    <row r="86">
      <c r="A86" s="38">
        <f>IF(80&gt;COUNT(거래처별!$S$8:$S$307),"",80)</f>
        <v/>
      </c>
      <c r="B86" s="38">
        <f>IF($A86="","",INDEX(거래처별!$C$8:$C$307,$J86))</f>
        <v/>
      </c>
      <c r="C86" s="38">
        <f>IF($A86="","",INDEX(거래처별!$B$8:$B$307,$J86))</f>
        <v/>
      </c>
      <c r="D86" s="44">
        <f>IF($A86="","",INDEX(거래처별!$G$8:$G$307,$J86))</f>
        <v/>
      </c>
      <c r="E86" s="44">
        <f>IF($A86="","",INDEX(거래처별!$I$8:$I$307,$J86)+INDEX(거래처별!$J$8:$J$307,$J86)+INDEX(거래처별!$K$8:$K$307,$J86))</f>
        <v/>
      </c>
      <c r="F86" s="38">
        <f>IF($A86="","",INDEX(거래처별!$P$8:$P$307,$J86))</f>
        <v/>
      </c>
      <c r="G86" s="38">
        <f>IF($A86="","",IF(INDEX(거래처별!$M$8:$M$307,$J86)="","미연락",INDEX(거래처별!$M$8:$M$307,$J86)))</f>
        <v/>
      </c>
      <c r="H86" s="47">
        <f>IF($A86="","",$B86&amp;" 담당자님, 안녕하세요. "&amp;설정!$B$3&amp;"입니다. "&amp;MONTH(설정!$B$5)&amp;"월 "&amp;DAY(설정!$B$5)&amp;"일 기준으로 거래대금 "&amp;TEXT($D86,"#,##0")&amp;"원의 입금이 확인되지 않아 연락드립니다. 그중 "&amp;설정!$B$6&amp;"일이 지난 금액은 "&amp;TEXT($E86,"#,##0")&amp;"원입니다. 이미 입금하셨다면 입금자명을 알려 주시면 확인하겠습니다. 확인 부탁드립니다.")</f>
        <v/>
      </c>
      <c r="J86" s="31">
        <f>IF($A86="","",MATCH(LARGE(거래처별!$S$8:$S$307,$A86),거래처별!$S$8:$S$307,0))</f>
        <v/>
      </c>
    </row>
    <row r="87">
      <c r="A87" s="38">
        <f>IF(81&gt;COUNT(거래처별!$S$8:$S$307),"",81)</f>
        <v/>
      </c>
      <c r="B87" s="38">
        <f>IF($A87="","",INDEX(거래처별!$C$8:$C$307,$J87))</f>
        <v/>
      </c>
      <c r="C87" s="38">
        <f>IF($A87="","",INDEX(거래처별!$B$8:$B$307,$J87))</f>
        <v/>
      </c>
      <c r="D87" s="44">
        <f>IF($A87="","",INDEX(거래처별!$G$8:$G$307,$J87))</f>
        <v/>
      </c>
      <c r="E87" s="44">
        <f>IF($A87="","",INDEX(거래처별!$I$8:$I$307,$J87)+INDEX(거래처별!$J$8:$J$307,$J87)+INDEX(거래처별!$K$8:$K$307,$J87))</f>
        <v/>
      </c>
      <c r="F87" s="38">
        <f>IF($A87="","",INDEX(거래처별!$P$8:$P$307,$J87))</f>
        <v/>
      </c>
      <c r="G87" s="38">
        <f>IF($A87="","",IF(INDEX(거래처별!$M$8:$M$307,$J87)="","미연락",INDEX(거래처별!$M$8:$M$307,$J87)))</f>
        <v/>
      </c>
      <c r="H87" s="47">
        <f>IF($A87="","",$B87&amp;" 담당자님, 안녕하세요. "&amp;설정!$B$3&amp;"입니다. "&amp;MONTH(설정!$B$5)&amp;"월 "&amp;DAY(설정!$B$5)&amp;"일 기준으로 거래대금 "&amp;TEXT($D87,"#,##0")&amp;"원의 입금이 확인되지 않아 연락드립니다. 그중 "&amp;설정!$B$6&amp;"일이 지난 금액은 "&amp;TEXT($E87,"#,##0")&amp;"원입니다. 이미 입금하셨다면 입금자명을 알려 주시면 확인하겠습니다. 확인 부탁드립니다.")</f>
        <v/>
      </c>
      <c r="J87" s="31">
        <f>IF($A87="","",MATCH(LARGE(거래처별!$S$8:$S$307,$A87),거래처별!$S$8:$S$307,0))</f>
        <v/>
      </c>
    </row>
    <row r="88">
      <c r="A88" s="38">
        <f>IF(82&gt;COUNT(거래처별!$S$8:$S$307),"",82)</f>
        <v/>
      </c>
      <c r="B88" s="38">
        <f>IF($A88="","",INDEX(거래처별!$C$8:$C$307,$J88))</f>
        <v/>
      </c>
      <c r="C88" s="38">
        <f>IF($A88="","",INDEX(거래처별!$B$8:$B$307,$J88))</f>
        <v/>
      </c>
      <c r="D88" s="44">
        <f>IF($A88="","",INDEX(거래처별!$G$8:$G$307,$J88))</f>
        <v/>
      </c>
      <c r="E88" s="44">
        <f>IF($A88="","",INDEX(거래처별!$I$8:$I$307,$J88)+INDEX(거래처별!$J$8:$J$307,$J88)+INDEX(거래처별!$K$8:$K$307,$J88))</f>
        <v/>
      </c>
      <c r="F88" s="38">
        <f>IF($A88="","",INDEX(거래처별!$P$8:$P$307,$J88))</f>
        <v/>
      </c>
      <c r="G88" s="38">
        <f>IF($A88="","",IF(INDEX(거래처별!$M$8:$M$307,$J88)="","미연락",INDEX(거래처별!$M$8:$M$307,$J88)))</f>
        <v/>
      </c>
      <c r="H88" s="47">
        <f>IF($A88="","",$B88&amp;" 담당자님, 안녕하세요. "&amp;설정!$B$3&amp;"입니다. "&amp;MONTH(설정!$B$5)&amp;"월 "&amp;DAY(설정!$B$5)&amp;"일 기준으로 거래대금 "&amp;TEXT($D88,"#,##0")&amp;"원의 입금이 확인되지 않아 연락드립니다. 그중 "&amp;설정!$B$6&amp;"일이 지난 금액은 "&amp;TEXT($E88,"#,##0")&amp;"원입니다. 이미 입금하셨다면 입금자명을 알려 주시면 확인하겠습니다. 확인 부탁드립니다.")</f>
        <v/>
      </c>
      <c r="J88" s="31">
        <f>IF($A88="","",MATCH(LARGE(거래처별!$S$8:$S$307,$A88),거래처별!$S$8:$S$307,0))</f>
        <v/>
      </c>
    </row>
    <row r="89">
      <c r="A89" s="38">
        <f>IF(83&gt;COUNT(거래처별!$S$8:$S$307),"",83)</f>
        <v/>
      </c>
      <c r="B89" s="38">
        <f>IF($A89="","",INDEX(거래처별!$C$8:$C$307,$J89))</f>
        <v/>
      </c>
      <c r="C89" s="38">
        <f>IF($A89="","",INDEX(거래처별!$B$8:$B$307,$J89))</f>
        <v/>
      </c>
      <c r="D89" s="44">
        <f>IF($A89="","",INDEX(거래처별!$G$8:$G$307,$J89))</f>
        <v/>
      </c>
      <c r="E89" s="44">
        <f>IF($A89="","",INDEX(거래처별!$I$8:$I$307,$J89)+INDEX(거래처별!$J$8:$J$307,$J89)+INDEX(거래처별!$K$8:$K$307,$J89))</f>
        <v/>
      </c>
      <c r="F89" s="38">
        <f>IF($A89="","",INDEX(거래처별!$P$8:$P$307,$J89))</f>
        <v/>
      </c>
      <c r="G89" s="38">
        <f>IF($A89="","",IF(INDEX(거래처별!$M$8:$M$307,$J89)="","미연락",INDEX(거래처별!$M$8:$M$307,$J89)))</f>
        <v/>
      </c>
      <c r="H89" s="47">
        <f>IF($A89="","",$B89&amp;" 담당자님, 안녕하세요. "&amp;설정!$B$3&amp;"입니다. "&amp;MONTH(설정!$B$5)&amp;"월 "&amp;DAY(설정!$B$5)&amp;"일 기준으로 거래대금 "&amp;TEXT($D89,"#,##0")&amp;"원의 입금이 확인되지 않아 연락드립니다. 그중 "&amp;설정!$B$6&amp;"일이 지난 금액은 "&amp;TEXT($E89,"#,##0")&amp;"원입니다. 이미 입금하셨다면 입금자명을 알려 주시면 확인하겠습니다. 확인 부탁드립니다.")</f>
        <v/>
      </c>
      <c r="J89" s="31">
        <f>IF($A89="","",MATCH(LARGE(거래처별!$S$8:$S$307,$A89),거래처별!$S$8:$S$307,0))</f>
        <v/>
      </c>
    </row>
    <row r="90">
      <c r="A90" s="38">
        <f>IF(84&gt;COUNT(거래처별!$S$8:$S$307),"",84)</f>
        <v/>
      </c>
      <c r="B90" s="38">
        <f>IF($A90="","",INDEX(거래처별!$C$8:$C$307,$J90))</f>
        <v/>
      </c>
      <c r="C90" s="38">
        <f>IF($A90="","",INDEX(거래처별!$B$8:$B$307,$J90))</f>
        <v/>
      </c>
      <c r="D90" s="44">
        <f>IF($A90="","",INDEX(거래처별!$G$8:$G$307,$J90))</f>
        <v/>
      </c>
      <c r="E90" s="44">
        <f>IF($A90="","",INDEX(거래처별!$I$8:$I$307,$J90)+INDEX(거래처별!$J$8:$J$307,$J90)+INDEX(거래처별!$K$8:$K$307,$J90))</f>
        <v/>
      </c>
      <c r="F90" s="38">
        <f>IF($A90="","",INDEX(거래처별!$P$8:$P$307,$J90))</f>
        <v/>
      </c>
      <c r="G90" s="38">
        <f>IF($A90="","",IF(INDEX(거래처별!$M$8:$M$307,$J90)="","미연락",INDEX(거래처별!$M$8:$M$307,$J90)))</f>
        <v/>
      </c>
      <c r="H90" s="47">
        <f>IF($A90="","",$B90&amp;" 담당자님, 안녕하세요. "&amp;설정!$B$3&amp;"입니다. "&amp;MONTH(설정!$B$5)&amp;"월 "&amp;DAY(설정!$B$5)&amp;"일 기준으로 거래대금 "&amp;TEXT($D90,"#,##0")&amp;"원의 입금이 확인되지 않아 연락드립니다. 그중 "&amp;설정!$B$6&amp;"일이 지난 금액은 "&amp;TEXT($E90,"#,##0")&amp;"원입니다. 이미 입금하셨다면 입금자명을 알려 주시면 확인하겠습니다. 확인 부탁드립니다.")</f>
        <v/>
      </c>
      <c r="J90" s="31">
        <f>IF($A90="","",MATCH(LARGE(거래처별!$S$8:$S$307,$A90),거래처별!$S$8:$S$307,0))</f>
        <v/>
      </c>
    </row>
    <row r="91">
      <c r="A91" s="38">
        <f>IF(85&gt;COUNT(거래처별!$S$8:$S$307),"",85)</f>
        <v/>
      </c>
      <c r="B91" s="38">
        <f>IF($A91="","",INDEX(거래처별!$C$8:$C$307,$J91))</f>
        <v/>
      </c>
      <c r="C91" s="38">
        <f>IF($A91="","",INDEX(거래처별!$B$8:$B$307,$J91))</f>
        <v/>
      </c>
      <c r="D91" s="44">
        <f>IF($A91="","",INDEX(거래처별!$G$8:$G$307,$J91))</f>
        <v/>
      </c>
      <c r="E91" s="44">
        <f>IF($A91="","",INDEX(거래처별!$I$8:$I$307,$J91)+INDEX(거래처별!$J$8:$J$307,$J91)+INDEX(거래처별!$K$8:$K$307,$J91))</f>
        <v/>
      </c>
      <c r="F91" s="38">
        <f>IF($A91="","",INDEX(거래처별!$P$8:$P$307,$J91))</f>
        <v/>
      </c>
      <c r="G91" s="38">
        <f>IF($A91="","",IF(INDEX(거래처별!$M$8:$M$307,$J91)="","미연락",INDEX(거래처별!$M$8:$M$307,$J91)))</f>
        <v/>
      </c>
      <c r="H91" s="47">
        <f>IF($A91="","",$B91&amp;" 담당자님, 안녕하세요. "&amp;설정!$B$3&amp;"입니다. "&amp;MONTH(설정!$B$5)&amp;"월 "&amp;DAY(설정!$B$5)&amp;"일 기준으로 거래대금 "&amp;TEXT($D91,"#,##0")&amp;"원의 입금이 확인되지 않아 연락드립니다. 그중 "&amp;설정!$B$6&amp;"일이 지난 금액은 "&amp;TEXT($E91,"#,##0")&amp;"원입니다. 이미 입금하셨다면 입금자명을 알려 주시면 확인하겠습니다. 확인 부탁드립니다.")</f>
        <v/>
      </c>
      <c r="J91" s="31">
        <f>IF($A91="","",MATCH(LARGE(거래처별!$S$8:$S$307,$A91),거래처별!$S$8:$S$307,0))</f>
        <v/>
      </c>
    </row>
    <row r="92">
      <c r="A92" s="38">
        <f>IF(86&gt;COUNT(거래처별!$S$8:$S$307),"",86)</f>
        <v/>
      </c>
      <c r="B92" s="38">
        <f>IF($A92="","",INDEX(거래처별!$C$8:$C$307,$J92))</f>
        <v/>
      </c>
      <c r="C92" s="38">
        <f>IF($A92="","",INDEX(거래처별!$B$8:$B$307,$J92))</f>
        <v/>
      </c>
      <c r="D92" s="44">
        <f>IF($A92="","",INDEX(거래처별!$G$8:$G$307,$J92))</f>
        <v/>
      </c>
      <c r="E92" s="44">
        <f>IF($A92="","",INDEX(거래처별!$I$8:$I$307,$J92)+INDEX(거래처별!$J$8:$J$307,$J92)+INDEX(거래처별!$K$8:$K$307,$J92))</f>
        <v/>
      </c>
      <c r="F92" s="38">
        <f>IF($A92="","",INDEX(거래처별!$P$8:$P$307,$J92))</f>
        <v/>
      </c>
      <c r="G92" s="38">
        <f>IF($A92="","",IF(INDEX(거래처별!$M$8:$M$307,$J92)="","미연락",INDEX(거래처별!$M$8:$M$307,$J92)))</f>
        <v/>
      </c>
      <c r="H92" s="47">
        <f>IF($A92="","",$B92&amp;" 담당자님, 안녕하세요. "&amp;설정!$B$3&amp;"입니다. "&amp;MONTH(설정!$B$5)&amp;"월 "&amp;DAY(설정!$B$5)&amp;"일 기준으로 거래대금 "&amp;TEXT($D92,"#,##0")&amp;"원의 입금이 확인되지 않아 연락드립니다. 그중 "&amp;설정!$B$6&amp;"일이 지난 금액은 "&amp;TEXT($E92,"#,##0")&amp;"원입니다. 이미 입금하셨다면 입금자명을 알려 주시면 확인하겠습니다. 확인 부탁드립니다.")</f>
        <v/>
      </c>
      <c r="J92" s="31">
        <f>IF($A92="","",MATCH(LARGE(거래처별!$S$8:$S$307,$A92),거래처별!$S$8:$S$307,0))</f>
        <v/>
      </c>
    </row>
    <row r="93">
      <c r="A93" s="38">
        <f>IF(87&gt;COUNT(거래처별!$S$8:$S$307),"",87)</f>
        <v/>
      </c>
      <c r="B93" s="38">
        <f>IF($A93="","",INDEX(거래처별!$C$8:$C$307,$J93))</f>
        <v/>
      </c>
      <c r="C93" s="38">
        <f>IF($A93="","",INDEX(거래처별!$B$8:$B$307,$J93))</f>
        <v/>
      </c>
      <c r="D93" s="44">
        <f>IF($A93="","",INDEX(거래처별!$G$8:$G$307,$J93))</f>
        <v/>
      </c>
      <c r="E93" s="44">
        <f>IF($A93="","",INDEX(거래처별!$I$8:$I$307,$J93)+INDEX(거래처별!$J$8:$J$307,$J93)+INDEX(거래처별!$K$8:$K$307,$J93))</f>
        <v/>
      </c>
      <c r="F93" s="38">
        <f>IF($A93="","",INDEX(거래처별!$P$8:$P$307,$J93))</f>
        <v/>
      </c>
      <c r="G93" s="38">
        <f>IF($A93="","",IF(INDEX(거래처별!$M$8:$M$307,$J93)="","미연락",INDEX(거래처별!$M$8:$M$307,$J93)))</f>
        <v/>
      </c>
      <c r="H93" s="47">
        <f>IF($A93="","",$B93&amp;" 담당자님, 안녕하세요. "&amp;설정!$B$3&amp;"입니다. "&amp;MONTH(설정!$B$5)&amp;"월 "&amp;DAY(설정!$B$5)&amp;"일 기준으로 거래대금 "&amp;TEXT($D93,"#,##0")&amp;"원의 입금이 확인되지 않아 연락드립니다. 그중 "&amp;설정!$B$6&amp;"일이 지난 금액은 "&amp;TEXT($E93,"#,##0")&amp;"원입니다. 이미 입금하셨다면 입금자명을 알려 주시면 확인하겠습니다. 확인 부탁드립니다.")</f>
        <v/>
      </c>
      <c r="J93" s="31">
        <f>IF($A93="","",MATCH(LARGE(거래처별!$S$8:$S$307,$A93),거래처별!$S$8:$S$307,0))</f>
        <v/>
      </c>
    </row>
    <row r="94">
      <c r="A94" s="38">
        <f>IF(88&gt;COUNT(거래처별!$S$8:$S$307),"",88)</f>
        <v/>
      </c>
      <c r="B94" s="38">
        <f>IF($A94="","",INDEX(거래처별!$C$8:$C$307,$J94))</f>
        <v/>
      </c>
      <c r="C94" s="38">
        <f>IF($A94="","",INDEX(거래처별!$B$8:$B$307,$J94))</f>
        <v/>
      </c>
      <c r="D94" s="44">
        <f>IF($A94="","",INDEX(거래처별!$G$8:$G$307,$J94))</f>
        <v/>
      </c>
      <c r="E94" s="44">
        <f>IF($A94="","",INDEX(거래처별!$I$8:$I$307,$J94)+INDEX(거래처별!$J$8:$J$307,$J94)+INDEX(거래처별!$K$8:$K$307,$J94))</f>
        <v/>
      </c>
      <c r="F94" s="38">
        <f>IF($A94="","",INDEX(거래처별!$P$8:$P$307,$J94))</f>
        <v/>
      </c>
      <c r="G94" s="38">
        <f>IF($A94="","",IF(INDEX(거래처별!$M$8:$M$307,$J94)="","미연락",INDEX(거래처별!$M$8:$M$307,$J94)))</f>
        <v/>
      </c>
      <c r="H94" s="47">
        <f>IF($A94="","",$B94&amp;" 담당자님, 안녕하세요. "&amp;설정!$B$3&amp;"입니다. "&amp;MONTH(설정!$B$5)&amp;"월 "&amp;DAY(설정!$B$5)&amp;"일 기준으로 거래대금 "&amp;TEXT($D94,"#,##0")&amp;"원의 입금이 확인되지 않아 연락드립니다. 그중 "&amp;설정!$B$6&amp;"일이 지난 금액은 "&amp;TEXT($E94,"#,##0")&amp;"원입니다. 이미 입금하셨다면 입금자명을 알려 주시면 확인하겠습니다. 확인 부탁드립니다.")</f>
        <v/>
      </c>
      <c r="J94" s="31">
        <f>IF($A94="","",MATCH(LARGE(거래처별!$S$8:$S$307,$A94),거래처별!$S$8:$S$307,0))</f>
        <v/>
      </c>
    </row>
    <row r="95">
      <c r="A95" s="38">
        <f>IF(89&gt;COUNT(거래처별!$S$8:$S$307),"",89)</f>
        <v/>
      </c>
      <c r="B95" s="38">
        <f>IF($A95="","",INDEX(거래처별!$C$8:$C$307,$J95))</f>
        <v/>
      </c>
      <c r="C95" s="38">
        <f>IF($A95="","",INDEX(거래처별!$B$8:$B$307,$J95))</f>
        <v/>
      </c>
      <c r="D95" s="44">
        <f>IF($A95="","",INDEX(거래처별!$G$8:$G$307,$J95))</f>
        <v/>
      </c>
      <c r="E95" s="44">
        <f>IF($A95="","",INDEX(거래처별!$I$8:$I$307,$J95)+INDEX(거래처별!$J$8:$J$307,$J95)+INDEX(거래처별!$K$8:$K$307,$J95))</f>
        <v/>
      </c>
      <c r="F95" s="38">
        <f>IF($A95="","",INDEX(거래처별!$P$8:$P$307,$J95))</f>
        <v/>
      </c>
      <c r="G95" s="38">
        <f>IF($A95="","",IF(INDEX(거래처별!$M$8:$M$307,$J95)="","미연락",INDEX(거래처별!$M$8:$M$307,$J95)))</f>
        <v/>
      </c>
      <c r="H95" s="47">
        <f>IF($A95="","",$B95&amp;" 담당자님, 안녕하세요. "&amp;설정!$B$3&amp;"입니다. "&amp;MONTH(설정!$B$5)&amp;"월 "&amp;DAY(설정!$B$5)&amp;"일 기준으로 거래대금 "&amp;TEXT($D95,"#,##0")&amp;"원의 입금이 확인되지 않아 연락드립니다. 그중 "&amp;설정!$B$6&amp;"일이 지난 금액은 "&amp;TEXT($E95,"#,##0")&amp;"원입니다. 이미 입금하셨다면 입금자명을 알려 주시면 확인하겠습니다. 확인 부탁드립니다.")</f>
        <v/>
      </c>
      <c r="J95" s="31">
        <f>IF($A95="","",MATCH(LARGE(거래처별!$S$8:$S$307,$A95),거래처별!$S$8:$S$307,0))</f>
        <v/>
      </c>
    </row>
    <row r="96">
      <c r="A96" s="38">
        <f>IF(90&gt;COUNT(거래처별!$S$8:$S$307),"",90)</f>
        <v/>
      </c>
      <c r="B96" s="38">
        <f>IF($A96="","",INDEX(거래처별!$C$8:$C$307,$J96))</f>
        <v/>
      </c>
      <c r="C96" s="38">
        <f>IF($A96="","",INDEX(거래처별!$B$8:$B$307,$J96))</f>
        <v/>
      </c>
      <c r="D96" s="44">
        <f>IF($A96="","",INDEX(거래처별!$G$8:$G$307,$J96))</f>
        <v/>
      </c>
      <c r="E96" s="44">
        <f>IF($A96="","",INDEX(거래처별!$I$8:$I$307,$J96)+INDEX(거래처별!$J$8:$J$307,$J96)+INDEX(거래처별!$K$8:$K$307,$J96))</f>
        <v/>
      </c>
      <c r="F96" s="38">
        <f>IF($A96="","",INDEX(거래처별!$P$8:$P$307,$J96))</f>
        <v/>
      </c>
      <c r="G96" s="38">
        <f>IF($A96="","",IF(INDEX(거래처별!$M$8:$M$307,$J96)="","미연락",INDEX(거래처별!$M$8:$M$307,$J96)))</f>
        <v/>
      </c>
      <c r="H96" s="47">
        <f>IF($A96="","",$B96&amp;" 담당자님, 안녕하세요. "&amp;설정!$B$3&amp;"입니다. "&amp;MONTH(설정!$B$5)&amp;"월 "&amp;DAY(설정!$B$5)&amp;"일 기준으로 거래대금 "&amp;TEXT($D96,"#,##0")&amp;"원의 입금이 확인되지 않아 연락드립니다. 그중 "&amp;설정!$B$6&amp;"일이 지난 금액은 "&amp;TEXT($E96,"#,##0")&amp;"원입니다. 이미 입금하셨다면 입금자명을 알려 주시면 확인하겠습니다. 확인 부탁드립니다.")</f>
        <v/>
      </c>
      <c r="J96" s="31">
        <f>IF($A96="","",MATCH(LARGE(거래처별!$S$8:$S$307,$A96),거래처별!$S$8:$S$307,0))</f>
        <v/>
      </c>
    </row>
    <row r="97">
      <c r="A97" s="38">
        <f>IF(91&gt;COUNT(거래처별!$S$8:$S$307),"",91)</f>
        <v/>
      </c>
      <c r="B97" s="38">
        <f>IF($A97="","",INDEX(거래처별!$C$8:$C$307,$J97))</f>
        <v/>
      </c>
      <c r="C97" s="38">
        <f>IF($A97="","",INDEX(거래처별!$B$8:$B$307,$J97))</f>
        <v/>
      </c>
      <c r="D97" s="44">
        <f>IF($A97="","",INDEX(거래처별!$G$8:$G$307,$J97))</f>
        <v/>
      </c>
      <c r="E97" s="44">
        <f>IF($A97="","",INDEX(거래처별!$I$8:$I$307,$J97)+INDEX(거래처별!$J$8:$J$307,$J97)+INDEX(거래처별!$K$8:$K$307,$J97))</f>
        <v/>
      </c>
      <c r="F97" s="38">
        <f>IF($A97="","",INDEX(거래처별!$P$8:$P$307,$J97))</f>
        <v/>
      </c>
      <c r="G97" s="38">
        <f>IF($A97="","",IF(INDEX(거래처별!$M$8:$M$307,$J97)="","미연락",INDEX(거래처별!$M$8:$M$307,$J97)))</f>
        <v/>
      </c>
      <c r="H97" s="47">
        <f>IF($A97="","",$B97&amp;" 담당자님, 안녕하세요. "&amp;설정!$B$3&amp;"입니다. "&amp;MONTH(설정!$B$5)&amp;"월 "&amp;DAY(설정!$B$5)&amp;"일 기준으로 거래대금 "&amp;TEXT($D97,"#,##0")&amp;"원의 입금이 확인되지 않아 연락드립니다. 그중 "&amp;설정!$B$6&amp;"일이 지난 금액은 "&amp;TEXT($E97,"#,##0")&amp;"원입니다. 이미 입금하셨다면 입금자명을 알려 주시면 확인하겠습니다. 확인 부탁드립니다.")</f>
        <v/>
      </c>
      <c r="J97" s="31">
        <f>IF($A97="","",MATCH(LARGE(거래처별!$S$8:$S$307,$A97),거래처별!$S$8:$S$307,0))</f>
        <v/>
      </c>
    </row>
    <row r="98">
      <c r="A98" s="38">
        <f>IF(92&gt;COUNT(거래처별!$S$8:$S$307),"",92)</f>
        <v/>
      </c>
      <c r="B98" s="38">
        <f>IF($A98="","",INDEX(거래처별!$C$8:$C$307,$J98))</f>
        <v/>
      </c>
      <c r="C98" s="38">
        <f>IF($A98="","",INDEX(거래처별!$B$8:$B$307,$J98))</f>
        <v/>
      </c>
      <c r="D98" s="44">
        <f>IF($A98="","",INDEX(거래처별!$G$8:$G$307,$J98))</f>
        <v/>
      </c>
      <c r="E98" s="44">
        <f>IF($A98="","",INDEX(거래처별!$I$8:$I$307,$J98)+INDEX(거래처별!$J$8:$J$307,$J98)+INDEX(거래처별!$K$8:$K$307,$J98))</f>
        <v/>
      </c>
      <c r="F98" s="38">
        <f>IF($A98="","",INDEX(거래처별!$P$8:$P$307,$J98))</f>
        <v/>
      </c>
      <c r="G98" s="38">
        <f>IF($A98="","",IF(INDEX(거래처별!$M$8:$M$307,$J98)="","미연락",INDEX(거래처별!$M$8:$M$307,$J98)))</f>
        <v/>
      </c>
      <c r="H98" s="47">
        <f>IF($A98="","",$B98&amp;" 담당자님, 안녕하세요. "&amp;설정!$B$3&amp;"입니다. "&amp;MONTH(설정!$B$5)&amp;"월 "&amp;DAY(설정!$B$5)&amp;"일 기준으로 거래대금 "&amp;TEXT($D98,"#,##0")&amp;"원의 입금이 확인되지 않아 연락드립니다. 그중 "&amp;설정!$B$6&amp;"일이 지난 금액은 "&amp;TEXT($E98,"#,##0")&amp;"원입니다. 이미 입금하셨다면 입금자명을 알려 주시면 확인하겠습니다. 확인 부탁드립니다.")</f>
        <v/>
      </c>
      <c r="J98" s="31">
        <f>IF($A98="","",MATCH(LARGE(거래처별!$S$8:$S$307,$A98),거래처별!$S$8:$S$307,0))</f>
        <v/>
      </c>
    </row>
    <row r="99">
      <c r="A99" s="38">
        <f>IF(93&gt;COUNT(거래처별!$S$8:$S$307),"",93)</f>
        <v/>
      </c>
      <c r="B99" s="38">
        <f>IF($A99="","",INDEX(거래처별!$C$8:$C$307,$J99))</f>
        <v/>
      </c>
      <c r="C99" s="38">
        <f>IF($A99="","",INDEX(거래처별!$B$8:$B$307,$J99))</f>
        <v/>
      </c>
      <c r="D99" s="44">
        <f>IF($A99="","",INDEX(거래처별!$G$8:$G$307,$J99))</f>
        <v/>
      </c>
      <c r="E99" s="44">
        <f>IF($A99="","",INDEX(거래처별!$I$8:$I$307,$J99)+INDEX(거래처별!$J$8:$J$307,$J99)+INDEX(거래처별!$K$8:$K$307,$J99))</f>
        <v/>
      </c>
      <c r="F99" s="38">
        <f>IF($A99="","",INDEX(거래처별!$P$8:$P$307,$J99))</f>
        <v/>
      </c>
      <c r="G99" s="38">
        <f>IF($A99="","",IF(INDEX(거래처별!$M$8:$M$307,$J99)="","미연락",INDEX(거래처별!$M$8:$M$307,$J99)))</f>
        <v/>
      </c>
      <c r="H99" s="47">
        <f>IF($A99="","",$B99&amp;" 담당자님, 안녕하세요. "&amp;설정!$B$3&amp;"입니다. "&amp;MONTH(설정!$B$5)&amp;"월 "&amp;DAY(설정!$B$5)&amp;"일 기준으로 거래대금 "&amp;TEXT($D99,"#,##0")&amp;"원의 입금이 확인되지 않아 연락드립니다. 그중 "&amp;설정!$B$6&amp;"일이 지난 금액은 "&amp;TEXT($E99,"#,##0")&amp;"원입니다. 이미 입금하셨다면 입금자명을 알려 주시면 확인하겠습니다. 확인 부탁드립니다.")</f>
        <v/>
      </c>
      <c r="J99" s="31">
        <f>IF($A99="","",MATCH(LARGE(거래처별!$S$8:$S$307,$A99),거래처별!$S$8:$S$307,0))</f>
        <v/>
      </c>
    </row>
    <row r="100">
      <c r="A100" s="38">
        <f>IF(94&gt;COUNT(거래처별!$S$8:$S$307),"",94)</f>
        <v/>
      </c>
      <c r="B100" s="38">
        <f>IF($A100="","",INDEX(거래처별!$C$8:$C$307,$J100))</f>
        <v/>
      </c>
      <c r="C100" s="38">
        <f>IF($A100="","",INDEX(거래처별!$B$8:$B$307,$J100))</f>
        <v/>
      </c>
      <c r="D100" s="44">
        <f>IF($A100="","",INDEX(거래처별!$G$8:$G$307,$J100))</f>
        <v/>
      </c>
      <c r="E100" s="44">
        <f>IF($A100="","",INDEX(거래처별!$I$8:$I$307,$J100)+INDEX(거래처별!$J$8:$J$307,$J100)+INDEX(거래처별!$K$8:$K$307,$J100))</f>
        <v/>
      </c>
      <c r="F100" s="38">
        <f>IF($A100="","",INDEX(거래처별!$P$8:$P$307,$J100))</f>
        <v/>
      </c>
      <c r="G100" s="38">
        <f>IF($A100="","",IF(INDEX(거래처별!$M$8:$M$307,$J100)="","미연락",INDEX(거래처별!$M$8:$M$307,$J100)))</f>
        <v/>
      </c>
      <c r="H100" s="47">
        <f>IF($A100="","",$B100&amp;" 담당자님, 안녕하세요. "&amp;설정!$B$3&amp;"입니다. "&amp;MONTH(설정!$B$5)&amp;"월 "&amp;DAY(설정!$B$5)&amp;"일 기준으로 거래대금 "&amp;TEXT($D100,"#,##0")&amp;"원의 입금이 확인되지 않아 연락드립니다. 그중 "&amp;설정!$B$6&amp;"일이 지난 금액은 "&amp;TEXT($E100,"#,##0")&amp;"원입니다. 이미 입금하셨다면 입금자명을 알려 주시면 확인하겠습니다. 확인 부탁드립니다.")</f>
        <v/>
      </c>
      <c r="J100" s="31">
        <f>IF($A100="","",MATCH(LARGE(거래처별!$S$8:$S$307,$A100),거래처별!$S$8:$S$307,0))</f>
        <v/>
      </c>
    </row>
    <row r="101">
      <c r="A101" s="38">
        <f>IF(95&gt;COUNT(거래처별!$S$8:$S$307),"",95)</f>
        <v/>
      </c>
      <c r="B101" s="38">
        <f>IF($A101="","",INDEX(거래처별!$C$8:$C$307,$J101))</f>
        <v/>
      </c>
      <c r="C101" s="38">
        <f>IF($A101="","",INDEX(거래처별!$B$8:$B$307,$J101))</f>
        <v/>
      </c>
      <c r="D101" s="44">
        <f>IF($A101="","",INDEX(거래처별!$G$8:$G$307,$J101))</f>
        <v/>
      </c>
      <c r="E101" s="44">
        <f>IF($A101="","",INDEX(거래처별!$I$8:$I$307,$J101)+INDEX(거래처별!$J$8:$J$307,$J101)+INDEX(거래처별!$K$8:$K$307,$J101))</f>
        <v/>
      </c>
      <c r="F101" s="38">
        <f>IF($A101="","",INDEX(거래처별!$P$8:$P$307,$J101))</f>
        <v/>
      </c>
      <c r="G101" s="38">
        <f>IF($A101="","",IF(INDEX(거래처별!$M$8:$M$307,$J101)="","미연락",INDEX(거래처별!$M$8:$M$307,$J101)))</f>
        <v/>
      </c>
      <c r="H101" s="47">
        <f>IF($A101="","",$B101&amp;" 담당자님, 안녕하세요. "&amp;설정!$B$3&amp;"입니다. "&amp;MONTH(설정!$B$5)&amp;"월 "&amp;DAY(설정!$B$5)&amp;"일 기준으로 거래대금 "&amp;TEXT($D101,"#,##0")&amp;"원의 입금이 확인되지 않아 연락드립니다. 그중 "&amp;설정!$B$6&amp;"일이 지난 금액은 "&amp;TEXT($E101,"#,##0")&amp;"원입니다. 이미 입금하셨다면 입금자명을 알려 주시면 확인하겠습니다. 확인 부탁드립니다.")</f>
        <v/>
      </c>
      <c r="J101" s="31">
        <f>IF($A101="","",MATCH(LARGE(거래처별!$S$8:$S$307,$A101),거래처별!$S$8:$S$307,0))</f>
        <v/>
      </c>
    </row>
    <row r="102">
      <c r="A102" s="38">
        <f>IF(96&gt;COUNT(거래처별!$S$8:$S$307),"",96)</f>
        <v/>
      </c>
      <c r="B102" s="38">
        <f>IF($A102="","",INDEX(거래처별!$C$8:$C$307,$J102))</f>
        <v/>
      </c>
      <c r="C102" s="38">
        <f>IF($A102="","",INDEX(거래처별!$B$8:$B$307,$J102))</f>
        <v/>
      </c>
      <c r="D102" s="44">
        <f>IF($A102="","",INDEX(거래처별!$G$8:$G$307,$J102))</f>
        <v/>
      </c>
      <c r="E102" s="44">
        <f>IF($A102="","",INDEX(거래처별!$I$8:$I$307,$J102)+INDEX(거래처별!$J$8:$J$307,$J102)+INDEX(거래처별!$K$8:$K$307,$J102))</f>
        <v/>
      </c>
      <c r="F102" s="38">
        <f>IF($A102="","",INDEX(거래처별!$P$8:$P$307,$J102))</f>
        <v/>
      </c>
      <c r="G102" s="38">
        <f>IF($A102="","",IF(INDEX(거래처별!$M$8:$M$307,$J102)="","미연락",INDEX(거래처별!$M$8:$M$307,$J102)))</f>
        <v/>
      </c>
      <c r="H102" s="47">
        <f>IF($A102="","",$B102&amp;" 담당자님, 안녕하세요. "&amp;설정!$B$3&amp;"입니다. "&amp;MONTH(설정!$B$5)&amp;"월 "&amp;DAY(설정!$B$5)&amp;"일 기준으로 거래대금 "&amp;TEXT($D102,"#,##0")&amp;"원의 입금이 확인되지 않아 연락드립니다. 그중 "&amp;설정!$B$6&amp;"일이 지난 금액은 "&amp;TEXT($E102,"#,##0")&amp;"원입니다. 이미 입금하셨다면 입금자명을 알려 주시면 확인하겠습니다. 확인 부탁드립니다.")</f>
        <v/>
      </c>
      <c r="J102" s="31">
        <f>IF($A102="","",MATCH(LARGE(거래처별!$S$8:$S$307,$A102),거래처별!$S$8:$S$307,0))</f>
        <v/>
      </c>
    </row>
    <row r="103">
      <c r="A103" s="38">
        <f>IF(97&gt;COUNT(거래처별!$S$8:$S$307),"",97)</f>
        <v/>
      </c>
      <c r="B103" s="38">
        <f>IF($A103="","",INDEX(거래처별!$C$8:$C$307,$J103))</f>
        <v/>
      </c>
      <c r="C103" s="38">
        <f>IF($A103="","",INDEX(거래처별!$B$8:$B$307,$J103))</f>
        <v/>
      </c>
      <c r="D103" s="44">
        <f>IF($A103="","",INDEX(거래처별!$G$8:$G$307,$J103))</f>
        <v/>
      </c>
      <c r="E103" s="44">
        <f>IF($A103="","",INDEX(거래처별!$I$8:$I$307,$J103)+INDEX(거래처별!$J$8:$J$307,$J103)+INDEX(거래처별!$K$8:$K$307,$J103))</f>
        <v/>
      </c>
      <c r="F103" s="38">
        <f>IF($A103="","",INDEX(거래처별!$P$8:$P$307,$J103))</f>
        <v/>
      </c>
      <c r="G103" s="38">
        <f>IF($A103="","",IF(INDEX(거래처별!$M$8:$M$307,$J103)="","미연락",INDEX(거래처별!$M$8:$M$307,$J103)))</f>
        <v/>
      </c>
      <c r="H103" s="47">
        <f>IF($A103="","",$B103&amp;" 담당자님, 안녕하세요. "&amp;설정!$B$3&amp;"입니다. "&amp;MONTH(설정!$B$5)&amp;"월 "&amp;DAY(설정!$B$5)&amp;"일 기준으로 거래대금 "&amp;TEXT($D103,"#,##0")&amp;"원의 입금이 확인되지 않아 연락드립니다. 그중 "&amp;설정!$B$6&amp;"일이 지난 금액은 "&amp;TEXT($E103,"#,##0")&amp;"원입니다. 이미 입금하셨다면 입금자명을 알려 주시면 확인하겠습니다. 확인 부탁드립니다.")</f>
        <v/>
      </c>
      <c r="J103" s="31">
        <f>IF($A103="","",MATCH(LARGE(거래처별!$S$8:$S$307,$A103),거래처별!$S$8:$S$307,0))</f>
        <v/>
      </c>
    </row>
    <row r="104">
      <c r="A104" s="38">
        <f>IF(98&gt;COUNT(거래처별!$S$8:$S$307),"",98)</f>
        <v/>
      </c>
      <c r="B104" s="38">
        <f>IF($A104="","",INDEX(거래처별!$C$8:$C$307,$J104))</f>
        <v/>
      </c>
      <c r="C104" s="38">
        <f>IF($A104="","",INDEX(거래처별!$B$8:$B$307,$J104))</f>
        <v/>
      </c>
      <c r="D104" s="44">
        <f>IF($A104="","",INDEX(거래처별!$G$8:$G$307,$J104))</f>
        <v/>
      </c>
      <c r="E104" s="44">
        <f>IF($A104="","",INDEX(거래처별!$I$8:$I$307,$J104)+INDEX(거래처별!$J$8:$J$307,$J104)+INDEX(거래처별!$K$8:$K$307,$J104))</f>
        <v/>
      </c>
      <c r="F104" s="38">
        <f>IF($A104="","",INDEX(거래처별!$P$8:$P$307,$J104))</f>
        <v/>
      </c>
      <c r="G104" s="38">
        <f>IF($A104="","",IF(INDEX(거래처별!$M$8:$M$307,$J104)="","미연락",INDEX(거래처별!$M$8:$M$307,$J104)))</f>
        <v/>
      </c>
      <c r="H104" s="47">
        <f>IF($A104="","",$B104&amp;" 담당자님, 안녕하세요. "&amp;설정!$B$3&amp;"입니다. "&amp;MONTH(설정!$B$5)&amp;"월 "&amp;DAY(설정!$B$5)&amp;"일 기준으로 거래대금 "&amp;TEXT($D104,"#,##0")&amp;"원의 입금이 확인되지 않아 연락드립니다. 그중 "&amp;설정!$B$6&amp;"일이 지난 금액은 "&amp;TEXT($E104,"#,##0")&amp;"원입니다. 이미 입금하셨다면 입금자명을 알려 주시면 확인하겠습니다. 확인 부탁드립니다.")</f>
        <v/>
      </c>
      <c r="J104" s="31">
        <f>IF($A104="","",MATCH(LARGE(거래처별!$S$8:$S$307,$A104),거래처별!$S$8:$S$307,0))</f>
        <v/>
      </c>
    </row>
    <row r="105">
      <c r="A105" s="38">
        <f>IF(99&gt;COUNT(거래처별!$S$8:$S$307),"",99)</f>
        <v/>
      </c>
      <c r="B105" s="38">
        <f>IF($A105="","",INDEX(거래처별!$C$8:$C$307,$J105))</f>
        <v/>
      </c>
      <c r="C105" s="38">
        <f>IF($A105="","",INDEX(거래처별!$B$8:$B$307,$J105))</f>
        <v/>
      </c>
      <c r="D105" s="44">
        <f>IF($A105="","",INDEX(거래처별!$G$8:$G$307,$J105))</f>
        <v/>
      </c>
      <c r="E105" s="44">
        <f>IF($A105="","",INDEX(거래처별!$I$8:$I$307,$J105)+INDEX(거래처별!$J$8:$J$307,$J105)+INDEX(거래처별!$K$8:$K$307,$J105))</f>
        <v/>
      </c>
      <c r="F105" s="38">
        <f>IF($A105="","",INDEX(거래처별!$P$8:$P$307,$J105))</f>
        <v/>
      </c>
      <c r="G105" s="38">
        <f>IF($A105="","",IF(INDEX(거래처별!$M$8:$M$307,$J105)="","미연락",INDEX(거래처별!$M$8:$M$307,$J105)))</f>
        <v/>
      </c>
      <c r="H105" s="47">
        <f>IF($A105="","",$B105&amp;" 담당자님, 안녕하세요. "&amp;설정!$B$3&amp;"입니다. "&amp;MONTH(설정!$B$5)&amp;"월 "&amp;DAY(설정!$B$5)&amp;"일 기준으로 거래대금 "&amp;TEXT($D105,"#,##0")&amp;"원의 입금이 확인되지 않아 연락드립니다. 그중 "&amp;설정!$B$6&amp;"일이 지난 금액은 "&amp;TEXT($E105,"#,##0")&amp;"원입니다. 이미 입금하셨다면 입금자명을 알려 주시면 확인하겠습니다. 확인 부탁드립니다.")</f>
        <v/>
      </c>
      <c r="J105" s="31">
        <f>IF($A105="","",MATCH(LARGE(거래처별!$S$8:$S$307,$A105),거래처별!$S$8:$S$307,0))</f>
        <v/>
      </c>
    </row>
    <row r="106">
      <c r="A106" s="38">
        <f>IF(100&gt;COUNT(거래처별!$S$8:$S$307),"",100)</f>
        <v/>
      </c>
      <c r="B106" s="38">
        <f>IF($A106="","",INDEX(거래처별!$C$8:$C$307,$J106))</f>
        <v/>
      </c>
      <c r="C106" s="38">
        <f>IF($A106="","",INDEX(거래처별!$B$8:$B$307,$J106))</f>
        <v/>
      </c>
      <c r="D106" s="44">
        <f>IF($A106="","",INDEX(거래처별!$G$8:$G$307,$J106))</f>
        <v/>
      </c>
      <c r="E106" s="44">
        <f>IF($A106="","",INDEX(거래처별!$I$8:$I$307,$J106)+INDEX(거래처별!$J$8:$J$307,$J106)+INDEX(거래처별!$K$8:$K$307,$J106))</f>
        <v/>
      </c>
      <c r="F106" s="38">
        <f>IF($A106="","",INDEX(거래처별!$P$8:$P$307,$J106))</f>
        <v/>
      </c>
      <c r="G106" s="38">
        <f>IF($A106="","",IF(INDEX(거래처별!$M$8:$M$307,$J106)="","미연락",INDEX(거래처별!$M$8:$M$307,$J106)))</f>
        <v/>
      </c>
      <c r="H106" s="47">
        <f>IF($A106="","",$B106&amp;" 담당자님, 안녕하세요. "&amp;설정!$B$3&amp;"입니다. "&amp;MONTH(설정!$B$5)&amp;"월 "&amp;DAY(설정!$B$5)&amp;"일 기준으로 거래대금 "&amp;TEXT($D106,"#,##0")&amp;"원의 입금이 확인되지 않아 연락드립니다. 그중 "&amp;설정!$B$6&amp;"일이 지난 금액은 "&amp;TEXT($E106,"#,##0")&amp;"원입니다. 이미 입금하셨다면 입금자명을 알려 주시면 확인하겠습니다. 확인 부탁드립니다.")</f>
        <v/>
      </c>
      <c r="J106" s="31">
        <f>IF($A106="","",MATCH(LARGE(거래처별!$S$8:$S$307,$A106),거래처별!$S$8:$S$307,0))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4" customWidth="1" min="4" max="4"/>
    <col width="34" customWidth="1" min="5" max="5"/>
    <col width="24" customWidth="1" min="6" max="6"/>
    <col width="2" customWidth="1" min="7" max="7"/>
    <col width="6" customWidth="1" min="8" max="8"/>
    <col width="6" customWidth="1" min="9" max="9"/>
  </cols>
  <sheetData>
    <row r="1">
      <c r="A1" s="11" t="inlineStr">
        <is>
          <t>미매칭입금 — 거래처로 맞춰지지 않은 입금 (자동)</t>
        </is>
      </c>
    </row>
    <row r="2">
      <c r="A2" s="12" t="inlineStr">
        <is>
          <t>✍ 직접 입력: 없음. 여기 뜬 입금 중 거래처 입금이 있으면 [거래처설정]에 그 입금자명을 별칭으로 등록하세요 → 다음 계산부터 자동으로 맞춰집니다.</t>
        </is>
      </c>
    </row>
    <row r="3">
      <c r="A3" s="2" t="inlineStr">
        <is>
          <t>⚙ 자동 계산: 입금액이 있는 거래 중 거래처 이름·별칭이 내용에 없는 건. 대출 실행·이자·환급처럼 거래처 입금이 아닌 것도 함께 나옵니다. 최대 300건 표시.</t>
        </is>
      </c>
    </row>
    <row r="4">
      <c r="A4" s="9">
        <f>"미매칭 입금 "&amp;(MAX(입금_은행1!$AD$8:$AD$2007)+MAX(입금_은행2!$AD$8:$AD$2007))&amp;"건 · "&amp;TEXT(SUMIFS(입금_은행1!$Z$8:$Z$2007,입금_은행1!$AC$8:$AC$2007,0)+SUMIFS(입금_은행2!$Z$8:$Z$2007,입금_은행2!$AC$8:$AC$2007,0),"#,##0")&amp;"원 (입금이 아닌 행은 제외)"</f>
        <v/>
      </c>
    </row>
    <row r="6">
      <c r="A6" s="22" t="inlineStr">
        <is>
          <t>순</t>
        </is>
      </c>
      <c r="B6" s="22" t="inlineStr">
        <is>
          <t>계좌</t>
        </is>
      </c>
      <c r="C6" s="22" t="inlineStr">
        <is>
          <t>날짜</t>
        </is>
      </c>
      <c r="D6" s="22" t="inlineStr">
        <is>
          <t>입금액</t>
        </is>
      </c>
      <c r="E6" s="22" t="inlineStr">
        <is>
          <t>내용 (보낸 분)</t>
        </is>
      </c>
      <c r="F6" s="22" t="inlineStr">
        <is>
          <t>확인 방법</t>
        </is>
      </c>
    </row>
    <row r="7">
      <c r="A7" s="38">
        <f>IF($H7="","",1)</f>
        <v/>
      </c>
      <c r="B7" s="38">
        <f>IF($H7="","",IF($H7=1,입금_은행1!$A$5,입금_은행2!$A$5))</f>
        <v/>
      </c>
      <c r="C7" s="40">
        <f>IF($H7="","",IF($H7=1,INDEX(입금_은행1!$Y$8:$Y$2007,$I7),INDEX(입금_은행2!$Y$8:$Y$2007,$I7)))</f>
        <v/>
      </c>
      <c r="D7" s="44">
        <f>IF($H7="","",IF($H7=1,INDEX(입금_은행1!$Z$8:$Z$2007,$I7),INDEX(입금_은행2!$Z$8:$Z$2007,$I7)))</f>
        <v/>
      </c>
      <c r="E7" s="38">
        <f>IF($H7="","",IF($H7=1,INDEX(입금_은행1!$AA$8:$AA$2007,$I7),INDEX(입금_은행2!$AA$8:$AA$2007,$I7)))</f>
        <v/>
      </c>
      <c r="F7" s="38">
        <f>IF($H7="","","거래처 입금이면 별칭 등록")</f>
        <v/>
      </c>
      <c r="H7" s="31">
        <f>IF(1&lt;=MAX(입금_은행1!$AD$8:$AD$2007),1,IF(1-MAX(입금_은행1!$AD$8:$AD$2007)&lt;=MAX(입금_은행2!$AD$8:$AD$2007),2,""))</f>
        <v/>
      </c>
      <c r="I7" s="31">
        <f>IF($H7="","",IF($H7=1,MATCH(1,입금_은행1!$AD$8:$AD$2007,0),MATCH(1-MAX(입금_은행1!$AD$8:$AD$2007),입금_은행2!$AD$8:$AD$2007,0)))</f>
        <v/>
      </c>
    </row>
    <row r="8">
      <c r="A8" s="38">
        <f>IF($H8="","",2)</f>
        <v/>
      </c>
      <c r="B8" s="38">
        <f>IF($H8="","",IF($H8=1,입금_은행1!$A$5,입금_은행2!$A$5))</f>
        <v/>
      </c>
      <c r="C8" s="40">
        <f>IF($H8="","",IF($H8=1,INDEX(입금_은행1!$Y$8:$Y$2007,$I8),INDEX(입금_은행2!$Y$8:$Y$2007,$I8)))</f>
        <v/>
      </c>
      <c r="D8" s="44">
        <f>IF($H8="","",IF($H8=1,INDEX(입금_은행1!$Z$8:$Z$2007,$I8),INDEX(입금_은행2!$Z$8:$Z$2007,$I8)))</f>
        <v/>
      </c>
      <c r="E8" s="38">
        <f>IF($H8="","",IF($H8=1,INDEX(입금_은행1!$AA$8:$AA$2007,$I8),INDEX(입금_은행2!$AA$8:$AA$2007,$I8)))</f>
        <v/>
      </c>
      <c r="F8" s="38">
        <f>IF($H8="","","거래처 입금이면 별칭 등록")</f>
        <v/>
      </c>
      <c r="H8" s="31">
        <f>IF(2&lt;=MAX(입금_은행1!$AD$8:$AD$2007),1,IF(2-MAX(입금_은행1!$AD$8:$AD$2007)&lt;=MAX(입금_은행2!$AD$8:$AD$2007),2,""))</f>
        <v/>
      </c>
      <c r="I8" s="31">
        <f>IF($H8="","",IF($H8=1,MATCH(2,입금_은행1!$AD$8:$AD$2007,0),MATCH(2-MAX(입금_은행1!$AD$8:$AD$2007),입금_은행2!$AD$8:$AD$2007,0)))</f>
        <v/>
      </c>
    </row>
    <row r="9">
      <c r="A9" s="38">
        <f>IF($H9="","",3)</f>
        <v/>
      </c>
      <c r="B9" s="38">
        <f>IF($H9="","",IF($H9=1,입금_은행1!$A$5,입금_은행2!$A$5))</f>
        <v/>
      </c>
      <c r="C9" s="40">
        <f>IF($H9="","",IF($H9=1,INDEX(입금_은행1!$Y$8:$Y$2007,$I9),INDEX(입금_은행2!$Y$8:$Y$2007,$I9)))</f>
        <v/>
      </c>
      <c r="D9" s="44">
        <f>IF($H9="","",IF($H9=1,INDEX(입금_은행1!$Z$8:$Z$2007,$I9),INDEX(입금_은행2!$Z$8:$Z$2007,$I9)))</f>
        <v/>
      </c>
      <c r="E9" s="38">
        <f>IF($H9="","",IF($H9=1,INDEX(입금_은행1!$AA$8:$AA$2007,$I9),INDEX(입금_은행2!$AA$8:$AA$2007,$I9)))</f>
        <v/>
      </c>
      <c r="F9" s="38">
        <f>IF($H9="","","거래처 입금이면 별칭 등록")</f>
        <v/>
      </c>
      <c r="H9" s="31">
        <f>IF(3&lt;=MAX(입금_은행1!$AD$8:$AD$2007),1,IF(3-MAX(입금_은행1!$AD$8:$AD$2007)&lt;=MAX(입금_은행2!$AD$8:$AD$2007),2,""))</f>
        <v/>
      </c>
      <c r="I9" s="31">
        <f>IF($H9="","",IF($H9=1,MATCH(3,입금_은행1!$AD$8:$AD$2007,0),MATCH(3-MAX(입금_은행1!$AD$8:$AD$2007),입금_은행2!$AD$8:$AD$2007,0)))</f>
        <v/>
      </c>
    </row>
    <row r="10">
      <c r="A10" s="38">
        <f>IF($H10="","",4)</f>
        <v/>
      </c>
      <c r="B10" s="38">
        <f>IF($H10="","",IF($H10=1,입금_은행1!$A$5,입금_은행2!$A$5))</f>
        <v/>
      </c>
      <c r="C10" s="40">
        <f>IF($H10="","",IF($H10=1,INDEX(입금_은행1!$Y$8:$Y$2007,$I10),INDEX(입금_은행2!$Y$8:$Y$2007,$I10)))</f>
        <v/>
      </c>
      <c r="D10" s="44">
        <f>IF($H10="","",IF($H10=1,INDEX(입금_은행1!$Z$8:$Z$2007,$I10),INDEX(입금_은행2!$Z$8:$Z$2007,$I10)))</f>
        <v/>
      </c>
      <c r="E10" s="38">
        <f>IF($H10="","",IF($H10=1,INDEX(입금_은행1!$AA$8:$AA$2007,$I10),INDEX(입금_은행2!$AA$8:$AA$2007,$I10)))</f>
        <v/>
      </c>
      <c r="F10" s="38">
        <f>IF($H10="","","거래처 입금이면 별칭 등록")</f>
        <v/>
      </c>
      <c r="H10" s="31">
        <f>IF(4&lt;=MAX(입금_은행1!$AD$8:$AD$2007),1,IF(4-MAX(입금_은행1!$AD$8:$AD$2007)&lt;=MAX(입금_은행2!$AD$8:$AD$2007),2,""))</f>
        <v/>
      </c>
      <c r="I10" s="31">
        <f>IF($H10="","",IF($H10=1,MATCH(4,입금_은행1!$AD$8:$AD$2007,0),MATCH(4-MAX(입금_은행1!$AD$8:$AD$2007),입금_은행2!$AD$8:$AD$2007,0)))</f>
        <v/>
      </c>
    </row>
    <row r="11">
      <c r="A11" s="38">
        <f>IF($H11="","",5)</f>
        <v/>
      </c>
      <c r="B11" s="38">
        <f>IF($H11="","",IF($H11=1,입금_은행1!$A$5,입금_은행2!$A$5))</f>
        <v/>
      </c>
      <c r="C11" s="40">
        <f>IF($H11="","",IF($H11=1,INDEX(입금_은행1!$Y$8:$Y$2007,$I11),INDEX(입금_은행2!$Y$8:$Y$2007,$I11)))</f>
        <v/>
      </c>
      <c r="D11" s="44">
        <f>IF($H11="","",IF($H11=1,INDEX(입금_은행1!$Z$8:$Z$2007,$I11),INDEX(입금_은행2!$Z$8:$Z$2007,$I11)))</f>
        <v/>
      </c>
      <c r="E11" s="38">
        <f>IF($H11="","",IF($H11=1,INDEX(입금_은행1!$AA$8:$AA$2007,$I11),INDEX(입금_은행2!$AA$8:$AA$2007,$I11)))</f>
        <v/>
      </c>
      <c r="F11" s="38">
        <f>IF($H11="","","거래처 입금이면 별칭 등록")</f>
        <v/>
      </c>
      <c r="H11" s="31">
        <f>IF(5&lt;=MAX(입금_은행1!$AD$8:$AD$2007),1,IF(5-MAX(입금_은행1!$AD$8:$AD$2007)&lt;=MAX(입금_은행2!$AD$8:$AD$2007),2,""))</f>
        <v/>
      </c>
      <c r="I11" s="31">
        <f>IF($H11="","",IF($H11=1,MATCH(5,입금_은행1!$AD$8:$AD$2007,0),MATCH(5-MAX(입금_은행1!$AD$8:$AD$2007),입금_은행2!$AD$8:$AD$2007,0)))</f>
        <v/>
      </c>
    </row>
    <row r="12">
      <c r="A12" s="38">
        <f>IF($H12="","",6)</f>
        <v/>
      </c>
      <c r="B12" s="38">
        <f>IF($H12="","",IF($H12=1,입금_은행1!$A$5,입금_은행2!$A$5))</f>
        <v/>
      </c>
      <c r="C12" s="40">
        <f>IF($H12="","",IF($H12=1,INDEX(입금_은행1!$Y$8:$Y$2007,$I12),INDEX(입금_은행2!$Y$8:$Y$2007,$I12)))</f>
        <v/>
      </c>
      <c r="D12" s="44">
        <f>IF($H12="","",IF($H12=1,INDEX(입금_은행1!$Z$8:$Z$2007,$I12),INDEX(입금_은행2!$Z$8:$Z$2007,$I12)))</f>
        <v/>
      </c>
      <c r="E12" s="38">
        <f>IF($H12="","",IF($H12=1,INDEX(입금_은행1!$AA$8:$AA$2007,$I12),INDEX(입금_은행2!$AA$8:$AA$2007,$I12)))</f>
        <v/>
      </c>
      <c r="F12" s="38">
        <f>IF($H12="","","거래처 입금이면 별칭 등록")</f>
        <v/>
      </c>
      <c r="H12" s="31">
        <f>IF(6&lt;=MAX(입금_은행1!$AD$8:$AD$2007),1,IF(6-MAX(입금_은행1!$AD$8:$AD$2007)&lt;=MAX(입금_은행2!$AD$8:$AD$2007),2,""))</f>
        <v/>
      </c>
      <c r="I12" s="31">
        <f>IF($H12="","",IF($H12=1,MATCH(6,입금_은행1!$AD$8:$AD$2007,0),MATCH(6-MAX(입금_은행1!$AD$8:$AD$2007),입금_은행2!$AD$8:$AD$2007,0)))</f>
        <v/>
      </c>
    </row>
    <row r="13">
      <c r="A13" s="38">
        <f>IF($H13="","",7)</f>
        <v/>
      </c>
      <c r="B13" s="38">
        <f>IF($H13="","",IF($H13=1,입금_은행1!$A$5,입금_은행2!$A$5))</f>
        <v/>
      </c>
      <c r="C13" s="40">
        <f>IF($H13="","",IF($H13=1,INDEX(입금_은행1!$Y$8:$Y$2007,$I13),INDEX(입금_은행2!$Y$8:$Y$2007,$I13)))</f>
        <v/>
      </c>
      <c r="D13" s="44">
        <f>IF($H13="","",IF($H13=1,INDEX(입금_은행1!$Z$8:$Z$2007,$I13),INDEX(입금_은행2!$Z$8:$Z$2007,$I13)))</f>
        <v/>
      </c>
      <c r="E13" s="38">
        <f>IF($H13="","",IF($H13=1,INDEX(입금_은행1!$AA$8:$AA$2007,$I13),INDEX(입금_은행2!$AA$8:$AA$2007,$I13)))</f>
        <v/>
      </c>
      <c r="F13" s="38">
        <f>IF($H13="","","거래처 입금이면 별칭 등록")</f>
        <v/>
      </c>
      <c r="H13" s="31">
        <f>IF(7&lt;=MAX(입금_은행1!$AD$8:$AD$2007),1,IF(7-MAX(입금_은행1!$AD$8:$AD$2007)&lt;=MAX(입금_은행2!$AD$8:$AD$2007),2,""))</f>
        <v/>
      </c>
      <c r="I13" s="31">
        <f>IF($H13="","",IF($H13=1,MATCH(7,입금_은행1!$AD$8:$AD$2007,0),MATCH(7-MAX(입금_은행1!$AD$8:$AD$2007),입금_은행2!$AD$8:$AD$2007,0)))</f>
        <v/>
      </c>
    </row>
    <row r="14">
      <c r="A14" s="38">
        <f>IF($H14="","",8)</f>
        <v/>
      </c>
      <c r="B14" s="38">
        <f>IF($H14="","",IF($H14=1,입금_은행1!$A$5,입금_은행2!$A$5))</f>
        <v/>
      </c>
      <c r="C14" s="40">
        <f>IF($H14="","",IF($H14=1,INDEX(입금_은행1!$Y$8:$Y$2007,$I14),INDEX(입금_은행2!$Y$8:$Y$2007,$I14)))</f>
        <v/>
      </c>
      <c r="D14" s="44">
        <f>IF($H14="","",IF($H14=1,INDEX(입금_은행1!$Z$8:$Z$2007,$I14),INDEX(입금_은행2!$Z$8:$Z$2007,$I14)))</f>
        <v/>
      </c>
      <c r="E14" s="38">
        <f>IF($H14="","",IF($H14=1,INDEX(입금_은행1!$AA$8:$AA$2007,$I14),INDEX(입금_은행2!$AA$8:$AA$2007,$I14)))</f>
        <v/>
      </c>
      <c r="F14" s="38">
        <f>IF($H14="","","거래처 입금이면 별칭 등록")</f>
        <v/>
      </c>
      <c r="H14" s="31">
        <f>IF(8&lt;=MAX(입금_은행1!$AD$8:$AD$2007),1,IF(8-MAX(입금_은행1!$AD$8:$AD$2007)&lt;=MAX(입금_은행2!$AD$8:$AD$2007),2,""))</f>
        <v/>
      </c>
      <c r="I14" s="31">
        <f>IF($H14="","",IF($H14=1,MATCH(8,입금_은행1!$AD$8:$AD$2007,0),MATCH(8-MAX(입금_은행1!$AD$8:$AD$2007),입금_은행2!$AD$8:$AD$2007,0)))</f>
        <v/>
      </c>
    </row>
    <row r="15">
      <c r="A15" s="38">
        <f>IF($H15="","",9)</f>
        <v/>
      </c>
      <c r="B15" s="38">
        <f>IF($H15="","",IF($H15=1,입금_은행1!$A$5,입금_은행2!$A$5))</f>
        <v/>
      </c>
      <c r="C15" s="40">
        <f>IF($H15="","",IF($H15=1,INDEX(입금_은행1!$Y$8:$Y$2007,$I15),INDEX(입금_은행2!$Y$8:$Y$2007,$I15)))</f>
        <v/>
      </c>
      <c r="D15" s="44">
        <f>IF($H15="","",IF($H15=1,INDEX(입금_은행1!$Z$8:$Z$2007,$I15),INDEX(입금_은행2!$Z$8:$Z$2007,$I15)))</f>
        <v/>
      </c>
      <c r="E15" s="38">
        <f>IF($H15="","",IF($H15=1,INDEX(입금_은행1!$AA$8:$AA$2007,$I15),INDEX(입금_은행2!$AA$8:$AA$2007,$I15)))</f>
        <v/>
      </c>
      <c r="F15" s="38">
        <f>IF($H15="","","거래처 입금이면 별칭 등록")</f>
        <v/>
      </c>
      <c r="H15" s="31">
        <f>IF(9&lt;=MAX(입금_은행1!$AD$8:$AD$2007),1,IF(9-MAX(입금_은행1!$AD$8:$AD$2007)&lt;=MAX(입금_은행2!$AD$8:$AD$2007),2,""))</f>
        <v/>
      </c>
      <c r="I15" s="31">
        <f>IF($H15="","",IF($H15=1,MATCH(9,입금_은행1!$AD$8:$AD$2007,0),MATCH(9-MAX(입금_은행1!$AD$8:$AD$2007),입금_은행2!$AD$8:$AD$2007,0)))</f>
        <v/>
      </c>
    </row>
    <row r="16">
      <c r="A16" s="38">
        <f>IF($H16="","",10)</f>
        <v/>
      </c>
      <c r="B16" s="38">
        <f>IF($H16="","",IF($H16=1,입금_은행1!$A$5,입금_은행2!$A$5))</f>
        <v/>
      </c>
      <c r="C16" s="40">
        <f>IF($H16="","",IF($H16=1,INDEX(입금_은행1!$Y$8:$Y$2007,$I16),INDEX(입금_은행2!$Y$8:$Y$2007,$I16)))</f>
        <v/>
      </c>
      <c r="D16" s="44">
        <f>IF($H16="","",IF($H16=1,INDEX(입금_은행1!$Z$8:$Z$2007,$I16),INDEX(입금_은행2!$Z$8:$Z$2007,$I16)))</f>
        <v/>
      </c>
      <c r="E16" s="38">
        <f>IF($H16="","",IF($H16=1,INDEX(입금_은행1!$AA$8:$AA$2007,$I16),INDEX(입금_은행2!$AA$8:$AA$2007,$I16)))</f>
        <v/>
      </c>
      <c r="F16" s="38">
        <f>IF($H16="","","거래처 입금이면 별칭 등록")</f>
        <v/>
      </c>
      <c r="H16" s="31">
        <f>IF(10&lt;=MAX(입금_은행1!$AD$8:$AD$2007),1,IF(10-MAX(입금_은행1!$AD$8:$AD$2007)&lt;=MAX(입금_은행2!$AD$8:$AD$2007),2,""))</f>
        <v/>
      </c>
      <c r="I16" s="31">
        <f>IF($H16="","",IF($H16=1,MATCH(10,입금_은행1!$AD$8:$AD$2007,0),MATCH(10-MAX(입금_은행1!$AD$8:$AD$2007),입금_은행2!$AD$8:$AD$2007,0)))</f>
        <v/>
      </c>
    </row>
    <row r="17">
      <c r="A17" s="38">
        <f>IF($H17="","",11)</f>
        <v/>
      </c>
      <c r="B17" s="38">
        <f>IF($H17="","",IF($H17=1,입금_은행1!$A$5,입금_은행2!$A$5))</f>
        <v/>
      </c>
      <c r="C17" s="40">
        <f>IF($H17="","",IF($H17=1,INDEX(입금_은행1!$Y$8:$Y$2007,$I17),INDEX(입금_은행2!$Y$8:$Y$2007,$I17)))</f>
        <v/>
      </c>
      <c r="D17" s="44">
        <f>IF($H17="","",IF($H17=1,INDEX(입금_은행1!$Z$8:$Z$2007,$I17),INDEX(입금_은행2!$Z$8:$Z$2007,$I17)))</f>
        <v/>
      </c>
      <c r="E17" s="38">
        <f>IF($H17="","",IF($H17=1,INDEX(입금_은행1!$AA$8:$AA$2007,$I17),INDEX(입금_은행2!$AA$8:$AA$2007,$I17)))</f>
        <v/>
      </c>
      <c r="F17" s="38">
        <f>IF($H17="","","거래처 입금이면 별칭 등록")</f>
        <v/>
      </c>
      <c r="H17" s="31">
        <f>IF(11&lt;=MAX(입금_은행1!$AD$8:$AD$2007),1,IF(11-MAX(입금_은행1!$AD$8:$AD$2007)&lt;=MAX(입금_은행2!$AD$8:$AD$2007),2,""))</f>
        <v/>
      </c>
      <c r="I17" s="31">
        <f>IF($H17="","",IF($H17=1,MATCH(11,입금_은행1!$AD$8:$AD$2007,0),MATCH(11-MAX(입금_은행1!$AD$8:$AD$2007),입금_은행2!$AD$8:$AD$2007,0)))</f>
        <v/>
      </c>
    </row>
    <row r="18">
      <c r="A18" s="38">
        <f>IF($H18="","",12)</f>
        <v/>
      </c>
      <c r="B18" s="38">
        <f>IF($H18="","",IF($H18=1,입금_은행1!$A$5,입금_은행2!$A$5))</f>
        <v/>
      </c>
      <c r="C18" s="40">
        <f>IF($H18="","",IF($H18=1,INDEX(입금_은행1!$Y$8:$Y$2007,$I18),INDEX(입금_은행2!$Y$8:$Y$2007,$I18)))</f>
        <v/>
      </c>
      <c r="D18" s="44">
        <f>IF($H18="","",IF($H18=1,INDEX(입금_은행1!$Z$8:$Z$2007,$I18),INDEX(입금_은행2!$Z$8:$Z$2007,$I18)))</f>
        <v/>
      </c>
      <c r="E18" s="38">
        <f>IF($H18="","",IF($H18=1,INDEX(입금_은행1!$AA$8:$AA$2007,$I18),INDEX(입금_은행2!$AA$8:$AA$2007,$I18)))</f>
        <v/>
      </c>
      <c r="F18" s="38">
        <f>IF($H18="","","거래처 입금이면 별칭 등록")</f>
        <v/>
      </c>
      <c r="H18" s="31">
        <f>IF(12&lt;=MAX(입금_은행1!$AD$8:$AD$2007),1,IF(12-MAX(입금_은행1!$AD$8:$AD$2007)&lt;=MAX(입금_은행2!$AD$8:$AD$2007),2,""))</f>
        <v/>
      </c>
      <c r="I18" s="31">
        <f>IF($H18="","",IF($H18=1,MATCH(12,입금_은행1!$AD$8:$AD$2007,0),MATCH(12-MAX(입금_은행1!$AD$8:$AD$2007),입금_은행2!$AD$8:$AD$2007,0)))</f>
        <v/>
      </c>
    </row>
    <row r="19">
      <c r="A19" s="38">
        <f>IF($H19="","",13)</f>
        <v/>
      </c>
      <c r="B19" s="38">
        <f>IF($H19="","",IF($H19=1,입금_은행1!$A$5,입금_은행2!$A$5))</f>
        <v/>
      </c>
      <c r="C19" s="40">
        <f>IF($H19="","",IF($H19=1,INDEX(입금_은행1!$Y$8:$Y$2007,$I19),INDEX(입금_은행2!$Y$8:$Y$2007,$I19)))</f>
        <v/>
      </c>
      <c r="D19" s="44">
        <f>IF($H19="","",IF($H19=1,INDEX(입금_은행1!$Z$8:$Z$2007,$I19),INDEX(입금_은행2!$Z$8:$Z$2007,$I19)))</f>
        <v/>
      </c>
      <c r="E19" s="38">
        <f>IF($H19="","",IF($H19=1,INDEX(입금_은행1!$AA$8:$AA$2007,$I19),INDEX(입금_은행2!$AA$8:$AA$2007,$I19)))</f>
        <v/>
      </c>
      <c r="F19" s="38">
        <f>IF($H19="","","거래처 입금이면 별칭 등록")</f>
        <v/>
      </c>
      <c r="H19" s="31">
        <f>IF(13&lt;=MAX(입금_은행1!$AD$8:$AD$2007),1,IF(13-MAX(입금_은행1!$AD$8:$AD$2007)&lt;=MAX(입금_은행2!$AD$8:$AD$2007),2,""))</f>
        <v/>
      </c>
      <c r="I19" s="31">
        <f>IF($H19="","",IF($H19=1,MATCH(13,입금_은행1!$AD$8:$AD$2007,0),MATCH(13-MAX(입금_은행1!$AD$8:$AD$2007),입금_은행2!$AD$8:$AD$2007,0)))</f>
        <v/>
      </c>
    </row>
    <row r="20">
      <c r="A20" s="38">
        <f>IF($H20="","",14)</f>
        <v/>
      </c>
      <c r="B20" s="38">
        <f>IF($H20="","",IF($H20=1,입금_은행1!$A$5,입금_은행2!$A$5))</f>
        <v/>
      </c>
      <c r="C20" s="40">
        <f>IF($H20="","",IF($H20=1,INDEX(입금_은행1!$Y$8:$Y$2007,$I20),INDEX(입금_은행2!$Y$8:$Y$2007,$I20)))</f>
        <v/>
      </c>
      <c r="D20" s="44">
        <f>IF($H20="","",IF($H20=1,INDEX(입금_은행1!$Z$8:$Z$2007,$I20),INDEX(입금_은행2!$Z$8:$Z$2007,$I20)))</f>
        <v/>
      </c>
      <c r="E20" s="38">
        <f>IF($H20="","",IF($H20=1,INDEX(입금_은행1!$AA$8:$AA$2007,$I20),INDEX(입금_은행2!$AA$8:$AA$2007,$I20)))</f>
        <v/>
      </c>
      <c r="F20" s="38">
        <f>IF($H20="","","거래처 입금이면 별칭 등록")</f>
        <v/>
      </c>
      <c r="H20" s="31">
        <f>IF(14&lt;=MAX(입금_은행1!$AD$8:$AD$2007),1,IF(14-MAX(입금_은행1!$AD$8:$AD$2007)&lt;=MAX(입금_은행2!$AD$8:$AD$2007),2,""))</f>
        <v/>
      </c>
      <c r="I20" s="31">
        <f>IF($H20="","",IF($H20=1,MATCH(14,입금_은행1!$AD$8:$AD$2007,0),MATCH(14-MAX(입금_은행1!$AD$8:$AD$2007),입금_은행2!$AD$8:$AD$2007,0)))</f>
        <v/>
      </c>
    </row>
    <row r="21">
      <c r="A21" s="38">
        <f>IF($H21="","",15)</f>
        <v/>
      </c>
      <c r="B21" s="38">
        <f>IF($H21="","",IF($H21=1,입금_은행1!$A$5,입금_은행2!$A$5))</f>
        <v/>
      </c>
      <c r="C21" s="40">
        <f>IF($H21="","",IF($H21=1,INDEX(입금_은행1!$Y$8:$Y$2007,$I21),INDEX(입금_은행2!$Y$8:$Y$2007,$I21)))</f>
        <v/>
      </c>
      <c r="D21" s="44">
        <f>IF($H21="","",IF($H21=1,INDEX(입금_은행1!$Z$8:$Z$2007,$I21),INDEX(입금_은행2!$Z$8:$Z$2007,$I21)))</f>
        <v/>
      </c>
      <c r="E21" s="38">
        <f>IF($H21="","",IF($H21=1,INDEX(입금_은행1!$AA$8:$AA$2007,$I21),INDEX(입금_은행2!$AA$8:$AA$2007,$I21)))</f>
        <v/>
      </c>
      <c r="F21" s="38">
        <f>IF($H21="","","거래처 입금이면 별칭 등록")</f>
        <v/>
      </c>
      <c r="H21" s="31">
        <f>IF(15&lt;=MAX(입금_은행1!$AD$8:$AD$2007),1,IF(15-MAX(입금_은행1!$AD$8:$AD$2007)&lt;=MAX(입금_은행2!$AD$8:$AD$2007),2,""))</f>
        <v/>
      </c>
      <c r="I21" s="31">
        <f>IF($H21="","",IF($H21=1,MATCH(15,입금_은행1!$AD$8:$AD$2007,0),MATCH(15-MAX(입금_은행1!$AD$8:$AD$2007),입금_은행2!$AD$8:$AD$2007,0)))</f>
        <v/>
      </c>
    </row>
    <row r="22">
      <c r="A22" s="38">
        <f>IF($H22="","",16)</f>
        <v/>
      </c>
      <c r="B22" s="38">
        <f>IF($H22="","",IF($H22=1,입금_은행1!$A$5,입금_은행2!$A$5))</f>
        <v/>
      </c>
      <c r="C22" s="40">
        <f>IF($H22="","",IF($H22=1,INDEX(입금_은행1!$Y$8:$Y$2007,$I22),INDEX(입금_은행2!$Y$8:$Y$2007,$I22)))</f>
        <v/>
      </c>
      <c r="D22" s="44">
        <f>IF($H22="","",IF($H22=1,INDEX(입금_은행1!$Z$8:$Z$2007,$I22),INDEX(입금_은행2!$Z$8:$Z$2007,$I22)))</f>
        <v/>
      </c>
      <c r="E22" s="38">
        <f>IF($H22="","",IF($H22=1,INDEX(입금_은행1!$AA$8:$AA$2007,$I22),INDEX(입금_은행2!$AA$8:$AA$2007,$I22)))</f>
        <v/>
      </c>
      <c r="F22" s="38">
        <f>IF($H22="","","거래처 입금이면 별칭 등록")</f>
        <v/>
      </c>
      <c r="H22" s="31">
        <f>IF(16&lt;=MAX(입금_은행1!$AD$8:$AD$2007),1,IF(16-MAX(입금_은행1!$AD$8:$AD$2007)&lt;=MAX(입금_은행2!$AD$8:$AD$2007),2,""))</f>
        <v/>
      </c>
      <c r="I22" s="31">
        <f>IF($H22="","",IF($H22=1,MATCH(16,입금_은행1!$AD$8:$AD$2007,0),MATCH(16-MAX(입금_은행1!$AD$8:$AD$2007),입금_은행2!$AD$8:$AD$2007,0)))</f>
        <v/>
      </c>
    </row>
    <row r="23">
      <c r="A23" s="38">
        <f>IF($H23="","",17)</f>
        <v/>
      </c>
      <c r="B23" s="38">
        <f>IF($H23="","",IF($H23=1,입금_은행1!$A$5,입금_은행2!$A$5))</f>
        <v/>
      </c>
      <c r="C23" s="40">
        <f>IF($H23="","",IF($H23=1,INDEX(입금_은행1!$Y$8:$Y$2007,$I23),INDEX(입금_은행2!$Y$8:$Y$2007,$I23)))</f>
        <v/>
      </c>
      <c r="D23" s="44">
        <f>IF($H23="","",IF($H23=1,INDEX(입금_은행1!$Z$8:$Z$2007,$I23),INDEX(입금_은행2!$Z$8:$Z$2007,$I23)))</f>
        <v/>
      </c>
      <c r="E23" s="38">
        <f>IF($H23="","",IF($H23=1,INDEX(입금_은행1!$AA$8:$AA$2007,$I23),INDEX(입금_은행2!$AA$8:$AA$2007,$I23)))</f>
        <v/>
      </c>
      <c r="F23" s="38">
        <f>IF($H23="","","거래처 입금이면 별칭 등록")</f>
        <v/>
      </c>
      <c r="H23" s="31">
        <f>IF(17&lt;=MAX(입금_은행1!$AD$8:$AD$2007),1,IF(17-MAX(입금_은행1!$AD$8:$AD$2007)&lt;=MAX(입금_은행2!$AD$8:$AD$2007),2,""))</f>
        <v/>
      </c>
      <c r="I23" s="31">
        <f>IF($H23="","",IF($H23=1,MATCH(17,입금_은행1!$AD$8:$AD$2007,0),MATCH(17-MAX(입금_은행1!$AD$8:$AD$2007),입금_은행2!$AD$8:$AD$2007,0)))</f>
        <v/>
      </c>
    </row>
    <row r="24">
      <c r="A24" s="38">
        <f>IF($H24="","",18)</f>
        <v/>
      </c>
      <c r="B24" s="38">
        <f>IF($H24="","",IF($H24=1,입금_은행1!$A$5,입금_은행2!$A$5))</f>
        <v/>
      </c>
      <c r="C24" s="40">
        <f>IF($H24="","",IF($H24=1,INDEX(입금_은행1!$Y$8:$Y$2007,$I24),INDEX(입금_은행2!$Y$8:$Y$2007,$I24)))</f>
        <v/>
      </c>
      <c r="D24" s="44">
        <f>IF($H24="","",IF($H24=1,INDEX(입금_은행1!$Z$8:$Z$2007,$I24),INDEX(입금_은행2!$Z$8:$Z$2007,$I24)))</f>
        <v/>
      </c>
      <c r="E24" s="38">
        <f>IF($H24="","",IF($H24=1,INDEX(입금_은행1!$AA$8:$AA$2007,$I24),INDEX(입금_은행2!$AA$8:$AA$2007,$I24)))</f>
        <v/>
      </c>
      <c r="F24" s="38">
        <f>IF($H24="","","거래처 입금이면 별칭 등록")</f>
        <v/>
      </c>
      <c r="H24" s="31">
        <f>IF(18&lt;=MAX(입금_은행1!$AD$8:$AD$2007),1,IF(18-MAX(입금_은행1!$AD$8:$AD$2007)&lt;=MAX(입금_은행2!$AD$8:$AD$2007),2,""))</f>
        <v/>
      </c>
      <c r="I24" s="31">
        <f>IF($H24="","",IF($H24=1,MATCH(18,입금_은행1!$AD$8:$AD$2007,0),MATCH(18-MAX(입금_은행1!$AD$8:$AD$2007),입금_은행2!$AD$8:$AD$2007,0)))</f>
        <v/>
      </c>
    </row>
    <row r="25">
      <c r="A25" s="38">
        <f>IF($H25="","",19)</f>
        <v/>
      </c>
      <c r="B25" s="38">
        <f>IF($H25="","",IF($H25=1,입금_은행1!$A$5,입금_은행2!$A$5))</f>
        <v/>
      </c>
      <c r="C25" s="40">
        <f>IF($H25="","",IF($H25=1,INDEX(입금_은행1!$Y$8:$Y$2007,$I25),INDEX(입금_은행2!$Y$8:$Y$2007,$I25)))</f>
        <v/>
      </c>
      <c r="D25" s="44">
        <f>IF($H25="","",IF($H25=1,INDEX(입금_은행1!$Z$8:$Z$2007,$I25),INDEX(입금_은행2!$Z$8:$Z$2007,$I25)))</f>
        <v/>
      </c>
      <c r="E25" s="38">
        <f>IF($H25="","",IF($H25=1,INDEX(입금_은행1!$AA$8:$AA$2007,$I25),INDEX(입금_은행2!$AA$8:$AA$2007,$I25)))</f>
        <v/>
      </c>
      <c r="F25" s="38">
        <f>IF($H25="","","거래처 입금이면 별칭 등록")</f>
        <v/>
      </c>
      <c r="H25" s="31">
        <f>IF(19&lt;=MAX(입금_은행1!$AD$8:$AD$2007),1,IF(19-MAX(입금_은행1!$AD$8:$AD$2007)&lt;=MAX(입금_은행2!$AD$8:$AD$2007),2,""))</f>
        <v/>
      </c>
      <c r="I25" s="31">
        <f>IF($H25="","",IF($H25=1,MATCH(19,입금_은행1!$AD$8:$AD$2007,0),MATCH(19-MAX(입금_은행1!$AD$8:$AD$2007),입금_은행2!$AD$8:$AD$2007,0)))</f>
        <v/>
      </c>
    </row>
    <row r="26">
      <c r="A26" s="38">
        <f>IF($H26="","",20)</f>
        <v/>
      </c>
      <c r="B26" s="38">
        <f>IF($H26="","",IF($H26=1,입금_은행1!$A$5,입금_은행2!$A$5))</f>
        <v/>
      </c>
      <c r="C26" s="40">
        <f>IF($H26="","",IF($H26=1,INDEX(입금_은행1!$Y$8:$Y$2007,$I26),INDEX(입금_은행2!$Y$8:$Y$2007,$I26)))</f>
        <v/>
      </c>
      <c r="D26" s="44">
        <f>IF($H26="","",IF($H26=1,INDEX(입금_은행1!$Z$8:$Z$2007,$I26),INDEX(입금_은행2!$Z$8:$Z$2007,$I26)))</f>
        <v/>
      </c>
      <c r="E26" s="38">
        <f>IF($H26="","",IF($H26=1,INDEX(입금_은행1!$AA$8:$AA$2007,$I26),INDEX(입금_은행2!$AA$8:$AA$2007,$I26)))</f>
        <v/>
      </c>
      <c r="F26" s="38">
        <f>IF($H26="","","거래처 입금이면 별칭 등록")</f>
        <v/>
      </c>
      <c r="H26" s="31">
        <f>IF(20&lt;=MAX(입금_은행1!$AD$8:$AD$2007),1,IF(20-MAX(입금_은행1!$AD$8:$AD$2007)&lt;=MAX(입금_은행2!$AD$8:$AD$2007),2,""))</f>
        <v/>
      </c>
      <c r="I26" s="31">
        <f>IF($H26="","",IF($H26=1,MATCH(20,입금_은행1!$AD$8:$AD$2007,0),MATCH(20-MAX(입금_은행1!$AD$8:$AD$2007),입금_은행2!$AD$8:$AD$2007,0)))</f>
        <v/>
      </c>
    </row>
    <row r="27">
      <c r="A27" s="38">
        <f>IF($H27="","",21)</f>
        <v/>
      </c>
      <c r="B27" s="38">
        <f>IF($H27="","",IF($H27=1,입금_은행1!$A$5,입금_은행2!$A$5))</f>
        <v/>
      </c>
      <c r="C27" s="40">
        <f>IF($H27="","",IF($H27=1,INDEX(입금_은행1!$Y$8:$Y$2007,$I27),INDEX(입금_은행2!$Y$8:$Y$2007,$I27)))</f>
        <v/>
      </c>
      <c r="D27" s="44">
        <f>IF($H27="","",IF($H27=1,INDEX(입금_은행1!$Z$8:$Z$2007,$I27),INDEX(입금_은행2!$Z$8:$Z$2007,$I27)))</f>
        <v/>
      </c>
      <c r="E27" s="38">
        <f>IF($H27="","",IF($H27=1,INDEX(입금_은행1!$AA$8:$AA$2007,$I27),INDEX(입금_은행2!$AA$8:$AA$2007,$I27)))</f>
        <v/>
      </c>
      <c r="F27" s="38">
        <f>IF($H27="","","거래처 입금이면 별칭 등록")</f>
        <v/>
      </c>
      <c r="H27" s="31">
        <f>IF(21&lt;=MAX(입금_은행1!$AD$8:$AD$2007),1,IF(21-MAX(입금_은행1!$AD$8:$AD$2007)&lt;=MAX(입금_은행2!$AD$8:$AD$2007),2,""))</f>
        <v/>
      </c>
      <c r="I27" s="31">
        <f>IF($H27="","",IF($H27=1,MATCH(21,입금_은행1!$AD$8:$AD$2007,0),MATCH(21-MAX(입금_은행1!$AD$8:$AD$2007),입금_은행2!$AD$8:$AD$2007,0)))</f>
        <v/>
      </c>
    </row>
    <row r="28">
      <c r="A28" s="38">
        <f>IF($H28="","",22)</f>
        <v/>
      </c>
      <c r="B28" s="38">
        <f>IF($H28="","",IF($H28=1,입금_은행1!$A$5,입금_은행2!$A$5))</f>
        <v/>
      </c>
      <c r="C28" s="40">
        <f>IF($H28="","",IF($H28=1,INDEX(입금_은행1!$Y$8:$Y$2007,$I28),INDEX(입금_은행2!$Y$8:$Y$2007,$I28)))</f>
        <v/>
      </c>
      <c r="D28" s="44">
        <f>IF($H28="","",IF($H28=1,INDEX(입금_은행1!$Z$8:$Z$2007,$I28),INDEX(입금_은행2!$Z$8:$Z$2007,$I28)))</f>
        <v/>
      </c>
      <c r="E28" s="38">
        <f>IF($H28="","",IF($H28=1,INDEX(입금_은행1!$AA$8:$AA$2007,$I28),INDEX(입금_은행2!$AA$8:$AA$2007,$I28)))</f>
        <v/>
      </c>
      <c r="F28" s="38">
        <f>IF($H28="","","거래처 입금이면 별칭 등록")</f>
        <v/>
      </c>
      <c r="H28" s="31">
        <f>IF(22&lt;=MAX(입금_은행1!$AD$8:$AD$2007),1,IF(22-MAX(입금_은행1!$AD$8:$AD$2007)&lt;=MAX(입금_은행2!$AD$8:$AD$2007),2,""))</f>
        <v/>
      </c>
      <c r="I28" s="31">
        <f>IF($H28="","",IF($H28=1,MATCH(22,입금_은행1!$AD$8:$AD$2007,0),MATCH(22-MAX(입금_은행1!$AD$8:$AD$2007),입금_은행2!$AD$8:$AD$2007,0)))</f>
        <v/>
      </c>
    </row>
    <row r="29">
      <c r="A29" s="38">
        <f>IF($H29="","",23)</f>
        <v/>
      </c>
      <c r="B29" s="38">
        <f>IF($H29="","",IF($H29=1,입금_은행1!$A$5,입금_은행2!$A$5))</f>
        <v/>
      </c>
      <c r="C29" s="40">
        <f>IF($H29="","",IF($H29=1,INDEX(입금_은행1!$Y$8:$Y$2007,$I29),INDEX(입금_은행2!$Y$8:$Y$2007,$I29)))</f>
        <v/>
      </c>
      <c r="D29" s="44">
        <f>IF($H29="","",IF($H29=1,INDEX(입금_은행1!$Z$8:$Z$2007,$I29),INDEX(입금_은행2!$Z$8:$Z$2007,$I29)))</f>
        <v/>
      </c>
      <c r="E29" s="38">
        <f>IF($H29="","",IF($H29=1,INDEX(입금_은행1!$AA$8:$AA$2007,$I29),INDEX(입금_은행2!$AA$8:$AA$2007,$I29)))</f>
        <v/>
      </c>
      <c r="F29" s="38">
        <f>IF($H29="","","거래처 입금이면 별칭 등록")</f>
        <v/>
      </c>
      <c r="H29" s="31">
        <f>IF(23&lt;=MAX(입금_은행1!$AD$8:$AD$2007),1,IF(23-MAX(입금_은행1!$AD$8:$AD$2007)&lt;=MAX(입금_은행2!$AD$8:$AD$2007),2,""))</f>
        <v/>
      </c>
      <c r="I29" s="31">
        <f>IF($H29="","",IF($H29=1,MATCH(23,입금_은행1!$AD$8:$AD$2007,0),MATCH(23-MAX(입금_은행1!$AD$8:$AD$2007),입금_은행2!$AD$8:$AD$2007,0)))</f>
        <v/>
      </c>
    </row>
    <row r="30">
      <c r="A30" s="38">
        <f>IF($H30="","",24)</f>
        <v/>
      </c>
      <c r="B30" s="38">
        <f>IF($H30="","",IF($H30=1,입금_은행1!$A$5,입금_은행2!$A$5))</f>
        <v/>
      </c>
      <c r="C30" s="40">
        <f>IF($H30="","",IF($H30=1,INDEX(입금_은행1!$Y$8:$Y$2007,$I30),INDEX(입금_은행2!$Y$8:$Y$2007,$I30)))</f>
        <v/>
      </c>
      <c r="D30" s="44">
        <f>IF($H30="","",IF($H30=1,INDEX(입금_은행1!$Z$8:$Z$2007,$I30),INDEX(입금_은행2!$Z$8:$Z$2007,$I30)))</f>
        <v/>
      </c>
      <c r="E30" s="38">
        <f>IF($H30="","",IF($H30=1,INDEX(입금_은행1!$AA$8:$AA$2007,$I30),INDEX(입금_은행2!$AA$8:$AA$2007,$I30)))</f>
        <v/>
      </c>
      <c r="F30" s="38">
        <f>IF($H30="","","거래처 입금이면 별칭 등록")</f>
        <v/>
      </c>
      <c r="H30" s="31">
        <f>IF(24&lt;=MAX(입금_은행1!$AD$8:$AD$2007),1,IF(24-MAX(입금_은행1!$AD$8:$AD$2007)&lt;=MAX(입금_은행2!$AD$8:$AD$2007),2,""))</f>
        <v/>
      </c>
      <c r="I30" s="31">
        <f>IF($H30="","",IF($H30=1,MATCH(24,입금_은행1!$AD$8:$AD$2007,0),MATCH(24-MAX(입금_은행1!$AD$8:$AD$2007),입금_은행2!$AD$8:$AD$2007,0)))</f>
        <v/>
      </c>
    </row>
    <row r="31">
      <c r="A31" s="38">
        <f>IF($H31="","",25)</f>
        <v/>
      </c>
      <c r="B31" s="38">
        <f>IF($H31="","",IF($H31=1,입금_은행1!$A$5,입금_은행2!$A$5))</f>
        <v/>
      </c>
      <c r="C31" s="40">
        <f>IF($H31="","",IF($H31=1,INDEX(입금_은행1!$Y$8:$Y$2007,$I31),INDEX(입금_은행2!$Y$8:$Y$2007,$I31)))</f>
        <v/>
      </c>
      <c r="D31" s="44">
        <f>IF($H31="","",IF($H31=1,INDEX(입금_은행1!$Z$8:$Z$2007,$I31),INDEX(입금_은행2!$Z$8:$Z$2007,$I31)))</f>
        <v/>
      </c>
      <c r="E31" s="38">
        <f>IF($H31="","",IF($H31=1,INDEX(입금_은행1!$AA$8:$AA$2007,$I31),INDEX(입금_은행2!$AA$8:$AA$2007,$I31)))</f>
        <v/>
      </c>
      <c r="F31" s="38">
        <f>IF($H31="","","거래처 입금이면 별칭 등록")</f>
        <v/>
      </c>
      <c r="H31" s="31">
        <f>IF(25&lt;=MAX(입금_은행1!$AD$8:$AD$2007),1,IF(25-MAX(입금_은행1!$AD$8:$AD$2007)&lt;=MAX(입금_은행2!$AD$8:$AD$2007),2,""))</f>
        <v/>
      </c>
      <c r="I31" s="31">
        <f>IF($H31="","",IF($H31=1,MATCH(25,입금_은행1!$AD$8:$AD$2007,0),MATCH(25-MAX(입금_은행1!$AD$8:$AD$2007),입금_은행2!$AD$8:$AD$2007,0)))</f>
        <v/>
      </c>
    </row>
    <row r="32">
      <c r="A32" s="38">
        <f>IF($H32="","",26)</f>
        <v/>
      </c>
      <c r="B32" s="38">
        <f>IF($H32="","",IF($H32=1,입금_은행1!$A$5,입금_은행2!$A$5))</f>
        <v/>
      </c>
      <c r="C32" s="40">
        <f>IF($H32="","",IF($H32=1,INDEX(입금_은행1!$Y$8:$Y$2007,$I32),INDEX(입금_은행2!$Y$8:$Y$2007,$I32)))</f>
        <v/>
      </c>
      <c r="D32" s="44">
        <f>IF($H32="","",IF($H32=1,INDEX(입금_은행1!$Z$8:$Z$2007,$I32),INDEX(입금_은행2!$Z$8:$Z$2007,$I32)))</f>
        <v/>
      </c>
      <c r="E32" s="38">
        <f>IF($H32="","",IF($H32=1,INDEX(입금_은행1!$AA$8:$AA$2007,$I32),INDEX(입금_은행2!$AA$8:$AA$2007,$I32)))</f>
        <v/>
      </c>
      <c r="F32" s="38">
        <f>IF($H32="","","거래처 입금이면 별칭 등록")</f>
        <v/>
      </c>
      <c r="H32" s="31">
        <f>IF(26&lt;=MAX(입금_은행1!$AD$8:$AD$2007),1,IF(26-MAX(입금_은행1!$AD$8:$AD$2007)&lt;=MAX(입금_은행2!$AD$8:$AD$2007),2,""))</f>
        <v/>
      </c>
      <c r="I32" s="31">
        <f>IF($H32="","",IF($H32=1,MATCH(26,입금_은행1!$AD$8:$AD$2007,0),MATCH(26-MAX(입금_은행1!$AD$8:$AD$2007),입금_은행2!$AD$8:$AD$2007,0)))</f>
        <v/>
      </c>
    </row>
    <row r="33">
      <c r="A33" s="38">
        <f>IF($H33="","",27)</f>
        <v/>
      </c>
      <c r="B33" s="38">
        <f>IF($H33="","",IF($H33=1,입금_은행1!$A$5,입금_은행2!$A$5))</f>
        <v/>
      </c>
      <c r="C33" s="40">
        <f>IF($H33="","",IF($H33=1,INDEX(입금_은행1!$Y$8:$Y$2007,$I33),INDEX(입금_은행2!$Y$8:$Y$2007,$I33)))</f>
        <v/>
      </c>
      <c r="D33" s="44">
        <f>IF($H33="","",IF($H33=1,INDEX(입금_은행1!$Z$8:$Z$2007,$I33),INDEX(입금_은행2!$Z$8:$Z$2007,$I33)))</f>
        <v/>
      </c>
      <c r="E33" s="38">
        <f>IF($H33="","",IF($H33=1,INDEX(입금_은행1!$AA$8:$AA$2007,$I33),INDEX(입금_은행2!$AA$8:$AA$2007,$I33)))</f>
        <v/>
      </c>
      <c r="F33" s="38">
        <f>IF($H33="","","거래처 입금이면 별칭 등록")</f>
        <v/>
      </c>
      <c r="H33" s="31">
        <f>IF(27&lt;=MAX(입금_은행1!$AD$8:$AD$2007),1,IF(27-MAX(입금_은행1!$AD$8:$AD$2007)&lt;=MAX(입금_은행2!$AD$8:$AD$2007),2,""))</f>
        <v/>
      </c>
      <c r="I33" s="31">
        <f>IF($H33="","",IF($H33=1,MATCH(27,입금_은행1!$AD$8:$AD$2007,0),MATCH(27-MAX(입금_은행1!$AD$8:$AD$2007),입금_은행2!$AD$8:$AD$2007,0)))</f>
        <v/>
      </c>
    </row>
    <row r="34">
      <c r="A34" s="38">
        <f>IF($H34="","",28)</f>
        <v/>
      </c>
      <c r="B34" s="38">
        <f>IF($H34="","",IF($H34=1,입금_은행1!$A$5,입금_은행2!$A$5))</f>
        <v/>
      </c>
      <c r="C34" s="40">
        <f>IF($H34="","",IF($H34=1,INDEX(입금_은행1!$Y$8:$Y$2007,$I34),INDEX(입금_은행2!$Y$8:$Y$2007,$I34)))</f>
        <v/>
      </c>
      <c r="D34" s="44">
        <f>IF($H34="","",IF($H34=1,INDEX(입금_은행1!$Z$8:$Z$2007,$I34),INDEX(입금_은행2!$Z$8:$Z$2007,$I34)))</f>
        <v/>
      </c>
      <c r="E34" s="38">
        <f>IF($H34="","",IF($H34=1,INDEX(입금_은행1!$AA$8:$AA$2007,$I34),INDEX(입금_은행2!$AA$8:$AA$2007,$I34)))</f>
        <v/>
      </c>
      <c r="F34" s="38">
        <f>IF($H34="","","거래처 입금이면 별칭 등록")</f>
        <v/>
      </c>
      <c r="H34" s="31">
        <f>IF(28&lt;=MAX(입금_은행1!$AD$8:$AD$2007),1,IF(28-MAX(입금_은행1!$AD$8:$AD$2007)&lt;=MAX(입금_은행2!$AD$8:$AD$2007),2,""))</f>
        <v/>
      </c>
      <c r="I34" s="31">
        <f>IF($H34="","",IF($H34=1,MATCH(28,입금_은행1!$AD$8:$AD$2007,0),MATCH(28-MAX(입금_은행1!$AD$8:$AD$2007),입금_은행2!$AD$8:$AD$2007,0)))</f>
        <v/>
      </c>
    </row>
    <row r="35">
      <c r="A35" s="38">
        <f>IF($H35="","",29)</f>
        <v/>
      </c>
      <c r="B35" s="38">
        <f>IF($H35="","",IF($H35=1,입금_은행1!$A$5,입금_은행2!$A$5))</f>
        <v/>
      </c>
      <c r="C35" s="40">
        <f>IF($H35="","",IF($H35=1,INDEX(입금_은행1!$Y$8:$Y$2007,$I35),INDEX(입금_은행2!$Y$8:$Y$2007,$I35)))</f>
        <v/>
      </c>
      <c r="D35" s="44">
        <f>IF($H35="","",IF($H35=1,INDEX(입금_은행1!$Z$8:$Z$2007,$I35),INDEX(입금_은행2!$Z$8:$Z$2007,$I35)))</f>
        <v/>
      </c>
      <c r="E35" s="38">
        <f>IF($H35="","",IF($H35=1,INDEX(입금_은행1!$AA$8:$AA$2007,$I35),INDEX(입금_은행2!$AA$8:$AA$2007,$I35)))</f>
        <v/>
      </c>
      <c r="F35" s="38">
        <f>IF($H35="","","거래처 입금이면 별칭 등록")</f>
        <v/>
      </c>
      <c r="H35" s="31">
        <f>IF(29&lt;=MAX(입금_은행1!$AD$8:$AD$2007),1,IF(29-MAX(입금_은행1!$AD$8:$AD$2007)&lt;=MAX(입금_은행2!$AD$8:$AD$2007),2,""))</f>
        <v/>
      </c>
      <c r="I35" s="31">
        <f>IF($H35="","",IF($H35=1,MATCH(29,입금_은행1!$AD$8:$AD$2007,0),MATCH(29-MAX(입금_은행1!$AD$8:$AD$2007),입금_은행2!$AD$8:$AD$2007,0)))</f>
        <v/>
      </c>
    </row>
    <row r="36">
      <c r="A36" s="38">
        <f>IF($H36="","",30)</f>
        <v/>
      </c>
      <c r="B36" s="38">
        <f>IF($H36="","",IF($H36=1,입금_은행1!$A$5,입금_은행2!$A$5))</f>
        <v/>
      </c>
      <c r="C36" s="40">
        <f>IF($H36="","",IF($H36=1,INDEX(입금_은행1!$Y$8:$Y$2007,$I36),INDEX(입금_은행2!$Y$8:$Y$2007,$I36)))</f>
        <v/>
      </c>
      <c r="D36" s="44">
        <f>IF($H36="","",IF($H36=1,INDEX(입금_은행1!$Z$8:$Z$2007,$I36),INDEX(입금_은행2!$Z$8:$Z$2007,$I36)))</f>
        <v/>
      </c>
      <c r="E36" s="38">
        <f>IF($H36="","",IF($H36=1,INDEX(입금_은행1!$AA$8:$AA$2007,$I36),INDEX(입금_은행2!$AA$8:$AA$2007,$I36)))</f>
        <v/>
      </c>
      <c r="F36" s="38">
        <f>IF($H36="","","거래처 입금이면 별칭 등록")</f>
        <v/>
      </c>
      <c r="H36" s="31">
        <f>IF(30&lt;=MAX(입금_은행1!$AD$8:$AD$2007),1,IF(30-MAX(입금_은행1!$AD$8:$AD$2007)&lt;=MAX(입금_은행2!$AD$8:$AD$2007),2,""))</f>
        <v/>
      </c>
      <c r="I36" s="31">
        <f>IF($H36="","",IF($H36=1,MATCH(30,입금_은행1!$AD$8:$AD$2007,0),MATCH(30-MAX(입금_은행1!$AD$8:$AD$2007),입금_은행2!$AD$8:$AD$2007,0)))</f>
        <v/>
      </c>
    </row>
    <row r="37">
      <c r="A37" s="38">
        <f>IF($H37="","",31)</f>
        <v/>
      </c>
      <c r="B37" s="38">
        <f>IF($H37="","",IF($H37=1,입금_은행1!$A$5,입금_은행2!$A$5))</f>
        <v/>
      </c>
      <c r="C37" s="40">
        <f>IF($H37="","",IF($H37=1,INDEX(입금_은행1!$Y$8:$Y$2007,$I37),INDEX(입금_은행2!$Y$8:$Y$2007,$I37)))</f>
        <v/>
      </c>
      <c r="D37" s="44">
        <f>IF($H37="","",IF($H37=1,INDEX(입금_은행1!$Z$8:$Z$2007,$I37),INDEX(입금_은행2!$Z$8:$Z$2007,$I37)))</f>
        <v/>
      </c>
      <c r="E37" s="38">
        <f>IF($H37="","",IF($H37=1,INDEX(입금_은행1!$AA$8:$AA$2007,$I37),INDEX(입금_은행2!$AA$8:$AA$2007,$I37)))</f>
        <v/>
      </c>
      <c r="F37" s="38">
        <f>IF($H37="","","거래처 입금이면 별칭 등록")</f>
        <v/>
      </c>
      <c r="H37" s="31">
        <f>IF(31&lt;=MAX(입금_은행1!$AD$8:$AD$2007),1,IF(31-MAX(입금_은행1!$AD$8:$AD$2007)&lt;=MAX(입금_은행2!$AD$8:$AD$2007),2,""))</f>
        <v/>
      </c>
      <c r="I37" s="31">
        <f>IF($H37="","",IF($H37=1,MATCH(31,입금_은행1!$AD$8:$AD$2007,0),MATCH(31-MAX(입금_은행1!$AD$8:$AD$2007),입금_은행2!$AD$8:$AD$2007,0)))</f>
        <v/>
      </c>
    </row>
    <row r="38">
      <c r="A38" s="38">
        <f>IF($H38="","",32)</f>
        <v/>
      </c>
      <c r="B38" s="38">
        <f>IF($H38="","",IF($H38=1,입금_은행1!$A$5,입금_은행2!$A$5))</f>
        <v/>
      </c>
      <c r="C38" s="40">
        <f>IF($H38="","",IF($H38=1,INDEX(입금_은행1!$Y$8:$Y$2007,$I38),INDEX(입금_은행2!$Y$8:$Y$2007,$I38)))</f>
        <v/>
      </c>
      <c r="D38" s="44">
        <f>IF($H38="","",IF($H38=1,INDEX(입금_은행1!$Z$8:$Z$2007,$I38),INDEX(입금_은행2!$Z$8:$Z$2007,$I38)))</f>
        <v/>
      </c>
      <c r="E38" s="38">
        <f>IF($H38="","",IF($H38=1,INDEX(입금_은행1!$AA$8:$AA$2007,$I38),INDEX(입금_은행2!$AA$8:$AA$2007,$I38)))</f>
        <v/>
      </c>
      <c r="F38" s="38">
        <f>IF($H38="","","거래처 입금이면 별칭 등록")</f>
        <v/>
      </c>
      <c r="H38" s="31">
        <f>IF(32&lt;=MAX(입금_은행1!$AD$8:$AD$2007),1,IF(32-MAX(입금_은행1!$AD$8:$AD$2007)&lt;=MAX(입금_은행2!$AD$8:$AD$2007),2,""))</f>
        <v/>
      </c>
      <c r="I38" s="31">
        <f>IF($H38="","",IF($H38=1,MATCH(32,입금_은행1!$AD$8:$AD$2007,0),MATCH(32-MAX(입금_은행1!$AD$8:$AD$2007),입금_은행2!$AD$8:$AD$2007,0)))</f>
        <v/>
      </c>
    </row>
    <row r="39">
      <c r="A39" s="38">
        <f>IF($H39="","",33)</f>
        <v/>
      </c>
      <c r="B39" s="38">
        <f>IF($H39="","",IF($H39=1,입금_은행1!$A$5,입금_은행2!$A$5))</f>
        <v/>
      </c>
      <c r="C39" s="40">
        <f>IF($H39="","",IF($H39=1,INDEX(입금_은행1!$Y$8:$Y$2007,$I39),INDEX(입금_은행2!$Y$8:$Y$2007,$I39)))</f>
        <v/>
      </c>
      <c r="D39" s="44">
        <f>IF($H39="","",IF($H39=1,INDEX(입금_은행1!$Z$8:$Z$2007,$I39),INDEX(입금_은행2!$Z$8:$Z$2007,$I39)))</f>
        <v/>
      </c>
      <c r="E39" s="38">
        <f>IF($H39="","",IF($H39=1,INDEX(입금_은행1!$AA$8:$AA$2007,$I39),INDEX(입금_은행2!$AA$8:$AA$2007,$I39)))</f>
        <v/>
      </c>
      <c r="F39" s="38">
        <f>IF($H39="","","거래처 입금이면 별칭 등록")</f>
        <v/>
      </c>
      <c r="H39" s="31">
        <f>IF(33&lt;=MAX(입금_은행1!$AD$8:$AD$2007),1,IF(33-MAX(입금_은행1!$AD$8:$AD$2007)&lt;=MAX(입금_은행2!$AD$8:$AD$2007),2,""))</f>
        <v/>
      </c>
      <c r="I39" s="31">
        <f>IF($H39="","",IF($H39=1,MATCH(33,입금_은행1!$AD$8:$AD$2007,0),MATCH(33-MAX(입금_은행1!$AD$8:$AD$2007),입금_은행2!$AD$8:$AD$2007,0)))</f>
        <v/>
      </c>
    </row>
    <row r="40">
      <c r="A40" s="38">
        <f>IF($H40="","",34)</f>
        <v/>
      </c>
      <c r="B40" s="38">
        <f>IF($H40="","",IF($H40=1,입금_은행1!$A$5,입금_은행2!$A$5))</f>
        <v/>
      </c>
      <c r="C40" s="40">
        <f>IF($H40="","",IF($H40=1,INDEX(입금_은행1!$Y$8:$Y$2007,$I40),INDEX(입금_은행2!$Y$8:$Y$2007,$I40)))</f>
        <v/>
      </c>
      <c r="D40" s="44">
        <f>IF($H40="","",IF($H40=1,INDEX(입금_은행1!$Z$8:$Z$2007,$I40),INDEX(입금_은행2!$Z$8:$Z$2007,$I40)))</f>
        <v/>
      </c>
      <c r="E40" s="38">
        <f>IF($H40="","",IF($H40=1,INDEX(입금_은행1!$AA$8:$AA$2007,$I40),INDEX(입금_은행2!$AA$8:$AA$2007,$I40)))</f>
        <v/>
      </c>
      <c r="F40" s="38">
        <f>IF($H40="","","거래처 입금이면 별칭 등록")</f>
        <v/>
      </c>
      <c r="H40" s="31">
        <f>IF(34&lt;=MAX(입금_은행1!$AD$8:$AD$2007),1,IF(34-MAX(입금_은행1!$AD$8:$AD$2007)&lt;=MAX(입금_은행2!$AD$8:$AD$2007),2,""))</f>
        <v/>
      </c>
      <c r="I40" s="31">
        <f>IF($H40="","",IF($H40=1,MATCH(34,입금_은행1!$AD$8:$AD$2007,0),MATCH(34-MAX(입금_은행1!$AD$8:$AD$2007),입금_은행2!$AD$8:$AD$2007,0)))</f>
        <v/>
      </c>
    </row>
    <row r="41">
      <c r="A41" s="38">
        <f>IF($H41="","",35)</f>
        <v/>
      </c>
      <c r="B41" s="38">
        <f>IF($H41="","",IF($H41=1,입금_은행1!$A$5,입금_은행2!$A$5))</f>
        <v/>
      </c>
      <c r="C41" s="40">
        <f>IF($H41="","",IF($H41=1,INDEX(입금_은행1!$Y$8:$Y$2007,$I41),INDEX(입금_은행2!$Y$8:$Y$2007,$I41)))</f>
        <v/>
      </c>
      <c r="D41" s="44">
        <f>IF($H41="","",IF($H41=1,INDEX(입금_은행1!$Z$8:$Z$2007,$I41),INDEX(입금_은행2!$Z$8:$Z$2007,$I41)))</f>
        <v/>
      </c>
      <c r="E41" s="38">
        <f>IF($H41="","",IF($H41=1,INDEX(입금_은행1!$AA$8:$AA$2007,$I41),INDEX(입금_은행2!$AA$8:$AA$2007,$I41)))</f>
        <v/>
      </c>
      <c r="F41" s="38">
        <f>IF($H41="","","거래처 입금이면 별칭 등록")</f>
        <v/>
      </c>
      <c r="H41" s="31">
        <f>IF(35&lt;=MAX(입금_은행1!$AD$8:$AD$2007),1,IF(35-MAX(입금_은행1!$AD$8:$AD$2007)&lt;=MAX(입금_은행2!$AD$8:$AD$2007),2,""))</f>
        <v/>
      </c>
      <c r="I41" s="31">
        <f>IF($H41="","",IF($H41=1,MATCH(35,입금_은행1!$AD$8:$AD$2007,0),MATCH(35-MAX(입금_은행1!$AD$8:$AD$2007),입금_은행2!$AD$8:$AD$2007,0)))</f>
        <v/>
      </c>
    </row>
    <row r="42">
      <c r="A42" s="38">
        <f>IF($H42="","",36)</f>
        <v/>
      </c>
      <c r="B42" s="38">
        <f>IF($H42="","",IF($H42=1,입금_은행1!$A$5,입금_은행2!$A$5))</f>
        <v/>
      </c>
      <c r="C42" s="40">
        <f>IF($H42="","",IF($H42=1,INDEX(입금_은행1!$Y$8:$Y$2007,$I42),INDEX(입금_은행2!$Y$8:$Y$2007,$I42)))</f>
        <v/>
      </c>
      <c r="D42" s="44">
        <f>IF($H42="","",IF($H42=1,INDEX(입금_은행1!$Z$8:$Z$2007,$I42),INDEX(입금_은행2!$Z$8:$Z$2007,$I42)))</f>
        <v/>
      </c>
      <c r="E42" s="38">
        <f>IF($H42="","",IF($H42=1,INDEX(입금_은행1!$AA$8:$AA$2007,$I42),INDEX(입금_은행2!$AA$8:$AA$2007,$I42)))</f>
        <v/>
      </c>
      <c r="F42" s="38">
        <f>IF($H42="","","거래처 입금이면 별칭 등록")</f>
        <v/>
      </c>
      <c r="H42" s="31">
        <f>IF(36&lt;=MAX(입금_은행1!$AD$8:$AD$2007),1,IF(36-MAX(입금_은행1!$AD$8:$AD$2007)&lt;=MAX(입금_은행2!$AD$8:$AD$2007),2,""))</f>
        <v/>
      </c>
      <c r="I42" s="31">
        <f>IF($H42="","",IF($H42=1,MATCH(36,입금_은행1!$AD$8:$AD$2007,0),MATCH(36-MAX(입금_은행1!$AD$8:$AD$2007),입금_은행2!$AD$8:$AD$2007,0)))</f>
        <v/>
      </c>
    </row>
    <row r="43">
      <c r="A43" s="38">
        <f>IF($H43="","",37)</f>
        <v/>
      </c>
      <c r="B43" s="38">
        <f>IF($H43="","",IF($H43=1,입금_은행1!$A$5,입금_은행2!$A$5))</f>
        <v/>
      </c>
      <c r="C43" s="40">
        <f>IF($H43="","",IF($H43=1,INDEX(입금_은행1!$Y$8:$Y$2007,$I43),INDEX(입금_은행2!$Y$8:$Y$2007,$I43)))</f>
        <v/>
      </c>
      <c r="D43" s="44">
        <f>IF($H43="","",IF($H43=1,INDEX(입금_은행1!$Z$8:$Z$2007,$I43),INDEX(입금_은행2!$Z$8:$Z$2007,$I43)))</f>
        <v/>
      </c>
      <c r="E43" s="38">
        <f>IF($H43="","",IF($H43=1,INDEX(입금_은행1!$AA$8:$AA$2007,$I43),INDEX(입금_은행2!$AA$8:$AA$2007,$I43)))</f>
        <v/>
      </c>
      <c r="F43" s="38">
        <f>IF($H43="","","거래처 입금이면 별칭 등록")</f>
        <v/>
      </c>
      <c r="H43" s="31">
        <f>IF(37&lt;=MAX(입금_은행1!$AD$8:$AD$2007),1,IF(37-MAX(입금_은행1!$AD$8:$AD$2007)&lt;=MAX(입금_은행2!$AD$8:$AD$2007),2,""))</f>
        <v/>
      </c>
      <c r="I43" s="31">
        <f>IF($H43="","",IF($H43=1,MATCH(37,입금_은행1!$AD$8:$AD$2007,0),MATCH(37-MAX(입금_은행1!$AD$8:$AD$2007),입금_은행2!$AD$8:$AD$2007,0)))</f>
        <v/>
      </c>
    </row>
    <row r="44">
      <c r="A44" s="38">
        <f>IF($H44="","",38)</f>
        <v/>
      </c>
      <c r="B44" s="38">
        <f>IF($H44="","",IF($H44=1,입금_은행1!$A$5,입금_은행2!$A$5))</f>
        <v/>
      </c>
      <c r="C44" s="40">
        <f>IF($H44="","",IF($H44=1,INDEX(입금_은행1!$Y$8:$Y$2007,$I44),INDEX(입금_은행2!$Y$8:$Y$2007,$I44)))</f>
        <v/>
      </c>
      <c r="D44" s="44">
        <f>IF($H44="","",IF($H44=1,INDEX(입금_은행1!$Z$8:$Z$2007,$I44),INDEX(입금_은행2!$Z$8:$Z$2007,$I44)))</f>
        <v/>
      </c>
      <c r="E44" s="38">
        <f>IF($H44="","",IF($H44=1,INDEX(입금_은행1!$AA$8:$AA$2007,$I44),INDEX(입금_은행2!$AA$8:$AA$2007,$I44)))</f>
        <v/>
      </c>
      <c r="F44" s="38">
        <f>IF($H44="","","거래처 입금이면 별칭 등록")</f>
        <v/>
      </c>
      <c r="H44" s="31">
        <f>IF(38&lt;=MAX(입금_은행1!$AD$8:$AD$2007),1,IF(38-MAX(입금_은행1!$AD$8:$AD$2007)&lt;=MAX(입금_은행2!$AD$8:$AD$2007),2,""))</f>
        <v/>
      </c>
      <c r="I44" s="31">
        <f>IF($H44="","",IF($H44=1,MATCH(38,입금_은행1!$AD$8:$AD$2007,0),MATCH(38-MAX(입금_은행1!$AD$8:$AD$2007),입금_은행2!$AD$8:$AD$2007,0)))</f>
        <v/>
      </c>
    </row>
    <row r="45">
      <c r="A45" s="38">
        <f>IF($H45="","",39)</f>
        <v/>
      </c>
      <c r="B45" s="38">
        <f>IF($H45="","",IF($H45=1,입금_은행1!$A$5,입금_은행2!$A$5))</f>
        <v/>
      </c>
      <c r="C45" s="40">
        <f>IF($H45="","",IF($H45=1,INDEX(입금_은행1!$Y$8:$Y$2007,$I45),INDEX(입금_은행2!$Y$8:$Y$2007,$I45)))</f>
        <v/>
      </c>
      <c r="D45" s="44">
        <f>IF($H45="","",IF($H45=1,INDEX(입금_은행1!$Z$8:$Z$2007,$I45),INDEX(입금_은행2!$Z$8:$Z$2007,$I45)))</f>
        <v/>
      </c>
      <c r="E45" s="38">
        <f>IF($H45="","",IF($H45=1,INDEX(입금_은행1!$AA$8:$AA$2007,$I45),INDEX(입금_은행2!$AA$8:$AA$2007,$I45)))</f>
        <v/>
      </c>
      <c r="F45" s="38">
        <f>IF($H45="","","거래처 입금이면 별칭 등록")</f>
        <v/>
      </c>
      <c r="H45" s="31">
        <f>IF(39&lt;=MAX(입금_은행1!$AD$8:$AD$2007),1,IF(39-MAX(입금_은행1!$AD$8:$AD$2007)&lt;=MAX(입금_은행2!$AD$8:$AD$2007),2,""))</f>
        <v/>
      </c>
      <c r="I45" s="31">
        <f>IF($H45="","",IF($H45=1,MATCH(39,입금_은행1!$AD$8:$AD$2007,0),MATCH(39-MAX(입금_은행1!$AD$8:$AD$2007),입금_은행2!$AD$8:$AD$2007,0)))</f>
        <v/>
      </c>
    </row>
    <row r="46">
      <c r="A46" s="38">
        <f>IF($H46="","",40)</f>
        <v/>
      </c>
      <c r="B46" s="38">
        <f>IF($H46="","",IF($H46=1,입금_은행1!$A$5,입금_은행2!$A$5))</f>
        <v/>
      </c>
      <c r="C46" s="40">
        <f>IF($H46="","",IF($H46=1,INDEX(입금_은행1!$Y$8:$Y$2007,$I46),INDEX(입금_은행2!$Y$8:$Y$2007,$I46)))</f>
        <v/>
      </c>
      <c r="D46" s="44">
        <f>IF($H46="","",IF($H46=1,INDEX(입금_은행1!$Z$8:$Z$2007,$I46),INDEX(입금_은행2!$Z$8:$Z$2007,$I46)))</f>
        <v/>
      </c>
      <c r="E46" s="38">
        <f>IF($H46="","",IF($H46=1,INDEX(입금_은행1!$AA$8:$AA$2007,$I46),INDEX(입금_은행2!$AA$8:$AA$2007,$I46)))</f>
        <v/>
      </c>
      <c r="F46" s="38">
        <f>IF($H46="","","거래처 입금이면 별칭 등록")</f>
        <v/>
      </c>
      <c r="H46" s="31">
        <f>IF(40&lt;=MAX(입금_은행1!$AD$8:$AD$2007),1,IF(40-MAX(입금_은행1!$AD$8:$AD$2007)&lt;=MAX(입금_은행2!$AD$8:$AD$2007),2,""))</f>
        <v/>
      </c>
      <c r="I46" s="31">
        <f>IF($H46="","",IF($H46=1,MATCH(40,입금_은행1!$AD$8:$AD$2007,0),MATCH(40-MAX(입금_은행1!$AD$8:$AD$2007),입금_은행2!$AD$8:$AD$2007,0)))</f>
        <v/>
      </c>
    </row>
    <row r="47">
      <c r="A47" s="38">
        <f>IF($H47="","",41)</f>
        <v/>
      </c>
      <c r="B47" s="38">
        <f>IF($H47="","",IF($H47=1,입금_은행1!$A$5,입금_은행2!$A$5))</f>
        <v/>
      </c>
      <c r="C47" s="40">
        <f>IF($H47="","",IF($H47=1,INDEX(입금_은행1!$Y$8:$Y$2007,$I47),INDEX(입금_은행2!$Y$8:$Y$2007,$I47)))</f>
        <v/>
      </c>
      <c r="D47" s="44">
        <f>IF($H47="","",IF($H47=1,INDEX(입금_은행1!$Z$8:$Z$2007,$I47),INDEX(입금_은행2!$Z$8:$Z$2007,$I47)))</f>
        <v/>
      </c>
      <c r="E47" s="38">
        <f>IF($H47="","",IF($H47=1,INDEX(입금_은행1!$AA$8:$AA$2007,$I47),INDEX(입금_은행2!$AA$8:$AA$2007,$I47)))</f>
        <v/>
      </c>
      <c r="F47" s="38">
        <f>IF($H47="","","거래처 입금이면 별칭 등록")</f>
        <v/>
      </c>
      <c r="H47" s="31">
        <f>IF(41&lt;=MAX(입금_은행1!$AD$8:$AD$2007),1,IF(41-MAX(입금_은행1!$AD$8:$AD$2007)&lt;=MAX(입금_은행2!$AD$8:$AD$2007),2,""))</f>
        <v/>
      </c>
      <c r="I47" s="31">
        <f>IF($H47="","",IF($H47=1,MATCH(41,입금_은행1!$AD$8:$AD$2007,0),MATCH(41-MAX(입금_은행1!$AD$8:$AD$2007),입금_은행2!$AD$8:$AD$2007,0)))</f>
        <v/>
      </c>
    </row>
    <row r="48">
      <c r="A48" s="38">
        <f>IF($H48="","",42)</f>
        <v/>
      </c>
      <c r="B48" s="38">
        <f>IF($H48="","",IF($H48=1,입금_은행1!$A$5,입금_은행2!$A$5))</f>
        <v/>
      </c>
      <c r="C48" s="40">
        <f>IF($H48="","",IF($H48=1,INDEX(입금_은행1!$Y$8:$Y$2007,$I48),INDEX(입금_은행2!$Y$8:$Y$2007,$I48)))</f>
        <v/>
      </c>
      <c r="D48" s="44">
        <f>IF($H48="","",IF($H48=1,INDEX(입금_은행1!$Z$8:$Z$2007,$I48),INDEX(입금_은행2!$Z$8:$Z$2007,$I48)))</f>
        <v/>
      </c>
      <c r="E48" s="38">
        <f>IF($H48="","",IF($H48=1,INDEX(입금_은행1!$AA$8:$AA$2007,$I48),INDEX(입금_은행2!$AA$8:$AA$2007,$I48)))</f>
        <v/>
      </c>
      <c r="F48" s="38">
        <f>IF($H48="","","거래처 입금이면 별칭 등록")</f>
        <v/>
      </c>
      <c r="H48" s="31">
        <f>IF(42&lt;=MAX(입금_은행1!$AD$8:$AD$2007),1,IF(42-MAX(입금_은행1!$AD$8:$AD$2007)&lt;=MAX(입금_은행2!$AD$8:$AD$2007),2,""))</f>
        <v/>
      </c>
      <c r="I48" s="31">
        <f>IF($H48="","",IF($H48=1,MATCH(42,입금_은행1!$AD$8:$AD$2007,0),MATCH(42-MAX(입금_은행1!$AD$8:$AD$2007),입금_은행2!$AD$8:$AD$2007,0)))</f>
        <v/>
      </c>
    </row>
    <row r="49">
      <c r="A49" s="38">
        <f>IF($H49="","",43)</f>
        <v/>
      </c>
      <c r="B49" s="38">
        <f>IF($H49="","",IF($H49=1,입금_은행1!$A$5,입금_은행2!$A$5))</f>
        <v/>
      </c>
      <c r="C49" s="40">
        <f>IF($H49="","",IF($H49=1,INDEX(입금_은행1!$Y$8:$Y$2007,$I49),INDEX(입금_은행2!$Y$8:$Y$2007,$I49)))</f>
        <v/>
      </c>
      <c r="D49" s="44">
        <f>IF($H49="","",IF($H49=1,INDEX(입금_은행1!$Z$8:$Z$2007,$I49),INDEX(입금_은행2!$Z$8:$Z$2007,$I49)))</f>
        <v/>
      </c>
      <c r="E49" s="38">
        <f>IF($H49="","",IF($H49=1,INDEX(입금_은행1!$AA$8:$AA$2007,$I49),INDEX(입금_은행2!$AA$8:$AA$2007,$I49)))</f>
        <v/>
      </c>
      <c r="F49" s="38">
        <f>IF($H49="","","거래처 입금이면 별칭 등록")</f>
        <v/>
      </c>
      <c r="H49" s="31">
        <f>IF(43&lt;=MAX(입금_은행1!$AD$8:$AD$2007),1,IF(43-MAX(입금_은행1!$AD$8:$AD$2007)&lt;=MAX(입금_은행2!$AD$8:$AD$2007),2,""))</f>
        <v/>
      </c>
      <c r="I49" s="31">
        <f>IF($H49="","",IF($H49=1,MATCH(43,입금_은행1!$AD$8:$AD$2007,0),MATCH(43-MAX(입금_은행1!$AD$8:$AD$2007),입금_은행2!$AD$8:$AD$2007,0)))</f>
        <v/>
      </c>
    </row>
    <row r="50">
      <c r="A50" s="38">
        <f>IF($H50="","",44)</f>
        <v/>
      </c>
      <c r="B50" s="38">
        <f>IF($H50="","",IF($H50=1,입금_은행1!$A$5,입금_은행2!$A$5))</f>
        <v/>
      </c>
      <c r="C50" s="40">
        <f>IF($H50="","",IF($H50=1,INDEX(입금_은행1!$Y$8:$Y$2007,$I50),INDEX(입금_은행2!$Y$8:$Y$2007,$I50)))</f>
        <v/>
      </c>
      <c r="D50" s="44">
        <f>IF($H50="","",IF($H50=1,INDEX(입금_은행1!$Z$8:$Z$2007,$I50),INDEX(입금_은행2!$Z$8:$Z$2007,$I50)))</f>
        <v/>
      </c>
      <c r="E50" s="38">
        <f>IF($H50="","",IF($H50=1,INDEX(입금_은행1!$AA$8:$AA$2007,$I50),INDEX(입금_은행2!$AA$8:$AA$2007,$I50)))</f>
        <v/>
      </c>
      <c r="F50" s="38">
        <f>IF($H50="","","거래처 입금이면 별칭 등록")</f>
        <v/>
      </c>
      <c r="H50" s="31">
        <f>IF(44&lt;=MAX(입금_은행1!$AD$8:$AD$2007),1,IF(44-MAX(입금_은행1!$AD$8:$AD$2007)&lt;=MAX(입금_은행2!$AD$8:$AD$2007),2,""))</f>
        <v/>
      </c>
      <c r="I50" s="31">
        <f>IF($H50="","",IF($H50=1,MATCH(44,입금_은행1!$AD$8:$AD$2007,0),MATCH(44-MAX(입금_은행1!$AD$8:$AD$2007),입금_은행2!$AD$8:$AD$2007,0)))</f>
        <v/>
      </c>
    </row>
    <row r="51">
      <c r="A51" s="38">
        <f>IF($H51="","",45)</f>
        <v/>
      </c>
      <c r="B51" s="38">
        <f>IF($H51="","",IF($H51=1,입금_은행1!$A$5,입금_은행2!$A$5))</f>
        <v/>
      </c>
      <c r="C51" s="40">
        <f>IF($H51="","",IF($H51=1,INDEX(입금_은행1!$Y$8:$Y$2007,$I51),INDEX(입금_은행2!$Y$8:$Y$2007,$I51)))</f>
        <v/>
      </c>
      <c r="D51" s="44">
        <f>IF($H51="","",IF($H51=1,INDEX(입금_은행1!$Z$8:$Z$2007,$I51),INDEX(입금_은행2!$Z$8:$Z$2007,$I51)))</f>
        <v/>
      </c>
      <c r="E51" s="38">
        <f>IF($H51="","",IF($H51=1,INDEX(입금_은행1!$AA$8:$AA$2007,$I51),INDEX(입금_은행2!$AA$8:$AA$2007,$I51)))</f>
        <v/>
      </c>
      <c r="F51" s="38">
        <f>IF($H51="","","거래처 입금이면 별칭 등록")</f>
        <v/>
      </c>
      <c r="H51" s="31">
        <f>IF(45&lt;=MAX(입금_은행1!$AD$8:$AD$2007),1,IF(45-MAX(입금_은행1!$AD$8:$AD$2007)&lt;=MAX(입금_은행2!$AD$8:$AD$2007),2,""))</f>
        <v/>
      </c>
      <c r="I51" s="31">
        <f>IF($H51="","",IF($H51=1,MATCH(45,입금_은행1!$AD$8:$AD$2007,0),MATCH(45-MAX(입금_은행1!$AD$8:$AD$2007),입금_은행2!$AD$8:$AD$2007,0)))</f>
        <v/>
      </c>
    </row>
    <row r="52">
      <c r="A52" s="38">
        <f>IF($H52="","",46)</f>
        <v/>
      </c>
      <c r="B52" s="38">
        <f>IF($H52="","",IF($H52=1,입금_은행1!$A$5,입금_은행2!$A$5))</f>
        <v/>
      </c>
      <c r="C52" s="40">
        <f>IF($H52="","",IF($H52=1,INDEX(입금_은행1!$Y$8:$Y$2007,$I52),INDEX(입금_은행2!$Y$8:$Y$2007,$I52)))</f>
        <v/>
      </c>
      <c r="D52" s="44">
        <f>IF($H52="","",IF($H52=1,INDEX(입금_은행1!$Z$8:$Z$2007,$I52),INDEX(입금_은행2!$Z$8:$Z$2007,$I52)))</f>
        <v/>
      </c>
      <c r="E52" s="38">
        <f>IF($H52="","",IF($H52=1,INDEX(입금_은행1!$AA$8:$AA$2007,$I52),INDEX(입금_은행2!$AA$8:$AA$2007,$I52)))</f>
        <v/>
      </c>
      <c r="F52" s="38">
        <f>IF($H52="","","거래처 입금이면 별칭 등록")</f>
        <v/>
      </c>
      <c r="H52" s="31">
        <f>IF(46&lt;=MAX(입금_은행1!$AD$8:$AD$2007),1,IF(46-MAX(입금_은행1!$AD$8:$AD$2007)&lt;=MAX(입금_은행2!$AD$8:$AD$2007),2,""))</f>
        <v/>
      </c>
      <c r="I52" s="31">
        <f>IF($H52="","",IF($H52=1,MATCH(46,입금_은행1!$AD$8:$AD$2007,0),MATCH(46-MAX(입금_은행1!$AD$8:$AD$2007),입금_은행2!$AD$8:$AD$2007,0)))</f>
        <v/>
      </c>
    </row>
    <row r="53">
      <c r="A53" s="38">
        <f>IF($H53="","",47)</f>
        <v/>
      </c>
      <c r="B53" s="38">
        <f>IF($H53="","",IF($H53=1,입금_은행1!$A$5,입금_은행2!$A$5))</f>
        <v/>
      </c>
      <c r="C53" s="40">
        <f>IF($H53="","",IF($H53=1,INDEX(입금_은행1!$Y$8:$Y$2007,$I53),INDEX(입금_은행2!$Y$8:$Y$2007,$I53)))</f>
        <v/>
      </c>
      <c r="D53" s="44">
        <f>IF($H53="","",IF($H53=1,INDEX(입금_은행1!$Z$8:$Z$2007,$I53),INDEX(입금_은행2!$Z$8:$Z$2007,$I53)))</f>
        <v/>
      </c>
      <c r="E53" s="38">
        <f>IF($H53="","",IF($H53=1,INDEX(입금_은행1!$AA$8:$AA$2007,$I53),INDEX(입금_은행2!$AA$8:$AA$2007,$I53)))</f>
        <v/>
      </c>
      <c r="F53" s="38">
        <f>IF($H53="","","거래처 입금이면 별칭 등록")</f>
        <v/>
      </c>
      <c r="H53" s="31">
        <f>IF(47&lt;=MAX(입금_은행1!$AD$8:$AD$2007),1,IF(47-MAX(입금_은행1!$AD$8:$AD$2007)&lt;=MAX(입금_은행2!$AD$8:$AD$2007),2,""))</f>
        <v/>
      </c>
      <c r="I53" s="31">
        <f>IF($H53="","",IF($H53=1,MATCH(47,입금_은행1!$AD$8:$AD$2007,0),MATCH(47-MAX(입금_은행1!$AD$8:$AD$2007),입금_은행2!$AD$8:$AD$2007,0)))</f>
        <v/>
      </c>
    </row>
    <row r="54">
      <c r="A54" s="38">
        <f>IF($H54="","",48)</f>
        <v/>
      </c>
      <c r="B54" s="38">
        <f>IF($H54="","",IF($H54=1,입금_은행1!$A$5,입금_은행2!$A$5))</f>
        <v/>
      </c>
      <c r="C54" s="40">
        <f>IF($H54="","",IF($H54=1,INDEX(입금_은행1!$Y$8:$Y$2007,$I54),INDEX(입금_은행2!$Y$8:$Y$2007,$I54)))</f>
        <v/>
      </c>
      <c r="D54" s="44">
        <f>IF($H54="","",IF($H54=1,INDEX(입금_은행1!$Z$8:$Z$2007,$I54),INDEX(입금_은행2!$Z$8:$Z$2007,$I54)))</f>
        <v/>
      </c>
      <c r="E54" s="38">
        <f>IF($H54="","",IF($H54=1,INDEX(입금_은행1!$AA$8:$AA$2007,$I54),INDEX(입금_은행2!$AA$8:$AA$2007,$I54)))</f>
        <v/>
      </c>
      <c r="F54" s="38">
        <f>IF($H54="","","거래처 입금이면 별칭 등록")</f>
        <v/>
      </c>
      <c r="H54" s="31">
        <f>IF(48&lt;=MAX(입금_은행1!$AD$8:$AD$2007),1,IF(48-MAX(입금_은행1!$AD$8:$AD$2007)&lt;=MAX(입금_은행2!$AD$8:$AD$2007),2,""))</f>
        <v/>
      </c>
      <c r="I54" s="31">
        <f>IF($H54="","",IF($H54=1,MATCH(48,입금_은행1!$AD$8:$AD$2007,0),MATCH(48-MAX(입금_은행1!$AD$8:$AD$2007),입금_은행2!$AD$8:$AD$2007,0)))</f>
        <v/>
      </c>
    </row>
    <row r="55">
      <c r="A55" s="38">
        <f>IF($H55="","",49)</f>
        <v/>
      </c>
      <c r="B55" s="38">
        <f>IF($H55="","",IF($H55=1,입금_은행1!$A$5,입금_은행2!$A$5))</f>
        <v/>
      </c>
      <c r="C55" s="40">
        <f>IF($H55="","",IF($H55=1,INDEX(입금_은행1!$Y$8:$Y$2007,$I55),INDEX(입금_은행2!$Y$8:$Y$2007,$I55)))</f>
        <v/>
      </c>
      <c r="D55" s="44">
        <f>IF($H55="","",IF($H55=1,INDEX(입금_은행1!$Z$8:$Z$2007,$I55),INDEX(입금_은행2!$Z$8:$Z$2007,$I55)))</f>
        <v/>
      </c>
      <c r="E55" s="38">
        <f>IF($H55="","",IF($H55=1,INDEX(입금_은행1!$AA$8:$AA$2007,$I55),INDEX(입금_은행2!$AA$8:$AA$2007,$I55)))</f>
        <v/>
      </c>
      <c r="F55" s="38">
        <f>IF($H55="","","거래처 입금이면 별칭 등록")</f>
        <v/>
      </c>
      <c r="H55" s="31">
        <f>IF(49&lt;=MAX(입금_은행1!$AD$8:$AD$2007),1,IF(49-MAX(입금_은행1!$AD$8:$AD$2007)&lt;=MAX(입금_은행2!$AD$8:$AD$2007),2,""))</f>
        <v/>
      </c>
      <c r="I55" s="31">
        <f>IF($H55="","",IF($H55=1,MATCH(49,입금_은행1!$AD$8:$AD$2007,0),MATCH(49-MAX(입금_은행1!$AD$8:$AD$2007),입금_은행2!$AD$8:$AD$2007,0)))</f>
        <v/>
      </c>
    </row>
    <row r="56">
      <c r="A56" s="38">
        <f>IF($H56="","",50)</f>
        <v/>
      </c>
      <c r="B56" s="38">
        <f>IF($H56="","",IF($H56=1,입금_은행1!$A$5,입금_은행2!$A$5))</f>
        <v/>
      </c>
      <c r="C56" s="40">
        <f>IF($H56="","",IF($H56=1,INDEX(입금_은행1!$Y$8:$Y$2007,$I56),INDEX(입금_은행2!$Y$8:$Y$2007,$I56)))</f>
        <v/>
      </c>
      <c r="D56" s="44">
        <f>IF($H56="","",IF($H56=1,INDEX(입금_은행1!$Z$8:$Z$2007,$I56),INDEX(입금_은행2!$Z$8:$Z$2007,$I56)))</f>
        <v/>
      </c>
      <c r="E56" s="38">
        <f>IF($H56="","",IF($H56=1,INDEX(입금_은행1!$AA$8:$AA$2007,$I56),INDEX(입금_은행2!$AA$8:$AA$2007,$I56)))</f>
        <v/>
      </c>
      <c r="F56" s="38">
        <f>IF($H56="","","거래처 입금이면 별칭 등록")</f>
        <v/>
      </c>
      <c r="H56" s="31">
        <f>IF(50&lt;=MAX(입금_은행1!$AD$8:$AD$2007),1,IF(50-MAX(입금_은행1!$AD$8:$AD$2007)&lt;=MAX(입금_은행2!$AD$8:$AD$2007),2,""))</f>
        <v/>
      </c>
      <c r="I56" s="31">
        <f>IF($H56="","",IF($H56=1,MATCH(50,입금_은행1!$AD$8:$AD$2007,0),MATCH(50-MAX(입금_은행1!$AD$8:$AD$2007),입금_은행2!$AD$8:$AD$2007,0)))</f>
        <v/>
      </c>
    </row>
    <row r="57">
      <c r="A57" s="38">
        <f>IF($H57="","",51)</f>
        <v/>
      </c>
      <c r="B57" s="38">
        <f>IF($H57="","",IF($H57=1,입금_은행1!$A$5,입금_은행2!$A$5))</f>
        <v/>
      </c>
      <c r="C57" s="40">
        <f>IF($H57="","",IF($H57=1,INDEX(입금_은행1!$Y$8:$Y$2007,$I57),INDEX(입금_은행2!$Y$8:$Y$2007,$I57)))</f>
        <v/>
      </c>
      <c r="D57" s="44">
        <f>IF($H57="","",IF($H57=1,INDEX(입금_은행1!$Z$8:$Z$2007,$I57),INDEX(입금_은행2!$Z$8:$Z$2007,$I57)))</f>
        <v/>
      </c>
      <c r="E57" s="38">
        <f>IF($H57="","",IF($H57=1,INDEX(입금_은행1!$AA$8:$AA$2007,$I57),INDEX(입금_은행2!$AA$8:$AA$2007,$I57)))</f>
        <v/>
      </c>
      <c r="F57" s="38">
        <f>IF($H57="","","거래처 입금이면 별칭 등록")</f>
        <v/>
      </c>
      <c r="H57" s="31">
        <f>IF(51&lt;=MAX(입금_은행1!$AD$8:$AD$2007),1,IF(51-MAX(입금_은행1!$AD$8:$AD$2007)&lt;=MAX(입금_은행2!$AD$8:$AD$2007),2,""))</f>
        <v/>
      </c>
      <c r="I57" s="31">
        <f>IF($H57="","",IF($H57=1,MATCH(51,입금_은행1!$AD$8:$AD$2007,0),MATCH(51-MAX(입금_은행1!$AD$8:$AD$2007),입금_은행2!$AD$8:$AD$2007,0)))</f>
        <v/>
      </c>
    </row>
    <row r="58">
      <c r="A58" s="38">
        <f>IF($H58="","",52)</f>
        <v/>
      </c>
      <c r="B58" s="38">
        <f>IF($H58="","",IF($H58=1,입금_은행1!$A$5,입금_은행2!$A$5))</f>
        <v/>
      </c>
      <c r="C58" s="40">
        <f>IF($H58="","",IF($H58=1,INDEX(입금_은행1!$Y$8:$Y$2007,$I58),INDEX(입금_은행2!$Y$8:$Y$2007,$I58)))</f>
        <v/>
      </c>
      <c r="D58" s="44">
        <f>IF($H58="","",IF($H58=1,INDEX(입금_은행1!$Z$8:$Z$2007,$I58),INDEX(입금_은행2!$Z$8:$Z$2007,$I58)))</f>
        <v/>
      </c>
      <c r="E58" s="38">
        <f>IF($H58="","",IF($H58=1,INDEX(입금_은행1!$AA$8:$AA$2007,$I58),INDEX(입금_은행2!$AA$8:$AA$2007,$I58)))</f>
        <v/>
      </c>
      <c r="F58" s="38">
        <f>IF($H58="","","거래처 입금이면 별칭 등록")</f>
        <v/>
      </c>
      <c r="H58" s="31">
        <f>IF(52&lt;=MAX(입금_은행1!$AD$8:$AD$2007),1,IF(52-MAX(입금_은행1!$AD$8:$AD$2007)&lt;=MAX(입금_은행2!$AD$8:$AD$2007),2,""))</f>
        <v/>
      </c>
      <c r="I58" s="31">
        <f>IF($H58="","",IF($H58=1,MATCH(52,입금_은행1!$AD$8:$AD$2007,0),MATCH(52-MAX(입금_은행1!$AD$8:$AD$2007),입금_은행2!$AD$8:$AD$2007,0)))</f>
        <v/>
      </c>
    </row>
    <row r="59">
      <c r="A59" s="38">
        <f>IF($H59="","",53)</f>
        <v/>
      </c>
      <c r="B59" s="38">
        <f>IF($H59="","",IF($H59=1,입금_은행1!$A$5,입금_은행2!$A$5))</f>
        <v/>
      </c>
      <c r="C59" s="40">
        <f>IF($H59="","",IF($H59=1,INDEX(입금_은행1!$Y$8:$Y$2007,$I59),INDEX(입금_은행2!$Y$8:$Y$2007,$I59)))</f>
        <v/>
      </c>
      <c r="D59" s="44">
        <f>IF($H59="","",IF($H59=1,INDEX(입금_은행1!$Z$8:$Z$2007,$I59),INDEX(입금_은행2!$Z$8:$Z$2007,$I59)))</f>
        <v/>
      </c>
      <c r="E59" s="38">
        <f>IF($H59="","",IF($H59=1,INDEX(입금_은행1!$AA$8:$AA$2007,$I59),INDEX(입금_은행2!$AA$8:$AA$2007,$I59)))</f>
        <v/>
      </c>
      <c r="F59" s="38">
        <f>IF($H59="","","거래처 입금이면 별칭 등록")</f>
        <v/>
      </c>
      <c r="H59" s="31">
        <f>IF(53&lt;=MAX(입금_은행1!$AD$8:$AD$2007),1,IF(53-MAX(입금_은행1!$AD$8:$AD$2007)&lt;=MAX(입금_은행2!$AD$8:$AD$2007),2,""))</f>
        <v/>
      </c>
      <c r="I59" s="31">
        <f>IF($H59="","",IF($H59=1,MATCH(53,입금_은행1!$AD$8:$AD$2007,0),MATCH(53-MAX(입금_은행1!$AD$8:$AD$2007),입금_은행2!$AD$8:$AD$2007,0)))</f>
        <v/>
      </c>
    </row>
    <row r="60">
      <c r="A60" s="38">
        <f>IF($H60="","",54)</f>
        <v/>
      </c>
      <c r="B60" s="38">
        <f>IF($H60="","",IF($H60=1,입금_은행1!$A$5,입금_은행2!$A$5))</f>
        <v/>
      </c>
      <c r="C60" s="40">
        <f>IF($H60="","",IF($H60=1,INDEX(입금_은행1!$Y$8:$Y$2007,$I60),INDEX(입금_은행2!$Y$8:$Y$2007,$I60)))</f>
        <v/>
      </c>
      <c r="D60" s="44">
        <f>IF($H60="","",IF($H60=1,INDEX(입금_은행1!$Z$8:$Z$2007,$I60),INDEX(입금_은행2!$Z$8:$Z$2007,$I60)))</f>
        <v/>
      </c>
      <c r="E60" s="38">
        <f>IF($H60="","",IF($H60=1,INDEX(입금_은행1!$AA$8:$AA$2007,$I60),INDEX(입금_은행2!$AA$8:$AA$2007,$I60)))</f>
        <v/>
      </c>
      <c r="F60" s="38">
        <f>IF($H60="","","거래처 입금이면 별칭 등록")</f>
        <v/>
      </c>
      <c r="H60" s="31">
        <f>IF(54&lt;=MAX(입금_은행1!$AD$8:$AD$2007),1,IF(54-MAX(입금_은행1!$AD$8:$AD$2007)&lt;=MAX(입금_은행2!$AD$8:$AD$2007),2,""))</f>
        <v/>
      </c>
      <c r="I60" s="31">
        <f>IF($H60="","",IF($H60=1,MATCH(54,입금_은행1!$AD$8:$AD$2007,0),MATCH(54-MAX(입금_은행1!$AD$8:$AD$2007),입금_은행2!$AD$8:$AD$2007,0)))</f>
        <v/>
      </c>
    </row>
    <row r="61">
      <c r="A61" s="38">
        <f>IF($H61="","",55)</f>
        <v/>
      </c>
      <c r="B61" s="38">
        <f>IF($H61="","",IF($H61=1,입금_은행1!$A$5,입금_은행2!$A$5))</f>
        <v/>
      </c>
      <c r="C61" s="40">
        <f>IF($H61="","",IF($H61=1,INDEX(입금_은행1!$Y$8:$Y$2007,$I61),INDEX(입금_은행2!$Y$8:$Y$2007,$I61)))</f>
        <v/>
      </c>
      <c r="D61" s="44">
        <f>IF($H61="","",IF($H61=1,INDEX(입금_은행1!$Z$8:$Z$2007,$I61),INDEX(입금_은행2!$Z$8:$Z$2007,$I61)))</f>
        <v/>
      </c>
      <c r="E61" s="38">
        <f>IF($H61="","",IF($H61=1,INDEX(입금_은행1!$AA$8:$AA$2007,$I61),INDEX(입금_은행2!$AA$8:$AA$2007,$I61)))</f>
        <v/>
      </c>
      <c r="F61" s="38">
        <f>IF($H61="","","거래처 입금이면 별칭 등록")</f>
        <v/>
      </c>
      <c r="H61" s="31">
        <f>IF(55&lt;=MAX(입금_은행1!$AD$8:$AD$2007),1,IF(55-MAX(입금_은행1!$AD$8:$AD$2007)&lt;=MAX(입금_은행2!$AD$8:$AD$2007),2,""))</f>
        <v/>
      </c>
      <c r="I61" s="31">
        <f>IF($H61="","",IF($H61=1,MATCH(55,입금_은행1!$AD$8:$AD$2007,0),MATCH(55-MAX(입금_은행1!$AD$8:$AD$2007),입금_은행2!$AD$8:$AD$2007,0)))</f>
        <v/>
      </c>
    </row>
    <row r="62">
      <c r="A62" s="38">
        <f>IF($H62="","",56)</f>
        <v/>
      </c>
      <c r="B62" s="38">
        <f>IF($H62="","",IF($H62=1,입금_은행1!$A$5,입금_은행2!$A$5))</f>
        <v/>
      </c>
      <c r="C62" s="40">
        <f>IF($H62="","",IF($H62=1,INDEX(입금_은행1!$Y$8:$Y$2007,$I62),INDEX(입금_은행2!$Y$8:$Y$2007,$I62)))</f>
        <v/>
      </c>
      <c r="D62" s="44">
        <f>IF($H62="","",IF($H62=1,INDEX(입금_은행1!$Z$8:$Z$2007,$I62),INDEX(입금_은행2!$Z$8:$Z$2007,$I62)))</f>
        <v/>
      </c>
      <c r="E62" s="38">
        <f>IF($H62="","",IF($H62=1,INDEX(입금_은행1!$AA$8:$AA$2007,$I62),INDEX(입금_은행2!$AA$8:$AA$2007,$I62)))</f>
        <v/>
      </c>
      <c r="F62" s="38">
        <f>IF($H62="","","거래처 입금이면 별칭 등록")</f>
        <v/>
      </c>
      <c r="H62" s="31">
        <f>IF(56&lt;=MAX(입금_은행1!$AD$8:$AD$2007),1,IF(56-MAX(입금_은행1!$AD$8:$AD$2007)&lt;=MAX(입금_은행2!$AD$8:$AD$2007),2,""))</f>
        <v/>
      </c>
      <c r="I62" s="31">
        <f>IF($H62="","",IF($H62=1,MATCH(56,입금_은행1!$AD$8:$AD$2007,0),MATCH(56-MAX(입금_은행1!$AD$8:$AD$2007),입금_은행2!$AD$8:$AD$2007,0)))</f>
        <v/>
      </c>
    </row>
    <row r="63">
      <c r="A63" s="38">
        <f>IF($H63="","",57)</f>
        <v/>
      </c>
      <c r="B63" s="38">
        <f>IF($H63="","",IF($H63=1,입금_은행1!$A$5,입금_은행2!$A$5))</f>
        <v/>
      </c>
      <c r="C63" s="40">
        <f>IF($H63="","",IF($H63=1,INDEX(입금_은행1!$Y$8:$Y$2007,$I63),INDEX(입금_은행2!$Y$8:$Y$2007,$I63)))</f>
        <v/>
      </c>
      <c r="D63" s="44">
        <f>IF($H63="","",IF($H63=1,INDEX(입금_은행1!$Z$8:$Z$2007,$I63),INDEX(입금_은행2!$Z$8:$Z$2007,$I63)))</f>
        <v/>
      </c>
      <c r="E63" s="38">
        <f>IF($H63="","",IF($H63=1,INDEX(입금_은행1!$AA$8:$AA$2007,$I63),INDEX(입금_은행2!$AA$8:$AA$2007,$I63)))</f>
        <v/>
      </c>
      <c r="F63" s="38">
        <f>IF($H63="","","거래처 입금이면 별칭 등록")</f>
        <v/>
      </c>
      <c r="H63" s="31">
        <f>IF(57&lt;=MAX(입금_은행1!$AD$8:$AD$2007),1,IF(57-MAX(입금_은행1!$AD$8:$AD$2007)&lt;=MAX(입금_은행2!$AD$8:$AD$2007),2,""))</f>
        <v/>
      </c>
      <c r="I63" s="31">
        <f>IF($H63="","",IF($H63=1,MATCH(57,입금_은행1!$AD$8:$AD$2007,0),MATCH(57-MAX(입금_은행1!$AD$8:$AD$2007),입금_은행2!$AD$8:$AD$2007,0)))</f>
        <v/>
      </c>
    </row>
    <row r="64">
      <c r="A64" s="38">
        <f>IF($H64="","",58)</f>
        <v/>
      </c>
      <c r="B64" s="38">
        <f>IF($H64="","",IF($H64=1,입금_은행1!$A$5,입금_은행2!$A$5))</f>
        <v/>
      </c>
      <c r="C64" s="40">
        <f>IF($H64="","",IF($H64=1,INDEX(입금_은행1!$Y$8:$Y$2007,$I64),INDEX(입금_은행2!$Y$8:$Y$2007,$I64)))</f>
        <v/>
      </c>
      <c r="D64" s="44">
        <f>IF($H64="","",IF($H64=1,INDEX(입금_은행1!$Z$8:$Z$2007,$I64),INDEX(입금_은행2!$Z$8:$Z$2007,$I64)))</f>
        <v/>
      </c>
      <c r="E64" s="38">
        <f>IF($H64="","",IF($H64=1,INDEX(입금_은행1!$AA$8:$AA$2007,$I64),INDEX(입금_은행2!$AA$8:$AA$2007,$I64)))</f>
        <v/>
      </c>
      <c r="F64" s="38">
        <f>IF($H64="","","거래처 입금이면 별칭 등록")</f>
        <v/>
      </c>
      <c r="H64" s="31">
        <f>IF(58&lt;=MAX(입금_은행1!$AD$8:$AD$2007),1,IF(58-MAX(입금_은행1!$AD$8:$AD$2007)&lt;=MAX(입금_은행2!$AD$8:$AD$2007),2,""))</f>
        <v/>
      </c>
      <c r="I64" s="31">
        <f>IF($H64="","",IF($H64=1,MATCH(58,입금_은행1!$AD$8:$AD$2007,0),MATCH(58-MAX(입금_은행1!$AD$8:$AD$2007),입금_은행2!$AD$8:$AD$2007,0)))</f>
        <v/>
      </c>
    </row>
    <row r="65">
      <c r="A65" s="38">
        <f>IF($H65="","",59)</f>
        <v/>
      </c>
      <c r="B65" s="38">
        <f>IF($H65="","",IF($H65=1,입금_은행1!$A$5,입금_은행2!$A$5))</f>
        <v/>
      </c>
      <c r="C65" s="40">
        <f>IF($H65="","",IF($H65=1,INDEX(입금_은행1!$Y$8:$Y$2007,$I65),INDEX(입금_은행2!$Y$8:$Y$2007,$I65)))</f>
        <v/>
      </c>
      <c r="D65" s="44">
        <f>IF($H65="","",IF($H65=1,INDEX(입금_은행1!$Z$8:$Z$2007,$I65),INDEX(입금_은행2!$Z$8:$Z$2007,$I65)))</f>
        <v/>
      </c>
      <c r="E65" s="38">
        <f>IF($H65="","",IF($H65=1,INDEX(입금_은행1!$AA$8:$AA$2007,$I65),INDEX(입금_은행2!$AA$8:$AA$2007,$I65)))</f>
        <v/>
      </c>
      <c r="F65" s="38">
        <f>IF($H65="","","거래처 입금이면 별칭 등록")</f>
        <v/>
      </c>
      <c r="H65" s="31">
        <f>IF(59&lt;=MAX(입금_은행1!$AD$8:$AD$2007),1,IF(59-MAX(입금_은행1!$AD$8:$AD$2007)&lt;=MAX(입금_은행2!$AD$8:$AD$2007),2,""))</f>
        <v/>
      </c>
      <c r="I65" s="31">
        <f>IF($H65="","",IF($H65=1,MATCH(59,입금_은행1!$AD$8:$AD$2007,0),MATCH(59-MAX(입금_은행1!$AD$8:$AD$2007),입금_은행2!$AD$8:$AD$2007,0)))</f>
        <v/>
      </c>
    </row>
    <row r="66">
      <c r="A66" s="38">
        <f>IF($H66="","",60)</f>
        <v/>
      </c>
      <c r="B66" s="38">
        <f>IF($H66="","",IF($H66=1,입금_은행1!$A$5,입금_은행2!$A$5))</f>
        <v/>
      </c>
      <c r="C66" s="40">
        <f>IF($H66="","",IF($H66=1,INDEX(입금_은행1!$Y$8:$Y$2007,$I66),INDEX(입금_은행2!$Y$8:$Y$2007,$I66)))</f>
        <v/>
      </c>
      <c r="D66" s="44">
        <f>IF($H66="","",IF($H66=1,INDEX(입금_은행1!$Z$8:$Z$2007,$I66),INDEX(입금_은행2!$Z$8:$Z$2007,$I66)))</f>
        <v/>
      </c>
      <c r="E66" s="38">
        <f>IF($H66="","",IF($H66=1,INDEX(입금_은행1!$AA$8:$AA$2007,$I66),INDEX(입금_은행2!$AA$8:$AA$2007,$I66)))</f>
        <v/>
      </c>
      <c r="F66" s="38">
        <f>IF($H66="","","거래처 입금이면 별칭 등록")</f>
        <v/>
      </c>
      <c r="H66" s="31">
        <f>IF(60&lt;=MAX(입금_은행1!$AD$8:$AD$2007),1,IF(60-MAX(입금_은행1!$AD$8:$AD$2007)&lt;=MAX(입금_은행2!$AD$8:$AD$2007),2,""))</f>
        <v/>
      </c>
      <c r="I66" s="31">
        <f>IF($H66="","",IF($H66=1,MATCH(60,입금_은행1!$AD$8:$AD$2007,0),MATCH(60-MAX(입금_은행1!$AD$8:$AD$2007),입금_은행2!$AD$8:$AD$2007,0)))</f>
        <v/>
      </c>
    </row>
    <row r="67">
      <c r="A67" s="38">
        <f>IF($H67="","",61)</f>
        <v/>
      </c>
      <c r="B67" s="38">
        <f>IF($H67="","",IF($H67=1,입금_은행1!$A$5,입금_은행2!$A$5))</f>
        <v/>
      </c>
      <c r="C67" s="40">
        <f>IF($H67="","",IF($H67=1,INDEX(입금_은행1!$Y$8:$Y$2007,$I67),INDEX(입금_은행2!$Y$8:$Y$2007,$I67)))</f>
        <v/>
      </c>
      <c r="D67" s="44">
        <f>IF($H67="","",IF($H67=1,INDEX(입금_은행1!$Z$8:$Z$2007,$I67),INDEX(입금_은행2!$Z$8:$Z$2007,$I67)))</f>
        <v/>
      </c>
      <c r="E67" s="38">
        <f>IF($H67="","",IF($H67=1,INDEX(입금_은행1!$AA$8:$AA$2007,$I67),INDEX(입금_은행2!$AA$8:$AA$2007,$I67)))</f>
        <v/>
      </c>
      <c r="F67" s="38">
        <f>IF($H67="","","거래처 입금이면 별칭 등록")</f>
        <v/>
      </c>
      <c r="H67" s="31">
        <f>IF(61&lt;=MAX(입금_은행1!$AD$8:$AD$2007),1,IF(61-MAX(입금_은행1!$AD$8:$AD$2007)&lt;=MAX(입금_은행2!$AD$8:$AD$2007),2,""))</f>
        <v/>
      </c>
      <c r="I67" s="31">
        <f>IF($H67="","",IF($H67=1,MATCH(61,입금_은행1!$AD$8:$AD$2007,0),MATCH(61-MAX(입금_은행1!$AD$8:$AD$2007),입금_은행2!$AD$8:$AD$2007,0)))</f>
        <v/>
      </c>
    </row>
    <row r="68">
      <c r="A68" s="38">
        <f>IF($H68="","",62)</f>
        <v/>
      </c>
      <c r="B68" s="38">
        <f>IF($H68="","",IF($H68=1,입금_은행1!$A$5,입금_은행2!$A$5))</f>
        <v/>
      </c>
      <c r="C68" s="40">
        <f>IF($H68="","",IF($H68=1,INDEX(입금_은행1!$Y$8:$Y$2007,$I68),INDEX(입금_은행2!$Y$8:$Y$2007,$I68)))</f>
        <v/>
      </c>
      <c r="D68" s="44">
        <f>IF($H68="","",IF($H68=1,INDEX(입금_은행1!$Z$8:$Z$2007,$I68),INDEX(입금_은행2!$Z$8:$Z$2007,$I68)))</f>
        <v/>
      </c>
      <c r="E68" s="38">
        <f>IF($H68="","",IF($H68=1,INDEX(입금_은행1!$AA$8:$AA$2007,$I68),INDEX(입금_은행2!$AA$8:$AA$2007,$I68)))</f>
        <v/>
      </c>
      <c r="F68" s="38">
        <f>IF($H68="","","거래처 입금이면 별칭 등록")</f>
        <v/>
      </c>
      <c r="H68" s="31">
        <f>IF(62&lt;=MAX(입금_은행1!$AD$8:$AD$2007),1,IF(62-MAX(입금_은행1!$AD$8:$AD$2007)&lt;=MAX(입금_은행2!$AD$8:$AD$2007),2,""))</f>
        <v/>
      </c>
      <c r="I68" s="31">
        <f>IF($H68="","",IF($H68=1,MATCH(62,입금_은행1!$AD$8:$AD$2007,0),MATCH(62-MAX(입금_은행1!$AD$8:$AD$2007),입금_은행2!$AD$8:$AD$2007,0)))</f>
        <v/>
      </c>
    </row>
    <row r="69">
      <c r="A69" s="38">
        <f>IF($H69="","",63)</f>
        <v/>
      </c>
      <c r="B69" s="38">
        <f>IF($H69="","",IF($H69=1,입금_은행1!$A$5,입금_은행2!$A$5))</f>
        <v/>
      </c>
      <c r="C69" s="40">
        <f>IF($H69="","",IF($H69=1,INDEX(입금_은행1!$Y$8:$Y$2007,$I69),INDEX(입금_은행2!$Y$8:$Y$2007,$I69)))</f>
        <v/>
      </c>
      <c r="D69" s="44">
        <f>IF($H69="","",IF($H69=1,INDEX(입금_은행1!$Z$8:$Z$2007,$I69),INDEX(입금_은행2!$Z$8:$Z$2007,$I69)))</f>
        <v/>
      </c>
      <c r="E69" s="38">
        <f>IF($H69="","",IF($H69=1,INDEX(입금_은행1!$AA$8:$AA$2007,$I69),INDEX(입금_은행2!$AA$8:$AA$2007,$I69)))</f>
        <v/>
      </c>
      <c r="F69" s="38">
        <f>IF($H69="","","거래처 입금이면 별칭 등록")</f>
        <v/>
      </c>
      <c r="H69" s="31">
        <f>IF(63&lt;=MAX(입금_은행1!$AD$8:$AD$2007),1,IF(63-MAX(입금_은행1!$AD$8:$AD$2007)&lt;=MAX(입금_은행2!$AD$8:$AD$2007),2,""))</f>
        <v/>
      </c>
      <c r="I69" s="31">
        <f>IF($H69="","",IF($H69=1,MATCH(63,입금_은행1!$AD$8:$AD$2007,0),MATCH(63-MAX(입금_은행1!$AD$8:$AD$2007),입금_은행2!$AD$8:$AD$2007,0)))</f>
        <v/>
      </c>
    </row>
    <row r="70">
      <c r="A70" s="38">
        <f>IF($H70="","",64)</f>
        <v/>
      </c>
      <c r="B70" s="38">
        <f>IF($H70="","",IF($H70=1,입금_은행1!$A$5,입금_은행2!$A$5))</f>
        <v/>
      </c>
      <c r="C70" s="40">
        <f>IF($H70="","",IF($H70=1,INDEX(입금_은행1!$Y$8:$Y$2007,$I70),INDEX(입금_은행2!$Y$8:$Y$2007,$I70)))</f>
        <v/>
      </c>
      <c r="D70" s="44">
        <f>IF($H70="","",IF($H70=1,INDEX(입금_은행1!$Z$8:$Z$2007,$I70),INDEX(입금_은행2!$Z$8:$Z$2007,$I70)))</f>
        <v/>
      </c>
      <c r="E70" s="38">
        <f>IF($H70="","",IF($H70=1,INDEX(입금_은행1!$AA$8:$AA$2007,$I70),INDEX(입금_은행2!$AA$8:$AA$2007,$I70)))</f>
        <v/>
      </c>
      <c r="F70" s="38">
        <f>IF($H70="","","거래처 입금이면 별칭 등록")</f>
        <v/>
      </c>
      <c r="H70" s="31">
        <f>IF(64&lt;=MAX(입금_은행1!$AD$8:$AD$2007),1,IF(64-MAX(입금_은행1!$AD$8:$AD$2007)&lt;=MAX(입금_은행2!$AD$8:$AD$2007),2,""))</f>
        <v/>
      </c>
      <c r="I70" s="31">
        <f>IF($H70="","",IF($H70=1,MATCH(64,입금_은행1!$AD$8:$AD$2007,0),MATCH(64-MAX(입금_은행1!$AD$8:$AD$2007),입금_은행2!$AD$8:$AD$2007,0)))</f>
        <v/>
      </c>
    </row>
    <row r="71">
      <c r="A71" s="38">
        <f>IF($H71="","",65)</f>
        <v/>
      </c>
      <c r="B71" s="38">
        <f>IF($H71="","",IF($H71=1,입금_은행1!$A$5,입금_은행2!$A$5))</f>
        <v/>
      </c>
      <c r="C71" s="40">
        <f>IF($H71="","",IF($H71=1,INDEX(입금_은행1!$Y$8:$Y$2007,$I71),INDEX(입금_은행2!$Y$8:$Y$2007,$I71)))</f>
        <v/>
      </c>
      <c r="D71" s="44">
        <f>IF($H71="","",IF($H71=1,INDEX(입금_은행1!$Z$8:$Z$2007,$I71),INDEX(입금_은행2!$Z$8:$Z$2007,$I71)))</f>
        <v/>
      </c>
      <c r="E71" s="38">
        <f>IF($H71="","",IF($H71=1,INDEX(입금_은행1!$AA$8:$AA$2007,$I71),INDEX(입금_은행2!$AA$8:$AA$2007,$I71)))</f>
        <v/>
      </c>
      <c r="F71" s="38">
        <f>IF($H71="","","거래처 입금이면 별칭 등록")</f>
        <v/>
      </c>
      <c r="H71" s="31">
        <f>IF(65&lt;=MAX(입금_은행1!$AD$8:$AD$2007),1,IF(65-MAX(입금_은행1!$AD$8:$AD$2007)&lt;=MAX(입금_은행2!$AD$8:$AD$2007),2,""))</f>
        <v/>
      </c>
      <c r="I71" s="31">
        <f>IF($H71="","",IF($H71=1,MATCH(65,입금_은행1!$AD$8:$AD$2007,0),MATCH(65-MAX(입금_은행1!$AD$8:$AD$2007),입금_은행2!$AD$8:$AD$2007,0)))</f>
        <v/>
      </c>
    </row>
    <row r="72">
      <c r="A72" s="38">
        <f>IF($H72="","",66)</f>
        <v/>
      </c>
      <c r="B72" s="38">
        <f>IF($H72="","",IF($H72=1,입금_은행1!$A$5,입금_은행2!$A$5))</f>
        <v/>
      </c>
      <c r="C72" s="40">
        <f>IF($H72="","",IF($H72=1,INDEX(입금_은행1!$Y$8:$Y$2007,$I72),INDEX(입금_은행2!$Y$8:$Y$2007,$I72)))</f>
        <v/>
      </c>
      <c r="D72" s="44">
        <f>IF($H72="","",IF($H72=1,INDEX(입금_은행1!$Z$8:$Z$2007,$I72),INDEX(입금_은행2!$Z$8:$Z$2007,$I72)))</f>
        <v/>
      </c>
      <c r="E72" s="38">
        <f>IF($H72="","",IF($H72=1,INDEX(입금_은행1!$AA$8:$AA$2007,$I72),INDEX(입금_은행2!$AA$8:$AA$2007,$I72)))</f>
        <v/>
      </c>
      <c r="F72" s="38">
        <f>IF($H72="","","거래처 입금이면 별칭 등록")</f>
        <v/>
      </c>
      <c r="H72" s="31">
        <f>IF(66&lt;=MAX(입금_은행1!$AD$8:$AD$2007),1,IF(66-MAX(입금_은행1!$AD$8:$AD$2007)&lt;=MAX(입금_은행2!$AD$8:$AD$2007),2,""))</f>
        <v/>
      </c>
      <c r="I72" s="31">
        <f>IF($H72="","",IF($H72=1,MATCH(66,입금_은행1!$AD$8:$AD$2007,0),MATCH(66-MAX(입금_은행1!$AD$8:$AD$2007),입금_은행2!$AD$8:$AD$2007,0)))</f>
        <v/>
      </c>
    </row>
    <row r="73">
      <c r="A73" s="38">
        <f>IF($H73="","",67)</f>
        <v/>
      </c>
      <c r="B73" s="38">
        <f>IF($H73="","",IF($H73=1,입금_은행1!$A$5,입금_은행2!$A$5))</f>
        <v/>
      </c>
      <c r="C73" s="40">
        <f>IF($H73="","",IF($H73=1,INDEX(입금_은행1!$Y$8:$Y$2007,$I73),INDEX(입금_은행2!$Y$8:$Y$2007,$I73)))</f>
        <v/>
      </c>
      <c r="D73" s="44">
        <f>IF($H73="","",IF($H73=1,INDEX(입금_은행1!$Z$8:$Z$2007,$I73),INDEX(입금_은행2!$Z$8:$Z$2007,$I73)))</f>
        <v/>
      </c>
      <c r="E73" s="38">
        <f>IF($H73="","",IF($H73=1,INDEX(입금_은행1!$AA$8:$AA$2007,$I73),INDEX(입금_은행2!$AA$8:$AA$2007,$I73)))</f>
        <v/>
      </c>
      <c r="F73" s="38">
        <f>IF($H73="","","거래처 입금이면 별칭 등록")</f>
        <v/>
      </c>
      <c r="H73" s="31">
        <f>IF(67&lt;=MAX(입금_은행1!$AD$8:$AD$2007),1,IF(67-MAX(입금_은행1!$AD$8:$AD$2007)&lt;=MAX(입금_은행2!$AD$8:$AD$2007),2,""))</f>
        <v/>
      </c>
      <c r="I73" s="31">
        <f>IF($H73="","",IF($H73=1,MATCH(67,입금_은행1!$AD$8:$AD$2007,0),MATCH(67-MAX(입금_은행1!$AD$8:$AD$2007),입금_은행2!$AD$8:$AD$2007,0)))</f>
        <v/>
      </c>
    </row>
    <row r="74">
      <c r="A74" s="38">
        <f>IF($H74="","",68)</f>
        <v/>
      </c>
      <c r="B74" s="38">
        <f>IF($H74="","",IF($H74=1,입금_은행1!$A$5,입금_은행2!$A$5))</f>
        <v/>
      </c>
      <c r="C74" s="40">
        <f>IF($H74="","",IF($H74=1,INDEX(입금_은행1!$Y$8:$Y$2007,$I74),INDEX(입금_은행2!$Y$8:$Y$2007,$I74)))</f>
        <v/>
      </c>
      <c r="D74" s="44">
        <f>IF($H74="","",IF($H74=1,INDEX(입금_은행1!$Z$8:$Z$2007,$I74),INDEX(입금_은행2!$Z$8:$Z$2007,$I74)))</f>
        <v/>
      </c>
      <c r="E74" s="38">
        <f>IF($H74="","",IF($H74=1,INDEX(입금_은행1!$AA$8:$AA$2007,$I74),INDEX(입금_은행2!$AA$8:$AA$2007,$I74)))</f>
        <v/>
      </c>
      <c r="F74" s="38">
        <f>IF($H74="","","거래처 입금이면 별칭 등록")</f>
        <v/>
      </c>
      <c r="H74" s="31">
        <f>IF(68&lt;=MAX(입금_은행1!$AD$8:$AD$2007),1,IF(68-MAX(입금_은행1!$AD$8:$AD$2007)&lt;=MAX(입금_은행2!$AD$8:$AD$2007),2,""))</f>
        <v/>
      </c>
      <c r="I74" s="31">
        <f>IF($H74="","",IF($H74=1,MATCH(68,입금_은행1!$AD$8:$AD$2007,0),MATCH(68-MAX(입금_은행1!$AD$8:$AD$2007),입금_은행2!$AD$8:$AD$2007,0)))</f>
        <v/>
      </c>
    </row>
    <row r="75">
      <c r="A75" s="38">
        <f>IF($H75="","",69)</f>
        <v/>
      </c>
      <c r="B75" s="38">
        <f>IF($H75="","",IF($H75=1,입금_은행1!$A$5,입금_은행2!$A$5))</f>
        <v/>
      </c>
      <c r="C75" s="40">
        <f>IF($H75="","",IF($H75=1,INDEX(입금_은행1!$Y$8:$Y$2007,$I75),INDEX(입금_은행2!$Y$8:$Y$2007,$I75)))</f>
        <v/>
      </c>
      <c r="D75" s="44">
        <f>IF($H75="","",IF($H75=1,INDEX(입금_은행1!$Z$8:$Z$2007,$I75),INDEX(입금_은행2!$Z$8:$Z$2007,$I75)))</f>
        <v/>
      </c>
      <c r="E75" s="38">
        <f>IF($H75="","",IF($H75=1,INDEX(입금_은행1!$AA$8:$AA$2007,$I75),INDEX(입금_은행2!$AA$8:$AA$2007,$I75)))</f>
        <v/>
      </c>
      <c r="F75" s="38">
        <f>IF($H75="","","거래처 입금이면 별칭 등록")</f>
        <v/>
      </c>
      <c r="H75" s="31">
        <f>IF(69&lt;=MAX(입금_은행1!$AD$8:$AD$2007),1,IF(69-MAX(입금_은행1!$AD$8:$AD$2007)&lt;=MAX(입금_은행2!$AD$8:$AD$2007),2,""))</f>
        <v/>
      </c>
      <c r="I75" s="31">
        <f>IF($H75="","",IF($H75=1,MATCH(69,입금_은행1!$AD$8:$AD$2007,0),MATCH(69-MAX(입금_은행1!$AD$8:$AD$2007),입금_은행2!$AD$8:$AD$2007,0)))</f>
        <v/>
      </c>
    </row>
    <row r="76">
      <c r="A76" s="38">
        <f>IF($H76="","",70)</f>
        <v/>
      </c>
      <c r="B76" s="38">
        <f>IF($H76="","",IF($H76=1,입금_은행1!$A$5,입금_은행2!$A$5))</f>
        <v/>
      </c>
      <c r="C76" s="40">
        <f>IF($H76="","",IF($H76=1,INDEX(입금_은행1!$Y$8:$Y$2007,$I76),INDEX(입금_은행2!$Y$8:$Y$2007,$I76)))</f>
        <v/>
      </c>
      <c r="D76" s="44">
        <f>IF($H76="","",IF($H76=1,INDEX(입금_은행1!$Z$8:$Z$2007,$I76),INDEX(입금_은행2!$Z$8:$Z$2007,$I76)))</f>
        <v/>
      </c>
      <c r="E76" s="38">
        <f>IF($H76="","",IF($H76=1,INDEX(입금_은행1!$AA$8:$AA$2007,$I76),INDEX(입금_은행2!$AA$8:$AA$2007,$I76)))</f>
        <v/>
      </c>
      <c r="F76" s="38">
        <f>IF($H76="","","거래처 입금이면 별칭 등록")</f>
        <v/>
      </c>
      <c r="H76" s="31">
        <f>IF(70&lt;=MAX(입금_은행1!$AD$8:$AD$2007),1,IF(70-MAX(입금_은행1!$AD$8:$AD$2007)&lt;=MAX(입금_은행2!$AD$8:$AD$2007),2,""))</f>
        <v/>
      </c>
      <c r="I76" s="31">
        <f>IF($H76="","",IF($H76=1,MATCH(70,입금_은행1!$AD$8:$AD$2007,0),MATCH(70-MAX(입금_은행1!$AD$8:$AD$2007),입금_은행2!$AD$8:$AD$2007,0)))</f>
        <v/>
      </c>
    </row>
    <row r="77">
      <c r="A77" s="38">
        <f>IF($H77="","",71)</f>
        <v/>
      </c>
      <c r="B77" s="38">
        <f>IF($H77="","",IF($H77=1,입금_은행1!$A$5,입금_은행2!$A$5))</f>
        <v/>
      </c>
      <c r="C77" s="40">
        <f>IF($H77="","",IF($H77=1,INDEX(입금_은행1!$Y$8:$Y$2007,$I77),INDEX(입금_은행2!$Y$8:$Y$2007,$I77)))</f>
        <v/>
      </c>
      <c r="D77" s="44">
        <f>IF($H77="","",IF($H77=1,INDEX(입금_은행1!$Z$8:$Z$2007,$I77),INDEX(입금_은행2!$Z$8:$Z$2007,$I77)))</f>
        <v/>
      </c>
      <c r="E77" s="38">
        <f>IF($H77="","",IF($H77=1,INDEX(입금_은행1!$AA$8:$AA$2007,$I77),INDEX(입금_은행2!$AA$8:$AA$2007,$I77)))</f>
        <v/>
      </c>
      <c r="F77" s="38">
        <f>IF($H77="","","거래처 입금이면 별칭 등록")</f>
        <v/>
      </c>
      <c r="H77" s="31">
        <f>IF(71&lt;=MAX(입금_은행1!$AD$8:$AD$2007),1,IF(71-MAX(입금_은행1!$AD$8:$AD$2007)&lt;=MAX(입금_은행2!$AD$8:$AD$2007),2,""))</f>
        <v/>
      </c>
      <c r="I77" s="31">
        <f>IF($H77="","",IF($H77=1,MATCH(71,입금_은행1!$AD$8:$AD$2007,0),MATCH(71-MAX(입금_은행1!$AD$8:$AD$2007),입금_은행2!$AD$8:$AD$2007,0)))</f>
        <v/>
      </c>
    </row>
    <row r="78">
      <c r="A78" s="38">
        <f>IF($H78="","",72)</f>
        <v/>
      </c>
      <c r="B78" s="38">
        <f>IF($H78="","",IF($H78=1,입금_은행1!$A$5,입금_은행2!$A$5))</f>
        <v/>
      </c>
      <c r="C78" s="40">
        <f>IF($H78="","",IF($H78=1,INDEX(입금_은행1!$Y$8:$Y$2007,$I78),INDEX(입금_은행2!$Y$8:$Y$2007,$I78)))</f>
        <v/>
      </c>
      <c r="D78" s="44">
        <f>IF($H78="","",IF($H78=1,INDEX(입금_은행1!$Z$8:$Z$2007,$I78),INDEX(입금_은행2!$Z$8:$Z$2007,$I78)))</f>
        <v/>
      </c>
      <c r="E78" s="38">
        <f>IF($H78="","",IF($H78=1,INDEX(입금_은행1!$AA$8:$AA$2007,$I78),INDEX(입금_은행2!$AA$8:$AA$2007,$I78)))</f>
        <v/>
      </c>
      <c r="F78" s="38">
        <f>IF($H78="","","거래처 입금이면 별칭 등록")</f>
        <v/>
      </c>
      <c r="H78" s="31">
        <f>IF(72&lt;=MAX(입금_은행1!$AD$8:$AD$2007),1,IF(72-MAX(입금_은행1!$AD$8:$AD$2007)&lt;=MAX(입금_은행2!$AD$8:$AD$2007),2,""))</f>
        <v/>
      </c>
      <c r="I78" s="31">
        <f>IF($H78="","",IF($H78=1,MATCH(72,입금_은행1!$AD$8:$AD$2007,0),MATCH(72-MAX(입금_은행1!$AD$8:$AD$2007),입금_은행2!$AD$8:$AD$2007,0)))</f>
        <v/>
      </c>
    </row>
    <row r="79">
      <c r="A79" s="38">
        <f>IF($H79="","",73)</f>
        <v/>
      </c>
      <c r="B79" s="38">
        <f>IF($H79="","",IF($H79=1,입금_은행1!$A$5,입금_은행2!$A$5))</f>
        <v/>
      </c>
      <c r="C79" s="40">
        <f>IF($H79="","",IF($H79=1,INDEX(입금_은행1!$Y$8:$Y$2007,$I79),INDEX(입금_은행2!$Y$8:$Y$2007,$I79)))</f>
        <v/>
      </c>
      <c r="D79" s="44">
        <f>IF($H79="","",IF($H79=1,INDEX(입금_은행1!$Z$8:$Z$2007,$I79),INDEX(입금_은행2!$Z$8:$Z$2007,$I79)))</f>
        <v/>
      </c>
      <c r="E79" s="38">
        <f>IF($H79="","",IF($H79=1,INDEX(입금_은행1!$AA$8:$AA$2007,$I79),INDEX(입금_은행2!$AA$8:$AA$2007,$I79)))</f>
        <v/>
      </c>
      <c r="F79" s="38">
        <f>IF($H79="","","거래처 입금이면 별칭 등록")</f>
        <v/>
      </c>
      <c r="H79" s="31">
        <f>IF(73&lt;=MAX(입금_은행1!$AD$8:$AD$2007),1,IF(73-MAX(입금_은행1!$AD$8:$AD$2007)&lt;=MAX(입금_은행2!$AD$8:$AD$2007),2,""))</f>
        <v/>
      </c>
      <c r="I79" s="31">
        <f>IF($H79="","",IF($H79=1,MATCH(73,입금_은행1!$AD$8:$AD$2007,0),MATCH(73-MAX(입금_은행1!$AD$8:$AD$2007),입금_은행2!$AD$8:$AD$2007,0)))</f>
        <v/>
      </c>
    </row>
    <row r="80">
      <c r="A80" s="38">
        <f>IF($H80="","",74)</f>
        <v/>
      </c>
      <c r="B80" s="38">
        <f>IF($H80="","",IF($H80=1,입금_은행1!$A$5,입금_은행2!$A$5))</f>
        <v/>
      </c>
      <c r="C80" s="40">
        <f>IF($H80="","",IF($H80=1,INDEX(입금_은행1!$Y$8:$Y$2007,$I80),INDEX(입금_은행2!$Y$8:$Y$2007,$I80)))</f>
        <v/>
      </c>
      <c r="D80" s="44">
        <f>IF($H80="","",IF($H80=1,INDEX(입금_은행1!$Z$8:$Z$2007,$I80),INDEX(입금_은행2!$Z$8:$Z$2007,$I80)))</f>
        <v/>
      </c>
      <c r="E80" s="38">
        <f>IF($H80="","",IF($H80=1,INDEX(입금_은행1!$AA$8:$AA$2007,$I80),INDEX(입금_은행2!$AA$8:$AA$2007,$I80)))</f>
        <v/>
      </c>
      <c r="F80" s="38">
        <f>IF($H80="","","거래처 입금이면 별칭 등록")</f>
        <v/>
      </c>
      <c r="H80" s="31">
        <f>IF(74&lt;=MAX(입금_은행1!$AD$8:$AD$2007),1,IF(74-MAX(입금_은행1!$AD$8:$AD$2007)&lt;=MAX(입금_은행2!$AD$8:$AD$2007),2,""))</f>
        <v/>
      </c>
      <c r="I80" s="31">
        <f>IF($H80="","",IF($H80=1,MATCH(74,입금_은행1!$AD$8:$AD$2007,0),MATCH(74-MAX(입금_은행1!$AD$8:$AD$2007),입금_은행2!$AD$8:$AD$2007,0)))</f>
        <v/>
      </c>
    </row>
    <row r="81">
      <c r="A81" s="38">
        <f>IF($H81="","",75)</f>
        <v/>
      </c>
      <c r="B81" s="38">
        <f>IF($H81="","",IF($H81=1,입금_은행1!$A$5,입금_은행2!$A$5))</f>
        <v/>
      </c>
      <c r="C81" s="40">
        <f>IF($H81="","",IF($H81=1,INDEX(입금_은행1!$Y$8:$Y$2007,$I81),INDEX(입금_은행2!$Y$8:$Y$2007,$I81)))</f>
        <v/>
      </c>
      <c r="D81" s="44">
        <f>IF($H81="","",IF($H81=1,INDEX(입금_은행1!$Z$8:$Z$2007,$I81),INDEX(입금_은행2!$Z$8:$Z$2007,$I81)))</f>
        <v/>
      </c>
      <c r="E81" s="38">
        <f>IF($H81="","",IF($H81=1,INDEX(입금_은행1!$AA$8:$AA$2007,$I81),INDEX(입금_은행2!$AA$8:$AA$2007,$I81)))</f>
        <v/>
      </c>
      <c r="F81" s="38">
        <f>IF($H81="","","거래처 입금이면 별칭 등록")</f>
        <v/>
      </c>
      <c r="H81" s="31">
        <f>IF(75&lt;=MAX(입금_은행1!$AD$8:$AD$2007),1,IF(75-MAX(입금_은행1!$AD$8:$AD$2007)&lt;=MAX(입금_은행2!$AD$8:$AD$2007),2,""))</f>
        <v/>
      </c>
      <c r="I81" s="31">
        <f>IF($H81="","",IF($H81=1,MATCH(75,입금_은행1!$AD$8:$AD$2007,0),MATCH(75-MAX(입금_은행1!$AD$8:$AD$2007),입금_은행2!$AD$8:$AD$2007,0)))</f>
        <v/>
      </c>
    </row>
    <row r="82">
      <c r="A82" s="38">
        <f>IF($H82="","",76)</f>
        <v/>
      </c>
      <c r="B82" s="38">
        <f>IF($H82="","",IF($H82=1,입금_은행1!$A$5,입금_은행2!$A$5))</f>
        <v/>
      </c>
      <c r="C82" s="40">
        <f>IF($H82="","",IF($H82=1,INDEX(입금_은행1!$Y$8:$Y$2007,$I82),INDEX(입금_은행2!$Y$8:$Y$2007,$I82)))</f>
        <v/>
      </c>
      <c r="D82" s="44">
        <f>IF($H82="","",IF($H82=1,INDEX(입금_은행1!$Z$8:$Z$2007,$I82),INDEX(입금_은행2!$Z$8:$Z$2007,$I82)))</f>
        <v/>
      </c>
      <c r="E82" s="38">
        <f>IF($H82="","",IF($H82=1,INDEX(입금_은행1!$AA$8:$AA$2007,$I82),INDEX(입금_은행2!$AA$8:$AA$2007,$I82)))</f>
        <v/>
      </c>
      <c r="F82" s="38">
        <f>IF($H82="","","거래처 입금이면 별칭 등록")</f>
        <v/>
      </c>
      <c r="H82" s="31">
        <f>IF(76&lt;=MAX(입금_은행1!$AD$8:$AD$2007),1,IF(76-MAX(입금_은행1!$AD$8:$AD$2007)&lt;=MAX(입금_은행2!$AD$8:$AD$2007),2,""))</f>
        <v/>
      </c>
      <c r="I82" s="31">
        <f>IF($H82="","",IF($H82=1,MATCH(76,입금_은행1!$AD$8:$AD$2007,0),MATCH(76-MAX(입금_은행1!$AD$8:$AD$2007),입금_은행2!$AD$8:$AD$2007,0)))</f>
        <v/>
      </c>
    </row>
    <row r="83">
      <c r="A83" s="38">
        <f>IF($H83="","",77)</f>
        <v/>
      </c>
      <c r="B83" s="38">
        <f>IF($H83="","",IF($H83=1,입금_은행1!$A$5,입금_은행2!$A$5))</f>
        <v/>
      </c>
      <c r="C83" s="40">
        <f>IF($H83="","",IF($H83=1,INDEX(입금_은행1!$Y$8:$Y$2007,$I83),INDEX(입금_은행2!$Y$8:$Y$2007,$I83)))</f>
        <v/>
      </c>
      <c r="D83" s="44">
        <f>IF($H83="","",IF($H83=1,INDEX(입금_은행1!$Z$8:$Z$2007,$I83),INDEX(입금_은행2!$Z$8:$Z$2007,$I83)))</f>
        <v/>
      </c>
      <c r="E83" s="38">
        <f>IF($H83="","",IF($H83=1,INDEX(입금_은행1!$AA$8:$AA$2007,$I83),INDEX(입금_은행2!$AA$8:$AA$2007,$I83)))</f>
        <v/>
      </c>
      <c r="F83" s="38">
        <f>IF($H83="","","거래처 입금이면 별칭 등록")</f>
        <v/>
      </c>
      <c r="H83" s="31">
        <f>IF(77&lt;=MAX(입금_은행1!$AD$8:$AD$2007),1,IF(77-MAX(입금_은행1!$AD$8:$AD$2007)&lt;=MAX(입금_은행2!$AD$8:$AD$2007),2,""))</f>
        <v/>
      </c>
      <c r="I83" s="31">
        <f>IF($H83="","",IF($H83=1,MATCH(77,입금_은행1!$AD$8:$AD$2007,0),MATCH(77-MAX(입금_은행1!$AD$8:$AD$2007),입금_은행2!$AD$8:$AD$2007,0)))</f>
        <v/>
      </c>
    </row>
    <row r="84">
      <c r="A84" s="38">
        <f>IF($H84="","",78)</f>
        <v/>
      </c>
      <c r="B84" s="38">
        <f>IF($H84="","",IF($H84=1,입금_은행1!$A$5,입금_은행2!$A$5))</f>
        <v/>
      </c>
      <c r="C84" s="40">
        <f>IF($H84="","",IF($H84=1,INDEX(입금_은행1!$Y$8:$Y$2007,$I84),INDEX(입금_은행2!$Y$8:$Y$2007,$I84)))</f>
        <v/>
      </c>
      <c r="D84" s="44">
        <f>IF($H84="","",IF($H84=1,INDEX(입금_은행1!$Z$8:$Z$2007,$I84),INDEX(입금_은행2!$Z$8:$Z$2007,$I84)))</f>
        <v/>
      </c>
      <c r="E84" s="38">
        <f>IF($H84="","",IF($H84=1,INDEX(입금_은행1!$AA$8:$AA$2007,$I84),INDEX(입금_은행2!$AA$8:$AA$2007,$I84)))</f>
        <v/>
      </c>
      <c r="F84" s="38">
        <f>IF($H84="","","거래처 입금이면 별칭 등록")</f>
        <v/>
      </c>
      <c r="H84" s="31">
        <f>IF(78&lt;=MAX(입금_은행1!$AD$8:$AD$2007),1,IF(78-MAX(입금_은행1!$AD$8:$AD$2007)&lt;=MAX(입금_은행2!$AD$8:$AD$2007),2,""))</f>
        <v/>
      </c>
      <c r="I84" s="31">
        <f>IF($H84="","",IF($H84=1,MATCH(78,입금_은행1!$AD$8:$AD$2007,0),MATCH(78-MAX(입금_은행1!$AD$8:$AD$2007),입금_은행2!$AD$8:$AD$2007,0)))</f>
        <v/>
      </c>
    </row>
    <row r="85">
      <c r="A85" s="38">
        <f>IF($H85="","",79)</f>
        <v/>
      </c>
      <c r="B85" s="38">
        <f>IF($H85="","",IF($H85=1,입금_은행1!$A$5,입금_은행2!$A$5))</f>
        <v/>
      </c>
      <c r="C85" s="40">
        <f>IF($H85="","",IF($H85=1,INDEX(입금_은행1!$Y$8:$Y$2007,$I85),INDEX(입금_은행2!$Y$8:$Y$2007,$I85)))</f>
        <v/>
      </c>
      <c r="D85" s="44">
        <f>IF($H85="","",IF($H85=1,INDEX(입금_은행1!$Z$8:$Z$2007,$I85),INDEX(입금_은행2!$Z$8:$Z$2007,$I85)))</f>
        <v/>
      </c>
      <c r="E85" s="38">
        <f>IF($H85="","",IF($H85=1,INDEX(입금_은행1!$AA$8:$AA$2007,$I85),INDEX(입금_은행2!$AA$8:$AA$2007,$I85)))</f>
        <v/>
      </c>
      <c r="F85" s="38">
        <f>IF($H85="","","거래처 입금이면 별칭 등록")</f>
        <v/>
      </c>
      <c r="H85" s="31">
        <f>IF(79&lt;=MAX(입금_은행1!$AD$8:$AD$2007),1,IF(79-MAX(입금_은행1!$AD$8:$AD$2007)&lt;=MAX(입금_은행2!$AD$8:$AD$2007),2,""))</f>
        <v/>
      </c>
      <c r="I85" s="31">
        <f>IF($H85="","",IF($H85=1,MATCH(79,입금_은행1!$AD$8:$AD$2007,0),MATCH(79-MAX(입금_은행1!$AD$8:$AD$2007),입금_은행2!$AD$8:$AD$2007,0)))</f>
        <v/>
      </c>
    </row>
    <row r="86">
      <c r="A86" s="38">
        <f>IF($H86="","",80)</f>
        <v/>
      </c>
      <c r="B86" s="38">
        <f>IF($H86="","",IF($H86=1,입금_은행1!$A$5,입금_은행2!$A$5))</f>
        <v/>
      </c>
      <c r="C86" s="40">
        <f>IF($H86="","",IF($H86=1,INDEX(입금_은행1!$Y$8:$Y$2007,$I86),INDEX(입금_은행2!$Y$8:$Y$2007,$I86)))</f>
        <v/>
      </c>
      <c r="D86" s="44">
        <f>IF($H86="","",IF($H86=1,INDEX(입금_은행1!$Z$8:$Z$2007,$I86),INDEX(입금_은행2!$Z$8:$Z$2007,$I86)))</f>
        <v/>
      </c>
      <c r="E86" s="38">
        <f>IF($H86="","",IF($H86=1,INDEX(입금_은행1!$AA$8:$AA$2007,$I86),INDEX(입금_은행2!$AA$8:$AA$2007,$I86)))</f>
        <v/>
      </c>
      <c r="F86" s="38">
        <f>IF($H86="","","거래처 입금이면 별칭 등록")</f>
        <v/>
      </c>
      <c r="H86" s="31">
        <f>IF(80&lt;=MAX(입금_은행1!$AD$8:$AD$2007),1,IF(80-MAX(입금_은행1!$AD$8:$AD$2007)&lt;=MAX(입금_은행2!$AD$8:$AD$2007),2,""))</f>
        <v/>
      </c>
      <c r="I86" s="31">
        <f>IF($H86="","",IF($H86=1,MATCH(80,입금_은행1!$AD$8:$AD$2007,0),MATCH(80-MAX(입금_은행1!$AD$8:$AD$2007),입금_은행2!$AD$8:$AD$2007,0)))</f>
        <v/>
      </c>
    </row>
    <row r="87">
      <c r="A87" s="38">
        <f>IF($H87="","",81)</f>
        <v/>
      </c>
      <c r="B87" s="38">
        <f>IF($H87="","",IF($H87=1,입금_은행1!$A$5,입금_은행2!$A$5))</f>
        <v/>
      </c>
      <c r="C87" s="40">
        <f>IF($H87="","",IF($H87=1,INDEX(입금_은행1!$Y$8:$Y$2007,$I87),INDEX(입금_은행2!$Y$8:$Y$2007,$I87)))</f>
        <v/>
      </c>
      <c r="D87" s="44">
        <f>IF($H87="","",IF($H87=1,INDEX(입금_은행1!$Z$8:$Z$2007,$I87),INDEX(입금_은행2!$Z$8:$Z$2007,$I87)))</f>
        <v/>
      </c>
      <c r="E87" s="38">
        <f>IF($H87="","",IF($H87=1,INDEX(입금_은행1!$AA$8:$AA$2007,$I87),INDEX(입금_은행2!$AA$8:$AA$2007,$I87)))</f>
        <v/>
      </c>
      <c r="F87" s="38">
        <f>IF($H87="","","거래처 입금이면 별칭 등록")</f>
        <v/>
      </c>
      <c r="H87" s="31">
        <f>IF(81&lt;=MAX(입금_은행1!$AD$8:$AD$2007),1,IF(81-MAX(입금_은행1!$AD$8:$AD$2007)&lt;=MAX(입금_은행2!$AD$8:$AD$2007),2,""))</f>
        <v/>
      </c>
      <c r="I87" s="31">
        <f>IF($H87="","",IF($H87=1,MATCH(81,입금_은행1!$AD$8:$AD$2007,0),MATCH(81-MAX(입금_은행1!$AD$8:$AD$2007),입금_은행2!$AD$8:$AD$2007,0)))</f>
        <v/>
      </c>
    </row>
    <row r="88">
      <c r="A88" s="38">
        <f>IF($H88="","",82)</f>
        <v/>
      </c>
      <c r="B88" s="38">
        <f>IF($H88="","",IF($H88=1,입금_은행1!$A$5,입금_은행2!$A$5))</f>
        <v/>
      </c>
      <c r="C88" s="40">
        <f>IF($H88="","",IF($H88=1,INDEX(입금_은행1!$Y$8:$Y$2007,$I88),INDEX(입금_은행2!$Y$8:$Y$2007,$I88)))</f>
        <v/>
      </c>
      <c r="D88" s="44">
        <f>IF($H88="","",IF($H88=1,INDEX(입금_은행1!$Z$8:$Z$2007,$I88),INDEX(입금_은행2!$Z$8:$Z$2007,$I88)))</f>
        <v/>
      </c>
      <c r="E88" s="38">
        <f>IF($H88="","",IF($H88=1,INDEX(입금_은행1!$AA$8:$AA$2007,$I88),INDEX(입금_은행2!$AA$8:$AA$2007,$I88)))</f>
        <v/>
      </c>
      <c r="F88" s="38">
        <f>IF($H88="","","거래처 입금이면 별칭 등록")</f>
        <v/>
      </c>
      <c r="H88" s="31">
        <f>IF(82&lt;=MAX(입금_은행1!$AD$8:$AD$2007),1,IF(82-MAX(입금_은행1!$AD$8:$AD$2007)&lt;=MAX(입금_은행2!$AD$8:$AD$2007),2,""))</f>
        <v/>
      </c>
      <c r="I88" s="31">
        <f>IF($H88="","",IF($H88=1,MATCH(82,입금_은행1!$AD$8:$AD$2007,0),MATCH(82-MAX(입금_은행1!$AD$8:$AD$2007),입금_은행2!$AD$8:$AD$2007,0)))</f>
        <v/>
      </c>
    </row>
    <row r="89">
      <c r="A89" s="38">
        <f>IF($H89="","",83)</f>
        <v/>
      </c>
      <c r="B89" s="38">
        <f>IF($H89="","",IF($H89=1,입금_은행1!$A$5,입금_은행2!$A$5))</f>
        <v/>
      </c>
      <c r="C89" s="40">
        <f>IF($H89="","",IF($H89=1,INDEX(입금_은행1!$Y$8:$Y$2007,$I89),INDEX(입금_은행2!$Y$8:$Y$2007,$I89)))</f>
        <v/>
      </c>
      <c r="D89" s="44">
        <f>IF($H89="","",IF($H89=1,INDEX(입금_은행1!$Z$8:$Z$2007,$I89),INDEX(입금_은행2!$Z$8:$Z$2007,$I89)))</f>
        <v/>
      </c>
      <c r="E89" s="38">
        <f>IF($H89="","",IF($H89=1,INDEX(입금_은행1!$AA$8:$AA$2007,$I89),INDEX(입금_은행2!$AA$8:$AA$2007,$I89)))</f>
        <v/>
      </c>
      <c r="F89" s="38">
        <f>IF($H89="","","거래처 입금이면 별칭 등록")</f>
        <v/>
      </c>
      <c r="H89" s="31">
        <f>IF(83&lt;=MAX(입금_은행1!$AD$8:$AD$2007),1,IF(83-MAX(입금_은행1!$AD$8:$AD$2007)&lt;=MAX(입금_은행2!$AD$8:$AD$2007),2,""))</f>
        <v/>
      </c>
      <c r="I89" s="31">
        <f>IF($H89="","",IF($H89=1,MATCH(83,입금_은행1!$AD$8:$AD$2007,0),MATCH(83-MAX(입금_은행1!$AD$8:$AD$2007),입금_은행2!$AD$8:$AD$2007,0)))</f>
        <v/>
      </c>
    </row>
    <row r="90">
      <c r="A90" s="38">
        <f>IF($H90="","",84)</f>
        <v/>
      </c>
      <c r="B90" s="38">
        <f>IF($H90="","",IF($H90=1,입금_은행1!$A$5,입금_은행2!$A$5))</f>
        <v/>
      </c>
      <c r="C90" s="40">
        <f>IF($H90="","",IF($H90=1,INDEX(입금_은행1!$Y$8:$Y$2007,$I90),INDEX(입금_은행2!$Y$8:$Y$2007,$I90)))</f>
        <v/>
      </c>
      <c r="D90" s="44">
        <f>IF($H90="","",IF($H90=1,INDEX(입금_은행1!$Z$8:$Z$2007,$I90),INDEX(입금_은행2!$Z$8:$Z$2007,$I90)))</f>
        <v/>
      </c>
      <c r="E90" s="38">
        <f>IF($H90="","",IF($H90=1,INDEX(입금_은행1!$AA$8:$AA$2007,$I90),INDEX(입금_은행2!$AA$8:$AA$2007,$I90)))</f>
        <v/>
      </c>
      <c r="F90" s="38">
        <f>IF($H90="","","거래처 입금이면 별칭 등록")</f>
        <v/>
      </c>
      <c r="H90" s="31">
        <f>IF(84&lt;=MAX(입금_은행1!$AD$8:$AD$2007),1,IF(84-MAX(입금_은행1!$AD$8:$AD$2007)&lt;=MAX(입금_은행2!$AD$8:$AD$2007),2,""))</f>
        <v/>
      </c>
      <c r="I90" s="31">
        <f>IF($H90="","",IF($H90=1,MATCH(84,입금_은행1!$AD$8:$AD$2007,0),MATCH(84-MAX(입금_은행1!$AD$8:$AD$2007),입금_은행2!$AD$8:$AD$2007,0)))</f>
        <v/>
      </c>
    </row>
    <row r="91">
      <c r="A91" s="38">
        <f>IF($H91="","",85)</f>
        <v/>
      </c>
      <c r="B91" s="38">
        <f>IF($H91="","",IF($H91=1,입금_은행1!$A$5,입금_은행2!$A$5))</f>
        <v/>
      </c>
      <c r="C91" s="40">
        <f>IF($H91="","",IF($H91=1,INDEX(입금_은행1!$Y$8:$Y$2007,$I91),INDEX(입금_은행2!$Y$8:$Y$2007,$I91)))</f>
        <v/>
      </c>
      <c r="D91" s="44">
        <f>IF($H91="","",IF($H91=1,INDEX(입금_은행1!$Z$8:$Z$2007,$I91),INDEX(입금_은행2!$Z$8:$Z$2007,$I91)))</f>
        <v/>
      </c>
      <c r="E91" s="38">
        <f>IF($H91="","",IF($H91=1,INDEX(입금_은행1!$AA$8:$AA$2007,$I91),INDEX(입금_은행2!$AA$8:$AA$2007,$I91)))</f>
        <v/>
      </c>
      <c r="F91" s="38">
        <f>IF($H91="","","거래처 입금이면 별칭 등록")</f>
        <v/>
      </c>
      <c r="H91" s="31">
        <f>IF(85&lt;=MAX(입금_은행1!$AD$8:$AD$2007),1,IF(85-MAX(입금_은행1!$AD$8:$AD$2007)&lt;=MAX(입금_은행2!$AD$8:$AD$2007),2,""))</f>
        <v/>
      </c>
      <c r="I91" s="31">
        <f>IF($H91="","",IF($H91=1,MATCH(85,입금_은행1!$AD$8:$AD$2007,0),MATCH(85-MAX(입금_은행1!$AD$8:$AD$2007),입금_은행2!$AD$8:$AD$2007,0)))</f>
        <v/>
      </c>
    </row>
    <row r="92">
      <c r="A92" s="38">
        <f>IF($H92="","",86)</f>
        <v/>
      </c>
      <c r="B92" s="38">
        <f>IF($H92="","",IF($H92=1,입금_은행1!$A$5,입금_은행2!$A$5))</f>
        <v/>
      </c>
      <c r="C92" s="40">
        <f>IF($H92="","",IF($H92=1,INDEX(입금_은행1!$Y$8:$Y$2007,$I92),INDEX(입금_은행2!$Y$8:$Y$2007,$I92)))</f>
        <v/>
      </c>
      <c r="D92" s="44">
        <f>IF($H92="","",IF($H92=1,INDEX(입금_은행1!$Z$8:$Z$2007,$I92),INDEX(입금_은행2!$Z$8:$Z$2007,$I92)))</f>
        <v/>
      </c>
      <c r="E92" s="38">
        <f>IF($H92="","",IF($H92=1,INDEX(입금_은행1!$AA$8:$AA$2007,$I92),INDEX(입금_은행2!$AA$8:$AA$2007,$I92)))</f>
        <v/>
      </c>
      <c r="F92" s="38">
        <f>IF($H92="","","거래처 입금이면 별칭 등록")</f>
        <v/>
      </c>
      <c r="H92" s="31">
        <f>IF(86&lt;=MAX(입금_은행1!$AD$8:$AD$2007),1,IF(86-MAX(입금_은행1!$AD$8:$AD$2007)&lt;=MAX(입금_은행2!$AD$8:$AD$2007),2,""))</f>
        <v/>
      </c>
      <c r="I92" s="31">
        <f>IF($H92="","",IF($H92=1,MATCH(86,입금_은행1!$AD$8:$AD$2007,0),MATCH(86-MAX(입금_은행1!$AD$8:$AD$2007),입금_은행2!$AD$8:$AD$2007,0)))</f>
        <v/>
      </c>
    </row>
    <row r="93">
      <c r="A93" s="38">
        <f>IF($H93="","",87)</f>
        <v/>
      </c>
      <c r="B93" s="38">
        <f>IF($H93="","",IF($H93=1,입금_은행1!$A$5,입금_은행2!$A$5))</f>
        <v/>
      </c>
      <c r="C93" s="40">
        <f>IF($H93="","",IF($H93=1,INDEX(입금_은행1!$Y$8:$Y$2007,$I93),INDEX(입금_은행2!$Y$8:$Y$2007,$I93)))</f>
        <v/>
      </c>
      <c r="D93" s="44">
        <f>IF($H93="","",IF($H93=1,INDEX(입금_은행1!$Z$8:$Z$2007,$I93),INDEX(입금_은행2!$Z$8:$Z$2007,$I93)))</f>
        <v/>
      </c>
      <c r="E93" s="38">
        <f>IF($H93="","",IF($H93=1,INDEX(입금_은행1!$AA$8:$AA$2007,$I93),INDEX(입금_은행2!$AA$8:$AA$2007,$I93)))</f>
        <v/>
      </c>
      <c r="F93" s="38">
        <f>IF($H93="","","거래처 입금이면 별칭 등록")</f>
        <v/>
      </c>
      <c r="H93" s="31">
        <f>IF(87&lt;=MAX(입금_은행1!$AD$8:$AD$2007),1,IF(87-MAX(입금_은행1!$AD$8:$AD$2007)&lt;=MAX(입금_은행2!$AD$8:$AD$2007),2,""))</f>
        <v/>
      </c>
      <c r="I93" s="31">
        <f>IF($H93="","",IF($H93=1,MATCH(87,입금_은행1!$AD$8:$AD$2007,0),MATCH(87-MAX(입금_은행1!$AD$8:$AD$2007),입금_은행2!$AD$8:$AD$2007,0)))</f>
        <v/>
      </c>
    </row>
    <row r="94">
      <c r="A94" s="38">
        <f>IF($H94="","",88)</f>
        <v/>
      </c>
      <c r="B94" s="38">
        <f>IF($H94="","",IF($H94=1,입금_은행1!$A$5,입금_은행2!$A$5))</f>
        <v/>
      </c>
      <c r="C94" s="40">
        <f>IF($H94="","",IF($H94=1,INDEX(입금_은행1!$Y$8:$Y$2007,$I94),INDEX(입금_은행2!$Y$8:$Y$2007,$I94)))</f>
        <v/>
      </c>
      <c r="D94" s="44">
        <f>IF($H94="","",IF($H94=1,INDEX(입금_은행1!$Z$8:$Z$2007,$I94),INDEX(입금_은행2!$Z$8:$Z$2007,$I94)))</f>
        <v/>
      </c>
      <c r="E94" s="38">
        <f>IF($H94="","",IF($H94=1,INDEX(입금_은행1!$AA$8:$AA$2007,$I94),INDEX(입금_은행2!$AA$8:$AA$2007,$I94)))</f>
        <v/>
      </c>
      <c r="F94" s="38">
        <f>IF($H94="","","거래처 입금이면 별칭 등록")</f>
        <v/>
      </c>
      <c r="H94" s="31">
        <f>IF(88&lt;=MAX(입금_은행1!$AD$8:$AD$2007),1,IF(88-MAX(입금_은행1!$AD$8:$AD$2007)&lt;=MAX(입금_은행2!$AD$8:$AD$2007),2,""))</f>
        <v/>
      </c>
      <c r="I94" s="31">
        <f>IF($H94="","",IF($H94=1,MATCH(88,입금_은행1!$AD$8:$AD$2007,0),MATCH(88-MAX(입금_은행1!$AD$8:$AD$2007),입금_은행2!$AD$8:$AD$2007,0)))</f>
        <v/>
      </c>
    </row>
    <row r="95">
      <c r="A95" s="38">
        <f>IF($H95="","",89)</f>
        <v/>
      </c>
      <c r="B95" s="38">
        <f>IF($H95="","",IF($H95=1,입금_은행1!$A$5,입금_은행2!$A$5))</f>
        <v/>
      </c>
      <c r="C95" s="40">
        <f>IF($H95="","",IF($H95=1,INDEX(입금_은행1!$Y$8:$Y$2007,$I95),INDEX(입금_은행2!$Y$8:$Y$2007,$I95)))</f>
        <v/>
      </c>
      <c r="D95" s="44">
        <f>IF($H95="","",IF($H95=1,INDEX(입금_은행1!$Z$8:$Z$2007,$I95),INDEX(입금_은행2!$Z$8:$Z$2007,$I95)))</f>
        <v/>
      </c>
      <c r="E95" s="38">
        <f>IF($H95="","",IF($H95=1,INDEX(입금_은행1!$AA$8:$AA$2007,$I95),INDEX(입금_은행2!$AA$8:$AA$2007,$I95)))</f>
        <v/>
      </c>
      <c r="F95" s="38">
        <f>IF($H95="","","거래처 입금이면 별칭 등록")</f>
        <v/>
      </c>
      <c r="H95" s="31">
        <f>IF(89&lt;=MAX(입금_은행1!$AD$8:$AD$2007),1,IF(89-MAX(입금_은행1!$AD$8:$AD$2007)&lt;=MAX(입금_은행2!$AD$8:$AD$2007),2,""))</f>
        <v/>
      </c>
      <c r="I95" s="31">
        <f>IF($H95="","",IF($H95=1,MATCH(89,입금_은행1!$AD$8:$AD$2007,0),MATCH(89-MAX(입금_은행1!$AD$8:$AD$2007),입금_은행2!$AD$8:$AD$2007,0)))</f>
        <v/>
      </c>
    </row>
    <row r="96">
      <c r="A96" s="38">
        <f>IF($H96="","",90)</f>
        <v/>
      </c>
      <c r="B96" s="38">
        <f>IF($H96="","",IF($H96=1,입금_은행1!$A$5,입금_은행2!$A$5))</f>
        <v/>
      </c>
      <c r="C96" s="40">
        <f>IF($H96="","",IF($H96=1,INDEX(입금_은행1!$Y$8:$Y$2007,$I96),INDEX(입금_은행2!$Y$8:$Y$2007,$I96)))</f>
        <v/>
      </c>
      <c r="D96" s="44">
        <f>IF($H96="","",IF($H96=1,INDEX(입금_은행1!$Z$8:$Z$2007,$I96),INDEX(입금_은행2!$Z$8:$Z$2007,$I96)))</f>
        <v/>
      </c>
      <c r="E96" s="38">
        <f>IF($H96="","",IF($H96=1,INDEX(입금_은행1!$AA$8:$AA$2007,$I96),INDEX(입금_은행2!$AA$8:$AA$2007,$I96)))</f>
        <v/>
      </c>
      <c r="F96" s="38">
        <f>IF($H96="","","거래처 입금이면 별칭 등록")</f>
        <v/>
      </c>
      <c r="H96" s="31">
        <f>IF(90&lt;=MAX(입금_은행1!$AD$8:$AD$2007),1,IF(90-MAX(입금_은행1!$AD$8:$AD$2007)&lt;=MAX(입금_은행2!$AD$8:$AD$2007),2,""))</f>
        <v/>
      </c>
      <c r="I96" s="31">
        <f>IF($H96="","",IF($H96=1,MATCH(90,입금_은행1!$AD$8:$AD$2007,0),MATCH(90-MAX(입금_은행1!$AD$8:$AD$2007),입금_은행2!$AD$8:$AD$2007,0)))</f>
        <v/>
      </c>
    </row>
    <row r="97">
      <c r="A97" s="38">
        <f>IF($H97="","",91)</f>
        <v/>
      </c>
      <c r="B97" s="38">
        <f>IF($H97="","",IF($H97=1,입금_은행1!$A$5,입금_은행2!$A$5))</f>
        <v/>
      </c>
      <c r="C97" s="40">
        <f>IF($H97="","",IF($H97=1,INDEX(입금_은행1!$Y$8:$Y$2007,$I97),INDEX(입금_은행2!$Y$8:$Y$2007,$I97)))</f>
        <v/>
      </c>
      <c r="D97" s="44">
        <f>IF($H97="","",IF($H97=1,INDEX(입금_은행1!$Z$8:$Z$2007,$I97),INDEX(입금_은행2!$Z$8:$Z$2007,$I97)))</f>
        <v/>
      </c>
      <c r="E97" s="38">
        <f>IF($H97="","",IF($H97=1,INDEX(입금_은행1!$AA$8:$AA$2007,$I97),INDEX(입금_은행2!$AA$8:$AA$2007,$I97)))</f>
        <v/>
      </c>
      <c r="F97" s="38">
        <f>IF($H97="","","거래처 입금이면 별칭 등록")</f>
        <v/>
      </c>
      <c r="H97" s="31">
        <f>IF(91&lt;=MAX(입금_은행1!$AD$8:$AD$2007),1,IF(91-MAX(입금_은행1!$AD$8:$AD$2007)&lt;=MAX(입금_은행2!$AD$8:$AD$2007),2,""))</f>
        <v/>
      </c>
      <c r="I97" s="31">
        <f>IF($H97="","",IF($H97=1,MATCH(91,입금_은행1!$AD$8:$AD$2007,0),MATCH(91-MAX(입금_은행1!$AD$8:$AD$2007),입금_은행2!$AD$8:$AD$2007,0)))</f>
        <v/>
      </c>
    </row>
    <row r="98">
      <c r="A98" s="38">
        <f>IF($H98="","",92)</f>
        <v/>
      </c>
      <c r="B98" s="38">
        <f>IF($H98="","",IF($H98=1,입금_은행1!$A$5,입금_은행2!$A$5))</f>
        <v/>
      </c>
      <c r="C98" s="40">
        <f>IF($H98="","",IF($H98=1,INDEX(입금_은행1!$Y$8:$Y$2007,$I98),INDEX(입금_은행2!$Y$8:$Y$2007,$I98)))</f>
        <v/>
      </c>
      <c r="D98" s="44">
        <f>IF($H98="","",IF($H98=1,INDEX(입금_은행1!$Z$8:$Z$2007,$I98),INDEX(입금_은행2!$Z$8:$Z$2007,$I98)))</f>
        <v/>
      </c>
      <c r="E98" s="38">
        <f>IF($H98="","",IF($H98=1,INDEX(입금_은행1!$AA$8:$AA$2007,$I98),INDEX(입금_은행2!$AA$8:$AA$2007,$I98)))</f>
        <v/>
      </c>
      <c r="F98" s="38">
        <f>IF($H98="","","거래처 입금이면 별칭 등록")</f>
        <v/>
      </c>
      <c r="H98" s="31">
        <f>IF(92&lt;=MAX(입금_은행1!$AD$8:$AD$2007),1,IF(92-MAX(입금_은행1!$AD$8:$AD$2007)&lt;=MAX(입금_은행2!$AD$8:$AD$2007),2,""))</f>
        <v/>
      </c>
      <c r="I98" s="31">
        <f>IF($H98="","",IF($H98=1,MATCH(92,입금_은행1!$AD$8:$AD$2007,0),MATCH(92-MAX(입금_은행1!$AD$8:$AD$2007),입금_은행2!$AD$8:$AD$2007,0)))</f>
        <v/>
      </c>
    </row>
    <row r="99">
      <c r="A99" s="38">
        <f>IF($H99="","",93)</f>
        <v/>
      </c>
      <c r="B99" s="38">
        <f>IF($H99="","",IF($H99=1,입금_은행1!$A$5,입금_은행2!$A$5))</f>
        <v/>
      </c>
      <c r="C99" s="40">
        <f>IF($H99="","",IF($H99=1,INDEX(입금_은행1!$Y$8:$Y$2007,$I99),INDEX(입금_은행2!$Y$8:$Y$2007,$I99)))</f>
        <v/>
      </c>
      <c r="D99" s="44">
        <f>IF($H99="","",IF($H99=1,INDEX(입금_은행1!$Z$8:$Z$2007,$I99),INDEX(입금_은행2!$Z$8:$Z$2007,$I99)))</f>
        <v/>
      </c>
      <c r="E99" s="38">
        <f>IF($H99="","",IF($H99=1,INDEX(입금_은행1!$AA$8:$AA$2007,$I99),INDEX(입금_은행2!$AA$8:$AA$2007,$I99)))</f>
        <v/>
      </c>
      <c r="F99" s="38">
        <f>IF($H99="","","거래처 입금이면 별칭 등록")</f>
        <v/>
      </c>
      <c r="H99" s="31">
        <f>IF(93&lt;=MAX(입금_은행1!$AD$8:$AD$2007),1,IF(93-MAX(입금_은행1!$AD$8:$AD$2007)&lt;=MAX(입금_은행2!$AD$8:$AD$2007),2,""))</f>
        <v/>
      </c>
      <c r="I99" s="31">
        <f>IF($H99="","",IF($H99=1,MATCH(93,입금_은행1!$AD$8:$AD$2007,0),MATCH(93-MAX(입금_은행1!$AD$8:$AD$2007),입금_은행2!$AD$8:$AD$2007,0)))</f>
        <v/>
      </c>
    </row>
    <row r="100">
      <c r="A100" s="38">
        <f>IF($H100="","",94)</f>
        <v/>
      </c>
      <c r="B100" s="38">
        <f>IF($H100="","",IF($H100=1,입금_은행1!$A$5,입금_은행2!$A$5))</f>
        <v/>
      </c>
      <c r="C100" s="40">
        <f>IF($H100="","",IF($H100=1,INDEX(입금_은행1!$Y$8:$Y$2007,$I100),INDEX(입금_은행2!$Y$8:$Y$2007,$I100)))</f>
        <v/>
      </c>
      <c r="D100" s="44">
        <f>IF($H100="","",IF($H100=1,INDEX(입금_은행1!$Z$8:$Z$2007,$I100),INDEX(입금_은행2!$Z$8:$Z$2007,$I100)))</f>
        <v/>
      </c>
      <c r="E100" s="38">
        <f>IF($H100="","",IF($H100=1,INDEX(입금_은행1!$AA$8:$AA$2007,$I100),INDEX(입금_은행2!$AA$8:$AA$2007,$I100)))</f>
        <v/>
      </c>
      <c r="F100" s="38">
        <f>IF($H100="","","거래처 입금이면 별칭 등록")</f>
        <v/>
      </c>
      <c r="H100" s="31">
        <f>IF(94&lt;=MAX(입금_은행1!$AD$8:$AD$2007),1,IF(94-MAX(입금_은행1!$AD$8:$AD$2007)&lt;=MAX(입금_은행2!$AD$8:$AD$2007),2,""))</f>
        <v/>
      </c>
      <c r="I100" s="31">
        <f>IF($H100="","",IF($H100=1,MATCH(94,입금_은행1!$AD$8:$AD$2007,0),MATCH(94-MAX(입금_은행1!$AD$8:$AD$2007),입금_은행2!$AD$8:$AD$2007,0)))</f>
        <v/>
      </c>
    </row>
    <row r="101">
      <c r="A101" s="38">
        <f>IF($H101="","",95)</f>
        <v/>
      </c>
      <c r="B101" s="38">
        <f>IF($H101="","",IF($H101=1,입금_은행1!$A$5,입금_은행2!$A$5))</f>
        <v/>
      </c>
      <c r="C101" s="40">
        <f>IF($H101="","",IF($H101=1,INDEX(입금_은행1!$Y$8:$Y$2007,$I101),INDEX(입금_은행2!$Y$8:$Y$2007,$I101)))</f>
        <v/>
      </c>
      <c r="D101" s="44">
        <f>IF($H101="","",IF($H101=1,INDEX(입금_은행1!$Z$8:$Z$2007,$I101),INDEX(입금_은행2!$Z$8:$Z$2007,$I101)))</f>
        <v/>
      </c>
      <c r="E101" s="38">
        <f>IF($H101="","",IF($H101=1,INDEX(입금_은행1!$AA$8:$AA$2007,$I101),INDEX(입금_은행2!$AA$8:$AA$2007,$I101)))</f>
        <v/>
      </c>
      <c r="F101" s="38">
        <f>IF($H101="","","거래처 입금이면 별칭 등록")</f>
        <v/>
      </c>
      <c r="H101" s="31">
        <f>IF(95&lt;=MAX(입금_은행1!$AD$8:$AD$2007),1,IF(95-MAX(입금_은행1!$AD$8:$AD$2007)&lt;=MAX(입금_은행2!$AD$8:$AD$2007),2,""))</f>
        <v/>
      </c>
      <c r="I101" s="31">
        <f>IF($H101="","",IF($H101=1,MATCH(95,입금_은행1!$AD$8:$AD$2007,0),MATCH(95-MAX(입금_은행1!$AD$8:$AD$2007),입금_은행2!$AD$8:$AD$2007,0)))</f>
        <v/>
      </c>
    </row>
    <row r="102">
      <c r="A102" s="38">
        <f>IF($H102="","",96)</f>
        <v/>
      </c>
      <c r="B102" s="38">
        <f>IF($H102="","",IF($H102=1,입금_은행1!$A$5,입금_은행2!$A$5))</f>
        <v/>
      </c>
      <c r="C102" s="40">
        <f>IF($H102="","",IF($H102=1,INDEX(입금_은행1!$Y$8:$Y$2007,$I102),INDEX(입금_은행2!$Y$8:$Y$2007,$I102)))</f>
        <v/>
      </c>
      <c r="D102" s="44">
        <f>IF($H102="","",IF($H102=1,INDEX(입금_은행1!$Z$8:$Z$2007,$I102),INDEX(입금_은행2!$Z$8:$Z$2007,$I102)))</f>
        <v/>
      </c>
      <c r="E102" s="38">
        <f>IF($H102="","",IF($H102=1,INDEX(입금_은행1!$AA$8:$AA$2007,$I102),INDEX(입금_은행2!$AA$8:$AA$2007,$I102)))</f>
        <v/>
      </c>
      <c r="F102" s="38">
        <f>IF($H102="","","거래처 입금이면 별칭 등록")</f>
        <v/>
      </c>
      <c r="H102" s="31">
        <f>IF(96&lt;=MAX(입금_은행1!$AD$8:$AD$2007),1,IF(96-MAX(입금_은행1!$AD$8:$AD$2007)&lt;=MAX(입금_은행2!$AD$8:$AD$2007),2,""))</f>
        <v/>
      </c>
      <c r="I102" s="31">
        <f>IF($H102="","",IF($H102=1,MATCH(96,입금_은행1!$AD$8:$AD$2007,0),MATCH(96-MAX(입금_은행1!$AD$8:$AD$2007),입금_은행2!$AD$8:$AD$2007,0)))</f>
        <v/>
      </c>
    </row>
    <row r="103">
      <c r="A103" s="38">
        <f>IF($H103="","",97)</f>
        <v/>
      </c>
      <c r="B103" s="38">
        <f>IF($H103="","",IF($H103=1,입금_은행1!$A$5,입금_은행2!$A$5))</f>
        <v/>
      </c>
      <c r="C103" s="40">
        <f>IF($H103="","",IF($H103=1,INDEX(입금_은행1!$Y$8:$Y$2007,$I103),INDEX(입금_은행2!$Y$8:$Y$2007,$I103)))</f>
        <v/>
      </c>
      <c r="D103" s="44">
        <f>IF($H103="","",IF($H103=1,INDEX(입금_은행1!$Z$8:$Z$2007,$I103),INDEX(입금_은행2!$Z$8:$Z$2007,$I103)))</f>
        <v/>
      </c>
      <c r="E103" s="38">
        <f>IF($H103="","",IF($H103=1,INDEX(입금_은행1!$AA$8:$AA$2007,$I103),INDEX(입금_은행2!$AA$8:$AA$2007,$I103)))</f>
        <v/>
      </c>
      <c r="F103" s="38">
        <f>IF($H103="","","거래처 입금이면 별칭 등록")</f>
        <v/>
      </c>
      <c r="H103" s="31">
        <f>IF(97&lt;=MAX(입금_은행1!$AD$8:$AD$2007),1,IF(97-MAX(입금_은행1!$AD$8:$AD$2007)&lt;=MAX(입금_은행2!$AD$8:$AD$2007),2,""))</f>
        <v/>
      </c>
      <c r="I103" s="31">
        <f>IF($H103="","",IF($H103=1,MATCH(97,입금_은행1!$AD$8:$AD$2007,0),MATCH(97-MAX(입금_은행1!$AD$8:$AD$2007),입금_은행2!$AD$8:$AD$2007,0)))</f>
        <v/>
      </c>
    </row>
    <row r="104">
      <c r="A104" s="38">
        <f>IF($H104="","",98)</f>
        <v/>
      </c>
      <c r="B104" s="38">
        <f>IF($H104="","",IF($H104=1,입금_은행1!$A$5,입금_은행2!$A$5))</f>
        <v/>
      </c>
      <c r="C104" s="40">
        <f>IF($H104="","",IF($H104=1,INDEX(입금_은행1!$Y$8:$Y$2007,$I104),INDEX(입금_은행2!$Y$8:$Y$2007,$I104)))</f>
        <v/>
      </c>
      <c r="D104" s="44">
        <f>IF($H104="","",IF($H104=1,INDEX(입금_은행1!$Z$8:$Z$2007,$I104),INDEX(입금_은행2!$Z$8:$Z$2007,$I104)))</f>
        <v/>
      </c>
      <c r="E104" s="38">
        <f>IF($H104="","",IF($H104=1,INDEX(입금_은행1!$AA$8:$AA$2007,$I104),INDEX(입금_은행2!$AA$8:$AA$2007,$I104)))</f>
        <v/>
      </c>
      <c r="F104" s="38">
        <f>IF($H104="","","거래처 입금이면 별칭 등록")</f>
        <v/>
      </c>
      <c r="H104" s="31">
        <f>IF(98&lt;=MAX(입금_은행1!$AD$8:$AD$2007),1,IF(98-MAX(입금_은행1!$AD$8:$AD$2007)&lt;=MAX(입금_은행2!$AD$8:$AD$2007),2,""))</f>
        <v/>
      </c>
      <c r="I104" s="31">
        <f>IF($H104="","",IF($H104=1,MATCH(98,입금_은행1!$AD$8:$AD$2007,0),MATCH(98-MAX(입금_은행1!$AD$8:$AD$2007),입금_은행2!$AD$8:$AD$2007,0)))</f>
        <v/>
      </c>
    </row>
    <row r="105">
      <c r="A105" s="38">
        <f>IF($H105="","",99)</f>
        <v/>
      </c>
      <c r="B105" s="38">
        <f>IF($H105="","",IF($H105=1,입금_은행1!$A$5,입금_은행2!$A$5))</f>
        <v/>
      </c>
      <c r="C105" s="40">
        <f>IF($H105="","",IF($H105=1,INDEX(입금_은행1!$Y$8:$Y$2007,$I105),INDEX(입금_은행2!$Y$8:$Y$2007,$I105)))</f>
        <v/>
      </c>
      <c r="D105" s="44">
        <f>IF($H105="","",IF($H105=1,INDEX(입금_은행1!$Z$8:$Z$2007,$I105),INDEX(입금_은행2!$Z$8:$Z$2007,$I105)))</f>
        <v/>
      </c>
      <c r="E105" s="38">
        <f>IF($H105="","",IF($H105=1,INDEX(입금_은행1!$AA$8:$AA$2007,$I105),INDEX(입금_은행2!$AA$8:$AA$2007,$I105)))</f>
        <v/>
      </c>
      <c r="F105" s="38">
        <f>IF($H105="","","거래처 입금이면 별칭 등록")</f>
        <v/>
      </c>
      <c r="H105" s="31">
        <f>IF(99&lt;=MAX(입금_은행1!$AD$8:$AD$2007),1,IF(99-MAX(입금_은행1!$AD$8:$AD$2007)&lt;=MAX(입금_은행2!$AD$8:$AD$2007),2,""))</f>
        <v/>
      </c>
      <c r="I105" s="31">
        <f>IF($H105="","",IF($H105=1,MATCH(99,입금_은행1!$AD$8:$AD$2007,0),MATCH(99-MAX(입금_은행1!$AD$8:$AD$2007),입금_은행2!$AD$8:$AD$2007,0)))</f>
        <v/>
      </c>
    </row>
    <row r="106">
      <c r="A106" s="38">
        <f>IF($H106="","",100)</f>
        <v/>
      </c>
      <c r="B106" s="38">
        <f>IF($H106="","",IF($H106=1,입금_은행1!$A$5,입금_은행2!$A$5))</f>
        <v/>
      </c>
      <c r="C106" s="40">
        <f>IF($H106="","",IF($H106=1,INDEX(입금_은행1!$Y$8:$Y$2007,$I106),INDEX(입금_은행2!$Y$8:$Y$2007,$I106)))</f>
        <v/>
      </c>
      <c r="D106" s="44">
        <f>IF($H106="","",IF($H106=1,INDEX(입금_은행1!$Z$8:$Z$2007,$I106),INDEX(입금_은행2!$Z$8:$Z$2007,$I106)))</f>
        <v/>
      </c>
      <c r="E106" s="38">
        <f>IF($H106="","",IF($H106=1,INDEX(입금_은행1!$AA$8:$AA$2007,$I106),INDEX(입금_은행2!$AA$8:$AA$2007,$I106)))</f>
        <v/>
      </c>
      <c r="F106" s="38">
        <f>IF($H106="","","거래처 입금이면 별칭 등록")</f>
        <v/>
      </c>
      <c r="H106" s="31">
        <f>IF(100&lt;=MAX(입금_은행1!$AD$8:$AD$2007),1,IF(100-MAX(입금_은행1!$AD$8:$AD$2007)&lt;=MAX(입금_은행2!$AD$8:$AD$2007),2,""))</f>
        <v/>
      </c>
      <c r="I106" s="31">
        <f>IF($H106="","",IF($H106=1,MATCH(100,입금_은행1!$AD$8:$AD$2007,0),MATCH(100-MAX(입금_은행1!$AD$8:$AD$2007),입금_은행2!$AD$8:$AD$2007,0)))</f>
        <v/>
      </c>
    </row>
    <row r="107">
      <c r="A107" s="38">
        <f>IF($H107="","",101)</f>
        <v/>
      </c>
      <c r="B107" s="38">
        <f>IF($H107="","",IF($H107=1,입금_은행1!$A$5,입금_은행2!$A$5))</f>
        <v/>
      </c>
      <c r="C107" s="40">
        <f>IF($H107="","",IF($H107=1,INDEX(입금_은행1!$Y$8:$Y$2007,$I107),INDEX(입금_은행2!$Y$8:$Y$2007,$I107)))</f>
        <v/>
      </c>
      <c r="D107" s="44">
        <f>IF($H107="","",IF($H107=1,INDEX(입금_은행1!$Z$8:$Z$2007,$I107),INDEX(입금_은행2!$Z$8:$Z$2007,$I107)))</f>
        <v/>
      </c>
      <c r="E107" s="38">
        <f>IF($H107="","",IF($H107=1,INDEX(입금_은행1!$AA$8:$AA$2007,$I107),INDEX(입금_은행2!$AA$8:$AA$2007,$I107)))</f>
        <v/>
      </c>
      <c r="F107" s="38">
        <f>IF($H107="","","거래처 입금이면 별칭 등록")</f>
        <v/>
      </c>
      <c r="H107" s="31">
        <f>IF(101&lt;=MAX(입금_은행1!$AD$8:$AD$2007),1,IF(101-MAX(입금_은행1!$AD$8:$AD$2007)&lt;=MAX(입금_은행2!$AD$8:$AD$2007),2,""))</f>
        <v/>
      </c>
      <c r="I107" s="31">
        <f>IF($H107="","",IF($H107=1,MATCH(101,입금_은행1!$AD$8:$AD$2007,0),MATCH(101-MAX(입금_은행1!$AD$8:$AD$2007),입금_은행2!$AD$8:$AD$2007,0)))</f>
        <v/>
      </c>
    </row>
    <row r="108">
      <c r="A108" s="38">
        <f>IF($H108="","",102)</f>
        <v/>
      </c>
      <c r="B108" s="38">
        <f>IF($H108="","",IF($H108=1,입금_은행1!$A$5,입금_은행2!$A$5))</f>
        <v/>
      </c>
      <c r="C108" s="40">
        <f>IF($H108="","",IF($H108=1,INDEX(입금_은행1!$Y$8:$Y$2007,$I108),INDEX(입금_은행2!$Y$8:$Y$2007,$I108)))</f>
        <v/>
      </c>
      <c r="D108" s="44">
        <f>IF($H108="","",IF($H108=1,INDEX(입금_은행1!$Z$8:$Z$2007,$I108),INDEX(입금_은행2!$Z$8:$Z$2007,$I108)))</f>
        <v/>
      </c>
      <c r="E108" s="38">
        <f>IF($H108="","",IF($H108=1,INDEX(입금_은행1!$AA$8:$AA$2007,$I108),INDEX(입금_은행2!$AA$8:$AA$2007,$I108)))</f>
        <v/>
      </c>
      <c r="F108" s="38">
        <f>IF($H108="","","거래처 입금이면 별칭 등록")</f>
        <v/>
      </c>
      <c r="H108" s="31">
        <f>IF(102&lt;=MAX(입금_은행1!$AD$8:$AD$2007),1,IF(102-MAX(입금_은행1!$AD$8:$AD$2007)&lt;=MAX(입금_은행2!$AD$8:$AD$2007),2,""))</f>
        <v/>
      </c>
      <c r="I108" s="31">
        <f>IF($H108="","",IF($H108=1,MATCH(102,입금_은행1!$AD$8:$AD$2007,0),MATCH(102-MAX(입금_은행1!$AD$8:$AD$2007),입금_은행2!$AD$8:$AD$2007,0)))</f>
        <v/>
      </c>
    </row>
    <row r="109">
      <c r="A109" s="38">
        <f>IF($H109="","",103)</f>
        <v/>
      </c>
      <c r="B109" s="38">
        <f>IF($H109="","",IF($H109=1,입금_은행1!$A$5,입금_은행2!$A$5))</f>
        <v/>
      </c>
      <c r="C109" s="40">
        <f>IF($H109="","",IF($H109=1,INDEX(입금_은행1!$Y$8:$Y$2007,$I109),INDEX(입금_은행2!$Y$8:$Y$2007,$I109)))</f>
        <v/>
      </c>
      <c r="D109" s="44">
        <f>IF($H109="","",IF($H109=1,INDEX(입금_은행1!$Z$8:$Z$2007,$I109),INDEX(입금_은행2!$Z$8:$Z$2007,$I109)))</f>
        <v/>
      </c>
      <c r="E109" s="38">
        <f>IF($H109="","",IF($H109=1,INDEX(입금_은행1!$AA$8:$AA$2007,$I109),INDEX(입금_은행2!$AA$8:$AA$2007,$I109)))</f>
        <v/>
      </c>
      <c r="F109" s="38">
        <f>IF($H109="","","거래처 입금이면 별칭 등록")</f>
        <v/>
      </c>
      <c r="H109" s="31">
        <f>IF(103&lt;=MAX(입금_은행1!$AD$8:$AD$2007),1,IF(103-MAX(입금_은행1!$AD$8:$AD$2007)&lt;=MAX(입금_은행2!$AD$8:$AD$2007),2,""))</f>
        <v/>
      </c>
      <c r="I109" s="31">
        <f>IF($H109="","",IF($H109=1,MATCH(103,입금_은행1!$AD$8:$AD$2007,0),MATCH(103-MAX(입금_은행1!$AD$8:$AD$2007),입금_은행2!$AD$8:$AD$2007,0)))</f>
        <v/>
      </c>
    </row>
    <row r="110">
      <c r="A110" s="38">
        <f>IF($H110="","",104)</f>
        <v/>
      </c>
      <c r="B110" s="38">
        <f>IF($H110="","",IF($H110=1,입금_은행1!$A$5,입금_은행2!$A$5))</f>
        <v/>
      </c>
      <c r="C110" s="40">
        <f>IF($H110="","",IF($H110=1,INDEX(입금_은행1!$Y$8:$Y$2007,$I110),INDEX(입금_은행2!$Y$8:$Y$2007,$I110)))</f>
        <v/>
      </c>
      <c r="D110" s="44">
        <f>IF($H110="","",IF($H110=1,INDEX(입금_은행1!$Z$8:$Z$2007,$I110),INDEX(입금_은행2!$Z$8:$Z$2007,$I110)))</f>
        <v/>
      </c>
      <c r="E110" s="38">
        <f>IF($H110="","",IF($H110=1,INDEX(입금_은행1!$AA$8:$AA$2007,$I110),INDEX(입금_은행2!$AA$8:$AA$2007,$I110)))</f>
        <v/>
      </c>
      <c r="F110" s="38">
        <f>IF($H110="","","거래처 입금이면 별칭 등록")</f>
        <v/>
      </c>
      <c r="H110" s="31">
        <f>IF(104&lt;=MAX(입금_은행1!$AD$8:$AD$2007),1,IF(104-MAX(입금_은행1!$AD$8:$AD$2007)&lt;=MAX(입금_은행2!$AD$8:$AD$2007),2,""))</f>
        <v/>
      </c>
      <c r="I110" s="31">
        <f>IF($H110="","",IF($H110=1,MATCH(104,입금_은행1!$AD$8:$AD$2007,0),MATCH(104-MAX(입금_은행1!$AD$8:$AD$2007),입금_은행2!$AD$8:$AD$2007,0)))</f>
        <v/>
      </c>
    </row>
    <row r="111">
      <c r="A111" s="38">
        <f>IF($H111="","",105)</f>
        <v/>
      </c>
      <c r="B111" s="38">
        <f>IF($H111="","",IF($H111=1,입금_은행1!$A$5,입금_은행2!$A$5))</f>
        <v/>
      </c>
      <c r="C111" s="40">
        <f>IF($H111="","",IF($H111=1,INDEX(입금_은행1!$Y$8:$Y$2007,$I111),INDEX(입금_은행2!$Y$8:$Y$2007,$I111)))</f>
        <v/>
      </c>
      <c r="D111" s="44">
        <f>IF($H111="","",IF($H111=1,INDEX(입금_은행1!$Z$8:$Z$2007,$I111),INDEX(입금_은행2!$Z$8:$Z$2007,$I111)))</f>
        <v/>
      </c>
      <c r="E111" s="38">
        <f>IF($H111="","",IF($H111=1,INDEX(입금_은행1!$AA$8:$AA$2007,$I111),INDEX(입금_은행2!$AA$8:$AA$2007,$I111)))</f>
        <v/>
      </c>
      <c r="F111" s="38">
        <f>IF($H111="","","거래처 입금이면 별칭 등록")</f>
        <v/>
      </c>
      <c r="H111" s="31">
        <f>IF(105&lt;=MAX(입금_은행1!$AD$8:$AD$2007),1,IF(105-MAX(입금_은행1!$AD$8:$AD$2007)&lt;=MAX(입금_은행2!$AD$8:$AD$2007),2,""))</f>
        <v/>
      </c>
      <c r="I111" s="31">
        <f>IF($H111="","",IF($H111=1,MATCH(105,입금_은행1!$AD$8:$AD$2007,0),MATCH(105-MAX(입금_은행1!$AD$8:$AD$2007),입금_은행2!$AD$8:$AD$2007,0)))</f>
        <v/>
      </c>
    </row>
    <row r="112">
      <c r="A112" s="38">
        <f>IF($H112="","",106)</f>
        <v/>
      </c>
      <c r="B112" s="38">
        <f>IF($H112="","",IF($H112=1,입금_은행1!$A$5,입금_은행2!$A$5))</f>
        <v/>
      </c>
      <c r="C112" s="40">
        <f>IF($H112="","",IF($H112=1,INDEX(입금_은행1!$Y$8:$Y$2007,$I112),INDEX(입금_은행2!$Y$8:$Y$2007,$I112)))</f>
        <v/>
      </c>
      <c r="D112" s="44">
        <f>IF($H112="","",IF($H112=1,INDEX(입금_은행1!$Z$8:$Z$2007,$I112),INDEX(입금_은행2!$Z$8:$Z$2007,$I112)))</f>
        <v/>
      </c>
      <c r="E112" s="38">
        <f>IF($H112="","",IF($H112=1,INDEX(입금_은행1!$AA$8:$AA$2007,$I112),INDEX(입금_은행2!$AA$8:$AA$2007,$I112)))</f>
        <v/>
      </c>
      <c r="F112" s="38">
        <f>IF($H112="","","거래처 입금이면 별칭 등록")</f>
        <v/>
      </c>
      <c r="H112" s="31">
        <f>IF(106&lt;=MAX(입금_은행1!$AD$8:$AD$2007),1,IF(106-MAX(입금_은행1!$AD$8:$AD$2007)&lt;=MAX(입금_은행2!$AD$8:$AD$2007),2,""))</f>
        <v/>
      </c>
      <c r="I112" s="31">
        <f>IF($H112="","",IF($H112=1,MATCH(106,입금_은행1!$AD$8:$AD$2007,0),MATCH(106-MAX(입금_은행1!$AD$8:$AD$2007),입금_은행2!$AD$8:$AD$2007,0)))</f>
        <v/>
      </c>
    </row>
    <row r="113">
      <c r="A113" s="38">
        <f>IF($H113="","",107)</f>
        <v/>
      </c>
      <c r="B113" s="38">
        <f>IF($H113="","",IF($H113=1,입금_은행1!$A$5,입금_은행2!$A$5))</f>
        <v/>
      </c>
      <c r="C113" s="40">
        <f>IF($H113="","",IF($H113=1,INDEX(입금_은행1!$Y$8:$Y$2007,$I113),INDEX(입금_은행2!$Y$8:$Y$2007,$I113)))</f>
        <v/>
      </c>
      <c r="D113" s="44">
        <f>IF($H113="","",IF($H113=1,INDEX(입금_은행1!$Z$8:$Z$2007,$I113),INDEX(입금_은행2!$Z$8:$Z$2007,$I113)))</f>
        <v/>
      </c>
      <c r="E113" s="38">
        <f>IF($H113="","",IF($H113=1,INDEX(입금_은행1!$AA$8:$AA$2007,$I113),INDEX(입금_은행2!$AA$8:$AA$2007,$I113)))</f>
        <v/>
      </c>
      <c r="F113" s="38">
        <f>IF($H113="","","거래처 입금이면 별칭 등록")</f>
        <v/>
      </c>
      <c r="H113" s="31">
        <f>IF(107&lt;=MAX(입금_은행1!$AD$8:$AD$2007),1,IF(107-MAX(입금_은행1!$AD$8:$AD$2007)&lt;=MAX(입금_은행2!$AD$8:$AD$2007),2,""))</f>
        <v/>
      </c>
      <c r="I113" s="31">
        <f>IF($H113="","",IF($H113=1,MATCH(107,입금_은행1!$AD$8:$AD$2007,0),MATCH(107-MAX(입금_은행1!$AD$8:$AD$2007),입금_은행2!$AD$8:$AD$2007,0)))</f>
        <v/>
      </c>
    </row>
    <row r="114">
      <c r="A114" s="38">
        <f>IF($H114="","",108)</f>
        <v/>
      </c>
      <c r="B114" s="38">
        <f>IF($H114="","",IF($H114=1,입금_은행1!$A$5,입금_은행2!$A$5))</f>
        <v/>
      </c>
      <c r="C114" s="40">
        <f>IF($H114="","",IF($H114=1,INDEX(입금_은행1!$Y$8:$Y$2007,$I114),INDEX(입금_은행2!$Y$8:$Y$2007,$I114)))</f>
        <v/>
      </c>
      <c r="D114" s="44">
        <f>IF($H114="","",IF($H114=1,INDEX(입금_은행1!$Z$8:$Z$2007,$I114),INDEX(입금_은행2!$Z$8:$Z$2007,$I114)))</f>
        <v/>
      </c>
      <c r="E114" s="38">
        <f>IF($H114="","",IF($H114=1,INDEX(입금_은행1!$AA$8:$AA$2007,$I114),INDEX(입금_은행2!$AA$8:$AA$2007,$I114)))</f>
        <v/>
      </c>
      <c r="F114" s="38">
        <f>IF($H114="","","거래처 입금이면 별칭 등록")</f>
        <v/>
      </c>
      <c r="H114" s="31">
        <f>IF(108&lt;=MAX(입금_은행1!$AD$8:$AD$2007),1,IF(108-MAX(입금_은행1!$AD$8:$AD$2007)&lt;=MAX(입금_은행2!$AD$8:$AD$2007),2,""))</f>
        <v/>
      </c>
      <c r="I114" s="31">
        <f>IF($H114="","",IF($H114=1,MATCH(108,입금_은행1!$AD$8:$AD$2007,0),MATCH(108-MAX(입금_은행1!$AD$8:$AD$2007),입금_은행2!$AD$8:$AD$2007,0)))</f>
        <v/>
      </c>
    </row>
    <row r="115">
      <c r="A115" s="38">
        <f>IF($H115="","",109)</f>
        <v/>
      </c>
      <c r="B115" s="38">
        <f>IF($H115="","",IF($H115=1,입금_은행1!$A$5,입금_은행2!$A$5))</f>
        <v/>
      </c>
      <c r="C115" s="40">
        <f>IF($H115="","",IF($H115=1,INDEX(입금_은행1!$Y$8:$Y$2007,$I115),INDEX(입금_은행2!$Y$8:$Y$2007,$I115)))</f>
        <v/>
      </c>
      <c r="D115" s="44">
        <f>IF($H115="","",IF($H115=1,INDEX(입금_은행1!$Z$8:$Z$2007,$I115),INDEX(입금_은행2!$Z$8:$Z$2007,$I115)))</f>
        <v/>
      </c>
      <c r="E115" s="38">
        <f>IF($H115="","",IF($H115=1,INDEX(입금_은행1!$AA$8:$AA$2007,$I115),INDEX(입금_은행2!$AA$8:$AA$2007,$I115)))</f>
        <v/>
      </c>
      <c r="F115" s="38">
        <f>IF($H115="","","거래처 입금이면 별칭 등록")</f>
        <v/>
      </c>
      <c r="H115" s="31">
        <f>IF(109&lt;=MAX(입금_은행1!$AD$8:$AD$2007),1,IF(109-MAX(입금_은행1!$AD$8:$AD$2007)&lt;=MAX(입금_은행2!$AD$8:$AD$2007),2,""))</f>
        <v/>
      </c>
      <c r="I115" s="31">
        <f>IF($H115="","",IF($H115=1,MATCH(109,입금_은행1!$AD$8:$AD$2007,0),MATCH(109-MAX(입금_은행1!$AD$8:$AD$2007),입금_은행2!$AD$8:$AD$2007,0)))</f>
        <v/>
      </c>
    </row>
    <row r="116">
      <c r="A116" s="38">
        <f>IF($H116="","",110)</f>
        <v/>
      </c>
      <c r="B116" s="38">
        <f>IF($H116="","",IF($H116=1,입금_은행1!$A$5,입금_은행2!$A$5))</f>
        <v/>
      </c>
      <c r="C116" s="40">
        <f>IF($H116="","",IF($H116=1,INDEX(입금_은행1!$Y$8:$Y$2007,$I116),INDEX(입금_은행2!$Y$8:$Y$2007,$I116)))</f>
        <v/>
      </c>
      <c r="D116" s="44">
        <f>IF($H116="","",IF($H116=1,INDEX(입금_은행1!$Z$8:$Z$2007,$I116),INDEX(입금_은행2!$Z$8:$Z$2007,$I116)))</f>
        <v/>
      </c>
      <c r="E116" s="38">
        <f>IF($H116="","",IF($H116=1,INDEX(입금_은행1!$AA$8:$AA$2007,$I116),INDEX(입금_은행2!$AA$8:$AA$2007,$I116)))</f>
        <v/>
      </c>
      <c r="F116" s="38">
        <f>IF($H116="","","거래처 입금이면 별칭 등록")</f>
        <v/>
      </c>
      <c r="H116" s="31">
        <f>IF(110&lt;=MAX(입금_은행1!$AD$8:$AD$2007),1,IF(110-MAX(입금_은행1!$AD$8:$AD$2007)&lt;=MAX(입금_은행2!$AD$8:$AD$2007),2,""))</f>
        <v/>
      </c>
      <c r="I116" s="31">
        <f>IF($H116="","",IF($H116=1,MATCH(110,입금_은행1!$AD$8:$AD$2007,0),MATCH(110-MAX(입금_은행1!$AD$8:$AD$2007),입금_은행2!$AD$8:$AD$2007,0)))</f>
        <v/>
      </c>
    </row>
    <row r="117">
      <c r="A117" s="38">
        <f>IF($H117="","",111)</f>
        <v/>
      </c>
      <c r="B117" s="38">
        <f>IF($H117="","",IF($H117=1,입금_은행1!$A$5,입금_은행2!$A$5))</f>
        <v/>
      </c>
      <c r="C117" s="40">
        <f>IF($H117="","",IF($H117=1,INDEX(입금_은행1!$Y$8:$Y$2007,$I117),INDEX(입금_은행2!$Y$8:$Y$2007,$I117)))</f>
        <v/>
      </c>
      <c r="D117" s="44">
        <f>IF($H117="","",IF($H117=1,INDEX(입금_은행1!$Z$8:$Z$2007,$I117),INDEX(입금_은행2!$Z$8:$Z$2007,$I117)))</f>
        <v/>
      </c>
      <c r="E117" s="38">
        <f>IF($H117="","",IF($H117=1,INDEX(입금_은행1!$AA$8:$AA$2007,$I117),INDEX(입금_은행2!$AA$8:$AA$2007,$I117)))</f>
        <v/>
      </c>
      <c r="F117" s="38">
        <f>IF($H117="","","거래처 입금이면 별칭 등록")</f>
        <v/>
      </c>
      <c r="H117" s="31">
        <f>IF(111&lt;=MAX(입금_은행1!$AD$8:$AD$2007),1,IF(111-MAX(입금_은행1!$AD$8:$AD$2007)&lt;=MAX(입금_은행2!$AD$8:$AD$2007),2,""))</f>
        <v/>
      </c>
      <c r="I117" s="31">
        <f>IF($H117="","",IF($H117=1,MATCH(111,입금_은행1!$AD$8:$AD$2007,0),MATCH(111-MAX(입금_은행1!$AD$8:$AD$2007),입금_은행2!$AD$8:$AD$2007,0)))</f>
        <v/>
      </c>
    </row>
    <row r="118">
      <c r="A118" s="38">
        <f>IF($H118="","",112)</f>
        <v/>
      </c>
      <c r="B118" s="38">
        <f>IF($H118="","",IF($H118=1,입금_은행1!$A$5,입금_은행2!$A$5))</f>
        <v/>
      </c>
      <c r="C118" s="40">
        <f>IF($H118="","",IF($H118=1,INDEX(입금_은행1!$Y$8:$Y$2007,$I118),INDEX(입금_은행2!$Y$8:$Y$2007,$I118)))</f>
        <v/>
      </c>
      <c r="D118" s="44">
        <f>IF($H118="","",IF($H118=1,INDEX(입금_은행1!$Z$8:$Z$2007,$I118),INDEX(입금_은행2!$Z$8:$Z$2007,$I118)))</f>
        <v/>
      </c>
      <c r="E118" s="38">
        <f>IF($H118="","",IF($H118=1,INDEX(입금_은행1!$AA$8:$AA$2007,$I118),INDEX(입금_은행2!$AA$8:$AA$2007,$I118)))</f>
        <v/>
      </c>
      <c r="F118" s="38">
        <f>IF($H118="","","거래처 입금이면 별칭 등록")</f>
        <v/>
      </c>
      <c r="H118" s="31">
        <f>IF(112&lt;=MAX(입금_은행1!$AD$8:$AD$2007),1,IF(112-MAX(입금_은행1!$AD$8:$AD$2007)&lt;=MAX(입금_은행2!$AD$8:$AD$2007),2,""))</f>
        <v/>
      </c>
      <c r="I118" s="31">
        <f>IF($H118="","",IF($H118=1,MATCH(112,입금_은행1!$AD$8:$AD$2007,0),MATCH(112-MAX(입금_은행1!$AD$8:$AD$2007),입금_은행2!$AD$8:$AD$2007,0)))</f>
        <v/>
      </c>
    </row>
    <row r="119">
      <c r="A119" s="38">
        <f>IF($H119="","",113)</f>
        <v/>
      </c>
      <c r="B119" s="38">
        <f>IF($H119="","",IF($H119=1,입금_은행1!$A$5,입금_은행2!$A$5))</f>
        <v/>
      </c>
      <c r="C119" s="40">
        <f>IF($H119="","",IF($H119=1,INDEX(입금_은행1!$Y$8:$Y$2007,$I119),INDEX(입금_은행2!$Y$8:$Y$2007,$I119)))</f>
        <v/>
      </c>
      <c r="D119" s="44">
        <f>IF($H119="","",IF($H119=1,INDEX(입금_은행1!$Z$8:$Z$2007,$I119),INDEX(입금_은행2!$Z$8:$Z$2007,$I119)))</f>
        <v/>
      </c>
      <c r="E119" s="38">
        <f>IF($H119="","",IF($H119=1,INDEX(입금_은행1!$AA$8:$AA$2007,$I119),INDEX(입금_은행2!$AA$8:$AA$2007,$I119)))</f>
        <v/>
      </c>
      <c r="F119" s="38">
        <f>IF($H119="","","거래처 입금이면 별칭 등록")</f>
        <v/>
      </c>
      <c r="H119" s="31">
        <f>IF(113&lt;=MAX(입금_은행1!$AD$8:$AD$2007),1,IF(113-MAX(입금_은행1!$AD$8:$AD$2007)&lt;=MAX(입금_은행2!$AD$8:$AD$2007),2,""))</f>
        <v/>
      </c>
      <c r="I119" s="31">
        <f>IF($H119="","",IF($H119=1,MATCH(113,입금_은행1!$AD$8:$AD$2007,0),MATCH(113-MAX(입금_은행1!$AD$8:$AD$2007),입금_은행2!$AD$8:$AD$2007,0)))</f>
        <v/>
      </c>
    </row>
    <row r="120">
      <c r="A120" s="38">
        <f>IF($H120="","",114)</f>
        <v/>
      </c>
      <c r="B120" s="38">
        <f>IF($H120="","",IF($H120=1,입금_은행1!$A$5,입금_은행2!$A$5))</f>
        <v/>
      </c>
      <c r="C120" s="40">
        <f>IF($H120="","",IF($H120=1,INDEX(입금_은행1!$Y$8:$Y$2007,$I120),INDEX(입금_은행2!$Y$8:$Y$2007,$I120)))</f>
        <v/>
      </c>
      <c r="D120" s="44">
        <f>IF($H120="","",IF($H120=1,INDEX(입금_은행1!$Z$8:$Z$2007,$I120),INDEX(입금_은행2!$Z$8:$Z$2007,$I120)))</f>
        <v/>
      </c>
      <c r="E120" s="38">
        <f>IF($H120="","",IF($H120=1,INDEX(입금_은행1!$AA$8:$AA$2007,$I120),INDEX(입금_은행2!$AA$8:$AA$2007,$I120)))</f>
        <v/>
      </c>
      <c r="F120" s="38">
        <f>IF($H120="","","거래처 입금이면 별칭 등록")</f>
        <v/>
      </c>
      <c r="H120" s="31">
        <f>IF(114&lt;=MAX(입금_은행1!$AD$8:$AD$2007),1,IF(114-MAX(입금_은행1!$AD$8:$AD$2007)&lt;=MAX(입금_은행2!$AD$8:$AD$2007),2,""))</f>
        <v/>
      </c>
      <c r="I120" s="31">
        <f>IF($H120="","",IF($H120=1,MATCH(114,입금_은행1!$AD$8:$AD$2007,0),MATCH(114-MAX(입금_은행1!$AD$8:$AD$2007),입금_은행2!$AD$8:$AD$2007,0)))</f>
        <v/>
      </c>
    </row>
    <row r="121">
      <c r="A121" s="38">
        <f>IF($H121="","",115)</f>
        <v/>
      </c>
      <c r="B121" s="38">
        <f>IF($H121="","",IF($H121=1,입금_은행1!$A$5,입금_은행2!$A$5))</f>
        <v/>
      </c>
      <c r="C121" s="40">
        <f>IF($H121="","",IF($H121=1,INDEX(입금_은행1!$Y$8:$Y$2007,$I121),INDEX(입금_은행2!$Y$8:$Y$2007,$I121)))</f>
        <v/>
      </c>
      <c r="D121" s="44">
        <f>IF($H121="","",IF($H121=1,INDEX(입금_은행1!$Z$8:$Z$2007,$I121),INDEX(입금_은행2!$Z$8:$Z$2007,$I121)))</f>
        <v/>
      </c>
      <c r="E121" s="38">
        <f>IF($H121="","",IF($H121=1,INDEX(입금_은행1!$AA$8:$AA$2007,$I121),INDEX(입금_은행2!$AA$8:$AA$2007,$I121)))</f>
        <v/>
      </c>
      <c r="F121" s="38">
        <f>IF($H121="","","거래처 입금이면 별칭 등록")</f>
        <v/>
      </c>
      <c r="H121" s="31">
        <f>IF(115&lt;=MAX(입금_은행1!$AD$8:$AD$2007),1,IF(115-MAX(입금_은행1!$AD$8:$AD$2007)&lt;=MAX(입금_은행2!$AD$8:$AD$2007),2,""))</f>
        <v/>
      </c>
      <c r="I121" s="31">
        <f>IF($H121="","",IF($H121=1,MATCH(115,입금_은행1!$AD$8:$AD$2007,0),MATCH(115-MAX(입금_은행1!$AD$8:$AD$2007),입금_은행2!$AD$8:$AD$2007,0)))</f>
        <v/>
      </c>
    </row>
    <row r="122">
      <c r="A122" s="38">
        <f>IF($H122="","",116)</f>
        <v/>
      </c>
      <c r="B122" s="38">
        <f>IF($H122="","",IF($H122=1,입금_은행1!$A$5,입금_은행2!$A$5))</f>
        <v/>
      </c>
      <c r="C122" s="40">
        <f>IF($H122="","",IF($H122=1,INDEX(입금_은행1!$Y$8:$Y$2007,$I122),INDEX(입금_은행2!$Y$8:$Y$2007,$I122)))</f>
        <v/>
      </c>
      <c r="D122" s="44">
        <f>IF($H122="","",IF($H122=1,INDEX(입금_은행1!$Z$8:$Z$2007,$I122),INDEX(입금_은행2!$Z$8:$Z$2007,$I122)))</f>
        <v/>
      </c>
      <c r="E122" s="38">
        <f>IF($H122="","",IF($H122=1,INDEX(입금_은행1!$AA$8:$AA$2007,$I122),INDEX(입금_은행2!$AA$8:$AA$2007,$I122)))</f>
        <v/>
      </c>
      <c r="F122" s="38">
        <f>IF($H122="","","거래처 입금이면 별칭 등록")</f>
        <v/>
      </c>
      <c r="H122" s="31">
        <f>IF(116&lt;=MAX(입금_은행1!$AD$8:$AD$2007),1,IF(116-MAX(입금_은행1!$AD$8:$AD$2007)&lt;=MAX(입금_은행2!$AD$8:$AD$2007),2,""))</f>
        <v/>
      </c>
      <c r="I122" s="31">
        <f>IF($H122="","",IF($H122=1,MATCH(116,입금_은행1!$AD$8:$AD$2007,0),MATCH(116-MAX(입금_은행1!$AD$8:$AD$2007),입금_은행2!$AD$8:$AD$2007,0)))</f>
        <v/>
      </c>
    </row>
    <row r="123">
      <c r="A123" s="38">
        <f>IF($H123="","",117)</f>
        <v/>
      </c>
      <c r="B123" s="38">
        <f>IF($H123="","",IF($H123=1,입금_은행1!$A$5,입금_은행2!$A$5))</f>
        <v/>
      </c>
      <c r="C123" s="40">
        <f>IF($H123="","",IF($H123=1,INDEX(입금_은행1!$Y$8:$Y$2007,$I123),INDEX(입금_은행2!$Y$8:$Y$2007,$I123)))</f>
        <v/>
      </c>
      <c r="D123" s="44">
        <f>IF($H123="","",IF($H123=1,INDEX(입금_은행1!$Z$8:$Z$2007,$I123),INDEX(입금_은행2!$Z$8:$Z$2007,$I123)))</f>
        <v/>
      </c>
      <c r="E123" s="38">
        <f>IF($H123="","",IF($H123=1,INDEX(입금_은행1!$AA$8:$AA$2007,$I123),INDEX(입금_은행2!$AA$8:$AA$2007,$I123)))</f>
        <v/>
      </c>
      <c r="F123" s="38">
        <f>IF($H123="","","거래처 입금이면 별칭 등록")</f>
        <v/>
      </c>
      <c r="H123" s="31">
        <f>IF(117&lt;=MAX(입금_은행1!$AD$8:$AD$2007),1,IF(117-MAX(입금_은행1!$AD$8:$AD$2007)&lt;=MAX(입금_은행2!$AD$8:$AD$2007),2,""))</f>
        <v/>
      </c>
      <c r="I123" s="31">
        <f>IF($H123="","",IF($H123=1,MATCH(117,입금_은행1!$AD$8:$AD$2007,0),MATCH(117-MAX(입금_은행1!$AD$8:$AD$2007),입금_은행2!$AD$8:$AD$2007,0)))</f>
        <v/>
      </c>
    </row>
    <row r="124">
      <c r="A124" s="38">
        <f>IF($H124="","",118)</f>
        <v/>
      </c>
      <c r="B124" s="38">
        <f>IF($H124="","",IF($H124=1,입금_은행1!$A$5,입금_은행2!$A$5))</f>
        <v/>
      </c>
      <c r="C124" s="40">
        <f>IF($H124="","",IF($H124=1,INDEX(입금_은행1!$Y$8:$Y$2007,$I124),INDEX(입금_은행2!$Y$8:$Y$2007,$I124)))</f>
        <v/>
      </c>
      <c r="D124" s="44">
        <f>IF($H124="","",IF($H124=1,INDEX(입금_은행1!$Z$8:$Z$2007,$I124),INDEX(입금_은행2!$Z$8:$Z$2007,$I124)))</f>
        <v/>
      </c>
      <c r="E124" s="38">
        <f>IF($H124="","",IF($H124=1,INDEX(입금_은행1!$AA$8:$AA$2007,$I124),INDEX(입금_은행2!$AA$8:$AA$2007,$I124)))</f>
        <v/>
      </c>
      <c r="F124" s="38">
        <f>IF($H124="","","거래처 입금이면 별칭 등록")</f>
        <v/>
      </c>
      <c r="H124" s="31">
        <f>IF(118&lt;=MAX(입금_은행1!$AD$8:$AD$2007),1,IF(118-MAX(입금_은행1!$AD$8:$AD$2007)&lt;=MAX(입금_은행2!$AD$8:$AD$2007),2,""))</f>
        <v/>
      </c>
      <c r="I124" s="31">
        <f>IF($H124="","",IF($H124=1,MATCH(118,입금_은행1!$AD$8:$AD$2007,0),MATCH(118-MAX(입금_은행1!$AD$8:$AD$2007),입금_은행2!$AD$8:$AD$2007,0)))</f>
        <v/>
      </c>
    </row>
    <row r="125">
      <c r="A125" s="38">
        <f>IF($H125="","",119)</f>
        <v/>
      </c>
      <c r="B125" s="38">
        <f>IF($H125="","",IF($H125=1,입금_은행1!$A$5,입금_은행2!$A$5))</f>
        <v/>
      </c>
      <c r="C125" s="40">
        <f>IF($H125="","",IF($H125=1,INDEX(입금_은행1!$Y$8:$Y$2007,$I125),INDEX(입금_은행2!$Y$8:$Y$2007,$I125)))</f>
        <v/>
      </c>
      <c r="D125" s="44">
        <f>IF($H125="","",IF($H125=1,INDEX(입금_은행1!$Z$8:$Z$2007,$I125),INDEX(입금_은행2!$Z$8:$Z$2007,$I125)))</f>
        <v/>
      </c>
      <c r="E125" s="38">
        <f>IF($H125="","",IF($H125=1,INDEX(입금_은행1!$AA$8:$AA$2007,$I125),INDEX(입금_은행2!$AA$8:$AA$2007,$I125)))</f>
        <v/>
      </c>
      <c r="F125" s="38">
        <f>IF($H125="","","거래처 입금이면 별칭 등록")</f>
        <v/>
      </c>
      <c r="H125" s="31">
        <f>IF(119&lt;=MAX(입금_은행1!$AD$8:$AD$2007),1,IF(119-MAX(입금_은행1!$AD$8:$AD$2007)&lt;=MAX(입금_은행2!$AD$8:$AD$2007),2,""))</f>
        <v/>
      </c>
      <c r="I125" s="31">
        <f>IF($H125="","",IF($H125=1,MATCH(119,입금_은행1!$AD$8:$AD$2007,0),MATCH(119-MAX(입금_은행1!$AD$8:$AD$2007),입금_은행2!$AD$8:$AD$2007,0)))</f>
        <v/>
      </c>
    </row>
    <row r="126">
      <c r="A126" s="38">
        <f>IF($H126="","",120)</f>
        <v/>
      </c>
      <c r="B126" s="38">
        <f>IF($H126="","",IF($H126=1,입금_은행1!$A$5,입금_은행2!$A$5))</f>
        <v/>
      </c>
      <c r="C126" s="40">
        <f>IF($H126="","",IF($H126=1,INDEX(입금_은행1!$Y$8:$Y$2007,$I126),INDEX(입금_은행2!$Y$8:$Y$2007,$I126)))</f>
        <v/>
      </c>
      <c r="D126" s="44">
        <f>IF($H126="","",IF($H126=1,INDEX(입금_은행1!$Z$8:$Z$2007,$I126),INDEX(입금_은행2!$Z$8:$Z$2007,$I126)))</f>
        <v/>
      </c>
      <c r="E126" s="38">
        <f>IF($H126="","",IF($H126=1,INDEX(입금_은행1!$AA$8:$AA$2007,$I126),INDEX(입금_은행2!$AA$8:$AA$2007,$I126)))</f>
        <v/>
      </c>
      <c r="F126" s="38">
        <f>IF($H126="","","거래처 입금이면 별칭 등록")</f>
        <v/>
      </c>
      <c r="H126" s="31">
        <f>IF(120&lt;=MAX(입금_은행1!$AD$8:$AD$2007),1,IF(120-MAX(입금_은행1!$AD$8:$AD$2007)&lt;=MAX(입금_은행2!$AD$8:$AD$2007),2,""))</f>
        <v/>
      </c>
      <c r="I126" s="31">
        <f>IF($H126="","",IF($H126=1,MATCH(120,입금_은행1!$AD$8:$AD$2007,0),MATCH(120-MAX(입금_은행1!$AD$8:$AD$2007),입금_은행2!$AD$8:$AD$2007,0)))</f>
        <v/>
      </c>
    </row>
    <row r="127">
      <c r="A127" s="38">
        <f>IF($H127="","",121)</f>
        <v/>
      </c>
      <c r="B127" s="38">
        <f>IF($H127="","",IF($H127=1,입금_은행1!$A$5,입금_은행2!$A$5))</f>
        <v/>
      </c>
      <c r="C127" s="40">
        <f>IF($H127="","",IF($H127=1,INDEX(입금_은행1!$Y$8:$Y$2007,$I127),INDEX(입금_은행2!$Y$8:$Y$2007,$I127)))</f>
        <v/>
      </c>
      <c r="D127" s="44">
        <f>IF($H127="","",IF($H127=1,INDEX(입금_은행1!$Z$8:$Z$2007,$I127),INDEX(입금_은행2!$Z$8:$Z$2007,$I127)))</f>
        <v/>
      </c>
      <c r="E127" s="38">
        <f>IF($H127="","",IF($H127=1,INDEX(입금_은행1!$AA$8:$AA$2007,$I127),INDEX(입금_은행2!$AA$8:$AA$2007,$I127)))</f>
        <v/>
      </c>
      <c r="F127" s="38">
        <f>IF($H127="","","거래처 입금이면 별칭 등록")</f>
        <v/>
      </c>
      <c r="H127" s="31">
        <f>IF(121&lt;=MAX(입금_은행1!$AD$8:$AD$2007),1,IF(121-MAX(입금_은행1!$AD$8:$AD$2007)&lt;=MAX(입금_은행2!$AD$8:$AD$2007),2,""))</f>
        <v/>
      </c>
      <c r="I127" s="31">
        <f>IF($H127="","",IF($H127=1,MATCH(121,입금_은행1!$AD$8:$AD$2007,0),MATCH(121-MAX(입금_은행1!$AD$8:$AD$2007),입금_은행2!$AD$8:$AD$2007,0)))</f>
        <v/>
      </c>
    </row>
    <row r="128">
      <c r="A128" s="38">
        <f>IF($H128="","",122)</f>
        <v/>
      </c>
      <c r="B128" s="38">
        <f>IF($H128="","",IF($H128=1,입금_은행1!$A$5,입금_은행2!$A$5))</f>
        <v/>
      </c>
      <c r="C128" s="40">
        <f>IF($H128="","",IF($H128=1,INDEX(입금_은행1!$Y$8:$Y$2007,$I128),INDEX(입금_은행2!$Y$8:$Y$2007,$I128)))</f>
        <v/>
      </c>
      <c r="D128" s="44">
        <f>IF($H128="","",IF($H128=1,INDEX(입금_은행1!$Z$8:$Z$2007,$I128),INDEX(입금_은행2!$Z$8:$Z$2007,$I128)))</f>
        <v/>
      </c>
      <c r="E128" s="38">
        <f>IF($H128="","",IF($H128=1,INDEX(입금_은행1!$AA$8:$AA$2007,$I128),INDEX(입금_은행2!$AA$8:$AA$2007,$I128)))</f>
        <v/>
      </c>
      <c r="F128" s="38">
        <f>IF($H128="","","거래처 입금이면 별칭 등록")</f>
        <v/>
      </c>
      <c r="H128" s="31">
        <f>IF(122&lt;=MAX(입금_은행1!$AD$8:$AD$2007),1,IF(122-MAX(입금_은행1!$AD$8:$AD$2007)&lt;=MAX(입금_은행2!$AD$8:$AD$2007),2,""))</f>
        <v/>
      </c>
      <c r="I128" s="31">
        <f>IF($H128="","",IF($H128=1,MATCH(122,입금_은행1!$AD$8:$AD$2007,0),MATCH(122-MAX(입금_은행1!$AD$8:$AD$2007),입금_은행2!$AD$8:$AD$2007,0)))</f>
        <v/>
      </c>
    </row>
    <row r="129">
      <c r="A129" s="38">
        <f>IF($H129="","",123)</f>
        <v/>
      </c>
      <c r="B129" s="38">
        <f>IF($H129="","",IF($H129=1,입금_은행1!$A$5,입금_은행2!$A$5))</f>
        <v/>
      </c>
      <c r="C129" s="40">
        <f>IF($H129="","",IF($H129=1,INDEX(입금_은행1!$Y$8:$Y$2007,$I129),INDEX(입금_은행2!$Y$8:$Y$2007,$I129)))</f>
        <v/>
      </c>
      <c r="D129" s="44">
        <f>IF($H129="","",IF($H129=1,INDEX(입금_은행1!$Z$8:$Z$2007,$I129),INDEX(입금_은행2!$Z$8:$Z$2007,$I129)))</f>
        <v/>
      </c>
      <c r="E129" s="38">
        <f>IF($H129="","",IF($H129=1,INDEX(입금_은행1!$AA$8:$AA$2007,$I129),INDEX(입금_은행2!$AA$8:$AA$2007,$I129)))</f>
        <v/>
      </c>
      <c r="F129" s="38">
        <f>IF($H129="","","거래처 입금이면 별칭 등록")</f>
        <v/>
      </c>
      <c r="H129" s="31">
        <f>IF(123&lt;=MAX(입금_은행1!$AD$8:$AD$2007),1,IF(123-MAX(입금_은행1!$AD$8:$AD$2007)&lt;=MAX(입금_은행2!$AD$8:$AD$2007),2,""))</f>
        <v/>
      </c>
      <c r="I129" s="31">
        <f>IF($H129="","",IF($H129=1,MATCH(123,입금_은행1!$AD$8:$AD$2007,0),MATCH(123-MAX(입금_은행1!$AD$8:$AD$2007),입금_은행2!$AD$8:$AD$2007,0)))</f>
        <v/>
      </c>
    </row>
    <row r="130">
      <c r="A130" s="38">
        <f>IF($H130="","",124)</f>
        <v/>
      </c>
      <c r="B130" s="38">
        <f>IF($H130="","",IF($H130=1,입금_은행1!$A$5,입금_은행2!$A$5))</f>
        <v/>
      </c>
      <c r="C130" s="40">
        <f>IF($H130="","",IF($H130=1,INDEX(입금_은행1!$Y$8:$Y$2007,$I130),INDEX(입금_은행2!$Y$8:$Y$2007,$I130)))</f>
        <v/>
      </c>
      <c r="D130" s="44">
        <f>IF($H130="","",IF($H130=1,INDEX(입금_은행1!$Z$8:$Z$2007,$I130),INDEX(입금_은행2!$Z$8:$Z$2007,$I130)))</f>
        <v/>
      </c>
      <c r="E130" s="38">
        <f>IF($H130="","",IF($H130=1,INDEX(입금_은행1!$AA$8:$AA$2007,$I130),INDEX(입금_은행2!$AA$8:$AA$2007,$I130)))</f>
        <v/>
      </c>
      <c r="F130" s="38">
        <f>IF($H130="","","거래처 입금이면 별칭 등록")</f>
        <v/>
      </c>
      <c r="H130" s="31">
        <f>IF(124&lt;=MAX(입금_은행1!$AD$8:$AD$2007),1,IF(124-MAX(입금_은행1!$AD$8:$AD$2007)&lt;=MAX(입금_은행2!$AD$8:$AD$2007),2,""))</f>
        <v/>
      </c>
      <c r="I130" s="31">
        <f>IF($H130="","",IF($H130=1,MATCH(124,입금_은행1!$AD$8:$AD$2007,0),MATCH(124-MAX(입금_은행1!$AD$8:$AD$2007),입금_은행2!$AD$8:$AD$2007,0)))</f>
        <v/>
      </c>
    </row>
    <row r="131">
      <c r="A131" s="38">
        <f>IF($H131="","",125)</f>
        <v/>
      </c>
      <c r="B131" s="38">
        <f>IF($H131="","",IF($H131=1,입금_은행1!$A$5,입금_은행2!$A$5))</f>
        <v/>
      </c>
      <c r="C131" s="40">
        <f>IF($H131="","",IF($H131=1,INDEX(입금_은행1!$Y$8:$Y$2007,$I131),INDEX(입금_은행2!$Y$8:$Y$2007,$I131)))</f>
        <v/>
      </c>
      <c r="D131" s="44">
        <f>IF($H131="","",IF($H131=1,INDEX(입금_은행1!$Z$8:$Z$2007,$I131),INDEX(입금_은행2!$Z$8:$Z$2007,$I131)))</f>
        <v/>
      </c>
      <c r="E131" s="38">
        <f>IF($H131="","",IF($H131=1,INDEX(입금_은행1!$AA$8:$AA$2007,$I131),INDEX(입금_은행2!$AA$8:$AA$2007,$I131)))</f>
        <v/>
      </c>
      <c r="F131" s="38">
        <f>IF($H131="","","거래처 입금이면 별칭 등록")</f>
        <v/>
      </c>
      <c r="H131" s="31">
        <f>IF(125&lt;=MAX(입금_은행1!$AD$8:$AD$2007),1,IF(125-MAX(입금_은행1!$AD$8:$AD$2007)&lt;=MAX(입금_은행2!$AD$8:$AD$2007),2,""))</f>
        <v/>
      </c>
      <c r="I131" s="31">
        <f>IF($H131="","",IF($H131=1,MATCH(125,입금_은행1!$AD$8:$AD$2007,0),MATCH(125-MAX(입금_은행1!$AD$8:$AD$2007),입금_은행2!$AD$8:$AD$2007,0)))</f>
        <v/>
      </c>
    </row>
    <row r="132">
      <c r="A132" s="38">
        <f>IF($H132="","",126)</f>
        <v/>
      </c>
      <c r="B132" s="38">
        <f>IF($H132="","",IF($H132=1,입금_은행1!$A$5,입금_은행2!$A$5))</f>
        <v/>
      </c>
      <c r="C132" s="40">
        <f>IF($H132="","",IF($H132=1,INDEX(입금_은행1!$Y$8:$Y$2007,$I132),INDEX(입금_은행2!$Y$8:$Y$2007,$I132)))</f>
        <v/>
      </c>
      <c r="D132" s="44">
        <f>IF($H132="","",IF($H132=1,INDEX(입금_은행1!$Z$8:$Z$2007,$I132),INDEX(입금_은행2!$Z$8:$Z$2007,$I132)))</f>
        <v/>
      </c>
      <c r="E132" s="38">
        <f>IF($H132="","",IF($H132=1,INDEX(입금_은행1!$AA$8:$AA$2007,$I132),INDEX(입금_은행2!$AA$8:$AA$2007,$I132)))</f>
        <v/>
      </c>
      <c r="F132" s="38">
        <f>IF($H132="","","거래처 입금이면 별칭 등록")</f>
        <v/>
      </c>
      <c r="H132" s="31">
        <f>IF(126&lt;=MAX(입금_은행1!$AD$8:$AD$2007),1,IF(126-MAX(입금_은행1!$AD$8:$AD$2007)&lt;=MAX(입금_은행2!$AD$8:$AD$2007),2,""))</f>
        <v/>
      </c>
      <c r="I132" s="31">
        <f>IF($H132="","",IF($H132=1,MATCH(126,입금_은행1!$AD$8:$AD$2007,0),MATCH(126-MAX(입금_은행1!$AD$8:$AD$2007),입금_은행2!$AD$8:$AD$2007,0)))</f>
        <v/>
      </c>
    </row>
    <row r="133">
      <c r="A133" s="38">
        <f>IF($H133="","",127)</f>
        <v/>
      </c>
      <c r="B133" s="38">
        <f>IF($H133="","",IF($H133=1,입금_은행1!$A$5,입금_은행2!$A$5))</f>
        <v/>
      </c>
      <c r="C133" s="40">
        <f>IF($H133="","",IF($H133=1,INDEX(입금_은행1!$Y$8:$Y$2007,$I133),INDEX(입금_은행2!$Y$8:$Y$2007,$I133)))</f>
        <v/>
      </c>
      <c r="D133" s="44">
        <f>IF($H133="","",IF($H133=1,INDEX(입금_은행1!$Z$8:$Z$2007,$I133),INDEX(입금_은행2!$Z$8:$Z$2007,$I133)))</f>
        <v/>
      </c>
      <c r="E133" s="38">
        <f>IF($H133="","",IF($H133=1,INDEX(입금_은행1!$AA$8:$AA$2007,$I133),INDEX(입금_은행2!$AA$8:$AA$2007,$I133)))</f>
        <v/>
      </c>
      <c r="F133" s="38">
        <f>IF($H133="","","거래처 입금이면 별칭 등록")</f>
        <v/>
      </c>
      <c r="H133" s="31">
        <f>IF(127&lt;=MAX(입금_은행1!$AD$8:$AD$2007),1,IF(127-MAX(입금_은행1!$AD$8:$AD$2007)&lt;=MAX(입금_은행2!$AD$8:$AD$2007),2,""))</f>
        <v/>
      </c>
      <c r="I133" s="31">
        <f>IF($H133="","",IF($H133=1,MATCH(127,입금_은행1!$AD$8:$AD$2007,0),MATCH(127-MAX(입금_은행1!$AD$8:$AD$2007),입금_은행2!$AD$8:$AD$2007,0)))</f>
        <v/>
      </c>
    </row>
    <row r="134">
      <c r="A134" s="38">
        <f>IF($H134="","",128)</f>
        <v/>
      </c>
      <c r="B134" s="38">
        <f>IF($H134="","",IF($H134=1,입금_은행1!$A$5,입금_은행2!$A$5))</f>
        <v/>
      </c>
      <c r="C134" s="40">
        <f>IF($H134="","",IF($H134=1,INDEX(입금_은행1!$Y$8:$Y$2007,$I134),INDEX(입금_은행2!$Y$8:$Y$2007,$I134)))</f>
        <v/>
      </c>
      <c r="D134" s="44">
        <f>IF($H134="","",IF($H134=1,INDEX(입금_은행1!$Z$8:$Z$2007,$I134),INDEX(입금_은행2!$Z$8:$Z$2007,$I134)))</f>
        <v/>
      </c>
      <c r="E134" s="38">
        <f>IF($H134="","",IF($H134=1,INDEX(입금_은행1!$AA$8:$AA$2007,$I134),INDEX(입금_은행2!$AA$8:$AA$2007,$I134)))</f>
        <v/>
      </c>
      <c r="F134" s="38">
        <f>IF($H134="","","거래처 입금이면 별칭 등록")</f>
        <v/>
      </c>
      <c r="H134" s="31">
        <f>IF(128&lt;=MAX(입금_은행1!$AD$8:$AD$2007),1,IF(128-MAX(입금_은행1!$AD$8:$AD$2007)&lt;=MAX(입금_은행2!$AD$8:$AD$2007),2,""))</f>
        <v/>
      </c>
      <c r="I134" s="31">
        <f>IF($H134="","",IF($H134=1,MATCH(128,입금_은행1!$AD$8:$AD$2007,0),MATCH(128-MAX(입금_은행1!$AD$8:$AD$2007),입금_은행2!$AD$8:$AD$2007,0)))</f>
        <v/>
      </c>
    </row>
    <row r="135">
      <c r="A135" s="38">
        <f>IF($H135="","",129)</f>
        <v/>
      </c>
      <c r="B135" s="38">
        <f>IF($H135="","",IF($H135=1,입금_은행1!$A$5,입금_은행2!$A$5))</f>
        <v/>
      </c>
      <c r="C135" s="40">
        <f>IF($H135="","",IF($H135=1,INDEX(입금_은행1!$Y$8:$Y$2007,$I135),INDEX(입금_은행2!$Y$8:$Y$2007,$I135)))</f>
        <v/>
      </c>
      <c r="D135" s="44">
        <f>IF($H135="","",IF($H135=1,INDEX(입금_은행1!$Z$8:$Z$2007,$I135),INDEX(입금_은행2!$Z$8:$Z$2007,$I135)))</f>
        <v/>
      </c>
      <c r="E135" s="38">
        <f>IF($H135="","",IF($H135=1,INDEX(입금_은행1!$AA$8:$AA$2007,$I135),INDEX(입금_은행2!$AA$8:$AA$2007,$I135)))</f>
        <v/>
      </c>
      <c r="F135" s="38">
        <f>IF($H135="","","거래처 입금이면 별칭 등록")</f>
        <v/>
      </c>
      <c r="H135" s="31">
        <f>IF(129&lt;=MAX(입금_은행1!$AD$8:$AD$2007),1,IF(129-MAX(입금_은행1!$AD$8:$AD$2007)&lt;=MAX(입금_은행2!$AD$8:$AD$2007),2,""))</f>
        <v/>
      </c>
      <c r="I135" s="31">
        <f>IF($H135="","",IF($H135=1,MATCH(129,입금_은행1!$AD$8:$AD$2007,0),MATCH(129-MAX(입금_은행1!$AD$8:$AD$2007),입금_은행2!$AD$8:$AD$2007,0)))</f>
        <v/>
      </c>
    </row>
    <row r="136">
      <c r="A136" s="38">
        <f>IF($H136="","",130)</f>
        <v/>
      </c>
      <c r="B136" s="38">
        <f>IF($H136="","",IF($H136=1,입금_은행1!$A$5,입금_은행2!$A$5))</f>
        <v/>
      </c>
      <c r="C136" s="40">
        <f>IF($H136="","",IF($H136=1,INDEX(입금_은행1!$Y$8:$Y$2007,$I136),INDEX(입금_은행2!$Y$8:$Y$2007,$I136)))</f>
        <v/>
      </c>
      <c r="D136" s="44">
        <f>IF($H136="","",IF($H136=1,INDEX(입금_은행1!$Z$8:$Z$2007,$I136),INDEX(입금_은행2!$Z$8:$Z$2007,$I136)))</f>
        <v/>
      </c>
      <c r="E136" s="38">
        <f>IF($H136="","",IF($H136=1,INDEX(입금_은행1!$AA$8:$AA$2007,$I136),INDEX(입금_은행2!$AA$8:$AA$2007,$I136)))</f>
        <v/>
      </c>
      <c r="F136" s="38">
        <f>IF($H136="","","거래처 입금이면 별칭 등록")</f>
        <v/>
      </c>
      <c r="H136" s="31">
        <f>IF(130&lt;=MAX(입금_은행1!$AD$8:$AD$2007),1,IF(130-MAX(입금_은행1!$AD$8:$AD$2007)&lt;=MAX(입금_은행2!$AD$8:$AD$2007),2,""))</f>
        <v/>
      </c>
      <c r="I136" s="31">
        <f>IF($H136="","",IF($H136=1,MATCH(130,입금_은행1!$AD$8:$AD$2007,0),MATCH(130-MAX(입금_은행1!$AD$8:$AD$2007),입금_은행2!$AD$8:$AD$2007,0)))</f>
        <v/>
      </c>
    </row>
    <row r="137">
      <c r="A137" s="38">
        <f>IF($H137="","",131)</f>
        <v/>
      </c>
      <c r="B137" s="38">
        <f>IF($H137="","",IF($H137=1,입금_은행1!$A$5,입금_은행2!$A$5))</f>
        <v/>
      </c>
      <c r="C137" s="40">
        <f>IF($H137="","",IF($H137=1,INDEX(입금_은행1!$Y$8:$Y$2007,$I137),INDEX(입금_은행2!$Y$8:$Y$2007,$I137)))</f>
        <v/>
      </c>
      <c r="D137" s="44">
        <f>IF($H137="","",IF($H137=1,INDEX(입금_은행1!$Z$8:$Z$2007,$I137),INDEX(입금_은행2!$Z$8:$Z$2007,$I137)))</f>
        <v/>
      </c>
      <c r="E137" s="38">
        <f>IF($H137="","",IF($H137=1,INDEX(입금_은행1!$AA$8:$AA$2007,$I137),INDEX(입금_은행2!$AA$8:$AA$2007,$I137)))</f>
        <v/>
      </c>
      <c r="F137" s="38">
        <f>IF($H137="","","거래처 입금이면 별칭 등록")</f>
        <v/>
      </c>
      <c r="H137" s="31">
        <f>IF(131&lt;=MAX(입금_은행1!$AD$8:$AD$2007),1,IF(131-MAX(입금_은행1!$AD$8:$AD$2007)&lt;=MAX(입금_은행2!$AD$8:$AD$2007),2,""))</f>
        <v/>
      </c>
      <c r="I137" s="31">
        <f>IF($H137="","",IF($H137=1,MATCH(131,입금_은행1!$AD$8:$AD$2007,0),MATCH(131-MAX(입금_은행1!$AD$8:$AD$2007),입금_은행2!$AD$8:$AD$2007,0)))</f>
        <v/>
      </c>
    </row>
    <row r="138">
      <c r="A138" s="38">
        <f>IF($H138="","",132)</f>
        <v/>
      </c>
      <c r="B138" s="38">
        <f>IF($H138="","",IF($H138=1,입금_은행1!$A$5,입금_은행2!$A$5))</f>
        <v/>
      </c>
      <c r="C138" s="40">
        <f>IF($H138="","",IF($H138=1,INDEX(입금_은행1!$Y$8:$Y$2007,$I138),INDEX(입금_은행2!$Y$8:$Y$2007,$I138)))</f>
        <v/>
      </c>
      <c r="D138" s="44">
        <f>IF($H138="","",IF($H138=1,INDEX(입금_은행1!$Z$8:$Z$2007,$I138),INDEX(입금_은행2!$Z$8:$Z$2007,$I138)))</f>
        <v/>
      </c>
      <c r="E138" s="38">
        <f>IF($H138="","",IF($H138=1,INDEX(입금_은행1!$AA$8:$AA$2007,$I138),INDEX(입금_은행2!$AA$8:$AA$2007,$I138)))</f>
        <v/>
      </c>
      <c r="F138" s="38">
        <f>IF($H138="","","거래처 입금이면 별칭 등록")</f>
        <v/>
      </c>
      <c r="H138" s="31">
        <f>IF(132&lt;=MAX(입금_은행1!$AD$8:$AD$2007),1,IF(132-MAX(입금_은행1!$AD$8:$AD$2007)&lt;=MAX(입금_은행2!$AD$8:$AD$2007),2,""))</f>
        <v/>
      </c>
      <c r="I138" s="31">
        <f>IF($H138="","",IF($H138=1,MATCH(132,입금_은행1!$AD$8:$AD$2007,0),MATCH(132-MAX(입금_은행1!$AD$8:$AD$2007),입금_은행2!$AD$8:$AD$2007,0)))</f>
        <v/>
      </c>
    </row>
    <row r="139">
      <c r="A139" s="38">
        <f>IF($H139="","",133)</f>
        <v/>
      </c>
      <c r="B139" s="38">
        <f>IF($H139="","",IF($H139=1,입금_은행1!$A$5,입금_은행2!$A$5))</f>
        <v/>
      </c>
      <c r="C139" s="40">
        <f>IF($H139="","",IF($H139=1,INDEX(입금_은행1!$Y$8:$Y$2007,$I139),INDEX(입금_은행2!$Y$8:$Y$2007,$I139)))</f>
        <v/>
      </c>
      <c r="D139" s="44">
        <f>IF($H139="","",IF($H139=1,INDEX(입금_은행1!$Z$8:$Z$2007,$I139),INDEX(입금_은행2!$Z$8:$Z$2007,$I139)))</f>
        <v/>
      </c>
      <c r="E139" s="38">
        <f>IF($H139="","",IF($H139=1,INDEX(입금_은행1!$AA$8:$AA$2007,$I139),INDEX(입금_은행2!$AA$8:$AA$2007,$I139)))</f>
        <v/>
      </c>
      <c r="F139" s="38">
        <f>IF($H139="","","거래처 입금이면 별칭 등록")</f>
        <v/>
      </c>
      <c r="H139" s="31">
        <f>IF(133&lt;=MAX(입금_은행1!$AD$8:$AD$2007),1,IF(133-MAX(입금_은행1!$AD$8:$AD$2007)&lt;=MAX(입금_은행2!$AD$8:$AD$2007),2,""))</f>
        <v/>
      </c>
      <c r="I139" s="31">
        <f>IF($H139="","",IF($H139=1,MATCH(133,입금_은행1!$AD$8:$AD$2007,0),MATCH(133-MAX(입금_은행1!$AD$8:$AD$2007),입금_은행2!$AD$8:$AD$2007,0)))</f>
        <v/>
      </c>
    </row>
    <row r="140">
      <c r="A140" s="38">
        <f>IF($H140="","",134)</f>
        <v/>
      </c>
      <c r="B140" s="38">
        <f>IF($H140="","",IF($H140=1,입금_은행1!$A$5,입금_은행2!$A$5))</f>
        <v/>
      </c>
      <c r="C140" s="40">
        <f>IF($H140="","",IF($H140=1,INDEX(입금_은행1!$Y$8:$Y$2007,$I140),INDEX(입금_은행2!$Y$8:$Y$2007,$I140)))</f>
        <v/>
      </c>
      <c r="D140" s="44">
        <f>IF($H140="","",IF($H140=1,INDEX(입금_은행1!$Z$8:$Z$2007,$I140),INDEX(입금_은행2!$Z$8:$Z$2007,$I140)))</f>
        <v/>
      </c>
      <c r="E140" s="38">
        <f>IF($H140="","",IF($H140=1,INDEX(입금_은행1!$AA$8:$AA$2007,$I140),INDEX(입금_은행2!$AA$8:$AA$2007,$I140)))</f>
        <v/>
      </c>
      <c r="F140" s="38">
        <f>IF($H140="","","거래처 입금이면 별칭 등록")</f>
        <v/>
      </c>
      <c r="H140" s="31">
        <f>IF(134&lt;=MAX(입금_은행1!$AD$8:$AD$2007),1,IF(134-MAX(입금_은행1!$AD$8:$AD$2007)&lt;=MAX(입금_은행2!$AD$8:$AD$2007),2,""))</f>
        <v/>
      </c>
      <c r="I140" s="31">
        <f>IF($H140="","",IF($H140=1,MATCH(134,입금_은행1!$AD$8:$AD$2007,0),MATCH(134-MAX(입금_은행1!$AD$8:$AD$2007),입금_은행2!$AD$8:$AD$2007,0)))</f>
        <v/>
      </c>
    </row>
    <row r="141">
      <c r="A141" s="38">
        <f>IF($H141="","",135)</f>
        <v/>
      </c>
      <c r="B141" s="38">
        <f>IF($H141="","",IF($H141=1,입금_은행1!$A$5,입금_은행2!$A$5))</f>
        <v/>
      </c>
      <c r="C141" s="40">
        <f>IF($H141="","",IF($H141=1,INDEX(입금_은행1!$Y$8:$Y$2007,$I141),INDEX(입금_은행2!$Y$8:$Y$2007,$I141)))</f>
        <v/>
      </c>
      <c r="D141" s="44">
        <f>IF($H141="","",IF($H141=1,INDEX(입금_은행1!$Z$8:$Z$2007,$I141),INDEX(입금_은행2!$Z$8:$Z$2007,$I141)))</f>
        <v/>
      </c>
      <c r="E141" s="38">
        <f>IF($H141="","",IF($H141=1,INDEX(입금_은행1!$AA$8:$AA$2007,$I141),INDEX(입금_은행2!$AA$8:$AA$2007,$I141)))</f>
        <v/>
      </c>
      <c r="F141" s="38">
        <f>IF($H141="","","거래처 입금이면 별칭 등록")</f>
        <v/>
      </c>
      <c r="H141" s="31">
        <f>IF(135&lt;=MAX(입금_은행1!$AD$8:$AD$2007),1,IF(135-MAX(입금_은행1!$AD$8:$AD$2007)&lt;=MAX(입금_은행2!$AD$8:$AD$2007),2,""))</f>
        <v/>
      </c>
      <c r="I141" s="31">
        <f>IF($H141="","",IF($H141=1,MATCH(135,입금_은행1!$AD$8:$AD$2007,0),MATCH(135-MAX(입금_은행1!$AD$8:$AD$2007),입금_은행2!$AD$8:$AD$2007,0)))</f>
        <v/>
      </c>
    </row>
    <row r="142">
      <c r="A142" s="38">
        <f>IF($H142="","",136)</f>
        <v/>
      </c>
      <c r="B142" s="38">
        <f>IF($H142="","",IF($H142=1,입금_은행1!$A$5,입금_은행2!$A$5))</f>
        <v/>
      </c>
      <c r="C142" s="40">
        <f>IF($H142="","",IF($H142=1,INDEX(입금_은행1!$Y$8:$Y$2007,$I142),INDEX(입금_은행2!$Y$8:$Y$2007,$I142)))</f>
        <v/>
      </c>
      <c r="D142" s="44">
        <f>IF($H142="","",IF($H142=1,INDEX(입금_은행1!$Z$8:$Z$2007,$I142),INDEX(입금_은행2!$Z$8:$Z$2007,$I142)))</f>
        <v/>
      </c>
      <c r="E142" s="38">
        <f>IF($H142="","",IF($H142=1,INDEX(입금_은행1!$AA$8:$AA$2007,$I142),INDEX(입금_은행2!$AA$8:$AA$2007,$I142)))</f>
        <v/>
      </c>
      <c r="F142" s="38">
        <f>IF($H142="","","거래처 입금이면 별칭 등록")</f>
        <v/>
      </c>
      <c r="H142" s="31">
        <f>IF(136&lt;=MAX(입금_은행1!$AD$8:$AD$2007),1,IF(136-MAX(입금_은행1!$AD$8:$AD$2007)&lt;=MAX(입금_은행2!$AD$8:$AD$2007),2,""))</f>
        <v/>
      </c>
      <c r="I142" s="31">
        <f>IF($H142="","",IF($H142=1,MATCH(136,입금_은행1!$AD$8:$AD$2007,0),MATCH(136-MAX(입금_은행1!$AD$8:$AD$2007),입금_은행2!$AD$8:$AD$2007,0)))</f>
        <v/>
      </c>
    </row>
    <row r="143">
      <c r="A143" s="38">
        <f>IF($H143="","",137)</f>
        <v/>
      </c>
      <c r="B143" s="38">
        <f>IF($H143="","",IF($H143=1,입금_은행1!$A$5,입금_은행2!$A$5))</f>
        <v/>
      </c>
      <c r="C143" s="40">
        <f>IF($H143="","",IF($H143=1,INDEX(입금_은행1!$Y$8:$Y$2007,$I143),INDEX(입금_은행2!$Y$8:$Y$2007,$I143)))</f>
        <v/>
      </c>
      <c r="D143" s="44">
        <f>IF($H143="","",IF($H143=1,INDEX(입금_은행1!$Z$8:$Z$2007,$I143),INDEX(입금_은행2!$Z$8:$Z$2007,$I143)))</f>
        <v/>
      </c>
      <c r="E143" s="38">
        <f>IF($H143="","",IF($H143=1,INDEX(입금_은행1!$AA$8:$AA$2007,$I143),INDEX(입금_은행2!$AA$8:$AA$2007,$I143)))</f>
        <v/>
      </c>
      <c r="F143" s="38">
        <f>IF($H143="","","거래처 입금이면 별칭 등록")</f>
        <v/>
      </c>
      <c r="H143" s="31">
        <f>IF(137&lt;=MAX(입금_은행1!$AD$8:$AD$2007),1,IF(137-MAX(입금_은행1!$AD$8:$AD$2007)&lt;=MAX(입금_은행2!$AD$8:$AD$2007),2,""))</f>
        <v/>
      </c>
      <c r="I143" s="31">
        <f>IF($H143="","",IF($H143=1,MATCH(137,입금_은행1!$AD$8:$AD$2007,0),MATCH(137-MAX(입금_은행1!$AD$8:$AD$2007),입금_은행2!$AD$8:$AD$2007,0)))</f>
        <v/>
      </c>
    </row>
    <row r="144">
      <c r="A144" s="38">
        <f>IF($H144="","",138)</f>
        <v/>
      </c>
      <c r="B144" s="38">
        <f>IF($H144="","",IF($H144=1,입금_은행1!$A$5,입금_은행2!$A$5))</f>
        <v/>
      </c>
      <c r="C144" s="40">
        <f>IF($H144="","",IF($H144=1,INDEX(입금_은행1!$Y$8:$Y$2007,$I144),INDEX(입금_은행2!$Y$8:$Y$2007,$I144)))</f>
        <v/>
      </c>
      <c r="D144" s="44">
        <f>IF($H144="","",IF($H144=1,INDEX(입금_은행1!$Z$8:$Z$2007,$I144),INDEX(입금_은행2!$Z$8:$Z$2007,$I144)))</f>
        <v/>
      </c>
      <c r="E144" s="38">
        <f>IF($H144="","",IF($H144=1,INDEX(입금_은행1!$AA$8:$AA$2007,$I144),INDEX(입금_은행2!$AA$8:$AA$2007,$I144)))</f>
        <v/>
      </c>
      <c r="F144" s="38">
        <f>IF($H144="","","거래처 입금이면 별칭 등록")</f>
        <v/>
      </c>
      <c r="H144" s="31">
        <f>IF(138&lt;=MAX(입금_은행1!$AD$8:$AD$2007),1,IF(138-MAX(입금_은행1!$AD$8:$AD$2007)&lt;=MAX(입금_은행2!$AD$8:$AD$2007),2,""))</f>
        <v/>
      </c>
      <c r="I144" s="31">
        <f>IF($H144="","",IF($H144=1,MATCH(138,입금_은행1!$AD$8:$AD$2007,0),MATCH(138-MAX(입금_은행1!$AD$8:$AD$2007),입금_은행2!$AD$8:$AD$2007,0)))</f>
        <v/>
      </c>
    </row>
    <row r="145">
      <c r="A145" s="38">
        <f>IF($H145="","",139)</f>
        <v/>
      </c>
      <c r="B145" s="38">
        <f>IF($H145="","",IF($H145=1,입금_은행1!$A$5,입금_은행2!$A$5))</f>
        <v/>
      </c>
      <c r="C145" s="40">
        <f>IF($H145="","",IF($H145=1,INDEX(입금_은행1!$Y$8:$Y$2007,$I145),INDEX(입금_은행2!$Y$8:$Y$2007,$I145)))</f>
        <v/>
      </c>
      <c r="D145" s="44">
        <f>IF($H145="","",IF($H145=1,INDEX(입금_은행1!$Z$8:$Z$2007,$I145),INDEX(입금_은행2!$Z$8:$Z$2007,$I145)))</f>
        <v/>
      </c>
      <c r="E145" s="38">
        <f>IF($H145="","",IF($H145=1,INDEX(입금_은행1!$AA$8:$AA$2007,$I145),INDEX(입금_은행2!$AA$8:$AA$2007,$I145)))</f>
        <v/>
      </c>
      <c r="F145" s="38">
        <f>IF($H145="","","거래처 입금이면 별칭 등록")</f>
        <v/>
      </c>
      <c r="H145" s="31">
        <f>IF(139&lt;=MAX(입금_은행1!$AD$8:$AD$2007),1,IF(139-MAX(입금_은행1!$AD$8:$AD$2007)&lt;=MAX(입금_은행2!$AD$8:$AD$2007),2,""))</f>
        <v/>
      </c>
      <c r="I145" s="31">
        <f>IF($H145="","",IF($H145=1,MATCH(139,입금_은행1!$AD$8:$AD$2007,0),MATCH(139-MAX(입금_은행1!$AD$8:$AD$2007),입금_은행2!$AD$8:$AD$2007,0)))</f>
        <v/>
      </c>
    </row>
    <row r="146">
      <c r="A146" s="38">
        <f>IF($H146="","",140)</f>
        <v/>
      </c>
      <c r="B146" s="38">
        <f>IF($H146="","",IF($H146=1,입금_은행1!$A$5,입금_은행2!$A$5))</f>
        <v/>
      </c>
      <c r="C146" s="40">
        <f>IF($H146="","",IF($H146=1,INDEX(입금_은행1!$Y$8:$Y$2007,$I146),INDEX(입금_은행2!$Y$8:$Y$2007,$I146)))</f>
        <v/>
      </c>
      <c r="D146" s="44">
        <f>IF($H146="","",IF($H146=1,INDEX(입금_은행1!$Z$8:$Z$2007,$I146),INDEX(입금_은행2!$Z$8:$Z$2007,$I146)))</f>
        <v/>
      </c>
      <c r="E146" s="38">
        <f>IF($H146="","",IF($H146=1,INDEX(입금_은행1!$AA$8:$AA$2007,$I146),INDEX(입금_은행2!$AA$8:$AA$2007,$I146)))</f>
        <v/>
      </c>
      <c r="F146" s="38">
        <f>IF($H146="","","거래처 입금이면 별칭 등록")</f>
        <v/>
      </c>
      <c r="H146" s="31">
        <f>IF(140&lt;=MAX(입금_은행1!$AD$8:$AD$2007),1,IF(140-MAX(입금_은행1!$AD$8:$AD$2007)&lt;=MAX(입금_은행2!$AD$8:$AD$2007),2,""))</f>
        <v/>
      </c>
      <c r="I146" s="31">
        <f>IF($H146="","",IF($H146=1,MATCH(140,입금_은행1!$AD$8:$AD$2007,0),MATCH(140-MAX(입금_은행1!$AD$8:$AD$2007),입금_은행2!$AD$8:$AD$2007,0)))</f>
        <v/>
      </c>
    </row>
    <row r="147">
      <c r="A147" s="38">
        <f>IF($H147="","",141)</f>
        <v/>
      </c>
      <c r="B147" s="38">
        <f>IF($H147="","",IF($H147=1,입금_은행1!$A$5,입금_은행2!$A$5))</f>
        <v/>
      </c>
      <c r="C147" s="40">
        <f>IF($H147="","",IF($H147=1,INDEX(입금_은행1!$Y$8:$Y$2007,$I147),INDEX(입금_은행2!$Y$8:$Y$2007,$I147)))</f>
        <v/>
      </c>
      <c r="D147" s="44">
        <f>IF($H147="","",IF($H147=1,INDEX(입금_은행1!$Z$8:$Z$2007,$I147),INDEX(입금_은행2!$Z$8:$Z$2007,$I147)))</f>
        <v/>
      </c>
      <c r="E147" s="38">
        <f>IF($H147="","",IF($H147=1,INDEX(입금_은행1!$AA$8:$AA$2007,$I147),INDEX(입금_은행2!$AA$8:$AA$2007,$I147)))</f>
        <v/>
      </c>
      <c r="F147" s="38">
        <f>IF($H147="","","거래처 입금이면 별칭 등록")</f>
        <v/>
      </c>
      <c r="H147" s="31">
        <f>IF(141&lt;=MAX(입금_은행1!$AD$8:$AD$2007),1,IF(141-MAX(입금_은행1!$AD$8:$AD$2007)&lt;=MAX(입금_은행2!$AD$8:$AD$2007),2,""))</f>
        <v/>
      </c>
      <c r="I147" s="31">
        <f>IF($H147="","",IF($H147=1,MATCH(141,입금_은행1!$AD$8:$AD$2007,0),MATCH(141-MAX(입금_은행1!$AD$8:$AD$2007),입금_은행2!$AD$8:$AD$2007,0)))</f>
        <v/>
      </c>
    </row>
    <row r="148">
      <c r="A148" s="38">
        <f>IF($H148="","",142)</f>
        <v/>
      </c>
      <c r="B148" s="38">
        <f>IF($H148="","",IF($H148=1,입금_은행1!$A$5,입금_은행2!$A$5))</f>
        <v/>
      </c>
      <c r="C148" s="40">
        <f>IF($H148="","",IF($H148=1,INDEX(입금_은행1!$Y$8:$Y$2007,$I148),INDEX(입금_은행2!$Y$8:$Y$2007,$I148)))</f>
        <v/>
      </c>
      <c r="D148" s="44">
        <f>IF($H148="","",IF($H148=1,INDEX(입금_은행1!$Z$8:$Z$2007,$I148),INDEX(입금_은행2!$Z$8:$Z$2007,$I148)))</f>
        <v/>
      </c>
      <c r="E148" s="38">
        <f>IF($H148="","",IF($H148=1,INDEX(입금_은행1!$AA$8:$AA$2007,$I148),INDEX(입금_은행2!$AA$8:$AA$2007,$I148)))</f>
        <v/>
      </c>
      <c r="F148" s="38">
        <f>IF($H148="","","거래처 입금이면 별칭 등록")</f>
        <v/>
      </c>
      <c r="H148" s="31">
        <f>IF(142&lt;=MAX(입금_은행1!$AD$8:$AD$2007),1,IF(142-MAX(입금_은행1!$AD$8:$AD$2007)&lt;=MAX(입금_은행2!$AD$8:$AD$2007),2,""))</f>
        <v/>
      </c>
      <c r="I148" s="31">
        <f>IF($H148="","",IF($H148=1,MATCH(142,입금_은행1!$AD$8:$AD$2007,0),MATCH(142-MAX(입금_은행1!$AD$8:$AD$2007),입금_은행2!$AD$8:$AD$2007,0)))</f>
        <v/>
      </c>
    </row>
    <row r="149">
      <c r="A149" s="38">
        <f>IF($H149="","",143)</f>
        <v/>
      </c>
      <c r="B149" s="38">
        <f>IF($H149="","",IF($H149=1,입금_은행1!$A$5,입금_은행2!$A$5))</f>
        <v/>
      </c>
      <c r="C149" s="40">
        <f>IF($H149="","",IF($H149=1,INDEX(입금_은행1!$Y$8:$Y$2007,$I149),INDEX(입금_은행2!$Y$8:$Y$2007,$I149)))</f>
        <v/>
      </c>
      <c r="D149" s="44">
        <f>IF($H149="","",IF($H149=1,INDEX(입금_은행1!$Z$8:$Z$2007,$I149),INDEX(입금_은행2!$Z$8:$Z$2007,$I149)))</f>
        <v/>
      </c>
      <c r="E149" s="38">
        <f>IF($H149="","",IF($H149=1,INDEX(입금_은행1!$AA$8:$AA$2007,$I149),INDEX(입금_은행2!$AA$8:$AA$2007,$I149)))</f>
        <v/>
      </c>
      <c r="F149" s="38">
        <f>IF($H149="","","거래처 입금이면 별칭 등록")</f>
        <v/>
      </c>
      <c r="H149" s="31">
        <f>IF(143&lt;=MAX(입금_은행1!$AD$8:$AD$2007),1,IF(143-MAX(입금_은행1!$AD$8:$AD$2007)&lt;=MAX(입금_은행2!$AD$8:$AD$2007),2,""))</f>
        <v/>
      </c>
      <c r="I149" s="31">
        <f>IF($H149="","",IF($H149=1,MATCH(143,입금_은행1!$AD$8:$AD$2007,0),MATCH(143-MAX(입금_은행1!$AD$8:$AD$2007),입금_은행2!$AD$8:$AD$2007,0)))</f>
        <v/>
      </c>
    </row>
    <row r="150">
      <c r="A150" s="38">
        <f>IF($H150="","",144)</f>
        <v/>
      </c>
      <c r="B150" s="38">
        <f>IF($H150="","",IF($H150=1,입금_은행1!$A$5,입금_은행2!$A$5))</f>
        <v/>
      </c>
      <c r="C150" s="40">
        <f>IF($H150="","",IF($H150=1,INDEX(입금_은행1!$Y$8:$Y$2007,$I150),INDEX(입금_은행2!$Y$8:$Y$2007,$I150)))</f>
        <v/>
      </c>
      <c r="D150" s="44">
        <f>IF($H150="","",IF($H150=1,INDEX(입금_은행1!$Z$8:$Z$2007,$I150),INDEX(입금_은행2!$Z$8:$Z$2007,$I150)))</f>
        <v/>
      </c>
      <c r="E150" s="38">
        <f>IF($H150="","",IF($H150=1,INDEX(입금_은행1!$AA$8:$AA$2007,$I150),INDEX(입금_은행2!$AA$8:$AA$2007,$I150)))</f>
        <v/>
      </c>
      <c r="F150" s="38">
        <f>IF($H150="","","거래처 입금이면 별칭 등록")</f>
        <v/>
      </c>
      <c r="H150" s="31">
        <f>IF(144&lt;=MAX(입금_은행1!$AD$8:$AD$2007),1,IF(144-MAX(입금_은행1!$AD$8:$AD$2007)&lt;=MAX(입금_은행2!$AD$8:$AD$2007),2,""))</f>
        <v/>
      </c>
      <c r="I150" s="31">
        <f>IF($H150="","",IF($H150=1,MATCH(144,입금_은행1!$AD$8:$AD$2007,0),MATCH(144-MAX(입금_은행1!$AD$8:$AD$2007),입금_은행2!$AD$8:$AD$2007,0)))</f>
        <v/>
      </c>
    </row>
    <row r="151">
      <c r="A151" s="38">
        <f>IF($H151="","",145)</f>
        <v/>
      </c>
      <c r="B151" s="38">
        <f>IF($H151="","",IF($H151=1,입금_은행1!$A$5,입금_은행2!$A$5))</f>
        <v/>
      </c>
      <c r="C151" s="40">
        <f>IF($H151="","",IF($H151=1,INDEX(입금_은행1!$Y$8:$Y$2007,$I151),INDEX(입금_은행2!$Y$8:$Y$2007,$I151)))</f>
        <v/>
      </c>
      <c r="D151" s="44">
        <f>IF($H151="","",IF($H151=1,INDEX(입금_은행1!$Z$8:$Z$2007,$I151),INDEX(입금_은행2!$Z$8:$Z$2007,$I151)))</f>
        <v/>
      </c>
      <c r="E151" s="38">
        <f>IF($H151="","",IF($H151=1,INDEX(입금_은행1!$AA$8:$AA$2007,$I151),INDEX(입금_은행2!$AA$8:$AA$2007,$I151)))</f>
        <v/>
      </c>
      <c r="F151" s="38">
        <f>IF($H151="","","거래처 입금이면 별칭 등록")</f>
        <v/>
      </c>
      <c r="H151" s="31">
        <f>IF(145&lt;=MAX(입금_은행1!$AD$8:$AD$2007),1,IF(145-MAX(입금_은행1!$AD$8:$AD$2007)&lt;=MAX(입금_은행2!$AD$8:$AD$2007),2,""))</f>
        <v/>
      </c>
      <c r="I151" s="31">
        <f>IF($H151="","",IF($H151=1,MATCH(145,입금_은행1!$AD$8:$AD$2007,0),MATCH(145-MAX(입금_은행1!$AD$8:$AD$2007),입금_은행2!$AD$8:$AD$2007,0)))</f>
        <v/>
      </c>
    </row>
    <row r="152">
      <c r="A152" s="38">
        <f>IF($H152="","",146)</f>
        <v/>
      </c>
      <c r="B152" s="38">
        <f>IF($H152="","",IF($H152=1,입금_은행1!$A$5,입금_은행2!$A$5))</f>
        <v/>
      </c>
      <c r="C152" s="40">
        <f>IF($H152="","",IF($H152=1,INDEX(입금_은행1!$Y$8:$Y$2007,$I152),INDEX(입금_은행2!$Y$8:$Y$2007,$I152)))</f>
        <v/>
      </c>
      <c r="D152" s="44">
        <f>IF($H152="","",IF($H152=1,INDEX(입금_은행1!$Z$8:$Z$2007,$I152),INDEX(입금_은행2!$Z$8:$Z$2007,$I152)))</f>
        <v/>
      </c>
      <c r="E152" s="38">
        <f>IF($H152="","",IF($H152=1,INDEX(입금_은행1!$AA$8:$AA$2007,$I152),INDEX(입금_은행2!$AA$8:$AA$2007,$I152)))</f>
        <v/>
      </c>
      <c r="F152" s="38">
        <f>IF($H152="","","거래처 입금이면 별칭 등록")</f>
        <v/>
      </c>
      <c r="H152" s="31">
        <f>IF(146&lt;=MAX(입금_은행1!$AD$8:$AD$2007),1,IF(146-MAX(입금_은행1!$AD$8:$AD$2007)&lt;=MAX(입금_은행2!$AD$8:$AD$2007),2,""))</f>
        <v/>
      </c>
      <c r="I152" s="31">
        <f>IF($H152="","",IF($H152=1,MATCH(146,입금_은행1!$AD$8:$AD$2007,0),MATCH(146-MAX(입금_은행1!$AD$8:$AD$2007),입금_은행2!$AD$8:$AD$2007,0)))</f>
        <v/>
      </c>
    </row>
    <row r="153">
      <c r="A153" s="38">
        <f>IF($H153="","",147)</f>
        <v/>
      </c>
      <c r="B153" s="38">
        <f>IF($H153="","",IF($H153=1,입금_은행1!$A$5,입금_은행2!$A$5))</f>
        <v/>
      </c>
      <c r="C153" s="40">
        <f>IF($H153="","",IF($H153=1,INDEX(입금_은행1!$Y$8:$Y$2007,$I153),INDEX(입금_은행2!$Y$8:$Y$2007,$I153)))</f>
        <v/>
      </c>
      <c r="D153" s="44">
        <f>IF($H153="","",IF($H153=1,INDEX(입금_은행1!$Z$8:$Z$2007,$I153),INDEX(입금_은행2!$Z$8:$Z$2007,$I153)))</f>
        <v/>
      </c>
      <c r="E153" s="38">
        <f>IF($H153="","",IF($H153=1,INDEX(입금_은행1!$AA$8:$AA$2007,$I153),INDEX(입금_은행2!$AA$8:$AA$2007,$I153)))</f>
        <v/>
      </c>
      <c r="F153" s="38">
        <f>IF($H153="","","거래처 입금이면 별칭 등록")</f>
        <v/>
      </c>
      <c r="H153" s="31">
        <f>IF(147&lt;=MAX(입금_은행1!$AD$8:$AD$2007),1,IF(147-MAX(입금_은행1!$AD$8:$AD$2007)&lt;=MAX(입금_은행2!$AD$8:$AD$2007),2,""))</f>
        <v/>
      </c>
      <c r="I153" s="31">
        <f>IF($H153="","",IF($H153=1,MATCH(147,입금_은행1!$AD$8:$AD$2007,0),MATCH(147-MAX(입금_은행1!$AD$8:$AD$2007),입금_은행2!$AD$8:$AD$2007,0)))</f>
        <v/>
      </c>
    </row>
    <row r="154">
      <c r="A154" s="38">
        <f>IF($H154="","",148)</f>
        <v/>
      </c>
      <c r="B154" s="38">
        <f>IF($H154="","",IF($H154=1,입금_은행1!$A$5,입금_은행2!$A$5))</f>
        <v/>
      </c>
      <c r="C154" s="40">
        <f>IF($H154="","",IF($H154=1,INDEX(입금_은행1!$Y$8:$Y$2007,$I154),INDEX(입금_은행2!$Y$8:$Y$2007,$I154)))</f>
        <v/>
      </c>
      <c r="D154" s="44">
        <f>IF($H154="","",IF($H154=1,INDEX(입금_은행1!$Z$8:$Z$2007,$I154),INDEX(입금_은행2!$Z$8:$Z$2007,$I154)))</f>
        <v/>
      </c>
      <c r="E154" s="38">
        <f>IF($H154="","",IF($H154=1,INDEX(입금_은행1!$AA$8:$AA$2007,$I154),INDEX(입금_은행2!$AA$8:$AA$2007,$I154)))</f>
        <v/>
      </c>
      <c r="F154" s="38">
        <f>IF($H154="","","거래처 입금이면 별칭 등록")</f>
        <v/>
      </c>
      <c r="H154" s="31">
        <f>IF(148&lt;=MAX(입금_은행1!$AD$8:$AD$2007),1,IF(148-MAX(입금_은행1!$AD$8:$AD$2007)&lt;=MAX(입금_은행2!$AD$8:$AD$2007),2,""))</f>
        <v/>
      </c>
      <c r="I154" s="31">
        <f>IF($H154="","",IF($H154=1,MATCH(148,입금_은행1!$AD$8:$AD$2007,0),MATCH(148-MAX(입금_은행1!$AD$8:$AD$2007),입금_은행2!$AD$8:$AD$2007,0)))</f>
        <v/>
      </c>
    </row>
    <row r="155">
      <c r="A155" s="38">
        <f>IF($H155="","",149)</f>
        <v/>
      </c>
      <c r="B155" s="38">
        <f>IF($H155="","",IF($H155=1,입금_은행1!$A$5,입금_은행2!$A$5))</f>
        <v/>
      </c>
      <c r="C155" s="40">
        <f>IF($H155="","",IF($H155=1,INDEX(입금_은행1!$Y$8:$Y$2007,$I155),INDEX(입금_은행2!$Y$8:$Y$2007,$I155)))</f>
        <v/>
      </c>
      <c r="D155" s="44">
        <f>IF($H155="","",IF($H155=1,INDEX(입금_은행1!$Z$8:$Z$2007,$I155),INDEX(입금_은행2!$Z$8:$Z$2007,$I155)))</f>
        <v/>
      </c>
      <c r="E155" s="38">
        <f>IF($H155="","",IF($H155=1,INDEX(입금_은행1!$AA$8:$AA$2007,$I155),INDEX(입금_은행2!$AA$8:$AA$2007,$I155)))</f>
        <v/>
      </c>
      <c r="F155" s="38">
        <f>IF($H155="","","거래처 입금이면 별칭 등록")</f>
        <v/>
      </c>
      <c r="H155" s="31">
        <f>IF(149&lt;=MAX(입금_은행1!$AD$8:$AD$2007),1,IF(149-MAX(입금_은행1!$AD$8:$AD$2007)&lt;=MAX(입금_은행2!$AD$8:$AD$2007),2,""))</f>
        <v/>
      </c>
      <c r="I155" s="31">
        <f>IF($H155="","",IF($H155=1,MATCH(149,입금_은행1!$AD$8:$AD$2007,0),MATCH(149-MAX(입금_은행1!$AD$8:$AD$2007),입금_은행2!$AD$8:$AD$2007,0)))</f>
        <v/>
      </c>
    </row>
    <row r="156">
      <c r="A156" s="38">
        <f>IF($H156="","",150)</f>
        <v/>
      </c>
      <c r="B156" s="38">
        <f>IF($H156="","",IF($H156=1,입금_은행1!$A$5,입금_은행2!$A$5))</f>
        <v/>
      </c>
      <c r="C156" s="40">
        <f>IF($H156="","",IF($H156=1,INDEX(입금_은행1!$Y$8:$Y$2007,$I156),INDEX(입금_은행2!$Y$8:$Y$2007,$I156)))</f>
        <v/>
      </c>
      <c r="D156" s="44">
        <f>IF($H156="","",IF($H156=1,INDEX(입금_은행1!$Z$8:$Z$2007,$I156),INDEX(입금_은행2!$Z$8:$Z$2007,$I156)))</f>
        <v/>
      </c>
      <c r="E156" s="38">
        <f>IF($H156="","",IF($H156=1,INDEX(입금_은행1!$AA$8:$AA$2007,$I156),INDEX(입금_은행2!$AA$8:$AA$2007,$I156)))</f>
        <v/>
      </c>
      <c r="F156" s="38">
        <f>IF($H156="","","거래처 입금이면 별칭 등록")</f>
        <v/>
      </c>
      <c r="H156" s="31">
        <f>IF(150&lt;=MAX(입금_은행1!$AD$8:$AD$2007),1,IF(150-MAX(입금_은행1!$AD$8:$AD$2007)&lt;=MAX(입금_은행2!$AD$8:$AD$2007),2,""))</f>
        <v/>
      </c>
      <c r="I156" s="31">
        <f>IF($H156="","",IF($H156=1,MATCH(150,입금_은행1!$AD$8:$AD$2007,0),MATCH(150-MAX(입금_은행1!$AD$8:$AD$2007),입금_은행2!$AD$8:$AD$2007,0)))</f>
        <v/>
      </c>
    </row>
    <row r="157">
      <c r="A157" s="38">
        <f>IF($H157="","",151)</f>
        <v/>
      </c>
      <c r="B157" s="38">
        <f>IF($H157="","",IF($H157=1,입금_은행1!$A$5,입금_은행2!$A$5))</f>
        <v/>
      </c>
      <c r="C157" s="40">
        <f>IF($H157="","",IF($H157=1,INDEX(입금_은행1!$Y$8:$Y$2007,$I157),INDEX(입금_은행2!$Y$8:$Y$2007,$I157)))</f>
        <v/>
      </c>
      <c r="D157" s="44">
        <f>IF($H157="","",IF($H157=1,INDEX(입금_은행1!$Z$8:$Z$2007,$I157),INDEX(입금_은행2!$Z$8:$Z$2007,$I157)))</f>
        <v/>
      </c>
      <c r="E157" s="38">
        <f>IF($H157="","",IF($H157=1,INDEX(입금_은행1!$AA$8:$AA$2007,$I157),INDEX(입금_은행2!$AA$8:$AA$2007,$I157)))</f>
        <v/>
      </c>
      <c r="F157" s="38">
        <f>IF($H157="","","거래처 입금이면 별칭 등록")</f>
        <v/>
      </c>
      <c r="H157" s="31">
        <f>IF(151&lt;=MAX(입금_은행1!$AD$8:$AD$2007),1,IF(151-MAX(입금_은행1!$AD$8:$AD$2007)&lt;=MAX(입금_은행2!$AD$8:$AD$2007),2,""))</f>
        <v/>
      </c>
      <c r="I157" s="31">
        <f>IF($H157="","",IF($H157=1,MATCH(151,입금_은행1!$AD$8:$AD$2007,0),MATCH(151-MAX(입금_은행1!$AD$8:$AD$2007),입금_은행2!$AD$8:$AD$2007,0)))</f>
        <v/>
      </c>
    </row>
    <row r="158">
      <c r="A158" s="38">
        <f>IF($H158="","",152)</f>
        <v/>
      </c>
      <c r="B158" s="38">
        <f>IF($H158="","",IF($H158=1,입금_은행1!$A$5,입금_은행2!$A$5))</f>
        <v/>
      </c>
      <c r="C158" s="40">
        <f>IF($H158="","",IF($H158=1,INDEX(입금_은행1!$Y$8:$Y$2007,$I158),INDEX(입금_은행2!$Y$8:$Y$2007,$I158)))</f>
        <v/>
      </c>
      <c r="D158" s="44">
        <f>IF($H158="","",IF($H158=1,INDEX(입금_은행1!$Z$8:$Z$2007,$I158),INDEX(입금_은행2!$Z$8:$Z$2007,$I158)))</f>
        <v/>
      </c>
      <c r="E158" s="38">
        <f>IF($H158="","",IF($H158=1,INDEX(입금_은행1!$AA$8:$AA$2007,$I158),INDEX(입금_은행2!$AA$8:$AA$2007,$I158)))</f>
        <v/>
      </c>
      <c r="F158" s="38">
        <f>IF($H158="","","거래처 입금이면 별칭 등록")</f>
        <v/>
      </c>
      <c r="H158" s="31">
        <f>IF(152&lt;=MAX(입금_은행1!$AD$8:$AD$2007),1,IF(152-MAX(입금_은행1!$AD$8:$AD$2007)&lt;=MAX(입금_은행2!$AD$8:$AD$2007),2,""))</f>
        <v/>
      </c>
      <c r="I158" s="31">
        <f>IF($H158="","",IF($H158=1,MATCH(152,입금_은행1!$AD$8:$AD$2007,0),MATCH(152-MAX(입금_은행1!$AD$8:$AD$2007),입금_은행2!$AD$8:$AD$2007,0)))</f>
        <v/>
      </c>
    </row>
    <row r="159">
      <c r="A159" s="38">
        <f>IF($H159="","",153)</f>
        <v/>
      </c>
      <c r="B159" s="38">
        <f>IF($H159="","",IF($H159=1,입금_은행1!$A$5,입금_은행2!$A$5))</f>
        <v/>
      </c>
      <c r="C159" s="40">
        <f>IF($H159="","",IF($H159=1,INDEX(입금_은행1!$Y$8:$Y$2007,$I159),INDEX(입금_은행2!$Y$8:$Y$2007,$I159)))</f>
        <v/>
      </c>
      <c r="D159" s="44">
        <f>IF($H159="","",IF($H159=1,INDEX(입금_은행1!$Z$8:$Z$2007,$I159),INDEX(입금_은행2!$Z$8:$Z$2007,$I159)))</f>
        <v/>
      </c>
      <c r="E159" s="38">
        <f>IF($H159="","",IF($H159=1,INDEX(입금_은행1!$AA$8:$AA$2007,$I159),INDEX(입금_은행2!$AA$8:$AA$2007,$I159)))</f>
        <v/>
      </c>
      <c r="F159" s="38">
        <f>IF($H159="","","거래처 입금이면 별칭 등록")</f>
        <v/>
      </c>
      <c r="H159" s="31">
        <f>IF(153&lt;=MAX(입금_은행1!$AD$8:$AD$2007),1,IF(153-MAX(입금_은행1!$AD$8:$AD$2007)&lt;=MAX(입금_은행2!$AD$8:$AD$2007),2,""))</f>
        <v/>
      </c>
      <c r="I159" s="31">
        <f>IF($H159="","",IF($H159=1,MATCH(153,입금_은행1!$AD$8:$AD$2007,0),MATCH(153-MAX(입금_은행1!$AD$8:$AD$2007),입금_은행2!$AD$8:$AD$2007,0)))</f>
        <v/>
      </c>
    </row>
    <row r="160">
      <c r="A160" s="38">
        <f>IF($H160="","",154)</f>
        <v/>
      </c>
      <c r="B160" s="38">
        <f>IF($H160="","",IF($H160=1,입금_은행1!$A$5,입금_은행2!$A$5))</f>
        <v/>
      </c>
      <c r="C160" s="40">
        <f>IF($H160="","",IF($H160=1,INDEX(입금_은행1!$Y$8:$Y$2007,$I160),INDEX(입금_은행2!$Y$8:$Y$2007,$I160)))</f>
        <v/>
      </c>
      <c r="D160" s="44">
        <f>IF($H160="","",IF($H160=1,INDEX(입금_은행1!$Z$8:$Z$2007,$I160),INDEX(입금_은행2!$Z$8:$Z$2007,$I160)))</f>
        <v/>
      </c>
      <c r="E160" s="38">
        <f>IF($H160="","",IF($H160=1,INDEX(입금_은행1!$AA$8:$AA$2007,$I160),INDEX(입금_은행2!$AA$8:$AA$2007,$I160)))</f>
        <v/>
      </c>
      <c r="F160" s="38">
        <f>IF($H160="","","거래처 입금이면 별칭 등록")</f>
        <v/>
      </c>
      <c r="H160" s="31">
        <f>IF(154&lt;=MAX(입금_은행1!$AD$8:$AD$2007),1,IF(154-MAX(입금_은행1!$AD$8:$AD$2007)&lt;=MAX(입금_은행2!$AD$8:$AD$2007),2,""))</f>
        <v/>
      </c>
      <c r="I160" s="31">
        <f>IF($H160="","",IF($H160=1,MATCH(154,입금_은행1!$AD$8:$AD$2007,0),MATCH(154-MAX(입금_은행1!$AD$8:$AD$2007),입금_은행2!$AD$8:$AD$2007,0)))</f>
        <v/>
      </c>
    </row>
    <row r="161">
      <c r="A161" s="38">
        <f>IF($H161="","",155)</f>
        <v/>
      </c>
      <c r="B161" s="38">
        <f>IF($H161="","",IF($H161=1,입금_은행1!$A$5,입금_은행2!$A$5))</f>
        <v/>
      </c>
      <c r="C161" s="40">
        <f>IF($H161="","",IF($H161=1,INDEX(입금_은행1!$Y$8:$Y$2007,$I161),INDEX(입금_은행2!$Y$8:$Y$2007,$I161)))</f>
        <v/>
      </c>
      <c r="D161" s="44">
        <f>IF($H161="","",IF($H161=1,INDEX(입금_은행1!$Z$8:$Z$2007,$I161),INDEX(입금_은행2!$Z$8:$Z$2007,$I161)))</f>
        <v/>
      </c>
      <c r="E161" s="38">
        <f>IF($H161="","",IF($H161=1,INDEX(입금_은행1!$AA$8:$AA$2007,$I161),INDEX(입금_은행2!$AA$8:$AA$2007,$I161)))</f>
        <v/>
      </c>
      <c r="F161" s="38">
        <f>IF($H161="","","거래처 입금이면 별칭 등록")</f>
        <v/>
      </c>
      <c r="H161" s="31">
        <f>IF(155&lt;=MAX(입금_은행1!$AD$8:$AD$2007),1,IF(155-MAX(입금_은행1!$AD$8:$AD$2007)&lt;=MAX(입금_은행2!$AD$8:$AD$2007),2,""))</f>
        <v/>
      </c>
      <c r="I161" s="31">
        <f>IF($H161="","",IF($H161=1,MATCH(155,입금_은행1!$AD$8:$AD$2007,0),MATCH(155-MAX(입금_은행1!$AD$8:$AD$2007),입금_은행2!$AD$8:$AD$2007,0)))</f>
        <v/>
      </c>
    </row>
    <row r="162">
      <c r="A162" s="38">
        <f>IF($H162="","",156)</f>
        <v/>
      </c>
      <c r="B162" s="38">
        <f>IF($H162="","",IF($H162=1,입금_은행1!$A$5,입금_은행2!$A$5))</f>
        <v/>
      </c>
      <c r="C162" s="40">
        <f>IF($H162="","",IF($H162=1,INDEX(입금_은행1!$Y$8:$Y$2007,$I162),INDEX(입금_은행2!$Y$8:$Y$2007,$I162)))</f>
        <v/>
      </c>
      <c r="D162" s="44">
        <f>IF($H162="","",IF($H162=1,INDEX(입금_은행1!$Z$8:$Z$2007,$I162),INDEX(입금_은행2!$Z$8:$Z$2007,$I162)))</f>
        <v/>
      </c>
      <c r="E162" s="38">
        <f>IF($H162="","",IF($H162=1,INDEX(입금_은행1!$AA$8:$AA$2007,$I162),INDEX(입금_은행2!$AA$8:$AA$2007,$I162)))</f>
        <v/>
      </c>
      <c r="F162" s="38">
        <f>IF($H162="","","거래처 입금이면 별칭 등록")</f>
        <v/>
      </c>
      <c r="H162" s="31">
        <f>IF(156&lt;=MAX(입금_은행1!$AD$8:$AD$2007),1,IF(156-MAX(입금_은행1!$AD$8:$AD$2007)&lt;=MAX(입금_은행2!$AD$8:$AD$2007),2,""))</f>
        <v/>
      </c>
      <c r="I162" s="31">
        <f>IF($H162="","",IF($H162=1,MATCH(156,입금_은행1!$AD$8:$AD$2007,0),MATCH(156-MAX(입금_은행1!$AD$8:$AD$2007),입금_은행2!$AD$8:$AD$2007,0)))</f>
        <v/>
      </c>
    </row>
    <row r="163">
      <c r="A163" s="38">
        <f>IF($H163="","",157)</f>
        <v/>
      </c>
      <c r="B163" s="38">
        <f>IF($H163="","",IF($H163=1,입금_은행1!$A$5,입금_은행2!$A$5))</f>
        <v/>
      </c>
      <c r="C163" s="40">
        <f>IF($H163="","",IF($H163=1,INDEX(입금_은행1!$Y$8:$Y$2007,$I163),INDEX(입금_은행2!$Y$8:$Y$2007,$I163)))</f>
        <v/>
      </c>
      <c r="D163" s="44">
        <f>IF($H163="","",IF($H163=1,INDEX(입금_은행1!$Z$8:$Z$2007,$I163),INDEX(입금_은행2!$Z$8:$Z$2007,$I163)))</f>
        <v/>
      </c>
      <c r="E163" s="38">
        <f>IF($H163="","",IF($H163=1,INDEX(입금_은행1!$AA$8:$AA$2007,$I163),INDEX(입금_은행2!$AA$8:$AA$2007,$I163)))</f>
        <v/>
      </c>
      <c r="F163" s="38">
        <f>IF($H163="","","거래처 입금이면 별칭 등록")</f>
        <v/>
      </c>
      <c r="H163" s="31">
        <f>IF(157&lt;=MAX(입금_은행1!$AD$8:$AD$2007),1,IF(157-MAX(입금_은행1!$AD$8:$AD$2007)&lt;=MAX(입금_은행2!$AD$8:$AD$2007),2,""))</f>
        <v/>
      </c>
      <c r="I163" s="31">
        <f>IF($H163="","",IF($H163=1,MATCH(157,입금_은행1!$AD$8:$AD$2007,0),MATCH(157-MAX(입금_은행1!$AD$8:$AD$2007),입금_은행2!$AD$8:$AD$2007,0)))</f>
        <v/>
      </c>
    </row>
    <row r="164">
      <c r="A164" s="38">
        <f>IF($H164="","",158)</f>
        <v/>
      </c>
      <c r="B164" s="38">
        <f>IF($H164="","",IF($H164=1,입금_은행1!$A$5,입금_은행2!$A$5))</f>
        <v/>
      </c>
      <c r="C164" s="40">
        <f>IF($H164="","",IF($H164=1,INDEX(입금_은행1!$Y$8:$Y$2007,$I164),INDEX(입금_은행2!$Y$8:$Y$2007,$I164)))</f>
        <v/>
      </c>
      <c r="D164" s="44">
        <f>IF($H164="","",IF($H164=1,INDEX(입금_은행1!$Z$8:$Z$2007,$I164),INDEX(입금_은행2!$Z$8:$Z$2007,$I164)))</f>
        <v/>
      </c>
      <c r="E164" s="38">
        <f>IF($H164="","",IF($H164=1,INDEX(입금_은행1!$AA$8:$AA$2007,$I164),INDEX(입금_은행2!$AA$8:$AA$2007,$I164)))</f>
        <v/>
      </c>
      <c r="F164" s="38">
        <f>IF($H164="","","거래처 입금이면 별칭 등록")</f>
        <v/>
      </c>
      <c r="H164" s="31">
        <f>IF(158&lt;=MAX(입금_은행1!$AD$8:$AD$2007),1,IF(158-MAX(입금_은행1!$AD$8:$AD$2007)&lt;=MAX(입금_은행2!$AD$8:$AD$2007),2,""))</f>
        <v/>
      </c>
      <c r="I164" s="31">
        <f>IF($H164="","",IF($H164=1,MATCH(158,입금_은행1!$AD$8:$AD$2007,0),MATCH(158-MAX(입금_은행1!$AD$8:$AD$2007),입금_은행2!$AD$8:$AD$2007,0)))</f>
        <v/>
      </c>
    </row>
    <row r="165">
      <c r="A165" s="38">
        <f>IF($H165="","",159)</f>
        <v/>
      </c>
      <c r="B165" s="38">
        <f>IF($H165="","",IF($H165=1,입금_은행1!$A$5,입금_은행2!$A$5))</f>
        <v/>
      </c>
      <c r="C165" s="40">
        <f>IF($H165="","",IF($H165=1,INDEX(입금_은행1!$Y$8:$Y$2007,$I165),INDEX(입금_은행2!$Y$8:$Y$2007,$I165)))</f>
        <v/>
      </c>
      <c r="D165" s="44">
        <f>IF($H165="","",IF($H165=1,INDEX(입금_은행1!$Z$8:$Z$2007,$I165),INDEX(입금_은행2!$Z$8:$Z$2007,$I165)))</f>
        <v/>
      </c>
      <c r="E165" s="38">
        <f>IF($H165="","",IF($H165=1,INDEX(입금_은행1!$AA$8:$AA$2007,$I165),INDEX(입금_은행2!$AA$8:$AA$2007,$I165)))</f>
        <v/>
      </c>
      <c r="F165" s="38">
        <f>IF($H165="","","거래처 입금이면 별칭 등록")</f>
        <v/>
      </c>
      <c r="H165" s="31">
        <f>IF(159&lt;=MAX(입금_은행1!$AD$8:$AD$2007),1,IF(159-MAX(입금_은행1!$AD$8:$AD$2007)&lt;=MAX(입금_은행2!$AD$8:$AD$2007),2,""))</f>
        <v/>
      </c>
      <c r="I165" s="31">
        <f>IF($H165="","",IF($H165=1,MATCH(159,입금_은행1!$AD$8:$AD$2007,0),MATCH(159-MAX(입금_은행1!$AD$8:$AD$2007),입금_은행2!$AD$8:$AD$2007,0)))</f>
        <v/>
      </c>
    </row>
    <row r="166">
      <c r="A166" s="38">
        <f>IF($H166="","",160)</f>
        <v/>
      </c>
      <c r="B166" s="38">
        <f>IF($H166="","",IF($H166=1,입금_은행1!$A$5,입금_은행2!$A$5))</f>
        <v/>
      </c>
      <c r="C166" s="40">
        <f>IF($H166="","",IF($H166=1,INDEX(입금_은행1!$Y$8:$Y$2007,$I166),INDEX(입금_은행2!$Y$8:$Y$2007,$I166)))</f>
        <v/>
      </c>
      <c r="D166" s="44">
        <f>IF($H166="","",IF($H166=1,INDEX(입금_은행1!$Z$8:$Z$2007,$I166),INDEX(입금_은행2!$Z$8:$Z$2007,$I166)))</f>
        <v/>
      </c>
      <c r="E166" s="38">
        <f>IF($H166="","",IF($H166=1,INDEX(입금_은행1!$AA$8:$AA$2007,$I166),INDEX(입금_은행2!$AA$8:$AA$2007,$I166)))</f>
        <v/>
      </c>
      <c r="F166" s="38">
        <f>IF($H166="","","거래처 입금이면 별칭 등록")</f>
        <v/>
      </c>
      <c r="H166" s="31">
        <f>IF(160&lt;=MAX(입금_은행1!$AD$8:$AD$2007),1,IF(160-MAX(입금_은행1!$AD$8:$AD$2007)&lt;=MAX(입금_은행2!$AD$8:$AD$2007),2,""))</f>
        <v/>
      </c>
      <c r="I166" s="31">
        <f>IF($H166="","",IF($H166=1,MATCH(160,입금_은행1!$AD$8:$AD$2007,0),MATCH(160-MAX(입금_은행1!$AD$8:$AD$2007),입금_은행2!$AD$8:$AD$2007,0)))</f>
        <v/>
      </c>
    </row>
    <row r="167">
      <c r="A167" s="38">
        <f>IF($H167="","",161)</f>
        <v/>
      </c>
      <c r="B167" s="38">
        <f>IF($H167="","",IF($H167=1,입금_은행1!$A$5,입금_은행2!$A$5))</f>
        <v/>
      </c>
      <c r="C167" s="40">
        <f>IF($H167="","",IF($H167=1,INDEX(입금_은행1!$Y$8:$Y$2007,$I167),INDEX(입금_은행2!$Y$8:$Y$2007,$I167)))</f>
        <v/>
      </c>
      <c r="D167" s="44">
        <f>IF($H167="","",IF($H167=1,INDEX(입금_은행1!$Z$8:$Z$2007,$I167),INDEX(입금_은행2!$Z$8:$Z$2007,$I167)))</f>
        <v/>
      </c>
      <c r="E167" s="38">
        <f>IF($H167="","",IF($H167=1,INDEX(입금_은행1!$AA$8:$AA$2007,$I167),INDEX(입금_은행2!$AA$8:$AA$2007,$I167)))</f>
        <v/>
      </c>
      <c r="F167" s="38">
        <f>IF($H167="","","거래처 입금이면 별칭 등록")</f>
        <v/>
      </c>
      <c r="H167" s="31">
        <f>IF(161&lt;=MAX(입금_은행1!$AD$8:$AD$2007),1,IF(161-MAX(입금_은행1!$AD$8:$AD$2007)&lt;=MAX(입금_은행2!$AD$8:$AD$2007),2,""))</f>
        <v/>
      </c>
      <c r="I167" s="31">
        <f>IF($H167="","",IF($H167=1,MATCH(161,입금_은행1!$AD$8:$AD$2007,0),MATCH(161-MAX(입금_은행1!$AD$8:$AD$2007),입금_은행2!$AD$8:$AD$2007,0)))</f>
        <v/>
      </c>
    </row>
    <row r="168">
      <c r="A168" s="38">
        <f>IF($H168="","",162)</f>
        <v/>
      </c>
      <c r="B168" s="38">
        <f>IF($H168="","",IF($H168=1,입금_은행1!$A$5,입금_은행2!$A$5))</f>
        <v/>
      </c>
      <c r="C168" s="40">
        <f>IF($H168="","",IF($H168=1,INDEX(입금_은행1!$Y$8:$Y$2007,$I168),INDEX(입금_은행2!$Y$8:$Y$2007,$I168)))</f>
        <v/>
      </c>
      <c r="D168" s="44">
        <f>IF($H168="","",IF($H168=1,INDEX(입금_은행1!$Z$8:$Z$2007,$I168),INDEX(입금_은행2!$Z$8:$Z$2007,$I168)))</f>
        <v/>
      </c>
      <c r="E168" s="38">
        <f>IF($H168="","",IF($H168=1,INDEX(입금_은행1!$AA$8:$AA$2007,$I168),INDEX(입금_은행2!$AA$8:$AA$2007,$I168)))</f>
        <v/>
      </c>
      <c r="F168" s="38">
        <f>IF($H168="","","거래처 입금이면 별칭 등록")</f>
        <v/>
      </c>
      <c r="H168" s="31">
        <f>IF(162&lt;=MAX(입금_은행1!$AD$8:$AD$2007),1,IF(162-MAX(입금_은행1!$AD$8:$AD$2007)&lt;=MAX(입금_은행2!$AD$8:$AD$2007),2,""))</f>
        <v/>
      </c>
      <c r="I168" s="31">
        <f>IF($H168="","",IF($H168=1,MATCH(162,입금_은행1!$AD$8:$AD$2007,0),MATCH(162-MAX(입금_은행1!$AD$8:$AD$2007),입금_은행2!$AD$8:$AD$2007,0)))</f>
        <v/>
      </c>
    </row>
    <row r="169">
      <c r="A169" s="38">
        <f>IF($H169="","",163)</f>
        <v/>
      </c>
      <c r="B169" s="38">
        <f>IF($H169="","",IF($H169=1,입금_은행1!$A$5,입금_은행2!$A$5))</f>
        <v/>
      </c>
      <c r="C169" s="40">
        <f>IF($H169="","",IF($H169=1,INDEX(입금_은행1!$Y$8:$Y$2007,$I169),INDEX(입금_은행2!$Y$8:$Y$2007,$I169)))</f>
        <v/>
      </c>
      <c r="D169" s="44">
        <f>IF($H169="","",IF($H169=1,INDEX(입금_은행1!$Z$8:$Z$2007,$I169),INDEX(입금_은행2!$Z$8:$Z$2007,$I169)))</f>
        <v/>
      </c>
      <c r="E169" s="38">
        <f>IF($H169="","",IF($H169=1,INDEX(입금_은행1!$AA$8:$AA$2007,$I169),INDEX(입금_은행2!$AA$8:$AA$2007,$I169)))</f>
        <v/>
      </c>
      <c r="F169" s="38">
        <f>IF($H169="","","거래처 입금이면 별칭 등록")</f>
        <v/>
      </c>
      <c r="H169" s="31">
        <f>IF(163&lt;=MAX(입금_은행1!$AD$8:$AD$2007),1,IF(163-MAX(입금_은행1!$AD$8:$AD$2007)&lt;=MAX(입금_은행2!$AD$8:$AD$2007),2,""))</f>
        <v/>
      </c>
      <c r="I169" s="31">
        <f>IF($H169="","",IF($H169=1,MATCH(163,입금_은행1!$AD$8:$AD$2007,0),MATCH(163-MAX(입금_은행1!$AD$8:$AD$2007),입금_은행2!$AD$8:$AD$2007,0)))</f>
        <v/>
      </c>
    </row>
    <row r="170">
      <c r="A170" s="38">
        <f>IF($H170="","",164)</f>
        <v/>
      </c>
      <c r="B170" s="38">
        <f>IF($H170="","",IF($H170=1,입금_은행1!$A$5,입금_은행2!$A$5))</f>
        <v/>
      </c>
      <c r="C170" s="40">
        <f>IF($H170="","",IF($H170=1,INDEX(입금_은행1!$Y$8:$Y$2007,$I170),INDEX(입금_은행2!$Y$8:$Y$2007,$I170)))</f>
        <v/>
      </c>
      <c r="D170" s="44">
        <f>IF($H170="","",IF($H170=1,INDEX(입금_은행1!$Z$8:$Z$2007,$I170),INDEX(입금_은행2!$Z$8:$Z$2007,$I170)))</f>
        <v/>
      </c>
      <c r="E170" s="38">
        <f>IF($H170="","",IF($H170=1,INDEX(입금_은행1!$AA$8:$AA$2007,$I170),INDEX(입금_은행2!$AA$8:$AA$2007,$I170)))</f>
        <v/>
      </c>
      <c r="F170" s="38">
        <f>IF($H170="","","거래처 입금이면 별칭 등록")</f>
        <v/>
      </c>
      <c r="H170" s="31">
        <f>IF(164&lt;=MAX(입금_은행1!$AD$8:$AD$2007),1,IF(164-MAX(입금_은행1!$AD$8:$AD$2007)&lt;=MAX(입금_은행2!$AD$8:$AD$2007),2,""))</f>
        <v/>
      </c>
      <c r="I170" s="31">
        <f>IF($H170="","",IF($H170=1,MATCH(164,입금_은행1!$AD$8:$AD$2007,0),MATCH(164-MAX(입금_은행1!$AD$8:$AD$2007),입금_은행2!$AD$8:$AD$2007,0)))</f>
        <v/>
      </c>
    </row>
    <row r="171">
      <c r="A171" s="38">
        <f>IF($H171="","",165)</f>
        <v/>
      </c>
      <c r="B171" s="38">
        <f>IF($H171="","",IF($H171=1,입금_은행1!$A$5,입금_은행2!$A$5))</f>
        <v/>
      </c>
      <c r="C171" s="40">
        <f>IF($H171="","",IF($H171=1,INDEX(입금_은행1!$Y$8:$Y$2007,$I171),INDEX(입금_은행2!$Y$8:$Y$2007,$I171)))</f>
        <v/>
      </c>
      <c r="D171" s="44">
        <f>IF($H171="","",IF($H171=1,INDEX(입금_은행1!$Z$8:$Z$2007,$I171),INDEX(입금_은행2!$Z$8:$Z$2007,$I171)))</f>
        <v/>
      </c>
      <c r="E171" s="38">
        <f>IF($H171="","",IF($H171=1,INDEX(입금_은행1!$AA$8:$AA$2007,$I171),INDEX(입금_은행2!$AA$8:$AA$2007,$I171)))</f>
        <v/>
      </c>
      <c r="F171" s="38">
        <f>IF($H171="","","거래처 입금이면 별칭 등록")</f>
        <v/>
      </c>
      <c r="H171" s="31">
        <f>IF(165&lt;=MAX(입금_은행1!$AD$8:$AD$2007),1,IF(165-MAX(입금_은행1!$AD$8:$AD$2007)&lt;=MAX(입금_은행2!$AD$8:$AD$2007),2,""))</f>
        <v/>
      </c>
      <c r="I171" s="31">
        <f>IF($H171="","",IF($H171=1,MATCH(165,입금_은행1!$AD$8:$AD$2007,0),MATCH(165-MAX(입금_은행1!$AD$8:$AD$2007),입금_은행2!$AD$8:$AD$2007,0)))</f>
        <v/>
      </c>
    </row>
    <row r="172">
      <c r="A172" s="38">
        <f>IF($H172="","",166)</f>
        <v/>
      </c>
      <c r="B172" s="38">
        <f>IF($H172="","",IF($H172=1,입금_은행1!$A$5,입금_은행2!$A$5))</f>
        <v/>
      </c>
      <c r="C172" s="40">
        <f>IF($H172="","",IF($H172=1,INDEX(입금_은행1!$Y$8:$Y$2007,$I172),INDEX(입금_은행2!$Y$8:$Y$2007,$I172)))</f>
        <v/>
      </c>
      <c r="D172" s="44">
        <f>IF($H172="","",IF($H172=1,INDEX(입금_은행1!$Z$8:$Z$2007,$I172),INDEX(입금_은행2!$Z$8:$Z$2007,$I172)))</f>
        <v/>
      </c>
      <c r="E172" s="38">
        <f>IF($H172="","",IF($H172=1,INDEX(입금_은행1!$AA$8:$AA$2007,$I172),INDEX(입금_은행2!$AA$8:$AA$2007,$I172)))</f>
        <v/>
      </c>
      <c r="F172" s="38">
        <f>IF($H172="","","거래처 입금이면 별칭 등록")</f>
        <v/>
      </c>
      <c r="H172" s="31">
        <f>IF(166&lt;=MAX(입금_은행1!$AD$8:$AD$2007),1,IF(166-MAX(입금_은행1!$AD$8:$AD$2007)&lt;=MAX(입금_은행2!$AD$8:$AD$2007),2,""))</f>
        <v/>
      </c>
      <c r="I172" s="31">
        <f>IF($H172="","",IF($H172=1,MATCH(166,입금_은행1!$AD$8:$AD$2007,0),MATCH(166-MAX(입금_은행1!$AD$8:$AD$2007),입금_은행2!$AD$8:$AD$2007,0)))</f>
        <v/>
      </c>
    </row>
    <row r="173">
      <c r="A173" s="38">
        <f>IF($H173="","",167)</f>
        <v/>
      </c>
      <c r="B173" s="38">
        <f>IF($H173="","",IF($H173=1,입금_은행1!$A$5,입금_은행2!$A$5))</f>
        <v/>
      </c>
      <c r="C173" s="40">
        <f>IF($H173="","",IF($H173=1,INDEX(입금_은행1!$Y$8:$Y$2007,$I173),INDEX(입금_은행2!$Y$8:$Y$2007,$I173)))</f>
        <v/>
      </c>
      <c r="D173" s="44">
        <f>IF($H173="","",IF($H173=1,INDEX(입금_은행1!$Z$8:$Z$2007,$I173),INDEX(입금_은행2!$Z$8:$Z$2007,$I173)))</f>
        <v/>
      </c>
      <c r="E173" s="38">
        <f>IF($H173="","",IF($H173=1,INDEX(입금_은행1!$AA$8:$AA$2007,$I173),INDEX(입금_은행2!$AA$8:$AA$2007,$I173)))</f>
        <v/>
      </c>
      <c r="F173" s="38">
        <f>IF($H173="","","거래처 입금이면 별칭 등록")</f>
        <v/>
      </c>
      <c r="H173" s="31">
        <f>IF(167&lt;=MAX(입금_은행1!$AD$8:$AD$2007),1,IF(167-MAX(입금_은행1!$AD$8:$AD$2007)&lt;=MAX(입금_은행2!$AD$8:$AD$2007),2,""))</f>
        <v/>
      </c>
      <c r="I173" s="31">
        <f>IF($H173="","",IF($H173=1,MATCH(167,입금_은행1!$AD$8:$AD$2007,0),MATCH(167-MAX(입금_은행1!$AD$8:$AD$2007),입금_은행2!$AD$8:$AD$2007,0)))</f>
        <v/>
      </c>
    </row>
    <row r="174">
      <c r="A174" s="38">
        <f>IF($H174="","",168)</f>
        <v/>
      </c>
      <c r="B174" s="38">
        <f>IF($H174="","",IF($H174=1,입금_은행1!$A$5,입금_은행2!$A$5))</f>
        <v/>
      </c>
      <c r="C174" s="40">
        <f>IF($H174="","",IF($H174=1,INDEX(입금_은행1!$Y$8:$Y$2007,$I174),INDEX(입금_은행2!$Y$8:$Y$2007,$I174)))</f>
        <v/>
      </c>
      <c r="D174" s="44">
        <f>IF($H174="","",IF($H174=1,INDEX(입금_은행1!$Z$8:$Z$2007,$I174),INDEX(입금_은행2!$Z$8:$Z$2007,$I174)))</f>
        <v/>
      </c>
      <c r="E174" s="38">
        <f>IF($H174="","",IF($H174=1,INDEX(입금_은행1!$AA$8:$AA$2007,$I174),INDEX(입금_은행2!$AA$8:$AA$2007,$I174)))</f>
        <v/>
      </c>
      <c r="F174" s="38">
        <f>IF($H174="","","거래처 입금이면 별칭 등록")</f>
        <v/>
      </c>
      <c r="H174" s="31">
        <f>IF(168&lt;=MAX(입금_은행1!$AD$8:$AD$2007),1,IF(168-MAX(입금_은행1!$AD$8:$AD$2007)&lt;=MAX(입금_은행2!$AD$8:$AD$2007),2,""))</f>
        <v/>
      </c>
      <c r="I174" s="31">
        <f>IF($H174="","",IF($H174=1,MATCH(168,입금_은행1!$AD$8:$AD$2007,0),MATCH(168-MAX(입금_은행1!$AD$8:$AD$2007),입금_은행2!$AD$8:$AD$2007,0)))</f>
        <v/>
      </c>
    </row>
    <row r="175">
      <c r="A175" s="38">
        <f>IF($H175="","",169)</f>
        <v/>
      </c>
      <c r="B175" s="38">
        <f>IF($H175="","",IF($H175=1,입금_은행1!$A$5,입금_은행2!$A$5))</f>
        <v/>
      </c>
      <c r="C175" s="40">
        <f>IF($H175="","",IF($H175=1,INDEX(입금_은행1!$Y$8:$Y$2007,$I175),INDEX(입금_은행2!$Y$8:$Y$2007,$I175)))</f>
        <v/>
      </c>
      <c r="D175" s="44">
        <f>IF($H175="","",IF($H175=1,INDEX(입금_은행1!$Z$8:$Z$2007,$I175),INDEX(입금_은행2!$Z$8:$Z$2007,$I175)))</f>
        <v/>
      </c>
      <c r="E175" s="38">
        <f>IF($H175="","",IF($H175=1,INDEX(입금_은행1!$AA$8:$AA$2007,$I175),INDEX(입금_은행2!$AA$8:$AA$2007,$I175)))</f>
        <v/>
      </c>
      <c r="F175" s="38">
        <f>IF($H175="","","거래처 입금이면 별칭 등록")</f>
        <v/>
      </c>
      <c r="H175" s="31">
        <f>IF(169&lt;=MAX(입금_은행1!$AD$8:$AD$2007),1,IF(169-MAX(입금_은행1!$AD$8:$AD$2007)&lt;=MAX(입금_은행2!$AD$8:$AD$2007),2,""))</f>
        <v/>
      </c>
      <c r="I175" s="31">
        <f>IF($H175="","",IF($H175=1,MATCH(169,입금_은행1!$AD$8:$AD$2007,0),MATCH(169-MAX(입금_은행1!$AD$8:$AD$2007),입금_은행2!$AD$8:$AD$2007,0)))</f>
        <v/>
      </c>
    </row>
    <row r="176">
      <c r="A176" s="38">
        <f>IF($H176="","",170)</f>
        <v/>
      </c>
      <c r="B176" s="38">
        <f>IF($H176="","",IF($H176=1,입금_은행1!$A$5,입금_은행2!$A$5))</f>
        <v/>
      </c>
      <c r="C176" s="40">
        <f>IF($H176="","",IF($H176=1,INDEX(입금_은행1!$Y$8:$Y$2007,$I176),INDEX(입금_은행2!$Y$8:$Y$2007,$I176)))</f>
        <v/>
      </c>
      <c r="D176" s="44">
        <f>IF($H176="","",IF($H176=1,INDEX(입금_은행1!$Z$8:$Z$2007,$I176),INDEX(입금_은행2!$Z$8:$Z$2007,$I176)))</f>
        <v/>
      </c>
      <c r="E176" s="38">
        <f>IF($H176="","",IF($H176=1,INDEX(입금_은행1!$AA$8:$AA$2007,$I176),INDEX(입금_은행2!$AA$8:$AA$2007,$I176)))</f>
        <v/>
      </c>
      <c r="F176" s="38">
        <f>IF($H176="","","거래처 입금이면 별칭 등록")</f>
        <v/>
      </c>
      <c r="H176" s="31">
        <f>IF(170&lt;=MAX(입금_은행1!$AD$8:$AD$2007),1,IF(170-MAX(입금_은행1!$AD$8:$AD$2007)&lt;=MAX(입금_은행2!$AD$8:$AD$2007),2,""))</f>
        <v/>
      </c>
      <c r="I176" s="31">
        <f>IF($H176="","",IF($H176=1,MATCH(170,입금_은행1!$AD$8:$AD$2007,0),MATCH(170-MAX(입금_은행1!$AD$8:$AD$2007),입금_은행2!$AD$8:$AD$2007,0)))</f>
        <v/>
      </c>
    </row>
    <row r="177">
      <c r="A177" s="38">
        <f>IF($H177="","",171)</f>
        <v/>
      </c>
      <c r="B177" s="38">
        <f>IF($H177="","",IF($H177=1,입금_은행1!$A$5,입금_은행2!$A$5))</f>
        <v/>
      </c>
      <c r="C177" s="40">
        <f>IF($H177="","",IF($H177=1,INDEX(입금_은행1!$Y$8:$Y$2007,$I177),INDEX(입금_은행2!$Y$8:$Y$2007,$I177)))</f>
        <v/>
      </c>
      <c r="D177" s="44">
        <f>IF($H177="","",IF($H177=1,INDEX(입금_은행1!$Z$8:$Z$2007,$I177),INDEX(입금_은행2!$Z$8:$Z$2007,$I177)))</f>
        <v/>
      </c>
      <c r="E177" s="38">
        <f>IF($H177="","",IF($H177=1,INDEX(입금_은행1!$AA$8:$AA$2007,$I177),INDEX(입금_은행2!$AA$8:$AA$2007,$I177)))</f>
        <v/>
      </c>
      <c r="F177" s="38">
        <f>IF($H177="","","거래처 입금이면 별칭 등록")</f>
        <v/>
      </c>
      <c r="H177" s="31">
        <f>IF(171&lt;=MAX(입금_은행1!$AD$8:$AD$2007),1,IF(171-MAX(입금_은행1!$AD$8:$AD$2007)&lt;=MAX(입금_은행2!$AD$8:$AD$2007),2,""))</f>
        <v/>
      </c>
      <c r="I177" s="31">
        <f>IF($H177="","",IF($H177=1,MATCH(171,입금_은행1!$AD$8:$AD$2007,0),MATCH(171-MAX(입금_은행1!$AD$8:$AD$2007),입금_은행2!$AD$8:$AD$2007,0)))</f>
        <v/>
      </c>
    </row>
    <row r="178">
      <c r="A178" s="38">
        <f>IF($H178="","",172)</f>
        <v/>
      </c>
      <c r="B178" s="38">
        <f>IF($H178="","",IF($H178=1,입금_은행1!$A$5,입금_은행2!$A$5))</f>
        <v/>
      </c>
      <c r="C178" s="40">
        <f>IF($H178="","",IF($H178=1,INDEX(입금_은행1!$Y$8:$Y$2007,$I178),INDEX(입금_은행2!$Y$8:$Y$2007,$I178)))</f>
        <v/>
      </c>
      <c r="D178" s="44">
        <f>IF($H178="","",IF($H178=1,INDEX(입금_은행1!$Z$8:$Z$2007,$I178),INDEX(입금_은행2!$Z$8:$Z$2007,$I178)))</f>
        <v/>
      </c>
      <c r="E178" s="38">
        <f>IF($H178="","",IF($H178=1,INDEX(입금_은행1!$AA$8:$AA$2007,$I178),INDEX(입금_은행2!$AA$8:$AA$2007,$I178)))</f>
        <v/>
      </c>
      <c r="F178" s="38">
        <f>IF($H178="","","거래처 입금이면 별칭 등록")</f>
        <v/>
      </c>
      <c r="H178" s="31">
        <f>IF(172&lt;=MAX(입금_은행1!$AD$8:$AD$2007),1,IF(172-MAX(입금_은행1!$AD$8:$AD$2007)&lt;=MAX(입금_은행2!$AD$8:$AD$2007),2,""))</f>
        <v/>
      </c>
      <c r="I178" s="31">
        <f>IF($H178="","",IF($H178=1,MATCH(172,입금_은행1!$AD$8:$AD$2007,0),MATCH(172-MAX(입금_은행1!$AD$8:$AD$2007),입금_은행2!$AD$8:$AD$2007,0)))</f>
        <v/>
      </c>
    </row>
    <row r="179">
      <c r="A179" s="38">
        <f>IF($H179="","",173)</f>
        <v/>
      </c>
      <c r="B179" s="38">
        <f>IF($H179="","",IF($H179=1,입금_은행1!$A$5,입금_은행2!$A$5))</f>
        <v/>
      </c>
      <c r="C179" s="40">
        <f>IF($H179="","",IF($H179=1,INDEX(입금_은행1!$Y$8:$Y$2007,$I179),INDEX(입금_은행2!$Y$8:$Y$2007,$I179)))</f>
        <v/>
      </c>
      <c r="D179" s="44">
        <f>IF($H179="","",IF($H179=1,INDEX(입금_은행1!$Z$8:$Z$2007,$I179),INDEX(입금_은행2!$Z$8:$Z$2007,$I179)))</f>
        <v/>
      </c>
      <c r="E179" s="38">
        <f>IF($H179="","",IF($H179=1,INDEX(입금_은행1!$AA$8:$AA$2007,$I179),INDEX(입금_은행2!$AA$8:$AA$2007,$I179)))</f>
        <v/>
      </c>
      <c r="F179" s="38">
        <f>IF($H179="","","거래처 입금이면 별칭 등록")</f>
        <v/>
      </c>
      <c r="H179" s="31">
        <f>IF(173&lt;=MAX(입금_은행1!$AD$8:$AD$2007),1,IF(173-MAX(입금_은행1!$AD$8:$AD$2007)&lt;=MAX(입금_은행2!$AD$8:$AD$2007),2,""))</f>
        <v/>
      </c>
      <c r="I179" s="31">
        <f>IF($H179="","",IF($H179=1,MATCH(173,입금_은행1!$AD$8:$AD$2007,0),MATCH(173-MAX(입금_은행1!$AD$8:$AD$2007),입금_은행2!$AD$8:$AD$2007,0)))</f>
        <v/>
      </c>
    </row>
    <row r="180">
      <c r="A180" s="38">
        <f>IF($H180="","",174)</f>
        <v/>
      </c>
      <c r="B180" s="38">
        <f>IF($H180="","",IF($H180=1,입금_은행1!$A$5,입금_은행2!$A$5))</f>
        <v/>
      </c>
      <c r="C180" s="40">
        <f>IF($H180="","",IF($H180=1,INDEX(입금_은행1!$Y$8:$Y$2007,$I180),INDEX(입금_은행2!$Y$8:$Y$2007,$I180)))</f>
        <v/>
      </c>
      <c r="D180" s="44">
        <f>IF($H180="","",IF($H180=1,INDEX(입금_은행1!$Z$8:$Z$2007,$I180),INDEX(입금_은행2!$Z$8:$Z$2007,$I180)))</f>
        <v/>
      </c>
      <c r="E180" s="38">
        <f>IF($H180="","",IF($H180=1,INDEX(입금_은행1!$AA$8:$AA$2007,$I180),INDEX(입금_은행2!$AA$8:$AA$2007,$I180)))</f>
        <v/>
      </c>
      <c r="F180" s="38">
        <f>IF($H180="","","거래처 입금이면 별칭 등록")</f>
        <v/>
      </c>
      <c r="H180" s="31">
        <f>IF(174&lt;=MAX(입금_은행1!$AD$8:$AD$2007),1,IF(174-MAX(입금_은행1!$AD$8:$AD$2007)&lt;=MAX(입금_은행2!$AD$8:$AD$2007),2,""))</f>
        <v/>
      </c>
      <c r="I180" s="31">
        <f>IF($H180="","",IF($H180=1,MATCH(174,입금_은행1!$AD$8:$AD$2007,0),MATCH(174-MAX(입금_은행1!$AD$8:$AD$2007),입금_은행2!$AD$8:$AD$2007,0)))</f>
        <v/>
      </c>
    </row>
    <row r="181">
      <c r="A181" s="38">
        <f>IF($H181="","",175)</f>
        <v/>
      </c>
      <c r="B181" s="38">
        <f>IF($H181="","",IF($H181=1,입금_은행1!$A$5,입금_은행2!$A$5))</f>
        <v/>
      </c>
      <c r="C181" s="40">
        <f>IF($H181="","",IF($H181=1,INDEX(입금_은행1!$Y$8:$Y$2007,$I181),INDEX(입금_은행2!$Y$8:$Y$2007,$I181)))</f>
        <v/>
      </c>
      <c r="D181" s="44">
        <f>IF($H181="","",IF($H181=1,INDEX(입금_은행1!$Z$8:$Z$2007,$I181),INDEX(입금_은행2!$Z$8:$Z$2007,$I181)))</f>
        <v/>
      </c>
      <c r="E181" s="38">
        <f>IF($H181="","",IF($H181=1,INDEX(입금_은행1!$AA$8:$AA$2007,$I181),INDEX(입금_은행2!$AA$8:$AA$2007,$I181)))</f>
        <v/>
      </c>
      <c r="F181" s="38">
        <f>IF($H181="","","거래처 입금이면 별칭 등록")</f>
        <v/>
      </c>
      <c r="H181" s="31">
        <f>IF(175&lt;=MAX(입금_은행1!$AD$8:$AD$2007),1,IF(175-MAX(입금_은행1!$AD$8:$AD$2007)&lt;=MAX(입금_은행2!$AD$8:$AD$2007),2,""))</f>
        <v/>
      </c>
      <c r="I181" s="31">
        <f>IF($H181="","",IF($H181=1,MATCH(175,입금_은행1!$AD$8:$AD$2007,0),MATCH(175-MAX(입금_은행1!$AD$8:$AD$2007),입금_은행2!$AD$8:$AD$2007,0)))</f>
        <v/>
      </c>
    </row>
    <row r="182">
      <c r="A182" s="38">
        <f>IF($H182="","",176)</f>
        <v/>
      </c>
      <c r="B182" s="38">
        <f>IF($H182="","",IF($H182=1,입금_은행1!$A$5,입금_은행2!$A$5))</f>
        <v/>
      </c>
      <c r="C182" s="40">
        <f>IF($H182="","",IF($H182=1,INDEX(입금_은행1!$Y$8:$Y$2007,$I182),INDEX(입금_은행2!$Y$8:$Y$2007,$I182)))</f>
        <v/>
      </c>
      <c r="D182" s="44">
        <f>IF($H182="","",IF($H182=1,INDEX(입금_은행1!$Z$8:$Z$2007,$I182),INDEX(입금_은행2!$Z$8:$Z$2007,$I182)))</f>
        <v/>
      </c>
      <c r="E182" s="38">
        <f>IF($H182="","",IF($H182=1,INDEX(입금_은행1!$AA$8:$AA$2007,$I182),INDEX(입금_은행2!$AA$8:$AA$2007,$I182)))</f>
        <v/>
      </c>
      <c r="F182" s="38">
        <f>IF($H182="","","거래처 입금이면 별칭 등록")</f>
        <v/>
      </c>
      <c r="H182" s="31">
        <f>IF(176&lt;=MAX(입금_은행1!$AD$8:$AD$2007),1,IF(176-MAX(입금_은행1!$AD$8:$AD$2007)&lt;=MAX(입금_은행2!$AD$8:$AD$2007),2,""))</f>
        <v/>
      </c>
      <c r="I182" s="31">
        <f>IF($H182="","",IF($H182=1,MATCH(176,입금_은행1!$AD$8:$AD$2007,0),MATCH(176-MAX(입금_은행1!$AD$8:$AD$2007),입금_은행2!$AD$8:$AD$2007,0)))</f>
        <v/>
      </c>
    </row>
    <row r="183">
      <c r="A183" s="38">
        <f>IF($H183="","",177)</f>
        <v/>
      </c>
      <c r="B183" s="38">
        <f>IF($H183="","",IF($H183=1,입금_은행1!$A$5,입금_은행2!$A$5))</f>
        <v/>
      </c>
      <c r="C183" s="40">
        <f>IF($H183="","",IF($H183=1,INDEX(입금_은행1!$Y$8:$Y$2007,$I183),INDEX(입금_은행2!$Y$8:$Y$2007,$I183)))</f>
        <v/>
      </c>
      <c r="D183" s="44">
        <f>IF($H183="","",IF($H183=1,INDEX(입금_은행1!$Z$8:$Z$2007,$I183),INDEX(입금_은행2!$Z$8:$Z$2007,$I183)))</f>
        <v/>
      </c>
      <c r="E183" s="38">
        <f>IF($H183="","",IF($H183=1,INDEX(입금_은행1!$AA$8:$AA$2007,$I183),INDEX(입금_은행2!$AA$8:$AA$2007,$I183)))</f>
        <v/>
      </c>
      <c r="F183" s="38">
        <f>IF($H183="","","거래처 입금이면 별칭 등록")</f>
        <v/>
      </c>
      <c r="H183" s="31">
        <f>IF(177&lt;=MAX(입금_은행1!$AD$8:$AD$2007),1,IF(177-MAX(입금_은행1!$AD$8:$AD$2007)&lt;=MAX(입금_은행2!$AD$8:$AD$2007),2,""))</f>
        <v/>
      </c>
      <c r="I183" s="31">
        <f>IF($H183="","",IF($H183=1,MATCH(177,입금_은행1!$AD$8:$AD$2007,0),MATCH(177-MAX(입금_은행1!$AD$8:$AD$2007),입금_은행2!$AD$8:$AD$2007,0)))</f>
        <v/>
      </c>
    </row>
    <row r="184">
      <c r="A184" s="38">
        <f>IF($H184="","",178)</f>
        <v/>
      </c>
      <c r="B184" s="38">
        <f>IF($H184="","",IF($H184=1,입금_은행1!$A$5,입금_은행2!$A$5))</f>
        <v/>
      </c>
      <c r="C184" s="40">
        <f>IF($H184="","",IF($H184=1,INDEX(입금_은행1!$Y$8:$Y$2007,$I184),INDEX(입금_은행2!$Y$8:$Y$2007,$I184)))</f>
        <v/>
      </c>
      <c r="D184" s="44">
        <f>IF($H184="","",IF($H184=1,INDEX(입금_은행1!$Z$8:$Z$2007,$I184),INDEX(입금_은행2!$Z$8:$Z$2007,$I184)))</f>
        <v/>
      </c>
      <c r="E184" s="38">
        <f>IF($H184="","",IF($H184=1,INDEX(입금_은행1!$AA$8:$AA$2007,$I184),INDEX(입금_은행2!$AA$8:$AA$2007,$I184)))</f>
        <v/>
      </c>
      <c r="F184" s="38">
        <f>IF($H184="","","거래처 입금이면 별칭 등록")</f>
        <v/>
      </c>
      <c r="H184" s="31">
        <f>IF(178&lt;=MAX(입금_은행1!$AD$8:$AD$2007),1,IF(178-MAX(입금_은행1!$AD$8:$AD$2007)&lt;=MAX(입금_은행2!$AD$8:$AD$2007),2,""))</f>
        <v/>
      </c>
      <c r="I184" s="31">
        <f>IF($H184="","",IF($H184=1,MATCH(178,입금_은행1!$AD$8:$AD$2007,0),MATCH(178-MAX(입금_은행1!$AD$8:$AD$2007),입금_은행2!$AD$8:$AD$2007,0)))</f>
        <v/>
      </c>
    </row>
    <row r="185">
      <c r="A185" s="38">
        <f>IF($H185="","",179)</f>
        <v/>
      </c>
      <c r="B185" s="38">
        <f>IF($H185="","",IF($H185=1,입금_은행1!$A$5,입금_은행2!$A$5))</f>
        <v/>
      </c>
      <c r="C185" s="40">
        <f>IF($H185="","",IF($H185=1,INDEX(입금_은행1!$Y$8:$Y$2007,$I185),INDEX(입금_은행2!$Y$8:$Y$2007,$I185)))</f>
        <v/>
      </c>
      <c r="D185" s="44">
        <f>IF($H185="","",IF($H185=1,INDEX(입금_은행1!$Z$8:$Z$2007,$I185),INDEX(입금_은행2!$Z$8:$Z$2007,$I185)))</f>
        <v/>
      </c>
      <c r="E185" s="38">
        <f>IF($H185="","",IF($H185=1,INDEX(입금_은행1!$AA$8:$AA$2007,$I185),INDEX(입금_은행2!$AA$8:$AA$2007,$I185)))</f>
        <v/>
      </c>
      <c r="F185" s="38">
        <f>IF($H185="","","거래처 입금이면 별칭 등록")</f>
        <v/>
      </c>
      <c r="H185" s="31">
        <f>IF(179&lt;=MAX(입금_은행1!$AD$8:$AD$2007),1,IF(179-MAX(입금_은행1!$AD$8:$AD$2007)&lt;=MAX(입금_은행2!$AD$8:$AD$2007),2,""))</f>
        <v/>
      </c>
      <c r="I185" s="31">
        <f>IF($H185="","",IF($H185=1,MATCH(179,입금_은행1!$AD$8:$AD$2007,0),MATCH(179-MAX(입금_은행1!$AD$8:$AD$2007),입금_은행2!$AD$8:$AD$2007,0)))</f>
        <v/>
      </c>
    </row>
    <row r="186">
      <c r="A186" s="38">
        <f>IF($H186="","",180)</f>
        <v/>
      </c>
      <c r="B186" s="38">
        <f>IF($H186="","",IF($H186=1,입금_은행1!$A$5,입금_은행2!$A$5))</f>
        <v/>
      </c>
      <c r="C186" s="40">
        <f>IF($H186="","",IF($H186=1,INDEX(입금_은행1!$Y$8:$Y$2007,$I186),INDEX(입금_은행2!$Y$8:$Y$2007,$I186)))</f>
        <v/>
      </c>
      <c r="D186" s="44">
        <f>IF($H186="","",IF($H186=1,INDEX(입금_은행1!$Z$8:$Z$2007,$I186),INDEX(입금_은행2!$Z$8:$Z$2007,$I186)))</f>
        <v/>
      </c>
      <c r="E186" s="38">
        <f>IF($H186="","",IF($H186=1,INDEX(입금_은행1!$AA$8:$AA$2007,$I186),INDEX(입금_은행2!$AA$8:$AA$2007,$I186)))</f>
        <v/>
      </c>
      <c r="F186" s="38">
        <f>IF($H186="","","거래처 입금이면 별칭 등록")</f>
        <v/>
      </c>
      <c r="H186" s="31">
        <f>IF(180&lt;=MAX(입금_은행1!$AD$8:$AD$2007),1,IF(180-MAX(입금_은행1!$AD$8:$AD$2007)&lt;=MAX(입금_은행2!$AD$8:$AD$2007),2,""))</f>
        <v/>
      </c>
      <c r="I186" s="31">
        <f>IF($H186="","",IF($H186=1,MATCH(180,입금_은행1!$AD$8:$AD$2007,0),MATCH(180-MAX(입금_은행1!$AD$8:$AD$2007),입금_은행2!$AD$8:$AD$2007,0)))</f>
        <v/>
      </c>
    </row>
    <row r="187">
      <c r="A187" s="38">
        <f>IF($H187="","",181)</f>
        <v/>
      </c>
      <c r="B187" s="38">
        <f>IF($H187="","",IF($H187=1,입금_은행1!$A$5,입금_은행2!$A$5))</f>
        <v/>
      </c>
      <c r="C187" s="40">
        <f>IF($H187="","",IF($H187=1,INDEX(입금_은행1!$Y$8:$Y$2007,$I187),INDEX(입금_은행2!$Y$8:$Y$2007,$I187)))</f>
        <v/>
      </c>
      <c r="D187" s="44">
        <f>IF($H187="","",IF($H187=1,INDEX(입금_은행1!$Z$8:$Z$2007,$I187),INDEX(입금_은행2!$Z$8:$Z$2007,$I187)))</f>
        <v/>
      </c>
      <c r="E187" s="38">
        <f>IF($H187="","",IF($H187=1,INDEX(입금_은행1!$AA$8:$AA$2007,$I187),INDEX(입금_은행2!$AA$8:$AA$2007,$I187)))</f>
        <v/>
      </c>
      <c r="F187" s="38">
        <f>IF($H187="","","거래처 입금이면 별칭 등록")</f>
        <v/>
      </c>
      <c r="H187" s="31">
        <f>IF(181&lt;=MAX(입금_은행1!$AD$8:$AD$2007),1,IF(181-MAX(입금_은행1!$AD$8:$AD$2007)&lt;=MAX(입금_은행2!$AD$8:$AD$2007),2,""))</f>
        <v/>
      </c>
      <c r="I187" s="31">
        <f>IF($H187="","",IF($H187=1,MATCH(181,입금_은행1!$AD$8:$AD$2007,0),MATCH(181-MAX(입금_은행1!$AD$8:$AD$2007),입금_은행2!$AD$8:$AD$2007,0)))</f>
        <v/>
      </c>
    </row>
    <row r="188">
      <c r="A188" s="38">
        <f>IF($H188="","",182)</f>
        <v/>
      </c>
      <c r="B188" s="38">
        <f>IF($H188="","",IF($H188=1,입금_은행1!$A$5,입금_은행2!$A$5))</f>
        <v/>
      </c>
      <c r="C188" s="40">
        <f>IF($H188="","",IF($H188=1,INDEX(입금_은행1!$Y$8:$Y$2007,$I188),INDEX(입금_은행2!$Y$8:$Y$2007,$I188)))</f>
        <v/>
      </c>
      <c r="D188" s="44">
        <f>IF($H188="","",IF($H188=1,INDEX(입금_은행1!$Z$8:$Z$2007,$I188),INDEX(입금_은행2!$Z$8:$Z$2007,$I188)))</f>
        <v/>
      </c>
      <c r="E188" s="38">
        <f>IF($H188="","",IF($H188=1,INDEX(입금_은행1!$AA$8:$AA$2007,$I188),INDEX(입금_은행2!$AA$8:$AA$2007,$I188)))</f>
        <v/>
      </c>
      <c r="F188" s="38">
        <f>IF($H188="","","거래처 입금이면 별칭 등록")</f>
        <v/>
      </c>
      <c r="H188" s="31">
        <f>IF(182&lt;=MAX(입금_은행1!$AD$8:$AD$2007),1,IF(182-MAX(입금_은행1!$AD$8:$AD$2007)&lt;=MAX(입금_은행2!$AD$8:$AD$2007),2,""))</f>
        <v/>
      </c>
      <c r="I188" s="31">
        <f>IF($H188="","",IF($H188=1,MATCH(182,입금_은행1!$AD$8:$AD$2007,0),MATCH(182-MAX(입금_은행1!$AD$8:$AD$2007),입금_은행2!$AD$8:$AD$2007,0)))</f>
        <v/>
      </c>
    </row>
    <row r="189">
      <c r="A189" s="38">
        <f>IF($H189="","",183)</f>
        <v/>
      </c>
      <c r="B189" s="38">
        <f>IF($H189="","",IF($H189=1,입금_은행1!$A$5,입금_은행2!$A$5))</f>
        <v/>
      </c>
      <c r="C189" s="40">
        <f>IF($H189="","",IF($H189=1,INDEX(입금_은행1!$Y$8:$Y$2007,$I189),INDEX(입금_은행2!$Y$8:$Y$2007,$I189)))</f>
        <v/>
      </c>
      <c r="D189" s="44">
        <f>IF($H189="","",IF($H189=1,INDEX(입금_은행1!$Z$8:$Z$2007,$I189),INDEX(입금_은행2!$Z$8:$Z$2007,$I189)))</f>
        <v/>
      </c>
      <c r="E189" s="38">
        <f>IF($H189="","",IF($H189=1,INDEX(입금_은행1!$AA$8:$AA$2007,$I189),INDEX(입금_은행2!$AA$8:$AA$2007,$I189)))</f>
        <v/>
      </c>
      <c r="F189" s="38">
        <f>IF($H189="","","거래처 입금이면 별칭 등록")</f>
        <v/>
      </c>
      <c r="H189" s="31">
        <f>IF(183&lt;=MAX(입금_은행1!$AD$8:$AD$2007),1,IF(183-MAX(입금_은행1!$AD$8:$AD$2007)&lt;=MAX(입금_은행2!$AD$8:$AD$2007),2,""))</f>
        <v/>
      </c>
      <c r="I189" s="31">
        <f>IF($H189="","",IF($H189=1,MATCH(183,입금_은행1!$AD$8:$AD$2007,0),MATCH(183-MAX(입금_은행1!$AD$8:$AD$2007),입금_은행2!$AD$8:$AD$2007,0)))</f>
        <v/>
      </c>
    </row>
    <row r="190">
      <c r="A190" s="38">
        <f>IF($H190="","",184)</f>
        <v/>
      </c>
      <c r="B190" s="38">
        <f>IF($H190="","",IF($H190=1,입금_은행1!$A$5,입금_은행2!$A$5))</f>
        <v/>
      </c>
      <c r="C190" s="40">
        <f>IF($H190="","",IF($H190=1,INDEX(입금_은행1!$Y$8:$Y$2007,$I190),INDEX(입금_은행2!$Y$8:$Y$2007,$I190)))</f>
        <v/>
      </c>
      <c r="D190" s="44">
        <f>IF($H190="","",IF($H190=1,INDEX(입금_은행1!$Z$8:$Z$2007,$I190),INDEX(입금_은행2!$Z$8:$Z$2007,$I190)))</f>
        <v/>
      </c>
      <c r="E190" s="38">
        <f>IF($H190="","",IF($H190=1,INDEX(입금_은행1!$AA$8:$AA$2007,$I190),INDEX(입금_은행2!$AA$8:$AA$2007,$I190)))</f>
        <v/>
      </c>
      <c r="F190" s="38">
        <f>IF($H190="","","거래처 입금이면 별칭 등록")</f>
        <v/>
      </c>
      <c r="H190" s="31">
        <f>IF(184&lt;=MAX(입금_은행1!$AD$8:$AD$2007),1,IF(184-MAX(입금_은행1!$AD$8:$AD$2007)&lt;=MAX(입금_은행2!$AD$8:$AD$2007),2,""))</f>
        <v/>
      </c>
      <c r="I190" s="31">
        <f>IF($H190="","",IF($H190=1,MATCH(184,입금_은행1!$AD$8:$AD$2007,0),MATCH(184-MAX(입금_은행1!$AD$8:$AD$2007),입금_은행2!$AD$8:$AD$2007,0)))</f>
        <v/>
      </c>
    </row>
    <row r="191">
      <c r="A191" s="38">
        <f>IF($H191="","",185)</f>
        <v/>
      </c>
      <c r="B191" s="38">
        <f>IF($H191="","",IF($H191=1,입금_은행1!$A$5,입금_은행2!$A$5))</f>
        <v/>
      </c>
      <c r="C191" s="40">
        <f>IF($H191="","",IF($H191=1,INDEX(입금_은행1!$Y$8:$Y$2007,$I191),INDEX(입금_은행2!$Y$8:$Y$2007,$I191)))</f>
        <v/>
      </c>
      <c r="D191" s="44">
        <f>IF($H191="","",IF($H191=1,INDEX(입금_은행1!$Z$8:$Z$2007,$I191),INDEX(입금_은행2!$Z$8:$Z$2007,$I191)))</f>
        <v/>
      </c>
      <c r="E191" s="38">
        <f>IF($H191="","",IF($H191=1,INDEX(입금_은행1!$AA$8:$AA$2007,$I191),INDEX(입금_은행2!$AA$8:$AA$2007,$I191)))</f>
        <v/>
      </c>
      <c r="F191" s="38">
        <f>IF($H191="","","거래처 입금이면 별칭 등록")</f>
        <v/>
      </c>
      <c r="H191" s="31">
        <f>IF(185&lt;=MAX(입금_은행1!$AD$8:$AD$2007),1,IF(185-MAX(입금_은행1!$AD$8:$AD$2007)&lt;=MAX(입금_은행2!$AD$8:$AD$2007),2,""))</f>
        <v/>
      </c>
      <c r="I191" s="31">
        <f>IF($H191="","",IF($H191=1,MATCH(185,입금_은행1!$AD$8:$AD$2007,0),MATCH(185-MAX(입금_은행1!$AD$8:$AD$2007),입금_은행2!$AD$8:$AD$2007,0)))</f>
        <v/>
      </c>
    </row>
    <row r="192">
      <c r="A192" s="38">
        <f>IF($H192="","",186)</f>
        <v/>
      </c>
      <c r="B192" s="38">
        <f>IF($H192="","",IF($H192=1,입금_은행1!$A$5,입금_은행2!$A$5))</f>
        <v/>
      </c>
      <c r="C192" s="40">
        <f>IF($H192="","",IF($H192=1,INDEX(입금_은행1!$Y$8:$Y$2007,$I192),INDEX(입금_은행2!$Y$8:$Y$2007,$I192)))</f>
        <v/>
      </c>
      <c r="D192" s="44">
        <f>IF($H192="","",IF($H192=1,INDEX(입금_은행1!$Z$8:$Z$2007,$I192),INDEX(입금_은행2!$Z$8:$Z$2007,$I192)))</f>
        <v/>
      </c>
      <c r="E192" s="38">
        <f>IF($H192="","",IF($H192=1,INDEX(입금_은행1!$AA$8:$AA$2007,$I192),INDEX(입금_은행2!$AA$8:$AA$2007,$I192)))</f>
        <v/>
      </c>
      <c r="F192" s="38">
        <f>IF($H192="","","거래처 입금이면 별칭 등록")</f>
        <v/>
      </c>
      <c r="H192" s="31">
        <f>IF(186&lt;=MAX(입금_은행1!$AD$8:$AD$2007),1,IF(186-MAX(입금_은행1!$AD$8:$AD$2007)&lt;=MAX(입금_은행2!$AD$8:$AD$2007),2,""))</f>
        <v/>
      </c>
      <c r="I192" s="31">
        <f>IF($H192="","",IF($H192=1,MATCH(186,입금_은행1!$AD$8:$AD$2007,0),MATCH(186-MAX(입금_은행1!$AD$8:$AD$2007),입금_은행2!$AD$8:$AD$2007,0)))</f>
        <v/>
      </c>
    </row>
    <row r="193">
      <c r="A193" s="38">
        <f>IF($H193="","",187)</f>
        <v/>
      </c>
      <c r="B193" s="38">
        <f>IF($H193="","",IF($H193=1,입금_은행1!$A$5,입금_은행2!$A$5))</f>
        <v/>
      </c>
      <c r="C193" s="40">
        <f>IF($H193="","",IF($H193=1,INDEX(입금_은행1!$Y$8:$Y$2007,$I193),INDEX(입금_은행2!$Y$8:$Y$2007,$I193)))</f>
        <v/>
      </c>
      <c r="D193" s="44">
        <f>IF($H193="","",IF($H193=1,INDEX(입금_은행1!$Z$8:$Z$2007,$I193),INDEX(입금_은행2!$Z$8:$Z$2007,$I193)))</f>
        <v/>
      </c>
      <c r="E193" s="38">
        <f>IF($H193="","",IF($H193=1,INDEX(입금_은행1!$AA$8:$AA$2007,$I193),INDEX(입금_은행2!$AA$8:$AA$2007,$I193)))</f>
        <v/>
      </c>
      <c r="F193" s="38">
        <f>IF($H193="","","거래처 입금이면 별칭 등록")</f>
        <v/>
      </c>
      <c r="H193" s="31">
        <f>IF(187&lt;=MAX(입금_은행1!$AD$8:$AD$2007),1,IF(187-MAX(입금_은행1!$AD$8:$AD$2007)&lt;=MAX(입금_은행2!$AD$8:$AD$2007),2,""))</f>
        <v/>
      </c>
      <c r="I193" s="31">
        <f>IF($H193="","",IF($H193=1,MATCH(187,입금_은행1!$AD$8:$AD$2007,0),MATCH(187-MAX(입금_은행1!$AD$8:$AD$2007),입금_은행2!$AD$8:$AD$2007,0)))</f>
        <v/>
      </c>
    </row>
    <row r="194">
      <c r="A194" s="38">
        <f>IF($H194="","",188)</f>
        <v/>
      </c>
      <c r="B194" s="38">
        <f>IF($H194="","",IF($H194=1,입금_은행1!$A$5,입금_은행2!$A$5))</f>
        <v/>
      </c>
      <c r="C194" s="40">
        <f>IF($H194="","",IF($H194=1,INDEX(입금_은행1!$Y$8:$Y$2007,$I194),INDEX(입금_은행2!$Y$8:$Y$2007,$I194)))</f>
        <v/>
      </c>
      <c r="D194" s="44">
        <f>IF($H194="","",IF($H194=1,INDEX(입금_은행1!$Z$8:$Z$2007,$I194),INDEX(입금_은행2!$Z$8:$Z$2007,$I194)))</f>
        <v/>
      </c>
      <c r="E194" s="38">
        <f>IF($H194="","",IF($H194=1,INDEX(입금_은행1!$AA$8:$AA$2007,$I194),INDEX(입금_은행2!$AA$8:$AA$2007,$I194)))</f>
        <v/>
      </c>
      <c r="F194" s="38">
        <f>IF($H194="","","거래처 입금이면 별칭 등록")</f>
        <v/>
      </c>
      <c r="H194" s="31">
        <f>IF(188&lt;=MAX(입금_은행1!$AD$8:$AD$2007),1,IF(188-MAX(입금_은행1!$AD$8:$AD$2007)&lt;=MAX(입금_은행2!$AD$8:$AD$2007),2,""))</f>
        <v/>
      </c>
      <c r="I194" s="31">
        <f>IF($H194="","",IF($H194=1,MATCH(188,입금_은행1!$AD$8:$AD$2007,0),MATCH(188-MAX(입금_은행1!$AD$8:$AD$2007),입금_은행2!$AD$8:$AD$2007,0)))</f>
        <v/>
      </c>
    </row>
    <row r="195">
      <c r="A195" s="38">
        <f>IF($H195="","",189)</f>
        <v/>
      </c>
      <c r="B195" s="38">
        <f>IF($H195="","",IF($H195=1,입금_은행1!$A$5,입금_은행2!$A$5))</f>
        <v/>
      </c>
      <c r="C195" s="40">
        <f>IF($H195="","",IF($H195=1,INDEX(입금_은행1!$Y$8:$Y$2007,$I195),INDEX(입금_은행2!$Y$8:$Y$2007,$I195)))</f>
        <v/>
      </c>
      <c r="D195" s="44">
        <f>IF($H195="","",IF($H195=1,INDEX(입금_은행1!$Z$8:$Z$2007,$I195),INDEX(입금_은행2!$Z$8:$Z$2007,$I195)))</f>
        <v/>
      </c>
      <c r="E195" s="38">
        <f>IF($H195="","",IF($H195=1,INDEX(입금_은행1!$AA$8:$AA$2007,$I195),INDEX(입금_은행2!$AA$8:$AA$2007,$I195)))</f>
        <v/>
      </c>
      <c r="F195" s="38">
        <f>IF($H195="","","거래처 입금이면 별칭 등록")</f>
        <v/>
      </c>
      <c r="H195" s="31">
        <f>IF(189&lt;=MAX(입금_은행1!$AD$8:$AD$2007),1,IF(189-MAX(입금_은행1!$AD$8:$AD$2007)&lt;=MAX(입금_은행2!$AD$8:$AD$2007),2,""))</f>
        <v/>
      </c>
      <c r="I195" s="31">
        <f>IF($H195="","",IF($H195=1,MATCH(189,입금_은행1!$AD$8:$AD$2007,0),MATCH(189-MAX(입금_은행1!$AD$8:$AD$2007),입금_은행2!$AD$8:$AD$2007,0)))</f>
        <v/>
      </c>
    </row>
    <row r="196">
      <c r="A196" s="38">
        <f>IF($H196="","",190)</f>
        <v/>
      </c>
      <c r="B196" s="38">
        <f>IF($H196="","",IF($H196=1,입금_은행1!$A$5,입금_은행2!$A$5))</f>
        <v/>
      </c>
      <c r="C196" s="40">
        <f>IF($H196="","",IF($H196=1,INDEX(입금_은행1!$Y$8:$Y$2007,$I196),INDEX(입금_은행2!$Y$8:$Y$2007,$I196)))</f>
        <v/>
      </c>
      <c r="D196" s="44">
        <f>IF($H196="","",IF($H196=1,INDEX(입금_은행1!$Z$8:$Z$2007,$I196),INDEX(입금_은행2!$Z$8:$Z$2007,$I196)))</f>
        <v/>
      </c>
      <c r="E196" s="38">
        <f>IF($H196="","",IF($H196=1,INDEX(입금_은행1!$AA$8:$AA$2007,$I196),INDEX(입금_은행2!$AA$8:$AA$2007,$I196)))</f>
        <v/>
      </c>
      <c r="F196" s="38">
        <f>IF($H196="","","거래처 입금이면 별칭 등록")</f>
        <v/>
      </c>
      <c r="H196" s="31">
        <f>IF(190&lt;=MAX(입금_은행1!$AD$8:$AD$2007),1,IF(190-MAX(입금_은행1!$AD$8:$AD$2007)&lt;=MAX(입금_은행2!$AD$8:$AD$2007),2,""))</f>
        <v/>
      </c>
      <c r="I196" s="31">
        <f>IF($H196="","",IF($H196=1,MATCH(190,입금_은행1!$AD$8:$AD$2007,0),MATCH(190-MAX(입금_은행1!$AD$8:$AD$2007),입금_은행2!$AD$8:$AD$2007,0)))</f>
        <v/>
      </c>
    </row>
    <row r="197">
      <c r="A197" s="38">
        <f>IF($H197="","",191)</f>
        <v/>
      </c>
      <c r="B197" s="38">
        <f>IF($H197="","",IF($H197=1,입금_은행1!$A$5,입금_은행2!$A$5))</f>
        <v/>
      </c>
      <c r="C197" s="40">
        <f>IF($H197="","",IF($H197=1,INDEX(입금_은행1!$Y$8:$Y$2007,$I197),INDEX(입금_은행2!$Y$8:$Y$2007,$I197)))</f>
        <v/>
      </c>
      <c r="D197" s="44">
        <f>IF($H197="","",IF($H197=1,INDEX(입금_은행1!$Z$8:$Z$2007,$I197),INDEX(입금_은행2!$Z$8:$Z$2007,$I197)))</f>
        <v/>
      </c>
      <c r="E197" s="38">
        <f>IF($H197="","",IF($H197=1,INDEX(입금_은행1!$AA$8:$AA$2007,$I197),INDEX(입금_은행2!$AA$8:$AA$2007,$I197)))</f>
        <v/>
      </c>
      <c r="F197" s="38">
        <f>IF($H197="","","거래처 입금이면 별칭 등록")</f>
        <v/>
      </c>
      <c r="H197" s="31">
        <f>IF(191&lt;=MAX(입금_은행1!$AD$8:$AD$2007),1,IF(191-MAX(입금_은행1!$AD$8:$AD$2007)&lt;=MAX(입금_은행2!$AD$8:$AD$2007),2,""))</f>
        <v/>
      </c>
      <c r="I197" s="31">
        <f>IF($H197="","",IF($H197=1,MATCH(191,입금_은행1!$AD$8:$AD$2007,0),MATCH(191-MAX(입금_은행1!$AD$8:$AD$2007),입금_은행2!$AD$8:$AD$2007,0)))</f>
        <v/>
      </c>
    </row>
    <row r="198">
      <c r="A198" s="38">
        <f>IF($H198="","",192)</f>
        <v/>
      </c>
      <c r="B198" s="38">
        <f>IF($H198="","",IF($H198=1,입금_은행1!$A$5,입금_은행2!$A$5))</f>
        <v/>
      </c>
      <c r="C198" s="40">
        <f>IF($H198="","",IF($H198=1,INDEX(입금_은행1!$Y$8:$Y$2007,$I198),INDEX(입금_은행2!$Y$8:$Y$2007,$I198)))</f>
        <v/>
      </c>
      <c r="D198" s="44">
        <f>IF($H198="","",IF($H198=1,INDEX(입금_은행1!$Z$8:$Z$2007,$I198),INDEX(입금_은행2!$Z$8:$Z$2007,$I198)))</f>
        <v/>
      </c>
      <c r="E198" s="38">
        <f>IF($H198="","",IF($H198=1,INDEX(입금_은행1!$AA$8:$AA$2007,$I198),INDEX(입금_은행2!$AA$8:$AA$2007,$I198)))</f>
        <v/>
      </c>
      <c r="F198" s="38">
        <f>IF($H198="","","거래처 입금이면 별칭 등록")</f>
        <v/>
      </c>
      <c r="H198" s="31">
        <f>IF(192&lt;=MAX(입금_은행1!$AD$8:$AD$2007),1,IF(192-MAX(입금_은행1!$AD$8:$AD$2007)&lt;=MAX(입금_은행2!$AD$8:$AD$2007),2,""))</f>
        <v/>
      </c>
      <c r="I198" s="31">
        <f>IF($H198="","",IF($H198=1,MATCH(192,입금_은행1!$AD$8:$AD$2007,0),MATCH(192-MAX(입금_은행1!$AD$8:$AD$2007),입금_은행2!$AD$8:$AD$2007,0)))</f>
        <v/>
      </c>
    </row>
    <row r="199">
      <c r="A199" s="38">
        <f>IF($H199="","",193)</f>
        <v/>
      </c>
      <c r="B199" s="38">
        <f>IF($H199="","",IF($H199=1,입금_은행1!$A$5,입금_은행2!$A$5))</f>
        <v/>
      </c>
      <c r="C199" s="40">
        <f>IF($H199="","",IF($H199=1,INDEX(입금_은행1!$Y$8:$Y$2007,$I199),INDEX(입금_은행2!$Y$8:$Y$2007,$I199)))</f>
        <v/>
      </c>
      <c r="D199" s="44">
        <f>IF($H199="","",IF($H199=1,INDEX(입금_은행1!$Z$8:$Z$2007,$I199),INDEX(입금_은행2!$Z$8:$Z$2007,$I199)))</f>
        <v/>
      </c>
      <c r="E199" s="38">
        <f>IF($H199="","",IF($H199=1,INDEX(입금_은행1!$AA$8:$AA$2007,$I199),INDEX(입금_은행2!$AA$8:$AA$2007,$I199)))</f>
        <v/>
      </c>
      <c r="F199" s="38">
        <f>IF($H199="","","거래처 입금이면 별칭 등록")</f>
        <v/>
      </c>
      <c r="H199" s="31">
        <f>IF(193&lt;=MAX(입금_은행1!$AD$8:$AD$2007),1,IF(193-MAX(입금_은행1!$AD$8:$AD$2007)&lt;=MAX(입금_은행2!$AD$8:$AD$2007),2,""))</f>
        <v/>
      </c>
      <c r="I199" s="31">
        <f>IF($H199="","",IF($H199=1,MATCH(193,입금_은행1!$AD$8:$AD$2007,0),MATCH(193-MAX(입금_은행1!$AD$8:$AD$2007),입금_은행2!$AD$8:$AD$2007,0)))</f>
        <v/>
      </c>
    </row>
    <row r="200">
      <c r="A200" s="38">
        <f>IF($H200="","",194)</f>
        <v/>
      </c>
      <c r="B200" s="38">
        <f>IF($H200="","",IF($H200=1,입금_은행1!$A$5,입금_은행2!$A$5))</f>
        <v/>
      </c>
      <c r="C200" s="40">
        <f>IF($H200="","",IF($H200=1,INDEX(입금_은행1!$Y$8:$Y$2007,$I200),INDEX(입금_은행2!$Y$8:$Y$2007,$I200)))</f>
        <v/>
      </c>
      <c r="D200" s="44">
        <f>IF($H200="","",IF($H200=1,INDEX(입금_은행1!$Z$8:$Z$2007,$I200),INDEX(입금_은행2!$Z$8:$Z$2007,$I200)))</f>
        <v/>
      </c>
      <c r="E200" s="38">
        <f>IF($H200="","",IF($H200=1,INDEX(입금_은행1!$AA$8:$AA$2007,$I200),INDEX(입금_은행2!$AA$8:$AA$2007,$I200)))</f>
        <v/>
      </c>
      <c r="F200" s="38">
        <f>IF($H200="","","거래처 입금이면 별칭 등록")</f>
        <v/>
      </c>
      <c r="H200" s="31">
        <f>IF(194&lt;=MAX(입금_은행1!$AD$8:$AD$2007),1,IF(194-MAX(입금_은행1!$AD$8:$AD$2007)&lt;=MAX(입금_은행2!$AD$8:$AD$2007),2,""))</f>
        <v/>
      </c>
      <c r="I200" s="31">
        <f>IF($H200="","",IF($H200=1,MATCH(194,입금_은행1!$AD$8:$AD$2007,0),MATCH(194-MAX(입금_은행1!$AD$8:$AD$2007),입금_은행2!$AD$8:$AD$2007,0)))</f>
        <v/>
      </c>
    </row>
    <row r="201">
      <c r="A201" s="38">
        <f>IF($H201="","",195)</f>
        <v/>
      </c>
      <c r="B201" s="38">
        <f>IF($H201="","",IF($H201=1,입금_은행1!$A$5,입금_은행2!$A$5))</f>
        <v/>
      </c>
      <c r="C201" s="40">
        <f>IF($H201="","",IF($H201=1,INDEX(입금_은행1!$Y$8:$Y$2007,$I201),INDEX(입금_은행2!$Y$8:$Y$2007,$I201)))</f>
        <v/>
      </c>
      <c r="D201" s="44">
        <f>IF($H201="","",IF($H201=1,INDEX(입금_은행1!$Z$8:$Z$2007,$I201),INDEX(입금_은행2!$Z$8:$Z$2007,$I201)))</f>
        <v/>
      </c>
      <c r="E201" s="38">
        <f>IF($H201="","",IF($H201=1,INDEX(입금_은행1!$AA$8:$AA$2007,$I201),INDEX(입금_은행2!$AA$8:$AA$2007,$I201)))</f>
        <v/>
      </c>
      <c r="F201" s="38">
        <f>IF($H201="","","거래처 입금이면 별칭 등록")</f>
        <v/>
      </c>
      <c r="H201" s="31">
        <f>IF(195&lt;=MAX(입금_은행1!$AD$8:$AD$2007),1,IF(195-MAX(입금_은행1!$AD$8:$AD$2007)&lt;=MAX(입금_은행2!$AD$8:$AD$2007),2,""))</f>
        <v/>
      </c>
      <c r="I201" s="31">
        <f>IF($H201="","",IF($H201=1,MATCH(195,입금_은행1!$AD$8:$AD$2007,0),MATCH(195-MAX(입금_은행1!$AD$8:$AD$2007),입금_은행2!$AD$8:$AD$2007,0)))</f>
        <v/>
      </c>
    </row>
    <row r="202">
      <c r="A202" s="38">
        <f>IF($H202="","",196)</f>
        <v/>
      </c>
      <c r="B202" s="38">
        <f>IF($H202="","",IF($H202=1,입금_은행1!$A$5,입금_은행2!$A$5))</f>
        <v/>
      </c>
      <c r="C202" s="40">
        <f>IF($H202="","",IF($H202=1,INDEX(입금_은행1!$Y$8:$Y$2007,$I202),INDEX(입금_은행2!$Y$8:$Y$2007,$I202)))</f>
        <v/>
      </c>
      <c r="D202" s="44">
        <f>IF($H202="","",IF($H202=1,INDEX(입금_은행1!$Z$8:$Z$2007,$I202),INDEX(입금_은행2!$Z$8:$Z$2007,$I202)))</f>
        <v/>
      </c>
      <c r="E202" s="38">
        <f>IF($H202="","",IF($H202=1,INDEX(입금_은행1!$AA$8:$AA$2007,$I202),INDEX(입금_은행2!$AA$8:$AA$2007,$I202)))</f>
        <v/>
      </c>
      <c r="F202" s="38">
        <f>IF($H202="","","거래처 입금이면 별칭 등록")</f>
        <v/>
      </c>
      <c r="H202" s="31">
        <f>IF(196&lt;=MAX(입금_은행1!$AD$8:$AD$2007),1,IF(196-MAX(입금_은행1!$AD$8:$AD$2007)&lt;=MAX(입금_은행2!$AD$8:$AD$2007),2,""))</f>
        <v/>
      </c>
      <c r="I202" s="31">
        <f>IF($H202="","",IF($H202=1,MATCH(196,입금_은행1!$AD$8:$AD$2007,0),MATCH(196-MAX(입금_은행1!$AD$8:$AD$2007),입금_은행2!$AD$8:$AD$2007,0)))</f>
        <v/>
      </c>
    </row>
    <row r="203">
      <c r="A203" s="38">
        <f>IF($H203="","",197)</f>
        <v/>
      </c>
      <c r="B203" s="38">
        <f>IF($H203="","",IF($H203=1,입금_은행1!$A$5,입금_은행2!$A$5))</f>
        <v/>
      </c>
      <c r="C203" s="40">
        <f>IF($H203="","",IF($H203=1,INDEX(입금_은행1!$Y$8:$Y$2007,$I203),INDEX(입금_은행2!$Y$8:$Y$2007,$I203)))</f>
        <v/>
      </c>
      <c r="D203" s="44">
        <f>IF($H203="","",IF($H203=1,INDEX(입금_은행1!$Z$8:$Z$2007,$I203),INDEX(입금_은행2!$Z$8:$Z$2007,$I203)))</f>
        <v/>
      </c>
      <c r="E203" s="38">
        <f>IF($H203="","",IF($H203=1,INDEX(입금_은행1!$AA$8:$AA$2007,$I203),INDEX(입금_은행2!$AA$8:$AA$2007,$I203)))</f>
        <v/>
      </c>
      <c r="F203" s="38">
        <f>IF($H203="","","거래처 입금이면 별칭 등록")</f>
        <v/>
      </c>
      <c r="H203" s="31">
        <f>IF(197&lt;=MAX(입금_은행1!$AD$8:$AD$2007),1,IF(197-MAX(입금_은행1!$AD$8:$AD$2007)&lt;=MAX(입금_은행2!$AD$8:$AD$2007),2,""))</f>
        <v/>
      </c>
      <c r="I203" s="31">
        <f>IF($H203="","",IF($H203=1,MATCH(197,입금_은행1!$AD$8:$AD$2007,0),MATCH(197-MAX(입금_은행1!$AD$8:$AD$2007),입금_은행2!$AD$8:$AD$2007,0)))</f>
        <v/>
      </c>
    </row>
    <row r="204">
      <c r="A204" s="38">
        <f>IF($H204="","",198)</f>
        <v/>
      </c>
      <c r="B204" s="38">
        <f>IF($H204="","",IF($H204=1,입금_은행1!$A$5,입금_은행2!$A$5))</f>
        <v/>
      </c>
      <c r="C204" s="40">
        <f>IF($H204="","",IF($H204=1,INDEX(입금_은행1!$Y$8:$Y$2007,$I204),INDEX(입금_은행2!$Y$8:$Y$2007,$I204)))</f>
        <v/>
      </c>
      <c r="D204" s="44">
        <f>IF($H204="","",IF($H204=1,INDEX(입금_은행1!$Z$8:$Z$2007,$I204),INDEX(입금_은행2!$Z$8:$Z$2007,$I204)))</f>
        <v/>
      </c>
      <c r="E204" s="38">
        <f>IF($H204="","",IF($H204=1,INDEX(입금_은행1!$AA$8:$AA$2007,$I204),INDEX(입금_은행2!$AA$8:$AA$2007,$I204)))</f>
        <v/>
      </c>
      <c r="F204" s="38">
        <f>IF($H204="","","거래처 입금이면 별칭 등록")</f>
        <v/>
      </c>
      <c r="H204" s="31">
        <f>IF(198&lt;=MAX(입금_은행1!$AD$8:$AD$2007),1,IF(198-MAX(입금_은행1!$AD$8:$AD$2007)&lt;=MAX(입금_은행2!$AD$8:$AD$2007),2,""))</f>
        <v/>
      </c>
      <c r="I204" s="31">
        <f>IF($H204="","",IF($H204=1,MATCH(198,입금_은행1!$AD$8:$AD$2007,0),MATCH(198-MAX(입금_은행1!$AD$8:$AD$2007),입금_은행2!$AD$8:$AD$2007,0)))</f>
        <v/>
      </c>
    </row>
    <row r="205">
      <c r="A205" s="38">
        <f>IF($H205="","",199)</f>
        <v/>
      </c>
      <c r="B205" s="38">
        <f>IF($H205="","",IF($H205=1,입금_은행1!$A$5,입금_은행2!$A$5))</f>
        <v/>
      </c>
      <c r="C205" s="40">
        <f>IF($H205="","",IF($H205=1,INDEX(입금_은행1!$Y$8:$Y$2007,$I205),INDEX(입금_은행2!$Y$8:$Y$2007,$I205)))</f>
        <v/>
      </c>
      <c r="D205" s="44">
        <f>IF($H205="","",IF($H205=1,INDEX(입금_은행1!$Z$8:$Z$2007,$I205),INDEX(입금_은행2!$Z$8:$Z$2007,$I205)))</f>
        <v/>
      </c>
      <c r="E205" s="38">
        <f>IF($H205="","",IF($H205=1,INDEX(입금_은행1!$AA$8:$AA$2007,$I205),INDEX(입금_은행2!$AA$8:$AA$2007,$I205)))</f>
        <v/>
      </c>
      <c r="F205" s="38">
        <f>IF($H205="","","거래처 입금이면 별칭 등록")</f>
        <v/>
      </c>
      <c r="H205" s="31">
        <f>IF(199&lt;=MAX(입금_은행1!$AD$8:$AD$2007),1,IF(199-MAX(입금_은행1!$AD$8:$AD$2007)&lt;=MAX(입금_은행2!$AD$8:$AD$2007),2,""))</f>
        <v/>
      </c>
      <c r="I205" s="31">
        <f>IF($H205="","",IF($H205=1,MATCH(199,입금_은행1!$AD$8:$AD$2007,0),MATCH(199-MAX(입금_은행1!$AD$8:$AD$2007),입금_은행2!$AD$8:$AD$2007,0)))</f>
        <v/>
      </c>
    </row>
    <row r="206">
      <c r="A206" s="38">
        <f>IF($H206="","",200)</f>
        <v/>
      </c>
      <c r="B206" s="38">
        <f>IF($H206="","",IF($H206=1,입금_은행1!$A$5,입금_은행2!$A$5))</f>
        <v/>
      </c>
      <c r="C206" s="40">
        <f>IF($H206="","",IF($H206=1,INDEX(입금_은행1!$Y$8:$Y$2007,$I206),INDEX(입금_은행2!$Y$8:$Y$2007,$I206)))</f>
        <v/>
      </c>
      <c r="D206" s="44">
        <f>IF($H206="","",IF($H206=1,INDEX(입금_은행1!$Z$8:$Z$2007,$I206),INDEX(입금_은행2!$Z$8:$Z$2007,$I206)))</f>
        <v/>
      </c>
      <c r="E206" s="38">
        <f>IF($H206="","",IF($H206=1,INDEX(입금_은행1!$AA$8:$AA$2007,$I206),INDEX(입금_은행2!$AA$8:$AA$2007,$I206)))</f>
        <v/>
      </c>
      <c r="F206" s="38">
        <f>IF($H206="","","거래처 입금이면 별칭 등록")</f>
        <v/>
      </c>
      <c r="H206" s="31">
        <f>IF(200&lt;=MAX(입금_은행1!$AD$8:$AD$2007),1,IF(200-MAX(입금_은행1!$AD$8:$AD$2007)&lt;=MAX(입금_은행2!$AD$8:$AD$2007),2,""))</f>
        <v/>
      </c>
      <c r="I206" s="31">
        <f>IF($H206="","",IF($H206=1,MATCH(200,입금_은행1!$AD$8:$AD$2007,0),MATCH(200-MAX(입금_은행1!$AD$8:$AD$2007),입금_은행2!$AD$8:$AD$2007,0)))</f>
        <v/>
      </c>
    </row>
    <row r="207">
      <c r="A207" s="38">
        <f>IF($H207="","",201)</f>
        <v/>
      </c>
      <c r="B207" s="38">
        <f>IF($H207="","",IF($H207=1,입금_은행1!$A$5,입금_은행2!$A$5))</f>
        <v/>
      </c>
      <c r="C207" s="40">
        <f>IF($H207="","",IF($H207=1,INDEX(입금_은행1!$Y$8:$Y$2007,$I207),INDEX(입금_은행2!$Y$8:$Y$2007,$I207)))</f>
        <v/>
      </c>
      <c r="D207" s="44">
        <f>IF($H207="","",IF($H207=1,INDEX(입금_은행1!$Z$8:$Z$2007,$I207),INDEX(입금_은행2!$Z$8:$Z$2007,$I207)))</f>
        <v/>
      </c>
      <c r="E207" s="38">
        <f>IF($H207="","",IF($H207=1,INDEX(입금_은행1!$AA$8:$AA$2007,$I207),INDEX(입금_은행2!$AA$8:$AA$2007,$I207)))</f>
        <v/>
      </c>
      <c r="F207" s="38">
        <f>IF($H207="","","거래처 입금이면 별칭 등록")</f>
        <v/>
      </c>
      <c r="H207" s="31">
        <f>IF(201&lt;=MAX(입금_은행1!$AD$8:$AD$2007),1,IF(201-MAX(입금_은행1!$AD$8:$AD$2007)&lt;=MAX(입금_은행2!$AD$8:$AD$2007),2,""))</f>
        <v/>
      </c>
      <c r="I207" s="31">
        <f>IF($H207="","",IF($H207=1,MATCH(201,입금_은행1!$AD$8:$AD$2007,0),MATCH(201-MAX(입금_은행1!$AD$8:$AD$2007),입금_은행2!$AD$8:$AD$2007,0)))</f>
        <v/>
      </c>
    </row>
    <row r="208">
      <c r="A208" s="38">
        <f>IF($H208="","",202)</f>
        <v/>
      </c>
      <c r="B208" s="38">
        <f>IF($H208="","",IF($H208=1,입금_은행1!$A$5,입금_은행2!$A$5))</f>
        <v/>
      </c>
      <c r="C208" s="40">
        <f>IF($H208="","",IF($H208=1,INDEX(입금_은행1!$Y$8:$Y$2007,$I208),INDEX(입금_은행2!$Y$8:$Y$2007,$I208)))</f>
        <v/>
      </c>
      <c r="D208" s="44">
        <f>IF($H208="","",IF($H208=1,INDEX(입금_은행1!$Z$8:$Z$2007,$I208),INDEX(입금_은행2!$Z$8:$Z$2007,$I208)))</f>
        <v/>
      </c>
      <c r="E208" s="38">
        <f>IF($H208="","",IF($H208=1,INDEX(입금_은행1!$AA$8:$AA$2007,$I208),INDEX(입금_은행2!$AA$8:$AA$2007,$I208)))</f>
        <v/>
      </c>
      <c r="F208" s="38">
        <f>IF($H208="","","거래처 입금이면 별칭 등록")</f>
        <v/>
      </c>
      <c r="H208" s="31">
        <f>IF(202&lt;=MAX(입금_은행1!$AD$8:$AD$2007),1,IF(202-MAX(입금_은행1!$AD$8:$AD$2007)&lt;=MAX(입금_은행2!$AD$8:$AD$2007),2,""))</f>
        <v/>
      </c>
      <c r="I208" s="31">
        <f>IF($H208="","",IF($H208=1,MATCH(202,입금_은행1!$AD$8:$AD$2007,0),MATCH(202-MAX(입금_은행1!$AD$8:$AD$2007),입금_은행2!$AD$8:$AD$2007,0)))</f>
        <v/>
      </c>
    </row>
    <row r="209">
      <c r="A209" s="38">
        <f>IF($H209="","",203)</f>
        <v/>
      </c>
      <c r="B209" s="38">
        <f>IF($H209="","",IF($H209=1,입금_은행1!$A$5,입금_은행2!$A$5))</f>
        <v/>
      </c>
      <c r="C209" s="40">
        <f>IF($H209="","",IF($H209=1,INDEX(입금_은행1!$Y$8:$Y$2007,$I209),INDEX(입금_은행2!$Y$8:$Y$2007,$I209)))</f>
        <v/>
      </c>
      <c r="D209" s="44">
        <f>IF($H209="","",IF($H209=1,INDEX(입금_은행1!$Z$8:$Z$2007,$I209),INDEX(입금_은행2!$Z$8:$Z$2007,$I209)))</f>
        <v/>
      </c>
      <c r="E209" s="38">
        <f>IF($H209="","",IF($H209=1,INDEX(입금_은행1!$AA$8:$AA$2007,$I209),INDEX(입금_은행2!$AA$8:$AA$2007,$I209)))</f>
        <v/>
      </c>
      <c r="F209" s="38">
        <f>IF($H209="","","거래처 입금이면 별칭 등록")</f>
        <v/>
      </c>
      <c r="H209" s="31">
        <f>IF(203&lt;=MAX(입금_은행1!$AD$8:$AD$2007),1,IF(203-MAX(입금_은행1!$AD$8:$AD$2007)&lt;=MAX(입금_은행2!$AD$8:$AD$2007),2,""))</f>
        <v/>
      </c>
      <c r="I209" s="31">
        <f>IF($H209="","",IF($H209=1,MATCH(203,입금_은행1!$AD$8:$AD$2007,0),MATCH(203-MAX(입금_은행1!$AD$8:$AD$2007),입금_은행2!$AD$8:$AD$2007,0)))</f>
        <v/>
      </c>
    </row>
    <row r="210">
      <c r="A210" s="38">
        <f>IF($H210="","",204)</f>
        <v/>
      </c>
      <c r="B210" s="38">
        <f>IF($H210="","",IF($H210=1,입금_은행1!$A$5,입금_은행2!$A$5))</f>
        <v/>
      </c>
      <c r="C210" s="40">
        <f>IF($H210="","",IF($H210=1,INDEX(입금_은행1!$Y$8:$Y$2007,$I210),INDEX(입금_은행2!$Y$8:$Y$2007,$I210)))</f>
        <v/>
      </c>
      <c r="D210" s="44">
        <f>IF($H210="","",IF($H210=1,INDEX(입금_은행1!$Z$8:$Z$2007,$I210),INDEX(입금_은행2!$Z$8:$Z$2007,$I210)))</f>
        <v/>
      </c>
      <c r="E210" s="38">
        <f>IF($H210="","",IF($H210=1,INDEX(입금_은행1!$AA$8:$AA$2007,$I210),INDEX(입금_은행2!$AA$8:$AA$2007,$I210)))</f>
        <v/>
      </c>
      <c r="F210" s="38">
        <f>IF($H210="","","거래처 입금이면 별칭 등록")</f>
        <v/>
      </c>
      <c r="H210" s="31">
        <f>IF(204&lt;=MAX(입금_은행1!$AD$8:$AD$2007),1,IF(204-MAX(입금_은행1!$AD$8:$AD$2007)&lt;=MAX(입금_은행2!$AD$8:$AD$2007),2,""))</f>
        <v/>
      </c>
      <c r="I210" s="31">
        <f>IF($H210="","",IF($H210=1,MATCH(204,입금_은행1!$AD$8:$AD$2007,0),MATCH(204-MAX(입금_은행1!$AD$8:$AD$2007),입금_은행2!$AD$8:$AD$2007,0)))</f>
        <v/>
      </c>
    </row>
    <row r="211">
      <c r="A211" s="38">
        <f>IF($H211="","",205)</f>
        <v/>
      </c>
      <c r="B211" s="38">
        <f>IF($H211="","",IF($H211=1,입금_은행1!$A$5,입금_은행2!$A$5))</f>
        <v/>
      </c>
      <c r="C211" s="40">
        <f>IF($H211="","",IF($H211=1,INDEX(입금_은행1!$Y$8:$Y$2007,$I211),INDEX(입금_은행2!$Y$8:$Y$2007,$I211)))</f>
        <v/>
      </c>
      <c r="D211" s="44">
        <f>IF($H211="","",IF($H211=1,INDEX(입금_은행1!$Z$8:$Z$2007,$I211),INDEX(입금_은행2!$Z$8:$Z$2007,$I211)))</f>
        <v/>
      </c>
      <c r="E211" s="38">
        <f>IF($H211="","",IF($H211=1,INDEX(입금_은행1!$AA$8:$AA$2007,$I211),INDEX(입금_은행2!$AA$8:$AA$2007,$I211)))</f>
        <v/>
      </c>
      <c r="F211" s="38">
        <f>IF($H211="","","거래처 입금이면 별칭 등록")</f>
        <v/>
      </c>
      <c r="H211" s="31">
        <f>IF(205&lt;=MAX(입금_은행1!$AD$8:$AD$2007),1,IF(205-MAX(입금_은행1!$AD$8:$AD$2007)&lt;=MAX(입금_은행2!$AD$8:$AD$2007),2,""))</f>
        <v/>
      </c>
      <c r="I211" s="31">
        <f>IF($H211="","",IF($H211=1,MATCH(205,입금_은행1!$AD$8:$AD$2007,0),MATCH(205-MAX(입금_은행1!$AD$8:$AD$2007),입금_은행2!$AD$8:$AD$2007,0)))</f>
        <v/>
      </c>
    </row>
    <row r="212">
      <c r="A212" s="38">
        <f>IF($H212="","",206)</f>
        <v/>
      </c>
      <c r="B212" s="38">
        <f>IF($H212="","",IF($H212=1,입금_은행1!$A$5,입금_은행2!$A$5))</f>
        <v/>
      </c>
      <c r="C212" s="40">
        <f>IF($H212="","",IF($H212=1,INDEX(입금_은행1!$Y$8:$Y$2007,$I212),INDEX(입금_은행2!$Y$8:$Y$2007,$I212)))</f>
        <v/>
      </c>
      <c r="D212" s="44">
        <f>IF($H212="","",IF($H212=1,INDEX(입금_은행1!$Z$8:$Z$2007,$I212),INDEX(입금_은행2!$Z$8:$Z$2007,$I212)))</f>
        <v/>
      </c>
      <c r="E212" s="38">
        <f>IF($H212="","",IF($H212=1,INDEX(입금_은행1!$AA$8:$AA$2007,$I212),INDEX(입금_은행2!$AA$8:$AA$2007,$I212)))</f>
        <v/>
      </c>
      <c r="F212" s="38">
        <f>IF($H212="","","거래처 입금이면 별칭 등록")</f>
        <v/>
      </c>
      <c r="H212" s="31">
        <f>IF(206&lt;=MAX(입금_은행1!$AD$8:$AD$2007),1,IF(206-MAX(입금_은행1!$AD$8:$AD$2007)&lt;=MAX(입금_은행2!$AD$8:$AD$2007),2,""))</f>
        <v/>
      </c>
      <c r="I212" s="31">
        <f>IF($H212="","",IF($H212=1,MATCH(206,입금_은행1!$AD$8:$AD$2007,0),MATCH(206-MAX(입금_은행1!$AD$8:$AD$2007),입금_은행2!$AD$8:$AD$2007,0)))</f>
        <v/>
      </c>
    </row>
    <row r="213">
      <c r="A213" s="38">
        <f>IF($H213="","",207)</f>
        <v/>
      </c>
      <c r="B213" s="38">
        <f>IF($H213="","",IF($H213=1,입금_은행1!$A$5,입금_은행2!$A$5))</f>
        <v/>
      </c>
      <c r="C213" s="40">
        <f>IF($H213="","",IF($H213=1,INDEX(입금_은행1!$Y$8:$Y$2007,$I213),INDEX(입금_은행2!$Y$8:$Y$2007,$I213)))</f>
        <v/>
      </c>
      <c r="D213" s="44">
        <f>IF($H213="","",IF($H213=1,INDEX(입금_은행1!$Z$8:$Z$2007,$I213),INDEX(입금_은행2!$Z$8:$Z$2007,$I213)))</f>
        <v/>
      </c>
      <c r="E213" s="38">
        <f>IF($H213="","",IF($H213=1,INDEX(입금_은행1!$AA$8:$AA$2007,$I213),INDEX(입금_은행2!$AA$8:$AA$2007,$I213)))</f>
        <v/>
      </c>
      <c r="F213" s="38">
        <f>IF($H213="","","거래처 입금이면 별칭 등록")</f>
        <v/>
      </c>
      <c r="H213" s="31">
        <f>IF(207&lt;=MAX(입금_은행1!$AD$8:$AD$2007),1,IF(207-MAX(입금_은행1!$AD$8:$AD$2007)&lt;=MAX(입금_은행2!$AD$8:$AD$2007),2,""))</f>
        <v/>
      </c>
      <c r="I213" s="31">
        <f>IF($H213="","",IF($H213=1,MATCH(207,입금_은행1!$AD$8:$AD$2007,0),MATCH(207-MAX(입금_은행1!$AD$8:$AD$2007),입금_은행2!$AD$8:$AD$2007,0)))</f>
        <v/>
      </c>
    </row>
    <row r="214">
      <c r="A214" s="38">
        <f>IF($H214="","",208)</f>
        <v/>
      </c>
      <c r="B214" s="38">
        <f>IF($H214="","",IF($H214=1,입금_은행1!$A$5,입금_은행2!$A$5))</f>
        <v/>
      </c>
      <c r="C214" s="40">
        <f>IF($H214="","",IF($H214=1,INDEX(입금_은행1!$Y$8:$Y$2007,$I214),INDEX(입금_은행2!$Y$8:$Y$2007,$I214)))</f>
        <v/>
      </c>
      <c r="D214" s="44">
        <f>IF($H214="","",IF($H214=1,INDEX(입금_은행1!$Z$8:$Z$2007,$I214),INDEX(입금_은행2!$Z$8:$Z$2007,$I214)))</f>
        <v/>
      </c>
      <c r="E214" s="38">
        <f>IF($H214="","",IF($H214=1,INDEX(입금_은행1!$AA$8:$AA$2007,$I214),INDEX(입금_은행2!$AA$8:$AA$2007,$I214)))</f>
        <v/>
      </c>
      <c r="F214" s="38">
        <f>IF($H214="","","거래처 입금이면 별칭 등록")</f>
        <v/>
      </c>
      <c r="H214" s="31">
        <f>IF(208&lt;=MAX(입금_은행1!$AD$8:$AD$2007),1,IF(208-MAX(입금_은행1!$AD$8:$AD$2007)&lt;=MAX(입금_은행2!$AD$8:$AD$2007),2,""))</f>
        <v/>
      </c>
      <c r="I214" s="31">
        <f>IF($H214="","",IF($H214=1,MATCH(208,입금_은행1!$AD$8:$AD$2007,0),MATCH(208-MAX(입금_은행1!$AD$8:$AD$2007),입금_은행2!$AD$8:$AD$2007,0)))</f>
        <v/>
      </c>
    </row>
    <row r="215">
      <c r="A215" s="38">
        <f>IF($H215="","",209)</f>
        <v/>
      </c>
      <c r="B215" s="38">
        <f>IF($H215="","",IF($H215=1,입금_은행1!$A$5,입금_은행2!$A$5))</f>
        <v/>
      </c>
      <c r="C215" s="40">
        <f>IF($H215="","",IF($H215=1,INDEX(입금_은행1!$Y$8:$Y$2007,$I215),INDEX(입금_은행2!$Y$8:$Y$2007,$I215)))</f>
        <v/>
      </c>
      <c r="D215" s="44">
        <f>IF($H215="","",IF($H215=1,INDEX(입금_은행1!$Z$8:$Z$2007,$I215),INDEX(입금_은행2!$Z$8:$Z$2007,$I215)))</f>
        <v/>
      </c>
      <c r="E215" s="38">
        <f>IF($H215="","",IF($H215=1,INDEX(입금_은행1!$AA$8:$AA$2007,$I215),INDEX(입금_은행2!$AA$8:$AA$2007,$I215)))</f>
        <v/>
      </c>
      <c r="F215" s="38">
        <f>IF($H215="","","거래처 입금이면 별칭 등록")</f>
        <v/>
      </c>
      <c r="H215" s="31">
        <f>IF(209&lt;=MAX(입금_은행1!$AD$8:$AD$2007),1,IF(209-MAX(입금_은행1!$AD$8:$AD$2007)&lt;=MAX(입금_은행2!$AD$8:$AD$2007),2,""))</f>
        <v/>
      </c>
      <c r="I215" s="31">
        <f>IF($H215="","",IF($H215=1,MATCH(209,입금_은행1!$AD$8:$AD$2007,0),MATCH(209-MAX(입금_은행1!$AD$8:$AD$2007),입금_은행2!$AD$8:$AD$2007,0)))</f>
        <v/>
      </c>
    </row>
    <row r="216">
      <c r="A216" s="38">
        <f>IF($H216="","",210)</f>
        <v/>
      </c>
      <c r="B216" s="38">
        <f>IF($H216="","",IF($H216=1,입금_은행1!$A$5,입금_은행2!$A$5))</f>
        <v/>
      </c>
      <c r="C216" s="40">
        <f>IF($H216="","",IF($H216=1,INDEX(입금_은행1!$Y$8:$Y$2007,$I216),INDEX(입금_은행2!$Y$8:$Y$2007,$I216)))</f>
        <v/>
      </c>
      <c r="D216" s="44">
        <f>IF($H216="","",IF($H216=1,INDEX(입금_은행1!$Z$8:$Z$2007,$I216),INDEX(입금_은행2!$Z$8:$Z$2007,$I216)))</f>
        <v/>
      </c>
      <c r="E216" s="38">
        <f>IF($H216="","",IF($H216=1,INDEX(입금_은행1!$AA$8:$AA$2007,$I216),INDEX(입금_은행2!$AA$8:$AA$2007,$I216)))</f>
        <v/>
      </c>
      <c r="F216" s="38">
        <f>IF($H216="","","거래처 입금이면 별칭 등록")</f>
        <v/>
      </c>
      <c r="H216" s="31">
        <f>IF(210&lt;=MAX(입금_은행1!$AD$8:$AD$2007),1,IF(210-MAX(입금_은행1!$AD$8:$AD$2007)&lt;=MAX(입금_은행2!$AD$8:$AD$2007),2,""))</f>
        <v/>
      </c>
      <c r="I216" s="31">
        <f>IF($H216="","",IF($H216=1,MATCH(210,입금_은행1!$AD$8:$AD$2007,0),MATCH(210-MAX(입금_은행1!$AD$8:$AD$2007),입금_은행2!$AD$8:$AD$2007,0)))</f>
        <v/>
      </c>
    </row>
    <row r="217">
      <c r="A217" s="38">
        <f>IF($H217="","",211)</f>
        <v/>
      </c>
      <c r="B217" s="38">
        <f>IF($H217="","",IF($H217=1,입금_은행1!$A$5,입금_은행2!$A$5))</f>
        <v/>
      </c>
      <c r="C217" s="40">
        <f>IF($H217="","",IF($H217=1,INDEX(입금_은행1!$Y$8:$Y$2007,$I217),INDEX(입금_은행2!$Y$8:$Y$2007,$I217)))</f>
        <v/>
      </c>
      <c r="D217" s="44">
        <f>IF($H217="","",IF($H217=1,INDEX(입금_은행1!$Z$8:$Z$2007,$I217),INDEX(입금_은행2!$Z$8:$Z$2007,$I217)))</f>
        <v/>
      </c>
      <c r="E217" s="38">
        <f>IF($H217="","",IF($H217=1,INDEX(입금_은행1!$AA$8:$AA$2007,$I217),INDEX(입금_은행2!$AA$8:$AA$2007,$I217)))</f>
        <v/>
      </c>
      <c r="F217" s="38">
        <f>IF($H217="","","거래처 입금이면 별칭 등록")</f>
        <v/>
      </c>
      <c r="H217" s="31">
        <f>IF(211&lt;=MAX(입금_은행1!$AD$8:$AD$2007),1,IF(211-MAX(입금_은행1!$AD$8:$AD$2007)&lt;=MAX(입금_은행2!$AD$8:$AD$2007),2,""))</f>
        <v/>
      </c>
      <c r="I217" s="31">
        <f>IF($H217="","",IF($H217=1,MATCH(211,입금_은행1!$AD$8:$AD$2007,0),MATCH(211-MAX(입금_은행1!$AD$8:$AD$2007),입금_은행2!$AD$8:$AD$2007,0)))</f>
        <v/>
      </c>
    </row>
    <row r="218">
      <c r="A218" s="38">
        <f>IF($H218="","",212)</f>
        <v/>
      </c>
      <c r="B218" s="38">
        <f>IF($H218="","",IF($H218=1,입금_은행1!$A$5,입금_은행2!$A$5))</f>
        <v/>
      </c>
      <c r="C218" s="40">
        <f>IF($H218="","",IF($H218=1,INDEX(입금_은행1!$Y$8:$Y$2007,$I218),INDEX(입금_은행2!$Y$8:$Y$2007,$I218)))</f>
        <v/>
      </c>
      <c r="D218" s="44">
        <f>IF($H218="","",IF($H218=1,INDEX(입금_은행1!$Z$8:$Z$2007,$I218),INDEX(입금_은행2!$Z$8:$Z$2007,$I218)))</f>
        <v/>
      </c>
      <c r="E218" s="38">
        <f>IF($H218="","",IF($H218=1,INDEX(입금_은행1!$AA$8:$AA$2007,$I218),INDEX(입금_은행2!$AA$8:$AA$2007,$I218)))</f>
        <v/>
      </c>
      <c r="F218" s="38">
        <f>IF($H218="","","거래처 입금이면 별칭 등록")</f>
        <v/>
      </c>
      <c r="H218" s="31">
        <f>IF(212&lt;=MAX(입금_은행1!$AD$8:$AD$2007),1,IF(212-MAX(입금_은행1!$AD$8:$AD$2007)&lt;=MAX(입금_은행2!$AD$8:$AD$2007),2,""))</f>
        <v/>
      </c>
      <c r="I218" s="31">
        <f>IF($H218="","",IF($H218=1,MATCH(212,입금_은행1!$AD$8:$AD$2007,0),MATCH(212-MAX(입금_은행1!$AD$8:$AD$2007),입금_은행2!$AD$8:$AD$2007,0)))</f>
        <v/>
      </c>
    </row>
    <row r="219">
      <c r="A219" s="38">
        <f>IF($H219="","",213)</f>
        <v/>
      </c>
      <c r="B219" s="38">
        <f>IF($H219="","",IF($H219=1,입금_은행1!$A$5,입금_은행2!$A$5))</f>
        <v/>
      </c>
      <c r="C219" s="40">
        <f>IF($H219="","",IF($H219=1,INDEX(입금_은행1!$Y$8:$Y$2007,$I219),INDEX(입금_은행2!$Y$8:$Y$2007,$I219)))</f>
        <v/>
      </c>
      <c r="D219" s="44">
        <f>IF($H219="","",IF($H219=1,INDEX(입금_은행1!$Z$8:$Z$2007,$I219),INDEX(입금_은행2!$Z$8:$Z$2007,$I219)))</f>
        <v/>
      </c>
      <c r="E219" s="38">
        <f>IF($H219="","",IF($H219=1,INDEX(입금_은행1!$AA$8:$AA$2007,$I219),INDEX(입금_은행2!$AA$8:$AA$2007,$I219)))</f>
        <v/>
      </c>
      <c r="F219" s="38">
        <f>IF($H219="","","거래처 입금이면 별칭 등록")</f>
        <v/>
      </c>
      <c r="H219" s="31">
        <f>IF(213&lt;=MAX(입금_은행1!$AD$8:$AD$2007),1,IF(213-MAX(입금_은행1!$AD$8:$AD$2007)&lt;=MAX(입금_은행2!$AD$8:$AD$2007),2,""))</f>
        <v/>
      </c>
      <c r="I219" s="31">
        <f>IF($H219="","",IF($H219=1,MATCH(213,입금_은행1!$AD$8:$AD$2007,0),MATCH(213-MAX(입금_은행1!$AD$8:$AD$2007),입금_은행2!$AD$8:$AD$2007,0)))</f>
        <v/>
      </c>
    </row>
    <row r="220">
      <c r="A220" s="38">
        <f>IF($H220="","",214)</f>
        <v/>
      </c>
      <c r="B220" s="38">
        <f>IF($H220="","",IF($H220=1,입금_은행1!$A$5,입금_은행2!$A$5))</f>
        <v/>
      </c>
      <c r="C220" s="40">
        <f>IF($H220="","",IF($H220=1,INDEX(입금_은행1!$Y$8:$Y$2007,$I220),INDEX(입금_은행2!$Y$8:$Y$2007,$I220)))</f>
        <v/>
      </c>
      <c r="D220" s="44">
        <f>IF($H220="","",IF($H220=1,INDEX(입금_은행1!$Z$8:$Z$2007,$I220),INDEX(입금_은행2!$Z$8:$Z$2007,$I220)))</f>
        <v/>
      </c>
      <c r="E220" s="38">
        <f>IF($H220="","",IF($H220=1,INDEX(입금_은행1!$AA$8:$AA$2007,$I220),INDEX(입금_은행2!$AA$8:$AA$2007,$I220)))</f>
        <v/>
      </c>
      <c r="F220" s="38">
        <f>IF($H220="","","거래처 입금이면 별칭 등록")</f>
        <v/>
      </c>
      <c r="H220" s="31">
        <f>IF(214&lt;=MAX(입금_은행1!$AD$8:$AD$2007),1,IF(214-MAX(입금_은행1!$AD$8:$AD$2007)&lt;=MAX(입금_은행2!$AD$8:$AD$2007),2,""))</f>
        <v/>
      </c>
      <c r="I220" s="31">
        <f>IF($H220="","",IF($H220=1,MATCH(214,입금_은행1!$AD$8:$AD$2007,0),MATCH(214-MAX(입금_은행1!$AD$8:$AD$2007),입금_은행2!$AD$8:$AD$2007,0)))</f>
        <v/>
      </c>
    </row>
    <row r="221">
      <c r="A221" s="38">
        <f>IF($H221="","",215)</f>
        <v/>
      </c>
      <c r="B221" s="38">
        <f>IF($H221="","",IF($H221=1,입금_은행1!$A$5,입금_은행2!$A$5))</f>
        <v/>
      </c>
      <c r="C221" s="40">
        <f>IF($H221="","",IF($H221=1,INDEX(입금_은행1!$Y$8:$Y$2007,$I221),INDEX(입금_은행2!$Y$8:$Y$2007,$I221)))</f>
        <v/>
      </c>
      <c r="D221" s="44">
        <f>IF($H221="","",IF($H221=1,INDEX(입금_은행1!$Z$8:$Z$2007,$I221),INDEX(입금_은행2!$Z$8:$Z$2007,$I221)))</f>
        <v/>
      </c>
      <c r="E221" s="38">
        <f>IF($H221="","",IF($H221=1,INDEX(입금_은행1!$AA$8:$AA$2007,$I221),INDEX(입금_은행2!$AA$8:$AA$2007,$I221)))</f>
        <v/>
      </c>
      <c r="F221" s="38">
        <f>IF($H221="","","거래처 입금이면 별칭 등록")</f>
        <v/>
      </c>
      <c r="H221" s="31">
        <f>IF(215&lt;=MAX(입금_은행1!$AD$8:$AD$2007),1,IF(215-MAX(입금_은행1!$AD$8:$AD$2007)&lt;=MAX(입금_은행2!$AD$8:$AD$2007),2,""))</f>
        <v/>
      </c>
      <c r="I221" s="31">
        <f>IF($H221="","",IF($H221=1,MATCH(215,입금_은행1!$AD$8:$AD$2007,0),MATCH(215-MAX(입금_은행1!$AD$8:$AD$2007),입금_은행2!$AD$8:$AD$2007,0)))</f>
        <v/>
      </c>
    </row>
    <row r="222">
      <c r="A222" s="38">
        <f>IF($H222="","",216)</f>
        <v/>
      </c>
      <c r="B222" s="38">
        <f>IF($H222="","",IF($H222=1,입금_은행1!$A$5,입금_은행2!$A$5))</f>
        <v/>
      </c>
      <c r="C222" s="40">
        <f>IF($H222="","",IF($H222=1,INDEX(입금_은행1!$Y$8:$Y$2007,$I222),INDEX(입금_은행2!$Y$8:$Y$2007,$I222)))</f>
        <v/>
      </c>
      <c r="D222" s="44">
        <f>IF($H222="","",IF($H222=1,INDEX(입금_은행1!$Z$8:$Z$2007,$I222),INDEX(입금_은행2!$Z$8:$Z$2007,$I222)))</f>
        <v/>
      </c>
      <c r="E222" s="38">
        <f>IF($H222="","",IF($H222=1,INDEX(입금_은행1!$AA$8:$AA$2007,$I222),INDEX(입금_은행2!$AA$8:$AA$2007,$I222)))</f>
        <v/>
      </c>
      <c r="F222" s="38">
        <f>IF($H222="","","거래처 입금이면 별칭 등록")</f>
        <v/>
      </c>
      <c r="H222" s="31">
        <f>IF(216&lt;=MAX(입금_은행1!$AD$8:$AD$2007),1,IF(216-MAX(입금_은행1!$AD$8:$AD$2007)&lt;=MAX(입금_은행2!$AD$8:$AD$2007),2,""))</f>
        <v/>
      </c>
      <c r="I222" s="31">
        <f>IF($H222="","",IF($H222=1,MATCH(216,입금_은행1!$AD$8:$AD$2007,0),MATCH(216-MAX(입금_은행1!$AD$8:$AD$2007),입금_은행2!$AD$8:$AD$2007,0)))</f>
        <v/>
      </c>
    </row>
    <row r="223">
      <c r="A223" s="38">
        <f>IF($H223="","",217)</f>
        <v/>
      </c>
      <c r="B223" s="38">
        <f>IF($H223="","",IF($H223=1,입금_은행1!$A$5,입금_은행2!$A$5))</f>
        <v/>
      </c>
      <c r="C223" s="40">
        <f>IF($H223="","",IF($H223=1,INDEX(입금_은행1!$Y$8:$Y$2007,$I223),INDEX(입금_은행2!$Y$8:$Y$2007,$I223)))</f>
        <v/>
      </c>
      <c r="D223" s="44">
        <f>IF($H223="","",IF($H223=1,INDEX(입금_은행1!$Z$8:$Z$2007,$I223),INDEX(입금_은행2!$Z$8:$Z$2007,$I223)))</f>
        <v/>
      </c>
      <c r="E223" s="38">
        <f>IF($H223="","",IF($H223=1,INDEX(입금_은행1!$AA$8:$AA$2007,$I223),INDEX(입금_은행2!$AA$8:$AA$2007,$I223)))</f>
        <v/>
      </c>
      <c r="F223" s="38">
        <f>IF($H223="","","거래처 입금이면 별칭 등록")</f>
        <v/>
      </c>
      <c r="H223" s="31">
        <f>IF(217&lt;=MAX(입금_은행1!$AD$8:$AD$2007),1,IF(217-MAX(입금_은행1!$AD$8:$AD$2007)&lt;=MAX(입금_은행2!$AD$8:$AD$2007),2,""))</f>
        <v/>
      </c>
      <c r="I223" s="31">
        <f>IF($H223="","",IF($H223=1,MATCH(217,입금_은행1!$AD$8:$AD$2007,0),MATCH(217-MAX(입금_은행1!$AD$8:$AD$2007),입금_은행2!$AD$8:$AD$2007,0)))</f>
        <v/>
      </c>
    </row>
    <row r="224">
      <c r="A224" s="38">
        <f>IF($H224="","",218)</f>
        <v/>
      </c>
      <c r="B224" s="38">
        <f>IF($H224="","",IF($H224=1,입금_은행1!$A$5,입금_은행2!$A$5))</f>
        <v/>
      </c>
      <c r="C224" s="40">
        <f>IF($H224="","",IF($H224=1,INDEX(입금_은행1!$Y$8:$Y$2007,$I224),INDEX(입금_은행2!$Y$8:$Y$2007,$I224)))</f>
        <v/>
      </c>
      <c r="D224" s="44">
        <f>IF($H224="","",IF($H224=1,INDEX(입금_은행1!$Z$8:$Z$2007,$I224),INDEX(입금_은행2!$Z$8:$Z$2007,$I224)))</f>
        <v/>
      </c>
      <c r="E224" s="38">
        <f>IF($H224="","",IF($H224=1,INDEX(입금_은행1!$AA$8:$AA$2007,$I224),INDEX(입금_은행2!$AA$8:$AA$2007,$I224)))</f>
        <v/>
      </c>
      <c r="F224" s="38">
        <f>IF($H224="","","거래처 입금이면 별칭 등록")</f>
        <v/>
      </c>
      <c r="H224" s="31">
        <f>IF(218&lt;=MAX(입금_은행1!$AD$8:$AD$2007),1,IF(218-MAX(입금_은행1!$AD$8:$AD$2007)&lt;=MAX(입금_은행2!$AD$8:$AD$2007),2,""))</f>
        <v/>
      </c>
      <c r="I224" s="31">
        <f>IF($H224="","",IF($H224=1,MATCH(218,입금_은행1!$AD$8:$AD$2007,0),MATCH(218-MAX(입금_은행1!$AD$8:$AD$2007),입금_은행2!$AD$8:$AD$2007,0)))</f>
        <v/>
      </c>
    </row>
    <row r="225">
      <c r="A225" s="38">
        <f>IF($H225="","",219)</f>
        <v/>
      </c>
      <c r="B225" s="38">
        <f>IF($H225="","",IF($H225=1,입금_은행1!$A$5,입금_은행2!$A$5))</f>
        <v/>
      </c>
      <c r="C225" s="40">
        <f>IF($H225="","",IF($H225=1,INDEX(입금_은행1!$Y$8:$Y$2007,$I225),INDEX(입금_은행2!$Y$8:$Y$2007,$I225)))</f>
        <v/>
      </c>
      <c r="D225" s="44">
        <f>IF($H225="","",IF($H225=1,INDEX(입금_은행1!$Z$8:$Z$2007,$I225),INDEX(입금_은행2!$Z$8:$Z$2007,$I225)))</f>
        <v/>
      </c>
      <c r="E225" s="38">
        <f>IF($H225="","",IF($H225=1,INDEX(입금_은행1!$AA$8:$AA$2007,$I225),INDEX(입금_은행2!$AA$8:$AA$2007,$I225)))</f>
        <v/>
      </c>
      <c r="F225" s="38">
        <f>IF($H225="","","거래처 입금이면 별칭 등록")</f>
        <v/>
      </c>
      <c r="H225" s="31">
        <f>IF(219&lt;=MAX(입금_은행1!$AD$8:$AD$2007),1,IF(219-MAX(입금_은행1!$AD$8:$AD$2007)&lt;=MAX(입금_은행2!$AD$8:$AD$2007),2,""))</f>
        <v/>
      </c>
      <c r="I225" s="31">
        <f>IF($H225="","",IF($H225=1,MATCH(219,입금_은행1!$AD$8:$AD$2007,0),MATCH(219-MAX(입금_은행1!$AD$8:$AD$2007),입금_은행2!$AD$8:$AD$2007,0)))</f>
        <v/>
      </c>
    </row>
    <row r="226">
      <c r="A226" s="38">
        <f>IF($H226="","",220)</f>
        <v/>
      </c>
      <c r="B226" s="38">
        <f>IF($H226="","",IF($H226=1,입금_은행1!$A$5,입금_은행2!$A$5))</f>
        <v/>
      </c>
      <c r="C226" s="40">
        <f>IF($H226="","",IF($H226=1,INDEX(입금_은행1!$Y$8:$Y$2007,$I226),INDEX(입금_은행2!$Y$8:$Y$2007,$I226)))</f>
        <v/>
      </c>
      <c r="D226" s="44">
        <f>IF($H226="","",IF($H226=1,INDEX(입금_은행1!$Z$8:$Z$2007,$I226),INDEX(입금_은행2!$Z$8:$Z$2007,$I226)))</f>
        <v/>
      </c>
      <c r="E226" s="38">
        <f>IF($H226="","",IF($H226=1,INDEX(입금_은행1!$AA$8:$AA$2007,$I226),INDEX(입금_은행2!$AA$8:$AA$2007,$I226)))</f>
        <v/>
      </c>
      <c r="F226" s="38">
        <f>IF($H226="","","거래처 입금이면 별칭 등록")</f>
        <v/>
      </c>
      <c r="H226" s="31">
        <f>IF(220&lt;=MAX(입금_은행1!$AD$8:$AD$2007),1,IF(220-MAX(입금_은행1!$AD$8:$AD$2007)&lt;=MAX(입금_은행2!$AD$8:$AD$2007),2,""))</f>
        <v/>
      </c>
      <c r="I226" s="31">
        <f>IF($H226="","",IF($H226=1,MATCH(220,입금_은행1!$AD$8:$AD$2007,0),MATCH(220-MAX(입금_은행1!$AD$8:$AD$2007),입금_은행2!$AD$8:$AD$2007,0)))</f>
        <v/>
      </c>
    </row>
    <row r="227">
      <c r="A227" s="38">
        <f>IF($H227="","",221)</f>
        <v/>
      </c>
      <c r="B227" s="38">
        <f>IF($H227="","",IF($H227=1,입금_은행1!$A$5,입금_은행2!$A$5))</f>
        <v/>
      </c>
      <c r="C227" s="40">
        <f>IF($H227="","",IF($H227=1,INDEX(입금_은행1!$Y$8:$Y$2007,$I227),INDEX(입금_은행2!$Y$8:$Y$2007,$I227)))</f>
        <v/>
      </c>
      <c r="D227" s="44">
        <f>IF($H227="","",IF($H227=1,INDEX(입금_은행1!$Z$8:$Z$2007,$I227),INDEX(입금_은행2!$Z$8:$Z$2007,$I227)))</f>
        <v/>
      </c>
      <c r="E227" s="38">
        <f>IF($H227="","",IF($H227=1,INDEX(입금_은행1!$AA$8:$AA$2007,$I227),INDEX(입금_은행2!$AA$8:$AA$2007,$I227)))</f>
        <v/>
      </c>
      <c r="F227" s="38">
        <f>IF($H227="","","거래처 입금이면 별칭 등록")</f>
        <v/>
      </c>
      <c r="H227" s="31">
        <f>IF(221&lt;=MAX(입금_은행1!$AD$8:$AD$2007),1,IF(221-MAX(입금_은행1!$AD$8:$AD$2007)&lt;=MAX(입금_은행2!$AD$8:$AD$2007),2,""))</f>
        <v/>
      </c>
      <c r="I227" s="31">
        <f>IF($H227="","",IF($H227=1,MATCH(221,입금_은행1!$AD$8:$AD$2007,0),MATCH(221-MAX(입금_은행1!$AD$8:$AD$2007),입금_은행2!$AD$8:$AD$2007,0)))</f>
        <v/>
      </c>
    </row>
    <row r="228">
      <c r="A228" s="38">
        <f>IF($H228="","",222)</f>
        <v/>
      </c>
      <c r="B228" s="38">
        <f>IF($H228="","",IF($H228=1,입금_은행1!$A$5,입금_은행2!$A$5))</f>
        <v/>
      </c>
      <c r="C228" s="40">
        <f>IF($H228="","",IF($H228=1,INDEX(입금_은행1!$Y$8:$Y$2007,$I228),INDEX(입금_은행2!$Y$8:$Y$2007,$I228)))</f>
        <v/>
      </c>
      <c r="D228" s="44">
        <f>IF($H228="","",IF($H228=1,INDEX(입금_은행1!$Z$8:$Z$2007,$I228),INDEX(입금_은행2!$Z$8:$Z$2007,$I228)))</f>
        <v/>
      </c>
      <c r="E228" s="38">
        <f>IF($H228="","",IF($H228=1,INDEX(입금_은행1!$AA$8:$AA$2007,$I228),INDEX(입금_은행2!$AA$8:$AA$2007,$I228)))</f>
        <v/>
      </c>
      <c r="F228" s="38">
        <f>IF($H228="","","거래처 입금이면 별칭 등록")</f>
        <v/>
      </c>
      <c r="H228" s="31">
        <f>IF(222&lt;=MAX(입금_은행1!$AD$8:$AD$2007),1,IF(222-MAX(입금_은행1!$AD$8:$AD$2007)&lt;=MAX(입금_은행2!$AD$8:$AD$2007),2,""))</f>
        <v/>
      </c>
      <c r="I228" s="31">
        <f>IF($H228="","",IF($H228=1,MATCH(222,입금_은행1!$AD$8:$AD$2007,0),MATCH(222-MAX(입금_은행1!$AD$8:$AD$2007),입금_은행2!$AD$8:$AD$2007,0)))</f>
        <v/>
      </c>
    </row>
    <row r="229">
      <c r="A229" s="38">
        <f>IF($H229="","",223)</f>
        <v/>
      </c>
      <c r="B229" s="38">
        <f>IF($H229="","",IF($H229=1,입금_은행1!$A$5,입금_은행2!$A$5))</f>
        <v/>
      </c>
      <c r="C229" s="40">
        <f>IF($H229="","",IF($H229=1,INDEX(입금_은행1!$Y$8:$Y$2007,$I229),INDEX(입금_은행2!$Y$8:$Y$2007,$I229)))</f>
        <v/>
      </c>
      <c r="D229" s="44">
        <f>IF($H229="","",IF($H229=1,INDEX(입금_은행1!$Z$8:$Z$2007,$I229),INDEX(입금_은행2!$Z$8:$Z$2007,$I229)))</f>
        <v/>
      </c>
      <c r="E229" s="38">
        <f>IF($H229="","",IF($H229=1,INDEX(입금_은행1!$AA$8:$AA$2007,$I229),INDEX(입금_은행2!$AA$8:$AA$2007,$I229)))</f>
        <v/>
      </c>
      <c r="F229" s="38">
        <f>IF($H229="","","거래처 입금이면 별칭 등록")</f>
        <v/>
      </c>
      <c r="H229" s="31">
        <f>IF(223&lt;=MAX(입금_은행1!$AD$8:$AD$2007),1,IF(223-MAX(입금_은행1!$AD$8:$AD$2007)&lt;=MAX(입금_은행2!$AD$8:$AD$2007),2,""))</f>
        <v/>
      </c>
      <c r="I229" s="31">
        <f>IF($H229="","",IF($H229=1,MATCH(223,입금_은행1!$AD$8:$AD$2007,0),MATCH(223-MAX(입금_은행1!$AD$8:$AD$2007),입금_은행2!$AD$8:$AD$2007,0)))</f>
        <v/>
      </c>
    </row>
    <row r="230">
      <c r="A230" s="38">
        <f>IF($H230="","",224)</f>
        <v/>
      </c>
      <c r="B230" s="38">
        <f>IF($H230="","",IF($H230=1,입금_은행1!$A$5,입금_은행2!$A$5))</f>
        <v/>
      </c>
      <c r="C230" s="40">
        <f>IF($H230="","",IF($H230=1,INDEX(입금_은행1!$Y$8:$Y$2007,$I230),INDEX(입금_은행2!$Y$8:$Y$2007,$I230)))</f>
        <v/>
      </c>
      <c r="D230" s="44">
        <f>IF($H230="","",IF($H230=1,INDEX(입금_은행1!$Z$8:$Z$2007,$I230),INDEX(입금_은행2!$Z$8:$Z$2007,$I230)))</f>
        <v/>
      </c>
      <c r="E230" s="38">
        <f>IF($H230="","",IF($H230=1,INDEX(입금_은행1!$AA$8:$AA$2007,$I230),INDEX(입금_은행2!$AA$8:$AA$2007,$I230)))</f>
        <v/>
      </c>
      <c r="F230" s="38">
        <f>IF($H230="","","거래처 입금이면 별칭 등록")</f>
        <v/>
      </c>
      <c r="H230" s="31">
        <f>IF(224&lt;=MAX(입금_은행1!$AD$8:$AD$2007),1,IF(224-MAX(입금_은행1!$AD$8:$AD$2007)&lt;=MAX(입금_은행2!$AD$8:$AD$2007),2,""))</f>
        <v/>
      </c>
      <c r="I230" s="31">
        <f>IF($H230="","",IF($H230=1,MATCH(224,입금_은행1!$AD$8:$AD$2007,0),MATCH(224-MAX(입금_은행1!$AD$8:$AD$2007),입금_은행2!$AD$8:$AD$2007,0)))</f>
        <v/>
      </c>
    </row>
    <row r="231">
      <c r="A231" s="38">
        <f>IF($H231="","",225)</f>
        <v/>
      </c>
      <c r="B231" s="38">
        <f>IF($H231="","",IF($H231=1,입금_은행1!$A$5,입금_은행2!$A$5))</f>
        <v/>
      </c>
      <c r="C231" s="40">
        <f>IF($H231="","",IF($H231=1,INDEX(입금_은행1!$Y$8:$Y$2007,$I231),INDEX(입금_은행2!$Y$8:$Y$2007,$I231)))</f>
        <v/>
      </c>
      <c r="D231" s="44">
        <f>IF($H231="","",IF($H231=1,INDEX(입금_은행1!$Z$8:$Z$2007,$I231),INDEX(입금_은행2!$Z$8:$Z$2007,$I231)))</f>
        <v/>
      </c>
      <c r="E231" s="38">
        <f>IF($H231="","",IF($H231=1,INDEX(입금_은행1!$AA$8:$AA$2007,$I231),INDEX(입금_은행2!$AA$8:$AA$2007,$I231)))</f>
        <v/>
      </c>
      <c r="F231" s="38">
        <f>IF($H231="","","거래처 입금이면 별칭 등록")</f>
        <v/>
      </c>
      <c r="H231" s="31">
        <f>IF(225&lt;=MAX(입금_은행1!$AD$8:$AD$2007),1,IF(225-MAX(입금_은행1!$AD$8:$AD$2007)&lt;=MAX(입금_은행2!$AD$8:$AD$2007),2,""))</f>
        <v/>
      </c>
      <c r="I231" s="31">
        <f>IF($H231="","",IF($H231=1,MATCH(225,입금_은행1!$AD$8:$AD$2007,0),MATCH(225-MAX(입금_은행1!$AD$8:$AD$2007),입금_은행2!$AD$8:$AD$2007,0)))</f>
        <v/>
      </c>
    </row>
    <row r="232">
      <c r="A232" s="38">
        <f>IF($H232="","",226)</f>
        <v/>
      </c>
      <c r="B232" s="38">
        <f>IF($H232="","",IF($H232=1,입금_은행1!$A$5,입금_은행2!$A$5))</f>
        <v/>
      </c>
      <c r="C232" s="40">
        <f>IF($H232="","",IF($H232=1,INDEX(입금_은행1!$Y$8:$Y$2007,$I232),INDEX(입금_은행2!$Y$8:$Y$2007,$I232)))</f>
        <v/>
      </c>
      <c r="D232" s="44">
        <f>IF($H232="","",IF($H232=1,INDEX(입금_은행1!$Z$8:$Z$2007,$I232),INDEX(입금_은행2!$Z$8:$Z$2007,$I232)))</f>
        <v/>
      </c>
      <c r="E232" s="38">
        <f>IF($H232="","",IF($H232=1,INDEX(입금_은행1!$AA$8:$AA$2007,$I232),INDEX(입금_은행2!$AA$8:$AA$2007,$I232)))</f>
        <v/>
      </c>
      <c r="F232" s="38">
        <f>IF($H232="","","거래처 입금이면 별칭 등록")</f>
        <v/>
      </c>
      <c r="H232" s="31">
        <f>IF(226&lt;=MAX(입금_은행1!$AD$8:$AD$2007),1,IF(226-MAX(입금_은행1!$AD$8:$AD$2007)&lt;=MAX(입금_은행2!$AD$8:$AD$2007),2,""))</f>
        <v/>
      </c>
      <c r="I232" s="31">
        <f>IF($H232="","",IF($H232=1,MATCH(226,입금_은행1!$AD$8:$AD$2007,0),MATCH(226-MAX(입금_은행1!$AD$8:$AD$2007),입금_은행2!$AD$8:$AD$2007,0)))</f>
        <v/>
      </c>
    </row>
    <row r="233">
      <c r="A233" s="38">
        <f>IF($H233="","",227)</f>
        <v/>
      </c>
      <c r="B233" s="38">
        <f>IF($H233="","",IF($H233=1,입금_은행1!$A$5,입금_은행2!$A$5))</f>
        <v/>
      </c>
      <c r="C233" s="40">
        <f>IF($H233="","",IF($H233=1,INDEX(입금_은행1!$Y$8:$Y$2007,$I233),INDEX(입금_은행2!$Y$8:$Y$2007,$I233)))</f>
        <v/>
      </c>
      <c r="D233" s="44">
        <f>IF($H233="","",IF($H233=1,INDEX(입금_은행1!$Z$8:$Z$2007,$I233),INDEX(입금_은행2!$Z$8:$Z$2007,$I233)))</f>
        <v/>
      </c>
      <c r="E233" s="38">
        <f>IF($H233="","",IF($H233=1,INDEX(입금_은행1!$AA$8:$AA$2007,$I233),INDEX(입금_은행2!$AA$8:$AA$2007,$I233)))</f>
        <v/>
      </c>
      <c r="F233" s="38">
        <f>IF($H233="","","거래처 입금이면 별칭 등록")</f>
        <v/>
      </c>
      <c r="H233" s="31">
        <f>IF(227&lt;=MAX(입금_은행1!$AD$8:$AD$2007),1,IF(227-MAX(입금_은행1!$AD$8:$AD$2007)&lt;=MAX(입금_은행2!$AD$8:$AD$2007),2,""))</f>
        <v/>
      </c>
      <c r="I233" s="31">
        <f>IF($H233="","",IF($H233=1,MATCH(227,입금_은행1!$AD$8:$AD$2007,0),MATCH(227-MAX(입금_은행1!$AD$8:$AD$2007),입금_은행2!$AD$8:$AD$2007,0)))</f>
        <v/>
      </c>
    </row>
    <row r="234">
      <c r="A234" s="38">
        <f>IF($H234="","",228)</f>
        <v/>
      </c>
      <c r="B234" s="38">
        <f>IF($H234="","",IF($H234=1,입금_은행1!$A$5,입금_은행2!$A$5))</f>
        <v/>
      </c>
      <c r="C234" s="40">
        <f>IF($H234="","",IF($H234=1,INDEX(입금_은행1!$Y$8:$Y$2007,$I234),INDEX(입금_은행2!$Y$8:$Y$2007,$I234)))</f>
        <v/>
      </c>
      <c r="D234" s="44">
        <f>IF($H234="","",IF($H234=1,INDEX(입금_은행1!$Z$8:$Z$2007,$I234),INDEX(입금_은행2!$Z$8:$Z$2007,$I234)))</f>
        <v/>
      </c>
      <c r="E234" s="38">
        <f>IF($H234="","",IF($H234=1,INDEX(입금_은행1!$AA$8:$AA$2007,$I234),INDEX(입금_은행2!$AA$8:$AA$2007,$I234)))</f>
        <v/>
      </c>
      <c r="F234" s="38">
        <f>IF($H234="","","거래처 입금이면 별칭 등록")</f>
        <v/>
      </c>
      <c r="H234" s="31">
        <f>IF(228&lt;=MAX(입금_은행1!$AD$8:$AD$2007),1,IF(228-MAX(입금_은행1!$AD$8:$AD$2007)&lt;=MAX(입금_은행2!$AD$8:$AD$2007),2,""))</f>
        <v/>
      </c>
      <c r="I234" s="31">
        <f>IF($H234="","",IF($H234=1,MATCH(228,입금_은행1!$AD$8:$AD$2007,0),MATCH(228-MAX(입금_은행1!$AD$8:$AD$2007),입금_은행2!$AD$8:$AD$2007,0)))</f>
        <v/>
      </c>
    </row>
    <row r="235">
      <c r="A235" s="38">
        <f>IF($H235="","",229)</f>
        <v/>
      </c>
      <c r="B235" s="38">
        <f>IF($H235="","",IF($H235=1,입금_은행1!$A$5,입금_은행2!$A$5))</f>
        <v/>
      </c>
      <c r="C235" s="40">
        <f>IF($H235="","",IF($H235=1,INDEX(입금_은행1!$Y$8:$Y$2007,$I235),INDEX(입금_은행2!$Y$8:$Y$2007,$I235)))</f>
        <v/>
      </c>
      <c r="D235" s="44">
        <f>IF($H235="","",IF($H235=1,INDEX(입금_은행1!$Z$8:$Z$2007,$I235),INDEX(입금_은행2!$Z$8:$Z$2007,$I235)))</f>
        <v/>
      </c>
      <c r="E235" s="38">
        <f>IF($H235="","",IF($H235=1,INDEX(입금_은행1!$AA$8:$AA$2007,$I235),INDEX(입금_은행2!$AA$8:$AA$2007,$I235)))</f>
        <v/>
      </c>
      <c r="F235" s="38">
        <f>IF($H235="","","거래처 입금이면 별칭 등록")</f>
        <v/>
      </c>
      <c r="H235" s="31">
        <f>IF(229&lt;=MAX(입금_은행1!$AD$8:$AD$2007),1,IF(229-MAX(입금_은행1!$AD$8:$AD$2007)&lt;=MAX(입금_은행2!$AD$8:$AD$2007),2,""))</f>
        <v/>
      </c>
      <c r="I235" s="31">
        <f>IF($H235="","",IF($H235=1,MATCH(229,입금_은행1!$AD$8:$AD$2007,0),MATCH(229-MAX(입금_은행1!$AD$8:$AD$2007),입금_은행2!$AD$8:$AD$2007,0)))</f>
        <v/>
      </c>
    </row>
    <row r="236">
      <c r="A236" s="38">
        <f>IF($H236="","",230)</f>
        <v/>
      </c>
      <c r="B236" s="38">
        <f>IF($H236="","",IF($H236=1,입금_은행1!$A$5,입금_은행2!$A$5))</f>
        <v/>
      </c>
      <c r="C236" s="40">
        <f>IF($H236="","",IF($H236=1,INDEX(입금_은행1!$Y$8:$Y$2007,$I236),INDEX(입금_은행2!$Y$8:$Y$2007,$I236)))</f>
        <v/>
      </c>
      <c r="D236" s="44">
        <f>IF($H236="","",IF($H236=1,INDEX(입금_은행1!$Z$8:$Z$2007,$I236),INDEX(입금_은행2!$Z$8:$Z$2007,$I236)))</f>
        <v/>
      </c>
      <c r="E236" s="38">
        <f>IF($H236="","",IF($H236=1,INDEX(입금_은행1!$AA$8:$AA$2007,$I236),INDEX(입금_은행2!$AA$8:$AA$2007,$I236)))</f>
        <v/>
      </c>
      <c r="F236" s="38">
        <f>IF($H236="","","거래처 입금이면 별칭 등록")</f>
        <v/>
      </c>
      <c r="H236" s="31">
        <f>IF(230&lt;=MAX(입금_은행1!$AD$8:$AD$2007),1,IF(230-MAX(입금_은행1!$AD$8:$AD$2007)&lt;=MAX(입금_은행2!$AD$8:$AD$2007),2,""))</f>
        <v/>
      </c>
      <c r="I236" s="31">
        <f>IF($H236="","",IF($H236=1,MATCH(230,입금_은행1!$AD$8:$AD$2007,0),MATCH(230-MAX(입금_은행1!$AD$8:$AD$2007),입금_은행2!$AD$8:$AD$2007,0)))</f>
        <v/>
      </c>
    </row>
    <row r="237">
      <c r="A237" s="38">
        <f>IF($H237="","",231)</f>
        <v/>
      </c>
      <c r="B237" s="38">
        <f>IF($H237="","",IF($H237=1,입금_은행1!$A$5,입금_은행2!$A$5))</f>
        <v/>
      </c>
      <c r="C237" s="40">
        <f>IF($H237="","",IF($H237=1,INDEX(입금_은행1!$Y$8:$Y$2007,$I237),INDEX(입금_은행2!$Y$8:$Y$2007,$I237)))</f>
        <v/>
      </c>
      <c r="D237" s="44">
        <f>IF($H237="","",IF($H237=1,INDEX(입금_은행1!$Z$8:$Z$2007,$I237),INDEX(입금_은행2!$Z$8:$Z$2007,$I237)))</f>
        <v/>
      </c>
      <c r="E237" s="38">
        <f>IF($H237="","",IF($H237=1,INDEX(입금_은행1!$AA$8:$AA$2007,$I237),INDEX(입금_은행2!$AA$8:$AA$2007,$I237)))</f>
        <v/>
      </c>
      <c r="F237" s="38">
        <f>IF($H237="","","거래처 입금이면 별칭 등록")</f>
        <v/>
      </c>
      <c r="H237" s="31">
        <f>IF(231&lt;=MAX(입금_은행1!$AD$8:$AD$2007),1,IF(231-MAX(입금_은행1!$AD$8:$AD$2007)&lt;=MAX(입금_은행2!$AD$8:$AD$2007),2,""))</f>
        <v/>
      </c>
      <c r="I237" s="31">
        <f>IF($H237="","",IF($H237=1,MATCH(231,입금_은행1!$AD$8:$AD$2007,0),MATCH(231-MAX(입금_은행1!$AD$8:$AD$2007),입금_은행2!$AD$8:$AD$2007,0)))</f>
        <v/>
      </c>
    </row>
    <row r="238">
      <c r="A238" s="38">
        <f>IF($H238="","",232)</f>
        <v/>
      </c>
      <c r="B238" s="38">
        <f>IF($H238="","",IF($H238=1,입금_은행1!$A$5,입금_은행2!$A$5))</f>
        <v/>
      </c>
      <c r="C238" s="40">
        <f>IF($H238="","",IF($H238=1,INDEX(입금_은행1!$Y$8:$Y$2007,$I238),INDEX(입금_은행2!$Y$8:$Y$2007,$I238)))</f>
        <v/>
      </c>
      <c r="D238" s="44">
        <f>IF($H238="","",IF($H238=1,INDEX(입금_은행1!$Z$8:$Z$2007,$I238),INDEX(입금_은행2!$Z$8:$Z$2007,$I238)))</f>
        <v/>
      </c>
      <c r="E238" s="38">
        <f>IF($H238="","",IF($H238=1,INDEX(입금_은행1!$AA$8:$AA$2007,$I238),INDEX(입금_은행2!$AA$8:$AA$2007,$I238)))</f>
        <v/>
      </c>
      <c r="F238" s="38">
        <f>IF($H238="","","거래처 입금이면 별칭 등록")</f>
        <v/>
      </c>
      <c r="H238" s="31">
        <f>IF(232&lt;=MAX(입금_은행1!$AD$8:$AD$2007),1,IF(232-MAX(입금_은행1!$AD$8:$AD$2007)&lt;=MAX(입금_은행2!$AD$8:$AD$2007),2,""))</f>
        <v/>
      </c>
      <c r="I238" s="31">
        <f>IF($H238="","",IF($H238=1,MATCH(232,입금_은행1!$AD$8:$AD$2007,0),MATCH(232-MAX(입금_은행1!$AD$8:$AD$2007),입금_은행2!$AD$8:$AD$2007,0)))</f>
        <v/>
      </c>
    </row>
    <row r="239">
      <c r="A239" s="38">
        <f>IF($H239="","",233)</f>
        <v/>
      </c>
      <c r="B239" s="38">
        <f>IF($H239="","",IF($H239=1,입금_은행1!$A$5,입금_은행2!$A$5))</f>
        <v/>
      </c>
      <c r="C239" s="40">
        <f>IF($H239="","",IF($H239=1,INDEX(입금_은행1!$Y$8:$Y$2007,$I239),INDEX(입금_은행2!$Y$8:$Y$2007,$I239)))</f>
        <v/>
      </c>
      <c r="D239" s="44">
        <f>IF($H239="","",IF($H239=1,INDEX(입금_은행1!$Z$8:$Z$2007,$I239),INDEX(입금_은행2!$Z$8:$Z$2007,$I239)))</f>
        <v/>
      </c>
      <c r="E239" s="38">
        <f>IF($H239="","",IF($H239=1,INDEX(입금_은행1!$AA$8:$AA$2007,$I239),INDEX(입금_은행2!$AA$8:$AA$2007,$I239)))</f>
        <v/>
      </c>
      <c r="F239" s="38">
        <f>IF($H239="","","거래처 입금이면 별칭 등록")</f>
        <v/>
      </c>
      <c r="H239" s="31">
        <f>IF(233&lt;=MAX(입금_은행1!$AD$8:$AD$2007),1,IF(233-MAX(입금_은행1!$AD$8:$AD$2007)&lt;=MAX(입금_은행2!$AD$8:$AD$2007),2,""))</f>
        <v/>
      </c>
      <c r="I239" s="31">
        <f>IF($H239="","",IF($H239=1,MATCH(233,입금_은행1!$AD$8:$AD$2007,0),MATCH(233-MAX(입금_은행1!$AD$8:$AD$2007),입금_은행2!$AD$8:$AD$2007,0)))</f>
        <v/>
      </c>
    </row>
    <row r="240">
      <c r="A240" s="38">
        <f>IF($H240="","",234)</f>
        <v/>
      </c>
      <c r="B240" s="38">
        <f>IF($H240="","",IF($H240=1,입금_은행1!$A$5,입금_은행2!$A$5))</f>
        <v/>
      </c>
      <c r="C240" s="40">
        <f>IF($H240="","",IF($H240=1,INDEX(입금_은행1!$Y$8:$Y$2007,$I240),INDEX(입금_은행2!$Y$8:$Y$2007,$I240)))</f>
        <v/>
      </c>
      <c r="D240" s="44">
        <f>IF($H240="","",IF($H240=1,INDEX(입금_은행1!$Z$8:$Z$2007,$I240),INDEX(입금_은행2!$Z$8:$Z$2007,$I240)))</f>
        <v/>
      </c>
      <c r="E240" s="38">
        <f>IF($H240="","",IF($H240=1,INDEX(입금_은행1!$AA$8:$AA$2007,$I240),INDEX(입금_은행2!$AA$8:$AA$2007,$I240)))</f>
        <v/>
      </c>
      <c r="F240" s="38">
        <f>IF($H240="","","거래처 입금이면 별칭 등록")</f>
        <v/>
      </c>
      <c r="H240" s="31">
        <f>IF(234&lt;=MAX(입금_은행1!$AD$8:$AD$2007),1,IF(234-MAX(입금_은행1!$AD$8:$AD$2007)&lt;=MAX(입금_은행2!$AD$8:$AD$2007),2,""))</f>
        <v/>
      </c>
      <c r="I240" s="31">
        <f>IF($H240="","",IF($H240=1,MATCH(234,입금_은행1!$AD$8:$AD$2007,0),MATCH(234-MAX(입금_은행1!$AD$8:$AD$2007),입금_은행2!$AD$8:$AD$2007,0)))</f>
        <v/>
      </c>
    </row>
    <row r="241">
      <c r="A241" s="38">
        <f>IF($H241="","",235)</f>
        <v/>
      </c>
      <c r="B241" s="38">
        <f>IF($H241="","",IF($H241=1,입금_은행1!$A$5,입금_은행2!$A$5))</f>
        <v/>
      </c>
      <c r="C241" s="40">
        <f>IF($H241="","",IF($H241=1,INDEX(입금_은행1!$Y$8:$Y$2007,$I241),INDEX(입금_은행2!$Y$8:$Y$2007,$I241)))</f>
        <v/>
      </c>
      <c r="D241" s="44">
        <f>IF($H241="","",IF($H241=1,INDEX(입금_은행1!$Z$8:$Z$2007,$I241),INDEX(입금_은행2!$Z$8:$Z$2007,$I241)))</f>
        <v/>
      </c>
      <c r="E241" s="38">
        <f>IF($H241="","",IF($H241=1,INDEX(입금_은행1!$AA$8:$AA$2007,$I241),INDEX(입금_은행2!$AA$8:$AA$2007,$I241)))</f>
        <v/>
      </c>
      <c r="F241" s="38">
        <f>IF($H241="","","거래처 입금이면 별칭 등록")</f>
        <v/>
      </c>
      <c r="H241" s="31">
        <f>IF(235&lt;=MAX(입금_은행1!$AD$8:$AD$2007),1,IF(235-MAX(입금_은행1!$AD$8:$AD$2007)&lt;=MAX(입금_은행2!$AD$8:$AD$2007),2,""))</f>
        <v/>
      </c>
      <c r="I241" s="31">
        <f>IF($H241="","",IF($H241=1,MATCH(235,입금_은행1!$AD$8:$AD$2007,0),MATCH(235-MAX(입금_은행1!$AD$8:$AD$2007),입금_은행2!$AD$8:$AD$2007,0)))</f>
        <v/>
      </c>
    </row>
    <row r="242">
      <c r="A242" s="38">
        <f>IF($H242="","",236)</f>
        <v/>
      </c>
      <c r="B242" s="38">
        <f>IF($H242="","",IF($H242=1,입금_은행1!$A$5,입금_은행2!$A$5))</f>
        <v/>
      </c>
      <c r="C242" s="40">
        <f>IF($H242="","",IF($H242=1,INDEX(입금_은행1!$Y$8:$Y$2007,$I242),INDEX(입금_은행2!$Y$8:$Y$2007,$I242)))</f>
        <v/>
      </c>
      <c r="D242" s="44">
        <f>IF($H242="","",IF($H242=1,INDEX(입금_은행1!$Z$8:$Z$2007,$I242),INDEX(입금_은행2!$Z$8:$Z$2007,$I242)))</f>
        <v/>
      </c>
      <c r="E242" s="38">
        <f>IF($H242="","",IF($H242=1,INDEX(입금_은행1!$AA$8:$AA$2007,$I242),INDEX(입금_은행2!$AA$8:$AA$2007,$I242)))</f>
        <v/>
      </c>
      <c r="F242" s="38">
        <f>IF($H242="","","거래처 입금이면 별칭 등록")</f>
        <v/>
      </c>
      <c r="H242" s="31">
        <f>IF(236&lt;=MAX(입금_은행1!$AD$8:$AD$2007),1,IF(236-MAX(입금_은행1!$AD$8:$AD$2007)&lt;=MAX(입금_은행2!$AD$8:$AD$2007),2,""))</f>
        <v/>
      </c>
      <c r="I242" s="31">
        <f>IF($H242="","",IF($H242=1,MATCH(236,입금_은행1!$AD$8:$AD$2007,0),MATCH(236-MAX(입금_은행1!$AD$8:$AD$2007),입금_은행2!$AD$8:$AD$2007,0)))</f>
        <v/>
      </c>
    </row>
    <row r="243">
      <c r="A243" s="38">
        <f>IF($H243="","",237)</f>
        <v/>
      </c>
      <c r="B243" s="38">
        <f>IF($H243="","",IF($H243=1,입금_은행1!$A$5,입금_은행2!$A$5))</f>
        <v/>
      </c>
      <c r="C243" s="40">
        <f>IF($H243="","",IF($H243=1,INDEX(입금_은행1!$Y$8:$Y$2007,$I243),INDEX(입금_은행2!$Y$8:$Y$2007,$I243)))</f>
        <v/>
      </c>
      <c r="D243" s="44">
        <f>IF($H243="","",IF($H243=1,INDEX(입금_은행1!$Z$8:$Z$2007,$I243),INDEX(입금_은행2!$Z$8:$Z$2007,$I243)))</f>
        <v/>
      </c>
      <c r="E243" s="38">
        <f>IF($H243="","",IF($H243=1,INDEX(입금_은행1!$AA$8:$AA$2007,$I243),INDEX(입금_은행2!$AA$8:$AA$2007,$I243)))</f>
        <v/>
      </c>
      <c r="F243" s="38">
        <f>IF($H243="","","거래처 입금이면 별칭 등록")</f>
        <v/>
      </c>
      <c r="H243" s="31">
        <f>IF(237&lt;=MAX(입금_은행1!$AD$8:$AD$2007),1,IF(237-MAX(입금_은행1!$AD$8:$AD$2007)&lt;=MAX(입금_은행2!$AD$8:$AD$2007),2,""))</f>
        <v/>
      </c>
      <c r="I243" s="31">
        <f>IF($H243="","",IF($H243=1,MATCH(237,입금_은행1!$AD$8:$AD$2007,0),MATCH(237-MAX(입금_은행1!$AD$8:$AD$2007),입금_은행2!$AD$8:$AD$2007,0)))</f>
        <v/>
      </c>
    </row>
    <row r="244">
      <c r="A244" s="38">
        <f>IF($H244="","",238)</f>
        <v/>
      </c>
      <c r="B244" s="38">
        <f>IF($H244="","",IF($H244=1,입금_은행1!$A$5,입금_은행2!$A$5))</f>
        <v/>
      </c>
      <c r="C244" s="40">
        <f>IF($H244="","",IF($H244=1,INDEX(입금_은행1!$Y$8:$Y$2007,$I244),INDEX(입금_은행2!$Y$8:$Y$2007,$I244)))</f>
        <v/>
      </c>
      <c r="D244" s="44">
        <f>IF($H244="","",IF($H244=1,INDEX(입금_은행1!$Z$8:$Z$2007,$I244),INDEX(입금_은행2!$Z$8:$Z$2007,$I244)))</f>
        <v/>
      </c>
      <c r="E244" s="38">
        <f>IF($H244="","",IF($H244=1,INDEX(입금_은행1!$AA$8:$AA$2007,$I244),INDEX(입금_은행2!$AA$8:$AA$2007,$I244)))</f>
        <v/>
      </c>
      <c r="F244" s="38">
        <f>IF($H244="","","거래처 입금이면 별칭 등록")</f>
        <v/>
      </c>
      <c r="H244" s="31">
        <f>IF(238&lt;=MAX(입금_은행1!$AD$8:$AD$2007),1,IF(238-MAX(입금_은행1!$AD$8:$AD$2007)&lt;=MAX(입금_은행2!$AD$8:$AD$2007),2,""))</f>
        <v/>
      </c>
      <c r="I244" s="31">
        <f>IF($H244="","",IF($H244=1,MATCH(238,입금_은행1!$AD$8:$AD$2007,0),MATCH(238-MAX(입금_은행1!$AD$8:$AD$2007),입금_은행2!$AD$8:$AD$2007,0)))</f>
        <v/>
      </c>
    </row>
    <row r="245">
      <c r="A245" s="38">
        <f>IF($H245="","",239)</f>
        <v/>
      </c>
      <c r="B245" s="38">
        <f>IF($H245="","",IF($H245=1,입금_은행1!$A$5,입금_은행2!$A$5))</f>
        <v/>
      </c>
      <c r="C245" s="40">
        <f>IF($H245="","",IF($H245=1,INDEX(입금_은행1!$Y$8:$Y$2007,$I245),INDEX(입금_은행2!$Y$8:$Y$2007,$I245)))</f>
        <v/>
      </c>
      <c r="D245" s="44">
        <f>IF($H245="","",IF($H245=1,INDEX(입금_은행1!$Z$8:$Z$2007,$I245),INDEX(입금_은행2!$Z$8:$Z$2007,$I245)))</f>
        <v/>
      </c>
      <c r="E245" s="38">
        <f>IF($H245="","",IF($H245=1,INDEX(입금_은행1!$AA$8:$AA$2007,$I245),INDEX(입금_은행2!$AA$8:$AA$2007,$I245)))</f>
        <v/>
      </c>
      <c r="F245" s="38">
        <f>IF($H245="","","거래처 입금이면 별칭 등록")</f>
        <v/>
      </c>
      <c r="H245" s="31">
        <f>IF(239&lt;=MAX(입금_은행1!$AD$8:$AD$2007),1,IF(239-MAX(입금_은행1!$AD$8:$AD$2007)&lt;=MAX(입금_은행2!$AD$8:$AD$2007),2,""))</f>
        <v/>
      </c>
      <c r="I245" s="31">
        <f>IF($H245="","",IF($H245=1,MATCH(239,입금_은행1!$AD$8:$AD$2007,0),MATCH(239-MAX(입금_은행1!$AD$8:$AD$2007),입금_은행2!$AD$8:$AD$2007,0)))</f>
        <v/>
      </c>
    </row>
    <row r="246">
      <c r="A246" s="38">
        <f>IF($H246="","",240)</f>
        <v/>
      </c>
      <c r="B246" s="38">
        <f>IF($H246="","",IF($H246=1,입금_은행1!$A$5,입금_은행2!$A$5))</f>
        <v/>
      </c>
      <c r="C246" s="40">
        <f>IF($H246="","",IF($H246=1,INDEX(입금_은행1!$Y$8:$Y$2007,$I246),INDEX(입금_은행2!$Y$8:$Y$2007,$I246)))</f>
        <v/>
      </c>
      <c r="D246" s="44">
        <f>IF($H246="","",IF($H246=1,INDEX(입금_은행1!$Z$8:$Z$2007,$I246),INDEX(입금_은행2!$Z$8:$Z$2007,$I246)))</f>
        <v/>
      </c>
      <c r="E246" s="38">
        <f>IF($H246="","",IF($H246=1,INDEX(입금_은행1!$AA$8:$AA$2007,$I246),INDEX(입금_은행2!$AA$8:$AA$2007,$I246)))</f>
        <v/>
      </c>
      <c r="F246" s="38">
        <f>IF($H246="","","거래처 입금이면 별칭 등록")</f>
        <v/>
      </c>
      <c r="H246" s="31">
        <f>IF(240&lt;=MAX(입금_은행1!$AD$8:$AD$2007),1,IF(240-MAX(입금_은행1!$AD$8:$AD$2007)&lt;=MAX(입금_은행2!$AD$8:$AD$2007),2,""))</f>
        <v/>
      </c>
      <c r="I246" s="31">
        <f>IF($H246="","",IF($H246=1,MATCH(240,입금_은행1!$AD$8:$AD$2007,0),MATCH(240-MAX(입금_은행1!$AD$8:$AD$2007),입금_은행2!$AD$8:$AD$2007,0)))</f>
        <v/>
      </c>
    </row>
    <row r="247">
      <c r="A247" s="38">
        <f>IF($H247="","",241)</f>
        <v/>
      </c>
      <c r="B247" s="38">
        <f>IF($H247="","",IF($H247=1,입금_은행1!$A$5,입금_은행2!$A$5))</f>
        <v/>
      </c>
      <c r="C247" s="40">
        <f>IF($H247="","",IF($H247=1,INDEX(입금_은행1!$Y$8:$Y$2007,$I247),INDEX(입금_은행2!$Y$8:$Y$2007,$I247)))</f>
        <v/>
      </c>
      <c r="D247" s="44">
        <f>IF($H247="","",IF($H247=1,INDEX(입금_은행1!$Z$8:$Z$2007,$I247),INDEX(입금_은행2!$Z$8:$Z$2007,$I247)))</f>
        <v/>
      </c>
      <c r="E247" s="38">
        <f>IF($H247="","",IF($H247=1,INDEX(입금_은행1!$AA$8:$AA$2007,$I247),INDEX(입금_은행2!$AA$8:$AA$2007,$I247)))</f>
        <v/>
      </c>
      <c r="F247" s="38">
        <f>IF($H247="","","거래처 입금이면 별칭 등록")</f>
        <v/>
      </c>
      <c r="H247" s="31">
        <f>IF(241&lt;=MAX(입금_은행1!$AD$8:$AD$2007),1,IF(241-MAX(입금_은행1!$AD$8:$AD$2007)&lt;=MAX(입금_은행2!$AD$8:$AD$2007),2,""))</f>
        <v/>
      </c>
      <c r="I247" s="31">
        <f>IF($H247="","",IF($H247=1,MATCH(241,입금_은행1!$AD$8:$AD$2007,0),MATCH(241-MAX(입금_은행1!$AD$8:$AD$2007),입금_은행2!$AD$8:$AD$2007,0)))</f>
        <v/>
      </c>
    </row>
    <row r="248">
      <c r="A248" s="38">
        <f>IF($H248="","",242)</f>
        <v/>
      </c>
      <c r="B248" s="38">
        <f>IF($H248="","",IF($H248=1,입금_은행1!$A$5,입금_은행2!$A$5))</f>
        <v/>
      </c>
      <c r="C248" s="40">
        <f>IF($H248="","",IF($H248=1,INDEX(입금_은행1!$Y$8:$Y$2007,$I248),INDEX(입금_은행2!$Y$8:$Y$2007,$I248)))</f>
        <v/>
      </c>
      <c r="D248" s="44">
        <f>IF($H248="","",IF($H248=1,INDEX(입금_은행1!$Z$8:$Z$2007,$I248),INDEX(입금_은행2!$Z$8:$Z$2007,$I248)))</f>
        <v/>
      </c>
      <c r="E248" s="38">
        <f>IF($H248="","",IF($H248=1,INDEX(입금_은행1!$AA$8:$AA$2007,$I248),INDEX(입금_은행2!$AA$8:$AA$2007,$I248)))</f>
        <v/>
      </c>
      <c r="F248" s="38">
        <f>IF($H248="","","거래처 입금이면 별칭 등록")</f>
        <v/>
      </c>
      <c r="H248" s="31">
        <f>IF(242&lt;=MAX(입금_은행1!$AD$8:$AD$2007),1,IF(242-MAX(입금_은행1!$AD$8:$AD$2007)&lt;=MAX(입금_은행2!$AD$8:$AD$2007),2,""))</f>
        <v/>
      </c>
      <c r="I248" s="31">
        <f>IF($H248="","",IF($H248=1,MATCH(242,입금_은행1!$AD$8:$AD$2007,0),MATCH(242-MAX(입금_은행1!$AD$8:$AD$2007),입금_은행2!$AD$8:$AD$2007,0)))</f>
        <v/>
      </c>
    </row>
    <row r="249">
      <c r="A249" s="38">
        <f>IF($H249="","",243)</f>
        <v/>
      </c>
      <c r="B249" s="38">
        <f>IF($H249="","",IF($H249=1,입금_은행1!$A$5,입금_은행2!$A$5))</f>
        <v/>
      </c>
      <c r="C249" s="40">
        <f>IF($H249="","",IF($H249=1,INDEX(입금_은행1!$Y$8:$Y$2007,$I249),INDEX(입금_은행2!$Y$8:$Y$2007,$I249)))</f>
        <v/>
      </c>
      <c r="D249" s="44">
        <f>IF($H249="","",IF($H249=1,INDEX(입금_은행1!$Z$8:$Z$2007,$I249),INDEX(입금_은행2!$Z$8:$Z$2007,$I249)))</f>
        <v/>
      </c>
      <c r="E249" s="38">
        <f>IF($H249="","",IF($H249=1,INDEX(입금_은행1!$AA$8:$AA$2007,$I249),INDEX(입금_은행2!$AA$8:$AA$2007,$I249)))</f>
        <v/>
      </c>
      <c r="F249" s="38">
        <f>IF($H249="","","거래처 입금이면 별칭 등록")</f>
        <v/>
      </c>
      <c r="H249" s="31">
        <f>IF(243&lt;=MAX(입금_은행1!$AD$8:$AD$2007),1,IF(243-MAX(입금_은행1!$AD$8:$AD$2007)&lt;=MAX(입금_은행2!$AD$8:$AD$2007),2,""))</f>
        <v/>
      </c>
      <c r="I249" s="31">
        <f>IF($H249="","",IF($H249=1,MATCH(243,입금_은행1!$AD$8:$AD$2007,0),MATCH(243-MAX(입금_은행1!$AD$8:$AD$2007),입금_은행2!$AD$8:$AD$2007,0)))</f>
        <v/>
      </c>
    </row>
    <row r="250">
      <c r="A250" s="38">
        <f>IF($H250="","",244)</f>
        <v/>
      </c>
      <c r="B250" s="38">
        <f>IF($H250="","",IF($H250=1,입금_은행1!$A$5,입금_은행2!$A$5))</f>
        <v/>
      </c>
      <c r="C250" s="40">
        <f>IF($H250="","",IF($H250=1,INDEX(입금_은행1!$Y$8:$Y$2007,$I250),INDEX(입금_은행2!$Y$8:$Y$2007,$I250)))</f>
        <v/>
      </c>
      <c r="D250" s="44">
        <f>IF($H250="","",IF($H250=1,INDEX(입금_은행1!$Z$8:$Z$2007,$I250),INDEX(입금_은행2!$Z$8:$Z$2007,$I250)))</f>
        <v/>
      </c>
      <c r="E250" s="38">
        <f>IF($H250="","",IF($H250=1,INDEX(입금_은행1!$AA$8:$AA$2007,$I250),INDEX(입금_은행2!$AA$8:$AA$2007,$I250)))</f>
        <v/>
      </c>
      <c r="F250" s="38">
        <f>IF($H250="","","거래처 입금이면 별칭 등록")</f>
        <v/>
      </c>
      <c r="H250" s="31">
        <f>IF(244&lt;=MAX(입금_은행1!$AD$8:$AD$2007),1,IF(244-MAX(입금_은행1!$AD$8:$AD$2007)&lt;=MAX(입금_은행2!$AD$8:$AD$2007),2,""))</f>
        <v/>
      </c>
      <c r="I250" s="31">
        <f>IF($H250="","",IF($H250=1,MATCH(244,입금_은행1!$AD$8:$AD$2007,0),MATCH(244-MAX(입금_은행1!$AD$8:$AD$2007),입금_은행2!$AD$8:$AD$2007,0)))</f>
        <v/>
      </c>
    </row>
    <row r="251">
      <c r="A251" s="38">
        <f>IF($H251="","",245)</f>
        <v/>
      </c>
      <c r="B251" s="38">
        <f>IF($H251="","",IF($H251=1,입금_은행1!$A$5,입금_은행2!$A$5))</f>
        <v/>
      </c>
      <c r="C251" s="40">
        <f>IF($H251="","",IF($H251=1,INDEX(입금_은행1!$Y$8:$Y$2007,$I251),INDEX(입금_은행2!$Y$8:$Y$2007,$I251)))</f>
        <v/>
      </c>
      <c r="D251" s="44">
        <f>IF($H251="","",IF($H251=1,INDEX(입금_은행1!$Z$8:$Z$2007,$I251),INDEX(입금_은행2!$Z$8:$Z$2007,$I251)))</f>
        <v/>
      </c>
      <c r="E251" s="38">
        <f>IF($H251="","",IF($H251=1,INDEX(입금_은행1!$AA$8:$AA$2007,$I251),INDEX(입금_은행2!$AA$8:$AA$2007,$I251)))</f>
        <v/>
      </c>
      <c r="F251" s="38">
        <f>IF($H251="","","거래처 입금이면 별칭 등록")</f>
        <v/>
      </c>
      <c r="H251" s="31">
        <f>IF(245&lt;=MAX(입금_은행1!$AD$8:$AD$2007),1,IF(245-MAX(입금_은행1!$AD$8:$AD$2007)&lt;=MAX(입금_은행2!$AD$8:$AD$2007),2,""))</f>
        <v/>
      </c>
      <c r="I251" s="31">
        <f>IF($H251="","",IF($H251=1,MATCH(245,입금_은행1!$AD$8:$AD$2007,0),MATCH(245-MAX(입금_은행1!$AD$8:$AD$2007),입금_은행2!$AD$8:$AD$2007,0)))</f>
        <v/>
      </c>
    </row>
    <row r="252">
      <c r="A252" s="38">
        <f>IF($H252="","",246)</f>
        <v/>
      </c>
      <c r="B252" s="38">
        <f>IF($H252="","",IF($H252=1,입금_은행1!$A$5,입금_은행2!$A$5))</f>
        <v/>
      </c>
      <c r="C252" s="40">
        <f>IF($H252="","",IF($H252=1,INDEX(입금_은행1!$Y$8:$Y$2007,$I252),INDEX(입금_은행2!$Y$8:$Y$2007,$I252)))</f>
        <v/>
      </c>
      <c r="D252" s="44">
        <f>IF($H252="","",IF($H252=1,INDEX(입금_은행1!$Z$8:$Z$2007,$I252),INDEX(입금_은행2!$Z$8:$Z$2007,$I252)))</f>
        <v/>
      </c>
      <c r="E252" s="38">
        <f>IF($H252="","",IF($H252=1,INDEX(입금_은행1!$AA$8:$AA$2007,$I252),INDEX(입금_은행2!$AA$8:$AA$2007,$I252)))</f>
        <v/>
      </c>
      <c r="F252" s="38">
        <f>IF($H252="","","거래처 입금이면 별칭 등록")</f>
        <v/>
      </c>
      <c r="H252" s="31">
        <f>IF(246&lt;=MAX(입금_은행1!$AD$8:$AD$2007),1,IF(246-MAX(입금_은행1!$AD$8:$AD$2007)&lt;=MAX(입금_은행2!$AD$8:$AD$2007),2,""))</f>
        <v/>
      </c>
      <c r="I252" s="31">
        <f>IF($H252="","",IF($H252=1,MATCH(246,입금_은행1!$AD$8:$AD$2007,0),MATCH(246-MAX(입금_은행1!$AD$8:$AD$2007),입금_은행2!$AD$8:$AD$2007,0)))</f>
        <v/>
      </c>
    </row>
    <row r="253">
      <c r="A253" s="38">
        <f>IF($H253="","",247)</f>
        <v/>
      </c>
      <c r="B253" s="38">
        <f>IF($H253="","",IF($H253=1,입금_은행1!$A$5,입금_은행2!$A$5))</f>
        <v/>
      </c>
      <c r="C253" s="40">
        <f>IF($H253="","",IF($H253=1,INDEX(입금_은행1!$Y$8:$Y$2007,$I253),INDEX(입금_은행2!$Y$8:$Y$2007,$I253)))</f>
        <v/>
      </c>
      <c r="D253" s="44">
        <f>IF($H253="","",IF($H253=1,INDEX(입금_은행1!$Z$8:$Z$2007,$I253),INDEX(입금_은행2!$Z$8:$Z$2007,$I253)))</f>
        <v/>
      </c>
      <c r="E253" s="38">
        <f>IF($H253="","",IF($H253=1,INDEX(입금_은행1!$AA$8:$AA$2007,$I253),INDEX(입금_은행2!$AA$8:$AA$2007,$I253)))</f>
        <v/>
      </c>
      <c r="F253" s="38">
        <f>IF($H253="","","거래처 입금이면 별칭 등록")</f>
        <v/>
      </c>
      <c r="H253" s="31">
        <f>IF(247&lt;=MAX(입금_은행1!$AD$8:$AD$2007),1,IF(247-MAX(입금_은행1!$AD$8:$AD$2007)&lt;=MAX(입금_은행2!$AD$8:$AD$2007),2,""))</f>
        <v/>
      </c>
      <c r="I253" s="31">
        <f>IF($H253="","",IF($H253=1,MATCH(247,입금_은행1!$AD$8:$AD$2007,0),MATCH(247-MAX(입금_은행1!$AD$8:$AD$2007),입금_은행2!$AD$8:$AD$2007,0)))</f>
        <v/>
      </c>
    </row>
    <row r="254">
      <c r="A254" s="38">
        <f>IF($H254="","",248)</f>
        <v/>
      </c>
      <c r="B254" s="38">
        <f>IF($H254="","",IF($H254=1,입금_은행1!$A$5,입금_은행2!$A$5))</f>
        <v/>
      </c>
      <c r="C254" s="40">
        <f>IF($H254="","",IF($H254=1,INDEX(입금_은행1!$Y$8:$Y$2007,$I254),INDEX(입금_은행2!$Y$8:$Y$2007,$I254)))</f>
        <v/>
      </c>
      <c r="D254" s="44">
        <f>IF($H254="","",IF($H254=1,INDEX(입금_은행1!$Z$8:$Z$2007,$I254),INDEX(입금_은행2!$Z$8:$Z$2007,$I254)))</f>
        <v/>
      </c>
      <c r="E254" s="38">
        <f>IF($H254="","",IF($H254=1,INDEX(입금_은행1!$AA$8:$AA$2007,$I254),INDEX(입금_은행2!$AA$8:$AA$2007,$I254)))</f>
        <v/>
      </c>
      <c r="F254" s="38">
        <f>IF($H254="","","거래처 입금이면 별칭 등록")</f>
        <v/>
      </c>
      <c r="H254" s="31">
        <f>IF(248&lt;=MAX(입금_은행1!$AD$8:$AD$2007),1,IF(248-MAX(입금_은행1!$AD$8:$AD$2007)&lt;=MAX(입금_은행2!$AD$8:$AD$2007),2,""))</f>
        <v/>
      </c>
      <c r="I254" s="31">
        <f>IF($H254="","",IF($H254=1,MATCH(248,입금_은행1!$AD$8:$AD$2007,0),MATCH(248-MAX(입금_은행1!$AD$8:$AD$2007),입금_은행2!$AD$8:$AD$2007,0)))</f>
        <v/>
      </c>
    </row>
    <row r="255">
      <c r="A255" s="38">
        <f>IF($H255="","",249)</f>
        <v/>
      </c>
      <c r="B255" s="38">
        <f>IF($H255="","",IF($H255=1,입금_은행1!$A$5,입금_은행2!$A$5))</f>
        <v/>
      </c>
      <c r="C255" s="40">
        <f>IF($H255="","",IF($H255=1,INDEX(입금_은행1!$Y$8:$Y$2007,$I255),INDEX(입금_은행2!$Y$8:$Y$2007,$I255)))</f>
        <v/>
      </c>
      <c r="D255" s="44">
        <f>IF($H255="","",IF($H255=1,INDEX(입금_은행1!$Z$8:$Z$2007,$I255),INDEX(입금_은행2!$Z$8:$Z$2007,$I255)))</f>
        <v/>
      </c>
      <c r="E255" s="38">
        <f>IF($H255="","",IF($H255=1,INDEX(입금_은행1!$AA$8:$AA$2007,$I255),INDEX(입금_은행2!$AA$8:$AA$2007,$I255)))</f>
        <v/>
      </c>
      <c r="F255" s="38">
        <f>IF($H255="","","거래처 입금이면 별칭 등록")</f>
        <v/>
      </c>
      <c r="H255" s="31">
        <f>IF(249&lt;=MAX(입금_은행1!$AD$8:$AD$2007),1,IF(249-MAX(입금_은행1!$AD$8:$AD$2007)&lt;=MAX(입금_은행2!$AD$8:$AD$2007),2,""))</f>
        <v/>
      </c>
      <c r="I255" s="31">
        <f>IF($H255="","",IF($H255=1,MATCH(249,입금_은행1!$AD$8:$AD$2007,0),MATCH(249-MAX(입금_은행1!$AD$8:$AD$2007),입금_은행2!$AD$8:$AD$2007,0)))</f>
        <v/>
      </c>
    </row>
    <row r="256">
      <c r="A256" s="38">
        <f>IF($H256="","",250)</f>
        <v/>
      </c>
      <c r="B256" s="38">
        <f>IF($H256="","",IF($H256=1,입금_은행1!$A$5,입금_은행2!$A$5))</f>
        <v/>
      </c>
      <c r="C256" s="40">
        <f>IF($H256="","",IF($H256=1,INDEX(입금_은행1!$Y$8:$Y$2007,$I256),INDEX(입금_은행2!$Y$8:$Y$2007,$I256)))</f>
        <v/>
      </c>
      <c r="D256" s="44">
        <f>IF($H256="","",IF($H256=1,INDEX(입금_은행1!$Z$8:$Z$2007,$I256),INDEX(입금_은행2!$Z$8:$Z$2007,$I256)))</f>
        <v/>
      </c>
      <c r="E256" s="38">
        <f>IF($H256="","",IF($H256=1,INDEX(입금_은행1!$AA$8:$AA$2007,$I256),INDEX(입금_은행2!$AA$8:$AA$2007,$I256)))</f>
        <v/>
      </c>
      <c r="F256" s="38">
        <f>IF($H256="","","거래처 입금이면 별칭 등록")</f>
        <v/>
      </c>
      <c r="H256" s="31">
        <f>IF(250&lt;=MAX(입금_은행1!$AD$8:$AD$2007),1,IF(250-MAX(입금_은행1!$AD$8:$AD$2007)&lt;=MAX(입금_은행2!$AD$8:$AD$2007),2,""))</f>
        <v/>
      </c>
      <c r="I256" s="31">
        <f>IF($H256="","",IF($H256=1,MATCH(250,입금_은행1!$AD$8:$AD$2007,0),MATCH(250-MAX(입금_은행1!$AD$8:$AD$2007),입금_은행2!$AD$8:$AD$2007,0)))</f>
        <v/>
      </c>
    </row>
    <row r="257">
      <c r="A257" s="38">
        <f>IF($H257="","",251)</f>
        <v/>
      </c>
      <c r="B257" s="38">
        <f>IF($H257="","",IF($H257=1,입금_은행1!$A$5,입금_은행2!$A$5))</f>
        <v/>
      </c>
      <c r="C257" s="40">
        <f>IF($H257="","",IF($H257=1,INDEX(입금_은행1!$Y$8:$Y$2007,$I257),INDEX(입금_은행2!$Y$8:$Y$2007,$I257)))</f>
        <v/>
      </c>
      <c r="D257" s="44">
        <f>IF($H257="","",IF($H257=1,INDEX(입금_은행1!$Z$8:$Z$2007,$I257),INDEX(입금_은행2!$Z$8:$Z$2007,$I257)))</f>
        <v/>
      </c>
      <c r="E257" s="38">
        <f>IF($H257="","",IF($H257=1,INDEX(입금_은행1!$AA$8:$AA$2007,$I257),INDEX(입금_은행2!$AA$8:$AA$2007,$I257)))</f>
        <v/>
      </c>
      <c r="F257" s="38">
        <f>IF($H257="","","거래처 입금이면 별칭 등록")</f>
        <v/>
      </c>
      <c r="H257" s="31">
        <f>IF(251&lt;=MAX(입금_은행1!$AD$8:$AD$2007),1,IF(251-MAX(입금_은행1!$AD$8:$AD$2007)&lt;=MAX(입금_은행2!$AD$8:$AD$2007),2,""))</f>
        <v/>
      </c>
      <c r="I257" s="31">
        <f>IF($H257="","",IF($H257=1,MATCH(251,입금_은행1!$AD$8:$AD$2007,0),MATCH(251-MAX(입금_은행1!$AD$8:$AD$2007),입금_은행2!$AD$8:$AD$2007,0)))</f>
        <v/>
      </c>
    </row>
    <row r="258">
      <c r="A258" s="38">
        <f>IF($H258="","",252)</f>
        <v/>
      </c>
      <c r="B258" s="38">
        <f>IF($H258="","",IF($H258=1,입금_은행1!$A$5,입금_은행2!$A$5))</f>
        <v/>
      </c>
      <c r="C258" s="40">
        <f>IF($H258="","",IF($H258=1,INDEX(입금_은행1!$Y$8:$Y$2007,$I258),INDEX(입금_은행2!$Y$8:$Y$2007,$I258)))</f>
        <v/>
      </c>
      <c r="D258" s="44">
        <f>IF($H258="","",IF($H258=1,INDEX(입금_은행1!$Z$8:$Z$2007,$I258),INDEX(입금_은행2!$Z$8:$Z$2007,$I258)))</f>
        <v/>
      </c>
      <c r="E258" s="38">
        <f>IF($H258="","",IF($H258=1,INDEX(입금_은행1!$AA$8:$AA$2007,$I258),INDEX(입금_은행2!$AA$8:$AA$2007,$I258)))</f>
        <v/>
      </c>
      <c r="F258" s="38">
        <f>IF($H258="","","거래처 입금이면 별칭 등록")</f>
        <v/>
      </c>
      <c r="H258" s="31">
        <f>IF(252&lt;=MAX(입금_은행1!$AD$8:$AD$2007),1,IF(252-MAX(입금_은행1!$AD$8:$AD$2007)&lt;=MAX(입금_은행2!$AD$8:$AD$2007),2,""))</f>
        <v/>
      </c>
      <c r="I258" s="31">
        <f>IF($H258="","",IF($H258=1,MATCH(252,입금_은행1!$AD$8:$AD$2007,0),MATCH(252-MAX(입금_은행1!$AD$8:$AD$2007),입금_은행2!$AD$8:$AD$2007,0)))</f>
        <v/>
      </c>
    </row>
    <row r="259">
      <c r="A259" s="38">
        <f>IF($H259="","",253)</f>
        <v/>
      </c>
      <c r="B259" s="38">
        <f>IF($H259="","",IF($H259=1,입금_은행1!$A$5,입금_은행2!$A$5))</f>
        <v/>
      </c>
      <c r="C259" s="40">
        <f>IF($H259="","",IF($H259=1,INDEX(입금_은행1!$Y$8:$Y$2007,$I259),INDEX(입금_은행2!$Y$8:$Y$2007,$I259)))</f>
        <v/>
      </c>
      <c r="D259" s="44">
        <f>IF($H259="","",IF($H259=1,INDEX(입금_은행1!$Z$8:$Z$2007,$I259),INDEX(입금_은행2!$Z$8:$Z$2007,$I259)))</f>
        <v/>
      </c>
      <c r="E259" s="38">
        <f>IF($H259="","",IF($H259=1,INDEX(입금_은행1!$AA$8:$AA$2007,$I259),INDEX(입금_은행2!$AA$8:$AA$2007,$I259)))</f>
        <v/>
      </c>
      <c r="F259" s="38">
        <f>IF($H259="","","거래처 입금이면 별칭 등록")</f>
        <v/>
      </c>
      <c r="H259" s="31">
        <f>IF(253&lt;=MAX(입금_은행1!$AD$8:$AD$2007),1,IF(253-MAX(입금_은행1!$AD$8:$AD$2007)&lt;=MAX(입금_은행2!$AD$8:$AD$2007),2,""))</f>
        <v/>
      </c>
      <c r="I259" s="31">
        <f>IF($H259="","",IF($H259=1,MATCH(253,입금_은행1!$AD$8:$AD$2007,0),MATCH(253-MAX(입금_은행1!$AD$8:$AD$2007),입금_은행2!$AD$8:$AD$2007,0)))</f>
        <v/>
      </c>
    </row>
    <row r="260">
      <c r="A260" s="38">
        <f>IF($H260="","",254)</f>
        <v/>
      </c>
      <c r="B260" s="38">
        <f>IF($H260="","",IF($H260=1,입금_은행1!$A$5,입금_은행2!$A$5))</f>
        <v/>
      </c>
      <c r="C260" s="40">
        <f>IF($H260="","",IF($H260=1,INDEX(입금_은행1!$Y$8:$Y$2007,$I260),INDEX(입금_은행2!$Y$8:$Y$2007,$I260)))</f>
        <v/>
      </c>
      <c r="D260" s="44">
        <f>IF($H260="","",IF($H260=1,INDEX(입금_은행1!$Z$8:$Z$2007,$I260),INDEX(입금_은행2!$Z$8:$Z$2007,$I260)))</f>
        <v/>
      </c>
      <c r="E260" s="38">
        <f>IF($H260="","",IF($H260=1,INDEX(입금_은행1!$AA$8:$AA$2007,$I260),INDEX(입금_은행2!$AA$8:$AA$2007,$I260)))</f>
        <v/>
      </c>
      <c r="F260" s="38">
        <f>IF($H260="","","거래처 입금이면 별칭 등록")</f>
        <v/>
      </c>
      <c r="H260" s="31">
        <f>IF(254&lt;=MAX(입금_은행1!$AD$8:$AD$2007),1,IF(254-MAX(입금_은행1!$AD$8:$AD$2007)&lt;=MAX(입금_은행2!$AD$8:$AD$2007),2,""))</f>
        <v/>
      </c>
      <c r="I260" s="31">
        <f>IF($H260="","",IF($H260=1,MATCH(254,입금_은행1!$AD$8:$AD$2007,0),MATCH(254-MAX(입금_은행1!$AD$8:$AD$2007),입금_은행2!$AD$8:$AD$2007,0)))</f>
        <v/>
      </c>
    </row>
    <row r="261">
      <c r="A261" s="38">
        <f>IF($H261="","",255)</f>
        <v/>
      </c>
      <c r="B261" s="38">
        <f>IF($H261="","",IF($H261=1,입금_은행1!$A$5,입금_은행2!$A$5))</f>
        <v/>
      </c>
      <c r="C261" s="40">
        <f>IF($H261="","",IF($H261=1,INDEX(입금_은행1!$Y$8:$Y$2007,$I261),INDEX(입금_은행2!$Y$8:$Y$2007,$I261)))</f>
        <v/>
      </c>
      <c r="D261" s="44">
        <f>IF($H261="","",IF($H261=1,INDEX(입금_은행1!$Z$8:$Z$2007,$I261),INDEX(입금_은행2!$Z$8:$Z$2007,$I261)))</f>
        <v/>
      </c>
      <c r="E261" s="38">
        <f>IF($H261="","",IF($H261=1,INDEX(입금_은행1!$AA$8:$AA$2007,$I261),INDEX(입금_은행2!$AA$8:$AA$2007,$I261)))</f>
        <v/>
      </c>
      <c r="F261" s="38">
        <f>IF($H261="","","거래처 입금이면 별칭 등록")</f>
        <v/>
      </c>
      <c r="H261" s="31">
        <f>IF(255&lt;=MAX(입금_은행1!$AD$8:$AD$2007),1,IF(255-MAX(입금_은행1!$AD$8:$AD$2007)&lt;=MAX(입금_은행2!$AD$8:$AD$2007),2,""))</f>
        <v/>
      </c>
      <c r="I261" s="31">
        <f>IF($H261="","",IF($H261=1,MATCH(255,입금_은행1!$AD$8:$AD$2007,0),MATCH(255-MAX(입금_은행1!$AD$8:$AD$2007),입금_은행2!$AD$8:$AD$2007,0)))</f>
        <v/>
      </c>
    </row>
    <row r="262">
      <c r="A262" s="38">
        <f>IF($H262="","",256)</f>
        <v/>
      </c>
      <c r="B262" s="38">
        <f>IF($H262="","",IF($H262=1,입금_은행1!$A$5,입금_은행2!$A$5))</f>
        <v/>
      </c>
      <c r="C262" s="40">
        <f>IF($H262="","",IF($H262=1,INDEX(입금_은행1!$Y$8:$Y$2007,$I262),INDEX(입금_은행2!$Y$8:$Y$2007,$I262)))</f>
        <v/>
      </c>
      <c r="D262" s="44">
        <f>IF($H262="","",IF($H262=1,INDEX(입금_은행1!$Z$8:$Z$2007,$I262),INDEX(입금_은행2!$Z$8:$Z$2007,$I262)))</f>
        <v/>
      </c>
      <c r="E262" s="38">
        <f>IF($H262="","",IF($H262=1,INDEX(입금_은행1!$AA$8:$AA$2007,$I262),INDEX(입금_은행2!$AA$8:$AA$2007,$I262)))</f>
        <v/>
      </c>
      <c r="F262" s="38">
        <f>IF($H262="","","거래처 입금이면 별칭 등록")</f>
        <v/>
      </c>
      <c r="H262" s="31">
        <f>IF(256&lt;=MAX(입금_은행1!$AD$8:$AD$2007),1,IF(256-MAX(입금_은행1!$AD$8:$AD$2007)&lt;=MAX(입금_은행2!$AD$8:$AD$2007),2,""))</f>
        <v/>
      </c>
      <c r="I262" s="31">
        <f>IF($H262="","",IF($H262=1,MATCH(256,입금_은행1!$AD$8:$AD$2007,0),MATCH(256-MAX(입금_은행1!$AD$8:$AD$2007),입금_은행2!$AD$8:$AD$2007,0)))</f>
        <v/>
      </c>
    </row>
    <row r="263">
      <c r="A263" s="38">
        <f>IF($H263="","",257)</f>
        <v/>
      </c>
      <c r="B263" s="38">
        <f>IF($H263="","",IF($H263=1,입금_은행1!$A$5,입금_은행2!$A$5))</f>
        <v/>
      </c>
      <c r="C263" s="40">
        <f>IF($H263="","",IF($H263=1,INDEX(입금_은행1!$Y$8:$Y$2007,$I263),INDEX(입금_은행2!$Y$8:$Y$2007,$I263)))</f>
        <v/>
      </c>
      <c r="D263" s="44">
        <f>IF($H263="","",IF($H263=1,INDEX(입금_은행1!$Z$8:$Z$2007,$I263),INDEX(입금_은행2!$Z$8:$Z$2007,$I263)))</f>
        <v/>
      </c>
      <c r="E263" s="38">
        <f>IF($H263="","",IF($H263=1,INDEX(입금_은행1!$AA$8:$AA$2007,$I263),INDEX(입금_은행2!$AA$8:$AA$2007,$I263)))</f>
        <v/>
      </c>
      <c r="F263" s="38">
        <f>IF($H263="","","거래처 입금이면 별칭 등록")</f>
        <v/>
      </c>
      <c r="H263" s="31">
        <f>IF(257&lt;=MAX(입금_은행1!$AD$8:$AD$2007),1,IF(257-MAX(입금_은행1!$AD$8:$AD$2007)&lt;=MAX(입금_은행2!$AD$8:$AD$2007),2,""))</f>
        <v/>
      </c>
      <c r="I263" s="31">
        <f>IF($H263="","",IF($H263=1,MATCH(257,입금_은행1!$AD$8:$AD$2007,0),MATCH(257-MAX(입금_은행1!$AD$8:$AD$2007),입금_은행2!$AD$8:$AD$2007,0)))</f>
        <v/>
      </c>
    </row>
    <row r="264">
      <c r="A264" s="38">
        <f>IF($H264="","",258)</f>
        <v/>
      </c>
      <c r="B264" s="38">
        <f>IF($H264="","",IF($H264=1,입금_은행1!$A$5,입금_은행2!$A$5))</f>
        <v/>
      </c>
      <c r="C264" s="40">
        <f>IF($H264="","",IF($H264=1,INDEX(입금_은행1!$Y$8:$Y$2007,$I264),INDEX(입금_은행2!$Y$8:$Y$2007,$I264)))</f>
        <v/>
      </c>
      <c r="D264" s="44">
        <f>IF($H264="","",IF($H264=1,INDEX(입금_은행1!$Z$8:$Z$2007,$I264),INDEX(입금_은행2!$Z$8:$Z$2007,$I264)))</f>
        <v/>
      </c>
      <c r="E264" s="38">
        <f>IF($H264="","",IF($H264=1,INDEX(입금_은행1!$AA$8:$AA$2007,$I264),INDEX(입금_은행2!$AA$8:$AA$2007,$I264)))</f>
        <v/>
      </c>
      <c r="F264" s="38">
        <f>IF($H264="","","거래처 입금이면 별칭 등록")</f>
        <v/>
      </c>
      <c r="H264" s="31">
        <f>IF(258&lt;=MAX(입금_은행1!$AD$8:$AD$2007),1,IF(258-MAX(입금_은행1!$AD$8:$AD$2007)&lt;=MAX(입금_은행2!$AD$8:$AD$2007),2,""))</f>
        <v/>
      </c>
      <c r="I264" s="31">
        <f>IF($H264="","",IF($H264=1,MATCH(258,입금_은행1!$AD$8:$AD$2007,0),MATCH(258-MAX(입금_은행1!$AD$8:$AD$2007),입금_은행2!$AD$8:$AD$2007,0)))</f>
        <v/>
      </c>
    </row>
    <row r="265">
      <c r="A265" s="38">
        <f>IF($H265="","",259)</f>
        <v/>
      </c>
      <c r="B265" s="38">
        <f>IF($H265="","",IF($H265=1,입금_은행1!$A$5,입금_은행2!$A$5))</f>
        <v/>
      </c>
      <c r="C265" s="40">
        <f>IF($H265="","",IF($H265=1,INDEX(입금_은행1!$Y$8:$Y$2007,$I265),INDEX(입금_은행2!$Y$8:$Y$2007,$I265)))</f>
        <v/>
      </c>
      <c r="D265" s="44">
        <f>IF($H265="","",IF($H265=1,INDEX(입금_은행1!$Z$8:$Z$2007,$I265),INDEX(입금_은행2!$Z$8:$Z$2007,$I265)))</f>
        <v/>
      </c>
      <c r="E265" s="38">
        <f>IF($H265="","",IF($H265=1,INDEX(입금_은행1!$AA$8:$AA$2007,$I265),INDEX(입금_은행2!$AA$8:$AA$2007,$I265)))</f>
        <v/>
      </c>
      <c r="F265" s="38">
        <f>IF($H265="","","거래처 입금이면 별칭 등록")</f>
        <v/>
      </c>
      <c r="H265" s="31">
        <f>IF(259&lt;=MAX(입금_은행1!$AD$8:$AD$2007),1,IF(259-MAX(입금_은행1!$AD$8:$AD$2007)&lt;=MAX(입금_은행2!$AD$8:$AD$2007),2,""))</f>
        <v/>
      </c>
      <c r="I265" s="31">
        <f>IF($H265="","",IF($H265=1,MATCH(259,입금_은행1!$AD$8:$AD$2007,0),MATCH(259-MAX(입금_은행1!$AD$8:$AD$2007),입금_은행2!$AD$8:$AD$2007,0)))</f>
        <v/>
      </c>
    </row>
    <row r="266">
      <c r="A266" s="38">
        <f>IF($H266="","",260)</f>
        <v/>
      </c>
      <c r="B266" s="38">
        <f>IF($H266="","",IF($H266=1,입금_은행1!$A$5,입금_은행2!$A$5))</f>
        <v/>
      </c>
      <c r="C266" s="40">
        <f>IF($H266="","",IF($H266=1,INDEX(입금_은행1!$Y$8:$Y$2007,$I266),INDEX(입금_은행2!$Y$8:$Y$2007,$I266)))</f>
        <v/>
      </c>
      <c r="D266" s="44">
        <f>IF($H266="","",IF($H266=1,INDEX(입금_은행1!$Z$8:$Z$2007,$I266),INDEX(입금_은행2!$Z$8:$Z$2007,$I266)))</f>
        <v/>
      </c>
      <c r="E266" s="38">
        <f>IF($H266="","",IF($H266=1,INDEX(입금_은행1!$AA$8:$AA$2007,$I266),INDEX(입금_은행2!$AA$8:$AA$2007,$I266)))</f>
        <v/>
      </c>
      <c r="F266" s="38">
        <f>IF($H266="","","거래처 입금이면 별칭 등록")</f>
        <v/>
      </c>
      <c r="H266" s="31">
        <f>IF(260&lt;=MAX(입금_은행1!$AD$8:$AD$2007),1,IF(260-MAX(입금_은행1!$AD$8:$AD$2007)&lt;=MAX(입금_은행2!$AD$8:$AD$2007),2,""))</f>
        <v/>
      </c>
      <c r="I266" s="31">
        <f>IF($H266="","",IF($H266=1,MATCH(260,입금_은행1!$AD$8:$AD$2007,0),MATCH(260-MAX(입금_은행1!$AD$8:$AD$2007),입금_은행2!$AD$8:$AD$2007,0)))</f>
        <v/>
      </c>
    </row>
    <row r="267">
      <c r="A267" s="38">
        <f>IF($H267="","",261)</f>
        <v/>
      </c>
      <c r="B267" s="38">
        <f>IF($H267="","",IF($H267=1,입금_은행1!$A$5,입금_은행2!$A$5))</f>
        <v/>
      </c>
      <c r="C267" s="40">
        <f>IF($H267="","",IF($H267=1,INDEX(입금_은행1!$Y$8:$Y$2007,$I267),INDEX(입금_은행2!$Y$8:$Y$2007,$I267)))</f>
        <v/>
      </c>
      <c r="D267" s="44">
        <f>IF($H267="","",IF($H267=1,INDEX(입금_은행1!$Z$8:$Z$2007,$I267),INDEX(입금_은행2!$Z$8:$Z$2007,$I267)))</f>
        <v/>
      </c>
      <c r="E267" s="38">
        <f>IF($H267="","",IF($H267=1,INDEX(입금_은행1!$AA$8:$AA$2007,$I267),INDEX(입금_은행2!$AA$8:$AA$2007,$I267)))</f>
        <v/>
      </c>
      <c r="F267" s="38">
        <f>IF($H267="","","거래처 입금이면 별칭 등록")</f>
        <v/>
      </c>
      <c r="H267" s="31">
        <f>IF(261&lt;=MAX(입금_은행1!$AD$8:$AD$2007),1,IF(261-MAX(입금_은행1!$AD$8:$AD$2007)&lt;=MAX(입금_은행2!$AD$8:$AD$2007),2,""))</f>
        <v/>
      </c>
      <c r="I267" s="31">
        <f>IF($H267="","",IF($H267=1,MATCH(261,입금_은행1!$AD$8:$AD$2007,0),MATCH(261-MAX(입금_은행1!$AD$8:$AD$2007),입금_은행2!$AD$8:$AD$2007,0)))</f>
        <v/>
      </c>
    </row>
    <row r="268">
      <c r="A268" s="38">
        <f>IF($H268="","",262)</f>
        <v/>
      </c>
      <c r="B268" s="38">
        <f>IF($H268="","",IF($H268=1,입금_은행1!$A$5,입금_은행2!$A$5))</f>
        <v/>
      </c>
      <c r="C268" s="40">
        <f>IF($H268="","",IF($H268=1,INDEX(입금_은행1!$Y$8:$Y$2007,$I268),INDEX(입금_은행2!$Y$8:$Y$2007,$I268)))</f>
        <v/>
      </c>
      <c r="D268" s="44">
        <f>IF($H268="","",IF($H268=1,INDEX(입금_은행1!$Z$8:$Z$2007,$I268),INDEX(입금_은행2!$Z$8:$Z$2007,$I268)))</f>
        <v/>
      </c>
      <c r="E268" s="38">
        <f>IF($H268="","",IF($H268=1,INDEX(입금_은행1!$AA$8:$AA$2007,$I268),INDEX(입금_은행2!$AA$8:$AA$2007,$I268)))</f>
        <v/>
      </c>
      <c r="F268" s="38">
        <f>IF($H268="","","거래처 입금이면 별칭 등록")</f>
        <v/>
      </c>
      <c r="H268" s="31">
        <f>IF(262&lt;=MAX(입금_은행1!$AD$8:$AD$2007),1,IF(262-MAX(입금_은행1!$AD$8:$AD$2007)&lt;=MAX(입금_은행2!$AD$8:$AD$2007),2,""))</f>
        <v/>
      </c>
      <c r="I268" s="31">
        <f>IF($H268="","",IF($H268=1,MATCH(262,입금_은행1!$AD$8:$AD$2007,0),MATCH(262-MAX(입금_은행1!$AD$8:$AD$2007),입금_은행2!$AD$8:$AD$2007,0)))</f>
        <v/>
      </c>
    </row>
    <row r="269">
      <c r="A269" s="38">
        <f>IF($H269="","",263)</f>
        <v/>
      </c>
      <c r="B269" s="38">
        <f>IF($H269="","",IF($H269=1,입금_은행1!$A$5,입금_은행2!$A$5))</f>
        <v/>
      </c>
      <c r="C269" s="40">
        <f>IF($H269="","",IF($H269=1,INDEX(입금_은행1!$Y$8:$Y$2007,$I269),INDEX(입금_은행2!$Y$8:$Y$2007,$I269)))</f>
        <v/>
      </c>
      <c r="D269" s="44">
        <f>IF($H269="","",IF($H269=1,INDEX(입금_은행1!$Z$8:$Z$2007,$I269),INDEX(입금_은행2!$Z$8:$Z$2007,$I269)))</f>
        <v/>
      </c>
      <c r="E269" s="38">
        <f>IF($H269="","",IF($H269=1,INDEX(입금_은행1!$AA$8:$AA$2007,$I269),INDEX(입금_은행2!$AA$8:$AA$2007,$I269)))</f>
        <v/>
      </c>
      <c r="F269" s="38">
        <f>IF($H269="","","거래처 입금이면 별칭 등록")</f>
        <v/>
      </c>
      <c r="H269" s="31">
        <f>IF(263&lt;=MAX(입금_은행1!$AD$8:$AD$2007),1,IF(263-MAX(입금_은행1!$AD$8:$AD$2007)&lt;=MAX(입금_은행2!$AD$8:$AD$2007),2,""))</f>
        <v/>
      </c>
      <c r="I269" s="31">
        <f>IF($H269="","",IF($H269=1,MATCH(263,입금_은행1!$AD$8:$AD$2007,0),MATCH(263-MAX(입금_은행1!$AD$8:$AD$2007),입금_은행2!$AD$8:$AD$2007,0)))</f>
        <v/>
      </c>
    </row>
    <row r="270">
      <c r="A270" s="38">
        <f>IF($H270="","",264)</f>
        <v/>
      </c>
      <c r="B270" s="38">
        <f>IF($H270="","",IF($H270=1,입금_은행1!$A$5,입금_은행2!$A$5))</f>
        <v/>
      </c>
      <c r="C270" s="40">
        <f>IF($H270="","",IF($H270=1,INDEX(입금_은행1!$Y$8:$Y$2007,$I270),INDEX(입금_은행2!$Y$8:$Y$2007,$I270)))</f>
        <v/>
      </c>
      <c r="D270" s="44">
        <f>IF($H270="","",IF($H270=1,INDEX(입금_은행1!$Z$8:$Z$2007,$I270),INDEX(입금_은행2!$Z$8:$Z$2007,$I270)))</f>
        <v/>
      </c>
      <c r="E270" s="38">
        <f>IF($H270="","",IF($H270=1,INDEX(입금_은행1!$AA$8:$AA$2007,$I270),INDEX(입금_은행2!$AA$8:$AA$2007,$I270)))</f>
        <v/>
      </c>
      <c r="F270" s="38">
        <f>IF($H270="","","거래처 입금이면 별칭 등록")</f>
        <v/>
      </c>
      <c r="H270" s="31">
        <f>IF(264&lt;=MAX(입금_은행1!$AD$8:$AD$2007),1,IF(264-MAX(입금_은행1!$AD$8:$AD$2007)&lt;=MAX(입금_은행2!$AD$8:$AD$2007),2,""))</f>
        <v/>
      </c>
      <c r="I270" s="31">
        <f>IF($H270="","",IF($H270=1,MATCH(264,입금_은행1!$AD$8:$AD$2007,0),MATCH(264-MAX(입금_은행1!$AD$8:$AD$2007),입금_은행2!$AD$8:$AD$2007,0)))</f>
        <v/>
      </c>
    </row>
    <row r="271">
      <c r="A271" s="38">
        <f>IF($H271="","",265)</f>
        <v/>
      </c>
      <c r="B271" s="38">
        <f>IF($H271="","",IF($H271=1,입금_은행1!$A$5,입금_은행2!$A$5))</f>
        <v/>
      </c>
      <c r="C271" s="40">
        <f>IF($H271="","",IF($H271=1,INDEX(입금_은행1!$Y$8:$Y$2007,$I271),INDEX(입금_은행2!$Y$8:$Y$2007,$I271)))</f>
        <v/>
      </c>
      <c r="D271" s="44">
        <f>IF($H271="","",IF($H271=1,INDEX(입금_은행1!$Z$8:$Z$2007,$I271),INDEX(입금_은행2!$Z$8:$Z$2007,$I271)))</f>
        <v/>
      </c>
      <c r="E271" s="38">
        <f>IF($H271="","",IF($H271=1,INDEX(입금_은행1!$AA$8:$AA$2007,$I271),INDEX(입금_은행2!$AA$8:$AA$2007,$I271)))</f>
        <v/>
      </c>
      <c r="F271" s="38">
        <f>IF($H271="","","거래처 입금이면 별칭 등록")</f>
        <v/>
      </c>
      <c r="H271" s="31">
        <f>IF(265&lt;=MAX(입금_은행1!$AD$8:$AD$2007),1,IF(265-MAX(입금_은행1!$AD$8:$AD$2007)&lt;=MAX(입금_은행2!$AD$8:$AD$2007),2,""))</f>
        <v/>
      </c>
      <c r="I271" s="31">
        <f>IF($H271="","",IF($H271=1,MATCH(265,입금_은행1!$AD$8:$AD$2007,0),MATCH(265-MAX(입금_은행1!$AD$8:$AD$2007),입금_은행2!$AD$8:$AD$2007,0)))</f>
        <v/>
      </c>
    </row>
    <row r="272">
      <c r="A272" s="38">
        <f>IF($H272="","",266)</f>
        <v/>
      </c>
      <c r="B272" s="38">
        <f>IF($H272="","",IF($H272=1,입금_은행1!$A$5,입금_은행2!$A$5))</f>
        <v/>
      </c>
      <c r="C272" s="40">
        <f>IF($H272="","",IF($H272=1,INDEX(입금_은행1!$Y$8:$Y$2007,$I272),INDEX(입금_은행2!$Y$8:$Y$2007,$I272)))</f>
        <v/>
      </c>
      <c r="D272" s="44">
        <f>IF($H272="","",IF($H272=1,INDEX(입금_은행1!$Z$8:$Z$2007,$I272),INDEX(입금_은행2!$Z$8:$Z$2007,$I272)))</f>
        <v/>
      </c>
      <c r="E272" s="38">
        <f>IF($H272="","",IF($H272=1,INDEX(입금_은행1!$AA$8:$AA$2007,$I272),INDEX(입금_은행2!$AA$8:$AA$2007,$I272)))</f>
        <v/>
      </c>
      <c r="F272" s="38">
        <f>IF($H272="","","거래처 입금이면 별칭 등록")</f>
        <v/>
      </c>
      <c r="H272" s="31">
        <f>IF(266&lt;=MAX(입금_은행1!$AD$8:$AD$2007),1,IF(266-MAX(입금_은행1!$AD$8:$AD$2007)&lt;=MAX(입금_은행2!$AD$8:$AD$2007),2,""))</f>
        <v/>
      </c>
      <c r="I272" s="31">
        <f>IF($H272="","",IF($H272=1,MATCH(266,입금_은행1!$AD$8:$AD$2007,0),MATCH(266-MAX(입금_은행1!$AD$8:$AD$2007),입금_은행2!$AD$8:$AD$2007,0)))</f>
        <v/>
      </c>
    </row>
    <row r="273">
      <c r="A273" s="38">
        <f>IF($H273="","",267)</f>
        <v/>
      </c>
      <c r="B273" s="38">
        <f>IF($H273="","",IF($H273=1,입금_은행1!$A$5,입금_은행2!$A$5))</f>
        <v/>
      </c>
      <c r="C273" s="40">
        <f>IF($H273="","",IF($H273=1,INDEX(입금_은행1!$Y$8:$Y$2007,$I273),INDEX(입금_은행2!$Y$8:$Y$2007,$I273)))</f>
        <v/>
      </c>
      <c r="D273" s="44">
        <f>IF($H273="","",IF($H273=1,INDEX(입금_은행1!$Z$8:$Z$2007,$I273),INDEX(입금_은행2!$Z$8:$Z$2007,$I273)))</f>
        <v/>
      </c>
      <c r="E273" s="38">
        <f>IF($H273="","",IF($H273=1,INDEX(입금_은행1!$AA$8:$AA$2007,$I273),INDEX(입금_은행2!$AA$8:$AA$2007,$I273)))</f>
        <v/>
      </c>
      <c r="F273" s="38">
        <f>IF($H273="","","거래처 입금이면 별칭 등록")</f>
        <v/>
      </c>
      <c r="H273" s="31">
        <f>IF(267&lt;=MAX(입금_은행1!$AD$8:$AD$2007),1,IF(267-MAX(입금_은행1!$AD$8:$AD$2007)&lt;=MAX(입금_은행2!$AD$8:$AD$2007),2,""))</f>
        <v/>
      </c>
      <c r="I273" s="31">
        <f>IF($H273="","",IF($H273=1,MATCH(267,입금_은행1!$AD$8:$AD$2007,0),MATCH(267-MAX(입금_은행1!$AD$8:$AD$2007),입금_은행2!$AD$8:$AD$2007,0)))</f>
        <v/>
      </c>
    </row>
    <row r="274">
      <c r="A274" s="38">
        <f>IF($H274="","",268)</f>
        <v/>
      </c>
      <c r="B274" s="38">
        <f>IF($H274="","",IF($H274=1,입금_은행1!$A$5,입금_은행2!$A$5))</f>
        <v/>
      </c>
      <c r="C274" s="40">
        <f>IF($H274="","",IF($H274=1,INDEX(입금_은행1!$Y$8:$Y$2007,$I274),INDEX(입금_은행2!$Y$8:$Y$2007,$I274)))</f>
        <v/>
      </c>
      <c r="D274" s="44">
        <f>IF($H274="","",IF($H274=1,INDEX(입금_은행1!$Z$8:$Z$2007,$I274),INDEX(입금_은행2!$Z$8:$Z$2007,$I274)))</f>
        <v/>
      </c>
      <c r="E274" s="38">
        <f>IF($H274="","",IF($H274=1,INDEX(입금_은행1!$AA$8:$AA$2007,$I274),INDEX(입금_은행2!$AA$8:$AA$2007,$I274)))</f>
        <v/>
      </c>
      <c r="F274" s="38">
        <f>IF($H274="","","거래처 입금이면 별칭 등록")</f>
        <v/>
      </c>
      <c r="H274" s="31">
        <f>IF(268&lt;=MAX(입금_은행1!$AD$8:$AD$2007),1,IF(268-MAX(입금_은행1!$AD$8:$AD$2007)&lt;=MAX(입금_은행2!$AD$8:$AD$2007),2,""))</f>
        <v/>
      </c>
      <c r="I274" s="31">
        <f>IF($H274="","",IF($H274=1,MATCH(268,입금_은행1!$AD$8:$AD$2007,0),MATCH(268-MAX(입금_은행1!$AD$8:$AD$2007),입금_은행2!$AD$8:$AD$2007,0)))</f>
        <v/>
      </c>
    </row>
    <row r="275">
      <c r="A275" s="38">
        <f>IF($H275="","",269)</f>
        <v/>
      </c>
      <c r="B275" s="38">
        <f>IF($H275="","",IF($H275=1,입금_은행1!$A$5,입금_은행2!$A$5))</f>
        <v/>
      </c>
      <c r="C275" s="40">
        <f>IF($H275="","",IF($H275=1,INDEX(입금_은행1!$Y$8:$Y$2007,$I275),INDEX(입금_은행2!$Y$8:$Y$2007,$I275)))</f>
        <v/>
      </c>
      <c r="D275" s="44">
        <f>IF($H275="","",IF($H275=1,INDEX(입금_은행1!$Z$8:$Z$2007,$I275),INDEX(입금_은행2!$Z$8:$Z$2007,$I275)))</f>
        <v/>
      </c>
      <c r="E275" s="38">
        <f>IF($H275="","",IF($H275=1,INDEX(입금_은행1!$AA$8:$AA$2007,$I275),INDEX(입금_은행2!$AA$8:$AA$2007,$I275)))</f>
        <v/>
      </c>
      <c r="F275" s="38">
        <f>IF($H275="","","거래처 입금이면 별칭 등록")</f>
        <v/>
      </c>
      <c r="H275" s="31">
        <f>IF(269&lt;=MAX(입금_은행1!$AD$8:$AD$2007),1,IF(269-MAX(입금_은행1!$AD$8:$AD$2007)&lt;=MAX(입금_은행2!$AD$8:$AD$2007),2,""))</f>
        <v/>
      </c>
      <c r="I275" s="31">
        <f>IF($H275="","",IF($H275=1,MATCH(269,입금_은행1!$AD$8:$AD$2007,0),MATCH(269-MAX(입금_은행1!$AD$8:$AD$2007),입금_은행2!$AD$8:$AD$2007,0)))</f>
        <v/>
      </c>
    </row>
    <row r="276">
      <c r="A276" s="38">
        <f>IF($H276="","",270)</f>
        <v/>
      </c>
      <c r="B276" s="38">
        <f>IF($H276="","",IF($H276=1,입금_은행1!$A$5,입금_은행2!$A$5))</f>
        <v/>
      </c>
      <c r="C276" s="40">
        <f>IF($H276="","",IF($H276=1,INDEX(입금_은행1!$Y$8:$Y$2007,$I276),INDEX(입금_은행2!$Y$8:$Y$2007,$I276)))</f>
        <v/>
      </c>
      <c r="D276" s="44">
        <f>IF($H276="","",IF($H276=1,INDEX(입금_은행1!$Z$8:$Z$2007,$I276),INDEX(입금_은행2!$Z$8:$Z$2007,$I276)))</f>
        <v/>
      </c>
      <c r="E276" s="38">
        <f>IF($H276="","",IF($H276=1,INDEX(입금_은행1!$AA$8:$AA$2007,$I276),INDEX(입금_은행2!$AA$8:$AA$2007,$I276)))</f>
        <v/>
      </c>
      <c r="F276" s="38">
        <f>IF($H276="","","거래처 입금이면 별칭 등록")</f>
        <v/>
      </c>
      <c r="H276" s="31">
        <f>IF(270&lt;=MAX(입금_은행1!$AD$8:$AD$2007),1,IF(270-MAX(입금_은행1!$AD$8:$AD$2007)&lt;=MAX(입금_은행2!$AD$8:$AD$2007),2,""))</f>
        <v/>
      </c>
      <c r="I276" s="31">
        <f>IF($H276="","",IF($H276=1,MATCH(270,입금_은행1!$AD$8:$AD$2007,0),MATCH(270-MAX(입금_은행1!$AD$8:$AD$2007),입금_은행2!$AD$8:$AD$2007,0)))</f>
        <v/>
      </c>
    </row>
    <row r="277">
      <c r="A277" s="38">
        <f>IF($H277="","",271)</f>
        <v/>
      </c>
      <c r="B277" s="38">
        <f>IF($H277="","",IF($H277=1,입금_은행1!$A$5,입금_은행2!$A$5))</f>
        <v/>
      </c>
      <c r="C277" s="40">
        <f>IF($H277="","",IF($H277=1,INDEX(입금_은행1!$Y$8:$Y$2007,$I277),INDEX(입금_은행2!$Y$8:$Y$2007,$I277)))</f>
        <v/>
      </c>
      <c r="D277" s="44">
        <f>IF($H277="","",IF($H277=1,INDEX(입금_은행1!$Z$8:$Z$2007,$I277),INDEX(입금_은행2!$Z$8:$Z$2007,$I277)))</f>
        <v/>
      </c>
      <c r="E277" s="38">
        <f>IF($H277="","",IF($H277=1,INDEX(입금_은행1!$AA$8:$AA$2007,$I277),INDEX(입금_은행2!$AA$8:$AA$2007,$I277)))</f>
        <v/>
      </c>
      <c r="F277" s="38">
        <f>IF($H277="","","거래처 입금이면 별칭 등록")</f>
        <v/>
      </c>
      <c r="H277" s="31">
        <f>IF(271&lt;=MAX(입금_은행1!$AD$8:$AD$2007),1,IF(271-MAX(입금_은행1!$AD$8:$AD$2007)&lt;=MAX(입금_은행2!$AD$8:$AD$2007),2,""))</f>
        <v/>
      </c>
      <c r="I277" s="31">
        <f>IF($H277="","",IF($H277=1,MATCH(271,입금_은행1!$AD$8:$AD$2007,0),MATCH(271-MAX(입금_은행1!$AD$8:$AD$2007),입금_은행2!$AD$8:$AD$2007,0)))</f>
        <v/>
      </c>
    </row>
    <row r="278">
      <c r="A278" s="38">
        <f>IF($H278="","",272)</f>
        <v/>
      </c>
      <c r="B278" s="38">
        <f>IF($H278="","",IF($H278=1,입금_은행1!$A$5,입금_은행2!$A$5))</f>
        <v/>
      </c>
      <c r="C278" s="40">
        <f>IF($H278="","",IF($H278=1,INDEX(입금_은행1!$Y$8:$Y$2007,$I278),INDEX(입금_은행2!$Y$8:$Y$2007,$I278)))</f>
        <v/>
      </c>
      <c r="D278" s="44">
        <f>IF($H278="","",IF($H278=1,INDEX(입금_은행1!$Z$8:$Z$2007,$I278),INDEX(입금_은행2!$Z$8:$Z$2007,$I278)))</f>
        <v/>
      </c>
      <c r="E278" s="38">
        <f>IF($H278="","",IF($H278=1,INDEX(입금_은행1!$AA$8:$AA$2007,$I278),INDEX(입금_은행2!$AA$8:$AA$2007,$I278)))</f>
        <v/>
      </c>
      <c r="F278" s="38">
        <f>IF($H278="","","거래처 입금이면 별칭 등록")</f>
        <v/>
      </c>
      <c r="H278" s="31">
        <f>IF(272&lt;=MAX(입금_은행1!$AD$8:$AD$2007),1,IF(272-MAX(입금_은행1!$AD$8:$AD$2007)&lt;=MAX(입금_은행2!$AD$8:$AD$2007),2,""))</f>
        <v/>
      </c>
      <c r="I278" s="31">
        <f>IF($H278="","",IF($H278=1,MATCH(272,입금_은행1!$AD$8:$AD$2007,0),MATCH(272-MAX(입금_은행1!$AD$8:$AD$2007),입금_은행2!$AD$8:$AD$2007,0)))</f>
        <v/>
      </c>
    </row>
    <row r="279">
      <c r="A279" s="38">
        <f>IF($H279="","",273)</f>
        <v/>
      </c>
      <c r="B279" s="38">
        <f>IF($H279="","",IF($H279=1,입금_은행1!$A$5,입금_은행2!$A$5))</f>
        <v/>
      </c>
      <c r="C279" s="40">
        <f>IF($H279="","",IF($H279=1,INDEX(입금_은행1!$Y$8:$Y$2007,$I279),INDEX(입금_은행2!$Y$8:$Y$2007,$I279)))</f>
        <v/>
      </c>
      <c r="D279" s="44">
        <f>IF($H279="","",IF($H279=1,INDEX(입금_은행1!$Z$8:$Z$2007,$I279),INDEX(입금_은행2!$Z$8:$Z$2007,$I279)))</f>
        <v/>
      </c>
      <c r="E279" s="38">
        <f>IF($H279="","",IF($H279=1,INDEX(입금_은행1!$AA$8:$AA$2007,$I279),INDEX(입금_은행2!$AA$8:$AA$2007,$I279)))</f>
        <v/>
      </c>
      <c r="F279" s="38">
        <f>IF($H279="","","거래처 입금이면 별칭 등록")</f>
        <v/>
      </c>
      <c r="H279" s="31">
        <f>IF(273&lt;=MAX(입금_은행1!$AD$8:$AD$2007),1,IF(273-MAX(입금_은행1!$AD$8:$AD$2007)&lt;=MAX(입금_은행2!$AD$8:$AD$2007),2,""))</f>
        <v/>
      </c>
      <c r="I279" s="31">
        <f>IF($H279="","",IF($H279=1,MATCH(273,입금_은행1!$AD$8:$AD$2007,0),MATCH(273-MAX(입금_은행1!$AD$8:$AD$2007),입금_은행2!$AD$8:$AD$2007,0)))</f>
        <v/>
      </c>
    </row>
    <row r="280">
      <c r="A280" s="38">
        <f>IF($H280="","",274)</f>
        <v/>
      </c>
      <c r="B280" s="38">
        <f>IF($H280="","",IF($H280=1,입금_은행1!$A$5,입금_은행2!$A$5))</f>
        <v/>
      </c>
      <c r="C280" s="40">
        <f>IF($H280="","",IF($H280=1,INDEX(입금_은행1!$Y$8:$Y$2007,$I280),INDEX(입금_은행2!$Y$8:$Y$2007,$I280)))</f>
        <v/>
      </c>
      <c r="D280" s="44">
        <f>IF($H280="","",IF($H280=1,INDEX(입금_은행1!$Z$8:$Z$2007,$I280),INDEX(입금_은행2!$Z$8:$Z$2007,$I280)))</f>
        <v/>
      </c>
      <c r="E280" s="38">
        <f>IF($H280="","",IF($H280=1,INDEX(입금_은행1!$AA$8:$AA$2007,$I280),INDEX(입금_은행2!$AA$8:$AA$2007,$I280)))</f>
        <v/>
      </c>
      <c r="F280" s="38">
        <f>IF($H280="","","거래처 입금이면 별칭 등록")</f>
        <v/>
      </c>
      <c r="H280" s="31">
        <f>IF(274&lt;=MAX(입금_은행1!$AD$8:$AD$2007),1,IF(274-MAX(입금_은행1!$AD$8:$AD$2007)&lt;=MAX(입금_은행2!$AD$8:$AD$2007),2,""))</f>
        <v/>
      </c>
      <c r="I280" s="31">
        <f>IF($H280="","",IF($H280=1,MATCH(274,입금_은행1!$AD$8:$AD$2007,0),MATCH(274-MAX(입금_은행1!$AD$8:$AD$2007),입금_은행2!$AD$8:$AD$2007,0)))</f>
        <v/>
      </c>
    </row>
    <row r="281">
      <c r="A281" s="38">
        <f>IF($H281="","",275)</f>
        <v/>
      </c>
      <c r="B281" s="38">
        <f>IF($H281="","",IF($H281=1,입금_은행1!$A$5,입금_은행2!$A$5))</f>
        <v/>
      </c>
      <c r="C281" s="40">
        <f>IF($H281="","",IF($H281=1,INDEX(입금_은행1!$Y$8:$Y$2007,$I281),INDEX(입금_은행2!$Y$8:$Y$2007,$I281)))</f>
        <v/>
      </c>
      <c r="D281" s="44">
        <f>IF($H281="","",IF($H281=1,INDEX(입금_은행1!$Z$8:$Z$2007,$I281),INDEX(입금_은행2!$Z$8:$Z$2007,$I281)))</f>
        <v/>
      </c>
      <c r="E281" s="38">
        <f>IF($H281="","",IF($H281=1,INDEX(입금_은행1!$AA$8:$AA$2007,$I281),INDEX(입금_은행2!$AA$8:$AA$2007,$I281)))</f>
        <v/>
      </c>
      <c r="F281" s="38">
        <f>IF($H281="","","거래처 입금이면 별칭 등록")</f>
        <v/>
      </c>
      <c r="H281" s="31">
        <f>IF(275&lt;=MAX(입금_은행1!$AD$8:$AD$2007),1,IF(275-MAX(입금_은행1!$AD$8:$AD$2007)&lt;=MAX(입금_은행2!$AD$8:$AD$2007),2,""))</f>
        <v/>
      </c>
      <c r="I281" s="31">
        <f>IF($H281="","",IF($H281=1,MATCH(275,입금_은행1!$AD$8:$AD$2007,0),MATCH(275-MAX(입금_은행1!$AD$8:$AD$2007),입금_은행2!$AD$8:$AD$2007,0)))</f>
        <v/>
      </c>
    </row>
    <row r="282">
      <c r="A282" s="38">
        <f>IF($H282="","",276)</f>
        <v/>
      </c>
      <c r="B282" s="38">
        <f>IF($H282="","",IF($H282=1,입금_은행1!$A$5,입금_은행2!$A$5))</f>
        <v/>
      </c>
      <c r="C282" s="40">
        <f>IF($H282="","",IF($H282=1,INDEX(입금_은행1!$Y$8:$Y$2007,$I282),INDEX(입금_은행2!$Y$8:$Y$2007,$I282)))</f>
        <v/>
      </c>
      <c r="D282" s="44">
        <f>IF($H282="","",IF($H282=1,INDEX(입금_은행1!$Z$8:$Z$2007,$I282),INDEX(입금_은행2!$Z$8:$Z$2007,$I282)))</f>
        <v/>
      </c>
      <c r="E282" s="38">
        <f>IF($H282="","",IF($H282=1,INDEX(입금_은행1!$AA$8:$AA$2007,$I282),INDEX(입금_은행2!$AA$8:$AA$2007,$I282)))</f>
        <v/>
      </c>
      <c r="F282" s="38">
        <f>IF($H282="","","거래처 입금이면 별칭 등록")</f>
        <v/>
      </c>
      <c r="H282" s="31">
        <f>IF(276&lt;=MAX(입금_은행1!$AD$8:$AD$2007),1,IF(276-MAX(입금_은행1!$AD$8:$AD$2007)&lt;=MAX(입금_은행2!$AD$8:$AD$2007),2,""))</f>
        <v/>
      </c>
      <c r="I282" s="31">
        <f>IF($H282="","",IF($H282=1,MATCH(276,입금_은행1!$AD$8:$AD$2007,0),MATCH(276-MAX(입금_은행1!$AD$8:$AD$2007),입금_은행2!$AD$8:$AD$2007,0)))</f>
        <v/>
      </c>
    </row>
    <row r="283">
      <c r="A283" s="38">
        <f>IF($H283="","",277)</f>
        <v/>
      </c>
      <c r="B283" s="38">
        <f>IF($H283="","",IF($H283=1,입금_은행1!$A$5,입금_은행2!$A$5))</f>
        <v/>
      </c>
      <c r="C283" s="40">
        <f>IF($H283="","",IF($H283=1,INDEX(입금_은행1!$Y$8:$Y$2007,$I283),INDEX(입금_은행2!$Y$8:$Y$2007,$I283)))</f>
        <v/>
      </c>
      <c r="D283" s="44">
        <f>IF($H283="","",IF($H283=1,INDEX(입금_은행1!$Z$8:$Z$2007,$I283),INDEX(입금_은행2!$Z$8:$Z$2007,$I283)))</f>
        <v/>
      </c>
      <c r="E283" s="38">
        <f>IF($H283="","",IF($H283=1,INDEX(입금_은행1!$AA$8:$AA$2007,$I283),INDEX(입금_은행2!$AA$8:$AA$2007,$I283)))</f>
        <v/>
      </c>
      <c r="F283" s="38">
        <f>IF($H283="","","거래처 입금이면 별칭 등록")</f>
        <v/>
      </c>
      <c r="H283" s="31">
        <f>IF(277&lt;=MAX(입금_은행1!$AD$8:$AD$2007),1,IF(277-MAX(입금_은행1!$AD$8:$AD$2007)&lt;=MAX(입금_은행2!$AD$8:$AD$2007),2,""))</f>
        <v/>
      </c>
      <c r="I283" s="31">
        <f>IF($H283="","",IF($H283=1,MATCH(277,입금_은행1!$AD$8:$AD$2007,0),MATCH(277-MAX(입금_은행1!$AD$8:$AD$2007),입금_은행2!$AD$8:$AD$2007,0)))</f>
        <v/>
      </c>
    </row>
    <row r="284">
      <c r="A284" s="38">
        <f>IF($H284="","",278)</f>
        <v/>
      </c>
      <c r="B284" s="38">
        <f>IF($H284="","",IF($H284=1,입금_은행1!$A$5,입금_은행2!$A$5))</f>
        <v/>
      </c>
      <c r="C284" s="40">
        <f>IF($H284="","",IF($H284=1,INDEX(입금_은행1!$Y$8:$Y$2007,$I284),INDEX(입금_은행2!$Y$8:$Y$2007,$I284)))</f>
        <v/>
      </c>
      <c r="D284" s="44">
        <f>IF($H284="","",IF($H284=1,INDEX(입금_은행1!$Z$8:$Z$2007,$I284),INDEX(입금_은행2!$Z$8:$Z$2007,$I284)))</f>
        <v/>
      </c>
      <c r="E284" s="38">
        <f>IF($H284="","",IF($H284=1,INDEX(입금_은행1!$AA$8:$AA$2007,$I284),INDEX(입금_은행2!$AA$8:$AA$2007,$I284)))</f>
        <v/>
      </c>
      <c r="F284" s="38">
        <f>IF($H284="","","거래처 입금이면 별칭 등록")</f>
        <v/>
      </c>
      <c r="H284" s="31">
        <f>IF(278&lt;=MAX(입금_은행1!$AD$8:$AD$2007),1,IF(278-MAX(입금_은행1!$AD$8:$AD$2007)&lt;=MAX(입금_은행2!$AD$8:$AD$2007),2,""))</f>
        <v/>
      </c>
      <c r="I284" s="31">
        <f>IF($H284="","",IF($H284=1,MATCH(278,입금_은행1!$AD$8:$AD$2007,0),MATCH(278-MAX(입금_은행1!$AD$8:$AD$2007),입금_은행2!$AD$8:$AD$2007,0)))</f>
        <v/>
      </c>
    </row>
    <row r="285">
      <c r="A285" s="38">
        <f>IF($H285="","",279)</f>
        <v/>
      </c>
      <c r="B285" s="38">
        <f>IF($H285="","",IF($H285=1,입금_은행1!$A$5,입금_은행2!$A$5))</f>
        <v/>
      </c>
      <c r="C285" s="40">
        <f>IF($H285="","",IF($H285=1,INDEX(입금_은행1!$Y$8:$Y$2007,$I285),INDEX(입금_은행2!$Y$8:$Y$2007,$I285)))</f>
        <v/>
      </c>
      <c r="D285" s="44">
        <f>IF($H285="","",IF($H285=1,INDEX(입금_은행1!$Z$8:$Z$2007,$I285),INDEX(입금_은행2!$Z$8:$Z$2007,$I285)))</f>
        <v/>
      </c>
      <c r="E285" s="38">
        <f>IF($H285="","",IF($H285=1,INDEX(입금_은행1!$AA$8:$AA$2007,$I285),INDEX(입금_은행2!$AA$8:$AA$2007,$I285)))</f>
        <v/>
      </c>
      <c r="F285" s="38">
        <f>IF($H285="","","거래처 입금이면 별칭 등록")</f>
        <v/>
      </c>
      <c r="H285" s="31">
        <f>IF(279&lt;=MAX(입금_은행1!$AD$8:$AD$2007),1,IF(279-MAX(입금_은행1!$AD$8:$AD$2007)&lt;=MAX(입금_은행2!$AD$8:$AD$2007),2,""))</f>
        <v/>
      </c>
      <c r="I285" s="31">
        <f>IF($H285="","",IF($H285=1,MATCH(279,입금_은행1!$AD$8:$AD$2007,0),MATCH(279-MAX(입금_은행1!$AD$8:$AD$2007),입금_은행2!$AD$8:$AD$2007,0)))</f>
        <v/>
      </c>
    </row>
    <row r="286">
      <c r="A286" s="38">
        <f>IF($H286="","",280)</f>
        <v/>
      </c>
      <c r="B286" s="38">
        <f>IF($H286="","",IF($H286=1,입금_은행1!$A$5,입금_은행2!$A$5))</f>
        <v/>
      </c>
      <c r="C286" s="40">
        <f>IF($H286="","",IF($H286=1,INDEX(입금_은행1!$Y$8:$Y$2007,$I286),INDEX(입금_은행2!$Y$8:$Y$2007,$I286)))</f>
        <v/>
      </c>
      <c r="D286" s="44">
        <f>IF($H286="","",IF($H286=1,INDEX(입금_은행1!$Z$8:$Z$2007,$I286),INDEX(입금_은행2!$Z$8:$Z$2007,$I286)))</f>
        <v/>
      </c>
      <c r="E286" s="38">
        <f>IF($H286="","",IF($H286=1,INDEX(입금_은행1!$AA$8:$AA$2007,$I286),INDEX(입금_은행2!$AA$8:$AA$2007,$I286)))</f>
        <v/>
      </c>
      <c r="F286" s="38">
        <f>IF($H286="","","거래처 입금이면 별칭 등록")</f>
        <v/>
      </c>
      <c r="H286" s="31">
        <f>IF(280&lt;=MAX(입금_은행1!$AD$8:$AD$2007),1,IF(280-MAX(입금_은행1!$AD$8:$AD$2007)&lt;=MAX(입금_은행2!$AD$8:$AD$2007),2,""))</f>
        <v/>
      </c>
      <c r="I286" s="31">
        <f>IF($H286="","",IF($H286=1,MATCH(280,입금_은행1!$AD$8:$AD$2007,0),MATCH(280-MAX(입금_은행1!$AD$8:$AD$2007),입금_은행2!$AD$8:$AD$2007,0)))</f>
        <v/>
      </c>
    </row>
    <row r="287">
      <c r="A287" s="38">
        <f>IF($H287="","",281)</f>
        <v/>
      </c>
      <c r="B287" s="38">
        <f>IF($H287="","",IF($H287=1,입금_은행1!$A$5,입금_은행2!$A$5))</f>
        <v/>
      </c>
      <c r="C287" s="40">
        <f>IF($H287="","",IF($H287=1,INDEX(입금_은행1!$Y$8:$Y$2007,$I287),INDEX(입금_은행2!$Y$8:$Y$2007,$I287)))</f>
        <v/>
      </c>
      <c r="D287" s="44">
        <f>IF($H287="","",IF($H287=1,INDEX(입금_은행1!$Z$8:$Z$2007,$I287),INDEX(입금_은행2!$Z$8:$Z$2007,$I287)))</f>
        <v/>
      </c>
      <c r="E287" s="38">
        <f>IF($H287="","",IF($H287=1,INDEX(입금_은행1!$AA$8:$AA$2007,$I287),INDEX(입금_은행2!$AA$8:$AA$2007,$I287)))</f>
        <v/>
      </c>
      <c r="F287" s="38">
        <f>IF($H287="","","거래처 입금이면 별칭 등록")</f>
        <v/>
      </c>
      <c r="H287" s="31">
        <f>IF(281&lt;=MAX(입금_은행1!$AD$8:$AD$2007),1,IF(281-MAX(입금_은행1!$AD$8:$AD$2007)&lt;=MAX(입금_은행2!$AD$8:$AD$2007),2,""))</f>
        <v/>
      </c>
      <c r="I287" s="31">
        <f>IF($H287="","",IF($H287=1,MATCH(281,입금_은행1!$AD$8:$AD$2007,0),MATCH(281-MAX(입금_은행1!$AD$8:$AD$2007),입금_은행2!$AD$8:$AD$2007,0)))</f>
        <v/>
      </c>
    </row>
    <row r="288">
      <c r="A288" s="38">
        <f>IF($H288="","",282)</f>
        <v/>
      </c>
      <c r="B288" s="38">
        <f>IF($H288="","",IF($H288=1,입금_은행1!$A$5,입금_은행2!$A$5))</f>
        <v/>
      </c>
      <c r="C288" s="40">
        <f>IF($H288="","",IF($H288=1,INDEX(입금_은행1!$Y$8:$Y$2007,$I288),INDEX(입금_은행2!$Y$8:$Y$2007,$I288)))</f>
        <v/>
      </c>
      <c r="D288" s="44">
        <f>IF($H288="","",IF($H288=1,INDEX(입금_은행1!$Z$8:$Z$2007,$I288),INDEX(입금_은행2!$Z$8:$Z$2007,$I288)))</f>
        <v/>
      </c>
      <c r="E288" s="38">
        <f>IF($H288="","",IF($H288=1,INDEX(입금_은행1!$AA$8:$AA$2007,$I288),INDEX(입금_은행2!$AA$8:$AA$2007,$I288)))</f>
        <v/>
      </c>
      <c r="F288" s="38">
        <f>IF($H288="","","거래처 입금이면 별칭 등록")</f>
        <v/>
      </c>
      <c r="H288" s="31">
        <f>IF(282&lt;=MAX(입금_은행1!$AD$8:$AD$2007),1,IF(282-MAX(입금_은행1!$AD$8:$AD$2007)&lt;=MAX(입금_은행2!$AD$8:$AD$2007),2,""))</f>
        <v/>
      </c>
      <c r="I288" s="31">
        <f>IF($H288="","",IF($H288=1,MATCH(282,입금_은행1!$AD$8:$AD$2007,0),MATCH(282-MAX(입금_은행1!$AD$8:$AD$2007),입금_은행2!$AD$8:$AD$2007,0)))</f>
        <v/>
      </c>
    </row>
    <row r="289">
      <c r="A289" s="38">
        <f>IF($H289="","",283)</f>
        <v/>
      </c>
      <c r="B289" s="38">
        <f>IF($H289="","",IF($H289=1,입금_은행1!$A$5,입금_은행2!$A$5))</f>
        <v/>
      </c>
      <c r="C289" s="40">
        <f>IF($H289="","",IF($H289=1,INDEX(입금_은행1!$Y$8:$Y$2007,$I289),INDEX(입금_은행2!$Y$8:$Y$2007,$I289)))</f>
        <v/>
      </c>
      <c r="D289" s="44">
        <f>IF($H289="","",IF($H289=1,INDEX(입금_은행1!$Z$8:$Z$2007,$I289),INDEX(입금_은행2!$Z$8:$Z$2007,$I289)))</f>
        <v/>
      </c>
      <c r="E289" s="38">
        <f>IF($H289="","",IF($H289=1,INDEX(입금_은행1!$AA$8:$AA$2007,$I289),INDEX(입금_은행2!$AA$8:$AA$2007,$I289)))</f>
        <v/>
      </c>
      <c r="F289" s="38">
        <f>IF($H289="","","거래처 입금이면 별칭 등록")</f>
        <v/>
      </c>
      <c r="H289" s="31">
        <f>IF(283&lt;=MAX(입금_은행1!$AD$8:$AD$2007),1,IF(283-MAX(입금_은행1!$AD$8:$AD$2007)&lt;=MAX(입금_은행2!$AD$8:$AD$2007),2,""))</f>
        <v/>
      </c>
      <c r="I289" s="31">
        <f>IF($H289="","",IF($H289=1,MATCH(283,입금_은행1!$AD$8:$AD$2007,0),MATCH(283-MAX(입금_은행1!$AD$8:$AD$2007),입금_은행2!$AD$8:$AD$2007,0)))</f>
        <v/>
      </c>
    </row>
    <row r="290">
      <c r="A290" s="38">
        <f>IF($H290="","",284)</f>
        <v/>
      </c>
      <c r="B290" s="38">
        <f>IF($H290="","",IF($H290=1,입금_은행1!$A$5,입금_은행2!$A$5))</f>
        <v/>
      </c>
      <c r="C290" s="40">
        <f>IF($H290="","",IF($H290=1,INDEX(입금_은행1!$Y$8:$Y$2007,$I290),INDEX(입금_은행2!$Y$8:$Y$2007,$I290)))</f>
        <v/>
      </c>
      <c r="D290" s="44">
        <f>IF($H290="","",IF($H290=1,INDEX(입금_은행1!$Z$8:$Z$2007,$I290),INDEX(입금_은행2!$Z$8:$Z$2007,$I290)))</f>
        <v/>
      </c>
      <c r="E290" s="38">
        <f>IF($H290="","",IF($H290=1,INDEX(입금_은행1!$AA$8:$AA$2007,$I290),INDEX(입금_은행2!$AA$8:$AA$2007,$I290)))</f>
        <v/>
      </c>
      <c r="F290" s="38">
        <f>IF($H290="","","거래처 입금이면 별칭 등록")</f>
        <v/>
      </c>
      <c r="H290" s="31">
        <f>IF(284&lt;=MAX(입금_은행1!$AD$8:$AD$2007),1,IF(284-MAX(입금_은행1!$AD$8:$AD$2007)&lt;=MAX(입금_은행2!$AD$8:$AD$2007),2,""))</f>
        <v/>
      </c>
      <c r="I290" s="31">
        <f>IF($H290="","",IF($H290=1,MATCH(284,입금_은행1!$AD$8:$AD$2007,0),MATCH(284-MAX(입금_은행1!$AD$8:$AD$2007),입금_은행2!$AD$8:$AD$2007,0)))</f>
        <v/>
      </c>
    </row>
    <row r="291">
      <c r="A291" s="38">
        <f>IF($H291="","",285)</f>
        <v/>
      </c>
      <c r="B291" s="38">
        <f>IF($H291="","",IF($H291=1,입금_은행1!$A$5,입금_은행2!$A$5))</f>
        <v/>
      </c>
      <c r="C291" s="40">
        <f>IF($H291="","",IF($H291=1,INDEX(입금_은행1!$Y$8:$Y$2007,$I291),INDEX(입금_은행2!$Y$8:$Y$2007,$I291)))</f>
        <v/>
      </c>
      <c r="D291" s="44">
        <f>IF($H291="","",IF($H291=1,INDEX(입금_은행1!$Z$8:$Z$2007,$I291),INDEX(입금_은행2!$Z$8:$Z$2007,$I291)))</f>
        <v/>
      </c>
      <c r="E291" s="38">
        <f>IF($H291="","",IF($H291=1,INDEX(입금_은행1!$AA$8:$AA$2007,$I291),INDEX(입금_은행2!$AA$8:$AA$2007,$I291)))</f>
        <v/>
      </c>
      <c r="F291" s="38">
        <f>IF($H291="","","거래처 입금이면 별칭 등록")</f>
        <v/>
      </c>
      <c r="H291" s="31">
        <f>IF(285&lt;=MAX(입금_은행1!$AD$8:$AD$2007),1,IF(285-MAX(입금_은행1!$AD$8:$AD$2007)&lt;=MAX(입금_은행2!$AD$8:$AD$2007),2,""))</f>
        <v/>
      </c>
      <c r="I291" s="31">
        <f>IF($H291="","",IF($H291=1,MATCH(285,입금_은행1!$AD$8:$AD$2007,0),MATCH(285-MAX(입금_은행1!$AD$8:$AD$2007),입금_은행2!$AD$8:$AD$2007,0)))</f>
        <v/>
      </c>
    </row>
    <row r="292">
      <c r="A292" s="38">
        <f>IF($H292="","",286)</f>
        <v/>
      </c>
      <c r="B292" s="38">
        <f>IF($H292="","",IF($H292=1,입금_은행1!$A$5,입금_은행2!$A$5))</f>
        <v/>
      </c>
      <c r="C292" s="40">
        <f>IF($H292="","",IF($H292=1,INDEX(입금_은행1!$Y$8:$Y$2007,$I292),INDEX(입금_은행2!$Y$8:$Y$2007,$I292)))</f>
        <v/>
      </c>
      <c r="D292" s="44">
        <f>IF($H292="","",IF($H292=1,INDEX(입금_은행1!$Z$8:$Z$2007,$I292),INDEX(입금_은행2!$Z$8:$Z$2007,$I292)))</f>
        <v/>
      </c>
      <c r="E292" s="38">
        <f>IF($H292="","",IF($H292=1,INDEX(입금_은행1!$AA$8:$AA$2007,$I292),INDEX(입금_은행2!$AA$8:$AA$2007,$I292)))</f>
        <v/>
      </c>
      <c r="F292" s="38">
        <f>IF($H292="","","거래처 입금이면 별칭 등록")</f>
        <v/>
      </c>
      <c r="H292" s="31">
        <f>IF(286&lt;=MAX(입금_은행1!$AD$8:$AD$2007),1,IF(286-MAX(입금_은행1!$AD$8:$AD$2007)&lt;=MAX(입금_은행2!$AD$8:$AD$2007),2,""))</f>
        <v/>
      </c>
      <c r="I292" s="31">
        <f>IF($H292="","",IF($H292=1,MATCH(286,입금_은행1!$AD$8:$AD$2007,0),MATCH(286-MAX(입금_은행1!$AD$8:$AD$2007),입금_은행2!$AD$8:$AD$2007,0)))</f>
        <v/>
      </c>
    </row>
    <row r="293">
      <c r="A293" s="38">
        <f>IF($H293="","",287)</f>
        <v/>
      </c>
      <c r="B293" s="38">
        <f>IF($H293="","",IF($H293=1,입금_은행1!$A$5,입금_은행2!$A$5))</f>
        <v/>
      </c>
      <c r="C293" s="40">
        <f>IF($H293="","",IF($H293=1,INDEX(입금_은행1!$Y$8:$Y$2007,$I293),INDEX(입금_은행2!$Y$8:$Y$2007,$I293)))</f>
        <v/>
      </c>
      <c r="D293" s="44">
        <f>IF($H293="","",IF($H293=1,INDEX(입금_은행1!$Z$8:$Z$2007,$I293),INDEX(입금_은행2!$Z$8:$Z$2007,$I293)))</f>
        <v/>
      </c>
      <c r="E293" s="38">
        <f>IF($H293="","",IF($H293=1,INDEX(입금_은행1!$AA$8:$AA$2007,$I293),INDEX(입금_은행2!$AA$8:$AA$2007,$I293)))</f>
        <v/>
      </c>
      <c r="F293" s="38">
        <f>IF($H293="","","거래처 입금이면 별칭 등록")</f>
        <v/>
      </c>
      <c r="H293" s="31">
        <f>IF(287&lt;=MAX(입금_은행1!$AD$8:$AD$2007),1,IF(287-MAX(입금_은행1!$AD$8:$AD$2007)&lt;=MAX(입금_은행2!$AD$8:$AD$2007),2,""))</f>
        <v/>
      </c>
      <c r="I293" s="31">
        <f>IF($H293="","",IF($H293=1,MATCH(287,입금_은행1!$AD$8:$AD$2007,0),MATCH(287-MAX(입금_은행1!$AD$8:$AD$2007),입금_은행2!$AD$8:$AD$2007,0)))</f>
        <v/>
      </c>
    </row>
    <row r="294">
      <c r="A294" s="38">
        <f>IF($H294="","",288)</f>
        <v/>
      </c>
      <c r="B294" s="38">
        <f>IF($H294="","",IF($H294=1,입금_은행1!$A$5,입금_은행2!$A$5))</f>
        <v/>
      </c>
      <c r="C294" s="40">
        <f>IF($H294="","",IF($H294=1,INDEX(입금_은행1!$Y$8:$Y$2007,$I294),INDEX(입금_은행2!$Y$8:$Y$2007,$I294)))</f>
        <v/>
      </c>
      <c r="D294" s="44">
        <f>IF($H294="","",IF($H294=1,INDEX(입금_은행1!$Z$8:$Z$2007,$I294),INDEX(입금_은행2!$Z$8:$Z$2007,$I294)))</f>
        <v/>
      </c>
      <c r="E294" s="38">
        <f>IF($H294="","",IF($H294=1,INDEX(입금_은행1!$AA$8:$AA$2007,$I294),INDEX(입금_은행2!$AA$8:$AA$2007,$I294)))</f>
        <v/>
      </c>
      <c r="F294" s="38">
        <f>IF($H294="","","거래처 입금이면 별칭 등록")</f>
        <v/>
      </c>
      <c r="H294" s="31">
        <f>IF(288&lt;=MAX(입금_은행1!$AD$8:$AD$2007),1,IF(288-MAX(입금_은행1!$AD$8:$AD$2007)&lt;=MAX(입금_은행2!$AD$8:$AD$2007),2,""))</f>
        <v/>
      </c>
      <c r="I294" s="31">
        <f>IF($H294="","",IF($H294=1,MATCH(288,입금_은행1!$AD$8:$AD$2007,0),MATCH(288-MAX(입금_은행1!$AD$8:$AD$2007),입금_은행2!$AD$8:$AD$2007,0)))</f>
        <v/>
      </c>
    </row>
    <row r="295">
      <c r="A295" s="38">
        <f>IF($H295="","",289)</f>
        <v/>
      </c>
      <c r="B295" s="38">
        <f>IF($H295="","",IF($H295=1,입금_은행1!$A$5,입금_은행2!$A$5))</f>
        <v/>
      </c>
      <c r="C295" s="40">
        <f>IF($H295="","",IF($H295=1,INDEX(입금_은행1!$Y$8:$Y$2007,$I295),INDEX(입금_은행2!$Y$8:$Y$2007,$I295)))</f>
        <v/>
      </c>
      <c r="D295" s="44">
        <f>IF($H295="","",IF($H295=1,INDEX(입금_은행1!$Z$8:$Z$2007,$I295),INDEX(입금_은행2!$Z$8:$Z$2007,$I295)))</f>
        <v/>
      </c>
      <c r="E295" s="38">
        <f>IF($H295="","",IF($H295=1,INDEX(입금_은행1!$AA$8:$AA$2007,$I295),INDEX(입금_은행2!$AA$8:$AA$2007,$I295)))</f>
        <v/>
      </c>
      <c r="F295" s="38">
        <f>IF($H295="","","거래처 입금이면 별칭 등록")</f>
        <v/>
      </c>
      <c r="H295" s="31">
        <f>IF(289&lt;=MAX(입금_은행1!$AD$8:$AD$2007),1,IF(289-MAX(입금_은행1!$AD$8:$AD$2007)&lt;=MAX(입금_은행2!$AD$8:$AD$2007),2,""))</f>
        <v/>
      </c>
      <c r="I295" s="31">
        <f>IF($H295="","",IF($H295=1,MATCH(289,입금_은행1!$AD$8:$AD$2007,0),MATCH(289-MAX(입금_은행1!$AD$8:$AD$2007),입금_은행2!$AD$8:$AD$2007,0)))</f>
        <v/>
      </c>
    </row>
    <row r="296">
      <c r="A296" s="38">
        <f>IF($H296="","",290)</f>
        <v/>
      </c>
      <c r="B296" s="38">
        <f>IF($H296="","",IF($H296=1,입금_은행1!$A$5,입금_은행2!$A$5))</f>
        <v/>
      </c>
      <c r="C296" s="40">
        <f>IF($H296="","",IF($H296=1,INDEX(입금_은행1!$Y$8:$Y$2007,$I296),INDEX(입금_은행2!$Y$8:$Y$2007,$I296)))</f>
        <v/>
      </c>
      <c r="D296" s="44">
        <f>IF($H296="","",IF($H296=1,INDEX(입금_은행1!$Z$8:$Z$2007,$I296),INDEX(입금_은행2!$Z$8:$Z$2007,$I296)))</f>
        <v/>
      </c>
      <c r="E296" s="38">
        <f>IF($H296="","",IF($H296=1,INDEX(입금_은행1!$AA$8:$AA$2007,$I296),INDEX(입금_은행2!$AA$8:$AA$2007,$I296)))</f>
        <v/>
      </c>
      <c r="F296" s="38">
        <f>IF($H296="","","거래처 입금이면 별칭 등록")</f>
        <v/>
      </c>
      <c r="H296" s="31">
        <f>IF(290&lt;=MAX(입금_은행1!$AD$8:$AD$2007),1,IF(290-MAX(입금_은행1!$AD$8:$AD$2007)&lt;=MAX(입금_은행2!$AD$8:$AD$2007),2,""))</f>
        <v/>
      </c>
      <c r="I296" s="31">
        <f>IF($H296="","",IF($H296=1,MATCH(290,입금_은행1!$AD$8:$AD$2007,0),MATCH(290-MAX(입금_은행1!$AD$8:$AD$2007),입금_은행2!$AD$8:$AD$2007,0)))</f>
        <v/>
      </c>
    </row>
    <row r="297">
      <c r="A297" s="38">
        <f>IF($H297="","",291)</f>
        <v/>
      </c>
      <c r="B297" s="38">
        <f>IF($H297="","",IF($H297=1,입금_은행1!$A$5,입금_은행2!$A$5))</f>
        <v/>
      </c>
      <c r="C297" s="40">
        <f>IF($H297="","",IF($H297=1,INDEX(입금_은행1!$Y$8:$Y$2007,$I297),INDEX(입금_은행2!$Y$8:$Y$2007,$I297)))</f>
        <v/>
      </c>
      <c r="D297" s="44">
        <f>IF($H297="","",IF($H297=1,INDEX(입금_은행1!$Z$8:$Z$2007,$I297),INDEX(입금_은행2!$Z$8:$Z$2007,$I297)))</f>
        <v/>
      </c>
      <c r="E297" s="38">
        <f>IF($H297="","",IF($H297=1,INDEX(입금_은행1!$AA$8:$AA$2007,$I297),INDEX(입금_은행2!$AA$8:$AA$2007,$I297)))</f>
        <v/>
      </c>
      <c r="F297" s="38">
        <f>IF($H297="","","거래처 입금이면 별칭 등록")</f>
        <v/>
      </c>
      <c r="H297" s="31">
        <f>IF(291&lt;=MAX(입금_은행1!$AD$8:$AD$2007),1,IF(291-MAX(입금_은행1!$AD$8:$AD$2007)&lt;=MAX(입금_은행2!$AD$8:$AD$2007),2,""))</f>
        <v/>
      </c>
      <c r="I297" s="31">
        <f>IF($H297="","",IF($H297=1,MATCH(291,입금_은행1!$AD$8:$AD$2007,0),MATCH(291-MAX(입금_은행1!$AD$8:$AD$2007),입금_은행2!$AD$8:$AD$2007,0)))</f>
        <v/>
      </c>
    </row>
    <row r="298">
      <c r="A298" s="38">
        <f>IF($H298="","",292)</f>
        <v/>
      </c>
      <c r="B298" s="38">
        <f>IF($H298="","",IF($H298=1,입금_은행1!$A$5,입금_은행2!$A$5))</f>
        <v/>
      </c>
      <c r="C298" s="40">
        <f>IF($H298="","",IF($H298=1,INDEX(입금_은행1!$Y$8:$Y$2007,$I298),INDEX(입금_은행2!$Y$8:$Y$2007,$I298)))</f>
        <v/>
      </c>
      <c r="D298" s="44">
        <f>IF($H298="","",IF($H298=1,INDEX(입금_은행1!$Z$8:$Z$2007,$I298),INDEX(입금_은행2!$Z$8:$Z$2007,$I298)))</f>
        <v/>
      </c>
      <c r="E298" s="38">
        <f>IF($H298="","",IF($H298=1,INDEX(입금_은행1!$AA$8:$AA$2007,$I298),INDEX(입금_은행2!$AA$8:$AA$2007,$I298)))</f>
        <v/>
      </c>
      <c r="F298" s="38">
        <f>IF($H298="","","거래처 입금이면 별칭 등록")</f>
        <v/>
      </c>
      <c r="H298" s="31">
        <f>IF(292&lt;=MAX(입금_은행1!$AD$8:$AD$2007),1,IF(292-MAX(입금_은행1!$AD$8:$AD$2007)&lt;=MAX(입금_은행2!$AD$8:$AD$2007),2,""))</f>
        <v/>
      </c>
      <c r="I298" s="31">
        <f>IF($H298="","",IF($H298=1,MATCH(292,입금_은행1!$AD$8:$AD$2007,0),MATCH(292-MAX(입금_은행1!$AD$8:$AD$2007),입금_은행2!$AD$8:$AD$2007,0)))</f>
        <v/>
      </c>
    </row>
    <row r="299">
      <c r="A299" s="38">
        <f>IF($H299="","",293)</f>
        <v/>
      </c>
      <c r="B299" s="38">
        <f>IF($H299="","",IF($H299=1,입금_은행1!$A$5,입금_은행2!$A$5))</f>
        <v/>
      </c>
      <c r="C299" s="40">
        <f>IF($H299="","",IF($H299=1,INDEX(입금_은행1!$Y$8:$Y$2007,$I299),INDEX(입금_은행2!$Y$8:$Y$2007,$I299)))</f>
        <v/>
      </c>
      <c r="D299" s="44">
        <f>IF($H299="","",IF($H299=1,INDEX(입금_은행1!$Z$8:$Z$2007,$I299),INDEX(입금_은행2!$Z$8:$Z$2007,$I299)))</f>
        <v/>
      </c>
      <c r="E299" s="38">
        <f>IF($H299="","",IF($H299=1,INDEX(입금_은행1!$AA$8:$AA$2007,$I299),INDEX(입금_은행2!$AA$8:$AA$2007,$I299)))</f>
        <v/>
      </c>
      <c r="F299" s="38">
        <f>IF($H299="","","거래처 입금이면 별칭 등록")</f>
        <v/>
      </c>
      <c r="H299" s="31">
        <f>IF(293&lt;=MAX(입금_은행1!$AD$8:$AD$2007),1,IF(293-MAX(입금_은행1!$AD$8:$AD$2007)&lt;=MAX(입금_은행2!$AD$8:$AD$2007),2,""))</f>
        <v/>
      </c>
      <c r="I299" s="31">
        <f>IF($H299="","",IF($H299=1,MATCH(293,입금_은행1!$AD$8:$AD$2007,0),MATCH(293-MAX(입금_은행1!$AD$8:$AD$2007),입금_은행2!$AD$8:$AD$2007,0)))</f>
        <v/>
      </c>
    </row>
    <row r="300">
      <c r="A300" s="38">
        <f>IF($H300="","",294)</f>
        <v/>
      </c>
      <c r="B300" s="38">
        <f>IF($H300="","",IF($H300=1,입금_은행1!$A$5,입금_은행2!$A$5))</f>
        <v/>
      </c>
      <c r="C300" s="40">
        <f>IF($H300="","",IF($H300=1,INDEX(입금_은행1!$Y$8:$Y$2007,$I300),INDEX(입금_은행2!$Y$8:$Y$2007,$I300)))</f>
        <v/>
      </c>
      <c r="D300" s="44">
        <f>IF($H300="","",IF($H300=1,INDEX(입금_은행1!$Z$8:$Z$2007,$I300),INDEX(입금_은행2!$Z$8:$Z$2007,$I300)))</f>
        <v/>
      </c>
      <c r="E300" s="38">
        <f>IF($H300="","",IF($H300=1,INDEX(입금_은행1!$AA$8:$AA$2007,$I300),INDEX(입금_은행2!$AA$8:$AA$2007,$I300)))</f>
        <v/>
      </c>
      <c r="F300" s="38">
        <f>IF($H300="","","거래처 입금이면 별칭 등록")</f>
        <v/>
      </c>
      <c r="H300" s="31">
        <f>IF(294&lt;=MAX(입금_은행1!$AD$8:$AD$2007),1,IF(294-MAX(입금_은행1!$AD$8:$AD$2007)&lt;=MAX(입금_은행2!$AD$8:$AD$2007),2,""))</f>
        <v/>
      </c>
      <c r="I300" s="31">
        <f>IF($H300="","",IF($H300=1,MATCH(294,입금_은행1!$AD$8:$AD$2007,0),MATCH(294-MAX(입금_은행1!$AD$8:$AD$2007),입금_은행2!$AD$8:$AD$2007,0)))</f>
        <v/>
      </c>
    </row>
    <row r="301">
      <c r="A301" s="38">
        <f>IF($H301="","",295)</f>
        <v/>
      </c>
      <c r="B301" s="38">
        <f>IF($H301="","",IF($H301=1,입금_은행1!$A$5,입금_은행2!$A$5))</f>
        <v/>
      </c>
      <c r="C301" s="40">
        <f>IF($H301="","",IF($H301=1,INDEX(입금_은행1!$Y$8:$Y$2007,$I301),INDEX(입금_은행2!$Y$8:$Y$2007,$I301)))</f>
        <v/>
      </c>
      <c r="D301" s="44">
        <f>IF($H301="","",IF($H301=1,INDEX(입금_은행1!$Z$8:$Z$2007,$I301),INDEX(입금_은행2!$Z$8:$Z$2007,$I301)))</f>
        <v/>
      </c>
      <c r="E301" s="38">
        <f>IF($H301="","",IF($H301=1,INDEX(입금_은행1!$AA$8:$AA$2007,$I301),INDEX(입금_은행2!$AA$8:$AA$2007,$I301)))</f>
        <v/>
      </c>
      <c r="F301" s="38">
        <f>IF($H301="","","거래처 입금이면 별칭 등록")</f>
        <v/>
      </c>
      <c r="H301" s="31">
        <f>IF(295&lt;=MAX(입금_은행1!$AD$8:$AD$2007),1,IF(295-MAX(입금_은행1!$AD$8:$AD$2007)&lt;=MAX(입금_은행2!$AD$8:$AD$2007),2,""))</f>
        <v/>
      </c>
      <c r="I301" s="31">
        <f>IF($H301="","",IF($H301=1,MATCH(295,입금_은행1!$AD$8:$AD$2007,0),MATCH(295-MAX(입금_은행1!$AD$8:$AD$2007),입금_은행2!$AD$8:$AD$2007,0)))</f>
        <v/>
      </c>
    </row>
    <row r="302">
      <c r="A302" s="38">
        <f>IF($H302="","",296)</f>
        <v/>
      </c>
      <c r="B302" s="38">
        <f>IF($H302="","",IF($H302=1,입금_은행1!$A$5,입금_은행2!$A$5))</f>
        <v/>
      </c>
      <c r="C302" s="40">
        <f>IF($H302="","",IF($H302=1,INDEX(입금_은행1!$Y$8:$Y$2007,$I302),INDEX(입금_은행2!$Y$8:$Y$2007,$I302)))</f>
        <v/>
      </c>
      <c r="D302" s="44">
        <f>IF($H302="","",IF($H302=1,INDEX(입금_은행1!$Z$8:$Z$2007,$I302),INDEX(입금_은행2!$Z$8:$Z$2007,$I302)))</f>
        <v/>
      </c>
      <c r="E302" s="38">
        <f>IF($H302="","",IF($H302=1,INDEX(입금_은행1!$AA$8:$AA$2007,$I302),INDEX(입금_은행2!$AA$8:$AA$2007,$I302)))</f>
        <v/>
      </c>
      <c r="F302" s="38">
        <f>IF($H302="","","거래처 입금이면 별칭 등록")</f>
        <v/>
      </c>
      <c r="H302" s="31">
        <f>IF(296&lt;=MAX(입금_은행1!$AD$8:$AD$2007),1,IF(296-MAX(입금_은행1!$AD$8:$AD$2007)&lt;=MAX(입금_은행2!$AD$8:$AD$2007),2,""))</f>
        <v/>
      </c>
      <c r="I302" s="31">
        <f>IF($H302="","",IF($H302=1,MATCH(296,입금_은행1!$AD$8:$AD$2007,0),MATCH(296-MAX(입금_은행1!$AD$8:$AD$2007),입금_은행2!$AD$8:$AD$2007,0)))</f>
        <v/>
      </c>
    </row>
    <row r="303">
      <c r="A303" s="38">
        <f>IF($H303="","",297)</f>
        <v/>
      </c>
      <c r="B303" s="38">
        <f>IF($H303="","",IF($H303=1,입금_은행1!$A$5,입금_은행2!$A$5))</f>
        <v/>
      </c>
      <c r="C303" s="40">
        <f>IF($H303="","",IF($H303=1,INDEX(입금_은행1!$Y$8:$Y$2007,$I303),INDEX(입금_은행2!$Y$8:$Y$2007,$I303)))</f>
        <v/>
      </c>
      <c r="D303" s="44">
        <f>IF($H303="","",IF($H303=1,INDEX(입금_은행1!$Z$8:$Z$2007,$I303),INDEX(입금_은행2!$Z$8:$Z$2007,$I303)))</f>
        <v/>
      </c>
      <c r="E303" s="38">
        <f>IF($H303="","",IF($H303=1,INDEX(입금_은행1!$AA$8:$AA$2007,$I303),INDEX(입금_은행2!$AA$8:$AA$2007,$I303)))</f>
        <v/>
      </c>
      <c r="F303" s="38">
        <f>IF($H303="","","거래처 입금이면 별칭 등록")</f>
        <v/>
      </c>
      <c r="H303" s="31">
        <f>IF(297&lt;=MAX(입금_은행1!$AD$8:$AD$2007),1,IF(297-MAX(입금_은행1!$AD$8:$AD$2007)&lt;=MAX(입금_은행2!$AD$8:$AD$2007),2,""))</f>
        <v/>
      </c>
      <c r="I303" s="31">
        <f>IF($H303="","",IF($H303=1,MATCH(297,입금_은행1!$AD$8:$AD$2007,0),MATCH(297-MAX(입금_은행1!$AD$8:$AD$2007),입금_은행2!$AD$8:$AD$2007,0)))</f>
        <v/>
      </c>
    </row>
    <row r="304">
      <c r="A304" s="38">
        <f>IF($H304="","",298)</f>
        <v/>
      </c>
      <c r="B304" s="38">
        <f>IF($H304="","",IF($H304=1,입금_은행1!$A$5,입금_은행2!$A$5))</f>
        <v/>
      </c>
      <c r="C304" s="40">
        <f>IF($H304="","",IF($H304=1,INDEX(입금_은행1!$Y$8:$Y$2007,$I304),INDEX(입금_은행2!$Y$8:$Y$2007,$I304)))</f>
        <v/>
      </c>
      <c r="D304" s="44">
        <f>IF($H304="","",IF($H304=1,INDEX(입금_은행1!$Z$8:$Z$2007,$I304),INDEX(입금_은행2!$Z$8:$Z$2007,$I304)))</f>
        <v/>
      </c>
      <c r="E304" s="38">
        <f>IF($H304="","",IF($H304=1,INDEX(입금_은행1!$AA$8:$AA$2007,$I304),INDEX(입금_은행2!$AA$8:$AA$2007,$I304)))</f>
        <v/>
      </c>
      <c r="F304" s="38">
        <f>IF($H304="","","거래처 입금이면 별칭 등록")</f>
        <v/>
      </c>
      <c r="H304" s="31">
        <f>IF(298&lt;=MAX(입금_은행1!$AD$8:$AD$2007),1,IF(298-MAX(입금_은행1!$AD$8:$AD$2007)&lt;=MAX(입금_은행2!$AD$8:$AD$2007),2,""))</f>
        <v/>
      </c>
      <c r="I304" s="31">
        <f>IF($H304="","",IF($H304=1,MATCH(298,입금_은행1!$AD$8:$AD$2007,0),MATCH(298-MAX(입금_은행1!$AD$8:$AD$2007),입금_은행2!$AD$8:$AD$2007,0)))</f>
        <v/>
      </c>
    </row>
    <row r="305">
      <c r="A305" s="38">
        <f>IF($H305="","",299)</f>
        <v/>
      </c>
      <c r="B305" s="38">
        <f>IF($H305="","",IF($H305=1,입금_은행1!$A$5,입금_은행2!$A$5))</f>
        <v/>
      </c>
      <c r="C305" s="40">
        <f>IF($H305="","",IF($H305=1,INDEX(입금_은행1!$Y$8:$Y$2007,$I305),INDEX(입금_은행2!$Y$8:$Y$2007,$I305)))</f>
        <v/>
      </c>
      <c r="D305" s="44">
        <f>IF($H305="","",IF($H305=1,INDEX(입금_은행1!$Z$8:$Z$2007,$I305),INDEX(입금_은행2!$Z$8:$Z$2007,$I305)))</f>
        <v/>
      </c>
      <c r="E305" s="38">
        <f>IF($H305="","",IF($H305=1,INDEX(입금_은행1!$AA$8:$AA$2007,$I305),INDEX(입금_은행2!$AA$8:$AA$2007,$I305)))</f>
        <v/>
      </c>
      <c r="F305" s="38">
        <f>IF($H305="","","거래처 입금이면 별칭 등록")</f>
        <v/>
      </c>
      <c r="H305" s="31">
        <f>IF(299&lt;=MAX(입금_은행1!$AD$8:$AD$2007),1,IF(299-MAX(입금_은행1!$AD$8:$AD$2007)&lt;=MAX(입금_은행2!$AD$8:$AD$2007),2,""))</f>
        <v/>
      </c>
      <c r="I305" s="31">
        <f>IF($H305="","",IF($H305=1,MATCH(299,입금_은행1!$AD$8:$AD$2007,0),MATCH(299-MAX(입금_은행1!$AD$8:$AD$2007),입금_은행2!$AD$8:$AD$2007,0)))</f>
        <v/>
      </c>
    </row>
    <row r="306">
      <c r="A306" s="38">
        <f>IF($H306="","",300)</f>
        <v/>
      </c>
      <c r="B306" s="38">
        <f>IF($H306="","",IF($H306=1,입금_은행1!$A$5,입금_은행2!$A$5))</f>
        <v/>
      </c>
      <c r="C306" s="40">
        <f>IF($H306="","",IF($H306=1,INDEX(입금_은행1!$Y$8:$Y$2007,$I306),INDEX(입금_은행2!$Y$8:$Y$2007,$I306)))</f>
        <v/>
      </c>
      <c r="D306" s="44">
        <f>IF($H306="","",IF($H306=1,INDEX(입금_은행1!$Z$8:$Z$2007,$I306),INDEX(입금_은행2!$Z$8:$Z$2007,$I306)))</f>
        <v/>
      </c>
      <c r="E306" s="38">
        <f>IF($H306="","",IF($H306=1,INDEX(입금_은행1!$AA$8:$AA$2007,$I306),INDEX(입금_은행2!$AA$8:$AA$2007,$I306)))</f>
        <v/>
      </c>
      <c r="F306" s="38">
        <f>IF($H306="","","거래처 입금이면 별칭 등록")</f>
        <v/>
      </c>
      <c r="H306" s="31">
        <f>IF(300&lt;=MAX(입금_은행1!$AD$8:$AD$2007),1,IF(300-MAX(입금_은행1!$AD$8:$AD$2007)&lt;=MAX(입금_은행2!$AD$8:$AD$2007),2,""))</f>
        <v/>
      </c>
      <c r="I306" s="31">
        <f>IF($H306="","",IF($H306=1,MATCH(300,입금_은행1!$AD$8:$AD$2007,0),MATCH(300-MAX(입금_은행1!$AD$8:$AD$2007),입금_은행2!$AD$8:$AD$2007,0)))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</cols>
  <sheetData>
    <row r="1">
      <c r="A1" s="11" t="inlineStr">
        <is>
          <t>설정 — 회사 이름·기준일·구간</t>
        </is>
      </c>
    </row>
    <row r="2">
      <c r="A2" s="12" t="inlineStr">
        <is>
          <t>✍ 직접 입력: 노란 칸 / ⚙ 자동 계산: 회색. 기준일을 비워 두면 오늘 날짜로 계산합니다.</t>
        </is>
      </c>
    </row>
    <row r="3">
      <c r="A3" s="48" t="inlineStr">
        <is>
          <t>회사 이름 (독촉 문구에 들어감)</t>
        </is>
      </c>
      <c r="B3" s="15" t="inlineStr">
        <is>
          <t>가상기업(주)</t>
        </is>
      </c>
    </row>
    <row r="4">
      <c r="A4" s="48" t="inlineStr">
        <is>
          <t>기준일 (비우면 오늘)</t>
        </is>
      </c>
      <c r="B4" s="49" t="n">
        <v>46319</v>
      </c>
      <c r="C4" s="2" t="inlineStr">
        <is>
          <t>◀ 거래처에서 받은 날 기준으로 보려면 날짜를 직접 적으세요</t>
        </is>
      </c>
    </row>
    <row r="5">
      <c r="A5" s="48" t="inlineStr">
        <is>
          <t>기준일 (적용값)</t>
        </is>
      </c>
      <c r="B5" s="50">
        <f>IF(B4="",TODAY(),B4)</f>
        <v/>
      </c>
    </row>
    <row r="6">
      <c r="A6" s="48" t="inlineStr">
        <is>
          <t>구간 1 — 며칠 이내</t>
        </is>
      </c>
      <c r="B6" s="15" t="n">
        <v>30</v>
      </c>
      <c r="C6" s="2" t="inlineStr">
        <is>
          <t>◀ 기본 30·60·90일 (작성일자 기준 경과일). 바꾸려면 숫자만 고치세요</t>
        </is>
      </c>
    </row>
    <row r="7">
      <c r="A7" s="48" t="inlineStr">
        <is>
          <t>구간 2</t>
        </is>
      </c>
      <c r="B7" s="15" t="n">
        <v>60</v>
      </c>
    </row>
    <row r="8">
      <c r="A8" s="48" t="inlineStr">
        <is>
          <t>구간 3</t>
        </is>
      </c>
      <c r="B8" s="15" t="n">
        <v>90</v>
      </c>
    </row>
    <row r="9">
      <c r="A9" s="48" t="inlineStr">
        <is>
          <t>연락 후보로 볼 최소 금액(원)</t>
        </is>
      </c>
      <c r="B9" s="15" t="n">
        <v>100000</v>
      </c>
      <c r="C9" s="2" t="inlineStr">
        <is>
          <t>◀ 이 금액 미만의 오래된 잔액은 연락 후보에서 뺍니다</t>
        </is>
      </c>
    </row>
    <row r="11">
      <c r="A11" s="7" t="inlineStr">
        <is>
          <t>■ 계산 방식 (참고)</t>
        </is>
      </c>
    </row>
    <row r="12">
      <c r="A12" s="5" t="inlineStr">
        <is>
          <t>· 미수 잔액 = 기초 미수금 + 기준일까지의 세금계산서 합계금액 − 기준일까지의 입금(거래처로 매칭된 것)</t>
        </is>
      </c>
    </row>
    <row r="13">
      <c r="A13" s="5" t="inlineStr">
        <is>
          <t>· 입금은 오래된 세금계산서부터 갚은 것으로 계산합니다(선입선출). 그래서 남은 잔액은 가장 최근 세금계산서부터 쌓인 것으로 봅니다.</t>
        </is>
      </c>
    </row>
    <row r="14">
      <c r="A14" s="5" t="inlineStr">
        <is>
          <t>· 경과일 = 기준일 − 세금계산서 작성일자. 결제 약속일(어음·월말 마감 등)은 반영하지 않습니다.</t>
        </is>
      </c>
    </row>
    <row r="15">
      <c r="A15" s="5" t="inlineStr">
        <is>
          <t>· 입금 매칭 = 은행 입금 내용(보낸 분 이름)에 거래처 이름 또는 별칭이 들어 있으면 그 거래처 입금으로 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2026-10-24T09:10:05Z</dcterms:created>
  <dcterms:modified xmlns:dcterms="http://purl.org/dc/terms/" xmlns:xsi="http://www.w3.org/2001/XMLSchema-instance" xsi:type="dcterms:W3CDTF">2026-10-24T09:10:08Z</dcterms:modified>
</cp:coreProperties>
</file>